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기본자료" sheetId="2" state="visible" r:id="rId2"/>
    <sheet xmlns:r="http://schemas.openxmlformats.org/officeDocument/2006/relationships" name="입력_인턴근무계획" sheetId="3" state="visible" r:id="rId3"/>
    <sheet xmlns:r="http://schemas.openxmlformats.org/officeDocument/2006/relationships" name="입력_구리근무자명단" sheetId="4" state="visible" r:id="rId4"/>
    <sheet xmlns:r="http://schemas.openxmlformats.org/officeDocument/2006/relationships" name="입력_전공의명단" sheetId="5" state="visible" r:id="rId5"/>
    <sheet xmlns:r="http://schemas.openxmlformats.org/officeDocument/2006/relationships" name="출력_서울급여" sheetId="6" state="visible" r:id="rId6"/>
    <sheet xmlns:r="http://schemas.openxmlformats.org/officeDocument/2006/relationships" name="출력_구리근무자" sheetId="7" state="visible" r:id="rId7"/>
    <sheet xmlns:r="http://schemas.openxmlformats.org/officeDocument/2006/relationships" name="출력_요약" sheetId="8" state="visible" r:id="rId8"/>
    <sheet xmlns:r="http://schemas.openxmlformats.org/officeDocument/2006/relationships" name="출력_인턴현황" sheetId="9" state="visible" r:id="rId9"/>
    <sheet xmlns:r="http://schemas.openxmlformats.org/officeDocument/2006/relationships" name="출력_기관명단" sheetId="10" state="visible" r:id="rId10"/>
    <sheet xmlns:r="http://schemas.openxmlformats.org/officeDocument/2006/relationships" name="설정_코드표" sheetId="11" state="visible" r:id="rId11"/>
  </sheets>
  <definedNames>
    <definedName name="급여기준월">'설정_코드표'!$P$9</definedName>
    <definedName name="판정기준일">'설정_코드표'!$P$10</definedName>
    <definedName name="병원목록">병원표[병원]</definedName>
    <definedName name="진료과목록">진료과표[근무과]</definedName>
    <definedName name="병원표기목록">병원약칭표[표기]</definedName>
    <definedName name="과약칭목록">과약칭표[약칭]</definedName>
    <definedName name="구리_키">'출력_구리근무자'!$X$6:$X$1505</definedName>
    <definedName name="구리_이름">'출력_구리근무자'!$R$6:$R$1505</definedName>
    <definedName name="구리_근무일">'출력_구리근무자'!$U$6:$U$1505</definedName>
    <definedName name="구리_독자">'출력_구리근무자'!$W$6:$W$1505</definedName>
    <definedName name="구리_시작">'출력_구리근무자'!$Z$6:$Z$1505</definedName>
    <definedName name="구리_종료">'출력_구리근무자'!$AA$6:$AA$1505</definedName>
    <definedName name="인턴위치_이번">'출력_인턴현황'!$G$3</definedName>
    <definedName name="인턴위치_다음">'출력_인턴현황'!$I$3</definedName>
    <definedName name="인턴위치_기준월">'출력_인턴현황'!$K$2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0" fontId="3" fillId="5" borderId="1" pivotButton="0" quotePrefix="0" xfId="0"/>
    <xf numFmtId="0" fontId="6" fillId="0" borderId="0" applyAlignment="1" pivotButton="0" quotePrefix="0" xfId="0">
      <alignment horizontal="center" vertical="center"/>
    </xf>
    <xf numFmtId="164" fontId="3" fillId="5" borderId="1" pivotButton="0" quotePrefix="0" xfId="0"/>
    <xf numFmtId="1" fontId="3" fillId="5" borderId="1" pivotButton="0" quotePrefix="0" xfId="0"/>
    <xf numFmtId="0" fontId="2" fillId="0" borderId="0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5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FF00"/>
        </patternFill>
      </fill>
    </dxf>
    <dxf>
      <font>
        <name val="맑은 고딕"/>
        <b val="1"/>
        <color rgb="00FF0000"/>
      </font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기본자료표" displayName="기본자료표" ref="A1:M9" headerRowCount="1">
  <tableColumns count="13">
    <tableColumn id="1" name="현재근무 여부"/>
    <tableColumn id="2" name="사번"/>
    <tableColumn id="3" name="이름"/>
    <tableColumn id="4" name="수련과목"/>
    <tableColumn id="5" name="연차"/>
    <tableColumn id="6" name="근무지"/>
    <tableColumn id="7" name="수련개시일"/>
    <tableColumn id="8" name="전공의등록번호"/>
    <tableColumn id="9" name="의사면허번호"/>
    <tableColumn id="10" name="성별"/>
    <tableColumn id="11" name="생년월일"/>
    <tableColumn id="12" name="비고"/>
    <tableColumn id="13" name="사번키">
      <calculatedColumnFormula>IF(TRIM(기본자료표[[#This Row],[사번]]&amp;"")="","","S|"&amp;TRIM(기본자료표[[#This Row],[사번]]&amp;""))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인턴계획표" displayName="인턴계획표" ref="B2:U5" headerRowCount="1">
  <tableColumns count="20">
    <tableColumn id="1" name="순번"/>
    <tableColumn id="2" name="이름"/>
    <tableColumn id="3" name="사번"/>
    <tableColumn id="4" name="9월"/>
    <tableColumn id="5" name="10월"/>
    <tableColumn id="6" name="11월"/>
    <tableColumn id="7" name="12월"/>
    <tableColumn id="8" name="1월"/>
    <tableColumn id="9" name="2월"/>
    <tableColumn id="10" name="비고"/>
    <tableColumn id="11" name="사번키">
      <calculatedColumnFormula>IF(TRIM(인턴계획표[[#This Row],[사번]]&amp;"")="","","S|"&amp;TRIM(인턴계획표[[#This Row],[사번]]&amp;""))</calculatedColumnFormula>
    </tableColumn>
    <tableColumn id="12" name="정규화1">
      <calculatedColumnFormula>IF(TRIM(INDEX(인턴계획표[#This Row],1,4)&amp;"")="","",IFERROR(INDEX(병원약칭표[정식 병원],MATCH(LEFT(TRIM(INDEX(인턴계획표[#This Row],1,4)&amp;""),FIND(" ",TRIM(INDEX(인턴계획표[#This Row],1,4)&amp;""))-1),병원약칭표[표기],0))&amp;" "&amp;INDEX(과약칭표[정식 명칭],MATCH(TRIM(RIGHT(SUBSTITUTE(TRIM(INDEX(인턴계획표[#This Row],1,4)&amp;"")," ",REPT(" ",60)),60)),과약칭표[약칭],0)),"⚠"&amp;TRIM(INDEX(인턴계획표[#This Row],1,4)&amp;"")))</calculatedColumnFormula>
    </tableColumn>
    <tableColumn id="13" name="정규화2">
      <calculatedColumnFormula>IF(TRIM(INDEX(인턴계획표[#This Row],1,5)&amp;"")="","",IFERROR(INDEX(병원약칭표[정식 병원],MATCH(LEFT(TRIM(INDEX(인턴계획표[#This Row],1,5)&amp;""),FIND(" ",TRIM(INDEX(인턴계획표[#This Row],1,5)&amp;""))-1),병원약칭표[표기],0))&amp;" "&amp;INDEX(과약칭표[정식 명칭],MATCH(TRIM(RIGHT(SUBSTITUTE(TRIM(INDEX(인턴계획표[#This Row],1,5)&amp;"")," ",REPT(" ",60)),60)),과약칭표[약칭],0)),"⚠"&amp;TRIM(INDEX(인턴계획표[#This Row],1,5)&amp;"")))</calculatedColumnFormula>
    </tableColumn>
    <tableColumn id="14" name="정규화3">
      <calculatedColumnFormula>IF(TRIM(INDEX(인턴계획표[#This Row],1,6)&amp;"")="","",IFERROR(INDEX(병원약칭표[정식 병원],MATCH(LEFT(TRIM(INDEX(인턴계획표[#This Row],1,6)&amp;""),FIND(" ",TRIM(INDEX(인턴계획표[#This Row],1,6)&amp;""))-1),병원약칭표[표기],0))&amp;" "&amp;INDEX(과약칭표[정식 명칭],MATCH(TRIM(RIGHT(SUBSTITUTE(TRIM(INDEX(인턴계획표[#This Row],1,6)&amp;"")," ",REPT(" ",60)),60)),과약칭표[약칭],0)),"⚠"&amp;TRIM(INDEX(인턴계획표[#This Row],1,6)&amp;"")))</calculatedColumnFormula>
    </tableColumn>
    <tableColumn id="15" name="정규화4">
      <calculatedColumnFormula>IF(TRIM(INDEX(인턴계획표[#This Row],1,7)&amp;"")="","",IFERROR(INDEX(병원약칭표[정식 병원],MATCH(LEFT(TRIM(INDEX(인턴계획표[#This Row],1,7)&amp;""),FIND(" ",TRIM(INDEX(인턴계획표[#This Row],1,7)&amp;""))-1),병원약칭표[표기],0))&amp;" "&amp;INDEX(과약칭표[정식 명칭],MATCH(TRIM(RIGHT(SUBSTITUTE(TRIM(INDEX(인턴계획표[#This Row],1,7)&amp;"")," ",REPT(" ",60)),60)),과약칭표[약칭],0)),"⚠"&amp;TRIM(INDEX(인턴계획표[#This Row],1,7)&amp;"")))</calculatedColumnFormula>
    </tableColumn>
    <tableColumn id="16" name="정규화5">
      <calculatedColumnFormula>IF(TRIM(INDEX(인턴계획표[#This Row],1,8)&amp;"")="","",IFERROR(INDEX(병원약칭표[정식 병원],MATCH(LEFT(TRIM(INDEX(인턴계획표[#This Row],1,8)&amp;""),FIND(" ",TRIM(INDEX(인턴계획표[#This Row],1,8)&amp;""))-1),병원약칭표[표기],0))&amp;" "&amp;INDEX(과약칭표[정식 명칭],MATCH(TRIM(RIGHT(SUBSTITUTE(TRIM(INDEX(인턴계획표[#This Row],1,8)&amp;"")," ",REPT(" ",60)),60)),과약칭표[약칭],0)),"⚠"&amp;TRIM(INDEX(인턴계획표[#This Row],1,8)&amp;"")))</calculatedColumnFormula>
    </tableColumn>
    <tableColumn id="17" name="정규화6">
      <calculatedColumnFormula>IF(TRIM(INDEX(인턴계획표[#This Row],1,9)&amp;"")="","",IFERROR(INDEX(병원약칭표[정식 병원],MATCH(LEFT(TRIM(INDEX(인턴계획표[#This Row],1,9)&amp;""),FIND(" ",TRIM(INDEX(인턴계획표[#This Row],1,9)&amp;""))-1),병원약칭표[표기],0))&amp;" "&amp;INDEX(과약칭표[정식 명칭],MATCH(TRIM(RIGHT(SUBSTITUTE(TRIM(INDEX(인턴계획표[#This Row],1,9)&amp;"")," ",REPT(" ",60)),60)),과약칭표[약칭],0)),"⚠"&amp;TRIM(INDEX(인턴계획표[#This Row],1,9)&amp;"")))</calculatedColumnFormula>
    </tableColumn>
    <tableColumn id="18" name="입사일(비고)">
      <calculatedColumnFormula>IF(INDEX(인턴계획표[#This Row],1,10)&amp;""="","",IFERROR(IF(AND(INT(VALUE(INDEX(인턴계획표[#This Row],1,10)&amp;""))&gt;=1900,ROUND((VALUE(INDEX(인턴계획표[#This Row],1,10)&amp;"")-INT(VALUE(INDEX(인턴계획표[#This Row],1,10)&amp;"")))*100,0)&gt;=1,ROUND((VALUE(INDEX(인턴계획표[#This Row],1,10)&amp;"")-INT(VALUE(INDEX(인턴계획표[#This Row],1,10)&amp;"")))*100,0)&lt;=12),DATE(INT(VALUE(INDEX(인턴계획표[#This Row],1,10)&amp;"")),ROUND((VALUE(INDEX(인턴계획표[#This Row],1,10)&amp;"")-INT(VALUE(INDEX(인턴계획표[#This Row],1,10)&amp;"")))*100,0),1),INDEX(인턴계획표[#This Row],1,10)&amp;""),INDEX(인턴계획표[#This Row],1,10)&amp;""))</calculatedColumnFormula>
    </tableColumn>
    <tableColumn id="19" name="표시순번">
      <calculatedColumnFormula>IF(TRIM(인턴계획표[[#This Row],[이름]]&amp;"")="","",SUMPRODUCT(--(TRIM(INDEX(인턴계획표[이름],1):인턴계획표[[#This Row],[이름]]&amp;"")&lt;&gt;"")))</calculatedColumnFormula>
    </tableColumn>
    <tableColumn id="20" name="입력오류">
      <calculatedColumnFormula>COUNTIF(인턴계획표[[#This Row],[정규화1]:[정규화6]],"⚠*")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명단표" displayName="명단표" ref="A1:AK9" headerRowCount="1">
  <tableColumns count="37">
    <tableColumn id="1" name="번호">
      <calculatedColumnFormula>ROW()-ROW(명단표[#Headers])</calculatedColumnFormula>
    </tableColumn>
    <tableColumn id="2" name="사번"/>
    <tableColumn id="3" name="이름">
      <calculatedColumnFormula>IF(명단표[[#This Row],[기본자료행]]="","",IF(INDEX(기본자료표[이름],명단표[[#This Row],[기본자료행]])="","",INDEX(기본자료표[이름],명단표[[#This Row],[기본자료행]])))</calculatedColumnFormula>
    </tableColumn>
    <tableColumn id="4" name="성별">
      <calculatedColumnFormula>IF(명단표[[#This Row],[기본자료행]]="","",IF(INDEX(기본자료표[성별],명단표[[#This Row],[기본자료행]])="","",INDEX(기본자료표[성별],명단표[[#This Row],[기본자료행]])))</calculatedColumnFormula>
    </tableColumn>
    <tableColumn id="5" name="생년월일">
      <calculatedColumnFormula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calculatedColumnFormula>
    </tableColumn>
    <tableColumn id="6" name="수련과목">
      <calculatedColumnFormula>IF(명단표[[#This Row],[기본자료행]]="","",IF(INDEX(기본자료표[수련과목],명단표[[#This Row],[기본자료행]])="","",INDEX(기본자료표[수련과목],명단표[[#This Row],[기본자료행]])))</calculatedColumnFormula>
    </tableColumn>
    <tableColumn id="7" name="연차">
      <calculatedColumnFormula>IF(명단표[[#This Row],[기본자료행]]="","",IF(INDEX(기본자료표[연차],명단표[[#This Row],[기본자료행]])="","",INDEX(기본자료표[연차],명단표[[#This Row],[기본자료행]])))</calculatedColumnFormula>
    </tableColumn>
    <tableColumn id="8" name="근무지">
      <calculatedColumnFormula>IF(명단표[[#This Row],[기본자료행]]="","",IF(INDEX(기본자료표[근무지],명단표[[#This Row],[기본자료행]])="","",INDEX(기본자료표[근무지],명단표[[#This Row],[기본자료행]])))</calculatedColumnFormula>
    </tableColumn>
    <tableColumn id="9" name="수련개시일">
      <calculatedColumnFormula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calculatedColumnFormula>
    </tableColumn>
    <tableColumn id="10" name="전공의등록번호">
      <calculatedColumnFormula>IF(명단표[[#This Row],[기본자료행]]="","",IF(INDEX(기본자료표[전공의등록번호],명단표[[#This Row],[기본자료행]])="","",INDEX(기본자료표[전공의등록번호],명단표[[#This Row],[기본자료행]])))</calculatedColumnFormula>
    </tableColumn>
    <tableColumn id="11" name="의사면허번호">
      <calculatedColumnFormula>IF(명단표[[#This Row],[기본자료행]]="","",IF(INDEX(기본자료표[의사면허번호],명단표[[#This Row],[기본자료행]])="","",INDEX(기본자료표[의사면허번호],명단표[[#This Row],[기본자료행]])))</calculatedColumnFormula>
    </tableColumn>
    <tableColumn id="12" name="재직여부">
      <calculatedColumnFormula>IF(명단표[[#This Row],[기본자료행]]="","",IF(INDEX(기본자료표[현재근무 여부],명단표[[#This Row],[기본자료행]])="","",INDEX(기본자료표[현재근무 여부],명단표[[#This Row],[기본자료행]])))</calculatedColumnFormula>
    </tableColumn>
    <tableColumn id="13" name="입사장소"/>
    <tableColumn id="14" name="현재 근무병원">
      <calculatedColumnFormula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calculatedColumnFormula>
    </tableColumn>
    <tableColumn id="15" name="현재 진료과">
      <calculatedColumnFormula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calculatedColumnFormula>
    </tableColumn>
    <tableColumn id="16" name="구리 근무 시작일(기준월)">
      <calculatedColumnFormula>IF(명단표[[#This Row],[구리행]]="","",INDEX(구리_시작,명단표[[#This Row],[구리행]]))</calculatedColumnFormula>
    </tableColumn>
    <tableColumn id="17" name="구리 근무 종료일(기준월)">
      <calculatedColumnFormula>IF(명단표[[#This Row],[구리행]]="","",INDEX(구리_종료,명단표[[#This Row],[구리행]]))</calculatedColumnFormula>
    </tableColumn>
    <tableColumn id="18" name="구리독자">
      <calculatedColumnFormula>IF(명단표[[#This Row],[구리행]]="","",INDEX(구리_독자,명단표[[#This Row],[구리행]]))</calculatedColumnFormula>
    </tableColumn>
    <tableColumn id="19" name="서울 근무일(기준월)">
      <calculatedColumnFormula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calculatedColumnFormula>
    </tableColumn>
    <tableColumn id="20" name="구리 근무일(기준월)">
      <calculatedColumnFormula>IF(NOT(TRIM(명단표[[#This Row],[사번]]&amp;"")&lt;&gt;""),"",IF(명단표[[#This Row],[구리행]]&lt;&gt;"",N(명단표[[#This Row],[구리명단 근무일]]),IF(명단표[[#This Row],[기준월 근무병원]]="구리병원",DAY(EOMONTH(급여기준월,0)),0)))</calculatedColumnFormula>
    </tableColumn>
    <tableColumn id="21" name="급여지급병원(기준월)">
      <calculatedColumnFormula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calculatedColumnFormula>
    </tableColumn>
    <tableColumn id="22" name="급여 판정 근거">
      <calculatedColumnFormula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calculatedColumnFormula>
    </tableColumn>
    <tableColumn id="23" name="점검">
      <calculatedColumnFormula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calculatedColumnFormula>
    </tableColumn>
    <tableColumn id="24" name="비고"/>
    <tableColumn id="25" name="기본자료행">
      <calculatedColumnFormula>IF(NOT(TRIM(명단표[[#This Row],[사번]]&amp;"")&lt;&gt;""),"",IFERROR(MATCH("S|"&amp;TRIM(명단표[[#This Row],[사번]]&amp;""),기본자료표[사번키],0),""))</calculatedColumnFormula>
    </tableColumn>
    <tableColumn id="26" name="이름|과">
      <calculatedColumnFormula>IF(명단표[[#This Row],[이름]]="","",명단표[[#This Row],[이름]]&amp;"|"&amp;명단표[[#This Row],[수련과목]])</calculatedColumnFormula>
    </tableColumn>
    <tableColumn id="27" name="인턴계획행">
      <calculatedColumnFormula>IF(NOT(TRIM(명단표[[#This Row],[사번]]&amp;"")&lt;&gt;""),"",IFERROR(MATCH("S|"&amp;TRIM(명단표[[#This Row],[사번]]&amp;""),인턴계획표[사번키],0),""))</calculatedColumnFormula>
    </tableColumn>
    <tableColumn id="28" name="인턴 이번달">
      <calculatedColumnFormula>IF(OR(명단표[[#This Row],[인턴계획행]]="",인턴위치_이번=""),"",INDEX(인턴계획표[[정규화1]:[정규화6]],명단표[[#This Row],[인턴계획행]],인턴위치_이번)&amp;"")</calculatedColumnFormula>
    </tableColumn>
    <tableColumn id="29" name="인턴 기준월">
      <calculatedColumnFormula>IF(OR(명단표[[#This Row],[인턴계획행]]="",인턴위치_기준월=""),"",INDEX(인턴계획표[[정규화1]:[정규화6]],명단표[[#This Row],[인턴계획행]],인턴위치_기준월)&amp;"")</calculatedColumnFormula>
    </tableColumn>
    <tableColumn id="30" name="소속병원">
      <calculatedColumnFormula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calculatedColumnFormula>
    </tableColumn>
    <tableColumn id="31" name="기준월 근무병원">
      <calculatedColumnFormula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calculatedColumnFormula>
    </tableColumn>
    <tableColumn id="32" name="구리행">
      <calculatedColumnFormula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calculatedColumnFormula>
    </tableColumn>
    <tableColumn id="33" name="구리명단 근무일">
      <calculatedColumnFormula>IF(명단표[[#This Row],[구리행]]="","",INDEX(구리_근무일,명단표[[#This Row],[구리행]]))</calculatedColumnFormula>
    </tableColumn>
    <tableColumn id="34" name="구리 근무 중">
      <calculatedColumnFormula>IF(명단표[[#This Row],[구리행]]="","",IFERROR(IF(AND(TODAY()&gt;=DATEVALUE(명단표[[#This Row],[구리 근무 시작일(기준월)]]),TODAY()&lt;=DATEVALUE(명단표[[#This Row],[구리 근무 종료일(기준월)]])),"Y",""),""))</calculatedColumnFormula>
    </tableColumn>
    <tableColumn id="35" name="서울순번">
      <calculatedColumnFormula>IF(명단표[[#This Row],[급여지급병원(기준월)]]="서울병원",COUNTIF(INDEX(명단표[급여지급병원(기준월)],1):명단표[[#This Row],[급여지급병원(기준월)]],"서울병원"),"")</calculatedColumnFormula>
    </tableColumn>
    <tableColumn id="36" name="판정불가순번">
      <calculatedColumnFormula>IF(LEFT(명단표[[#This Row],[급여지급병원(기준월)]],1)="⚠",COUNTIF(INDEX(명단표[급여지급병원(기준월)],1):명단표[[#This Row],[급여지급병원(기준월)]],"⚠*"),"")</calculatedColumnFormula>
    </tableColumn>
    <tableColumn id="37" name="명단순번">
      <calculatedColumnFormula>IF(NOT(TRIM(명단표[[#This Row],[사번]]&amp;"")&lt;&gt;""),"",SUMPRODUCT(--(TRIM(INDEX(명단표[사번],1):명단표[[#This Row],[사번]]&amp;"")&lt;&gt;"")))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병원표" displayName="병원표" ref="A1:A7" headerRowCount="1">
  <tableColumns count="1">
    <tableColumn id="1" name="병원"/>
  </tableColumns>
  <tableStyleInfo name="TableStyleLight1" showRowStripes="1"/>
</table>
</file>

<file path=xl/tables/table5.xml><?xml version="1.0" encoding="utf-8"?>
<table xmlns="http://schemas.openxmlformats.org/spreadsheetml/2006/main" id="5" name="진료과표" displayName="진료과표" ref="C1:C25" headerRowCount="1">
  <tableColumns count="1">
    <tableColumn id="1" name="근무과"/>
  </tableColumns>
  <tableStyleInfo name="TableStyleLight1" showRowStripes="1"/>
</table>
</file>

<file path=xl/tables/table6.xml><?xml version="1.0" encoding="utf-8"?>
<table xmlns="http://schemas.openxmlformats.org/spreadsheetml/2006/main" id="6" name="인턴구분표" displayName="인턴구분표" ref="E1:E5" headerRowCount="1">
  <tableColumns count="1">
    <tableColumn id="1" name="인턴 구분"/>
  </tableColumns>
  <tableStyleInfo name="TableStyleLight1" showRowStripes="1"/>
</table>
</file>

<file path=xl/tables/table7.xml><?xml version="1.0" encoding="utf-8"?>
<table xmlns="http://schemas.openxmlformats.org/spreadsheetml/2006/main" id="7" name="과약칭표" displayName="과약칭표" ref="I1:J65" headerRowCount="1">
  <tableColumns count="2">
    <tableColumn id="1" name="약칭"/>
    <tableColumn id="2" name="정식 명칭"/>
  </tableColumns>
  <tableStyleInfo name="TableStyleLight1" showRowStripes="1"/>
</table>
</file>

<file path=xl/tables/table8.xml><?xml version="1.0" encoding="utf-8"?>
<table xmlns="http://schemas.openxmlformats.org/spreadsheetml/2006/main" id="8" name="병원약칭표" displayName="병원약칭표" ref="L1:M19" headerRowCount="1">
  <tableColumns count="2">
    <tableColumn id="1" name="표기"/>
    <tableColumn id="2" name="정식 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 (Excel 2019 이상 · Microsoft 365 공통)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입력_전공의명단: 엑셀 '표'. 표 바로 아래(또는 첫 자료 행)에 붙여넣으면 표가 자동으로 늘어나고 초록 머리글 계산 열도 자동으로 채워집니다.</t>
        </is>
      </c>
    </row>
    <row r="5">
      <c r="A5" s="2" t="inlineStr">
        <is>
          <t>• 입력_구리근무자명단: 구리병원 파일의 시트를 A1에 양식 그대로 붙여넣는 시트(병합 셀이 있어 표가 아님). 4행부터 1500행(1503행까지)·ZZ열까지 해석합니다.</t>
        </is>
      </c>
    </row>
    <row r="6">
      <c r="A6" s="2" t="inlineStr">
        <is>
          <t>• 출력_서울급여 / 출력_구리근무자 / 출력_요약 / 출력_인턴현황 / 출력_기관명단: 미리 수식이 들어 있는 고정 행 목록. 셀을 지우거나 덮어쓰지 마세요.</t>
        </is>
      </c>
    </row>
    <row r="7">
      <c r="A7" s="2" t="inlineStr">
        <is>
          <t>• 출력 표시 한도: 서울급여·기관명단 1000명, 구리 근무자 500명, 인턴현황 600명, 코드 목록 40개. 넘으면 시트 위쪽과 출력_요약에 ⚠ 경고가 뜹니다(입력 표는 제한 없음).</t>
        </is>
      </c>
    </row>
    <row r="8">
      <c r="A8" s="2" t="inlineStr">
        <is>
          <t>• 회색 머리글 '(명단 행)'·'(계획 행)' 열과 출력_구리근무자 O열 이후(+ 단추로 펼침)는 목록을 만드는 보조 계산입니다(수정 금지).</t>
        </is>
      </c>
    </row>
    <row r="9">
      <c r="A9" s="2" t="inlineStr">
        <is>
          <t>• 설정_코드표: 병원·진료과·인턴구분·약칭 목록(표)과 설정값(급여 기준월·15일 기준).</t>
        </is>
      </c>
    </row>
    <row r="10">
      <c r="A10" s="2" t="inlineStr">
        <is>
          <t>• 출력_기관명단: 급여 기준월의 전원 기관(근무병원·급여지급병원) — 시간외근무 판정 파일의 입력_기관명단에 값으로 붙여넣는 용도</t>
        </is>
      </c>
    </row>
    <row r="11">
      <c r="A11" s="2" t="inlineStr"/>
    </row>
    <row r="12">
      <c r="A12" s="3" t="inlineStr">
        <is>
          <t>[붙여넣는 방법]</t>
        </is>
      </c>
    </row>
    <row r="13">
      <c r="A13" s="2" t="inlineStr">
        <is>
          <t>• 기본자료: A2부터 (머리글 순서: 현재근무 여부·사번·이름·수련과목·연차·근무지·수련개시일·전공의등록번호·의사면허번호·성별·생년월일·비고). 날짜는 20260301 형식도 됩니다.</t>
        </is>
      </c>
    </row>
    <row r="14">
      <c r="A14" s="2" t="inlineStr">
        <is>
          <t>• 인턴근무계획: B3부터 자료 행(순번·이름·사번·월 6칸·비고). 학기가 바뀌면 2행의 월 머리글(9월~2월 등)도 바꿔 적으세요. 비고 2026.03 = 2026-03-01 입사.</t>
        </is>
      </c>
    </row>
    <row r="15">
      <c r="A15" s="2" t="inlineStr">
        <is>
          <t>• 구리 근무자명단: 구리병원 파일의 시트를 A1에 양식 그대로(1~2행 제목, 3행 머리글, 4행부터 자료). 날짜는 'YYYY.MM.DD' 글자도 됩니다.</t>
        </is>
      </c>
    </row>
    <row r="16">
      <c r="A16" s="2" t="inlineStr">
        <is>
          <t>• 전공의명단: 사번·입사장소·비고만 입력. 나머지는 자동.</t>
        </is>
      </c>
    </row>
    <row r="17">
      <c r="A17" s="2" t="inlineStr">
        <is>
          <t>• 예시 데이터(ㅇㅇ)는 모두 지우고 실제 자료를 넣으세요. 표의 행을 지울 때는 행 전체 삭제(표 행 삭제)를 쓰세요.</t>
        </is>
      </c>
    </row>
    <row r="18">
      <c r="A18" s="2" t="inlineStr"/>
    </row>
    <row r="19">
      <c r="A19" s="3" t="inlineStr">
        <is>
          <t>[표기 해석]</t>
        </is>
      </c>
    </row>
    <row r="20">
      <c r="A20" s="2" t="inlineStr">
        <is>
          <t>• 인턴 월 칸은 '지역 진료과'(예: 서울 산부 → 서울병원 산부인과, 제주 에스중앙 내과 → 제주병원 내과). 첫 단어=지역(병원약칭표), 마지막 단어=진료과(과약칭표).</t>
        </is>
      </c>
    </row>
    <row r="21">
      <c r="A21" s="2" t="inlineStr">
        <is>
          <t>• 통합(과 미지정), 핵/방, 직/피, 정/영 등은 인턴 전용 구분입니다(과약칭표에서 직피·정영 등 약칭도 인정).</t>
        </is>
      </c>
    </row>
    <row r="22">
      <c r="A22" s="2" t="inlineStr">
        <is>
          <t>• 코드표에 없는 값을 직접 입력하면 오류 팝업이 뜹니다. 붙여넣기는 팝업이 뜨지 않으므로 해당 칸이 빨갛게 표시되고 요약에 집계됩니다.</t>
        </is>
      </c>
    </row>
    <row r="23">
      <c r="A23" s="2" t="inlineStr"/>
    </row>
    <row r="24">
      <c r="A24" s="3" t="inlineStr">
        <is>
          <t>[급여지급병원(기준월) 규칙]</t>
        </is>
      </c>
    </row>
    <row r="25">
      <c r="A25" s="2" t="inlineStr">
        <is>
          <t>• 서울병원·구리병원 사이: 소속과 무관하게 급여 기준월에 15일 이상 근무한 병원이 그 달 전체를 지급(예: 구리 10일·서울 20일 → 서울 지급).</t>
        </is>
      </c>
    </row>
    <row r="26">
      <c r="A26" s="2" t="inlineStr">
        <is>
          <t>• 근무일: 구리 근무자명단에 있으면 그 날짜가 구리 근무일, 그 달의 나머지 날은 모두 서울 근무일입니다.</t>
        </is>
      </c>
    </row>
    <row r="27">
      <c r="A27" s="2" t="inlineStr">
        <is>
          <t>• 양쪽 모두 15일 이상이거나 모두 미만이면 ⚠ 판정 불가로 표시합니다.</t>
        </is>
      </c>
    </row>
    <row r="28">
      <c r="A28" s="2" t="inlineStr">
        <is>
          <t>• 구리 근무자명단에 없는 사람은 그 달 근무병원(인턴은 인턴근무계획의 병원, 그 외는 소속병원)이 지급합니다.</t>
        </is>
      </c>
    </row>
    <row r="29">
      <c r="A29" s="2" t="inlineStr">
        <is>
          <t>• 소속병원 = 입사장소 → (비어 있으면) 구리 근무자명단 비고 '구리독자'면 구리병원 → 기본자료 근무지 순서로 정합니다.</t>
        </is>
      </c>
    </row>
    <row r="30">
      <c r="A30" s="2" t="inlineStr"/>
    </row>
    <row r="31">
      <c r="A31" s="3" t="inlineStr">
        <is>
          <t>[참고]</t>
        </is>
      </c>
    </row>
    <row r="32">
      <c r="A32" s="2" t="inlineStr">
        <is>
          <t>• Excel 2019·2021·Microsoft 365에서 같은 결과가 나옵니다(FILTER·XLOOKUP 같은 365 전용 함수를 쓰지 않음). 2016 이하는 확인하지 않았습니다.</t>
        </is>
      </c>
    </row>
    <row r="33">
      <c r="A33" s="2" t="inlineStr">
        <is>
          <t>• 목록 순서는 입력_전공의명단(인턴은 인턴근무계획) 행 순서입니다. 다른 순서로 보려면 출력 시트를 복사해 값으로 붙여넣은 뒤 정렬하세요.</t>
        </is>
      </c>
    </row>
    <row r="34">
      <c r="A3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4" customWidth="1" min="4" max="4"/>
    <col width="11" customWidth="1" min="5" max="5"/>
    <col width="9" customWidth="1" min="6" max="6"/>
    <col width="12" customWidth="1" min="7" max="7"/>
    <col width="14" customWidth="1" min="8" max="8"/>
    <col width="12" customWidth="1" min="9" max="9"/>
    <col width="6" customWidth="1" min="10" max="10"/>
    <col width="12" customWidth="1" min="11" max="11"/>
    <col width="16" customWidth="1" min="12" max="12"/>
    <col width="12" customWidth="1" min="13" max="13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  <c r="M1" s="5" t="inlineStr">
        <is>
          <t>사번키</t>
        </is>
      </c>
    </row>
    <row r="2">
      <c r="A2" s="6" t="inlineStr">
        <is>
          <t>재직</t>
        </is>
      </c>
      <c r="B2" s="7" t="inlineStr">
        <is>
          <t>2261212</t>
        </is>
      </c>
      <c r="C2" s="6" t="inlineStr">
        <is>
          <t>김ㅇㅇ</t>
        </is>
      </c>
      <c r="D2" s="6" t="inlineStr">
        <is>
          <t>가정의학과</t>
        </is>
      </c>
      <c r="E2" s="6" t="inlineStr">
        <is>
          <t>레지던트1</t>
        </is>
      </c>
      <c r="F2" s="6" t="inlineStr">
        <is>
          <t>서울</t>
        </is>
      </c>
      <c r="G2" s="6" t="n">
        <v>20260301</v>
      </c>
      <c r="H2" s="7" t="inlineStr">
        <is>
          <t>11-1111</t>
        </is>
      </c>
      <c r="I2" s="6" t="n">
        <v>111111</v>
      </c>
      <c r="J2" s="6" t="inlineStr">
        <is>
          <t>여</t>
        </is>
      </c>
      <c r="K2" s="6" t="n">
        <v>19999999</v>
      </c>
      <c r="L2" s="6" t="n"/>
      <c r="M2" s="8">
        <f>IF(TRIM(기본자료표[[#This Row],[사번]]&amp;"")="","","S|"&amp;TRIM(기본자료표[[#This Row],[사번]]&amp;""))</f>
        <v/>
      </c>
    </row>
    <row r="3">
      <c r="A3" s="6" t="inlineStr">
        <is>
          <t>재직</t>
        </is>
      </c>
      <c r="B3" s="7" t="inlineStr">
        <is>
          <t>2261213</t>
        </is>
      </c>
      <c r="C3" s="6" t="inlineStr">
        <is>
          <t>이ㅇㅇ</t>
        </is>
      </c>
      <c r="D3" s="6" t="inlineStr">
        <is>
          <t>내과</t>
        </is>
      </c>
      <c r="E3" s="6" t="inlineStr">
        <is>
          <t>레지던트2</t>
        </is>
      </c>
      <c r="F3" s="6" t="inlineStr">
        <is>
          <t>서울</t>
        </is>
      </c>
      <c r="G3" s="6" t="n">
        <v>20250301</v>
      </c>
      <c r="H3" s="7" t="inlineStr">
        <is>
          <t>11-1112</t>
        </is>
      </c>
      <c r="I3" s="6" t="n">
        <v>111112</v>
      </c>
      <c r="J3" s="6" t="inlineStr">
        <is>
          <t>남</t>
        </is>
      </c>
      <c r="K3" s="6" t="n">
        <v>19950702</v>
      </c>
      <c r="L3" s="6" t="n"/>
      <c r="M3" s="8">
        <f>IF(TRIM(기본자료표[[#This Row],[사번]]&amp;"")="","","S|"&amp;TRIM(기본자료표[[#This Row],[사번]]&amp;""))</f>
        <v/>
      </c>
    </row>
    <row r="4">
      <c r="A4" s="6" t="inlineStr">
        <is>
          <t>재직</t>
        </is>
      </c>
      <c r="B4" s="7" t="inlineStr">
        <is>
          <t>2261214</t>
        </is>
      </c>
      <c r="C4" s="6" t="inlineStr">
        <is>
          <t>박ㅇㅇ</t>
        </is>
      </c>
      <c r="D4" s="6" t="inlineStr">
        <is>
          <t>내과</t>
        </is>
      </c>
      <c r="E4" s="6" t="inlineStr">
        <is>
          <t>레지던트3</t>
        </is>
      </c>
      <c r="F4" s="6" t="inlineStr">
        <is>
          <t>서울</t>
        </is>
      </c>
      <c r="G4" s="6" t="n">
        <v>20240301</v>
      </c>
      <c r="H4" s="7" t="inlineStr">
        <is>
          <t>21-1111</t>
        </is>
      </c>
      <c r="I4" s="6" t="n">
        <v>111113</v>
      </c>
      <c r="J4" s="6" t="inlineStr">
        <is>
          <t>여</t>
        </is>
      </c>
      <c r="K4" s="6" t="n">
        <v>19970125</v>
      </c>
      <c r="L4" s="6" t="n"/>
      <c r="M4" s="8">
        <f>IF(TRIM(기본자료표[[#This Row],[사번]]&amp;"")="","","S|"&amp;TRIM(기본자료표[[#This Row],[사번]]&amp;""))</f>
        <v/>
      </c>
    </row>
    <row r="5">
      <c r="A5" s="6" t="inlineStr">
        <is>
          <t>재직</t>
        </is>
      </c>
      <c r="B5" s="7" t="inlineStr">
        <is>
          <t>2261215</t>
        </is>
      </c>
      <c r="C5" s="6" t="inlineStr">
        <is>
          <t>최ㅇㅇ</t>
        </is>
      </c>
      <c r="D5" s="6" t="inlineStr">
        <is>
          <t>산부인과</t>
        </is>
      </c>
      <c r="E5" s="6" t="inlineStr">
        <is>
          <t>레지던트3</t>
        </is>
      </c>
      <c r="F5" s="6" t="inlineStr">
        <is>
          <t>서울</t>
        </is>
      </c>
      <c r="G5" s="6" t="n">
        <v>20240301</v>
      </c>
      <c r="H5" s="7" t="inlineStr">
        <is>
          <t>11-1114</t>
        </is>
      </c>
      <c r="I5" s="6" t="n">
        <v>111114</v>
      </c>
      <c r="J5" s="6" t="inlineStr">
        <is>
          <t>남</t>
        </is>
      </c>
      <c r="K5" s="6" t="n">
        <v>19961109</v>
      </c>
      <c r="L5" s="6" t="n"/>
      <c r="M5" s="8">
        <f>IF(TRIM(기본자료표[[#This Row],[사번]]&amp;"")="","","S|"&amp;TRIM(기본자료표[[#This Row],[사번]]&amp;""))</f>
        <v/>
      </c>
    </row>
    <row r="6">
      <c r="A6" s="6" t="inlineStr">
        <is>
          <t>재직</t>
        </is>
      </c>
      <c r="B6" s="7" t="inlineStr">
        <is>
          <t>2261216</t>
        </is>
      </c>
      <c r="C6" s="6" t="inlineStr">
        <is>
          <t>정ㅇㅇ</t>
        </is>
      </c>
      <c r="D6" s="6" t="inlineStr">
        <is>
          <t>마취통증의학과</t>
        </is>
      </c>
      <c r="E6" s="6" t="inlineStr">
        <is>
          <t>레지던트2</t>
        </is>
      </c>
      <c r="F6" s="6" t="inlineStr">
        <is>
          <t>구리</t>
        </is>
      </c>
      <c r="G6" s="6" t="n">
        <v>20250301</v>
      </c>
      <c r="H6" s="7" t="inlineStr">
        <is>
          <t>11-1115</t>
        </is>
      </c>
      <c r="I6" s="6" t="n">
        <v>111115</v>
      </c>
      <c r="J6" s="6" t="inlineStr">
        <is>
          <t>여</t>
        </is>
      </c>
      <c r="K6" s="6" t="n">
        <v>19980530</v>
      </c>
      <c r="L6" s="6" t="n"/>
      <c r="M6" s="8">
        <f>IF(TRIM(기본자료표[[#This Row],[사번]]&amp;"")="","","S|"&amp;TRIM(기본자료표[[#This Row],[사번]]&amp;""))</f>
        <v/>
      </c>
    </row>
    <row r="7">
      <c r="A7" s="6" t="inlineStr">
        <is>
          <t>재직</t>
        </is>
      </c>
      <c r="B7" s="7" t="inlineStr">
        <is>
          <t>222222</t>
        </is>
      </c>
      <c r="C7" s="6" t="inlineStr">
        <is>
          <t>김ㅇㅇ</t>
        </is>
      </c>
      <c r="D7" s="6" t="inlineStr">
        <is>
          <t>인턴</t>
        </is>
      </c>
      <c r="E7" s="6" t="inlineStr">
        <is>
          <t>인턴</t>
        </is>
      </c>
      <c r="F7" s="6" t="inlineStr">
        <is>
          <t>서울</t>
        </is>
      </c>
      <c r="G7" s="6" t="n">
        <v>20260301</v>
      </c>
      <c r="H7" s="7" t="inlineStr">
        <is>
          <t>22-2222</t>
        </is>
      </c>
      <c r="I7" s="6" t="n">
        <v>222222</v>
      </c>
      <c r="J7" s="6" t="inlineStr">
        <is>
          <t>여</t>
        </is>
      </c>
      <c r="K7" s="6" t="n">
        <v>19990101</v>
      </c>
      <c r="L7" s="6" t="n"/>
      <c r="M7" s="8">
        <f>IF(TRIM(기본자료표[[#This Row],[사번]]&amp;"")="","","S|"&amp;TRIM(기본자료표[[#This Row],[사번]]&amp;""))</f>
        <v/>
      </c>
    </row>
    <row r="8">
      <c r="A8" s="6" t="inlineStr">
        <is>
          <t>재직</t>
        </is>
      </c>
      <c r="B8" s="7" t="inlineStr">
        <is>
          <t>222223</t>
        </is>
      </c>
      <c r="C8" s="6" t="inlineStr">
        <is>
          <t>이ㅇㅇ</t>
        </is>
      </c>
      <c r="D8" s="6" t="inlineStr">
        <is>
          <t>인턴</t>
        </is>
      </c>
      <c r="E8" s="6" t="inlineStr">
        <is>
          <t>인턴</t>
        </is>
      </c>
      <c r="F8" s="6" t="inlineStr">
        <is>
          <t>서울</t>
        </is>
      </c>
      <c r="G8" s="6" t="n">
        <v>20260301</v>
      </c>
      <c r="H8" s="7" t="inlineStr">
        <is>
          <t>22-2223</t>
        </is>
      </c>
      <c r="I8" s="6" t="n">
        <v>222223</v>
      </c>
      <c r="J8" s="6" t="inlineStr">
        <is>
          <t>남</t>
        </is>
      </c>
      <c r="K8" s="6" t="n">
        <v>19990202</v>
      </c>
      <c r="L8" s="6" t="n"/>
      <c r="M8" s="8">
        <f>IF(TRIM(기본자료표[[#This Row],[사번]]&amp;"")="","","S|"&amp;TRIM(기본자료표[[#This Row],[사번]]&amp;""))</f>
        <v/>
      </c>
    </row>
    <row r="9">
      <c r="A9" s="6" t="inlineStr">
        <is>
          <t>재직</t>
        </is>
      </c>
      <c r="B9" s="7" t="inlineStr">
        <is>
          <t>222224</t>
        </is>
      </c>
      <c r="C9" s="6" t="inlineStr">
        <is>
          <t>박ㅇㅇ</t>
        </is>
      </c>
      <c r="D9" s="6" t="inlineStr">
        <is>
          <t>인턴</t>
        </is>
      </c>
      <c r="E9" s="6" t="inlineStr">
        <is>
          <t>인턴</t>
        </is>
      </c>
      <c r="F9" s="6" t="inlineStr">
        <is>
          <t>구리</t>
        </is>
      </c>
      <c r="G9" s="6" t="n">
        <v>20260301</v>
      </c>
      <c r="H9" s="7" t="inlineStr">
        <is>
          <t>22-2224</t>
        </is>
      </c>
      <c r="I9" s="6" t="n">
        <v>222224</v>
      </c>
      <c r="J9" s="6" t="inlineStr">
        <is>
          <t>남</t>
        </is>
      </c>
      <c r="K9" s="6" t="n">
        <v>19990303</v>
      </c>
      <c r="L9" s="6" t="n"/>
      <c r="M9" s="8">
        <f>IF(TRIM(기본자료표[[#This Row],[사번]]&amp;"")="","","S|"&amp;TRIM(기본자료표[[#This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U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11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0" customWidth="1" min="11" max="11"/>
    <col width="11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2" customWidth="1" min="19" max="19"/>
    <col width="7" customWidth="1" min="20" max="20"/>
    <col width="8" customWidth="1" min="21" max="21"/>
  </cols>
  <sheetData>
    <row r="1">
      <c r="B1" s="9" t="inlineStr">
        <is>
          <t>2026년도 하반기 인턴근무계획표(9~2월)</t>
        </is>
      </c>
    </row>
    <row r="2">
      <c r="B2" s="4" t="inlineStr">
        <is>
          <t>순번</t>
        </is>
      </c>
      <c r="C2" s="4" t="inlineStr">
        <is>
          <t>이름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>2월</t>
        </is>
      </c>
      <c r="K2" s="4" t="inlineStr">
        <is>
          <t>비고</t>
        </is>
      </c>
      <c r="L2" s="5" t="inlineStr">
        <is>
          <t>사번키</t>
        </is>
      </c>
      <c r="M2" s="5" t="inlineStr">
        <is>
          <t>정규화1</t>
        </is>
      </c>
      <c r="N2" s="5" t="inlineStr">
        <is>
          <t>정규화2</t>
        </is>
      </c>
      <c r="O2" s="5" t="inlineStr">
        <is>
          <t>정규화3</t>
        </is>
      </c>
      <c r="P2" s="5" t="inlineStr">
        <is>
          <t>정규화4</t>
        </is>
      </c>
      <c r="Q2" s="5" t="inlineStr">
        <is>
          <t>정규화5</t>
        </is>
      </c>
      <c r="R2" s="5" t="inlineStr">
        <is>
          <t>정규화6</t>
        </is>
      </c>
      <c r="S2" s="5" t="inlineStr">
        <is>
          <t>입사일(비고)</t>
        </is>
      </c>
      <c r="T2" s="5" t="inlineStr">
        <is>
          <t>표시순번</t>
        </is>
      </c>
      <c r="U2" s="5" t="inlineStr">
        <is>
          <t>입력오류</t>
        </is>
      </c>
    </row>
    <row r="3">
      <c r="B3" s="6" t="n">
        <v>1</v>
      </c>
      <c r="C3" s="6" t="inlineStr">
        <is>
          <t>김ㅇㅇ</t>
        </is>
      </c>
      <c r="D3" s="6" t="n">
        <v>222222</v>
      </c>
      <c r="E3" s="6" t="inlineStr">
        <is>
          <t>구리 안과</t>
        </is>
      </c>
      <c r="F3" s="6" t="inlineStr">
        <is>
          <t>구리 내과</t>
        </is>
      </c>
      <c r="G3" s="6" t="inlineStr">
        <is>
          <t>서울 핵방</t>
        </is>
      </c>
      <c r="H3" s="6" t="inlineStr">
        <is>
          <t>서울 재활의학과</t>
        </is>
      </c>
      <c r="I3" s="6" t="inlineStr">
        <is>
          <t>제주 산부</t>
        </is>
      </c>
      <c r="J3" s="6" t="inlineStr">
        <is>
          <t>서울 소아과</t>
        </is>
      </c>
      <c r="K3" s="6" t="n">
        <v>2026.03</v>
      </c>
      <c r="L3" s="8">
        <f>IF(TRIM(인턴계획표[[#This Row],[사번]]&amp;"")="","","S|"&amp;TRIM(인턴계획표[[#This Row],[사번]]&amp;""))</f>
        <v/>
      </c>
      <c r="M3" s="8">
        <f>IF(TRIM(INDEX(인턴계획표[#This Row],1,4)&amp;"")="","",IFERROR(INDEX(병원약칭표[정식 병원],MATCH(LEFT(TRIM(INDEX(인턴계획표[#This Row],1,4)&amp;""),FIND(" ",TRIM(INDEX(인턴계획표[#This Row],1,4)&amp;""))-1),병원약칭표[표기],0))&amp;" "&amp;INDEX(과약칭표[정식 명칭],MATCH(TRIM(RIGHT(SUBSTITUTE(TRIM(INDEX(인턴계획표[#This Row],1,4)&amp;"")," ",REPT(" ",60)),60)),과약칭표[약칭],0)),"⚠"&amp;TRIM(INDEX(인턴계획표[#This Row],1,4)&amp;"")))</f>
        <v/>
      </c>
      <c r="N3" s="8">
        <f>IF(TRIM(INDEX(인턴계획표[#This Row],1,5)&amp;"")="","",IFERROR(INDEX(병원약칭표[정식 병원],MATCH(LEFT(TRIM(INDEX(인턴계획표[#This Row],1,5)&amp;""),FIND(" ",TRIM(INDEX(인턴계획표[#This Row],1,5)&amp;""))-1),병원약칭표[표기],0))&amp;" "&amp;INDEX(과약칭표[정식 명칭],MATCH(TRIM(RIGHT(SUBSTITUTE(TRIM(INDEX(인턴계획표[#This Row],1,5)&amp;"")," ",REPT(" ",60)),60)),과약칭표[약칭],0)),"⚠"&amp;TRIM(INDEX(인턴계획표[#This Row],1,5)&amp;"")))</f>
        <v/>
      </c>
      <c r="O3" s="8">
        <f>IF(TRIM(INDEX(인턴계획표[#This Row],1,6)&amp;"")="","",IFERROR(INDEX(병원약칭표[정식 병원],MATCH(LEFT(TRIM(INDEX(인턴계획표[#This Row],1,6)&amp;""),FIND(" ",TRIM(INDEX(인턴계획표[#This Row],1,6)&amp;""))-1),병원약칭표[표기],0))&amp;" "&amp;INDEX(과약칭표[정식 명칭],MATCH(TRIM(RIGHT(SUBSTITUTE(TRIM(INDEX(인턴계획표[#This Row],1,6)&amp;"")," ",REPT(" ",60)),60)),과약칭표[약칭],0)),"⚠"&amp;TRIM(INDEX(인턴계획표[#This Row],1,6)&amp;"")))</f>
        <v/>
      </c>
      <c r="P3" s="8">
        <f>IF(TRIM(INDEX(인턴계획표[#This Row],1,7)&amp;"")="","",IFERROR(INDEX(병원약칭표[정식 병원],MATCH(LEFT(TRIM(INDEX(인턴계획표[#This Row],1,7)&amp;""),FIND(" ",TRIM(INDEX(인턴계획표[#This Row],1,7)&amp;""))-1),병원약칭표[표기],0))&amp;" "&amp;INDEX(과약칭표[정식 명칭],MATCH(TRIM(RIGHT(SUBSTITUTE(TRIM(INDEX(인턴계획표[#This Row],1,7)&amp;"")," ",REPT(" ",60)),60)),과약칭표[약칭],0)),"⚠"&amp;TRIM(INDEX(인턴계획표[#This Row],1,7)&amp;"")))</f>
        <v/>
      </c>
      <c r="Q3" s="8">
        <f>IF(TRIM(INDEX(인턴계획표[#This Row],1,8)&amp;"")="","",IFERROR(INDEX(병원약칭표[정식 병원],MATCH(LEFT(TRIM(INDEX(인턴계획표[#This Row],1,8)&amp;""),FIND(" ",TRIM(INDEX(인턴계획표[#This Row],1,8)&amp;""))-1),병원약칭표[표기],0))&amp;" "&amp;INDEX(과약칭표[정식 명칭],MATCH(TRIM(RIGHT(SUBSTITUTE(TRIM(INDEX(인턴계획표[#This Row],1,8)&amp;"")," ",REPT(" ",60)),60)),과약칭표[약칭],0)),"⚠"&amp;TRIM(INDEX(인턴계획표[#This Row],1,8)&amp;"")))</f>
        <v/>
      </c>
      <c r="R3" s="8">
        <f>IF(TRIM(INDEX(인턴계획표[#This Row],1,9)&amp;"")="","",IFERROR(INDEX(병원약칭표[정식 병원],MATCH(LEFT(TRIM(INDEX(인턴계획표[#This Row],1,9)&amp;""),FIND(" ",TRIM(INDEX(인턴계획표[#This Row],1,9)&amp;""))-1),병원약칭표[표기],0))&amp;" "&amp;INDEX(과약칭표[정식 명칭],MATCH(TRIM(RIGHT(SUBSTITUTE(TRIM(INDEX(인턴계획표[#This Row],1,9)&amp;"")," ",REPT(" ",60)),60)),과약칭표[약칭],0)),"⚠"&amp;TRIM(INDEX(인턴계획표[#This Row],1,9)&amp;"")))</f>
        <v/>
      </c>
      <c r="S3" s="10">
        <f>IF(INDEX(인턴계획표[#This Row],1,10)&amp;""="","",IFERROR(IF(AND(INT(VALUE(INDEX(인턴계획표[#This Row],1,10)&amp;""))&gt;=1900,ROUND((VALUE(INDEX(인턴계획표[#This Row],1,10)&amp;"")-INT(VALUE(INDEX(인턴계획표[#This Row],1,10)&amp;"")))*100,0)&gt;=1,ROUND((VALUE(INDEX(인턴계획표[#This Row],1,10)&amp;"")-INT(VALUE(INDEX(인턴계획표[#This Row],1,10)&amp;"")))*100,0)&lt;=12),DATE(INT(VALUE(INDEX(인턴계획표[#This Row],1,10)&amp;"")),ROUND((VALUE(INDEX(인턴계획표[#This Row],1,10)&amp;"")-INT(VALUE(INDEX(인턴계획표[#This Row],1,10)&amp;"")))*100,0),1),INDEX(인턴계획표[#This Row],1,10)&amp;""),INDEX(인턴계획표[#This Row],1,10)&amp;""))</f>
        <v/>
      </c>
      <c r="T3" s="11">
        <f>IF(TRIM(인턴계획표[[#This Row],[이름]]&amp;"")="","",SUMPRODUCT(--(TRIM(INDEX(인턴계획표[이름],1):인턴계획표[[#This Row],[이름]]&amp;"")&lt;&gt;"")))</f>
        <v/>
      </c>
      <c r="U3" s="11">
        <f>COUNTIF(인턴계획표[[#This Row],[정규화1]:[정규화6]],"⚠*")</f>
        <v/>
      </c>
    </row>
    <row r="4">
      <c r="B4" s="6" t="n">
        <v>2</v>
      </c>
      <c r="C4" s="6" t="inlineStr">
        <is>
          <t>이ㅇㅇ</t>
        </is>
      </c>
      <c r="D4" s="6" t="n">
        <v>222223</v>
      </c>
      <c r="E4" s="6" t="inlineStr">
        <is>
          <t>서울 내과</t>
        </is>
      </c>
      <c r="F4" s="6" t="inlineStr">
        <is>
          <t>서울 외과</t>
        </is>
      </c>
      <c r="G4" s="6" t="inlineStr">
        <is>
          <t>구리 통합</t>
        </is>
      </c>
      <c r="H4" s="6" t="inlineStr">
        <is>
          <t>인천 산부인과</t>
        </is>
      </c>
      <c r="I4" s="6" t="inlineStr">
        <is>
          <t>제주 에스중앙 내과</t>
        </is>
      </c>
      <c r="J4" s="6" t="inlineStr">
        <is>
          <t>서울 가정의학과</t>
        </is>
      </c>
      <c r="K4" s="6" t="n">
        <v>2026.03</v>
      </c>
      <c r="L4" s="8">
        <f>IF(TRIM(인턴계획표[[#This Row],[사번]]&amp;"")="","","S|"&amp;TRIM(인턴계획표[[#This Row],[사번]]&amp;""))</f>
        <v/>
      </c>
      <c r="M4" s="8">
        <f>IF(TRIM(INDEX(인턴계획표[#This Row],1,4)&amp;"")="","",IFERROR(INDEX(병원약칭표[정식 병원],MATCH(LEFT(TRIM(INDEX(인턴계획표[#This Row],1,4)&amp;""),FIND(" ",TRIM(INDEX(인턴계획표[#This Row],1,4)&amp;""))-1),병원약칭표[표기],0))&amp;" "&amp;INDEX(과약칭표[정식 명칭],MATCH(TRIM(RIGHT(SUBSTITUTE(TRIM(INDEX(인턴계획표[#This Row],1,4)&amp;"")," ",REPT(" ",60)),60)),과약칭표[약칭],0)),"⚠"&amp;TRIM(INDEX(인턴계획표[#This Row],1,4)&amp;"")))</f>
        <v/>
      </c>
      <c r="N4" s="8">
        <f>IF(TRIM(INDEX(인턴계획표[#This Row],1,5)&amp;"")="","",IFERROR(INDEX(병원약칭표[정식 병원],MATCH(LEFT(TRIM(INDEX(인턴계획표[#This Row],1,5)&amp;""),FIND(" ",TRIM(INDEX(인턴계획표[#This Row],1,5)&amp;""))-1),병원약칭표[표기],0))&amp;" "&amp;INDEX(과약칭표[정식 명칭],MATCH(TRIM(RIGHT(SUBSTITUTE(TRIM(INDEX(인턴계획표[#This Row],1,5)&amp;"")," ",REPT(" ",60)),60)),과약칭표[약칭],0)),"⚠"&amp;TRIM(INDEX(인턴계획표[#This Row],1,5)&amp;"")))</f>
        <v/>
      </c>
      <c r="O4" s="8">
        <f>IF(TRIM(INDEX(인턴계획표[#This Row],1,6)&amp;"")="","",IFERROR(INDEX(병원약칭표[정식 병원],MATCH(LEFT(TRIM(INDEX(인턴계획표[#This Row],1,6)&amp;""),FIND(" ",TRIM(INDEX(인턴계획표[#This Row],1,6)&amp;""))-1),병원약칭표[표기],0))&amp;" "&amp;INDEX(과약칭표[정식 명칭],MATCH(TRIM(RIGHT(SUBSTITUTE(TRIM(INDEX(인턴계획표[#This Row],1,6)&amp;"")," ",REPT(" ",60)),60)),과약칭표[약칭],0)),"⚠"&amp;TRIM(INDEX(인턴계획표[#This Row],1,6)&amp;"")))</f>
        <v/>
      </c>
      <c r="P4" s="8">
        <f>IF(TRIM(INDEX(인턴계획표[#This Row],1,7)&amp;"")="","",IFERROR(INDEX(병원약칭표[정식 병원],MATCH(LEFT(TRIM(INDEX(인턴계획표[#This Row],1,7)&amp;""),FIND(" ",TRIM(INDEX(인턴계획표[#This Row],1,7)&amp;""))-1),병원약칭표[표기],0))&amp;" "&amp;INDEX(과약칭표[정식 명칭],MATCH(TRIM(RIGHT(SUBSTITUTE(TRIM(INDEX(인턴계획표[#This Row],1,7)&amp;"")," ",REPT(" ",60)),60)),과약칭표[약칭],0)),"⚠"&amp;TRIM(INDEX(인턴계획표[#This Row],1,7)&amp;"")))</f>
        <v/>
      </c>
      <c r="Q4" s="8">
        <f>IF(TRIM(INDEX(인턴계획표[#This Row],1,8)&amp;"")="","",IFERROR(INDEX(병원약칭표[정식 병원],MATCH(LEFT(TRIM(INDEX(인턴계획표[#This Row],1,8)&amp;""),FIND(" ",TRIM(INDEX(인턴계획표[#This Row],1,8)&amp;""))-1),병원약칭표[표기],0))&amp;" "&amp;INDEX(과약칭표[정식 명칭],MATCH(TRIM(RIGHT(SUBSTITUTE(TRIM(INDEX(인턴계획표[#This Row],1,8)&amp;"")," ",REPT(" ",60)),60)),과약칭표[약칭],0)),"⚠"&amp;TRIM(INDEX(인턴계획표[#This Row],1,8)&amp;"")))</f>
        <v/>
      </c>
      <c r="R4" s="8">
        <f>IF(TRIM(INDEX(인턴계획표[#This Row],1,9)&amp;"")="","",IFERROR(INDEX(병원약칭표[정식 병원],MATCH(LEFT(TRIM(INDEX(인턴계획표[#This Row],1,9)&amp;""),FIND(" ",TRIM(INDEX(인턴계획표[#This Row],1,9)&amp;""))-1),병원약칭표[표기],0))&amp;" "&amp;INDEX(과약칭표[정식 명칭],MATCH(TRIM(RIGHT(SUBSTITUTE(TRIM(INDEX(인턴계획표[#This Row],1,9)&amp;"")," ",REPT(" ",60)),60)),과약칭표[약칭],0)),"⚠"&amp;TRIM(INDEX(인턴계획표[#This Row],1,9)&amp;"")))</f>
        <v/>
      </c>
      <c r="S4" s="10">
        <f>IF(INDEX(인턴계획표[#This Row],1,10)&amp;""="","",IFERROR(IF(AND(INT(VALUE(INDEX(인턴계획표[#This Row],1,10)&amp;""))&gt;=1900,ROUND((VALUE(INDEX(인턴계획표[#This Row],1,10)&amp;"")-INT(VALUE(INDEX(인턴계획표[#This Row],1,10)&amp;"")))*100,0)&gt;=1,ROUND((VALUE(INDEX(인턴계획표[#This Row],1,10)&amp;"")-INT(VALUE(INDEX(인턴계획표[#This Row],1,10)&amp;"")))*100,0)&lt;=12),DATE(INT(VALUE(INDEX(인턴계획표[#This Row],1,10)&amp;"")),ROUND((VALUE(INDEX(인턴계획표[#This Row],1,10)&amp;"")-INT(VALUE(INDEX(인턴계획표[#This Row],1,10)&amp;"")))*100,0),1),INDEX(인턴계획표[#This Row],1,10)&amp;""),INDEX(인턴계획표[#This Row],1,10)&amp;""))</f>
        <v/>
      </c>
      <c r="T4" s="11">
        <f>IF(TRIM(인턴계획표[[#This Row],[이름]]&amp;"")="","",SUMPRODUCT(--(TRIM(INDEX(인턴계획표[이름],1):인턴계획표[[#This Row],[이름]]&amp;"")&lt;&gt;"")))</f>
        <v/>
      </c>
      <c r="U4" s="11">
        <f>COUNTIF(인턴계획표[[#This Row],[정규화1]:[정규화6]],"⚠*")</f>
        <v/>
      </c>
    </row>
    <row r="5">
      <c r="B5" s="6" t="n">
        <v>3</v>
      </c>
      <c r="C5" s="6" t="inlineStr">
        <is>
          <t>박ㅇㅇ</t>
        </is>
      </c>
      <c r="D5" s="6" t="n">
        <v>222224</v>
      </c>
      <c r="E5" s="6" t="inlineStr">
        <is>
          <t>제주 외과</t>
        </is>
      </c>
      <c r="F5" s="6" t="inlineStr">
        <is>
          <t>서울 내과</t>
        </is>
      </c>
      <c r="G5" s="6" t="inlineStr">
        <is>
          <t>서울 응급</t>
        </is>
      </c>
      <c r="H5" s="6" t="inlineStr">
        <is>
          <t>구리 직피</t>
        </is>
      </c>
      <c r="I5" s="6" t="inlineStr">
        <is>
          <t>서울 정영</t>
        </is>
      </c>
      <c r="J5" s="6" t="inlineStr">
        <is>
          <t>제주 산부</t>
        </is>
      </c>
      <c r="K5" s="6" t="n">
        <v>2026.03</v>
      </c>
      <c r="L5" s="8">
        <f>IF(TRIM(인턴계획표[[#This Row],[사번]]&amp;"")="","","S|"&amp;TRIM(인턴계획표[[#This Row],[사번]]&amp;""))</f>
        <v/>
      </c>
      <c r="M5" s="8">
        <f>IF(TRIM(INDEX(인턴계획표[#This Row],1,4)&amp;"")="","",IFERROR(INDEX(병원약칭표[정식 병원],MATCH(LEFT(TRIM(INDEX(인턴계획표[#This Row],1,4)&amp;""),FIND(" ",TRIM(INDEX(인턴계획표[#This Row],1,4)&amp;""))-1),병원약칭표[표기],0))&amp;" "&amp;INDEX(과약칭표[정식 명칭],MATCH(TRIM(RIGHT(SUBSTITUTE(TRIM(INDEX(인턴계획표[#This Row],1,4)&amp;"")," ",REPT(" ",60)),60)),과약칭표[약칭],0)),"⚠"&amp;TRIM(INDEX(인턴계획표[#This Row],1,4)&amp;"")))</f>
        <v/>
      </c>
      <c r="N5" s="8">
        <f>IF(TRIM(INDEX(인턴계획표[#This Row],1,5)&amp;"")="","",IFERROR(INDEX(병원약칭표[정식 병원],MATCH(LEFT(TRIM(INDEX(인턴계획표[#This Row],1,5)&amp;""),FIND(" ",TRIM(INDEX(인턴계획표[#This Row],1,5)&amp;""))-1),병원약칭표[표기],0))&amp;" "&amp;INDEX(과약칭표[정식 명칭],MATCH(TRIM(RIGHT(SUBSTITUTE(TRIM(INDEX(인턴계획표[#This Row],1,5)&amp;"")," ",REPT(" ",60)),60)),과약칭표[약칭],0)),"⚠"&amp;TRIM(INDEX(인턴계획표[#This Row],1,5)&amp;"")))</f>
        <v/>
      </c>
      <c r="O5" s="8">
        <f>IF(TRIM(INDEX(인턴계획표[#This Row],1,6)&amp;"")="","",IFERROR(INDEX(병원약칭표[정식 병원],MATCH(LEFT(TRIM(INDEX(인턴계획표[#This Row],1,6)&amp;""),FIND(" ",TRIM(INDEX(인턴계획표[#This Row],1,6)&amp;""))-1),병원약칭표[표기],0))&amp;" "&amp;INDEX(과약칭표[정식 명칭],MATCH(TRIM(RIGHT(SUBSTITUTE(TRIM(INDEX(인턴계획표[#This Row],1,6)&amp;"")," ",REPT(" ",60)),60)),과약칭표[약칭],0)),"⚠"&amp;TRIM(INDEX(인턴계획표[#This Row],1,6)&amp;"")))</f>
        <v/>
      </c>
      <c r="P5" s="8">
        <f>IF(TRIM(INDEX(인턴계획표[#This Row],1,7)&amp;"")="","",IFERROR(INDEX(병원약칭표[정식 병원],MATCH(LEFT(TRIM(INDEX(인턴계획표[#This Row],1,7)&amp;""),FIND(" ",TRIM(INDEX(인턴계획표[#This Row],1,7)&amp;""))-1),병원약칭표[표기],0))&amp;" "&amp;INDEX(과약칭표[정식 명칭],MATCH(TRIM(RIGHT(SUBSTITUTE(TRIM(INDEX(인턴계획표[#This Row],1,7)&amp;"")," ",REPT(" ",60)),60)),과약칭표[약칭],0)),"⚠"&amp;TRIM(INDEX(인턴계획표[#This Row],1,7)&amp;"")))</f>
        <v/>
      </c>
      <c r="Q5" s="8">
        <f>IF(TRIM(INDEX(인턴계획표[#This Row],1,8)&amp;"")="","",IFERROR(INDEX(병원약칭표[정식 병원],MATCH(LEFT(TRIM(INDEX(인턴계획표[#This Row],1,8)&amp;""),FIND(" ",TRIM(INDEX(인턴계획표[#This Row],1,8)&amp;""))-1),병원약칭표[표기],0))&amp;" "&amp;INDEX(과약칭표[정식 명칭],MATCH(TRIM(RIGHT(SUBSTITUTE(TRIM(INDEX(인턴계획표[#This Row],1,8)&amp;"")," ",REPT(" ",60)),60)),과약칭표[약칭],0)),"⚠"&amp;TRIM(INDEX(인턴계획표[#This Row],1,8)&amp;"")))</f>
        <v/>
      </c>
      <c r="R5" s="8">
        <f>IF(TRIM(INDEX(인턴계획표[#This Row],1,9)&amp;"")="","",IFERROR(INDEX(병원약칭표[정식 병원],MATCH(LEFT(TRIM(INDEX(인턴계획표[#This Row],1,9)&amp;""),FIND(" ",TRIM(INDEX(인턴계획표[#This Row],1,9)&amp;""))-1),병원약칭표[표기],0))&amp;" "&amp;INDEX(과약칭표[정식 명칭],MATCH(TRIM(RIGHT(SUBSTITUTE(TRIM(INDEX(인턴계획표[#This Row],1,9)&amp;"")," ",REPT(" ",60)),60)),과약칭표[약칭],0)),"⚠"&amp;TRIM(INDEX(인턴계획표[#This Row],1,9)&amp;"")))</f>
        <v/>
      </c>
      <c r="S5" s="10">
        <f>IF(INDEX(인턴계획표[#This Row],1,10)&amp;""="","",IFERROR(IF(AND(INT(VALUE(INDEX(인턴계획표[#This Row],1,10)&amp;""))&gt;=1900,ROUND((VALUE(INDEX(인턴계획표[#This Row],1,10)&amp;"")-INT(VALUE(INDEX(인턴계획표[#This Row],1,10)&amp;"")))*100,0)&gt;=1,ROUND((VALUE(INDEX(인턴계획표[#This Row],1,10)&amp;"")-INT(VALUE(INDEX(인턴계획표[#This Row],1,10)&amp;"")))*100,0)&lt;=12),DATE(INT(VALUE(INDEX(인턴계획표[#This Row],1,10)&amp;"")),ROUND((VALUE(INDEX(인턴계획표[#This Row],1,10)&amp;"")-INT(VALUE(INDEX(인턴계획표[#This Row],1,10)&amp;"")))*100,0),1),INDEX(인턴계획표[#This Row],1,10)&amp;""),INDEX(인턴계획표[#This Row],1,10)&amp;""))</f>
        <v/>
      </c>
      <c r="T5" s="11">
        <f>IF(TRIM(인턴계획표[[#This Row],[이름]]&amp;"")="","",SUMPRODUCT(--(TRIM(INDEX(인턴계획표[이름],1):인턴계획표[[#This Row],[이름]]&amp;"")&lt;&gt;"")))</f>
        <v/>
      </c>
      <c r="U5" s="11">
        <f>COUNTIF(인턴계획표[[#This Row],[정규화1]:[정규화6]],"⚠*")</f>
        <v/>
      </c>
    </row>
  </sheetData>
  <mergeCells count="1">
    <mergeCell ref="B1:K1"/>
  </mergeCells>
  <conditionalFormatting sqref="E3:J1048576">
    <cfRule type="expression" priority="1" dxfId="0">
      <formula>COUNTIF($M3:$R3,"⚠"&amp;TRIM(E3))&gt;0</formula>
    </cfRule>
  </conditionalFormatting>
  <conditionalFormatting sqref="M3:R1048576">
    <cfRule type="expression" priority="2" dxfId="1">
      <formula>LEFT(M3,1)="⚠"</formula>
    </cfRule>
  </conditionalFormatting>
  <dataValidations count="1">
    <dataValidation sqref="E3:J1048576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설정_코드표'에 추가한 뒤 다시 입력하세요." type="custom" errorStyle="stop">
      <formula1>OR(TRIM(E3)="",AND(ISNUMBER(FIND(" ",TRIM(E3))),COUNTIF(병원표기목록,LEFT(TRIM(E3),FIND(" ",TRIM(E3))-1))&gt;0,COUNTIF(과약칭목록,TRIM(RIGHT(SUBSTITUTE(TRIM(E3)," ",REPT(" ",60)),60)))&gt;0))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BV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4" t="inlineStr">
        <is>
          <t>소속</t>
        </is>
      </c>
      <c r="B3" s="4" t="inlineStr">
        <is>
          <t>년차</t>
        </is>
      </c>
      <c r="C3" s="4" t="inlineStr">
        <is>
          <t>2026년9월
근무예정자</t>
        </is>
      </c>
      <c r="D3" s="4" t="inlineStr">
        <is>
          <t>9월
근무자</t>
        </is>
      </c>
      <c r="E3" s="4" t="inlineStr">
        <is>
          <t>근무 시작일자
(시작일자 작성)</t>
        </is>
      </c>
      <c r="F3" s="4" t="inlineStr">
        <is>
          <t>근무 종료일자
(종료일자 작성)</t>
        </is>
      </c>
      <c r="G3" s="4" t="inlineStr">
        <is>
          <t>9월 휴가 스케줄
(휴가일 작성)</t>
        </is>
      </c>
      <c r="H3" s="4" t="inlineStr">
        <is>
          <t>비고</t>
        </is>
      </c>
      <c r="I3" s="4" t="inlineStr">
        <is>
          <t>2026년10월
근무예정자</t>
        </is>
      </c>
      <c r="J3" s="4" t="inlineStr">
        <is>
          <t>10월
근무자</t>
        </is>
      </c>
      <c r="K3" s="4" t="inlineStr">
        <is>
          <t>근무 시작일자
(시작일자 작성)</t>
        </is>
      </c>
      <c r="L3" s="4" t="inlineStr">
        <is>
          <t>근무 종료일자
(종료일자 작성)</t>
        </is>
      </c>
      <c r="M3" s="4" t="inlineStr">
        <is>
          <t>10월 휴가 스케줄
(휴가일 작성)</t>
        </is>
      </c>
      <c r="N3" s="4" t="inlineStr">
        <is>
          <t>비고</t>
        </is>
      </c>
      <c r="O3" s="4" t="inlineStr">
        <is>
          <t>2026년11월
근무예정자</t>
        </is>
      </c>
      <c r="P3" s="4" t="inlineStr">
        <is>
          <t>11월
근무자</t>
        </is>
      </c>
      <c r="Q3" s="4" t="inlineStr">
        <is>
          <t>근무 시작일자
(시작일자 작성)</t>
        </is>
      </c>
      <c r="R3" s="4" t="inlineStr">
        <is>
          <t>근무 종료일자
(종료일자 작성)</t>
        </is>
      </c>
      <c r="S3" s="4" t="inlineStr">
        <is>
          <t>11월 휴가 스케줄
(휴가일 작성)</t>
        </is>
      </c>
      <c r="T3" s="4" t="inlineStr">
        <is>
          <t>비고</t>
        </is>
      </c>
      <c r="U3" s="4" t="inlineStr">
        <is>
          <t>2026년12월
근무예정자</t>
        </is>
      </c>
      <c r="V3" s="4" t="inlineStr">
        <is>
          <t>12월
근무자</t>
        </is>
      </c>
      <c r="W3" s="4" t="inlineStr">
        <is>
          <t>근무 시작일자
(시작일자 작성)</t>
        </is>
      </c>
      <c r="X3" s="4" t="inlineStr">
        <is>
          <t>근무 종료일자
(종료일자 작성)</t>
        </is>
      </c>
      <c r="Y3" s="4" t="inlineStr">
        <is>
          <t>12월 휴가 스케줄
(휴가일 작성)</t>
        </is>
      </c>
      <c r="Z3" s="4" t="inlineStr">
        <is>
          <t>비고</t>
        </is>
      </c>
      <c r="AA3" s="4" t="inlineStr">
        <is>
          <t>2027년1월
근무예정자</t>
        </is>
      </c>
      <c r="AB3" s="4" t="inlineStr">
        <is>
          <t>1월
근무자</t>
        </is>
      </c>
      <c r="AC3" s="4" t="inlineStr">
        <is>
          <t>근무 시작일자
(시작일자 작성)</t>
        </is>
      </c>
      <c r="AD3" s="4" t="inlineStr">
        <is>
          <t>근무 종료일자
(종료일자 작성)</t>
        </is>
      </c>
      <c r="AE3" s="4" t="inlineStr">
        <is>
          <t>1월 휴가 스케줄
(휴가일 작성)</t>
        </is>
      </c>
      <c r="AF3" s="4" t="inlineStr">
        <is>
          <t>비고</t>
        </is>
      </c>
      <c r="AG3" s="4" t="inlineStr">
        <is>
          <t>2027년2월
근무예정자</t>
        </is>
      </c>
      <c r="AH3" s="4" t="inlineStr">
        <is>
          <t>2월
근무자</t>
        </is>
      </c>
      <c r="AI3" s="4" t="inlineStr">
        <is>
          <t>근무 시작일자
(시작일자 작성)</t>
        </is>
      </c>
      <c r="AJ3" s="4" t="inlineStr">
        <is>
          <t>근무 종료일자
(종료일자 작성)</t>
        </is>
      </c>
      <c r="AK3" s="4" t="inlineStr">
        <is>
          <t>2월 휴가 스케줄
(휴가일 작성)</t>
        </is>
      </c>
      <c r="AL3" s="4" t="inlineStr">
        <is>
          <t>비고</t>
        </is>
      </c>
      <c r="AM3" s="4" t="inlineStr">
        <is>
          <t>2027년3월
근무예정자</t>
        </is>
      </c>
      <c r="AN3" s="4" t="inlineStr">
        <is>
          <t>3월
근무자</t>
        </is>
      </c>
      <c r="AO3" s="4" t="inlineStr">
        <is>
          <t>근무 시작일자
(시작일자 작성)</t>
        </is>
      </c>
      <c r="AP3" s="4" t="inlineStr">
        <is>
          <t>근무 종료일자
(종료일자 작성)</t>
        </is>
      </c>
      <c r="AQ3" s="4" t="inlineStr">
        <is>
          <t>3월 휴가 스케줄
(휴가일 작성)</t>
        </is>
      </c>
      <c r="AR3" s="4" t="inlineStr">
        <is>
          <t>비고</t>
        </is>
      </c>
      <c r="AS3" s="4" t="inlineStr">
        <is>
          <t>2027년4월
근무예정자</t>
        </is>
      </c>
      <c r="AT3" s="4" t="inlineStr">
        <is>
          <t>4월
근무자</t>
        </is>
      </c>
      <c r="AU3" s="4" t="inlineStr">
        <is>
          <t>근무 시작일자
(시작일자 작성)</t>
        </is>
      </c>
      <c r="AV3" s="4" t="inlineStr">
        <is>
          <t>근무 종료일자
(종료일자 작성)</t>
        </is>
      </c>
      <c r="AW3" s="4" t="inlineStr">
        <is>
          <t>4월 휴가 스케줄
(휴가일 작성)</t>
        </is>
      </c>
      <c r="AX3" s="4" t="inlineStr">
        <is>
          <t>비고</t>
        </is>
      </c>
      <c r="AY3" s="4" t="inlineStr">
        <is>
          <t>2027년5월
근무예정자</t>
        </is>
      </c>
      <c r="AZ3" s="4" t="inlineStr">
        <is>
          <t>5월
근무자</t>
        </is>
      </c>
      <c r="BA3" s="4" t="inlineStr">
        <is>
          <t>근무 시작일자
(시작일자 작성)</t>
        </is>
      </c>
      <c r="BB3" s="4" t="inlineStr">
        <is>
          <t>근무 종료일자
(종료일자 작성)</t>
        </is>
      </c>
      <c r="BC3" s="4" t="inlineStr">
        <is>
          <t>5월 휴가 스케줄
(휴가일 작성)</t>
        </is>
      </c>
      <c r="BD3" s="4" t="inlineStr">
        <is>
          <t>비고</t>
        </is>
      </c>
      <c r="BE3" s="4" t="inlineStr">
        <is>
          <t>2027년6월
근무예정자</t>
        </is>
      </c>
      <c r="BF3" s="4" t="inlineStr">
        <is>
          <t>6월
근무자</t>
        </is>
      </c>
      <c r="BG3" s="4" t="inlineStr">
        <is>
          <t>근무 시작일자
(시작일자 작성)</t>
        </is>
      </c>
      <c r="BH3" s="4" t="inlineStr">
        <is>
          <t>근무 종료일자
(종료일자 작성)</t>
        </is>
      </c>
      <c r="BI3" s="4" t="inlineStr">
        <is>
          <t>6월 휴가 스케줄
(휴가일 작성)</t>
        </is>
      </c>
      <c r="BJ3" s="4" t="inlineStr">
        <is>
          <t>비고</t>
        </is>
      </c>
      <c r="BK3" s="4" t="inlineStr">
        <is>
          <t>2027년7월
근무예정자</t>
        </is>
      </c>
      <c r="BL3" s="4" t="inlineStr">
        <is>
          <t>7월
근무자</t>
        </is>
      </c>
      <c r="BM3" s="4" t="inlineStr">
        <is>
          <t>근무 시작일자
(시작일자 작성)</t>
        </is>
      </c>
      <c r="BN3" s="4" t="inlineStr">
        <is>
          <t>근무 종료일자
(종료일자 작성)</t>
        </is>
      </c>
      <c r="BO3" s="4" t="inlineStr">
        <is>
          <t>7월 휴가 스케줄
(휴가일 작성)</t>
        </is>
      </c>
      <c r="BP3" s="4" t="inlineStr">
        <is>
          <t>비고</t>
        </is>
      </c>
      <c r="BQ3" s="4" t="inlineStr">
        <is>
          <t>2027년8월
근무예정자</t>
        </is>
      </c>
      <c r="BR3" s="4" t="inlineStr">
        <is>
          <t>8월
근무자</t>
        </is>
      </c>
      <c r="BS3" s="4" t="inlineStr">
        <is>
          <t>근무 시작일자
(시작일자 작성)</t>
        </is>
      </c>
      <c r="BT3" s="4" t="inlineStr">
        <is>
          <t>근무 종료일자
(종료일자 작성)</t>
        </is>
      </c>
      <c r="BU3" s="4" t="inlineStr">
        <is>
          <t>8월 휴가 스케줄
(휴가일 작성)</t>
        </is>
      </c>
      <c r="BV3" s="4" t="inlineStr">
        <is>
          <t>비고</t>
        </is>
      </c>
    </row>
    <row r="4">
      <c r="A4" s="12" t="inlineStr">
        <is>
          <t>내과</t>
        </is>
      </c>
      <c r="B4" s="12" t="n">
        <v>3</v>
      </c>
      <c r="C4" s="12" t="inlineStr">
        <is>
          <t>박ㅇㅇ</t>
        </is>
      </c>
      <c r="I4" s="12" t="inlineStr">
        <is>
          <t>박ㅇㅇ</t>
        </is>
      </c>
      <c r="J4" s="12" t="inlineStr">
        <is>
          <t>박ㅇㅇ</t>
        </is>
      </c>
      <c r="K4" s="12" t="inlineStr">
        <is>
          <t>2026.10.01</t>
        </is>
      </c>
      <c r="L4" s="12" t="inlineStr">
        <is>
          <t>2026.10.31</t>
        </is>
      </c>
    </row>
    <row r="5">
      <c r="A5" s="12" t="inlineStr">
        <is>
          <t>가정의학과</t>
        </is>
      </c>
      <c r="B5" s="12" t="n">
        <v>1</v>
      </c>
      <c r="I5" s="12" t="inlineStr">
        <is>
          <t>김ㅇㅇ</t>
        </is>
      </c>
      <c r="J5" s="12" t="inlineStr">
        <is>
          <t>김ㅇㅇ</t>
        </is>
      </c>
      <c r="K5" s="12" t="inlineStr">
        <is>
          <t>2026.10.21</t>
        </is>
      </c>
      <c r="L5" s="12" t="inlineStr">
        <is>
          <t>2026.10.31</t>
        </is>
      </c>
    </row>
    <row r="6">
      <c r="A6" s="12" t="inlineStr">
        <is>
          <t>마취통증의학과</t>
        </is>
      </c>
      <c r="B6" s="12" t="n">
        <v>2</v>
      </c>
      <c r="C6" s="12" t="inlineStr">
        <is>
          <t>정ㅇㅇ</t>
        </is>
      </c>
      <c r="H6" s="12" t="inlineStr">
        <is>
          <t>구리독자</t>
        </is>
      </c>
      <c r="I6" s="12" t="inlineStr">
        <is>
          <t>정ㅇㅇ</t>
        </is>
      </c>
      <c r="J6" s="12" t="inlineStr">
        <is>
          <t>정ㅇㅇ</t>
        </is>
      </c>
      <c r="K6" s="12" t="inlineStr">
        <is>
          <t>2026.10.01</t>
        </is>
      </c>
      <c r="L6" s="12" t="inlineStr">
        <is>
          <t>2026.10.17</t>
        </is>
      </c>
      <c r="N6" s="12" t="inlineStr">
        <is>
          <t>구리독자</t>
        </is>
      </c>
    </row>
    <row r="7">
      <c r="A7" s="12" t="inlineStr">
        <is>
          <t>외과</t>
        </is>
      </c>
      <c r="B7" s="12" t="n">
        <v>1</v>
      </c>
      <c r="C7" s="12" t="inlineStr">
        <is>
          <t>홍ㅇㅇ</t>
        </is>
      </c>
      <c r="H7" s="12" t="inlineStr">
        <is>
          <t>구리독자</t>
        </is>
      </c>
      <c r="I7" s="12" t="inlineStr">
        <is>
          <t>홍ㅇㅇ</t>
        </is>
      </c>
      <c r="J7" s="12" t="inlineStr">
        <is>
          <t>홍ㅇㅇ</t>
        </is>
      </c>
      <c r="K7" s="12" t="inlineStr">
        <is>
          <t>2026.10.01</t>
        </is>
      </c>
      <c r="L7" s="12" t="inlineStr">
        <is>
          <t>2026.10.31</t>
        </is>
      </c>
      <c r="N7" s="12" t="inlineStr">
        <is>
          <t>구리독자</t>
        </is>
      </c>
    </row>
    <row r="8">
      <c r="A8" s="12" t="inlineStr">
        <is>
          <t>수련교육부</t>
        </is>
      </c>
      <c r="B8" s="12" t="inlineStr">
        <is>
          <t>인턴</t>
        </is>
      </c>
      <c r="I8" s="12" t="inlineStr">
        <is>
          <t>김ㅇㅇ</t>
        </is>
      </c>
      <c r="J8" s="12" t="inlineStr">
        <is>
          <t>김ㅇㅇ</t>
        </is>
      </c>
      <c r="K8" s="12" t="inlineStr">
        <is>
          <t>2026.10.01</t>
        </is>
      </c>
      <c r="L8" s="12" t="inlineStr">
        <is>
          <t>2026.10.31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K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5" customWidth="1" min="4" max="4"/>
    <col width="11" customWidth="1" min="5" max="5"/>
    <col width="13" customWidth="1" min="6" max="6"/>
    <col width="10" customWidth="1" min="7" max="7"/>
    <col width="8" customWidth="1" min="8" max="8"/>
    <col width="11" customWidth="1" min="9" max="9"/>
    <col width="12" customWidth="1" min="10" max="10"/>
    <col width="11" customWidth="1" min="11" max="11"/>
    <col width="8" customWidth="1" min="12" max="12"/>
    <col width="10" customWidth="1" min="13" max="13"/>
    <col width="11" customWidth="1" min="14" max="14"/>
    <col width="14" customWidth="1" min="15" max="15"/>
    <col width="11" customWidth="1" min="16" max="16"/>
    <col width="11" customWidth="1" min="17" max="17"/>
    <col width="8" customWidth="1" min="18" max="18"/>
    <col width="9" customWidth="1" min="19" max="19"/>
    <col width="9" customWidth="1" min="20" max="20"/>
    <col width="13" customWidth="1" min="21" max="21"/>
    <col width="30" customWidth="1" min="22" max="22"/>
    <col width="26" customWidth="1" min="23" max="23"/>
    <col width="16" customWidth="1" min="24" max="24"/>
    <col width="8" customWidth="1" min="25" max="25"/>
    <col width="14" customWidth="1" min="26" max="26"/>
    <col width="8" customWidth="1" min="27" max="27"/>
    <col width="15" customWidth="1" min="28" max="28"/>
    <col width="15" customWidth="1" min="29" max="29"/>
    <col width="10" customWidth="1" min="30" max="30"/>
    <col width="10" customWidth="1" min="31" max="31"/>
    <col width="7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</cols>
  <sheetData>
    <row r="1" ht="42" customHeight="1">
      <c r="A1" s="5" t="inlineStr">
        <is>
          <t>번호</t>
        </is>
      </c>
      <c r="B1" s="4" t="inlineStr">
        <is>
          <t>사번</t>
        </is>
      </c>
      <c r="C1" s="5" t="inlineStr">
        <is>
          <t>이름</t>
        </is>
      </c>
      <c r="D1" s="5" t="inlineStr">
        <is>
          <t>성별</t>
        </is>
      </c>
      <c r="E1" s="5" t="inlineStr">
        <is>
          <t>생년월일</t>
        </is>
      </c>
      <c r="F1" s="5" t="inlineStr">
        <is>
          <t>수련과목</t>
        </is>
      </c>
      <c r="G1" s="5" t="inlineStr">
        <is>
          <t>연차</t>
        </is>
      </c>
      <c r="H1" s="5" t="inlineStr">
        <is>
          <t>근무지</t>
        </is>
      </c>
      <c r="I1" s="5" t="inlineStr">
        <is>
          <t>수련개시일</t>
        </is>
      </c>
      <c r="J1" s="5" t="inlineStr">
        <is>
          <t>전공의등록번호</t>
        </is>
      </c>
      <c r="K1" s="5" t="inlineStr">
        <is>
          <t>의사면허번호</t>
        </is>
      </c>
      <c r="L1" s="5" t="inlineStr">
        <is>
          <t>재직여부</t>
        </is>
      </c>
      <c r="M1" s="4" t="inlineStr">
        <is>
          <t>입사장소</t>
        </is>
      </c>
      <c r="N1" s="5" t="inlineStr">
        <is>
          <t>현재 근무병원</t>
        </is>
      </c>
      <c r="O1" s="5" t="inlineStr">
        <is>
          <t>현재 진료과</t>
        </is>
      </c>
      <c r="P1" s="5" t="inlineStr">
        <is>
          <t>구리 근무 시작일(기준월)</t>
        </is>
      </c>
      <c r="Q1" s="5" t="inlineStr">
        <is>
          <t>구리 근무 종료일(기준월)</t>
        </is>
      </c>
      <c r="R1" s="5" t="inlineStr">
        <is>
          <t>구리독자</t>
        </is>
      </c>
      <c r="S1" s="5" t="inlineStr">
        <is>
          <t>서울 근무일(기준월)</t>
        </is>
      </c>
      <c r="T1" s="5" t="inlineStr">
        <is>
          <t>구리 근무일(기준월)</t>
        </is>
      </c>
      <c r="U1" s="5" t="inlineStr">
        <is>
          <t>급여지급병원(기준월)</t>
        </is>
      </c>
      <c r="V1" s="5" t="inlineStr">
        <is>
          <t>급여 판정 근거</t>
        </is>
      </c>
      <c r="W1" s="5" t="inlineStr">
        <is>
          <t>점검</t>
        </is>
      </c>
      <c r="X1" s="4" t="inlineStr">
        <is>
          <t>비고</t>
        </is>
      </c>
      <c r="Y1" s="5" t="inlineStr">
        <is>
          <t>기본자료행</t>
        </is>
      </c>
      <c r="Z1" s="5" t="inlineStr">
        <is>
          <t>이름|과</t>
        </is>
      </c>
      <c r="AA1" s="5" t="inlineStr">
        <is>
          <t>인턴계획행</t>
        </is>
      </c>
      <c r="AB1" s="5" t="inlineStr">
        <is>
          <t>인턴 이번달</t>
        </is>
      </c>
      <c r="AC1" s="5" t="inlineStr">
        <is>
          <t>인턴 기준월</t>
        </is>
      </c>
      <c r="AD1" s="5" t="inlineStr">
        <is>
          <t>소속병원</t>
        </is>
      </c>
      <c r="AE1" s="5" t="inlineStr">
        <is>
          <t>기준월 근무병원</t>
        </is>
      </c>
      <c r="AF1" s="5" t="inlineStr">
        <is>
          <t>구리행</t>
        </is>
      </c>
      <c r="AG1" s="5" t="inlineStr">
        <is>
          <t>구리명단 근무일</t>
        </is>
      </c>
      <c r="AH1" s="5" t="inlineStr">
        <is>
          <t>구리 근무 중</t>
        </is>
      </c>
      <c r="AI1" s="5" t="inlineStr">
        <is>
          <t>서울순번</t>
        </is>
      </c>
      <c r="AJ1" s="5" t="inlineStr">
        <is>
          <t>판정불가순번</t>
        </is>
      </c>
      <c r="AK1" s="5" t="inlineStr">
        <is>
          <t>명단순번</t>
        </is>
      </c>
    </row>
    <row r="2">
      <c r="A2" s="8">
        <f>ROW()-ROW(명단표[#Headers])</f>
        <v/>
      </c>
      <c r="B2" s="7" t="inlineStr">
        <is>
          <t>2261212</t>
        </is>
      </c>
      <c r="C2" s="8">
        <f>IF(명단표[[#This Row],[기본자료행]]="","",IF(INDEX(기본자료표[이름],명단표[[#This Row],[기본자료행]])="","",INDEX(기본자료표[이름],명단표[[#This Row],[기본자료행]])))</f>
        <v/>
      </c>
      <c r="D2" s="8">
        <f>IF(명단표[[#This Row],[기본자료행]]="","",IF(INDEX(기본자료표[성별],명단표[[#This Row],[기본자료행]])="","",INDEX(기본자료표[성별],명단표[[#This Row],[기본자료행]])))</f>
        <v/>
      </c>
      <c r="E2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2" s="8">
        <f>IF(명단표[[#This Row],[기본자료행]]="","",IF(INDEX(기본자료표[수련과목],명단표[[#This Row],[기본자료행]])="","",INDEX(기본자료표[수련과목],명단표[[#This Row],[기본자료행]])))</f>
        <v/>
      </c>
      <c r="G2" s="8">
        <f>IF(명단표[[#This Row],[기본자료행]]="","",IF(INDEX(기본자료표[연차],명단표[[#This Row],[기본자료행]])="","",INDEX(기본자료표[연차],명단표[[#This Row],[기본자료행]])))</f>
        <v/>
      </c>
      <c r="H2" s="8">
        <f>IF(명단표[[#This Row],[기본자료행]]="","",IF(INDEX(기본자료표[근무지],명단표[[#This Row],[기본자료행]])="","",INDEX(기본자료표[근무지],명단표[[#This Row],[기본자료행]])))</f>
        <v/>
      </c>
      <c r="I2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2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2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2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2" s="6" t="inlineStr">
        <is>
          <t>서울병원</t>
        </is>
      </c>
      <c r="N2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2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2" s="8">
        <f>IF(명단표[[#This Row],[구리행]]="","",INDEX(구리_시작,명단표[[#This Row],[구리행]]))</f>
        <v/>
      </c>
      <c r="Q2" s="8">
        <f>IF(명단표[[#This Row],[구리행]]="","",INDEX(구리_종료,명단표[[#This Row],[구리행]]))</f>
        <v/>
      </c>
      <c r="R2" s="8">
        <f>IF(명단표[[#This Row],[구리행]]="","",INDEX(구리_독자,명단표[[#This Row],[구리행]]))</f>
        <v/>
      </c>
      <c r="S2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2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2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2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2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2" s="6" t="inlineStr">
        <is>
          <t>예시 데이터</t>
        </is>
      </c>
      <c r="Y2" s="8">
        <f>IF(NOT(TRIM(명단표[[#This Row],[사번]]&amp;"")&lt;&gt;""),"",IFERROR(MATCH("S|"&amp;TRIM(명단표[[#This Row],[사번]]&amp;""),기본자료표[사번키],0),""))</f>
        <v/>
      </c>
      <c r="Z2" s="8">
        <f>IF(명단표[[#This Row],[이름]]="","",명단표[[#This Row],[이름]]&amp;"|"&amp;명단표[[#This Row],[수련과목]])</f>
        <v/>
      </c>
      <c r="AA2" s="8">
        <f>IF(NOT(TRIM(명단표[[#This Row],[사번]]&amp;"")&lt;&gt;""),"",IFERROR(MATCH("S|"&amp;TRIM(명단표[[#This Row],[사번]]&amp;""),인턴계획표[사번키],0),""))</f>
        <v/>
      </c>
      <c r="AB2" s="8">
        <f>IF(OR(명단표[[#This Row],[인턴계획행]]="",인턴위치_이번=""),"",INDEX(인턴계획표[[정규화1]:[정규화6]],명단표[[#This Row],[인턴계획행]],인턴위치_이번)&amp;"")</f>
        <v/>
      </c>
      <c r="AC2" s="8">
        <f>IF(OR(명단표[[#This Row],[인턴계획행]]="",인턴위치_기준월=""),"",INDEX(인턴계획표[[정규화1]:[정규화6]],명단표[[#This Row],[인턴계획행]],인턴위치_기준월)&amp;"")</f>
        <v/>
      </c>
      <c r="AD2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2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2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2" s="11">
        <f>IF(명단표[[#This Row],[구리행]]="","",INDEX(구리_근무일,명단표[[#This Row],[구리행]]))</f>
        <v/>
      </c>
      <c r="AH2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2" s="11">
        <f>IF(명단표[[#This Row],[급여지급병원(기준월)]]="서울병원",COUNTIF(INDEX(명단표[급여지급병원(기준월)],1):명단표[[#This Row],[급여지급병원(기준월)]],"서울병원"),"")</f>
        <v/>
      </c>
      <c r="AJ2" s="11">
        <f>IF(LEFT(명단표[[#This Row],[급여지급병원(기준월)]],1)="⚠",COUNTIF(INDEX(명단표[급여지급병원(기준월)],1):명단표[[#This Row],[급여지급병원(기준월)]],"⚠*"),"")</f>
        <v/>
      </c>
      <c r="AK2" s="11">
        <f>IF(NOT(TRIM(명단표[[#This Row],[사번]]&amp;"")&lt;&gt;""),"",SUMPRODUCT(--(TRIM(INDEX(명단표[사번],1):명단표[[#This Row],[사번]]&amp;"")&lt;&gt;"")))</f>
        <v/>
      </c>
    </row>
    <row r="3">
      <c r="A3" s="8">
        <f>ROW()-ROW(명단표[#Headers])</f>
        <v/>
      </c>
      <c r="B3" s="7" t="inlineStr">
        <is>
          <t>2261213</t>
        </is>
      </c>
      <c r="C3" s="8">
        <f>IF(명단표[[#This Row],[기본자료행]]="","",IF(INDEX(기본자료표[이름],명단표[[#This Row],[기본자료행]])="","",INDEX(기본자료표[이름],명단표[[#This Row],[기본자료행]])))</f>
        <v/>
      </c>
      <c r="D3" s="8">
        <f>IF(명단표[[#This Row],[기본자료행]]="","",IF(INDEX(기본자료표[성별],명단표[[#This Row],[기본자료행]])="","",INDEX(기본자료표[성별],명단표[[#This Row],[기본자료행]])))</f>
        <v/>
      </c>
      <c r="E3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3" s="8">
        <f>IF(명단표[[#This Row],[기본자료행]]="","",IF(INDEX(기본자료표[수련과목],명단표[[#This Row],[기본자료행]])="","",INDEX(기본자료표[수련과목],명단표[[#This Row],[기본자료행]])))</f>
        <v/>
      </c>
      <c r="G3" s="8">
        <f>IF(명단표[[#This Row],[기본자료행]]="","",IF(INDEX(기본자료표[연차],명단표[[#This Row],[기본자료행]])="","",INDEX(기본자료표[연차],명단표[[#This Row],[기본자료행]])))</f>
        <v/>
      </c>
      <c r="H3" s="8">
        <f>IF(명단표[[#This Row],[기본자료행]]="","",IF(INDEX(기본자료표[근무지],명단표[[#This Row],[기본자료행]])="","",INDEX(기본자료표[근무지],명단표[[#This Row],[기본자료행]])))</f>
        <v/>
      </c>
      <c r="I3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3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3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3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3" s="6" t="inlineStr">
        <is>
          <t>서울병원</t>
        </is>
      </c>
      <c r="N3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3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3" s="8">
        <f>IF(명단표[[#This Row],[구리행]]="","",INDEX(구리_시작,명단표[[#This Row],[구리행]]))</f>
        <v/>
      </c>
      <c r="Q3" s="8">
        <f>IF(명단표[[#This Row],[구리행]]="","",INDEX(구리_종료,명단표[[#This Row],[구리행]]))</f>
        <v/>
      </c>
      <c r="R3" s="8">
        <f>IF(명단표[[#This Row],[구리행]]="","",INDEX(구리_독자,명단표[[#This Row],[구리행]]))</f>
        <v/>
      </c>
      <c r="S3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3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3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3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3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3" s="6" t="inlineStr">
        <is>
          <t>예시 데이터</t>
        </is>
      </c>
      <c r="Y3" s="8">
        <f>IF(NOT(TRIM(명단표[[#This Row],[사번]]&amp;"")&lt;&gt;""),"",IFERROR(MATCH("S|"&amp;TRIM(명단표[[#This Row],[사번]]&amp;""),기본자료표[사번키],0),""))</f>
        <v/>
      </c>
      <c r="Z3" s="8">
        <f>IF(명단표[[#This Row],[이름]]="","",명단표[[#This Row],[이름]]&amp;"|"&amp;명단표[[#This Row],[수련과목]])</f>
        <v/>
      </c>
      <c r="AA3" s="8">
        <f>IF(NOT(TRIM(명단표[[#This Row],[사번]]&amp;"")&lt;&gt;""),"",IFERROR(MATCH("S|"&amp;TRIM(명단표[[#This Row],[사번]]&amp;""),인턴계획표[사번키],0),""))</f>
        <v/>
      </c>
      <c r="AB3" s="8">
        <f>IF(OR(명단표[[#This Row],[인턴계획행]]="",인턴위치_이번=""),"",INDEX(인턴계획표[[정규화1]:[정규화6]],명단표[[#This Row],[인턴계획행]],인턴위치_이번)&amp;"")</f>
        <v/>
      </c>
      <c r="AC3" s="8">
        <f>IF(OR(명단표[[#This Row],[인턴계획행]]="",인턴위치_기준월=""),"",INDEX(인턴계획표[[정규화1]:[정규화6]],명단표[[#This Row],[인턴계획행]],인턴위치_기준월)&amp;"")</f>
        <v/>
      </c>
      <c r="AD3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3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3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3" s="11">
        <f>IF(명단표[[#This Row],[구리행]]="","",INDEX(구리_근무일,명단표[[#This Row],[구리행]]))</f>
        <v/>
      </c>
      <c r="AH3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3" s="11">
        <f>IF(명단표[[#This Row],[급여지급병원(기준월)]]="서울병원",COUNTIF(INDEX(명단표[급여지급병원(기준월)],1):명단표[[#This Row],[급여지급병원(기준월)]],"서울병원"),"")</f>
        <v/>
      </c>
      <c r="AJ3" s="11">
        <f>IF(LEFT(명단표[[#This Row],[급여지급병원(기준월)]],1)="⚠",COUNTIF(INDEX(명단표[급여지급병원(기준월)],1):명단표[[#This Row],[급여지급병원(기준월)]],"⚠*"),"")</f>
        <v/>
      </c>
      <c r="AK3" s="11">
        <f>IF(NOT(TRIM(명단표[[#This Row],[사번]]&amp;"")&lt;&gt;""),"",SUMPRODUCT(--(TRIM(INDEX(명단표[사번],1):명단표[[#This Row],[사번]]&amp;"")&lt;&gt;"")))</f>
        <v/>
      </c>
    </row>
    <row r="4">
      <c r="A4" s="8">
        <f>ROW()-ROW(명단표[#Headers])</f>
        <v/>
      </c>
      <c r="B4" s="7" t="inlineStr">
        <is>
          <t>2261214</t>
        </is>
      </c>
      <c r="C4" s="8">
        <f>IF(명단표[[#This Row],[기본자료행]]="","",IF(INDEX(기본자료표[이름],명단표[[#This Row],[기본자료행]])="","",INDEX(기본자료표[이름],명단표[[#This Row],[기본자료행]])))</f>
        <v/>
      </c>
      <c r="D4" s="8">
        <f>IF(명단표[[#This Row],[기본자료행]]="","",IF(INDEX(기본자료표[성별],명단표[[#This Row],[기본자료행]])="","",INDEX(기본자료표[성별],명단표[[#This Row],[기본자료행]])))</f>
        <v/>
      </c>
      <c r="E4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4" s="8">
        <f>IF(명단표[[#This Row],[기본자료행]]="","",IF(INDEX(기본자료표[수련과목],명단표[[#This Row],[기본자료행]])="","",INDEX(기본자료표[수련과목],명단표[[#This Row],[기본자료행]])))</f>
        <v/>
      </c>
      <c r="G4" s="8">
        <f>IF(명단표[[#This Row],[기본자료행]]="","",IF(INDEX(기본자료표[연차],명단표[[#This Row],[기본자료행]])="","",INDEX(기본자료표[연차],명단표[[#This Row],[기본자료행]])))</f>
        <v/>
      </c>
      <c r="H4" s="8">
        <f>IF(명단표[[#This Row],[기본자료행]]="","",IF(INDEX(기본자료표[근무지],명단표[[#This Row],[기본자료행]])="","",INDEX(기본자료표[근무지],명단표[[#This Row],[기본자료행]])))</f>
        <v/>
      </c>
      <c r="I4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4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4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4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4" s="6" t="inlineStr">
        <is>
          <t>서울병원</t>
        </is>
      </c>
      <c r="N4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4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4" s="8">
        <f>IF(명단표[[#This Row],[구리행]]="","",INDEX(구리_시작,명단표[[#This Row],[구리행]]))</f>
        <v/>
      </c>
      <c r="Q4" s="8">
        <f>IF(명단표[[#This Row],[구리행]]="","",INDEX(구리_종료,명단표[[#This Row],[구리행]]))</f>
        <v/>
      </c>
      <c r="R4" s="8">
        <f>IF(명단표[[#This Row],[구리행]]="","",INDEX(구리_독자,명단표[[#This Row],[구리행]]))</f>
        <v/>
      </c>
      <c r="S4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4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4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4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4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4" s="6" t="inlineStr">
        <is>
          <t>예시 데이터</t>
        </is>
      </c>
      <c r="Y4" s="8">
        <f>IF(NOT(TRIM(명단표[[#This Row],[사번]]&amp;"")&lt;&gt;""),"",IFERROR(MATCH("S|"&amp;TRIM(명단표[[#This Row],[사번]]&amp;""),기본자료표[사번키],0),""))</f>
        <v/>
      </c>
      <c r="Z4" s="8">
        <f>IF(명단표[[#This Row],[이름]]="","",명단표[[#This Row],[이름]]&amp;"|"&amp;명단표[[#This Row],[수련과목]])</f>
        <v/>
      </c>
      <c r="AA4" s="8">
        <f>IF(NOT(TRIM(명단표[[#This Row],[사번]]&amp;"")&lt;&gt;""),"",IFERROR(MATCH("S|"&amp;TRIM(명단표[[#This Row],[사번]]&amp;""),인턴계획표[사번키],0),""))</f>
        <v/>
      </c>
      <c r="AB4" s="8">
        <f>IF(OR(명단표[[#This Row],[인턴계획행]]="",인턴위치_이번=""),"",INDEX(인턴계획표[[정규화1]:[정규화6]],명단표[[#This Row],[인턴계획행]],인턴위치_이번)&amp;"")</f>
        <v/>
      </c>
      <c r="AC4" s="8">
        <f>IF(OR(명단표[[#This Row],[인턴계획행]]="",인턴위치_기준월=""),"",INDEX(인턴계획표[[정규화1]:[정규화6]],명단표[[#This Row],[인턴계획행]],인턴위치_기준월)&amp;"")</f>
        <v/>
      </c>
      <c r="AD4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4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4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4" s="11">
        <f>IF(명단표[[#This Row],[구리행]]="","",INDEX(구리_근무일,명단표[[#This Row],[구리행]]))</f>
        <v/>
      </c>
      <c r="AH4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4" s="11">
        <f>IF(명단표[[#This Row],[급여지급병원(기준월)]]="서울병원",COUNTIF(INDEX(명단표[급여지급병원(기준월)],1):명단표[[#This Row],[급여지급병원(기준월)]],"서울병원"),"")</f>
        <v/>
      </c>
      <c r="AJ4" s="11">
        <f>IF(LEFT(명단표[[#This Row],[급여지급병원(기준월)]],1)="⚠",COUNTIF(INDEX(명단표[급여지급병원(기준월)],1):명단표[[#This Row],[급여지급병원(기준월)]],"⚠*"),"")</f>
        <v/>
      </c>
      <c r="AK4" s="11">
        <f>IF(NOT(TRIM(명단표[[#This Row],[사번]]&amp;"")&lt;&gt;""),"",SUMPRODUCT(--(TRIM(INDEX(명단표[사번],1):명단표[[#This Row],[사번]]&amp;"")&lt;&gt;"")))</f>
        <v/>
      </c>
    </row>
    <row r="5">
      <c r="A5" s="8">
        <f>ROW()-ROW(명단표[#Headers])</f>
        <v/>
      </c>
      <c r="B5" s="7" t="inlineStr">
        <is>
          <t>2261215</t>
        </is>
      </c>
      <c r="C5" s="8">
        <f>IF(명단표[[#This Row],[기본자료행]]="","",IF(INDEX(기본자료표[이름],명단표[[#This Row],[기본자료행]])="","",INDEX(기본자료표[이름],명단표[[#This Row],[기본자료행]])))</f>
        <v/>
      </c>
      <c r="D5" s="8">
        <f>IF(명단표[[#This Row],[기본자료행]]="","",IF(INDEX(기본자료표[성별],명단표[[#This Row],[기본자료행]])="","",INDEX(기본자료표[성별],명단표[[#This Row],[기본자료행]])))</f>
        <v/>
      </c>
      <c r="E5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5" s="8">
        <f>IF(명단표[[#This Row],[기본자료행]]="","",IF(INDEX(기본자료표[수련과목],명단표[[#This Row],[기본자료행]])="","",INDEX(기본자료표[수련과목],명단표[[#This Row],[기본자료행]])))</f>
        <v/>
      </c>
      <c r="G5" s="8">
        <f>IF(명단표[[#This Row],[기본자료행]]="","",IF(INDEX(기본자료표[연차],명단표[[#This Row],[기본자료행]])="","",INDEX(기본자료표[연차],명단표[[#This Row],[기본자료행]])))</f>
        <v/>
      </c>
      <c r="H5" s="8">
        <f>IF(명단표[[#This Row],[기본자료행]]="","",IF(INDEX(기본자료표[근무지],명단표[[#This Row],[기본자료행]])="","",INDEX(기본자료표[근무지],명단표[[#This Row],[기본자료행]])))</f>
        <v/>
      </c>
      <c r="I5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5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5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5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5" s="6" t="inlineStr">
        <is>
          <t>서울병원</t>
        </is>
      </c>
      <c r="N5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5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5" s="8">
        <f>IF(명단표[[#This Row],[구리행]]="","",INDEX(구리_시작,명단표[[#This Row],[구리행]]))</f>
        <v/>
      </c>
      <c r="Q5" s="8">
        <f>IF(명단표[[#This Row],[구리행]]="","",INDEX(구리_종료,명단표[[#This Row],[구리행]]))</f>
        <v/>
      </c>
      <c r="R5" s="8">
        <f>IF(명단표[[#This Row],[구리행]]="","",INDEX(구리_독자,명단표[[#This Row],[구리행]]))</f>
        <v/>
      </c>
      <c r="S5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5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5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5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5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5" s="6" t="inlineStr">
        <is>
          <t>예시 데이터</t>
        </is>
      </c>
      <c r="Y5" s="8">
        <f>IF(NOT(TRIM(명단표[[#This Row],[사번]]&amp;"")&lt;&gt;""),"",IFERROR(MATCH("S|"&amp;TRIM(명단표[[#This Row],[사번]]&amp;""),기본자료표[사번키],0),""))</f>
        <v/>
      </c>
      <c r="Z5" s="8">
        <f>IF(명단표[[#This Row],[이름]]="","",명단표[[#This Row],[이름]]&amp;"|"&amp;명단표[[#This Row],[수련과목]])</f>
        <v/>
      </c>
      <c r="AA5" s="8">
        <f>IF(NOT(TRIM(명단표[[#This Row],[사번]]&amp;"")&lt;&gt;""),"",IFERROR(MATCH("S|"&amp;TRIM(명단표[[#This Row],[사번]]&amp;""),인턴계획표[사번키],0),""))</f>
        <v/>
      </c>
      <c r="AB5" s="8">
        <f>IF(OR(명단표[[#This Row],[인턴계획행]]="",인턴위치_이번=""),"",INDEX(인턴계획표[[정규화1]:[정규화6]],명단표[[#This Row],[인턴계획행]],인턴위치_이번)&amp;"")</f>
        <v/>
      </c>
      <c r="AC5" s="8">
        <f>IF(OR(명단표[[#This Row],[인턴계획행]]="",인턴위치_기준월=""),"",INDEX(인턴계획표[[정규화1]:[정규화6]],명단표[[#This Row],[인턴계획행]],인턴위치_기준월)&amp;"")</f>
        <v/>
      </c>
      <c r="AD5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5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5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5" s="11">
        <f>IF(명단표[[#This Row],[구리행]]="","",INDEX(구리_근무일,명단표[[#This Row],[구리행]]))</f>
        <v/>
      </c>
      <c r="AH5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5" s="11">
        <f>IF(명단표[[#This Row],[급여지급병원(기준월)]]="서울병원",COUNTIF(INDEX(명단표[급여지급병원(기준월)],1):명단표[[#This Row],[급여지급병원(기준월)]],"서울병원"),"")</f>
        <v/>
      </c>
      <c r="AJ5" s="11">
        <f>IF(LEFT(명단표[[#This Row],[급여지급병원(기준월)]],1)="⚠",COUNTIF(INDEX(명단표[급여지급병원(기준월)],1):명단표[[#This Row],[급여지급병원(기준월)]],"⚠*"),"")</f>
        <v/>
      </c>
      <c r="AK5" s="11">
        <f>IF(NOT(TRIM(명단표[[#This Row],[사번]]&amp;"")&lt;&gt;""),"",SUMPRODUCT(--(TRIM(INDEX(명단표[사번],1):명단표[[#This Row],[사번]]&amp;"")&lt;&gt;"")))</f>
        <v/>
      </c>
    </row>
    <row r="6">
      <c r="A6" s="8">
        <f>ROW()-ROW(명단표[#Headers])</f>
        <v/>
      </c>
      <c r="B6" s="7" t="inlineStr">
        <is>
          <t>2261216</t>
        </is>
      </c>
      <c r="C6" s="8">
        <f>IF(명단표[[#This Row],[기본자료행]]="","",IF(INDEX(기본자료표[이름],명단표[[#This Row],[기본자료행]])="","",INDEX(기본자료표[이름],명단표[[#This Row],[기본자료행]])))</f>
        <v/>
      </c>
      <c r="D6" s="8">
        <f>IF(명단표[[#This Row],[기본자료행]]="","",IF(INDEX(기본자료표[성별],명단표[[#This Row],[기본자료행]])="","",INDEX(기본자료표[성별],명단표[[#This Row],[기본자료행]])))</f>
        <v/>
      </c>
      <c r="E6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6" s="8">
        <f>IF(명단표[[#This Row],[기본자료행]]="","",IF(INDEX(기본자료표[수련과목],명단표[[#This Row],[기본자료행]])="","",INDEX(기본자료표[수련과목],명단표[[#This Row],[기본자료행]])))</f>
        <v/>
      </c>
      <c r="G6" s="8">
        <f>IF(명단표[[#This Row],[기본자료행]]="","",IF(INDEX(기본자료표[연차],명단표[[#This Row],[기본자료행]])="","",INDEX(기본자료표[연차],명단표[[#This Row],[기본자료행]])))</f>
        <v/>
      </c>
      <c r="H6" s="8">
        <f>IF(명단표[[#This Row],[기본자료행]]="","",IF(INDEX(기본자료표[근무지],명단표[[#This Row],[기본자료행]])="","",INDEX(기본자료표[근무지],명단표[[#This Row],[기본자료행]])))</f>
        <v/>
      </c>
      <c r="I6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6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6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6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6" s="6" t="inlineStr">
        <is>
          <t>구리병원</t>
        </is>
      </c>
      <c r="N6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6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6" s="8">
        <f>IF(명단표[[#This Row],[구리행]]="","",INDEX(구리_시작,명단표[[#This Row],[구리행]]))</f>
        <v/>
      </c>
      <c r="Q6" s="8">
        <f>IF(명단표[[#This Row],[구리행]]="","",INDEX(구리_종료,명단표[[#This Row],[구리행]]))</f>
        <v/>
      </c>
      <c r="R6" s="8">
        <f>IF(명단표[[#This Row],[구리행]]="","",INDEX(구리_독자,명단표[[#This Row],[구리행]]))</f>
        <v/>
      </c>
      <c r="S6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6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6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6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6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6" s="6" t="inlineStr">
        <is>
          <t>예시 데이터</t>
        </is>
      </c>
      <c r="Y6" s="8">
        <f>IF(NOT(TRIM(명단표[[#This Row],[사번]]&amp;"")&lt;&gt;""),"",IFERROR(MATCH("S|"&amp;TRIM(명단표[[#This Row],[사번]]&amp;""),기본자료표[사번키],0),""))</f>
        <v/>
      </c>
      <c r="Z6" s="8">
        <f>IF(명단표[[#This Row],[이름]]="","",명단표[[#This Row],[이름]]&amp;"|"&amp;명단표[[#This Row],[수련과목]])</f>
        <v/>
      </c>
      <c r="AA6" s="8">
        <f>IF(NOT(TRIM(명단표[[#This Row],[사번]]&amp;"")&lt;&gt;""),"",IFERROR(MATCH("S|"&amp;TRIM(명단표[[#This Row],[사번]]&amp;""),인턴계획표[사번키],0),""))</f>
        <v/>
      </c>
      <c r="AB6" s="8">
        <f>IF(OR(명단표[[#This Row],[인턴계획행]]="",인턴위치_이번=""),"",INDEX(인턴계획표[[정규화1]:[정규화6]],명단표[[#This Row],[인턴계획행]],인턴위치_이번)&amp;"")</f>
        <v/>
      </c>
      <c r="AC6" s="8">
        <f>IF(OR(명단표[[#This Row],[인턴계획행]]="",인턴위치_기준월=""),"",INDEX(인턴계획표[[정규화1]:[정규화6]],명단표[[#This Row],[인턴계획행]],인턴위치_기준월)&amp;"")</f>
        <v/>
      </c>
      <c r="AD6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6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6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6" s="11">
        <f>IF(명단표[[#This Row],[구리행]]="","",INDEX(구리_근무일,명단표[[#This Row],[구리행]]))</f>
        <v/>
      </c>
      <c r="AH6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6" s="11">
        <f>IF(명단표[[#This Row],[급여지급병원(기준월)]]="서울병원",COUNTIF(INDEX(명단표[급여지급병원(기준월)],1):명단표[[#This Row],[급여지급병원(기준월)]],"서울병원"),"")</f>
        <v/>
      </c>
      <c r="AJ6" s="11">
        <f>IF(LEFT(명단표[[#This Row],[급여지급병원(기준월)]],1)="⚠",COUNTIF(INDEX(명단표[급여지급병원(기준월)],1):명단표[[#This Row],[급여지급병원(기준월)]],"⚠*"),"")</f>
        <v/>
      </c>
      <c r="AK6" s="11">
        <f>IF(NOT(TRIM(명단표[[#This Row],[사번]]&amp;"")&lt;&gt;""),"",SUMPRODUCT(--(TRIM(INDEX(명단표[사번],1):명단표[[#This Row],[사번]]&amp;"")&lt;&gt;"")))</f>
        <v/>
      </c>
    </row>
    <row r="7">
      <c r="A7" s="8">
        <f>ROW()-ROW(명단표[#Headers])</f>
        <v/>
      </c>
      <c r="B7" s="7" t="inlineStr">
        <is>
          <t>222222</t>
        </is>
      </c>
      <c r="C7" s="8">
        <f>IF(명단표[[#This Row],[기본자료행]]="","",IF(INDEX(기본자료표[이름],명단표[[#This Row],[기본자료행]])="","",INDEX(기본자료표[이름],명단표[[#This Row],[기본자료행]])))</f>
        <v/>
      </c>
      <c r="D7" s="8">
        <f>IF(명단표[[#This Row],[기본자료행]]="","",IF(INDEX(기본자료표[성별],명단표[[#This Row],[기본자료행]])="","",INDEX(기본자료표[성별],명단표[[#This Row],[기본자료행]])))</f>
        <v/>
      </c>
      <c r="E7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7" s="8">
        <f>IF(명단표[[#This Row],[기본자료행]]="","",IF(INDEX(기본자료표[수련과목],명단표[[#This Row],[기본자료행]])="","",INDEX(기본자료표[수련과목],명단표[[#This Row],[기본자료행]])))</f>
        <v/>
      </c>
      <c r="G7" s="8">
        <f>IF(명단표[[#This Row],[기본자료행]]="","",IF(INDEX(기본자료표[연차],명단표[[#This Row],[기본자료행]])="","",INDEX(기본자료표[연차],명단표[[#This Row],[기본자료행]])))</f>
        <v/>
      </c>
      <c r="H7" s="8">
        <f>IF(명단표[[#This Row],[기본자료행]]="","",IF(INDEX(기본자료표[근무지],명단표[[#This Row],[기본자료행]])="","",INDEX(기본자료표[근무지],명단표[[#This Row],[기본자료행]])))</f>
        <v/>
      </c>
      <c r="I7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7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7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7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7" s="6" t="inlineStr">
        <is>
          <t>서울병원</t>
        </is>
      </c>
      <c r="N7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7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7" s="8">
        <f>IF(명단표[[#This Row],[구리행]]="","",INDEX(구리_시작,명단표[[#This Row],[구리행]]))</f>
        <v/>
      </c>
      <c r="Q7" s="8">
        <f>IF(명단표[[#This Row],[구리행]]="","",INDEX(구리_종료,명단표[[#This Row],[구리행]]))</f>
        <v/>
      </c>
      <c r="R7" s="8">
        <f>IF(명단표[[#This Row],[구리행]]="","",INDEX(구리_독자,명단표[[#This Row],[구리행]]))</f>
        <v/>
      </c>
      <c r="S7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7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7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7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7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7" s="6" t="inlineStr">
        <is>
          <t>예시(인턴)</t>
        </is>
      </c>
      <c r="Y7" s="8">
        <f>IF(NOT(TRIM(명단표[[#This Row],[사번]]&amp;"")&lt;&gt;""),"",IFERROR(MATCH("S|"&amp;TRIM(명단표[[#This Row],[사번]]&amp;""),기본자료표[사번키],0),""))</f>
        <v/>
      </c>
      <c r="Z7" s="8">
        <f>IF(명단표[[#This Row],[이름]]="","",명단표[[#This Row],[이름]]&amp;"|"&amp;명단표[[#This Row],[수련과목]])</f>
        <v/>
      </c>
      <c r="AA7" s="8">
        <f>IF(NOT(TRIM(명단표[[#This Row],[사번]]&amp;"")&lt;&gt;""),"",IFERROR(MATCH("S|"&amp;TRIM(명단표[[#This Row],[사번]]&amp;""),인턴계획표[사번키],0),""))</f>
        <v/>
      </c>
      <c r="AB7" s="8">
        <f>IF(OR(명단표[[#This Row],[인턴계획행]]="",인턴위치_이번=""),"",INDEX(인턴계획표[[정규화1]:[정규화6]],명단표[[#This Row],[인턴계획행]],인턴위치_이번)&amp;"")</f>
        <v/>
      </c>
      <c r="AC7" s="8">
        <f>IF(OR(명단표[[#This Row],[인턴계획행]]="",인턴위치_기준월=""),"",INDEX(인턴계획표[[정규화1]:[정규화6]],명단표[[#This Row],[인턴계획행]],인턴위치_기준월)&amp;"")</f>
        <v/>
      </c>
      <c r="AD7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7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7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7" s="11">
        <f>IF(명단표[[#This Row],[구리행]]="","",INDEX(구리_근무일,명단표[[#This Row],[구리행]]))</f>
        <v/>
      </c>
      <c r="AH7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7" s="11">
        <f>IF(명단표[[#This Row],[급여지급병원(기준월)]]="서울병원",COUNTIF(INDEX(명단표[급여지급병원(기준월)],1):명단표[[#This Row],[급여지급병원(기준월)]],"서울병원"),"")</f>
        <v/>
      </c>
      <c r="AJ7" s="11">
        <f>IF(LEFT(명단표[[#This Row],[급여지급병원(기준월)]],1)="⚠",COUNTIF(INDEX(명단표[급여지급병원(기준월)],1):명단표[[#This Row],[급여지급병원(기준월)]],"⚠*"),"")</f>
        <v/>
      </c>
      <c r="AK7" s="11">
        <f>IF(NOT(TRIM(명단표[[#This Row],[사번]]&amp;"")&lt;&gt;""),"",SUMPRODUCT(--(TRIM(INDEX(명단표[사번],1):명단표[[#This Row],[사번]]&amp;"")&lt;&gt;"")))</f>
        <v/>
      </c>
    </row>
    <row r="8">
      <c r="A8" s="8">
        <f>ROW()-ROW(명단표[#Headers])</f>
        <v/>
      </c>
      <c r="B8" s="7" t="inlineStr">
        <is>
          <t>222223</t>
        </is>
      </c>
      <c r="C8" s="8">
        <f>IF(명단표[[#This Row],[기본자료행]]="","",IF(INDEX(기본자료표[이름],명단표[[#This Row],[기본자료행]])="","",INDEX(기본자료표[이름],명단표[[#This Row],[기본자료행]])))</f>
        <v/>
      </c>
      <c r="D8" s="8">
        <f>IF(명단표[[#This Row],[기본자료행]]="","",IF(INDEX(기본자료표[성별],명단표[[#This Row],[기본자료행]])="","",INDEX(기본자료표[성별],명단표[[#This Row],[기본자료행]])))</f>
        <v/>
      </c>
      <c r="E8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8" s="8">
        <f>IF(명단표[[#This Row],[기본자료행]]="","",IF(INDEX(기본자료표[수련과목],명단표[[#This Row],[기본자료행]])="","",INDEX(기본자료표[수련과목],명단표[[#This Row],[기본자료행]])))</f>
        <v/>
      </c>
      <c r="G8" s="8">
        <f>IF(명단표[[#This Row],[기본자료행]]="","",IF(INDEX(기본자료표[연차],명단표[[#This Row],[기본자료행]])="","",INDEX(기본자료표[연차],명단표[[#This Row],[기본자료행]])))</f>
        <v/>
      </c>
      <c r="H8" s="8">
        <f>IF(명단표[[#This Row],[기본자료행]]="","",IF(INDEX(기본자료표[근무지],명단표[[#This Row],[기본자료행]])="","",INDEX(기본자료표[근무지],명단표[[#This Row],[기본자료행]])))</f>
        <v/>
      </c>
      <c r="I8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8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8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8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8" s="6" t="inlineStr">
        <is>
          <t>서울병원</t>
        </is>
      </c>
      <c r="N8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8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8" s="8">
        <f>IF(명단표[[#This Row],[구리행]]="","",INDEX(구리_시작,명단표[[#This Row],[구리행]]))</f>
        <v/>
      </c>
      <c r="Q8" s="8">
        <f>IF(명단표[[#This Row],[구리행]]="","",INDEX(구리_종료,명단표[[#This Row],[구리행]]))</f>
        <v/>
      </c>
      <c r="R8" s="8">
        <f>IF(명단표[[#This Row],[구리행]]="","",INDEX(구리_독자,명단표[[#This Row],[구리행]]))</f>
        <v/>
      </c>
      <c r="S8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8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8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8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8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8" s="6" t="inlineStr">
        <is>
          <t>예시(인턴)</t>
        </is>
      </c>
      <c r="Y8" s="8">
        <f>IF(NOT(TRIM(명단표[[#This Row],[사번]]&amp;"")&lt;&gt;""),"",IFERROR(MATCH("S|"&amp;TRIM(명단표[[#This Row],[사번]]&amp;""),기본자료표[사번키],0),""))</f>
        <v/>
      </c>
      <c r="Z8" s="8">
        <f>IF(명단표[[#This Row],[이름]]="","",명단표[[#This Row],[이름]]&amp;"|"&amp;명단표[[#This Row],[수련과목]])</f>
        <v/>
      </c>
      <c r="AA8" s="8">
        <f>IF(NOT(TRIM(명단표[[#This Row],[사번]]&amp;"")&lt;&gt;""),"",IFERROR(MATCH("S|"&amp;TRIM(명단표[[#This Row],[사번]]&amp;""),인턴계획표[사번키],0),""))</f>
        <v/>
      </c>
      <c r="AB8" s="8">
        <f>IF(OR(명단표[[#This Row],[인턴계획행]]="",인턴위치_이번=""),"",INDEX(인턴계획표[[정규화1]:[정규화6]],명단표[[#This Row],[인턴계획행]],인턴위치_이번)&amp;"")</f>
        <v/>
      </c>
      <c r="AC8" s="8">
        <f>IF(OR(명단표[[#This Row],[인턴계획행]]="",인턴위치_기준월=""),"",INDEX(인턴계획표[[정규화1]:[정규화6]],명단표[[#This Row],[인턴계획행]],인턴위치_기준월)&amp;"")</f>
        <v/>
      </c>
      <c r="AD8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8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8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8" s="11">
        <f>IF(명단표[[#This Row],[구리행]]="","",INDEX(구리_근무일,명단표[[#This Row],[구리행]]))</f>
        <v/>
      </c>
      <c r="AH8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8" s="11">
        <f>IF(명단표[[#This Row],[급여지급병원(기준월)]]="서울병원",COUNTIF(INDEX(명단표[급여지급병원(기준월)],1):명단표[[#This Row],[급여지급병원(기준월)]],"서울병원"),"")</f>
        <v/>
      </c>
      <c r="AJ8" s="11">
        <f>IF(LEFT(명단표[[#This Row],[급여지급병원(기준월)]],1)="⚠",COUNTIF(INDEX(명단표[급여지급병원(기준월)],1):명단표[[#This Row],[급여지급병원(기준월)]],"⚠*"),"")</f>
        <v/>
      </c>
      <c r="AK8" s="11">
        <f>IF(NOT(TRIM(명단표[[#This Row],[사번]]&amp;"")&lt;&gt;""),"",SUMPRODUCT(--(TRIM(INDEX(명단표[사번],1):명단표[[#This Row],[사번]]&amp;"")&lt;&gt;"")))</f>
        <v/>
      </c>
    </row>
    <row r="9">
      <c r="A9" s="8">
        <f>ROW()-ROW(명단표[#Headers])</f>
        <v/>
      </c>
      <c r="B9" s="7" t="inlineStr">
        <is>
          <t>222224</t>
        </is>
      </c>
      <c r="C9" s="8">
        <f>IF(명단표[[#This Row],[기본자료행]]="","",IF(INDEX(기본자료표[이름],명단표[[#This Row],[기본자료행]])="","",INDEX(기본자료표[이름],명단표[[#This Row],[기본자료행]])))</f>
        <v/>
      </c>
      <c r="D9" s="8">
        <f>IF(명단표[[#This Row],[기본자료행]]="","",IF(INDEX(기본자료표[성별],명단표[[#This Row],[기본자료행]])="","",INDEX(기본자료표[성별],명단표[[#This Row],[기본자료행]])))</f>
        <v/>
      </c>
      <c r="E9" s="10">
        <f>IF(명단표[[#This Row],[기본자료행]]="","",IF(INDEX(기본자료표[생년월일],명단표[[#This Row],[기본자료행]])="","",IF(NOT(ISNUMBER(INDEX(기본자료표[생년월일],명단표[[#This Row],[기본자료행]]))),INDEX(기본자료표[생년월일],명단표[[#This Row],[기본자료행]])&amp;"",IF(INDEX(기본자료표[생년월일],명단표[[#This Row],[기본자료행]])&lt;1000000,INDEX(기본자료표[생년월일],명단표[[#This Row],[기본자료행]]),IF(AND(INDEX(기본자료표[생년월일],명단표[[#This Row],[기본자료행]])&gt;=10000101,INT(MOD(INDEX(기본자료표[생년월일],명단표[[#This Row],[기본자료행]]),10000)/100)&gt;=1,INT(MOD(INDEX(기본자료표[생년월일],명단표[[#This Row],[기본자료행]]),10000)/100)&lt;=12,MOD(INDEX(기본자료표[생년월일],명단표[[#This Row],[기본자료행]]),100)&gt;=1,MOD(INDEX(기본자료표[생년월일],명단표[[#This Row],[기본자료행]]),100)&lt;=31),DATE(INT(INDEX(기본자료표[생년월일],명단표[[#This Row],[기본자료행]])/10000),INT(MOD(INDEX(기본자료표[생년월일],명단표[[#This Row],[기본자료행]]),10000)/100),MOD(INDEX(기본자료표[생년월일],명단표[[#This Row],[기본자료행]]),100)),INDEX(기본자료표[생년월일],명단표[[#This Row],[기본자료행]])&amp;"")))))</f>
        <v/>
      </c>
      <c r="F9" s="8">
        <f>IF(명단표[[#This Row],[기본자료행]]="","",IF(INDEX(기본자료표[수련과목],명단표[[#This Row],[기본자료행]])="","",INDEX(기본자료표[수련과목],명단표[[#This Row],[기본자료행]])))</f>
        <v/>
      </c>
      <c r="G9" s="8">
        <f>IF(명단표[[#This Row],[기본자료행]]="","",IF(INDEX(기본자료표[연차],명단표[[#This Row],[기본자료행]])="","",INDEX(기본자료표[연차],명단표[[#This Row],[기본자료행]])))</f>
        <v/>
      </c>
      <c r="H9" s="8">
        <f>IF(명단표[[#This Row],[기본자료행]]="","",IF(INDEX(기본자료표[근무지],명단표[[#This Row],[기본자료행]])="","",INDEX(기본자료표[근무지],명단표[[#This Row],[기본자료행]])))</f>
        <v/>
      </c>
      <c r="I9" s="10">
        <f>IF(명단표[[#This Row],[기본자료행]]="","",IF(INDEX(기본자료표[수련개시일],명단표[[#This Row],[기본자료행]])="","",IF(NOT(ISNUMBER(INDEX(기본자료표[수련개시일],명단표[[#This Row],[기본자료행]]))),INDEX(기본자료표[수련개시일],명단표[[#This Row],[기본자료행]])&amp;"",IF(INDEX(기본자료표[수련개시일],명단표[[#This Row],[기본자료행]])&lt;1000000,INDEX(기본자료표[수련개시일],명단표[[#This Row],[기본자료행]]),IF(AND(INDEX(기본자료표[수련개시일],명단표[[#This Row],[기본자료행]])&gt;=10000101,INT(MOD(INDEX(기본자료표[수련개시일],명단표[[#This Row],[기본자료행]]),10000)/100)&gt;=1,INT(MOD(INDEX(기본자료표[수련개시일],명단표[[#This Row],[기본자료행]]),10000)/100)&lt;=12,MOD(INDEX(기본자료표[수련개시일],명단표[[#This Row],[기본자료행]]),100)&gt;=1,MOD(INDEX(기본자료표[수련개시일],명단표[[#This Row],[기본자료행]]),100)&lt;=31),DATE(INT(INDEX(기본자료표[수련개시일],명단표[[#This Row],[기본자료행]])/10000),INT(MOD(INDEX(기본자료표[수련개시일],명단표[[#This Row],[기본자료행]]),10000)/100),MOD(INDEX(기본자료표[수련개시일],명단표[[#This Row],[기본자료행]]),100)),INDEX(기본자료표[수련개시일],명단표[[#This Row],[기본자료행]])&amp;"")))))</f>
        <v/>
      </c>
      <c r="J9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9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9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9" s="6" t="inlineStr">
        <is>
          <t>구리병원</t>
        </is>
      </c>
      <c r="N9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O9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9" s="8">
        <f>IF(명단표[[#This Row],[구리행]]="","",INDEX(구리_시작,명단표[[#This Row],[구리행]]))</f>
        <v/>
      </c>
      <c r="Q9" s="8">
        <f>IF(명단표[[#This Row],[구리행]]="","",INDEX(구리_종료,명단표[[#This Row],[구리행]]))</f>
        <v/>
      </c>
      <c r="R9" s="8">
        <f>IF(명단표[[#This Row],[구리행]]="","",INDEX(구리_독자,명단표[[#This Row],[구리행]]))</f>
        <v/>
      </c>
      <c r="S9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9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9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9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9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9" s="6" t="inlineStr">
        <is>
          <t>예시(인턴)</t>
        </is>
      </c>
      <c r="Y9" s="8">
        <f>IF(NOT(TRIM(명단표[[#This Row],[사번]]&amp;"")&lt;&gt;""),"",IFERROR(MATCH("S|"&amp;TRIM(명단표[[#This Row],[사번]]&amp;""),기본자료표[사번키],0),""))</f>
        <v/>
      </c>
      <c r="Z9" s="8">
        <f>IF(명단표[[#This Row],[이름]]="","",명단표[[#This Row],[이름]]&amp;"|"&amp;명단표[[#This Row],[수련과목]])</f>
        <v/>
      </c>
      <c r="AA9" s="8">
        <f>IF(NOT(TRIM(명단표[[#This Row],[사번]]&amp;"")&lt;&gt;""),"",IFERROR(MATCH("S|"&amp;TRIM(명단표[[#This Row],[사번]]&amp;""),인턴계획표[사번키],0),""))</f>
        <v/>
      </c>
      <c r="AB9" s="8">
        <f>IF(OR(명단표[[#This Row],[인턴계획행]]="",인턴위치_이번=""),"",INDEX(인턴계획표[[정규화1]:[정규화6]],명단표[[#This Row],[인턴계획행]],인턴위치_이번)&amp;"")</f>
        <v/>
      </c>
      <c r="AC9" s="8">
        <f>IF(OR(명단표[[#This Row],[인턴계획행]]="",인턴위치_기준월=""),"",INDEX(인턴계획표[[정규화1]:[정규화6]],명단표[[#This Row],[인턴계획행]],인턴위치_기준월)&amp;"")</f>
        <v/>
      </c>
      <c r="AD9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Row],[근무지]]="","",IFERROR(INDEX(병원약칭표[정식 병원],MATCH(TRIM(명단표[[#This Row],[근무지]]&amp;""),병원약칭표[표기],0))&amp;"",명단표[[#This Row],[근무지]]&amp;"")))))</f>
        <v/>
      </c>
      <c r="AE9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9" s="8">
        <f>IF(명단표[[#This Row],[이름]]="","",IFERROR(MATCH(명단표[[#This Row],[이름|과]],구리_키,0),IF(AND(COUNTIF(구리_이름,명단표[[#This Row],[이름]])=1,COUNTIF(명단표[이름],명단표[[#This Row],[이름]])=1),MATCH(명단표[[#This Row],[이름]],구리_이름,0),"")))</f>
        <v/>
      </c>
      <c r="AG9" s="11">
        <f>IF(명단표[[#This Row],[구리행]]="","",INDEX(구리_근무일,명단표[[#This Row],[구리행]]))</f>
        <v/>
      </c>
      <c r="AH9" s="8">
        <f>IF(명단표[[#This Row],[구리행]]="","",IFERROR(IF(AND(TODAY()&gt;=DATEVALUE(명단표[[#This Row],[구리 근무 시작일(기준월)]]),TODAY()&lt;=DATEVALUE(명단표[[#This Row],[구리 근무 종료일(기준월)]])),"Y",""),""))</f>
        <v/>
      </c>
      <c r="AI9" s="11">
        <f>IF(명단표[[#This Row],[급여지급병원(기준월)]]="서울병원",COUNTIF(INDEX(명단표[급여지급병원(기준월)],1):명단표[[#This Row],[급여지급병원(기준월)]],"서울병원"),"")</f>
        <v/>
      </c>
      <c r="AJ9" s="11">
        <f>IF(LEFT(명단표[[#This Row],[급여지급병원(기준월)]],1)="⚠",COUNTIF(INDEX(명단표[급여지급병원(기준월)],1):명단표[[#This Row],[급여지급병원(기준월)]],"⚠*"),"")</f>
        <v/>
      </c>
      <c r="AK9" s="11">
        <f>IF(NOT(TRIM(명단표[[#This Row],[사번]]&amp;"")&lt;&gt;""),"",SUMPRODUCT(--(TRIM(INDEX(명단표[사번],1):명단표[[#This Row],[사번]]&amp;"")&lt;&gt;"")))</f>
        <v/>
      </c>
    </row>
  </sheetData>
  <conditionalFormatting sqref="B2:B1048576">
    <cfRule type="expression" priority="1" dxfId="2">
      <formula>AND($B2&lt;&gt;"",$Y2="")</formula>
    </cfRule>
  </conditionalFormatting>
  <conditionalFormatting sqref="W2:W1048576">
    <cfRule type="expression" priority="2" dxfId="3">
      <formula>AND($W2&lt;&gt;"",$W2&lt;&gt;"정상")</formula>
    </cfRule>
  </conditionalFormatting>
  <conditionalFormatting sqref="U2:U1048576">
    <cfRule type="expression" priority="3" dxfId="2">
      <formula>LEFT($U2,1)="⚠"</formula>
    </cfRule>
    <cfRule type="expression" priority="4" dxfId="4">
      <formula>AND($U2&lt;&gt;"",$AD2&lt;&gt;"",$U2&lt;&gt;$AD2)</formula>
    </cfRule>
  </conditionalFormatting>
  <conditionalFormatting sqref="E2:E1048576">
    <cfRule type="expression" priority="5" dxfId="5">
      <formula>ISTEXT($E2)</formula>
    </cfRule>
  </conditionalFormatting>
  <dataValidations count="1">
    <dataValidation sqref="M2:M1048576" showDropDown="0" showInputMessage="0" showErrorMessage="1" allowBlank="1" errorTitle="등록되지 않은 값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W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2" customWidth="1" min="4" max="4"/>
    <col width="13" customWidth="1" min="5" max="5"/>
    <col width="9" customWidth="1" min="6" max="6"/>
    <col width="10" customWidth="1" min="7" max="7"/>
    <col width="24" customWidth="1" min="8" max="8"/>
    <col width="11" customWidth="1" min="9" max="9"/>
    <col width="11" customWidth="1" min="10" max="10"/>
    <col width="11" customWidth="1" min="11" max="11"/>
    <col width="8" customWidth="1" min="12" max="12"/>
    <col width="8" customWidth="1" min="13" max="13"/>
    <col width="40" customWidth="1" min="14" max="14"/>
    <col width="26" customWidth="1" min="15" max="15"/>
    <col width="6" customWidth="1" min="16" max="16"/>
    <col width="3" customWidth="1" min="17" max="17"/>
    <col width="9" customWidth="1" min="18" max="18"/>
    <col width="10" customWidth="1" min="19" max="19"/>
    <col width="10" customWidth="1" min="20" max="20"/>
    <col width="8" customWidth="1" min="21" max="21"/>
    <col width="8" customWidth="1" min="22" max="22"/>
    <col width="6" customWidth="1" min="23" max="23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13">
        <f>급여기준월</f>
        <v/>
      </c>
      <c r="D2" s="14" t="inlineStr">
        <is>
          <t>서울 지급 인원</t>
        </is>
      </c>
      <c r="E2" s="15">
        <f>COUNTIF(명단표[급여지급병원(기준월)],"서울병원")</f>
        <v/>
      </c>
      <c r="F2" s="14" t="inlineStr">
        <is>
          <t>그중 타 병원 소속</t>
        </is>
      </c>
      <c r="G2" s="15">
        <f>COUNTIFS(명단표[급여지급병원(기준월)],"서울병원",명단표[소속병원],"&lt;&gt;서울병원")</f>
        <v/>
      </c>
      <c r="H2" s="14" t="inlineStr">
        <is>
          <t>⚠ 판정 불가</t>
        </is>
      </c>
      <c r="I2" s="15">
        <f>COUNTIF(명단표[급여지급병원(기준월)],"⚠*")</f>
        <v/>
      </c>
      <c r="K2" s="16">
        <f>IF(E2&gt;1000,"⚠ 표시 한도(1000명) 초과 — 생성 파일의 OUTN을 늘려야 합니다","")</f>
        <v/>
      </c>
    </row>
    <row r="3">
      <c r="A3" s="17" t="inlineStr">
        <is>
          <t>※ 자동 목록입니다(입력 금지, 최대 1000명 표시). 노란 행 = 소속은 다른 병원인데 이번 달 서울병원이 지급. 급여 기준월은 설정_코드표에서 바꿉니다.</t>
        </is>
      </c>
    </row>
    <row r="4">
      <c r="R4" s="16" t="inlineStr">
        <is>
          <t>⚠ 서울·구리 15일 판정 불가 (양쪽 모두 15일 이상/미만) — 담당자 확인 필요</t>
        </is>
      </c>
    </row>
    <row r="5" ht="30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전공의등록번호</t>
        </is>
      </c>
      <c r="E5" s="4" t="inlineStr">
        <is>
          <t>수련과목</t>
        </is>
      </c>
      <c r="F5" s="4" t="inlineStr">
        <is>
          <t>연차</t>
        </is>
      </c>
      <c r="G5" s="4" t="inlineStr">
        <is>
          <t>소속병원</t>
        </is>
      </c>
      <c r="H5" s="4" t="inlineStr">
        <is>
          <t>구분</t>
        </is>
      </c>
      <c r="I5" s="4" t="inlineStr">
        <is>
          <t>현재 근무병원</t>
        </is>
      </c>
      <c r="J5" s="4" t="inlineStr">
        <is>
          <t>구리 근무 시작일</t>
        </is>
      </c>
      <c r="K5" s="4" t="inlineStr">
        <is>
          <t>구리 근무 종료일</t>
        </is>
      </c>
      <c r="L5" s="4" t="inlineStr">
        <is>
          <t>서울 근무일</t>
        </is>
      </c>
      <c r="M5" s="4" t="inlineStr">
        <is>
          <t>구리 근무일</t>
        </is>
      </c>
      <c r="N5" s="4" t="inlineStr">
        <is>
          <t>판정 근거</t>
        </is>
      </c>
      <c r="O5" s="4" t="inlineStr">
        <is>
          <t>점검</t>
        </is>
      </c>
      <c r="P5" s="18" t="inlineStr">
        <is>
          <t>(명단 행)</t>
        </is>
      </c>
      <c r="R5" s="19" t="inlineStr">
        <is>
          <t>이름</t>
        </is>
      </c>
      <c r="S5" s="19" t="inlineStr">
        <is>
          <t>사번</t>
        </is>
      </c>
      <c r="T5" s="19" t="inlineStr">
        <is>
          <t>소속병원</t>
        </is>
      </c>
      <c r="U5" s="19" t="inlineStr">
        <is>
          <t>서울 근무일</t>
        </is>
      </c>
      <c r="V5" s="19" t="inlineStr">
        <is>
          <t>구리 근무일</t>
        </is>
      </c>
      <c r="W5" s="18" t="inlineStr">
        <is>
          <t>(명단 행)</t>
        </is>
      </c>
    </row>
    <row r="6">
      <c r="A6">
        <f>IF($P6="","",1)</f>
        <v/>
      </c>
      <c r="B6">
        <f>IF($P6="",IF(COUNTIF(명단표[급여지급병원(기준월)],"서울병원")=0,"대상 없음",""),INDEX(명단표[이름],$P6))</f>
        <v/>
      </c>
      <c r="C6">
        <f>IF($P6="","",INDEX(명단표[사번],$P6)&amp;"")</f>
        <v/>
      </c>
      <c r="D6">
        <f>IF($P6="","",INDEX(명단표[전공의등록번호],$P6)&amp;"")</f>
        <v/>
      </c>
      <c r="E6">
        <f>IF($P6="","",INDEX(명단표[수련과목],$P6)&amp;"")</f>
        <v/>
      </c>
      <c r="F6">
        <f>IF($P6="","",INDEX(명단표[연차],$P6)&amp;"")</f>
        <v/>
      </c>
      <c r="G6">
        <f>IF($P6="","",INDEX(명단표[소속병원],$P6))</f>
        <v/>
      </c>
      <c r="H6">
        <f>IF($P6="","",IF(INDEX(명단표[소속병원],$P6)="서울병원","서울 소속","타 병원 소속("&amp;INDEX(명단표[소속병원],$P6)&amp;") → 서울 지급"))</f>
        <v/>
      </c>
      <c r="I6">
        <f>IF($P6="","",INDEX(명단표[현재 근무병원],$P6))</f>
        <v/>
      </c>
      <c r="J6">
        <f>IF($P6="","",INDEX(명단표[구리 근무 시작일(기준월)],$P6)&amp;"")</f>
        <v/>
      </c>
      <c r="K6">
        <f>IF($P6="","",INDEX(명단표[구리 근무 종료일(기준월)],$P6)&amp;"")</f>
        <v/>
      </c>
      <c r="L6">
        <f>IF($P6="","",INDEX(명단표[서울 근무일(기준월)],$P6))</f>
        <v/>
      </c>
      <c r="M6">
        <f>IF($P6="","",INDEX(명단표[구리 근무일(기준월)],$P6))</f>
        <v/>
      </c>
      <c r="N6">
        <f>IF($P6="","",INDEX(명단표[급여 판정 근거],$P6))</f>
        <v/>
      </c>
      <c r="O6">
        <f>IF($P6="","",INDEX(명단표[점검],$P6))</f>
        <v/>
      </c>
      <c r="P6" s="17">
        <f>IFERROR(MATCH(1,명단표[서울순번],0),"")</f>
        <v/>
      </c>
      <c r="R6">
        <f>IF($W6="",IF(COUNTIF(명단표[급여지급병원(기준월)],"⚠*")=0,"없음",""),INDEX(명단표[이름],$W6))</f>
        <v/>
      </c>
      <c r="S6">
        <f>IF($W6="","",INDEX(명단표[사번],$W6)&amp;"")</f>
        <v/>
      </c>
      <c r="T6">
        <f>IF($W6="","",INDEX(명단표[소속병원],$W6))</f>
        <v/>
      </c>
      <c r="U6">
        <f>IF($W6="","",INDEX(명단표[서울 근무일(기준월)],$W6))</f>
        <v/>
      </c>
      <c r="V6">
        <f>IF($W6="","",INDEX(명단표[구리 근무일(기준월)],$W6))</f>
        <v/>
      </c>
      <c r="W6" s="17">
        <f>IFERROR(MATCH(1,명단표[판정불가순번],0),"")</f>
        <v/>
      </c>
    </row>
    <row r="7">
      <c r="A7">
        <f>IF($P7="","",2)</f>
        <v/>
      </c>
      <c r="B7">
        <f>IF($P7="","",INDEX(명단표[이름],$P7))</f>
        <v/>
      </c>
      <c r="C7">
        <f>IF($P7="","",INDEX(명단표[사번],$P7)&amp;"")</f>
        <v/>
      </c>
      <c r="D7">
        <f>IF($P7="","",INDEX(명단표[전공의등록번호],$P7)&amp;"")</f>
        <v/>
      </c>
      <c r="E7">
        <f>IF($P7="","",INDEX(명단표[수련과목],$P7)&amp;"")</f>
        <v/>
      </c>
      <c r="F7">
        <f>IF($P7="","",INDEX(명단표[연차],$P7)&amp;"")</f>
        <v/>
      </c>
      <c r="G7">
        <f>IF($P7="","",INDEX(명단표[소속병원],$P7))</f>
        <v/>
      </c>
      <c r="H7">
        <f>IF($P7="","",IF(INDEX(명단표[소속병원],$P7)="서울병원","서울 소속","타 병원 소속("&amp;INDEX(명단표[소속병원],$P7)&amp;") → 서울 지급"))</f>
        <v/>
      </c>
      <c r="I7">
        <f>IF($P7="","",INDEX(명단표[현재 근무병원],$P7))</f>
        <v/>
      </c>
      <c r="J7">
        <f>IF($P7="","",INDEX(명단표[구리 근무 시작일(기준월)],$P7)&amp;"")</f>
        <v/>
      </c>
      <c r="K7">
        <f>IF($P7="","",INDEX(명단표[구리 근무 종료일(기준월)],$P7)&amp;"")</f>
        <v/>
      </c>
      <c r="L7">
        <f>IF($P7="","",INDEX(명단표[서울 근무일(기준월)],$P7))</f>
        <v/>
      </c>
      <c r="M7">
        <f>IF($P7="","",INDEX(명단표[구리 근무일(기준월)],$P7))</f>
        <v/>
      </c>
      <c r="N7">
        <f>IF($P7="","",INDEX(명단표[급여 판정 근거],$P7))</f>
        <v/>
      </c>
      <c r="O7">
        <f>IF($P7="","",INDEX(명단표[점검],$P7))</f>
        <v/>
      </c>
      <c r="P7" s="17">
        <f>IFERROR(MATCH(2,명단표[서울순번],0),"")</f>
        <v/>
      </c>
      <c r="R7">
        <f>IF($W7="","",INDEX(명단표[이름],$W7))</f>
        <v/>
      </c>
      <c r="S7">
        <f>IF($W7="","",INDEX(명단표[사번],$W7)&amp;"")</f>
        <v/>
      </c>
      <c r="T7">
        <f>IF($W7="","",INDEX(명단표[소속병원],$W7))</f>
        <v/>
      </c>
      <c r="U7">
        <f>IF($W7="","",INDEX(명단표[서울 근무일(기준월)],$W7))</f>
        <v/>
      </c>
      <c r="V7">
        <f>IF($W7="","",INDEX(명단표[구리 근무일(기준월)],$W7))</f>
        <v/>
      </c>
      <c r="W7" s="17">
        <f>IFERROR(MATCH(2,명단표[판정불가순번],0),"")</f>
        <v/>
      </c>
    </row>
    <row r="8">
      <c r="A8">
        <f>IF($P8="","",3)</f>
        <v/>
      </c>
      <c r="B8">
        <f>IF($P8="","",INDEX(명단표[이름],$P8))</f>
        <v/>
      </c>
      <c r="C8">
        <f>IF($P8="","",INDEX(명단표[사번],$P8)&amp;"")</f>
        <v/>
      </c>
      <c r="D8">
        <f>IF($P8="","",INDEX(명단표[전공의등록번호],$P8)&amp;"")</f>
        <v/>
      </c>
      <c r="E8">
        <f>IF($P8="","",INDEX(명단표[수련과목],$P8)&amp;"")</f>
        <v/>
      </c>
      <c r="F8">
        <f>IF($P8="","",INDEX(명단표[연차],$P8)&amp;"")</f>
        <v/>
      </c>
      <c r="G8">
        <f>IF($P8="","",INDEX(명단표[소속병원],$P8))</f>
        <v/>
      </c>
      <c r="H8">
        <f>IF($P8="","",IF(INDEX(명단표[소속병원],$P8)="서울병원","서울 소속","타 병원 소속("&amp;INDEX(명단표[소속병원],$P8)&amp;") → 서울 지급"))</f>
        <v/>
      </c>
      <c r="I8">
        <f>IF($P8="","",INDEX(명단표[현재 근무병원],$P8))</f>
        <v/>
      </c>
      <c r="J8">
        <f>IF($P8="","",INDEX(명단표[구리 근무 시작일(기준월)],$P8)&amp;"")</f>
        <v/>
      </c>
      <c r="K8">
        <f>IF($P8="","",INDEX(명단표[구리 근무 종료일(기준월)],$P8)&amp;"")</f>
        <v/>
      </c>
      <c r="L8">
        <f>IF($P8="","",INDEX(명단표[서울 근무일(기준월)],$P8))</f>
        <v/>
      </c>
      <c r="M8">
        <f>IF($P8="","",INDEX(명단표[구리 근무일(기준월)],$P8))</f>
        <v/>
      </c>
      <c r="N8">
        <f>IF($P8="","",INDEX(명단표[급여 판정 근거],$P8))</f>
        <v/>
      </c>
      <c r="O8">
        <f>IF($P8="","",INDEX(명단표[점검],$P8))</f>
        <v/>
      </c>
      <c r="P8" s="17">
        <f>IFERROR(MATCH(3,명단표[서울순번],0),"")</f>
        <v/>
      </c>
      <c r="R8">
        <f>IF($W8="","",INDEX(명단표[이름],$W8))</f>
        <v/>
      </c>
      <c r="S8">
        <f>IF($W8="","",INDEX(명단표[사번],$W8)&amp;"")</f>
        <v/>
      </c>
      <c r="T8">
        <f>IF($W8="","",INDEX(명단표[소속병원],$W8))</f>
        <v/>
      </c>
      <c r="U8">
        <f>IF($W8="","",INDEX(명단표[서울 근무일(기준월)],$W8))</f>
        <v/>
      </c>
      <c r="V8">
        <f>IF($W8="","",INDEX(명단표[구리 근무일(기준월)],$W8))</f>
        <v/>
      </c>
      <c r="W8" s="17">
        <f>IFERROR(MATCH(3,명단표[판정불가순번],0),"")</f>
        <v/>
      </c>
    </row>
    <row r="9">
      <c r="A9">
        <f>IF($P9="","",4)</f>
        <v/>
      </c>
      <c r="B9">
        <f>IF($P9="","",INDEX(명단표[이름],$P9))</f>
        <v/>
      </c>
      <c r="C9">
        <f>IF($P9="","",INDEX(명단표[사번],$P9)&amp;"")</f>
        <v/>
      </c>
      <c r="D9">
        <f>IF($P9="","",INDEX(명단표[전공의등록번호],$P9)&amp;"")</f>
        <v/>
      </c>
      <c r="E9">
        <f>IF($P9="","",INDEX(명단표[수련과목],$P9)&amp;"")</f>
        <v/>
      </c>
      <c r="F9">
        <f>IF($P9="","",INDEX(명단표[연차],$P9)&amp;"")</f>
        <v/>
      </c>
      <c r="G9">
        <f>IF($P9="","",INDEX(명단표[소속병원],$P9))</f>
        <v/>
      </c>
      <c r="H9">
        <f>IF($P9="","",IF(INDEX(명단표[소속병원],$P9)="서울병원","서울 소속","타 병원 소속("&amp;INDEX(명단표[소속병원],$P9)&amp;") → 서울 지급"))</f>
        <v/>
      </c>
      <c r="I9">
        <f>IF($P9="","",INDEX(명단표[현재 근무병원],$P9))</f>
        <v/>
      </c>
      <c r="J9">
        <f>IF($P9="","",INDEX(명단표[구리 근무 시작일(기준월)],$P9)&amp;"")</f>
        <v/>
      </c>
      <c r="K9">
        <f>IF($P9="","",INDEX(명단표[구리 근무 종료일(기준월)],$P9)&amp;"")</f>
        <v/>
      </c>
      <c r="L9">
        <f>IF($P9="","",INDEX(명단표[서울 근무일(기준월)],$P9))</f>
        <v/>
      </c>
      <c r="M9">
        <f>IF($P9="","",INDEX(명단표[구리 근무일(기준월)],$P9))</f>
        <v/>
      </c>
      <c r="N9">
        <f>IF($P9="","",INDEX(명단표[급여 판정 근거],$P9))</f>
        <v/>
      </c>
      <c r="O9">
        <f>IF($P9="","",INDEX(명단표[점검],$P9))</f>
        <v/>
      </c>
      <c r="P9" s="17">
        <f>IFERROR(MATCH(4,명단표[서울순번],0),"")</f>
        <v/>
      </c>
      <c r="R9">
        <f>IF($W9="","",INDEX(명단표[이름],$W9))</f>
        <v/>
      </c>
      <c r="S9">
        <f>IF($W9="","",INDEX(명단표[사번],$W9)&amp;"")</f>
        <v/>
      </c>
      <c r="T9">
        <f>IF($W9="","",INDEX(명단표[소속병원],$W9))</f>
        <v/>
      </c>
      <c r="U9">
        <f>IF($W9="","",INDEX(명단표[서울 근무일(기준월)],$W9))</f>
        <v/>
      </c>
      <c r="V9">
        <f>IF($W9="","",INDEX(명단표[구리 근무일(기준월)],$W9))</f>
        <v/>
      </c>
      <c r="W9" s="17">
        <f>IFERROR(MATCH(4,명단표[판정불가순번],0),"")</f>
        <v/>
      </c>
    </row>
    <row r="10">
      <c r="A10">
        <f>IF($P10="","",5)</f>
        <v/>
      </c>
      <c r="B10">
        <f>IF($P10="","",INDEX(명단표[이름],$P10))</f>
        <v/>
      </c>
      <c r="C10">
        <f>IF($P10="","",INDEX(명단표[사번],$P10)&amp;"")</f>
        <v/>
      </c>
      <c r="D10">
        <f>IF($P10="","",INDEX(명단표[전공의등록번호],$P10)&amp;"")</f>
        <v/>
      </c>
      <c r="E10">
        <f>IF($P10="","",INDEX(명단표[수련과목],$P10)&amp;"")</f>
        <v/>
      </c>
      <c r="F10">
        <f>IF($P10="","",INDEX(명단표[연차],$P10)&amp;"")</f>
        <v/>
      </c>
      <c r="G10">
        <f>IF($P10="","",INDEX(명단표[소속병원],$P10))</f>
        <v/>
      </c>
      <c r="H10">
        <f>IF($P10="","",IF(INDEX(명단표[소속병원],$P10)="서울병원","서울 소속","타 병원 소속("&amp;INDEX(명단표[소속병원],$P10)&amp;") → 서울 지급"))</f>
        <v/>
      </c>
      <c r="I10">
        <f>IF($P10="","",INDEX(명단표[현재 근무병원],$P10))</f>
        <v/>
      </c>
      <c r="J10">
        <f>IF($P10="","",INDEX(명단표[구리 근무 시작일(기준월)],$P10)&amp;"")</f>
        <v/>
      </c>
      <c r="K10">
        <f>IF($P10="","",INDEX(명단표[구리 근무 종료일(기준월)],$P10)&amp;"")</f>
        <v/>
      </c>
      <c r="L10">
        <f>IF($P10="","",INDEX(명단표[서울 근무일(기준월)],$P10))</f>
        <v/>
      </c>
      <c r="M10">
        <f>IF($P10="","",INDEX(명단표[구리 근무일(기준월)],$P10))</f>
        <v/>
      </c>
      <c r="N10">
        <f>IF($P10="","",INDEX(명단표[급여 판정 근거],$P10))</f>
        <v/>
      </c>
      <c r="O10">
        <f>IF($P10="","",INDEX(명단표[점검],$P10))</f>
        <v/>
      </c>
      <c r="P10" s="17">
        <f>IFERROR(MATCH(5,명단표[서울순번],0),"")</f>
        <v/>
      </c>
      <c r="R10">
        <f>IF($W10="","",INDEX(명단표[이름],$W10))</f>
        <v/>
      </c>
      <c r="S10">
        <f>IF($W10="","",INDEX(명단표[사번],$W10)&amp;"")</f>
        <v/>
      </c>
      <c r="T10">
        <f>IF($W10="","",INDEX(명단표[소속병원],$W10))</f>
        <v/>
      </c>
      <c r="U10">
        <f>IF($W10="","",INDEX(명단표[서울 근무일(기준월)],$W10))</f>
        <v/>
      </c>
      <c r="V10">
        <f>IF($W10="","",INDEX(명단표[구리 근무일(기준월)],$W10))</f>
        <v/>
      </c>
      <c r="W10" s="17">
        <f>IFERROR(MATCH(5,명단표[판정불가순번],0),"")</f>
        <v/>
      </c>
    </row>
    <row r="11">
      <c r="A11">
        <f>IF($P11="","",6)</f>
        <v/>
      </c>
      <c r="B11">
        <f>IF($P11="","",INDEX(명단표[이름],$P11))</f>
        <v/>
      </c>
      <c r="C11">
        <f>IF($P11="","",INDEX(명단표[사번],$P11)&amp;"")</f>
        <v/>
      </c>
      <c r="D11">
        <f>IF($P11="","",INDEX(명단표[전공의등록번호],$P11)&amp;"")</f>
        <v/>
      </c>
      <c r="E11">
        <f>IF($P11="","",INDEX(명단표[수련과목],$P11)&amp;"")</f>
        <v/>
      </c>
      <c r="F11">
        <f>IF($P11="","",INDEX(명단표[연차],$P11)&amp;"")</f>
        <v/>
      </c>
      <c r="G11">
        <f>IF($P11="","",INDEX(명단표[소속병원],$P11))</f>
        <v/>
      </c>
      <c r="H11">
        <f>IF($P11="","",IF(INDEX(명단표[소속병원],$P11)="서울병원","서울 소속","타 병원 소속("&amp;INDEX(명단표[소속병원],$P11)&amp;") → 서울 지급"))</f>
        <v/>
      </c>
      <c r="I11">
        <f>IF($P11="","",INDEX(명단표[현재 근무병원],$P11))</f>
        <v/>
      </c>
      <c r="J11">
        <f>IF($P11="","",INDEX(명단표[구리 근무 시작일(기준월)],$P11)&amp;"")</f>
        <v/>
      </c>
      <c r="K11">
        <f>IF($P11="","",INDEX(명단표[구리 근무 종료일(기준월)],$P11)&amp;"")</f>
        <v/>
      </c>
      <c r="L11">
        <f>IF($P11="","",INDEX(명단표[서울 근무일(기준월)],$P11))</f>
        <v/>
      </c>
      <c r="M11">
        <f>IF($P11="","",INDEX(명단표[구리 근무일(기준월)],$P11))</f>
        <v/>
      </c>
      <c r="N11">
        <f>IF($P11="","",INDEX(명단표[급여 판정 근거],$P11))</f>
        <v/>
      </c>
      <c r="O11">
        <f>IF($P11="","",INDEX(명단표[점검],$P11))</f>
        <v/>
      </c>
      <c r="P11" s="17">
        <f>IFERROR(MATCH(6,명단표[서울순번],0),"")</f>
        <v/>
      </c>
      <c r="R11">
        <f>IF($W11="","",INDEX(명단표[이름],$W11))</f>
        <v/>
      </c>
      <c r="S11">
        <f>IF($W11="","",INDEX(명단표[사번],$W11)&amp;"")</f>
        <v/>
      </c>
      <c r="T11">
        <f>IF($W11="","",INDEX(명단표[소속병원],$W11))</f>
        <v/>
      </c>
      <c r="U11">
        <f>IF($W11="","",INDEX(명단표[서울 근무일(기준월)],$W11))</f>
        <v/>
      </c>
      <c r="V11">
        <f>IF($W11="","",INDEX(명단표[구리 근무일(기준월)],$W11))</f>
        <v/>
      </c>
      <c r="W11" s="17">
        <f>IFERROR(MATCH(6,명단표[판정불가순번],0),"")</f>
        <v/>
      </c>
    </row>
    <row r="12">
      <c r="A12">
        <f>IF($P12="","",7)</f>
        <v/>
      </c>
      <c r="B12">
        <f>IF($P12="","",INDEX(명단표[이름],$P12))</f>
        <v/>
      </c>
      <c r="C12">
        <f>IF($P12="","",INDEX(명단표[사번],$P12)&amp;"")</f>
        <v/>
      </c>
      <c r="D12">
        <f>IF($P12="","",INDEX(명단표[전공의등록번호],$P12)&amp;"")</f>
        <v/>
      </c>
      <c r="E12">
        <f>IF($P12="","",INDEX(명단표[수련과목],$P12)&amp;"")</f>
        <v/>
      </c>
      <c r="F12">
        <f>IF($P12="","",INDEX(명단표[연차],$P12)&amp;"")</f>
        <v/>
      </c>
      <c r="G12">
        <f>IF($P12="","",INDEX(명단표[소속병원],$P12))</f>
        <v/>
      </c>
      <c r="H12">
        <f>IF($P12="","",IF(INDEX(명단표[소속병원],$P12)="서울병원","서울 소속","타 병원 소속("&amp;INDEX(명단표[소속병원],$P12)&amp;") → 서울 지급"))</f>
        <v/>
      </c>
      <c r="I12">
        <f>IF($P12="","",INDEX(명단표[현재 근무병원],$P12))</f>
        <v/>
      </c>
      <c r="J12">
        <f>IF($P12="","",INDEX(명단표[구리 근무 시작일(기준월)],$P12)&amp;"")</f>
        <v/>
      </c>
      <c r="K12">
        <f>IF($P12="","",INDEX(명단표[구리 근무 종료일(기준월)],$P12)&amp;"")</f>
        <v/>
      </c>
      <c r="L12">
        <f>IF($P12="","",INDEX(명단표[서울 근무일(기준월)],$P12))</f>
        <v/>
      </c>
      <c r="M12">
        <f>IF($P12="","",INDEX(명단표[구리 근무일(기준월)],$P12))</f>
        <v/>
      </c>
      <c r="N12">
        <f>IF($P12="","",INDEX(명단표[급여 판정 근거],$P12))</f>
        <v/>
      </c>
      <c r="O12">
        <f>IF($P12="","",INDEX(명단표[점검],$P12))</f>
        <v/>
      </c>
      <c r="P12" s="17">
        <f>IFERROR(MATCH(7,명단표[서울순번],0),"")</f>
        <v/>
      </c>
      <c r="R12">
        <f>IF($W12="","",INDEX(명단표[이름],$W12))</f>
        <v/>
      </c>
      <c r="S12">
        <f>IF($W12="","",INDEX(명단표[사번],$W12)&amp;"")</f>
        <v/>
      </c>
      <c r="T12">
        <f>IF($W12="","",INDEX(명단표[소속병원],$W12))</f>
        <v/>
      </c>
      <c r="U12">
        <f>IF($W12="","",INDEX(명단표[서울 근무일(기준월)],$W12))</f>
        <v/>
      </c>
      <c r="V12">
        <f>IF($W12="","",INDEX(명단표[구리 근무일(기준월)],$W12))</f>
        <v/>
      </c>
      <c r="W12" s="17">
        <f>IFERROR(MATCH(7,명단표[판정불가순번],0),"")</f>
        <v/>
      </c>
    </row>
    <row r="13">
      <c r="A13">
        <f>IF($P13="","",8)</f>
        <v/>
      </c>
      <c r="B13">
        <f>IF($P13="","",INDEX(명단표[이름],$P13))</f>
        <v/>
      </c>
      <c r="C13">
        <f>IF($P13="","",INDEX(명단표[사번],$P13)&amp;"")</f>
        <v/>
      </c>
      <c r="D13">
        <f>IF($P13="","",INDEX(명단표[전공의등록번호],$P13)&amp;"")</f>
        <v/>
      </c>
      <c r="E13">
        <f>IF($P13="","",INDEX(명단표[수련과목],$P13)&amp;"")</f>
        <v/>
      </c>
      <c r="F13">
        <f>IF($P13="","",INDEX(명단표[연차],$P13)&amp;"")</f>
        <v/>
      </c>
      <c r="G13">
        <f>IF($P13="","",INDEX(명단표[소속병원],$P13))</f>
        <v/>
      </c>
      <c r="H13">
        <f>IF($P13="","",IF(INDEX(명단표[소속병원],$P13)="서울병원","서울 소속","타 병원 소속("&amp;INDEX(명단표[소속병원],$P13)&amp;") → 서울 지급"))</f>
        <v/>
      </c>
      <c r="I13">
        <f>IF($P13="","",INDEX(명단표[현재 근무병원],$P13))</f>
        <v/>
      </c>
      <c r="J13">
        <f>IF($P13="","",INDEX(명단표[구리 근무 시작일(기준월)],$P13)&amp;"")</f>
        <v/>
      </c>
      <c r="K13">
        <f>IF($P13="","",INDEX(명단표[구리 근무 종료일(기준월)],$P13)&amp;"")</f>
        <v/>
      </c>
      <c r="L13">
        <f>IF($P13="","",INDEX(명단표[서울 근무일(기준월)],$P13))</f>
        <v/>
      </c>
      <c r="M13">
        <f>IF($P13="","",INDEX(명단표[구리 근무일(기준월)],$P13))</f>
        <v/>
      </c>
      <c r="N13">
        <f>IF($P13="","",INDEX(명단표[급여 판정 근거],$P13))</f>
        <v/>
      </c>
      <c r="O13">
        <f>IF($P13="","",INDEX(명단표[점검],$P13))</f>
        <v/>
      </c>
      <c r="P13" s="17">
        <f>IFERROR(MATCH(8,명단표[서울순번],0),"")</f>
        <v/>
      </c>
      <c r="R13">
        <f>IF($W13="","",INDEX(명단표[이름],$W13))</f>
        <v/>
      </c>
      <c r="S13">
        <f>IF($W13="","",INDEX(명단표[사번],$W13)&amp;"")</f>
        <v/>
      </c>
      <c r="T13">
        <f>IF($W13="","",INDEX(명단표[소속병원],$W13))</f>
        <v/>
      </c>
      <c r="U13">
        <f>IF($W13="","",INDEX(명단표[서울 근무일(기준월)],$W13))</f>
        <v/>
      </c>
      <c r="V13">
        <f>IF($W13="","",INDEX(명단표[구리 근무일(기준월)],$W13))</f>
        <v/>
      </c>
      <c r="W13" s="17">
        <f>IFERROR(MATCH(8,명단표[판정불가순번],0),"")</f>
        <v/>
      </c>
    </row>
    <row r="14">
      <c r="A14">
        <f>IF($P14="","",9)</f>
        <v/>
      </c>
      <c r="B14">
        <f>IF($P14="","",INDEX(명단표[이름],$P14))</f>
        <v/>
      </c>
      <c r="C14">
        <f>IF($P14="","",INDEX(명단표[사번],$P14)&amp;"")</f>
        <v/>
      </c>
      <c r="D14">
        <f>IF($P14="","",INDEX(명단표[전공의등록번호],$P14)&amp;"")</f>
        <v/>
      </c>
      <c r="E14">
        <f>IF($P14="","",INDEX(명단표[수련과목],$P14)&amp;"")</f>
        <v/>
      </c>
      <c r="F14">
        <f>IF($P14="","",INDEX(명단표[연차],$P14)&amp;"")</f>
        <v/>
      </c>
      <c r="G14">
        <f>IF($P14="","",INDEX(명단표[소속병원],$P14))</f>
        <v/>
      </c>
      <c r="H14">
        <f>IF($P14="","",IF(INDEX(명단표[소속병원],$P14)="서울병원","서울 소속","타 병원 소속("&amp;INDEX(명단표[소속병원],$P14)&amp;") → 서울 지급"))</f>
        <v/>
      </c>
      <c r="I14">
        <f>IF($P14="","",INDEX(명단표[현재 근무병원],$P14))</f>
        <v/>
      </c>
      <c r="J14">
        <f>IF($P14="","",INDEX(명단표[구리 근무 시작일(기준월)],$P14)&amp;"")</f>
        <v/>
      </c>
      <c r="K14">
        <f>IF($P14="","",INDEX(명단표[구리 근무 종료일(기준월)],$P14)&amp;"")</f>
        <v/>
      </c>
      <c r="L14">
        <f>IF($P14="","",INDEX(명단표[서울 근무일(기준월)],$P14))</f>
        <v/>
      </c>
      <c r="M14">
        <f>IF($P14="","",INDEX(명단표[구리 근무일(기준월)],$P14))</f>
        <v/>
      </c>
      <c r="N14">
        <f>IF($P14="","",INDEX(명단표[급여 판정 근거],$P14))</f>
        <v/>
      </c>
      <c r="O14">
        <f>IF($P14="","",INDEX(명단표[점검],$P14))</f>
        <v/>
      </c>
      <c r="P14" s="17">
        <f>IFERROR(MATCH(9,명단표[서울순번],0),"")</f>
        <v/>
      </c>
      <c r="R14">
        <f>IF($W14="","",INDEX(명단표[이름],$W14))</f>
        <v/>
      </c>
      <c r="S14">
        <f>IF($W14="","",INDEX(명단표[사번],$W14)&amp;"")</f>
        <v/>
      </c>
      <c r="T14">
        <f>IF($W14="","",INDEX(명단표[소속병원],$W14))</f>
        <v/>
      </c>
      <c r="U14">
        <f>IF($W14="","",INDEX(명단표[서울 근무일(기준월)],$W14))</f>
        <v/>
      </c>
      <c r="V14">
        <f>IF($W14="","",INDEX(명단표[구리 근무일(기준월)],$W14))</f>
        <v/>
      </c>
      <c r="W14" s="17">
        <f>IFERROR(MATCH(9,명단표[판정불가순번],0),"")</f>
        <v/>
      </c>
    </row>
    <row r="15">
      <c r="A15">
        <f>IF($P15="","",10)</f>
        <v/>
      </c>
      <c r="B15">
        <f>IF($P15="","",INDEX(명단표[이름],$P15))</f>
        <v/>
      </c>
      <c r="C15">
        <f>IF($P15="","",INDEX(명단표[사번],$P15)&amp;"")</f>
        <v/>
      </c>
      <c r="D15">
        <f>IF($P15="","",INDEX(명단표[전공의등록번호],$P15)&amp;"")</f>
        <v/>
      </c>
      <c r="E15">
        <f>IF($P15="","",INDEX(명단표[수련과목],$P15)&amp;"")</f>
        <v/>
      </c>
      <c r="F15">
        <f>IF($P15="","",INDEX(명단표[연차],$P15)&amp;"")</f>
        <v/>
      </c>
      <c r="G15">
        <f>IF($P15="","",INDEX(명단표[소속병원],$P15))</f>
        <v/>
      </c>
      <c r="H15">
        <f>IF($P15="","",IF(INDEX(명단표[소속병원],$P15)="서울병원","서울 소속","타 병원 소속("&amp;INDEX(명단표[소속병원],$P15)&amp;") → 서울 지급"))</f>
        <v/>
      </c>
      <c r="I15">
        <f>IF($P15="","",INDEX(명단표[현재 근무병원],$P15))</f>
        <v/>
      </c>
      <c r="J15">
        <f>IF($P15="","",INDEX(명단표[구리 근무 시작일(기준월)],$P15)&amp;"")</f>
        <v/>
      </c>
      <c r="K15">
        <f>IF($P15="","",INDEX(명단표[구리 근무 종료일(기준월)],$P15)&amp;"")</f>
        <v/>
      </c>
      <c r="L15">
        <f>IF($P15="","",INDEX(명단표[서울 근무일(기준월)],$P15))</f>
        <v/>
      </c>
      <c r="M15">
        <f>IF($P15="","",INDEX(명단표[구리 근무일(기준월)],$P15))</f>
        <v/>
      </c>
      <c r="N15">
        <f>IF($P15="","",INDEX(명단표[급여 판정 근거],$P15))</f>
        <v/>
      </c>
      <c r="O15">
        <f>IF($P15="","",INDEX(명단표[점검],$P15))</f>
        <v/>
      </c>
      <c r="P15" s="17">
        <f>IFERROR(MATCH(10,명단표[서울순번],0),"")</f>
        <v/>
      </c>
      <c r="R15">
        <f>IF($W15="","",INDEX(명단표[이름],$W15))</f>
        <v/>
      </c>
      <c r="S15">
        <f>IF($W15="","",INDEX(명단표[사번],$W15)&amp;"")</f>
        <v/>
      </c>
      <c r="T15">
        <f>IF($W15="","",INDEX(명단표[소속병원],$W15))</f>
        <v/>
      </c>
      <c r="U15">
        <f>IF($W15="","",INDEX(명단표[서울 근무일(기준월)],$W15))</f>
        <v/>
      </c>
      <c r="V15">
        <f>IF($W15="","",INDEX(명단표[구리 근무일(기준월)],$W15))</f>
        <v/>
      </c>
      <c r="W15" s="17">
        <f>IFERROR(MATCH(10,명단표[판정불가순번],0),"")</f>
        <v/>
      </c>
    </row>
    <row r="16">
      <c r="A16">
        <f>IF($P16="","",11)</f>
        <v/>
      </c>
      <c r="B16">
        <f>IF($P16="","",INDEX(명단표[이름],$P16))</f>
        <v/>
      </c>
      <c r="C16">
        <f>IF($P16="","",INDEX(명단표[사번],$P16)&amp;"")</f>
        <v/>
      </c>
      <c r="D16">
        <f>IF($P16="","",INDEX(명단표[전공의등록번호],$P16)&amp;"")</f>
        <v/>
      </c>
      <c r="E16">
        <f>IF($P16="","",INDEX(명단표[수련과목],$P16)&amp;"")</f>
        <v/>
      </c>
      <c r="F16">
        <f>IF($P16="","",INDEX(명단표[연차],$P16)&amp;"")</f>
        <v/>
      </c>
      <c r="G16">
        <f>IF($P16="","",INDEX(명단표[소속병원],$P16))</f>
        <v/>
      </c>
      <c r="H16">
        <f>IF($P16="","",IF(INDEX(명단표[소속병원],$P16)="서울병원","서울 소속","타 병원 소속("&amp;INDEX(명단표[소속병원],$P16)&amp;") → 서울 지급"))</f>
        <v/>
      </c>
      <c r="I16">
        <f>IF($P16="","",INDEX(명단표[현재 근무병원],$P16))</f>
        <v/>
      </c>
      <c r="J16">
        <f>IF($P16="","",INDEX(명단표[구리 근무 시작일(기준월)],$P16)&amp;"")</f>
        <v/>
      </c>
      <c r="K16">
        <f>IF($P16="","",INDEX(명단표[구리 근무 종료일(기준월)],$P16)&amp;"")</f>
        <v/>
      </c>
      <c r="L16">
        <f>IF($P16="","",INDEX(명단표[서울 근무일(기준월)],$P16))</f>
        <v/>
      </c>
      <c r="M16">
        <f>IF($P16="","",INDEX(명단표[구리 근무일(기준월)],$P16))</f>
        <v/>
      </c>
      <c r="N16">
        <f>IF($P16="","",INDEX(명단표[급여 판정 근거],$P16))</f>
        <v/>
      </c>
      <c r="O16">
        <f>IF($P16="","",INDEX(명단표[점검],$P16))</f>
        <v/>
      </c>
      <c r="P16" s="17">
        <f>IFERROR(MATCH(11,명단표[서울순번],0),"")</f>
        <v/>
      </c>
      <c r="R16">
        <f>IF($W16="","",INDEX(명단표[이름],$W16))</f>
        <v/>
      </c>
      <c r="S16">
        <f>IF($W16="","",INDEX(명단표[사번],$W16)&amp;"")</f>
        <v/>
      </c>
      <c r="T16">
        <f>IF($W16="","",INDEX(명단표[소속병원],$W16))</f>
        <v/>
      </c>
      <c r="U16">
        <f>IF($W16="","",INDEX(명단표[서울 근무일(기준월)],$W16))</f>
        <v/>
      </c>
      <c r="V16">
        <f>IF($W16="","",INDEX(명단표[구리 근무일(기준월)],$W16))</f>
        <v/>
      </c>
      <c r="W16" s="17">
        <f>IFERROR(MATCH(11,명단표[판정불가순번],0),"")</f>
        <v/>
      </c>
    </row>
    <row r="17">
      <c r="A17">
        <f>IF($P17="","",12)</f>
        <v/>
      </c>
      <c r="B17">
        <f>IF($P17="","",INDEX(명단표[이름],$P17))</f>
        <v/>
      </c>
      <c r="C17">
        <f>IF($P17="","",INDEX(명단표[사번],$P17)&amp;"")</f>
        <v/>
      </c>
      <c r="D17">
        <f>IF($P17="","",INDEX(명단표[전공의등록번호],$P17)&amp;"")</f>
        <v/>
      </c>
      <c r="E17">
        <f>IF($P17="","",INDEX(명단표[수련과목],$P17)&amp;"")</f>
        <v/>
      </c>
      <c r="F17">
        <f>IF($P17="","",INDEX(명단표[연차],$P17)&amp;"")</f>
        <v/>
      </c>
      <c r="G17">
        <f>IF($P17="","",INDEX(명단표[소속병원],$P17))</f>
        <v/>
      </c>
      <c r="H17">
        <f>IF($P17="","",IF(INDEX(명단표[소속병원],$P17)="서울병원","서울 소속","타 병원 소속("&amp;INDEX(명단표[소속병원],$P17)&amp;") → 서울 지급"))</f>
        <v/>
      </c>
      <c r="I17">
        <f>IF($P17="","",INDEX(명단표[현재 근무병원],$P17))</f>
        <v/>
      </c>
      <c r="J17">
        <f>IF($P17="","",INDEX(명단표[구리 근무 시작일(기준월)],$P17)&amp;"")</f>
        <v/>
      </c>
      <c r="K17">
        <f>IF($P17="","",INDEX(명단표[구리 근무 종료일(기준월)],$P17)&amp;"")</f>
        <v/>
      </c>
      <c r="L17">
        <f>IF($P17="","",INDEX(명단표[서울 근무일(기준월)],$P17))</f>
        <v/>
      </c>
      <c r="M17">
        <f>IF($P17="","",INDEX(명단표[구리 근무일(기준월)],$P17))</f>
        <v/>
      </c>
      <c r="N17">
        <f>IF($P17="","",INDEX(명단표[급여 판정 근거],$P17))</f>
        <v/>
      </c>
      <c r="O17">
        <f>IF($P17="","",INDEX(명단표[점검],$P17))</f>
        <v/>
      </c>
      <c r="P17" s="17">
        <f>IFERROR(MATCH(12,명단표[서울순번],0),"")</f>
        <v/>
      </c>
      <c r="R17">
        <f>IF($W17="","",INDEX(명단표[이름],$W17))</f>
        <v/>
      </c>
      <c r="S17">
        <f>IF($W17="","",INDEX(명단표[사번],$W17)&amp;"")</f>
        <v/>
      </c>
      <c r="T17">
        <f>IF($W17="","",INDEX(명단표[소속병원],$W17))</f>
        <v/>
      </c>
      <c r="U17">
        <f>IF($W17="","",INDEX(명단표[서울 근무일(기준월)],$W17))</f>
        <v/>
      </c>
      <c r="V17">
        <f>IF($W17="","",INDEX(명단표[구리 근무일(기준월)],$W17))</f>
        <v/>
      </c>
      <c r="W17" s="17">
        <f>IFERROR(MATCH(12,명단표[판정불가순번],0),"")</f>
        <v/>
      </c>
    </row>
    <row r="18">
      <c r="A18">
        <f>IF($P18="","",13)</f>
        <v/>
      </c>
      <c r="B18">
        <f>IF($P18="","",INDEX(명단표[이름],$P18))</f>
        <v/>
      </c>
      <c r="C18">
        <f>IF($P18="","",INDEX(명단표[사번],$P18)&amp;"")</f>
        <v/>
      </c>
      <c r="D18">
        <f>IF($P18="","",INDEX(명단표[전공의등록번호],$P18)&amp;"")</f>
        <v/>
      </c>
      <c r="E18">
        <f>IF($P18="","",INDEX(명단표[수련과목],$P18)&amp;"")</f>
        <v/>
      </c>
      <c r="F18">
        <f>IF($P18="","",INDEX(명단표[연차],$P18)&amp;"")</f>
        <v/>
      </c>
      <c r="G18">
        <f>IF($P18="","",INDEX(명단표[소속병원],$P18))</f>
        <v/>
      </c>
      <c r="H18">
        <f>IF($P18="","",IF(INDEX(명단표[소속병원],$P18)="서울병원","서울 소속","타 병원 소속("&amp;INDEX(명단표[소속병원],$P18)&amp;") → 서울 지급"))</f>
        <v/>
      </c>
      <c r="I18">
        <f>IF($P18="","",INDEX(명단표[현재 근무병원],$P18))</f>
        <v/>
      </c>
      <c r="J18">
        <f>IF($P18="","",INDEX(명단표[구리 근무 시작일(기준월)],$P18)&amp;"")</f>
        <v/>
      </c>
      <c r="K18">
        <f>IF($P18="","",INDEX(명단표[구리 근무 종료일(기준월)],$P18)&amp;"")</f>
        <v/>
      </c>
      <c r="L18">
        <f>IF($P18="","",INDEX(명단표[서울 근무일(기준월)],$P18))</f>
        <v/>
      </c>
      <c r="M18">
        <f>IF($P18="","",INDEX(명단표[구리 근무일(기준월)],$P18))</f>
        <v/>
      </c>
      <c r="N18">
        <f>IF($P18="","",INDEX(명단표[급여 판정 근거],$P18))</f>
        <v/>
      </c>
      <c r="O18">
        <f>IF($P18="","",INDEX(명단표[점검],$P18))</f>
        <v/>
      </c>
      <c r="P18" s="17">
        <f>IFERROR(MATCH(13,명단표[서울순번],0),"")</f>
        <v/>
      </c>
      <c r="R18">
        <f>IF($W18="","",INDEX(명단표[이름],$W18))</f>
        <v/>
      </c>
      <c r="S18">
        <f>IF($W18="","",INDEX(명단표[사번],$W18)&amp;"")</f>
        <v/>
      </c>
      <c r="T18">
        <f>IF($W18="","",INDEX(명단표[소속병원],$W18))</f>
        <v/>
      </c>
      <c r="U18">
        <f>IF($W18="","",INDEX(명단표[서울 근무일(기준월)],$W18))</f>
        <v/>
      </c>
      <c r="V18">
        <f>IF($W18="","",INDEX(명단표[구리 근무일(기준월)],$W18))</f>
        <v/>
      </c>
      <c r="W18" s="17">
        <f>IFERROR(MATCH(13,명단표[판정불가순번],0),"")</f>
        <v/>
      </c>
    </row>
    <row r="19">
      <c r="A19">
        <f>IF($P19="","",14)</f>
        <v/>
      </c>
      <c r="B19">
        <f>IF($P19="","",INDEX(명단표[이름],$P19))</f>
        <v/>
      </c>
      <c r="C19">
        <f>IF($P19="","",INDEX(명단표[사번],$P19)&amp;"")</f>
        <v/>
      </c>
      <c r="D19">
        <f>IF($P19="","",INDEX(명단표[전공의등록번호],$P19)&amp;"")</f>
        <v/>
      </c>
      <c r="E19">
        <f>IF($P19="","",INDEX(명단표[수련과목],$P19)&amp;"")</f>
        <v/>
      </c>
      <c r="F19">
        <f>IF($P19="","",INDEX(명단표[연차],$P19)&amp;"")</f>
        <v/>
      </c>
      <c r="G19">
        <f>IF($P19="","",INDEX(명단표[소속병원],$P19))</f>
        <v/>
      </c>
      <c r="H19">
        <f>IF($P19="","",IF(INDEX(명단표[소속병원],$P19)="서울병원","서울 소속","타 병원 소속("&amp;INDEX(명단표[소속병원],$P19)&amp;") → 서울 지급"))</f>
        <v/>
      </c>
      <c r="I19">
        <f>IF($P19="","",INDEX(명단표[현재 근무병원],$P19))</f>
        <v/>
      </c>
      <c r="J19">
        <f>IF($P19="","",INDEX(명단표[구리 근무 시작일(기준월)],$P19)&amp;"")</f>
        <v/>
      </c>
      <c r="K19">
        <f>IF($P19="","",INDEX(명단표[구리 근무 종료일(기준월)],$P19)&amp;"")</f>
        <v/>
      </c>
      <c r="L19">
        <f>IF($P19="","",INDEX(명단표[서울 근무일(기준월)],$P19))</f>
        <v/>
      </c>
      <c r="M19">
        <f>IF($P19="","",INDEX(명단표[구리 근무일(기준월)],$P19))</f>
        <v/>
      </c>
      <c r="N19">
        <f>IF($P19="","",INDEX(명단표[급여 판정 근거],$P19))</f>
        <v/>
      </c>
      <c r="O19">
        <f>IF($P19="","",INDEX(명단표[점검],$P19))</f>
        <v/>
      </c>
      <c r="P19" s="17">
        <f>IFERROR(MATCH(14,명단표[서울순번],0),"")</f>
        <v/>
      </c>
      <c r="R19">
        <f>IF($W19="","",INDEX(명단표[이름],$W19))</f>
        <v/>
      </c>
      <c r="S19">
        <f>IF($W19="","",INDEX(명단표[사번],$W19)&amp;"")</f>
        <v/>
      </c>
      <c r="T19">
        <f>IF($W19="","",INDEX(명단표[소속병원],$W19))</f>
        <v/>
      </c>
      <c r="U19">
        <f>IF($W19="","",INDEX(명단표[서울 근무일(기준월)],$W19))</f>
        <v/>
      </c>
      <c r="V19">
        <f>IF($W19="","",INDEX(명단표[구리 근무일(기준월)],$W19))</f>
        <v/>
      </c>
      <c r="W19" s="17">
        <f>IFERROR(MATCH(14,명단표[판정불가순번],0),"")</f>
        <v/>
      </c>
    </row>
    <row r="20">
      <c r="A20">
        <f>IF($P20="","",15)</f>
        <v/>
      </c>
      <c r="B20">
        <f>IF($P20="","",INDEX(명단표[이름],$P20))</f>
        <v/>
      </c>
      <c r="C20">
        <f>IF($P20="","",INDEX(명단표[사번],$P20)&amp;"")</f>
        <v/>
      </c>
      <c r="D20">
        <f>IF($P20="","",INDEX(명단표[전공의등록번호],$P20)&amp;"")</f>
        <v/>
      </c>
      <c r="E20">
        <f>IF($P20="","",INDEX(명단표[수련과목],$P20)&amp;"")</f>
        <v/>
      </c>
      <c r="F20">
        <f>IF($P20="","",INDEX(명단표[연차],$P20)&amp;"")</f>
        <v/>
      </c>
      <c r="G20">
        <f>IF($P20="","",INDEX(명단표[소속병원],$P20))</f>
        <v/>
      </c>
      <c r="H20">
        <f>IF($P20="","",IF(INDEX(명단표[소속병원],$P20)="서울병원","서울 소속","타 병원 소속("&amp;INDEX(명단표[소속병원],$P20)&amp;") → 서울 지급"))</f>
        <v/>
      </c>
      <c r="I20">
        <f>IF($P20="","",INDEX(명단표[현재 근무병원],$P20))</f>
        <v/>
      </c>
      <c r="J20">
        <f>IF($P20="","",INDEX(명단표[구리 근무 시작일(기준월)],$P20)&amp;"")</f>
        <v/>
      </c>
      <c r="K20">
        <f>IF($P20="","",INDEX(명단표[구리 근무 종료일(기준월)],$P20)&amp;"")</f>
        <v/>
      </c>
      <c r="L20">
        <f>IF($P20="","",INDEX(명단표[서울 근무일(기준월)],$P20))</f>
        <v/>
      </c>
      <c r="M20">
        <f>IF($P20="","",INDEX(명단표[구리 근무일(기준월)],$P20))</f>
        <v/>
      </c>
      <c r="N20">
        <f>IF($P20="","",INDEX(명단표[급여 판정 근거],$P20))</f>
        <v/>
      </c>
      <c r="O20">
        <f>IF($P20="","",INDEX(명단표[점검],$P20))</f>
        <v/>
      </c>
      <c r="P20" s="17">
        <f>IFERROR(MATCH(15,명단표[서울순번],0),"")</f>
        <v/>
      </c>
      <c r="R20">
        <f>IF($W20="","",INDEX(명단표[이름],$W20))</f>
        <v/>
      </c>
      <c r="S20">
        <f>IF($W20="","",INDEX(명단표[사번],$W20)&amp;"")</f>
        <v/>
      </c>
      <c r="T20">
        <f>IF($W20="","",INDEX(명단표[소속병원],$W20))</f>
        <v/>
      </c>
      <c r="U20">
        <f>IF($W20="","",INDEX(명단표[서울 근무일(기준월)],$W20))</f>
        <v/>
      </c>
      <c r="V20">
        <f>IF($W20="","",INDEX(명단표[구리 근무일(기준월)],$W20))</f>
        <v/>
      </c>
      <c r="W20" s="17">
        <f>IFERROR(MATCH(15,명단표[판정불가순번],0),"")</f>
        <v/>
      </c>
    </row>
    <row r="21">
      <c r="A21">
        <f>IF($P21="","",16)</f>
        <v/>
      </c>
      <c r="B21">
        <f>IF($P21="","",INDEX(명단표[이름],$P21))</f>
        <v/>
      </c>
      <c r="C21">
        <f>IF($P21="","",INDEX(명단표[사번],$P21)&amp;"")</f>
        <v/>
      </c>
      <c r="D21">
        <f>IF($P21="","",INDEX(명단표[전공의등록번호],$P21)&amp;"")</f>
        <v/>
      </c>
      <c r="E21">
        <f>IF($P21="","",INDEX(명단표[수련과목],$P21)&amp;"")</f>
        <v/>
      </c>
      <c r="F21">
        <f>IF($P21="","",INDEX(명단표[연차],$P21)&amp;"")</f>
        <v/>
      </c>
      <c r="G21">
        <f>IF($P21="","",INDEX(명단표[소속병원],$P21))</f>
        <v/>
      </c>
      <c r="H21">
        <f>IF($P21="","",IF(INDEX(명단표[소속병원],$P21)="서울병원","서울 소속","타 병원 소속("&amp;INDEX(명단표[소속병원],$P21)&amp;") → 서울 지급"))</f>
        <v/>
      </c>
      <c r="I21">
        <f>IF($P21="","",INDEX(명단표[현재 근무병원],$P21))</f>
        <v/>
      </c>
      <c r="J21">
        <f>IF($P21="","",INDEX(명단표[구리 근무 시작일(기준월)],$P21)&amp;"")</f>
        <v/>
      </c>
      <c r="K21">
        <f>IF($P21="","",INDEX(명단표[구리 근무 종료일(기준월)],$P21)&amp;"")</f>
        <v/>
      </c>
      <c r="L21">
        <f>IF($P21="","",INDEX(명단표[서울 근무일(기준월)],$P21))</f>
        <v/>
      </c>
      <c r="M21">
        <f>IF($P21="","",INDEX(명단표[구리 근무일(기준월)],$P21))</f>
        <v/>
      </c>
      <c r="N21">
        <f>IF($P21="","",INDEX(명단표[급여 판정 근거],$P21))</f>
        <v/>
      </c>
      <c r="O21">
        <f>IF($P21="","",INDEX(명단표[점검],$P21))</f>
        <v/>
      </c>
      <c r="P21" s="17">
        <f>IFERROR(MATCH(16,명단표[서울순번],0),"")</f>
        <v/>
      </c>
      <c r="R21">
        <f>IF($W21="","",INDEX(명단표[이름],$W21))</f>
        <v/>
      </c>
      <c r="S21">
        <f>IF($W21="","",INDEX(명단표[사번],$W21)&amp;"")</f>
        <v/>
      </c>
      <c r="T21">
        <f>IF($W21="","",INDEX(명단표[소속병원],$W21))</f>
        <v/>
      </c>
      <c r="U21">
        <f>IF($W21="","",INDEX(명단표[서울 근무일(기준월)],$W21))</f>
        <v/>
      </c>
      <c r="V21">
        <f>IF($W21="","",INDEX(명단표[구리 근무일(기준월)],$W21))</f>
        <v/>
      </c>
      <c r="W21" s="17">
        <f>IFERROR(MATCH(16,명단표[판정불가순번],0),"")</f>
        <v/>
      </c>
    </row>
    <row r="22">
      <c r="A22">
        <f>IF($P22="","",17)</f>
        <v/>
      </c>
      <c r="B22">
        <f>IF($P22="","",INDEX(명단표[이름],$P22))</f>
        <v/>
      </c>
      <c r="C22">
        <f>IF($P22="","",INDEX(명단표[사번],$P22)&amp;"")</f>
        <v/>
      </c>
      <c r="D22">
        <f>IF($P22="","",INDEX(명단표[전공의등록번호],$P22)&amp;"")</f>
        <v/>
      </c>
      <c r="E22">
        <f>IF($P22="","",INDEX(명단표[수련과목],$P22)&amp;"")</f>
        <v/>
      </c>
      <c r="F22">
        <f>IF($P22="","",INDEX(명단표[연차],$P22)&amp;"")</f>
        <v/>
      </c>
      <c r="G22">
        <f>IF($P22="","",INDEX(명단표[소속병원],$P22))</f>
        <v/>
      </c>
      <c r="H22">
        <f>IF($P22="","",IF(INDEX(명단표[소속병원],$P22)="서울병원","서울 소속","타 병원 소속("&amp;INDEX(명단표[소속병원],$P22)&amp;") → 서울 지급"))</f>
        <v/>
      </c>
      <c r="I22">
        <f>IF($P22="","",INDEX(명단표[현재 근무병원],$P22))</f>
        <v/>
      </c>
      <c r="J22">
        <f>IF($P22="","",INDEX(명단표[구리 근무 시작일(기준월)],$P22)&amp;"")</f>
        <v/>
      </c>
      <c r="K22">
        <f>IF($P22="","",INDEX(명단표[구리 근무 종료일(기준월)],$P22)&amp;"")</f>
        <v/>
      </c>
      <c r="L22">
        <f>IF($P22="","",INDEX(명단표[서울 근무일(기준월)],$P22))</f>
        <v/>
      </c>
      <c r="M22">
        <f>IF($P22="","",INDEX(명단표[구리 근무일(기준월)],$P22))</f>
        <v/>
      </c>
      <c r="N22">
        <f>IF($P22="","",INDEX(명단표[급여 판정 근거],$P22))</f>
        <v/>
      </c>
      <c r="O22">
        <f>IF($P22="","",INDEX(명단표[점검],$P22))</f>
        <v/>
      </c>
      <c r="P22" s="17">
        <f>IFERROR(MATCH(17,명단표[서울순번],0),"")</f>
        <v/>
      </c>
      <c r="R22">
        <f>IF($W22="","",INDEX(명단표[이름],$W22))</f>
        <v/>
      </c>
      <c r="S22">
        <f>IF($W22="","",INDEX(명단표[사번],$W22)&amp;"")</f>
        <v/>
      </c>
      <c r="T22">
        <f>IF($W22="","",INDEX(명단표[소속병원],$W22))</f>
        <v/>
      </c>
      <c r="U22">
        <f>IF($W22="","",INDEX(명단표[서울 근무일(기준월)],$W22))</f>
        <v/>
      </c>
      <c r="V22">
        <f>IF($W22="","",INDEX(명단표[구리 근무일(기준월)],$W22))</f>
        <v/>
      </c>
      <c r="W22" s="17">
        <f>IFERROR(MATCH(17,명단표[판정불가순번],0),"")</f>
        <v/>
      </c>
    </row>
    <row r="23">
      <c r="A23">
        <f>IF($P23="","",18)</f>
        <v/>
      </c>
      <c r="B23">
        <f>IF($P23="","",INDEX(명단표[이름],$P23))</f>
        <v/>
      </c>
      <c r="C23">
        <f>IF($P23="","",INDEX(명단표[사번],$P23)&amp;"")</f>
        <v/>
      </c>
      <c r="D23">
        <f>IF($P23="","",INDEX(명단표[전공의등록번호],$P23)&amp;"")</f>
        <v/>
      </c>
      <c r="E23">
        <f>IF($P23="","",INDEX(명단표[수련과목],$P23)&amp;"")</f>
        <v/>
      </c>
      <c r="F23">
        <f>IF($P23="","",INDEX(명단표[연차],$P23)&amp;"")</f>
        <v/>
      </c>
      <c r="G23">
        <f>IF($P23="","",INDEX(명단표[소속병원],$P23))</f>
        <v/>
      </c>
      <c r="H23">
        <f>IF($P23="","",IF(INDEX(명단표[소속병원],$P23)="서울병원","서울 소속","타 병원 소속("&amp;INDEX(명단표[소속병원],$P23)&amp;") → 서울 지급"))</f>
        <v/>
      </c>
      <c r="I23">
        <f>IF($P23="","",INDEX(명단표[현재 근무병원],$P23))</f>
        <v/>
      </c>
      <c r="J23">
        <f>IF($P23="","",INDEX(명단표[구리 근무 시작일(기준월)],$P23)&amp;"")</f>
        <v/>
      </c>
      <c r="K23">
        <f>IF($P23="","",INDEX(명단표[구리 근무 종료일(기준월)],$P23)&amp;"")</f>
        <v/>
      </c>
      <c r="L23">
        <f>IF($P23="","",INDEX(명단표[서울 근무일(기준월)],$P23))</f>
        <v/>
      </c>
      <c r="M23">
        <f>IF($P23="","",INDEX(명단표[구리 근무일(기준월)],$P23))</f>
        <v/>
      </c>
      <c r="N23">
        <f>IF($P23="","",INDEX(명단표[급여 판정 근거],$P23))</f>
        <v/>
      </c>
      <c r="O23">
        <f>IF($P23="","",INDEX(명단표[점검],$P23))</f>
        <v/>
      </c>
      <c r="P23" s="17">
        <f>IFERROR(MATCH(18,명단표[서울순번],0),"")</f>
        <v/>
      </c>
      <c r="R23">
        <f>IF($W23="","",INDEX(명단표[이름],$W23))</f>
        <v/>
      </c>
      <c r="S23">
        <f>IF($W23="","",INDEX(명단표[사번],$W23)&amp;"")</f>
        <v/>
      </c>
      <c r="T23">
        <f>IF($W23="","",INDEX(명단표[소속병원],$W23))</f>
        <v/>
      </c>
      <c r="U23">
        <f>IF($W23="","",INDEX(명단표[서울 근무일(기준월)],$W23))</f>
        <v/>
      </c>
      <c r="V23">
        <f>IF($W23="","",INDEX(명단표[구리 근무일(기준월)],$W23))</f>
        <v/>
      </c>
      <c r="W23" s="17">
        <f>IFERROR(MATCH(18,명단표[판정불가순번],0),"")</f>
        <v/>
      </c>
    </row>
    <row r="24">
      <c r="A24">
        <f>IF($P24="","",19)</f>
        <v/>
      </c>
      <c r="B24">
        <f>IF($P24="","",INDEX(명단표[이름],$P24))</f>
        <v/>
      </c>
      <c r="C24">
        <f>IF($P24="","",INDEX(명단표[사번],$P24)&amp;"")</f>
        <v/>
      </c>
      <c r="D24">
        <f>IF($P24="","",INDEX(명단표[전공의등록번호],$P24)&amp;"")</f>
        <v/>
      </c>
      <c r="E24">
        <f>IF($P24="","",INDEX(명단표[수련과목],$P24)&amp;"")</f>
        <v/>
      </c>
      <c r="F24">
        <f>IF($P24="","",INDEX(명단표[연차],$P24)&amp;"")</f>
        <v/>
      </c>
      <c r="G24">
        <f>IF($P24="","",INDEX(명단표[소속병원],$P24))</f>
        <v/>
      </c>
      <c r="H24">
        <f>IF($P24="","",IF(INDEX(명단표[소속병원],$P24)="서울병원","서울 소속","타 병원 소속("&amp;INDEX(명단표[소속병원],$P24)&amp;") → 서울 지급"))</f>
        <v/>
      </c>
      <c r="I24">
        <f>IF($P24="","",INDEX(명단표[현재 근무병원],$P24))</f>
        <v/>
      </c>
      <c r="J24">
        <f>IF($P24="","",INDEX(명단표[구리 근무 시작일(기준월)],$P24)&amp;"")</f>
        <v/>
      </c>
      <c r="K24">
        <f>IF($P24="","",INDEX(명단표[구리 근무 종료일(기준월)],$P24)&amp;"")</f>
        <v/>
      </c>
      <c r="L24">
        <f>IF($P24="","",INDEX(명단표[서울 근무일(기준월)],$P24))</f>
        <v/>
      </c>
      <c r="M24">
        <f>IF($P24="","",INDEX(명단표[구리 근무일(기준월)],$P24))</f>
        <v/>
      </c>
      <c r="N24">
        <f>IF($P24="","",INDEX(명단표[급여 판정 근거],$P24))</f>
        <v/>
      </c>
      <c r="O24">
        <f>IF($P24="","",INDEX(명단표[점검],$P24))</f>
        <v/>
      </c>
      <c r="P24" s="17">
        <f>IFERROR(MATCH(19,명단표[서울순번],0),"")</f>
        <v/>
      </c>
      <c r="R24">
        <f>IF($W24="","",INDEX(명단표[이름],$W24))</f>
        <v/>
      </c>
      <c r="S24">
        <f>IF($W24="","",INDEX(명단표[사번],$W24)&amp;"")</f>
        <v/>
      </c>
      <c r="T24">
        <f>IF($W24="","",INDEX(명단표[소속병원],$W24))</f>
        <v/>
      </c>
      <c r="U24">
        <f>IF($W24="","",INDEX(명단표[서울 근무일(기준월)],$W24))</f>
        <v/>
      </c>
      <c r="V24">
        <f>IF($W24="","",INDEX(명단표[구리 근무일(기준월)],$W24))</f>
        <v/>
      </c>
      <c r="W24" s="17">
        <f>IFERROR(MATCH(19,명단표[판정불가순번],0),"")</f>
        <v/>
      </c>
    </row>
    <row r="25">
      <c r="A25">
        <f>IF($P25="","",20)</f>
        <v/>
      </c>
      <c r="B25">
        <f>IF($P25="","",INDEX(명단표[이름],$P25))</f>
        <v/>
      </c>
      <c r="C25">
        <f>IF($P25="","",INDEX(명단표[사번],$P25)&amp;"")</f>
        <v/>
      </c>
      <c r="D25">
        <f>IF($P25="","",INDEX(명단표[전공의등록번호],$P25)&amp;"")</f>
        <v/>
      </c>
      <c r="E25">
        <f>IF($P25="","",INDEX(명단표[수련과목],$P25)&amp;"")</f>
        <v/>
      </c>
      <c r="F25">
        <f>IF($P25="","",INDEX(명단표[연차],$P25)&amp;"")</f>
        <v/>
      </c>
      <c r="G25">
        <f>IF($P25="","",INDEX(명단표[소속병원],$P25))</f>
        <v/>
      </c>
      <c r="H25">
        <f>IF($P25="","",IF(INDEX(명단표[소속병원],$P25)="서울병원","서울 소속","타 병원 소속("&amp;INDEX(명단표[소속병원],$P25)&amp;") → 서울 지급"))</f>
        <v/>
      </c>
      <c r="I25">
        <f>IF($P25="","",INDEX(명단표[현재 근무병원],$P25))</f>
        <v/>
      </c>
      <c r="J25">
        <f>IF($P25="","",INDEX(명단표[구리 근무 시작일(기준월)],$P25)&amp;"")</f>
        <v/>
      </c>
      <c r="K25">
        <f>IF($P25="","",INDEX(명단표[구리 근무 종료일(기준월)],$P25)&amp;"")</f>
        <v/>
      </c>
      <c r="L25">
        <f>IF($P25="","",INDEX(명단표[서울 근무일(기준월)],$P25))</f>
        <v/>
      </c>
      <c r="M25">
        <f>IF($P25="","",INDEX(명단표[구리 근무일(기준월)],$P25))</f>
        <v/>
      </c>
      <c r="N25">
        <f>IF($P25="","",INDEX(명단표[급여 판정 근거],$P25))</f>
        <v/>
      </c>
      <c r="O25">
        <f>IF($P25="","",INDEX(명단표[점검],$P25))</f>
        <v/>
      </c>
      <c r="P25" s="17">
        <f>IFERROR(MATCH(20,명단표[서울순번],0),"")</f>
        <v/>
      </c>
      <c r="R25">
        <f>IF($W25="","",INDEX(명단표[이름],$W25))</f>
        <v/>
      </c>
      <c r="S25">
        <f>IF($W25="","",INDEX(명단표[사번],$W25)&amp;"")</f>
        <v/>
      </c>
      <c r="T25">
        <f>IF($W25="","",INDEX(명단표[소속병원],$W25))</f>
        <v/>
      </c>
      <c r="U25">
        <f>IF($W25="","",INDEX(명단표[서울 근무일(기준월)],$W25))</f>
        <v/>
      </c>
      <c r="V25">
        <f>IF($W25="","",INDEX(명단표[구리 근무일(기준월)],$W25))</f>
        <v/>
      </c>
      <c r="W25" s="17">
        <f>IFERROR(MATCH(20,명단표[판정불가순번],0),"")</f>
        <v/>
      </c>
    </row>
    <row r="26">
      <c r="A26">
        <f>IF($P26="","",21)</f>
        <v/>
      </c>
      <c r="B26">
        <f>IF($P26="","",INDEX(명단표[이름],$P26))</f>
        <v/>
      </c>
      <c r="C26">
        <f>IF($P26="","",INDEX(명단표[사번],$P26)&amp;"")</f>
        <v/>
      </c>
      <c r="D26">
        <f>IF($P26="","",INDEX(명단표[전공의등록번호],$P26)&amp;"")</f>
        <v/>
      </c>
      <c r="E26">
        <f>IF($P26="","",INDEX(명단표[수련과목],$P26)&amp;"")</f>
        <v/>
      </c>
      <c r="F26">
        <f>IF($P26="","",INDEX(명단표[연차],$P26)&amp;"")</f>
        <v/>
      </c>
      <c r="G26">
        <f>IF($P26="","",INDEX(명단표[소속병원],$P26))</f>
        <v/>
      </c>
      <c r="H26">
        <f>IF($P26="","",IF(INDEX(명단표[소속병원],$P26)="서울병원","서울 소속","타 병원 소속("&amp;INDEX(명단표[소속병원],$P26)&amp;") → 서울 지급"))</f>
        <v/>
      </c>
      <c r="I26">
        <f>IF($P26="","",INDEX(명단표[현재 근무병원],$P26))</f>
        <v/>
      </c>
      <c r="J26">
        <f>IF($P26="","",INDEX(명단표[구리 근무 시작일(기준월)],$P26)&amp;"")</f>
        <v/>
      </c>
      <c r="K26">
        <f>IF($P26="","",INDEX(명단표[구리 근무 종료일(기준월)],$P26)&amp;"")</f>
        <v/>
      </c>
      <c r="L26">
        <f>IF($P26="","",INDEX(명단표[서울 근무일(기준월)],$P26))</f>
        <v/>
      </c>
      <c r="M26">
        <f>IF($P26="","",INDEX(명단표[구리 근무일(기준월)],$P26))</f>
        <v/>
      </c>
      <c r="N26">
        <f>IF($P26="","",INDEX(명단표[급여 판정 근거],$P26))</f>
        <v/>
      </c>
      <c r="O26">
        <f>IF($P26="","",INDEX(명단표[점검],$P26))</f>
        <v/>
      </c>
      <c r="P26" s="17">
        <f>IFERROR(MATCH(21,명단표[서울순번],0),"")</f>
        <v/>
      </c>
      <c r="R26">
        <f>IF($W26="","",INDEX(명단표[이름],$W26))</f>
        <v/>
      </c>
      <c r="S26">
        <f>IF($W26="","",INDEX(명단표[사번],$W26)&amp;"")</f>
        <v/>
      </c>
      <c r="T26">
        <f>IF($W26="","",INDEX(명단표[소속병원],$W26))</f>
        <v/>
      </c>
      <c r="U26">
        <f>IF($W26="","",INDEX(명단표[서울 근무일(기준월)],$W26))</f>
        <v/>
      </c>
      <c r="V26">
        <f>IF($W26="","",INDEX(명단표[구리 근무일(기준월)],$W26))</f>
        <v/>
      </c>
      <c r="W26" s="17">
        <f>IFERROR(MATCH(21,명단표[판정불가순번],0),"")</f>
        <v/>
      </c>
    </row>
    <row r="27">
      <c r="A27">
        <f>IF($P27="","",22)</f>
        <v/>
      </c>
      <c r="B27">
        <f>IF($P27="","",INDEX(명단표[이름],$P27))</f>
        <v/>
      </c>
      <c r="C27">
        <f>IF($P27="","",INDEX(명단표[사번],$P27)&amp;"")</f>
        <v/>
      </c>
      <c r="D27">
        <f>IF($P27="","",INDEX(명단표[전공의등록번호],$P27)&amp;"")</f>
        <v/>
      </c>
      <c r="E27">
        <f>IF($P27="","",INDEX(명단표[수련과목],$P27)&amp;"")</f>
        <v/>
      </c>
      <c r="F27">
        <f>IF($P27="","",INDEX(명단표[연차],$P27)&amp;"")</f>
        <v/>
      </c>
      <c r="G27">
        <f>IF($P27="","",INDEX(명단표[소속병원],$P27))</f>
        <v/>
      </c>
      <c r="H27">
        <f>IF($P27="","",IF(INDEX(명단표[소속병원],$P27)="서울병원","서울 소속","타 병원 소속("&amp;INDEX(명단표[소속병원],$P27)&amp;") → 서울 지급"))</f>
        <v/>
      </c>
      <c r="I27">
        <f>IF($P27="","",INDEX(명단표[현재 근무병원],$P27))</f>
        <v/>
      </c>
      <c r="J27">
        <f>IF($P27="","",INDEX(명단표[구리 근무 시작일(기준월)],$P27)&amp;"")</f>
        <v/>
      </c>
      <c r="K27">
        <f>IF($P27="","",INDEX(명단표[구리 근무 종료일(기준월)],$P27)&amp;"")</f>
        <v/>
      </c>
      <c r="L27">
        <f>IF($P27="","",INDEX(명단표[서울 근무일(기준월)],$P27))</f>
        <v/>
      </c>
      <c r="M27">
        <f>IF($P27="","",INDEX(명단표[구리 근무일(기준월)],$P27))</f>
        <v/>
      </c>
      <c r="N27">
        <f>IF($P27="","",INDEX(명단표[급여 판정 근거],$P27))</f>
        <v/>
      </c>
      <c r="O27">
        <f>IF($P27="","",INDEX(명단표[점검],$P27))</f>
        <v/>
      </c>
      <c r="P27" s="17">
        <f>IFERROR(MATCH(22,명단표[서울순번],0),"")</f>
        <v/>
      </c>
      <c r="R27">
        <f>IF($W27="","",INDEX(명단표[이름],$W27))</f>
        <v/>
      </c>
      <c r="S27">
        <f>IF($W27="","",INDEX(명단표[사번],$W27)&amp;"")</f>
        <v/>
      </c>
      <c r="T27">
        <f>IF($W27="","",INDEX(명단표[소속병원],$W27))</f>
        <v/>
      </c>
      <c r="U27">
        <f>IF($W27="","",INDEX(명단표[서울 근무일(기준월)],$W27))</f>
        <v/>
      </c>
      <c r="V27">
        <f>IF($W27="","",INDEX(명단표[구리 근무일(기준월)],$W27))</f>
        <v/>
      </c>
      <c r="W27" s="17">
        <f>IFERROR(MATCH(22,명단표[판정불가순번],0),"")</f>
        <v/>
      </c>
    </row>
    <row r="28">
      <c r="A28">
        <f>IF($P28="","",23)</f>
        <v/>
      </c>
      <c r="B28">
        <f>IF($P28="","",INDEX(명단표[이름],$P28))</f>
        <v/>
      </c>
      <c r="C28">
        <f>IF($P28="","",INDEX(명단표[사번],$P28)&amp;"")</f>
        <v/>
      </c>
      <c r="D28">
        <f>IF($P28="","",INDEX(명단표[전공의등록번호],$P28)&amp;"")</f>
        <v/>
      </c>
      <c r="E28">
        <f>IF($P28="","",INDEX(명단표[수련과목],$P28)&amp;"")</f>
        <v/>
      </c>
      <c r="F28">
        <f>IF($P28="","",INDEX(명단표[연차],$P28)&amp;"")</f>
        <v/>
      </c>
      <c r="G28">
        <f>IF($P28="","",INDEX(명단표[소속병원],$P28))</f>
        <v/>
      </c>
      <c r="H28">
        <f>IF($P28="","",IF(INDEX(명단표[소속병원],$P28)="서울병원","서울 소속","타 병원 소속("&amp;INDEX(명단표[소속병원],$P28)&amp;") → 서울 지급"))</f>
        <v/>
      </c>
      <c r="I28">
        <f>IF($P28="","",INDEX(명단표[현재 근무병원],$P28))</f>
        <v/>
      </c>
      <c r="J28">
        <f>IF($P28="","",INDEX(명단표[구리 근무 시작일(기준월)],$P28)&amp;"")</f>
        <v/>
      </c>
      <c r="K28">
        <f>IF($P28="","",INDEX(명단표[구리 근무 종료일(기준월)],$P28)&amp;"")</f>
        <v/>
      </c>
      <c r="L28">
        <f>IF($P28="","",INDEX(명단표[서울 근무일(기준월)],$P28))</f>
        <v/>
      </c>
      <c r="M28">
        <f>IF($P28="","",INDEX(명단표[구리 근무일(기준월)],$P28))</f>
        <v/>
      </c>
      <c r="N28">
        <f>IF($P28="","",INDEX(명단표[급여 판정 근거],$P28))</f>
        <v/>
      </c>
      <c r="O28">
        <f>IF($P28="","",INDEX(명단표[점검],$P28))</f>
        <v/>
      </c>
      <c r="P28" s="17">
        <f>IFERROR(MATCH(23,명단표[서울순번],0),"")</f>
        <v/>
      </c>
      <c r="R28">
        <f>IF($W28="","",INDEX(명단표[이름],$W28))</f>
        <v/>
      </c>
      <c r="S28">
        <f>IF($W28="","",INDEX(명단표[사번],$W28)&amp;"")</f>
        <v/>
      </c>
      <c r="T28">
        <f>IF($W28="","",INDEX(명단표[소속병원],$W28))</f>
        <v/>
      </c>
      <c r="U28">
        <f>IF($W28="","",INDEX(명단표[서울 근무일(기준월)],$W28))</f>
        <v/>
      </c>
      <c r="V28">
        <f>IF($W28="","",INDEX(명단표[구리 근무일(기준월)],$W28))</f>
        <v/>
      </c>
      <c r="W28" s="17">
        <f>IFERROR(MATCH(23,명단표[판정불가순번],0),"")</f>
        <v/>
      </c>
    </row>
    <row r="29">
      <c r="A29">
        <f>IF($P29="","",24)</f>
        <v/>
      </c>
      <c r="B29">
        <f>IF($P29="","",INDEX(명단표[이름],$P29))</f>
        <v/>
      </c>
      <c r="C29">
        <f>IF($P29="","",INDEX(명단표[사번],$P29)&amp;"")</f>
        <v/>
      </c>
      <c r="D29">
        <f>IF($P29="","",INDEX(명단표[전공의등록번호],$P29)&amp;"")</f>
        <v/>
      </c>
      <c r="E29">
        <f>IF($P29="","",INDEX(명단표[수련과목],$P29)&amp;"")</f>
        <v/>
      </c>
      <c r="F29">
        <f>IF($P29="","",INDEX(명단표[연차],$P29)&amp;"")</f>
        <v/>
      </c>
      <c r="G29">
        <f>IF($P29="","",INDEX(명단표[소속병원],$P29))</f>
        <v/>
      </c>
      <c r="H29">
        <f>IF($P29="","",IF(INDEX(명단표[소속병원],$P29)="서울병원","서울 소속","타 병원 소속("&amp;INDEX(명단표[소속병원],$P29)&amp;") → 서울 지급"))</f>
        <v/>
      </c>
      <c r="I29">
        <f>IF($P29="","",INDEX(명단표[현재 근무병원],$P29))</f>
        <v/>
      </c>
      <c r="J29">
        <f>IF($P29="","",INDEX(명단표[구리 근무 시작일(기준월)],$P29)&amp;"")</f>
        <v/>
      </c>
      <c r="K29">
        <f>IF($P29="","",INDEX(명단표[구리 근무 종료일(기준월)],$P29)&amp;"")</f>
        <v/>
      </c>
      <c r="L29">
        <f>IF($P29="","",INDEX(명단표[서울 근무일(기준월)],$P29))</f>
        <v/>
      </c>
      <c r="M29">
        <f>IF($P29="","",INDEX(명단표[구리 근무일(기준월)],$P29))</f>
        <v/>
      </c>
      <c r="N29">
        <f>IF($P29="","",INDEX(명단표[급여 판정 근거],$P29))</f>
        <v/>
      </c>
      <c r="O29">
        <f>IF($P29="","",INDEX(명단표[점검],$P29))</f>
        <v/>
      </c>
      <c r="P29" s="17">
        <f>IFERROR(MATCH(24,명단표[서울순번],0),"")</f>
        <v/>
      </c>
      <c r="R29">
        <f>IF($W29="","",INDEX(명단표[이름],$W29))</f>
        <v/>
      </c>
      <c r="S29">
        <f>IF($W29="","",INDEX(명단표[사번],$W29)&amp;"")</f>
        <v/>
      </c>
      <c r="T29">
        <f>IF($W29="","",INDEX(명단표[소속병원],$W29))</f>
        <v/>
      </c>
      <c r="U29">
        <f>IF($W29="","",INDEX(명단표[서울 근무일(기준월)],$W29))</f>
        <v/>
      </c>
      <c r="V29">
        <f>IF($W29="","",INDEX(명단표[구리 근무일(기준월)],$W29))</f>
        <v/>
      </c>
      <c r="W29" s="17">
        <f>IFERROR(MATCH(24,명단표[판정불가순번],0),"")</f>
        <v/>
      </c>
    </row>
    <row r="30">
      <c r="A30">
        <f>IF($P30="","",25)</f>
        <v/>
      </c>
      <c r="B30">
        <f>IF($P30="","",INDEX(명단표[이름],$P30))</f>
        <v/>
      </c>
      <c r="C30">
        <f>IF($P30="","",INDEX(명단표[사번],$P30)&amp;"")</f>
        <v/>
      </c>
      <c r="D30">
        <f>IF($P30="","",INDEX(명단표[전공의등록번호],$P30)&amp;"")</f>
        <v/>
      </c>
      <c r="E30">
        <f>IF($P30="","",INDEX(명단표[수련과목],$P30)&amp;"")</f>
        <v/>
      </c>
      <c r="F30">
        <f>IF($P30="","",INDEX(명단표[연차],$P30)&amp;"")</f>
        <v/>
      </c>
      <c r="G30">
        <f>IF($P30="","",INDEX(명단표[소속병원],$P30))</f>
        <v/>
      </c>
      <c r="H30">
        <f>IF($P30="","",IF(INDEX(명단표[소속병원],$P30)="서울병원","서울 소속","타 병원 소속("&amp;INDEX(명단표[소속병원],$P30)&amp;") → 서울 지급"))</f>
        <v/>
      </c>
      <c r="I30">
        <f>IF($P30="","",INDEX(명단표[현재 근무병원],$P30))</f>
        <v/>
      </c>
      <c r="J30">
        <f>IF($P30="","",INDEX(명단표[구리 근무 시작일(기준월)],$P30)&amp;"")</f>
        <v/>
      </c>
      <c r="K30">
        <f>IF($P30="","",INDEX(명단표[구리 근무 종료일(기준월)],$P30)&amp;"")</f>
        <v/>
      </c>
      <c r="L30">
        <f>IF($P30="","",INDEX(명단표[서울 근무일(기준월)],$P30))</f>
        <v/>
      </c>
      <c r="M30">
        <f>IF($P30="","",INDEX(명단표[구리 근무일(기준월)],$P30))</f>
        <v/>
      </c>
      <c r="N30">
        <f>IF($P30="","",INDEX(명단표[급여 판정 근거],$P30))</f>
        <v/>
      </c>
      <c r="O30">
        <f>IF($P30="","",INDEX(명단표[점검],$P30))</f>
        <v/>
      </c>
      <c r="P30" s="17">
        <f>IFERROR(MATCH(25,명단표[서울순번],0),"")</f>
        <v/>
      </c>
      <c r="R30">
        <f>IF($W30="","",INDEX(명단표[이름],$W30))</f>
        <v/>
      </c>
      <c r="S30">
        <f>IF($W30="","",INDEX(명단표[사번],$W30)&amp;"")</f>
        <v/>
      </c>
      <c r="T30">
        <f>IF($W30="","",INDEX(명단표[소속병원],$W30))</f>
        <v/>
      </c>
      <c r="U30">
        <f>IF($W30="","",INDEX(명단표[서울 근무일(기준월)],$W30))</f>
        <v/>
      </c>
      <c r="V30">
        <f>IF($W30="","",INDEX(명단표[구리 근무일(기준월)],$W30))</f>
        <v/>
      </c>
      <c r="W30" s="17">
        <f>IFERROR(MATCH(25,명단표[판정불가순번],0),"")</f>
        <v/>
      </c>
    </row>
    <row r="31">
      <c r="A31">
        <f>IF($P31="","",26)</f>
        <v/>
      </c>
      <c r="B31">
        <f>IF($P31="","",INDEX(명단표[이름],$P31))</f>
        <v/>
      </c>
      <c r="C31">
        <f>IF($P31="","",INDEX(명단표[사번],$P31)&amp;"")</f>
        <v/>
      </c>
      <c r="D31">
        <f>IF($P31="","",INDEX(명단표[전공의등록번호],$P31)&amp;"")</f>
        <v/>
      </c>
      <c r="E31">
        <f>IF($P31="","",INDEX(명단표[수련과목],$P31)&amp;"")</f>
        <v/>
      </c>
      <c r="F31">
        <f>IF($P31="","",INDEX(명단표[연차],$P31)&amp;"")</f>
        <v/>
      </c>
      <c r="G31">
        <f>IF($P31="","",INDEX(명단표[소속병원],$P31))</f>
        <v/>
      </c>
      <c r="H31">
        <f>IF($P31="","",IF(INDEX(명단표[소속병원],$P31)="서울병원","서울 소속","타 병원 소속("&amp;INDEX(명단표[소속병원],$P31)&amp;") → 서울 지급"))</f>
        <v/>
      </c>
      <c r="I31">
        <f>IF($P31="","",INDEX(명단표[현재 근무병원],$P31))</f>
        <v/>
      </c>
      <c r="J31">
        <f>IF($P31="","",INDEX(명단표[구리 근무 시작일(기준월)],$P31)&amp;"")</f>
        <v/>
      </c>
      <c r="K31">
        <f>IF($P31="","",INDEX(명단표[구리 근무 종료일(기준월)],$P31)&amp;"")</f>
        <v/>
      </c>
      <c r="L31">
        <f>IF($P31="","",INDEX(명단표[서울 근무일(기준월)],$P31))</f>
        <v/>
      </c>
      <c r="M31">
        <f>IF($P31="","",INDEX(명단표[구리 근무일(기준월)],$P31))</f>
        <v/>
      </c>
      <c r="N31">
        <f>IF($P31="","",INDEX(명단표[급여 판정 근거],$P31))</f>
        <v/>
      </c>
      <c r="O31">
        <f>IF($P31="","",INDEX(명단표[점검],$P31))</f>
        <v/>
      </c>
      <c r="P31" s="17">
        <f>IFERROR(MATCH(26,명단표[서울순번],0),"")</f>
        <v/>
      </c>
      <c r="R31">
        <f>IF($W31="","",INDEX(명단표[이름],$W31))</f>
        <v/>
      </c>
      <c r="S31">
        <f>IF($W31="","",INDEX(명단표[사번],$W31)&amp;"")</f>
        <v/>
      </c>
      <c r="T31">
        <f>IF($W31="","",INDEX(명단표[소속병원],$W31))</f>
        <v/>
      </c>
      <c r="U31">
        <f>IF($W31="","",INDEX(명단표[서울 근무일(기준월)],$W31))</f>
        <v/>
      </c>
      <c r="V31">
        <f>IF($W31="","",INDEX(명단표[구리 근무일(기준월)],$W31))</f>
        <v/>
      </c>
      <c r="W31" s="17">
        <f>IFERROR(MATCH(26,명단표[판정불가순번],0),"")</f>
        <v/>
      </c>
    </row>
    <row r="32">
      <c r="A32">
        <f>IF($P32="","",27)</f>
        <v/>
      </c>
      <c r="B32">
        <f>IF($P32="","",INDEX(명단표[이름],$P32))</f>
        <v/>
      </c>
      <c r="C32">
        <f>IF($P32="","",INDEX(명단표[사번],$P32)&amp;"")</f>
        <v/>
      </c>
      <c r="D32">
        <f>IF($P32="","",INDEX(명단표[전공의등록번호],$P32)&amp;"")</f>
        <v/>
      </c>
      <c r="E32">
        <f>IF($P32="","",INDEX(명단표[수련과목],$P32)&amp;"")</f>
        <v/>
      </c>
      <c r="F32">
        <f>IF($P32="","",INDEX(명단표[연차],$P32)&amp;"")</f>
        <v/>
      </c>
      <c r="G32">
        <f>IF($P32="","",INDEX(명단표[소속병원],$P32))</f>
        <v/>
      </c>
      <c r="H32">
        <f>IF($P32="","",IF(INDEX(명단표[소속병원],$P32)="서울병원","서울 소속","타 병원 소속("&amp;INDEX(명단표[소속병원],$P32)&amp;") → 서울 지급"))</f>
        <v/>
      </c>
      <c r="I32">
        <f>IF($P32="","",INDEX(명단표[현재 근무병원],$P32))</f>
        <v/>
      </c>
      <c r="J32">
        <f>IF($P32="","",INDEX(명단표[구리 근무 시작일(기준월)],$P32)&amp;"")</f>
        <v/>
      </c>
      <c r="K32">
        <f>IF($P32="","",INDEX(명단표[구리 근무 종료일(기준월)],$P32)&amp;"")</f>
        <v/>
      </c>
      <c r="L32">
        <f>IF($P32="","",INDEX(명단표[서울 근무일(기준월)],$P32))</f>
        <v/>
      </c>
      <c r="M32">
        <f>IF($P32="","",INDEX(명단표[구리 근무일(기준월)],$P32))</f>
        <v/>
      </c>
      <c r="N32">
        <f>IF($P32="","",INDEX(명단표[급여 판정 근거],$P32))</f>
        <v/>
      </c>
      <c r="O32">
        <f>IF($P32="","",INDEX(명단표[점검],$P32))</f>
        <v/>
      </c>
      <c r="P32" s="17">
        <f>IFERROR(MATCH(27,명단표[서울순번],0),"")</f>
        <v/>
      </c>
      <c r="R32">
        <f>IF($W32="","",INDEX(명단표[이름],$W32))</f>
        <v/>
      </c>
      <c r="S32">
        <f>IF($W32="","",INDEX(명단표[사번],$W32)&amp;"")</f>
        <v/>
      </c>
      <c r="T32">
        <f>IF($W32="","",INDEX(명단표[소속병원],$W32))</f>
        <v/>
      </c>
      <c r="U32">
        <f>IF($W32="","",INDEX(명단표[서울 근무일(기준월)],$W32))</f>
        <v/>
      </c>
      <c r="V32">
        <f>IF($W32="","",INDEX(명단표[구리 근무일(기준월)],$W32))</f>
        <v/>
      </c>
      <c r="W32" s="17">
        <f>IFERROR(MATCH(27,명단표[판정불가순번],0),"")</f>
        <v/>
      </c>
    </row>
    <row r="33">
      <c r="A33">
        <f>IF($P33="","",28)</f>
        <v/>
      </c>
      <c r="B33">
        <f>IF($P33="","",INDEX(명단표[이름],$P33))</f>
        <v/>
      </c>
      <c r="C33">
        <f>IF($P33="","",INDEX(명단표[사번],$P33)&amp;"")</f>
        <v/>
      </c>
      <c r="D33">
        <f>IF($P33="","",INDEX(명단표[전공의등록번호],$P33)&amp;"")</f>
        <v/>
      </c>
      <c r="E33">
        <f>IF($P33="","",INDEX(명단표[수련과목],$P33)&amp;"")</f>
        <v/>
      </c>
      <c r="F33">
        <f>IF($P33="","",INDEX(명단표[연차],$P33)&amp;"")</f>
        <v/>
      </c>
      <c r="G33">
        <f>IF($P33="","",INDEX(명단표[소속병원],$P33))</f>
        <v/>
      </c>
      <c r="H33">
        <f>IF($P33="","",IF(INDEX(명단표[소속병원],$P33)="서울병원","서울 소속","타 병원 소속("&amp;INDEX(명단표[소속병원],$P33)&amp;") → 서울 지급"))</f>
        <v/>
      </c>
      <c r="I33">
        <f>IF($P33="","",INDEX(명단표[현재 근무병원],$P33))</f>
        <v/>
      </c>
      <c r="J33">
        <f>IF($P33="","",INDEX(명단표[구리 근무 시작일(기준월)],$P33)&amp;"")</f>
        <v/>
      </c>
      <c r="K33">
        <f>IF($P33="","",INDEX(명단표[구리 근무 종료일(기준월)],$P33)&amp;"")</f>
        <v/>
      </c>
      <c r="L33">
        <f>IF($P33="","",INDEX(명단표[서울 근무일(기준월)],$P33))</f>
        <v/>
      </c>
      <c r="M33">
        <f>IF($P33="","",INDEX(명단표[구리 근무일(기준월)],$P33))</f>
        <v/>
      </c>
      <c r="N33">
        <f>IF($P33="","",INDEX(명단표[급여 판정 근거],$P33))</f>
        <v/>
      </c>
      <c r="O33">
        <f>IF($P33="","",INDEX(명단표[점검],$P33))</f>
        <v/>
      </c>
      <c r="P33" s="17">
        <f>IFERROR(MATCH(28,명단표[서울순번],0),"")</f>
        <v/>
      </c>
      <c r="R33">
        <f>IF($W33="","",INDEX(명단표[이름],$W33))</f>
        <v/>
      </c>
      <c r="S33">
        <f>IF($W33="","",INDEX(명단표[사번],$W33)&amp;"")</f>
        <v/>
      </c>
      <c r="T33">
        <f>IF($W33="","",INDEX(명단표[소속병원],$W33))</f>
        <v/>
      </c>
      <c r="U33">
        <f>IF($W33="","",INDEX(명단표[서울 근무일(기준월)],$W33))</f>
        <v/>
      </c>
      <c r="V33">
        <f>IF($W33="","",INDEX(명단표[구리 근무일(기준월)],$W33))</f>
        <v/>
      </c>
      <c r="W33" s="17">
        <f>IFERROR(MATCH(28,명단표[판정불가순번],0),"")</f>
        <v/>
      </c>
    </row>
    <row r="34">
      <c r="A34">
        <f>IF($P34="","",29)</f>
        <v/>
      </c>
      <c r="B34">
        <f>IF($P34="","",INDEX(명단표[이름],$P34))</f>
        <v/>
      </c>
      <c r="C34">
        <f>IF($P34="","",INDEX(명단표[사번],$P34)&amp;"")</f>
        <v/>
      </c>
      <c r="D34">
        <f>IF($P34="","",INDEX(명단표[전공의등록번호],$P34)&amp;"")</f>
        <v/>
      </c>
      <c r="E34">
        <f>IF($P34="","",INDEX(명단표[수련과목],$P34)&amp;"")</f>
        <v/>
      </c>
      <c r="F34">
        <f>IF($P34="","",INDEX(명단표[연차],$P34)&amp;"")</f>
        <v/>
      </c>
      <c r="G34">
        <f>IF($P34="","",INDEX(명단표[소속병원],$P34))</f>
        <v/>
      </c>
      <c r="H34">
        <f>IF($P34="","",IF(INDEX(명단표[소속병원],$P34)="서울병원","서울 소속","타 병원 소속("&amp;INDEX(명단표[소속병원],$P34)&amp;") → 서울 지급"))</f>
        <v/>
      </c>
      <c r="I34">
        <f>IF($P34="","",INDEX(명단표[현재 근무병원],$P34))</f>
        <v/>
      </c>
      <c r="J34">
        <f>IF($P34="","",INDEX(명단표[구리 근무 시작일(기준월)],$P34)&amp;"")</f>
        <v/>
      </c>
      <c r="K34">
        <f>IF($P34="","",INDEX(명단표[구리 근무 종료일(기준월)],$P34)&amp;"")</f>
        <v/>
      </c>
      <c r="L34">
        <f>IF($P34="","",INDEX(명단표[서울 근무일(기준월)],$P34))</f>
        <v/>
      </c>
      <c r="M34">
        <f>IF($P34="","",INDEX(명단표[구리 근무일(기준월)],$P34))</f>
        <v/>
      </c>
      <c r="N34">
        <f>IF($P34="","",INDEX(명단표[급여 판정 근거],$P34))</f>
        <v/>
      </c>
      <c r="O34">
        <f>IF($P34="","",INDEX(명단표[점검],$P34))</f>
        <v/>
      </c>
      <c r="P34" s="17">
        <f>IFERROR(MATCH(29,명단표[서울순번],0),"")</f>
        <v/>
      </c>
      <c r="R34">
        <f>IF($W34="","",INDEX(명단표[이름],$W34))</f>
        <v/>
      </c>
      <c r="S34">
        <f>IF($W34="","",INDEX(명단표[사번],$W34)&amp;"")</f>
        <v/>
      </c>
      <c r="T34">
        <f>IF($W34="","",INDEX(명단표[소속병원],$W34))</f>
        <v/>
      </c>
      <c r="U34">
        <f>IF($W34="","",INDEX(명단표[서울 근무일(기준월)],$W34))</f>
        <v/>
      </c>
      <c r="V34">
        <f>IF($W34="","",INDEX(명단표[구리 근무일(기준월)],$W34))</f>
        <v/>
      </c>
      <c r="W34" s="17">
        <f>IFERROR(MATCH(29,명단표[판정불가순번],0),"")</f>
        <v/>
      </c>
    </row>
    <row r="35">
      <c r="A35">
        <f>IF($P35="","",30)</f>
        <v/>
      </c>
      <c r="B35">
        <f>IF($P35="","",INDEX(명단표[이름],$P35))</f>
        <v/>
      </c>
      <c r="C35">
        <f>IF($P35="","",INDEX(명단표[사번],$P35)&amp;"")</f>
        <v/>
      </c>
      <c r="D35">
        <f>IF($P35="","",INDEX(명단표[전공의등록번호],$P35)&amp;"")</f>
        <v/>
      </c>
      <c r="E35">
        <f>IF($P35="","",INDEX(명단표[수련과목],$P35)&amp;"")</f>
        <v/>
      </c>
      <c r="F35">
        <f>IF($P35="","",INDEX(명단표[연차],$P35)&amp;"")</f>
        <v/>
      </c>
      <c r="G35">
        <f>IF($P35="","",INDEX(명단표[소속병원],$P35))</f>
        <v/>
      </c>
      <c r="H35">
        <f>IF($P35="","",IF(INDEX(명단표[소속병원],$P35)="서울병원","서울 소속","타 병원 소속("&amp;INDEX(명단표[소속병원],$P35)&amp;") → 서울 지급"))</f>
        <v/>
      </c>
      <c r="I35">
        <f>IF($P35="","",INDEX(명단표[현재 근무병원],$P35))</f>
        <v/>
      </c>
      <c r="J35">
        <f>IF($P35="","",INDEX(명단표[구리 근무 시작일(기준월)],$P35)&amp;"")</f>
        <v/>
      </c>
      <c r="K35">
        <f>IF($P35="","",INDEX(명단표[구리 근무 종료일(기준월)],$P35)&amp;"")</f>
        <v/>
      </c>
      <c r="L35">
        <f>IF($P35="","",INDEX(명단표[서울 근무일(기준월)],$P35))</f>
        <v/>
      </c>
      <c r="M35">
        <f>IF($P35="","",INDEX(명단표[구리 근무일(기준월)],$P35))</f>
        <v/>
      </c>
      <c r="N35">
        <f>IF($P35="","",INDEX(명단표[급여 판정 근거],$P35))</f>
        <v/>
      </c>
      <c r="O35">
        <f>IF($P35="","",INDEX(명단표[점검],$P35))</f>
        <v/>
      </c>
      <c r="P35" s="17">
        <f>IFERROR(MATCH(30,명단표[서울순번],0),"")</f>
        <v/>
      </c>
      <c r="R35">
        <f>IF($W35="","",INDEX(명단표[이름],$W35))</f>
        <v/>
      </c>
      <c r="S35">
        <f>IF($W35="","",INDEX(명단표[사번],$W35)&amp;"")</f>
        <v/>
      </c>
      <c r="T35">
        <f>IF($W35="","",INDEX(명단표[소속병원],$W35))</f>
        <v/>
      </c>
      <c r="U35">
        <f>IF($W35="","",INDEX(명단표[서울 근무일(기준월)],$W35))</f>
        <v/>
      </c>
      <c r="V35">
        <f>IF($W35="","",INDEX(명단표[구리 근무일(기준월)],$W35))</f>
        <v/>
      </c>
      <c r="W35" s="17">
        <f>IFERROR(MATCH(30,명단표[판정불가순번],0),"")</f>
        <v/>
      </c>
    </row>
    <row r="36">
      <c r="A36">
        <f>IF($P36="","",31)</f>
        <v/>
      </c>
      <c r="B36">
        <f>IF($P36="","",INDEX(명단표[이름],$P36))</f>
        <v/>
      </c>
      <c r="C36">
        <f>IF($P36="","",INDEX(명단표[사번],$P36)&amp;"")</f>
        <v/>
      </c>
      <c r="D36">
        <f>IF($P36="","",INDEX(명단표[전공의등록번호],$P36)&amp;"")</f>
        <v/>
      </c>
      <c r="E36">
        <f>IF($P36="","",INDEX(명단표[수련과목],$P36)&amp;"")</f>
        <v/>
      </c>
      <c r="F36">
        <f>IF($P36="","",INDEX(명단표[연차],$P36)&amp;"")</f>
        <v/>
      </c>
      <c r="G36">
        <f>IF($P36="","",INDEX(명단표[소속병원],$P36))</f>
        <v/>
      </c>
      <c r="H36">
        <f>IF($P36="","",IF(INDEX(명단표[소속병원],$P36)="서울병원","서울 소속","타 병원 소속("&amp;INDEX(명단표[소속병원],$P36)&amp;") → 서울 지급"))</f>
        <v/>
      </c>
      <c r="I36">
        <f>IF($P36="","",INDEX(명단표[현재 근무병원],$P36))</f>
        <v/>
      </c>
      <c r="J36">
        <f>IF($P36="","",INDEX(명단표[구리 근무 시작일(기준월)],$P36)&amp;"")</f>
        <v/>
      </c>
      <c r="K36">
        <f>IF($P36="","",INDEX(명단표[구리 근무 종료일(기준월)],$P36)&amp;"")</f>
        <v/>
      </c>
      <c r="L36">
        <f>IF($P36="","",INDEX(명단표[서울 근무일(기준월)],$P36))</f>
        <v/>
      </c>
      <c r="M36">
        <f>IF($P36="","",INDEX(명단표[구리 근무일(기준월)],$P36))</f>
        <v/>
      </c>
      <c r="N36">
        <f>IF($P36="","",INDEX(명단표[급여 판정 근거],$P36))</f>
        <v/>
      </c>
      <c r="O36">
        <f>IF($P36="","",INDEX(명단표[점검],$P36))</f>
        <v/>
      </c>
      <c r="P36" s="17">
        <f>IFERROR(MATCH(31,명단표[서울순번],0),"")</f>
        <v/>
      </c>
      <c r="R36">
        <f>IF($W36="","",INDEX(명단표[이름],$W36))</f>
        <v/>
      </c>
      <c r="S36">
        <f>IF($W36="","",INDEX(명단표[사번],$W36)&amp;"")</f>
        <v/>
      </c>
      <c r="T36">
        <f>IF($W36="","",INDEX(명단표[소속병원],$W36))</f>
        <v/>
      </c>
      <c r="U36">
        <f>IF($W36="","",INDEX(명단표[서울 근무일(기준월)],$W36))</f>
        <v/>
      </c>
      <c r="V36">
        <f>IF($W36="","",INDEX(명단표[구리 근무일(기준월)],$W36))</f>
        <v/>
      </c>
      <c r="W36" s="17">
        <f>IFERROR(MATCH(31,명단표[판정불가순번],0),"")</f>
        <v/>
      </c>
    </row>
    <row r="37">
      <c r="A37">
        <f>IF($P37="","",32)</f>
        <v/>
      </c>
      <c r="B37">
        <f>IF($P37="","",INDEX(명단표[이름],$P37))</f>
        <v/>
      </c>
      <c r="C37">
        <f>IF($P37="","",INDEX(명단표[사번],$P37)&amp;"")</f>
        <v/>
      </c>
      <c r="D37">
        <f>IF($P37="","",INDEX(명단표[전공의등록번호],$P37)&amp;"")</f>
        <v/>
      </c>
      <c r="E37">
        <f>IF($P37="","",INDEX(명단표[수련과목],$P37)&amp;"")</f>
        <v/>
      </c>
      <c r="F37">
        <f>IF($P37="","",INDEX(명단표[연차],$P37)&amp;"")</f>
        <v/>
      </c>
      <c r="G37">
        <f>IF($P37="","",INDEX(명단표[소속병원],$P37))</f>
        <v/>
      </c>
      <c r="H37">
        <f>IF($P37="","",IF(INDEX(명단표[소속병원],$P37)="서울병원","서울 소속","타 병원 소속("&amp;INDEX(명단표[소속병원],$P37)&amp;") → 서울 지급"))</f>
        <v/>
      </c>
      <c r="I37">
        <f>IF($P37="","",INDEX(명단표[현재 근무병원],$P37))</f>
        <v/>
      </c>
      <c r="J37">
        <f>IF($P37="","",INDEX(명단표[구리 근무 시작일(기준월)],$P37)&amp;"")</f>
        <v/>
      </c>
      <c r="K37">
        <f>IF($P37="","",INDEX(명단표[구리 근무 종료일(기준월)],$P37)&amp;"")</f>
        <v/>
      </c>
      <c r="L37">
        <f>IF($P37="","",INDEX(명단표[서울 근무일(기준월)],$P37))</f>
        <v/>
      </c>
      <c r="M37">
        <f>IF($P37="","",INDEX(명단표[구리 근무일(기준월)],$P37))</f>
        <v/>
      </c>
      <c r="N37">
        <f>IF($P37="","",INDEX(명단표[급여 판정 근거],$P37))</f>
        <v/>
      </c>
      <c r="O37">
        <f>IF($P37="","",INDEX(명단표[점검],$P37))</f>
        <v/>
      </c>
      <c r="P37" s="17">
        <f>IFERROR(MATCH(32,명단표[서울순번],0),"")</f>
        <v/>
      </c>
      <c r="R37">
        <f>IF($W37="","",INDEX(명단표[이름],$W37))</f>
        <v/>
      </c>
      <c r="S37">
        <f>IF($W37="","",INDEX(명단표[사번],$W37)&amp;"")</f>
        <v/>
      </c>
      <c r="T37">
        <f>IF($W37="","",INDEX(명단표[소속병원],$W37))</f>
        <v/>
      </c>
      <c r="U37">
        <f>IF($W37="","",INDEX(명단표[서울 근무일(기준월)],$W37))</f>
        <v/>
      </c>
      <c r="V37">
        <f>IF($W37="","",INDEX(명단표[구리 근무일(기준월)],$W37))</f>
        <v/>
      </c>
      <c r="W37" s="17">
        <f>IFERROR(MATCH(32,명단표[판정불가순번],0),"")</f>
        <v/>
      </c>
    </row>
    <row r="38">
      <c r="A38">
        <f>IF($P38="","",33)</f>
        <v/>
      </c>
      <c r="B38">
        <f>IF($P38="","",INDEX(명단표[이름],$P38))</f>
        <v/>
      </c>
      <c r="C38">
        <f>IF($P38="","",INDEX(명단표[사번],$P38)&amp;"")</f>
        <v/>
      </c>
      <c r="D38">
        <f>IF($P38="","",INDEX(명단표[전공의등록번호],$P38)&amp;"")</f>
        <v/>
      </c>
      <c r="E38">
        <f>IF($P38="","",INDEX(명단표[수련과목],$P38)&amp;"")</f>
        <v/>
      </c>
      <c r="F38">
        <f>IF($P38="","",INDEX(명단표[연차],$P38)&amp;"")</f>
        <v/>
      </c>
      <c r="G38">
        <f>IF($P38="","",INDEX(명단표[소속병원],$P38))</f>
        <v/>
      </c>
      <c r="H38">
        <f>IF($P38="","",IF(INDEX(명단표[소속병원],$P38)="서울병원","서울 소속","타 병원 소속("&amp;INDEX(명단표[소속병원],$P38)&amp;") → 서울 지급"))</f>
        <v/>
      </c>
      <c r="I38">
        <f>IF($P38="","",INDEX(명단표[현재 근무병원],$P38))</f>
        <v/>
      </c>
      <c r="J38">
        <f>IF($P38="","",INDEX(명단표[구리 근무 시작일(기준월)],$P38)&amp;"")</f>
        <v/>
      </c>
      <c r="K38">
        <f>IF($P38="","",INDEX(명단표[구리 근무 종료일(기준월)],$P38)&amp;"")</f>
        <v/>
      </c>
      <c r="L38">
        <f>IF($P38="","",INDEX(명단표[서울 근무일(기준월)],$P38))</f>
        <v/>
      </c>
      <c r="M38">
        <f>IF($P38="","",INDEX(명단표[구리 근무일(기준월)],$P38))</f>
        <v/>
      </c>
      <c r="N38">
        <f>IF($P38="","",INDEX(명단표[급여 판정 근거],$P38))</f>
        <v/>
      </c>
      <c r="O38">
        <f>IF($P38="","",INDEX(명단표[점검],$P38))</f>
        <v/>
      </c>
      <c r="P38" s="17">
        <f>IFERROR(MATCH(33,명단표[서울순번],0),"")</f>
        <v/>
      </c>
      <c r="R38">
        <f>IF($W38="","",INDEX(명단표[이름],$W38))</f>
        <v/>
      </c>
      <c r="S38">
        <f>IF($W38="","",INDEX(명단표[사번],$W38)&amp;"")</f>
        <v/>
      </c>
      <c r="T38">
        <f>IF($W38="","",INDEX(명단표[소속병원],$W38))</f>
        <v/>
      </c>
      <c r="U38">
        <f>IF($W38="","",INDEX(명단표[서울 근무일(기준월)],$W38))</f>
        <v/>
      </c>
      <c r="V38">
        <f>IF($W38="","",INDEX(명단표[구리 근무일(기준월)],$W38))</f>
        <v/>
      </c>
      <c r="W38" s="17">
        <f>IFERROR(MATCH(33,명단표[판정불가순번],0),"")</f>
        <v/>
      </c>
    </row>
    <row r="39">
      <c r="A39">
        <f>IF($P39="","",34)</f>
        <v/>
      </c>
      <c r="B39">
        <f>IF($P39="","",INDEX(명단표[이름],$P39))</f>
        <v/>
      </c>
      <c r="C39">
        <f>IF($P39="","",INDEX(명단표[사번],$P39)&amp;"")</f>
        <v/>
      </c>
      <c r="D39">
        <f>IF($P39="","",INDEX(명단표[전공의등록번호],$P39)&amp;"")</f>
        <v/>
      </c>
      <c r="E39">
        <f>IF($P39="","",INDEX(명단표[수련과목],$P39)&amp;"")</f>
        <v/>
      </c>
      <c r="F39">
        <f>IF($P39="","",INDEX(명단표[연차],$P39)&amp;"")</f>
        <v/>
      </c>
      <c r="G39">
        <f>IF($P39="","",INDEX(명단표[소속병원],$P39))</f>
        <v/>
      </c>
      <c r="H39">
        <f>IF($P39="","",IF(INDEX(명단표[소속병원],$P39)="서울병원","서울 소속","타 병원 소속("&amp;INDEX(명단표[소속병원],$P39)&amp;") → 서울 지급"))</f>
        <v/>
      </c>
      <c r="I39">
        <f>IF($P39="","",INDEX(명단표[현재 근무병원],$P39))</f>
        <v/>
      </c>
      <c r="J39">
        <f>IF($P39="","",INDEX(명단표[구리 근무 시작일(기준월)],$P39)&amp;"")</f>
        <v/>
      </c>
      <c r="K39">
        <f>IF($P39="","",INDEX(명단표[구리 근무 종료일(기준월)],$P39)&amp;"")</f>
        <v/>
      </c>
      <c r="L39">
        <f>IF($P39="","",INDEX(명단표[서울 근무일(기준월)],$P39))</f>
        <v/>
      </c>
      <c r="M39">
        <f>IF($P39="","",INDEX(명단표[구리 근무일(기준월)],$P39))</f>
        <v/>
      </c>
      <c r="N39">
        <f>IF($P39="","",INDEX(명단표[급여 판정 근거],$P39))</f>
        <v/>
      </c>
      <c r="O39">
        <f>IF($P39="","",INDEX(명단표[점검],$P39))</f>
        <v/>
      </c>
      <c r="P39" s="17">
        <f>IFERROR(MATCH(34,명단표[서울순번],0),"")</f>
        <v/>
      </c>
      <c r="R39">
        <f>IF($W39="","",INDEX(명단표[이름],$W39))</f>
        <v/>
      </c>
      <c r="S39">
        <f>IF($W39="","",INDEX(명단표[사번],$W39)&amp;"")</f>
        <v/>
      </c>
      <c r="T39">
        <f>IF($W39="","",INDEX(명단표[소속병원],$W39))</f>
        <v/>
      </c>
      <c r="U39">
        <f>IF($W39="","",INDEX(명단표[서울 근무일(기준월)],$W39))</f>
        <v/>
      </c>
      <c r="V39">
        <f>IF($W39="","",INDEX(명단표[구리 근무일(기준월)],$W39))</f>
        <v/>
      </c>
      <c r="W39" s="17">
        <f>IFERROR(MATCH(34,명단표[판정불가순번],0),"")</f>
        <v/>
      </c>
    </row>
    <row r="40">
      <c r="A40">
        <f>IF($P40="","",35)</f>
        <v/>
      </c>
      <c r="B40">
        <f>IF($P40="","",INDEX(명단표[이름],$P40))</f>
        <v/>
      </c>
      <c r="C40">
        <f>IF($P40="","",INDEX(명단표[사번],$P40)&amp;"")</f>
        <v/>
      </c>
      <c r="D40">
        <f>IF($P40="","",INDEX(명단표[전공의등록번호],$P40)&amp;"")</f>
        <v/>
      </c>
      <c r="E40">
        <f>IF($P40="","",INDEX(명단표[수련과목],$P40)&amp;"")</f>
        <v/>
      </c>
      <c r="F40">
        <f>IF($P40="","",INDEX(명단표[연차],$P40)&amp;"")</f>
        <v/>
      </c>
      <c r="G40">
        <f>IF($P40="","",INDEX(명단표[소속병원],$P40))</f>
        <v/>
      </c>
      <c r="H40">
        <f>IF($P40="","",IF(INDEX(명단표[소속병원],$P40)="서울병원","서울 소속","타 병원 소속("&amp;INDEX(명단표[소속병원],$P40)&amp;") → 서울 지급"))</f>
        <v/>
      </c>
      <c r="I40">
        <f>IF($P40="","",INDEX(명단표[현재 근무병원],$P40))</f>
        <v/>
      </c>
      <c r="J40">
        <f>IF($P40="","",INDEX(명단표[구리 근무 시작일(기준월)],$P40)&amp;"")</f>
        <v/>
      </c>
      <c r="K40">
        <f>IF($P40="","",INDEX(명단표[구리 근무 종료일(기준월)],$P40)&amp;"")</f>
        <v/>
      </c>
      <c r="L40">
        <f>IF($P40="","",INDEX(명단표[서울 근무일(기준월)],$P40))</f>
        <v/>
      </c>
      <c r="M40">
        <f>IF($P40="","",INDEX(명단표[구리 근무일(기준월)],$P40))</f>
        <v/>
      </c>
      <c r="N40">
        <f>IF($P40="","",INDEX(명단표[급여 판정 근거],$P40))</f>
        <v/>
      </c>
      <c r="O40">
        <f>IF($P40="","",INDEX(명단표[점검],$P40))</f>
        <v/>
      </c>
      <c r="P40" s="17">
        <f>IFERROR(MATCH(35,명단표[서울순번],0),"")</f>
        <v/>
      </c>
      <c r="R40">
        <f>IF($W40="","",INDEX(명단표[이름],$W40))</f>
        <v/>
      </c>
      <c r="S40">
        <f>IF($W40="","",INDEX(명단표[사번],$W40)&amp;"")</f>
        <v/>
      </c>
      <c r="T40">
        <f>IF($W40="","",INDEX(명단표[소속병원],$W40))</f>
        <v/>
      </c>
      <c r="U40">
        <f>IF($W40="","",INDEX(명단표[서울 근무일(기준월)],$W40))</f>
        <v/>
      </c>
      <c r="V40">
        <f>IF($W40="","",INDEX(명단표[구리 근무일(기준월)],$W40))</f>
        <v/>
      </c>
      <c r="W40" s="17">
        <f>IFERROR(MATCH(35,명단표[판정불가순번],0),"")</f>
        <v/>
      </c>
    </row>
    <row r="41">
      <c r="A41">
        <f>IF($P41="","",36)</f>
        <v/>
      </c>
      <c r="B41">
        <f>IF($P41="","",INDEX(명단표[이름],$P41))</f>
        <v/>
      </c>
      <c r="C41">
        <f>IF($P41="","",INDEX(명단표[사번],$P41)&amp;"")</f>
        <v/>
      </c>
      <c r="D41">
        <f>IF($P41="","",INDEX(명단표[전공의등록번호],$P41)&amp;"")</f>
        <v/>
      </c>
      <c r="E41">
        <f>IF($P41="","",INDEX(명단표[수련과목],$P41)&amp;"")</f>
        <v/>
      </c>
      <c r="F41">
        <f>IF($P41="","",INDEX(명단표[연차],$P41)&amp;"")</f>
        <v/>
      </c>
      <c r="G41">
        <f>IF($P41="","",INDEX(명단표[소속병원],$P41))</f>
        <v/>
      </c>
      <c r="H41">
        <f>IF($P41="","",IF(INDEX(명단표[소속병원],$P41)="서울병원","서울 소속","타 병원 소속("&amp;INDEX(명단표[소속병원],$P41)&amp;") → 서울 지급"))</f>
        <v/>
      </c>
      <c r="I41">
        <f>IF($P41="","",INDEX(명단표[현재 근무병원],$P41))</f>
        <v/>
      </c>
      <c r="J41">
        <f>IF($P41="","",INDEX(명단표[구리 근무 시작일(기준월)],$P41)&amp;"")</f>
        <v/>
      </c>
      <c r="K41">
        <f>IF($P41="","",INDEX(명단표[구리 근무 종료일(기준월)],$P41)&amp;"")</f>
        <v/>
      </c>
      <c r="L41">
        <f>IF($P41="","",INDEX(명단표[서울 근무일(기준월)],$P41))</f>
        <v/>
      </c>
      <c r="M41">
        <f>IF($P41="","",INDEX(명단표[구리 근무일(기준월)],$P41))</f>
        <v/>
      </c>
      <c r="N41">
        <f>IF($P41="","",INDEX(명단표[급여 판정 근거],$P41))</f>
        <v/>
      </c>
      <c r="O41">
        <f>IF($P41="","",INDEX(명단표[점검],$P41))</f>
        <v/>
      </c>
      <c r="P41" s="17">
        <f>IFERROR(MATCH(36,명단표[서울순번],0),"")</f>
        <v/>
      </c>
      <c r="R41">
        <f>IF($W41="","",INDEX(명단표[이름],$W41))</f>
        <v/>
      </c>
      <c r="S41">
        <f>IF($W41="","",INDEX(명단표[사번],$W41)&amp;"")</f>
        <v/>
      </c>
      <c r="T41">
        <f>IF($W41="","",INDEX(명단표[소속병원],$W41))</f>
        <v/>
      </c>
      <c r="U41">
        <f>IF($W41="","",INDEX(명단표[서울 근무일(기준월)],$W41))</f>
        <v/>
      </c>
      <c r="V41">
        <f>IF($W41="","",INDEX(명단표[구리 근무일(기준월)],$W41))</f>
        <v/>
      </c>
      <c r="W41" s="17">
        <f>IFERROR(MATCH(36,명단표[판정불가순번],0),"")</f>
        <v/>
      </c>
    </row>
    <row r="42">
      <c r="A42">
        <f>IF($P42="","",37)</f>
        <v/>
      </c>
      <c r="B42">
        <f>IF($P42="","",INDEX(명단표[이름],$P42))</f>
        <v/>
      </c>
      <c r="C42">
        <f>IF($P42="","",INDEX(명단표[사번],$P42)&amp;"")</f>
        <v/>
      </c>
      <c r="D42">
        <f>IF($P42="","",INDEX(명단표[전공의등록번호],$P42)&amp;"")</f>
        <v/>
      </c>
      <c r="E42">
        <f>IF($P42="","",INDEX(명단표[수련과목],$P42)&amp;"")</f>
        <v/>
      </c>
      <c r="F42">
        <f>IF($P42="","",INDEX(명단표[연차],$P42)&amp;"")</f>
        <v/>
      </c>
      <c r="G42">
        <f>IF($P42="","",INDEX(명단표[소속병원],$P42))</f>
        <v/>
      </c>
      <c r="H42">
        <f>IF($P42="","",IF(INDEX(명단표[소속병원],$P42)="서울병원","서울 소속","타 병원 소속("&amp;INDEX(명단표[소속병원],$P42)&amp;") → 서울 지급"))</f>
        <v/>
      </c>
      <c r="I42">
        <f>IF($P42="","",INDEX(명단표[현재 근무병원],$P42))</f>
        <v/>
      </c>
      <c r="J42">
        <f>IF($P42="","",INDEX(명단표[구리 근무 시작일(기준월)],$P42)&amp;"")</f>
        <v/>
      </c>
      <c r="K42">
        <f>IF($P42="","",INDEX(명단표[구리 근무 종료일(기준월)],$P42)&amp;"")</f>
        <v/>
      </c>
      <c r="L42">
        <f>IF($P42="","",INDEX(명단표[서울 근무일(기준월)],$P42))</f>
        <v/>
      </c>
      <c r="M42">
        <f>IF($P42="","",INDEX(명단표[구리 근무일(기준월)],$P42))</f>
        <v/>
      </c>
      <c r="N42">
        <f>IF($P42="","",INDEX(명단표[급여 판정 근거],$P42))</f>
        <v/>
      </c>
      <c r="O42">
        <f>IF($P42="","",INDEX(명단표[점검],$P42))</f>
        <v/>
      </c>
      <c r="P42" s="17">
        <f>IFERROR(MATCH(37,명단표[서울순번],0),"")</f>
        <v/>
      </c>
      <c r="R42">
        <f>IF($W42="","",INDEX(명단표[이름],$W42))</f>
        <v/>
      </c>
      <c r="S42">
        <f>IF($W42="","",INDEX(명단표[사번],$W42)&amp;"")</f>
        <v/>
      </c>
      <c r="T42">
        <f>IF($W42="","",INDEX(명단표[소속병원],$W42))</f>
        <v/>
      </c>
      <c r="U42">
        <f>IF($W42="","",INDEX(명단표[서울 근무일(기준월)],$W42))</f>
        <v/>
      </c>
      <c r="V42">
        <f>IF($W42="","",INDEX(명단표[구리 근무일(기준월)],$W42))</f>
        <v/>
      </c>
      <c r="W42" s="17">
        <f>IFERROR(MATCH(37,명단표[판정불가순번],0),"")</f>
        <v/>
      </c>
    </row>
    <row r="43">
      <c r="A43">
        <f>IF($P43="","",38)</f>
        <v/>
      </c>
      <c r="B43">
        <f>IF($P43="","",INDEX(명단표[이름],$P43))</f>
        <v/>
      </c>
      <c r="C43">
        <f>IF($P43="","",INDEX(명단표[사번],$P43)&amp;"")</f>
        <v/>
      </c>
      <c r="D43">
        <f>IF($P43="","",INDEX(명단표[전공의등록번호],$P43)&amp;"")</f>
        <v/>
      </c>
      <c r="E43">
        <f>IF($P43="","",INDEX(명단표[수련과목],$P43)&amp;"")</f>
        <v/>
      </c>
      <c r="F43">
        <f>IF($P43="","",INDEX(명단표[연차],$P43)&amp;"")</f>
        <v/>
      </c>
      <c r="G43">
        <f>IF($P43="","",INDEX(명단표[소속병원],$P43))</f>
        <v/>
      </c>
      <c r="H43">
        <f>IF($P43="","",IF(INDEX(명단표[소속병원],$P43)="서울병원","서울 소속","타 병원 소속("&amp;INDEX(명단표[소속병원],$P43)&amp;") → 서울 지급"))</f>
        <v/>
      </c>
      <c r="I43">
        <f>IF($P43="","",INDEX(명단표[현재 근무병원],$P43))</f>
        <v/>
      </c>
      <c r="J43">
        <f>IF($P43="","",INDEX(명단표[구리 근무 시작일(기준월)],$P43)&amp;"")</f>
        <v/>
      </c>
      <c r="K43">
        <f>IF($P43="","",INDEX(명단표[구리 근무 종료일(기준월)],$P43)&amp;"")</f>
        <v/>
      </c>
      <c r="L43">
        <f>IF($P43="","",INDEX(명단표[서울 근무일(기준월)],$P43))</f>
        <v/>
      </c>
      <c r="M43">
        <f>IF($P43="","",INDEX(명단표[구리 근무일(기준월)],$P43))</f>
        <v/>
      </c>
      <c r="N43">
        <f>IF($P43="","",INDEX(명단표[급여 판정 근거],$P43))</f>
        <v/>
      </c>
      <c r="O43">
        <f>IF($P43="","",INDEX(명단표[점검],$P43))</f>
        <v/>
      </c>
      <c r="P43" s="17">
        <f>IFERROR(MATCH(38,명단표[서울순번],0),"")</f>
        <v/>
      </c>
      <c r="R43">
        <f>IF($W43="","",INDEX(명단표[이름],$W43))</f>
        <v/>
      </c>
      <c r="S43">
        <f>IF($W43="","",INDEX(명단표[사번],$W43)&amp;"")</f>
        <v/>
      </c>
      <c r="T43">
        <f>IF($W43="","",INDEX(명단표[소속병원],$W43))</f>
        <v/>
      </c>
      <c r="U43">
        <f>IF($W43="","",INDEX(명단표[서울 근무일(기준월)],$W43))</f>
        <v/>
      </c>
      <c r="V43">
        <f>IF($W43="","",INDEX(명단표[구리 근무일(기준월)],$W43))</f>
        <v/>
      </c>
      <c r="W43" s="17">
        <f>IFERROR(MATCH(38,명단표[판정불가순번],0),"")</f>
        <v/>
      </c>
    </row>
    <row r="44">
      <c r="A44">
        <f>IF($P44="","",39)</f>
        <v/>
      </c>
      <c r="B44">
        <f>IF($P44="","",INDEX(명단표[이름],$P44))</f>
        <v/>
      </c>
      <c r="C44">
        <f>IF($P44="","",INDEX(명단표[사번],$P44)&amp;"")</f>
        <v/>
      </c>
      <c r="D44">
        <f>IF($P44="","",INDEX(명단표[전공의등록번호],$P44)&amp;"")</f>
        <v/>
      </c>
      <c r="E44">
        <f>IF($P44="","",INDEX(명단표[수련과목],$P44)&amp;"")</f>
        <v/>
      </c>
      <c r="F44">
        <f>IF($P44="","",INDEX(명단표[연차],$P44)&amp;"")</f>
        <v/>
      </c>
      <c r="G44">
        <f>IF($P44="","",INDEX(명단표[소속병원],$P44))</f>
        <v/>
      </c>
      <c r="H44">
        <f>IF($P44="","",IF(INDEX(명단표[소속병원],$P44)="서울병원","서울 소속","타 병원 소속("&amp;INDEX(명단표[소속병원],$P44)&amp;") → 서울 지급"))</f>
        <v/>
      </c>
      <c r="I44">
        <f>IF($P44="","",INDEX(명단표[현재 근무병원],$P44))</f>
        <v/>
      </c>
      <c r="J44">
        <f>IF($P44="","",INDEX(명단표[구리 근무 시작일(기준월)],$P44)&amp;"")</f>
        <v/>
      </c>
      <c r="K44">
        <f>IF($P44="","",INDEX(명단표[구리 근무 종료일(기준월)],$P44)&amp;"")</f>
        <v/>
      </c>
      <c r="L44">
        <f>IF($P44="","",INDEX(명단표[서울 근무일(기준월)],$P44))</f>
        <v/>
      </c>
      <c r="M44">
        <f>IF($P44="","",INDEX(명단표[구리 근무일(기준월)],$P44))</f>
        <v/>
      </c>
      <c r="N44">
        <f>IF($P44="","",INDEX(명단표[급여 판정 근거],$P44))</f>
        <v/>
      </c>
      <c r="O44">
        <f>IF($P44="","",INDEX(명단표[점검],$P44))</f>
        <v/>
      </c>
      <c r="P44" s="17">
        <f>IFERROR(MATCH(39,명단표[서울순번],0),"")</f>
        <v/>
      </c>
      <c r="R44">
        <f>IF($W44="","",INDEX(명단표[이름],$W44))</f>
        <v/>
      </c>
      <c r="S44">
        <f>IF($W44="","",INDEX(명단표[사번],$W44)&amp;"")</f>
        <v/>
      </c>
      <c r="T44">
        <f>IF($W44="","",INDEX(명단표[소속병원],$W44))</f>
        <v/>
      </c>
      <c r="U44">
        <f>IF($W44="","",INDEX(명단표[서울 근무일(기준월)],$W44))</f>
        <v/>
      </c>
      <c r="V44">
        <f>IF($W44="","",INDEX(명단표[구리 근무일(기준월)],$W44))</f>
        <v/>
      </c>
      <c r="W44" s="17">
        <f>IFERROR(MATCH(39,명단표[판정불가순번],0),"")</f>
        <v/>
      </c>
    </row>
    <row r="45">
      <c r="A45">
        <f>IF($P45="","",40)</f>
        <v/>
      </c>
      <c r="B45">
        <f>IF($P45="","",INDEX(명단표[이름],$P45))</f>
        <v/>
      </c>
      <c r="C45">
        <f>IF($P45="","",INDEX(명단표[사번],$P45)&amp;"")</f>
        <v/>
      </c>
      <c r="D45">
        <f>IF($P45="","",INDEX(명단표[전공의등록번호],$P45)&amp;"")</f>
        <v/>
      </c>
      <c r="E45">
        <f>IF($P45="","",INDEX(명단표[수련과목],$P45)&amp;"")</f>
        <v/>
      </c>
      <c r="F45">
        <f>IF($P45="","",INDEX(명단표[연차],$P45)&amp;"")</f>
        <v/>
      </c>
      <c r="G45">
        <f>IF($P45="","",INDEX(명단표[소속병원],$P45))</f>
        <v/>
      </c>
      <c r="H45">
        <f>IF($P45="","",IF(INDEX(명단표[소속병원],$P45)="서울병원","서울 소속","타 병원 소속("&amp;INDEX(명단표[소속병원],$P45)&amp;") → 서울 지급"))</f>
        <v/>
      </c>
      <c r="I45">
        <f>IF($P45="","",INDEX(명단표[현재 근무병원],$P45))</f>
        <v/>
      </c>
      <c r="J45">
        <f>IF($P45="","",INDEX(명단표[구리 근무 시작일(기준월)],$P45)&amp;"")</f>
        <v/>
      </c>
      <c r="K45">
        <f>IF($P45="","",INDEX(명단표[구리 근무 종료일(기준월)],$P45)&amp;"")</f>
        <v/>
      </c>
      <c r="L45">
        <f>IF($P45="","",INDEX(명단표[서울 근무일(기준월)],$P45))</f>
        <v/>
      </c>
      <c r="M45">
        <f>IF($P45="","",INDEX(명단표[구리 근무일(기준월)],$P45))</f>
        <v/>
      </c>
      <c r="N45">
        <f>IF($P45="","",INDEX(명단표[급여 판정 근거],$P45))</f>
        <v/>
      </c>
      <c r="O45">
        <f>IF($P45="","",INDEX(명단표[점검],$P45))</f>
        <v/>
      </c>
      <c r="P45" s="17">
        <f>IFERROR(MATCH(40,명단표[서울순번],0),"")</f>
        <v/>
      </c>
      <c r="R45">
        <f>IF($W45="","",INDEX(명단표[이름],$W45))</f>
        <v/>
      </c>
      <c r="S45">
        <f>IF($W45="","",INDEX(명단표[사번],$W45)&amp;"")</f>
        <v/>
      </c>
      <c r="T45">
        <f>IF($W45="","",INDEX(명단표[소속병원],$W45))</f>
        <v/>
      </c>
      <c r="U45">
        <f>IF($W45="","",INDEX(명단표[서울 근무일(기준월)],$W45))</f>
        <v/>
      </c>
      <c r="V45">
        <f>IF($W45="","",INDEX(명단표[구리 근무일(기준월)],$W45))</f>
        <v/>
      </c>
      <c r="W45" s="17">
        <f>IFERROR(MATCH(40,명단표[판정불가순번],0),"")</f>
        <v/>
      </c>
    </row>
    <row r="46">
      <c r="A46">
        <f>IF($P46="","",41)</f>
        <v/>
      </c>
      <c r="B46">
        <f>IF($P46="","",INDEX(명단표[이름],$P46))</f>
        <v/>
      </c>
      <c r="C46">
        <f>IF($P46="","",INDEX(명단표[사번],$P46)&amp;"")</f>
        <v/>
      </c>
      <c r="D46">
        <f>IF($P46="","",INDEX(명단표[전공의등록번호],$P46)&amp;"")</f>
        <v/>
      </c>
      <c r="E46">
        <f>IF($P46="","",INDEX(명단표[수련과목],$P46)&amp;"")</f>
        <v/>
      </c>
      <c r="F46">
        <f>IF($P46="","",INDEX(명단표[연차],$P46)&amp;"")</f>
        <v/>
      </c>
      <c r="G46">
        <f>IF($P46="","",INDEX(명단표[소속병원],$P46))</f>
        <v/>
      </c>
      <c r="H46">
        <f>IF($P46="","",IF(INDEX(명단표[소속병원],$P46)="서울병원","서울 소속","타 병원 소속("&amp;INDEX(명단표[소속병원],$P46)&amp;") → 서울 지급"))</f>
        <v/>
      </c>
      <c r="I46">
        <f>IF($P46="","",INDEX(명단표[현재 근무병원],$P46))</f>
        <v/>
      </c>
      <c r="J46">
        <f>IF($P46="","",INDEX(명단표[구리 근무 시작일(기준월)],$P46)&amp;"")</f>
        <v/>
      </c>
      <c r="K46">
        <f>IF($P46="","",INDEX(명단표[구리 근무 종료일(기준월)],$P46)&amp;"")</f>
        <v/>
      </c>
      <c r="L46">
        <f>IF($P46="","",INDEX(명단표[서울 근무일(기준월)],$P46))</f>
        <v/>
      </c>
      <c r="M46">
        <f>IF($P46="","",INDEX(명단표[구리 근무일(기준월)],$P46))</f>
        <v/>
      </c>
      <c r="N46">
        <f>IF($P46="","",INDEX(명단표[급여 판정 근거],$P46))</f>
        <v/>
      </c>
      <c r="O46">
        <f>IF($P46="","",INDEX(명단표[점검],$P46))</f>
        <v/>
      </c>
      <c r="P46" s="17">
        <f>IFERROR(MATCH(41,명단표[서울순번],0),"")</f>
        <v/>
      </c>
      <c r="R46">
        <f>IF($W46="","",INDEX(명단표[이름],$W46))</f>
        <v/>
      </c>
      <c r="S46">
        <f>IF($W46="","",INDEX(명단표[사번],$W46)&amp;"")</f>
        <v/>
      </c>
      <c r="T46">
        <f>IF($W46="","",INDEX(명단표[소속병원],$W46))</f>
        <v/>
      </c>
      <c r="U46">
        <f>IF($W46="","",INDEX(명단표[서울 근무일(기준월)],$W46))</f>
        <v/>
      </c>
      <c r="V46">
        <f>IF($W46="","",INDEX(명단표[구리 근무일(기준월)],$W46))</f>
        <v/>
      </c>
      <c r="W46" s="17">
        <f>IFERROR(MATCH(41,명단표[판정불가순번],0),"")</f>
        <v/>
      </c>
    </row>
    <row r="47">
      <c r="A47">
        <f>IF($P47="","",42)</f>
        <v/>
      </c>
      <c r="B47">
        <f>IF($P47="","",INDEX(명단표[이름],$P47))</f>
        <v/>
      </c>
      <c r="C47">
        <f>IF($P47="","",INDEX(명단표[사번],$P47)&amp;"")</f>
        <v/>
      </c>
      <c r="D47">
        <f>IF($P47="","",INDEX(명단표[전공의등록번호],$P47)&amp;"")</f>
        <v/>
      </c>
      <c r="E47">
        <f>IF($P47="","",INDEX(명단표[수련과목],$P47)&amp;"")</f>
        <v/>
      </c>
      <c r="F47">
        <f>IF($P47="","",INDEX(명단표[연차],$P47)&amp;"")</f>
        <v/>
      </c>
      <c r="G47">
        <f>IF($P47="","",INDEX(명단표[소속병원],$P47))</f>
        <v/>
      </c>
      <c r="H47">
        <f>IF($P47="","",IF(INDEX(명단표[소속병원],$P47)="서울병원","서울 소속","타 병원 소속("&amp;INDEX(명단표[소속병원],$P47)&amp;") → 서울 지급"))</f>
        <v/>
      </c>
      <c r="I47">
        <f>IF($P47="","",INDEX(명단표[현재 근무병원],$P47))</f>
        <v/>
      </c>
      <c r="J47">
        <f>IF($P47="","",INDEX(명단표[구리 근무 시작일(기준월)],$P47)&amp;"")</f>
        <v/>
      </c>
      <c r="K47">
        <f>IF($P47="","",INDEX(명단표[구리 근무 종료일(기준월)],$P47)&amp;"")</f>
        <v/>
      </c>
      <c r="L47">
        <f>IF($P47="","",INDEX(명단표[서울 근무일(기준월)],$P47))</f>
        <v/>
      </c>
      <c r="M47">
        <f>IF($P47="","",INDEX(명단표[구리 근무일(기준월)],$P47))</f>
        <v/>
      </c>
      <c r="N47">
        <f>IF($P47="","",INDEX(명단표[급여 판정 근거],$P47))</f>
        <v/>
      </c>
      <c r="O47">
        <f>IF($P47="","",INDEX(명단표[점검],$P47))</f>
        <v/>
      </c>
      <c r="P47" s="17">
        <f>IFERROR(MATCH(42,명단표[서울순번],0),"")</f>
        <v/>
      </c>
      <c r="R47">
        <f>IF($W47="","",INDEX(명단표[이름],$W47))</f>
        <v/>
      </c>
      <c r="S47">
        <f>IF($W47="","",INDEX(명단표[사번],$W47)&amp;"")</f>
        <v/>
      </c>
      <c r="T47">
        <f>IF($W47="","",INDEX(명단표[소속병원],$W47))</f>
        <v/>
      </c>
      <c r="U47">
        <f>IF($W47="","",INDEX(명단표[서울 근무일(기준월)],$W47))</f>
        <v/>
      </c>
      <c r="V47">
        <f>IF($W47="","",INDEX(명단표[구리 근무일(기준월)],$W47))</f>
        <v/>
      </c>
      <c r="W47" s="17">
        <f>IFERROR(MATCH(42,명단표[판정불가순번],0),"")</f>
        <v/>
      </c>
    </row>
    <row r="48">
      <c r="A48">
        <f>IF($P48="","",43)</f>
        <v/>
      </c>
      <c r="B48">
        <f>IF($P48="","",INDEX(명단표[이름],$P48))</f>
        <v/>
      </c>
      <c r="C48">
        <f>IF($P48="","",INDEX(명단표[사번],$P48)&amp;"")</f>
        <v/>
      </c>
      <c r="D48">
        <f>IF($P48="","",INDEX(명단표[전공의등록번호],$P48)&amp;"")</f>
        <v/>
      </c>
      <c r="E48">
        <f>IF($P48="","",INDEX(명단표[수련과목],$P48)&amp;"")</f>
        <v/>
      </c>
      <c r="F48">
        <f>IF($P48="","",INDEX(명단표[연차],$P48)&amp;"")</f>
        <v/>
      </c>
      <c r="G48">
        <f>IF($P48="","",INDEX(명단표[소속병원],$P48))</f>
        <v/>
      </c>
      <c r="H48">
        <f>IF($P48="","",IF(INDEX(명단표[소속병원],$P48)="서울병원","서울 소속","타 병원 소속("&amp;INDEX(명단표[소속병원],$P48)&amp;") → 서울 지급"))</f>
        <v/>
      </c>
      <c r="I48">
        <f>IF($P48="","",INDEX(명단표[현재 근무병원],$P48))</f>
        <v/>
      </c>
      <c r="J48">
        <f>IF($P48="","",INDEX(명단표[구리 근무 시작일(기준월)],$P48)&amp;"")</f>
        <v/>
      </c>
      <c r="K48">
        <f>IF($P48="","",INDEX(명단표[구리 근무 종료일(기준월)],$P48)&amp;"")</f>
        <v/>
      </c>
      <c r="L48">
        <f>IF($P48="","",INDEX(명단표[서울 근무일(기준월)],$P48))</f>
        <v/>
      </c>
      <c r="M48">
        <f>IF($P48="","",INDEX(명단표[구리 근무일(기준월)],$P48))</f>
        <v/>
      </c>
      <c r="N48">
        <f>IF($P48="","",INDEX(명단표[급여 판정 근거],$P48))</f>
        <v/>
      </c>
      <c r="O48">
        <f>IF($P48="","",INDEX(명단표[점검],$P48))</f>
        <v/>
      </c>
      <c r="P48" s="17">
        <f>IFERROR(MATCH(43,명단표[서울순번],0),"")</f>
        <v/>
      </c>
      <c r="R48">
        <f>IF($W48="","",INDEX(명단표[이름],$W48))</f>
        <v/>
      </c>
      <c r="S48">
        <f>IF($W48="","",INDEX(명단표[사번],$W48)&amp;"")</f>
        <v/>
      </c>
      <c r="T48">
        <f>IF($W48="","",INDEX(명단표[소속병원],$W48))</f>
        <v/>
      </c>
      <c r="U48">
        <f>IF($W48="","",INDEX(명단표[서울 근무일(기준월)],$W48))</f>
        <v/>
      </c>
      <c r="V48">
        <f>IF($W48="","",INDEX(명단표[구리 근무일(기준월)],$W48))</f>
        <v/>
      </c>
      <c r="W48" s="17">
        <f>IFERROR(MATCH(43,명단표[판정불가순번],0),"")</f>
        <v/>
      </c>
    </row>
    <row r="49">
      <c r="A49">
        <f>IF($P49="","",44)</f>
        <v/>
      </c>
      <c r="B49">
        <f>IF($P49="","",INDEX(명단표[이름],$P49))</f>
        <v/>
      </c>
      <c r="C49">
        <f>IF($P49="","",INDEX(명단표[사번],$P49)&amp;"")</f>
        <v/>
      </c>
      <c r="D49">
        <f>IF($P49="","",INDEX(명단표[전공의등록번호],$P49)&amp;"")</f>
        <v/>
      </c>
      <c r="E49">
        <f>IF($P49="","",INDEX(명단표[수련과목],$P49)&amp;"")</f>
        <v/>
      </c>
      <c r="F49">
        <f>IF($P49="","",INDEX(명단표[연차],$P49)&amp;"")</f>
        <v/>
      </c>
      <c r="G49">
        <f>IF($P49="","",INDEX(명단표[소속병원],$P49))</f>
        <v/>
      </c>
      <c r="H49">
        <f>IF($P49="","",IF(INDEX(명단표[소속병원],$P49)="서울병원","서울 소속","타 병원 소속("&amp;INDEX(명단표[소속병원],$P49)&amp;") → 서울 지급"))</f>
        <v/>
      </c>
      <c r="I49">
        <f>IF($P49="","",INDEX(명단표[현재 근무병원],$P49))</f>
        <v/>
      </c>
      <c r="J49">
        <f>IF($P49="","",INDEX(명단표[구리 근무 시작일(기준월)],$P49)&amp;"")</f>
        <v/>
      </c>
      <c r="K49">
        <f>IF($P49="","",INDEX(명단표[구리 근무 종료일(기준월)],$P49)&amp;"")</f>
        <v/>
      </c>
      <c r="L49">
        <f>IF($P49="","",INDEX(명단표[서울 근무일(기준월)],$P49))</f>
        <v/>
      </c>
      <c r="M49">
        <f>IF($P49="","",INDEX(명단표[구리 근무일(기준월)],$P49))</f>
        <v/>
      </c>
      <c r="N49">
        <f>IF($P49="","",INDEX(명단표[급여 판정 근거],$P49))</f>
        <v/>
      </c>
      <c r="O49">
        <f>IF($P49="","",INDEX(명단표[점검],$P49))</f>
        <v/>
      </c>
      <c r="P49" s="17">
        <f>IFERROR(MATCH(44,명단표[서울순번],0),"")</f>
        <v/>
      </c>
      <c r="R49">
        <f>IF($W49="","",INDEX(명단표[이름],$W49))</f>
        <v/>
      </c>
      <c r="S49">
        <f>IF($W49="","",INDEX(명단표[사번],$W49)&amp;"")</f>
        <v/>
      </c>
      <c r="T49">
        <f>IF($W49="","",INDEX(명단표[소속병원],$W49))</f>
        <v/>
      </c>
      <c r="U49">
        <f>IF($W49="","",INDEX(명단표[서울 근무일(기준월)],$W49))</f>
        <v/>
      </c>
      <c r="V49">
        <f>IF($W49="","",INDEX(명단표[구리 근무일(기준월)],$W49))</f>
        <v/>
      </c>
      <c r="W49" s="17">
        <f>IFERROR(MATCH(44,명단표[판정불가순번],0),"")</f>
        <v/>
      </c>
    </row>
    <row r="50">
      <c r="A50">
        <f>IF($P50="","",45)</f>
        <v/>
      </c>
      <c r="B50">
        <f>IF($P50="","",INDEX(명단표[이름],$P50))</f>
        <v/>
      </c>
      <c r="C50">
        <f>IF($P50="","",INDEX(명단표[사번],$P50)&amp;"")</f>
        <v/>
      </c>
      <c r="D50">
        <f>IF($P50="","",INDEX(명단표[전공의등록번호],$P50)&amp;"")</f>
        <v/>
      </c>
      <c r="E50">
        <f>IF($P50="","",INDEX(명단표[수련과목],$P50)&amp;"")</f>
        <v/>
      </c>
      <c r="F50">
        <f>IF($P50="","",INDEX(명단표[연차],$P50)&amp;"")</f>
        <v/>
      </c>
      <c r="G50">
        <f>IF($P50="","",INDEX(명단표[소속병원],$P50))</f>
        <v/>
      </c>
      <c r="H50">
        <f>IF($P50="","",IF(INDEX(명단표[소속병원],$P50)="서울병원","서울 소속","타 병원 소속("&amp;INDEX(명단표[소속병원],$P50)&amp;") → 서울 지급"))</f>
        <v/>
      </c>
      <c r="I50">
        <f>IF($P50="","",INDEX(명단표[현재 근무병원],$P50))</f>
        <v/>
      </c>
      <c r="J50">
        <f>IF($P50="","",INDEX(명단표[구리 근무 시작일(기준월)],$P50)&amp;"")</f>
        <v/>
      </c>
      <c r="K50">
        <f>IF($P50="","",INDEX(명단표[구리 근무 종료일(기준월)],$P50)&amp;"")</f>
        <v/>
      </c>
      <c r="L50">
        <f>IF($P50="","",INDEX(명단표[서울 근무일(기준월)],$P50))</f>
        <v/>
      </c>
      <c r="M50">
        <f>IF($P50="","",INDEX(명단표[구리 근무일(기준월)],$P50))</f>
        <v/>
      </c>
      <c r="N50">
        <f>IF($P50="","",INDEX(명단표[급여 판정 근거],$P50))</f>
        <v/>
      </c>
      <c r="O50">
        <f>IF($P50="","",INDEX(명단표[점검],$P50))</f>
        <v/>
      </c>
      <c r="P50" s="17">
        <f>IFERROR(MATCH(45,명단표[서울순번],0),"")</f>
        <v/>
      </c>
      <c r="R50">
        <f>IF($W50="","",INDEX(명단표[이름],$W50))</f>
        <v/>
      </c>
      <c r="S50">
        <f>IF($W50="","",INDEX(명단표[사번],$W50)&amp;"")</f>
        <v/>
      </c>
      <c r="T50">
        <f>IF($W50="","",INDEX(명단표[소속병원],$W50))</f>
        <v/>
      </c>
      <c r="U50">
        <f>IF($W50="","",INDEX(명단표[서울 근무일(기준월)],$W50))</f>
        <v/>
      </c>
      <c r="V50">
        <f>IF($W50="","",INDEX(명단표[구리 근무일(기준월)],$W50))</f>
        <v/>
      </c>
      <c r="W50" s="17">
        <f>IFERROR(MATCH(45,명단표[판정불가순번],0),"")</f>
        <v/>
      </c>
    </row>
    <row r="51">
      <c r="A51">
        <f>IF($P51="","",46)</f>
        <v/>
      </c>
      <c r="B51">
        <f>IF($P51="","",INDEX(명단표[이름],$P51))</f>
        <v/>
      </c>
      <c r="C51">
        <f>IF($P51="","",INDEX(명단표[사번],$P51)&amp;"")</f>
        <v/>
      </c>
      <c r="D51">
        <f>IF($P51="","",INDEX(명단표[전공의등록번호],$P51)&amp;"")</f>
        <v/>
      </c>
      <c r="E51">
        <f>IF($P51="","",INDEX(명단표[수련과목],$P51)&amp;"")</f>
        <v/>
      </c>
      <c r="F51">
        <f>IF($P51="","",INDEX(명단표[연차],$P51)&amp;"")</f>
        <v/>
      </c>
      <c r="G51">
        <f>IF($P51="","",INDEX(명단표[소속병원],$P51))</f>
        <v/>
      </c>
      <c r="H51">
        <f>IF($P51="","",IF(INDEX(명단표[소속병원],$P51)="서울병원","서울 소속","타 병원 소속("&amp;INDEX(명단표[소속병원],$P51)&amp;") → 서울 지급"))</f>
        <v/>
      </c>
      <c r="I51">
        <f>IF($P51="","",INDEX(명단표[현재 근무병원],$P51))</f>
        <v/>
      </c>
      <c r="J51">
        <f>IF($P51="","",INDEX(명단표[구리 근무 시작일(기준월)],$P51)&amp;"")</f>
        <v/>
      </c>
      <c r="K51">
        <f>IF($P51="","",INDEX(명단표[구리 근무 종료일(기준월)],$P51)&amp;"")</f>
        <v/>
      </c>
      <c r="L51">
        <f>IF($P51="","",INDEX(명단표[서울 근무일(기준월)],$P51))</f>
        <v/>
      </c>
      <c r="M51">
        <f>IF($P51="","",INDEX(명단표[구리 근무일(기준월)],$P51))</f>
        <v/>
      </c>
      <c r="N51">
        <f>IF($P51="","",INDEX(명단표[급여 판정 근거],$P51))</f>
        <v/>
      </c>
      <c r="O51">
        <f>IF($P51="","",INDEX(명단표[점검],$P51))</f>
        <v/>
      </c>
      <c r="P51" s="17">
        <f>IFERROR(MATCH(46,명단표[서울순번],0),"")</f>
        <v/>
      </c>
      <c r="R51">
        <f>IF($W51="","",INDEX(명단표[이름],$W51))</f>
        <v/>
      </c>
      <c r="S51">
        <f>IF($W51="","",INDEX(명단표[사번],$W51)&amp;"")</f>
        <v/>
      </c>
      <c r="T51">
        <f>IF($W51="","",INDEX(명단표[소속병원],$W51))</f>
        <v/>
      </c>
      <c r="U51">
        <f>IF($W51="","",INDEX(명단표[서울 근무일(기준월)],$W51))</f>
        <v/>
      </c>
      <c r="V51">
        <f>IF($W51="","",INDEX(명단표[구리 근무일(기준월)],$W51))</f>
        <v/>
      </c>
      <c r="W51" s="17">
        <f>IFERROR(MATCH(46,명단표[판정불가순번],0),"")</f>
        <v/>
      </c>
    </row>
    <row r="52">
      <c r="A52">
        <f>IF($P52="","",47)</f>
        <v/>
      </c>
      <c r="B52">
        <f>IF($P52="","",INDEX(명단표[이름],$P52))</f>
        <v/>
      </c>
      <c r="C52">
        <f>IF($P52="","",INDEX(명단표[사번],$P52)&amp;"")</f>
        <v/>
      </c>
      <c r="D52">
        <f>IF($P52="","",INDEX(명단표[전공의등록번호],$P52)&amp;"")</f>
        <v/>
      </c>
      <c r="E52">
        <f>IF($P52="","",INDEX(명단표[수련과목],$P52)&amp;"")</f>
        <v/>
      </c>
      <c r="F52">
        <f>IF($P52="","",INDEX(명단표[연차],$P52)&amp;"")</f>
        <v/>
      </c>
      <c r="G52">
        <f>IF($P52="","",INDEX(명단표[소속병원],$P52))</f>
        <v/>
      </c>
      <c r="H52">
        <f>IF($P52="","",IF(INDEX(명단표[소속병원],$P52)="서울병원","서울 소속","타 병원 소속("&amp;INDEX(명단표[소속병원],$P52)&amp;") → 서울 지급"))</f>
        <v/>
      </c>
      <c r="I52">
        <f>IF($P52="","",INDEX(명단표[현재 근무병원],$P52))</f>
        <v/>
      </c>
      <c r="J52">
        <f>IF($P52="","",INDEX(명단표[구리 근무 시작일(기준월)],$P52)&amp;"")</f>
        <v/>
      </c>
      <c r="K52">
        <f>IF($P52="","",INDEX(명단표[구리 근무 종료일(기준월)],$P52)&amp;"")</f>
        <v/>
      </c>
      <c r="L52">
        <f>IF($P52="","",INDEX(명단표[서울 근무일(기준월)],$P52))</f>
        <v/>
      </c>
      <c r="M52">
        <f>IF($P52="","",INDEX(명단표[구리 근무일(기준월)],$P52))</f>
        <v/>
      </c>
      <c r="N52">
        <f>IF($P52="","",INDEX(명단표[급여 판정 근거],$P52))</f>
        <v/>
      </c>
      <c r="O52">
        <f>IF($P52="","",INDEX(명단표[점검],$P52))</f>
        <v/>
      </c>
      <c r="P52" s="17">
        <f>IFERROR(MATCH(47,명단표[서울순번],0),"")</f>
        <v/>
      </c>
      <c r="R52">
        <f>IF($W52="","",INDEX(명단표[이름],$W52))</f>
        <v/>
      </c>
      <c r="S52">
        <f>IF($W52="","",INDEX(명단표[사번],$W52)&amp;"")</f>
        <v/>
      </c>
      <c r="T52">
        <f>IF($W52="","",INDEX(명단표[소속병원],$W52))</f>
        <v/>
      </c>
      <c r="U52">
        <f>IF($W52="","",INDEX(명단표[서울 근무일(기준월)],$W52))</f>
        <v/>
      </c>
      <c r="V52">
        <f>IF($W52="","",INDEX(명단표[구리 근무일(기준월)],$W52))</f>
        <v/>
      </c>
      <c r="W52" s="17">
        <f>IFERROR(MATCH(47,명단표[판정불가순번],0),"")</f>
        <v/>
      </c>
    </row>
    <row r="53">
      <c r="A53">
        <f>IF($P53="","",48)</f>
        <v/>
      </c>
      <c r="B53">
        <f>IF($P53="","",INDEX(명단표[이름],$P53))</f>
        <v/>
      </c>
      <c r="C53">
        <f>IF($P53="","",INDEX(명단표[사번],$P53)&amp;"")</f>
        <v/>
      </c>
      <c r="D53">
        <f>IF($P53="","",INDEX(명단표[전공의등록번호],$P53)&amp;"")</f>
        <v/>
      </c>
      <c r="E53">
        <f>IF($P53="","",INDEX(명단표[수련과목],$P53)&amp;"")</f>
        <v/>
      </c>
      <c r="F53">
        <f>IF($P53="","",INDEX(명단표[연차],$P53)&amp;"")</f>
        <v/>
      </c>
      <c r="G53">
        <f>IF($P53="","",INDEX(명단표[소속병원],$P53))</f>
        <v/>
      </c>
      <c r="H53">
        <f>IF($P53="","",IF(INDEX(명단표[소속병원],$P53)="서울병원","서울 소속","타 병원 소속("&amp;INDEX(명단표[소속병원],$P53)&amp;") → 서울 지급"))</f>
        <v/>
      </c>
      <c r="I53">
        <f>IF($P53="","",INDEX(명단표[현재 근무병원],$P53))</f>
        <v/>
      </c>
      <c r="J53">
        <f>IF($P53="","",INDEX(명단표[구리 근무 시작일(기준월)],$P53)&amp;"")</f>
        <v/>
      </c>
      <c r="K53">
        <f>IF($P53="","",INDEX(명단표[구리 근무 종료일(기준월)],$P53)&amp;"")</f>
        <v/>
      </c>
      <c r="L53">
        <f>IF($P53="","",INDEX(명단표[서울 근무일(기준월)],$P53))</f>
        <v/>
      </c>
      <c r="M53">
        <f>IF($P53="","",INDEX(명단표[구리 근무일(기준월)],$P53))</f>
        <v/>
      </c>
      <c r="N53">
        <f>IF($P53="","",INDEX(명단표[급여 판정 근거],$P53))</f>
        <v/>
      </c>
      <c r="O53">
        <f>IF($P53="","",INDEX(명단표[점검],$P53))</f>
        <v/>
      </c>
      <c r="P53" s="17">
        <f>IFERROR(MATCH(48,명단표[서울순번],0),"")</f>
        <v/>
      </c>
      <c r="R53">
        <f>IF($W53="","",INDEX(명단표[이름],$W53))</f>
        <v/>
      </c>
      <c r="S53">
        <f>IF($W53="","",INDEX(명단표[사번],$W53)&amp;"")</f>
        <v/>
      </c>
      <c r="T53">
        <f>IF($W53="","",INDEX(명단표[소속병원],$W53))</f>
        <v/>
      </c>
      <c r="U53">
        <f>IF($W53="","",INDEX(명단표[서울 근무일(기준월)],$W53))</f>
        <v/>
      </c>
      <c r="V53">
        <f>IF($W53="","",INDEX(명단표[구리 근무일(기준월)],$W53))</f>
        <v/>
      </c>
      <c r="W53" s="17">
        <f>IFERROR(MATCH(48,명단표[판정불가순번],0),"")</f>
        <v/>
      </c>
    </row>
    <row r="54">
      <c r="A54">
        <f>IF($P54="","",49)</f>
        <v/>
      </c>
      <c r="B54">
        <f>IF($P54="","",INDEX(명단표[이름],$P54))</f>
        <v/>
      </c>
      <c r="C54">
        <f>IF($P54="","",INDEX(명단표[사번],$P54)&amp;"")</f>
        <v/>
      </c>
      <c r="D54">
        <f>IF($P54="","",INDEX(명단표[전공의등록번호],$P54)&amp;"")</f>
        <v/>
      </c>
      <c r="E54">
        <f>IF($P54="","",INDEX(명단표[수련과목],$P54)&amp;"")</f>
        <v/>
      </c>
      <c r="F54">
        <f>IF($P54="","",INDEX(명단표[연차],$P54)&amp;"")</f>
        <v/>
      </c>
      <c r="G54">
        <f>IF($P54="","",INDEX(명단표[소속병원],$P54))</f>
        <v/>
      </c>
      <c r="H54">
        <f>IF($P54="","",IF(INDEX(명단표[소속병원],$P54)="서울병원","서울 소속","타 병원 소속("&amp;INDEX(명단표[소속병원],$P54)&amp;") → 서울 지급"))</f>
        <v/>
      </c>
      <c r="I54">
        <f>IF($P54="","",INDEX(명단표[현재 근무병원],$P54))</f>
        <v/>
      </c>
      <c r="J54">
        <f>IF($P54="","",INDEX(명단표[구리 근무 시작일(기준월)],$P54)&amp;"")</f>
        <v/>
      </c>
      <c r="K54">
        <f>IF($P54="","",INDEX(명단표[구리 근무 종료일(기준월)],$P54)&amp;"")</f>
        <v/>
      </c>
      <c r="L54">
        <f>IF($P54="","",INDEX(명단표[서울 근무일(기준월)],$P54))</f>
        <v/>
      </c>
      <c r="M54">
        <f>IF($P54="","",INDEX(명단표[구리 근무일(기준월)],$P54))</f>
        <v/>
      </c>
      <c r="N54">
        <f>IF($P54="","",INDEX(명단표[급여 판정 근거],$P54))</f>
        <v/>
      </c>
      <c r="O54">
        <f>IF($P54="","",INDEX(명단표[점검],$P54))</f>
        <v/>
      </c>
      <c r="P54" s="17">
        <f>IFERROR(MATCH(49,명단표[서울순번],0),"")</f>
        <v/>
      </c>
      <c r="R54">
        <f>IF($W54="","",INDEX(명단표[이름],$W54))</f>
        <v/>
      </c>
      <c r="S54">
        <f>IF($W54="","",INDEX(명단표[사번],$W54)&amp;"")</f>
        <v/>
      </c>
      <c r="T54">
        <f>IF($W54="","",INDEX(명단표[소속병원],$W54))</f>
        <v/>
      </c>
      <c r="U54">
        <f>IF($W54="","",INDEX(명단표[서울 근무일(기준월)],$W54))</f>
        <v/>
      </c>
      <c r="V54">
        <f>IF($W54="","",INDEX(명단표[구리 근무일(기준월)],$W54))</f>
        <v/>
      </c>
      <c r="W54" s="17">
        <f>IFERROR(MATCH(49,명단표[판정불가순번],0),"")</f>
        <v/>
      </c>
    </row>
    <row r="55">
      <c r="A55">
        <f>IF($P55="","",50)</f>
        <v/>
      </c>
      <c r="B55">
        <f>IF($P55="","",INDEX(명단표[이름],$P55))</f>
        <v/>
      </c>
      <c r="C55">
        <f>IF($P55="","",INDEX(명단표[사번],$P55)&amp;"")</f>
        <v/>
      </c>
      <c r="D55">
        <f>IF($P55="","",INDEX(명단표[전공의등록번호],$P55)&amp;"")</f>
        <v/>
      </c>
      <c r="E55">
        <f>IF($P55="","",INDEX(명단표[수련과목],$P55)&amp;"")</f>
        <v/>
      </c>
      <c r="F55">
        <f>IF($P55="","",INDEX(명단표[연차],$P55)&amp;"")</f>
        <v/>
      </c>
      <c r="G55">
        <f>IF($P55="","",INDEX(명단표[소속병원],$P55))</f>
        <v/>
      </c>
      <c r="H55">
        <f>IF($P55="","",IF(INDEX(명단표[소속병원],$P55)="서울병원","서울 소속","타 병원 소속("&amp;INDEX(명단표[소속병원],$P55)&amp;") → 서울 지급"))</f>
        <v/>
      </c>
      <c r="I55">
        <f>IF($P55="","",INDEX(명단표[현재 근무병원],$P55))</f>
        <v/>
      </c>
      <c r="J55">
        <f>IF($P55="","",INDEX(명단표[구리 근무 시작일(기준월)],$P55)&amp;"")</f>
        <v/>
      </c>
      <c r="K55">
        <f>IF($P55="","",INDEX(명단표[구리 근무 종료일(기준월)],$P55)&amp;"")</f>
        <v/>
      </c>
      <c r="L55">
        <f>IF($P55="","",INDEX(명단표[서울 근무일(기준월)],$P55))</f>
        <v/>
      </c>
      <c r="M55">
        <f>IF($P55="","",INDEX(명단표[구리 근무일(기준월)],$P55))</f>
        <v/>
      </c>
      <c r="N55">
        <f>IF($P55="","",INDEX(명단표[급여 판정 근거],$P55))</f>
        <v/>
      </c>
      <c r="O55">
        <f>IF($P55="","",INDEX(명단표[점검],$P55))</f>
        <v/>
      </c>
      <c r="P55" s="17">
        <f>IFERROR(MATCH(50,명단표[서울순번],0),"")</f>
        <v/>
      </c>
      <c r="R55">
        <f>IF($W55="","",INDEX(명단표[이름],$W55))</f>
        <v/>
      </c>
      <c r="S55">
        <f>IF($W55="","",INDEX(명단표[사번],$W55)&amp;"")</f>
        <v/>
      </c>
      <c r="T55">
        <f>IF($W55="","",INDEX(명단표[소속병원],$W55))</f>
        <v/>
      </c>
      <c r="U55">
        <f>IF($W55="","",INDEX(명단표[서울 근무일(기준월)],$W55))</f>
        <v/>
      </c>
      <c r="V55">
        <f>IF($W55="","",INDEX(명단표[구리 근무일(기준월)],$W55))</f>
        <v/>
      </c>
      <c r="W55" s="17">
        <f>IFERROR(MATCH(50,명단표[판정불가순번],0),"")</f>
        <v/>
      </c>
    </row>
    <row r="56">
      <c r="A56">
        <f>IF($P56="","",51)</f>
        <v/>
      </c>
      <c r="B56">
        <f>IF($P56="","",INDEX(명단표[이름],$P56))</f>
        <v/>
      </c>
      <c r="C56">
        <f>IF($P56="","",INDEX(명단표[사번],$P56)&amp;"")</f>
        <v/>
      </c>
      <c r="D56">
        <f>IF($P56="","",INDEX(명단표[전공의등록번호],$P56)&amp;"")</f>
        <v/>
      </c>
      <c r="E56">
        <f>IF($P56="","",INDEX(명단표[수련과목],$P56)&amp;"")</f>
        <v/>
      </c>
      <c r="F56">
        <f>IF($P56="","",INDEX(명단표[연차],$P56)&amp;"")</f>
        <v/>
      </c>
      <c r="G56">
        <f>IF($P56="","",INDEX(명단표[소속병원],$P56))</f>
        <v/>
      </c>
      <c r="H56">
        <f>IF($P56="","",IF(INDEX(명단표[소속병원],$P56)="서울병원","서울 소속","타 병원 소속("&amp;INDEX(명단표[소속병원],$P56)&amp;") → 서울 지급"))</f>
        <v/>
      </c>
      <c r="I56">
        <f>IF($P56="","",INDEX(명단표[현재 근무병원],$P56))</f>
        <v/>
      </c>
      <c r="J56">
        <f>IF($P56="","",INDEX(명단표[구리 근무 시작일(기준월)],$P56)&amp;"")</f>
        <v/>
      </c>
      <c r="K56">
        <f>IF($P56="","",INDEX(명단표[구리 근무 종료일(기준월)],$P56)&amp;"")</f>
        <v/>
      </c>
      <c r="L56">
        <f>IF($P56="","",INDEX(명단표[서울 근무일(기준월)],$P56))</f>
        <v/>
      </c>
      <c r="M56">
        <f>IF($P56="","",INDEX(명단표[구리 근무일(기준월)],$P56))</f>
        <v/>
      </c>
      <c r="N56">
        <f>IF($P56="","",INDEX(명단표[급여 판정 근거],$P56))</f>
        <v/>
      </c>
      <c r="O56">
        <f>IF($P56="","",INDEX(명단표[점검],$P56))</f>
        <v/>
      </c>
      <c r="P56" s="17">
        <f>IFERROR(MATCH(51,명단표[서울순번],0),"")</f>
        <v/>
      </c>
      <c r="R56">
        <f>IF($W56="","",INDEX(명단표[이름],$W56))</f>
        <v/>
      </c>
      <c r="S56">
        <f>IF($W56="","",INDEX(명단표[사번],$W56)&amp;"")</f>
        <v/>
      </c>
      <c r="T56">
        <f>IF($W56="","",INDEX(명단표[소속병원],$W56))</f>
        <v/>
      </c>
      <c r="U56">
        <f>IF($W56="","",INDEX(명단표[서울 근무일(기준월)],$W56))</f>
        <v/>
      </c>
      <c r="V56">
        <f>IF($W56="","",INDEX(명단표[구리 근무일(기준월)],$W56))</f>
        <v/>
      </c>
      <c r="W56" s="17">
        <f>IFERROR(MATCH(51,명단표[판정불가순번],0),"")</f>
        <v/>
      </c>
    </row>
    <row r="57">
      <c r="A57">
        <f>IF($P57="","",52)</f>
        <v/>
      </c>
      <c r="B57">
        <f>IF($P57="","",INDEX(명단표[이름],$P57))</f>
        <v/>
      </c>
      <c r="C57">
        <f>IF($P57="","",INDEX(명단표[사번],$P57)&amp;"")</f>
        <v/>
      </c>
      <c r="D57">
        <f>IF($P57="","",INDEX(명단표[전공의등록번호],$P57)&amp;"")</f>
        <v/>
      </c>
      <c r="E57">
        <f>IF($P57="","",INDEX(명단표[수련과목],$P57)&amp;"")</f>
        <v/>
      </c>
      <c r="F57">
        <f>IF($P57="","",INDEX(명단표[연차],$P57)&amp;"")</f>
        <v/>
      </c>
      <c r="G57">
        <f>IF($P57="","",INDEX(명단표[소속병원],$P57))</f>
        <v/>
      </c>
      <c r="H57">
        <f>IF($P57="","",IF(INDEX(명단표[소속병원],$P57)="서울병원","서울 소속","타 병원 소속("&amp;INDEX(명단표[소속병원],$P57)&amp;") → 서울 지급"))</f>
        <v/>
      </c>
      <c r="I57">
        <f>IF($P57="","",INDEX(명단표[현재 근무병원],$P57))</f>
        <v/>
      </c>
      <c r="J57">
        <f>IF($P57="","",INDEX(명단표[구리 근무 시작일(기준월)],$P57)&amp;"")</f>
        <v/>
      </c>
      <c r="K57">
        <f>IF($P57="","",INDEX(명단표[구리 근무 종료일(기준월)],$P57)&amp;"")</f>
        <v/>
      </c>
      <c r="L57">
        <f>IF($P57="","",INDEX(명단표[서울 근무일(기준월)],$P57))</f>
        <v/>
      </c>
      <c r="M57">
        <f>IF($P57="","",INDEX(명단표[구리 근무일(기준월)],$P57))</f>
        <v/>
      </c>
      <c r="N57">
        <f>IF($P57="","",INDEX(명단표[급여 판정 근거],$P57))</f>
        <v/>
      </c>
      <c r="O57">
        <f>IF($P57="","",INDEX(명단표[점검],$P57))</f>
        <v/>
      </c>
      <c r="P57" s="17">
        <f>IFERROR(MATCH(52,명단표[서울순번],0),"")</f>
        <v/>
      </c>
      <c r="R57">
        <f>IF($W57="","",INDEX(명단표[이름],$W57))</f>
        <v/>
      </c>
      <c r="S57">
        <f>IF($W57="","",INDEX(명단표[사번],$W57)&amp;"")</f>
        <v/>
      </c>
      <c r="T57">
        <f>IF($W57="","",INDEX(명단표[소속병원],$W57))</f>
        <v/>
      </c>
      <c r="U57">
        <f>IF($W57="","",INDEX(명단표[서울 근무일(기준월)],$W57))</f>
        <v/>
      </c>
      <c r="V57">
        <f>IF($W57="","",INDEX(명단표[구리 근무일(기준월)],$W57))</f>
        <v/>
      </c>
      <c r="W57" s="17">
        <f>IFERROR(MATCH(52,명단표[판정불가순번],0),"")</f>
        <v/>
      </c>
    </row>
    <row r="58">
      <c r="A58">
        <f>IF($P58="","",53)</f>
        <v/>
      </c>
      <c r="B58">
        <f>IF($P58="","",INDEX(명단표[이름],$P58))</f>
        <v/>
      </c>
      <c r="C58">
        <f>IF($P58="","",INDEX(명단표[사번],$P58)&amp;"")</f>
        <v/>
      </c>
      <c r="D58">
        <f>IF($P58="","",INDEX(명단표[전공의등록번호],$P58)&amp;"")</f>
        <v/>
      </c>
      <c r="E58">
        <f>IF($P58="","",INDEX(명단표[수련과목],$P58)&amp;"")</f>
        <v/>
      </c>
      <c r="F58">
        <f>IF($P58="","",INDEX(명단표[연차],$P58)&amp;"")</f>
        <v/>
      </c>
      <c r="G58">
        <f>IF($P58="","",INDEX(명단표[소속병원],$P58))</f>
        <v/>
      </c>
      <c r="H58">
        <f>IF($P58="","",IF(INDEX(명단표[소속병원],$P58)="서울병원","서울 소속","타 병원 소속("&amp;INDEX(명단표[소속병원],$P58)&amp;") → 서울 지급"))</f>
        <v/>
      </c>
      <c r="I58">
        <f>IF($P58="","",INDEX(명단표[현재 근무병원],$P58))</f>
        <v/>
      </c>
      <c r="J58">
        <f>IF($P58="","",INDEX(명단표[구리 근무 시작일(기준월)],$P58)&amp;"")</f>
        <v/>
      </c>
      <c r="K58">
        <f>IF($P58="","",INDEX(명단표[구리 근무 종료일(기준월)],$P58)&amp;"")</f>
        <v/>
      </c>
      <c r="L58">
        <f>IF($P58="","",INDEX(명단표[서울 근무일(기준월)],$P58))</f>
        <v/>
      </c>
      <c r="M58">
        <f>IF($P58="","",INDEX(명단표[구리 근무일(기준월)],$P58))</f>
        <v/>
      </c>
      <c r="N58">
        <f>IF($P58="","",INDEX(명단표[급여 판정 근거],$P58))</f>
        <v/>
      </c>
      <c r="O58">
        <f>IF($P58="","",INDEX(명단표[점검],$P58))</f>
        <v/>
      </c>
      <c r="P58" s="17">
        <f>IFERROR(MATCH(53,명단표[서울순번],0),"")</f>
        <v/>
      </c>
      <c r="R58">
        <f>IF($W58="","",INDEX(명단표[이름],$W58))</f>
        <v/>
      </c>
      <c r="S58">
        <f>IF($W58="","",INDEX(명단표[사번],$W58)&amp;"")</f>
        <v/>
      </c>
      <c r="T58">
        <f>IF($W58="","",INDEX(명단표[소속병원],$W58))</f>
        <v/>
      </c>
      <c r="U58">
        <f>IF($W58="","",INDEX(명단표[서울 근무일(기준월)],$W58))</f>
        <v/>
      </c>
      <c r="V58">
        <f>IF($W58="","",INDEX(명단표[구리 근무일(기준월)],$W58))</f>
        <v/>
      </c>
      <c r="W58" s="17">
        <f>IFERROR(MATCH(53,명단표[판정불가순번],0),"")</f>
        <v/>
      </c>
    </row>
    <row r="59">
      <c r="A59">
        <f>IF($P59="","",54)</f>
        <v/>
      </c>
      <c r="B59">
        <f>IF($P59="","",INDEX(명단표[이름],$P59))</f>
        <v/>
      </c>
      <c r="C59">
        <f>IF($P59="","",INDEX(명단표[사번],$P59)&amp;"")</f>
        <v/>
      </c>
      <c r="D59">
        <f>IF($P59="","",INDEX(명단표[전공의등록번호],$P59)&amp;"")</f>
        <v/>
      </c>
      <c r="E59">
        <f>IF($P59="","",INDEX(명단표[수련과목],$P59)&amp;"")</f>
        <v/>
      </c>
      <c r="F59">
        <f>IF($P59="","",INDEX(명단표[연차],$P59)&amp;"")</f>
        <v/>
      </c>
      <c r="G59">
        <f>IF($P59="","",INDEX(명단표[소속병원],$P59))</f>
        <v/>
      </c>
      <c r="H59">
        <f>IF($P59="","",IF(INDEX(명단표[소속병원],$P59)="서울병원","서울 소속","타 병원 소속("&amp;INDEX(명단표[소속병원],$P59)&amp;") → 서울 지급"))</f>
        <v/>
      </c>
      <c r="I59">
        <f>IF($P59="","",INDEX(명단표[현재 근무병원],$P59))</f>
        <v/>
      </c>
      <c r="J59">
        <f>IF($P59="","",INDEX(명단표[구리 근무 시작일(기준월)],$P59)&amp;"")</f>
        <v/>
      </c>
      <c r="K59">
        <f>IF($P59="","",INDEX(명단표[구리 근무 종료일(기준월)],$P59)&amp;"")</f>
        <v/>
      </c>
      <c r="L59">
        <f>IF($P59="","",INDEX(명단표[서울 근무일(기준월)],$P59))</f>
        <v/>
      </c>
      <c r="M59">
        <f>IF($P59="","",INDEX(명단표[구리 근무일(기준월)],$P59))</f>
        <v/>
      </c>
      <c r="N59">
        <f>IF($P59="","",INDEX(명단표[급여 판정 근거],$P59))</f>
        <v/>
      </c>
      <c r="O59">
        <f>IF($P59="","",INDEX(명단표[점검],$P59))</f>
        <v/>
      </c>
      <c r="P59" s="17">
        <f>IFERROR(MATCH(54,명단표[서울순번],0),"")</f>
        <v/>
      </c>
      <c r="R59">
        <f>IF($W59="","",INDEX(명단표[이름],$W59))</f>
        <v/>
      </c>
      <c r="S59">
        <f>IF($W59="","",INDEX(명단표[사번],$W59)&amp;"")</f>
        <v/>
      </c>
      <c r="T59">
        <f>IF($W59="","",INDEX(명단표[소속병원],$W59))</f>
        <v/>
      </c>
      <c r="U59">
        <f>IF($W59="","",INDEX(명단표[서울 근무일(기준월)],$W59))</f>
        <v/>
      </c>
      <c r="V59">
        <f>IF($W59="","",INDEX(명단표[구리 근무일(기준월)],$W59))</f>
        <v/>
      </c>
      <c r="W59" s="17">
        <f>IFERROR(MATCH(54,명단표[판정불가순번],0),"")</f>
        <v/>
      </c>
    </row>
    <row r="60">
      <c r="A60">
        <f>IF($P60="","",55)</f>
        <v/>
      </c>
      <c r="B60">
        <f>IF($P60="","",INDEX(명단표[이름],$P60))</f>
        <v/>
      </c>
      <c r="C60">
        <f>IF($P60="","",INDEX(명단표[사번],$P60)&amp;"")</f>
        <v/>
      </c>
      <c r="D60">
        <f>IF($P60="","",INDEX(명단표[전공의등록번호],$P60)&amp;"")</f>
        <v/>
      </c>
      <c r="E60">
        <f>IF($P60="","",INDEX(명단표[수련과목],$P60)&amp;"")</f>
        <v/>
      </c>
      <c r="F60">
        <f>IF($P60="","",INDEX(명단표[연차],$P60)&amp;"")</f>
        <v/>
      </c>
      <c r="G60">
        <f>IF($P60="","",INDEX(명단표[소속병원],$P60))</f>
        <v/>
      </c>
      <c r="H60">
        <f>IF($P60="","",IF(INDEX(명단표[소속병원],$P60)="서울병원","서울 소속","타 병원 소속("&amp;INDEX(명단표[소속병원],$P60)&amp;") → 서울 지급"))</f>
        <v/>
      </c>
      <c r="I60">
        <f>IF($P60="","",INDEX(명단표[현재 근무병원],$P60))</f>
        <v/>
      </c>
      <c r="J60">
        <f>IF($P60="","",INDEX(명단표[구리 근무 시작일(기준월)],$P60)&amp;"")</f>
        <v/>
      </c>
      <c r="K60">
        <f>IF($P60="","",INDEX(명단표[구리 근무 종료일(기준월)],$P60)&amp;"")</f>
        <v/>
      </c>
      <c r="L60">
        <f>IF($P60="","",INDEX(명단표[서울 근무일(기준월)],$P60))</f>
        <v/>
      </c>
      <c r="M60">
        <f>IF($P60="","",INDEX(명단표[구리 근무일(기준월)],$P60))</f>
        <v/>
      </c>
      <c r="N60">
        <f>IF($P60="","",INDEX(명단표[급여 판정 근거],$P60))</f>
        <v/>
      </c>
      <c r="O60">
        <f>IF($P60="","",INDEX(명단표[점검],$P60))</f>
        <v/>
      </c>
      <c r="P60" s="17">
        <f>IFERROR(MATCH(55,명단표[서울순번],0),"")</f>
        <v/>
      </c>
      <c r="R60">
        <f>IF($W60="","",INDEX(명단표[이름],$W60))</f>
        <v/>
      </c>
      <c r="S60">
        <f>IF($W60="","",INDEX(명단표[사번],$W60)&amp;"")</f>
        <v/>
      </c>
      <c r="T60">
        <f>IF($W60="","",INDEX(명단표[소속병원],$W60))</f>
        <v/>
      </c>
      <c r="U60">
        <f>IF($W60="","",INDEX(명단표[서울 근무일(기준월)],$W60))</f>
        <v/>
      </c>
      <c r="V60">
        <f>IF($W60="","",INDEX(명단표[구리 근무일(기준월)],$W60))</f>
        <v/>
      </c>
      <c r="W60" s="17">
        <f>IFERROR(MATCH(55,명단표[판정불가순번],0),"")</f>
        <v/>
      </c>
    </row>
    <row r="61">
      <c r="A61">
        <f>IF($P61="","",56)</f>
        <v/>
      </c>
      <c r="B61">
        <f>IF($P61="","",INDEX(명단표[이름],$P61))</f>
        <v/>
      </c>
      <c r="C61">
        <f>IF($P61="","",INDEX(명단표[사번],$P61)&amp;"")</f>
        <v/>
      </c>
      <c r="D61">
        <f>IF($P61="","",INDEX(명단표[전공의등록번호],$P61)&amp;"")</f>
        <v/>
      </c>
      <c r="E61">
        <f>IF($P61="","",INDEX(명단표[수련과목],$P61)&amp;"")</f>
        <v/>
      </c>
      <c r="F61">
        <f>IF($P61="","",INDEX(명단표[연차],$P61)&amp;"")</f>
        <v/>
      </c>
      <c r="G61">
        <f>IF($P61="","",INDEX(명단표[소속병원],$P61))</f>
        <v/>
      </c>
      <c r="H61">
        <f>IF($P61="","",IF(INDEX(명단표[소속병원],$P61)="서울병원","서울 소속","타 병원 소속("&amp;INDEX(명단표[소속병원],$P61)&amp;") → 서울 지급"))</f>
        <v/>
      </c>
      <c r="I61">
        <f>IF($P61="","",INDEX(명단표[현재 근무병원],$P61))</f>
        <v/>
      </c>
      <c r="J61">
        <f>IF($P61="","",INDEX(명단표[구리 근무 시작일(기준월)],$P61)&amp;"")</f>
        <v/>
      </c>
      <c r="K61">
        <f>IF($P61="","",INDEX(명단표[구리 근무 종료일(기준월)],$P61)&amp;"")</f>
        <v/>
      </c>
      <c r="L61">
        <f>IF($P61="","",INDEX(명단표[서울 근무일(기준월)],$P61))</f>
        <v/>
      </c>
      <c r="M61">
        <f>IF($P61="","",INDEX(명단표[구리 근무일(기준월)],$P61))</f>
        <v/>
      </c>
      <c r="N61">
        <f>IF($P61="","",INDEX(명단표[급여 판정 근거],$P61))</f>
        <v/>
      </c>
      <c r="O61">
        <f>IF($P61="","",INDEX(명단표[점검],$P61))</f>
        <v/>
      </c>
      <c r="P61" s="17">
        <f>IFERROR(MATCH(56,명단표[서울순번],0),"")</f>
        <v/>
      </c>
      <c r="R61">
        <f>IF($W61="","",INDEX(명단표[이름],$W61))</f>
        <v/>
      </c>
      <c r="S61">
        <f>IF($W61="","",INDEX(명단표[사번],$W61)&amp;"")</f>
        <v/>
      </c>
      <c r="T61">
        <f>IF($W61="","",INDEX(명단표[소속병원],$W61))</f>
        <v/>
      </c>
      <c r="U61">
        <f>IF($W61="","",INDEX(명단표[서울 근무일(기준월)],$W61))</f>
        <v/>
      </c>
      <c r="V61">
        <f>IF($W61="","",INDEX(명단표[구리 근무일(기준월)],$W61))</f>
        <v/>
      </c>
      <c r="W61" s="17">
        <f>IFERROR(MATCH(56,명단표[판정불가순번],0),"")</f>
        <v/>
      </c>
    </row>
    <row r="62">
      <c r="A62">
        <f>IF($P62="","",57)</f>
        <v/>
      </c>
      <c r="B62">
        <f>IF($P62="","",INDEX(명단표[이름],$P62))</f>
        <v/>
      </c>
      <c r="C62">
        <f>IF($P62="","",INDEX(명단표[사번],$P62)&amp;"")</f>
        <v/>
      </c>
      <c r="D62">
        <f>IF($P62="","",INDEX(명단표[전공의등록번호],$P62)&amp;"")</f>
        <v/>
      </c>
      <c r="E62">
        <f>IF($P62="","",INDEX(명단표[수련과목],$P62)&amp;"")</f>
        <v/>
      </c>
      <c r="F62">
        <f>IF($P62="","",INDEX(명단표[연차],$P62)&amp;"")</f>
        <v/>
      </c>
      <c r="G62">
        <f>IF($P62="","",INDEX(명단표[소속병원],$P62))</f>
        <v/>
      </c>
      <c r="H62">
        <f>IF($P62="","",IF(INDEX(명단표[소속병원],$P62)="서울병원","서울 소속","타 병원 소속("&amp;INDEX(명단표[소속병원],$P62)&amp;") → 서울 지급"))</f>
        <v/>
      </c>
      <c r="I62">
        <f>IF($P62="","",INDEX(명단표[현재 근무병원],$P62))</f>
        <v/>
      </c>
      <c r="J62">
        <f>IF($P62="","",INDEX(명단표[구리 근무 시작일(기준월)],$P62)&amp;"")</f>
        <v/>
      </c>
      <c r="K62">
        <f>IF($P62="","",INDEX(명단표[구리 근무 종료일(기준월)],$P62)&amp;"")</f>
        <v/>
      </c>
      <c r="L62">
        <f>IF($P62="","",INDEX(명단표[서울 근무일(기준월)],$P62))</f>
        <v/>
      </c>
      <c r="M62">
        <f>IF($P62="","",INDEX(명단표[구리 근무일(기준월)],$P62))</f>
        <v/>
      </c>
      <c r="N62">
        <f>IF($P62="","",INDEX(명단표[급여 판정 근거],$P62))</f>
        <v/>
      </c>
      <c r="O62">
        <f>IF($P62="","",INDEX(명단표[점검],$P62))</f>
        <v/>
      </c>
      <c r="P62" s="17">
        <f>IFERROR(MATCH(57,명단표[서울순번],0),"")</f>
        <v/>
      </c>
      <c r="R62">
        <f>IF($W62="","",INDEX(명단표[이름],$W62))</f>
        <v/>
      </c>
      <c r="S62">
        <f>IF($W62="","",INDEX(명단표[사번],$W62)&amp;"")</f>
        <v/>
      </c>
      <c r="T62">
        <f>IF($W62="","",INDEX(명단표[소속병원],$W62))</f>
        <v/>
      </c>
      <c r="U62">
        <f>IF($W62="","",INDEX(명단표[서울 근무일(기준월)],$W62))</f>
        <v/>
      </c>
      <c r="V62">
        <f>IF($W62="","",INDEX(명단표[구리 근무일(기준월)],$W62))</f>
        <v/>
      </c>
      <c r="W62" s="17">
        <f>IFERROR(MATCH(57,명단표[판정불가순번],0),"")</f>
        <v/>
      </c>
    </row>
    <row r="63">
      <c r="A63">
        <f>IF($P63="","",58)</f>
        <v/>
      </c>
      <c r="B63">
        <f>IF($P63="","",INDEX(명단표[이름],$P63))</f>
        <v/>
      </c>
      <c r="C63">
        <f>IF($P63="","",INDEX(명단표[사번],$P63)&amp;"")</f>
        <v/>
      </c>
      <c r="D63">
        <f>IF($P63="","",INDEX(명단표[전공의등록번호],$P63)&amp;"")</f>
        <v/>
      </c>
      <c r="E63">
        <f>IF($P63="","",INDEX(명단표[수련과목],$P63)&amp;"")</f>
        <v/>
      </c>
      <c r="F63">
        <f>IF($P63="","",INDEX(명단표[연차],$P63)&amp;"")</f>
        <v/>
      </c>
      <c r="G63">
        <f>IF($P63="","",INDEX(명단표[소속병원],$P63))</f>
        <v/>
      </c>
      <c r="H63">
        <f>IF($P63="","",IF(INDEX(명단표[소속병원],$P63)="서울병원","서울 소속","타 병원 소속("&amp;INDEX(명단표[소속병원],$P63)&amp;") → 서울 지급"))</f>
        <v/>
      </c>
      <c r="I63">
        <f>IF($P63="","",INDEX(명단표[현재 근무병원],$P63))</f>
        <v/>
      </c>
      <c r="J63">
        <f>IF($P63="","",INDEX(명단표[구리 근무 시작일(기준월)],$P63)&amp;"")</f>
        <v/>
      </c>
      <c r="K63">
        <f>IF($P63="","",INDEX(명단표[구리 근무 종료일(기준월)],$P63)&amp;"")</f>
        <v/>
      </c>
      <c r="L63">
        <f>IF($P63="","",INDEX(명단표[서울 근무일(기준월)],$P63))</f>
        <v/>
      </c>
      <c r="M63">
        <f>IF($P63="","",INDEX(명단표[구리 근무일(기준월)],$P63))</f>
        <v/>
      </c>
      <c r="N63">
        <f>IF($P63="","",INDEX(명단표[급여 판정 근거],$P63))</f>
        <v/>
      </c>
      <c r="O63">
        <f>IF($P63="","",INDEX(명단표[점검],$P63))</f>
        <v/>
      </c>
      <c r="P63" s="17">
        <f>IFERROR(MATCH(58,명단표[서울순번],0),"")</f>
        <v/>
      </c>
      <c r="R63">
        <f>IF($W63="","",INDEX(명단표[이름],$W63))</f>
        <v/>
      </c>
      <c r="S63">
        <f>IF($W63="","",INDEX(명단표[사번],$W63)&amp;"")</f>
        <v/>
      </c>
      <c r="T63">
        <f>IF($W63="","",INDEX(명단표[소속병원],$W63))</f>
        <v/>
      </c>
      <c r="U63">
        <f>IF($W63="","",INDEX(명단표[서울 근무일(기준월)],$W63))</f>
        <v/>
      </c>
      <c r="V63">
        <f>IF($W63="","",INDEX(명단표[구리 근무일(기준월)],$W63))</f>
        <v/>
      </c>
      <c r="W63" s="17">
        <f>IFERROR(MATCH(58,명단표[판정불가순번],0),"")</f>
        <v/>
      </c>
    </row>
    <row r="64">
      <c r="A64">
        <f>IF($P64="","",59)</f>
        <v/>
      </c>
      <c r="B64">
        <f>IF($P64="","",INDEX(명단표[이름],$P64))</f>
        <v/>
      </c>
      <c r="C64">
        <f>IF($P64="","",INDEX(명단표[사번],$P64)&amp;"")</f>
        <v/>
      </c>
      <c r="D64">
        <f>IF($P64="","",INDEX(명단표[전공의등록번호],$P64)&amp;"")</f>
        <v/>
      </c>
      <c r="E64">
        <f>IF($P64="","",INDEX(명단표[수련과목],$P64)&amp;"")</f>
        <v/>
      </c>
      <c r="F64">
        <f>IF($P64="","",INDEX(명단표[연차],$P64)&amp;"")</f>
        <v/>
      </c>
      <c r="G64">
        <f>IF($P64="","",INDEX(명단표[소속병원],$P64))</f>
        <v/>
      </c>
      <c r="H64">
        <f>IF($P64="","",IF(INDEX(명단표[소속병원],$P64)="서울병원","서울 소속","타 병원 소속("&amp;INDEX(명단표[소속병원],$P64)&amp;") → 서울 지급"))</f>
        <v/>
      </c>
      <c r="I64">
        <f>IF($P64="","",INDEX(명단표[현재 근무병원],$P64))</f>
        <v/>
      </c>
      <c r="J64">
        <f>IF($P64="","",INDEX(명단표[구리 근무 시작일(기준월)],$P64)&amp;"")</f>
        <v/>
      </c>
      <c r="K64">
        <f>IF($P64="","",INDEX(명단표[구리 근무 종료일(기준월)],$P64)&amp;"")</f>
        <v/>
      </c>
      <c r="L64">
        <f>IF($P64="","",INDEX(명단표[서울 근무일(기준월)],$P64))</f>
        <v/>
      </c>
      <c r="M64">
        <f>IF($P64="","",INDEX(명단표[구리 근무일(기준월)],$P64))</f>
        <v/>
      </c>
      <c r="N64">
        <f>IF($P64="","",INDEX(명단표[급여 판정 근거],$P64))</f>
        <v/>
      </c>
      <c r="O64">
        <f>IF($P64="","",INDEX(명단표[점검],$P64))</f>
        <v/>
      </c>
      <c r="P64" s="17">
        <f>IFERROR(MATCH(59,명단표[서울순번],0),"")</f>
        <v/>
      </c>
      <c r="R64">
        <f>IF($W64="","",INDEX(명단표[이름],$W64))</f>
        <v/>
      </c>
      <c r="S64">
        <f>IF($W64="","",INDEX(명단표[사번],$W64)&amp;"")</f>
        <v/>
      </c>
      <c r="T64">
        <f>IF($W64="","",INDEX(명단표[소속병원],$W64))</f>
        <v/>
      </c>
      <c r="U64">
        <f>IF($W64="","",INDEX(명단표[서울 근무일(기준월)],$W64))</f>
        <v/>
      </c>
      <c r="V64">
        <f>IF($W64="","",INDEX(명단표[구리 근무일(기준월)],$W64))</f>
        <v/>
      </c>
      <c r="W64" s="17">
        <f>IFERROR(MATCH(59,명단표[판정불가순번],0),"")</f>
        <v/>
      </c>
    </row>
    <row r="65">
      <c r="A65">
        <f>IF($P65="","",60)</f>
        <v/>
      </c>
      <c r="B65">
        <f>IF($P65="","",INDEX(명단표[이름],$P65))</f>
        <v/>
      </c>
      <c r="C65">
        <f>IF($P65="","",INDEX(명단표[사번],$P65)&amp;"")</f>
        <v/>
      </c>
      <c r="D65">
        <f>IF($P65="","",INDEX(명단표[전공의등록번호],$P65)&amp;"")</f>
        <v/>
      </c>
      <c r="E65">
        <f>IF($P65="","",INDEX(명단표[수련과목],$P65)&amp;"")</f>
        <v/>
      </c>
      <c r="F65">
        <f>IF($P65="","",INDEX(명단표[연차],$P65)&amp;"")</f>
        <v/>
      </c>
      <c r="G65">
        <f>IF($P65="","",INDEX(명단표[소속병원],$P65))</f>
        <v/>
      </c>
      <c r="H65">
        <f>IF($P65="","",IF(INDEX(명단표[소속병원],$P65)="서울병원","서울 소속","타 병원 소속("&amp;INDEX(명단표[소속병원],$P65)&amp;") → 서울 지급"))</f>
        <v/>
      </c>
      <c r="I65">
        <f>IF($P65="","",INDEX(명단표[현재 근무병원],$P65))</f>
        <v/>
      </c>
      <c r="J65">
        <f>IF($P65="","",INDEX(명단표[구리 근무 시작일(기준월)],$P65)&amp;"")</f>
        <v/>
      </c>
      <c r="K65">
        <f>IF($P65="","",INDEX(명단표[구리 근무 종료일(기준월)],$P65)&amp;"")</f>
        <v/>
      </c>
      <c r="L65">
        <f>IF($P65="","",INDEX(명단표[서울 근무일(기준월)],$P65))</f>
        <v/>
      </c>
      <c r="M65">
        <f>IF($P65="","",INDEX(명단표[구리 근무일(기준월)],$P65))</f>
        <v/>
      </c>
      <c r="N65">
        <f>IF($P65="","",INDEX(명단표[급여 판정 근거],$P65))</f>
        <v/>
      </c>
      <c r="O65">
        <f>IF($P65="","",INDEX(명단표[점검],$P65))</f>
        <v/>
      </c>
      <c r="P65" s="17">
        <f>IFERROR(MATCH(60,명단표[서울순번],0),"")</f>
        <v/>
      </c>
      <c r="R65">
        <f>IF($W65="","",INDEX(명단표[이름],$W65))</f>
        <v/>
      </c>
      <c r="S65">
        <f>IF($W65="","",INDEX(명단표[사번],$W65)&amp;"")</f>
        <v/>
      </c>
      <c r="T65">
        <f>IF($W65="","",INDEX(명단표[소속병원],$W65))</f>
        <v/>
      </c>
      <c r="U65">
        <f>IF($W65="","",INDEX(명단표[서울 근무일(기준월)],$W65))</f>
        <v/>
      </c>
      <c r="V65">
        <f>IF($W65="","",INDEX(명단표[구리 근무일(기준월)],$W65))</f>
        <v/>
      </c>
      <c r="W65" s="17">
        <f>IFERROR(MATCH(60,명단표[판정불가순번],0),"")</f>
        <v/>
      </c>
    </row>
    <row r="66">
      <c r="A66">
        <f>IF($P66="","",61)</f>
        <v/>
      </c>
      <c r="B66">
        <f>IF($P66="","",INDEX(명단표[이름],$P66))</f>
        <v/>
      </c>
      <c r="C66">
        <f>IF($P66="","",INDEX(명단표[사번],$P66)&amp;"")</f>
        <v/>
      </c>
      <c r="D66">
        <f>IF($P66="","",INDEX(명단표[전공의등록번호],$P66)&amp;"")</f>
        <v/>
      </c>
      <c r="E66">
        <f>IF($P66="","",INDEX(명단표[수련과목],$P66)&amp;"")</f>
        <v/>
      </c>
      <c r="F66">
        <f>IF($P66="","",INDEX(명단표[연차],$P66)&amp;"")</f>
        <v/>
      </c>
      <c r="G66">
        <f>IF($P66="","",INDEX(명단표[소속병원],$P66))</f>
        <v/>
      </c>
      <c r="H66">
        <f>IF($P66="","",IF(INDEX(명단표[소속병원],$P66)="서울병원","서울 소속","타 병원 소속("&amp;INDEX(명단표[소속병원],$P66)&amp;") → 서울 지급"))</f>
        <v/>
      </c>
      <c r="I66">
        <f>IF($P66="","",INDEX(명단표[현재 근무병원],$P66))</f>
        <v/>
      </c>
      <c r="J66">
        <f>IF($P66="","",INDEX(명단표[구리 근무 시작일(기준월)],$P66)&amp;"")</f>
        <v/>
      </c>
      <c r="K66">
        <f>IF($P66="","",INDEX(명단표[구리 근무 종료일(기준월)],$P66)&amp;"")</f>
        <v/>
      </c>
      <c r="L66">
        <f>IF($P66="","",INDEX(명단표[서울 근무일(기준월)],$P66))</f>
        <v/>
      </c>
      <c r="M66">
        <f>IF($P66="","",INDEX(명단표[구리 근무일(기준월)],$P66))</f>
        <v/>
      </c>
      <c r="N66">
        <f>IF($P66="","",INDEX(명단표[급여 판정 근거],$P66))</f>
        <v/>
      </c>
      <c r="O66">
        <f>IF($P66="","",INDEX(명단표[점검],$P66))</f>
        <v/>
      </c>
      <c r="P66" s="17">
        <f>IFERROR(MATCH(61,명단표[서울순번],0),"")</f>
        <v/>
      </c>
      <c r="R66">
        <f>IF($W66="","",INDEX(명단표[이름],$W66))</f>
        <v/>
      </c>
      <c r="S66">
        <f>IF($W66="","",INDEX(명단표[사번],$W66)&amp;"")</f>
        <v/>
      </c>
      <c r="T66">
        <f>IF($W66="","",INDEX(명단표[소속병원],$W66))</f>
        <v/>
      </c>
      <c r="U66">
        <f>IF($W66="","",INDEX(명단표[서울 근무일(기준월)],$W66))</f>
        <v/>
      </c>
      <c r="V66">
        <f>IF($W66="","",INDEX(명단표[구리 근무일(기준월)],$W66))</f>
        <v/>
      </c>
      <c r="W66" s="17">
        <f>IFERROR(MATCH(61,명단표[판정불가순번],0),"")</f>
        <v/>
      </c>
    </row>
    <row r="67">
      <c r="A67">
        <f>IF($P67="","",62)</f>
        <v/>
      </c>
      <c r="B67">
        <f>IF($P67="","",INDEX(명단표[이름],$P67))</f>
        <v/>
      </c>
      <c r="C67">
        <f>IF($P67="","",INDEX(명단표[사번],$P67)&amp;"")</f>
        <v/>
      </c>
      <c r="D67">
        <f>IF($P67="","",INDEX(명단표[전공의등록번호],$P67)&amp;"")</f>
        <v/>
      </c>
      <c r="E67">
        <f>IF($P67="","",INDEX(명단표[수련과목],$P67)&amp;"")</f>
        <v/>
      </c>
      <c r="F67">
        <f>IF($P67="","",INDEX(명단표[연차],$P67)&amp;"")</f>
        <v/>
      </c>
      <c r="G67">
        <f>IF($P67="","",INDEX(명단표[소속병원],$P67))</f>
        <v/>
      </c>
      <c r="H67">
        <f>IF($P67="","",IF(INDEX(명단표[소속병원],$P67)="서울병원","서울 소속","타 병원 소속("&amp;INDEX(명단표[소속병원],$P67)&amp;") → 서울 지급"))</f>
        <v/>
      </c>
      <c r="I67">
        <f>IF($P67="","",INDEX(명단표[현재 근무병원],$P67))</f>
        <v/>
      </c>
      <c r="J67">
        <f>IF($P67="","",INDEX(명단표[구리 근무 시작일(기준월)],$P67)&amp;"")</f>
        <v/>
      </c>
      <c r="K67">
        <f>IF($P67="","",INDEX(명단표[구리 근무 종료일(기준월)],$P67)&amp;"")</f>
        <v/>
      </c>
      <c r="L67">
        <f>IF($P67="","",INDEX(명단표[서울 근무일(기준월)],$P67))</f>
        <v/>
      </c>
      <c r="M67">
        <f>IF($P67="","",INDEX(명단표[구리 근무일(기준월)],$P67))</f>
        <v/>
      </c>
      <c r="N67">
        <f>IF($P67="","",INDEX(명단표[급여 판정 근거],$P67))</f>
        <v/>
      </c>
      <c r="O67">
        <f>IF($P67="","",INDEX(명단표[점검],$P67))</f>
        <v/>
      </c>
      <c r="P67" s="17">
        <f>IFERROR(MATCH(62,명단표[서울순번],0),"")</f>
        <v/>
      </c>
      <c r="R67">
        <f>IF($W67="","",INDEX(명단표[이름],$W67))</f>
        <v/>
      </c>
      <c r="S67">
        <f>IF($W67="","",INDEX(명단표[사번],$W67)&amp;"")</f>
        <v/>
      </c>
      <c r="T67">
        <f>IF($W67="","",INDEX(명단표[소속병원],$W67))</f>
        <v/>
      </c>
      <c r="U67">
        <f>IF($W67="","",INDEX(명단표[서울 근무일(기준월)],$W67))</f>
        <v/>
      </c>
      <c r="V67">
        <f>IF($W67="","",INDEX(명단표[구리 근무일(기준월)],$W67))</f>
        <v/>
      </c>
      <c r="W67" s="17">
        <f>IFERROR(MATCH(62,명단표[판정불가순번],0),"")</f>
        <v/>
      </c>
    </row>
    <row r="68">
      <c r="A68">
        <f>IF($P68="","",63)</f>
        <v/>
      </c>
      <c r="B68">
        <f>IF($P68="","",INDEX(명단표[이름],$P68))</f>
        <v/>
      </c>
      <c r="C68">
        <f>IF($P68="","",INDEX(명단표[사번],$P68)&amp;"")</f>
        <v/>
      </c>
      <c r="D68">
        <f>IF($P68="","",INDEX(명단표[전공의등록번호],$P68)&amp;"")</f>
        <v/>
      </c>
      <c r="E68">
        <f>IF($P68="","",INDEX(명단표[수련과목],$P68)&amp;"")</f>
        <v/>
      </c>
      <c r="F68">
        <f>IF($P68="","",INDEX(명단표[연차],$P68)&amp;"")</f>
        <v/>
      </c>
      <c r="G68">
        <f>IF($P68="","",INDEX(명단표[소속병원],$P68))</f>
        <v/>
      </c>
      <c r="H68">
        <f>IF($P68="","",IF(INDEX(명단표[소속병원],$P68)="서울병원","서울 소속","타 병원 소속("&amp;INDEX(명단표[소속병원],$P68)&amp;") → 서울 지급"))</f>
        <v/>
      </c>
      <c r="I68">
        <f>IF($P68="","",INDEX(명단표[현재 근무병원],$P68))</f>
        <v/>
      </c>
      <c r="J68">
        <f>IF($P68="","",INDEX(명단표[구리 근무 시작일(기준월)],$P68)&amp;"")</f>
        <v/>
      </c>
      <c r="K68">
        <f>IF($P68="","",INDEX(명단표[구리 근무 종료일(기준월)],$P68)&amp;"")</f>
        <v/>
      </c>
      <c r="L68">
        <f>IF($P68="","",INDEX(명단표[서울 근무일(기준월)],$P68))</f>
        <v/>
      </c>
      <c r="M68">
        <f>IF($P68="","",INDEX(명단표[구리 근무일(기준월)],$P68))</f>
        <v/>
      </c>
      <c r="N68">
        <f>IF($P68="","",INDEX(명단표[급여 판정 근거],$P68))</f>
        <v/>
      </c>
      <c r="O68">
        <f>IF($P68="","",INDEX(명단표[점검],$P68))</f>
        <v/>
      </c>
      <c r="P68" s="17">
        <f>IFERROR(MATCH(63,명단표[서울순번],0),"")</f>
        <v/>
      </c>
      <c r="R68">
        <f>IF($W68="","",INDEX(명단표[이름],$W68))</f>
        <v/>
      </c>
      <c r="S68">
        <f>IF($W68="","",INDEX(명단표[사번],$W68)&amp;"")</f>
        <v/>
      </c>
      <c r="T68">
        <f>IF($W68="","",INDEX(명단표[소속병원],$W68))</f>
        <v/>
      </c>
      <c r="U68">
        <f>IF($W68="","",INDEX(명단표[서울 근무일(기준월)],$W68))</f>
        <v/>
      </c>
      <c r="V68">
        <f>IF($W68="","",INDEX(명단표[구리 근무일(기준월)],$W68))</f>
        <v/>
      </c>
      <c r="W68" s="17">
        <f>IFERROR(MATCH(63,명단표[판정불가순번],0),"")</f>
        <v/>
      </c>
    </row>
    <row r="69">
      <c r="A69">
        <f>IF($P69="","",64)</f>
        <v/>
      </c>
      <c r="B69">
        <f>IF($P69="","",INDEX(명단표[이름],$P69))</f>
        <v/>
      </c>
      <c r="C69">
        <f>IF($P69="","",INDEX(명단표[사번],$P69)&amp;"")</f>
        <v/>
      </c>
      <c r="D69">
        <f>IF($P69="","",INDEX(명단표[전공의등록번호],$P69)&amp;"")</f>
        <v/>
      </c>
      <c r="E69">
        <f>IF($P69="","",INDEX(명단표[수련과목],$P69)&amp;"")</f>
        <v/>
      </c>
      <c r="F69">
        <f>IF($P69="","",INDEX(명단표[연차],$P69)&amp;"")</f>
        <v/>
      </c>
      <c r="G69">
        <f>IF($P69="","",INDEX(명단표[소속병원],$P69))</f>
        <v/>
      </c>
      <c r="H69">
        <f>IF($P69="","",IF(INDEX(명단표[소속병원],$P69)="서울병원","서울 소속","타 병원 소속("&amp;INDEX(명단표[소속병원],$P69)&amp;") → 서울 지급"))</f>
        <v/>
      </c>
      <c r="I69">
        <f>IF($P69="","",INDEX(명단표[현재 근무병원],$P69))</f>
        <v/>
      </c>
      <c r="J69">
        <f>IF($P69="","",INDEX(명단표[구리 근무 시작일(기준월)],$P69)&amp;"")</f>
        <v/>
      </c>
      <c r="K69">
        <f>IF($P69="","",INDEX(명단표[구리 근무 종료일(기준월)],$P69)&amp;"")</f>
        <v/>
      </c>
      <c r="L69">
        <f>IF($P69="","",INDEX(명단표[서울 근무일(기준월)],$P69))</f>
        <v/>
      </c>
      <c r="M69">
        <f>IF($P69="","",INDEX(명단표[구리 근무일(기준월)],$P69))</f>
        <v/>
      </c>
      <c r="N69">
        <f>IF($P69="","",INDEX(명단표[급여 판정 근거],$P69))</f>
        <v/>
      </c>
      <c r="O69">
        <f>IF($P69="","",INDEX(명단표[점검],$P69))</f>
        <v/>
      </c>
      <c r="P69" s="17">
        <f>IFERROR(MATCH(64,명단표[서울순번],0),"")</f>
        <v/>
      </c>
      <c r="R69">
        <f>IF($W69="","",INDEX(명단표[이름],$W69))</f>
        <v/>
      </c>
      <c r="S69">
        <f>IF($W69="","",INDEX(명단표[사번],$W69)&amp;"")</f>
        <v/>
      </c>
      <c r="T69">
        <f>IF($W69="","",INDEX(명단표[소속병원],$W69))</f>
        <v/>
      </c>
      <c r="U69">
        <f>IF($W69="","",INDEX(명단표[서울 근무일(기준월)],$W69))</f>
        <v/>
      </c>
      <c r="V69">
        <f>IF($W69="","",INDEX(명단표[구리 근무일(기준월)],$W69))</f>
        <v/>
      </c>
      <c r="W69" s="17">
        <f>IFERROR(MATCH(64,명단표[판정불가순번],0),"")</f>
        <v/>
      </c>
    </row>
    <row r="70">
      <c r="A70">
        <f>IF($P70="","",65)</f>
        <v/>
      </c>
      <c r="B70">
        <f>IF($P70="","",INDEX(명단표[이름],$P70))</f>
        <v/>
      </c>
      <c r="C70">
        <f>IF($P70="","",INDEX(명단표[사번],$P70)&amp;"")</f>
        <v/>
      </c>
      <c r="D70">
        <f>IF($P70="","",INDEX(명단표[전공의등록번호],$P70)&amp;"")</f>
        <v/>
      </c>
      <c r="E70">
        <f>IF($P70="","",INDEX(명단표[수련과목],$P70)&amp;"")</f>
        <v/>
      </c>
      <c r="F70">
        <f>IF($P70="","",INDEX(명단표[연차],$P70)&amp;"")</f>
        <v/>
      </c>
      <c r="G70">
        <f>IF($P70="","",INDEX(명단표[소속병원],$P70))</f>
        <v/>
      </c>
      <c r="H70">
        <f>IF($P70="","",IF(INDEX(명단표[소속병원],$P70)="서울병원","서울 소속","타 병원 소속("&amp;INDEX(명단표[소속병원],$P70)&amp;") → 서울 지급"))</f>
        <v/>
      </c>
      <c r="I70">
        <f>IF($P70="","",INDEX(명단표[현재 근무병원],$P70))</f>
        <v/>
      </c>
      <c r="J70">
        <f>IF($P70="","",INDEX(명단표[구리 근무 시작일(기준월)],$P70)&amp;"")</f>
        <v/>
      </c>
      <c r="K70">
        <f>IF($P70="","",INDEX(명단표[구리 근무 종료일(기준월)],$P70)&amp;"")</f>
        <v/>
      </c>
      <c r="L70">
        <f>IF($P70="","",INDEX(명단표[서울 근무일(기준월)],$P70))</f>
        <v/>
      </c>
      <c r="M70">
        <f>IF($P70="","",INDEX(명단표[구리 근무일(기준월)],$P70))</f>
        <v/>
      </c>
      <c r="N70">
        <f>IF($P70="","",INDEX(명단표[급여 판정 근거],$P70))</f>
        <v/>
      </c>
      <c r="O70">
        <f>IF($P70="","",INDEX(명단표[점검],$P70))</f>
        <v/>
      </c>
      <c r="P70" s="17">
        <f>IFERROR(MATCH(65,명단표[서울순번],0),"")</f>
        <v/>
      </c>
      <c r="R70">
        <f>IF($W70="","",INDEX(명단표[이름],$W70))</f>
        <v/>
      </c>
      <c r="S70">
        <f>IF($W70="","",INDEX(명단표[사번],$W70)&amp;"")</f>
        <v/>
      </c>
      <c r="T70">
        <f>IF($W70="","",INDEX(명단표[소속병원],$W70))</f>
        <v/>
      </c>
      <c r="U70">
        <f>IF($W70="","",INDEX(명단표[서울 근무일(기준월)],$W70))</f>
        <v/>
      </c>
      <c r="V70">
        <f>IF($W70="","",INDEX(명단표[구리 근무일(기준월)],$W70))</f>
        <v/>
      </c>
      <c r="W70" s="17">
        <f>IFERROR(MATCH(65,명단표[판정불가순번],0),"")</f>
        <v/>
      </c>
    </row>
    <row r="71">
      <c r="A71">
        <f>IF($P71="","",66)</f>
        <v/>
      </c>
      <c r="B71">
        <f>IF($P71="","",INDEX(명단표[이름],$P71))</f>
        <v/>
      </c>
      <c r="C71">
        <f>IF($P71="","",INDEX(명단표[사번],$P71)&amp;"")</f>
        <v/>
      </c>
      <c r="D71">
        <f>IF($P71="","",INDEX(명단표[전공의등록번호],$P71)&amp;"")</f>
        <v/>
      </c>
      <c r="E71">
        <f>IF($P71="","",INDEX(명단표[수련과목],$P71)&amp;"")</f>
        <v/>
      </c>
      <c r="F71">
        <f>IF($P71="","",INDEX(명단표[연차],$P71)&amp;"")</f>
        <v/>
      </c>
      <c r="G71">
        <f>IF($P71="","",INDEX(명단표[소속병원],$P71))</f>
        <v/>
      </c>
      <c r="H71">
        <f>IF($P71="","",IF(INDEX(명단표[소속병원],$P71)="서울병원","서울 소속","타 병원 소속("&amp;INDEX(명단표[소속병원],$P71)&amp;") → 서울 지급"))</f>
        <v/>
      </c>
      <c r="I71">
        <f>IF($P71="","",INDEX(명단표[현재 근무병원],$P71))</f>
        <v/>
      </c>
      <c r="J71">
        <f>IF($P71="","",INDEX(명단표[구리 근무 시작일(기준월)],$P71)&amp;"")</f>
        <v/>
      </c>
      <c r="K71">
        <f>IF($P71="","",INDEX(명단표[구리 근무 종료일(기준월)],$P71)&amp;"")</f>
        <v/>
      </c>
      <c r="L71">
        <f>IF($P71="","",INDEX(명단표[서울 근무일(기준월)],$P71))</f>
        <v/>
      </c>
      <c r="M71">
        <f>IF($P71="","",INDEX(명단표[구리 근무일(기준월)],$P71))</f>
        <v/>
      </c>
      <c r="N71">
        <f>IF($P71="","",INDEX(명단표[급여 판정 근거],$P71))</f>
        <v/>
      </c>
      <c r="O71">
        <f>IF($P71="","",INDEX(명단표[점검],$P71))</f>
        <v/>
      </c>
      <c r="P71" s="17">
        <f>IFERROR(MATCH(66,명단표[서울순번],0),"")</f>
        <v/>
      </c>
      <c r="R71">
        <f>IF($W71="","",INDEX(명단표[이름],$W71))</f>
        <v/>
      </c>
      <c r="S71">
        <f>IF($W71="","",INDEX(명단표[사번],$W71)&amp;"")</f>
        <v/>
      </c>
      <c r="T71">
        <f>IF($W71="","",INDEX(명단표[소속병원],$W71))</f>
        <v/>
      </c>
      <c r="U71">
        <f>IF($W71="","",INDEX(명단표[서울 근무일(기준월)],$W71))</f>
        <v/>
      </c>
      <c r="V71">
        <f>IF($W71="","",INDEX(명단표[구리 근무일(기준월)],$W71))</f>
        <v/>
      </c>
      <c r="W71" s="17">
        <f>IFERROR(MATCH(66,명단표[판정불가순번],0),"")</f>
        <v/>
      </c>
    </row>
    <row r="72">
      <c r="A72">
        <f>IF($P72="","",67)</f>
        <v/>
      </c>
      <c r="B72">
        <f>IF($P72="","",INDEX(명단표[이름],$P72))</f>
        <v/>
      </c>
      <c r="C72">
        <f>IF($P72="","",INDEX(명단표[사번],$P72)&amp;"")</f>
        <v/>
      </c>
      <c r="D72">
        <f>IF($P72="","",INDEX(명단표[전공의등록번호],$P72)&amp;"")</f>
        <v/>
      </c>
      <c r="E72">
        <f>IF($P72="","",INDEX(명단표[수련과목],$P72)&amp;"")</f>
        <v/>
      </c>
      <c r="F72">
        <f>IF($P72="","",INDEX(명단표[연차],$P72)&amp;"")</f>
        <v/>
      </c>
      <c r="G72">
        <f>IF($P72="","",INDEX(명단표[소속병원],$P72))</f>
        <v/>
      </c>
      <c r="H72">
        <f>IF($P72="","",IF(INDEX(명단표[소속병원],$P72)="서울병원","서울 소속","타 병원 소속("&amp;INDEX(명단표[소속병원],$P72)&amp;") → 서울 지급"))</f>
        <v/>
      </c>
      <c r="I72">
        <f>IF($P72="","",INDEX(명단표[현재 근무병원],$P72))</f>
        <v/>
      </c>
      <c r="J72">
        <f>IF($P72="","",INDEX(명단표[구리 근무 시작일(기준월)],$P72)&amp;"")</f>
        <v/>
      </c>
      <c r="K72">
        <f>IF($P72="","",INDEX(명단표[구리 근무 종료일(기준월)],$P72)&amp;"")</f>
        <v/>
      </c>
      <c r="L72">
        <f>IF($P72="","",INDEX(명단표[서울 근무일(기준월)],$P72))</f>
        <v/>
      </c>
      <c r="M72">
        <f>IF($P72="","",INDEX(명단표[구리 근무일(기준월)],$P72))</f>
        <v/>
      </c>
      <c r="N72">
        <f>IF($P72="","",INDEX(명단표[급여 판정 근거],$P72))</f>
        <v/>
      </c>
      <c r="O72">
        <f>IF($P72="","",INDEX(명단표[점검],$P72))</f>
        <v/>
      </c>
      <c r="P72" s="17">
        <f>IFERROR(MATCH(67,명단표[서울순번],0),"")</f>
        <v/>
      </c>
      <c r="R72">
        <f>IF($W72="","",INDEX(명단표[이름],$W72))</f>
        <v/>
      </c>
      <c r="S72">
        <f>IF($W72="","",INDEX(명단표[사번],$W72)&amp;"")</f>
        <v/>
      </c>
      <c r="T72">
        <f>IF($W72="","",INDEX(명단표[소속병원],$W72))</f>
        <v/>
      </c>
      <c r="U72">
        <f>IF($W72="","",INDEX(명단표[서울 근무일(기준월)],$W72))</f>
        <v/>
      </c>
      <c r="V72">
        <f>IF($W72="","",INDEX(명단표[구리 근무일(기준월)],$W72))</f>
        <v/>
      </c>
      <c r="W72" s="17">
        <f>IFERROR(MATCH(67,명단표[판정불가순번],0),"")</f>
        <v/>
      </c>
    </row>
    <row r="73">
      <c r="A73">
        <f>IF($P73="","",68)</f>
        <v/>
      </c>
      <c r="B73">
        <f>IF($P73="","",INDEX(명단표[이름],$P73))</f>
        <v/>
      </c>
      <c r="C73">
        <f>IF($P73="","",INDEX(명단표[사번],$P73)&amp;"")</f>
        <v/>
      </c>
      <c r="D73">
        <f>IF($P73="","",INDEX(명단표[전공의등록번호],$P73)&amp;"")</f>
        <v/>
      </c>
      <c r="E73">
        <f>IF($P73="","",INDEX(명단표[수련과목],$P73)&amp;"")</f>
        <v/>
      </c>
      <c r="F73">
        <f>IF($P73="","",INDEX(명단표[연차],$P73)&amp;"")</f>
        <v/>
      </c>
      <c r="G73">
        <f>IF($P73="","",INDEX(명단표[소속병원],$P73))</f>
        <v/>
      </c>
      <c r="H73">
        <f>IF($P73="","",IF(INDEX(명단표[소속병원],$P73)="서울병원","서울 소속","타 병원 소속("&amp;INDEX(명단표[소속병원],$P73)&amp;") → 서울 지급"))</f>
        <v/>
      </c>
      <c r="I73">
        <f>IF($P73="","",INDEX(명단표[현재 근무병원],$P73))</f>
        <v/>
      </c>
      <c r="J73">
        <f>IF($P73="","",INDEX(명단표[구리 근무 시작일(기준월)],$P73)&amp;"")</f>
        <v/>
      </c>
      <c r="K73">
        <f>IF($P73="","",INDEX(명단표[구리 근무 종료일(기준월)],$P73)&amp;"")</f>
        <v/>
      </c>
      <c r="L73">
        <f>IF($P73="","",INDEX(명단표[서울 근무일(기준월)],$P73))</f>
        <v/>
      </c>
      <c r="M73">
        <f>IF($P73="","",INDEX(명단표[구리 근무일(기준월)],$P73))</f>
        <v/>
      </c>
      <c r="N73">
        <f>IF($P73="","",INDEX(명단표[급여 판정 근거],$P73))</f>
        <v/>
      </c>
      <c r="O73">
        <f>IF($P73="","",INDEX(명단표[점검],$P73))</f>
        <v/>
      </c>
      <c r="P73" s="17">
        <f>IFERROR(MATCH(68,명단표[서울순번],0),"")</f>
        <v/>
      </c>
      <c r="R73">
        <f>IF($W73="","",INDEX(명단표[이름],$W73))</f>
        <v/>
      </c>
      <c r="S73">
        <f>IF($W73="","",INDEX(명단표[사번],$W73)&amp;"")</f>
        <v/>
      </c>
      <c r="T73">
        <f>IF($W73="","",INDEX(명단표[소속병원],$W73))</f>
        <v/>
      </c>
      <c r="U73">
        <f>IF($W73="","",INDEX(명단표[서울 근무일(기준월)],$W73))</f>
        <v/>
      </c>
      <c r="V73">
        <f>IF($W73="","",INDEX(명단표[구리 근무일(기준월)],$W73))</f>
        <v/>
      </c>
      <c r="W73" s="17">
        <f>IFERROR(MATCH(68,명단표[판정불가순번],0),"")</f>
        <v/>
      </c>
    </row>
    <row r="74">
      <c r="A74">
        <f>IF($P74="","",69)</f>
        <v/>
      </c>
      <c r="B74">
        <f>IF($P74="","",INDEX(명단표[이름],$P74))</f>
        <v/>
      </c>
      <c r="C74">
        <f>IF($P74="","",INDEX(명단표[사번],$P74)&amp;"")</f>
        <v/>
      </c>
      <c r="D74">
        <f>IF($P74="","",INDEX(명단표[전공의등록번호],$P74)&amp;"")</f>
        <v/>
      </c>
      <c r="E74">
        <f>IF($P74="","",INDEX(명단표[수련과목],$P74)&amp;"")</f>
        <v/>
      </c>
      <c r="F74">
        <f>IF($P74="","",INDEX(명단표[연차],$P74)&amp;"")</f>
        <v/>
      </c>
      <c r="G74">
        <f>IF($P74="","",INDEX(명단표[소속병원],$P74))</f>
        <v/>
      </c>
      <c r="H74">
        <f>IF($P74="","",IF(INDEX(명단표[소속병원],$P74)="서울병원","서울 소속","타 병원 소속("&amp;INDEX(명단표[소속병원],$P74)&amp;") → 서울 지급"))</f>
        <v/>
      </c>
      <c r="I74">
        <f>IF($P74="","",INDEX(명단표[현재 근무병원],$P74))</f>
        <v/>
      </c>
      <c r="J74">
        <f>IF($P74="","",INDEX(명단표[구리 근무 시작일(기준월)],$P74)&amp;"")</f>
        <v/>
      </c>
      <c r="K74">
        <f>IF($P74="","",INDEX(명단표[구리 근무 종료일(기준월)],$P74)&amp;"")</f>
        <v/>
      </c>
      <c r="L74">
        <f>IF($P74="","",INDEX(명단표[서울 근무일(기준월)],$P74))</f>
        <v/>
      </c>
      <c r="M74">
        <f>IF($P74="","",INDEX(명단표[구리 근무일(기준월)],$P74))</f>
        <v/>
      </c>
      <c r="N74">
        <f>IF($P74="","",INDEX(명단표[급여 판정 근거],$P74))</f>
        <v/>
      </c>
      <c r="O74">
        <f>IF($P74="","",INDEX(명단표[점검],$P74))</f>
        <v/>
      </c>
      <c r="P74" s="17">
        <f>IFERROR(MATCH(69,명단표[서울순번],0),"")</f>
        <v/>
      </c>
      <c r="R74">
        <f>IF($W74="","",INDEX(명단표[이름],$W74))</f>
        <v/>
      </c>
      <c r="S74">
        <f>IF($W74="","",INDEX(명단표[사번],$W74)&amp;"")</f>
        <v/>
      </c>
      <c r="T74">
        <f>IF($W74="","",INDEX(명단표[소속병원],$W74))</f>
        <v/>
      </c>
      <c r="U74">
        <f>IF($W74="","",INDEX(명단표[서울 근무일(기준월)],$W74))</f>
        <v/>
      </c>
      <c r="V74">
        <f>IF($W74="","",INDEX(명단표[구리 근무일(기준월)],$W74))</f>
        <v/>
      </c>
      <c r="W74" s="17">
        <f>IFERROR(MATCH(69,명단표[판정불가순번],0),"")</f>
        <v/>
      </c>
    </row>
    <row r="75">
      <c r="A75">
        <f>IF($P75="","",70)</f>
        <v/>
      </c>
      <c r="B75">
        <f>IF($P75="","",INDEX(명단표[이름],$P75))</f>
        <v/>
      </c>
      <c r="C75">
        <f>IF($P75="","",INDEX(명단표[사번],$P75)&amp;"")</f>
        <v/>
      </c>
      <c r="D75">
        <f>IF($P75="","",INDEX(명단표[전공의등록번호],$P75)&amp;"")</f>
        <v/>
      </c>
      <c r="E75">
        <f>IF($P75="","",INDEX(명단표[수련과목],$P75)&amp;"")</f>
        <v/>
      </c>
      <c r="F75">
        <f>IF($P75="","",INDEX(명단표[연차],$P75)&amp;"")</f>
        <v/>
      </c>
      <c r="G75">
        <f>IF($P75="","",INDEX(명단표[소속병원],$P75))</f>
        <v/>
      </c>
      <c r="H75">
        <f>IF($P75="","",IF(INDEX(명단표[소속병원],$P75)="서울병원","서울 소속","타 병원 소속("&amp;INDEX(명단표[소속병원],$P75)&amp;") → 서울 지급"))</f>
        <v/>
      </c>
      <c r="I75">
        <f>IF($P75="","",INDEX(명단표[현재 근무병원],$P75))</f>
        <v/>
      </c>
      <c r="J75">
        <f>IF($P75="","",INDEX(명단표[구리 근무 시작일(기준월)],$P75)&amp;"")</f>
        <v/>
      </c>
      <c r="K75">
        <f>IF($P75="","",INDEX(명단표[구리 근무 종료일(기준월)],$P75)&amp;"")</f>
        <v/>
      </c>
      <c r="L75">
        <f>IF($P75="","",INDEX(명단표[서울 근무일(기준월)],$P75))</f>
        <v/>
      </c>
      <c r="M75">
        <f>IF($P75="","",INDEX(명단표[구리 근무일(기준월)],$P75))</f>
        <v/>
      </c>
      <c r="N75">
        <f>IF($P75="","",INDEX(명단표[급여 판정 근거],$P75))</f>
        <v/>
      </c>
      <c r="O75">
        <f>IF($P75="","",INDEX(명단표[점검],$P75))</f>
        <v/>
      </c>
      <c r="P75" s="17">
        <f>IFERROR(MATCH(70,명단표[서울순번],0),"")</f>
        <v/>
      </c>
      <c r="R75">
        <f>IF($W75="","",INDEX(명단표[이름],$W75))</f>
        <v/>
      </c>
      <c r="S75">
        <f>IF($W75="","",INDEX(명단표[사번],$W75)&amp;"")</f>
        <v/>
      </c>
      <c r="T75">
        <f>IF($W75="","",INDEX(명단표[소속병원],$W75))</f>
        <v/>
      </c>
      <c r="U75">
        <f>IF($W75="","",INDEX(명단표[서울 근무일(기준월)],$W75))</f>
        <v/>
      </c>
      <c r="V75">
        <f>IF($W75="","",INDEX(명단표[구리 근무일(기준월)],$W75))</f>
        <v/>
      </c>
      <c r="W75" s="17">
        <f>IFERROR(MATCH(70,명단표[판정불가순번],0),"")</f>
        <v/>
      </c>
    </row>
    <row r="76">
      <c r="A76">
        <f>IF($P76="","",71)</f>
        <v/>
      </c>
      <c r="B76">
        <f>IF($P76="","",INDEX(명단표[이름],$P76))</f>
        <v/>
      </c>
      <c r="C76">
        <f>IF($P76="","",INDEX(명단표[사번],$P76)&amp;"")</f>
        <v/>
      </c>
      <c r="D76">
        <f>IF($P76="","",INDEX(명단표[전공의등록번호],$P76)&amp;"")</f>
        <v/>
      </c>
      <c r="E76">
        <f>IF($P76="","",INDEX(명단표[수련과목],$P76)&amp;"")</f>
        <v/>
      </c>
      <c r="F76">
        <f>IF($P76="","",INDEX(명단표[연차],$P76)&amp;"")</f>
        <v/>
      </c>
      <c r="G76">
        <f>IF($P76="","",INDEX(명단표[소속병원],$P76))</f>
        <v/>
      </c>
      <c r="H76">
        <f>IF($P76="","",IF(INDEX(명단표[소속병원],$P76)="서울병원","서울 소속","타 병원 소속("&amp;INDEX(명단표[소속병원],$P76)&amp;") → 서울 지급"))</f>
        <v/>
      </c>
      <c r="I76">
        <f>IF($P76="","",INDEX(명단표[현재 근무병원],$P76))</f>
        <v/>
      </c>
      <c r="J76">
        <f>IF($P76="","",INDEX(명단표[구리 근무 시작일(기준월)],$P76)&amp;"")</f>
        <v/>
      </c>
      <c r="K76">
        <f>IF($P76="","",INDEX(명단표[구리 근무 종료일(기준월)],$P76)&amp;"")</f>
        <v/>
      </c>
      <c r="L76">
        <f>IF($P76="","",INDEX(명단표[서울 근무일(기준월)],$P76))</f>
        <v/>
      </c>
      <c r="M76">
        <f>IF($P76="","",INDEX(명단표[구리 근무일(기준월)],$P76))</f>
        <v/>
      </c>
      <c r="N76">
        <f>IF($P76="","",INDEX(명단표[급여 판정 근거],$P76))</f>
        <v/>
      </c>
      <c r="O76">
        <f>IF($P76="","",INDEX(명단표[점검],$P76))</f>
        <v/>
      </c>
      <c r="P76" s="17">
        <f>IFERROR(MATCH(71,명단표[서울순번],0),"")</f>
        <v/>
      </c>
      <c r="R76">
        <f>IF($W76="","",INDEX(명단표[이름],$W76))</f>
        <v/>
      </c>
      <c r="S76">
        <f>IF($W76="","",INDEX(명단표[사번],$W76)&amp;"")</f>
        <v/>
      </c>
      <c r="T76">
        <f>IF($W76="","",INDEX(명단표[소속병원],$W76))</f>
        <v/>
      </c>
      <c r="U76">
        <f>IF($W76="","",INDEX(명단표[서울 근무일(기준월)],$W76))</f>
        <v/>
      </c>
      <c r="V76">
        <f>IF($W76="","",INDEX(명단표[구리 근무일(기준월)],$W76))</f>
        <v/>
      </c>
      <c r="W76" s="17">
        <f>IFERROR(MATCH(71,명단표[판정불가순번],0),"")</f>
        <v/>
      </c>
    </row>
    <row r="77">
      <c r="A77">
        <f>IF($P77="","",72)</f>
        <v/>
      </c>
      <c r="B77">
        <f>IF($P77="","",INDEX(명단표[이름],$P77))</f>
        <v/>
      </c>
      <c r="C77">
        <f>IF($P77="","",INDEX(명단표[사번],$P77)&amp;"")</f>
        <v/>
      </c>
      <c r="D77">
        <f>IF($P77="","",INDEX(명단표[전공의등록번호],$P77)&amp;"")</f>
        <v/>
      </c>
      <c r="E77">
        <f>IF($P77="","",INDEX(명단표[수련과목],$P77)&amp;"")</f>
        <v/>
      </c>
      <c r="F77">
        <f>IF($P77="","",INDEX(명단표[연차],$P77)&amp;"")</f>
        <v/>
      </c>
      <c r="G77">
        <f>IF($P77="","",INDEX(명단표[소속병원],$P77))</f>
        <v/>
      </c>
      <c r="H77">
        <f>IF($P77="","",IF(INDEX(명단표[소속병원],$P77)="서울병원","서울 소속","타 병원 소속("&amp;INDEX(명단표[소속병원],$P77)&amp;") → 서울 지급"))</f>
        <v/>
      </c>
      <c r="I77">
        <f>IF($P77="","",INDEX(명단표[현재 근무병원],$P77))</f>
        <v/>
      </c>
      <c r="J77">
        <f>IF($P77="","",INDEX(명단표[구리 근무 시작일(기준월)],$P77)&amp;"")</f>
        <v/>
      </c>
      <c r="K77">
        <f>IF($P77="","",INDEX(명단표[구리 근무 종료일(기준월)],$P77)&amp;"")</f>
        <v/>
      </c>
      <c r="L77">
        <f>IF($P77="","",INDEX(명단표[서울 근무일(기준월)],$P77))</f>
        <v/>
      </c>
      <c r="M77">
        <f>IF($P77="","",INDEX(명단표[구리 근무일(기준월)],$P77))</f>
        <v/>
      </c>
      <c r="N77">
        <f>IF($P77="","",INDEX(명단표[급여 판정 근거],$P77))</f>
        <v/>
      </c>
      <c r="O77">
        <f>IF($P77="","",INDEX(명단표[점검],$P77))</f>
        <v/>
      </c>
      <c r="P77" s="17">
        <f>IFERROR(MATCH(72,명단표[서울순번],0),"")</f>
        <v/>
      </c>
      <c r="R77">
        <f>IF($W77="","",INDEX(명단표[이름],$W77))</f>
        <v/>
      </c>
      <c r="S77">
        <f>IF($W77="","",INDEX(명단표[사번],$W77)&amp;"")</f>
        <v/>
      </c>
      <c r="T77">
        <f>IF($W77="","",INDEX(명단표[소속병원],$W77))</f>
        <v/>
      </c>
      <c r="U77">
        <f>IF($W77="","",INDEX(명단표[서울 근무일(기준월)],$W77))</f>
        <v/>
      </c>
      <c r="V77">
        <f>IF($W77="","",INDEX(명단표[구리 근무일(기준월)],$W77))</f>
        <v/>
      </c>
      <c r="W77" s="17">
        <f>IFERROR(MATCH(72,명단표[판정불가순번],0),"")</f>
        <v/>
      </c>
    </row>
    <row r="78">
      <c r="A78">
        <f>IF($P78="","",73)</f>
        <v/>
      </c>
      <c r="B78">
        <f>IF($P78="","",INDEX(명단표[이름],$P78))</f>
        <v/>
      </c>
      <c r="C78">
        <f>IF($P78="","",INDEX(명단표[사번],$P78)&amp;"")</f>
        <v/>
      </c>
      <c r="D78">
        <f>IF($P78="","",INDEX(명단표[전공의등록번호],$P78)&amp;"")</f>
        <v/>
      </c>
      <c r="E78">
        <f>IF($P78="","",INDEX(명단표[수련과목],$P78)&amp;"")</f>
        <v/>
      </c>
      <c r="F78">
        <f>IF($P78="","",INDEX(명단표[연차],$P78)&amp;"")</f>
        <v/>
      </c>
      <c r="G78">
        <f>IF($P78="","",INDEX(명단표[소속병원],$P78))</f>
        <v/>
      </c>
      <c r="H78">
        <f>IF($P78="","",IF(INDEX(명단표[소속병원],$P78)="서울병원","서울 소속","타 병원 소속("&amp;INDEX(명단표[소속병원],$P78)&amp;") → 서울 지급"))</f>
        <v/>
      </c>
      <c r="I78">
        <f>IF($P78="","",INDEX(명단표[현재 근무병원],$P78))</f>
        <v/>
      </c>
      <c r="J78">
        <f>IF($P78="","",INDEX(명단표[구리 근무 시작일(기준월)],$P78)&amp;"")</f>
        <v/>
      </c>
      <c r="K78">
        <f>IF($P78="","",INDEX(명단표[구리 근무 종료일(기준월)],$P78)&amp;"")</f>
        <v/>
      </c>
      <c r="L78">
        <f>IF($P78="","",INDEX(명단표[서울 근무일(기준월)],$P78))</f>
        <v/>
      </c>
      <c r="M78">
        <f>IF($P78="","",INDEX(명단표[구리 근무일(기준월)],$P78))</f>
        <v/>
      </c>
      <c r="N78">
        <f>IF($P78="","",INDEX(명단표[급여 판정 근거],$P78))</f>
        <v/>
      </c>
      <c r="O78">
        <f>IF($P78="","",INDEX(명단표[점검],$P78))</f>
        <v/>
      </c>
      <c r="P78" s="17">
        <f>IFERROR(MATCH(73,명단표[서울순번],0),"")</f>
        <v/>
      </c>
      <c r="R78">
        <f>IF($W78="","",INDEX(명단표[이름],$W78))</f>
        <v/>
      </c>
      <c r="S78">
        <f>IF($W78="","",INDEX(명단표[사번],$W78)&amp;"")</f>
        <v/>
      </c>
      <c r="T78">
        <f>IF($W78="","",INDEX(명단표[소속병원],$W78))</f>
        <v/>
      </c>
      <c r="U78">
        <f>IF($W78="","",INDEX(명단표[서울 근무일(기준월)],$W78))</f>
        <v/>
      </c>
      <c r="V78">
        <f>IF($W78="","",INDEX(명단표[구리 근무일(기준월)],$W78))</f>
        <v/>
      </c>
      <c r="W78" s="17">
        <f>IFERROR(MATCH(73,명단표[판정불가순번],0),"")</f>
        <v/>
      </c>
    </row>
    <row r="79">
      <c r="A79">
        <f>IF($P79="","",74)</f>
        <v/>
      </c>
      <c r="B79">
        <f>IF($P79="","",INDEX(명단표[이름],$P79))</f>
        <v/>
      </c>
      <c r="C79">
        <f>IF($P79="","",INDEX(명단표[사번],$P79)&amp;"")</f>
        <v/>
      </c>
      <c r="D79">
        <f>IF($P79="","",INDEX(명단표[전공의등록번호],$P79)&amp;"")</f>
        <v/>
      </c>
      <c r="E79">
        <f>IF($P79="","",INDEX(명단표[수련과목],$P79)&amp;"")</f>
        <v/>
      </c>
      <c r="F79">
        <f>IF($P79="","",INDEX(명단표[연차],$P79)&amp;"")</f>
        <v/>
      </c>
      <c r="G79">
        <f>IF($P79="","",INDEX(명단표[소속병원],$P79))</f>
        <v/>
      </c>
      <c r="H79">
        <f>IF($P79="","",IF(INDEX(명단표[소속병원],$P79)="서울병원","서울 소속","타 병원 소속("&amp;INDEX(명단표[소속병원],$P79)&amp;") → 서울 지급"))</f>
        <v/>
      </c>
      <c r="I79">
        <f>IF($P79="","",INDEX(명단표[현재 근무병원],$P79))</f>
        <v/>
      </c>
      <c r="J79">
        <f>IF($P79="","",INDEX(명단표[구리 근무 시작일(기준월)],$P79)&amp;"")</f>
        <v/>
      </c>
      <c r="K79">
        <f>IF($P79="","",INDEX(명단표[구리 근무 종료일(기준월)],$P79)&amp;"")</f>
        <v/>
      </c>
      <c r="L79">
        <f>IF($P79="","",INDEX(명단표[서울 근무일(기준월)],$P79))</f>
        <v/>
      </c>
      <c r="M79">
        <f>IF($P79="","",INDEX(명단표[구리 근무일(기준월)],$P79))</f>
        <v/>
      </c>
      <c r="N79">
        <f>IF($P79="","",INDEX(명단표[급여 판정 근거],$P79))</f>
        <v/>
      </c>
      <c r="O79">
        <f>IF($P79="","",INDEX(명단표[점검],$P79))</f>
        <v/>
      </c>
      <c r="P79" s="17">
        <f>IFERROR(MATCH(74,명단표[서울순번],0),"")</f>
        <v/>
      </c>
      <c r="R79">
        <f>IF($W79="","",INDEX(명단표[이름],$W79))</f>
        <v/>
      </c>
      <c r="S79">
        <f>IF($W79="","",INDEX(명단표[사번],$W79)&amp;"")</f>
        <v/>
      </c>
      <c r="T79">
        <f>IF($W79="","",INDEX(명단표[소속병원],$W79))</f>
        <v/>
      </c>
      <c r="U79">
        <f>IF($W79="","",INDEX(명단표[서울 근무일(기준월)],$W79))</f>
        <v/>
      </c>
      <c r="V79">
        <f>IF($W79="","",INDEX(명단표[구리 근무일(기준월)],$W79))</f>
        <v/>
      </c>
      <c r="W79" s="17">
        <f>IFERROR(MATCH(74,명단표[판정불가순번],0),"")</f>
        <v/>
      </c>
    </row>
    <row r="80">
      <c r="A80">
        <f>IF($P80="","",75)</f>
        <v/>
      </c>
      <c r="B80">
        <f>IF($P80="","",INDEX(명단표[이름],$P80))</f>
        <v/>
      </c>
      <c r="C80">
        <f>IF($P80="","",INDEX(명단표[사번],$P80)&amp;"")</f>
        <v/>
      </c>
      <c r="D80">
        <f>IF($P80="","",INDEX(명단표[전공의등록번호],$P80)&amp;"")</f>
        <v/>
      </c>
      <c r="E80">
        <f>IF($P80="","",INDEX(명단표[수련과목],$P80)&amp;"")</f>
        <v/>
      </c>
      <c r="F80">
        <f>IF($P80="","",INDEX(명단표[연차],$P80)&amp;"")</f>
        <v/>
      </c>
      <c r="G80">
        <f>IF($P80="","",INDEX(명단표[소속병원],$P80))</f>
        <v/>
      </c>
      <c r="H80">
        <f>IF($P80="","",IF(INDEX(명단표[소속병원],$P80)="서울병원","서울 소속","타 병원 소속("&amp;INDEX(명단표[소속병원],$P80)&amp;") → 서울 지급"))</f>
        <v/>
      </c>
      <c r="I80">
        <f>IF($P80="","",INDEX(명단표[현재 근무병원],$P80))</f>
        <v/>
      </c>
      <c r="J80">
        <f>IF($P80="","",INDEX(명단표[구리 근무 시작일(기준월)],$P80)&amp;"")</f>
        <v/>
      </c>
      <c r="K80">
        <f>IF($P80="","",INDEX(명단표[구리 근무 종료일(기준월)],$P80)&amp;"")</f>
        <v/>
      </c>
      <c r="L80">
        <f>IF($P80="","",INDEX(명단표[서울 근무일(기준월)],$P80))</f>
        <v/>
      </c>
      <c r="M80">
        <f>IF($P80="","",INDEX(명단표[구리 근무일(기준월)],$P80))</f>
        <v/>
      </c>
      <c r="N80">
        <f>IF($P80="","",INDEX(명단표[급여 판정 근거],$P80))</f>
        <v/>
      </c>
      <c r="O80">
        <f>IF($P80="","",INDEX(명단표[점검],$P80))</f>
        <v/>
      </c>
      <c r="P80" s="17">
        <f>IFERROR(MATCH(75,명단표[서울순번],0),"")</f>
        <v/>
      </c>
      <c r="R80">
        <f>IF($W80="","",INDEX(명단표[이름],$W80))</f>
        <v/>
      </c>
      <c r="S80">
        <f>IF($W80="","",INDEX(명단표[사번],$W80)&amp;"")</f>
        <v/>
      </c>
      <c r="T80">
        <f>IF($W80="","",INDEX(명단표[소속병원],$W80))</f>
        <v/>
      </c>
      <c r="U80">
        <f>IF($W80="","",INDEX(명단표[서울 근무일(기준월)],$W80))</f>
        <v/>
      </c>
      <c r="V80">
        <f>IF($W80="","",INDEX(명단표[구리 근무일(기준월)],$W80))</f>
        <v/>
      </c>
      <c r="W80" s="17">
        <f>IFERROR(MATCH(75,명단표[판정불가순번],0),"")</f>
        <v/>
      </c>
    </row>
    <row r="81">
      <c r="A81">
        <f>IF($P81="","",76)</f>
        <v/>
      </c>
      <c r="B81">
        <f>IF($P81="","",INDEX(명단표[이름],$P81))</f>
        <v/>
      </c>
      <c r="C81">
        <f>IF($P81="","",INDEX(명단표[사번],$P81)&amp;"")</f>
        <v/>
      </c>
      <c r="D81">
        <f>IF($P81="","",INDEX(명단표[전공의등록번호],$P81)&amp;"")</f>
        <v/>
      </c>
      <c r="E81">
        <f>IF($P81="","",INDEX(명단표[수련과목],$P81)&amp;"")</f>
        <v/>
      </c>
      <c r="F81">
        <f>IF($P81="","",INDEX(명단표[연차],$P81)&amp;"")</f>
        <v/>
      </c>
      <c r="G81">
        <f>IF($P81="","",INDEX(명단표[소속병원],$P81))</f>
        <v/>
      </c>
      <c r="H81">
        <f>IF($P81="","",IF(INDEX(명단표[소속병원],$P81)="서울병원","서울 소속","타 병원 소속("&amp;INDEX(명단표[소속병원],$P81)&amp;") → 서울 지급"))</f>
        <v/>
      </c>
      <c r="I81">
        <f>IF($P81="","",INDEX(명단표[현재 근무병원],$P81))</f>
        <v/>
      </c>
      <c r="J81">
        <f>IF($P81="","",INDEX(명단표[구리 근무 시작일(기준월)],$P81)&amp;"")</f>
        <v/>
      </c>
      <c r="K81">
        <f>IF($P81="","",INDEX(명단표[구리 근무 종료일(기준월)],$P81)&amp;"")</f>
        <v/>
      </c>
      <c r="L81">
        <f>IF($P81="","",INDEX(명단표[서울 근무일(기준월)],$P81))</f>
        <v/>
      </c>
      <c r="M81">
        <f>IF($P81="","",INDEX(명단표[구리 근무일(기준월)],$P81))</f>
        <v/>
      </c>
      <c r="N81">
        <f>IF($P81="","",INDEX(명단표[급여 판정 근거],$P81))</f>
        <v/>
      </c>
      <c r="O81">
        <f>IF($P81="","",INDEX(명단표[점검],$P81))</f>
        <v/>
      </c>
      <c r="P81" s="17">
        <f>IFERROR(MATCH(76,명단표[서울순번],0),"")</f>
        <v/>
      </c>
      <c r="R81">
        <f>IF($W81="","",INDEX(명단표[이름],$W81))</f>
        <v/>
      </c>
      <c r="S81">
        <f>IF($W81="","",INDEX(명단표[사번],$W81)&amp;"")</f>
        <v/>
      </c>
      <c r="T81">
        <f>IF($W81="","",INDEX(명단표[소속병원],$W81))</f>
        <v/>
      </c>
      <c r="U81">
        <f>IF($W81="","",INDEX(명단표[서울 근무일(기준월)],$W81))</f>
        <v/>
      </c>
      <c r="V81">
        <f>IF($W81="","",INDEX(명단표[구리 근무일(기준월)],$W81))</f>
        <v/>
      </c>
      <c r="W81" s="17">
        <f>IFERROR(MATCH(76,명단표[판정불가순번],0),"")</f>
        <v/>
      </c>
    </row>
    <row r="82">
      <c r="A82">
        <f>IF($P82="","",77)</f>
        <v/>
      </c>
      <c r="B82">
        <f>IF($P82="","",INDEX(명단표[이름],$P82))</f>
        <v/>
      </c>
      <c r="C82">
        <f>IF($P82="","",INDEX(명단표[사번],$P82)&amp;"")</f>
        <v/>
      </c>
      <c r="D82">
        <f>IF($P82="","",INDEX(명단표[전공의등록번호],$P82)&amp;"")</f>
        <v/>
      </c>
      <c r="E82">
        <f>IF($P82="","",INDEX(명단표[수련과목],$P82)&amp;"")</f>
        <v/>
      </c>
      <c r="F82">
        <f>IF($P82="","",INDEX(명단표[연차],$P82)&amp;"")</f>
        <v/>
      </c>
      <c r="G82">
        <f>IF($P82="","",INDEX(명단표[소속병원],$P82))</f>
        <v/>
      </c>
      <c r="H82">
        <f>IF($P82="","",IF(INDEX(명단표[소속병원],$P82)="서울병원","서울 소속","타 병원 소속("&amp;INDEX(명단표[소속병원],$P82)&amp;") → 서울 지급"))</f>
        <v/>
      </c>
      <c r="I82">
        <f>IF($P82="","",INDEX(명단표[현재 근무병원],$P82))</f>
        <v/>
      </c>
      <c r="J82">
        <f>IF($P82="","",INDEX(명단표[구리 근무 시작일(기준월)],$P82)&amp;"")</f>
        <v/>
      </c>
      <c r="K82">
        <f>IF($P82="","",INDEX(명단표[구리 근무 종료일(기준월)],$P82)&amp;"")</f>
        <v/>
      </c>
      <c r="L82">
        <f>IF($P82="","",INDEX(명단표[서울 근무일(기준월)],$P82))</f>
        <v/>
      </c>
      <c r="M82">
        <f>IF($P82="","",INDEX(명단표[구리 근무일(기준월)],$P82))</f>
        <v/>
      </c>
      <c r="N82">
        <f>IF($P82="","",INDEX(명단표[급여 판정 근거],$P82))</f>
        <v/>
      </c>
      <c r="O82">
        <f>IF($P82="","",INDEX(명단표[점검],$P82))</f>
        <v/>
      </c>
      <c r="P82" s="17">
        <f>IFERROR(MATCH(77,명단표[서울순번],0),"")</f>
        <v/>
      </c>
      <c r="R82">
        <f>IF($W82="","",INDEX(명단표[이름],$W82))</f>
        <v/>
      </c>
      <c r="S82">
        <f>IF($W82="","",INDEX(명단표[사번],$W82)&amp;"")</f>
        <v/>
      </c>
      <c r="T82">
        <f>IF($W82="","",INDEX(명단표[소속병원],$W82))</f>
        <v/>
      </c>
      <c r="U82">
        <f>IF($W82="","",INDEX(명단표[서울 근무일(기준월)],$W82))</f>
        <v/>
      </c>
      <c r="V82">
        <f>IF($W82="","",INDEX(명단표[구리 근무일(기준월)],$W82))</f>
        <v/>
      </c>
      <c r="W82" s="17">
        <f>IFERROR(MATCH(77,명단표[판정불가순번],0),"")</f>
        <v/>
      </c>
    </row>
    <row r="83">
      <c r="A83">
        <f>IF($P83="","",78)</f>
        <v/>
      </c>
      <c r="B83">
        <f>IF($P83="","",INDEX(명단표[이름],$P83))</f>
        <v/>
      </c>
      <c r="C83">
        <f>IF($P83="","",INDEX(명단표[사번],$P83)&amp;"")</f>
        <v/>
      </c>
      <c r="D83">
        <f>IF($P83="","",INDEX(명단표[전공의등록번호],$P83)&amp;"")</f>
        <v/>
      </c>
      <c r="E83">
        <f>IF($P83="","",INDEX(명단표[수련과목],$P83)&amp;"")</f>
        <v/>
      </c>
      <c r="F83">
        <f>IF($P83="","",INDEX(명단표[연차],$P83)&amp;"")</f>
        <v/>
      </c>
      <c r="G83">
        <f>IF($P83="","",INDEX(명단표[소속병원],$P83))</f>
        <v/>
      </c>
      <c r="H83">
        <f>IF($P83="","",IF(INDEX(명단표[소속병원],$P83)="서울병원","서울 소속","타 병원 소속("&amp;INDEX(명단표[소속병원],$P83)&amp;") → 서울 지급"))</f>
        <v/>
      </c>
      <c r="I83">
        <f>IF($P83="","",INDEX(명단표[현재 근무병원],$P83))</f>
        <v/>
      </c>
      <c r="J83">
        <f>IF($P83="","",INDEX(명단표[구리 근무 시작일(기준월)],$P83)&amp;"")</f>
        <v/>
      </c>
      <c r="K83">
        <f>IF($P83="","",INDEX(명단표[구리 근무 종료일(기준월)],$P83)&amp;"")</f>
        <v/>
      </c>
      <c r="L83">
        <f>IF($P83="","",INDEX(명단표[서울 근무일(기준월)],$P83))</f>
        <v/>
      </c>
      <c r="M83">
        <f>IF($P83="","",INDEX(명단표[구리 근무일(기준월)],$P83))</f>
        <v/>
      </c>
      <c r="N83">
        <f>IF($P83="","",INDEX(명단표[급여 판정 근거],$P83))</f>
        <v/>
      </c>
      <c r="O83">
        <f>IF($P83="","",INDEX(명단표[점검],$P83))</f>
        <v/>
      </c>
      <c r="P83" s="17">
        <f>IFERROR(MATCH(78,명단표[서울순번],0),"")</f>
        <v/>
      </c>
      <c r="R83">
        <f>IF($W83="","",INDEX(명단표[이름],$W83))</f>
        <v/>
      </c>
      <c r="S83">
        <f>IF($W83="","",INDEX(명단표[사번],$W83)&amp;"")</f>
        <v/>
      </c>
      <c r="T83">
        <f>IF($W83="","",INDEX(명단표[소속병원],$W83))</f>
        <v/>
      </c>
      <c r="U83">
        <f>IF($W83="","",INDEX(명단표[서울 근무일(기준월)],$W83))</f>
        <v/>
      </c>
      <c r="V83">
        <f>IF($W83="","",INDEX(명단표[구리 근무일(기준월)],$W83))</f>
        <v/>
      </c>
      <c r="W83" s="17">
        <f>IFERROR(MATCH(78,명단표[판정불가순번],0),"")</f>
        <v/>
      </c>
    </row>
    <row r="84">
      <c r="A84">
        <f>IF($P84="","",79)</f>
        <v/>
      </c>
      <c r="B84">
        <f>IF($P84="","",INDEX(명단표[이름],$P84))</f>
        <v/>
      </c>
      <c r="C84">
        <f>IF($P84="","",INDEX(명단표[사번],$P84)&amp;"")</f>
        <v/>
      </c>
      <c r="D84">
        <f>IF($P84="","",INDEX(명단표[전공의등록번호],$P84)&amp;"")</f>
        <v/>
      </c>
      <c r="E84">
        <f>IF($P84="","",INDEX(명단표[수련과목],$P84)&amp;"")</f>
        <v/>
      </c>
      <c r="F84">
        <f>IF($P84="","",INDEX(명단표[연차],$P84)&amp;"")</f>
        <v/>
      </c>
      <c r="G84">
        <f>IF($P84="","",INDEX(명단표[소속병원],$P84))</f>
        <v/>
      </c>
      <c r="H84">
        <f>IF($P84="","",IF(INDEX(명단표[소속병원],$P84)="서울병원","서울 소속","타 병원 소속("&amp;INDEX(명단표[소속병원],$P84)&amp;") → 서울 지급"))</f>
        <v/>
      </c>
      <c r="I84">
        <f>IF($P84="","",INDEX(명단표[현재 근무병원],$P84))</f>
        <v/>
      </c>
      <c r="J84">
        <f>IF($P84="","",INDEX(명단표[구리 근무 시작일(기준월)],$P84)&amp;"")</f>
        <v/>
      </c>
      <c r="K84">
        <f>IF($P84="","",INDEX(명단표[구리 근무 종료일(기준월)],$P84)&amp;"")</f>
        <v/>
      </c>
      <c r="L84">
        <f>IF($P84="","",INDEX(명단표[서울 근무일(기준월)],$P84))</f>
        <v/>
      </c>
      <c r="M84">
        <f>IF($P84="","",INDEX(명단표[구리 근무일(기준월)],$P84))</f>
        <v/>
      </c>
      <c r="N84">
        <f>IF($P84="","",INDEX(명단표[급여 판정 근거],$P84))</f>
        <v/>
      </c>
      <c r="O84">
        <f>IF($P84="","",INDEX(명단표[점검],$P84))</f>
        <v/>
      </c>
      <c r="P84" s="17">
        <f>IFERROR(MATCH(79,명단표[서울순번],0),"")</f>
        <v/>
      </c>
      <c r="R84">
        <f>IF($W84="","",INDEX(명단표[이름],$W84))</f>
        <v/>
      </c>
      <c r="S84">
        <f>IF($W84="","",INDEX(명단표[사번],$W84)&amp;"")</f>
        <v/>
      </c>
      <c r="T84">
        <f>IF($W84="","",INDEX(명단표[소속병원],$W84))</f>
        <v/>
      </c>
      <c r="U84">
        <f>IF($W84="","",INDEX(명단표[서울 근무일(기준월)],$W84))</f>
        <v/>
      </c>
      <c r="V84">
        <f>IF($W84="","",INDEX(명단표[구리 근무일(기준월)],$W84))</f>
        <v/>
      </c>
      <c r="W84" s="17">
        <f>IFERROR(MATCH(79,명단표[판정불가순번],0),"")</f>
        <v/>
      </c>
    </row>
    <row r="85">
      <c r="A85">
        <f>IF($P85="","",80)</f>
        <v/>
      </c>
      <c r="B85">
        <f>IF($P85="","",INDEX(명단표[이름],$P85))</f>
        <v/>
      </c>
      <c r="C85">
        <f>IF($P85="","",INDEX(명단표[사번],$P85)&amp;"")</f>
        <v/>
      </c>
      <c r="D85">
        <f>IF($P85="","",INDEX(명단표[전공의등록번호],$P85)&amp;"")</f>
        <v/>
      </c>
      <c r="E85">
        <f>IF($P85="","",INDEX(명단표[수련과목],$P85)&amp;"")</f>
        <v/>
      </c>
      <c r="F85">
        <f>IF($P85="","",INDEX(명단표[연차],$P85)&amp;"")</f>
        <v/>
      </c>
      <c r="G85">
        <f>IF($P85="","",INDEX(명단표[소속병원],$P85))</f>
        <v/>
      </c>
      <c r="H85">
        <f>IF($P85="","",IF(INDEX(명단표[소속병원],$P85)="서울병원","서울 소속","타 병원 소속("&amp;INDEX(명단표[소속병원],$P85)&amp;") → 서울 지급"))</f>
        <v/>
      </c>
      <c r="I85">
        <f>IF($P85="","",INDEX(명단표[현재 근무병원],$P85))</f>
        <v/>
      </c>
      <c r="J85">
        <f>IF($P85="","",INDEX(명단표[구리 근무 시작일(기준월)],$P85)&amp;"")</f>
        <v/>
      </c>
      <c r="K85">
        <f>IF($P85="","",INDEX(명단표[구리 근무 종료일(기준월)],$P85)&amp;"")</f>
        <v/>
      </c>
      <c r="L85">
        <f>IF($P85="","",INDEX(명단표[서울 근무일(기준월)],$P85))</f>
        <v/>
      </c>
      <c r="M85">
        <f>IF($P85="","",INDEX(명단표[구리 근무일(기준월)],$P85))</f>
        <v/>
      </c>
      <c r="N85">
        <f>IF($P85="","",INDEX(명단표[급여 판정 근거],$P85))</f>
        <v/>
      </c>
      <c r="O85">
        <f>IF($P85="","",INDEX(명단표[점검],$P85))</f>
        <v/>
      </c>
      <c r="P85" s="17">
        <f>IFERROR(MATCH(80,명단표[서울순번],0),"")</f>
        <v/>
      </c>
      <c r="R85">
        <f>IF($W85="","",INDEX(명단표[이름],$W85))</f>
        <v/>
      </c>
      <c r="S85">
        <f>IF($W85="","",INDEX(명단표[사번],$W85)&amp;"")</f>
        <v/>
      </c>
      <c r="T85">
        <f>IF($W85="","",INDEX(명단표[소속병원],$W85))</f>
        <v/>
      </c>
      <c r="U85">
        <f>IF($W85="","",INDEX(명단표[서울 근무일(기준월)],$W85))</f>
        <v/>
      </c>
      <c r="V85">
        <f>IF($W85="","",INDEX(명단표[구리 근무일(기준월)],$W85))</f>
        <v/>
      </c>
      <c r="W85" s="17">
        <f>IFERROR(MATCH(80,명단표[판정불가순번],0),"")</f>
        <v/>
      </c>
    </row>
    <row r="86">
      <c r="A86">
        <f>IF($P86="","",81)</f>
        <v/>
      </c>
      <c r="B86">
        <f>IF($P86="","",INDEX(명단표[이름],$P86))</f>
        <v/>
      </c>
      <c r="C86">
        <f>IF($P86="","",INDEX(명단표[사번],$P86)&amp;"")</f>
        <v/>
      </c>
      <c r="D86">
        <f>IF($P86="","",INDEX(명단표[전공의등록번호],$P86)&amp;"")</f>
        <v/>
      </c>
      <c r="E86">
        <f>IF($P86="","",INDEX(명단표[수련과목],$P86)&amp;"")</f>
        <v/>
      </c>
      <c r="F86">
        <f>IF($P86="","",INDEX(명단표[연차],$P86)&amp;"")</f>
        <v/>
      </c>
      <c r="G86">
        <f>IF($P86="","",INDEX(명단표[소속병원],$P86))</f>
        <v/>
      </c>
      <c r="H86">
        <f>IF($P86="","",IF(INDEX(명단표[소속병원],$P86)="서울병원","서울 소속","타 병원 소속("&amp;INDEX(명단표[소속병원],$P86)&amp;") → 서울 지급"))</f>
        <v/>
      </c>
      <c r="I86">
        <f>IF($P86="","",INDEX(명단표[현재 근무병원],$P86))</f>
        <v/>
      </c>
      <c r="J86">
        <f>IF($P86="","",INDEX(명단표[구리 근무 시작일(기준월)],$P86)&amp;"")</f>
        <v/>
      </c>
      <c r="K86">
        <f>IF($P86="","",INDEX(명단표[구리 근무 종료일(기준월)],$P86)&amp;"")</f>
        <v/>
      </c>
      <c r="L86">
        <f>IF($P86="","",INDEX(명단표[서울 근무일(기준월)],$P86))</f>
        <v/>
      </c>
      <c r="M86">
        <f>IF($P86="","",INDEX(명단표[구리 근무일(기준월)],$P86))</f>
        <v/>
      </c>
      <c r="N86">
        <f>IF($P86="","",INDEX(명단표[급여 판정 근거],$P86))</f>
        <v/>
      </c>
      <c r="O86">
        <f>IF($P86="","",INDEX(명단표[점검],$P86))</f>
        <v/>
      </c>
      <c r="P86" s="17">
        <f>IFERROR(MATCH(81,명단표[서울순번],0),"")</f>
        <v/>
      </c>
      <c r="R86">
        <f>IF($W86="","",INDEX(명단표[이름],$W86))</f>
        <v/>
      </c>
      <c r="S86">
        <f>IF($W86="","",INDEX(명단표[사번],$W86)&amp;"")</f>
        <v/>
      </c>
      <c r="T86">
        <f>IF($W86="","",INDEX(명단표[소속병원],$W86))</f>
        <v/>
      </c>
      <c r="U86">
        <f>IF($W86="","",INDEX(명단표[서울 근무일(기준월)],$W86))</f>
        <v/>
      </c>
      <c r="V86">
        <f>IF($W86="","",INDEX(명단표[구리 근무일(기준월)],$W86))</f>
        <v/>
      </c>
      <c r="W86" s="17">
        <f>IFERROR(MATCH(81,명단표[판정불가순번],0),"")</f>
        <v/>
      </c>
    </row>
    <row r="87">
      <c r="A87">
        <f>IF($P87="","",82)</f>
        <v/>
      </c>
      <c r="B87">
        <f>IF($P87="","",INDEX(명단표[이름],$P87))</f>
        <v/>
      </c>
      <c r="C87">
        <f>IF($P87="","",INDEX(명단표[사번],$P87)&amp;"")</f>
        <v/>
      </c>
      <c r="D87">
        <f>IF($P87="","",INDEX(명단표[전공의등록번호],$P87)&amp;"")</f>
        <v/>
      </c>
      <c r="E87">
        <f>IF($P87="","",INDEX(명단표[수련과목],$P87)&amp;"")</f>
        <v/>
      </c>
      <c r="F87">
        <f>IF($P87="","",INDEX(명단표[연차],$P87)&amp;"")</f>
        <v/>
      </c>
      <c r="G87">
        <f>IF($P87="","",INDEX(명단표[소속병원],$P87))</f>
        <v/>
      </c>
      <c r="H87">
        <f>IF($P87="","",IF(INDEX(명단표[소속병원],$P87)="서울병원","서울 소속","타 병원 소속("&amp;INDEX(명단표[소속병원],$P87)&amp;") → 서울 지급"))</f>
        <v/>
      </c>
      <c r="I87">
        <f>IF($P87="","",INDEX(명단표[현재 근무병원],$P87))</f>
        <v/>
      </c>
      <c r="J87">
        <f>IF($P87="","",INDEX(명단표[구리 근무 시작일(기준월)],$P87)&amp;"")</f>
        <v/>
      </c>
      <c r="K87">
        <f>IF($P87="","",INDEX(명단표[구리 근무 종료일(기준월)],$P87)&amp;"")</f>
        <v/>
      </c>
      <c r="L87">
        <f>IF($P87="","",INDEX(명단표[서울 근무일(기준월)],$P87))</f>
        <v/>
      </c>
      <c r="M87">
        <f>IF($P87="","",INDEX(명단표[구리 근무일(기준월)],$P87))</f>
        <v/>
      </c>
      <c r="N87">
        <f>IF($P87="","",INDEX(명단표[급여 판정 근거],$P87))</f>
        <v/>
      </c>
      <c r="O87">
        <f>IF($P87="","",INDEX(명단표[점검],$P87))</f>
        <v/>
      </c>
      <c r="P87" s="17">
        <f>IFERROR(MATCH(82,명단표[서울순번],0),"")</f>
        <v/>
      </c>
      <c r="R87">
        <f>IF($W87="","",INDEX(명단표[이름],$W87))</f>
        <v/>
      </c>
      <c r="S87">
        <f>IF($W87="","",INDEX(명단표[사번],$W87)&amp;"")</f>
        <v/>
      </c>
      <c r="T87">
        <f>IF($W87="","",INDEX(명단표[소속병원],$W87))</f>
        <v/>
      </c>
      <c r="U87">
        <f>IF($W87="","",INDEX(명단표[서울 근무일(기준월)],$W87))</f>
        <v/>
      </c>
      <c r="V87">
        <f>IF($W87="","",INDEX(명단표[구리 근무일(기준월)],$W87))</f>
        <v/>
      </c>
      <c r="W87" s="17">
        <f>IFERROR(MATCH(82,명단표[판정불가순번],0),"")</f>
        <v/>
      </c>
    </row>
    <row r="88">
      <c r="A88">
        <f>IF($P88="","",83)</f>
        <v/>
      </c>
      <c r="B88">
        <f>IF($P88="","",INDEX(명단표[이름],$P88))</f>
        <v/>
      </c>
      <c r="C88">
        <f>IF($P88="","",INDEX(명단표[사번],$P88)&amp;"")</f>
        <v/>
      </c>
      <c r="D88">
        <f>IF($P88="","",INDEX(명단표[전공의등록번호],$P88)&amp;"")</f>
        <v/>
      </c>
      <c r="E88">
        <f>IF($P88="","",INDEX(명단표[수련과목],$P88)&amp;"")</f>
        <v/>
      </c>
      <c r="F88">
        <f>IF($P88="","",INDEX(명단표[연차],$P88)&amp;"")</f>
        <v/>
      </c>
      <c r="G88">
        <f>IF($P88="","",INDEX(명단표[소속병원],$P88))</f>
        <v/>
      </c>
      <c r="H88">
        <f>IF($P88="","",IF(INDEX(명단표[소속병원],$P88)="서울병원","서울 소속","타 병원 소속("&amp;INDEX(명단표[소속병원],$P88)&amp;") → 서울 지급"))</f>
        <v/>
      </c>
      <c r="I88">
        <f>IF($P88="","",INDEX(명단표[현재 근무병원],$P88))</f>
        <v/>
      </c>
      <c r="J88">
        <f>IF($P88="","",INDEX(명단표[구리 근무 시작일(기준월)],$P88)&amp;"")</f>
        <v/>
      </c>
      <c r="K88">
        <f>IF($P88="","",INDEX(명단표[구리 근무 종료일(기준월)],$P88)&amp;"")</f>
        <v/>
      </c>
      <c r="L88">
        <f>IF($P88="","",INDEX(명단표[서울 근무일(기준월)],$P88))</f>
        <v/>
      </c>
      <c r="M88">
        <f>IF($P88="","",INDEX(명단표[구리 근무일(기준월)],$P88))</f>
        <v/>
      </c>
      <c r="N88">
        <f>IF($P88="","",INDEX(명단표[급여 판정 근거],$P88))</f>
        <v/>
      </c>
      <c r="O88">
        <f>IF($P88="","",INDEX(명단표[점검],$P88))</f>
        <v/>
      </c>
      <c r="P88" s="17">
        <f>IFERROR(MATCH(83,명단표[서울순번],0),"")</f>
        <v/>
      </c>
      <c r="R88">
        <f>IF($W88="","",INDEX(명단표[이름],$W88))</f>
        <v/>
      </c>
      <c r="S88">
        <f>IF($W88="","",INDEX(명단표[사번],$W88)&amp;"")</f>
        <v/>
      </c>
      <c r="T88">
        <f>IF($W88="","",INDEX(명단표[소속병원],$W88))</f>
        <v/>
      </c>
      <c r="U88">
        <f>IF($W88="","",INDEX(명단표[서울 근무일(기준월)],$W88))</f>
        <v/>
      </c>
      <c r="V88">
        <f>IF($W88="","",INDEX(명단표[구리 근무일(기준월)],$W88))</f>
        <v/>
      </c>
      <c r="W88" s="17">
        <f>IFERROR(MATCH(83,명단표[판정불가순번],0),"")</f>
        <v/>
      </c>
    </row>
    <row r="89">
      <c r="A89">
        <f>IF($P89="","",84)</f>
        <v/>
      </c>
      <c r="B89">
        <f>IF($P89="","",INDEX(명단표[이름],$P89))</f>
        <v/>
      </c>
      <c r="C89">
        <f>IF($P89="","",INDEX(명단표[사번],$P89)&amp;"")</f>
        <v/>
      </c>
      <c r="D89">
        <f>IF($P89="","",INDEX(명단표[전공의등록번호],$P89)&amp;"")</f>
        <v/>
      </c>
      <c r="E89">
        <f>IF($P89="","",INDEX(명단표[수련과목],$P89)&amp;"")</f>
        <v/>
      </c>
      <c r="F89">
        <f>IF($P89="","",INDEX(명단표[연차],$P89)&amp;"")</f>
        <v/>
      </c>
      <c r="G89">
        <f>IF($P89="","",INDEX(명단표[소속병원],$P89))</f>
        <v/>
      </c>
      <c r="H89">
        <f>IF($P89="","",IF(INDEX(명단표[소속병원],$P89)="서울병원","서울 소속","타 병원 소속("&amp;INDEX(명단표[소속병원],$P89)&amp;") → 서울 지급"))</f>
        <v/>
      </c>
      <c r="I89">
        <f>IF($P89="","",INDEX(명단표[현재 근무병원],$P89))</f>
        <v/>
      </c>
      <c r="J89">
        <f>IF($P89="","",INDEX(명단표[구리 근무 시작일(기준월)],$P89)&amp;"")</f>
        <v/>
      </c>
      <c r="K89">
        <f>IF($P89="","",INDEX(명단표[구리 근무 종료일(기준월)],$P89)&amp;"")</f>
        <v/>
      </c>
      <c r="L89">
        <f>IF($P89="","",INDEX(명단표[서울 근무일(기준월)],$P89))</f>
        <v/>
      </c>
      <c r="M89">
        <f>IF($P89="","",INDEX(명단표[구리 근무일(기준월)],$P89))</f>
        <v/>
      </c>
      <c r="N89">
        <f>IF($P89="","",INDEX(명단표[급여 판정 근거],$P89))</f>
        <v/>
      </c>
      <c r="O89">
        <f>IF($P89="","",INDEX(명단표[점검],$P89))</f>
        <v/>
      </c>
      <c r="P89" s="17">
        <f>IFERROR(MATCH(84,명단표[서울순번],0),"")</f>
        <v/>
      </c>
      <c r="R89">
        <f>IF($W89="","",INDEX(명단표[이름],$W89))</f>
        <v/>
      </c>
      <c r="S89">
        <f>IF($W89="","",INDEX(명단표[사번],$W89)&amp;"")</f>
        <v/>
      </c>
      <c r="T89">
        <f>IF($W89="","",INDEX(명단표[소속병원],$W89))</f>
        <v/>
      </c>
      <c r="U89">
        <f>IF($W89="","",INDEX(명단표[서울 근무일(기준월)],$W89))</f>
        <v/>
      </c>
      <c r="V89">
        <f>IF($W89="","",INDEX(명단표[구리 근무일(기준월)],$W89))</f>
        <v/>
      </c>
      <c r="W89" s="17">
        <f>IFERROR(MATCH(84,명단표[판정불가순번],0),"")</f>
        <v/>
      </c>
    </row>
    <row r="90">
      <c r="A90">
        <f>IF($P90="","",85)</f>
        <v/>
      </c>
      <c r="B90">
        <f>IF($P90="","",INDEX(명단표[이름],$P90))</f>
        <v/>
      </c>
      <c r="C90">
        <f>IF($P90="","",INDEX(명단표[사번],$P90)&amp;"")</f>
        <v/>
      </c>
      <c r="D90">
        <f>IF($P90="","",INDEX(명단표[전공의등록번호],$P90)&amp;"")</f>
        <v/>
      </c>
      <c r="E90">
        <f>IF($P90="","",INDEX(명단표[수련과목],$P90)&amp;"")</f>
        <v/>
      </c>
      <c r="F90">
        <f>IF($P90="","",INDEX(명단표[연차],$P90)&amp;"")</f>
        <v/>
      </c>
      <c r="G90">
        <f>IF($P90="","",INDEX(명단표[소속병원],$P90))</f>
        <v/>
      </c>
      <c r="H90">
        <f>IF($P90="","",IF(INDEX(명단표[소속병원],$P90)="서울병원","서울 소속","타 병원 소속("&amp;INDEX(명단표[소속병원],$P90)&amp;") → 서울 지급"))</f>
        <v/>
      </c>
      <c r="I90">
        <f>IF($P90="","",INDEX(명단표[현재 근무병원],$P90))</f>
        <v/>
      </c>
      <c r="J90">
        <f>IF($P90="","",INDEX(명단표[구리 근무 시작일(기준월)],$P90)&amp;"")</f>
        <v/>
      </c>
      <c r="K90">
        <f>IF($P90="","",INDEX(명단표[구리 근무 종료일(기준월)],$P90)&amp;"")</f>
        <v/>
      </c>
      <c r="L90">
        <f>IF($P90="","",INDEX(명단표[서울 근무일(기준월)],$P90))</f>
        <v/>
      </c>
      <c r="M90">
        <f>IF($P90="","",INDEX(명단표[구리 근무일(기준월)],$P90))</f>
        <v/>
      </c>
      <c r="N90">
        <f>IF($P90="","",INDEX(명단표[급여 판정 근거],$P90))</f>
        <v/>
      </c>
      <c r="O90">
        <f>IF($P90="","",INDEX(명단표[점검],$P90))</f>
        <v/>
      </c>
      <c r="P90" s="17">
        <f>IFERROR(MATCH(85,명단표[서울순번],0),"")</f>
        <v/>
      </c>
      <c r="R90">
        <f>IF($W90="","",INDEX(명단표[이름],$W90))</f>
        <v/>
      </c>
      <c r="S90">
        <f>IF($W90="","",INDEX(명단표[사번],$W90)&amp;"")</f>
        <v/>
      </c>
      <c r="T90">
        <f>IF($W90="","",INDEX(명단표[소속병원],$W90))</f>
        <v/>
      </c>
      <c r="U90">
        <f>IF($W90="","",INDEX(명단표[서울 근무일(기준월)],$W90))</f>
        <v/>
      </c>
      <c r="V90">
        <f>IF($W90="","",INDEX(명단표[구리 근무일(기준월)],$W90))</f>
        <v/>
      </c>
      <c r="W90" s="17">
        <f>IFERROR(MATCH(85,명단표[판정불가순번],0),"")</f>
        <v/>
      </c>
    </row>
    <row r="91">
      <c r="A91">
        <f>IF($P91="","",86)</f>
        <v/>
      </c>
      <c r="B91">
        <f>IF($P91="","",INDEX(명단표[이름],$P91))</f>
        <v/>
      </c>
      <c r="C91">
        <f>IF($P91="","",INDEX(명단표[사번],$P91)&amp;"")</f>
        <v/>
      </c>
      <c r="D91">
        <f>IF($P91="","",INDEX(명단표[전공의등록번호],$P91)&amp;"")</f>
        <v/>
      </c>
      <c r="E91">
        <f>IF($P91="","",INDEX(명단표[수련과목],$P91)&amp;"")</f>
        <v/>
      </c>
      <c r="F91">
        <f>IF($P91="","",INDEX(명단표[연차],$P91)&amp;"")</f>
        <v/>
      </c>
      <c r="G91">
        <f>IF($P91="","",INDEX(명단표[소속병원],$P91))</f>
        <v/>
      </c>
      <c r="H91">
        <f>IF($P91="","",IF(INDEX(명단표[소속병원],$P91)="서울병원","서울 소속","타 병원 소속("&amp;INDEX(명단표[소속병원],$P91)&amp;") → 서울 지급"))</f>
        <v/>
      </c>
      <c r="I91">
        <f>IF($P91="","",INDEX(명단표[현재 근무병원],$P91))</f>
        <v/>
      </c>
      <c r="J91">
        <f>IF($P91="","",INDEX(명단표[구리 근무 시작일(기준월)],$P91)&amp;"")</f>
        <v/>
      </c>
      <c r="K91">
        <f>IF($P91="","",INDEX(명단표[구리 근무 종료일(기준월)],$P91)&amp;"")</f>
        <v/>
      </c>
      <c r="L91">
        <f>IF($P91="","",INDEX(명단표[서울 근무일(기준월)],$P91))</f>
        <v/>
      </c>
      <c r="M91">
        <f>IF($P91="","",INDEX(명단표[구리 근무일(기준월)],$P91))</f>
        <v/>
      </c>
      <c r="N91">
        <f>IF($P91="","",INDEX(명단표[급여 판정 근거],$P91))</f>
        <v/>
      </c>
      <c r="O91">
        <f>IF($P91="","",INDEX(명단표[점검],$P91))</f>
        <v/>
      </c>
      <c r="P91" s="17">
        <f>IFERROR(MATCH(86,명단표[서울순번],0),"")</f>
        <v/>
      </c>
      <c r="R91">
        <f>IF($W91="","",INDEX(명단표[이름],$W91))</f>
        <v/>
      </c>
      <c r="S91">
        <f>IF($W91="","",INDEX(명단표[사번],$W91)&amp;"")</f>
        <v/>
      </c>
      <c r="T91">
        <f>IF($W91="","",INDEX(명단표[소속병원],$W91))</f>
        <v/>
      </c>
      <c r="U91">
        <f>IF($W91="","",INDEX(명단표[서울 근무일(기준월)],$W91))</f>
        <v/>
      </c>
      <c r="V91">
        <f>IF($W91="","",INDEX(명단표[구리 근무일(기준월)],$W91))</f>
        <v/>
      </c>
      <c r="W91" s="17">
        <f>IFERROR(MATCH(86,명단표[판정불가순번],0),"")</f>
        <v/>
      </c>
    </row>
    <row r="92">
      <c r="A92">
        <f>IF($P92="","",87)</f>
        <v/>
      </c>
      <c r="B92">
        <f>IF($P92="","",INDEX(명단표[이름],$P92))</f>
        <v/>
      </c>
      <c r="C92">
        <f>IF($P92="","",INDEX(명단표[사번],$P92)&amp;"")</f>
        <v/>
      </c>
      <c r="D92">
        <f>IF($P92="","",INDEX(명단표[전공의등록번호],$P92)&amp;"")</f>
        <v/>
      </c>
      <c r="E92">
        <f>IF($P92="","",INDEX(명단표[수련과목],$P92)&amp;"")</f>
        <v/>
      </c>
      <c r="F92">
        <f>IF($P92="","",INDEX(명단표[연차],$P92)&amp;"")</f>
        <v/>
      </c>
      <c r="G92">
        <f>IF($P92="","",INDEX(명단표[소속병원],$P92))</f>
        <v/>
      </c>
      <c r="H92">
        <f>IF($P92="","",IF(INDEX(명단표[소속병원],$P92)="서울병원","서울 소속","타 병원 소속("&amp;INDEX(명단표[소속병원],$P92)&amp;") → 서울 지급"))</f>
        <v/>
      </c>
      <c r="I92">
        <f>IF($P92="","",INDEX(명단표[현재 근무병원],$P92))</f>
        <v/>
      </c>
      <c r="J92">
        <f>IF($P92="","",INDEX(명단표[구리 근무 시작일(기준월)],$P92)&amp;"")</f>
        <v/>
      </c>
      <c r="K92">
        <f>IF($P92="","",INDEX(명단표[구리 근무 종료일(기준월)],$P92)&amp;"")</f>
        <v/>
      </c>
      <c r="L92">
        <f>IF($P92="","",INDEX(명단표[서울 근무일(기준월)],$P92))</f>
        <v/>
      </c>
      <c r="M92">
        <f>IF($P92="","",INDEX(명단표[구리 근무일(기준월)],$P92))</f>
        <v/>
      </c>
      <c r="N92">
        <f>IF($P92="","",INDEX(명단표[급여 판정 근거],$P92))</f>
        <v/>
      </c>
      <c r="O92">
        <f>IF($P92="","",INDEX(명단표[점검],$P92))</f>
        <v/>
      </c>
      <c r="P92" s="17">
        <f>IFERROR(MATCH(87,명단표[서울순번],0),"")</f>
        <v/>
      </c>
      <c r="R92">
        <f>IF($W92="","",INDEX(명단표[이름],$W92))</f>
        <v/>
      </c>
      <c r="S92">
        <f>IF($W92="","",INDEX(명단표[사번],$W92)&amp;"")</f>
        <v/>
      </c>
      <c r="T92">
        <f>IF($W92="","",INDEX(명단표[소속병원],$W92))</f>
        <v/>
      </c>
      <c r="U92">
        <f>IF($W92="","",INDEX(명단표[서울 근무일(기준월)],$W92))</f>
        <v/>
      </c>
      <c r="V92">
        <f>IF($W92="","",INDEX(명단표[구리 근무일(기준월)],$W92))</f>
        <v/>
      </c>
      <c r="W92" s="17">
        <f>IFERROR(MATCH(87,명단표[판정불가순번],0),"")</f>
        <v/>
      </c>
    </row>
    <row r="93">
      <c r="A93">
        <f>IF($P93="","",88)</f>
        <v/>
      </c>
      <c r="B93">
        <f>IF($P93="","",INDEX(명단표[이름],$P93))</f>
        <v/>
      </c>
      <c r="C93">
        <f>IF($P93="","",INDEX(명단표[사번],$P93)&amp;"")</f>
        <v/>
      </c>
      <c r="D93">
        <f>IF($P93="","",INDEX(명단표[전공의등록번호],$P93)&amp;"")</f>
        <v/>
      </c>
      <c r="E93">
        <f>IF($P93="","",INDEX(명단표[수련과목],$P93)&amp;"")</f>
        <v/>
      </c>
      <c r="F93">
        <f>IF($P93="","",INDEX(명단표[연차],$P93)&amp;"")</f>
        <v/>
      </c>
      <c r="G93">
        <f>IF($P93="","",INDEX(명단표[소속병원],$P93))</f>
        <v/>
      </c>
      <c r="H93">
        <f>IF($P93="","",IF(INDEX(명단표[소속병원],$P93)="서울병원","서울 소속","타 병원 소속("&amp;INDEX(명단표[소속병원],$P93)&amp;") → 서울 지급"))</f>
        <v/>
      </c>
      <c r="I93">
        <f>IF($P93="","",INDEX(명단표[현재 근무병원],$P93))</f>
        <v/>
      </c>
      <c r="J93">
        <f>IF($P93="","",INDEX(명단표[구리 근무 시작일(기준월)],$P93)&amp;"")</f>
        <v/>
      </c>
      <c r="K93">
        <f>IF($P93="","",INDEX(명단표[구리 근무 종료일(기준월)],$P93)&amp;"")</f>
        <v/>
      </c>
      <c r="L93">
        <f>IF($P93="","",INDEX(명단표[서울 근무일(기준월)],$P93))</f>
        <v/>
      </c>
      <c r="M93">
        <f>IF($P93="","",INDEX(명단표[구리 근무일(기준월)],$P93))</f>
        <v/>
      </c>
      <c r="N93">
        <f>IF($P93="","",INDEX(명단표[급여 판정 근거],$P93))</f>
        <v/>
      </c>
      <c r="O93">
        <f>IF($P93="","",INDEX(명단표[점검],$P93))</f>
        <v/>
      </c>
      <c r="P93" s="17">
        <f>IFERROR(MATCH(88,명단표[서울순번],0),"")</f>
        <v/>
      </c>
      <c r="R93">
        <f>IF($W93="","",INDEX(명단표[이름],$W93))</f>
        <v/>
      </c>
      <c r="S93">
        <f>IF($W93="","",INDEX(명단표[사번],$W93)&amp;"")</f>
        <v/>
      </c>
      <c r="T93">
        <f>IF($W93="","",INDEX(명단표[소속병원],$W93))</f>
        <v/>
      </c>
      <c r="U93">
        <f>IF($W93="","",INDEX(명단표[서울 근무일(기준월)],$W93))</f>
        <v/>
      </c>
      <c r="V93">
        <f>IF($W93="","",INDEX(명단표[구리 근무일(기준월)],$W93))</f>
        <v/>
      </c>
      <c r="W93" s="17">
        <f>IFERROR(MATCH(88,명단표[판정불가순번],0),"")</f>
        <v/>
      </c>
    </row>
    <row r="94">
      <c r="A94">
        <f>IF($P94="","",89)</f>
        <v/>
      </c>
      <c r="B94">
        <f>IF($P94="","",INDEX(명단표[이름],$P94))</f>
        <v/>
      </c>
      <c r="C94">
        <f>IF($P94="","",INDEX(명단표[사번],$P94)&amp;"")</f>
        <v/>
      </c>
      <c r="D94">
        <f>IF($P94="","",INDEX(명단표[전공의등록번호],$P94)&amp;"")</f>
        <v/>
      </c>
      <c r="E94">
        <f>IF($P94="","",INDEX(명단표[수련과목],$P94)&amp;"")</f>
        <v/>
      </c>
      <c r="F94">
        <f>IF($P94="","",INDEX(명단표[연차],$P94)&amp;"")</f>
        <v/>
      </c>
      <c r="G94">
        <f>IF($P94="","",INDEX(명단표[소속병원],$P94))</f>
        <v/>
      </c>
      <c r="H94">
        <f>IF($P94="","",IF(INDEX(명단표[소속병원],$P94)="서울병원","서울 소속","타 병원 소속("&amp;INDEX(명단표[소속병원],$P94)&amp;") → 서울 지급"))</f>
        <v/>
      </c>
      <c r="I94">
        <f>IF($P94="","",INDEX(명단표[현재 근무병원],$P94))</f>
        <v/>
      </c>
      <c r="J94">
        <f>IF($P94="","",INDEX(명단표[구리 근무 시작일(기준월)],$P94)&amp;"")</f>
        <v/>
      </c>
      <c r="K94">
        <f>IF($P94="","",INDEX(명단표[구리 근무 종료일(기준월)],$P94)&amp;"")</f>
        <v/>
      </c>
      <c r="L94">
        <f>IF($P94="","",INDEX(명단표[서울 근무일(기준월)],$P94))</f>
        <v/>
      </c>
      <c r="M94">
        <f>IF($P94="","",INDEX(명단표[구리 근무일(기준월)],$P94))</f>
        <v/>
      </c>
      <c r="N94">
        <f>IF($P94="","",INDEX(명단표[급여 판정 근거],$P94))</f>
        <v/>
      </c>
      <c r="O94">
        <f>IF($P94="","",INDEX(명단표[점검],$P94))</f>
        <v/>
      </c>
      <c r="P94" s="17">
        <f>IFERROR(MATCH(89,명단표[서울순번],0),"")</f>
        <v/>
      </c>
      <c r="R94">
        <f>IF($W94="","",INDEX(명단표[이름],$W94))</f>
        <v/>
      </c>
      <c r="S94">
        <f>IF($W94="","",INDEX(명단표[사번],$W94)&amp;"")</f>
        <v/>
      </c>
      <c r="T94">
        <f>IF($W94="","",INDEX(명단표[소속병원],$W94))</f>
        <v/>
      </c>
      <c r="U94">
        <f>IF($W94="","",INDEX(명단표[서울 근무일(기준월)],$W94))</f>
        <v/>
      </c>
      <c r="V94">
        <f>IF($W94="","",INDEX(명단표[구리 근무일(기준월)],$W94))</f>
        <v/>
      </c>
      <c r="W94" s="17">
        <f>IFERROR(MATCH(89,명단표[판정불가순번],0),"")</f>
        <v/>
      </c>
    </row>
    <row r="95">
      <c r="A95">
        <f>IF($P95="","",90)</f>
        <v/>
      </c>
      <c r="B95">
        <f>IF($P95="","",INDEX(명단표[이름],$P95))</f>
        <v/>
      </c>
      <c r="C95">
        <f>IF($P95="","",INDEX(명단표[사번],$P95)&amp;"")</f>
        <v/>
      </c>
      <c r="D95">
        <f>IF($P95="","",INDEX(명단표[전공의등록번호],$P95)&amp;"")</f>
        <v/>
      </c>
      <c r="E95">
        <f>IF($P95="","",INDEX(명단표[수련과목],$P95)&amp;"")</f>
        <v/>
      </c>
      <c r="F95">
        <f>IF($P95="","",INDEX(명단표[연차],$P95)&amp;"")</f>
        <v/>
      </c>
      <c r="G95">
        <f>IF($P95="","",INDEX(명단표[소속병원],$P95))</f>
        <v/>
      </c>
      <c r="H95">
        <f>IF($P95="","",IF(INDEX(명단표[소속병원],$P95)="서울병원","서울 소속","타 병원 소속("&amp;INDEX(명단표[소속병원],$P95)&amp;") → 서울 지급"))</f>
        <v/>
      </c>
      <c r="I95">
        <f>IF($P95="","",INDEX(명단표[현재 근무병원],$P95))</f>
        <v/>
      </c>
      <c r="J95">
        <f>IF($P95="","",INDEX(명단표[구리 근무 시작일(기준월)],$P95)&amp;"")</f>
        <v/>
      </c>
      <c r="K95">
        <f>IF($P95="","",INDEX(명단표[구리 근무 종료일(기준월)],$P95)&amp;"")</f>
        <v/>
      </c>
      <c r="L95">
        <f>IF($P95="","",INDEX(명단표[서울 근무일(기준월)],$P95))</f>
        <v/>
      </c>
      <c r="M95">
        <f>IF($P95="","",INDEX(명단표[구리 근무일(기준월)],$P95))</f>
        <v/>
      </c>
      <c r="N95">
        <f>IF($P95="","",INDEX(명단표[급여 판정 근거],$P95))</f>
        <v/>
      </c>
      <c r="O95">
        <f>IF($P95="","",INDEX(명단표[점검],$P95))</f>
        <v/>
      </c>
      <c r="P95" s="17">
        <f>IFERROR(MATCH(90,명단표[서울순번],0),"")</f>
        <v/>
      </c>
      <c r="R95">
        <f>IF($W95="","",INDEX(명단표[이름],$W95))</f>
        <v/>
      </c>
      <c r="S95">
        <f>IF($W95="","",INDEX(명단표[사번],$W95)&amp;"")</f>
        <v/>
      </c>
      <c r="T95">
        <f>IF($W95="","",INDEX(명단표[소속병원],$W95))</f>
        <v/>
      </c>
      <c r="U95">
        <f>IF($W95="","",INDEX(명단표[서울 근무일(기준월)],$W95))</f>
        <v/>
      </c>
      <c r="V95">
        <f>IF($W95="","",INDEX(명단표[구리 근무일(기준월)],$W95))</f>
        <v/>
      </c>
      <c r="W95" s="17">
        <f>IFERROR(MATCH(90,명단표[판정불가순번],0),"")</f>
        <v/>
      </c>
    </row>
    <row r="96">
      <c r="A96">
        <f>IF($P96="","",91)</f>
        <v/>
      </c>
      <c r="B96">
        <f>IF($P96="","",INDEX(명단표[이름],$P96))</f>
        <v/>
      </c>
      <c r="C96">
        <f>IF($P96="","",INDEX(명단표[사번],$P96)&amp;"")</f>
        <v/>
      </c>
      <c r="D96">
        <f>IF($P96="","",INDEX(명단표[전공의등록번호],$P96)&amp;"")</f>
        <v/>
      </c>
      <c r="E96">
        <f>IF($P96="","",INDEX(명단표[수련과목],$P96)&amp;"")</f>
        <v/>
      </c>
      <c r="F96">
        <f>IF($P96="","",INDEX(명단표[연차],$P96)&amp;"")</f>
        <v/>
      </c>
      <c r="G96">
        <f>IF($P96="","",INDEX(명단표[소속병원],$P96))</f>
        <v/>
      </c>
      <c r="H96">
        <f>IF($P96="","",IF(INDEX(명단표[소속병원],$P96)="서울병원","서울 소속","타 병원 소속("&amp;INDEX(명단표[소속병원],$P96)&amp;") → 서울 지급"))</f>
        <v/>
      </c>
      <c r="I96">
        <f>IF($P96="","",INDEX(명단표[현재 근무병원],$P96))</f>
        <v/>
      </c>
      <c r="J96">
        <f>IF($P96="","",INDEX(명단표[구리 근무 시작일(기준월)],$P96)&amp;"")</f>
        <v/>
      </c>
      <c r="K96">
        <f>IF($P96="","",INDEX(명단표[구리 근무 종료일(기준월)],$P96)&amp;"")</f>
        <v/>
      </c>
      <c r="L96">
        <f>IF($P96="","",INDEX(명단표[서울 근무일(기준월)],$P96))</f>
        <v/>
      </c>
      <c r="M96">
        <f>IF($P96="","",INDEX(명단표[구리 근무일(기준월)],$P96))</f>
        <v/>
      </c>
      <c r="N96">
        <f>IF($P96="","",INDEX(명단표[급여 판정 근거],$P96))</f>
        <v/>
      </c>
      <c r="O96">
        <f>IF($P96="","",INDEX(명단표[점검],$P96))</f>
        <v/>
      </c>
      <c r="P96" s="17">
        <f>IFERROR(MATCH(91,명단표[서울순번],0),"")</f>
        <v/>
      </c>
      <c r="R96">
        <f>IF($W96="","",INDEX(명단표[이름],$W96))</f>
        <v/>
      </c>
      <c r="S96">
        <f>IF($W96="","",INDEX(명단표[사번],$W96)&amp;"")</f>
        <v/>
      </c>
      <c r="T96">
        <f>IF($W96="","",INDEX(명단표[소속병원],$W96))</f>
        <v/>
      </c>
      <c r="U96">
        <f>IF($W96="","",INDEX(명단표[서울 근무일(기준월)],$W96))</f>
        <v/>
      </c>
      <c r="V96">
        <f>IF($W96="","",INDEX(명단표[구리 근무일(기준월)],$W96))</f>
        <v/>
      </c>
      <c r="W96" s="17">
        <f>IFERROR(MATCH(91,명단표[판정불가순번],0),"")</f>
        <v/>
      </c>
    </row>
    <row r="97">
      <c r="A97">
        <f>IF($P97="","",92)</f>
        <v/>
      </c>
      <c r="B97">
        <f>IF($P97="","",INDEX(명단표[이름],$P97))</f>
        <v/>
      </c>
      <c r="C97">
        <f>IF($P97="","",INDEX(명단표[사번],$P97)&amp;"")</f>
        <v/>
      </c>
      <c r="D97">
        <f>IF($P97="","",INDEX(명단표[전공의등록번호],$P97)&amp;"")</f>
        <v/>
      </c>
      <c r="E97">
        <f>IF($P97="","",INDEX(명단표[수련과목],$P97)&amp;"")</f>
        <v/>
      </c>
      <c r="F97">
        <f>IF($P97="","",INDEX(명단표[연차],$P97)&amp;"")</f>
        <v/>
      </c>
      <c r="G97">
        <f>IF($P97="","",INDEX(명단표[소속병원],$P97))</f>
        <v/>
      </c>
      <c r="H97">
        <f>IF($P97="","",IF(INDEX(명단표[소속병원],$P97)="서울병원","서울 소속","타 병원 소속("&amp;INDEX(명단표[소속병원],$P97)&amp;") → 서울 지급"))</f>
        <v/>
      </c>
      <c r="I97">
        <f>IF($P97="","",INDEX(명단표[현재 근무병원],$P97))</f>
        <v/>
      </c>
      <c r="J97">
        <f>IF($P97="","",INDEX(명단표[구리 근무 시작일(기준월)],$P97)&amp;"")</f>
        <v/>
      </c>
      <c r="K97">
        <f>IF($P97="","",INDEX(명단표[구리 근무 종료일(기준월)],$P97)&amp;"")</f>
        <v/>
      </c>
      <c r="L97">
        <f>IF($P97="","",INDEX(명단표[서울 근무일(기준월)],$P97))</f>
        <v/>
      </c>
      <c r="M97">
        <f>IF($P97="","",INDEX(명단표[구리 근무일(기준월)],$P97))</f>
        <v/>
      </c>
      <c r="N97">
        <f>IF($P97="","",INDEX(명단표[급여 판정 근거],$P97))</f>
        <v/>
      </c>
      <c r="O97">
        <f>IF($P97="","",INDEX(명단표[점검],$P97))</f>
        <v/>
      </c>
      <c r="P97" s="17">
        <f>IFERROR(MATCH(92,명단표[서울순번],0),"")</f>
        <v/>
      </c>
      <c r="R97">
        <f>IF($W97="","",INDEX(명단표[이름],$W97))</f>
        <v/>
      </c>
      <c r="S97">
        <f>IF($W97="","",INDEX(명단표[사번],$W97)&amp;"")</f>
        <v/>
      </c>
      <c r="T97">
        <f>IF($W97="","",INDEX(명단표[소속병원],$W97))</f>
        <v/>
      </c>
      <c r="U97">
        <f>IF($W97="","",INDEX(명단표[서울 근무일(기준월)],$W97))</f>
        <v/>
      </c>
      <c r="V97">
        <f>IF($W97="","",INDEX(명단표[구리 근무일(기준월)],$W97))</f>
        <v/>
      </c>
      <c r="W97" s="17">
        <f>IFERROR(MATCH(92,명단표[판정불가순번],0),"")</f>
        <v/>
      </c>
    </row>
    <row r="98">
      <c r="A98">
        <f>IF($P98="","",93)</f>
        <v/>
      </c>
      <c r="B98">
        <f>IF($P98="","",INDEX(명단표[이름],$P98))</f>
        <v/>
      </c>
      <c r="C98">
        <f>IF($P98="","",INDEX(명단표[사번],$P98)&amp;"")</f>
        <v/>
      </c>
      <c r="D98">
        <f>IF($P98="","",INDEX(명단표[전공의등록번호],$P98)&amp;"")</f>
        <v/>
      </c>
      <c r="E98">
        <f>IF($P98="","",INDEX(명단표[수련과목],$P98)&amp;"")</f>
        <v/>
      </c>
      <c r="F98">
        <f>IF($P98="","",INDEX(명단표[연차],$P98)&amp;"")</f>
        <v/>
      </c>
      <c r="G98">
        <f>IF($P98="","",INDEX(명단표[소속병원],$P98))</f>
        <v/>
      </c>
      <c r="H98">
        <f>IF($P98="","",IF(INDEX(명단표[소속병원],$P98)="서울병원","서울 소속","타 병원 소속("&amp;INDEX(명단표[소속병원],$P98)&amp;") → 서울 지급"))</f>
        <v/>
      </c>
      <c r="I98">
        <f>IF($P98="","",INDEX(명단표[현재 근무병원],$P98))</f>
        <v/>
      </c>
      <c r="J98">
        <f>IF($P98="","",INDEX(명단표[구리 근무 시작일(기준월)],$P98)&amp;"")</f>
        <v/>
      </c>
      <c r="K98">
        <f>IF($P98="","",INDEX(명단표[구리 근무 종료일(기준월)],$P98)&amp;"")</f>
        <v/>
      </c>
      <c r="L98">
        <f>IF($P98="","",INDEX(명단표[서울 근무일(기준월)],$P98))</f>
        <v/>
      </c>
      <c r="M98">
        <f>IF($P98="","",INDEX(명단표[구리 근무일(기준월)],$P98))</f>
        <v/>
      </c>
      <c r="N98">
        <f>IF($P98="","",INDEX(명단표[급여 판정 근거],$P98))</f>
        <v/>
      </c>
      <c r="O98">
        <f>IF($P98="","",INDEX(명단표[점검],$P98))</f>
        <v/>
      </c>
      <c r="P98" s="17">
        <f>IFERROR(MATCH(93,명단표[서울순번],0),"")</f>
        <v/>
      </c>
      <c r="R98">
        <f>IF($W98="","",INDEX(명단표[이름],$W98))</f>
        <v/>
      </c>
      <c r="S98">
        <f>IF($W98="","",INDEX(명단표[사번],$W98)&amp;"")</f>
        <v/>
      </c>
      <c r="T98">
        <f>IF($W98="","",INDEX(명단표[소속병원],$W98))</f>
        <v/>
      </c>
      <c r="U98">
        <f>IF($W98="","",INDEX(명단표[서울 근무일(기준월)],$W98))</f>
        <v/>
      </c>
      <c r="V98">
        <f>IF($W98="","",INDEX(명단표[구리 근무일(기준월)],$W98))</f>
        <v/>
      </c>
      <c r="W98" s="17">
        <f>IFERROR(MATCH(93,명단표[판정불가순번],0),"")</f>
        <v/>
      </c>
    </row>
    <row r="99">
      <c r="A99">
        <f>IF($P99="","",94)</f>
        <v/>
      </c>
      <c r="B99">
        <f>IF($P99="","",INDEX(명단표[이름],$P99))</f>
        <v/>
      </c>
      <c r="C99">
        <f>IF($P99="","",INDEX(명단표[사번],$P99)&amp;"")</f>
        <v/>
      </c>
      <c r="D99">
        <f>IF($P99="","",INDEX(명단표[전공의등록번호],$P99)&amp;"")</f>
        <v/>
      </c>
      <c r="E99">
        <f>IF($P99="","",INDEX(명단표[수련과목],$P99)&amp;"")</f>
        <v/>
      </c>
      <c r="F99">
        <f>IF($P99="","",INDEX(명단표[연차],$P99)&amp;"")</f>
        <v/>
      </c>
      <c r="G99">
        <f>IF($P99="","",INDEX(명단표[소속병원],$P99))</f>
        <v/>
      </c>
      <c r="H99">
        <f>IF($P99="","",IF(INDEX(명단표[소속병원],$P99)="서울병원","서울 소속","타 병원 소속("&amp;INDEX(명단표[소속병원],$P99)&amp;") → 서울 지급"))</f>
        <v/>
      </c>
      <c r="I99">
        <f>IF($P99="","",INDEX(명단표[현재 근무병원],$P99))</f>
        <v/>
      </c>
      <c r="J99">
        <f>IF($P99="","",INDEX(명단표[구리 근무 시작일(기준월)],$P99)&amp;"")</f>
        <v/>
      </c>
      <c r="K99">
        <f>IF($P99="","",INDEX(명단표[구리 근무 종료일(기준월)],$P99)&amp;"")</f>
        <v/>
      </c>
      <c r="L99">
        <f>IF($P99="","",INDEX(명단표[서울 근무일(기준월)],$P99))</f>
        <v/>
      </c>
      <c r="M99">
        <f>IF($P99="","",INDEX(명단표[구리 근무일(기준월)],$P99))</f>
        <v/>
      </c>
      <c r="N99">
        <f>IF($P99="","",INDEX(명단표[급여 판정 근거],$P99))</f>
        <v/>
      </c>
      <c r="O99">
        <f>IF($P99="","",INDEX(명단표[점검],$P99))</f>
        <v/>
      </c>
      <c r="P99" s="17">
        <f>IFERROR(MATCH(94,명단표[서울순번],0),"")</f>
        <v/>
      </c>
      <c r="R99">
        <f>IF($W99="","",INDEX(명단표[이름],$W99))</f>
        <v/>
      </c>
      <c r="S99">
        <f>IF($W99="","",INDEX(명단표[사번],$W99)&amp;"")</f>
        <v/>
      </c>
      <c r="T99">
        <f>IF($W99="","",INDEX(명단표[소속병원],$W99))</f>
        <v/>
      </c>
      <c r="U99">
        <f>IF($W99="","",INDEX(명단표[서울 근무일(기준월)],$W99))</f>
        <v/>
      </c>
      <c r="V99">
        <f>IF($W99="","",INDEX(명단표[구리 근무일(기준월)],$W99))</f>
        <v/>
      </c>
      <c r="W99" s="17">
        <f>IFERROR(MATCH(94,명단표[판정불가순번],0),"")</f>
        <v/>
      </c>
    </row>
    <row r="100">
      <c r="A100">
        <f>IF($P100="","",95)</f>
        <v/>
      </c>
      <c r="B100">
        <f>IF($P100="","",INDEX(명단표[이름],$P100))</f>
        <v/>
      </c>
      <c r="C100">
        <f>IF($P100="","",INDEX(명단표[사번],$P100)&amp;"")</f>
        <v/>
      </c>
      <c r="D100">
        <f>IF($P100="","",INDEX(명단표[전공의등록번호],$P100)&amp;"")</f>
        <v/>
      </c>
      <c r="E100">
        <f>IF($P100="","",INDEX(명단표[수련과목],$P100)&amp;"")</f>
        <v/>
      </c>
      <c r="F100">
        <f>IF($P100="","",INDEX(명단표[연차],$P100)&amp;"")</f>
        <v/>
      </c>
      <c r="G100">
        <f>IF($P100="","",INDEX(명단표[소속병원],$P100))</f>
        <v/>
      </c>
      <c r="H100">
        <f>IF($P100="","",IF(INDEX(명단표[소속병원],$P100)="서울병원","서울 소속","타 병원 소속("&amp;INDEX(명단표[소속병원],$P100)&amp;") → 서울 지급"))</f>
        <v/>
      </c>
      <c r="I100">
        <f>IF($P100="","",INDEX(명단표[현재 근무병원],$P100))</f>
        <v/>
      </c>
      <c r="J100">
        <f>IF($P100="","",INDEX(명단표[구리 근무 시작일(기준월)],$P100)&amp;"")</f>
        <v/>
      </c>
      <c r="K100">
        <f>IF($P100="","",INDEX(명단표[구리 근무 종료일(기준월)],$P100)&amp;"")</f>
        <v/>
      </c>
      <c r="L100">
        <f>IF($P100="","",INDEX(명단표[서울 근무일(기준월)],$P100))</f>
        <v/>
      </c>
      <c r="M100">
        <f>IF($P100="","",INDEX(명단표[구리 근무일(기준월)],$P100))</f>
        <v/>
      </c>
      <c r="N100">
        <f>IF($P100="","",INDEX(명단표[급여 판정 근거],$P100))</f>
        <v/>
      </c>
      <c r="O100">
        <f>IF($P100="","",INDEX(명단표[점검],$P100))</f>
        <v/>
      </c>
      <c r="P100" s="17">
        <f>IFERROR(MATCH(95,명단표[서울순번],0),"")</f>
        <v/>
      </c>
      <c r="R100">
        <f>IF($W100="","",INDEX(명단표[이름],$W100))</f>
        <v/>
      </c>
      <c r="S100">
        <f>IF($W100="","",INDEX(명단표[사번],$W100)&amp;"")</f>
        <v/>
      </c>
      <c r="T100">
        <f>IF($W100="","",INDEX(명단표[소속병원],$W100))</f>
        <v/>
      </c>
      <c r="U100">
        <f>IF($W100="","",INDEX(명단표[서울 근무일(기준월)],$W100))</f>
        <v/>
      </c>
      <c r="V100">
        <f>IF($W100="","",INDEX(명단표[구리 근무일(기준월)],$W100))</f>
        <v/>
      </c>
      <c r="W100" s="17">
        <f>IFERROR(MATCH(95,명단표[판정불가순번],0),"")</f>
        <v/>
      </c>
    </row>
    <row r="101">
      <c r="A101">
        <f>IF($P101="","",96)</f>
        <v/>
      </c>
      <c r="B101">
        <f>IF($P101="","",INDEX(명단표[이름],$P101))</f>
        <v/>
      </c>
      <c r="C101">
        <f>IF($P101="","",INDEX(명단표[사번],$P101)&amp;"")</f>
        <v/>
      </c>
      <c r="D101">
        <f>IF($P101="","",INDEX(명단표[전공의등록번호],$P101)&amp;"")</f>
        <v/>
      </c>
      <c r="E101">
        <f>IF($P101="","",INDEX(명단표[수련과목],$P101)&amp;"")</f>
        <v/>
      </c>
      <c r="F101">
        <f>IF($P101="","",INDEX(명단표[연차],$P101)&amp;"")</f>
        <v/>
      </c>
      <c r="G101">
        <f>IF($P101="","",INDEX(명단표[소속병원],$P101))</f>
        <v/>
      </c>
      <c r="H101">
        <f>IF($P101="","",IF(INDEX(명단표[소속병원],$P101)="서울병원","서울 소속","타 병원 소속("&amp;INDEX(명단표[소속병원],$P101)&amp;") → 서울 지급"))</f>
        <v/>
      </c>
      <c r="I101">
        <f>IF($P101="","",INDEX(명단표[현재 근무병원],$P101))</f>
        <v/>
      </c>
      <c r="J101">
        <f>IF($P101="","",INDEX(명단표[구리 근무 시작일(기준월)],$P101)&amp;"")</f>
        <v/>
      </c>
      <c r="K101">
        <f>IF($P101="","",INDEX(명단표[구리 근무 종료일(기준월)],$P101)&amp;"")</f>
        <v/>
      </c>
      <c r="L101">
        <f>IF($P101="","",INDEX(명단표[서울 근무일(기준월)],$P101))</f>
        <v/>
      </c>
      <c r="M101">
        <f>IF($P101="","",INDEX(명단표[구리 근무일(기준월)],$P101))</f>
        <v/>
      </c>
      <c r="N101">
        <f>IF($P101="","",INDEX(명단표[급여 판정 근거],$P101))</f>
        <v/>
      </c>
      <c r="O101">
        <f>IF($P101="","",INDEX(명단표[점검],$P101))</f>
        <v/>
      </c>
      <c r="P101" s="17">
        <f>IFERROR(MATCH(96,명단표[서울순번],0),"")</f>
        <v/>
      </c>
      <c r="R101">
        <f>IF($W101="","",INDEX(명단표[이름],$W101))</f>
        <v/>
      </c>
      <c r="S101">
        <f>IF($W101="","",INDEX(명단표[사번],$W101)&amp;"")</f>
        <v/>
      </c>
      <c r="T101">
        <f>IF($W101="","",INDEX(명단표[소속병원],$W101))</f>
        <v/>
      </c>
      <c r="U101">
        <f>IF($W101="","",INDEX(명단표[서울 근무일(기준월)],$W101))</f>
        <v/>
      </c>
      <c r="V101">
        <f>IF($W101="","",INDEX(명단표[구리 근무일(기준월)],$W101))</f>
        <v/>
      </c>
      <c r="W101" s="17">
        <f>IFERROR(MATCH(96,명단표[판정불가순번],0),"")</f>
        <v/>
      </c>
    </row>
    <row r="102">
      <c r="A102">
        <f>IF($P102="","",97)</f>
        <v/>
      </c>
      <c r="B102">
        <f>IF($P102="","",INDEX(명단표[이름],$P102))</f>
        <v/>
      </c>
      <c r="C102">
        <f>IF($P102="","",INDEX(명단표[사번],$P102)&amp;"")</f>
        <v/>
      </c>
      <c r="D102">
        <f>IF($P102="","",INDEX(명단표[전공의등록번호],$P102)&amp;"")</f>
        <v/>
      </c>
      <c r="E102">
        <f>IF($P102="","",INDEX(명단표[수련과목],$P102)&amp;"")</f>
        <v/>
      </c>
      <c r="F102">
        <f>IF($P102="","",INDEX(명단표[연차],$P102)&amp;"")</f>
        <v/>
      </c>
      <c r="G102">
        <f>IF($P102="","",INDEX(명단표[소속병원],$P102))</f>
        <v/>
      </c>
      <c r="H102">
        <f>IF($P102="","",IF(INDEX(명단표[소속병원],$P102)="서울병원","서울 소속","타 병원 소속("&amp;INDEX(명단표[소속병원],$P102)&amp;") → 서울 지급"))</f>
        <v/>
      </c>
      <c r="I102">
        <f>IF($P102="","",INDEX(명단표[현재 근무병원],$P102))</f>
        <v/>
      </c>
      <c r="J102">
        <f>IF($P102="","",INDEX(명단표[구리 근무 시작일(기준월)],$P102)&amp;"")</f>
        <v/>
      </c>
      <c r="K102">
        <f>IF($P102="","",INDEX(명단표[구리 근무 종료일(기준월)],$P102)&amp;"")</f>
        <v/>
      </c>
      <c r="L102">
        <f>IF($P102="","",INDEX(명단표[서울 근무일(기준월)],$P102))</f>
        <v/>
      </c>
      <c r="M102">
        <f>IF($P102="","",INDEX(명단표[구리 근무일(기준월)],$P102))</f>
        <v/>
      </c>
      <c r="N102">
        <f>IF($P102="","",INDEX(명단표[급여 판정 근거],$P102))</f>
        <v/>
      </c>
      <c r="O102">
        <f>IF($P102="","",INDEX(명단표[점검],$P102))</f>
        <v/>
      </c>
      <c r="P102" s="17">
        <f>IFERROR(MATCH(97,명단표[서울순번],0),"")</f>
        <v/>
      </c>
      <c r="R102">
        <f>IF($W102="","",INDEX(명단표[이름],$W102))</f>
        <v/>
      </c>
      <c r="S102">
        <f>IF($W102="","",INDEX(명단표[사번],$W102)&amp;"")</f>
        <v/>
      </c>
      <c r="T102">
        <f>IF($W102="","",INDEX(명단표[소속병원],$W102))</f>
        <v/>
      </c>
      <c r="U102">
        <f>IF($W102="","",INDEX(명단표[서울 근무일(기준월)],$W102))</f>
        <v/>
      </c>
      <c r="V102">
        <f>IF($W102="","",INDEX(명단표[구리 근무일(기준월)],$W102))</f>
        <v/>
      </c>
      <c r="W102" s="17">
        <f>IFERROR(MATCH(97,명단표[판정불가순번],0),"")</f>
        <v/>
      </c>
    </row>
    <row r="103">
      <c r="A103">
        <f>IF($P103="","",98)</f>
        <v/>
      </c>
      <c r="B103">
        <f>IF($P103="","",INDEX(명단표[이름],$P103))</f>
        <v/>
      </c>
      <c r="C103">
        <f>IF($P103="","",INDEX(명단표[사번],$P103)&amp;"")</f>
        <v/>
      </c>
      <c r="D103">
        <f>IF($P103="","",INDEX(명단표[전공의등록번호],$P103)&amp;"")</f>
        <v/>
      </c>
      <c r="E103">
        <f>IF($P103="","",INDEX(명단표[수련과목],$P103)&amp;"")</f>
        <v/>
      </c>
      <c r="F103">
        <f>IF($P103="","",INDEX(명단표[연차],$P103)&amp;"")</f>
        <v/>
      </c>
      <c r="G103">
        <f>IF($P103="","",INDEX(명단표[소속병원],$P103))</f>
        <v/>
      </c>
      <c r="H103">
        <f>IF($P103="","",IF(INDEX(명단표[소속병원],$P103)="서울병원","서울 소속","타 병원 소속("&amp;INDEX(명단표[소속병원],$P103)&amp;") → 서울 지급"))</f>
        <v/>
      </c>
      <c r="I103">
        <f>IF($P103="","",INDEX(명단표[현재 근무병원],$P103))</f>
        <v/>
      </c>
      <c r="J103">
        <f>IF($P103="","",INDEX(명단표[구리 근무 시작일(기준월)],$P103)&amp;"")</f>
        <v/>
      </c>
      <c r="K103">
        <f>IF($P103="","",INDEX(명단표[구리 근무 종료일(기준월)],$P103)&amp;"")</f>
        <v/>
      </c>
      <c r="L103">
        <f>IF($P103="","",INDEX(명단표[서울 근무일(기준월)],$P103))</f>
        <v/>
      </c>
      <c r="M103">
        <f>IF($P103="","",INDEX(명단표[구리 근무일(기준월)],$P103))</f>
        <v/>
      </c>
      <c r="N103">
        <f>IF($P103="","",INDEX(명단표[급여 판정 근거],$P103))</f>
        <v/>
      </c>
      <c r="O103">
        <f>IF($P103="","",INDEX(명단표[점검],$P103))</f>
        <v/>
      </c>
      <c r="P103" s="17">
        <f>IFERROR(MATCH(98,명단표[서울순번],0),"")</f>
        <v/>
      </c>
      <c r="R103">
        <f>IF($W103="","",INDEX(명단표[이름],$W103))</f>
        <v/>
      </c>
      <c r="S103">
        <f>IF($W103="","",INDEX(명단표[사번],$W103)&amp;"")</f>
        <v/>
      </c>
      <c r="T103">
        <f>IF($W103="","",INDEX(명단표[소속병원],$W103))</f>
        <v/>
      </c>
      <c r="U103">
        <f>IF($W103="","",INDEX(명단표[서울 근무일(기준월)],$W103))</f>
        <v/>
      </c>
      <c r="V103">
        <f>IF($W103="","",INDEX(명단표[구리 근무일(기준월)],$W103))</f>
        <v/>
      </c>
      <c r="W103" s="17">
        <f>IFERROR(MATCH(98,명단표[판정불가순번],0),"")</f>
        <v/>
      </c>
    </row>
    <row r="104">
      <c r="A104">
        <f>IF($P104="","",99)</f>
        <v/>
      </c>
      <c r="B104">
        <f>IF($P104="","",INDEX(명단표[이름],$P104))</f>
        <v/>
      </c>
      <c r="C104">
        <f>IF($P104="","",INDEX(명단표[사번],$P104)&amp;"")</f>
        <v/>
      </c>
      <c r="D104">
        <f>IF($P104="","",INDEX(명단표[전공의등록번호],$P104)&amp;"")</f>
        <v/>
      </c>
      <c r="E104">
        <f>IF($P104="","",INDEX(명단표[수련과목],$P104)&amp;"")</f>
        <v/>
      </c>
      <c r="F104">
        <f>IF($P104="","",INDEX(명단표[연차],$P104)&amp;"")</f>
        <v/>
      </c>
      <c r="G104">
        <f>IF($P104="","",INDEX(명단표[소속병원],$P104))</f>
        <v/>
      </c>
      <c r="H104">
        <f>IF($P104="","",IF(INDEX(명단표[소속병원],$P104)="서울병원","서울 소속","타 병원 소속("&amp;INDEX(명단표[소속병원],$P104)&amp;") → 서울 지급"))</f>
        <v/>
      </c>
      <c r="I104">
        <f>IF($P104="","",INDEX(명단표[현재 근무병원],$P104))</f>
        <v/>
      </c>
      <c r="J104">
        <f>IF($P104="","",INDEX(명단표[구리 근무 시작일(기준월)],$P104)&amp;"")</f>
        <v/>
      </c>
      <c r="K104">
        <f>IF($P104="","",INDEX(명단표[구리 근무 종료일(기준월)],$P104)&amp;"")</f>
        <v/>
      </c>
      <c r="L104">
        <f>IF($P104="","",INDEX(명단표[서울 근무일(기준월)],$P104))</f>
        <v/>
      </c>
      <c r="M104">
        <f>IF($P104="","",INDEX(명단표[구리 근무일(기준월)],$P104))</f>
        <v/>
      </c>
      <c r="N104">
        <f>IF($P104="","",INDEX(명단표[급여 판정 근거],$P104))</f>
        <v/>
      </c>
      <c r="O104">
        <f>IF($P104="","",INDEX(명단표[점검],$P104))</f>
        <v/>
      </c>
      <c r="P104" s="17">
        <f>IFERROR(MATCH(99,명단표[서울순번],0),"")</f>
        <v/>
      </c>
      <c r="R104">
        <f>IF($W104="","",INDEX(명단표[이름],$W104))</f>
        <v/>
      </c>
      <c r="S104">
        <f>IF($W104="","",INDEX(명단표[사번],$W104)&amp;"")</f>
        <v/>
      </c>
      <c r="T104">
        <f>IF($W104="","",INDEX(명단표[소속병원],$W104))</f>
        <v/>
      </c>
      <c r="U104">
        <f>IF($W104="","",INDEX(명단표[서울 근무일(기준월)],$W104))</f>
        <v/>
      </c>
      <c r="V104">
        <f>IF($W104="","",INDEX(명단표[구리 근무일(기준월)],$W104))</f>
        <v/>
      </c>
      <c r="W104" s="17">
        <f>IFERROR(MATCH(99,명단표[판정불가순번],0),"")</f>
        <v/>
      </c>
    </row>
    <row r="105">
      <c r="A105">
        <f>IF($P105="","",100)</f>
        <v/>
      </c>
      <c r="B105">
        <f>IF($P105="","",INDEX(명단표[이름],$P105))</f>
        <v/>
      </c>
      <c r="C105">
        <f>IF($P105="","",INDEX(명단표[사번],$P105)&amp;"")</f>
        <v/>
      </c>
      <c r="D105">
        <f>IF($P105="","",INDEX(명단표[전공의등록번호],$P105)&amp;"")</f>
        <v/>
      </c>
      <c r="E105">
        <f>IF($P105="","",INDEX(명단표[수련과목],$P105)&amp;"")</f>
        <v/>
      </c>
      <c r="F105">
        <f>IF($P105="","",INDEX(명단표[연차],$P105)&amp;"")</f>
        <v/>
      </c>
      <c r="G105">
        <f>IF($P105="","",INDEX(명단표[소속병원],$P105))</f>
        <v/>
      </c>
      <c r="H105">
        <f>IF($P105="","",IF(INDEX(명단표[소속병원],$P105)="서울병원","서울 소속","타 병원 소속("&amp;INDEX(명단표[소속병원],$P105)&amp;") → 서울 지급"))</f>
        <v/>
      </c>
      <c r="I105">
        <f>IF($P105="","",INDEX(명단표[현재 근무병원],$P105))</f>
        <v/>
      </c>
      <c r="J105">
        <f>IF($P105="","",INDEX(명단표[구리 근무 시작일(기준월)],$P105)&amp;"")</f>
        <v/>
      </c>
      <c r="K105">
        <f>IF($P105="","",INDEX(명단표[구리 근무 종료일(기준월)],$P105)&amp;"")</f>
        <v/>
      </c>
      <c r="L105">
        <f>IF($P105="","",INDEX(명단표[서울 근무일(기준월)],$P105))</f>
        <v/>
      </c>
      <c r="M105">
        <f>IF($P105="","",INDEX(명단표[구리 근무일(기준월)],$P105))</f>
        <v/>
      </c>
      <c r="N105">
        <f>IF($P105="","",INDEX(명단표[급여 판정 근거],$P105))</f>
        <v/>
      </c>
      <c r="O105">
        <f>IF($P105="","",INDEX(명단표[점검],$P105))</f>
        <v/>
      </c>
      <c r="P105" s="17">
        <f>IFERROR(MATCH(100,명단표[서울순번],0),"")</f>
        <v/>
      </c>
      <c r="R105">
        <f>IF($W105="","",INDEX(명단표[이름],$W105))</f>
        <v/>
      </c>
      <c r="S105">
        <f>IF($W105="","",INDEX(명단표[사번],$W105)&amp;"")</f>
        <v/>
      </c>
      <c r="T105">
        <f>IF($W105="","",INDEX(명단표[소속병원],$W105))</f>
        <v/>
      </c>
      <c r="U105">
        <f>IF($W105="","",INDEX(명단표[서울 근무일(기준월)],$W105))</f>
        <v/>
      </c>
      <c r="V105">
        <f>IF($W105="","",INDEX(명단표[구리 근무일(기준월)],$W105))</f>
        <v/>
      </c>
      <c r="W105" s="17">
        <f>IFERROR(MATCH(100,명단표[판정불가순번],0),"")</f>
        <v/>
      </c>
    </row>
    <row r="106">
      <c r="A106">
        <f>IF($P106="","",101)</f>
        <v/>
      </c>
      <c r="B106">
        <f>IF($P106="","",INDEX(명단표[이름],$P106))</f>
        <v/>
      </c>
      <c r="C106">
        <f>IF($P106="","",INDEX(명단표[사번],$P106)&amp;"")</f>
        <v/>
      </c>
      <c r="D106">
        <f>IF($P106="","",INDEX(명단표[전공의등록번호],$P106)&amp;"")</f>
        <v/>
      </c>
      <c r="E106">
        <f>IF($P106="","",INDEX(명단표[수련과목],$P106)&amp;"")</f>
        <v/>
      </c>
      <c r="F106">
        <f>IF($P106="","",INDEX(명단표[연차],$P106)&amp;"")</f>
        <v/>
      </c>
      <c r="G106">
        <f>IF($P106="","",INDEX(명단표[소속병원],$P106))</f>
        <v/>
      </c>
      <c r="H106">
        <f>IF($P106="","",IF(INDEX(명단표[소속병원],$P106)="서울병원","서울 소속","타 병원 소속("&amp;INDEX(명단표[소속병원],$P106)&amp;") → 서울 지급"))</f>
        <v/>
      </c>
      <c r="I106">
        <f>IF($P106="","",INDEX(명단표[현재 근무병원],$P106))</f>
        <v/>
      </c>
      <c r="J106">
        <f>IF($P106="","",INDEX(명단표[구리 근무 시작일(기준월)],$P106)&amp;"")</f>
        <v/>
      </c>
      <c r="K106">
        <f>IF($P106="","",INDEX(명단표[구리 근무 종료일(기준월)],$P106)&amp;"")</f>
        <v/>
      </c>
      <c r="L106">
        <f>IF($P106="","",INDEX(명단표[서울 근무일(기준월)],$P106))</f>
        <v/>
      </c>
      <c r="M106">
        <f>IF($P106="","",INDEX(명단표[구리 근무일(기준월)],$P106))</f>
        <v/>
      </c>
      <c r="N106">
        <f>IF($P106="","",INDEX(명단표[급여 판정 근거],$P106))</f>
        <v/>
      </c>
      <c r="O106">
        <f>IF($P106="","",INDEX(명단표[점검],$P106))</f>
        <v/>
      </c>
      <c r="P106" s="17">
        <f>IFERROR(MATCH(101,명단표[서울순번],0),"")</f>
        <v/>
      </c>
      <c r="R106">
        <f>IF($W106="","",INDEX(명단표[이름],$W106))</f>
        <v/>
      </c>
      <c r="S106">
        <f>IF($W106="","",INDEX(명단표[사번],$W106)&amp;"")</f>
        <v/>
      </c>
      <c r="T106">
        <f>IF($W106="","",INDEX(명단표[소속병원],$W106))</f>
        <v/>
      </c>
      <c r="U106">
        <f>IF($W106="","",INDEX(명단표[서울 근무일(기준월)],$W106))</f>
        <v/>
      </c>
      <c r="V106">
        <f>IF($W106="","",INDEX(명단표[구리 근무일(기준월)],$W106))</f>
        <v/>
      </c>
      <c r="W106" s="17">
        <f>IFERROR(MATCH(101,명단표[판정불가순번],0),"")</f>
        <v/>
      </c>
    </row>
    <row r="107">
      <c r="A107">
        <f>IF($P107="","",102)</f>
        <v/>
      </c>
      <c r="B107">
        <f>IF($P107="","",INDEX(명단표[이름],$P107))</f>
        <v/>
      </c>
      <c r="C107">
        <f>IF($P107="","",INDEX(명단표[사번],$P107)&amp;"")</f>
        <v/>
      </c>
      <c r="D107">
        <f>IF($P107="","",INDEX(명단표[전공의등록번호],$P107)&amp;"")</f>
        <v/>
      </c>
      <c r="E107">
        <f>IF($P107="","",INDEX(명단표[수련과목],$P107)&amp;"")</f>
        <v/>
      </c>
      <c r="F107">
        <f>IF($P107="","",INDEX(명단표[연차],$P107)&amp;"")</f>
        <v/>
      </c>
      <c r="G107">
        <f>IF($P107="","",INDEX(명단표[소속병원],$P107))</f>
        <v/>
      </c>
      <c r="H107">
        <f>IF($P107="","",IF(INDEX(명단표[소속병원],$P107)="서울병원","서울 소속","타 병원 소속("&amp;INDEX(명단표[소속병원],$P107)&amp;") → 서울 지급"))</f>
        <v/>
      </c>
      <c r="I107">
        <f>IF($P107="","",INDEX(명단표[현재 근무병원],$P107))</f>
        <v/>
      </c>
      <c r="J107">
        <f>IF($P107="","",INDEX(명단표[구리 근무 시작일(기준월)],$P107)&amp;"")</f>
        <v/>
      </c>
      <c r="K107">
        <f>IF($P107="","",INDEX(명단표[구리 근무 종료일(기준월)],$P107)&amp;"")</f>
        <v/>
      </c>
      <c r="L107">
        <f>IF($P107="","",INDEX(명단표[서울 근무일(기준월)],$P107))</f>
        <v/>
      </c>
      <c r="M107">
        <f>IF($P107="","",INDEX(명단표[구리 근무일(기준월)],$P107))</f>
        <v/>
      </c>
      <c r="N107">
        <f>IF($P107="","",INDEX(명단표[급여 판정 근거],$P107))</f>
        <v/>
      </c>
      <c r="O107">
        <f>IF($P107="","",INDEX(명단표[점검],$P107))</f>
        <v/>
      </c>
      <c r="P107" s="17">
        <f>IFERROR(MATCH(102,명단표[서울순번],0),"")</f>
        <v/>
      </c>
      <c r="R107">
        <f>IF($W107="","",INDEX(명단표[이름],$W107))</f>
        <v/>
      </c>
      <c r="S107">
        <f>IF($W107="","",INDEX(명단표[사번],$W107)&amp;"")</f>
        <v/>
      </c>
      <c r="T107">
        <f>IF($W107="","",INDEX(명단표[소속병원],$W107))</f>
        <v/>
      </c>
      <c r="U107">
        <f>IF($W107="","",INDEX(명단표[서울 근무일(기준월)],$W107))</f>
        <v/>
      </c>
      <c r="V107">
        <f>IF($W107="","",INDEX(명단표[구리 근무일(기준월)],$W107))</f>
        <v/>
      </c>
      <c r="W107" s="17">
        <f>IFERROR(MATCH(102,명단표[판정불가순번],0),"")</f>
        <v/>
      </c>
    </row>
    <row r="108">
      <c r="A108">
        <f>IF($P108="","",103)</f>
        <v/>
      </c>
      <c r="B108">
        <f>IF($P108="","",INDEX(명단표[이름],$P108))</f>
        <v/>
      </c>
      <c r="C108">
        <f>IF($P108="","",INDEX(명단표[사번],$P108)&amp;"")</f>
        <v/>
      </c>
      <c r="D108">
        <f>IF($P108="","",INDEX(명단표[전공의등록번호],$P108)&amp;"")</f>
        <v/>
      </c>
      <c r="E108">
        <f>IF($P108="","",INDEX(명단표[수련과목],$P108)&amp;"")</f>
        <v/>
      </c>
      <c r="F108">
        <f>IF($P108="","",INDEX(명단표[연차],$P108)&amp;"")</f>
        <v/>
      </c>
      <c r="G108">
        <f>IF($P108="","",INDEX(명단표[소속병원],$P108))</f>
        <v/>
      </c>
      <c r="H108">
        <f>IF($P108="","",IF(INDEX(명단표[소속병원],$P108)="서울병원","서울 소속","타 병원 소속("&amp;INDEX(명단표[소속병원],$P108)&amp;") → 서울 지급"))</f>
        <v/>
      </c>
      <c r="I108">
        <f>IF($P108="","",INDEX(명단표[현재 근무병원],$P108))</f>
        <v/>
      </c>
      <c r="J108">
        <f>IF($P108="","",INDEX(명단표[구리 근무 시작일(기준월)],$P108)&amp;"")</f>
        <v/>
      </c>
      <c r="K108">
        <f>IF($P108="","",INDEX(명단표[구리 근무 종료일(기준월)],$P108)&amp;"")</f>
        <v/>
      </c>
      <c r="L108">
        <f>IF($P108="","",INDEX(명단표[서울 근무일(기준월)],$P108))</f>
        <v/>
      </c>
      <c r="M108">
        <f>IF($P108="","",INDEX(명단표[구리 근무일(기준월)],$P108))</f>
        <v/>
      </c>
      <c r="N108">
        <f>IF($P108="","",INDEX(명단표[급여 판정 근거],$P108))</f>
        <v/>
      </c>
      <c r="O108">
        <f>IF($P108="","",INDEX(명단표[점검],$P108))</f>
        <v/>
      </c>
      <c r="P108" s="17">
        <f>IFERROR(MATCH(103,명단표[서울순번],0),"")</f>
        <v/>
      </c>
      <c r="R108">
        <f>IF($W108="","",INDEX(명단표[이름],$W108))</f>
        <v/>
      </c>
      <c r="S108">
        <f>IF($W108="","",INDEX(명단표[사번],$W108)&amp;"")</f>
        <v/>
      </c>
      <c r="T108">
        <f>IF($W108="","",INDEX(명단표[소속병원],$W108))</f>
        <v/>
      </c>
      <c r="U108">
        <f>IF($W108="","",INDEX(명단표[서울 근무일(기준월)],$W108))</f>
        <v/>
      </c>
      <c r="V108">
        <f>IF($W108="","",INDEX(명단표[구리 근무일(기준월)],$W108))</f>
        <v/>
      </c>
      <c r="W108" s="17">
        <f>IFERROR(MATCH(103,명단표[판정불가순번],0),"")</f>
        <v/>
      </c>
    </row>
    <row r="109">
      <c r="A109">
        <f>IF($P109="","",104)</f>
        <v/>
      </c>
      <c r="B109">
        <f>IF($P109="","",INDEX(명단표[이름],$P109))</f>
        <v/>
      </c>
      <c r="C109">
        <f>IF($P109="","",INDEX(명단표[사번],$P109)&amp;"")</f>
        <v/>
      </c>
      <c r="D109">
        <f>IF($P109="","",INDEX(명단표[전공의등록번호],$P109)&amp;"")</f>
        <v/>
      </c>
      <c r="E109">
        <f>IF($P109="","",INDEX(명단표[수련과목],$P109)&amp;"")</f>
        <v/>
      </c>
      <c r="F109">
        <f>IF($P109="","",INDEX(명단표[연차],$P109)&amp;"")</f>
        <v/>
      </c>
      <c r="G109">
        <f>IF($P109="","",INDEX(명단표[소속병원],$P109))</f>
        <v/>
      </c>
      <c r="H109">
        <f>IF($P109="","",IF(INDEX(명단표[소속병원],$P109)="서울병원","서울 소속","타 병원 소속("&amp;INDEX(명단표[소속병원],$P109)&amp;") → 서울 지급"))</f>
        <v/>
      </c>
      <c r="I109">
        <f>IF($P109="","",INDEX(명단표[현재 근무병원],$P109))</f>
        <v/>
      </c>
      <c r="J109">
        <f>IF($P109="","",INDEX(명단표[구리 근무 시작일(기준월)],$P109)&amp;"")</f>
        <v/>
      </c>
      <c r="K109">
        <f>IF($P109="","",INDEX(명단표[구리 근무 종료일(기준월)],$P109)&amp;"")</f>
        <v/>
      </c>
      <c r="L109">
        <f>IF($P109="","",INDEX(명단표[서울 근무일(기준월)],$P109))</f>
        <v/>
      </c>
      <c r="M109">
        <f>IF($P109="","",INDEX(명단표[구리 근무일(기준월)],$P109))</f>
        <v/>
      </c>
      <c r="N109">
        <f>IF($P109="","",INDEX(명단표[급여 판정 근거],$P109))</f>
        <v/>
      </c>
      <c r="O109">
        <f>IF($P109="","",INDEX(명단표[점검],$P109))</f>
        <v/>
      </c>
      <c r="P109" s="17">
        <f>IFERROR(MATCH(104,명단표[서울순번],0),"")</f>
        <v/>
      </c>
      <c r="R109">
        <f>IF($W109="","",INDEX(명단표[이름],$W109))</f>
        <v/>
      </c>
      <c r="S109">
        <f>IF($W109="","",INDEX(명단표[사번],$W109)&amp;"")</f>
        <v/>
      </c>
      <c r="T109">
        <f>IF($W109="","",INDEX(명단표[소속병원],$W109))</f>
        <v/>
      </c>
      <c r="U109">
        <f>IF($W109="","",INDEX(명단표[서울 근무일(기준월)],$W109))</f>
        <v/>
      </c>
      <c r="V109">
        <f>IF($W109="","",INDEX(명단표[구리 근무일(기준월)],$W109))</f>
        <v/>
      </c>
      <c r="W109" s="17">
        <f>IFERROR(MATCH(104,명단표[판정불가순번],0),"")</f>
        <v/>
      </c>
    </row>
    <row r="110">
      <c r="A110">
        <f>IF($P110="","",105)</f>
        <v/>
      </c>
      <c r="B110">
        <f>IF($P110="","",INDEX(명단표[이름],$P110))</f>
        <v/>
      </c>
      <c r="C110">
        <f>IF($P110="","",INDEX(명단표[사번],$P110)&amp;"")</f>
        <v/>
      </c>
      <c r="D110">
        <f>IF($P110="","",INDEX(명단표[전공의등록번호],$P110)&amp;"")</f>
        <v/>
      </c>
      <c r="E110">
        <f>IF($P110="","",INDEX(명단표[수련과목],$P110)&amp;"")</f>
        <v/>
      </c>
      <c r="F110">
        <f>IF($P110="","",INDEX(명단표[연차],$P110)&amp;"")</f>
        <v/>
      </c>
      <c r="G110">
        <f>IF($P110="","",INDEX(명단표[소속병원],$P110))</f>
        <v/>
      </c>
      <c r="H110">
        <f>IF($P110="","",IF(INDEX(명단표[소속병원],$P110)="서울병원","서울 소속","타 병원 소속("&amp;INDEX(명단표[소속병원],$P110)&amp;") → 서울 지급"))</f>
        <v/>
      </c>
      <c r="I110">
        <f>IF($P110="","",INDEX(명단표[현재 근무병원],$P110))</f>
        <v/>
      </c>
      <c r="J110">
        <f>IF($P110="","",INDEX(명단표[구리 근무 시작일(기준월)],$P110)&amp;"")</f>
        <v/>
      </c>
      <c r="K110">
        <f>IF($P110="","",INDEX(명단표[구리 근무 종료일(기준월)],$P110)&amp;"")</f>
        <v/>
      </c>
      <c r="L110">
        <f>IF($P110="","",INDEX(명단표[서울 근무일(기준월)],$P110))</f>
        <v/>
      </c>
      <c r="M110">
        <f>IF($P110="","",INDEX(명단표[구리 근무일(기준월)],$P110))</f>
        <v/>
      </c>
      <c r="N110">
        <f>IF($P110="","",INDEX(명단표[급여 판정 근거],$P110))</f>
        <v/>
      </c>
      <c r="O110">
        <f>IF($P110="","",INDEX(명단표[점검],$P110))</f>
        <v/>
      </c>
      <c r="P110" s="17">
        <f>IFERROR(MATCH(105,명단표[서울순번],0),"")</f>
        <v/>
      </c>
      <c r="R110">
        <f>IF($W110="","",INDEX(명단표[이름],$W110))</f>
        <v/>
      </c>
      <c r="S110">
        <f>IF($W110="","",INDEX(명단표[사번],$W110)&amp;"")</f>
        <v/>
      </c>
      <c r="T110">
        <f>IF($W110="","",INDEX(명단표[소속병원],$W110))</f>
        <v/>
      </c>
      <c r="U110">
        <f>IF($W110="","",INDEX(명단표[서울 근무일(기준월)],$W110))</f>
        <v/>
      </c>
      <c r="V110">
        <f>IF($W110="","",INDEX(명단표[구리 근무일(기준월)],$W110))</f>
        <v/>
      </c>
      <c r="W110" s="17">
        <f>IFERROR(MATCH(105,명단표[판정불가순번],0),"")</f>
        <v/>
      </c>
    </row>
    <row r="111">
      <c r="A111">
        <f>IF($P111="","",106)</f>
        <v/>
      </c>
      <c r="B111">
        <f>IF($P111="","",INDEX(명단표[이름],$P111))</f>
        <v/>
      </c>
      <c r="C111">
        <f>IF($P111="","",INDEX(명단표[사번],$P111)&amp;"")</f>
        <v/>
      </c>
      <c r="D111">
        <f>IF($P111="","",INDEX(명단표[전공의등록번호],$P111)&amp;"")</f>
        <v/>
      </c>
      <c r="E111">
        <f>IF($P111="","",INDEX(명단표[수련과목],$P111)&amp;"")</f>
        <v/>
      </c>
      <c r="F111">
        <f>IF($P111="","",INDEX(명단표[연차],$P111)&amp;"")</f>
        <v/>
      </c>
      <c r="G111">
        <f>IF($P111="","",INDEX(명단표[소속병원],$P111))</f>
        <v/>
      </c>
      <c r="H111">
        <f>IF($P111="","",IF(INDEX(명단표[소속병원],$P111)="서울병원","서울 소속","타 병원 소속("&amp;INDEX(명단표[소속병원],$P111)&amp;") → 서울 지급"))</f>
        <v/>
      </c>
      <c r="I111">
        <f>IF($P111="","",INDEX(명단표[현재 근무병원],$P111))</f>
        <v/>
      </c>
      <c r="J111">
        <f>IF($P111="","",INDEX(명단표[구리 근무 시작일(기준월)],$P111)&amp;"")</f>
        <v/>
      </c>
      <c r="K111">
        <f>IF($P111="","",INDEX(명단표[구리 근무 종료일(기준월)],$P111)&amp;"")</f>
        <v/>
      </c>
      <c r="L111">
        <f>IF($P111="","",INDEX(명단표[서울 근무일(기준월)],$P111))</f>
        <v/>
      </c>
      <c r="M111">
        <f>IF($P111="","",INDEX(명단표[구리 근무일(기준월)],$P111))</f>
        <v/>
      </c>
      <c r="N111">
        <f>IF($P111="","",INDEX(명단표[급여 판정 근거],$P111))</f>
        <v/>
      </c>
      <c r="O111">
        <f>IF($P111="","",INDEX(명단표[점검],$P111))</f>
        <v/>
      </c>
      <c r="P111" s="17">
        <f>IFERROR(MATCH(106,명단표[서울순번],0),"")</f>
        <v/>
      </c>
      <c r="R111">
        <f>IF($W111="","",INDEX(명단표[이름],$W111))</f>
        <v/>
      </c>
      <c r="S111">
        <f>IF($W111="","",INDEX(명단표[사번],$W111)&amp;"")</f>
        <v/>
      </c>
      <c r="T111">
        <f>IF($W111="","",INDEX(명단표[소속병원],$W111))</f>
        <v/>
      </c>
      <c r="U111">
        <f>IF($W111="","",INDEX(명단표[서울 근무일(기준월)],$W111))</f>
        <v/>
      </c>
      <c r="V111">
        <f>IF($W111="","",INDEX(명단표[구리 근무일(기준월)],$W111))</f>
        <v/>
      </c>
      <c r="W111" s="17">
        <f>IFERROR(MATCH(106,명단표[판정불가순번],0),"")</f>
        <v/>
      </c>
    </row>
    <row r="112">
      <c r="A112">
        <f>IF($P112="","",107)</f>
        <v/>
      </c>
      <c r="B112">
        <f>IF($P112="","",INDEX(명단표[이름],$P112))</f>
        <v/>
      </c>
      <c r="C112">
        <f>IF($P112="","",INDEX(명단표[사번],$P112)&amp;"")</f>
        <v/>
      </c>
      <c r="D112">
        <f>IF($P112="","",INDEX(명단표[전공의등록번호],$P112)&amp;"")</f>
        <v/>
      </c>
      <c r="E112">
        <f>IF($P112="","",INDEX(명단표[수련과목],$P112)&amp;"")</f>
        <v/>
      </c>
      <c r="F112">
        <f>IF($P112="","",INDEX(명단표[연차],$P112)&amp;"")</f>
        <v/>
      </c>
      <c r="G112">
        <f>IF($P112="","",INDEX(명단표[소속병원],$P112))</f>
        <v/>
      </c>
      <c r="H112">
        <f>IF($P112="","",IF(INDEX(명단표[소속병원],$P112)="서울병원","서울 소속","타 병원 소속("&amp;INDEX(명단표[소속병원],$P112)&amp;") → 서울 지급"))</f>
        <v/>
      </c>
      <c r="I112">
        <f>IF($P112="","",INDEX(명단표[현재 근무병원],$P112))</f>
        <v/>
      </c>
      <c r="J112">
        <f>IF($P112="","",INDEX(명단표[구리 근무 시작일(기준월)],$P112)&amp;"")</f>
        <v/>
      </c>
      <c r="K112">
        <f>IF($P112="","",INDEX(명단표[구리 근무 종료일(기준월)],$P112)&amp;"")</f>
        <v/>
      </c>
      <c r="L112">
        <f>IF($P112="","",INDEX(명단표[서울 근무일(기준월)],$P112))</f>
        <v/>
      </c>
      <c r="M112">
        <f>IF($P112="","",INDEX(명단표[구리 근무일(기준월)],$P112))</f>
        <v/>
      </c>
      <c r="N112">
        <f>IF($P112="","",INDEX(명단표[급여 판정 근거],$P112))</f>
        <v/>
      </c>
      <c r="O112">
        <f>IF($P112="","",INDEX(명단표[점검],$P112))</f>
        <v/>
      </c>
      <c r="P112" s="17">
        <f>IFERROR(MATCH(107,명단표[서울순번],0),"")</f>
        <v/>
      </c>
      <c r="R112">
        <f>IF($W112="","",INDEX(명단표[이름],$W112))</f>
        <v/>
      </c>
      <c r="S112">
        <f>IF($W112="","",INDEX(명단표[사번],$W112)&amp;"")</f>
        <v/>
      </c>
      <c r="T112">
        <f>IF($W112="","",INDEX(명단표[소속병원],$W112))</f>
        <v/>
      </c>
      <c r="U112">
        <f>IF($W112="","",INDEX(명단표[서울 근무일(기준월)],$W112))</f>
        <v/>
      </c>
      <c r="V112">
        <f>IF($W112="","",INDEX(명단표[구리 근무일(기준월)],$W112))</f>
        <v/>
      </c>
      <c r="W112" s="17">
        <f>IFERROR(MATCH(107,명단표[판정불가순번],0),"")</f>
        <v/>
      </c>
    </row>
    <row r="113">
      <c r="A113">
        <f>IF($P113="","",108)</f>
        <v/>
      </c>
      <c r="B113">
        <f>IF($P113="","",INDEX(명단표[이름],$P113))</f>
        <v/>
      </c>
      <c r="C113">
        <f>IF($P113="","",INDEX(명단표[사번],$P113)&amp;"")</f>
        <v/>
      </c>
      <c r="D113">
        <f>IF($P113="","",INDEX(명단표[전공의등록번호],$P113)&amp;"")</f>
        <v/>
      </c>
      <c r="E113">
        <f>IF($P113="","",INDEX(명단표[수련과목],$P113)&amp;"")</f>
        <v/>
      </c>
      <c r="F113">
        <f>IF($P113="","",INDEX(명단표[연차],$P113)&amp;"")</f>
        <v/>
      </c>
      <c r="G113">
        <f>IF($P113="","",INDEX(명단표[소속병원],$P113))</f>
        <v/>
      </c>
      <c r="H113">
        <f>IF($P113="","",IF(INDEX(명단표[소속병원],$P113)="서울병원","서울 소속","타 병원 소속("&amp;INDEX(명단표[소속병원],$P113)&amp;") → 서울 지급"))</f>
        <v/>
      </c>
      <c r="I113">
        <f>IF($P113="","",INDEX(명단표[현재 근무병원],$P113))</f>
        <v/>
      </c>
      <c r="J113">
        <f>IF($P113="","",INDEX(명단표[구리 근무 시작일(기준월)],$P113)&amp;"")</f>
        <v/>
      </c>
      <c r="K113">
        <f>IF($P113="","",INDEX(명단표[구리 근무 종료일(기준월)],$P113)&amp;"")</f>
        <v/>
      </c>
      <c r="L113">
        <f>IF($P113="","",INDEX(명단표[서울 근무일(기준월)],$P113))</f>
        <v/>
      </c>
      <c r="M113">
        <f>IF($P113="","",INDEX(명단표[구리 근무일(기준월)],$P113))</f>
        <v/>
      </c>
      <c r="N113">
        <f>IF($P113="","",INDEX(명단표[급여 판정 근거],$P113))</f>
        <v/>
      </c>
      <c r="O113">
        <f>IF($P113="","",INDEX(명단표[점검],$P113))</f>
        <v/>
      </c>
      <c r="P113" s="17">
        <f>IFERROR(MATCH(108,명단표[서울순번],0),"")</f>
        <v/>
      </c>
      <c r="R113">
        <f>IF($W113="","",INDEX(명단표[이름],$W113))</f>
        <v/>
      </c>
      <c r="S113">
        <f>IF($W113="","",INDEX(명단표[사번],$W113)&amp;"")</f>
        <v/>
      </c>
      <c r="T113">
        <f>IF($W113="","",INDEX(명단표[소속병원],$W113))</f>
        <v/>
      </c>
      <c r="U113">
        <f>IF($W113="","",INDEX(명단표[서울 근무일(기준월)],$W113))</f>
        <v/>
      </c>
      <c r="V113">
        <f>IF($W113="","",INDEX(명단표[구리 근무일(기준월)],$W113))</f>
        <v/>
      </c>
      <c r="W113" s="17">
        <f>IFERROR(MATCH(108,명단표[판정불가순번],0),"")</f>
        <v/>
      </c>
    </row>
    <row r="114">
      <c r="A114">
        <f>IF($P114="","",109)</f>
        <v/>
      </c>
      <c r="B114">
        <f>IF($P114="","",INDEX(명단표[이름],$P114))</f>
        <v/>
      </c>
      <c r="C114">
        <f>IF($P114="","",INDEX(명단표[사번],$P114)&amp;"")</f>
        <v/>
      </c>
      <c r="D114">
        <f>IF($P114="","",INDEX(명단표[전공의등록번호],$P114)&amp;"")</f>
        <v/>
      </c>
      <c r="E114">
        <f>IF($P114="","",INDEX(명단표[수련과목],$P114)&amp;"")</f>
        <v/>
      </c>
      <c r="F114">
        <f>IF($P114="","",INDEX(명단표[연차],$P114)&amp;"")</f>
        <v/>
      </c>
      <c r="G114">
        <f>IF($P114="","",INDEX(명단표[소속병원],$P114))</f>
        <v/>
      </c>
      <c r="H114">
        <f>IF($P114="","",IF(INDEX(명단표[소속병원],$P114)="서울병원","서울 소속","타 병원 소속("&amp;INDEX(명단표[소속병원],$P114)&amp;") → 서울 지급"))</f>
        <v/>
      </c>
      <c r="I114">
        <f>IF($P114="","",INDEX(명단표[현재 근무병원],$P114))</f>
        <v/>
      </c>
      <c r="J114">
        <f>IF($P114="","",INDEX(명단표[구리 근무 시작일(기준월)],$P114)&amp;"")</f>
        <v/>
      </c>
      <c r="K114">
        <f>IF($P114="","",INDEX(명단표[구리 근무 종료일(기준월)],$P114)&amp;"")</f>
        <v/>
      </c>
      <c r="L114">
        <f>IF($P114="","",INDEX(명단표[서울 근무일(기준월)],$P114))</f>
        <v/>
      </c>
      <c r="M114">
        <f>IF($P114="","",INDEX(명단표[구리 근무일(기준월)],$P114))</f>
        <v/>
      </c>
      <c r="N114">
        <f>IF($P114="","",INDEX(명단표[급여 판정 근거],$P114))</f>
        <v/>
      </c>
      <c r="O114">
        <f>IF($P114="","",INDEX(명단표[점검],$P114))</f>
        <v/>
      </c>
      <c r="P114" s="17">
        <f>IFERROR(MATCH(109,명단표[서울순번],0),"")</f>
        <v/>
      </c>
      <c r="R114">
        <f>IF($W114="","",INDEX(명단표[이름],$W114))</f>
        <v/>
      </c>
      <c r="S114">
        <f>IF($W114="","",INDEX(명단표[사번],$W114)&amp;"")</f>
        <v/>
      </c>
      <c r="T114">
        <f>IF($W114="","",INDEX(명단표[소속병원],$W114))</f>
        <v/>
      </c>
      <c r="U114">
        <f>IF($W114="","",INDEX(명단표[서울 근무일(기준월)],$W114))</f>
        <v/>
      </c>
      <c r="V114">
        <f>IF($W114="","",INDEX(명단표[구리 근무일(기준월)],$W114))</f>
        <v/>
      </c>
      <c r="W114" s="17">
        <f>IFERROR(MATCH(109,명단표[판정불가순번],0),"")</f>
        <v/>
      </c>
    </row>
    <row r="115">
      <c r="A115">
        <f>IF($P115="","",110)</f>
        <v/>
      </c>
      <c r="B115">
        <f>IF($P115="","",INDEX(명단표[이름],$P115))</f>
        <v/>
      </c>
      <c r="C115">
        <f>IF($P115="","",INDEX(명단표[사번],$P115)&amp;"")</f>
        <v/>
      </c>
      <c r="D115">
        <f>IF($P115="","",INDEX(명단표[전공의등록번호],$P115)&amp;"")</f>
        <v/>
      </c>
      <c r="E115">
        <f>IF($P115="","",INDEX(명단표[수련과목],$P115)&amp;"")</f>
        <v/>
      </c>
      <c r="F115">
        <f>IF($P115="","",INDEX(명단표[연차],$P115)&amp;"")</f>
        <v/>
      </c>
      <c r="G115">
        <f>IF($P115="","",INDEX(명단표[소속병원],$P115))</f>
        <v/>
      </c>
      <c r="H115">
        <f>IF($P115="","",IF(INDEX(명단표[소속병원],$P115)="서울병원","서울 소속","타 병원 소속("&amp;INDEX(명단표[소속병원],$P115)&amp;") → 서울 지급"))</f>
        <v/>
      </c>
      <c r="I115">
        <f>IF($P115="","",INDEX(명단표[현재 근무병원],$P115))</f>
        <v/>
      </c>
      <c r="J115">
        <f>IF($P115="","",INDEX(명단표[구리 근무 시작일(기준월)],$P115)&amp;"")</f>
        <v/>
      </c>
      <c r="K115">
        <f>IF($P115="","",INDEX(명단표[구리 근무 종료일(기준월)],$P115)&amp;"")</f>
        <v/>
      </c>
      <c r="L115">
        <f>IF($P115="","",INDEX(명단표[서울 근무일(기준월)],$P115))</f>
        <v/>
      </c>
      <c r="M115">
        <f>IF($P115="","",INDEX(명단표[구리 근무일(기준월)],$P115))</f>
        <v/>
      </c>
      <c r="N115">
        <f>IF($P115="","",INDEX(명단표[급여 판정 근거],$P115))</f>
        <v/>
      </c>
      <c r="O115">
        <f>IF($P115="","",INDEX(명단표[점검],$P115))</f>
        <v/>
      </c>
      <c r="P115" s="17">
        <f>IFERROR(MATCH(110,명단표[서울순번],0),"")</f>
        <v/>
      </c>
      <c r="R115">
        <f>IF($W115="","",INDEX(명단표[이름],$W115))</f>
        <v/>
      </c>
      <c r="S115">
        <f>IF($W115="","",INDEX(명단표[사번],$W115)&amp;"")</f>
        <v/>
      </c>
      <c r="T115">
        <f>IF($W115="","",INDEX(명단표[소속병원],$W115))</f>
        <v/>
      </c>
      <c r="U115">
        <f>IF($W115="","",INDEX(명단표[서울 근무일(기준월)],$W115))</f>
        <v/>
      </c>
      <c r="V115">
        <f>IF($W115="","",INDEX(명단표[구리 근무일(기준월)],$W115))</f>
        <v/>
      </c>
      <c r="W115" s="17">
        <f>IFERROR(MATCH(110,명단표[판정불가순번],0),"")</f>
        <v/>
      </c>
    </row>
    <row r="116">
      <c r="A116">
        <f>IF($P116="","",111)</f>
        <v/>
      </c>
      <c r="B116">
        <f>IF($P116="","",INDEX(명단표[이름],$P116))</f>
        <v/>
      </c>
      <c r="C116">
        <f>IF($P116="","",INDEX(명단표[사번],$P116)&amp;"")</f>
        <v/>
      </c>
      <c r="D116">
        <f>IF($P116="","",INDEX(명단표[전공의등록번호],$P116)&amp;"")</f>
        <v/>
      </c>
      <c r="E116">
        <f>IF($P116="","",INDEX(명단표[수련과목],$P116)&amp;"")</f>
        <v/>
      </c>
      <c r="F116">
        <f>IF($P116="","",INDEX(명단표[연차],$P116)&amp;"")</f>
        <v/>
      </c>
      <c r="G116">
        <f>IF($P116="","",INDEX(명단표[소속병원],$P116))</f>
        <v/>
      </c>
      <c r="H116">
        <f>IF($P116="","",IF(INDEX(명단표[소속병원],$P116)="서울병원","서울 소속","타 병원 소속("&amp;INDEX(명단표[소속병원],$P116)&amp;") → 서울 지급"))</f>
        <v/>
      </c>
      <c r="I116">
        <f>IF($P116="","",INDEX(명단표[현재 근무병원],$P116))</f>
        <v/>
      </c>
      <c r="J116">
        <f>IF($P116="","",INDEX(명단표[구리 근무 시작일(기준월)],$P116)&amp;"")</f>
        <v/>
      </c>
      <c r="K116">
        <f>IF($P116="","",INDEX(명단표[구리 근무 종료일(기준월)],$P116)&amp;"")</f>
        <v/>
      </c>
      <c r="L116">
        <f>IF($P116="","",INDEX(명단표[서울 근무일(기준월)],$P116))</f>
        <v/>
      </c>
      <c r="M116">
        <f>IF($P116="","",INDEX(명단표[구리 근무일(기준월)],$P116))</f>
        <v/>
      </c>
      <c r="N116">
        <f>IF($P116="","",INDEX(명단표[급여 판정 근거],$P116))</f>
        <v/>
      </c>
      <c r="O116">
        <f>IF($P116="","",INDEX(명단표[점검],$P116))</f>
        <v/>
      </c>
      <c r="P116" s="17">
        <f>IFERROR(MATCH(111,명단표[서울순번],0),"")</f>
        <v/>
      </c>
      <c r="R116">
        <f>IF($W116="","",INDEX(명단표[이름],$W116))</f>
        <v/>
      </c>
      <c r="S116">
        <f>IF($W116="","",INDEX(명단표[사번],$W116)&amp;"")</f>
        <v/>
      </c>
      <c r="T116">
        <f>IF($W116="","",INDEX(명단표[소속병원],$W116))</f>
        <v/>
      </c>
      <c r="U116">
        <f>IF($W116="","",INDEX(명단표[서울 근무일(기준월)],$W116))</f>
        <v/>
      </c>
      <c r="V116">
        <f>IF($W116="","",INDEX(명단표[구리 근무일(기준월)],$W116))</f>
        <v/>
      </c>
      <c r="W116" s="17">
        <f>IFERROR(MATCH(111,명단표[판정불가순번],0),"")</f>
        <v/>
      </c>
    </row>
    <row r="117">
      <c r="A117">
        <f>IF($P117="","",112)</f>
        <v/>
      </c>
      <c r="B117">
        <f>IF($P117="","",INDEX(명단표[이름],$P117))</f>
        <v/>
      </c>
      <c r="C117">
        <f>IF($P117="","",INDEX(명단표[사번],$P117)&amp;"")</f>
        <v/>
      </c>
      <c r="D117">
        <f>IF($P117="","",INDEX(명단표[전공의등록번호],$P117)&amp;"")</f>
        <v/>
      </c>
      <c r="E117">
        <f>IF($P117="","",INDEX(명단표[수련과목],$P117)&amp;"")</f>
        <v/>
      </c>
      <c r="F117">
        <f>IF($P117="","",INDEX(명단표[연차],$P117)&amp;"")</f>
        <v/>
      </c>
      <c r="G117">
        <f>IF($P117="","",INDEX(명단표[소속병원],$P117))</f>
        <v/>
      </c>
      <c r="H117">
        <f>IF($P117="","",IF(INDEX(명단표[소속병원],$P117)="서울병원","서울 소속","타 병원 소속("&amp;INDEX(명단표[소속병원],$P117)&amp;") → 서울 지급"))</f>
        <v/>
      </c>
      <c r="I117">
        <f>IF($P117="","",INDEX(명단표[현재 근무병원],$P117))</f>
        <v/>
      </c>
      <c r="J117">
        <f>IF($P117="","",INDEX(명단표[구리 근무 시작일(기준월)],$P117)&amp;"")</f>
        <v/>
      </c>
      <c r="K117">
        <f>IF($P117="","",INDEX(명단표[구리 근무 종료일(기준월)],$P117)&amp;"")</f>
        <v/>
      </c>
      <c r="L117">
        <f>IF($P117="","",INDEX(명단표[서울 근무일(기준월)],$P117))</f>
        <v/>
      </c>
      <c r="M117">
        <f>IF($P117="","",INDEX(명단표[구리 근무일(기준월)],$P117))</f>
        <v/>
      </c>
      <c r="N117">
        <f>IF($P117="","",INDEX(명단표[급여 판정 근거],$P117))</f>
        <v/>
      </c>
      <c r="O117">
        <f>IF($P117="","",INDEX(명단표[점검],$P117))</f>
        <v/>
      </c>
      <c r="P117" s="17">
        <f>IFERROR(MATCH(112,명단표[서울순번],0),"")</f>
        <v/>
      </c>
      <c r="R117">
        <f>IF($W117="","",INDEX(명단표[이름],$W117))</f>
        <v/>
      </c>
      <c r="S117">
        <f>IF($W117="","",INDEX(명단표[사번],$W117)&amp;"")</f>
        <v/>
      </c>
      <c r="T117">
        <f>IF($W117="","",INDEX(명단표[소속병원],$W117))</f>
        <v/>
      </c>
      <c r="U117">
        <f>IF($W117="","",INDEX(명단표[서울 근무일(기준월)],$W117))</f>
        <v/>
      </c>
      <c r="V117">
        <f>IF($W117="","",INDEX(명단표[구리 근무일(기준월)],$W117))</f>
        <v/>
      </c>
      <c r="W117" s="17">
        <f>IFERROR(MATCH(112,명단표[판정불가순번],0),"")</f>
        <v/>
      </c>
    </row>
    <row r="118">
      <c r="A118">
        <f>IF($P118="","",113)</f>
        <v/>
      </c>
      <c r="B118">
        <f>IF($P118="","",INDEX(명단표[이름],$P118))</f>
        <v/>
      </c>
      <c r="C118">
        <f>IF($P118="","",INDEX(명단표[사번],$P118)&amp;"")</f>
        <v/>
      </c>
      <c r="D118">
        <f>IF($P118="","",INDEX(명단표[전공의등록번호],$P118)&amp;"")</f>
        <v/>
      </c>
      <c r="E118">
        <f>IF($P118="","",INDEX(명단표[수련과목],$P118)&amp;"")</f>
        <v/>
      </c>
      <c r="F118">
        <f>IF($P118="","",INDEX(명단표[연차],$P118)&amp;"")</f>
        <v/>
      </c>
      <c r="G118">
        <f>IF($P118="","",INDEX(명단표[소속병원],$P118))</f>
        <v/>
      </c>
      <c r="H118">
        <f>IF($P118="","",IF(INDEX(명단표[소속병원],$P118)="서울병원","서울 소속","타 병원 소속("&amp;INDEX(명단표[소속병원],$P118)&amp;") → 서울 지급"))</f>
        <v/>
      </c>
      <c r="I118">
        <f>IF($P118="","",INDEX(명단표[현재 근무병원],$P118))</f>
        <v/>
      </c>
      <c r="J118">
        <f>IF($P118="","",INDEX(명단표[구리 근무 시작일(기준월)],$P118)&amp;"")</f>
        <v/>
      </c>
      <c r="K118">
        <f>IF($P118="","",INDEX(명단표[구리 근무 종료일(기준월)],$P118)&amp;"")</f>
        <v/>
      </c>
      <c r="L118">
        <f>IF($P118="","",INDEX(명단표[서울 근무일(기준월)],$P118))</f>
        <v/>
      </c>
      <c r="M118">
        <f>IF($P118="","",INDEX(명단표[구리 근무일(기준월)],$P118))</f>
        <v/>
      </c>
      <c r="N118">
        <f>IF($P118="","",INDEX(명단표[급여 판정 근거],$P118))</f>
        <v/>
      </c>
      <c r="O118">
        <f>IF($P118="","",INDEX(명단표[점검],$P118))</f>
        <v/>
      </c>
      <c r="P118" s="17">
        <f>IFERROR(MATCH(113,명단표[서울순번],0),"")</f>
        <v/>
      </c>
      <c r="R118">
        <f>IF($W118="","",INDEX(명단표[이름],$W118))</f>
        <v/>
      </c>
      <c r="S118">
        <f>IF($W118="","",INDEX(명단표[사번],$W118)&amp;"")</f>
        <v/>
      </c>
      <c r="T118">
        <f>IF($W118="","",INDEX(명단표[소속병원],$W118))</f>
        <v/>
      </c>
      <c r="U118">
        <f>IF($W118="","",INDEX(명단표[서울 근무일(기준월)],$W118))</f>
        <v/>
      </c>
      <c r="V118">
        <f>IF($W118="","",INDEX(명단표[구리 근무일(기준월)],$W118))</f>
        <v/>
      </c>
      <c r="W118" s="17">
        <f>IFERROR(MATCH(113,명단표[판정불가순번],0),"")</f>
        <v/>
      </c>
    </row>
    <row r="119">
      <c r="A119">
        <f>IF($P119="","",114)</f>
        <v/>
      </c>
      <c r="B119">
        <f>IF($P119="","",INDEX(명단표[이름],$P119))</f>
        <v/>
      </c>
      <c r="C119">
        <f>IF($P119="","",INDEX(명단표[사번],$P119)&amp;"")</f>
        <v/>
      </c>
      <c r="D119">
        <f>IF($P119="","",INDEX(명단표[전공의등록번호],$P119)&amp;"")</f>
        <v/>
      </c>
      <c r="E119">
        <f>IF($P119="","",INDEX(명단표[수련과목],$P119)&amp;"")</f>
        <v/>
      </c>
      <c r="F119">
        <f>IF($P119="","",INDEX(명단표[연차],$P119)&amp;"")</f>
        <v/>
      </c>
      <c r="G119">
        <f>IF($P119="","",INDEX(명단표[소속병원],$P119))</f>
        <v/>
      </c>
      <c r="H119">
        <f>IF($P119="","",IF(INDEX(명단표[소속병원],$P119)="서울병원","서울 소속","타 병원 소속("&amp;INDEX(명단표[소속병원],$P119)&amp;") → 서울 지급"))</f>
        <v/>
      </c>
      <c r="I119">
        <f>IF($P119="","",INDEX(명단표[현재 근무병원],$P119))</f>
        <v/>
      </c>
      <c r="J119">
        <f>IF($P119="","",INDEX(명단표[구리 근무 시작일(기준월)],$P119)&amp;"")</f>
        <v/>
      </c>
      <c r="K119">
        <f>IF($P119="","",INDEX(명단표[구리 근무 종료일(기준월)],$P119)&amp;"")</f>
        <v/>
      </c>
      <c r="L119">
        <f>IF($P119="","",INDEX(명단표[서울 근무일(기준월)],$P119))</f>
        <v/>
      </c>
      <c r="M119">
        <f>IF($P119="","",INDEX(명단표[구리 근무일(기준월)],$P119))</f>
        <v/>
      </c>
      <c r="N119">
        <f>IF($P119="","",INDEX(명단표[급여 판정 근거],$P119))</f>
        <v/>
      </c>
      <c r="O119">
        <f>IF($P119="","",INDEX(명단표[점검],$P119))</f>
        <v/>
      </c>
      <c r="P119" s="17">
        <f>IFERROR(MATCH(114,명단표[서울순번],0),"")</f>
        <v/>
      </c>
      <c r="R119">
        <f>IF($W119="","",INDEX(명단표[이름],$W119))</f>
        <v/>
      </c>
      <c r="S119">
        <f>IF($W119="","",INDEX(명단표[사번],$W119)&amp;"")</f>
        <v/>
      </c>
      <c r="T119">
        <f>IF($W119="","",INDEX(명단표[소속병원],$W119))</f>
        <v/>
      </c>
      <c r="U119">
        <f>IF($W119="","",INDEX(명단표[서울 근무일(기준월)],$W119))</f>
        <v/>
      </c>
      <c r="V119">
        <f>IF($W119="","",INDEX(명단표[구리 근무일(기준월)],$W119))</f>
        <v/>
      </c>
      <c r="W119" s="17">
        <f>IFERROR(MATCH(114,명단표[판정불가순번],0),"")</f>
        <v/>
      </c>
    </row>
    <row r="120">
      <c r="A120">
        <f>IF($P120="","",115)</f>
        <v/>
      </c>
      <c r="B120">
        <f>IF($P120="","",INDEX(명단표[이름],$P120))</f>
        <v/>
      </c>
      <c r="C120">
        <f>IF($P120="","",INDEX(명단표[사번],$P120)&amp;"")</f>
        <v/>
      </c>
      <c r="D120">
        <f>IF($P120="","",INDEX(명단표[전공의등록번호],$P120)&amp;"")</f>
        <v/>
      </c>
      <c r="E120">
        <f>IF($P120="","",INDEX(명단표[수련과목],$P120)&amp;"")</f>
        <v/>
      </c>
      <c r="F120">
        <f>IF($P120="","",INDEX(명단표[연차],$P120)&amp;"")</f>
        <v/>
      </c>
      <c r="G120">
        <f>IF($P120="","",INDEX(명단표[소속병원],$P120))</f>
        <v/>
      </c>
      <c r="H120">
        <f>IF($P120="","",IF(INDEX(명단표[소속병원],$P120)="서울병원","서울 소속","타 병원 소속("&amp;INDEX(명단표[소속병원],$P120)&amp;") → 서울 지급"))</f>
        <v/>
      </c>
      <c r="I120">
        <f>IF($P120="","",INDEX(명단표[현재 근무병원],$P120))</f>
        <v/>
      </c>
      <c r="J120">
        <f>IF($P120="","",INDEX(명단표[구리 근무 시작일(기준월)],$P120)&amp;"")</f>
        <v/>
      </c>
      <c r="K120">
        <f>IF($P120="","",INDEX(명단표[구리 근무 종료일(기준월)],$P120)&amp;"")</f>
        <v/>
      </c>
      <c r="L120">
        <f>IF($P120="","",INDEX(명단표[서울 근무일(기준월)],$P120))</f>
        <v/>
      </c>
      <c r="M120">
        <f>IF($P120="","",INDEX(명단표[구리 근무일(기준월)],$P120))</f>
        <v/>
      </c>
      <c r="N120">
        <f>IF($P120="","",INDEX(명단표[급여 판정 근거],$P120))</f>
        <v/>
      </c>
      <c r="O120">
        <f>IF($P120="","",INDEX(명단표[점검],$P120))</f>
        <v/>
      </c>
      <c r="P120" s="17">
        <f>IFERROR(MATCH(115,명단표[서울순번],0),"")</f>
        <v/>
      </c>
      <c r="R120">
        <f>IF($W120="","",INDEX(명단표[이름],$W120))</f>
        <v/>
      </c>
      <c r="S120">
        <f>IF($W120="","",INDEX(명단표[사번],$W120)&amp;"")</f>
        <v/>
      </c>
      <c r="T120">
        <f>IF($W120="","",INDEX(명단표[소속병원],$W120))</f>
        <v/>
      </c>
      <c r="U120">
        <f>IF($W120="","",INDEX(명단표[서울 근무일(기준월)],$W120))</f>
        <v/>
      </c>
      <c r="V120">
        <f>IF($W120="","",INDEX(명단표[구리 근무일(기준월)],$W120))</f>
        <v/>
      </c>
      <c r="W120" s="17">
        <f>IFERROR(MATCH(115,명단표[판정불가순번],0),"")</f>
        <v/>
      </c>
    </row>
    <row r="121">
      <c r="A121">
        <f>IF($P121="","",116)</f>
        <v/>
      </c>
      <c r="B121">
        <f>IF($P121="","",INDEX(명단표[이름],$P121))</f>
        <v/>
      </c>
      <c r="C121">
        <f>IF($P121="","",INDEX(명단표[사번],$P121)&amp;"")</f>
        <v/>
      </c>
      <c r="D121">
        <f>IF($P121="","",INDEX(명단표[전공의등록번호],$P121)&amp;"")</f>
        <v/>
      </c>
      <c r="E121">
        <f>IF($P121="","",INDEX(명단표[수련과목],$P121)&amp;"")</f>
        <v/>
      </c>
      <c r="F121">
        <f>IF($P121="","",INDEX(명단표[연차],$P121)&amp;"")</f>
        <v/>
      </c>
      <c r="G121">
        <f>IF($P121="","",INDEX(명단표[소속병원],$P121))</f>
        <v/>
      </c>
      <c r="H121">
        <f>IF($P121="","",IF(INDEX(명단표[소속병원],$P121)="서울병원","서울 소속","타 병원 소속("&amp;INDEX(명단표[소속병원],$P121)&amp;") → 서울 지급"))</f>
        <v/>
      </c>
      <c r="I121">
        <f>IF($P121="","",INDEX(명단표[현재 근무병원],$P121))</f>
        <v/>
      </c>
      <c r="J121">
        <f>IF($P121="","",INDEX(명단표[구리 근무 시작일(기준월)],$P121)&amp;"")</f>
        <v/>
      </c>
      <c r="K121">
        <f>IF($P121="","",INDEX(명단표[구리 근무 종료일(기준월)],$P121)&amp;"")</f>
        <v/>
      </c>
      <c r="L121">
        <f>IF($P121="","",INDEX(명단표[서울 근무일(기준월)],$P121))</f>
        <v/>
      </c>
      <c r="M121">
        <f>IF($P121="","",INDEX(명단표[구리 근무일(기준월)],$P121))</f>
        <v/>
      </c>
      <c r="N121">
        <f>IF($P121="","",INDEX(명단표[급여 판정 근거],$P121))</f>
        <v/>
      </c>
      <c r="O121">
        <f>IF($P121="","",INDEX(명단표[점검],$P121))</f>
        <v/>
      </c>
      <c r="P121" s="17">
        <f>IFERROR(MATCH(116,명단표[서울순번],0),"")</f>
        <v/>
      </c>
      <c r="R121">
        <f>IF($W121="","",INDEX(명단표[이름],$W121))</f>
        <v/>
      </c>
      <c r="S121">
        <f>IF($W121="","",INDEX(명단표[사번],$W121)&amp;"")</f>
        <v/>
      </c>
      <c r="T121">
        <f>IF($W121="","",INDEX(명단표[소속병원],$W121))</f>
        <v/>
      </c>
      <c r="U121">
        <f>IF($W121="","",INDEX(명단표[서울 근무일(기준월)],$W121))</f>
        <v/>
      </c>
      <c r="V121">
        <f>IF($W121="","",INDEX(명단표[구리 근무일(기준월)],$W121))</f>
        <v/>
      </c>
      <c r="W121" s="17">
        <f>IFERROR(MATCH(116,명단표[판정불가순번],0),"")</f>
        <v/>
      </c>
    </row>
    <row r="122">
      <c r="A122">
        <f>IF($P122="","",117)</f>
        <v/>
      </c>
      <c r="B122">
        <f>IF($P122="","",INDEX(명단표[이름],$P122))</f>
        <v/>
      </c>
      <c r="C122">
        <f>IF($P122="","",INDEX(명단표[사번],$P122)&amp;"")</f>
        <v/>
      </c>
      <c r="D122">
        <f>IF($P122="","",INDEX(명단표[전공의등록번호],$P122)&amp;"")</f>
        <v/>
      </c>
      <c r="E122">
        <f>IF($P122="","",INDEX(명단표[수련과목],$P122)&amp;"")</f>
        <v/>
      </c>
      <c r="F122">
        <f>IF($P122="","",INDEX(명단표[연차],$P122)&amp;"")</f>
        <v/>
      </c>
      <c r="G122">
        <f>IF($P122="","",INDEX(명단표[소속병원],$P122))</f>
        <v/>
      </c>
      <c r="H122">
        <f>IF($P122="","",IF(INDEX(명단표[소속병원],$P122)="서울병원","서울 소속","타 병원 소속("&amp;INDEX(명단표[소속병원],$P122)&amp;") → 서울 지급"))</f>
        <v/>
      </c>
      <c r="I122">
        <f>IF($P122="","",INDEX(명단표[현재 근무병원],$P122))</f>
        <v/>
      </c>
      <c r="J122">
        <f>IF($P122="","",INDEX(명단표[구리 근무 시작일(기준월)],$P122)&amp;"")</f>
        <v/>
      </c>
      <c r="K122">
        <f>IF($P122="","",INDEX(명단표[구리 근무 종료일(기준월)],$P122)&amp;"")</f>
        <v/>
      </c>
      <c r="L122">
        <f>IF($P122="","",INDEX(명단표[서울 근무일(기준월)],$P122))</f>
        <v/>
      </c>
      <c r="M122">
        <f>IF($P122="","",INDEX(명단표[구리 근무일(기준월)],$P122))</f>
        <v/>
      </c>
      <c r="N122">
        <f>IF($P122="","",INDEX(명단표[급여 판정 근거],$P122))</f>
        <v/>
      </c>
      <c r="O122">
        <f>IF($P122="","",INDEX(명단표[점검],$P122))</f>
        <v/>
      </c>
      <c r="P122" s="17">
        <f>IFERROR(MATCH(117,명단표[서울순번],0),"")</f>
        <v/>
      </c>
      <c r="R122">
        <f>IF($W122="","",INDEX(명단표[이름],$W122))</f>
        <v/>
      </c>
      <c r="S122">
        <f>IF($W122="","",INDEX(명단표[사번],$W122)&amp;"")</f>
        <v/>
      </c>
      <c r="T122">
        <f>IF($W122="","",INDEX(명단표[소속병원],$W122))</f>
        <v/>
      </c>
      <c r="U122">
        <f>IF($W122="","",INDEX(명단표[서울 근무일(기준월)],$W122))</f>
        <v/>
      </c>
      <c r="V122">
        <f>IF($W122="","",INDEX(명단표[구리 근무일(기준월)],$W122))</f>
        <v/>
      </c>
      <c r="W122" s="17">
        <f>IFERROR(MATCH(117,명단표[판정불가순번],0),"")</f>
        <v/>
      </c>
    </row>
    <row r="123">
      <c r="A123">
        <f>IF($P123="","",118)</f>
        <v/>
      </c>
      <c r="B123">
        <f>IF($P123="","",INDEX(명단표[이름],$P123))</f>
        <v/>
      </c>
      <c r="C123">
        <f>IF($P123="","",INDEX(명단표[사번],$P123)&amp;"")</f>
        <v/>
      </c>
      <c r="D123">
        <f>IF($P123="","",INDEX(명단표[전공의등록번호],$P123)&amp;"")</f>
        <v/>
      </c>
      <c r="E123">
        <f>IF($P123="","",INDEX(명단표[수련과목],$P123)&amp;"")</f>
        <v/>
      </c>
      <c r="F123">
        <f>IF($P123="","",INDEX(명단표[연차],$P123)&amp;"")</f>
        <v/>
      </c>
      <c r="G123">
        <f>IF($P123="","",INDEX(명단표[소속병원],$P123))</f>
        <v/>
      </c>
      <c r="H123">
        <f>IF($P123="","",IF(INDEX(명단표[소속병원],$P123)="서울병원","서울 소속","타 병원 소속("&amp;INDEX(명단표[소속병원],$P123)&amp;") → 서울 지급"))</f>
        <v/>
      </c>
      <c r="I123">
        <f>IF($P123="","",INDEX(명단표[현재 근무병원],$P123))</f>
        <v/>
      </c>
      <c r="J123">
        <f>IF($P123="","",INDEX(명단표[구리 근무 시작일(기준월)],$P123)&amp;"")</f>
        <v/>
      </c>
      <c r="K123">
        <f>IF($P123="","",INDEX(명단표[구리 근무 종료일(기준월)],$P123)&amp;"")</f>
        <v/>
      </c>
      <c r="L123">
        <f>IF($P123="","",INDEX(명단표[서울 근무일(기준월)],$P123))</f>
        <v/>
      </c>
      <c r="M123">
        <f>IF($P123="","",INDEX(명단표[구리 근무일(기준월)],$P123))</f>
        <v/>
      </c>
      <c r="N123">
        <f>IF($P123="","",INDEX(명단표[급여 판정 근거],$P123))</f>
        <v/>
      </c>
      <c r="O123">
        <f>IF($P123="","",INDEX(명단표[점검],$P123))</f>
        <v/>
      </c>
      <c r="P123" s="17">
        <f>IFERROR(MATCH(118,명단표[서울순번],0),"")</f>
        <v/>
      </c>
      <c r="R123">
        <f>IF($W123="","",INDEX(명단표[이름],$W123))</f>
        <v/>
      </c>
      <c r="S123">
        <f>IF($W123="","",INDEX(명단표[사번],$W123)&amp;"")</f>
        <v/>
      </c>
      <c r="T123">
        <f>IF($W123="","",INDEX(명단표[소속병원],$W123))</f>
        <v/>
      </c>
      <c r="U123">
        <f>IF($W123="","",INDEX(명단표[서울 근무일(기준월)],$W123))</f>
        <v/>
      </c>
      <c r="V123">
        <f>IF($W123="","",INDEX(명단표[구리 근무일(기준월)],$W123))</f>
        <v/>
      </c>
      <c r="W123" s="17">
        <f>IFERROR(MATCH(118,명단표[판정불가순번],0),"")</f>
        <v/>
      </c>
    </row>
    <row r="124">
      <c r="A124">
        <f>IF($P124="","",119)</f>
        <v/>
      </c>
      <c r="B124">
        <f>IF($P124="","",INDEX(명단표[이름],$P124))</f>
        <v/>
      </c>
      <c r="C124">
        <f>IF($P124="","",INDEX(명단표[사번],$P124)&amp;"")</f>
        <v/>
      </c>
      <c r="D124">
        <f>IF($P124="","",INDEX(명단표[전공의등록번호],$P124)&amp;"")</f>
        <v/>
      </c>
      <c r="E124">
        <f>IF($P124="","",INDEX(명단표[수련과목],$P124)&amp;"")</f>
        <v/>
      </c>
      <c r="F124">
        <f>IF($P124="","",INDEX(명단표[연차],$P124)&amp;"")</f>
        <v/>
      </c>
      <c r="G124">
        <f>IF($P124="","",INDEX(명단표[소속병원],$P124))</f>
        <v/>
      </c>
      <c r="H124">
        <f>IF($P124="","",IF(INDEX(명단표[소속병원],$P124)="서울병원","서울 소속","타 병원 소속("&amp;INDEX(명단표[소속병원],$P124)&amp;") → 서울 지급"))</f>
        <v/>
      </c>
      <c r="I124">
        <f>IF($P124="","",INDEX(명단표[현재 근무병원],$P124))</f>
        <v/>
      </c>
      <c r="J124">
        <f>IF($P124="","",INDEX(명단표[구리 근무 시작일(기준월)],$P124)&amp;"")</f>
        <v/>
      </c>
      <c r="K124">
        <f>IF($P124="","",INDEX(명단표[구리 근무 종료일(기준월)],$P124)&amp;"")</f>
        <v/>
      </c>
      <c r="L124">
        <f>IF($P124="","",INDEX(명단표[서울 근무일(기준월)],$P124))</f>
        <v/>
      </c>
      <c r="M124">
        <f>IF($P124="","",INDEX(명단표[구리 근무일(기준월)],$P124))</f>
        <v/>
      </c>
      <c r="N124">
        <f>IF($P124="","",INDEX(명단표[급여 판정 근거],$P124))</f>
        <v/>
      </c>
      <c r="O124">
        <f>IF($P124="","",INDEX(명단표[점검],$P124))</f>
        <v/>
      </c>
      <c r="P124" s="17">
        <f>IFERROR(MATCH(119,명단표[서울순번],0),"")</f>
        <v/>
      </c>
      <c r="R124">
        <f>IF($W124="","",INDEX(명단표[이름],$W124))</f>
        <v/>
      </c>
      <c r="S124">
        <f>IF($W124="","",INDEX(명단표[사번],$W124)&amp;"")</f>
        <v/>
      </c>
      <c r="T124">
        <f>IF($W124="","",INDEX(명단표[소속병원],$W124))</f>
        <v/>
      </c>
      <c r="U124">
        <f>IF($W124="","",INDEX(명단표[서울 근무일(기준월)],$W124))</f>
        <v/>
      </c>
      <c r="V124">
        <f>IF($W124="","",INDEX(명단표[구리 근무일(기준월)],$W124))</f>
        <v/>
      </c>
      <c r="W124" s="17">
        <f>IFERROR(MATCH(119,명단표[판정불가순번],0),"")</f>
        <v/>
      </c>
    </row>
    <row r="125">
      <c r="A125">
        <f>IF($P125="","",120)</f>
        <v/>
      </c>
      <c r="B125">
        <f>IF($P125="","",INDEX(명단표[이름],$P125))</f>
        <v/>
      </c>
      <c r="C125">
        <f>IF($P125="","",INDEX(명단표[사번],$P125)&amp;"")</f>
        <v/>
      </c>
      <c r="D125">
        <f>IF($P125="","",INDEX(명단표[전공의등록번호],$P125)&amp;"")</f>
        <v/>
      </c>
      <c r="E125">
        <f>IF($P125="","",INDEX(명단표[수련과목],$P125)&amp;"")</f>
        <v/>
      </c>
      <c r="F125">
        <f>IF($P125="","",INDEX(명단표[연차],$P125)&amp;"")</f>
        <v/>
      </c>
      <c r="G125">
        <f>IF($P125="","",INDEX(명단표[소속병원],$P125))</f>
        <v/>
      </c>
      <c r="H125">
        <f>IF($P125="","",IF(INDEX(명단표[소속병원],$P125)="서울병원","서울 소속","타 병원 소속("&amp;INDEX(명단표[소속병원],$P125)&amp;") → 서울 지급"))</f>
        <v/>
      </c>
      <c r="I125">
        <f>IF($P125="","",INDEX(명단표[현재 근무병원],$P125))</f>
        <v/>
      </c>
      <c r="J125">
        <f>IF($P125="","",INDEX(명단표[구리 근무 시작일(기준월)],$P125)&amp;"")</f>
        <v/>
      </c>
      <c r="K125">
        <f>IF($P125="","",INDEX(명단표[구리 근무 종료일(기준월)],$P125)&amp;"")</f>
        <v/>
      </c>
      <c r="L125">
        <f>IF($P125="","",INDEX(명단표[서울 근무일(기준월)],$P125))</f>
        <v/>
      </c>
      <c r="M125">
        <f>IF($P125="","",INDEX(명단표[구리 근무일(기준월)],$P125))</f>
        <v/>
      </c>
      <c r="N125">
        <f>IF($P125="","",INDEX(명단표[급여 판정 근거],$P125))</f>
        <v/>
      </c>
      <c r="O125">
        <f>IF($P125="","",INDEX(명단표[점검],$P125))</f>
        <v/>
      </c>
      <c r="P125" s="17">
        <f>IFERROR(MATCH(120,명단표[서울순번],0),"")</f>
        <v/>
      </c>
      <c r="R125">
        <f>IF($W125="","",INDEX(명단표[이름],$W125))</f>
        <v/>
      </c>
      <c r="S125">
        <f>IF($W125="","",INDEX(명단표[사번],$W125)&amp;"")</f>
        <v/>
      </c>
      <c r="T125">
        <f>IF($W125="","",INDEX(명단표[소속병원],$W125))</f>
        <v/>
      </c>
      <c r="U125">
        <f>IF($W125="","",INDEX(명단표[서울 근무일(기준월)],$W125))</f>
        <v/>
      </c>
      <c r="V125">
        <f>IF($W125="","",INDEX(명단표[구리 근무일(기준월)],$W125))</f>
        <v/>
      </c>
      <c r="W125" s="17">
        <f>IFERROR(MATCH(120,명단표[판정불가순번],0),"")</f>
        <v/>
      </c>
    </row>
    <row r="126">
      <c r="A126">
        <f>IF($P126="","",121)</f>
        <v/>
      </c>
      <c r="B126">
        <f>IF($P126="","",INDEX(명단표[이름],$P126))</f>
        <v/>
      </c>
      <c r="C126">
        <f>IF($P126="","",INDEX(명단표[사번],$P126)&amp;"")</f>
        <v/>
      </c>
      <c r="D126">
        <f>IF($P126="","",INDEX(명단표[전공의등록번호],$P126)&amp;"")</f>
        <v/>
      </c>
      <c r="E126">
        <f>IF($P126="","",INDEX(명단표[수련과목],$P126)&amp;"")</f>
        <v/>
      </c>
      <c r="F126">
        <f>IF($P126="","",INDEX(명단표[연차],$P126)&amp;"")</f>
        <v/>
      </c>
      <c r="G126">
        <f>IF($P126="","",INDEX(명단표[소속병원],$P126))</f>
        <v/>
      </c>
      <c r="H126">
        <f>IF($P126="","",IF(INDEX(명단표[소속병원],$P126)="서울병원","서울 소속","타 병원 소속("&amp;INDEX(명단표[소속병원],$P126)&amp;") → 서울 지급"))</f>
        <v/>
      </c>
      <c r="I126">
        <f>IF($P126="","",INDEX(명단표[현재 근무병원],$P126))</f>
        <v/>
      </c>
      <c r="J126">
        <f>IF($P126="","",INDEX(명단표[구리 근무 시작일(기준월)],$P126)&amp;"")</f>
        <v/>
      </c>
      <c r="K126">
        <f>IF($P126="","",INDEX(명단표[구리 근무 종료일(기준월)],$P126)&amp;"")</f>
        <v/>
      </c>
      <c r="L126">
        <f>IF($P126="","",INDEX(명단표[서울 근무일(기준월)],$P126))</f>
        <v/>
      </c>
      <c r="M126">
        <f>IF($P126="","",INDEX(명단표[구리 근무일(기준월)],$P126))</f>
        <v/>
      </c>
      <c r="N126">
        <f>IF($P126="","",INDEX(명단표[급여 판정 근거],$P126))</f>
        <v/>
      </c>
      <c r="O126">
        <f>IF($P126="","",INDEX(명단표[점검],$P126))</f>
        <v/>
      </c>
      <c r="P126" s="17">
        <f>IFERROR(MATCH(121,명단표[서울순번],0),"")</f>
        <v/>
      </c>
      <c r="R126">
        <f>IF($W126="","",INDEX(명단표[이름],$W126))</f>
        <v/>
      </c>
      <c r="S126">
        <f>IF($W126="","",INDEX(명단표[사번],$W126)&amp;"")</f>
        <v/>
      </c>
      <c r="T126">
        <f>IF($W126="","",INDEX(명단표[소속병원],$W126))</f>
        <v/>
      </c>
      <c r="U126">
        <f>IF($W126="","",INDEX(명단표[서울 근무일(기준월)],$W126))</f>
        <v/>
      </c>
      <c r="V126">
        <f>IF($W126="","",INDEX(명단표[구리 근무일(기준월)],$W126))</f>
        <v/>
      </c>
      <c r="W126" s="17">
        <f>IFERROR(MATCH(121,명단표[판정불가순번],0),"")</f>
        <v/>
      </c>
    </row>
    <row r="127">
      <c r="A127">
        <f>IF($P127="","",122)</f>
        <v/>
      </c>
      <c r="B127">
        <f>IF($P127="","",INDEX(명단표[이름],$P127))</f>
        <v/>
      </c>
      <c r="C127">
        <f>IF($P127="","",INDEX(명단표[사번],$P127)&amp;"")</f>
        <v/>
      </c>
      <c r="D127">
        <f>IF($P127="","",INDEX(명단표[전공의등록번호],$P127)&amp;"")</f>
        <v/>
      </c>
      <c r="E127">
        <f>IF($P127="","",INDEX(명단표[수련과목],$P127)&amp;"")</f>
        <v/>
      </c>
      <c r="F127">
        <f>IF($P127="","",INDEX(명단표[연차],$P127)&amp;"")</f>
        <v/>
      </c>
      <c r="G127">
        <f>IF($P127="","",INDEX(명단표[소속병원],$P127))</f>
        <v/>
      </c>
      <c r="H127">
        <f>IF($P127="","",IF(INDEX(명단표[소속병원],$P127)="서울병원","서울 소속","타 병원 소속("&amp;INDEX(명단표[소속병원],$P127)&amp;") → 서울 지급"))</f>
        <v/>
      </c>
      <c r="I127">
        <f>IF($P127="","",INDEX(명단표[현재 근무병원],$P127))</f>
        <v/>
      </c>
      <c r="J127">
        <f>IF($P127="","",INDEX(명단표[구리 근무 시작일(기준월)],$P127)&amp;"")</f>
        <v/>
      </c>
      <c r="K127">
        <f>IF($P127="","",INDEX(명단표[구리 근무 종료일(기준월)],$P127)&amp;"")</f>
        <v/>
      </c>
      <c r="L127">
        <f>IF($P127="","",INDEX(명단표[서울 근무일(기준월)],$P127))</f>
        <v/>
      </c>
      <c r="M127">
        <f>IF($P127="","",INDEX(명단표[구리 근무일(기준월)],$P127))</f>
        <v/>
      </c>
      <c r="N127">
        <f>IF($P127="","",INDEX(명단표[급여 판정 근거],$P127))</f>
        <v/>
      </c>
      <c r="O127">
        <f>IF($P127="","",INDEX(명단표[점검],$P127))</f>
        <v/>
      </c>
      <c r="P127" s="17">
        <f>IFERROR(MATCH(122,명단표[서울순번],0),"")</f>
        <v/>
      </c>
      <c r="R127">
        <f>IF($W127="","",INDEX(명단표[이름],$W127))</f>
        <v/>
      </c>
      <c r="S127">
        <f>IF($W127="","",INDEX(명단표[사번],$W127)&amp;"")</f>
        <v/>
      </c>
      <c r="T127">
        <f>IF($W127="","",INDEX(명단표[소속병원],$W127))</f>
        <v/>
      </c>
      <c r="U127">
        <f>IF($W127="","",INDEX(명단표[서울 근무일(기준월)],$W127))</f>
        <v/>
      </c>
      <c r="V127">
        <f>IF($W127="","",INDEX(명단표[구리 근무일(기준월)],$W127))</f>
        <v/>
      </c>
      <c r="W127" s="17">
        <f>IFERROR(MATCH(122,명단표[판정불가순번],0),"")</f>
        <v/>
      </c>
    </row>
    <row r="128">
      <c r="A128">
        <f>IF($P128="","",123)</f>
        <v/>
      </c>
      <c r="B128">
        <f>IF($P128="","",INDEX(명단표[이름],$P128))</f>
        <v/>
      </c>
      <c r="C128">
        <f>IF($P128="","",INDEX(명단표[사번],$P128)&amp;"")</f>
        <v/>
      </c>
      <c r="D128">
        <f>IF($P128="","",INDEX(명단표[전공의등록번호],$P128)&amp;"")</f>
        <v/>
      </c>
      <c r="E128">
        <f>IF($P128="","",INDEX(명단표[수련과목],$P128)&amp;"")</f>
        <v/>
      </c>
      <c r="F128">
        <f>IF($P128="","",INDEX(명단표[연차],$P128)&amp;"")</f>
        <v/>
      </c>
      <c r="G128">
        <f>IF($P128="","",INDEX(명단표[소속병원],$P128))</f>
        <v/>
      </c>
      <c r="H128">
        <f>IF($P128="","",IF(INDEX(명단표[소속병원],$P128)="서울병원","서울 소속","타 병원 소속("&amp;INDEX(명단표[소속병원],$P128)&amp;") → 서울 지급"))</f>
        <v/>
      </c>
      <c r="I128">
        <f>IF($P128="","",INDEX(명단표[현재 근무병원],$P128))</f>
        <v/>
      </c>
      <c r="J128">
        <f>IF($P128="","",INDEX(명단표[구리 근무 시작일(기준월)],$P128)&amp;"")</f>
        <v/>
      </c>
      <c r="K128">
        <f>IF($P128="","",INDEX(명단표[구리 근무 종료일(기준월)],$P128)&amp;"")</f>
        <v/>
      </c>
      <c r="L128">
        <f>IF($P128="","",INDEX(명단표[서울 근무일(기준월)],$P128))</f>
        <v/>
      </c>
      <c r="M128">
        <f>IF($P128="","",INDEX(명단표[구리 근무일(기준월)],$P128))</f>
        <v/>
      </c>
      <c r="N128">
        <f>IF($P128="","",INDEX(명단표[급여 판정 근거],$P128))</f>
        <v/>
      </c>
      <c r="O128">
        <f>IF($P128="","",INDEX(명단표[점검],$P128))</f>
        <v/>
      </c>
      <c r="P128" s="17">
        <f>IFERROR(MATCH(123,명단표[서울순번],0),"")</f>
        <v/>
      </c>
      <c r="R128">
        <f>IF($W128="","",INDEX(명단표[이름],$W128))</f>
        <v/>
      </c>
      <c r="S128">
        <f>IF($W128="","",INDEX(명단표[사번],$W128)&amp;"")</f>
        <v/>
      </c>
      <c r="T128">
        <f>IF($W128="","",INDEX(명단표[소속병원],$W128))</f>
        <v/>
      </c>
      <c r="U128">
        <f>IF($W128="","",INDEX(명단표[서울 근무일(기준월)],$W128))</f>
        <v/>
      </c>
      <c r="V128">
        <f>IF($W128="","",INDEX(명단표[구리 근무일(기준월)],$W128))</f>
        <v/>
      </c>
      <c r="W128" s="17">
        <f>IFERROR(MATCH(123,명단표[판정불가순번],0),"")</f>
        <v/>
      </c>
    </row>
    <row r="129">
      <c r="A129">
        <f>IF($P129="","",124)</f>
        <v/>
      </c>
      <c r="B129">
        <f>IF($P129="","",INDEX(명단표[이름],$P129))</f>
        <v/>
      </c>
      <c r="C129">
        <f>IF($P129="","",INDEX(명단표[사번],$P129)&amp;"")</f>
        <v/>
      </c>
      <c r="D129">
        <f>IF($P129="","",INDEX(명단표[전공의등록번호],$P129)&amp;"")</f>
        <v/>
      </c>
      <c r="E129">
        <f>IF($P129="","",INDEX(명단표[수련과목],$P129)&amp;"")</f>
        <v/>
      </c>
      <c r="F129">
        <f>IF($P129="","",INDEX(명단표[연차],$P129)&amp;"")</f>
        <v/>
      </c>
      <c r="G129">
        <f>IF($P129="","",INDEX(명단표[소속병원],$P129))</f>
        <v/>
      </c>
      <c r="H129">
        <f>IF($P129="","",IF(INDEX(명단표[소속병원],$P129)="서울병원","서울 소속","타 병원 소속("&amp;INDEX(명단표[소속병원],$P129)&amp;") → 서울 지급"))</f>
        <v/>
      </c>
      <c r="I129">
        <f>IF($P129="","",INDEX(명단표[현재 근무병원],$P129))</f>
        <v/>
      </c>
      <c r="J129">
        <f>IF($P129="","",INDEX(명단표[구리 근무 시작일(기준월)],$P129)&amp;"")</f>
        <v/>
      </c>
      <c r="K129">
        <f>IF($P129="","",INDEX(명단표[구리 근무 종료일(기준월)],$P129)&amp;"")</f>
        <v/>
      </c>
      <c r="L129">
        <f>IF($P129="","",INDEX(명단표[서울 근무일(기준월)],$P129))</f>
        <v/>
      </c>
      <c r="M129">
        <f>IF($P129="","",INDEX(명단표[구리 근무일(기준월)],$P129))</f>
        <v/>
      </c>
      <c r="N129">
        <f>IF($P129="","",INDEX(명단표[급여 판정 근거],$P129))</f>
        <v/>
      </c>
      <c r="O129">
        <f>IF($P129="","",INDEX(명단표[점검],$P129))</f>
        <v/>
      </c>
      <c r="P129" s="17">
        <f>IFERROR(MATCH(124,명단표[서울순번],0),"")</f>
        <v/>
      </c>
      <c r="R129">
        <f>IF($W129="","",INDEX(명단표[이름],$W129))</f>
        <v/>
      </c>
      <c r="S129">
        <f>IF($W129="","",INDEX(명단표[사번],$W129)&amp;"")</f>
        <v/>
      </c>
      <c r="T129">
        <f>IF($W129="","",INDEX(명단표[소속병원],$W129))</f>
        <v/>
      </c>
      <c r="U129">
        <f>IF($W129="","",INDEX(명단표[서울 근무일(기준월)],$W129))</f>
        <v/>
      </c>
      <c r="V129">
        <f>IF($W129="","",INDEX(명단표[구리 근무일(기준월)],$W129))</f>
        <v/>
      </c>
      <c r="W129" s="17">
        <f>IFERROR(MATCH(124,명단표[판정불가순번],0),"")</f>
        <v/>
      </c>
    </row>
    <row r="130">
      <c r="A130">
        <f>IF($P130="","",125)</f>
        <v/>
      </c>
      <c r="B130">
        <f>IF($P130="","",INDEX(명단표[이름],$P130))</f>
        <v/>
      </c>
      <c r="C130">
        <f>IF($P130="","",INDEX(명단표[사번],$P130)&amp;"")</f>
        <v/>
      </c>
      <c r="D130">
        <f>IF($P130="","",INDEX(명단표[전공의등록번호],$P130)&amp;"")</f>
        <v/>
      </c>
      <c r="E130">
        <f>IF($P130="","",INDEX(명단표[수련과목],$P130)&amp;"")</f>
        <v/>
      </c>
      <c r="F130">
        <f>IF($P130="","",INDEX(명단표[연차],$P130)&amp;"")</f>
        <v/>
      </c>
      <c r="G130">
        <f>IF($P130="","",INDEX(명단표[소속병원],$P130))</f>
        <v/>
      </c>
      <c r="H130">
        <f>IF($P130="","",IF(INDEX(명단표[소속병원],$P130)="서울병원","서울 소속","타 병원 소속("&amp;INDEX(명단표[소속병원],$P130)&amp;") → 서울 지급"))</f>
        <v/>
      </c>
      <c r="I130">
        <f>IF($P130="","",INDEX(명단표[현재 근무병원],$P130))</f>
        <v/>
      </c>
      <c r="J130">
        <f>IF($P130="","",INDEX(명단표[구리 근무 시작일(기준월)],$P130)&amp;"")</f>
        <v/>
      </c>
      <c r="K130">
        <f>IF($P130="","",INDEX(명단표[구리 근무 종료일(기준월)],$P130)&amp;"")</f>
        <v/>
      </c>
      <c r="L130">
        <f>IF($P130="","",INDEX(명단표[서울 근무일(기준월)],$P130))</f>
        <v/>
      </c>
      <c r="M130">
        <f>IF($P130="","",INDEX(명단표[구리 근무일(기준월)],$P130))</f>
        <v/>
      </c>
      <c r="N130">
        <f>IF($P130="","",INDEX(명단표[급여 판정 근거],$P130))</f>
        <v/>
      </c>
      <c r="O130">
        <f>IF($P130="","",INDEX(명단표[점검],$P130))</f>
        <v/>
      </c>
      <c r="P130" s="17">
        <f>IFERROR(MATCH(125,명단표[서울순번],0),"")</f>
        <v/>
      </c>
      <c r="R130">
        <f>IF($W130="","",INDEX(명단표[이름],$W130))</f>
        <v/>
      </c>
      <c r="S130">
        <f>IF($W130="","",INDEX(명단표[사번],$W130)&amp;"")</f>
        <v/>
      </c>
      <c r="T130">
        <f>IF($W130="","",INDEX(명단표[소속병원],$W130))</f>
        <v/>
      </c>
      <c r="U130">
        <f>IF($W130="","",INDEX(명단표[서울 근무일(기준월)],$W130))</f>
        <v/>
      </c>
      <c r="V130">
        <f>IF($W130="","",INDEX(명단표[구리 근무일(기준월)],$W130))</f>
        <v/>
      </c>
      <c r="W130" s="17">
        <f>IFERROR(MATCH(125,명단표[판정불가순번],0),"")</f>
        <v/>
      </c>
    </row>
    <row r="131">
      <c r="A131">
        <f>IF($P131="","",126)</f>
        <v/>
      </c>
      <c r="B131">
        <f>IF($P131="","",INDEX(명단표[이름],$P131))</f>
        <v/>
      </c>
      <c r="C131">
        <f>IF($P131="","",INDEX(명단표[사번],$P131)&amp;"")</f>
        <v/>
      </c>
      <c r="D131">
        <f>IF($P131="","",INDEX(명단표[전공의등록번호],$P131)&amp;"")</f>
        <v/>
      </c>
      <c r="E131">
        <f>IF($P131="","",INDEX(명단표[수련과목],$P131)&amp;"")</f>
        <v/>
      </c>
      <c r="F131">
        <f>IF($P131="","",INDEX(명단표[연차],$P131)&amp;"")</f>
        <v/>
      </c>
      <c r="G131">
        <f>IF($P131="","",INDEX(명단표[소속병원],$P131))</f>
        <v/>
      </c>
      <c r="H131">
        <f>IF($P131="","",IF(INDEX(명단표[소속병원],$P131)="서울병원","서울 소속","타 병원 소속("&amp;INDEX(명단표[소속병원],$P131)&amp;") → 서울 지급"))</f>
        <v/>
      </c>
      <c r="I131">
        <f>IF($P131="","",INDEX(명단표[현재 근무병원],$P131))</f>
        <v/>
      </c>
      <c r="J131">
        <f>IF($P131="","",INDEX(명단표[구리 근무 시작일(기준월)],$P131)&amp;"")</f>
        <v/>
      </c>
      <c r="K131">
        <f>IF($P131="","",INDEX(명단표[구리 근무 종료일(기준월)],$P131)&amp;"")</f>
        <v/>
      </c>
      <c r="L131">
        <f>IF($P131="","",INDEX(명단표[서울 근무일(기준월)],$P131))</f>
        <v/>
      </c>
      <c r="M131">
        <f>IF($P131="","",INDEX(명단표[구리 근무일(기준월)],$P131))</f>
        <v/>
      </c>
      <c r="N131">
        <f>IF($P131="","",INDEX(명단표[급여 판정 근거],$P131))</f>
        <v/>
      </c>
      <c r="O131">
        <f>IF($P131="","",INDEX(명단표[점검],$P131))</f>
        <v/>
      </c>
      <c r="P131" s="17">
        <f>IFERROR(MATCH(126,명단표[서울순번],0),"")</f>
        <v/>
      </c>
      <c r="R131">
        <f>IF($W131="","",INDEX(명단표[이름],$W131))</f>
        <v/>
      </c>
      <c r="S131">
        <f>IF($W131="","",INDEX(명단표[사번],$W131)&amp;"")</f>
        <v/>
      </c>
      <c r="T131">
        <f>IF($W131="","",INDEX(명단표[소속병원],$W131))</f>
        <v/>
      </c>
      <c r="U131">
        <f>IF($W131="","",INDEX(명단표[서울 근무일(기준월)],$W131))</f>
        <v/>
      </c>
      <c r="V131">
        <f>IF($W131="","",INDEX(명단표[구리 근무일(기준월)],$W131))</f>
        <v/>
      </c>
      <c r="W131" s="17">
        <f>IFERROR(MATCH(126,명단표[판정불가순번],0),"")</f>
        <v/>
      </c>
    </row>
    <row r="132">
      <c r="A132">
        <f>IF($P132="","",127)</f>
        <v/>
      </c>
      <c r="B132">
        <f>IF($P132="","",INDEX(명단표[이름],$P132))</f>
        <v/>
      </c>
      <c r="C132">
        <f>IF($P132="","",INDEX(명단표[사번],$P132)&amp;"")</f>
        <v/>
      </c>
      <c r="D132">
        <f>IF($P132="","",INDEX(명단표[전공의등록번호],$P132)&amp;"")</f>
        <v/>
      </c>
      <c r="E132">
        <f>IF($P132="","",INDEX(명단표[수련과목],$P132)&amp;"")</f>
        <v/>
      </c>
      <c r="F132">
        <f>IF($P132="","",INDEX(명단표[연차],$P132)&amp;"")</f>
        <v/>
      </c>
      <c r="G132">
        <f>IF($P132="","",INDEX(명단표[소속병원],$P132))</f>
        <v/>
      </c>
      <c r="H132">
        <f>IF($P132="","",IF(INDEX(명단표[소속병원],$P132)="서울병원","서울 소속","타 병원 소속("&amp;INDEX(명단표[소속병원],$P132)&amp;") → 서울 지급"))</f>
        <v/>
      </c>
      <c r="I132">
        <f>IF($P132="","",INDEX(명단표[현재 근무병원],$P132))</f>
        <v/>
      </c>
      <c r="J132">
        <f>IF($P132="","",INDEX(명단표[구리 근무 시작일(기준월)],$P132)&amp;"")</f>
        <v/>
      </c>
      <c r="K132">
        <f>IF($P132="","",INDEX(명단표[구리 근무 종료일(기준월)],$P132)&amp;"")</f>
        <v/>
      </c>
      <c r="L132">
        <f>IF($P132="","",INDEX(명단표[서울 근무일(기준월)],$P132))</f>
        <v/>
      </c>
      <c r="M132">
        <f>IF($P132="","",INDEX(명단표[구리 근무일(기준월)],$P132))</f>
        <v/>
      </c>
      <c r="N132">
        <f>IF($P132="","",INDEX(명단표[급여 판정 근거],$P132))</f>
        <v/>
      </c>
      <c r="O132">
        <f>IF($P132="","",INDEX(명단표[점검],$P132))</f>
        <v/>
      </c>
      <c r="P132" s="17">
        <f>IFERROR(MATCH(127,명단표[서울순번],0),"")</f>
        <v/>
      </c>
      <c r="R132">
        <f>IF($W132="","",INDEX(명단표[이름],$W132))</f>
        <v/>
      </c>
      <c r="S132">
        <f>IF($W132="","",INDEX(명단표[사번],$W132)&amp;"")</f>
        <v/>
      </c>
      <c r="T132">
        <f>IF($W132="","",INDEX(명단표[소속병원],$W132))</f>
        <v/>
      </c>
      <c r="U132">
        <f>IF($W132="","",INDEX(명단표[서울 근무일(기준월)],$W132))</f>
        <v/>
      </c>
      <c r="V132">
        <f>IF($W132="","",INDEX(명단표[구리 근무일(기준월)],$W132))</f>
        <v/>
      </c>
      <c r="W132" s="17">
        <f>IFERROR(MATCH(127,명단표[판정불가순번],0),"")</f>
        <v/>
      </c>
    </row>
    <row r="133">
      <c r="A133">
        <f>IF($P133="","",128)</f>
        <v/>
      </c>
      <c r="B133">
        <f>IF($P133="","",INDEX(명단표[이름],$P133))</f>
        <v/>
      </c>
      <c r="C133">
        <f>IF($P133="","",INDEX(명단표[사번],$P133)&amp;"")</f>
        <v/>
      </c>
      <c r="D133">
        <f>IF($P133="","",INDEX(명단표[전공의등록번호],$P133)&amp;"")</f>
        <v/>
      </c>
      <c r="E133">
        <f>IF($P133="","",INDEX(명단표[수련과목],$P133)&amp;"")</f>
        <v/>
      </c>
      <c r="F133">
        <f>IF($P133="","",INDEX(명단표[연차],$P133)&amp;"")</f>
        <v/>
      </c>
      <c r="G133">
        <f>IF($P133="","",INDEX(명단표[소속병원],$P133))</f>
        <v/>
      </c>
      <c r="H133">
        <f>IF($P133="","",IF(INDEX(명단표[소속병원],$P133)="서울병원","서울 소속","타 병원 소속("&amp;INDEX(명단표[소속병원],$P133)&amp;") → 서울 지급"))</f>
        <v/>
      </c>
      <c r="I133">
        <f>IF($P133="","",INDEX(명단표[현재 근무병원],$P133))</f>
        <v/>
      </c>
      <c r="J133">
        <f>IF($P133="","",INDEX(명단표[구리 근무 시작일(기준월)],$P133)&amp;"")</f>
        <v/>
      </c>
      <c r="K133">
        <f>IF($P133="","",INDEX(명단표[구리 근무 종료일(기준월)],$P133)&amp;"")</f>
        <v/>
      </c>
      <c r="L133">
        <f>IF($P133="","",INDEX(명단표[서울 근무일(기준월)],$P133))</f>
        <v/>
      </c>
      <c r="M133">
        <f>IF($P133="","",INDEX(명단표[구리 근무일(기준월)],$P133))</f>
        <v/>
      </c>
      <c r="N133">
        <f>IF($P133="","",INDEX(명단표[급여 판정 근거],$P133))</f>
        <v/>
      </c>
      <c r="O133">
        <f>IF($P133="","",INDEX(명단표[점검],$P133))</f>
        <v/>
      </c>
      <c r="P133" s="17">
        <f>IFERROR(MATCH(128,명단표[서울순번],0),"")</f>
        <v/>
      </c>
      <c r="R133">
        <f>IF($W133="","",INDEX(명단표[이름],$W133))</f>
        <v/>
      </c>
      <c r="S133">
        <f>IF($W133="","",INDEX(명단표[사번],$W133)&amp;"")</f>
        <v/>
      </c>
      <c r="T133">
        <f>IF($W133="","",INDEX(명단표[소속병원],$W133))</f>
        <v/>
      </c>
      <c r="U133">
        <f>IF($W133="","",INDEX(명단표[서울 근무일(기준월)],$W133))</f>
        <v/>
      </c>
      <c r="V133">
        <f>IF($W133="","",INDEX(명단표[구리 근무일(기준월)],$W133))</f>
        <v/>
      </c>
      <c r="W133" s="17">
        <f>IFERROR(MATCH(128,명단표[판정불가순번],0),"")</f>
        <v/>
      </c>
    </row>
    <row r="134">
      <c r="A134">
        <f>IF($P134="","",129)</f>
        <v/>
      </c>
      <c r="B134">
        <f>IF($P134="","",INDEX(명단표[이름],$P134))</f>
        <v/>
      </c>
      <c r="C134">
        <f>IF($P134="","",INDEX(명단표[사번],$P134)&amp;"")</f>
        <v/>
      </c>
      <c r="D134">
        <f>IF($P134="","",INDEX(명단표[전공의등록번호],$P134)&amp;"")</f>
        <v/>
      </c>
      <c r="E134">
        <f>IF($P134="","",INDEX(명단표[수련과목],$P134)&amp;"")</f>
        <v/>
      </c>
      <c r="F134">
        <f>IF($P134="","",INDEX(명단표[연차],$P134)&amp;"")</f>
        <v/>
      </c>
      <c r="G134">
        <f>IF($P134="","",INDEX(명단표[소속병원],$P134))</f>
        <v/>
      </c>
      <c r="H134">
        <f>IF($P134="","",IF(INDEX(명단표[소속병원],$P134)="서울병원","서울 소속","타 병원 소속("&amp;INDEX(명단표[소속병원],$P134)&amp;") → 서울 지급"))</f>
        <v/>
      </c>
      <c r="I134">
        <f>IF($P134="","",INDEX(명단표[현재 근무병원],$P134))</f>
        <v/>
      </c>
      <c r="J134">
        <f>IF($P134="","",INDEX(명단표[구리 근무 시작일(기준월)],$P134)&amp;"")</f>
        <v/>
      </c>
      <c r="K134">
        <f>IF($P134="","",INDEX(명단표[구리 근무 종료일(기준월)],$P134)&amp;"")</f>
        <v/>
      </c>
      <c r="L134">
        <f>IF($P134="","",INDEX(명단표[서울 근무일(기준월)],$P134))</f>
        <v/>
      </c>
      <c r="M134">
        <f>IF($P134="","",INDEX(명단표[구리 근무일(기준월)],$P134))</f>
        <v/>
      </c>
      <c r="N134">
        <f>IF($P134="","",INDEX(명단표[급여 판정 근거],$P134))</f>
        <v/>
      </c>
      <c r="O134">
        <f>IF($P134="","",INDEX(명단표[점검],$P134))</f>
        <v/>
      </c>
      <c r="P134" s="17">
        <f>IFERROR(MATCH(129,명단표[서울순번],0),"")</f>
        <v/>
      </c>
      <c r="R134">
        <f>IF($W134="","",INDEX(명단표[이름],$W134))</f>
        <v/>
      </c>
      <c r="S134">
        <f>IF($W134="","",INDEX(명단표[사번],$W134)&amp;"")</f>
        <v/>
      </c>
      <c r="T134">
        <f>IF($W134="","",INDEX(명단표[소속병원],$W134))</f>
        <v/>
      </c>
      <c r="U134">
        <f>IF($W134="","",INDEX(명단표[서울 근무일(기준월)],$W134))</f>
        <v/>
      </c>
      <c r="V134">
        <f>IF($W134="","",INDEX(명단표[구리 근무일(기준월)],$W134))</f>
        <v/>
      </c>
      <c r="W134" s="17">
        <f>IFERROR(MATCH(129,명단표[판정불가순번],0),"")</f>
        <v/>
      </c>
    </row>
    <row r="135">
      <c r="A135">
        <f>IF($P135="","",130)</f>
        <v/>
      </c>
      <c r="B135">
        <f>IF($P135="","",INDEX(명단표[이름],$P135))</f>
        <v/>
      </c>
      <c r="C135">
        <f>IF($P135="","",INDEX(명단표[사번],$P135)&amp;"")</f>
        <v/>
      </c>
      <c r="D135">
        <f>IF($P135="","",INDEX(명단표[전공의등록번호],$P135)&amp;"")</f>
        <v/>
      </c>
      <c r="E135">
        <f>IF($P135="","",INDEX(명단표[수련과목],$P135)&amp;"")</f>
        <v/>
      </c>
      <c r="F135">
        <f>IF($P135="","",INDEX(명단표[연차],$P135)&amp;"")</f>
        <v/>
      </c>
      <c r="G135">
        <f>IF($P135="","",INDEX(명단표[소속병원],$P135))</f>
        <v/>
      </c>
      <c r="H135">
        <f>IF($P135="","",IF(INDEX(명단표[소속병원],$P135)="서울병원","서울 소속","타 병원 소속("&amp;INDEX(명단표[소속병원],$P135)&amp;") → 서울 지급"))</f>
        <v/>
      </c>
      <c r="I135">
        <f>IF($P135="","",INDEX(명단표[현재 근무병원],$P135))</f>
        <v/>
      </c>
      <c r="J135">
        <f>IF($P135="","",INDEX(명단표[구리 근무 시작일(기준월)],$P135)&amp;"")</f>
        <v/>
      </c>
      <c r="K135">
        <f>IF($P135="","",INDEX(명단표[구리 근무 종료일(기준월)],$P135)&amp;"")</f>
        <v/>
      </c>
      <c r="L135">
        <f>IF($P135="","",INDEX(명단표[서울 근무일(기준월)],$P135))</f>
        <v/>
      </c>
      <c r="M135">
        <f>IF($P135="","",INDEX(명단표[구리 근무일(기준월)],$P135))</f>
        <v/>
      </c>
      <c r="N135">
        <f>IF($P135="","",INDEX(명단표[급여 판정 근거],$P135))</f>
        <v/>
      </c>
      <c r="O135">
        <f>IF($P135="","",INDEX(명단표[점검],$P135))</f>
        <v/>
      </c>
      <c r="P135" s="17">
        <f>IFERROR(MATCH(130,명단표[서울순번],0),"")</f>
        <v/>
      </c>
      <c r="R135">
        <f>IF($W135="","",INDEX(명단표[이름],$W135))</f>
        <v/>
      </c>
      <c r="S135">
        <f>IF($W135="","",INDEX(명단표[사번],$W135)&amp;"")</f>
        <v/>
      </c>
      <c r="T135">
        <f>IF($W135="","",INDEX(명단표[소속병원],$W135))</f>
        <v/>
      </c>
      <c r="U135">
        <f>IF($W135="","",INDEX(명단표[서울 근무일(기준월)],$W135))</f>
        <v/>
      </c>
      <c r="V135">
        <f>IF($W135="","",INDEX(명단표[구리 근무일(기준월)],$W135))</f>
        <v/>
      </c>
      <c r="W135" s="17">
        <f>IFERROR(MATCH(130,명단표[판정불가순번],0),"")</f>
        <v/>
      </c>
    </row>
    <row r="136">
      <c r="A136">
        <f>IF($P136="","",131)</f>
        <v/>
      </c>
      <c r="B136">
        <f>IF($P136="","",INDEX(명단표[이름],$P136))</f>
        <v/>
      </c>
      <c r="C136">
        <f>IF($P136="","",INDEX(명단표[사번],$P136)&amp;"")</f>
        <v/>
      </c>
      <c r="D136">
        <f>IF($P136="","",INDEX(명단표[전공의등록번호],$P136)&amp;"")</f>
        <v/>
      </c>
      <c r="E136">
        <f>IF($P136="","",INDEX(명단표[수련과목],$P136)&amp;"")</f>
        <v/>
      </c>
      <c r="F136">
        <f>IF($P136="","",INDEX(명단표[연차],$P136)&amp;"")</f>
        <v/>
      </c>
      <c r="G136">
        <f>IF($P136="","",INDEX(명단표[소속병원],$P136))</f>
        <v/>
      </c>
      <c r="H136">
        <f>IF($P136="","",IF(INDEX(명단표[소속병원],$P136)="서울병원","서울 소속","타 병원 소속("&amp;INDEX(명단표[소속병원],$P136)&amp;") → 서울 지급"))</f>
        <v/>
      </c>
      <c r="I136">
        <f>IF($P136="","",INDEX(명단표[현재 근무병원],$P136))</f>
        <v/>
      </c>
      <c r="J136">
        <f>IF($P136="","",INDEX(명단표[구리 근무 시작일(기준월)],$P136)&amp;"")</f>
        <v/>
      </c>
      <c r="K136">
        <f>IF($P136="","",INDEX(명단표[구리 근무 종료일(기준월)],$P136)&amp;"")</f>
        <v/>
      </c>
      <c r="L136">
        <f>IF($P136="","",INDEX(명단표[서울 근무일(기준월)],$P136))</f>
        <v/>
      </c>
      <c r="M136">
        <f>IF($P136="","",INDEX(명단표[구리 근무일(기준월)],$P136))</f>
        <v/>
      </c>
      <c r="N136">
        <f>IF($P136="","",INDEX(명단표[급여 판정 근거],$P136))</f>
        <v/>
      </c>
      <c r="O136">
        <f>IF($P136="","",INDEX(명단표[점검],$P136))</f>
        <v/>
      </c>
      <c r="P136" s="17">
        <f>IFERROR(MATCH(131,명단표[서울순번],0),"")</f>
        <v/>
      </c>
      <c r="R136">
        <f>IF($W136="","",INDEX(명단표[이름],$W136))</f>
        <v/>
      </c>
      <c r="S136">
        <f>IF($W136="","",INDEX(명단표[사번],$W136)&amp;"")</f>
        <v/>
      </c>
      <c r="T136">
        <f>IF($W136="","",INDEX(명단표[소속병원],$W136))</f>
        <v/>
      </c>
      <c r="U136">
        <f>IF($W136="","",INDEX(명단표[서울 근무일(기준월)],$W136))</f>
        <v/>
      </c>
      <c r="V136">
        <f>IF($W136="","",INDEX(명단표[구리 근무일(기준월)],$W136))</f>
        <v/>
      </c>
      <c r="W136" s="17">
        <f>IFERROR(MATCH(131,명단표[판정불가순번],0),"")</f>
        <v/>
      </c>
    </row>
    <row r="137">
      <c r="A137">
        <f>IF($P137="","",132)</f>
        <v/>
      </c>
      <c r="B137">
        <f>IF($P137="","",INDEX(명단표[이름],$P137))</f>
        <v/>
      </c>
      <c r="C137">
        <f>IF($P137="","",INDEX(명단표[사번],$P137)&amp;"")</f>
        <v/>
      </c>
      <c r="D137">
        <f>IF($P137="","",INDEX(명단표[전공의등록번호],$P137)&amp;"")</f>
        <v/>
      </c>
      <c r="E137">
        <f>IF($P137="","",INDEX(명단표[수련과목],$P137)&amp;"")</f>
        <v/>
      </c>
      <c r="F137">
        <f>IF($P137="","",INDEX(명단표[연차],$P137)&amp;"")</f>
        <v/>
      </c>
      <c r="G137">
        <f>IF($P137="","",INDEX(명단표[소속병원],$P137))</f>
        <v/>
      </c>
      <c r="H137">
        <f>IF($P137="","",IF(INDEX(명단표[소속병원],$P137)="서울병원","서울 소속","타 병원 소속("&amp;INDEX(명단표[소속병원],$P137)&amp;") → 서울 지급"))</f>
        <v/>
      </c>
      <c r="I137">
        <f>IF($P137="","",INDEX(명단표[현재 근무병원],$P137))</f>
        <v/>
      </c>
      <c r="J137">
        <f>IF($P137="","",INDEX(명단표[구리 근무 시작일(기준월)],$P137)&amp;"")</f>
        <v/>
      </c>
      <c r="K137">
        <f>IF($P137="","",INDEX(명단표[구리 근무 종료일(기준월)],$P137)&amp;"")</f>
        <v/>
      </c>
      <c r="L137">
        <f>IF($P137="","",INDEX(명단표[서울 근무일(기준월)],$P137))</f>
        <v/>
      </c>
      <c r="M137">
        <f>IF($P137="","",INDEX(명단표[구리 근무일(기준월)],$P137))</f>
        <v/>
      </c>
      <c r="N137">
        <f>IF($P137="","",INDEX(명단표[급여 판정 근거],$P137))</f>
        <v/>
      </c>
      <c r="O137">
        <f>IF($P137="","",INDEX(명단표[점검],$P137))</f>
        <v/>
      </c>
      <c r="P137" s="17">
        <f>IFERROR(MATCH(132,명단표[서울순번],0),"")</f>
        <v/>
      </c>
      <c r="R137">
        <f>IF($W137="","",INDEX(명단표[이름],$W137))</f>
        <v/>
      </c>
      <c r="S137">
        <f>IF($W137="","",INDEX(명단표[사번],$W137)&amp;"")</f>
        <v/>
      </c>
      <c r="T137">
        <f>IF($W137="","",INDEX(명단표[소속병원],$W137))</f>
        <v/>
      </c>
      <c r="U137">
        <f>IF($W137="","",INDEX(명단표[서울 근무일(기준월)],$W137))</f>
        <v/>
      </c>
      <c r="V137">
        <f>IF($W137="","",INDEX(명단표[구리 근무일(기준월)],$W137))</f>
        <v/>
      </c>
      <c r="W137" s="17">
        <f>IFERROR(MATCH(132,명단표[판정불가순번],0),"")</f>
        <v/>
      </c>
    </row>
    <row r="138">
      <c r="A138">
        <f>IF($P138="","",133)</f>
        <v/>
      </c>
      <c r="B138">
        <f>IF($P138="","",INDEX(명단표[이름],$P138))</f>
        <v/>
      </c>
      <c r="C138">
        <f>IF($P138="","",INDEX(명단표[사번],$P138)&amp;"")</f>
        <v/>
      </c>
      <c r="D138">
        <f>IF($P138="","",INDEX(명단표[전공의등록번호],$P138)&amp;"")</f>
        <v/>
      </c>
      <c r="E138">
        <f>IF($P138="","",INDEX(명단표[수련과목],$P138)&amp;"")</f>
        <v/>
      </c>
      <c r="F138">
        <f>IF($P138="","",INDEX(명단표[연차],$P138)&amp;"")</f>
        <v/>
      </c>
      <c r="G138">
        <f>IF($P138="","",INDEX(명단표[소속병원],$P138))</f>
        <v/>
      </c>
      <c r="H138">
        <f>IF($P138="","",IF(INDEX(명단표[소속병원],$P138)="서울병원","서울 소속","타 병원 소속("&amp;INDEX(명단표[소속병원],$P138)&amp;") → 서울 지급"))</f>
        <v/>
      </c>
      <c r="I138">
        <f>IF($P138="","",INDEX(명단표[현재 근무병원],$P138))</f>
        <v/>
      </c>
      <c r="J138">
        <f>IF($P138="","",INDEX(명단표[구리 근무 시작일(기준월)],$P138)&amp;"")</f>
        <v/>
      </c>
      <c r="K138">
        <f>IF($P138="","",INDEX(명단표[구리 근무 종료일(기준월)],$P138)&amp;"")</f>
        <v/>
      </c>
      <c r="L138">
        <f>IF($P138="","",INDEX(명단표[서울 근무일(기준월)],$P138))</f>
        <v/>
      </c>
      <c r="M138">
        <f>IF($P138="","",INDEX(명단표[구리 근무일(기준월)],$P138))</f>
        <v/>
      </c>
      <c r="N138">
        <f>IF($P138="","",INDEX(명단표[급여 판정 근거],$P138))</f>
        <v/>
      </c>
      <c r="O138">
        <f>IF($P138="","",INDEX(명단표[점검],$P138))</f>
        <v/>
      </c>
      <c r="P138" s="17">
        <f>IFERROR(MATCH(133,명단표[서울순번],0),"")</f>
        <v/>
      </c>
      <c r="R138">
        <f>IF($W138="","",INDEX(명단표[이름],$W138))</f>
        <v/>
      </c>
      <c r="S138">
        <f>IF($W138="","",INDEX(명단표[사번],$W138)&amp;"")</f>
        <v/>
      </c>
      <c r="T138">
        <f>IF($W138="","",INDEX(명단표[소속병원],$W138))</f>
        <v/>
      </c>
      <c r="U138">
        <f>IF($W138="","",INDEX(명단표[서울 근무일(기준월)],$W138))</f>
        <v/>
      </c>
      <c r="V138">
        <f>IF($W138="","",INDEX(명단표[구리 근무일(기준월)],$W138))</f>
        <v/>
      </c>
      <c r="W138" s="17">
        <f>IFERROR(MATCH(133,명단표[판정불가순번],0),"")</f>
        <v/>
      </c>
    </row>
    <row r="139">
      <c r="A139">
        <f>IF($P139="","",134)</f>
        <v/>
      </c>
      <c r="B139">
        <f>IF($P139="","",INDEX(명단표[이름],$P139))</f>
        <v/>
      </c>
      <c r="C139">
        <f>IF($P139="","",INDEX(명단표[사번],$P139)&amp;"")</f>
        <v/>
      </c>
      <c r="D139">
        <f>IF($P139="","",INDEX(명단표[전공의등록번호],$P139)&amp;"")</f>
        <v/>
      </c>
      <c r="E139">
        <f>IF($P139="","",INDEX(명단표[수련과목],$P139)&amp;"")</f>
        <v/>
      </c>
      <c r="F139">
        <f>IF($P139="","",INDEX(명단표[연차],$P139)&amp;"")</f>
        <v/>
      </c>
      <c r="G139">
        <f>IF($P139="","",INDEX(명단표[소속병원],$P139))</f>
        <v/>
      </c>
      <c r="H139">
        <f>IF($P139="","",IF(INDEX(명단표[소속병원],$P139)="서울병원","서울 소속","타 병원 소속("&amp;INDEX(명단표[소속병원],$P139)&amp;") → 서울 지급"))</f>
        <v/>
      </c>
      <c r="I139">
        <f>IF($P139="","",INDEX(명단표[현재 근무병원],$P139))</f>
        <v/>
      </c>
      <c r="J139">
        <f>IF($P139="","",INDEX(명단표[구리 근무 시작일(기준월)],$P139)&amp;"")</f>
        <v/>
      </c>
      <c r="K139">
        <f>IF($P139="","",INDEX(명단표[구리 근무 종료일(기준월)],$P139)&amp;"")</f>
        <v/>
      </c>
      <c r="L139">
        <f>IF($P139="","",INDEX(명단표[서울 근무일(기준월)],$P139))</f>
        <v/>
      </c>
      <c r="M139">
        <f>IF($P139="","",INDEX(명단표[구리 근무일(기준월)],$P139))</f>
        <v/>
      </c>
      <c r="N139">
        <f>IF($P139="","",INDEX(명단표[급여 판정 근거],$P139))</f>
        <v/>
      </c>
      <c r="O139">
        <f>IF($P139="","",INDEX(명단표[점검],$P139))</f>
        <v/>
      </c>
      <c r="P139" s="17">
        <f>IFERROR(MATCH(134,명단표[서울순번],0),"")</f>
        <v/>
      </c>
      <c r="R139">
        <f>IF($W139="","",INDEX(명단표[이름],$W139))</f>
        <v/>
      </c>
      <c r="S139">
        <f>IF($W139="","",INDEX(명단표[사번],$W139)&amp;"")</f>
        <v/>
      </c>
      <c r="T139">
        <f>IF($W139="","",INDEX(명단표[소속병원],$W139))</f>
        <v/>
      </c>
      <c r="U139">
        <f>IF($W139="","",INDEX(명단표[서울 근무일(기준월)],$W139))</f>
        <v/>
      </c>
      <c r="V139">
        <f>IF($W139="","",INDEX(명단표[구리 근무일(기준월)],$W139))</f>
        <v/>
      </c>
      <c r="W139" s="17">
        <f>IFERROR(MATCH(134,명단표[판정불가순번],0),"")</f>
        <v/>
      </c>
    </row>
    <row r="140">
      <c r="A140">
        <f>IF($P140="","",135)</f>
        <v/>
      </c>
      <c r="B140">
        <f>IF($P140="","",INDEX(명단표[이름],$P140))</f>
        <v/>
      </c>
      <c r="C140">
        <f>IF($P140="","",INDEX(명단표[사번],$P140)&amp;"")</f>
        <v/>
      </c>
      <c r="D140">
        <f>IF($P140="","",INDEX(명단표[전공의등록번호],$P140)&amp;"")</f>
        <v/>
      </c>
      <c r="E140">
        <f>IF($P140="","",INDEX(명단표[수련과목],$P140)&amp;"")</f>
        <v/>
      </c>
      <c r="F140">
        <f>IF($P140="","",INDEX(명단표[연차],$P140)&amp;"")</f>
        <v/>
      </c>
      <c r="G140">
        <f>IF($P140="","",INDEX(명단표[소속병원],$P140))</f>
        <v/>
      </c>
      <c r="H140">
        <f>IF($P140="","",IF(INDEX(명단표[소속병원],$P140)="서울병원","서울 소속","타 병원 소속("&amp;INDEX(명단표[소속병원],$P140)&amp;") → 서울 지급"))</f>
        <v/>
      </c>
      <c r="I140">
        <f>IF($P140="","",INDEX(명단표[현재 근무병원],$P140))</f>
        <v/>
      </c>
      <c r="J140">
        <f>IF($P140="","",INDEX(명단표[구리 근무 시작일(기준월)],$P140)&amp;"")</f>
        <v/>
      </c>
      <c r="K140">
        <f>IF($P140="","",INDEX(명단표[구리 근무 종료일(기준월)],$P140)&amp;"")</f>
        <v/>
      </c>
      <c r="L140">
        <f>IF($P140="","",INDEX(명단표[서울 근무일(기준월)],$P140))</f>
        <v/>
      </c>
      <c r="M140">
        <f>IF($P140="","",INDEX(명단표[구리 근무일(기준월)],$P140))</f>
        <v/>
      </c>
      <c r="N140">
        <f>IF($P140="","",INDEX(명단표[급여 판정 근거],$P140))</f>
        <v/>
      </c>
      <c r="O140">
        <f>IF($P140="","",INDEX(명단표[점검],$P140))</f>
        <v/>
      </c>
      <c r="P140" s="17">
        <f>IFERROR(MATCH(135,명단표[서울순번],0),"")</f>
        <v/>
      </c>
      <c r="R140">
        <f>IF($W140="","",INDEX(명단표[이름],$W140))</f>
        <v/>
      </c>
      <c r="S140">
        <f>IF($W140="","",INDEX(명단표[사번],$W140)&amp;"")</f>
        <v/>
      </c>
      <c r="T140">
        <f>IF($W140="","",INDEX(명단표[소속병원],$W140))</f>
        <v/>
      </c>
      <c r="U140">
        <f>IF($W140="","",INDEX(명단표[서울 근무일(기준월)],$W140))</f>
        <v/>
      </c>
      <c r="V140">
        <f>IF($W140="","",INDEX(명단표[구리 근무일(기준월)],$W140))</f>
        <v/>
      </c>
      <c r="W140" s="17">
        <f>IFERROR(MATCH(135,명단표[판정불가순번],0),"")</f>
        <v/>
      </c>
    </row>
    <row r="141">
      <c r="A141">
        <f>IF($P141="","",136)</f>
        <v/>
      </c>
      <c r="B141">
        <f>IF($P141="","",INDEX(명단표[이름],$P141))</f>
        <v/>
      </c>
      <c r="C141">
        <f>IF($P141="","",INDEX(명단표[사번],$P141)&amp;"")</f>
        <v/>
      </c>
      <c r="D141">
        <f>IF($P141="","",INDEX(명단표[전공의등록번호],$P141)&amp;"")</f>
        <v/>
      </c>
      <c r="E141">
        <f>IF($P141="","",INDEX(명단표[수련과목],$P141)&amp;"")</f>
        <v/>
      </c>
      <c r="F141">
        <f>IF($P141="","",INDEX(명단표[연차],$P141)&amp;"")</f>
        <v/>
      </c>
      <c r="G141">
        <f>IF($P141="","",INDEX(명단표[소속병원],$P141))</f>
        <v/>
      </c>
      <c r="H141">
        <f>IF($P141="","",IF(INDEX(명단표[소속병원],$P141)="서울병원","서울 소속","타 병원 소속("&amp;INDEX(명단표[소속병원],$P141)&amp;") → 서울 지급"))</f>
        <v/>
      </c>
      <c r="I141">
        <f>IF($P141="","",INDEX(명단표[현재 근무병원],$P141))</f>
        <v/>
      </c>
      <c r="J141">
        <f>IF($P141="","",INDEX(명단표[구리 근무 시작일(기준월)],$P141)&amp;"")</f>
        <v/>
      </c>
      <c r="K141">
        <f>IF($P141="","",INDEX(명단표[구리 근무 종료일(기준월)],$P141)&amp;"")</f>
        <v/>
      </c>
      <c r="L141">
        <f>IF($P141="","",INDEX(명단표[서울 근무일(기준월)],$P141))</f>
        <v/>
      </c>
      <c r="M141">
        <f>IF($P141="","",INDEX(명단표[구리 근무일(기준월)],$P141))</f>
        <v/>
      </c>
      <c r="N141">
        <f>IF($P141="","",INDEX(명단표[급여 판정 근거],$P141))</f>
        <v/>
      </c>
      <c r="O141">
        <f>IF($P141="","",INDEX(명단표[점검],$P141))</f>
        <v/>
      </c>
      <c r="P141" s="17">
        <f>IFERROR(MATCH(136,명단표[서울순번],0),"")</f>
        <v/>
      </c>
      <c r="R141">
        <f>IF($W141="","",INDEX(명단표[이름],$W141))</f>
        <v/>
      </c>
      <c r="S141">
        <f>IF($W141="","",INDEX(명단표[사번],$W141)&amp;"")</f>
        <v/>
      </c>
      <c r="T141">
        <f>IF($W141="","",INDEX(명단표[소속병원],$W141))</f>
        <v/>
      </c>
      <c r="U141">
        <f>IF($W141="","",INDEX(명단표[서울 근무일(기준월)],$W141))</f>
        <v/>
      </c>
      <c r="V141">
        <f>IF($W141="","",INDEX(명단표[구리 근무일(기준월)],$W141))</f>
        <v/>
      </c>
      <c r="W141" s="17">
        <f>IFERROR(MATCH(136,명단표[판정불가순번],0),"")</f>
        <v/>
      </c>
    </row>
    <row r="142">
      <c r="A142">
        <f>IF($P142="","",137)</f>
        <v/>
      </c>
      <c r="B142">
        <f>IF($P142="","",INDEX(명단표[이름],$P142))</f>
        <v/>
      </c>
      <c r="C142">
        <f>IF($P142="","",INDEX(명단표[사번],$P142)&amp;"")</f>
        <v/>
      </c>
      <c r="D142">
        <f>IF($P142="","",INDEX(명단표[전공의등록번호],$P142)&amp;"")</f>
        <v/>
      </c>
      <c r="E142">
        <f>IF($P142="","",INDEX(명단표[수련과목],$P142)&amp;"")</f>
        <v/>
      </c>
      <c r="F142">
        <f>IF($P142="","",INDEX(명단표[연차],$P142)&amp;"")</f>
        <v/>
      </c>
      <c r="G142">
        <f>IF($P142="","",INDEX(명단표[소속병원],$P142))</f>
        <v/>
      </c>
      <c r="H142">
        <f>IF($P142="","",IF(INDEX(명단표[소속병원],$P142)="서울병원","서울 소속","타 병원 소속("&amp;INDEX(명단표[소속병원],$P142)&amp;") → 서울 지급"))</f>
        <v/>
      </c>
      <c r="I142">
        <f>IF($P142="","",INDEX(명단표[현재 근무병원],$P142))</f>
        <v/>
      </c>
      <c r="J142">
        <f>IF($P142="","",INDEX(명단표[구리 근무 시작일(기준월)],$P142)&amp;"")</f>
        <v/>
      </c>
      <c r="K142">
        <f>IF($P142="","",INDEX(명단표[구리 근무 종료일(기준월)],$P142)&amp;"")</f>
        <v/>
      </c>
      <c r="L142">
        <f>IF($P142="","",INDEX(명단표[서울 근무일(기준월)],$P142))</f>
        <v/>
      </c>
      <c r="M142">
        <f>IF($P142="","",INDEX(명단표[구리 근무일(기준월)],$P142))</f>
        <v/>
      </c>
      <c r="N142">
        <f>IF($P142="","",INDEX(명단표[급여 판정 근거],$P142))</f>
        <v/>
      </c>
      <c r="O142">
        <f>IF($P142="","",INDEX(명단표[점검],$P142))</f>
        <v/>
      </c>
      <c r="P142" s="17">
        <f>IFERROR(MATCH(137,명단표[서울순번],0),"")</f>
        <v/>
      </c>
      <c r="R142">
        <f>IF($W142="","",INDEX(명단표[이름],$W142))</f>
        <v/>
      </c>
      <c r="S142">
        <f>IF($W142="","",INDEX(명단표[사번],$W142)&amp;"")</f>
        <v/>
      </c>
      <c r="T142">
        <f>IF($W142="","",INDEX(명단표[소속병원],$W142))</f>
        <v/>
      </c>
      <c r="U142">
        <f>IF($W142="","",INDEX(명단표[서울 근무일(기준월)],$W142))</f>
        <v/>
      </c>
      <c r="V142">
        <f>IF($W142="","",INDEX(명단표[구리 근무일(기준월)],$W142))</f>
        <v/>
      </c>
      <c r="W142" s="17">
        <f>IFERROR(MATCH(137,명단표[판정불가순번],0),"")</f>
        <v/>
      </c>
    </row>
    <row r="143">
      <c r="A143">
        <f>IF($P143="","",138)</f>
        <v/>
      </c>
      <c r="B143">
        <f>IF($P143="","",INDEX(명단표[이름],$P143))</f>
        <v/>
      </c>
      <c r="C143">
        <f>IF($P143="","",INDEX(명단표[사번],$P143)&amp;"")</f>
        <v/>
      </c>
      <c r="D143">
        <f>IF($P143="","",INDEX(명단표[전공의등록번호],$P143)&amp;"")</f>
        <v/>
      </c>
      <c r="E143">
        <f>IF($P143="","",INDEX(명단표[수련과목],$P143)&amp;"")</f>
        <v/>
      </c>
      <c r="F143">
        <f>IF($P143="","",INDEX(명단표[연차],$P143)&amp;"")</f>
        <v/>
      </c>
      <c r="G143">
        <f>IF($P143="","",INDEX(명단표[소속병원],$P143))</f>
        <v/>
      </c>
      <c r="H143">
        <f>IF($P143="","",IF(INDEX(명단표[소속병원],$P143)="서울병원","서울 소속","타 병원 소속("&amp;INDEX(명단표[소속병원],$P143)&amp;") → 서울 지급"))</f>
        <v/>
      </c>
      <c r="I143">
        <f>IF($P143="","",INDEX(명단표[현재 근무병원],$P143))</f>
        <v/>
      </c>
      <c r="J143">
        <f>IF($P143="","",INDEX(명단표[구리 근무 시작일(기준월)],$P143)&amp;"")</f>
        <v/>
      </c>
      <c r="K143">
        <f>IF($P143="","",INDEX(명단표[구리 근무 종료일(기준월)],$P143)&amp;"")</f>
        <v/>
      </c>
      <c r="L143">
        <f>IF($P143="","",INDEX(명단표[서울 근무일(기준월)],$P143))</f>
        <v/>
      </c>
      <c r="M143">
        <f>IF($P143="","",INDEX(명단표[구리 근무일(기준월)],$P143))</f>
        <v/>
      </c>
      <c r="N143">
        <f>IF($P143="","",INDEX(명단표[급여 판정 근거],$P143))</f>
        <v/>
      </c>
      <c r="O143">
        <f>IF($P143="","",INDEX(명단표[점검],$P143))</f>
        <v/>
      </c>
      <c r="P143" s="17">
        <f>IFERROR(MATCH(138,명단표[서울순번],0),"")</f>
        <v/>
      </c>
      <c r="R143">
        <f>IF($W143="","",INDEX(명단표[이름],$W143))</f>
        <v/>
      </c>
      <c r="S143">
        <f>IF($W143="","",INDEX(명단표[사번],$W143)&amp;"")</f>
        <v/>
      </c>
      <c r="T143">
        <f>IF($W143="","",INDEX(명단표[소속병원],$W143))</f>
        <v/>
      </c>
      <c r="U143">
        <f>IF($W143="","",INDEX(명단표[서울 근무일(기준월)],$W143))</f>
        <v/>
      </c>
      <c r="V143">
        <f>IF($W143="","",INDEX(명단표[구리 근무일(기준월)],$W143))</f>
        <v/>
      </c>
      <c r="W143" s="17">
        <f>IFERROR(MATCH(138,명단표[판정불가순번],0),"")</f>
        <v/>
      </c>
    </row>
    <row r="144">
      <c r="A144">
        <f>IF($P144="","",139)</f>
        <v/>
      </c>
      <c r="B144">
        <f>IF($P144="","",INDEX(명단표[이름],$P144))</f>
        <v/>
      </c>
      <c r="C144">
        <f>IF($P144="","",INDEX(명단표[사번],$P144)&amp;"")</f>
        <v/>
      </c>
      <c r="D144">
        <f>IF($P144="","",INDEX(명단표[전공의등록번호],$P144)&amp;"")</f>
        <v/>
      </c>
      <c r="E144">
        <f>IF($P144="","",INDEX(명단표[수련과목],$P144)&amp;"")</f>
        <v/>
      </c>
      <c r="F144">
        <f>IF($P144="","",INDEX(명단표[연차],$P144)&amp;"")</f>
        <v/>
      </c>
      <c r="G144">
        <f>IF($P144="","",INDEX(명단표[소속병원],$P144))</f>
        <v/>
      </c>
      <c r="H144">
        <f>IF($P144="","",IF(INDEX(명단표[소속병원],$P144)="서울병원","서울 소속","타 병원 소속("&amp;INDEX(명단표[소속병원],$P144)&amp;") → 서울 지급"))</f>
        <v/>
      </c>
      <c r="I144">
        <f>IF($P144="","",INDEX(명단표[현재 근무병원],$P144))</f>
        <v/>
      </c>
      <c r="J144">
        <f>IF($P144="","",INDEX(명단표[구리 근무 시작일(기준월)],$P144)&amp;"")</f>
        <v/>
      </c>
      <c r="K144">
        <f>IF($P144="","",INDEX(명단표[구리 근무 종료일(기준월)],$P144)&amp;"")</f>
        <v/>
      </c>
      <c r="L144">
        <f>IF($P144="","",INDEX(명단표[서울 근무일(기준월)],$P144))</f>
        <v/>
      </c>
      <c r="M144">
        <f>IF($P144="","",INDEX(명단표[구리 근무일(기준월)],$P144))</f>
        <v/>
      </c>
      <c r="N144">
        <f>IF($P144="","",INDEX(명단표[급여 판정 근거],$P144))</f>
        <v/>
      </c>
      <c r="O144">
        <f>IF($P144="","",INDEX(명단표[점검],$P144))</f>
        <v/>
      </c>
      <c r="P144" s="17">
        <f>IFERROR(MATCH(139,명단표[서울순번],0),"")</f>
        <v/>
      </c>
      <c r="R144">
        <f>IF($W144="","",INDEX(명단표[이름],$W144))</f>
        <v/>
      </c>
      <c r="S144">
        <f>IF($W144="","",INDEX(명단표[사번],$W144)&amp;"")</f>
        <v/>
      </c>
      <c r="T144">
        <f>IF($W144="","",INDEX(명단표[소속병원],$W144))</f>
        <v/>
      </c>
      <c r="U144">
        <f>IF($W144="","",INDEX(명단표[서울 근무일(기준월)],$W144))</f>
        <v/>
      </c>
      <c r="V144">
        <f>IF($W144="","",INDEX(명단표[구리 근무일(기준월)],$W144))</f>
        <v/>
      </c>
      <c r="W144" s="17">
        <f>IFERROR(MATCH(139,명단표[판정불가순번],0),"")</f>
        <v/>
      </c>
    </row>
    <row r="145">
      <c r="A145">
        <f>IF($P145="","",140)</f>
        <v/>
      </c>
      <c r="B145">
        <f>IF($P145="","",INDEX(명단표[이름],$P145))</f>
        <v/>
      </c>
      <c r="C145">
        <f>IF($P145="","",INDEX(명단표[사번],$P145)&amp;"")</f>
        <v/>
      </c>
      <c r="D145">
        <f>IF($P145="","",INDEX(명단표[전공의등록번호],$P145)&amp;"")</f>
        <v/>
      </c>
      <c r="E145">
        <f>IF($P145="","",INDEX(명단표[수련과목],$P145)&amp;"")</f>
        <v/>
      </c>
      <c r="F145">
        <f>IF($P145="","",INDEX(명단표[연차],$P145)&amp;"")</f>
        <v/>
      </c>
      <c r="G145">
        <f>IF($P145="","",INDEX(명단표[소속병원],$P145))</f>
        <v/>
      </c>
      <c r="H145">
        <f>IF($P145="","",IF(INDEX(명단표[소속병원],$P145)="서울병원","서울 소속","타 병원 소속("&amp;INDEX(명단표[소속병원],$P145)&amp;") → 서울 지급"))</f>
        <v/>
      </c>
      <c r="I145">
        <f>IF($P145="","",INDEX(명단표[현재 근무병원],$P145))</f>
        <v/>
      </c>
      <c r="J145">
        <f>IF($P145="","",INDEX(명단표[구리 근무 시작일(기준월)],$P145)&amp;"")</f>
        <v/>
      </c>
      <c r="K145">
        <f>IF($P145="","",INDEX(명단표[구리 근무 종료일(기준월)],$P145)&amp;"")</f>
        <v/>
      </c>
      <c r="L145">
        <f>IF($P145="","",INDEX(명단표[서울 근무일(기준월)],$P145))</f>
        <v/>
      </c>
      <c r="M145">
        <f>IF($P145="","",INDEX(명단표[구리 근무일(기준월)],$P145))</f>
        <v/>
      </c>
      <c r="N145">
        <f>IF($P145="","",INDEX(명단표[급여 판정 근거],$P145))</f>
        <v/>
      </c>
      <c r="O145">
        <f>IF($P145="","",INDEX(명단표[점검],$P145))</f>
        <v/>
      </c>
      <c r="P145" s="17">
        <f>IFERROR(MATCH(140,명단표[서울순번],0),"")</f>
        <v/>
      </c>
      <c r="R145">
        <f>IF($W145="","",INDEX(명단표[이름],$W145))</f>
        <v/>
      </c>
      <c r="S145">
        <f>IF($W145="","",INDEX(명단표[사번],$W145)&amp;"")</f>
        <v/>
      </c>
      <c r="T145">
        <f>IF($W145="","",INDEX(명단표[소속병원],$W145))</f>
        <v/>
      </c>
      <c r="U145">
        <f>IF($W145="","",INDEX(명단표[서울 근무일(기준월)],$W145))</f>
        <v/>
      </c>
      <c r="V145">
        <f>IF($W145="","",INDEX(명단표[구리 근무일(기준월)],$W145))</f>
        <v/>
      </c>
      <c r="W145" s="17">
        <f>IFERROR(MATCH(140,명단표[판정불가순번],0),"")</f>
        <v/>
      </c>
    </row>
    <row r="146">
      <c r="A146">
        <f>IF($P146="","",141)</f>
        <v/>
      </c>
      <c r="B146">
        <f>IF($P146="","",INDEX(명단표[이름],$P146))</f>
        <v/>
      </c>
      <c r="C146">
        <f>IF($P146="","",INDEX(명단표[사번],$P146)&amp;"")</f>
        <v/>
      </c>
      <c r="D146">
        <f>IF($P146="","",INDEX(명단표[전공의등록번호],$P146)&amp;"")</f>
        <v/>
      </c>
      <c r="E146">
        <f>IF($P146="","",INDEX(명단표[수련과목],$P146)&amp;"")</f>
        <v/>
      </c>
      <c r="F146">
        <f>IF($P146="","",INDEX(명단표[연차],$P146)&amp;"")</f>
        <v/>
      </c>
      <c r="G146">
        <f>IF($P146="","",INDEX(명단표[소속병원],$P146))</f>
        <v/>
      </c>
      <c r="H146">
        <f>IF($P146="","",IF(INDEX(명단표[소속병원],$P146)="서울병원","서울 소속","타 병원 소속("&amp;INDEX(명단표[소속병원],$P146)&amp;") → 서울 지급"))</f>
        <v/>
      </c>
      <c r="I146">
        <f>IF($P146="","",INDEX(명단표[현재 근무병원],$P146))</f>
        <v/>
      </c>
      <c r="J146">
        <f>IF($P146="","",INDEX(명단표[구리 근무 시작일(기준월)],$P146)&amp;"")</f>
        <v/>
      </c>
      <c r="K146">
        <f>IF($P146="","",INDEX(명단표[구리 근무 종료일(기준월)],$P146)&amp;"")</f>
        <v/>
      </c>
      <c r="L146">
        <f>IF($P146="","",INDEX(명단표[서울 근무일(기준월)],$P146))</f>
        <v/>
      </c>
      <c r="M146">
        <f>IF($P146="","",INDEX(명단표[구리 근무일(기준월)],$P146))</f>
        <v/>
      </c>
      <c r="N146">
        <f>IF($P146="","",INDEX(명단표[급여 판정 근거],$P146))</f>
        <v/>
      </c>
      <c r="O146">
        <f>IF($P146="","",INDEX(명단표[점검],$P146))</f>
        <v/>
      </c>
      <c r="P146" s="17">
        <f>IFERROR(MATCH(141,명단표[서울순번],0),"")</f>
        <v/>
      </c>
      <c r="R146">
        <f>IF($W146="","",INDEX(명단표[이름],$W146))</f>
        <v/>
      </c>
      <c r="S146">
        <f>IF($W146="","",INDEX(명단표[사번],$W146)&amp;"")</f>
        <v/>
      </c>
      <c r="T146">
        <f>IF($W146="","",INDEX(명단표[소속병원],$W146))</f>
        <v/>
      </c>
      <c r="U146">
        <f>IF($W146="","",INDEX(명단표[서울 근무일(기준월)],$W146))</f>
        <v/>
      </c>
      <c r="V146">
        <f>IF($W146="","",INDEX(명단표[구리 근무일(기준월)],$W146))</f>
        <v/>
      </c>
      <c r="W146" s="17">
        <f>IFERROR(MATCH(141,명단표[판정불가순번],0),"")</f>
        <v/>
      </c>
    </row>
    <row r="147">
      <c r="A147">
        <f>IF($P147="","",142)</f>
        <v/>
      </c>
      <c r="B147">
        <f>IF($P147="","",INDEX(명단표[이름],$P147))</f>
        <v/>
      </c>
      <c r="C147">
        <f>IF($P147="","",INDEX(명단표[사번],$P147)&amp;"")</f>
        <v/>
      </c>
      <c r="D147">
        <f>IF($P147="","",INDEX(명단표[전공의등록번호],$P147)&amp;"")</f>
        <v/>
      </c>
      <c r="E147">
        <f>IF($P147="","",INDEX(명단표[수련과목],$P147)&amp;"")</f>
        <v/>
      </c>
      <c r="F147">
        <f>IF($P147="","",INDEX(명단표[연차],$P147)&amp;"")</f>
        <v/>
      </c>
      <c r="G147">
        <f>IF($P147="","",INDEX(명단표[소속병원],$P147))</f>
        <v/>
      </c>
      <c r="H147">
        <f>IF($P147="","",IF(INDEX(명단표[소속병원],$P147)="서울병원","서울 소속","타 병원 소속("&amp;INDEX(명단표[소속병원],$P147)&amp;") → 서울 지급"))</f>
        <v/>
      </c>
      <c r="I147">
        <f>IF($P147="","",INDEX(명단표[현재 근무병원],$P147))</f>
        <v/>
      </c>
      <c r="J147">
        <f>IF($P147="","",INDEX(명단표[구리 근무 시작일(기준월)],$P147)&amp;"")</f>
        <v/>
      </c>
      <c r="K147">
        <f>IF($P147="","",INDEX(명단표[구리 근무 종료일(기준월)],$P147)&amp;"")</f>
        <v/>
      </c>
      <c r="L147">
        <f>IF($P147="","",INDEX(명단표[서울 근무일(기준월)],$P147))</f>
        <v/>
      </c>
      <c r="M147">
        <f>IF($P147="","",INDEX(명단표[구리 근무일(기준월)],$P147))</f>
        <v/>
      </c>
      <c r="N147">
        <f>IF($P147="","",INDEX(명단표[급여 판정 근거],$P147))</f>
        <v/>
      </c>
      <c r="O147">
        <f>IF($P147="","",INDEX(명단표[점검],$P147))</f>
        <v/>
      </c>
      <c r="P147" s="17">
        <f>IFERROR(MATCH(142,명단표[서울순번],0),"")</f>
        <v/>
      </c>
      <c r="R147">
        <f>IF($W147="","",INDEX(명단표[이름],$W147))</f>
        <v/>
      </c>
      <c r="S147">
        <f>IF($W147="","",INDEX(명단표[사번],$W147)&amp;"")</f>
        <v/>
      </c>
      <c r="T147">
        <f>IF($W147="","",INDEX(명단표[소속병원],$W147))</f>
        <v/>
      </c>
      <c r="U147">
        <f>IF($W147="","",INDEX(명단표[서울 근무일(기준월)],$W147))</f>
        <v/>
      </c>
      <c r="V147">
        <f>IF($W147="","",INDEX(명단표[구리 근무일(기준월)],$W147))</f>
        <v/>
      </c>
      <c r="W147" s="17">
        <f>IFERROR(MATCH(142,명단표[판정불가순번],0),"")</f>
        <v/>
      </c>
    </row>
    <row r="148">
      <c r="A148">
        <f>IF($P148="","",143)</f>
        <v/>
      </c>
      <c r="B148">
        <f>IF($P148="","",INDEX(명단표[이름],$P148))</f>
        <v/>
      </c>
      <c r="C148">
        <f>IF($P148="","",INDEX(명단표[사번],$P148)&amp;"")</f>
        <v/>
      </c>
      <c r="D148">
        <f>IF($P148="","",INDEX(명단표[전공의등록번호],$P148)&amp;"")</f>
        <v/>
      </c>
      <c r="E148">
        <f>IF($P148="","",INDEX(명단표[수련과목],$P148)&amp;"")</f>
        <v/>
      </c>
      <c r="F148">
        <f>IF($P148="","",INDEX(명단표[연차],$P148)&amp;"")</f>
        <v/>
      </c>
      <c r="G148">
        <f>IF($P148="","",INDEX(명단표[소속병원],$P148))</f>
        <v/>
      </c>
      <c r="H148">
        <f>IF($P148="","",IF(INDEX(명단표[소속병원],$P148)="서울병원","서울 소속","타 병원 소속("&amp;INDEX(명단표[소속병원],$P148)&amp;") → 서울 지급"))</f>
        <v/>
      </c>
      <c r="I148">
        <f>IF($P148="","",INDEX(명단표[현재 근무병원],$P148))</f>
        <v/>
      </c>
      <c r="J148">
        <f>IF($P148="","",INDEX(명단표[구리 근무 시작일(기준월)],$P148)&amp;"")</f>
        <v/>
      </c>
      <c r="K148">
        <f>IF($P148="","",INDEX(명단표[구리 근무 종료일(기준월)],$P148)&amp;"")</f>
        <v/>
      </c>
      <c r="L148">
        <f>IF($P148="","",INDEX(명단표[서울 근무일(기준월)],$P148))</f>
        <v/>
      </c>
      <c r="M148">
        <f>IF($P148="","",INDEX(명단표[구리 근무일(기준월)],$P148))</f>
        <v/>
      </c>
      <c r="N148">
        <f>IF($P148="","",INDEX(명단표[급여 판정 근거],$P148))</f>
        <v/>
      </c>
      <c r="O148">
        <f>IF($P148="","",INDEX(명단표[점검],$P148))</f>
        <v/>
      </c>
      <c r="P148" s="17">
        <f>IFERROR(MATCH(143,명단표[서울순번],0),"")</f>
        <v/>
      </c>
      <c r="R148">
        <f>IF($W148="","",INDEX(명단표[이름],$W148))</f>
        <v/>
      </c>
      <c r="S148">
        <f>IF($W148="","",INDEX(명단표[사번],$W148)&amp;"")</f>
        <v/>
      </c>
      <c r="T148">
        <f>IF($W148="","",INDEX(명단표[소속병원],$W148))</f>
        <v/>
      </c>
      <c r="U148">
        <f>IF($W148="","",INDEX(명단표[서울 근무일(기준월)],$W148))</f>
        <v/>
      </c>
      <c r="V148">
        <f>IF($W148="","",INDEX(명단표[구리 근무일(기준월)],$W148))</f>
        <v/>
      </c>
      <c r="W148" s="17">
        <f>IFERROR(MATCH(143,명단표[판정불가순번],0),"")</f>
        <v/>
      </c>
    </row>
    <row r="149">
      <c r="A149">
        <f>IF($P149="","",144)</f>
        <v/>
      </c>
      <c r="B149">
        <f>IF($P149="","",INDEX(명단표[이름],$P149))</f>
        <v/>
      </c>
      <c r="C149">
        <f>IF($P149="","",INDEX(명단표[사번],$P149)&amp;"")</f>
        <v/>
      </c>
      <c r="D149">
        <f>IF($P149="","",INDEX(명단표[전공의등록번호],$P149)&amp;"")</f>
        <v/>
      </c>
      <c r="E149">
        <f>IF($P149="","",INDEX(명단표[수련과목],$P149)&amp;"")</f>
        <v/>
      </c>
      <c r="F149">
        <f>IF($P149="","",INDEX(명단표[연차],$P149)&amp;"")</f>
        <v/>
      </c>
      <c r="G149">
        <f>IF($P149="","",INDEX(명단표[소속병원],$P149))</f>
        <v/>
      </c>
      <c r="H149">
        <f>IF($P149="","",IF(INDEX(명단표[소속병원],$P149)="서울병원","서울 소속","타 병원 소속("&amp;INDEX(명단표[소속병원],$P149)&amp;") → 서울 지급"))</f>
        <v/>
      </c>
      <c r="I149">
        <f>IF($P149="","",INDEX(명단표[현재 근무병원],$P149))</f>
        <v/>
      </c>
      <c r="J149">
        <f>IF($P149="","",INDEX(명단표[구리 근무 시작일(기준월)],$P149)&amp;"")</f>
        <v/>
      </c>
      <c r="K149">
        <f>IF($P149="","",INDEX(명단표[구리 근무 종료일(기준월)],$P149)&amp;"")</f>
        <v/>
      </c>
      <c r="L149">
        <f>IF($P149="","",INDEX(명단표[서울 근무일(기준월)],$P149))</f>
        <v/>
      </c>
      <c r="M149">
        <f>IF($P149="","",INDEX(명단표[구리 근무일(기준월)],$P149))</f>
        <v/>
      </c>
      <c r="N149">
        <f>IF($P149="","",INDEX(명단표[급여 판정 근거],$P149))</f>
        <v/>
      </c>
      <c r="O149">
        <f>IF($P149="","",INDEX(명단표[점검],$P149))</f>
        <v/>
      </c>
      <c r="P149" s="17">
        <f>IFERROR(MATCH(144,명단표[서울순번],0),"")</f>
        <v/>
      </c>
      <c r="R149">
        <f>IF($W149="","",INDEX(명단표[이름],$W149))</f>
        <v/>
      </c>
      <c r="S149">
        <f>IF($W149="","",INDEX(명단표[사번],$W149)&amp;"")</f>
        <v/>
      </c>
      <c r="T149">
        <f>IF($W149="","",INDEX(명단표[소속병원],$W149))</f>
        <v/>
      </c>
      <c r="U149">
        <f>IF($W149="","",INDEX(명단표[서울 근무일(기준월)],$W149))</f>
        <v/>
      </c>
      <c r="V149">
        <f>IF($W149="","",INDEX(명단표[구리 근무일(기준월)],$W149))</f>
        <v/>
      </c>
      <c r="W149" s="17">
        <f>IFERROR(MATCH(144,명단표[판정불가순번],0),"")</f>
        <v/>
      </c>
    </row>
    <row r="150">
      <c r="A150">
        <f>IF($P150="","",145)</f>
        <v/>
      </c>
      <c r="B150">
        <f>IF($P150="","",INDEX(명단표[이름],$P150))</f>
        <v/>
      </c>
      <c r="C150">
        <f>IF($P150="","",INDEX(명단표[사번],$P150)&amp;"")</f>
        <v/>
      </c>
      <c r="D150">
        <f>IF($P150="","",INDEX(명단표[전공의등록번호],$P150)&amp;"")</f>
        <v/>
      </c>
      <c r="E150">
        <f>IF($P150="","",INDEX(명단표[수련과목],$P150)&amp;"")</f>
        <v/>
      </c>
      <c r="F150">
        <f>IF($P150="","",INDEX(명단표[연차],$P150)&amp;"")</f>
        <v/>
      </c>
      <c r="G150">
        <f>IF($P150="","",INDEX(명단표[소속병원],$P150))</f>
        <v/>
      </c>
      <c r="H150">
        <f>IF($P150="","",IF(INDEX(명단표[소속병원],$P150)="서울병원","서울 소속","타 병원 소속("&amp;INDEX(명단표[소속병원],$P150)&amp;") → 서울 지급"))</f>
        <v/>
      </c>
      <c r="I150">
        <f>IF($P150="","",INDEX(명단표[현재 근무병원],$P150))</f>
        <v/>
      </c>
      <c r="J150">
        <f>IF($P150="","",INDEX(명단표[구리 근무 시작일(기준월)],$P150)&amp;"")</f>
        <v/>
      </c>
      <c r="K150">
        <f>IF($P150="","",INDEX(명단표[구리 근무 종료일(기준월)],$P150)&amp;"")</f>
        <v/>
      </c>
      <c r="L150">
        <f>IF($P150="","",INDEX(명단표[서울 근무일(기준월)],$P150))</f>
        <v/>
      </c>
      <c r="M150">
        <f>IF($P150="","",INDEX(명단표[구리 근무일(기준월)],$P150))</f>
        <v/>
      </c>
      <c r="N150">
        <f>IF($P150="","",INDEX(명단표[급여 판정 근거],$P150))</f>
        <v/>
      </c>
      <c r="O150">
        <f>IF($P150="","",INDEX(명단표[점검],$P150))</f>
        <v/>
      </c>
      <c r="P150" s="17">
        <f>IFERROR(MATCH(145,명단표[서울순번],0),"")</f>
        <v/>
      </c>
      <c r="R150">
        <f>IF($W150="","",INDEX(명단표[이름],$W150))</f>
        <v/>
      </c>
      <c r="S150">
        <f>IF($W150="","",INDEX(명단표[사번],$W150)&amp;"")</f>
        <v/>
      </c>
      <c r="T150">
        <f>IF($W150="","",INDEX(명단표[소속병원],$W150))</f>
        <v/>
      </c>
      <c r="U150">
        <f>IF($W150="","",INDEX(명단표[서울 근무일(기준월)],$W150))</f>
        <v/>
      </c>
      <c r="V150">
        <f>IF($W150="","",INDEX(명단표[구리 근무일(기준월)],$W150))</f>
        <v/>
      </c>
      <c r="W150" s="17">
        <f>IFERROR(MATCH(145,명단표[판정불가순번],0),"")</f>
        <v/>
      </c>
    </row>
    <row r="151">
      <c r="A151">
        <f>IF($P151="","",146)</f>
        <v/>
      </c>
      <c r="B151">
        <f>IF($P151="","",INDEX(명단표[이름],$P151))</f>
        <v/>
      </c>
      <c r="C151">
        <f>IF($P151="","",INDEX(명단표[사번],$P151)&amp;"")</f>
        <v/>
      </c>
      <c r="D151">
        <f>IF($P151="","",INDEX(명단표[전공의등록번호],$P151)&amp;"")</f>
        <v/>
      </c>
      <c r="E151">
        <f>IF($P151="","",INDEX(명단표[수련과목],$P151)&amp;"")</f>
        <v/>
      </c>
      <c r="F151">
        <f>IF($P151="","",INDEX(명단표[연차],$P151)&amp;"")</f>
        <v/>
      </c>
      <c r="G151">
        <f>IF($P151="","",INDEX(명단표[소속병원],$P151))</f>
        <v/>
      </c>
      <c r="H151">
        <f>IF($P151="","",IF(INDEX(명단표[소속병원],$P151)="서울병원","서울 소속","타 병원 소속("&amp;INDEX(명단표[소속병원],$P151)&amp;") → 서울 지급"))</f>
        <v/>
      </c>
      <c r="I151">
        <f>IF($P151="","",INDEX(명단표[현재 근무병원],$P151))</f>
        <v/>
      </c>
      <c r="J151">
        <f>IF($P151="","",INDEX(명단표[구리 근무 시작일(기준월)],$P151)&amp;"")</f>
        <v/>
      </c>
      <c r="K151">
        <f>IF($P151="","",INDEX(명단표[구리 근무 종료일(기준월)],$P151)&amp;"")</f>
        <v/>
      </c>
      <c r="L151">
        <f>IF($P151="","",INDEX(명단표[서울 근무일(기준월)],$P151))</f>
        <v/>
      </c>
      <c r="M151">
        <f>IF($P151="","",INDEX(명단표[구리 근무일(기준월)],$P151))</f>
        <v/>
      </c>
      <c r="N151">
        <f>IF($P151="","",INDEX(명단표[급여 판정 근거],$P151))</f>
        <v/>
      </c>
      <c r="O151">
        <f>IF($P151="","",INDEX(명단표[점검],$P151))</f>
        <v/>
      </c>
      <c r="P151" s="17">
        <f>IFERROR(MATCH(146,명단표[서울순번],0),"")</f>
        <v/>
      </c>
      <c r="R151">
        <f>IF($W151="","",INDEX(명단표[이름],$W151))</f>
        <v/>
      </c>
      <c r="S151">
        <f>IF($W151="","",INDEX(명단표[사번],$W151)&amp;"")</f>
        <v/>
      </c>
      <c r="T151">
        <f>IF($W151="","",INDEX(명단표[소속병원],$W151))</f>
        <v/>
      </c>
      <c r="U151">
        <f>IF($W151="","",INDEX(명단표[서울 근무일(기준월)],$W151))</f>
        <v/>
      </c>
      <c r="V151">
        <f>IF($W151="","",INDEX(명단표[구리 근무일(기준월)],$W151))</f>
        <v/>
      </c>
      <c r="W151" s="17">
        <f>IFERROR(MATCH(146,명단표[판정불가순번],0),"")</f>
        <v/>
      </c>
    </row>
    <row r="152">
      <c r="A152">
        <f>IF($P152="","",147)</f>
        <v/>
      </c>
      <c r="B152">
        <f>IF($P152="","",INDEX(명단표[이름],$P152))</f>
        <v/>
      </c>
      <c r="C152">
        <f>IF($P152="","",INDEX(명단표[사번],$P152)&amp;"")</f>
        <v/>
      </c>
      <c r="D152">
        <f>IF($P152="","",INDEX(명단표[전공의등록번호],$P152)&amp;"")</f>
        <v/>
      </c>
      <c r="E152">
        <f>IF($P152="","",INDEX(명단표[수련과목],$P152)&amp;"")</f>
        <v/>
      </c>
      <c r="F152">
        <f>IF($P152="","",INDEX(명단표[연차],$P152)&amp;"")</f>
        <v/>
      </c>
      <c r="G152">
        <f>IF($P152="","",INDEX(명단표[소속병원],$P152))</f>
        <v/>
      </c>
      <c r="H152">
        <f>IF($P152="","",IF(INDEX(명단표[소속병원],$P152)="서울병원","서울 소속","타 병원 소속("&amp;INDEX(명단표[소속병원],$P152)&amp;") → 서울 지급"))</f>
        <v/>
      </c>
      <c r="I152">
        <f>IF($P152="","",INDEX(명단표[현재 근무병원],$P152))</f>
        <v/>
      </c>
      <c r="J152">
        <f>IF($P152="","",INDEX(명단표[구리 근무 시작일(기준월)],$P152)&amp;"")</f>
        <v/>
      </c>
      <c r="K152">
        <f>IF($P152="","",INDEX(명단표[구리 근무 종료일(기준월)],$P152)&amp;"")</f>
        <v/>
      </c>
      <c r="L152">
        <f>IF($P152="","",INDEX(명단표[서울 근무일(기준월)],$P152))</f>
        <v/>
      </c>
      <c r="M152">
        <f>IF($P152="","",INDEX(명단표[구리 근무일(기준월)],$P152))</f>
        <v/>
      </c>
      <c r="N152">
        <f>IF($P152="","",INDEX(명단표[급여 판정 근거],$P152))</f>
        <v/>
      </c>
      <c r="O152">
        <f>IF($P152="","",INDEX(명단표[점검],$P152))</f>
        <v/>
      </c>
      <c r="P152" s="17">
        <f>IFERROR(MATCH(147,명단표[서울순번],0),"")</f>
        <v/>
      </c>
      <c r="R152">
        <f>IF($W152="","",INDEX(명단표[이름],$W152))</f>
        <v/>
      </c>
      <c r="S152">
        <f>IF($W152="","",INDEX(명단표[사번],$W152)&amp;"")</f>
        <v/>
      </c>
      <c r="T152">
        <f>IF($W152="","",INDEX(명단표[소속병원],$W152))</f>
        <v/>
      </c>
      <c r="U152">
        <f>IF($W152="","",INDEX(명단표[서울 근무일(기준월)],$W152))</f>
        <v/>
      </c>
      <c r="V152">
        <f>IF($W152="","",INDEX(명단표[구리 근무일(기준월)],$W152))</f>
        <v/>
      </c>
      <c r="W152" s="17">
        <f>IFERROR(MATCH(147,명단표[판정불가순번],0),"")</f>
        <v/>
      </c>
    </row>
    <row r="153">
      <c r="A153">
        <f>IF($P153="","",148)</f>
        <v/>
      </c>
      <c r="B153">
        <f>IF($P153="","",INDEX(명단표[이름],$P153))</f>
        <v/>
      </c>
      <c r="C153">
        <f>IF($P153="","",INDEX(명단표[사번],$P153)&amp;"")</f>
        <v/>
      </c>
      <c r="D153">
        <f>IF($P153="","",INDEX(명단표[전공의등록번호],$P153)&amp;"")</f>
        <v/>
      </c>
      <c r="E153">
        <f>IF($P153="","",INDEX(명단표[수련과목],$P153)&amp;"")</f>
        <v/>
      </c>
      <c r="F153">
        <f>IF($P153="","",INDEX(명단표[연차],$P153)&amp;"")</f>
        <v/>
      </c>
      <c r="G153">
        <f>IF($P153="","",INDEX(명단표[소속병원],$P153))</f>
        <v/>
      </c>
      <c r="H153">
        <f>IF($P153="","",IF(INDEX(명단표[소속병원],$P153)="서울병원","서울 소속","타 병원 소속("&amp;INDEX(명단표[소속병원],$P153)&amp;") → 서울 지급"))</f>
        <v/>
      </c>
      <c r="I153">
        <f>IF($P153="","",INDEX(명단표[현재 근무병원],$P153))</f>
        <v/>
      </c>
      <c r="J153">
        <f>IF($P153="","",INDEX(명단표[구리 근무 시작일(기준월)],$P153)&amp;"")</f>
        <v/>
      </c>
      <c r="K153">
        <f>IF($P153="","",INDEX(명단표[구리 근무 종료일(기준월)],$P153)&amp;"")</f>
        <v/>
      </c>
      <c r="L153">
        <f>IF($P153="","",INDEX(명단표[서울 근무일(기준월)],$P153))</f>
        <v/>
      </c>
      <c r="M153">
        <f>IF($P153="","",INDEX(명단표[구리 근무일(기준월)],$P153))</f>
        <v/>
      </c>
      <c r="N153">
        <f>IF($P153="","",INDEX(명단표[급여 판정 근거],$P153))</f>
        <v/>
      </c>
      <c r="O153">
        <f>IF($P153="","",INDEX(명단표[점검],$P153))</f>
        <v/>
      </c>
      <c r="P153" s="17">
        <f>IFERROR(MATCH(148,명단표[서울순번],0),"")</f>
        <v/>
      </c>
      <c r="R153">
        <f>IF($W153="","",INDEX(명단표[이름],$W153))</f>
        <v/>
      </c>
      <c r="S153">
        <f>IF($W153="","",INDEX(명단표[사번],$W153)&amp;"")</f>
        <v/>
      </c>
      <c r="T153">
        <f>IF($W153="","",INDEX(명단표[소속병원],$W153))</f>
        <v/>
      </c>
      <c r="U153">
        <f>IF($W153="","",INDEX(명단표[서울 근무일(기준월)],$W153))</f>
        <v/>
      </c>
      <c r="V153">
        <f>IF($W153="","",INDEX(명단표[구리 근무일(기준월)],$W153))</f>
        <v/>
      </c>
      <c r="W153" s="17">
        <f>IFERROR(MATCH(148,명단표[판정불가순번],0),"")</f>
        <v/>
      </c>
    </row>
    <row r="154">
      <c r="A154">
        <f>IF($P154="","",149)</f>
        <v/>
      </c>
      <c r="B154">
        <f>IF($P154="","",INDEX(명단표[이름],$P154))</f>
        <v/>
      </c>
      <c r="C154">
        <f>IF($P154="","",INDEX(명단표[사번],$P154)&amp;"")</f>
        <v/>
      </c>
      <c r="D154">
        <f>IF($P154="","",INDEX(명단표[전공의등록번호],$P154)&amp;"")</f>
        <v/>
      </c>
      <c r="E154">
        <f>IF($P154="","",INDEX(명단표[수련과목],$P154)&amp;"")</f>
        <v/>
      </c>
      <c r="F154">
        <f>IF($P154="","",INDEX(명단표[연차],$P154)&amp;"")</f>
        <v/>
      </c>
      <c r="G154">
        <f>IF($P154="","",INDEX(명단표[소속병원],$P154))</f>
        <v/>
      </c>
      <c r="H154">
        <f>IF($P154="","",IF(INDEX(명단표[소속병원],$P154)="서울병원","서울 소속","타 병원 소속("&amp;INDEX(명단표[소속병원],$P154)&amp;") → 서울 지급"))</f>
        <v/>
      </c>
      <c r="I154">
        <f>IF($P154="","",INDEX(명단표[현재 근무병원],$P154))</f>
        <v/>
      </c>
      <c r="J154">
        <f>IF($P154="","",INDEX(명단표[구리 근무 시작일(기준월)],$P154)&amp;"")</f>
        <v/>
      </c>
      <c r="K154">
        <f>IF($P154="","",INDEX(명단표[구리 근무 종료일(기준월)],$P154)&amp;"")</f>
        <v/>
      </c>
      <c r="L154">
        <f>IF($P154="","",INDEX(명단표[서울 근무일(기준월)],$P154))</f>
        <v/>
      </c>
      <c r="M154">
        <f>IF($P154="","",INDEX(명단표[구리 근무일(기준월)],$P154))</f>
        <v/>
      </c>
      <c r="N154">
        <f>IF($P154="","",INDEX(명단표[급여 판정 근거],$P154))</f>
        <v/>
      </c>
      <c r="O154">
        <f>IF($P154="","",INDEX(명단표[점검],$P154))</f>
        <v/>
      </c>
      <c r="P154" s="17">
        <f>IFERROR(MATCH(149,명단표[서울순번],0),"")</f>
        <v/>
      </c>
      <c r="R154">
        <f>IF($W154="","",INDEX(명단표[이름],$W154))</f>
        <v/>
      </c>
      <c r="S154">
        <f>IF($W154="","",INDEX(명단표[사번],$W154)&amp;"")</f>
        <v/>
      </c>
      <c r="T154">
        <f>IF($W154="","",INDEX(명단표[소속병원],$W154))</f>
        <v/>
      </c>
      <c r="U154">
        <f>IF($W154="","",INDEX(명단표[서울 근무일(기준월)],$W154))</f>
        <v/>
      </c>
      <c r="V154">
        <f>IF($W154="","",INDEX(명단표[구리 근무일(기준월)],$W154))</f>
        <v/>
      </c>
      <c r="W154" s="17">
        <f>IFERROR(MATCH(149,명단표[판정불가순번],0),"")</f>
        <v/>
      </c>
    </row>
    <row r="155">
      <c r="A155">
        <f>IF($P155="","",150)</f>
        <v/>
      </c>
      <c r="B155">
        <f>IF($P155="","",INDEX(명단표[이름],$P155))</f>
        <v/>
      </c>
      <c r="C155">
        <f>IF($P155="","",INDEX(명단표[사번],$P155)&amp;"")</f>
        <v/>
      </c>
      <c r="D155">
        <f>IF($P155="","",INDEX(명단표[전공의등록번호],$P155)&amp;"")</f>
        <v/>
      </c>
      <c r="E155">
        <f>IF($P155="","",INDEX(명단표[수련과목],$P155)&amp;"")</f>
        <v/>
      </c>
      <c r="F155">
        <f>IF($P155="","",INDEX(명단표[연차],$P155)&amp;"")</f>
        <v/>
      </c>
      <c r="G155">
        <f>IF($P155="","",INDEX(명단표[소속병원],$P155))</f>
        <v/>
      </c>
      <c r="H155">
        <f>IF($P155="","",IF(INDEX(명단표[소속병원],$P155)="서울병원","서울 소속","타 병원 소속("&amp;INDEX(명단표[소속병원],$P155)&amp;") → 서울 지급"))</f>
        <v/>
      </c>
      <c r="I155">
        <f>IF($P155="","",INDEX(명단표[현재 근무병원],$P155))</f>
        <v/>
      </c>
      <c r="J155">
        <f>IF($P155="","",INDEX(명단표[구리 근무 시작일(기준월)],$P155)&amp;"")</f>
        <v/>
      </c>
      <c r="K155">
        <f>IF($P155="","",INDEX(명단표[구리 근무 종료일(기준월)],$P155)&amp;"")</f>
        <v/>
      </c>
      <c r="L155">
        <f>IF($P155="","",INDEX(명단표[서울 근무일(기준월)],$P155))</f>
        <v/>
      </c>
      <c r="M155">
        <f>IF($P155="","",INDEX(명단표[구리 근무일(기준월)],$P155))</f>
        <v/>
      </c>
      <c r="N155">
        <f>IF($P155="","",INDEX(명단표[급여 판정 근거],$P155))</f>
        <v/>
      </c>
      <c r="O155">
        <f>IF($P155="","",INDEX(명단표[점검],$P155))</f>
        <v/>
      </c>
      <c r="P155" s="17">
        <f>IFERROR(MATCH(150,명단표[서울순번],0),"")</f>
        <v/>
      </c>
      <c r="R155">
        <f>IF($W155="","",INDEX(명단표[이름],$W155))</f>
        <v/>
      </c>
      <c r="S155">
        <f>IF($W155="","",INDEX(명단표[사번],$W155)&amp;"")</f>
        <v/>
      </c>
      <c r="T155">
        <f>IF($W155="","",INDEX(명단표[소속병원],$W155))</f>
        <v/>
      </c>
      <c r="U155">
        <f>IF($W155="","",INDEX(명단표[서울 근무일(기준월)],$W155))</f>
        <v/>
      </c>
      <c r="V155">
        <f>IF($W155="","",INDEX(명단표[구리 근무일(기준월)],$W155))</f>
        <v/>
      </c>
      <c r="W155" s="17">
        <f>IFERROR(MATCH(150,명단표[판정불가순번],0),"")</f>
        <v/>
      </c>
    </row>
    <row r="156">
      <c r="A156">
        <f>IF($P156="","",151)</f>
        <v/>
      </c>
      <c r="B156">
        <f>IF($P156="","",INDEX(명단표[이름],$P156))</f>
        <v/>
      </c>
      <c r="C156">
        <f>IF($P156="","",INDEX(명단표[사번],$P156)&amp;"")</f>
        <v/>
      </c>
      <c r="D156">
        <f>IF($P156="","",INDEX(명단표[전공의등록번호],$P156)&amp;"")</f>
        <v/>
      </c>
      <c r="E156">
        <f>IF($P156="","",INDEX(명단표[수련과목],$P156)&amp;"")</f>
        <v/>
      </c>
      <c r="F156">
        <f>IF($P156="","",INDEX(명단표[연차],$P156)&amp;"")</f>
        <v/>
      </c>
      <c r="G156">
        <f>IF($P156="","",INDEX(명단표[소속병원],$P156))</f>
        <v/>
      </c>
      <c r="H156">
        <f>IF($P156="","",IF(INDEX(명단표[소속병원],$P156)="서울병원","서울 소속","타 병원 소속("&amp;INDEX(명단표[소속병원],$P156)&amp;") → 서울 지급"))</f>
        <v/>
      </c>
      <c r="I156">
        <f>IF($P156="","",INDEX(명단표[현재 근무병원],$P156))</f>
        <v/>
      </c>
      <c r="J156">
        <f>IF($P156="","",INDEX(명단표[구리 근무 시작일(기준월)],$P156)&amp;"")</f>
        <v/>
      </c>
      <c r="K156">
        <f>IF($P156="","",INDEX(명단표[구리 근무 종료일(기준월)],$P156)&amp;"")</f>
        <v/>
      </c>
      <c r="L156">
        <f>IF($P156="","",INDEX(명단표[서울 근무일(기준월)],$P156))</f>
        <v/>
      </c>
      <c r="M156">
        <f>IF($P156="","",INDEX(명단표[구리 근무일(기준월)],$P156))</f>
        <v/>
      </c>
      <c r="N156">
        <f>IF($P156="","",INDEX(명단표[급여 판정 근거],$P156))</f>
        <v/>
      </c>
      <c r="O156">
        <f>IF($P156="","",INDEX(명단표[점검],$P156))</f>
        <v/>
      </c>
      <c r="P156" s="17">
        <f>IFERROR(MATCH(151,명단표[서울순번],0),"")</f>
        <v/>
      </c>
      <c r="R156">
        <f>IF($W156="","",INDEX(명단표[이름],$W156))</f>
        <v/>
      </c>
      <c r="S156">
        <f>IF($W156="","",INDEX(명단표[사번],$W156)&amp;"")</f>
        <v/>
      </c>
      <c r="T156">
        <f>IF($W156="","",INDEX(명단표[소속병원],$W156))</f>
        <v/>
      </c>
      <c r="U156">
        <f>IF($W156="","",INDEX(명단표[서울 근무일(기준월)],$W156))</f>
        <v/>
      </c>
      <c r="V156">
        <f>IF($W156="","",INDEX(명단표[구리 근무일(기준월)],$W156))</f>
        <v/>
      </c>
      <c r="W156" s="17">
        <f>IFERROR(MATCH(151,명단표[판정불가순번],0),"")</f>
        <v/>
      </c>
    </row>
    <row r="157">
      <c r="A157">
        <f>IF($P157="","",152)</f>
        <v/>
      </c>
      <c r="B157">
        <f>IF($P157="","",INDEX(명단표[이름],$P157))</f>
        <v/>
      </c>
      <c r="C157">
        <f>IF($P157="","",INDEX(명단표[사번],$P157)&amp;"")</f>
        <v/>
      </c>
      <c r="D157">
        <f>IF($P157="","",INDEX(명단표[전공의등록번호],$P157)&amp;"")</f>
        <v/>
      </c>
      <c r="E157">
        <f>IF($P157="","",INDEX(명단표[수련과목],$P157)&amp;"")</f>
        <v/>
      </c>
      <c r="F157">
        <f>IF($P157="","",INDEX(명단표[연차],$P157)&amp;"")</f>
        <v/>
      </c>
      <c r="G157">
        <f>IF($P157="","",INDEX(명단표[소속병원],$P157))</f>
        <v/>
      </c>
      <c r="H157">
        <f>IF($P157="","",IF(INDEX(명단표[소속병원],$P157)="서울병원","서울 소속","타 병원 소속("&amp;INDEX(명단표[소속병원],$P157)&amp;") → 서울 지급"))</f>
        <v/>
      </c>
      <c r="I157">
        <f>IF($P157="","",INDEX(명단표[현재 근무병원],$P157))</f>
        <v/>
      </c>
      <c r="J157">
        <f>IF($P157="","",INDEX(명단표[구리 근무 시작일(기준월)],$P157)&amp;"")</f>
        <v/>
      </c>
      <c r="K157">
        <f>IF($P157="","",INDEX(명단표[구리 근무 종료일(기준월)],$P157)&amp;"")</f>
        <v/>
      </c>
      <c r="L157">
        <f>IF($P157="","",INDEX(명단표[서울 근무일(기준월)],$P157))</f>
        <v/>
      </c>
      <c r="M157">
        <f>IF($P157="","",INDEX(명단표[구리 근무일(기준월)],$P157))</f>
        <v/>
      </c>
      <c r="N157">
        <f>IF($P157="","",INDEX(명단표[급여 판정 근거],$P157))</f>
        <v/>
      </c>
      <c r="O157">
        <f>IF($P157="","",INDEX(명단표[점검],$P157))</f>
        <v/>
      </c>
      <c r="P157" s="17">
        <f>IFERROR(MATCH(152,명단표[서울순번],0),"")</f>
        <v/>
      </c>
      <c r="R157">
        <f>IF($W157="","",INDEX(명단표[이름],$W157))</f>
        <v/>
      </c>
      <c r="S157">
        <f>IF($W157="","",INDEX(명단표[사번],$W157)&amp;"")</f>
        <v/>
      </c>
      <c r="T157">
        <f>IF($W157="","",INDEX(명단표[소속병원],$W157))</f>
        <v/>
      </c>
      <c r="U157">
        <f>IF($W157="","",INDEX(명단표[서울 근무일(기준월)],$W157))</f>
        <v/>
      </c>
      <c r="V157">
        <f>IF($W157="","",INDEX(명단표[구리 근무일(기준월)],$W157))</f>
        <v/>
      </c>
      <c r="W157" s="17">
        <f>IFERROR(MATCH(152,명단표[판정불가순번],0),"")</f>
        <v/>
      </c>
    </row>
    <row r="158">
      <c r="A158">
        <f>IF($P158="","",153)</f>
        <v/>
      </c>
      <c r="B158">
        <f>IF($P158="","",INDEX(명단표[이름],$P158))</f>
        <v/>
      </c>
      <c r="C158">
        <f>IF($P158="","",INDEX(명단표[사번],$P158)&amp;"")</f>
        <v/>
      </c>
      <c r="D158">
        <f>IF($P158="","",INDEX(명단표[전공의등록번호],$P158)&amp;"")</f>
        <v/>
      </c>
      <c r="E158">
        <f>IF($P158="","",INDEX(명단표[수련과목],$P158)&amp;"")</f>
        <v/>
      </c>
      <c r="F158">
        <f>IF($P158="","",INDEX(명단표[연차],$P158)&amp;"")</f>
        <v/>
      </c>
      <c r="G158">
        <f>IF($P158="","",INDEX(명단표[소속병원],$P158))</f>
        <v/>
      </c>
      <c r="H158">
        <f>IF($P158="","",IF(INDEX(명단표[소속병원],$P158)="서울병원","서울 소속","타 병원 소속("&amp;INDEX(명단표[소속병원],$P158)&amp;") → 서울 지급"))</f>
        <v/>
      </c>
      <c r="I158">
        <f>IF($P158="","",INDEX(명단표[현재 근무병원],$P158))</f>
        <v/>
      </c>
      <c r="J158">
        <f>IF($P158="","",INDEX(명단표[구리 근무 시작일(기준월)],$P158)&amp;"")</f>
        <v/>
      </c>
      <c r="K158">
        <f>IF($P158="","",INDEX(명단표[구리 근무 종료일(기준월)],$P158)&amp;"")</f>
        <v/>
      </c>
      <c r="L158">
        <f>IF($P158="","",INDEX(명단표[서울 근무일(기준월)],$P158))</f>
        <v/>
      </c>
      <c r="M158">
        <f>IF($P158="","",INDEX(명단표[구리 근무일(기준월)],$P158))</f>
        <v/>
      </c>
      <c r="N158">
        <f>IF($P158="","",INDEX(명단표[급여 판정 근거],$P158))</f>
        <v/>
      </c>
      <c r="O158">
        <f>IF($P158="","",INDEX(명단표[점검],$P158))</f>
        <v/>
      </c>
      <c r="P158" s="17">
        <f>IFERROR(MATCH(153,명단표[서울순번],0),"")</f>
        <v/>
      </c>
      <c r="R158">
        <f>IF($W158="","",INDEX(명단표[이름],$W158))</f>
        <v/>
      </c>
      <c r="S158">
        <f>IF($W158="","",INDEX(명단표[사번],$W158)&amp;"")</f>
        <v/>
      </c>
      <c r="T158">
        <f>IF($W158="","",INDEX(명단표[소속병원],$W158))</f>
        <v/>
      </c>
      <c r="U158">
        <f>IF($W158="","",INDEX(명단표[서울 근무일(기준월)],$W158))</f>
        <v/>
      </c>
      <c r="V158">
        <f>IF($W158="","",INDEX(명단표[구리 근무일(기준월)],$W158))</f>
        <v/>
      </c>
      <c r="W158" s="17">
        <f>IFERROR(MATCH(153,명단표[판정불가순번],0),"")</f>
        <v/>
      </c>
    </row>
    <row r="159">
      <c r="A159">
        <f>IF($P159="","",154)</f>
        <v/>
      </c>
      <c r="B159">
        <f>IF($P159="","",INDEX(명단표[이름],$P159))</f>
        <v/>
      </c>
      <c r="C159">
        <f>IF($P159="","",INDEX(명단표[사번],$P159)&amp;"")</f>
        <v/>
      </c>
      <c r="D159">
        <f>IF($P159="","",INDEX(명단표[전공의등록번호],$P159)&amp;"")</f>
        <v/>
      </c>
      <c r="E159">
        <f>IF($P159="","",INDEX(명단표[수련과목],$P159)&amp;"")</f>
        <v/>
      </c>
      <c r="F159">
        <f>IF($P159="","",INDEX(명단표[연차],$P159)&amp;"")</f>
        <v/>
      </c>
      <c r="G159">
        <f>IF($P159="","",INDEX(명단표[소속병원],$P159))</f>
        <v/>
      </c>
      <c r="H159">
        <f>IF($P159="","",IF(INDEX(명단표[소속병원],$P159)="서울병원","서울 소속","타 병원 소속("&amp;INDEX(명단표[소속병원],$P159)&amp;") → 서울 지급"))</f>
        <v/>
      </c>
      <c r="I159">
        <f>IF($P159="","",INDEX(명단표[현재 근무병원],$P159))</f>
        <v/>
      </c>
      <c r="J159">
        <f>IF($P159="","",INDEX(명단표[구리 근무 시작일(기준월)],$P159)&amp;"")</f>
        <v/>
      </c>
      <c r="K159">
        <f>IF($P159="","",INDEX(명단표[구리 근무 종료일(기준월)],$P159)&amp;"")</f>
        <v/>
      </c>
      <c r="L159">
        <f>IF($P159="","",INDEX(명단표[서울 근무일(기준월)],$P159))</f>
        <v/>
      </c>
      <c r="M159">
        <f>IF($P159="","",INDEX(명단표[구리 근무일(기준월)],$P159))</f>
        <v/>
      </c>
      <c r="N159">
        <f>IF($P159="","",INDEX(명단표[급여 판정 근거],$P159))</f>
        <v/>
      </c>
      <c r="O159">
        <f>IF($P159="","",INDEX(명단표[점검],$P159))</f>
        <v/>
      </c>
      <c r="P159" s="17">
        <f>IFERROR(MATCH(154,명단표[서울순번],0),"")</f>
        <v/>
      </c>
      <c r="R159">
        <f>IF($W159="","",INDEX(명단표[이름],$W159))</f>
        <v/>
      </c>
      <c r="S159">
        <f>IF($W159="","",INDEX(명단표[사번],$W159)&amp;"")</f>
        <v/>
      </c>
      <c r="T159">
        <f>IF($W159="","",INDEX(명단표[소속병원],$W159))</f>
        <v/>
      </c>
      <c r="U159">
        <f>IF($W159="","",INDEX(명단표[서울 근무일(기준월)],$W159))</f>
        <v/>
      </c>
      <c r="V159">
        <f>IF($W159="","",INDEX(명단표[구리 근무일(기준월)],$W159))</f>
        <v/>
      </c>
      <c r="W159" s="17">
        <f>IFERROR(MATCH(154,명단표[판정불가순번],0),"")</f>
        <v/>
      </c>
    </row>
    <row r="160">
      <c r="A160">
        <f>IF($P160="","",155)</f>
        <v/>
      </c>
      <c r="B160">
        <f>IF($P160="","",INDEX(명단표[이름],$P160))</f>
        <v/>
      </c>
      <c r="C160">
        <f>IF($P160="","",INDEX(명단표[사번],$P160)&amp;"")</f>
        <v/>
      </c>
      <c r="D160">
        <f>IF($P160="","",INDEX(명단표[전공의등록번호],$P160)&amp;"")</f>
        <v/>
      </c>
      <c r="E160">
        <f>IF($P160="","",INDEX(명단표[수련과목],$P160)&amp;"")</f>
        <v/>
      </c>
      <c r="F160">
        <f>IF($P160="","",INDEX(명단표[연차],$P160)&amp;"")</f>
        <v/>
      </c>
      <c r="G160">
        <f>IF($P160="","",INDEX(명단표[소속병원],$P160))</f>
        <v/>
      </c>
      <c r="H160">
        <f>IF($P160="","",IF(INDEX(명단표[소속병원],$P160)="서울병원","서울 소속","타 병원 소속("&amp;INDEX(명단표[소속병원],$P160)&amp;") → 서울 지급"))</f>
        <v/>
      </c>
      <c r="I160">
        <f>IF($P160="","",INDEX(명단표[현재 근무병원],$P160))</f>
        <v/>
      </c>
      <c r="J160">
        <f>IF($P160="","",INDEX(명단표[구리 근무 시작일(기준월)],$P160)&amp;"")</f>
        <v/>
      </c>
      <c r="K160">
        <f>IF($P160="","",INDEX(명단표[구리 근무 종료일(기준월)],$P160)&amp;"")</f>
        <v/>
      </c>
      <c r="L160">
        <f>IF($P160="","",INDEX(명단표[서울 근무일(기준월)],$P160))</f>
        <v/>
      </c>
      <c r="M160">
        <f>IF($P160="","",INDEX(명단표[구리 근무일(기준월)],$P160))</f>
        <v/>
      </c>
      <c r="N160">
        <f>IF($P160="","",INDEX(명단표[급여 판정 근거],$P160))</f>
        <v/>
      </c>
      <c r="O160">
        <f>IF($P160="","",INDEX(명단표[점검],$P160))</f>
        <v/>
      </c>
      <c r="P160" s="17">
        <f>IFERROR(MATCH(155,명단표[서울순번],0),"")</f>
        <v/>
      </c>
      <c r="R160">
        <f>IF($W160="","",INDEX(명단표[이름],$W160))</f>
        <v/>
      </c>
      <c r="S160">
        <f>IF($W160="","",INDEX(명단표[사번],$W160)&amp;"")</f>
        <v/>
      </c>
      <c r="T160">
        <f>IF($W160="","",INDEX(명단표[소속병원],$W160))</f>
        <v/>
      </c>
      <c r="U160">
        <f>IF($W160="","",INDEX(명단표[서울 근무일(기준월)],$W160))</f>
        <v/>
      </c>
      <c r="V160">
        <f>IF($W160="","",INDEX(명단표[구리 근무일(기준월)],$W160))</f>
        <v/>
      </c>
      <c r="W160" s="17">
        <f>IFERROR(MATCH(155,명단표[판정불가순번],0),"")</f>
        <v/>
      </c>
    </row>
    <row r="161">
      <c r="A161">
        <f>IF($P161="","",156)</f>
        <v/>
      </c>
      <c r="B161">
        <f>IF($P161="","",INDEX(명단표[이름],$P161))</f>
        <v/>
      </c>
      <c r="C161">
        <f>IF($P161="","",INDEX(명단표[사번],$P161)&amp;"")</f>
        <v/>
      </c>
      <c r="D161">
        <f>IF($P161="","",INDEX(명단표[전공의등록번호],$P161)&amp;"")</f>
        <v/>
      </c>
      <c r="E161">
        <f>IF($P161="","",INDEX(명단표[수련과목],$P161)&amp;"")</f>
        <v/>
      </c>
      <c r="F161">
        <f>IF($P161="","",INDEX(명단표[연차],$P161)&amp;"")</f>
        <v/>
      </c>
      <c r="G161">
        <f>IF($P161="","",INDEX(명단표[소속병원],$P161))</f>
        <v/>
      </c>
      <c r="H161">
        <f>IF($P161="","",IF(INDEX(명단표[소속병원],$P161)="서울병원","서울 소속","타 병원 소속("&amp;INDEX(명단표[소속병원],$P161)&amp;") → 서울 지급"))</f>
        <v/>
      </c>
      <c r="I161">
        <f>IF($P161="","",INDEX(명단표[현재 근무병원],$P161))</f>
        <v/>
      </c>
      <c r="J161">
        <f>IF($P161="","",INDEX(명단표[구리 근무 시작일(기준월)],$P161)&amp;"")</f>
        <v/>
      </c>
      <c r="K161">
        <f>IF($P161="","",INDEX(명단표[구리 근무 종료일(기준월)],$P161)&amp;"")</f>
        <v/>
      </c>
      <c r="L161">
        <f>IF($P161="","",INDEX(명단표[서울 근무일(기준월)],$P161))</f>
        <v/>
      </c>
      <c r="M161">
        <f>IF($P161="","",INDEX(명단표[구리 근무일(기준월)],$P161))</f>
        <v/>
      </c>
      <c r="N161">
        <f>IF($P161="","",INDEX(명단표[급여 판정 근거],$P161))</f>
        <v/>
      </c>
      <c r="O161">
        <f>IF($P161="","",INDEX(명단표[점검],$P161))</f>
        <v/>
      </c>
      <c r="P161" s="17">
        <f>IFERROR(MATCH(156,명단표[서울순번],0),"")</f>
        <v/>
      </c>
      <c r="R161">
        <f>IF($W161="","",INDEX(명단표[이름],$W161))</f>
        <v/>
      </c>
      <c r="S161">
        <f>IF($W161="","",INDEX(명단표[사번],$W161)&amp;"")</f>
        <v/>
      </c>
      <c r="T161">
        <f>IF($W161="","",INDEX(명단표[소속병원],$W161))</f>
        <v/>
      </c>
      <c r="U161">
        <f>IF($W161="","",INDEX(명단표[서울 근무일(기준월)],$W161))</f>
        <v/>
      </c>
      <c r="V161">
        <f>IF($W161="","",INDEX(명단표[구리 근무일(기준월)],$W161))</f>
        <v/>
      </c>
      <c r="W161" s="17">
        <f>IFERROR(MATCH(156,명단표[판정불가순번],0),"")</f>
        <v/>
      </c>
    </row>
    <row r="162">
      <c r="A162">
        <f>IF($P162="","",157)</f>
        <v/>
      </c>
      <c r="B162">
        <f>IF($P162="","",INDEX(명단표[이름],$P162))</f>
        <v/>
      </c>
      <c r="C162">
        <f>IF($P162="","",INDEX(명단표[사번],$P162)&amp;"")</f>
        <v/>
      </c>
      <c r="D162">
        <f>IF($P162="","",INDEX(명단표[전공의등록번호],$P162)&amp;"")</f>
        <v/>
      </c>
      <c r="E162">
        <f>IF($P162="","",INDEX(명단표[수련과목],$P162)&amp;"")</f>
        <v/>
      </c>
      <c r="F162">
        <f>IF($P162="","",INDEX(명단표[연차],$P162)&amp;"")</f>
        <v/>
      </c>
      <c r="G162">
        <f>IF($P162="","",INDEX(명단표[소속병원],$P162))</f>
        <v/>
      </c>
      <c r="H162">
        <f>IF($P162="","",IF(INDEX(명단표[소속병원],$P162)="서울병원","서울 소속","타 병원 소속("&amp;INDEX(명단표[소속병원],$P162)&amp;") → 서울 지급"))</f>
        <v/>
      </c>
      <c r="I162">
        <f>IF($P162="","",INDEX(명단표[현재 근무병원],$P162))</f>
        <v/>
      </c>
      <c r="J162">
        <f>IF($P162="","",INDEX(명단표[구리 근무 시작일(기준월)],$P162)&amp;"")</f>
        <v/>
      </c>
      <c r="K162">
        <f>IF($P162="","",INDEX(명단표[구리 근무 종료일(기준월)],$P162)&amp;"")</f>
        <v/>
      </c>
      <c r="L162">
        <f>IF($P162="","",INDEX(명단표[서울 근무일(기준월)],$P162))</f>
        <v/>
      </c>
      <c r="M162">
        <f>IF($P162="","",INDEX(명단표[구리 근무일(기준월)],$P162))</f>
        <v/>
      </c>
      <c r="N162">
        <f>IF($P162="","",INDEX(명단표[급여 판정 근거],$P162))</f>
        <v/>
      </c>
      <c r="O162">
        <f>IF($P162="","",INDEX(명단표[점검],$P162))</f>
        <v/>
      </c>
      <c r="P162" s="17">
        <f>IFERROR(MATCH(157,명단표[서울순번],0),"")</f>
        <v/>
      </c>
      <c r="R162">
        <f>IF($W162="","",INDEX(명단표[이름],$W162))</f>
        <v/>
      </c>
      <c r="S162">
        <f>IF($W162="","",INDEX(명단표[사번],$W162)&amp;"")</f>
        <v/>
      </c>
      <c r="T162">
        <f>IF($W162="","",INDEX(명단표[소속병원],$W162))</f>
        <v/>
      </c>
      <c r="U162">
        <f>IF($W162="","",INDEX(명단표[서울 근무일(기준월)],$W162))</f>
        <v/>
      </c>
      <c r="V162">
        <f>IF($W162="","",INDEX(명단표[구리 근무일(기준월)],$W162))</f>
        <v/>
      </c>
      <c r="W162" s="17">
        <f>IFERROR(MATCH(157,명단표[판정불가순번],0),"")</f>
        <v/>
      </c>
    </row>
    <row r="163">
      <c r="A163">
        <f>IF($P163="","",158)</f>
        <v/>
      </c>
      <c r="B163">
        <f>IF($P163="","",INDEX(명단표[이름],$P163))</f>
        <v/>
      </c>
      <c r="C163">
        <f>IF($P163="","",INDEX(명단표[사번],$P163)&amp;"")</f>
        <v/>
      </c>
      <c r="D163">
        <f>IF($P163="","",INDEX(명단표[전공의등록번호],$P163)&amp;"")</f>
        <v/>
      </c>
      <c r="E163">
        <f>IF($P163="","",INDEX(명단표[수련과목],$P163)&amp;"")</f>
        <v/>
      </c>
      <c r="F163">
        <f>IF($P163="","",INDEX(명단표[연차],$P163)&amp;"")</f>
        <v/>
      </c>
      <c r="G163">
        <f>IF($P163="","",INDEX(명단표[소속병원],$P163))</f>
        <v/>
      </c>
      <c r="H163">
        <f>IF($P163="","",IF(INDEX(명단표[소속병원],$P163)="서울병원","서울 소속","타 병원 소속("&amp;INDEX(명단표[소속병원],$P163)&amp;") → 서울 지급"))</f>
        <v/>
      </c>
      <c r="I163">
        <f>IF($P163="","",INDEX(명단표[현재 근무병원],$P163))</f>
        <v/>
      </c>
      <c r="J163">
        <f>IF($P163="","",INDEX(명단표[구리 근무 시작일(기준월)],$P163)&amp;"")</f>
        <v/>
      </c>
      <c r="K163">
        <f>IF($P163="","",INDEX(명단표[구리 근무 종료일(기준월)],$P163)&amp;"")</f>
        <v/>
      </c>
      <c r="L163">
        <f>IF($P163="","",INDEX(명단표[서울 근무일(기준월)],$P163))</f>
        <v/>
      </c>
      <c r="M163">
        <f>IF($P163="","",INDEX(명단표[구리 근무일(기준월)],$P163))</f>
        <v/>
      </c>
      <c r="N163">
        <f>IF($P163="","",INDEX(명단표[급여 판정 근거],$P163))</f>
        <v/>
      </c>
      <c r="O163">
        <f>IF($P163="","",INDEX(명단표[점검],$P163))</f>
        <v/>
      </c>
      <c r="P163" s="17">
        <f>IFERROR(MATCH(158,명단표[서울순번],0),"")</f>
        <v/>
      </c>
      <c r="R163">
        <f>IF($W163="","",INDEX(명단표[이름],$W163))</f>
        <v/>
      </c>
      <c r="S163">
        <f>IF($W163="","",INDEX(명단표[사번],$W163)&amp;"")</f>
        <v/>
      </c>
      <c r="T163">
        <f>IF($W163="","",INDEX(명단표[소속병원],$W163))</f>
        <v/>
      </c>
      <c r="U163">
        <f>IF($W163="","",INDEX(명단표[서울 근무일(기준월)],$W163))</f>
        <v/>
      </c>
      <c r="V163">
        <f>IF($W163="","",INDEX(명단표[구리 근무일(기준월)],$W163))</f>
        <v/>
      </c>
      <c r="W163" s="17">
        <f>IFERROR(MATCH(158,명단표[판정불가순번],0),"")</f>
        <v/>
      </c>
    </row>
    <row r="164">
      <c r="A164">
        <f>IF($P164="","",159)</f>
        <v/>
      </c>
      <c r="B164">
        <f>IF($P164="","",INDEX(명단표[이름],$P164))</f>
        <v/>
      </c>
      <c r="C164">
        <f>IF($P164="","",INDEX(명단표[사번],$P164)&amp;"")</f>
        <v/>
      </c>
      <c r="D164">
        <f>IF($P164="","",INDEX(명단표[전공의등록번호],$P164)&amp;"")</f>
        <v/>
      </c>
      <c r="E164">
        <f>IF($P164="","",INDEX(명단표[수련과목],$P164)&amp;"")</f>
        <v/>
      </c>
      <c r="F164">
        <f>IF($P164="","",INDEX(명단표[연차],$P164)&amp;"")</f>
        <v/>
      </c>
      <c r="G164">
        <f>IF($P164="","",INDEX(명단표[소속병원],$P164))</f>
        <v/>
      </c>
      <c r="H164">
        <f>IF($P164="","",IF(INDEX(명단표[소속병원],$P164)="서울병원","서울 소속","타 병원 소속("&amp;INDEX(명단표[소속병원],$P164)&amp;") → 서울 지급"))</f>
        <v/>
      </c>
      <c r="I164">
        <f>IF($P164="","",INDEX(명단표[현재 근무병원],$P164))</f>
        <v/>
      </c>
      <c r="J164">
        <f>IF($P164="","",INDEX(명단표[구리 근무 시작일(기준월)],$P164)&amp;"")</f>
        <v/>
      </c>
      <c r="K164">
        <f>IF($P164="","",INDEX(명단표[구리 근무 종료일(기준월)],$P164)&amp;"")</f>
        <v/>
      </c>
      <c r="L164">
        <f>IF($P164="","",INDEX(명단표[서울 근무일(기준월)],$P164))</f>
        <v/>
      </c>
      <c r="M164">
        <f>IF($P164="","",INDEX(명단표[구리 근무일(기준월)],$P164))</f>
        <v/>
      </c>
      <c r="N164">
        <f>IF($P164="","",INDEX(명단표[급여 판정 근거],$P164))</f>
        <v/>
      </c>
      <c r="O164">
        <f>IF($P164="","",INDEX(명단표[점검],$P164))</f>
        <v/>
      </c>
      <c r="P164" s="17">
        <f>IFERROR(MATCH(159,명단표[서울순번],0),"")</f>
        <v/>
      </c>
      <c r="R164">
        <f>IF($W164="","",INDEX(명단표[이름],$W164))</f>
        <v/>
      </c>
      <c r="S164">
        <f>IF($W164="","",INDEX(명단표[사번],$W164)&amp;"")</f>
        <v/>
      </c>
      <c r="T164">
        <f>IF($W164="","",INDEX(명단표[소속병원],$W164))</f>
        <v/>
      </c>
      <c r="U164">
        <f>IF($W164="","",INDEX(명단표[서울 근무일(기준월)],$W164))</f>
        <v/>
      </c>
      <c r="V164">
        <f>IF($W164="","",INDEX(명단표[구리 근무일(기준월)],$W164))</f>
        <v/>
      </c>
      <c r="W164" s="17">
        <f>IFERROR(MATCH(159,명단표[판정불가순번],0),"")</f>
        <v/>
      </c>
    </row>
    <row r="165">
      <c r="A165">
        <f>IF($P165="","",160)</f>
        <v/>
      </c>
      <c r="B165">
        <f>IF($P165="","",INDEX(명단표[이름],$P165))</f>
        <v/>
      </c>
      <c r="C165">
        <f>IF($P165="","",INDEX(명단표[사번],$P165)&amp;"")</f>
        <v/>
      </c>
      <c r="D165">
        <f>IF($P165="","",INDEX(명단표[전공의등록번호],$P165)&amp;"")</f>
        <v/>
      </c>
      <c r="E165">
        <f>IF($P165="","",INDEX(명단표[수련과목],$P165)&amp;"")</f>
        <v/>
      </c>
      <c r="F165">
        <f>IF($P165="","",INDEX(명단표[연차],$P165)&amp;"")</f>
        <v/>
      </c>
      <c r="G165">
        <f>IF($P165="","",INDEX(명단표[소속병원],$P165))</f>
        <v/>
      </c>
      <c r="H165">
        <f>IF($P165="","",IF(INDEX(명단표[소속병원],$P165)="서울병원","서울 소속","타 병원 소속("&amp;INDEX(명단표[소속병원],$P165)&amp;") → 서울 지급"))</f>
        <v/>
      </c>
      <c r="I165">
        <f>IF($P165="","",INDEX(명단표[현재 근무병원],$P165))</f>
        <v/>
      </c>
      <c r="J165">
        <f>IF($P165="","",INDEX(명단표[구리 근무 시작일(기준월)],$P165)&amp;"")</f>
        <v/>
      </c>
      <c r="K165">
        <f>IF($P165="","",INDEX(명단표[구리 근무 종료일(기준월)],$P165)&amp;"")</f>
        <v/>
      </c>
      <c r="L165">
        <f>IF($P165="","",INDEX(명단표[서울 근무일(기준월)],$P165))</f>
        <v/>
      </c>
      <c r="M165">
        <f>IF($P165="","",INDEX(명단표[구리 근무일(기준월)],$P165))</f>
        <v/>
      </c>
      <c r="N165">
        <f>IF($P165="","",INDEX(명단표[급여 판정 근거],$P165))</f>
        <v/>
      </c>
      <c r="O165">
        <f>IF($P165="","",INDEX(명단표[점검],$P165))</f>
        <v/>
      </c>
      <c r="P165" s="17">
        <f>IFERROR(MATCH(160,명단표[서울순번],0),"")</f>
        <v/>
      </c>
      <c r="R165">
        <f>IF($W165="","",INDEX(명단표[이름],$W165))</f>
        <v/>
      </c>
      <c r="S165">
        <f>IF($W165="","",INDEX(명단표[사번],$W165)&amp;"")</f>
        <v/>
      </c>
      <c r="T165">
        <f>IF($W165="","",INDEX(명단표[소속병원],$W165))</f>
        <v/>
      </c>
      <c r="U165">
        <f>IF($W165="","",INDEX(명단표[서울 근무일(기준월)],$W165))</f>
        <v/>
      </c>
      <c r="V165">
        <f>IF($W165="","",INDEX(명단표[구리 근무일(기준월)],$W165))</f>
        <v/>
      </c>
      <c r="W165" s="17">
        <f>IFERROR(MATCH(160,명단표[판정불가순번],0),"")</f>
        <v/>
      </c>
    </row>
    <row r="166">
      <c r="A166">
        <f>IF($P166="","",161)</f>
        <v/>
      </c>
      <c r="B166">
        <f>IF($P166="","",INDEX(명단표[이름],$P166))</f>
        <v/>
      </c>
      <c r="C166">
        <f>IF($P166="","",INDEX(명단표[사번],$P166)&amp;"")</f>
        <v/>
      </c>
      <c r="D166">
        <f>IF($P166="","",INDEX(명단표[전공의등록번호],$P166)&amp;"")</f>
        <v/>
      </c>
      <c r="E166">
        <f>IF($P166="","",INDEX(명단표[수련과목],$P166)&amp;"")</f>
        <v/>
      </c>
      <c r="F166">
        <f>IF($P166="","",INDEX(명단표[연차],$P166)&amp;"")</f>
        <v/>
      </c>
      <c r="G166">
        <f>IF($P166="","",INDEX(명단표[소속병원],$P166))</f>
        <v/>
      </c>
      <c r="H166">
        <f>IF($P166="","",IF(INDEX(명단표[소속병원],$P166)="서울병원","서울 소속","타 병원 소속("&amp;INDEX(명단표[소속병원],$P166)&amp;") → 서울 지급"))</f>
        <v/>
      </c>
      <c r="I166">
        <f>IF($P166="","",INDEX(명단표[현재 근무병원],$P166))</f>
        <v/>
      </c>
      <c r="J166">
        <f>IF($P166="","",INDEX(명단표[구리 근무 시작일(기준월)],$P166)&amp;"")</f>
        <v/>
      </c>
      <c r="K166">
        <f>IF($P166="","",INDEX(명단표[구리 근무 종료일(기준월)],$P166)&amp;"")</f>
        <v/>
      </c>
      <c r="L166">
        <f>IF($P166="","",INDEX(명단표[서울 근무일(기준월)],$P166))</f>
        <v/>
      </c>
      <c r="M166">
        <f>IF($P166="","",INDEX(명단표[구리 근무일(기준월)],$P166))</f>
        <v/>
      </c>
      <c r="N166">
        <f>IF($P166="","",INDEX(명단표[급여 판정 근거],$P166))</f>
        <v/>
      </c>
      <c r="O166">
        <f>IF($P166="","",INDEX(명단표[점검],$P166))</f>
        <v/>
      </c>
      <c r="P166" s="17">
        <f>IFERROR(MATCH(161,명단표[서울순번],0),"")</f>
        <v/>
      </c>
      <c r="R166">
        <f>IF($W166="","",INDEX(명단표[이름],$W166))</f>
        <v/>
      </c>
      <c r="S166">
        <f>IF($W166="","",INDEX(명단표[사번],$W166)&amp;"")</f>
        <v/>
      </c>
      <c r="T166">
        <f>IF($W166="","",INDEX(명단표[소속병원],$W166))</f>
        <v/>
      </c>
      <c r="U166">
        <f>IF($W166="","",INDEX(명단표[서울 근무일(기준월)],$W166))</f>
        <v/>
      </c>
      <c r="V166">
        <f>IF($W166="","",INDEX(명단표[구리 근무일(기준월)],$W166))</f>
        <v/>
      </c>
      <c r="W166" s="17">
        <f>IFERROR(MATCH(161,명단표[판정불가순번],0),"")</f>
        <v/>
      </c>
    </row>
    <row r="167">
      <c r="A167">
        <f>IF($P167="","",162)</f>
        <v/>
      </c>
      <c r="B167">
        <f>IF($P167="","",INDEX(명단표[이름],$P167))</f>
        <v/>
      </c>
      <c r="C167">
        <f>IF($P167="","",INDEX(명단표[사번],$P167)&amp;"")</f>
        <v/>
      </c>
      <c r="D167">
        <f>IF($P167="","",INDEX(명단표[전공의등록번호],$P167)&amp;"")</f>
        <v/>
      </c>
      <c r="E167">
        <f>IF($P167="","",INDEX(명단표[수련과목],$P167)&amp;"")</f>
        <v/>
      </c>
      <c r="F167">
        <f>IF($P167="","",INDEX(명단표[연차],$P167)&amp;"")</f>
        <v/>
      </c>
      <c r="G167">
        <f>IF($P167="","",INDEX(명단표[소속병원],$P167))</f>
        <v/>
      </c>
      <c r="H167">
        <f>IF($P167="","",IF(INDEX(명단표[소속병원],$P167)="서울병원","서울 소속","타 병원 소속("&amp;INDEX(명단표[소속병원],$P167)&amp;") → 서울 지급"))</f>
        <v/>
      </c>
      <c r="I167">
        <f>IF($P167="","",INDEX(명단표[현재 근무병원],$P167))</f>
        <v/>
      </c>
      <c r="J167">
        <f>IF($P167="","",INDEX(명단표[구리 근무 시작일(기준월)],$P167)&amp;"")</f>
        <v/>
      </c>
      <c r="K167">
        <f>IF($P167="","",INDEX(명단표[구리 근무 종료일(기준월)],$P167)&amp;"")</f>
        <v/>
      </c>
      <c r="L167">
        <f>IF($P167="","",INDEX(명단표[서울 근무일(기준월)],$P167))</f>
        <v/>
      </c>
      <c r="M167">
        <f>IF($P167="","",INDEX(명단표[구리 근무일(기준월)],$P167))</f>
        <v/>
      </c>
      <c r="N167">
        <f>IF($P167="","",INDEX(명단표[급여 판정 근거],$P167))</f>
        <v/>
      </c>
      <c r="O167">
        <f>IF($P167="","",INDEX(명단표[점검],$P167))</f>
        <v/>
      </c>
      <c r="P167" s="17">
        <f>IFERROR(MATCH(162,명단표[서울순번],0),"")</f>
        <v/>
      </c>
      <c r="R167">
        <f>IF($W167="","",INDEX(명단표[이름],$W167))</f>
        <v/>
      </c>
      <c r="S167">
        <f>IF($W167="","",INDEX(명단표[사번],$W167)&amp;"")</f>
        <v/>
      </c>
      <c r="T167">
        <f>IF($W167="","",INDEX(명단표[소속병원],$W167))</f>
        <v/>
      </c>
      <c r="U167">
        <f>IF($W167="","",INDEX(명단표[서울 근무일(기준월)],$W167))</f>
        <v/>
      </c>
      <c r="V167">
        <f>IF($W167="","",INDEX(명단표[구리 근무일(기준월)],$W167))</f>
        <v/>
      </c>
      <c r="W167" s="17">
        <f>IFERROR(MATCH(162,명단표[판정불가순번],0),"")</f>
        <v/>
      </c>
    </row>
    <row r="168">
      <c r="A168">
        <f>IF($P168="","",163)</f>
        <v/>
      </c>
      <c r="B168">
        <f>IF($P168="","",INDEX(명단표[이름],$P168))</f>
        <v/>
      </c>
      <c r="C168">
        <f>IF($P168="","",INDEX(명단표[사번],$P168)&amp;"")</f>
        <v/>
      </c>
      <c r="D168">
        <f>IF($P168="","",INDEX(명단표[전공의등록번호],$P168)&amp;"")</f>
        <v/>
      </c>
      <c r="E168">
        <f>IF($P168="","",INDEX(명단표[수련과목],$P168)&amp;"")</f>
        <v/>
      </c>
      <c r="F168">
        <f>IF($P168="","",INDEX(명단표[연차],$P168)&amp;"")</f>
        <v/>
      </c>
      <c r="G168">
        <f>IF($P168="","",INDEX(명단표[소속병원],$P168))</f>
        <v/>
      </c>
      <c r="H168">
        <f>IF($P168="","",IF(INDEX(명단표[소속병원],$P168)="서울병원","서울 소속","타 병원 소속("&amp;INDEX(명단표[소속병원],$P168)&amp;") → 서울 지급"))</f>
        <v/>
      </c>
      <c r="I168">
        <f>IF($P168="","",INDEX(명단표[현재 근무병원],$P168))</f>
        <v/>
      </c>
      <c r="J168">
        <f>IF($P168="","",INDEX(명단표[구리 근무 시작일(기준월)],$P168)&amp;"")</f>
        <v/>
      </c>
      <c r="K168">
        <f>IF($P168="","",INDEX(명단표[구리 근무 종료일(기준월)],$P168)&amp;"")</f>
        <v/>
      </c>
      <c r="L168">
        <f>IF($P168="","",INDEX(명단표[서울 근무일(기준월)],$P168))</f>
        <v/>
      </c>
      <c r="M168">
        <f>IF($P168="","",INDEX(명단표[구리 근무일(기준월)],$P168))</f>
        <v/>
      </c>
      <c r="N168">
        <f>IF($P168="","",INDEX(명단표[급여 판정 근거],$P168))</f>
        <v/>
      </c>
      <c r="O168">
        <f>IF($P168="","",INDEX(명단표[점검],$P168))</f>
        <v/>
      </c>
      <c r="P168" s="17">
        <f>IFERROR(MATCH(163,명단표[서울순번],0),"")</f>
        <v/>
      </c>
      <c r="R168">
        <f>IF($W168="","",INDEX(명단표[이름],$W168))</f>
        <v/>
      </c>
      <c r="S168">
        <f>IF($W168="","",INDEX(명단표[사번],$W168)&amp;"")</f>
        <v/>
      </c>
      <c r="T168">
        <f>IF($W168="","",INDEX(명단표[소속병원],$W168))</f>
        <v/>
      </c>
      <c r="U168">
        <f>IF($W168="","",INDEX(명단표[서울 근무일(기준월)],$W168))</f>
        <v/>
      </c>
      <c r="V168">
        <f>IF($W168="","",INDEX(명단표[구리 근무일(기준월)],$W168))</f>
        <v/>
      </c>
      <c r="W168" s="17">
        <f>IFERROR(MATCH(163,명단표[판정불가순번],0),"")</f>
        <v/>
      </c>
    </row>
    <row r="169">
      <c r="A169">
        <f>IF($P169="","",164)</f>
        <v/>
      </c>
      <c r="B169">
        <f>IF($P169="","",INDEX(명단표[이름],$P169))</f>
        <v/>
      </c>
      <c r="C169">
        <f>IF($P169="","",INDEX(명단표[사번],$P169)&amp;"")</f>
        <v/>
      </c>
      <c r="D169">
        <f>IF($P169="","",INDEX(명단표[전공의등록번호],$P169)&amp;"")</f>
        <v/>
      </c>
      <c r="E169">
        <f>IF($P169="","",INDEX(명단표[수련과목],$P169)&amp;"")</f>
        <v/>
      </c>
      <c r="F169">
        <f>IF($P169="","",INDEX(명단표[연차],$P169)&amp;"")</f>
        <v/>
      </c>
      <c r="G169">
        <f>IF($P169="","",INDEX(명단표[소속병원],$P169))</f>
        <v/>
      </c>
      <c r="H169">
        <f>IF($P169="","",IF(INDEX(명단표[소속병원],$P169)="서울병원","서울 소속","타 병원 소속("&amp;INDEX(명단표[소속병원],$P169)&amp;") → 서울 지급"))</f>
        <v/>
      </c>
      <c r="I169">
        <f>IF($P169="","",INDEX(명단표[현재 근무병원],$P169))</f>
        <v/>
      </c>
      <c r="J169">
        <f>IF($P169="","",INDEX(명단표[구리 근무 시작일(기준월)],$P169)&amp;"")</f>
        <v/>
      </c>
      <c r="K169">
        <f>IF($P169="","",INDEX(명단표[구리 근무 종료일(기준월)],$P169)&amp;"")</f>
        <v/>
      </c>
      <c r="L169">
        <f>IF($P169="","",INDEX(명단표[서울 근무일(기준월)],$P169))</f>
        <v/>
      </c>
      <c r="M169">
        <f>IF($P169="","",INDEX(명단표[구리 근무일(기준월)],$P169))</f>
        <v/>
      </c>
      <c r="N169">
        <f>IF($P169="","",INDEX(명단표[급여 판정 근거],$P169))</f>
        <v/>
      </c>
      <c r="O169">
        <f>IF($P169="","",INDEX(명단표[점검],$P169))</f>
        <v/>
      </c>
      <c r="P169" s="17">
        <f>IFERROR(MATCH(164,명단표[서울순번],0),"")</f>
        <v/>
      </c>
      <c r="R169">
        <f>IF($W169="","",INDEX(명단표[이름],$W169))</f>
        <v/>
      </c>
      <c r="S169">
        <f>IF($W169="","",INDEX(명단표[사번],$W169)&amp;"")</f>
        <v/>
      </c>
      <c r="T169">
        <f>IF($W169="","",INDEX(명단표[소속병원],$W169))</f>
        <v/>
      </c>
      <c r="U169">
        <f>IF($W169="","",INDEX(명단표[서울 근무일(기준월)],$W169))</f>
        <v/>
      </c>
      <c r="V169">
        <f>IF($W169="","",INDEX(명단표[구리 근무일(기준월)],$W169))</f>
        <v/>
      </c>
      <c r="W169" s="17">
        <f>IFERROR(MATCH(164,명단표[판정불가순번],0),"")</f>
        <v/>
      </c>
    </row>
    <row r="170">
      <c r="A170">
        <f>IF($P170="","",165)</f>
        <v/>
      </c>
      <c r="B170">
        <f>IF($P170="","",INDEX(명단표[이름],$P170))</f>
        <v/>
      </c>
      <c r="C170">
        <f>IF($P170="","",INDEX(명단표[사번],$P170)&amp;"")</f>
        <v/>
      </c>
      <c r="D170">
        <f>IF($P170="","",INDEX(명단표[전공의등록번호],$P170)&amp;"")</f>
        <v/>
      </c>
      <c r="E170">
        <f>IF($P170="","",INDEX(명단표[수련과목],$P170)&amp;"")</f>
        <v/>
      </c>
      <c r="F170">
        <f>IF($P170="","",INDEX(명단표[연차],$P170)&amp;"")</f>
        <v/>
      </c>
      <c r="G170">
        <f>IF($P170="","",INDEX(명단표[소속병원],$P170))</f>
        <v/>
      </c>
      <c r="H170">
        <f>IF($P170="","",IF(INDEX(명단표[소속병원],$P170)="서울병원","서울 소속","타 병원 소속("&amp;INDEX(명단표[소속병원],$P170)&amp;") → 서울 지급"))</f>
        <v/>
      </c>
      <c r="I170">
        <f>IF($P170="","",INDEX(명단표[현재 근무병원],$P170))</f>
        <v/>
      </c>
      <c r="J170">
        <f>IF($P170="","",INDEX(명단표[구리 근무 시작일(기준월)],$P170)&amp;"")</f>
        <v/>
      </c>
      <c r="K170">
        <f>IF($P170="","",INDEX(명단표[구리 근무 종료일(기준월)],$P170)&amp;"")</f>
        <v/>
      </c>
      <c r="L170">
        <f>IF($P170="","",INDEX(명단표[서울 근무일(기준월)],$P170))</f>
        <v/>
      </c>
      <c r="M170">
        <f>IF($P170="","",INDEX(명단표[구리 근무일(기준월)],$P170))</f>
        <v/>
      </c>
      <c r="N170">
        <f>IF($P170="","",INDEX(명단표[급여 판정 근거],$P170))</f>
        <v/>
      </c>
      <c r="O170">
        <f>IF($P170="","",INDEX(명단표[점검],$P170))</f>
        <v/>
      </c>
      <c r="P170" s="17">
        <f>IFERROR(MATCH(165,명단표[서울순번],0),"")</f>
        <v/>
      </c>
      <c r="R170">
        <f>IF($W170="","",INDEX(명단표[이름],$W170))</f>
        <v/>
      </c>
      <c r="S170">
        <f>IF($W170="","",INDEX(명단표[사번],$W170)&amp;"")</f>
        <v/>
      </c>
      <c r="T170">
        <f>IF($W170="","",INDEX(명단표[소속병원],$W170))</f>
        <v/>
      </c>
      <c r="U170">
        <f>IF($W170="","",INDEX(명단표[서울 근무일(기준월)],$W170))</f>
        <v/>
      </c>
      <c r="V170">
        <f>IF($W170="","",INDEX(명단표[구리 근무일(기준월)],$W170))</f>
        <v/>
      </c>
      <c r="W170" s="17">
        <f>IFERROR(MATCH(165,명단표[판정불가순번],0),"")</f>
        <v/>
      </c>
    </row>
    <row r="171">
      <c r="A171">
        <f>IF($P171="","",166)</f>
        <v/>
      </c>
      <c r="B171">
        <f>IF($P171="","",INDEX(명단표[이름],$P171))</f>
        <v/>
      </c>
      <c r="C171">
        <f>IF($P171="","",INDEX(명단표[사번],$P171)&amp;"")</f>
        <v/>
      </c>
      <c r="D171">
        <f>IF($P171="","",INDEX(명단표[전공의등록번호],$P171)&amp;"")</f>
        <v/>
      </c>
      <c r="E171">
        <f>IF($P171="","",INDEX(명단표[수련과목],$P171)&amp;"")</f>
        <v/>
      </c>
      <c r="F171">
        <f>IF($P171="","",INDEX(명단표[연차],$P171)&amp;"")</f>
        <v/>
      </c>
      <c r="G171">
        <f>IF($P171="","",INDEX(명단표[소속병원],$P171))</f>
        <v/>
      </c>
      <c r="H171">
        <f>IF($P171="","",IF(INDEX(명단표[소속병원],$P171)="서울병원","서울 소속","타 병원 소속("&amp;INDEX(명단표[소속병원],$P171)&amp;") → 서울 지급"))</f>
        <v/>
      </c>
      <c r="I171">
        <f>IF($P171="","",INDEX(명단표[현재 근무병원],$P171))</f>
        <v/>
      </c>
      <c r="J171">
        <f>IF($P171="","",INDEX(명단표[구리 근무 시작일(기준월)],$P171)&amp;"")</f>
        <v/>
      </c>
      <c r="K171">
        <f>IF($P171="","",INDEX(명단표[구리 근무 종료일(기준월)],$P171)&amp;"")</f>
        <v/>
      </c>
      <c r="L171">
        <f>IF($P171="","",INDEX(명단표[서울 근무일(기준월)],$P171))</f>
        <v/>
      </c>
      <c r="M171">
        <f>IF($P171="","",INDEX(명단표[구리 근무일(기준월)],$P171))</f>
        <v/>
      </c>
      <c r="N171">
        <f>IF($P171="","",INDEX(명단표[급여 판정 근거],$P171))</f>
        <v/>
      </c>
      <c r="O171">
        <f>IF($P171="","",INDEX(명단표[점검],$P171))</f>
        <v/>
      </c>
      <c r="P171" s="17">
        <f>IFERROR(MATCH(166,명단표[서울순번],0),"")</f>
        <v/>
      </c>
      <c r="R171">
        <f>IF($W171="","",INDEX(명단표[이름],$W171))</f>
        <v/>
      </c>
      <c r="S171">
        <f>IF($W171="","",INDEX(명단표[사번],$W171)&amp;"")</f>
        <v/>
      </c>
      <c r="T171">
        <f>IF($W171="","",INDEX(명단표[소속병원],$W171))</f>
        <v/>
      </c>
      <c r="U171">
        <f>IF($W171="","",INDEX(명단표[서울 근무일(기준월)],$W171))</f>
        <v/>
      </c>
      <c r="V171">
        <f>IF($W171="","",INDEX(명단표[구리 근무일(기준월)],$W171))</f>
        <v/>
      </c>
      <c r="W171" s="17">
        <f>IFERROR(MATCH(166,명단표[판정불가순번],0),"")</f>
        <v/>
      </c>
    </row>
    <row r="172">
      <c r="A172">
        <f>IF($P172="","",167)</f>
        <v/>
      </c>
      <c r="B172">
        <f>IF($P172="","",INDEX(명단표[이름],$P172))</f>
        <v/>
      </c>
      <c r="C172">
        <f>IF($P172="","",INDEX(명단표[사번],$P172)&amp;"")</f>
        <v/>
      </c>
      <c r="D172">
        <f>IF($P172="","",INDEX(명단표[전공의등록번호],$P172)&amp;"")</f>
        <v/>
      </c>
      <c r="E172">
        <f>IF($P172="","",INDEX(명단표[수련과목],$P172)&amp;"")</f>
        <v/>
      </c>
      <c r="F172">
        <f>IF($P172="","",INDEX(명단표[연차],$P172)&amp;"")</f>
        <v/>
      </c>
      <c r="G172">
        <f>IF($P172="","",INDEX(명단표[소속병원],$P172))</f>
        <v/>
      </c>
      <c r="H172">
        <f>IF($P172="","",IF(INDEX(명단표[소속병원],$P172)="서울병원","서울 소속","타 병원 소속("&amp;INDEX(명단표[소속병원],$P172)&amp;") → 서울 지급"))</f>
        <v/>
      </c>
      <c r="I172">
        <f>IF($P172="","",INDEX(명단표[현재 근무병원],$P172))</f>
        <v/>
      </c>
      <c r="J172">
        <f>IF($P172="","",INDEX(명단표[구리 근무 시작일(기준월)],$P172)&amp;"")</f>
        <v/>
      </c>
      <c r="K172">
        <f>IF($P172="","",INDEX(명단표[구리 근무 종료일(기준월)],$P172)&amp;"")</f>
        <v/>
      </c>
      <c r="L172">
        <f>IF($P172="","",INDEX(명단표[서울 근무일(기준월)],$P172))</f>
        <v/>
      </c>
      <c r="M172">
        <f>IF($P172="","",INDEX(명단표[구리 근무일(기준월)],$P172))</f>
        <v/>
      </c>
      <c r="N172">
        <f>IF($P172="","",INDEX(명단표[급여 판정 근거],$P172))</f>
        <v/>
      </c>
      <c r="O172">
        <f>IF($P172="","",INDEX(명단표[점검],$P172))</f>
        <v/>
      </c>
      <c r="P172" s="17">
        <f>IFERROR(MATCH(167,명단표[서울순번],0),"")</f>
        <v/>
      </c>
      <c r="R172">
        <f>IF($W172="","",INDEX(명단표[이름],$W172))</f>
        <v/>
      </c>
      <c r="S172">
        <f>IF($W172="","",INDEX(명단표[사번],$W172)&amp;"")</f>
        <v/>
      </c>
      <c r="T172">
        <f>IF($W172="","",INDEX(명단표[소속병원],$W172))</f>
        <v/>
      </c>
      <c r="U172">
        <f>IF($W172="","",INDEX(명단표[서울 근무일(기준월)],$W172))</f>
        <v/>
      </c>
      <c r="V172">
        <f>IF($W172="","",INDEX(명단표[구리 근무일(기준월)],$W172))</f>
        <v/>
      </c>
      <c r="W172" s="17">
        <f>IFERROR(MATCH(167,명단표[판정불가순번],0),"")</f>
        <v/>
      </c>
    </row>
    <row r="173">
      <c r="A173">
        <f>IF($P173="","",168)</f>
        <v/>
      </c>
      <c r="B173">
        <f>IF($P173="","",INDEX(명단표[이름],$P173))</f>
        <v/>
      </c>
      <c r="C173">
        <f>IF($P173="","",INDEX(명단표[사번],$P173)&amp;"")</f>
        <v/>
      </c>
      <c r="D173">
        <f>IF($P173="","",INDEX(명단표[전공의등록번호],$P173)&amp;"")</f>
        <v/>
      </c>
      <c r="E173">
        <f>IF($P173="","",INDEX(명단표[수련과목],$P173)&amp;"")</f>
        <v/>
      </c>
      <c r="F173">
        <f>IF($P173="","",INDEX(명단표[연차],$P173)&amp;"")</f>
        <v/>
      </c>
      <c r="G173">
        <f>IF($P173="","",INDEX(명단표[소속병원],$P173))</f>
        <v/>
      </c>
      <c r="H173">
        <f>IF($P173="","",IF(INDEX(명단표[소속병원],$P173)="서울병원","서울 소속","타 병원 소속("&amp;INDEX(명단표[소속병원],$P173)&amp;") → 서울 지급"))</f>
        <v/>
      </c>
      <c r="I173">
        <f>IF($P173="","",INDEX(명단표[현재 근무병원],$P173))</f>
        <v/>
      </c>
      <c r="J173">
        <f>IF($P173="","",INDEX(명단표[구리 근무 시작일(기준월)],$P173)&amp;"")</f>
        <v/>
      </c>
      <c r="K173">
        <f>IF($P173="","",INDEX(명단표[구리 근무 종료일(기준월)],$P173)&amp;"")</f>
        <v/>
      </c>
      <c r="L173">
        <f>IF($P173="","",INDEX(명단표[서울 근무일(기준월)],$P173))</f>
        <v/>
      </c>
      <c r="M173">
        <f>IF($P173="","",INDEX(명단표[구리 근무일(기준월)],$P173))</f>
        <v/>
      </c>
      <c r="N173">
        <f>IF($P173="","",INDEX(명단표[급여 판정 근거],$P173))</f>
        <v/>
      </c>
      <c r="O173">
        <f>IF($P173="","",INDEX(명단표[점검],$P173))</f>
        <v/>
      </c>
      <c r="P173" s="17">
        <f>IFERROR(MATCH(168,명단표[서울순번],0),"")</f>
        <v/>
      </c>
      <c r="R173">
        <f>IF($W173="","",INDEX(명단표[이름],$W173))</f>
        <v/>
      </c>
      <c r="S173">
        <f>IF($W173="","",INDEX(명단표[사번],$W173)&amp;"")</f>
        <v/>
      </c>
      <c r="T173">
        <f>IF($W173="","",INDEX(명단표[소속병원],$W173))</f>
        <v/>
      </c>
      <c r="U173">
        <f>IF($W173="","",INDEX(명단표[서울 근무일(기준월)],$W173))</f>
        <v/>
      </c>
      <c r="V173">
        <f>IF($W173="","",INDEX(명단표[구리 근무일(기준월)],$W173))</f>
        <v/>
      </c>
      <c r="W173" s="17">
        <f>IFERROR(MATCH(168,명단표[판정불가순번],0),"")</f>
        <v/>
      </c>
    </row>
    <row r="174">
      <c r="A174">
        <f>IF($P174="","",169)</f>
        <v/>
      </c>
      <c r="B174">
        <f>IF($P174="","",INDEX(명단표[이름],$P174))</f>
        <v/>
      </c>
      <c r="C174">
        <f>IF($P174="","",INDEX(명단표[사번],$P174)&amp;"")</f>
        <v/>
      </c>
      <c r="D174">
        <f>IF($P174="","",INDEX(명단표[전공의등록번호],$P174)&amp;"")</f>
        <v/>
      </c>
      <c r="E174">
        <f>IF($P174="","",INDEX(명단표[수련과목],$P174)&amp;"")</f>
        <v/>
      </c>
      <c r="F174">
        <f>IF($P174="","",INDEX(명단표[연차],$P174)&amp;"")</f>
        <v/>
      </c>
      <c r="G174">
        <f>IF($P174="","",INDEX(명단표[소속병원],$P174))</f>
        <v/>
      </c>
      <c r="H174">
        <f>IF($P174="","",IF(INDEX(명단표[소속병원],$P174)="서울병원","서울 소속","타 병원 소속("&amp;INDEX(명단표[소속병원],$P174)&amp;") → 서울 지급"))</f>
        <v/>
      </c>
      <c r="I174">
        <f>IF($P174="","",INDEX(명단표[현재 근무병원],$P174))</f>
        <v/>
      </c>
      <c r="J174">
        <f>IF($P174="","",INDEX(명단표[구리 근무 시작일(기준월)],$P174)&amp;"")</f>
        <v/>
      </c>
      <c r="K174">
        <f>IF($P174="","",INDEX(명단표[구리 근무 종료일(기준월)],$P174)&amp;"")</f>
        <v/>
      </c>
      <c r="L174">
        <f>IF($P174="","",INDEX(명단표[서울 근무일(기준월)],$P174))</f>
        <v/>
      </c>
      <c r="M174">
        <f>IF($P174="","",INDEX(명단표[구리 근무일(기준월)],$P174))</f>
        <v/>
      </c>
      <c r="N174">
        <f>IF($P174="","",INDEX(명단표[급여 판정 근거],$P174))</f>
        <v/>
      </c>
      <c r="O174">
        <f>IF($P174="","",INDEX(명단표[점검],$P174))</f>
        <v/>
      </c>
      <c r="P174" s="17">
        <f>IFERROR(MATCH(169,명단표[서울순번],0),"")</f>
        <v/>
      </c>
      <c r="R174">
        <f>IF($W174="","",INDEX(명단표[이름],$W174))</f>
        <v/>
      </c>
      <c r="S174">
        <f>IF($W174="","",INDEX(명단표[사번],$W174)&amp;"")</f>
        <v/>
      </c>
      <c r="T174">
        <f>IF($W174="","",INDEX(명단표[소속병원],$W174))</f>
        <v/>
      </c>
      <c r="U174">
        <f>IF($W174="","",INDEX(명단표[서울 근무일(기준월)],$W174))</f>
        <v/>
      </c>
      <c r="V174">
        <f>IF($W174="","",INDEX(명단표[구리 근무일(기준월)],$W174))</f>
        <v/>
      </c>
      <c r="W174" s="17">
        <f>IFERROR(MATCH(169,명단표[판정불가순번],0),"")</f>
        <v/>
      </c>
    </row>
    <row r="175">
      <c r="A175">
        <f>IF($P175="","",170)</f>
        <v/>
      </c>
      <c r="B175">
        <f>IF($P175="","",INDEX(명단표[이름],$P175))</f>
        <v/>
      </c>
      <c r="C175">
        <f>IF($P175="","",INDEX(명단표[사번],$P175)&amp;"")</f>
        <v/>
      </c>
      <c r="D175">
        <f>IF($P175="","",INDEX(명단표[전공의등록번호],$P175)&amp;"")</f>
        <v/>
      </c>
      <c r="E175">
        <f>IF($P175="","",INDEX(명단표[수련과목],$P175)&amp;"")</f>
        <v/>
      </c>
      <c r="F175">
        <f>IF($P175="","",INDEX(명단표[연차],$P175)&amp;"")</f>
        <v/>
      </c>
      <c r="G175">
        <f>IF($P175="","",INDEX(명단표[소속병원],$P175))</f>
        <v/>
      </c>
      <c r="H175">
        <f>IF($P175="","",IF(INDEX(명단표[소속병원],$P175)="서울병원","서울 소속","타 병원 소속("&amp;INDEX(명단표[소속병원],$P175)&amp;") → 서울 지급"))</f>
        <v/>
      </c>
      <c r="I175">
        <f>IF($P175="","",INDEX(명단표[현재 근무병원],$P175))</f>
        <v/>
      </c>
      <c r="J175">
        <f>IF($P175="","",INDEX(명단표[구리 근무 시작일(기준월)],$P175)&amp;"")</f>
        <v/>
      </c>
      <c r="K175">
        <f>IF($P175="","",INDEX(명단표[구리 근무 종료일(기준월)],$P175)&amp;"")</f>
        <v/>
      </c>
      <c r="L175">
        <f>IF($P175="","",INDEX(명단표[서울 근무일(기준월)],$P175))</f>
        <v/>
      </c>
      <c r="M175">
        <f>IF($P175="","",INDEX(명단표[구리 근무일(기준월)],$P175))</f>
        <v/>
      </c>
      <c r="N175">
        <f>IF($P175="","",INDEX(명단표[급여 판정 근거],$P175))</f>
        <v/>
      </c>
      <c r="O175">
        <f>IF($P175="","",INDEX(명단표[점검],$P175))</f>
        <v/>
      </c>
      <c r="P175" s="17">
        <f>IFERROR(MATCH(170,명단표[서울순번],0),"")</f>
        <v/>
      </c>
      <c r="R175">
        <f>IF($W175="","",INDEX(명단표[이름],$W175))</f>
        <v/>
      </c>
      <c r="S175">
        <f>IF($W175="","",INDEX(명단표[사번],$W175)&amp;"")</f>
        <v/>
      </c>
      <c r="T175">
        <f>IF($W175="","",INDEX(명단표[소속병원],$W175))</f>
        <v/>
      </c>
      <c r="U175">
        <f>IF($W175="","",INDEX(명단표[서울 근무일(기준월)],$W175))</f>
        <v/>
      </c>
      <c r="V175">
        <f>IF($W175="","",INDEX(명단표[구리 근무일(기준월)],$W175))</f>
        <v/>
      </c>
      <c r="W175" s="17">
        <f>IFERROR(MATCH(170,명단표[판정불가순번],0),"")</f>
        <v/>
      </c>
    </row>
    <row r="176">
      <c r="A176">
        <f>IF($P176="","",171)</f>
        <v/>
      </c>
      <c r="B176">
        <f>IF($P176="","",INDEX(명단표[이름],$P176))</f>
        <v/>
      </c>
      <c r="C176">
        <f>IF($P176="","",INDEX(명단표[사번],$P176)&amp;"")</f>
        <v/>
      </c>
      <c r="D176">
        <f>IF($P176="","",INDEX(명단표[전공의등록번호],$P176)&amp;"")</f>
        <v/>
      </c>
      <c r="E176">
        <f>IF($P176="","",INDEX(명단표[수련과목],$P176)&amp;"")</f>
        <v/>
      </c>
      <c r="F176">
        <f>IF($P176="","",INDEX(명단표[연차],$P176)&amp;"")</f>
        <v/>
      </c>
      <c r="G176">
        <f>IF($P176="","",INDEX(명단표[소속병원],$P176))</f>
        <v/>
      </c>
      <c r="H176">
        <f>IF($P176="","",IF(INDEX(명단표[소속병원],$P176)="서울병원","서울 소속","타 병원 소속("&amp;INDEX(명단표[소속병원],$P176)&amp;") → 서울 지급"))</f>
        <v/>
      </c>
      <c r="I176">
        <f>IF($P176="","",INDEX(명단표[현재 근무병원],$P176))</f>
        <v/>
      </c>
      <c r="J176">
        <f>IF($P176="","",INDEX(명단표[구리 근무 시작일(기준월)],$P176)&amp;"")</f>
        <v/>
      </c>
      <c r="K176">
        <f>IF($P176="","",INDEX(명단표[구리 근무 종료일(기준월)],$P176)&amp;"")</f>
        <v/>
      </c>
      <c r="L176">
        <f>IF($P176="","",INDEX(명단표[서울 근무일(기준월)],$P176))</f>
        <v/>
      </c>
      <c r="M176">
        <f>IF($P176="","",INDEX(명단표[구리 근무일(기준월)],$P176))</f>
        <v/>
      </c>
      <c r="N176">
        <f>IF($P176="","",INDEX(명단표[급여 판정 근거],$P176))</f>
        <v/>
      </c>
      <c r="O176">
        <f>IF($P176="","",INDEX(명단표[점검],$P176))</f>
        <v/>
      </c>
      <c r="P176" s="17">
        <f>IFERROR(MATCH(171,명단표[서울순번],0),"")</f>
        <v/>
      </c>
      <c r="R176">
        <f>IF($W176="","",INDEX(명단표[이름],$W176))</f>
        <v/>
      </c>
      <c r="S176">
        <f>IF($W176="","",INDEX(명단표[사번],$W176)&amp;"")</f>
        <v/>
      </c>
      <c r="T176">
        <f>IF($W176="","",INDEX(명단표[소속병원],$W176))</f>
        <v/>
      </c>
      <c r="U176">
        <f>IF($W176="","",INDEX(명단표[서울 근무일(기준월)],$W176))</f>
        <v/>
      </c>
      <c r="V176">
        <f>IF($W176="","",INDEX(명단표[구리 근무일(기준월)],$W176))</f>
        <v/>
      </c>
      <c r="W176" s="17">
        <f>IFERROR(MATCH(171,명단표[판정불가순번],0),"")</f>
        <v/>
      </c>
    </row>
    <row r="177">
      <c r="A177">
        <f>IF($P177="","",172)</f>
        <v/>
      </c>
      <c r="B177">
        <f>IF($P177="","",INDEX(명단표[이름],$P177))</f>
        <v/>
      </c>
      <c r="C177">
        <f>IF($P177="","",INDEX(명단표[사번],$P177)&amp;"")</f>
        <v/>
      </c>
      <c r="D177">
        <f>IF($P177="","",INDEX(명단표[전공의등록번호],$P177)&amp;"")</f>
        <v/>
      </c>
      <c r="E177">
        <f>IF($P177="","",INDEX(명단표[수련과목],$P177)&amp;"")</f>
        <v/>
      </c>
      <c r="F177">
        <f>IF($P177="","",INDEX(명단표[연차],$P177)&amp;"")</f>
        <v/>
      </c>
      <c r="G177">
        <f>IF($P177="","",INDEX(명단표[소속병원],$P177))</f>
        <v/>
      </c>
      <c r="H177">
        <f>IF($P177="","",IF(INDEX(명단표[소속병원],$P177)="서울병원","서울 소속","타 병원 소속("&amp;INDEX(명단표[소속병원],$P177)&amp;") → 서울 지급"))</f>
        <v/>
      </c>
      <c r="I177">
        <f>IF($P177="","",INDEX(명단표[현재 근무병원],$P177))</f>
        <v/>
      </c>
      <c r="J177">
        <f>IF($P177="","",INDEX(명단표[구리 근무 시작일(기준월)],$P177)&amp;"")</f>
        <v/>
      </c>
      <c r="K177">
        <f>IF($P177="","",INDEX(명단표[구리 근무 종료일(기준월)],$P177)&amp;"")</f>
        <v/>
      </c>
      <c r="L177">
        <f>IF($P177="","",INDEX(명단표[서울 근무일(기준월)],$P177))</f>
        <v/>
      </c>
      <c r="M177">
        <f>IF($P177="","",INDEX(명단표[구리 근무일(기준월)],$P177))</f>
        <v/>
      </c>
      <c r="N177">
        <f>IF($P177="","",INDEX(명단표[급여 판정 근거],$P177))</f>
        <v/>
      </c>
      <c r="O177">
        <f>IF($P177="","",INDEX(명단표[점검],$P177))</f>
        <v/>
      </c>
      <c r="P177" s="17">
        <f>IFERROR(MATCH(172,명단표[서울순번],0),"")</f>
        <v/>
      </c>
      <c r="R177">
        <f>IF($W177="","",INDEX(명단표[이름],$W177))</f>
        <v/>
      </c>
      <c r="S177">
        <f>IF($W177="","",INDEX(명단표[사번],$W177)&amp;"")</f>
        <v/>
      </c>
      <c r="T177">
        <f>IF($W177="","",INDEX(명단표[소속병원],$W177))</f>
        <v/>
      </c>
      <c r="U177">
        <f>IF($W177="","",INDEX(명단표[서울 근무일(기준월)],$W177))</f>
        <v/>
      </c>
      <c r="V177">
        <f>IF($W177="","",INDEX(명단표[구리 근무일(기준월)],$W177))</f>
        <v/>
      </c>
      <c r="W177" s="17">
        <f>IFERROR(MATCH(172,명단표[판정불가순번],0),"")</f>
        <v/>
      </c>
    </row>
    <row r="178">
      <c r="A178">
        <f>IF($P178="","",173)</f>
        <v/>
      </c>
      <c r="B178">
        <f>IF($P178="","",INDEX(명단표[이름],$P178))</f>
        <v/>
      </c>
      <c r="C178">
        <f>IF($P178="","",INDEX(명단표[사번],$P178)&amp;"")</f>
        <v/>
      </c>
      <c r="D178">
        <f>IF($P178="","",INDEX(명단표[전공의등록번호],$P178)&amp;"")</f>
        <v/>
      </c>
      <c r="E178">
        <f>IF($P178="","",INDEX(명단표[수련과목],$P178)&amp;"")</f>
        <v/>
      </c>
      <c r="F178">
        <f>IF($P178="","",INDEX(명단표[연차],$P178)&amp;"")</f>
        <v/>
      </c>
      <c r="G178">
        <f>IF($P178="","",INDEX(명단표[소속병원],$P178))</f>
        <v/>
      </c>
      <c r="H178">
        <f>IF($P178="","",IF(INDEX(명단표[소속병원],$P178)="서울병원","서울 소속","타 병원 소속("&amp;INDEX(명단표[소속병원],$P178)&amp;") → 서울 지급"))</f>
        <v/>
      </c>
      <c r="I178">
        <f>IF($P178="","",INDEX(명단표[현재 근무병원],$P178))</f>
        <v/>
      </c>
      <c r="J178">
        <f>IF($P178="","",INDEX(명단표[구리 근무 시작일(기준월)],$P178)&amp;"")</f>
        <v/>
      </c>
      <c r="K178">
        <f>IF($P178="","",INDEX(명단표[구리 근무 종료일(기준월)],$P178)&amp;"")</f>
        <v/>
      </c>
      <c r="L178">
        <f>IF($P178="","",INDEX(명단표[서울 근무일(기준월)],$P178))</f>
        <v/>
      </c>
      <c r="M178">
        <f>IF($P178="","",INDEX(명단표[구리 근무일(기준월)],$P178))</f>
        <v/>
      </c>
      <c r="N178">
        <f>IF($P178="","",INDEX(명단표[급여 판정 근거],$P178))</f>
        <v/>
      </c>
      <c r="O178">
        <f>IF($P178="","",INDEX(명단표[점검],$P178))</f>
        <v/>
      </c>
      <c r="P178" s="17">
        <f>IFERROR(MATCH(173,명단표[서울순번],0),"")</f>
        <v/>
      </c>
      <c r="R178">
        <f>IF($W178="","",INDEX(명단표[이름],$W178))</f>
        <v/>
      </c>
      <c r="S178">
        <f>IF($W178="","",INDEX(명단표[사번],$W178)&amp;"")</f>
        <v/>
      </c>
      <c r="T178">
        <f>IF($W178="","",INDEX(명단표[소속병원],$W178))</f>
        <v/>
      </c>
      <c r="U178">
        <f>IF($W178="","",INDEX(명단표[서울 근무일(기준월)],$W178))</f>
        <v/>
      </c>
      <c r="V178">
        <f>IF($W178="","",INDEX(명단표[구리 근무일(기준월)],$W178))</f>
        <v/>
      </c>
      <c r="W178" s="17">
        <f>IFERROR(MATCH(173,명단표[판정불가순번],0),"")</f>
        <v/>
      </c>
    </row>
    <row r="179">
      <c r="A179">
        <f>IF($P179="","",174)</f>
        <v/>
      </c>
      <c r="B179">
        <f>IF($P179="","",INDEX(명단표[이름],$P179))</f>
        <v/>
      </c>
      <c r="C179">
        <f>IF($P179="","",INDEX(명단표[사번],$P179)&amp;"")</f>
        <v/>
      </c>
      <c r="D179">
        <f>IF($P179="","",INDEX(명단표[전공의등록번호],$P179)&amp;"")</f>
        <v/>
      </c>
      <c r="E179">
        <f>IF($P179="","",INDEX(명단표[수련과목],$P179)&amp;"")</f>
        <v/>
      </c>
      <c r="F179">
        <f>IF($P179="","",INDEX(명단표[연차],$P179)&amp;"")</f>
        <v/>
      </c>
      <c r="G179">
        <f>IF($P179="","",INDEX(명단표[소속병원],$P179))</f>
        <v/>
      </c>
      <c r="H179">
        <f>IF($P179="","",IF(INDEX(명단표[소속병원],$P179)="서울병원","서울 소속","타 병원 소속("&amp;INDEX(명단표[소속병원],$P179)&amp;") → 서울 지급"))</f>
        <v/>
      </c>
      <c r="I179">
        <f>IF($P179="","",INDEX(명단표[현재 근무병원],$P179))</f>
        <v/>
      </c>
      <c r="J179">
        <f>IF($P179="","",INDEX(명단표[구리 근무 시작일(기준월)],$P179)&amp;"")</f>
        <v/>
      </c>
      <c r="K179">
        <f>IF($P179="","",INDEX(명단표[구리 근무 종료일(기준월)],$P179)&amp;"")</f>
        <v/>
      </c>
      <c r="L179">
        <f>IF($P179="","",INDEX(명단표[서울 근무일(기준월)],$P179))</f>
        <v/>
      </c>
      <c r="M179">
        <f>IF($P179="","",INDEX(명단표[구리 근무일(기준월)],$P179))</f>
        <v/>
      </c>
      <c r="N179">
        <f>IF($P179="","",INDEX(명단표[급여 판정 근거],$P179))</f>
        <v/>
      </c>
      <c r="O179">
        <f>IF($P179="","",INDEX(명단표[점검],$P179))</f>
        <v/>
      </c>
      <c r="P179" s="17">
        <f>IFERROR(MATCH(174,명단표[서울순번],0),"")</f>
        <v/>
      </c>
      <c r="R179">
        <f>IF($W179="","",INDEX(명단표[이름],$W179))</f>
        <v/>
      </c>
      <c r="S179">
        <f>IF($W179="","",INDEX(명단표[사번],$W179)&amp;"")</f>
        <v/>
      </c>
      <c r="T179">
        <f>IF($W179="","",INDEX(명단표[소속병원],$W179))</f>
        <v/>
      </c>
      <c r="U179">
        <f>IF($W179="","",INDEX(명단표[서울 근무일(기준월)],$W179))</f>
        <v/>
      </c>
      <c r="V179">
        <f>IF($W179="","",INDEX(명단표[구리 근무일(기준월)],$W179))</f>
        <v/>
      </c>
      <c r="W179" s="17">
        <f>IFERROR(MATCH(174,명단표[판정불가순번],0),"")</f>
        <v/>
      </c>
    </row>
    <row r="180">
      <c r="A180">
        <f>IF($P180="","",175)</f>
        <v/>
      </c>
      <c r="B180">
        <f>IF($P180="","",INDEX(명단표[이름],$P180))</f>
        <v/>
      </c>
      <c r="C180">
        <f>IF($P180="","",INDEX(명단표[사번],$P180)&amp;"")</f>
        <v/>
      </c>
      <c r="D180">
        <f>IF($P180="","",INDEX(명단표[전공의등록번호],$P180)&amp;"")</f>
        <v/>
      </c>
      <c r="E180">
        <f>IF($P180="","",INDEX(명단표[수련과목],$P180)&amp;"")</f>
        <v/>
      </c>
      <c r="F180">
        <f>IF($P180="","",INDEX(명단표[연차],$P180)&amp;"")</f>
        <v/>
      </c>
      <c r="G180">
        <f>IF($P180="","",INDEX(명단표[소속병원],$P180))</f>
        <v/>
      </c>
      <c r="H180">
        <f>IF($P180="","",IF(INDEX(명단표[소속병원],$P180)="서울병원","서울 소속","타 병원 소속("&amp;INDEX(명단표[소속병원],$P180)&amp;") → 서울 지급"))</f>
        <v/>
      </c>
      <c r="I180">
        <f>IF($P180="","",INDEX(명단표[현재 근무병원],$P180))</f>
        <v/>
      </c>
      <c r="J180">
        <f>IF($P180="","",INDEX(명단표[구리 근무 시작일(기준월)],$P180)&amp;"")</f>
        <v/>
      </c>
      <c r="K180">
        <f>IF($P180="","",INDEX(명단표[구리 근무 종료일(기준월)],$P180)&amp;"")</f>
        <v/>
      </c>
      <c r="L180">
        <f>IF($P180="","",INDEX(명단표[서울 근무일(기준월)],$P180))</f>
        <v/>
      </c>
      <c r="M180">
        <f>IF($P180="","",INDEX(명단표[구리 근무일(기준월)],$P180))</f>
        <v/>
      </c>
      <c r="N180">
        <f>IF($P180="","",INDEX(명단표[급여 판정 근거],$P180))</f>
        <v/>
      </c>
      <c r="O180">
        <f>IF($P180="","",INDEX(명단표[점검],$P180))</f>
        <v/>
      </c>
      <c r="P180" s="17">
        <f>IFERROR(MATCH(175,명단표[서울순번],0),"")</f>
        <v/>
      </c>
      <c r="R180">
        <f>IF($W180="","",INDEX(명단표[이름],$W180))</f>
        <v/>
      </c>
      <c r="S180">
        <f>IF($W180="","",INDEX(명단표[사번],$W180)&amp;"")</f>
        <v/>
      </c>
      <c r="T180">
        <f>IF($W180="","",INDEX(명단표[소속병원],$W180))</f>
        <v/>
      </c>
      <c r="U180">
        <f>IF($W180="","",INDEX(명단표[서울 근무일(기준월)],$W180))</f>
        <v/>
      </c>
      <c r="V180">
        <f>IF($W180="","",INDEX(명단표[구리 근무일(기준월)],$W180))</f>
        <v/>
      </c>
      <c r="W180" s="17">
        <f>IFERROR(MATCH(175,명단표[판정불가순번],0),"")</f>
        <v/>
      </c>
    </row>
    <row r="181">
      <c r="A181">
        <f>IF($P181="","",176)</f>
        <v/>
      </c>
      <c r="B181">
        <f>IF($P181="","",INDEX(명단표[이름],$P181))</f>
        <v/>
      </c>
      <c r="C181">
        <f>IF($P181="","",INDEX(명단표[사번],$P181)&amp;"")</f>
        <v/>
      </c>
      <c r="D181">
        <f>IF($P181="","",INDEX(명단표[전공의등록번호],$P181)&amp;"")</f>
        <v/>
      </c>
      <c r="E181">
        <f>IF($P181="","",INDEX(명단표[수련과목],$P181)&amp;"")</f>
        <v/>
      </c>
      <c r="F181">
        <f>IF($P181="","",INDEX(명단표[연차],$P181)&amp;"")</f>
        <v/>
      </c>
      <c r="G181">
        <f>IF($P181="","",INDEX(명단표[소속병원],$P181))</f>
        <v/>
      </c>
      <c r="H181">
        <f>IF($P181="","",IF(INDEX(명단표[소속병원],$P181)="서울병원","서울 소속","타 병원 소속("&amp;INDEX(명단표[소속병원],$P181)&amp;") → 서울 지급"))</f>
        <v/>
      </c>
      <c r="I181">
        <f>IF($P181="","",INDEX(명단표[현재 근무병원],$P181))</f>
        <v/>
      </c>
      <c r="J181">
        <f>IF($P181="","",INDEX(명단표[구리 근무 시작일(기준월)],$P181)&amp;"")</f>
        <v/>
      </c>
      <c r="K181">
        <f>IF($P181="","",INDEX(명단표[구리 근무 종료일(기준월)],$P181)&amp;"")</f>
        <v/>
      </c>
      <c r="L181">
        <f>IF($P181="","",INDEX(명단표[서울 근무일(기준월)],$P181))</f>
        <v/>
      </c>
      <c r="M181">
        <f>IF($P181="","",INDEX(명단표[구리 근무일(기준월)],$P181))</f>
        <v/>
      </c>
      <c r="N181">
        <f>IF($P181="","",INDEX(명단표[급여 판정 근거],$P181))</f>
        <v/>
      </c>
      <c r="O181">
        <f>IF($P181="","",INDEX(명단표[점검],$P181))</f>
        <v/>
      </c>
      <c r="P181" s="17">
        <f>IFERROR(MATCH(176,명단표[서울순번],0),"")</f>
        <v/>
      </c>
      <c r="R181">
        <f>IF($W181="","",INDEX(명단표[이름],$W181))</f>
        <v/>
      </c>
      <c r="S181">
        <f>IF($W181="","",INDEX(명단표[사번],$W181)&amp;"")</f>
        <v/>
      </c>
      <c r="T181">
        <f>IF($W181="","",INDEX(명단표[소속병원],$W181))</f>
        <v/>
      </c>
      <c r="U181">
        <f>IF($W181="","",INDEX(명단표[서울 근무일(기준월)],$W181))</f>
        <v/>
      </c>
      <c r="V181">
        <f>IF($W181="","",INDEX(명단표[구리 근무일(기준월)],$W181))</f>
        <v/>
      </c>
      <c r="W181" s="17">
        <f>IFERROR(MATCH(176,명단표[판정불가순번],0),"")</f>
        <v/>
      </c>
    </row>
    <row r="182">
      <c r="A182">
        <f>IF($P182="","",177)</f>
        <v/>
      </c>
      <c r="B182">
        <f>IF($P182="","",INDEX(명단표[이름],$P182))</f>
        <v/>
      </c>
      <c r="C182">
        <f>IF($P182="","",INDEX(명단표[사번],$P182)&amp;"")</f>
        <v/>
      </c>
      <c r="D182">
        <f>IF($P182="","",INDEX(명단표[전공의등록번호],$P182)&amp;"")</f>
        <v/>
      </c>
      <c r="E182">
        <f>IF($P182="","",INDEX(명단표[수련과목],$P182)&amp;"")</f>
        <v/>
      </c>
      <c r="F182">
        <f>IF($P182="","",INDEX(명단표[연차],$P182)&amp;"")</f>
        <v/>
      </c>
      <c r="G182">
        <f>IF($P182="","",INDEX(명단표[소속병원],$P182))</f>
        <v/>
      </c>
      <c r="H182">
        <f>IF($P182="","",IF(INDEX(명단표[소속병원],$P182)="서울병원","서울 소속","타 병원 소속("&amp;INDEX(명단표[소속병원],$P182)&amp;") → 서울 지급"))</f>
        <v/>
      </c>
      <c r="I182">
        <f>IF($P182="","",INDEX(명단표[현재 근무병원],$P182))</f>
        <v/>
      </c>
      <c r="J182">
        <f>IF($P182="","",INDEX(명단표[구리 근무 시작일(기준월)],$P182)&amp;"")</f>
        <v/>
      </c>
      <c r="K182">
        <f>IF($P182="","",INDEX(명단표[구리 근무 종료일(기준월)],$P182)&amp;"")</f>
        <v/>
      </c>
      <c r="L182">
        <f>IF($P182="","",INDEX(명단표[서울 근무일(기준월)],$P182))</f>
        <v/>
      </c>
      <c r="M182">
        <f>IF($P182="","",INDEX(명단표[구리 근무일(기준월)],$P182))</f>
        <v/>
      </c>
      <c r="N182">
        <f>IF($P182="","",INDEX(명단표[급여 판정 근거],$P182))</f>
        <v/>
      </c>
      <c r="O182">
        <f>IF($P182="","",INDEX(명단표[점검],$P182))</f>
        <v/>
      </c>
      <c r="P182" s="17">
        <f>IFERROR(MATCH(177,명단표[서울순번],0),"")</f>
        <v/>
      </c>
      <c r="R182">
        <f>IF($W182="","",INDEX(명단표[이름],$W182))</f>
        <v/>
      </c>
      <c r="S182">
        <f>IF($W182="","",INDEX(명단표[사번],$W182)&amp;"")</f>
        <v/>
      </c>
      <c r="T182">
        <f>IF($W182="","",INDEX(명단표[소속병원],$W182))</f>
        <v/>
      </c>
      <c r="U182">
        <f>IF($W182="","",INDEX(명단표[서울 근무일(기준월)],$W182))</f>
        <v/>
      </c>
      <c r="V182">
        <f>IF($W182="","",INDEX(명단표[구리 근무일(기준월)],$W182))</f>
        <v/>
      </c>
      <c r="W182" s="17">
        <f>IFERROR(MATCH(177,명단표[판정불가순번],0),"")</f>
        <v/>
      </c>
    </row>
    <row r="183">
      <c r="A183">
        <f>IF($P183="","",178)</f>
        <v/>
      </c>
      <c r="B183">
        <f>IF($P183="","",INDEX(명단표[이름],$P183))</f>
        <v/>
      </c>
      <c r="C183">
        <f>IF($P183="","",INDEX(명단표[사번],$P183)&amp;"")</f>
        <v/>
      </c>
      <c r="D183">
        <f>IF($P183="","",INDEX(명단표[전공의등록번호],$P183)&amp;"")</f>
        <v/>
      </c>
      <c r="E183">
        <f>IF($P183="","",INDEX(명단표[수련과목],$P183)&amp;"")</f>
        <v/>
      </c>
      <c r="F183">
        <f>IF($P183="","",INDEX(명단표[연차],$P183)&amp;"")</f>
        <v/>
      </c>
      <c r="G183">
        <f>IF($P183="","",INDEX(명단표[소속병원],$P183))</f>
        <v/>
      </c>
      <c r="H183">
        <f>IF($P183="","",IF(INDEX(명단표[소속병원],$P183)="서울병원","서울 소속","타 병원 소속("&amp;INDEX(명단표[소속병원],$P183)&amp;") → 서울 지급"))</f>
        <v/>
      </c>
      <c r="I183">
        <f>IF($P183="","",INDEX(명단표[현재 근무병원],$P183))</f>
        <v/>
      </c>
      <c r="J183">
        <f>IF($P183="","",INDEX(명단표[구리 근무 시작일(기준월)],$P183)&amp;"")</f>
        <v/>
      </c>
      <c r="K183">
        <f>IF($P183="","",INDEX(명단표[구리 근무 종료일(기준월)],$P183)&amp;"")</f>
        <v/>
      </c>
      <c r="L183">
        <f>IF($P183="","",INDEX(명단표[서울 근무일(기준월)],$P183))</f>
        <v/>
      </c>
      <c r="M183">
        <f>IF($P183="","",INDEX(명단표[구리 근무일(기준월)],$P183))</f>
        <v/>
      </c>
      <c r="N183">
        <f>IF($P183="","",INDEX(명단표[급여 판정 근거],$P183))</f>
        <v/>
      </c>
      <c r="O183">
        <f>IF($P183="","",INDEX(명단표[점검],$P183))</f>
        <v/>
      </c>
      <c r="P183" s="17">
        <f>IFERROR(MATCH(178,명단표[서울순번],0),"")</f>
        <v/>
      </c>
      <c r="R183">
        <f>IF($W183="","",INDEX(명단표[이름],$W183))</f>
        <v/>
      </c>
      <c r="S183">
        <f>IF($W183="","",INDEX(명단표[사번],$W183)&amp;"")</f>
        <v/>
      </c>
      <c r="T183">
        <f>IF($W183="","",INDEX(명단표[소속병원],$W183))</f>
        <v/>
      </c>
      <c r="U183">
        <f>IF($W183="","",INDEX(명단표[서울 근무일(기준월)],$W183))</f>
        <v/>
      </c>
      <c r="V183">
        <f>IF($W183="","",INDEX(명단표[구리 근무일(기준월)],$W183))</f>
        <v/>
      </c>
      <c r="W183" s="17">
        <f>IFERROR(MATCH(178,명단표[판정불가순번],0),"")</f>
        <v/>
      </c>
    </row>
    <row r="184">
      <c r="A184">
        <f>IF($P184="","",179)</f>
        <v/>
      </c>
      <c r="B184">
        <f>IF($P184="","",INDEX(명단표[이름],$P184))</f>
        <v/>
      </c>
      <c r="C184">
        <f>IF($P184="","",INDEX(명단표[사번],$P184)&amp;"")</f>
        <v/>
      </c>
      <c r="D184">
        <f>IF($P184="","",INDEX(명단표[전공의등록번호],$P184)&amp;"")</f>
        <v/>
      </c>
      <c r="E184">
        <f>IF($P184="","",INDEX(명단표[수련과목],$P184)&amp;"")</f>
        <v/>
      </c>
      <c r="F184">
        <f>IF($P184="","",INDEX(명단표[연차],$P184)&amp;"")</f>
        <v/>
      </c>
      <c r="G184">
        <f>IF($P184="","",INDEX(명단표[소속병원],$P184))</f>
        <v/>
      </c>
      <c r="H184">
        <f>IF($P184="","",IF(INDEX(명단표[소속병원],$P184)="서울병원","서울 소속","타 병원 소속("&amp;INDEX(명단표[소속병원],$P184)&amp;") → 서울 지급"))</f>
        <v/>
      </c>
      <c r="I184">
        <f>IF($P184="","",INDEX(명단표[현재 근무병원],$P184))</f>
        <v/>
      </c>
      <c r="J184">
        <f>IF($P184="","",INDEX(명단표[구리 근무 시작일(기준월)],$P184)&amp;"")</f>
        <v/>
      </c>
      <c r="K184">
        <f>IF($P184="","",INDEX(명단표[구리 근무 종료일(기준월)],$P184)&amp;"")</f>
        <v/>
      </c>
      <c r="L184">
        <f>IF($P184="","",INDEX(명단표[서울 근무일(기준월)],$P184))</f>
        <v/>
      </c>
      <c r="M184">
        <f>IF($P184="","",INDEX(명단표[구리 근무일(기준월)],$P184))</f>
        <v/>
      </c>
      <c r="N184">
        <f>IF($P184="","",INDEX(명단표[급여 판정 근거],$P184))</f>
        <v/>
      </c>
      <c r="O184">
        <f>IF($P184="","",INDEX(명단표[점검],$P184))</f>
        <v/>
      </c>
      <c r="P184" s="17">
        <f>IFERROR(MATCH(179,명단표[서울순번],0),"")</f>
        <v/>
      </c>
      <c r="R184">
        <f>IF($W184="","",INDEX(명단표[이름],$W184))</f>
        <v/>
      </c>
      <c r="S184">
        <f>IF($W184="","",INDEX(명단표[사번],$W184)&amp;"")</f>
        <v/>
      </c>
      <c r="T184">
        <f>IF($W184="","",INDEX(명단표[소속병원],$W184))</f>
        <v/>
      </c>
      <c r="U184">
        <f>IF($W184="","",INDEX(명단표[서울 근무일(기준월)],$W184))</f>
        <v/>
      </c>
      <c r="V184">
        <f>IF($W184="","",INDEX(명단표[구리 근무일(기준월)],$W184))</f>
        <v/>
      </c>
      <c r="W184" s="17">
        <f>IFERROR(MATCH(179,명단표[판정불가순번],0),"")</f>
        <v/>
      </c>
    </row>
    <row r="185">
      <c r="A185">
        <f>IF($P185="","",180)</f>
        <v/>
      </c>
      <c r="B185">
        <f>IF($P185="","",INDEX(명단표[이름],$P185))</f>
        <v/>
      </c>
      <c r="C185">
        <f>IF($P185="","",INDEX(명단표[사번],$P185)&amp;"")</f>
        <v/>
      </c>
      <c r="D185">
        <f>IF($P185="","",INDEX(명단표[전공의등록번호],$P185)&amp;"")</f>
        <v/>
      </c>
      <c r="E185">
        <f>IF($P185="","",INDEX(명단표[수련과목],$P185)&amp;"")</f>
        <v/>
      </c>
      <c r="F185">
        <f>IF($P185="","",INDEX(명단표[연차],$P185)&amp;"")</f>
        <v/>
      </c>
      <c r="G185">
        <f>IF($P185="","",INDEX(명단표[소속병원],$P185))</f>
        <v/>
      </c>
      <c r="H185">
        <f>IF($P185="","",IF(INDEX(명단표[소속병원],$P185)="서울병원","서울 소속","타 병원 소속("&amp;INDEX(명단표[소속병원],$P185)&amp;") → 서울 지급"))</f>
        <v/>
      </c>
      <c r="I185">
        <f>IF($P185="","",INDEX(명단표[현재 근무병원],$P185))</f>
        <v/>
      </c>
      <c r="J185">
        <f>IF($P185="","",INDEX(명단표[구리 근무 시작일(기준월)],$P185)&amp;"")</f>
        <v/>
      </c>
      <c r="K185">
        <f>IF($P185="","",INDEX(명단표[구리 근무 종료일(기준월)],$P185)&amp;"")</f>
        <v/>
      </c>
      <c r="L185">
        <f>IF($P185="","",INDEX(명단표[서울 근무일(기준월)],$P185))</f>
        <v/>
      </c>
      <c r="M185">
        <f>IF($P185="","",INDEX(명단표[구리 근무일(기준월)],$P185))</f>
        <v/>
      </c>
      <c r="N185">
        <f>IF($P185="","",INDEX(명단표[급여 판정 근거],$P185))</f>
        <v/>
      </c>
      <c r="O185">
        <f>IF($P185="","",INDEX(명단표[점검],$P185))</f>
        <v/>
      </c>
      <c r="P185" s="17">
        <f>IFERROR(MATCH(180,명단표[서울순번],0),"")</f>
        <v/>
      </c>
      <c r="R185">
        <f>IF($W185="","",INDEX(명단표[이름],$W185))</f>
        <v/>
      </c>
      <c r="S185">
        <f>IF($W185="","",INDEX(명단표[사번],$W185)&amp;"")</f>
        <v/>
      </c>
      <c r="T185">
        <f>IF($W185="","",INDEX(명단표[소속병원],$W185))</f>
        <v/>
      </c>
      <c r="U185">
        <f>IF($W185="","",INDEX(명단표[서울 근무일(기준월)],$W185))</f>
        <v/>
      </c>
      <c r="V185">
        <f>IF($W185="","",INDEX(명단표[구리 근무일(기준월)],$W185))</f>
        <v/>
      </c>
      <c r="W185" s="17">
        <f>IFERROR(MATCH(180,명단표[판정불가순번],0),"")</f>
        <v/>
      </c>
    </row>
    <row r="186">
      <c r="A186">
        <f>IF($P186="","",181)</f>
        <v/>
      </c>
      <c r="B186">
        <f>IF($P186="","",INDEX(명단표[이름],$P186))</f>
        <v/>
      </c>
      <c r="C186">
        <f>IF($P186="","",INDEX(명단표[사번],$P186)&amp;"")</f>
        <v/>
      </c>
      <c r="D186">
        <f>IF($P186="","",INDEX(명단표[전공의등록번호],$P186)&amp;"")</f>
        <v/>
      </c>
      <c r="E186">
        <f>IF($P186="","",INDEX(명단표[수련과목],$P186)&amp;"")</f>
        <v/>
      </c>
      <c r="F186">
        <f>IF($P186="","",INDEX(명단표[연차],$P186)&amp;"")</f>
        <v/>
      </c>
      <c r="G186">
        <f>IF($P186="","",INDEX(명단표[소속병원],$P186))</f>
        <v/>
      </c>
      <c r="H186">
        <f>IF($P186="","",IF(INDEX(명단표[소속병원],$P186)="서울병원","서울 소속","타 병원 소속("&amp;INDEX(명단표[소속병원],$P186)&amp;") → 서울 지급"))</f>
        <v/>
      </c>
      <c r="I186">
        <f>IF($P186="","",INDEX(명단표[현재 근무병원],$P186))</f>
        <v/>
      </c>
      <c r="J186">
        <f>IF($P186="","",INDEX(명단표[구리 근무 시작일(기준월)],$P186)&amp;"")</f>
        <v/>
      </c>
      <c r="K186">
        <f>IF($P186="","",INDEX(명단표[구리 근무 종료일(기준월)],$P186)&amp;"")</f>
        <v/>
      </c>
      <c r="L186">
        <f>IF($P186="","",INDEX(명단표[서울 근무일(기준월)],$P186))</f>
        <v/>
      </c>
      <c r="M186">
        <f>IF($P186="","",INDEX(명단표[구리 근무일(기준월)],$P186))</f>
        <v/>
      </c>
      <c r="N186">
        <f>IF($P186="","",INDEX(명단표[급여 판정 근거],$P186))</f>
        <v/>
      </c>
      <c r="O186">
        <f>IF($P186="","",INDEX(명단표[점검],$P186))</f>
        <v/>
      </c>
      <c r="P186" s="17">
        <f>IFERROR(MATCH(181,명단표[서울순번],0),"")</f>
        <v/>
      </c>
      <c r="R186">
        <f>IF($W186="","",INDEX(명단표[이름],$W186))</f>
        <v/>
      </c>
      <c r="S186">
        <f>IF($W186="","",INDEX(명단표[사번],$W186)&amp;"")</f>
        <v/>
      </c>
      <c r="T186">
        <f>IF($W186="","",INDEX(명단표[소속병원],$W186))</f>
        <v/>
      </c>
      <c r="U186">
        <f>IF($W186="","",INDEX(명단표[서울 근무일(기준월)],$W186))</f>
        <v/>
      </c>
      <c r="V186">
        <f>IF($W186="","",INDEX(명단표[구리 근무일(기준월)],$W186))</f>
        <v/>
      </c>
      <c r="W186" s="17">
        <f>IFERROR(MATCH(181,명단표[판정불가순번],0),"")</f>
        <v/>
      </c>
    </row>
    <row r="187">
      <c r="A187">
        <f>IF($P187="","",182)</f>
        <v/>
      </c>
      <c r="B187">
        <f>IF($P187="","",INDEX(명단표[이름],$P187))</f>
        <v/>
      </c>
      <c r="C187">
        <f>IF($P187="","",INDEX(명단표[사번],$P187)&amp;"")</f>
        <v/>
      </c>
      <c r="D187">
        <f>IF($P187="","",INDEX(명단표[전공의등록번호],$P187)&amp;"")</f>
        <v/>
      </c>
      <c r="E187">
        <f>IF($P187="","",INDEX(명단표[수련과목],$P187)&amp;"")</f>
        <v/>
      </c>
      <c r="F187">
        <f>IF($P187="","",INDEX(명단표[연차],$P187)&amp;"")</f>
        <v/>
      </c>
      <c r="G187">
        <f>IF($P187="","",INDEX(명단표[소속병원],$P187))</f>
        <v/>
      </c>
      <c r="H187">
        <f>IF($P187="","",IF(INDEX(명단표[소속병원],$P187)="서울병원","서울 소속","타 병원 소속("&amp;INDEX(명단표[소속병원],$P187)&amp;") → 서울 지급"))</f>
        <v/>
      </c>
      <c r="I187">
        <f>IF($P187="","",INDEX(명단표[현재 근무병원],$P187))</f>
        <v/>
      </c>
      <c r="J187">
        <f>IF($P187="","",INDEX(명단표[구리 근무 시작일(기준월)],$P187)&amp;"")</f>
        <v/>
      </c>
      <c r="K187">
        <f>IF($P187="","",INDEX(명단표[구리 근무 종료일(기준월)],$P187)&amp;"")</f>
        <v/>
      </c>
      <c r="L187">
        <f>IF($P187="","",INDEX(명단표[서울 근무일(기준월)],$P187))</f>
        <v/>
      </c>
      <c r="M187">
        <f>IF($P187="","",INDEX(명단표[구리 근무일(기준월)],$P187))</f>
        <v/>
      </c>
      <c r="N187">
        <f>IF($P187="","",INDEX(명단표[급여 판정 근거],$P187))</f>
        <v/>
      </c>
      <c r="O187">
        <f>IF($P187="","",INDEX(명단표[점검],$P187))</f>
        <v/>
      </c>
      <c r="P187" s="17">
        <f>IFERROR(MATCH(182,명단표[서울순번],0),"")</f>
        <v/>
      </c>
      <c r="R187">
        <f>IF($W187="","",INDEX(명단표[이름],$W187))</f>
        <v/>
      </c>
      <c r="S187">
        <f>IF($W187="","",INDEX(명단표[사번],$W187)&amp;"")</f>
        <v/>
      </c>
      <c r="T187">
        <f>IF($W187="","",INDEX(명단표[소속병원],$W187))</f>
        <v/>
      </c>
      <c r="U187">
        <f>IF($W187="","",INDEX(명단표[서울 근무일(기준월)],$W187))</f>
        <v/>
      </c>
      <c r="V187">
        <f>IF($W187="","",INDEX(명단표[구리 근무일(기준월)],$W187))</f>
        <v/>
      </c>
      <c r="W187" s="17">
        <f>IFERROR(MATCH(182,명단표[판정불가순번],0),"")</f>
        <v/>
      </c>
    </row>
    <row r="188">
      <c r="A188">
        <f>IF($P188="","",183)</f>
        <v/>
      </c>
      <c r="B188">
        <f>IF($P188="","",INDEX(명단표[이름],$P188))</f>
        <v/>
      </c>
      <c r="C188">
        <f>IF($P188="","",INDEX(명단표[사번],$P188)&amp;"")</f>
        <v/>
      </c>
      <c r="D188">
        <f>IF($P188="","",INDEX(명단표[전공의등록번호],$P188)&amp;"")</f>
        <v/>
      </c>
      <c r="E188">
        <f>IF($P188="","",INDEX(명단표[수련과목],$P188)&amp;"")</f>
        <v/>
      </c>
      <c r="F188">
        <f>IF($P188="","",INDEX(명단표[연차],$P188)&amp;"")</f>
        <v/>
      </c>
      <c r="G188">
        <f>IF($P188="","",INDEX(명단표[소속병원],$P188))</f>
        <v/>
      </c>
      <c r="H188">
        <f>IF($P188="","",IF(INDEX(명단표[소속병원],$P188)="서울병원","서울 소속","타 병원 소속("&amp;INDEX(명단표[소속병원],$P188)&amp;") → 서울 지급"))</f>
        <v/>
      </c>
      <c r="I188">
        <f>IF($P188="","",INDEX(명단표[현재 근무병원],$P188))</f>
        <v/>
      </c>
      <c r="J188">
        <f>IF($P188="","",INDEX(명단표[구리 근무 시작일(기준월)],$P188)&amp;"")</f>
        <v/>
      </c>
      <c r="K188">
        <f>IF($P188="","",INDEX(명단표[구리 근무 종료일(기준월)],$P188)&amp;"")</f>
        <v/>
      </c>
      <c r="L188">
        <f>IF($P188="","",INDEX(명단표[서울 근무일(기준월)],$P188))</f>
        <v/>
      </c>
      <c r="M188">
        <f>IF($P188="","",INDEX(명단표[구리 근무일(기준월)],$P188))</f>
        <v/>
      </c>
      <c r="N188">
        <f>IF($P188="","",INDEX(명단표[급여 판정 근거],$P188))</f>
        <v/>
      </c>
      <c r="O188">
        <f>IF($P188="","",INDEX(명단표[점검],$P188))</f>
        <v/>
      </c>
      <c r="P188" s="17">
        <f>IFERROR(MATCH(183,명단표[서울순번],0),"")</f>
        <v/>
      </c>
      <c r="R188">
        <f>IF($W188="","",INDEX(명단표[이름],$W188))</f>
        <v/>
      </c>
      <c r="S188">
        <f>IF($W188="","",INDEX(명단표[사번],$W188)&amp;"")</f>
        <v/>
      </c>
      <c r="T188">
        <f>IF($W188="","",INDEX(명단표[소속병원],$W188))</f>
        <v/>
      </c>
      <c r="U188">
        <f>IF($W188="","",INDEX(명단표[서울 근무일(기준월)],$W188))</f>
        <v/>
      </c>
      <c r="V188">
        <f>IF($W188="","",INDEX(명단표[구리 근무일(기준월)],$W188))</f>
        <v/>
      </c>
      <c r="W188" s="17">
        <f>IFERROR(MATCH(183,명단표[판정불가순번],0),"")</f>
        <v/>
      </c>
    </row>
    <row r="189">
      <c r="A189">
        <f>IF($P189="","",184)</f>
        <v/>
      </c>
      <c r="B189">
        <f>IF($P189="","",INDEX(명단표[이름],$P189))</f>
        <v/>
      </c>
      <c r="C189">
        <f>IF($P189="","",INDEX(명단표[사번],$P189)&amp;"")</f>
        <v/>
      </c>
      <c r="D189">
        <f>IF($P189="","",INDEX(명단표[전공의등록번호],$P189)&amp;"")</f>
        <v/>
      </c>
      <c r="E189">
        <f>IF($P189="","",INDEX(명단표[수련과목],$P189)&amp;"")</f>
        <v/>
      </c>
      <c r="F189">
        <f>IF($P189="","",INDEX(명단표[연차],$P189)&amp;"")</f>
        <v/>
      </c>
      <c r="G189">
        <f>IF($P189="","",INDEX(명단표[소속병원],$P189))</f>
        <v/>
      </c>
      <c r="H189">
        <f>IF($P189="","",IF(INDEX(명단표[소속병원],$P189)="서울병원","서울 소속","타 병원 소속("&amp;INDEX(명단표[소속병원],$P189)&amp;") → 서울 지급"))</f>
        <v/>
      </c>
      <c r="I189">
        <f>IF($P189="","",INDEX(명단표[현재 근무병원],$P189))</f>
        <v/>
      </c>
      <c r="J189">
        <f>IF($P189="","",INDEX(명단표[구리 근무 시작일(기준월)],$P189)&amp;"")</f>
        <v/>
      </c>
      <c r="K189">
        <f>IF($P189="","",INDEX(명단표[구리 근무 종료일(기준월)],$P189)&amp;"")</f>
        <v/>
      </c>
      <c r="L189">
        <f>IF($P189="","",INDEX(명단표[서울 근무일(기준월)],$P189))</f>
        <v/>
      </c>
      <c r="M189">
        <f>IF($P189="","",INDEX(명단표[구리 근무일(기준월)],$P189))</f>
        <v/>
      </c>
      <c r="N189">
        <f>IF($P189="","",INDEX(명단표[급여 판정 근거],$P189))</f>
        <v/>
      </c>
      <c r="O189">
        <f>IF($P189="","",INDEX(명단표[점검],$P189))</f>
        <v/>
      </c>
      <c r="P189" s="17">
        <f>IFERROR(MATCH(184,명단표[서울순번],0),"")</f>
        <v/>
      </c>
      <c r="R189">
        <f>IF($W189="","",INDEX(명단표[이름],$W189))</f>
        <v/>
      </c>
      <c r="S189">
        <f>IF($W189="","",INDEX(명단표[사번],$W189)&amp;"")</f>
        <v/>
      </c>
      <c r="T189">
        <f>IF($W189="","",INDEX(명단표[소속병원],$W189))</f>
        <v/>
      </c>
      <c r="U189">
        <f>IF($W189="","",INDEX(명단표[서울 근무일(기준월)],$W189))</f>
        <v/>
      </c>
      <c r="V189">
        <f>IF($W189="","",INDEX(명단표[구리 근무일(기준월)],$W189))</f>
        <v/>
      </c>
      <c r="W189" s="17">
        <f>IFERROR(MATCH(184,명단표[판정불가순번],0),"")</f>
        <v/>
      </c>
    </row>
    <row r="190">
      <c r="A190">
        <f>IF($P190="","",185)</f>
        <v/>
      </c>
      <c r="B190">
        <f>IF($P190="","",INDEX(명단표[이름],$P190))</f>
        <v/>
      </c>
      <c r="C190">
        <f>IF($P190="","",INDEX(명단표[사번],$P190)&amp;"")</f>
        <v/>
      </c>
      <c r="D190">
        <f>IF($P190="","",INDEX(명단표[전공의등록번호],$P190)&amp;"")</f>
        <v/>
      </c>
      <c r="E190">
        <f>IF($P190="","",INDEX(명단표[수련과목],$P190)&amp;"")</f>
        <v/>
      </c>
      <c r="F190">
        <f>IF($P190="","",INDEX(명단표[연차],$P190)&amp;"")</f>
        <v/>
      </c>
      <c r="G190">
        <f>IF($P190="","",INDEX(명단표[소속병원],$P190))</f>
        <v/>
      </c>
      <c r="H190">
        <f>IF($P190="","",IF(INDEX(명단표[소속병원],$P190)="서울병원","서울 소속","타 병원 소속("&amp;INDEX(명단표[소속병원],$P190)&amp;") → 서울 지급"))</f>
        <v/>
      </c>
      <c r="I190">
        <f>IF($P190="","",INDEX(명단표[현재 근무병원],$P190))</f>
        <v/>
      </c>
      <c r="J190">
        <f>IF($P190="","",INDEX(명단표[구리 근무 시작일(기준월)],$P190)&amp;"")</f>
        <v/>
      </c>
      <c r="K190">
        <f>IF($P190="","",INDEX(명단표[구리 근무 종료일(기준월)],$P190)&amp;"")</f>
        <v/>
      </c>
      <c r="L190">
        <f>IF($P190="","",INDEX(명단표[서울 근무일(기준월)],$P190))</f>
        <v/>
      </c>
      <c r="M190">
        <f>IF($P190="","",INDEX(명단표[구리 근무일(기준월)],$P190))</f>
        <v/>
      </c>
      <c r="N190">
        <f>IF($P190="","",INDEX(명단표[급여 판정 근거],$P190))</f>
        <v/>
      </c>
      <c r="O190">
        <f>IF($P190="","",INDEX(명단표[점검],$P190))</f>
        <v/>
      </c>
      <c r="P190" s="17">
        <f>IFERROR(MATCH(185,명단표[서울순번],0),"")</f>
        <v/>
      </c>
      <c r="R190">
        <f>IF($W190="","",INDEX(명단표[이름],$W190))</f>
        <v/>
      </c>
      <c r="S190">
        <f>IF($W190="","",INDEX(명단표[사번],$W190)&amp;"")</f>
        <v/>
      </c>
      <c r="T190">
        <f>IF($W190="","",INDEX(명단표[소속병원],$W190))</f>
        <v/>
      </c>
      <c r="U190">
        <f>IF($W190="","",INDEX(명단표[서울 근무일(기준월)],$W190))</f>
        <v/>
      </c>
      <c r="V190">
        <f>IF($W190="","",INDEX(명단표[구리 근무일(기준월)],$W190))</f>
        <v/>
      </c>
      <c r="W190" s="17">
        <f>IFERROR(MATCH(185,명단표[판정불가순번],0),"")</f>
        <v/>
      </c>
    </row>
    <row r="191">
      <c r="A191">
        <f>IF($P191="","",186)</f>
        <v/>
      </c>
      <c r="B191">
        <f>IF($P191="","",INDEX(명단표[이름],$P191))</f>
        <v/>
      </c>
      <c r="C191">
        <f>IF($P191="","",INDEX(명단표[사번],$P191)&amp;"")</f>
        <v/>
      </c>
      <c r="D191">
        <f>IF($P191="","",INDEX(명단표[전공의등록번호],$P191)&amp;"")</f>
        <v/>
      </c>
      <c r="E191">
        <f>IF($P191="","",INDEX(명단표[수련과목],$P191)&amp;"")</f>
        <v/>
      </c>
      <c r="F191">
        <f>IF($P191="","",INDEX(명단표[연차],$P191)&amp;"")</f>
        <v/>
      </c>
      <c r="G191">
        <f>IF($P191="","",INDEX(명단표[소속병원],$P191))</f>
        <v/>
      </c>
      <c r="H191">
        <f>IF($P191="","",IF(INDEX(명단표[소속병원],$P191)="서울병원","서울 소속","타 병원 소속("&amp;INDEX(명단표[소속병원],$P191)&amp;") → 서울 지급"))</f>
        <v/>
      </c>
      <c r="I191">
        <f>IF($P191="","",INDEX(명단표[현재 근무병원],$P191))</f>
        <v/>
      </c>
      <c r="J191">
        <f>IF($P191="","",INDEX(명단표[구리 근무 시작일(기준월)],$P191)&amp;"")</f>
        <v/>
      </c>
      <c r="K191">
        <f>IF($P191="","",INDEX(명단표[구리 근무 종료일(기준월)],$P191)&amp;"")</f>
        <v/>
      </c>
      <c r="L191">
        <f>IF($P191="","",INDEX(명단표[서울 근무일(기준월)],$P191))</f>
        <v/>
      </c>
      <c r="M191">
        <f>IF($P191="","",INDEX(명단표[구리 근무일(기준월)],$P191))</f>
        <v/>
      </c>
      <c r="N191">
        <f>IF($P191="","",INDEX(명단표[급여 판정 근거],$P191))</f>
        <v/>
      </c>
      <c r="O191">
        <f>IF($P191="","",INDEX(명단표[점검],$P191))</f>
        <v/>
      </c>
      <c r="P191" s="17">
        <f>IFERROR(MATCH(186,명단표[서울순번],0),"")</f>
        <v/>
      </c>
      <c r="R191">
        <f>IF($W191="","",INDEX(명단표[이름],$W191))</f>
        <v/>
      </c>
      <c r="S191">
        <f>IF($W191="","",INDEX(명단표[사번],$W191)&amp;"")</f>
        <v/>
      </c>
      <c r="T191">
        <f>IF($W191="","",INDEX(명단표[소속병원],$W191))</f>
        <v/>
      </c>
      <c r="U191">
        <f>IF($W191="","",INDEX(명단표[서울 근무일(기준월)],$W191))</f>
        <v/>
      </c>
      <c r="V191">
        <f>IF($W191="","",INDEX(명단표[구리 근무일(기준월)],$W191))</f>
        <v/>
      </c>
      <c r="W191" s="17">
        <f>IFERROR(MATCH(186,명단표[판정불가순번],0),"")</f>
        <v/>
      </c>
    </row>
    <row r="192">
      <c r="A192">
        <f>IF($P192="","",187)</f>
        <v/>
      </c>
      <c r="B192">
        <f>IF($P192="","",INDEX(명단표[이름],$P192))</f>
        <v/>
      </c>
      <c r="C192">
        <f>IF($P192="","",INDEX(명단표[사번],$P192)&amp;"")</f>
        <v/>
      </c>
      <c r="D192">
        <f>IF($P192="","",INDEX(명단표[전공의등록번호],$P192)&amp;"")</f>
        <v/>
      </c>
      <c r="E192">
        <f>IF($P192="","",INDEX(명단표[수련과목],$P192)&amp;"")</f>
        <v/>
      </c>
      <c r="F192">
        <f>IF($P192="","",INDEX(명단표[연차],$P192)&amp;"")</f>
        <v/>
      </c>
      <c r="G192">
        <f>IF($P192="","",INDEX(명단표[소속병원],$P192))</f>
        <v/>
      </c>
      <c r="H192">
        <f>IF($P192="","",IF(INDEX(명단표[소속병원],$P192)="서울병원","서울 소속","타 병원 소속("&amp;INDEX(명단표[소속병원],$P192)&amp;") → 서울 지급"))</f>
        <v/>
      </c>
      <c r="I192">
        <f>IF($P192="","",INDEX(명단표[현재 근무병원],$P192))</f>
        <v/>
      </c>
      <c r="J192">
        <f>IF($P192="","",INDEX(명단표[구리 근무 시작일(기준월)],$P192)&amp;"")</f>
        <v/>
      </c>
      <c r="K192">
        <f>IF($P192="","",INDEX(명단표[구리 근무 종료일(기준월)],$P192)&amp;"")</f>
        <v/>
      </c>
      <c r="L192">
        <f>IF($P192="","",INDEX(명단표[서울 근무일(기준월)],$P192))</f>
        <v/>
      </c>
      <c r="M192">
        <f>IF($P192="","",INDEX(명단표[구리 근무일(기준월)],$P192))</f>
        <v/>
      </c>
      <c r="N192">
        <f>IF($P192="","",INDEX(명단표[급여 판정 근거],$P192))</f>
        <v/>
      </c>
      <c r="O192">
        <f>IF($P192="","",INDEX(명단표[점검],$P192))</f>
        <v/>
      </c>
      <c r="P192" s="17">
        <f>IFERROR(MATCH(187,명단표[서울순번],0),"")</f>
        <v/>
      </c>
      <c r="R192">
        <f>IF($W192="","",INDEX(명단표[이름],$W192))</f>
        <v/>
      </c>
      <c r="S192">
        <f>IF($W192="","",INDEX(명단표[사번],$W192)&amp;"")</f>
        <v/>
      </c>
      <c r="T192">
        <f>IF($W192="","",INDEX(명단표[소속병원],$W192))</f>
        <v/>
      </c>
      <c r="U192">
        <f>IF($W192="","",INDEX(명단표[서울 근무일(기준월)],$W192))</f>
        <v/>
      </c>
      <c r="V192">
        <f>IF($W192="","",INDEX(명단표[구리 근무일(기준월)],$W192))</f>
        <v/>
      </c>
      <c r="W192" s="17">
        <f>IFERROR(MATCH(187,명단표[판정불가순번],0),"")</f>
        <v/>
      </c>
    </row>
    <row r="193">
      <c r="A193">
        <f>IF($P193="","",188)</f>
        <v/>
      </c>
      <c r="B193">
        <f>IF($P193="","",INDEX(명단표[이름],$P193))</f>
        <v/>
      </c>
      <c r="C193">
        <f>IF($P193="","",INDEX(명단표[사번],$P193)&amp;"")</f>
        <v/>
      </c>
      <c r="D193">
        <f>IF($P193="","",INDEX(명단표[전공의등록번호],$P193)&amp;"")</f>
        <v/>
      </c>
      <c r="E193">
        <f>IF($P193="","",INDEX(명단표[수련과목],$P193)&amp;"")</f>
        <v/>
      </c>
      <c r="F193">
        <f>IF($P193="","",INDEX(명단표[연차],$P193)&amp;"")</f>
        <v/>
      </c>
      <c r="G193">
        <f>IF($P193="","",INDEX(명단표[소속병원],$P193))</f>
        <v/>
      </c>
      <c r="H193">
        <f>IF($P193="","",IF(INDEX(명단표[소속병원],$P193)="서울병원","서울 소속","타 병원 소속("&amp;INDEX(명단표[소속병원],$P193)&amp;") → 서울 지급"))</f>
        <v/>
      </c>
      <c r="I193">
        <f>IF($P193="","",INDEX(명단표[현재 근무병원],$P193))</f>
        <v/>
      </c>
      <c r="J193">
        <f>IF($P193="","",INDEX(명단표[구리 근무 시작일(기준월)],$P193)&amp;"")</f>
        <v/>
      </c>
      <c r="K193">
        <f>IF($P193="","",INDEX(명단표[구리 근무 종료일(기준월)],$P193)&amp;"")</f>
        <v/>
      </c>
      <c r="L193">
        <f>IF($P193="","",INDEX(명단표[서울 근무일(기준월)],$P193))</f>
        <v/>
      </c>
      <c r="M193">
        <f>IF($P193="","",INDEX(명단표[구리 근무일(기준월)],$P193))</f>
        <v/>
      </c>
      <c r="N193">
        <f>IF($P193="","",INDEX(명단표[급여 판정 근거],$P193))</f>
        <v/>
      </c>
      <c r="O193">
        <f>IF($P193="","",INDEX(명단표[점검],$P193))</f>
        <v/>
      </c>
      <c r="P193" s="17">
        <f>IFERROR(MATCH(188,명단표[서울순번],0),"")</f>
        <v/>
      </c>
      <c r="R193">
        <f>IF($W193="","",INDEX(명단표[이름],$W193))</f>
        <v/>
      </c>
      <c r="S193">
        <f>IF($W193="","",INDEX(명단표[사번],$W193)&amp;"")</f>
        <v/>
      </c>
      <c r="T193">
        <f>IF($W193="","",INDEX(명단표[소속병원],$W193))</f>
        <v/>
      </c>
      <c r="U193">
        <f>IF($W193="","",INDEX(명단표[서울 근무일(기준월)],$W193))</f>
        <v/>
      </c>
      <c r="V193">
        <f>IF($W193="","",INDEX(명단표[구리 근무일(기준월)],$W193))</f>
        <v/>
      </c>
      <c r="W193" s="17">
        <f>IFERROR(MATCH(188,명단표[판정불가순번],0),"")</f>
        <v/>
      </c>
    </row>
    <row r="194">
      <c r="A194">
        <f>IF($P194="","",189)</f>
        <v/>
      </c>
      <c r="B194">
        <f>IF($P194="","",INDEX(명단표[이름],$P194))</f>
        <v/>
      </c>
      <c r="C194">
        <f>IF($P194="","",INDEX(명단표[사번],$P194)&amp;"")</f>
        <v/>
      </c>
      <c r="D194">
        <f>IF($P194="","",INDEX(명단표[전공의등록번호],$P194)&amp;"")</f>
        <v/>
      </c>
      <c r="E194">
        <f>IF($P194="","",INDEX(명단표[수련과목],$P194)&amp;"")</f>
        <v/>
      </c>
      <c r="F194">
        <f>IF($P194="","",INDEX(명단표[연차],$P194)&amp;"")</f>
        <v/>
      </c>
      <c r="G194">
        <f>IF($P194="","",INDEX(명단표[소속병원],$P194))</f>
        <v/>
      </c>
      <c r="H194">
        <f>IF($P194="","",IF(INDEX(명단표[소속병원],$P194)="서울병원","서울 소속","타 병원 소속("&amp;INDEX(명단표[소속병원],$P194)&amp;") → 서울 지급"))</f>
        <v/>
      </c>
      <c r="I194">
        <f>IF($P194="","",INDEX(명단표[현재 근무병원],$P194))</f>
        <v/>
      </c>
      <c r="J194">
        <f>IF($P194="","",INDEX(명단표[구리 근무 시작일(기준월)],$P194)&amp;"")</f>
        <v/>
      </c>
      <c r="K194">
        <f>IF($P194="","",INDEX(명단표[구리 근무 종료일(기준월)],$P194)&amp;"")</f>
        <v/>
      </c>
      <c r="L194">
        <f>IF($P194="","",INDEX(명단표[서울 근무일(기준월)],$P194))</f>
        <v/>
      </c>
      <c r="M194">
        <f>IF($P194="","",INDEX(명단표[구리 근무일(기준월)],$P194))</f>
        <v/>
      </c>
      <c r="N194">
        <f>IF($P194="","",INDEX(명단표[급여 판정 근거],$P194))</f>
        <v/>
      </c>
      <c r="O194">
        <f>IF($P194="","",INDEX(명단표[점검],$P194))</f>
        <v/>
      </c>
      <c r="P194" s="17">
        <f>IFERROR(MATCH(189,명단표[서울순번],0),"")</f>
        <v/>
      </c>
      <c r="R194">
        <f>IF($W194="","",INDEX(명단표[이름],$W194))</f>
        <v/>
      </c>
      <c r="S194">
        <f>IF($W194="","",INDEX(명단표[사번],$W194)&amp;"")</f>
        <v/>
      </c>
      <c r="T194">
        <f>IF($W194="","",INDEX(명단표[소속병원],$W194))</f>
        <v/>
      </c>
      <c r="U194">
        <f>IF($W194="","",INDEX(명단표[서울 근무일(기준월)],$W194))</f>
        <v/>
      </c>
      <c r="V194">
        <f>IF($W194="","",INDEX(명단표[구리 근무일(기준월)],$W194))</f>
        <v/>
      </c>
      <c r="W194" s="17">
        <f>IFERROR(MATCH(189,명단표[판정불가순번],0),"")</f>
        <v/>
      </c>
    </row>
    <row r="195">
      <c r="A195">
        <f>IF($P195="","",190)</f>
        <v/>
      </c>
      <c r="B195">
        <f>IF($P195="","",INDEX(명단표[이름],$P195))</f>
        <v/>
      </c>
      <c r="C195">
        <f>IF($P195="","",INDEX(명단표[사번],$P195)&amp;"")</f>
        <v/>
      </c>
      <c r="D195">
        <f>IF($P195="","",INDEX(명단표[전공의등록번호],$P195)&amp;"")</f>
        <v/>
      </c>
      <c r="E195">
        <f>IF($P195="","",INDEX(명단표[수련과목],$P195)&amp;"")</f>
        <v/>
      </c>
      <c r="F195">
        <f>IF($P195="","",INDEX(명단표[연차],$P195)&amp;"")</f>
        <v/>
      </c>
      <c r="G195">
        <f>IF($P195="","",INDEX(명단표[소속병원],$P195))</f>
        <v/>
      </c>
      <c r="H195">
        <f>IF($P195="","",IF(INDEX(명단표[소속병원],$P195)="서울병원","서울 소속","타 병원 소속("&amp;INDEX(명단표[소속병원],$P195)&amp;") → 서울 지급"))</f>
        <v/>
      </c>
      <c r="I195">
        <f>IF($P195="","",INDEX(명단표[현재 근무병원],$P195))</f>
        <v/>
      </c>
      <c r="J195">
        <f>IF($P195="","",INDEX(명단표[구리 근무 시작일(기준월)],$P195)&amp;"")</f>
        <v/>
      </c>
      <c r="K195">
        <f>IF($P195="","",INDEX(명단표[구리 근무 종료일(기준월)],$P195)&amp;"")</f>
        <v/>
      </c>
      <c r="L195">
        <f>IF($P195="","",INDEX(명단표[서울 근무일(기준월)],$P195))</f>
        <v/>
      </c>
      <c r="M195">
        <f>IF($P195="","",INDEX(명단표[구리 근무일(기준월)],$P195))</f>
        <v/>
      </c>
      <c r="N195">
        <f>IF($P195="","",INDEX(명단표[급여 판정 근거],$P195))</f>
        <v/>
      </c>
      <c r="O195">
        <f>IF($P195="","",INDEX(명단표[점검],$P195))</f>
        <v/>
      </c>
      <c r="P195" s="17">
        <f>IFERROR(MATCH(190,명단표[서울순번],0),"")</f>
        <v/>
      </c>
      <c r="R195">
        <f>IF($W195="","",INDEX(명단표[이름],$W195))</f>
        <v/>
      </c>
      <c r="S195">
        <f>IF($W195="","",INDEX(명단표[사번],$W195)&amp;"")</f>
        <v/>
      </c>
      <c r="T195">
        <f>IF($W195="","",INDEX(명단표[소속병원],$W195))</f>
        <v/>
      </c>
      <c r="U195">
        <f>IF($W195="","",INDEX(명단표[서울 근무일(기준월)],$W195))</f>
        <v/>
      </c>
      <c r="V195">
        <f>IF($W195="","",INDEX(명단표[구리 근무일(기준월)],$W195))</f>
        <v/>
      </c>
      <c r="W195" s="17">
        <f>IFERROR(MATCH(190,명단표[판정불가순번],0),"")</f>
        <v/>
      </c>
    </row>
    <row r="196">
      <c r="A196">
        <f>IF($P196="","",191)</f>
        <v/>
      </c>
      <c r="B196">
        <f>IF($P196="","",INDEX(명단표[이름],$P196))</f>
        <v/>
      </c>
      <c r="C196">
        <f>IF($P196="","",INDEX(명단표[사번],$P196)&amp;"")</f>
        <v/>
      </c>
      <c r="D196">
        <f>IF($P196="","",INDEX(명단표[전공의등록번호],$P196)&amp;"")</f>
        <v/>
      </c>
      <c r="E196">
        <f>IF($P196="","",INDEX(명단표[수련과목],$P196)&amp;"")</f>
        <v/>
      </c>
      <c r="F196">
        <f>IF($P196="","",INDEX(명단표[연차],$P196)&amp;"")</f>
        <v/>
      </c>
      <c r="G196">
        <f>IF($P196="","",INDEX(명단표[소속병원],$P196))</f>
        <v/>
      </c>
      <c r="H196">
        <f>IF($P196="","",IF(INDEX(명단표[소속병원],$P196)="서울병원","서울 소속","타 병원 소속("&amp;INDEX(명단표[소속병원],$P196)&amp;") → 서울 지급"))</f>
        <v/>
      </c>
      <c r="I196">
        <f>IF($P196="","",INDEX(명단표[현재 근무병원],$P196))</f>
        <v/>
      </c>
      <c r="J196">
        <f>IF($P196="","",INDEX(명단표[구리 근무 시작일(기준월)],$P196)&amp;"")</f>
        <v/>
      </c>
      <c r="K196">
        <f>IF($P196="","",INDEX(명단표[구리 근무 종료일(기준월)],$P196)&amp;"")</f>
        <v/>
      </c>
      <c r="L196">
        <f>IF($P196="","",INDEX(명단표[서울 근무일(기준월)],$P196))</f>
        <v/>
      </c>
      <c r="M196">
        <f>IF($P196="","",INDEX(명단표[구리 근무일(기준월)],$P196))</f>
        <v/>
      </c>
      <c r="N196">
        <f>IF($P196="","",INDEX(명단표[급여 판정 근거],$P196))</f>
        <v/>
      </c>
      <c r="O196">
        <f>IF($P196="","",INDEX(명단표[점검],$P196))</f>
        <v/>
      </c>
      <c r="P196" s="17">
        <f>IFERROR(MATCH(191,명단표[서울순번],0),"")</f>
        <v/>
      </c>
      <c r="R196">
        <f>IF($W196="","",INDEX(명단표[이름],$W196))</f>
        <v/>
      </c>
      <c r="S196">
        <f>IF($W196="","",INDEX(명단표[사번],$W196)&amp;"")</f>
        <v/>
      </c>
      <c r="T196">
        <f>IF($W196="","",INDEX(명단표[소속병원],$W196))</f>
        <v/>
      </c>
      <c r="U196">
        <f>IF($W196="","",INDEX(명단표[서울 근무일(기준월)],$W196))</f>
        <v/>
      </c>
      <c r="V196">
        <f>IF($W196="","",INDEX(명단표[구리 근무일(기준월)],$W196))</f>
        <v/>
      </c>
      <c r="W196" s="17">
        <f>IFERROR(MATCH(191,명단표[판정불가순번],0),"")</f>
        <v/>
      </c>
    </row>
    <row r="197">
      <c r="A197">
        <f>IF($P197="","",192)</f>
        <v/>
      </c>
      <c r="B197">
        <f>IF($P197="","",INDEX(명단표[이름],$P197))</f>
        <v/>
      </c>
      <c r="C197">
        <f>IF($P197="","",INDEX(명단표[사번],$P197)&amp;"")</f>
        <v/>
      </c>
      <c r="D197">
        <f>IF($P197="","",INDEX(명단표[전공의등록번호],$P197)&amp;"")</f>
        <v/>
      </c>
      <c r="E197">
        <f>IF($P197="","",INDEX(명단표[수련과목],$P197)&amp;"")</f>
        <v/>
      </c>
      <c r="F197">
        <f>IF($P197="","",INDEX(명단표[연차],$P197)&amp;"")</f>
        <v/>
      </c>
      <c r="G197">
        <f>IF($P197="","",INDEX(명단표[소속병원],$P197))</f>
        <v/>
      </c>
      <c r="H197">
        <f>IF($P197="","",IF(INDEX(명단표[소속병원],$P197)="서울병원","서울 소속","타 병원 소속("&amp;INDEX(명단표[소속병원],$P197)&amp;") → 서울 지급"))</f>
        <v/>
      </c>
      <c r="I197">
        <f>IF($P197="","",INDEX(명단표[현재 근무병원],$P197))</f>
        <v/>
      </c>
      <c r="J197">
        <f>IF($P197="","",INDEX(명단표[구리 근무 시작일(기준월)],$P197)&amp;"")</f>
        <v/>
      </c>
      <c r="K197">
        <f>IF($P197="","",INDEX(명단표[구리 근무 종료일(기준월)],$P197)&amp;"")</f>
        <v/>
      </c>
      <c r="L197">
        <f>IF($P197="","",INDEX(명단표[서울 근무일(기준월)],$P197))</f>
        <v/>
      </c>
      <c r="M197">
        <f>IF($P197="","",INDEX(명단표[구리 근무일(기준월)],$P197))</f>
        <v/>
      </c>
      <c r="N197">
        <f>IF($P197="","",INDEX(명단표[급여 판정 근거],$P197))</f>
        <v/>
      </c>
      <c r="O197">
        <f>IF($P197="","",INDEX(명단표[점검],$P197))</f>
        <v/>
      </c>
      <c r="P197" s="17">
        <f>IFERROR(MATCH(192,명단표[서울순번],0),"")</f>
        <v/>
      </c>
      <c r="R197">
        <f>IF($W197="","",INDEX(명단표[이름],$W197))</f>
        <v/>
      </c>
      <c r="S197">
        <f>IF($W197="","",INDEX(명단표[사번],$W197)&amp;"")</f>
        <v/>
      </c>
      <c r="T197">
        <f>IF($W197="","",INDEX(명단표[소속병원],$W197))</f>
        <v/>
      </c>
      <c r="U197">
        <f>IF($W197="","",INDEX(명단표[서울 근무일(기준월)],$W197))</f>
        <v/>
      </c>
      <c r="V197">
        <f>IF($W197="","",INDEX(명단표[구리 근무일(기준월)],$W197))</f>
        <v/>
      </c>
      <c r="W197" s="17">
        <f>IFERROR(MATCH(192,명단표[판정불가순번],0),"")</f>
        <v/>
      </c>
    </row>
    <row r="198">
      <c r="A198">
        <f>IF($P198="","",193)</f>
        <v/>
      </c>
      <c r="B198">
        <f>IF($P198="","",INDEX(명단표[이름],$P198))</f>
        <v/>
      </c>
      <c r="C198">
        <f>IF($P198="","",INDEX(명단표[사번],$P198)&amp;"")</f>
        <v/>
      </c>
      <c r="D198">
        <f>IF($P198="","",INDEX(명단표[전공의등록번호],$P198)&amp;"")</f>
        <v/>
      </c>
      <c r="E198">
        <f>IF($P198="","",INDEX(명단표[수련과목],$P198)&amp;"")</f>
        <v/>
      </c>
      <c r="F198">
        <f>IF($P198="","",INDEX(명단표[연차],$P198)&amp;"")</f>
        <v/>
      </c>
      <c r="G198">
        <f>IF($P198="","",INDEX(명단표[소속병원],$P198))</f>
        <v/>
      </c>
      <c r="H198">
        <f>IF($P198="","",IF(INDEX(명단표[소속병원],$P198)="서울병원","서울 소속","타 병원 소속("&amp;INDEX(명단표[소속병원],$P198)&amp;") → 서울 지급"))</f>
        <v/>
      </c>
      <c r="I198">
        <f>IF($P198="","",INDEX(명단표[현재 근무병원],$P198))</f>
        <v/>
      </c>
      <c r="J198">
        <f>IF($P198="","",INDEX(명단표[구리 근무 시작일(기준월)],$P198)&amp;"")</f>
        <v/>
      </c>
      <c r="K198">
        <f>IF($P198="","",INDEX(명단표[구리 근무 종료일(기준월)],$P198)&amp;"")</f>
        <v/>
      </c>
      <c r="L198">
        <f>IF($P198="","",INDEX(명단표[서울 근무일(기준월)],$P198))</f>
        <v/>
      </c>
      <c r="M198">
        <f>IF($P198="","",INDEX(명단표[구리 근무일(기준월)],$P198))</f>
        <v/>
      </c>
      <c r="N198">
        <f>IF($P198="","",INDEX(명단표[급여 판정 근거],$P198))</f>
        <v/>
      </c>
      <c r="O198">
        <f>IF($P198="","",INDEX(명단표[점검],$P198))</f>
        <v/>
      </c>
      <c r="P198" s="17">
        <f>IFERROR(MATCH(193,명단표[서울순번],0),"")</f>
        <v/>
      </c>
      <c r="R198">
        <f>IF($W198="","",INDEX(명단표[이름],$W198))</f>
        <v/>
      </c>
      <c r="S198">
        <f>IF($W198="","",INDEX(명단표[사번],$W198)&amp;"")</f>
        <v/>
      </c>
      <c r="T198">
        <f>IF($W198="","",INDEX(명단표[소속병원],$W198))</f>
        <v/>
      </c>
      <c r="U198">
        <f>IF($W198="","",INDEX(명단표[서울 근무일(기준월)],$W198))</f>
        <v/>
      </c>
      <c r="V198">
        <f>IF($W198="","",INDEX(명단표[구리 근무일(기준월)],$W198))</f>
        <v/>
      </c>
      <c r="W198" s="17">
        <f>IFERROR(MATCH(193,명단표[판정불가순번],0),"")</f>
        <v/>
      </c>
    </row>
    <row r="199">
      <c r="A199">
        <f>IF($P199="","",194)</f>
        <v/>
      </c>
      <c r="B199">
        <f>IF($P199="","",INDEX(명단표[이름],$P199))</f>
        <v/>
      </c>
      <c r="C199">
        <f>IF($P199="","",INDEX(명단표[사번],$P199)&amp;"")</f>
        <v/>
      </c>
      <c r="D199">
        <f>IF($P199="","",INDEX(명단표[전공의등록번호],$P199)&amp;"")</f>
        <v/>
      </c>
      <c r="E199">
        <f>IF($P199="","",INDEX(명단표[수련과목],$P199)&amp;"")</f>
        <v/>
      </c>
      <c r="F199">
        <f>IF($P199="","",INDEX(명단표[연차],$P199)&amp;"")</f>
        <v/>
      </c>
      <c r="G199">
        <f>IF($P199="","",INDEX(명단표[소속병원],$P199))</f>
        <v/>
      </c>
      <c r="H199">
        <f>IF($P199="","",IF(INDEX(명단표[소속병원],$P199)="서울병원","서울 소속","타 병원 소속("&amp;INDEX(명단표[소속병원],$P199)&amp;") → 서울 지급"))</f>
        <v/>
      </c>
      <c r="I199">
        <f>IF($P199="","",INDEX(명단표[현재 근무병원],$P199))</f>
        <v/>
      </c>
      <c r="J199">
        <f>IF($P199="","",INDEX(명단표[구리 근무 시작일(기준월)],$P199)&amp;"")</f>
        <v/>
      </c>
      <c r="K199">
        <f>IF($P199="","",INDEX(명단표[구리 근무 종료일(기준월)],$P199)&amp;"")</f>
        <v/>
      </c>
      <c r="L199">
        <f>IF($P199="","",INDEX(명단표[서울 근무일(기준월)],$P199))</f>
        <v/>
      </c>
      <c r="M199">
        <f>IF($P199="","",INDEX(명단표[구리 근무일(기준월)],$P199))</f>
        <v/>
      </c>
      <c r="N199">
        <f>IF($P199="","",INDEX(명단표[급여 판정 근거],$P199))</f>
        <v/>
      </c>
      <c r="O199">
        <f>IF($P199="","",INDEX(명단표[점검],$P199))</f>
        <v/>
      </c>
      <c r="P199" s="17">
        <f>IFERROR(MATCH(194,명단표[서울순번],0),"")</f>
        <v/>
      </c>
      <c r="R199">
        <f>IF($W199="","",INDEX(명단표[이름],$W199))</f>
        <v/>
      </c>
      <c r="S199">
        <f>IF($W199="","",INDEX(명단표[사번],$W199)&amp;"")</f>
        <v/>
      </c>
      <c r="T199">
        <f>IF($W199="","",INDEX(명단표[소속병원],$W199))</f>
        <v/>
      </c>
      <c r="U199">
        <f>IF($W199="","",INDEX(명단표[서울 근무일(기준월)],$W199))</f>
        <v/>
      </c>
      <c r="V199">
        <f>IF($W199="","",INDEX(명단표[구리 근무일(기준월)],$W199))</f>
        <v/>
      </c>
      <c r="W199" s="17">
        <f>IFERROR(MATCH(194,명단표[판정불가순번],0),"")</f>
        <v/>
      </c>
    </row>
    <row r="200">
      <c r="A200">
        <f>IF($P200="","",195)</f>
        <v/>
      </c>
      <c r="B200">
        <f>IF($P200="","",INDEX(명단표[이름],$P200))</f>
        <v/>
      </c>
      <c r="C200">
        <f>IF($P200="","",INDEX(명단표[사번],$P200)&amp;"")</f>
        <v/>
      </c>
      <c r="D200">
        <f>IF($P200="","",INDEX(명단표[전공의등록번호],$P200)&amp;"")</f>
        <v/>
      </c>
      <c r="E200">
        <f>IF($P200="","",INDEX(명단표[수련과목],$P200)&amp;"")</f>
        <v/>
      </c>
      <c r="F200">
        <f>IF($P200="","",INDEX(명단표[연차],$P200)&amp;"")</f>
        <v/>
      </c>
      <c r="G200">
        <f>IF($P200="","",INDEX(명단표[소속병원],$P200))</f>
        <v/>
      </c>
      <c r="H200">
        <f>IF($P200="","",IF(INDEX(명단표[소속병원],$P200)="서울병원","서울 소속","타 병원 소속("&amp;INDEX(명단표[소속병원],$P200)&amp;") → 서울 지급"))</f>
        <v/>
      </c>
      <c r="I200">
        <f>IF($P200="","",INDEX(명단표[현재 근무병원],$P200))</f>
        <v/>
      </c>
      <c r="J200">
        <f>IF($P200="","",INDEX(명단표[구리 근무 시작일(기준월)],$P200)&amp;"")</f>
        <v/>
      </c>
      <c r="K200">
        <f>IF($P200="","",INDEX(명단표[구리 근무 종료일(기준월)],$P200)&amp;"")</f>
        <v/>
      </c>
      <c r="L200">
        <f>IF($P200="","",INDEX(명단표[서울 근무일(기준월)],$P200))</f>
        <v/>
      </c>
      <c r="M200">
        <f>IF($P200="","",INDEX(명단표[구리 근무일(기준월)],$P200))</f>
        <v/>
      </c>
      <c r="N200">
        <f>IF($P200="","",INDEX(명단표[급여 판정 근거],$P200))</f>
        <v/>
      </c>
      <c r="O200">
        <f>IF($P200="","",INDEX(명단표[점검],$P200))</f>
        <v/>
      </c>
      <c r="P200" s="17">
        <f>IFERROR(MATCH(195,명단표[서울순번],0),"")</f>
        <v/>
      </c>
      <c r="R200">
        <f>IF($W200="","",INDEX(명단표[이름],$W200))</f>
        <v/>
      </c>
      <c r="S200">
        <f>IF($W200="","",INDEX(명단표[사번],$W200)&amp;"")</f>
        <v/>
      </c>
      <c r="T200">
        <f>IF($W200="","",INDEX(명단표[소속병원],$W200))</f>
        <v/>
      </c>
      <c r="U200">
        <f>IF($W200="","",INDEX(명단표[서울 근무일(기준월)],$W200))</f>
        <v/>
      </c>
      <c r="V200">
        <f>IF($W200="","",INDEX(명단표[구리 근무일(기준월)],$W200))</f>
        <v/>
      </c>
      <c r="W200" s="17">
        <f>IFERROR(MATCH(195,명단표[판정불가순번],0),"")</f>
        <v/>
      </c>
    </row>
    <row r="201">
      <c r="A201">
        <f>IF($P201="","",196)</f>
        <v/>
      </c>
      <c r="B201">
        <f>IF($P201="","",INDEX(명단표[이름],$P201))</f>
        <v/>
      </c>
      <c r="C201">
        <f>IF($P201="","",INDEX(명단표[사번],$P201)&amp;"")</f>
        <v/>
      </c>
      <c r="D201">
        <f>IF($P201="","",INDEX(명단표[전공의등록번호],$P201)&amp;"")</f>
        <v/>
      </c>
      <c r="E201">
        <f>IF($P201="","",INDEX(명단표[수련과목],$P201)&amp;"")</f>
        <v/>
      </c>
      <c r="F201">
        <f>IF($P201="","",INDEX(명단표[연차],$P201)&amp;"")</f>
        <v/>
      </c>
      <c r="G201">
        <f>IF($P201="","",INDEX(명단표[소속병원],$P201))</f>
        <v/>
      </c>
      <c r="H201">
        <f>IF($P201="","",IF(INDEX(명단표[소속병원],$P201)="서울병원","서울 소속","타 병원 소속("&amp;INDEX(명단표[소속병원],$P201)&amp;") → 서울 지급"))</f>
        <v/>
      </c>
      <c r="I201">
        <f>IF($P201="","",INDEX(명단표[현재 근무병원],$P201))</f>
        <v/>
      </c>
      <c r="J201">
        <f>IF($P201="","",INDEX(명단표[구리 근무 시작일(기준월)],$P201)&amp;"")</f>
        <v/>
      </c>
      <c r="K201">
        <f>IF($P201="","",INDEX(명단표[구리 근무 종료일(기준월)],$P201)&amp;"")</f>
        <v/>
      </c>
      <c r="L201">
        <f>IF($P201="","",INDEX(명단표[서울 근무일(기준월)],$P201))</f>
        <v/>
      </c>
      <c r="M201">
        <f>IF($P201="","",INDEX(명단표[구리 근무일(기준월)],$P201))</f>
        <v/>
      </c>
      <c r="N201">
        <f>IF($P201="","",INDEX(명단표[급여 판정 근거],$P201))</f>
        <v/>
      </c>
      <c r="O201">
        <f>IF($P201="","",INDEX(명단표[점검],$P201))</f>
        <v/>
      </c>
      <c r="P201" s="17">
        <f>IFERROR(MATCH(196,명단표[서울순번],0),"")</f>
        <v/>
      </c>
      <c r="R201">
        <f>IF($W201="","",INDEX(명단표[이름],$W201))</f>
        <v/>
      </c>
      <c r="S201">
        <f>IF($W201="","",INDEX(명단표[사번],$W201)&amp;"")</f>
        <v/>
      </c>
      <c r="T201">
        <f>IF($W201="","",INDEX(명단표[소속병원],$W201))</f>
        <v/>
      </c>
      <c r="U201">
        <f>IF($W201="","",INDEX(명단표[서울 근무일(기준월)],$W201))</f>
        <v/>
      </c>
      <c r="V201">
        <f>IF($W201="","",INDEX(명단표[구리 근무일(기준월)],$W201))</f>
        <v/>
      </c>
      <c r="W201" s="17">
        <f>IFERROR(MATCH(196,명단표[판정불가순번],0),"")</f>
        <v/>
      </c>
    </row>
    <row r="202">
      <c r="A202">
        <f>IF($P202="","",197)</f>
        <v/>
      </c>
      <c r="B202">
        <f>IF($P202="","",INDEX(명단표[이름],$P202))</f>
        <v/>
      </c>
      <c r="C202">
        <f>IF($P202="","",INDEX(명단표[사번],$P202)&amp;"")</f>
        <v/>
      </c>
      <c r="D202">
        <f>IF($P202="","",INDEX(명단표[전공의등록번호],$P202)&amp;"")</f>
        <v/>
      </c>
      <c r="E202">
        <f>IF($P202="","",INDEX(명단표[수련과목],$P202)&amp;"")</f>
        <v/>
      </c>
      <c r="F202">
        <f>IF($P202="","",INDEX(명단표[연차],$P202)&amp;"")</f>
        <v/>
      </c>
      <c r="G202">
        <f>IF($P202="","",INDEX(명단표[소속병원],$P202))</f>
        <v/>
      </c>
      <c r="H202">
        <f>IF($P202="","",IF(INDEX(명단표[소속병원],$P202)="서울병원","서울 소속","타 병원 소속("&amp;INDEX(명단표[소속병원],$P202)&amp;") → 서울 지급"))</f>
        <v/>
      </c>
      <c r="I202">
        <f>IF($P202="","",INDEX(명단표[현재 근무병원],$P202))</f>
        <v/>
      </c>
      <c r="J202">
        <f>IF($P202="","",INDEX(명단표[구리 근무 시작일(기준월)],$P202)&amp;"")</f>
        <v/>
      </c>
      <c r="K202">
        <f>IF($P202="","",INDEX(명단표[구리 근무 종료일(기준월)],$P202)&amp;"")</f>
        <v/>
      </c>
      <c r="L202">
        <f>IF($P202="","",INDEX(명단표[서울 근무일(기준월)],$P202))</f>
        <v/>
      </c>
      <c r="M202">
        <f>IF($P202="","",INDEX(명단표[구리 근무일(기준월)],$P202))</f>
        <v/>
      </c>
      <c r="N202">
        <f>IF($P202="","",INDEX(명단표[급여 판정 근거],$P202))</f>
        <v/>
      </c>
      <c r="O202">
        <f>IF($P202="","",INDEX(명단표[점검],$P202))</f>
        <v/>
      </c>
      <c r="P202" s="17">
        <f>IFERROR(MATCH(197,명단표[서울순번],0),"")</f>
        <v/>
      </c>
      <c r="R202">
        <f>IF($W202="","",INDEX(명단표[이름],$W202))</f>
        <v/>
      </c>
      <c r="S202">
        <f>IF($W202="","",INDEX(명단표[사번],$W202)&amp;"")</f>
        <v/>
      </c>
      <c r="T202">
        <f>IF($W202="","",INDEX(명단표[소속병원],$W202))</f>
        <v/>
      </c>
      <c r="U202">
        <f>IF($W202="","",INDEX(명단표[서울 근무일(기준월)],$W202))</f>
        <v/>
      </c>
      <c r="V202">
        <f>IF($W202="","",INDEX(명단표[구리 근무일(기준월)],$W202))</f>
        <v/>
      </c>
      <c r="W202" s="17">
        <f>IFERROR(MATCH(197,명단표[판정불가순번],0),"")</f>
        <v/>
      </c>
    </row>
    <row r="203">
      <c r="A203">
        <f>IF($P203="","",198)</f>
        <v/>
      </c>
      <c r="B203">
        <f>IF($P203="","",INDEX(명단표[이름],$P203))</f>
        <v/>
      </c>
      <c r="C203">
        <f>IF($P203="","",INDEX(명단표[사번],$P203)&amp;"")</f>
        <v/>
      </c>
      <c r="D203">
        <f>IF($P203="","",INDEX(명단표[전공의등록번호],$P203)&amp;"")</f>
        <v/>
      </c>
      <c r="E203">
        <f>IF($P203="","",INDEX(명단표[수련과목],$P203)&amp;"")</f>
        <v/>
      </c>
      <c r="F203">
        <f>IF($P203="","",INDEX(명단표[연차],$P203)&amp;"")</f>
        <v/>
      </c>
      <c r="G203">
        <f>IF($P203="","",INDEX(명단표[소속병원],$P203))</f>
        <v/>
      </c>
      <c r="H203">
        <f>IF($P203="","",IF(INDEX(명단표[소속병원],$P203)="서울병원","서울 소속","타 병원 소속("&amp;INDEX(명단표[소속병원],$P203)&amp;") → 서울 지급"))</f>
        <v/>
      </c>
      <c r="I203">
        <f>IF($P203="","",INDEX(명단표[현재 근무병원],$P203))</f>
        <v/>
      </c>
      <c r="J203">
        <f>IF($P203="","",INDEX(명단표[구리 근무 시작일(기준월)],$P203)&amp;"")</f>
        <v/>
      </c>
      <c r="K203">
        <f>IF($P203="","",INDEX(명단표[구리 근무 종료일(기준월)],$P203)&amp;"")</f>
        <v/>
      </c>
      <c r="L203">
        <f>IF($P203="","",INDEX(명단표[서울 근무일(기준월)],$P203))</f>
        <v/>
      </c>
      <c r="M203">
        <f>IF($P203="","",INDEX(명단표[구리 근무일(기준월)],$P203))</f>
        <v/>
      </c>
      <c r="N203">
        <f>IF($P203="","",INDEX(명단표[급여 판정 근거],$P203))</f>
        <v/>
      </c>
      <c r="O203">
        <f>IF($P203="","",INDEX(명단표[점검],$P203))</f>
        <v/>
      </c>
      <c r="P203" s="17">
        <f>IFERROR(MATCH(198,명단표[서울순번],0),"")</f>
        <v/>
      </c>
      <c r="R203">
        <f>IF($W203="","",INDEX(명단표[이름],$W203))</f>
        <v/>
      </c>
      <c r="S203">
        <f>IF($W203="","",INDEX(명단표[사번],$W203)&amp;"")</f>
        <v/>
      </c>
      <c r="T203">
        <f>IF($W203="","",INDEX(명단표[소속병원],$W203))</f>
        <v/>
      </c>
      <c r="U203">
        <f>IF($W203="","",INDEX(명단표[서울 근무일(기준월)],$W203))</f>
        <v/>
      </c>
      <c r="V203">
        <f>IF($W203="","",INDEX(명단표[구리 근무일(기준월)],$W203))</f>
        <v/>
      </c>
      <c r="W203" s="17">
        <f>IFERROR(MATCH(198,명단표[판정불가순번],0),"")</f>
        <v/>
      </c>
    </row>
    <row r="204">
      <c r="A204">
        <f>IF($P204="","",199)</f>
        <v/>
      </c>
      <c r="B204">
        <f>IF($P204="","",INDEX(명단표[이름],$P204))</f>
        <v/>
      </c>
      <c r="C204">
        <f>IF($P204="","",INDEX(명단표[사번],$P204)&amp;"")</f>
        <v/>
      </c>
      <c r="D204">
        <f>IF($P204="","",INDEX(명단표[전공의등록번호],$P204)&amp;"")</f>
        <v/>
      </c>
      <c r="E204">
        <f>IF($P204="","",INDEX(명단표[수련과목],$P204)&amp;"")</f>
        <v/>
      </c>
      <c r="F204">
        <f>IF($P204="","",INDEX(명단표[연차],$P204)&amp;"")</f>
        <v/>
      </c>
      <c r="G204">
        <f>IF($P204="","",INDEX(명단표[소속병원],$P204))</f>
        <v/>
      </c>
      <c r="H204">
        <f>IF($P204="","",IF(INDEX(명단표[소속병원],$P204)="서울병원","서울 소속","타 병원 소속("&amp;INDEX(명단표[소속병원],$P204)&amp;") → 서울 지급"))</f>
        <v/>
      </c>
      <c r="I204">
        <f>IF($P204="","",INDEX(명단표[현재 근무병원],$P204))</f>
        <v/>
      </c>
      <c r="J204">
        <f>IF($P204="","",INDEX(명단표[구리 근무 시작일(기준월)],$P204)&amp;"")</f>
        <v/>
      </c>
      <c r="K204">
        <f>IF($P204="","",INDEX(명단표[구리 근무 종료일(기준월)],$P204)&amp;"")</f>
        <v/>
      </c>
      <c r="L204">
        <f>IF($P204="","",INDEX(명단표[서울 근무일(기준월)],$P204))</f>
        <v/>
      </c>
      <c r="M204">
        <f>IF($P204="","",INDEX(명단표[구리 근무일(기준월)],$P204))</f>
        <v/>
      </c>
      <c r="N204">
        <f>IF($P204="","",INDEX(명단표[급여 판정 근거],$P204))</f>
        <v/>
      </c>
      <c r="O204">
        <f>IF($P204="","",INDEX(명단표[점검],$P204))</f>
        <v/>
      </c>
      <c r="P204" s="17">
        <f>IFERROR(MATCH(199,명단표[서울순번],0),"")</f>
        <v/>
      </c>
      <c r="R204">
        <f>IF($W204="","",INDEX(명단표[이름],$W204))</f>
        <v/>
      </c>
      <c r="S204">
        <f>IF($W204="","",INDEX(명단표[사번],$W204)&amp;"")</f>
        <v/>
      </c>
      <c r="T204">
        <f>IF($W204="","",INDEX(명단표[소속병원],$W204))</f>
        <v/>
      </c>
      <c r="U204">
        <f>IF($W204="","",INDEX(명단표[서울 근무일(기준월)],$W204))</f>
        <v/>
      </c>
      <c r="V204">
        <f>IF($W204="","",INDEX(명단표[구리 근무일(기준월)],$W204))</f>
        <v/>
      </c>
      <c r="W204" s="17">
        <f>IFERROR(MATCH(199,명단표[판정불가순번],0),"")</f>
        <v/>
      </c>
    </row>
    <row r="205">
      <c r="A205">
        <f>IF($P205="","",200)</f>
        <v/>
      </c>
      <c r="B205">
        <f>IF($P205="","",INDEX(명단표[이름],$P205))</f>
        <v/>
      </c>
      <c r="C205">
        <f>IF($P205="","",INDEX(명단표[사번],$P205)&amp;"")</f>
        <v/>
      </c>
      <c r="D205">
        <f>IF($P205="","",INDEX(명단표[전공의등록번호],$P205)&amp;"")</f>
        <v/>
      </c>
      <c r="E205">
        <f>IF($P205="","",INDEX(명단표[수련과목],$P205)&amp;"")</f>
        <v/>
      </c>
      <c r="F205">
        <f>IF($P205="","",INDEX(명단표[연차],$P205)&amp;"")</f>
        <v/>
      </c>
      <c r="G205">
        <f>IF($P205="","",INDEX(명단표[소속병원],$P205))</f>
        <v/>
      </c>
      <c r="H205">
        <f>IF($P205="","",IF(INDEX(명단표[소속병원],$P205)="서울병원","서울 소속","타 병원 소속("&amp;INDEX(명단표[소속병원],$P205)&amp;") → 서울 지급"))</f>
        <v/>
      </c>
      <c r="I205">
        <f>IF($P205="","",INDEX(명단표[현재 근무병원],$P205))</f>
        <v/>
      </c>
      <c r="J205">
        <f>IF($P205="","",INDEX(명단표[구리 근무 시작일(기준월)],$P205)&amp;"")</f>
        <v/>
      </c>
      <c r="K205">
        <f>IF($P205="","",INDEX(명단표[구리 근무 종료일(기준월)],$P205)&amp;"")</f>
        <v/>
      </c>
      <c r="L205">
        <f>IF($P205="","",INDEX(명단표[서울 근무일(기준월)],$P205))</f>
        <v/>
      </c>
      <c r="M205">
        <f>IF($P205="","",INDEX(명단표[구리 근무일(기준월)],$P205))</f>
        <v/>
      </c>
      <c r="N205">
        <f>IF($P205="","",INDEX(명단표[급여 판정 근거],$P205))</f>
        <v/>
      </c>
      <c r="O205">
        <f>IF($P205="","",INDEX(명단표[점검],$P205))</f>
        <v/>
      </c>
      <c r="P205" s="17">
        <f>IFERROR(MATCH(200,명단표[서울순번],0),"")</f>
        <v/>
      </c>
      <c r="R205">
        <f>IF($W205="","",INDEX(명단표[이름],$W205))</f>
        <v/>
      </c>
      <c r="S205">
        <f>IF($W205="","",INDEX(명단표[사번],$W205)&amp;"")</f>
        <v/>
      </c>
      <c r="T205">
        <f>IF($W205="","",INDEX(명단표[소속병원],$W205))</f>
        <v/>
      </c>
      <c r="U205">
        <f>IF($W205="","",INDEX(명단표[서울 근무일(기준월)],$W205))</f>
        <v/>
      </c>
      <c r="V205">
        <f>IF($W205="","",INDEX(명단표[구리 근무일(기준월)],$W205))</f>
        <v/>
      </c>
      <c r="W205" s="17">
        <f>IFERROR(MATCH(200,명단표[판정불가순번],0),"")</f>
        <v/>
      </c>
    </row>
    <row r="206">
      <c r="A206">
        <f>IF($P206="","",201)</f>
        <v/>
      </c>
      <c r="B206">
        <f>IF($P206="","",INDEX(명단표[이름],$P206))</f>
        <v/>
      </c>
      <c r="C206">
        <f>IF($P206="","",INDEX(명단표[사번],$P206)&amp;"")</f>
        <v/>
      </c>
      <c r="D206">
        <f>IF($P206="","",INDEX(명단표[전공의등록번호],$P206)&amp;"")</f>
        <v/>
      </c>
      <c r="E206">
        <f>IF($P206="","",INDEX(명단표[수련과목],$P206)&amp;"")</f>
        <v/>
      </c>
      <c r="F206">
        <f>IF($P206="","",INDEX(명단표[연차],$P206)&amp;"")</f>
        <v/>
      </c>
      <c r="G206">
        <f>IF($P206="","",INDEX(명단표[소속병원],$P206))</f>
        <v/>
      </c>
      <c r="H206">
        <f>IF($P206="","",IF(INDEX(명단표[소속병원],$P206)="서울병원","서울 소속","타 병원 소속("&amp;INDEX(명단표[소속병원],$P206)&amp;") → 서울 지급"))</f>
        <v/>
      </c>
      <c r="I206">
        <f>IF($P206="","",INDEX(명단표[현재 근무병원],$P206))</f>
        <v/>
      </c>
      <c r="J206">
        <f>IF($P206="","",INDEX(명단표[구리 근무 시작일(기준월)],$P206)&amp;"")</f>
        <v/>
      </c>
      <c r="K206">
        <f>IF($P206="","",INDEX(명단표[구리 근무 종료일(기준월)],$P206)&amp;"")</f>
        <v/>
      </c>
      <c r="L206">
        <f>IF($P206="","",INDEX(명단표[서울 근무일(기준월)],$P206))</f>
        <v/>
      </c>
      <c r="M206">
        <f>IF($P206="","",INDEX(명단표[구리 근무일(기준월)],$P206))</f>
        <v/>
      </c>
      <c r="N206">
        <f>IF($P206="","",INDEX(명단표[급여 판정 근거],$P206))</f>
        <v/>
      </c>
      <c r="O206">
        <f>IF($P206="","",INDEX(명단표[점검],$P206))</f>
        <v/>
      </c>
      <c r="P206" s="17">
        <f>IFERROR(MATCH(201,명단표[서울순번],0),"")</f>
        <v/>
      </c>
      <c r="R206">
        <f>IF($W206="","",INDEX(명단표[이름],$W206))</f>
        <v/>
      </c>
      <c r="S206">
        <f>IF($W206="","",INDEX(명단표[사번],$W206)&amp;"")</f>
        <v/>
      </c>
      <c r="T206">
        <f>IF($W206="","",INDEX(명단표[소속병원],$W206))</f>
        <v/>
      </c>
      <c r="U206">
        <f>IF($W206="","",INDEX(명단표[서울 근무일(기준월)],$W206))</f>
        <v/>
      </c>
      <c r="V206">
        <f>IF($W206="","",INDEX(명단표[구리 근무일(기준월)],$W206))</f>
        <v/>
      </c>
      <c r="W206" s="17">
        <f>IFERROR(MATCH(201,명단표[판정불가순번],0),"")</f>
        <v/>
      </c>
    </row>
    <row r="207">
      <c r="A207">
        <f>IF($P207="","",202)</f>
        <v/>
      </c>
      <c r="B207">
        <f>IF($P207="","",INDEX(명단표[이름],$P207))</f>
        <v/>
      </c>
      <c r="C207">
        <f>IF($P207="","",INDEX(명단표[사번],$P207)&amp;"")</f>
        <v/>
      </c>
      <c r="D207">
        <f>IF($P207="","",INDEX(명단표[전공의등록번호],$P207)&amp;"")</f>
        <v/>
      </c>
      <c r="E207">
        <f>IF($P207="","",INDEX(명단표[수련과목],$P207)&amp;"")</f>
        <v/>
      </c>
      <c r="F207">
        <f>IF($P207="","",INDEX(명단표[연차],$P207)&amp;"")</f>
        <v/>
      </c>
      <c r="G207">
        <f>IF($P207="","",INDEX(명단표[소속병원],$P207))</f>
        <v/>
      </c>
      <c r="H207">
        <f>IF($P207="","",IF(INDEX(명단표[소속병원],$P207)="서울병원","서울 소속","타 병원 소속("&amp;INDEX(명단표[소속병원],$P207)&amp;") → 서울 지급"))</f>
        <v/>
      </c>
      <c r="I207">
        <f>IF($P207="","",INDEX(명단표[현재 근무병원],$P207))</f>
        <v/>
      </c>
      <c r="J207">
        <f>IF($P207="","",INDEX(명단표[구리 근무 시작일(기준월)],$P207)&amp;"")</f>
        <v/>
      </c>
      <c r="K207">
        <f>IF($P207="","",INDEX(명단표[구리 근무 종료일(기준월)],$P207)&amp;"")</f>
        <v/>
      </c>
      <c r="L207">
        <f>IF($P207="","",INDEX(명단표[서울 근무일(기준월)],$P207))</f>
        <v/>
      </c>
      <c r="M207">
        <f>IF($P207="","",INDEX(명단표[구리 근무일(기준월)],$P207))</f>
        <v/>
      </c>
      <c r="N207">
        <f>IF($P207="","",INDEX(명단표[급여 판정 근거],$P207))</f>
        <v/>
      </c>
      <c r="O207">
        <f>IF($P207="","",INDEX(명단표[점검],$P207))</f>
        <v/>
      </c>
      <c r="P207" s="17">
        <f>IFERROR(MATCH(202,명단표[서울순번],0),"")</f>
        <v/>
      </c>
      <c r="R207">
        <f>IF($W207="","",INDEX(명단표[이름],$W207))</f>
        <v/>
      </c>
      <c r="S207">
        <f>IF($W207="","",INDEX(명단표[사번],$W207)&amp;"")</f>
        <v/>
      </c>
      <c r="T207">
        <f>IF($W207="","",INDEX(명단표[소속병원],$W207))</f>
        <v/>
      </c>
      <c r="U207">
        <f>IF($W207="","",INDEX(명단표[서울 근무일(기준월)],$W207))</f>
        <v/>
      </c>
      <c r="V207">
        <f>IF($W207="","",INDEX(명단표[구리 근무일(기준월)],$W207))</f>
        <v/>
      </c>
      <c r="W207" s="17">
        <f>IFERROR(MATCH(202,명단표[판정불가순번],0),"")</f>
        <v/>
      </c>
    </row>
    <row r="208">
      <c r="A208">
        <f>IF($P208="","",203)</f>
        <v/>
      </c>
      <c r="B208">
        <f>IF($P208="","",INDEX(명단표[이름],$P208))</f>
        <v/>
      </c>
      <c r="C208">
        <f>IF($P208="","",INDEX(명단표[사번],$P208)&amp;"")</f>
        <v/>
      </c>
      <c r="D208">
        <f>IF($P208="","",INDEX(명단표[전공의등록번호],$P208)&amp;"")</f>
        <v/>
      </c>
      <c r="E208">
        <f>IF($P208="","",INDEX(명단표[수련과목],$P208)&amp;"")</f>
        <v/>
      </c>
      <c r="F208">
        <f>IF($P208="","",INDEX(명단표[연차],$P208)&amp;"")</f>
        <v/>
      </c>
      <c r="G208">
        <f>IF($P208="","",INDEX(명단표[소속병원],$P208))</f>
        <v/>
      </c>
      <c r="H208">
        <f>IF($P208="","",IF(INDEX(명단표[소속병원],$P208)="서울병원","서울 소속","타 병원 소속("&amp;INDEX(명단표[소속병원],$P208)&amp;") → 서울 지급"))</f>
        <v/>
      </c>
      <c r="I208">
        <f>IF($P208="","",INDEX(명단표[현재 근무병원],$P208))</f>
        <v/>
      </c>
      <c r="J208">
        <f>IF($P208="","",INDEX(명단표[구리 근무 시작일(기준월)],$P208)&amp;"")</f>
        <v/>
      </c>
      <c r="K208">
        <f>IF($P208="","",INDEX(명단표[구리 근무 종료일(기준월)],$P208)&amp;"")</f>
        <v/>
      </c>
      <c r="L208">
        <f>IF($P208="","",INDEX(명단표[서울 근무일(기준월)],$P208))</f>
        <v/>
      </c>
      <c r="M208">
        <f>IF($P208="","",INDEX(명단표[구리 근무일(기준월)],$P208))</f>
        <v/>
      </c>
      <c r="N208">
        <f>IF($P208="","",INDEX(명단표[급여 판정 근거],$P208))</f>
        <v/>
      </c>
      <c r="O208">
        <f>IF($P208="","",INDEX(명단표[점검],$P208))</f>
        <v/>
      </c>
      <c r="P208" s="17">
        <f>IFERROR(MATCH(203,명단표[서울순번],0),"")</f>
        <v/>
      </c>
      <c r="R208">
        <f>IF($W208="","",INDEX(명단표[이름],$W208))</f>
        <v/>
      </c>
      <c r="S208">
        <f>IF($W208="","",INDEX(명단표[사번],$W208)&amp;"")</f>
        <v/>
      </c>
      <c r="T208">
        <f>IF($W208="","",INDEX(명단표[소속병원],$W208))</f>
        <v/>
      </c>
      <c r="U208">
        <f>IF($W208="","",INDEX(명단표[서울 근무일(기준월)],$W208))</f>
        <v/>
      </c>
      <c r="V208">
        <f>IF($W208="","",INDEX(명단표[구리 근무일(기준월)],$W208))</f>
        <v/>
      </c>
      <c r="W208" s="17">
        <f>IFERROR(MATCH(203,명단표[판정불가순번],0),"")</f>
        <v/>
      </c>
    </row>
    <row r="209">
      <c r="A209">
        <f>IF($P209="","",204)</f>
        <v/>
      </c>
      <c r="B209">
        <f>IF($P209="","",INDEX(명단표[이름],$P209))</f>
        <v/>
      </c>
      <c r="C209">
        <f>IF($P209="","",INDEX(명단표[사번],$P209)&amp;"")</f>
        <v/>
      </c>
      <c r="D209">
        <f>IF($P209="","",INDEX(명단표[전공의등록번호],$P209)&amp;"")</f>
        <v/>
      </c>
      <c r="E209">
        <f>IF($P209="","",INDEX(명단표[수련과목],$P209)&amp;"")</f>
        <v/>
      </c>
      <c r="F209">
        <f>IF($P209="","",INDEX(명단표[연차],$P209)&amp;"")</f>
        <v/>
      </c>
      <c r="G209">
        <f>IF($P209="","",INDEX(명단표[소속병원],$P209))</f>
        <v/>
      </c>
      <c r="H209">
        <f>IF($P209="","",IF(INDEX(명단표[소속병원],$P209)="서울병원","서울 소속","타 병원 소속("&amp;INDEX(명단표[소속병원],$P209)&amp;") → 서울 지급"))</f>
        <v/>
      </c>
      <c r="I209">
        <f>IF($P209="","",INDEX(명단표[현재 근무병원],$P209))</f>
        <v/>
      </c>
      <c r="J209">
        <f>IF($P209="","",INDEX(명단표[구리 근무 시작일(기준월)],$P209)&amp;"")</f>
        <v/>
      </c>
      <c r="K209">
        <f>IF($P209="","",INDEX(명단표[구리 근무 종료일(기준월)],$P209)&amp;"")</f>
        <v/>
      </c>
      <c r="L209">
        <f>IF($P209="","",INDEX(명단표[서울 근무일(기준월)],$P209))</f>
        <v/>
      </c>
      <c r="M209">
        <f>IF($P209="","",INDEX(명단표[구리 근무일(기준월)],$P209))</f>
        <v/>
      </c>
      <c r="N209">
        <f>IF($P209="","",INDEX(명단표[급여 판정 근거],$P209))</f>
        <v/>
      </c>
      <c r="O209">
        <f>IF($P209="","",INDEX(명단표[점검],$P209))</f>
        <v/>
      </c>
      <c r="P209" s="17">
        <f>IFERROR(MATCH(204,명단표[서울순번],0),"")</f>
        <v/>
      </c>
      <c r="R209">
        <f>IF($W209="","",INDEX(명단표[이름],$W209))</f>
        <v/>
      </c>
      <c r="S209">
        <f>IF($W209="","",INDEX(명단표[사번],$W209)&amp;"")</f>
        <v/>
      </c>
      <c r="T209">
        <f>IF($W209="","",INDEX(명단표[소속병원],$W209))</f>
        <v/>
      </c>
      <c r="U209">
        <f>IF($W209="","",INDEX(명단표[서울 근무일(기준월)],$W209))</f>
        <v/>
      </c>
      <c r="V209">
        <f>IF($W209="","",INDEX(명단표[구리 근무일(기준월)],$W209))</f>
        <v/>
      </c>
      <c r="W209" s="17">
        <f>IFERROR(MATCH(204,명단표[판정불가순번],0),"")</f>
        <v/>
      </c>
    </row>
    <row r="210">
      <c r="A210">
        <f>IF($P210="","",205)</f>
        <v/>
      </c>
      <c r="B210">
        <f>IF($P210="","",INDEX(명단표[이름],$P210))</f>
        <v/>
      </c>
      <c r="C210">
        <f>IF($P210="","",INDEX(명단표[사번],$P210)&amp;"")</f>
        <v/>
      </c>
      <c r="D210">
        <f>IF($P210="","",INDEX(명단표[전공의등록번호],$P210)&amp;"")</f>
        <v/>
      </c>
      <c r="E210">
        <f>IF($P210="","",INDEX(명단표[수련과목],$P210)&amp;"")</f>
        <v/>
      </c>
      <c r="F210">
        <f>IF($P210="","",INDEX(명단표[연차],$P210)&amp;"")</f>
        <v/>
      </c>
      <c r="G210">
        <f>IF($P210="","",INDEX(명단표[소속병원],$P210))</f>
        <v/>
      </c>
      <c r="H210">
        <f>IF($P210="","",IF(INDEX(명단표[소속병원],$P210)="서울병원","서울 소속","타 병원 소속("&amp;INDEX(명단표[소속병원],$P210)&amp;") → 서울 지급"))</f>
        <v/>
      </c>
      <c r="I210">
        <f>IF($P210="","",INDEX(명단표[현재 근무병원],$P210))</f>
        <v/>
      </c>
      <c r="J210">
        <f>IF($P210="","",INDEX(명단표[구리 근무 시작일(기준월)],$P210)&amp;"")</f>
        <v/>
      </c>
      <c r="K210">
        <f>IF($P210="","",INDEX(명단표[구리 근무 종료일(기준월)],$P210)&amp;"")</f>
        <v/>
      </c>
      <c r="L210">
        <f>IF($P210="","",INDEX(명단표[서울 근무일(기준월)],$P210))</f>
        <v/>
      </c>
      <c r="M210">
        <f>IF($P210="","",INDEX(명단표[구리 근무일(기준월)],$P210))</f>
        <v/>
      </c>
      <c r="N210">
        <f>IF($P210="","",INDEX(명단표[급여 판정 근거],$P210))</f>
        <v/>
      </c>
      <c r="O210">
        <f>IF($P210="","",INDEX(명단표[점검],$P210))</f>
        <v/>
      </c>
      <c r="P210" s="17">
        <f>IFERROR(MATCH(205,명단표[서울순번],0),"")</f>
        <v/>
      </c>
      <c r="R210">
        <f>IF($W210="","",INDEX(명단표[이름],$W210))</f>
        <v/>
      </c>
      <c r="S210">
        <f>IF($W210="","",INDEX(명단표[사번],$W210)&amp;"")</f>
        <v/>
      </c>
      <c r="T210">
        <f>IF($W210="","",INDEX(명단표[소속병원],$W210))</f>
        <v/>
      </c>
      <c r="U210">
        <f>IF($W210="","",INDEX(명단표[서울 근무일(기준월)],$W210))</f>
        <v/>
      </c>
      <c r="V210">
        <f>IF($W210="","",INDEX(명단표[구리 근무일(기준월)],$W210))</f>
        <v/>
      </c>
      <c r="W210" s="17">
        <f>IFERROR(MATCH(205,명단표[판정불가순번],0),"")</f>
        <v/>
      </c>
    </row>
    <row r="211">
      <c r="A211">
        <f>IF($P211="","",206)</f>
        <v/>
      </c>
      <c r="B211">
        <f>IF($P211="","",INDEX(명단표[이름],$P211))</f>
        <v/>
      </c>
      <c r="C211">
        <f>IF($P211="","",INDEX(명단표[사번],$P211)&amp;"")</f>
        <v/>
      </c>
      <c r="D211">
        <f>IF($P211="","",INDEX(명단표[전공의등록번호],$P211)&amp;"")</f>
        <v/>
      </c>
      <c r="E211">
        <f>IF($P211="","",INDEX(명단표[수련과목],$P211)&amp;"")</f>
        <v/>
      </c>
      <c r="F211">
        <f>IF($P211="","",INDEX(명단표[연차],$P211)&amp;"")</f>
        <v/>
      </c>
      <c r="G211">
        <f>IF($P211="","",INDEX(명단표[소속병원],$P211))</f>
        <v/>
      </c>
      <c r="H211">
        <f>IF($P211="","",IF(INDEX(명단표[소속병원],$P211)="서울병원","서울 소속","타 병원 소속("&amp;INDEX(명단표[소속병원],$P211)&amp;") → 서울 지급"))</f>
        <v/>
      </c>
      <c r="I211">
        <f>IF($P211="","",INDEX(명단표[현재 근무병원],$P211))</f>
        <v/>
      </c>
      <c r="J211">
        <f>IF($P211="","",INDEX(명단표[구리 근무 시작일(기준월)],$P211)&amp;"")</f>
        <v/>
      </c>
      <c r="K211">
        <f>IF($P211="","",INDEX(명단표[구리 근무 종료일(기준월)],$P211)&amp;"")</f>
        <v/>
      </c>
      <c r="L211">
        <f>IF($P211="","",INDEX(명단표[서울 근무일(기준월)],$P211))</f>
        <v/>
      </c>
      <c r="M211">
        <f>IF($P211="","",INDEX(명단표[구리 근무일(기준월)],$P211))</f>
        <v/>
      </c>
      <c r="N211">
        <f>IF($P211="","",INDEX(명단표[급여 판정 근거],$P211))</f>
        <v/>
      </c>
      <c r="O211">
        <f>IF($P211="","",INDEX(명단표[점검],$P211))</f>
        <v/>
      </c>
      <c r="P211" s="17">
        <f>IFERROR(MATCH(206,명단표[서울순번],0),"")</f>
        <v/>
      </c>
      <c r="R211">
        <f>IF($W211="","",INDEX(명단표[이름],$W211))</f>
        <v/>
      </c>
      <c r="S211">
        <f>IF($W211="","",INDEX(명단표[사번],$W211)&amp;"")</f>
        <v/>
      </c>
      <c r="T211">
        <f>IF($W211="","",INDEX(명단표[소속병원],$W211))</f>
        <v/>
      </c>
      <c r="U211">
        <f>IF($W211="","",INDEX(명단표[서울 근무일(기준월)],$W211))</f>
        <v/>
      </c>
      <c r="V211">
        <f>IF($W211="","",INDEX(명단표[구리 근무일(기준월)],$W211))</f>
        <v/>
      </c>
      <c r="W211" s="17">
        <f>IFERROR(MATCH(206,명단표[판정불가순번],0),"")</f>
        <v/>
      </c>
    </row>
    <row r="212">
      <c r="A212">
        <f>IF($P212="","",207)</f>
        <v/>
      </c>
      <c r="B212">
        <f>IF($P212="","",INDEX(명단표[이름],$P212))</f>
        <v/>
      </c>
      <c r="C212">
        <f>IF($P212="","",INDEX(명단표[사번],$P212)&amp;"")</f>
        <v/>
      </c>
      <c r="D212">
        <f>IF($P212="","",INDEX(명단표[전공의등록번호],$P212)&amp;"")</f>
        <v/>
      </c>
      <c r="E212">
        <f>IF($P212="","",INDEX(명단표[수련과목],$P212)&amp;"")</f>
        <v/>
      </c>
      <c r="F212">
        <f>IF($P212="","",INDEX(명단표[연차],$P212)&amp;"")</f>
        <v/>
      </c>
      <c r="G212">
        <f>IF($P212="","",INDEX(명단표[소속병원],$P212))</f>
        <v/>
      </c>
      <c r="H212">
        <f>IF($P212="","",IF(INDEX(명단표[소속병원],$P212)="서울병원","서울 소속","타 병원 소속("&amp;INDEX(명단표[소속병원],$P212)&amp;") → 서울 지급"))</f>
        <v/>
      </c>
      <c r="I212">
        <f>IF($P212="","",INDEX(명단표[현재 근무병원],$P212))</f>
        <v/>
      </c>
      <c r="J212">
        <f>IF($P212="","",INDEX(명단표[구리 근무 시작일(기준월)],$P212)&amp;"")</f>
        <v/>
      </c>
      <c r="K212">
        <f>IF($P212="","",INDEX(명단표[구리 근무 종료일(기준월)],$P212)&amp;"")</f>
        <v/>
      </c>
      <c r="L212">
        <f>IF($P212="","",INDEX(명단표[서울 근무일(기준월)],$P212))</f>
        <v/>
      </c>
      <c r="M212">
        <f>IF($P212="","",INDEX(명단표[구리 근무일(기준월)],$P212))</f>
        <v/>
      </c>
      <c r="N212">
        <f>IF($P212="","",INDEX(명단표[급여 판정 근거],$P212))</f>
        <v/>
      </c>
      <c r="O212">
        <f>IF($P212="","",INDEX(명단표[점검],$P212))</f>
        <v/>
      </c>
      <c r="P212" s="17">
        <f>IFERROR(MATCH(207,명단표[서울순번],0),"")</f>
        <v/>
      </c>
      <c r="R212">
        <f>IF($W212="","",INDEX(명단표[이름],$W212))</f>
        <v/>
      </c>
      <c r="S212">
        <f>IF($W212="","",INDEX(명단표[사번],$W212)&amp;"")</f>
        <v/>
      </c>
      <c r="T212">
        <f>IF($W212="","",INDEX(명단표[소속병원],$W212))</f>
        <v/>
      </c>
      <c r="U212">
        <f>IF($W212="","",INDEX(명단표[서울 근무일(기준월)],$W212))</f>
        <v/>
      </c>
      <c r="V212">
        <f>IF($W212="","",INDEX(명단표[구리 근무일(기준월)],$W212))</f>
        <v/>
      </c>
      <c r="W212" s="17">
        <f>IFERROR(MATCH(207,명단표[판정불가순번],0),"")</f>
        <v/>
      </c>
    </row>
    <row r="213">
      <c r="A213">
        <f>IF($P213="","",208)</f>
        <v/>
      </c>
      <c r="B213">
        <f>IF($P213="","",INDEX(명단표[이름],$P213))</f>
        <v/>
      </c>
      <c r="C213">
        <f>IF($P213="","",INDEX(명단표[사번],$P213)&amp;"")</f>
        <v/>
      </c>
      <c r="D213">
        <f>IF($P213="","",INDEX(명단표[전공의등록번호],$P213)&amp;"")</f>
        <v/>
      </c>
      <c r="E213">
        <f>IF($P213="","",INDEX(명단표[수련과목],$P213)&amp;"")</f>
        <v/>
      </c>
      <c r="F213">
        <f>IF($P213="","",INDEX(명단표[연차],$P213)&amp;"")</f>
        <v/>
      </c>
      <c r="G213">
        <f>IF($P213="","",INDEX(명단표[소속병원],$P213))</f>
        <v/>
      </c>
      <c r="H213">
        <f>IF($P213="","",IF(INDEX(명단표[소속병원],$P213)="서울병원","서울 소속","타 병원 소속("&amp;INDEX(명단표[소속병원],$P213)&amp;") → 서울 지급"))</f>
        <v/>
      </c>
      <c r="I213">
        <f>IF($P213="","",INDEX(명단표[현재 근무병원],$P213))</f>
        <v/>
      </c>
      <c r="J213">
        <f>IF($P213="","",INDEX(명단표[구리 근무 시작일(기준월)],$P213)&amp;"")</f>
        <v/>
      </c>
      <c r="K213">
        <f>IF($P213="","",INDEX(명단표[구리 근무 종료일(기준월)],$P213)&amp;"")</f>
        <v/>
      </c>
      <c r="L213">
        <f>IF($P213="","",INDEX(명단표[서울 근무일(기준월)],$P213))</f>
        <v/>
      </c>
      <c r="M213">
        <f>IF($P213="","",INDEX(명단표[구리 근무일(기준월)],$P213))</f>
        <v/>
      </c>
      <c r="N213">
        <f>IF($P213="","",INDEX(명단표[급여 판정 근거],$P213))</f>
        <v/>
      </c>
      <c r="O213">
        <f>IF($P213="","",INDEX(명단표[점검],$P213))</f>
        <v/>
      </c>
      <c r="P213" s="17">
        <f>IFERROR(MATCH(208,명단표[서울순번],0),"")</f>
        <v/>
      </c>
      <c r="R213">
        <f>IF($W213="","",INDEX(명단표[이름],$W213))</f>
        <v/>
      </c>
      <c r="S213">
        <f>IF($W213="","",INDEX(명단표[사번],$W213)&amp;"")</f>
        <v/>
      </c>
      <c r="T213">
        <f>IF($W213="","",INDEX(명단표[소속병원],$W213))</f>
        <v/>
      </c>
      <c r="U213">
        <f>IF($W213="","",INDEX(명단표[서울 근무일(기준월)],$W213))</f>
        <v/>
      </c>
      <c r="V213">
        <f>IF($W213="","",INDEX(명단표[구리 근무일(기준월)],$W213))</f>
        <v/>
      </c>
      <c r="W213" s="17">
        <f>IFERROR(MATCH(208,명단표[판정불가순번],0),"")</f>
        <v/>
      </c>
    </row>
    <row r="214">
      <c r="A214">
        <f>IF($P214="","",209)</f>
        <v/>
      </c>
      <c r="B214">
        <f>IF($P214="","",INDEX(명단표[이름],$P214))</f>
        <v/>
      </c>
      <c r="C214">
        <f>IF($P214="","",INDEX(명단표[사번],$P214)&amp;"")</f>
        <v/>
      </c>
      <c r="D214">
        <f>IF($P214="","",INDEX(명단표[전공의등록번호],$P214)&amp;"")</f>
        <v/>
      </c>
      <c r="E214">
        <f>IF($P214="","",INDEX(명단표[수련과목],$P214)&amp;"")</f>
        <v/>
      </c>
      <c r="F214">
        <f>IF($P214="","",INDEX(명단표[연차],$P214)&amp;"")</f>
        <v/>
      </c>
      <c r="G214">
        <f>IF($P214="","",INDEX(명단표[소속병원],$P214))</f>
        <v/>
      </c>
      <c r="H214">
        <f>IF($P214="","",IF(INDEX(명단표[소속병원],$P214)="서울병원","서울 소속","타 병원 소속("&amp;INDEX(명단표[소속병원],$P214)&amp;") → 서울 지급"))</f>
        <v/>
      </c>
      <c r="I214">
        <f>IF($P214="","",INDEX(명단표[현재 근무병원],$P214))</f>
        <v/>
      </c>
      <c r="J214">
        <f>IF($P214="","",INDEX(명단표[구리 근무 시작일(기준월)],$P214)&amp;"")</f>
        <v/>
      </c>
      <c r="K214">
        <f>IF($P214="","",INDEX(명단표[구리 근무 종료일(기준월)],$P214)&amp;"")</f>
        <v/>
      </c>
      <c r="L214">
        <f>IF($P214="","",INDEX(명단표[서울 근무일(기준월)],$P214))</f>
        <v/>
      </c>
      <c r="M214">
        <f>IF($P214="","",INDEX(명단표[구리 근무일(기준월)],$P214))</f>
        <v/>
      </c>
      <c r="N214">
        <f>IF($P214="","",INDEX(명단표[급여 판정 근거],$P214))</f>
        <v/>
      </c>
      <c r="O214">
        <f>IF($P214="","",INDEX(명단표[점검],$P214))</f>
        <v/>
      </c>
      <c r="P214" s="17">
        <f>IFERROR(MATCH(209,명단표[서울순번],0),"")</f>
        <v/>
      </c>
      <c r="R214">
        <f>IF($W214="","",INDEX(명단표[이름],$W214))</f>
        <v/>
      </c>
      <c r="S214">
        <f>IF($W214="","",INDEX(명단표[사번],$W214)&amp;"")</f>
        <v/>
      </c>
      <c r="T214">
        <f>IF($W214="","",INDEX(명단표[소속병원],$W214))</f>
        <v/>
      </c>
      <c r="U214">
        <f>IF($W214="","",INDEX(명단표[서울 근무일(기준월)],$W214))</f>
        <v/>
      </c>
      <c r="V214">
        <f>IF($W214="","",INDEX(명단표[구리 근무일(기준월)],$W214))</f>
        <v/>
      </c>
      <c r="W214" s="17">
        <f>IFERROR(MATCH(209,명단표[판정불가순번],0),"")</f>
        <v/>
      </c>
    </row>
    <row r="215">
      <c r="A215">
        <f>IF($P215="","",210)</f>
        <v/>
      </c>
      <c r="B215">
        <f>IF($P215="","",INDEX(명단표[이름],$P215))</f>
        <v/>
      </c>
      <c r="C215">
        <f>IF($P215="","",INDEX(명단표[사번],$P215)&amp;"")</f>
        <v/>
      </c>
      <c r="D215">
        <f>IF($P215="","",INDEX(명단표[전공의등록번호],$P215)&amp;"")</f>
        <v/>
      </c>
      <c r="E215">
        <f>IF($P215="","",INDEX(명단표[수련과목],$P215)&amp;"")</f>
        <v/>
      </c>
      <c r="F215">
        <f>IF($P215="","",INDEX(명단표[연차],$P215)&amp;"")</f>
        <v/>
      </c>
      <c r="G215">
        <f>IF($P215="","",INDEX(명단표[소속병원],$P215))</f>
        <v/>
      </c>
      <c r="H215">
        <f>IF($P215="","",IF(INDEX(명단표[소속병원],$P215)="서울병원","서울 소속","타 병원 소속("&amp;INDEX(명단표[소속병원],$P215)&amp;") → 서울 지급"))</f>
        <v/>
      </c>
      <c r="I215">
        <f>IF($P215="","",INDEX(명단표[현재 근무병원],$P215))</f>
        <v/>
      </c>
      <c r="J215">
        <f>IF($P215="","",INDEX(명단표[구리 근무 시작일(기준월)],$P215)&amp;"")</f>
        <v/>
      </c>
      <c r="K215">
        <f>IF($P215="","",INDEX(명단표[구리 근무 종료일(기준월)],$P215)&amp;"")</f>
        <v/>
      </c>
      <c r="L215">
        <f>IF($P215="","",INDEX(명단표[서울 근무일(기준월)],$P215))</f>
        <v/>
      </c>
      <c r="M215">
        <f>IF($P215="","",INDEX(명단표[구리 근무일(기준월)],$P215))</f>
        <v/>
      </c>
      <c r="N215">
        <f>IF($P215="","",INDEX(명단표[급여 판정 근거],$P215))</f>
        <v/>
      </c>
      <c r="O215">
        <f>IF($P215="","",INDEX(명단표[점검],$P215))</f>
        <v/>
      </c>
      <c r="P215" s="17">
        <f>IFERROR(MATCH(210,명단표[서울순번],0),"")</f>
        <v/>
      </c>
      <c r="R215">
        <f>IF($W215="","",INDEX(명단표[이름],$W215))</f>
        <v/>
      </c>
      <c r="S215">
        <f>IF($W215="","",INDEX(명단표[사번],$W215)&amp;"")</f>
        <v/>
      </c>
      <c r="T215">
        <f>IF($W215="","",INDEX(명단표[소속병원],$W215))</f>
        <v/>
      </c>
      <c r="U215">
        <f>IF($W215="","",INDEX(명단표[서울 근무일(기준월)],$W215))</f>
        <v/>
      </c>
      <c r="V215">
        <f>IF($W215="","",INDEX(명단표[구리 근무일(기준월)],$W215))</f>
        <v/>
      </c>
      <c r="W215" s="17">
        <f>IFERROR(MATCH(210,명단표[판정불가순번],0),"")</f>
        <v/>
      </c>
    </row>
    <row r="216">
      <c r="A216">
        <f>IF($P216="","",211)</f>
        <v/>
      </c>
      <c r="B216">
        <f>IF($P216="","",INDEX(명단표[이름],$P216))</f>
        <v/>
      </c>
      <c r="C216">
        <f>IF($P216="","",INDEX(명단표[사번],$P216)&amp;"")</f>
        <v/>
      </c>
      <c r="D216">
        <f>IF($P216="","",INDEX(명단표[전공의등록번호],$P216)&amp;"")</f>
        <v/>
      </c>
      <c r="E216">
        <f>IF($P216="","",INDEX(명단표[수련과목],$P216)&amp;"")</f>
        <v/>
      </c>
      <c r="F216">
        <f>IF($P216="","",INDEX(명단표[연차],$P216)&amp;"")</f>
        <v/>
      </c>
      <c r="G216">
        <f>IF($P216="","",INDEX(명단표[소속병원],$P216))</f>
        <v/>
      </c>
      <c r="H216">
        <f>IF($P216="","",IF(INDEX(명단표[소속병원],$P216)="서울병원","서울 소속","타 병원 소속("&amp;INDEX(명단표[소속병원],$P216)&amp;") → 서울 지급"))</f>
        <v/>
      </c>
      <c r="I216">
        <f>IF($P216="","",INDEX(명단표[현재 근무병원],$P216))</f>
        <v/>
      </c>
      <c r="J216">
        <f>IF($P216="","",INDEX(명단표[구리 근무 시작일(기준월)],$P216)&amp;"")</f>
        <v/>
      </c>
      <c r="K216">
        <f>IF($P216="","",INDEX(명단표[구리 근무 종료일(기준월)],$P216)&amp;"")</f>
        <v/>
      </c>
      <c r="L216">
        <f>IF($P216="","",INDEX(명단표[서울 근무일(기준월)],$P216))</f>
        <v/>
      </c>
      <c r="M216">
        <f>IF($P216="","",INDEX(명단표[구리 근무일(기준월)],$P216))</f>
        <v/>
      </c>
      <c r="N216">
        <f>IF($P216="","",INDEX(명단표[급여 판정 근거],$P216))</f>
        <v/>
      </c>
      <c r="O216">
        <f>IF($P216="","",INDEX(명단표[점검],$P216))</f>
        <v/>
      </c>
      <c r="P216" s="17">
        <f>IFERROR(MATCH(211,명단표[서울순번],0),"")</f>
        <v/>
      </c>
      <c r="R216">
        <f>IF($W216="","",INDEX(명단표[이름],$W216))</f>
        <v/>
      </c>
      <c r="S216">
        <f>IF($W216="","",INDEX(명단표[사번],$W216)&amp;"")</f>
        <v/>
      </c>
      <c r="T216">
        <f>IF($W216="","",INDEX(명단표[소속병원],$W216))</f>
        <v/>
      </c>
      <c r="U216">
        <f>IF($W216="","",INDEX(명단표[서울 근무일(기준월)],$W216))</f>
        <v/>
      </c>
      <c r="V216">
        <f>IF($W216="","",INDEX(명단표[구리 근무일(기준월)],$W216))</f>
        <v/>
      </c>
      <c r="W216" s="17">
        <f>IFERROR(MATCH(211,명단표[판정불가순번],0),"")</f>
        <v/>
      </c>
    </row>
    <row r="217">
      <c r="A217">
        <f>IF($P217="","",212)</f>
        <v/>
      </c>
      <c r="B217">
        <f>IF($P217="","",INDEX(명단표[이름],$P217))</f>
        <v/>
      </c>
      <c r="C217">
        <f>IF($P217="","",INDEX(명단표[사번],$P217)&amp;"")</f>
        <v/>
      </c>
      <c r="D217">
        <f>IF($P217="","",INDEX(명단표[전공의등록번호],$P217)&amp;"")</f>
        <v/>
      </c>
      <c r="E217">
        <f>IF($P217="","",INDEX(명단표[수련과목],$P217)&amp;"")</f>
        <v/>
      </c>
      <c r="F217">
        <f>IF($P217="","",INDEX(명단표[연차],$P217)&amp;"")</f>
        <v/>
      </c>
      <c r="G217">
        <f>IF($P217="","",INDEX(명단표[소속병원],$P217))</f>
        <v/>
      </c>
      <c r="H217">
        <f>IF($P217="","",IF(INDEX(명단표[소속병원],$P217)="서울병원","서울 소속","타 병원 소속("&amp;INDEX(명단표[소속병원],$P217)&amp;") → 서울 지급"))</f>
        <v/>
      </c>
      <c r="I217">
        <f>IF($P217="","",INDEX(명단표[현재 근무병원],$P217))</f>
        <v/>
      </c>
      <c r="J217">
        <f>IF($P217="","",INDEX(명단표[구리 근무 시작일(기준월)],$P217)&amp;"")</f>
        <v/>
      </c>
      <c r="K217">
        <f>IF($P217="","",INDEX(명단표[구리 근무 종료일(기준월)],$P217)&amp;"")</f>
        <v/>
      </c>
      <c r="L217">
        <f>IF($P217="","",INDEX(명단표[서울 근무일(기준월)],$P217))</f>
        <v/>
      </c>
      <c r="M217">
        <f>IF($P217="","",INDEX(명단표[구리 근무일(기준월)],$P217))</f>
        <v/>
      </c>
      <c r="N217">
        <f>IF($P217="","",INDEX(명단표[급여 판정 근거],$P217))</f>
        <v/>
      </c>
      <c r="O217">
        <f>IF($P217="","",INDEX(명단표[점검],$P217))</f>
        <v/>
      </c>
      <c r="P217" s="17">
        <f>IFERROR(MATCH(212,명단표[서울순번],0),"")</f>
        <v/>
      </c>
      <c r="R217">
        <f>IF($W217="","",INDEX(명단표[이름],$W217))</f>
        <v/>
      </c>
      <c r="S217">
        <f>IF($W217="","",INDEX(명단표[사번],$W217)&amp;"")</f>
        <v/>
      </c>
      <c r="T217">
        <f>IF($W217="","",INDEX(명단표[소속병원],$W217))</f>
        <v/>
      </c>
      <c r="U217">
        <f>IF($W217="","",INDEX(명단표[서울 근무일(기준월)],$W217))</f>
        <v/>
      </c>
      <c r="V217">
        <f>IF($W217="","",INDEX(명단표[구리 근무일(기준월)],$W217))</f>
        <v/>
      </c>
      <c r="W217" s="17">
        <f>IFERROR(MATCH(212,명단표[판정불가순번],0),"")</f>
        <v/>
      </c>
    </row>
    <row r="218">
      <c r="A218">
        <f>IF($P218="","",213)</f>
        <v/>
      </c>
      <c r="B218">
        <f>IF($P218="","",INDEX(명단표[이름],$P218))</f>
        <v/>
      </c>
      <c r="C218">
        <f>IF($P218="","",INDEX(명단표[사번],$P218)&amp;"")</f>
        <v/>
      </c>
      <c r="D218">
        <f>IF($P218="","",INDEX(명단표[전공의등록번호],$P218)&amp;"")</f>
        <v/>
      </c>
      <c r="E218">
        <f>IF($P218="","",INDEX(명단표[수련과목],$P218)&amp;"")</f>
        <v/>
      </c>
      <c r="F218">
        <f>IF($P218="","",INDEX(명단표[연차],$P218)&amp;"")</f>
        <v/>
      </c>
      <c r="G218">
        <f>IF($P218="","",INDEX(명단표[소속병원],$P218))</f>
        <v/>
      </c>
      <c r="H218">
        <f>IF($P218="","",IF(INDEX(명단표[소속병원],$P218)="서울병원","서울 소속","타 병원 소속("&amp;INDEX(명단표[소속병원],$P218)&amp;") → 서울 지급"))</f>
        <v/>
      </c>
      <c r="I218">
        <f>IF($P218="","",INDEX(명단표[현재 근무병원],$P218))</f>
        <v/>
      </c>
      <c r="J218">
        <f>IF($P218="","",INDEX(명단표[구리 근무 시작일(기준월)],$P218)&amp;"")</f>
        <v/>
      </c>
      <c r="K218">
        <f>IF($P218="","",INDEX(명단표[구리 근무 종료일(기준월)],$P218)&amp;"")</f>
        <v/>
      </c>
      <c r="L218">
        <f>IF($P218="","",INDEX(명단표[서울 근무일(기준월)],$P218))</f>
        <v/>
      </c>
      <c r="M218">
        <f>IF($P218="","",INDEX(명단표[구리 근무일(기준월)],$P218))</f>
        <v/>
      </c>
      <c r="N218">
        <f>IF($P218="","",INDEX(명단표[급여 판정 근거],$P218))</f>
        <v/>
      </c>
      <c r="O218">
        <f>IF($P218="","",INDEX(명단표[점검],$P218))</f>
        <v/>
      </c>
      <c r="P218" s="17">
        <f>IFERROR(MATCH(213,명단표[서울순번],0),"")</f>
        <v/>
      </c>
      <c r="R218">
        <f>IF($W218="","",INDEX(명단표[이름],$W218))</f>
        <v/>
      </c>
      <c r="S218">
        <f>IF($W218="","",INDEX(명단표[사번],$W218)&amp;"")</f>
        <v/>
      </c>
      <c r="T218">
        <f>IF($W218="","",INDEX(명단표[소속병원],$W218))</f>
        <v/>
      </c>
      <c r="U218">
        <f>IF($W218="","",INDEX(명단표[서울 근무일(기준월)],$W218))</f>
        <v/>
      </c>
      <c r="V218">
        <f>IF($W218="","",INDEX(명단표[구리 근무일(기준월)],$W218))</f>
        <v/>
      </c>
      <c r="W218" s="17">
        <f>IFERROR(MATCH(213,명단표[판정불가순번],0),"")</f>
        <v/>
      </c>
    </row>
    <row r="219">
      <c r="A219">
        <f>IF($P219="","",214)</f>
        <v/>
      </c>
      <c r="B219">
        <f>IF($P219="","",INDEX(명단표[이름],$P219))</f>
        <v/>
      </c>
      <c r="C219">
        <f>IF($P219="","",INDEX(명단표[사번],$P219)&amp;"")</f>
        <v/>
      </c>
      <c r="D219">
        <f>IF($P219="","",INDEX(명단표[전공의등록번호],$P219)&amp;"")</f>
        <v/>
      </c>
      <c r="E219">
        <f>IF($P219="","",INDEX(명단표[수련과목],$P219)&amp;"")</f>
        <v/>
      </c>
      <c r="F219">
        <f>IF($P219="","",INDEX(명단표[연차],$P219)&amp;"")</f>
        <v/>
      </c>
      <c r="G219">
        <f>IF($P219="","",INDEX(명단표[소속병원],$P219))</f>
        <v/>
      </c>
      <c r="H219">
        <f>IF($P219="","",IF(INDEX(명단표[소속병원],$P219)="서울병원","서울 소속","타 병원 소속("&amp;INDEX(명단표[소속병원],$P219)&amp;") → 서울 지급"))</f>
        <v/>
      </c>
      <c r="I219">
        <f>IF($P219="","",INDEX(명단표[현재 근무병원],$P219))</f>
        <v/>
      </c>
      <c r="J219">
        <f>IF($P219="","",INDEX(명단표[구리 근무 시작일(기준월)],$P219)&amp;"")</f>
        <v/>
      </c>
      <c r="K219">
        <f>IF($P219="","",INDEX(명단표[구리 근무 종료일(기준월)],$P219)&amp;"")</f>
        <v/>
      </c>
      <c r="L219">
        <f>IF($P219="","",INDEX(명단표[서울 근무일(기준월)],$P219))</f>
        <v/>
      </c>
      <c r="M219">
        <f>IF($P219="","",INDEX(명단표[구리 근무일(기준월)],$P219))</f>
        <v/>
      </c>
      <c r="N219">
        <f>IF($P219="","",INDEX(명단표[급여 판정 근거],$P219))</f>
        <v/>
      </c>
      <c r="O219">
        <f>IF($P219="","",INDEX(명단표[점검],$P219))</f>
        <v/>
      </c>
      <c r="P219" s="17">
        <f>IFERROR(MATCH(214,명단표[서울순번],0),"")</f>
        <v/>
      </c>
      <c r="R219">
        <f>IF($W219="","",INDEX(명단표[이름],$W219))</f>
        <v/>
      </c>
      <c r="S219">
        <f>IF($W219="","",INDEX(명단표[사번],$W219)&amp;"")</f>
        <v/>
      </c>
      <c r="T219">
        <f>IF($W219="","",INDEX(명단표[소속병원],$W219))</f>
        <v/>
      </c>
      <c r="U219">
        <f>IF($W219="","",INDEX(명단표[서울 근무일(기준월)],$W219))</f>
        <v/>
      </c>
      <c r="V219">
        <f>IF($W219="","",INDEX(명단표[구리 근무일(기준월)],$W219))</f>
        <v/>
      </c>
      <c r="W219" s="17">
        <f>IFERROR(MATCH(214,명단표[판정불가순번],0),"")</f>
        <v/>
      </c>
    </row>
    <row r="220">
      <c r="A220">
        <f>IF($P220="","",215)</f>
        <v/>
      </c>
      <c r="B220">
        <f>IF($P220="","",INDEX(명단표[이름],$P220))</f>
        <v/>
      </c>
      <c r="C220">
        <f>IF($P220="","",INDEX(명단표[사번],$P220)&amp;"")</f>
        <v/>
      </c>
      <c r="D220">
        <f>IF($P220="","",INDEX(명단표[전공의등록번호],$P220)&amp;"")</f>
        <v/>
      </c>
      <c r="E220">
        <f>IF($P220="","",INDEX(명단표[수련과목],$P220)&amp;"")</f>
        <v/>
      </c>
      <c r="F220">
        <f>IF($P220="","",INDEX(명단표[연차],$P220)&amp;"")</f>
        <v/>
      </c>
      <c r="G220">
        <f>IF($P220="","",INDEX(명단표[소속병원],$P220))</f>
        <v/>
      </c>
      <c r="H220">
        <f>IF($P220="","",IF(INDEX(명단표[소속병원],$P220)="서울병원","서울 소속","타 병원 소속("&amp;INDEX(명단표[소속병원],$P220)&amp;") → 서울 지급"))</f>
        <v/>
      </c>
      <c r="I220">
        <f>IF($P220="","",INDEX(명단표[현재 근무병원],$P220))</f>
        <v/>
      </c>
      <c r="J220">
        <f>IF($P220="","",INDEX(명단표[구리 근무 시작일(기준월)],$P220)&amp;"")</f>
        <v/>
      </c>
      <c r="K220">
        <f>IF($P220="","",INDEX(명단표[구리 근무 종료일(기준월)],$P220)&amp;"")</f>
        <v/>
      </c>
      <c r="L220">
        <f>IF($P220="","",INDEX(명단표[서울 근무일(기준월)],$P220))</f>
        <v/>
      </c>
      <c r="M220">
        <f>IF($P220="","",INDEX(명단표[구리 근무일(기준월)],$P220))</f>
        <v/>
      </c>
      <c r="N220">
        <f>IF($P220="","",INDEX(명단표[급여 판정 근거],$P220))</f>
        <v/>
      </c>
      <c r="O220">
        <f>IF($P220="","",INDEX(명단표[점검],$P220))</f>
        <v/>
      </c>
      <c r="P220" s="17">
        <f>IFERROR(MATCH(215,명단표[서울순번],0),"")</f>
        <v/>
      </c>
      <c r="R220">
        <f>IF($W220="","",INDEX(명단표[이름],$W220))</f>
        <v/>
      </c>
      <c r="S220">
        <f>IF($W220="","",INDEX(명단표[사번],$W220)&amp;"")</f>
        <v/>
      </c>
      <c r="T220">
        <f>IF($W220="","",INDEX(명단표[소속병원],$W220))</f>
        <v/>
      </c>
      <c r="U220">
        <f>IF($W220="","",INDEX(명단표[서울 근무일(기준월)],$W220))</f>
        <v/>
      </c>
      <c r="V220">
        <f>IF($W220="","",INDEX(명단표[구리 근무일(기준월)],$W220))</f>
        <v/>
      </c>
      <c r="W220" s="17">
        <f>IFERROR(MATCH(215,명단표[판정불가순번],0),"")</f>
        <v/>
      </c>
    </row>
    <row r="221">
      <c r="A221">
        <f>IF($P221="","",216)</f>
        <v/>
      </c>
      <c r="B221">
        <f>IF($P221="","",INDEX(명단표[이름],$P221))</f>
        <v/>
      </c>
      <c r="C221">
        <f>IF($P221="","",INDEX(명단표[사번],$P221)&amp;"")</f>
        <v/>
      </c>
      <c r="D221">
        <f>IF($P221="","",INDEX(명단표[전공의등록번호],$P221)&amp;"")</f>
        <v/>
      </c>
      <c r="E221">
        <f>IF($P221="","",INDEX(명단표[수련과목],$P221)&amp;"")</f>
        <v/>
      </c>
      <c r="F221">
        <f>IF($P221="","",INDEX(명단표[연차],$P221)&amp;"")</f>
        <v/>
      </c>
      <c r="G221">
        <f>IF($P221="","",INDEX(명단표[소속병원],$P221))</f>
        <v/>
      </c>
      <c r="H221">
        <f>IF($P221="","",IF(INDEX(명단표[소속병원],$P221)="서울병원","서울 소속","타 병원 소속("&amp;INDEX(명단표[소속병원],$P221)&amp;") → 서울 지급"))</f>
        <v/>
      </c>
      <c r="I221">
        <f>IF($P221="","",INDEX(명단표[현재 근무병원],$P221))</f>
        <v/>
      </c>
      <c r="J221">
        <f>IF($P221="","",INDEX(명단표[구리 근무 시작일(기준월)],$P221)&amp;"")</f>
        <v/>
      </c>
      <c r="K221">
        <f>IF($P221="","",INDEX(명단표[구리 근무 종료일(기준월)],$P221)&amp;"")</f>
        <v/>
      </c>
      <c r="L221">
        <f>IF($P221="","",INDEX(명단표[서울 근무일(기준월)],$P221))</f>
        <v/>
      </c>
      <c r="M221">
        <f>IF($P221="","",INDEX(명단표[구리 근무일(기준월)],$P221))</f>
        <v/>
      </c>
      <c r="N221">
        <f>IF($P221="","",INDEX(명단표[급여 판정 근거],$P221))</f>
        <v/>
      </c>
      <c r="O221">
        <f>IF($P221="","",INDEX(명단표[점검],$P221))</f>
        <v/>
      </c>
      <c r="P221" s="17">
        <f>IFERROR(MATCH(216,명단표[서울순번],0),"")</f>
        <v/>
      </c>
      <c r="R221">
        <f>IF($W221="","",INDEX(명단표[이름],$W221))</f>
        <v/>
      </c>
      <c r="S221">
        <f>IF($W221="","",INDEX(명단표[사번],$W221)&amp;"")</f>
        <v/>
      </c>
      <c r="T221">
        <f>IF($W221="","",INDEX(명단표[소속병원],$W221))</f>
        <v/>
      </c>
      <c r="U221">
        <f>IF($W221="","",INDEX(명단표[서울 근무일(기준월)],$W221))</f>
        <v/>
      </c>
      <c r="V221">
        <f>IF($W221="","",INDEX(명단표[구리 근무일(기준월)],$W221))</f>
        <v/>
      </c>
      <c r="W221" s="17">
        <f>IFERROR(MATCH(216,명단표[판정불가순번],0),"")</f>
        <v/>
      </c>
    </row>
    <row r="222">
      <c r="A222">
        <f>IF($P222="","",217)</f>
        <v/>
      </c>
      <c r="B222">
        <f>IF($P222="","",INDEX(명단표[이름],$P222))</f>
        <v/>
      </c>
      <c r="C222">
        <f>IF($P222="","",INDEX(명단표[사번],$P222)&amp;"")</f>
        <v/>
      </c>
      <c r="D222">
        <f>IF($P222="","",INDEX(명단표[전공의등록번호],$P222)&amp;"")</f>
        <v/>
      </c>
      <c r="E222">
        <f>IF($P222="","",INDEX(명단표[수련과목],$P222)&amp;"")</f>
        <v/>
      </c>
      <c r="F222">
        <f>IF($P222="","",INDEX(명단표[연차],$P222)&amp;"")</f>
        <v/>
      </c>
      <c r="G222">
        <f>IF($P222="","",INDEX(명단표[소속병원],$P222))</f>
        <v/>
      </c>
      <c r="H222">
        <f>IF($P222="","",IF(INDEX(명단표[소속병원],$P222)="서울병원","서울 소속","타 병원 소속("&amp;INDEX(명단표[소속병원],$P222)&amp;") → 서울 지급"))</f>
        <v/>
      </c>
      <c r="I222">
        <f>IF($P222="","",INDEX(명단표[현재 근무병원],$P222))</f>
        <v/>
      </c>
      <c r="J222">
        <f>IF($P222="","",INDEX(명단표[구리 근무 시작일(기준월)],$P222)&amp;"")</f>
        <v/>
      </c>
      <c r="K222">
        <f>IF($P222="","",INDEX(명단표[구리 근무 종료일(기준월)],$P222)&amp;"")</f>
        <v/>
      </c>
      <c r="L222">
        <f>IF($P222="","",INDEX(명단표[서울 근무일(기준월)],$P222))</f>
        <v/>
      </c>
      <c r="M222">
        <f>IF($P222="","",INDEX(명단표[구리 근무일(기준월)],$P222))</f>
        <v/>
      </c>
      <c r="N222">
        <f>IF($P222="","",INDEX(명단표[급여 판정 근거],$P222))</f>
        <v/>
      </c>
      <c r="O222">
        <f>IF($P222="","",INDEX(명단표[점검],$P222))</f>
        <v/>
      </c>
      <c r="P222" s="17">
        <f>IFERROR(MATCH(217,명단표[서울순번],0),"")</f>
        <v/>
      </c>
      <c r="R222">
        <f>IF($W222="","",INDEX(명단표[이름],$W222))</f>
        <v/>
      </c>
      <c r="S222">
        <f>IF($W222="","",INDEX(명단표[사번],$W222)&amp;"")</f>
        <v/>
      </c>
      <c r="T222">
        <f>IF($W222="","",INDEX(명단표[소속병원],$W222))</f>
        <v/>
      </c>
      <c r="U222">
        <f>IF($W222="","",INDEX(명단표[서울 근무일(기준월)],$W222))</f>
        <v/>
      </c>
      <c r="V222">
        <f>IF($W222="","",INDEX(명단표[구리 근무일(기준월)],$W222))</f>
        <v/>
      </c>
      <c r="W222" s="17">
        <f>IFERROR(MATCH(217,명단표[판정불가순번],0),"")</f>
        <v/>
      </c>
    </row>
    <row r="223">
      <c r="A223">
        <f>IF($P223="","",218)</f>
        <v/>
      </c>
      <c r="B223">
        <f>IF($P223="","",INDEX(명단표[이름],$P223))</f>
        <v/>
      </c>
      <c r="C223">
        <f>IF($P223="","",INDEX(명단표[사번],$P223)&amp;"")</f>
        <v/>
      </c>
      <c r="D223">
        <f>IF($P223="","",INDEX(명단표[전공의등록번호],$P223)&amp;"")</f>
        <v/>
      </c>
      <c r="E223">
        <f>IF($P223="","",INDEX(명단표[수련과목],$P223)&amp;"")</f>
        <v/>
      </c>
      <c r="F223">
        <f>IF($P223="","",INDEX(명단표[연차],$P223)&amp;"")</f>
        <v/>
      </c>
      <c r="G223">
        <f>IF($P223="","",INDEX(명단표[소속병원],$P223))</f>
        <v/>
      </c>
      <c r="H223">
        <f>IF($P223="","",IF(INDEX(명단표[소속병원],$P223)="서울병원","서울 소속","타 병원 소속("&amp;INDEX(명단표[소속병원],$P223)&amp;") → 서울 지급"))</f>
        <v/>
      </c>
      <c r="I223">
        <f>IF($P223="","",INDEX(명단표[현재 근무병원],$P223))</f>
        <v/>
      </c>
      <c r="J223">
        <f>IF($P223="","",INDEX(명단표[구리 근무 시작일(기준월)],$P223)&amp;"")</f>
        <v/>
      </c>
      <c r="K223">
        <f>IF($P223="","",INDEX(명단표[구리 근무 종료일(기준월)],$P223)&amp;"")</f>
        <v/>
      </c>
      <c r="L223">
        <f>IF($P223="","",INDEX(명단표[서울 근무일(기준월)],$P223))</f>
        <v/>
      </c>
      <c r="M223">
        <f>IF($P223="","",INDEX(명단표[구리 근무일(기준월)],$P223))</f>
        <v/>
      </c>
      <c r="N223">
        <f>IF($P223="","",INDEX(명단표[급여 판정 근거],$P223))</f>
        <v/>
      </c>
      <c r="O223">
        <f>IF($P223="","",INDEX(명단표[점검],$P223))</f>
        <v/>
      </c>
      <c r="P223" s="17">
        <f>IFERROR(MATCH(218,명단표[서울순번],0),"")</f>
        <v/>
      </c>
      <c r="R223">
        <f>IF($W223="","",INDEX(명단표[이름],$W223))</f>
        <v/>
      </c>
      <c r="S223">
        <f>IF($W223="","",INDEX(명단표[사번],$W223)&amp;"")</f>
        <v/>
      </c>
      <c r="T223">
        <f>IF($W223="","",INDEX(명단표[소속병원],$W223))</f>
        <v/>
      </c>
      <c r="U223">
        <f>IF($W223="","",INDEX(명단표[서울 근무일(기준월)],$W223))</f>
        <v/>
      </c>
      <c r="V223">
        <f>IF($W223="","",INDEX(명단표[구리 근무일(기준월)],$W223))</f>
        <v/>
      </c>
      <c r="W223" s="17">
        <f>IFERROR(MATCH(218,명단표[판정불가순번],0),"")</f>
        <v/>
      </c>
    </row>
    <row r="224">
      <c r="A224">
        <f>IF($P224="","",219)</f>
        <v/>
      </c>
      <c r="B224">
        <f>IF($P224="","",INDEX(명단표[이름],$P224))</f>
        <v/>
      </c>
      <c r="C224">
        <f>IF($P224="","",INDEX(명단표[사번],$P224)&amp;"")</f>
        <v/>
      </c>
      <c r="D224">
        <f>IF($P224="","",INDEX(명단표[전공의등록번호],$P224)&amp;"")</f>
        <v/>
      </c>
      <c r="E224">
        <f>IF($P224="","",INDEX(명단표[수련과목],$P224)&amp;"")</f>
        <v/>
      </c>
      <c r="F224">
        <f>IF($P224="","",INDEX(명단표[연차],$P224)&amp;"")</f>
        <v/>
      </c>
      <c r="G224">
        <f>IF($P224="","",INDEX(명단표[소속병원],$P224))</f>
        <v/>
      </c>
      <c r="H224">
        <f>IF($P224="","",IF(INDEX(명단표[소속병원],$P224)="서울병원","서울 소속","타 병원 소속("&amp;INDEX(명단표[소속병원],$P224)&amp;") → 서울 지급"))</f>
        <v/>
      </c>
      <c r="I224">
        <f>IF($P224="","",INDEX(명단표[현재 근무병원],$P224))</f>
        <v/>
      </c>
      <c r="J224">
        <f>IF($P224="","",INDEX(명단표[구리 근무 시작일(기준월)],$P224)&amp;"")</f>
        <v/>
      </c>
      <c r="K224">
        <f>IF($P224="","",INDEX(명단표[구리 근무 종료일(기준월)],$P224)&amp;"")</f>
        <v/>
      </c>
      <c r="L224">
        <f>IF($P224="","",INDEX(명단표[서울 근무일(기준월)],$P224))</f>
        <v/>
      </c>
      <c r="M224">
        <f>IF($P224="","",INDEX(명단표[구리 근무일(기준월)],$P224))</f>
        <v/>
      </c>
      <c r="N224">
        <f>IF($P224="","",INDEX(명단표[급여 판정 근거],$P224))</f>
        <v/>
      </c>
      <c r="O224">
        <f>IF($P224="","",INDEX(명단표[점검],$P224))</f>
        <v/>
      </c>
      <c r="P224" s="17">
        <f>IFERROR(MATCH(219,명단표[서울순번],0),"")</f>
        <v/>
      </c>
      <c r="R224">
        <f>IF($W224="","",INDEX(명단표[이름],$W224))</f>
        <v/>
      </c>
      <c r="S224">
        <f>IF($W224="","",INDEX(명단표[사번],$W224)&amp;"")</f>
        <v/>
      </c>
      <c r="T224">
        <f>IF($W224="","",INDEX(명단표[소속병원],$W224))</f>
        <v/>
      </c>
      <c r="U224">
        <f>IF($W224="","",INDEX(명단표[서울 근무일(기준월)],$W224))</f>
        <v/>
      </c>
      <c r="V224">
        <f>IF($W224="","",INDEX(명단표[구리 근무일(기준월)],$W224))</f>
        <v/>
      </c>
      <c r="W224" s="17">
        <f>IFERROR(MATCH(219,명단표[판정불가순번],0),"")</f>
        <v/>
      </c>
    </row>
    <row r="225">
      <c r="A225">
        <f>IF($P225="","",220)</f>
        <v/>
      </c>
      <c r="B225">
        <f>IF($P225="","",INDEX(명단표[이름],$P225))</f>
        <v/>
      </c>
      <c r="C225">
        <f>IF($P225="","",INDEX(명단표[사번],$P225)&amp;"")</f>
        <v/>
      </c>
      <c r="D225">
        <f>IF($P225="","",INDEX(명단표[전공의등록번호],$P225)&amp;"")</f>
        <v/>
      </c>
      <c r="E225">
        <f>IF($P225="","",INDEX(명단표[수련과목],$P225)&amp;"")</f>
        <v/>
      </c>
      <c r="F225">
        <f>IF($P225="","",INDEX(명단표[연차],$P225)&amp;"")</f>
        <v/>
      </c>
      <c r="G225">
        <f>IF($P225="","",INDEX(명단표[소속병원],$P225))</f>
        <v/>
      </c>
      <c r="H225">
        <f>IF($P225="","",IF(INDEX(명단표[소속병원],$P225)="서울병원","서울 소속","타 병원 소속("&amp;INDEX(명단표[소속병원],$P225)&amp;") → 서울 지급"))</f>
        <v/>
      </c>
      <c r="I225">
        <f>IF($P225="","",INDEX(명단표[현재 근무병원],$P225))</f>
        <v/>
      </c>
      <c r="J225">
        <f>IF($P225="","",INDEX(명단표[구리 근무 시작일(기준월)],$P225)&amp;"")</f>
        <v/>
      </c>
      <c r="K225">
        <f>IF($P225="","",INDEX(명단표[구리 근무 종료일(기준월)],$P225)&amp;"")</f>
        <v/>
      </c>
      <c r="L225">
        <f>IF($P225="","",INDEX(명단표[서울 근무일(기준월)],$P225))</f>
        <v/>
      </c>
      <c r="M225">
        <f>IF($P225="","",INDEX(명단표[구리 근무일(기준월)],$P225))</f>
        <v/>
      </c>
      <c r="N225">
        <f>IF($P225="","",INDEX(명단표[급여 판정 근거],$P225))</f>
        <v/>
      </c>
      <c r="O225">
        <f>IF($P225="","",INDEX(명단표[점검],$P225))</f>
        <v/>
      </c>
      <c r="P225" s="17">
        <f>IFERROR(MATCH(220,명단표[서울순번],0),"")</f>
        <v/>
      </c>
      <c r="R225">
        <f>IF($W225="","",INDEX(명단표[이름],$W225))</f>
        <v/>
      </c>
      <c r="S225">
        <f>IF($W225="","",INDEX(명단표[사번],$W225)&amp;"")</f>
        <v/>
      </c>
      <c r="T225">
        <f>IF($W225="","",INDEX(명단표[소속병원],$W225))</f>
        <v/>
      </c>
      <c r="U225">
        <f>IF($W225="","",INDEX(명단표[서울 근무일(기준월)],$W225))</f>
        <v/>
      </c>
      <c r="V225">
        <f>IF($W225="","",INDEX(명단표[구리 근무일(기준월)],$W225))</f>
        <v/>
      </c>
      <c r="W225" s="17">
        <f>IFERROR(MATCH(220,명단표[판정불가순번],0),"")</f>
        <v/>
      </c>
    </row>
    <row r="226">
      <c r="A226">
        <f>IF($P226="","",221)</f>
        <v/>
      </c>
      <c r="B226">
        <f>IF($P226="","",INDEX(명단표[이름],$P226))</f>
        <v/>
      </c>
      <c r="C226">
        <f>IF($P226="","",INDEX(명단표[사번],$P226)&amp;"")</f>
        <v/>
      </c>
      <c r="D226">
        <f>IF($P226="","",INDEX(명단표[전공의등록번호],$P226)&amp;"")</f>
        <v/>
      </c>
      <c r="E226">
        <f>IF($P226="","",INDEX(명단표[수련과목],$P226)&amp;"")</f>
        <v/>
      </c>
      <c r="F226">
        <f>IF($P226="","",INDEX(명단표[연차],$P226)&amp;"")</f>
        <v/>
      </c>
      <c r="G226">
        <f>IF($P226="","",INDEX(명단표[소속병원],$P226))</f>
        <v/>
      </c>
      <c r="H226">
        <f>IF($P226="","",IF(INDEX(명단표[소속병원],$P226)="서울병원","서울 소속","타 병원 소속("&amp;INDEX(명단표[소속병원],$P226)&amp;") → 서울 지급"))</f>
        <v/>
      </c>
      <c r="I226">
        <f>IF($P226="","",INDEX(명단표[현재 근무병원],$P226))</f>
        <v/>
      </c>
      <c r="J226">
        <f>IF($P226="","",INDEX(명단표[구리 근무 시작일(기준월)],$P226)&amp;"")</f>
        <v/>
      </c>
      <c r="K226">
        <f>IF($P226="","",INDEX(명단표[구리 근무 종료일(기준월)],$P226)&amp;"")</f>
        <v/>
      </c>
      <c r="L226">
        <f>IF($P226="","",INDEX(명단표[서울 근무일(기준월)],$P226))</f>
        <v/>
      </c>
      <c r="M226">
        <f>IF($P226="","",INDEX(명단표[구리 근무일(기준월)],$P226))</f>
        <v/>
      </c>
      <c r="N226">
        <f>IF($P226="","",INDEX(명단표[급여 판정 근거],$P226))</f>
        <v/>
      </c>
      <c r="O226">
        <f>IF($P226="","",INDEX(명단표[점검],$P226))</f>
        <v/>
      </c>
      <c r="P226" s="17">
        <f>IFERROR(MATCH(221,명단표[서울순번],0),"")</f>
        <v/>
      </c>
      <c r="R226">
        <f>IF($W226="","",INDEX(명단표[이름],$W226))</f>
        <v/>
      </c>
      <c r="S226">
        <f>IF($W226="","",INDEX(명단표[사번],$W226)&amp;"")</f>
        <v/>
      </c>
      <c r="T226">
        <f>IF($W226="","",INDEX(명단표[소속병원],$W226))</f>
        <v/>
      </c>
      <c r="U226">
        <f>IF($W226="","",INDEX(명단표[서울 근무일(기준월)],$W226))</f>
        <v/>
      </c>
      <c r="V226">
        <f>IF($W226="","",INDEX(명단표[구리 근무일(기준월)],$W226))</f>
        <v/>
      </c>
      <c r="W226" s="17">
        <f>IFERROR(MATCH(221,명단표[판정불가순번],0),"")</f>
        <v/>
      </c>
    </row>
    <row r="227">
      <c r="A227">
        <f>IF($P227="","",222)</f>
        <v/>
      </c>
      <c r="B227">
        <f>IF($P227="","",INDEX(명단표[이름],$P227))</f>
        <v/>
      </c>
      <c r="C227">
        <f>IF($P227="","",INDEX(명단표[사번],$P227)&amp;"")</f>
        <v/>
      </c>
      <c r="D227">
        <f>IF($P227="","",INDEX(명단표[전공의등록번호],$P227)&amp;"")</f>
        <v/>
      </c>
      <c r="E227">
        <f>IF($P227="","",INDEX(명단표[수련과목],$P227)&amp;"")</f>
        <v/>
      </c>
      <c r="F227">
        <f>IF($P227="","",INDEX(명단표[연차],$P227)&amp;"")</f>
        <v/>
      </c>
      <c r="G227">
        <f>IF($P227="","",INDEX(명단표[소속병원],$P227))</f>
        <v/>
      </c>
      <c r="H227">
        <f>IF($P227="","",IF(INDEX(명단표[소속병원],$P227)="서울병원","서울 소속","타 병원 소속("&amp;INDEX(명단표[소속병원],$P227)&amp;") → 서울 지급"))</f>
        <v/>
      </c>
      <c r="I227">
        <f>IF($P227="","",INDEX(명단표[현재 근무병원],$P227))</f>
        <v/>
      </c>
      <c r="J227">
        <f>IF($P227="","",INDEX(명단표[구리 근무 시작일(기준월)],$P227)&amp;"")</f>
        <v/>
      </c>
      <c r="K227">
        <f>IF($P227="","",INDEX(명단표[구리 근무 종료일(기준월)],$P227)&amp;"")</f>
        <v/>
      </c>
      <c r="L227">
        <f>IF($P227="","",INDEX(명단표[서울 근무일(기준월)],$P227))</f>
        <v/>
      </c>
      <c r="M227">
        <f>IF($P227="","",INDEX(명단표[구리 근무일(기준월)],$P227))</f>
        <v/>
      </c>
      <c r="N227">
        <f>IF($P227="","",INDEX(명단표[급여 판정 근거],$P227))</f>
        <v/>
      </c>
      <c r="O227">
        <f>IF($P227="","",INDEX(명단표[점검],$P227))</f>
        <v/>
      </c>
      <c r="P227" s="17">
        <f>IFERROR(MATCH(222,명단표[서울순번],0),"")</f>
        <v/>
      </c>
      <c r="R227">
        <f>IF($W227="","",INDEX(명단표[이름],$W227))</f>
        <v/>
      </c>
      <c r="S227">
        <f>IF($W227="","",INDEX(명단표[사번],$W227)&amp;"")</f>
        <v/>
      </c>
      <c r="T227">
        <f>IF($W227="","",INDEX(명단표[소속병원],$W227))</f>
        <v/>
      </c>
      <c r="U227">
        <f>IF($W227="","",INDEX(명단표[서울 근무일(기준월)],$W227))</f>
        <v/>
      </c>
      <c r="V227">
        <f>IF($W227="","",INDEX(명단표[구리 근무일(기준월)],$W227))</f>
        <v/>
      </c>
      <c r="W227" s="17">
        <f>IFERROR(MATCH(222,명단표[판정불가순번],0),"")</f>
        <v/>
      </c>
    </row>
    <row r="228">
      <c r="A228">
        <f>IF($P228="","",223)</f>
        <v/>
      </c>
      <c r="B228">
        <f>IF($P228="","",INDEX(명단표[이름],$P228))</f>
        <v/>
      </c>
      <c r="C228">
        <f>IF($P228="","",INDEX(명단표[사번],$P228)&amp;"")</f>
        <v/>
      </c>
      <c r="D228">
        <f>IF($P228="","",INDEX(명단표[전공의등록번호],$P228)&amp;"")</f>
        <v/>
      </c>
      <c r="E228">
        <f>IF($P228="","",INDEX(명단표[수련과목],$P228)&amp;"")</f>
        <v/>
      </c>
      <c r="F228">
        <f>IF($P228="","",INDEX(명단표[연차],$P228)&amp;"")</f>
        <v/>
      </c>
      <c r="G228">
        <f>IF($P228="","",INDEX(명단표[소속병원],$P228))</f>
        <v/>
      </c>
      <c r="H228">
        <f>IF($P228="","",IF(INDEX(명단표[소속병원],$P228)="서울병원","서울 소속","타 병원 소속("&amp;INDEX(명단표[소속병원],$P228)&amp;") → 서울 지급"))</f>
        <v/>
      </c>
      <c r="I228">
        <f>IF($P228="","",INDEX(명단표[현재 근무병원],$P228))</f>
        <v/>
      </c>
      <c r="J228">
        <f>IF($P228="","",INDEX(명단표[구리 근무 시작일(기준월)],$P228)&amp;"")</f>
        <v/>
      </c>
      <c r="K228">
        <f>IF($P228="","",INDEX(명단표[구리 근무 종료일(기준월)],$P228)&amp;"")</f>
        <v/>
      </c>
      <c r="L228">
        <f>IF($P228="","",INDEX(명단표[서울 근무일(기준월)],$P228))</f>
        <v/>
      </c>
      <c r="M228">
        <f>IF($P228="","",INDEX(명단표[구리 근무일(기준월)],$P228))</f>
        <v/>
      </c>
      <c r="N228">
        <f>IF($P228="","",INDEX(명단표[급여 판정 근거],$P228))</f>
        <v/>
      </c>
      <c r="O228">
        <f>IF($P228="","",INDEX(명단표[점검],$P228))</f>
        <v/>
      </c>
      <c r="P228" s="17">
        <f>IFERROR(MATCH(223,명단표[서울순번],0),"")</f>
        <v/>
      </c>
      <c r="R228">
        <f>IF($W228="","",INDEX(명단표[이름],$W228))</f>
        <v/>
      </c>
      <c r="S228">
        <f>IF($W228="","",INDEX(명단표[사번],$W228)&amp;"")</f>
        <v/>
      </c>
      <c r="T228">
        <f>IF($W228="","",INDEX(명단표[소속병원],$W228))</f>
        <v/>
      </c>
      <c r="U228">
        <f>IF($W228="","",INDEX(명단표[서울 근무일(기준월)],$W228))</f>
        <v/>
      </c>
      <c r="V228">
        <f>IF($W228="","",INDEX(명단표[구리 근무일(기준월)],$W228))</f>
        <v/>
      </c>
      <c r="W228" s="17">
        <f>IFERROR(MATCH(223,명단표[판정불가순번],0),"")</f>
        <v/>
      </c>
    </row>
    <row r="229">
      <c r="A229">
        <f>IF($P229="","",224)</f>
        <v/>
      </c>
      <c r="B229">
        <f>IF($P229="","",INDEX(명단표[이름],$P229))</f>
        <v/>
      </c>
      <c r="C229">
        <f>IF($P229="","",INDEX(명단표[사번],$P229)&amp;"")</f>
        <v/>
      </c>
      <c r="D229">
        <f>IF($P229="","",INDEX(명단표[전공의등록번호],$P229)&amp;"")</f>
        <v/>
      </c>
      <c r="E229">
        <f>IF($P229="","",INDEX(명단표[수련과목],$P229)&amp;"")</f>
        <v/>
      </c>
      <c r="F229">
        <f>IF($P229="","",INDEX(명단표[연차],$P229)&amp;"")</f>
        <v/>
      </c>
      <c r="G229">
        <f>IF($P229="","",INDEX(명단표[소속병원],$P229))</f>
        <v/>
      </c>
      <c r="H229">
        <f>IF($P229="","",IF(INDEX(명단표[소속병원],$P229)="서울병원","서울 소속","타 병원 소속("&amp;INDEX(명단표[소속병원],$P229)&amp;") → 서울 지급"))</f>
        <v/>
      </c>
      <c r="I229">
        <f>IF($P229="","",INDEX(명단표[현재 근무병원],$P229))</f>
        <v/>
      </c>
      <c r="J229">
        <f>IF($P229="","",INDEX(명단표[구리 근무 시작일(기준월)],$P229)&amp;"")</f>
        <v/>
      </c>
      <c r="K229">
        <f>IF($P229="","",INDEX(명단표[구리 근무 종료일(기준월)],$P229)&amp;"")</f>
        <v/>
      </c>
      <c r="L229">
        <f>IF($P229="","",INDEX(명단표[서울 근무일(기준월)],$P229))</f>
        <v/>
      </c>
      <c r="M229">
        <f>IF($P229="","",INDEX(명단표[구리 근무일(기준월)],$P229))</f>
        <v/>
      </c>
      <c r="N229">
        <f>IF($P229="","",INDEX(명단표[급여 판정 근거],$P229))</f>
        <v/>
      </c>
      <c r="O229">
        <f>IF($P229="","",INDEX(명단표[점검],$P229))</f>
        <v/>
      </c>
      <c r="P229" s="17">
        <f>IFERROR(MATCH(224,명단표[서울순번],0),"")</f>
        <v/>
      </c>
      <c r="R229">
        <f>IF($W229="","",INDEX(명단표[이름],$W229))</f>
        <v/>
      </c>
      <c r="S229">
        <f>IF($W229="","",INDEX(명단표[사번],$W229)&amp;"")</f>
        <v/>
      </c>
      <c r="T229">
        <f>IF($W229="","",INDEX(명단표[소속병원],$W229))</f>
        <v/>
      </c>
      <c r="U229">
        <f>IF($W229="","",INDEX(명단표[서울 근무일(기준월)],$W229))</f>
        <v/>
      </c>
      <c r="V229">
        <f>IF($W229="","",INDEX(명단표[구리 근무일(기준월)],$W229))</f>
        <v/>
      </c>
      <c r="W229" s="17">
        <f>IFERROR(MATCH(224,명단표[판정불가순번],0),"")</f>
        <v/>
      </c>
    </row>
    <row r="230">
      <c r="A230">
        <f>IF($P230="","",225)</f>
        <v/>
      </c>
      <c r="B230">
        <f>IF($P230="","",INDEX(명단표[이름],$P230))</f>
        <v/>
      </c>
      <c r="C230">
        <f>IF($P230="","",INDEX(명단표[사번],$P230)&amp;"")</f>
        <v/>
      </c>
      <c r="D230">
        <f>IF($P230="","",INDEX(명단표[전공의등록번호],$P230)&amp;"")</f>
        <v/>
      </c>
      <c r="E230">
        <f>IF($P230="","",INDEX(명단표[수련과목],$P230)&amp;"")</f>
        <v/>
      </c>
      <c r="F230">
        <f>IF($P230="","",INDEX(명단표[연차],$P230)&amp;"")</f>
        <v/>
      </c>
      <c r="G230">
        <f>IF($P230="","",INDEX(명단표[소속병원],$P230))</f>
        <v/>
      </c>
      <c r="H230">
        <f>IF($P230="","",IF(INDEX(명단표[소속병원],$P230)="서울병원","서울 소속","타 병원 소속("&amp;INDEX(명단표[소속병원],$P230)&amp;") → 서울 지급"))</f>
        <v/>
      </c>
      <c r="I230">
        <f>IF($P230="","",INDEX(명단표[현재 근무병원],$P230))</f>
        <v/>
      </c>
      <c r="J230">
        <f>IF($P230="","",INDEX(명단표[구리 근무 시작일(기준월)],$P230)&amp;"")</f>
        <v/>
      </c>
      <c r="K230">
        <f>IF($P230="","",INDEX(명단표[구리 근무 종료일(기준월)],$P230)&amp;"")</f>
        <v/>
      </c>
      <c r="L230">
        <f>IF($P230="","",INDEX(명단표[서울 근무일(기준월)],$P230))</f>
        <v/>
      </c>
      <c r="M230">
        <f>IF($P230="","",INDEX(명단표[구리 근무일(기준월)],$P230))</f>
        <v/>
      </c>
      <c r="N230">
        <f>IF($P230="","",INDEX(명단표[급여 판정 근거],$P230))</f>
        <v/>
      </c>
      <c r="O230">
        <f>IF($P230="","",INDEX(명단표[점검],$P230))</f>
        <v/>
      </c>
      <c r="P230" s="17">
        <f>IFERROR(MATCH(225,명단표[서울순번],0),"")</f>
        <v/>
      </c>
      <c r="R230">
        <f>IF($W230="","",INDEX(명단표[이름],$W230))</f>
        <v/>
      </c>
      <c r="S230">
        <f>IF($W230="","",INDEX(명단표[사번],$W230)&amp;"")</f>
        <v/>
      </c>
      <c r="T230">
        <f>IF($W230="","",INDEX(명단표[소속병원],$W230))</f>
        <v/>
      </c>
      <c r="U230">
        <f>IF($W230="","",INDEX(명단표[서울 근무일(기준월)],$W230))</f>
        <v/>
      </c>
      <c r="V230">
        <f>IF($W230="","",INDEX(명단표[구리 근무일(기준월)],$W230))</f>
        <v/>
      </c>
      <c r="W230" s="17">
        <f>IFERROR(MATCH(225,명단표[판정불가순번],0),"")</f>
        <v/>
      </c>
    </row>
    <row r="231">
      <c r="A231">
        <f>IF($P231="","",226)</f>
        <v/>
      </c>
      <c r="B231">
        <f>IF($P231="","",INDEX(명단표[이름],$P231))</f>
        <v/>
      </c>
      <c r="C231">
        <f>IF($P231="","",INDEX(명단표[사번],$P231)&amp;"")</f>
        <v/>
      </c>
      <c r="D231">
        <f>IF($P231="","",INDEX(명단표[전공의등록번호],$P231)&amp;"")</f>
        <v/>
      </c>
      <c r="E231">
        <f>IF($P231="","",INDEX(명단표[수련과목],$P231)&amp;"")</f>
        <v/>
      </c>
      <c r="F231">
        <f>IF($P231="","",INDEX(명단표[연차],$P231)&amp;"")</f>
        <v/>
      </c>
      <c r="G231">
        <f>IF($P231="","",INDEX(명단표[소속병원],$P231))</f>
        <v/>
      </c>
      <c r="H231">
        <f>IF($P231="","",IF(INDEX(명단표[소속병원],$P231)="서울병원","서울 소속","타 병원 소속("&amp;INDEX(명단표[소속병원],$P231)&amp;") → 서울 지급"))</f>
        <v/>
      </c>
      <c r="I231">
        <f>IF($P231="","",INDEX(명단표[현재 근무병원],$P231))</f>
        <v/>
      </c>
      <c r="J231">
        <f>IF($P231="","",INDEX(명단표[구리 근무 시작일(기준월)],$P231)&amp;"")</f>
        <v/>
      </c>
      <c r="K231">
        <f>IF($P231="","",INDEX(명단표[구리 근무 종료일(기준월)],$P231)&amp;"")</f>
        <v/>
      </c>
      <c r="L231">
        <f>IF($P231="","",INDEX(명단표[서울 근무일(기준월)],$P231))</f>
        <v/>
      </c>
      <c r="M231">
        <f>IF($P231="","",INDEX(명단표[구리 근무일(기준월)],$P231))</f>
        <v/>
      </c>
      <c r="N231">
        <f>IF($P231="","",INDEX(명단표[급여 판정 근거],$P231))</f>
        <v/>
      </c>
      <c r="O231">
        <f>IF($P231="","",INDEX(명단표[점검],$P231))</f>
        <v/>
      </c>
      <c r="P231" s="17">
        <f>IFERROR(MATCH(226,명단표[서울순번],0),"")</f>
        <v/>
      </c>
      <c r="R231">
        <f>IF($W231="","",INDEX(명단표[이름],$W231))</f>
        <v/>
      </c>
      <c r="S231">
        <f>IF($W231="","",INDEX(명단표[사번],$W231)&amp;"")</f>
        <v/>
      </c>
      <c r="T231">
        <f>IF($W231="","",INDEX(명단표[소속병원],$W231))</f>
        <v/>
      </c>
      <c r="U231">
        <f>IF($W231="","",INDEX(명단표[서울 근무일(기준월)],$W231))</f>
        <v/>
      </c>
      <c r="V231">
        <f>IF($W231="","",INDEX(명단표[구리 근무일(기준월)],$W231))</f>
        <v/>
      </c>
      <c r="W231" s="17">
        <f>IFERROR(MATCH(226,명단표[판정불가순번],0),"")</f>
        <v/>
      </c>
    </row>
    <row r="232">
      <c r="A232">
        <f>IF($P232="","",227)</f>
        <v/>
      </c>
      <c r="B232">
        <f>IF($P232="","",INDEX(명단표[이름],$P232))</f>
        <v/>
      </c>
      <c r="C232">
        <f>IF($P232="","",INDEX(명단표[사번],$P232)&amp;"")</f>
        <v/>
      </c>
      <c r="D232">
        <f>IF($P232="","",INDEX(명단표[전공의등록번호],$P232)&amp;"")</f>
        <v/>
      </c>
      <c r="E232">
        <f>IF($P232="","",INDEX(명단표[수련과목],$P232)&amp;"")</f>
        <v/>
      </c>
      <c r="F232">
        <f>IF($P232="","",INDEX(명단표[연차],$P232)&amp;"")</f>
        <v/>
      </c>
      <c r="G232">
        <f>IF($P232="","",INDEX(명단표[소속병원],$P232))</f>
        <v/>
      </c>
      <c r="H232">
        <f>IF($P232="","",IF(INDEX(명단표[소속병원],$P232)="서울병원","서울 소속","타 병원 소속("&amp;INDEX(명단표[소속병원],$P232)&amp;") → 서울 지급"))</f>
        <v/>
      </c>
      <c r="I232">
        <f>IF($P232="","",INDEX(명단표[현재 근무병원],$P232))</f>
        <v/>
      </c>
      <c r="J232">
        <f>IF($P232="","",INDEX(명단표[구리 근무 시작일(기준월)],$P232)&amp;"")</f>
        <v/>
      </c>
      <c r="K232">
        <f>IF($P232="","",INDEX(명단표[구리 근무 종료일(기준월)],$P232)&amp;"")</f>
        <v/>
      </c>
      <c r="L232">
        <f>IF($P232="","",INDEX(명단표[서울 근무일(기준월)],$P232))</f>
        <v/>
      </c>
      <c r="M232">
        <f>IF($P232="","",INDEX(명단표[구리 근무일(기준월)],$P232))</f>
        <v/>
      </c>
      <c r="N232">
        <f>IF($P232="","",INDEX(명단표[급여 판정 근거],$P232))</f>
        <v/>
      </c>
      <c r="O232">
        <f>IF($P232="","",INDEX(명단표[점검],$P232))</f>
        <v/>
      </c>
      <c r="P232" s="17">
        <f>IFERROR(MATCH(227,명단표[서울순번],0),"")</f>
        <v/>
      </c>
      <c r="R232">
        <f>IF($W232="","",INDEX(명단표[이름],$W232))</f>
        <v/>
      </c>
      <c r="S232">
        <f>IF($W232="","",INDEX(명단표[사번],$W232)&amp;"")</f>
        <v/>
      </c>
      <c r="T232">
        <f>IF($W232="","",INDEX(명단표[소속병원],$W232))</f>
        <v/>
      </c>
      <c r="U232">
        <f>IF($W232="","",INDEX(명단표[서울 근무일(기준월)],$W232))</f>
        <v/>
      </c>
      <c r="V232">
        <f>IF($W232="","",INDEX(명단표[구리 근무일(기준월)],$W232))</f>
        <v/>
      </c>
      <c r="W232" s="17">
        <f>IFERROR(MATCH(227,명단표[판정불가순번],0),"")</f>
        <v/>
      </c>
    </row>
    <row r="233">
      <c r="A233">
        <f>IF($P233="","",228)</f>
        <v/>
      </c>
      <c r="B233">
        <f>IF($P233="","",INDEX(명단표[이름],$P233))</f>
        <v/>
      </c>
      <c r="C233">
        <f>IF($P233="","",INDEX(명단표[사번],$P233)&amp;"")</f>
        <v/>
      </c>
      <c r="D233">
        <f>IF($P233="","",INDEX(명단표[전공의등록번호],$P233)&amp;"")</f>
        <v/>
      </c>
      <c r="E233">
        <f>IF($P233="","",INDEX(명단표[수련과목],$P233)&amp;"")</f>
        <v/>
      </c>
      <c r="F233">
        <f>IF($P233="","",INDEX(명단표[연차],$P233)&amp;"")</f>
        <v/>
      </c>
      <c r="G233">
        <f>IF($P233="","",INDEX(명단표[소속병원],$P233))</f>
        <v/>
      </c>
      <c r="H233">
        <f>IF($P233="","",IF(INDEX(명단표[소속병원],$P233)="서울병원","서울 소속","타 병원 소속("&amp;INDEX(명단표[소속병원],$P233)&amp;") → 서울 지급"))</f>
        <v/>
      </c>
      <c r="I233">
        <f>IF($P233="","",INDEX(명단표[현재 근무병원],$P233))</f>
        <v/>
      </c>
      <c r="J233">
        <f>IF($P233="","",INDEX(명단표[구리 근무 시작일(기준월)],$P233)&amp;"")</f>
        <v/>
      </c>
      <c r="K233">
        <f>IF($P233="","",INDEX(명단표[구리 근무 종료일(기준월)],$P233)&amp;"")</f>
        <v/>
      </c>
      <c r="L233">
        <f>IF($P233="","",INDEX(명단표[서울 근무일(기준월)],$P233))</f>
        <v/>
      </c>
      <c r="M233">
        <f>IF($P233="","",INDEX(명단표[구리 근무일(기준월)],$P233))</f>
        <v/>
      </c>
      <c r="N233">
        <f>IF($P233="","",INDEX(명단표[급여 판정 근거],$P233))</f>
        <v/>
      </c>
      <c r="O233">
        <f>IF($P233="","",INDEX(명단표[점검],$P233))</f>
        <v/>
      </c>
      <c r="P233" s="17">
        <f>IFERROR(MATCH(228,명단표[서울순번],0),"")</f>
        <v/>
      </c>
      <c r="R233">
        <f>IF($W233="","",INDEX(명단표[이름],$W233))</f>
        <v/>
      </c>
      <c r="S233">
        <f>IF($W233="","",INDEX(명단표[사번],$W233)&amp;"")</f>
        <v/>
      </c>
      <c r="T233">
        <f>IF($W233="","",INDEX(명단표[소속병원],$W233))</f>
        <v/>
      </c>
      <c r="U233">
        <f>IF($W233="","",INDEX(명단표[서울 근무일(기준월)],$W233))</f>
        <v/>
      </c>
      <c r="V233">
        <f>IF($W233="","",INDEX(명단표[구리 근무일(기준월)],$W233))</f>
        <v/>
      </c>
      <c r="W233" s="17">
        <f>IFERROR(MATCH(228,명단표[판정불가순번],0),"")</f>
        <v/>
      </c>
    </row>
    <row r="234">
      <c r="A234">
        <f>IF($P234="","",229)</f>
        <v/>
      </c>
      <c r="B234">
        <f>IF($P234="","",INDEX(명단표[이름],$P234))</f>
        <v/>
      </c>
      <c r="C234">
        <f>IF($P234="","",INDEX(명단표[사번],$P234)&amp;"")</f>
        <v/>
      </c>
      <c r="D234">
        <f>IF($P234="","",INDEX(명단표[전공의등록번호],$P234)&amp;"")</f>
        <v/>
      </c>
      <c r="E234">
        <f>IF($P234="","",INDEX(명단표[수련과목],$P234)&amp;"")</f>
        <v/>
      </c>
      <c r="F234">
        <f>IF($P234="","",INDEX(명단표[연차],$P234)&amp;"")</f>
        <v/>
      </c>
      <c r="G234">
        <f>IF($P234="","",INDEX(명단표[소속병원],$P234))</f>
        <v/>
      </c>
      <c r="H234">
        <f>IF($P234="","",IF(INDEX(명단표[소속병원],$P234)="서울병원","서울 소속","타 병원 소속("&amp;INDEX(명단표[소속병원],$P234)&amp;") → 서울 지급"))</f>
        <v/>
      </c>
      <c r="I234">
        <f>IF($P234="","",INDEX(명단표[현재 근무병원],$P234))</f>
        <v/>
      </c>
      <c r="J234">
        <f>IF($P234="","",INDEX(명단표[구리 근무 시작일(기준월)],$P234)&amp;"")</f>
        <v/>
      </c>
      <c r="K234">
        <f>IF($P234="","",INDEX(명단표[구리 근무 종료일(기준월)],$P234)&amp;"")</f>
        <v/>
      </c>
      <c r="L234">
        <f>IF($P234="","",INDEX(명단표[서울 근무일(기준월)],$P234))</f>
        <v/>
      </c>
      <c r="M234">
        <f>IF($P234="","",INDEX(명단표[구리 근무일(기준월)],$P234))</f>
        <v/>
      </c>
      <c r="N234">
        <f>IF($P234="","",INDEX(명단표[급여 판정 근거],$P234))</f>
        <v/>
      </c>
      <c r="O234">
        <f>IF($P234="","",INDEX(명단표[점검],$P234))</f>
        <v/>
      </c>
      <c r="P234" s="17">
        <f>IFERROR(MATCH(229,명단표[서울순번],0),"")</f>
        <v/>
      </c>
      <c r="R234">
        <f>IF($W234="","",INDEX(명단표[이름],$W234))</f>
        <v/>
      </c>
      <c r="S234">
        <f>IF($W234="","",INDEX(명단표[사번],$W234)&amp;"")</f>
        <v/>
      </c>
      <c r="T234">
        <f>IF($W234="","",INDEX(명단표[소속병원],$W234))</f>
        <v/>
      </c>
      <c r="U234">
        <f>IF($W234="","",INDEX(명단표[서울 근무일(기준월)],$W234))</f>
        <v/>
      </c>
      <c r="V234">
        <f>IF($W234="","",INDEX(명단표[구리 근무일(기준월)],$W234))</f>
        <v/>
      </c>
      <c r="W234" s="17">
        <f>IFERROR(MATCH(229,명단표[판정불가순번],0),"")</f>
        <v/>
      </c>
    </row>
    <row r="235">
      <c r="A235">
        <f>IF($P235="","",230)</f>
        <v/>
      </c>
      <c r="B235">
        <f>IF($P235="","",INDEX(명단표[이름],$P235))</f>
        <v/>
      </c>
      <c r="C235">
        <f>IF($P235="","",INDEX(명단표[사번],$P235)&amp;"")</f>
        <v/>
      </c>
      <c r="D235">
        <f>IF($P235="","",INDEX(명단표[전공의등록번호],$P235)&amp;"")</f>
        <v/>
      </c>
      <c r="E235">
        <f>IF($P235="","",INDEX(명단표[수련과목],$P235)&amp;"")</f>
        <v/>
      </c>
      <c r="F235">
        <f>IF($P235="","",INDEX(명단표[연차],$P235)&amp;"")</f>
        <v/>
      </c>
      <c r="G235">
        <f>IF($P235="","",INDEX(명단표[소속병원],$P235))</f>
        <v/>
      </c>
      <c r="H235">
        <f>IF($P235="","",IF(INDEX(명단표[소속병원],$P235)="서울병원","서울 소속","타 병원 소속("&amp;INDEX(명단표[소속병원],$P235)&amp;") → 서울 지급"))</f>
        <v/>
      </c>
      <c r="I235">
        <f>IF($P235="","",INDEX(명단표[현재 근무병원],$P235))</f>
        <v/>
      </c>
      <c r="J235">
        <f>IF($P235="","",INDEX(명단표[구리 근무 시작일(기준월)],$P235)&amp;"")</f>
        <v/>
      </c>
      <c r="K235">
        <f>IF($P235="","",INDEX(명단표[구리 근무 종료일(기준월)],$P235)&amp;"")</f>
        <v/>
      </c>
      <c r="L235">
        <f>IF($P235="","",INDEX(명단표[서울 근무일(기준월)],$P235))</f>
        <v/>
      </c>
      <c r="M235">
        <f>IF($P235="","",INDEX(명단표[구리 근무일(기준월)],$P235))</f>
        <v/>
      </c>
      <c r="N235">
        <f>IF($P235="","",INDEX(명단표[급여 판정 근거],$P235))</f>
        <v/>
      </c>
      <c r="O235">
        <f>IF($P235="","",INDEX(명단표[점검],$P235))</f>
        <v/>
      </c>
      <c r="P235" s="17">
        <f>IFERROR(MATCH(230,명단표[서울순번],0),"")</f>
        <v/>
      </c>
      <c r="R235">
        <f>IF($W235="","",INDEX(명단표[이름],$W235))</f>
        <v/>
      </c>
      <c r="S235">
        <f>IF($W235="","",INDEX(명단표[사번],$W235)&amp;"")</f>
        <v/>
      </c>
      <c r="T235">
        <f>IF($W235="","",INDEX(명단표[소속병원],$W235))</f>
        <v/>
      </c>
      <c r="U235">
        <f>IF($W235="","",INDEX(명단표[서울 근무일(기준월)],$W235))</f>
        <v/>
      </c>
      <c r="V235">
        <f>IF($W235="","",INDEX(명단표[구리 근무일(기준월)],$W235))</f>
        <v/>
      </c>
      <c r="W235" s="17">
        <f>IFERROR(MATCH(230,명단표[판정불가순번],0),"")</f>
        <v/>
      </c>
    </row>
    <row r="236">
      <c r="A236">
        <f>IF($P236="","",231)</f>
        <v/>
      </c>
      <c r="B236">
        <f>IF($P236="","",INDEX(명단표[이름],$P236))</f>
        <v/>
      </c>
      <c r="C236">
        <f>IF($P236="","",INDEX(명단표[사번],$P236)&amp;"")</f>
        <v/>
      </c>
      <c r="D236">
        <f>IF($P236="","",INDEX(명단표[전공의등록번호],$P236)&amp;"")</f>
        <v/>
      </c>
      <c r="E236">
        <f>IF($P236="","",INDEX(명단표[수련과목],$P236)&amp;"")</f>
        <v/>
      </c>
      <c r="F236">
        <f>IF($P236="","",INDEX(명단표[연차],$P236)&amp;"")</f>
        <v/>
      </c>
      <c r="G236">
        <f>IF($P236="","",INDEX(명단표[소속병원],$P236))</f>
        <v/>
      </c>
      <c r="H236">
        <f>IF($P236="","",IF(INDEX(명단표[소속병원],$P236)="서울병원","서울 소속","타 병원 소속("&amp;INDEX(명단표[소속병원],$P236)&amp;") → 서울 지급"))</f>
        <v/>
      </c>
      <c r="I236">
        <f>IF($P236="","",INDEX(명단표[현재 근무병원],$P236))</f>
        <v/>
      </c>
      <c r="J236">
        <f>IF($P236="","",INDEX(명단표[구리 근무 시작일(기준월)],$P236)&amp;"")</f>
        <v/>
      </c>
      <c r="K236">
        <f>IF($P236="","",INDEX(명단표[구리 근무 종료일(기준월)],$P236)&amp;"")</f>
        <v/>
      </c>
      <c r="L236">
        <f>IF($P236="","",INDEX(명단표[서울 근무일(기준월)],$P236))</f>
        <v/>
      </c>
      <c r="M236">
        <f>IF($P236="","",INDEX(명단표[구리 근무일(기준월)],$P236))</f>
        <v/>
      </c>
      <c r="N236">
        <f>IF($P236="","",INDEX(명단표[급여 판정 근거],$P236))</f>
        <v/>
      </c>
      <c r="O236">
        <f>IF($P236="","",INDEX(명단표[점검],$P236))</f>
        <v/>
      </c>
      <c r="P236" s="17">
        <f>IFERROR(MATCH(231,명단표[서울순번],0),"")</f>
        <v/>
      </c>
      <c r="R236">
        <f>IF($W236="","",INDEX(명단표[이름],$W236))</f>
        <v/>
      </c>
      <c r="S236">
        <f>IF($W236="","",INDEX(명단표[사번],$W236)&amp;"")</f>
        <v/>
      </c>
      <c r="T236">
        <f>IF($W236="","",INDEX(명단표[소속병원],$W236))</f>
        <v/>
      </c>
      <c r="U236">
        <f>IF($W236="","",INDEX(명단표[서울 근무일(기준월)],$W236))</f>
        <v/>
      </c>
      <c r="V236">
        <f>IF($W236="","",INDEX(명단표[구리 근무일(기준월)],$W236))</f>
        <v/>
      </c>
      <c r="W236" s="17">
        <f>IFERROR(MATCH(231,명단표[판정불가순번],0),"")</f>
        <v/>
      </c>
    </row>
    <row r="237">
      <c r="A237">
        <f>IF($P237="","",232)</f>
        <v/>
      </c>
      <c r="B237">
        <f>IF($P237="","",INDEX(명단표[이름],$P237))</f>
        <v/>
      </c>
      <c r="C237">
        <f>IF($P237="","",INDEX(명단표[사번],$P237)&amp;"")</f>
        <v/>
      </c>
      <c r="D237">
        <f>IF($P237="","",INDEX(명단표[전공의등록번호],$P237)&amp;"")</f>
        <v/>
      </c>
      <c r="E237">
        <f>IF($P237="","",INDEX(명단표[수련과목],$P237)&amp;"")</f>
        <v/>
      </c>
      <c r="F237">
        <f>IF($P237="","",INDEX(명단표[연차],$P237)&amp;"")</f>
        <v/>
      </c>
      <c r="G237">
        <f>IF($P237="","",INDEX(명단표[소속병원],$P237))</f>
        <v/>
      </c>
      <c r="H237">
        <f>IF($P237="","",IF(INDEX(명단표[소속병원],$P237)="서울병원","서울 소속","타 병원 소속("&amp;INDEX(명단표[소속병원],$P237)&amp;") → 서울 지급"))</f>
        <v/>
      </c>
      <c r="I237">
        <f>IF($P237="","",INDEX(명단표[현재 근무병원],$P237))</f>
        <v/>
      </c>
      <c r="J237">
        <f>IF($P237="","",INDEX(명단표[구리 근무 시작일(기준월)],$P237)&amp;"")</f>
        <v/>
      </c>
      <c r="K237">
        <f>IF($P237="","",INDEX(명단표[구리 근무 종료일(기준월)],$P237)&amp;"")</f>
        <v/>
      </c>
      <c r="L237">
        <f>IF($P237="","",INDEX(명단표[서울 근무일(기준월)],$P237))</f>
        <v/>
      </c>
      <c r="M237">
        <f>IF($P237="","",INDEX(명단표[구리 근무일(기준월)],$P237))</f>
        <v/>
      </c>
      <c r="N237">
        <f>IF($P237="","",INDEX(명단표[급여 판정 근거],$P237))</f>
        <v/>
      </c>
      <c r="O237">
        <f>IF($P237="","",INDEX(명단표[점검],$P237))</f>
        <v/>
      </c>
      <c r="P237" s="17">
        <f>IFERROR(MATCH(232,명단표[서울순번],0),"")</f>
        <v/>
      </c>
      <c r="R237">
        <f>IF($W237="","",INDEX(명단표[이름],$W237))</f>
        <v/>
      </c>
      <c r="S237">
        <f>IF($W237="","",INDEX(명단표[사번],$W237)&amp;"")</f>
        <v/>
      </c>
      <c r="T237">
        <f>IF($W237="","",INDEX(명단표[소속병원],$W237))</f>
        <v/>
      </c>
      <c r="U237">
        <f>IF($W237="","",INDEX(명단표[서울 근무일(기준월)],$W237))</f>
        <v/>
      </c>
      <c r="V237">
        <f>IF($W237="","",INDEX(명단표[구리 근무일(기준월)],$W237))</f>
        <v/>
      </c>
      <c r="W237" s="17">
        <f>IFERROR(MATCH(232,명단표[판정불가순번],0),"")</f>
        <v/>
      </c>
    </row>
    <row r="238">
      <c r="A238">
        <f>IF($P238="","",233)</f>
        <v/>
      </c>
      <c r="B238">
        <f>IF($P238="","",INDEX(명단표[이름],$P238))</f>
        <v/>
      </c>
      <c r="C238">
        <f>IF($P238="","",INDEX(명단표[사번],$P238)&amp;"")</f>
        <v/>
      </c>
      <c r="D238">
        <f>IF($P238="","",INDEX(명단표[전공의등록번호],$P238)&amp;"")</f>
        <v/>
      </c>
      <c r="E238">
        <f>IF($P238="","",INDEX(명단표[수련과목],$P238)&amp;"")</f>
        <v/>
      </c>
      <c r="F238">
        <f>IF($P238="","",INDEX(명단표[연차],$P238)&amp;"")</f>
        <v/>
      </c>
      <c r="G238">
        <f>IF($P238="","",INDEX(명단표[소속병원],$P238))</f>
        <v/>
      </c>
      <c r="H238">
        <f>IF($P238="","",IF(INDEX(명단표[소속병원],$P238)="서울병원","서울 소속","타 병원 소속("&amp;INDEX(명단표[소속병원],$P238)&amp;") → 서울 지급"))</f>
        <v/>
      </c>
      <c r="I238">
        <f>IF($P238="","",INDEX(명단표[현재 근무병원],$P238))</f>
        <v/>
      </c>
      <c r="J238">
        <f>IF($P238="","",INDEX(명단표[구리 근무 시작일(기준월)],$P238)&amp;"")</f>
        <v/>
      </c>
      <c r="K238">
        <f>IF($P238="","",INDEX(명단표[구리 근무 종료일(기준월)],$P238)&amp;"")</f>
        <v/>
      </c>
      <c r="L238">
        <f>IF($P238="","",INDEX(명단표[서울 근무일(기준월)],$P238))</f>
        <v/>
      </c>
      <c r="M238">
        <f>IF($P238="","",INDEX(명단표[구리 근무일(기준월)],$P238))</f>
        <v/>
      </c>
      <c r="N238">
        <f>IF($P238="","",INDEX(명단표[급여 판정 근거],$P238))</f>
        <v/>
      </c>
      <c r="O238">
        <f>IF($P238="","",INDEX(명단표[점검],$P238))</f>
        <v/>
      </c>
      <c r="P238" s="17">
        <f>IFERROR(MATCH(233,명단표[서울순번],0),"")</f>
        <v/>
      </c>
      <c r="R238">
        <f>IF($W238="","",INDEX(명단표[이름],$W238))</f>
        <v/>
      </c>
      <c r="S238">
        <f>IF($W238="","",INDEX(명단표[사번],$W238)&amp;"")</f>
        <v/>
      </c>
      <c r="T238">
        <f>IF($W238="","",INDEX(명단표[소속병원],$W238))</f>
        <v/>
      </c>
      <c r="U238">
        <f>IF($W238="","",INDEX(명단표[서울 근무일(기준월)],$W238))</f>
        <v/>
      </c>
      <c r="V238">
        <f>IF($W238="","",INDEX(명단표[구리 근무일(기준월)],$W238))</f>
        <v/>
      </c>
      <c r="W238" s="17">
        <f>IFERROR(MATCH(233,명단표[판정불가순번],0),"")</f>
        <v/>
      </c>
    </row>
    <row r="239">
      <c r="A239">
        <f>IF($P239="","",234)</f>
        <v/>
      </c>
      <c r="B239">
        <f>IF($P239="","",INDEX(명단표[이름],$P239))</f>
        <v/>
      </c>
      <c r="C239">
        <f>IF($P239="","",INDEX(명단표[사번],$P239)&amp;"")</f>
        <v/>
      </c>
      <c r="D239">
        <f>IF($P239="","",INDEX(명단표[전공의등록번호],$P239)&amp;"")</f>
        <v/>
      </c>
      <c r="E239">
        <f>IF($P239="","",INDEX(명단표[수련과목],$P239)&amp;"")</f>
        <v/>
      </c>
      <c r="F239">
        <f>IF($P239="","",INDEX(명단표[연차],$P239)&amp;"")</f>
        <v/>
      </c>
      <c r="G239">
        <f>IF($P239="","",INDEX(명단표[소속병원],$P239))</f>
        <v/>
      </c>
      <c r="H239">
        <f>IF($P239="","",IF(INDEX(명단표[소속병원],$P239)="서울병원","서울 소속","타 병원 소속("&amp;INDEX(명단표[소속병원],$P239)&amp;") → 서울 지급"))</f>
        <v/>
      </c>
      <c r="I239">
        <f>IF($P239="","",INDEX(명단표[현재 근무병원],$P239))</f>
        <v/>
      </c>
      <c r="J239">
        <f>IF($P239="","",INDEX(명단표[구리 근무 시작일(기준월)],$P239)&amp;"")</f>
        <v/>
      </c>
      <c r="K239">
        <f>IF($P239="","",INDEX(명단표[구리 근무 종료일(기준월)],$P239)&amp;"")</f>
        <v/>
      </c>
      <c r="L239">
        <f>IF($P239="","",INDEX(명단표[서울 근무일(기준월)],$P239))</f>
        <v/>
      </c>
      <c r="M239">
        <f>IF($P239="","",INDEX(명단표[구리 근무일(기준월)],$P239))</f>
        <v/>
      </c>
      <c r="N239">
        <f>IF($P239="","",INDEX(명단표[급여 판정 근거],$P239))</f>
        <v/>
      </c>
      <c r="O239">
        <f>IF($P239="","",INDEX(명단표[점검],$P239))</f>
        <v/>
      </c>
      <c r="P239" s="17">
        <f>IFERROR(MATCH(234,명단표[서울순번],0),"")</f>
        <v/>
      </c>
      <c r="R239">
        <f>IF($W239="","",INDEX(명단표[이름],$W239))</f>
        <v/>
      </c>
      <c r="S239">
        <f>IF($W239="","",INDEX(명단표[사번],$W239)&amp;"")</f>
        <v/>
      </c>
      <c r="T239">
        <f>IF($W239="","",INDEX(명단표[소속병원],$W239))</f>
        <v/>
      </c>
      <c r="U239">
        <f>IF($W239="","",INDEX(명단표[서울 근무일(기준월)],$W239))</f>
        <v/>
      </c>
      <c r="V239">
        <f>IF($W239="","",INDEX(명단표[구리 근무일(기준월)],$W239))</f>
        <v/>
      </c>
      <c r="W239" s="17">
        <f>IFERROR(MATCH(234,명단표[판정불가순번],0),"")</f>
        <v/>
      </c>
    </row>
    <row r="240">
      <c r="A240">
        <f>IF($P240="","",235)</f>
        <v/>
      </c>
      <c r="B240">
        <f>IF($P240="","",INDEX(명단표[이름],$P240))</f>
        <v/>
      </c>
      <c r="C240">
        <f>IF($P240="","",INDEX(명단표[사번],$P240)&amp;"")</f>
        <v/>
      </c>
      <c r="D240">
        <f>IF($P240="","",INDEX(명단표[전공의등록번호],$P240)&amp;"")</f>
        <v/>
      </c>
      <c r="E240">
        <f>IF($P240="","",INDEX(명단표[수련과목],$P240)&amp;"")</f>
        <v/>
      </c>
      <c r="F240">
        <f>IF($P240="","",INDEX(명단표[연차],$P240)&amp;"")</f>
        <v/>
      </c>
      <c r="G240">
        <f>IF($P240="","",INDEX(명단표[소속병원],$P240))</f>
        <v/>
      </c>
      <c r="H240">
        <f>IF($P240="","",IF(INDEX(명단표[소속병원],$P240)="서울병원","서울 소속","타 병원 소속("&amp;INDEX(명단표[소속병원],$P240)&amp;") → 서울 지급"))</f>
        <v/>
      </c>
      <c r="I240">
        <f>IF($P240="","",INDEX(명단표[현재 근무병원],$P240))</f>
        <v/>
      </c>
      <c r="J240">
        <f>IF($P240="","",INDEX(명단표[구리 근무 시작일(기준월)],$P240)&amp;"")</f>
        <v/>
      </c>
      <c r="K240">
        <f>IF($P240="","",INDEX(명단표[구리 근무 종료일(기준월)],$P240)&amp;"")</f>
        <v/>
      </c>
      <c r="L240">
        <f>IF($P240="","",INDEX(명단표[서울 근무일(기준월)],$P240))</f>
        <v/>
      </c>
      <c r="M240">
        <f>IF($P240="","",INDEX(명단표[구리 근무일(기준월)],$P240))</f>
        <v/>
      </c>
      <c r="N240">
        <f>IF($P240="","",INDEX(명단표[급여 판정 근거],$P240))</f>
        <v/>
      </c>
      <c r="O240">
        <f>IF($P240="","",INDEX(명단표[점검],$P240))</f>
        <v/>
      </c>
      <c r="P240" s="17">
        <f>IFERROR(MATCH(235,명단표[서울순번],0),"")</f>
        <v/>
      </c>
      <c r="R240">
        <f>IF($W240="","",INDEX(명단표[이름],$W240))</f>
        <v/>
      </c>
      <c r="S240">
        <f>IF($W240="","",INDEX(명단표[사번],$W240)&amp;"")</f>
        <v/>
      </c>
      <c r="T240">
        <f>IF($W240="","",INDEX(명단표[소속병원],$W240))</f>
        <v/>
      </c>
      <c r="U240">
        <f>IF($W240="","",INDEX(명단표[서울 근무일(기준월)],$W240))</f>
        <v/>
      </c>
      <c r="V240">
        <f>IF($W240="","",INDEX(명단표[구리 근무일(기준월)],$W240))</f>
        <v/>
      </c>
      <c r="W240" s="17">
        <f>IFERROR(MATCH(235,명단표[판정불가순번],0),"")</f>
        <v/>
      </c>
    </row>
    <row r="241">
      <c r="A241">
        <f>IF($P241="","",236)</f>
        <v/>
      </c>
      <c r="B241">
        <f>IF($P241="","",INDEX(명단표[이름],$P241))</f>
        <v/>
      </c>
      <c r="C241">
        <f>IF($P241="","",INDEX(명단표[사번],$P241)&amp;"")</f>
        <v/>
      </c>
      <c r="D241">
        <f>IF($P241="","",INDEX(명단표[전공의등록번호],$P241)&amp;"")</f>
        <v/>
      </c>
      <c r="E241">
        <f>IF($P241="","",INDEX(명단표[수련과목],$P241)&amp;"")</f>
        <v/>
      </c>
      <c r="F241">
        <f>IF($P241="","",INDEX(명단표[연차],$P241)&amp;"")</f>
        <v/>
      </c>
      <c r="G241">
        <f>IF($P241="","",INDEX(명단표[소속병원],$P241))</f>
        <v/>
      </c>
      <c r="H241">
        <f>IF($P241="","",IF(INDEX(명단표[소속병원],$P241)="서울병원","서울 소속","타 병원 소속("&amp;INDEX(명단표[소속병원],$P241)&amp;") → 서울 지급"))</f>
        <v/>
      </c>
      <c r="I241">
        <f>IF($P241="","",INDEX(명단표[현재 근무병원],$P241))</f>
        <v/>
      </c>
      <c r="J241">
        <f>IF($P241="","",INDEX(명단표[구리 근무 시작일(기준월)],$P241)&amp;"")</f>
        <v/>
      </c>
      <c r="K241">
        <f>IF($P241="","",INDEX(명단표[구리 근무 종료일(기준월)],$P241)&amp;"")</f>
        <v/>
      </c>
      <c r="L241">
        <f>IF($P241="","",INDEX(명단표[서울 근무일(기준월)],$P241))</f>
        <v/>
      </c>
      <c r="M241">
        <f>IF($P241="","",INDEX(명단표[구리 근무일(기준월)],$P241))</f>
        <v/>
      </c>
      <c r="N241">
        <f>IF($P241="","",INDEX(명단표[급여 판정 근거],$P241))</f>
        <v/>
      </c>
      <c r="O241">
        <f>IF($P241="","",INDEX(명단표[점검],$P241))</f>
        <v/>
      </c>
      <c r="P241" s="17">
        <f>IFERROR(MATCH(236,명단표[서울순번],0),"")</f>
        <v/>
      </c>
      <c r="R241">
        <f>IF($W241="","",INDEX(명단표[이름],$W241))</f>
        <v/>
      </c>
      <c r="S241">
        <f>IF($W241="","",INDEX(명단표[사번],$W241)&amp;"")</f>
        <v/>
      </c>
      <c r="T241">
        <f>IF($W241="","",INDEX(명단표[소속병원],$W241))</f>
        <v/>
      </c>
      <c r="U241">
        <f>IF($W241="","",INDEX(명단표[서울 근무일(기준월)],$W241))</f>
        <v/>
      </c>
      <c r="V241">
        <f>IF($W241="","",INDEX(명단표[구리 근무일(기준월)],$W241))</f>
        <v/>
      </c>
      <c r="W241" s="17">
        <f>IFERROR(MATCH(236,명단표[판정불가순번],0),"")</f>
        <v/>
      </c>
    </row>
    <row r="242">
      <c r="A242">
        <f>IF($P242="","",237)</f>
        <v/>
      </c>
      <c r="B242">
        <f>IF($P242="","",INDEX(명단표[이름],$P242))</f>
        <v/>
      </c>
      <c r="C242">
        <f>IF($P242="","",INDEX(명단표[사번],$P242)&amp;"")</f>
        <v/>
      </c>
      <c r="D242">
        <f>IF($P242="","",INDEX(명단표[전공의등록번호],$P242)&amp;"")</f>
        <v/>
      </c>
      <c r="E242">
        <f>IF($P242="","",INDEX(명단표[수련과목],$P242)&amp;"")</f>
        <v/>
      </c>
      <c r="F242">
        <f>IF($P242="","",INDEX(명단표[연차],$P242)&amp;"")</f>
        <v/>
      </c>
      <c r="G242">
        <f>IF($P242="","",INDEX(명단표[소속병원],$P242))</f>
        <v/>
      </c>
      <c r="H242">
        <f>IF($P242="","",IF(INDEX(명단표[소속병원],$P242)="서울병원","서울 소속","타 병원 소속("&amp;INDEX(명단표[소속병원],$P242)&amp;") → 서울 지급"))</f>
        <v/>
      </c>
      <c r="I242">
        <f>IF($P242="","",INDEX(명단표[현재 근무병원],$P242))</f>
        <v/>
      </c>
      <c r="J242">
        <f>IF($P242="","",INDEX(명단표[구리 근무 시작일(기준월)],$P242)&amp;"")</f>
        <v/>
      </c>
      <c r="K242">
        <f>IF($P242="","",INDEX(명단표[구리 근무 종료일(기준월)],$P242)&amp;"")</f>
        <v/>
      </c>
      <c r="L242">
        <f>IF($P242="","",INDEX(명단표[서울 근무일(기준월)],$P242))</f>
        <v/>
      </c>
      <c r="M242">
        <f>IF($P242="","",INDEX(명단표[구리 근무일(기준월)],$P242))</f>
        <v/>
      </c>
      <c r="N242">
        <f>IF($P242="","",INDEX(명단표[급여 판정 근거],$P242))</f>
        <v/>
      </c>
      <c r="O242">
        <f>IF($P242="","",INDEX(명단표[점검],$P242))</f>
        <v/>
      </c>
      <c r="P242" s="17">
        <f>IFERROR(MATCH(237,명단표[서울순번],0),"")</f>
        <v/>
      </c>
      <c r="R242">
        <f>IF($W242="","",INDEX(명단표[이름],$W242))</f>
        <v/>
      </c>
      <c r="S242">
        <f>IF($W242="","",INDEX(명단표[사번],$W242)&amp;"")</f>
        <v/>
      </c>
      <c r="T242">
        <f>IF($W242="","",INDEX(명단표[소속병원],$W242))</f>
        <v/>
      </c>
      <c r="U242">
        <f>IF($W242="","",INDEX(명단표[서울 근무일(기준월)],$W242))</f>
        <v/>
      </c>
      <c r="V242">
        <f>IF($W242="","",INDEX(명단표[구리 근무일(기준월)],$W242))</f>
        <v/>
      </c>
      <c r="W242" s="17">
        <f>IFERROR(MATCH(237,명단표[판정불가순번],0),"")</f>
        <v/>
      </c>
    </row>
    <row r="243">
      <c r="A243">
        <f>IF($P243="","",238)</f>
        <v/>
      </c>
      <c r="B243">
        <f>IF($P243="","",INDEX(명단표[이름],$P243))</f>
        <v/>
      </c>
      <c r="C243">
        <f>IF($P243="","",INDEX(명단표[사번],$P243)&amp;"")</f>
        <v/>
      </c>
      <c r="D243">
        <f>IF($P243="","",INDEX(명단표[전공의등록번호],$P243)&amp;"")</f>
        <v/>
      </c>
      <c r="E243">
        <f>IF($P243="","",INDEX(명단표[수련과목],$P243)&amp;"")</f>
        <v/>
      </c>
      <c r="F243">
        <f>IF($P243="","",INDEX(명단표[연차],$P243)&amp;"")</f>
        <v/>
      </c>
      <c r="G243">
        <f>IF($P243="","",INDEX(명단표[소속병원],$P243))</f>
        <v/>
      </c>
      <c r="H243">
        <f>IF($P243="","",IF(INDEX(명단표[소속병원],$P243)="서울병원","서울 소속","타 병원 소속("&amp;INDEX(명단표[소속병원],$P243)&amp;") → 서울 지급"))</f>
        <v/>
      </c>
      <c r="I243">
        <f>IF($P243="","",INDEX(명단표[현재 근무병원],$P243))</f>
        <v/>
      </c>
      <c r="J243">
        <f>IF($P243="","",INDEX(명단표[구리 근무 시작일(기준월)],$P243)&amp;"")</f>
        <v/>
      </c>
      <c r="K243">
        <f>IF($P243="","",INDEX(명단표[구리 근무 종료일(기준월)],$P243)&amp;"")</f>
        <v/>
      </c>
      <c r="L243">
        <f>IF($P243="","",INDEX(명단표[서울 근무일(기준월)],$P243))</f>
        <v/>
      </c>
      <c r="M243">
        <f>IF($P243="","",INDEX(명단표[구리 근무일(기준월)],$P243))</f>
        <v/>
      </c>
      <c r="N243">
        <f>IF($P243="","",INDEX(명단표[급여 판정 근거],$P243))</f>
        <v/>
      </c>
      <c r="O243">
        <f>IF($P243="","",INDEX(명단표[점검],$P243))</f>
        <v/>
      </c>
      <c r="P243" s="17">
        <f>IFERROR(MATCH(238,명단표[서울순번],0),"")</f>
        <v/>
      </c>
      <c r="R243">
        <f>IF($W243="","",INDEX(명단표[이름],$W243))</f>
        <v/>
      </c>
      <c r="S243">
        <f>IF($W243="","",INDEX(명단표[사번],$W243)&amp;"")</f>
        <v/>
      </c>
      <c r="T243">
        <f>IF($W243="","",INDEX(명단표[소속병원],$W243))</f>
        <v/>
      </c>
      <c r="U243">
        <f>IF($W243="","",INDEX(명단표[서울 근무일(기준월)],$W243))</f>
        <v/>
      </c>
      <c r="V243">
        <f>IF($W243="","",INDEX(명단표[구리 근무일(기준월)],$W243))</f>
        <v/>
      </c>
      <c r="W243" s="17">
        <f>IFERROR(MATCH(238,명단표[판정불가순번],0),"")</f>
        <v/>
      </c>
    </row>
    <row r="244">
      <c r="A244">
        <f>IF($P244="","",239)</f>
        <v/>
      </c>
      <c r="B244">
        <f>IF($P244="","",INDEX(명단표[이름],$P244))</f>
        <v/>
      </c>
      <c r="C244">
        <f>IF($P244="","",INDEX(명단표[사번],$P244)&amp;"")</f>
        <v/>
      </c>
      <c r="D244">
        <f>IF($P244="","",INDEX(명단표[전공의등록번호],$P244)&amp;"")</f>
        <v/>
      </c>
      <c r="E244">
        <f>IF($P244="","",INDEX(명단표[수련과목],$P244)&amp;"")</f>
        <v/>
      </c>
      <c r="F244">
        <f>IF($P244="","",INDEX(명단표[연차],$P244)&amp;"")</f>
        <v/>
      </c>
      <c r="G244">
        <f>IF($P244="","",INDEX(명단표[소속병원],$P244))</f>
        <v/>
      </c>
      <c r="H244">
        <f>IF($P244="","",IF(INDEX(명단표[소속병원],$P244)="서울병원","서울 소속","타 병원 소속("&amp;INDEX(명단표[소속병원],$P244)&amp;") → 서울 지급"))</f>
        <v/>
      </c>
      <c r="I244">
        <f>IF($P244="","",INDEX(명단표[현재 근무병원],$P244))</f>
        <v/>
      </c>
      <c r="J244">
        <f>IF($P244="","",INDEX(명단표[구리 근무 시작일(기준월)],$P244)&amp;"")</f>
        <v/>
      </c>
      <c r="K244">
        <f>IF($P244="","",INDEX(명단표[구리 근무 종료일(기준월)],$P244)&amp;"")</f>
        <v/>
      </c>
      <c r="L244">
        <f>IF($P244="","",INDEX(명단표[서울 근무일(기준월)],$P244))</f>
        <v/>
      </c>
      <c r="M244">
        <f>IF($P244="","",INDEX(명단표[구리 근무일(기준월)],$P244))</f>
        <v/>
      </c>
      <c r="N244">
        <f>IF($P244="","",INDEX(명단표[급여 판정 근거],$P244))</f>
        <v/>
      </c>
      <c r="O244">
        <f>IF($P244="","",INDEX(명단표[점검],$P244))</f>
        <v/>
      </c>
      <c r="P244" s="17">
        <f>IFERROR(MATCH(239,명단표[서울순번],0),"")</f>
        <v/>
      </c>
      <c r="R244">
        <f>IF($W244="","",INDEX(명단표[이름],$W244))</f>
        <v/>
      </c>
      <c r="S244">
        <f>IF($W244="","",INDEX(명단표[사번],$W244)&amp;"")</f>
        <v/>
      </c>
      <c r="T244">
        <f>IF($W244="","",INDEX(명단표[소속병원],$W244))</f>
        <v/>
      </c>
      <c r="U244">
        <f>IF($W244="","",INDEX(명단표[서울 근무일(기준월)],$W244))</f>
        <v/>
      </c>
      <c r="V244">
        <f>IF($W244="","",INDEX(명단표[구리 근무일(기준월)],$W244))</f>
        <v/>
      </c>
      <c r="W244" s="17">
        <f>IFERROR(MATCH(239,명단표[판정불가순번],0),"")</f>
        <v/>
      </c>
    </row>
    <row r="245">
      <c r="A245">
        <f>IF($P245="","",240)</f>
        <v/>
      </c>
      <c r="B245">
        <f>IF($P245="","",INDEX(명단표[이름],$P245))</f>
        <v/>
      </c>
      <c r="C245">
        <f>IF($P245="","",INDEX(명단표[사번],$P245)&amp;"")</f>
        <v/>
      </c>
      <c r="D245">
        <f>IF($P245="","",INDEX(명단표[전공의등록번호],$P245)&amp;"")</f>
        <v/>
      </c>
      <c r="E245">
        <f>IF($P245="","",INDEX(명단표[수련과목],$P245)&amp;"")</f>
        <v/>
      </c>
      <c r="F245">
        <f>IF($P245="","",INDEX(명단표[연차],$P245)&amp;"")</f>
        <v/>
      </c>
      <c r="G245">
        <f>IF($P245="","",INDEX(명단표[소속병원],$P245))</f>
        <v/>
      </c>
      <c r="H245">
        <f>IF($P245="","",IF(INDEX(명단표[소속병원],$P245)="서울병원","서울 소속","타 병원 소속("&amp;INDEX(명단표[소속병원],$P245)&amp;") → 서울 지급"))</f>
        <v/>
      </c>
      <c r="I245">
        <f>IF($P245="","",INDEX(명단표[현재 근무병원],$P245))</f>
        <v/>
      </c>
      <c r="J245">
        <f>IF($P245="","",INDEX(명단표[구리 근무 시작일(기준월)],$P245)&amp;"")</f>
        <v/>
      </c>
      <c r="K245">
        <f>IF($P245="","",INDEX(명단표[구리 근무 종료일(기준월)],$P245)&amp;"")</f>
        <v/>
      </c>
      <c r="L245">
        <f>IF($P245="","",INDEX(명단표[서울 근무일(기준월)],$P245))</f>
        <v/>
      </c>
      <c r="M245">
        <f>IF($P245="","",INDEX(명단표[구리 근무일(기준월)],$P245))</f>
        <v/>
      </c>
      <c r="N245">
        <f>IF($P245="","",INDEX(명단표[급여 판정 근거],$P245))</f>
        <v/>
      </c>
      <c r="O245">
        <f>IF($P245="","",INDEX(명단표[점검],$P245))</f>
        <v/>
      </c>
      <c r="P245" s="17">
        <f>IFERROR(MATCH(240,명단표[서울순번],0),"")</f>
        <v/>
      </c>
      <c r="R245">
        <f>IF($W245="","",INDEX(명단표[이름],$W245))</f>
        <v/>
      </c>
      <c r="S245">
        <f>IF($W245="","",INDEX(명단표[사번],$W245)&amp;"")</f>
        <v/>
      </c>
      <c r="T245">
        <f>IF($W245="","",INDEX(명단표[소속병원],$W245))</f>
        <v/>
      </c>
      <c r="U245">
        <f>IF($W245="","",INDEX(명단표[서울 근무일(기준월)],$W245))</f>
        <v/>
      </c>
      <c r="V245">
        <f>IF($W245="","",INDEX(명단표[구리 근무일(기준월)],$W245))</f>
        <v/>
      </c>
      <c r="W245" s="17">
        <f>IFERROR(MATCH(240,명단표[판정불가순번],0),"")</f>
        <v/>
      </c>
    </row>
    <row r="246">
      <c r="A246">
        <f>IF($P246="","",241)</f>
        <v/>
      </c>
      <c r="B246">
        <f>IF($P246="","",INDEX(명단표[이름],$P246))</f>
        <v/>
      </c>
      <c r="C246">
        <f>IF($P246="","",INDEX(명단표[사번],$P246)&amp;"")</f>
        <v/>
      </c>
      <c r="D246">
        <f>IF($P246="","",INDEX(명단표[전공의등록번호],$P246)&amp;"")</f>
        <v/>
      </c>
      <c r="E246">
        <f>IF($P246="","",INDEX(명단표[수련과목],$P246)&amp;"")</f>
        <v/>
      </c>
      <c r="F246">
        <f>IF($P246="","",INDEX(명단표[연차],$P246)&amp;"")</f>
        <v/>
      </c>
      <c r="G246">
        <f>IF($P246="","",INDEX(명단표[소속병원],$P246))</f>
        <v/>
      </c>
      <c r="H246">
        <f>IF($P246="","",IF(INDEX(명단표[소속병원],$P246)="서울병원","서울 소속","타 병원 소속("&amp;INDEX(명단표[소속병원],$P246)&amp;") → 서울 지급"))</f>
        <v/>
      </c>
      <c r="I246">
        <f>IF($P246="","",INDEX(명단표[현재 근무병원],$P246))</f>
        <v/>
      </c>
      <c r="J246">
        <f>IF($P246="","",INDEX(명단표[구리 근무 시작일(기준월)],$P246)&amp;"")</f>
        <v/>
      </c>
      <c r="K246">
        <f>IF($P246="","",INDEX(명단표[구리 근무 종료일(기준월)],$P246)&amp;"")</f>
        <v/>
      </c>
      <c r="L246">
        <f>IF($P246="","",INDEX(명단표[서울 근무일(기준월)],$P246))</f>
        <v/>
      </c>
      <c r="M246">
        <f>IF($P246="","",INDEX(명단표[구리 근무일(기준월)],$P246))</f>
        <v/>
      </c>
      <c r="N246">
        <f>IF($P246="","",INDEX(명단표[급여 판정 근거],$P246))</f>
        <v/>
      </c>
      <c r="O246">
        <f>IF($P246="","",INDEX(명단표[점검],$P246))</f>
        <v/>
      </c>
      <c r="P246" s="17">
        <f>IFERROR(MATCH(241,명단표[서울순번],0),"")</f>
        <v/>
      </c>
      <c r="R246">
        <f>IF($W246="","",INDEX(명단표[이름],$W246))</f>
        <v/>
      </c>
      <c r="S246">
        <f>IF($W246="","",INDEX(명단표[사번],$W246)&amp;"")</f>
        <v/>
      </c>
      <c r="T246">
        <f>IF($W246="","",INDEX(명단표[소속병원],$W246))</f>
        <v/>
      </c>
      <c r="U246">
        <f>IF($W246="","",INDEX(명단표[서울 근무일(기준월)],$W246))</f>
        <v/>
      </c>
      <c r="V246">
        <f>IF($W246="","",INDEX(명단표[구리 근무일(기준월)],$W246))</f>
        <v/>
      </c>
      <c r="W246" s="17">
        <f>IFERROR(MATCH(241,명단표[판정불가순번],0),"")</f>
        <v/>
      </c>
    </row>
    <row r="247">
      <c r="A247">
        <f>IF($P247="","",242)</f>
        <v/>
      </c>
      <c r="B247">
        <f>IF($P247="","",INDEX(명단표[이름],$P247))</f>
        <v/>
      </c>
      <c r="C247">
        <f>IF($P247="","",INDEX(명단표[사번],$P247)&amp;"")</f>
        <v/>
      </c>
      <c r="D247">
        <f>IF($P247="","",INDEX(명단표[전공의등록번호],$P247)&amp;"")</f>
        <v/>
      </c>
      <c r="E247">
        <f>IF($P247="","",INDEX(명단표[수련과목],$P247)&amp;"")</f>
        <v/>
      </c>
      <c r="F247">
        <f>IF($P247="","",INDEX(명단표[연차],$P247)&amp;"")</f>
        <v/>
      </c>
      <c r="G247">
        <f>IF($P247="","",INDEX(명단표[소속병원],$P247))</f>
        <v/>
      </c>
      <c r="H247">
        <f>IF($P247="","",IF(INDEX(명단표[소속병원],$P247)="서울병원","서울 소속","타 병원 소속("&amp;INDEX(명단표[소속병원],$P247)&amp;") → 서울 지급"))</f>
        <v/>
      </c>
      <c r="I247">
        <f>IF($P247="","",INDEX(명단표[현재 근무병원],$P247))</f>
        <v/>
      </c>
      <c r="J247">
        <f>IF($P247="","",INDEX(명단표[구리 근무 시작일(기준월)],$P247)&amp;"")</f>
        <v/>
      </c>
      <c r="K247">
        <f>IF($P247="","",INDEX(명단표[구리 근무 종료일(기준월)],$P247)&amp;"")</f>
        <v/>
      </c>
      <c r="L247">
        <f>IF($P247="","",INDEX(명단표[서울 근무일(기준월)],$P247))</f>
        <v/>
      </c>
      <c r="M247">
        <f>IF($P247="","",INDEX(명단표[구리 근무일(기준월)],$P247))</f>
        <v/>
      </c>
      <c r="N247">
        <f>IF($P247="","",INDEX(명단표[급여 판정 근거],$P247))</f>
        <v/>
      </c>
      <c r="O247">
        <f>IF($P247="","",INDEX(명단표[점검],$P247))</f>
        <v/>
      </c>
      <c r="P247" s="17">
        <f>IFERROR(MATCH(242,명단표[서울순번],0),"")</f>
        <v/>
      </c>
      <c r="R247">
        <f>IF($W247="","",INDEX(명단표[이름],$W247))</f>
        <v/>
      </c>
      <c r="S247">
        <f>IF($W247="","",INDEX(명단표[사번],$W247)&amp;"")</f>
        <v/>
      </c>
      <c r="T247">
        <f>IF($W247="","",INDEX(명단표[소속병원],$W247))</f>
        <v/>
      </c>
      <c r="U247">
        <f>IF($W247="","",INDEX(명단표[서울 근무일(기준월)],$W247))</f>
        <v/>
      </c>
      <c r="V247">
        <f>IF($W247="","",INDEX(명단표[구리 근무일(기준월)],$W247))</f>
        <v/>
      </c>
      <c r="W247" s="17">
        <f>IFERROR(MATCH(242,명단표[판정불가순번],0),"")</f>
        <v/>
      </c>
    </row>
    <row r="248">
      <c r="A248">
        <f>IF($P248="","",243)</f>
        <v/>
      </c>
      <c r="B248">
        <f>IF($P248="","",INDEX(명단표[이름],$P248))</f>
        <v/>
      </c>
      <c r="C248">
        <f>IF($P248="","",INDEX(명단표[사번],$P248)&amp;"")</f>
        <v/>
      </c>
      <c r="D248">
        <f>IF($P248="","",INDEX(명단표[전공의등록번호],$P248)&amp;"")</f>
        <v/>
      </c>
      <c r="E248">
        <f>IF($P248="","",INDEX(명단표[수련과목],$P248)&amp;"")</f>
        <v/>
      </c>
      <c r="F248">
        <f>IF($P248="","",INDEX(명단표[연차],$P248)&amp;"")</f>
        <v/>
      </c>
      <c r="G248">
        <f>IF($P248="","",INDEX(명단표[소속병원],$P248))</f>
        <v/>
      </c>
      <c r="H248">
        <f>IF($P248="","",IF(INDEX(명단표[소속병원],$P248)="서울병원","서울 소속","타 병원 소속("&amp;INDEX(명단표[소속병원],$P248)&amp;") → 서울 지급"))</f>
        <v/>
      </c>
      <c r="I248">
        <f>IF($P248="","",INDEX(명단표[현재 근무병원],$P248))</f>
        <v/>
      </c>
      <c r="J248">
        <f>IF($P248="","",INDEX(명단표[구리 근무 시작일(기준월)],$P248)&amp;"")</f>
        <v/>
      </c>
      <c r="K248">
        <f>IF($P248="","",INDEX(명단표[구리 근무 종료일(기준월)],$P248)&amp;"")</f>
        <v/>
      </c>
      <c r="L248">
        <f>IF($P248="","",INDEX(명단표[서울 근무일(기준월)],$P248))</f>
        <v/>
      </c>
      <c r="M248">
        <f>IF($P248="","",INDEX(명단표[구리 근무일(기준월)],$P248))</f>
        <v/>
      </c>
      <c r="N248">
        <f>IF($P248="","",INDEX(명단표[급여 판정 근거],$P248))</f>
        <v/>
      </c>
      <c r="O248">
        <f>IF($P248="","",INDEX(명단표[점검],$P248))</f>
        <v/>
      </c>
      <c r="P248" s="17">
        <f>IFERROR(MATCH(243,명단표[서울순번],0),"")</f>
        <v/>
      </c>
      <c r="R248">
        <f>IF($W248="","",INDEX(명단표[이름],$W248))</f>
        <v/>
      </c>
      <c r="S248">
        <f>IF($W248="","",INDEX(명단표[사번],$W248)&amp;"")</f>
        <v/>
      </c>
      <c r="T248">
        <f>IF($W248="","",INDEX(명단표[소속병원],$W248))</f>
        <v/>
      </c>
      <c r="U248">
        <f>IF($W248="","",INDEX(명단표[서울 근무일(기준월)],$W248))</f>
        <v/>
      </c>
      <c r="V248">
        <f>IF($W248="","",INDEX(명단표[구리 근무일(기준월)],$W248))</f>
        <v/>
      </c>
      <c r="W248" s="17">
        <f>IFERROR(MATCH(243,명단표[판정불가순번],0),"")</f>
        <v/>
      </c>
    </row>
    <row r="249">
      <c r="A249">
        <f>IF($P249="","",244)</f>
        <v/>
      </c>
      <c r="B249">
        <f>IF($P249="","",INDEX(명단표[이름],$P249))</f>
        <v/>
      </c>
      <c r="C249">
        <f>IF($P249="","",INDEX(명단표[사번],$P249)&amp;"")</f>
        <v/>
      </c>
      <c r="D249">
        <f>IF($P249="","",INDEX(명단표[전공의등록번호],$P249)&amp;"")</f>
        <v/>
      </c>
      <c r="E249">
        <f>IF($P249="","",INDEX(명단표[수련과목],$P249)&amp;"")</f>
        <v/>
      </c>
      <c r="F249">
        <f>IF($P249="","",INDEX(명단표[연차],$P249)&amp;"")</f>
        <v/>
      </c>
      <c r="G249">
        <f>IF($P249="","",INDEX(명단표[소속병원],$P249))</f>
        <v/>
      </c>
      <c r="H249">
        <f>IF($P249="","",IF(INDEX(명단표[소속병원],$P249)="서울병원","서울 소속","타 병원 소속("&amp;INDEX(명단표[소속병원],$P249)&amp;") → 서울 지급"))</f>
        <v/>
      </c>
      <c r="I249">
        <f>IF($P249="","",INDEX(명단표[현재 근무병원],$P249))</f>
        <v/>
      </c>
      <c r="J249">
        <f>IF($P249="","",INDEX(명단표[구리 근무 시작일(기준월)],$P249)&amp;"")</f>
        <v/>
      </c>
      <c r="K249">
        <f>IF($P249="","",INDEX(명단표[구리 근무 종료일(기준월)],$P249)&amp;"")</f>
        <v/>
      </c>
      <c r="L249">
        <f>IF($P249="","",INDEX(명단표[서울 근무일(기준월)],$P249))</f>
        <v/>
      </c>
      <c r="M249">
        <f>IF($P249="","",INDEX(명단표[구리 근무일(기준월)],$P249))</f>
        <v/>
      </c>
      <c r="N249">
        <f>IF($P249="","",INDEX(명단표[급여 판정 근거],$P249))</f>
        <v/>
      </c>
      <c r="O249">
        <f>IF($P249="","",INDEX(명단표[점검],$P249))</f>
        <v/>
      </c>
      <c r="P249" s="17">
        <f>IFERROR(MATCH(244,명단표[서울순번],0),"")</f>
        <v/>
      </c>
      <c r="R249">
        <f>IF($W249="","",INDEX(명단표[이름],$W249))</f>
        <v/>
      </c>
      <c r="S249">
        <f>IF($W249="","",INDEX(명단표[사번],$W249)&amp;"")</f>
        <v/>
      </c>
      <c r="T249">
        <f>IF($W249="","",INDEX(명단표[소속병원],$W249))</f>
        <v/>
      </c>
      <c r="U249">
        <f>IF($W249="","",INDEX(명단표[서울 근무일(기준월)],$W249))</f>
        <v/>
      </c>
      <c r="V249">
        <f>IF($W249="","",INDEX(명단표[구리 근무일(기준월)],$W249))</f>
        <v/>
      </c>
      <c r="W249" s="17">
        <f>IFERROR(MATCH(244,명단표[판정불가순번],0),"")</f>
        <v/>
      </c>
    </row>
    <row r="250">
      <c r="A250">
        <f>IF($P250="","",245)</f>
        <v/>
      </c>
      <c r="B250">
        <f>IF($P250="","",INDEX(명단표[이름],$P250))</f>
        <v/>
      </c>
      <c r="C250">
        <f>IF($P250="","",INDEX(명단표[사번],$P250)&amp;"")</f>
        <v/>
      </c>
      <c r="D250">
        <f>IF($P250="","",INDEX(명단표[전공의등록번호],$P250)&amp;"")</f>
        <v/>
      </c>
      <c r="E250">
        <f>IF($P250="","",INDEX(명단표[수련과목],$P250)&amp;"")</f>
        <v/>
      </c>
      <c r="F250">
        <f>IF($P250="","",INDEX(명단표[연차],$P250)&amp;"")</f>
        <v/>
      </c>
      <c r="G250">
        <f>IF($P250="","",INDEX(명단표[소속병원],$P250))</f>
        <v/>
      </c>
      <c r="H250">
        <f>IF($P250="","",IF(INDEX(명단표[소속병원],$P250)="서울병원","서울 소속","타 병원 소속("&amp;INDEX(명단표[소속병원],$P250)&amp;") → 서울 지급"))</f>
        <v/>
      </c>
      <c r="I250">
        <f>IF($P250="","",INDEX(명단표[현재 근무병원],$P250))</f>
        <v/>
      </c>
      <c r="J250">
        <f>IF($P250="","",INDEX(명단표[구리 근무 시작일(기준월)],$P250)&amp;"")</f>
        <v/>
      </c>
      <c r="K250">
        <f>IF($P250="","",INDEX(명단표[구리 근무 종료일(기준월)],$P250)&amp;"")</f>
        <v/>
      </c>
      <c r="L250">
        <f>IF($P250="","",INDEX(명단표[서울 근무일(기준월)],$P250))</f>
        <v/>
      </c>
      <c r="M250">
        <f>IF($P250="","",INDEX(명단표[구리 근무일(기준월)],$P250))</f>
        <v/>
      </c>
      <c r="N250">
        <f>IF($P250="","",INDEX(명단표[급여 판정 근거],$P250))</f>
        <v/>
      </c>
      <c r="O250">
        <f>IF($P250="","",INDEX(명단표[점검],$P250))</f>
        <v/>
      </c>
      <c r="P250" s="17">
        <f>IFERROR(MATCH(245,명단표[서울순번],0),"")</f>
        <v/>
      </c>
      <c r="R250">
        <f>IF($W250="","",INDEX(명단표[이름],$W250))</f>
        <v/>
      </c>
      <c r="S250">
        <f>IF($W250="","",INDEX(명단표[사번],$W250)&amp;"")</f>
        <v/>
      </c>
      <c r="T250">
        <f>IF($W250="","",INDEX(명단표[소속병원],$W250))</f>
        <v/>
      </c>
      <c r="U250">
        <f>IF($W250="","",INDEX(명단표[서울 근무일(기준월)],$W250))</f>
        <v/>
      </c>
      <c r="V250">
        <f>IF($W250="","",INDEX(명단표[구리 근무일(기준월)],$W250))</f>
        <v/>
      </c>
      <c r="W250" s="17">
        <f>IFERROR(MATCH(245,명단표[판정불가순번],0),"")</f>
        <v/>
      </c>
    </row>
    <row r="251">
      <c r="A251">
        <f>IF($P251="","",246)</f>
        <v/>
      </c>
      <c r="B251">
        <f>IF($P251="","",INDEX(명단표[이름],$P251))</f>
        <v/>
      </c>
      <c r="C251">
        <f>IF($P251="","",INDEX(명단표[사번],$P251)&amp;"")</f>
        <v/>
      </c>
      <c r="D251">
        <f>IF($P251="","",INDEX(명단표[전공의등록번호],$P251)&amp;"")</f>
        <v/>
      </c>
      <c r="E251">
        <f>IF($P251="","",INDEX(명단표[수련과목],$P251)&amp;"")</f>
        <v/>
      </c>
      <c r="F251">
        <f>IF($P251="","",INDEX(명단표[연차],$P251)&amp;"")</f>
        <v/>
      </c>
      <c r="G251">
        <f>IF($P251="","",INDEX(명단표[소속병원],$P251))</f>
        <v/>
      </c>
      <c r="H251">
        <f>IF($P251="","",IF(INDEX(명단표[소속병원],$P251)="서울병원","서울 소속","타 병원 소속("&amp;INDEX(명단표[소속병원],$P251)&amp;") → 서울 지급"))</f>
        <v/>
      </c>
      <c r="I251">
        <f>IF($P251="","",INDEX(명단표[현재 근무병원],$P251))</f>
        <v/>
      </c>
      <c r="J251">
        <f>IF($P251="","",INDEX(명단표[구리 근무 시작일(기준월)],$P251)&amp;"")</f>
        <v/>
      </c>
      <c r="K251">
        <f>IF($P251="","",INDEX(명단표[구리 근무 종료일(기준월)],$P251)&amp;"")</f>
        <v/>
      </c>
      <c r="L251">
        <f>IF($P251="","",INDEX(명단표[서울 근무일(기준월)],$P251))</f>
        <v/>
      </c>
      <c r="M251">
        <f>IF($P251="","",INDEX(명단표[구리 근무일(기준월)],$P251))</f>
        <v/>
      </c>
      <c r="N251">
        <f>IF($P251="","",INDEX(명단표[급여 판정 근거],$P251))</f>
        <v/>
      </c>
      <c r="O251">
        <f>IF($P251="","",INDEX(명단표[점검],$P251))</f>
        <v/>
      </c>
      <c r="P251" s="17">
        <f>IFERROR(MATCH(246,명단표[서울순번],0),"")</f>
        <v/>
      </c>
      <c r="R251">
        <f>IF($W251="","",INDEX(명단표[이름],$W251))</f>
        <v/>
      </c>
      <c r="S251">
        <f>IF($W251="","",INDEX(명단표[사번],$W251)&amp;"")</f>
        <v/>
      </c>
      <c r="T251">
        <f>IF($W251="","",INDEX(명단표[소속병원],$W251))</f>
        <v/>
      </c>
      <c r="U251">
        <f>IF($W251="","",INDEX(명단표[서울 근무일(기준월)],$W251))</f>
        <v/>
      </c>
      <c r="V251">
        <f>IF($W251="","",INDEX(명단표[구리 근무일(기준월)],$W251))</f>
        <v/>
      </c>
      <c r="W251" s="17">
        <f>IFERROR(MATCH(246,명단표[판정불가순번],0),"")</f>
        <v/>
      </c>
    </row>
    <row r="252">
      <c r="A252">
        <f>IF($P252="","",247)</f>
        <v/>
      </c>
      <c r="B252">
        <f>IF($P252="","",INDEX(명단표[이름],$P252))</f>
        <v/>
      </c>
      <c r="C252">
        <f>IF($P252="","",INDEX(명단표[사번],$P252)&amp;"")</f>
        <v/>
      </c>
      <c r="D252">
        <f>IF($P252="","",INDEX(명단표[전공의등록번호],$P252)&amp;"")</f>
        <v/>
      </c>
      <c r="E252">
        <f>IF($P252="","",INDEX(명단표[수련과목],$P252)&amp;"")</f>
        <v/>
      </c>
      <c r="F252">
        <f>IF($P252="","",INDEX(명단표[연차],$P252)&amp;"")</f>
        <v/>
      </c>
      <c r="G252">
        <f>IF($P252="","",INDEX(명단표[소속병원],$P252))</f>
        <v/>
      </c>
      <c r="H252">
        <f>IF($P252="","",IF(INDEX(명단표[소속병원],$P252)="서울병원","서울 소속","타 병원 소속("&amp;INDEX(명단표[소속병원],$P252)&amp;") → 서울 지급"))</f>
        <v/>
      </c>
      <c r="I252">
        <f>IF($P252="","",INDEX(명단표[현재 근무병원],$P252))</f>
        <v/>
      </c>
      <c r="J252">
        <f>IF($P252="","",INDEX(명단표[구리 근무 시작일(기준월)],$P252)&amp;"")</f>
        <v/>
      </c>
      <c r="K252">
        <f>IF($P252="","",INDEX(명단표[구리 근무 종료일(기준월)],$P252)&amp;"")</f>
        <v/>
      </c>
      <c r="L252">
        <f>IF($P252="","",INDEX(명단표[서울 근무일(기준월)],$P252))</f>
        <v/>
      </c>
      <c r="M252">
        <f>IF($P252="","",INDEX(명단표[구리 근무일(기준월)],$P252))</f>
        <v/>
      </c>
      <c r="N252">
        <f>IF($P252="","",INDEX(명단표[급여 판정 근거],$P252))</f>
        <v/>
      </c>
      <c r="O252">
        <f>IF($P252="","",INDEX(명단표[점검],$P252))</f>
        <v/>
      </c>
      <c r="P252" s="17">
        <f>IFERROR(MATCH(247,명단표[서울순번],0),"")</f>
        <v/>
      </c>
      <c r="R252">
        <f>IF($W252="","",INDEX(명단표[이름],$W252))</f>
        <v/>
      </c>
      <c r="S252">
        <f>IF($W252="","",INDEX(명단표[사번],$W252)&amp;"")</f>
        <v/>
      </c>
      <c r="T252">
        <f>IF($W252="","",INDEX(명단표[소속병원],$W252))</f>
        <v/>
      </c>
      <c r="U252">
        <f>IF($W252="","",INDEX(명단표[서울 근무일(기준월)],$W252))</f>
        <v/>
      </c>
      <c r="V252">
        <f>IF($W252="","",INDEX(명단표[구리 근무일(기준월)],$W252))</f>
        <v/>
      </c>
      <c r="W252" s="17">
        <f>IFERROR(MATCH(247,명단표[판정불가순번],0),"")</f>
        <v/>
      </c>
    </row>
    <row r="253">
      <c r="A253">
        <f>IF($P253="","",248)</f>
        <v/>
      </c>
      <c r="B253">
        <f>IF($P253="","",INDEX(명단표[이름],$P253))</f>
        <v/>
      </c>
      <c r="C253">
        <f>IF($P253="","",INDEX(명단표[사번],$P253)&amp;"")</f>
        <v/>
      </c>
      <c r="D253">
        <f>IF($P253="","",INDEX(명단표[전공의등록번호],$P253)&amp;"")</f>
        <v/>
      </c>
      <c r="E253">
        <f>IF($P253="","",INDEX(명단표[수련과목],$P253)&amp;"")</f>
        <v/>
      </c>
      <c r="F253">
        <f>IF($P253="","",INDEX(명단표[연차],$P253)&amp;"")</f>
        <v/>
      </c>
      <c r="G253">
        <f>IF($P253="","",INDEX(명단표[소속병원],$P253))</f>
        <v/>
      </c>
      <c r="H253">
        <f>IF($P253="","",IF(INDEX(명단표[소속병원],$P253)="서울병원","서울 소속","타 병원 소속("&amp;INDEX(명단표[소속병원],$P253)&amp;") → 서울 지급"))</f>
        <v/>
      </c>
      <c r="I253">
        <f>IF($P253="","",INDEX(명단표[현재 근무병원],$P253))</f>
        <v/>
      </c>
      <c r="J253">
        <f>IF($P253="","",INDEX(명단표[구리 근무 시작일(기준월)],$P253)&amp;"")</f>
        <v/>
      </c>
      <c r="K253">
        <f>IF($P253="","",INDEX(명단표[구리 근무 종료일(기준월)],$P253)&amp;"")</f>
        <v/>
      </c>
      <c r="L253">
        <f>IF($P253="","",INDEX(명단표[서울 근무일(기준월)],$P253))</f>
        <v/>
      </c>
      <c r="M253">
        <f>IF($P253="","",INDEX(명단표[구리 근무일(기준월)],$P253))</f>
        <v/>
      </c>
      <c r="N253">
        <f>IF($P253="","",INDEX(명단표[급여 판정 근거],$P253))</f>
        <v/>
      </c>
      <c r="O253">
        <f>IF($P253="","",INDEX(명단표[점검],$P253))</f>
        <v/>
      </c>
      <c r="P253" s="17">
        <f>IFERROR(MATCH(248,명단표[서울순번],0),"")</f>
        <v/>
      </c>
      <c r="R253">
        <f>IF($W253="","",INDEX(명단표[이름],$W253))</f>
        <v/>
      </c>
      <c r="S253">
        <f>IF($W253="","",INDEX(명단표[사번],$W253)&amp;"")</f>
        <v/>
      </c>
      <c r="T253">
        <f>IF($W253="","",INDEX(명단표[소속병원],$W253))</f>
        <v/>
      </c>
      <c r="U253">
        <f>IF($W253="","",INDEX(명단표[서울 근무일(기준월)],$W253))</f>
        <v/>
      </c>
      <c r="V253">
        <f>IF($W253="","",INDEX(명단표[구리 근무일(기준월)],$W253))</f>
        <v/>
      </c>
      <c r="W253" s="17">
        <f>IFERROR(MATCH(248,명단표[판정불가순번],0),"")</f>
        <v/>
      </c>
    </row>
    <row r="254">
      <c r="A254">
        <f>IF($P254="","",249)</f>
        <v/>
      </c>
      <c r="B254">
        <f>IF($P254="","",INDEX(명단표[이름],$P254))</f>
        <v/>
      </c>
      <c r="C254">
        <f>IF($P254="","",INDEX(명단표[사번],$P254)&amp;"")</f>
        <v/>
      </c>
      <c r="D254">
        <f>IF($P254="","",INDEX(명단표[전공의등록번호],$P254)&amp;"")</f>
        <v/>
      </c>
      <c r="E254">
        <f>IF($P254="","",INDEX(명단표[수련과목],$P254)&amp;"")</f>
        <v/>
      </c>
      <c r="F254">
        <f>IF($P254="","",INDEX(명단표[연차],$P254)&amp;"")</f>
        <v/>
      </c>
      <c r="G254">
        <f>IF($P254="","",INDEX(명단표[소속병원],$P254))</f>
        <v/>
      </c>
      <c r="H254">
        <f>IF($P254="","",IF(INDEX(명단표[소속병원],$P254)="서울병원","서울 소속","타 병원 소속("&amp;INDEX(명단표[소속병원],$P254)&amp;") → 서울 지급"))</f>
        <v/>
      </c>
      <c r="I254">
        <f>IF($P254="","",INDEX(명단표[현재 근무병원],$P254))</f>
        <v/>
      </c>
      <c r="J254">
        <f>IF($P254="","",INDEX(명단표[구리 근무 시작일(기준월)],$P254)&amp;"")</f>
        <v/>
      </c>
      <c r="K254">
        <f>IF($P254="","",INDEX(명단표[구리 근무 종료일(기준월)],$P254)&amp;"")</f>
        <v/>
      </c>
      <c r="L254">
        <f>IF($P254="","",INDEX(명단표[서울 근무일(기준월)],$P254))</f>
        <v/>
      </c>
      <c r="M254">
        <f>IF($P254="","",INDEX(명단표[구리 근무일(기준월)],$P254))</f>
        <v/>
      </c>
      <c r="N254">
        <f>IF($P254="","",INDEX(명단표[급여 판정 근거],$P254))</f>
        <v/>
      </c>
      <c r="O254">
        <f>IF($P254="","",INDEX(명단표[점검],$P254))</f>
        <v/>
      </c>
      <c r="P254" s="17">
        <f>IFERROR(MATCH(249,명단표[서울순번],0),"")</f>
        <v/>
      </c>
      <c r="R254">
        <f>IF($W254="","",INDEX(명단표[이름],$W254))</f>
        <v/>
      </c>
      <c r="S254">
        <f>IF($W254="","",INDEX(명단표[사번],$W254)&amp;"")</f>
        <v/>
      </c>
      <c r="T254">
        <f>IF($W254="","",INDEX(명단표[소속병원],$W254))</f>
        <v/>
      </c>
      <c r="U254">
        <f>IF($W254="","",INDEX(명단표[서울 근무일(기준월)],$W254))</f>
        <v/>
      </c>
      <c r="V254">
        <f>IF($W254="","",INDEX(명단표[구리 근무일(기준월)],$W254))</f>
        <v/>
      </c>
      <c r="W254" s="17">
        <f>IFERROR(MATCH(249,명단표[판정불가순번],0),"")</f>
        <v/>
      </c>
    </row>
    <row r="255">
      <c r="A255">
        <f>IF($P255="","",250)</f>
        <v/>
      </c>
      <c r="B255">
        <f>IF($P255="","",INDEX(명단표[이름],$P255))</f>
        <v/>
      </c>
      <c r="C255">
        <f>IF($P255="","",INDEX(명단표[사번],$P255)&amp;"")</f>
        <v/>
      </c>
      <c r="D255">
        <f>IF($P255="","",INDEX(명단표[전공의등록번호],$P255)&amp;"")</f>
        <v/>
      </c>
      <c r="E255">
        <f>IF($P255="","",INDEX(명단표[수련과목],$P255)&amp;"")</f>
        <v/>
      </c>
      <c r="F255">
        <f>IF($P255="","",INDEX(명단표[연차],$P255)&amp;"")</f>
        <v/>
      </c>
      <c r="G255">
        <f>IF($P255="","",INDEX(명단표[소속병원],$P255))</f>
        <v/>
      </c>
      <c r="H255">
        <f>IF($P255="","",IF(INDEX(명단표[소속병원],$P255)="서울병원","서울 소속","타 병원 소속("&amp;INDEX(명단표[소속병원],$P255)&amp;") → 서울 지급"))</f>
        <v/>
      </c>
      <c r="I255">
        <f>IF($P255="","",INDEX(명단표[현재 근무병원],$P255))</f>
        <v/>
      </c>
      <c r="J255">
        <f>IF($P255="","",INDEX(명단표[구리 근무 시작일(기준월)],$P255)&amp;"")</f>
        <v/>
      </c>
      <c r="K255">
        <f>IF($P255="","",INDEX(명단표[구리 근무 종료일(기준월)],$P255)&amp;"")</f>
        <v/>
      </c>
      <c r="L255">
        <f>IF($P255="","",INDEX(명단표[서울 근무일(기준월)],$P255))</f>
        <v/>
      </c>
      <c r="M255">
        <f>IF($P255="","",INDEX(명단표[구리 근무일(기준월)],$P255))</f>
        <v/>
      </c>
      <c r="N255">
        <f>IF($P255="","",INDEX(명단표[급여 판정 근거],$P255))</f>
        <v/>
      </c>
      <c r="O255">
        <f>IF($P255="","",INDEX(명단표[점검],$P255))</f>
        <v/>
      </c>
      <c r="P255" s="17">
        <f>IFERROR(MATCH(250,명단표[서울순번],0),"")</f>
        <v/>
      </c>
      <c r="R255">
        <f>IF($W255="","",INDEX(명단표[이름],$W255))</f>
        <v/>
      </c>
      <c r="S255">
        <f>IF($W255="","",INDEX(명단표[사번],$W255)&amp;"")</f>
        <v/>
      </c>
      <c r="T255">
        <f>IF($W255="","",INDEX(명단표[소속병원],$W255))</f>
        <v/>
      </c>
      <c r="U255">
        <f>IF($W255="","",INDEX(명단표[서울 근무일(기준월)],$W255))</f>
        <v/>
      </c>
      <c r="V255">
        <f>IF($W255="","",INDEX(명단표[구리 근무일(기준월)],$W255))</f>
        <v/>
      </c>
      <c r="W255" s="17">
        <f>IFERROR(MATCH(250,명단표[판정불가순번],0),"")</f>
        <v/>
      </c>
    </row>
    <row r="256">
      <c r="A256">
        <f>IF($P256="","",251)</f>
        <v/>
      </c>
      <c r="B256">
        <f>IF($P256="","",INDEX(명단표[이름],$P256))</f>
        <v/>
      </c>
      <c r="C256">
        <f>IF($P256="","",INDEX(명단표[사번],$P256)&amp;"")</f>
        <v/>
      </c>
      <c r="D256">
        <f>IF($P256="","",INDEX(명단표[전공의등록번호],$P256)&amp;"")</f>
        <v/>
      </c>
      <c r="E256">
        <f>IF($P256="","",INDEX(명단표[수련과목],$P256)&amp;"")</f>
        <v/>
      </c>
      <c r="F256">
        <f>IF($P256="","",INDEX(명단표[연차],$P256)&amp;"")</f>
        <v/>
      </c>
      <c r="G256">
        <f>IF($P256="","",INDEX(명단표[소속병원],$P256))</f>
        <v/>
      </c>
      <c r="H256">
        <f>IF($P256="","",IF(INDEX(명단표[소속병원],$P256)="서울병원","서울 소속","타 병원 소속("&amp;INDEX(명단표[소속병원],$P256)&amp;") → 서울 지급"))</f>
        <v/>
      </c>
      <c r="I256">
        <f>IF($P256="","",INDEX(명단표[현재 근무병원],$P256))</f>
        <v/>
      </c>
      <c r="J256">
        <f>IF($P256="","",INDEX(명단표[구리 근무 시작일(기준월)],$P256)&amp;"")</f>
        <v/>
      </c>
      <c r="K256">
        <f>IF($P256="","",INDEX(명단표[구리 근무 종료일(기준월)],$P256)&amp;"")</f>
        <v/>
      </c>
      <c r="L256">
        <f>IF($P256="","",INDEX(명단표[서울 근무일(기준월)],$P256))</f>
        <v/>
      </c>
      <c r="M256">
        <f>IF($P256="","",INDEX(명단표[구리 근무일(기준월)],$P256))</f>
        <v/>
      </c>
      <c r="N256">
        <f>IF($P256="","",INDEX(명단표[급여 판정 근거],$P256))</f>
        <v/>
      </c>
      <c r="O256">
        <f>IF($P256="","",INDEX(명단표[점검],$P256))</f>
        <v/>
      </c>
      <c r="P256" s="17">
        <f>IFERROR(MATCH(251,명단표[서울순번],0),"")</f>
        <v/>
      </c>
      <c r="R256">
        <f>IF($W256="","",INDEX(명단표[이름],$W256))</f>
        <v/>
      </c>
      <c r="S256">
        <f>IF($W256="","",INDEX(명단표[사번],$W256)&amp;"")</f>
        <v/>
      </c>
      <c r="T256">
        <f>IF($W256="","",INDEX(명단표[소속병원],$W256))</f>
        <v/>
      </c>
      <c r="U256">
        <f>IF($W256="","",INDEX(명단표[서울 근무일(기준월)],$W256))</f>
        <v/>
      </c>
      <c r="V256">
        <f>IF($W256="","",INDEX(명단표[구리 근무일(기준월)],$W256))</f>
        <v/>
      </c>
      <c r="W256" s="17">
        <f>IFERROR(MATCH(251,명단표[판정불가순번],0),"")</f>
        <v/>
      </c>
    </row>
    <row r="257">
      <c r="A257">
        <f>IF($P257="","",252)</f>
        <v/>
      </c>
      <c r="B257">
        <f>IF($P257="","",INDEX(명단표[이름],$P257))</f>
        <v/>
      </c>
      <c r="C257">
        <f>IF($P257="","",INDEX(명단표[사번],$P257)&amp;"")</f>
        <v/>
      </c>
      <c r="D257">
        <f>IF($P257="","",INDEX(명단표[전공의등록번호],$P257)&amp;"")</f>
        <v/>
      </c>
      <c r="E257">
        <f>IF($P257="","",INDEX(명단표[수련과목],$P257)&amp;"")</f>
        <v/>
      </c>
      <c r="F257">
        <f>IF($P257="","",INDEX(명단표[연차],$P257)&amp;"")</f>
        <v/>
      </c>
      <c r="G257">
        <f>IF($P257="","",INDEX(명단표[소속병원],$P257))</f>
        <v/>
      </c>
      <c r="H257">
        <f>IF($P257="","",IF(INDEX(명단표[소속병원],$P257)="서울병원","서울 소속","타 병원 소속("&amp;INDEX(명단표[소속병원],$P257)&amp;") → 서울 지급"))</f>
        <v/>
      </c>
      <c r="I257">
        <f>IF($P257="","",INDEX(명단표[현재 근무병원],$P257))</f>
        <v/>
      </c>
      <c r="J257">
        <f>IF($P257="","",INDEX(명단표[구리 근무 시작일(기준월)],$P257)&amp;"")</f>
        <v/>
      </c>
      <c r="K257">
        <f>IF($P257="","",INDEX(명단표[구리 근무 종료일(기준월)],$P257)&amp;"")</f>
        <v/>
      </c>
      <c r="L257">
        <f>IF($P257="","",INDEX(명단표[서울 근무일(기준월)],$P257))</f>
        <v/>
      </c>
      <c r="M257">
        <f>IF($P257="","",INDEX(명단표[구리 근무일(기준월)],$P257))</f>
        <v/>
      </c>
      <c r="N257">
        <f>IF($P257="","",INDEX(명단표[급여 판정 근거],$P257))</f>
        <v/>
      </c>
      <c r="O257">
        <f>IF($P257="","",INDEX(명단표[점검],$P257))</f>
        <v/>
      </c>
      <c r="P257" s="17">
        <f>IFERROR(MATCH(252,명단표[서울순번],0),"")</f>
        <v/>
      </c>
      <c r="R257">
        <f>IF($W257="","",INDEX(명단표[이름],$W257))</f>
        <v/>
      </c>
      <c r="S257">
        <f>IF($W257="","",INDEX(명단표[사번],$W257)&amp;"")</f>
        <v/>
      </c>
      <c r="T257">
        <f>IF($W257="","",INDEX(명단표[소속병원],$W257))</f>
        <v/>
      </c>
      <c r="U257">
        <f>IF($W257="","",INDEX(명단표[서울 근무일(기준월)],$W257))</f>
        <v/>
      </c>
      <c r="V257">
        <f>IF($W257="","",INDEX(명단표[구리 근무일(기준월)],$W257))</f>
        <v/>
      </c>
      <c r="W257" s="17">
        <f>IFERROR(MATCH(252,명단표[판정불가순번],0),"")</f>
        <v/>
      </c>
    </row>
    <row r="258">
      <c r="A258">
        <f>IF($P258="","",253)</f>
        <v/>
      </c>
      <c r="B258">
        <f>IF($P258="","",INDEX(명단표[이름],$P258))</f>
        <v/>
      </c>
      <c r="C258">
        <f>IF($P258="","",INDEX(명단표[사번],$P258)&amp;"")</f>
        <v/>
      </c>
      <c r="D258">
        <f>IF($P258="","",INDEX(명단표[전공의등록번호],$P258)&amp;"")</f>
        <v/>
      </c>
      <c r="E258">
        <f>IF($P258="","",INDEX(명단표[수련과목],$P258)&amp;"")</f>
        <v/>
      </c>
      <c r="F258">
        <f>IF($P258="","",INDEX(명단표[연차],$P258)&amp;"")</f>
        <v/>
      </c>
      <c r="G258">
        <f>IF($P258="","",INDEX(명단표[소속병원],$P258))</f>
        <v/>
      </c>
      <c r="H258">
        <f>IF($P258="","",IF(INDEX(명단표[소속병원],$P258)="서울병원","서울 소속","타 병원 소속("&amp;INDEX(명단표[소속병원],$P258)&amp;") → 서울 지급"))</f>
        <v/>
      </c>
      <c r="I258">
        <f>IF($P258="","",INDEX(명단표[현재 근무병원],$P258))</f>
        <v/>
      </c>
      <c r="J258">
        <f>IF($P258="","",INDEX(명단표[구리 근무 시작일(기준월)],$P258)&amp;"")</f>
        <v/>
      </c>
      <c r="K258">
        <f>IF($P258="","",INDEX(명단표[구리 근무 종료일(기준월)],$P258)&amp;"")</f>
        <v/>
      </c>
      <c r="L258">
        <f>IF($P258="","",INDEX(명단표[서울 근무일(기준월)],$P258))</f>
        <v/>
      </c>
      <c r="M258">
        <f>IF($P258="","",INDEX(명단표[구리 근무일(기준월)],$P258))</f>
        <v/>
      </c>
      <c r="N258">
        <f>IF($P258="","",INDEX(명단표[급여 판정 근거],$P258))</f>
        <v/>
      </c>
      <c r="O258">
        <f>IF($P258="","",INDEX(명단표[점검],$P258))</f>
        <v/>
      </c>
      <c r="P258" s="17">
        <f>IFERROR(MATCH(253,명단표[서울순번],0),"")</f>
        <v/>
      </c>
      <c r="R258">
        <f>IF($W258="","",INDEX(명단표[이름],$W258))</f>
        <v/>
      </c>
      <c r="S258">
        <f>IF($W258="","",INDEX(명단표[사번],$W258)&amp;"")</f>
        <v/>
      </c>
      <c r="T258">
        <f>IF($W258="","",INDEX(명단표[소속병원],$W258))</f>
        <v/>
      </c>
      <c r="U258">
        <f>IF($W258="","",INDEX(명단표[서울 근무일(기준월)],$W258))</f>
        <v/>
      </c>
      <c r="V258">
        <f>IF($W258="","",INDEX(명단표[구리 근무일(기준월)],$W258))</f>
        <v/>
      </c>
      <c r="W258" s="17">
        <f>IFERROR(MATCH(253,명단표[판정불가순번],0),"")</f>
        <v/>
      </c>
    </row>
    <row r="259">
      <c r="A259">
        <f>IF($P259="","",254)</f>
        <v/>
      </c>
      <c r="B259">
        <f>IF($P259="","",INDEX(명단표[이름],$P259))</f>
        <v/>
      </c>
      <c r="C259">
        <f>IF($P259="","",INDEX(명단표[사번],$P259)&amp;"")</f>
        <v/>
      </c>
      <c r="D259">
        <f>IF($P259="","",INDEX(명단표[전공의등록번호],$P259)&amp;"")</f>
        <v/>
      </c>
      <c r="E259">
        <f>IF($P259="","",INDEX(명단표[수련과목],$P259)&amp;"")</f>
        <v/>
      </c>
      <c r="F259">
        <f>IF($P259="","",INDEX(명단표[연차],$P259)&amp;"")</f>
        <v/>
      </c>
      <c r="G259">
        <f>IF($P259="","",INDEX(명단표[소속병원],$P259))</f>
        <v/>
      </c>
      <c r="H259">
        <f>IF($P259="","",IF(INDEX(명단표[소속병원],$P259)="서울병원","서울 소속","타 병원 소속("&amp;INDEX(명단표[소속병원],$P259)&amp;") → 서울 지급"))</f>
        <v/>
      </c>
      <c r="I259">
        <f>IF($P259="","",INDEX(명단표[현재 근무병원],$P259))</f>
        <v/>
      </c>
      <c r="J259">
        <f>IF($P259="","",INDEX(명단표[구리 근무 시작일(기준월)],$P259)&amp;"")</f>
        <v/>
      </c>
      <c r="K259">
        <f>IF($P259="","",INDEX(명단표[구리 근무 종료일(기준월)],$P259)&amp;"")</f>
        <v/>
      </c>
      <c r="L259">
        <f>IF($P259="","",INDEX(명단표[서울 근무일(기준월)],$P259))</f>
        <v/>
      </c>
      <c r="M259">
        <f>IF($P259="","",INDEX(명단표[구리 근무일(기준월)],$P259))</f>
        <v/>
      </c>
      <c r="N259">
        <f>IF($P259="","",INDEX(명단표[급여 판정 근거],$P259))</f>
        <v/>
      </c>
      <c r="O259">
        <f>IF($P259="","",INDEX(명단표[점검],$P259))</f>
        <v/>
      </c>
      <c r="P259" s="17">
        <f>IFERROR(MATCH(254,명단표[서울순번],0),"")</f>
        <v/>
      </c>
      <c r="R259">
        <f>IF($W259="","",INDEX(명단표[이름],$W259))</f>
        <v/>
      </c>
      <c r="S259">
        <f>IF($W259="","",INDEX(명단표[사번],$W259)&amp;"")</f>
        <v/>
      </c>
      <c r="T259">
        <f>IF($W259="","",INDEX(명단표[소속병원],$W259))</f>
        <v/>
      </c>
      <c r="U259">
        <f>IF($W259="","",INDEX(명단표[서울 근무일(기준월)],$W259))</f>
        <v/>
      </c>
      <c r="V259">
        <f>IF($W259="","",INDEX(명단표[구리 근무일(기준월)],$W259))</f>
        <v/>
      </c>
      <c r="W259" s="17">
        <f>IFERROR(MATCH(254,명단표[판정불가순번],0),"")</f>
        <v/>
      </c>
    </row>
    <row r="260">
      <c r="A260">
        <f>IF($P260="","",255)</f>
        <v/>
      </c>
      <c r="B260">
        <f>IF($P260="","",INDEX(명단표[이름],$P260))</f>
        <v/>
      </c>
      <c r="C260">
        <f>IF($P260="","",INDEX(명단표[사번],$P260)&amp;"")</f>
        <v/>
      </c>
      <c r="D260">
        <f>IF($P260="","",INDEX(명단표[전공의등록번호],$P260)&amp;"")</f>
        <v/>
      </c>
      <c r="E260">
        <f>IF($P260="","",INDEX(명단표[수련과목],$P260)&amp;"")</f>
        <v/>
      </c>
      <c r="F260">
        <f>IF($P260="","",INDEX(명단표[연차],$P260)&amp;"")</f>
        <v/>
      </c>
      <c r="G260">
        <f>IF($P260="","",INDEX(명단표[소속병원],$P260))</f>
        <v/>
      </c>
      <c r="H260">
        <f>IF($P260="","",IF(INDEX(명단표[소속병원],$P260)="서울병원","서울 소속","타 병원 소속("&amp;INDEX(명단표[소속병원],$P260)&amp;") → 서울 지급"))</f>
        <v/>
      </c>
      <c r="I260">
        <f>IF($P260="","",INDEX(명단표[현재 근무병원],$P260))</f>
        <v/>
      </c>
      <c r="J260">
        <f>IF($P260="","",INDEX(명단표[구리 근무 시작일(기준월)],$P260)&amp;"")</f>
        <v/>
      </c>
      <c r="K260">
        <f>IF($P260="","",INDEX(명단표[구리 근무 종료일(기준월)],$P260)&amp;"")</f>
        <v/>
      </c>
      <c r="L260">
        <f>IF($P260="","",INDEX(명단표[서울 근무일(기준월)],$P260))</f>
        <v/>
      </c>
      <c r="M260">
        <f>IF($P260="","",INDEX(명단표[구리 근무일(기준월)],$P260))</f>
        <v/>
      </c>
      <c r="N260">
        <f>IF($P260="","",INDEX(명단표[급여 판정 근거],$P260))</f>
        <v/>
      </c>
      <c r="O260">
        <f>IF($P260="","",INDEX(명단표[점검],$P260))</f>
        <v/>
      </c>
      <c r="P260" s="17">
        <f>IFERROR(MATCH(255,명단표[서울순번],0),"")</f>
        <v/>
      </c>
      <c r="R260">
        <f>IF($W260="","",INDEX(명단표[이름],$W260))</f>
        <v/>
      </c>
      <c r="S260">
        <f>IF($W260="","",INDEX(명단표[사번],$W260)&amp;"")</f>
        <v/>
      </c>
      <c r="T260">
        <f>IF($W260="","",INDEX(명단표[소속병원],$W260))</f>
        <v/>
      </c>
      <c r="U260">
        <f>IF($W260="","",INDEX(명단표[서울 근무일(기준월)],$W260))</f>
        <v/>
      </c>
      <c r="V260">
        <f>IF($W260="","",INDEX(명단표[구리 근무일(기준월)],$W260))</f>
        <v/>
      </c>
      <c r="W260" s="17">
        <f>IFERROR(MATCH(255,명단표[판정불가순번],0),"")</f>
        <v/>
      </c>
    </row>
    <row r="261">
      <c r="A261">
        <f>IF($P261="","",256)</f>
        <v/>
      </c>
      <c r="B261">
        <f>IF($P261="","",INDEX(명단표[이름],$P261))</f>
        <v/>
      </c>
      <c r="C261">
        <f>IF($P261="","",INDEX(명단표[사번],$P261)&amp;"")</f>
        <v/>
      </c>
      <c r="D261">
        <f>IF($P261="","",INDEX(명단표[전공의등록번호],$P261)&amp;"")</f>
        <v/>
      </c>
      <c r="E261">
        <f>IF($P261="","",INDEX(명단표[수련과목],$P261)&amp;"")</f>
        <v/>
      </c>
      <c r="F261">
        <f>IF($P261="","",INDEX(명단표[연차],$P261)&amp;"")</f>
        <v/>
      </c>
      <c r="G261">
        <f>IF($P261="","",INDEX(명단표[소속병원],$P261))</f>
        <v/>
      </c>
      <c r="H261">
        <f>IF($P261="","",IF(INDEX(명단표[소속병원],$P261)="서울병원","서울 소속","타 병원 소속("&amp;INDEX(명단표[소속병원],$P261)&amp;") → 서울 지급"))</f>
        <v/>
      </c>
      <c r="I261">
        <f>IF($P261="","",INDEX(명단표[현재 근무병원],$P261))</f>
        <v/>
      </c>
      <c r="J261">
        <f>IF($P261="","",INDEX(명단표[구리 근무 시작일(기준월)],$P261)&amp;"")</f>
        <v/>
      </c>
      <c r="K261">
        <f>IF($P261="","",INDEX(명단표[구리 근무 종료일(기준월)],$P261)&amp;"")</f>
        <v/>
      </c>
      <c r="L261">
        <f>IF($P261="","",INDEX(명단표[서울 근무일(기준월)],$P261))</f>
        <v/>
      </c>
      <c r="M261">
        <f>IF($P261="","",INDEX(명단표[구리 근무일(기준월)],$P261))</f>
        <v/>
      </c>
      <c r="N261">
        <f>IF($P261="","",INDEX(명단표[급여 판정 근거],$P261))</f>
        <v/>
      </c>
      <c r="O261">
        <f>IF($P261="","",INDEX(명단표[점검],$P261))</f>
        <v/>
      </c>
      <c r="P261" s="17">
        <f>IFERROR(MATCH(256,명단표[서울순번],0),"")</f>
        <v/>
      </c>
      <c r="R261">
        <f>IF($W261="","",INDEX(명단표[이름],$W261))</f>
        <v/>
      </c>
      <c r="S261">
        <f>IF($W261="","",INDEX(명단표[사번],$W261)&amp;"")</f>
        <v/>
      </c>
      <c r="T261">
        <f>IF($W261="","",INDEX(명단표[소속병원],$W261))</f>
        <v/>
      </c>
      <c r="U261">
        <f>IF($W261="","",INDEX(명단표[서울 근무일(기준월)],$W261))</f>
        <v/>
      </c>
      <c r="V261">
        <f>IF($W261="","",INDEX(명단표[구리 근무일(기준월)],$W261))</f>
        <v/>
      </c>
      <c r="W261" s="17">
        <f>IFERROR(MATCH(256,명단표[판정불가순번],0),"")</f>
        <v/>
      </c>
    </row>
    <row r="262">
      <c r="A262">
        <f>IF($P262="","",257)</f>
        <v/>
      </c>
      <c r="B262">
        <f>IF($P262="","",INDEX(명단표[이름],$P262))</f>
        <v/>
      </c>
      <c r="C262">
        <f>IF($P262="","",INDEX(명단표[사번],$P262)&amp;"")</f>
        <v/>
      </c>
      <c r="D262">
        <f>IF($P262="","",INDEX(명단표[전공의등록번호],$P262)&amp;"")</f>
        <v/>
      </c>
      <c r="E262">
        <f>IF($P262="","",INDEX(명단표[수련과목],$P262)&amp;"")</f>
        <v/>
      </c>
      <c r="F262">
        <f>IF($P262="","",INDEX(명단표[연차],$P262)&amp;"")</f>
        <v/>
      </c>
      <c r="G262">
        <f>IF($P262="","",INDEX(명단표[소속병원],$P262))</f>
        <v/>
      </c>
      <c r="H262">
        <f>IF($P262="","",IF(INDEX(명단표[소속병원],$P262)="서울병원","서울 소속","타 병원 소속("&amp;INDEX(명단표[소속병원],$P262)&amp;") → 서울 지급"))</f>
        <v/>
      </c>
      <c r="I262">
        <f>IF($P262="","",INDEX(명단표[현재 근무병원],$P262))</f>
        <v/>
      </c>
      <c r="J262">
        <f>IF($P262="","",INDEX(명단표[구리 근무 시작일(기준월)],$P262)&amp;"")</f>
        <v/>
      </c>
      <c r="K262">
        <f>IF($P262="","",INDEX(명단표[구리 근무 종료일(기준월)],$P262)&amp;"")</f>
        <v/>
      </c>
      <c r="L262">
        <f>IF($P262="","",INDEX(명단표[서울 근무일(기준월)],$P262))</f>
        <v/>
      </c>
      <c r="M262">
        <f>IF($P262="","",INDEX(명단표[구리 근무일(기준월)],$P262))</f>
        <v/>
      </c>
      <c r="N262">
        <f>IF($P262="","",INDEX(명단표[급여 판정 근거],$P262))</f>
        <v/>
      </c>
      <c r="O262">
        <f>IF($P262="","",INDEX(명단표[점검],$P262))</f>
        <v/>
      </c>
      <c r="P262" s="17">
        <f>IFERROR(MATCH(257,명단표[서울순번],0),"")</f>
        <v/>
      </c>
      <c r="R262">
        <f>IF($W262="","",INDEX(명단표[이름],$W262))</f>
        <v/>
      </c>
      <c r="S262">
        <f>IF($W262="","",INDEX(명단표[사번],$W262)&amp;"")</f>
        <v/>
      </c>
      <c r="T262">
        <f>IF($W262="","",INDEX(명단표[소속병원],$W262))</f>
        <v/>
      </c>
      <c r="U262">
        <f>IF($W262="","",INDEX(명단표[서울 근무일(기준월)],$W262))</f>
        <v/>
      </c>
      <c r="V262">
        <f>IF($W262="","",INDEX(명단표[구리 근무일(기준월)],$W262))</f>
        <v/>
      </c>
      <c r="W262" s="17">
        <f>IFERROR(MATCH(257,명단표[판정불가순번],0),"")</f>
        <v/>
      </c>
    </row>
    <row r="263">
      <c r="A263">
        <f>IF($P263="","",258)</f>
        <v/>
      </c>
      <c r="B263">
        <f>IF($P263="","",INDEX(명단표[이름],$P263))</f>
        <v/>
      </c>
      <c r="C263">
        <f>IF($P263="","",INDEX(명단표[사번],$P263)&amp;"")</f>
        <v/>
      </c>
      <c r="D263">
        <f>IF($P263="","",INDEX(명단표[전공의등록번호],$P263)&amp;"")</f>
        <v/>
      </c>
      <c r="E263">
        <f>IF($P263="","",INDEX(명단표[수련과목],$P263)&amp;"")</f>
        <v/>
      </c>
      <c r="F263">
        <f>IF($P263="","",INDEX(명단표[연차],$P263)&amp;"")</f>
        <v/>
      </c>
      <c r="G263">
        <f>IF($P263="","",INDEX(명단표[소속병원],$P263))</f>
        <v/>
      </c>
      <c r="H263">
        <f>IF($P263="","",IF(INDEX(명단표[소속병원],$P263)="서울병원","서울 소속","타 병원 소속("&amp;INDEX(명단표[소속병원],$P263)&amp;") → 서울 지급"))</f>
        <v/>
      </c>
      <c r="I263">
        <f>IF($P263="","",INDEX(명단표[현재 근무병원],$P263))</f>
        <v/>
      </c>
      <c r="J263">
        <f>IF($P263="","",INDEX(명단표[구리 근무 시작일(기준월)],$P263)&amp;"")</f>
        <v/>
      </c>
      <c r="K263">
        <f>IF($P263="","",INDEX(명단표[구리 근무 종료일(기준월)],$P263)&amp;"")</f>
        <v/>
      </c>
      <c r="L263">
        <f>IF($P263="","",INDEX(명단표[서울 근무일(기준월)],$P263))</f>
        <v/>
      </c>
      <c r="M263">
        <f>IF($P263="","",INDEX(명단표[구리 근무일(기준월)],$P263))</f>
        <v/>
      </c>
      <c r="N263">
        <f>IF($P263="","",INDEX(명단표[급여 판정 근거],$P263))</f>
        <v/>
      </c>
      <c r="O263">
        <f>IF($P263="","",INDEX(명단표[점검],$P263))</f>
        <v/>
      </c>
      <c r="P263" s="17">
        <f>IFERROR(MATCH(258,명단표[서울순번],0),"")</f>
        <v/>
      </c>
      <c r="R263">
        <f>IF($W263="","",INDEX(명단표[이름],$W263))</f>
        <v/>
      </c>
      <c r="S263">
        <f>IF($W263="","",INDEX(명단표[사번],$W263)&amp;"")</f>
        <v/>
      </c>
      <c r="T263">
        <f>IF($W263="","",INDEX(명단표[소속병원],$W263))</f>
        <v/>
      </c>
      <c r="U263">
        <f>IF($W263="","",INDEX(명단표[서울 근무일(기준월)],$W263))</f>
        <v/>
      </c>
      <c r="V263">
        <f>IF($W263="","",INDEX(명단표[구리 근무일(기준월)],$W263))</f>
        <v/>
      </c>
      <c r="W263" s="17">
        <f>IFERROR(MATCH(258,명단표[판정불가순번],0),"")</f>
        <v/>
      </c>
    </row>
    <row r="264">
      <c r="A264">
        <f>IF($P264="","",259)</f>
        <v/>
      </c>
      <c r="B264">
        <f>IF($P264="","",INDEX(명단표[이름],$P264))</f>
        <v/>
      </c>
      <c r="C264">
        <f>IF($P264="","",INDEX(명단표[사번],$P264)&amp;"")</f>
        <v/>
      </c>
      <c r="D264">
        <f>IF($P264="","",INDEX(명단표[전공의등록번호],$P264)&amp;"")</f>
        <v/>
      </c>
      <c r="E264">
        <f>IF($P264="","",INDEX(명단표[수련과목],$P264)&amp;"")</f>
        <v/>
      </c>
      <c r="F264">
        <f>IF($P264="","",INDEX(명단표[연차],$P264)&amp;"")</f>
        <v/>
      </c>
      <c r="G264">
        <f>IF($P264="","",INDEX(명단표[소속병원],$P264))</f>
        <v/>
      </c>
      <c r="H264">
        <f>IF($P264="","",IF(INDEX(명단표[소속병원],$P264)="서울병원","서울 소속","타 병원 소속("&amp;INDEX(명단표[소속병원],$P264)&amp;") → 서울 지급"))</f>
        <v/>
      </c>
      <c r="I264">
        <f>IF($P264="","",INDEX(명단표[현재 근무병원],$P264))</f>
        <v/>
      </c>
      <c r="J264">
        <f>IF($P264="","",INDEX(명단표[구리 근무 시작일(기준월)],$P264)&amp;"")</f>
        <v/>
      </c>
      <c r="K264">
        <f>IF($P264="","",INDEX(명단표[구리 근무 종료일(기준월)],$P264)&amp;"")</f>
        <v/>
      </c>
      <c r="L264">
        <f>IF($P264="","",INDEX(명단표[서울 근무일(기준월)],$P264))</f>
        <v/>
      </c>
      <c r="M264">
        <f>IF($P264="","",INDEX(명단표[구리 근무일(기준월)],$P264))</f>
        <v/>
      </c>
      <c r="N264">
        <f>IF($P264="","",INDEX(명단표[급여 판정 근거],$P264))</f>
        <v/>
      </c>
      <c r="O264">
        <f>IF($P264="","",INDEX(명단표[점검],$P264))</f>
        <v/>
      </c>
      <c r="P264" s="17">
        <f>IFERROR(MATCH(259,명단표[서울순번],0),"")</f>
        <v/>
      </c>
      <c r="R264">
        <f>IF($W264="","",INDEX(명단표[이름],$W264))</f>
        <v/>
      </c>
      <c r="S264">
        <f>IF($W264="","",INDEX(명단표[사번],$W264)&amp;"")</f>
        <v/>
      </c>
      <c r="T264">
        <f>IF($W264="","",INDEX(명단표[소속병원],$W264))</f>
        <v/>
      </c>
      <c r="U264">
        <f>IF($W264="","",INDEX(명단표[서울 근무일(기준월)],$W264))</f>
        <v/>
      </c>
      <c r="V264">
        <f>IF($W264="","",INDEX(명단표[구리 근무일(기준월)],$W264))</f>
        <v/>
      </c>
      <c r="W264" s="17">
        <f>IFERROR(MATCH(259,명단표[판정불가순번],0),"")</f>
        <v/>
      </c>
    </row>
    <row r="265">
      <c r="A265">
        <f>IF($P265="","",260)</f>
        <v/>
      </c>
      <c r="B265">
        <f>IF($P265="","",INDEX(명단표[이름],$P265))</f>
        <v/>
      </c>
      <c r="C265">
        <f>IF($P265="","",INDEX(명단표[사번],$P265)&amp;"")</f>
        <v/>
      </c>
      <c r="D265">
        <f>IF($P265="","",INDEX(명단표[전공의등록번호],$P265)&amp;"")</f>
        <v/>
      </c>
      <c r="E265">
        <f>IF($P265="","",INDEX(명단표[수련과목],$P265)&amp;"")</f>
        <v/>
      </c>
      <c r="F265">
        <f>IF($P265="","",INDEX(명단표[연차],$P265)&amp;"")</f>
        <v/>
      </c>
      <c r="G265">
        <f>IF($P265="","",INDEX(명단표[소속병원],$P265))</f>
        <v/>
      </c>
      <c r="H265">
        <f>IF($P265="","",IF(INDEX(명단표[소속병원],$P265)="서울병원","서울 소속","타 병원 소속("&amp;INDEX(명단표[소속병원],$P265)&amp;") → 서울 지급"))</f>
        <v/>
      </c>
      <c r="I265">
        <f>IF($P265="","",INDEX(명단표[현재 근무병원],$P265))</f>
        <v/>
      </c>
      <c r="J265">
        <f>IF($P265="","",INDEX(명단표[구리 근무 시작일(기준월)],$P265)&amp;"")</f>
        <v/>
      </c>
      <c r="K265">
        <f>IF($P265="","",INDEX(명단표[구리 근무 종료일(기준월)],$P265)&amp;"")</f>
        <v/>
      </c>
      <c r="L265">
        <f>IF($P265="","",INDEX(명단표[서울 근무일(기준월)],$P265))</f>
        <v/>
      </c>
      <c r="M265">
        <f>IF($P265="","",INDEX(명단표[구리 근무일(기준월)],$P265))</f>
        <v/>
      </c>
      <c r="N265">
        <f>IF($P265="","",INDEX(명단표[급여 판정 근거],$P265))</f>
        <v/>
      </c>
      <c r="O265">
        <f>IF($P265="","",INDEX(명단표[점검],$P265))</f>
        <v/>
      </c>
      <c r="P265" s="17">
        <f>IFERROR(MATCH(260,명단표[서울순번],0),"")</f>
        <v/>
      </c>
      <c r="R265">
        <f>IF($W265="","",INDEX(명단표[이름],$W265))</f>
        <v/>
      </c>
      <c r="S265">
        <f>IF($W265="","",INDEX(명단표[사번],$W265)&amp;"")</f>
        <v/>
      </c>
      <c r="T265">
        <f>IF($W265="","",INDEX(명단표[소속병원],$W265))</f>
        <v/>
      </c>
      <c r="U265">
        <f>IF($W265="","",INDEX(명단표[서울 근무일(기준월)],$W265))</f>
        <v/>
      </c>
      <c r="V265">
        <f>IF($W265="","",INDEX(명단표[구리 근무일(기준월)],$W265))</f>
        <v/>
      </c>
      <c r="W265" s="17">
        <f>IFERROR(MATCH(260,명단표[판정불가순번],0),"")</f>
        <v/>
      </c>
    </row>
    <row r="266">
      <c r="A266">
        <f>IF($P266="","",261)</f>
        <v/>
      </c>
      <c r="B266">
        <f>IF($P266="","",INDEX(명단표[이름],$P266))</f>
        <v/>
      </c>
      <c r="C266">
        <f>IF($P266="","",INDEX(명단표[사번],$P266)&amp;"")</f>
        <v/>
      </c>
      <c r="D266">
        <f>IF($P266="","",INDEX(명단표[전공의등록번호],$P266)&amp;"")</f>
        <v/>
      </c>
      <c r="E266">
        <f>IF($P266="","",INDEX(명단표[수련과목],$P266)&amp;"")</f>
        <v/>
      </c>
      <c r="F266">
        <f>IF($P266="","",INDEX(명단표[연차],$P266)&amp;"")</f>
        <v/>
      </c>
      <c r="G266">
        <f>IF($P266="","",INDEX(명단표[소속병원],$P266))</f>
        <v/>
      </c>
      <c r="H266">
        <f>IF($P266="","",IF(INDEX(명단표[소속병원],$P266)="서울병원","서울 소속","타 병원 소속("&amp;INDEX(명단표[소속병원],$P266)&amp;") → 서울 지급"))</f>
        <v/>
      </c>
      <c r="I266">
        <f>IF($P266="","",INDEX(명단표[현재 근무병원],$P266))</f>
        <v/>
      </c>
      <c r="J266">
        <f>IF($P266="","",INDEX(명단표[구리 근무 시작일(기준월)],$P266)&amp;"")</f>
        <v/>
      </c>
      <c r="K266">
        <f>IF($P266="","",INDEX(명단표[구리 근무 종료일(기준월)],$P266)&amp;"")</f>
        <v/>
      </c>
      <c r="L266">
        <f>IF($P266="","",INDEX(명단표[서울 근무일(기준월)],$P266))</f>
        <v/>
      </c>
      <c r="M266">
        <f>IF($P266="","",INDEX(명단표[구리 근무일(기준월)],$P266))</f>
        <v/>
      </c>
      <c r="N266">
        <f>IF($P266="","",INDEX(명단표[급여 판정 근거],$P266))</f>
        <v/>
      </c>
      <c r="O266">
        <f>IF($P266="","",INDEX(명단표[점검],$P266))</f>
        <v/>
      </c>
      <c r="P266" s="17">
        <f>IFERROR(MATCH(261,명단표[서울순번],0),"")</f>
        <v/>
      </c>
      <c r="R266">
        <f>IF($W266="","",INDEX(명단표[이름],$W266))</f>
        <v/>
      </c>
      <c r="S266">
        <f>IF($W266="","",INDEX(명단표[사번],$W266)&amp;"")</f>
        <v/>
      </c>
      <c r="T266">
        <f>IF($W266="","",INDEX(명단표[소속병원],$W266))</f>
        <v/>
      </c>
      <c r="U266">
        <f>IF($W266="","",INDEX(명단표[서울 근무일(기준월)],$W266))</f>
        <v/>
      </c>
      <c r="V266">
        <f>IF($W266="","",INDEX(명단표[구리 근무일(기준월)],$W266))</f>
        <v/>
      </c>
      <c r="W266" s="17">
        <f>IFERROR(MATCH(261,명단표[판정불가순번],0),"")</f>
        <v/>
      </c>
    </row>
    <row r="267">
      <c r="A267">
        <f>IF($P267="","",262)</f>
        <v/>
      </c>
      <c r="B267">
        <f>IF($P267="","",INDEX(명단표[이름],$P267))</f>
        <v/>
      </c>
      <c r="C267">
        <f>IF($P267="","",INDEX(명단표[사번],$P267)&amp;"")</f>
        <v/>
      </c>
      <c r="D267">
        <f>IF($P267="","",INDEX(명단표[전공의등록번호],$P267)&amp;"")</f>
        <v/>
      </c>
      <c r="E267">
        <f>IF($P267="","",INDEX(명단표[수련과목],$P267)&amp;"")</f>
        <v/>
      </c>
      <c r="F267">
        <f>IF($P267="","",INDEX(명단표[연차],$P267)&amp;"")</f>
        <v/>
      </c>
      <c r="G267">
        <f>IF($P267="","",INDEX(명단표[소속병원],$P267))</f>
        <v/>
      </c>
      <c r="H267">
        <f>IF($P267="","",IF(INDEX(명단표[소속병원],$P267)="서울병원","서울 소속","타 병원 소속("&amp;INDEX(명단표[소속병원],$P267)&amp;") → 서울 지급"))</f>
        <v/>
      </c>
      <c r="I267">
        <f>IF($P267="","",INDEX(명단표[현재 근무병원],$P267))</f>
        <v/>
      </c>
      <c r="J267">
        <f>IF($P267="","",INDEX(명단표[구리 근무 시작일(기준월)],$P267)&amp;"")</f>
        <v/>
      </c>
      <c r="K267">
        <f>IF($P267="","",INDEX(명단표[구리 근무 종료일(기준월)],$P267)&amp;"")</f>
        <v/>
      </c>
      <c r="L267">
        <f>IF($P267="","",INDEX(명단표[서울 근무일(기준월)],$P267))</f>
        <v/>
      </c>
      <c r="M267">
        <f>IF($P267="","",INDEX(명단표[구리 근무일(기준월)],$P267))</f>
        <v/>
      </c>
      <c r="N267">
        <f>IF($P267="","",INDEX(명단표[급여 판정 근거],$P267))</f>
        <v/>
      </c>
      <c r="O267">
        <f>IF($P267="","",INDEX(명단표[점검],$P267))</f>
        <v/>
      </c>
      <c r="P267" s="17">
        <f>IFERROR(MATCH(262,명단표[서울순번],0),"")</f>
        <v/>
      </c>
      <c r="R267">
        <f>IF($W267="","",INDEX(명단표[이름],$W267))</f>
        <v/>
      </c>
      <c r="S267">
        <f>IF($W267="","",INDEX(명단표[사번],$W267)&amp;"")</f>
        <v/>
      </c>
      <c r="T267">
        <f>IF($W267="","",INDEX(명단표[소속병원],$W267))</f>
        <v/>
      </c>
      <c r="U267">
        <f>IF($W267="","",INDEX(명단표[서울 근무일(기준월)],$W267))</f>
        <v/>
      </c>
      <c r="V267">
        <f>IF($W267="","",INDEX(명단표[구리 근무일(기준월)],$W267))</f>
        <v/>
      </c>
      <c r="W267" s="17">
        <f>IFERROR(MATCH(262,명단표[판정불가순번],0),"")</f>
        <v/>
      </c>
    </row>
    <row r="268">
      <c r="A268">
        <f>IF($P268="","",263)</f>
        <v/>
      </c>
      <c r="B268">
        <f>IF($P268="","",INDEX(명단표[이름],$P268))</f>
        <v/>
      </c>
      <c r="C268">
        <f>IF($P268="","",INDEX(명단표[사번],$P268)&amp;"")</f>
        <v/>
      </c>
      <c r="D268">
        <f>IF($P268="","",INDEX(명단표[전공의등록번호],$P268)&amp;"")</f>
        <v/>
      </c>
      <c r="E268">
        <f>IF($P268="","",INDEX(명단표[수련과목],$P268)&amp;"")</f>
        <v/>
      </c>
      <c r="F268">
        <f>IF($P268="","",INDEX(명단표[연차],$P268)&amp;"")</f>
        <v/>
      </c>
      <c r="G268">
        <f>IF($P268="","",INDEX(명단표[소속병원],$P268))</f>
        <v/>
      </c>
      <c r="H268">
        <f>IF($P268="","",IF(INDEX(명단표[소속병원],$P268)="서울병원","서울 소속","타 병원 소속("&amp;INDEX(명단표[소속병원],$P268)&amp;") → 서울 지급"))</f>
        <v/>
      </c>
      <c r="I268">
        <f>IF($P268="","",INDEX(명단표[현재 근무병원],$P268))</f>
        <v/>
      </c>
      <c r="J268">
        <f>IF($P268="","",INDEX(명단표[구리 근무 시작일(기준월)],$P268)&amp;"")</f>
        <v/>
      </c>
      <c r="K268">
        <f>IF($P268="","",INDEX(명단표[구리 근무 종료일(기준월)],$P268)&amp;"")</f>
        <v/>
      </c>
      <c r="L268">
        <f>IF($P268="","",INDEX(명단표[서울 근무일(기준월)],$P268))</f>
        <v/>
      </c>
      <c r="M268">
        <f>IF($P268="","",INDEX(명단표[구리 근무일(기준월)],$P268))</f>
        <v/>
      </c>
      <c r="N268">
        <f>IF($P268="","",INDEX(명단표[급여 판정 근거],$P268))</f>
        <v/>
      </c>
      <c r="O268">
        <f>IF($P268="","",INDEX(명단표[점검],$P268))</f>
        <v/>
      </c>
      <c r="P268" s="17">
        <f>IFERROR(MATCH(263,명단표[서울순번],0),"")</f>
        <v/>
      </c>
      <c r="R268">
        <f>IF($W268="","",INDEX(명단표[이름],$W268))</f>
        <v/>
      </c>
      <c r="S268">
        <f>IF($W268="","",INDEX(명단표[사번],$W268)&amp;"")</f>
        <v/>
      </c>
      <c r="T268">
        <f>IF($W268="","",INDEX(명단표[소속병원],$W268))</f>
        <v/>
      </c>
      <c r="U268">
        <f>IF($W268="","",INDEX(명단표[서울 근무일(기준월)],$W268))</f>
        <v/>
      </c>
      <c r="V268">
        <f>IF($W268="","",INDEX(명단표[구리 근무일(기준월)],$W268))</f>
        <v/>
      </c>
      <c r="W268" s="17">
        <f>IFERROR(MATCH(263,명단표[판정불가순번],0),"")</f>
        <v/>
      </c>
    </row>
    <row r="269">
      <c r="A269">
        <f>IF($P269="","",264)</f>
        <v/>
      </c>
      <c r="B269">
        <f>IF($P269="","",INDEX(명단표[이름],$P269))</f>
        <v/>
      </c>
      <c r="C269">
        <f>IF($P269="","",INDEX(명단표[사번],$P269)&amp;"")</f>
        <v/>
      </c>
      <c r="D269">
        <f>IF($P269="","",INDEX(명단표[전공의등록번호],$P269)&amp;"")</f>
        <v/>
      </c>
      <c r="E269">
        <f>IF($P269="","",INDEX(명단표[수련과목],$P269)&amp;"")</f>
        <v/>
      </c>
      <c r="F269">
        <f>IF($P269="","",INDEX(명단표[연차],$P269)&amp;"")</f>
        <v/>
      </c>
      <c r="G269">
        <f>IF($P269="","",INDEX(명단표[소속병원],$P269))</f>
        <v/>
      </c>
      <c r="H269">
        <f>IF($P269="","",IF(INDEX(명단표[소속병원],$P269)="서울병원","서울 소속","타 병원 소속("&amp;INDEX(명단표[소속병원],$P269)&amp;") → 서울 지급"))</f>
        <v/>
      </c>
      <c r="I269">
        <f>IF($P269="","",INDEX(명단표[현재 근무병원],$P269))</f>
        <v/>
      </c>
      <c r="J269">
        <f>IF($P269="","",INDEX(명단표[구리 근무 시작일(기준월)],$P269)&amp;"")</f>
        <v/>
      </c>
      <c r="K269">
        <f>IF($P269="","",INDEX(명단표[구리 근무 종료일(기준월)],$P269)&amp;"")</f>
        <v/>
      </c>
      <c r="L269">
        <f>IF($P269="","",INDEX(명단표[서울 근무일(기준월)],$P269))</f>
        <v/>
      </c>
      <c r="M269">
        <f>IF($P269="","",INDEX(명단표[구리 근무일(기준월)],$P269))</f>
        <v/>
      </c>
      <c r="N269">
        <f>IF($P269="","",INDEX(명단표[급여 판정 근거],$P269))</f>
        <v/>
      </c>
      <c r="O269">
        <f>IF($P269="","",INDEX(명단표[점검],$P269))</f>
        <v/>
      </c>
      <c r="P269" s="17">
        <f>IFERROR(MATCH(264,명단표[서울순번],0),"")</f>
        <v/>
      </c>
      <c r="R269">
        <f>IF($W269="","",INDEX(명단표[이름],$W269))</f>
        <v/>
      </c>
      <c r="S269">
        <f>IF($W269="","",INDEX(명단표[사번],$W269)&amp;"")</f>
        <v/>
      </c>
      <c r="T269">
        <f>IF($W269="","",INDEX(명단표[소속병원],$W269))</f>
        <v/>
      </c>
      <c r="U269">
        <f>IF($W269="","",INDEX(명단표[서울 근무일(기준월)],$W269))</f>
        <v/>
      </c>
      <c r="V269">
        <f>IF($W269="","",INDEX(명단표[구리 근무일(기준월)],$W269))</f>
        <v/>
      </c>
      <c r="W269" s="17">
        <f>IFERROR(MATCH(264,명단표[판정불가순번],0),"")</f>
        <v/>
      </c>
    </row>
    <row r="270">
      <c r="A270">
        <f>IF($P270="","",265)</f>
        <v/>
      </c>
      <c r="B270">
        <f>IF($P270="","",INDEX(명단표[이름],$P270))</f>
        <v/>
      </c>
      <c r="C270">
        <f>IF($P270="","",INDEX(명단표[사번],$P270)&amp;"")</f>
        <v/>
      </c>
      <c r="D270">
        <f>IF($P270="","",INDEX(명단표[전공의등록번호],$P270)&amp;"")</f>
        <v/>
      </c>
      <c r="E270">
        <f>IF($P270="","",INDEX(명단표[수련과목],$P270)&amp;"")</f>
        <v/>
      </c>
      <c r="F270">
        <f>IF($P270="","",INDEX(명단표[연차],$P270)&amp;"")</f>
        <v/>
      </c>
      <c r="G270">
        <f>IF($P270="","",INDEX(명단표[소속병원],$P270))</f>
        <v/>
      </c>
      <c r="H270">
        <f>IF($P270="","",IF(INDEX(명단표[소속병원],$P270)="서울병원","서울 소속","타 병원 소속("&amp;INDEX(명단표[소속병원],$P270)&amp;") → 서울 지급"))</f>
        <v/>
      </c>
      <c r="I270">
        <f>IF($P270="","",INDEX(명단표[현재 근무병원],$P270))</f>
        <v/>
      </c>
      <c r="J270">
        <f>IF($P270="","",INDEX(명단표[구리 근무 시작일(기준월)],$P270)&amp;"")</f>
        <v/>
      </c>
      <c r="K270">
        <f>IF($P270="","",INDEX(명단표[구리 근무 종료일(기준월)],$P270)&amp;"")</f>
        <v/>
      </c>
      <c r="L270">
        <f>IF($P270="","",INDEX(명단표[서울 근무일(기준월)],$P270))</f>
        <v/>
      </c>
      <c r="M270">
        <f>IF($P270="","",INDEX(명단표[구리 근무일(기준월)],$P270))</f>
        <v/>
      </c>
      <c r="N270">
        <f>IF($P270="","",INDEX(명단표[급여 판정 근거],$P270))</f>
        <v/>
      </c>
      <c r="O270">
        <f>IF($P270="","",INDEX(명단표[점검],$P270))</f>
        <v/>
      </c>
      <c r="P270" s="17">
        <f>IFERROR(MATCH(265,명단표[서울순번],0),"")</f>
        <v/>
      </c>
      <c r="R270">
        <f>IF($W270="","",INDEX(명단표[이름],$W270))</f>
        <v/>
      </c>
      <c r="S270">
        <f>IF($W270="","",INDEX(명단표[사번],$W270)&amp;"")</f>
        <v/>
      </c>
      <c r="T270">
        <f>IF($W270="","",INDEX(명단표[소속병원],$W270))</f>
        <v/>
      </c>
      <c r="U270">
        <f>IF($W270="","",INDEX(명단표[서울 근무일(기준월)],$W270))</f>
        <v/>
      </c>
      <c r="V270">
        <f>IF($W270="","",INDEX(명단표[구리 근무일(기준월)],$W270))</f>
        <v/>
      </c>
      <c r="W270" s="17">
        <f>IFERROR(MATCH(265,명단표[판정불가순번],0),"")</f>
        <v/>
      </c>
    </row>
    <row r="271">
      <c r="A271">
        <f>IF($P271="","",266)</f>
        <v/>
      </c>
      <c r="B271">
        <f>IF($P271="","",INDEX(명단표[이름],$P271))</f>
        <v/>
      </c>
      <c r="C271">
        <f>IF($P271="","",INDEX(명단표[사번],$P271)&amp;"")</f>
        <v/>
      </c>
      <c r="D271">
        <f>IF($P271="","",INDEX(명단표[전공의등록번호],$P271)&amp;"")</f>
        <v/>
      </c>
      <c r="E271">
        <f>IF($P271="","",INDEX(명단표[수련과목],$P271)&amp;"")</f>
        <v/>
      </c>
      <c r="F271">
        <f>IF($P271="","",INDEX(명단표[연차],$P271)&amp;"")</f>
        <v/>
      </c>
      <c r="G271">
        <f>IF($P271="","",INDEX(명단표[소속병원],$P271))</f>
        <v/>
      </c>
      <c r="H271">
        <f>IF($P271="","",IF(INDEX(명단표[소속병원],$P271)="서울병원","서울 소속","타 병원 소속("&amp;INDEX(명단표[소속병원],$P271)&amp;") → 서울 지급"))</f>
        <v/>
      </c>
      <c r="I271">
        <f>IF($P271="","",INDEX(명단표[현재 근무병원],$P271))</f>
        <v/>
      </c>
      <c r="J271">
        <f>IF($P271="","",INDEX(명단표[구리 근무 시작일(기준월)],$P271)&amp;"")</f>
        <v/>
      </c>
      <c r="K271">
        <f>IF($P271="","",INDEX(명단표[구리 근무 종료일(기준월)],$P271)&amp;"")</f>
        <v/>
      </c>
      <c r="L271">
        <f>IF($P271="","",INDEX(명단표[서울 근무일(기준월)],$P271))</f>
        <v/>
      </c>
      <c r="M271">
        <f>IF($P271="","",INDEX(명단표[구리 근무일(기준월)],$P271))</f>
        <v/>
      </c>
      <c r="N271">
        <f>IF($P271="","",INDEX(명단표[급여 판정 근거],$P271))</f>
        <v/>
      </c>
      <c r="O271">
        <f>IF($P271="","",INDEX(명단표[점검],$P271))</f>
        <v/>
      </c>
      <c r="P271" s="17">
        <f>IFERROR(MATCH(266,명단표[서울순번],0),"")</f>
        <v/>
      </c>
      <c r="R271">
        <f>IF($W271="","",INDEX(명단표[이름],$W271))</f>
        <v/>
      </c>
      <c r="S271">
        <f>IF($W271="","",INDEX(명단표[사번],$W271)&amp;"")</f>
        <v/>
      </c>
      <c r="T271">
        <f>IF($W271="","",INDEX(명단표[소속병원],$W271))</f>
        <v/>
      </c>
      <c r="U271">
        <f>IF($W271="","",INDEX(명단표[서울 근무일(기준월)],$W271))</f>
        <v/>
      </c>
      <c r="V271">
        <f>IF($W271="","",INDEX(명단표[구리 근무일(기준월)],$W271))</f>
        <v/>
      </c>
      <c r="W271" s="17">
        <f>IFERROR(MATCH(266,명단표[판정불가순번],0),"")</f>
        <v/>
      </c>
    </row>
    <row r="272">
      <c r="A272">
        <f>IF($P272="","",267)</f>
        <v/>
      </c>
      <c r="B272">
        <f>IF($P272="","",INDEX(명단표[이름],$P272))</f>
        <v/>
      </c>
      <c r="C272">
        <f>IF($P272="","",INDEX(명단표[사번],$P272)&amp;"")</f>
        <v/>
      </c>
      <c r="D272">
        <f>IF($P272="","",INDEX(명단표[전공의등록번호],$P272)&amp;"")</f>
        <v/>
      </c>
      <c r="E272">
        <f>IF($P272="","",INDEX(명단표[수련과목],$P272)&amp;"")</f>
        <v/>
      </c>
      <c r="F272">
        <f>IF($P272="","",INDEX(명단표[연차],$P272)&amp;"")</f>
        <v/>
      </c>
      <c r="G272">
        <f>IF($P272="","",INDEX(명단표[소속병원],$P272))</f>
        <v/>
      </c>
      <c r="H272">
        <f>IF($P272="","",IF(INDEX(명단표[소속병원],$P272)="서울병원","서울 소속","타 병원 소속("&amp;INDEX(명단표[소속병원],$P272)&amp;") → 서울 지급"))</f>
        <v/>
      </c>
      <c r="I272">
        <f>IF($P272="","",INDEX(명단표[현재 근무병원],$P272))</f>
        <v/>
      </c>
      <c r="J272">
        <f>IF($P272="","",INDEX(명단표[구리 근무 시작일(기준월)],$P272)&amp;"")</f>
        <v/>
      </c>
      <c r="K272">
        <f>IF($P272="","",INDEX(명단표[구리 근무 종료일(기준월)],$P272)&amp;"")</f>
        <v/>
      </c>
      <c r="L272">
        <f>IF($P272="","",INDEX(명단표[서울 근무일(기준월)],$P272))</f>
        <v/>
      </c>
      <c r="M272">
        <f>IF($P272="","",INDEX(명단표[구리 근무일(기준월)],$P272))</f>
        <v/>
      </c>
      <c r="N272">
        <f>IF($P272="","",INDEX(명단표[급여 판정 근거],$P272))</f>
        <v/>
      </c>
      <c r="O272">
        <f>IF($P272="","",INDEX(명단표[점검],$P272))</f>
        <v/>
      </c>
      <c r="P272" s="17">
        <f>IFERROR(MATCH(267,명단표[서울순번],0),"")</f>
        <v/>
      </c>
      <c r="R272">
        <f>IF($W272="","",INDEX(명단표[이름],$W272))</f>
        <v/>
      </c>
      <c r="S272">
        <f>IF($W272="","",INDEX(명단표[사번],$W272)&amp;"")</f>
        <v/>
      </c>
      <c r="T272">
        <f>IF($W272="","",INDEX(명단표[소속병원],$W272))</f>
        <v/>
      </c>
      <c r="U272">
        <f>IF($W272="","",INDEX(명단표[서울 근무일(기준월)],$W272))</f>
        <v/>
      </c>
      <c r="V272">
        <f>IF($W272="","",INDEX(명단표[구리 근무일(기준월)],$W272))</f>
        <v/>
      </c>
      <c r="W272" s="17">
        <f>IFERROR(MATCH(267,명단표[판정불가순번],0),"")</f>
        <v/>
      </c>
    </row>
    <row r="273">
      <c r="A273">
        <f>IF($P273="","",268)</f>
        <v/>
      </c>
      <c r="B273">
        <f>IF($P273="","",INDEX(명단표[이름],$P273))</f>
        <v/>
      </c>
      <c r="C273">
        <f>IF($P273="","",INDEX(명단표[사번],$P273)&amp;"")</f>
        <v/>
      </c>
      <c r="D273">
        <f>IF($P273="","",INDEX(명단표[전공의등록번호],$P273)&amp;"")</f>
        <v/>
      </c>
      <c r="E273">
        <f>IF($P273="","",INDEX(명단표[수련과목],$P273)&amp;"")</f>
        <v/>
      </c>
      <c r="F273">
        <f>IF($P273="","",INDEX(명단표[연차],$P273)&amp;"")</f>
        <v/>
      </c>
      <c r="G273">
        <f>IF($P273="","",INDEX(명단표[소속병원],$P273))</f>
        <v/>
      </c>
      <c r="H273">
        <f>IF($P273="","",IF(INDEX(명단표[소속병원],$P273)="서울병원","서울 소속","타 병원 소속("&amp;INDEX(명단표[소속병원],$P273)&amp;") → 서울 지급"))</f>
        <v/>
      </c>
      <c r="I273">
        <f>IF($P273="","",INDEX(명단표[현재 근무병원],$P273))</f>
        <v/>
      </c>
      <c r="J273">
        <f>IF($P273="","",INDEX(명단표[구리 근무 시작일(기준월)],$P273)&amp;"")</f>
        <v/>
      </c>
      <c r="K273">
        <f>IF($P273="","",INDEX(명단표[구리 근무 종료일(기준월)],$P273)&amp;"")</f>
        <v/>
      </c>
      <c r="L273">
        <f>IF($P273="","",INDEX(명단표[서울 근무일(기준월)],$P273))</f>
        <v/>
      </c>
      <c r="M273">
        <f>IF($P273="","",INDEX(명단표[구리 근무일(기준월)],$P273))</f>
        <v/>
      </c>
      <c r="N273">
        <f>IF($P273="","",INDEX(명단표[급여 판정 근거],$P273))</f>
        <v/>
      </c>
      <c r="O273">
        <f>IF($P273="","",INDEX(명단표[점검],$P273))</f>
        <v/>
      </c>
      <c r="P273" s="17">
        <f>IFERROR(MATCH(268,명단표[서울순번],0),"")</f>
        <v/>
      </c>
      <c r="R273">
        <f>IF($W273="","",INDEX(명단표[이름],$W273))</f>
        <v/>
      </c>
      <c r="S273">
        <f>IF($W273="","",INDEX(명단표[사번],$W273)&amp;"")</f>
        <v/>
      </c>
      <c r="T273">
        <f>IF($W273="","",INDEX(명단표[소속병원],$W273))</f>
        <v/>
      </c>
      <c r="U273">
        <f>IF($W273="","",INDEX(명단표[서울 근무일(기준월)],$W273))</f>
        <v/>
      </c>
      <c r="V273">
        <f>IF($W273="","",INDEX(명단표[구리 근무일(기준월)],$W273))</f>
        <v/>
      </c>
      <c r="W273" s="17">
        <f>IFERROR(MATCH(268,명단표[판정불가순번],0),"")</f>
        <v/>
      </c>
    </row>
    <row r="274">
      <c r="A274">
        <f>IF($P274="","",269)</f>
        <v/>
      </c>
      <c r="B274">
        <f>IF($P274="","",INDEX(명단표[이름],$P274))</f>
        <v/>
      </c>
      <c r="C274">
        <f>IF($P274="","",INDEX(명단표[사번],$P274)&amp;"")</f>
        <v/>
      </c>
      <c r="D274">
        <f>IF($P274="","",INDEX(명단표[전공의등록번호],$P274)&amp;"")</f>
        <v/>
      </c>
      <c r="E274">
        <f>IF($P274="","",INDEX(명단표[수련과목],$P274)&amp;"")</f>
        <v/>
      </c>
      <c r="F274">
        <f>IF($P274="","",INDEX(명단표[연차],$P274)&amp;"")</f>
        <v/>
      </c>
      <c r="G274">
        <f>IF($P274="","",INDEX(명단표[소속병원],$P274))</f>
        <v/>
      </c>
      <c r="H274">
        <f>IF($P274="","",IF(INDEX(명단표[소속병원],$P274)="서울병원","서울 소속","타 병원 소속("&amp;INDEX(명단표[소속병원],$P274)&amp;") → 서울 지급"))</f>
        <v/>
      </c>
      <c r="I274">
        <f>IF($P274="","",INDEX(명단표[현재 근무병원],$P274))</f>
        <v/>
      </c>
      <c r="J274">
        <f>IF($P274="","",INDEX(명단표[구리 근무 시작일(기준월)],$P274)&amp;"")</f>
        <v/>
      </c>
      <c r="K274">
        <f>IF($P274="","",INDEX(명단표[구리 근무 종료일(기준월)],$P274)&amp;"")</f>
        <v/>
      </c>
      <c r="L274">
        <f>IF($P274="","",INDEX(명단표[서울 근무일(기준월)],$P274))</f>
        <v/>
      </c>
      <c r="M274">
        <f>IF($P274="","",INDEX(명단표[구리 근무일(기준월)],$P274))</f>
        <v/>
      </c>
      <c r="N274">
        <f>IF($P274="","",INDEX(명단표[급여 판정 근거],$P274))</f>
        <v/>
      </c>
      <c r="O274">
        <f>IF($P274="","",INDEX(명단표[점검],$P274))</f>
        <v/>
      </c>
      <c r="P274" s="17">
        <f>IFERROR(MATCH(269,명단표[서울순번],0),"")</f>
        <v/>
      </c>
      <c r="R274">
        <f>IF($W274="","",INDEX(명단표[이름],$W274))</f>
        <v/>
      </c>
      <c r="S274">
        <f>IF($W274="","",INDEX(명단표[사번],$W274)&amp;"")</f>
        <v/>
      </c>
      <c r="T274">
        <f>IF($W274="","",INDEX(명단표[소속병원],$W274))</f>
        <v/>
      </c>
      <c r="U274">
        <f>IF($W274="","",INDEX(명단표[서울 근무일(기준월)],$W274))</f>
        <v/>
      </c>
      <c r="V274">
        <f>IF($W274="","",INDEX(명단표[구리 근무일(기준월)],$W274))</f>
        <v/>
      </c>
      <c r="W274" s="17">
        <f>IFERROR(MATCH(269,명단표[판정불가순번],0),"")</f>
        <v/>
      </c>
    </row>
    <row r="275">
      <c r="A275">
        <f>IF($P275="","",270)</f>
        <v/>
      </c>
      <c r="B275">
        <f>IF($P275="","",INDEX(명단표[이름],$P275))</f>
        <v/>
      </c>
      <c r="C275">
        <f>IF($P275="","",INDEX(명단표[사번],$P275)&amp;"")</f>
        <v/>
      </c>
      <c r="D275">
        <f>IF($P275="","",INDEX(명단표[전공의등록번호],$P275)&amp;"")</f>
        <v/>
      </c>
      <c r="E275">
        <f>IF($P275="","",INDEX(명단표[수련과목],$P275)&amp;"")</f>
        <v/>
      </c>
      <c r="F275">
        <f>IF($P275="","",INDEX(명단표[연차],$P275)&amp;"")</f>
        <v/>
      </c>
      <c r="G275">
        <f>IF($P275="","",INDEX(명단표[소속병원],$P275))</f>
        <v/>
      </c>
      <c r="H275">
        <f>IF($P275="","",IF(INDEX(명단표[소속병원],$P275)="서울병원","서울 소속","타 병원 소속("&amp;INDEX(명단표[소속병원],$P275)&amp;") → 서울 지급"))</f>
        <v/>
      </c>
      <c r="I275">
        <f>IF($P275="","",INDEX(명단표[현재 근무병원],$P275))</f>
        <v/>
      </c>
      <c r="J275">
        <f>IF($P275="","",INDEX(명단표[구리 근무 시작일(기준월)],$P275)&amp;"")</f>
        <v/>
      </c>
      <c r="K275">
        <f>IF($P275="","",INDEX(명단표[구리 근무 종료일(기준월)],$P275)&amp;"")</f>
        <v/>
      </c>
      <c r="L275">
        <f>IF($P275="","",INDEX(명단표[서울 근무일(기준월)],$P275))</f>
        <v/>
      </c>
      <c r="M275">
        <f>IF($P275="","",INDEX(명단표[구리 근무일(기준월)],$P275))</f>
        <v/>
      </c>
      <c r="N275">
        <f>IF($P275="","",INDEX(명단표[급여 판정 근거],$P275))</f>
        <v/>
      </c>
      <c r="O275">
        <f>IF($P275="","",INDEX(명단표[점검],$P275))</f>
        <v/>
      </c>
      <c r="P275" s="17">
        <f>IFERROR(MATCH(270,명단표[서울순번],0),"")</f>
        <v/>
      </c>
      <c r="R275">
        <f>IF($W275="","",INDEX(명단표[이름],$W275))</f>
        <v/>
      </c>
      <c r="S275">
        <f>IF($W275="","",INDEX(명단표[사번],$W275)&amp;"")</f>
        <v/>
      </c>
      <c r="T275">
        <f>IF($W275="","",INDEX(명단표[소속병원],$W275))</f>
        <v/>
      </c>
      <c r="U275">
        <f>IF($W275="","",INDEX(명단표[서울 근무일(기준월)],$W275))</f>
        <v/>
      </c>
      <c r="V275">
        <f>IF($W275="","",INDEX(명단표[구리 근무일(기준월)],$W275))</f>
        <v/>
      </c>
      <c r="W275" s="17">
        <f>IFERROR(MATCH(270,명단표[판정불가순번],0),"")</f>
        <v/>
      </c>
    </row>
    <row r="276">
      <c r="A276">
        <f>IF($P276="","",271)</f>
        <v/>
      </c>
      <c r="B276">
        <f>IF($P276="","",INDEX(명단표[이름],$P276))</f>
        <v/>
      </c>
      <c r="C276">
        <f>IF($P276="","",INDEX(명단표[사번],$P276)&amp;"")</f>
        <v/>
      </c>
      <c r="D276">
        <f>IF($P276="","",INDEX(명단표[전공의등록번호],$P276)&amp;"")</f>
        <v/>
      </c>
      <c r="E276">
        <f>IF($P276="","",INDEX(명단표[수련과목],$P276)&amp;"")</f>
        <v/>
      </c>
      <c r="F276">
        <f>IF($P276="","",INDEX(명단표[연차],$P276)&amp;"")</f>
        <v/>
      </c>
      <c r="G276">
        <f>IF($P276="","",INDEX(명단표[소속병원],$P276))</f>
        <v/>
      </c>
      <c r="H276">
        <f>IF($P276="","",IF(INDEX(명단표[소속병원],$P276)="서울병원","서울 소속","타 병원 소속("&amp;INDEX(명단표[소속병원],$P276)&amp;") → 서울 지급"))</f>
        <v/>
      </c>
      <c r="I276">
        <f>IF($P276="","",INDEX(명단표[현재 근무병원],$P276))</f>
        <v/>
      </c>
      <c r="J276">
        <f>IF($P276="","",INDEX(명단표[구리 근무 시작일(기준월)],$P276)&amp;"")</f>
        <v/>
      </c>
      <c r="K276">
        <f>IF($P276="","",INDEX(명단표[구리 근무 종료일(기준월)],$P276)&amp;"")</f>
        <v/>
      </c>
      <c r="L276">
        <f>IF($P276="","",INDEX(명단표[서울 근무일(기준월)],$P276))</f>
        <v/>
      </c>
      <c r="M276">
        <f>IF($P276="","",INDEX(명단표[구리 근무일(기준월)],$P276))</f>
        <v/>
      </c>
      <c r="N276">
        <f>IF($P276="","",INDEX(명단표[급여 판정 근거],$P276))</f>
        <v/>
      </c>
      <c r="O276">
        <f>IF($P276="","",INDEX(명단표[점검],$P276))</f>
        <v/>
      </c>
      <c r="P276" s="17">
        <f>IFERROR(MATCH(271,명단표[서울순번],0),"")</f>
        <v/>
      </c>
      <c r="R276">
        <f>IF($W276="","",INDEX(명단표[이름],$W276))</f>
        <v/>
      </c>
      <c r="S276">
        <f>IF($W276="","",INDEX(명단표[사번],$W276)&amp;"")</f>
        <v/>
      </c>
      <c r="T276">
        <f>IF($W276="","",INDEX(명단표[소속병원],$W276))</f>
        <v/>
      </c>
      <c r="U276">
        <f>IF($W276="","",INDEX(명단표[서울 근무일(기준월)],$W276))</f>
        <v/>
      </c>
      <c r="V276">
        <f>IF($W276="","",INDEX(명단표[구리 근무일(기준월)],$W276))</f>
        <v/>
      </c>
      <c r="W276" s="17">
        <f>IFERROR(MATCH(271,명단표[판정불가순번],0),"")</f>
        <v/>
      </c>
    </row>
    <row r="277">
      <c r="A277">
        <f>IF($P277="","",272)</f>
        <v/>
      </c>
      <c r="B277">
        <f>IF($P277="","",INDEX(명단표[이름],$P277))</f>
        <v/>
      </c>
      <c r="C277">
        <f>IF($P277="","",INDEX(명단표[사번],$P277)&amp;"")</f>
        <v/>
      </c>
      <c r="D277">
        <f>IF($P277="","",INDEX(명단표[전공의등록번호],$P277)&amp;"")</f>
        <v/>
      </c>
      <c r="E277">
        <f>IF($P277="","",INDEX(명단표[수련과목],$P277)&amp;"")</f>
        <v/>
      </c>
      <c r="F277">
        <f>IF($P277="","",INDEX(명단표[연차],$P277)&amp;"")</f>
        <v/>
      </c>
      <c r="G277">
        <f>IF($P277="","",INDEX(명단표[소속병원],$P277))</f>
        <v/>
      </c>
      <c r="H277">
        <f>IF($P277="","",IF(INDEX(명단표[소속병원],$P277)="서울병원","서울 소속","타 병원 소속("&amp;INDEX(명단표[소속병원],$P277)&amp;") → 서울 지급"))</f>
        <v/>
      </c>
      <c r="I277">
        <f>IF($P277="","",INDEX(명단표[현재 근무병원],$P277))</f>
        <v/>
      </c>
      <c r="J277">
        <f>IF($P277="","",INDEX(명단표[구리 근무 시작일(기준월)],$P277)&amp;"")</f>
        <v/>
      </c>
      <c r="K277">
        <f>IF($P277="","",INDEX(명단표[구리 근무 종료일(기준월)],$P277)&amp;"")</f>
        <v/>
      </c>
      <c r="L277">
        <f>IF($P277="","",INDEX(명단표[서울 근무일(기준월)],$P277))</f>
        <v/>
      </c>
      <c r="M277">
        <f>IF($P277="","",INDEX(명단표[구리 근무일(기준월)],$P277))</f>
        <v/>
      </c>
      <c r="N277">
        <f>IF($P277="","",INDEX(명단표[급여 판정 근거],$P277))</f>
        <v/>
      </c>
      <c r="O277">
        <f>IF($P277="","",INDEX(명단표[점검],$P277))</f>
        <v/>
      </c>
      <c r="P277" s="17">
        <f>IFERROR(MATCH(272,명단표[서울순번],0),"")</f>
        <v/>
      </c>
      <c r="R277">
        <f>IF($W277="","",INDEX(명단표[이름],$W277))</f>
        <v/>
      </c>
      <c r="S277">
        <f>IF($W277="","",INDEX(명단표[사번],$W277)&amp;"")</f>
        <v/>
      </c>
      <c r="T277">
        <f>IF($W277="","",INDEX(명단표[소속병원],$W277))</f>
        <v/>
      </c>
      <c r="U277">
        <f>IF($W277="","",INDEX(명단표[서울 근무일(기준월)],$W277))</f>
        <v/>
      </c>
      <c r="V277">
        <f>IF($W277="","",INDEX(명단표[구리 근무일(기준월)],$W277))</f>
        <v/>
      </c>
      <c r="W277" s="17">
        <f>IFERROR(MATCH(272,명단표[판정불가순번],0),"")</f>
        <v/>
      </c>
    </row>
    <row r="278">
      <c r="A278">
        <f>IF($P278="","",273)</f>
        <v/>
      </c>
      <c r="B278">
        <f>IF($P278="","",INDEX(명단표[이름],$P278))</f>
        <v/>
      </c>
      <c r="C278">
        <f>IF($P278="","",INDEX(명단표[사번],$P278)&amp;"")</f>
        <v/>
      </c>
      <c r="D278">
        <f>IF($P278="","",INDEX(명단표[전공의등록번호],$P278)&amp;"")</f>
        <v/>
      </c>
      <c r="E278">
        <f>IF($P278="","",INDEX(명단표[수련과목],$P278)&amp;"")</f>
        <v/>
      </c>
      <c r="F278">
        <f>IF($P278="","",INDEX(명단표[연차],$P278)&amp;"")</f>
        <v/>
      </c>
      <c r="G278">
        <f>IF($P278="","",INDEX(명단표[소속병원],$P278))</f>
        <v/>
      </c>
      <c r="H278">
        <f>IF($P278="","",IF(INDEX(명단표[소속병원],$P278)="서울병원","서울 소속","타 병원 소속("&amp;INDEX(명단표[소속병원],$P278)&amp;") → 서울 지급"))</f>
        <v/>
      </c>
      <c r="I278">
        <f>IF($P278="","",INDEX(명단표[현재 근무병원],$P278))</f>
        <v/>
      </c>
      <c r="J278">
        <f>IF($P278="","",INDEX(명단표[구리 근무 시작일(기준월)],$P278)&amp;"")</f>
        <v/>
      </c>
      <c r="K278">
        <f>IF($P278="","",INDEX(명단표[구리 근무 종료일(기준월)],$P278)&amp;"")</f>
        <v/>
      </c>
      <c r="L278">
        <f>IF($P278="","",INDEX(명단표[서울 근무일(기준월)],$P278))</f>
        <v/>
      </c>
      <c r="M278">
        <f>IF($P278="","",INDEX(명단표[구리 근무일(기준월)],$P278))</f>
        <v/>
      </c>
      <c r="N278">
        <f>IF($P278="","",INDEX(명단표[급여 판정 근거],$P278))</f>
        <v/>
      </c>
      <c r="O278">
        <f>IF($P278="","",INDEX(명단표[점검],$P278))</f>
        <v/>
      </c>
      <c r="P278" s="17">
        <f>IFERROR(MATCH(273,명단표[서울순번],0),"")</f>
        <v/>
      </c>
      <c r="R278">
        <f>IF($W278="","",INDEX(명단표[이름],$W278))</f>
        <v/>
      </c>
      <c r="S278">
        <f>IF($W278="","",INDEX(명단표[사번],$W278)&amp;"")</f>
        <v/>
      </c>
      <c r="T278">
        <f>IF($W278="","",INDEX(명단표[소속병원],$W278))</f>
        <v/>
      </c>
      <c r="U278">
        <f>IF($W278="","",INDEX(명단표[서울 근무일(기준월)],$W278))</f>
        <v/>
      </c>
      <c r="V278">
        <f>IF($W278="","",INDEX(명단표[구리 근무일(기준월)],$W278))</f>
        <v/>
      </c>
      <c r="W278" s="17">
        <f>IFERROR(MATCH(273,명단표[판정불가순번],0),"")</f>
        <v/>
      </c>
    </row>
    <row r="279">
      <c r="A279">
        <f>IF($P279="","",274)</f>
        <v/>
      </c>
      <c r="B279">
        <f>IF($P279="","",INDEX(명단표[이름],$P279))</f>
        <v/>
      </c>
      <c r="C279">
        <f>IF($P279="","",INDEX(명단표[사번],$P279)&amp;"")</f>
        <v/>
      </c>
      <c r="D279">
        <f>IF($P279="","",INDEX(명단표[전공의등록번호],$P279)&amp;"")</f>
        <v/>
      </c>
      <c r="E279">
        <f>IF($P279="","",INDEX(명단표[수련과목],$P279)&amp;"")</f>
        <v/>
      </c>
      <c r="F279">
        <f>IF($P279="","",INDEX(명단표[연차],$P279)&amp;"")</f>
        <v/>
      </c>
      <c r="G279">
        <f>IF($P279="","",INDEX(명단표[소속병원],$P279))</f>
        <v/>
      </c>
      <c r="H279">
        <f>IF($P279="","",IF(INDEX(명단표[소속병원],$P279)="서울병원","서울 소속","타 병원 소속("&amp;INDEX(명단표[소속병원],$P279)&amp;") → 서울 지급"))</f>
        <v/>
      </c>
      <c r="I279">
        <f>IF($P279="","",INDEX(명단표[현재 근무병원],$P279))</f>
        <v/>
      </c>
      <c r="J279">
        <f>IF($P279="","",INDEX(명단표[구리 근무 시작일(기준월)],$P279)&amp;"")</f>
        <v/>
      </c>
      <c r="K279">
        <f>IF($P279="","",INDEX(명단표[구리 근무 종료일(기준월)],$P279)&amp;"")</f>
        <v/>
      </c>
      <c r="L279">
        <f>IF($P279="","",INDEX(명단표[서울 근무일(기준월)],$P279))</f>
        <v/>
      </c>
      <c r="M279">
        <f>IF($P279="","",INDEX(명단표[구리 근무일(기준월)],$P279))</f>
        <v/>
      </c>
      <c r="N279">
        <f>IF($P279="","",INDEX(명단표[급여 판정 근거],$P279))</f>
        <v/>
      </c>
      <c r="O279">
        <f>IF($P279="","",INDEX(명단표[점검],$P279))</f>
        <v/>
      </c>
      <c r="P279" s="17">
        <f>IFERROR(MATCH(274,명단표[서울순번],0),"")</f>
        <v/>
      </c>
      <c r="R279">
        <f>IF($W279="","",INDEX(명단표[이름],$W279))</f>
        <v/>
      </c>
      <c r="S279">
        <f>IF($W279="","",INDEX(명단표[사번],$W279)&amp;"")</f>
        <v/>
      </c>
      <c r="T279">
        <f>IF($W279="","",INDEX(명단표[소속병원],$W279))</f>
        <v/>
      </c>
      <c r="U279">
        <f>IF($W279="","",INDEX(명단표[서울 근무일(기준월)],$W279))</f>
        <v/>
      </c>
      <c r="V279">
        <f>IF($W279="","",INDEX(명단표[구리 근무일(기준월)],$W279))</f>
        <v/>
      </c>
      <c r="W279" s="17">
        <f>IFERROR(MATCH(274,명단표[판정불가순번],0),"")</f>
        <v/>
      </c>
    </row>
    <row r="280">
      <c r="A280">
        <f>IF($P280="","",275)</f>
        <v/>
      </c>
      <c r="B280">
        <f>IF($P280="","",INDEX(명단표[이름],$P280))</f>
        <v/>
      </c>
      <c r="C280">
        <f>IF($P280="","",INDEX(명단표[사번],$P280)&amp;"")</f>
        <v/>
      </c>
      <c r="D280">
        <f>IF($P280="","",INDEX(명단표[전공의등록번호],$P280)&amp;"")</f>
        <v/>
      </c>
      <c r="E280">
        <f>IF($P280="","",INDEX(명단표[수련과목],$P280)&amp;"")</f>
        <v/>
      </c>
      <c r="F280">
        <f>IF($P280="","",INDEX(명단표[연차],$P280)&amp;"")</f>
        <v/>
      </c>
      <c r="G280">
        <f>IF($P280="","",INDEX(명단표[소속병원],$P280))</f>
        <v/>
      </c>
      <c r="H280">
        <f>IF($P280="","",IF(INDEX(명단표[소속병원],$P280)="서울병원","서울 소속","타 병원 소속("&amp;INDEX(명단표[소속병원],$P280)&amp;") → 서울 지급"))</f>
        <v/>
      </c>
      <c r="I280">
        <f>IF($P280="","",INDEX(명단표[현재 근무병원],$P280))</f>
        <v/>
      </c>
      <c r="J280">
        <f>IF($P280="","",INDEX(명단표[구리 근무 시작일(기준월)],$P280)&amp;"")</f>
        <v/>
      </c>
      <c r="K280">
        <f>IF($P280="","",INDEX(명단표[구리 근무 종료일(기준월)],$P280)&amp;"")</f>
        <v/>
      </c>
      <c r="L280">
        <f>IF($P280="","",INDEX(명단표[서울 근무일(기준월)],$P280))</f>
        <v/>
      </c>
      <c r="M280">
        <f>IF($P280="","",INDEX(명단표[구리 근무일(기준월)],$P280))</f>
        <v/>
      </c>
      <c r="N280">
        <f>IF($P280="","",INDEX(명단표[급여 판정 근거],$P280))</f>
        <v/>
      </c>
      <c r="O280">
        <f>IF($P280="","",INDEX(명단표[점검],$P280))</f>
        <v/>
      </c>
      <c r="P280" s="17">
        <f>IFERROR(MATCH(275,명단표[서울순번],0),"")</f>
        <v/>
      </c>
      <c r="R280">
        <f>IF($W280="","",INDEX(명단표[이름],$W280))</f>
        <v/>
      </c>
      <c r="S280">
        <f>IF($W280="","",INDEX(명단표[사번],$W280)&amp;"")</f>
        <v/>
      </c>
      <c r="T280">
        <f>IF($W280="","",INDEX(명단표[소속병원],$W280))</f>
        <v/>
      </c>
      <c r="U280">
        <f>IF($W280="","",INDEX(명단표[서울 근무일(기준월)],$W280))</f>
        <v/>
      </c>
      <c r="V280">
        <f>IF($W280="","",INDEX(명단표[구리 근무일(기준월)],$W280))</f>
        <v/>
      </c>
      <c r="W280" s="17">
        <f>IFERROR(MATCH(275,명단표[판정불가순번],0),"")</f>
        <v/>
      </c>
    </row>
    <row r="281">
      <c r="A281">
        <f>IF($P281="","",276)</f>
        <v/>
      </c>
      <c r="B281">
        <f>IF($P281="","",INDEX(명단표[이름],$P281))</f>
        <v/>
      </c>
      <c r="C281">
        <f>IF($P281="","",INDEX(명단표[사번],$P281)&amp;"")</f>
        <v/>
      </c>
      <c r="D281">
        <f>IF($P281="","",INDEX(명단표[전공의등록번호],$P281)&amp;"")</f>
        <v/>
      </c>
      <c r="E281">
        <f>IF($P281="","",INDEX(명단표[수련과목],$P281)&amp;"")</f>
        <v/>
      </c>
      <c r="F281">
        <f>IF($P281="","",INDEX(명단표[연차],$P281)&amp;"")</f>
        <v/>
      </c>
      <c r="G281">
        <f>IF($P281="","",INDEX(명단표[소속병원],$P281))</f>
        <v/>
      </c>
      <c r="H281">
        <f>IF($P281="","",IF(INDEX(명단표[소속병원],$P281)="서울병원","서울 소속","타 병원 소속("&amp;INDEX(명단표[소속병원],$P281)&amp;") → 서울 지급"))</f>
        <v/>
      </c>
      <c r="I281">
        <f>IF($P281="","",INDEX(명단표[현재 근무병원],$P281))</f>
        <v/>
      </c>
      <c r="J281">
        <f>IF($P281="","",INDEX(명단표[구리 근무 시작일(기준월)],$P281)&amp;"")</f>
        <v/>
      </c>
      <c r="K281">
        <f>IF($P281="","",INDEX(명단표[구리 근무 종료일(기준월)],$P281)&amp;"")</f>
        <v/>
      </c>
      <c r="L281">
        <f>IF($P281="","",INDEX(명단표[서울 근무일(기준월)],$P281))</f>
        <v/>
      </c>
      <c r="M281">
        <f>IF($P281="","",INDEX(명단표[구리 근무일(기준월)],$P281))</f>
        <v/>
      </c>
      <c r="N281">
        <f>IF($P281="","",INDEX(명단표[급여 판정 근거],$P281))</f>
        <v/>
      </c>
      <c r="O281">
        <f>IF($P281="","",INDEX(명단표[점검],$P281))</f>
        <v/>
      </c>
      <c r="P281" s="17">
        <f>IFERROR(MATCH(276,명단표[서울순번],0),"")</f>
        <v/>
      </c>
      <c r="R281">
        <f>IF($W281="","",INDEX(명단표[이름],$W281))</f>
        <v/>
      </c>
      <c r="S281">
        <f>IF($W281="","",INDEX(명단표[사번],$W281)&amp;"")</f>
        <v/>
      </c>
      <c r="T281">
        <f>IF($W281="","",INDEX(명단표[소속병원],$W281))</f>
        <v/>
      </c>
      <c r="U281">
        <f>IF($W281="","",INDEX(명단표[서울 근무일(기준월)],$W281))</f>
        <v/>
      </c>
      <c r="V281">
        <f>IF($W281="","",INDEX(명단표[구리 근무일(기준월)],$W281))</f>
        <v/>
      </c>
      <c r="W281" s="17">
        <f>IFERROR(MATCH(276,명단표[판정불가순번],0),"")</f>
        <v/>
      </c>
    </row>
    <row r="282">
      <c r="A282">
        <f>IF($P282="","",277)</f>
        <v/>
      </c>
      <c r="B282">
        <f>IF($P282="","",INDEX(명단표[이름],$P282))</f>
        <v/>
      </c>
      <c r="C282">
        <f>IF($P282="","",INDEX(명단표[사번],$P282)&amp;"")</f>
        <v/>
      </c>
      <c r="D282">
        <f>IF($P282="","",INDEX(명단표[전공의등록번호],$P282)&amp;"")</f>
        <v/>
      </c>
      <c r="E282">
        <f>IF($P282="","",INDEX(명단표[수련과목],$P282)&amp;"")</f>
        <v/>
      </c>
      <c r="F282">
        <f>IF($P282="","",INDEX(명단표[연차],$P282)&amp;"")</f>
        <v/>
      </c>
      <c r="G282">
        <f>IF($P282="","",INDEX(명단표[소속병원],$P282))</f>
        <v/>
      </c>
      <c r="H282">
        <f>IF($P282="","",IF(INDEX(명단표[소속병원],$P282)="서울병원","서울 소속","타 병원 소속("&amp;INDEX(명단표[소속병원],$P282)&amp;") → 서울 지급"))</f>
        <v/>
      </c>
      <c r="I282">
        <f>IF($P282="","",INDEX(명단표[현재 근무병원],$P282))</f>
        <v/>
      </c>
      <c r="J282">
        <f>IF($P282="","",INDEX(명단표[구리 근무 시작일(기준월)],$P282)&amp;"")</f>
        <v/>
      </c>
      <c r="K282">
        <f>IF($P282="","",INDEX(명단표[구리 근무 종료일(기준월)],$P282)&amp;"")</f>
        <v/>
      </c>
      <c r="L282">
        <f>IF($P282="","",INDEX(명단표[서울 근무일(기준월)],$P282))</f>
        <v/>
      </c>
      <c r="M282">
        <f>IF($P282="","",INDEX(명단표[구리 근무일(기준월)],$P282))</f>
        <v/>
      </c>
      <c r="N282">
        <f>IF($P282="","",INDEX(명단표[급여 판정 근거],$P282))</f>
        <v/>
      </c>
      <c r="O282">
        <f>IF($P282="","",INDEX(명단표[점검],$P282))</f>
        <v/>
      </c>
      <c r="P282" s="17">
        <f>IFERROR(MATCH(277,명단표[서울순번],0),"")</f>
        <v/>
      </c>
      <c r="R282">
        <f>IF($W282="","",INDEX(명단표[이름],$W282))</f>
        <v/>
      </c>
      <c r="S282">
        <f>IF($W282="","",INDEX(명단표[사번],$W282)&amp;"")</f>
        <v/>
      </c>
      <c r="T282">
        <f>IF($W282="","",INDEX(명단표[소속병원],$W282))</f>
        <v/>
      </c>
      <c r="U282">
        <f>IF($W282="","",INDEX(명단표[서울 근무일(기준월)],$W282))</f>
        <v/>
      </c>
      <c r="V282">
        <f>IF($W282="","",INDEX(명단표[구리 근무일(기준월)],$W282))</f>
        <v/>
      </c>
      <c r="W282" s="17">
        <f>IFERROR(MATCH(277,명단표[판정불가순번],0),"")</f>
        <v/>
      </c>
    </row>
    <row r="283">
      <c r="A283">
        <f>IF($P283="","",278)</f>
        <v/>
      </c>
      <c r="B283">
        <f>IF($P283="","",INDEX(명단표[이름],$P283))</f>
        <v/>
      </c>
      <c r="C283">
        <f>IF($P283="","",INDEX(명단표[사번],$P283)&amp;"")</f>
        <v/>
      </c>
      <c r="D283">
        <f>IF($P283="","",INDEX(명단표[전공의등록번호],$P283)&amp;"")</f>
        <v/>
      </c>
      <c r="E283">
        <f>IF($P283="","",INDEX(명단표[수련과목],$P283)&amp;"")</f>
        <v/>
      </c>
      <c r="F283">
        <f>IF($P283="","",INDEX(명단표[연차],$P283)&amp;"")</f>
        <v/>
      </c>
      <c r="G283">
        <f>IF($P283="","",INDEX(명단표[소속병원],$P283))</f>
        <v/>
      </c>
      <c r="H283">
        <f>IF($P283="","",IF(INDEX(명단표[소속병원],$P283)="서울병원","서울 소속","타 병원 소속("&amp;INDEX(명단표[소속병원],$P283)&amp;") → 서울 지급"))</f>
        <v/>
      </c>
      <c r="I283">
        <f>IF($P283="","",INDEX(명단표[현재 근무병원],$P283))</f>
        <v/>
      </c>
      <c r="J283">
        <f>IF($P283="","",INDEX(명단표[구리 근무 시작일(기준월)],$P283)&amp;"")</f>
        <v/>
      </c>
      <c r="K283">
        <f>IF($P283="","",INDEX(명단표[구리 근무 종료일(기준월)],$P283)&amp;"")</f>
        <v/>
      </c>
      <c r="L283">
        <f>IF($P283="","",INDEX(명단표[서울 근무일(기준월)],$P283))</f>
        <v/>
      </c>
      <c r="M283">
        <f>IF($P283="","",INDEX(명단표[구리 근무일(기준월)],$P283))</f>
        <v/>
      </c>
      <c r="N283">
        <f>IF($P283="","",INDEX(명단표[급여 판정 근거],$P283))</f>
        <v/>
      </c>
      <c r="O283">
        <f>IF($P283="","",INDEX(명단표[점검],$P283))</f>
        <v/>
      </c>
      <c r="P283" s="17">
        <f>IFERROR(MATCH(278,명단표[서울순번],0),"")</f>
        <v/>
      </c>
      <c r="R283">
        <f>IF($W283="","",INDEX(명단표[이름],$W283))</f>
        <v/>
      </c>
      <c r="S283">
        <f>IF($W283="","",INDEX(명단표[사번],$W283)&amp;"")</f>
        <v/>
      </c>
      <c r="T283">
        <f>IF($W283="","",INDEX(명단표[소속병원],$W283))</f>
        <v/>
      </c>
      <c r="U283">
        <f>IF($W283="","",INDEX(명단표[서울 근무일(기준월)],$W283))</f>
        <v/>
      </c>
      <c r="V283">
        <f>IF($W283="","",INDEX(명단표[구리 근무일(기준월)],$W283))</f>
        <v/>
      </c>
      <c r="W283" s="17">
        <f>IFERROR(MATCH(278,명단표[판정불가순번],0),"")</f>
        <v/>
      </c>
    </row>
    <row r="284">
      <c r="A284">
        <f>IF($P284="","",279)</f>
        <v/>
      </c>
      <c r="B284">
        <f>IF($P284="","",INDEX(명단표[이름],$P284))</f>
        <v/>
      </c>
      <c r="C284">
        <f>IF($P284="","",INDEX(명단표[사번],$P284)&amp;"")</f>
        <v/>
      </c>
      <c r="D284">
        <f>IF($P284="","",INDEX(명단표[전공의등록번호],$P284)&amp;"")</f>
        <v/>
      </c>
      <c r="E284">
        <f>IF($P284="","",INDEX(명단표[수련과목],$P284)&amp;"")</f>
        <v/>
      </c>
      <c r="F284">
        <f>IF($P284="","",INDEX(명단표[연차],$P284)&amp;"")</f>
        <v/>
      </c>
      <c r="G284">
        <f>IF($P284="","",INDEX(명단표[소속병원],$P284))</f>
        <v/>
      </c>
      <c r="H284">
        <f>IF($P284="","",IF(INDEX(명단표[소속병원],$P284)="서울병원","서울 소속","타 병원 소속("&amp;INDEX(명단표[소속병원],$P284)&amp;") → 서울 지급"))</f>
        <v/>
      </c>
      <c r="I284">
        <f>IF($P284="","",INDEX(명단표[현재 근무병원],$P284))</f>
        <v/>
      </c>
      <c r="J284">
        <f>IF($P284="","",INDEX(명단표[구리 근무 시작일(기준월)],$P284)&amp;"")</f>
        <v/>
      </c>
      <c r="K284">
        <f>IF($P284="","",INDEX(명단표[구리 근무 종료일(기준월)],$P284)&amp;"")</f>
        <v/>
      </c>
      <c r="L284">
        <f>IF($P284="","",INDEX(명단표[서울 근무일(기준월)],$P284))</f>
        <v/>
      </c>
      <c r="M284">
        <f>IF($P284="","",INDEX(명단표[구리 근무일(기준월)],$P284))</f>
        <v/>
      </c>
      <c r="N284">
        <f>IF($P284="","",INDEX(명단표[급여 판정 근거],$P284))</f>
        <v/>
      </c>
      <c r="O284">
        <f>IF($P284="","",INDEX(명단표[점검],$P284))</f>
        <v/>
      </c>
      <c r="P284" s="17">
        <f>IFERROR(MATCH(279,명단표[서울순번],0),"")</f>
        <v/>
      </c>
      <c r="R284">
        <f>IF($W284="","",INDEX(명단표[이름],$W284))</f>
        <v/>
      </c>
      <c r="S284">
        <f>IF($W284="","",INDEX(명단표[사번],$W284)&amp;"")</f>
        <v/>
      </c>
      <c r="T284">
        <f>IF($W284="","",INDEX(명단표[소속병원],$W284))</f>
        <v/>
      </c>
      <c r="U284">
        <f>IF($W284="","",INDEX(명단표[서울 근무일(기준월)],$W284))</f>
        <v/>
      </c>
      <c r="V284">
        <f>IF($W284="","",INDEX(명단표[구리 근무일(기준월)],$W284))</f>
        <v/>
      </c>
      <c r="W284" s="17">
        <f>IFERROR(MATCH(279,명단표[판정불가순번],0),"")</f>
        <v/>
      </c>
    </row>
    <row r="285">
      <c r="A285">
        <f>IF($P285="","",280)</f>
        <v/>
      </c>
      <c r="B285">
        <f>IF($P285="","",INDEX(명단표[이름],$P285))</f>
        <v/>
      </c>
      <c r="C285">
        <f>IF($P285="","",INDEX(명단표[사번],$P285)&amp;"")</f>
        <v/>
      </c>
      <c r="D285">
        <f>IF($P285="","",INDEX(명단표[전공의등록번호],$P285)&amp;"")</f>
        <v/>
      </c>
      <c r="E285">
        <f>IF($P285="","",INDEX(명단표[수련과목],$P285)&amp;"")</f>
        <v/>
      </c>
      <c r="F285">
        <f>IF($P285="","",INDEX(명단표[연차],$P285)&amp;"")</f>
        <v/>
      </c>
      <c r="G285">
        <f>IF($P285="","",INDEX(명단표[소속병원],$P285))</f>
        <v/>
      </c>
      <c r="H285">
        <f>IF($P285="","",IF(INDEX(명단표[소속병원],$P285)="서울병원","서울 소속","타 병원 소속("&amp;INDEX(명단표[소속병원],$P285)&amp;") → 서울 지급"))</f>
        <v/>
      </c>
      <c r="I285">
        <f>IF($P285="","",INDEX(명단표[현재 근무병원],$P285))</f>
        <v/>
      </c>
      <c r="J285">
        <f>IF($P285="","",INDEX(명단표[구리 근무 시작일(기준월)],$P285)&amp;"")</f>
        <v/>
      </c>
      <c r="K285">
        <f>IF($P285="","",INDEX(명단표[구리 근무 종료일(기준월)],$P285)&amp;"")</f>
        <v/>
      </c>
      <c r="L285">
        <f>IF($P285="","",INDEX(명단표[서울 근무일(기준월)],$P285))</f>
        <v/>
      </c>
      <c r="M285">
        <f>IF($P285="","",INDEX(명단표[구리 근무일(기준월)],$P285))</f>
        <v/>
      </c>
      <c r="N285">
        <f>IF($P285="","",INDEX(명단표[급여 판정 근거],$P285))</f>
        <v/>
      </c>
      <c r="O285">
        <f>IF($P285="","",INDEX(명단표[점검],$P285))</f>
        <v/>
      </c>
      <c r="P285" s="17">
        <f>IFERROR(MATCH(280,명단표[서울순번],0),"")</f>
        <v/>
      </c>
      <c r="R285">
        <f>IF($W285="","",INDEX(명단표[이름],$W285))</f>
        <v/>
      </c>
      <c r="S285">
        <f>IF($W285="","",INDEX(명단표[사번],$W285)&amp;"")</f>
        <v/>
      </c>
      <c r="T285">
        <f>IF($W285="","",INDEX(명단표[소속병원],$W285))</f>
        <v/>
      </c>
      <c r="U285">
        <f>IF($W285="","",INDEX(명단표[서울 근무일(기준월)],$W285))</f>
        <v/>
      </c>
      <c r="V285">
        <f>IF($W285="","",INDEX(명단표[구리 근무일(기준월)],$W285))</f>
        <v/>
      </c>
      <c r="W285" s="17">
        <f>IFERROR(MATCH(280,명단표[판정불가순번],0),"")</f>
        <v/>
      </c>
    </row>
    <row r="286">
      <c r="A286">
        <f>IF($P286="","",281)</f>
        <v/>
      </c>
      <c r="B286">
        <f>IF($P286="","",INDEX(명단표[이름],$P286))</f>
        <v/>
      </c>
      <c r="C286">
        <f>IF($P286="","",INDEX(명단표[사번],$P286)&amp;"")</f>
        <v/>
      </c>
      <c r="D286">
        <f>IF($P286="","",INDEX(명단표[전공의등록번호],$P286)&amp;"")</f>
        <v/>
      </c>
      <c r="E286">
        <f>IF($P286="","",INDEX(명단표[수련과목],$P286)&amp;"")</f>
        <v/>
      </c>
      <c r="F286">
        <f>IF($P286="","",INDEX(명단표[연차],$P286)&amp;"")</f>
        <v/>
      </c>
      <c r="G286">
        <f>IF($P286="","",INDEX(명단표[소속병원],$P286))</f>
        <v/>
      </c>
      <c r="H286">
        <f>IF($P286="","",IF(INDEX(명단표[소속병원],$P286)="서울병원","서울 소속","타 병원 소속("&amp;INDEX(명단표[소속병원],$P286)&amp;") → 서울 지급"))</f>
        <v/>
      </c>
      <c r="I286">
        <f>IF($P286="","",INDEX(명단표[현재 근무병원],$P286))</f>
        <v/>
      </c>
      <c r="J286">
        <f>IF($P286="","",INDEX(명단표[구리 근무 시작일(기준월)],$P286)&amp;"")</f>
        <v/>
      </c>
      <c r="K286">
        <f>IF($P286="","",INDEX(명단표[구리 근무 종료일(기준월)],$P286)&amp;"")</f>
        <v/>
      </c>
      <c r="L286">
        <f>IF($P286="","",INDEX(명단표[서울 근무일(기준월)],$P286))</f>
        <v/>
      </c>
      <c r="M286">
        <f>IF($P286="","",INDEX(명단표[구리 근무일(기준월)],$P286))</f>
        <v/>
      </c>
      <c r="N286">
        <f>IF($P286="","",INDEX(명단표[급여 판정 근거],$P286))</f>
        <v/>
      </c>
      <c r="O286">
        <f>IF($P286="","",INDEX(명단표[점검],$P286))</f>
        <v/>
      </c>
      <c r="P286" s="17">
        <f>IFERROR(MATCH(281,명단표[서울순번],0),"")</f>
        <v/>
      </c>
      <c r="R286">
        <f>IF($W286="","",INDEX(명단표[이름],$W286))</f>
        <v/>
      </c>
      <c r="S286">
        <f>IF($W286="","",INDEX(명단표[사번],$W286)&amp;"")</f>
        <v/>
      </c>
      <c r="T286">
        <f>IF($W286="","",INDEX(명단표[소속병원],$W286))</f>
        <v/>
      </c>
      <c r="U286">
        <f>IF($W286="","",INDEX(명단표[서울 근무일(기준월)],$W286))</f>
        <v/>
      </c>
      <c r="V286">
        <f>IF($W286="","",INDEX(명단표[구리 근무일(기준월)],$W286))</f>
        <v/>
      </c>
      <c r="W286" s="17">
        <f>IFERROR(MATCH(281,명단표[판정불가순번],0),"")</f>
        <v/>
      </c>
    </row>
    <row r="287">
      <c r="A287">
        <f>IF($P287="","",282)</f>
        <v/>
      </c>
      <c r="B287">
        <f>IF($P287="","",INDEX(명단표[이름],$P287))</f>
        <v/>
      </c>
      <c r="C287">
        <f>IF($P287="","",INDEX(명단표[사번],$P287)&amp;"")</f>
        <v/>
      </c>
      <c r="D287">
        <f>IF($P287="","",INDEX(명단표[전공의등록번호],$P287)&amp;"")</f>
        <v/>
      </c>
      <c r="E287">
        <f>IF($P287="","",INDEX(명단표[수련과목],$P287)&amp;"")</f>
        <v/>
      </c>
      <c r="F287">
        <f>IF($P287="","",INDEX(명단표[연차],$P287)&amp;"")</f>
        <v/>
      </c>
      <c r="G287">
        <f>IF($P287="","",INDEX(명단표[소속병원],$P287))</f>
        <v/>
      </c>
      <c r="H287">
        <f>IF($P287="","",IF(INDEX(명단표[소속병원],$P287)="서울병원","서울 소속","타 병원 소속("&amp;INDEX(명단표[소속병원],$P287)&amp;") → 서울 지급"))</f>
        <v/>
      </c>
      <c r="I287">
        <f>IF($P287="","",INDEX(명단표[현재 근무병원],$P287))</f>
        <v/>
      </c>
      <c r="J287">
        <f>IF($P287="","",INDEX(명단표[구리 근무 시작일(기준월)],$P287)&amp;"")</f>
        <v/>
      </c>
      <c r="K287">
        <f>IF($P287="","",INDEX(명단표[구리 근무 종료일(기준월)],$P287)&amp;"")</f>
        <v/>
      </c>
      <c r="L287">
        <f>IF($P287="","",INDEX(명단표[서울 근무일(기준월)],$P287))</f>
        <v/>
      </c>
      <c r="M287">
        <f>IF($P287="","",INDEX(명단표[구리 근무일(기준월)],$P287))</f>
        <v/>
      </c>
      <c r="N287">
        <f>IF($P287="","",INDEX(명단표[급여 판정 근거],$P287))</f>
        <v/>
      </c>
      <c r="O287">
        <f>IF($P287="","",INDEX(명단표[점검],$P287))</f>
        <v/>
      </c>
      <c r="P287" s="17">
        <f>IFERROR(MATCH(282,명단표[서울순번],0),"")</f>
        <v/>
      </c>
      <c r="R287">
        <f>IF($W287="","",INDEX(명단표[이름],$W287))</f>
        <v/>
      </c>
      <c r="S287">
        <f>IF($W287="","",INDEX(명단표[사번],$W287)&amp;"")</f>
        <v/>
      </c>
      <c r="T287">
        <f>IF($W287="","",INDEX(명단표[소속병원],$W287))</f>
        <v/>
      </c>
      <c r="U287">
        <f>IF($W287="","",INDEX(명단표[서울 근무일(기준월)],$W287))</f>
        <v/>
      </c>
      <c r="V287">
        <f>IF($W287="","",INDEX(명단표[구리 근무일(기준월)],$W287))</f>
        <v/>
      </c>
      <c r="W287" s="17">
        <f>IFERROR(MATCH(282,명단표[판정불가순번],0),"")</f>
        <v/>
      </c>
    </row>
    <row r="288">
      <c r="A288">
        <f>IF($P288="","",283)</f>
        <v/>
      </c>
      <c r="B288">
        <f>IF($P288="","",INDEX(명단표[이름],$P288))</f>
        <v/>
      </c>
      <c r="C288">
        <f>IF($P288="","",INDEX(명단표[사번],$P288)&amp;"")</f>
        <v/>
      </c>
      <c r="D288">
        <f>IF($P288="","",INDEX(명단표[전공의등록번호],$P288)&amp;"")</f>
        <v/>
      </c>
      <c r="E288">
        <f>IF($P288="","",INDEX(명단표[수련과목],$P288)&amp;"")</f>
        <v/>
      </c>
      <c r="F288">
        <f>IF($P288="","",INDEX(명단표[연차],$P288)&amp;"")</f>
        <v/>
      </c>
      <c r="G288">
        <f>IF($P288="","",INDEX(명단표[소속병원],$P288))</f>
        <v/>
      </c>
      <c r="H288">
        <f>IF($P288="","",IF(INDEX(명단표[소속병원],$P288)="서울병원","서울 소속","타 병원 소속("&amp;INDEX(명단표[소속병원],$P288)&amp;") → 서울 지급"))</f>
        <v/>
      </c>
      <c r="I288">
        <f>IF($P288="","",INDEX(명단표[현재 근무병원],$P288))</f>
        <v/>
      </c>
      <c r="J288">
        <f>IF($P288="","",INDEX(명단표[구리 근무 시작일(기준월)],$P288)&amp;"")</f>
        <v/>
      </c>
      <c r="K288">
        <f>IF($P288="","",INDEX(명단표[구리 근무 종료일(기준월)],$P288)&amp;"")</f>
        <v/>
      </c>
      <c r="L288">
        <f>IF($P288="","",INDEX(명단표[서울 근무일(기준월)],$P288))</f>
        <v/>
      </c>
      <c r="M288">
        <f>IF($P288="","",INDEX(명단표[구리 근무일(기준월)],$P288))</f>
        <v/>
      </c>
      <c r="N288">
        <f>IF($P288="","",INDEX(명단표[급여 판정 근거],$P288))</f>
        <v/>
      </c>
      <c r="O288">
        <f>IF($P288="","",INDEX(명단표[점검],$P288))</f>
        <v/>
      </c>
      <c r="P288" s="17">
        <f>IFERROR(MATCH(283,명단표[서울순번],0),"")</f>
        <v/>
      </c>
      <c r="R288">
        <f>IF($W288="","",INDEX(명단표[이름],$W288))</f>
        <v/>
      </c>
      <c r="S288">
        <f>IF($W288="","",INDEX(명단표[사번],$W288)&amp;"")</f>
        <v/>
      </c>
      <c r="T288">
        <f>IF($W288="","",INDEX(명단표[소속병원],$W288))</f>
        <v/>
      </c>
      <c r="U288">
        <f>IF($W288="","",INDEX(명단표[서울 근무일(기준월)],$W288))</f>
        <v/>
      </c>
      <c r="V288">
        <f>IF($W288="","",INDEX(명단표[구리 근무일(기준월)],$W288))</f>
        <v/>
      </c>
      <c r="W288" s="17">
        <f>IFERROR(MATCH(283,명단표[판정불가순번],0),"")</f>
        <v/>
      </c>
    </row>
    <row r="289">
      <c r="A289">
        <f>IF($P289="","",284)</f>
        <v/>
      </c>
      <c r="B289">
        <f>IF($P289="","",INDEX(명단표[이름],$P289))</f>
        <v/>
      </c>
      <c r="C289">
        <f>IF($P289="","",INDEX(명단표[사번],$P289)&amp;"")</f>
        <v/>
      </c>
      <c r="D289">
        <f>IF($P289="","",INDEX(명단표[전공의등록번호],$P289)&amp;"")</f>
        <v/>
      </c>
      <c r="E289">
        <f>IF($P289="","",INDEX(명단표[수련과목],$P289)&amp;"")</f>
        <v/>
      </c>
      <c r="F289">
        <f>IF($P289="","",INDEX(명단표[연차],$P289)&amp;"")</f>
        <v/>
      </c>
      <c r="G289">
        <f>IF($P289="","",INDEX(명단표[소속병원],$P289))</f>
        <v/>
      </c>
      <c r="H289">
        <f>IF($P289="","",IF(INDEX(명단표[소속병원],$P289)="서울병원","서울 소속","타 병원 소속("&amp;INDEX(명단표[소속병원],$P289)&amp;") → 서울 지급"))</f>
        <v/>
      </c>
      <c r="I289">
        <f>IF($P289="","",INDEX(명단표[현재 근무병원],$P289))</f>
        <v/>
      </c>
      <c r="J289">
        <f>IF($P289="","",INDEX(명단표[구리 근무 시작일(기준월)],$P289)&amp;"")</f>
        <v/>
      </c>
      <c r="K289">
        <f>IF($P289="","",INDEX(명단표[구리 근무 종료일(기준월)],$P289)&amp;"")</f>
        <v/>
      </c>
      <c r="L289">
        <f>IF($P289="","",INDEX(명단표[서울 근무일(기준월)],$P289))</f>
        <v/>
      </c>
      <c r="M289">
        <f>IF($P289="","",INDEX(명단표[구리 근무일(기준월)],$P289))</f>
        <v/>
      </c>
      <c r="N289">
        <f>IF($P289="","",INDEX(명단표[급여 판정 근거],$P289))</f>
        <v/>
      </c>
      <c r="O289">
        <f>IF($P289="","",INDEX(명단표[점검],$P289))</f>
        <v/>
      </c>
      <c r="P289" s="17">
        <f>IFERROR(MATCH(284,명단표[서울순번],0),"")</f>
        <v/>
      </c>
      <c r="R289">
        <f>IF($W289="","",INDEX(명단표[이름],$W289))</f>
        <v/>
      </c>
      <c r="S289">
        <f>IF($W289="","",INDEX(명단표[사번],$W289)&amp;"")</f>
        <v/>
      </c>
      <c r="T289">
        <f>IF($W289="","",INDEX(명단표[소속병원],$W289))</f>
        <v/>
      </c>
      <c r="U289">
        <f>IF($W289="","",INDEX(명단표[서울 근무일(기준월)],$W289))</f>
        <v/>
      </c>
      <c r="V289">
        <f>IF($W289="","",INDEX(명단표[구리 근무일(기준월)],$W289))</f>
        <v/>
      </c>
      <c r="W289" s="17">
        <f>IFERROR(MATCH(284,명단표[판정불가순번],0),"")</f>
        <v/>
      </c>
    </row>
    <row r="290">
      <c r="A290">
        <f>IF($P290="","",285)</f>
        <v/>
      </c>
      <c r="B290">
        <f>IF($P290="","",INDEX(명단표[이름],$P290))</f>
        <v/>
      </c>
      <c r="C290">
        <f>IF($P290="","",INDEX(명단표[사번],$P290)&amp;"")</f>
        <v/>
      </c>
      <c r="D290">
        <f>IF($P290="","",INDEX(명단표[전공의등록번호],$P290)&amp;"")</f>
        <v/>
      </c>
      <c r="E290">
        <f>IF($P290="","",INDEX(명단표[수련과목],$P290)&amp;"")</f>
        <v/>
      </c>
      <c r="F290">
        <f>IF($P290="","",INDEX(명단표[연차],$P290)&amp;"")</f>
        <v/>
      </c>
      <c r="G290">
        <f>IF($P290="","",INDEX(명단표[소속병원],$P290))</f>
        <v/>
      </c>
      <c r="H290">
        <f>IF($P290="","",IF(INDEX(명단표[소속병원],$P290)="서울병원","서울 소속","타 병원 소속("&amp;INDEX(명단표[소속병원],$P290)&amp;") → 서울 지급"))</f>
        <v/>
      </c>
      <c r="I290">
        <f>IF($P290="","",INDEX(명단표[현재 근무병원],$P290))</f>
        <v/>
      </c>
      <c r="J290">
        <f>IF($P290="","",INDEX(명단표[구리 근무 시작일(기준월)],$P290)&amp;"")</f>
        <v/>
      </c>
      <c r="K290">
        <f>IF($P290="","",INDEX(명단표[구리 근무 종료일(기준월)],$P290)&amp;"")</f>
        <v/>
      </c>
      <c r="L290">
        <f>IF($P290="","",INDEX(명단표[서울 근무일(기준월)],$P290))</f>
        <v/>
      </c>
      <c r="M290">
        <f>IF($P290="","",INDEX(명단표[구리 근무일(기준월)],$P290))</f>
        <v/>
      </c>
      <c r="N290">
        <f>IF($P290="","",INDEX(명단표[급여 판정 근거],$P290))</f>
        <v/>
      </c>
      <c r="O290">
        <f>IF($P290="","",INDEX(명단표[점검],$P290))</f>
        <v/>
      </c>
      <c r="P290" s="17">
        <f>IFERROR(MATCH(285,명단표[서울순번],0),"")</f>
        <v/>
      </c>
      <c r="R290">
        <f>IF($W290="","",INDEX(명단표[이름],$W290))</f>
        <v/>
      </c>
      <c r="S290">
        <f>IF($W290="","",INDEX(명단표[사번],$W290)&amp;"")</f>
        <v/>
      </c>
      <c r="T290">
        <f>IF($W290="","",INDEX(명단표[소속병원],$W290))</f>
        <v/>
      </c>
      <c r="U290">
        <f>IF($W290="","",INDEX(명단표[서울 근무일(기준월)],$W290))</f>
        <v/>
      </c>
      <c r="V290">
        <f>IF($W290="","",INDEX(명단표[구리 근무일(기준월)],$W290))</f>
        <v/>
      </c>
      <c r="W290" s="17">
        <f>IFERROR(MATCH(285,명단표[판정불가순번],0),"")</f>
        <v/>
      </c>
    </row>
    <row r="291">
      <c r="A291">
        <f>IF($P291="","",286)</f>
        <v/>
      </c>
      <c r="B291">
        <f>IF($P291="","",INDEX(명단표[이름],$P291))</f>
        <v/>
      </c>
      <c r="C291">
        <f>IF($P291="","",INDEX(명단표[사번],$P291)&amp;"")</f>
        <v/>
      </c>
      <c r="D291">
        <f>IF($P291="","",INDEX(명단표[전공의등록번호],$P291)&amp;"")</f>
        <v/>
      </c>
      <c r="E291">
        <f>IF($P291="","",INDEX(명단표[수련과목],$P291)&amp;"")</f>
        <v/>
      </c>
      <c r="F291">
        <f>IF($P291="","",INDEX(명단표[연차],$P291)&amp;"")</f>
        <v/>
      </c>
      <c r="G291">
        <f>IF($P291="","",INDEX(명단표[소속병원],$P291))</f>
        <v/>
      </c>
      <c r="H291">
        <f>IF($P291="","",IF(INDEX(명단표[소속병원],$P291)="서울병원","서울 소속","타 병원 소속("&amp;INDEX(명단표[소속병원],$P291)&amp;") → 서울 지급"))</f>
        <v/>
      </c>
      <c r="I291">
        <f>IF($P291="","",INDEX(명단표[현재 근무병원],$P291))</f>
        <v/>
      </c>
      <c r="J291">
        <f>IF($P291="","",INDEX(명단표[구리 근무 시작일(기준월)],$P291)&amp;"")</f>
        <v/>
      </c>
      <c r="K291">
        <f>IF($P291="","",INDEX(명단표[구리 근무 종료일(기준월)],$P291)&amp;"")</f>
        <v/>
      </c>
      <c r="L291">
        <f>IF($P291="","",INDEX(명단표[서울 근무일(기준월)],$P291))</f>
        <v/>
      </c>
      <c r="M291">
        <f>IF($P291="","",INDEX(명단표[구리 근무일(기준월)],$P291))</f>
        <v/>
      </c>
      <c r="N291">
        <f>IF($P291="","",INDEX(명단표[급여 판정 근거],$P291))</f>
        <v/>
      </c>
      <c r="O291">
        <f>IF($P291="","",INDEX(명단표[점검],$P291))</f>
        <v/>
      </c>
      <c r="P291" s="17">
        <f>IFERROR(MATCH(286,명단표[서울순번],0),"")</f>
        <v/>
      </c>
      <c r="R291">
        <f>IF($W291="","",INDEX(명단표[이름],$W291))</f>
        <v/>
      </c>
      <c r="S291">
        <f>IF($W291="","",INDEX(명단표[사번],$W291)&amp;"")</f>
        <v/>
      </c>
      <c r="T291">
        <f>IF($W291="","",INDEX(명단표[소속병원],$W291))</f>
        <v/>
      </c>
      <c r="U291">
        <f>IF($W291="","",INDEX(명단표[서울 근무일(기준월)],$W291))</f>
        <v/>
      </c>
      <c r="V291">
        <f>IF($W291="","",INDEX(명단표[구리 근무일(기준월)],$W291))</f>
        <v/>
      </c>
      <c r="W291" s="17">
        <f>IFERROR(MATCH(286,명단표[판정불가순번],0),"")</f>
        <v/>
      </c>
    </row>
    <row r="292">
      <c r="A292">
        <f>IF($P292="","",287)</f>
        <v/>
      </c>
      <c r="B292">
        <f>IF($P292="","",INDEX(명단표[이름],$P292))</f>
        <v/>
      </c>
      <c r="C292">
        <f>IF($P292="","",INDEX(명단표[사번],$P292)&amp;"")</f>
        <v/>
      </c>
      <c r="D292">
        <f>IF($P292="","",INDEX(명단표[전공의등록번호],$P292)&amp;"")</f>
        <v/>
      </c>
      <c r="E292">
        <f>IF($P292="","",INDEX(명단표[수련과목],$P292)&amp;"")</f>
        <v/>
      </c>
      <c r="F292">
        <f>IF($P292="","",INDEX(명단표[연차],$P292)&amp;"")</f>
        <v/>
      </c>
      <c r="G292">
        <f>IF($P292="","",INDEX(명단표[소속병원],$P292))</f>
        <v/>
      </c>
      <c r="H292">
        <f>IF($P292="","",IF(INDEX(명단표[소속병원],$P292)="서울병원","서울 소속","타 병원 소속("&amp;INDEX(명단표[소속병원],$P292)&amp;") → 서울 지급"))</f>
        <v/>
      </c>
      <c r="I292">
        <f>IF($P292="","",INDEX(명단표[현재 근무병원],$P292))</f>
        <v/>
      </c>
      <c r="J292">
        <f>IF($P292="","",INDEX(명단표[구리 근무 시작일(기준월)],$P292)&amp;"")</f>
        <v/>
      </c>
      <c r="K292">
        <f>IF($P292="","",INDEX(명단표[구리 근무 종료일(기준월)],$P292)&amp;"")</f>
        <v/>
      </c>
      <c r="L292">
        <f>IF($P292="","",INDEX(명단표[서울 근무일(기준월)],$P292))</f>
        <v/>
      </c>
      <c r="M292">
        <f>IF($P292="","",INDEX(명단표[구리 근무일(기준월)],$P292))</f>
        <v/>
      </c>
      <c r="N292">
        <f>IF($P292="","",INDEX(명단표[급여 판정 근거],$P292))</f>
        <v/>
      </c>
      <c r="O292">
        <f>IF($P292="","",INDEX(명단표[점검],$P292))</f>
        <v/>
      </c>
      <c r="P292" s="17">
        <f>IFERROR(MATCH(287,명단표[서울순번],0),"")</f>
        <v/>
      </c>
      <c r="R292">
        <f>IF($W292="","",INDEX(명단표[이름],$W292))</f>
        <v/>
      </c>
      <c r="S292">
        <f>IF($W292="","",INDEX(명단표[사번],$W292)&amp;"")</f>
        <v/>
      </c>
      <c r="T292">
        <f>IF($W292="","",INDEX(명단표[소속병원],$W292))</f>
        <v/>
      </c>
      <c r="U292">
        <f>IF($W292="","",INDEX(명단표[서울 근무일(기준월)],$W292))</f>
        <v/>
      </c>
      <c r="V292">
        <f>IF($W292="","",INDEX(명단표[구리 근무일(기준월)],$W292))</f>
        <v/>
      </c>
      <c r="W292" s="17">
        <f>IFERROR(MATCH(287,명단표[판정불가순번],0),"")</f>
        <v/>
      </c>
    </row>
    <row r="293">
      <c r="A293">
        <f>IF($P293="","",288)</f>
        <v/>
      </c>
      <c r="B293">
        <f>IF($P293="","",INDEX(명단표[이름],$P293))</f>
        <v/>
      </c>
      <c r="C293">
        <f>IF($P293="","",INDEX(명단표[사번],$P293)&amp;"")</f>
        <v/>
      </c>
      <c r="D293">
        <f>IF($P293="","",INDEX(명단표[전공의등록번호],$P293)&amp;"")</f>
        <v/>
      </c>
      <c r="E293">
        <f>IF($P293="","",INDEX(명단표[수련과목],$P293)&amp;"")</f>
        <v/>
      </c>
      <c r="F293">
        <f>IF($P293="","",INDEX(명단표[연차],$P293)&amp;"")</f>
        <v/>
      </c>
      <c r="G293">
        <f>IF($P293="","",INDEX(명단표[소속병원],$P293))</f>
        <v/>
      </c>
      <c r="H293">
        <f>IF($P293="","",IF(INDEX(명단표[소속병원],$P293)="서울병원","서울 소속","타 병원 소속("&amp;INDEX(명단표[소속병원],$P293)&amp;") → 서울 지급"))</f>
        <v/>
      </c>
      <c r="I293">
        <f>IF($P293="","",INDEX(명단표[현재 근무병원],$P293))</f>
        <v/>
      </c>
      <c r="J293">
        <f>IF($P293="","",INDEX(명단표[구리 근무 시작일(기준월)],$P293)&amp;"")</f>
        <v/>
      </c>
      <c r="K293">
        <f>IF($P293="","",INDEX(명단표[구리 근무 종료일(기준월)],$P293)&amp;"")</f>
        <v/>
      </c>
      <c r="L293">
        <f>IF($P293="","",INDEX(명단표[서울 근무일(기준월)],$P293))</f>
        <v/>
      </c>
      <c r="M293">
        <f>IF($P293="","",INDEX(명단표[구리 근무일(기준월)],$P293))</f>
        <v/>
      </c>
      <c r="N293">
        <f>IF($P293="","",INDEX(명단표[급여 판정 근거],$P293))</f>
        <v/>
      </c>
      <c r="O293">
        <f>IF($P293="","",INDEX(명단표[점검],$P293))</f>
        <v/>
      </c>
      <c r="P293" s="17">
        <f>IFERROR(MATCH(288,명단표[서울순번],0),"")</f>
        <v/>
      </c>
      <c r="R293">
        <f>IF($W293="","",INDEX(명단표[이름],$W293))</f>
        <v/>
      </c>
      <c r="S293">
        <f>IF($W293="","",INDEX(명단표[사번],$W293)&amp;"")</f>
        <v/>
      </c>
      <c r="T293">
        <f>IF($W293="","",INDEX(명단표[소속병원],$W293))</f>
        <v/>
      </c>
      <c r="U293">
        <f>IF($W293="","",INDEX(명단표[서울 근무일(기준월)],$W293))</f>
        <v/>
      </c>
      <c r="V293">
        <f>IF($W293="","",INDEX(명단표[구리 근무일(기준월)],$W293))</f>
        <v/>
      </c>
      <c r="W293" s="17">
        <f>IFERROR(MATCH(288,명단표[판정불가순번],0),"")</f>
        <v/>
      </c>
    </row>
    <row r="294">
      <c r="A294">
        <f>IF($P294="","",289)</f>
        <v/>
      </c>
      <c r="B294">
        <f>IF($P294="","",INDEX(명단표[이름],$P294))</f>
        <v/>
      </c>
      <c r="C294">
        <f>IF($P294="","",INDEX(명단표[사번],$P294)&amp;"")</f>
        <v/>
      </c>
      <c r="D294">
        <f>IF($P294="","",INDEX(명단표[전공의등록번호],$P294)&amp;"")</f>
        <v/>
      </c>
      <c r="E294">
        <f>IF($P294="","",INDEX(명단표[수련과목],$P294)&amp;"")</f>
        <v/>
      </c>
      <c r="F294">
        <f>IF($P294="","",INDEX(명단표[연차],$P294)&amp;"")</f>
        <v/>
      </c>
      <c r="G294">
        <f>IF($P294="","",INDEX(명단표[소속병원],$P294))</f>
        <v/>
      </c>
      <c r="H294">
        <f>IF($P294="","",IF(INDEX(명단표[소속병원],$P294)="서울병원","서울 소속","타 병원 소속("&amp;INDEX(명단표[소속병원],$P294)&amp;") → 서울 지급"))</f>
        <v/>
      </c>
      <c r="I294">
        <f>IF($P294="","",INDEX(명단표[현재 근무병원],$P294))</f>
        <v/>
      </c>
      <c r="J294">
        <f>IF($P294="","",INDEX(명단표[구리 근무 시작일(기준월)],$P294)&amp;"")</f>
        <v/>
      </c>
      <c r="K294">
        <f>IF($P294="","",INDEX(명단표[구리 근무 종료일(기준월)],$P294)&amp;"")</f>
        <v/>
      </c>
      <c r="L294">
        <f>IF($P294="","",INDEX(명단표[서울 근무일(기준월)],$P294))</f>
        <v/>
      </c>
      <c r="M294">
        <f>IF($P294="","",INDEX(명단표[구리 근무일(기준월)],$P294))</f>
        <v/>
      </c>
      <c r="N294">
        <f>IF($P294="","",INDEX(명단표[급여 판정 근거],$P294))</f>
        <v/>
      </c>
      <c r="O294">
        <f>IF($P294="","",INDEX(명단표[점검],$P294))</f>
        <v/>
      </c>
      <c r="P294" s="17">
        <f>IFERROR(MATCH(289,명단표[서울순번],0),"")</f>
        <v/>
      </c>
      <c r="R294">
        <f>IF($W294="","",INDEX(명단표[이름],$W294))</f>
        <v/>
      </c>
      <c r="S294">
        <f>IF($W294="","",INDEX(명단표[사번],$W294)&amp;"")</f>
        <v/>
      </c>
      <c r="T294">
        <f>IF($W294="","",INDEX(명단표[소속병원],$W294))</f>
        <v/>
      </c>
      <c r="U294">
        <f>IF($W294="","",INDEX(명단표[서울 근무일(기준월)],$W294))</f>
        <v/>
      </c>
      <c r="V294">
        <f>IF($W294="","",INDEX(명단표[구리 근무일(기준월)],$W294))</f>
        <v/>
      </c>
      <c r="W294" s="17">
        <f>IFERROR(MATCH(289,명단표[판정불가순번],0),"")</f>
        <v/>
      </c>
    </row>
    <row r="295">
      <c r="A295">
        <f>IF($P295="","",290)</f>
        <v/>
      </c>
      <c r="B295">
        <f>IF($P295="","",INDEX(명단표[이름],$P295))</f>
        <v/>
      </c>
      <c r="C295">
        <f>IF($P295="","",INDEX(명단표[사번],$P295)&amp;"")</f>
        <v/>
      </c>
      <c r="D295">
        <f>IF($P295="","",INDEX(명단표[전공의등록번호],$P295)&amp;"")</f>
        <v/>
      </c>
      <c r="E295">
        <f>IF($P295="","",INDEX(명단표[수련과목],$P295)&amp;"")</f>
        <v/>
      </c>
      <c r="F295">
        <f>IF($P295="","",INDEX(명단표[연차],$P295)&amp;"")</f>
        <v/>
      </c>
      <c r="G295">
        <f>IF($P295="","",INDEX(명단표[소속병원],$P295))</f>
        <v/>
      </c>
      <c r="H295">
        <f>IF($P295="","",IF(INDEX(명단표[소속병원],$P295)="서울병원","서울 소속","타 병원 소속("&amp;INDEX(명단표[소속병원],$P295)&amp;") → 서울 지급"))</f>
        <v/>
      </c>
      <c r="I295">
        <f>IF($P295="","",INDEX(명단표[현재 근무병원],$P295))</f>
        <v/>
      </c>
      <c r="J295">
        <f>IF($P295="","",INDEX(명단표[구리 근무 시작일(기준월)],$P295)&amp;"")</f>
        <v/>
      </c>
      <c r="K295">
        <f>IF($P295="","",INDEX(명단표[구리 근무 종료일(기준월)],$P295)&amp;"")</f>
        <v/>
      </c>
      <c r="L295">
        <f>IF($P295="","",INDEX(명단표[서울 근무일(기준월)],$P295))</f>
        <v/>
      </c>
      <c r="M295">
        <f>IF($P295="","",INDEX(명단표[구리 근무일(기준월)],$P295))</f>
        <v/>
      </c>
      <c r="N295">
        <f>IF($P295="","",INDEX(명단표[급여 판정 근거],$P295))</f>
        <v/>
      </c>
      <c r="O295">
        <f>IF($P295="","",INDEX(명단표[점검],$P295))</f>
        <v/>
      </c>
      <c r="P295" s="17">
        <f>IFERROR(MATCH(290,명단표[서울순번],0),"")</f>
        <v/>
      </c>
      <c r="R295">
        <f>IF($W295="","",INDEX(명단표[이름],$W295))</f>
        <v/>
      </c>
      <c r="S295">
        <f>IF($W295="","",INDEX(명단표[사번],$W295)&amp;"")</f>
        <v/>
      </c>
      <c r="T295">
        <f>IF($W295="","",INDEX(명단표[소속병원],$W295))</f>
        <v/>
      </c>
      <c r="U295">
        <f>IF($W295="","",INDEX(명단표[서울 근무일(기준월)],$W295))</f>
        <v/>
      </c>
      <c r="V295">
        <f>IF($W295="","",INDEX(명단표[구리 근무일(기준월)],$W295))</f>
        <v/>
      </c>
      <c r="W295" s="17">
        <f>IFERROR(MATCH(290,명단표[판정불가순번],0),"")</f>
        <v/>
      </c>
    </row>
    <row r="296">
      <c r="A296">
        <f>IF($P296="","",291)</f>
        <v/>
      </c>
      <c r="B296">
        <f>IF($P296="","",INDEX(명단표[이름],$P296))</f>
        <v/>
      </c>
      <c r="C296">
        <f>IF($P296="","",INDEX(명단표[사번],$P296)&amp;"")</f>
        <v/>
      </c>
      <c r="D296">
        <f>IF($P296="","",INDEX(명단표[전공의등록번호],$P296)&amp;"")</f>
        <v/>
      </c>
      <c r="E296">
        <f>IF($P296="","",INDEX(명단표[수련과목],$P296)&amp;"")</f>
        <v/>
      </c>
      <c r="F296">
        <f>IF($P296="","",INDEX(명단표[연차],$P296)&amp;"")</f>
        <v/>
      </c>
      <c r="G296">
        <f>IF($P296="","",INDEX(명단표[소속병원],$P296))</f>
        <v/>
      </c>
      <c r="H296">
        <f>IF($P296="","",IF(INDEX(명단표[소속병원],$P296)="서울병원","서울 소속","타 병원 소속("&amp;INDEX(명단표[소속병원],$P296)&amp;") → 서울 지급"))</f>
        <v/>
      </c>
      <c r="I296">
        <f>IF($P296="","",INDEX(명단표[현재 근무병원],$P296))</f>
        <v/>
      </c>
      <c r="J296">
        <f>IF($P296="","",INDEX(명단표[구리 근무 시작일(기준월)],$P296)&amp;"")</f>
        <v/>
      </c>
      <c r="K296">
        <f>IF($P296="","",INDEX(명단표[구리 근무 종료일(기준월)],$P296)&amp;"")</f>
        <v/>
      </c>
      <c r="L296">
        <f>IF($P296="","",INDEX(명단표[서울 근무일(기준월)],$P296))</f>
        <v/>
      </c>
      <c r="M296">
        <f>IF($P296="","",INDEX(명단표[구리 근무일(기준월)],$P296))</f>
        <v/>
      </c>
      <c r="N296">
        <f>IF($P296="","",INDEX(명단표[급여 판정 근거],$P296))</f>
        <v/>
      </c>
      <c r="O296">
        <f>IF($P296="","",INDEX(명단표[점검],$P296))</f>
        <v/>
      </c>
      <c r="P296" s="17">
        <f>IFERROR(MATCH(291,명단표[서울순번],0),"")</f>
        <v/>
      </c>
      <c r="R296">
        <f>IF($W296="","",INDEX(명단표[이름],$W296))</f>
        <v/>
      </c>
      <c r="S296">
        <f>IF($W296="","",INDEX(명단표[사번],$W296)&amp;"")</f>
        <v/>
      </c>
      <c r="T296">
        <f>IF($W296="","",INDEX(명단표[소속병원],$W296))</f>
        <v/>
      </c>
      <c r="U296">
        <f>IF($W296="","",INDEX(명단표[서울 근무일(기준월)],$W296))</f>
        <v/>
      </c>
      <c r="V296">
        <f>IF($W296="","",INDEX(명단표[구리 근무일(기준월)],$W296))</f>
        <v/>
      </c>
      <c r="W296" s="17">
        <f>IFERROR(MATCH(291,명단표[판정불가순번],0),"")</f>
        <v/>
      </c>
    </row>
    <row r="297">
      <c r="A297">
        <f>IF($P297="","",292)</f>
        <v/>
      </c>
      <c r="B297">
        <f>IF($P297="","",INDEX(명단표[이름],$P297))</f>
        <v/>
      </c>
      <c r="C297">
        <f>IF($P297="","",INDEX(명단표[사번],$P297)&amp;"")</f>
        <v/>
      </c>
      <c r="D297">
        <f>IF($P297="","",INDEX(명단표[전공의등록번호],$P297)&amp;"")</f>
        <v/>
      </c>
      <c r="E297">
        <f>IF($P297="","",INDEX(명단표[수련과목],$P297)&amp;"")</f>
        <v/>
      </c>
      <c r="F297">
        <f>IF($P297="","",INDEX(명단표[연차],$P297)&amp;"")</f>
        <v/>
      </c>
      <c r="G297">
        <f>IF($P297="","",INDEX(명단표[소속병원],$P297))</f>
        <v/>
      </c>
      <c r="H297">
        <f>IF($P297="","",IF(INDEX(명단표[소속병원],$P297)="서울병원","서울 소속","타 병원 소속("&amp;INDEX(명단표[소속병원],$P297)&amp;") → 서울 지급"))</f>
        <v/>
      </c>
      <c r="I297">
        <f>IF($P297="","",INDEX(명단표[현재 근무병원],$P297))</f>
        <v/>
      </c>
      <c r="J297">
        <f>IF($P297="","",INDEX(명단표[구리 근무 시작일(기준월)],$P297)&amp;"")</f>
        <v/>
      </c>
      <c r="K297">
        <f>IF($P297="","",INDEX(명단표[구리 근무 종료일(기준월)],$P297)&amp;"")</f>
        <v/>
      </c>
      <c r="L297">
        <f>IF($P297="","",INDEX(명단표[서울 근무일(기준월)],$P297))</f>
        <v/>
      </c>
      <c r="M297">
        <f>IF($P297="","",INDEX(명단표[구리 근무일(기준월)],$P297))</f>
        <v/>
      </c>
      <c r="N297">
        <f>IF($P297="","",INDEX(명단표[급여 판정 근거],$P297))</f>
        <v/>
      </c>
      <c r="O297">
        <f>IF($P297="","",INDEX(명단표[점검],$P297))</f>
        <v/>
      </c>
      <c r="P297" s="17">
        <f>IFERROR(MATCH(292,명단표[서울순번],0),"")</f>
        <v/>
      </c>
      <c r="R297">
        <f>IF($W297="","",INDEX(명단표[이름],$W297))</f>
        <v/>
      </c>
      <c r="S297">
        <f>IF($W297="","",INDEX(명단표[사번],$W297)&amp;"")</f>
        <v/>
      </c>
      <c r="T297">
        <f>IF($W297="","",INDEX(명단표[소속병원],$W297))</f>
        <v/>
      </c>
      <c r="U297">
        <f>IF($W297="","",INDEX(명단표[서울 근무일(기준월)],$W297))</f>
        <v/>
      </c>
      <c r="V297">
        <f>IF($W297="","",INDEX(명단표[구리 근무일(기준월)],$W297))</f>
        <v/>
      </c>
      <c r="W297" s="17">
        <f>IFERROR(MATCH(292,명단표[판정불가순번],0),"")</f>
        <v/>
      </c>
    </row>
    <row r="298">
      <c r="A298">
        <f>IF($P298="","",293)</f>
        <v/>
      </c>
      <c r="B298">
        <f>IF($P298="","",INDEX(명단표[이름],$P298))</f>
        <v/>
      </c>
      <c r="C298">
        <f>IF($P298="","",INDEX(명단표[사번],$P298)&amp;"")</f>
        <v/>
      </c>
      <c r="D298">
        <f>IF($P298="","",INDEX(명단표[전공의등록번호],$P298)&amp;"")</f>
        <v/>
      </c>
      <c r="E298">
        <f>IF($P298="","",INDEX(명단표[수련과목],$P298)&amp;"")</f>
        <v/>
      </c>
      <c r="F298">
        <f>IF($P298="","",INDEX(명단표[연차],$P298)&amp;"")</f>
        <v/>
      </c>
      <c r="G298">
        <f>IF($P298="","",INDEX(명단표[소속병원],$P298))</f>
        <v/>
      </c>
      <c r="H298">
        <f>IF($P298="","",IF(INDEX(명단표[소속병원],$P298)="서울병원","서울 소속","타 병원 소속("&amp;INDEX(명단표[소속병원],$P298)&amp;") → 서울 지급"))</f>
        <v/>
      </c>
      <c r="I298">
        <f>IF($P298="","",INDEX(명단표[현재 근무병원],$P298))</f>
        <v/>
      </c>
      <c r="J298">
        <f>IF($P298="","",INDEX(명단표[구리 근무 시작일(기준월)],$P298)&amp;"")</f>
        <v/>
      </c>
      <c r="K298">
        <f>IF($P298="","",INDEX(명단표[구리 근무 종료일(기준월)],$P298)&amp;"")</f>
        <v/>
      </c>
      <c r="L298">
        <f>IF($P298="","",INDEX(명단표[서울 근무일(기준월)],$P298))</f>
        <v/>
      </c>
      <c r="M298">
        <f>IF($P298="","",INDEX(명단표[구리 근무일(기준월)],$P298))</f>
        <v/>
      </c>
      <c r="N298">
        <f>IF($P298="","",INDEX(명단표[급여 판정 근거],$P298))</f>
        <v/>
      </c>
      <c r="O298">
        <f>IF($P298="","",INDEX(명단표[점검],$P298))</f>
        <v/>
      </c>
      <c r="P298" s="17">
        <f>IFERROR(MATCH(293,명단표[서울순번],0),"")</f>
        <v/>
      </c>
      <c r="R298">
        <f>IF($W298="","",INDEX(명단표[이름],$W298))</f>
        <v/>
      </c>
      <c r="S298">
        <f>IF($W298="","",INDEX(명단표[사번],$W298)&amp;"")</f>
        <v/>
      </c>
      <c r="T298">
        <f>IF($W298="","",INDEX(명단표[소속병원],$W298))</f>
        <v/>
      </c>
      <c r="U298">
        <f>IF($W298="","",INDEX(명단표[서울 근무일(기준월)],$W298))</f>
        <v/>
      </c>
      <c r="V298">
        <f>IF($W298="","",INDEX(명단표[구리 근무일(기준월)],$W298))</f>
        <v/>
      </c>
      <c r="W298" s="17">
        <f>IFERROR(MATCH(293,명단표[판정불가순번],0),"")</f>
        <v/>
      </c>
    </row>
    <row r="299">
      <c r="A299">
        <f>IF($P299="","",294)</f>
        <v/>
      </c>
      <c r="B299">
        <f>IF($P299="","",INDEX(명단표[이름],$P299))</f>
        <v/>
      </c>
      <c r="C299">
        <f>IF($P299="","",INDEX(명단표[사번],$P299)&amp;"")</f>
        <v/>
      </c>
      <c r="D299">
        <f>IF($P299="","",INDEX(명단표[전공의등록번호],$P299)&amp;"")</f>
        <v/>
      </c>
      <c r="E299">
        <f>IF($P299="","",INDEX(명단표[수련과목],$P299)&amp;"")</f>
        <v/>
      </c>
      <c r="F299">
        <f>IF($P299="","",INDEX(명단표[연차],$P299)&amp;"")</f>
        <v/>
      </c>
      <c r="G299">
        <f>IF($P299="","",INDEX(명단표[소속병원],$P299))</f>
        <v/>
      </c>
      <c r="H299">
        <f>IF($P299="","",IF(INDEX(명단표[소속병원],$P299)="서울병원","서울 소속","타 병원 소속("&amp;INDEX(명단표[소속병원],$P299)&amp;") → 서울 지급"))</f>
        <v/>
      </c>
      <c r="I299">
        <f>IF($P299="","",INDEX(명단표[현재 근무병원],$P299))</f>
        <v/>
      </c>
      <c r="J299">
        <f>IF($P299="","",INDEX(명단표[구리 근무 시작일(기준월)],$P299)&amp;"")</f>
        <v/>
      </c>
      <c r="K299">
        <f>IF($P299="","",INDEX(명단표[구리 근무 종료일(기준월)],$P299)&amp;"")</f>
        <v/>
      </c>
      <c r="L299">
        <f>IF($P299="","",INDEX(명단표[서울 근무일(기준월)],$P299))</f>
        <v/>
      </c>
      <c r="M299">
        <f>IF($P299="","",INDEX(명단표[구리 근무일(기준월)],$P299))</f>
        <v/>
      </c>
      <c r="N299">
        <f>IF($P299="","",INDEX(명단표[급여 판정 근거],$P299))</f>
        <v/>
      </c>
      <c r="O299">
        <f>IF($P299="","",INDEX(명단표[점검],$P299))</f>
        <v/>
      </c>
      <c r="P299" s="17">
        <f>IFERROR(MATCH(294,명단표[서울순번],0),"")</f>
        <v/>
      </c>
      <c r="R299">
        <f>IF($W299="","",INDEX(명단표[이름],$W299))</f>
        <v/>
      </c>
      <c r="S299">
        <f>IF($W299="","",INDEX(명단표[사번],$W299)&amp;"")</f>
        <v/>
      </c>
      <c r="T299">
        <f>IF($W299="","",INDEX(명단표[소속병원],$W299))</f>
        <v/>
      </c>
      <c r="U299">
        <f>IF($W299="","",INDEX(명단표[서울 근무일(기준월)],$W299))</f>
        <v/>
      </c>
      <c r="V299">
        <f>IF($W299="","",INDEX(명단표[구리 근무일(기준월)],$W299))</f>
        <v/>
      </c>
      <c r="W299" s="17">
        <f>IFERROR(MATCH(294,명단표[판정불가순번],0),"")</f>
        <v/>
      </c>
    </row>
    <row r="300">
      <c r="A300">
        <f>IF($P300="","",295)</f>
        <v/>
      </c>
      <c r="B300">
        <f>IF($P300="","",INDEX(명단표[이름],$P300))</f>
        <v/>
      </c>
      <c r="C300">
        <f>IF($P300="","",INDEX(명단표[사번],$P300)&amp;"")</f>
        <v/>
      </c>
      <c r="D300">
        <f>IF($P300="","",INDEX(명단표[전공의등록번호],$P300)&amp;"")</f>
        <v/>
      </c>
      <c r="E300">
        <f>IF($P300="","",INDEX(명단표[수련과목],$P300)&amp;"")</f>
        <v/>
      </c>
      <c r="F300">
        <f>IF($P300="","",INDEX(명단표[연차],$P300)&amp;"")</f>
        <v/>
      </c>
      <c r="G300">
        <f>IF($P300="","",INDEX(명단표[소속병원],$P300))</f>
        <v/>
      </c>
      <c r="H300">
        <f>IF($P300="","",IF(INDEX(명단표[소속병원],$P300)="서울병원","서울 소속","타 병원 소속("&amp;INDEX(명단표[소속병원],$P300)&amp;") → 서울 지급"))</f>
        <v/>
      </c>
      <c r="I300">
        <f>IF($P300="","",INDEX(명단표[현재 근무병원],$P300))</f>
        <v/>
      </c>
      <c r="J300">
        <f>IF($P300="","",INDEX(명단표[구리 근무 시작일(기준월)],$P300)&amp;"")</f>
        <v/>
      </c>
      <c r="K300">
        <f>IF($P300="","",INDEX(명단표[구리 근무 종료일(기준월)],$P300)&amp;"")</f>
        <v/>
      </c>
      <c r="L300">
        <f>IF($P300="","",INDEX(명단표[서울 근무일(기준월)],$P300))</f>
        <v/>
      </c>
      <c r="M300">
        <f>IF($P300="","",INDEX(명단표[구리 근무일(기준월)],$P300))</f>
        <v/>
      </c>
      <c r="N300">
        <f>IF($P300="","",INDEX(명단표[급여 판정 근거],$P300))</f>
        <v/>
      </c>
      <c r="O300">
        <f>IF($P300="","",INDEX(명단표[점검],$P300))</f>
        <v/>
      </c>
      <c r="P300" s="17">
        <f>IFERROR(MATCH(295,명단표[서울순번],0),"")</f>
        <v/>
      </c>
      <c r="R300">
        <f>IF($W300="","",INDEX(명단표[이름],$W300))</f>
        <v/>
      </c>
      <c r="S300">
        <f>IF($W300="","",INDEX(명단표[사번],$W300)&amp;"")</f>
        <v/>
      </c>
      <c r="T300">
        <f>IF($W300="","",INDEX(명단표[소속병원],$W300))</f>
        <v/>
      </c>
      <c r="U300">
        <f>IF($W300="","",INDEX(명단표[서울 근무일(기준월)],$W300))</f>
        <v/>
      </c>
      <c r="V300">
        <f>IF($W300="","",INDEX(명단표[구리 근무일(기준월)],$W300))</f>
        <v/>
      </c>
      <c r="W300" s="17">
        <f>IFERROR(MATCH(295,명단표[판정불가순번],0),"")</f>
        <v/>
      </c>
    </row>
    <row r="301">
      <c r="A301">
        <f>IF($P301="","",296)</f>
        <v/>
      </c>
      <c r="B301">
        <f>IF($P301="","",INDEX(명단표[이름],$P301))</f>
        <v/>
      </c>
      <c r="C301">
        <f>IF($P301="","",INDEX(명단표[사번],$P301)&amp;"")</f>
        <v/>
      </c>
      <c r="D301">
        <f>IF($P301="","",INDEX(명단표[전공의등록번호],$P301)&amp;"")</f>
        <v/>
      </c>
      <c r="E301">
        <f>IF($P301="","",INDEX(명단표[수련과목],$P301)&amp;"")</f>
        <v/>
      </c>
      <c r="F301">
        <f>IF($P301="","",INDEX(명단표[연차],$P301)&amp;"")</f>
        <v/>
      </c>
      <c r="G301">
        <f>IF($P301="","",INDEX(명단표[소속병원],$P301))</f>
        <v/>
      </c>
      <c r="H301">
        <f>IF($P301="","",IF(INDEX(명단표[소속병원],$P301)="서울병원","서울 소속","타 병원 소속("&amp;INDEX(명단표[소속병원],$P301)&amp;") → 서울 지급"))</f>
        <v/>
      </c>
      <c r="I301">
        <f>IF($P301="","",INDEX(명단표[현재 근무병원],$P301))</f>
        <v/>
      </c>
      <c r="J301">
        <f>IF($P301="","",INDEX(명단표[구리 근무 시작일(기준월)],$P301)&amp;"")</f>
        <v/>
      </c>
      <c r="K301">
        <f>IF($P301="","",INDEX(명단표[구리 근무 종료일(기준월)],$P301)&amp;"")</f>
        <v/>
      </c>
      <c r="L301">
        <f>IF($P301="","",INDEX(명단표[서울 근무일(기준월)],$P301))</f>
        <v/>
      </c>
      <c r="M301">
        <f>IF($P301="","",INDEX(명단표[구리 근무일(기준월)],$P301))</f>
        <v/>
      </c>
      <c r="N301">
        <f>IF($P301="","",INDEX(명단표[급여 판정 근거],$P301))</f>
        <v/>
      </c>
      <c r="O301">
        <f>IF($P301="","",INDEX(명단표[점검],$P301))</f>
        <v/>
      </c>
      <c r="P301" s="17">
        <f>IFERROR(MATCH(296,명단표[서울순번],0),"")</f>
        <v/>
      </c>
      <c r="R301">
        <f>IF($W301="","",INDEX(명단표[이름],$W301))</f>
        <v/>
      </c>
      <c r="S301">
        <f>IF($W301="","",INDEX(명단표[사번],$W301)&amp;"")</f>
        <v/>
      </c>
      <c r="T301">
        <f>IF($W301="","",INDEX(명단표[소속병원],$W301))</f>
        <v/>
      </c>
      <c r="U301">
        <f>IF($W301="","",INDEX(명단표[서울 근무일(기준월)],$W301))</f>
        <v/>
      </c>
      <c r="V301">
        <f>IF($W301="","",INDEX(명단표[구리 근무일(기준월)],$W301))</f>
        <v/>
      </c>
      <c r="W301" s="17">
        <f>IFERROR(MATCH(296,명단표[판정불가순번],0),"")</f>
        <v/>
      </c>
    </row>
    <row r="302">
      <c r="A302">
        <f>IF($P302="","",297)</f>
        <v/>
      </c>
      <c r="B302">
        <f>IF($P302="","",INDEX(명단표[이름],$P302))</f>
        <v/>
      </c>
      <c r="C302">
        <f>IF($P302="","",INDEX(명단표[사번],$P302)&amp;"")</f>
        <v/>
      </c>
      <c r="D302">
        <f>IF($P302="","",INDEX(명단표[전공의등록번호],$P302)&amp;"")</f>
        <v/>
      </c>
      <c r="E302">
        <f>IF($P302="","",INDEX(명단표[수련과목],$P302)&amp;"")</f>
        <v/>
      </c>
      <c r="F302">
        <f>IF($P302="","",INDEX(명단표[연차],$P302)&amp;"")</f>
        <v/>
      </c>
      <c r="G302">
        <f>IF($P302="","",INDEX(명단표[소속병원],$P302))</f>
        <v/>
      </c>
      <c r="H302">
        <f>IF($P302="","",IF(INDEX(명단표[소속병원],$P302)="서울병원","서울 소속","타 병원 소속("&amp;INDEX(명단표[소속병원],$P302)&amp;") → 서울 지급"))</f>
        <v/>
      </c>
      <c r="I302">
        <f>IF($P302="","",INDEX(명단표[현재 근무병원],$P302))</f>
        <v/>
      </c>
      <c r="J302">
        <f>IF($P302="","",INDEX(명단표[구리 근무 시작일(기준월)],$P302)&amp;"")</f>
        <v/>
      </c>
      <c r="K302">
        <f>IF($P302="","",INDEX(명단표[구리 근무 종료일(기준월)],$P302)&amp;"")</f>
        <v/>
      </c>
      <c r="L302">
        <f>IF($P302="","",INDEX(명단표[서울 근무일(기준월)],$P302))</f>
        <v/>
      </c>
      <c r="M302">
        <f>IF($P302="","",INDEX(명단표[구리 근무일(기준월)],$P302))</f>
        <v/>
      </c>
      <c r="N302">
        <f>IF($P302="","",INDEX(명단표[급여 판정 근거],$P302))</f>
        <v/>
      </c>
      <c r="O302">
        <f>IF($P302="","",INDEX(명단표[점검],$P302))</f>
        <v/>
      </c>
      <c r="P302" s="17">
        <f>IFERROR(MATCH(297,명단표[서울순번],0),"")</f>
        <v/>
      </c>
      <c r="R302">
        <f>IF($W302="","",INDEX(명단표[이름],$W302))</f>
        <v/>
      </c>
      <c r="S302">
        <f>IF($W302="","",INDEX(명단표[사번],$W302)&amp;"")</f>
        <v/>
      </c>
      <c r="T302">
        <f>IF($W302="","",INDEX(명단표[소속병원],$W302))</f>
        <v/>
      </c>
      <c r="U302">
        <f>IF($W302="","",INDEX(명단표[서울 근무일(기준월)],$W302))</f>
        <v/>
      </c>
      <c r="V302">
        <f>IF($W302="","",INDEX(명단표[구리 근무일(기준월)],$W302))</f>
        <v/>
      </c>
      <c r="W302" s="17">
        <f>IFERROR(MATCH(297,명단표[판정불가순번],0),"")</f>
        <v/>
      </c>
    </row>
    <row r="303">
      <c r="A303">
        <f>IF($P303="","",298)</f>
        <v/>
      </c>
      <c r="B303">
        <f>IF($P303="","",INDEX(명단표[이름],$P303))</f>
        <v/>
      </c>
      <c r="C303">
        <f>IF($P303="","",INDEX(명단표[사번],$P303)&amp;"")</f>
        <v/>
      </c>
      <c r="D303">
        <f>IF($P303="","",INDEX(명단표[전공의등록번호],$P303)&amp;"")</f>
        <v/>
      </c>
      <c r="E303">
        <f>IF($P303="","",INDEX(명단표[수련과목],$P303)&amp;"")</f>
        <v/>
      </c>
      <c r="F303">
        <f>IF($P303="","",INDEX(명단표[연차],$P303)&amp;"")</f>
        <v/>
      </c>
      <c r="G303">
        <f>IF($P303="","",INDEX(명단표[소속병원],$P303))</f>
        <v/>
      </c>
      <c r="H303">
        <f>IF($P303="","",IF(INDEX(명단표[소속병원],$P303)="서울병원","서울 소속","타 병원 소속("&amp;INDEX(명단표[소속병원],$P303)&amp;") → 서울 지급"))</f>
        <v/>
      </c>
      <c r="I303">
        <f>IF($P303="","",INDEX(명단표[현재 근무병원],$P303))</f>
        <v/>
      </c>
      <c r="J303">
        <f>IF($P303="","",INDEX(명단표[구리 근무 시작일(기준월)],$P303)&amp;"")</f>
        <v/>
      </c>
      <c r="K303">
        <f>IF($P303="","",INDEX(명단표[구리 근무 종료일(기준월)],$P303)&amp;"")</f>
        <v/>
      </c>
      <c r="L303">
        <f>IF($P303="","",INDEX(명단표[서울 근무일(기준월)],$P303))</f>
        <v/>
      </c>
      <c r="M303">
        <f>IF($P303="","",INDEX(명단표[구리 근무일(기준월)],$P303))</f>
        <v/>
      </c>
      <c r="N303">
        <f>IF($P303="","",INDEX(명단표[급여 판정 근거],$P303))</f>
        <v/>
      </c>
      <c r="O303">
        <f>IF($P303="","",INDEX(명단표[점검],$P303))</f>
        <v/>
      </c>
      <c r="P303" s="17">
        <f>IFERROR(MATCH(298,명단표[서울순번],0),"")</f>
        <v/>
      </c>
      <c r="R303">
        <f>IF($W303="","",INDEX(명단표[이름],$W303))</f>
        <v/>
      </c>
      <c r="S303">
        <f>IF($W303="","",INDEX(명단표[사번],$W303)&amp;"")</f>
        <v/>
      </c>
      <c r="T303">
        <f>IF($W303="","",INDEX(명단표[소속병원],$W303))</f>
        <v/>
      </c>
      <c r="U303">
        <f>IF($W303="","",INDEX(명단표[서울 근무일(기준월)],$W303))</f>
        <v/>
      </c>
      <c r="V303">
        <f>IF($W303="","",INDEX(명단표[구리 근무일(기준월)],$W303))</f>
        <v/>
      </c>
      <c r="W303" s="17">
        <f>IFERROR(MATCH(298,명단표[판정불가순번],0),"")</f>
        <v/>
      </c>
    </row>
    <row r="304">
      <c r="A304">
        <f>IF($P304="","",299)</f>
        <v/>
      </c>
      <c r="B304">
        <f>IF($P304="","",INDEX(명단표[이름],$P304))</f>
        <v/>
      </c>
      <c r="C304">
        <f>IF($P304="","",INDEX(명단표[사번],$P304)&amp;"")</f>
        <v/>
      </c>
      <c r="D304">
        <f>IF($P304="","",INDEX(명단표[전공의등록번호],$P304)&amp;"")</f>
        <v/>
      </c>
      <c r="E304">
        <f>IF($P304="","",INDEX(명단표[수련과목],$P304)&amp;"")</f>
        <v/>
      </c>
      <c r="F304">
        <f>IF($P304="","",INDEX(명단표[연차],$P304)&amp;"")</f>
        <v/>
      </c>
      <c r="G304">
        <f>IF($P304="","",INDEX(명단표[소속병원],$P304))</f>
        <v/>
      </c>
      <c r="H304">
        <f>IF($P304="","",IF(INDEX(명단표[소속병원],$P304)="서울병원","서울 소속","타 병원 소속("&amp;INDEX(명단표[소속병원],$P304)&amp;") → 서울 지급"))</f>
        <v/>
      </c>
      <c r="I304">
        <f>IF($P304="","",INDEX(명단표[현재 근무병원],$P304))</f>
        <v/>
      </c>
      <c r="J304">
        <f>IF($P304="","",INDEX(명단표[구리 근무 시작일(기준월)],$P304)&amp;"")</f>
        <v/>
      </c>
      <c r="K304">
        <f>IF($P304="","",INDEX(명단표[구리 근무 종료일(기준월)],$P304)&amp;"")</f>
        <v/>
      </c>
      <c r="L304">
        <f>IF($P304="","",INDEX(명단표[서울 근무일(기준월)],$P304))</f>
        <v/>
      </c>
      <c r="M304">
        <f>IF($P304="","",INDEX(명단표[구리 근무일(기준월)],$P304))</f>
        <v/>
      </c>
      <c r="N304">
        <f>IF($P304="","",INDEX(명단표[급여 판정 근거],$P304))</f>
        <v/>
      </c>
      <c r="O304">
        <f>IF($P304="","",INDEX(명단표[점검],$P304))</f>
        <v/>
      </c>
      <c r="P304" s="17">
        <f>IFERROR(MATCH(299,명단표[서울순번],0),"")</f>
        <v/>
      </c>
      <c r="R304">
        <f>IF($W304="","",INDEX(명단표[이름],$W304))</f>
        <v/>
      </c>
      <c r="S304">
        <f>IF($W304="","",INDEX(명단표[사번],$W304)&amp;"")</f>
        <v/>
      </c>
      <c r="T304">
        <f>IF($W304="","",INDEX(명단표[소속병원],$W304))</f>
        <v/>
      </c>
      <c r="U304">
        <f>IF($W304="","",INDEX(명단표[서울 근무일(기준월)],$W304))</f>
        <v/>
      </c>
      <c r="V304">
        <f>IF($W304="","",INDEX(명단표[구리 근무일(기준월)],$W304))</f>
        <v/>
      </c>
      <c r="W304" s="17">
        <f>IFERROR(MATCH(299,명단표[판정불가순번],0),"")</f>
        <v/>
      </c>
    </row>
    <row r="305">
      <c r="A305">
        <f>IF($P305="","",300)</f>
        <v/>
      </c>
      <c r="B305">
        <f>IF($P305="","",INDEX(명단표[이름],$P305))</f>
        <v/>
      </c>
      <c r="C305">
        <f>IF($P305="","",INDEX(명단표[사번],$P305)&amp;"")</f>
        <v/>
      </c>
      <c r="D305">
        <f>IF($P305="","",INDEX(명단표[전공의등록번호],$P305)&amp;"")</f>
        <v/>
      </c>
      <c r="E305">
        <f>IF($P305="","",INDEX(명단표[수련과목],$P305)&amp;"")</f>
        <v/>
      </c>
      <c r="F305">
        <f>IF($P305="","",INDEX(명단표[연차],$P305)&amp;"")</f>
        <v/>
      </c>
      <c r="G305">
        <f>IF($P305="","",INDEX(명단표[소속병원],$P305))</f>
        <v/>
      </c>
      <c r="H305">
        <f>IF($P305="","",IF(INDEX(명단표[소속병원],$P305)="서울병원","서울 소속","타 병원 소속("&amp;INDEX(명단표[소속병원],$P305)&amp;") → 서울 지급"))</f>
        <v/>
      </c>
      <c r="I305">
        <f>IF($P305="","",INDEX(명단표[현재 근무병원],$P305))</f>
        <v/>
      </c>
      <c r="J305">
        <f>IF($P305="","",INDEX(명단표[구리 근무 시작일(기준월)],$P305)&amp;"")</f>
        <v/>
      </c>
      <c r="K305">
        <f>IF($P305="","",INDEX(명단표[구리 근무 종료일(기준월)],$P305)&amp;"")</f>
        <v/>
      </c>
      <c r="L305">
        <f>IF($P305="","",INDEX(명단표[서울 근무일(기준월)],$P305))</f>
        <v/>
      </c>
      <c r="M305">
        <f>IF($P305="","",INDEX(명단표[구리 근무일(기준월)],$P305))</f>
        <v/>
      </c>
      <c r="N305">
        <f>IF($P305="","",INDEX(명단표[급여 판정 근거],$P305))</f>
        <v/>
      </c>
      <c r="O305">
        <f>IF($P305="","",INDEX(명단표[점검],$P305))</f>
        <v/>
      </c>
      <c r="P305" s="17">
        <f>IFERROR(MATCH(300,명단표[서울순번],0),"")</f>
        <v/>
      </c>
      <c r="R305">
        <f>IF($W305="","",INDEX(명단표[이름],$W305))</f>
        <v/>
      </c>
      <c r="S305">
        <f>IF($W305="","",INDEX(명단표[사번],$W305)&amp;"")</f>
        <v/>
      </c>
      <c r="T305">
        <f>IF($W305="","",INDEX(명단표[소속병원],$W305))</f>
        <v/>
      </c>
      <c r="U305">
        <f>IF($W305="","",INDEX(명단표[서울 근무일(기준월)],$W305))</f>
        <v/>
      </c>
      <c r="V305">
        <f>IF($W305="","",INDEX(명단표[구리 근무일(기준월)],$W305))</f>
        <v/>
      </c>
      <c r="W305" s="17">
        <f>IFERROR(MATCH(300,명단표[판정불가순번],0),"")</f>
        <v/>
      </c>
    </row>
    <row r="306">
      <c r="A306">
        <f>IF($P306="","",301)</f>
        <v/>
      </c>
      <c r="B306">
        <f>IF($P306="","",INDEX(명단표[이름],$P306))</f>
        <v/>
      </c>
      <c r="C306">
        <f>IF($P306="","",INDEX(명단표[사번],$P306)&amp;"")</f>
        <v/>
      </c>
      <c r="D306">
        <f>IF($P306="","",INDEX(명단표[전공의등록번호],$P306)&amp;"")</f>
        <v/>
      </c>
      <c r="E306">
        <f>IF($P306="","",INDEX(명단표[수련과목],$P306)&amp;"")</f>
        <v/>
      </c>
      <c r="F306">
        <f>IF($P306="","",INDEX(명단표[연차],$P306)&amp;"")</f>
        <v/>
      </c>
      <c r="G306">
        <f>IF($P306="","",INDEX(명단표[소속병원],$P306))</f>
        <v/>
      </c>
      <c r="H306">
        <f>IF($P306="","",IF(INDEX(명단표[소속병원],$P306)="서울병원","서울 소속","타 병원 소속("&amp;INDEX(명단표[소속병원],$P306)&amp;") → 서울 지급"))</f>
        <v/>
      </c>
      <c r="I306">
        <f>IF($P306="","",INDEX(명단표[현재 근무병원],$P306))</f>
        <v/>
      </c>
      <c r="J306">
        <f>IF($P306="","",INDEX(명단표[구리 근무 시작일(기준월)],$P306)&amp;"")</f>
        <v/>
      </c>
      <c r="K306">
        <f>IF($P306="","",INDEX(명단표[구리 근무 종료일(기준월)],$P306)&amp;"")</f>
        <v/>
      </c>
      <c r="L306">
        <f>IF($P306="","",INDEX(명단표[서울 근무일(기준월)],$P306))</f>
        <v/>
      </c>
      <c r="M306">
        <f>IF($P306="","",INDEX(명단표[구리 근무일(기준월)],$P306))</f>
        <v/>
      </c>
      <c r="N306">
        <f>IF($P306="","",INDEX(명단표[급여 판정 근거],$P306))</f>
        <v/>
      </c>
      <c r="O306">
        <f>IF($P306="","",INDEX(명단표[점검],$P306))</f>
        <v/>
      </c>
      <c r="P306" s="17">
        <f>IFERROR(MATCH(301,명단표[서울순번],0),"")</f>
        <v/>
      </c>
      <c r="R306">
        <f>IF($W306="","",INDEX(명단표[이름],$W306))</f>
        <v/>
      </c>
      <c r="S306">
        <f>IF($W306="","",INDEX(명단표[사번],$W306)&amp;"")</f>
        <v/>
      </c>
      <c r="T306">
        <f>IF($W306="","",INDEX(명단표[소속병원],$W306))</f>
        <v/>
      </c>
      <c r="U306">
        <f>IF($W306="","",INDEX(명단표[서울 근무일(기준월)],$W306))</f>
        <v/>
      </c>
      <c r="V306">
        <f>IF($W306="","",INDEX(명단표[구리 근무일(기준월)],$W306))</f>
        <v/>
      </c>
      <c r="W306" s="17">
        <f>IFERROR(MATCH(301,명단표[판정불가순번],0),"")</f>
        <v/>
      </c>
    </row>
    <row r="307">
      <c r="A307">
        <f>IF($P307="","",302)</f>
        <v/>
      </c>
      <c r="B307">
        <f>IF($P307="","",INDEX(명단표[이름],$P307))</f>
        <v/>
      </c>
      <c r="C307">
        <f>IF($P307="","",INDEX(명단표[사번],$P307)&amp;"")</f>
        <v/>
      </c>
      <c r="D307">
        <f>IF($P307="","",INDEX(명단표[전공의등록번호],$P307)&amp;"")</f>
        <v/>
      </c>
      <c r="E307">
        <f>IF($P307="","",INDEX(명단표[수련과목],$P307)&amp;"")</f>
        <v/>
      </c>
      <c r="F307">
        <f>IF($P307="","",INDEX(명단표[연차],$P307)&amp;"")</f>
        <v/>
      </c>
      <c r="G307">
        <f>IF($P307="","",INDEX(명단표[소속병원],$P307))</f>
        <v/>
      </c>
      <c r="H307">
        <f>IF($P307="","",IF(INDEX(명단표[소속병원],$P307)="서울병원","서울 소속","타 병원 소속("&amp;INDEX(명단표[소속병원],$P307)&amp;") → 서울 지급"))</f>
        <v/>
      </c>
      <c r="I307">
        <f>IF($P307="","",INDEX(명단표[현재 근무병원],$P307))</f>
        <v/>
      </c>
      <c r="J307">
        <f>IF($P307="","",INDEX(명단표[구리 근무 시작일(기준월)],$P307)&amp;"")</f>
        <v/>
      </c>
      <c r="K307">
        <f>IF($P307="","",INDEX(명단표[구리 근무 종료일(기준월)],$P307)&amp;"")</f>
        <v/>
      </c>
      <c r="L307">
        <f>IF($P307="","",INDEX(명단표[서울 근무일(기준월)],$P307))</f>
        <v/>
      </c>
      <c r="M307">
        <f>IF($P307="","",INDEX(명단표[구리 근무일(기준월)],$P307))</f>
        <v/>
      </c>
      <c r="N307">
        <f>IF($P307="","",INDEX(명단표[급여 판정 근거],$P307))</f>
        <v/>
      </c>
      <c r="O307">
        <f>IF($P307="","",INDEX(명단표[점검],$P307))</f>
        <v/>
      </c>
      <c r="P307" s="17">
        <f>IFERROR(MATCH(302,명단표[서울순번],0),"")</f>
        <v/>
      </c>
      <c r="R307">
        <f>IF($W307="","",INDEX(명단표[이름],$W307))</f>
        <v/>
      </c>
      <c r="S307">
        <f>IF($W307="","",INDEX(명단표[사번],$W307)&amp;"")</f>
        <v/>
      </c>
      <c r="T307">
        <f>IF($W307="","",INDEX(명단표[소속병원],$W307))</f>
        <v/>
      </c>
      <c r="U307">
        <f>IF($W307="","",INDEX(명단표[서울 근무일(기준월)],$W307))</f>
        <v/>
      </c>
      <c r="V307">
        <f>IF($W307="","",INDEX(명단표[구리 근무일(기준월)],$W307))</f>
        <v/>
      </c>
      <c r="W307" s="17">
        <f>IFERROR(MATCH(302,명단표[판정불가순번],0),"")</f>
        <v/>
      </c>
    </row>
    <row r="308">
      <c r="A308">
        <f>IF($P308="","",303)</f>
        <v/>
      </c>
      <c r="B308">
        <f>IF($P308="","",INDEX(명단표[이름],$P308))</f>
        <v/>
      </c>
      <c r="C308">
        <f>IF($P308="","",INDEX(명단표[사번],$P308)&amp;"")</f>
        <v/>
      </c>
      <c r="D308">
        <f>IF($P308="","",INDEX(명단표[전공의등록번호],$P308)&amp;"")</f>
        <v/>
      </c>
      <c r="E308">
        <f>IF($P308="","",INDEX(명단표[수련과목],$P308)&amp;"")</f>
        <v/>
      </c>
      <c r="F308">
        <f>IF($P308="","",INDEX(명단표[연차],$P308)&amp;"")</f>
        <v/>
      </c>
      <c r="G308">
        <f>IF($P308="","",INDEX(명단표[소속병원],$P308))</f>
        <v/>
      </c>
      <c r="H308">
        <f>IF($P308="","",IF(INDEX(명단표[소속병원],$P308)="서울병원","서울 소속","타 병원 소속("&amp;INDEX(명단표[소속병원],$P308)&amp;") → 서울 지급"))</f>
        <v/>
      </c>
      <c r="I308">
        <f>IF($P308="","",INDEX(명단표[현재 근무병원],$P308))</f>
        <v/>
      </c>
      <c r="J308">
        <f>IF($P308="","",INDEX(명단표[구리 근무 시작일(기준월)],$P308)&amp;"")</f>
        <v/>
      </c>
      <c r="K308">
        <f>IF($P308="","",INDEX(명단표[구리 근무 종료일(기준월)],$P308)&amp;"")</f>
        <v/>
      </c>
      <c r="L308">
        <f>IF($P308="","",INDEX(명단표[서울 근무일(기준월)],$P308))</f>
        <v/>
      </c>
      <c r="M308">
        <f>IF($P308="","",INDEX(명단표[구리 근무일(기준월)],$P308))</f>
        <v/>
      </c>
      <c r="N308">
        <f>IF($P308="","",INDEX(명단표[급여 판정 근거],$P308))</f>
        <v/>
      </c>
      <c r="O308">
        <f>IF($P308="","",INDEX(명단표[점검],$P308))</f>
        <v/>
      </c>
      <c r="P308" s="17">
        <f>IFERROR(MATCH(303,명단표[서울순번],0),"")</f>
        <v/>
      </c>
      <c r="R308">
        <f>IF($W308="","",INDEX(명단표[이름],$W308))</f>
        <v/>
      </c>
      <c r="S308">
        <f>IF($W308="","",INDEX(명단표[사번],$W308)&amp;"")</f>
        <v/>
      </c>
      <c r="T308">
        <f>IF($W308="","",INDEX(명단표[소속병원],$W308))</f>
        <v/>
      </c>
      <c r="U308">
        <f>IF($W308="","",INDEX(명단표[서울 근무일(기준월)],$W308))</f>
        <v/>
      </c>
      <c r="V308">
        <f>IF($W308="","",INDEX(명단표[구리 근무일(기준월)],$W308))</f>
        <v/>
      </c>
      <c r="W308" s="17">
        <f>IFERROR(MATCH(303,명단표[판정불가순번],0),"")</f>
        <v/>
      </c>
    </row>
    <row r="309">
      <c r="A309">
        <f>IF($P309="","",304)</f>
        <v/>
      </c>
      <c r="B309">
        <f>IF($P309="","",INDEX(명단표[이름],$P309))</f>
        <v/>
      </c>
      <c r="C309">
        <f>IF($P309="","",INDEX(명단표[사번],$P309)&amp;"")</f>
        <v/>
      </c>
      <c r="D309">
        <f>IF($P309="","",INDEX(명단표[전공의등록번호],$P309)&amp;"")</f>
        <v/>
      </c>
      <c r="E309">
        <f>IF($P309="","",INDEX(명단표[수련과목],$P309)&amp;"")</f>
        <v/>
      </c>
      <c r="F309">
        <f>IF($P309="","",INDEX(명단표[연차],$P309)&amp;"")</f>
        <v/>
      </c>
      <c r="G309">
        <f>IF($P309="","",INDEX(명단표[소속병원],$P309))</f>
        <v/>
      </c>
      <c r="H309">
        <f>IF($P309="","",IF(INDEX(명단표[소속병원],$P309)="서울병원","서울 소속","타 병원 소속("&amp;INDEX(명단표[소속병원],$P309)&amp;") → 서울 지급"))</f>
        <v/>
      </c>
      <c r="I309">
        <f>IF($P309="","",INDEX(명단표[현재 근무병원],$P309))</f>
        <v/>
      </c>
      <c r="J309">
        <f>IF($P309="","",INDEX(명단표[구리 근무 시작일(기준월)],$P309)&amp;"")</f>
        <v/>
      </c>
      <c r="K309">
        <f>IF($P309="","",INDEX(명단표[구리 근무 종료일(기준월)],$P309)&amp;"")</f>
        <v/>
      </c>
      <c r="L309">
        <f>IF($P309="","",INDEX(명단표[서울 근무일(기준월)],$P309))</f>
        <v/>
      </c>
      <c r="M309">
        <f>IF($P309="","",INDEX(명단표[구리 근무일(기준월)],$P309))</f>
        <v/>
      </c>
      <c r="N309">
        <f>IF($P309="","",INDEX(명단표[급여 판정 근거],$P309))</f>
        <v/>
      </c>
      <c r="O309">
        <f>IF($P309="","",INDEX(명단표[점검],$P309))</f>
        <v/>
      </c>
      <c r="P309" s="17">
        <f>IFERROR(MATCH(304,명단표[서울순번],0),"")</f>
        <v/>
      </c>
      <c r="R309">
        <f>IF($W309="","",INDEX(명단표[이름],$W309))</f>
        <v/>
      </c>
      <c r="S309">
        <f>IF($W309="","",INDEX(명단표[사번],$W309)&amp;"")</f>
        <v/>
      </c>
      <c r="T309">
        <f>IF($W309="","",INDEX(명단표[소속병원],$W309))</f>
        <v/>
      </c>
      <c r="U309">
        <f>IF($W309="","",INDEX(명단표[서울 근무일(기준월)],$W309))</f>
        <v/>
      </c>
      <c r="V309">
        <f>IF($W309="","",INDEX(명단표[구리 근무일(기준월)],$W309))</f>
        <v/>
      </c>
      <c r="W309" s="17">
        <f>IFERROR(MATCH(304,명단표[판정불가순번],0),"")</f>
        <v/>
      </c>
    </row>
    <row r="310">
      <c r="A310">
        <f>IF($P310="","",305)</f>
        <v/>
      </c>
      <c r="B310">
        <f>IF($P310="","",INDEX(명단표[이름],$P310))</f>
        <v/>
      </c>
      <c r="C310">
        <f>IF($P310="","",INDEX(명단표[사번],$P310)&amp;"")</f>
        <v/>
      </c>
      <c r="D310">
        <f>IF($P310="","",INDEX(명단표[전공의등록번호],$P310)&amp;"")</f>
        <v/>
      </c>
      <c r="E310">
        <f>IF($P310="","",INDEX(명단표[수련과목],$P310)&amp;"")</f>
        <v/>
      </c>
      <c r="F310">
        <f>IF($P310="","",INDEX(명단표[연차],$P310)&amp;"")</f>
        <v/>
      </c>
      <c r="G310">
        <f>IF($P310="","",INDEX(명단표[소속병원],$P310))</f>
        <v/>
      </c>
      <c r="H310">
        <f>IF($P310="","",IF(INDEX(명단표[소속병원],$P310)="서울병원","서울 소속","타 병원 소속("&amp;INDEX(명단표[소속병원],$P310)&amp;") → 서울 지급"))</f>
        <v/>
      </c>
      <c r="I310">
        <f>IF($P310="","",INDEX(명단표[현재 근무병원],$P310))</f>
        <v/>
      </c>
      <c r="J310">
        <f>IF($P310="","",INDEX(명단표[구리 근무 시작일(기준월)],$P310)&amp;"")</f>
        <v/>
      </c>
      <c r="K310">
        <f>IF($P310="","",INDEX(명단표[구리 근무 종료일(기준월)],$P310)&amp;"")</f>
        <v/>
      </c>
      <c r="L310">
        <f>IF($P310="","",INDEX(명단표[서울 근무일(기준월)],$P310))</f>
        <v/>
      </c>
      <c r="M310">
        <f>IF($P310="","",INDEX(명단표[구리 근무일(기준월)],$P310))</f>
        <v/>
      </c>
      <c r="N310">
        <f>IF($P310="","",INDEX(명단표[급여 판정 근거],$P310))</f>
        <v/>
      </c>
      <c r="O310">
        <f>IF($P310="","",INDEX(명단표[점검],$P310))</f>
        <v/>
      </c>
      <c r="P310" s="17">
        <f>IFERROR(MATCH(305,명단표[서울순번],0),"")</f>
        <v/>
      </c>
      <c r="R310">
        <f>IF($W310="","",INDEX(명단표[이름],$W310))</f>
        <v/>
      </c>
      <c r="S310">
        <f>IF($W310="","",INDEX(명단표[사번],$W310)&amp;"")</f>
        <v/>
      </c>
      <c r="T310">
        <f>IF($W310="","",INDEX(명단표[소속병원],$W310))</f>
        <v/>
      </c>
      <c r="U310">
        <f>IF($W310="","",INDEX(명단표[서울 근무일(기준월)],$W310))</f>
        <v/>
      </c>
      <c r="V310">
        <f>IF($W310="","",INDEX(명단표[구리 근무일(기준월)],$W310))</f>
        <v/>
      </c>
      <c r="W310" s="17">
        <f>IFERROR(MATCH(305,명단표[판정불가순번],0),"")</f>
        <v/>
      </c>
    </row>
    <row r="311">
      <c r="A311">
        <f>IF($P311="","",306)</f>
        <v/>
      </c>
      <c r="B311">
        <f>IF($P311="","",INDEX(명단표[이름],$P311))</f>
        <v/>
      </c>
      <c r="C311">
        <f>IF($P311="","",INDEX(명단표[사번],$P311)&amp;"")</f>
        <v/>
      </c>
      <c r="D311">
        <f>IF($P311="","",INDEX(명단표[전공의등록번호],$P311)&amp;"")</f>
        <v/>
      </c>
      <c r="E311">
        <f>IF($P311="","",INDEX(명단표[수련과목],$P311)&amp;"")</f>
        <v/>
      </c>
      <c r="F311">
        <f>IF($P311="","",INDEX(명단표[연차],$P311)&amp;"")</f>
        <v/>
      </c>
      <c r="G311">
        <f>IF($P311="","",INDEX(명단표[소속병원],$P311))</f>
        <v/>
      </c>
      <c r="H311">
        <f>IF($P311="","",IF(INDEX(명단표[소속병원],$P311)="서울병원","서울 소속","타 병원 소속("&amp;INDEX(명단표[소속병원],$P311)&amp;") → 서울 지급"))</f>
        <v/>
      </c>
      <c r="I311">
        <f>IF($P311="","",INDEX(명단표[현재 근무병원],$P311))</f>
        <v/>
      </c>
      <c r="J311">
        <f>IF($P311="","",INDEX(명단표[구리 근무 시작일(기준월)],$P311)&amp;"")</f>
        <v/>
      </c>
      <c r="K311">
        <f>IF($P311="","",INDEX(명단표[구리 근무 종료일(기준월)],$P311)&amp;"")</f>
        <v/>
      </c>
      <c r="L311">
        <f>IF($P311="","",INDEX(명단표[서울 근무일(기준월)],$P311))</f>
        <v/>
      </c>
      <c r="M311">
        <f>IF($P311="","",INDEX(명단표[구리 근무일(기준월)],$P311))</f>
        <v/>
      </c>
      <c r="N311">
        <f>IF($P311="","",INDEX(명단표[급여 판정 근거],$P311))</f>
        <v/>
      </c>
      <c r="O311">
        <f>IF($P311="","",INDEX(명단표[점검],$P311))</f>
        <v/>
      </c>
      <c r="P311" s="17">
        <f>IFERROR(MATCH(306,명단표[서울순번],0),"")</f>
        <v/>
      </c>
      <c r="R311">
        <f>IF($W311="","",INDEX(명단표[이름],$W311))</f>
        <v/>
      </c>
      <c r="S311">
        <f>IF($W311="","",INDEX(명단표[사번],$W311)&amp;"")</f>
        <v/>
      </c>
      <c r="T311">
        <f>IF($W311="","",INDEX(명단표[소속병원],$W311))</f>
        <v/>
      </c>
      <c r="U311">
        <f>IF($W311="","",INDEX(명단표[서울 근무일(기준월)],$W311))</f>
        <v/>
      </c>
      <c r="V311">
        <f>IF($W311="","",INDEX(명단표[구리 근무일(기준월)],$W311))</f>
        <v/>
      </c>
      <c r="W311" s="17">
        <f>IFERROR(MATCH(306,명단표[판정불가순번],0),"")</f>
        <v/>
      </c>
    </row>
    <row r="312">
      <c r="A312">
        <f>IF($P312="","",307)</f>
        <v/>
      </c>
      <c r="B312">
        <f>IF($P312="","",INDEX(명단표[이름],$P312))</f>
        <v/>
      </c>
      <c r="C312">
        <f>IF($P312="","",INDEX(명단표[사번],$P312)&amp;"")</f>
        <v/>
      </c>
      <c r="D312">
        <f>IF($P312="","",INDEX(명단표[전공의등록번호],$P312)&amp;"")</f>
        <v/>
      </c>
      <c r="E312">
        <f>IF($P312="","",INDEX(명단표[수련과목],$P312)&amp;"")</f>
        <v/>
      </c>
      <c r="F312">
        <f>IF($P312="","",INDEX(명단표[연차],$P312)&amp;"")</f>
        <v/>
      </c>
      <c r="G312">
        <f>IF($P312="","",INDEX(명단표[소속병원],$P312))</f>
        <v/>
      </c>
      <c r="H312">
        <f>IF($P312="","",IF(INDEX(명단표[소속병원],$P312)="서울병원","서울 소속","타 병원 소속("&amp;INDEX(명단표[소속병원],$P312)&amp;") → 서울 지급"))</f>
        <v/>
      </c>
      <c r="I312">
        <f>IF($P312="","",INDEX(명단표[현재 근무병원],$P312))</f>
        <v/>
      </c>
      <c r="J312">
        <f>IF($P312="","",INDEX(명단표[구리 근무 시작일(기준월)],$P312)&amp;"")</f>
        <v/>
      </c>
      <c r="K312">
        <f>IF($P312="","",INDEX(명단표[구리 근무 종료일(기준월)],$P312)&amp;"")</f>
        <v/>
      </c>
      <c r="L312">
        <f>IF($P312="","",INDEX(명단표[서울 근무일(기준월)],$P312))</f>
        <v/>
      </c>
      <c r="M312">
        <f>IF($P312="","",INDEX(명단표[구리 근무일(기준월)],$P312))</f>
        <v/>
      </c>
      <c r="N312">
        <f>IF($P312="","",INDEX(명단표[급여 판정 근거],$P312))</f>
        <v/>
      </c>
      <c r="O312">
        <f>IF($P312="","",INDEX(명단표[점검],$P312))</f>
        <v/>
      </c>
      <c r="P312" s="17">
        <f>IFERROR(MATCH(307,명단표[서울순번],0),"")</f>
        <v/>
      </c>
      <c r="R312">
        <f>IF($W312="","",INDEX(명단표[이름],$W312))</f>
        <v/>
      </c>
      <c r="S312">
        <f>IF($W312="","",INDEX(명단표[사번],$W312)&amp;"")</f>
        <v/>
      </c>
      <c r="T312">
        <f>IF($W312="","",INDEX(명단표[소속병원],$W312))</f>
        <v/>
      </c>
      <c r="U312">
        <f>IF($W312="","",INDEX(명단표[서울 근무일(기준월)],$W312))</f>
        <v/>
      </c>
      <c r="V312">
        <f>IF($W312="","",INDEX(명단표[구리 근무일(기준월)],$W312))</f>
        <v/>
      </c>
      <c r="W312" s="17">
        <f>IFERROR(MATCH(307,명단표[판정불가순번],0),"")</f>
        <v/>
      </c>
    </row>
    <row r="313">
      <c r="A313">
        <f>IF($P313="","",308)</f>
        <v/>
      </c>
      <c r="B313">
        <f>IF($P313="","",INDEX(명단표[이름],$P313))</f>
        <v/>
      </c>
      <c r="C313">
        <f>IF($P313="","",INDEX(명단표[사번],$P313)&amp;"")</f>
        <v/>
      </c>
      <c r="D313">
        <f>IF($P313="","",INDEX(명단표[전공의등록번호],$P313)&amp;"")</f>
        <v/>
      </c>
      <c r="E313">
        <f>IF($P313="","",INDEX(명단표[수련과목],$P313)&amp;"")</f>
        <v/>
      </c>
      <c r="F313">
        <f>IF($P313="","",INDEX(명단표[연차],$P313)&amp;"")</f>
        <v/>
      </c>
      <c r="G313">
        <f>IF($P313="","",INDEX(명단표[소속병원],$P313))</f>
        <v/>
      </c>
      <c r="H313">
        <f>IF($P313="","",IF(INDEX(명단표[소속병원],$P313)="서울병원","서울 소속","타 병원 소속("&amp;INDEX(명단표[소속병원],$P313)&amp;") → 서울 지급"))</f>
        <v/>
      </c>
      <c r="I313">
        <f>IF($P313="","",INDEX(명단표[현재 근무병원],$P313))</f>
        <v/>
      </c>
      <c r="J313">
        <f>IF($P313="","",INDEX(명단표[구리 근무 시작일(기준월)],$P313)&amp;"")</f>
        <v/>
      </c>
      <c r="K313">
        <f>IF($P313="","",INDEX(명단표[구리 근무 종료일(기준월)],$P313)&amp;"")</f>
        <v/>
      </c>
      <c r="L313">
        <f>IF($P313="","",INDEX(명단표[서울 근무일(기준월)],$P313))</f>
        <v/>
      </c>
      <c r="M313">
        <f>IF($P313="","",INDEX(명단표[구리 근무일(기준월)],$P313))</f>
        <v/>
      </c>
      <c r="N313">
        <f>IF($P313="","",INDEX(명단표[급여 판정 근거],$P313))</f>
        <v/>
      </c>
      <c r="O313">
        <f>IF($P313="","",INDEX(명단표[점검],$P313))</f>
        <v/>
      </c>
      <c r="P313" s="17">
        <f>IFERROR(MATCH(308,명단표[서울순번],0),"")</f>
        <v/>
      </c>
      <c r="R313">
        <f>IF($W313="","",INDEX(명단표[이름],$W313))</f>
        <v/>
      </c>
      <c r="S313">
        <f>IF($W313="","",INDEX(명단표[사번],$W313)&amp;"")</f>
        <v/>
      </c>
      <c r="T313">
        <f>IF($W313="","",INDEX(명단표[소속병원],$W313))</f>
        <v/>
      </c>
      <c r="U313">
        <f>IF($W313="","",INDEX(명단표[서울 근무일(기준월)],$W313))</f>
        <v/>
      </c>
      <c r="V313">
        <f>IF($W313="","",INDEX(명단표[구리 근무일(기준월)],$W313))</f>
        <v/>
      </c>
      <c r="W313" s="17">
        <f>IFERROR(MATCH(308,명단표[판정불가순번],0),"")</f>
        <v/>
      </c>
    </row>
    <row r="314">
      <c r="A314">
        <f>IF($P314="","",309)</f>
        <v/>
      </c>
      <c r="B314">
        <f>IF($P314="","",INDEX(명단표[이름],$P314))</f>
        <v/>
      </c>
      <c r="C314">
        <f>IF($P314="","",INDEX(명단표[사번],$P314)&amp;"")</f>
        <v/>
      </c>
      <c r="D314">
        <f>IF($P314="","",INDEX(명단표[전공의등록번호],$P314)&amp;"")</f>
        <v/>
      </c>
      <c r="E314">
        <f>IF($P314="","",INDEX(명단표[수련과목],$P314)&amp;"")</f>
        <v/>
      </c>
      <c r="F314">
        <f>IF($P314="","",INDEX(명단표[연차],$P314)&amp;"")</f>
        <v/>
      </c>
      <c r="G314">
        <f>IF($P314="","",INDEX(명단표[소속병원],$P314))</f>
        <v/>
      </c>
      <c r="H314">
        <f>IF($P314="","",IF(INDEX(명단표[소속병원],$P314)="서울병원","서울 소속","타 병원 소속("&amp;INDEX(명단표[소속병원],$P314)&amp;") → 서울 지급"))</f>
        <v/>
      </c>
      <c r="I314">
        <f>IF($P314="","",INDEX(명단표[현재 근무병원],$P314))</f>
        <v/>
      </c>
      <c r="J314">
        <f>IF($P314="","",INDEX(명단표[구리 근무 시작일(기준월)],$P314)&amp;"")</f>
        <v/>
      </c>
      <c r="K314">
        <f>IF($P314="","",INDEX(명단표[구리 근무 종료일(기준월)],$P314)&amp;"")</f>
        <v/>
      </c>
      <c r="L314">
        <f>IF($P314="","",INDEX(명단표[서울 근무일(기준월)],$P314))</f>
        <v/>
      </c>
      <c r="M314">
        <f>IF($P314="","",INDEX(명단표[구리 근무일(기준월)],$P314))</f>
        <v/>
      </c>
      <c r="N314">
        <f>IF($P314="","",INDEX(명단표[급여 판정 근거],$P314))</f>
        <v/>
      </c>
      <c r="O314">
        <f>IF($P314="","",INDEX(명단표[점검],$P314))</f>
        <v/>
      </c>
      <c r="P314" s="17">
        <f>IFERROR(MATCH(309,명단표[서울순번],0),"")</f>
        <v/>
      </c>
      <c r="R314">
        <f>IF($W314="","",INDEX(명단표[이름],$W314))</f>
        <v/>
      </c>
      <c r="S314">
        <f>IF($W314="","",INDEX(명단표[사번],$W314)&amp;"")</f>
        <v/>
      </c>
      <c r="T314">
        <f>IF($W314="","",INDEX(명단표[소속병원],$W314))</f>
        <v/>
      </c>
      <c r="U314">
        <f>IF($W314="","",INDEX(명단표[서울 근무일(기준월)],$W314))</f>
        <v/>
      </c>
      <c r="V314">
        <f>IF($W314="","",INDEX(명단표[구리 근무일(기준월)],$W314))</f>
        <v/>
      </c>
      <c r="W314" s="17">
        <f>IFERROR(MATCH(309,명단표[판정불가순번],0),"")</f>
        <v/>
      </c>
    </row>
    <row r="315">
      <c r="A315">
        <f>IF($P315="","",310)</f>
        <v/>
      </c>
      <c r="B315">
        <f>IF($P315="","",INDEX(명단표[이름],$P315))</f>
        <v/>
      </c>
      <c r="C315">
        <f>IF($P315="","",INDEX(명단표[사번],$P315)&amp;"")</f>
        <v/>
      </c>
      <c r="D315">
        <f>IF($P315="","",INDEX(명단표[전공의등록번호],$P315)&amp;"")</f>
        <v/>
      </c>
      <c r="E315">
        <f>IF($P315="","",INDEX(명단표[수련과목],$P315)&amp;"")</f>
        <v/>
      </c>
      <c r="F315">
        <f>IF($P315="","",INDEX(명단표[연차],$P315)&amp;"")</f>
        <v/>
      </c>
      <c r="G315">
        <f>IF($P315="","",INDEX(명단표[소속병원],$P315))</f>
        <v/>
      </c>
      <c r="H315">
        <f>IF($P315="","",IF(INDEX(명단표[소속병원],$P315)="서울병원","서울 소속","타 병원 소속("&amp;INDEX(명단표[소속병원],$P315)&amp;") → 서울 지급"))</f>
        <v/>
      </c>
      <c r="I315">
        <f>IF($P315="","",INDEX(명단표[현재 근무병원],$P315))</f>
        <v/>
      </c>
      <c r="J315">
        <f>IF($P315="","",INDEX(명단표[구리 근무 시작일(기준월)],$P315)&amp;"")</f>
        <v/>
      </c>
      <c r="K315">
        <f>IF($P315="","",INDEX(명단표[구리 근무 종료일(기준월)],$P315)&amp;"")</f>
        <v/>
      </c>
      <c r="L315">
        <f>IF($P315="","",INDEX(명단표[서울 근무일(기준월)],$P315))</f>
        <v/>
      </c>
      <c r="M315">
        <f>IF($P315="","",INDEX(명단표[구리 근무일(기준월)],$P315))</f>
        <v/>
      </c>
      <c r="N315">
        <f>IF($P315="","",INDEX(명단표[급여 판정 근거],$P315))</f>
        <v/>
      </c>
      <c r="O315">
        <f>IF($P315="","",INDEX(명단표[점검],$P315))</f>
        <v/>
      </c>
      <c r="P315" s="17">
        <f>IFERROR(MATCH(310,명단표[서울순번],0),"")</f>
        <v/>
      </c>
      <c r="R315">
        <f>IF($W315="","",INDEX(명단표[이름],$W315))</f>
        <v/>
      </c>
      <c r="S315">
        <f>IF($W315="","",INDEX(명단표[사번],$W315)&amp;"")</f>
        <v/>
      </c>
      <c r="T315">
        <f>IF($W315="","",INDEX(명단표[소속병원],$W315))</f>
        <v/>
      </c>
      <c r="U315">
        <f>IF($W315="","",INDEX(명단표[서울 근무일(기준월)],$W315))</f>
        <v/>
      </c>
      <c r="V315">
        <f>IF($W315="","",INDEX(명단표[구리 근무일(기준월)],$W315))</f>
        <v/>
      </c>
      <c r="W315" s="17">
        <f>IFERROR(MATCH(310,명단표[판정불가순번],0),"")</f>
        <v/>
      </c>
    </row>
    <row r="316">
      <c r="A316">
        <f>IF($P316="","",311)</f>
        <v/>
      </c>
      <c r="B316">
        <f>IF($P316="","",INDEX(명단표[이름],$P316))</f>
        <v/>
      </c>
      <c r="C316">
        <f>IF($P316="","",INDEX(명단표[사번],$P316)&amp;"")</f>
        <v/>
      </c>
      <c r="D316">
        <f>IF($P316="","",INDEX(명단표[전공의등록번호],$P316)&amp;"")</f>
        <v/>
      </c>
      <c r="E316">
        <f>IF($P316="","",INDEX(명단표[수련과목],$P316)&amp;"")</f>
        <v/>
      </c>
      <c r="F316">
        <f>IF($P316="","",INDEX(명단표[연차],$P316)&amp;"")</f>
        <v/>
      </c>
      <c r="G316">
        <f>IF($P316="","",INDEX(명단표[소속병원],$P316))</f>
        <v/>
      </c>
      <c r="H316">
        <f>IF($P316="","",IF(INDEX(명단표[소속병원],$P316)="서울병원","서울 소속","타 병원 소속("&amp;INDEX(명단표[소속병원],$P316)&amp;") → 서울 지급"))</f>
        <v/>
      </c>
      <c r="I316">
        <f>IF($P316="","",INDEX(명단표[현재 근무병원],$P316))</f>
        <v/>
      </c>
      <c r="J316">
        <f>IF($P316="","",INDEX(명단표[구리 근무 시작일(기준월)],$P316)&amp;"")</f>
        <v/>
      </c>
      <c r="K316">
        <f>IF($P316="","",INDEX(명단표[구리 근무 종료일(기준월)],$P316)&amp;"")</f>
        <v/>
      </c>
      <c r="L316">
        <f>IF($P316="","",INDEX(명단표[서울 근무일(기준월)],$P316))</f>
        <v/>
      </c>
      <c r="M316">
        <f>IF($P316="","",INDEX(명단표[구리 근무일(기준월)],$P316))</f>
        <v/>
      </c>
      <c r="N316">
        <f>IF($P316="","",INDEX(명단표[급여 판정 근거],$P316))</f>
        <v/>
      </c>
      <c r="O316">
        <f>IF($P316="","",INDEX(명단표[점검],$P316))</f>
        <v/>
      </c>
      <c r="P316" s="17">
        <f>IFERROR(MATCH(311,명단표[서울순번],0),"")</f>
        <v/>
      </c>
      <c r="R316">
        <f>IF($W316="","",INDEX(명단표[이름],$W316))</f>
        <v/>
      </c>
      <c r="S316">
        <f>IF($W316="","",INDEX(명단표[사번],$W316)&amp;"")</f>
        <v/>
      </c>
      <c r="T316">
        <f>IF($W316="","",INDEX(명단표[소속병원],$W316))</f>
        <v/>
      </c>
      <c r="U316">
        <f>IF($W316="","",INDEX(명단표[서울 근무일(기준월)],$W316))</f>
        <v/>
      </c>
      <c r="V316">
        <f>IF($W316="","",INDEX(명단표[구리 근무일(기준월)],$W316))</f>
        <v/>
      </c>
      <c r="W316" s="17">
        <f>IFERROR(MATCH(311,명단표[판정불가순번],0),"")</f>
        <v/>
      </c>
    </row>
    <row r="317">
      <c r="A317">
        <f>IF($P317="","",312)</f>
        <v/>
      </c>
      <c r="B317">
        <f>IF($P317="","",INDEX(명단표[이름],$P317))</f>
        <v/>
      </c>
      <c r="C317">
        <f>IF($P317="","",INDEX(명단표[사번],$P317)&amp;"")</f>
        <v/>
      </c>
      <c r="D317">
        <f>IF($P317="","",INDEX(명단표[전공의등록번호],$P317)&amp;"")</f>
        <v/>
      </c>
      <c r="E317">
        <f>IF($P317="","",INDEX(명단표[수련과목],$P317)&amp;"")</f>
        <v/>
      </c>
      <c r="F317">
        <f>IF($P317="","",INDEX(명단표[연차],$P317)&amp;"")</f>
        <v/>
      </c>
      <c r="G317">
        <f>IF($P317="","",INDEX(명단표[소속병원],$P317))</f>
        <v/>
      </c>
      <c r="H317">
        <f>IF($P317="","",IF(INDEX(명단표[소속병원],$P317)="서울병원","서울 소속","타 병원 소속("&amp;INDEX(명단표[소속병원],$P317)&amp;") → 서울 지급"))</f>
        <v/>
      </c>
      <c r="I317">
        <f>IF($P317="","",INDEX(명단표[현재 근무병원],$P317))</f>
        <v/>
      </c>
      <c r="J317">
        <f>IF($P317="","",INDEX(명단표[구리 근무 시작일(기준월)],$P317)&amp;"")</f>
        <v/>
      </c>
      <c r="K317">
        <f>IF($P317="","",INDEX(명단표[구리 근무 종료일(기준월)],$P317)&amp;"")</f>
        <v/>
      </c>
      <c r="L317">
        <f>IF($P317="","",INDEX(명단표[서울 근무일(기준월)],$P317))</f>
        <v/>
      </c>
      <c r="M317">
        <f>IF($P317="","",INDEX(명단표[구리 근무일(기준월)],$P317))</f>
        <v/>
      </c>
      <c r="N317">
        <f>IF($P317="","",INDEX(명단표[급여 판정 근거],$P317))</f>
        <v/>
      </c>
      <c r="O317">
        <f>IF($P317="","",INDEX(명단표[점검],$P317))</f>
        <v/>
      </c>
      <c r="P317" s="17">
        <f>IFERROR(MATCH(312,명단표[서울순번],0),"")</f>
        <v/>
      </c>
      <c r="R317">
        <f>IF($W317="","",INDEX(명단표[이름],$W317))</f>
        <v/>
      </c>
      <c r="S317">
        <f>IF($W317="","",INDEX(명단표[사번],$W317)&amp;"")</f>
        <v/>
      </c>
      <c r="T317">
        <f>IF($W317="","",INDEX(명단표[소속병원],$W317))</f>
        <v/>
      </c>
      <c r="U317">
        <f>IF($W317="","",INDEX(명단표[서울 근무일(기준월)],$W317))</f>
        <v/>
      </c>
      <c r="V317">
        <f>IF($W317="","",INDEX(명단표[구리 근무일(기준월)],$W317))</f>
        <v/>
      </c>
      <c r="W317" s="17">
        <f>IFERROR(MATCH(312,명단표[판정불가순번],0),"")</f>
        <v/>
      </c>
    </row>
    <row r="318">
      <c r="A318">
        <f>IF($P318="","",313)</f>
        <v/>
      </c>
      <c r="B318">
        <f>IF($P318="","",INDEX(명단표[이름],$P318))</f>
        <v/>
      </c>
      <c r="C318">
        <f>IF($P318="","",INDEX(명단표[사번],$P318)&amp;"")</f>
        <v/>
      </c>
      <c r="D318">
        <f>IF($P318="","",INDEX(명단표[전공의등록번호],$P318)&amp;"")</f>
        <v/>
      </c>
      <c r="E318">
        <f>IF($P318="","",INDEX(명단표[수련과목],$P318)&amp;"")</f>
        <v/>
      </c>
      <c r="F318">
        <f>IF($P318="","",INDEX(명단표[연차],$P318)&amp;"")</f>
        <v/>
      </c>
      <c r="G318">
        <f>IF($P318="","",INDEX(명단표[소속병원],$P318))</f>
        <v/>
      </c>
      <c r="H318">
        <f>IF($P318="","",IF(INDEX(명단표[소속병원],$P318)="서울병원","서울 소속","타 병원 소속("&amp;INDEX(명단표[소속병원],$P318)&amp;") → 서울 지급"))</f>
        <v/>
      </c>
      <c r="I318">
        <f>IF($P318="","",INDEX(명단표[현재 근무병원],$P318))</f>
        <v/>
      </c>
      <c r="J318">
        <f>IF($P318="","",INDEX(명단표[구리 근무 시작일(기준월)],$P318)&amp;"")</f>
        <v/>
      </c>
      <c r="K318">
        <f>IF($P318="","",INDEX(명단표[구리 근무 종료일(기준월)],$P318)&amp;"")</f>
        <v/>
      </c>
      <c r="L318">
        <f>IF($P318="","",INDEX(명단표[서울 근무일(기준월)],$P318))</f>
        <v/>
      </c>
      <c r="M318">
        <f>IF($P318="","",INDEX(명단표[구리 근무일(기준월)],$P318))</f>
        <v/>
      </c>
      <c r="N318">
        <f>IF($P318="","",INDEX(명단표[급여 판정 근거],$P318))</f>
        <v/>
      </c>
      <c r="O318">
        <f>IF($P318="","",INDEX(명단표[점검],$P318))</f>
        <v/>
      </c>
      <c r="P318" s="17">
        <f>IFERROR(MATCH(313,명단표[서울순번],0),"")</f>
        <v/>
      </c>
      <c r="R318">
        <f>IF($W318="","",INDEX(명단표[이름],$W318))</f>
        <v/>
      </c>
      <c r="S318">
        <f>IF($W318="","",INDEX(명단표[사번],$W318)&amp;"")</f>
        <v/>
      </c>
      <c r="T318">
        <f>IF($W318="","",INDEX(명단표[소속병원],$W318))</f>
        <v/>
      </c>
      <c r="U318">
        <f>IF($W318="","",INDEX(명단표[서울 근무일(기준월)],$W318))</f>
        <v/>
      </c>
      <c r="V318">
        <f>IF($W318="","",INDEX(명단표[구리 근무일(기준월)],$W318))</f>
        <v/>
      </c>
      <c r="W318" s="17">
        <f>IFERROR(MATCH(313,명단표[판정불가순번],0),"")</f>
        <v/>
      </c>
    </row>
    <row r="319">
      <c r="A319">
        <f>IF($P319="","",314)</f>
        <v/>
      </c>
      <c r="B319">
        <f>IF($P319="","",INDEX(명단표[이름],$P319))</f>
        <v/>
      </c>
      <c r="C319">
        <f>IF($P319="","",INDEX(명단표[사번],$P319)&amp;"")</f>
        <v/>
      </c>
      <c r="D319">
        <f>IF($P319="","",INDEX(명단표[전공의등록번호],$P319)&amp;"")</f>
        <v/>
      </c>
      <c r="E319">
        <f>IF($P319="","",INDEX(명단표[수련과목],$P319)&amp;"")</f>
        <v/>
      </c>
      <c r="F319">
        <f>IF($P319="","",INDEX(명단표[연차],$P319)&amp;"")</f>
        <v/>
      </c>
      <c r="G319">
        <f>IF($P319="","",INDEX(명단표[소속병원],$P319))</f>
        <v/>
      </c>
      <c r="H319">
        <f>IF($P319="","",IF(INDEX(명단표[소속병원],$P319)="서울병원","서울 소속","타 병원 소속("&amp;INDEX(명단표[소속병원],$P319)&amp;") → 서울 지급"))</f>
        <v/>
      </c>
      <c r="I319">
        <f>IF($P319="","",INDEX(명단표[현재 근무병원],$P319))</f>
        <v/>
      </c>
      <c r="J319">
        <f>IF($P319="","",INDEX(명단표[구리 근무 시작일(기준월)],$P319)&amp;"")</f>
        <v/>
      </c>
      <c r="K319">
        <f>IF($P319="","",INDEX(명단표[구리 근무 종료일(기준월)],$P319)&amp;"")</f>
        <v/>
      </c>
      <c r="L319">
        <f>IF($P319="","",INDEX(명단표[서울 근무일(기준월)],$P319))</f>
        <v/>
      </c>
      <c r="M319">
        <f>IF($P319="","",INDEX(명단표[구리 근무일(기준월)],$P319))</f>
        <v/>
      </c>
      <c r="N319">
        <f>IF($P319="","",INDEX(명단표[급여 판정 근거],$P319))</f>
        <v/>
      </c>
      <c r="O319">
        <f>IF($P319="","",INDEX(명단표[점검],$P319))</f>
        <v/>
      </c>
      <c r="P319" s="17">
        <f>IFERROR(MATCH(314,명단표[서울순번],0),"")</f>
        <v/>
      </c>
      <c r="R319">
        <f>IF($W319="","",INDEX(명단표[이름],$W319))</f>
        <v/>
      </c>
      <c r="S319">
        <f>IF($W319="","",INDEX(명단표[사번],$W319)&amp;"")</f>
        <v/>
      </c>
      <c r="T319">
        <f>IF($W319="","",INDEX(명단표[소속병원],$W319))</f>
        <v/>
      </c>
      <c r="U319">
        <f>IF($W319="","",INDEX(명단표[서울 근무일(기준월)],$W319))</f>
        <v/>
      </c>
      <c r="V319">
        <f>IF($W319="","",INDEX(명단표[구리 근무일(기준월)],$W319))</f>
        <v/>
      </c>
      <c r="W319" s="17">
        <f>IFERROR(MATCH(314,명단표[판정불가순번],0),"")</f>
        <v/>
      </c>
    </row>
    <row r="320">
      <c r="A320">
        <f>IF($P320="","",315)</f>
        <v/>
      </c>
      <c r="B320">
        <f>IF($P320="","",INDEX(명단표[이름],$P320))</f>
        <v/>
      </c>
      <c r="C320">
        <f>IF($P320="","",INDEX(명단표[사번],$P320)&amp;"")</f>
        <v/>
      </c>
      <c r="D320">
        <f>IF($P320="","",INDEX(명단표[전공의등록번호],$P320)&amp;"")</f>
        <v/>
      </c>
      <c r="E320">
        <f>IF($P320="","",INDEX(명단표[수련과목],$P320)&amp;"")</f>
        <v/>
      </c>
      <c r="F320">
        <f>IF($P320="","",INDEX(명단표[연차],$P320)&amp;"")</f>
        <v/>
      </c>
      <c r="G320">
        <f>IF($P320="","",INDEX(명단표[소속병원],$P320))</f>
        <v/>
      </c>
      <c r="H320">
        <f>IF($P320="","",IF(INDEX(명단표[소속병원],$P320)="서울병원","서울 소속","타 병원 소속("&amp;INDEX(명단표[소속병원],$P320)&amp;") → 서울 지급"))</f>
        <v/>
      </c>
      <c r="I320">
        <f>IF($P320="","",INDEX(명단표[현재 근무병원],$P320))</f>
        <v/>
      </c>
      <c r="J320">
        <f>IF($P320="","",INDEX(명단표[구리 근무 시작일(기준월)],$P320)&amp;"")</f>
        <v/>
      </c>
      <c r="K320">
        <f>IF($P320="","",INDEX(명단표[구리 근무 종료일(기준월)],$P320)&amp;"")</f>
        <v/>
      </c>
      <c r="L320">
        <f>IF($P320="","",INDEX(명단표[서울 근무일(기준월)],$P320))</f>
        <v/>
      </c>
      <c r="M320">
        <f>IF($P320="","",INDEX(명단표[구리 근무일(기준월)],$P320))</f>
        <v/>
      </c>
      <c r="N320">
        <f>IF($P320="","",INDEX(명단표[급여 판정 근거],$P320))</f>
        <v/>
      </c>
      <c r="O320">
        <f>IF($P320="","",INDEX(명단표[점검],$P320))</f>
        <v/>
      </c>
      <c r="P320" s="17">
        <f>IFERROR(MATCH(315,명단표[서울순번],0),"")</f>
        <v/>
      </c>
      <c r="R320">
        <f>IF($W320="","",INDEX(명단표[이름],$W320))</f>
        <v/>
      </c>
      <c r="S320">
        <f>IF($W320="","",INDEX(명단표[사번],$W320)&amp;"")</f>
        <v/>
      </c>
      <c r="T320">
        <f>IF($W320="","",INDEX(명단표[소속병원],$W320))</f>
        <v/>
      </c>
      <c r="U320">
        <f>IF($W320="","",INDEX(명단표[서울 근무일(기준월)],$W320))</f>
        <v/>
      </c>
      <c r="V320">
        <f>IF($W320="","",INDEX(명단표[구리 근무일(기준월)],$W320))</f>
        <v/>
      </c>
      <c r="W320" s="17">
        <f>IFERROR(MATCH(315,명단표[판정불가순번],0),"")</f>
        <v/>
      </c>
    </row>
    <row r="321">
      <c r="A321">
        <f>IF($P321="","",316)</f>
        <v/>
      </c>
      <c r="B321">
        <f>IF($P321="","",INDEX(명단표[이름],$P321))</f>
        <v/>
      </c>
      <c r="C321">
        <f>IF($P321="","",INDEX(명단표[사번],$P321)&amp;"")</f>
        <v/>
      </c>
      <c r="D321">
        <f>IF($P321="","",INDEX(명단표[전공의등록번호],$P321)&amp;"")</f>
        <v/>
      </c>
      <c r="E321">
        <f>IF($P321="","",INDEX(명단표[수련과목],$P321)&amp;"")</f>
        <v/>
      </c>
      <c r="F321">
        <f>IF($P321="","",INDEX(명단표[연차],$P321)&amp;"")</f>
        <v/>
      </c>
      <c r="G321">
        <f>IF($P321="","",INDEX(명단표[소속병원],$P321))</f>
        <v/>
      </c>
      <c r="H321">
        <f>IF($P321="","",IF(INDEX(명단표[소속병원],$P321)="서울병원","서울 소속","타 병원 소속("&amp;INDEX(명단표[소속병원],$P321)&amp;") → 서울 지급"))</f>
        <v/>
      </c>
      <c r="I321">
        <f>IF($P321="","",INDEX(명단표[현재 근무병원],$P321))</f>
        <v/>
      </c>
      <c r="J321">
        <f>IF($P321="","",INDEX(명단표[구리 근무 시작일(기준월)],$P321)&amp;"")</f>
        <v/>
      </c>
      <c r="K321">
        <f>IF($P321="","",INDEX(명단표[구리 근무 종료일(기준월)],$P321)&amp;"")</f>
        <v/>
      </c>
      <c r="L321">
        <f>IF($P321="","",INDEX(명단표[서울 근무일(기준월)],$P321))</f>
        <v/>
      </c>
      <c r="M321">
        <f>IF($P321="","",INDEX(명단표[구리 근무일(기준월)],$P321))</f>
        <v/>
      </c>
      <c r="N321">
        <f>IF($P321="","",INDEX(명단표[급여 판정 근거],$P321))</f>
        <v/>
      </c>
      <c r="O321">
        <f>IF($P321="","",INDEX(명단표[점검],$P321))</f>
        <v/>
      </c>
      <c r="P321" s="17">
        <f>IFERROR(MATCH(316,명단표[서울순번],0),"")</f>
        <v/>
      </c>
      <c r="R321">
        <f>IF($W321="","",INDEX(명단표[이름],$W321))</f>
        <v/>
      </c>
      <c r="S321">
        <f>IF($W321="","",INDEX(명단표[사번],$W321)&amp;"")</f>
        <v/>
      </c>
      <c r="T321">
        <f>IF($W321="","",INDEX(명단표[소속병원],$W321))</f>
        <v/>
      </c>
      <c r="U321">
        <f>IF($W321="","",INDEX(명단표[서울 근무일(기준월)],$W321))</f>
        <v/>
      </c>
      <c r="V321">
        <f>IF($W321="","",INDEX(명단표[구리 근무일(기준월)],$W321))</f>
        <v/>
      </c>
      <c r="W321" s="17">
        <f>IFERROR(MATCH(316,명단표[판정불가순번],0),"")</f>
        <v/>
      </c>
    </row>
    <row r="322">
      <c r="A322">
        <f>IF($P322="","",317)</f>
        <v/>
      </c>
      <c r="B322">
        <f>IF($P322="","",INDEX(명단표[이름],$P322))</f>
        <v/>
      </c>
      <c r="C322">
        <f>IF($P322="","",INDEX(명단표[사번],$P322)&amp;"")</f>
        <v/>
      </c>
      <c r="D322">
        <f>IF($P322="","",INDEX(명단표[전공의등록번호],$P322)&amp;"")</f>
        <v/>
      </c>
      <c r="E322">
        <f>IF($P322="","",INDEX(명단표[수련과목],$P322)&amp;"")</f>
        <v/>
      </c>
      <c r="F322">
        <f>IF($P322="","",INDEX(명단표[연차],$P322)&amp;"")</f>
        <v/>
      </c>
      <c r="G322">
        <f>IF($P322="","",INDEX(명단표[소속병원],$P322))</f>
        <v/>
      </c>
      <c r="H322">
        <f>IF($P322="","",IF(INDEX(명단표[소속병원],$P322)="서울병원","서울 소속","타 병원 소속("&amp;INDEX(명단표[소속병원],$P322)&amp;") → 서울 지급"))</f>
        <v/>
      </c>
      <c r="I322">
        <f>IF($P322="","",INDEX(명단표[현재 근무병원],$P322))</f>
        <v/>
      </c>
      <c r="J322">
        <f>IF($P322="","",INDEX(명단표[구리 근무 시작일(기준월)],$P322)&amp;"")</f>
        <v/>
      </c>
      <c r="K322">
        <f>IF($P322="","",INDEX(명단표[구리 근무 종료일(기준월)],$P322)&amp;"")</f>
        <v/>
      </c>
      <c r="L322">
        <f>IF($P322="","",INDEX(명단표[서울 근무일(기준월)],$P322))</f>
        <v/>
      </c>
      <c r="M322">
        <f>IF($P322="","",INDEX(명단표[구리 근무일(기준월)],$P322))</f>
        <v/>
      </c>
      <c r="N322">
        <f>IF($P322="","",INDEX(명단표[급여 판정 근거],$P322))</f>
        <v/>
      </c>
      <c r="O322">
        <f>IF($P322="","",INDEX(명단표[점검],$P322))</f>
        <v/>
      </c>
      <c r="P322" s="17">
        <f>IFERROR(MATCH(317,명단표[서울순번],0),"")</f>
        <v/>
      </c>
      <c r="R322">
        <f>IF($W322="","",INDEX(명단표[이름],$W322))</f>
        <v/>
      </c>
      <c r="S322">
        <f>IF($W322="","",INDEX(명단표[사번],$W322)&amp;"")</f>
        <v/>
      </c>
      <c r="T322">
        <f>IF($W322="","",INDEX(명단표[소속병원],$W322))</f>
        <v/>
      </c>
      <c r="U322">
        <f>IF($W322="","",INDEX(명단표[서울 근무일(기준월)],$W322))</f>
        <v/>
      </c>
      <c r="V322">
        <f>IF($W322="","",INDEX(명단표[구리 근무일(기준월)],$W322))</f>
        <v/>
      </c>
      <c r="W322" s="17">
        <f>IFERROR(MATCH(317,명단표[판정불가순번],0),"")</f>
        <v/>
      </c>
    </row>
    <row r="323">
      <c r="A323">
        <f>IF($P323="","",318)</f>
        <v/>
      </c>
      <c r="B323">
        <f>IF($P323="","",INDEX(명단표[이름],$P323))</f>
        <v/>
      </c>
      <c r="C323">
        <f>IF($P323="","",INDEX(명단표[사번],$P323)&amp;"")</f>
        <v/>
      </c>
      <c r="D323">
        <f>IF($P323="","",INDEX(명단표[전공의등록번호],$P323)&amp;"")</f>
        <v/>
      </c>
      <c r="E323">
        <f>IF($P323="","",INDEX(명단표[수련과목],$P323)&amp;"")</f>
        <v/>
      </c>
      <c r="F323">
        <f>IF($P323="","",INDEX(명단표[연차],$P323)&amp;"")</f>
        <v/>
      </c>
      <c r="G323">
        <f>IF($P323="","",INDEX(명단표[소속병원],$P323))</f>
        <v/>
      </c>
      <c r="H323">
        <f>IF($P323="","",IF(INDEX(명단표[소속병원],$P323)="서울병원","서울 소속","타 병원 소속("&amp;INDEX(명단표[소속병원],$P323)&amp;") → 서울 지급"))</f>
        <v/>
      </c>
      <c r="I323">
        <f>IF($P323="","",INDEX(명단표[현재 근무병원],$P323))</f>
        <v/>
      </c>
      <c r="J323">
        <f>IF($P323="","",INDEX(명단표[구리 근무 시작일(기준월)],$P323)&amp;"")</f>
        <v/>
      </c>
      <c r="K323">
        <f>IF($P323="","",INDEX(명단표[구리 근무 종료일(기준월)],$P323)&amp;"")</f>
        <v/>
      </c>
      <c r="L323">
        <f>IF($P323="","",INDEX(명단표[서울 근무일(기준월)],$P323))</f>
        <v/>
      </c>
      <c r="M323">
        <f>IF($P323="","",INDEX(명단표[구리 근무일(기준월)],$P323))</f>
        <v/>
      </c>
      <c r="N323">
        <f>IF($P323="","",INDEX(명단표[급여 판정 근거],$P323))</f>
        <v/>
      </c>
      <c r="O323">
        <f>IF($P323="","",INDEX(명단표[점검],$P323))</f>
        <v/>
      </c>
      <c r="P323" s="17">
        <f>IFERROR(MATCH(318,명단표[서울순번],0),"")</f>
        <v/>
      </c>
      <c r="R323">
        <f>IF($W323="","",INDEX(명단표[이름],$W323))</f>
        <v/>
      </c>
      <c r="S323">
        <f>IF($W323="","",INDEX(명단표[사번],$W323)&amp;"")</f>
        <v/>
      </c>
      <c r="T323">
        <f>IF($W323="","",INDEX(명단표[소속병원],$W323))</f>
        <v/>
      </c>
      <c r="U323">
        <f>IF($W323="","",INDEX(명단표[서울 근무일(기준월)],$W323))</f>
        <v/>
      </c>
      <c r="V323">
        <f>IF($W323="","",INDEX(명단표[구리 근무일(기준월)],$W323))</f>
        <v/>
      </c>
      <c r="W323" s="17">
        <f>IFERROR(MATCH(318,명단표[판정불가순번],0),"")</f>
        <v/>
      </c>
    </row>
    <row r="324">
      <c r="A324">
        <f>IF($P324="","",319)</f>
        <v/>
      </c>
      <c r="B324">
        <f>IF($P324="","",INDEX(명단표[이름],$P324))</f>
        <v/>
      </c>
      <c r="C324">
        <f>IF($P324="","",INDEX(명단표[사번],$P324)&amp;"")</f>
        <v/>
      </c>
      <c r="D324">
        <f>IF($P324="","",INDEX(명단표[전공의등록번호],$P324)&amp;"")</f>
        <v/>
      </c>
      <c r="E324">
        <f>IF($P324="","",INDEX(명단표[수련과목],$P324)&amp;"")</f>
        <v/>
      </c>
      <c r="F324">
        <f>IF($P324="","",INDEX(명단표[연차],$P324)&amp;"")</f>
        <v/>
      </c>
      <c r="G324">
        <f>IF($P324="","",INDEX(명단표[소속병원],$P324))</f>
        <v/>
      </c>
      <c r="H324">
        <f>IF($P324="","",IF(INDEX(명단표[소속병원],$P324)="서울병원","서울 소속","타 병원 소속("&amp;INDEX(명단표[소속병원],$P324)&amp;") → 서울 지급"))</f>
        <v/>
      </c>
      <c r="I324">
        <f>IF($P324="","",INDEX(명단표[현재 근무병원],$P324))</f>
        <v/>
      </c>
      <c r="J324">
        <f>IF($P324="","",INDEX(명단표[구리 근무 시작일(기준월)],$P324)&amp;"")</f>
        <v/>
      </c>
      <c r="K324">
        <f>IF($P324="","",INDEX(명단표[구리 근무 종료일(기준월)],$P324)&amp;"")</f>
        <v/>
      </c>
      <c r="L324">
        <f>IF($P324="","",INDEX(명단표[서울 근무일(기준월)],$P324))</f>
        <v/>
      </c>
      <c r="M324">
        <f>IF($P324="","",INDEX(명단표[구리 근무일(기준월)],$P324))</f>
        <v/>
      </c>
      <c r="N324">
        <f>IF($P324="","",INDEX(명단표[급여 판정 근거],$P324))</f>
        <v/>
      </c>
      <c r="O324">
        <f>IF($P324="","",INDEX(명단표[점검],$P324))</f>
        <v/>
      </c>
      <c r="P324" s="17">
        <f>IFERROR(MATCH(319,명단표[서울순번],0),"")</f>
        <v/>
      </c>
      <c r="R324">
        <f>IF($W324="","",INDEX(명단표[이름],$W324))</f>
        <v/>
      </c>
      <c r="S324">
        <f>IF($W324="","",INDEX(명단표[사번],$W324)&amp;"")</f>
        <v/>
      </c>
      <c r="T324">
        <f>IF($W324="","",INDEX(명단표[소속병원],$W324))</f>
        <v/>
      </c>
      <c r="U324">
        <f>IF($W324="","",INDEX(명단표[서울 근무일(기준월)],$W324))</f>
        <v/>
      </c>
      <c r="V324">
        <f>IF($W324="","",INDEX(명단표[구리 근무일(기준월)],$W324))</f>
        <v/>
      </c>
      <c r="W324" s="17">
        <f>IFERROR(MATCH(319,명단표[판정불가순번],0),"")</f>
        <v/>
      </c>
    </row>
    <row r="325">
      <c r="A325">
        <f>IF($P325="","",320)</f>
        <v/>
      </c>
      <c r="B325">
        <f>IF($P325="","",INDEX(명단표[이름],$P325))</f>
        <v/>
      </c>
      <c r="C325">
        <f>IF($P325="","",INDEX(명단표[사번],$P325)&amp;"")</f>
        <v/>
      </c>
      <c r="D325">
        <f>IF($P325="","",INDEX(명단표[전공의등록번호],$P325)&amp;"")</f>
        <v/>
      </c>
      <c r="E325">
        <f>IF($P325="","",INDEX(명단표[수련과목],$P325)&amp;"")</f>
        <v/>
      </c>
      <c r="F325">
        <f>IF($P325="","",INDEX(명단표[연차],$P325)&amp;"")</f>
        <v/>
      </c>
      <c r="G325">
        <f>IF($P325="","",INDEX(명단표[소속병원],$P325))</f>
        <v/>
      </c>
      <c r="H325">
        <f>IF($P325="","",IF(INDEX(명단표[소속병원],$P325)="서울병원","서울 소속","타 병원 소속("&amp;INDEX(명단표[소속병원],$P325)&amp;") → 서울 지급"))</f>
        <v/>
      </c>
      <c r="I325">
        <f>IF($P325="","",INDEX(명단표[현재 근무병원],$P325))</f>
        <v/>
      </c>
      <c r="J325">
        <f>IF($P325="","",INDEX(명단표[구리 근무 시작일(기준월)],$P325)&amp;"")</f>
        <v/>
      </c>
      <c r="K325">
        <f>IF($P325="","",INDEX(명단표[구리 근무 종료일(기준월)],$P325)&amp;"")</f>
        <v/>
      </c>
      <c r="L325">
        <f>IF($P325="","",INDEX(명단표[서울 근무일(기준월)],$P325))</f>
        <v/>
      </c>
      <c r="M325">
        <f>IF($P325="","",INDEX(명단표[구리 근무일(기준월)],$P325))</f>
        <v/>
      </c>
      <c r="N325">
        <f>IF($P325="","",INDEX(명단표[급여 판정 근거],$P325))</f>
        <v/>
      </c>
      <c r="O325">
        <f>IF($P325="","",INDEX(명단표[점검],$P325))</f>
        <v/>
      </c>
      <c r="P325" s="17">
        <f>IFERROR(MATCH(320,명단표[서울순번],0),"")</f>
        <v/>
      </c>
      <c r="R325">
        <f>IF($W325="","",INDEX(명단표[이름],$W325))</f>
        <v/>
      </c>
      <c r="S325">
        <f>IF($W325="","",INDEX(명단표[사번],$W325)&amp;"")</f>
        <v/>
      </c>
      <c r="T325">
        <f>IF($W325="","",INDEX(명단표[소속병원],$W325))</f>
        <v/>
      </c>
      <c r="U325">
        <f>IF($W325="","",INDEX(명단표[서울 근무일(기준월)],$W325))</f>
        <v/>
      </c>
      <c r="V325">
        <f>IF($W325="","",INDEX(명단표[구리 근무일(기준월)],$W325))</f>
        <v/>
      </c>
      <c r="W325" s="17">
        <f>IFERROR(MATCH(320,명단표[판정불가순번],0),"")</f>
        <v/>
      </c>
    </row>
    <row r="326">
      <c r="A326">
        <f>IF($P326="","",321)</f>
        <v/>
      </c>
      <c r="B326">
        <f>IF($P326="","",INDEX(명단표[이름],$P326))</f>
        <v/>
      </c>
      <c r="C326">
        <f>IF($P326="","",INDEX(명단표[사번],$P326)&amp;"")</f>
        <v/>
      </c>
      <c r="D326">
        <f>IF($P326="","",INDEX(명단표[전공의등록번호],$P326)&amp;"")</f>
        <v/>
      </c>
      <c r="E326">
        <f>IF($P326="","",INDEX(명단표[수련과목],$P326)&amp;"")</f>
        <v/>
      </c>
      <c r="F326">
        <f>IF($P326="","",INDEX(명단표[연차],$P326)&amp;"")</f>
        <v/>
      </c>
      <c r="G326">
        <f>IF($P326="","",INDEX(명단표[소속병원],$P326))</f>
        <v/>
      </c>
      <c r="H326">
        <f>IF($P326="","",IF(INDEX(명단표[소속병원],$P326)="서울병원","서울 소속","타 병원 소속("&amp;INDEX(명단표[소속병원],$P326)&amp;") → 서울 지급"))</f>
        <v/>
      </c>
      <c r="I326">
        <f>IF($P326="","",INDEX(명단표[현재 근무병원],$P326))</f>
        <v/>
      </c>
      <c r="J326">
        <f>IF($P326="","",INDEX(명단표[구리 근무 시작일(기준월)],$P326)&amp;"")</f>
        <v/>
      </c>
      <c r="K326">
        <f>IF($P326="","",INDEX(명단표[구리 근무 종료일(기준월)],$P326)&amp;"")</f>
        <v/>
      </c>
      <c r="L326">
        <f>IF($P326="","",INDEX(명단표[서울 근무일(기준월)],$P326))</f>
        <v/>
      </c>
      <c r="M326">
        <f>IF($P326="","",INDEX(명단표[구리 근무일(기준월)],$P326))</f>
        <v/>
      </c>
      <c r="N326">
        <f>IF($P326="","",INDEX(명단표[급여 판정 근거],$P326))</f>
        <v/>
      </c>
      <c r="O326">
        <f>IF($P326="","",INDEX(명단표[점검],$P326))</f>
        <v/>
      </c>
      <c r="P326" s="17">
        <f>IFERROR(MATCH(321,명단표[서울순번],0),"")</f>
        <v/>
      </c>
      <c r="R326">
        <f>IF($W326="","",INDEX(명단표[이름],$W326))</f>
        <v/>
      </c>
      <c r="S326">
        <f>IF($W326="","",INDEX(명단표[사번],$W326)&amp;"")</f>
        <v/>
      </c>
      <c r="T326">
        <f>IF($W326="","",INDEX(명단표[소속병원],$W326))</f>
        <v/>
      </c>
      <c r="U326">
        <f>IF($W326="","",INDEX(명단표[서울 근무일(기준월)],$W326))</f>
        <v/>
      </c>
      <c r="V326">
        <f>IF($W326="","",INDEX(명단표[구리 근무일(기준월)],$W326))</f>
        <v/>
      </c>
      <c r="W326" s="17">
        <f>IFERROR(MATCH(321,명단표[판정불가순번],0),"")</f>
        <v/>
      </c>
    </row>
    <row r="327">
      <c r="A327">
        <f>IF($P327="","",322)</f>
        <v/>
      </c>
      <c r="B327">
        <f>IF($P327="","",INDEX(명단표[이름],$P327))</f>
        <v/>
      </c>
      <c r="C327">
        <f>IF($P327="","",INDEX(명단표[사번],$P327)&amp;"")</f>
        <v/>
      </c>
      <c r="D327">
        <f>IF($P327="","",INDEX(명단표[전공의등록번호],$P327)&amp;"")</f>
        <v/>
      </c>
      <c r="E327">
        <f>IF($P327="","",INDEX(명단표[수련과목],$P327)&amp;"")</f>
        <v/>
      </c>
      <c r="F327">
        <f>IF($P327="","",INDEX(명단표[연차],$P327)&amp;"")</f>
        <v/>
      </c>
      <c r="G327">
        <f>IF($P327="","",INDEX(명단표[소속병원],$P327))</f>
        <v/>
      </c>
      <c r="H327">
        <f>IF($P327="","",IF(INDEX(명단표[소속병원],$P327)="서울병원","서울 소속","타 병원 소속("&amp;INDEX(명단표[소속병원],$P327)&amp;") → 서울 지급"))</f>
        <v/>
      </c>
      <c r="I327">
        <f>IF($P327="","",INDEX(명단표[현재 근무병원],$P327))</f>
        <v/>
      </c>
      <c r="J327">
        <f>IF($P327="","",INDEX(명단표[구리 근무 시작일(기준월)],$P327)&amp;"")</f>
        <v/>
      </c>
      <c r="K327">
        <f>IF($P327="","",INDEX(명단표[구리 근무 종료일(기준월)],$P327)&amp;"")</f>
        <v/>
      </c>
      <c r="L327">
        <f>IF($P327="","",INDEX(명단표[서울 근무일(기준월)],$P327))</f>
        <v/>
      </c>
      <c r="M327">
        <f>IF($P327="","",INDEX(명단표[구리 근무일(기준월)],$P327))</f>
        <v/>
      </c>
      <c r="N327">
        <f>IF($P327="","",INDEX(명단표[급여 판정 근거],$P327))</f>
        <v/>
      </c>
      <c r="O327">
        <f>IF($P327="","",INDEX(명단표[점검],$P327))</f>
        <v/>
      </c>
      <c r="P327" s="17">
        <f>IFERROR(MATCH(322,명단표[서울순번],0),"")</f>
        <v/>
      </c>
      <c r="R327">
        <f>IF($W327="","",INDEX(명단표[이름],$W327))</f>
        <v/>
      </c>
      <c r="S327">
        <f>IF($W327="","",INDEX(명단표[사번],$W327)&amp;"")</f>
        <v/>
      </c>
      <c r="T327">
        <f>IF($W327="","",INDEX(명단표[소속병원],$W327))</f>
        <v/>
      </c>
      <c r="U327">
        <f>IF($W327="","",INDEX(명단표[서울 근무일(기준월)],$W327))</f>
        <v/>
      </c>
      <c r="V327">
        <f>IF($W327="","",INDEX(명단표[구리 근무일(기준월)],$W327))</f>
        <v/>
      </c>
      <c r="W327" s="17">
        <f>IFERROR(MATCH(322,명단표[판정불가순번],0),"")</f>
        <v/>
      </c>
    </row>
    <row r="328">
      <c r="A328">
        <f>IF($P328="","",323)</f>
        <v/>
      </c>
      <c r="B328">
        <f>IF($P328="","",INDEX(명단표[이름],$P328))</f>
        <v/>
      </c>
      <c r="C328">
        <f>IF($P328="","",INDEX(명단표[사번],$P328)&amp;"")</f>
        <v/>
      </c>
      <c r="D328">
        <f>IF($P328="","",INDEX(명단표[전공의등록번호],$P328)&amp;"")</f>
        <v/>
      </c>
      <c r="E328">
        <f>IF($P328="","",INDEX(명단표[수련과목],$P328)&amp;"")</f>
        <v/>
      </c>
      <c r="F328">
        <f>IF($P328="","",INDEX(명단표[연차],$P328)&amp;"")</f>
        <v/>
      </c>
      <c r="G328">
        <f>IF($P328="","",INDEX(명단표[소속병원],$P328))</f>
        <v/>
      </c>
      <c r="H328">
        <f>IF($P328="","",IF(INDEX(명단표[소속병원],$P328)="서울병원","서울 소속","타 병원 소속("&amp;INDEX(명단표[소속병원],$P328)&amp;") → 서울 지급"))</f>
        <v/>
      </c>
      <c r="I328">
        <f>IF($P328="","",INDEX(명단표[현재 근무병원],$P328))</f>
        <v/>
      </c>
      <c r="J328">
        <f>IF($P328="","",INDEX(명단표[구리 근무 시작일(기준월)],$P328)&amp;"")</f>
        <v/>
      </c>
      <c r="K328">
        <f>IF($P328="","",INDEX(명단표[구리 근무 종료일(기준월)],$P328)&amp;"")</f>
        <v/>
      </c>
      <c r="L328">
        <f>IF($P328="","",INDEX(명단표[서울 근무일(기준월)],$P328))</f>
        <v/>
      </c>
      <c r="M328">
        <f>IF($P328="","",INDEX(명단표[구리 근무일(기준월)],$P328))</f>
        <v/>
      </c>
      <c r="N328">
        <f>IF($P328="","",INDEX(명단표[급여 판정 근거],$P328))</f>
        <v/>
      </c>
      <c r="O328">
        <f>IF($P328="","",INDEX(명단표[점검],$P328))</f>
        <v/>
      </c>
      <c r="P328" s="17">
        <f>IFERROR(MATCH(323,명단표[서울순번],0),"")</f>
        <v/>
      </c>
      <c r="R328">
        <f>IF($W328="","",INDEX(명단표[이름],$W328))</f>
        <v/>
      </c>
      <c r="S328">
        <f>IF($W328="","",INDEX(명단표[사번],$W328)&amp;"")</f>
        <v/>
      </c>
      <c r="T328">
        <f>IF($W328="","",INDEX(명단표[소속병원],$W328))</f>
        <v/>
      </c>
      <c r="U328">
        <f>IF($W328="","",INDEX(명단표[서울 근무일(기준월)],$W328))</f>
        <v/>
      </c>
      <c r="V328">
        <f>IF($W328="","",INDEX(명단표[구리 근무일(기준월)],$W328))</f>
        <v/>
      </c>
      <c r="W328" s="17">
        <f>IFERROR(MATCH(323,명단표[판정불가순번],0),"")</f>
        <v/>
      </c>
    </row>
    <row r="329">
      <c r="A329">
        <f>IF($P329="","",324)</f>
        <v/>
      </c>
      <c r="B329">
        <f>IF($P329="","",INDEX(명단표[이름],$P329))</f>
        <v/>
      </c>
      <c r="C329">
        <f>IF($P329="","",INDEX(명단표[사번],$P329)&amp;"")</f>
        <v/>
      </c>
      <c r="D329">
        <f>IF($P329="","",INDEX(명단표[전공의등록번호],$P329)&amp;"")</f>
        <v/>
      </c>
      <c r="E329">
        <f>IF($P329="","",INDEX(명단표[수련과목],$P329)&amp;"")</f>
        <v/>
      </c>
      <c r="F329">
        <f>IF($P329="","",INDEX(명단표[연차],$P329)&amp;"")</f>
        <v/>
      </c>
      <c r="G329">
        <f>IF($P329="","",INDEX(명단표[소속병원],$P329))</f>
        <v/>
      </c>
      <c r="H329">
        <f>IF($P329="","",IF(INDEX(명단표[소속병원],$P329)="서울병원","서울 소속","타 병원 소속("&amp;INDEX(명단표[소속병원],$P329)&amp;") → 서울 지급"))</f>
        <v/>
      </c>
      <c r="I329">
        <f>IF($P329="","",INDEX(명단표[현재 근무병원],$P329))</f>
        <v/>
      </c>
      <c r="J329">
        <f>IF($P329="","",INDEX(명단표[구리 근무 시작일(기준월)],$P329)&amp;"")</f>
        <v/>
      </c>
      <c r="K329">
        <f>IF($P329="","",INDEX(명단표[구리 근무 종료일(기준월)],$P329)&amp;"")</f>
        <v/>
      </c>
      <c r="L329">
        <f>IF($P329="","",INDEX(명단표[서울 근무일(기준월)],$P329))</f>
        <v/>
      </c>
      <c r="M329">
        <f>IF($P329="","",INDEX(명단표[구리 근무일(기준월)],$P329))</f>
        <v/>
      </c>
      <c r="N329">
        <f>IF($P329="","",INDEX(명단표[급여 판정 근거],$P329))</f>
        <v/>
      </c>
      <c r="O329">
        <f>IF($P329="","",INDEX(명단표[점검],$P329))</f>
        <v/>
      </c>
      <c r="P329" s="17">
        <f>IFERROR(MATCH(324,명단표[서울순번],0),"")</f>
        <v/>
      </c>
      <c r="R329">
        <f>IF($W329="","",INDEX(명단표[이름],$W329))</f>
        <v/>
      </c>
      <c r="S329">
        <f>IF($W329="","",INDEX(명단표[사번],$W329)&amp;"")</f>
        <v/>
      </c>
      <c r="T329">
        <f>IF($W329="","",INDEX(명단표[소속병원],$W329))</f>
        <v/>
      </c>
      <c r="U329">
        <f>IF($W329="","",INDEX(명단표[서울 근무일(기준월)],$W329))</f>
        <v/>
      </c>
      <c r="V329">
        <f>IF($W329="","",INDEX(명단표[구리 근무일(기준월)],$W329))</f>
        <v/>
      </c>
      <c r="W329" s="17">
        <f>IFERROR(MATCH(324,명단표[판정불가순번],0),"")</f>
        <v/>
      </c>
    </row>
    <row r="330">
      <c r="A330">
        <f>IF($P330="","",325)</f>
        <v/>
      </c>
      <c r="B330">
        <f>IF($P330="","",INDEX(명단표[이름],$P330))</f>
        <v/>
      </c>
      <c r="C330">
        <f>IF($P330="","",INDEX(명단표[사번],$P330)&amp;"")</f>
        <v/>
      </c>
      <c r="D330">
        <f>IF($P330="","",INDEX(명단표[전공의등록번호],$P330)&amp;"")</f>
        <v/>
      </c>
      <c r="E330">
        <f>IF($P330="","",INDEX(명단표[수련과목],$P330)&amp;"")</f>
        <v/>
      </c>
      <c r="F330">
        <f>IF($P330="","",INDEX(명단표[연차],$P330)&amp;"")</f>
        <v/>
      </c>
      <c r="G330">
        <f>IF($P330="","",INDEX(명단표[소속병원],$P330))</f>
        <v/>
      </c>
      <c r="H330">
        <f>IF($P330="","",IF(INDEX(명단표[소속병원],$P330)="서울병원","서울 소속","타 병원 소속("&amp;INDEX(명단표[소속병원],$P330)&amp;") → 서울 지급"))</f>
        <v/>
      </c>
      <c r="I330">
        <f>IF($P330="","",INDEX(명단표[현재 근무병원],$P330))</f>
        <v/>
      </c>
      <c r="J330">
        <f>IF($P330="","",INDEX(명단표[구리 근무 시작일(기준월)],$P330)&amp;"")</f>
        <v/>
      </c>
      <c r="K330">
        <f>IF($P330="","",INDEX(명단표[구리 근무 종료일(기준월)],$P330)&amp;"")</f>
        <v/>
      </c>
      <c r="L330">
        <f>IF($P330="","",INDEX(명단표[서울 근무일(기준월)],$P330))</f>
        <v/>
      </c>
      <c r="M330">
        <f>IF($P330="","",INDEX(명단표[구리 근무일(기준월)],$P330))</f>
        <v/>
      </c>
      <c r="N330">
        <f>IF($P330="","",INDEX(명단표[급여 판정 근거],$P330))</f>
        <v/>
      </c>
      <c r="O330">
        <f>IF($P330="","",INDEX(명단표[점검],$P330))</f>
        <v/>
      </c>
      <c r="P330" s="17">
        <f>IFERROR(MATCH(325,명단표[서울순번],0),"")</f>
        <v/>
      </c>
      <c r="R330">
        <f>IF($W330="","",INDEX(명단표[이름],$W330))</f>
        <v/>
      </c>
      <c r="S330">
        <f>IF($W330="","",INDEX(명단표[사번],$W330)&amp;"")</f>
        <v/>
      </c>
      <c r="T330">
        <f>IF($W330="","",INDEX(명단표[소속병원],$W330))</f>
        <v/>
      </c>
      <c r="U330">
        <f>IF($W330="","",INDEX(명단표[서울 근무일(기준월)],$W330))</f>
        <v/>
      </c>
      <c r="V330">
        <f>IF($W330="","",INDEX(명단표[구리 근무일(기준월)],$W330))</f>
        <v/>
      </c>
      <c r="W330" s="17">
        <f>IFERROR(MATCH(325,명단표[판정불가순번],0),"")</f>
        <v/>
      </c>
    </row>
    <row r="331">
      <c r="A331">
        <f>IF($P331="","",326)</f>
        <v/>
      </c>
      <c r="B331">
        <f>IF($P331="","",INDEX(명단표[이름],$P331))</f>
        <v/>
      </c>
      <c r="C331">
        <f>IF($P331="","",INDEX(명단표[사번],$P331)&amp;"")</f>
        <v/>
      </c>
      <c r="D331">
        <f>IF($P331="","",INDEX(명단표[전공의등록번호],$P331)&amp;"")</f>
        <v/>
      </c>
      <c r="E331">
        <f>IF($P331="","",INDEX(명단표[수련과목],$P331)&amp;"")</f>
        <v/>
      </c>
      <c r="F331">
        <f>IF($P331="","",INDEX(명단표[연차],$P331)&amp;"")</f>
        <v/>
      </c>
      <c r="G331">
        <f>IF($P331="","",INDEX(명단표[소속병원],$P331))</f>
        <v/>
      </c>
      <c r="H331">
        <f>IF($P331="","",IF(INDEX(명단표[소속병원],$P331)="서울병원","서울 소속","타 병원 소속("&amp;INDEX(명단표[소속병원],$P331)&amp;") → 서울 지급"))</f>
        <v/>
      </c>
      <c r="I331">
        <f>IF($P331="","",INDEX(명단표[현재 근무병원],$P331))</f>
        <v/>
      </c>
      <c r="J331">
        <f>IF($P331="","",INDEX(명단표[구리 근무 시작일(기준월)],$P331)&amp;"")</f>
        <v/>
      </c>
      <c r="K331">
        <f>IF($P331="","",INDEX(명단표[구리 근무 종료일(기준월)],$P331)&amp;"")</f>
        <v/>
      </c>
      <c r="L331">
        <f>IF($P331="","",INDEX(명단표[서울 근무일(기준월)],$P331))</f>
        <v/>
      </c>
      <c r="M331">
        <f>IF($P331="","",INDEX(명단표[구리 근무일(기준월)],$P331))</f>
        <v/>
      </c>
      <c r="N331">
        <f>IF($P331="","",INDEX(명단표[급여 판정 근거],$P331))</f>
        <v/>
      </c>
      <c r="O331">
        <f>IF($P331="","",INDEX(명단표[점검],$P331))</f>
        <v/>
      </c>
      <c r="P331" s="17">
        <f>IFERROR(MATCH(326,명단표[서울순번],0),"")</f>
        <v/>
      </c>
      <c r="R331">
        <f>IF($W331="","",INDEX(명단표[이름],$W331))</f>
        <v/>
      </c>
      <c r="S331">
        <f>IF($W331="","",INDEX(명단표[사번],$W331)&amp;"")</f>
        <v/>
      </c>
      <c r="T331">
        <f>IF($W331="","",INDEX(명단표[소속병원],$W331))</f>
        <v/>
      </c>
      <c r="U331">
        <f>IF($W331="","",INDEX(명단표[서울 근무일(기준월)],$W331))</f>
        <v/>
      </c>
      <c r="V331">
        <f>IF($W331="","",INDEX(명단표[구리 근무일(기준월)],$W331))</f>
        <v/>
      </c>
      <c r="W331" s="17">
        <f>IFERROR(MATCH(326,명단표[판정불가순번],0),"")</f>
        <v/>
      </c>
    </row>
    <row r="332">
      <c r="A332">
        <f>IF($P332="","",327)</f>
        <v/>
      </c>
      <c r="B332">
        <f>IF($P332="","",INDEX(명단표[이름],$P332))</f>
        <v/>
      </c>
      <c r="C332">
        <f>IF($P332="","",INDEX(명단표[사번],$P332)&amp;"")</f>
        <v/>
      </c>
      <c r="D332">
        <f>IF($P332="","",INDEX(명단표[전공의등록번호],$P332)&amp;"")</f>
        <v/>
      </c>
      <c r="E332">
        <f>IF($P332="","",INDEX(명단표[수련과목],$P332)&amp;"")</f>
        <v/>
      </c>
      <c r="F332">
        <f>IF($P332="","",INDEX(명단표[연차],$P332)&amp;"")</f>
        <v/>
      </c>
      <c r="G332">
        <f>IF($P332="","",INDEX(명단표[소속병원],$P332))</f>
        <v/>
      </c>
      <c r="H332">
        <f>IF($P332="","",IF(INDEX(명단표[소속병원],$P332)="서울병원","서울 소속","타 병원 소속("&amp;INDEX(명단표[소속병원],$P332)&amp;") → 서울 지급"))</f>
        <v/>
      </c>
      <c r="I332">
        <f>IF($P332="","",INDEX(명단표[현재 근무병원],$P332))</f>
        <v/>
      </c>
      <c r="J332">
        <f>IF($P332="","",INDEX(명단표[구리 근무 시작일(기준월)],$P332)&amp;"")</f>
        <v/>
      </c>
      <c r="K332">
        <f>IF($P332="","",INDEX(명단표[구리 근무 종료일(기준월)],$P332)&amp;"")</f>
        <v/>
      </c>
      <c r="L332">
        <f>IF($P332="","",INDEX(명단표[서울 근무일(기준월)],$P332))</f>
        <v/>
      </c>
      <c r="M332">
        <f>IF($P332="","",INDEX(명단표[구리 근무일(기준월)],$P332))</f>
        <v/>
      </c>
      <c r="N332">
        <f>IF($P332="","",INDEX(명단표[급여 판정 근거],$P332))</f>
        <v/>
      </c>
      <c r="O332">
        <f>IF($P332="","",INDEX(명단표[점검],$P332))</f>
        <v/>
      </c>
      <c r="P332" s="17">
        <f>IFERROR(MATCH(327,명단표[서울순번],0),"")</f>
        <v/>
      </c>
      <c r="R332">
        <f>IF($W332="","",INDEX(명단표[이름],$W332))</f>
        <v/>
      </c>
      <c r="S332">
        <f>IF($W332="","",INDEX(명단표[사번],$W332)&amp;"")</f>
        <v/>
      </c>
      <c r="T332">
        <f>IF($W332="","",INDEX(명단표[소속병원],$W332))</f>
        <v/>
      </c>
      <c r="U332">
        <f>IF($W332="","",INDEX(명단표[서울 근무일(기준월)],$W332))</f>
        <v/>
      </c>
      <c r="V332">
        <f>IF($W332="","",INDEX(명단표[구리 근무일(기준월)],$W332))</f>
        <v/>
      </c>
      <c r="W332" s="17">
        <f>IFERROR(MATCH(327,명단표[판정불가순번],0),"")</f>
        <v/>
      </c>
    </row>
    <row r="333">
      <c r="A333">
        <f>IF($P333="","",328)</f>
        <v/>
      </c>
      <c r="B333">
        <f>IF($P333="","",INDEX(명단표[이름],$P333))</f>
        <v/>
      </c>
      <c r="C333">
        <f>IF($P333="","",INDEX(명단표[사번],$P333)&amp;"")</f>
        <v/>
      </c>
      <c r="D333">
        <f>IF($P333="","",INDEX(명단표[전공의등록번호],$P333)&amp;"")</f>
        <v/>
      </c>
      <c r="E333">
        <f>IF($P333="","",INDEX(명단표[수련과목],$P333)&amp;"")</f>
        <v/>
      </c>
      <c r="F333">
        <f>IF($P333="","",INDEX(명단표[연차],$P333)&amp;"")</f>
        <v/>
      </c>
      <c r="G333">
        <f>IF($P333="","",INDEX(명단표[소속병원],$P333))</f>
        <v/>
      </c>
      <c r="H333">
        <f>IF($P333="","",IF(INDEX(명단표[소속병원],$P333)="서울병원","서울 소속","타 병원 소속("&amp;INDEX(명단표[소속병원],$P333)&amp;") → 서울 지급"))</f>
        <v/>
      </c>
      <c r="I333">
        <f>IF($P333="","",INDEX(명단표[현재 근무병원],$P333))</f>
        <v/>
      </c>
      <c r="J333">
        <f>IF($P333="","",INDEX(명단표[구리 근무 시작일(기준월)],$P333)&amp;"")</f>
        <v/>
      </c>
      <c r="K333">
        <f>IF($P333="","",INDEX(명단표[구리 근무 종료일(기준월)],$P333)&amp;"")</f>
        <v/>
      </c>
      <c r="L333">
        <f>IF($P333="","",INDEX(명단표[서울 근무일(기준월)],$P333))</f>
        <v/>
      </c>
      <c r="M333">
        <f>IF($P333="","",INDEX(명단표[구리 근무일(기준월)],$P333))</f>
        <v/>
      </c>
      <c r="N333">
        <f>IF($P333="","",INDEX(명단표[급여 판정 근거],$P333))</f>
        <v/>
      </c>
      <c r="O333">
        <f>IF($P333="","",INDEX(명단표[점검],$P333))</f>
        <v/>
      </c>
      <c r="P333" s="17">
        <f>IFERROR(MATCH(328,명단표[서울순번],0),"")</f>
        <v/>
      </c>
      <c r="R333">
        <f>IF($W333="","",INDEX(명단표[이름],$W333))</f>
        <v/>
      </c>
      <c r="S333">
        <f>IF($W333="","",INDEX(명단표[사번],$W333)&amp;"")</f>
        <v/>
      </c>
      <c r="T333">
        <f>IF($W333="","",INDEX(명단표[소속병원],$W333))</f>
        <v/>
      </c>
      <c r="U333">
        <f>IF($W333="","",INDEX(명단표[서울 근무일(기준월)],$W333))</f>
        <v/>
      </c>
      <c r="V333">
        <f>IF($W333="","",INDEX(명단표[구리 근무일(기준월)],$W333))</f>
        <v/>
      </c>
      <c r="W333" s="17">
        <f>IFERROR(MATCH(328,명단표[판정불가순번],0),"")</f>
        <v/>
      </c>
    </row>
    <row r="334">
      <c r="A334">
        <f>IF($P334="","",329)</f>
        <v/>
      </c>
      <c r="B334">
        <f>IF($P334="","",INDEX(명단표[이름],$P334))</f>
        <v/>
      </c>
      <c r="C334">
        <f>IF($P334="","",INDEX(명단표[사번],$P334)&amp;"")</f>
        <v/>
      </c>
      <c r="D334">
        <f>IF($P334="","",INDEX(명단표[전공의등록번호],$P334)&amp;"")</f>
        <v/>
      </c>
      <c r="E334">
        <f>IF($P334="","",INDEX(명단표[수련과목],$P334)&amp;"")</f>
        <v/>
      </c>
      <c r="F334">
        <f>IF($P334="","",INDEX(명단표[연차],$P334)&amp;"")</f>
        <v/>
      </c>
      <c r="G334">
        <f>IF($P334="","",INDEX(명단표[소속병원],$P334))</f>
        <v/>
      </c>
      <c r="H334">
        <f>IF($P334="","",IF(INDEX(명단표[소속병원],$P334)="서울병원","서울 소속","타 병원 소속("&amp;INDEX(명단표[소속병원],$P334)&amp;") → 서울 지급"))</f>
        <v/>
      </c>
      <c r="I334">
        <f>IF($P334="","",INDEX(명단표[현재 근무병원],$P334))</f>
        <v/>
      </c>
      <c r="J334">
        <f>IF($P334="","",INDEX(명단표[구리 근무 시작일(기준월)],$P334)&amp;"")</f>
        <v/>
      </c>
      <c r="K334">
        <f>IF($P334="","",INDEX(명단표[구리 근무 종료일(기준월)],$P334)&amp;"")</f>
        <v/>
      </c>
      <c r="L334">
        <f>IF($P334="","",INDEX(명단표[서울 근무일(기준월)],$P334))</f>
        <v/>
      </c>
      <c r="M334">
        <f>IF($P334="","",INDEX(명단표[구리 근무일(기준월)],$P334))</f>
        <v/>
      </c>
      <c r="N334">
        <f>IF($P334="","",INDEX(명단표[급여 판정 근거],$P334))</f>
        <v/>
      </c>
      <c r="O334">
        <f>IF($P334="","",INDEX(명단표[점검],$P334))</f>
        <v/>
      </c>
      <c r="P334" s="17">
        <f>IFERROR(MATCH(329,명단표[서울순번],0),"")</f>
        <v/>
      </c>
      <c r="R334">
        <f>IF($W334="","",INDEX(명단표[이름],$W334))</f>
        <v/>
      </c>
      <c r="S334">
        <f>IF($W334="","",INDEX(명단표[사번],$W334)&amp;"")</f>
        <v/>
      </c>
      <c r="T334">
        <f>IF($W334="","",INDEX(명단표[소속병원],$W334))</f>
        <v/>
      </c>
      <c r="U334">
        <f>IF($W334="","",INDEX(명단표[서울 근무일(기준월)],$W334))</f>
        <v/>
      </c>
      <c r="V334">
        <f>IF($W334="","",INDEX(명단표[구리 근무일(기준월)],$W334))</f>
        <v/>
      </c>
      <c r="W334" s="17">
        <f>IFERROR(MATCH(329,명단표[판정불가순번],0),"")</f>
        <v/>
      </c>
    </row>
    <row r="335">
      <c r="A335">
        <f>IF($P335="","",330)</f>
        <v/>
      </c>
      <c r="B335">
        <f>IF($P335="","",INDEX(명단표[이름],$P335))</f>
        <v/>
      </c>
      <c r="C335">
        <f>IF($P335="","",INDEX(명단표[사번],$P335)&amp;"")</f>
        <v/>
      </c>
      <c r="D335">
        <f>IF($P335="","",INDEX(명단표[전공의등록번호],$P335)&amp;"")</f>
        <v/>
      </c>
      <c r="E335">
        <f>IF($P335="","",INDEX(명단표[수련과목],$P335)&amp;"")</f>
        <v/>
      </c>
      <c r="F335">
        <f>IF($P335="","",INDEX(명단표[연차],$P335)&amp;"")</f>
        <v/>
      </c>
      <c r="G335">
        <f>IF($P335="","",INDEX(명단표[소속병원],$P335))</f>
        <v/>
      </c>
      <c r="H335">
        <f>IF($P335="","",IF(INDEX(명단표[소속병원],$P335)="서울병원","서울 소속","타 병원 소속("&amp;INDEX(명단표[소속병원],$P335)&amp;") → 서울 지급"))</f>
        <v/>
      </c>
      <c r="I335">
        <f>IF($P335="","",INDEX(명단표[현재 근무병원],$P335))</f>
        <v/>
      </c>
      <c r="J335">
        <f>IF($P335="","",INDEX(명단표[구리 근무 시작일(기준월)],$P335)&amp;"")</f>
        <v/>
      </c>
      <c r="K335">
        <f>IF($P335="","",INDEX(명단표[구리 근무 종료일(기준월)],$P335)&amp;"")</f>
        <v/>
      </c>
      <c r="L335">
        <f>IF($P335="","",INDEX(명단표[서울 근무일(기준월)],$P335))</f>
        <v/>
      </c>
      <c r="M335">
        <f>IF($P335="","",INDEX(명단표[구리 근무일(기준월)],$P335))</f>
        <v/>
      </c>
      <c r="N335">
        <f>IF($P335="","",INDEX(명단표[급여 판정 근거],$P335))</f>
        <v/>
      </c>
      <c r="O335">
        <f>IF($P335="","",INDEX(명단표[점검],$P335))</f>
        <v/>
      </c>
      <c r="P335" s="17">
        <f>IFERROR(MATCH(330,명단표[서울순번],0),"")</f>
        <v/>
      </c>
      <c r="R335">
        <f>IF($W335="","",INDEX(명단표[이름],$W335))</f>
        <v/>
      </c>
      <c r="S335">
        <f>IF($W335="","",INDEX(명단표[사번],$W335)&amp;"")</f>
        <v/>
      </c>
      <c r="T335">
        <f>IF($W335="","",INDEX(명단표[소속병원],$W335))</f>
        <v/>
      </c>
      <c r="U335">
        <f>IF($W335="","",INDEX(명단표[서울 근무일(기준월)],$W335))</f>
        <v/>
      </c>
      <c r="V335">
        <f>IF($W335="","",INDEX(명단표[구리 근무일(기준월)],$W335))</f>
        <v/>
      </c>
      <c r="W335" s="17">
        <f>IFERROR(MATCH(330,명단표[판정불가순번],0),"")</f>
        <v/>
      </c>
    </row>
    <row r="336">
      <c r="A336">
        <f>IF($P336="","",331)</f>
        <v/>
      </c>
      <c r="B336">
        <f>IF($P336="","",INDEX(명단표[이름],$P336))</f>
        <v/>
      </c>
      <c r="C336">
        <f>IF($P336="","",INDEX(명단표[사번],$P336)&amp;"")</f>
        <v/>
      </c>
      <c r="D336">
        <f>IF($P336="","",INDEX(명단표[전공의등록번호],$P336)&amp;"")</f>
        <v/>
      </c>
      <c r="E336">
        <f>IF($P336="","",INDEX(명단표[수련과목],$P336)&amp;"")</f>
        <v/>
      </c>
      <c r="F336">
        <f>IF($P336="","",INDEX(명단표[연차],$P336)&amp;"")</f>
        <v/>
      </c>
      <c r="G336">
        <f>IF($P336="","",INDEX(명단표[소속병원],$P336))</f>
        <v/>
      </c>
      <c r="H336">
        <f>IF($P336="","",IF(INDEX(명단표[소속병원],$P336)="서울병원","서울 소속","타 병원 소속("&amp;INDEX(명단표[소속병원],$P336)&amp;") → 서울 지급"))</f>
        <v/>
      </c>
      <c r="I336">
        <f>IF($P336="","",INDEX(명단표[현재 근무병원],$P336))</f>
        <v/>
      </c>
      <c r="J336">
        <f>IF($P336="","",INDEX(명단표[구리 근무 시작일(기준월)],$P336)&amp;"")</f>
        <v/>
      </c>
      <c r="K336">
        <f>IF($P336="","",INDEX(명단표[구리 근무 종료일(기준월)],$P336)&amp;"")</f>
        <v/>
      </c>
      <c r="L336">
        <f>IF($P336="","",INDEX(명단표[서울 근무일(기준월)],$P336))</f>
        <v/>
      </c>
      <c r="M336">
        <f>IF($P336="","",INDEX(명단표[구리 근무일(기준월)],$P336))</f>
        <v/>
      </c>
      <c r="N336">
        <f>IF($P336="","",INDEX(명단표[급여 판정 근거],$P336))</f>
        <v/>
      </c>
      <c r="O336">
        <f>IF($P336="","",INDEX(명단표[점검],$P336))</f>
        <v/>
      </c>
      <c r="P336" s="17">
        <f>IFERROR(MATCH(331,명단표[서울순번],0),"")</f>
        <v/>
      </c>
      <c r="R336">
        <f>IF($W336="","",INDEX(명단표[이름],$W336))</f>
        <v/>
      </c>
      <c r="S336">
        <f>IF($W336="","",INDEX(명단표[사번],$W336)&amp;"")</f>
        <v/>
      </c>
      <c r="T336">
        <f>IF($W336="","",INDEX(명단표[소속병원],$W336))</f>
        <v/>
      </c>
      <c r="U336">
        <f>IF($W336="","",INDEX(명단표[서울 근무일(기준월)],$W336))</f>
        <v/>
      </c>
      <c r="V336">
        <f>IF($W336="","",INDEX(명단표[구리 근무일(기준월)],$W336))</f>
        <v/>
      </c>
      <c r="W336" s="17">
        <f>IFERROR(MATCH(331,명단표[판정불가순번],0),"")</f>
        <v/>
      </c>
    </row>
    <row r="337">
      <c r="A337">
        <f>IF($P337="","",332)</f>
        <v/>
      </c>
      <c r="B337">
        <f>IF($P337="","",INDEX(명단표[이름],$P337))</f>
        <v/>
      </c>
      <c r="C337">
        <f>IF($P337="","",INDEX(명단표[사번],$P337)&amp;"")</f>
        <v/>
      </c>
      <c r="D337">
        <f>IF($P337="","",INDEX(명단표[전공의등록번호],$P337)&amp;"")</f>
        <v/>
      </c>
      <c r="E337">
        <f>IF($P337="","",INDEX(명단표[수련과목],$P337)&amp;"")</f>
        <v/>
      </c>
      <c r="F337">
        <f>IF($P337="","",INDEX(명단표[연차],$P337)&amp;"")</f>
        <v/>
      </c>
      <c r="G337">
        <f>IF($P337="","",INDEX(명단표[소속병원],$P337))</f>
        <v/>
      </c>
      <c r="H337">
        <f>IF($P337="","",IF(INDEX(명단표[소속병원],$P337)="서울병원","서울 소속","타 병원 소속("&amp;INDEX(명단표[소속병원],$P337)&amp;") → 서울 지급"))</f>
        <v/>
      </c>
      <c r="I337">
        <f>IF($P337="","",INDEX(명단표[현재 근무병원],$P337))</f>
        <v/>
      </c>
      <c r="J337">
        <f>IF($P337="","",INDEX(명단표[구리 근무 시작일(기준월)],$P337)&amp;"")</f>
        <v/>
      </c>
      <c r="K337">
        <f>IF($P337="","",INDEX(명단표[구리 근무 종료일(기준월)],$P337)&amp;"")</f>
        <v/>
      </c>
      <c r="L337">
        <f>IF($P337="","",INDEX(명단표[서울 근무일(기준월)],$P337))</f>
        <v/>
      </c>
      <c r="M337">
        <f>IF($P337="","",INDEX(명단표[구리 근무일(기준월)],$P337))</f>
        <v/>
      </c>
      <c r="N337">
        <f>IF($P337="","",INDEX(명단표[급여 판정 근거],$P337))</f>
        <v/>
      </c>
      <c r="O337">
        <f>IF($P337="","",INDEX(명단표[점검],$P337))</f>
        <v/>
      </c>
      <c r="P337" s="17">
        <f>IFERROR(MATCH(332,명단표[서울순번],0),"")</f>
        <v/>
      </c>
      <c r="R337">
        <f>IF($W337="","",INDEX(명단표[이름],$W337))</f>
        <v/>
      </c>
      <c r="S337">
        <f>IF($W337="","",INDEX(명단표[사번],$W337)&amp;"")</f>
        <v/>
      </c>
      <c r="T337">
        <f>IF($W337="","",INDEX(명단표[소속병원],$W337))</f>
        <v/>
      </c>
      <c r="U337">
        <f>IF($W337="","",INDEX(명단표[서울 근무일(기준월)],$W337))</f>
        <v/>
      </c>
      <c r="V337">
        <f>IF($W337="","",INDEX(명단표[구리 근무일(기준월)],$W337))</f>
        <v/>
      </c>
      <c r="W337" s="17">
        <f>IFERROR(MATCH(332,명단표[판정불가순번],0),"")</f>
        <v/>
      </c>
    </row>
    <row r="338">
      <c r="A338">
        <f>IF($P338="","",333)</f>
        <v/>
      </c>
      <c r="B338">
        <f>IF($P338="","",INDEX(명단표[이름],$P338))</f>
        <v/>
      </c>
      <c r="C338">
        <f>IF($P338="","",INDEX(명단표[사번],$P338)&amp;"")</f>
        <v/>
      </c>
      <c r="D338">
        <f>IF($P338="","",INDEX(명단표[전공의등록번호],$P338)&amp;"")</f>
        <v/>
      </c>
      <c r="E338">
        <f>IF($P338="","",INDEX(명단표[수련과목],$P338)&amp;"")</f>
        <v/>
      </c>
      <c r="F338">
        <f>IF($P338="","",INDEX(명단표[연차],$P338)&amp;"")</f>
        <v/>
      </c>
      <c r="G338">
        <f>IF($P338="","",INDEX(명단표[소속병원],$P338))</f>
        <v/>
      </c>
      <c r="H338">
        <f>IF($P338="","",IF(INDEX(명단표[소속병원],$P338)="서울병원","서울 소속","타 병원 소속("&amp;INDEX(명단표[소속병원],$P338)&amp;") → 서울 지급"))</f>
        <v/>
      </c>
      <c r="I338">
        <f>IF($P338="","",INDEX(명단표[현재 근무병원],$P338))</f>
        <v/>
      </c>
      <c r="J338">
        <f>IF($P338="","",INDEX(명단표[구리 근무 시작일(기준월)],$P338)&amp;"")</f>
        <v/>
      </c>
      <c r="K338">
        <f>IF($P338="","",INDEX(명단표[구리 근무 종료일(기준월)],$P338)&amp;"")</f>
        <v/>
      </c>
      <c r="L338">
        <f>IF($P338="","",INDEX(명단표[서울 근무일(기준월)],$P338))</f>
        <v/>
      </c>
      <c r="M338">
        <f>IF($P338="","",INDEX(명단표[구리 근무일(기준월)],$P338))</f>
        <v/>
      </c>
      <c r="N338">
        <f>IF($P338="","",INDEX(명단표[급여 판정 근거],$P338))</f>
        <v/>
      </c>
      <c r="O338">
        <f>IF($P338="","",INDEX(명단표[점검],$P338))</f>
        <v/>
      </c>
      <c r="P338" s="17">
        <f>IFERROR(MATCH(333,명단표[서울순번],0),"")</f>
        <v/>
      </c>
      <c r="R338">
        <f>IF($W338="","",INDEX(명단표[이름],$W338))</f>
        <v/>
      </c>
      <c r="S338">
        <f>IF($W338="","",INDEX(명단표[사번],$W338)&amp;"")</f>
        <v/>
      </c>
      <c r="T338">
        <f>IF($W338="","",INDEX(명단표[소속병원],$W338))</f>
        <v/>
      </c>
      <c r="U338">
        <f>IF($W338="","",INDEX(명단표[서울 근무일(기준월)],$W338))</f>
        <v/>
      </c>
      <c r="V338">
        <f>IF($W338="","",INDEX(명단표[구리 근무일(기준월)],$W338))</f>
        <v/>
      </c>
      <c r="W338" s="17">
        <f>IFERROR(MATCH(333,명단표[판정불가순번],0),"")</f>
        <v/>
      </c>
    </row>
    <row r="339">
      <c r="A339">
        <f>IF($P339="","",334)</f>
        <v/>
      </c>
      <c r="B339">
        <f>IF($P339="","",INDEX(명단표[이름],$P339))</f>
        <v/>
      </c>
      <c r="C339">
        <f>IF($P339="","",INDEX(명단표[사번],$P339)&amp;"")</f>
        <v/>
      </c>
      <c r="D339">
        <f>IF($P339="","",INDEX(명단표[전공의등록번호],$P339)&amp;"")</f>
        <v/>
      </c>
      <c r="E339">
        <f>IF($P339="","",INDEX(명단표[수련과목],$P339)&amp;"")</f>
        <v/>
      </c>
      <c r="F339">
        <f>IF($P339="","",INDEX(명단표[연차],$P339)&amp;"")</f>
        <v/>
      </c>
      <c r="G339">
        <f>IF($P339="","",INDEX(명단표[소속병원],$P339))</f>
        <v/>
      </c>
      <c r="H339">
        <f>IF($P339="","",IF(INDEX(명단표[소속병원],$P339)="서울병원","서울 소속","타 병원 소속("&amp;INDEX(명단표[소속병원],$P339)&amp;") → 서울 지급"))</f>
        <v/>
      </c>
      <c r="I339">
        <f>IF($P339="","",INDEX(명단표[현재 근무병원],$P339))</f>
        <v/>
      </c>
      <c r="J339">
        <f>IF($P339="","",INDEX(명단표[구리 근무 시작일(기준월)],$P339)&amp;"")</f>
        <v/>
      </c>
      <c r="K339">
        <f>IF($P339="","",INDEX(명단표[구리 근무 종료일(기준월)],$P339)&amp;"")</f>
        <v/>
      </c>
      <c r="L339">
        <f>IF($P339="","",INDEX(명단표[서울 근무일(기준월)],$P339))</f>
        <v/>
      </c>
      <c r="M339">
        <f>IF($P339="","",INDEX(명단표[구리 근무일(기준월)],$P339))</f>
        <v/>
      </c>
      <c r="N339">
        <f>IF($P339="","",INDEX(명단표[급여 판정 근거],$P339))</f>
        <v/>
      </c>
      <c r="O339">
        <f>IF($P339="","",INDEX(명단표[점검],$P339))</f>
        <v/>
      </c>
      <c r="P339" s="17">
        <f>IFERROR(MATCH(334,명단표[서울순번],0),"")</f>
        <v/>
      </c>
      <c r="R339">
        <f>IF($W339="","",INDEX(명단표[이름],$W339))</f>
        <v/>
      </c>
      <c r="S339">
        <f>IF($W339="","",INDEX(명단표[사번],$W339)&amp;"")</f>
        <v/>
      </c>
      <c r="T339">
        <f>IF($W339="","",INDEX(명단표[소속병원],$W339))</f>
        <v/>
      </c>
      <c r="U339">
        <f>IF($W339="","",INDEX(명단표[서울 근무일(기준월)],$W339))</f>
        <v/>
      </c>
      <c r="V339">
        <f>IF($W339="","",INDEX(명단표[구리 근무일(기준월)],$W339))</f>
        <v/>
      </c>
      <c r="W339" s="17">
        <f>IFERROR(MATCH(334,명단표[판정불가순번],0),"")</f>
        <v/>
      </c>
    </row>
    <row r="340">
      <c r="A340">
        <f>IF($P340="","",335)</f>
        <v/>
      </c>
      <c r="B340">
        <f>IF($P340="","",INDEX(명단표[이름],$P340))</f>
        <v/>
      </c>
      <c r="C340">
        <f>IF($P340="","",INDEX(명단표[사번],$P340)&amp;"")</f>
        <v/>
      </c>
      <c r="D340">
        <f>IF($P340="","",INDEX(명단표[전공의등록번호],$P340)&amp;"")</f>
        <v/>
      </c>
      <c r="E340">
        <f>IF($P340="","",INDEX(명단표[수련과목],$P340)&amp;"")</f>
        <v/>
      </c>
      <c r="F340">
        <f>IF($P340="","",INDEX(명단표[연차],$P340)&amp;"")</f>
        <v/>
      </c>
      <c r="G340">
        <f>IF($P340="","",INDEX(명단표[소속병원],$P340))</f>
        <v/>
      </c>
      <c r="H340">
        <f>IF($P340="","",IF(INDEX(명단표[소속병원],$P340)="서울병원","서울 소속","타 병원 소속("&amp;INDEX(명단표[소속병원],$P340)&amp;") → 서울 지급"))</f>
        <v/>
      </c>
      <c r="I340">
        <f>IF($P340="","",INDEX(명단표[현재 근무병원],$P340))</f>
        <v/>
      </c>
      <c r="J340">
        <f>IF($P340="","",INDEX(명단표[구리 근무 시작일(기준월)],$P340)&amp;"")</f>
        <v/>
      </c>
      <c r="K340">
        <f>IF($P340="","",INDEX(명단표[구리 근무 종료일(기준월)],$P340)&amp;"")</f>
        <v/>
      </c>
      <c r="L340">
        <f>IF($P340="","",INDEX(명단표[서울 근무일(기준월)],$P340))</f>
        <v/>
      </c>
      <c r="M340">
        <f>IF($P340="","",INDEX(명단표[구리 근무일(기준월)],$P340))</f>
        <v/>
      </c>
      <c r="N340">
        <f>IF($P340="","",INDEX(명단표[급여 판정 근거],$P340))</f>
        <v/>
      </c>
      <c r="O340">
        <f>IF($P340="","",INDEX(명단표[점검],$P340))</f>
        <v/>
      </c>
      <c r="P340" s="17">
        <f>IFERROR(MATCH(335,명단표[서울순번],0),"")</f>
        <v/>
      </c>
      <c r="R340">
        <f>IF($W340="","",INDEX(명단표[이름],$W340))</f>
        <v/>
      </c>
      <c r="S340">
        <f>IF($W340="","",INDEX(명단표[사번],$W340)&amp;"")</f>
        <v/>
      </c>
      <c r="T340">
        <f>IF($W340="","",INDEX(명단표[소속병원],$W340))</f>
        <v/>
      </c>
      <c r="U340">
        <f>IF($W340="","",INDEX(명단표[서울 근무일(기준월)],$W340))</f>
        <v/>
      </c>
      <c r="V340">
        <f>IF($W340="","",INDEX(명단표[구리 근무일(기준월)],$W340))</f>
        <v/>
      </c>
      <c r="W340" s="17">
        <f>IFERROR(MATCH(335,명단표[판정불가순번],0),"")</f>
        <v/>
      </c>
    </row>
    <row r="341">
      <c r="A341">
        <f>IF($P341="","",336)</f>
        <v/>
      </c>
      <c r="B341">
        <f>IF($P341="","",INDEX(명단표[이름],$P341))</f>
        <v/>
      </c>
      <c r="C341">
        <f>IF($P341="","",INDEX(명단표[사번],$P341)&amp;"")</f>
        <v/>
      </c>
      <c r="D341">
        <f>IF($P341="","",INDEX(명단표[전공의등록번호],$P341)&amp;"")</f>
        <v/>
      </c>
      <c r="E341">
        <f>IF($P341="","",INDEX(명단표[수련과목],$P341)&amp;"")</f>
        <v/>
      </c>
      <c r="F341">
        <f>IF($P341="","",INDEX(명단표[연차],$P341)&amp;"")</f>
        <v/>
      </c>
      <c r="G341">
        <f>IF($P341="","",INDEX(명단표[소속병원],$P341))</f>
        <v/>
      </c>
      <c r="H341">
        <f>IF($P341="","",IF(INDEX(명단표[소속병원],$P341)="서울병원","서울 소속","타 병원 소속("&amp;INDEX(명단표[소속병원],$P341)&amp;") → 서울 지급"))</f>
        <v/>
      </c>
      <c r="I341">
        <f>IF($P341="","",INDEX(명단표[현재 근무병원],$P341))</f>
        <v/>
      </c>
      <c r="J341">
        <f>IF($P341="","",INDEX(명단표[구리 근무 시작일(기준월)],$P341)&amp;"")</f>
        <v/>
      </c>
      <c r="K341">
        <f>IF($P341="","",INDEX(명단표[구리 근무 종료일(기준월)],$P341)&amp;"")</f>
        <v/>
      </c>
      <c r="L341">
        <f>IF($P341="","",INDEX(명단표[서울 근무일(기준월)],$P341))</f>
        <v/>
      </c>
      <c r="M341">
        <f>IF($P341="","",INDEX(명단표[구리 근무일(기준월)],$P341))</f>
        <v/>
      </c>
      <c r="N341">
        <f>IF($P341="","",INDEX(명단표[급여 판정 근거],$P341))</f>
        <v/>
      </c>
      <c r="O341">
        <f>IF($P341="","",INDEX(명단표[점검],$P341))</f>
        <v/>
      </c>
      <c r="P341" s="17">
        <f>IFERROR(MATCH(336,명단표[서울순번],0),"")</f>
        <v/>
      </c>
      <c r="R341">
        <f>IF($W341="","",INDEX(명단표[이름],$W341))</f>
        <v/>
      </c>
      <c r="S341">
        <f>IF($W341="","",INDEX(명단표[사번],$W341)&amp;"")</f>
        <v/>
      </c>
      <c r="T341">
        <f>IF($W341="","",INDEX(명단표[소속병원],$W341))</f>
        <v/>
      </c>
      <c r="U341">
        <f>IF($W341="","",INDEX(명단표[서울 근무일(기준월)],$W341))</f>
        <v/>
      </c>
      <c r="V341">
        <f>IF($W341="","",INDEX(명단표[구리 근무일(기준월)],$W341))</f>
        <v/>
      </c>
      <c r="W341" s="17">
        <f>IFERROR(MATCH(336,명단표[판정불가순번],0),"")</f>
        <v/>
      </c>
    </row>
    <row r="342">
      <c r="A342">
        <f>IF($P342="","",337)</f>
        <v/>
      </c>
      <c r="B342">
        <f>IF($P342="","",INDEX(명단표[이름],$P342))</f>
        <v/>
      </c>
      <c r="C342">
        <f>IF($P342="","",INDEX(명단표[사번],$P342)&amp;"")</f>
        <v/>
      </c>
      <c r="D342">
        <f>IF($P342="","",INDEX(명단표[전공의등록번호],$P342)&amp;"")</f>
        <v/>
      </c>
      <c r="E342">
        <f>IF($P342="","",INDEX(명단표[수련과목],$P342)&amp;"")</f>
        <v/>
      </c>
      <c r="F342">
        <f>IF($P342="","",INDEX(명단표[연차],$P342)&amp;"")</f>
        <v/>
      </c>
      <c r="G342">
        <f>IF($P342="","",INDEX(명단표[소속병원],$P342))</f>
        <v/>
      </c>
      <c r="H342">
        <f>IF($P342="","",IF(INDEX(명단표[소속병원],$P342)="서울병원","서울 소속","타 병원 소속("&amp;INDEX(명단표[소속병원],$P342)&amp;") → 서울 지급"))</f>
        <v/>
      </c>
      <c r="I342">
        <f>IF($P342="","",INDEX(명단표[현재 근무병원],$P342))</f>
        <v/>
      </c>
      <c r="J342">
        <f>IF($P342="","",INDEX(명단표[구리 근무 시작일(기준월)],$P342)&amp;"")</f>
        <v/>
      </c>
      <c r="K342">
        <f>IF($P342="","",INDEX(명단표[구리 근무 종료일(기준월)],$P342)&amp;"")</f>
        <v/>
      </c>
      <c r="L342">
        <f>IF($P342="","",INDEX(명단표[서울 근무일(기준월)],$P342))</f>
        <v/>
      </c>
      <c r="M342">
        <f>IF($P342="","",INDEX(명단표[구리 근무일(기준월)],$P342))</f>
        <v/>
      </c>
      <c r="N342">
        <f>IF($P342="","",INDEX(명단표[급여 판정 근거],$P342))</f>
        <v/>
      </c>
      <c r="O342">
        <f>IF($P342="","",INDEX(명단표[점검],$P342))</f>
        <v/>
      </c>
      <c r="P342" s="17">
        <f>IFERROR(MATCH(337,명단표[서울순번],0),"")</f>
        <v/>
      </c>
      <c r="R342">
        <f>IF($W342="","",INDEX(명단표[이름],$W342))</f>
        <v/>
      </c>
      <c r="S342">
        <f>IF($W342="","",INDEX(명단표[사번],$W342)&amp;"")</f>
        <v/>
      </c>
      <c r="T342">
        <f>IF($W342="","",INDEX(명단표[소속병원],$W342))</f>
        <v/>
      </c>
      <c r="U342">
        <f>IF($W342="","",INDEX(명단표[서울 근무일(기준월)],$W342))</f>
        <v/>
      </c>
      <c r="V342">
        <f>IF($W342="","",INDEX(명단표[구리 근무일(기준월)],$W342))</f>
        <v/>
      </c>
      <c r="W342" s="17">
        <f>IFERROR(MATCH(337,명단표[판정불가순번],0),"")</f>
        <v/>
      </c>
    </row>
    <row r="343">
      <c r="A343">
        <f>IF($P343="","",338)</f>
        <v/>
      </c>
      <c r="B343">
        <f>IF($P343="","",INDEX(명단표[이름],$P343))</f>
        <v/>
      </c>
      <c r="C343">
        <f>IF($P343="","",INDEX(명단표[사번],$P343)&amp;"")</f>
        <v/>
      </c>
      <c r="D343">
        <f>IF($P343="","",INDEX(명단표[전공의등록번호],$P343)&amp;"")</f>
        <v/>
      </c>
      <c r="E343">
        <f>IF($P343="","",INDEX(명단표[수련과목],$P343)&amp;"")</f>
        <v/>
      </c>
      <c r="F343">
        <f>IF($P343="","",INDEX(명단표[연차],$P343)&amp;"")</f>
        <v/>
      </c>
      <c r="G343">
        <f>IF($P343="","",INDEX(명단표[소속병원],$P343))</f>
        <v/>
      </c>
      <c r="H343">
        <f>IF($P343="","",IF(INDEX(명단표[소속병원],$P343)="서울병원","서울 소속","타 병원 소속("&amp;INDEX(명단표[소속병원],$P343)&amp;") → 서울 지급"))</f>
        <v/>
      </c>
      <c r="I343">
        <f>IF($P343="","",INDEX(명단표[현재 근무병원],$P343))</f>
        <v/>
      </c>
      <c r="J343">
        <f>IF($P343="","",INDEX(명단표[구리 근무 시작일(기준월)],$P343)&amp;"")</f>
        <v/>
      </c>
      <c r="K343">
        <f>IF($P343="","",INDEX(명단표[구리 근무 종료일(기준월)],$P343)&amp;"")</f>
        <v/>
      </c>
      <c r="L343">
        <f>IF($P343="","",INDEX(명단표[서울 근무일(기준월)],$P343))</f>
        <v/>
      </c>
      <c r="M343">
        <f>IF($P343="","",INDEX(명단표[구리 근무일(기준월)],$P343))</f>
        <v/>
      </c>
      <c r="N343">
        <f>IF($P343="","",INDEX(명단표[급여 판정 근거],$P343))</f>
        <v/>
      </c>
      <c r="O343">
        <f>IF($P343="","",INDEX(명단표[점검],$P343))</f>
        <v/>
      </c>
      <c r="P343" s="17">
        <f>IFERROR(MATCH(338,명단표[서울순번],0),"")</f>
        <v/>
      </c>
      <c r="R343">
        <f>IF($W343="","",INDEX(명단표[이름],$W343))</f>
        <v/>
      </c>
      <c r="S343">
        <f>IF($W343="","",INDEX(명단표[사번],$W343)&amp;"")</f>
        <v/>
      </c>
      <c r="T343">
        <f>IF($W343="","",INDEX(명단표[소속병원],$W343))</f>
        <v/>
      </c>
      <c r="U343">
        <f>IF($W343="","",INDEX(명단표[서울 근무일(기준월)],$W343))</f>
        <v/>
      </c>
      <c r="V343">
        <f>IF($W343="","",INDEX(명단표[구리 근무일(기준월)],$W343))</f>
        <v/>
      </c>
      <c r="W343" s="17">
        <f>IFERROR(MATCH(338,명단표[판정불가순번],0),"")</f>
        <v/>
      </c>
    </row>
    <row r="344">
      <c r="A344">
        <f>IF($P344="","",339)</f>
        <v/>
      </c>
      <c r="B344">
        <f>IF($P344="","",INDEX(명단표[이름],$P344))</f>
        <v/>
      </c>
      <c r="C344">
        <f>IF($P344="","",INDEX(명단표[사번],$P344)&amp;"")</f>
        <v/>
      </c>
      <c r="D344">
        <f>IF($P344="","",INDEX(명단표[전공의등록번호],$P344)&amp;"")</f>
        <v/>
      </c>
      <c r="E344">
        <f>IF($P344="","",INDEX(명단표[수련과목],$P344)&amp;"")</f>
        <v/>
      </c>
      <c r="F344">
        <f>IF($P344="","",INDEX(명단표[연차],$P344)&amp;"")</f>
        <v/>
      </c>
      <c r="G344">
        <f>IF($P344="","",INDEX(명단표[소속병원],$P344))</f>
        <v/>
      </c>
      <c r="H344">
        <f>IF($P344="","",IF(INDEX(명단표[소속병원],$P344)="서울병원","서울 소속","타 병원 소속("&amp;INDEX(명단표[소속병원],$P344)&amp;") → 서울 지급"))</f>
        <v/>
      </c>
      <c r="I344">
        <f>IF($P344="","",INDEX(명단표[현재 근무병원],$P344))</f>
        <v/>
      </c>
      <c r="J344">
        <f>IF($P344="","",INDEX(명단표[구리 근무 시작일(기준월)],$P344)&amp;"")</f>
        <v/>
      </c>
      <c r="K344">
        <f>IF($P344="","",INDEX(명단표[구리 근무 종료일(기준월)],$P344)&amp;"")</f>
        <v/>
      </c>
      <c r="L344">
        <f>IF($P344="","",INDEX(명단표[서울 근무일(기준월)],$P344))</f>
        <v/>
      </c>
      <c r="M344">
        <f>IF($P344="","",INDEX(명단표[구리 근무일(기준월)],$P344))</f>
        <v/>
      </c>
      <c r="N344">
        <f>IF($P344="","",INDEX(명단표[급여 판정 근거],$P344))</f>
        <v/>
      </c>
      <c r="O344">
        <f>IF($P344="","",INDEX(명단표[점검],$P344))</f>
        <v/>
      </c>
      <c r="P344" s="17">
        <f>IFERROR(MATCH(339,명단표[서울순번],0),"")</f>
        <v/>
      </c>
      <c r="R344">
        <f>IF($W344="","",INDEX(명단표[이름],$W344))</f>
        <v/>
      </c>
      <c r="S344">
        <f>IF($W344="","",INDEX(명단표[사번],$W344)&amp;"")</f>
        <v/>
      </c>
      <c r="T344">
        <f>IF($W344="","",INDEX(명단표[소속병원],$W344))</f>
        <v/>
      </c>
      <c r="U344">
        <f>IF($W344="","",INDEX(명단표[서울 근무일(기준월)],$W344))</f>
        <v/>
      </c>
      <c r="V344">
        <f>IF($W344="","",INDEX(명단표[구리 근무일(기준월)],$W344))</f>
        <v/>
      </c>
      <c r="W344" s="17">
        <f>IFERROR(MATCH(339,명단표[판정불가순번],0),"")</f>
        <v/>
      </c>
    </row>
    <row r="345">
      <c r="A345">
        <f>IF($P345="","",340)</f>
        <v/>
      </c>
      <c r="B345">
        <f>IF($P345="","",INDEX(명단표[이름],$P345))</f>
        <v/>
      </c>
      <c r="C345">
        <f>IF($P345="","",INDEX(명단표[사번],$P345)&amp;"")</f>
        <v/>
      </c>
      <c r="D345">
        <f>IF($P345="","",INDEX(명단표[전공의등록번호],$P345)&amp;"")</f>
        <v/>
      </c>
      <c r="E345">
        <f>IF($P345="","",INDEX(명단표[수련과목],$P345)&amp;"")</f>
        <v/>
      </c>
      <c r="F345">
        <f>IF($P345="","",INDEX(명단표[연차],$P345)&amp;"")</f>
        <v/>
      </c>
      <c r="G345">
        <f>IF($P345="","",INDEX(명단표[소속병원],$P345))</f>
        <v/>
      </c>
      <c r="H345">
        <f>IF($P345="","",IF(INDEX(명단표[소속병원],$P345)="서울병원","서울 소속","타 병원 소속("&amp;INDEX(명단표[소속병원],$P345)&amp;") → 서울 지급"))</f>
        <v/>
      </c>
      <c r="I345">
        <f>IF($P345="","",INDEX(명단표[현재 근무병원],$P345))</f>
        <v/>
      </c>
      <c r="J345">
        <f>IF($P345="","",INDEX(명단표[구리 근무 시작일(기준월)],$P345)&amp;"")</f>
        <v/>
      </c>
      <c r="K345">
        <f>IF($P345="","",INDEX(명단표[구리 근무 종료일(기준월)],$P345)&amp;"")</f>
        <v/>
      </c>
      <c r="L345">
        <f>IF($P345="","",INDEX(명단표[서울 근무일(기준월)],$P345))</f>
        <v/>
      </c>
      <c r="M345">
        <f>IF($P345="","",INDEX(명단표[구리 근무일(기준월)],$P345))</f>
        <v/>
      </c>
      <c r="N345">
        <f>IF($P345="","",INDEX(명단표[급여 판정 근거],$P345))</f>
        <v/>
      </c>
      <c r="O345">
        <f>IF($P345="","",INDEX(명단표[점검],$P345))</f>
        <v/>
      </c>
      <c r="P345" s="17">
        <f>IFERROR(MATCH(340,명단표[서울순번],0),"")</f>
        <v/>
      </c>
      <c r="R345">
        <f>IF($W345="","",INDEX(명단표[이름],$W345))</f>
        <v/>
      </c>
      <c r="S345">
        <f>IF($W345="","",INDEX(명단표[사번],$W345)&amp;"")</f>
        <v/>
      </c>
      <c r="T345">
        <f>IF($W345="","",INDEX(명단표[소속병원],$W345))</f>
        <v/>
      </c>
      <c r="U345">
        <f>IF($W345="","",INDEX(명단표[서울 근무일(기준월)],$W345))</f>
        <v/>
      </c>
      <c r="V345">
        <f>IF($W345="","",INDEX(명단표[구리 근무일(기준월)],$W345))</f>
        <v/>
      </c>
      <c r="W345" s="17">
        <f>IFERROR(MATCH(340,명단표[판정불가순번],0),"")</f>
        <v/>
      </c>
    </row>
    <row r="346">
      <c r="A346">
        <f>IF($P346="","",341)</f>
        <v/>
      </c>
      <c r="B346">
        <f>IF($P346="","",INDEX(명단표[이름],$P346))</f>
        <v/>
      </c>
      <c r="C346">
        <f>IF($P346="","",INDEX(명단표[사번],$P346)&amp;"")</f>
        <v/>
      </c>
      <c r="D346">
        <f>IF($P346="","",INDEX(명단표[전공의등록번호],$P346)&amp;"")</f>
        <v/>
      </c>
      <c r="E346">
        <f>IF($P346="","",INDEX(명단표[수련과목],$P346)&amp;"")</f>
        <v/>
      </c>
      <c r="F346">
        <f>IF($P346="","",INDEX(명단표[연차],$P346)&amp;"")</f>
        <v/>
      </c>
      <c r="G346">
        <f>IF($P346="","",INDEX(명단표[소속병원],$P346))</f>
        <v/>
      </c>
      <c r="H346">
        <f>IF($P346="","",IF(INDEX(명단표[소속병원],$P346)="서울병원","서울 소속","타 병원 소속("&amp;INDEX(명단표[소속병원],$P346)&amp;") → 서울 지급"))</f>
        <v/>
      </c>
      <c r="I346">
        <f>IF($P346="","",INDEX(명단표[현재 근무병원],$P346))</f>
        <v/>
      </c>
      <c r="J346">
        <f>IF($P346="","",INDEX(명단표[구리 근무 시작일(기준월)],$P346)&amp;"")</f>
        <v/>
      </c>
      <c r="K346">
        <f>IF($P346="","",INDEX(명단표[구리 근무 종료일(기준월)],$P346)&amp;"")</f>
        <v/>
      </c>
      <c r="L346">
        <f>IF($P346="","",INDEX(명단표[서울 근무일(기준월)],$P346))</f>
        <v/>
      </c>
      <c r="M346">
        <f>IF($P346="","",INDEX(명단표[구리 근무일(기준월)],$P346))</f>
        <v/>
      </c>
      <c r="N346">
        <f>IF($P346="","",INDEX(명단표[급여 판정 근거],$P346))</f>
        <v/>
      </c>
      <c r="O346">
        <f>IF($P346="","",INDEX(명단표[점검],$P346))</f>
        <v/>
      </c>
      <c r="P346" s="17">
        <f>IFERROR(MATCH(341,명단표[서울순번],0),"")</f>
        <v/>
      </c>
      <c r="R346">
        <f>IF($W346="","",INDEX(명단표[이름],$W346))</f>
        <v/>
      </c>
      <c r="S346">
        <f>IF($W346="","",INDEX(명단표[사번],$W346)&amp;"")</f>
        <v/>
      </c>
      <c r="T346">
        <f>IF($W346="","",INDEX(명단표[소속병원],$W346))</f>
        <v/>
      </c>
      <c r="U346">
        <f>IF($W346="","",INDEX(명단표[서울 근무일(기준월)],$W346))</f>
        <v/>
      </c>
      <c r="V346">
        <f>IF($W346="","",INDEX(명단표[구리 근무일(기준월)],$W346))</f>
        <v/>
      </c>
      <c r="W346" s="17">
        <f>IFERROR(MATCH(341,명단표[판정불가순번],0),"")</f>
        <v/>
      </c>
    </row>
    <row r="347">
      <c r="A347">
        <f>IF($P347="","",342)</f>
        <v/>
      </c>
      <c r="B347">
        <f>IF($P347="","",INDEX(명단표[이름],$P347))</f>
        <v/>
      </c>
      <c r="C347">
        <f>IF($P347="","",INDEX(명단표[사번],$P347)&amp;"")</f>
        <v/>
      </c>
      <c r="D347">
        <f>IF($P347="","",INDEX(명단표[전공의등록번호],$P347)&amp;"")</f>
        <v/>
      </c>
      <c r="E347">
        <f>IF($P347="","",INDEX(명단표[수련과목],$P347)&amp;"")</f>
        <v/>
      </c>
      <c r="F347">
        <f>IF($P347="","",INDEX(명단표[연차],$P347)&amp;"")</f>
        <v/>
      </c>
      <c r="G347">
        <f>IF($P347="","",INDEX(명단표[소속병원],$P347))</f>
        <v/>
      </c>
      <c r="H347">
        <f>IF($P347="","",IF(INDEX(명단표[소속병원],$P347)="서울병원","서울 소속","타 병원 소속("&amp;INDEX(명단표[소속병원],$P347)&amp;") → 서울 지급"))</f>
        <v/>
      </c>
      <c r="I347">
        <f>IF($P347="","",INDEX(명단표[현재 근무병원],$P347))</f>
        <v/>
      </c>
      <c r="J347">
        <f>IF($P347="","",INDEX(명단표[구리 근무 시작일(기준월)],$P347)&amp;"")</f>
        <v/>
      </c>
      <c r="K347">
        <f>IF($P347="","",INDEX(명단표[구리 근무 종료일(기준월)],$P347)&amp;"")</f>
        <v/>
      </c>
      <c r="L347">
        <f>IF($P347="","",INDEX(명단표[서울 근무일(기준월)],$P347))</f>
        <v/>
      </c>
      <c r="M347">
        <f>IF($P347="","",INDEX(명단표[구리 근무일(기준월)],$P347))</f>
        <v/>
      </c>
      <c r="N347">
        <f>IF($P347="","",INDEX(명단표[급여 판정 근거],$P347))</f>
        <v/>
      </c>
      <c r="O347">
        <f>IF($P347="","",INDEX(명단표[점검],$P347))</f>
        <v/>
      </c>
      <c r="P347" s="17">
        <f>IFERROR(MATCH(342,명단표[서울순번],0),"")</f>
        <v/>
      </c>
      <c r="R347">
        <f>IF($W347="","",INDEX(명단표[이름],$W347))</f>
        <v/>
      </c>
      <c r="S347">
        <f>IF($W347="","",INDEX(명단표[사번],$W347)&amp;"")</f>
        <v/>
      </c>
      <c r="T347">
        <f>IF($W347="","",INDEX(명단표[소속병원],$W347))</f>
        <v/>
      </c>
      <c r="U347">
        <f>IF($W347="","",INDEX(명단표[서울 근무일(기준월)],$W347))</f>
        <v/>
      </c>
      <c r="V347">
        <f>IF($W347="","",INDEX(명단표[구리 근무일(기준월)],$W347))</f>
        <v/>
      </c>
      <c r="W347" s="17">
        <f>IFERROR(MATCH(342,명단표[판정불가순번],0),"")</f>
        <v/>
      </c>
    </row>
    <row r="348">
      <c r="A348">
        <f>IF($P348="","",343)</f>
        <v/>
      </c>
      <c r="B348">
        <f>IF($P348="","",INDEX(명단표[이름],$P348))</f>
        <v/>
      </c>
      <c r="C348">
        <f>IF($P348="","",INDEX(명단표[사번],$P348)&amp;"")</f>
        <v/>
      </c>
      <c r="D348">
        <f>IF($P348="","",INDEX(명단표[전공의등록번호],$P348)&amp;"")</f>
        <v/>
      </c>
      <c r="E348">
        <f>IF($P348="","",INDEX(명단표[수련과목],$P348)&amp;"")</f>
        <v/>
      </c>
      <c r="F348">
        <f>IF($P348="","",INDEX(명단표[연차],$P348)&amp;"")</f>
        <v/>
      </c>
      <c r="G348">
        <f>IF($P348="","",INDEX(명단표[소속병원],$P348))</f>
        <v/>
      </c>
      <c r="H348">
        <f>IF($P348="","",IF(INDEX(명단표[소속병원],$P348)="서울병원","서울 소속","타 병원 소속("&amp;INDEX(명단표[소속병원],$P348)&amp;") → 서울 지급"))</f>
        <v/>
      </c>
      <c r="I348">
        <f>IF($P348="","",INDEX(명단표[현재 근무병원],$P348))</f>
        <v/>
      </c>
      <c r="J348">
        <f>IF($P348="","",INDEX(명단표[구리 근무 시작일(기준월)],$P348)&amp;"")</f>
        <v/>
      </c>
      <c r="K348">
        <f>IF($P348="","",INDEX(명단표[구리 근무 종료일(기준월)],$P348)&amp;"")</f>
        <v/>
      </c>
      <c r="L348">
        <f>IF($P348="","",INDEX(명단표[서울 근무일(기준월)],$P348))</f>
        <v/>
      </c>
      <c r="M348">
        <f>IF($P348="","",INDEX(명단표[구리 근무일(기준월)],$P348))</f>
        <v/>
      </c>
      <c r="N348">
        <f>IF($P348="","",INDEX(명단표[급여 판정 근거],$P348))</f>
        <v/>
      </c>
      <c r="O348">
        <f>IF($P348="","",INDEX(명단표[점검],$P348))</f>
        <v/>
      </c>
      <c r="P348" s="17">
        <f>IFERROR(MATCH(343,명단표[서울순번],0),"")</f>
        <v/>
      </c>
      <c r="R348">
        <f>IF($W348="","",INDEX(명단표[이름],$W348))</f>
        <v/>
      </c>
      <c r="S348">
        <f>IF($W348="","",INDEX(명단표[사번],$W348)&amp;"")</f>
        <v/>
      </c>
      <c r="T348">
        <f>IF($W348="","",INDEX(명단표[소속병원],$W348))</f>
        <v/>
      </c>
      <c r="U348">
        <f>IF($W348="","",INDEX(명단표[서울 근무일(기준월)],$W348))</f>
        <v/>
      </c>
      <c r="V348">
        <f>IF($W348="","",INDEX(명단표[구리 근무일(기준월)],$W348))</f>
        <v/>
      </c>
      <c r="W348" s="17">
        <f>IFERROR(MATCH(343,명단표[판정불가순번],0),"")</f>
        <v/>
      </c>
    </row>
    <row r="349">
      <c r="A349">
        <f>IF($P349="","",344)</f>
        <v/>
      </c>
      <c r="B349">
        <f>IF($P349="","",INDEX(명단표[이름],$P349))</f>
        <v/>
      </c>
      <c r="C349">
        <f>IF($P349="","",INDEX(명단표[사번],$P349)&amp;"")</f>
        <v/>
      </c>
      <c r="D349">
        <f>IF($P349="","",INDEX(명단표[전공의등록번호],$P349)&amp;"")</f>
        <v/>
      </c>
      <c r="E349">
        <f>IF($P349="","",INDEX(명단표[수련과목],$P349)&amp;"")</f>
        <v/>
      </c>
      <c r="F349">
        <f>IF($P349="","",INDEX(명단표[연차],$P349)&amp;"")</f>
        <v/>
      </c>
      <c r="G349">
        <f>IF($P349="","",INDEX(명단표[소속병원],$P349))</f>
        <v/>
      </c>
      <c r="H349">
        <f>IF($P349="","",IF(INDEX(명단표[소속병원],$P349)="서울병원","서울 소속","타 병원 소속("&amp;INDEX(명단표[소속병원],$P349)&amp;") → 서울 지급"))</f>
        <v/>
      </c>
      <c r="I349">
        <f>IF($P349="","",INDEX(명단표[현재 근무병원],$P349))</f>
        <v/>
      </c>
      <c r="J349">
        <f>IF($P349="","",INDEX(명단표[구리 근무 시작일(기준월)],$P349)&amp;"")</f>
        <v/>
      </c>
      <c r="K349">
        <f>IF($P349="","",INDEX(명단표[구리 근무 종료일(기준월)],$P349)&amp;"")</f>
        <v/>
      </c>
      <c r="L349">
        <f>IF($P349="","",INDEX(명단표[서울 근무일(기준월)],$P349))</f>
        <v/>
      </c>
      <c r="M349">
        <f>IF($P349="","",INDEX(명단표[구리 근무일(기준월)],$P349))</f>
        <v/>
      </c>
      <c r="N349">
        <f>IF($P349="","",INDEX(명단표[급여 판정 근거],$P349))</f>
        <v/>
      </c>
      <c r="O349">
        <f>IF($P349="","",INDEX(명단표[점검],$P349))</f>
        <v/>
      </c>
      <c r="P349" s="17">
        <f>IFERROR(MATCH(344,명단표[서울순번],0),"")</f>
        <v/>
      </c>
      <c r="R349">
        <f>IF($W349="","",INDEX(명단표[이름],$W349))</f>
        <v/>
      </c>
      <c r="S349">
        <f>IF($W349="","",INDEX(명단표[사번],$W349)&amp;"")</f>
        <v/>
      </c>
      <c r="T349">
        <f>IF($W349="","",INDEX(명단표[소속병원],$W349))</f>
        <v/>
      </c>
      <c r="U349">
        <f>IF($W349="","",INDEX(명단표[서울 근무일(기준월)],$W349))</f>
        <v/>
      </c>
      <c r="V349">
        <f>IF($W349="","",INDEX(명단표[구리 근무일(기준월)],$W349))</f>
        <v/>
      </c>
      <c r="W349" s="17">
        <f>IFERROR(MATCH(344,명단표[판정불가순번],0),"")</f>
        <v/>
      </c>
    </row>
    <row r="350">
      <c r="A350">
        <f>IF($P350="","",345)</f>
        <v/>
      </c>
      <c r="B350">
        <f>IF($P350="","",INDEX(명단표[이름],$P350))</f>
        <v/>
      </c>
      <c r="C350">
        <f>IF($P350="","",INDEX(명단표[사번],$P350)&amp;"")</f>
        <v/>
      </c>
      <c r="D350">
        <f>IF($P350="","",INDEX(명단표[전공의등록번호],$P350)&amp;"")</f>
        <v/>
      </c>
      <c r="E350">
        <f>IF($P350="","",INDEX(명단표[수련과목],$P350)&amp;"")</f>
        <v/>
      </c>
      <c r="F350">
        <f>IF($P350="","",INDEX(명단표[연차],$P350)&amp;"")</f>
        <v/>
      </c>
      <c r="G350">
        <f>IF($P350="","",INDEX(명단표[소속병원],$P350))</f>
        <v/>
      </c>
      <c r="H350">
        <f>IF($P350="","",IF(INDEX(명단표[소속병원],$P350)="서울병원","서울 소속","타 병원 소속("&amp;INDEX(명단표[소속병원],$P350)&amp;") → 서울 지급"))</f>
        <v/>
      </c>
      <c r="I350">
        <f>IF($P350="","",INDEX(명단표[현재 근무병원],$P350))</f>
        <v/>
      </c>
      <c r="J350">
        <f>IF($P350="","",INDEX(명단표[구리 근무 시작일(기준월)],$P350)&amp;"")</f>
        <v/>
      </c>
      <c r="K350">
        <f>IF($P350="","",INDEX(명단표[구리 근무 종료일(기준월)],$P350)&amp;"")</f>
        <v/>
      </c>
      <c r="L350">
        <f>IF($P350="","",INDEX(명단표[서울 근무일(기준월)],$P350))</f>
        <v/>
      </c>
      <c r="M350">
        <f>IF($P350="","",INDEX(명단표[구리 근무일(기준월)],$P350))</f>
        <v/>
      </c>
      <c r="N350">
        <f>IF($P350="","",INDEX(명단표[급여 판정 근거],$P350))</f>
        <v/>
      </c>
      <c r="O350">
        <f>IF($P350="","",INDEX(명단표[점검],$P350))</f>
        <v/>
      </c>
      <c r="P350" s="17">
        <f>IFERROR(MATCH(345,명단표[서울순번],0),"")</f>
        <v/>
      </c>
      <c r="R350">
        <f>IF($W350="","",INDEX(명단표[이름],$W350))</f>
        <v/>
      </c>
      <c r="S350">
        <f>IF($W350="","",INDEX(명단표[사번],$W350)&amp;"")</f>
        <v/>
      </c>
      <c r="T350">
        <f>IF($W350="","",INDEX(명단표[소속병원],$W350))</f>
        <v/>
      </c>
      <c r="U350">
        <f>IF($W350="","",INDEX(명단표[서울 근무일(기준월)],$W350))</f>
        <v/>
      </c>
      <c r="V350">
        <f>IF($W350="","",INDEX(명단표[구리 근무일(기준월)],$W350))</f>
        <v/>
      </c>
      <c r="W350" s="17">
        <f>IFERROR(MATCH(345,명단표[판정불가순번],0),"")</f>
        <v/>
      </c>
    </row>
    <row r="351">
      <c r="A351">
        <f>IF($P351="","",346)</f>
        <v/>
      </c>
      <c r="B351">
        <f>IF($P351="","",INDEX(명단표[이름],$P351))</f>
        <v/>
      </c>
      <c r="C351">
        <f>IF($P351="","",INDEX(명단표[사번],$P351)&amp;"")</f>
        <v/>
      </c>
      <c r="D351">
        <f>IF($P351="","",INDEX(명단표[전공의등록번호],$P351)&amp;"")</f>
        <v/>
      </c>
      <c r="E351">
        <f>IF($P351="","",INDEX(명단표[수련과목],$P351)&amp;"")</f>
        <v/>
      </c>
      <c r="F351">
        <f>IF($P351="","",INDEX(명단표[연차],$P351)&amp;"")</f>
        <v/>
      </c>
      <c r="G351">
        <f>IF($P351="","",INDEX(명단표[소속병원],$P351))</f>
        <v/>
      </c>
      <c r="H351">
        <f>IF($P351="","",IF(INDEX(명단표[소속병원],$P351)="서울병원","서울 소속","타 병원 소속("&amp;INDEX(명단표[소속병원],$P351)&amp;") → 서울 지급"))</f>
        <v/>
      </c>
      <c r="I351">
        <f>IF($P351="","",INDEX(명단표[현재 근무병원],$P351))</f>
        <v/>
      </c>
      <c r="J351">
        <f>IF($P351="","",INDEX(명단표[구리 근무 시작일(기준월)],$P351)&amp;"")</f>
        <v/>
      </c>
      <c r="K351">
        <f>IF($P351="","",INDEX(명단표[구리 근무 종료일(기준월)],$P351)&amp;"")</f>
        <v/>
      </c>
      <c r="L351">
        <f>IF($P351="","",INDEX(명단표[서울 근무일(기준월)],$P351))</f>
        <v/>
      </c>
      <c r="M351">
        <f>IF($P351="","",INDEX(명단표[구리 근무일(기준월)],$P351))</f>
        <v/>
      </c>
      <c r="N351">
        <f>IF($P351="","",INDEX(명단표[급여 판정 근거],$P351))</f>
        <v/>
      </c>
      <c r="O351">
        <f>IF($P351="","",INDEX(명단표[점검],$P351))</f>
        <v/>
      </c>
      <c r="P351" s="17">
        <f>IFERROR(MATCH(346,명단표[서울순번],0),"")</f>
        <v/>
      </c>
      <c r="R351">
        <f>IF($W351="","",INDEX(명단표[이름],$W351))</f>
        <v/>
      </c>
      <c r="S351">
        <f>IF($W351="","",INDEX(명단표[사번],$W351)&amp;"")</f>
        <v/>
      </c>
      <c r="T351">
        <f>IF($W351="","",INDEX(명단표[소속병원],$W351))</f>
        <v/>
      </c>
      <c r="U351">
        <f>IF($W351="","",INDEX(명단표[서울 근무일(기준월)],$W351))</f>
        <v/>
      </c>
      <c r="V351">
        <f>IF($W351="","",INDEX(명단표[구리 근무일(기준월)],$W351))</f>
        <v/>
      </c>
      <c r="W351" s="17">
        <f>IFERROR(MATCH(346,명단표[판정불가순번],0),"")</f>
        <v/>
      </c>
    </row>
    <row r="352">
      <c r="A352">
        <f>IF($P352="","",347)</f>
        <v/>
      </c>
      <c r="B352">
        <f>IF($P352="","",INDEX(명단표[이름],$P352))</f>
        <v/>
      </c>
      <c r="C352">
        <f>IF($P352="","",INDEX(명단표[사번],$P352)&amp;"")</f>
        <v/>
      </c>
      <c r="D352">
        <f>IF($P352="","",INDEX(명단표[전공의등록번호],$P352)&amp;"")</f>
        <v/>
      </c>
      <c r="E352">
        <f>IF($P352="","",INDEX(명단표[수련과목],$P352)&amp;"")</f>
        <v/>
      </c>
      <c r="F352">
        <f>IF($P352="","",INDEX(명단표[연차],$P352)&amp;"")</f>
        <v/>
      </c>
      <c r="G352">
        <f>IF($P352="","",INDEX(명단표[소속병원],$P352))</f>
        <v/>
      </c>
      <c r="H352">
        <f>IF($P352="","",IF(INDEX(명단표[소속병원],$P352)="서울병원","서울 소속","타 병원 소속("&amp;INDEX(명단표[소속병원],$P352)&amp;") → 서울 지급"))</f>
        <v/>
      </c>
      <c r="I352">
        <f>IF($P352="","",INDEX(명단표[현재 근무병원],$P352))</f>
        <v/>
      </c>
      <c r="J352">
        <f>IF($P352="","",INDEX(명단표[구리 근무 시작일(기준월)],$P352)&amp;"")</f>
        <v/>
      </c>
      <c r="K352">
        <f>IF($P352="","",INDEX(명단표[구리 근무 종료일(기준월)],$P352)&amp;"")</f>
        <v/>
      </c>
      <c r="L352">
        <f>IF($P352="","",INDEX(명단표[서울 근무일(기준월)],$P352))</f>
        <v/>
      </c>
      <c r="M352">
        <f>IF($P352="","",INDEX(명단표[구리 근무일(기준월)],$P352))</f>
        <v/>
      </c>
      <c r="N352">
        <f>IF($P352="","",INDEX(명단표[급여 판정 근거],$P352))</f>
        <v/>
      </c>
      <c r="O352">
        <f>IF($P352="","",INDEX(명단표[점검],$P352))</f>
        <v/>
      </c>
      <c r="P352" s="17">
        <f>IFERROR(MATCH(347,명단표[서울순번],0),"")</f>
        <v/>
      </c>
      <c r="R352">
        <f>IF($W352="","",INDEX(명단표[이름],$W352))</f>
        <v/>
      </c>
      <c r="S352">
        <f>IF($W352="","",INDEX(명단표[사번],$W352)&amp;"")</f>
        <v/>
      </c>
      <c r="T352">
        <f>IF($W352="","",INDEX(명단표[소속병원],$W352))</f>
        <v/>
      </c>
      <c r="U352">
        <f>IF($W352="","",INDEX(명단표[서울 근무일(기준월)],$W352))</f>
        <v/>
      </c>
      <c r="V352">
        <f>IF($W352="","",INDEX(명단표[구리 근무일(기준월)],$W352))</f>
        <v/>
      </c>
      <c r="W352" s="17">
        <f>IFERROR(MATCH(347,명단표[판정불가순번],0),"")</f>
        <v/>
      </c>
    </row>
    <row r="353">
      <c r="A353">
        <f>IF($P353="","",348)</f>
        <v/>
      </c>
      <c r="B353">
        <f>IF($P353="","",INDEX(명단표[이름],$P353))</f>
        <v/>
      </c>
      <c r="C353">
        <f>IF($P353="","",INDEX(명단표[사번],$P353)&amp;"")</f>
        <v/>
      </c>
      <c r="D353">
        <f>IF($P353="","",INDEX(명단표[전공의등록번호],$P353)&amp;"")</f>
        <v/>
      </c>
      <c r="E353">
        <f>IF($P353="","",INDEX(명단표[수련과목],$P353)&amp;"")</f>
        <v/>
      </c>
      <c r="F353">
        <f>IF($P353="","",INDEX(명단표[연차],$P353)&amp;"")</f>
        <v/>
      </c>
      <c r="G353">
        <f>IF($P353="","",INDEX(명단표[소속병원],$P353))</f>
        <v/>
      </c>
      <c r="H353">
        <f>IF($P353="","",IF(INDEX(명단표[소속병원],$P353)="서울병원","서울 소속","타 병원 소속("&amp;INDEX(명단표[소속병원],$P353)&amp;") → 서울 지급"))</f>
        <v/>
      </c>
      <c r="I353">
        <f>IF($P353="","",INDEX(명단표[현재 근무병원],$P353))</f>
        <v/>
      </c>
      <c r="J353">
        <f>IF($P353="","",INDEX(명단표[구리 근무 시작일(기준월)],$P353)&amp;"")</f>
        <v/>
      </c>
      <c r="K353">
        <f>IF($P353="","",INDEX(명단표[구리 근무 종료일(기준월)],$P353)&amp;"")</f>
        <v/>
      </c>
      <c r="L353">
        <f>IF($P353="","",INDEX(명단표[서울 근무일(기준월)],$P353))</f>
        <v/>
      </c>
      <c r="M353">
        <f>IF($P353="","",INDEX(명단표[구리 근무일(기준월)],$P353))</f>
        <v/>
      </c>
      <c r="N353">
        <f>IF($P353="","",INDEX(명단표[급여 판정 근거],$P353))</f>
        <v/>
      </c>
      <c r="O353">
        <f>IF($P353="","",INDEX(명단표[점검],$P353))</f>
        <v/>
      </c>
      <c r="P353" s="17">
        <f>IFERROR(MATCH(348,명단표[서울순번],0),"")</f>
        <v/>
      </c>
      <c r="R353">
        <f>IF($W353="","",INDEX(명단표[이름],$W353))</f>
        <v/>
      </c>
      <c r="S353">
        <f>IF($W353="","",INDEX(명단표[사번],$W353)&amp;"")</f>
        <v/>
      </c>
      <c r="T353">
        <f>IF($W353="","",INDEX(명단표[소속병원],$W353))</f>
        <v/>
      </c>
      <c r="U353">
        <f>IF($W353="","",INDEX(명단표[서울 근무일(기준월)],$W353))</f>
        <v/>
      </c>
      <c r="V353">
        <f>IF($W353="","",INDEX(명단표[구리 근무일(기준월)],$W353))</f>
        <v/>
      </c>
      <c r="W353" s="17">
        <f>IFERROR(MATCH(348,명단표[판정불가순번],0),"")</f>
        <v/>
      </c>
    </row>
    <row r="354">
      <c r="A354">
        <f>IF($P354="","",349)</f>
        <v/>
      </c>
      <c r="B354">
        <f>IF($P354="","",INDEX(명단표[이름],$P354))</f>
        <v/>
      </c>
      <c r="C354">
        <f>IF($P354="","",INDEX(명단표[사번],$P354)&amp;"")</f>
        <v/>
      </c>
      <c r="D354">
        <f>IF($P354="","",INDEX(명단표[전공의등록번호],$P354)&amp;"")</f>
        <v/>
      </c>
      <c r="E354">
        <f>IF($P354="","",INDEX(명단표[수련과목],$P354)&amp;"")</f>
        <v/>
      </c>
      <c r="F354">
        <f>IF($P354="","",INDEX(명단표[연차],$P354)&amp;"")</f>
        <v/>
      </c>
      <c r="G354">
        <f>IF($P354="","",INDEX(명단표[소속병원],$P354))</f>
        <v/>
      </c>
      <c r="H354">
        <f>IF($P354="","",IF(INDEX(명단표[소속병원],$P354)="서울병원","서울 소속","타 병원 소속("&amp;INDEX(명단표[소속병원],$P354)&amp;") → 서울 지급"))</f>
        <v/>
      </c>
      <c r="I354">
        <f>IF($P354="","",INDEX(명단표[현재 근무병원],$P354))</f>
        <v/>
      </c>
      <c r="J354">
        <f>IF($P354="","",INDEX(명단표[구리 근무 시작일(기준월)],$P354)&amp;"")</f>
        <v/>
      </c>
      <c r="K354">
        <f>IF($P354="","",INDEX(명단표[구리 근무 종료일(기준월)],$P354)&amp;"")</f>
        <v/>
      </c>
      <c r="L354">
        <f>IF($P354="","",INDEX(명단표[서울 근무일(기준월)],$P354))</f>
        <v/>
      </c>
      <c r="M354">
        <f>IF($P354="","",INDEX(명단표[구리 근무일(기준월)],$P354))</f>
        <v/>
      </c>
      <c r="N354">
        <f>IF($P354="","",INDEX(명단표[급여 판정 근거],$P354))</f>
        <v/>
      </c>
      <c r="O354">
        <f>IF($P354="","",INDEX(명단표[점검],$P354))</f>
        <v/>
      </c>
      <c r="P354" s="17">
        <f>IFERROR(MATCH(349,명단표[서울순번],0),"")</f>
        <v/>
      </c>
      <c r="R354">
        <f>IF($W354="","",INDEX(명단표[이름],$W354))</f>
        <v/>
      </c>
      <c r="S354">
        <f>IF($W354="","",INDEX(명단표[사번],$W354)&amp;"")</f>
        <v/>
      </c>
      <c r="T354">
        <f>IF($W354="","",INDEX(명단표[소속병원],$W354))</f>
        <v/>
      </c>
      <c r="U354">
        <f>IF($W354="","",INDEX(명단표[서울 근무일(기준월)],$W354))</f>
        <v/>
      </c>
      <c r="V354">
        <f>IF($W354="","",INDEX(명단표[구리 근무일(기준월)],$W354))</f>
        <v/>
      </c>
      <c r="W354" s="17">
        <f>IFERROR(MATCH(349,명단표[판정불가순번],0),"")</f>
        <v/>
      </c>
    </row>
    <row r="355">
      <c r="A355">
        <f>IF($P355="","",350)</f>
        <v/>
      </c>
      <c r="B355">
        <f>IF($P355="","",INDEX(명단표[이름],$P355))</f>
        <v/>
      </c>
      <c r="C355">
        <f>IF($P355="","",INDEX(명단표[사번],$P355)&amp;"")</f>
        <v/>
      </c>
      <c r="D355">
        <f>IF($P355="","",INDEX(명단표[전공의등록번호],$P355)&amp;"")</f>
        <v/>
      </c>
      <c r="E355">
        <f>IF($P355="","",INDEX(명단표[수련과목],$P355)&amp;"")</f>
        <v/>
      </c>
      <c r="F355">
        <f>IF($P355="","",INDEX(명단표[연차],$P355)&amp;"")</f>
        <v/>
      </c>
      <c r="G355">
        <f>IF($P355="","",INDEX(명단표[소속병원],$P355))</f>
        <v/>
      </c>
      <c r="H355">
        <f>IF($P355="","",IF(INDEX(명단표[소속병원],$P355)="서울병원","서울 소속","타 병원 소속("&amp;INDEX(명단표[소속병원],$P355)&amp;") → 서울 지급"))</f>
        <v/>
      </c>
      <c r="I355">
        <f>IF($P355="","",INDEX(명단표[현재 근무병원],$P355))</f>
        <v/>
      </c>
      <c r="J355">
        <f>IF($P355="","",INDEX(명단표[구리 근무 시작일(기준월)],$P355)&amp;"")</f>
        <v/>
      </c>
      <c r="K355">
        <f>IF($P355="","",INDEX(명단표[구리 근무 종료일(기준월)],$P355)&amp;"")</f>
        <v/>
      </c>
      <c r="L355">
        <f>IF($P355="","",INDEX(명단표[서울 근무일(기준월)],$P355))</f>
        <v/>
      </c>
      <c r="M355">
        <f>IF($P355="","",INDEX(명단표[구리 근무일(기준월)],$P355))</f>
        <v/>
      </c>
      <c r="N355">
        <f>IF($P355="","",INDEX(명단표[급여 판정 근거],$P355))</f>
        <v/>
      </c>
      <c r="O355">
        <f>IF($P355="","",INDEX(명단표[점검],$P355))</f>
        <v/>
      </c>
      <c r="P355" s="17">
        <f>IFERROR(MATCH(350,명단표[서울순번],0),"")</f>
        <v/>
      </c>
      <c r="R355">
        <f>IF($W355="","",INDEX(명단표[이름],$W355))</f>
        <v/>
      </c>
      <c r="S355">
        <f>IF($W355="","",INDEX(명단표[사번],$W355)&amp;"")</f>
        <v/>
      </c>
      <c r="T355">
        <f>IF($W355="","",INDEX(명단표[소속병원],$W355))</f>
        <v/>
      </c>
      <c r="U355">
        <f>IF($W355="","",INDEX(명단표[서울 근무일(기준월)],$W355))</f>
        <v/>
      </c>
      <c r="V355">
        <f>IF($W355="","",INDEX(명단표[구리 근무일(기준월)],$W355))</f>
        <v/>
      </c>
      <c r="W355" s="17">
        <f>IFERROR(MATCH(350,명단표[판정불가순번],0),"")</f>
        <v/>
      </c>
    </row>
    <row r="356">
      <c r="A356">
        <f>IF($P356="","",351)</f>
        <v/>
      </c>
      <c r="B356">
        <f>IF($P356="","",INDEX(명단표[이름],$P356))</f>
        <v/>
      </c>
      <c r="C356">
        <f>IF($P356="","",INDEX(명단표[사번],$P356)&amp;"")</f>
        <v/>
      </c>
      <c r="D356">
        <f>IF($P356="","",INDEX(명단표[전공의등록번호],$P356)&amp;"")</f>
        <v/>
      </c>
      <c r="E356">
        <f>IF($P356="","",INDEX(명단표[수련과목],$P356)&amp;"")</f>
        <v/>
      </c>
      <c r="F356">
        <f>IF($P356="","",INDEX(명단표[연차],$P356)&amp;"")</f>
        <v/>
      </c>
      <c r="G356">
        <f>IF($P356="","",INDEX(명단표[소속병원],$P356))</f>
        <v/>
      </c>
      <c r="H356">
        <f>IF($P356="","",IF(INDEX(명단표[소속병원],$P356)="서울병원","서울 소속","타 병원 소속("&amp;INDEX(명단표[소속병원],$P356)&amp;") → 서울 지급"))</f>
        <v/>
      </c>
      <c r="I356">
        <f>IF($P356="","",INDEX(명단표[현재 근무병원],$P356))</f>
        <v/>
      </c>
      <c r="J356">
        <f>IF($P356="","",INDEX(명단표[구리 근무 시작일(기준월)],$P356)&amp;"")</f>
        <v/>
      </c>
      <c r="K356">
        <f>IF($P356="","",INDEX(명단표[구리 근무 종료일(기준월)],$P356)&amp;"")</f>
        <v/>
      </c>
      <c r="L356">
        <f>IF($P356="","",INDEX(명단표[서울 근무일(기준월)],$P356))</f>
        <v/>
      </c>
      <c r="M356">
        <f>IF($P356="","",INDEX(명단표[구리 근무일(기준월)],$P356))</f>
        <v/>
      </c>
      <c r="N356">
        <f>IF($P356="","",INDEX(명단표[급여 판정 근거],$P356))</f>
        <v/>
      </c>
      <c r="O356">
        <f>IF($P356="","",INDEX(명단표[점검],$P356))</f>
        <v/>
      </c>
      <c r="P356" s="17">
        <f>IFERROR(MATCH(351,명단표[서울순번],0),"")</f>
        <v/>
      </c>
      <c r="R356">
        <f>IF($W356="","",INDEX(명단표[이름],$W356))</f>
        <v/>
      </c>
      <c r="S356">
        <f>IF($W356="","",INDEX(명단표[사번],$W356)&amp;"")</f>
        <v/>
      </c>
      <c r="T356">
        <f>IF($W356="","",INDEX(명단표[소속병원],$W356))</f>
        <v/>
      </c>
      <c r="U356">
        <f>IF($W356="","",INDEX(명단표[서울 근무일(기준월)],$W356))</f>
        <v/>
      </c>
      <c r="V356">
        <f>IF($W356="","",INDEX(명단표[구리 근무일(기준월)],$W356))</f>
        <v/>
      </c>
      <c r="W356" s="17">
        <f>IFERROR(MATCH(351,명단표[판정불가순번],0),"")</f>
        <v/>
      </c>
    </row>
    <row r="357">
      <c r="A357">
        <f>IF($P357="","",352)</f>
        <v/>
      </c>
      <c r="B357">
        <f>IF($P357="","",INDEX(명단표[이름],$P357))</f>
        <v/>
      </c>
      <c r="C357">
        <f>IF($P357="","",INDEX(명단표[사번],$P357)&amp;"")</f>
        <v/>
      </c>
      <c r="D357">
        <f>IF($P357="","",INDEX(명단표[전공의등록번호],$P357)&amp;"")</f>
        <v/>
      </c>
      <c r="E357">
        <f>IF($P357="","",INDEX(명단표[수련과목],$P357)&amp;"")</f>
        <v/>
      </c>
      <c r="F357">
        <f>IF($P357="","",INDEX(명단표[연차],$P357)&amp;"")</f>
        <v/>
      </c>
      <c r="G357">
        <f>IF($P357="","",INDEX(명단표[소속병원],$P357))</f>
        <v/>
      </c>
      <c r="H357">
        <f>IF($P357="","",IF(INDEX(명단표[소속병원],$P357)="서울병원","서울 소속","타 병원 소속("&amp;INDEX(명단표[소속병원],$P357)&amp;") → 서울 지급"))</f>
        <v/>
      </c>
      <c r="I357">
        <f>IF($P357="","",INDEX(명단표[현재 근무병원],$P357))</f>
        <v/>
      </c>
      <c r="J357">
        <f>IF($P357="","",INDEX(명단표[구리 근무 시작일(기준월)],$P357)&amp;"")</f>
        <v/>
      </c>
      <c r="K357">
        <f>IF($P357="","",INDEX(명단표[구리 근무 종료일(기준월)],$P357)&amp;"")</f>
        <v/>
      </c>
      <c r="L357">
        <f>IF($P357="","",INDEX(명단표[서울 근무일(기준월)],$P357))</f>
        <v/>
      </c>
      <c r="M357">
        <f>IF($P357="","",INDEX(명단표[구리 근무일(기준월)],$P357))</f>
        <v/>
      </c>
      <c r="N357">
        <f>IF($P357="","",INDEX(명단표[급여 판정 근거],$P357))</f>
        <v/>
      </c>
      <c r="O357">
        <f>IF($P357="","",INDEX(명단표[점검],$P357))</f>
        <v/>
      </c>
      <c r="P357" s="17">
        <f>IFERROR(MATCH(352,명단표[서울순번],0),"")</f>
        <v/>
      </c>
      <c r="R357">
        <f>IF($W357="","",INDEX(명단표[이름],$W357))</f>
        <v/>
      </c>
      <c r="S357">
        <f>IF($W357="","",INDEX(명단표[사번],$W357)&amp;"")</f>
        <v/>
      </c>
      <c r="T357">
        <f>IF($W357="","",INDEX(명단표[소속병원],$W357))</f>
        <v/>
      </c>
      <c r="U357">
        <f>IF($W357="","",INDEX(명단표[서울 근무일(기준월)],$W357))</f>
        <v/>
      </c>
      <c r="V357">
        <f>IF($W357="","",INDEX(명단표[구리 근무일(기준월)],$W357))</f>
        <v/>
      </c>
      <c r="W357" s="17">
        <f>IFERROR(MATCH(352,명단표[판정불가순번],0),"")</f>
        <v/>
      </c>
    </row>
    <row r="358">
      <c r="A358">
        <f>IF($P358="","",353)</f>
        <v/>
      </c>
      <c r="B358">
        <f>IF($P358="","",INDEX(명단표[이름],$P358))</f>
        <v/>
      </c>
      <c r="C358">
        <f>IF($P358="","",INDEX(명단표[사번],$P358)&amp;"")</f>
        <v/>
      </c>
      <c r="D358">
        <f>IF($P358="","",INDEX(명단표[전공의등록번호],$P358)&amp;"")</f>
        <v/>
      </c>
      <c r="E358">
        <f>IF($P358="","",INDEX(명단표[수련과목],$P358)&amp;"")</f>
        <v/>
      </c>
      <c r="F358">
        <f>IF($P358="","",INDEX(명단표[연차],$P358)&amp;"")</f>
        <v/>
      </c>
      <c r="G358">
        <f>IF($P358="","",INDEX(명단표[소속병원],$P358))</f>
        <v/>
      </c>
      <c r="H358">
        <f>IF($P358="","",IF(INDEX(명단표[소속병원],$P358)="서울병원","서울 소속","타 병원 소속("&amp;INDEX(명단표[소속병원],$P358)&amp;") → 서울 지급"))</f>
        <v/>
      </c>
      <c r="I358">
        <f>IF($P358="","",INDEX(명단표[현재 근무병원],$P358))</f>
        <v/>
      </c>
      <c r="J358">
        <f>IF($P358="","",INDEX(명단표[구리 근무 시작일(기준월)],$P358)&amp;"")</f>
        <v/>
      </c>
      <c r="K358">
        <f>IF($P358="","",INDEX(명단표[구리 근무 종료일(기준월)],$P358)&amp;"")</f>
        <v/>
      </c>
      <c r="L358">
        <f>IF($P358="","",INDEX(명단표[서울 근무일(기준월)],$P358))</f>
        <v/>
      </c>
      <c r="M358">
        <f>IF($P358="","",INDEX(명단표[구리 근무일(기준월)],$P358))</f>
        <v/>
      </c>
      <c r="N358">
        <f>IF($P358="","",INDEX(명단표[급여 판정 근거],$P358))</f>
        <v/>
      </c>
      <c r="O358">
        <f>IF($P358="","",INDEX(명단표[점검],$P358))</f>
        <v/>
      </c>
      <c r="P358" s="17">
        <f>IFERROR(MATCH(353,명단표[서울순번],0),"")</f>
        <v/>
      </c>
      <c r="R358">
        <f>IF($W358="","",INDEX(명단표[이름],$W358))</f>
        <v/>
      </c>
      <c r="S358">
        <f>IF($W358="","",INDEX(명단표[사번],$W358)&amp;"")</f>
        <v/>
      </c>
      <c r="T358">
        <f>IF($W358="","",INDEX(명단표[소속병원],$W358))</f>
        <v/>
      </c>
      <c r="U358">
        <f>IF($W358="","",INDEX(명단표[서울 근무일(기준월)],$W358))</f>
        <v/>
      </c>
      <c r="V358">
        <f>IF($W358="","",INDEX(명단표[구리 근무일(기준월)],$W358))</f>
        <v/>
      </c>
      <c r="W358" s="17">
        <f>IFERROR(MATCH(353,명단표[판정불가순번],0),"")</f>
        <v/>
      </c>
    </row>
    <row r="359">
      <c r="A359">
        <f>IF($P359="","",354)</f>
        <v/>
      </c>
      <c r="B359">
        <f>IF($P359="","",INDEX(명단표[이름],$P359))</f>
        <v/>
      </c>
      <c r="C359">
        <f>IF($P359="","",INDEX(명단표[사번],$P359)&amp;"")</f>
        <v/>
      </c>
      <c r="D359">
        <f>IF($P359="","",INDEX(명단표[전공의등록번호],$P359)&amp;"")</f>
        <v/>
      </c>
      <c r="E359">
        <f>IF($P359="","",INDEX(명단표[수련과목],$P359)&amp;"")</f>
        <v/>
      </c>
      <c r="F359">
        <f>IF($P359="","",INDEX(명단표[연차],$P359)&amp;"")</f>
        <v/>
      </c>
      <c r="G359">
        <f>IF($P359="","",INDEX(명단표[소속병원],$P359))</f>
        <v/>
      </c>
      <c r="H359">
        <f>IF($P359="","",IF(INDEX(명단표[소속병원],$P359)="서울병원","서울 소속","타 병원 소속("&amp;INDEX(명단표[소속병원],$P359)&amp;") → 서울 지급"))</f>
        <v/>
      </c>
      <c r="I359">
        <f>IF($P359="","",INDEX(명단표[현재 근무병원],$P359))</f>
        <v/>
      </c>
      <c r="J359">
        <f>IF($P359="","",INDEX(명단표[구리 근무 시작일(기준월)],$P359)&amp;"")</f>
        <v/>
      </c>
      <c r="K359">
        <f>IF($P359="","",INDEX(명단표[구리 근무 종료일(기준월)],$P359)&amp;"")</f>
        <v/>
      </c>
      <c r="L359">
        <f>IF($P359="","",INDEX(명단표[서울 근무일(기준월)],$P359))</f>
        <v/>
      </c>
      <c r="M359">
        <f>IF($P359="","",INDEX(명단표[구리 근무일(기준월)],$P359))</f>
        <v/>
      </c>
      <c r="N359">
        <f>IF($P359="","",INDEX(명단표[급여 판정 근거],$P359))</f>
        <v/>
      </c>
      <c r="O359">
        <f>IF($P359="","",INDEX(명단표[점검],$P359))</f>
        <v/>
      </c>
      <c r="P359" s="17">
        <f>IFERROR(MATCH(354,명단표[서울순번],0),"")</f>
        <v/>
      </c>
      <c r="R359">
        <f>IF($W359="","",INDEX(명단표[이름],$W359))</f>
        <v/>
      </c>
      <c r="S359">
        <f>IF($W359="","",INDEX(명단표[사번],$W359)&amp;"")</f>
        <v/>
      </c>
      <c r="T359">
        <f>IF($W359="","",INDEX(명단표[소속병원],$W359))</f>
        <v/>
      </c>
      <c r="U359">
        <f>IF($W359="","",INDEX(명단표[서울 근무일(기준월)],$W359))</f>
        <v/>
      </c>
      <c r="V359">
        <f>IF($W359="","",INDEX(명단표[구리 근무일(기준월)],$W359))</f>
        <v/>
      </c>
      <c r="W359" s="17">
        <f>IFERROR(MATCH(354,명단표[판정불가순번],0),"")</f>
        <v/>
      </c>
    </row>
    <row r="360">
      <c r="A360">
        <f>IF($P360="","",355)</f>
        <v/>
      </c>
      <c r="B360">
        <f>IF($P360="","",INDEX(명단표[이름],$P360))</f>
        <v/>
      </c>
      <c r="C360">
        <f>IF($P360="","",INDEX(명단표[사번],$P360)&amp;"")</f>
        <v/>
      </c>
      <c r="D360">
        <f>IF($P360="","",INDEX(명단표[전공의등록번호],$P360)&amp;"")</f>
        <v/>
      </c>
      <c r="E360">
        <f>IF($P360="","",INDEX(명단표[수련과목],$P360)&amp;"")</f>
        <v/>
      </c>
      <c r="F360">
        <f>IF($P360="","",INDEX(명단표[연차],$P360)&amp;"")</f>
        <v/>
      </c>
      <c r="G360">
        <f>IF($P360="","",INDEX(명단표[소속병원],$P360))</f>
        <v/>
      </c>
      <c r="H360">
        <f>IF($P360="","",IF(INDEX(명단표[소속병원],$P360)="서울병원","서울 소속","타 병원 소속("&amp;INDEX(명단표[소속병원],$P360)&amp;") → 서울 지급"))</f>
        <v/>
      </c>
      <c r="I360">
        <f>IF($P360="","",INDEX(명단표[현재 근무병원],$P360))</f>
        <v/>
      </c>
      <c r="J360">
        <f>IF($P360="","",INDEX(명단표[구리 근무 시작일(기준월)],$P360)&amp;"")</f>
        <v/>
      </c>
      <c r="K360">
        <f>IF($P360="","",INDEX(명단표[구리 근무 종료일(기준월)],$P360)&amp;"")</f>
        <v/>
      </c>
      <c r="L360">
        <f>IF($P360="","",INDEX(명단표[서울 근무일(기준월)],$P360))</f>
        <v/>
      </c>
      <c r="M360">
        <f>IF($P360="","",INDEX(명단표[구리 근무일(기준월)],$P360))</f>
        <v/>
      </c>
      <c r="N360">
        <f>IF($P360="","",INDEX(명단표[급여 판정 근거],$P360))</f>
        <v/>
      </c>
      <c r="O360">
        <f>IF($P360="","",INDEX(명단표[점검],$P360))</f>
        <v/>
      </c>
      <c r="P360" s="17">
        <f>IFERROR(MATCH(355,명단표[서울순번],0),"")</f>
        <v/>
      </c>
      <c r="R360">
        <f>IF($W360="","",INDEX(명단표[이름],$W360))</f>
        <v/>
      </c>
      <c r="S360">
        <f>IF($W360="","",INDEX(명단표[사번],$W360)&amp;"")</f>
        <v/>
      </c>
      <c r="T360">
        <f>IF($W360="","",INDEX(명단표[소속병원],$W360))</f>
        <v/>
      </c>
      <c r="U360">
        <f>IF($W360="","",INDEX(명단표[서울 근무일(기준월)],$W360))</f>
        <v/>
      </c>
      <c r="V360">
        <f>IF($W360="","",INDEX(명단표[구리 근무일(기준월)],$W360))</f>
        <v/>
      </c>
      <c r="W360" s="17">
        <f>IFERROR(MATCH(355,명단표[판정불가순번],0),"")</f>
        <v/>
      </c>
    </row>
    <row r="361">
      <c r="A361">
        <f>IF($P361="","",356)</f>
        <v/>
      </c>
      <c r="B361">
        <f>IF($P361="","",INDEX(명단표[이름],$P361))</f>
        <v/>
      </c>
      <c r="C361">
        <f>IF($P361="","",INDEX(명단표[사번],$P361)&amp;"")</f>
        <v/>
      </c>
      <c r="D361">
        <f>IF($P361="","",INDEX(명단표[전공의등록번호],$P361)&amp;"")</f>
        <v/>
      </c>
      <c r="E361">
        <f>IF($P361="","",INDEX(명단표[수련과목],$P361)&amp;"")</f>
        <v/>
      </c>
      <c r="F361">
        <f>IF($P361="","",INDEX(명단표[연차],$P361)&amp;"")</f>
        <v/>
      </c>
      <c r="G361">
        <f>IF($P361="","",INDEX(명단표[소속병원],$P361))</f>
        <v/>
      </c>
      <c r="H361">
        <f>IF($P361="","",IF(INDEX(명단표[소속병원],$P361)="서울병원","서울 소속","타 병원 소속("&amp;INDEX(명단표[소속병원],$P361)&amp;") → 서울 지급"))</f>
        <v/>
      </c>
      <c r="I361">
        <f>IF($P361="","",INDEX(명단표[현재 근무병원],$P361))</f>
        <v/>
      </c>
      <c r="J361">
        <f>IF($P361="","",INDEX(명단표[구리 근무 시작일(기준월)],$P361)&amp;"")</f>
        <v/>
      </c>
      <c r="K361">
        <f>IF($P361="","",INDEX(명단표[구리 근무 종료일(기준월)],$P361)&amp;"")</f>
        <v/>
      </c>
      <c r="L361">
        <f>IF($P361="","",INDEX(명단표[서울 근무일(기준월)],$P361))</f>
        <v/>
      </c>
      <c r="M361">
        <f>IF($P361="","",INDEX(명단표[구리 근무일(기준월)],$P361))</f>
        <v/>
      </c>
      <c r="N361">
        <f>IF($P361="","",INDEX(명단표[급여 판정 근거],$P361))</f>
        <v/>
      </c>
      <c r="O361">
        <f>IF($P361="","",INDEX(명단표[점검],$P361))</f>
        <v/>
      </c>
      <c r="P361" s="17">
        <f>IFERROR(MATCH(356,명단표[서울순번],0),"")</f>
        <v/>
      </c>
      <c r="R361">
        <f>IF($W361="","",INDEX(명단표[이름],$W361))</f>
        <v/>
      </c>
      <c r="S361">
        <f>IF($W361="","",INDEX(명단표[사번],$W361)&amp;"")</f>
        <v/>
      </c>
      <c r="T361">
        <f>IF($W361="","",INDEX(명단표[소속병원],$W361))</f>
        <v/>
      </c>
      <c r="U361">
        <f>IF($W361="","",INDEX(명단표[서울 근무일(기준월)],$W361))</f>
        <v/>
      </c>
      <c r="V361">
        <f>IF($W361="","",INDEX(명단표[구리 근무일(기준월)],$W361))</f>
        <v/>
      </c>
      <c r="W361" s="17">
        <f>IFERROR(MATCH(356,명단표[판정불가순번],0),"")</f>
        <v/>
      </c>
    </row>
    <row r="362">
      <c r="A362">
        <f>IF($P362="","",357)</f>
        <v/>
      </c>
      <c r="B362">
        <f>IF($P362="","",INDEX(명단표[이름],$P362))</f>
        <v/>
      </c>
      <c r="C362">
        <f>IF($P362="","",INDEX(명단표[사번],$P362)&amp;"")</f>
        <v/>
      </c>
      <c r="D362">
        <f>IF($P362="","",INDEX(명단표[전공의등록번호],$P362)&amp;"")</f>
        <v/>
      </c>
      <c r="E362">
        <f>IF($P362="","",INDEX(명단표[수련과목],$P362)&amp;"")</f>
        <v/>
      </c>
      <c r="F362">
        <f>IF($P362="","",INDEX(명단표[연차],$P362)&amp;"")</f>
        <v/>
      </c>
      <c r="G362">
        <f>IF($P362="","",INDEX(명단표[소속병원],$P362))</f>
        <v/>
      </c>
      <c r="H362">
        <f>IF($P362="","",IF(INDEX(명단표[소속병원],$P362)="서울병원","서울 소속","타 병원 소속("&amp;INDEX(명단표[소속병원],$P362)&amp;") → 서울 지급"))</f>
        <v/>
      </c>
      <c r="I362">
        <f>IF($P362="","",INDEX(명단표[현재 근무병원],$P362))</f>
        <v/>
      </c>
      <c r="J362">
        <f>IF($P362="","",INDEX(명단표[구리 근무 시작일(기준월)],$P362)&amp;"")</f>
        <v/>
      </c>
      <c r="K362">
        <f>IF($P362="","",INDEX(명단표[구리 근무 종료일(기준월)],$P362)&amp;"")</f>
        <v/>
      </c>
      <c r="L362">
        <f>IF($P362="","",INDEX(명단표[서울 근무일(기준월)],$P362))</f>
        <v/>
      </c>
      <c r="M362">
        <f>IF($P362="","",INDEX(명단표[구리 근무일(기준월)],$P362))</f>
        <v/>
      </c>
      <c r="N362">
        <f>IF($P362="","",INDEX(명단표[급여 판정 근거],$P362))</f>
        <v/>
      </c>
      <c r="O362">
        <f>IF($P362="","",INDEX(명단표[점검],$P362))</f>
        <v/>
      </c>
      <c r="P362" s="17">
        <f>IFERROR(MATCH(357,명단표[서울순번],0),"")</f>
        <v/>
      </c>
      <c r="R362">
        <f>IF($W362="","",INDEX(명단표[이름],$W362))</f>
        <v/>
      </c>
      <c r="S362">
        <f>IF($W362="","",INDEX(명단표[사번],$W362)&amp;"")</f>
        <v/>
      </c>
      <c r="T362">
        <f>IF($W362="","",INDEX(명단표[소속병원],$W362))</f>
        <v/>
      </c>
      <c r="U362">
        <f>IF($W362="","",INDEX(명단표[서울 근무일(기준월)],$W362))</f>
        <v/>
      </c>
      <c r="V362">
        <f>IF($W362="","",INDEX(명단표[구리 근무일(기준월)],$W362))</f>
        <v/>
      </c>
      <c r="W362" s="17">
        <f>IFERROR(MATCH(357,명단표[판정불가순번],0),"")</f>
        <v/>
      </c>
    </row>
    <row r="363">
      <c r="A363">
        <f>IF($P363="","",358)</f>
        <v/>
      </c>
      <c r="B363">
        <f>IF($P363="","",INDEX(명단표[이름],$P363))</f>
        <v/>
      </c>
      <c r="C363">
        <f>IF($P363="","",INDEX(명단표[사번],$P363)&amp;"")</f>
        <v/>
      </c>
      <c r="D363">
        <f>IF($P363="","",INDEX(명단표[전공의등록번호],$P363)&amp;"")</f>
        <v/>
      </c>
      <c r="E363">
        <f>IF($P363="","",INDEX(명단표[수련과목],$P363)&amp;"")</f>
        <v/>
      </c>
      <c r="F363">
        <f>IF($P363="","",INDEX(명단표[연차],$P363)&amp;"")</f>
        <v/>
      </c>
      <c r="G363">
        <f>IF($P363="","",INDEX(명단표[소속병원],$P363))</f>
        <v/>
      </c>
      <c r="H363">
        <f>IF($P363="","",IF(INDEX(명단표[소속병원],$P363)="서울병원","서울 소속","타 병원 소속("&amp;INDEX(명단표[소속병원],$P363)&amp;") → 서울 지급"))</f>
        <v/>
      </c>
      <c r="I363">
        <f>IF($P363="","",INDEX(명단표[현재 근무병원],$P363))</f>
        <v/>
      </c>
      <c r="J363">
        <f>IF($P363="","",INDEX(명단표[구리 근무 시작일(기준월)],$P363)&amp;"")</f>
        <v/>
      </c>
      <c r="K363">
        <f>IF($P363="","",INDEX(명단표[구리 근무 종료일(기준월)],$P363)&amp;"")</f>
        <v/>
      </c>
      <c r="L363">
        <f>IF($P363="","",INDEX(명단표[서울 근무일(기준월)],$P363))</f>
        <v/>
      </c>
      <c r="M363">
        <f>IF($P363="","",INDEX(명단표[구리 근무일(기준월)],$P363))</f>
        <v/>
      </c>
      <c r="N363">
        <f>IF($P363="","",INDEX(명단표[급여 판정 근거],$P363))</f>
        <v/>
      </c>
      <c r="O363">
        <f>IF($P363="","",INDEX(명단표[점검],$P363))</f>
        <v/>
      </c>
      <c r="P363" s="17">
        <f>IFERROR(MATCH(358,명단표[서울순번],0),"")</f>
        <v/>
      </c>
      <c r="R363">
        <f>IF($W363="","",INDEX(명단표[이름],$W363))</f>
        <v/>
      </c>
      <c r="S363">
        <f>IF($W363="","",INDEX(명단표[사번],$W363)&amp;"")</f>
        <v/>
      </c>
      <c r="T363">
        <f>IF($W363="","",INDEX(명단표[소속병원],$W363))</f>
        <v/>
      </c>
      <c r="U363">
        <f>IF($W363="","",INDEX(명단표[서울 근무일(기준월)],$W363))</f>
        <v/>
      </c>
      <c r="V363">
        <f>IF($W363="","",INDEX(명단표[구리 근무일(기준월)],$W363))</f>
        <v/>
      </c>
      <c r="W363" s="17">
        <f>IFERROR(MATCH(358,명단표[판정불가순번],0),"")</f>
        <v/>
      </c>
    </row>
    <row r="364">
      <c r="A364">
        <f>IF($P364="","",359)</f>
        <v/>
      </c>
      <c r="B364">
        <f>IF($P364="","",INDEX(명단표[이름],$P364))</f>
        <v/>
      </c>
      <c r="C364">
        <f>IF($P364="","",INDEX(명단표[사번],$P364)&amp;"")</f>
        <v/>
      </c>
      <c r="D364">
        <f>IF($P364="","",INDEX(명단표[전공의등록번호],$P364)&amp;"")</f>
        <v/>
      </c>
      <c r="E364">
        <f>IF($P364="","",INDEX(명단표[수련과목],$P364)&amp;"")</f>
        <v/>
      </c>
      <c r="F364">
        <f>IF($P364="","",INDEX(명단표[연차],$P364)&amp;"")</f>
        <v/>
      </c>
      <c r="G364">
        <f>IF($P364="","",INDEX(명단표[소속병원],$P364))</f>
        <v/>
      </c>
      <c r="H364">
        <f>IF($P364="","",IF(INDEX(명단표[소속병원],$P364)="서울병원","서울 소속","타 병원 소속("&amp;INDEX(명단표[소속병원],$P364)&amp;") → 서울 지급"))</f>
        <v/>
      </c>
      <c r="I364">
        <f>IF($P364="","",INDEX(명단표[현재 근무병원],$P364))</f>
        <v/>
      </c>
      <c r="J364">
        <f>IF($P364="","",INDEX(명단표[구리 근무 시작일(기준월)],$P364)&amp;"")</f>
        <v/>
      </c>
      <c r="K364">
        <f>IF($P364="","",INDEX(명단표[구리 근무 종료일(기준월)],$P364)&amp;"")</f>
        <v/>
      </c>
      <c r="L364">
        <f>IF($P364="","",INDEX(명단표[서울 근무일(기준월)],$P364))</f>
        <v/>
      </c>
      <c r="M364">
        <f>IF($P364="","",INDEX(명단표[구리 근무일(기준월)],$P364))</f>
        <v/>
      </c>
      <c r="N364">
        <f>IF($P364="","",INDEX(명단표[급여 판정 근거],$P364))</f>
        <v/>
      </c>
      <c r="O364">
        <f>IF($P364="","",INDEX(명단표[점검],$P364))</f>
        <v/>
      </c>
      <c r="P364" s="17">
        <f>IFERROR(MATCH(359,명단표[서울순번],0),"")</f>
        <v/>
      </c>
      <c r="R364">
        <f>IF($W364="","",INDEX(명단표[이름],$W364))</f>
        <v/>
      </c>
      <c r="S364">
        <f>IF($W364="","",INDEX(명단표[사번],$W364)&amp;"")</f>
        <v/>
      </c>
      <c r="T364">
        <f>IF($W364="","",INDEX(명단표[소속병원],$W364))</f>
        <v/>
      </c>
      <c r="U364">
        <f>IF($W364="","",INDEX(명단표[서울 근무일(기준월)],$W364))</f>
        <v/>
      </c>
      <c r="V364">
        <f>IF($W364="","",INDEX(명단표[구리 근무일(기준월)],$W364))</f>
        <v/>
      </c>
      <c r="W364" s="17">
        <f>IFERROR(MATCH(359,명단표[판정불가순번],0),"")</f>
        <v/>
      </c>
    </row>
    <row r="365">
      <c r="A365">
        <f>IF($P365="","",360)</f>
        <v/>
      </c>
      <c r="B365">
        <f>IF($P365="","",INDEX(명단표[이름],$P365))</f>
        <v/>
      </c>
      <c r="C365">
        <f>IF($P365="","",INDEX(명단표[사번],$P365)&amp;"")</f>
        <v/>
      </c>
      <c r="D365">
        <f>IF($P365="","",INDEX(명단표[전공의등록번호],$P365)&amp;"")</f>
        <v/>
      </c>
      <c r="E365">
        <f>IF($P365="","",INDEX(명단표[수련과목],$P365)&amp;"")</f>
        <v/>
      </c>
      <c r="F365">
        <f>IF($P365="","",INDEX(명단표[연차],$P365)&amp;"")</f>
        <v/>
      </c>
      <c r="G365">
        <f>IF($P365="","",INDEX(명단표[소속병원],$P365))</f>
        <v/>
      </c>
      <c r="H365">
        <f>IF($P365="","",IF(INDEX(명단표[소속병원],$P365)="서울병원","서울 소속","타 병원 소속("&amp;INDEX(명단표[소속병원],$P365)&amp;") → 서울 지급"))</f>
        <v/>
      </c>
      <c r="I365">
        <f>IF($P365="","",INDEX(명단표[현재 근무병원],$P365))</f>
        <v/>
      </c>
      <c r="J365">
        <f>IF($P365="","",INDEX(명단표[구리 근무 시작일(기준월)],$P365)&amp;"")</f>
        <v/>
      </c>
      <c r="K365">
        <f>IF($P365="","",INDEX(명단표[구리 근무 종료일(기준월)],$P365)&amp;"")</f>
        <v/>
      </c>
      <c r="L365">
        <f>IF($P365="","",INDEX(명단표[서울 근무일(기준월)],$P365))</f>
        <v/>
      </c>
      <c r="M365">
        <f>IF($P365="","",INDEX(명단표[구리 근무일(기준월)],$P365))</f>
        <v/>
      </c>
      <c r="N365">
        <f>IF($P365="","",INDEX(명단표[급여 판정 근거],$P365))</f>
        <v/>
      </c>
      <c r="O365">
        <f>IF($P365="","",INDEX(명단표[점검],$P365))</f>
        <v/>
      </c>
      <c r="P365" s="17">
        <f>IFERROR(MATCH(360,명단표[서울순번],0),"")</f>
        <v/>
      </c>
      <c r="R365">
        <f>IF($W365="","",INDEX(명단표[이름],$W365))</f>
        <v/>
      </c>
      <c r="S365">
        <f>IF($W365="","",INDEX(명단표[사번],$W365)&amp;"")</f>
        <v/>
      </c>
      <c r="T365">
        <f>IF($W365="","",INDEX(명단표[소속병원],$W365))</f>
        <v/>
      </c>
      <c r="U365">
        <f>IF($W365="","",INDEX(명단표[서울 근무일(기준월)],$W365))</f>
        <v/>
      </c>
      <c r="V365">
        <f>IF($W365="","",INDEX(명단표[구리 근무일(기준월)],$W365))</f>
        <v/>
      </c>
      <c r="W365" s="17">
        <f>IFERROR(MATCH(360,명단표[판정불가순번],0),"")</f>
        <v/>
      </c>
    </row>
    <row r="366">
      <c r="A366">
        <f>IF($P366="","",361)</f>
        <v/>
      </c>
      <c r="B366">
        <f>IF($P366="","",INDEX(명단표[이름],$P366))</f>
        <v/>
      </c>
      <c r="C366">
        <f>IF($P366="","",INDEX(명단표[사번],$P366)&amp;"")</f>
        <v/>
      </c>
      <c r="D366">
        <f>IF($P366="","",INDEX(명단표[전공의등록번호],$P366)&amp;"")</f>
        <v/>
      </c>
      <c r="E366">
        <f>IF($P366="","",INDEX(명단표[수련과목],$P366)&amp;"")</f>
        <v/>
      </c>
      <c r="F366">
        <f>IF($P366="","",INDEX(명단표[연차],$P366)&amp;"")</f>
        <v/>
      </c>
      <c r="G366">
        <f>IF($P366="","",INDEX(명단표[소속병원],$P366))</f>
        <v/>
      </c>
      <c r="H366">
        <f>IF($P366="","",IF(INDEX(명단표[소속병원],$P366)="서울병원","서울 소속","타 병원 소속("&amp;INDEX(명단표[소속병원],$P366)&amp;") → 서울 지급"))</f>
        <v/>
      </c>
      <c r="I366">
        <f>IF($P366="","",INDEX(명단표[현재 근무병원],$P366))</f>
        <v/>
      </c>
      <c r="J366">
        <f>IF($P366="","",INDEX(명단표[구리 근무 시작일(기준월)],$P366)&amp;"")</f>
        <v/>
      </c>
      <c r="K366">
        <f>IF($P366="","",INDEX(명단표[구리 근무 종료일(기준월)],$P366)&amp;"")</f>
        <v/>
      </c>
      <c r="L366">
        <f>IF($P366="","",INDEX(명단표[서울 근무일(기준월)],$P366))</f>
        <v/>
      </c>
      <c r="M366">
        <f>IF($P366="","",INDEX(명단표[구리 근무일(기준월)],$P366))</f>
        <v/>
      </c>
      <c r="N366">
        <f>IF($P366="","",INDEX(명단표[급여 판정 근거],$P366))</f>
        <v/>
      </c>
      <c r="O366">
        <f>IF($P366="","",INDEX(명단표[점검],$P366))</f>
        <v/>
      </c>
      <c r="P366" s="17">
        <f>IFERROR(MATCH(361,명단표[서울순번],0),"")</f>
        <v/>
      </c>
      <c r="R366">
        <f>IF($W366="","",INDEX(명단표[이름],$W366))</f>
        <v/>
      </c>
      <c r="S366">
        <f>IF($W366="","",INDEX(명단표[사번],$W366)&amp;"")</f>
        <v/>
      </c>
      <c r="T366">
        <f>IF($W366="","",INDEX(명단표[소속병원],$W366))</f>
        <v/>
      </c>
      <c r="U366">
        <f>IF($W366="","",INDEX(명단표[서울 근무일(기준월)],$W366))</f>
        <v/>
      </c>
      <c r="V366">
        <f>IF($W366="","",INDEX(명단표[구리 근무일(기준월)],$W366))</f>
        <v/>
      </c>
      <c r="W366" s="17">
        <f>IFERROR(MATCH(361,명단표[판정불가순번],0),"")</f>
        <v/>
      </c>
    </row>
    <row r="367">
      <c r="A367">
        <f>IF($P367="","",362)</f>
        <v/>
      </c>
      <c r="B367">
        <f>IF($P367="","",INDEX(명단표[이름],$P367))</f>
        <v/>
      </c>
      <c r="C367">
        <f>IF($P367="","",INDEX(명단표[사번],$P367)&amp;"")</f>
        <v/>
      </c>
      <c r="D367">
        <f>IF($P367="","",INDEX(명단표[전공의등록번호],$P367)&amp;"")</f>
        <v/>
      </c>
      <c r="E367">
        <f>IF($P367="","",INDEX(명단표[수련과목],$P367)&amp;"")</f>
        <v/>
      </c>
      <c r="F367">
        <f>IF($P367="","",INDEX(명단표[연차],$P367)&amp;"")</f>
        <v/>
      </c>
      <c r="G367">
        <f>IF($P367="","",INDEX(명단표[소속병원],$P367))</f>
        <v/>
      </c>
      <c r="H367">
        <f>IF($P367="","",IF(INDEX(명단표[소속병원],$P367)="서울병원","서울 소속","타 병원 소속("&amp;INDEX(명단표[소속병원],$P367)&amp;") → 서울 지급"))</f>
        <v/>
      </c>
      <c r="I367">
        <f>IF($P367="","",INDEX(명단표[현재 근무병원],$P367))</f>
        <v/>
      </c>
      <c r="J367">
        <f>IF($P367="","",INDEX(명단표[구리 근무 시작일(기준월)],$P367)&amp;"")</f>
        <v/>
      </c>
      <c r="K367">
        <f>IF($P367="","",INDEX(명단표[구리 근무 종료일(기준월)],$P367)&amp;"")</f>
        <v/>
      </c>
      <c r="L367">
        <f>IF($P367="","",INDEX(명단표[서울 근무일(기준월)],$P367))</f>
        <v/>
      </c>
      <c r="M367">
        <f>IF($P367="","",INDEX(명단표[구리 근무일(기준월)],$P367))</f>
        <v/>
      </c>
      <c r="N367">
        <f>IF($P367="","",INDEX(명단표[급여 판정 근거],$P367))</f>
        <v/>
      </c>
      <c r="O367">
        <f>IF($P367="","",INDEX(명단표[점검],$P367))</f>
        <v/>
      </c>
      <c r="P367" s="17">
        <f>IFERROR(MATCH(362,명단표[서울순번],0),"")</f>
        <v/>
      </c>
      <c r="R367">
        <f>IF($W367="","",INDEX(명단표[이름],$W367))</f>
        <v/>
      </c>
      <c r="S367">
        <f>IF($W367="","",INDEX(명단표[사번],$W367)&amp;"")</f>
        <v/>
      </c>
      <c r="T367">
        <f>IF($W367="","",INDEX(명단표[소속병원],$W367))</f>
        <v/>
      </c>
      <c r="U367">
        <f>IF($W367="","",INDEX(명단표[서울 근무일(기준월)],$W367))</f>
        <v/>
      </c>
      <c r="V367">
        <f>IF($W367="","",INDEX(명단표[구리 근무일(기준월)],$W367))</f>
        <v/>
      </c>
      <c r="W367" s="17">
        <f>IFERROR(MATCH(362,명단표[판정불가순번],0),"")</f>
        <v/>
      </c>
    </row>
    <row r="368">
      <c r="A368">
        <f>IF($P368="","",363)</f>
        <v/>
      </c>
      <c r="B368">
        <f>IF($P368="","",INDEX(명단표[이름],$P368))</f>
        <v/>
      </c>
      <c r="C368">
        <f>IF($P368="","",INDEX(명단표[사번],$P368)&amp;"")</f>
        <v/>
      </c>
      <c r="D368">
        <f>IF($P368="","",INDEX(명단표[전공의등록번호],$P368)&amp;"")</f>
        <v/>
      </c>
      <c r="E368">
        <f>IF($P368="","",INDEX(명단표[수련과목],$P368)&amp;"")</f>
        <v/>
      </c>
      <c r="F368">
        <f>IF($P368="","",INDEX(명단표[연차],$P368)&amp;"")</f>
        <v/>
      </c>
      <c r="G368">
        <f>IF($P368="","",INDEX(명단표[소속병원],$P368))</f>
        <v/>
      </c>
      <c r="H368">
        <f>IF($P368="","",IF(INDEX(명단표[소속병원],$P368)="서울병원","서울 소속","타 병원 소속("&amp;INDEX(명단표[소속병원],$P368)&amp;") → 서울 지급"))</f>
        <v/>
      </c>
      <c r="I368">
        <f>IF($P368="","",INDEX(명단표[현재 근무병원],$P368))</f>
        <v/>
      </c>
      <c r="J368">
        <f>IF($P368="","",INDEX(명단표[구리 근무 시작일(기준월)],$P368)&amp;"")</f>
        <v/>
      </c>
      <c r="K368">
        <f>IF($P368="","",INDEX(명단표[구리 근무 종료일(기준월)],$P368)&amp;"")</f>
        <v/>
      </c>
      <c r="L368">
        <f>IF($P368="","",INDEX(명단표[서울 근무일(기준월)],$P368))</f>
        <v/>
      </c>
      <c r="M368">
        <f>IF($P368="","",INDEX(명단표[구리 근무일(기준월)],$P368))</f>
        <v/>
      </c>
      <c r="N368">
        <f>IF($P368="","",INDEX(명단표[급여 판정 근거],$P368))</f>
        <v/>
      </c>
      <c r="O368">
        <f>IF($P368="","",INDEX(명단표[점검],$P368))</f>
        <v/>
      </c>
      <c r="P368" s="17">
        <f>IFERROR(MATCH(363,명단표[서울순번],0),"")</f>
        <v/>
      </c>
      <c r="R368">
        <f>IF($W368="","",INDEX(명단표[이름],$W368))</f>
        <v/>
      </c>
      <c r="S368">
        <f>IF($W368="","",INDEX(명단표[사번],$W368)&amp;"")</f>
        <v/>
      </c>
      <c r="T368">
        <f>IF($W368="","",INDEX(명단표[소속병원],$W368))</f>
        <v/>
      </c>
      <c r="U368">
        <f>IF($W368="","",INDEX(명단표[서울 근무일(기준월)],$W368))</f>
        <v/>
      </c>
      <c r="V368">
        <f>IF($W368="","",INDEX(명단표[구리 근무일(기준월)],$W368))</f>
        <v/>
      </c>
      <c r="W368" s="17">
        <f>IFERROR(MATCH(363,명단표[판정불가순번],0),"")</f>
        <v/>
      </c>
    </row>
    <row r="369">
      <c r="A369">
        <f>IF($P369="","",364)</f>
        <v/>
      </c>
      <c r="B369">
        <f>IF($P369="","",INDEX(명단표[이름],$P369))</f>
        <v/>
      </c>
      <c r="C369">
        <f>IF($P369="","",INDEX(명단표[사번],$P369)&amp;"")</f>
        <v/>
      </c>
      <c r="D369">
        <f>IF($P369="","",INDEX(명단표[전공의등록번호],$P369)&amp;"")</f>
        <v/>
      </c>
      <c r="E369">
        <f>IF($P369="","",INDEX(명단표[수련과목],$P369)&amp;"")</f>
        <v/>
      </c>
      <c r="F369">
        <f>IF($P369="","",INDEX(명단표[연차],$P369)&amp;"")</f>
        <v/>
      </c>
      <c r="G369">
        <f>IF($P369="","",INDEX(명단표[소속병원],$P369))</f>
        <v/>
      </c>
      <c r="H369">
        <f>IF($P369="","",IF(INDEX(명단표[소속병원],$P369)="서울병원","서울 소속","타 병원 소속("&amp;INDEX(명단표[소속병원],$P369)&amp;") → 서울 지급"))</f>
        <v/>
      </c>
      <c r="I369">
        <f>IF($P369="","",INDEX(명단표[현재 근무병원],$P369))</f>
        <v/>
      </c>
      <c r="J369">
        <f>IF($P369="","",INDEX(명단표[구리 근무 시작일(기준월)],$P369)&amp;"")</f>
        <v/>
      </c>
      <c r="K369">
        <f>IF($P369="","",INDEX(명단표[구리 근무 종료일(기준월)],$P369)&amp;"")</f>
        <v/>
      </c>
      <c r="L369">
        <f>IF($P369="","",INDEX(명단표[서울 근무일(기준월)],$P369))</f>
        <v/>
      </c>
      <c r="M369">
        <f>IF($P369="","",INDEX(명단표[구리 근무일(기준월)],$P369))</f>
        <v/>
      </c>
      <c r="N369">
        <f>IF($P369="","",INDEX(명단표[급여 판정 근거],$P369))</f>
        <v/>
      </c>
      <c r="O369">
        <f>IF($P369="","",INDEX(명단표[점검],$P369))</f>
        <v/>
      </c>
      <c r="P369" s="17">
        <f>IFERROR(MATCH(364,명단표[서울순번],0),"")</f>
        <v/>
      </c>
      <c r="R369">
        <f>IF($W369="","",INDEX(명단표[이름],$W369))</f>
        <v/>
      </c>
      <c r="S369">
        <f>IF($W369="","",INDEX(명단표[사번],$W369)&amp;"")</f>
        <v/>
      </c>
      <c r="T369">
        <f>IF($W369="","",INDEX(명단표[소속병원],$W369))</f>
        <v/>
      </c>
      <c r="U369">
        <f>IF($W369="","",INDEX(명단표[서울 근무일(기준월)],$W369))</f>
        <v/>
      </c>
      <c r="V369">
        <f>IF($W369="","",INDEX(명단표[구리 근무일(기준월)],$W369))</f>
        <v/>
      </c>
      <c r="W369" s="17">
        <f>IFERROR(MATCH(364,명단표[판정불가순번],0),"")</f>
        <v/>
      </c>
    </row>
    <row r="370">
      <c r="A370">
        <f>IF($P370="","",365)</f>
        <v/>
      </c>
      <c r="B370">
        <f>IF($P370="","",INDEX(명단표[이름],$P370))</f>
        <v/>
      </c>
      <c r="C370">
        <f>IF($P370="","",INDEX(명단표[사번],$P370)&amp;"")</f>
        <v/>
      </c>
      <c r="D370">
        <f>IF($P370="","",INDEX(명단표[전공의등록번호],$P370)&amp;"")</f>
        <v/>
      </c>
      <c r="E370">
        <f>IF($P370="","",INDEX(명단표[수련과목],$P370)&amp;"")</f>
        <v/>
      </c>
      <c r="F370">
        <f>IF($P370="","",INDEX(명단표[연차],$P370)&amp;"")</f>
        <v/>
      </c>
      <c r="G370">
        <f>IF($P370="","",INDEX(명단표[소속병원],$P370))</f>
        <v/>
      </c>
      <c r="H370">
        <f>IF($P370="","",IF(INDEX(명단표[소속병원],$P370)="서울병원","서울 소속","타 병원 소속("&amp;INDEX(명단표[소속병원],$P370)&amp;") → 서울 지급"))</f>
        <v/>
      </c>
      <c r="I370">
        <f>IF($P370="","",INDEX(명단표[현재 근무병원],$P370))</f>
        <v/>
      </c>
      <c r="J370">
        <f>IF($P370="","",INDEX(명단표[구리 근무 시작일(기준월)],$P370)&amp;"")</f>
        <v/>
      </c>
      <c r="K370">
        <f>IF($P370="","",INDEX(명단표[구리 근무 종료일(기준월)],$P370)&amp;"")</f>
        <v/>
      </c>
      <c r="L370">
        <f>IF($P370="","",INDEX(명단표[서울 근무일(기준월)],$P370))</f>
        <v/>
      </c>
      <c r="M370">
        <f>IF($P370="","",INDEX(명단표[구리 근무일(기준월)],$P370))</f>
        <v/>
      </c>
      <c r="N370">
        <f>IF($P370="","",INDEX(명단표[급여 판정 근거],$P370))</f>
        <v/>
      </c>
      <c r="O370">
        <f>IF($P370="","",INDEX(명단표[점검],$P370))</f>
        <v/>
      </c>
      <c r="P370" s="17">
        <f>IFERROR(MATCH(365,명단표[서울순번],0),"")</f>
        <v/>
      </c>
      <c r="R370">
        <f>IF($W370="","",INDEX(명단표[이름],$W370))</f>
        <v/>
      </c>
      <c r="S370">
        <f>IF($W370="","",INDEX(명단표[사번],$W370)&amp;"")</f>
        <v/>
      </c>
      <c r="T370">
        <f>IF($W370="","",INDEX(명단표[소속병원],$W370))</f>
        <v/>
      </c>
      <c r="U370">
        <f>IF($W370="","",INDEX(명단표[서울 근무일(기준월)],$W370))</f>
        <v/>
      </c>
      <c r="V370">
        <f>IF($W370="","",INDEX(명단표[구리 근무일(기준월)],$W370))</f>
        <v/>
      </c>
      <c r="W370" s="17">
        <f>IFERROR(MATCH(365,명단표[판정불가순번],0),"")</f>
        <v/>
      </c>
    </row>
    <row r="371">
      <c r="A371">
        <f>IF($P371="","",366)</f>
        <v/>
      </c>
      <c r="B371">
        <f>IF($P371="","",INDEX(명단표[이름],$P371))</f>
        <v/>
      </c>
      <c r="C371">
        <f>IF($P371="","",INDEX(명단표[사번],$P371)&amp;"")</f>
        <v/>
      </c>
      <c r="D371">
        <f>IF($P371="","",INDEX(명단표[전공의등록번호],$P371)&amp;"")</f>
        <v/>
      </c>
      <c r="E371">
        <f>IF($P371="","",INDEX(명단표[수련과목],$P371)&amp;"")</f>
        <v/>
      </c>
      <c r="F371">
        <f>IF($P371="","",INDEX(명단표[연차],$P371)&amp;"")</f>
        <v/>
      </c>
      <c r="G371">
        <f>IF($P371="","",INDEX(명단표[소속병원],$P371))</f>
        <v/>
      </c>
      <c r="H371">
        <f>IF($P371="","",IF(INDEX(명단표[소속병원],$P371)="서울병원","서울 소속","타 병원 소속("&amp;INDEX(명단표[소속병원],$P371)&amp;") → 서울 지급"))</f>
        <v/>
      </c>
      <c r="I371">
        <f>IF($P371="","",INDEX(명단표[현재 근무병원],$P371))</f>
        <v/>
      </c>
      <c r="J371">
        <f>IF($P371="","",INDEX(명단표[구리 근무 시작일(기준월)],$P371)&amp;"")</f>
        <v/>
      </c>
      <c r="K371">
        <f>IF($P371="","",INDEX(명단표[구리 근무 종료일(기준월)],$P371)&amp;"")</f>
        <v/>
      </c>
      <c r="L371">
        <f>IF($P371="","",INDEX(명단표[서울 근무일(기준월)],$P371))</f>
        <v/>
      </c>
      <c r="M371">
        <f>IF($P371="","",INDEX(명단표[구리 근무일(기준월)],$P371))</f>
        <v/>
      </c>
      <c r="N371">
        <f>IF($P371="","",INDEX(명단표[급여 판정 근거],$P371))</f>
        <v/>
      </c>
      <c r="O371">
        <f>IF($P371="","",INDEX(명단표[점검],$P371))</f>
        <v/>
      </c>
      <c r="P371" s="17">
        <f>IFERROR(MATCH(366,명단표[서울순번],0),"")</f>
        <v/>
      </c>
      <c r="R371">
        <f>IF($W371="","",INDEX(명단표[이름],$W371))</f>
        <v/>
      </c>
      <c r="S371">
        <f>IF($W371="","",INDEX(명단표[사번],$W371)&amp;"")</f>
        <v/>
      </c>
      <c r="T371">
        <f>IF($W371="","",INDEX(명단표[소속병원],$W371))</f>
        <v/>
      </c>
      <c r="U371">
        <f>IF($W371="","",INDEX(명단표[서울 근무일(기준월)],$W371))</f>
        <v/>
      </c>
      <c r="V371">
        <f>IF($W371="","",INDEX(명단표[구리 근무일(기준월)],$W371))</f>
        <v/>
      </c>
      <c r="W371" s="17">
        <f>IFERROR(MATCH(366,명단표[판정불가순번],0),"")</f>
        <v/>
      </c>
    </row>
    <row r="372">
      <c r="A372">
        <f>IF($P372="","",367)</f>
        <v/>
      </c>
      <c r="B372">
        <f>IF($P372="","",INDEX(명단표[이름],$P372))</f>
        <v/>
      </c>
      <c r="C372">
        <f>IF($P372="","",INDEX(명단표[사번],$P372)&amp;"")</f>
        <v/>
      </c>
      <c r="D372">
        <f>IF($P372="","",INDEX(명단표[전공의등록번호],$P372)&amp;"")</f>
        <v/>
      </c>
      <c r="E372">
        <f>IF($P372="","",INDEX(명단표[수련과목],$P372)&amp;"")</f>
        <v/>
      </c>
      <c r="F372">
        <f>IF($P372="","",INDEX(명단표[연차],$P372)&amp;"")</f>
        <v/>
      </c>
      <c r="G372">
        <f>IF($P372="","",INDEX(명단표[소속병원],$P372))</f>
        <v/>
      </c>
      <c r="H372">
        <f>IF($P372="","",IF(INDEX(명단표[소속병원],$P372)="서울병원","서울 소속","타 병원 소속("&amp;INDEX(명단표[소속병원],$P372)&amp;") → 서울 지급"))</f>
        <v/>
      </c>
      <c r="I372">
        <f>IF($P372="","",INDEX(명단표[현재 근무병원],$P372))</f>
        <v/>
      </c>
      <c r="J372">
        <f>IF($P372="","",INDEX(명단표[구리 근무 시작일(기준월)],$P372)&amp;"")</f>
        <v/>
      </c>
      <c r="K372">
        <f>IF($P372="","",INDEX(명단표[구리 근무 종료일(기준월)],$P372)&amp;"")</f>
        <v/>
      </c>
      <c r="L372">
        <f>IF($P372="","",INDEX(명단표[서울 근무일(기준월)],$P372))</f>
        <v/>
      </c>
      <c r="M372">
        <f>IF($P372="","",INDEX(명단표[구리 근무일(기준월)],$P372))</f>
        <v/>
      </c>
      <c r="N372">
        <f>IF($P372="","",INDEX(명단표[급여 판정 근거],$P372))</f>
        <v/>
      </c>
      <c r="O372">
        <f>IF($P372="","",INDEX(명단표[점검],$P372))</f>
        <v/>
      </c>
      <c r="P372" s="17">
        <f>IFERROR(MATCH(367,명단표[서울순번],0),"")</f>
        <v/>
      </c>
      <c r="R372">
        <f>IF($W372="","",INDEX(명단표[이름],$W372))</f>
        <v/>
      </c>
      <c r="S372">
        <f>IF($W372="","",INDEX(명단표[사번],$W372)&amp;"")</f>
        <v/>
      </c>
      <c r="T372">
        <f>IF($W372="","",INDEX(명단표[소속병원],$W372))</f>
        <v/>
      </c>
      <c r="U372">
        <f>IF($W372="","",INDEX(명단표[서울 근무일(기준월)],$W372))</f>
        <v/>
      </c>
      <c r="V372">
        <f>IF($W372="","",INDEX(명단표[구리 근무일(기준월)],$W372))</f>
        <v/>
      </c>
      <c r="W372" s="17">
        <f>IFERROR(MATCH(367,명단표[판정불가순번],0),"")</f>
        <v/>
      </c>
    </row>
    <row r="373">
      <c r="A373">
        <f>IF($P373="","",368)</f>
        <v/>
      </c>
      <c r="B373">
        <f>IF($P373="","",INDEX(명단표[이름],$P373))</f>
        <v/>
      </c>
      <c r="C373">
        <f>IF($P373="","",INDEX(명단표[사번],$P373)&amp;"")</f>
        <v/>
      </c>
      <c r="D373">
        <f>IF($P373="","",INDEX(명단표[전공의등록번호],$P373)&amp;"")</f>
        <v/>
      </c>
      <c r="E373">
        <f>IF($P373="","",INDEX(명단표[수련과목],$P373)&amp;"")</f>
        <v/>
      </c>
      <c r="F373">
        <f>IF($P373="","",INDEX(명단표[연차],$P373)&amp;"")</f>
        <v/>
      </c>
      <c r="G373">
        <f>IF($P373="","",INDEX(명단표[소속병원],$P373))</f>
        <v/>
      </c>
      <c r="H373">
        <f>IF($P373="","",IF(INDEX(명단표[소속병원],$P373)="서울병원","서울 소속","타 병원 소속("&amp;INDEX(명단표[소속병원],$P373)&amp;") → 서울 지급"))</f>
        <v/>
      </c>
      <c r="I373">
        <f>IF($P373="","",INDEX(명단표[현재 근무병원],$P373))</f>
        <v/>
      </c>
      <c r="J373">
        <f>IF($P373="","",INDEX(명단표[구리 근무 시작일(기준월)],$P373)&amp;"")</f>
        <v/>
      </c>
      <c r="K373">
        <f>IF($P373="","",INDEX(명단표[구리 근무 종료일(기준월)],$P373)&amp;"")</f>
        <v/>
      </c>
      <c r="L373">
        <f>IF($P373="","",INDEX(명단표[서울 근무일(기준월)],$P373))</f>
        <v/>
      </c>
      <c r="M373">
        <f>IF($P373="","",INDEX(명단표[구리 근무일(기준월)],$P373))</f>
        <v/>
      </c>
      <c r="N373">
        <f>IF($P373="","",INDEX(명단표[급여 판정 근거],$P373))</f>
        <v/>
      </c>
      <c r="O373">
        <f>IF($P373="","",INDEX(명단표[점검],$P373))</f>
        <v/>
      </c>
      <c r="P373" s="17">
        <f>IFERROR(MATCH(368,명단표[서울순번],0),"")</f>
        <v/>
      </c>
      <c r="R373">
        <f>IF($W373="","",INDEX(명단표[이름],$W373))</f>
        <v/>
      </c>
      <c r="S373">
        <f>IF($W373="","",INDEX(명단표[사번],$W373)&amp;"")</f>
        <v/>
      </c>
      <c r="T373">
        <f>IF($W373="","",INDEX(명단표[소속병원],$W373))</f>
        <v/>
      </c>
      <c r="U373">
        <f>IF($W373="","",INDEX(명단표[서울 근무일(기준월)],$W373))</f>
        <v/>
      </c>
      <c r="V373">
        <f>IF($W373="","",INDEX(명단표[구리 근무일(기준월)],$W373))</f>
        <v/>
      </c>
      <c r="W373" s="17">
        <f>IFERROR(MATCH(368,명단표[판정불가순번],0),"")</f>
        <v/>
      </c>
    </row>
    <row r="374">
      <c r="A374">
        <f>IF($P374="","",369)</f>
        <v/>
      </c>
      <c r="B374">
        <f>IF($P374="","",INDEX(명단표[이름],$P374))</f>
        <v/>
      </c>
      <c r="C374">
        <f>IF($P374="","",INDEX(명단표[사번],$P374)&amp;"")</f>
        <v/>
      </c>
      <c r="D374">
        <f>IF($P374="","",INDEX(명단표[전공의등록번호],$P374)&amp;"")</f>
        <v/>
      </c>
      <c r="E374">
        <f>IF($P374="","",INDEX(명단표[수련과목],$P374)&amp;"")</f>
        <v/>
      </c>
      <c r="F374">
        <f>IF($P374="","",INDEX(명단표[연차],$P374)&amp;"")</f>
        <v/>
      </c>
      <c r="G374">
        <f>IF($P374="","",INDEX(명단표[소속병원],$P374))</f>
        <v/>
      </c>
      <c r="H374">
        <f>IF($P374="","",IF(INDEX(명단표[소속병원],$P374)="서울병원","서울 소속","타 병원 소속("&amp;INDEX(명단표[소속병원],$P374)&amp;") → 서울 지급"))</f>
        <v/>
      </c>
      <c r="I374">
        <f>IF($P374="","",INDEX(명단표[현재 근무병원],$P374))</f>
        <v/>
      </c>
      <c r="J374">
        <f>IF($P374="","",INDEX(명단표[구리 근무 시작일(기준월)],$P374)&amp;"")</f>
        <v/>
      </c>
      <c r="K374">
        <f>IF($P374="","",INDEX(명단표[구리 근무 종료일(기준월)],$P374)&amp;"")</f>
        <v/>
      </c>
      <c r="L374">
        <f>IF($P374="","",INDEX(명단표[서울 근무일(기준월)],$P374))</f>
        <v/>
      </c>
      <c r="M374">
        <f>IF($P374="","",INDEX(명단표[구리 근무일(기준월)],$P374))</f>
        <v/>
      </c>
      <c r="N374">
        <f>IF($P374="","",INDEX(명단표[급여 판정 근거],$P374))</f>
        <v/>
      </c>
      <c r="O374">
        <f>IF($P374="","",INDEX(명단표[점검],$P374))</f>
        <v/>
      </c>
      <c r="P374" s="17">
        <f>IFERROR(MATCH(369,명단표[서울순번],0),"")</f>
        <v/>
      </c>
      <c r="R374">
        <f>IF($W374="","",INDEX(명단표[이름],$W374))</f>
        <v/>
      </c>
      <c r="S374">
        <f>IF($W374="","",INDEX(명단표[사번],$W374)&amp;"")</f>
        <v/>
      </c>
      <c r="T374">
        <f>IF($W374="","",INDEX(명단표[소속병원],$W374))</f>
        <v/>
      </c>
      <c r="U374">
        <f>IF($W374="","",INDEX(명단표[서울 근무일(기준월)],$W374))</f>
        <v/>
      </c>
      <c r="V374">
        <f>IF($W374="","",INDEX(명단표[구리 근무일(기준월)],$W374))</f>
        <v/>
      </c>
      <c r="W374" s="17">
        <f>IFERROR(MATCH(369,명단표[판정불가순번],0),"")</f>
        <v/>
      </c>
    </row>
    <row r="375">
      <c r="A375">
        <f>IF($P375="","",370)</f>
        <v/>
      </c>
      <c r="B375">
        <f>IF($P375="","",INDEX(명단표[이름],$P375))</f>
        <v/>
      </c>
      <c r="C375">
        <f>IF($P375="","",INDEX(명단표[사번],$P375)&amp;"")</f>
        <v/>
      </c>
      <c r="D375">
        <f>IF($P375="","",INDEX(명단표[전공의등록번호],$P375)&amp;"")</f>
        <v/>
      </c>
      <c r="E375">
        <f>IF($P375="","",INDEX(명단표[수련과목],$P375)&amp;"")</f>
        <v/>
      </c>
      <c r="F375">
        <f>IF($P375="","",INDEX(명단표[연차],$P375)&amp;"")</f>
        <v/>
      </c>
      <c r="G375">
        <f>IF($P375="","",INDEX(명단표[소속병원],$P375))</f>
        <v/>
      </c>
      <c r="H375">
        <f>IF($P375="","",IF(INDEX(명단표[소속병원],$P375)="서울병원","서울 소속","타 병원 소속("&amp;INDEX(명단표[소속병원],$P375)&amp;") → 서울 지급"))</f>
        <v/>
      </c>
      <c r="I375">
        <f>IF($P375="","",INDEX(명단표[현재 근무병원],$P375))</f>
        <v/>
      </c>
      <c r="J375">
        <f>IF($P375="","",INDEX(명단표[구리 근무 시작일(기준월)],$P375)&amp;"")</f>
        <v/>
      </c>
      <c r="K375">
        <f>IF($P375="","",INDEX(명단표[구리 근무 종료일(기준월)],$P375)&amp;"")</f>
        <v/>
      </c>
      <c r="L375">
        <f>IF($P375="","",INDEX(명단표[서울 근무일(기준월)],$P375))</f>
        <v/>
      </c>
      <c r="M375">
        <f>IF($P375="","",INDEX(명단표[구리 근무일(기준월)],$P375))</f>
        <v/>
      </c>
      <c r="N375">
        <f>IF($P375="","",INDEX(명단표[급여 판정 근거],$P375))</f>
        <v/>
      </c>
      <c r="O375">
        <f>IF($P375="","",INDEX(명단표[점검],$P375))</f>
        <v/>
      </c>
      <c r="P375" s="17">
        <f>IFERROR(MATCH(370,명단표[서울순번],0),"")</f>
        <v/>
      </c>
      <c r="R375">
        <f>IF($W375="","",INDEX(명단표[이름],$W375))</f>
        <v/>
      </c>
      <c r="S375">
        <f>IF($W375="","",INDEX(명단표[사번],$W375)&amp;"")</f>
        <v/>
      </c>
      <c r="T375">
        <f>IF($W375="","",INDEX(명단표[소속병원],$W375))</f>
        <v/>
      </c>
      <c r="U375">
        <f>IF($W375="","",INDEX(명단표[서울 근무일(기준월)],$W375))</f>
        <v/>
      </c>
      <c r="V375">
        <f>IF($W375="","",INDEX(명단표[구리 근무일(기준월)],$W375))</f>
        <v/>
      </c>
      <c r="W375" s="17">
        <f>IFERROR(MATCH(370,명단표[판정불가순번],0),"")</f>
        <v/>
      </c>
    </row>
    <row r="376">
      <c r="A376">
        <f>IF($P376="","",371)</f>
        <v/>
      </c>
      <c r="B376">
        <f>IF($P376="","",INDEX(명단표[이름],$P376))</f>
        <v/>
      </c>
      <c r="C376">
        <f>IF($P376="","",INDEX(명단표[사번],$P376)&amp;"")</f>
        <v/>
      </c>
      <c r="D376">
        <f>IF($P376="","",INDEX(명단표[전공의등록번호],$P376)&amp;"")</f>
        <v/>
      </c>
      <c r="E376">
        <f>IF($P376="","",INDEX(명단표[수련과목],$P376)&amp;"")</f>
        <v/>
      </c>
      <c r="F376">
        <f>IF($P376="","",INDEX(명단표[연차],$P376)&amp;"")</f>
        <v/>
      </c>
      <c r="G376">
        <f>IF($P376="","",INDEX(명단표[소속병원],$P376))</f>
        <v/>
      </c>
      <c r="H376">
        <f>IF($P376="","",IF(INDEX(명단표[소속병원],$P376)="서울병원","서울 소속","타 병원 소속("&amp;INDEX(명단표[소속병원],$P376)&amp;") → 서울 지급"))</f>
        <v/>
      </c>
      <c r="I376">
        <f>IF($P376="","",INDEX(명단표[현재 근무병원],$P376))</f>
        <v/>
      </c>
      <c r="J376">
        <f>IF($P376="","",INDEX(명단표[구리 근무 시작일(기준월)],$P376)&amp;"")</f>
        <v/>
      </c>
      <c r="K376">
        <f>IF($P376="","",INDEX(명단표[구리 근무 종료일(기준월)],$P376)&amp;"")</f>
        <v/>
      </c>
      <c r="L376">
        <f>IF($P376="","",INDEX(명단표[서울 근무일(기준월)],$P376))</f>
        <v/>
      </c>
      <c r="M376">
        <f>IF($P376="","",INDEX(명단표[구리 근무일(기준월)],$P376))</f>
        <v/>
      </c>
      <c r="N376">
        <f>IF($P376="","",INDEX(명단표[급여 판정 근거],$P376))</f>
        <v/>
      </c>
      <c r="O376">
        <f>IF($P376="","",INDEX(명단표[점검],$P376))</f>
        <v/>
      </c>
      <c r="P376" s="17">
        <f>IFERROR(MATCH(371,명단표[서울순번],0),"")</f>
        <v/>
      </c>
      <c r="R376">
        <f>IF($W376="","",INDEX(명단표[이름],$W376))</f>
        <v/>
      </c>
      <c r="S376">
        <f>IF($W376="","",INDEX(명단표[사번],$W376)&amp;"")</f>
        <v/>
      </c>
      <c r="T376">
        <f>IF($W376="","",INDEX(명단표[소속병원],$W376))</f>
        <v/>
      </c>
      <c r="U376">
        <f>IF($W376="","",INDEX(명단표[서울 근무일(기준월)],$W376))</f>
        <v/>
      </c>
      <c r="V376">
        <f>IF($W376="","",INDEX(명단표[구리 근무일(기준월)],$W376))</f>
        <v/>
      </c>
      <c r="W376" s="17">
        <f>IFERROR(MATCH(371,명단표[판정불가순번],0),"")</f>
        <v/>
      </c>
    </row>
    <row r="377">
      <c r="A377">
        <f>IF($P377="","",372)</f>
        <v/>
      </c>
      <c r="B377">
        <f>IF($P377="","",INDEX(명단표[이름],$P377))</f>
        <v/>
      </c>
      <c r="C377">
        <f>IF($P377="","",INDEX(명단표[사번],$P377)&amp;"")</f>
        <v/>
      </c>
      <c r="D377">
        <f>IF($P377="","",INDEX(명단표[전공의등록번호],$P377)&amp;"")</f>
        <v/>
      </c>
      <c r="E377">
        <f>IF($P377="","",INDEX(명단표[수련과목],$P377)&amp;"")</f>
        <v/>
      </c>
      <c r="F377">
        <f>IF($P377="","",INDEX(명단표[연차],$P377)&amp;"")</f>
        <v/>
      </c>
      <c r="G377">
        <f>IF($P377="","",INDEX(명단표[소속병원],$P377))</f>
        <v/>
      </c>
      <c r="H377">
        <f>IF($P377="","",IF(INDEX(명단표[소속병원],$P377)="서울병원","서울 소속","타 병원 소속("&amp;INDEX(명단표[소속병원],$P377)&amp;") → 서울 지급"))</f>
        <v/>
      </c>
      <c r="I377">
        <f>IF($P377="","",INDEX(명단표[현재 근무병원],$P377))</f>
        <v/>
      </c>
      <c r="J377">
        <f>IF($P377="","",INDEX(명단표[구리 근무 시작일(기준월)],$P377)&amp;"")</f>
        <v/>
      </c>
      <c r="K377">
        <f>IF($P377="","",INDEX(명단표[구리 근무 종료일(기준월)],$P377)&amp;"")</f>
        <v/>
      </c>
      <c r="L377">
        <f>IF($P377="","",INDEX(명단표[서울 근무일(기준월)],$P377))</f>
        <v/>
      </c>
      <c r="M377">
        <f>IF($P377="","",INDEX(명단표[구리 근무일(기준월)],$P377))</f>
        <v/>
      </c>
      <c r="N377">
        <f>IF($P377="","",INDEX(명단표[급여 판정 근거],$P377))</f>
        <v/>
      </c>
      <c r="O377">
        <f>IF($P377="","",INDEX(명단표[점검],$P377))</f>
        <v/>
      </c>
      <c r="P377" s="17">
        <f>IFERROR(MATCH(372,명단표[서울순번],0),"")</f>
        <v/>
      </c>
      <c r="R377">
        <f>IF($W377="","",INDEX(명단표[이름],$W377))</f>
        <v/>
      </c>
      <c r="S377">
        <f>IF($W377="","",INDEX(명단표[사번],$W377)&amp;"")</f>
        <v/>
      </c>
      <c r="T377">
        <f>IF($W377="","",INDEX(명단표[소속병원],$W377))</f>
        <v/>
      </c>
      <c r="U377">
        <f>IF($W377="","",INDEX(명단표[서울 근무일(기준월)],$W377))</f>
        <v/>
      </c>
      <c r="V377">
        <f>IF($W377="","",INDEX(명단표[구리 근무일(기준월)],$W377))</f>
        <v/>
      </c>
      <c r="W377" s="17">
        <f>IFERROR(MATCH(372,명단표[판정불가순번],0),"")</f>
        <v/>
      </c>
    </row>
    <row r="378">
      <c r="A378">
        <f>IF($P378="","",373)</f>
        <v/>
      </c>
      <c r="B378">
        <f>IF($P378="","",INDEX(명단표[이름],$P378))</f>
        <v/>
      </c>
      <c r="C378">
        <f>IF($P378="","",INDEX(명단표[사번],$P378)&amp;"")</f>
        <v/>
      </c>
      <c r="D378">
        <f>IF($P378="","",INDEX(명단표[전공의등록번호],$P378)&amp;"")</f>
        <v/>
      </c>
      <c r="E378">
        <f>IF($P378="","",INDEX(명단표[수련과목],$P378)&amp;"")</f>
        <v/>
      </c>
      <c r="F378">
        <f>IF($P378="","",INDEX(명단표[연차],$P378)&amp;"")</f>
        <v/>
      </c>
      <c r="G378">
        <f>IF($P378="","",INDEX(명단표[소속병원],$P378))</f>
        <v/>
      </c>
      <c r="H378">
        <f>IF($P378="","",IF(INDEX(명단표[소속병원],$P378)="서울병원","서울 소속","타 병원 소속("&amp;INDEX(명단표[소속병원],$P378)&amp;") → 서울 지급"))</f>
        <v/>
      </c>
      <c r="I378">
        <f>IF($P378="","",INDEX(명단표[현재 근무병원],$P378))</f>
        <v/>
      </c>
      <c r="J378">
        <f>IF($P378="","",INDEX(명단표[구리 근무 시작일(기준월)],$P378)&amp;"")</f>
        <v/>
      </c>
      <c r="K378">
        <f>IF($P378="","",INDEX(명단표[구리 근무 종료일(기준월)],$P378)&amp;"")</f>
        <v/>
      </c>
      <c r="L378">
        <f>IF($P378="","",INDEX(명단표[서울 근무일(기준월)],$P378))</f>
        <v/>
      </c>
      <c r="M378">
        <f>IF($P378="","",INDEX(명단표[구리 근무일(기준월)],$P378))</f>
        <v/>
      </c>
      <c r="N378">
        <f>IF($P378="","",INDEX(명단표[급여 판정 근거],$P378))</f>
        <v/>
      </c>
      <c r="O378">
        <f>IF($P378="","",INDEX(명단표[점검],$P378))</f>
        <v/>
      </c>
      <c r="P378" s="17">
        <f>IFERROR(MATCH(373,명단표[서울순번],0),"")</f>
        <v/>
      </c>
      <c r="R378">
        <f>IF($W378="","",INDEX(명단표[이름],$W378))</f>
        <v/>
      </c>
      <c r="S378">
        <f>IF($W378="","",INDEX(명단표[사번],$W378)&amp;"")</f>
        <v/>
      </c>
      <c r="T378">
        <f>IF($W378="","",INDEX(명단표[소속병원],$W378))</f>
        <v/>
      </c>
      <c r="U378">
        <f>IF($W378="","",INDEX(명단표[서울 근무일(기준월)],$W378))</f>
        <v/>
      </c>
      <c r="V378">
        <f>IF($W378="","",INDEX(명단표[구리 근무일(기준월)],$W378))</f>
        <v/>
      </c>
      <c r="W378" s="17">
        <f>IFERROR(MATCH(373,명단표[판정불가순번],0),"")</f>
        <v/>
      </c>
    </row>
    <row r="379">
      <c r="A379">
        <f>IF($P379="","",374)</f>
        <v/>
      </c>
      <c r="B379">
        <f>IF($P379="","",INDEX(명단표[이름],$P379))</f>
        <v/>
      </c>
      <c r="C379">
        <f>IF($P379="","",INDEX(명단표[사번],$P379)&amp;"")</f>
        <v/>
      </c>
      <c r="D379">
        <f>IF($P379="","",INDEX(명단표[전공의등록번호],$P379)&amp;"")</f>
        <v/>
      </c>
      <c r="E379">
        <f>IF($P379="","",INDEX(명단표[수련과목],$P379)&amp;"")</f>
        <v/>
      </c>
      <c r="F379">
        <f>IF($P379="","",INDEX(명단표[연차],$P379)&amp;"")</f>
        <v/>
      </c>
      <c r="G379">
        <f>IF($P379="","",INDEX(명단표[소속병원],$P379))</f>
        <v/>
      </c>
      <c r="H379">
        <f>IF($P379="","",IF(INDEX(명단표[소속병원],$P379)="서울병원","서울 소속","타 병원 소속("&amp;INDEX(명단표[소속병원],$P379)&amp;") → 서울 지급"))</f>
        <v/>
      </c>
      <c r="I379">
        <f>IF($P379="","",INDEX(명단표[현재 근무병원],$P379))</f>
        <v/>
      </c>
      <c r="J379">
        <f>IF($P379="","",INDEX(명단표[구리 근무 시작일(기준월)],$P379)&amp;"")</f>
        <v/>
      </c>
      <c r="K379">
        <f>IF($P379="","",INDEX(명단표[구리 근무 종료일(기준월)],$P379)&amp;"")</f>
        <v/>
      </c>
      <c r="L379">
        <f>IF($P379="","",INDEX(명단표[서울 근무일(기준월)],$P379))</f>
        <v/>
      </c>
      <c r="M379">
        <f>IF($P379="","",INDEX(명단표[구리 근무일(기준월)],$P379))</f>
        <v/>
      </c>
      <c r="N379">
        <f>IF($P379="","",INDEX(명단표[급여 판정 근거],$P379))</f>
        <v/>
      </c>
      <c r="O379">
        <f>IF($P379="","",INDEX(명단표[점검],$P379))</f>
        <v/>
      </c>
      <c r="P379" s="17">
        <f>IFERROR(MATCH(374,명단표[서울순번],0),"")</f>
        <v/>
      </c>
      <c r="R379">
        <f>IF($W379="","",INDEX(명단표[이름],$W379))</f>
        <v/>
      </c>
      <c r="S379">
        <f>IF($W379="","",INDEX(명단표[사번],$W379)&amp;"")</f>
        <v/>
      </c>
      <c r="T379">
        <f>IF($W379="","",INDEX(명단표[소속병원],$W379))</f>
        <v/>
      </c>
      <c r="U379">
        <f>IF($W379="","",INDEX(명단표[서울 근무일(기준월)],$W379))</f>
        <v/>
      </c>
      <c r="V379">
        <f>IF($W379="","",INDEX(명단표[구리 근무일(기준월)],$W379))</f>
        <v/>
      </c>
      <c r="W379" s="17">
        <f>IFERROR(MATCH(374,명단표[판정불가순번],0),"")</f>
        <v/>
      </c>
    </row>
    <row r="380">
      <c r="A380">
        <f>IF($P380="","",375)</f>
        <v/>
      </c>
      <c r="B380">
        <f>IF($P380="","",INDEX(명단표[이름],$P380))</f>
        <v/>
      </c>
      <c r="C380">
        <f>IF($P380="","",INDEX(명단표[사번],$P380)&amp;"")</f>
        <v/>
      </c>
      <c r="D380">
        <f>IF($P380="","",INDEX(명단표[전공의등록번호],$P380)&amp;"")</f>
        <v/>
      </c>
      <c r="E380">
        <f>IF($P380="","",INDEX(명단표[수련과목],$P380)&amp;"")</f>
        <v/>
      </c>
      <c r="F380">
        <f>IF($P380="","",INDEX(명단표[연차],$P380)&amp;"")</f>
        <v/>
      </c>
      <c r="G380">
        <f>IF($P380="","",INDEX(명단표[소속병원],$P380))</f>
        <v/>
      </c>
      <c r="H380">
        <f>IF($P380="","",IF(INDEX(명단표[소속병원],$P380)="서울병원","서울 소속","타 병원 소속("&amp;INDEX(명단표[소속병원],$P380)&amp;") → 서울 지급"))</f>
        <v/>
      </c>
      <c r="I380">
        <f>IF($P380="","",INDEX(명단표[현재 근무병원],$P380))</f>
        <v/>
      </c>
      <c r="J380">
        <f>IF($P380="","",INDEX(명단표[구리 근무 시작일(기준월)],$P380)&amp;"")</f>
        <v/>
      </c>
      <c r="K380">
        <f>IF($P380="","",INDEX(명단표[구리 근무 종료일(기준월)],$P380)&amp;"")</f>
        <v/>
      </c>
      <c r="L380">
        <f>IF($P380="","",INDEX(명단표[서울 근무일(기준월)],$P380))</f>
        <v/>
      </c>
      <c r="M380">
        <f>IF($P380="","",INDEX(명단표[구리 근무일(기준월)],$P380))</f>
        <v/>
      </c>
      <c r="N380">
        <f>IF($P380="","",INDEX(명단표[급여 판정 근거],$P380))</f>
        <v/>
      </c>
      <c r="O380">
        <f>IF($P380="","",INDEX(명단표[점검],$P380))</f>
        <v/>
      </c>
      <c r="P380" s="17">
        <f>IFERROR(MATCH(375,명단표[서울순번],0),"")</f>
        <v/>
      </c>
      <c r="R380">
        <f>IF($W380="","",INDEX(명단표[이름],$W380))</f>
        <v/>
      </c>
      <c r="S380">
        <f>IF($W380="","",INDEX(명단표[사번],$W380)&amp;"")</f>
        <v/>
      </c>
      <c r="T380">
        <f>IF($W380="","",INDEX(명단표[소속병원],$W380))</f>
        <v/>
      </c>
      <c r="U380">
        <f>IF($W380="","",INDEX(명단표[서울 근무일(기준월)],$W380))</f>
        <v/>
      </c>
      <c r="V380">
        <f>IF($W380="","",INDEX(명단표[구리 근무일(기준월)],$W380))</f>
        <v/>
      </c>
      <c r="W380" s="17">
        <f>IFERROR(MATCH(375,명단표[판정불가순번],0),"")</f>
        <v/>
      </c>
    </row>
    <row r="381">
      <c r="A381">
        <f>IF($P381="","",376)</f>
        <v/>
      </c>
      <c r="B381">
        <f>IF($P381="","",INDEX(명단표[이름],$P381))</f>
        <v/>
      </c>
      <c r="C381">
        <f>IF($P381="","",INDEX(명단표[사번],$P381)&amp;"")</f>
        <v/>
      </c>
      <c r="D381">
        <f>IF($P381="","",INDEX(명단표[전공의등록번호],$P381)&amp;"")</f>
        <v/>
      </c>
      <c r="E381">
        <f>IF($P381="","",INDEX(명단표[수련과목],$P381)&amp;"")</f>
        <v/>
      </c>
      <c r="F381">
        <f>IF($P381="","",INDEX(명단표[연차],$P381)&amp;"")</f>
        <v/>
      </c>
      <c r="G381">
        <f>IF($P381="","",INDEX(명단표[소속병원],$P381))</f>
        <v/>
      </c>
      <c r="H381">
        <f>IF($P381="","",IF(INDEX(명단표[소속병원],$P381)="서울병원","서울 소속","타 병원 소속("&amp;INDEX(명단표[소속병원],$P381)&amp;") → 서울 지급"))</f>
        <v/>
      </c>
      <c r="I381">
        <f>IF($P381="","",INDEX(명단표[현재 근무병원],$P381))</f>
        <v/>
      </c>
      <c r="J381">
        <f>IF($P381="","",INDEX(명단표[구리 근무 시작일(기준월)],$P381)&amp;"")</f>
        <v/>
      </c>
      <c r="K381">
        <f>IF($P381="","",INDEX(명단표[구리 근무 종료일(기준월)],$P381)&amp;"")</f>
        <v/>
      </c>
      <c r="L381">
        <f>IF($P381="","",INDEX(명단표[서울 근무일(기준월)],$P381))</f>
        <v/>
      </c>
      <c r="M381">
        <f>IF($P381="","",INDEX(명단표[구리 근무일(기준월)],$P381))</f>
        <v/>
      </c>
      <c r="N381">
        <f>IF($P381="","",INDEX(명단표[급여 판정 근거],$P381))</f>
        <v/>
      </c>
      <c r="O381">
        <f>IF($P381="","",INDEX(명단표[점검],$P381))</f>
        <v/>
      </c>
      <c r="P381" s="17">
        <f>IFERROR(MATCH(376,명단표[서울순번],0),"")</f>
        <v/>
      </c>
      <c r="R381">
        <f>IF($W381="","",INDEX(명단표[이름],$W381))</f>
        <v/>
      </c>
      <c r="S381">
        <f>IF($W381="","",INDEX(명단표[사번],$W381)&amp;"")</f>
        <v/>
      </c>
      <c r="T381">
        <f>IF($W381="","",INDEX(명단표[소속병원],$W381))</f>
        <v/>
      </c>
      <c r="U381">
        <f>IF($W381="","",INDEX(명단표[서울 근무일(기준월)],$W381))</f>
        <v/>
      </c>
      <c r="V381">
        <f>IF($W381="","",INDEX(명단표[구리 근무일(기준월)],$W381))</f>
        <v/>
      </c>
      <c r="W381" s="17">
        <f>IFERROR(MATCH(376,명단표[판정불가순번],0),"")</f>
        <v/>
      </c>
    </row>
    <row r="382">
      <c r="A382">
        <f>IF($P382="","",377)</f>
        <v/>
      </c>
      <c r="B382">
        <f>IF($P382="","",INDEX(명단표[이름],$P382))</f>
        <v/>
      </c>
      <c r="C382">
        <f>IF($P382="","",INDEX(명단표[사번],$P382)&amp;"")</f>
        <v/>
      </c>
      <c r="D382">
        <f>IF($P382="","",INDEX(명단표[전공의등록번호],$P382)&amp;"")</f>
        <v/>
      </c>
      <c r="E382">
        <f>IF($P382="","",INDEX(명단표[수련과목],$P382)&amp;"")</f>
        <v/>
      </c>
      <c r="F382">
        <f>IF($P382="","",INDEX(명단표[연차],$P382)&amp;"")</f>
        <v/>
      </c>
      <c r="G382">
        <f>IF($P382="","",INDEX(명단표[소속병원],$P382))</f>
        <v/>
      </c>
      <c r="H382">
        <f>IF($P382="","",IF(INDEX(명단표[소속병원],$P382)="서울병원","서울 소속","타 병원 소속("&amp;INDEX(명단표[소속병원],$P382)&amp;") → 서울 지급"))</f>
        <v/>
      </c>
      <c r="I382">
        <f>IF($P382="","",INDEX(명단표[현재 근무병원],$P382))</f>
        <v/>
      </c>
      <c r="J382">
        <f>IF($P382="","",INDEX(명단표[구리 근무 시작일(기준월)],$P382)&amp;"")</f>
        <v/>
      </c>
      <c r="K382">
        <f>IF($P382="","",INDEX(명단표[구리 근무 종료일(기준월)],$P382)&amp;"")</f>
        <v/>
      </c>
      <c r="L382">
        <f>IF($P382="","",INDEX(명단표[서울 근무일(기준월)],$P382))</f>
        <v/>
      </c>
      <c r="M382">
        <f>IF($P382="","",INDEX(명단표[구리 근무일(기준월)],$P382))</f>
        <v/>
      </c>
      <c r="N382">
        <f>IF($P382="","",INDEX(명단표[급여 판정 근거],$P382))</f>
        <v/>
      </c>
      <c r="O382">
        <f>IF($P382="","",INDEX(명단표[점검],$P382))</f>
        <v/>
      </c>
      <c r="P382" s="17">
        <f>IFERROR(MATCH(377,명단표[서울순번],0),"")</f>
        <v/>
      </c>
      <c r="R382">
        <f>IF($W382="","",INDEX(명단표[이름],$W382))</f>
        <v/>
      </c>
      <c r="S382">
        <f>IF($W382="","",INDEX(명단표[사번],$W382)&amp;"")</f>
        <v/>
      </c>
      <c r="T382">
        <f>IF($W382="","",INDEX(명단표[소속병원],$W382))</f>
        <v/>
      </c>
      <c r="U382">
        <f>IF($W382="","",INDEX(명단표[서울 근무일(기준월)],$W382))</f>
        <v/>
      </c>
      <c r="V382">
        <f>IF($W382="","",INDEX(명단표[구리 근무일(기준월)],$W382))</f>
        <v/>
      </c>
      <c r="W382" s="17">
        <f>IFERROR(MATCH(377,명단표[판정불가순번],0),"")</f>
        <v/>
      </c>
    </row>
    <row r="383">
      <c r="A383">
        <f>IF($P383="","",378)</f>
        <v/>
      </c>
      <c r="B383">
        <f>IF($P383="","",INDEX(명단표[이름],$P383))</f>
        <v/>
      </c>
      <c r="C383">
        <f>IF($P383="","",INDEX(명단표[사번],$P383)&amp;"")</f>
        <v/>
      </c>
      <c r="D383">
        <f>IF($P383="","",INDEX(명단표[전공의등록번호],$P383)&amp;"")</f>
        <v/>
      </c>
      <c r="E383">
        <f>IF($P383="","",INDEX(명단표[수련과목],$P383)&amp;"")</f>
        <v/>
      </c>
      <c r="F383">
        <f>IF($P383="","",INDEX(명단표[연차],$P383)&amp;"")</f>
        <v/>
      </c>
      <c r="G383">
        <f>IF($P383="","",INDEX(명단표[소속병원],$P383))</f>
        <v/>
      </c>
      <c r="H383">
        <f>IF($P383="","",IF(INDEX(명단표[소속병원],$P383)="서울병원","서울 소속","타 병원 소속("&amp;INDEX(명단표[소속병원],$P383)&amp;") → 서울 지급"))</f>
        <v/>
      </c>
      <c r="I383">
        <f>IF($P383="","",INDEX(명단표[현재 근무병원],$P383))</f>
        <v/>
      </c>
      <c r="J383">
        <f>IF($P383="","",INDEX(명단표[구리 근무 시작일(기준월)],$P383)&amp;"")</f>
        <v/>
      </c>
      <c r="K383">
        <f>IF($P383="","",INDEX(명단표[구리 근무 종료일(기준월)],$P383)&amp;"")</f>
        <v/>
      </c>
      <c r="L383">
        <f>IF($P383="","",INDEX(명단표[서울 근무일(기준월)],$P383))</f>
        <v/>
      </c>
      <c r="M383">
        <f>IF($P383="","",INDEX(명단표[구리 근무일(기준월)],$P383))</f>
        <v/>
      </c>
      <c r="N383">
        <f>IF($P383="","",INDEX(명단표[급여 판정 근거],$P383))</f>
        <v/>
      </c>
      <c r="O383">
        <f>IF($P383="","",INDEX(명단표[점검],$P383))</f>
        <v/>
      </c>
      <c r="P383" s="17">
        <f>IFERROR(MATCH(378,명단표[서울순번],0),"")</f>
        <v/>
      </c>
      <c r="R383">
        <f>IF($W383="","",INDEX(명단표[이름],$W383))</f>
        <v/>
      </c>
      <c r="S383">
        <f>IF($W383="","",INDEX(명단표[사번],$W383)&amp;"")</f>
        <v/>
      </c>
      <c r="T383">
        <f>IF($W383="","",INDEX(명단표[소속병원],$W383))</f>
        <v/>
      </c>
      <c r="U383">
        <f>IF($W383="","",INDEX(명단표[서울 근무일(기준월)],$W383))</f>
        <v/>
      </c>
      <c r="V383">
        <f>IF($W383="","",INDEX(명단표[구리 근무일(기준월)],$W383))</f>
        <v/>
      </c>
      <c r="W383" s="17">
        <f>IFERROR(MATCH(378,명단표[판정불가순번],0),"")</f>
        <v/>
      </c>
    </row>
    <row r="384">
      <c r="A384">
        <f>IF($P384="","",379)</f>
        <v/>
      </c>
      <c r="B384">
        <f>IF($P384="","",INDEX(명단표[이름],$P384))</f>
        <v/>
      </c>
      <c r="C384">
        <f>IF($P384="","",INDEX(명단표[사번],$P384)&amp;"")</f>
        <v/>
      </c>
      <c r="D384">
        <f>IF($P384="","",INDEX(명단표[전공의등록번호],$P384)&amp;"")</f>
        <v/>
      </c>
      <c r="E384">
        <f>IF($P384="","",INDEX(명단표[수련과목],$P384)&amp;"")</f>
        <v/>
      </c>
      <c r="F384">
        <f>IF($P384="","",INDEX(명단표[연차],$P384)&amp;"")</f>
        <v/>
      </c>
      <c r="G384">
        <f>IF($P384="","",INDEX(명단표[소속병원],$P384))</f>
        <v/>
      </c>
      <c r="H384">
        <f>IF($P384="","",IF(INDEX(명단표[소속병원],$P384)="서울병원","서울 소속","타 병원 소속("&amp;INDEX(명단표[소속병원],$P384)&amp;") → 서울 지급"))</f>
        <v/>
      </c>
      <c r="I384">
        <f>IF($P384="","",INDEX(명단표[현재 근무병원],$P384))</f>
        <v/>
      </c>
      <c r="J384">
        <f>IF($P384="","",INDEX(명단표[구리 근무 시작일(기준월)],$P384)&amp;"")</f>
        <v/>
      </c>
      <c r="K384">
        <f>IF($P384="","",INDEX(명단표[구리 근무 종료일(기준월)],$P384)&amp;"")</f>
        <v/>
      </c>
      <c r="L384">
        <f>IF($P384="","",INDEX(명단표[서울 근무일(기준월)],$P384))</f>
        <v/>
      </c>
      <c r="M384">
        <f>IF($P384="","",INDEX(명단표[구리 근무일(기준월)],$P384))</f>
        <v/>
      </c>
      <c r="N384">
        <f>IF($P384="","",INDEX(명단표[급여 판정 근거],$P384))</f>
        <v/>
      </c>
      <c r="O384">
        <f>IF($P384="","",INDEX(명단표[점검],$P384))</f>
        <v/>
      </c>
      <c r="P384" s="17">
        <f>IFERROR(MATCH(379,명단표[서울순번],0),"")</f>
        <v/>
      </c>
      <c r="R384">
        <f>IF($W384="","",INDEX(명단표[이름],$W384))</f>
        <v/>
      </c>
      <c r="S384">
        <f>IF($W384="","",INDEX(명단표[사번],$W384)&amp;"")</f>
        <v/>
      </c>
      <c r="T384">
        <f>IF($W384="","",INDEX(명단표[소속병원],$W384))</f>
        <v/>
      </c>
      <c r="U384">
        <f>IF($W384="","",INDEX(명단표[서울 근무일(기준월)],$W384))</f>
        <v/>
      </c>
      <c r="V384">
        <f>IF($W384="","",INDEX(명단표[구리 근무일(기준월)],$W384))</f>
        <v/>
      </c>
      <c r="W384" s="17">
        <f>IFERROR(MATCH(379,명단표[판정불가순번],0),"")</f>
        <v/>
      </c>
    </row>
    <row r="385">
      <c r="A385">
        <f>IF($P385="","",380)</f>
        <v/>
      </c>
      <c r="B385">
        <f>IF($P385="","",INDEX(명단표[이름],$P385))</f>
        <v/>
      </c>
      <c r="C385">
        <f>IF($P385="","",INDEX(명단표[사번],$P385)&amp;"")</f>
        <v/>
      </c>
      <c r="D385">
        <f>IF($P385="","",INDEX(명단표[전공의등록번호],$P385)&amp;"")</f>
        <v/>
      </c>
      <c r="E385">
        <f>IF($P385="","",INDEX(명단표[수련과목],$P385)&amp;"")</f>
        <v/>
      </c>
      <c r="F385">
        <f>IF($P385="","",INDEX(명단표[연차],$P385)&amp;"")</f>
        <v/>
      </c>
      <c r="G385">
        <f>IF($P385="","",INDEX(명단표[소속병원],$P385))</f>
        <v/>
      </c>
      <c r="H385">
        <f>IF($P385="","",IF(INDEX(명단표[소속병원],$P385)="서울병원","서울 소속","타 병원 소속("&amp;INDEX(명단표[소속병원],$P385)&amp;") → 서울 지급"))</f>
        <v/>
      </c>
      <c r="I385">
        <f>IF($P385="","",INDEX(명단표[현재 근무병원],$P385))</f>
        <v/>
      </c>
      <c r="J385">
        <f>IF($P385="","",INDEX(명단표[구리 근무 시작일(기준월)],$P385)&amp;"")</f>
        <v/>
      </c>
      <c r="K385">
        <f>IF($P385="","",INDEX(명단표[구리 근무 종료일(기준월)],$P385)&amp;"")</f>
        <v/>
      </c>
      <c r="L385">
        <f>IF($P385="","",INDEX(명단표[서울 근무일(기준월)],$P385))</f>
        <v/>
      </c>
      <c r="M385">
        <f>IF($P385="","",INDEX(명단표[구리 근무일(기준월)],$P385))</f>
        <v/>
      </c>
      <c r="N385">
        <f>IF($P385="","",INDEX(명단표[급여 판정 근거],$P385))</f>
        <v/>
      </c>
      <c r="O385">
        <f>IF($P385="","",INDEX(명단표[점검],$P385))</f>
        <v/>
      </c>
      <c r="P385" s="17">
        <f>IFERROR(MATCH(380,명단표[서울순번],0),"")</f>
        <v/>
      </c>
      <c r="R385">
        <f>IF($W385="","",INDEX(명단표[이름],$W385))</f>
        <v/>
      </c>
      <c r="S385">
        <f>IF($W385="","",INDEX(명단표[사번],$W385)&amp;"")</f>
        <v/>
      </c>
      <c r="T385">
        <f>IF($W385="","",INDEX(명단표[소속병원],$W385))</f>
        <v/>
      </c>
      <c r="U385">
        <f>IF($W385="","",INDEX(명단표[서울 근무일(기준월)],$W385))</f>
        <v/>
      </c>
      <c r="V385">
        <f>IF($W385="","",INDEX(명단표[구리 근무일(기준월)],$W385))</f>
        <v/>
      </c>
      <c r="W385" s="17">
        <f>IFERROR(MATCH(380,명단표[판정불가순번],0),"")</f>
        <v/>
      </c>
    </row>
    <row r="386">
      <c r="A386">
        <f>IF($P386="","",381)</f>
        <v/>
      </c>
      <c r="B386">
        <f>IF($P386="","",INDEX(명단표[이름],$P386))</f>
        <v/>
      </c>
      <c r="C386">
        <f>IF($P386="","",INDEX(명단표[사번],$P386)&amp;"")</f>
        <v/>
      </c>
      <c r="D386">
        <f>IF($P386="","",INDEX(명단표[전공의등록번호],$P386)&amp;"")</f>
        <v/>
      </c>
      <c r="E386">
        <f>IF($P386="","",INDEX(명단표[수련과목],$P386)&amp;"")</f>
        <v/>
      </c>
      <c r="F386">
        <f>IF($P386="","",INDEX(명단표[연차],$P386)&amp;"")</f>
        <v/>
      </c>
      <c r="G386">
        <f>IF($P386="","",INDEX(명단표[소속병원],$P386))</f>
        <v/>
      </c>
      <c r="H386">
        <f>IF($P386="","",IF(INDEX(명단표[소속병원],$P386)="서울병원","서울 소속","타 병원 소속("&amp;INDEX(명단표[소속병원],$P386)&amp;") → 서울 지급"))</f>
        <v/>
      </c>
      <c r="I386">
        <f>IF($P386="","",INDEX(명단표[현재 근무병원],$P386))</f>
        <v/>
      </c>
      <c r="J386">
        <f>IF($P386="","",INDEX(명단표[구리 근무 시작일(기준월)],$P386)&amp;"")</f>
        <v/>
      </c>
      <c r="K386">
        <f>IF($P386="","",INDEX(명단표[구리 근무 종료일(기준월)],$P386)&amp;"")</f>
        <v/>
      </c>
      <c r="L386">
        <f>IF($P386="","",INDEX(명단표[서울 근무일(기준월)],$P386))</f>
        <v/>
      </c>
      <c r="M386">
        <f>IF($P386="","",INDEX(명단표[구리 근무일(기준월)],$P386))</f>
        <v/>
      </c>
      <c r="N386">
        <f>IF($P386="","",INDEX(명단표[급여 판정 근거],$P386))</f>
        <v/>
      </c>
      <c r="O386">
        <f>IF($P386="","",INDEX(명단표[점검],$P386))</f>
        <v/>
      </c>
      <c r="P386" s="17">
        <f>IFERROR(MATCH(381,명단표[서울순번],0),"")</f>
        <v/>
      </c>
      <c r="R386">
        <f>IF($W386="","",INDEX(명단표[이름],$W386))</f>
        <v/>
      </c>
      <c r="S386">
        <f>IF($W386="","",INDEX(명단표[사번],$W386)&amp;"")</f>
        <v/>
      </c>
      <c r="T386">
        <f>IF($W386="","",INDEX(명단표[소속병원],$W386))</f>
        <v/>
      </c>
      <c r="U386">
        <f>IF($W386="","",INDEX(명단표[서울 근무일(기준월)],$W386))</f>
        <v/>
      </c>
      <c r="V386">
        <f>IF($W386="","",INDEX(명단표[구리 근무일(기준월)],$W386))</f>
        <v/>
      </c>
      <c r="W386" s="17">
        <f>IFERROR(MATCH(381,명단표[판정불가순번],0),"")</f>
        <v/>
      </c>
    </row>
    <row r="387">
      <c r="A387">
        <f>IF($P387="","",382)</f>
        <v/>
      </c>
      <c r="B387">
        <f>IF($P387="","",INDEX(명단표[이름],$P387))</f>
        <v/>
      </c>
      <c r="C387">
        <f>IF($P387="","",INDEX(명단표[사번],$P387)&amp;"")</f>
        <v/>
      </c>
      <c r="D387">
        <f>IF($P387="","",INDEX(명단표[전공의등록번호],$P387)&amp;"")</f>
        <v/>
      </c>
      <c r="E387">
        <f>IF($P387="","",INDEX(명단표[수련과목],$P387)&amp;"")</f>
        <v/>
      </c>
      <c r="F387">
        <f>IF($P387="","",INDEX(명단표[연차],$P387)&amp;"")</f>
        <v/>
      </c>
      <c r="G387">
        <f>IF($P387="","",INDEX(명단표[소속병원],$P387))</f>
        <v/>
      </c>
      <c r="H387">
        <f>IF($P387="","",IF(INDEX(명단표[소속병원],$P387)="서울병원","서울 소속","타 병원 소속("&amp;INDEX(명단표[소속병원],$P387)&amp;") → 서울 지급"))</f>
        <v/>
      </c>
      <c r="I387">
        <f>IF($P387="","",INDEX(명단표[현재 근무병원],$P387))</f>
        <v/>
      </c>
      <c r="J387">
        <f>IF($P387="","",INDEX(명단표[구리 근무 시작일(기준월)],$P387)&amp;"")</f>
        <v/>
      </c>
      <c r="K387">
        <f>IF($P387="","",INDEX(명단표[구리 근무 종료일(기준월)],$P387)&amp;"")</f>
        <v/>
      </c>
      <c r="L387">
        <f>IF($P387="","",INDEX(명단표[서울 근무일(기준월)],$P387))</f>
        <v/>
      </c>
      <c r="M387">
        <f>IF($P387="","",INDEX(명단표[구리 근무일(기준월)],$P387))</f>
        <v/>
      </c>
      <c r="N387">
        <f>IF($P387="","",INDEX(명단표[급여 판정 근거],$P387))</f>
        <v/>
      </c>
      <c r="O387">
        <f>IF($P387="","",INDEX(명단표[점검],$P387))</f>
        <v/>
      </c>
      <c r="P387" s="17">
        <f>IFERROR(MATCH(382,명단표[서울순번],0),"")</f>
        <v/>
      </c>
      <c r="R387">
        <f>IF($W387="","",INDEX(명단표[이름],$W387))</f>
        <v/>
      </c>
      <c r="S387">
        <f>IF($W387="","",INDEX(명단표[사번],$W387)&amp;"")</f>
        <v/>
      </c>
      <c r="T387">
        <f>IF($W387="","",INDEX(명단표[소속병원],$W387))</f>
        <v/>
      </c>
      <c r="U387">
        <f>IF($W387="","",INDEX(명단표[서울 근무일(기준월)],$W387))</f>
        <v/>
      </c>
      <c r="V387">
        <f>IF($W387="","",INDEX(명단표[구리 근무일(기준월)],$W387))</f>
        <v/>
      </c>
      <c r="W387" s="17">
        <f>IFERROR(MATCH(382,명단표[판정불가순번],0),"")</f>
        <v/>
      </c>
    </row>
    <row r="388">
      <c r="A388">
        <f>IF($P388="","",383)</f>
        <v/>
      </c>
      <c r="B388">
        <f>IF($P388="","",INDEX(명단표[이름],$P388))</f>
        <v/>
      </c>
      <c r="C388">
        <f>IF($P388="","",INDEX(명단표[사번],$P388)&amp;"")</f>
        <v/>
      </c>
      <c r="D388">
        <f>IF($P388="","",INDEX(명단표[전공의등록번호],$P388)&amp;"")</f>
        <v/>
      </c>
      <c r="E388">
        <f>IF($P388="","",INDEX(명단표[수련과목],$P388)&amp;"")</f>
        <v/>
      </c>
      <c r="F388">
        <f>IF($P388="","",INDEX(명단표[연차],$P388)&amp;"")</f>
        <v/>
      </c>
      <c r="G388">
        <f>IF($P388="","",INDEX(명단표[소속병원],$P388))</f>
        <v/>
      </c>
      <c r="H388">
        <f>IF($P388="","",IF(INDEX(명단표[소속병원],$P388)="서울병원","서울 소속","타 병원 소속("&amp;INDEX(명단표[소속병원],$P388)&amp;") → 서울 지급"))</f>
        <v/>
      </c>
      <c r="I388">
        <f>IF($P388="","",INDEX(명단표[현재 근무병원],$P388))</f>
        <v/>
      </c>
      <c r="J388">
        <f>IF($P388="","",INDEX(명단표[구리 근무 시작일(기준월)],$P388)&amp;"")</f>
        <v/>
      </c>
      <c r="K388">
        <f>IF($P388="","",INDEX(명단표[구리 근무 종료일(기준월)],$P388)&amp;"")</f>
        <v/>
      </c>
      <c r="L388">
        <f>IF($P388="","",INDEX(명단표[서울 근무일(기준월)],$P388))</f>
        <v/>
      </c>
      <c r="M388">
        <f>IF($P388="","",INDEX(명단표[구리 근무일(기준월)],$P388))</f>
        <v/>
      </c>
      <c r="N388">
        <f>IF($P388="","",INDEX(명단표[급여 판정 근거],$P388))</f>
        <v/>
      </c>
      <c r="O388">
        <f>IF($P388="","",INDEX(명단표[점검],$P388))</f>
        <v/>
      </c>
      <c r="P388" s="17">
        <f>IFERROR(MATCH(383,명단표[서울순번],0),"")</f>
        <v/>
      </c>
      <c r="R388">
        <f>IF($W388="","",INDEX(명단표[이름],$W388))</f>
        <v/>
      </c>
      <c r="S388">
        <f>IF($W388="","",INDEX(명단표[사번],$W388)&amp;"")</f>
        <v/>
      </c>
      <c r="T388">
        <f>IF($W388="","",INDEX(명단표[소속병원],$W388))</f>
        <v/>
      </c>
      <c r="U388">
        <f>IF($W388="","",INDEX(명단표[서울 근무일(기준월)],$W388))</f>
        <v/>
      </c>
      <c r="V388">
        <f>IF($W388="","",INDEX(명단표[구리 근무일(기준월)],$W388))</f>
        <v/>
      </c>
      <c r="W388" s="17">
        <f>IFERROR(MATCH(383,명단표[판정불가순번],0),"")</f>
        <v/>
      </c>
    </row>
    <row r="389">
      <c r="A389">
        <f>IF($P389="","",384)</f>
        <v/>
      </c>
      <c r="B389">
        <f>IF($P389="","",INDEX(명단표[이름],$P389))</f>
        <v/>
      </c>
      <c r="C389">
        <f>IF($P389="","",INDEX(명단표[사번],$P389)&amp;"")</f>
        <v/>
      </c>
      <c r="D389">
        <f>IF($P389="","",INDEX(명단표[전공의등록번호],$P389)&amp;"")</f>
        <v/>
      </c>
      <c r="E389">
        <f>IF($P389="","",INDEX(명단표[수련과목],$P389)&amp;"")</f>
        <v/>
      </c>
      <c r="F389">
        <f>IF($P389="","",INDEX(명단표[연차],$P389)&amp;"")</f>
        <v/>
      </c>
      <c r="G389">
        <f>IF($P389="","",INDEX(명단표[소속병원],$P389))</f>
        <v/>
      </c>
      <c r="H389">
        <f>IF($P389="","",IF(INDEX(명단표[소속병원],$P389)="서울병원","서울 소속","타 병원 소속("&amp;INDEX(명단표[소속병원],$P389)&amp;") → 서울 지급"))</f>
        <v/>
      </c>
      <c r="I389">
        <f>IF($P389="","",INDEX(명단표[현재 근무병원],$P389))</f>
        <v/>
      </c>
      <c r="J389">
        <f>IF($P389="","",INDEX(명단표[구리 근무 시작일(기준월)],$P389)&amp;"")</f>
        <v/>
      </c>
      <c r="K389">
        <f>IF($P389="","",INDEX(명단표[구리 근무 종료일(기준월)],$P389)&amp;"")</f>
        <v/>
      </c>
      <c r="L389">
        <f>IF($P389="","",INDEX(명단표[서울 근무일(기준월)],$P389))</f>
        <v/>
      </c>
      <c r="M389">
        <f>IF($P389="","",INDEX(명단표[구리 근무일(기준월)],$P389))</f>
        <v/>
      </c>
      <c r="N389">
        <f>IF($P389="","",INDEX(명단표[급여 판정 근거],$P389))</f>
        <v/>
      </c>
      <c r="O389">
        <f>IF($P389="","",INDEX(명단표[점검],$P389))</f>
        <v/>
      </c>
      <c r="P389" s="17">
        <f>IFERROR(MATCH(384,명단표[서울순번],0),"")</f>
        <v/>
      </c>
      <c r="R389">
        <f>IF($W389="","",INDEX(명단표[이름],$W389))</f>
        <v/>
      </c>
      <c r="S389">
        <f>IF($W389="","",INDEX(명단표[사번],$W389)&amp;"")</f>
        <v/>
      </c>
      <c r="T389">
        <f>IF($W389="","",INDEX(명단표[소속병원],$W389))</f>
        <v/>
      </c>
      <c r="U389">
        <f>IF($W389="","",INDEX(명단표[서울 근무일(기준월)],$W389))</f>
        <v/>
      </c>
      <c r="V389">
        <f>IF($W389="","",INDEX(명단표[구리 근무일(기준월)],$W389))</f>
        <v/>
      </c>
      <c r="W389" s="17">
        <f>IFERROR(MATCH(384,명단표[판정불가순번],0),"")</f>
        <v/>
      </c>
    </row>
    <row r="390">
      <c r="A390">
        <f>IF($P390="","",385)</f>
        <v/>
      </c>
      <c r="B390">
        <f>IF($P390="","",INDEX(명단표[이름],$P390))</f>
        <v/>
      </c>
      <c r="C390">
        <f>IF($P390="","",INDEX(명단표[사번],$P390)&amp;"")</f>
        <v/>
      </c>
      <c r="D390">
        <f>IF($P390="","",INDEX(명단표[전공의등록번호],$P390)&amp;"")</f>
        <v/>
      </c>
      <c r="E390">
        <f>IF($P390="","",INDEX(명단표[수련과목],$P390)&amp;"")</f>
        <v/>
      </c>
      <c r="F390">
        <f>IF($P390="","",INDEX(명단표[연차],$P390)&amp;"")</f>
        <v/>
      </c>
      <c r="G390">
        <f>IF($P390="","",INDEX(명단표[소속병원],$P390))</f>
        <v/>
      </c>
      <c r="H390">
        <f>IF($P390="","",IF(INDEX(명단표[소속병원],$P390)="서울병원","서울 소속","타 병원 소속("&amp;INDEX(명단표[소속병원],$P390)&amp;") → 서울 지급"))</f>
        <v/>
      </c>
      <c r="I390">
        <f>IF($P390="","",INDEX(명단표[현재 근무병원],$P390))</f>
        <v/>
      </c>
      <c r="J390">
        <f>IF($P390="","",INDEX(명단표[구리 근무 시작일(기준월)],$P390)&amp;"")</f>
        <v/>
      </c>
      <c r="K390">
        <f>IF($P390="","",INDEX(명단표[구리 근무 종료일(기준월)],$P390)&amp;"")</f>
        <v/>
      </c>
      <c r="L390">
        <f>IF($P390="","",INDEX(명단표[서울 근무일(기준월)],$P390))</f>
        <v/>
      </c>
      <c r="M390">
        <f>IF($P390="","",INDEX(명단표[구리 근무일(기준월)],$P390))</f>
        <v/>
      </c>
      <c r="N390">
        <f>IF($P390="","",INDEX(명단표[급여 판정 근거],$P390))</f>
        <v/>
      </c>
      <c r="O390">
        <f>IF($P390="","",INDEX(명단표[점검],$P390))</f>
        <v/>
      </c>
      <c r="P390" s="17">
        <f>IFERROR(MATCH(385,명단표[서울순번],0),"")</f>
        <v/>
      </c>
      <c r="R390">
        <f>IF($W390="","",INDEX(명단표[이름],$W390))</f>
        <v/>
      </c>
      <c r="S390">
        <f>IF($W390="","",INDEX(명단표[사번],$W390)&amp;"")</f>
        <v/>
      </c>
      <c r="T390">
        <f>IF($W390="","",INDEX(명단표[소속병원],$W390))</f>
        <v/>
      </c>
      <c r="U390">
        <f>IF($W390="","",INDEX(명단표[서울 근무일(기준월)],$W390))</f>
        <v/>
      </c>
      <c r="V390">
        <f>IF($W390="","",INDEX(명단표[구리 근무일(기준월)],$W390))</f>
        <v/>
      </c>
      <c r="W390" s="17">
        <f>IFERROR(MATCH(385,명단표[판정불가순번],0),"")</f>
        <v/>
      </c>
    </row>
    <row r="391">
      <c r="A391">
        <f>IF($P391="","",386)</f>
        <v/>
      </c>
      <c r="B391">
        <f>IF($P391="","",INDEX(명단표[이름],$P391))</f>
        <v/>
      </c>
      <c r="C391">
        <f>IF($P391="","",INDEX(명단표[사번],$P391)&amp;"")</f>
        <v/>
      </c>
      <c r="D391">
        <f>IF($P391="","",INDEX(명단표[전공의등록번호],$P391)&amp;"")</f>
        <v/>
      </c>
      <c r="E391">
        <f>IF($P391="","",INDEX(명단표[수련과목],$P391)&amp;"")</f>
        <v/>
      </c>
      <c r="F391">
        <f>IF($P391="","",INDEX(명단표[연차],$P391)&amp;"")</f>
        <v/>
      </c>
      <c r="G391">
        <f>IF($P391="","",INDEX(명단표[소속병원],$P391))</f>
        <v/>
      </c>
      <c r="H391">
        <f>IF($P391="","",IF(INDEX(명단표[소속병원],$P391)="서울병원","서울 소속","타 병원 소속("&amp;INDEX(명단표[소속병원],$P391)&amp;") → 서울 지급"))</f>
        <v/>
      </c>
      <c r="I391">
        <f>IF($P391="","",INDEX(명단표[현재 근무병원],$P391))</f>
        <v/>
      </c>
      <c r="J391">
        <f>IF($P391="","",INDEX(명단표[구리 근무 시작일(기준월)],$P391)&amp;"")</f>
        <v/>
      </c>
      <c r="K391">
        <f>IF($P391="","",INDEX(명단표[구리 근무 종료일(기준월)],$P391)&amp;"")</f>
        <v/>
      </c>
      <c r="L391">
        <f>IF($P391="","",INDEX(명단표[서울 근무일(기준월)],$P391))</f>
        <v/>
      </c>
      <c r="M391">
        <f>IF($P391="","",INDEX(명단표[구리 근무일(기준월)],$P391))</f>
        <v/>
      </c>
      <c r="N391">
        <f>IF($P391="","",INDEX(명단표[급여 판정 근거],$P391))</f>
        <v/>
      </c>
      <c r="O391">
        <f>IF($P391="","",INDEX(명단표[점검],$P391))</f>
        <v/>
      </c>
      <c r="P391" s="17">
        <f>IFERROR(MATCH(386,명단표[서울순번],0),"")</f>
        <v/>
      </c>
      <c r="R391">
        <f>IF($W391="","",INDEX(명단표[이름],$W391))</f>
        <v/>
      </c>
      <c r="S391">
        <f>IF($W391="","",INDEX(명단표[사번],$W391)&amp;"")</f>
        <v/>
      </c>
      <c r="T391">
        <f>IF($W391="","",INDEX(명단표[소속병원],$W391))</f>
        <v/>
      </c>
      <c r="U391">
        <f>IF($W391="","",INDEX(명단표[서울 근무일(기준월)],$W391))</f>
        <v/>
      </c>
      <c r="V391">
        <f>IF($W391="","",INDEX(명단표[구리 근무일(기준월)],$W391))</f>
        <v/>
      </c>
      <c r="W391" s="17">
        <f>IFERROR(MATCH(386,명단표[판정불가순번],0),"")</f>
        <v/>
      </c>
    </row>
    <row r="392">
      <c r="A392">
        <f>IF($P392="","",387)</f>
        <v/>
      </c>
      <c r="B392">
        <f>IF($P392="","",INDEX(명단표[이름],$P392))</f>
        <v/>
      </c>
      <c r="C392">
        <f>IF($P392="","",INDEX(명단표[사번],$P392)&amp;"")</f>
        <v/>
      </c>
      <c r="D392">
        <f>IF($P392="","",INDEX(명단표[전공의등록번호],$P392)&amp;"")</f>
        <v/>
      </c>
      <c r="E392">
        <f>IF($P392="","",INDEX(명단표[수련과목],$P392)&amp;"")</f>
        <v/>
      </c>
      <c r="F392">
        <f>IF($P392="","",INDEX(명단표[연차],$P392)&amp;"")</f>
        <v/>
      </c>
      <c r="G392">
        <f>IF($P392="","",INDEX(명단표[소속병원],$P392))</f>
        <v/>
      </c>
      <c r="H392">
        <f>IF($P392="","",IF(INDEX(명단표[소속병원],$P392)="서울병원","서울 소속","타 병원 소속("&amp;INDEX(명단표[소속병원],$P392)&amp;") → 서울 지급"))</f>
        <v/>
      </c>
      <c r="I392">
        <f>IF($P392="","",INDEX(명단표[현재 근무병원],$P392))</f>
        <v/>
      </c>
      <c r="J392">
        <f>IF($P392="","",INDEX(명단표[구리 근무 시작일(기준월)],$P392)&amp;"")</f>
        <v/>
      </c>
      <c r="K392">
        <f>IF($P392="","",INDEX(명단표[구리 근무 종료일(기준월)],$P392)&amp;"")</f>
        <v/>
      </c>
      <c r="L392">
        <f>IF($P392="","",INDEX(명단표[서울 근무일(기준월)],$P392))</f>
        <v/>
      </c>
      <c r="M392">
        <f>IF($P392="","",INDEX(명단표[구리 근무일(기준월)],$P392))</f>
        <v/>
      </c>
      <c r="N392">
        <f>IF($P392="","",INDEX(명단표[급여 판정 근거],$P392))</f>
        <v/>
      </c>
      <c r="O392">
        <f>IF($P392="","",INDEX(명단표[점검],$P392))</f>
        <v/>
      </c>
      <c r="P392" s="17">
        <f>IFERROR(MATCH(387,명단표[서울순번],0),"")</f>
        <v/>
      </c>
      <c r="R392">
        <f>IF($W392="","",INDEX(명단표[이름],$W392))</f>
        <v/>
      </c>
      <c r="S392">
        <f>IF($W392="","",INDEX(명단표[사번],$W392)&amp;"")</f>
        <v/>
      </c>
      <c r="T392">
        <f>IF($W392="","",INDEX(명단표[소속병원],$W392))</f>
        <v/>
      </c>
      <c r="U392">
        <f>IF($W392="","",INDEX(명단표[서울 근무일(기준월)],$W392))</f>
        <v/>
      </c>
      <c r="V392">
        <f>IF($W392="","",INDEX(명단표[구리 근무일(기준월)],$W392))</f>
        <v/>
      </c>
      <c r="W392" s="17">
        <f>IFERROR(MATCH(387,명단표[판정불가순번],0),"")</f>
        <v/>
      </c>
    </row>
    <row r="393">
      <c r="A393">
        <f>IF($P393="","",388)</f>
        <v/>
      </c>
      <c r="B393">
        <f>IF($P393="","",INDEX(명단표[이름],$P393))</f>
        <v/>
      </c>
      <c r="C393">
        <f>IF($P393="","",INDEX(명단표[사번],$P393)&amp;"")</f>
        <v/>
      </c>
      <c r="D393">
        <f>IF($P393="","",INDEX(명단표[전공의등록번호],$P393)&amp;"")</f>
        <v/>
      </c>
      <c r="E393">
        <f>IF($P393="","",INDEX(명단표[수련과목],$P393)&amp;"")</f>
        <v/>
      </c>
      <c r="F393">
        <f>IF($P393="","",INDEX(명단표[연차],$P393)&amp;"")</f>
        <v/>
      </c>
      <c r="G393">
        <f>IF($P393="","",INDEX(명단표[소속병원],$P393))</f>
        <v/>
      </c>
      <c r="H393">
        <f>IF($P393="","",IF(INDEX(명단표[소속병원],$P393)="서울병원","서울 소속","타 병원 소속("&amp;INDEX(명단표[소속병원],$P393)&amp;") → 서울 지급"))</f>
        <v/>
      </c>
      <c r="I393">
        <f>IF($P393="","",INDEX(명단표[현재 근무병원],$P393))</f>
        <v/>
      </c>
      <c r="J393">
        <f>IF($P393="","",INDEX(명단표[구리 근무 시작일(기준월)],$P393)&amp;"")</f>
        <v/>
      </c>
      <c r="K393">
        <f>IF($P393="","",INDEX(명단표[구리 근무 종료일(기준월)],$P393)&amp;"")</f>
        <v/>
      </c>
      <c r="L393">
        <f>IF($P393="","",INDEX(명단표[서울 근무일(기준월)],$P393))</f>
        <v/>
      </c>
      <c r="M393">
        <f>IF($P393="","",INDEX(명단표[구리 근무일(기준월)],$P393))</f>
        <v/>
      </c>
      <c r="N393">
        <f>IF($P393="","",INDEX(명단표[급여 판정 근거],$P393))</f>
        <v/>
      </c>
      <c r="O393">
        <f>IF($P393="","",INDEX(명단표[점검],$P393))</f>
        <v/>
      </c>
      <c r="P393" s="17">
        <f>IFERROR(MATCH(388,명단표[서울순번],0),"")</f>
        <v/>
      </c>
      <c r="R393">
        <f>IF($W393="","",INDEX(명단표[이름],$W393))</f>
        <v/>
      </c>
      <c r="S393">
        <f>IF($W393="","",INDEX(명단표[사번],$W393)&amp;"")</f>
        <v/>
      </c>
      <c r="T393">
        <f>IF($W393="","",INDEX(명단표[소속병원],$W393))</f>
        <v/>
      </c>
      <c r="U393">
        <f>IF($W393="","",INDEX(명단표[서울 근무일(기준월)],$W393))</f>
        <v/>
      </c>
      <c r="V393">
        <f>IF($W393="","",INDEX(명단표[구리 근무일(기준월)],$W393))</f>
        <v/>
      </c>
      <c r="W393" s="17">
        <f>IFERROR(MATCH(388,명단표[판정불가순번],0),"")</f>
        <v/>
      </c>
    </row>
    <row r="394">
      <c r="A394">
        <f>IF($P394="","",389)</f>
        <v/>
      </c>
      <c r="B394">
        <f>IF($P394="","",INDEX(명단표[이름],$P394))</f>
        <v/>
      </c>
      <c r="C394">
        <f>IF($P394="","",INDEX(명단표[사번],$P394)&amp;"")</f>
        <v/>
      </c>
      <c r="D394">
        <f>IF($P394="","",INDEX(명단표[전공의등록번호],$P394)&amp;"")</f>
        <v/>
      </c>
      <c r="E394">
        <f>IF($P394="","",INDEX(명단표[수련과목],$P394)&amp;"")</f>
        <v/>
      </c>
      <c r="F394">
        <f>IF($P394="","",INDEX(명단표[연차],$P394)&amp;"")</f>
        <v/>
      </c>
      <c r="G394">
        <f>IF($P394="","",INDEX(명단표[소속병원],$P394))</f>
        <v/>
      </c>
      <c r="H394">
        <f>IF($P394="","",IF(INDEX(명단표[소속병원],$P394)="서울병원","서울 소속","타 병원 소속("&amp;INDEX(명단표[소속병원],$P394)&amp;") → 서울 지급"))</f>
        <v/>
      </c>
      <c r="I394">
        <f>IF($P394="","",INDEX(명단표[현재 근무병원],$P394))</f>
        <v/>
      </c>
      <c r="J394">
        <f>IF($P394="","",INDEX(명단표[구리 근무 시작일(기준월)],$P394)&amp;"")</f>
        <v/>
      </c>
      <c r="K394">
        <f>IF($P394="","",INDEX(명단표[구리 근무 종료일(기준월)],$P394)&amp;"")</f>
        <v/>
      </c>
      <c r="L394">
        <f>IF($P394="","",INDEX(명단표[서울 근무일(기준월)],$P394))</f>
        <v/>
      </c>
      <c r="M394">
        <f>IF($P394="","",INDEX(명단표[구리 근무일(기준월)],$P394))</f>
        <v/>
      </c>
      <c r="N394">
        <f>IF($P394="","",INDEX(명단표[급여 판정 근거],$P394))</f>
        <v/>
      </c>
      <c r="O394">
        <f>IF($P394="","",INDEX(명단표[점검],$P394))</f>
        <v/>
      </c>
      <c r="P394" s="17">
        <f>IFERROR(MATCH(389,명단표[서울순번],0),"")</f>
        <v/>
      </c>
      <c r="R394">
        <f>IF($W394="","",INDEX(명단표[이름],$W394))</f>
        <v/>
      </c>
      <c r="S394">
        <f>IF($W394="","",INDEX(명단표[사번],$W394)&amp;"")</f>
        <v/>
      </c>
      <c r="T394">
        <f>IF($W394="","",INDEX(명단표[소속병원],$W394))</f>
        <v/>
      </c>
      <c r="U394">
        <f>IF($W394="","",INDEX(명단표[서울 근무일(기준월)],$W394))</f>
        <v/>
      </c>
      <c r="V394">
        <f>IF($W394="","",INDEX(명단표[구리 근무일(기준월)],$W394))</f>
        <v/>
      </c>
      <c r="W394" s="17">
        <f>IFERROR(MATCH(389,명단표[판정불가순번],0),"")</f>
        <v/>
      </c>
    </row>
    <row r="395">
      <c r="A395">
        <f>IF($P395="","",390)</f>
        <v/>
      </c>
      <c r="B395">
        <f>IF($P395="","",INDEX(명단표[이름],$P395))</f>
        <v/>
      </c>
      <c r="C395">
        <f>IF($P395="","",INDEX(명단표[사번],$P395)&amp;"")</f>
        <v/>
      </c>
      <c r="D395">
        <f>IF($P395="","",INDEX(명단표[전공의등록번호],$P395)&amp;"")</f>
        <v/>
      </c>
      <c r="E395">
        <f>IF($P395="","",INDEX(명단표[수련과목],$P395)&amp;"")</f>
        <v/>
      </c>
      <c r="F395">
        <f>IF($P395="","",INDEX(명단표[연차],$P395)&amp;"")</f>
        <v/>
      </c>
      <c r="G395">
        <f>IF($P395="","",INDEX(명단표[소속병원],$P395))</f>
        <v/>
      </c>
      <c r="H395">
        <f>IF($P395="","",IF(INDEX(명단표[소속병원],$P395)="서울병원","서울 소속","타 병원 소속("&amp;INDEX(명단표[소속병원],$P395)&amp;") → 서울 지급"))</f>
        <v/>
      </c>
      <c r="I395">
        <f>IF($P395="","",INDEX(명단표[현재 근무병원],$P395))</f>
        <v/>
      </c>
      <c r="J395">
        <f>IF($P395="","",INDEX(명단표[구리 근무 시작일(기준월)],$P395)&amp;"")</f>
        <v/>
      </c>
      <c r="K395">
        <f>IF($P395="","",INDEX(명단표[구리 근무 종료일(기준월)],$P395)&amp;"")</f>
        <v/>
      </c>
      <c r="L395">
        <f>IF($P395="","",INDEX(명단표[서울 근무일(기준월)],$P395))</f>
        <v/>
      </c>
      <c r="M395">
        <f>IF($P395="","",INDEX(명단표[구리 근무일(기준월)],$P395))</f>
        <v/>
      </c>
      <c r="N395">
        <f>IF($P395="","",INDEX(명단표[급여 판정 근거],$P395))</f>
        <v/>
      </c>
      <c r="O395">
        <f>IF($P395="","",INDEX(명단표[점검],$P395))</f>
        <v/>
      </c>
      <c r="P395" s="17">
        <f>IFERROR(MATCH(390,명단표[서울순번],0),"")</f>
        <v/>
      </c>
      <c r="R395">
        <f>IF($W395="","",INDEX(명단표[이름],$W395))</f>
        <v/>
      </c>
      <c r="S395">
        <f>IF($W395="","",INDEX(명단표[사번],$W395)&amp;"")</f>
        <v/>
      </c>
      <c r="T395">
        <f>IF($W395="","",INDEX(명단표[소속병원],$W395))</f>
        <v/>
      </c>
      <c r="U395">
        <f>IF($W395="","",INDEX(명단표[서울 근무일(기준월)],$W395))</f>
        <v/>
      </c>
      <c r="V395">
        <f>IF($W395="","",INDEX(명단표[구리 근무일(기준월)],$W395))</f>
        <v/>
      </c>
      <c r="W395" s="17">
        <f>IFERROR(MATCH(390,명단표[판정불가순번],0),"")</f>
        <v/>
      </c>
    </row>
    <row r="396">
      <c r="A396">
        <f>IF($P396="","",391)</f>
        <v/>
      </c>
      <c r="B396">
        <f>IF($P396="","",INDEX(명단표[이름],$P396))</f>
        <v/>
      </c>
      <c r="C396">
        <f>IF($P396="","",INDEX(명단표[사번],$P396)&amp;"")</f>
        <v/>
      </c>
      <c r="D396">
        <f>IF($P396="","",INDEX(명단표[전공의등록번호],$P396)&amp;"")</f>
        <v/>
      </c>
      <c r="E396">
        <f>IF($P396="","",INDEX(명단표[수련과목],$P396)&amp;"")</f>
        <v/>
      </c>
      <c r="F396">
        <f>IF($P396="","",INDEX(명단표[연차],$P396)&amp;"")</f>
        <v/>
      </c>
      <c r="G396">
        <f>IF($P396="","",INDEX(명단표[소속병원],$P396))</f>
        <v/>
      </c>
      <c r="H396">
        <f>IF($P396="","",IF(INDEX(명단표[소속병원],$P396)="서울병원","서울 소속","타 병원 소속("&amp;INDEX(명단표[소속병원],$P396)&amp;") → 서울 지급"))</f>
        <v/>
      </c>
      <c r="I396">
        <f>IF($P396="","",INDEX(명단표[현재 근무병원],$P396))</f>
        <v/>
      </c>
      <c r="J396">
        <f>IF($P396="","",INDEX(명단표[구리 근무 시작일(기준월)],$P396)&amp;"")</f>
        <v/>
      </c>
      <c r="K396">
        <f>IF($P396="","",INDEX(명단표[구리 근무 종료일(기준월)],$P396)&amp;"")</f>
        <v/>
      </c>
      <c r="L396">
        <f>IF($P396="","",INDEX(명단표[서울 근무일(기준월)],$P396))</f>
        <v/>
      </c>
      <c r="M396">
        <f>IF($P396="","",INDEX(명단표[구리 근무일(기준월)],$P396))</f>
        <v/>
      </c>
      <c r="N396">
        <f>IF($P396="","",INDEX(명단표[급여 판정 근거],$P396))</f>
        <v/>
      </c>
      <c r="O396">
        <f>IF($P396="","",INDEX(명단표[점검],$P396))</f>
        <v/>
      </c>
      <c r="P396" s="17">
        <f>IFERROR(MATCH(391,명단표[서울순번],0),"")</f>
        <v/>
      </c>
      <c r="R396">
        <f>IF($W396="","",INDEX(명단표[이름],$W396))</f>
        <v/>
      </c>
      <c r="S396">
        <f>IF($W396="","",INDEX(명단표[사번],$W396)&amp;"")</f>
        <v/>
      </c>
      <c r="T396">
        <f>IF($W396="","",INDEX(명단표[소속병원],$W396))</f>
        <v/>
      </c>
      <c r="U396">
        <f>IF($W396="","",INDEX(명단표[서울 근무일(기준월)],$W396))</f>
        <v/>
      </c>
      <c r="V396">
        <f>IF($W396="","",INDEX(명단표[구리 근무일(기준월)],$W396))</f>
        <v/>
      </c>
      <c r="W396" s="17">
        <f>IFERROR(MATCH(391,명단표[판정불가순번],0),"")</f>
        <v/>
      </c>
    </row>
    <row r="397">
      <c r="A397">
        <f>IF($P397="","",392)</f>
        <v/>
      </c>
      <c r="B397">
        <f>IF($P397="","",INDEX(명단표[이름],$P397))</f>
        <v/>
      </c>
      <c r="C397">
        <f>IF($P397="","",INDEX(명단표[사번],$P397)&amp;"")</f>
        <v/>
      </c>
      <c r="D397">
        <f>IF($P397="","",INDEX(명단표[전공의등록번호],$P397)&amp;"")</f>
        <v/>
      </c>
      <c r="E397">
        <f>IF($P397="","",INDEX(명단표[수련과목],$P397)&amp;"")</f>
        <v/>
      </c>
      <c r="F397">
        <f>IF($P397="","",INDEX(명단표[연차],$P397)&amp;"")</f>
        <v/>
      </c>
      <c r="G397">
        <f>IF($P397="","",INDEX(명단표[소속병원],$P397))</f>
        <v/>
      </c>
      <c r="H397">
        <f>IF($P397="","",IF(INDEX(명단표[소속병원],$P397)="서울병원","서울 소속","타 병원 소속("&amp;INDEX(명단표[소속병원],$P397)&amp;") → 서울 지급"))</f>
        <v/>
      </c>
      <c r="I397">
        <f>IF($P397="","",INDEX(명단표[현재 근무병원],$P397))</f>
        <v/>
      </c>
      <c r="J397">
        <f>IF($P397="","",INDEX(명단표[구리 근무 시작일(기준월)],$P397)&amp;"")</f>
        <v/>
      </c>
      <c r="K397">
        <f>IF($P397="","",INDEX(명단표[구리 근무 종료일(기준월)],$P397)&amp;"")</f>
        <v/>
      </c>
      <c r="L397">
        <f>IF($P397="","",INDEX(명단표[서울 근무일(기준월)],$P397))</f>
        <v/>
      </c>
      <c r="M397">
        <f>IF($P397="","",INDEX(명단표[구리 근무일(기준월)],$P397))</f>
        <v/>
      </c>
      <c r="N397">
        <f>IF($P397="","",INDEX(명단표[급여 판정 근거],$P397))</f>
        <v/>
      </c>
      <c r="O397">
        <f>IF($P397="","",INDEX(명단표[점검],$P397))</f>
        <v/>
      </c>
      <c r="P397" s="17">
        <f>IFERROR(MATCH(392,명단표[서울순번],0),"")</f>
        <v/>
      </c>
      <c r="R397">
        <f>IF($W397="","",INDEX(명단표[이름],$W397))</f>
        <v/>
      </c>
      <c r="S397">
        <f>IF($W397="","",INDEX(명단표[사번],$W397)&amp;"")</f>
        <v/>
      </c>
      <c r="T397">
        <f>IF($W397="","",INDEX(명단표[소속병원],$W397))</f>
        <v/>
      </c>
      <c r="U397">
        <f>IF($W397="","",INDEX(명단표[서울 근무일(기준월)],$W397))</f>
        <v/>
      </c>
      <c r="V397">
        <f>IF($W397="","",INDEX(명단표[구리 근무일(기준월)],$W397))</f>
        <v/>
      </c>
      <c r="W397" s="17">
        <f>IFERROR(MATCH(392,명단표[판정불가순번],0),"")</f>
        <v/>
      </c>
    </row>
    <row r="398">
      <c r="A398">
        <f>IF($P398="","",393)</f>
        <v/>
      </c>
      <c r="B398">
        <f>IF($P398="","",INDEX(명단표[이름],$P398))</f>
        <v/>
      </c>
      <c r="C398">
        <f>IF($P398="","",INDEX(명단표[사번],$P398)&amp;"")</f>
        <v/>
      </c>
      <c r="D398">
        <f>IF($P398="","",INDEX(명단표[전공의등록번호],$P398)&amp;"")</f>
        <v/>
      </c>
      <c r="E398">
        <f>IF($P398="","",INDEX(명단표[수련과목],$P398)&amp;"")</f>
        <v/>
      </c>
      <c r="F398">
        <f>IF($P398="","",INDEX(명단표[연차],$P398)&amp;"")</f>
        <v/>
      </c>
      <c r="G398">
        <f>IF($P398="","",INDEX(명단표[소속병원],$P398))</f>
        <v/>
      </c>
      <c r="H398">
        <f>IF($P398="","",IF(INDEX(명단표[소속병원],$P398)="서울병원","서울 소속","타 병원 소속("&amp;INDEX(명단표[소속병원],$P398)&amp;") → 서울 지급"))</f>
        <v/>
      </c>
      <c r="I398">
        <f>IF($P398="","",INDEX(명단표[현재 근무병원],$P398))</f>
        <v/>
      </c>
      <c r="J398">
        <f>IF($P398="","",INDEX(명단표[구리 근무 시작일(기준월)],$P398)&amp;"")</f>
        <v/>
      </c>
      <c r="K398">
        <f>IF($P398="","",INDEX(명단표[구리 근무 종료일(기준월)],$P398)&amp;"")</f>
        <v/>
      </c>
      <c r="L398">
        <f>IF($P398="","",INDEX(명단표[서울 근무일(기준월)],$P398))</f>
        <v/>
      </c>
      <c r="M398">
        <f>IF($P398="","",INDEX(명단표[구리 근무일(기준월)],$P398))</f>
        <v/>
      </c>
      <c r="N398">
        <f>IF($P398="","",INDEX(명단표[급여 판정 근거],$P398))</f>
        <v/>
      </c>
      <c r="O398">
        <f>IF($P398="","",INDEX(명단표[점검],$P398))</f>
        <v/>
      </c>
      <c r="P398" s="17">
        <f>IFERROR(MATCH(393,명단표[서울순번],0),"")</f>
        <v/>
      </c>
      <c r="R398">
        <f>IF($W398="","",INDEX(명단표[이름],$W398))</f>
        <v/>
      </c>
      <c r="S398">
        <f>IF($W398="","",INDEX(명단표[사번],$W398)&amp;"")</f>
        <v/>
      </c>
      <c r="T398">
        <f>IF($W398="","",INDEX(명단표[소속병원],$W398))</f>
        <v/>
      </c>
      <c r="U398">
        <f>IF($W398="","",INDEX(명단표[서울 근무일(기준월)],$W398))</f>
        <v/>
      </c>
      <c r="V398">
        <f>IF($W398="","",INDEX(명단표[구리 근무일(기준월)],$W398))</f>
        <v/>
      </c>
      <c r="W398" s="17">
        <f>IFERROR(MATCH(393,명단표[판정불가순번],0),"")</f>
        <v/>
      </c>
    </row>
    <row r="399">
      <c r="A399">
        <f>IF($P399="","",394)</f>
        <v/>
      </c>
      <c r="B399">
        <f>IF($P399="","",INDEX(명단표[이름],$P399))</f>
        <v/>
      </c>
      <c r="C399">
        <f>IF($P399="","",INDEX(명단표[사번],$P399)&amp;"")</f>
        <v/>
      </c>
      <c r="D399">
        <f>IF($P399="","",INDEX(명단표[전공의등록번호],$P399)&amp;"")</f>
        <v/>
      </c>
      <c r="E399">
        <f>IF($P399="","",INDEX(명단표[수련과목],$P399)&amp;"")</f>
        <v/>
      </c>
      <c r="F399">
        <f>IF($P399="","",INDEX(명단표[연차],$P399)&amp;"")</f>
        <v/>
      </c>
      <c r="G399">
        <f>IF($P399="","",INDEX(명단표[소속병원],$P399))</f>
        <v/>
      </c>
      <c r="H399">
        <f>IF($P399="","",IF(INDEX(명단표[소속병원],$P399)="서울병원","서울 소속","타 병원 소속("&amp;INDEX(명단표[소속병원],$P399)&amp;") → 서울 지급"))</f>
        <v/>
      </c>
      <c r="I399">
        <f>IF($P399="","",INDEX(명단표[현재 근무병원],$P399))</f>
        <v/>
      </c>
      <c r="J399">
        <f>IF($P399="","",INDEX(명단표[구리 근무 시작일(기준월)],$P399)&amp;"")</f>
        <v/>
      </c>
      <c r="K399">
        <f>IF($P399="","",INDEX(명단표[구리 근무 종료일(기준월)],$P399)&amp;"")</f>
        <v/>
      </c>
      <c r="L399">
        <f>IF($P399="","",INDEX(명단표[서울 근무일(기준월)],$P399))</f>
        <v/>
      </c>
      <c r="M399">
        <f>IF($P399="","",INDEX(명단표[구리 근무일(기준월)],$P399))</f>
        <v/>
      </c>
      <c r="N399">
        <f>IF($P399="","",INDEX(명단표[급여 판정 근거],$P399))</f>
        <v/>
      </c>
      <c r="O399">
        <f>IF($P399="","",INDEX(명단표[점검],$P399))</f>
        <v/>
      </c>
      <c r="P399" s="17">
        <f>IFERROR(MATCH(394,명단표[서울순번],0),"")</f>
        <v/>
      </c>
      <c r="R399">
        <f>IF($W399="","",INDEX(명단표[이름],$W399))</f>
        <v/>
      </c>
      <c r="S399">
        <f>IF($W399="","",INDEX(명단표[사번],$W399)&amp;"")</f>
        <v/>
      </c>
      <c r="T399">
        <f>IF($W399="","",INDEX(명단표[소속병원],$W399))</f>
        <v/>
      </c>
      <c r="U399">
        <f>IF($W399="","",INDEX(명단표[서울 근무일(기준월)],$W399))</f>
        <v/>
      </c>
      <c r="V399">
        <f>IF($W399="","",INDEX(명단표[구리 근무일(기준월)],$W399))</f>
        <v/>
      </c>
      <c r="W399" s="17">
        <f>IFERROR(MATCH(394,명단표[판정불가순번],0),"")</f>
        <v/>
      </c>
    </row>
    <row r="400">
      <c r="A400">
        <f>IF($P400="","",395)</f>
        <v/>
      </c>
      <c r="B400">
        <f>IF($P400="","",INDEX(명단표[이름],$P400))</f>
        <v/>
      </c>
      <c r="C400">
        <f>IF($P400="","",INDEX(명단표[사번],$P400)&amp;"")</f>
        <v/>
      </c>
      <c r="D400">
        <f>IF($P400="","",INDEX(명단표[전공의등록번호],$P400)&amp;"")</f>
        <v/>
      </c>
      <c r="E400">
        <f>IF($P400="","",INDEX(명단표[수련과목],$P400)&amp;"")</f>
        <v/>
      </c>
      <c r="F400">
        <f>IF($P400="","",INDEX(명단표[연차],$P400)&amp;"")</f>
        <v/>
      </c>
      <c r="G400">
        <f>IF($P400="","",INDEX(명단표[소속병원],$P400))</f>
        <v/>
      </c>
      <c r="H400">
        <f>IF($P400="","",IF(INDEX(명단표[소속병원],$P400)="서울병원","서울 소속","타 병원 소속("&amp;INDEX(명단표[소속병원],$P400)&amp;") → 서울 지급"))</f>
        <v/>
      </c>
      <c r="I400">
        <f>IF($P400="","",INDEX(명단표[현재 근무병원],$P400))</f>
        <v/>
      </c>
      <c r="J400">
        <f>IF($P400="","",INDEX(명단표[구리 근무 시작일(기준월)],$P400)&amp;"")</f>
        <v/>
      </c>
      <c r="K400">
        <f>IF($P400="","",INDEX(명단표[구리 근무 종료일(기준월)],$P400)&amp;"")</f>
        <v/>
      </c>
      <c r="L400">
        <f>IF($P400="","",INDEX(명단표[서울 근무일(기준월)],$P400))</f>
        <v/>
      </c>
      <c r="M400">
        <f>IF($P400="","",INDEX(명단표[구리 근무일(기준월)],$P400))</f>
        <v/>
      </c>
      <c r="N400">
        <f>IF($P400="","",INDEX(명단표[급여 판정 근거],$P400))</f>
        <v/>
      </c>
      <c r="O400">
        <f>IF($P400="","",INDEX(명단표[점검],$P400))</f>
        <v/>
      </c>
      <c r="P400" s="17">
        <f>IFERROR(MATCH(395,명단표[서울순번],0),"")</f>
        <v/>
      </c>
      <c r="R400">
        <f>IF($W400="","",INDEX(명단표[이름],$W400))</f>
        <v/>
      </c>
      <c r="S400">
        <f>IF($W400="","",INDEX(명단표[사번],$W400)&amp;"")</f>
        <v/>
      </c>
      <c r="T400">
        <f>IF($W400="","",INDEX(명단표[소속병원],$W400))</f>
        <v/>
      </c>
      <c r="U400">
        <f>IF($W400="","",INDEX(명단표[서울 근무일(기준월)],$W400))</f>
        <v/>
      </c>
      <c r="V400">
        <f>IF($W400="","",INDEX(명단표[구리 근무일(기준월)],$W400))</f>
        <v/>
      </c>
      <c r="W400" s="17">
        <f>IFERROR(MATCH(395,명단표[판정불가순번],0),"")</f>
        <v/>
      </c>
    </row>
    <row r="401">
      <c r="A401">
        <f>IF($P401="","",396)</f>
        <v/>
      </c>
      <c r="B401">
        <f>IF($P401="","",INDEX(명단표[이름],$P401))</f>
        <v/>
      </c>
      <c r="C401">
        <f>IF($P401="","",INDEX(명단표[사번],$P401)&amp;"")</f>
        <v/>
      </c>
      <c r="D401">
        <f>IF($P401="","",INDEX(명단표[전공의등록번호],$P401)&amp;"")</f>
        <v/>
      </c>
      <c r="E401">
        <f>IF($P401="","",INDEX(명단표[수련과목],$P401)&amp;"")</f>
        <v/>
      </c>
      <c r="F401">
        <f>IF($P401="","",INDEX(명단표[연차],$P401)&amp;"")</f>
        <v/>
      </c>
      <c r="G401">
        <f>IF($P401="","",INDEX(명단표[소속병원],$P401))</f>
        <v/>
      </c>
      <c r="H401">
        <f>IF($P401="","",IF(INDEX(명단표[소속병원],$P401)="서울병원","서울 소속","타 병원 소속("&amp;INDEX(명단표[소속병원],$P401)&amp;") → 서울 지급"))</f>
        <v/>
      </c>
      <c r="I401">
        <f>IF($P401="","",INDEX(명단표[현재 근무병원],$P401))</f>
        <v/>
      </c>
      <c r="J401">
        <f>IF($P401="","",INDEX(명단표[구리 근무 시작일(기준월)],$P401)&amp;"")</f>
        <v/>
      </c>
      <c r="K401">
        <f>IF($P401="","",INDEX(명단표[구리 근무 종료일(기준월)],$P401)&amp;"")</f>
        <v/>
      </c>
      <c r="L401">
        <f>IF($P401="","",INDEX(명단표[서울 근무일(기준월)],$P401))</f>
        <v/>
      </c>
      <c r="M401">
        <f>IF($P401="","",INDEX(명단표[구리 근무일(기준월)],$P401))</f>
        <v/>
      </c>
      <c r="N401">
        <f>IF($P401="","",INDEX(명단표[급여 판정 근거],$P401))</f>
        <v/>
      </c>
      <c r="O401">
        <f>IF($P401="","",INDEX(명단표[점검],$P401))</f>
        <v/>
      </c>
      <c r="P401" s="17">
        <f>IFERROR(MATCH(396,명단표[서울순번],0),"")</f>
        <v/>
      </c>
      <c r="R401">
        <f>IF($W401="","",INDEX(명단표[이름],$W401))</f>
        <v/>
      </c>
      <c r="S401">
        <f>IF($W401="","",INDEX(명단표[사번],$W401)&amp;"")</f>
        <v/>
      </c>
      <c r="T401">
        <f>IF($W401="","",INDEX(명단표[소속병원],$W401))</f>
        <v/>
      </c>
      <c r="U401">
        <f>IF($W401="","",INDEX(명단표[서울 근무일(기준월)],$W401))</f>
        <v/>
      </c>
      <c r="V401">
        <f>IF($W401="","",INDEX(명단표[구리 근무일(기준월)],$W401))</f>
        <v/>
      </c>
      <c r="W401" s="17">
        <f>IFERROR(MATCH(396,명단표[판정불가순번],0),"")</f>
        <v/>
      </c>
    </row>
    <row r="402">
      <c r="A402">
        <f>IF($P402="","",397)</f>
        <v/>
      </c>
      <c r="B402">
        <f>IF($P402="","",INDEX(명단표[이름],$P402))</f>
        <v/>
      </c>
      <c r="C402">
        <f>IF($P402="","",INDEX(명단표[사번],$P402)&amp;"")</f>
        <v/>
      </c>
      <c r="D402">
        <f>IF($P402="","",INDEX(명단표[전공의등록번호],$P402)&amp;"")</f>
        <v/>
      </c>
      <c r="E402">
        <f>IF($P402="","",INDEX(명단표[수련과목],$P402)&amp;"")</f>
        <v/>
      </c>
      <c r="F402">
        <f>IF($P402="","",INDEX(명단표[연차],$P402)&amp;"")</f>
        <v/>
      </c>
      <c r="G402">
        <f>IF($P402="","",INDEX(명단표[소속병원],$P402))</f>
        <v/>
      </c>
      <c r="H402">
        <f>IF($P402="","",IF(INDEX(명단표[소속병원],$P402)="서울병원","서울 소속","타 병원 소속("&amp;INDEX(명단표[소속병원],$P402)&amp;") → 서울 지급"))</f>
        <v/>
      </c>
      <c r="I402">
        <f>IF($P402="","",INDEX(명단표[현재 근무병원],$P402))</f>
        <v/>
      </c>
      <c r="J402">
        <f>IF($P402="","",INDEX(명단표[구리 근무 시작일(기준월)],$P402)&amp;"")</f>
        <v/>
      </c>
      <c r="K402">
        <f>IF($P402="","",INDEX(명단표[구리 근무 종료일(기준월)],$P402)&amp;"")</f>
        <v/>
      </c>
      <c r="L402">
        <f>IF($P402="","",INDEX(명단표[서울 근무일(기준월)],$P402))</f>
        <v/>
      </c>
      <c r="M402">
        <f>IF($P402="","",INDEX(명단표[구리 근무일(기준월)],$P402))</f>
        <v/>
      </c>
      <c r="N402">
        <f>IF($P402="","",INDEX(명단표[급여 판정 근거],$P402))</f>
        <v/>
      </c>
      <c r="O402">
        <f>IF($P402="","",INDEX(명단표[점검],$P402))</f>
        <v/>
      </c>
      <c r="P402" s="17">
        <f>IFERROR(MATCH(397,명단표[서울순번],0),"")</f>
        <v/>
      </c>
      <c r="R402">
        <f>IF($W402="","",INDEX(명단표[이름],$W402))</f>
        <v/>
      </c>
      <c r="S402">
        <f>IF($W402="","",INDEX(명단표[사번],$W402)&amp;"")</f>
        <v/>
      </c>
      <c r="T402">
        <f>IF($W402="","",INDEX(명단표[소속병원],$W402))</f>
        <v/>
      </c>
      <c r="U402">
        <f>IF($W402="","",INDEX(명단표[서울 근무일(기준월)],$W402))</f>
        <v/>
      </c>
      <c r="V402">
        <f>IF($W402="","",INDEX(명단표[구리 근무일(기준월)],$W402))</f>
        <v/>
      </c>
      <c r="W402" s="17">
        <f>IFERROR(MATCH(397,명단표[판정불가순번],0),"")</f>
        <v/>
      </c>
    </row>
    <row r="403">
      <c r="A403">
        <f>IF($P403="","",398)</f>
        <v/>
      </c>
      <c r="B403">
        <f>IF($P403="","",INDEX(명단표[이름],$P403))</f>
        <v/>
      </c>
      <c r="C403">
        <f>IF($P403="","",INDEX(명단표[사번],$P403)&amp;"")</f>
        <v/>
      </c>
      <c r="D403">
        <f>IF($P403="","",INDEX(명단표[전공의등록번호],$P403)&amp;"")</f>
        <v/>
      </c>
      <c r="E403">
        <f>IF($P403="","",INDEX(명단표[수련과목],$P403)&amp;"")</f>
        <v/>
      </c>
      <c r="F403">
        <f>IF($P403="","",INDEX(명단표[연차],$P403)&amp;"")</f>
        <v/>
      </c>
      <c r="G403">
        <f>IF($P403="","",INDEX(명단표[소속병원],$P403))</f>
        <v/>
      </c>
      <c r="H403">
        <f>IF($P403="","",IF(INDEX(명단표[소속병원],$P403)="서울병원","서울 소속","타 병원 소속("&amp;INDEX(명단표[소속병원],$P403)&amp;") → 서울 지급"))</f>
        <v/>
      </c>
      <c r="I403">
        <f>IF($P403="","",INDEX(명단표[현재 근무병원],$P403))</f>
        <v/>
      </c>
      <c r="J403">
        <f>IF($P403="","",INDEX(명단표[구리 근무 시작일(기준월)],$P403)&amp;"")</f>
        <v/>
      </c>
      <c r="K403">
        <f>IF($P403="","",INDEX(명단표[구리 근무 종료일(기준월)],$P403)&amp;"")</f>
        <v/>
      </c>
      <c r="L403">
        <f>IF($P403="","",INDEX(명단표[서울 근무일(기준월)],$P403))</f>
        <v/>
      </c>
      <c r="M403">
        <f>IF($P403="","",INDEX(명단표[구리 근무일(기준월)],$P403))</f>
        <v/>
      </c>
      <c r="N403">
        <f>IF($P403="","",INDEX(명단표[급여 판정 근거],$P403))</f>
        <v/>
      </c>
      <c r="O403">
        <f>IF($P403="","",INDEX(명단표[점검],$P403))</f>
        <v/>
      </c>
      <c r="P403" s="17">
        <f>IFERROR(MATCH(398,명단표[서울순번],0),"")</f>
        <v/>
      </c>
      <c r="R403">
        <f>IF($W403="","",INDEX(명단표[이름],$W403))</f>
        <v/>
      </c>
      <c r="S403">
        <f>IF($W403="","",INDEX(명단표[사번],$W403)&amp;"")</f>
        <v/>
      </c>
      <c r="T403">
        <f>IF($W403="","",INDEX(명단표[소속병원],$W403))</f>
        <v/>
      </c>
      <c r="U403">
        <f>IF($W403="","",INDEX(명단표[서울 근무일(기준월)],$W403))</f>
        <v/>
      </c>
      <c r="V403">
        <f>IF($W403="","",INDEX(명단표[구리 근무일(기준월)],$W403))</f>
        <v/>
      </c>
      <c r="W403" s="17">
        <f>IFERROR(MATCH(398,명단표[판정불가순번],0),"")</f>
        <v/>
      </c>
    </row>
    <row r="404">
      <c r="A404">
        <f>IF($P404="","",399)</f>
        <v/>
      </c>
      <c r="B404">
        <f>IF($P404="","",INDEX(명단표[이름],$P404))</f>
        <v/>
      </c>
      <c r="C404">
        <f>IF($P404="","",INDEX(명단표[사번],$P404)&amp;"")</f>
        <v/>
      </c>
      <c r="D404">
        <f>IF($P404="","",INDEX(명단표[전공의등록번호],$P404)&amp;"")</f>
        <v/>
      </c>
      <c r="E404">
        <f>IF($P404="","",INDEX(명단표[수련과목],$P404)&amp;"")</f>
        <v/>
      </c>
      <c r="F404">
        <f>IF($P404="","",INDEX(명단표[연차],$P404)&amp;"")</f>
        <v/>
      </c>
      <c r="G404">
        <f>IF($P404="","",INDEX(명단표[소속병원],$P404))</f>
        <v/>
      </c>
      <c r="H404">
        <f>IF($P404="","",IF(INDEX(명단표[소속병원],$P404)="서울병원","서울 소속","타 병원 소속("&amp;INDEX(명단표[소속병원],$P404)&amp;") → 서울 지급"))</f>
        <v/>
      </c>
      <c r="I404">
        <f>IF($P404="","",INDEX(명단표[현재 근무병원],$P404))</f>
        <v/>
      </c>
      <c r="J404">
        <f>IF($P404="","",INDEX(명단표[구리 근무 시작일(기준월)],$P404)&amp;"")</f>
        <v/>
      </c>
      <c r="K404">
        <f>IF($P404="","",INDEX(명단표[구리 근무 종료일(기준월)],$P404)&amp;"")</f>
        <v/>
      </c>
      <c r="L404">
        <f>IF($P404="","",INDEX(명단표[서울 근무일(기준월)],$P404))</f>
        <v/>
      </c>
      <c r="M404">
        <f>IF($P404="","",INDEX(명단표[구리 근무일(기준월)],$P404))</f>
        <v/>
      </c>
      <c r="N404">
        <f>IF($P404="","",INDEX(명단표[급여 판정 근거],$P404))</f>
        <v/>
      </c>
      <c r="O404">
        <f>IF($P404="","",INDEX(명단표[점검],$P404))</f>
        <v/>
      </c>
      <c r="P404" s="17">
        <f>IFERROR(MATCH(399,명단표[서울순번],0),"")</f>
        <v/>
      </c>
      <c r="R404">
        <f>IF($W404="","",INDEX(명단표[이름],$W404))</f>
        <v/>
      </c>
      <c r="S404">
        <f>IF($W404="","",INDEX(명단표[사번],$W404)&amp;"")</f>
        <v/>
      </c>
      <c r="T404">
        <f>IF($W404="","",INDEX(명단표[소속병원],$W404))</f>
        <v/>
      </c>
      <c r="U404">
        <f>IF($W404="","",INDEX(명단표[서울 근무일(기준월)],$W404))</f>
        <v/>
      </c>
      <c r="V404">
        <f>IF($W404="","",INDEX(명단표[구리 근무일(기준월)],$W404))</f>
        <v/>
      </c>
      <c r="W404" s="17">
        <f>IFERROR(MATCH(399,명단표[판정불가순번],0),"")</f>
        <v/>
      </c>
    </row>
    <row r="405">
      <c r="A405">
        <f>IF($P405="","",400)</f>
        <v/>
      </c>
      <c r="B405">
        <f>IF($P405="","",INDEX(명단표[이름],$P405))</f>
        <v/>
      </c>
      <c r="C405">
        <f>IF($P405="","",INDEX(명단표[사번],$P405)&amp;"")</f>
        <v/>
      </c>
      <c r="D405">
        <f>IF($P405="","",INDEX(명단표[전공의등록번호],$P405)&amp;"")</f>
        <v/>
      </c>
      <c r="E405">
        <f>IF($P405="","",INDEX(명단표[수련과목],$P405)&amp;"")</f>
        <v/>
      </c>
      <c r="F405">
        <f>IF($P405="","",INDEX(명단표[연차],$P405)&amp;"")</f>
        <v/>
      </c>
      <c r="G405">
        <f>IF($P405="","",INDEX(명단표[소속병원],$P405))</f>
        <v/>
      </c>
      <c r="H405">
        <f>IF($P405="","",IF(INDEX(명단표[소속병원],$P405)="서울병원","서울 소속","타 병원 소속("&amp;INDEX(명단표[소속병원],$P405)&amp;") → 서울 지급"))</f>
        <v/>
      </c>
      <c r="I405">
        <f>IF($P405="","",INDEX(명단표[현재 근무병원],$P405))</f>
        <v/>
      </c>
      <c r="J405">
        <f>IF($P405="","",INDEX(명단표[구리 근무 시작일(기준월)],$P405)&amp;"")</f>
        <v/>
      </c>
      <c r="K405">
        <f>IF($P405="","",INDEX(명단표[구리 근무 종료일(기준월)],$P405)&amp;"")</f>
        <v/>
      </c>
      <c r="L405">
        <f>IF($P405="","",INDEX(명단표[서울 근무일(기준월)],$P405))</f>
        <v/>
      </c>
      <c r="M405">
        <f>IF($P405="","",INDEX(명단표[구리 근무일(기준월)],$P405))</f>
        <v/>
      </c>
      <c r="N405">
        <f>IF($P405="","",INDEX(명단표[급여 판정 근거],$P405))</f>
        <v/>
      </c>
      <c r="O405">
        <f>IF($P405="","",INDEX(명단표[점검],$P405))</f>
        <v/>
      </c>
      <c r="P405" s="17">
        <f>IFERROR(MATCH(400,명단표[서울순번],0),"")</f>
        <v/>
      </c>
      <c r="R405">
        <f>IF($W405="","",INDEX(명단표[이름],$W405))</f>
        <v/>
      </c>
      <c r="S405">
        <f>IF($W405="","",INDEX(명단표[사번],$W405)&amp;"")</f>
        <v/>
      </c>
      <c r="T405">
        <f>IF($W405="","",INDEX(명단표[소속병원],$W405))</f>
        <v/>
      </c>
      <c r="U405">
        <f>IF($W405="","",INDEX(명단표[서울 근무일(기준월)],$W405))</f>
        <v/>
      </c>
      <c r="V405">
        <f>IF($W405="","",INDEX(명단표[구리 근무일(기준월)],$W405))</f>
        <v/>
      </c>
      <c r="W405" s="17">
        <f>IFERROR(MATCH(400,명단표[판정불가순번],0),"")</f>
        <v/>
      </c>
    </row>
    <row r="406">
      <c r="A406">
        <f>IF($P406="","",401)</f>
        <v/>
      </c>
      <c r="B406">
        <f>IF($P406="","",INDEX(명단표[이름],$P406))</f>
        <v/>
      </c>
      <c r="C406">
        <f>IF($P406="","",INDEX(명단표[사번],$P406)&amp;"")</f>
        <v/>
      </c>
      <c r="D406">
        <f>IF($P406="","",INDEX(명단표[전공의등록번호],$P406)&amp;"")</f>
        <v/>
      </c>
      <c r="E406">
        <f>IF($P406="","",INDEX(명단표[수련과목],$P406)&amp;"")</f>
        <v/>
      </c>
      <c r="F406">
        <f>IF($P406="","",INDEX(명단표[연차],$P406)&amp;"")</f>
        <v/>
      </c>
      <c r="G406">
        <f>IF($P406="","",INDEX(명단표[소속병원],$P406))</f>
        <v/>
      </c>
      <c r="H406">
        <f>IF($P406="","",IF(INDEX(명단표[소속병원],$P406)="서울병원","서울 소속","타 병원 소속("&amp;INDEX(명단표[소속병원],$P406)&amp;") → 서울 지급"))</f>
        <v/>
      </c>
      <c r="I406">
        <f>IF($P406="","",INDEX(명단표[현재 근무병원],$P406))</f>
        <v/>
      </c>
      <c r="J406">
        <f>IF($P406="","",INDEX(명단표[구리 근무 시작일(기준월)],$P406)&amp;"")</f>
        <v/>
      </c>
      <c r="K406">
        <f>IF($P406="","",INDEX(명단표[구리 근무 종료일(기준월)],$P406)&amp;"")</f>
        <v/>
      </c>
      <c r="L406">
        <f>IF($P406="","",INDEX(명단표[서울 근무일(기준월)],$P406))</f>
        <v/>
      </c>
      <c r="M406">
        <f>IF($P406="","",INDEX(명단표[구리 근무일(기준월)],$P406))</f>
        <v/>
      </c>
      <c r="N406">
        <f>IF($P406="","",INDEX(명단표[급여 판정 근거],$P406))</f>
        <v/>
      </c>
      <c r="O406">
        <f>IF($P406="","",INDEX(명단표[점검],$P406))</f>
        <v/>
      </c>
      <c r="P406" s="17">
        <f>IFERROR(MATCH(401,명단표[서울순번],0),"")</f>
        <v/>
      </c>
      <c r="R406">
        <f>IF($W406="","",INDEX(명단표[이름],$W406))</f>
        <v/>
      </c>
      <c r="S406">
        <f>IF($W406="","",INDEX(명단표[사번],$W406)&amp;"")</f>
        <v/>
      </c>
      <c r="T406">
        <f>IF($W406="","",INDEX(명단표[소속병원],$W406))</f>
        <v/>
      </c>
      <c r="U406">
        <f>IF($W406="","",INDEX(명단표[서울 근무일(기준월)],$W406))</f>
        <v/>
      </c>
      <c r="V406">
        <f>IF($W406="","",INDEX(명단표[구리 근무일(기준월)],$W406))</f>
        <v/>
      </c>
      <c r="W406" s="17">
        <f>IFERROR(MATCH(401,명단표[판정불가순번],0),"")</f>
        <v/>
      </c>
    </row>
    <row r="407">
      <c r="A407">
        <f>IF($P407="","",402)</f>
        <v/>
      </c>
      <c r="B407">
        <f>IF($P407="","",INDEX(명단표[이름],$P407))</f>
        <v/>
      </c>
      <c r="C407">
        <f>IF($P407="","",INDEX(명단표[사번],$P407)&amp;"")</f>
        <v/>
      </c>
      <c r="D407">
        <f>IF($P407="","",INDEX(명단표[전공의등록번호],$P407)&amp;"")</f>
        <v/>
      </c>
      <c r="E407">
        <f>IF($P407="","",INDEX(명단표[수련과목],$P407)&amp;"")</f>
        <v/>
      </c>
      <c r="F407">
        <f>IF($P407="","",INDEX(명단표[연차],$P407)&amp;"")</f>
        <v/>
      </c>
      <c r="G407">
        <f>IF($P407="","",INDEX(명단표[소속병원],$P407))</f>
        <v/>
      </c>
      <c r="H407">
        <f>IF($P407="","",IF(INDEX(명단표[소속병원],$P407)="서울병원","서울 소속","타 병원 소속("&amp;INDEX(명단표[소속병원],$P407)&amp;") → 서울 지급"))</f>
        <v/>
      </c>
      <c r="I407">
        <f>IF($P407="","",INDEX(명단표[현재 근무병원],$P407))</f>
        <v/>
      </c>
      <c r="J407">
        <f>IF($P407="","",INDEX(명단표[구리 근무 시작일(기준월)],$P407)&amp;"")</f>
        <v/>
      </c>
      <c r="K407">
        <f>IF($P407="","",INDEX(명단표[구리 근무 종료일(기준월)],$P407)&amp;"")</f>
        <v/>
      </c>
      <c r="L407">
        <f>IF($P407="","",INDEX(명단표[서울 근무일(기준월)],$P407))</f>
        <v/>
      </c>
      <c r="M407">
        <f>IF($P407="","",INDEX(명단표[구리 근무일(기준월)],$P407))</f>
        <v/>
      </c>
      <c r="N407">
        <f>IF($P407="","",INDEX(명단표[급여 판정 근거],$P407))</f>
        <v/>
      </c>
      <c r="O407">
        <f>IF($P407="","",INDEX(명단표[점검],$P407))</f>
        <v/>
      </c>
      <c r="P407" s="17">
        <f>IFERROR(MATCH(402,명단표[서울순번],0),"")</f>
        <v/>
      </c>
      <c r="R407">
        <f>IF($W407="","",INDEX(명단표[이름],$W407))</f>
        <v/>
      </c>
      <c r="S407">
        <f>IF($W407="","",INDEX(명단표[사번],$W407)&amp;"")</f>
        <v/>
      </c>
      <c r="T407">
        <f>IF($W407="","",INDEX(명단표[소속병원],$W407))</f>
        <v/>
      </c>
      <c r="U407">
        <f>IF($W407="","",INDEX(명단표[서울 근무일(기준월)],$W407))</f>
        <v/>
      </c>
      <c r="V407">
        <f>IF($W407="","",INDEX(명단표[구리 근무일(기준월)],$W407))</f>
        <v/>
      </c>
      <c r="W407" s="17">
        <f>IFERROR(MATCH(402,명단표[판정불가순번],0),"")</f>
        <v/>
      </c>
    </row>
    <row r="408">
      <c r="A408">
        <f>IF($P408="","",403)</f>
        <v/>
      </c>
      <c r="B408">
        <f>IF($P408="","",INDEX(명단표[이름],$P408))</f>
        <v/>
      </c>
      <c r="C408">
        <f>IF($P408="","",INDEX(명단표[사번],$P408)&amp;"")</f>
        <v/>
      </c>
      <c r="D408">
        <f>IF($P408="","",INDEX(명단표[전공의등록번호],$P408)&amp;"")</f>
        <v/>
      </c>
      <c r="E408">
        <f>IF($P408="","",INDEX(명단표[수련과목],$P408)&amp;"")</f>
        <v/>
      </c>
      <c r="F408">
        <f>IF($P408="","",INDEX(명단표[연차],$P408)&amp;"")</f>
        <v/>
      </c>
      <c r="G408">
        <f>IF($P408="","",INDEX(명단표[소속병원],$P408))</f>
        <v/>
      </c>
      <c r="H408">
        <f>IF($P408="","",IF(INDEX(명단표[소속병원],$P408)="서울병원","서울 소속","타 병원 소속("&amp;INDEX(명단표[소속병원],$P408)&amp;") → 서울 지급"))</f>
        <v/>
      </c>
      <c r="I408">
        <f>IF($P408="","",INDEX(명단표[현재 근무병원],$P408))</f>
        <v/>
      </c>
      <c r="J408">
        <f>IF($P408="","",INDEX(명단표[구리 근무 시작일(기준월)],$P408)&amp;"")</f>
        <v/>
      </c>
      <c r="K408">
        <f>IF($P408="","",INDEX(명단표[구리 근무 종료일(기준월)],$P408)&amp;"")</f>
        <v/>
      </c>
      <c r="L408">
        <f>IF($P408="","",INDEX(명단표[서울 근무일(기준월)],$P408))</f>
        <v/>
      </c>
      <c r="M408">
        <f>IF($P408="","",INDEX(명단표[구리 근무일(기준월)],$P408))</f>
        <v/>
      </c>
      <c r="N408">
        <f>IF($P408="","",INDEX(명단표[급여 판정 근거],$P408))</f>
        <v/>
      </c>
      <c r="O408">
        <f>IF($P408="","",INDEX(명단표[점검],$P408))</f>
        <v/>
      </c>
      <c r="P408" s="17">
        <f>IFERROR(MATCH(403,명단표[서울순번],0),"")</f>
        <v/>
      </c>
      <c r="R408">
        <f>IF($W408="","",INDEX(명단표[이름],$W408))</f>
        <v/>
      </c>
      <c r="S408">
        <f>IF($W408="","",INDEX(명단표[사번],$W408)&amp;"")</f>
        <v/>
      </c>
      <c r="T408">
        <f>IF($W408="","",INDEX(명단표[소속병원],$W408))</f>
        <v/>
      </c>
      <c r="U408">
        <f>IF($W408="","",INDEX(명단표[서울 근무일(기준월)],$W408))</f>
        <v/>
      </c>
      <c r="V408">
        <f>IF($W408="","",INDEX(명단표[구리 근무일(기준월)],$W408))</f>
        <v/>
      </c>
      <c r="W408" s="17">
        <f>IFERROR(MATCH(403,명단표[판정불가순번],0),"")</f>
        <v/>
      </c>
    </row>
    <row r="409">
      <c r="A409">
        <f>IF($P409="","",404)</f>
        <v/>
      </c>
      <c r="B409">
        <f>IF($P409="","",INDEX(명단표[이름],$P409))</f>
        <v/>
      </c>
      <c r="C409">
        <f>IF($P409="","",INDEX(명단표[사번],$P409)&amp;"")</f>
        <v/>
      </c>
      <c r="D409">
        <f>IF($P409="","",INDEX(명단표[전공의등록번호],$P409)&amp;"")</f>
        <v/>
      </c>
      <c r="E409">
        <f>IF($P409="","",INDEX(명단표[수련과목],$P409)&amp;"")</f>
        <v/>
      </c>
      <c r="F409">
        <f>IF($P409="","",INDEX(명단표[연차],$P409)&amp;"")</f>
        <v/>
      </c>
      <c r="G409">
        <f>IF($P409="","",INDEX(명단표[소속병원],$P409))</f>
        <v/>
      </c>
      <c r="H409">
        <f>IF($P409="","",IF(INDEX(명단표[소속병원],$P409)="서울병원","서울 소속","타 병원 소속("&amp;INDEX(명단표[소속병원],$P409)&amp;") → 서울 지급"))</f>
        <v/>
      </c>
      <c r="I409">
        <f>IF($P409="","",INDEX(명단표[현재 근무병원],$P409))</f>
        <v/>
      </c>
      <c r="J409">
        <f>IF($P409="","",INDEX(명단표[구리 근무 시작일(기준월)],$P409)&amp;"")</f>
        <v/>
      </c>
      <c r="K409">
        <f>IF($P409="","",INDEX(명단표[구리 근무 종료일(기준월)],$P409)&amp;"")</f>
        <v/>
      </c>
      <c r="L409">
        <f>IF($P409="","",INDEX(명단표[서울 근무일(기준월)],$P409))</f>
        <v/>
      </c>
      <c r="M409">
        <f>IF($P409="","",INDEX(명단표[구리 근무일(기준월)],$P409))</f>
        <v/>
      </c>
      <c r="N409">
        <f>IF($P409="","",INDEX(명단표[급여 판정 근거],$P409))</f>
        <v/>
      </c>
      <c r="O409">
        <f>IF($P409="","",INDEX(명단표[점검],$P409))</f>
        <v/>
      </c>
      <c r="P409" s="17">
        <f>IFERROR(MATCH(404,명단표[서울순번],0),"")</f>
        <v/>
      </c>
      <c r="R409">
        <f>IF($W409="","",INDEX(명단표[이름],$W409))</f>
        <v/>
      </c>
      <c r="S409">
        <f>IF($W409="","",INDEX(명단표[사번],$W409)&amp;"")</f>
        <v/>
      </c>
      <c r="T409">
        <f>IF($W409="","",INDEX(명단표[소속병원],$W409))</f>
        <v/>
      </c>
      <c r="U409">
        <f>IF($W409="","",INDEX(명단표[서울 근무일(기준월)],$W409))</f>
        <v/>
      </c>
      <c r="V409">
        <f>IF($W409="","",INDEX(명단표[구리 근무일(기준월)],$W409))</f>
        <v/>
      </c>
      <c r="W409" s="17">
        <f>IFERROR(MATCH(404,명단표[판정불가순번],0),"")</f>
        <v/>
      </c>
    </row>
    <row r="410">
      <c r="A410">
        <f>IF($P410="","",405)</f>
        <v/>
      </c>
      <c r="B410">
        <f>IF($P410="","",INDEX(명단표[이름],$P410))</f>
        <v/>
      </c>
      <c r="C410">
        <f>IF($P410="","",INDEX(명단표[사번],$P410)&amp;"")</f>
        <v/>
      </c>
      <c r="D410">
        <f>IF($P410="","",INDEX(명단표[전공의등록번호],$P410)&amp;"")</f>
        <v/>
      </c>
      <c r="E410">
        <f>IF($P410="","",INDEX(명단표[수련과목],$P410)&amp;"")</f>
        <v/>
      </c>
      <c r="F410">
        <f>IF($P410="","",INDEX(명단표[연차],$P410)&amp;"")</f>
        <v/>
      </c>
      <c r="G410">
        <f>IF($P410="","",INDEX(명단표[소속병원],$P410))</f>
        <v/>
      </c>
      <c r="H410">
        <f>IF($P410="","",IF(INDEX(명단표[소속병원],$P410)="서울병원","서울 소속","타 병원 소속("&amp;INDEX(명단표[소속병원],$P410)&amp;") → 서울 지급"))</f>
        <v/>
      </c>
      <c r="I410">
        <f>IF($P410="","",INDEX(명단표[현재 근무병원],$P410))</f>
        <v/>
      </c>
      <c r="J410">
        <f>IF($P410="","",INDEX(명단표[구리 근무 시작일(기준월)],$P410)&amp;"")</f>
        <v/>
      </c>
      <c r="K410">
        <f>IF($P410="","",INDEX(명단표[구리 근무 종료일(기준월)],$P410)&amp;"")</f>
        <v/>
      </c>
      <c r="L410">
        <f>IF($P410="","",INDEX(명단표[서울 근무일(기준월)],$P410))</f>
        <v/>
      </c>
      <c r="M410">
        <f>IF($P410="","",INDEX(명단표[구리 근무일(기준월)],$P410))</f>
        <v/>
      </c>
      <c r="N410">
        <f>IF($P410="","",INDEX(명단표[급여 판정 근거],$P410))</f>
        <v/>
      </c>
      <c r="O410">
        <f>IF($P410="","",INDEX(명단표[점검],$P410))</f>
        <v/>
      </c>
      <c r="P410" s="17">
        <f>IFERROR(MATCH(405,명단표[서울순번],0),"")</f>
        <v/>
      </c>
      <c r="R410">
        <f>IF($W410="","",INDEX(명단표[이름],$W410))</f>
        <v/>
      </c>
      <c r="S410">
        <f>IF($W410="","",INDEX(명단표[사번],$W410)&amp;"")</f>
        <v/>
      </c>
      <c r="T410">
        <f>IF($W410="","",INDEX(명단표[소속병원],$W410))</f>
        <v/>
      </c>
      <c r="U410">
        <f>IF($W410="","",INDEX(명단표[서울 근무일(기준월)],$W410))</f>
        <v/>
      </c>
      <c r="V410">
        <f>IF($W410="","",INDEX(명단표[구리 근무일(기준월)],$W410))</f>
        <v/>
      </c>
      <c r="W410" s="17">
        <f>IFERROR(MATCH(405,명단표[판정불가순번],0),"")</f>
        <v/>
      </c>
    </row>
    <row r="411">
      <c r="A411">
        <f>IF($P411="","",406)</f>
        <v/>
      </c>
      <c r="B411">
        <f>IF($P411="","",INDEX(명단표[이름],$P411))</f>
        <v/>
      </c>
      <c r="C411">
        <f>IF($P411="","",INDEX(명단표[사번],$P411)&amp;"")</f>
        <v/>
      </c>
      <c r="D411">
        <f>IF($P411="","",INDEX(명단표[전공의등록번호],$P411)&amp;"")</f>
        <v/>
      </c>
      <c r="E411">
        <f>IF($P411="","",INDEX(명단표[수련과목],$P411)&amp;"")</f>
        <v/>
      </c>
      <c r="F411">
        <f>IF($P411="","",INDEX(명단표[연차],$P411)&amp;"")</f>
        <v/>
      </c>
      <c r="G411">
        <f>IF($P411="","",INDEX(명단표[소속병원],$P411))</f>
        <v/>
      </c>
      <c r="H411">
        <f>IF($P411="","",IF(INDEX(명단표[소속병원],$P411)="서울병원","서울 소속","타 병원 소속("&amp;INDEX(명단표[소속병원],$P411)&amp;") → 서울 지급"))</f>
        <v/>
      </c>
      <c r="I411">
        <f>IF($P411="","",INDEX(명단표[현재 근무병원],$P411))</f>
        <v/>
      </c>
      <c r="J411">
        <f>IF($P411="","",INDEX(명단표[구리 근무 시작일(기준월)],$P411)&amp;"")</f>
        <v/>
      </c>
      <c r="K411">
        <f>IF($P411="","",INDEX(명단표[구리 근무 종료일(기준월)],$P411)&amp;"")</f>
        <v/>
      </c>
      <c r="L411">
        <f>IF($P411="","",INDEX(명단표[서울 근무일(기준월)],$P411))</f>
        <v/>
      </c>
      <c r="M411">
        <f>IF($P411="","",INDEX(명단표[구리 근무일(기준월)],$P411))</f>
        <v/>
      </c>
      <c r="N411">
        <f>IF($P411="","",INDEX(명단표[급여 판정 근거],$P411))</f>
        <v/>
      </c>
      <c r="O411">
        <f>IF($P411="","",INDEX(명단표[점검],$P411))</f>
        <v/>
      </c>
      <c r="P411" s="17">
        <f>IFERROR(MATCH(406,명단표[서울순번],0),"")</f>
        <v/>
      </c>
      <c r="R411">
        <f>IF($W411="","",INDEX(명단표[이름],$W411))</f>
        <v/>
      </c>
      <c r="S411">
        <f>IF($W411="","",INDEX(명단표[사번],$W411)&amp;"")</f>
        <v/>
      </c>
      <c r="T411">
        <f>IF($W411="","",INDEX(명단표[소속병원],$W411))</f>
        <v/>
      </c>
      <c r="U411">
        <f>IF($W411="","",INDEX(명단표[서울 근무일(기준월)],$W411))</f>
        <v/>
      </c>
      <c r="V411">
        <f>IF($W411="","",INDEX(명단표[구리 근무일(기준월)],$W411))</f>
        <v/>
      </c>
      <c r="W411" s="17">
        <f>IFERROR(MATCH(406,명단표[판정불가순번],0),"")</f>
        <v/>
      </c>
    </row>
    <row r="412">
      <c r="A412">
        <f>IF($P412="","",407)</f>
        <v/>
      </c>
      <c r="B412">
        <f>IF($P412="","",INDEX(명단표[이름],$P412))</f>
        <v/>
      </c>
      <c r="C412">
        <f>IF($P412="","",INDEX(명단표[사번],$P412)&amp;"")</f>
        <v/>
      </c>
      <c r="D412">
        <f>IF($P412="","",INDEX(명단표[전공의등록번호],$P412)&amp;"")</f>
        <v/>
      </c>
      <c r="E412">
        <f>IF($P412="","",INDEX(명단표[수련과목],$P412)&amp;"")</f>
        <v/>
      </c>
      <c r="F412">
        <f>IF($P412="","",INDEX(명단표[연차],$P412)&amp;"")</f>
        <v/>
      </c>
      <c r="G412">
        <f>IF($P412="","",INDEX(명단표[소속병원],$P412))</f>
        <v/>
      </c>
      <c r="H412">
        <f>IF($P412="","",IF(INDEX(명단표[소속병원],$P412)="서울병원","서울 소속","타 병원 소속("&amp;INDEX(명단표[소속병원],$P412)&amp;") → 서울 지급"))</f>
        <v/>
      </c>
      <c r="I412">
        <f>IF($P412="","",INDEX(명단표[현재 근무병원],$P412))</f>
        <v/>
      </c>
      <c r="J412">
        <f>IF($P412="","",INDEX(명단표[구리 근무 시작일(기준월)],$P412)&amp;"")</f>
        <v/>
      </c>
      <c r="K412">
        <f>IF($P412="","",INDEX(명단표[구리 근무 종료일(기준월)],$P412)&amp;"")</f>
        <v/>
      </c>
      <c r="L412">
        <f>IF($P412="","",INDEX(명단표[서울 근무일(기준월)],$P412))</f>
        <v/>
      </c>
      <c r="M412">
        <f>IF($P412="","",INDEX(명단표[구리 근무일(기준월)],$P412))</f>
        <v/>
      </c>
      <c r="N412">
        <f>IF($P412="","",INDEX(명단표[급여 판정 근거],$P412))</f>
        <v/>
      </c>
      <c r="O412">
        <f>IF($P412="","",INDEX(명단표[점검],$P412))</f>
        <v/>
      </c>
      <c r="P412" s="17">
        <f>IFERROR(MATCH(407,명단표[서울순번],0),"")</f>
        <v/>
      </c>
      <c r="R412">
        <f>IF($W412="","",INDEX(명단표[이름],$W412))</f>
        <v/>
      </c>
      <c r="S412">
        <f>IF($W412="","",INDEX(명단표[사번],$W412)&amp;"")</f>
        <v/>
      </c>
      <c r="T412">
        <f>IF($W412="","",INDEX(명단표[소속병원],$W412))</f>
        <v/>
      </c>
      <c r="U412">
        <f>IF($W412="","",INDEX(명단표[서울 근무일(기준월)],$W412))</f>
        <v/>
      </c>
      <c r="V412">
        <f>IF($W412="","",INDEX(명단표[구리 근무일(기준월)],$W412))</f>
        <v/>
      </c>
      <c r="W412" s="17">
        <f>IFERROR(MATCH(407,명단표[판정불가순번],0),"")</f>
        <v/>
      </c>
    </row>
    <row r="413">
      <c r="A413">
        <f>IF($P413="","",408)</f>
        <v/>
      </c>
      <c r="B413">
        <f>IF($P413="","",INDEX(명단표[이름],$P413))</f>
        <v/>
      </c>
      <c r="C413">
        <f>IF($P413="","",INDEX(명단표[사번],$P413)&amp;"")</f>
        <v/>
      </c>
      <c r="D413">
        <f>IF($P413="","",INDEX(명단표[전공의등록번호],$P413)&amp;"")</f>
        <v/>
      </c>
      <c r="E413">
        <f>IF($P413="","",INDEX(명단표[수련과목],$P413)&amp;"")</f>
        <v/>
      </c>
      <c r="F413">
        <f>IF($P413="","",INDEX(명단표[연차],$P413)&amp;"")</f>
        <v/>
      </c>
      <c r="G413">
        <f>IF($P413="","",INDEX(명단표[소속병원],$P413))</f>
        <v/>
      </c>
      <c r="H413">
        <f>IF($P413="","",IF(INDEX(명단표[소속병원],$P413)="서울병원","서울 소속","타 병원 소속("&amp;INDEX(명단표[소속병원],$P413)&amp;") → 서울 지급"))</f>
        <v/>
      </c>
      <c r="I413">
        <f>IF($P413="","",INDEX(명단표[현재 근무병원],$P413))</f>
        <v/>
      </c>
      <c r="J413">
        <f>IF($P413="","",INDEX(명단표[구리 근무 시작일(기준월)],$P413)&amp;"")</f>
        <v/>
      </c>
      <c r="K413">
        <f>IF($P413="","",INDEX(명단표[구리 근무 종료일(기준월)],$P413)&amp;"")</f>
        <v/>
      </c>
      <c r="L413">
        <f>IF($P413="","",INDEX(명단표[서울 근무일(기준월)],$P413))</f>
        <v/>
      </c>
      <c r="M413">
        <f>IF($P413="","",INDEX(명단표[구리 근무일(기준월)],$P413))</f>
        <v/>
      </c>
      <c r="N413">
        <f>IF($P413="","",INDEX(명단표[급여 판정 근거],$P413))</f>
        <v/>
      </c>
      <c r="O413">
        <f>IF($P413="","",INDEX(명단표[점검],$P413))</f>
        <v/>
      </c>
      <c r="P413" s="17">
        <f>IFERROR(MATCH(408,명단표[서울순번],0),"")</f>
        <v/>
      </c>
      <c r="R413">
        <f>IF($W413="","",INDEX(명단표[이름],$W413))</f>
        <v/>
      </c>
      <c r="S413">
        <f>IF($W413="","",INDEX(명단표[사번],$W413)&amp;"")</f>
        <v/>
      </c>
      <c r="T413">
        <f>IF($W413="","",INDEX(명단표[소속병원],$W413))</f>
        <v/>
      </c>
      <c r="U413">
        <f>IF($W413="","",INDEX(명단표[서울 근무일(기준월)],$W413))</f>
        <v/>
      </c>
      <c r="V413">
        <f>IF($W413="","",INDEX(명단표[구리 근무일(기준월)],$W413))</f>
        <v/>
      </c>
      <c r="W413" s="17">
        <f>IFERROR(MATCH(408,명단표[판정불가순번],0),"")</f>
        <v/>
      </c>
    </row>
    <row r="414">
      <c r="A414">
        <f>IF($P414="","",409)</f>
        <v/>
      </c>
      <c r="B414">
        <f>IF($P414="","",INDEX(명단표[이름],$P414))</f>
        <v/>
      </c>
      <c r="C414">
        <f>IF($P414="","",INDEX(명단표[사번],$P414)&amp;"")</f>
        <v/>
      </c>
      <c r="D414">
        <f>IF($P414="","",INDEX(명단표[전공의등록번호],$P414)&amp;"")</f>
        <v/>
      </c>
      <c r="E414">
        <f>IF($P414="","",INDEX(명단표[수련과목],$P414)&amp;"")</f>
        <v/>
      </c>
      <c r="F414">
        <f>IF($P414="","",INDEX(명단표[연차],$P414)&amp;"")</f>
        <v/>
      </c>
      <c r="G414">
        <f>IF($P414="","",INDEX(명단표[소속병원],$P414))</f>
        <v/>
      </c>
      <c r="H414">
        <f>IF($P414="","",IF(INDEX(명단표[소속병원],$P414)="서울병원","서울 소속","타 병원 소속("&amp;INDEX(명단표[소속병원],$P414)&amp;") → 서울 지급"))</f>
        <v/>
      </c>
      <c r="I414">
        <f>IF($P414="","",INDEX(명단표[현재 근무병원],$P414))</f>
        <v/>
      </c>
      <c r="J414">
        <f>IF($P414="","",INDEX(명단표[구리 근무 시작일(기준월)],$P414)&amp;"")</f>
        <v/>
      </c>
      <c r="K414">
        <f>IF($P414="","",INDEX(명단표[구리 근무 종료일(기준월)],$P414)&amp;"")</f>
        <v/>
      </c>
      <c r="L414">
        <f>IF($P414="","",INDEX(명단표[서울 근무일(기준월)],$P414))</f>
        <v/>
      </c>
      <c r="M414">
        <f>IF($P414="","",INDEX(명단표[구리 근무일(기준월)],$P414))</f>
        <v/>
      </c>
      <c r="N414">
        <f>IF($P414="","",INDEX(명단표[급여 판정 근거],$P414))</f>
        <v/>
      </c>
      <c r="O414">
        <f>IF($P414="","",INDEX(명단표[점검],$P414))</f>
        <v/>
      </c>
      <c r="P414" s="17">
        <f>IFERROR(MATCH(409,명단표[서울순번],0),"")</f>
        <v/>
      </c>
      <c r="R414">
        <f>IF($W414="","",INDEX(명단표[이름],$W414))</f>
        <v/>
      </c>
      <c r="S414">
        <f>IF($W414="","",INDEX(명단표[사번],$W414)&amp;"")</f>
        <v/>
      </c>
      <c r="T414">
        <f>IF($W414="","",INDEX(명단표[소속병원],$W414))</f>
        <v/>
      </c>
      <c r="U414">
        <f>IF($W414="","",INDEX(명단표[서울 근무일(기준월)],$W414))</f>
        <v/>
      </c>
      <c r="V414">
        <f>IF($W414="","",INDEX(명단표[구리 근무일(기준월)],$W414))</f>
        <v/>
      </c>
      <c r="W414" s="17">
        <f>IFERROR(MATCH(409,명단표[판정불가순번],0),"")</f>
        <v/>
      </c>
    </row>
    <row r="415">
      <c r="A415">
        <f>IF($P415="","",410)</f>
        <v/>
      </c>
      <c r="B415">
        <f>IF($P415="","",INDEX(명단표[이름],$P415))</f>
        <v/>
      </c>
      <c r="C415">
        <f>IF($P415="","",INDEX(명단표[사번],$P415)&amp;"")</f>
        <v/>
      </c>
      <c r="D415">
        <f>IF($P415="","",INDEX(명단표[전공의등록번호],$P415)&amp;"")</f>
        <v/>
      </c>
      <c r="E415">
        <f>IF($P415="","",INDEX(명단표[수련과목],$P415)&amp;"")</f>
        <v/>
      </c>
      <c r="F415">
        <f>IF($P415="","",INDEX(명단표[연차],$P415)&amp;"")</f>
        <v/>
      </c>
      <c r="G415">
        <f>IF($P415="","",INDEX(명단표[소속병원],$P415))</f>
        <v/>
      </c>
      <c r="H415">
        <f>IF($P415="","",IF(INDEX(명단표[소속병원],$P415)="서울병원","서울 소속","타 병원 소속("&amp;INDEX(명단표[소속병원],$P415)&amp;") → 서울 지급"))</f>
        <v/>
      </c>
      <c r="I415">
        <f>IF($P415="","",INDEX(명단표[현재 근무병원],$P415))</f>
        <v/>
      </c>
      <c r="J415">
        <f>IF($P415="","",INDEX(명단표[구리 근무 시작일(기준월)],$P415)&amp;"")</f>
        <v/>
      </c>
      <c r="K415">
        <f>IF($P415="","",INDEX(명단표[구리 근무 종료일(기준월)],$P415)&amp;"")</f>
        <v/>
      </c>
      <c r="L415">
        <f>IF($P415="","",INDEX(명단표[서울 근무일(기준월)],$P415))</f>
        <v/>
      </c>
      <c r="M415">
        <f>IF($P415="","",INDEX(명단표[구리 근무일(기준월)],$P415))</f>
        <v/>
      </c>
      <c r="N415">
        <f>IF($P415="","",INDEX(명단표[급여 판정 근거],$P415))</f>
        <v/>
      </c>
      <c r="O415">
        <f>IF($P415="","",INDEX(명단표[점검],$P415))</f>
        <v/>
      </c>
      <c r="P415" s="17">
        <f>IFERROR(MATCH(410,명단표[서울순번],0),"")</f>
        <v/>
      </c>
      <c r="R415">
        <f>IF($W415="","",INDEX(명단표[이름],$W415))</f>
        <v/>
      </c>
      <c r="S415">
        <f>IF($W415="","",INDEX(명단표[사번],$W415)&amp;"")</f>
        <v/>
      </c>
      <c r="T415">
        <f>IF($W415="","",INDEX(명단표[소속병원],$W415))</f>
        <v/>
      </c>
      <c r="U415">
        <f>IF($W415="","",INDEX(명단표[서울 근무일(기준월)],$W415))</f>
        <v/>
      </c>
      <c r="V415">
        <f>IF($W415="","",INDEX(명단표[구리 근무일(기준월)],$W415))</f>
        <v/>
      </c>
      <c r="W415" s="17">
        <f>IFERROR(MATCH(410,명단표[판정불가순번],0),"")</f>
        <v/>
      </c>
    </row>
    <row r="416">
      <c r="A416">
        <f>IF($P416="","",411)</f>
        <v/>
      </c>
      <c r="B416">
        <f>IF($P416="","",INDEX(명단표[이름],$P416))</f>
        <v/>
      </c>
      <c r="C416">
        <f>IF($P416="","",INDEX(명단표[사번],$P416)&amp;"")</f>
        <v/>
      </c>
      <c r="D416">
        <f>IF($P416="","",INDEX(명단표[전공의등록번호],$P416)&amp;"")</f>
        <v/>
      </c>
      <c r="E416">
        <f>IF($P416="","",INDEX(명단표[수련과목],$P416)&amp;"")</f>
        <v/>
      </c>
      <c r="F416">
        <f>IF($P416="","",INDEX(명단표[연차],$P416)&amp;"")</f>
        <v/>
      </c>
      <c r="G416">
        <f>IF($P416="","",INDEX(명단표[소속병원],$P416))</f>
        <v/>
      </c>
      <c r="H416">
        <f>IF($P416="","",IF(INDEX(명단표[소속병원],$P416)="서울병원","서울 소속","타 병원 소속("&amp;INDEX(명단표[소속병원],$P416)&amp;") → 서울 지급"))</f>
        <v/>
      </c>
      <c r="I416">
        <f>IF($P416="","",INDEX(명단표[현재 근무병원],$P416))</f>
        <v/>
      </c>
      <c r="J416">
        <f>IF($P416="","",INDEX(명단표[구리 근무 시작일(기준월)],$P416)&amp;"")</f>
        <v/>
      </c>
      <c r="K416">
        <f>IF($P416="","",INDEX(명단표[구리 근무 종료일(기준월)],$P416)&amp;"")</f>
        <v/>
      </c>
      <c r="L416">
        <f>IF($P416="","",INDEX(명단표[서울 근무일(기준월)],$P416))</f>
        <v/>
      </c>
      <c r="M416">
        <f>IF($P416="","",INDEX(명단표[구리 근무일(기준월)],$P416))</f>
        <v/>
      </c>
      <c r="N416">
        <f>IF($P416="","",INDEX(명단표[급여 판정 근거],$P416))</f>
        <v/>
      </c>
      <c r="O416">
        <f>IF($P416="","",INDEX(명단표[점검],$P416))</f>
        <v/>
      </c>
      <c r="P416" s="17">
        <f>IFERROR(MATCH(411,명단표[서울순번],0),"")</f>
        <v/>
      </c>
      <c r="R416">
        <f>IF($W416="","",INDEX(명단표[이름],$W416))</f>
        <v/>
      </c>
      <c r="S416">
        <f>IF($W416="","",INDEX(명단표[사번],$W416)&amp;"")</f>
        <v/>
      </c>
      <c r="T416">
        <f>IF($W416="","",INDEX(명단표[소속병원],$W416))</f>
        <v/>
      </c>
      <c r="U416">
        <f>IF($W416="","",INDEX(명단표[서울 근무일(기준월)],$W416))</f>
        <v/>
      </c>
      <c r="V416">
        <f>IF($W416="","",INDEX(명단표[구리 근무일(기준월)],$W416))</f>
        <v/>
      </c>
      <c r="W416" s="17">
        <f>IFERROR(MATCH(411,명단표[판정불가순번],0),"")</f>
        <v/>
      </c>
    </row>
    <row r="417">
      <c r="A417">
        <f>IF($P417="","",412)</f>
        <v/>
      </c>
      <c r="B417">
        <f>IF($P417="","",INDEX(명단표[이름],$P417))</f>
        <v/>
      </c>
      <c r="C417">
        <f>IF($P417="","",INDEX(명단표[사번],$P417)&amp;"")</f>
        <v/>
      </c>
      <c r="D417">
        <f>IF($P417="","",INDEX(명단표[전공의등록번호],$P417)&amp;"")</f>
        <v/>
      </c>
      <c r="E417">
        <f>IF($P417="","",INDEX(명단표[수련과목],$P417)&amp;"")</f>
        <v/>
      </c>
      <c r="F417">
        <f>IF($P417="","",INDEX(명단표[연차],$P417)&amp;"")</f>
        <v/>
      </c>
      <c r="G417">
        <f>IF($P417="","",INDEX(명단표[소속병원],$P417))</f>
        <v/>
      </c>
      <c r="H417">
        <f>IF($P417="","",IF(INDEX(명단표[소속병원],$P417)="서울병원","서울 소속","타 병원 소속("&amp;INDEX(명단표[소속병원],$P417)&amp;") → 서울 지급"))</f>
        <v/>
      </c>
      <c r="I417">
        <f>IF($P417="","",INDEX(명단표[현재 근무병원],$P417))</f>
        <v/>
      </c>
      <c r="J417">
        <f>IF($P417="","",INDEX(명단표[구리 근무 시작일(기준월)],$P417)&amp;"")</f>
        <v/>
      </c>
      <c r="K417">
        <f>IF($P417="","",INDEX(명단표[구리 근무 종료일(기준월)],$P417)&amp;"")</f>
        <v/>
      </c>
      <c r="L417">
        <f>IF($P417="","",INDEX(명단표[서울 근무일(기준월)],$P417))</f>
        <v/>
      </c>
      <c r="M417">
        <f>IF($P417="","",INDEX(명단표[구리 근무일(기준월)],$P417))</f>
        <v/>
      </c>
      <c r="N417">
        <f>IF($P417="","",INDEX(명단표[급여 판정 근거],$P417))</f>
        <v/>
      </c>
      <c r="O417">
        <f>IF($P417="","",INDEX(명단표[점검],$P417))</f>
        <v/>
      </c>
      <c r="P417" s="17">
        <f>IFERROR(MATCH(412,명단표[서울순번],0),"")</f>
        <v/>
      </c>
      <c r="R417">
        <f>IF($W417="","",INDEX(명단표[이름],$W417))</f>
        <v/>
      </c>
      <c r="S417">
        <f>IF($W417="","",INDEX(명단표[사번],$W417)&amp;"")</f>
        <v/>
      </c>
      <c r="T417">
        <f>IF($W417="","",INDEX(명단표[소속병원],$W417))</f>
        <v/>
      </c>
      <c r="U417">
        <f>IF($W417="","",INDEX(명단표[서울 근무일(기준월)],$W417))</f>
        <v/>
      </c>
      <c r="V417">
        <f>IF($W417="","",INDEX(명단표[구리 근무일(기준월)],$W417))</f>
        <v/>
      </c>
      <c r="W417" s="17">
        <f>IFERROR(MATCH(412,명단표[판정불가순번],0),"")</f>
        <v/>
      </c>
    </row>
    <row r="418">
      <c r="A418">
        <f>IF($P418="","",413)</f>
        <v/>
      </c>
      <c r="B418">
        <f>IF($P418="","",INDEX(명단표[이름],$P418))</f>
        <v/>
      </c>
      <c r="C418">
        <f>IF($P418="","",INDEX(명단표[사번],$P418)&amp;"")</f>
        <v/>
      </c>
      <c r="D418">
        <f>IF($P418="","",INDEX(명단표[전공의등록번호],$P418)&amp;"")</f>
        <v/>
      </c>
      <c r="E418">
        <f>IF($P418="","",INDEX(명단표[수련과목],$P418)&amp;"")</f>
        <v/>
      </c>
      <c r="F418">
        <f>IF($P418="","",INDEX(명단표[연차],$P418)&amp;"")</f>
        <v/>
      </c>
      <c r="G418">
        <f>IF($P418="","",INDEX(명단표[소속병원],$P418))</f>
        <v/>
      </c>
      <c r="H418">
        <f>IF($P418="","",IF(INDEX(명단표[소속병원],$P418)="서울병원","서울 소속","타 병원 소속("&amp;INDEX(명단표[소속병원],$P418)&amp;") → 서울 지급"))</f>
        <v/>
      </c>
      <c r="I418">
        <f>IF($P418="","",INDEX(명단표[현재 근무병원],$P418))</f>
        <v/>
      </c>
      <c r="J418">
        <f>IF($P418="","",INDEX(명단표[구리 근무 시작일(기준월)],$P418)&amp;"")</f>
        <v/>
      </c>
      <c r="K418">
        <f>IF($P418="","",INDEX(명단표[구리 근무 종료일(기준월)],$P418)&amp;"")</f>
        <v/>
      </c>
      <c r="L418">
        <f>IF($P418="","",INDEX(명단표[서울 근무일(기준월)],$P418))</f>
        <v/>
      </c>
      <c r="M418">
        <f>IF($P418="","",INDEX(명단표[구리 근무일(기준월)],$P418))</f>
        <v/>
      </c>
      <c r="N418">
        <f>IF($P418="","",INDEX(명단표[급여 판정 근거],$P418))</f>
        <v/>
      </c>
      <c r="O418">
        <f>IF($P418="","",INDEX(명단표[점검],$P418))</f>
        <v/>
      </c>
      <c r="P418" s="17">
        <f>IFERROR(MATCH(413,명단표[서울순번],0),"")</f>
        <v/>
      </c>
      <c r="R418">
        <f>IF($W418="","",INDEX(명단표[이름],$W418))</f>
        <v/>
      </c>
      <c r="S418">
        <f>IF($W418="","",INDEX(명단표[사번],$W418)&amp;"")</f>
        <v/>
      </c>
      <c r="T418">
        <f>IF($W418="","",INDEX(명단표[소속병원],$W418))</f>
        <v/>
      </c>
      <c r="U418">
        <f>IF($W418="","",INDEX(명단표[서울 근무일(기준월)],$W418))</f>
        <v/>
      </c>
      <c r="V418">
        <f>IF($W418="","",INDEX(명단표[구리 근무일(기준월)],$W418))</f>
        <v/>
      </c>
      <c r="W418" s="17">
        <f>IFERROR(MATCH(413,명단표[판정불가순번],0),"")</f>
        <v/>
      </c>
    </row>
    <row r="419">
      <c r="A419">
        <f>IF($P419="","",414)</f>
        <v/>
      </c>
      <c r="B419">
        <f>IF($P419="","",INDEX(명단표[이름],$P419))</f>
        <v/>
      </c>
      <c r="C419">
        <f>IF($P419="","",INDEX(명단표[사번],$P419)&amp;"")</f>
        <v/>
      </c>
      <c r="D419">
        <f>IF($P419="","",INDEX(명단표[전공의등록번호],$P419)&amp;"")</f>
        <v/>
      </c>
      <c r="E419">
        <f>IF($P419="","",INDEX(명단표[수련과목],$P419)&amp;"")</f>
        <v/>
      </c>
      <c r="F419">
        <f>IF($P419="","",INDEX(명단표[연차],$P419)&amp;"")</f>
        <v/>
      </c>
      <c r="G419">
        <f>IF($P419="","",INDEX(명단표[소속병원],$P419))</f>
        <v/>
      </c>
      <c r="H419">
        <f>IF($P419="","",IF(INDEX(명단표[소속병원],$P419)="서울병원","서울 소속","타 병원 소속("&amp;INDEX(명단표[소속병원],$P419)&amp;") → 서울 지급"))</f>
        <v/>
      </c>
      <c r="I419">
        <f>IF($P419="","",INDEX(명단표[현재 근무병원],$P419))</f>
        <v/>
      </c>
      <c r="J419">
        <f>IF($P419="","",INDEX(명단표[구리 근무 시작일(기준월)],$P419)&amp;"")</f>
        <v/>
      </c>
      <c r="K419">
        <f>IF($P419="","",INDEX(명단표[구리 근무 종료일(기준월)],$P419)&amp;"")</f>
        <v/>
      </c>
      <c r="L419">
        <f>IF($P419="","",INDEX(명단표[서울 근무일(기준월)],$P419))</f>
        <v/>
      </c>
      <c r="M419">
        <f>IF($P419="","",INDEX(명단표[구리 근무일(기준월)],$P419))</f>
        <v/>
      </c>
      <c r="N419">
        <f>IF($P419="","",INDEX(명단표[급여 판정 근거],$P419))</f>
        <v/>
      </c>
      <c r="O419">
        <f>IF($P419="","",INDEX(명단표[점검],$P419))</f>
        <v/>
      </c>
      <c r="P419" s="17">
        <f>IFERROR(MATCH(414,명단표[서울순번],0),"")</f>
        <v/>
      </c>
      <c r="R419">
        <f>IF($W419="","",INDEX(명단표[이름],$W419))</f>
        <v/>
      </c>
      <c r="S419">
        <f>IF($W419="","",INDEX(명단표[사번],$W419)&amp;"")</f>
        <v/>
      </c>
      <c r="T419">
        <f>IF($W419="","",INDEX(명단표[소속병원],$W419))</f>
        <v/>
      </c>
      <c r="U419">
        <f>IF($W419="","",INDEX(명단표[서울 근무일(기준월)],$W419))</f>
        <v/>
      </c>
      <c r="V419">
        <f>IF($W419="","",INDEX(명단표[구리 근무일(기준월)],$W419))</f>
        <v/>
      </c>
      <c r="W419" s="17">
        <f>IFERROR(MATCH(414,명단표[판정불가순번],0),"")</f>
        <v/>
      </c>
    </row>
    <row r="420">
      <c r="A420">
        <f>IF($P420="","",415)</f>
        <v/>
      </c>
      <c r="B420">
        <f>IF($P420="","",INDEX(명단표[이름],$P420))</f>
        <v/>
      </c>
      <c r="C420">
        <f>IF($P420="","",INDEX(명단표[사번],$P420)&amp;"")</f>
        <v/>
      </c>
      <c r="D420">
        <f>IF($P420="","",INDEX(명단표[전공의등록번호],$P420)&amp;"")</f>
        <v/>
      </c>
      <c r="E420">
        <f>IF($P420="","",INDEX(명단표[수련과목],$P420)&amp;"")</f>
        <v/>
      </c>
      <c r="F420">
        <f>IF($P420="","",INDEX(명단표[연차],$P420)&amp;"")</f>
        <v/>
      </c>
      <c r="G420">
        <f>IF($P420="","",INDEX(명단표[소속병원],$P420))</f>
        <v/>
      </c>
      <c r="H420">
        <f>IF($P420="","",IF(INDEX(명단표[소속병원],$P420)="서울병원","서울 소속","타 병원 소속("&amp;INDEX(명단표[소속병원],$P420)&amp;") → 서울 지급"))</f>
        <v/>
      </c>
      <c r="I420">
        <f>IF($P420="","",INDEX(명단표[현재 근무병원],$P420))</f>
        <v/>
      </c>
      <c r="J420">
        <f>IF($P420="","",INDEX(명단표[구리 근무 시작일(기준월)],$P420)&amp;"")</f>
        <v/>
      </c>
      <c r="K420">
        <f>IF($P420="","",INDEX(명단표[구리 근무 종료일(기준월)],$P420)&amp;"")</f>
        <v/>
      </c>
      <c r="L420">
        <f>IF($P420="","",INDEX(명단표[서울 근무일(기준월)],$P420))</f>
        <v/>
      </c>
      <c r="M420">
        <f>IF($P420="","",INDEX(명단표[구리 근무일(기준월)],$P420))</f>
        <v/>
      </c>
      <c r="N420">
        <f>IF($P420="","",INDEX(명단표[급여 판정 근거],$P420))</f>
        <v/>
      </c>
      <c r="O420">
        <f>IF($P420="","",INDEX(명단표[점검],$P420))</f>
        <v/>
      </c>
      <c r="P420" s="17">
        <f>IFERROR(MATCH(415,명단표[서울순번],0),"")</f>
        <v/>
      </c>
      <c r="R420">
        <f>IF($W420="","",INDEX(명단표[이름],$W420))</f>
        <v/>
      </c>
      <c r="S420">
        <f>IF($W420="","",INDEX(명단표[사번],$W420)&amp;"")</f>
        <v/>
      </c>
      <c r="T420">
        <f>IF($W420="","",INDEX(명단표[소속병원],$W420))</f>
        <v/>
      </c>
      <c r="U420">
        <f>IF($W420="","",INDEX(명단표[서울 근무일(기준월)],$W420))</f>
        <v/>
      </c>
      <c r="V420">
        <f>IF($W420="","",INDEX(명단표[구리 근무일(기준월)],$W420))</f>
        <v/>
      </c>
      <c r="W420" s="17">
        <f>IFERROR(MATCH(415,명단표[판정불가순번],0),"")</f>
        <v/>
      </c>
    </row>
    <row r="421">
      <c r="A421">
        <f>IF($P421="","",416)</f>
        <v/>
      </c>
      <c r="B421">
        <f>IF($P421="","",INDEX(명단표[이름],$P421))</f>
        <v/>
      </c>
      <c r="C421">
        <f>IF($P421="","",INDEX(명단표[사번],$P421)&amp;"")</f>
        <v/>
      </c>
      <c r="D421">
        <f>IF($P421="","",INDEX(명단표[전공의등록번호],$P421)&amp;"")</f>
        <v/>
      </c>
      <c r="E421">
        <f>IF($P421="","",INDEX(명단표[수련과목],$P421)&amp;"")</f>
        <v/>
      </c>
      <c r="F421">
        <f>IF($P421="","",INDEX(명단표[연차],$P421)&amp;"")</f>
        <v/>
      </c>
      <c r="G421">
        <f>IF($P421="","",INDEX(명단표[소속병원],$P421))</f>
        <v/>
      </c>
      <c r="H421">
        <f>IF($P421="","",IF(INDEX(명단표[소속병원],$P421)="서울병원","서울 소속","타 병원 소속("&amp;INDEX(명단표[소속병원],$P421)&amp;") → 서울 지급"))</f>
        <v/>
      </c>
      <c r="I421">
        <f>IF($P421="","",INDEX(명단표[현재 근무병원],$P421))</f>
        <v/>
      </c>
      <c r="J421">
        <f>IF($P421="","",INDEX(명단표[구리 근무 시작일(기준월)],$P421)&amp;"")</f>
        <v/>
      </c>
      <c r="K421">
        <f>IF($P421="","",INDEX(명단표[구리 근무 종료일(기준월)],$P421)&amp;"")</f>
        <v/>
      </c>
      <c r="L421">
        <f>IF($P421="","",INDEX(명단표[서울 근무일(기준월)],$P421))</f>
        <v/>
      </c>
      <c r="M421">
        <f>IF($P421="","",INDEX(명단표[구리 근무일(기준월)],$P421))</f>
        <v/>
      </c>
      <c r="N421">
        <f>IF($P421="","",INDEX(명단표[급여 판정 근거],$P421))</f>
        <v/>
      </c>
      <c r="O421">
        <f>IF($P421="","",INDEX(명단표[점검],$P421))</f>
        <v/>
      </c>
      <c r="P421" s="17">
        <f>IFERROR(MATCH(416,명단표[서울순번],0),"")</f>
        <v/>
      </c>
      <c r="R421">
        <f>IF($W421="","",INDEX(명단표[이름],$W421))</f>
        <v/>
      </c>
      <c r="S421">
        <f>IF($W421="","",INDEX(명단표[사번],$W421)&amp;"")</f>
        <v/>
      </c>
      <c r="T421">
        <f>IF($W421="","",INDEX(명단표[소속병원],$W421))</f>
        <v/>
      </c>
      <c r="U421">
        <f>IF($W421="","",INDEX(명단표[서울 근무일(기준월)],$W421))</f>
        <v/>
      </c>
      <c r="V421">
        <f>IF($W421="","",INDEX(명단표[구리 근무일(기준월)],$W421))</f>
        <v/>
      </c>
      <c r="W421" s="17">
        <f>IFERROR(MATCH(416,명단표[판정불가순번],0),"")</f>
        <v/>
      </c>
    </row>
    <row r="422">
      <c r="A422">
        <f>IF($P422="","",417)</f>
        <v/>
      </c>
      <c r="B422">
        <f>IF($P422="","",INDEX(명단표[이름],$P422))</f>
        <v/>
      </c>
      <c r="C422">
        <f>IF($P422="","",INDEX(명단표[사번],$P422)&amp;"")</f>
        <v/>
      </c>
      <c r="D422">
        <f>IF($P422="","",INDEX(명단표[전공의등록번호],$P422)&amp;"")</f>
        <v/>
      </c>
      <c r="E422">
        <f>IF($P422="","",INDEX(명단표[수련과목],$P422)&amp;"")</f>
        <v/>
      </c>
      <c r="F422">
        <f>IF($P422="","",INDEX(명단표[연차],$P422)&amp;"")</f>
        <v/>
      </c>
      <c r="G422">
        <f>IF($P422="","",INDEX(명단표[소속병원],$P422))</f>
        <v/>
      </c>
      <c r="H422">
        <f>IF($P422="","",IF(INDEX(명단표[소속병원],$P422)="서울병원","서울 소속","타 병원 소속("&amp;INDEX(명단표[소속병원],$P422)&amp;") → 서울 지급"))</f>
        <v/>
      </c>
      <c r="I422">
        <f>IF($P422="","",INDEX(명단표[현재 근무병원],$P422))</f>
        <v/>
      </c>
      <c r="J422">
        <f>IF($P422="","",INDEX(명단표[구리 근무 시작일(기준월)],$P422)&amp;"")</f>
        <v/>
      </c>
      <c r="K422">
        <f>IF($P422="","",INDEX(명단표[구리 근무 종료일(기준월)],$P422)&amp;"")</f>
        <v/>
      </c>
      <c r="L422">
        <f>IF($P422="","",INDEX(명단표[서울 근무일(기준월)],$P422))</f>
        <v/>
      </c>
      <c r="M422">
        <f>IF($P422="","",INDEX(명단표[구리 근무일(기준월)],$P422))</f>
        <v/>
      </c>
      <c r="N422">
        <f>IF($P422="","",INDEX(명단표[급여 판정 근거],$P422))</f>
        <v/>
      </c>
      <c r="O422">
        <f>IF($P422="","",INDEX(명단표[점검],$P422))</f>
        <v/>
      </c>
      <c r="P422" s="17">
        <f>IFERROR(MATCH(417,명단표[서울순번],0),"")</f>
        <v/>
      </c>
      <c r="R422">
        <f>IF($W422="","",INDEX(명단표[이름],$W422))</f>
        <v/>
      </c>
      <c r="S422">
        <f>IF($W422="","",INDEX(명단표[사번],$W422)&amp;"")</f>
        <v/>
      </c>
      <c r="T422">
        <f>IF($W422="","",INDEX(명단표[소속병원],$W422))</f>
        <v/>
      </c>
      <c r="U422">
        <f>IF($W422="","",INDEX(명단표[서울 근무일(기준월)],$W422))</f>
        <v/>
      </c>
      <c r="V422">
        <f>IF($W422="","",INDEX(명단표[구리 근무일(기준월)],$W422))</f>
        <v/>
      </c>
      <c r="W422" s="17">
        <f>IFERROR(MATCH(417,명단표[판정불가순번],0),"")</f>
        <v/>
      </c>
    </row>
    <row r="423">
      <c r="A423">
        <f>IF($P423="","",418)</f>
        <v/>
      </c>
      <c r="B423">
        <f>IF($P423="","",INDEX(명단표[이름],$P423))</f>
        <v/>
      </c>
      <c r="C423">
        <f>IF($P423="","",INDEX(명단표[사번],$P423)&amp;"")</f>
        <v/>
      </c>
      <c r="D423">
        <f>IF($P423="","",INDEX(명단표[전공의등록번호],$P423)&amp;"")</f>
        <v/>
      </c>
      <c r="E423">
        <f>IF($P423="","",INDEX(명단표[수련과목],$P423)&amp;"")</f>
        <v/>
      </c>
      <c r="F423">
        <f>IF($P423="","",INDEX(명단표[연차],$P423)&amp;"")</f>
        <v/>
      </c>
      <c r="G423">
        <f>IF($P423="","",INDEX(명단표[소속병원],$P423))</f>
        <v/>
      </c>
      <c r="H423">
        <f>IF($P423="","",IF(INDEX(명단표[소속병원],$P423)="서울병원","서울 소속","타 병원 소속("&amp;INDEX(명단표[소속병원],$P423)&amp;") → 서울 지급"))</f>
        <v/>
      </c>
      <c r="I423">
        <f>IF($P423="","",INDEX(명단표[현재 근무병원],$P423))</f>
        <v/>
      </c>
      <c r="J423">
        <f>IF($P423="","",INDEX(명단표[구리 근무 시작일(기준월)],$P423)&amp;"")</f>
        <v/>
      </c>
      <c r="K423">
        <f>IF($P423="","",INDEX(명단표[구리 근무 종료일(기준월)],$P423)&amp;"")</f>
        <v/>
      </c>
      <c r="L423">
        <f>IF($P423="","",INDEX(명단표[서울 근무일(기준월)],$P423))</f>
        <v/>
      </c>
      <c r="M423">
        <f>IF($P423="","",INDEX(명단표[구리 근무일(기준월)],$P423))</f>
        <v/>
      </c>
      <c r="N423">
        <f>IF($P423="","",INDEX(명단표[급여 판정 근거],$P423))</f>
        <v/>
      </c>
      <c r="O423">
        <f>IF($P423="","",INDEX(명단표[점검],$P423))</f>
        <v/>
      </c>
      <c r="P423" s="17">
        <f>IFERROR(MATCH(418,명단표[서울순번],0),"")</f>
        <v/>
      </c>
      <c r="R423">
        <f>IF($W423="","",INDEX(명단표[이름],$W423))</f>
        <v/>
      </c>
      <c r="S423">
        <f>IF($W423="","",INDEX(명단표[사번],$W423)&amp;"")</f>
        <v/>
      </c>
      <c r="T423">
        <f>IF($W423="","",INDEX(명단표[소속병원],$W423))</f>
        <v/>
      </c>
      <c r="U423">
        <f>IF($W423="","",INDEX(명단표[서울 근무일(기준월)],$W423))</f>
        <v/>
      </c>
      <c r="V423">
        <f>IF($W423="","",INDEX(명단표[구리 근무일(기준월)],$W423))</f>
        <v/>
      </c>
      <c r="W423" s="17">
        <f>IFERROR(MATCH(418,명단표[판정불가순번],0),"")</f>
        <v/>
      </c>
    </row>
    <row r="424">
      <c r="A424">
        <f>IF($P424="","",419)</f>
        <v/>
      </c>
      <c r="B424">
        <f>IF($P424="","",INDEX(명단표[이름],$P424))</f>
        <v/>
      </c>
      <c r="C424">
        <f>IF($P424="","",INDEX(명단표[사번],$P424)&amp;"")</f>
        <v/>
      </c>
      <c r="D424">
        <f>IF($P424="","",INDEX(명단표[전공의등록번호],$P424)&amp;"")</f>
        <v/>
      </c>
      <c r="E424">
        <f>IF($P424="","",INDEX(명단표[수련과목],$P424)&amp;"")</f>
        <v/>
      </c>
      <c r="F424">
        <f>IF($P424="","",INDEX(명단표[연차],$P424)&amp;"")</f>
        <v/>
      </c>
      <c r="G424">
        <f>IF($P424="","",INDEX(명단표[소속병원],$P424))</f>
        <v/>
      </c>
      <c r="H424">
        <f>IF($P424="","",IF(INDEX(명단표[소속병원],$P424)="서울병원","서울 소속","타 병원 소속("&amp;INDEX(명단표[소속병원],$P424)&amp;") → 서울 지급"))</f>
        <v/>
      </c>
      <c r="I424">
        <f>IF($P424="","",INDEX(명단표[현재 근무병원],$P424))</f>
        <v/>
      </c>
      <c r="J424">
        <f>IF($P424="","",INDEX(명단표[구리 근무 시작일(기준월)],$P424)&amp;"")</f>
        <v/>
      </c>
      <c r="K424">
        <f>IF($P424="","",INDEX(명단표[구리 근무 종료일(기준월)],$P424)&amp;"")</f>
        <v/>
      </c>
      <c r="L424">
        <f>IF($P424="","",INDEX(명단표[서울 근무일(기준월)],$P424))</f>
        <v/>
      </c>
      <c r="M424">
        <f>IF($P424="","",INDEX(명단표[구리 근무일(기준월)],$P424))</f>
        <v/>
      </c>
      <c r="N424">
        <f>IF($P424="","",INDEX(명단표[급여 판정 근거],$P424))</f>
        <v/>
      </c>
      <c r="O424">
        <f>IF($P424="","",INDEX(명단표[점검],$P424))</f>
        <v/>
      </c>
      <c r="P424" s="17">
        <f>IFERROR(MATCH(419,명단표[서울순번],0),"")</f>
        <v/>
      </c>
      <c r="R424">
        <f>IF($W424="","",INDEX(명단표[이름],$W424))</f>
        <v/>
      </c>
      <c r="S424">
        <f>IF($W424="","",INDEX(명단표[사번],$W424)&amp;"")</f>
        <v/>
      </c>
      <c r="T424">
        <f>IF($W424="","",INDEX(명단표[소속병원],$W424))</f>
        <v/>
      </c>
      <c r="U424">
        <f>IF($W424="","",INDEX(명단표[서울 근무일(기준월)],$W424))</f>
        <v/>
      </c>
      <c r="V424">
        <f>IF($W424="","",INDEX(명단표[구리 근무일(기준월)],$W424))</f>
        <v/>
      </c>
      <c r="W424" s="17">
        <f>IFERROR(MATCH(419,명단표[판정불가순번],0),"")</f>
        <v/>
      </c>
    </row>
    <row r="425">
      <c r="A425">
        <f>IF($P425="","",420)</f>
        <v/>
      </c>
      <c r="B425">
        <f>IF($P425="","",INDEX(명단표[이름],$P425))</f>
        <v/>
      </c>
      <c r="C425">
        <f>IF($P425="","",INDEX(명단표[사번],$P425)&amp;"")</f>
        <v/>
      </c>
      <c r="D425">
        <f>IF($P425="","",INDEX(명단표[전공의등록번호],$P425)&amp;"")</f>
        <v/>
      </c>
      <c r="E425">
        <f>IF($P425="","",INDEX(명단표[수련과목],$P425)&amp;"")</f>
        <v/>
      </c>
      <c r="F425">
        <f>IF($P425="","",INDEX(명단표[연차],$P425)&amp;"")</f>
        <v/>
      </c>
      <c r="G425">
        <f>IF($P425="","",INDEX(명단표[소속병원],$P425))</f>
        <v/>
      </c>
      <c r="H425">
        <f>IF($P425="","",IF(INDEX(명단표[소속병원],$P425)="서울병원","서울 소속","타 병원 소속("&amp;INDEX(명단표[소속병원],$P425)&amp;") → 서울 지급"))</f>
        <v/>
      </c>
      <c r="I425">
        <f>IF($P425="","",INDEX(명단표[현재 근무병원],$P425))</f>
        <v/>
      </c>
      <c r="J425">
        <f>IF($P425="","",INDEX(명단표[구리 근무 시작일(기준월)],$P425)&amp;"")</f>
        <v/>
      </c>
      <c r="K425">
        <f>IF($P425="","",INDEX(명단표[구리 근무 종료일(기준월)],$P425)&amp;"")</f>
        <v/>
      </c>
      <c r="L425">
        <f>IF($P425="","",INDEX(명단표[서울 근무일(기준월)],$P425))</f>
        <v/>
      </c>
      <c r="M425">
        <f>IF($P425="","",INDEX(명단표[구리 근무일(기준월)],$P425))</f>
        <v/>
      </c>
      <c r="N425">
        <f>IF($P425="","",INDEX(명단표[급여 판정 근거],$P425))</f>
        <v/>
      </c>
      <c r="O425">
        <f>IF($P425="","",INDEX(명단표[점검],$P425))</f>
        <v/>
      </c>
      <c r="P425" s="17">
        <f>IFERROR(MATCH(420,명단표[서울순번],0),"")</f>
        <v/>
      </c>
      <c r="R425">
        <f>IF($W425="","",INDEX(명단표[이름],$W425))</f>
        <v/>
      </c>
      <c r="S425">
        <f>IF($W425="","",INDEX(명단표[사번],$W425)&amp;"")</f>
        <v/>
      </c>
      <c r="T425">
        <f>IF($W425="","",INDEX(명단표[소속병원],$W425))</f>
        <v/>
      </c>
      <c r="U425">
        <f>IF($W425="","",INDEX(명단표[서울 근무일(기준월)],$W425))</f>
        <v/>
      </c>
      <c r="V425">
        <f>IF($W425="","",INDEX(명단표[구리 근무일(기준월)],$W425))</f>
        <v/>
      </c>
      <c r="W425" s="17">
        <f>IFERROR(MATCH(420,명단표[판정불가순번],0),"")</f>
        <v/>
      </c>
    </row>
    <row r="426">
      <c r="A426">
        <f>IF($P426="","",421)</f>
        <v/>
      </c>
      <c r="B426">
        <f>IF($P426="","",INDEX(명단표[이름],$P426))</f>
        <v/>
      </c>
      <c r="C426">
        <f>IF($P426="","",INDEX(명단표[사번],$P426)&amp;"")</f>
        <v/>
      </c>
      <c r="D426">
        <f>IF($P426="","",INDEX(명단표[전공의등록번호],$P426)&amp;"")</f>
        <v/>
      </c>
      <c r="E426">
        <f>IF($P426="","",INDEX(명단표[수련과목],$P426)&amp;"")</f>
        <v/>
      </c>
      <c r="F426">
        <f>IF($P426="","",INDEX(명단표[연차],$P426)&amp;"")</f>
        <v/>
      </c>
      <c r="G426">
        <f>IF($P426="","",INDEX(명단표[소속병원],$P426))</f>
        <v/>
      </c>
      <c r="H426">
        <f>IF($P426="","",IF(INDEX(명단표[소속병원],$P426)="서울병원","서울 소속","타 병원 소속("&amp;INDEX(명단표[소속병원],$P426)&amp;") → 서울 지급"))</f>
        <v/>
      </c>
      <c r="I426">
        <f>IF($P426="","",INDEX(명단표[현재 근무병원],$P426))</f>
        <v/>
      </c>
      <c r="J426">
        <f>IF($P426="","",INDEX(명단표[구리 근무 시작일(기준월)],$P426)&amp;"")</f>
        <v/>
      </c>
      <c r="K426">
        <f>IF($P426="","",INDEX(명단표[구리 근무 종료일(기준월)],$P426)&amp;"")</f>
        <v/>
      </c>
      <c r="L426">
        <f>IF($P426="","",INDEX(명단표[서울 근무일(기준월)],$P426))</f>
        <v/>
      </c>
      <c r="M426">
        <f>IF($P426="","",INDEX(명단표[구리 근무일(기준월)],$P426))</f>
        <v/>
      </c>
      <c r="N426">
        <f>IF($P426="","",INDEX(명단표[급여 판정 근거],$P426))</f>
        <v/>
      </c>
      <c r="O426">
        <f>IF($P426="","",INDEX(명단표[점검],$P426))</f>
        <v/>
      </c>
      <c r="P426" s="17">
        <f>IFERROR(MATCH(421,명단표[서울순번],0),"")</f>
        <v/>
      </c>
      <c r="R426">
        <f>IF($W426="","",INDEX(명단표[이름],$W426))</f>
        <v/>
      </c>
      <c r="S426">
        <f>IF($W426="","",INDEX(명단표[사번],$W426)&amp;"")</f>
        <v/>
      </c>
      <c r="T426">
        <f>IF($W426="","",INDEX(명단표[소속병원],$W426))</f>
        <v/>
      </c>
      <c r="U426">
        <f>IF($W426="","",INDEX(명단표[서울 근무일(기준월)],$W426))</f>
        <v/>
      </c>
      <c r="V426">
        <f>IF($W426="","",INDEX(명단표[구리 근무일(기준월)],$W426))</f>
        <v/>
      </c>
      <c r="W426" s="17">
        <f>IFERROR(MATCH(421,명단표[판정불가순번],0),"")</f>
        <v/>
      </c>
    </row>
    <row r="427">
      <c r="A427">
        <f>IF($P427="","",422)</f>
        <v/>
      </c>
      <c r="B427">
        <f>IF($P427="","",INDEX(명단표[이름],$P427))</f>
        <v/>
      </c>
      <c r="C427">
        <f>IF($P427="","",INDEX(명단표[사번],$P427)&amp;"")</f>
        <v/>
      </c>
      <c r="D427">
        <f>IF($P427="","",INDEX(명단표[전공의등록번호],$P427)&amp;"")</f>
        <v/>
      </c>
      <c r="E427">
        <f>IF($P427="","",INDEX(명단표[수련과목],$P427)&amp;"")</f>
        <v/>
      </c>
      <c r="F427">
        <f>IF($P427="","",INDEX(명단표[연차],$P427)&amp;"")</f>
        <v/>
      </c>
      <c r="G427">
        <f>IF($P427="","",INDEX(명단표[소속병원],$P427))</f>
        <v/>
      </c>
      <c r="H427">
        <f>IF($P427="","",IF(INDEX(명단표[소속병원],$P427)="서울병원","서울 소속","타 병원 소속("&amp;INDEX(명단표[소속병원],$P427)&amp;") → 서울 지급"))</f>
        <v/>
      </c>
      <c r="I427">
        <f>IF($P427="","",INDEX(명단표[현재 근무병원],$P427))</f>
        <v/>
      </c>
      <c r="J427">
        <f>IF($P427="","",INDEX(명단표[구리 근무 시작일(기준월)],$P427)&amp;"")</f>
        <v/>
      </c>
      <c r="K427">
        <f>IF($P427="","",INDEX(명단표[구리 근무 종료일(기준월)],$P427)&amp;"")</f>
        <v/>
      </c>
      <c r="L427">
        <f>IF($P427="","",INDEX(명단표[서울 근무일(기준월)],$P427))</f>
        <v/>
      </c>
      <c r="M427">
        <f>IF($P427="","",INDEX(명단표[구리 근무일(기준월)],$P427))</f>
        <v/>
      </c>
      <c r="N427">
        <f>IF($P427="","",INDEX(명단표[급여 판정 근거],$P427))</f>
        <v/>
      </c>
      <c r="O427">
        <f>IF($P427="","",INDEX(명단표[점검],$P427))</f>
        <v/>
      </c>
      <c r="P427" s="17">
        <f>IFERROR(MATCH(422,명단표[서울순번],0),"")</f>
        <v/>
      </c>
      <c r="R427">
        <f>IF($W427="","",INDEX(명단표[이름],$W427))</f>
        <v/>
      </c>
      <c r="S427">
        <f>IF($W427="","",INDEX(명단표[사번],$W427)&amp;"")</f>
        <v/>
      </c>
      <c r="T427">
        <f>IF($W427="","",INDEX(명단표[소속병원],$W427))</f>
        <v/>
      </c>
      <c r="U427">
        <f>IF($W427="","",INDEX(명단표[서울 근무일(기준월)],$W427))</f>
        <v/>
      </c>
      <c r="V427">
        <f>IF($W427="","",INDEX(명단표[구리 근무일(기준월)],$W427))</f>
        <v/>
      </c>
      <c r="W427" s="17">
        <f>IFERROR(MATCH(422,명단표[판정불가순번],0),"")</f>
        <v/>
      </c>
    </row>
    <row r="428">
      <c r="A428">
        <f>IF($P428="","",423)</f>
        <v/>
      </c>
      <c r="B428">
        <f>IF($P428="","",INDEX(명단표[이름],$P428))</f>
        <v/>
      </c>
      <c r="C428">
        <f>IF($P428="","",INDEX(명단표[사번],$P428)&amp;"")</f>
        <v/>
      </c>
      <c r="D428">
        <f>IF($P428="","",INDEX(명단표[전공의등록번호],$P428)&amp;"")</f>
        <v/>
      </c>
      <c r="E428">
        <f>IF($P428="","",INDEX(명단표[수련과목],$P428)&amp;"")</f>
        <v/>
      </c>
      <c r="F428">
        <f>IF($P428="","",INDEX(명단표[연차],$P428)&amp;"")</f>
        <v/>
      </c>
      <c r="G428">
        <f>IF($P428="","",INDEX(명단표[소속병원],$P428))</f>
        <v/>
      </c>
      <c r="H428">
        <f>IF($P428="","",IF(INDEX(명단표[소속병원],$P428)="서울병원","서울 소속","타 병원 소속("&amp;INDEX(명단표[소속병원],$P428)&amp;") → 서울 지급"))</f>
        <v/>
      </c>
      <c r="I428">
        <f>IF($P428="","",INDEX(명단표[현재 근무병원],$P428))</f>
        <v/>
      </c>
      <c r="J428">
        <f>IF($P428="","",INDEX(명단표[구리 근무 시작일(기준월)],$P428)&amp;"")</f>
        <v/>
      </c>
      <c r="K428">
        <f>IF($P428="","",INDEX(명단표[구리 근무 종료일(기준월)],$P428)&amp;"")</f>
        <v/>
      </c>
      <c r="L428">
        <f>IF($P428="","",INDEX(명단표[서울 근무일(기준월)],$P428))</f>
        <v/>
      </c>
      <c r="M428">
        <f>IF($P428="","",INDEX(명단표[구리 근무일(기준월)],$P428))</f>
        <v/>
      </c>
      <c r="N428">
        <f>IF($P428="","",INDEX(명단표[급여 판정 근거],$P428))</f>
        <v/>
      </c>
      <c r="O428">
        <f>IF($P428="","",INDEX(명단표[점검],$P428))</f>
        <v/>
      </c>
      <c r="P428" s="17">
        <f>IFERROR(MATCH(423,명단표[서울순번],0),"")</f>
        <v/>
      </c>
      <c r="R428">
        <f>IF($W428="","",INDEX(명단표[이름],$W428))</f>
        <v/>
      </c>
      <c r="S428">
        <f>IF($W428="","",INDEX(명단표[사번],$W428)&amp;"")</f>
        <v/>
      </c>
      <c r="T428">
        <f>IF($W428="","",INDEX(명단표[소속병원],$W428))</f>
        <v/>
      </c>
      <c r="U428">
        <f>IF($W428="","",INDEX(명단표[서울 근무일(기준월)],$W428))</f>
        <v/>
      </c>
      <c r="V428">
        <f>IF($W428="","",INDEX(명단표[구리 근무일(기준월)],$W428))</f>
        <v/>
      </c>
      <c r="W428" s="17">
        <f>IFERROR(MATCH(423,명단표[판정불가순번],0),"")</f>
        <v/>
      </c>
    </row>
    <row r="429">
      <c r="A429">
        <f>IF($P429="","",424)</f>
        <v/>
      </c>
      <c r="B429">
        <f>IF($P429="","",INDEX(명단표[이름],$P429))</f>
        <v/>
      </c>
      <c r="C429">
        <f>IF($P429="","",INDEX(명단표[사번],$P429)&amp;"")</f>
        <v/>
      </c>
      <c r="D429">
        <f>IF($P429="","",INDEX(명단표[전공의등록번호],$P429)&amp;"")</f>
        <v/>
      </c>
      <c r="E429">
        <f>IF($P429="","",INDEX(명단표[수련과목],$P429)&amp;"")</f>
        <v/>
      </c>
      <c r="F429">
        <f>IF($P429="","",INDEX(명단표[연차],$P429)&amp;"")</f>
        <v/>
      </c>
      <c r="G429">
        <f>IF($P429="","",INDEX(명단표[소속병원],$P429))</f>
        <v/>
      </c>
      <c r="H429">
        <f>IF($P429="","",IF(INDEX(명단표[소속병원],$P429)="서울병원","서울 소속","타 병원 소속("&amp;INDEX(명단표[소속병원],$P429)&amp;") → 서울 지급"))</f>
        <v/>
      </c>
      <c r="I429">
        <f>IF($P429="","",INDEX(명단표[현재 근무병원],$P429))</f>
        <v/>
      </c>
      <c r="J429">
        <f>IF($P429="","",INDEX(명단표[구리 근무 시작일(기준월)],$P429)&amp;"")</f>
        <v/>
      </c>
      <c r="K429">
        <f>IF($P429="","",INDEX(명단표[구리 근무 종료일(기준월)],$P429)&amp;"")</f>
        <v/>
      </c>
      <c r="L429">
        <f>IF($P429="","",INDEX(명단표[서울 근무일(기준월)],$P429))</f>
        <v/>
      </c>
      <c r="M429">
        <f>IF($P429="","",INDEX(명단표[구리 근무일(기준월)],$P429))</f>
        <v/>
      </c>
      <c r="N429">
        <f>IF($P429="","",INDEX(명단표[급여 판정 근거],$P429))</f>
        <v/>
      </c>
      <c r="O429">
        <f>IF($P429="","",INDEX(명단표[점검],$P429))</f>
        <v/>
      </c>
      <c r="P429" s="17">
        <f>IFERROR(MATCH(424,명단표[서울순번],0),"")</f>
        <v/>
      </c>
      <c r="R429">
        <f>IF($W429="","",INDEX(명단표[이름],$W429))</f>
        <v/>
      </c>
      <c r="S429">
        <f>IF($W429="","",INDEX(명단표[사번],$W429)&amp;"")</f>
        <v/>
      </c>
      <c r="T429">
        <f>IF($W429="","",INDEX(명단표[소속병원],$W429))</f>
        <v/>
      </c>
      <c r="U429">
        <f>IF($W429="","",INDEX(명단표[서울 근무일(기준월)],$W429))</f>
        <v/>
      </c>
      <c r="V429">
        <f>IF($W429="","",INDEX(명단표[구리 근무일(기준월)],$W429))</f>
        <v/>
      </c>
      <c r="W429" s="17">
        <f>IFERROR(MATCH(424,명단표[판정불가순번],0),"")</f>
        <v/>
      </c>
    </row>
    <row r="430">
      <c r="A430">
        <f>IF($P430="","",425)</f>
        <v/>
      </c>
      <c r="B430">
        <f>IF($P430="","",INDEX(명단표[이름],$P430))</f>
        <v/>
      </c>
      <c r="C430">
        <f>IF($P430="","",INDEX(명단표[사번],$P430)&amp;"")</f>
        <v/>
      </c>
      <c r="D430">
        <f>IF($P430="","",INDEX(명단표[전공의등록번호],$P430)&amp;"")</f>
        <v/>
      </c>
      <c r="E430">
        <f>IF($P430="","",INDEX(명단표[수련과목],$P430)&amp;"")</f>
        <v/>
      </c>
      <c r="F430">
        <f>IF($P430="","",INDEX(명단표[연차],$P430)&amp;"")</f>
        <v/>
      </c>
      <c r="G430">
        <f>IF($P430="","",INDEX(명단표[소속병원],$P430))</f>
        <v/>
      </c>
      <c r="H430">
        <f>IF($P430="","",IF(INDEX(명단표[소속병원],$P430)="서울병원","서울 소속","타 병원 소속("&amp;INDEX(명단표[소속병원],$P430)&amp;") → 서울 지급"))</f>
        <v/>
      </c>
      <c r="I430">
        <f>IF($P430="","",INDEX(명단표[현재 근무병원],$P430))</f>
        <v/>
      </c>
      <c r="J430">
        <f>IF($P430="","",INDEX(명단표[구리 근무 시작일(기준월)],$P430)&amp;"")</f>
        <v/>
      </c>
      <c r="K430">
        <f>IF($P430="","",INDEX(명단표[구리 근무 종료일(기준월)],$P430)&amp;"")</f>
        <v/>
      </c>
      <c r="L430">
        <f>IF($P430="","",INDEX(명단표[서울 근무일(기준월)],$P430))</f>
        <v/>
      </c>
      <c r="M430">
        <f>IF($P430="","",INDEX(명단표[구리 근무일(기준월)],$P430))</f>
        <v/>
      </c>
      <c r="N430">
        <f>IF($P430="","",INDEX(명단표[급여 판정 근거],$P430))</f>
        <v/>
      </c>
      <c r="O430">
        <f>IF($P430="","",INDEX(명단표[점검],$P430))</f>
        <v/>
      </c>
      <c r="P430" s="17">
        <f>IFERROR(MATCH(425,명단표[서울순번],0),"")</f>
        <v/>
      </c>
      <c r="R430">
        <f>IF($W430="","",INDEX(명단표[이름],$W430))</f>
        <v/>
      </c>
      <c r="S430">
        <f>IF($W430="","",INDEX(명단표[사번],$W430)&amp;"")</f>
        <v/>
      </c>
      <c r="T430">
        <f>IF($W430="","",INDEX(명단표[소속병원],$W430))</f>
        <v/>
      </c>
      <c r="U430">
        <f>IF($W430="","",INDEX(명단표[서울 근무일(기준월)],$W430))</f>
        <v/>
      </c>
      <c r="V430">
        <f>IF($W430="","",INDEX(명단표[구리 근무일(기준월)],$W430))</f>
        <v/>
      </c>
      <c r="W430" s="17">
        <f>IFERROR(MATCH(425,명단표[판정불가순번],0),"")</f>
        <v/>
      </c>
    </row>
    <row r="431">
      <c r="A431">
        <f>IF($P431="","",426)</f>
        <v/>
      </c>
      <c r="B431">
        <f>IF($P431="","",INDEX(명단표[이름],$P431))</f>
        <v/>
      </c>
      <c r="C431">
        <f>IF($P431="","",INDEX(명단표[사번],$P431)&amp;"")</f>
        <v/>
      </c>
      <c r="D431">
        <f>IF($P431="","",INDEX(명단표[전공의등록번호],$P431)&amp;"")</f>
        <v/>
      </c>
      <c r="E431">
        <f>IF($P431="","",INDEX(명단표[수련과목],$P431)&amp;"")</f>
        <v/>
      </c>
      <c r="F431">
        <f>IF($P431="","",INDEX(명단표[연차],$P431)&amp;"")</f>
        <v/>
      </c>
      <c r="G431">
        <f>IF($P431="","",INDEX(명단표[소속병원],$P431))</f>
        <v/>
      </c>
      <c r="H431">
        <f>IF($P431="","",IF(INDEX(명단표[소속병원],$P431)="서울병원","서울 소속","타 병원 소속("&amp;INDEX(명단표[소속병원],$P431)&amp;") → 서울 지급"))</f>
        <v/>
      </c>
      <c r="I431">
        <f>IF($P431="","",INDEX(명단표[현재 근무병원],$P431))</f>
        <v/>
      </c>
      <c r="J431">
        <f>IF($P431="","",INDEX(명단표[구리 근무 시작일(기준월)],$P431)&amp;"")</f>
        <v/>
      </c>
      <c r="K431">
        <f>IF($P431="","",INDEX(명단표[구리 근무 종료일(기준월)],$P431)&amp;"")</f>
        <v/>
      </c>
      <c r="L431">
        <f>IF($P431="","",INDEX(명단표[서울 근무일(기준월)],$P431))</f>
        <v/>
      </c>
      <c r="M431">
        <f>IF($P431="","",INDEX(명단표[구리 근무일(기준월)],$P431))</f>
        <v/>
      </c>
      <c r="N431">
        <f>IF($P431="","",INDEX(명단표[급여 판정 근거],$P431))</f>
        <v/>
      </c>
      <c r="O431">
        <f>IF($P431="","",INDEX(명단표[점검],$P431))</f>
        <v/>
      </c>
      <c r="P431" s="17">
        <f>IFERROR(MATCH(426,명단표[서울순번],0),"")</f>
        <v/>
      </c>
      <c r="R431">
        <f>IF($W431="","",INDEX(명단표[이름],$W431))</f>
        <v/>
      </c>
      <c r="S431">
        <f>IF($W431="","",INDEX(명단표[사번],$W431)&amp;"")</f>
        <v/>
      </c>
      <c r="T431">
        <f>IF($W431="","",INDEX(명단표[소속병원],$W431))</f>
        <v/>
      </c>
      <c r="U431">
        <f>IF($W431="","",INDEX(명단표[서울 근무일(기준월)],$W431))</f>
        <v/>
      </c>
      <c r="V431">
        <f>IF($W431="","",INDEX(명단표[구리 근무일(기준월)],$W431))</f>
        <v/>
      </c>
      <c r="W431" s="17">
        <f>IFERROR(MATCH(426,명단표[판정불가순번],0),"")</f>
        <v/>
      </c>
    </row>
    <row r="432">
      <c r="A432">
        <f>IF($P432="","",427)</f>
        <v/>
      </c>
      <c r="B432">
        <f>IF($P432="","",INDEX(명단표[이름],$P432))</f>
        <v/>
      </c>
      <c r="C432">
        <f>IF($P432="","",INDEX(명단표[사번],$P432)&amp;"")</f>
        <v/>
      </c>
      <c r="D432">
        <f>IF($P432="","",INDEX(명단표[전공의등록번호],$P432)&amp;"")</f>
        <v/>
      </c>
      <c r="E432">
        <f>IF($P432="","",INDEX(명단표[수련과목],$P432)&amp;"")</f>
        <v/>
      </c>
      <c r="F432">
        <f>IF($P432="","",INDEX(명단표[연차],$P432)&amp;"")</f>
        <v/>
      </c>
      <c r="G432">
        <f>IF($P432="","",INDEX(명단표[소속병원],$P432))</f>
        <v/>
      </c>
      <c r="H432">
        <f>IF($P432="","",IF(INDEX(명단표[소속병원],$P432)="서울병원","서울 소속","타 병원 소속("&amp;INDEX(명단표[소속병원],$P432)&amp;") → 서울 지급"))</f>
        <v/>
      </c>
      <c r="I432">
        <f>IF($P432="","",INDEX(명단표[현재 근무병원],$P432))</f>
        <v/>
      </c>
      <c r="J432">
        <f>IF($P432="","",INDEX(명단표[구리 근무 시작일(기준월)],$P432)&amp;"")</f>
        <v/>
      </c>
      <c r="K432">
        <f>IF($P432="","",INDEX(명단표[구리 근무 종료일(기준월)],$P432)&amp;"")</f>
        <v/>
      </c>
      <c r="L432">
        <f>IF($P432="","",INDEX(명단표[서울 근무일(기준월)],$P432))</f>
        <v/>
      </c>
      <c r="M432">
        <f>IF($P432="","",INDEX(명단표[구리 근무일(기준월)],$P432))</f>
        <v/>
      </c>
      <c r="N432">
        <f>IF($P432="","",INDEX(명단표[급여 판정 근거],$P432))</f>
        <v/>
      </c>
      <c r="O432">
        <f>IF($P432="","",INDEX(명단표[점검],$P432))</f>
        <v/>
      </c>
      <c r="P432" s="17">
        <f>IFERROR(MATCH(427,명단표[서울순번],0),"")</f>
        <v/>
      </c>
      <c r="R432">
        <f>IF($W432="","",INDEX(명단표[이름],$W432))</f>
        <v/>
      </c>
      <c r="S432">
        <f>IF($W432="","",INDEX(명단표[사번],$W432)&amp;"")</f>
        <v/>
      </c>
      <c r="T432">
        <f>IF($W432="","",INDEX(명단표[소속병원],$W432))</f>
        <v/>
      </c>
      <c r="U432">
        <f>IF($W432="","",INDEX(명단표[서울 근무일(기준월)],$W432))</f>
        <v/>
      </c>
      <c r="V432">
        <f>IF($W432="","",INDEX(명단표[구리 근무일(기준월)],$W432))</f>
        <v/>
      </c>
      <c r="W432" s="17">
        <f>IFERROR(MATCH(427,명단표[판정불가순번],0),"")</f>
        <v/>
      </c>
    </row>
    <row r="433">
      <c r="A433">
        <f>IF($P433="","",428)</f>
        <v/>
      </c>
      <c r="B433">
        <f>IF($P433="","",INDEX(명단표[이름],$P433))</f>
        <v/>
      </c>
      <c r="C433">
        <f>IF($P433="","",INDEX(명단표[사번],$P433)&amp;"")</f>
        <v/>
      </c>
      <c r="D433">
        <f>IF($P433="","",INDEX(명단표[전공의등록번호],$P433)&amp;"")</f>
        <v/>
      </c>
      <c r="E433">
        <f>IF($P433="","",INDEX(명단표[수련과목],$P433)&amp;"")</f>
        <v/>
      </c>
      <c r="F433">
        <f>IF($P433="","",INDEX(명단표[연차],$P433)&amp;"")</f>
        <v/>
      </c>
      <c r="G433">
        <f>IF($P433="","",INDEX(명단표[소속병원],$P433))</f>
        <v/>
      </c>
      <c r="H433">
        <f>IF($P433="","",IF(INDEX(명단표[소속병원],$P433)="서울병원","서울 소속","타 병원 소속("&amp;INDEX(명단표[소속병원],$P433)&amp;") → 서울 지급"))</f>
        <v/>
      </c>
      <c r="I433">
        <f>IF($P433="","",INDEX(명단표[현재 근무병원],$P433))</f>
        <v/>
      </c>
      <c r="J433">
        <f>IF($P433="","",INDEX(명단표[구리 근무 시작일(기준월)],$P433)&amp;"")</f>
        <v/>
      </c>
      <c r="K433">
        <f>IF($P433="","",INDEX(명단표[구리 근무 종료일(기준월)],$P433)&amp;"")</f>
        <v/>
      </c>
      <c r="L433">
        <f>IF($P433="","",INDEX(명단표[서울 근무일(기준월)],$P433))</f>
        <v/>
      </c>
      <c r="M433">
        <f>IF($P433="","",INDEX(명단표[구리 근무일(기준월)],$P433))</f>
        <v/>
      </c>
      <c r="N433">
        <f>IF($P433="","",INDEX(명단표[급여 판정 근거],$P433))</f>
        <v/>
      </c>
      <c r="O433">
        <f>IF($P433="","",INDEX(명단표[점검],$P433))</f>
        <v/>
      </c>
      <c r="P433" s="17">
        <f>IFERROR(MATCH(428,명단표[서울순번],0),"")</f>
        <v/>
      </c>
      <c r="R433">
        <f>IF($W433="","",INDEX(명단표[이름],$W433))</f>
        <v/>
      </c>
      <c r="S433">
        <f>IF($W433="","",INDEX(명단표[사번],$W433)&amp;"")</f>
        <v/>
      </c>
      <c r="T433">
        <f>IF($W433="","",INDEX(명단표[소속병원],$W433))</f>
        <v/>
      </c>
      <c r="U433">
        <f>IF($W433="","",INDEX(명단표[서울 근무일(기준월)],$W433))</f>
        <v/>
      </c>
      <c r="V433">
        <f>IF($W433="","",INDEX(명단표[구리 근무일(기준월)],$W433))</f>
        <v/>
      </c>
      <c r="W433" s="17">
        <f>IFERROR(MATCH(428,명단표[판정불가순번],0),"")</f>
        <v/>
      </c>
    </row>
    <row r="434">
      <c r="A434">
        <f>IF($P434="","",429)</f>
        <v/>
      </c>
      <c r="B434">
        <f>IF($P434="","",INDEX(명단표[이름],$P434))</f>
        <v/>
      </c>
      <c r="C434">
        <f>IF($P434="","",INDEX(명단표[사번],$P434)&amp;"")</f>
        <v/>
      </c>
      <c r="D434">
        <f>IF($P434="","",INDEX(명단표[전공의등록번호],$P434)&amp;"")</f>
        <v/>
      </c>
      <c r="E434">
        <f>IF($P434="","",INDEX(명단표[수련과목],$P434)&amp;"")</f>
        <v/>
      </c>
      <c r="F434">
        <f>IF($P434="","",INDEX(명단표[연차],$P434)&amp;"")</f>
        <v/>
      </c>
      <c r="G434">
        <f>IF($P434="","",INDEX(명단표[소속병원],$P434))</f>
        <v/>
      </c>
      <c r="H434">
        <f>IF($P434="","",IF(INDEX(명단표[소속병원],$P434)="서울병원","서울 소속","타 병원 소속("&amp;INDEX(명단표[소속병원],$P434)&amp;") → 서울 지급"))</f>
        <v/>
      </c>
      <c r="I434">
        <f>IF($P434="","",INDEX(명단표[현재 근무병원],$P434))</f>
        <v/>
      </c>
      <c r="J434">
        <f>IF($P434="","",INDEX(명단표[구리 근무 시작일(기준월)],$P434)&amp;"")</f>
        <v/>
      </c>
      <c r="K434">
        <f>IF($P434="","",INDEX(명단표[구리 근무 종료일(기준월)],$P434)&amp;"")</f>
        <v/>
      </c>
      <c r="L434">
        <f>IF($P434="","",INDEX(명단표[서울 근무일(기준월)],$P434))</f>
        <v/>
      </c>
      <c r="M434">
        <f>IF($P434="","",INDEX(명단표[구리 근무일(기준월)],$P434))</f>
        <v/>
      </c>
      <c r="N434">
        <f>IF($P434="","",INDEX(명단표[급여 판정 근거],$P434))</f>
        <v/>
      </c>
      <c r="O434">
        <f>IF($P434="","",INDEX(명단표[점검],$P434))</f>
        <v/>
      </c>
      <c r="P434" s="17">
        <f>IFERROR(MATCH(429,명단표[서울순번],0),"")</f>
        <v/>
      </c>
      <c r="R434">
        <f>IF($W434="","",INDEX(명단표[이름],$W434))</f>
        <v/>
      </c>
      <c r="S434">
        <f>IF($W434="","",INDEX(명단표[사번],$W434)&amp;"")</f>
        <v/>
      </c>
      <c r="T434">
        <f>IF($W434="","",INDEX(명단표[소속병원],$W434))</f>
        <v/>
      </c>
      <c r="U434">
        <f>IF($W434="","",INDEX(명단표[서울 근무일(기준월)],$W434))</f>
        <v/>
      </c>
      <c r="V434">
        <f>IF($W434="","",INDEX(명단표[구리 근무일(기준월)],$W434))</f>
        <v/>
      </c>
      <c r="W434" s="17">
        <f>IFERROR(MATCH(429,명단표[판정불가순번],0),"")</f>
        <v/>
      </c>
    </row>
    <row r="435">
      <c r="A435">
        <f>IF($P435="","",430)</f>
        <v/>
      </c>
      <c r="B435">
        <f>IF($P435="","",INDEX(명단표[이름],$P435))</f>
        <v/>
      </c>
      <c r="C435">
        <f>IF($P435="","",INDEX(명단표[사번],$P435)&amp;"")</f>
        <v/>
      </c>
      <c r="D435">
        <f>IF($P435="","",INDEX(명단표[전공의등록번호],$P435)&amp;"")</f>
        <v/>
      </c>
      <c r="E435">
        <f>IF($P435="","",INDEX(명단표[수련과목],$P435)&amp;"")</f>
        <v/>
      </c>
      <c r="F435">
        <f>IF($P435="","",INDEX(명단표[연차],$P435)&amp;"")</f>
        <v/>
      </c>
      <c r="G435">
        <f>IF($P435="","",INDEX(명단표[소속병원],$P435))</f>
        <v/>
      </c>
      <c r="H435">
        <f>IF($P435="","",IF(INDEX(명단표[소속병원],$P435)="서울병원","서울 소속","타 병원 소속("&amp;INDEX(명단표[소속병원],$P435)&amp;") → 서울 지급"))</f>
        <v/>
      </c>
      <c r="I435">
        <f>IF($P435="","",INDEX(명단표[현재 근무병원],$P435))</f>
        <v/>
      </c>
      <c r="J435">
        <f>IF($P435="","",INDEX(명단표[구리 근무 시작일(기준월)],$P435)&amp;"")</f>
        <v/>
      </c>
      <c r="K435">
        <f>IF($P435="","",INDEX(명단표[구리 근무 종료일(기준월)],$P435)&amp;"")</f>
        <v/>
      </c>
      <c r="L435">
        <f>IF($P435="","",INDEX(명단표[서울 근무일(기준월)],$P435))</f>
        <v/>
      </c>
      <c r="M435">
        <f>IF($P435="","",INDEX(명단표[구리 근무일(기준월)],$P435))</f>
        <v/>
      </c>
      <c r="N435">
        <f>IF($P435="","",INDEX(명단표[급여 판정 근거],$P435))</f>
        <v/>
      </c>
      <c r="O435">
        <f>IF($P435="","",INDEX(명단표[점검],$P435))</f>
        <v/>
      </c>
      <c r="P435" s="17">
        <f>IFERROR(MATCH(430,명단표[서울순번],0),"")</f>
        <v/>
      </c>
      <c r="R435">
        <f>IF($W435="","",INDEX(명단표[이름],$W435))</f>
        <v/>
      </c>
      <c r="S435">
        <f>IF($W435="","",INDEX(명단표[사번],$W435)&amp;"")</f>
        <v/>
      </c>
      <c r="T435">
        <f>IF($W435="","",INDEX(명단표[소속병원],$W435))</f>
        <v/>
      </c>
      <c r="U435">
        <f>IF($W435="","",INDEX(명단표[서울 근무일(기준월)],$W435))</f>
        <v/>
      </c>
      <c r="V435">
        <f>IF($W435="","",INDEX(명단표[구리 근무일(기준월)],$W435))</f>
        <v/>
      </c>
      <c r="W435" s="17">
        <f>IFERROR(MATCH(430,명단표[판정불가순번],0),"")</f>
        <v/>
      </c>
    </row>
    <row r="436">
      <c r="A436">
        <f>IF($P436="","",431)</f>
        <v/>
      </c>
      <c r="B436">
        <f>IF($P436="","",INDEX(명단표[이름],$P436))</f>
        <v/>
      </c>
      <c r="C436">
        <f>IF($P436="","",INDEX(명단표[사번],$P436)&amp;"")</f>
        <v/>
      </c>
      <c r="D436">
        <f>IF($P436="","",INDEX(명단표[전공의등록번호],$P436)&amp;"")</f>
        <v/>
      </c>
      <c r="E436">
        <f>IF($P436="","",INDEX(명단표[수련과목],$P436)&amp;"")</f>
        <v/>
      </c>
      <c r="F436">
        <f>IF($P436="","",INDEX(명단표[연차],$P436)&amp;"")</f>
        <v/>
      </c>
      <c r="G436">
        <f>IF($P436="","",INDEX(명단표[소속병원],$P436))</f>
        <v/>
      </c>
      <c r="H436">
        <f>IF($P436="","",IF(INDEX(명단표[소속병원],$P436)="서울병원","서울 소속","타 병원 소속("&amp;INDEX(명단표[소속병원],$P436)&amp;") → 서울 지급"))</f>
        <v/>
      </c>
      <c r="I436">
        <f>IF($P436="","",INDEX(명단표[현재 근무병원],$P436))</f>
        <v/>
      </c>
      <c r="J436">
        <f>IF($P436="","",INDEX(명단표[구리 근무 시작일(기준월)],$P436)&amp;"")</f>
        <v/>
      </c>
      <c r="K436">
        <f>IF($P436="","",INDEX(명단표[구리 근무 종료일(기준월)],$P436)&amp;"")</f>
        <v/>
      </c>
      <c r="L436">
        <f>IF($P436="","",INDEX(명단표[서울 근무일(기준월)],$P436))</f>
        <v/>
      </c>
      <c r="M436">
        <f>IF($P436="","",INDEX(명단표[구리 근무일(기준월)],$P436))</f>
        <v/>
      </c>
      <c r="N436">
        <f>IF($P436="","",INDEX(명단표[급여 판정 근거],$P436))</f>
        <v/>
      </c>
      <c r="O436">
        <f>IF($P436="","",INDEX(명단표[점검],$P436))</f>
        <v/>
      </c>
      <c r="P436" s="17">
        <f>IFERROR(MATCH(431,명단표[서울순번],0),"")</f>
        <v/>
      </c>
      <c r="R436">
        <f>IF($W436="","",INDEX(명단표[이름],$W436))</f>
        <v/>
      </c>
      <c r="S436">
        <f>IF($W436="","",INDEX(명단표[사번],$W436)&amp;"")</f>
        <v/>
      </c>
      <c r="T436">
        <f>IF($W436="","",INDEX(명단표[소속병원],$W436))</f>
        <v/>
      </c>
      <c r="U436">
        <f>IF($W436="","",INDEX(명단표[서울 근무일(기준월)],$W436))</f>
        <v/>
      </c>
      <c r="V436">
        <f>IF($W436="","",INDEX(명단표[구리 근무일(기준월)],$W436))</f>
        <v/>
      </c>
      <c r="W436" s="17">
        <f>IFERROR(MATCH(431,명단표[판정불가순번],0),"")</f>
        <v/>
      </c>
    </row>
    <row r="437">
      <c r="A437">
        <f>IF($P437="","",432)</f>
        <v/>
      </c>
      <c r="B437">
        <f>IF($P437="","",INDEX(명단표[이름],$P437))</f>
        <v/>
      </c>
      <c r="C437">
        <f>IF($P437="","",INDEX(명단표[사번],$P437)&amp;"")</f>
        <v/>
      </c>
      <c r="D437">
        <f>IF($P437="","",INDEX(명단표[전공의등록번호],$P437)&amp;"")</f>
        <v/>
      </c>
      <c r="E437">
        <f>IF($P437="","",INDEX(명단표[수련과목],$P437)&amp;"")</f>
        <v/>
      </c>
      <c r="F437">
        <f>IF($P437="","",INDEX(명단표[연차],$P437)&amp;"")</f>
        <v/>
      </c>
      <c r="G437">
        <f>IF($P437="","",INDEX(명단표[소속병원],$P437))</f>
        <v/>
      </c>
      <c r="H437">
        <f>IF($P437="","",IF(INDEX(명단표[소속병원],$P437)="서울병원","서울 소속","타 병원 소속("&amp;INDEX(명단표[소속병원],$P437)&amp;") → 서울 지급"))</f>
        <v/>
      </c>
      <c r="I437">
        <f>IF($P437="","",INDEX(명단표[현재 근무병원],$P437))</f>
        <v/>
      </c>
      <c r="J437">
        <f>IF($P437="","",INDEX(명단표[구리 근무 시작일(기준월)],$P437)&amp;"")</f>
        <v/>
      </c>
      <c r="K437">
        <f>IF($P437="","",INDEX(명단표[구리 근무 종료일(기준월)],$P437)&amp;"")</f>
        <v/>
      </c>
      <c r="L437">
        <f>IF($P437="","",INDEX(명단표[서울 근무일(기준월)],$P437))</f>
        <v/>
      </c>
      <c r="M437">
        <f>IF($P437="","",INDEX(명단표[구리 근무일(기준월)],$P437))</f>
        <v/>
      </c>
      <c r="N437">
        <f>IF($P437="","",INDEX(명단표[급여 판정 근거],$P437))</f>
        <v/>
      </c>
      <c r="O437">
        <f>IF($P437="","",INDEX(명단표[점검],$P437))</f>
        <v/>
      </c>
      <c r="P437" s="17">
        <f>IFERROR(MATCH(432,명단표[서울순번],0),"")</f>
        <v/>
      </c>
      <c r="R437">
        <f>IF($W437="","",INDEX(명단표[이름],$W437))</f>
        <v/>
      </c>
      <c r="S437">
        <f>IF($W437="","",INDEX(명단표[사번],$W437)&amp;"")</f>
        <v/>
      </c>
      <c r="T437">
        <f>IF($W437="","",INDEX(명단표[소속병원],$W437))</f>
        <v/>
      </c>
      <c r="U437">
        <f>IF($W437="","",INDEX(명단표[서울 근무일(기준월)],$W437))</f>
        <v/>
      </c>
      <c r="V437">
        <f>IF($W437="","",INDEX(명단표[구리 근무일(기준월)],$W437))</f>
        <v/>
      </c>
      <c r="W437" s="17">
        <f>IFERROR(MATCH(432,명단표[판정불가순번],0),"")</f>
        <v/>
      </c>
    </row>
    <row r="438">
      <c r="A438">
        <f>IF($P438="","",433)</f>
        <v/>
      </c>
      <c r="B438">
        <f>IF($P438="","",INDEX(명단표[이름],$P438))</f>
        <v/>
      </c>
      <c r="C438">
        <f>IF($P438="","",INDEX(명단표[사번],$P438)&amp;"")</f>
        <v/>
      </c>
      <c r="D438">
        <f>IF($P438="","",INDEX(명단표[전공의등록번호],$P438)&amp;"")</f>
        <v/>
      </c>
      <c r="E438">
        <f>IF($P438="","",INDEX(명단표[수련과목],$P438)&amp;"")</f>
        <v/>
      </c>
      <c r="F438">
        <f>IF($P438="","",INDEX(명단표[연차],$P438)&amp;"")</f>
        <v/>
      </c>
      <c r="G438">
        <f>IF($P438="","",INDEX(명단표[소속병원],$P438))</f>
        <v/>
      </c>
      <c r="H438">
        <f>IF($P438="","",IF(INDEX(명단표[소속병원],$P438)="서울병원","서울 소속","타 병원 소속("&amp;INDEX(명단표[소속병원],$P438)&amp;") → 서울 지급"))</f>
        <v/>
      </c>
      <c r="I438">
        <f>IF($P438="","",INDEX(명단표[현재 근무병원],$P438))</f>
        <v/>
      </c>
      <c r="J438">
        <f>IF($P438="","",INDEX(명단표[구리 근무 시작일(기준월)],$P438)&amp;"")</f>
        <v/>
      </c>
      <c r="K438">
        <f>IF($P438="","",INDEX(명단표[구리 근무 종료일(기준월)],$P438)&amp;"")</f>
        <v/>
      </c>
      <c r="L438">
        <f>IF($P438="","",INDEX(명단표[서울 근무일(기준월)],$P438))</f>
        <v/>
      </c>
      <c r="M438">
        <f>IF($P438="","",INDEX(명단표[구리 근무일(기준월)],$P438))</f>
        <v/>
      </c>
      <c r="N438">
        <f>IF($P438="","",INDEX(명단표[급여 판정 근거],$P438))</f>
        <v/>
      </c>
      <c r="O438">
        <f>IF($P438="","",INDEX(명단표[점검],$P438))</f>
        <v/>
      </c>
      <c r="P438" s="17">
        <f>IFERROR(MATCH(433,명단표[서울순번],0),"")</f>
        <v/>
      </c>
      <c r="R438">
        <f>IF($W438="","",INDEX(명단표[이름],$W438))</f>
        <v/>
      </c>
      <c r="S438">
        <f>IF($W438="","",INDEX(명단표[사번],$W438)&amp;"")</f>
        <v/>
      </c>
      <c r="T438">
        <f>IF($W438="","",INDEX(명단표[소속병원],$W438))</f>
        <v/>
      </c>
      <c r="U438">
        <f>IF($W438="","",INDEX(명단표[서울 근무일(기준월)],$W438))</f>
        <v/>
      </c>
      <c r="V438">
        <f>IF($W438="","",INDEX(명단표[구리 근무일(기준월)],$W438))</f>
        <v/>
      </c>
      <c r="W438" s="17">
        <f>IFERROR(MATCH(433,명단표[판정불가순번],0),"")</f>
        <v/>
      </c>
    </row>
    <row r="439">
      <c r="A439">
        <f>IF($P439="","",434)</f>
        <v/>
      </c>
      <c r="B439">
        <f>IF($P439="","",INDEX(명단표[이름],$P439))</f>
        <v/>
      </c>
      <c r="C439">
        <f>IF($P439="","",INDEX(명단표[사번],$P439)&amp;"")</f>
        <v/>
      </c>
      <c r="D439">
        <f>IF($P439="","",INDEX(명단표[전공의등록번호],$P439)&amp;"")</f>
        <v/>
      </c>
      <c r="E439">
        <f>IF($P439="","",INDEX(명단표[수련과목],$P439)&amp;"")</f>
        <v/>
      </c>
      <c r="F439">
        <f>IF($P439="","",INDEX(명단표[연차],$P439)&amp;"")</f>
        <v/>
      </c>
      <c r="G439">
        <f>IF($P439="","",INDEX(명단표[소속병원],$P439))</f>
        <v/>
      </c>
      <c r="H439">
        <f>IF($P439="","",IF(INDEX(명단표[소속병원],$P439)="서울병원","서울 소속","타 병원 소속("&amp;INDEX(명단표[소속병원],$P439)&amp;") → 서울 지급"))</f>
        <v/>
      </c>
      <c r="I439">
        <f>IF($P439="","",INDEX(명단표[현재 근무병원],$P439))</f>
        <v/>
      </c>
      <c r="J439">
        <f>IF($P439="","",INDEX(명단표[구리 근무 시작일(기준월)],$P439)&amp;"")</f>
        <v/>
      </c>
      <c r="K439">
        <f>IF($P439="","",INDEX(명단표[구리 근무 종료일(기준월)],$P439)&amp;"")</f>
        <v/>
      </c>
      <c r="L439">
        <f>IF($P439="","",INDEX(명단표[서울 근무일(기준월)],$P439))</f>
        <v/>
      </c>
      <c r="M439">
        <f>IF($P439="","",INDEX(명단표[구리 근무일(기준월)],$P439))</f>
        <v/>
      </c>
      <c r="N439">
        <f>IF($P439="","",INDEX(명단표[급여 판정 근거],$P439))</f>
        <v/>
      </c>
      <c r="O439">
        <f>IF($P439="","",INDEX(명단표[점검],$P439))</f>
        <v/>
      </c>
      <c r="P439" s="17">
        <f>IFERROR(MATCH(434,명단표[서울순번],0),"")</f>
        <v/>
      </c>
      <c r="R439">
        <f>IF($W439="","",INDEX(명단표[이름],$W439))</f>
        <v/>
      </c>
      <c r="S439">
        <f>IF($W439="","",INDEX(명단표[사번],$W439)&amp;"")</f>
        <v/>
      </c>
      <c r="T439">
        <f>IF($W439="","",INDEX(명단표[소속병원],$W439))</f>
        <v/>
      </c>
      <c r="U439">
        <f>IF($W439="","",INDEX(명단표[서울 근무일(기준월)],$W439))</f>
        <v/>
      </c>
      <c r="V439">
        <f>IF($W439="","",INDEX(명단표[구리 근무일(기준월)],$W439))</f>
        <v/>
      </c>
      <c r="W439" s="17">
        <f>IFERROR(MATCH(434,명단표[판정불가순번],0),"")</f>
        <v/>
      </c>
    </row>
    <row r="440">
      <c r="A440">
        <f>IF($P440="","",435)</f>
        <v/>
      </c>
      <c r="B440">
        <f>IF($P440="","",INDEX(명단표[이름],$P440))</f>
        <v/>
      </c>
      <c r="C440">
        <f>IF($P440="","",INDEX(명단표[사번],$P440)&amp;"")</f>
        <v/>
      </c>
      <c r="D440">
        <f>IF($P440="","",INDEX(명단표[전공의등록번호],$P440)&amp;"")</f>
        <v/>
      </c>
      <c r="E440">
        <f>IF($P440="","",INDEX(명단표[수련과목],$P440)&amp;"")</f>
        <v/>
      </c>
      <c r="F440">
        <f>IF($P440="","",INDEX(명단표[연차],$P440)&amp;"")</f>
        <v/>
      </c>
      <c r="G440">
        <f>IF($P440="","",INDEX(명단표[소속병원],$P440))</f>
        <v/>
      </c>
      <c r="H440">
        <f>IF($P440="","",IF(INDEX(명단표[소속병원],$P440)="서울병원","서울 소속","타 병원 소속("&amp;INDEX(명단표[소속병원],$P440)&amp;") → 서울 지급"))</f>
        <v/>
      </c>
      <c r="I440">
        <f>IF($P440="","",INDEX(명단표[현재 근무병원],$P440))</f>
        <v/>
      </c>
      <c r="J440">
        <f>IF($P440="","",INDEX(명단표[구리 근무 시작일(기준월)],$P440)&amp;"")</f>
        <v/>
      </c>
      <c r="K440">
        <f>IF($P440="","",INDEX(명단표[구리 근무 종료일(기준월)],$P440)&amp;"")</f>
        <v/>
      </c>
      <c r="L440">
        <f>IF($P440="","",INDEX(명단표[서울 근무일(기준월)],$P440))</f>
        <v/>
      </c>
      <c r="M440">
        <f>IF($P440="","",INDEX(명단표[구리 근무일(기준월)],$P440))</f>
        <v/>
      </c>
      <c r="N440">
        <f>IF($P440="","",INDEX(명단표[급여 판정 근거],$P440))</f>
        <v/>
      </c>
      <c r="O440">
        <f>IF($P440="","",INDEX(명단표[점검],$P440))</f>
        <v/>
      </c>
      <c r="P440" s="17">
        <f>IFERROR(MATCH(435,명단표[서울순번],0),"")</f>
        <v/>
      </c>
      <c r="R440">
        <f>IF($W440="","",INDEX(명단표[이름],$W440))</f>
        <v/>
      </c>
      <c r="S440">
        <f>IF($W440="","",INDEX(명단표[사번],$W440)&amp;"")</f>
        <v/>
      </c>
      <c r="T440">
        <f>IF($W440="","",INDEX(명단표[소속병원],$W440))</f>
        <v/>
      </c>
      <c r="U440">
        <f>IF($W440="","",INDEX(명단표[서울 근무일(기준월)],$W440))</f>
        <v/>
      </c>
      <c r="V440">
        <f>IF($W440="","",INDEX(명단표[구리 근무일(기준월)],$W440))</f>
        <v/>
      </c>
      <c r="W440" s="17">
        <f>IFERROR(MATCH(435,명단표[판정불가순번],0),"")</f>
        <v/>
      </c>
    </row>
    <row r="441">
      <c r="A441">
        <f>IF($P441="","",436)</f>
        <v/>
      </c>
      <c r="B441">
        <f>IF($P441="","",INDEX(명단표[이름],$P441))</f>
        <v/>
      </c>
      <c r="C441">
        <f>IF($P441="","",INDEX(명단표[사번],$P441)&amp;"")</f>
        <v/>
      </c>
      <c r="D441">
        <f>IF($P441="","",INDEX(명단표[전공의등록번호],$P441)&amp;"")</f>
        <v/>
      </c>
      <c r="E441">
        <f>IF($P441="","",INDEX(명단표[수련과목],$P441)&amp;"")</f>
        <v/>
      </c>
      <c r="F441">
        <f>IF($P441="","",INDEX(명단표[연차],$P441)&amp;"")</f>
        <v/>
      </c>
      <c r="G441">
        <f>IF($P441="","",INDEX(명단표[소속병원],$P441))</f>
        <v/>
      </c>
      <c r="H441">
        <f>IF($P441="","",IF(INDEX(명단표[소속병원],$P441)="서울병원","서울 소속","타 병원 소속("&amp;INDEX(명단표[소속병원],$P441)&amp;") → 서울 지급"))</f>
        <v/>
      </c>
      <c r="I441">
        <f>IF($P441="","",INDEX(명단표[현재 근무병원],$P441))</f>
        <v/>
      </c>
      <c r="J441">
        <f>IF($P441="","",INDEX(명단표[구리 근무 시작일(기준월)],$P441)&amp;"")</f>
        <v/>
      </c>
      <c r="K441">
        <f>IF($P441="","",INDEX(명단표[구리 근무 종료일(기준월)],$P441)&amp;"")</f>
        <v/>
      </c>
      <c r="L441">
        <f>IF($P441="","",INDEX(명단표[서울 근무일(기준월)],$P441))</f>
        <v/>
      </c>
      <c r="M441">
        <f>IF($P441="","",INDEX(명단표[구리 근무일(기준월)],$P441))</f>
        <v/>
      </c>
      <c r="N441">
        <f>IF($P441="","",INDEX(명단표[급여 판정 근거],$P441))</f>
        <v/>
      </c>
      <c r="O441">
        <f>IF($P441="","",INDEX(명단표[점검],$P441))</f>
        <v/>
      </c>
      <c r="P441" s="17">
        <f>IFERROR(MATCH(436,명단표[서울순번],0),"")</f>
        <v/>
      </c>
      <c r="R441">
        <f>IF($W441="","",INDEX(명단표[이름],$W441))</f>
        <v/>
      </c>
      <c r="S441">
        <f>IF($W441="","",INDEX(명단표[사번],$W441)&amp;"")</f>
        <v/>
      </c>
      <c r="T441">
        <f>IF($W441="","",INDEX(명단표[소속병원],$W441))</f>
        <v/>
      </c>
      <c r="U441">
        <f>IF($W441="","",INDEX(명단표[서울 근무일(기준월)],$W441))</f>
        <v/>
      </c>
      <c r="V441">
        <f>IF($W441="","",INDEX(명단표[구리 근무일(기준월)],$W441))</f>
        <v/>
      </c>
      <c r="W441" s="17">
        <f>IFERROR(MATCH(436,명단표[판정불가순번],0),"")</f>
        <v/>
      </c>
    </row>
    <row r="442">
      <c r="A442">
        <f>IF($P442="","",437)</f>
        <v/>
      </c>
      <c r="B442">
        <f>IF($P442="","",INDEX(명단표[이름],$P442))</f>
        <v/>
      </c>
      <c r="C442">
        <f>IF($P442="","",INDEX(명단표[사번],$P442)&amp;"")</f>
        <v/>
      </c>
      <c r="D442">
        <f>IF($P442="","",INDEX(명단표[전공의등록번호],$P442)&amp;"")</f>
        <v/>
      </c>
      <c r="E442">
        <f>IF($P442="","",INDEX(명단표[수련과목],$P442)&amp;"")</f>
        <v/>
      </c>
      <c r="F442">
        <f>IF($P442="","",INDEX(명단표[연차],$P442)&amp;"")</f>
        <v/>
      </c>
      <c r="G442">
        <f>IF($P442="","",INDEX(명단표[소속병원],$P442))</f>
        <v/>
      </c>
      <c r="H442">
        <f>IF($P442="","",IF(INDEX(명단표[소속병원],$P442)="서울병원","서울 소속","타 병원 소속("&amp;INDEX(명단표[소속병원],$P442)&amp;") → 서울 지급"))</f>
        <v/>
      </c>
      <c r="I442">
        <f>IF($P442="","",INDEX(명단표[현재 근무병원],$P442))</f>
        <v/>
      </c>
      <c r="J442">
        <f>IF($P442="","",INDEX(명단표[구리 근무 시작일(기준월)],$P442)&amp;"")</f>
        <v/>
      </c>
      <c r="K442">
        <f>IF($P442="","",INDEX(명단표[구리 근무 종료일(기준월)],$P442)&amp;"")</f>
        <v/>
      </c>
      <c r="L442">
        <f>IF($P442="","",INDEX(명단표[서울 근무일(기준월)],$P442))</f>
        <v/>
      </c>
      <c r="M442">
        <f>IF($P442="","",INDEX(명단표[구리 근무일(기준월)],$P442))</f>
        <v/>
      </c>
      <c r="N442">
        <f>IF($P442="","",INDEX(명단표[급여 판정 근거],$P442))</f>
        <v/>
      </c>
      <c r="O442">
        <f>IF($P442="","",INDEX(명단표[점검],$P442))</f>
        <v/>
      </c>
      <c r="P442" s="17">
        <f>IFERROR(MATCH(437,명단표[서울순번],0),"")</f>
        <v/>
      </c>
      <c r="R442">
        <f>IF($W442="","",INDEX(명단표[이름],$W442))</f>
        <v/>
      </c>
      <c r="S442">
        <f>IF($W442="","",INDEX(명단표[사번],$W442)&amp;"")</f>
        <v/>
      </c>
      <c r="T442">
        <f>IF($W442="","",INDEX(명단표[소속병원],$W442))</f>
        <v/>
      </c>
      <c r="U442">
        <f>IF($W442="","",INDEX(명단표[서울 근무일(기준월)],$W442))</f>
        <v/>
      </c>
      <c r="V442">
        <f>IF($W442="","",INDEX(명단표[구리 근무일(기준월)],$W442))</f>
        <v/>
      </c>
      <c r="W442" s="17">
        <f>IFERROR(MATCH(437,명단표[판정불가순번],0),"")</f>
        <v/>
      </c>
    </row>
    <row r="443">
      <c r="A443">
        <f>IF($P443="","",438)</f>
        <v/>
      </c>
      <c r="B443">
        <f>IF($P443="","",INDEX(명단표[이름],$P443))</f>
        <v/>
      </c>
      <c r="C443">
        <f>IF($P443="","",INDEX(명단표[사번],$P443)&amp;"")</f>
        <v/>
      </c>
      <c r="D443">
        <f>IF($P443="","",INDEX(명단표[전공의등록번호],$P443)&amp;"")</f>
        <v/>
      </c>
      <c r="E443">
        <f>IF($P443="","",INDEX(명단표[수련과목],$P443)&amp;"")</f>
        <v/>
      </c>
      <c r="F443">
        <f>IF($P443="","",INDEX(명단표[연차],$P443)&amp;"")</f>
        <v/>
      </c>
      <c r="G443">
        <f>IF($P443="","",INDEX(명단표[소속병원],$P443))</f>
        <v/>
      </c>
      <c r="H443">
        <f>IF($P443="","",IF(INDEX(명단표[소속병원],$P443)="서울병원","서울 소속","타 병원 소속("&amp;INDEX(명단표[소속병원],$P443)&amp;") → 서울 지급"))</f>
        <v/>
      </c>
      <c r="I443">
        <f>IF($P443="","",INDEX(명단표[현재 근무병원],$P443))</f>
        <v/>
      </c>
      <c r="J443">
        <f>IF($P443="","",INDEX(명단표[구리 근무 시작일(기준월)],$P443)&amp;"")</f>
        <v/>
      </c>
      <c r="K443">
        <f>IF($P443="","",INDEX(명단표[구리 근무 종료일(기준월)],$P443)&amp;"")</f>
        <v/>
      </c>
      <c r="L443">
        <f>IF($P443="","",INDEX(명단표[서울 근무일(기준월)],$P443))</f>
        <v/>
      </c>
      <c r="M443">
        <f>IF($P443="","",INDEX(명단표[구리 근무일(기준월)],$P443))</f>
        <v/>
      </c>
      <c r="N443">
        <f>IF($P443="","",INDEX(명단표[급여 판정 근거],$P443))</f>
        <v/>
      </c>
      <c r="O443">
        <f>IF($P443="","",INDEX(명단표[점검],$P443))</f>
        <v/>
      </c>
      <c r="P443" s="17">
        <f>IFERROR(MATCH(438,명단표[서울순번],0),"")</f>
        <v/>
      </c>
      <c r="R443">
        <f>IF($W443="","",INDEX(명단표[이름],$W443))</f>
        <v/>
      </c>
      <c r="S443">
        <f>IF($W443="","",INDEX(명단표[사번],$W443)&amp;"")</f>
        <v/>
      </c>
      <c r="T443">
        <f>IF($W443="","",INDEX(명단표[소속병원],$W443))</f>
        <v/>
      </c>
      <c r="U443">
        <f>IF($W443="","",INDEX(명단표[서울 근무일(기준월)],$W443))</f>
        <v/>
      </c>
      <c r="V443">
        <f>IF($W443="","",INDEX(명단표[구리 근무일(기준월)],$W443))</f>
        <v/>
      </c>
      <c r="W443" s="17">
        <f>IFERROR(MATCH(438,명단표[판정불가순번],0),"")</f>
        <v/>
      </c>
    </row>
    <row r="444">
      <c r="A444">
        <f>IF($P444="","",439)</f>
        <v/>
      </c>
      <c r="B444">
        <f>IF($P444="","",INDEX(명단표[이름],$P444))</f>
        <v/>
      </c>
      <c r="C444">
        <f>IF($P444="","",INDEX(명단표[사번],$P444)&amp;"")</f>
        <v/>
      </c>
      <c r="D444">
        <f>IF($P444="","",INDEX(명단표[전공의등록번호],$P444)&amp;"")</f>
        <v/>
      </c>
      <c r="E444">
        <f>IF($P444="","",INDEX(명단표[수련과목],$P444)&amp;"")</f>
        <v/>
      </c>
      <c r="F444">
        <f>IF($P444="","",INDEX(명단표[연차],$P444)&amp;"")</f>
        <v/>
      </c>
      <c r="G444">
        <f>IF($P444="","",INDEX(명단표[소속병원],$P444))</f>
        <v/>
      </c>
      <c r="H444">
        <f>IF($P444="","",IF(INDEX(명단표[소속병원],$P444)="서울병원","서울 소속","타 병원 소속("&amp;INDEX(명단표[소속병원],$P444)&amp;") → 서울 지급"))</f>
        <v/>
      </c>
      <c r="I444">
        <f>IF($P444="","",INDEX(명단표[현재 근무병원],$P444))</f>
        <v/>
      </c>
      <c r="J444">
        <f>IF($P444="","",INDEX(명단표[구리 근무 시작일(기준월)],$P444)&amp;"")</f>
        <v/>
      </c>
      <c r="K444">
        <f>IF($P444="","",INDEX(명단표[구리 근무 종료일(기준월)],$P444)&amp;"")</f>
        <v/>
      </c>
      <c r="L444">
        <f>IF($P444="","",INDEX(명단표[서울 근무일(기준월)],$P444))</f>
        <v/>
      </c>
      <c r="M444">
        <f>IF($P444="","",INDEX(명단표[구리 근무일(기준월)],$P444))</f>
        <v/>
      </c>
      <c r="N444">
        <f>IF($P444="","",INDEX(명단표[급여 판정 근거],$P444))</f>
        <v/>
      </c>
      <c r="O444">
        <f>IF($P444="","",INDEX(명단표[점검],$P444))</f>
        <v/>
      </c>
      <c r="P444" s="17">
        <f>IFERROR(MATCH(439,명단표[서울순번],0),"")</f>
        <v/>
      </c>
      <c r="R444">
        <f>IF($W444="","",INDEX(명단표[이름],$W444))</f>
        <v/>
      </c>
      <c r="S444">
        <f>IF($W444="","",INDEX(명단표[사번],$W444)&amp;"")</f>
        <v/>
      </c>
      <c r="T444">
        <f>IF($W444="","",INDEX(명단표[소속병원],$W444))</f>
        <v/>
      </c>
      <c r="U444">
        <f>IF($W444="","",INDEX(명단표[서울 근무일(기준월)],$W444))</f>
        <v/>
      </c>
      <c r="V444">
        <f>IF($W444="","",INDEX(명단표[구리 근무일(기준월)],$W444))</f>
        <v/>
      </c>
      <c r="W444" s="17">
        <f>IFERROR(MATCH(439,명단표[판정불가순번],0),"")</f>
        <v/>
      </c>
    </row>
    <row r="445">
      <c r="A445">
        <f>IF($P445="","",440)</f>
        <v/>
      </c>
      <c r="B445">
        <f>IF($P445="","",INDEX(명단표[이름],$P445))</f>
        <v/>
      </c>
      <c r="C445">
        <f>IF($P445="","",INDEX(명단표[사번],$P445)&amp;"")</f>
        <v/>
      </c>
      <c r="D445">
        <f>IF($P445="","",INDEX(명단표[전공의등록번호],$P445)&amp;"")</f>
        <v/>
      </c>
      <c r="E445">
        <f>IF($P445="","",INDEX(명단표[수련과목],$P445)&amp;"")</f>
        <v/>
      </c>
      <c r="F445">
        <f>IF($P445="","",INDEX(명단표[연차],$P445)&amp;"")</f>
        <v/>
      </c>
      <c r="G445">
        <f>IF($P445="","",INDEX(명단표[소속병원],$P445))</f>
        <v/>
      </c>
      <c r="H445">
        <f>IF($P445="","",IF(INDEX(명단표[소속병원],$P445)="서울병원","서울 소속","타 병원 소속("&amp;INDEX(명단표[소속병원],$P445)&amp;") → 서울 지급"))</f>
        <v/>
      </c>
      <c r="I445">
        <f>IF($P445="","",INDEX(명단표[현재 근무병원],$P445))</f>
        <v/>
      </c>
      <c r="J445">
        <f>IF($P445="","",INDEX(명단표[구리 근무 시작일(기준월)],$P445)&amp;"")</f>
        <v/>
      </c>
      <c r="K445">
        <f>IF($P445="","",INDEX(명단표[구리 근무 종료일(기준월)],$P445)&amp;"")</f>
        <v/>
      </c>
      <c r="L445">
        <f>IF($P445="","",INDEX(명단표[서울 근무일(기준월)],$P445))</f>
        <v/>
      </c>
      <c r="M445">
        <f>IF($P445="","",INDEX(명단표[구리 근무일(기준월)],$P445))</f>
        <v/>
      </c>
      <c r="N445">
        <f>IF($P445="","",INDEX(명단표[급여 판정 근거],$P445))</f>
        <v/>
      </c>
      <c r="O445">
        <f>IF($P445="","",INDEX(명단표[점검],$P445))</f>
        <v/>
      </c>
      <c r="P445" s="17">
        <f>IFERROR(MATCH(440,명단표[서울순번],0),"")</f>
        <v/>
      </c>
      <c r="R445">
        <f>IF($W445="","",INDEX(명단표[이름],$W445))</f>
        <v/>
      </c>
      <c r="S445">
        <f>IF($W445="","",INDEX(명단표[사번],$W445)&amp;"")</f>
        <v/>
      </c>
      <c r="T445">
        <f>IF($W445="","",INDEX(명단표[소속병원],$W445))</f>
        <v/>
      </c>
      <c r="U445">
        <f>IF($W445="","",INDEX(명단표[서울 근무일(기준월)],$W445))</f>
        <v/>
      </c>
      <c r="V445">
        <f>IF($W445="","",INDEX(명단표[구리 근무일(기준월)],$W445))</f>
        <v/>
      </c>
      <c r="W445" s="17">
        <f>IFERROR(MATCH(440,명단표[판정불가순번],0),"")</f>
        <v/>
      </c>
    </row>
    <row r="446">
      <c r="A446">
        <f>IF($P446="","",441)</f>
        <v/>
      </c>
      <c r="B446">
        <f>IF($P446="","",INDEX(명단표[이름],$P446))</f>
        <v/>
      </c>
      <c r="C446">
        <f>IF($P446="","",INDEX(명단표[사번],$P446)&amp;"")</f>
        <v/>
      </c>
      <c r="D446">
        <f>IF($P446="","",INDEX(명단표[전공의등록번호],$P446)&amp;"")</f>
        <v/>
      </c>
      <c r="E446">
        <f>IF($P446="","",INDEX(명단표[수련과목],$P446)&amp;"")</f>
        <v/>
      </c>
      <c r="F446">
        <f>IF($P446="","",INDEX(명단표[연차],$P446)&amp;"")</f>
        <v/>
      </c>
      <c r="G446">
        <f>IF($P446="","",INDEX(명단표[소속병원],$P446))</f>
        <v/>
      </c>
      <c r="H446">
        <f>IF($P446="","",IF(INDEX(명단표[소속병원],$P446)="서울병원","서울 소속","타 병원 소속("&amp;INDEX(명단표[소속병원],$P446)&amp;") → 서울 지급"))</f>
        <v/>
      </c>
      <c r="I446">
        <f>IF($P446="","",INDEX(명단표[현재 근무병원],$P446))</f>
        <v/>
      </c>
      <c r="J446">
        <f>IF($P446="","",INDEX(명단표[구리 근무 시작일(기준월)],$P446)&amp;"")</f>
        <v/>
      </c>
      <c r="K446">
        <f>IF($P446="","",INDEX(명단표[구리 근무 종료일(기준월)],$P446)&amp;"")</f>
        <v/>
      </c>
      <c r="L446">
        <f>IF($P446="","",INDEX(명단표[서울 근무일(기준월)],$P446))</f>
        <v/>
      </c>
      <c r="M446">
        <f>IF($P446="","",INDEX(명단표[구리 근무일(기준월)],$P446))</f>
        <v/>
      </c>
      <c r="N446">
        <f>IF($P446="","",INDEX(명단표[급여 판정 근거],$P446))</f>
        <v/>
      </c>
      <c r="O446">
        <f>IF($P446="","",INDEX(명단표[점검],$P446))</f>
        <v/>
      </c>
      <c r="P446" s="17">
        <f>IFERROR(MATCH(441,명단표[서울순번],0),"")</f>
        <v/>
      </c>
      <c r="R446">
        <f>IF($W446="","",INDEX(명단표[이름],$W446))</f>
        <v/>
      </c>
      <c r="S446">
        <f>IF($W446="","",INDEX(명단표[사번],$W446)&amp;"")</f>
        <v/>
      </c>
      <c r="T446">
        <f>IF($W446="","",INDEX(명단표[소속병원],$W446))</f>
        <v/>
      </c>
      <c r="U446">
        <f>IF($W446="","",INDEX(명단표[서울 근무일(기준월)],$W446))</f>
        <v/>
      </c>
      <c r="V446">
        <f>IF($W446="","",INDEX(명단표[구리 근무일(기준월)],$W446))</f>
        <v/>
      </c>
      <c r="W446" s="17">
        <f>IFERROR(MATCH(441,명단표[판정불가순번],0),"")</f>
        <v/>
      </c>
    </row>
    <row r="447">
      <c r="A447">
        <f>IF($P447="","",442)</f>
        <v/>
      </c>
      <c r="B447">
        <f>IF($P447="","",INDEX(명단표[이름],$P447))</f>
        <v/>
      </c>
      <c r="C447">
        <f>IF($P447="","",INDEX(명단표[사번],$P447)&amp;"")</f>
        <v/>
      </c>
      <c r="D447">
        <f>IF($P447="","",INDEX(명단표[전공의등록번호],$P447)&amp;"")</f>
        <v/>
      </c>
      <c r="E447">
        <f>IF($P447="","",INDEX(명단표[수련과목],$P447)&amp;"")</f>
        <v/>
      </c>
      <c r="F447">
        <f>IF($P447="","",INDEX(명단표[연차],$P447)&amp;"")</f>
        <v/>
      </c>
      <c r="G447">
        <f>IF($P447="","",INDEX(명단표[소속병원],$P447))</f>
        <v/>
      </c>
      <c r="H447">
        <f>IF($P447="","",IF(INDEX(명단표[소속병원],$P447)="서울병원","서울 소속","타 병원 소속("&amp;INDEX(명단표[소속병원],$P447)&amp;") → 서울 지급"))</f>
        <v/>
      </c>
      <c r="I447">
        <f>IF($P447="","",INDEX(명단표[현재 근무병원],$P447))</f>
        <v/>
      </c>
      <c r="J447">
        <f>IF($P447="","",INDEX(명단표[구리 근무 시작일(기준월)],$P447)&amp;"")</f>
        <v/>
      </c>
      <c r="K447">
        <f>IF($P447="","",INDEX(명단표[구리 근무 종료일(기준월)],$P447)&amp;"")</f>
        <v/>
      </c>
      <c r="L447">
        <f>IF($P447="","",INDEX(명단표[서울 근무일(기준월)],$P447))</f>
        <v/>
      </c>
      <c r="M447">
        <f>IF($P447="","",INDEX(명단표[구리 근무일(기준월)],$P447))</f>
        <v/>
      </c>
      <c r="N447">
        <f>IF($P447="","",INDEX(명단표[급여 판정 근거],$P447))</f>
        <v/>
      </c>
      <c r="O447">
        <f>IF($P447="","",INDEX(명단표[점검],$P447))</f>
        <v/>
      </c>
      <c r="P447" s="17">
        <f>IFERROR(MATCH(442,명단표[서울순번],0),"")</f>
        <v/>
      </c>
      <c r="R447">
        <f>IF($W447="","",INDEX(명단표[이름],$W447))</f>
        <v/>
      </c>
      <c r="S447">
        <f>IF($W447="","",INDEX(명단표[사번],$W447)&amp;"")</f>
        <v/>
      </c>
      <c r="T447">
        <f>IF($W447="","",INDEX(명단표[소속병원],$W447))</f>
        <v/>
      </c>
      <c r="U447">
        <f>IF($W447="","",INDEX(명단표[서울 근무일(기준월)],$W447))</f>
        <v/>
      </c>
      <c r="V447">
        <f>IF($W447="","",INDEX(명단표[구리 근무일(기준월)],$W447))</f>
        <v/>
      </c>
      <c r="W447" s="17">
        <f>IFERROR(MATCH(442,명단표[판정불가순번],0),"")</f>
        <v/>
      </c>
    </row>
    <row r="448">
      <c r="A448">
        <f>IF($P448="","",443)</f>
        <v/>
      </c>
      <c r="B448">
        <f>IF($P448="","",INDEX(명단표[이름],$P448))</f>
        <v/>
      </c>
      <c r="C448">
        <f>IF($P448="","",INDEX(명단표[사번],$P448)&amp;"")</f>
        <v/>
      </c>
      <c r="D448">
        <f>IF($P448="","",INDEX(명단표[전공의등록번호],$P448)&amp;"")</f>
        <v/>
      </c>
      <c r="E448">
        <f>IF($P448="","",INDEX(명단표[수련과목],$P448)&amp;"")</f>
        <v/>
      </c>
      <c r="F448">
        <f>IF($P448="","",INDEX(명단표[연차],$P448)&amp;"")</f>
        <v/>
      </c>
      <c r="G448">
        <f>IF($P448="","",INDEX(명단표[소속병원],$P448))</f>
        <v/>
      </c>
      <c r="H448">
        <f>IF($P448="","",IF(INDEX(명단표[소속병원],$P448)="서울병원","서울 소속","타 병원 소속("&amp;INDEX(명단표[소속병원],$P448)&amp;") → 서울 지급"))</f>
        <v/>
      </c>
      <c r="I448">
        <f>IF($P448="","",INDEX(명단표[현재 근무병원],$P448))</f>
        <v/>
      </c>
      <c r="J448">
        <f>IF($P448="","",INDEX(명단표[구리 근무 시작일(기준월)],$P448)&amp;"")</f>
        <v/>
      </c>
      <c r="K448">
        <f>IF($P448="","",INDEX(명단표[구리 근무 종료일(기준월)],$P448)&amp;"")</f>
        <v/>
      </c>
      <c r="L448">
        <f>IF($P448="","",INDEX(명단표[서울 근무일(기준월)],$P448))</f>
        <v/>
      </c>
      <c r="M448">
        <f>IF($P448="","",INDEX(명단표[구리 근무일(기준월)],$P448))</f>
        <v/>
      </c>
      <c r="N448">
        <f>IF($P448="","",INDEX(명단표[급여 판정 근거],$P448))</f>
        <v/>
      </c>
      <c r="O448">
        <f>IF($P448="","",INDEX(명단표[점검],$P448))</f>
        <v/>
      </c>
      <c r="P448" s="17">
        <f>IFERROR(MATCH(443,명단표[서울순번],0),"")</f>
        <v/>
      </c>
      <c r="R448">
        <f>IF($W448="","",INDEX(명단표[이름],$W448))</f>
        <v/>
      </c>
      <c r="S448">
        <f>IF($W448="","",INDEX(명단표[사번],$W448)&amp;"")</f>
        <v/>
      </c>
      <c r="T448">
        <f>IF($W448="","",INDEX(명단표[소속병원],$W448))</f>
        <v/>
      </c>
      <c r="U448">
        <f>IF($W448="","",INDEX(명단표[서울 근무일(기준월)],$W448))</f>
        <v/>
      </c>
      <c r="V448">
        <f>IF($W448="","",INDEX(명단표[구리 근무일(기준월)],$W448))</f>
        <v/>
      </c>
      <c r="W448" s="17">
        <f>IFERROR(MATCH(443,명단표[판정불가순번],0),"")</f>
        <v/>
      </c>
    </row>
    <row r="449">
      <c r="A449">
        <f>IF($P449="","",444)</f>
        <v/>
      </c>
      <c r="B449">
        <f>IF($P449="","",INDEX(명단표[이름],$P449))</f>
        <v/>
      </c>
      <c r="C449">
        <f>IF($P449="","",INDEX(명단표[사번],$P449)&amp;"")</f>
        <v/>
      </c>
      <c r="D449">
        <f>IF($P449="","",INDEX(명단표[전공의등록번호],$P449)&amp;"")</f>
        <v/>
      </c>
      <c r="E449">
        <f>IF($P449="","",INDEX(명단표[수련과목],$P449)&amp;"")</f>
        <v/>
      </c>
      <c r="F449">
        <f>IF($P449="","",INDEX(명단표[연차],$P449)&amp;"")</f>
        <v/>
      </c>
      <c r="G449">
        <f>IF($P449="","",INDEX(명단표[소속병원],$P449))</f>
        <v/>
      </c>
      <c r="H449">
        <f>IF($P449="","",IF(INDEX(명단표[소속병원],$P449)="서울병원","서울 소속","타 병원 소속("&amp;INDEX(명단표[소속병원],$P449)&amp;") → 서울 지급"))</f>
        <v/>
      </c>
      <c r="I449">
        <f>IF($P449="","",INDEX(명단표[현재 근무병원],$P449))</f>
        <v/>
      </c>
      <c r="J449">
        <f>IF($P449="","",INDEX(명단표[구리 근무 시작일(기준월)],$P449)&amp;"")</f>
        <v/>
      </c>
      <c r="K449">
        <f>IF($P449="","",INDEX(명단표[구리 근무 종료일(기준월)],$P449)&amp;"")</f>
        <v/>
      </c>
      <c r="L449">
        <f>IF($P449="","",INDEX(명단표[서울 근무일(기준월)],$P449))</f>
        <v/>
      </c>
      <c r="M449">
        <f>IF($P449="","",INDEX(명단표[구리 근무일(기준월)],$P449))</f>
        <v/>
      </c>
      <c r="N449">
        <f>IF($P449="","",INDEX(명단표[급여 판정 근거],$P449))</f>
        <v/>
      </c>
      <c r="O449">
        <f>IF($P449="","",INDEX(명단표[점검],$P449))</f>
        <v/>
      </c>
      <c r="P449" s="17">
        <f>IFERROR(MATCH(444,명단표[서울순번],0),"")</f>
        <v/>
      </c>
      <c r="R449">
        <f>IF($W449="","",INDEX(명단표[이름],$W449))</f>
        <v/>
      </c>
      <c r="S449">
        <f>IF($W449="","",INDEX(명단표[사번],$W449)&amp;"")</f>
        <v/>
      </c>
      <c r="T449">
        <f>IF($W449="","",INDEX(명단표[소속병원],$W449))</f>
        <v/>
      </c>
      <c r="U449">
        <f>IF($W449="","",INDEX(명단표[서울 근무일(기준월)],$W449))</f>
        <v/>
      </c>
      <c r="V449">
        <f>IF($W449="","",INDEX(명단표[구리 근무일(기준월)],$W449))</f>
        <v/>
      </c>
      <c r="W449" s="17">
        <f>IFERROR(MATCH(444,명단표[판정불가순번],0),"")</f>
        <v/>
      </c>
    </row>
    <row r="450">
      <c r="A450">
        <f>IF($P450="","",445)</f>
        <v/>
      </c>
      <c r="B450">
        <f>IF($P450="","",INDEX(명단표[이름],$P450))</f>
        <v/>
      </c>
      <c r="C450">
        <f>IF($P450="","",INDEX(명단표[사번],$P450)&amp;"")</f>
        <v/>
      </c>
      <c r="D450">
        <f>IF($P450="","",INDEX(명단표[전공의등록번호],$P450)&amp;"")</f>
        <v/>
      </c>
      <c r="E450">
        <f>IF($P450="","",INDEX(명단표[수련과목],$P450)&amp;"")</f>
        <v/>
      </c>
      <c r="F450">
        <f>IF($P450="","",INDEX(명단표[연차],$P450)&amp;"")</f>
        <v/>
      </c>
      <c r="G450">
        <f>IF($P450="","",INDEX(명단표[소속병원],$P450))</f>
        <v/>
      </c>
      <c r="H450">
        <f>IF($P450="","",IF(INDEX(명단표[소속병원],$P450)="서울병원","서울 소속","타 병원 소속("&amp;INDEX(명단표[소속병원],$P450)&amp;") → 서울 지급"))</f>
        <v/>
      </c>
      <c r="I450">
        <f>IF($P450="","",INDEX(명단표[현재 근무병원],$P450))</f>
        <v/>
      </c>
      <c r="J450">
        <f>IF($P450="","",INDEX(명단표[구리 근무 시작일(기준월)],$P450)&amp;"")</f>
        <v/>
      </c>
      <c r="K450">
        <f>IF($P450="","",INDEX(명단표[구리 근무 종료일(기준월)],$P450)&amp;"")</f>
        <v/>
      </c>
      <c r="L450">
        <f>IF($P450="","",INDEX(명단표[서울 근무일(기준월)],$P450))</f>
        <v/>
      </c>
      <c r="M450">
        <f>IF($P450="","",INDEX(명단표[구리 근무일(기준월)],$P450))</f>
        <v/>
      </c>
      <c r="N450">
        <f>IF($P450="","",INDEX(명단표[급여 판정 근거],$P450))</f>
        <v/>
      </c>
      <c r="O450">
        <f>IF($P450="","",INDEX(명단표[점검],$P450))</f>
        <v/>
      </c>
      <c r="P450" s="17">
        <f>IFERROR(MATCH(445,명단표[서울순번],0),"")</f>
        <v/>
      </c>
      <c r="R450">
        <f>IF($W450="","",INDEX(명단표[이름],$W450))</f>
        <v/>
      </c>
      <c r="S450">
        <f>IF($W450="","",INDEX(명단표[사번],$W450)&amp;"")</f>
        <v/>
      </c>
      <c r="T450">
        <f>IF($W450="","",INDEX(명단표[소속병원],$W450))</f>
        <v/>
      </c>
      <c r="U450">
        <f>IF($W450="","",INDEX(명단표[서울 근무일(기준월)],$W450))</f>
        <v/>
      </c>
      <c r="V450">
        <f>IF($W450="","",INDEX(명단표[구리 근무일(기준월)],$W450))</f>
        <v/>
      </c>
      <c r="W450" s="17">
        <f>IFERROR(MATCH(445,명단표[판정불가순번],0),"")</f>
        <v/>
      </c>
    </row>
    <row r="451">
      <c r="A451">
        <f>IF($P451="","",446)</f>
        <v/>
      </c>
      <c r="B451">
        <f>IF($P451="","",INDEX(명단표[이름],$P451))</f>
        <v/>
      </c>
      <c r="C451">
        <f>IF($P451="","",INDEX(명단표[사번],$P451)&amp;"")</f>
        <v/>
      </c>
      <c r="D451">
        <f>IF($P451="","",INDEX(명단표[전공의등록번호],$P451)&amp;"")</f>
        <v/>
      </c>
      <c r="E451">
        <f>IF($P451="","",INDEX(명단표[수련과목],$P451)&amp;"")</f>
        <v/>
      </c>
      <c r="F451">
        <f>IF($P451="","",INDEX(명단표[연차],$P451)&amp;"")</f>
        <v/>
      </c>
      <c r="G451">
        <f>IF($P451="","",INDEX(명단표[소속병원],$P451))</f>
        <v/>
      </c>
      <c r="H451">
        <f>IF($P451="","",IF(INDEX(명단표[소속병원],$P451)="서울병원","서울 소속","타 병원 소속("&amp;INDEX(명단표[소속병원],$P451)&amp;") → 서울 지급"))</f>
        <v/>
      </c>
      <c r="I451">
        <f>IF($P451="","",INDEX(명단표[현재 근무병원],$P451))</f>
        <v/>
      </c>
      <c r="J451">
        <f>IF($P451="","",INDEX(명단표[구리 근무 시작일(기준월)],$P451)&amp;"")</f>
        <v/>
      </c>
      <c r="K451">
        <f>IF($P451="","",INDEX(명단표[구리 근무 종료일(기준월)],$P451)&amp;"")</f>
        <v/>
      </c>
      <c r="L451">
        <f>IF($P451="","",INDEX(명단표[서울 근무일(기준월)],$P451))</f>
        <v/>
      </c>
      <c r="M451">
        <f>IF($P451="","",INDEX(명단표[구리 근무일(기준월)],$P451))</f>
        <v/>
      </c>
      <c r="N451">
        <f>IF($P451="","",INDEX(명단표[급여 판정 근거],$P451))</f>
        <v/>
      </c>
      <c r="O451">
        <f>IF($P451="","",INDEX(명단표[점검],$P451))</f>
        <v/>
      </c>
      <c r="P451" s="17">
        <f>IFERROR(MATCH(446,명단표[서울순번],0),"")</f>
        <v/>
      </c>
      <c r="R451">
        <f>IF($W451="","",INDEX(명단표[이름],$W451))</f>
        <v/>
      </c>
      <c r="S451">
        <f>IF($W451="","",INDEX(명단표[사번],$W451)&amp;"")</f>
        <v/>
      </c>
      <c r="T451">
        <f>IF($W451="","",INDEX(명단표[소속병원],$W451))</f>
        <v/>
      </c>
      <c r="U451">
        <f>IF($W451="","",INDEX(명단표[서울 근무일(기준월)],$W451))</f>
        <v/>
      </c>
      <c r="V451">
        <f>IF($W451="","",INDEX(명단표[구리 근무일(기준월)],$W451))</f>
        <v/>
      </c>
      <c r="W451" s="17">
        <f>IFERROR(MATCH(446,명단표[판정불가순번],0),"")</f>
        <v/>
      </c>
    </row>
    <row r="452">
      <c r="A452">
        <f>IF($P452="","",447)</f>
        <v/>
      </c>
      <c r="B452">
        <f>IF($P452="","",INDEX(명단표[이름],$P452))</f>
        <v/>
      </c>
      <c r="C452">
        <f>IF($P452="","",INDEX(명단표[사번],$P452)&amp;"")</f>
        <v/>
      </c>
      <c r="D452">
        <f>IF($P452="","",INDEX(명단표[전공의등록번호],$P452)&amp;"")</f>
        <v/>
      </c>
      <c r="E452">
        <f>IF($P452="","",INDEX(명단표[수련과목],$P452)&amp;"")</f>
        <v/>
      </c>
      <c r="F452">
        <f>IF($P452="","",INDEX(명단표[연차],$P452)&amp;"")</f>
        <v/>
      </c>
      <c r="G452">
        <f>IF($P452="","",INDEX(명단표[소속병원],$P452))</f>
        <v/>
      </c>
      <c r="H452">
        <f>IF($P452="","",IF(INDEX(명단표[소속병원],$P452)="서울병원","서울 소속","타 병원 소속("&amp;INDEX(명단표[소속병원],$P452)&amp;") → 서울 지급"))</f>
        <v/>
      </c>
      <c r="I452">
        <f>IF($P452="","",INDEX(명단표[현재 근무병원],$P452))</f>
        <v/>
      </c>
      <c r="J452">
        <f>IF($P452="","",INDEX(명단표[구리 근무 시작일(기준월)],$P452)&amp;"")</f>
        <v/>
      </c>
      <c r="K452">
        <f>IF($P452="","",INDEX(명단표[구리 근무 종료일(기준월)],$P452)&amp;"")</f>
        <v/>
      </c>
      <c r="L452">
        <f>IF($P452="","",INDEX(명단표[서울 근무일(기준월)],$P452))</f>
        <v/>
      </c>
      <c r="M452">
        <f>IF($P452="","",INDEX(명단표[구리 근무일(기준월)],$P452))</f>
        <v/>
      </c>
      <c r="N452">
        <f>IF($P452="","",INDEX(명단표[급여 판정 근거],$P452))</f>
        <v/>
      </c>
      <c r="O452">
        <f>IF($P452="","",INDEX(명단표[점검],$P452))</f>
        <v/>
      </c>
      <c r="P452" s="17">
        <f>IFERROR(MATCH(447,명단표[서울순번],0),"")</f>
        <v/>
      </c>
      <c r="R452">
        <f>IF($W452="","",INDEX(명단표[이름],$W452))</f>
        <v/>
      </c>
      <c r="S452">
        <f>IF($W452="","",INDEX(명단표[사번],$W452)&amp;"")</f>
        <v/>
      </c>
      <c r="T452">
        <f>IF($W452="","",INDEX(명단표[소속병원],$W452))</f>
        <v/>
      </c>
      <c r="U452">
        <f>IF($W452="","",INDEX(명단표[서울 근무일(기준월)],$W452))</f>
        <v/>
      </c>
      <c r="V452">
        <f>IF($W452="","",INDEX(명단표[구리 근무일(기준월)],$W452))</f>
        <v/>
      </c>
      <c r="W452" s="17">
        <f>IFERROR(MATCH(447,명단표[판정불가순번],0),"")</f>
        <v/>
      </c>
    </row>
    <row r="453">
      <c r="A453">
        <f>IF($P453="","",448)</f>
        <v/>
      </c>
      <c r="B453">
        <f>IF($P453="","",INDEX(명단표[이름],$P453))</f>
        <v/>
      </c>
      <c r="C453">
        <f>IF($P453="","",INDEX(명단표[사번],$P453)&amp;"")</f>
        <v/>
      </c>
      <c r="D453">
        <f>IF($P453="","",INDEX(명단표[전공의등록번호],$P453)&amp;"")</f>
        <v/>
      </c>
      <c r="E453">
        <f>IF($P453="","",INDEX(명단표[수련과목],$P453)&amp;"")</f>
        <v/>
      </c>
      <c r="F453">
        <f>IF($P453="","",INDEX(명단표[연차],$P453)&amp;"")</f>
        <v/>
      </c>
      <c r="G453">
        <f>IF($P453="","",INDEX(명단표[소속병원],$P453))</f>
        <v/>
      </c>
      <c r="H453">
        <f>IF($P453="","",IF(INDEX(명단표[소속병원],$P453)="서울병원","서울 소속","타 병원 소속("&amp;INDEX(명단표[소속병원],$P453)&amp;") → 서울 지급"))</f>
        <v/>
      </c>
      <c r="I453">
        <f>IF($P453="","",INDEX(명단표[현재 근무병원],$P453))</f>
        <v/>
      </c>
      <c r="J453">
        <f>IF($P453="","",INDEX(명단표[구리 근무 시작일(기준월)],$P453)&amp;"")</f>
        <v/>
      </c>
      <c r="K453">
        <f>IF($P453="","",INDEX(명단표[구리 근무 종료일(기준월)],$P453)&amp;"")</f>
        <v/>
      </c>
      <c r="L453">
        <f>IF($P453="","",INDEX(명단표[서울 근무일(기준월)],$P453))</f>
        <v/>
      </c>
      <c r="M453">
        <f>IF($P453="","",INDEX(명단표[구리 근무일(기준월)],$P453))</f>
        <v/>
      </c>
      <c r="N453">
        <f>IF($P453="","",INDEX(명단표[급여 판정 근거],$P453))</f>
        <v/>
      </c>
      <c r="O453">
        <f>IF($P453="","",INDEX(명단표[점검],$P453))</f>
        <v/>
      </c>
      <c r="P453" s="17">
        <f>IFERROR(MATCH(448,명단표[서울순번],0),"")</f>
        <v/>
      </c>
      <c r="R453">
        <f>IF($W453="","",INDEX(명단표[이름],$W453))</f>
        <v/>
      </c>
      <c r="S453">
        <f>IF($W453="","",INDEX(명단표[사번],$W453)&amp;"")</f>
        <v/>
      </c>
      <c r="T453">
        <f>IF($W453="","",INDEX(명단표[소속병원],$W453))</f>
        <v/>
      </c>
      <c r="U453">
        <f>IF($W453="","",INDEX(명단표[서울 근무일(기준월)],$W453))</f>
        <v/>
      </c>
      <c r="V453">
        <f>IF($W453="","",INDEX(명단표[구리 근무일(기준월)],$W453))</f>
        <v/>
      </c>
      <c r="W453" s="17">
        <f>IFERROR(MATCH(448,명단표[판정불가순번],0),"")</f>
        <v/>
      </c>
    </row>
    <row r="454">
      <c r="A454">
        <f>IF($P454="","",449)</f>
        <v/>
      </c>
      <c r="B454">
        <f>IF($P454="","",INDEX(명단표[이름],$P454))</f>
        <v/>
      </c>
      <c r="C454">
        <f>IF($P454="","",INDEX(명단표[사번],$P454)&amp;"")</f>
        <v/>
      </c>
      <c r="D454">
        <f>IF($P454="","",INDEX(명단표[전공의등록번호],$P454)&amp;"")</f>
        <v/>
      </c>
      <c r="E454">
        <f>IF($P454="","",INDEX(명단표[수련과목],$P454)&amp;"")</f>
        <v/>
      </c>
      <c r="F454">
        <f>IF($P454="","",INDEX(명단표[연차],$P454)&amp;"")</f>
        <v/>
      </c>
      <c r="G454">
        <f>IF($P454="","",INDEX(명단표[소속병원],$P454))</f>
        <v/>
      </c>
      <c r="H454">
        <f>IF($P454="","",IF(INDEX(명단표[소속병원],$P454)="서울병원","서울 소속","타 병원 소속("&amp;INDEX(명단표[소속병원],$P454)&amp;") → 서울 지급"))</f>
        <v/>
      </c>
      <c r="I454">
        <f>IF($P454="","",INDEX(명단표[현재 근무병원],$P454))</f>
        <v/>
      </c>
      <c r="J454">
        <f>IF($P454="","",INDEX(명단표[구리 근무 시작일(기준월)],$P454)&amp;"")</f>
        <v/>
      </c>
      <c r="K454">
        <f>IF($P454="","",INDEX(명단표[구리 근무 종료일(기준월)],$P454)&amp;"")</f>
        <v/>
      </c>
      <c r="L454">
        <f>IF($P454="","",INDEX(명단표[서울 근무일(기준월)],$P454))</f>
        <v/>
      </c>
      <c r="M454">
        <f>IF($P454="","",INDEX(명단표[구리 근무일(기준월)],$P454))</f>
        <v/>
      </c>
      <c r="N454">
        <f>IF($P454="","",INDEX(명단표[급여 판정 근거],$P454))</f>
        <v/>
      </c>
      <c r="O454">
        <f>IF($P454="","",INDEX(명단표[점검],$P454))</f>
        <v/>
      </c>
      <c r="P454" s="17">
        <f>IFERROR(MATCH(449,명단표[서울순번],0),"")</f>
        <v/>
      </c>
      <c r="R454">
        <f>IF($W454="","",INDEX(명단표[이름],$W454))</f>
        <v/>
      </c>
      <c r="S454">
        <f>IF($W454="","",INDEX(명단표[사번],$W454)&amp;"")</f>
        <v/>
      </c>
      <c r="T454">
        <f>IF($W454="","",INDEX(명단표[소속병원],$W454))</f>
        <v/>
      </c>
      <c r="U454">
        <f>IF($W454="","",INDEX(명단표[서울 근무일(기준월)],$W454))</f>
        <v/>
      </c>
      <c r="V454">
        <f>IF($W454="","",INDEX(명단표[구리 근무일(기준월)],$W454))</f>
        <v/>
      </c>
      <c r="W454" s="17">
        <f>IFERROR(MATCH(449,명단표[판정불가순번],0),"")</f>
        <v/>
      </c>
    </row>
    <row r="455">
      <c r="A455">
        <f>IF($P455="","",450)</f>
        <v/>
      </c>
      <c r="B455">
        <f>IF($P455="","",INDEX(명단표[이름],$P455))</f>
        <v/>
      </c>
      <c r="C455">
        <f>IF($P455="","",INDEX(명단표[사번],$P455)&amp;"")</f>
        <v/>
      </c>
      <c r="D455">
        <f>IF($P455="","",INDEX(명단표[전공의등록번호],$P455)&amp;"")</f>
        <v/>
      </c>
      <c r="E455">
        <f>IF($P455="","",INDEX(명단표[수련과목],$P455)&amp;"")</f>
        <v/>
      </c>
      <c r="F455">
        <f>IF($P455="","",INDEX(명단표[연차],$P455)&amp;"")</f>
        <v/>
      </c>
      <c r="G455">
        <f>IF($P455="","",INDEX(명단표[소속병원],$P455))</f>
        <v/>
      </c>
      <c r="H455">
        <f>IF($P455="","",IF(INDEX(명단표[소속병원],$P455)="서울병원","서울 소속","타 병원 소속("&amp;INDEX(명단표[소속병원],$P455)&amp;") → 서울 지급"))</f>
        <v/>
      </c>
      <c r="I455">
        <f>IF($P455="","",INDEX(명단표[현재 근무병원],$P455))</f>
        <v/>
      </c>
      <c r="J455">
        <f>IF($P455="","",INDEX(명단표[구리 근무 시작일(기준월)],$P455)&amp;"")</f>
        <v/>
      </c>
      <c r="K455">
        <f>IF($P455="","",INDEX(명단표[구리 근무 종료일(기준월)],$P455)&amp;"")</f>
        <v/>
      </c>
      <c r="L455">
        <f>IF($P455="","",INDEX(명단표[서울 근무일(기준월)],$P455))</f>
        <v/>
      </c>
      <c r="M455">
        <f>IF($P455="","",INDEX(명단표[구리 근무일(기준월)],$P455))</f>
        <v/>
      </c>
      <c r="N455">
        <f>IF($P455="","",INDEX(명단표[급여 판정 근거],$P455))</f>
        <v/>
      </c>
      <c r="O455">
        <f>IF($P455="","",INDEX(명단표[점검],$P455))</f>
        <v/>
      </c>
      <c r="P455" s="17">
        <f>IFERROR(MATCH(450,명단표[서울순번],0),"")</f>
        <v/>
      </c>
      <c r="R455">
        <f>IF($W455="","",INDEX(명단표[이름],$W455))</f>
        <v/>
      </c>
      <c r="S455">
        <f>IF($W455="","",INDEX(명단표[사번],$W455)&amp;"")</f>
        <v/>
      </c>
      <c r="T455">
        <f>IF($W455="","",INDEX(명단표[소속병원],$W455))</f>
        <v/>
      </c>
      <c r="U455">
        <f>IF($W455="","",INDEX(명단표[서울 근무일(기준월)],$W455))</f>
        <v/>
      </c>
      <c r="V455">
        <f>IF($W455="","",INDEX(명단표[구리 근무일(기준월)],$W455))</f>
        <v/>
      </c>
      <c r="W455" s="17">
        <f>IFERROR(MATCH(450,명단표[판정불가순번],0),"")</f>
        <v/>
      </c>
    </row>
    <row r="456">
      <c r="A456">
        <f>IF($P456="","",451)</f>
        <v/>
      </c>
      <c r="B456">
        <f>IF($P456="","",INDEX(명단표[이름],$P456))</f>
        <v/>
      </c>
      <c r="C456">
        <f>IF($P456="","",INDEX(명단표[사번],$P456)&amp;"")</f>
        <v/>
      </c>
      <c r="D456">
        <f>IF($P456="","",INDEX(명단표[전공의등록번호],$P456)&amp;"")</f>
        <v/>
      </c>
      <c r="E456">
        <f>IF($P456="","",INDEX(명단표[수련과목],$P456)&amp;"")</f>
        <v/>
      </c>
      <c r="F456">
        <f>IF($P456="","",INDEX(명단표[연차],$P456)&amp;"")</f>
        <v/>
      </c>
      <c r="G456">
        <f>IF($P456="","",INDEX(명단표[소속병원],$P456))</f>
        <v/>
      </c>
      <c r="H456">
        <f>IF($P456="","",IF(INDEX(명단표[소속병원],$P456)="서울병원","서울 소속","타 병원 소속("&amp;INDEX(명단표[소속병원],$P456)&amp;") → 서울 지급"))</f>
        <v/>
      </c>
      <c r="I456">
        <f>IF($P456="","",INDEX(명단표[현재 근무병원],$P456))</f>
        <v/>
      </c>
      <c r="J456">
        <f>IF($P456="","",INDEX(명단표[구리 근무 시작일(기준월)],$P456)&amp;"")</f>
        <v/>
      </c>
      <c r="K456">
        <f>IF($P456="","",INDEX(명단표[구리 근무 종료일(기준월)],$P456)&amp;"")</f>
        <v/>
      </c>
      <c r="L456">
        <f>IF($P456="","",INDEX(명단표[서울 근무일(기준월)],$P456))</f>
        <v/>
      </c>
      <c r="M456">
        <f>IF($P456="","",INDEX(명단표[구리 근무일(기준월)],$P456))</f>
        <v/>
      </c>
      <c r="N456">
        <f>IF($P456="","",INDEX(명단표[급여 판정 근거],$P456))</f>
        <v/>
      </c>
      <c r="O456">
        <f>IF($P456="","",INDEX(명단표[점검],$P456))</f>
        <v/>
      </c>
      <c r="P456" s="17">
        <f>IFERROR(MATCH(451,명단표[서울순번],0),"")</f>
        <v/>
      </c>
      <c r="R456">
        <f>IF($W456="","",INDEX(명단표[이름],$W456))</f>
        <v/>
      </c>
      <c r="S456">
        <f>IF($W456="","",INDEX(명단표[사번],$W456)&amp;"")</f>
        <v/>
      </c>
      <c r="T456">
        <f>IF($W456="","",INDEX(명단표[소속병원],$W456))</f>
        <v/>
      </c>
      <c r="U456">
        <f>IF($W456="","",INDEX(명단표[서울 근무일(기준월)],$W456))</f>
        <v/>
      </c>
      <c r="V456">
        <f>IF($W456="","",INDEX(명단표[구리 근무일(기준월)],$W456))</f>
        <v/>
      </c>
      <c r="W456" s="17">
        <f>IFERROR(MATCH(451,명단표[판정불가순번],0),"")</f>
        <v/>
      </c>
    </row>
    <row r="457">
      <c r="A457">
        <f>IF($P457="","",452)</f>
        <v/>
      </c>
      <c r="B457">
        <f>IF($P457="","",INDEX(명단표[이름],$P457))</f>
        <v/>
      </c>
      <c r="C457">
        <f>IF($P457="","",INDEX(명단표[사번],$P457)&amp;"")</f>
        <v/>
      </c>
      <c r="D457">
        <f>IF($P457="","",INDEX(명단표[전공의등록번호],$P457)&amp;"")</f>
        <v/>
      </c>
      <c r="E457">
        <f>IF($P457="","",INDEX(명단표[수련과목],$P457)&amp;"")</f>
        <v/>
      </c>
      <c r="F457">
        <f>IF($P457="","",INDEX(명단표[연차],$P457)&amp;"")</f>
        <v/>
      </c>
      <c r="G457">
        <f>IF($P457="","",INDEX(명단표[소속병원],$P457))</f>
        <v/>
      </c>
      <c r="H457">
        <f>IF($P457="","",IF(INDEX(명단표[소속병원],$P457)="서울병원","서울 소속","타 병원 소속("&amp;INDEX(명단표[소속병원],$P457)&amp;") → 서울 지급"))</f>
        <v/>
      </c>
      <c r="I457">
        <f>IF($P457="","",INDEX(명단표[현재 근무병원],$P457))</f>
        <v/>
      </c>
      <c r="J457">
        <f>IF($P457="","",INDEX(명단표[구리 근무 시작일(기준월)],$P457)&amp;"")</f>
        <v/>
      </c>
      <c r="K457">
        <f>IF($P457="","",INDEX(명단표[구리 근무 종료일(기준월)],$P457)&amp;"")</f>
        <v/>
      </c>
      <c r="L457">
        <f>IF($P457="","",INDEX(명단표[서울 근무일(기준월)],$P457))</f>
        <v/>
      </c>
      <c r="M457">
        <f>IF($P457="","",INDEX(명단표[구리 근무일(기준월)],$P457))</f>
        <v/>
      </c>
      <c r="N457">
        <f>IF($P457="","",INDEX(명단표[급여 판정 근거],$P457))</f>
        <v/>
      </c>
      <c r="O457">
        <f>IF($P457="","",INDEX(명단표[점검],$P457))</f>
        <v/>
      </c>
      <c r="P457" s="17">
        <f>IFERROR(MATCH(452,명단표[서울순번],0),"")</f>
        <v/>
      </c>
      <c r="R457">
        <f>IF($W457="","",INDEX(명단표[이름],$W457))</f>
        <v/>
      </c>
      <c r="S457">
        <f>IF($W457="","",INDEX(명단표[사번],$W457)&amp;"")</f>
        <v/>
      </c>
      <c r="T457">
        <f>IF($W457="","",INDEX(명단표[소속병원],$W457))</f>
        <v/>
      </c>
      <c r="U457">
        <f>IF($W457="","",INDEX(명단표[서울 근무일(기준월)],$W457))</f>
        <v/>
      </c>
      <c r="V457">
        <f>IF($W457="","",INDEX(명단표[구리 근무일(기준월)],$W457))</f>
        <v/>
      </c>
      <c r="W457" s="17">
        <f>IFERROR(MATCH(452,명단표[판정불가순번],0),"")</f>
        <v/>
      </c>
    </row>
    <row r="458">
      <c r="A458">
        <f>IF($P458="","",453)</f>
        <v/>
      </c>
      <c r="B458">
        <f>IF($P458="","",INDEX(명단표[이름],$P458))</f>
        <v/>
      </c>
      <c r="C458">
        <f>IF($P458="","",INDEX(명단표[사번],$P458)&amp;"")</f>
        <v/>
      </c>
      <c r="D458">
        <f>IF($P458="","",INDEX(명단표[전공의등록번호],$P458)&amp;"")</f>
        <v/>
      </c>
      <c r="E458">
        <f>IF($P458="","",INDEX(명단표[수련과목],$P458)&amp;"")</f>
        <v/>
      </c>
      <c r="F458">
        <f>IF($P458="","",INDEX(명단표[연차],$P458)&amp;"")</f>
        <v/>
      </c>
      <c r="G458">
        <f>IF($P458="","",INDEX(명단표[소속병원],$P458))</f>
        <v/>
      </c>
      <c r="H458">
        <f>IF($P458="","",IF(INDEX(명단표[소속병원],$P458)="서울병원","서울 소속","타 병원 소속("&amp;INDEX(명단표[소속병원],$P458)&amp;") → 서울 지급"))</f>
        <v/>
      </c>
      <c r="I458">
        <f>IF($P458="","",INDEX(명단표[현재 근무병원],$P458))</f>
        <v/>
      </c>
      <c r="J458">
        <f>IF($P458="","",INDEX(명단표[구리 근무 시작일(기준월)],$P458)&amp;"")</f>
        <v/>
      </c>
      <c r="K458">
        <f>IF($P458="","",INDEX(명단표[구리 근무 종료일(기준월)],$P458)&amp;"")</f>
        <v/>
      </c>
      <c r="L458">
        <f>IF($P458="","",INDEX(명단표[서울 근무일(기준월)],$P458))</f>
        <v/>
      </c>
      <c r="M458">
        <f>IF($P458="","",INDEX(명단표[구리 근무일(기준월)],$P458))</f>
        <v/>
      </c>
      <c r="N458">
        <f>IF($P458="","",INDEX(명단표[급여 판정 근거],$P458))</f>
        <v/>
      </c>
      <c r="O458">
        <f>IF($P458="","",INDEX(명단표[점검],$P458))</f>
        <v/>
      </c>
      <c r="P458" s="17">
        <f>IFERROR(MATCH(453,명단표[서울순번],0),"")</f>
        <v/>
      </c>
      <c r="R458">
        <f>IF($W458="","",INDEX(명단표[이름],$W458))</f>
        <v/>
      </c>
      <c r="S458">
        <f>IF($W458="","",INDEX(명단표[사번],$W458)&amp;"")</f>
        <v/>
      </c>
      <c r="T458">
        <f>IF($W458="","",INDEX(명단표[소속병원],$W458))</f>
        <v/>
      </c>
      <c r="U458">
        <f>IF($W458="","",INDEX(명단표[서울 근무일(기준월)],$W458))</f>
        <v/>
      </c>
      <c r="V458">
        <f>IF($W458="","",INDEX(명단표[구리 근무일(기준월)],$W458))</f>
        <v/>
      </c>
      <c r="W458" s="17">
        <f>IFERROR(MATCH(453,명단표[판정불가순번],0),"")</f>
        <v/>
      </c>
    </row>
    <row r="459">
      <c r="A459">
        <f>IF($P459="","",454)</f>
        <v/>
      </c>
      <c r="B459">
        <f>IF($P459="","",INDEX(명단표[이름],$P459))</f>
        <v/>
      </c>
      <c r="C459">
        <f>IF($P459="","",INDEX(명단표[사번],$P459)&amp;"")</f>
        <v/>
      </c>
      <c r="D459">
        <f>IF($P459="","",INDEX(명단표[전공의등록번호],$P459)&amp;"")</f>
        <v/>
      </c>
      <c r="E459">
        <f>IF($P459="","",INDEX(명단표[수련과목],$P459)&amp;"")</f>
        <v/>
      </c>
      <c r="F459">
        <f>IF($P459="","",INDEX(명단표[연차],$P459)&amp;"")</f>
        <v/>
      </c>
      <c r="G459">
        <f>IF($P459="","",INDEX(명단표[소속병원],$P459))</f>
        <v/>
      </c>
      <c r="H459">
        <f>IF($P459="","",IF(INDEX(명단표[소속병원],$P459)="서울병원","서울 소속","타 병원 소속("&amp;INDEX(명단표[소속병원],$P459)&amp;") → 서울 지급"))</f>
        <v/>
      </c>
      <c r="I459">
        <f>IF($P459="","",INDEX(명단표[현재 근무병원],$P459))</f>
        <v/>
      </c>
      <c r="J459">
        <f>IF($P459="","",INDEX(명단표[구리 근무 시작일(기준월)],$P459)&amp;"")</f>
        <v/>
      </c>
      <c r="K459">
        <f>IF($P459="","",INDEX(명단표[구리 근무 종료일(기준월)],$P459)&amp;"")</f>
        <v/>
      </c>
      <c r="L459">
        <f>IF($P459="","",INDEX(명단표[서울 근무일(기준월)],$P459))</f>
        <v/>
      </c>
      <c r="M459">
        <f>IF($P459="","",INDEX(명단표[구리 근무일(기준월)],$P459))</f>
        <v/>
      </c>
      <c r="N459">
        <f>IF($P459="","",INDEX(명단표[급여 판정 근거],$P459))</f>
        <v/>
      </c>
      <c r="O459">
        <f>IF($P459="","",INDEX(명단표[점검],$P459))</f>
        <v/>
      </c>
      <c r="P459" s="17">
        <f>IFERROR(MATCH(454,명단표[서울순번],0),"")</f>
        <v/>
      </c>
      <c r="R459">
        <f>IF($W459="","",INDEX(명단표[이름],$W459))</f>
        <v/>
      </c>
      <c r="S459">
        <f>IF($W459="","",INDEX(명단표[사번],$W459)&amp;"")</f>
        <v/>
      </c>
      <c r="T459">
        <f>IF($W459="","",INDEX(명단표[소속병원],$W459))</f>
        <v/>
      </c>
      <c r="U459">
        <f>IF($W459="","",INDEX(명단표[서울 근무일(기준월)],$W459))</f>
        <v/>
      </c>
      <c r="V459">
        <f>IF($W459="","",INDEX(명단표[구리 근무일(기준월)],$W459))</f>
        <v/>
      </c>
      <c r="W459" s="17">
        <f>IFERROR(MATCH(454,명단표[판정불가순번],0),"")</f>
        <v/>
      </c>
    </row>
    <row r="460">
      <c r="A460">
        <f>IF($P460="","",455)</f>
        <v/>
      </c>
      <c r="B460">
        <f>IF($P460="","",INDEX(명단표[이름],$P460))</f>
        <v/>
      </c>
      <c r="C460">
        <f>IF($P460="","",INDEX(명단표[사번],$P460)&amp;"")</f>
        <v/>
      </c>
      <c r="D460">
        <f>IF($P460="","",INDEX(명단표[전공의등록번호],$P460)&amp;"")</f>
        <v/>
      </c>
      <c r="E460">
        <f>IF($P460="","",INDEX(명단표[수련과목],$P460)&amp;"")</f>
        <v/>
      </c>
      <c r="F460">
        <f>IF($P460="","",INDEX(명단표[연차],$P460)&amp;"")</f>
        <v/>
      </c>
      <c r="G460">
        <f>IF($P460="","",INDEX(명단표[소속병원],$P460))</f>
        <v/>
      </c>
      <c r="H460">
        <f>IF($P460="","",IF(INDEX(명단표[소속병원],$P460)="서울병원","서울 소속","타 병원 소속("&amp;INDEX(명단표[소속병원],$P460)&amp;") → 서울 지급"))</f>
        <v/>
      </c>
      <c r="I460">
        <f>IF($P460="","",INDEX(명단표[현재 근무병원],$P460))</f>
        <v/>
      </c>
      <c r="J460">
        <f>IF($P460="","",INDEX(명단표[구리 근무 시작일(기준월)],$P460)&amp;"")</f>
        <v/>
      </c>
      <c r="K460">
        <f>IF($P460="","",INDEX(명단표[구리 근무 종료일(기준월)],$P460)&amp;"")</f>
        <v/>
      </c>
      <c r="L460">
        <f>IF($P460="","",INDEX(명단표[서울 근무일(기준월)],$P460))</f>
        <v/>
      </c>
      <c r="M460">
        <f>IF($P460="","",INDEX(명단표[구리 근무일(기준월)],$P460))</f>
        <v/>
      </c>
      <c r="N460">
        <f>IF($P460="","",INDEX(명단표[급여 판정 근거],$P460))</f>
        <v/>
      </c>
      <c r="O460">
        <f>IF($P460="","",INDEX(명단표[점검],$P460))</f>
        <v/>
      </c>
      <c r="P460" s="17">
        <f>IFERROR(MATCH(455,명단표[서울순번],0),"")</f>
        <v/>
      </c>
      <c r="R460">
        <f>IF($W460="","",INDEX(명단표[이름],$W460))</f>
        <v/>
      </c>
      <c r="S460">
        <f>IF($W460="","",INDEX(명단표[사번],$W460)&amp;"")</f>
        <v/>
      </c>
      <c r="T460">
        <f>IF($W460="","",INDEX(명단표[소속병원],$W460))</f>
        <v/>
      </c>
      <c r="U460">
        <f>IF($W460="","",INDEX(명단표[서울 근무일(기준월)],$W460))</f>
        <v/>
      </c>
      <c r="V460">
        <f>IF($W460="","",INDEX(명단표[구리 근무일(기준월)],$W460))</f>
        <v/>
      </c>
      <c r="W460" s="17">
        <f>IFERROR(MATCH(455,명단표[판정불가순번],0),"")</f>
        <v/>
      </c>
    </row>
    <row r="461">
      <c r="A461">
        <f>IF($P461="","",456)</f>
        <v/>
      </c>
      <c r="B461">
        <f>IF($P461="","",INDEX(명단표[이름],$P461))</f>
        <v/>
      </c>
      <c r="C461">
        <f>IF($P461="","",INDEX(명단표[사번],$P461)&amp;"")</f>
        <v/>
      </c>
      <c r="D461">
        <f>IF($P461="","",INDEX(명단표[전공의등록번호],$P461)&amp;"")</f>
        <v/>
      </c>
      <c r="E461">
        <f>IF($P461="","",INDEX(명단표[수련과목],$P461)&amp;"")</f>
        <v/>
      </c>
      <c r="F461">
        <f>IF($P461="","",INDEX(명단표[연차],$P461)&amp;"")</f>
        <v/>
      </c>
      <c r="G461">
        <f>IF($P461="","",INDEX(명단표[소속병원],$P461))</f>
        <v/>
      </c>
      <c r="H461">
        <f>IF($P461="","",IF(INDEX(명단표[소속병원],$P461)="서울병원","서울 소속","타 병원 소속("&amp;INDEX(명단표[소속병원],$P461)&amp;") → 서울 지급"))</f>
        <v/>
      </c>
      <c r="I461">
        <f>IF($P461="","",INDEX(명단표[현재 근무병원],$P461))</f>
        <v/>
      </c>
      <c r="J461">
        <f>IF($P461="","",INDEX(명단표[구리 근무 시작일(기준월)],$P461)&amp;"")</f>
        <v/>
      </c>
      <c r="K461">
        <f>IF($P461="","",INDEX(명단표[구리 근무 종료일(기준월)],$P461)&amp;"")</f>
        <v/>
      </c>
      <c r="L461">
        <f>IF($P461="","",INDEX(명단표[서울 근무일(기준월)],$P461))</f>
        <v/>
      </c>
      <c r="M461">
        <f>IF($P461="","",INDEX(명단표[구리 근무일(기준월)],$P461))</f>
        <v/>
      </c>
      <c r="N461">
        <f>IF($P461="","",INDEX(명단표[급여 판정 근거],$P461))</f>
        <v/>
      </c>
      <c r="O461">
        <f>IF($P461="","",INDEX(명단표[점검],$P461))</f>
        <v/>
      </c>
      <c r="P461" s="17">
        <f>IFERROR(MATCH(456,명단표[서울순번],0),"")</f>
        <v/>
      </c>
      <c r="R461">
        <f>IF($W461="","",INDEX(명단표[이름],$W461))</f>
        <v/>
      </c>
      <c r="S461">
        <f>IF($W461="","",INDEX(명단표[사번],$W461)&amp;"")</f>
        <v/>
      </c>
      <c r="T461">
        <f>IF($W461="","",INDEX(명단표[소속병원],$W461))</f>
        <v/>
      </c>
      <c r="U461">
        <f>IF($W461="","",INDEX(명단표[서울 근무일(기준월)],$W461))</f>
        <v/>
      </c>
      <c r="V461">
        <f>IF($W461="","",INDEX(명단표[구리 근무일(기준월)],$W461))</f>
        <v/>
      </c>
      <c r="W461" s="17">
        <f>IFERROR(MATCH(456,명단표[판정불가순번],0),"")</f>
        <v/>
      </c>
    </row>
    <row r="462">
      <c r="A462">
        <f>IF($P462="","",457)</f>
        <v/>
      </c>
      <c r="B462">
        <f>IF($P462="","",INDEX(명단표[이름],$P462))</f>
        <v/>
      </c>
      <c r="C462">
        <f>IF($P462="","",INDEX(명단표[사번],$P462)&amp;"")</f>
        <v/>
      </c>
      <c r="D462">
        <f>IF($P462="","",INDEX(명단표[전공의등록번호],$P462)&amp;"")</f>
        <v/>
      </c>
      <c r="E462">
        <f>IF($P462="","",INDEX(명단표[수련과목],$P462)&amp;"")</f>
        <v/>
      </c>
      <c r="F462">
        <f>IF($P462="","",INDEX(명단표[연차],$P462)&amp;"")</f>
        <v/>
      </c>
      <c r="G462">
        <f>IF($P462="","",INDEX(명단표[소속병원],$P462))</f>
        <v/>
      </c>
      <c r="H462">
        <f>IF($P462="","",IF(INDEX(명단표[소속병원],$P462)="서울병원","서울 소속","타 병원 소속("&amp;INDEX(명단표[소속병원],$P462)&amp;") → 서울 지급"))</f>
        <v/>
      </c>
      <c r="I462">
        <f>IF($P462="","",INDEX(명단표[현재 근무병원],$P462))</f>
        <v/>
      </c>
      <c r="J462">
        <f>IF($P462="","",INDEX(명단표[구리 근무 시작일(기준월)],$P462)&amp;"")</f>
        <v/>
      </c>
      <c r="K462">
        <f>IF($P462="","",INDEX(명단표[구리 근무 종료일(기준월)],$P462)&amp;"")</f>
        <v/>
      </c>
      <c r="L462">
        <f>IF($P462="","",INDEX(명단표[서울 근무일(기준월)],$P462))</f>
        <v/>
      </c>
      <c r="M462">
        <f>IF($P462="","",INDEX(명단표[구리 근무일(기준월)],$P462))</f>
        <v/>
      </c>
      <c r="N462">
        <f>IF($P462="","",INDEX(명단표[급여 판정 근거],$P462))</f>
        <v/>
      </c>
      <c r="O462">
        <f>IF($P462="","",INDEX(명단표[점검],$P462))</f>
        <v/>
      </c>
      <c r="P462" s="17">
        <f>IFERROR(MATCH(457,명단표[서울순번],0),"")</f>
        <v/>
      </c>
      <c r="R462">
        <f>IF($W462="","",INDEX(명단표[이름],$W462))</f>
        <v/>
      </c>
      <c r="S462">
        <f>IF($W462="","",INDEX(명단표[사번],$W462)&amp;"")</f>
        <v/>
      </c>
      <c r="T462">
        <f>IF($W462="","",INDEX(명단표[소속병원],$W462))</f>
        <v/>
      </c>
      <c r="U462">
        <f>IF($W462="","",INDEX(명단표[서울 근무일(기준월)],$W462))</f>
        <v/>
      </c>
      <c r="V462">
        <f>IF($W462="","",INDEX(명단표[구리 근무일(기준월)],$W462))</f>
        <v/>
      </c>
      <c r="W462" s="17">
        <f>IFERROR(MATCH(457,명단표[판정불가순번],0),"")</f>
        <v/>
      </c>
    </row>
    <row r="463">
      <c r="A463">
        <f>IF($P463="","",458)</f>
        <v/>
      </c>
      <c r="B463">
        <f>IF($P463="","",INDEX(명단표[이름],$P463))</f>
        <v/>
      </c>
      <c r="C463">
        <f>IF($P463="","",INDEX(명단표[사번],$P463)&amp;"")</f>
        <v/>
      </c>
      <c r="D463">
        <f>IF($P463="","",INDEX(명단표[전공의등록번호],$P463)&amp;"")</f>
        <v/>
      </c>
      <c r="E463">
        <f>IF($P463="","",INDEX(명단표[수련과목],$P463)&amp;"")</f>
        <v/>
      </c>
      <c r="F463">
        <f>IF($P463="","",INDEX(명단표[연차],$P463)&amp;"")</f>
        <v/>
      </c>
      <c r="G463">
        <f>IF($P463="","",INDEX(명단표[소속병원],$P463))</f>
        <v/>
      </c>
      <c r="H463">
        <f>IF($P463="","",IF(INDEX(명단표[소속병원],$P463)="서울병원","서울 소속","타 병원 소속("&amp;INDEX(명단표[소속병원],$P463)&amp;") → 서울 지급"))</f>
        <v/>
      </c>
      <c r="I463">
        <f>IF($P463="","",INDEX(명단표[현재 근무병원],$P463))</f>
        <v/>
      </c>
      <c r="J463">
        <f>IF($P463="","",INDEX(명단표[구리 근무 시작일(기준월)],$P463)&amp;"")</f>
        <v/>
      </c>
      <c r="K463">
        <f>IF($P463="","",INDEX(명단표[구리 근무 종료일(기준월)],$P463)&amp;"")</f>
        <v/>
      </c>
      <c r="L463">
        <f>IF($P463="","",INDEX(명단표[서울 근무일(기준월)],$P463))</f>
        <v/>
      </c>
      <c r="M463">
        <f>IF($P463="","",INDEX(명단표[구리 근무일(기준월)],$P463))</f>
        <v/>
      </c>
      <c r="N463">
        <f>IF($P463="","",INDEX(명단표[급여 판정 근거],$P463))</f>
        <v/>
      </c>
      <c r="O463">
        <f>IF($P463="","",INDEX(명단표[점검],$P463))</f>
        <v/>
      </c>
      <c r="P463" s="17">
        <f>IFERROR(MATCH(458,명단표[서울순번],0),"")</f>
        <v/>
      </c>
      <c r="R463">
        <f>IF($W463="","",INDEX(명단표[이름],$W463))</f>
        <v/>
      </c>
      <c r="S463">
        <f>IF($W463="","",INDEX(명단표[사번],$W463)&amp;"")</f>
        <v/>
      </c>
      <c r="T463">
        <f>IF($W463="","",INDEX(명단표[소속병원],$W463))</f>
        <v/>
      </c>
      <c r="U463">
        <f>IF($W463="","",INDEX(명단표[서울 근무일(기준월)],$W463))</f>
        <v/>
      </c>
      <c r="V463">
        <f>IF($W463="","",INDEX(명단표[구리 근무일(기준월)],$W463))</f>
        <v/>
      </c>
      <c r="W463" s="17">
        <f>IFERROR(MATCH(458,명단표[판정불가순번],0),"")</f>
        <v/>
      </c>
    </row>
    <row r="464">
      <c r="A464">
        <f>IF($P464="","",459)</f>
        <v/>
      </c>
      <c r="B464">
        <f>IF($P464="","",INDEX(명단표[이름],$P464))</f>
        <v/>
      </c>
      <c r="C464">
        <f>IF($P464="","",INDEX(명단표[사번],$P464)&amp;"")</f>
        <v/>
      </c>
      <c r="D464">
        <f>IF($P464="","",INDEX(명단표[전공의등록번호],$P464)&amp;"")</f>
        <v/>
      </c>
      <c r="E464">
        <f>IF($P464="","",INDEX(명단표[수련과목],$P464)&amp;"")</f>
        <v/>
      </c>
      <c r="F464">
        <f>IF($P464="","",INDEX(명단표[연차],$P464)&amp;"")</f>
        <v/>
      </c>
      <c r="G464">
        <f>IF($P464="","",INDEX(명단표[소속병원],$P464))</f>
        <v/>
      </c>
      <c r="H464">
        <f>IF($P464="","",IF(INDEX(명단표[소속병원],$P464)="서울병원","서울 소속","타 병원 소속("&amp;INDEX(명단표[소속병원],$P464)&amp;") → 서울 지급"))</f>
        <v/>
      </c>
      <c r="I464">
        <f>IF($P464="","",INDEX(명단표[현재 근무병원],$P464))</f>
        <v/>
      </c>
      <c r="J464">
        <f>IF($P464="","",INDEX(명단표[구리 근무 시작일(기준월)],$P464)&amp;"")</f>
        <v/>
      </c>
      <c r="K464">
        <f>IF($P464="","",INDEX(명단표[구리 근무 종료일(기준월)],$P464)&amp;"")</f>
        <v/>
      </c>
      <c r="L464">
        <f>IF($P464="","",INDEX(명단표[서울 근무일(기준월)],$P464))</f>
        <v/>
      </c>
      <c r="M464">
        <f>IF($P464="","",INDEX(명단표[구리 근무일(기준월)],$P464))</f>
        <v/>
      </c>
      <c r="N464">
        <f>IF($P464="","",INDEX(명단표[급여 판정 근거],$P464))</f>
        <v/>
      </c>
      <c r="O464">
        <f>IF($P464="","",INDEX(명단표[점검],$P464))</f>
        <v/>
      </c>
      <c r="P464" s="17">
        <f>IFERROR(MATCH(459,명단표[서울순번],0),"")</f>
        <v/>
      </c>
      <c r="R464">
        <f>IF($W464="","",INDEX(명단표[이름],$W464))</f>
        <v/>
      </c>
      <c r="S464">
        <f>IF($W464="","",INDEX(명단표[사번],$W464)&amp;"")</f>
        <v/>
      </c>
      <c r="T464">
        <f>IF($W464="","",INDEX(명단표[소속병원],$W464))</f>
        <v/>
      </c>
      <c r="U464">
        <f>IF($W464="","",INDEX(명단표[서울 근무일(기준월)],$W464))</f>
        <v/>
      </c>
      <c r="V464">
        <f>IF($W464="","",INDEX(명단표[구리 근무일(기준월)],$W464))</f>
        <v/>
      </c>
      <c r="W464" s="17">
        <f>IFERROR(MATCH(459,명단표[판정불가순번],0),"")</f>
        <v/>
      </c>
    </row>
    <row r="465">
      <c r="A465">
        <f>IF($P465="","",460)</f>
        <v/>
      </c>
      <c r="B465">
        <f>IF($P465="","",INDEX(명단표[이름],$P465))</f>
        <v/>
      </c>
      <c r="C465">
        <f>IF($P465="","",INDEX(명단표[사번],$P465)&amp;"")</f>
        <v/>
      </c>
      <c r="D465">
        <f>IF($P465="","",INDEX(명단표[전공의등록번호],$P465)&amp;"")</f>
        <v/>
      </c>
      <c r="E465">
        <f>IF($P465="","",INDEX(명단표[수련과목],$P465)&amp;"")</f>
        <v/>
      </c>
      <c r="F465">
        <f>IF($P465="","",INDEX(명단표[연차],$P465)&amp;"")</f>
        <v/>
      </c>
      <c r="G465">
        <f>IF($P465="","",INDEX(명단표[소속병원],$P465))</f>
        <v/>
      </c>
      <c r="H465">
        <f>IF($P465="","",IF(INDEX(명단표[소속병원],$P465)="서울병원","서울 소속","타 병원 소속("&amp;INDEX(명단표[소속병원],$P465)&amp;") → 서울 지급"))</f>
        <v/>
      </c>
      <c r="I465">
        <f>IF($P465="","",INDEX(명단표[현재 근무병원],$P465))</f>
        <v/>
      </c>
      <c r="J465">
        <f>IF($P465="","",INDEX(명단표[구리 근무 시작일(기준월)],$P465)&amp;"")</f>
        <v/>
      </c>
      <c r="K465">
        <f>IF($P465="","",INDEX(명단표[구리 근무 종료일(기준월)],$P465)&amp;"")</f>
        <v/>
      </c>
      <c r="L465">
        <f>IF($P465="","",INDEX(명단표[서울 근무일(기준월)],$P465))</f>
        <v/>
      </c>
      <c r="M465">
        <f>IF($P465="","",INDEX(명단표[구리 근무일(기준월)],$P465))</f>
        <v/>
      </c>
      <c r="N465">
        <f>IF($P465="","",INDEX(명단표[급여 판정 근거],$P465))</f>
        <v/>
      </c>
      <c r="O465">
        <f>IF($P465="","",INDEX(명단표[점검],$P465))</f>
        <v/>
      </c>
      <c r="P465" s="17">
        <f>IFERROR(MATCH(460,명단표[서울순번],0),"")</f>
        <v/>
      </c>
      <c r="R465">
        <f>IF($W465="","",INDEX(명단표[이름],$W465))</f>
        <v/>
      </c>
      <c r="S465">
        <f>IF($W465="","",INDEX(명단표[사번],$W465)&amp;"")</f>
        <v/>
      </c>
      <c r="T465">
        <f>IF($W465="","",INDEX(명단표[소속병원],$W465))</f>
        <v/>
      </c>
      <c r="U465">
        <f>IF($W465="","",INDEX(명단표[서울 근무일(기준월)],$W465))</f>
        <v/>
      </c>
      <c r="V465">
        <f>IF($W465="","",INDEX(명단표[구리 근무일(기준월)],$W465))</f>
        <v/>
      </c>
      <c r="W465" s="17">
        <f>IFERROR(MATCH(460,명단표[판정불가순번],0),"")</f>
        <v/>
      </c>
    </row>
    <row r="466">
      <c r="A466">
        <f>IF($P466="","",461)</f>
        <v/>
      </c>
      <c r="B466">
        <f>IF($P466="","",INDEX(명단표[이름],$P466))</f>
        <v/>
      </c>
      <c r="C466">
        <f>IF($P466="","",INDEX(명단표[사번],$P466)&amp;"")</f>
        <v/>
      </c>
      <c r="D466">
        <f>IF($P466="","",INDEX(명단표[전공의등록번호],$P466)&amp;"")</f>
        <v/>
      </c>
      <c r="E466">
        <f>IF($P466="","",INDEX(명단표[수련과목],$P466)&amp;"")</f>
        <v/>
      </c>
      <c r="F466">
        <f>IF($P466="","",INDEX(명단표[연차],$P466)&amp;"")</f>
        <v/>
      </c>
      <c r="G466">
        <f>IF($P466="","",INDEX(명단표[소속병원],$P466))</f>
        <v/>
      </c>
      <c r="H466">
        <f>IF($P466="","",IF(INDEX(명단표[소속병원],$P466)="서울병원","서울 소속","타 병원 소속("&amp;INDEX(명단표[소속병원],$P466)&amp;") → 서울 지급"))</f>
        <v/>
      </c>
      <c r="I466">
        <f>IF($P466="","",INDEX(명단표[현재 근무병원],$P466))</f>
        <v/>
      </c>
      <c r="J466">
        <f>IF($P466="","",INDEX(명단표[구리 근무 시작일(기준월)],$P466)&amp;"")</f>
        <v/>
      </c>
      <c r="K466">
        <f>IF($P466="","",INDEX(명단표[구리 근무 종료일(기준월)],$P466)&amp;"")</f>
        <v/>
      </c>
      <c r="L466">
        <f>IF($P466="","",INDEX(명단표[서울 근무일(기준월)],$P466))</f>
        <v/>
      </c>
      <c r="M466">
        <f>IF($P466="","",INDEX(명단표[구리 근무일(기준월)],$P466))</f>
        <v/>
      </c>
      <c r="N466">
        <f>IF($P466="","",INDEX(명단표[급여 판정 근거],$P466))</f>
        <v/>
      </c>
      <c r="O466">
        <f>IF($P466="","",INDEX(명단표[점검],$P466))</f>
        <v/>
      </c>
      <c r="P466" s="17">
        <f>IFERROR(MATCH(461,명단표[서울순번],0),"")</f>
        <v/>
      </c>
      <c r="R466">
        <f>IF($W466="","",INDEX(명단표[이름],$W466))</f>
        <v/>
      </c>
      <c r="S466">
        <f>IF($W466="","",INDEX(명단표[사번],$W466)&amp;"")</f>
        <v/>
      </c>
      <c r="T466">
        <f>IF($W466="","",INDEX(명단표[소속병원],$W466))</f>
        <v/>
      </c>
      <c r="U466">
        <f>IF($W466="","",INDEX(명단표[서울 근무일(기준월)],$W466))</f>
        <v/>
      </c>
      <c r="V466">
        <f>IF($W466="","",INDEX(명단표[구리 근무일(기준월)],$W466))</f>
        <v/>
      </c>
      <c r="W466" s="17">
        <f>IFERROR(MATCH(461,명단표[판정불가순번],0),"")</f>
        <v/>
      </c>
    </row>
    <row r="467">
      <c r="A467">
        <f>IF($P467="","",462)</f>
        <v/>
      </c>
      <c r="B467">
        <f>IF($P467="","",INDEX(명단표[이름],$P467))</f>
        <v/>
      </c>
      <c r="C467">
        <f>IF($P467="","",INDEX(명단표[사번],$P467)&amp;"")</f>
        <v/>
      </c>
      <c r="D467">
        <f>IF($P467="","",INDEX(명단표[전공의등록번호],$P467)&amp;"")</f>
        <v/>
      </c>
      <c r="E467">
        <f>IF($P467="","",INDEX(명단표[수련과목],$P467)&amp;"")</f>
        <v/>
      </c>
      <c r="F467">
        <f>IF($P467="","",INDEX(명단표[연차],$P467)&amp;"")</f>
        <v/>
      </c>
      <c r="G467">
        <f>IF($P467="","",INDEX(명단표[소속병원],$P467))</f>
        <v/>
      </c>
      <c r="H467">
        <f>IF($P467="","",IF(INDEX(명단표[소속병원],$P467)="서울병원","서울 소속","타 병원 소속("&amp;INDEX(명단표[소속병원],$P467)&amp;") → 서울 지급"))</f>
        <v/>
      </c>
      <c r="I467">
        <f>IF($P467="","",INDEX(명단표[현재 근무병원],$P467))</f>
        <v/>
      </c>
      <c r="J467">
        <f>IF($P467="","",INDEX(명단표[구리 근무 시작일(기준월)],$P467)&amp;"")</f>
        <v/>
      </c>
      <c r="K467">
        <f>IF($P467="","",INDEX(명단표[구리 근무 종료일(기준월)],$P467)&amp;"")</f>
        <v/>
      </c>
      <c r="L467">
        <f>IF($P467="","",INDEX(명단표[서울 근무일(기준월)],$P467))</f>
        <v/>
      </c>
      <c r="M467">
        <f>IF($P467="","",INDEX(명단표[구리 근무일(기준월)],$P467))</f>
        <v/>
      </c>
      <c r="N467">
        <f>IF($P467="","",INDEX(명단표[급여 판정 근거],$P467))</f>
        <v/>
      </c>
      <c r="O467">
        <f>IF($P467="","",INDEX(명단표[점검],$P467))</f>
        <v/>
      </c>
      <c r="P467" s="17">
        <f>IFERROR(MATCH(462,명단표[서울순번],0),"")</f>
        <v/>
      </c>
      <c r="R467">
        <f>IF($W467="","",INDEX(명단표[이름],$W467))</f>
        <v/>
      </c>
      <c r="S467">
        <f>IF($W467="","",INDEX(명단표[사번],$W467)&amp;"")</f>
        <v/>
      </c>
      <c r="T467">
        <f>IF($W467="","",INDEX(명단표[소속병원],$W467))</f>
        <v/>
      </c>
      <c r="U467">
        <f>IF($W467="","",INDEX(명단표[서울 근무일(기준월)],$W467))</f>
        <v/>
      </c>
      <c r="V467">
        <f>IF($W467="","",INDEX(명단표[구리 근무일(기준월)],$W467))</f>
        <v/>
      </c>
      <c r="W467" s="17">
        <f>IFERROR(MATCH(462,명단표[판정불가순번],0),"")</f>
        <v/>
      </c>
    </row>
    <row r="468">
      <c r="A468">
        <f>IF($P468="","",463)</f>
        <v/>
      </c>
      <c r="B468">
        <f>IF($P468="","",INDEX(명단표[이름],$P468))</f>
        <v/>
      </c>
      <c r="C468">
        <f>IF($P468="","",INDEX(명단표[사번],$P468)&amp;"")</f>
        <v/>
      </c>
      <c r="D468">
        <f>IF($P468="","",INDEX(명단표[전공의등록번호],$P468)&amp;"")</f>
        <v/>
      </c>
      <c r="E468">
        <f>IF($P468="","",INDEX(명단표[수련과목],$P468)&amp;"")</f>
        <v/>
      </c>
      <c r="F468">
        <f>IF($P468="","",INDEX(명단표[연차],$P468)&amp;"")</f>
        <v/>
      </c>
      <c r="G468">
        <f>IF($P468="","",INDEX(명단표[소속병원],$P468))</f>
        <v/>
      </c>
      <c r="H468">
        <f>IF($P468="","",IF(INDEX(명단표[소속병원],$P468)="서울병원","서울 소속","타 병원 소속("&amp;INDEX(명단표[소속병원],$P468)&amp;") → 서울 지급"))</f>
        <v/>
      </c>
      <c r="I468">
        <f>IF($P468="","",INDEX(명단표[현재 근무병원],$P468))</f>
        <v/>
      </c>
      <c r="J468">
        <f>IF($P468="","",INDEX(명단표[구리 근무 시작일(기준월)],$P468)&amp;"")</f>
        <v/>
      </c>
      <c r="K468">
        <f>IF($P468="","",INDEX(명단표[구리 근무 종료일(기준월)],$P468)&amp;"")</f>
        <v/>
      </c>
      <c r="L468">
        <f>IF($P468="","",INDEX(명단표[서울 근무일(기준월)],$P468))</f>
        <v/>
      </c>
      <c r="M468">
        <f>IF($P468="","",INDEX(명단표[구리 근무일(기준월)],$P468))</f>
        <v/>
      </c>
      <c r="N468">
        <f>IF($P468="","",INDEX(명단표[급여 판정 근거],$P468))</f>
        <v/>
      </c>
      <c r="O468">
        <f>IF($P468="","",INDEX(명단표[점검],$P468))</f>
        <v/>
      </c>
      <c r="P468" s="17">
        <f>IFERROR(MATCH(463,명단표[서울순번],0),"")</f>
        <v/>
      </c>
      <c r="R468">
        <f>IF($W468="","",INDEX(명단표[이름],$W468))</f>
        <v/>
      </c>
      <c r="S468">
        <f>IF($W468="","",INDEX(명단표[사번],$W468)&amp;"")</f>
        <v/>
      </c>
      <c r="T468">
        <f>IF($W468="","",INDEX(명단표[소속병원],$W468))</f>
        <v/>
      </c>
      <c r="U468">
        <f>IF($W468="","",INDEX(명단표[서울 근무일(기준월)],$W468))</f>
        <v/>
      </c>
      <c r="V468">
        <f>IF($W468="","",INDEX(명단표[구리 근무일(기준월)],$W468))</f>
        <v/>
      </c>
      <c r="W468" s="17">
        <f>IFERROR(MATCH(463,명단표[판정불가순번],0),"")</f>
        <v/>
      </c>
    </row>
    <row r="469">
      <c r="A469">
        <f>IF($P469="","",464)</f>
        <v/>
      </c>
      <c r="B469">
        <f>IF($P469="","",INDEX(명단표[이름],$P469))</f>
        <v/>
      </c>
      <c r="C469">
        <f>IF($P469="","",INDEX(명단표[사번],$P469)&amp;"")</f>
        <v/>
      </c>
      <c r="D469">
        <f>IF($P469="","",INDEX(명단표[전공의등록번호],$P469)&amp;"")</f>
        <v/>
      </c>
      <c r="E469">
        <f>IF($P469="","",INDEX(명단표[수련과목],$P469)&amp;"")</f>
        <v/>
      </c>
      <c r="F469">
        <f>IF($P469="","",INDEX(명단표[연차],$P469)&amp;"")</f>
        <v/>
      </c>
      <c r="G469">
        <f>IF($P469="","",INDEX(명단표[소속병원],$P469))</f>
        <v/>
      </c>
      <c r="H469">
        <f>IF($P469="","",IF(INDEX(명단표[소속병원],$P469)="서울병원","서울 소속","타 병원 소속("&amp;INDEX(명단표[소속병원],$P469)&amp;") → 서울 지급"))</f>
        <v/>
      </c>
      <c r="I469">
        <f>IF($P469="","",INDEX(명단표[현재 근무병원],$P469))</f>
        <v/>
      </c>
      <c r="J469">
        <f>IF($P469="","",INDEX(명단표[구리 근무 시작일(기준월)],$P469)&amp;"")</f>
        <v/>
      </c>
      <c r="K469">
        <f>IF($P469="","",INDEX(명단표[구리 근무 종료일(기준월)],$P469)&amp;"")</f>
        <v/>
      </c>
      <c r="L469">
        <f>IF($P469="","",INDEX(명단표[서울 근무일(기준월)],$P469))</f>
        <v/>
      </c>
      <c r="M469">
        <f>IF($P469="","",INDEX(명단표[구리 근무일(기준월)],$P469))</f>
        <v/>
      </c>
      <c r="N469">
        <f>IF($P469="","",INDEX(명단표[급여 판정 근거],$P469))</f>
        <v/>
      </c>
      <c r="O469">
        <f>IF($P469="","",INDEX(명단표[점검],$P469))</f>
        <v/>
      </c>
      <c r="P469" s="17">
        <f>IFERROR(MATCH(464,명단표[서울순번],0),"")</f>
        <v/>
      </c>
      <c r="R469">
        <f>IF($W469="","",INDEX(명단표[이름],$W469))</f>
        <v/>
      </c>
      <c r="S469">
        <f>IF($W469="","",INDEX(명단표[사번],$W469)&amp;"")</f>
        <v/>
      </c>
      <c r="T469">
        <f>IF($W469="","",INDEX(명단표[소속병원],$W469))</f>
        <v/>
      </c>
      <c r="U469">
        <f>IF($W469="","",INDEX(명단표[서울 근무일(기준월)],$W469))</f>
        <v/>
      </c>
      <c r="V469">
        <f>IF($W469="","",INDEX(명단표[구리 근무일(기준월)],$W469))</f>
        <v/>
      </c>
      <c r="W469" s="17">
        <f>IFERROR(MATCH(464,명단표[판정불가순번],0),"")</f>
        <v/>
      </c>
    </row>
    <row r="470">
      <c r="A470">
        <f>IF($P470="","",465)</f>
        <v/>
      </c>
      <c r="B470">
        <f>IF($P470="","",INDEX(명단표[이름],$P470))</f>
        <v/>
      </c>
      <c r="C470">
        <f>IF($P470="","",INDEX(명단표[사번],$P470)&amp;"")</f>
        <v/>
      </c>
      <c r="D470">
        <f>IF($P470="","",INDEX(명단표[전공의등록번호],$P470)&amp;"")</f>
        <v/>
      </c>
      <c r="E470">
        <f>IF($P470="","",INDEX(명단표[수련과목],$P470)&amp;"")</f>
        <v/>
      </c>
      <c r="F470">
        <f>IF($P470="","",INDEX(명단표[연차],$P470)&amp;"")</f>
        <v/>
      </c>
      <c r="G470">
        <f>IF($P470="","",INDEX(명단표[소속병원],$P470))</f>
        <v/>
      </c>
      <c r="H470">
        <f>IF($P470="","",IF(INDEX(명단표[소속병원],$P470)="서울병원","서울 소속","타 병원 소속("&amp;INDEX(명단표[소속병원],$P470)&amp;") → 서울 지급"))</f>
        <v/>
      </c>
      <c r="I470">
        <f>IF($P470="","",INDEX(명단표[현재 근무병원],$P470))</f>
        <v/>
      </c>
      <c r="J470">
        <f>IF($P470="","",INDEX(명단표[구리 근무 시작일(기준월)],$P470)&amp;"")</f>
        <v/>
      </c>
      <c r="K470">
        <f>IF($P470="","",INDEX(명단표[구리 근무 종료일(기준월)],$P470)&amp;"")</f>
        <v/>
      </c>
      <c r="L470">
        <f>IF($P470="","",INDEX(명단표[서울 근무일(기준월)],$P470))</f>
        <v/>
      </c>
      <c r="M470">
        <f>IF($P470="","",INDEX(명단표[구리 근무일(기준월)],$P470))</f>
        <v/>
      </c>
      <c r="N470">
        <f>IF($P470="","",INDEX(명단표[급여 판정 근거],$P470))</f>
        <v/>
      </c>
      <c r="O470">
        <f>IF($P470="","",INDEX(명단표[점검],$P470))</f>
        <v/>
      </c>
      <c r="P470" s="17">
        <f>IFERROR(MATCH(465,명단표[서울순번],0),"")</f>
        <v/>
      </c>
      <c r="R470">
        <f>IF($W470="","",INDEX(명단표[이름],$W470))</f>
        <v/>
      </c>
      <c r="S470">
        <f>IF($W470="","",INDEX(명단표[사번],$W470)&amp;"")</f>
        <v/>
      </c>
      <c r="T470">
        <f>IF($W470="","",INDEX(명단표[소속병원],$W470))</f>
        <v/>
      </c>
      <c r="U470">
        <f>IF($W470="","",INDEX(명단표[서울 근무일(기준월)],$W470))</f>
        <v/>
      </c>
      <c r="V470">
        <f>IF($W470="","",INDEX(명단표[구리 근무일(기준월)],$W470))</f>
        <v/>
      </c>
      <c r="W470" s="17">
        <f>IFERROR(MATCH(465,명단표[판정불가순번],0),"")</f>
        <v/>
      </c>
    </row>
    <row r="471">
      <c r="A471">
        <f>IF($P471="","",466)</f>
        <v/>
      </c>
      <c r="B471">
        <f>IF($P471="","",INDEX(명단표[이름],$P471))</f>
        <v/>
      </c>
      <c r="C471">
        <f>IF($P471="","",INDEX(명단표[사번],$P471)&amp;"")</f>
        <v/>
      </c>
      <c r="D471">
        <f>IF($P471="","",INDEX(명단표[전공의등록번호],$P471)&amp;"")</f>
        <v/>
      </c>
      <c r="E471">
        <f>IF($P471="","",INDEX(명단표[수련과목],$P471)&amp;"")</f>
        <v/>
      </c>
      <c r="F471">
        <f>IF($P471="","",INDEX(명단표[연차],$P471)&amp;"")</f>
        <v/>
      </c>
      <c r="G471">
        <f>IF($P471="","",INDEX(명단표[소속병원],$P471))</f>
        <v/>
      </c>
      <c r="H471">
        <f>IF($P471="","",IF(INDEX(명단표[소속병원],$P471)="서울병원","서울 소속","타 병원 소속("&amp;INDEX(명단표[소속병원],$P471)&amp;") → 서울 지급"))</f>
        <v/>
      </c>
      <c r="I471">
        <f>IF($P471="","",INDEX(명단표[현재 근무병원],$P471))</f>
        <v/>
      </c>
      <c r="J471">
        <f>IF($P471="","",INDEX(명단표[구리 근무 시작일(기준월)],$P471)&amp;"")</f>
        <v/>
      </c>
      <c r="K471">
        <f>IF($P471="","",INDEX(명단표[구리 근무 종료일(기준월)],$P471)&amp;"")</f>
        <v/>
      </c>
      <c r="L471">
        <f>IF($P471="","",INDEX(명단표[서울 근무일(기준월)],$P471))</f>
        <v/>
      </c>
      <c r="M471">
        <f>IF($P471="","",INDEX(명단표[구리 근무일(기준월)],$P471))</f>
        <v/>
      </c>
      <c r="N471">
        <f>IF($P471="","",INDEX(명단표[급여 판정 근거],$P471))</f>
        <v/>
      </c>
      <c r="O471">
        <f>IF($P471="","",INDEX(명단표[점검],$P471))</f>
        <v/>
      </c>
      <c r="P471" s="17">
        <f>IFERROR(MATCH(466,명단표[서울순번],0),"")</f>
        <v/>
      </c>
      <c r="R471">
        <f>IF($W471="","",INDEX(명단표[이름],$W471))</f>
        <v/>
      </c>
      <c r="S471">
        <f>IF($W471="","",INDEX(명단표[사번],$W471)&amp;"")</f>
        <v/>
      </c>
      <c r="T471">
        <f>IF($W471="","",INDEX(명단표[소속병원],$W471))</f>
        <v/>
      </c>
      <c r="U471">
        <f>IF($W471="","",INDEX(명단표[서울 근무일(기준월)],$W471))</f>
        <v/>
      </c>
      <c r="V471">
        <f>IF($W471="","",INDEX(명단표[구리 근무일(기준월)],$W471))</f>
        <v/>
      </c>
      <c r="W471" s="17">
        <f>IFERROR(MATCH(466,명단표[판정불가순번],0),"")</f>
        <v/>
      </c>
    </row>
    <row r="472">
      <c r="A472">
        <f>IF($P472="","",467)</f>
        <v/>
      </c>
      <c r="B472">
        <f>IF($P472="","",INDEX(명단표[이름],$P472))</f>
        <v/>
      </c>
      <c r="C472">
        <f>IF($P472="","",INDEX(명단표[사번],$P472)&amp;"")</f>
        <v/>
      </c>
      <c r="D472">
        <f>IF($P472="","",INDEX(명단표[전공의등록번호],$P472)&amp;"")</f>
        <v/>
      </c>
      <c r="E472">
        <f>IF($P472="","",INDEX(명단표[수련과목],$P472)&amp;"")</f>
        <v/>
      </c>
      <c r="F472">
        <f>IF($P472="","",INDEX(명단표[연차],$P472)&amp;"")</f>
        <v/>
      </c>
      <c r="G472">
        <f>IF($P472="","",INDEX(명단표[소속병원],$P472))</f>
        <v/>
      </c>
      <c r="H472">
        <f>IF($P472="","",IF(INDEX(명단표[소속병원],$P472)="서울병원","서울 소속","타 병원 소속("&amp;INDEX(명단표[소속병원],$P472)&amp;") → 서울 지급"))</f>
        <v/>
      </c>
      <c r="I472">
        <f>IF($P472="","",INDEX(명단표[현재 근무병원],$P472))</f>
        <v/>
      </c>
      <c r="J472">
        <f>IF($P472="","",INDEX(명단표[구리 근무 시작일(기준월)],$P472)&amp;"")</f>
        <v/>
      </c>
      <c r="K472">
        <f>IF($P472="","",INDEX(명단표[구리 근무 종료일(기준월)],$P472)&amp;"")</f>
        <v/>
      </c>
      <c r="L472">
        <f>IF($P472="","",INDEX(명단표[서울 근무일(기준월)],$P472))</f>
        <v/>
      </c>
      <c r="M472">
        <f>IF($P472="","",INDEX(명단표[구리 근무일(기준월)],$P472))</f>
        <v/>
      </c>
      <c r="N472">
        <f>IF($P472="","",INDEX(명단표[급여 판정 근거],$P472))</f>
        <v/>
      </c>
      <c r="O472">
        <f>IF($P472="","",INDEX(명단표[점검],$P472))</f>
        <v/>
      </c>
      <c r="P472" s="17">
        <f>IFERROR(MATCH(467,명단표[서울순번],0),"")</f>
        <v/>
      </c>
      <c r="R472">
        <f>IF($W472="","",INDEX(명단표[이름],$W472))</f>
        <v/>
      </c>
      <c r="S472">
        <f>IF($W472="","",INDEX(명단표[사번],$W472)&amp;"")</f>
        <v/>
      </c>
      <c r="T472">
        <f>IF($W472="","",INDEX(명단표[소속병원],$W472))</f>
        <v/>
      </c>
      <c r="U472">
        <f>IF($W472="","",INDEX(명단표[서울 근무일(기준월)],$W472))</f>
        <v/>
      </c>
      <c r="V472">
        <f>IF($W472="","",INDEX(명단표[구리 근무일(기준월)],$W472))</f>
        <v/>
      </c>
      <c r="W472" s="17">
        <f>IFERROR(MATCH(467,명단표[판정불가순번],0),"")</f>
        <v/>
      </c>
    </row>
    <row r="473">
      <c r="A473">
        <f>IF($P473="","",468)</f>
        <v/>
      </c>
      <c r="B473">
        <f>IF($P473="","",INDEX(명단표[이름],$P473))</f>
        <v/>
      </c>
      <c r="C473">
        <f>IF($P473="","",INDEX(명단표[사번],$P473)&amp;"")</f>
        <v/>
      </c>
      <c r="D473">
        <f>IF($P473="","",INDEX(명단표[전공의등록번호],$P473)&amp;"")</f>
        <v/>
      </c>
      <c r="E473">
        <f>IF($P473="","",INDEX(명단표[수련과목],$P473)&amp;"")</f>
        <v/>
      </c>
      <c r="F473">
        <f>IF($P473="","",INDEX(명단표[연차],$P473)&amp;"")</f>
        <v/>
      </c>
      <c r="G473">
        <f>IF($P473="","",INDEX(명단표[소속병원],$P473))</f>
        <v/>
      </c>
      <c r="H473">
        <f>IF($P473="","",IF(INDEX(명단표[소속병원],$P473)="서울병원","서울 소속","타 병원 소속("&amp;INDEX(명단표[소속병원],$P473)&amp;") → 서울 지급"))</f>
        <v/>
      </c>
      <c r="I473">
        <f>IF($P473="","",INDEX(명단표[현재 근무병원],$P473))</f>
        <v/>
      </c>
      <c r="J473">
        <f>IF($P473="","",INDEX(명단표[구리 근무 시작일(기준월)],$P473)&amp;"")</f>
        <v/>
      </c>
      <c r="K473">
        <f>IF($P473="","",INDEX(명단표[구리 근무 종료일(기준월)],$P473)&amp;"")</f>
        <v/>
      </c>
      <c r="L473">
        <f>IF($P473="","",INDEX(명단표[서울 근무일(기준월)],$P473))</f>
        <v/>
      </c>
      <c r="M473">
        <f>IF($P473="","",INDEX(명단표[구리 근무일(기준월)],$P473))</f>
        <v/>
      </c>
      <c r="N473">
        <f>IF($P473="","",INDEX(명단표[급여 판정 근거],$P473))</f>
        <v/>
      </c>
      <c r="O473">
        <f>IF($P473="","",INDEX(명단표[점검],$P473))</f>
        <v/>
      </c>
      <c r="P473" s="17">
        <f>IFERROR(MATCH(468,명단표[서울순번],0),"")</f>
        <v/>
      </c>
      <c r="R473">
        <f>IF($W473="","",INDEX(명단표[이름],$W473))</f>
        <v/>
      </c>
      <c r="S473">
        <f>IF($W473="","",INDEX(명단표[사번],$W473)&amp;"")</f>
        <v/>
      </c>
      <c r="T473">
        <f>IF($W473="","",INDEX(명단표[소속병원],$W473))</f>
        <v/>
      </c>
      <c r="U473">
        <f>IF($W473="","",INDEX(명단표[서울 근무일(기준월)],$W473))</f>
        <v/>
      </c>
      <c r="V473">
        <f>IF($W473="","",INDEX(명단표[구리 근무일(기준월)],$W473))</f>
        <v/>
      </c>
      <c r="W473" s="17">
        <f>IFERROR(MATCH(468,명단표[판정불가순번],0),"")</f>
        <v/>
      </c>
    </row>
    <row r="474">
      <c r="A474">
        <f>IF($P474="","",469)</f>
        <v/>
      </c>
      <c r="B474">
        <f>IF($P474="","",INDEX(명단표[이름],$P474))</f>
        <v/>
      </c>
      <c r="C474">
        <f>IF($P474="","",INDEX(명단표[사번],$P474)&amp;"")</f>
        <v/>
      </c>
      <c r="D474">
        <f>IF($P474="","",INDEX(명단표[전공의등록번호],$P474)&amp;"")</f>
        <v/>
      </c>
      <c r="E474">
        <f>IF($P474="","",INDEX(명단표[수련과목],$P474)&amp;"")</f>
        <v/>
      </c>
      <c r="F474">
        <f>IF($P474="","",INDEX(명단표[연차],$P474)&amp;"")</f>
        <v/>
      </c>
      <c r="G474">
        <f>IF($P474="","",INDEX(명단표[소속병원],$P474))</f>
        <v/>
      </c>
      <c r="H474">
        <f>IF($P474="","",IF(INDEX(명단표[소속병원],$P474)="서울병원","서울 소속","타 병원 소속("&amp;INDEX(명단표[소속병원],$P474)&amp;") → 서울 지급"))</f>
        <v/>
      </c>
      <c r="I474">
        <f>IF($P474="","",INDEX(명단표[현재 근무병원],$P474))</f>
        <v/>
      </c>
      <c r="J474">
        <f>IF($P474="","",INDEX(명단표[구리 근무 시작일(기준월)],$P474)&amp;"")</f>
        <v/>
      </c>
      <c r="K474">
        <f>IF($P474="","",INDEX(명단표[구리 근무 종료일(기준월)],$P474)&amp;"")</f>
        <v/>
      </c>
      <c r="L474">
        <f>IF($P474="","",INDEX(명단표[서울 근무일(기준월)],$P474))</f>
        <v/>
      </c>
      <c r="M474">
        <f>IF($P474="","",INDEX(명단표[구리 근무일(기준월)],$P474))</f>
        <v/>
      </c>
      <c r="N474">
        <f>IF($P474="","",INDEX(명단표[급여 판정 근거],$P474))</f>
        <v/>
      </c>
      <c r="O474">
        <f>IF($P474="","",INDEX(명단표[점검],$P474))</f>
        <v/>
      </c>
      <c r="P474" s="17">
        <f>IFERROR(MATCH(469,명단표[서울순번],0),"")</f>
        <v/>
      </c>
      <c r="R474">
        <f>IF($W474="","",INDEX(명단표[이름],$W474))</f>
        <v/>
      </c>
      <c r="S474">
        <f>IF($W474="","",INDEX(명단표[사번],$W474)&amp;"")</f>
        <v/>
      </c>
      <c r="T474">
        <f>IF($W474="","",INDEX(명단표[소속병원],$W474))</f>
        <v/>
      </c>
      <c r="U474">
        <f>IF($W474="","",INDEX(명단표[서울 근무일(기준월)],$W474))</f>
        <v/>
      </c>
      <c r="V474">
        <f>IF($W474="","",INDEX(명단표[구리 근무일(기준월)],$W474))</f>
        <v/>
      </c>
      <c r="W474" s="17">
        <f>IFERROR(MATCH(469,명단표[판정불가순번],0),"")</f>
        <v/>
      </c>
    </row>
    <row r="475">
      <c r="A475">
        <f>IF($P475="","",470)</f>
        <v/>
      </c>
      <c r="B475">
        <f>IF($P475="","",INDEX(명단표[이름],$P475))</f>
        <v/>
      </c>
      <c r="C475">
        <f>IF($P475="","",INDEX(명단표[사번],$P475)&amp;"")</f>
        <v/>
      </c>
      <c r="D475">
        <f>IF($P475="","",INDEX(명단표[전공의등록번호],$P475)&amp;"")</f>
        <v/>
      </c>
      <c r="E475">
        <f>IF($P475="","",INDEX(명단표[수련과목],$P475)&amp;"")</f>
        <v/>
      </c>
      <c r="F475">
        <f>IF($P475="","",INDEX(명단표[연차],$P475)&amp;"")</f>
        <v/>
      </c>
      <c r="G475">
        <f>IF($P475="","",INDEX(명단표[소속병원],$P475))</f>
        <v/>
      </c>
      <c r="H475">
        <f>IF($P475="","",IF(INDEX(명단표[소속병원],$P475)="서울병원","서울 소속","타 병원 소속("&amp;INDEX(명단표[소속병원],$P475)&amp;") → 서울 지급"))</f>
        <v/>
      </c>
      <c r="I475">
        <f>IF($P475="","",INDEX(명단표[현재 근무병원],$P475))</f>
        <v/>
      </c>
      <c r="J475">
        <f>IF($P475="","",INDEX(명단표[구리 근무 시작일(기준월)],$P475)&amp;"")</f>
        <v/>
      </c>
      <c r="K475">
        <f>IF($P475="","",INDEX(명단표[구리 근무 종료일(기준월)],$P475)&amp;"")</f>
        <v/>
      </c>
      <c r="L475">
        <f>IF($P475="","",INDEX(명단표[서울 근무일(기준월)],$P475))</f>
        <v/>
      </c>
      <c r="M475">
        <f>IF($P475="","",INDEX(명단표[구리 근무일(기준월)],$P475))</f>
        <v/>
      </c>
      <c r="N475">
        <f>IF($P475="","",INDEX(명단표[급여 판정 근거],$P475))</f>
        <v/>
      </c>
      <c r="O475">
        <f>IF($P475="","",INDEX(명단표[점검],$P475))</f>
        <v/>
      </c>
      <c r="P475" s="17">
        <f>IFERROR(MATCH(470,명단표[서울순번],0),"")</f>
        <v/>
      </c>
      <c r="R475">
        <f>IF($W475="","",INDEX(명단표[이름],$W475))</f>
        <v/>
      </c>
      <c r="S475">
        <f>IF($W475="","",INDEX(명단표[사번],$W475)&amp;"")</f>
        <v/>
      </c>
      <c r="T475">
        <f>IF($W475="","",INDEX(명단표[소속병원],$W475))</f>
        <v/>
      </c>
      <c r="U475">
        <f>IF($W475="","",INDEX(명단표[서울 근무일(기준월)],$W475))</f>
        <v/>
      </c>
      <c r="V475">
        <f>IF($W475="","",INDEX(명단표[구리 근무일(기준월)],$W475))</f>
        <v/>
      </c>
      <c r="W475" s="17">
        <f>IFERROR(MATCH(470,명단표[판정불가순번],0),"")</f>
        <v/>
      </c>
    </row>
    <row r="476">
      <c r="A476">
        <f>IF($P476="","",471)</f>
        <v/>
      </c>
      <c r="B476">
        <f>IF($P476="","",INDEX(명단표[이름],$P476))</f>
        <v/>
      </c>
      <c r="C476">
        <f>IF($P476="","",INDEX(명단표[사번],$P476)&amp;"")</f>
        <v/>
      </c>
      <c r="D476">
        <f>IF($P476="","",INDEX(명단표[전공의등록번호],$P476)&amp;"")</f>
        <v/>
      </c>
      <c r="E476">
        <f>IF($P476="","",INDEX(명단표[수련과목],$P476)&amp;"")</f>
        <v/>
      </c>
      <c r="F476">
        <f>IF($P476="","",INDEX(명단표[연차],$P476)&amp;"")</f>
        <v/>
      </c>
      <c r="G476">
        <f>IF($P476="","",INDEX(명단표[소속병원],$P476))</f>
        <v/>
      </c>
      <c r="H476">
        <f>IF($P476="","",IF(INDEX(명단표[소속병원],$P476)="서울병원","서울 소속","타 병원 소속("&amp;INDEX(명단표[소속병원],$P476)&amp;") → 서울 지급"))</f>
        <v/>
      </c>
      <c r="I476">
        <f>IF($P476="","",INDEX(명단표[현재 근무병원],$P476))</f>
        <v/>
      </c>
      <c r="J476">
        <f>IF($P476="","",INDEX(명단표[구리 근무 시작일(기준월)],$P476)&amp;"")</f>
        <v/>
      </c>
      <c r="K476">
        <f>IF($P476="","",INDEX(명단표[구리 근무 종료일(기준월)],$P476)&amp;"")</f>
        <v/>
      </c>
      <c r="L476">
        <f>IF($P476="","",INDEX(명단표[서울 근무일(기준월)],$P476))</f>
        <v/>
      </c>
      <c r="M476">
        <f>IF($P476="","",INDEX(명단표[구리 근무일(기준월)],$P476))</f>
        <v/>
      </c>
      <c r="N476">
        <f>IF($P476="","",INDEX(명단표[급여 판정 근거],$P476))</f>
        <v/>
      </c>
      <c r="O476">
        <f>IF($P476="","",INDEX(명단표[점검],$P476))</f>
        <v/>
      </c>
      <c r="P476" s="17">
        <f>IFERROR(MATCH(471,명단표[서울순번],0),"")</f>
        <v/>
      </c>
      <c r="R476">
        <f>IF($W476="","",INDEX(명단표[이름],$W476))</f>
        <v/>
      </c>
      <c r="S476">
        <f>IF($W476="","",INDEX(명단표[사번],$W476)&amp;"")</f>
        <v/>
      </c>
      <c r="T476">
        <f>IF($W476="","",INDEX(명단표[소속병원],$W476))</f>
        <v/>
      </c>
      <c r="U476">
        <f>IF($W476="","",INDEX(명단표[서울 근무일(기준월)],$W476))</f>
        <v/>
      </c>
      <c r="V476">
        <f>IF($W476="","",INDEX(명단표[구리 근무일(기준월)],$W476))</f>
        <v/>
      </c>
      <c r="W476" s="17">
        <f>IFERROR(MATCH(471,명단표[판정불가순번],0),"")</f>
        <v/>
      </c>
    </row>
    <row r="477">
      <c r="A477">
        <f>IF($P477="","",472)</f>
        <v/>
      </c>
      <c r="B477">
        <f>IF($P477="","",INDEX(명단표[이름],$P477))</f>
        <v/>
      </c>
      <c r="C477">
        <f>IF($P477="","",INDEX(명단표[사번],$P477)&amp;"")</f>
        <v/>
      </c>
      <c r="D477">
        <f>IF($P477="","",INDEX(명단표[전공의등록번호],$P477)&amp;"")</f>
        <v/>
      </c>
      <c r="E477">
        <f>IF($P477="","",INDEX(명단표[수련과목],$P477)&amp;"")</f>
        <v/>
      </c>
      <c r="F477">
        <f>IF($P477="","",INDEX(명단표[연차],$P477)&amp;"")</f>
        <v/>
      </c>
      <c r="G477">
        <f>IF($P477="","",INDEX(명단표[소속병원],$P477))</f>
        <v/>
      </c>
      <c r="H477">
        <f>IF($P477="","",IF(INDEX(명단표[소속병원],$P477)="서울병원","서울 소속","타 병원 소속("&amp;INDEX(명단표[소속병원],$P477)&amp;") → 서울 지급"))</f>
        <v/>
      </c>
      <c r="I477">
        <f>IF($P477="","",INDEX(명단표[현재 근무병원],$P477))</f>
        <v/>
      </c>
      <c r="J477">
        <f>IF($P477="","",INDEX(명단표[구리 근무 시작일(기준월)],$P477)&amp;"")</f>
        <v/>
      </c>
      <c r="K477">
        <f>IF($P477="","",INDEX(명단표[구리 근무 종료일(기준월)],$P477)&amp;"")</f>
        <v/>
      </c>
      <c r="L477">
        <f>IF($P477="","",INDEX(명단표[서울 근무일(기준월)],$P477))</f>
        <v/>
      </c>
      <c r="M477">
        <f>IF($P477="","",INDEX(명단표[구리 근무일(기준월)],$P477))</f>
        <v/>
      </c>
      <c r="N477">
        <f>IF($P477="","",INDEX(명단표[급여 판정 근거],$P477))</f>
        <v/>
      </c>
      <c r="O477">
        <f>IF($P477="","",INDEX(명단표[점검],$P477))</f>
        <v/>
      </c>
      <c r="P477" s="17">
        <f>IFERROR(MATCH(472,명단표[서울순번],0),"")</f>
        <v/>
      </c>
      <c r="R477">
        <f>IF($W477="","",INDEX(명단표[이름],$W477))</f>
        <v/>
      </c>
      <c r="S477">
        <f>IF($W477="","",INDEX(명단표[사번],$W477)&amp;"")</f>
        <v/>
      </c>
      <c r="T477">
        <f>IF($W477="","",INDEX(명단표[소속병원],$W477))</f>
        <v/>
      </c>
      <c r="U477">
        <f>IF($W477="","",INDEX(명단표[서울 근무일(기준월)],$W477))</f>
        <v/>
      </c>
      <c r="V477">
        <f>IF($W477="","",INDEX(명단표[구리 근무일(기준월)],$W477))</f>
        <v/>
      </c>
      <c r="W477" s="17">
        <f>IFERROR(MATCH(472,명단표[판정불가순번],0),"")</f>
        <v/>
      </c>
    </row>
    <row r="478">
      <c r="A478">
        <f>IF($P478="","",473)</f>
        <v/>
      </c>
      <c r="B478">
        <f>IF($P478="","",INDEX(명단표[이름],$P478))</f>
        <v/>
      </c>
      <c r="C478">
        <f>IF($P478="","",INDEX(명단표[사번],$P478)&amp;"")</f>
        <v/>
      </c>
      <c r="D478">
        <f>IF($P478="","",INDEX(명단표[전공의등록번호],$P478)&amp;"")</f>
        <v/>
      </c>
      <c r="E478">
        <f>IF($P478="","",INDEX(명단표[수련과목],$P478)&amp;"")</f>
        <v/>
      </c>
      <c r="F478">
        <f>IF($P478="","",INDEX(명단표[연차],$P478)&amp;"")</f>
        <v/>
      </c>
      <c r="G478">
        <f>IF($P478="","",INDEX(명단표[소속병원],$P478))</f>
        <v/>
      </c>
      <c r="H478">
        <f>IF($P478="","",IF(INDEX(명단표[소속병원],$P478)="서울병원","서울 소속","타 병원 소속("&amp;INDEX(명단표[소속병원],$P478)&amp;") → 서울 지급"))</f>
        <v/>
      </c>
      <c r="I478">
        <f>IF($P478="","",INDEX(명단표[현재 근무병원],$P478))</f>
        <v/>
      </c>
      <c r="J478">
        <f>IF($P478="","",INDEX(명단표[구리 근무 시작일(기준월)],$P478)&amp;"")</f>
        <v/>
      </c>
      <c r="K478">
        <f>IF($P478="","",INDEX(명단표[구리 근무 종료일(기준월)],$P478)&amp;"")</f>
        <v/>
      </c>
      <c r="L478">
        <f>IF($P478="","",INDEX(명단표[서울 근무일(기준월)],$P478))</f>
        <v/>
      </c>
      <c r="M478">
        <f>IF($P478="","",INDEX(명단표[구리 근무일(기준월)],$P478))</f>
        <v/>
      </c>
      <c r="N478">
        <f>IF($P478="","",INDEX(명단표[급여 판정 근거],$P478))</f>
        <v/>
      </c>
      <c r="O478">
        <f>IF($P478="","",INDEX(명단표[점검],$P478))</f>
        <v/>
      </c>
      <c r="P478" s="17">
        <f>IFERROR(MATCH(473,명단표[서울순번],0),"")</f>
        <v/>
      </c>
      <c r="R478">
        <f>IF($W478="","",INDEX(명단표[이름],$W478))</f>
        <v/>
      </c>
      <c r="S478">
        <f>IF($W478="","",INDEX(명단표[사번],$W478)&amp;"")</f>
        <v/>
      </c>
      <c r="T478">
        <f>IF($W478="","",INDEX(명단표[소속병원],$W478))</f>
        <v/>
      </c>
      <c r="U478">
        <f>IF($W478="","",INDEX(명단표[서울 근무일(기준월)],$W478))</f>
        <v/>
      </c>
      <c r="V478">
        <f>IF($W478="","",INDEX(명단표[구리 근무일(기준월)],$W478))</f>
        <v/>
      </c>
      <c r="W478" s="17">
        <f>IFERROR(MATCH(473,명단표[판정불가순번],0),"")</f>
        <v/>
      </c>
    </row>
    <row r="479">
      <c r="A479">
        <f>IF($P479="","",474)</f>
        <v/>
      </c>
      <c r="B479">
        <f>IF($P479="","",INDEX(명단표[이름],$P479))</f>
        <v/>
      </c>
      <c r="C479">
        <f>IF($P479="","",INDEX(명단표[사번],$P479)&amp;"")</f>
        <v/>
      </c>
      <c r="D479">
        <f>IF($P479="","",INDEX(명단표[전공의등록번호],$P479)&amp;"")</f>
        <v/>
      </c>
      <c r="E479">
        <f>IF($P479="","",INDEX(명단표[수련과목],$P479)&amp;"")</f>
        <v/>
      </c>
      <c r="F479">
        <f>IF($P479="","",INDEX(명단표[연차],$P479)&amp;"")</f>
        <v/>
      </c>
      <c r="G479">
        <f>IF($P479="","",INDEX(명단표[소속병원],$P479))</f>
        <v/>
      </c>
      <c r="H479">
        <f>IF($P479="","",IF(INDEX(명단표[소속병원],$P479)="서울병원","서울 소속","타 병원 소속("&amp;INDEX(명단표[소속병원],$P479)&amp;") → 서울 지급"))</f>
        <v/>
      </c>
      <c r="I479">
        <f>IF($P479="","",INDEX(명단표[현재 근무병원],$P479))</f>
        <v/>
      </c>
      <c r="J479">
        <f>IF($P479="","",INDEX(명단표[구리 근무 시작일(기준월)],$P479)&amp;"")</f>
        <v/>
      </c>
      <c r="K479">
        <f>IF($P479="","",INDEX(명단표[구리 근무 종료일(기준월)],$P479)&amp;"")</f>
        <v/>
      </c>
      <c r="L479">
        <f>IF($P479="","",INDEX(명단표[서울 근무일(기준월)],$P479))</f>
        <v/>
      </c>
      <c r="M479">
        <f>IF($P479="","",INDEX(명단표[구리 근무일(기준월)],$P479))</f>
        <v/>
      </c>
      <c r="N479">
        <f>IF($P479="","",INDEX(명단표[급여 판정 근거],$P479))</f>
        <v/>
      </c>
      <c r="O479">
        <f>IF($P479="","",INDEX(명단표[점검],$P479))</f>
        <v/>
      </c>
      <c r="P479" s="17">
        <f>IFERROR(MATCH(474,명단표[서울순번],0),"")</f>
        <v/>
      </c>
      <c r="R479">
        <f>IF($W479="","",INDEX(명단표[이름],$W479))</f>
        <v/>
      </c>
      <c r="S479">
        <f>IF($W479="","",INDEX(명단표[사번],$W479)&amp;"")</f>
        <v/>
      </c>
      <c r="T479">
        <f>IF($W479="","",INDEX(명단표[소속병원],$W479))</f>
        <v/>
      </c>
      <c r="U479">
        <f>IF($W479="","",INDEX(명단표[서울 근무일(기준월)],$W479))</f>
        <v/>
      </c>
      <c r="V479">
        <f>IF($W479="","",INDEX(명단표[구리 근무일(기준월)],$W479))</f>
        <v/>
      </c>
      <c r="W479" s="17">
        <f>IFERROR(MATCH(474,명단표[판정불가순번],0),"")</f>
        <v/>
      </c>
    </row>
    <row r="480">
      <c r="A480">
        <f>IF($P480="","",475)</f>
        <v/>
      </c>
      <c r="B480">
        <f>IF($P480="","",INDEX(명단표[이름],$P480))</f>
        <v/>
      </c>
      <c r="C480">
        <f>IF($P480="","",INDEX(명단표[사번],$P480)&amp;"")</f>
        <v/>
      </c>
      <c r="D480">
        <f>IF($P480="","",INDEX(명단표[전공의등록번호],$P480)&amp;"")</f>
        <v/>
      </c>
      <c r="E480">
        <f>IF($P480="","",INDEX(명단표[수련과목],$P480)&amp;"")</f>
        <v/>
      </c>
      <c r="F480">
        <f>IF($P480="","",INDEX(명단표[연차],$P480)&amp;"")</f>
        <v/>
      </c>
      <c r="G480">
        <f>IF($P480="","",INDEX(명단표[소속병원],$P480))</f>
        <v/>
      </c>
      <c r="H480">
        <f>IF($P480="","",IF(INDEX(명단표[소속병원],$P480)="서울병원","서울 소속","타 병원 소속("&amp;INDEX(명단표[소속병원],$P480)&amp;") → 서울 지급"))</f>
        <v/>
      </c>
      <c r="I480">
        <f>IF($P480="","",INDEX(명단표[현재 근무병원],$P480))</f>
        <v/>
      </c>
      <c r="J480">
        <f>IF($P480="","",INDEX(명단표[구리 근무 시작일(기준월)],$P480)&amp;"")</f>
        <v/>
      </c>
      <c r="K480">
        <f>IF($P480="","",INDEX(명단표[구리 근무 종료일(기준월)],$P480)&amp;"")</f>
        <v/>
      </c>
      <c r="L480">
        <f>IF($P480="","",INDEX(명단표[서울 근무일(기준월)],$P480))</f>
        <v/>
      </c>
      <c r="M480">
        <f>IF($P480="","",INDEX(명단표[구리 근무일(기준월)],$P480))</f>
        <v/>
      </c>
      <c r="N480">
        <f>IF($P480="","",INDEX(명단표[급여 판정 근거],$P480))</f>
        <v/>
      </c>
      <c r="O480">
        <f>IF($P480="","",INDEX(명단표[점검],$P480))</f>
        <v/>
      </c>
      <c r="P480" s="17">
        <f>IFERROR(MATCH(475,명단표[서울순번],0),"")</f>
        <v/>
      </c>
      <c r="R480">
        <f>IF($W480="","",INDEX(명단표[이름],$W480))</f>
        <v/>
      </c>
      <c r="S480">
        <f>IF($W480="","",INDEX(명단표[사번],$W480)&amp;"")</f>
        <v/>
      </c>
      <c r="T480">
        <f>IF($W480="","",INDEX(명단표[소속병원],$W480))</f>
        <v/>
      </c>
      <c r="U480">
        <f>IF($W480="","",INDEX(명단표[서울 근무일(기준월)],$W480))</f>
        <v/>
      </c>
      <c r="V480">
        <f>IF($W480="","",INDEX(명단표[구리 근무일(기준월)],$W480))</f>
        <v/>
      </c>
      <c r="W480" s="17">
        <f>IFERROR(MATCH(475,명단표[판정불가순번],0),"")</f>
        <v/>
      </c>
    </row>
    <row r="481">
      <c r="A481">
        <f>IF($P481="","",476)</f>
        <v/>
      </c>
      <c r="B481">
        <f>IF($P481="","",INDEX(명단표[이름],$P481))</f>
        <v/>
      </c>
      <c r="C481">
        <f>IF($P481="","",INDEX(명단표[사번],$P481)&amp;"")</f>
        <v/>
      </c>
      <c r="D481">
        <f>IF($P481="","",INDEX(명단표[전공의등록번호],$P481)&amp;"")</f>
        <v/>
      </c>
      <c r="E481">
        <f>IF($P481="","",INDEX(명단표[수련과목],$P481)&amp;"")</f>
        <v/>
      </c>
      <c r="F481">
        <f>IF($P481="","",INDEX(명단표[연차],$P481)&amp;"")</f>
        <v/>
      </c>
      <c r="G481">
        <f>IF($P481="","",INDEX(명단표[소속병원],$P481))</f>
        <v/>
      </c>
      <c r="H481">
        <f>IF($P481="","",IF(INDEX(명단표[소속병원],$P481)="서울병원","서울 소속","타 병원 소속("&amp;INDEX(명단표[소속병원],$P481)&amp;") → 서울 지급"))</f>
        <v/>
      </c>
      <c r="I481">
        <f>IF($P481="","",INDEX(명단표[현재 근무병원],$P481))</f>
        <v/>
      </c>
      <c r="J481">
        <f>IF($P481="","",INDEX(명단표[구리 근무 시작일(기준월)],$P481)&amp;"")</f>
        <v/>
      </c>
      <c r="K481">
        <f>IF($P481="","",INDEX(명단표[구리 근무 종료일(기준월)],$P481)&amp;"")</f>
        <v/>
      </c>
      <c r="L481">
        <f>IF($P481="","",INDEX(명단표[서울 근무일(기준월)],$P481))</f>
        <v/>
      </c>
      <c r="M481">
        <f>IF($P481="","",INDEX(명단표[구리 근무일(기준월)],$P481))</f>
        <v/>
      </c>
      <c r="N481">
        <f>IF($P481="","",INDEX(명단표[급여 판정 근거],$P481))</f>
        <v/>
      </c>
      <c r="O481">
        <f>IF($P481="","",INDEX(명단표[점검],$P481))</f>
        <v/>
      </c>
      <c r="P481" s="17">
        <f>IFERROR(MATCH(476,명단표[서울순번],0),"")</f>
        <v/>
      </c>
      <c r="R481">
        <f>IF($W481="","",INDEX(명단표[이름],$W481))</f>
        <v/>
      </c>
      <c r="S481">
        <f>IF($W481="","",INDEX(명단표[사번],$W481)&amp;"")</f>
        <v/>
      </c>
      <c r="T481">
        <f>IF($W481="","",INDEX(명단표[소속병원],$W481))</f>
        <v/>
      </c>
      <c r="U481">
        <f>IF($W481="","",INDEX(명단표[서울 근무일(기준월)],$W481))</f>
        <v/>
      </c>
      <c r="V481">
        <f>IF($W481="","",INDEX(명단표[구리 근무일(기준월)],$W481))</f>
        <v/>
      </c>
      <c r="W481" s="17">
        <f>IFERROR(MATCH(476,명단표[판정불가순번],0),"")</f>
        <v/>
      </c>
    </row>
    <row r="482">
      <c r="A482">
        <f>IF($P482="","",477)</f>
        <v/>
      </c>
      <c r="B482">
        <f>IF($P482="","",INDEX(명단표[이름],$P482))</f>
        <v/>
      </c>
      <c r="C482">
        <f>IF($P482="","",INDEX(명단표[사번],$P482)&amp;"")</f>
        <v/>
      </c>
      <c r="D482">
        <f>IF($P482="","",INDEX(명단표[전공의등록번호],$P482)&amp;"")</f>
        <v/>
      </c>
      <c r="E482">
        <f>IF($P482="","",INDEX(명단표[수련과목],$P482)&amp;"")</f>
        <v/>
      </c>
      <c r="F482">
        <f>IF($P482="","",INDEX(명단표[연차],$P482)&amp;"")</f>
        <v/>
      </c>
      <c r="G482">
        <f>IF($P482="","",INDEX(명단표[소속병원],$P482))</f>
        <v/>
      </c>
      <c r="H482">
        <f>IF($P482="","",IF(INDEX(명단표[소속병원],$P482)="서울병원","서울 소속","타 병원 소속("&amp;INDEX(명단표[소속병원],$P482)&amp;") → 서울 지급"))</f>
        <v/>
      </c>
      <c r="I482">
        <f>IF($P482="","",INDEX(명단표[현재 근무병원],$P482))</f>
        <v/>
      </c>
      <c r="J482">
        <f>IF($P482="","",INDEX(명단표[구리 근무 시작일(기준월)],$P482)&amp;"")</f>
        <v/>
      </c>
      <c r="K482">
        <f>IF($P482="","",INDEX(명단표[구리 근무 종료일(기준월)],$P482)&amp;"")</f>
        <v/>
      </c>
      <c r="L482">
        <f>IF($P482="","",INDEX(명단표[서울 근무일(기준월)],$P482))</f>
        <v/>
      </c>
      <c r="M482">
        <f>IF($P482="","",INDEX(명단표[구리 근무일(기준월)],$P482))</f>
        <v/>
      </c>
      <c r="N482">
        <f>IF($P482="","",INDEX(명단표[급여 판정 근거],$P482))</f>
        <v/>
      </c>
      <c r="O482">
        <f>IF($P482="","",INDEX(명단표[점검],$P482))</f>
        <v/>
      </c>
      <c r="P482" s="17">
        <f>IFERROR(MATCH(477,명단표[서울순번],0),"")</f>
        <v/>
      </c>
      <c r="R482">
        <f>IF($W482="","",INDEX(명단표[이름],$W482))</f>
        <v/>
      </c>
      <c r="S482">
        <f>IF($W482="","",INDEX(명단표[사번],$W482)&amp;"")</f>
        <v/>
      </c>
      <c r="T482">
        <f>IF($W482="","",INDEX(명단표[소속병원],$W482))</f>
        <v/>
      </c>
      <c r="U482">
        <f>IF($W482="","",INDEX(명단표[서울 근무일(기준월)],$W482))</f>
        <v/>
      </c>
      <c r="V482">
        <f>IF($W482="","",INDEX(명단표[구리 근무일(기준월)],$W482))</f>
        <v/>
      </c>
      <c r="W482" s="17">
        <f>IFERROR(MATCH(477,명단표[판정불가순번],0),"")</f>
        <v/>
      </c>
    </row>
    <row r="483">
      <c r="A483">
        <f>IF($P483="","",478)</f>
        <v/>
      </c>
      <c r="B483">
        <f>IF($P483="","",INDEX(명단표[이름],$P483))</f>
        <v/>
      </c>
      <c r="C483">
        <f>IF($P483="","",INDEX(명단표[사번],$P483)&amp;"")</f>
        <v/>
      </c>
      <c r="D483">
        <f>IF($P483="","",INDEX(명단표[전공의등록번호],$P483)&amp;"")</f>
        <v/>
      </c>
      <c r="E483">
        <f>IF($P483="","",INDEX(명단표[수련과목],$P483)&amp;"")</f>
        <v/>
      </c>
      <c r="F483">
        <f>IF($P483="","",INDEX(명단표[연차],$P483)&amp;"")</f>
        <v/>
      </c>
      <c r="G483">
        <f>IF($P483="","",INDEX(명단표[소속병원],$P483))</f>
        <v/>
      </c>
      <c r="H483">
        <f>IF($P483="","",IF(INDEX(명단표[소속병원],$P483)="서울병원","서울 소속","타 병원 소속("&amp;INDEX(명단표[소속병원],$P483)&amp;") → 서울 지급"))</f>
        <v/>
      </c>
      <c r="I483">
        <f>IF($P483="","",INDEX(명단표[현재 근무병원],$P483))</f>
        <v/>
      </c>
      <c r="J483">
        <f>IF($P483="","",INDEX(명단표[구리 근무 시작일(기준월)],$P483)&amp;"")</f>
        <v/>
      </c>
      <c r="K483">
        <f>IF($P483="","",INDEX(명단표[구리 근무 종료일(기준월)],$P483)&amp;"")</f>
        <v/>
      </c>
      <c r="L483">
        <f>IF($P483="","",INDEX(명단표[서울 근무일(기준월)],$P483))</f>
        <v/>
      </c>
      <c r="M483">
        <f>IF($P483="","",INDEX(명단표[구리 근무일(기준월)],$P483))</f>
        <v/>
      </c>
      <c r="N483">
        <f>IF($P483="","",INDEX(명단표[급여 판정 근거],$P483))</f>
        <v/>
      </c>
      <c r="O483">
        <f>IF($P483="","",INDEX(명단표[점검],$P483))</f>
        <v/>
      </c>
      <c r="P483" s="17">
        <f>IFERROR(MATCH(478,명단표[서울순번],0),"")</f>
        <v/>
      </c>
      <c r="R483">
        <f>IF($W483="","",INDEX(명단표[이름],$W483))</f>
        <v/>
      </c>
      <c r="S483">
        <f>IF($W483="","",INDEX(명단표[사번],$W483)&amp;"")</f>
        <v/>
      </c>
      <c r="T483">
        <f>IF($W483="","",INDEX(명단표[소속병원],$W483))</f>
        <v/>
      </c>
      <c r="U483">
        <f>IF($W483="","",INDEX(명단표[서울 근무일(기준월)],$W483))</f>
        <v/>
      </c>
      <c r="V483">
        <f>IF($W483="","",INDEX(명단표[구리 근무일(기준월)],$W483))</f>
        <v/>
      </c>
      <c r="W483" s="17">
        <f>IFERROR(MATCH(478,명단표[판정불가순번],0),"")</f>
        <v/>
      </c>
    </row>
    <row r="484">
      <c r="A484">
        <f>IF($P484="","",479)</f>
        <v/>
      </c>
      <c r="B484">
        <f>IF($P484="","",INDEX(명단표[이름],$P484))</f>
        <v/>
      </c>
      <c r="C484">
        <f>IF($P484="","",INDEX(명단표[사번],$P484)&amp;"")</f>
        <v/>
      </c>
      <c r="D484">
        <f>IF($P484="","",INDEX(명단표[전공의등록번호],$P484)&amp;"")</f>
        <v/>
      </c>
      <c r="E484">
        <f>IF($P484="","",INDEX(명단표[수련과목],$P484)&amp;"")</f>
        <v/>
      </c>
      <c r="F484">
        <f>IF($P484="","",INDEX(명단표[연차],$P484)&amp;"")</f>
        <v/>
      </c>
      <c r="G484">
        <f>IF($P484="","",INDEX(명단표[소속병원],$P484))</f>
        <v/>
      </c>
      <c r="H484">
        <f>IF($P484="","",IF(INDEX(명단표[소속병원],$P484)="서울병원","서울 소속","타 병원 소속("&amp;INDEX(명단표[소속병원],$P484)&amp;") → 서울 지급"))</f>
        <v/>
      </c>
      <c r="I484">
        <f>IF($P484="","",INDEX(명단표[현재 근무병원],$P484))</f>
        <v/>
      </c>
      <c r="J484">
        <f>IF($P484="","",INDEX(명단표[구리 근무 시작일(기준월)],$P484)&amp;"")</f>
        <v/>
      </c>
      <c r="K484">
        <f>IF($P484="","",INDEX(명단표[구리 근무 종료일(기준월)],$P484)&amp;"")</f>
        <v/>
      </c>
      <c r="L484">
        <f>IF($P484="","",INDEX(명단표[서울 근무일(기준월)],$P484))</f>
        <v/>
      </c>
      <c r="M484">
        <f>IF($P484="","",INDEX(명단표[구리 근무일(기준월)],$P484))</f>
        <v/>
      </c>
      <c r="N484">
        <f>IF($P484="","",INDEX(명단표[급여 판정 근거],$P484))</f>
        <v/>
      </c>
      <c r="O484">
        <f>IF($P484="","",INDEX(명단표[점검],$P484))</f>
        <v/>
      </c>
      <c r="P484" s="17">
        <f>IFERROR(MATCH(479,명단표[서울순번],0),"")</f>
        <v/>
      </c>
      <c r="R484">
        <f>IF($W484="","",INDEX(명단표[이름],$W484))</f>
        <v/>
      </c>
      <c r="S484">
        <f>IF($W484="","",INDEX(명단표[사번],$W484)&amp;"")</f>
        <v/>
      </c>
      <c r="T484">
        <f>IF($W484="","",INDEX(명단표[소속병원],$W484))</f>
        <v/>
      </c>
      <c r="U484">
        <f>IF($W484="","",INDEX(명단표[서울 근무일(기준월)],$W484))</f>
        <v/>
      </c>
      <c r="V484">
        <f>IF($W484="","",INDEX(명단표[구리 근무일(기준월)],$W484))</f>
        <v/>
      </c>
      <c r="W484" s="17">
        <f>IFERROR(MATCH(479,명단표[판정불가순번],0),"")</f>
        <v/>
      </c>
    </row>
    <row r="485">
      <c r="A485">
        <f>IF($P485="","",480)</f>
        <v/>
      </c>
      <c r="B485">
        <f>IF($P485="","",INDEX(명단표[이름],$P485))</f>
        <v/>
      </c>
      <c r="C485">
        <f>IF($P485="","",INDEX(명단표[사번],$P485)&amp;"")</f>
        <v/>
      </c>
      <c r="D485">
        <f>IF($P485="","",INDEX(명단표[전공의등록번호],$P485)&amp;"")</f>
        <v/>
      </c>
      <c r="E485">
        <f>IF($P485="","",INDEX(명단표[수련과목],$P485)&amp;"")</f>
        <v/>
      </c>
      <c r="F485">
        <f>IF($P485="","",INDEX(명단표[연차],$P485)&amp;"")</f>
        <v/>
      </c>
      <c r="G485">
        <f>IF($P485="","",INDEX(명단표[소속병원],$P485))</f>
        <v/>
      </c>
      <c r="H485">
        <f>IF($P485="","",IF(INDEX(명단표[소속병원],$P485)="서울병원","서울 소속","타 병원 소속("&amp;INDEX(명단표[소속병원],$P485)&amp;") → 서울 지급"))</f>
        <v/>
      </c>
      <c r="I485">
        <f>IF($P485="","",INDEX(명단표[현재 근무병원],$P485))</f>
        <v/>
      </c>
      <c r="J485">
        <f>IF($P485="","",INDEX(명단표[구리 근무 시작일(기준월)],$P485)&amp;"")</f>
        <v/>
      </c>
      <c r="K485">
        <f>IF($P485="","",INDEX(명단표[구리 근무 종료일(기준월)],$P485)&amp;"")</f>
        <v/>
      </c>
      <c r="L485">
        <f>IF($P485="","",INDEX(명단표[서울 근무일(기준월)],$P485))</f>
        <v/>
      </c>
      <c r="M485">
        <f>IF($P485="","",INDEX(명단표[구리 근무일(기준월)],$P485))</f>
        <v/>
      </c>
      <c r="N485">
        <f>IF($P485="","",INDEX(명단표[급여 판정 근거],$P485))</f>
        <v/>
      </c>
      <c r="O485">
        <f>IF($P485="","",INDEX(명단표[점검],$P485))</f>
        <v/>
      </c>
      <c r="P485" s="17">
        <f>IFERROR(MATCH(480,명단표[서울순번],0),"")</f>
        <v/>
      </c>
      <c r="R485">
        <f>IF($W485="","",INDEX(명단표[이름],$W485))</f>
        <v/>
      </c>
      <c r="S485">
        <f>IF($W485="","",INDEX(명단표[사번],$W485)&amp;"")</f>
        <v/>
      </c>
      <c r="T485">
        <f>IF($W485="","",INDEX(명단표[소속병원],$W485))</f>
        <v/>
      </c>
      <c r="U485">
        <f>IF($W485="","",INDEX(명단표[서울 근무일(기준월)],$W485))</f>
        <v/>
      </c>
      <c r="V485">
        <f>IF($W485="","",INDEX(명단표[구리 근무일(기준월)],$W485))</f>
        <v/>
      </c>
      <c r="W485" s="17">
        <f>IFERROR(MATCH(480,명단표[판정불가순번],0),"")</f>
        <v/>
      </c>
    </row>
    <row r="486">
      <c r="A486">
        <f>IF($P486="","",481)</f>
        <v/>
      </c>
      <c r="B486">
        <f>IF($P486="","",INDEX(명단표[이름],$P486))</f>
        <v/>
      </c>
      <c r="C486">
        <f>IF($P486="","",INDEX(명단표[사번],$P486)&amp;"")</f>
        <v/>
      </c>
      <c r="D486">
        <f>IF($P486="","",INDEX(명단표[전공의등록번호],$P486)&amp;"")</f>
        <v/>
      </c>
      <c r="E486">
        <f>IF($P486="","",INDEX(명단표[수련과목],$P486)&amp;"")</f>
        <v/>
      </c>
      <c r="F486">
        <f>IF($P486="","",INDEX(명단표[연차],$P486)&amp;"")</f>
        <v/>
      </c>
      <c r="G486">
        <f>IF($P486="","",INDEX(명단표[소속병원],$P486))</f>
        <v/>
      </c>
      <c r="H486">
        <f>IF($P486="","",IF(INDEX(명단표[소속병원],$P486)="서울병원","서울 소속","타 병원 소속("&amp;INDEX(명단표[소속병원],$P486)&amp;") → 서울 지급"))</f>
        <v/>
      </c>
      <c r="I486">
        <f>IF($P486="","",INDEX(명단표[현재 근무병원],$P486))</f>
        <v/>
      </c>
      <c r="J486">
        <f>IF($P486="","",INDEX(명단표[구리 근무 시작일(기준월)],$P486)&amp;"")</f>
        <v/>
      </c>
      <c r="K486">
        <f>IF($P486="","",INDEX(명단표[구리 근무 종료일(기준월)],$P486)&amp;"")</f>
        <v/>
      </c>
      <c r="L486">
        <f>IF($P486="","",INDEX(명단표[서울 근무일(기준월)],$P486))</f>
        <v/>
      </c>
      <c r="M486">
        <f>IF($P486="","",INDEX(명단표[구리 근무일(기준월)],$P486))</f>
        <v/>
      </c>
      <c r="N486">
        <f>IF($P486="","",INDEX(명단표[급여 판정 근거],$P486))</f>
        <v/>
      </c>
      <c r="O486">
        <f>IF($P486="","",INDEX(명단표[점검],$P486))</f>
        <v/>
      </c>
      <c r="P486" s="17">
        <f>IFERROR(MATCH(481,명단표[서울순번],0),"")</f>
        <v/>
      </c>
      <c r="R486">
        <f>IF($W486="","",INDEX(명단표[이름],$W486))</f>
        <v/>
      </c>
      <c r="S486">
        <f>IF($W486="","",INDEX(명단표[사번],$W486)&amp;"")</f>
        <v/>
      </c>
      <c r="T486">
        <f>IF($W486="","",INDEX(명단표[소속병원],$W486))</f>
        <v/>
      </c>
      <c r="U486">
        <f>IF($W486="","",INDEX(명단표[서울 근무일(기준월)],$W486))</f>
        <v/>
      </c>
      <c r="V486">
        <f>IF($W486="","",INDEX(명단표[구리 근무일(기준월)],$W486))</f>
        <v/>
      </c>
      <c r="W486" s="17">
        <f>IFERROR(MATCH(481,명단표[판정불가순번],0),"")</f>
        <v/>
      </c>
    </row>
    <row r="487">
      <c r="A487">
        <f>IF($P487="","",482)</f>
        <v/>
      </c>
      <c r="B487">
        <f>IF($P487="","",INDEX(명단표[이름],$P487))</f>
        <v/>
      </c>
      <c r="C487">
        <f>IF($P487="","",INDEX(명단표[사번],$P487)&amp;"")</f>
        <v/>
      </c>
      <c r="D487">
        <f>IF($P487="","",INDEX(명단표[전공의등록번호],$P487)&amp;"")</f>
        <v/>
      </c>
      <c r="E487">
        <f>IF($P487="","",INDEX(명단표[수련과목],$P487)&amp;"")</f>
        <v/>
      </c>
      <c r="F487">
        <f>IF($P487="","",INDEX(명단표[연차],$P487)&amp;"")</f>
        <v/>
      </c>
      <c r="G487">
        <f>IF($P487="","",INDEX(명단표[소속병원],$P487))</f>
        <v/>
      </c>
      <c r="H487">
        <f>IF($P487="","",IF(INDEX(명단표[소속병원],$P487)="서울병원","서울 소속","타 병원 소속("&amp;INDEX(명단표[소속병원],$P487)&amp;") → 서울 지급"))</f>
        <v/>
      </c>
      <c r="I487">
        <f>IF($P487="","",INDEX(명단표[현재 근무병원],$P487))</f>
        <v/>
      </c>
      <c r="J487">
        <f>IF($P487="","",INDEX(명단표[구리 근무 시작일(기준월)],$P487)&amp;"")</f>
        <v/>
      </c>
      <c r="K487">
        <f>IF($P487="","",INDEX(명단표[구리 근무 종료일(기준월)],$P487)&amp;"")</f>
        <v/>
      </c>
      <c r="L487">
        <f>IF($P487="","",INDEX(명단표[서울 근무일(기준월)],$P487))</f>
        <v/>
      </c>
      <c r="M487">
        <f>IF($P487="","",INDEX(명단표[구리 근무일(기준월)],$P487))</f>
        <v/>
      </c>
      <c r="N487">
        <f>IF($P487="","",INDEX(명단표[급여 판정 근거],$P487))</f>
        <v/>
      </c>
      <c r="O487">
        <f>IF($P487="","",INDEX(명단표[점검],$P487))</f>
        <v/>
      </c>
      <c r="P487" s="17">
        <f>IFERROR(MATCH(482,명단표[서울순번],0),"")</f>
        <v/>
      </c>
      <c r="R487">
        <f>IF($W487="","",INDEX(명단표[이름],$W487))</f>
        <v/>
      </c>
      <c r="S487">
        <f>IF($W487="","",INDEX(명단표[사번],$W487)&amp;"")</f>
        <v/>
      </c>
      <c r="T487">
        <f>IF($W487="","",INDEX(명단표[소속병원],$W487))</f>
        <v/>
      </c>
      <c r="U487">
        <f>IF($W487="","",INDEX(명단표[서울 근무일(기준월)],$W487))</f>
        <v/>
      </c>
      <c r="V487">
        <f>IF($W487="","",INDEX(명단표[구리 근무일(기준월)],$W487))</f>
        <v/>
      </c>
      <c r="W487" s="17">
        <f>IFERROR(MATCH(482,명단표[판정불가순번],0),"")</f>
        <v/>
      </c>
    </row>
    <row r="488">
      <c r="A488">
        <f>IF($P488="","",483)</f>
        <v/>
      </c>
      <c r="B488">
        <f>IF($P488="","",INDEX(명단표[이름],$P488))</f>
        <v/>
      </c>
      <c r="C488">
        <f>IF($P488="","",INDEX(명단표[사번],$P488)&amp;"")</f>
        <v/>
      </c>
      <c r="D488">
        <f>IF($P488="","",INDEX(명단표[전공의등록번호],$P488)&amp;"")</f>
        <v/>
      </c>
      <c r="E488">
        <f>IF($P488="","",INDEX(명단표[수련과목],$P488)&amp;"")</f>
        <v/>
      </c>
      <c r="F488">
        <f>IF($P488="","",INDEX(명단표[연차],$P488)&amp;"")</f>
        <v/>
      </c>
      <c r="G488">
        <f>IF($P488="","",INDEX(명단표[소속병원],$P488))</f>
        <v/>
      </c>
      <c r="H488">
        <f>IF($P488="","",IF(INDEX(명단표[소속병원],$P488)="서울병원","서울 소속","타 병원 소속("&amp;INDEX(명단표[소속병원],$P488)&amp;") → 서울 지급"))</f>
        <v/>
      </c>
      <c r="I488">
        <f>IF($P488="","",INDEX(명단표[현재 근무병원],$P488))</f>
        <v/>
      </c>
      <c r="J488">
        <f>IF($P488="","",INDEX(명단표[구리 근무 시작일(기준월)],$P488)&amp;"")</f>
        <v/>
      </c>
      <c r="K488">
        <f>IF($P488="","",INDEX(명단표[구리 근무 종료일(기준월)],$P488)&amp;"")</f>
        <v/>
      </c>
      <c r="L488">
        <f>IF($P488="","",INDEX(명단표[서울 근무일(기준월)],$P488))</f>
        <v/>
      </c>
      <c r="M488">
        <f>IF($P488="","",INDEX(명단표[구리 근무일(기준월)],$P488))</f>
        <v/>
      </c>
      <c r="N488">
        <f>IF($P488="","",INDEX(명단표[급여 판정 근거],$P488))</f>
        <v/>
      </c>
      <c r="O488">
        <f>IF($P488="","",INDEX(명단표[점검],$P488))</f>
        <v/>
      </c>
      <c r="P488" s="17">
        <f>IFERROR(MATCH(483,명단표[서울순번],0),"")</f>
        <v/>
      </c>
      <c r="R488">
        <f>IF($W488="","",INDEX(명단표[이름],$W488))</f>
        <v/>
      </c>
      <c r="S488">
        <f>IF($W488="","",INDEX(명단표[사번],$W488)&amp;"")</f>
        <v/>
      </c>
      <c r="T488">
        <f>IF($W488="","",INDEX(명단표[소속병원],$W488))</f>
        <v/>
      </c>
      <c r="U488">
        <f>IF($W488="","",INDEX(명단표[서울 근무일(기준월)],$W488))</f>
        <v/>
      </c>
      <c r="V488">
        <f>IF($W488="","",INDEX(명단표[구리 근무일(기준월)],$W488))</f>
        <v/>
      </c>
      <c r="W488" s="17">
        <f>IFERROR(MATCH(483,명단표[판정불가순번],0),"")</f>
        <v/>
      </c>
    </row>
    <row r="489">
      <c r="A489">
        <f>IF($P489="","",484)</f>
        <v/>
      </c>
      <c r="B489">
        <f>IF($P489="","",INDEX(명단표[이름],$P489))</f>
        <v/>
      </c>
      <c r="C489">
        <f>IF($P489="","",INDEX(명단표[사번],$P489)&amp;"")</f>
        <v/>
      </c>
      <c r="D489">
        <f>IF($P489="","",INDEX(명단표[전공의등록번호],$P489)&amp;"")</f>
        <v/>
      </c>
      <c r="E489">
        <f>IF($P489="","",INDEX(명단표[수련과목],$P489)&amp;"")</f>
        <v/>
      </c>
      <c r="F489">
        <f>IF($P489="","",INDEX(명단표[연차],$P489)&amp;"")</f>
        <v/>
      </c>
      <c r="G489">
        <f>IF($P489="","",INDEX(명단표[소속병원],$P489))</f>
        <v/>
      </c>
      <c r="H489">
        <f>IF($P489="","",IF(INDEX(명단표[소속병원],$P489)="서울병원","서울 소속","타 병원 소속("&amp;INDEX(명단표[소속병원],$P489)&amp;") → 서울 지급"))</f>
        <v/>
      </c>
      <c r="I489">
        <f>IF($P489="","",INDEX(명단표[현재 근무병원],$P489))</f>
        <v/>
      </c>
      <c r="J489">
        <f>IF($P489="","",INDEX(명단표[구리 근무 시작일(기준월)],$P489)&amp;"")</f>
        <v/>
      </c>
      <c r="K489">
        <f>IF($P489="","",INDEX(명단표[구리 근무 종료일(기준월)],$P489)&amp;"")</f>
        <v/>
      </c>
      <c r="L489">
        <f>IF($P489="","",INDEX(명단표[서울 근무일(기준월)],$P489))</f>
        <v/>
      </c>
      <c r="M489">
        <f>IF($P489="","",INDEX(명단표[구리 근무일(기준월)],$P489))</f>
        <v/>
      </c>
      <c r="N489">
        <f>IF($P489="","",INDEX(명단표[급여 판정 근거],$P489))</f>
        <v/>
      </c>
      <c r="O489">
        <f>IF($P489="","",INDEX(명단표[점검],$P489))</f>
        <v/>
      </c>
      <c r="P489" s="17">
        <f>IFERROR(MATCH(484,명단표[서울순번],0),"")</f>
        <v/>
      </c>
      <c r="R489">
        <f>IF($W489="","",INDEX(명단표[이름],$W489))</f>
        <v/>
      </c>
      <c r="S489">
        <f>IF($W489="","",INDEX(명단표[사번],$W489)&amp;"")</f>
        <v/>
      </c>
      <c r="T489">
        <f>IF($W489="","",INDEX(명단표[소속병원],$W489))</f>
        <v/>
      </c>
      <c r="U489">
        <f>IF($W489="","",INDEX(명단표[서울 근무일(기준월)],$W489))</f>
        <v/>
      </c>
      <c r="V489">
        <f>IF($W489="","",INDEX(명단표[구리 근무일(기준월)],$W489))</f>
        <v/>
      </c>
      <c r="W489" s="17">
        <f>IFERROR(MATCH(484,명단표[판정불가순번],0),"")</f>
        <v/>
      </c>
    </row>
    <row r="490">
      <c r="A490">
        <f>IF($P490="","",485)</f>
        <v/>
      </c>
      <c r="B490">
        <f>IF($P490="","",INDEX(명단표[이름],$P490))</f>
        <v/>
      </c>
      <c r="C490">
        <f>IF($P490="","",INDEX(명단표[사번],$P490)&amp;"")</f>
        <v/>
      </c>
      <c r="D490">
        <f>IF($P490="","",INDEX(명단표[전공의등록번호],$P490)&amp;"")</f>
        <v/>
      </c>
      <c r="E490">
        <f>IF($P490="","",INDEX(명단표[수련과목],$P490)&amp;"")</f>
        <v/>
      </c>
      <c r="F490">
        <f>IF($P490="","",INDEX(명단표[연차],$P490)&amp;"")</f>
        <v/>
      </c>
      <c r="G490">
        <f>IF($P490="","",INDEX(명단표[소속병원],$P490))</f>
        <v/>
      </c>
      <c r="H490">
        <f>IF($P490="","",IF(INDEX(명단표[소속병원],$P490)="서울병원","서울 소속","타 병원 소속("&amp;INDEX(명단표[소속병원],$P490)&amp;") → 서울 지급"))</f>
        <v/>
      </c>
      <c r="I490">
        <f>IF($P490="","",INDEX(명단표[현재 근무병원],$P490))</f>
        <v/>
      </c>
      <c r="J490">
        <f>IF($P490="","",INDEX(명단표[구리 근무 시작일(기준월)],$P490)&amp;"")</f>
        <v/>
      </c>
      <c r="K490">
        <f>IF($P490="","",INDEX(명단표[구리 근무 종료일(기준월)],$P490)&amp;"")</f>
        <v/>
      </c>
      <c r="L490">
        <f>IF($P490="","",INDEX(명단표[서울 근무일(기준월)],$P490))</f>
        <v/>
      </c>
      <c r="M490">
        <f>IF($P490="","",INDEX(명단표[구리 근무일(기준월)],$P490))</f>
        <v/>
      </c>
      <c r="N490">
        <f>IF($P490="","",INDEX(명단표[급여 판정 근거],$P490))</f>
        <v/>
      </c>
      <c r="O490">
        <f>IF($P490="","",INDEX(명단표[점검],$P490))</f>
        <v/>
      </c>
      <c r="P490" s="17">
        <f>IFERROR(MATCH(485,명단표[서울순번],0),"")</f>
        <v/>
      </c>
      <c r="R490">
        <f>IF($W490="","",INDEX(명단표[이름],$W490))</f>
        <v/>
      </c>
      <c r="S490">
        <f>IF($W490="","",INDEX(명단표[사번],$W490)&amp;"")</f>
        <v/>
      </c>
      <c r="T490">
        <f>IF($W490="","",INDEX(명단표[소속병원],$W490))</f>
        <v/>
      </c>
      <c r="U490">
        <f>IF($W490="","",INDEX(명단표[서울 근무일(기준월)],$W490))</f>
        <v/>
      </c>
      <c r="V490">
        <f>IF($W490="","",INDEX(명단표[구리 근무일(기준월)],$W490))</f>
        <v/>
      </c>
      <c r="W490" s="17">
        <f>IFERROR(MATCH(485,명단표[판정불가순번],0),"")</f>
        <v/>
      </c>
    </row>
    <row r="491">
      <c r="A491">
        <f>IF($P491="","",486)</f>
        <v/>
      </c>
      <c r="B491">
        <f>IF($P491="","",INDEX(명단표[이름],$P491))</f>
        <v/>
      </c>
      <c r="C491">
        <f>IF($P491="","",INDEX(명단표[사번],$P491)&amp;"")</f>
        <v/>
      </c>
      <c r="D491">
        <f>IF($P491="","",INDEX(명단표[전공의등록번호],$P491)&amp;"")</f>
        <v/>
      </c>
      <c r="E491">
        <f>IF($P491="","",INDEX(명단표[수련과목],$P491)&amp;"")</f>
        <v/>
      </c>
      <c r="F491">
        <f>IF($P491="","",INDEX(명단표[연차],$P491)&amp;"")</f>
        <v/>
      </c>
      <c r="G491">
        <f>IF($P491="","",INDEX(명단표[소속병원],$P491))</f>
        <v/>
      </c>
      <c r="H491">
        <f>IF($P491="","",IF(INDEX(명단표[소속병원],$P491)="서울병원","서울 소속","타 병원 소속("&amp;INDEX(명단표[소속병원],$P491)&amp;") → 서울 지급"))</f>
        <v/>
      </c>
      <c r="I491">
        <f>IF($P491="","",INDEX(명단표[현재 근무병원],$P491))</f>
        <v/>
      </c>
      <c r="J491">
        <f>IF($P491="","",INDEX(명단표[구리 근무 시작일(기준월)],$P491)&amp;"")</f>
        <v/>
      </c>
      <c r="K491">
        <f>IF($P491="","",INDEX(명단표[구리 근무 종료일(기준월)],$P491)&amp;"")</f>
        <v/>
      </c>
      <c r="L491">
        <f>IF($P491="","",INDEX(명단표[서울 근무일(기준월)],$P491))</f>
        <v/>
      </c>
      <c r="M491">
        <f>IF($P491="","",INDEX(명단표[구리 근무일(기준월)],$P491))</f>
        <v/>
      </c>
      <c r="N491">
        <f>IF($P491="","",INDEX(명단표[급여 판정 근거],$P491))</f>
        <v/>
      </c>
      <c r="O491">
        <f>IF($P491="","",INDEX(명단표[점검],$P491))</f>
        <v/>
      </c>
      <c r="P491" s="17">
        <f>IFERROR(MATCH(486,명단표[서울순번],0),"")</f>
        <v/>
      </c>
      <c r="R491">
        <f>IF($W491="","",INDEX(명단표[이름],$W491))</f>
        <v/>
      </c>
      <c r="S491">
        <f>IF($W491="","",INDEX(명단표[사번],$W491)&amp;"")</f>
        <v/>
      </c>
      <c r="T491">
        <f>IF($W491="","",INDEX(명단표[소속병원],$W491))</f>
        <v/>
      </c>
      <c r="U491">
        <f>IF($W491="","",INDEX(명단표[서울 근무일(기준월)],$W491))</f>
        <v/>
      </c>
      <c r="V491">
        <f>IF($W491="","",INDEX(명단표[구리 근무일(기준월)],$W491))</f>
        <v/>
      </c>
      <c r="W491" s="17">
        <f>IFERROR(MATCH(486,명단표[판정불가순번],0),"")</f>
        <v/>
      </c>
    </row>
    <row r="492">
      <c r="A492">
        <f>IF($P492="","",487)</f>
        <v/>
      </c>
      <c r="B492">
        <f>IF($P492="","",INDEX(명단표[이름],$P492))</f>
        <v/>
      </c>
      <c r="C492">
        <f>IF($P492="","",INDEX(명단표[사번],$P492)&amp;"")</f>
        <v/>
      </c>
      <c r="D492">
        <f>IF($P492="","",INDEX(명단표[전공의등록번호],$P492)&amp;"")</f>
        <v/>
      </c>
      <c r="E492">
        <f>IF($P492="","",INDEX(명단표[수련과목],$P492)&amp;"")</f>
        <v/>
      </c>
      <c r="F492">
        <f>IF($P492="","",INDEX(명단표[연차],$P492)&amp;"")</f>
        <v/>
      </c>
      <c r="G492">
        <f>IF($P492="","",INDEX(명단표[소속병원],$P492))</f>
        <v/>
      </c>
      <c r="H492">
        <f>IF($P492="","",IF(INDEX(명단표[소속병원],$P492)="서울병원","서울 소속","타 병원 소속("&amp;INDEX(명단표[소속병원],$P492)&amp;") → 서울 지급"))</f>
        <v/>
      </c>
      <c r="I492">
        <f>IF($P492="","",INDEX(명단표[현재 근무병원],$P492))</f>
        <v/>
      </c>
      <c r="J492">
        <f>IF($P492="","",INDEX(명단표[구리 근무 시작일(기준월)],$P492)&amp;"")</f>
        <v/>
      </c>
      <c r="K492">
        <f>IF($P492="","",INDEX(명단표[구리 근무 종료일(기준월)],$P492)&amp;"")</f>
        <v/>
      </c>
      <c r="L492">
        <f>IF($P492="","",INDEX(명단표[서울 근무일(기준월)],$P492))</f>
        <v/>
      </c>
      <c r="M492">
        <f>IF($P492="","",INDEX(명단표[구리 근무일(기준월)],$P492))</f>
        <v/>
      </c>
      <c r="N492">
        <f>IF($P492="","",INDEX(명단표[급여 판정 근거],$P492))</f>
        <v/>
      </c>
      <c r="O492">
        <f>IF($P492="","",INDEX(명단표[점검],$P492))</f>
        <v/>
      </c>
      <c r="P492" s="17">
        <f>IFERROR(MATCH(487,명단표[서울순번],0),"")</f>
        <v/>
      </c>
      <c r="R492">
        <f>IF($W492="","",INDEX(명단표[이름],$W492))</f>
        <v/>
      </c>
      <c r="S492">
        <f>IF($W492="","",INDEX(명단표[사번],$W492)&amp;"")</f>
        <v/>
      </c>
      <c r="T492">
        <f>IF($W492="","",INDEX(명단표[소속병원],$W492))</f>
        <v/>
      </c>
      <c r="U492">
        <f>IF($W492="","",INDEX(명단표[서울 근무일(기준월)],$W492))</f>
        <v/>
      </c>
      <c r="V492">
        <f>IF($W492="","",INDEX(명단표[구리 근무일(기준월)],$W492))</f>
        <v/>
      </c>
      <c r="W492" s="17">
        <f>IFERROR(MATCH(487,명단표[판정불가순번],0),"")</f>
        <v/>
      </c>
    </row>
    <row r="493">
      <c r="A493">
        <f>IF($P493="","",488)</f>
        <v/>
      </c>
      <c r="B493">
        <f>IF($P493="","",INDEX(명단표[이름],$P493))</f>
        <v/>
      </c>
      <c r="C493">
        <f>IF($P493="","",INDEX(명단표[사번],$P493)&amp;"")</f>
        <v/>
      </c>
      <c r="D493">
        <f>IF($P493="","",INDEX(명단표[전공의등록번호],$P493)&amp;"")</f>
        <v/>
      </c>
      <c r="E493">
        <f>IF($P493="","",INDEX(명단표[수련과목],$P493)&amp;"")</f>
        <v/>
      </c>
      <c r="F493">
        <f>IF($P493="","",INDEX(명단표[연차],$P493)&amp;"")</f>
        <v/>
      </c>
      <c r="G493">
        <f>IF($P493="","",INDEX(명단표[소속병원],$P493))</f>
        <v/>
      </c>
      <c r="H493">
        <f>IF($P493="","",IF(INDEX(명단표[소속병원],$P493)="서울병원","서울 소속","타 병원 소속("&amp;INDEX(명단표[소속병원],$P493)&amp;") → 서울 지급"))</f>
        <v/>
      </c>
      <c r="I493">
        <f>IF($P493="","",INDEX(명단표[현재 근무병원],$P493))</f>
        <v/>
      </c>
      <c r="J493">
        <f>IF($P493="","",INDEX(명단표[구리 근무 시작일(기준월)],$P493)&amp;"")</f>
        <v/>
      </c>
      <c r="K493">
        <f>IF($P493="","",INDEX(명단표[구리 근무 종료일(기준월)],$P493)&amp;"")</f>
        <v/>
      </c>
      <c r="L493">
        <f>IF($P493="","",INDEX(명단표[서울 근무일(기준월)],$P493))</f>
        <v/>
      </c>
      <c r="M493">
        <f>IF($P493="","",INDEX(명단표[구리 근무일(기준월)],$P493))</f>
        <v/>
      </c>
      <c r="N493">
        <f>IF($P493="","",INDEX(명단표[급여 판정 근거],$P493))</f>
        <v/>
      </c>
      <c r="O493">
        <f>IF($P493="","",INDEX(명단표[점검],$P493))</f>
        <v/>
      </c>
      <c r="P493" s="17">
        <f>IFERROR(MATCH(488,명단표[서울순번],0),"")</f>
        <v/>
      </c>
      <c r="R493">
        <f>IF($W493="","",INDEX(명단표[이름],$W493))</f>
        <v/>
      </c>
      <c r="S493">
        <f>IF($W493="","",INDEX(명단표[사번],$W493)&amp;"")</f>
        <v/>
      </c>
      <c r="T493">
        <f>IF($W493="","",INDEX(명단표[소속병원],$W493))</f>
        <v/>
      </c>
      <c r="U493">
        <f>IF($W493="","",INDEX(명단표[서울 근무일(기준월)],$W493))</f>
        <v/>
      </c>
      <c r="V493">
        <f>IF($W493="","",INDEX(명단표[구리 근무일(기준월)],$W493))</f>
        <v/>
      </c>
      <c r="W493" s="17">
        <f>IFERROR(MATCH(488,명단표[판정불가순번],0),"")</f>
        <v/>
      </c>
    </row>
    <row r="494">
      <c r="A494">
        <f>IF($P494="","",489)</f>
        <v/>
      </c>
      <c r="B494">
        <f>IF($P494="","",INDEX(명단표[이름],$P494))</f>
        <v/>
      </c>
      <c r="C494">
        <f>IF($P494="","",INDEX(명단표[사번],$P494)&amp;"")</f>
        <v/>
      </c>
      <c r="D494">
        <f>IF($P494="","",INDEX(명단표[전공의등록번호],$P494)&amp;"")</f>
        <v/>
      </c>
      <c r="E494">
        <f>IF($P494="","",INDEX(명단표[수련과목],$P494)&amp;"")</f>
        <v/>
      </c>
      <c r="F494">
        <f>IF($P494="","",INDEX(명단표[연차],$P494)&amp;"")</f>
        <v/>
      </c>
      <c r="G494">
        <f>IF($P494="","",INDEX(명단표[소속병원],$P494))</f>
        <v/>
      </c>
      <c r="H494">
        <f>IF($P494="","",IF(INDEX(명단표[소속병원],$P494)="서울병원","서울 소속","타 병원 소속("&amp;INDEX(명단표[소속병원],$P494)&amp;") → 서울 지급"))</f>
        <v/>
      </c>
      <c r="I494">
        <f>IF($P494="","",INDEX(명단표[현재 근무병원],$P494))</f>
        <v/>
      </c>
      <c r="J494">
        <f>IF($P494="","",INDEX(명단표[구리 근무 시작일(기준월)],$P494)&amp;"")</f>
        <v/>
      </c>
      <c r="K494">
        <f>IF($P494="","",INDEX(명단표[구리 근무 종료일(기준월)],$P494)&amp;"")</f>
        <v/>
      </c>
      <c r="L494">
        <f>IF($P494="","",INDEX(명단표[서울 근무일(기준월)],$P494))</f>
        <v/>
      </c>
      <c r="M494">
        <f>IF($P494="","",INDEX(명단표[구리 근무일(기준월)],$P494))</f>
        <v/>
      </c>
      <c r="N494">
        <f>IF($P494="","",INDEX(명단표[급여 판정 근거],$P494))</f>
        <v/>
      </c>
      <c r="O494">
        <f>IF($P494="","",INDEX(명단표[점검],$P494))</f>
        <v/>
      </c>
      <c r="P494" s="17">
        <f>IFERROR(MATCH(489,명단표[서울순번],0),"")</f>
        <v/>
      </c>
      <c r="R494">
        <f>IF($W494="","",INDEX(명단표[이름],$W494))</f>
        <v/>
      </c>
      <c r="S494">
        <f>IF($W494="","",INDEX(명단표[사번],$W494)&amp;"")</f>
        <v/>
      </c>
      <c r="T494">
        <f>IF($W494="","",INDEX(명단표[소속병원],$W494))</f>
        <v/>
      </c>
      <c r="U494">
        <f>IF($W494="","",INDEX(명단표[서울 근무일(기준월)],$W494))</f>
        <v/>
      </c>
      <c r="V494">
        <f>IF($W494="","",INDEX(명단표[구리 근무일(기준월)],$W494))</f>
        <v/>
      </c>
      <c r="W494" s="17">
        <f>IFERROR(MATCH(489,명단표[판정불가순번],0),"")</f>
        <v/>
      </c>
    </row>
    <row r="495">
      <c r="A495">
        <f>IF($P495="","",490)</f>
        <v/>
      </c>
      <c r="B495">
        <f>IF($P495="","",INDEX(명단표[이름],$P495))</f>
        <v/>
      </c>
      <c r="C495">
        <f>IF($P495="","",INDEX(명단표[사번],$P495)&amp;"")</f>
        <v/>
      </c>
      <c r="D495">
        <f>IF($P495="","",INDEX(명단표[전공의등록번호],$P495)&amp;"")</f>
        <v/>
      </c>
      <c r="E495">
        <f>IF($P495="","",INDEX(명단표[수련과목],$P495)&amp;"")</f>
        <v/>
      </c>
      <c r="F495">
        <f>IF($P495="","",INDEX(명단표[연차],$P495)&amp;"")</f>
        <v/>
      </c>
      <c r="G495">
        <f>IF($P495="","",INDEX(명단표[소속병원],$P495))</f>
        <v/>
      </c>
      <c r="H495">
        <f>IF($P495="","",IF(INDEX(명단표[소속병원],$P495)="서울병원","서울 소속","타 병원 소속("&amp;INDEX(명단표[소속병원],$P495)&amp;") → 서울 지급"))</f>
        <v/>
      </c>
      <c r="I495">
        <f>IF($P495="","",INDEX(명단표[현재 근무병원],$P495))</f>
        <v/>
      </c>
      <c r="J495">
        <f>IF($P495="","",INDEX(명단표[구리 근무 시작일(기준월)],$P495)&amp;"")</f>
        <v/>
      </c>
      <c r="K495">
        <f>IF($P495="","",INDEX(명단표[구리 근무 종료일(기준월)],$P495)&amp;"")</f>
        <v/>
      </c>
      <c r="L495">
        <f>IF($P495="","",INDEX(명단표[서울 근무일(기준월)],$P495))</f>
        <v/>
      </c>
      <c r="M495">
        <f>IF($P495="","",INDEX(명단표[구리 근무일(기준월)],$P495))</f>
        <v/>
      </c>
      <c r="N495">
        <f>IF($P495="","",INDEX(명단표[급여 판정 근거],$P495))</f>
        <v/>
      </c>
      <c r="O495">
        <f>IF($P495="","",INDEX(명단표[점검],$P495))</f>
        <v/>
      </c>
      <c r="P495" s="17">
        <f>IFERROR(MATCH(490,명단표[서울순번],0),"")</f>
        <v/>
      </c>
      <c r="R495">
        <f>IF($W495="","",INDEX(명단표[이름],$W495))</f>
        <v/>
      </c>
      <c r="S495">
        <f>IF($W495="","",INDEX(명단표[사번],$W495)&amp;"")</f>
        <v/>
      </c>
      <c r="T495">
        <f>IF($W495="","",INDEX(명단표[소속병원],$W495))</f>
        <v/>
      </c>
      <c r="U495">
        <f>IF($W495="","",INDEX(명단표[서울 근무일(기준월)],$W495))</f>
        <v/>
      </c>
      <c r="V495">
        <f>IF($W495="","",INDEX(명단표[구리 근무일(기준월)],$W495))</f>
        <v/>
      </c>
      <c r="W495" s="17">
        <f>IFERROR(MATCH(490,명단표[판정불가순번],0),"")</f>
        <v/>
      </c>
    </row>
    <row r="496">
      <c r="A496">
        <f>IF($P496="","",491)</f>
        <v/>
      </c>
      <c r="B496">
        <f>IF($P496="","",INDEX(명단표[이름],$P496))</f>
        <v/>
      </c>
      <c r="C496">
        <f>IF($P496="","",INDEX(명단표[사번],$P496)&amp;"")</f>
        <v/>
      </c>
      <c r="D496">
        <f>IF($P496="","",INDEX(명단표[전공의등록번호],$P496)&amp;"")</f>
        <v/>
      </c>
      <c r="E496">
        <f>IF($P496="","",INDEX(명단표[수련과목],$P496)&amp;"")</f>
        <v/>
      </c>
      <c r="F496">
        <f>IF($P496="","",INDEX(명단표[연차],$P496)&amp;"")</f>
        <v/>
      </c>
      <c r="G496">
        <f>IF($P496="","",INDEX(명단표[소속병원],$P496))</f>
        <v/>
      </c>
      <c r="H496">
        <f>IF($P496="","",IF(INDEX(명단표[소속병원],$P496)="서울병원","서울 소속","타 병원 소속("&amp;INDEX(명단표[소속병원],$P496)&amp;") → 서울 지급"))</f>
        <v/>
      </c>
      <c r="I496">
        <f>IF($P496="","",INDEX(명단표[현재 근무병원],$P496))</f>
        <v/>
      </c>
      <c r="J496">
        <f>IF($P496="","",INDEX(명단표[구리 근무 시작일(기준월)],$P496)&amp;"")</f>
        <v/>
      </c>
      <c r="K496">
        <f>IF($P496="","",INDEX(명단표[구리 근무 종료일(기준월)],$P496)&amp;"")</f>
        <v/>
      </c>
      <c r="L496">
        <f>IF($P496="","",INDEX(명단표[서울 근무일(기준월)],$P496))</f>
        <v/>
      </c>
      <c r="M496">
        <f>IF($P496="","",INDEX(명단표[구리 근무일(기준월)],$P496))</f>
        <v/>
      </c>
      <c r="N496">
        <f>IF($P496="","",INDEX(명단표[급여 판정 근거],$P496))</f>
        <v/>
      </c>
      <c r="O496">
        <f>IF($P496="","",INDEX(명단표[점검],$P496))</f>
        <v/>
      </c>
      <c r="P496" s="17">
        <f>IFERROR(MATCH(491,명단표[서울순번],0),"")</f>
        <v/>
      </c>
      <c r="R496">
        <f>IF($W496="","",INDEX(명단표[이름],$W496))</f>
        <v/>
      </c>
      <c r="S496">
        <f>IF($W496="","",INDEX(명단표[사번],$W496)&amp;"")</f>
        <v/>
      </c>
      <c r="T496">
        <f>IF($W496="","",INDEX(명단표[소속병원],$W496))</f>
        <v/>
      </c>
      <c r="U496">
        <f>IF($W496="","",INDEX(명단표[서울 근무일(기준월)],$W496))</f>
        <v/>
      </c>
      <c r="V496">
        <f>IF($W496="","",INDEX(명단표[구리 근무일(기준월)],$W496))</f>
        <v/>
      </c>
      <c r="W496" s="17">
        <f>IFERROR(MATCH(491,명단표[판정불가순번],0),"")</f>
        <v/>
      </c>
    </row>
    <row r="497">
      <c r="A497">
        <f>IF($P497="","",492)</f>
        <v/>
      </c>
      <c r="B497">
        <f>IF($P497="","",INDEX(명단표[이름],$P497))</f>
        <v/>
      </c>
      <c r="C497">
        <f>IF($P497="","",INDEX(명단표[사번],$P497)&amp;"")</f>
        <v/>
      </c>
      <c r="D497">
        <f>IF($P497="","",INDEX(명단표[전공의등록번호],$P497)&amp;"")</f>
        <v/>
      </c>
      <c r="E497">
        <f>IF($P497="","",INDEX(명단표[수련과목],$P497)&amp;"")</f>
        <v/>
      </c>
      <c r="F497">
        <f>IF($P497="","",INDEX(명단표[연차],$P497)&amp;"")</f>
        <v/>
      </c>
      <c r="G497">
        <f>IF($P497="","",INDEX(명단표[소속병원],$P497))</f>
        <v/>
      </c>
      <c r="H497">
        <f>IF($P497="","",IF(INDEX(명단표[소속병원],$P497)="서울병원","서울 소속","타 병원 소속("&amp;INDEX(명단표[소속병원],$P497)&amp;") → 서울 지급"))</f>
        <v/>
      </c>
      <c r="I497">
        <f>IF($P497="","",INDEX(명단표[현재 근무병원],$P497))</f>
        <v/>
      </c>
      <c r="J497">
        <f>IF($P497="","",INDEX(명단표[구리 근무 시작일(기준월)],$P497)&amp;"")</f>
        <v/>
      </c>
      <c r="K497">
        <f>IF($P497="","",INDEX(명단표[구리 근무 종료일(기준월)],$P497)&amp;"")</f>
        <v/>
      </c>
      <c r="L497">
        <f>IF($P497="","",INDEX(명단표[서울 근무일(기준월)],$P497))</f>
        <v/>
      </c>
      <c r="M497">
        <f>IF($P497="","",INDEX(명단표[구리 근무일(기준월)],$P497))</f>
        <v/>
      </c>
      <c r="N497">
        <f>IF($P497="","",INDEX(명단표[급여 판정 근거],$P497))</f>
        <v/>
      </c>
      <c r="O497">
        <f>IF($P497="","",INDEX(명단표[점검],$P497))</f>
        <v/>
      </c>
      <c r="P497" s="17">
        <f>IFERROR(MATCH(492,명단표[서울순번],0),"")</f>
        <v/>
      </c>
      <c r="R497">
        <f>IF($W497="","",INDEX(명단표[이름],$W497))</f>
        <v/>
      </c>
      <c r="S497">
        <f>IF($W497="","",INDEX(명단표[사번],$W497)&amp;"")</f>
        <v/>
      </c>
      <c r="T497">
        <f>IF($W497="","",INDEX(명단표[소속병원],$W497))</f>
        <v/>
      </c>
      <c r="U497">
        <f>IF($W497="","",INDEX(명단표[서울 근무일(기준월)],$W497))</f>
        <v/>
      </c>
      <c r="V497">
        <f>IF($W497="","",INDEX(명단표[구리 근무일(기준월)],$W497))</f>
        <v/>
      </c>
      <c r="W497" s="17">
        <f>IFERROR(MATCH(492,명단표[판정불가순번],0),"")</f>
        <v/>
      </c>
    </row>
    <row r="498">
      <c r="A498">
        <f>IF($P498="","",493)</f>
        <v/>
      </c>
      <c r="B498">
        <f>IF($P498="","",INDEX(명단표[이름],$P498))</f>
        <v/>
      </c>
      <c r="C498">
        <f>IF($P498="","",INDEX(명단표[사번],$P498)&amp;"")</f>
        <v/>
      </c>
      <c r="D498">
        <f>IF($P498="","",INDEX(명단표[전공의등록번호],$P498)&amp;"")</f>
        <v/>
      </c>
      <c r="E498">
        <f>IF($P498="","",INDEX(명단표[수련과목],$P498)&amp;"")</f>
        <v/>
      </c>
      <c r="F498">
        <f>IF($P498="","",INDEX(명단표[연차],$P498)&amp;"")</f>
        <v/>
      </c>
      <c r="G498">
        <f>IF($P498="","",INDEX(명단표[소속병원],$P498))</f>
        <v/>
      </c>
      <c r="H498">
        <f>IF($P498="","",IF(INDEX(명단표[소속병원],$P498)="서울병원","서울 소속","타 병원 소속("&amp;INDEX(명단표[소속병원],$P498)&amp;") → 서울 지급"))</f>
        <v/>
      </c>
      <c r="I498">
        <f>IF($P498="","",INDEX(명단표[현재 근무병원],$P498))</f>
        <v/>
      </c>
      <c r="J498">
        <f>IF($P498="","",INDEX(명단표[구리 근무 시작일(기준월)],$P498)&amp;"")</f>
        <v/>
      </c>
      <c r="K498">
        <f>IF($P498="","",INDEX(명단표[구리 근무 종료일(기준월)],$P498)&amp;"")</f>
        <v/>
      </c>
      <c r="L498">
        <f>IF($P498="","",INDEX(명단표[서울 근무일(기준월)],$P498))</f>
        <v/>
      </c>
      <c r="M498">
        <f>IF($P498="","",INDEX(명단표[구리 근무일(기준월)],$P498))</f>
        <v/>
      </c>
      <c r="N498">
        <f>IF($P498="","",INDEX(명단표[급여 판정 근거],$P498))</f>
        <v/>
      </c>
      <c r="O498">
        <f>IF($P498="","",INDEX(명단표[점검],$P498))</f>
        <v/>
      </c>
      <c r="P498" s="17">
        <f>IFERROR(MATCH(493,명단표[서울순번],0),"")</f>
        <v/>
      </c>
      <c r="R498">
        <f>IF($W498="","",INDEX(명단표[이름],$W498))</f>
        <v/>
      </c>
      <c r="S498">
        <f>IF($W498="","",INDEX(명단표[사번],$W498)&amp;"")</f>
        <v/>
      </c>
      <c r="T498">
        <f>IF($W498="","",INDEX(명단표[소속병원],$W498))</f>
        <v/>
      </c>
      <c r="U498">
        <f>IF($W498="","",INDEX(명단표[서울 근무일(기준월)],$W498))</f>
        <v/>
      </c>
      <c r="V498">
        <f>IF($W498="","",INDEX(명단표[구리 근무일(기준월)],$W498))</f>
        <v/>
      </c>
      <c r="W498" s="17">
        <f>IFERROR(MATCH(493,명단표[판정불가순번],0),"")</f>
        <v/>
      </c>
    </row>
    <row r="499">
      <c r="A499">
        <f>IF($P499="","",494)</f>
        <v/>
      </c>
      <c r="B499">
        <f>IF($P499="","",INDEX(명단표[이름],$P499))</f>
        <v/>
      </c>
      <c r="C499">
        <f>IF($P499="","",INDEX(명단표[사번],$P499)&amp;"")</f>
        <v/>
      </c>
      <c r="D499">
        <f>IF($P499="","",INDEX(명단표[전공의등록번호],$P499)&amp;"")</f>
        <v/>
      </c>
      <c r="E499">
        <f>IF($P499="","",INDEX(명단표[수련과목],$P499)&amp;"")</f>
        <v/>
      </c>
      <c r="F499">
        <f>IF($P499="","",INDEX(명단표[연차],$P499)&amp;"")</f>
        <v/>
      </c>
      <c r="G499">
        <f>IF($P499="","",INDEX(명단표[소속병원],$P499))</f>
        <v/>
      </c>
      <c r="H499">
        <f>IF($P499="","",IF(INDEX(명단표[소속병원],$P499)="서울병원","서울 소속","타 병원 소속("&amp;INDEX(명단표[소속병원],$P499)&amp;") → 서울 지급"))</f>
        <v/>
      </c>
      <c r="I499">
        <f>IF($P499="","",INDEX(명단표[현재 근무병원],$P499))</f>
        <v/>
      </c>
      <c r="J499">
        <f>IF($P499="","",INDEX(명단표[구리 근무 시작일(기준월)],$P499)&amp;"")</f>
        <v/>
      </c>
      <c r="K499">
        <f>IF($P499="","",INDEX(명단표[구리 근무 종료일(기준월)],$P499)&amp;"")</f>
        <v/>
      </c>
      <c r="L499">
        <f>IF($P499="","",INDEX(명단표[서울 근무일(기준월)],$P499))</f>
        <v/>
      </c>
      <c r="M499">
        <f>IF($P499="","",INDEX(명단표[구리 근무일(기준월)],$P499))</f>
        <v/>
      </c>
      <c r="N499">
        <f>IF($P499="","",INDEX(명단표[급여 판정 근거],$P499))</f>
        <v/>
      </c>
      <c r="O499">
        <f>IF($P499="","",INDEX(명단표[점검],$P499))</f>
        <v/>
      </c>
      <c r="P499" s="17">
        <f>IFERROR(MATCH(494,명단표[서울순번],0),"")</f>
        <v/>
      </c>
      <c r="R499">
        <f>IF($W499="","",INDEX(명단표[이름],$W499))</f>
        <v/>
      </c>
      <c r="S499">
        <f>IF($W499="","",INDEX(명단표[사번],$W499)&amp;"")</f>
        <v/>
      </c>
      <c r="T499">
        <f>IF($W499="","",INDEX(명단표[소속병원],$W499))</f>
        <v/>
      </c>
      <c r="U499">
        <f>IF($W499="","",INDEX(명단표[서울 근무일(기준월)],$W499))</f>
        <v/>
      </c>
      <c r="V499">
        <f>IF($W499="","",INDEX(명단표[구리 근무일(기준월)],$W499))</f>
        <v/>
      </c>
      <c r="W499" s="17">
        <f>IFERROR(MATCH(494,명단표[판정불가순번],0),"")</f>
        <v/>
      </c>
    </row>
    <row r="500">
      <c r="A500">
        <f>IF($P500="","",495)</f>
        <v/>
      </c>
      <c r="B500">
        <f>IF($P500="","",INDEX(명단표[이름],$P500))</f>
        <v/>
      </c>
      <c r="C500">
        <f>IF($P500="","",INDEX(명단표[사번],$P500)&amp;"")</f>
        <v/>
      </c>
      <c r="D500">
        <f>IF($P500="","",INDEX(명단표[전공의등록번호],$P500)&amp;"")</f>
        <v/>
      </c>
      <c r="E500">
        <f>IF($P500="","",INDEX(명단표[수련과목],$P500)&amp;"")</f>
        <v/>
      </c>
      <c r="F500">
        <f>IF($P500="","",INDEX(명단표[연차],$P500)&amp;"")</f>
        <v/>
      </c>
      <c r="G500">
        <f>IF($P500="","",INDEX(명단표[소속병원],$P500))</f>
        <v/>
      </c>
      <c r="H500">
        <f>IF($P500="","",IF(INDEX(명단표[소속병원],$P500)="서울병원","서울 소속","타 병원 소속("&amp;INDEX(명단표[소속병원],$P500)&amp;") → 서울 지급"))</f>
        <v/>
      </c>
      <c r="I500">
        <f>IF($P500="","",INDEX(명단표[현재 근무병원],$P500))</f>
        <v/>
      </c>
      <c r="J500">
        <f>IF($P500="","",INDEX(명단표[구리 근무 시작일(기준월)],$P500)&amp;"")</f>
        <v/>
      </c>
      <c r="K500">
        <f>IF($P500="","",INDEX(명단표[구리 근무 종료일(기준월)],$P500)&amp;"")</f>
        <v/>
      </c>
      <c r="L500">
        <f>IF($P500="","",INDEX(명단표[서울 근무일(기준월)],$P500))</f>
        <v/>
      </c>
      <c r="M500">
        <f>IF($P500="","",INDEX(명단표[구리 근무일(기준월)],$P500))</f>
        <v/>
      </c>
      <c r="N500">
        <f>IF($P500="","",INDEX(명단표[급여 판정 근거],$P500))</f>
        <v/>
      </c>
      <c r="O500">
        <f>IF($P500="","",INDEX(명단표[점검],$P500))</f>
        <v/>
      </c>
      <c r="P500" s="17">
        <f>IFERROR(MATCH(495,명단표[서울순번],0),"")</f>
        <v/>
      </c>
      <c r="R500">
        <f>IF($W500="","",INDEX(명단표[이름],$W500))</f>
        <v/>
      </c>
      <c r="S500">
        <f>IF($W500="","",INDEX(명단표[사번],$W500)&amp;"")</f>
        <v/>
      </c>
      <c r="T500">
        <f>IF($W500="","",INDEX(명단표[소속병원],$W500))</f>
        <v/>
      </c>
      <c r="U500">
        <f>IF($W500="","",INDEX(명단표[서울 근무일(기준월)],$W500))</f>
        <v/>
      </c>
      <c r="V500">
        <f>IF($W500="","",INDEX(명단표[구리 근무일(기준월)],$W500))</f>
        <v/>
      </c>
      <c r="W500" s="17">
        <f>IFERROR(MATCH(495,명단표[판정불가순번],0),"")</f>
        <v/>
      </c>
    </row>
    <row r="501">
      <c r="A501">
        <f>IF($P501="","",496)</f>
        <v/>
      </c>
      <c r="B501">
        <f>IF($P501="","",INDEX(명단표[이름],$P501))</f>
        <v/>
      </c>
      <c r="C501">
        <f>IF($P501="","",INDEX(명단표[사번],$P501)&amp;"")</f>
        <v/>
      </c>
      <c r="D501">
        <f>IF($P501="","",INDEX(명단표[전공의등록번호],$P501)&amp;"")</f>
        <v/>
      </c>
      <c r="E501">
        <f>IF($P501="","",INDEX(명단표[수련과목],$P501)&amp;"")</f>
        <v/>
      </c>
      <c r="F501">
        <f>IF($P501="","",INDEX(명단표[연차],$P501)&amp;"")</f>
        <v/>
      </c>
      <c r="G501">
        <f>IF($P501="","",INDEX(명단표[소속병원],$P501))</f>
        <v/>
      </c>
      <c r="H501">
        <f>IF($P501="","",IF(INDEX(명단표[소속병원],$P501)="서울병원","서울 소속","타 병원 소속("&amp;INDEX(명단표[소속병원],$P501)&amp;") → 서울 지급"))</f>
        <v/>
      </c>
      <c r="I501">
        <f>IF($P501="","",INDEX(명단표[현재 근무병원],$P501))</f>
        <v/>
      </c>
      <c r="J501">
        <f>IF($P501="","",INDEX(명단표[구리 근무 시작일(기준월)],$P501)&amp;"")</f>
        <v/>
      </c>
      <c r="K501">
        <f>IF($P501="","",INDEX(명단표[구리 근무 종료일(기준월)],$P501)&amp;"")</f>
        <v/>
      </c>
      <c r="L501">
        <f>IF($P501="","",INDEX(명단표[서울 근무일(기준월)],$P501))</f>
        <v/>
      </c>
      <c r="M501">
        <f>IF($P501="","",INDEX(명단표[구리 근무일(기준월)],$P501))</f>
        <v/>
      </c>
      <c r="N501">
        <f>IF($P501="","",INDEX(명단표[급여 판정 근거],$P501))</f>
        <v/>
      </c>
      <c r="O501">
        <f>IF($P501="","",INDEX(명단표[점검],$P501))</f>
        <v/>
      </c>
      <c r="P501" s="17">
        <f>IFERROR(MATCH(496,명단표[서울순번],0),"")</f>
        <v/>
      </c>
      <c r="R501">
        <f>IF($W501="","",INDEX(명단표[이름],$W501))</f>
        <v/>
      </c>
      <c r="S501">
        <f>IF($W501="","",INDEX(명단표[사번],$W501)&amp;"")</f>
        <v/>
      </c>
      <c r="T501">
        <f>IF($W501="","",INDEX(명단표[소속병원],$W501))</f>
        <v/>
      </c>
      <c r="U501">
        <f>IF($W501="","",INDEX(명단표[서울 근무일(기준월)],$W501))</f>
        <v/>
      </c>
      <c r="V501">
        <f>IF($W501="","",INDEX(명단표[구리 근무일(기준월)],$W501))</f>
        <v/>
      </c>
      <c r="W501" s="17">
        <f>IFERROR(MATCH(496,명단표[판정불가순번],0),"")</f>
        <v/>
      </c>
    </row>
    <row r="502">
      <c r="A502">
        <f>IF($P502="","",497)</f>
        <v/>
      </c>
      <c r="B502">
        <f>IF($P502="","",INDEX(명단표[이름],$P502))</f>
        <v/>
      </c>
      <c r="C502">
        <f>IF($P502="","",INDEX(명단표[사번],$P502)&amp;"")</f>
        <v/>
      </c>
      <c r="D502">
        <f>IF($P502="","",INDEX(명단표[전공의등록번호],$P502)&amp;"")</f>
        <v/>
      </c>
      <c r="E502">
        <f>IF($P502="","",INDEX(명단표[수련과목],$P502)&amp;"")</f>
        <v/>
      </c>
      <c r="F502">
        <f>IF($P502="","",INDEX(명단표[연차],$P502)&amp;"")</f>
        <v/>
      </c>
      <c r="G502">
        <f>IF($P502="","",INDEX(명단표[소속병원],$P502))</f>
        <v/>
      </c>
      <c r="H502">
        <f>IF($P502="","",IF(INDEX(명단표[소속병원],$P502)="서울병원","서울 소속","타 병원 소속("&amp;INDEX(명단표[소속병원],$P502)&amp;") → 서울 지급"))</f>
        <v/>
      </c>
      <c r="I502">
        <f>IF($P502="","",INDEX(명단표[현재 근무병원],$P502))</f>
        <v/>
      </c>
      <c r="J502">
        <f>IF($P502="","",INDEX(명단표[구리 근무 시작일(기준월)],$P502)&amp;"")</f>
        <v/>
      </c>
      <c r="K502">
        <f>IF($P502="","",INDEX(명단표[구리 근무 종료일(기준월)],$P502)&amp;"")</f>
        <v/>
      </c>
      <c r="L502">
        <f>IF($P502="","",INDEX(명단표[서울 근무일(기준월)],$P502))</f>
        <v/>
      </c>
      <c r="M502">
        <f>IF($P502="","",INDEX(명단표[구리 근무일(기준월)],$P502))</f>
        <v/>
      </c>
      <c r="N502">
        <f>IF($P502="","",INDEX(명단표[급여 판정 근거],$P502))</f>
        <v/>
      </c>
      <c r="O502">
        <f>IF($P502="","",INDEX(명단표[점검],$P502))</f>
        <v/>
      </c>
      <c r="P502" s="17">
        <f>IFERROR(MATCH(497,명단표[서울순번],0),"")</f>
        <v/>
      </c>
      <c r="R502">
        <f>IF($W502="","",INDEX(명단표[이름],$W502))</f>
        <v/>
      </c>
      <c r="S502">
        <f>IF($W502="","",INDEX(명단표[사번],$W502)&amp;"")</f>
        <v/>
      </c>
      <c r="T502">
        <f>IF($W502="","",INDEX(명단표[소속병원],$W502))</f>
        <v/>
      </c>
      <c r="U502">
        <f>IF($W502="","",INDEX(명단표[서울 근무일(기준월)],$W502))</f>
        <v/>
      </c>
      <c r="V502">
        <f>IF($W502="","",INDEX(명단표[구리 근무일(기준월)],$W502))</f>
        <v/>
      </c>
      <c r="W502" s="17">
        <f>IFERROR(MATCH(497,명단표[판정불가순번],0),"")</f>
        <v/>
      </c>
    </row>
    <row r="503">
      <c r="A503">
        <f>IF($P503="","",498)</f>
        <v/>
      </c>
      <c r="B503">
        <f>IF($P503="","",INDEX(명단표[이름],$P503))</f>
        <v/>
      </c>
      <c r="C503">
        <f>IF($P503="","",INDEX(명단표[사번],$P503)&amp;"")</f>
        <v/>
      </c>
      <c r="D503">
        <f>IF($P503="","",INDEX(명단표[전공의등록번호],$P503)&amp;"")</f>
        <v/>
      </c>
      <c r="E503">
        <f>IF($P503="","",INDEX(명단표[수련과목],$P503)&amp;"")</f>
        <v/>
      </c>
      <c r="F503">
        <f>IF($P503="","",INDEX(명단표[연차],$P503)&amp;"")</f>
        <v/>
      </c>
      <c r="G503">
        <f>IF($P503="","",INDEX(명단표[소속병원],$P503))</f>
        <v/>
      </c>
      <c r="H503">
        <f>IF($P503="","",IF(INDEX(명단표[소속병원],$P503)="서울병원","서울 소속","타 병원 소속("&amp;INDEX(명단표[소속병원],$P503)&amp;") → 서울 지급"))</f>
        <v/>
      </c>
      <c r="I503">
        <f>IF($P503="","",INDEX(명단표[현재 근무병원],$P503))</f>
        <v/>
      </c>
      <c r="J503">
        <f>IF($P503="","",INDEX(명단표[구리 근무 시작일(기준월)],$P503)&amp;"")</f>
        <v/>
      </c>
      <c r="K503">
        <f>IF($P503="","",INDEX(명단표[구리 근무 종료일(기준월)],$P503)&amp;"")</f>
        <v/>
      </c>
      <c r="L503">
        <f>IF($P503="","",INDEX(명단표[서울 근무일(기준월)],$P503))</f>
        <v/>
      </c>
      <c r="M503">
        <f>IF($P503="","",INDEX(명단표[구리 근무일(기준월)],$P503))</f>
        <v/>
      </c>
      <c r="N503">
        <f>IF($P503="","",INDEX(명단표[급여 판정 근거],$P503))</f>
        <v/>
      </c>
      <c r="O503">
        <f>IF($P503="","",INDEX(명단표[점검],$P503))</f>
        <v/>
      </c>
      <c r="P503" s="17">
        <f>IFERROR(MATCH(498,명단표[서울순번],0),"")</f>
        <v/>
      </c>
      <c r="R503">
        <f>IF($W503="","",INDEX(명단표[이름],$W503))</f>
        <v/>
      </c>
      <c r="S503">
        <f>IF($W503="","",INDEX(명단표[사번],$W503)&amp;"")</f>
        <v/>
      </c>
      <c r="T503">
        <f>IF($W503="","",INDEX(명단표[소속병원],$W503))</f>
        <v/>
      </c>
      <c r="U503">
        <f>IF($W503="","",INDEX(명단표[서울 근무일(기준월)],$W503))</f>
        <v/>
      </c>
      <c r="V503">
        <f>IF($W503="","",INDEX(명단표[구리 근무일(기준월)],$W503))</f>
        <v/>
      </c>
      <c r="W503" s="17">
        <f>IFERROR(MATCH(498,명단표[판정불가순번],0),"")</f>
        <v/>
      </c>
    </row>
    <row r="504">
      <c r="A504">
        <f>IF($P504="","",499)</f>
        <v/>
      </c>
      <c r="B504">
        <f>IF($P504="","",INDEX(명단표[이름],$P504))</f>
        <v/>
      </c>
      <c r="C504">
        <f>IF($P504="","",INDEX(명단표[사번],$P504)&amp;"")</f>
        <v/>
      </c>
      <c r="D504">
        <f>IF($P504="","",INDEX(명단표[전공의등록번호],$P504)&amp;"")</f>
        <v/>
      </c>
      <c r="E504">
        <f>IF($P504="","",INDEX(명단표[수련과목],$P504)&amp;"")</f>
        <v/>
      </c>
      <c r="F504">
        <f>IF($P504="","",INDEX(명단표[연차],$P504)&amp;"")</f>
        <v/>
      </c>
      <c r="G504">
        <f>IF($P504="","",INDEX(명단표[소속병원],$P504))</f>
        <v/>
      </c>
      <c r="H504">
        <f>IF($P504="","",IF(INDEX(명단표[소속병원],$P504)="서울병원","서울 소속","타 병원 소속("&amp;INDEX(명단표[소속병원],$P504)&amp;") → 서울 지급"))</f>
        <v/>
      </c>
      <c r="I504">
        <f>IF($P504="","",INDEX(명단표[현재 근무병원],$P504))</f>
        <v/>
      </c>
      <c r="J504">
        <f>IF($P504="","",INDEX(명단표[구리 근무 시작일(기준월)],$P504)&amp;"")</f>
        <v/>
      </c>
      <c r="K504">
        <f>IF($P504="","",INDEX(명단표[구리 근무 종료일(기준월)],$P504)&amp;"")</f>
        <v/>
      </c>
      <c r="L504">
        <f>IF($P504="","",INDEX(명단표[서울 근무일(기준월)],$P504))</f>
        <v/>
      </c>
      <c r="M504">
        <f>IF($P504="","",INDEX(명단표[구리 근무일(기준월)],$P504))</f>
        <v/>
      </c>
      <c r="N504">
        <f>IF($P504="","",INDEX(명단표[급여 판정 근거],$P504))</f>
        <v/>
      </c>
      <c r="O504">
        <f>IF($P504="","",INDEX(명단표[점검],$P504))</f>
        <v/>
      </c>
      <c r="P504" s="17">
        <f>IFERROR(MATCH(499,명단표[서울순번],0),"")</f>
        <v/>
      </c>
      <c r="R504">
        <f>IF($W504="","",INDEX(명단표[이름],$W504))</f>
        <v/>
      </c>
      <c r="S504">
        <f>IF($W504="","",INDEX(명단표[사번],$W504)&amp;"")</f>
        <v/>
      </c>
      <c r="T504">
        <f>IF($W504="","",INDEX(명단표[소속병원],$W504))</f>
        <v/>
      </c>
      <c r="U504">
        <f>IF($W504="","",INDEX(명단표[서울 근무일(기준월)],$W504))</f>
        <v/>
      </c>
      <c r="V504">
        <f>IF($W504="","",INDEX(명단표[구리 근무일(기준월)],$W504))</f>
        <v/>
      </c>
      <c r="W504" s="17">
        <f>IFERROR(MATCH(499,명단표[판정불가순번],0),"")</f>
        <v/>
      </c>
    </row>
    <row r="505">
      <c r="A505">
        <f>IF($P505="","",500)</f>
        <v/>
      </c>
      <c r="B505">
        <f>IF($P505="","",INDEX(명단표[이름],$P505))</f>
        <v/>
      </c>
      <c r="C505">
        <f>IF($P505="","",INDEX(명단표[사번],$P505)&amp;"")</f>
        <v/>
      </c>
      <c r="D505">
        <f>IF($P505="","",INDEX(명단표[전공의등록번호],$P505)&amp;"")</f>
        <v/>
      </c>
      <c r="E505">
        <f>IF($P505="","",INDEX(명단표[수련과목],$P505)&amp;"")</f>
        <v/>
      </c>
      <c r="F505">
        <f>IF($P505="","",INDEX(명단표[연차],$P505)&amp;"")</f>
        <v/>
      </c>
      <c r="G505">
        <f>IF($P505="","",INDEX(명단표[소속병원],$P505))</f>
        <v/>
      </c>
      <c r="H505">
        <f>IF($P505="","",IF(INDEX(명단표[소속병원],$P505)="서울병원","서울 소속","타 병원 소속("&amp;INDEX(명단표[소속병원],$P505)&amp;") → 서울 지급"))</f>
        <v/>
      </c>
      <c r="I505">
        <f>IF($P505="","",INDEX(명단표[현재 근무병원],$P505))</f>
        <v/>
      </c>
      <c r="J505">
        <f>IF($P505="","",INDEX(명단표[구리 근무 시작일(기준월)],$P505)&amp;"")</f>
        <v/>
      </c>
      <c r="K505">
        <f>IF($P505="","",INDEX(명단표[구리 근무 종료일(기준월)],$P505)&amp;"")</f>
        <v/>
      </c>
      <c r="L505">
        <f>IF($P505="","",INDEX(명단표[서울 근무일(기준월)],$P505))</f>
        <v/>
      </c>
      <c r="M505">
        <f>IF($P505="","",INDEX(명단표[구리 근무일(기준월)],$P505))</f>
        <v/>
      </c>
      <c r="N505">
        <f>IF($P505="","",INDEX(명단표[급여 판정 근거],$P505))</f>
        <v/>
      </c>
      <c r="O505">
        <f>IF($P505="","",INDEX(명단표[점검],$P505))</f>
        <v/>
      </c>
      <c r="P505" s="17">
        <f>IFERROR(MATCH(500,명단표[서울순번],0),"")</f>
        <v/>
      </c>
      <c r="R505">
        <f>IF($W505="","",INDEX(명단표[이름],$W505))</f>
        <v/>
      </c>
      <c r="S505">
        <f>IF($W505="","",INDEX(명단표[사번],$W505)&amp;"")</f>
        <v/>
      </c>
      <c r="T505">
        <f>IF($W505="","",INDEX(명단표[소속병원],$W505))</f>
        <v/>
      </c>
      <c r="U505">
        <f>IF($W505="","",INDEX(명단표[서울 근무일(기준월)],$W505))</f>
        <v/>
      </c>
      <c r="V505">
        <f>IF($W505="","",INDEX(명단표[구리 근무일(기준월)],$W505))</f>
        <v/>
      </c>
      <c r="W505" s="17">
        <f>IFERROR(MATCH(500,명단표[판정불가순번],0),"")</f>
        <v/>
      </c>
    </row>
    <row r="506">
      <c r="A506">
        <f>IF($P506="","",501)</f>
        <v/>
      </c>
      <c r="B506">
        <f>IF($P506="","",INDEX(명단표[이름],$P506))</f>
        <v/>
      </c>
      <c r="C506">
        <f>IF($P506="","",INDEX(명단표[사번],$P506)&amp;"")</f>
        <v/>
      </c>
      <c r="D506">
        <f>IF($P506="","",INDEX(명단표[전공의등록번호],$P506)&amp;"")</f>
        <v/>
      </c>
      <c r="E506">
        <f>IF($P506="","",INDEX(명단표[수련과목],$P506)&amp;"")</f>
        <v/>
      </c>
      <c r="F506">
        <f>IF($P506="","",INDEX(명단표[연차],$P506)&amp;"")</f>
        <v/>
      </c>
      <c r="G506">
        <f>IF($P506="","",INDEX(명단표[소속병원],$P506))</f>
        <v/>
      </c>
      <c r="H506">
        <f>IF($P506="","",IF(INDEX(명단표[소속병원],$P506)="서울병원","서울 소속","타 병원 소속("&amp;INDEX(명단표[소속병원],$P506)&amp;") → 서울 지급"))</f>
        <v/>
      </c>
      <c r="I506">
        <f>IF($P506="","",INDEX(명단표[현재 근무병원],$P506))</f>
        <v/>
      </c>
      <c r="J506">
        <f>IF($P506="","",INDEX(명단표[구리 근무 시작일(기준월)],$P506)&amp;"")</f>
        <v/>
      </c>
      <c r="K506">
        <f>IF($P506="","",INDEX(명단표[구리 근무 종료일(기준월)],$P506)&amp;"")</f>
        <v/>
      </c>
      <c r="L506">
        <f>IF($P506="","",INDEX(명단표[서울 근무일(기준월)],$P506))</f>
        <v/>
      </c>
      <c r="M506">
        <f>IF($P506="","",INDEX(명단표[구리 근무일(기준월)],$P506))</f>
        <v/>
      </c>
      <c r="N506">
        <f>IF($P506="","",INDEX(명단표[급여 판정 근거],$P506))</f>
        <v/>
      </c>
      <c r="O506">
        <f>IF($P506="","",INDEX(명단표[점검],$P506))</f>
        <v/>
      </c>
      <c r="P506" s="17">
        <f>IFERROR(MATCH(501,명단표[서울순번],0),"")</f>
        <v/>
      </c>
      <c r="R506">
        <f>IF($W506="","",INDEX(명단표[이름],$W506))</f>
        <v/>
      </c>
      <c r="S506">
        <f>IF($W506="","",INDEX(명단표[사번],$W506)&amp;"")</f>
        <v/>
      </c>
      <c r="T506">
        <f>IF($W506="","",INDEX(명단표[소속병원],$W506))</f>
        <v/>
      </c>
      <c r="U506">
        <f>IF($W506="","",INDEX(명단표[서울 근무일(기준월)],$W506))</f>
        <v/>
      </c>
      <c r="V506">
        <f>IF($W506="","",INDEX(명단표[구리 근무일(기준월)],$W506))</f>
        <v/>
      </c>
      <c r="W506" s="17">
        <f>IFERROR(MATCH(501,명단표[판정불가순번],0),"")</f>
        <v/>
      </c>
    </row>
    <row r="507">
      <c r="A507">
        <f>IF($P507="","",502)</f>
        <v/>
      </c>
      <c r="B507">
        <f>IF($P507="","",INDEX(명단표[이름],$P507))</f>
        <v/>
      </c>
      <c r="C507">
        <f>IF($P507="","",INDEX(명단표[사번],$P507)&amp;"")</f>
        <v/>
      </c>
      <c r="D507">
        <f>IF($P507="","",INDEX(명단표[전공의등록번호],$P507)&amp;"")</f>
        <v/>
      </c>
      <c r="E507">
        <f>IF($P507="","",INDEX(명단표[수련과목],$P507)&amp;"")</f>
        <v/>
      </c>
      <c r="F507">
        <f>IF($P507="","",INDEX(명단표[연차],$P507)&amp;"")</f>
        <v/>
      </c>
      <c r="G507">
        <f>IF($P507="","",INDEX(명단표[소속병원],$P507))</f>
        <v/>
      </c>
      <c r="H507">
        <f>IF($P507="","",IF(INDEX(명단표[소속병원],$P507)="서울병원","서울 소속","타 병원 소속("&amp;INDEX(명단표[소속병원],$P507)&amp;") → 서울 지급"))</f>
        <v/>
      </c>
      <c r="I507">
        <f>IF($P507="","",INDEX(명단표[현재 근무병원],$P507))</f>
        <v/>
      </c>
      <c r="J507">
        <f>IF($P507="","",INDEX(명단표[구리 근무 시작일(기준월)],$P507)&amp;"")</f>
        <v/>
      </c>
      <c r="K507">
        <f>IF($P507="","",INDEX(명단표[구리 근무 종료일(기준월)],$P507)&amp;"")</f>
        <v/>
      </c>
      <c r="L507">
        <f>IF($P507="","",INDEX(명단표[서울 근무일(기준월)],$P507))</f>
        <v/>
      </c>
      <c r="M507">
        <f>IF($P507="","",INDEX(명단표[구리 근무일(기준월)],$P507))</f>
        <v/>
      </c>
      <c r="N507">
        <f>IF($P507="","",INDEX(명단표[급여 판정 근거],$P507))</f>
        <v/>
      </c>
      <c r="O507">
        <f>IF($P507="","",INDEX(명단표[점검],$P507))</f>
        <v/>
      </c>
      <c r="P507" s="17">
        <f>IFERROR(MATCH(502,명단표[서울순번],0),"")</f>
        <v/>
      </c>
      <c r="R507">
        <f>IF($W507="","",INDEX(명단표[이름],$W507))</f>
        <v/>
      </c>
      <c r="S507">
        <f>IF($W507="","",INDEX(명단표[사번],$W507)&amp;"")</f>
        <v/>
      </c>
      <c r="T507">
        <f>IF($W507="","",INDEX(명단표[소속병원],$W507))</f>
        <v/>
      </c>
      <c r="U507">
        <f>IF($W507="","",INDEX(명단표[서울 근무일(기준월)],$W507))</f>
        <v/>
      </c>
      <c r="V507">
        <f>IF($W507="","",INDEX(명단표[구리 근무일(기준월)],$W507))</f>
        <v/>
      </c>
      <c r="W507" s="17">
        <f>IFERROR(MATCH(502,명단표[판정불가순번],0),"")</f>
        <v/>
      </c>
    </row>
    <row r="508">
      <c r="A508">
        <f>IF($P508="","",503)</f>
        <v/>
      </c>
      <c r="B508">
        <f>IF($P508="","",INDEX(명단표[이름],$P508))</f>
        <v/>
      </c>
      <c r="C508">
        <f>IF($P508="","",INDEX(명단표[사번],$P508)&amp;"")</f>
        <v/>
      </c>
      <c r="D508">
        <f>IF($P508="","",INDEX(명단표[전공의등록번호],$P508)&amp;"")</f>
        <v/>
      </c>
      <c r="E508">
        <f>IF($P508="","",INDEX(명단표[수련과목],$P508)&amp;"")</f>
        <v/>
      </c>
      <c r="F508">
        <f>IF($P508="","",INDEX(명단표[연차],$P508)&amp;"")</f>
        <v/>
      </c>
      <c r="G508">
        <f>IF($P508="","",INDEX(명단표[소속병원],$P508))</f>
        <v/>
      </c>
      <c r="H508">
        <f>IF($P508="","",IF(INDEX(명단표[소속병원],$P508)="서울병원","서울 소속","타 병원 소속("&amp;INDEX(명단표[소속병원],$P508)&amp;") → 서울 지급"))</f>
        <v/>
      </c>
      <c r="I508">
        <f>IF($P508="","",INDEX(명단표[현재 근무병원],$P508))</f>
        <v/>
      </c>
      <c r="J508">
        <f>IF($P508="","",INDEX(명단표[구리 근무 시작일(기준월)],$P508)&amp;"")</f>
        <v/>
      </c>
      <c r="K508">
        <f>IF($P508="","",INDEX(명단표[구리 근무 종료일(기준월)],$P508)&amp;"")</f>
        <v/>
      </c>
      <c r="L508">
        <f>IF($P508="","",INDEX(명단표[서울 근무일(기준월)],$P508))</f>
        <v/>
      </c>
      <c r="M508">
        <f>IF($P508="","",INDEX(명단표[구리 근무일(기준월)],$P508))</f>
        <v/>
      </c>
      <c r="N508">
        <f>IF($P508="","",INDEX(명단표[급여 판정 근거],$P508))</f>
        <v/>
      </c>
      <c r="O508">
        <f>IF($P508="","",INDEX(명단표[점검],$P508))</f>
        <v/>
      </c>
      <c r="P508" s="17">
        <f>IFERROR(MATCH(503,명단표[서울순번],0),"")</f>
        <v/>
      </c>
      <c r="R508">
        <f>IF($W508="","",INDEX(명단표[이름],$W508))</f>
        <v/>
      </c>
      <c r="S508">
        <f>IF($W508="","",INDEX(명단표[사번],$W508)&amp;"")</f>
        <v/>
      </c>
      <c r="T508">
        <f>IF($W508="","",INDEX(명단표[소속병원],$W508))</f>
        <v/>
      </c>
      <c r="U508">
        <f>IF($W508="","",INDEX(명단표[서울 근무일(기준월)],$W508))</f>
        <v/>
      </c>
      <c r="V508">
        <f>IF($W508="","",INDEX(명단표[구리 근무일(기준월)],$W508))</f>
        <v/>
      </c>
      <c r="W508" s="17">
        <f>IFERROR(MATCH(503,명단표[판정불가순번],0),"")</f>
        <v/>
      </c>
    </row>
    <row r="509">
      <c r="A509">
        <f>IF($P509="","",504)</f>
        <v/>
      </c>
      <c r="B509">
        <f>IF($P509="","",INDEX(명단표[이름],$P509))</f>
        <v/>
      </c>
      <c r="C509">
        <f>IF($P509="","",INDEX(명단표[사번],$P509)&amp;"")</f>
        <v/>
      </c>
      <c r="D509">
        <f>IF($P509="","",INDEX(명단표[전공의등록번호],$P509)&amp;"")</f>
        <v/>
      </c>
      <c r="E509">
        <f>IF($P509="","",INDEX(명단표[수련과목],$P509)&amp;"")</f>
        <v/>
      </c>
      <c r="F509">
        <f>IF($P509="","",INDEX(명단표[연차],$P509)&amp;"")</f>
        <v/>
      </c>
      <c r="G509">
        <f>IF($P509="","",INDEX(명단표[소속병원],$P509))</f>
        <v/>
      </c>
      <c r="H509">
        <f>IF($P509="","",IF(INDEX(명단표[소속병원],$P509)="서울병원","서울 소속","타 병원 소속("&amp;INDEX(명단표[소속병원],$P509)&amp;") → 서울 지급"))</f>
        <v/>
      </c>
      <c r="I509">
        <f>IF($P509="","",INDEX(명단표[현재 근무병원],$P509))</f>
        <v/>
      </c>
      <c r="J509">
        <f>IF($P509="","",INDEX(명단표[구리 근무 시작일(기준월)],$P509)&amp;"")</f>
        <v/>
      </c>
      <c r="K509">
        <f>IF($P509="","",INDEX(명단표[구리 근무 종료일(기준월)],$P509)&amp;"")</f>
        <v/>
      </c>
      <c r="L509">
        <f>IF($P509="","",INDEX(명단표[서울 근무일(기준월)],$P509))</f>
        <v/>
      </c>
      <c r="M509">
        <f>IF($P509="","",INDEX(명단표[구리 근무일(기준월)],$P509))</f>
        <v/>
      </c>
      <c r="N509">
        <f>IF($P509="","",INDEX(명단표[급여 판정 근거],$P509))</f>
        <v/>
      </c>
      <c r="O509">
        <f>IF($P509="","",INDEX(명단표[점검],$P509))</f>
        <v/>
      </c>
      <c r="P509" s="17">
        <f>IFERROR(MATCH(504,명단표[서울순번],0),"")</f>
        <v/>
      </c>
      <c r="R509">
        <f>IF($W509="","",INDEX(명단표[이름],$W509))</f>
        <v/>
      </c>
      <c r="S509">
        <f>IF($W509="","",INDEX(명단표[사번],$W509)&amp;"")</f>
        <v/>
      </c>
      <c r="T509">
        <f>IF($W509="","",INDEX(명단표[소속병원],$W509))</f>
        <v/>
      </c>
      <c r="U509">
        <f>IF($W509="","",INDEX(명단표[서울 근무일(기준월)],$W509))</f>
        <v/>
      </c>
      <c r="V509">
        <f>IF($W509="","",INDEX(명단표[구리 근무일(기준월)],$W509))</f>
        <v/>
      </c>
      <c r="W509" s="17">
        <f>IFERROR(MATCH(504,명단표[판정불가순번],0),"")</f>
        <v/>
      </c>
    </row>
    <row r="510">
      <c r="A510">
        <f>IF($P510="","",505)</f>
        <v/>
      </c>
      <c r="B510">
        <f>IF($P510="","",INDEX(명단표[이름],$P510))</f>
        <v/>
      </c>
      <c r="C510">
        <f>IF($P510="","",INDEX(명단표[사번],$P510)&amp;"")</f>
        <v/>
      </c>
      <c r="D510">
        <f>IF($P510="","",INDEX(명단표[전공의등록번호],$P510)&amp;"")</f>
        <v/>
      </c>
      <c r="E510">
        <f>IF($P510="","",INDEX(명단표[수련과목],$P510)&amp;"")</f>
        <v/>
      </c>
      <c r="F510">
        <f>IF($P510="","",INDEX(명단표[연차],$P510)&amp;"")</f>
        <v/>
      </c>
      <c r="G510">
        <f>IF($P510="","",INDEX(명단표[소속병원],$P510))</f>
        <v/>
      </c>
      <c r="H510">
        <f>IF($P510="","",IF(INDEX(명단표[소속병원],$P510)="서울병원","서울 소속","타 병원 소속("&amp;INDEX(명단표[소속병원],$P510)&amp;") → 서울 지급"))</f>
        <v/>
      </c>
      <c r="I510">
        <f>IF($P510="","",INDEX(명단표[현재 근무병원],$P510))</f>
        <v/>
      </c>
      <c r="J510">
        <f>IF($P510="","",INDEX(명단표[구리 근무 시작일(기준월)],$P510)&amp;"")</f>
        <v/>
      </c>
      <c r="K510">
        <f>IF($P510="","",INDEX(명단표[구리 근무 종료일(기준월)],$P510)&amp;"")</f>
        <v/>
      </c>
      <c r="L510">
        <f>IF($P510="","",INDEX(명단표[서울 근무일(기준월)],$P510))</f>
        <v/>
      </c>
      <c r="M510">
        <f>IF($P510="","",INDEX(명단표[구리 근무일(기준월)],$P510))</f>
        <v/>
      </c>
      <c r="N510">
        <f>IF($P510="","",INDEX(명단표[급여 판정 근거],$P510))</f>
        <v/>
      </c>
      <c r="O510">
        <f>IF($P510="","",INDEX(명단표[점검],$P510))</f>
        <v/>
      </c>
      <c r="P510" s="17">
        <f>IFERROR(MATCH(505,명단표[서울순번],0),"")</f>
        <v/>
      </c>
      <c r="R510">
        <f>IF($W510="","",INDEX(명단표[이름],$W510))</f>
        <v/>
      </c>
      <c r="S510">
        <f>IF($W510="","",INDEX(명단표[사번],$W510)&amp;"")</f>
        <v/>
      </c>
      <c r="T510">
        <f>IF($W510="","",INDEX(명단표[소속병원],$W510))</f>
        <v/>
      </c>
      <c r="U510">
        <f>IF($W510="","",INDEX(명단표[서울 근무일(기준월)],$W510))</f>
        <v/>
      </c>
      <c r="V510">
        <f>IF($W510="","",INDEX(명단표[구리 근무일(기준월)],$W510))</f>
        <v/>
      </c>
      <c r="W510" s="17">
        <f>IFERROR(MATCH(505,명단표[판정불가순번],0),"")</f>
        <v/>
      </c>
    </row>
    <row r="511">
      <c r="A511">
        <f>IF($P511="","",506)</f>
        <v/>
      </c>
      <c r="B511">
        <f>IF($P511="","",INDEX(명단표[이름],$P511))</f>
        <v/>
      </c>
      <c r="C511">
        <f>IF($P511="","",INDEX(명단표[사번],$P511)&amp;"")</f>
        <v/>
      </c>
      <c r="D511">
        <f>IF($P511="","",INDEX(명단표[전공의등록번호],$P511)&amp;"")</f>
        <v/>
      </c>
      <c r="E511">
        <f>IF($P511="","",INDEX(명단표[수련과목],$P511)&amp;"")</f>
        <v/>
      </c>
      <c r="F511">
        <f>IF($P511="","",INDEX(명단표[연차],$P511)&amp;"")</f>
        <v/>
      </c>
      <c r="G511">
        <f>IF($P511="","",INDEX(명단표[소속병원],$P511))</f>
        <v/>
      </c>
      <c r="H511">
        <f>IF($P511="","",IF(INDEX(명단표[소속병원],$P511)="서울병원","서울 소속","타 병원 소속("&amp;INDEX(명단표[소속병원],$P511)&amp;") → 서울 지급"))</f>
        <v/>
      </c>
      <c r="I511">
        <f>IF($P511="","",INDEX(명단표[현재 근무병원],$P511))</f>
        <v/>
      </c>
      <c r="J511">
        <f>IF($P511="","",INDEX(명단표[구리 근무 시작일(기준월)],$P511)&amp;"")</f>
        <v/>
      </c>
      <c r="K511">
        <f>IF($P511="","",INDEX(명단표[구리 근무 종료일(기준월)],$P511)&amp;"")</f>
        <v/>
      </c>
      <c r="L511">
        <f>IF($P511="","",INDEX(명단표[서울 근무일(기준월)],$P511))</f>
        <v/>
      </c>
      <c r="M511">
        <f>IF($P511="","",INDEX(명단표[구리 근무일(기준월)],$P511))</f>
        <v/>
      </c>
      <c r="N511">
        <f>IF($P511="","",INDEX(명단표[급여 판정 근거],$P511))</f>
        <v/>
      </c>
      <c r="O511">
        <f>IF($P511="","",INDEX(명단표[점검],$P511))</f>
        <v/>
      </c>
      <c r="P511" s="17">
        <f>IFERROR(MATCH(506,명단표[서울순번],0),"")</f>
        <v/>
      </c>
      <c r="R511">
        <f>IF($W511="","",INDEX(명단표[이름],$W511))</f>
        <v/>
      </c>
      <c r="S511">
        <f>IF($W511="","",INDEX(명단표[사번],$W511)&amp;"")</f>
        <v/>
      </c>
      <c r="T511">
        <f>IF($W511="","",INDEX(명단표[소속병원],$W511))</f>
        <v/>
      </c>
      <c r="U511">
        <f>IF($W511="","",INDEX(명단표[서울 근무일(기준월)],$W511))</f>
        <v/>
      </c>
      <c r="V511">
        <f>IF($W511="","",INDEX(명단표[구리 근무일(기준월)],$W511))</f>
        <v/>
      </c>
      <c r="W511" s="17">
        <f>IFERROR(MATCH(506,명단표[판정불가순번],0),"")</f>
        <v/>
      </c>
    </row>
    <row r="512">
      <c r="A512">
        <f>IF($P512="","",507)</f>
        <v/>
      </c>
      <c r="B512">
        <f>IF($P512="","",INDEX(명단표[이름],$P512))</f>
        <v/>
      </c>
      <c r="C512">
        <f>IF($P512="","",INDEX(명단표[사번],$P512)&amp;"")</f>
        <v/>
      </c>
      <c r="D512">
        <f>IF($P512="","",INDEX(명단표[전공의등록번호],$P512)&amp;"")</f>
        <v/>
      </c>
      <c r="E512">
        <f>IF($P512="","",INDEX(명단표[수련과목],$P512)&amp;"")</f>
        <v/>
      </c>
      <c r="F512">
        <f>IF($P512="","",INDEX(명단표[연차],$P512)&amp;"")</f>
        <v/>
      </c>
      <c r="G512">
        <f>IF($P512="","",INDEX(명단표[소속병원],$P512))</f>
        <v/>
      </c>
      <c r="H512">
        <f>IF($P512="","",IF(INDEX(명단표[소속병원],$P512)="서울병원","서울 소속","타 병원 소속("&amp;INDEX(명단표[소속병원],$P512)&amp;") → 서울 지급"))</f>
        <v/>
      </c>
      <c r="I512">
        <f>IF($P512="","",INDEX(명단표[현재 근무병원],$P512))</f>
        <v/>
      </c>
      <c r="J512">
        <f>IF($P512="","",INDEX(명단표[구리 근무 시작일(기준월)],$P512)&amp;"")</f>
        <v/>
      </c>
      <c r="K512">
        <f>IF($P512="","",INDEX(명단표[구리 근무 종료일(기준월)],$P512)&amp;"")</f>
        <v/>
      </c>
      <c r="L512">
        <f>IF($P512="","",INDEX(명단표[서울 근무일(기준월)],$P512))</f>
        <v/>
      </c>
      <c r="M512">
        <f>IF($P512="","",INDEX(명단표[구리 근무일(기준월)],$P512))</f>
        <v/>
      </c>
      <c r="N512">
        <f>IF($P512="","",INDEX(명단표[급여 판정 근거],$P512))</f>
        <v/>
      </c>
      <c r="O512">
        <f>IF($P512="","",INDEX(명단표[점검],$P512))</f>
        <v/>
      </c>
      <c r="P512" s="17">
        <f>IFERROR(MATCH(507,명단표[서울순번],0),"")</f>
        <v/>
      </c>
      <c r="R512">
        <f>IF($W512="","",INDEX(명단표[이름],$W512))</f>
        <v/>
      </c>
      <c r="S512">
        <f>IF($W512="","",INDEX(명단표[사번],$W512)&amp;"")</f>
        <v/>
      </c>
      <c r="T512">
        <f>IF($W512="","",INDEX(명단표[소속병원],$W512))</f>
        <v/>
      </c>
      <c r="U512">
        <f>IF($W512="","",INDEX(명단표[서울 근무일(기준월)],$W512))</f>
        <v/>
      </c>
      <c r="V512">
        <f>IF($W512="","",INDEX(명단표[구리 근무일(기준월)],$W512))</f>
        <v/>
      </c>
      <c r="W512" s="17">
        <f>IFERROR(MATCH(507,명단표[판정불가순번],0),"")</f>
        <v/>
      </c>
    </row>
    <row r="513">
      <c r="A513">
        <f>IF($P513="","",508)</f>
        <v/>
      </c>
      <c r="B513">
        <f>IF($P513="","",INDEX(명단표[이름],$P513))</f>
        <v/>
      </c>
      <c r="C513">
        <f>IF($P513="","",INDEX(명단표[사번],$P513)&amp;"")</f>
        <v/>
      </c>
      <c r="D513">
        <f>IF($P513="","",INDEX(명단표[전공의등록번호],$P513)&amp;"")</f>
        <v/>
      </c>
      <c r="E513">
        <f>IF($P513="","",INDEX(명단표[수련과목],$P513)&amp;"")</f>
        <v/>
      </c>
      <c r="F513">
        <f>IF($P513="","",INDEX(명단표[연차],$P513)&amp;"")</f>
        <v/>
      </c>
      <c r="G513">
        <f>IF($P513="","",INDEX(명단표[소속병원],$P513))</f>
        <v/>
      </c>
      <c r="H513">
        <f>IF($P513="","",IF(INDEX(명단표[소속병원],$P513)="서울병원","서울 소속","타 병원 소속("&amp;INDEX(명단표[소속병원],$P513)&amp;") → 서울 지급"))</f>
        <v/>
      </c>
      <c r="I513">
        <f>IF($P513="","",INDEX(명단표[현재 근무병원],$P513))</f>
        <v/>
      </c>
      <c r="J513">
        <f>IF($P513="","",INDEX(명단표[구리 근무 시작일(기준월)],$P513)&amp;"")</f>
        <v/>
      </c>
      <c r="K513">
        <f>IF($P513="","",INDEX(명단표[구리 근무 종료일(기준월)],$P513)&amp;"")</f>
        <v/>
      </c>
      <c r="L513">
        <f>IF($P513="","",INDEX(명단표[서울 근무일(기준월)],$P513))</f>
        <v/>
      </c>
      <c r="M513">
        <f>IF($P513="","",INDEX(명단표[구리 근무일(기준월)],$P513))</f>
        <v/>
      </c>
      <c r="N513">
        <f>IF($P513="","",INDEX(명단표[급여 판정 근거],$P513))</f>
        <v/>
      </c>
      <c r="O513">
        <f>IF($P513="","",INDEX(명단표[점검],$P513))</f>
        <v/>
      </c>
      <c r="P513" s="17">
        <f>IFERROR(MATCH(508,명단표[서울순번],0),"")</f>
        <v/>
      </c>
      <c r="R513">
        <f>IF($W513="","",INDEX(명단표[이름],$W513))</f>
        <v/>
      </c>
      <c r="S513">
        <f>IF($W513="","",INDEX(명단표[사번],$W513)&amp;"")</f>
        <v/>
      </c>
      <c r="T513">
        <f>IF($W513="","",INDEX(명단표[소속병원],$W513))</f>
        <v/>
      </c>
      <c r="U513">
        <f>IF($W513="","",INDEX(명단표[서울 근무일(기준월)],$W513))</f>
        <v/>
      </c>
      <c r="V513">
        <f>IF($W513="","",INDEX(명단표[구리 근무일(기준월)],$W513))</f>
        <v/>
      </c>
      <c r="W513" s="17">
        <f>IFERROR(MATCH(508,명단표[판정불가순번],0),"")</f>
        <v/>
      </c>
    </row>
    <row r="514">
      <c r="A514">
        <f>IF($P514="","",509)</f>
        <v/>
      </c>
      <c r="B514">
        <f>IF($P514="","",INDEX(명단표[이름],$P514))</f>
        <v/>
      </c>
      <c r="C514">
        <f>IF($P514="","",INDEX(명단표[사번],$P514)&amp;"")</f>
        <v/>
      </c>
      <c r="D514">
        <f>IF($P514="","",INDEX(명단표[전공의등록번호],$P514)&amp;"")</f>
        <v/>
      </c>
      <c r="E514">
        <f>IF($P514="","",INDEX(명단표[수련과목],$P514)&amp;"")</f>
        <v/>
      </c>
      <c r="F514">
        <f>IF($P514="","",INDEX(명단표[연차],$P514)&amp;"")</f>
        <v/>
      </c>
      <c r="G514">
        <f>IF($P514="","",INDEX(명단표[소속병원],$P514))</f>
        <v/>
      </c>
      <c r="H514">
        <f>IF($P514="","",IF(INDEX(명단표[소속병원],$P514)="서울병원","서울 소속","타 병원 소속("&amp;INDEX(명단표[소속병원],$P514)&amp;") → 서울 지급"))</f>
        <v/>
      </c>
      <c r="I514">
        <f>IF($P514="","",INDEX(명단표[현재 근무병원],$P514))</f>
        <v/>
      </c>
      <c r="J514">
        <f>IF($P514="","",INDEX(명단표[구리 근무 시작일(기준월)],$P514)&amp;"")</f>
        <v/>
      </c>
      <c r="K514">
        <f>IF($P514="","",INDEX(명단표[구리 근무 종료일(기준월)],$P514)&amp;"")</f>
        <v/>
      </c>
      <c r="L514">
        <f>IF($P514="","",INDEX(명단표[서울 근무일(기준월)],$P514))</f>
        <v/>
      </c>
      <c r="M514">
        <f>IF($P514="","",INDEX(명단표[구리 근무일(기준월)],$P514))</f>
        <v/>
      </c>
      <c r="N514">
        <f>IF($P514="","",INDEX(명단표[급여 판정 근거],$P514))</f>
        <v/>
      </c>
      <c r="O514">
        <f>IF($P514="","",INDEX(명단표[점검],$P514))</f>
        <v/>
      </c>
      <c r="P514" s="17">
        <f>IFERROR(MATCH(509,명단표[서울순번],0),"")</f>
        <v/>
      </c>
      <c r="R514">
        <f>IF($W514="","",INDEX(명단표[이름],$W514))</f>
        <v/>
      </c>
      <c r="S514">
        <f>IF($W514="","",INDEX(명단표[사번],$W514)&amp;"")</f>
        <v/>
      </c>
      <c r="T514">
        <f>IF($W514="","",INDEX(명단표[소속병원],$W514))</f>
        <v/>
      </c>
      <c r="U514">
        <f>IF($W514="","",INDEX(명단표[서울 근무일(기준월)],$W514))</f>
        <v/>
      </c>
      <c r="V514">
        <f>IF($W514="","",INDEX(명단표[구리 근무일(기준월)],$W514))</f>
        <v/>
      </c>
      <c r="W514" s="17">
        <f>IFERROR(MATCH(509,명단표[판정불가순번],0),"")</f>
        <v/>
      </c>
    </row>
    <row r="515">
      <c r="A515">
        <f>IF($P515="","",510)</f>
        <v/>
      </c>
      <c r="B515">
        <f>IF($P515="","",INDEX(명단표[이름],$P515))</f>
        <v/>
      </c>
      <c r="C515">
        <f>IF($P515="","",INDEX(명단표[사번],$P515)&amp;"")</f>
        <v/>
      </c>
      <c r="D515">
        <f>IF($P515="","",INDEX(명단표[전공의등록번호],$P515)&amp;"")</f>
        <v/>
      </c>
      <c r="E515">
        <f>IF($P515="","",INDEX(명단표[수련과목],$P515)&amp;"")</f>
        <v/>
      </c>
      <c r="F515">
        <f>IF($P515="","",INDEX(명단표[연차],$P515)&amp;"")</f>
        <v/>
      </c>
      <c r="G515">
        <f>IF($P515="","",INDEX(명단표[소속병원],$P515))</f>
        <v/>
      </c>
      <c r="H515">
        <f>IF($P515="","",IF(INDEX(명단표[소속병원],$P515)="서울병원","서울 소속","타 병원 소속("&amp;INDEX(명단표[소속병원],$P515)&amp;") → 서울 지급"))</f>
        <v/>
      </c>
      <c r="I515">
        <f>IF($P515="","",INDEX(명단표[현재 근무병원],$P515))</f>
        <v/>
      </c>
      <c r="J515">
        <f>IF($P515="","",INDEX(명단표[구리 근무 시작일(기준월)],$P515)&amp;"")</f>
        <v/>
      </c>
      <c r="K515">
        <f>IF($P515="","",INDEX(명단표[구리 근무 종료일(기준월)],$P515)&amp;"")</f>
        <v/>
      </c>
      <c r="L515">
        <f>IF($P515="","",INDEX(명단표[서울 근무일(기준월)],$P515))</f>
        <v/>
      </c>
      <c r="M515">
        <f>IF($P515="","",INDEX(명단표[구리 근무일(기준월)],$P515))</f>
        <v/>
      </c>
      <c r="N515">
        <f>IF($P515="","",INDEX(명단표[급여 판정 근거],$P515))</f>
        <v/>
      </c>
      <c r="O515">
        <f>IF($P515="","",INDEX(명단표[점검],$P515))</f>
        <v/>
      </c>
      <c r="P515" s="17">
        <f>IFERROR(MATCH(510,명단표[서울순번],0),"")</f>
        <v/>
      </c>
      <c r="R515">
        <f>IF($W515="","",INDEX(명단표[이름],$W515))</f>
        <v/>
      </c>
      <c r="S515">
        <f>IF($W515="","",INDEX(명단표[사번],$W515)&amp;"")</f>
        <v/>
      </c>
      <c r="T515">
        <f>IF($W515="","",INDEX(명단표[소속병원],$W515))</f>
        <v/>
      </c>
      <c r="U515">
        <f>IF($W515="","",INDEX(명단표[서울 근무일(기준월)],$W515))</f>
        <v/>
      </c>
      <c r="V515">
        <f>IF($W515="","",INDEX(명단표[구리 근무일(기준월)],$W515))</f>
        <v/>
      </c>
      <c r="W515" s="17">
        <f>IFERROR(MATCH(510,명단표[판정불가순번],0),"")</f>
        <v/>
      </c>
    </row>
    <row r="516">
      <c r="A516">
        <f>IF($P516="","",511)</f>
        <v/>
      </c>
      <c r="B516">
        <f>IF($P516="","",INDEX(명단표[이름],$P516))</f>
        <v/>
      </c>
      <c r="C516">
        <f>IF($P516="","",INDEX(명단표[사번],$P516)&amp;"")</f>
        <v/>
      </c>
      <c r="D516">
        <f>IF($P516="","",INDEX(명단표[전공의등록번호],$P516)&amp;"")</f>
        <v/>
      </c>
      <c r="E516">
        <f>IF($P516="","",INDEX(명단표[수련과목],$P516)&amp;"")</f>
        <v/>
      </c>
      <c r="F516">
        <f>IF($P516="","",INDEX(명단표[연차],$P516)&amp;"")</f>
        <v/>
      </c>
      <c r="G516">
        <f>IF($P516="","",INDEX(명단표[소속병원],$P516))</f>
        <v/>
      </c>
      <c r="H516">
        <f>IF($P516="","",IF(INDEX(명단표[소속병원],$P516)="서울병원","서울 소속","타 병원 소속("&amp;INDEX(명단표[소속병원],$P516)&amp;") → 서울 지급"))</f>
        <v/>
      </c>
      <c r="I516">
        <f>IF($P516="","",INDEX(명단표[현재 근무병원],$P516))</f>
        <v/>
      </c>
      <c r="J516">
        <f>IF($P516="","",INDEX(명단표[구리 근무 시작일(기준월)],$P516)&amp;"")</f>
        <v/>
      </c>
      <c r="K516">
        <f>IF($P516="","",INDEX(명단표[구리 근무 종료일(기준월)],$P516)&amp;"")</f>
        <v/>
      </c>
      <c r="L516">
        <f>IF($P516="","",INDEX(명단표[서울 근무일(기준월)],$P516))</f>
        <v/>
      </c>
      <c r="M516">
        <f>IF($P516="","",INDEX(명단표[구리 근무일(기준월)],$P516))</f>
        <v/>
      </c>
      <c r="N516">
        <f>IF($P516="","",INDEX(명단표[급여 판정 근거],$P516))</f>
        <v/>
      </c>
      <c r="O516">
        <f>IF($P516="","",INDEX(명단표[점검],$P516))</f>
        <v/>
      </c>
      <c r="P516" s="17">
        <f>IFERROR(MATCH(511,명단표[서울순번],0),"")</f>
        <v/>
      </c>
      <c r="R516">
        <f>IF($W516="","",INDEX(명단표[이름],$W516))</f>
        <v/>
      </c>
      <c r="S516">
        <f>IF($W516="","",INDEX(명단표[사번],$W516)&amp;"")</f>
        <v/>
      </c>
      <c r="T516">
        <f>IF($W516="","",INDEX(명단표[소속병원],$W516))</f>
        <v/>
      </c>
      <c r="U516">
        <f>IF($W516="","",INDEX(명단표[서울 근무일(기준월)],$W516))</f>
        <v/>
      </c>
      <c r="V516">
        <f>IF($W516="","",INDEX(명단표[구리 근무일(기준월)],$W516))</f>
        <v/>
      </c>
      <c r="W516" s="17">
        <f>IFERROR(MATCH(511,명단표[판정불가순번],0),"")</f>
        <v/>
      </c>
    </row>
    <row r="517">
      <c r="A517">
        <f>IF($P517="","",512)</f>
        <v/>
      </c>
      <c r="B517">
        <f>IF($P517="","",INDEX(명단표[이름],$P517))</f>
        <v/>
      </c>
      <c r="C517">
        <f>IF($P517="","",INDEX(명단표[사번],$P517)&amp;"")</f>
        <v/>
      </c>
      <c r="D517">
        <f>IF($P517="","",INDEX(명단표[전공의등록번호],$P517)&amp;"")</f>
        <v/>
      </c>
      <c r="E517">
        <f>IF($P517="","",INDEX(명단표[수련과목],$P517)&amp;"")</f>
        <v/>
      </c>
      <c r="F517">
        <f>IF($P517="","",INDEX(명단표[연차],$P517)&amp;"")</f>
        <v/>
      </c>
      <c r="G517">
        <f>IF($P517="","",INDEX(명단표[소속병원],$P517))</f>
        <v/>
      </c>
      <c r="H517">
        <f>IF($P517="","",IF(INDEX(명단표[소속병원],$P517)="서울병원","서울 소속","타 병원 소속("&amp;INDEX(명단표[소속병원],$P517)&amp;") → 서울 지급"))</f>
        <v/>
      </c>
      <c r="I517">
        <f>IF($P517="","",INDEX(명단표[현재 근무병원],$P517))</f>
        <v/>
      </c>
      <c r="J517">
        <f>IF($P517="","",INDEX(명단표[구리 근무 시작일(기준월)],$P517)&amp;"")</f>
        <v/>
      </c>
      <c r="K517">
        <f>IF($P517="","",INDEX(명단표[구리 근무 종료일(기준월)],$P517)&amp;"")</f>
        <v/>
      </c>
      <c r="L517">
        <f>IF($P517="","",INDEX(명단표[서울 근무일(기준월)],$P517))</f>
        <v/>
      </c>
      <c r="M517">
        <f>IF($P517="","",INDEX(명단표[구리 근무일(기준월)],$P517))</f>
        <v/>
      </c>
      <c r="N517">
        <f>IF($P517="","",INDEX(명단표[급여 판정 근거],$P517))</f>
        <v/>
      </c>
      <c r="O517">
        <f>IF($P517="","",INDEX(명단표[점검],$P517))</f>
        <v/>
      </c>
      <c r="P517" s="17">
        <f>IFERROR(MATCH(512,명단표[서울순번],0),"")</f>
        <v/>
      </c>
      <c r="R517">
        <f>IF($W517="","",INDEX(명단표[이름],$W517))</f>
        <v/>
      </c>
      <c r="S517">
        <f>IF($W517="","",INDEX(명단표[사번],$W517)&amp;"")</f>
        <v/>
      </c>
      <c r="T517">
        <f>IF($W517="","",INDEX(명단표[소속병원],$W517))</f>
        <v/>
      </c>
      <c r="U517">
        <f>IF($W517="","",INDEX(명단표[서울 근무일(기준월)],$W517))</f>
        <v/>
      </c>
      <c r="V517">
        <f>IF($W517="","",INDEX(명단표[구리 근무일(기준월)],$W517))</f>
        <v/>
      </c>
      <c r="W517" s="17">
        <f>IFERROR(MATCH(512,명단표[판정불가순번],0),"")</f>
        <v/>
      </c>
    </row>
    <row r="518">
      <c r="A518">
        <f>IF($P518="","",513)</f>
        <v/>
      </c>
      <c r="B518">
        <f>IF($P518="","",INDEX(명단표[이름],$P518))</f>
        <v/>
      </c>
      <c r="C518">
        <f>IF($P518="","",INDEX(명단표[사번],$P518)&amp;"")</f>
        <v/>
      </c>
      <c r="D518">
        <f>IF($P518="","",INDEX(명단표[전공의등록번호],$P518)&amp;"")</f>
        <v/>
      </c>
      <c r="E518">
        <f>IF($P518="","",INDEX(명단표[수련과목],$P518)&amp;"")</f>
        <v/>
      </c>
      <c r="F518">
        <f>IF($P518="","",INDEX(명단표[연차],$P518)&amp;"")</f>
        <v/>
      </c>
      <c r="G518">
        <f>IF($P518="","",INDEX(명단표[소속병원],$P518))</f>
        <v/>
      </c>
      <c r="H518">
        <f>IF($P518="","",IF(INDEX(명단표[소속병원],$P518)="서울병원","서울 소속","타 병원 소속("&amp;INDEX(명단표[소속병원],$P518)&amp;") → 서울 지급"))</f>
        <v/>
      </c>
      <c r="I518">
        <f>IF($P518="","",INDEX(명단표[현재 근무병원],$P518))</f>
        <v/>
      </c>
      <c r="J518">
        <f>IF($P518="","",INDEX(명단표[구리 근무 시작일(기준월)],$P518)&amp;"")</f>
        <v/>
      </c>
      <c r="K518">
        <f>IF($P518="","",INDEX(명단표[구리 근무 종료일(기준월)],$P518)&amp;"")</f>
        <v/>
      </c>
      <c r="L518">
        <f>IF($P518="","",INDEX(명단표[서울 근무일(기준월)],$P518))</f>
        <v/>
      </c>
      <c r="M518">
        <f>IF($P518="","",INDEX(명단표[구리 근무일(기준월)],$P518))</f>
        <v/>
      </c>
      <c r="N518">
        <f>IF($P518="","",INDEX(명단표[급여 판정 근거],$P518))</f>
        <v/>
      </c>
      <c r="O518">
        <f>IF($P518="","",INDEX(명단표[점검],$P518))</f>
        <v/>
      </c>
      <c r="P518" s="17">
        <f>IFERROR(MATCH(513,명단표[서울순번],0),"")</f>
        <v/>
      </c>
      <c r="R518">
        <f>IF($W518="","",INDEX(명단표[이름],$W518))</f>
        <v/>
      </c>
      <c r="S518">
        <f>IF($W518="","",INDEX(명단표[사번],$W518)&amp;"")</f>
        <v/>
      </c>
      <c r="T518">
        <f>IF($W518="","",INDEX(명단표[소속병원],$W518))</f>
        <v/>
      </c>
      <c r="U518">
        <f>IF($W518="","",INDEX(명단표[서울 근무일(기준월)],$W518))</f>
        <v/>
      </c>
      <c r="V518">
        <f>IF($W518="","",INDEX(명단표[구리 근무일(기준월)],$W518))</f>
        <v/>
      </c>
      <c r="W518" s="17">
        <f>IFERROR(MATCH(513,명단표[판정불가순번],0),"")</f>
        <v/>
      </c>
    </row>
    <row r="519">
      <c r="A519">
        <f>IF($P519="","",514)</f>
        <v/>
      </c>
      <c r="B519">
        <f>IF($P519="","",INDEX(명단표[이름],$P519))</f>
        <v/>
      </c>
      <c r="C519">
        <f>IF($P519="","",INDEX(명단표[사번],$P519)&amp;"")</f>
        <v/>
      </c>
      <c r="D519">
        <f>IF($P519="","",INDEX(명단표[전공의등록번호],$P519)&amp;"")</f>
        <v/>
      </c>
      <c r="E519">
        <f>IF($P519="","",INDEX(명단표[수련과목],$P519)&amp;"")</f>
        <v/>
      </c>
      <c r="F519">
        <f>IF($P519="","",INDEX(명단표[연차],$P519)&amp;"")</f>
        <v/>
      </c>
      <c r="G519">
        <f>IF($P519="","",INDEX(명단표[소속병원],$P519))</f>
        <v/>
      </c>
      <c r="H519">
        <f>IF($P519="","",IF(INDEX(명단표[소속병원],$P519)="서울병원","서울 소속","타 병원 소속("&amp;INDEX(명단표[소속병원],$P519)&amp;") → 서울 지급"))</f>
        <v/>
      </c>
      <c r="I519">
        <f>IF($P519="","",INDEX(명단표[현재 근무병원],$P519))</f>
        <v/>
      </c>
      <c r="J519">
        <f>IF($P519="","",INDEX(명단표[구리 근무 시작일(기준월)],$P519)&amp;"")</f>
        <v/>
      </c>
      <c r="K519">
        <f>IF($P519="","",INDEX(명단표[구리 근무 종료일(기준월)],$P519)&amp;"")</f>
        <v/>
      </c>
      <c r="L519">
        <f>IF($P519="","",INDEX(명단표[서울 근무일(기준월)],$P519))</f>
        <v/>
      </c>
      <c r="M519">
        <f>IF($P519="","",INDEX(명단표[구리 근무일(기준월)],$P519))</f>
        <v/>
      </c>
      <c r="N519">
        <f>IF($P519="","",INDEX(명단표[급여 판정 근거],$P519))</f>
        <v/>
      </c>
      <c r="O519">
        <f>IF($P519="","",INDEX(명단표[점검],$P519))</f>
        <v/>
      </c>
      <c r="P519" s="17">
        <f>IFERROR(MATCH(514,명단표[서울순번],0),"")</f>
        <v/>
      </c>
      <c r="R519">
        <f>IF($W519="","",INDEX(명단표[이름],$W519))</f>
        <v/>
      </c>
      <c r="S519">
        <f>IF($W519="","",INDEX(명단표[사번],$W519)&amp;"")</f>
        <v/>
      </c>
      <c r="T519">
        <f>IF($W519="","",INDEX(명단표[소속병원],$W519))</f>
        <v/>
      </c>
      <c r="U519">
        <f>IF($W519="","",INDEX(명단표[서울 근무일(기준월)],$W519))</f>
        <v/>
      </c>
      <c r="V519">
        <f>IF($W519="","",INDEX(명단표[구리 근무일(기준월)],$W519))</f>
        <v/>
      </c>
      <c r="W519" s="17">
        <f>IFERROR(MATCH(514,명단표[판정불가순번],0),"")</f>
        <v/>
      </c>
    </row>
    <row r="520">
      <c r="A520">
        <f>IF($P520="","",515)</f>
        <v/>
      </c>
      <c r="B520">
        <f>IF($P520="","",INDEX(명단표[이름],$P520))</f>
        <v/>
      </c>
      <c r="C520">
        <f>IF($P520="","",INDEX(명단표[사번],$P520)&amp;"")</f>
        <v/>
      </c>
      <c r="D520">
        <f>IF($P520="","",INDEX(명단표[전공의등록번호],$P520)&amp;"")</f>
        <v/>
      </c>
      <c r="E520">
        <f>IF($P520="","",INDEX(명단표[수련과목],$P520)&amp;"")</f>
        <v/>
      </c>
      <c r="F520">
        <f>IF($P520="","",INDEX(명단표[연차],$P520)&amp;"")</f>
        <v/>
      </c>
      <c r="G520">
        <f>IF($P520="","",INDEX(명단표[소속병원],$P520))</f>
        <v/>
      </c>
      <c r="H520">
        <f>IF($P520="","",IF(INDEX(명단표[소속병원],$P520)="서울병원","서울 소속","타 병원 소속("&amp;INDEX(명단표[소속병원],$P520)&amp;") → 서울 지급"))</f>
        <v/>
      </c>
      <c r="I520">
        <f>IF($P520="","",INDEX(명단표[현재 근무병원],$P520))</f>
        <v/>
      </c>
      <c r="J520">
        <f>IF($P520="","",INDEX(명단표[구리 근무 시작일(기준월)],$P520)&amp;"")</f>
        <v/>
      </c>
      <c r="K520">
        <f>IF($P520="","",INDEX(명단표[구리 근무 종료일(기준월)],$P520)&amp;"")</f>
        <v/>
      </c>
      <c r="L520">
        <f>IF($P520="","",INDEX(명단표[서울 근무일(기준월)],$P520))</f>
        <v/>
      </c>
      <c r="M520">
        <f>IF($P520="","",INDEX(명단표[구리 근무일(기준월)],$P520))</f>
        <v/>
      </c>
      <c r="N520">
        <f>IF($P520="","",INDEX(명단표[급여 판정 근거],$P520))</f>
        <v/>
      </c>
      <c r="O520">
        <f>IF($P520="","",INDEX(명단표[점검],$P520))</f>
        <v/>
      </c>
      <c r="P520" s="17">
        <f>IFERROR(MATCH(515,명단표[서울순번],0),"")</f>
        <v/>
      </c>
      <c r="R520">
        <f>IF($W520="","",INDEX(명단표[이름],$W520))</f>
        <v/>
      </c>
      <c r="S520">
        <f>IF($W520="","",INDEX(명단표[사번],$W520)&amp;"")</f>
        <v/>
      </c>
      <c r="T520">
        <f>IF($W520="","",INDEX(명단표[소속병원],$W520))</f>
        <v/>
      </c>
      <c r="U520">
        <f>IF($W520="","",INDEX(명단표[서울 근무일(기준월)],$W520))</f>
        <v/>
      </c>
      <c r="V520">
        <f>IF($W520="","",INDEX(명단표[구리 근무일(기준월)],$W520))</f>
        <v/>
      </c>
      <c r="W520" s="17">
        <f>IFERROR(MATCH(515,명단표[판정불가순번],0),"")</f>
        <v/>
      </c>
    </row>
    <row r="521">
      <c r="A521">
        <f>IF($P521="","",516)</f>
        <v/>
      </c>
      <c r="B521">
        <f>IF($P521="","",INDEX(명단표[이름],$P521))</f>
        <v/>
      </c>
      <c r="C521">
        <f>IF($P521="","",INDEX(명단표[사번],$P521)&amp;"")</f>
        <v/>
      </c>
      <c r="D521">
        <f>IF($P521="","",INDEX(명단표[전공의등록번호],$P521)&amp;"")</f>
        <v/>
      </c>
      <c r="E521">
        <f>IF($P521="","",INDEX(명단표[수련과목],$P521)&amp;"")</f>
        <v/>
      </c>
      <c r="F521">
        <f>IF($P521="","",INDEX(명단표[연차],$P521)&amp;"")</f>
        <v/>
      </c>
      <c r="G521">
        <f>IF($P521="","",INDEX(명단표[소속병원],$P521))</f>
        <v/>
      </c>
      <c r="H521">
        <f>IF($P521="","",IF(INDEX(명단표[소속병원],$P521)="서울병원","서울 소속","타 병원 소속("&amp;INDEX(명단표[소속병원],$P521)&amp;") → 서울 지급"))</f>
        <v/>
      </c>
      <c r="I521">
        <f>IF($P521="","",INDEX(명단표[현재 근무병원],$P521))</f>
        <v/>
      </c>
      <c r="J521">
        <f>IF($P521="","",INDEX(명단표[구리 근무 시작일(기준월)],$P521)&amp;"")</f>
        <v/>
      </c>
      <c r="K521">
        <f>IF($P521="","",INDEX(명단표[구리 근무 종료일(기준월)],$P521)&amp;"")</f>
        <v/>
      </c>
      <c r="L521">
        <f>IF($P521="","",INDEX(명단표[서울 근무일(기준월)],$P521))</f>
        <v/>
      </c>
      <c r="M521">
        <f>IF($P521="","",INDEX(명단표[구리 근무일(기준월)],$P521))</f>
        <v/>
      </c>
      <c r="N521">
        <f>IF($P521="","",INDEX(명단표[급여 판정 근거],$P521))</f>
        <v/>
      </c>
      <c r="O521">
        <f>IF($P521="","",INDEX(명단표[점검],$P521))</f>
        <v/>
      </c>
      <c r="P521" s="17">
        <f>IFERROR(MATCH(516,명단표[서울순번],0),"")</f>
        <v/>
      </c>
      <c r="R521">
        <f>IF($W521="","",INDEX(명단표[이름],$W521))</f>
        <v/>
      </c>
      <c r="S521">
        <f>IF($W521="","",INDEX(명단표[사번],$W521)&amp;"")</f>
        <v/>
      </c>
      <c r="T521">
        <f>IF($W521="","",INDEX(명단표[소속병원],$W521))</f>
        <v/>
      </c>
      <c r="U521">
        <f>IF($W521="","",INDEX(명단표[서울 근무일(기준월)],$W521))</f>
        <v/>
      </c>
      <c r="V521">
        <f>IF($W521="","",INDEX(명단표[구리 근무일(기준월)],$W521))</f>
        <v/>
      </c>
      <c r="W521" s="17">
        <f>IFERROR(MATCH(516,명단표[판정불가순번],0),"")</f>
        <v/>
      </c>
    </row>
    <row r="522">
      <c r="A522">
        <f>IF($P522="","",517)</f>
        <v/>
      </c>
      <c r="B522">
        <f>IF($P522="","",INDEX(명단표[이름],$P522))</f>
        <v/>
      </c>
      <c r="C522">
        <f>IF($P522="","",INDEX(명단표[사번],$P522)&amp;"")</f>
        <v/>
      </c>
      <c r="D522">
        <f>IF($P522="","",INDEX(명단표[전공의등록번호],$P522)&amp;"")</f>
        <v/>
      </c>
      <c r="E522">
        <f>IF($P522="","",INDEX(명단표[수련과목],$P522)&amp;"")</f>
        <v/>
      </c>
      <c r="F522">
        <f>IF($P522="","",INDEX(명단표[연차],$P522)&amp;"")</f>
        <v/>
      </c>
      <c r="G522">
        <f>IF($P522="","",INDEX(명단표[소속병원],$P522))</f>
        <v/>
      </c>
      <c r="H522">
        <f>IF($P522="","",IF(INDEX(명단표[소속병원],$P522)="서울병원","서울 소속","타 병원 소속("&amp;INDEX(명단표[소속병원],$P522)&amp;") → 서울 지급"))</f>
        <v/>
      </c>
      <c r="I522">
        <f>IF($P522="","",INDEX(명단표[현재 근무병원],$P522))</f>
        <v/>
      </c>
      <c r="J522">
        <f>IF($P522="","",INDEX(명단표[구리 근무 시작일(기준월)],$P522)&amp;"")</f>
        <v/>
      </c>
      <c r="K522">
        <f>IF($P522="","",INDEX(명단표[구리 근무 종료일(기준월)],$P522)&amp;"")</f>
        <v/>
      </c>
      <c r="L522">
        <f>IF($P522="","",INDEX(명단표[서울 근무일(기준월)],$P522))</f>
        <v/>
      </c>
      <c r="M522">
        <f>IF($P522="","",INDEX(명단표[구리 근무일(기준월)],$P522))</f>
        <v/>
      </c>
      <c r="N522">
        <f>IF($P522="","",INDEX(명단표[급여 판정 근거],$P522))</f>
        <v/>
      </c>
      <c r="O522">
        <f>IF($P522="","",INDEX(명단표[점검],$P522))</f>
        <v/>
      </c>
      <c r="P522" s="17">
        <f>IFERROR(MATCH(517,명단표[서울순번],0),"")</f>
        <v/>
      </c>
      <c r="R522">
        <f>IF($W522="","",INDEX(명단표[이름],$W522))</f>
        <v/>
      </c>
      <c r="S522">
        <f>IF($W522="","",INDEX(명단표[사번],$W522)&amp;"")</f>
        <v/>
      </c>
      <c r="T522">
        <f>IF($W522="","",INDEX(명단표[소속병원],$W522))</f>
        <v/>
      </c>
      <c r="U522">
        <f>IF($W522="","",INDEX(명단표[서울 근무일(기준월)],$W522))</f>
        <v/>
      </c>
      <c r="V522">
        <f>IF($W522="","",INDEX(명단표[구리 근무일(기준월)],$W522))</f>
        <v/>
      </c>
      <c r="W522" s="17">
        <f>IFERROR(MATCH(517,명단표[판정불가순번],0),"")</f>
        <v/>
      </c>
    </row>
    <row r="523">
      <c r="A523">
        <f>IF($P523="","",518)</f>
        <v/>
      </c>
      <c r="B523">
        <f>IF($P523="","",INDEX(명단표[이름],$P523))</f>
        <v/>
      </c>
      <c r="C523">
        <f>IF($P523="","",INDEX(명단표[사번],$P523)&amp;"")</f>
        <v/>
      </c>
      <c r="D523">
        <f>IF($P523="","",INDEX(명단표[전공의등록번호],$P523)&amp;"")</f>
        <v/>
      </c>
      <c r="E523">
        <f>IF($P523="","",INDEX(명단표[수련과목],$P523)&amp;"")</f>
        <v/>
      </c>
      <c r="F523">
        <f>IF($P523="","",INDEX(명단표[연차],$P523)&amp;"")</f>
        <v/>
      </c>
      <c r="G523">
        <f>IF($P523="","",INDEX(명단표[소속병원],$P523))</f>
        <v/>
      </c>
      <c r="H523">
        <f>IF($P523="","",IF(INDEX(명단표[소속병원],$P523)="서울병원","서울 소속","타 병원 소속("&amp;INDEX(명단표[소속병원],$P523)&amp;") → 서울 지급"))</f>
        <v/>
      </c>
      <c r="I523">
        <f>IF($P523="","",INDEX(명단표[현재 근무병원],$P523))</f>
        <v/>
      </c>
      <c r="J523">
        <f>IF($P523="","",INDEX(명단표[구리 근무 시작일(기준월)],$P523)&amp;"")</f>
        <v/>
      </c>
      <c r="K523">
        <f>IF($P523="","",INDEX(명단표[구리 근무 종료일(기준월)],$P523)&amp;"")</f>
        <v/>
      </c>
      <c r="L523">
        <f>IF($P523="","",INDEX(명단표[서울 근무일(기준월)],$P523))</f>
        <v/>
      </c>
      <c r="M523">
        <f>IF($P523="","",INDEX(명단표[구리 근무일(기준월)],$P523))</f>
        <v/>
      </c>
      <c r="N523">
        <f>IF($P523="","",INDEX(명단표[급여 판정 근거],$P523))</f>
        <v/>
      </c>
      <c r="O523">
        <f>IF($P523="","",INDEX(명단표[점검],$P523))</f>
        <v/>
      </c>
      <c r="P523" s="17">
        <f>IFERROR(MATCH(518,명단표[서울순번],0),"")</f>
        <v/>
      </c>
      <c r="R523">
        <f>IF($W523="","",INDEX(명단표[이름],$W523))</f>
        <v/>
      </c>
      <c r="S523">
        <f>IF($W523="","",INDEX(명단표[사번],$W523)&amp;"")</f>
        <v/>
      </c>
      <c r="T523">
        <f>IF($W523="","",INDEX(명단표[소속병원],$W523))</f>
        <v/>
      </c>
      <c r="U523">
        <f>IF($W523="","",INDEX(명단표[서울 근무일(기준월)],$W523))</f>
        <v/>
      </c>
      <c r="V523">
        <f>IF($W523="","",INDEX(명단표[구리 근무일(기준월)],$W523))</f>
        <v/>
      </c>
      <c r="W523" s="17">
        <f>IFERROR(MATCH(518,명단표[판정불가순번],0),"")</f>
        <v/>
      </c>
    </row>
    <row r="524">
      <c r="A524">
        <f>IF($P524="","",519)</f>
        <v/>
      </c>
      <c r="B524">
        <f>IF($P524="","",INDEX(명단표[이름],$P524))</f>
        <v/>
      </c>
      <c r="C524">
        <f>IF($P524="","",INDEX(명단표[사번],$P524)&amp;"")</f>
        <v/>
      </c>
      <c r="D524">
        <f>IF($P524="","",INDEX(명단표[전공의등록번호],$P524)&amp;"")</f>
        <v/>
      </c>
      <c r="E524">
        <f>IF($P524="","",INDEX(명단표[수련과목],$P524)&amp;"")</f>
        <v/>
      </c>
      <c r="F524">
        <f>IF($P524="","",INDEX(명단표[연차],$P524)&amp;"")</f>
        <v/>
      </c>
      <c r="G524">
        <f>IF($P524="","",INDEX(명단표[소속병원],$P524))</f>
        <v/>
      </c>
      <c r="H524">
        <f>IF($P524="","",IF(INDEX(명단표[소속병원],$P524)="서울병원","서울 소속","타 병원 소속("&amp;INDEX(명단표[소속병원],$P524)&amp;") → 서울 지급"))</f>
        <v/>
      </c>
      <c r="I524">
        <f>IF($P524="","",INDEX(명단표[현재 근무병원],$P524))</f>
        <v/>
      </c>
      <c r="J524">
        <f>IF($P524="","",INDEX(명단표[구리 근무 시작일(기준월)],$P524)&amp;"")</f>
        <v/>
      </c>
      <c r="K524">
        <f>IF($P524="","",INDEX(명단표[구리 근무 종료일(기준월)],$P524)&amp;"")</f>
        <v/>
      </c>
      <c r="L524">
        <f>IF($P524="","",INDEX(명단표[서울 근무일(기준월)],$P524))</f>
        <v/>
      </c>
      <c r="M524">
        <f>IF($P524="","",INDEX(명단표[구리 근무일(기준월)],$P524))</f>
        <v/>
      </c>
      <c r="N524">
        <f>IF($P524="","",INDEX(명단표[급여 판정 근거],$P524))</f>
        <v/>
      </c>
      <c r="O524">
        <f>IF($P524="","",INDEX(명단표[점검],$P524))</f>
        <v/>
      </c>
      <c r="P524" s="17">
        <f>IFERROR(MATCH(519,명단표[서울순번],0),"")</f>
        <v/>
      </c>
      <c r="R524">
        <f>IF($W524="","",INDEX(명단표[이름],$W524))</f>
        <v/>
      </c>
      <c r="S524">
        <f>IF($W524="","",INDEX(명단표[사번],$W524)&amp;"")</f>
        <v/>
      </c>
      <c r="T524">
        <f>IF($W524="","",INDEX(명단표[소속병원],$W524))</f>
        <v/>
      </c>
      <c r="U524">
        <f>IF($W524="","",INDEX(명단표[서울 근무일(기준월)],$W524))</f>
        <v/>
      </c>
      <c r="V524">
        <f>IF($W524="","",INDEX(명단표[구리 근무일(기준월)],$W524))</f>
        <v/>
      </c>
      <c r="W524" s="17">
        <f>IFERROR(MATCH(519,명단표[판정불가순번],0),"")</f>
        <v/>
      </c>
    </row>
    <row r="525">
      <c r="A525">
        <f>IF($P525="","",520)</f>
        <v/>
      </c>
      <c r="B525">
        <f>IF($P525="","",INDEX(명단표[이름],$P525))</f>
        <v/>
      </c>
      <c r="C525">
        <f>IF($P525="","",INDEX(명단표[사번],$P525)&amp;"")</f>
        <v/>
      </c>
      <c r="D525">
        <f>IF($P525="","",INDEX(명단표[전공의등록번호],$P525)&amp;"")</f>
        <v/>
      </c>
      <c r="E525">
        <f>IF($P525="","",INDEX(명단표[수련과목],$P525)&amp;"")</f>
        <v/>
      </c>
      <c r="F525">
        <f>IF($P525="","",INDEX(명단표[연차],$P525)&amp;"")</f>
        <v/>
      </c>
      <c r="G525">
        <f>IF($P525="","",INDEX(명단표[소속병원],$P525))</f>
        <v/>
      </c>
      <c r="H525">
        <f>IF($P525="","",IF(INDEX(명단표[소속병원],$P525)="서울병원","서울 소속","타 병원 소속("&amp;INDEX(명단표[소속병원],$P525)&amp;") → 서울 지급"))</f>
        <v/>
      </c>
      <c r="I525">
        <f>IF($P525="","",INDEX(명단표[현재 근무병원],$P525))</f>
        <v/>
      </c>
      <c r="J525">
        <f>IF($P525="","",INDEX(명단표[구리 근무 시작일(기준월)],$P525)&amp;"")</f>
        <v/>
      </c>
      <c r="K525">
        <f>IF($P525="","",INDEX(명단표[구리 근무 종료일(기준월)],$P525)&amp;"")</f>
        <v/>
      </c>
      <c r="L525">
        <f>IF($P525="","",INDEX(명단표[서울 근무일(기준월)],$P525))</f>
        <v/>
      </c>
      <c r="M525">
        <f>IF($P525="","",INDEX(명단표[구리 근무일(기준월)],$P525))</f>
        <v/>
      </c>
      <c r="N525">
        <f>IF($P525="","",INDEX(명단표[급여 판정 근거],$P525))</f>
        <v/>
      </c>
      <c r="O525">
        <f>IF($P525="","",INDEX(명단표[점검],$P525))</f>
        <v/>
      </c>
      <c r="P525" s="17">
        <f>IFERROR(MATCH(520,명단표[서울순번],0),"")</f>
        <v/>
      </c>
      <c r="R525">
        <f>IF($W525="","",INDEX(명단표[이름],$W525))</f>
        <v/>
      </c>
      <c r="S525">
        <f>IF($W525="","",INDEX(명단표[사번],$W525)&amp;"")</f>
        <v/>
      </c>
      <c r="T525">
        <f>IF($W525="","",INDEX(명단표[소속병원],$W525))</f>
        <v/>
      </c>
      <c r="U525">
        <f>IF($W525="","",INDEX(명단표[서울 근무일(기준월)],$W525))</f>
        <v/>
      </c>
      <c r="V525">
        <f>IF($W525="","",INDEX(명단표[구리 근무일(기준월)],$W525))</f>
        <v/>
      </c>
      <c r="W525" s="17">
        <f>IFERROR(MATCH(520,명단표[판정불가순번],0),"")</f>
        <v/>
      </c>
    </row>
    <row r="526">
      <c r="A526">
        <f>IF($P526="","",521)</f>
        <v/>
      </c>
      <c r="B526">
        <f>IF($P526="","",INDEX(명단표[이름],$P526))</f>
        <v/>
      </c>
      <c r="C526">
        <f>IF($P526="","",INDEX(명단표[사번],$P526)&amp;"")</f>
        <v/>
      </c>
      <c r="D526">
        <f>IF($P526="","",INDEX(명단표[전공의등록번호],$P526)&amp;"")</f>
        <v/>
      </c>
      <c r="E526">
        <f>IF($P526="","",INDEX(명단표[수련과목],$P526)&amp;"")</f>
        <v/>
      </c>
      <c r="F526">
        <f>IF($P526="","",INDEX(명단표[연차],$P526)&amp;"")</f>
        <v/>
      </c>
      <c r="G526">
        <f>IF($P526="","",INDEX(명단표[소속병원],$P526))</f>
        <v/>
      </c>
      <c r="H526">
        <f>IF($P526="","",IF(INDEX(명단표[소속병원],$P526)="서울병원","서울 소속","타 병원 소속("&amp;INDEX(명단표[소속병원],$P526)&amp;") → 서울 지급"))</f>
        <v/>
      </c>
      <c r="I526">
        <f>IF($P526="","",INDEX(명단표[현재 근무병원],$P526))</f>
        <v/>
      </c>
      <c r="J526">
        <f>IF($P526="","",INDEX(명단표[구리 근무 시작일(기준월)],$P526)&amp;"")</f>
        <v/>
      </c>
      <c r="K526">
        <f>IF($P526="","",INDEX(명단표[구리 근무 종료일(기준월)],$P526)&amp;"")</f>
        <v/>
      </c>
      <c r="L526">
        <f>IF($P526="","",INDEX(명단표[서울 근무일(기준월)],$P526))</f>
        <v/>
      </c>
      <c r="M526">
        <f>IF($P526="","",INDEX(명단표[구리 근무일(기준월)],$P526))</f>
        <v/>
      </c>
      <c r="N526">
        <f>IF($P526="","",INDEX(명단표[급여 판정 근거],$P526))</f>
        <v/>
      </c>
      <c r="O526">
        <f>IF($P526="","",INDEX(명단표[점검],$P526))</f>
        <v/>
      </c>
      <c r="P526" s="17">
        <f>IFERROR(MATCH(521,명단표[서울순번],0),"")</f>
        <v/>
      </c>
      <c r="R526">
        <f>IF($W526="","",INDEX(명단표[이름],$W526))</f>
        <v/>
      </c>
      <c r="S526">
        <f>IF($W526="","",INDEX(명단표[사번],$W526)&amp;"")</f>
        <v/>
      </c>
      <c r="T526">
        <f>IF($W526="","",INDEX(명단표[소속병원],$W526))</f>
        <v/>
      </c>
      <c r="U526">
        <f>IF($W526="","",INDEX(명단표[서울 근무일(기준월)],$W526))</f>
        <v/>
      </c>
      <c r="V526">
        <f>IF($W526="","",INDEX(명단표[구리 근무일(기준월)],$W526))</f>
        <v/>
      </c>
      <c r="W526" s="17">
        <f>IFERROR(MATCH(521,명단표[판정불가순번],0),"")</f>
        <v/>
      </c>
    </row>
    <row r="527">
      <c r="A527">
        <f>IF($P527="","",522)</f>
        <v/>
      </c>
      <c r="B527">
        <f>IF($P527="","",INDEX(명단표[이름],$P527))</f>
        <v/>
      </c>
      <c r="C527">
        <f>IF($P527="","",INDEX(명단표[사번],$P527)&amp;"")</f>
        <v/>
      </c>
      <c r="D527">
        <f>IF($P527="","",INDEX(명단표[전공의등록번호],$P527)&amp;"")</f>
        <v/>
      </c>
      <c r="E527">
        <f>IF($P527="","",INDEX(명단표[수련과목],$P527)&amp;"")</f>
        <v/>
      </c>
      <c r="F527">
        <f>IF($P527="","",INDEX(명단표[연차],$P527)&amp;"")</f>
        <v/>
      </c>
      <c r="G527">
        <f>IF($P527="","",INDEX(명단표[소속병원],$P527))</f>
        <v/>
      </c>
      <c r="H527">
        <f>IF($P527="","",IF(INDEX(명단표[소속병원],$P527)="서울병원","서울 소속","타 병원 소속("&amp;INDEX(명단표[소속병원],$P527)&amp;") → 서울 지급"))</f>
        <v/>
      </c>
      <c r="I527">
        <f>IF($P527="","",INDEX(명단표[현재 근무병원],$P527))</f>
        <v/>
      </c>
      <c r="J527">
        <f>IF($P527="","",INDEX(명단표[구리 근무 시작일(기준월)],$P527)&amp;"")</f>
        <v/>
      </c>
      <c r="K527">
        <f>IF($P527="","",INDEX(명단표[구리 근무 종료일(기준월)],$P527)&amp;"")</f>
        <v/>
      </c>
      <c r="L527">
        <f>IF($P527="","",INDEX(명단표[서울 근무일(기준월)],$P527))</f>
        <v/>
      </c>
      <c r="M527">
        <f>IF($P527="","",INDEX(명단표[구리 근무일(기준월)],$P527))</f>
        <v/>
      </c>
      <c r="N527">
        <f>IF($P527="","",INDEX(명단표[급여 판정 근거],$P527))</f>
        <v/>
      </c>
      <c r="O527">
        <f>IF($P527="","",INDEX(명단표[점검],$P527))</f>
        <v/>
      </c>
      <c r="P527" s="17">
        <f>IFERROR(MATCH(522,명단표[서울순번],0),"")</f>
        <v/>
      </c>
      <c r="R527">
        <f>IF($W527="","",INDEX(명단표[이름],$W527))</f>
        <v/>
      </c>
      <c r="S527">
        <f>IF($W527="","",INDEX(명단표[사번],$W527)&amp;"")</f>
        <v/>
      </c>
      <c r="T527">
        <f>IF($W527="","",INDEX(명단표[소속병원],$W527))</f>
        <v/>
      </c>
      <c r="U527">
        <f>IF($W527="","",INDEX(명단표[서울 근무일(기준월)],$W527))</f>
        <v/>
      </c>
      <c r="V527">
        <f>IF($W527="","",INDEX(명단표[구리 근무일(기준월)],$W527))</f>
        <v/>
      </c>
      <c r="W527" s="17">
        <f>IFERROR(MATCH(522,명단표[판정불가순번],0),"")</f>
        <v/>
      </c>
    </row>
    <row r="528">
      <c r="A528">
        <f>IF($P528="","",523)</f>
        <v/>
      </c>
      <c r="B528">
        <f>IF($P528="","",INDEX(명단표[이름],$P528))</f>
        <v/>
      </c>
      <c r="C528">
        <f>IF($P528="","",INDEX(명단표[사번],$P528)&amp;"")</f>
        <v/>
      </c>
      <c r="D528">
        <f>IF($P528="","",INDEX(명단표[전공의등록번호],$P528)&amp;"")</f>
        <v/>
      </c>
      <c r="E528">
        <f>IF($P528="","",INDEX(명단표[수련과목],$P528)&amp;"")</f>
        <v/>
      </c>
      <c r="F528">
        <f>IF($P528="","",INDEX(명단표[연차],$P528)&amp;"")</f>
        <v/>
      </c>
      <c r="G528">
        <f>IF($P528="","",INDEX(명단표[소속병원],$P528))</f>
        <v/>
      </c>
      <c r="H528">
        <f>IF($P528="","",IF(INDEX(명단표[소속병원],$P528)="서울병원","서울 소속","타 병원 소속("&amp;INDEX(명단표[소속병원],$P528)&amp;") → 서울 지급"))</f>
        <v/>
      </c>
      <c r="I528">
        <f>IF($P528="","",INDEX(명단표[현재 근무병원],$P528))</f>
        <v/>
      </c>
      <c r="J528">
        <f>IF($P528="","",INDEX(명단표[구리 근무 시작일(기준월)],$P528)&amp;"")</f>
        <v/>
      </c>
      <c r="K528">
        <f>IF($P528="","",INDEX(명단표[구리 근무 종료일(기준월)],$P528)&amp;"")</f>
        <v/>
      </c>
      <c r="L528">
        <f>IF($P528="","",INDEX(명단표[서울 근무일(기준월)],$P528))</f>
        <v/>
      </c>
      <c r="M528">
        <f>IF($P528="","",INDEX(명단표[구리 근무일(기준월)],$P528))</f>
        <v/>
      </c>
      <c r="N528">
        <f>IF($P528="","",INDEX(명단표[급여 판정 근거],$P528))</f>
        <v/>
      </c>
      <c r="O528">
        <f>IF($P528="","",INDEX(명단표[점검],$P528))</f>
        <v/>
      </c>
      <c r="P528" s="17">
        <f>IFERROR(MATCH(523,명단표[서울순번],0),"")</f>
        <v/>
      </c>
      <c r="R528">
        <f>IF($W528="","",INDEX(명단표[이름],$W528))</f>
        <v/>
      </c>
      <c r="S528">
        <f>IF($W528="","",INDEX(명단표[사번],$W528)&amp;"")</f>
        <v/>
      </c>
      <c r="T528">
        <f>IF($W528="","",INDEX(명단표[소속병원],$W528))</f>
        <v/>
      </c>
      <c r="U528">
        <f>IF($W528="","",INDEX(명단표[서울 근무일(기준월)],$W528))</f>
        <v/>
      </c>
      <c r="V528">
        <f>IF($W528="","",INDEX(명단표[구리 근무일(기준월)],$W528))</f>
        <v/>
      </c>
      <c r="W528" s="17">
        <f>IFERROR(MATCH(523,명단표[판정불가순번],0),"")</f>
        <v/>
      </c>
    </row>
    <row r="529">
      <c r="A529">
        <f>IF($P529="","",524)</f>
        <v/>
      </c>
      <c r="B529">
        <f>IF($P529="","",INDEX(명단표[이름],$P529))</f>
        <v/>
      </c>
      <c r="C529">
        <f>IF($P529="","",INDEX(명단표[사번],$P529)&amp;"")</f>
        <v/>
      </c>
      <c r="D529">
        <f>IF($P529="","",INDEX(명단표[전공의등록번호],$P529)&amp;"")</f>
        <v/>
      </c>
      <c r="E529">
        <f>IF($P529="","",INDEX(명단표[수련과목],$P529)&amp;"")</f>
        <v/>
      </c>
      <c r="F529">
        <f>IF($P529="","",INDEX(명단표[연차],$P529)&amp;"")</f>
        <v/>
      </c>
      <c r="G529">
        <f>IF($P529="","",INDEX(명단표[소속병원],$P529))</f>
        <v/>
      </c>
      <c r="H529">
        <f>IF($P529="","",IF(INDEX(명단표[소속병원],$P529)="서울병원","서울 소속","타 병원 소속("&amp;INDEX(명단표[소속병원],$P529)&amp;") → 서울 지급"))</f>
        <v/>
      </c>
      <c r="I529">
        <f>IF($P529="","",INDEX(명단표[현재 근무병원],$P529))</f>
        <v/>
      </c>
      <c r="J529">
        <f>IF($P529="","",INDEX(명단표[구리 근무 시작일(기준월)],$P529)&amp;"")</f>
        <v/>
      </c>
      <c r="K529">
        <f>IF($P529="","",INDEX(명단표[구리 근무 종료일(기준월)],$P529)&amp;"")</f>
        <v/>
      </c>
      <c r="L529">
        <f>IF($P529="","",INDEX(명단표[서울 근무일(기준월)],$P529))</f>
        <v/>
      </c>
      <c r="M529">
        <f>IF($P529="","",INDEX(명단표[구리 근무일(기준월)],$P529))</f>
        <v/>
      </c>
      <c r="N529">
        <f>IF($P529="","",INDEX(명단표[급여 판정 근거],$P529))</f>
        <v/>
      </c>
      <c r="O529">
        <f>IF($P529="","",INDEX(명단표[점검],$P529))</f>
        <v/>
      </c>
      <c r="P529" s="17">
        <f>IFERROR(MATCH(524,명단표[서울순번],0),"")</f>
        <v/>
      </c>
      <c r="R529">
        <f>IF($W529="","",INDEX(명단표[이름],$W529))</f>
        <v/>
      </c>
      <c r="S529">
        <f>IF($W529="","",INDEX(명단표[사번],$W529)&amp;"")</f>
        <v/>
      </c>
      <c r="T529">
        <f>IF($W529="","",INDEX(명단표[소속병원],$W529))</f>
        <v/>
      </c>
      <c r="U529">
        <f>IF($W529="","",INDEX(명단표[서울 근무일(기준월)],$W529))</f>
        <v/>
      </c>
      <c r="V529">
        <f>IF($W529="","",INDEX(명단표[구리 근무일(기준월)],$W529))</f>
        <v/>
      </c>
      <c r="W529" s="17">
        <f>IFERROR(MATCH(524,명단표[판정불가순번],0),"")</f>
        <v/>
      </c>
    </row>
    <row r="530">
      <c r="A530">
        <f>IF($P530="","",525)</f>
        <v/>
      </c>
      <c r="B530">
        <f>IF($P530="","",INDEX(명단표[이름],$P530))</f>
        <v/>
      </c>
      <c r="C530">
        <f>IF($P530="","",INDEX(명단표[사번],$P530)&amp;"")</f>
        <v/>
      </c>
      <c r="D530">
        <f>IF($P530="","",INDEX(명단표[전공의등록번호],$P530)&amp;"")</f>
        <v/>
      </c>
      <c r="E530">
        <f>IF($P530="","",INDEX(명단표[수련과목],$P530)&amp;"")</f>
        <v/>
      </c>
      <c r="F530">
        <f>IF($P530="","",INDEX(명단표[연차],$P530)&amp;"")</f>
        <v/>
      </c>
      <c r="G530">
        <f>IF($P530="","",INDEX(명단표[소속병원],$P530))</f>
        <v/>
      </c>
      <c r="H530">
        <f>IF($P530="","",IF(INDEX(명단표[소속병원],$P530)="서울병원","서울 소속","타 병원 소속("&amp;INDEX(명단표[소속병원],$P530)&amp;") → 서울 지급"))</f>
        <v/>
      </c>
      <c r="I530">
        <f>IF($P530="","",INDEX(명단표[현재 근무병원],$P530))</f>
        <v/>
      </c>
      <c r="J530">
        <f>IF($P530="","",INDEX(명단표[구리 근무 시작일(기준월)],$P530)&amp;"")</f>
        <v/>
      </c>
      <c r="K530">
        <f>IF($P530="","",INDEX(명단표[구리 근무 종료일(기준월)],$P530)&amp;"")</f>
        <v/>
      </c>
      <c r="L530">
        <f>IF($P530="","",INDEX(명단표[서울 근무일(기준월)],$P530))</f>
        <v/>
      </c>
      <c r="M530">
        <f>IF($P530="","",INDEX(명단표[구리 근무일(기준월)],$P530))</f>
        <v/>
      </c>
      <c r="N530">
        <f>IF($P530="","",INDEX(명단표[급여 판정 근거],$P530))</f>
        <v/>
      </c>
      <c r="O530">
        <f>IF($P530="","",INDEX(명단표[점검],$P530))</f>
        <v/>
      </c>
      <c r="P530" s="17">
        <f>IFERROR(MATCH(525,명단표[서울순번],0),"")</f>
        <v/>
      </c>
      <c r="R530">
        <f>IF($W530="","",INDEX(명단표[이름],$W530))</f>
        <v/>
      </c>
      <c r="S530">
        <f>IF($W530="","",INDEX(명단표[사번],$W530)&amp;"")</f>
        <v/>
      </c>
      <c r="T530">
        <f>IF($W530="","",INDEX(명단표[소속병원],$W530))</f>
        <v/>
      </c>
      <c r="U530">
        <f>IF($W530="","",INDEX(명단표[서울 근무일(기준월)],$W530))</f>
        <v/>
      </c>
      <c r="V530">
        <f>IF($W530="","",INDEX(명단표[구리 근무일(기준월)],$W530))</f>
        <v/>
      </c>
      <c r="W530" s="17">
        <f>IFERROR(MATCH(525,명단표[판정불가순번],0),"")</f>
        <v/>
      </c>
    </row>
    <row r="531">
      <c r="A531">
        <f>IF($P531="","",526)</f>
        <v/>
      </c>
      <c r="B531">
        <f>IF($P531="","",INDEX(명단표[이름],$P531))</f>
        <v/>
      </c>
      <c r="C531">
        <f>IF($P531="","",INDEX(명단표[사번],$P531)&amp;"")</f>
        <v/>
      </c>
      <c r="D531">
        <f>IF($P531="","",INDEX(명단표[전공의등록번호],$P531)&amp;"")</f>
        <v/>
      </c>
      <c r="E531">
        <f>IF($P531="","",INDEX(명단표[수련과목],$P531)&amp;"")</f>
        <v/>
      </c>
      <c r="F531">
        <f>IF($P531="","",INDEX(명단표[연차],$P531)&amp;"")</f>
        <v/>
      </c>
      <c r="G531">
        <f>IF($P531="","",INDEX(명단표[소속병원],$P531))</f>
        <v/>
      </c>
      <c r="H531">
        <f>IF($P531="","",IF(INDEX(명단표[소속병원],$P531)="서울병원","서울 소속","타 병원 소속("&amp;INDEX(명단표[소속병원],$P531)&amp;") → 서울 지급"))</f>
        <v/>
      </c>
      <c r="I531">
        <f>IF($P531="","",INDEX(명단표[현재 근무병원],$P531))</f>
        <v/>
      </c>
      <c r="J531">
        <f>IF($P531="","",INDEX(명단표[구리 근무 시작일(기준월)],$P531)&amp;"")</f>
        <v/>
      </c>
      <c r="K531">
        <f>IF($P531="","",INDEX(명단표[구리 근무 종료일(기준월)],$P531)&amp;"")</f>
        <v/>
      </c>
      <c r="L531">
        <f>IF($P531="","",INDEX(명단표[서울 근무일(기준월)],$P531))</f>
        <v/>
      </c>
      <c r="M531">
        <f>IF($P531="","",INDEX(명단표[구리 근무일(기준월)],$P531))</f>
        <v/>
      </c>
      <c r="N531">
        <f>IF($P531="","",INDEX(명단표[급여 판정 근거],$P531))</f>
        <v/>
      </c>
      <c r="O531">
        <f>IF($P531="","",INDEX(명단표[점검],$P531))</f>
        <v/>
      </c>
      <c r="P531" s="17">
        <f>IFERROR(MATCH(526,명단표[서울순번],0),"")</f>
        <v/>
      </c>
      <c r="R531">
        <f>IF($W531="","",INDEX(명단표[이름],$W531))</f>
        <v/>
      </c>
      <c r="S531">
        <f>IF($W531="","",INDEX(명단표[사번],$W531)&amp;"")</f>
        <v/>
      </c>
      <c r="T531">
        <f>IF($W531="","",INDEX(명단표[소속병원],$W531))</f>
        <v/>
      </c>
      <c r="U531">
        <f>IF($W531="","",INDEX(명단표[서울 근무일(기준월)],$W531))</f>
        <v/>
      </c>
      <c r="V531">
        <f>IF($W531="","",INDEX(명단표[구리 근무일(기준월)],$W531))</f>
        <v/>
      </c>
      <c r="W531" s="17">
        <f>IFERROR(MATCH(526,명단표[판정불가순번],0),"")</f>
        <v/>
      </c>
    </row>
    <row r="532">
      <c r="A532">
        <f>IF($P532="","",527)</f>
        <v/>
      </c>
      <c r="B532">
        <f>IF($P532="","",INDEX(명단표[이름],$P532))</f>
        <v/>
      </c>
      <c r="C532">
        <f>IF($P532="","",INDEX(명단표[사번],$P532)&amp;"")</f>
        <v/>
      </c>
      <c r="D532">
        <f>IF($P532="","",INDEX(명단표[전공의등록번호],$P532)&amp;"")</f>
        <v/>
      </c>
      <c r="E532">
        <f>IF($P532="","",INDEX(명단표[수련과목],$P532)&amp;"")</f>
        <v/>
      </c>
      <c r="F532">
        <f>IF($P532="","",INDEX(명단표[연차],$P532)&amp;"")</f>
        <v/>
      </c>
      <c r="G532">
        <f>IF($P532="","",INDEX(명단표[소속병원],$P532))</f>
        <v/>
      </c>
      <c r="H532">
        <f>IF($P532="","",IF(INDEX(명단표[소속병원],$P532)="서울병원","서울 소속","타 병원 소속("&amp;INDEX(명단표[소속병원],$P532)&amp;") → 서울 지급"))</f>
        <v/>
      </c>
      <c r="I532">
        <f>IF($P532="","",INDEX(명단표[현재 근무병원],$P532))</f>
        <v/>
      </c>
      <c r="J532">
        <f>IF($P532="","",INDEX(명단표[구리 근무 시작일(기준월)],$P532)&amp;"")</f>
        <v/>
      </c>
      <c r="K532">
        <f>IF($P532="","",INDEX(명단표[구리 근무 종료일(기준월)],$P532)&amp;"")</f>
        <v/>
      </c>
      <c r="L532">
        <f>IF($P532="","",INDEX(명단표[서울 근무일(기준월)],$P532))</f>
        <v/>
      </c>
      <c r="M532">
        <f>IF($P532="","",INDEX(명단표[구리 근무일(기준월)],$P532))</f>
        <v/>
      </c>
      <c r="N532">
        <f>IF($P532="","",INDEX(명단표[급여 판정 근거],$P532))</f>
        <v/>
      </c>
      <c r="O532">
        <f>IF($P532="","",INDEX(명단표[점검],$P532))</f>
        <v/>
      </c>
      <c r="P532" s="17">
        <f>IFERROR(MATCH(527,명단표[서울순번],0),"")</f>
        <v/>
      </c>
      <c r="R532">
        <f>IF($W532="","",INDEX(명단표[이름],$W532))</f>
        <v/>
      </c>
      <c r="S532">
        <f>IF($W532="","",INDEX(명단표[사번],$W532)&amp;"")</f>
        <v/>
      </c>
      <c r="T532">
        <f>IF($W532="","",INDEX(명단표[소속병원],$W532))</f>
        <v/>
      </c>
      <c r="U532">
        <f>IF($W532="","",INDEX(명단표[서울 근무일(기준월)],$W532))</f>
        <v/>
      </c>
      <c r="V532">
        <f>IF($W532="","",INDEX(명단표[구리 근무일(기준월)],$W532))</f>
        <v/>
      </c>
      <c r="W532" s="17">
        <f>IFERROR(MATCH(527,명단표[판정불가순번],0),"")</f>
        <v/>
      </c>
    </row>
    <row r="533">
      <c r="A533">
        <f>IF($P533="","",528)</f>
        <v/>
      </c>
      <c r="B533">
        <f>IF($P533="","",INDEX(명단표[이름],$P533))</f>
        <v/>
      </c>
      <c r="C533">
        <f>IF($P533="","",INDEX(명단표[사번],$P533)&amp;"")</f>
        <v/>
      </c>
      <c r="D533">
        <f>IF($P533="","",INDEX(명단표[전공의등록번호],$P533)&amp;"")</f>
        <v/>
      </c>
      <c r="E533">
        <f>IF($P533="","",INDEX(명단표[수련과목],$P533)&amp;"")</f>
        <v/>
      </c>
      <c r="F533">
        <f>IF($P533="","",INDEX(명단표[연차],$P533)&amp;"")</f>
        <v/>
      </c>
      <c r="G533">
        <f>IF($P533="","",INDEX(명단표[소속병원],$P533))</f>
        <v/>
      </c>
      <c r="H533">
        <f>IF($P533="","",IF(INDEX(명단표[소속병원],$P533)="서울병원","서울 소속","타 병원 소속("&amp;INDEX(명단표[소속병원],$P533)&amp;") → 서울 지급"))</f>
        <v/>
      </c>
      <c r="I533">
        <f>IF($P533="","",INDEX(명단표[현재 근무병원],$P533))</f>
        <v/>
      </c>
      <c r="J533">
        <f>IF($P533="","",INDEX(명단표[구리 근무 시작일(기준월)],$P533)&amp;"")</f>
        <v/>
      </c>
      <c r="K533">
        <f>IF($P533="","",INDEX(명단표[구리 근무 종료일(기준월)],$P533)&amp;"")</f>
        <v/>
      </c>
      <c r="L533">
        <f>IF($P533="","",INDEX(명단표[서울 근무일(기준월)],$P533))</f>
        <v/>
      </c>
      <c r="M533">
        <f>IF($P533="","",INDEX(명단표[구리 근무일(기준월)],$P533))</f>
        <v/>
      </c>
      <c r="N533">
        <f>IF($P533="","",INDEX(명단표[급여 판정 근거],$P533))</f>
        <v/>
      </c>
      <c r="O533">
        <f>IF($P533="","",INDEX(명단표[점검],$P533))</f>
        <v/>
      </c>
      <c r="P533" s="17">
        <f>IFERROR(MATCH(528,명단표[서울순번],0),"")</f>
        <v/>
      </c>
      <c r="R533">
        <f>IF($W533="","",INDEX(명단표[이름],$W533))</f>
        <v/>
      </c>
      <c r="S533">
        <f>IF($W533="","",INDEX(명단표[사번],$W533)&amp;"")</f>
        <v/>
      </c>
      <c r="T533">
        <f>IF($W533="","",INDEX(명단표[소속병원],$W533))</f>
        <v/>
      </c>
      <c r="U533">
        <f>IF($W533="","",INDEX(명단표[서울 근무일(기준월)],$W533))</f>
        <v/>
      </c>
      <c r="V533">
        <f>IF($W533="","",INDEX(명단표[구리 근무일(기준월)],$W533))</f>
        <v/>
      </c>
      <c r="W533" s="17">
        <f>IFERROR(MATCH(528,명단표[판정불가순번],0),"")</f>
        <v/>
      </c>
    </row>
    <row r="534">
      <c r="A534">
        <f>IF($P534="","",529)</f>
        <v/>
      </c>
      <c r="B534">
        <f>IF($P534="","",INDEX(명단표[이름],$P534))</f>
        <v/>
      </c>
      <c r="C534">
        <f>IF($P534="","",INDEX(명단표[사번],$P534)&amp;"")</f>
        <v/>
      </c>
      <c r="D534">
        <f>IF($P534="","",INDEX(명단표[전공의등록번호],$P534)&amp;"")</f>
        <v/>
      </c>
      <c r="E534">
        <f>IF($P534="","",INDEX(명단표[수련과목],$P534)&amp;"")</f>
        <v/>
      </c>
      <c r="F534">
        <f>IF($P534="","",INDEX(명단표[연차],$P534)&amp;"")</f>
        <v/>
      </c>
      <c r="G534">
        <f>IF($P534="","",INDEX(명단표[소속병원],$P534))</f>
        <v/>
      </c>
      <c r="H534">
        <f>IF($P534="","",IF(INDEX(명단표[소속병원],$P534)="서울병원","서울 소속","타 병원 소속("&amp;INDEX(명단표[소속병원],$P534)&amp;") → 서울 지급"))</f>
        <v/>
      </c>
      <c r="I534">
        <f>IF($P534="","",INDEX(명단표[현재 근무병원],$P534))</f>
        <v/>
      </c>
      <c r="J534">
        <f>IF($P534="","",INDEX(명단표[구리 근무 시작일(기준월)],$P534)&amp;"")</f>
        <v/>
      </c>
      <c r="K534">
        <f>IF($P534="","",INDEX(명단표[구리 근무 종료일(기준월)],$P534)&amp;"")</f>
        <v/>
      </c>
      <c r="L534">
        <f>IF($P534="","",INDEX(명단표[서울 근무일(기준월)],$P534))</f>
        <v/>
      </c>
      <c r="M534">
        <f>IF($P534="","",INDEX(명단표[구리 근무일(기준월)],$P534))</f>
        <v/>
      </c>
      <c r="N534">
        <f>IF($P534="","",INDEX(명단표[급여 판정 근거],$P534))</f>
        <v/>
      </c>
      <c r="O534">
        <f>IF($P534="","",INDEX(명단표[점검],$P534))</f>
        <v/>
      </c>
      <c r="P534" s="17">
        <f>IFERROR(MATCH(529,명단표[서울순번],0),"")</f>
        <v/>
      </c>
      <c r="R534">
        <f>IF($W534="","",INDEX(명단표[이름],$W534))</f>
        <v/>
      </c>
      <c r="S534">
        <f>IF($W534="","",INDEX(명단표[사번],$W534)&amp;"")</f>
        <v/>
      </c>
      <c r="T534">
        <f>IF($W534="","",INDEX(명단표[소속병원],$W534))</f>
        <v/>
      </c>
      <c r="U534">
        <f>IF($W534="","",INDEX(명단표[서울 근무일(기준월)],$W534))</f>
        <v/>
      </c>
      <c r="V534">
        <f>IF($W534="","",INDEX(명단표[구리 근무일(기준월)],$W534))</f>
        <v/>
      </c>
      <c r="W534" s="17">
        <f>IFERROR(MATCH(529,명단표[판정불가순번],0),"")</f>
        <v/>
      </c>
    </row>
    <row r="535">
      <c r="A535">
        <f>IF($P535="","",530)</f>
        <v/>
      </c>
      <c r="B535">
        <f>IF($P535="","",INDEX(명단표[이름],$P535))</f>
        <v/>
      </c>
      <c r="C535">
        <f>IF($P535="","",INDEX(명단표[사번],$P535)&amp;"")</f>
        <v/>
      </c>
      <c r="D535">
        <f>IF($P535="","",INDEX(명단표[전공의등록번호],$P535)&amp;"")</f>
        <v/>
      </c>
      <c r="E535">
        <f>IF($P535="","",INDEX(명단표[수련과목],$P535)&amp;"")</f>
        <v/>
      </c>
      <c r="F535">
        <f>IF($P535="","",INDEX(명단표[연차],$P535)&amp;"")</f>
        <v/>
      </c>
      <c r="G535">
        <f>IF($P535="","",INDEX(명단표[소속병원],$P535))</f>
        <v/>
      </c>
      <c r="H535">
        <f>IF($P535="","",IF(INDEX(명단표[소속병원],$P535)="서울병원","서울 소속","타 병원 소속("&amp;INDEX(명단표[소속병원],$P535)&amp;") → 서울 지급"))</f>
        <v/>
      </c>
      <c r="I535">
        <f>IF($P535="","",INDEX(명단표[현재 근무병원],$P535))</f>
        <v/>
      </c>
      <c r="J535">
        <f>IF($P535="","",INDEX(명단표[구리 근무 시작일(기준월)],$P535)&amp;"")</f>
        <v/>
      </c>
      <c r="K535">
        <f>IF($P535="","",INDEX(명단표[구리 근무 종료일(기준월)],$P535)&amp;"")</f>
        <v/>
      </c>
      <c r="L535">
        <f>IF($P535="","",INDEX(명단표[서울 근무일(기준월)],$P535))</f>
        <v/>
      </c>
      <c r="M535">
        <f>IF($P535="","",INDEX(명단표[구리 근무일(기준월)],$P535))</f>
        <v/>
      </c>
      <c r="N535">
        <f>IF($P535="","",INDEX(명단표[급여 판정 근거],$P535))</f>
        <v/>
      </c>
      <c r="O535">
        <f>IF($P535="","",INDEX(명단표[점검],$P535))</f>
        <v/>
      </c>
      <c r="P535" s="17">
        <f>IFERROR(MATCH(530,명단표[서울순번],0),"")</f>
        <v/>
      </c>
      <c r="R535">
        <f>IF($W535="","",INDEX(명단표[이름],$W535))</f>
        <v/>
      </c>
      <c r="S535">
        <f>IF($W535="","",INDEX(명단표[사번],$W535)&amp;"")</f>
        <v/>
      </c>
      <c r="T535">
        <f>IF($W535="","",INDEX(명단표[소속병원],$W535))</f>
        <v/>
      </c>
      <c r="U535">
        <f>IF($W535="","",INDEX(명단표[서울 근무일(기준월)],$W535))</f>
        <v/>
      </c>
      <c r="V535">
        <f>IF($W535="","",INDEX(명단표[구리 근무일(기준월)],$W535))</f>
        <v/>
      </c>
      <c r="W535" s="17">
        <f>IFERROR(MATCH(530,명단표[판정불가순번],0),"")</f>
        <v/>
      </c>
    </row>
    <row r="536">
      <c r="A536">
        <f>IF($P536="","",531)</f>
        <v/>
      </c>
      <c r="B536">
        <f>IF($P536="","",INDEX(명단표[이름],$P536))</f>
        <v/>
      </c>
      <c r="C536">
        <f>IF($P536="","",INDEX(명단표[사번],$P536)&amp;"")</f>
        <v/>
      </c>
      <c r="D536">
        <f>IF($P536="","",INDEX(명단표[전공의등록번호],$P536)&amp;"")</f>
        <v/>
      </c>
      <c r="E536">
        <f>IF($P536="","",INDEX(명단표[수련과목],$P536)&amp;"")</f>
        <v/>
      </c>
      <c r="F536">
        <f>IF($P536="","",INDEX(명단표[연차],$P536)&amp;"")</f>
        <v/>
      </c>
      <c r="G536">
        <f>IF($P536="","",INDEX(명단표[소속병원],$P536))</f>
        <v/>
      </c>
      <c r="H536">
        <f>IF($P536="","",IF(INDEX(명단표[소속병원],$P536)="서울병원","서울 소속","타 병원 소속("&amp;INDEX(명단표[소속병원],$P536)&amp;") → 서울 지급"))</f>
        <v/>
      </c>
      <c r="I536">
        <f>IF($P536="","",INDEX(명단표[현재 근무병원],$P536))</f>
        <v/>
      </c>
      <c r="J536">
        <f>IF($P536="","",INDEX(명단표[구리 근무 시작일(기준월)],$P536)&amp;"")</f>
        <v/>
      </c>
      <c r="K536">
        <f>IF($P536="","",INDEX(명단표[구리 근무 종료일(기준월)],$P536)&amp;"")</f>
        <v/>
      </c>
      <c r="L536">
        <f>IF($P536="","",INDEX(명단표[서울 근무일(기준월)],$P536))</f>
        <v/>
      </c>
      <c r="M536">
        <f>IF($P536="","",INDEX(명단표[구리 근무일(기준월)],$P536))</f>
        <v/>
      </c>
      <c r="N536">
        <f>IF($P536="","",INDEX(명단표[급여 판정 근거],$P536))</f>
        <v/>
      </c>
      <c r="O536">
        <f>IF($P536="","",INDEX(명단표[점검],$P536))</f>
        <v/>
      </c>
      <c r="P536" s="17">
        <f>IFERROR(MATCH(531,명단표[서울순번],0),"")</f>
        <v/>
      </c>
      <c r="R536">
        <f>IF($W536="","",INDEX(명단표[이름],$W536))</f>
        <v/>
      </c>
      <c r="S536">
        <f>IF($W536="","",INDEX(명단표[사번],$W536)&amp;"")</f>
        <v/>
      </c>
      <c r="T536">
        <f>IF($W536="","",INDEX(명단표[소속병원],$W536))</f>
        <v/>
      </c>
      <c r="U536">
        <f>IF($W536="","",INDEX(명단표[서울 근무일(기준월)],$W536))</f>
        <v/>
      </c>
      <c r="V536">
        <f>IF($W536="","",INDEX(명단표[구리 근무일(기준월)],$W536))</f>
        <v/>
      </c>
      <c r="W536" s="17">
        <f>IFERROR(MATCH(531,명단표[판정불가순번],0),"")</f>
        <v/>
      </c>
    </row>
    <row r="537">
      <c r="A537">
        <f>IF($P537="","",532)</f>
        <v/>
      </c>
      <c r="B537">
        <f>IF($P537="","",INDEX(명단표[이름],$P537))</f>
        <v/>
      </c>
      <c r="C537">
        <f>IF($P537="","",INDEX(명단표[사번],$P537)&amp;"")</f>
        <v/>
      </c>
      <c r="D537">
        <f>IF($P537="","",INDEX(명단표[전공의등록번호],$P537)&amp;"")</f>
        <v/>
      </c>
      <c r="E537">
        <f>IF($P537="","",INDEX(명단표[수련과목],$P537)&amp;"")</f>
        <v/>
      </c>
      <c r="F537">
        <f>IF($P537="","",INDEX(명단표[연차],$P537)&amp;"")</f>
        <v/>
      </c>
      <c r="G537">
        <f>IF($P537="","",INDEX(명단표[소속병원],$P537))</f>
        <v/>
      </c>
      <c r="H537">
        <f>IF($P537="","",IF(INDEX(명단표[소속병원],$P537)="서울병원","서울 소속","타 병원 소속("&amp;INDEX(명단표[소속병원],$P537)&amp;") → 서울 지급"))</f>
        <v/>
      </c>
      <c r="I537">
        <f>IF($P537="","",INDEX(명단표[현재 근무병원],$P537))</f>
        <v/>
      </c>
      <c r="J537">
        <f>IF($P537="","",INDEX(명단표[구리 근무 시작일(기준월)],$P537)&amp;"")</f>
        <v/>
      </c>
      <c r="K537">
        <f>IF($P537="","",INDEX(명단표[구리 근무 종료일(기준월)],$P537)&amp;"")</f>
        <v/>
      </c>
      <c r="L537">
        <f>IF($P537="","",INDEX(명단표[서울 근무일(기준월)],$P537))</f>
        <v/>
      </c>
      <c r="M537">
        <f>IF($P537="","",INDEX(명단표[구리 근무일(기준월)],$P537))</f>
        <v/>
      </c>
      <c r="N537">
        <f>IF($P537="","",INDEX(명단표[급여 판정 근거],$P537))</f>
        <v/>
      </c>
      <c r="O537">
        <f>IF($P537="","",INDEX(명단표[점검],$P537))</f>
        <v/>
      </c>
      <c r="P537" s="17">
        <f>IFERROR(MATCH(532,명단표[서울순번],0),"")</f>
        <v/>
      </c>
      <c r="R537">
        <f>IF($W537="","",INDEX(명단표[이름],$W537))</f>
        <v/>
      </c>
      <c r="S537">
        <f>IF($W537="","",INDEX(명단표[사번],$W537)&amp;"")</f>
        <v/>
      </c>
      <c r="T537">
        <f>IF($W537="","",INDEX(명단표[소속병원],$W537))</f>
        <v/>
      </c>
      <c r="U537">
        <f>IF($W537="","",INDEX(명단표[서울 근무일(기준월)],$W537))</f>
        <v/>
      </c>
      <c r="V537">
        <f>IF($W537="","",INDEX(명단표[구리 근무일(기준월)],$W537))</f>
        <v/>
      </c>
      <c r="W537" s="17">
        <f>IFERROR(MATCH(532,명단표[판정불가순번],0),"")</f>
        <v/>
      </c>
    </row>
    <row r="538">
      <c r="A538">
        <f>IF($P538="","",533)</f>
        <v/>
      </c>
      <c r="B538">
        <f>IF($P538="","",INDEX(명단표[이름],$P538))</f>
        <v/>
      </c>
      <c r="C538">
        <f>IF($P538="","",INDEX(명단표[사번],$P538)&amp;"")</f>
        <v/>
      </c>
      <c r="D538">
        <f>IF($P538="","",INDEX(명단표[전공의등록번호],$P538)&amp;"")</f>
        <v/>
      </c>
      <c r="E538">
        <f>IF($P538="","",INDEX(명단표[수련과목],$P538)&amp;"")</f>
        <v/>
      </c>
      <c r="F538">
        <f>IF($P538="","",INDEX(명단표[연차],$P538)&amp;"")</f>
        <v/>
      </c>
      <c r="G538">
        <f>IF($P538="","",INDEX(명단표[소속병원],$P538))</f>
        <v/>
      </c>
      <c r="H538">
        <f>IF($P538="","",IF(INDEX(명단표[소속병원],$P538)="서울병원","서울 소속","타 병원 소속("&amp;INDEX(명단표[소속병원],$P538)&amp;") → 서울 지급"))</f>
        <v/>
      </c>
      <c r="I538">
        <f>IF($P538="","",INDEX(명단표[현재 근무병원],$P538))</f>
        <v/>
      </c>
      <c r="J538">
        <f>IF($P538="","",INDEX(명단표[구리 근무 시작일(기준월)],$P538)&amp;"")</f>
        <v/>
      </c>
      <c r="K538">
        <f>IF($P538="","",INDEX(명단표[구리 근무 종료일(기준월)],$P538)&amp;"")</f>
        <v/>
      </c>
      <c r="L538">
        <f>IF($P538="","",INDEX(명단표[서울 근무일(기준월)],$P538))</f>
        <v/>
      </c>
      <c r="M538">
        <f>IF($P538="","",INDEX(명단표[구리 근무일(기준월)],$P538))</f>
        <v/>
      </c>
      <c r="N538">
        <f>IF($P538="","",INDEX(명단표[급여 판정 근거],$P538))</f>
        <v/>
      </c>
      <c r="O538">
        <f>IF($P538="","",INDEX(명단표[점검],$P538))</f>
        <v/>
      </c>
      <c r="P538" s="17">
        <f>IFERROR(MATCH(533,명단표[서울순번],0),"")</f>
        <v/>
      </c>
      <c r="R538">
        <f>IF($W538="","",INDEX(명단표[이름],$W538))</f>
        <v/>
      </c>
      <c r="S538">
        <f>IF($W538="","",INDEX(명단표[사번],$W538)&amp;"")</f>
        <v/>
      </c>
      <c r="T538">
        <f>IF($W538="","",INDEX(명단표[소속병원],$W538))</f>
        <v/>
      </c>
      <c r="U538">
        <f>IF($W538="","",INDEX(명단표[서울 근무일(기준월)],$W538))</f>
        <v/>
      </c>
      <c r="V538">
        <f>IF($W538="","",INDEX(명단표[구리 근무일(기준월)],$W538))</f>
        <v/>
      </c>
      <c r="W538" s="17">
        <f>IFERROR(MATCH(533,명단표[판정불가순번],0),"")</f>
        <v/>
      </c>
    </row>
    <row r="539">
      <c r="A539">
        <f>IF($P539="","",534)</f>
        <v/>
      </c>
      <c r="B539">
        <f>IF($P539="","",INDEX(명단표[이름],$P539))</f>
        <v/>
      </c>
      <c r="C539">
        <f>IF($P539="","",INDEX(명단표[사번],$P539)&amp;"")</f>
        <v/>
      </c>
      <c r="D539">
        <f>IF($P539="","",INDEX(명단표[전공의등록번호],$P539)&amp;"")</f>
        <v/>
      </c>
      <c r="E539">
        <f>IF($P539="","",INDEX(명단표[수련과목],$P539)&amp;"")</f>
        <v/>
      </c>
      <c r="F539">
        <f>IF($P539="","",INDEX(명단표[연차],$P539)&amp;"")</f>
        <v/>
      </c>
      <c r="G539">
        <f>IF($P539="","",INDEX(명단표[소속병원],$P539))</f>
        <v/>
      </c>
      <c r="H539">
        <f>IF($P539="","",IF(INDEX(명단표[소속병원],$P539)="서울병원","서울 소속","타 병원 소속("&amp;INDEX(명단표[소속병원],$P539)&amp;") → 서울 지급"))</f>
        <v/>
      </c>
      <c r="I539">
        <f>IF($P539="","",INDEX(명단표[현재 근무병원],$P539))</f>
        <v/>
      </c>
      <c r="J539">
        <f>IF($P539="","",INDEX(명단표[구리 근무 시작일(기준월)],$P539)&amp;"")</f>
        <v/>
      </c>
      <c r="K539">
        <f>IF($P539="","",INDEX(명단표[구리 근무 종료일(기준월)],$P539)&amp;"")</f>
        <v/>
      </c>
      <c r="L539">
        <f>IF($P539="","",INDEX(명단표[서울 근무일(기준월)],$P539))</f>
        <v/>
      </c>
      <c r="M539">
        <f>IF($P539="","",INDEX(명단표[구리 근무일(기준월)],$P539))</f>
        <v/>
      </c>
      <c r="N539">
        <f>IF($P539="","",INDEX(명단표[급여 판정 근거],$P539))</f>
        <v/>
      </c>
      <c r="O539">
        <f>IF($P539="","",INDEX(명단표[점검],$P539))</f>
        <v/>
      </c>
      <c r="P539" s="17">
        <f>IFERROR(MATCH(534,명단표[서울순번],0),"")</f>
        <v/>
      </c>
      <c r="R539">
        <f>IF($W539="","",INDEX(명단표[이름],$W539))</f>
        <v/>
      </c>
      <c r="S539">
        <f>IF($W539="","",INDEX(명단표[사번],$W539)&amp;"")</f>
        <v/>
      </c>
      <c r="T539">
        <f>IF($W539="","",INDEX(명단표[소속병원],$W539))</f>
        <v/>
      </c>
      <c r="U539">
        <f>IF($W539="","",INDEX(명단표[서울 근무일(기준월)],$W539))</f>
        <v/>
      </c>
      <c r="V539">
        <f>IF($W539="","",INDEX(명단표[구리 근무일(기준월)],$W539))</f>
        <v/>
      </c>
      <c r="W539" s="17">
        <f>IFERROR(MATCH(534,명단표[판정불가순번],0),"")</f>
        <v/>
      </c>
    </row>
    <row r="540">
      <c r="A540">
        <f>IF($P540="","",535)</f>
        <v/>
      </c>
      <c r="B540">
        <f>IF($P540="","",INDEX(명단표[이름],$P540))</f>
        <v/>
      </c>
      <c r="C540">
        <f>IF($P540="","",INDEX(명단표[사번],$P540)&amp;"")</f>
        <v/>
      </c>
      <c r="D540">
        <f>IF($P540="","",INDEX(명단표[전공의등록번호],$P540)&amp;"")</f>
        <v/>
      </c>
      <c r="E540">
        <f>IF($P540="","",INDEX(명단표[수련과목],$P540)&amp;"")</f>
        <v/>
      </c>
      <c r="F540">
        <f>IF($P540="","",INDEX(명단표[연차],$P540)&amp;"")</f>
        <v/>
      </c>
      <c r="G540">
        <f>IF($P540="","",INDEX(명단표[소속병원],$P540))</f>
        <v/>
      </c>
      <c r="H540">
        <f>IF($P540="","",IF(INDEX(명단표[소속병원],$P540)="서울병원","서울 소속","타 병원 소속("&amp;INDEX(명단표[소속병원],$P540)&amp;") → 서울 지급"))</f>
        <v/>
      </c>
      <c r="I540">
        <f>IF($P540="","",INDEX(명단표[현재 근무병원],$P540))</f>
        <v/>
      </c>
      <c r="J540">
        <f>IF($P540="","",INDEX(명단표[구리 근무 시작일(기준월)],$P540)&amp;"")</f>
        <v/>
      </c>
      <c r="K540">
        <f>IF($P540="","",INDEX(명단표[구리 근무 종료일(기준월)],$P540)&amp;"")</f>
        <v/>
      </c>
      <c r="L540">
        <f>IF($P540="","",INDEX(명단표[서울 근무일(기준월)],$P540))</f>
        <v/>
      </c>
      <c r="M540">
        <f>IF($P540="","",INDEX(명단표[구리 근무일(기준월)],$P540))</f>
        <v/>
      </c>
      <c r="N540">
        <f>IF($P540="","",INDEX(명단표[급여 판정 근거],$P540))</f>
        <v/>
      </c>
      <c r="O540">
        <f>IF($P540="","",INDEX(명단표[점검],$P540))</f>
        <v/>
      </c>
      <c r="P540" s="17">
        <f>IFERROR(MATCH(535,명단표[서울순번],0),"")</f>
        <v/>
      </c>
      <c r="R540">
        <f>IF($W540="","",INDEX(명단표[이름],$W540))</f>
        <v/>
      </c>
      <c r="S540">
        <f>IF($W540="","",INDEX(명단표[사번],$W540)&amp;"")</f>
        <v/>
      </c>
      <c r="T540">
        <f>IF($W540="","",INDEX(명단표[소속병원],$W540))</f>
        <v/>
      </c>
      <c r="U540">
        <f>IF($W540="","",INDEX(명단표[서울 근무일(기준월)],$W540))</f>
        <v/>
      </c>
      <c r="V540">
        <f>IF($W540="","",INDEX(명단표[구리 근무일(기준월)],$W540))</f>
        <v/>
      </c>
      <c r="W540" s="17">
        <f>IFERROR(MATCH(535,명단표[판정불가순번],0),"")</f>
        <v/>
      </c>
    </row>
    <row r="541">
      <c r="A541">
        <f>IF($P541="","",536)</f>
        <v/>
      </c>
      <c r="B541">
        <f>IF($P541="","",INDEX(명단표[이름],$P541))</f>
        <v/>
      </c>
      <c r="C541">
        <f>IF($P541="","",INDEX(명단표[사번],$P541)&amp;"")</f>
        <v/>
      </c>
      <c r="D541">
        <f>IF($P541="","",INDEX(명단표[전공의등록번호],$P541)&amp;"")</f>
        <v/>
      </c>
      <c r="E541">
        <f>IF($P541="","",INDEX(명단표[수련과목],$P541)&amp;"")</f>
        <v/>
      </c>
      <c r="F541">
        <f>IF($P541="","",INDEX(명단표[연차],$P541)&amp;"")</f>
        <v/>
      </c>
      <c r="G541">
        <f>IF($P541="","",INDEX(명단표[소속병원],$P541))</f>
        <v/>
      </c>
      <c r="H541">
        <f>IF($P541="","",IF(INDEX(명단표[소속병원],$P541)="서울병원","서울 소속","타 병원 소속("&amp;INDEX(명단표[소속병원],$P541)&amp;") → 서울 지급"))</f>
        <v/>
      </c>
      <c r="I541">
        <f>IF($P541="","",INDEX(명단표[현재 근무병원],$P541))</f>
        <v/>
      </c>
      <c r="J541">
        <f>IF($P541="","",INDEX(명단표[구리 근무 시작일(기준월)],$P541)&amp;"")</f>
        <v/>
      </c>
      <c r="K541">
        <f>IF($P541="","",INDEX(명단표[구리 근무 종료일(기준월)],$P541)&amp;"")</f>
        <v/>
      </c>
      <c r="L541">
        <f>IF($P541="","",INDEX(명단표[서울 근무일(기준월)],$P541))</f>
        <v/>
      </c>
      <c r="M541">
        <f>IF($P541="","",INDEX(명단표[구리 근무일(기준월)],$P541))</f>
        <v/>
      </c>
      <c r="N541">
        <f>IF($P541="","",INDEX(명단표[급여 판정 근거],$P541))</f>
        <v/>
      </c>
      <c r="O541">
        <f>IF($P541="","",INDEX(명단표[점검],$P541))</f>
        <v/>
      </c>
      <c r="P541" s="17">
        <f>IFERROR(MATCH(536,명단표[서울순번],0),"")</f>
        <v/>
      </c>
      <c r="R541">
        <f>IF($W541="","",INDEX(명단표[이름],$W541))</f>
        <v/>
      </c>
      <c r="S541">
        <f>IF($W541="","",INDEX(명단표[사번],$W541)&amp;"")</f>
        <v/>
      </c>
      <c r="T541">
        <f>IF($W541="","",INDEX(명단표[소속병원],$W541))</f>
        <v/>
      </c>
      <c r="U541">
        <f>IF($W541="","",INDEX(명단표[서울 근무일(기준월)],$W541))</f>
        <v/>
      </c>
      <c r="V541">
        <f>IF($W541="","",INDEX(명단표[구리 근무일(기준월)],$W541))</f>
        <v/>
      </c>
      <c r="W541" s="17">
        <f>IFERROR(MATCH(536,명단표[판정불가순번],0),"")</f>
        <v/>
      </c>
    </row>
    <row r="542">
      <c r="A542">
        <f>IF($P542="","",537)</f>
        <v/>
      </c>
      <c r="B542">
        <f>IF($P542="","",INDEX(명단표[이름],$P542))</f>
        <v/>
      </c>
      <c r="C542">
        <f>IF($P542="","",INDEX(명단표[사번],$P542)&amp;"")</f>
        <v/>
      </c>
      <c r="D542">
        <f>IF($P542="","",INDEX(명단표[전공의등록번호],$P542)&amp;"")</f>
        <v/>
      </c>
      <c r="E542">
        <f>IF($P542="","",INDEX(명단표[수련과목],$P542)&amp;"")</f>
        <v/>
      </c>
      <c r="F542">
        <f>IF($P542="","",INDEX(명단표[연차],$P542)&amp;"")</f>
        <v/>
      </c>
      <c r="G542">
        <f>IF($P542="","",INDEX(명단표[소속병원],$P542))</f>
        <v/>
      </c>
      <c r="H542">
        <f>IF($P542="","",IF(INDEX(명단표[소속병원],$P542)="서울병원","서울 소속","타 병원 소속("&amp;INDEX(명단표[소속병원],$P542)&amp;") → 서울 지급"))</f>
        <v/>
      </c>
      <c r="I542">
        <f>IF($P542="","",INDEX(명단표[현재 근무병원],$P542))</f>
        <v/>
      </c>
      <c r="J542">
        <f>IF($P542="","",INDEX(명단표[구리 근무 시작일(기준월)],$P542)&amp;"")</f>
        <v/>
      </c>
      <c r="K542">
        <f>IF($P542="","",INDEX(명단표[구리 근무 종료일(기준월)],$P542)&amp;"")</f>
        <v/>
      </c>
      <c r="L542">
        <f>IF($P542="","",INDEX(명단표[서울 근무일(기준월)],$P542))</f>
        <v/>
      </c>
      <c r="M542">
        <f>IF($P542="","",INDEX(명단표[구리 근무일(기준월)],$P542))</f>
        <v/>
      </c>
      <c r="N542">
        <f>IF($P542="","",INDEX(명단표[급여 판정 근거],$P542))</f>
        <v/>
      </c>
      <c r="O542">
        <f>IF($P542="","",INDEX(명단표[점검],$P542))</f>
        <v/>
      </c>
      <c r="P542" s="17">
        <f>IFERROR(MATCH(537,명단표[서울순번],0),"")</f>
        <v/>
      </c>
      <c r="R542">
        <f>IF($W542="","",INDEX(명단표[이름],$W542))</f>
        <v/>
      </c>
      <c r="S542">
        <f>IF($W542="","",INDEX(명단표[사번],$W542)&amp;"")</f>
        <v/>
      </c>
      <c r="T542">
        <f>IF($W542="","",INDEX(명단표[소속병원],$W542))</f>
        <v/>
      </c>
      <c r="U542">
        <f>IF($W542="","",INDEX(명단표[서울 근무일(기준월)],$W542))</f>
        <v/>
      </c>
      <c r="V542">
        <f>IF($W542="","",INDEX(명단표[구리 근무일(기준월)],$W542))</f>
        <v/>
      </c>
      <c r="W542" s="17">
        <f>IFERROR(MATCH(537,명단표[판정불가순번],0),"")</f>
        <v/>
      </c>
    </row>
    <row r="543">
      <c r="A543">
        <f>IF($P543="","",538)</f>
        <v/>
      </c>
      <c r="B543">
        <f>IF($P543="","",INDEX(명단표[이름],$P543))</f>
        <v/>
      </c>
      <c r="C543">
        <f>IF($P543="","",INDEX(명단표[사번],$P543)&amp;"")</f>
        <v/>
      </c>
      <c r="D543">
        <f>IF($P543="","",INDEX(명단표[전공의등록번호],$P543)&amp;"")</f>
        <v/>
      </c>
      <c r="E543">
        <f>IF($P543="","",INDEX(명단표[수련과목],$P543)&amp;"")</f>
        <v/>
      </c>
      <c r="F543">
        <f>IF($P543="","",INDEX(명단표[연차],$P543)&amp;"")</f>
        <v/>
      </c>
      <c r="G543">
        <f>IF($P543="","",INDEX(명단표[소속병원],$P543))</f>
        <v/>
      </c>
      <c r="H543">
        <f>IF($P543="","",IF(INDEX(명단표[소속병원],$P543)="서울병원","서울 소속","타 병원 소속("&amp;INDEX(명단표[소속병원],$P543)&amp;") → 서울 지급"))</f>
        <v/>
      </c>
      <c r="I543">
        <f>IF($P543="","",INDEX(명단표[현재 근무병원],$P543))</f>
        <v/>
      </c>
      <c r="J543">
        <f>IF($P543="","",INDEX(명단표[구리 근무 시작일(기준월)],$P543)&amp;"")</f>
        <v/>
      </c>
      <c r="K543">
        <f>IF($P543="","",INDEX(명단표[구리 근무 종료일(기준월)],$P543)&amp;"")</f>
        <v/>
      </c>
      <c r="L543">
        <f>IF($P543="","",INDEX(명단표[서울 근무일(기준월)],$P543))</f>
        <v/>
      </c>
      <c r="M543">
        <f>IF($P543="","",INDEX(명단표[구리 근무일(기준월)],$P543))</f>
        <v/>
      </c>
      <c r="N543">
        <f>IF($P543="","",INDEX(명단표[급여 판정 근거],$P543))</f>
        <v/>
      </c>
      <c r="O543">
        <f>IF($P543="","",INDEX(명단표[점검],$P543))</f>
        <v/>
      </c>
      <c r="P543" s="17">
        <f>IFERROR(MATCH(538,명단표[서울순번],0),"")</f>
        <v/>
      </c>
      <c r="R543">
        <f>IF($W543="","",INDEX(명단표[이름],$W543))</f>
        <v/>
      </c>
      <c r="S543">
        <f>IF($W543="","",INDEX(명단표[사번],$W543)&amp;"")</f>
        <v/>
      </c>
      <c r="T543">
        <f>IF($W543="","",INDEX(명단표[소속병원],$W543))</f>
        <v/>
      </c>
      <c r="U543">
        <f>IF($W543="","",INDEX(명단표[서울 근무일(기준월)],$W543))</f>
        <v/>
      </c>
      <c r="V543">
        <f>IF($W543="","",INDEX(명단표[구리 근무일(기준월)],$W543))</f>
        <v/>
      </c>
      <c r="W543" s="17">
        <f>IFERROR(MATCH(538,명단표[판정불가순번],0),"")</f>
        <v/>
      </c>
    </row>
    <row r="544">
      <c r="A544">
        <f>IF($P544="","",539)</f>
        <v/>
      </c>
      <c r="B544">
        <f>IF($P544="","",INDEX(명단표[이름],$P544))</f>
        <v/>
      </c>
      <c r="C544">
        <f>IF($P544="","",INDEX(명단표[사번],$P544)&amp;"")</f>
        <v/>
      </c>
      <c r="D544">
        <f>IF($P544="","",INDEX(명단표[전공의등록번호],$P544)&amp;"")</f>
        <v/>
      </c>
      <c r="E544">
        <f>IF($P544="","",INDEX(명단표[수련과목],$P544)&amp;"")</f>
        <v/>
      </c>
      <c r="F544">
        <f>IF($P544="","",INDEX(명단표[연차],$P544)&amp;"")</f>
        <v/>
      </c>
      <c r="G544">
        <f>IF($P544="","",INDEX(명단표[소속병원],$P544))</f>
        <v/>
      </c>
      <c r="H544">
        <f>IF($P544="","",IF(INDEX(명단표[소속병원],$P544)="서울병원","서울 소속","타 병원 소속("&amp;INDEX(명단표[소속병원],$P544)&amp;") → 서울 지급"))</f>
        <v/>
      </c>
      <c r="I544">
        <f>IF($P544="","",INDEX(명단표[현재 근무병원],$P544))</f>
        <v/>
      </c>
      <c r="J544">
        <f>IF($P544="","",INDEX(명단표[구리 근무 시작일(기준월)],$P544)&amp;"")</f>
        <v/>
      </c>
      <c r="K544">
        <f>IF($P544="","",INDEX(명단표[구리 근무 종료일(기준월)],$P544)&amp;"")</f>
        <v/>
      </c>
      <c r="L544">
        <f>IF($P544="","",INDEX(명단표[서울 근무일(기준월)],$P544))</f>
        <v/>
      </c>
      <c r="M544">
        <f>IF($P544="","",INDEX(명단표[구리 근무일(기준월)],$P544))</f>
        <v/>
      </c>
      <c r="N544">
        <f>IF($P544="","",INDEX(명단표[급여 판정 근거],$P544))</f>
        <v/>
      </c>
      <c r="O544">
        <f>IF($P544="","",INDEX(명단표[점검],$P544))</f>
        <v/>
      </c>
      <c r="P544" s="17">
        <f>IFERROR(MATCH(539,명단표[서울순번],0),"")</f>
        <v/>
      </c>
      <c r="R544">
        <f>IF($W544="","",INDEX(명단표[이름],$W544))</f>
        <v/>
      </c>
      <c r="S544">
        <f>IF($W544="","",INDEX(명단표[사번],$W544)&amp;"")</f>
        <v/>
      </c>
      <c r="T544">
        <f>IF($W544="","",INDEX(명단표[소속병원],$W544))</f>
        <v/>
      </c>
      <c r="U544">
        <f>IF($W544="","",INDEX(명단표[서울 근무일(기준월)],$W544))</f>
        <v/>
      </c>
      <c r="V544">
        <f>IF($W544="","",INDEX(명단표[구리 근무일(기준월)],$W544))</f>
        <v/>
      </c>
      <c r="W544" s="17">
        <f>IFERROR(MATCH(539,명단표[판정불가순번],0),"")</f>
        <v/>
      </c>
    </row>
    <row r="545">
      <c r="A545">
        <f>IF($P545="","",540)</f>
        <v/>
      </c>
      <c r="B545">
        <f>IF($P545="","",INDEX(명단표[이름],$P545))</f>
        <v/>
      </c>
      <c r="C545">
        <f>IF($P545="","",INDEX(명단표[사번],$P545)&amp;"")</f>
        <v/>
      </c>
      <c r="D545">
        <f>IF($P545="","",INDEX(명단표[전공의등록번호],$P545)&amp;"")</f>
        <v/>
      </c>
      <c r="E545">
        <f>IF($P545="","",INDEX(명단표[수련과목],$P545)&amp;"")</f>
        <v/>
      </c>
      <c r="F545">
        <f>IF($P545="","",INDEX(명단표[연차],$P545)&amp;"")</f>
        <v/>
      </c>
      <c r="G545">
        <f>IF($P545="","",INDEX(명단표[소속병원],$P545))</f>
        <v/>
      </c>
      <c r="H545">
        <f>IF($P545="","",IF(INDEX(명단표[소속병원],$P545)="서울병원","서울 소속","타 병원 소속("&amp;INDEX(명단표[소속병원],$P545)&amp;") → 서울 지급"))</f>
        <v/>
      </c>
      <c r="I545">
        <f>IF($P545="","",INDEX(명단표[현재 근무병원],$P545))</f>
        <v/>
      </c>
      <c r="J545">
        <f>IF($P545="","",INDEX(명단표[구리 근무 시작일(기준월)],$P545)&amp;"")</f>
        <v/>
      </c>
      <c r="K545">
        <f>IF($P545="","",INDEX(명단표[구리 근무 종료일(기준월)],$P545)&amp;"")</f>
        <v/>
      </c>
      <c r="L545">
        <f>IF($P545="","",INDEX(명단표[서울 근무일(기준월)],$P545))</f>
        <v/>
      </c>
      <c r="M545">
        <f>IF($P545="","",INDEX(명단표[구리 근무일(기준월)],$P545))</f>
        <v/>
      </c>
      <c r="N545">
        <f>IF($P545="","",INDEX(명단표[급여 판정 근거],$P545))</f>
        <v/>
      </c>
      <c r="O545">
        <f>IF($P545="","",INDEX(명단표[점검],$P545))</f>
        <v/>
      </c>
      <c r="P545" s="17">
        <f>IFERROR(MATCH(540,명단표[서울순번],0),"")</f>
        <v/>
      </c>
      <c r="R545">
        <f>IF($W545="","",INDEX(명단표[이름],$W545))</f>
        <v/>
      </c>
      <c r="S545">
        <f>IF($W545="","",INDEX(명단표[사번],$W545)&amp;"")</f>
        <v/>
      </c>
      <c r="T545">
        <f>IF($W545="","",INDEX(명단표[소속병원],$W545))</f>
        <v/>
      </c>
      <c r="U545">
        <f>IF($W545="","",INDEX(명단표[서울 근무일(기준월)],$W545))</f>
        <v/>
      </c>
      <c r="V545">
        <f>IF($W545="","",INDEX(명단표[구리 근무일(기준월)],$W545))</f>
        <v/>
      </c>
      <c r="W545" s="17">
        <f>IFERROR(MATCH(540,명단표[판정불가순번],0),"")</f>
        <v/>
      </c>
    </row>
    <row r="546">
      <c r="A546">
        <f>IF($P546="","",541)</f>
        <v/>
      </c>
      <c r="B546">
        <f>IF($P546="","",INDEX(명단표[이름],$P546))</f>
        <v/>
      </c>
      <c r="C546">
        <f>IF($P546="","",INDEX(명단표[사번],$P546)&amp;"")</f>
        <v/>
      </c>
      <c r="D546">
        <f>IF($P546="","",INDEX(명단표[전공의등록번호],$P546)&amp;"")</f>
        <v/>
      </c>
      <c r="E546">
        <f>IF($P546="","",INDEX(명단표[수련과목],$P546)&amp;"")</f>
        <v/>
      </c>
      <c r="F546">
        <f>IF($P546="","",INDEX(명단표[연차],$P546)&amp;"")</f>
        <v/>
      </c>
      <c r="G546">
        <f>IF($P546="","",INDEX(명단표[소속병원],$P546))</f>
        <v/>
      </c>
      <c r="H546">
        <f>IF($P546="","",IF(INDEX(명단표[소속병원],$P546)="서울병원","서울 소속","타 병원 소속("&amp;INDEX(명단표[소속병원],$P546)&amp;") → 서울 지급"))</f>
        <v/>
      </c>
      <c r="I546">
        <f>IF($P546="","",INDEX(명단표[현재 근무병원],$P546))</f>
        <v/>
      </c>
      <c r="J546">
        <f>IF($P546="","",INDEX(명단표[구리 근무 시작일(기준월)],$P546)&amp;"")</f>
        <v/>
      </c>
      <c r="K546">
        <f>IF($P546="","",INDEX(명단표[구리 근무 종료일(기준월)],$P546)&amp;"")</f>
        <v/>
      </c>
      <c r="L546">
        <f>IF($P546="","",INDEX(명단표[서울 근무일(기준월)],$P546))</f>
        <v/>
      </c>
      <c r="M546">
        <f>IF($P546="","",INDEX(명단표[구리 근무일(기준월)],$P546))</f>
        <v/>
      </c>
      <c r="N546">
        <f>IF($P546="","",INDEX(명단표[급여 판정 근거],$P546))</f>
        <v/>
      </c>
      <c r="O546">
        <f>IF($P546="","",INDEX(명단표[점검],$P546))</f>
        <v/>
      </c>
      <c r="P546" s="17">
        <f>IFERROR(MATCH(541,명단표[서울순번],0),"")</f>
        <v/>
      </c>
      <c r="R546">
        <f>IF($W546="","",INDEX(명단표[이름],$W546))</f>
        <v/>
      </c>
      <c r="S546">
        <f>IF($W546="","",INDEX(명단표[사번],$W546)&amp;"")</f>
        <v/>
      </c>
      <c r="T546">
        <f>IF($W546="","",INDEX(명단표[소속병원],$W546))</f>
        <v/>
      </c>
      <c r="U546">
        <f>IF($W546="","",INDEX(명단표[서울 근무일(기준월)],$W546))</f>
        <v/>
      </c>
      <c r="V546">
        <f>IF($W546="","",INDEX(명단표[구리 근무일(기준월)],$W546))</f>
        <v/>
      </c>
      <c r="W546" s="17">
        <f>IFERROR(MATCH(541,명단표[판정불가순번],0),"")</f>
        <v/>
      </c>
    </row>
    <row r="547">
      <c r="A547">
        <f>IF($P547="","",542)</f>
        <v/>
      </c>
      <c r="B547">
        <f>IF($P547="","",INDEX(명단표[이름],$P547))</f>
        <v/>
      </c>
      <c r="C547">
        <f>IF($P547="","",INDEX(명단표[사번],$P547)&amp;"")</f>
        <v/>
      </c>
      <c r="D547">
        <f>IF($P547="","",INDEX(명단표[전공의등록번호],$P547)&amp;"")</f>
        <v/>
      </c>
      <c r="E547">
        <f>IF($P547="","",INDEX(명단표[수련과목],$P547)&amp;"")</f>
        <v/>
      </c>
      <c r="F547">
        <f>IF($P547="","",INDEX(명단표[연차],$P547)&amp;"")</f>
        <v/>
      </c>
      <c r="G547">
        <f>IF($P547="","",INDEX(명단표[소속병원],$P547))</f>
        <v/>
      </c>
      <c r="H547">
        <f>IF($P547="","",IF(INDEX(명단표[소속병원],$P547)="서울병원","서울 소속","타 병원 소속("&amp;INDEX(명단표[소속병원],$P547)&amp;") → 서울 지급"))</f>
        <v/>
      </c>
      <c r="I547">
        <f>IF($P547="","",INDEX(명단표[현재 근무병원],$P547))</f>
        <v/>
      </c>
      <c r="J547">
        <f>IF($P547="","",INDEX(명단표[구리 근무 시작일(기준월)],$P547)&amp;"")</f>
        <v/>
      </c>
      <c r="K547">
        <f>IF($P547="","",INDEX(명단표[구리 근무 종료일(기준월)],$P547)&amp;"")</f>
        <v/>
      </c>
      <c r="L547">
        <f>IF($P547="","",INDEX(명단표[서울 근무일(기준월)],$P547))</f>
        <v/>
      </c>
      <c r="M547">
        <f>IF($P547="","",INDEX(명단표[구리 근무일(기준월)],$P547))</f>
        <v/>
      </c>
      <c r="N547">
        <f>IF($P547="","",INDEX(명단표[급여 판정 근거],$P547))</f>
        <v/>
      </c>
      <c r="O547">
        <f>IF($P547="","",INDEX(명단표[점검],$P547))</f>
        <v/>
      </c>
      <c r="P547" s="17">
        <f>IFERROR(MATCH(542,명단표[서울순번],0),"")</f>
        <v/>
      </c>
      <c r="R547">
        <f>IF($W547="","",INDEX(명단표[이름],$W547))</f>
        <v/>
      </c>
      <c r="S547">
        <f>IF($W547="","",INDEX(명단표[사번],$W547)&amp;"")</f>
        <v/>
      </c>
      <c r="T547">
        <f>IF($W547="","",INDEX(명단표[소속병원],$W547))</f>
        <v/>
      </c>
      <c r="U547">
        <f>IF($W547="","",INDEX(명단표[서울 근무일(기준월)],$W547))</f>
        <v/>
      </c>
      <c r="V547">
        <f>IF($W547="","",INDEX(명단표[구리 근무일(기준월)],$W547))</f>
        <v/>
      </c>
      <c r="W547" s="17">
        <f>IFERROR(MATCH(542,명단표[판정불가순번],0),"")</f>
        <v/>
      </c>
    </row>
    <row r="548">
      <c r="A548">
        <f>IF($P548="","",543)</f>
        <v/>
      </c>
      <c r="B548">
        <f>IF($P548="","",INDEX(명단표[이름],$P548))</f>
        <v/>
      </c>
      <c r="C548">
        <f>IF($P548="","",INDEX(명단표[사번],$P548)&amp;"")</f>
        <v/>
      </c>
      <c r="D548">
        <f>IF($P548="","",INDEX(명단표[전공의등록번호],$P548)&amp;"")</f>
        <v/>
      </c>
      <c r="E548">
        <f>IF($P548="","",INDEX(명단표[수련과목],$P548)&amp;"")</f>
        <v/>
      </c>
      <c r="F548">
        <f>IF($P548="","",INDEX(명단표[연차],$P548)&amp;"")</f>
        <v/>
      </c>
      <c r="G548">
        <f>IF($P548="","",INDEX(명단표[소속병원],$P548))</f>
        <v/>
      </c>
      <c r="H548">
        <f>IF($P548="","",IF(INDEX(명단표[소속병원],$P548)="서울병원","서울 소속","타 병원 소속("&amp;INDEX(명단표[소속병원],$P548)&amp;") → 서울 지급"))</f>
        <v/>
      </c>
      <c r="I548">
        <f>IF($P548="","",INDEX(명단표[현재 근무병원],$P548))</f>
        <v/>
      </c>
      <c r="J548">
        <f>IF($P548="","",INDEX(명단표[구리 근무 시작일(기준월)],$P548)&amp;"")</f>
        <v/>
      </c>
      <c r="K548">
        <f>IF($P548="","",INDEX(명단표[구리 근무 종료일(기준월)],$P548)&amp;"")</f>
        <v/>
      </c>
      <c r="L548">
        <f>IF($P548="","",INDEX(명단표[서울 근무일(기준월)],$P548))</f>
        <v/>
      </c>
      <c r="M548">
        <f>IF($P548="","",INDEX(명단표[구리 근무일(기준월)],$P548))</f>
        <v/>
      </c>
      <c r="N548">
        <f>IF($P548="","",INDEX(명단표[급여 판정 근거],$P548))</f>
        <v/>
      </c>
      <c r="O548">
        <f>IF($P548="","",INDEX(명단표[점검],$P548))</f>
        <v/>
      </c>
      <c r="P548" s="17">
        <f>IFERROR(MATCH(543,명단표[서울순번],0),"")</f>
        <v/>
      </c>
      <c r="R548">
        <f>IF($W548="","",INDEX(명단표[이름],$W548))</f>
        <v/>
      </c>
      <c r="S548">
        <f>IF($W548="","",INDEX(명단표[사번],$W548)&amp;"")</f>
        <v/>
      </c>
      <c r="T548">
        <f>IF($W548="","",INDEX(명단표[소속병원],$W548))</f>
        <v/>
      </c>
      <c r="U548">
        <f>IF($W548="","",INDEX(명단표[서울 근무일(기준월)],$W548))</f>
        <v/>
      </c>
      <c r="V548">
        <f>IF($W548="","",INDEX(명단표[구리 근무일(기준월)],$W548))</f>
        <v/>
      </c>
      <c r="W548" s="17">
        <f>IFERROR(MATCH(543,명단표[판정불가순번],0),"")</f>
        <v/>
      </c>
    </row>
    <row r="549">
      <c r="A549">
        <f>IF($P549="","",544)</f>
        <v/>
      </c>
      <c r="B549">
        <f>IF($P549="","",INDEX(명단표[이름],$P549))</f>
        <v/>
      </c>
      <c r="C549">
        <f>IF($P549="","",INDEX(명단표[사번],$P549)&amp;"")</f>
        <v/>
      </c>
      <c r="D549">
        <f>IF($P549="","",INDEX(명단표[전공의등록번호],$P549)&amp;"")</f>
        <v/>
      </c>
      <c r="E549">
        <f>IF($P549="","",INDEX(명단표[수련과목],$P549)&amp;"")</f>
        <v/>
      </c>
      <c r="F549">
        <f>IF($P549="","",INDEX(명단표[연차],$P549)&amp;"")</f>
        <v/>
      </c>
      <c r="G549">
        <f>IF($P549="","",INDEX(명단표[소속병원],$P549))</f>
        <v/>
      </c>
      <c r="H549">
        <f>IF($P549="","",IF(INDEX(명단표[소속병원],$P549)="서울병원","서울 소속","타 병원 소속("&amp;INDEX(명단표[소속병원],$P549)&amp;") → 서울 지급"))</f>
        <v/>
      </c>
      <c r="I549">
        <f>IF($P549="","",INDEX(명단표[현재 근무병원],$P549))</f>
        <v/>
      </c>
      <c r="J549">
        <f>IF($P549="","",INDEX(명단표[구리 근무 시작일(기준월)],$P549)&amp;"")</f>
        <v/>
      </c>
      <c r="K549">
        <f>IF($P549="","",INDEX(명단표[구리 근무 종료일(기준월)],$P549)&amp;"")</f>
        <v/>
      </c>
      <c r="L549">
        <f>IF($P549="","",INDEX(명단표[서울 근무일(기준월)],$P549))</f>
        <v/>
      </c>
      <c r="M549">
        <f>IF($P549="","",INDEX(명단표[구리 근무일(기준월)],$P549))</f>
        <v/>
      </c>
      <c r="N549">
        <f>IF($P549="","",INDEX(명단표[급여 판정 근거],$P549))</f>
        <v/>
      </c>
      <c r="O549">
        <f>IF($P549="","",INDEX(명단표[점검],$P549))</f>
        <v/>
      </c>
      <c r="P549" s="17">
        <f>IFERROR(MATCH(544,명단표[서울순번],0),"")</f>
        <v/>
      </c>
      <c r="R549">
        <f>IF($W549="","",INDEX(명단표[이름],$W549))</f>
        <v/>
      </c>
      <c r="S549">
        <f>IF($W549="","",INDEX(명단표[사번],$W549)&amp;"")</f>
        <v/>
      </c>
      <c r="T549">
        <f>IF($W549="","",INDEX(명단표[소속병원],$W549))</f>
        <v/>
      </c>
      <c r="U549">
        <f>IF($W549="","",INDEX(명단표[서울 근무일(기준월)],$W549))</f>
        <v/>
      </c>
      <c r="V549">
        <f>IF($W549="","",INDEX(명단표[구리 근무일(기준월)],$W549))</f>
        <v/>
      </c>
      <c r="W549" s="17">
        <f>IFERROR(MATCH(544,명단표[판정불가순번],0),"")</f>
        <v/>
      </c>
    </row>
    <row r="550">
      <c r="A550">
        <f>IF($P550="","",545)</f>
        <v/>
      </c>
      <c r="B550">
        <f>IF($P550="","",INDEX(명단표[이름],$P550))</f>
        <v/>
      </c>
      <c r="C550">
        <f>IF($P550="","",INDEX(명단표[사번],$P550)&amp;"")</f>
        <v/>
      </c>
      <c r="D550">
        <f>IF($P550="","",INDEX(명단표[전공의등록번호],$P550)&amp;"")</f>
        <v/>
      </c>
      <c r="E550">
        <f>IF($P550="","",INDEX(명단표[수련과목],$P550)&amp;"")</f>
        <v/>
      </c>
      <c r="F550">
        <f>IF($P550="","",INDEX(명단표[연차],$P550)&amp;"")</f>
        <v/>
      </c>
      <c r="G550">
        <f>IF($P550="","",INDEX(명단표[소속병원],$P550))</f>
        <v/>
      </c>
      <c r="H550">
        <f>IF($P550="","",IF(INDEX(명단표[소속병원],$P550)="서울병원","서울 소속","타 병원 소속("&amp;INDEX(명단표[소속병원],$P550)&amp;") → 서울 지급"))</f>
        <v/>
      </c>
      <c r="I550">
        <f>IF($P550="","",INDEX(명단표[현재 근무병원],$P550))</f>
        <v/>
      </c>
      <c r="J550">
        <f>IF($P550="","",INDEX(명단표[구리 근무 시작일(기준월)],$P550)&amp;"")</f>
        <v/>
      </c>
      <c r="K550">
        <f>IF($P550="","",INDEX(명단표[구리 근무 종료일(기준월)],$P550)&amp;"")</f>
        <v/>
      </c>
      <c r="L550">
        <f>IF($P550="","",INDEX(명단표[서울 근무일(기준월)],$P550))</f>
        <v/>
      </c>
      <c r="M550">
        <f>IF($P550="","",INDEX(명단표[구리 근무일(기준월)],$P550))</f>
        <v/>
      </c>
      <c r="N550">
        <f>IF($P550="","",INDEX(명단표[급여 판정 근거],$P550))</f>
        <v/>
      </c>
      <c r="O550">
        <f>IF($P550="","",INDEX(명단표[점검],$P550))</f>
        <v/>
      </c>
      <c r="P550" s="17">
        <f>IFERROR(MATCH(545,명단표[서울순번],0),"")</f>
        <v/>
      </c>
      <c r="R550">
        <f>IF($W550="","",INDEX(명단표[이름],$W550))</f>
        <v/>
      </c>
      <c r="S550">
        <f>IF($W550="","",INDEX(명단표[사번],$W550)&amp;"")</f>
        <v/>
      </c>
      <c r="T550">
        <f>IF($W550="","",INDEX(명단표[소속병원],$W550))</f>
        <v/>
      </c>
      <c r="U550">
        <f>IF($W550="","",INDEX(명단표[서울 근무일(기준월)],$W550))</f>
        <v/>
      </c>
      <c r="V550">
        <f>IF($W550="","",INDEX(명단표[구리 근무일(기준월)],$W550))</f>
        <v/>
      </c>
      <c r="W550" s="17">
        <f>IFERROR(MATCH(545,명단표[판정불가순번],0),"")</f>
        <v/>
      </c>
    </row>
    <row r="551">
      <c r="A551">
        <f>IF($P551="","",546)</f>
        <v/>
      </c>
      <c r="B551">
        <f>IF($P551="","",INDEX(명단표[이름],$P551))</f>
        <v/>
      </c>
      <c r="C551">
        <f>IF($P551="","",INDEX(명단표[사번],$P551)&amp;"")</f>
        <v/>
      </c>
      <c r="D551">
        <f>IF($P551="","",INDEX(명단표[전공의등록번호],$P551)&amp;"")</f>
        <v/>
      </c>
      <c r="E551">
        <f>IF($P551="","",INDEX(명단표[수련과목],$P551)&amp;"")</f>
        <v/>
      </c>
      <c r="F551">
        <f>IF($P551="","",INDEX(명단표[연차],$P551)&amp;"")</f>
        <v/>
      </c>
      <c r="G551">
        <f>IF($P551="","",INDEX(명단표[소속병원],$P551))</f>
        <v/>
      </c>
      <c r="H551">
        <f>IF($P551="","",IF(INDEX(명단표[소속병원],$P551)="서울병원","서울 소속","타 병원 소속("&amp;INDEX(명단표[소속병원],$P551)&amp;") → 서울 지급"))</f>
        <v/>
      </c>
      <c r="I551">
        <f>IF($P551="","",INDEX(명단표[현재 근무병원],$P551))</f>
        <v/>
      </c>
      <c r="J551">
        <f>IF($P551="","",INDEX(명단표[구리 근무 시작일(기준월)],$P551)&amp;"")</f>
        <v/>
      </c>
      <c r="K551">
        <f>IF($P551="","",INDEX(명단표[구리 근무 종료일(기준월)],$P551)&amp;"")</f>
        <v/>
      </c>
      <c r="L551">
        <f>IF($P551="","",INDEX(명단표[서울 근무일(기준월)],$P551))</f>
        <v/>
      </c>
      <c r="M551">
        <f>IF($P551="","",INDEX(명단표[구리 근무일(기준월)],$P551))</f>
        <v/>
      </c>
      <c r="N551">
        <f>IF($P551="","",INDEX(명단표[급여 판정 근거],$P551))</f>
        <v/>
      </c>
      <c r="O551">
        <f>IF($P551="","",INDEX(명단표[점검],$P551))</f>
        <v/>
      </c>
      <c r="P551" s="17">
        <f>IFERROR(MATCH(546,명단표[서울순번],0),"")</f>
        <v/>
      </c>
      <c r="R551">
        <f>IF($W551="","",INDEX(명단표[이름],$W551))</f>
        <v/>
      </c>
      <c r="S551">
        <f>IF($W551="","",INDEX(명단표[사번],$W551)&amp;"")</f>
        <v/>
      </c>
      <c r="T551">
        <f>IF($W551="","",INDEX(명단표[소속병원],$W551))</f>
        <v/>
      </c>
      <c r="U551">
        <f>IF($W551="","",INDEX(명단표[서울 근무일(기준월)],$W551))</f>
        <v/>
      </c>
      <c r="V551">
        <f>IF($W551="","",INDEX(명단표[구리 근무일(기준월)],$W551))</f>
        <v/>
      </c>
      <c r="W551" s="17">
        <f>IFERROR(MATCH(546,명단표[판정불가순번],0),"")</f>
        <v/>
      </c>
    </row>
    <row r="552">
      <c r="A552">
        <f>IF($P552="","",547)</f>
        <v/>
      </c>
      <c r="B552">
        <f>IF($P552="","",INDEX(명단표[이름],$P552))</f>
        <v/>
      </c>
      <c r="C552">
        <f>IF($P552="","",INDEX(명단표[사번],$P552)&amp;"")</f>
        <v/>
      </c>
      <c r="D552">
        <f>IF($P552="","",INDEX(명단표[전공의등록번호],$P552)&amp;"")</f>
        <v/>
      </c>
      <c r="E552">
        <f>IF($P552="","",INDEX(명단표[수련과목],$P552)&amp;"")</f>
        <v/>
      </c>
      <c r="F552">
        <f>IF($P552="","",INDEX(명단표[연차],$P552)&amp;"")</f>
        <v/>
      </c>
      <c r="G552">
        <f>IF($P552="","",INDEX(명단표[소속병원],$P552))</f>
        <v/>
      </c>
      <c r="H552">
        <f>IF($P552="","",IF(INDEX(명단표[소속병원],$P552)="서울병원","서울 소속","타 병원 소속("&amp;INDEX(명단표[소속병원],$P552)&amp;") → 서울 지급"))</f>
        <v/>
      </c>
      <c r="I552">
        <f>IF($P552="","",INDEX(명단표[현재 근무병원],$P552))</f>
        <v/>
      </c>
      <c r="J552">
        <f>IF($P552="","",INDEX(명단표[구리 근무 시작일(기준월)],$P552)&amp;"")</f>
        <v/>
      </c>
      <c r="K552">
        <f>IF($P552="","",INDEX(명단표[구리 근무 종료일(기준월)],$P552)&amp;"")</f>
        <v/>
      </c>
      <c r="L552">
        <f>IF($P552="","",INDEX(명단표[서울 근무일(기준월)],$P552))</f>
        <v/>
      </c>
      <c r="M552">
        <f>IF($P552="","",INDEX(명단표[구리 근무일(기준월)],$P552))</f>
        <v/>
      </c>
      <c r="N552">
        <f>IF($P552="","",INDEX(명단표[급여 판정 근거],$P552))</f>
        <v/>
      </c>
      <c r="O552">
        <f>IF($P552="","",INDEX(명단표[점검],$P552))</f>
        <v/>
      </c>
      <c r="P552" s="17">
        <f>IFERROR(MATCH(547,명단표[서울순번],0),"")</f>
        <v/>
      </c>
      <c r="R552">
        <f>IF($W552="","",INDEX(명단표[이름],$W552))</f>
        <v/>
      </c>
      <c r="S552">
        <f>IF($W552="","",INDEX(명단표[사번],$W552)&amp;"")</f>
        <v/>
      </c>
      <c r="T552">
        <f>IF($W552="","",INDEX(명단표[소속병원],$W552))</f>
        <v/>
      </c>
      <c r="U552">
        <f>IF($W552="","",INDEX(명단표[서울 근무일(기준월)],$W552))</f>
        <v/>
      </c>
      <c r="V552">
        <f>IF($W552="","",INDEX(명단표[구리 근무일(기준월)],$W552))</f>
        <v/>
      </c>
      <c r="W552" s="17">
        <f>IFERROR(MATCH(547,명단표[판정불가순번],0),"")</f>
        <v/>
      </c>
    </row>
    <row r="553">
      <c r="A553">
        <f>IF($P553="","",548)</f>
        <v/>
      </c>
      <c r="B553">
        <f>IF($P553="","",INDEX(명단표[이름],$P553))</f>
        <v/>
      </c>
      <c r="C553">
        <f>IF($P553="","",INDEX(명단표[사번],$P553)&amp;"")</f>
        <v/>
      </c>
      <c r="D553">
        <f>IF($P553="","",INDEX(명단표[전공의등록번호],$P553)&amp;"")</f>
        <v/>
      </c>
      <c r="E553">
        <f>IF($P553="","",INDEX(명단표[수련과목],$P553)&amp;"")</f>
        <v/>
      </c>
      <c r="F553">
        <f>IF($P553="","",INDEX(명단표[연차],$P553)&amp;"")</f>
        <v/>
      </c>
      <c r="G553">
        <f>IF($P553="","",INDEX(명단표[소속병원],$P553))</f>
        <v/>
      </c>
      <c r="H553">
        <f>IF($P553="","",IF(INDEX(명단표[소속병원],$P553)="서울병원","서울 소속","타 병원 소속("&amp;INDEX(명단표[소속병원],$P553)&amp;") → 서울 지급"))</f>
        <v/>
      </c>
      <c r="I553">
        <f>IF($P553="","",INDEX(명단표[현재 근무병원],$P553))</f>
        <v/>
      </c>
      <c r="J553">
        <f>IF($P553="","",INDEX(명단표[구리 근무 시작일(기준월)],$P553)&amp;"")</f>
        <v/>
      </c>
      <c r="K553">
        <f>IF($P553="","",INDEX(명단표[구리 근무 종료일(기준월)],$P553)&amp;"")</f>
        <v/>
      </c>
      <c r="L553">
        <f>IF($P553="","",INDEX(명단표[서울 근무일(기준월)],$P553))</f>
        <v/>
      </c>
      <c r="M553">
        <f>IF($P553="","",INDEX(명단표[구리 근무일(기준월)],$P553))</f>
        <v/>
      </c>
      <c r="N553">
        <f>IF($P553="","",INDEX(명단표[급여 판정 근거],$P553))</f>
        <v/>
      </c>
      <c r="O553">
        <f>IF($P553="","",INDEX(명단표[점검],$P553))</f>
        <v/>
      </c>
      <c r="P553" s="17">
        <f>IFERROR(MATCH(548,명단표[서울순번],0),"")</f>
        <v/>
      </c>
      <c r="R553">
        <f>IF($W553="","",INDEX(명단표[이름],$W553))</f>
        <v/>
      </c>
      <c r="S553">
        <f>IF($W553="","",INDEX(명단표[사번],$W553)&amp;"")</f>
        <v/>
      </c>
      <c r="T553">
        <f>IF($W553="","",INDEX(명단표[소속병원],$W553))</f>
        <v/>
      </c>
      <c r="U553">
        <f>IF($W553="","",INDEX(명단표[서울 근무일(기준월)],$W553))</f>
        <v/>
      </c>
      <c r="V553">
        <f>IF($W553="","",INDEX(명단표[구리 근무일(기준월)],$W553))</f>
        <v/>
      </c>
      <c r="W553" s="17">
        <f>IFERROR(MATCH(548,명단표[판정불가순번],0),"")</f>
        <v/>
      </c>
    </row>
    <row r="554">
      <c r="A554">
        <f>IF($P554="","",549)</f>
        <v/>
      </c>
      <c r="B554">
        <f>IF($P554="","",INDEX(명단표[이름],$P554))</f>
        <v/>
      </c>
      <c r="C554">
        <f>IF($P554="","",INDEX(명단표[사번],$P554)&amp;"")</f>
        <v/>
      </c>
      <c r="D554">
        <f>IF($P554="","",INDEX(명단표[전공의등록번호],$P554)&amp;"")</f>
        <v/>
      </c>
      <c r="E554">
        <f>IF($P554="","",INDEX(명단표[수련과목],$P554)&amp;"")</f>
        <v/>
      </c>
      <c r="F554">
        <f>IF($P554="","",INDEX(명단표[연차],$P554)&amp;"")</f>
        <v/>
      </c>
      <c r="G554">
        <f>IF($P554="","",INDEX(명단표[소속병원],$P554))</f>
        <v/>
      </c>
      <c r="H554">
        <f>IF($P554="","",IF(INDEX(명단표[소속병원],$P554)="서울병원","서울 소속","타 병원 소속("&amp;INDEX(명단표[소속병원],$P554)&amp;") → 서울 지급"))</f>
        <v/>
      </c>
      <c r="I554">
        <f>IF($P554="","",INDEX(명단표[현재 근무병원],$P554))</f>
        <v/>
      </c>
      <c r="J554">
        <f>IF($P554="","",INDEX(명단표[구리 근무 시작일(기준월)],$P554)&amp;"")</f>
        <v/>
      </c>
      <c r="K554">
        <f>IF($P554="","",INDEX(명단표[구리 근무 종료일(기준월)],$P554)&amp;"")</f>
        <v/>
      </c>
      <c r="L554">
        <f>IF($P554="","",INDEX(명단표[서울 근무일(기준월)],$P554))</f>
        <v/>
      </c>
      <c r="M554">
        <f>IF($P554="","",INDEX(명단표[구리 근무일(기준월)],$P554))</f>
        <v/>
      </c>
      <c r="N554">
        <f>IF($P554="","",INDEX(명단표[급여 판정 근거],$P554))</f>
        <v/>
      </c>
      <c r="O554">
        <f>IF($P554="","",INDEX(명단표[점검],$P554))</f>
        <v/>
      </c>
      <c r="P554" s="17">
        <f>IFERROR(MATCH(549,명단표[서울순번],0),"")</f>
        <v/>
      </c>
      <c r="R554">
        <f>IF($W554="","",INDEX(명단표[이름],$W554))</f>
        <v/>
      </c>
      <c r="S554">
        <f>IF($W554="","",INDEX(명단표[사번],$W554)&amp;"")</f>
        <v/>
      </c>
      <c r="T554">
        <f>IF($W554="","",INDEX(명단표[소속병원],$W554))</f>
        <v/>
      </c>
      <c r="U554">
        <f>IF($W554="","",INDEX(명단표[서울 근무일(기준월)],$W554))</f>
        <v/>
      </c>
      <c r="V554">
        <f>IF($W554="","",INDEX(명단표[구리 근무일(기준월)],$W554))</f>
        <v/>
      </c>
      <c r="W554" s="17">
        <f>IFERROR(MATCH(549,명단표[판정불가순번],0),"")</f>
        <v/>
      </c>
    </row>
    <row r="555">
      <c r="A555">
        <f>IF($P555="","",550)</f>
        <v/>
      </c>
      <c r="B555">
        <f>IF($P555="","",INDEX(명단표[이름],$P555))</f>
        <v/>
      </c>
      <c r="C555">
        <f>IF($P555="","",INDEX(명단표[사번],$P555)&amp;"")</f>
        <v/>
      </c>
      <c r="D555">
        <f>IF($P555="","",INDEX(명단표[전공의등록번호],$P555)&amp;"")</f>
        <v/>
      </c>
      <c r="E555">
        <f>IF($P555="","",INDEX(명단표[수련과목],$P555)&amp;"")</f>
        <v/>
      </c>
      <c r="F555">
        <f>IF($P555="","",INDEX(명단표[연차],$P555)&amp;"")</f>
        <v/>
      </c>
      <c r="G555">
        <f>IF($P555="","",INDEX(명단표[소속병원],$P555))</f>
        <v/>
      </c>
      <c r="H555">
        <f>IF($P555="","",IF(INDEX(명단표[소속병원],$P555)="서울병원","서울 소속","타 병원 소속("&amp;INDEX(명단표[소속병원],$P555)&amp;") → 서울 지급"))</f>
        <v/>
      </c>
      <c r="I555">
        <f>IF($P555="","",INDEX(명단표[현재 근무병원],$P555))</f>
        <v/>
      </c>
      <c r="J555">
        <f>IF($P555="","",INDEX(명단표[구리 근무 시작일(기준월)],$P555)&amp;"")</f>
        <v/>
      </c>
      <c r="K555">
        <f>IF($P555="","",INDEX(명단표[구리 근무 종료일(기준월)],$P555)&amp;"")</f>
        <v/>
      </c>
      <c r="L555">
        <f>IF($P555="","",INDEX(명단표[서울 근무일(기준월)],$P555))</f>
        <v/>
      </c>
      <c r="M555">
        <f>IF($P555="","",INDEX(명단표[구리 근무일(기준월)],$P555))</f>
        <v/>
      </c>
      <c r="N555">
        <f>IF($P555="","",INDEX(명단표[급여 판정 근거],$P555))</f>
        <v/>
      </c>
      <c r="O555">
        <f>IF($P555="","",INDEX(명단표[점검],$P555))</f>
        <v/>
      </c>
      <c r="P555" s="17">
        <f>IFERROR(MATCH(550,명단표[서울순번],0),"")</f>
        <v/>
      </c>
      <c r="R555">
        <f>IF($W555="","",INDEX(명단표[이름],$W555))</f>
        <v/>
      </c>
      <c r="S555">
        <f>IF($W555="","",INDEX(명단표[사번],$W555)&amp;"")</f>
        <v/>
      </c>
      <c r="T555">
        <f>IF($W555="","",INDEX(명단표[소속병원],$W555))</f>
        <v/>
      </c>
      <c r="U555">
        <f>IF($W555="","",INDEX(명단표[서울 근무일(기준월)],$W555))</f>
        <v/>
      </c>
      <c r="V555">
        <f>IF($W555="","",INDEX(명단표[구리 근무일(기준월)],$W555))</f>
        <v/>
      </c>
      <c r="W555" s="17">
        <f>IFERROR(MATCH(550,명단표[판정불가순번],0),"")</f>
        <v/>
      </c>
    </row>
    <row r="556">
      <c r="A556">
        <f>IF($P556="","",551)</f>
        <v/>
      </c>
      <c r="B556">
        <f>IF($P556="","",INDEX(명단표[이름],$P556))</f>
        <v/>
      </c>
      <c r="C556">
        <f>IF($P556="","",INDEX(명단표[사번],$P556)&amp;"")</f>
        <v/>
      </c>
      <c r="D556">
        <f>IF($P556="","",INDEX(명단표[전공의등록번호],$P556)&amp;"")</f>
        <v/>
      </c>
      <c r="E556">
        <f>IF($P556="","",INDEX(명단표[수련과목],$P556)&amp;"")</f>
        <v/>
      </c>
      <c r="F556">
        <f>IF($P556="","",INDEX(명단표[연차],$P556)&amp;"")</f>
        <v/>
      </c>
      <c r="G556">
        <f>IF($P556="","",INDEX(명단표[소속병원],$P556))</f>
        <v/>
      </c>
      <c r="H556">
        <f>IF($P556="","",IF(INDEX(명단표[소속병원],$P556)="서울병원","서울 소속","타 병원 소속("&amp;INDEX(명단표[소속병원],$P556)&amp;") → 서울 지급"))</f>
        <v/>
      </c>
      <c r="I556">
        <f>IF($P556="","",INDEX(명단표[현재 근무병원],$P556))</f>
        <v/>
      </c>
      <c r="J556">
        <f>IF($P556="","",INDEX(명단표[구리 근무 시작일(기준월)],$P556)&amp;"")</f>
        <v/>
      </c>
      <c r="K556">
        <f>IF($P556="","",INDEX(명단표[구리 근무 종료일(기준월)],$P556)&amp;"")</f>
        <v/>
      </c>
      <c r="L556">
        <f>IF($P556="","",INDEX(명단표[서울 근무일(기준월)],$P556))</f>
        <v/>
      </c>
      <c r="M556">
        <f>IF($P556="","",INDEX(명단표[구리 근무일(기준월)],$P556))</f>
        <v/>
      </c>
      <c r="N556">
        <f>IF($P556="","",INDEX(명단표[급여 판정 근거],$P556))</f>
        <v/>
      </c>
      <c r="O556">
        <f>IF($P556="","",INDEX(명단표[점검],$P556))</f>
        <v/>
      </c>
      <c r="P556" s="17">
        <f>IFERROR(MATCH(551,명단표[서울순번],0),"")</f>
        <v/>
      </c>
      <c r="R556">
        <f>IF($W556="","",INDEX(명단표[이름],$W556))</f>
        <v/>
      </c>
      <c r="S556">
        <f>IF($W556="","",INDEX(명단표[사번],$W556)&amp;"")</f>
        <v/>
      </c>
      <c r="T556">
        <f>IF($W556="","",INDEX(명단표[소속병원],$W556))</f>
        <v/>
      </c>
      <c r="U556">
        <f>IF($W556="","",INDEX(명단표[서울 근무일(기준월)],$W556))</f>
        <v/>
      </c>
      <c r="V556">
        <f>IF($W556="","",INDEX(명단표[구리 근무일(기준월)],$W556))</f>
        <v/>
      </c>
      <c r="W556" s="17">
        <f>IFERROR(MATCH(551,명단표[판정불가순번],0),"")</f>
        <v/>
      </c>
    </row>
    <row r="557">
      <c r="A557">
        <f>IF($P557="","",552)</f>
        <v/>
      </c>
      <c r="B557">
        <f>IF($P557="","",INDEX(명단표[이름],$P557))</f>
        <v/>
      </c>
      <c r="C557">
        <f>IF($P557="","",INDEX(명단표[사번],$P557)&amp;"")</f>
        <v/>
      </c>
      <c r="D557">
        <f>IF($P557="","",INDEX(명단표[전공의등록번호],$P557)&amp;"")</f>
        <v/>
      </c>
      <c r="E557">
        <f>IF($P557="","",INDEX(명단표[수련과목],$P557)&amp;"")</f>
        <v/>
      </c>
      <c r="F557">
        <f>IF($P557="","",INDEX(명단표[연차],$P557)&amp;"")</f>
        <v/>
      </c>
      <c r="G557">
        <f>IF($P557="","",INDEX(명단표[소속병원],$P557))</f>
        <v/>
      </c>
      <c r="H557">
        <f>IF($P557="","",IF(INDEX(명단표[소속병원],$P557)="서울병원","서울 소속","타 병원 소속("&amp;INDEX(명단표[소속병원],$P557)&amp;") → 서울 지급"))</f>
        <v/>
      </c>
      <c r="I557">
        <f>IF($P557="","",INDEX(명단표[현재 근무병원],$P557))</f>
        <v/>
      </c>
      <c r="J557">
        <f>IF($P557="","",INDEX(명단표[구리 근무 시작일(기준월)],$P557)&amp;"")</f>
        <v/>
      </c>
      <c r="K557">
        <f>IF($P557="","",INDEX(명단표[구리 근무 종료일(기준월)],$P557)&amp;"")</f>
        <v/>
      </c>
      <c r="L557">
        <f>IF($P557="","",INDEX(명단표[서울 근무일(기준월)],$P557))</f>
        <v/>
      </c>
      <c r="M557">
        <f>IF($P557="","",INDEX(명단표[구리 근무일(기준월)],$P557))</f>
        <v/>
      </c>
      <c r="N557">
        <f>IF($P557="","",INDEX(명단표[급여 판정 근거],$P557))</f>
        <v/>
      </c>
      <c r="O557">
        <f>IF($P557="","",INDEX(명단표[점검],$P557))</f>
        <v/>
      </c>
      <c r="P557" s="17">
        <f>IFERROR(MATCH(552,명단표[서울순번],0),"")</f>
        <v/>
      </c>
      <c r="R557">
        <f>IF($W557="","",INDEX(명단표[이름],$W557))</f>
        <v/>
      </c>
      <c r="S557">
        <f>IF($W557="","",INDEX(명단표[사번],$W557)&amp;"")</f>
        <v/>
      </c>
      <c r="T557">
        <f>IF($W557="","",INDEX(명단표[소속병원],$W557))</f>
        <v/>
      </c>
      <c r="U557">
        <f>IF($W557="","",INDEX(명단표[서울 근무일(기준월)],$W557))</f>
        <v/>
      </c>
      <c r="V557">
        <f>IF($W557="","",INDEX(명단표[구리 근무일(기준월)],$W557))</f>
        <v/>
      </c>
      <c r="W557" s="17">
        <f>IFERROR(MATCH(552,명단표[판정불가순번],0),"")</f>
        <v/>
      </c>
    </row>
    <row r="558">
      <c r="A558">
        <f>IF($P558="","",553)</f>
        <v/>
      </c>
      <c r="B558">
        <f>IF($P558="","",INDEX(명단표[이름],$P558))</f>
        <v/>
      </c>
      <c r="C558">
        <f>IF($P558="","",INDEX(명단표[사번],$P558)&amp;"")</f>
        <v/>
      </c>
      <c r="D558">
        <f>IF($P558="","",INDEX(명단표[전공의등록번호],$P558)&amp;"")</f>
        <v/>
      </c>
      <c r="E558">
        <f>IF($P558="","",INDEX(명단표[수련과목],$P558)&amp;"")</f>
        <v/>
      </c>
      <c r="F558">
        <f>IF($P558="","",INDEX(명단표[연차],$P558)&amp;"")</f>
        <v/>
      </c>
      <c r="G558">
        <f>IF($P558="","",INDEX(명단표[소속병원],$P558))</f>
        <v/>
      </c>
      <c r="H558">
        <f>IF($P558="","",IF(INDEX(명단표[소속병원],$P558)="서울병원","서울 소속","타 병원 소속("&amp;INDEX(명단표[소속병원],$P558)&amp;") → 서울 지급"))</f>
        <v/>
      </c>
      <c r="I558">
        <f>IF($P558="","",INDEX(명단표[현재 근무병원],$P558))</f>
        <v/>
      </c>
      <c r="J558">
        <f>IF($P558="","",INDEX(명단표[구리 근무 시작일(기준월)],$P558)&amp;"")</f>
        <v/>
      </c>
      <c r="K558">
        <f>IF($P558="","",INDEX(명단표[구리 근무 종료일(기준월)],$P558)&amp;"")</f>
        <v/>
      </c>
      <c r="L558">
        <f>IF($P558="","",INDEX(명단표[서울 근무일(기준월)],$P558))</f>
        <v/>
      </c>
      <c r="M558">
        <f>IF($P558="","",INDEX(명단표[구리 근무일(기준월)],$P558))</f>
        <v/>
      </c>
      <c r="N558">
        <f>IF($P558="","",INDEX(명단표[급여 판정 근거],$P558))</f>
        <v/>
      </c>
      <c r="O558">
        <f>IF($P558="","",INDEX(명단표[점검],$P558))</f>
        <v/>
      </c>
      <c r="P558" s="17">
        <f>IFERROR(MATCH(553,명단표[서울순번],0),"")</f>
        <v/>
      </c>
      <c r="R558">
        <f>IF($W558="","",INDEX(명단표[이름],$W558))</f>
        <v/>
      </c>
      <c r="S558">
        <f>IF($W558="","",INDEX(명단표[사번],$W558)&amp;"")</f>
        <v/>
      </c>
      <c r="T558">
        <f>IF($W558="","",INDEX(명단표[소속병원],$W558))</f>
        <v/>
      </c>
      <c r="U558">
        <f>IF($W558="","",INDEX(명단표[서울 근무일(기준월)],$W558))</f>
        <v/>
      </c>
      <c r="V558">
        <f>IF($W558="","",INDEX(명단표[구리 근무일(기준월)],$W558))</f>
        <v/>
      </c>
      <c r="W558" s="17">
        <f>IFERROR(MATCH(553,명단표[판정불가순번],0),"")</f>
        <v/>
      </c>
    </row>
    <row r="559">
      <c r="A559">
        <f>IF($P559="","",554)</f>
        <v/>
      </c>
      <c r="B559">
        <f>IF($P559="","",INDEX(명단표[이름],$P559))</f>
        <v/>
      </c>
      <c r="C559">
        <f>IF($P559="","",INDEX(명단표[사번],$P559)&amp;"")</f>
        <v/>
      </c>
      <c r="D559">
        <f>IF($P559="","",INDEX(명단표[전공의등록번호],$P559)&amp;"")</f>
        <v/>
      </c>
      <c r="E559">
        <f>IF($P559="","",INDEX(명단표[수련과목],$P559)&amp;"")</f>
        <v/>
      </c>
      <c r="F559">
        <f>IF($P559="","",INDEX(명단표[연차],$P559)&amp;"")</f>
        <v/>
      </c>
      <c r="G559">
        <f>IF($P559="","",INDEX(명단표[소속병원],$P559))</f>
        <v/>
      </c>
      <c r="H559">
        <f>IF($P559="","",IF(INDEX(명단표[소속병원],$P559)="서울병원","서울 소속","타 병원 소속("&amp;INDEX(명단표[소속병원],$P559)&amp;") → 서울 지급"))</f>
        <v/>
      </c>
      <c r="I559">
        <f>IF($P559="","",INDEX(명단표[현재 근무병원],$P559))</f>
        <v/>
      </c>
      <c r="J559">
        <f>IF($P559="","",INDEX(명단표[구리 근무 시작일(기준월)],$P559)&amp;"")</f>
        <v/>
      </c>
      <c r="K559">
        <f>IF($P559="","",INDEX(명단표[구리 근무 종료일(기준월)],$P559)&amp;"")</f>
        <v/>
      </c>
      <c r="L559">
        <f>IF($P559="","",INDEX(명단표[서울 근무일(기준월)],$P559))</f>
        <v/>
      </c>
      <c r="M559">
        <f>IF($P559="","",INDEX(명단표[구리 근무일(기준월)],$P559))</f>
        <v/>
      </c>
      <c r="N559">
        <f>IF($P559="","",INDEX(명단표[급여 판정 근거],$P559))</f>
        <v/>
      </c>
      <c r="O559">
        <f>IF($P559="","",INDEX(명단표[점검],$P559))</f>
        <v/>
      </c>
      <c r="P559" s="17">
        <f>IFERROR(MATCH(554,명단표[서울순번],0),"")</f>
        <v/>
      </c>
      <c r="R559">
        <f>IF($W559="","",INDEX(명단표[이름],$W559))</f>
        <v/>
      </c>
      <c r="S559">
        <f>IF($W559="","",INDEX(명단표[사번],$W559)&amp;"")</f>
        <v/>
      </c>
      <c r="T559">
        <f>IF($W559="","",INDEX(명단표[소속병원],$W559))</f>
        <v/>
      </c>
      <c r="U559">
        <f>IF($W559="","",INDEX(명단표[서울 근무일(기준월)],$W559))</f>
        <v/>
      </c>
      <c r="V559">
        <f>IF($W559="","",INDEX(명단표[구리 근무일(기준월)],$W559))</f>
        <v/>
      </c>
      <c r="W559" s="17">
        <f>IFERROR(MATCH(554,명단표[판정불가순번],0),"")</f>
        <v/>
      </c>
    </row>
    <row r="560">
      <c r="A560">
        <f>IF($P560="","",555)</f>
        <v/>
      </c>
      <c r="B560">
        <f>IF($P560="","",INDEX(명단표[이름],$P560))</f>
        <v/>
      </c>
      <c r="C560">
        <f>IF($P560="","",INDEX(명단표[사번],$P560)&amp;"")</f>
        <v/>
      </c>
      <c r="D560">
        <f>IF($P560="","",INDEX(명단표[전공의등록번호],$P560)&amp;"")</f>
        <v/>
      </c>
      <c r="E560">
        <f>IF($P560="","",INDEX(명단표[수련과목],$P560)&amp;"")</f>
        <v/>
      </c>
      <c r="F560">
        <f>IF($P560="","",INDEX(명단표[연차],$P560)&amp;"")</f>
        <v/>
      </c>
      <c r="G560">
        <f>IF($P560="","",INDEX(명단표[소속병원],$P560))</f>
        <v/>
      </c>
      <c r="H560">
        <f>IF($P560="","",IF(INDEX(명단표[소속병원],$P560)="서울병원","서울 소속","타 병원 소속("&amp;INDEX(명단표[소속병원],$P560)&amp;") → 서울 지급"))</f>
        <v/>
      </c>
      <c r="I560">
        <f>IF($P560="","",INDEX(명단표[현재 근무병원],$P560))</f>
        <v/>
      </c>
      <c r="J560">
        <f>IF($P560="","",INDEX(명단표[구리 근무 시작일(기준월)],$P560)&amp;"")</f>
        <v/>
      </c>
      <c r="K560">
        <f>IF($P560="","",INDEX(명단표[구리 근무 종료일(기준월)],$P560)&amp;"")</f>
        <v/>
      </c>
      <c r="L560">
        <f>IF($P560="","",INDEX(명단표[서울 근무일(기준월)],$P560))</f>
        <v/>
      </c>
      <c r="M560">
        <f>IF($P560="","",INDEX(명단표[구리 근무일(기준월)],$P560))</f>
        <v/>
      </c>
      <c r="N560">
        <f>IF($P560="","",INDEX(명단표[급여 판정 근거],$P560))</f>
        <v/>
      </c>
      <c r="O560">
        <f>IF($P560="","",INDEX(명단표[점검],$P560))</f>
        <v/>
      </c>
      <c r="P560" s="17">
        <f>IFERROR(MATCH(555,명단표[서울순번],0),"")</f>
        <v/>
      </c>
      <c r="R560">
        <f>IF($W560="","",INDEX(명단표[이름],$W560))</f>
        <v/>
      </c>
      <c r="S560">
        <f>IF($W560="","",INDEX(명단표[사번],$W560)&amp;"")</f>
        <v/>
      </c>
      <c r="T560">
        <f>IF($W560="","",INDEX(명단표[소속병원],$W560))</f>
        <v/>
      </c>
      <c r="U560">
        <f>IF($W560="","",INDEX(명단표[서울 근무일(기준월)],$W560))</f>
        <v/>
      </c>
      <c r="V560">
        <f>IF($W560="","",INDEX(명단표[구리 근무일(기준월)],$W560))</f>
        <v/>
      </c>
      <c r="W560" s="17">
        <f>IFERROR(MATCH(555,명단표[판정불가순번],0),"")</f>
        <v/>
      </c>
    </row>
    <row r="561">
      <c r="A561">
        <f>IF($P561="","",556)</f>
        <v/>
      </c>
      <c r="B561">
        <f>IF($P561="","",INDEX(명단표[이름],$P561))</f>
        <v/>
      </c>
      <c r="C561">
        <f>IF($P561="","",INDEX(명단표[사번],$P561)&amp;"")</f>
        <v/>
      </c>
      <c r="D561">
        <f>IF($P561="","",INDEX(명단표[전공의등록번호],$P561)&amp;"")</f>
        <v/>
      </c>
      <c r="E561">
        <f>IF($P561="","",INDEX(명단표[수련과목],$P561)&amp;"")</f>
        <v/>
      </c>
      <c r="F561">
        <f>IF($P561="","",INDEX(명단표[연차],$P561)&amp;"")</f>
        <v/>
      </c>
      <c r="G561">
        <f>IF($P561="","",INDEX(명단표[소속병원],$P561))</f>
        <v/>
      </c>
      <c r="H561">
        <f>IF($P561="","",IF(INDEX(명단표[소속병원],$P561)="서울병원","서울 소속","타 병원 소속("&amp;INDEX(명단표[소속병원],$P561)&amp;") → 서울 지급"))</f>
        <v/>
      </c>
      <c r="I561">
        <f>IF($P561="","",INDEX(명단표[현재 근무병원],$P561))</f>
        <v/>
      </c>
      <c r="J561">
        <f>IF($P561="","",INDEX(명단표[구리 근무 시작일(기준월)],$P561)&amp;"")</f>
        <v/>
      </c>
      <c r="K561">
        <f>IF($P561="","",INDEX(명단표[구리 근무 종료일(기준월)],$P561)&amp;"")</f>
        <v/>
      </c>
      <c r="L561">
        <f>IF($P561="","",INDEX(명단표[서울 근무일(기준월)],$P561))</f>
        <v/>
      </c>
      <c r="M561">
        <f>IF($P561="","",INDEX(명단표[구리 근무일(기준월)],$P561))</f>
        <v/>
      </c>
      <c r="N561">
        <f>IF($P561="","",INDEX(명단표[급여 판정 근거],$P561))</f>
        <v/>
      </c>
      <c r="O561">
        <f>IF($P561="","",INDEX(명단표[점검],$P561))</f>
        <v/>
      </c>
      <c r="P561" s="17">
        <f>IFERROR(MATCH(556,명단표[서울순번],0),"")</f>
        <v/>
      </c>
      <c r="R561">
        <f>IF($W561="","",INDEX(명단표[이름],$W561))</f>
        <v/>
      </c>
      <c r="S561">
        <f>IF($W561="","",INDEX(명단표[사번],$W561)&amp;"")</f>
        <v/>
      </c>
      <c r="T561">
        <f>IF($W561="","",INDEX(명단표[소속병원],$W561))</f>
        <v/>
      </c>
      <c r="U561">
        <f>IF($W561="","",INDEX(명단표[서울 근무일(기준월)],$W561))</f>
        <v/>
      </c>
      <c r="V561">
        <f>IF($W561="","",INDEX(명단표[구리 근무일(기준월)],$W561))</f>
        <v/>
      </c>
      <c r="W561" s="17">
        <f>IFERROR(MATCH(556,명단표[판정불가순번],0),"")</f>
        <v/>
      </c>
    </row>
    <row r="562">
      <c r="A562">
        <f>IF($P562="","",557)</f>
        <v/>
      </c>
      <c r="B562">
        <f>IF($P562="","",INDEX(명단표[이름],$P562))</f>
        <v/>
      </c>
      <c r="C562">
        <f>IF($P562="","",INDEX(명단표[사번],$P562)&amp;"")</f>
        <v/>
      </c>
      <c r="D562">
        <f>IF($P562="","",INDEX(명단표[전공의등록번호],$P562)&amp;"")</f>
        <v/>
      </c>
      <c r="E562">
        <f>IF($P562="","",INDEX(명단표[수련과목],$P562)&amp;"")</f>
        <v/>
      </c>
      <c r="F562">
        <f>IF($P562="","",INDEX(명단표[연차],$P562)&amp;"")</f>
        <v/>
      </c>
      <c r="G562">
        <f>IF($P562="","",INDEX(명단표[소속병원],$P562))</f>
        <v/>
      </c>
      <c r="H562">
        <f>IF($P562="","",IF(INDEX(명단표[소속병원],$P562)="서울병원","서울 소속","타 병원 소속("&amp;INDEX(명단표[소속병원],$P562)&amp;") → 서울 지급"))</f>
        <v/>
      </c>
      <c r="I562">
        <f>IF($P562="","",INDEX(명단표[현재 근무병원],$P562))</f>
        <v/>
      </c>
      <c r="J562">
        <f>IF($P562="","",INDEX(명단표[구리 근무 시작일(기준월)],$P562)&amp;"")</f>
        <v/>
      </c>
      <c r="K562">
        <f>IF($P562="","",INDEX(명단표[구리 근무 종료일(기준월)],$P562)&amp;"")</f>
        <v/>
      </c>
      <c r="L562">
        <f>IF($P562="","",INDEX(명단표[서울 근무일(기준월)],$P562))</f>
        <v/>
      </c>
      <c r="M562">
        <f>IF($P562="","",INDEX(명단표[구리 근무일(기준월)],$P562))</f>
        <v/>
      </c>
      <c r="N562">
        <f>IF($P562="","",INDEX(명단표[급여 판정 근거],$P562))</f>
        <v/>
      </c>
      <c r="O562">
        <f>IF($P562="","",INDEX(명단표[점검],$P562))</f>
        <v/>
      </c>
      <c r="P562" s="17">
        <f>IFERROR(MATCH(557,명단표[서울순번],0),"")</f>
        <v/>
      </c>
      <c r="R562">
        <f>IF($W562="","",INDEX(명단표[이름],$W562))</f>
        <v/>
      </c>
      <c r="S562">
        <f>IF($W562="","",INDEX(명단표[사번],$W562)&amp;"")</f>
        <v/>
      </c>
      <c r="T562">
        <f>IF($W562="","",INDEX(명단표[소속병원],$W562))</f>
        <v/>
      </c>
      <c r="U562">
        <f>IF($W562="","",INDEX(명단표[서울 근무일(기준월)],$W562))</f>
        <v/>
      </c>
      <c r="V562">
        <f>IF($W562="","",INDEX(명단표[구리 근무일(기준월)],$W562))</f>
        <v/>
      </c>
      <c r="W562" s="17">
        <f>IFERROR(MATCH(557,명단표[판정불가순번],0),"")</f>
        <v/>
      </c>
    </row>
    <row r="563">
      <c r="A563">
        <f>IF($P563="","",558)</f>
        <v/>
      </c>
      <c r="B563">
        <f>IF($P563="","",INDEX(명단표[이름],$P563))</f>
        <v/>
      </c>
      <c r="C563">
        <f>IF($P563="","",INDEX(명단표[사번],$P563)&amp;"")</f>
        <v/>
      </c>
      <c r="D563">
        <f>IF($P563="","",INDEX(명단표[전공의등록번호],$P563)&amp;"")</f>
        <v/>
      </c>
      <c r="E563">
        <f>IF($P563="","",INDEX(명단표[수련과목],$P563)&amp;"")</f>
        <v/>
      </c>
      <c r="F563">
        <f>IF($P563="","",INDEX(명단표[연차],$P563)&amp;"")</f>
        <v/>
      </c>
      <c r="G563">
        <f>IF($P563="","",INDEX(명단표[소속병원],$P563))</f>
        <v/>
      </c>
      <c r="H563">
        <f>IF($P563="","",IF(INDEX(명단표[소속병원],$P563)="서울병원","서울 소속","타 병원 소속("&amp;INDEX(명단표[소속병원],$P563)&amp;") → 서울 지급"))</f>
        <v/>
      </c>
      <c r="I563">
        <f>IF($P563="","",INDEX(명단표[현재 근무병원],$P563))</f>
        <v/>
      </c>
      <c r="J563">
        <f>IF($P563="","",INDEX(명단표[구리 근무 시작일(기준월)],$P563)&amp;"")</f>
        <v/>
      </c>
      <c r="K563">
        <f>IF($P563="","",INDEX(명단표[구리 근무 종료일(기준월)],$P563)&amp;"")</f>
        <v/>
      </c>
      <c r="L563">
        <f>IF($P563="","",INDEX(명단표[서울 근무일(기준월)],$P563))</f>
        <v/>
      </c>
      <c r="M563">
        <f>IF($P563="","",INDEX(명단표[구리 근무일(기준월)],$P563))</f>
        <v/>
      </c>
      <c r="N563">
        <f>IF($P563="","",INDEX(명단표[급여 판정 근거],$P563))</f>
        <v/>
      </c>
      <c r="O563">
        <f>IF($P563="","",INDEX(명단표[점검],$P563))</f>
        <v/>
      </c>
      <c r="P563" s="17">
        <f>IFERROR(MATCH(558,명단표[서울순번],0),"")</f>
        <v/>
      </c>
      <c r="R563">
        <f>IF($W563="","",INDEX(명단표[이름],$W563))</f>
        <v/>
      </c>
      <c r="S563">
        <f>IF($W563="","",INDEX(명단표[사번],$W563)&amp;"")</f>
        <v/>
      </c>
      <c r="T563">
        <f>IF($W563="","",INDEX(명단표[소속병원],$W563))</f>
        <v/>
      </c>
      <c r="U563">
        <f>IF($W563="","",INDEX(명단표[서울 근무일(기준월)],$W563))</f>
        <v/>
      </c>
      <c r="V563">
        <f>IF($W563="","",INDEX(명단표[구리 근무일(기준월)],$W563))</f>
        <v/>
      </c>
      <c r="W563" s="17">
        <f>IFERROR(MATCH(558,명단표[판정불가순번],0),"")</f>
        <v/>
      </c>
    </row>
    <row r="564">
      <c r="A564">
        <f>IF($P564="","",559)</f>
        <v/>
      </c>
      <c r="B564">
        <f>IF($P564="","",INDEX(명단표[이름],$P564))</f>
        <v/>
      </c>
      <c r="C564">
        <f>IF($P564="","",INDEX(명단표[사번],$P564)&amp;"")</f>
        <v/>
      </c>
      <c r="D564">
        <f>IF($P564="","",INDEX(명단표[전공의등록번호],$P564)&amp;"")</f>
        <v/>
      </c>
      <c r="E564">
        <f>IF($P564="","",INDEX(명단표[수련과목],$P564)&amp;"")</f>
        <v/>
      </c>
      <c r="F564">
        <f>IF($P564="","",INDEX(명단표[연차],$P564)&amp;"")</f>
        <v/>
      </c>
      <c r="G564">
        <f>IF($P564="","",INDEX(명단표[소속병원],$P564))</f>
        <v/>
      </c>
      <c r="H564">
        <f>IF($P564="","",IF(INDEX(명단표[소속병원],$P564)="서울병원","서울 소속","타 병원 소속("&amp;INDEX(명단표[소속병원],$P564)&amp;") → 서울 지급"))</f>
        <v/>
      </c>
      <c r="I564">
        <f>IF($P564="","",INDEX(명단표[현재 근무병원],$P564))</f>
        <v/>
      </c>
      <c r="J564">
        <f>IF($P564="","",INDEX(명단표[구리 근무 시작일(기준월)],$P564)&amp;"")</f>
        <v/>
      </c>
      <c r="K564">
        <f>IF($P564="","",INDEX(명단표[구리 근무 종료일(기준월)],$P564)&amp;"")</f>
        <v/>
      </c>
      <c r="L564">
        <f>IF($P564="","",INDEX(명단표[서울 근무일(기준월)],$P564))</f>
        <v/>
      </c>
      <c r="M564">
        <f>IF($P564="","",INDEX(명단표[구리 근무일(기준월)],$P564))</f>
        <v/>
      </c>
      <c r="N564">
        <f>IF($P564="","",INDEX(명단표[급여 판정 근거],$P564))</f>
        <v/>
      </c>
      <c r="O564">
        <f>IF($P564="","",INDEX(명단표[점검],$P564))</f>
        <v/>
      </c>
      <c r="P564" s="17">
        <f>IFERROR(MATCH(559,명단표[서울순번],0),"")</f>
        <v/>
      </c>
      <c r="R564">
        <f>IF($W564="","",INDEX(명단표[이름],$W564))</f>
        <v/>
      </c>
      <c r="S564">
        <f>IF($W564="","",INDEX(명단표[사번],$W564)&amp;"")</f>
        <v/>
      </c>
      <c r="T564">
        <f>IF($W564="","",INDEX(명단표[소속병원],$W564))</f>
        <v/>
      </c>
      <c r="U564">
        <f>IF($W564="","",INDEX(명단표[서울 근무일(기준월)],$W564))</f>
        <v/>
      </c>
      <c r="V564">
        <f>IF($W564="","",INDEX(명단표[구리 근무일(기준월)],$W564))</f>
        <v/>
      </c>
      <c r="W564" s="17">
        <f>IFERROR(MATCH(559,명단표[판정불가순번],0),"")</f>
        <v/>
      </c>
    </row>
    <row r="565">
      <c r="A565">
        <f>IF($P565="","",560)</f>
        <v/>
      </c>
      <c r="B565">
        <f>IF($P565="","",INDEX(명단표[이름],$P565))</f>
        <v/>
      </c>
      <c r="C565">
        <f>IF($P565="","",INDEX(명단표[사번],$P565)&amp;"")</f>
        <v/>
      </c>
      <c r="D565">
        <f>IF($P565="","",INDEX(명단표[전공의등록번호],$P565)&amp;"")</f>
        <v/>
      </c>
      <c r="E565">
        <f>IF($P565="","",INDEX(명단표[수련과목],$P565)&amp;"")</f>
        <v/>
      </c>
      <c r="F565">
        <f>IF($P565="","",INDEX(명단표[연차],$P565)&amp;"")</f>
        <v/>
      </c>
      <c r="G565">
        <f>IF($P565="","",INDEX(명단표[소속병원],$P565))</f>
        <v/>
      </c>
      <c r="H565">
        <f>IF($P565="","",IF(INDEX(명단표[소속병원],$P565)="서울병원","서울 소속","타 병원 소속("&amp;INDEX(명단표[소속병원],$P565)&amp;") → 서울 지급"))</f>
        <v/>
      </c>
      <c r="I565">
        <f>IF($P565="","",INDEX(명단표[현재 근무병원],$P565))</f>
        <v/>
      </c>
      <c r="J565">
        <f>IF($P565="","",INDEX(명단표[구리 근무 시작일(기준월)],$P565)&amp;"")</f>
        <v/>
      </c>
      <c r="K565">
        <f>IF($P565="","",INDEX(명단표[구리 근무 종료일(기준월)],$P565)&amp;"")</f>
        <v/>
      </c>
      <c r="L565">
        <f>IF($P565="","",INDEX(명단표[서울 근무일(기준월)],$P565))</f>
        <v/>
      </c>
      <c r="M565">
        <f>IF($P565="","",INDEX(명단표[구리 근무일(기준월)],$P565))</f>
        <v/>
      </c>
      <c r="N565">
        <f>IF($P565="","",INDEX(명단표[급여 판정 근거],$P565))</f>
        <v/>
      </c>
      <c r="O565">
        <f>IF($P565="","",INDEX(명단표[점검],$P565))</f>
        <v/>
      </c>
      <c r="P565" s="17">
        <f>IFERROR(MATCH(560,명단표[서울순번],0),"")</f>
        <v/>
      </c>
      <c r="R565">
        <f>IF($W565="","",INDEX(명단표[이름],$W565))</f>
        <v/>
      </c>
      <c r="S565">
        <f>IF($W565="","",INDEX(명단표[사번],$W565)&amp;"")</f>
        <v/>
      </c>
      <c r="T565">
        <f>IF($W565="","",INDEX(명단표[소속병원],$W565))</f>
        <v/>
      </c>
      <c r="U565">
        <f>IF($W565="","",INDEX(명단표[서울 근무일(기준월)],$W565))</f>
        <v/>
      </c>
      <c r="V565">
        <f>IF($W565="","",INDEX(명단표[구리 근무일(기준월)],$W565))</f>
        <v/>
      </c>
      <c r="W565" s="17">
        <f>IFERROR(MATCH(560,명단표[판정불가순번],0),"")</f>
        <v/>
      </c>
    </row>
    <row r="566">
      <c r="A566">
        <f>IF($P566="","",561)</f>
        <v/>
      </c>
      <c r="B566">
        <f>IF($P566="","",INDEX(명단표[이름],$P566))</f>
        <v/>
      </c>
      <c r="C566">
        <f>IF($P566="","",INDEX(명단표[사번],$P566)&amp;"")</f>
        <v/>
      </c>
      <c r="D566">
        <f>IF($P566="","",INDEX(명단표[전공의등록번호],$P566)&amp;"")</f>
        <v/>
      </c>
      <c r="E566">
        <f>IF($P566="","",INDEX(명단표[수련과목],$P566)&amp;"")</f>
        <v/>
      </c>
      <c r="F566">
        <f>IF($P566="","",INDEX(명단표[연차],$P566)&amp;"")</f>
        <v/>
      </c>
      <c r="G566">
        <f>IF($P566="","",INDEX(명단표[소속병원],$P566))</f>
        <v/>
      </c>
      <c r="H566">
        <f>IF($P566="","",IF(INDEX(명단표[소속병원],$P566)="서울병원","서울 소속","타 병원 소속("&amp;INDEX(명단표[소속병원],$P566)&amp;") → 서울 지급"))</f>
        <v/>
      </c>
      <c r="I566">
        <f>IF($P566="","",INDEX(명단표[현재 근무병원],$P566))</f>
        <v/>
      </c>
      <c r="J566">
        <f>IF($P566="","",INDEX(명단표[구리 근무 시작일(기준월)],$P566)&amp;"")</f>
        <v/>
      </c>
      <c r="K566">
        <f>IF($P566="","",INDEX(명단표[구리 근무 종료일(기준월)],$P566)&amp;"")</f>
        <v/>
      </c>
      <c r="L566">
        <f>IF($P566="","",INDEX(명단표[서울 근무일(기준월)],$P566))</f>
        <v/>
      </c>
      <c r="M566">
        <f>IF($P566="","",INDEX(명단표[구리 근무일(기준월)],$P566))</f>
        <v/>
      </c>
      <c r="N566">
        <f>IF($P566="","",INDEX(명단표[급여 판정 근거],$P566))</f>
        <v/>
      </c>
      <c r="O566">
        <f>IF($P566="","",INDEX(명단표[점검],$P566))</f>
        <v/>
      </c>
      <c r="P566" s="17">
        <f>IFERROR(MATCH(561,명단표[서울순번],0),"")</f>
        <v/>
      </c>
      <c r="R566">
        <f>IF($W566="","",INDEX(명단표[이름],$W566))</f>
        <v/>
      </c>
      <c r="S566">
        <f>IF($W566="","",INDEX(명단표[사번],$W566)&amp;"")</f>
        <v/>
      </c>
      <c r="T566">
        <f>IF($W566="","",INDEX(명단표[소속병원],$W566))</f>
        <v/>
      </c>
      <c r="U566">
        <f>IF($W566="","",INDEX(명단표[서울 근무일(기준월)],$W566))</f>
        <v/>
      </c>
      <c r="V566">
        <f>IF($W566="","",INDEX(명단표[구리 근무일(기준월)],$W566))</f>
        <v/>
      </c>
      <c r="W566" s="17">
        <f>IFERROR(MATCH(561,명단표[판정불가순번],0),"")</f>
        <v/>
      </c>
    </row>
    <row r="567">
      <c r="A567">
        <f>IF($P567="","",562)</f>
        <v/>
      </c>
      <c r="B567">
        <f>IF($P567="","",INDEX(명단표[이름],$P567))</f>
        <v/>
      </c>
      <c r="C567">
        <f>IF($P567="","",INDEX(명단표[사번],$P567)&amp;"")</f>
        <v/>
      </c>
      <c r="D567">
        <f>IF($P567="","",INDEX(명단표[전공의등록번호],$P567)&amp;"")</f>
        <v/>
      </c>
      <c r="E567">
        <f>IF($P567="","",INDEX(명단표[수련과목],$P567)&amp;"")</f>
        <v/>
      </c>
      <c r="F567">
        <f>IF($P567="","",INDEX(명단표[연차],$P567)&amp;"")</f>
        <v/>
      </c>
      <c r="G567">
        <f>IF($P567="","",INDEX(명단표[소속병원],$P567))</f>
        <v/>
      </c>
      <c r="H567">
        <f>IF($P567="","",IF(INDEX(명단표[소속병원],$P567)="서울병원","서울 소속","타 병원 소속("&amp;INDEX(명단표[소속병원],$P567)&amp;") → 서울 지급"))</f>
        <v/>
      </c>
      <c r="I567">
        <f>IF($P567="","",INDEX(명단표[현재 근무병원],$P567))</f>
        <v/>
      </c>
      <c r="J567">
        <f>IF($P567="","",INDEX(명단표[구리 근무 시작일(기준월)],$P567)&amp;"")</f>
        <v/>
      </c>
      <c r="K567">
        <f>IF($P567="","",INDEX(명단표[구리 근무 종료일(기준월)],$P567)&amp;"")</f>
        <v/>
      </c>
      <c r="L567">
        <f>IF($P567="","",INDEX(명단표[서울 근무일(기준월)],$P567))</f>
        <v/>
      </c>
      <c r="M567">
        <f>IF($P567="","",INDEX(명단표[구리 근무일(기준월)],$P567))</f>
        <v/>
      </c>
      <c r="N567">
        <f>IF($P567="","",INDEX(명단표[급여 판정 근거],$P567))</f>
        <v/>
      </c>
      <c r="O567">
        <f>IF($P567="","",INDEX(명단표[점검],$P567))</f>
        <v/>
      </c>
      <c r="P567" s="17">
        <f>IFERROR(MATCH(562,명단표[서울순번],0),"")</f>
        <v/>
      </c>
      <c r="R567">
        <f>IF($W567="","",INDEX(명단표[이름],$W567))</f>
        <v/>
      </c>
      <c r="S567">
        <f>IF($W567="","",INDEX(명단표[사번],$W567)&amp;"")</f>
        <v/>
      </c>
      <c r="T567">
        <f>IF($W567="","",INDEX(명단표[소속병원],$W567))</f>
        <v/>
      </c>
      <c r="U567">
        <f>IF($W567="","",INDEX(명단표[서울 근무일(기준월)],$W567))</f>
        <v/>
      </c>
      <c r="V567">
        <f>IF($W567="","",INDEX(명단표[구리 근무일(기준월)],$W567))</f>
        <v/>
      </c>
      <c r="W567" s="17">
        <f>IFERROR(MATCH(562,명단표[판정불가순번],0),"")</f>
        <v/>
      </c>
    </row>
    <row r="568">
      <c r="A568">
        <f>IF($P568="","",563)</f>
        <v/>
      </c>
      <c r="B568">
        <f>IF($P568="","",INDEX(명단표[이름],$P568))</f>
        <v/>
      </c>
      <c r="C568">
        <f>IF($P568="","",INDEX(명단표[사번],$P568)&amp;"")</f>
        <v/>
      </c>
      <c r="D568">
        <f>IF($P568="","",INDEX(명단표[전공의등록번호],$P568)&amp;"")</f>
        <v/>
      </c>
      <c r="E568">
        <f>IF($P568="","",INDEX(명단표[수련과목],$P568)&amp;"")</f>
        <v/>
      </c>
      <c r="F568">
        <f>IF($P568="","",INDEX(명단표[연차],$P568)&amp;"")</f>
        <v/>
      </c>
      <c r="G568">
        <f>IF($P568="","",INDEX(명단표[소속병원],$P568))</f>
        <v/>
      </c>
      <c r="H568">
        <f>IF($P568="","",IF(INDEX(명단표[소속병원],$P568)="서울병원","서울 소속","타 병원 소속("&amp;INDEX(명단표[소속병원],$P568)&amp;") → 서울 지급"))</f>
        <v/>
      </c>
      <c r="I568">
        <f>IF($P568="","",INDEX(명단표[현재 근무병원],$P568))</f>
        <v/>
      </c>
      <c r="J568">
        <f>IF($P568="","",INDEX(명단표[구리 근무 시작일(기준월)],$P568)&amp;"")</f>
        <v/>
      </c>
      <c r="K568">
        <f>IF($P568="","",INDEX(명단표[구리 근무 종료일(기준월)],$P568)&amp;"")</f>
        <v/>
      </c>
      <c r="L568">
        <f>IF($P568="","",INDEX(명단표[서울 근무일(기준월)],$P568))</f>
        <v/>
      </c>
      <c r="M568">
        <f>IF($P568="","",INDEX(명단표[구리 근무일(기준월)],$P568))</f>
        <v/>
      </c>
      <c r="N568">
        <f>IF($P568="","",INDEX(명단표[급여 판정 근거],$P568))</f>
        <v/>
      </c>
      <c r="O568">
        <f>IF($P568="","",INDEX(명단표[점검],$P568))</f>
        <v/>
      </c>
      <c r="P568" s="17">
        <f>IFERROR(MATCH(563,명단표[서울순번],0),"")</f>
        <v/>
      </c>
      <c r="R568">
        <f>IF($W568="","",INDEX(명단표[이름],$W568))</f>
        <v/>
      </c>
      <c r="S568">
        <f>IF($W568="","",INDEX(명단표[사번],$W568)&amp;"")</f>
        <v/>
      </c>
      <c r="T568">
        <f>IF($W568="","",INDEX(명단표[소속병원],$W568))</f>
        <v/>
      </c>
      <c r="U568">
        <f>IF($W568="","",INDEX(명단표[서울 근무일(기준월)],$W568))</f>
        <v/>
      </c>
      <c r="V568">
        <f>IF($W568="","",INDEX(명단표[구리 근무일(기준월)],$W568))</f>
        <v/>
      </c>
      <c r="W568" s="17">
        <f>IFERROR(MATCH(563,명단표[판정불가순번],0),"")</f>
        <v/>
      </c>
    </row>
    <row r="569">
      <c r="A569">
        <f>IF($P569="","",564)</f>
        <v/>
      </c>
      <c r="B569">
        <f>IF($P569="","",INDEX(명단표[이름],$P569))</f>
        <v/>
      </c>
      <c r="C569">
        <f>IF($P569="","",INDEX(명단표[사번],$P569)&amp;"")</f>
        <v/>
      </c>
      <c r="D569">
        <f>IF($P569="","",INDEX(명단표[전공의등록번호],$P569)&amp;"")</f>
        <v/>
      </c>
      <c r="E569">
        <f>IF($P569="","",INDEX(명단표[수련과목],$P569)&amp;"")</f>
        <v/>
      </c>
      <c r="F569">
        <f>IF($P569="","",INDEX(명단표[연차],$P569)&amp;"")</f>
        <v/>
      </c>
      <c r="G569">
        <f>IF($P569="","",INDEX(명단표[소속병원],$P569))</f>
        <v/>
      </c>
      <c r="H569">
        <f>IF($P569="","",IF(INDEX(명단표[소속병원],$P569)="서울병원","서울 소속","타 병원 소속("&amp;INDEX(명단표[소속병원],$P569)&amp;") → 서울 지급"))</f>
        <v/>
      </c>
      <c r="I569">
        <f>IF($P569="","",INDEX(명단표[현재 근무병원],$P569))</f>
        <v/>
      </c>
      <c r="J569">
        <f>IF($P569="","",INDEX(명단표[구리 근무 시작일(기준월)],$P569)&amp;"")</f>
        <v/>
      </c>
      <c r="K569">
        <f>IF($P569="","",INDEX(명단표[구리 근무 종료일(기준월)],$P569)&amp;"")</f>
        <v/>
      </c>
      <c r="L569">
        <f>IF($P569="","",INDEX(명단표[서울 근무일(기준월)],$P569))</f>
        <v/>
      </c>
      <c r="M569">
        <f>IF($P569="","",INDEX(명단표[구리 근무일(기준월)],$P569))</f>
        <v/>
      </c>
      <c r="N569">
        <f>IF($P569="","",INDEX(명단표[급여 판정 근거],$P569))</f>
        <v/>
      </c>
      <c r="O569">
        <f>IF($P569="","",INDEX(명단표[점검],$P569))</f>
        <v/>
      </c>
      <c r="P569" s="17">
        <f>IFERROR(MATCH(564,명단표[서울순번],0),"")</f>
        <v/>
      </c>
      <c r="R569">
        <f>IF($W569="","",INDEX(명단표[이름],$W569))</f>
        <v/>
      </c>
      <c r="S569">
        <f>IF($W569="","",INDEX(명단표[사번],$W569)&amp;"")</f>
        <v/>
      </c>
      <c r="T569">
        <f>IF($W569="","",INDEX(명단표[소속병원],$W569))</f>
        <v/>
      </c>
      <c r="U569">
        <f>IF($W569="","",INDEX(명단표[서울 근무일(기준월)],$W569))</f>
        <v/>
      </c>
      <c r="V569">
        <f>IF($W569="","",INDEX(명단표[구리 근무일(기준월)],$W569))</f>
        <v/>
      </c>
      <c r="W569" s="17">
        <f>IFERROR(MATCH(564,명단표[판정불가순번],0),"")</f>
        <v/>
      </c>
    </row>
    <row r="570">
      <c r="A570">
        <f>IF($P570="","",565)</f>
        <v/>
      </c>
      <c r="B570">
        <f>IF($P570="","",INDEX(명단표[이름],$P570))</f>
        <v/>
      </c>
      <c r="C570">
        <f>IF($P570="","",INDEX(명단표[사번],$P570)&amp;"")</f>
        <v/>
      </c>
      <c r="D570">
        <f>IF($P570="","",INDEX(명단표[전공의등록번호],$P570)&amp;"")</f>
        <v/>
      </c>
      <c r="E570">
        <f>IF($P570="","",INDEX(명단표[수련과목],$P570)&amp;"")</f>
        <v/>
      </c>
      <c r="F570">
        <f>IF($P570="","",INDEX(명단표[연차],$P570)&amp;"")</f>
        <v/>
      </c>
      <c r="G570">
        <f>IF($P570="","",INDEX(명단표[소속병원],$P570))</f>
        <v/>
      </c>
      <c r="H570">
        <f>IF($P570="","",IF(INDEX(명단표[소속병원],$P570)="서울병원","서울 소속","타 병원 소속("&amp;INDEX(명단표[소속병원],$P570)&amp;") → 서울 지급"))</f>
        <v/>
      </c>
      <c r="I570">
        <f>IF($P570="","",INDEX(명단표[현재 근무병원],$P570))</f>
        <v/>
      </c>
      <c r="J570">
        <f>IF($P570="","",INDEX(명단표[구리 근무 시작일(기준월)],$P570)&amp;"")</f>
        <v/>
      </c>
      <c r="K570">
        <f>IF($P570="","",INDEX(명단표[구리 근무 종료일(기준월)],$P570)&amp;"")</f>
        <v/>
      </c>
      <c r="L570">
        <f>IF($P570="","",INDEX(명단표[서울 근무일(기준월)],$P570))</f>
        <v/>
      </c>
      <c r="M570">
        <f>IF($P570="","",INDEX(명단표[구리 근무일(기준월)],$P570))</f>
        <v/>
      </c>
      <c r="N570">
        <f>IF($P570="","",INDEX(명단표[급여 판정 근거],$P570))</f>
        <v/>
      </c>
      <c r="O570">
        <f>IF($P570="","",INDEX(명단표[점검],$P570))</f>
        <v/>
      </c>
      <c r="P570" s="17">
        <f>IFERROR(MATCH(565,명단표[서울순번],0),"")</f>
        <v/>
      </c>
      <c r="R570">
        <f>IF($W570="","",INDEX(명단표[이름],$W570))</f>
        <v/>
      </c>
      <c r="S570">
        <f>IF($W570="","",INDEX(명단표[사번],$W570)&amp;"")</f>
        <v/>
      </c>
      <c r="T570">
        <f>IF($W570="","",INDEX(명단표[소속병원],$W570))</f>
        <v/>
      </c>
      <c r="U570">
        <f>IF($W570="","",INDEX(명단표[서울 근무일(기준월)],$W570))</f>
        <v/>
      </c>
      <c r="V570">
        <f>IF($W570="","",INDEX(명단표[구리 근무일(기준월)],$W570))</f>
        <v/>
      </c>
      <c r="W570" s="17">
        <f>IFERROR(MATCH(565,명단표[판정불가순번],0),"")</f>
        <v/>
      </c>
    </row>
    <row r="571">
      <c r="A571">
        <f>IF($P571="","",566)</f>
        <v/>
      </c>
      <c r="B571">
        <f>IF($P571="","",INDEX(명단표[이름],$P571))</f>
        <v/>
      </c>
      <c r="C571">
        <f>IF($P571="","",INDEX(명단표[사번],$P571)&amp;"")</f>
        <v/>
      </c>
      <c r="D571">
        <f>IF($P571="","",INDEX(명단표[전공의등록번호],$P571)&amp;"")</f>
        <v/>
      </c>
      <c r="E571">
        <f>IF($P571="","",INDEX(명단표[수련과목],$P571)&amp;"")</f>
        <v/>
      </c>
      <c r="F571">
        <f>IF($P571="","",INDEX(명단표[연차],$P571)&amp;"")</f>
        <v/>
      </c>
      <c r="G571">
        <f>IF($P571="","",INDEX(명단표[소속병원],$P571))</f>
        <v/>
      </c>
      <c r="H571">
        <f>IF($P571="","",IF(INDEX(명단표[소속병원],$P571)="서울병원","서울 소속","타 병원 소속("&amp;INDEX(명단표[소속병원],$P571)&amp;") → 서울 지급"))</f>
        <v/>
      </c>
      <c r="I571">
        <f>IF($P571="","",INDEX(명단표[현재 근무병원],$P571))</f>
        <v/>
      </c>
      <c r="J571">
        <f>IF($P571="","",INDEX(명단표[구리 근무 시작일(기준월)],$P571)&amp;"")</f>
        <v/>
      </c>
      <c r="K571">
        <f>IF($P571="","",INDEX(명단표[구리 근무 종료일(기준월)],$P571)&amp;"")</f>
        <v/>
      </c>
      <c r="L571">
        <f>IF($P571="","",INDEX(명단표[서울 근무일(기준월)],$P571))</f>
        <v/>
      </c>
      <c r="M571">
        <f>IF($P571="","",INDEX(명단표[구리 근무일(기준월)],$P571))</f>
        <v/>
      </c>
      <c r="N571">
        <f>IF($P571="","",INDEX(명단표[급여 판정 근거],$P571))</f>
        <v/>
      </c>
      <c r="O571">
        <f>IF($P571="","",INDEX(명단표[점검],$P571))</f>
        <v/>
      </c>
      <c r="P571" s="17">
        <f>IFERROR(MATCH(566,명단표[서울순번],0),"")</f>
        <v/>
      </c>
      <c r="R571">
        <f>IF($W571="","",INDEX(명단표[이름],$W571))</f>
        <v/>
      </c>
      <c r="S571">
        <f>IF($W571="","",INDEX(명단표[사번],$W571)&amp;"")</f>
        <v/>
      </c>
      <c r="T571">
        <f>IF($W571="","",INDEX(명단표[소속병원],$W571))</f>
        <v/>
      </c>
      <c r="U571">
        <f>IF($W571="","",INDEX(명단표[서울 근무일(기준월)],$W571))</f>
        <v/>
      </c>
      <c r="V571">
        <f>IF($W571="","",INDEX(명단표[구리 근무일(기준월)],$W571))</f>
        <v/>
      </c>
      <c r="W571" s="17">
        <f>IFERROR(MATCH(566,명단표[판정불가순번],0),"")</f>
        <v/>
      </c>
    </row>
    <row r="572">
      <c r="A572">
        <f>IF($P572="","",567)</f>
        <v/>
      </c>
      <c r="B572">
        <f>IF($P572="","",INDEX(명단표[이름],$P572))</f>
        <v/>
      </c>
      <c r="C572">
        <f>IF($P572="","",INDEX(명단표[사번],$P572)&amp;"")</f>
        <v/>
      </c>
      <c r="D572">
        <f>IF($P572="","",INDEX(명단표[전공의등록번호],$P572)&amp;"")</f>
        <v/>
      </c>
      <c r="E572">
        <f>IF($P572="","",INDEX(명단표[수련과목],$P572)&amp;"")</f>
        <v/>
      </c>
      <c r="F572">
        <f>IF($P572="","",INDEX(명단표[연차],$P572)&amp;"")</f>
        <v/>
      </c>
      <c r="G572">
        <f>IF($P572="","",INDEX(명단표[소속병원],$P572))</f>
        <v/>
      </c>
      <c r="H572">
        <f>IF($P572="","",IF(INDEX(명단표[소속병원],$P572)="서울병원","서울 소속","타 병원 소속("&amp;INDEX(명단표[소속병원],$P572)&amp;") → 서울 지급"))</f>
        <v/>
      </c>
      <c r="I572">
        <f>IF($P572="","",INDEX(명단표[현재 근무병원],$P572))</f>
        <v/>
      </c>
      <c r="J572">
        <f>IF($P572="","",INDEX(명단표[구리 근무 시작일(기준월)],$P572)&amp;"")</f>
        <v/>
      </c>
      <c r="K572">
        <f>IF($P572="","",INDEX(명단표[구리 근무 종료일(기준월)],$P572)&amp;"")</f>
        <v/>
      </c>
      <c r="L572">
        <f>IF($P572="","",INDEX(명단표[서울 근무일(기준월)],$P572))</f>
        <v/>
      </c>
      <c r="M572">
        <f>IF($P572="","",INDEX(명단표[구리 근무일(기준월)],$P572))</f>
        <v/>
      </c>
      <c r="N572">
        <f>IF($P572="","",INDEX(명단표[급여 판정 근거],$P572))</f>
        <v/>
      </c>
      <c r="O572">
        <f>IF($P572="","",INDEX(명단표[점검],$P572))</f>
        <v/>
      </c>
      <c r="P572" s="17">
        <f>IFERROR(MATCH(567,명단표[서울순번],0),"")</f>
        <v/>
      </c>
      <c r="R572">
        <f>IF($W572="","",INDEX(명단표[이름],$W572))</f>
        <v/>
      </c>
      <c r="S572">
        <f>IF($W572="","",INDEX(명단표[사번],$W572)&amp;"")</f>
        <v/>
      </c>
      <c r="T572">
        <f>IF($W572="","",INDEX(명단표[소속병원],$W572))</f>
        <v/>
      </c>
      <c r="U572">
        <f>IF($W572="","",INDEX(명단표[서울 근무일(기준월)],$W572))</f>
        <v/>
      </c>
      <c r="V572">
        <f>IF($W572="","",INDEX(명단표[구리 근무일(기준월)],$W572))</f>
        <v/>
      </c>
      <c r="W572" s="17">
        <f>IFERROR(MATCH(567,명단표[판정불가순번],0),"")</f>
        <v/>
      </c>
    </row>
    <row r="573">
      <c r="A573">
        <f>IF($P573="","",568)</f>
        <v/>
      </c>
      <c r="B573">
        <f>IF($P573="","",INDEX(명단표[이름],$P573))</f>
        <v/>
      </c>
      <c r="C573">
        <f>IF($P573="","",INDEX(명단표[사번],$P573)&amp;"")</f>
        <v/>
      </c>
      <c r="D573">
        <f>IF($P573="","",INDEX(명단표[전공의등록번호],$P573)&amp;"")</f>
        <v/>
      </c>
      <c r="E573">
        <f>IF($P573="","",INDEX(명단표[수련과목],$P573)&amp;"")</f>
        <v/>
      </c>
      <c r="F573">
        <f>IF($P573="","",INDEX(명단표[연차],$P573)&amp;"")</f>
        <v/>
      </c>
      <c r="G573">
        <f>IF($P573="","",INDEX(명단표[소속병원],$P573))</f>
        <v/>
      </c>
      <c r="H573">
        <f>IF($P573="","",IF(INDEX(명단표[소속병원],$P573)="서울병원","서울 소속","타 병원 소속("&amp;INDEX(명단표[소속병원],$P573)&amp;") → 서울 지급"))</f>
        <v/>
      </c>
      <c r="I573">
        <f>IF($P573="","",INDEX(명단표[현재 근무병원],$P573))</f>
        <v/>
      </c>
      <c r="J573">
        <f>IF($P573="","",INDEX(명단표[구리 근무 시작일(기준월)],$P573)&amp;"")</f>
        <v/>
      </c>
      <c r="K573">
        <f>IF($P573="","",INDEX(명단표[구리 근무 종료일(기준월)],$P573)&amp;"")</f>
        <v/>
      </c>
      <c r="L573">
        <f>IF($P573="","",INDEX(명단표[서울 근무일(기준월)],$P573))</f>
        <v/>
      </c>
      <c r="M573">
        <f>IF($P573="","",INDEX(명단표[구리 근무일(기준월)],$P573))</f>
        <v/>
      </c>
      <c r="N573">
        <f>IF($P573="","",INDEX(명단표[급여 판정 근거],$P573))</f>
        <v/>
      </c>
      <c r="O573">
        <f>IF($P573="","",INDEX(명단표[점검],$P573))</f>
        <v/>
      </c>
      <c r="P573" s="17">
        <f>IFERROR(MATCH(568,명단표[서울순번],0),"")</f>
        <v/>
      </c>
      <c r="R573">
        <f>IF($W573="","",INDEX(명단표[이름],$W573))</f>
        <v/>
      </c>
      <c r="S573">
        <f>IF($W573="","",INDEX(명단표[사번],$W573)&amp;"")</f>
        <v/>
      </c>
      <c r="T573">
        <f>IF($W573="","",INDEX(명단표[소속병원],$W573))</f>
        <v/>
      </c>
      <c r="U573">
        <f>IF($W573="","",INDEX(명단표[서울 근무일(기준월)],$W573))</f>
        <v/>
      </c>
      <c r="V573">
        <f>IF($W573="","",INDEX(명단표[구리 근무일(기준월)],$W573))</f>
        <v/>
      </c>
      <c r="W573" s="17">
        <f>IFERROR(MATCH(568,명단표[판정불가순번],0),"")</f>
        <v/>
      </c>
    </row>
    <row r="574">
      <c r="A574">
        <f>IF($P574="","",569)</f>
        <v/>
      </c>
      <c r="B574">
        <f>IF($P574="","",INDEX(명단표[이름],$P574))</f>
        <v/>
      </c>
      <c r="C574">
        <f>IF($P574="","",INDEX(명단표[사번],$P574)&amp;"")</f>
        <v/>
      </c>
      <c r="D574">
        <f>IF($P574="","",INDEX(명단표[전공의등록번호],$P574)&amp;"")</f>
        <v/>
      </c>
      <c r="E574">
        <f>IF($P574="","",INDEX(명단표[수련과목],$P574)&amp;"")</f>
        <v/>
      </c>
      <c r="F574">
        <f>IF($P574="","",INDEX(명단표[연차],$P574)&amp;"")</f>
        <v/>
      </c>
      <c r="G574">
        <f>IF($P574="","",INDEX(명단표[소속병원],$P574))</f>
        <v/>
      </c>
      <c r="H574">
        <f>IF($P574="","",IF(INDEX(명단표[소속병원],$P574)="서울병원","서울 소속","타 병원 소속("&amp;INDEX(명단표[소속병원],$P574)&amp;") → 서울 지급"))</f>
        <v/>
      </c>
      <c r="I574">
        <f>IF($P574="","",INDEX(명단표[현재 근무병원],$P574))</f>
        <v/>
      </c>
      <c r="J574">
        <f>IF($P574="","",INDEX(명단표[구리 근무 시작일(기준월)],$P574)&amp;"")</f>
        <v/>
      </c>
      <c r="K574">
        <f>IF($P574="","",INDEX(명단표[구리 근무 종료일(기준월)],$P574)&amp;"")</f>
        <v/>
      </c>
      <c r="L574">
        <f>IF($P574="","",INDEX(명단표[서울 근무일(기준월)],$P574))</f>
        <v/>
      </c>
      <c r="M574">
        <f>IF($P574="","",INDEX(명단표[구리 근무일(기준월)],$P574))</f>
        <v/>
      </c>
      <c r="N574">
        <f>IF($P574="","",INDEX(명단표[급여 판정 근거],$P574))</f>
        <v/>
      </c>
      <c r="O574">
        <f>IF($P574="","",INDEX(명단표[점검],$P574))</f>
        <v/>
      </c>
      <c r="P574" s="17">
        <f>IFERROR(MATCH(569,명단표[서울순번],0),"")</f>
        <v/>
      </c>
      <c r="R574">
        <f>IF($W574="","",INDEX(명단표[이름],$W574))</f>
        <v/>
      </c>
      <c r="S574">
        <f>IF($W574="","",INDEX(명단표[사번],$W574)&amp;"")</f>
        <v/>
      </c>
      <c r="T574">
        <f>IF($W574="","",INDEX(명단표[소속병원],$W574))</f>
        <v/>
      </c>
      <c r="U574">
        <f>IF($W574="","",INDEX(명단표[서울 근무일(기준월)],$W574))</f>
        <v/>
      </c>
      <c r="V574">
        <f>IF($W574="","",INDEX(명단표[구리 근무일(기준월)],$W574))</f>
        <v/>
      </c>
      <c r="W574" s="17">
        <f>IFERROR(MATCH(569,명단표[판정불가순번],0),"")</f>
        <v/>
      </c>
    </row>
    <row r="575">
      <c r="A575">
        <f>IF($P575="","",570)</f>
        <v/>
      </c>
      <c r="B575">
        <f>IF($P575="","",INDEX(명단표[이름],$P575))</f>
        <v/>
      </c>
      <c r="C575">
        <f>IF($P575="","",INDEX(명단표[사번],$P575)&amp;"")</f>
        <v/>
      </c>
      <c r="D575">
        <f>IF($P575="","",INDEX(명단표[전공의등록번호],$P575)&amp;"")</f>
        <v/>
      </c>
      <c r="E575">
        <f>IF($P575="","",INDEX(명단표[수련과목],$P575)&amp;"")</f>
        <v/>
      </c>
      <c r="F575">
        <f>IF($P575="","",INDEX(명단표[연차],$P575)&amp;"")</f>
        <v/>
      </c>
      <c r="G575">
        <f>IF($P575="","",INDEX(명단표[소속병원],$P575))</f>
        <v/>
      </c>
      <c r="H575">
        <f>IF($P575="","",IF(INDEX(명단표[소속병원],$P575)="서울병원","서울 소속","타 병원 소속("&amp;INDEX(명단표[소속병원],$P575)&amp;") → 서울 지급"))</f>
        <v/>
      </c>
      <c r="I575">
        <f>IF($P575="","",INDEX(명단표[현재 근무병원],$P575))</f>
        <v/>
      </c>
      <c r="J575">
        <f>IF($P575="","",INDEX(명단표[구리 근무 시작일(기준월)],$P575)&amp;"")</f>
        <v/>
      </c>
      <c r="K575">
        <f>IF($P575="","",INDEX(명단표[구리 근무 종료일(기준월)],$P575)&amp;"")</f>
        <v/>
      </c>
      <c r="L575">
        <f>IF($P575="","",INDEX(명단표[서울 근무일(기준월)],$P575))</f>
        <v/>
      </c>
      <c r="M575">
        <f>IF($P575="","",INDEX(명단표[구리 근무일(기준월)],$P575))</f>
        <v/>
      </c>
      <c r="N575">
        <f>IF($P575="","",INDEX(명단표[급여 판정 근거],$P575))</f>
        <v/>
      </c>
      <c r="O575">
        <f>IF($P575="","",INDEX(명단표[점검],$P575))</f>
        <v/>
      </c>
      <c r="P575" s="17">
        <f>IFERROR(MATCH(570,명단표[서울순번],0),"")</f>
        <v/>
      </c>
      <c r="R575">
        <f>IF($W575="","",INDEX(명단표[이름],$W575))</f>
        <v/>
      </c>
      <c r="S575">
        <f>IF($W575="","",INDEX(명단표[사번],$W575)&amp;"")</f>
        <v/>
      </c>
      <c r="T575">
        <f>IF($W575="","",INDEX(명단표[소속병원],$W575))</f>
        <v/>
      </c>
      <c r="U575">
        <f>IF($W575="","",INDEX(명단표[서울 근무일(기준월)],$W575))</f>
        <v/>
      </c>
      <c r="V575">
        <f>IF($W575="","",INDEX(명단표[구리 근무일(기준월)],$W575))</f>
        <v/>
      </c>
      <c r="W575" s="17">
        <f>IFERROR(MATCH(570,명단표[판정불가순번],0),"")</f>
        <v/>
      </c>
    </row>
    <row r="576">
      <c r="A576">
        <f>IF($P576="","",571)</f>
        <v/>
      </c>
      <c r="B576">
        <f>IF($P576="","",INDEX(명단표[이름],$P576))</f>
        <v/>
      </c>
      <c r="C576">
        <f>IF($P576="","",INDEX(명단표[사번],$P576)&amp;"")</f>
        <v/>
      </c>
      <c r="D576">
        <f>IF($P576="","",INDEX(명단표[전공의등록번호],$P576)&amp;"")</f>
        <v/>
      </c>
      <c r="E576">
        <f>IF($P576="","",INDEX(명단표[수련과목],$P576)&amp;"")</f>
        <v/>
      </c>
      <c r="F576">
        <f>IF($P576="","",INDEX(명단표[연차],$P576)&amp;"")</f>
        <v/>
      </c>
      <c r="G576">
        <f>IF($P576="","",INDEX(명단표[소속병원],$P576))</f>
        <v/>
      </c>
      <c r="H576">
        <f>IF($P576="","",IF(INDEX(명단표[소속병원],$P576)="서울병원","서울 소속","타 병원 소속("&amp;INDEX(명단표[소속병원],$P576)&amp;") → 서울 지급"))</f>
        <v/>
      </c>
      <c r="I576">
        <f>IF($P576="","",INDEX(명단표[현재 근무병원],$P576))</f>
        <v/>
      </c>
      <c r="J576">
        <f>IF($P576="","",INDEX(명단표[구리 근무 시작일(기준월)],$P576)&amp;"")</f>
        <v/>
      </c>
      <c r="K576">
        <f>IF($P576="","",INDEX(명단표[구리 근무 종료일(기준월)],$P576)&amp;"")</f>
        <v/>
      </c>
      <c r="L576">
        <f>IF($P576="","",INDEX(명단표[서울 근무일(기준월)],$P576))</f>
        <v/>
      </c>
      <c r="M576">
        <f>IF($P576="","",INDEX(명단표[구리 근무일(기준월)],$P576))</f>
        <v/>
      </c>
      <c r="N576">
        <f>IF($P576="","",INDEX(명단표[급여 판정 근거],$P576))</f>
        <v/>
      </c>
      <c r="O576">
        <f>IF($P576="","",INDEX(명단표[점검],$P576))</f>
        <v/>
      </c>
      <c r="P576" s="17">
        <f>IFERROR(MATCH(571,명단표[서울순번],0),"")</f>
        <v/>
      </c>
      <c r="R576">
        <f>IF($W576="","",INDEX(명단표[이름],$W576))</f>
        <v/>
      </c>
      <c r="S576">
        <f>IF($W576="","",INDEX(명단표[사번],$W576)&amp;"")</f>
        <v/>
      </c>
      <c r="T576">
        <f>IF($W576="","",INDEX(명단표[소속병원],$W576))</f>
        <v/>
      </c>
      <c r="U576">
        <f>IF($W576="","",INDEX(명단표[서울 근무일(기준월)],$W576))</f>
        <v/>
      </c>
      <c r="V576">
        <f>IF($W576="","",INDEX(명단표[구리 근무일(기준월)],$W576))</f>
        <v/>
      </c>
      <c r="W576" s="17">
        <f>IFERROR(MATCH(571,명단표[판정불가순번],0),"")</f>
        <v/>
      </c>
    </row>
    <row r="577">
      <c r="A577">
        <f>IF($P577="","",572)</f>
        <v/>
      </c>
      <c r="B577">
        <f>IF($P577="","",INDEX(명단표[이름],$P577))</f>
        <v/>
      </c>
      <c r="C577">
        <f>IF($P577="","",INDEX(명단표[사번],$P577)&amp;"")</f>
        <v/>
      </c>
      <c r="D577">
        <f>IF($P577="","",INDEX(명단표[전공의등록번호],$P577)&amp;"")</f>
        <v/>
      </c>
      <c r="E577">
        <f>IF($P577="","",INDEX(명단표[수련과목],$P577)&amp;"")</f>
        <v/>
      </c>
      <c r="F577">
        <f>IF($P577="","",INDEX(명단표[연차],$P577)&amp;"")</f>
        <v/>
      </c>
      <c r="G577">
        <f>IF($P577="","",INDEX(명단표[소속병원],$P577))</f>
        <v/>
      </c>
      <c r="H577">
        <f>IF($P577="","",IF(INDEX(명단표[소속병원],$P577)="서울병원","서울 소속","타 병원 소속("&amp;INDEX(명단표[소속병원],$P577)&amp;") → 서울 지급"))</f>
        <v/>
      </c>
      <c r="I577">
        <f>IF($P577="","",INDEX(명단표[현재 근무병원],$P577))</f>
        <v/>
      </c>
      <c r="J577">
        <f>IF($P577="","",INDEX(명단표[구리 근무 시작일(기준월)],$P577)&amp;"")</f>
        <v/>
      </c>
      <c r="K577">
        <f>IF($P577="","",INDEX(명단표[구리 근무 종료일(기준월)],$P577)&amp;"")</f>
        <v/>
      </c>
      <c r="L577">
        <f>IF($P577="","",INDEX(명단표[서울 근무일(기준월)],$P577))</f>
        <v/>
      </c>
      <c r="M577">
        <f>IF($P577="","",INDEX(명단표[구리 근무일(기준월)],$P577))</f>
        <v/>
      </c>
      <c r="N577">
        <f>IF($P577="","",INDEX(명단표[급여 판정 근거],$P577))</f>
        <v/>
      </c>
      <c r="O577">
        <f>IF($P577="","",INDEX(명단표[점검],$P577))</f>
        <v/>
      </c>
      <c r="P577" s="17">
        <f>IFERROR(MATCH(572,명단표[서울순번],0),"")</f>
        <v/>
      </c>
      <c r="R577">
        <f>IF($W577="","",INDEX(명단표[이름],$W577))</f>
        <v/>
      </c>
      <c r="S577">
        <f>IF($W577="","",INDEX(명단표[사번],$W577)&amp;"")</f>
        <v/>
      </c>
      <c r="T577">
        <f>IF($W577="","",INDEX(명단표[소속병원],$W577))</f>
        <v/>
      </c>
      <c r="U577">
        <f>IF($W577="","",INDEX(명단표[서울 근무일(기준월)],$W577))</f>
        <v/>
      </c>
      <c r="V577">
        <f>IF($W577="","",INDEX(명단표[구리 근무일(기준월)],$W577))</f>
        <v/>
      </c>
      <c r="W577" s="17">
        <f>IFERROR(MATCH(572,명단표[판정불가순번],0),"")</f>
        <v/>
      </c>
    </row>
    <row r="578">
      <c r="A578">
        <f>IF($P578="","",573)</f>
        <v/>
      </c>
      <c r="B578">
        <f>IF($P578="","",INDEX(명단표[이름],$P578))</f>
        <v/>
      </c>
      <c r="C578">
        <f>IF($P578="","",INDEX(명단표[사번],$P578)&amp;"")</f>
        <v/>
      </c>
      <c r="D578">
        <f>IF($P578="","",INDEX(명단표[전공의등록번호],$P578)&amp;"")</f>
        <v/>
      </c>
      <c r="E578">
        <f>IF($P578="","",INDEX(명단표[수련과목],$P578)&amp;"")</f>
        <v/>
      </c>
      <c r="F578">
        <f>IF($P578="","",INDEX(명단표[연차],$P578)&amp;"")</f>
        <v/>
      </c>
      <c r="G578">
        <f>IF($P578="","",INDEX(명단표[소속병원],$P578))</f>
        <v/>
      </c>
      <c r="H578">
        <f>IF($P578="","",IF(INDEX(명단표[소속병원],$P578)="서울병원","서울 소속","타 병원 소속("&amp;INDEX(명단표[소속병원],$P578)&amp;") → 서울 지급"))</f>
        <v/>
      </c>
      <c r="I578">
        <f>IF($P578="","",INDEX(명단표[현재 근무병원],$P578))</f>
        <v/>
      </c>
      <c r="J578">
        <f>IF($P578="","",INDEX(명단표[구리 근무 시작일(기준월)],$P578)&amp;"")</f>
        <v/>
      </c>
      <c r="K578">
        <f>IF($P578="","",INDEX(명단표[구리 근무 종료일(기준월)],$P578)&amp;"")</f>
        <v/>
      </c>
      <c r="L578">
        <f>IF($P578="","",INDEX(명단표[서울 근무일(기준월)],$P578))</f>
        <v/>
      </c>
      <c r="M578">
        <f>IF($P578="","",INDEX(명단표[구리 근무일(기준월)],$P578))</f>
        <v/>
      </c>
      <c r="N578">
        <f>IF($P578="","",INDEX(명단표[급여 판정 근거],$P578))</f>
        <v/>
      </c>
      <c r="O578">
        <f>IF($P578="","",INDEX(명단표[점검],$P578))</f>
        <v/>
      </c>
      <c r="P578" s="17">
        <f>IFERROR(MATCH(573,명단표[서울순번],0),"")</f>
        <v/>
      </c>
      <c r="R578">
        <f>IF($W578="","",INDEX(명단표[이름],$W578))</f>
        <v/>
      </c>
      <c r="S578">
        <f>IF($W578="","",INDEX(명단표[사번],$W578)&amp;"")</f>
        <v/>
      </c>
      <c r="T578">
        <f>IF($W578="","",INDEX(명단표[소속병원],$W578))</f>
        <v/>
      </c>
      <c r="U578">
        <f>IF($W578="","",INDEX(명단표[서울 근무일(기준월)],$W578))</f>
        <v/>
      </c>
      <c r="V578">
        <f>IF($W578="","",INDEX(명단표[구리 근무일(기준월)],$W578))</f>
        <v/>
      </c>
      <c r="W578" s="17">
        <f>IFERROR(MATCH(573,명단표[판정불가순번],0),"")</f>
        <v/>
      </c>
    </row>
    <row r="579">
      <c r="A579">
        <f>IF($P579="","",574)</f>
        <v/>
      </c>
      <c r="B579">
        <f>IF($P579="","",INDEX(명단표[이름],$P579))</f>
        <v/>
      </c>
      <c r="C579">
        <f>IF($P579="","",INDEX(명단표[사번],$P579)&amp;"")</f>
        <v/>
      </c>
      <c r="D579">
        <f>IF($P579="","",INDEX(명단표[전공의등록번호],$P579)&amp;"")</f>
        <v/>
      </c>
      <c r="E579">
        <f>IF($P579="","",INDEX(명단표[수련과목],$P579)&amp;"")</f>
        <v/>
      </c>
      <c r="F579">
        <f>IF($P579="","",INDEX(명단표[연차],$P579)&amp;"")</f>
        <v/>
      </c>
      <c r="G579">
        <f>IF($P579="","",INDEX(명단표[소속병원],$P579))</f>
        <v/>
      </c>
      <c r="H579">
        <f>IF($P579="","",IF(INDEX(명단표[소속병원],$P579)="서울병원","서울 소속","타 병원 소속("&amp;INDEX(명단표[소속병원],$P579)&amp;") → 서울 지급"))</f>
        <v/>
      </c>
      <c r="I579">
        <f>IF($P579="","",INDEX(명단표[현재 근무병원],$P579))</f>
        <v/>
      </c>
      <c r="J579">
        <f>IF($P579="","",INDEX(명단표[구리 근무 시작일(기준월)],$P579)&amp;"")</f>
        <v/>
      </c>
      <c r="K579">
        <f>IF($P579="","",INDEX(명단표[구리 근무 종료일(기준월)],$P579)&amp;"")</f>
        <v/>
      </c>
      <c r="L579">
        <f>IF($P579="","",INDEX(명단표[서울 근무일(기준월)],$P579))</f>
        <v/>
      </c>
      <c r="M579">
        <f>IF($P579="","",INDEX(명단표[구리 근무일(기준월)],$P579))</f>
        <v/>
      </c>
      <c r="N579">
        <f>IF($P579="","",INDEX(명단표[급여 판정 근거],$P579))</f>
        <v/>
      </c>
      <c r="O579">
        <f>IF($P579="","",INDEX(명단표[점검],$P579))</f>
        <v/>
      </c>
      <c r="P579" s="17">
        <f>IFERROR(MATCH(574,명단표[서울순번],0),"")</f>
        <v/>
      </c>
      <c r="R579">
        <f>IF($W579="","",INDEX(명단표[이름],$W579))</f>
        <v/>
      </c>
      <c r="S579">
        <f>IF($W579="","",INDEX(명단표[사번],$W579)&amp;"")</f>
        <v/>
      </c>
      <c r="T579">
        <f>IF($W579="","",INDEX(명단표[소속병원],$W579))</f>
        <v/>
      </c>
      <c r="U579">
        <f>IF($W579="","",INDEX(명단표[서울 근무일(기준월)],$W579))</f>
        <v/>
      </c>
      <c r="V579">
        <f>IF($W579="","",INDEX(명단표[구리 근무일(기준월)],$W579))</f>
        <v/>
      </c>
      <c r="W579" s="17">
        <f>IFERROR(MATCH(574,명단표[판정불가순번],0),"")</f>
        <v/>
      </c>
    </row>
    <row r="580">
      <c r="A580">
        <f>IF($P580="","",575)</f>
        <v/>
      </c>
      <c r="B580">
        <f>IF($P580="","",INDEX(명단표[이름],$P580))</f>
        <v/>
      </c>
      <c r="C580">
        <f>IF($P580="","",INDEX(명단표[사번],$P580)&amp;"")</f>
        <v/>
      </c>
      <c r="D580">
        <f>IF($P580="","",INDEX(명단표[전공의등록번호],$P580)&amp;"")</f>
        <v/>
      </c>
      <c r="E580">
        <f>IF($P580="","",INDEX(명단표[수련과목],$P580)&amp;"")</f>
        <v/>
      </c>
      <c r="F580">
        <f>IF($P580="","",INDEX(명단표[연차],$P580)&amp;"")</f>
        <v/>
      </c>
      <c r="G580">
        <f>IF($P580="","",INDEX(명단표[소속병원],$P580))</f>
        <v/>
      </c>
      <c r="H580">
        <f>IF($P580="","",IF(INDEX(명단표[소속병원],$P580)="서울병원","서울 소속","타 병원 소속("&amp;INDEX(명단표[소속병원],$P580)&amp;") → 서울 지급"))</f>
        <v/>
      </c>
      <c r="I580">
        <f>IF($P580="","",INDEX(명단표[현재 근무병원],$P580))</f>
        <v/>
      </c>
      <c r="J580">
        <f>IF($P580="","",INDEX(명단표[구리 근무 시작일(기준월)],$P580)&amp;"")</f>
        <v/>
      </c>
      <c r="K580">
        <f>IF($P580="","",INDEX(명단표[구리 근무 종료일(기준월)],$P580)&amp;"")</f>
        <v/>
      </c>
      <c r="L580">
        <f>IF($P580="","",INDEX(명단표[서울 근무일(기준월)],$P580))</f>
        <v/>
      </c>
      <c r="M580">
        <f>IF($P580="","",INDEX(명단표[구리 근무일(기준월)],$P580))</f>
        <v/>
      </c>
      <c r="N580">
        <f>IF($P580="","",INDEX(명단표[급여 판정 근거],$P580))</f>
        <v/>
      </c>
      <c r="O580">
        <f>IF($P580="","",INDEX(명단표[점검],$P580))</f>
        <v/>
      </c>
      <c r="P580" s="17">
        <f>IFERROR(MATCH(575,명단표[서울순번],0),"")</f>
        <v/>
      </c>
      <c r="R580">
        <f>IF($W580="","",INDEX(명단표[이름],$W580))</f>
        <v/>
      </c>
      <c r="S580">
        <f>IF($W580="","",INDEX(명단표[사번],$W580)&amp;"")</f>
        <v/>
      </c>
      <c r="T580">
        <f>IF($W580="","",INDEX(명단표[소속병원],$W580))</f>
        <v/>
      </c>
      <c r="U580">
        <f>IF($W580="","",INDEX(명단표[서울 근무일(기준월)],$W580))</f>
        <v/>
      </c>
      <c r="V580">
        <f>IF($W580="","",INDEX(명단표[구리 근무일(기준월)],$W580))</f>
        <v/>
      </c>
      <c r="W580" s="17">
        <f>IFERROR(MATCH(575,명단표[판정불가순번],0),"")</f>
        <v/>
      </c>
    </row>
    <row r="581">
      <c r="A581">
        <f>IF($P581="","",576)</f>
        <v/>
      </c>
      <c r="B581">
        <f>IF($P581="","",INDEX(명단표[이름],$P581))</f>
        <v/>
      </c>
      <c r="C581">
        <f>IF($P581="","",INDEX(명단표[사번],$P581)&amp;"")</f>
        <v/>
      </c>
      <c r="D581">
        <f>IF($P581="","",INDEX(명단표[전공의등록번호],$P581)&amp;"")</f>
        <v/>
      </c>
      <c r="E581">
        <f>IF($P581="","",INDEX(명단표[수련과목],$P581)&amp;"")</f>
        <v/>
      </c>
      <c r="F581">
        <f>IF($P581="","",INDEX(명단표[연차],$P581)&amp;"")</f>
        <v/>
      </c>
      <c r="G581">
        <f>IF($P581="","",INDEX(명단표[소속병원],$P581))</f>
        <v/>
      </c>
      <c r="H581">
        <f>IF($P581="","",IF(INDEX(명단표[소속병원],$P581)="서울병원","서울 소속","타 병원 소속("&amp;INDEX(명단표[소속병원],$P581)&amp;") → 서울 지급"))</f>
        <v/>
      </c>
      <c r="I581">
        <f>IF($P581="","",INDEX(명단표[현재 근무병원],$P581))</f>
        <v/>
      </c>
      <c r="J581">
        <f>IF($P581="","",INDEX(명단표[구리 근무 시작일(기준월)],$P581)&amp;"")</f>
        <v/>
      </c>
      <c r="K581">
        <f>IF($P581="","",INDEX(명단표[구리 근무 종료일(기준월)],$P581)&amp;"")</f>
        <v/>
      </c>
      <c r="L581">
        <f>IF($P581="","",INDEX(명단표[서울 근무일(기준월)],$P581))</f>
        <v/>
      </c>
      <c r="M581">
        <f>IF($P581="","",INDEX(명단표[구리 근무일(기준월)],$P581))</f>
        <v/>
      </c>
      <c r="N581">
        <f>IF($P581="","",INDEX(명단표[급여 판정 근거],$P581))</f>
        <v/>
      </c>
      <c r="O581">
        <f>IF($P581="","",INDEX(명단표[점검],$P581))</f>
        <v/>
      </c>
      <c r="P581" s="17">
        <f>IFERROR(MATCH(576,명단표[서울순번],0),"")</f>
        <v/>
      </c>
      <c r="R581">
        <f>IF($W581="","",INDEX(명단표[이름],$W581))</f>
        <v/>
      </c>
      <c r="S581">
        <f>IF($W581="","",INDEX(명단표[사번],$W581)&amp;"")</f>
        <v/>
      </c>
      <c r="T581">
        <f>IF($W581="","",INDEX(명단표[소속병원],$W581))</f>
        <v/>
      </c>
      <c r="U581">
        <f>IF($W581="","",INDEX(명단표[서울 근무일(기준월)],$W581))</f>
        <v/>
      </c>
      <c r="V581">
        <f>IF($W581="","",INDEX(명단표[구리 근무일(기준월)],$W581))</f>
        <v/>
      </c>
      <c r="W581" s="17">
        <f>IFERROR(MATCH(576,명단표[판정불가순번],0),"")</f>
        <v/>
      </c>
    </row>
    <row r="582">
      <c r="A582">
        <f>IF($P582="","",577)</f>
        <v/>
      </c>
      <c r="B582">
        <f>IF($P582="","",INDEX(명단표[이름],$P582))</f>
        <v/>
      </c>
      <c r="C582">
        <f>IF($P582="","",INDEX(명단표[사번],$P582)&amp;"")</f>
        <v/>
      </c>
      <c r="D582">
        <f>IF($P582="","",INDEX(명단표[전공의등록번호],$P582)&amp;"")</f>
        <v/>
      </c>
      <c r="E582">
        <f>IF($P582="","",INDEX(명단표[수련과목],$P582)&amp;"")</f>
        <v/>
      </c>
      <c r="F582">
        <f>IF($P582="","",INDEX(명단표[연차],$P582)&amp;"")</f>
        <v/>
      </c>
      <c r="G582">
        <f>IF($P582="","",INDEX(명단표[소속병원],$P582))</f>
        <v/>
      </c>
      <c r="H582">
        <f>IF($P582="","",IF(INDEX(명단표[소속병원],$P582)="서울병원","서울 소속","타 병원 소속("&amp;INDEX(명단표[소속병원],$P582)&amp;") → 서울 지급"))</f>
        <v/>
      </c>
      <c r="I582">
        <f>IF($P582="","",INDEX(명단표[현재 근무병원],$P582))</f>
        <v/>
      </c>
      <c r="J582">
        <f>IF($P582="","",INDEX(명단표[구리 근무 시작일(기준월)],$P582)&amp;"")</f>
        <v/>
      </c>
      <c r="K582">
        <f>IF($P582="","",INDEX(명단표[구리 근무 종료일(기준월)],$P582)&amp;"")</f>
        <v/>
      </c>
      <c r="L582">
        <f>IF($P582="","",INDEX(명단표[서울 근무일(기준월)],$P582))</f>
        <v/>
      </c>
      <c r="M582">
        <f>IF($P582="","",INDEX(명단표[구리 근무일(기준월)],$P582))</f>
        <v/>
      </c>
      <c r="N582">
        <f>IF($P582="","",INDEX(명단표[급여 판정 근거],$P582))</f>
        <v/>
      </c>
      <c r="O582">
        <f>IF($P582="","",INDEX(명단표[점검],$P582))</f>
        <v/>
      </c>
      <c r="P582" s="17">
        <f>IFERROR(MATCH(577,명단표[서울순번],0),"")</f>
        <v/>
      </c>
      <c r="R582">
        <f>IF($W582="","",INDEX(명단표[이름],$W582))</f>
        <v/>
      </c>
      <c r="S582">
        <f>IF($W582="","",INDEX(명단표[사번],$W582)&amp;"")</f>
        <v/>
      </c>
      <c r="T582">
        <f>IF($W582="","",INDEX(명단표[소속병원],$W582))</f>
        <v/>
      </c>
      <c r="U582">
        <f>IF($W582="","",INDEX(명단표[서울 근무일(기준월)],$W582))</f>
        <v/>
      </c>
      <c r="V582">
        <f>IF($W582="","",INDEX(명단표[구리 근무일(기준월)],$W582))</f>
        <v/>
      </c>
      <c r="W582" s="17">
        <f>IFERROR(MATCH(577,명단표[판정불가순번],0),"")</f>
        <v/>
      </c>
    </row>
    <row r="583">
      <c r="A583">
        <f>IF($P583="","",578)</f>
        <v/>
      </c>
      <c r="B583">
        <f>IF($P583="","",INDEX(명단표[이름],$P583))</f>
        <v/>
      </c>
      <c r="C583">
        <f>IF($P583="","",INDEX(명단표[사번],$P583)&amp;"")</f>
        <v/>
      </c>
      <c r="D583">
        <f>IF($P583="","",INDEX(명단표[전공의등록번호],$P583)&amp;"")</f>
        <v/>
      </c>
      <c r="E583">
        <f>IF($P583="","",INDEX(명단표[수련과목],$P583)&amp;"")</f>
        <v/>
      </c>
      <c r="F583">
        <f>IF($P583="","",INDEX(명단표[연차],$P583)&amp;"")</f>
        <v/>
      </c>
      <c r="G583">
        <f>IF($P583="","",INDEX(명단표[소속병원],$P583))</f>
        <v/>
      </c>
      <c r="H583">
        <f>IF($P583="","",IF(INDEX(명단표[소속병원],$P583)="서울병원","서울 소속","타 병원 소속("&amp;INDEX(명단표[소속병원],$P583)&amp;") → 서울 지급"))</f>
        <v/>
      </c>
      <c r="I583">
        <f>IF($P583="","",INDEX(명단표[현재 근무병원],$P583))</f>
        <v/>
      </c>
      <c r="J583">
        <f>IF($P583="","",INDEX(명단표[구리 근무 시작일(기준월)],$P583)&amp;"")</f>
        <v/>
      </c>
      <c r="K583">
        <f>IF($P583="","",INDEX(명단표[구리 근무 종료일(기준월)],$P583)&amp;"")</f>
        <v/>
      </c>
      <c r="L583">
        <f>IF($P583="","",INDEX(명단표[서울 근무일(기준월)],$P583))</f>
        <v/>
      </c>
      <c r="M583">
        <f>IF($P583="","",INDEX(명단표[구리 근무일(기준월)],$P583))</f>
        <v/>
      </c>
      <c r="N583">
        <f>IF($P583="","",INDEX(명단표[급여 판정 근거],$P583))</f>
        <v/>
      </c>
      <c r="O583">
        <f>IF($P583="","",INDEX(명단표[점검],$P583))</f>
        <v/>
      </c>
      <c r="P583" s="17">
        <f>IFERROR(MATCH(578,명단표[서울순번],0),"")</f>
        <v/>
      </c>
      <c r="R583">
        <f>IF($W583="","",INDEX(명단표[이름],$W583))</f>
        <v/>
      </c>
      <c r="S583">
        <f>IF($W583="","",INDEX(명단표[사번],$W583)&amp;"")</f>
        <v/>
      </c>
      <c r="T583">
        <f>IF($W583="","",INDEX(명단표[소속병원],$W583))</f>
        <v/>
      </c>
      <c r="U583">
        <f>IF($W583="","",INDEX(명단표[서울 근무일(기준월)],$W583))</f>
        <v/>
      </c>
      <c r="V583">
        <f>IF($W583="","",INDEX(명단표[구리 근무일(기준월)],$W583))</f>
        <v/>
      </c>
      <c r="W583" s="17">
        <f>IFERROR(MATCH(578,명단표[판정불가순번],0),"")</f>
        <v/>
      </c>
    </row>
    <row r="584">
      <c r="A584">
        <f>IF($P584="","",579)</f>
        <v/>
      </c>
      <c r="B584">
        <f>IF($P584="","",INDEX(명단표[이름],$P584))</f>
        <v/>
      </c>
      <c r="C584">
        <f>IF($P584="","",INDEX(명단표[사번],$P584)&amp;"")</f>
        <v/>
      </c>
      <c r="D584">
        <f>IF($P584="","",INDEX(명단표[전공의등록번호],$P584)&amp;"")</f>
        <v/>
      </c>
      <c r="E584">
        <f>IF($P584="","",INDEX(명단표[수련과목],$P584)&amp;"")</f>
        <v/>
      </c>
      <c r="F584">
        <f>IF($P584="","",INDEX(명단표[연차],$P584)&amp;"")</f>
        <v/>
      </c>
      <c r="G584">
        <f>IF($P584="","",INDEX(명단표[소속병원],$P584))</f>
        <v/>
      </c>
      <c r="H584">
        <f>IF($P584="","",IF(INDEX(명단표[소속병원],$P584)="서울병원","서울 소속","타 병원 소속("&amp;INDEX(명단표[소속병원],$P584)&amp;") → 서울 지급"))</f>
        <v/>
      </c>
      <c r="I584">
        <f>IF($P584="","",INDEX(명단표[현재 근무병원],$P584))</f>
        <v/>
      </c>
      <c r="J584">
        <f>IF($P584="","",INDEX(명단표[구리 근무 시작일(기준월)],$P584)&amp;"")</f>
        <v/>
      </c>
      <c r="K584">
        <f>IF($P584="","",INDEX(명단표[구리 근무 종료일(기준월)],$P584)&amp;"")</f>
        <v/>
      </c>
      <c r="L584">
        <f>IF($P584="","",INDEX(명단표[서울 근무일(기준월)],$P584))</f>
        <v/>
      </c>
      <c r="M584">
        <f>IF($P584="","",INDEX(명단표[구리 근무일(기준월)],$P584))</f>
        <v/>
      </c>
      <c r="N584">
        <f>IF($P584="","",INDEX(명단표[급여 판정 근거],$P584))</f>
        <v/>
      </c>
      <c r="O584">
        <f>IF($P584="","",INDEX(명단표[점검],$P584))</f>
        <v/>
      </c>
      <c r="P584" s="17">
        <f>IFERROR(MATCH(579,명단표[서울순번],0),"")</f>
        <v/>
      </c>
      <c r="R584">
        <f>IF($W584="","",INDEX(명단표[이름],$W584))</f>
        <v/>
      </c>
      <c r="S584">
        <f>IF($W584="","",INDEX(명단표[사번],$W584)&amp;"")</f>
        <v/>
      </c>
      <c r="T584">
        <f>IF($W584="","",INDEX(명단표[소속병원],$W584))</f>
        <v/>
      </c>
      <c r="U584">
        <f>IF($W584="","",INDEX(명단표[서울 근무일(기준월)],$W584))</f>
        <v/>
      </c>
      <c r="V584">
        <f>IF($W584="","",INDEX(명단표[구리 근무일(기준월)],$W584))</f>
        <v/>
      </c>
      <c r="W584" s="17">
        <f>IFERROR(MATCH(579,명단표[판정불가순번],0),"")</f>
        <v/>
      </c>
    </row>
    <row r="585">
      <c r="A585">
        <f>IF($P585="","",580)</f>
        <v/>
      </c>
      <c r="B585">
        <f>IF($P585="","",INDEX(명단표[이름],$P585))</f>
        <v/>
      </c>
      <c r="C585">
        <f>IF($P585="","",INDEX(명단표[사번],$P585)&amp;"")</f>
        <v/>
      </c>
      <c r="D585">
        <f>IF($P585="","",INDEX(명단표[전공의등록번호],$P585)&amp;"")</f>
        <v/>
      </c>
      <c r="E585">
        <f>IF($P585="","",INDEX(명단표[수련과목],$P585)&amp;"")</f>
        <v/>
      </c>
      <c r="F585">
        <f>IF($P585="","",INDEX(명단표[연차],$P585)&amp;"")</f>
        <v/>
      </c>
      <c r="G585">
        <f>IF($P585="","",INDEX(명단표[소속병원],$P585))</f>
        <v/>
      </c>
      <c r="H585">
        <f>IF($P585="","",IF(INDEX(명단표[소속병원],$P585)="서울병원","서울 소속","타 병원 소속("&amp;INDEX(명단표[소속병원],$P585)&amp;") → 서울 지급"))</f>
        <v/>
      </c>
      <c r="I585">
        <f>IF($P585="","",INDEX(명단표[현재 근무병원],$P585))</f>
        <v/>
      </c>
      <c r="J585">
        <f>IF($P585="","",INDEX(명단표[구리 근무 시작일(기준월)],$P585)&amp;"")</f>
        <v/>
      </c>
      <c r="K585">
        <f>IF($P585="","",INDEX(명단표[구리 근무 종료일(기준월)],$P585)&amp;"")</f>
        <v/>
      </c>
      <c r="L585">
        <f>IF($P585="","",INDEX(명단표[서울 근무일(기준월)],$P585))</f>
        <v/>
      </c>
      <c r="M585">
        <f>IF($P585="","",INDEX(명단표[구리 근무일(기준월)],$P585))</f>
        <v/>
      </c>
      <c r="N585">
        <f>IF($P585="","",INDEX(명단표[급여 판정 근거],$P585))</f>
        <v/>
      </c>
      <c r="O585">
        <f>IF($P585="","",INDEX(명단표[점검],$P585))</f>
        <v/>
      </c>
      <c r="P585" s="17">
        <f>IFERROR(MATCH(580,명단표[서울순번],0),"")</f>
        <v/>
      </c>
      <c r="R585">
        <f>IF($W585="","",INDEX(명단표[이름],$W585))</f>
        <v/>
      </c>
      <c r="S585">
        <f>IF($W585="","",INDEX(명단표[사번],$W585)&amp;"")</f>
        <v/>
      </c>
      <c r="T585">
        <f>IF($W585="","",INDEX(명단표[소속병원],$W585))</f>
        <v/>
      </c>
      <c r="U585">
        <f>IF($W585="","",INDEX(명단표[서울 근무일(기준월)],$W585))</f>
        <v/>
      </c>
      <c r="V585">
        <f>IF($W585="","",INDEX(명단표[구리 근무일(기준월)],$W585))</f>
        <v/>
      </c>
      <c r="W585" s="17">
        <f>IFERROR(MATCH(580,명단표[판정불가순번],0),"")</f>
        <v/>
      </c>
    </row>
    <row r="586">
      <c r="A586">
        <f>IF($P586="","",581)</f>
        <v/>
      </c>
      <c r="B586">
        <f>IF($P586="","",INDEX(명단표[이름],$P586))</f>
        <v/>
      </c>
      <c r="C586">
        <f>IF($P586="","",INDEX(명단표[사번],$P586)&amp;"")</f>
        <v/>
      </c>
      <c r="D586">
        <f>IF($P586="","",INDEX(명단표[전공의등록번호],$P586)&amp;"")</f>
        <v/>
      </c>
      <c r="E586">
        <f>IF($P586="","",INDEX(명단표[수련과목],$P586)&amp;"")</f>
        <v/>
      </c>
      <c r="F586">
        <f>IF($P586="","",INDEX(명단표[연차],$P586)&amp;"")</f>
        <v/>
      </c>
      <c r="G586">
        <f>IF($P586="","",INDEX(명단표[소속병원],$P586))</f>
        <v/>
      </c>
      <c r="H586">
        <f>IF($P586="","",IF(INDEX(명단표[소속병원],$P586)="서울병원","서울 소속","타 병원 소속("&amp;INDEX(명단표[소속병원],$P586)&amp;") → 서울 지급"))</f>
        <v/>
      </c>
      <c r="I586">
        <f>IF($P586="","",INDEX(명단표[현재 근무병원],$P586))</f>
        <v/>
      </c>
      <c r="J586">
        <f>IF($P586="","",INDEX(명단표[구리 근무 시작일(기준월)],$P586)&amp;"")</f>
        <v/>
      </c>
      <c r="K586">
        <f>IF($P586="","",INDEX(명단표[구리 근무 종료일(기준월)],$P586)&amp;"")</f>
        <v/>
      </c>
      <c r="L586">
        <f>IF($P586="","",INDEX(명단표[서울 근무일(기준월)],$P586))</f>
        <v/>
      </c>
      <c r="M586">
        <f>IF($P586="","",INDEX(명단표[구리 근무일(기준월)],$P586))</f>
        <v/>
      </c>
      <c r="N586">
        <f>IF($P586="","",INDEX(명단표[급여 판정 근거],$P586))</f>
        <v/>
      </c>
      <c r="O586">
        <f>IF($P586="","",INDEX(명단표[점검],$P586))</f>
        <v/>
      </c>
      <c r="P586" s="17">
        <f>IFERROR(MATCH(581,명단표[서울순번],0),"")</f>
        <v/>
      </c>
      <c r="R586">
        <f>IF($W586="","",INDEX(명단표[이름],$W586))</f>
        <v/>
      </c>
      <c r="S586">
        <f>IF($W586="","",INDEX(명단표[사번],$W586)&amp;"")</f>
        <v/>
      </c>
      <c r="T586">
        <f>IF($W586="","",INDEX(명단표[소속병원],$W586))</f>
        <v/>
      </c>
      <c r="U586">
        <f>IF($W586="","",INDEX(명단표[서울 근무일(기준월)],$W586))</f>
        <v/>
      </c>
      <c r="V586">
        <f>IF($W586="","",INDEX(명단표[구리 근무일(기준월)],$W586))</f>
        <v/>
      </c>
      <c r="W586" s="17">
        <f>IFERROR(MATCH(581,명단표[판정불가순번],0),"")</f>
        <v/>
      </c>
    </row>
    <row r="587">
      <c r="A587">
        <f>IF($P587="","",582)</f>
        <v/>
      </c>
      <c r="B587">
        <f>IF($P587="","",INDEX(명단표[이름],$P587))</f>
        <v/>
      </c>
      <c r="C587">
        <f>IF($P587="","",INDEX(명단표[사번],$P587)&amp;"")</f>
        <v/>
      </c>
      <c r="D587">
        <f>IF($P587="","",INDEX(명단표[전공의등록번호],$P587)&amp;"")</f>
        <v/>
      </c>
      <c r="E587">
        <f>IF($P587="","",INDEX(명단표[수련과목],$P587)&amp;"")</f>
        <v/>
      </c>
      <c r="F587">
        <f>IF($P587="","",INDEX(명단표[연차],$P587)&amp;"")</f>
        <v/>
      </c>
      <c r="G587">
        <f>IF($P587="","",INDEX(명단표[소속병원],$P587))</f>
        <v/>
      </c>
      <c r="H587">
        <f>IF($P587="","",IF(INDEX(명단표[소속병원],$P587)="서울병원","서울 소속","타 병원 소속("&amp;INDEX(명단표[소속병원],$P587)&amp;") → 서울 지급"))</f>
        <v/>
      </c>
      <c r="I587">
        <f>IF($P587="","",INDEX(명단표[현재 근무병원],$P587))</f>
        <v/>
      </c>
      <c r="J587">
        <f>IF($P587="","",INDEX(명단표[구리 근무 시작일(기준월)],$P587)&amp;"")</f>
        <v/>
      </c>
      <c r="K587">
        <f>IF($P587="","",INDEX(명단표[구리 근무 종료일(기준월)],$P587)&amp;"")</f>
        <v/>
      </c>
      <c r="L587">
        <f>IF($P587="","",INDEX(명단표[서울 근무일(기준월)],$P587))</f>
        <v/>
      </c>
      <c r="M587">
        <f>IF($P587="","",INDEX(명단표[구리 근무일(기준월)],$P587))</f>
        <v/>
      </c>
      <c r="N587">
        <f>IF($P587="","",INDEX(명단표[급여 판정 근거],$P587))</f>
        <v/>
      </c>
      <c r="O587">
        <f>IF($P587="","",INDEX(명단표[점검],$P587))</f>
        <v/>
      </c>
      <c r="P587" s="17">
        <f>IFERROR(MATCH(582,명단표[서울순번],0),"")</f>
        <v/>
      </c>
      <c r="R587">
        <f>IF($W587="","",INDEX(명단표[이름],$W587))</f>
        <v/>
      </c>
      <c r="S587">
        <f>IF($W587="","",INDEX(명단표[사번],$W587)&amp;"")</f>
        <v/>
      </c>
      <c r="T587">
        <f>IF($W587="","",INDEX(명단표[소속병원],$W587))</f>
        <v/>
      </c>
      <c r="U587">
        <f>IF($W587="","",INDEX(명단표[서울 근무일(기준월)],$W587))</f>
        <v/>
      </c>
      <c r="V587">
        <f>IF($W587="","",INDEX(명단표[구리 근무일(기준월)],$W587))</f>
        <v/>
      </c>
      <c r="W587" s="17">
        <f>IFERROR(MATCH(582,명단표[판정불가순번],0),"")</f>
        <v/>
      </c>
    </row>
    <row r="588">
      <c r="A588">
        <f>IF($P588="","",583)</f>
        <v/>
      </c>
      <c r="B588">
        <f>IF($P588="","",INDEX(명단표[이름],$P588))</f>
        <v/>
      </c>
      <c r="C588">
        <f>IF($P588="","",INDEX(명단표[사번],$P588)&amp;"")</f>
        <v/>
      </c>
      <c r="D588">
        <f>IF($P588="","",INDEX(명단표[전공의등록번호],$P588)&amp;"")</f>
        <v/>
      </c>
      <c r="E588">
        <f>IF($P588="","",INDEX(명단표[수련과목],$P588)&amp;"")</f>
        <v/>
      </c>
      <c r="F588">
        <f>IF($P588="","",INDEX(명단표[연차],$P588)&amp;"")</f>
        <v/>
      </c>
      <c r="G588">
        <f>IF($P588="","",INDEX(명단표[소속병원],$P588))</f>
        <v/>
      </c>
      <c r="H588">
        <f>IF($P588="","",IF(INDEX(명단표[소속병원],$P588)="서울병원","서울 소속","타 병원 소속("&amp;INDEX(명단표[소속병원],$P588)&amp;") → 서울 지급"))</f>
        <v/>
      </c>
      <c r="I588">
        <f>IF($P588="","",INDEX(명단표[현재 근무병원],$P588))</f>
        <v/>
      </c>
      <c r="J588">
        <f>IF($P588="","",INDEX(명단표[구리 근무 시작일(기준월)],$P588)&amp;"")</f>
        <v/>
      </c>
      <c r="K588">
        <f>IF($P588="","",INDEX(명단표[구리 근무 종료일(기준월)],$P588)&amp;"")</f>
        <v/>
      </c>
      <c r="L588">
        <f>IF($P588="","",INDEX(명단표[서울 근무일(기준월)],$P588))</f>
        <v/>
      </c>
      <c r="M588">
        <f>IF($P588="","",INDEX(명단표[구리 근무일(기준월)],$P588))</f>
        <v/>
      </c>
      <c r="N588">
        <f>IF($P588="","",INDEX(명단표[급여 판정 근거],$P588))</f>
        <v/>
      </c>
      <c r="O588">
        <f>IF($P588="","",INDEX(명단표[점검],$P588))</f>
        <v/>
      </c>
      <c r="P588" s="17">
        <f>IFERROR(MATCH(583,명단표[서울순번],0),"")</f>
        <v/>
      </c>
      <c r="R588">
        <f>IF($W588="","",INDEX(명단표[이름],$W588))</f>
        <v/>
      </c>
      <c r="S588">
        <f>IF($W588="","",INDEX(명단표[사번],$W588)&amp;"")</f>
        <v/>
      </c>
      <c r="T588">
        <f>IF($W588="","",INDEX(명단표[소속병원],$W588))</f>
        <v/>
      </c>
      <c r="U588">
        <f>IF($W588="","",INDEX(명단표[서울 근무일(기준월)],$W588))</f>
        <v/>
      </c>
      <c r="V588">
        <f>IF($W588="","",INDEX(명단표[구리 근무일(기준월)],$W588))</f>
        <v/>
      </c>
      <c r="W588" s="17">
        <f>IFERROR(MATCH(583,명단표[판정불가순번],0),"")</f>
        <v/>
      </c>
    </row>
    <row r="589">
      <c r="A589">
        <f>IF($P589="","",584)</f>
        <v/>
      </c>
      <c r="B589">
        <f>IF($P589="","",INDEX(명단표[이름],$P589))</f>
        <v/>
      </c>
      <c r="C589">
        <f>IF($P589="","",INDEX(명단표[사번],$P589)&amp;"")</f>
        <v/>
      </c>
      <c r="D589">
        <f>IF($P589="","",INDEX(명단표[전공의등록번호],$P589)&amp;"")</f>
        <v/>
      </c>
      <c r="E589">
        <f>IF($P589="","",INDEX(명단표[수련과목],$P589)&amp;"")</f>
        <v/>
      </c>
      <c r="F589">
        <f>IF($P589="","",INDEX(명단표[연차],$P589)&amp;"")</f>
        <v/>
      </c>
      <c r="G589">
        <f>IF($P589="","",INDEX(명단표[소속병원],$P589))</f>
        <v/>
      </c>
      <c r="H589">
        <f>IF($P589="","",IF(INDEX(명단표[소속병원],$P589)="서울병원","서울 소속","타 병원 소속("&amp;INDEX(명단표[소속병원],$P589)&amp;") → 서울 지급"))</f>
        <v/>
      </c>
      <c r="I589">
        <f>IF($P589="","",INDEX(명단표[현재 근무병원],$P589))</f>
        <v/>
      </c>
      <c r="J589">
        <f>IF($P589="","",INDEX(명단표[구리 근무 시작일(기준월)],$P589)&amp;"")</f>
        <v/>
      </c>
      <c r="K589">
        <f>IF($P589="","",INDEX(명단표[구리 근무 종료일(기준월)],$P589)&amp;"")</f>
        <v/>
      </c>
      <c r="L589">
        <f>IF($P589="","",INDEX(명단표[서울 근무일(기준월)],$P589))</f>
        <v/>
      </c>
      <c r="M589">
        <f>IF($P589="","",INDEX(명단표[구리 근무일(기준월)],$P589))</f>
        <v/>
      </c>
      <c r="N589">
        <f>IF($P589="","",INDEX(명단표[급여 판정 근거],$P589))</f>
        <v/>
      </c>
      <c r="O589">
        <f>IF($P589="","",INDEX(명단표[점검],$P589))</f>
        <v/>
      </c>
      <c r="P589" s="17">
        <f>IFERROR(MATCH(584,명단표[서울순번],0),"")</f>
        <v/>
      </c>
      <c r="R589">
        <f>IF($W589="","",INDEX(명단표[이름],$W589))</f>
        <v/>
      </c>
      <c r="S589">
        <f>IF($W589="","",INDEX(명단표[사번],$W589)&amp;"")</f>
        <v/>
      </c>
      <c r="T589">
        <f>IF($W589="","",INDEX(명단표[소속병원],$W589))</f>
        <v/>
      </c>
      <c r="U589">
        <f>IF($W589="","",INDEX(명단표[서울 근무일(기준월)],$W589))</f>
        <v/>
      </c>
      <c r="V589">
        <f>IF($W589="","",INDEX(명단표[구리 근무일(기준월)],$W589))</f>
        <v/>
      </c>
      <c r="W589" s="17">
        <f>IFERROR(MATCH(584,명단표[판정불가순번],0),"")</f>
        <v/>
      </c>
    </row>
    <row r="590">
      <c r="A590">
        <f>IF($P590="","",585)</f>
        <v/>
      </c>
      <c r="B590">
        <f>IF($P590="","",INDEX(명단표[이름],$P590))</f>
        <v/>
      </c>
      <c r="C590">
        <f>IF($P590="","",INDEX(명단표[사번],$P590)&amp;"")</f>
        <v/>
      </c>
      <c r="D590">
        <f>IF($P590="","",INDEX(명단표[전공의등록번호],$P590)&amp;"")</f>
        <v/>
      </c>
      <c r="E590">
        <f>IF($P590="","",INDEX(명단표[수련과목],$P590)&amp;"")</f>
        <v/>
      </c>
      <c r="F590">
        <f>IF($P590="","",INDEX(명단표[연차],$P590)&amp;"")</f>
        <v/>
      </c>
      <c r="G590">
        <f>IF($P590="","",INDEX(명단표[소속병원],$P590))</f>
        <v/>
      </c>
      <c r="H590">
        <f>IF($P590="","",IF(INDEX(명단표[소속병원],$P590)="서울병원","서울 소속","타 병원 소속("&amp;INDEX(명단표[소속병원],$P590)&amp;") → 서울 지급"))</f>
        <v/>
      </c>
      <c r="I590">
        <f>IF($P590="","",INDEX(명단표[현재 근무병원],$P590))</f>
        <v/>
      </c>
      <c r="J590">
        <f>IF($P590="","",INDEX(명단표[구리 근무 시작일(기준월)],$P590)&amp;"")</f>
        <v/>
      </c>
      <c r="K590">
        <f>IF($P590="","",INDEX(명단표[구리 근무 종료일(기준월)],$P590)&amp;"")</f>
        <v/>
      </c>
      <c r="L590">
        <f>IF($P590="","",INDEX(명단표[서울 근무일(기준월)],$P590))</f>
        <v/>
      </c>
      <c r="M590">
        <f>IF($P590="","",INDEX(명단표[구리 근무일(기준월)],$P590))</f>
        <v/>
      </c>
      <c r="N590">
        <f>IF($P590="","",INDEX(명단표[급여 판정 근거],$P590))</f>
        <v/>
      </c>
      <c r="O590">
        <f>IF($P590="","",INDEX(명단표[점검],$P590))</f>
        <v/>
      </c>
      <c r="P590" s="17">
        <f>IFERROR(MATCH(585,명단표[서울순번],0),"")</f>
        <v/>
      </c>
      <c r="R590">
        <f>IF($W590="","",INDEX(명단표[이름],$W590))</f>
        <v/>
      </c>
      <c r="S590">
        <f>IF($W590="","",INDEX(명단표[사번],$W590)&amp;"")</f>
        <v/>
      </c>
      <c r="T590">
        <f>IF($W590="","",INDEX(명단표[소속병원],$W590))</f>
        <v/>
      </c>
      <c r="U590">
        <f>IF($W590="","",INDEX(명단표[서울 근무일(기준월)],$W590))</f>
        <v/>
      </c>
      <c r="V590">
        <f>IF($W590="","",INDEX(명단표[구리 근무일(기준월)],$W590))</f>
        <v/>
      </c>
      <c r="W590" s="17">
        <f>IFERROR(MATCH(585,명단표[판정불가순번],0),"")</f>
        <v/>
      </c>
    </row>
    <row r="591">
      <c r="A591">
        <f>IF($P591="","",586)</f>
        <v/>
      </c>
      <c r="B591">
        <f>IF($P591="","",INDEX(명단표[이름],$P591))</f>
        <v/>
      </c>
      <c r="C591">
        <f>IF($P591="","",INDEX(명단표[사번],$P591)&amp;"")</f>
        <v/>
      </c>
      <c r="D591">
        <f>IF($P591="","",INDEX(명단표[전공의등록번호],$P591)&amp;"")</f>
        <v/>
      </c>
      <c r="E591">
        <f>IF($P591="","",INDEX(명단표[수련과목],$P591)&amp;"")</f>
        <v/>
      </c>
      <c r="F591">
        <f>IF($P591="","",INDEX(명단표[연차],$P591)&amp;"")</f>
        <v/>
      </c>
      <c r="G591">
        <f>IF($P591="","",INDEX(명단표[소속병원],$P591))</f>
        <v/>
      </c>
      <c r="H591">
        <f>IF($P591="","",IF(INDEX(명단표[소속병원],$P591)="서울병원","서울 소속","타 병원 소속("&amp;INDEX(명단표[소속병원],$P591)&amp;") → 서울 지급"))</f>
        <v/>
      </c>
      <c r="I591">
        <f>IF($P591="","",INDEX(명단표[현재 근무병원],$P591))</f>
        <v/>
      </c>
      <c r="J591">
        <f>IF($P591="","",INDEX(명단표[구리 근무 시작일(기준월)],$P591)&amp;"")</f>
        <v/>
      </c>
      <c r="K591">
        <f>IF($P591="","",INDEX(명단표[구리 근무 종료일(기준월)],$P591)&amp;"")</f>
        <v/>
      </c>
      <c r="L591">
        <f>IF($P591="","",INDEX(명단표[서울 근무일(기준월)],$P591))</f>
        <v/>
      </c>
      <c r="M591">
        <f>IF($P591="","",INDEX(명단표[구리 근무일(기준월)],$P591))</f>
        <v/>
      </c>
      <c r="N591">
        <f>IF($P591="","",INDEX(명단표[급여 판정 근거],$P591))</f>
        <v/>
      </c>
      <c r="O591">
        <f>IF($P591="","",INDEX(명단표[점검],$P591))</f>
        <v/>
      </c>
      <c r="P591" s="17">
        <f>IFERROR(MATCH(586,명단표[서울순번],0),"")</f>
        <v/>
      </c>
      <c r="R591">
        <f>IF($W591="","",INDEX(명단표[이름],$W591))</f>
        <v/>
      </c>
      <c r="S591">
        <f>IF($W591="","",INDEX(명단표[사번],$W591)&amp;"")</f>
        <v/>
      </c>
      <c r="T591">
        <f>IF($W591="","",INDEX(명단표[소속병원],$W591))</f>
        <v/>
      </c>
      <c r="U591">
        <f>IF($W591="","",INDEX(명단표[서울 근무일(기준월)],$W591))</f>
        <v/>
      </c>
      <c r="V591">
        <f>IF($W591="","",INDEX(명단표[구리 근무일(기준월)],$W591))</f>
        <v/>
      </c>
      <c r="W591" s="17">
        <f>IFERROR(MATCH(586,명단표[판정불가순번],0),"")</f>
        <v/>
      </c>
    </row>
    <row r="592">
      <c r="A592">
        <f>IF($P592="","",587)</f>
        <v/>
      </c>
      <c r="B592">
        <f>IF($P592="","",INDEX(명단표[이름],$P592))</f>
        <v/>
      </c>
      <c r="C592">
        <f>IF($P592="","",INDEX(명단표[사번],$P592)&amp;"")</f>
        <v/>
      </c>
      <c r="D592">
        <f>IF($P592="","",INDEX(명단표[전공의등록번호],$P592)&amp;"")</f>
        <v/>
      </c>
      <c r="E592">
        <f>IF($P592="","",INDEX(명단표[수련과목],$P592)&amp;"")</f>
        <v/>
      </c>
      <c r="F592">
        <f>IF($P592="","",INDEX(명단표[연차],$P592)&amp;"")</f>
        <v/>
      </c>
      <c r="G592">
        <f>IF($P592="","",INDEX(명단표[소속병원],$P592))</f>
        <v/>
      </c>
      <c r="H592">
        <f>IF($P592="","",IF(INDEX(명단표[소속병원],$P592)="서울병원","서울 소속","타 병원 소속("&amp;INDEX(명단표[소속병원],$P592)&amp;") → 서울 지급"))</f>
        <v/>
      </c>
      <c r="I592">
        <f>IF($P592="","",INDEX(명단표[현재 근무병원],$P592))</f>
        <v/>
      </c>
      <c r="J592">
        <f>IF($P592="","",INDEX(명단표[구리 근무 시작일(기준월)],$P592)&amp;"")</f>
        <v/>
      </c>
      <c r="K592">
        <f>IF($P592="","",INDEX(명단표[구리 근무 종료일(기준월)],$P592)&amp;"")</f>
        <v/>
      </c>
      <c r="L592">
        <f>IF($P592="","",INDEX(명단표[서울 근무일(기준월)],$P592))</f>
        <v/>
      </c>
      <c r="M592">
        <f>IF($P592="","",INDEX(명단표[구리 근무일(기준월)],$P592))</f>
        <v/>
      </c>
      <c r="N592">
        <f>IF($P592="","",INDEX(명단표[급여 판정 근거],$P592))</f>
        <v/>
      </c>
      <c r="O592">
        <f>IF($P592="","",INDEX(명단표[점검],$P592))</f>
        <v/>
      </c>
      <c r="P592" s="17">
        <f>IFERROR(MATCH(587,명단표[서울순번],0),"")</f>
        <v/>
      </c>
      <c r="R592">
        <f>IF($W592="","",INDEX(명단표[이름],$W592))</f>
        <v/>
      </c>
      <c r="S592">
        <f>IF($W592="","",INDEX(명단표[사번],$W592)&amp;"")</f>
        <v/>
      </c>
      <c r="T592">
        <f>IF($W592="","",INDEX(명단표[소속병원],$W592))</f>
        <v/>
      </c>
      <c r="U592">
        <f>IF($W592="","",INDEX(명단표[서울 근무일(기준월)],$W592))</f>
        <v/>
      </c>
      <c r="V592">
        <f>IF($W592="","",INDEX(명단표[구리 근무일(기준월)],$W592))</f>
        <v/>
      </c>
      <c r="W592" s="17">
        <f>IFERROR(MATCH(587,명단표[판정불가순번],0),"")</f>
        <v/>
      </c>
    </row>
    <row r="593">
      <c r="A593">
        <f>IF($P593="","",588)</f>
        <v/>
      </c>
      <c r="B593">
        <f>IF($P593="","",INDEX(명단표[이름],$P593))</f>
        <v/>
      </c>
      <c r="C593">
        <f>IF($P593="","",INDEX(명단표[사번],$P593)&amp;"")</f>
        <v/>
      </c>
      <c r="D593">
        <f>IF($P593="","",INDEX(명단표[전공의등록번호],$P593)&amp;"")</f>
        <v/>
      </c>
      <c r="E593">
        <f>IF($P593="","",INDEX(명단표[수련과목],$P593)&amp;"")</f>
        <v/>
      </c>
      <c r="F593">
        <f>IF($P593="","",INDEX(명단표[연차],$P593)&amp;"")</f>
        <v/>
      </c>
      <c r="G593">
        <f>IF($P593="","",INDEX(명단표[소속병원],$P593))</f>
        <v/>
      </c>
      <c r="H593">
        <f>IF($P593="","",IF(INDEX(명단표[소속병원],$P593)="서울병원","서울 소속","타 병원 소속("&amp;INDEX(명단표[소속병원],$P593)&amp;") → 서울 지급"))</f>
        <v/>
      </c>
      <c r="I593">
        <f>IF($P593="","",INDEX(명단표[현재 근무병원],$P593))</f>
        <v/>
      </c>
      <c r="J593">
        <f>IF($P593="","",INDEX(명단표[구리 근무 시작일(기준월)],$P593)&amp;"")</f>
        <v/>
      </c>
      <c r="K593">
        <f>IF($P593="","",INDEX(명단표[구리 근무 종료일(기준월)],$P593)&amp;"")</f>
        <v/>
      </c>
      <c r="L593">
        <f>IF($P593="","",INDEX(명단표[서울 근무일(기준월)],$P593))</f>
        <v/>
      </c>
      <c r="M593">
        <f>IF($P593="","",INDEX(명단표[구리 근무일(기준월)],$P593))</f>
        <v/>
      </c>
      <c r="N593">
        <f>IF($P593="","",INDEX(명단표[급여 판정 근거],$P593))</f>
        <v/>
      </c>
      <c r="O593">
        <f>IF($P593="","",INDEX(명단표[점검],$P593))</f>
        <v/>
      </c>
      <c r="P593" s="17">
        <f>IFERROR(MATCH(588,명단표[서울순번],0),"")</f>
        <v/>
      </c>
      <c r="R593">
        <f>IF($W593="","",INDEX(명단표[이름],$W593))</f>
        <v/>
      </c>
      <c r="S593">
        <f>IF($W593="","",INDEX(명단표[사번],$W593)&amp;"")</f>
        <v/>
      </c>
      <c r="T593">
        <f>IF($W593="","",INDEX(명단표[소속병원],$W593))</f>
        <v/>
      </c>
      <c r="U593">
        <f>IF($W593="","",INDEX(명단표[서울 근무일(기준월)],$W593))</f>
        <v/>
      </c>
      <c r="V593">
        <f>IF($W593="","",INDEX(명단표[구리 근무일(기준월)],$W593))</f>
        <v/>
      </c>
      <c r="W593" s="17">
        <f>IFERROR(MATCH(588,명단표[판정불가순번],0),"")</f>
        <v/>
      </c>
    </row>
    <row r="594">
      <c r="A594">
        <f>IF($P594="","",589)</f>
        <v/>
      </c>
      <c r="B594">
        <f>IF($P594="","",INDEX(명단표[이름],$P594))</f>
        <v/>
      </c>
      <c r="C594">
        <f>IF($P594="","",INDEX(명단표[사번],$P594)&amp;"")</f>
        <v/>
      </c>
      <c r="D594">
        <f>IF($P594="","",INDEX(명단표[전공의등록번호],$P594)&amp;"")</f>
        <v/>
      </c>
      <c r="E594">
        <f>IF($P594="","",INDEX(명단표[수련과목],$P594)&amp;"")</f>
        <v/>
      </c>
      <c r="F594">
        <f>IF($P594="","",INDEX(명단표[연차],$P594)&amp;"")</f>
        <v/>
      </c>
      <c r="G594">
        <f>IF($P594="","",INDEX(명단표[소속병원],$P594))</f>
        <v/>
      </c>
      <c r="H594">
        <f>IF($P594="","",IF(INDEX(명단표[소속병원],$P594)="서울병원","서울 소속","타 병원 소속("&amp;INDEX(명단표[소속병원],$P594)&amp;") → 서울 지급"))</f>
        <v/>
      </c>
      <c r="I594">
        <f>IF($P594="","",INDEX(명단표[현재 근무병원],$P594))</f>
        <v/>
      </c>
      <c r="J594">
        <f>IF($P594="","",INDEX(명단표[구리 근무 시작일(기준월)],$P594)&amp;"")</f>
        <v/>
      </c>
      <c r="K594">
        <f>IF($P594="","",INDEX(명단표[구리 근무 종료일(기준월)],$P594)&amp;"")</f>
        <v/>
      </c>
      <c r="L594">
        <f>IF($P594="","",INDEX(명단표[서울 근무일(기준월)],$P594))</f>
        <v/>
      </c>
      <c r="M594">
        <f>IF($P594="","",INDEX(명단표[구리 근무일(기준월)],$P594))</f>
        <v/>
      </c>
      <c r="N594">
        <f>IF($P594="","",INDEX(명단표[급여 판정 근거],$P594))</f>
        <v/>
      </c>
      <c r="O594">
        <f>IF($P594="","",INDEX(명단표[점검],$P594))</f>
        <v/>
      </c>
      <c r="P594" s="17">
        <f>IFERROR(MATCH(589,명단표[서울순번],0),"")</f>
        <v/>
      </c>
      <c r="R594">
        <f>IF($W594="","",INDEX(명단표[이름],$W594))</f>
        <v/>
      </c>
      <c r="S594">
        <f>IF($W594="","",INDEX(명단표[사번],$W594)&amp;"")</f>
        <v/>
      </c>
      <c r="T594">
        <f>IF($W594="","",INDEX(명단표[소속병원],$W594))</f>
        <v/>
      </c>
      <c r="U594">
        <f>IF($W594="","",INDEX(명단표[서울 근무일(기준월)],$W594))</f>
        <v/>
      </c>
      <c r="V594">
        <f>IF($W594="","",INDEX(명단표[구리 근무일(기준월)],$W594))</f>
        <v/>
      </c>
      <c r="W594" s="17">
        <f>IFERROR(MATCH(589,명단표[판정불가순번],0),"")</f>
        <v/>
      </c>
    </row>
    <row r="595">
      <c r="A595">
        <f>IF($P595="","",590)</f>
        <v/>
      </c>
      <c r="B595">
        <f>IF($P595="","",INDEX(명단표[이름],$P595))</f>
        <v/>
      </c>
      <c r="C595">
        <f>IF($P595="","",INDEX(명단표[사번],$P595)&amp;"")</f>
        <v/>
      </c>
      <c r="D595">
        <f>IF($P595="","",INDEX(명단표[전공의등록번호],$P595)&amp;"")</f>
        <v/>
      </c>
      <c r="E595">
        <f>IF($P595="","",INDEX(명단표[수련과목],$P595)&amp;"")</f>
        <v/>
      </c>
      <c r="F595">
        <f>IF($P595="","",INDEX(명단표[연차],$P595)&amp;"")</f>
        <v/>
      </c>
      <c r="G595">
        <f>IF($P595="","",INDEX(명단표[소속병원],$P595))</f>
        <v/>
      </c>
      <c r="H595">
        <f>IF($P595="","",IF(INDEX(명단표[소속병원],$P595)="서울병원","서울 소속","타 병원 소속("&amp;INDEX(명단표[소속병원],$P595)&amp;") → 서울 지급"))</f>
        <v/>
      </c>
      <c r="I595">
        <f>IF($P595="","",INDEX(명단표[현재 근무병원],$P595))</f>
        <v/>
      </c>
      <c r="J595">
        <f>IF($P595="","",INDEX(명단표[구리 근무 시작일(기준월)],$P595)&amp;"")</f>
        <v/>
      </c>
      <c r="K595">
        <f>IF($P595="","",INDEX(명단표[구리 근무 종료일(기준월)],$P595)&amp;"")</f>
        <v/>
      </c>
      <c r="L595">
        <f>IF($P595="","",INDEX(명단표[서울 근무일(기준월)],$P595))</f>
        <v/>
      </c>
      <c r="M595">
        <f>IF($P595="","",INDEX(명단표[구리 근무일(기준월)],$P595))</f>
        <v/>
      </c>
      <c r="N595">
        <f>IF($P595="","",INDEX(명단표[급여 판정 근거],$P595))</f>
        <v/>
      </c>
      <c r="O595">
        <f>IF($P595="","",INDEX(명단표[점검],$P595))</f>
        <v/>
      </c>
      <c r="P595" s="17">
        <f>IFERROR(MATCH(590,명단표[서울순번],0),"")</f>
        <v/>
      </c>
      <c r="R595">
        <f>IF($W595="","",INDEX(명단표[이름],$W595))</f>
        <v/>
      </c>
      <c r="S595">
        <f>IF($W595="","",INDEX(명단표[사번],$W595)&amp;"")</f>
        <v/>
      </c>
      <c r="T595">
        <f>IF($W595="","",INDEX(명단표[소속병원],$W595))</f>
        <v/>
      </c>
      <c r="U595">
        <f>IF($W595="","",INDEX(명단표[서울 근무일(기준월)],$W595))</f>
        <v/>
      </c>
      <c r="V595">
        <f>IF($W595="","",INDEX(명단표[구리 근무일(기준월)],$W595))</f>
        <v/>
      </c>
      <c r="W595" s="17">
        <f>IFERROR(MATCH(590,명단표[판정불가순번],0),"")</f>
        <v/>
      </c>
    </row>
    <row r="596">
      <c r="A596">
        <f>IF($P596="","",591)</f>
        <v/>
      </c>
      <c r="B596">
        <f>IF($P596="","",INDEX(명단표[이름],$P596))</f>
        <v/>
      </c>
      <c r="C596">
        <f>IF($P596="","",INDEX(명단표[사번],$P596)&amp;"")</f>
        <v/>
      </c>
      <c r="D596">
        <f>IF($P596="","",INDEX(명단표[전공의등록번호],$P596)&amp;"")</f>
        <v/>
      </c>
      <c r="E596">
        <f>IF($P596="","",INDEX(명단표[수련과목],$P596)&amp;"")</f>
        <v/>
      </c>
      <c r="F596">
        <f>IF($P596="","",INDEX(명단표[연차],$P596)&amp;"")</f>
        <v/>
      </c>
      <c r="G596">
        <f>IF($P596="","",INDEX(명단표[소속병원],$P596))</f>
        <v/>
      </c>
      <c r="H596">
        <f>IF($P596="","",IF(INDEX(명단표[소속병원],$P596)="서울병원","서울 소속","타 병원 소속("&amp;INDEX(명단표[소속병원],$P596)&amp;") → 서울 지급"))</f>
        <v/>
      </c>
      <c r="I596">
        <f>IF($P596="","",INDEX(명단표[현재 근무병원],$P596))</f>
        <v/>
      </c>
      <c r="J596">
        <f>IF($P596="","",INDEX(명단표[구리 근무 시작일(기준월)],$P596)&amp;"")</f>
        <v/>
      </c>
      <c r="K596">
        <f>IF($P596="","",INDEX(명단표[구리 근무 종료일(기준월)],$P596)&amp;"")</f>
        <v/>
      </c>
      <c r="L596">
        <f>IF($P596="","",INDEX(명단표[서울 근무일(기준월)],$P596))</f>
        <v/>
      </c>
      <c r="M596">
        <f>IF($P596="","",INDEX(명단표[구리 근무일(기준월)],$P596))</f>
        <v/>
      </c>
      <c r="N596">
        <f>IF($P596="","",INDEX(명단표[급여 판정 근거],$P596))</f>
        <v/>
      </c>
      <c r="O596">
        <f>IF($P596="","",INDEX(명단표[점검],$P596))</f>
        <v/>
      </c>
      <c r="P596" s="17">
        <f>IFERROR(MATCH(591,명단표[서울순번],0),"")</f>
        <v/>
      </c>
      <c r="R596">
        <f>IF($W596="","",INDEX(명단표[이름],$W596))</f>
        <v/>
      </c>
      <c r="S596">
        <f>IF($W596="","",INDEX(명단표[사번],$W596)&amp;"")</f>
        <v/>
      </c>
      <c r="T596">
        <f>IF($W596="","",INDEX(명단표[소속병원],$W596))</f>
        <v/>
      </c>
      <c r="U596">
        <f>IF($W596="","",INDEX(명단표[서울 근무일(기준월)],$W596))</f>
        <v/>
      </c>
      <c r="V596">
        <f>IF($W596="","",INDEX(명단표[구리 근무일(기준월)],$W596))</f>
        <v/>
      </c>
      <c r="W596" s="17">
        <f>IFERROR(MATCH(591,명단표[판정불가순번],0),"")</f>
        <v/>
      </c>
    </row>
    <row r="597">
      <c r="A597">
        <f>IF($P597="","",592)</f>
        <v/>
      </c>
      <c r="B597">
        <f>IF($P597="","",INDEX(명단표[이름],$P597))</f>
        <v/>
      </c>
      <c r="C597">
        <f>IF($P597="","",INDEX(명단표[사번],$P597)&amp;"")</f>
        <v/>
      </c>
      <c r="D597">
        <f>IF($P597="","",INDEX(명단표[전공의등록번호],$P597)&amp;"")</f>
        <v/>
      </c>
      <c r="E597">
        <f>IF($P597="","",INDEX(명단표[수련과목],$P597)&amp;"")</f>
        <v/>
      </c>
      <c r="F597">
        <f>IF($P597="","",INDEX(명단표[연차],$P597)&amp;"")</f>
        <v/>
      </c>
      <c r="G597">
        <f>IF($P597="","",INDEX(명단표[소속병원],$P597))</f>
        <v/>
      </c>
      <c r="H597">
        <f>IF($P597="","",IF(INDEX(명단표[소속병원],$P597)="서울병원","서울 소속","타 병원 소속("&amp;INDEX(명단표[소속병원],$P597)&amp;") → 서울 지급"))</f>
        <v/>
      </c>
      <c r="I597">
        <f>IF($P597="","",INDEX(명단표[현재 근무병원],$P597))</f>
        <v/>
      </c>
      <c r="J597">
        <f>IF($P597="","",INDEX(명단표[구리 근무 시작일(기준월)],$P597)&amp;"")</f>
        <v/>
      </c>
      <c r="K597">
        <f>IF($P597="","",INDEX(명단표[구리 근무 종료일(기준월)],$P597)&amp;"")</f>
        <v/>
      </c>
      <c r="L597">
        <f>IF($P597="","",INDEX(명단표[서울 근무일(기준월)],$P597))</f>
        <v/>
      </c>
      <c r="M597">
        <f>IF($P597="","",INDEX(명단표[구리 근무일(기준월)],$P597))</f>
        <v/>
      </c>
      <c r="N597">
        <f>IF($P597="","",INDEX(명단표[급여 판정 근거],$P597))</f>
        <v/>
      </c>
      <c r="O597">
        <f>IF($P597="","",INDEX(명단표[점검],$P597))</f>
        <v/>
      </c>
      <c r="P597" s="17">
        <f>IFERROR(MATCH(592,명단표[서울순번],0),"")</f>
        <v/>
      </c>
      <c r="R597">
        <f>IF($W597="","",INDEX(명단표[이름],$W597))</f>
        <v/>
      </c>
      <c r="S597">
        <f>IF($W597="","",INDEX(명단표[사번],$W597)&amp;"")</f>
        <v/>
      </c>
      <c r="T597">
        <f>IF($W597="","",INDEX(명단표[소속병원],$W597))</f>
        <v/>
      </c>
      <c r="U597">
        <f>IF($W597="","",INDEX(명단표[서울 근무일(기준월)],$W597))</f>
        <v/>
      </c>
      <c r="V597">
        <f>IF($W597="","",INDEX(명단표[구리 근무일(기준월)],$W597))</f>
        <v/>
      </c>
      <c r="W597" s="17">
        <f>IFERROR(MATCH(592,명단표[판정불가순번],0),"")</f>
        <v/>
      </c>
    </row>
    <row r="598">
      <c r="A598">
        <f>IF($P598="","",593)</f>
        <v/>
      </c>
      <c r="B598">
        <f>IF($P598="","",INDEX(명단표[이름],$P598))</f>
        <v/>
      </c>
      <c r="C598">
        <f>IF($P598="","",INDEX(명단표[사번],$P598)&amp;"")</f>
        <v/>
      </c>
      <c r="D598">
        <f>IF($P598="","",INDEX(명단표[전공의등록번호],$P598)&amp;"")</f>
        <v/>
      </c>
      <c r="E598">
        <f>IF($P598="","",INDEX(명단표[수련과목],$P598)&amp;"")</f>
        <v/>
      </c>
      <c r="F598">
        <f>IF($P598="","",INDEX(명단표[연차],$P598)&amp;"")</f>
        <v/>
      </c>
      <c r="G598">
        <f>IF($P598="","",INDEX(명단표[소속병원],$P598))</f>
        <v/>
      </c>
      <c r="H598">
        <f>IF($P598="","",IF(INDEX(명단표[소속병원],$P598)="서울병원","서울 소속","타 병원 소속("&amp;INDEX(명단표[소속병원],$P598)&amp;") → 서울 지급"))</f>
        <v/>
      </c>
      <c r="I598">
        <f>IF($P598="","",INDEX(명단표[현재 근무병원],$P598))</f>
        <v/>
      </c>
      <c r="J598">
        <f>IF($P598="","",INDEX(명단표[구리 근무 시작일(기준월)],$P598)&amp;"")</f>
        <v/>
      </c>
      <c r="K598">
        <f>IF($P598="","",INDEX(명단표[구리 근무 종료일(기준월)],$P598)&amp;"")</f>
        <v/>
      </c>
      <c r="L598">
        <f>IF($P598="","",INDEX(명단표[서울 근무일(기준월)],$P598))</f>
        <v/>
      </c>
      <c r="M598">
        <f>IF($P598="","",INDEX(명단표[구리 근무일(기준월)],$P598))</f>
        <v/>
      </c>
      <c r="N598">
        <f>IF($P598="","",INDEX(명단표[급여 판정 근거],$P598))</f>
        <v/>
      </c>
      <c r="O598">
        <f>IF($P598="","",INDEX(명단표[점검],$P598))</f>
        <v/>
      </c>
      <c r="P598" s="17">
        <f>IFERROR(MATCH(593,명단표[서울순번],0),"")</f>
        <v/>
      </c>
      <c r="R598">
        <f>IF($W598="","",INDEX(명단표[이름],$W598))</f>
        <v/>
      </c>
      <c r="S598">
        <f>IF($W598="","",INDEX(명단표[사번],$W598)&amp;"")</f>
        <v/>
      </c>
      <c r="T598">
        <f>IF($W598="","",INDEX(명단표[소속병원],$W598))</f>
        <v/>
      </c>
      <c r="U598">
        <f>IF($W598="","",INDEX(명단표[서울 근무일(기준월)],$W598))</f>
        <v/>
      </c>
      <c r="V598">
        <f>IF($W598="","",INDEX(명단표[구리 근무일(기준월)],$W598))</f>
        <v/>
      </c>
      <c r="W598" s="17">
        <f>IFERROR(MATCH(593,명단표[판정불가순번],0),"")</f>
        <v/>
      </c>
    </row>
    <row r="599">
      <c r="A599">
        <f>IF($P599="","",594)</f>
        <v/>
      </c>
      <c r="B599">
        <f>IF($P599="","",INDEX(명단표[이름],$P599))</f>
        <v/>
      </c>
      <c r="C599">
        <f>IF($P599="","",INDEX(명단표[사번],$P599)&amp;"")</f>
        <v/>
      </c>
      <c r="D599">
        <f>IF($P599="","",INDEX(명단표[전공의등록번호],$P599)&amp;"")</f>
        <v/>
      </c>
      <c r="E599">
        <f>IF($P599="","",INDEX(명단표[수련과목],$P599)&amp;"")</f>
        <v/>
      </c>
      <c r="F599">
        <f>IF($P599="","",INDEX(명단표[연차],$P599)&amp;"")</f>
        <v/>
      </c>
      <c r="G599">
        <f>IF($P599="","",INDEX(명단표[소속병원],$P599))</f>
        <v/>
      </c>
      <c r="H599">
        <f>IF($P599="","",IF(INDEX(명단표[소속병원],$P599)="서울병원","서울 소속","타 병원 소속("&amp;INDEX(명단표[소속병원],$P599)&amp;") → 서울 지급"))</f>
        <v/>
      </c>
      <c r="I599">
        <f>IF($P599="","",INDEX(명단표[현재 근무병원],$P599))</f>
        <v/>
      </c>
      <c r="J599">
        <f>IF($P599="","",INDEX(명단표[구리 근무 시작일(기준월)],$P599)&amp;"")</f>
        <v/>
      </c>
      <c r="K599">
        <f>IF($P599="","",INDEX(명단표[구리 근무 종료일(기준월)],$P599)&amp;"")</f>
        <v/>
      </c>
      <c r="L599">
        <f>IF($P599="","",INDEX(명단표[서울 근무일(기준월)],$P599))</f>
        <v/>
      </c>
      <c r="M599">
        <f>IF($P599="","",INDEX(명단표[구리 근무일(기준월)],$P599))</f>
        <v/>
      </c>
      <c r="N599">
        <f>IF($P599="","",INDEX(명단표[급여 판정 근거],$P599))</f>
        <v/>
      </c>
      <c r="O599">
        <f>IF($P599="","",INDEX(명단표[점검],$P599))</f>
        <v/>
      </c>
      <c r="P599" s="17">
        <f>IFERROR(MATCH(594,명단표[서울순번],0),"")</f>
        <v/>
      </c>
      <c r="R599">
        <f>IF($W599="","",INDEX(명단표[이름],$W599))</f>
        <v/>
      </c>
      <c r="S599">
        <f>IF($W599="","",INDEX(명단표[사번],$W599)&amp;"")</f>
        <v/>
      </c>
      <c r="T599">
        <f>IF($W599="","",INDEX(명단표[소속병원],$W599))</f>
        <v/>
      </c>
      <c r="U599">
        <f>IF($W599="","",INDEX(명단표[서울 근무일(기준월)],$W599))</f>
        <v/>
      </c>
      <c r="V599">
        <f>IF($W599="","",INDEX(명단표[구리 근무일(기준월)],$W599))</f>
        <v/>
      </c>
      <c r="W599" s="17">
        <f>IFERROR(MATCH(594,명단표[판정불가순번],0),"")</f>
        <v/>
      </c>
    </row>
    <row r="600">
      <c r="A600">
        <f>IF($P600="","",595)</f>
        <v/>
      </c>
      <c r="B600">
        <f>IF($P600="","",INDEX(명단표[이름],$P600))</f>
        <v/>
      </c>
      <c r="C600">
        <f>IF($P600="","",INDEX(명단표[사번],$P600)&amp;"")</f>
        <v/>
      </c>
      <c r="D600">
        <f>IF($P600="","",INDEX(명단표[전공의등록번호],$P600)&amp;"")</f>
        <v/>
      </c>
      <c r="E600">
        <f>IF($P600="","",INDEX(명단표[수련과목],$P600)&amp;"")</f>
        <v/>
      </c>
      <c r="F600">
        <f>IF($P600="","",INDEX(명단표[연차],$P600)&amp;"")</f>
        <v/>
      </c>
      <c r="G600">
        <f>IF($P600="","",INDEX(명단표[소속병원],$P600))</f>
        <v/>
      </c>
      <c r="H600">
        <f>IF($P600="","",IF(INDEX(명단표[소속병원],$P600)="서울병원","서울 소속","타 병원 소속("&amp;INDEX(명단표[소속병원],$P600)&amp;") → 서울 지급"))</f>
        <v/>
      </c>
      <c r="I600">
        <f>IF($P600="","",INDEX(명단표[현재 근무병원],$P600))</f>
        <v/>
      </c>
      <c r="J600">
        <f>IF($P600="","",INDEX(명단표[구리 근무 시작일(기준월)],$P600)&amp;"")</f>
        <v/>
      </c>
      <c r="K600">
        <f>IF($P600="","",INDEX(명단표[구리 근무 종료일(기준월)],$P600)&amp;"")</f>
        <v/>
      </c>
      <c r="L600">
        <f>IF($P600="","",INDEX(명단표[서울 근무일(기준월)],$P600))</f>
        <v/>
      </c>
      <c r="M600">
        <f>IF($P600="","",INDEX(명단표[구리 근무일(기준월)],$P600))</f>
        <v/>
      </c>
      <c r="N600">
        <f>IF($P600="","",INDEX(명단표[급여 판정 근거],$P600))</f>
        <v/>
      </c>
      <c r="O600">
        <f>IF($P600="","",INDEX(명단표[점검],$P600))</f>
        <v/>
      </c>
      <c r="P600" s="17">
        <f>IFERROR(MATCH(595,명단표[서울순번],0),"")</f>
        <v/>
      </c>
      <c r="R600">
        <f>IF($W600="","",INDEX(명단표[이름],$W600))</f>
        <v/>
      </c>
      <c r="S600">
        <f>IF($W600="","",INDEX(명단표[사번],$W600)&amp;"")</f>
        <v/>
      </c>
      <c r="T600">
        <f>IF($W600="","",INDEX(명단표[소속병원],$W600))</f>
        <v/>
      </c>
      <c r="U600">
        <f>IF($W600="","",INDEX(명단표[서울 근무일(기준월)],$W600))</f>
        <v/>
      </c>
      <c r="V600">
        <f>IF($W600="","",INDEX(명단표[구리 근무일(기준월)],$W600))</f>
        <v/>
      </c>
      <c r="W600" s="17">
        <f>IFERROR(MATCH(595,명단표[판정불가순번],0),"")</f>
        <v/>
      </c>
    </row>
    <row r="601">
      <c r="A601">
        <f>IF($P601="","",596)</f>
        <v/>
      </c>
      <c r="B601">
        <f>IF($P601="","",INDEX(명단표[이름],$P601))</f>
        <v/>
      </c>
      <c r="C601">
        <f>IF($P601="","",INDEX(명단표[사번],$P601)&amp;"")</f>
        <v/>
      </c>
      <c r="D601">
        <f>IF($P601="","",INDEX(명단표[전공의등록번호],$P601)&amp;"")</f>
        <v/>
      </c>
      <c r="E601">
        <f>IF($P601="","",INDEX(명단표[수련과목],$P601)&amp;"")</f>
        <v/>
      </c>
      <c r="F601">
        <f>IF($P601="","",INDEX(명단표[연차],$P601)&amp;"")</f>
        <v/>
      </c>
      <c r="G601">
        <f>IF($P601="","",INDEX(명단표[소속병원],$P601))</f>
        <v/>
      </c>
      <c r="H601">
        <f>IF($P601="","",IF(INDEX(명단표[소속병원],$P601)="서울병원","서울 소속","타 병원 소속("&amp;INDEX(명단표[소속병원],$P601)&amp;") → 서울 지급"))</f>
        <v/>
      </c>
      <c r="I601">
        <f>IF($P601="","",INDEX(명단표[현재 근무병원],$P601))</f>
        <v/>
      </c>
      <c r="J601">
        <f>IF($P601="","",INDEX(명단표[구리 근무 시작일(기준월)],$P601)&amp;"")</f>
        <v/>
      </c>
      <c r="K601">
        <f>IF($P601="","",INDEX(명단표[구리 근무 종료일(기준월)],$P601)&amp;"")</f>
        <v/>
      </c>
      <c r="L601">
        <f>IF($P601="","",INDEX(명단표[서울 근무일(기준월)],$P601))</f>
        <v/>
      </c>
      <c r="M601">
        <f>IF($P601="","",INDEX(명단표[구리 근무일(기준월)],$P601))</f>
        <v/>
      </c>
      <c r="N601">
        <f>IF($P601="","",INDEX(명단표[급여 판정 근거],$P601))</f>
        <v/>
      </c>
      <c r="O601">
        <f>IF($P601="","",INDEX(명단표[점검],$P601))</f>
        <v/>
      </c>
      <c r="P601" s="17">
        <f>IFERROR(MATCH(596,명단표[서울순번],0),"")</f>
        <v/>
      </c>
      <c r="R601">
        <f>IF($W601="","",INDEX(명단표[이름],$W601))</f>
        <v/>
      </c>
      <c r="S601">
        <f>IF($W601="","",INDEX(명단표[사번],$W601)&amp;"")</f>
        <v/>
      </c>
      <c r="T601">
        <f>IF($W601="","",INDEX(명단표[소속병원],$W601))</f>
        <v/>
      </c>
      <c r="U601">
        <f>IF($W601="","",INDEX(명단표[서울 근무일(기준월)],$W601))</f>
        <v/>
      </c>
      <c r="V601">
        <f>IF($W601="","",INDEX(명단표[구리 근무일(기준월)],$W601))</f>
        <v/>
      </c>
      <c r="W601" s="17">
        <f>IFERROR(MATCH(596,명단표[판정불가순번],0),"")</f>
        <v/>
      </c>
    </row>
    <row r="602">
      <c r="A602">
        <f>IF($P602="","",597)</f>
        <v/>
      </c>
      <c r="B602">
        <f>IF($P602="","",INDEX(명단표[이름],$P602))</f>
        <v/>
      </c>
      <c r="C602">
        <f>IF($P602="","",INDEX(명단표[사번],$P602)&amp;"")</f>
        <v/>
      </c>
      <c r="D602">
        <f>IF($P602="","",INDEX(명단표[전공의등록번호],$P602)&amp;"")</f>
        <v/>
      </c>
      <c r="E602">
        <f>IF($P602="","",INDEX(명단표[수련과목],$P602)&amp;"")</f>
        <v/>
      </c>
      <c r="F602">
        <f>IF($P602="","",INDEX(명단표[연차],$P602)&amp;"")</f>
        <v/>
      </c>
      <c r="G602">
        <f>IF($P602="","",INDEX(명단표[소속병원],$P602))</f>
        <v/>
      </c>
      <c r="H602">
        <f>IF($P602="","",IF(INDEX(명단표[소속병원],$P602)="서울병원","서울 소속","타 병원 소속("&amp;INDEX(명단표[소속병원],$P602)&amp;") → 서울 지급"))</f>
        <v/>
      </c>
      <c r="I602">
        <f>IF($P602="","",INDEX(명단표[현재 근무병원],$P602))</f>
        <v/>
      </c>
      <c r="J602">
        <f>IF($P602="","",INDEX(명단표[구리 근무 시작일(기준월)],$P602)&amp;"")</f>
        <v/>
      </c>
      <c r="K602">
        <f>IF($P602="","",INDEX(명단표[구리 근무 종료일(기준월)],$P602)&amp;"")</f>
        <v/>
      </c>
      <c r="L602">
        <f>IF($P602="","",INDEX(명단표[서울 근무일(기준월)],$P602))</f>
        <v/>
      </c>
      <c r="M602">
        <f>IF($P602="","",INDEX(명단표[구리 근무일(기준월)],$P602))</f>
        <v/>
      </c>
      <c r="N602">
        <f>IF($P602="","",INDEX(명단표[급여 판정 근거],$P602))</f>
        <v/>
      </c>
      <c r="O602">
        <f>IF($P602="","",INDEX(명단표[점검],$P602))</f>
        <v/>
      </c>
      <c r="P602" s="17">
        <f>IFERROR(MATCH(597,명단표[서울순번],0),"")</f>
        <v/>
      </c>
      <c r="R602">
        <f>IF($W602="","",INDEX(명단표[이름],$W602))</f>
        <v/>
      </c>
      <c r="S602">
        <f>IF($W602="","",INDEX(명단표[사번],$W602)&amp;"")</f>
        <v/>
      </c>
      <c r="T602">
        <f>IF($W602="","",INDEX(명단표[소속병원],$W602))</f>
        <v/>
      </c>
      <c r="U602">
        <f>IF($W602="","",INDEX(명단표[서울 근무일(기준월)],$W602))</f>
        <v/>
      </c>
      <c r="V602">
        <f>IF($W602="","",INDEX(명단표[구리 근무일(기준월)],$W602))</f>
        <v/>
      </c>
      <c r="W602" s="17">
        <f>IFERROR(MATCH(597,명단표[판정불가순번],0),"")</f>
        <v/>
      </c>
    </row>
    <row r="603">
      <c r="A603">
        <f>IF($P603="","",598)</f>
        <v/>
      </c>
      <c r="B603">
        <f>IF($P603="","",INDEX(명단표[이름],$P603))</f>
        <v/>
      </c>
      <c r="C603">
        <f>IF($P603="","",INDEX(명단표[사번],$P603)&amp;"")</f>
        <v/>
      </c>
      <c r="D603">
        <f>IF($P603="","",INDEX(명단표[전공의등록번호],$P603)&amp;"")</f>
        <v/>
      </c>
      <c r="E603">
        <f>IF($P603="","",INDEX(명단표[수련과목],$P603)&amp;"")</f>
        <v/>
      </c>
      <c r="F603">
        <f>IF($P603="","",INDEX(명단표[연차],$P603)&amp;"")</f>
        <v/>
      </c>
      <c r="G603">
        <f>IF($P603="","",INDEX(명단표[소속병원],$P603))</f>
        <v/>
      </c>
      <c r="H603">
        <f>IF($P603="","",IF(INDEX(명단표[소속병원],$P603)="서울병원","서울 소속","타 병원 소속("&amp;INDEX(명단표[소속병원],$P603)&amp;") → 서울 지급"))</f>
        <v/>
      </c>
      <c r="I603">
        <f>IF($P603="","",INDEX(명단표[현재 근무병원],$P603))</f>
        <v/>
      </c>
      <c r="J603">
        <f>IF($P603="","",INDEX(명단표[구리 근무 시작일(기준월)],$P603)&amp;"")</f>
        <v/>
      </c>
      <c r="K603">
        <f>IF($P603="","",INDEX(명단표[구리 근무 종료일(기준월)],$P603)&amp;"")</f>
        <v/>
      </c>
      <c r="L603">
        <f>IF($P603="","",INDEX(명단표[서울 근무일(기준월)],$P603))</f>
        <v/>
      </c>
      <c r="M603">
        <f>IF($P603="","",INDEX(명단표[구리 근무일(기준월)],$P603))</f>
        <v/>
      </c>
      <c r="N603">
        <f>IF($P603="","",INDEX(명단표[급여 판정 근거],$P603))</f>
        <v/>
      </c>
      <c r="O603">
        <f>IF($P603="","",INDEX(명단표[점검],$P603))</f>
        <v/>
      </c>
      <c r="P603" s="17">
        <f>IFERROR(MATCH(598,명단표[서울순번],0),"")</f>
        <v/>
      </c>
      <c r="R603">
        <f>IF($W603="","",INDEX(명단표[이름],$W603))</f>
        <v/>
      </c>
      <c r="S603">
        <f>IF($W603="","",INDEX(명단표[사번],$W603)&amp;"")</f>
        <v/>
      </c>
      <c r="T603">
        <f>IF($W603="","",INDEX(명단표[소속병원],$W603))</f>
        <v/>
      </c>
      <c r="U603">
        <f>IF($W603="","",INDEX(명단표[서울 근무일(기준월)],$W603))</f>
        <v/>
      </c>
      <c r="V603">
        <f>IF($W603="","",INDEX(명단표[구리 근무일(기준월)],$W603))</f>
        <v/>
      </c>
      <c r="W603" s="17">
        <f>IFERROR(MATCH(598,명단표[판정불가순번],0),"")</f>
        <v/>
      </c>
    </row>
    <row r="604">
      <c r="A604">
        <f>IF($P604="","",599)</f>
        <v/>
      </c>
      <c r="B604">
        <f>IF($P604="","",INDEX(명단표[이름],$P604))</f>
        <v/>
      </c>
      <c r="C604">
        <f>IF($P604="","",INDEX(명단표[사번],$P604)&amp;"")</f>
        <v/>
      </c>
      <c r="D604">
        <f>IF($P604="","",INDEX(명단표[전공의등록번호],$P604)&amp;"")</f>
        <v/>
      </c>
      <c r="E604">
        <f>IF($P604="","",INDEX(명단표[수련과목],$P604)&amp;"")</f>
        <v/>
      </c>
      <c r="F604">
        <f>IF($P604="","",INDEX(명단표[연차],$P604)&amp;"")</f>
        <v/>
      </c>
      <c r="G604">
        <f>IF($P604="","",INDEX(명단표[소속병원],$P604))</f>
        <v/>
      </c>
      <c r="H604">
        <f>IF($P604="","",IF(INDEX(명단표[소속병원],$P604)="서울병원","서울 소속","타 병원 소속("&amp;INDEX(명단표[소속병원],$P604)&amp;") → 서울 지급"))</f>
        <v/>
      </c>
      <c r="I604">
        <f>IF($P604="","",INDEX(명단표[현재 근무병원],$P604))</f>
        <v/>
      </c>
      <c r="J604">
        <f>IF($P604="","",INDEX(명단표[구리 근무 시작일(기준월)],$P604)&amp;"")</f>
        <v/>
      </c>
      <c r="K604">
        <f>IF($P604="","",INDEX(명단표[구리 근무 종료일(기준월)],$P604)&amp;"")</f>
        <v/>
      </c>
      <c r="L604">
        <f>IF($P604="","",INDEX(명단표[서울 근무일(기준월)],$P604))</f>
        <v/>
      </c>
      <c r="M604">
        <f>IF($P604="","",INDEX(명단표[구리 근무일(기준월)],$P604))</f>
        <v/>
      </c>
      <c r="N604">
        <f>IF($P604="","",INDEX(명단표[급여 판정 근거],$P604))</f>
        <v/>
      </c>
      <c r="O604">
        <f>IF($P604="","",INDEX(명단표[점검],$P604))</f>
        <v/>
      </c>
      <c r="P604" s="17">
        <f>IFERROR(MATCH(599,명단표[서울순번],0),"")</f>
        <v/>
      </c>
      <c r="R604">
        <f>IF($W604="","",INDEX(명단표[이름],$W604))</f>
        <v/>
      </c>
      <c r="S604">
        <f>IF($W604="","",INDEX(명단표[사번],$W604)&amp;"")</f>
        <v/>
      </c>
      <c r="T604">
        <f>IF($W604="","",INDEX(명단표[소속병원],$W604))</f>
        <v/>
      </c>
      <c r="U604">
        <f>IF($W604="","",INDEX(명단표[서울 근무일(기준월)],$W604))</f>
        <v/>
      </c>
      <c r="V604">
        <f>IF($W604="","",INDEX(명단표[구리 근무일(기준월)],$W604))</f>
        <v/>
      </c>
      <c r="W604" s="17">
        <f>IFERROR(MATCH(599,명단표[판정불가순번],0),"")</f>
        <v/>
      </c>
    </row>
    <row r="605">
      <c r="A605">
        <f>IF($P605="","",600)</f>
        <v/>
      </c>
      <c r="B605">
        <f>IF($P605="","",INDEX(명단표[이름],$P605))</f>
        <v/>
      </c>
      <c r="C605">
        <f>IF($P605="","",INDEX(명단표[사번],$P605)&amp;"")</f>
        <v/>
      </c>
      <c r="D605">
        <f>IF($P605="","",INDEX(명단표[전공의등록번호],$P605)&amp;"")</f>
        <v/>
      </c>
      <c r="E605">
        <f>IF($P605="","",INDEX(명단표[수련과목],$P605)&amp;"")</f>
        <v/>
      </c>
      <c r="F605">
        <f>IF($P605="","",INDEX(명단표[연차],$P605)&amp;"")</f>
        <v/>
      </c>
      <c r="G605">
        <f>IF($P605="","",INDEX(명단표[소속병원],$P605))</f>
        <v/>
      </c>
      <c r="H605">
        <f>IF($P605="","",IF(INDEX(명단표[소속병원],$P605)="서울병원","서울 소속","타 병원 소속("&amp;INDEX(명단표[소속병원],$P605)&amp;") → 서울 지급"))</f>
        <v/>
      </c>
      <c r="I605">
        <f>IF($P605="","",INDEX(명단표[현재 근무병원],$P605))</f>
        <v/>
      </c>
      <c r="J605">
        <f>IF($P605="","",INDEX(명단표[구리 근무 시작일(기준월)],$P605)&amp;"")</f>
        <v/>
      </c>
      <c r="K605">
        <f>IF($P605="","",INDEX(명단표[구리 근무 종료일(기준월)],$P605)&amp;"")</f>
        <v/>
      </c>
      <c r="L605">
        <f>IF($P605="","",INDEX(명단표[서울 근무일(기준월)],$P605))</f>
        <v/>
      </c>
      <c r="M605">
        <f>IF($P605="","",INDEX(명단표[구리 근무일(기준월)],$P605))</f>
        <v/>
      </c>
      <c r="N605">
        <f>IF($P605="","",INDEX(명단표[급여 판정 근거],$P605))</f>
        <v/>
      </c>
      <c r="O605">
        <f>IF($P605="","",INDEX(명단표[점검],$P605))</f>
        <v/>
      </c>
      <c r="P605" s="17">
        <f>IFERROR(MATCH(600,명단표[서울순번],0),"")</f>
        <v/>
      </c>
      <c r="R605">
        <f>IF($W605="","",INDEX(명단표[이름],$W605))</f>
        <v/>
      </c>
      <c r="S605">
        <f>IF($W605="","",INDEX(명단표[사번],$W605)&amp;"")</f>
        <v/>
      </c>
      <c r="T605">
        <f>IF($W605="","",INDEX(명단표[소속병원],$W605))</f>
        <v/>
      </c>
      <c r="U605">
        <f>IF($W605="","",INDEX(명단표[서울 근무일(기준월)],$W605))</f>
        <v/>
      </c>
      <c r="V605">
        <f>IF($W605="","",INDEX(명단표[구리 근무일(기준월)],$W605))</f>
        <v/>
      </c>
      <c r="W605" s="17">
        <f>IFERROR(MATCH(600,명단표[판정불가순번],0),"")</f>
        <v/>
      </c>
    </row>
    <row r="606">
      <c r="A606">
        <f>IF($P606="","",601)</f>
        <v/>
      </c>
      <c r="B606">
        <f>IF($P606="","",INDEX(명단표[이름],$P606))</f>
        <v/>
      </c>
      <c r="C606">
        <f>IF($P606="","",INDEX(명단표[사번],$P606)&amp;"")</f>
        <v/>
      </c>
      <c r="D606">
        <f>IF($P606="","",INDEX(명단표[전공의등록번호],$P606)&amp;"")</f>
        <v/>
      </c>
      <c r="E606">
        <f>IF($P606="","",INDEX(명단표[수련과목],$P606)&amp;"")</f>
        <v/>
      </c>
      <c r="F606">
        <f>IF($P606="","",INDEX(명단표[연차],$P606)&amp;"")</f>
        <v/>
      </c>
      <c r="G606">
        <f>IF($P606="","",INDEX(명단표[소속병원],$P606))</f>
        <v/>
      </c>
      <c r="H606">
        <f>IF($P606="","",IF(INDEX(명단표[소속병원],$P606)="서울병원","서울 소속","타 병원 소속("&amp;INDEX(명단표[소속병원],$P606)&amp;") → 서울 지급"))</f>
        <v/>
      </c>
      <c r="I606">
        <f>IF($P606="","",INDEX(명단표[현재 근무병원],$P606))</f>
        <v/>
      </c>
      <c r="J606">
        <f>IF($P606="","",INDEX(명단표[구리 근무 시작일(기준월)],$P606)&amp;"")</f>
        <v/>
      </c>
      <c r="K606">
        <f>IF($P606="","",INDEX(명단표[구리 근무 종료일(기준월)],$P606)&amp;"")</f>
        <v/>
      </c>
      <c r="L606">
        <f>IF($P606="","",INDEX(명단표[서울 근무일(기준월)],$P606))</f>
        <v/>
      </c>
      <c r="M606">
        <f>IF($P606="","",INDEX(명단표[구리 근무일(기준월)],$P606))</f>
        <v/>
      </c>
      <c r="N606">
        <f>IF($P606="","",INDEX(명단표[급여 판정 근거],$P606))</f>
        <v/>
      </c>
      <c r="O606">
        <f>IF($P606="","",INDEX(명단표[점검],$P606))</f>
        <v/>
      </c>
      <c r="P606" s="17">
        <f>IFERROR(MATCH(601,명단표[서울순번],0),"")</f>
        <v/>
      </c>
      <c r="R606">
        <f>IF($W606="","",INDEX(명단표[이름],$W606))</f>
        <v/>
      </c>
      <c r="S606">
        <f>IF($W606="","",INDEX(명단표[사번],$W606)&amp;"")</f>
        <v/>
      </c>
      <c r="T606">
        <f>IF($W606="","",INDEX(명단표[소속병원],$W606))</f>
        <v/>
      </c>
      <c r="U606">
        <f>IF($W606="","",INDEX(명단표[서울 근무일(기준월)],$W606))</f>
        <v/>
      </c>
      <c r="V606">
        <f>IF($W606="","",INDEX(명단표[구리 근무일(기준월)],$W606))</f>
        <v/>
      </c>
      <c r="W606" s="17">
        <f>IFERROR(MATCH(601,명단표[판정불가순번],0),"")</f>
        <v/>
      </c>
    </row>
    <row r="607">
      <c r="A607">
        <f>IF($P607="","",602)</f>
        <v/>
      </c>
      <c r="B607">
        <f>IF($P607="","",INDEX(명단표[이름],$P607))</f>
        <v/>
      </c>
      <c r="C607">
        <f>IF($P607="","",INDEX(명단표[사번],$P607)&amp;"")</f>
        <v/>
      </c>
      <c r="D607">
        <f>IF($P607="","",INDEX(명단표[전공의등록번호],$P607)&amp;"")</f>
        <v/>
      </c>
      <c r="E607">
        <f>IF($P607="","",INDEX(명단표[수련과목],$P607)&amp;"")</f>
        <v/>
      </c>
      <c r="F607">
        <f>IF($P607="","",INDEX(명단표[연차],$P607)&amp;"")</f>
        <v/>
      </c>
      <c r="G607">
        <f>IF($P607="","",INDEX(명단표[소속병원],$P607))</f>
        <v/>
      </c>
      <c r="H607">
        <f>IF($P607="","",IF(INDEX(명단표[소속병원],$P607)="서울병원","서울 소속","타 병원 소속("&amp;INDEX(명단표[소속병원],$P607)&amp;") → 서울 지급"))</f>
        <v/>
      </c>
      <c r="I607">
        <f>IF($P607="","",INDEX(명단표[현재 근무병원],$P607))</f>
        <v/>
      </c>
      <c r="J607">
        <f>IF($P607="","",INDEX(명단표[구리 근무 시작일(기준월)],$P607)&amp;"")</f>
        <v/>
      </c>
      <c r="K607">
        <f>IF($P607="","",INDEX(명단표[구리 근무 종료일(기준월)],$P607)&amp;"")</f>
        <v/>
      </c>
      <c r="L607">
        <f>IF($P607="","",INDEX(명단표[서울 근무일(기준월)],$P607))</f>
        <v/>
      </c>
      <c r="M607">
        <f>IF($P607="","",INDEX(명단표[구리 근무일(기준월)],$P607))</f>
        <v/>
      </c>
      <c r="N607">
        <f>IF($P607="","",INDEX(명단표[급여 판정 근거],$P607))</f>
        <v/>
      </c>
      <c r="O607">
        <f>IF($P607="","",INDEX(명단표[점검],$P607))</f>
        <v/>
      </c>
      <c r="P607" s="17">
        <f>IFERROR(MATCH(602,명단표[서울순번],0),"")</f>
        <v/>
      </c>
      <c r="R607">
        <f>IF($W607="","",INDEX(명단표[이름],$W607))</f>
        <v/>
      </c>
      <c r="S607">
        <f>IF($W607="","",INDEX(명단표[사번],$W607)&amp;"")</f>
        <v/>
      </c>
      <c r="T607">
        <f>IF($W607="","",INDEX(명단표[소속병원],$W607))</f>
        <v/>
      </c>
      <c r="U607">
        <f>IF($W607="","",INDEX(명단표[서울 근무일(기준월)],$W607))</f>
        <v/>
      </c>
      <c r="V607">
        <f>IF($W607="","",INDEX(명단표[구리 근무일(기준월)],$W607))</f>
        <v/>
      </c>
      <c r="W607" s="17">
        <f>IFERROR(MATCH(602,명단표[판정불가순번],0),"")</f>
        <v/>
      </c>
    </row>
    <row r="608">
      <c r="A608">
        <f>IF($P608="","",603)</f>
        <v/>
      </c>
      <c r="B608">
        <f>IF($P608="","",INDEX(명단표[이름],$P608))</f>
        <v/>
      </c>
      <c r="C608">
        <f>IF($P608="","",INDEX(명단표[사번],$P608)&amp;"")</f>
        <v/>
      </c>
      <c r="D608">
        <f>IF($P608="","",INDEX(명단표[전공의등록번호],$P608)&amp;"")</f>
        <v/>
      </c>
      <c r="E608">
        <f>IF($P608="","",INDEX(명단표[수련과목],$P608)&amp;"")</f>
        <v/>
      </c>
      <c r="F608">
        <f>IF($P608="","",INDEX(명단표[연차],$P608)&amp;"")</f>
        <v/>
      </c>
      <c r="G608">
        <f>IF($P608="","",INDEX(명단표[소속병원],$P608))</f>
        <v/>
      </c>
      <c r="H608">
        <f>IF($P608="","",IF(INDEX(명단표[소속병원],$P608)="서울병원","서울 소속","타 병원 소속("&amp;INDEX(명단표[소속병원],$P608)&amp;") → 서울 지급"))</f>
        <v/>
      </c>
      <c r="I608">
        <f>IF($P608="","",INDEX(명단표[현재 근무병원],$P608))</f>
        <v/>
      </c>
      <c r="J608">
        <f>IF($P608="","",INDEX(명단표[구리 근무 시작일(기준월)],$P608)&amp;"")</f>
        <v/>
      </c>
      <c r="K608">
        <f>IF($P608="","",INDEX(명단표[구리 근무 종료일(기준월)],$P608)&amp;"")</f>
        <v/>
      </c>
      <c r="L608">
        <f>IF($P608="","",INDEX(명단표[서울 근무일(기준월)],$P608))</f>
        <v/>
      </c>
      <c r="M608">
        <f>IF($P608="","",INDEX(명단표[구리 근무일(기준월)],$P608))</f>
        <v/>
      </c>
      <c r="N608">
        <f>IF($P608="","",INDEX(명단표[급여 판정 근거],$P608))</f>
        <v/>
      </c>
      <c r="O608">
        <f>IF($P608="","",INDEX(명단표[점검],$P608))</f>
        <v/>
      </c>
      <c r="P608" s="17">
        <f>IFERROR(MATCH(603,명단표[서울순번],0),"")</f>
        <v/>
      </c>
      <c r="R608">
        <f>IF($W608="","",INDEX(명단표[이름],$W608))</f>
        <v/>
      </c>
      <c r="S608">
        <f>IF($W608="","",INDEX(명단표[사번],$W608)&amp;"")</f>
        <v/>
      </c>
      <c r="T608">
        <f>IF($W608="","",INDEX(명단표[소속병원],$W608))</f>
        <v/>
      </c>
      <c r="U608">
        <f>IF($W608="","",INDEX(명단표[서울 근무일(기준월)],$W608))</f>
        <v/>
      </c>
      <c r="V608">
        <f>IF($W608="","",INDEX(명단표[구리 근무일(기준월)],$W608))</f>
        <v/>
      </c>
      <c r="W608" s="17">
        <f>IFERROR(MATCH(603,명단표[판정불가순번],0),"")</f>
        <v/>
      </c>
    </row>
    <row r="609">
      <c r="A609">
        <f>IF($P609="","",604)</f>
        <v/>
      </c>
      <c r="B609">
        <f>IF($P609="","",INDEX(명단표[이름],$P609))</f>
        <v/>
      </c>
      <c r="C609">
        <f>IF($P609="","",INDEX(명단표[사번],$P609)&amp;"")</f>
        <v/>
      </c>
      <c r="D609">
        <f>IF($P609="","",INDEX(명단표[전공의등록번호],$P609)&amp;"")</f>
        <v/>
      </c>
      <c r="E609">
        <f>IF($P609="","",INDEX(명단표[수련과목],$P609)&amp;"")</f>
        <v/>
      </c>
      <c r="F609">
        <f>IF($P609="","",INDEX(명단표[연차],$P609)&amp;"")</f>
        <v/>
      </c>
      <c r="G609">
        <f>IF($P609="","",INDEX(명단표[소속병원],$P609))</f>
        <v/>
      </c>
      <c r="H609">
        <f>IF($P609="","",IF(INDEX(명단표[소속병원],$P609)="서울병원","서울 소속","타 병원 소속("&amp;INDEX(명단표[소속병원],$P609)&amp;") → 서울 지급"))</f>
        <v/>
      </c>
      <c r="I609">
        <f>IF($P609="","",INDEX(명단표[현재 근무병원],$P609))</f>
        <v/>
      </c>
      <c r="J609">
        <f>IF($P609="","",INDEX(명단표[구리 근무 시작일(기준월)],$P609)&amp;"")</f>
        <v/>
      </c>
      <c r="K609">
        <f>IF($P609="","",INDEX(명단표[구리 근무 종료일(기준월)],$P609)&amp;"")</f>
        <v/>
      </c>
      <c r="L609">
        <f>IF($P609="","",INDEX(명단표[서울 근무일(기준월)],$P609))</f>
        <v/>
      </c>
      <c r="M609">
        <f>IF($P609="","",INDEX(명단표[구리 근무일(기준월)],$P609))</f>
        <v/>
      </c>
      <c r="N609">
        <f>IF($P609="","",INDEX(명단표[급여 판정 근거],$P609))</f>
        <v/>
      </c>
      <c r="O609">
        <f>IF($P609="","",INDEX(명단표[점검],$P609))</f>
        <v/>
      </c>
      <c r="P609" s="17">
        <f>IFERROR(MATCH(604,명단표[서울순번],0),"")</f>
        <v/>
      </c>
      <c r="R609">
        <f>IF($W609="","",INDEX(명단표[이름],$W609))</f>
        <v/>
      </c>
      <c r="S609">
        <f>IF($W609="","",INDEX(명단표[사번],$W609)&amp;"")</f>
        <v/>
      </c>
      <c r="T609">
        <f>IF($W609="","",INDEX(명단표[소속병원],$W609))</f>
        <v/>
      </c>
      <c r="U609">
        <f>IF($W609="","",INDEX(명단표[서울 근무일(기준월)],$W609))</f>
        <v/>
      </c>
      <c r="V609">
        <f>IF($W609="","",INDEX(명단표[구리 근무일(기준월)],$W609))</f>
        <v/>
      </c>
      <c r="W609" s="17">
        <f>IFERROR(MATCH(604,명단표[판정불가순번],0),"")</f>
        <v/>
      </c>
    </row>
    <row r="610">
      <c r="A610">
        <f>IF($P610="","",605)</f>
        <v/>
      </c>
      <c r="B610">
        <f>IF($P610="","",INDEX(명단표[이름],$P610))</f>
        <v/>
      </c>
      <c r="C610">
        <f>IF($P610="","",INDEX(명단표[사번],$P610)&amp;"")</f>
        <v/>
      </c>
      <c r="D610">
        <f>IF($P610="","",INDEX(명단표[전공의등록번호],$P610)&amp;"")</f>
        <v/>
      </c>
      <c r="E610">
        <f>IF($P610="","",INDEX(명단표[수련과목],$P610)&amp;"")</f>
        <v/>
      </c>
      <c r="F610">
        <f>IF($P610="","",INDEX(명단표[연차],$P610)&amp;"")</f>
        <v/>
      </c>
      <c r="G610">
        <f>IF($P610="","",INDEX(명단표[소속병원],$P610))</f>
        <v/>
      </c>
      <c r="H610">
        <f>IF($P610="","",IF(INDEX(명단표[소속병원],$P610)="서울병원","서울 소속","타 병원 소속("&amp;INDEX(명단표[소속병원],$P610)&amp;") → 서울 지급"))</f>
        <v/>
      </c>
      <c r="I610">
        <f>IF($P610="","",INDEX(명단표[현재 근무병원],$P610))</f>
        <v/>
      </c>
      <c r="J610">
        <f>IF($P610="","",INDEX(명단표[구리 근무 시작일(기준월)],$P610)&amp;"")</f>
        <v/>
      </c>
      <c r="K610">
        <f>IF($P610="","",INDEX(명단표[구리 근무 종료일(기준월)],$P610)&amp;"")</f>
        <v/>
      </c>
      <c r="L610">
        <f>IF($P610="","",INDEX(명단표[서울 근무일(기준월)],$P610))</f>
        <v/>
      </c>
      <c r="M610">
        <f>IF($P610="","",INDEX(명단표[구리 근무일(기준월)],$P610))</f>
        <v/>
      </c>
      <c r="N610">
        <f>IF($P610="","",INDEX(명단표[급여 판정 근거],$P610))</f>
        <v/>
      </c>
      <c r="O610">
        <f>IF($P610="","",INDEX(명단표[점검],$P610))</f>
        <v/>
      </c>
      <c r="P610" s="17">
        <f>IFERROR(MATCH(605,명단표[서울순번],0),"")</f>
        <v/>
      </c>
      <c r="R610">
        <f>IF($W610="","",INDEX(명단표[이름],$W610))</f>
        <v/>
      </c>
      <c r="S610">
        <f>IF($W610="","",INDEX(명단표[사번],$W610)&amp;"")</f>
        <v/>
      </c>
      <c r="T610">
        <f>IF($W610="","",INDEX(명단표[소속병원],$W610))</f>
        <v/>
      </c>
      <c r="U610">
        <f>IF($W610="","",INDEX(명단표[서울 근무일(기준월)],$W610))</f>
        <v/>
      </c>
      <c r="V610">
        <f>IF($W610="","",INDEX(명단표[구리 근무일(기준월)],$W610))</f>
        <v/>
      </c>
      <c r="W610" s="17">
        <f>IFERROR(MATCH(605,명단표[판정불가순번],0),"")</f>
        <v/>
      </c>
    </row>
    <row r="611">
      <c r="A611">
        <f>IF($P611="","",606)</f>
        <v/>
      </c>
      <c r="B611">
        <f>IF($P611="","",INDEX(명단표[이름],$P611))</f>
        <v/>
      </c>
      <c r="C611">
        <f>IF($P611="","",INDEX(명단표[사번],$P611)&amp;"")</f>
        <v/>
      </c>
      <c r="D611">
        <f>IF($P611="","",INDEX(명단표[전공의등록번호],$P611)&amp;"")</f>
        <v/>
      </c>
      <c r="E611">
        <f>IF($P611="","",INDEX(명단표[수련과목],$P611)&amp;"")</f>
        <v/>
      </c>
      <c r="F611">
        <f>IF($P611="","",INDEX(명단표[연차],$P611)&amp;"")</f>
        <v/>
      </c>
      <c r="G611">
        <f>IF($P611="","",INDEX(명단표[소속병원],$P611))</f>
        <v/>
      </c>
      <c r="H611">
        <f>IF($P611="","",IF(INDEX(명단표[소속병원],$P611)="서울병원","서울 소속","타 병원 소속("&amp;INDEX(명단표[소속병원],$P611)&amp;") → 서울 지급"))</f>
        <v/>
      </c>
      <c r="I611">
        <f>IF($P611="","",INDEX(명단표[현재 근무병원],$P611))</f>
        <v/>
      </c>
      <c r="J611">
        <f>IF($P611="","",INDEX(명단표[구리 근무 시작일(기준월)],$P611)&amp;"")</f>
        <v/>
      </c>
      <c r="K611">
        <f>IF($P611="","",INDEX(명단표[구리 근무 종료일(기준월)],$P611)&amp;"")</f>
        <v/>
      </c>
      <c r="L611">
        <f>IF($P611="","",INDEX(명단표[서울 근무일(기준월)],$P611))</f>
        <v/>
      </c>
      <c r="M611">
        <f>IF($P611="","",INDEX(명단표[구리 근무일(기준월)],$P611))</f>
        <v/>
      </c>
      <c r="N611">
        <f>IF($P611="","",INDEX(명단표[급여 판정 근거],$P611))</f>
        <v/>
      </c>
      <c r="O611">
        <f>IF($P611="","",INDEX(명단표[점검],$P611))</f>
        <v/>
      </c>
      <c r="P611" s="17">
        <f>IFERROR(MATCH(606,명단표[서울순번],0),"")</f>
        <v/>
      </c>
      <c r="R611">
        <f>IF($W611="","",INDEX(명단표[이름],$W611))</f>
        <v/>
      </c>
      <c r="S611">
        <f>IF($W611="","",INDEX(명단표[사번],$W611)&amp;"")</f>
        <v/>
      </c>
      <c r="T611">
        <f>IF($W611="","",INDEX(명단표[소속병원],$W611))</f>
        <v/>
      </c>
      <c r="U611">
        <f>IF($W611="","",INDEX(명단표[서울 근무일(기준월)],$W611))</f>
        <v/>
      </c>
      <c r="V611">
        <f>IF($W611="","",INDEX(명단표[구리 근무일(기준월)],$W611))</f>
        <v/>
      </c>
      <c r="W611" s="17">
        <f>IFERROR(MATCH(606,명단표[판정불가순번],0),"")</f>
        <v/>
      </c>
    </row>
    <row r="612">
      <c r="A612">
        <f>IF($P612="","",607)</f>
        <v/>
      </c>
      <c r="B612">
        <f>IF($P612="","",INDEX(명단표[이름],$P612))</f>
        <v/>
      </c>
      <c r="C612">
        <f>IF($P612="","",INDEX(명단표[사번],$P612)&amp;"")</f>
        <v/>
      </c>
      <c r="D612">
        <f>IF($P612="","",INDEX(명단표[전공의등록번호],$P612)&amp;"")</f>
        <v/>
      </c>
      <c r="E612">
        <f>IF($P612="","",INDEX(명단표[수련과목],$P612)&amp;"")</f>
        <v/>
      </c>
      <c r="F612">
        <f>IF($P612="","",INDEX(명단표[연차],$P612)&amp;"")</f>
        <v/>
      </c>
      <c r="G612">
        <f>IF($P612="","",INDEX(명단표[소속병원],$P612))</f>
        <v/>
      </c>
      <c r="H612">
        <f>IF($P612="","",IF(INDEX(명단표[소속병원],$P612)="서울병원","서울 소속","타 병원 소속("&amp;INDEX(명단표[소속병원],$P612)&amp;") → 서울 지급"))</f>
        <v/>
      </c>
      <c r="I612">
        <f>IF($P612="","",INDEX(명단표[현재 근무병원],$P612))</f>
        <v/>
      </c>
      <c r="J612">
        <f>IF($P612="","",INDEX(명단표[구리 근무 시작일(기준월)],$P612)&amp;"")</f>
        <v/>
      </c>
      <c r="K612">
        <f>IF($P612="","",INDEX(명단표[구리 근무 종료일(기준월)],$P612)&amp;"")</f>
        <v/>
      </c>
      <c r="L612">
        <f>IF($P612="","",INDEX(명단표[서울 근무일(기준월)],$P612))</f>
        <v/>
      </c>
      <c r="M612">
        <f>IF($P612="","",INDEX(명단표[구리 근무일(기준월)],$P612))</f>
        <v/>
      </c>
      <c r="N612">
        <f>IF($P612="","",INDEX(명단표[급여 판정 근거],$P612))</f>
        <v/>
      </c>
      <c r="O612">
        <f>IF($P612="","",INDEX(명단표[점검],$P612))</f>
        <v/>
      </c>
      <c r="P612" s="17">
        <f>IFERROR(MATCH(607,명단표[서울순번],0),"")</f>
        <v/>
      </c>
      <c r="R612">
        <f>IF($W612="","",INDEX(명단표[이름],$W612))</f>
        <v/>
      </c>
      <c r="S612">
        <f>IF($W612="","",INDEX(명단표[사번],$W612)&amp;"")</f>
        <v/>
      </c>
      <c r="T612">
        <f>IF($W612="","",INDEX(명단표[소속병원],$W612))</f>
        <v/>
      </c>
      <c r="U612">
        <f>IF($W612="","",INDEX(명단표[서울 근무일(기준월)],$W612))</f>
        <v/>
      </c>
      <c r="V612">
        <f>IF($W612="","",INDEX(명단표[구리 근무일(기준월)],$W612))</f>
        <v/>
      </c>
      <c r="W612" s="17">
        <f>IFERROR(MATCH(607,명단표[판정불가순번],0),"")</f>
        <v/>
      </c>
    </row>
    <row r="613">
      <c r="A613">
        <f>IF($P613="","",608)</f>
        <v/>
      </c>
      <c r="B613">
        <f>IF($P613="","",INDEX(명단표[이름],$P613))</f>
        <v/>
      </c>
      <c r="C613">
        <f>IF($P613="","",INDEX(명단표[사번],$P613)&amp;"")</f>
        <v/>
      </c>
      <c r="D613">
        <f>IF($P613="","",INDEX(명단표[전공의등록번호],$P613)&amp;"")</f>
        <v/>
      </c>
      <c r="E613">
        <f>IF($P613="","",INDEX(명단표[수련과목],$P613)&amp;"")</f>
        <v/>
      </c>
      <c r="F613">
        <f>IF($P613="","",INDEX(명단표[연차],$P613)&amp;"")</f>
        <v/>
      </c>
      <c r="G613">
        <f>IF($P613="","",INDEX(명단표[소속병원],$P613))</f>
        <v/>
      </c>
      <c r="H613">
        <f>IF($P613="","",IF(INDEX(명단표[소속병원],$P613)="서울병원","서울 소속","타 병원 소속("&amp;INDEX(명단표[소속병원],$P613)&amp;") → 서울 지급"))</f>
        <v/>
      </c>
      <c r="I613">
        <f>IF($P613="","",INDEX(명단표[현재 근무병원],$P613))</f>
        <v/>
      </c>
      <c r="J613">
        <f>IF($P613="","",INDEX(명단표[구리 근무 시작일(기준월)],$P613)&amp;"")</f>
        <v/>
      </c>
      <c r="K613">
        <f>IF($P613="","",INDEX(명단표[구리 근무 종료일(기준월)],$P613)&amp;"")</f>
        <v/>
      </c>
      <c r="L613">
        <f>IF($P613="","",INDEX(명단표[서울 근무일(기준월)],$P613))</f>
        <v/>
      </c>
      <c r="M613">
        <f>IF($P613="","",INDEX(명단표[구리 근무일(기준월)],$P613))</f>
        <v/>
      </c>
      <c r="N613">
        <f>IF($P613="","",INDEX(명단표[급여 판정 근거],$P613))</f>
        <v/>
      </c>
      <c r="O613">
        <f>IF($P613="","",INDEX(명단표[점검],$P613))</f>
        <v/>
      </c>
      <c r="P613" s="17">
        <f>IFERROR(MATCH(608,명단표[서울순번],0),"")</f>
        <v/>
      </c>
      <c r="R613">
        <f>IF($W613="","",INDEX(명단표[이름],$W613))</f>
        <v/>
      </c>
      <c r="S613">
        <f>IF($W613="","",INDEX(명단표[사번],$W613)&amp;"")</f>
        <v/>
      </c>
      <c r="T613">
        <f>IF($W613="","",INDEX(명단표[소속병원],$W613))</f>
        <v/>
      </c>
      <c r="U613">
        <f>IF($W613="","",INDEX(명단표[서울 근무일(기준월)],$W613))</f>
        <v/>
      </c>
      <c r="V613">
        <f>IF($W613="","",INDEX(명단표[구리 근무일(기준월)],$W613))</f>
        <v/>
      </c>
      <c r="W613" s="17">
        <f>IFERROR(MATCH(608,명단표[판정불가순번],0),"")</f>
        <v/>
      </c>
    </row>
    <row r="614">
      <c r="A614">
        <f>IF($P614="","",609)</f>
        <v/>
      </c>
      <c r="B614">
        <f>IF($P614="","",INDEX(명단표[이름],$P614))</f>
        <v/>
      </c>
      <c r="C614">
        <f>IF($P614="","",INDEX(명단표[사번],$P614)&amp;"")</f>
        <v/>
      </c>
      <c r="D614">
        <f>IF($P614="","",INDEX(명단표[전공의등록번호],$P614)&amp;"")</f>
        <v/>
      </c>
      <c r="E614">
        <f>IF($P614="","",INDEX(명단표[수련과목],$P614)&amp;"")</f>
        <v/>
      </c>
      <c r="F614">
        <f>IF($P614="","",INDEX(명단표[연차],$P614)&amp;"")</f>
        <v/>
      </c>
      <c r="G614">
        <f>IF($P614="","",INDEX(명단표[소속병원],$P614))</f>
        <v/>
      </c>
      <c r="H614">
        <f>IF($P614="","",IF(INDEX(명단표[소속병원],$P614)="서울병원","서울 소속","타 병원 소속("&amp;INDEX(명단표[소속병원],$P614)&amp;") → 서울 지급"))</f>
        <v/>
      </c>
      <c r="I614">
        <f>IF($P614="","",INDEX(명단표[현재 근무병원],$P614))</f>
        <v/>
      </c>
      <c r="J614">
        <f>IF($P614="","",INDEX(명단표[구리 근무 시작일(기준월)],$P614)&amp;"")</f>
        <v/>
      </c>
      <c r="K614">
        <f>IF($P614="","",INDEX(명단표[구리 근무 종료일(기준월)],$P614)&amp;"")</f>
        <v/>
      </c>
      <c r="L614">
        <f>IF($P614="","",INDEX(명단표[서울 근무일(기준월)],$P614))</f>
        <v/>
      </c>
      <c r="M614">
        <f>IF($P614="","",INDEX(명단표[구리 근무일(기준월)],$P614))</f>
        <v/>
      </c>
      <c r="N614">
        <f>IF($P614="","",INDEX(명단표[급여 판정 근거],$P614))</f>
        <v/>
      </c>
      <c r="O614">
        <f>IF($P614="","",INDEX(명단표[점검],$P614))</f>
        <v/>
      </c>
      <c r="P614" s="17">
        <f>IFERROR(MATCH(609,명단표[서울순번],0),"")</f>
        <v/>
      </c>
      <c r="R614">
        <f>IF($W614="","",INDEX(명단표[이름],$W614))</f>
        <v/>
      </c>
      <c r="S614">
        <f>IF($W614="","",INDEX(명단표[사번],$W614)&amp;"")</f>
        <v/>
      </c>
      <c r="T614">
        <f>IF($W614="","",INDEX(명단표[소속병원],$W614))</f>
        <v/>
      </c>
      <c r="U614">
        <f>IF($W614="","",INDEX(명단표[서울 근무일(기준월)],$W614))</f>
        <v/>
      </c>
      <c r="V614">
        <f>IF($W614="","",INDEX(명단표[구리 근무일(기준월)],$W614))</f>
        <v/>
      </c>
      <c r="W614" s="17">
        <f>IFERROR(MATCH(609,명단표[판정불가순번],0),"")</f>
        <v/>
      </c>
    </row>
    <row r="615">
      <c r="A615">
        <f>IF($P615="","",610)</f>
        <v/>
      </c>
      <c r="B615">
        <f>IF($P615="","",INDEX(명단표[이름],$P615))</f>
        <v/>
      </c>
      <c r="C615">
        <f>IF($P615="","",INDEX(명단표[사번],$P615)&amp;"")</f>
        <v/>
      </c>
      <c r="D615">
        <f>IF($P615="","",INDEX(명단표[전공의등록번호],$P615)&amp;"")</f>
        <v/>
      </c>
      <c r="E615">
        <f>IF($P615="","",INDEX(명단표[수련과목],$P615)&amp;"")</f>
        <v/>
      </c>
      <c r="F615">
        <f>IF($P615="","",INDEX(명단표[연차],$P615)&amp;"")</f>
        <v/>
      </c>
      <c r="G615">
        <f>IF($P615="","",INDEX(명단표[소속병원],$P615))</f>
        <v/>
      </c>
      <c r="H615">
        <f>IF($P615="","",IF(INDEX(명단표[소속병원],$P615)="서울병원","서울 소속","타 병원 소속("&amp;INDEX(명단표[소속병원],$P615)&amp;") → 서울 지급"))</f>
        <v/>
      </c>
      <c r="I615">
        <f>IF($P615="","",INDEX(명단표[현재 근무병원],$P615))</f>
        <v/>
      </c>
      <c r="J615">
        <f>IF($P615="","",INDEX(명단표[구리 근무 시작일(기준월)],$P615)&amp;"")</f>
        <v/>
      </c>
      <c r="K615">
        <f>IF($P615="","",INDEX(명단표[구리 근무 종료일(기준월)],$P615)&amp;"")</f>
        <v/>
      </c>
      <c r="L615">
        <f>IF($P615="","",INDEX(명단표[서울 근무일(기준월)],$P615))</f>
        <v/>
      </c>
      <c r="M615">
        <f>IF($P615="","",INDEX(명단표[구리 근무일(기준월)],$P615))</f>
        <v/>
      </c>
      <c r="N615">
        <f>IF($P615="","",INDEX(명단표[급여 판정 근거],$P615))</f>
        <v/>
      </c>
      <c r="O615">
        <f>IF($P615="","",INDEX(명단표[점검],$P615))</f>
        <v/>
      </c>
      <c r="P615" s="17">
        <f>IFERROR(MATCH(610,명단표[서울순번],0),"")</f>
        <v/>
      </c>
      <c r="R615">
        <f>IF($W615="","",INDEX(명단표[이름],$W615))</f>
        <v/>
      </c>
      <c r="S615">
        <f>IF($W615="","",INDEX(명단표[사번],$W615)&amp;"")</f>
        <v/>
      </c>
      <c r="T615">
        <f>IF($W615="","",INDEX(명단표[소속병원],$W615))</f>
        <v/>
      </c>
      <c r="U615">
        <f>IF($W615="","",INDEX(명단표[서울 근무일(기준월)],$W615))</f>
        <v/>
      </c>
      <c r="V615">
        <f>IF($W615="","",INDEX(명단표[구리 근무일(기준월)],$W615))</f>
        <v/>
      </c>
      <c r="W615" s="17">
        <f>IFERROR(MATCH(610,명단표[판정불가순번],0),"")</f>
        <v/>
      </c>
    </row>
    <row r="616">
      <c r="A616">
        <f>IF($P616="","",611)</f>
        <v/>
      </c>
      <c r="B616">
        <f>IF($P616="","",INDEX(명단표[이름],$P616))</f>
        <v/>
      </c>
      <c r="C616">
        <f>IF($P616="","",INDEX(명단표[사번],$P616)&amp;"")</f>
        <v/>
      </c>
      <c r="D616">
        <f>IF($P616="","",INDEX(명단표[전공의등록번호],$P616)&amp;"")</f>
        <v/>
      </c>
      <c r="E616">
        <f>IF($P616="","",INDEX(명단표[수련과목],$P616)&amp;"")</f>
        <v/>
      </c>
      <c r="F616">
        <f>IF($P616="","",INDEX(명단표[연차],$P616)&amp;"")</f>
        <v/>
      </c>
      <c r="G616">
        <f>IF($P616="","",INDEX(명단표[소속병원],$P616))</f>
        <v/>
      </c>
      <c r="H616">
        <f>IF($P616="","",IF(INDEX(명단표[소속병원],$P616)="서울병원","서울 소속","타 병원 소속("&amp;INDEX(명단표[소속병원],$P616)&amp;") → 서울 지급"))</f>
        <v/>
      </c>
      <c r="I616">
        <f>IF($P616="","",INDEX(명단표[현재 근무병원],$P616))</f>
        <v/>
      </c>
      <c r="J616">
        <f>IF($P616="","",INDEX(명단표[구리 근무 시작일(기준월)],$P616)&amp;"")</f>
        <v/>
      </c>
      <c r="K616">
        <f>IF($P616="","",INDEX(명단표[구리 근무 종료일(기준월)],$P616)&amp;"")</f>
        <v/>
      </c>
      <c r="L616">
        <f>IF($P616="","",INDEX(명단표[서울 근무일(기준월)],$P616))</f>
        <v/>
      </c>
      <c r="M616">
        <f>IF($P616="","",INDEX(명단표[구리 근무일(기준월)],$P616))</f>
        <v/>
      </c>
      <c r="N616">
        <f>IF($P616="","",INDEX(명단표[급여 판정 근거],$P616))</f>
        <v/>
      </c>
      <c r="O616">
        <f>IF($P616="","",INDEX(명단표[점검],$P616))</f>
        <v/>
      </c>
      <c r="P616" s="17">
        <f>IFERROR(MATCH(611,명단표[서울순번],0),"")</f>
        <v/>
      </c>
      <c r="R616">
        <f>IF($W616="","",INDEX(명단표[이름],$W616))</f>
        <v/>
      </c>
      <c r="S616">
        <f>IF($W616="","",INDEX(명단표[사번],$W616)&amp;"")</f>
        <v/>
      </c>
      <c r="T616">
        <f>IF($W616="","",INDEX(명단표[소속병원],$W616))</f>
        <v/>
      </c>
      <c r="U616">
        <f>IF($W616="","",INDEX(명단표[서울 근무일(기준월)],$W616))</f>
        <v/>
      </c>
      <c r="V616">
        <f>IF($W616="","",INDEX(명단표[구리 근무일(기준월)],$W616))</f>
        <v/>
      </c>
      <c r="W616" s="17">
        <f>IFERROR(MATCH(611,명단표[판정불가순번],0),"")</f>
        <v/>
      </c>
    </row>
    <row r="617">
      <c r="A617">
        <f>IF($P617="","",612)</f>
        <v/>
      </c>
      <c r="B617">
        <f>IF($P617="","",INDEX(명단표[이름],$P617))</f>
        <v/>
      </c>
      <c r="C617">
        <f>IF($P617="","",INDEX(명단표[사번],$P617)&amp;"")</f>
        <v/>
      </c>
      <c r="D617">
        <f>IF($P617="","",INDEX(명단표[전공의등록번호],$P617)&amp;"")</f>
        <v/>
      </c>
      <c r="E617">
        <f>IF($P617="","",INDEX(명단표[수련과목],$P617)&amp;"")</f>
        <v/>
      </c>
      <c r="F617">
        <f>IF($P617="","",INDEX(명단표[연차],$P617)&amp;"")</f>
        <v/>
      </c>
      <c r="G617">
        <f>IF($P617="","",INDEX(명단표[소속병원],$P617))</f>
        <v/>
      </c>
      <c r="H617">
        <f>IF($P617="","",IF(INDEX(명단표[소속병원],$P617)="서울병원","서울 소속","타 병원 소속("&amp;INDEX(명단표[소속병원],$P617)&amp;") → 서울 지급"))</f>
        <v/>
      </c>
      <c r="I617">
        <f>IF($P617="","",INDEX(명단표[현재 근무병원],$P617))</f>
        <v/>
      </c>
      <c r="J617">
        <f>IF($P617="","",INDEX(명단표[구리 근무 시작일(기준월)],$P617)&amp;"")</f>
        <v/>
      </c>
      <c r="K617">
        <f>IF($P617="","",INDEX(명단표[구리 근무 종료일(기준월)],$P617)&amp;"")</f>
        <v/>
      </c>
      <c r="L617">
        <f>IF($P617="","",INDEX(명단표[서울 근무일(기준월)],$P617))</f>
        <v/>
      </c>
      <c r="M617">
        <f>IF($P617="","",INDEX(명단표[구리 근무일(기준월)],$P617))</f>
        <v/>
      </c>
      <c r="N617">
        <f>IF($P617="","",INDEX(명단표[급여 판정 근거],$P617))</f>
        <v/>
      </c>
      <c r="O617">
        <f>IF($P617="","",INDEX(명단표[점검],$P617))</f>
        <v/>
      </c>
      <c r="P617" s="17">
        <f>IFERROR(MATCH(612,명단표[서울순번],0),"")</f>
        <v/>
      </c>
      <c r="R617">
        <f>IF($W617="","",INDEX(명단표[이름],$W617))</f>
        <v/>
      </c>
      <c r="S617">
        <f>IF($W617="","",INDEX(명단표[사번],$W617)&amp;"")</f>
        <v/>
      </c>
      <c r="T617">
        <f>IF($W617="","",INDEX(명단표[소속병원],$W617))</f>
        <v/>
      </c>
      <c r="U617">
        <f>IF($W617="","",INDEX(명단표[서울 근무일(기준월)],$W617))</f>
        <v/>
      </c>
      <c r="V617">
        <f>IF($W617="","",INDEX(명단표[구리 근무일(기준월)],$W617))</f>
        <v/>
      </c>
      <c r="W617" s="17">
        <f>IFERROR(MATCH(612,명단표[판정불가순번],0),"")</f>
        <v/>
      </c>
    </row>
    <row r="618">
      <c r="A618">
        <f>IF($P618="","",613)</f>
        <v/>
      </c>
      <c r="B618">
        <f>IF($P618="","",INDEX(명단표[이름],$P618))</f>
        <v/>
      </c>
      <c r="C618">
        <f>IF($P618="","",INDEX(명단표[사번],$P618)&amp;"")</f>
        <v/>
      </c>
      <c r="D618">
        <f>IF($P618="","",INDEX(명단표[전공의등록번호],$P618)&amp;"")</f>
        <v/>
      </c>
      <c r="E618">
        <f>IF($P618="","",INDEX(명단표[수련과목],$P618)&amp;"")</f>
        <v/>
      </c>
      <c r="F618">
        <f>IF($P618="","",INDEX(명단표[연차],$P618)&amp;"")</f>
        <v/>
      </c>
      <c r="G618">
        <f>IF($P618="","",INDEX(명단표[소속병원],$P618))</f>
        <v/>
      </c>
      <c r="H618">
        <f>IF($P618="","",IF(INDEX(명단표[소속병원],$P618)="서울병원","서울 소속","타 병원 소속("&amp;INDEX(명단표[소속병원],$P618)&amp;") → 서울 지급"))</f>
        <v/>
      </c>
      <c r="I618">
        <f>IF($P618="","",INDEX(명단표[현재 근무병원],$P618))</f>
        <v/>
      </c>
      <c r="J618">
        <f>IF($P618="","",INDEX(명단표[구리 근무 시작일(기준월)],$P618)&amp;"")</f>
        <v/>
      </c>
      <c r="K618">
        <f>IF($P618="","",INDEX(명단표[구리 근무 종료일(기준월)],$P618)&amp;"")</f>
        <v/>
      </c>
      <c r="L618">
        <f>IF($P618="","",INDEX(명단표[서울 근무일(기준월)],$P618))</f>
        <v/>
      </c>
      <c r="M618">
        <f>IF($P618="","",INDEX(명단표[구리 근무일(기준월)],$P618))</f>
        <v/>
      </c>
      <c r="N618">
        <f>IF($P618="","",INDEX(명단표[급여 판정 근거],$P618))</f>
        <v/>
      </c>
      <c r="O618">
        <f>IF($P618="","",INDEX(명단표[점검],$P618))</f>
        <v/>
      </c>
      <c r="P618" s="17">
        <f>IFERROR(MATCH(613,명단표[서울순번],0),"")</f>
        <v/>
      </c>
      <c r="R618">
        <f>IF($W618="","",INDEX(명단표[이름],$W618))</f>
        <v/>
      </c>
      <c r="S618">
        <f>IF($W618="","",INDEX(명단표[사번],$W618)&amp;"")</f>
        <v/>
      </c>
      <c r="T618">
        <f>IF($W618="","",INDEX(명단표[소속병원],$W618))</f>
        <v/>
      </c>
      <c r="U618">
        <f>IF($W618="","",INDEX(명단표[서울 근무일(기준월)],$W618))</f>
        <v/>
      </c>
      <c r="V618">
        <f>IF($W618="","",INDEX(명단표[구리 근무일(기준월)],$W618))</f>
        <v/>
      </c>
      <c r="W618" s="17">
        <f>IFERROR(MATCH(613,명단표[판정불가순번],0),"")</f>
        <v/>
      </c>
    </row>
    <row r="619">
      <c r="A619">
        <f>IF($P619="","",614)</f>
        <v/>
      </c>
      <c r="B619">
        <f>IF($P619="","",INDEX(명단표[이름],$P619))</f>
        <v/>
      </c>
      <c r="C619">
        <f>IF($P619="","",INDEX(명단표[사번],$P619)&amp;"")</f>
        <v/>
      </c>
      <c r="D619">
        <f>IF($P619="","",INDEX(명단표[전공의등록번호],$P619)&amp;"")</f>
        <v/>
      </c>
      <c r="E619">
        <f>IF($P619="","",INDEX(명단표[수련과목],$P619)&amp;"")</f>
        <v/>
      </c>
      <c r="F619">
        <f>IF($P619="","",INDEX(명단표[연차],$P619)&amp;"")</f>
        <v/>
      </c>
      <c r="G619">
        <f>IF($P619="","",INDEX(명단표[소속병원],$P619))</f>
        <v/>
      </c>
      <c r="H619">
        <f>IF($P619="","",IF(INDEX(명단표[소속병원],$P619)="서울병원","서울 소속","타 병원 소속("&amp;INDEX(명단표[소속병원],$P619)&amp;") → 서울 지급"))</f>
        <v/>
      </c>
      <c r="I619">
        <f>IF($P619="","",INDEX(명단표[현재 근무병원],$P619))</f>
        <v/>
      </c>
      <c r="J619">
        <f>IF($P619="","",INDEX(명단표[구리 근무 시작일(기준월)],$P619)&amp;"")</f>
        <v/>
      </c>
      <c r="K619">
        <f>IF($P619="","",INDEX(명단표[구리 근무 종료일(기준월)],$P619)&amp;"")</f>
        <v/>
      </c>
      <c r="L619">
        <f>IF($P619="","",INDEX(명단표[서울 근무일(기준월)],$P619))</f>
        <v/>
      </c>
      <c r="M619">
        <f>IF($P619="","",INDEX(명단표[구리 근무일(기준월)],$P619))</f>
        <v/>
      </c>
      <c r="N619">
        <f>IF($P619="","",INDEX(명단표[급여 판정 근거],$P619))</f>
        <v/>
      </c>
      <c r="O619">
        <f>IF($P619="","",INDEX(명단표[점검],$P619))</f>
        <v/>
      </c>
      <c r="P619" s="17">
        <f>IFERROR(MATCH(614,명단표[서울순번],0),"")</f>
        <v/>
      </c>
      <c r="R619">
        <f>IF($W619="","",INDEX(명단표[이름],$W619))</f>
        <v/>
      </c>
      <c r="S619">
        <f>IF($W619="","",INDEX(명단표[사번],$W619)&amp;"")</f>
        <v/>
      </c>
      <c r="T619">
        <f>IF($W619="","",INDEX(명단표[소속병원],$W619))</f>
        <v/>
      </c>
      <c r="U619">
        <f>IF($W619="","",INDEX(명단표[서울 근무일(기준월)],$W619))</f>
        <v/>
      </c>
      <c r="V619">
        <f>IF($W619="","",INDEX(명단표[구리 근무일(기준월)],$W619))</f>
        <v/>
      </c>
      <c r="W619" s="17">
        <f>IFERROR(MATCH(614,명단표[판정불가순번],0),"")</f>
        <v/>
      </c>
    </row>
    <row r="620">
      <c r="A620">
        <f>IF($P620="","",615)</f>
        <v/>
      </c>
      <c r="B620">
        <f>IF($P620="","",INDEX(명단표[이름],$P620))</f>
        <v/>
      </c>
      <c r="C620">
        <f>IF($P620="","",INDEX(명단표[사번],$P620)&amp;"")</f>
        <v/>
      </c>
      <c r="D620">
        <f>IF($P620="","",INDEX(명단표[전공의등록번호],$P620)&amp;"")</f>
        <v/>
      </c>
      <c r="E620">
        <f>IF($P620="","",INDEX(명단표[수련과목],$P620)&amp;"")</f>
        <v/>
      </c>
      <c r="F620">
        <f>IF($P620="","",INDEX(명단표[연차],$P620)&amp;"")</f>
        <v/>
      </c>
      <c r="G620">
        <f>IF($P620="","",INDEX(명단표[소속병원],$P620))</f>
        <v/>
      </c>
      <c r="H620">
        <f>IF($P620="","",IF(INDEX(명단표[소속병원],$P620)="서울병원","서울 소속","타 병원 소속("&amp;INDEX(명단표[소속병원],$P620)&amp;") → 서울 지급"))</f>
        <v/>
      </c>
      <c r="I620">
        <f>IF($P620="","",INDEX(명단표[현재 근무병원],$P620))</f>
        <v/>
      </c>
      <c r="J620">
        <f>IF($P620="","",INDEX(명단표[구리 근무 시작일(기준월)],$P620)&amp;"")</f>
        <v/>
      </c>
      <c r="K620">
        <f>IF($P620="","",INDEX(명단표[구리 근무 종료일(기준월)],$P620)&amp;"")</f>
        <v/>
      </c>
      <c r="L620">
        <f>IF($P620="","",INDEX(명단표[서울 근무일(기준월)],$P620))</f>
        <v/>
      </c>
      <c r="M620">
        <f>IF($P620="","",INDEX(명단표[구리 근무일(기준월)],$P620))</f>
        <v/>
      </c>
      <c r="N620">
        <f>IF($P620="","",INDEX(명단표[급여 판정 근거],$P620))</f>
        <v/>
      </c>
      <c r="O620">
        <f>IF($P620="","",INDEX(명단표[점검],$P620))</f>
        <v/>
      </c>
      <c r="P620" s="17">
        <f>IFERROR(MATCH(615,명단표[서울순번],0),"")</f>
        <v/>
      </c>
      <c r="R620">
        <f>IF($W620="","",INDEX(명단표[이름],$W620))</f>
        <v/>
      </c>
      <c r="S620">
        <f>IF($W620="","",INDEX(명단표[사번],$W620)&amp;"")</f>
        <v/>
      </c>
      <c r="T620">
        <f>IF($W620="","",INDEX(명단표[소속병원],$W620))</f>
        <v/>
      </c>
      <c r="U620">
        <f>IF($W620="","",INDEX(명단표[서울 근무일(기준월)],$W620))</f>
        <v/>
      </c>
      <c r="V620">
        <f>IF($W620="","",INDEX(명단표[구리 근무일(기준월)],$W620))</f>
        <v/>
      </c>
      <c r="W620" s="17">
        <f>IFERROR(MATCH(615,명단표[판정불가순번],0),"")</f>
        <v/>
      </c>
    </row>
    <row r="621">
      <c r="A621">
        <f>IF($P621="","",616)</f>
        <v/>
      </c>
      <c r="B621">
        <f>IF($P621="","",INDEX(명단표[이름],$P621))</f>
        <v/>
      </c>
      <c r="C621">
        <f>IF($P621="","",INDEX(명단표[사번],$P621)&amp;"")</f>
        <v/>
      </c>
      <c r="D621">
        <f>IF($P621="","",INDEX(명단표[전공의등록번호],$P621)&amp;"")</f>
        <v/>
      </c>
      <c r="E621">
        <f>IF($P621="","",INDEX(명단표[수련과목],$P621)&amp;"")</f>
        <v/>
      </c>
      <c r="F621">
        <f>IF($P621="","",INDEX(명단표[연차],$P621)&amp;"")</f>
        <v/>
      </c>
      <c r="G621">
        <f>IF($P621="","",INDEX(명단표[소속병원],$P621))</f>
        <v/>
      </c>
      <c r="H621">
        <f>IF($P621="","",IF(INDEX(명단표[소속병원],$P621)="서울병원","서울 소속","타 병원 소속("&amp;INDEX(명단표[소속병원],$P621)&amp;") → 서울 지급"))</f>
        <v/>
      </c>
      <c r="I621">
        <f>IF($P621="","",INDEX(명단표[현재 근무병원],$P621))</f>
        <v/>
      </c>
      <c r="J621">
        <f>IF($P621="","",INDEX(명단표[구리 근무 시작일(기준월)],$P621)&amp;"")</f>
        <v/>
      </c>
      <c r="K621">
        <f>IF($P621="","",INDEX(명단표[구리 근무 종료일(기준월)],$P621)&amp;"")</f>
        <v/>
      </c>
      <c r="L621">
        <f>IF($P621="","",INDEX(명단표[서울 근무일(기준월)],$P621))</f>
        <v/>
      </c>
      <c r="M621">
        <f>IF($P621="","",INDEX(명단표[구리 근무일(기준월)],$P621))</f>
        <v/>
      </c>
      <c r="N621">
        <f>IF($P621="","",INDEX(명단표[급여 판정 근거],$P621))</f>
        <v/>
      </c>
      <c r="O621">
        <f>IF($P621="","",INDEX(명단표[점검],$P621))</f>
        <v/>
      </c>
      <c r="P621" s="17">
        <f>IFERROR(MATCH(616,명단표[서울순번],0),"")</f>
        <v/>
      </c>
      <c r="R621">
        <f>IF($W621="","",INDEX(명단표[이름],$W621))</f>
        <v/>
      </c>
      <c r="S621">
        <f>IF($W621="","",INDEX(명단표[사번],$W621)&amp;"")</f>
        <v/>
      </c>
      <c r="T621">
        <f>IF($W621="","",INDEX(명단표[소속병원],$W621))</f>
        <v/>
      </c>
      <c r="U621">
        <f>IF($W621="","",INDEX(명단표[서울 근무일(기준월)],$W621))</f>
        <v/>
      </c>
      <c r="V621">
        <f>IF($W621="","",INDEX(명단표[구리 근무일(기준월)],$W621))</f>
        <v/>
      </c>
      <c r="W621" s="17">
        <f>IFERROR(MATCH(616,명단표[판정불가순번],0),"")</f>
        <v/>
      </c>
    </row>
    <row r="622">
      <c r="A622">
        <f>IF($P622="","",617)</f>
        <v/>
      </c>
      <c r="B622">
        <f>IF($P622="","",INDEX(명단표[이름],$P622))</f>
        <v/>
      </c>
      <c r="C622">
        <f>IF($P622="","",INDEX(명단표[사번],$P622)&amp;"")</f>
        <v/>
      </c>
      <c r="D622">
        <f>IF($P622="","",INDEX(명단표[전공의등록번호],$P622)&amp;"")</f>
        <v/>
      </c>
      <c r="E622">
        <f>IF($P622="","",INDEX(명단표[수련과목],$P622)&amp;"")</f>
        <v/>
      </c>
      <c r="F622">
        <f>IF($P622="","",INDEX(명단표[연차],$P622)&amp;"")</f>
        <v/>
      </c>
      <c r="G622">
        <f>IF($P622="","",INDEX(명단표[소속병원],$P622))</f>
        <v/>
      </c>
      <c r="H622">
        <f>IF($P622="","",IF(INDEX(명단표[소속병원],$P622)="서울병원","서울 소속","타 병원 소속("&amp;INDEX(명단표[소속병원],$P622)&amp;") → 서울 지급"))</f>
        <v/>
      </c>
      <c r="I622">
        <f>IF($P622="","",INDEX(명단표[현재 근무병원],$P622))</f>
        <v/>
      </c>
      <c r="J622">
        <f>IF($P622="","",INDEX(명단표[구리 근무 시작일(기준월)],$P622)&amp;"")</f>
        <v/>
      </c>
      <c r="K622">
        <f>IF($P622="","",INDEX(명단표[구리 근무 종료일(기준월)],$P622)&amp;"")</f>
        <v/>
      </c>
      <c r="L622">
        <f>IF($P622="","",INDEX(명단표[서울 근무일(기준월)],$P622))</f>
        <v/>
      </c>
      <c r="M622">
        <f>IF($P622="","",INDEX(명단표[구리 근무일(기준월)],$P622))</f>
        <v/>
      </c>
      <c r="N622">
        <f>IF($P622="","",INDEX(명단표[급여 판정 근거],$P622))</f>
        <v/>
      </c>
      <c r="O622">
        <f>IF($P622="","",INDEX(명단표[점검],$P622))</f>
        <v/>
      </c>
      <c r="P622" s="17">
        <f>IFERROR(MATCH(617,명단표[서울순번],0),"")</f>
        <v/>
      </c>
      <c r="R622">
        <f>IF($W622="","",INDEX(명단표[이름],$W622))</f>
        <v/>
      </c>
      <c r="S622">
        <f>IF($W622="","",INDEX(명단표[사번],$W622)&amp;"")</f>
        <v/>
      </c>
      <c r="T622">
        <f>IF($W622="","",INDEX(명단표[소속병원],$W622))</f>
        <v/>
      </c>
      <c r="U622">
        <f>IF($W622="","",INDEX(명단표[서울 근무일(기준월)],$W622))</f>
        <v/>
      </c>
      <c r="V622">
        <f>IF($W622="","",INDEX(명단표[구리 근무일(기준월)],$W622))</f>
        <v/>
      </c>
      <c r="W622" s="17">
        <f>IFERROR(MATCH(617,명단표[판정불가순번],0),"")</f>
        <v/>
      </c>
    </row>
    <row r="623">
      <c r="A623">
        <f>IF($P623="","",618)</f>
        <v/>
      </c>
      <c r="B623">
        <f>IF($P623="","",INDEX(명단표[이름],$P623))</f>
        <v/>
      </c>
      <c r="C623">
        <f>IF($P623="","",INDEX(명단표[사번],$P623)&amp;"")</f>
        <v/>
      </c>
      <c r="D623">
        <f>IF($P623="","",INDEX(명단표[전공의등록번호],$P623)&amp;"")</f>
        <v/>
      </c>
      <c r="E623">
        <f>IF($P623="","",INDEX(명단표[수련과목],$P623)&amp;"")</f>
        <v/>
      </c>
      <c r="F623">
        <f>IF($P623="","",INDEX(명단표[연차],$P623)&amp;"")</f>
        <v/>
      </c>
      <c r="G623">
        <f>IF($P623="","",INDEX(명단표[소속병원],$P623))</f>
        <v/>
      </c>
      <c r="H623">
        <f>IF($P623="","",IF(INDEX(명단표[소속병원],$P623)="서울병원","서울 소속","타 병원 소속("&amp;INDEX(명단표[소속병원],$P623)&amp;") → 서울 지급"))</f>
        <v/>
      </c>
      <c r="I623">
        <f>IF($P623="","",INDEX(명단표[현재 근무병원],$P623))</f>
        <v/>
      </c>
      <c r="J623">
        <f>IF($P623="","",INDEX(명단표[구리 근무 시작일(기준월)],$P623)&amp;"")</f>
        <v/>
      </c>
      <c r="K623">
        <f>IF($P623="","",INDEX(명단표[구리 근무 종료일(기준월)],$P623)&amp;"")</f>
        <v/>
      </c>
      <c r="L623">
        <f>IF($P623="","",INDEX(명단표[서울 근무일(기준월)],$P623))</f>
        <v/>
      </c>
      <c r="M623">
        <f>IF($P623="","",INDEX(명단표[구리 근무일(기준월)],$P623))</f>
        <v/>
      </c>
      <c r="N623">
        <f>IF($P623="","",INDEX(명단표[급여 판정 근거],$P623))</f>
        <v/>
      </c>
      <c r="O623">
        <f>IF($P623="","",INDEX(명단표[점검],$P623))</f>
        <v/>
      </c>
      <c r="P623" s="17">
        <f>IFERROR(MATCH(618,명단표[서울순번],0),"")</f>
        <v/>
      </c>
      <c r="R623">
        <f>IF($W623="","",INDEX(명단표[이름],$W623))</f>
        <v/>
      </c>
      <c r="S623">
        <f>IF($W623="","",INDEX(명단표[사번],$W623)&amp;"")</f>
        <v/>
      </c>
      <c r="T623">
        <f>IF($W623="","",INDEX(명단표[소속병원],$W623))</f>
        <v/>
      </c>
      <c r="U623">
        <f>IF($W623="","",INDEX(명단표[서울 근무일(기준월)],$W623))</f>
        <v/>
      </c>
      <c r="V623">
        <f>IF($W623="","",INDEX(명단표[구리 근무일(기준월)],$W623))</f>
        <v/>
      </c>
      <c r="W623" s="17">
        <f>IFERROR(MATCH(618,명단표[판정불가순번],0),"")</f>
        <v/>
      </c>
    </row>
    <row r="624">
      <c r="A624">
        <f>IF($P624="","",619)</f>
        <v/>
      </c>
      <c r="B624">
        <f>IF($P624="","",INDEX(명단표[이름],$P624))</f>
        <v/>
      </c>
      <c r="C624">
        <f>IF($P624="","",INDEX(명단표[사번],$P624)&amp;"")</f>
        <v/>
      </c>
      <c r="D624">
        <f>IF($P624="","",INDEX(명단표[전공의등록번호],$P624)&amp;"")</f>
        <v/>
      </c>
      <c r="E624">
        <f>IF($P624="","",INDEX(명단표[수련과목],$P624)&amp;"")</f>
        <v/>
      </c>
      <c r="F624">
        <f>IF($P624="","",INDEX(명단표[연차],$P624)&amp;"")</f>
        <v/>
      </c>
      <c r="G624">
        <f>IF($P624="","",INDEX(명단표[소속병원],$P624))</f>
        <v/>
      </c>
      <c r="H624">
        <f>IF($P624="","",IF(INDEX(명단표[소속병원],$P624)="서울병원","서울 소속","타 병원 소속("&amp;INDEX(명단표[소속병원],$P624)&amp;") → 서울 지급"))</f>
        <v/>
      </c>
      <c r="I624">
        <f>IF($P624="","",INDEX(명단표[현재 근무병원],$P624))</f>
        <v/>
      </c>
      <c r="J624">
        <f>IF($P624="","",INDEX(명단표[구리 근무 시작일(기준월)],$P624)&amp;"")</f>
        <v/>
      </c>
      <c r="K624">
        <f>IF($P624="","",INDEX(명단표[구리 근무 종료일(기준월)],$P624)&amp;"")</f>
        <v/>
      </c>
      <c r="L624">
        <f>IF($P624="","",INDEX(명단표[서울 근무일(기준월)],$P624))</f>
        <v/>
      </c>
      <c r="M624">
        <f>IF($P624="","",INDEX(명단표[구리 근무일(기준월)],$P624))</f>
        <v/>
      </c>
      <c r="N624">
        <f>IF($P624="","",INDEX(명단표[급여 판정 근거],$P624))</f>
        <v/>
      </c>
      <c r="O624">
        <f>IF($P624="","",INDEX(명단표[점검],$P624))</f>
        <v/>
      </c>
      <c r="P624" s="17">
        <f>IFERROR(MATCH(619,명단표[서울순번],0),"")</f>
        <v/>
      </c>
      <c r="R624">
        <f>IF($W624="","",INDEX(명단표[이름],$W624))</f>
        <v/>
      </c>
      <c r="S624">
        <f>IF($W624="","",INDEX(명단표[사번],$W624)&amp;"")</f>
        <v/>
      </c>
      <c r="T624">
        <f>IF($W624="","",INDEX(명단표[소속병원],$W624))</f>
        <v/>
      </c>
      <c r="U624">
        <f>IF($W624="","",INDEX(명단표[서울 근무일(기준월)],$W624))</f>
        <v/>
      </c>
      <c r="V624">
        <f>IF($W624="","",INDEX(명단표[구리 근무일(기준월)],$W624))</f>
        <v/>
      </c>
      <c r="W624" s="17">
        <f>IFERROR(MATCH(619,명단표[판정불가순번],0),"")</f>
        <v/>
      </c>
    </row>
    <row r="625">
      <c r="A625">
        <f>IF($P625="","",620)</f>
        <v/>
      </c>
      <c r="B625">
        <f>IF($P625="","",INDEX(명단표[이름],$P625))</f>
        <v/>
      </c>
      <c r="C625">
        <f>IF($P625="","",INDEX(명단표[사번],$P625)&amp;"")</f>
        <v/>
      </c>
      <c r="D625">
        <f>IF($P625="","",INDEX(명단표[전공의등록번호],$P625)&amp;"")</f>
        <v/>
      </c>
      <c r="E625">
        <f>IF($P625="","",INDEX(명단표[수련과목],$P625)&amp;"")</f>
        <v/>
      </c>
      <c r="F625">
        <f>IF($P625="","",INDEX(명단표[연차],$P625)&amp;"")</f>
        <v/>
      </c>
      <c r="G625">
        <f>IF($P625="","",INDEX(명단표[소속병원],$P625))</f>
        <v/>
      </c>
      <c r="H625">
        <f>IF($P625="","",IF(INDEX(명단표[소속병원],$P625)="서울병원","서울 소속","타 병원 소속("&amp;INDEX(명단표[소속병원],$P625)&amp;") → 서울 지급"))</f>
        <v/>
      </c>
      <c r="I625">
        <f>IF($P625="","",INDEX(명단표[현재 근무병원],$P625))</f>
        <v/>
      </c>
      <c r="J625">
        <f>IF($P625="","",INDEX(명단표[구리 근무 시작일(기준월)],$P625)&amp;"")</f>
        <v/>
      </c>
      <c r="K625">
        <f>IF($P625="","",INDEX(명단표[구리 근무 종료일(기준월)],$P625)&amp;"")</f>
        <v/>
      </c>
      <c r="L625">
        <f>IF($P625="","",INDEX(명단표[서울 근무일(기준월)],$P625))</f>
        <v/>
      </c>
      <c r="M625">
        <f>IF($P625="","",INDEX(명단표[구리 근무일(기준월)],$P625))</f>
        <v/>
      </c>
      <c r="N625">
        <f>IF($P625="","",INDEX(명단표[급여 판정 근거],$P625))</f>
        <v/>
      </c>
      <c r="O625">
        <f>IF($P625="","",INDEX(명단표[점검],$P625))</f>
        <v/>
      </c>
      <c r="P625" s="17">
        <f>IFERROR(MATCH(620,명단표[서울순번],0),"")</f>
        <v/>
      </c>
      <c r="R625">
        <f>IF($W625="","",INDEX(명단표[이름],$W625))</f>
        <v/>
      </c>
      <c r="S625">
        <f>IF($W625="","",INDEX(명단표[사번],$W625)&amp;"")</f>
        <v/>
      </c>
      <c r="T625">
        <f>IF($W625="","",INDEX(명단표[소속병원],$W625))</f>
        <v/>
      </c>
      <c r="U625">
        <f>IF($W625="","",INDEX(명단표[서울 근무일(기준월)],$W625))</f>
        <v/>
      </c>
      <c r="V625">
        <f>IF($W625="","",INDEX(명단표[구리 근무일(기준월)],$W625))</f>
        <v/>
      </c>
      <c r="W625" s="17">
        <f>IFERROR(MATCH(620,명단표[판정불가순번],0),"")</f>
        <v/>
      </c>
    </row>
    <row r="626">
      <c r="A626">
        <f>IF($P626="","",621)</f>
        <v/>
      </c>
      <c r="B626">
        <f>IF($P626="","",INDEX(명단표[이름],$P626))</f>
        <v/>
      </c>
      <c r="C626">
        <f>IF($P626="","",INDEX(명단표[사번],$P626)&amp;"")</f>
        <v/>
      </c>
      <c r="D626">
        <f>IF($P626="","",INDEX(명단표[전공의등록번호],$P626)&amp;"")</f>
        <v/>
      </c>
      <c r="E626">
        <f>IF($P626="","",INDEX(명단표[수련과목],$P626)&amp;"")</f>
        <v/>
      </c>
      <c r="F626">
        <f>IF($P626="","",INDEX(명단표[연차],$P626)&amp;"")</f>
        <v/>
      </c>
      <c r="G626">
        <f>IF($P626="","",INDEX(명단표[소속병원],$P626))</f>
        <v/>
      </c>
      <c r="H626">
        <f>IF($P626="","",IF(INDEX(명단표[소속병원],$P626)="서울병원","서울 소속","타 병원 소속("&amp;INDEX(명단표[소속병원],$P626)&amp;") → 서울 지급"))</f>
        <v/>
      </c>
      <c r="I626">
        <f>IF($P626="","",INDEX(명단표[현재 근무병원],$P626))</f>
        <v/>
      </c>
      <c r="J626">
        <f>IF($P626="","",INDEX(명단표[구리 근무 시작일(기준월)],$P626)&amp;"")</f>
        <v/>
      </c>
      <c r="K626">
        <f>IF($P626="","",INDEX(명단표[구리 근무 종료일(기준월)],$P626)&amp;"")</f>
        <v/>
      </c>
      <c r="L626">
        <f>IF($P626="","",INDEX(명단표[서울 근무일(기준월)],$P626))</f>
        <v/>
      </c>
      <c r="M626">
        <f>IF($P626="","",INDEX(명단표[구리 근무일(기준월)],$P626))</f>
        <v/>
      </c>
      <c r="N626">
        <f>IF($P626="","",INDEX(명단표[급여 판정 근거],$P626))</f>
        <v/>
      </c>
      <c r="O626">
        <f>IF($P626="","",INDEX(명단표[점검],$P626))</f>
        <v/>
      </c>
      <c r="P626" s="17">
        <f>IFERROR(MATCH(621,명단표[서울순번],0),"")</f>
        <v/>
      </c>
      <c r="R626">
        <f>IF($W626="","",INDEX(명단표[이름],$W626))</f>
        <v/>
      </c>
      <c r="S626">
        <f>IF($W626="","",INDEX(명단표[사번],$W626)&amp;"")</f>
        <v/>
      </c>
      <c r="T626">
        <f>IF($W626="","",INDEX(명단표[소속병원],$W626))</f>
        <v/>
      </c>
      <c r="U626">
        <f>IF($W626="","",INDEX(명단표[서울 근무일(기준월)],$W626))</f>
        <v/>
      </c>
      <c r="V626">
        <f>IF($W626="","",INDEX(명단표[구리 근무일(기준월)],$W626))</f>
        <v/>
      </c>
      <c r="W626" s="17">
        <f>IFERROR(MATCH(621,명단표[판정불가순번],0),"")</f>
        <v/>
      </c>
    </row>
    <row r="627">
      <c r="A627">
        <f>IF($P627="","",622)</f>
        <v/>
      </c>
      <c r="B627">
        <f>IF($P627="","",INDEX(명단표[이름],$P627))</f>
        <v/>
      </c>
      <c r="C627">
        <f>IF($P627="","",INDEX(명단표[사번],$P627)&amp;"")</f>
        <v/>
      </c>
      <c r="D627">
        <f>IF($P627="","",INDEX(명단표[전공의등록번호],$P627)&amp;"")</f>
        <v/>
      </c>
      <c r="E627">
        <f>IF($P627="","",INDEX(명단표[수련과목],$P627)&amp;"")</f>
        <v/>
      </c>
      <c r="F627">
        <f>IF($P627="","",INDEX(명단표[연차],$P627)&amp;"")</f>
        <v/>
      </c>
      <c r="G627">
        <f>IF($P627="","",INDEX(명단표[소속병원],$P627))</f>
        <v/>
      </c>
      <c r="H627">
        <f>IF($P627="","",IF(INDEX(명단표[소속병원],$P627)="서울병원","서울 소속","타 병원 소속("&amp;INDEX(명단표[소속병원],$P627)&amp;") → 서울 지급"))</f>
        <v/>
      </c>
      <c r="I627">
        <f>IF($P627="","",INDEX(명단표[현재 근무병원],$P627))</f>
        <v/>
      </c>
      <c r="J627">
        <f>IF($P627="","",INDEX(명단표[구리 근무 시작일(기준월)],$P627)&amp;"")</f>
        <v/>
      </c>
      <c r="K627">
        <f>IF($P627="","",INDEX(명단표[구리 근무 종료일(기준월)],$P627)&amp;"")</f>
        <v/>
      </c>
      <c r="L627">
        <f>IF($P627="","",INDEX(명단표[서울 근무일(기준월)],$P627))</f>
        <v/>
      </c>
      <c r="M627">
        <f>IF($P627="","",INDEX(명단표[구리 근무일(기준월)],$P627))</f>
        <v/>
      </c>
      <c r="N627">
        <f>IF($P627="","",INDEX(명단표[급여 판정 근거],$P627))</f>
        <v/>
      </c>
      <c r="O627">
        <f>IF($P627="","",INDEX(명단표[점검],$P627))</f>
        <v/>
      </c>
      <c r="P627" s="17">
        <f>IFERROR(MATCH(622,명단표[서울순번],0),"")</f>
        <v/>
      </c>
      <c r="R627">
        <f>IF($W627="","",INDEX(명단표[이름],$W627))</f>
        <v/>
      </c>
      <c r="S627">
        <f>IF($W627="","",INDEX(명단표[사번],$W627)&amp;"")</f>
        <v/>
      </c>
      <c r="T627">
        <f>IF($W627="","",INDEX(명단표[소속병원],$W627))</f>
        <v/>
      </c>
      <c r="U627">
        <f>IF($W627="","",INDEX(명단표[서울 근무일(기준월)],$W627))</f>
        <v/>
      </c>
      <c r="V627">
        <f>IF($W627="","",INDEX(명단표[구리 근무일(기준월)],$W627))</f>
        <v/>
      </c>
      <c r="W627" s="17">
        <f>IFERROR(MATCH(622,명단표[판정불가순번],0),"")</f>
        <v/>
      </c>
    </row>
    <row r="628">
      <c r="A628">
        <f>IF($P628="","",623)</f>
        <v/>
      </c>
      <c r="B628">
        <f>IF($P628="","",INDEX(명단표[이름],$P628))</f>
        <v/>
      </c>
      <c r="C628">
        <f>IF($P628="","",INDEX(명단표[사번],$P628)&amp;"")</f>
        <v/>
      </c>
      <c r="D628">
        <f>IF($P628="","",INDEX(명단표[전공의등록번호],$P628)&amp;"")</f>
        <v/>
      </c>
      <c r="E628">
        <f>IF($P628="","",INDEX(명단표[수련과목],$P628)&amp;"")</f>
        <v/>
      </c>
      <c r="F628">
        <f>IF($P628="","",INDEX(명단표[연차],$P628)&amp;"")</f>
        <v/>
      </c>
      <c r="G628">
        <f>IF($P628="","",INDEX(명단표[소속병원],$P628))</f>
        <v/>
      </c>
      <c r="H628">
        <f>IF($P628="","",IF(INDEX(명단표[소속병원],$P628)="서울병원","서울 소속","타 병원 소속("&amp;INDEX(명단표[소속병원],$P628)&amp;") → 서울 지급"))</f>
        <v/>
      </c>
      <c r="I628">
        <f>IF($P628="","",INDEX(명단표[현재 근무병원],$P628))</f>
        <v/>
      </c>
      <c r="J628">
        <f>IF($P628="","",INDEX(명단표[구리 근무 시작일(기준월)],$P628)&amp;"")</f>
        <v/>
      </c>
      <c r="K628">
        <f>IF($P628="","",INDEX(명단표[구리 근무 종료일(기준월)],$P628)&amp;"")</f>
        <v/>
      </c>
      <c r="L628">
        <f>IF($P628="","",INDEX(명단표[서울 근무일(기준월)],$P628))</f>
        <v/>
      </c>
      <c r="M628">
        <f>IF($P628="","",INDEX(명단표[구리 근무일(기준월)],$P628))</f>
        <v/>
      </c>
      <c r="N628">
        <f>IF($P628="","",INDEX(명단표[급여 판정 근거],$P628))</f>
        <v/>
      </c>
      <c r="O628">
        <f>IF($P628="","",INDEX(명단표[점검],$P628))</f>
        <v/>
      </c>
      <c r="P628" s="17">
        <f>IFERROR(MATCH(623,명단표[서울순번],0),"")</f>
        <v/>
      </c>
      <c r="R628">
        <f>IF($W628="","",INDEX(명단표[이름],$W628))</f>
        <v/>
      </c>
      <c r="S628">
        <f>IF($W628="","",INDEX(명단표[사번],$W628)&amp;"")</f>
        <v/>
      </c>
      <c r="T628">
        <f>IF($W628="","",INDEX(명단표[소속병원],$W628))</f>
        <v/>
      </c>
      <c r="U628">
        <f>IF($W628="","",INDEX(명단표[서울 근무일(기준월)],$W628))</f>
        <v/>
      </c>
      <c r="V628">
        <f>IF($W628="","",INDEX(명단표[구리 근무일(기준월)],$W628))</f>
        <v/>
      </c>
      <c r="W628" s="17">
        <f>IFERROR(MATCH(623,명단표[판정불가순번],0),"")</f>
        <v/>
      </c>
    </row>
    <row r="629">
      <c r="A629">
        <f>IF($P629="","",624)</f>
        <v/>
      </c>
      <c r="B629">
        <f>IF($P629="","",INDEX(명단표[이름],$P629))</f>
        <v/>
      </c>
      <c r="C629">
        <f>IF($P629="","",INDEX(명단표[사번],$P629)&amp;"")</f>
        <v/>
      </c>
      <c r="D629">
        <f>IF($P629="","",INDEX(명단표[전공의등록번호],$P629)&amp;"")</f>
        <v/>
      </c>
      <c r="E629">
        <f>IF($P629="","",INDEX(명단표[수련과목],$P629)&amp;"")</f>
        <v/>
      </c>
      <c r="F629">
        <f>IF($P629="","",INDEX(명단표[연차],$P629)&amp;"")</f>
        <v/>
      </c>
      <c r="G629">
        <f>IF($P629="","",INDEX(명단표[소속병원],$P629))</f>
        <v/>
      </c>
      <c r="H629">
        <f>IF($P629="","",IF(INDEX(명단표[소속병원],$P629)="서울병원","서울 소속","타 병원 소속("&amp;INDEX(명단표[소속병원],$P629)&amp;") → 서울 지급"))</f>
        <v/>
      </c>
      <c r="I629">
        <f>IF($P629="","",INDEX(명단표[현재 근무병원],$P629))</f>
        <v/>
      </c>
      <c r="J629">
        <f>IF($P629="","",INDEX(명단표[구리 근무 시작일(기준월)],$P629)&amp;"")</f>
        <v/>
      </c>
      <c r="K629">
        <f>IF($P629="","",INDEX(명단표[구리 근무 종료일(기준월)],$P629)&amp;"")</f>
        <v/>
      </c>
      <c r="L629">
        <f>IF($P629="","",INDEX(명단표[서울 근무일(기준월)],$P629))</f>
        <v/>
      </c>
      <c r="M629">
        <f>IF($P629="","",INDEX(명단표[구리 근무일(기준월)],$P629))</f>
        <v/>
      </c>
      <c r="N629">
        <f>IF($P629="","",INDEX(명단표[급여 판정 근거],$P629))</f>
        <v/>
      </c>
      <c r="O629">
        <f>IF($P629="","",INDEX(명단표[점검],$P629))</f>
        <v/>
      </c>
      <c r="P629" s="17">
        <f>IFERROR(MATCH(624,명단표[서울순번],0),"")</f>
        <v/>
      </c>
      <c r="R629">
        <f>IF($W629="","",INDEX(명단표[이름],$W629))</f>
        <v/>
      </c>
      <c r="S629">
        <f>IF($W629="","",INDEX(명단표[사번],$W629)&amp;"")</f>
        <v/>
      </c>
      <c r="T629">
        <f>IF($W629="","",INDEX(명단표[소속병원],$W629))</f>
        <v/>
      </c>
      <c r="U629">
        <f>IF($W629="","",INDEX(명단표[서울 근무일(기준월)],$W629))</f>
        <v/>
      </c>
      <c r="V629">
        <f>IF($W629="","",INDEX(명단표[구리 근무일(기준월)],$W629))</f>
        <v/>
      </c>
      <c r="W629" s="17">
        <f>IFERROR(MATCH(624,명단표[판정불가순번],0),"")</f>
        <v/>
      </c>
    </row>
    <row r="630">
      <c r="A630">
        <f>IF($P630="","",625)</f>
        <v/>
      </c>
      <c r="B630">
        <f>IF($P630="","",INDEX(명단표[이름],$P630))</f>
        <v/>
      </c>
      <c r="C630">
        <f>IF($P630="","",INDEX(명단표[사번],$P630)&amp;"")</f>
        <v/>
      </c>
      <c r="D630">
        <f>IF($P630="","",INDEX(명단표[전공의등록번호],$P630)&amp;"")</f>
        <v/>
      </c>
      <c r="E630">
        <f>IF($P630="","",INDEX(명단표[수련과목],$P630)&amp;"")</f>
        <v/>
      </c>
      <c r="F630">
        <f>IF($P630="","",INDEX(명단표[연차],$P630)&amp;"")</f>
        <v/>
      </c>
      <c r="G630">
        <f>IF($P630="","",INDEX(명단표[소속병원],$P630))</f>
        <v/>
      </c>
      <c r="H630">
        <f>IF($P630="","",IF(INDEX(명단표[소속병원],$P630)="서울병원","서울 소속","타 병원 소속("&amp;INDEX(명단표[소속병원],$P630)&amp;") → 서울 지급"))</f>
        <v/>
      </c>
      <c r="I630">
        <f>IF($P630="","",INDEX(명단표[현재 근무병원],$P630))</f>
        <v/>
      </c>
      <c r="J630">
        <f>IF($P630="","",INDEX(명단표[구리 근무 시작일(기준월)],$P630)&amp;"")</f>
        <v/>
      </c>
      <c r="K630">
        <f>IF($P630="","",INDEX(명단표[구리 근무 종료일(기준월)],$P630)&amp;"")</f>
        <v/>
      </c>
      <c r="L630">
        <f>IF($P630="","",INDEX(명단표[서울 근무일(기준월)],$P630))</f>
        <v/>
      </c>
      <c r="M630">
        <f>IF($P630="","",INDEX(명단표[구리 근무일(기준월)],$P630))</f>
        <v/>
      </c>
      <c r="N630">
        <f>IF($P630="","",INDEX(명단표[급여 판정 근거],$P630))</f>
        <v/>
      </c>
      <c r="O630">
        <f>IF($P630="","",INDEX(명단표[점검],$P630))</f>
        <v/>
      </c>
      <c r="P630" s="17">
        <f>IFERROR(MATCH(625,명단표[서울순번],0),"")</f>
        <v/>
      </c>
      <c r="R630">
        <f>IF($W630="","",INDEX(명단표[이름],$W630))</f>
        <v/>
      </c>
      <c r="S630">
        <f>IF($W630="","",INDEX(명단표[사번],$W630)&amp;"")</f>
        <v/>
      </c>
      <c r="T630">
        <f>IF($W630="","",INDEX(명단표[소속병원],$W630))</f>
        <v/>
      </c>
      <c r="U630">
        <f>IF($W630="","",INDEX(명단표[서울 근무일(기준월)],$W630))</f>
        <v/>
      </c>
      <c r="V630">
        <f>IF($W630="","",INDEX(명단표[구리 근무일(기준월)],$W630))</f>
        <v/>
      </c>
      <c r="W630" s="17">
        <f>IFERROR(MATCH(625,명단표[판정불가순번],0),"")</f>
        <v/>
      </c>
    </row>
    <row r="631">
      <c r="A631">
        <f>IF($P631="","",626)</f>
        <v/>
      </c>
      <c r="B631">
        <f>IF($P631="","",INDEX(명단표[이름],$P631))</f>
        <v/>
      </c>
      <c r="C631">
        <f>IF($P631="","",INDEX(명단표[사번],$P631)&amp;"")</f>
        <v/>
      </c>
      <c r="D631">
        <f>IF($P631="","",INDEX(명단표[전공의등록번호],$P631)&amp;"")</f>
        <v/>
      </c>
      <c r="E631">
        <f>IF($P631="","",INDEX(명단표[수련과목],$P631)&amp;"")</f>
        <v/>
      </c>
      <c r="F631">
        <f>IF($P631="","",INDEX(명단표[연차],$P631)&amp;"")</f>
        <v/>
      </c>
      <c r="G631">
        <f>IF($P631="","",INDEX(명단표[소속병원],$P631))</f>
        <v/>
      </c>
      <c r="H631">
        <f>IF($P631="","",IF(INDEX(명단표[소속병원],$P631)="서울병원","서울 소속","타 병원 소속("&amp;INDEX(명단표[소속병원],$P631)&amp;") → 서울 지급"))</f>
        <v/>
      </c>
      <c r="I631">
        <f>IF($P631="","",INDEX(명단표[현재 근무병원],$P631))</f>
        <v/>
      </c>
      <c r="J631">
        <f>IF($P631="","",INDEX(명단표[구리 근무 시작일(기준월)],$P631)&amp;"")</f>
        <v/>
      </c>
      <c r="K631">
        <f>IF($P631="","",INDEX(명단표[구리 근무 종료일(기준월)],$P631)&amp;"")</f>
        <v/>
      </c>
      <c r="L631">
        <f>IF($P631="","",INDEX(명단표[서울 근무일(기준월)],$P631))</f>
        <v/>
      </c>
      <c r="M631">
        <f>IF($P631="","",INDEX(명단표[구리 근무일(기준월)],$P631))</f>
        <v/>
      </c>
      <c r="N631">
        <f>IF($P631="","",INDEX(명단표[급여 판정 근거],$P631))</f>
        <v/>
      </c>
      <c r="O631">
        <f>IF($P631="","",INDEX(명단표[점검],$P631))</f>
        <v/>
      </c>
      <c r="P631" s="17">
        <f>IFERROR(MATCH(626,명단표[서울순번],0),"")</f>
        <v/>
      </c>
      <c r="R631">
        <f>IF($W631="","",INDEX(명단표[이름],$W631))</f>
        <v/>
      </c>
      <c r="S631">
        <f>IF($W631="","",INDEX(명단표[사번],$W631)&amp;"")</f>
        <v/>
      </c>
      <c r="T631">
        <f>IF($W631="","",INDEX(명단표[소속병원],$W631))</f>
        <v/>
      </c>
      <c r="U631">
        <f>IF($W631="","",INDEX(명단표[서울 근무일(기준월)],$W631))</f>
        <v/>
      </c>
      <c r="V631">
        <f>IF($W631="","",INDEX(명단표[구리 근무일(기준월)],$W631))</f>
        <v/>
      </c>
      <c r="W631" s="17">
        <f>IFERROR(MATCH(626,명단표[판정불가순번],0),"")</f>
        <v/>
      </c>
    </row>
    <row r="632">
      <c r="A632">
        <f>IF($P632="","",627)</f>
        <v/>
      </c>
      <c r="B632">
        <f>IF($P632="","",INDEX(명단표[이름],$P632))</f>
        <v/>
      </c>
      <c r="C632">
        <f>IF($P632="","",INDEX(명단표[사번],$P632)&amp;"")</f>
        <v/>
      </c>
      <c r="D632">
        <f>IF($P632="","",INDEX(명단표[전공의등록번호],$P632)&amp;"")</f>
        <v/>
      </c>
      <c r="E632">
        <f>IF($P632="","",INDEX(명단표[수련과목],$P632)&amp;"")</f>
        <v/>
      </c>
      <c r="F632">
        <f>IF($P632="","",INDEX(명단표[연차],$P632)&amp;"")</f>
        <v/>
      </c>
      <c r="G632">
        <f>IF($P632="","",INDEX(명단표[소속병원],$P632))</f>
        <v/>
      </c>
      <c r="H632">
        <f>IF($P632="","",IF(INDEX(명단표[소속병원],$P632)="서울병원","서울 소속","타 병원 소속("&amp;INDEX(명단표[소속병원],$P632)&amp;") → 서울 지급"))</f>
        <v/>
      </c>
      <c r="I632">
        <f>IF($P632="","",INDEX(명단표[현재 근무병원],$P632))</f>
        <v/>
      </c>
      <c r="J632">
        <f>IF($P632="","",INDEX(명단표[구리 근무 시작일(기준월)],$P632)&amp;"")</f>
        <v/>
      </c>
      <c r="K632">
        <f>IF($P632="","",INDEX(명단표[구리 근무 종료일(기준월)],$P632)&amp;"")</f>
        <v/>
      </c>
      <c r="L632">
        <f>IF($P632="","",INDEX(명단표[서울 근무일(기준월)],$P632))</f>
        <v/>
      </c>
      <c r="M632">
        <f>IF($P632="","",INDEX(명단표[구리 근무일(기준월)],$P632))</f>
        <v/>
      </c>
      <c r="N632">
        <f>IF($P632="","",INDEX(명단표[급여 판정 근거],$P632))</f>
        <v/>
      </c>
      <c r="O632">
        <f>IF($P632="","",INDEX(명단표[점검],$P632))</f>
        <v/>
      </c>
      <c r="P632" s="17">
        <f>IFERROR(MATCH(627,명단표[서울순번],0),"")</f>
        <v/>
      </c>
      <c r="R632">
        <f>IF($W632="","",INDEX(명단표[이름],$W632))</f>
        <v/>
      </c>
      <c r="S632">
        <f>IF($W632="","",INDEX(명단표[사번],$W632)&amp;"")</f>
        <v/>
      </c>
      <c r="T632">
        <f>IF($W632="","",INDEX(명단표[소속병원],$W632))</f>
        <v/>
      </c>
      <c r="U632">
        <f>IF($W632="","",INDEX(명단표[서울 근무일(기준월)],$W632))</f>
        <v/>
      </c>
      <c r="V632">
        <f>IF($W632="","",INDEX(명단표[구리 근무일(기준월)],$W632))</f>
        <v/>
      </c>
      <c r="W632" s="17">
        <f>IFERROR(MATCH(627,명단표[판정불가순번],0),"")</f>
        <v/>
      </c>
    </row>
    <row r="633">
      <c r="A633">
        <f>IF($P633="","",628)</f>
        <v/>
      </c>
      <c r="B633">
        <f>IF($P633="","",INDEX(명단표[이름],$P633))</f>
        <v/>
      </c>
      <c r="C633">
        <f>IF($P633="","",INDEX(명단표[사번],$P633)&amp;"")</f>
        <v/>
      </c>
      <c r="D633">
        <f>IF($P633="","",INDEX(명단표[전공의등록번호],$P633)&amp;"")</f>
        <v/>
      </c>
      <c r="E633">
        <f>IF($P633="","",INDEX(명단표[수련과목],$P633)&amp;"")</f>
        <v/>
      </c>
      <c r="F633">
        <f>IF($P633="","",INDEX(명단표[연차],$P633)&amp;"")</f>
        <v/>
      </c>
      <c r="G633">
        <f>IF($P633="","",INDEX(명단표[소속병원],$P633))</f>
        <v/>
      </c>
      <c r="H633">
        <f>IF($P633="","",IF(INDEX(명단표[소속병원],$P633)="서울병원","서울 소속","타 병원 소속("&amp;INDEX(명단표[소속병원],$P633)&amp;") → 서울 지급"))</f>
        <v/>
      </c>
      <c r="I633">
        <f>IF($P633="","",INDEX(명단표[현재 근무병원],$P633))</f>
        <v/>
      </c>
      <c r="J633">
        <f>IF($P633="","",INDEX(명단표[구리 근무 시작일(기준월)],$P633)&amp;"")</f>
        <v/>
      </c>
      <c r="K633">
        <f>IF($P633="","",INDEX(명단표[구리 근무 종료일(기준월)],$P633)&amp;"")</f>
        <v/>
      </c>
      <c r="L633">
        <f>IF($P633="","",INDEX(명단표[서울 근무일(기준월)],$P633))</f>
        <v/>
      </c>
      <c r="M633">
        <f>IF($P633="","",INDEX(명단표[구리 근무일(기준월)],$P633))</f>
        <v/>
      </c>
      <c r="N633">
        <f>IF($P633="","",INDEX(명단표[급여 판정 근거],$P633))</f>
        <v/>
      </c>
      <c r="O633">
        <f>IF($P633="","",INDEX(명단표[점검],$P633))</f>
        <v/>
      </c>
      <c r="P633" s="17">
        <f>IFERROR(MATCH(628,명단표[서울순번],0),"")</f>
        <v/>
      </c>
      <c r="R633">
        <f>IF($W633="","",INDEX(명단표[이름],$W633))</f>
        <v/>
      </c>
      <c r="S633">
        <f>IF($W633="","",INDEX(명단표[사번],$W633)&amp;"")</f>
        <v/>
      </c>
      <c r="T633">
        <f>IF($W633="","",INDEX(명단표[소속병원],$W633))</f>
        <v/>
      </c>
      <c r="U633">
        <f>IF($W633="","",INDEX(명단표[서울 근무일(기준월)],$W633))</f>
        <v/>
      </c>
      <c r="V633">
        <f>IF($W633="","",INDEX(명단표[구리 근무일(기준월)],$W633))</f>
        <v/>
      </c>
      <c r="W633" s="17">
        <f>IFERROR(MATCH(628,명단표[판정불가순번],0),"")</f>
        <v/>
      </c>
    </row>
    <row r="634">
      <c r="A634">
        <f>IF($P634="","",629)</f>
        <v/>
      </c>
      <c r="B634">
        <f>IF($P634="","",INDEX(명단표[이름],$P634))</f>
        <v/>
      </c>
      <c r="C634">
        <f>IF($P634="","",INDEX(명단표[사번],$P634)&amp;"")</f>
        <v/>
      </c>
      <c r="D634">
        <f>IF($P634="","",INDEX(명단표[전공의등록번호],$P634)&amp;"")</f>
        <v/>
      </c>
      <c r="E634">
        <f>IF($P634="","",INDEX(명단표[수련과목],$P634)&amp;"")</f>
        <v/>
      </c>
      <c r="F634">
        <f>IF($P634="","",INDEX(명단표[연차],$P634)&amp;"")</f>
        <v/>
      </c>
      <c r="G634">
        <f>IF($P634="","",INDEX(명단표[소속병원],$P634))</f>
        <v/>
      </c>
      <c r="H634">
        <f>IF($P634="","",IF(INDEX(명단표[소속병원],$P634)="서울병원","서울 소속","타 병원 소속("&amp;INDEX(명단표[소속병원],$P634)&amp;") → 서울 지급"))</f>
        <v/>
      </c>
      <c r="I634">
        <f>IF($P634="","",INDEX(명단표[현재 근무병원],$P634))</f>
        <v/>
      </c>
      <c r="J634">
        <f>IF($P634="","",INDEX(명단표[구리 근무 시작일(기준월)],$P634)&amp;"")</f>
        <v/>
      </c>
      <c r="K634">
        <f>IF($P634="","",INDEX(명단표[구리 근무 종료일(기준월)],$P634)&amp;"")</f>
        <v/>
      </c>
      <c r="L634">
        <f>IF($P634="","",INDEX(명단표[서울 근무일(기준월)],$P634))</f>
        <v/>
      </c>
      <c r="M634">
        <f>IF($P634="","",INDEX(명단표[구리 근무일(기준월)],$P634))</f>
        <v/>
      </c>
      <c r="N634">
        <f>IF($P634="","",INDEX(명단표[급여 판정 근거],$P634))</f>
        <v/>
      </c>
      <c r="O634">
        <f>IF($P634="","",INDEX(명단표[점검],$P634))</f>
        <v/>
      </c>
      <c r="P634" s="17">
        <f>IFERROR(MATCH(629,명단표[서울순번],0),"")</f>
        <v/>
      </c>
      <c r="R634">
        <f>IF($W634="","",INDEX(명단표[이름],$W634))</f>
        <v/>
      </c>
      <c r="S634">
        <f>IF($W634="","",INDEX(명단표[사번],$W634)&amp;"")</f>
        <v/>
      </c>
      <c r="T634">
        <f>IF($W634="","",INDEX(명단표[소속병원],$W634))</f>
        <v/>
      </c>
      <c r="U634">
        <f>IF($W634="","",INDEX(명단표[서울 근무일(기준월)],$W634))</f>
        <v/>
      </c>
      <c r="V634">
        <f>IF($W634="","",INDEX(명단표[구리 근무일(기준월)],$W634))</f>
        <v/>
      </c>
      <c r="W634" s="17">
        <f>IFERROR(MATCH(629,명단표[판정불가순번],0),"")</f>
        <v/>
      </c>
    </row>
    <row r="635">
      <c r="A635">
        <f>IF($P635="","",630)</f>
        <v/>
      </c>
      <c r="B635">
        <f>IF($P635="","",INDEX(명단표[이름],$P635))</f>
        <v/>
      </c>
      <c r="C635">
        <f>IF($P635="","",INDEX(명단표[사번],$P635)&amp;"")</f>
        <v/>
      </c>
      <c r="D635">
        <f>IF($P635="","",INDEX(명단표[전공의등록번호],$P635)&amp;"")</f>
        <v/>
      </c>
      <c r="E635">
        <f>IF($P635="","",INDEX(명단표[수련과목],$P635)&amp;"")</f>
        <v/>
      </c>
      <c r="F635">
        <f>IF($P635="","",INDEX(명단표[연차],$P635)&amp;"")</f>
        <v/>
      </c>
      <c r="G635">
        <f>IF($P635="","",INDEX(명단표[소속병원],$P635))</f>
        <v/>
      </c>
      <c r="H635">
        <f>IF($P635="","",IF(INDEX(명단표[소속병원],$P635)="서울병원","서울 소속","타 병원 소속("&amp;INDEX(명단표[소속병원],$P635)&amp;") → 서울 지급"))</f>
        <v/>
      </c>
      <c r="I635">
        <f>IF($P635="","",INDEX(명단표[현재 근무병원],$P635))</f>
        <v/>
      </c>
      <c r="J635">
        <f>IF($P635="","",INDEX(명단표[구리 근무 시작일(기준월)],$P635)&amp;"")</f>
        <v/>
      </c>
      <c r="K635">
        <f>IF($P635="","",INDEX(명단표[구리 근무 종료일(기준월)],$P635)&amp;"")</f>
        <v/>
      </c>
      <c r="L635">
        <f>IF($P635="","",INDEX(명단표[서울 근무일(기준월)],$P635))</f>
        <v/>
      </c>
      <c r="M635">
        <f>IF($P635="","",INDEX(명단표[구리 근무일(기준월)],$P635))</f>
        <v/>
      </c>
      <c r="N635">
        <f>IF($P635="","",INDEX(명단표[급여 판정 근거],$P635))</f>
        <v/>
      </c>
      <c r="O635">
        <f>IF($P635="","",INDEX(명단표[점검],$P635))</f>
        <v/>
      </c>
      <c r="P635" s="17">
        <f>IFERROR(MATCH(630,명단표[서울순번],0),"")</f>
        <v/>
      </c>
      <c r="R635">
        <f>IF($W635="","",INDEX(명단표[이름],$W635))</f>
        <v/>
      </c>
      <c r="S635">
        <f>IF($W635="","",INDEX(명단표[사번],$W635)&amp;"")</f>
        <v/>
      </c>
      <c r="T635">
        <f>IF($W635="","",INDEX(명단표[소속병원],$W635))</f>
        <v/>
      </c>
      <c r="U635">
        <f>IF($W635="","",INDEX(명단표[서울 근무일(기준월)],$W635))</f>
        <v/>
      </c>
      <c r="V635">
        <f>IF($W635="","",INDEX(명단표[구리 근무일(기준월)],$W635))</f>
        <v/>
      </c>
      <c r="W635" s="17">
        <f>IFERROR(MATCH(630,명단표[판정불가순번],0),"")</f>
        <v/>
      </c>
    </row>
    <row r="636">
      <c r="A636">
        <f>IF($P636="","",631)</f>
        <v/>
      </c>
      <c r="B636">
        <f>IF($P636="","",INDEX(명단표[이름],$P636))</f>
        <v/>
      </c>
      <c r="C636">
        <f>IF($P636="","",INDEX(명단표[사번],$P636)&amp;"")</f>
        <v/>
      </c>
      <c r="D636">
        <f>IF($P636="","",INDEX(명단표[전공의등록번호],$P636)&amp;"")</f>
        <v/>
      </c>
      <c r="E636">
        <f>IF($P636="","",INDEX(명단표[수련과목],$P636)&amp;"")</f>
        <v/>
      </c>
      <c r="F636">
        <f>IF($P636="","",INDEX(명단표[연차],$P636)&amp;"")</f>
        <v/>
      </c>
      <c r="G636">
        <f>IF($P636="","",INDEX(명단표[소속병원],$P636))</f>
        <v/>
      </c>
      <c r="H636">
        <f>IF($P636="","",IF(INDEX(명단표[소속병원],$P636)="서울병원","서울 소속","타 병원 소속("&amp;INDEX(명단표[소속병원],$P636)&amp;") → 서울 지급"))</f>
        <v/>
      </c>
      <c r="I636">
        <f>IF($P636="","",INDEX(명단표[현재 근무병원],$P636))</f>
        <v/>
      </c>
      <c r="J636">
        <f>IF($P636="","",INDEX(명단표[구리 근무 시작일(기준월)],$P636)&amp;"")</f>
        <v/>
      </c>
      <c r="K636">
        <f>IF($P636="","",INDEX(명단표[구리 근무 종료일(기준월)],$P636)&amp;"")</f>
        <v/>
      </c>
      <c r="L636">
        <f>IF($P636="","",INDEX(명단표[서울 근무일(기준월)],$P636))</f>
        <v/>
      </c>
      <c r="M636">
        <f>IF($P636="","",INDEX(명단표[구리 근무일(기준월)],$P636))</f>
        <v/>
      </c>
      <c r="N636">
        <f>IF($P636="","",INDEX(명단표[급여 판정 근거],$P636))</f>
        <v/>
      </c>
      <c r="O636">
        <f>IF($P636="","",INDEX(명단표[점검],$P636))</f>
        <v/>
      </c>
      <c r="P636" s="17">
        <f>IFERROR(MATCH(631,명단표[서울순번],0),"")</f>
        <v/>
      </c>
      <c r="R636">
        <f>IF($W636="","",INDEX(명단표[이름],$W636))</f>
        <v/>
      </c>
      <c r="S636">
        <f>IF($W636="","",INDEX(명단표[사번],$W636)&amp;"")</f>
        <v/>
      </c>
      <c r="T636">
        <f>IF($W636="","",INDEX(명단표[소속병원],$W636))</f>
        <v/>
      </c>
      <c r="U636">
        <f>IF($W636="","",INDEX(명단표[서울 근무일(기준월)],$W636))</f>
        <v/>
      </c>
      <c r="V636">
        <f>IF($W636="","",INDEX(명단표[구리 근무일(기준월)],$W636))</f>
        <v/>
      </c>
      <c r="W636" s="17">
        <f>IFERROR(MATCH(631,명단표[판정불가순번],0),"")</f>
        <v/>
      </c>
    </row>
    <row r="637">
      <c r="A637">
        <f>IF($P637="","",632)</f>
        <v/>
      </c>
      <c r="B637">
        <f>IF($P637="","",INDEX(명단표[이름],$P637))</f>
        <v/>
      </c>
      <c r="C637">
        <f>IF($P637="","",INDEX(명단표[사번],$P637)&amp;"")</f>
        <v/>
      </c>
      <c r="D637">
        <f>IF($P637="","",INDEX(명단표[전공의등록번호],$P637)&amp;"")</f>
        <v/>
      </c>
      <c r="E637">
        <f>IF($P637="","",INDEX(명단표[수련과목],$P637)&amp;"")</f>
        <v/>
      </c>
      <c r="F637">
        <f>IF($P637="","",INDEX(명단표[연차],$P637)&amp;"")</f>
        <v/>
      </c>
      <c r="G637">
        <f>IF($P637="","",INDEX(명단표[소속병원],$P637))</f>
        <v/>
      </c>
      <c r="H637">
        <f>IF($P637="","",IF(INDEX(명단표[소속병원],$P637)="서울병원","서울 소속","타 병원 소속("&amp;INDEX(명단표[소속병원],$P637)&amp;") → 서울 지급"))</f>
        <v/>
      </c>
      <c r="I637">
        <f>IF($P637="","",INDEX(명단표[현재 근무병원],$P637))</f>
        <v/>
      </c>
      <c r="J637">
        <f>IF($P637="","",INDEX(명단표[구리 근무 시작일(기준월)],$P637)&amp;"")</f>
        <v/>
      </c>
      <c r="K637">
        <f>IF($P637="","",INDEX(명단표[구리 근무 종료일(기준월)],$P637)&amp;"")</f>
        <v/>
      </c>
      <c r="L637">
        <f>IF($P637="","",INDEX(명단표[서울 근무일(기준월)],$P637))</f>
        <v/>
      </c>
      <c r="M637">
        <f>IF($P637="","",INDEX(명단표[구리 근무일(기준월)],$P637))</f>
        <v/>
      </c>
      <c r="N637">
        <f>IF($P637="","",INDEX(명단표[급여 판정 근거],$P637))</f>
        <v/>
      </c>
      <c r="O637">
        <f>IF($P637="","",INDEX(명단표[점검],$P637))</f>
        <v/>
      </c>
      <c r="P637" s="17">
        <f>IFERROR(MATCH(632,명단표[서울순번],0),"")</f>
        <v/>
      </c>
      <c r="R637">
        <f>IF($W637="","",INDEX(명단표[이름],$W637))</f>
        <v/>
      </c>
      <c r="S637">
        <f>IF($W637="","",INDEX(명단표[사번],$W637)&amp;"")</f>
        <v/>
      </c>
      <c r="T637">
        <f>IF($W637="","",INDEX(명단표[소속병원],$W637))</f>
        <v/>
      </c>
      <c r="U637">
        <f>IF($W637="","",INDEX(명단표[서울 근무일(기준월)],$W637))</f>
        <v/>
      </c>
      <c r="V637">
        <f>IF($W637="","",INDEX(명단표[구리 근무일(기준월)],$W637))</f>
        <v/>
      </c>
      <c r="W637" s="17">
        <f>IFERROR(MATCH(632,명단표[판정불가순번],0),"")</f>
        <v/>
      </c>
    </row>
    <row r="638">
      <c r="A638">
        <f>IF($P638="","",633)</f>
        <v/>
      </c>
      <c r="B638">
        <f>IF($P638="","",INDEX(명단표[이름],$P638))</f>
        <v/>
      </c>
      <c r="C638">
        <f>IF($P638="","",INDEX(명단표[사번],$P638)&amp;"")</f>
        <v/>
      </c>
      <c r="D638">
        <f>IF($P638="","",INDEX(명단표[전공의등록번호],$P638)&amp;"")</f>
        <v/>
      </c>
      <c r="E638">
        <f>IF($P638="","",INDEX(명단표[수련과목],$P638)&amp;"")</f>
        <v/>
      </c>
      <c r="F638">
        <f>IF($P638="","",INDEX(명단표[연차],$P638)&amp;"")</f>
        <v/>
      </c>
      <c r="G638">
        <f>IF($P638="","",INDEX(명단표[소속병원],$P638))</f>
        <v/>
      </c>
      <c r="H638">
        <f>IF($P638="","",IF(INDEX(명단표[소속병원],$P638)="서울병원","서울 소속","타 병원 소속("&amp;INDEX(명단표[소속병원],$P638)&amp;") → 서울 지급"))</f>
        <v/>
      </c>
      <c r="I638">
        <f>IF($P638="","",INDEX(명단표[현재 근무병원],$P638))</f>
        <v/>
      </c>
      <c r="J638">
        <f>IF($P638="","",INDEX(명단표[구리 근무 시작일(기준월)],$P638)&amp;"")</f>
        <v/>
      </c>
      <c r="K638">
        <f>IF($P638="","",INDEX(명단표[구리 근무 종료일(기준월)],$P638)&amp;"")</f>
        <v/>
      </c>
      <c r="L638">
        <f>IF($P638="","",INDEX(명단표[서울 근무일(기준월)],$P638))</f>
        <v/>
      </c>
      <c r="M638">
        <f>IF($P638="","",INDEX(명단표[구리 근무일(기준월)],$P638))</f>
        <v/>
      </c>
      <c r="N638">
        <f>IF($P638="","",INDEX(명단표[급여 판정 근거],$P638))</f>
        <v/>
      </c>
      <c r="O638">
        <f>IF($P638="","",INDEX(명단표[점검],$P638))</f>
        <v/>
      </c>
      <c r="P638" s="17">
        <f>IFERROR(MATCH(633,명단표[서울순번],0),"")</f>
        <v/>
      </c>
      <c r="R638">
        <f>IF($W638="","",INDEX(명단표[이름],$W638))</f>
        <v/>
      </c>
      <c r="S638">
        <f>IF($W638="","",INDEX(명단표[사번],$W638)&amp;"")</f>
        <v/>
      </c>
      <c r="T638">
        <f>IF($W638="","",INDEX(명단표[소속병원],$W638))</f>
        <v/>
      </c>
      <c r="U638">
        <f>IF($W638="","",INDEX(명단표[서울 근무일(기준월)],$W638))</f>
        <v/>
      </c>
      <c r="V638">
        <f>IF($W638="","",INDEX(명단표[구리 근무일(기준월)],$W638))</f>
        <v/>
      </c>
      <c r="W638" s="17">
        <f>IFERROR(MATCH(633,명단표[판정불가순번],0),"")</f>
        <v/>
      </c>
    </row>
    <row r="639">
      <c r="A639">
        <f>IF($P639="","",634)</f>
        <v/>
      </c>
      <c r="B639">
        <f>IF($P639="","",INDEX(명단표[이름],$P639))</f>
        <v/>
      </c>
      <c r="C639">
        <f>IF($P639="","",INDEX(명단표[사번],$P639)&amp;"")</f>
        <v/>
      </c>
      <c r="D639">
        <f>IF($P639="","",INDEX(명단표[전공의등록번호],$P639)&amp;"")</f>
        <v/>
      </c>
      <c r="E639">
        <f>IF($P639="","",INDEX(명단표[수련과목],$P639)&amp;"")</f>
        <v/>
      </c>
      <c r="F639">
        <f>IF($P639="","",INDEX(명단표[연차],$P639)&amp;"")</f>
        <v/>
      </c>
      <c r="G639">
        <f>IF($P639="","",INDEX(명단표[소속병원],$P639))</f>
        <v/>
      </c>
      <c r="H639">
        <f>IF($P639="","",IF(INDEX(명단표[소속병원],$P639)="서울병원","서울 소속","타 병원 소속("&amp;INDEX(명단표[소속병원],$P639)&amp;") → 서울 지급"))</f>
        <v/>
      </c>
      <c r="I639">
        <f>IF($P639="","",INDEX(명단표[현재 근무병원],$P639))</f>
        <v/>
      </c>
      <c r="J639">
        <f>IF($P639="","",INDEX(명단표[구리 근무 시작일(기준월)],$P639)&amp;"")</f>
        <v/>
      </c>
      <c r="K639">
        <f>IF($P639="","",INDEX(명단표[구리 근무 종료일(기준월)],$P639)&amp;"")</f>
        <v/>
      </c>
      <c r="L639">
        <f>IF($P639="","",INDEX(명단표[서울 근무일(기준월)],$P639))</f>
        <v/>
      </c>
      <c r="M639">
        <f>IF($P639="","",INDEX(명단표[구리 근무일(기준월)],$P639))</f>
        <v/>
      </c>
      <c r="N639">
        <f>IF($P639="","",INDEX(명단표[급여 판정 근거],$P639))</f>
        <v/>
      </c>
      <c r="O639">
        <f>IF($P639="","",INDEX(명단표[점검],$P639))</f>
        <v/>
      </c>
      <c r="P639" s="17">
        <f>IFERROR(MATCH(634,명단표[서울순번],0),"")</f>
        <v/>
      </c>
      <c r="R639">
        <f>IF($W639="","",INDEX(명단표[이름],$W639))</f>
        <v/>
      </c>
      <c r="S639">
        <f>IF($W639="","",INDEX(명단표[사번],$W639)&amp;"")</f>
        <v/>
      </c>
      <c r="T639">
        <f>IF($W639="","",INDEX(명단표[소속병원],$W639))</f>
        <v/>
      </c>
      <c r="U639">
        <f>IF($W639="","",INDEX(명단표[서울 근무일(기준월)],$W639))</f>
        <v/>
      </c>
      <c r="V639">
        <f>IF($W639="","",INDEX(명단표[구리 근무일(기준월)],$W639))</f>
        <v/>
      </c>
      <c r="W639" s="17">
        <f>IFERROR(MATCH(634,명단표[판정불가순번],0),"")</f>
        <v/>
      </c>
    </row>
    <row r="640">
      <c r="A640">
        <f>IF($P640="","",635)</f>
        <v/>
      </c>
      <c r="B640">
        <f>IF($P640="","",INDEX(명단표[이름],$P640))</f>
        <v/>
      </c>
      <c r="C640">
        <f>IF($P640="","",INDEX(명단표[사번],$P640)&amp;"")</f>
        <v/>
      </c>
      <c r="D640">
        <f>IF($P640="","",INDEX(명단표[전공의등록번호],$P640)&amp;"")</f>
        <v/>
      </c>
      <c r="E640">
        <f>IF($P640="","",INDEX(명단표[수련과목],$P640)&amp;"")</f>
        <v/>
      </c>
      <c r="F640">
        <f>IF($P640="","",INDEX(명단표[연차],$P640)&amp;"")</f>
        <v/>
      </c>
      <c r="G640">
        <f>IF($P640="","",INDEX(명단표[소속병원],$P640))</f>
        <v/>
      </c>
      <c r="H640">
        <f>IF($P640="","",IF(INDEX(명단표[소속병원],$P640)="서울병원","서울 소속","타 병원 소속("&amp;INDEX(명단표[소속병원],$P640)&amp;") → 서울 지급"))</f>
        <v/>
      </c>
      <c r="I640">
        <f>IF($P640="","",INDEX(명단표[현재 근무병원],$P640))</f>
        <v/>
      </c>
      <c r="J640">
        <f>IF($P640="","",INDEX(명단표[구리 근무 시작일(기준월)],$P640)&amp;"")</f>
        <v/>
      </c>
      <c r="K640">
        <f>IF($P640="","",INDEX(명단표[구리 근무 종료일(기준월)],$P640)&amp;"")</f>
        <v/>
      </c>
      <c r="L640">
        <f>IF($P640="","",INDEX(명단표[서울 근무일(기준월)],$P640))</f>
        <v/>
      </c>
      <c r="M640">
        <f>IF($P640="","",INDEX(명단표[구리 근무일(기준월)],$P640))</f>
        <v/>
      </c>
      <c r="N640">
        <f>IF($P640="","",INDEX(명단표[급여 판정 근거],$P640))</f>
        <v/>
      </c>
      <c r="O640">
        <f>IF($P640="","",INDEX(명단표[점검],$P640))</f>
        <v/>
      </c>
      <c r="P640" s="17">
        <f>IFERROR(MATCH(635,명단표[서울순번],0),"")</f>
        <v/>
      </c>
      <c r="R640">
        <f>IF($W640="","",INDEX(명단표[이름],$W640))</f>
        <v/>
      </c>
      <c r="S640">
        <f>IF($W640="","",INDEX(명단표[사번],$W640)&amp;"")</f>
        <v/>
      </c>
      <c r="T640">
        <f>IF($W640="","",INDEX(명단표[소속병원],$W640))</f>
        <v/>
      </c>
      <c r="U640">
        <f>IF($W640="","",INDEX(명단표[서울 근무일(기준월)],$W640))</f>
        <v/>
      </c>
      <c r="V640">
        <f>IF($W640="","",INDEX(명단표[구리 근무일(기준월)],$W640))</f>
        <v/>
      </c>
      <c r="W640" s="17">
        <f>IFERROR(MATCH(635,명단표[판정불가순번],0),"")</f>
        <v/>
      </c>
    </row>
    <row r="641">
      <c r="A641">
        <f>IF($P641="","",636)</f>
        <v/>
      </c>
      <c r="B641">
        <f>IF($P641="","",INDEX(명단표[이름],$P641))</f>
        <v/>
      </c>
      <c r="C641">
        <f>IF($P641="","",INDEX(명단표[사번],$P641)&amp;"")</f>
        <v/>
      </c>
      <c r="D641">
        <f>IF($P641="","",INDEX(명단표[전공의등록번호],$P641)&amp;"")</f>
        <v/>
      </c>
      <c r="E641">
        <f>IF($P641="","",INDEX(명단표[수련과목],$P641)&amp;"")</f>
        <v/>
      </c>
      <c r="F641">
        <f>IF($P641="","",INDEX(명단표[연차],$P641)&amp;"")</f>
        <v/>
      </c>
      <c r="G641">
        <f>IF($P641="","",INDEX(명단표[소속병원],$P641))</f>
        <v/>
      </c>
      <c r="H641">
        <f>IF($P641="","",IF(INDEX(명단표[소속병원],$P641)="서울병원","서울 소속","타 병원 소속("&amp;INDEX(명단표[소속병원],$P641)&amp;") → 서울 지급"))</f>
        <v/>
      </c>
      <c r="I641">
        <f>IF($P641="","",INDEX(명단표[현재 근무병원],$P641))</f>
        <v/>
      </c>
      <c r="J641">
        <f>IF($P641="","",INDEX(명단표[구리 근무 시작일(기준월)],$P641)&amp;"")</f>
        <v/>
      </c>
      <c r="K641">
        <f>IF($P641="","",INDEX(명단표[구리 근무 종료일(기준월)],$P641)&amp;"")</f>
        <v/>
      </c>
      <c r="L641">
        <f>IF($P641="","",INDEX(명단표[서울 근무일(기준월)],$P641))</f>
        <v/>
      </c>
      <c r="M641">
        <f>IF($P641="","",INDEX(명단표[구리 근무일(기준월)],$P641))</f>
        <v/>
      </c>
      <c r="N641">
        <f>IF($P641="","",INDEX(명단표[급여 판정 근거],$P641))</f>
        <v/>
      </c>
      <c r="O641">
        <f>IF($P641="","",INDEX(명단표[점검],$P641))</f>
        <v/>
      </c>
      <c r="P641" s="17">
        <f>IFERROR(MATCH(636,명단표[서울순번],0),"")</f>
        <v/>
      </c>
      <c r="R641">
        <f>IF($W641="","",INDEX(명단표[이름],$W641))</f>
        <v/>
      </c>
      <c r="S641">
        <f>IF($W641="","",INDEX(명단표[사번],$W641)&amp;"")</f>
        <v/>
      </c>
      <c r="T641">
        <f>IF($W641="","",INDEX(명단표[소속병원],$W641))</f>
        <v/>
      </c>
      <c r="U641">
        <f>IF($W641="","",INDEX(명단표[서울 근무일(기준월)],$W641))</f>
        <v/>
      </c>
      <c r="V641">
        <f>IF($W641="","",INDEX(명단표[구리 근무일(기준월)],$W641))</f>
        <v/>
      </c>
      <c r="W641" s="17">
        <f>IFERROR(MATCH(636,명단표[판정불가순번],0),"")</f>
        <v/>
      </c>
    </row>
    <row r="642">
      <c r="A642">
        <f>IF($P642="","",637)</f>
        <v/>
      </c>
      <c r="B642">
        <f>IF($P642="","",INDEX(명단표[이름],$P642))</f>
        <v/>
      </c>
      <c r="C642">
        <f>IF($P642="","",INDEX(명단표[사번],$P642)&amp;"")</f>
        <v/>
      </c>
      <c r="D642">
        <f>IF($P642="","",INDEX(명단표[전공의등록번호],$P642)&amp;"")</f>
        <v/>
      </c>
      <c r="E642">
        <f>IF($P642="","",INDEX(명단표[수련과목],$P642)&amp;"")</f>
        <v/>
      </c>
      <c r="F642">
        <f>IF($P642="","",INDEX(명단표[연차],$P642)&amp;"")</f>
        <v/>
      </c>
      <c r="G642">
        <f>IF($P642="","",INDEX(명단표[소속병원],$P642))</f>
        <v/>
      </c>
      <c r="H642">
        <f>IF($P642="","",IF(INDEX(명단표[소속병원],$P642)="서울병원","서울 소속","타 병원 소속("&amp;INDEX(명단표[소속병원],$P642)&amp;") → 서울 지급"))</f>
        <v/>
      </c>
      <c r="I642">
        <f>IF($P642="","",INDEX(명단표[현재 근무병원],$P642))</f>
        <v/>
      </c>
      <c r="J642">
        <f>IF($P642="","",INDEX(명단표[구리 근무 시작일(기준월)],$P642)&amp;"")</f>
        <v/>
      </c>
      <c r="K642">
        <f>IF($P642="","",INDEX(명단표[구리 근무 종료일(기준월)],$P642)&amp;"")</f>
        <v/>
      </c>
      <c r="L642">
        <f>IF($P642="","",INDEX(명단표[서울 근무일(기준월)],$P642))</f>
        <v/>
      </c>
      <c r="M642">
        <f>IF($P642="","",INDEX(명단표[구리 근무일(기준월)],$P642))</f>
        <v/>
      </c>
      <c r="N642">
        <f>IF($P642="","",INDEX(명단표[급여 판정 근거],$P642))</f>
        <v/>
      </c>
      <c r="O642">
        <f>IF($P642="","",INDEX(명단표[점검],$P642))</f>
        <v/>
      </c>
      <c r="P642" s="17">
        <f>IFERROR(MATCH(637,명단표[서울순번],0),"")</f>
        <v/>
      </c>
      <c r="R642">
        <f>IF($W642="","",INDEX(명단표[이름],$W642))</f>
        <v/>
      </c>
      <c r="S642">
        <f>IF($W642="","",INDEX(명단표[사번],$W642)&amp;"")</f>
        <v/>
      </c>
      <c r="T642">
        <f>IF($W642="","",INDEX(명단표[소속병원],$W642))</f>
        <v/>
      </c>
      <c r="U642">
        <f>IF($W642="","",INDEX(명단표[서울 근무일(기준월)],$W642))</f>
        <v/>
      </c>
      <c r="V642">
        <f>IF($W642="","",INDEX(명단표[구리 근무일(기준월)],$W642))</f>
        <v/>
      </c>
      <c r="W642" s="17">
        <f>IFERROR(MATCH(637,명단표[판정불가순번],0),"")</f>
        <v/>
      </c>
    </row>
    <row r="643">
      <c r="A643">
        <f>IF($P643="","",638)</f>
        <v/>
      </c>
      <c r="B643">
        <f>IF($P643="","",INDEX(명단표[이름],$P643))</f>
        <v/>
      </c>
      <c r="C643">
        <f>IF($P643="","",INDEX(명단표[사번],$P643)&amp;"")</f>
        <v/>
      </c>
      <c r="D643">
        <f>IF($P643="","",INDEX(명단표[전공의등록번호],$P643)&amp;"")</f>
        <v/>
      </c>
      <c r="E643">
        <f>IF($P643="","",INDEX(명단표[수련과목],$P643)&amp;"")</f>
        <v/>
      </c>
      <c r="F643">
        <f>IF($P643="","",INDEX(명단표[연차],$P643)&amp;"")</f>
        <v/>
      </c>
      <c r="G643">
        <f>IF($P643="","",INDEX(명단표[소속병원],$P643))</f>
        <v/>
      </c>
      <c r="H643">
        <f>IF($P643="","",IF(INDEX(명단표[소속병원],$P643)="서울병원","서울 소속","타 병원 소속("&amp;INDEX(명단표[소속병원],$P643)&amp;") → 서울 지급"))</f>
        <v/>
      </c>
      <c r="I643">
        <f>IF($P643="","",INDEX(명단표[현재 근무병원],$P643))</f>
        <v/>
      </c>
      <c r="J643">
        <f>IF($P643="","",INDEX(명단표[구리 근무 시작일(기준월)],$P643)&amp;"")</f>
        <v/>
      </c>
      <c r="K643">
        <f>IF($P643="","",INDEX(명단표[구리 근무 종료일(기준월)],$P643)&amp;"")</f>
        <v/>
      </c>
      <c r="L643">
        <f>IF($P643="","",INDEX(명단표[서울 근무일(기준월)],$P643))</f>
        <v/>
      </c>
      <c r="M643">
        <f>IF($P643="","",INDEX(명단표[구리 근무일(기준월)],$P643))</f>
        <v/>
      </c>
      <c r="N643">
        <f>IF($P643="","",INDEX(명단표[급여 판정 근거],$P643))</f>
        <v/>
      </c>
      <c r="O643">
        <f>IF($P643="","",INDEX(명단표[점검],$P643))</f>
        <v/>
      </c>
      <c r="P643" s="17">
        <f>IFERROR(MATCH(638,명단표[서울순번],0),"")</f>
        <v/>
      </c>
      <c r="R643">
        <f>IF($W643="","",INDEX(명단표[이름],$W643))</f>
        <v/>
      </c>
      <c r="S643">
        <f>IF($W643="","",INDEX(명단표[사번],$W643)&amp;"")</f>
        <v/>
      </c>
      <c r="T643">
        <f>IF($W643="","",INDEX(명단표[소속병원],$W643))</f>
        <v/>
      </c>
      <c r="U643">
        <f>IF($W643="","",INDEX(명단표[서울 근무일(기준월)],$W643))</f>
        <v/>
      </c>
      <c r="V643">
        <f>IF($W643="","",INDEX(명단표[구리 근무일(기준월)],$W643))</f>
        <v/>
      </c>
      <c r="W643" s="17">
        <f>IFERROR(MATCH(638,명단표[판정불가순번],0),"")</f>
        <v/>
      </c>
    </row>
    <row r="644">
      <c r="A644">
        <f>IF($P644="","",639)</f>
        <v/>
      </c>
      <c r="B644">
        <f>IF($P644="","",INDEX(명단표[이름],$P644))</f>
        <v/>
      </c>
      <c r="C644">
        <f>IF($P644="","",INDEX(명단표[사번],$P644)&amp;"")</f>
        <v/>
      </c>
      <c r="D644">
        <f>IF($P644="","",INDEX(명단표[전공의등록번호],$P644)&amp;"")</f>
        <v/>
      </c>
      <c r="E644">
        <f>IF($P644="","",INDEX(명단표[수련과목],$P644)&amp;"")</f>
        <v/>
      </c>
      <c r="F644">
        <f>IF($P644="","",INDEX(명단표[연차],$P644)&amp;"")</f>
        <v/>
      </c>
      <c r="G644">
        <f>IF($P644="","",INDEX(명단표[소속병원],$P644))</f>
        <v/>
      </c>
      <c r="H644">
        <f>IF($P644="","",IF(INDEX(명단표[소속병원],$P644)="서울병원","서울 소속","타 병원 소속("&amp;INDEX(명단표[소속병원],$P644)&amp;") → 서울 지급"))</f>
        <v/>
      </c>
      <c r="I644">
        <f>IF($P644="","",INDEX(명단표[현재 근무병원],$P644))</f>
        <v/>
      </c>
      <c r="J644">
        <f>IF($P644="","",INDEX(명단표[구리 근무 시작일(기준월)],$P644)&amp;"")</f>
        <v/>
      </c>
      <c r="K644">
        <f>IF($P644="","",INDEX(명단표[구리 근무 종료일(기준월)],$P644)&amp;"")</f>
        <v/>
      </c>
      <c r="L644">
        <f>IF($P644="","",INDEX(명단표[서울 근무일(기준월)],$P644))</f>
        <v/>
      </c>
      <c r="M644">
        <f>IF($P644="","",INDEX(명단표[구리 근무일(기준월)],$P644))</f>
        <v/>
      </c>
      <c r="N644">
        <f>IF($P644="","",INDEX(명단표[급여 판정 근거],$P644))</f>
        <v/>
      </c>
      <c r="O644">
        <f>IF($P644="","",INDEX(명단표[점검],$P644))</f>
        <v/>
      </c>
      <c r="P644" s="17">
        <f>IFERROR(MATCH(639,명단표[서울순번],0),"")</f>
        <v/>
      </c>
      <c r="R644">
        <f>IF($W644="","",INDEX(명단표[이름],$W644))</f>
        <v/>
      </c>
      <c r="S644">
        <f>IF($W644="","",INDEX(명단표[사번],$W644)&amp;"")</f>
        <v/>
      </c>
      <c r="T644">
        <f>IF($W644="","",INDEX(명단표[소속병원],$W644))</f>
        <v/>
      </c>
      <c r="U644">
        <f>IF($W644="","",INDEX(명단표[서울 근무일(기준월)],$W644))</f>
        <v/>
      </c>
      <c r="V644">
        <f>IF($W644="","",INDEX(명단표[구리 근무일(기준월)],$W644))</f>
        <v/>
      </c>
      <c r="W644" s="17">
        <f>IFERROR(MATCH(639,명단표[판정불가순번],0),"")</f>
        <v/>
      </c>
    </row>
    <row r="645">
      <c r="A645">
        <f>IF($P645="","",640)</f>
        <v/>
      </c>
      <c r="B645">
        <f>IF($P645="","",INDEX(명단표[이름],$P645))</f>
        <v/>
      </c>
      <c r="C645">
        <f>IF($P645="","",INDEX(명단표[사번],$P645)&amp;"")</f>
        <v/>
      </c>
      <c r="D645">
        <f>IF($P645="","",INDEX(명단표[전공의등록번호],$P645)&amp;"")</f>
        <v/>
      </c>
      <c r="E645">
        <f>IF($P645="","",INDEX(명단표[수련과목],$P645)&amp;"")</f>
        <v/>
      </c>
      <c r="F645">
        <f>IF($P645="","",INDEX(명단표[연차],$P645)&amp;"")</f>
        <v/>
      </c>
      <c r="G645">
        <f>IF($P645="","",INDEX(명단표[소속병원],$P645))</f>
        <v/>
      </c>
      <c r="H645">
        <f>IF($P645="","",IF(INDEX(명단표[소속병원],$P645)="서울병원","서울 소속","타 병원 소속("&amp;INDEX(명단표[소속병원],$P645)&amp;") → 서울 지급"))</f>
        <v/>
      </c>
      <c r="I645">
        <f>IF($P645="","",INDEX(명단표[현재 근무병원],$P645))</f>
        <v/>
      </c>
      <c r="J645">
        <f>IF($P645="","",INDEX(명단표[구리 근무 시작일(기준월)],$P645)&amp;"")</f>
        <v/>
      </c>
      <c r="K645">
        <f>IF($P645="","",INDEX(명단표[구리 근무 종료일(기준월)],$P645)&amp;"")</f>
        <v/>
      </c>
      <c r="L645">
        <f>IF($P645="","",INDEX(명단표[서울 근무일(기준월)],$P645))</f>
        <v/>
      </c>
      <c r="M645">
        <f>IF($P645="","",INDEX(명단표[구리 근무일(기준월)],$P645))</f>
        <v/>
      </c>
      <c r="N645">
        <f>IF($P645="","",INDEX(명단표[급여 판정 근거],$P645))</f>
        <v/>
      </c>
      <c r="O645">
        <f>IF($P645="","",INDEX(명단표[점검],$P645))</f>
        <v/>
      </c>
      <c r="P645" s="17">
        <f>IFERROR(MATCH(640,명단표[서울순번],0),"")</f>
        <v/>
      </c>
      <c r="R645">
        <f>IF($W645="","",INDEX(명단표[이름],$W645))</f>
        <v/>
      </c>
      <c r="S645">
        <f>IF($W645="","",INDEX(명단표[사번],$W645)&amp;"")</f>
        <v/>
      </c>
      <c r="T645">
        <f>IF($W645="","",INDEX(명단표[소속병원],$W645))</f>
        <v/>
      </c>
      <c r="U645">
        <f>IF($W645="","",INDEX(명단표[서울 근무일(기준월)],$W645))</f>
        <v/>
      </c>
      <c r="V645">
        <f>IF($W645="","",INDEX(명단표[구리 근무일(기준월)],$W645))</f>
        <v/>
      </c>
      <c r="W645" s="17">
        <f>IFERROR(MATCH(640,명단표[판정불가순번],0),"")</f>
        <v/>
      </c>
    </row>
    <row r="646">
      <c r="A646">
        <f>IF($P646="","",641)</f>
        <v/>
      </c>
      <c r="B646">
        <f>IF($P646="","",INDEX(명단표[이름],$P646))</f>
        <v/>
      </c>
      <c r="C646">
        <f>IF($P646="","",INDEX(명단표[사번],$P646)&amp;"")</f>
        <v/>
      </c>
      <c r="D646">
        <f>IF($P646="","",INDEX(명단표[전공의등록번호],$P646)&amp;"")</f>
        <v/>
      </c>
      <c r="E646">
        <f>IF($P646="","",INDEX(명단표[수련과목],$P646)&amp;"")</f>
        <v/>
      </c>
      <c r="F646">
        <f>IF($P646="","",INDEX(명단표[연차],$P646)&amp;"")</f>
        <v/>
      </c>
      <c r="G646">
        <f>IF($P646="","",INDEX(명단표[소속병원],$P646))</f>
        <v/>
      </c>
      <c r="H646">
        <f>IF($P646="","",IF(INDEX(명단표[소속병원],$P646)="서울병원","서울 소속","타 병원 소속("&amp;INDEX(명단표[소속병원],$P646)&amp;") → 서울 지급"))</f>
        <v/>
      </c>
      <c r="I646">
        <f>IF($P646="","",INDEX(명단표[현재 근무병원],$P646))</f>
        <v/>
      </c>
      <c r="J646">
        <f>IF($P646="","",INDEX(명단표[구리 근무 시작일(기준월)],$P646)&amp;"")</f>
        <v/>
      </c>
      <c r="K646">
        <f>IF($P646="","",INDEX(명단표[구리 근무 종료일(기준월)],$P646)&amp;"")</f>
        <v/>
      </c>
      <c r="L646">
        <f>IF($P646="","",INDEX(명단표[서울 근무일(기준월)],$P646))</f>
        <v/>
      </c>
      <c r="M646">
        <f>IF($P646="","",INDEX(명단표[구리 근무일(기준월)],$P646))</f>
        <v/>
      </c>
      <c r="N646">
        <f>IF($P646="","",INDEX(명단표[급여 판정 근거],$P646))</f>
        <v/>
      </c>
      <c r="O646">
        <f>IF($P646="","",INDEX(명단표[점검],$P646))</f>
        <v/>
      </c>
      <c r="P646" s="17">
        <f>IFERROR(MATCH(641,명단표[서울순번],0),"")</f>
        <v/>
      </c>
      <c r="R646">
        <f>IF($W646="","",INDEX(명단표[이름],$W646))</f>
        <v/>
      </c>
      <c r="S646">
        <f>IF($W646="","",INDEX(명단표[사번],$W646)&amp;"")</f>
        <v/>
      </c>
      <c r="T646">
        <f>IF($W646="","",INDEX(명단표[소속병원],$W646))</f>
        <v/>
      </c>
      <c r="U646">
        <f>IF($W646="","",INDEX(명단표[서울 근무일(기준월)],$W646))</f>
        <v/>
      </c>
      <c r="V646">
        <f>IF($W646="","",INDEX(명단표[구리 근무일(기준월)],$W646))</f>
        <v/>
      </c>
      <c r="W646" s="17">
        <f>IFERROR(MATCH(641,명단표[판정불가순번],0),"")</f>
        <v/>
      </c>
    </row>
    <row r="647">
      <c r="A647">
        <f>IF($P647="","",642)</f>
        <v/>
      </c>
      <c r="B647">
        <f>IF($P647="","",INDEX(명단표[이름],$P647))</f>
        <v/>
      </c>
      <c r="C647">
        <f>IF($P647="","",INDEX(명단표[사번],$P647)&amp;"")</f>
        <v/>
      </c>
      <c r="D647">
        <f>IF($P647="","",INDEX(명단표[전공의등록번호],$P647)&amp;"")</f>
        <v/>
      </c>
      <c r="E647">
        <f>IF($P647="","",INDEX(명단표[수련과목],$P647)&amp;"")</f>
        <v/>
      </c>
      <c r="F647">
        <f>IF($P647="","",INDEX(명단표[연차],$P647)&amp;"")</f>
        <v/>
      </c>
      <c r="G647">
        <f>IF($P647="","",INDEX(명단표[소속병원],$P647))</f>
        <v/>
      </c>
      <c r="H647">
        <f>IF($P647="","",IF(INDEX(명단표[소속병원],$P647)="서울병원","서울 소속","타 병원 소속("&amp;INDEX(명단표[소속병원],$P647)&amp;") → 서울 지급"))</f>
        <v/>
      </c>
      <c r="I647">
        <f>IF($P647="","",INDEX(명단표[현재 근무병원],$P647))</f>
        <v/>
      </c>
      <c r="J647">
        <f>IF($P647="","",INDEX(명단표[구리 근무 시작일(기준월)],$P647)&amp;"")</f>
        <v/>
      </c>
      <c r="K647">
        <f>IF($P647="","",INDEX(명단표[구리 근무 종료일(기준월)],$P647)&amp;"")</f>
        <v/>
      </c>
      <c r="L647">
        <f>IF($P647="","",INDEX(명단표[서울 근무일(기준월)],$P647))</f>
        <v/>
      </c>
      <c r="M647">
        <f>IF($P647="","",INDEX(명단표[구리 근무일(기준월)],$P647))</f>
        <v/>
      </c>
      <c r="N647">
        <f>IF($P647="","",INDEX(명단표[급여 판정 근거],$P647))</f>
        <v/>
      </c>
      <c r="O647">
        <f>IF($P647="","",INDEX(명단표[점검],$P647))</f>
        <v/>
      </c>
      <c r="P647" s="17">
        <f>IFERROR(MATCH(642,명단표[서울순번],0),"")</f>
        <v/>
      </c>
      <c r="R647">
        <f>IF($W647="","",INDEX(명단표[이름],$W647))</f>
        <v/>
      </c>
      <c r="S647">
        <f>IF($W647="","",INDEX(명단표[사번],$W647)&amp;"")</f>
        <v/>
      </c>
      <c r="T647">
        <f>IF($W647="","",INDEX(명단표[소속병원],$W647))</f>
        <v/>
      </c>
      <c r="U647">
        <f>IF($W647="","",INDEX(명단표[서울 근무일(기준월)],$W647))</f>
        <v/>
      </c>
      <c r="V647">
        <f>IF($W647="","",INDEX(명단표[구리 근무일(기준월)],$W647))</f>
        <v/>
      </c>
      <c r="W647" s="17">
        <f>IFERROR(MATCH(642,명단표[판정불가순번],0),"")</f>
        <v/>
      </c>
    </row>
    <row r="648">
      <c r="A648">
        <f>IF($P648="","",643)</f>
        <v/>
      </c>
      <c r="B648">
        <f>IF($P648="","",INDEX(명단표[이름],$P648))</f>
        <v/>
      </c>
      <c r="C648">
        <f>IF($P648="","",INDEX(명단표[사번],$P648)&amp;"")</f>
        <v/>
      </c>
      <c r="D648">
        <f>IF($P648="","",INDEX(명단표[전공의등록번호],$P648)&amp;"")</f>
        <v/>
      </c>
      <c r="E648">
        <f>IF($P648="","",INDEX(명단표[수련과목],$P648)&amp;"")</f>
        <v/>
      </c>
      <c r="F648">
        <f>IF($P648="","",INDEX(명단표[연차],$P648)&amp;"")</f>
        <v/>
      </c>
      <c r="G648">
        <f>IF($P648="","",INDEX(명단표[소속병원],$P648))</f>
        <v/>
      </c>
      <c r="H648">
        <f>IF($P648="","",IF(INDEX(명단표[소속병원],$P648)="서울병원","서울 소속","타 병원 소속("&amp;INDEX(명단표[소속병원],$P648)&amp;") → 서울 지급"))</f>
        <v/>
      </c>
      <c r="I648">
        <f>IF($P648="","",INDEX(명단표[현재 근무병원],$P648))</f>
        <v/>
      </c>
      <c r="J648">
        <f>IF($P648="","",INDEX(명단표[구리 근무 시작일(기준월)],$P648)&amp;"")</f>
        <v/>
      </c>
      <c r="K648">
        <f>IF($P648="","",INDEX(명단표[구리 근무 종료일(기준월)],$P648)&amp;"")</f>
        <v/>
      </c>
      <c r="L648">
        <f>IF($P648="","",INDEX(명단표[서울 근무일(기준월)],$P648))</f>
        <v/>
      </c>
      <c r="M648">
        <f>IF($P648="","",INDEX(명단표[구리 근무일(기준월)],$P648))</f>
        <v/>
      </c>
      <c r="N648">
        <f>IF($P648="","",INDEX(명단표[급여 판정 근거],$P648))</f>
        <v/>
      </c>
      <c r="O648">
        <f>IF($P648="","",INDEX(명단표[점검],$P648))</f>
        <v/>
      </c>
      <c r="P648" s="17">
        <f>IFERROR(MATCH(643,명단표[서울순번],0),"")</f>
        <v/>
      </c>
      <c r="R648">
        <f>IF($W648="","",INDEX(명단표[이름],$W648))</f>
        <v/>
      </c>
      <c r="S648">
        <f>IF($W648="","",INDEX(명단표[사번],$W648)&amp;"")</f>
        <v/>
      </c>
      <c r="T648">
        <f>IF($W648="","",INDEX(명단표[소속병원],$W648))</f>
        <v/>
      </c>
      <c r="U648">
        <f>IF($W648="","",INDEX(명단표[서울 근무일(기준월)],$W648))</f>
        <v/>
      </c>
      <c r="V648">
        <f>IF($W648="","",INDEX(명단표[구리 근무일(기준월)],$W648))</f>
        <v/>
      </c>
      <c r="W648" s="17">
        <f>IFERROR(MATCH(643,명단표[판정불가순번],0),"")</f>
        <v/>
      </c>
    </row>
    <row r="649">
      <c r="A649">
        <f>IF($P649="","",644)</f>
        <v/>
      </c>
      <c r="B649">
        <f>IF($P649="","",INDEX(명단표[이름],$P649))</f>
        <v/>
      </c>
      <c r="C649">
        <f>IF($P649="","",INDEX(명단표[사번],$P649)&amp;"")</f>
        <v/>
      </c>
      <c r="D649">
        <f>IF($P649="","",INDEX(명단표[전공의등록번호],$P649)&amp;"")</f>
        <v/>
      </c>
      <c r="E649">
        <f>IF($P649="","",INDEX(명단표[수련과목],$P649)&amp;"")</f>
        <v/>
      </c>
      <c r="F649">
        <f>IF($P649="","",INDEX(명단표[연차],$P649)&amp;"")</f>
        <v/>
      </c>
      <c r="G649">
        <f>IF($P649="","",INDEX(명단표[소속병원],$P649))</f>
        <v/>
      </c>
      <c r="H649">
        <f>IF($P649="","",IF(INDEX(명단표[소속병원],$P649)="서울병원","서울 소속","타 병원 소속("&amp;INDEX(명단표[소속병원],$P649)&amp;") → 서울 지급"))</f>
        <v/>
      </c>
      <c r="I649">
        <f>IF($P649="","",INDEX(명단표[현재 근무병원],$P649))</f>
        <v/>
      </c>
      <c r="J649">
        <f>IF($P649="","",INDEX(명단표[구리 근무 시작일(기준월)],$P649)&amp;"")</f>
        <v/>
      </c>
      <c r="K649">
        <f>IF($P649="","",INDEX(명단표[구리 근무 종료일(기준월)],$P649)&amp;"")</f>
        <v/>
      </c>
      <c r="L649">
        <f>IF($P649="","",INDEX(명단표[서울 근무일(기준월)],$P649))</f>
        <v/>
      </c>
      <c r="M649">
        <f>IF($P649="","",INDEX(명단표[구리 근무일(기준월)],$P649))</f>
        <v/>
      </c>
      <c r="N649">
        <f>IF($P649="","",INDEX(명단표[급여 판정 근거],$P649))</f>
        <v/>
      </c>
      <c r="O649">
        <f>IF($P649="","",INDEX(명단표[점검],$P649))</f>
        <v/>
      </c>
      <c r="P649" s="17">
        <f>IFERROR(MATCH(644,명단표[서울순번],0),"")</f>
        <v/>
      </c>
      <c r="R649">
        <f>IF($W649="","",INDEX(명단표[이름],$W649))</f>
        <v/>
      </c>
      <c r="S649">
        <f>IF($W649="","",INDEX(명단표[사번],$W649)&amp;"")</f>
        <v/>
      </c>
      <c r="T649">
        <f>IF($W649="","",INDEX(명단표[소속병원],$W649))</f>
        <v/>
      </c>
      <c r="U649">
        <f>IF($W649="","",INDEX(명단표[서울 근무일(기준월)],$W649))</f>
        <v/>
      </c>
      <c r="V649">
        <f>IF($W649="","",INDEX(명단표[구리 근무일(기준월)],$W649))</f>
        <v/>
      </c>
      <c r="W649" s="17">
        <f>IFERROR(MATCH(644,명단표[판정불가순번],0),"")</f>
        <v/>
      </c>
    </row>
    <row r="650">
      <c r="A650">
        <f>IF($P650="","",645)</f>
        <v/>
      </c>
      <c r="B650">
        <f>IF($P650="","",INDEX(명단표[이름],$P650))</f>
        <v/>
      </c>
      <c r="C650">
        <f>IF($P650="","",INDEX(명단표[사번],$P650)&amp;"")</f>
        <v/>
      </c>
      <c r="D650">
        <f>IF($P650="","",INDEX(명단표[전공의등록번호],$P650)&amp;"")</f>
        <v/>
      </c>
      <c r="E650">
        <f>IF($P650="","",INDEX(명단표[수련과목],$P650)&amp;"")</f>
        <v/>
      </c>
      <c r="F650">
        <f>IF($P650="","",INDEX(명단표[연차],$P650)&amp;"")</f>
        <v/>
      </c>
      <c r="G650">
        <f>IF($P650="","",INDEX(명단표[소속병원],$P650))</f>
        <v/>
      </c>
      <c r="H650">
        <f>IF($P650="","",IF(INDEX(명단표[소속병원],$P650)="서울병원","서울 소속","타 병원 소속("&amp;INDEX(명단표[소속병원],$P650)&amp;") → 서울 지급"))</f>
        <v/>
      </c>
      <c r="I650">
        <f>IF($P650="","",INDEX(명단표[현재 근무병원],$P650))</f>
        <v/>
      </c>
      <c r="J650">
        <f>IF($P650="","",INDEX(명단표[구리 근무 시작일(기준월)],$P650)&amp;"")</f>
        <v/>
      </c>
      <c r="K650">
        <f>IF($P650="","",INDEX(명단표[구리 근무 종료일(기준월)],$P650)&amp;"")</f>
        <v/>
      </c>
      <c r="L650">
        <f>IF($P650="","",INDEX(명단표[서울 근무일(기준월)],$P650))</f>
        <v/>
      </c>
      <c r="M650">
        <f>IF($P650="","",INDEX(명단표[구리 근무일(기준월)],$P650))</f>
        <v/>
      </c>
      <c r="N650">
        <f>IF($P650="","",INDEX(명단표[급여 판정 근거],$P650))</f>
        <v/>
      </c>
      <c r="O650">
        <f>IF($P650="","",INDEX(명단표[점검],$P650))</f>
        <v/>
      </c>
      <c r="P650" s="17">
        <f>IFERROR(MATCH(645,명단표[서울순번],0),"")</f>
        <v/>
      </c>
      <c r="R650">
        <f>IF($W650="","",INDEX(명단표[이름],$W650))</f>
        <v/>
      </c>
      <c r="S650">
        <f>IF($W650="","",INDEX(명단표[사번],$W650)&amp;"")</f>
        <v/>
      </c>
      <c r="T650">
        <f>IF($W650="","",INDEX(명단표[소속병원],$W650))</f>
        <v/>
      </c>
      <c r="U650">
        <f>IF($W650="","",INDEX(명단표[서울 근무일(기준월)],$W650))</f>
        <v/>
      </c>
      <c r="V650">
        <f>IF($W650="","",INDEX(명단표[구리 근무일(기준월)],$W650))</f>
        <v/>
      </c>
      <c r="W650" s="17">
        <f>IFERROR(MATCH(645,명단표[판정불가순번],0),"")</f>
        <v/>
      </c>
    </row>
    <row r="651">
      <c r="A651">
        <f>IF($P651="","",646)</f>
        <v/>
      </c>
      <c r="B651">
        <f>IF($P651="","",INDEX(명단표[이름],$P651))</f>
        <v/>
      </c>
      <c r="C651">
        <f>IF($P651="","",INDEX(명단표[사번],$P651)&amp;"")</f>
        <v/>
      </c>
      <c r="D651">
        <f>IF($P651="","",INDEX(명단표[전공의등록번호],$P651)&amp;"")</f>
        <v/>
      </c>
      <c r="E651">
        <f>IF($P651="","",INDEX(명단표[수련과목],$P651)&amp;"")</f>
        <v/>
      </c>
      <c r="F651">
        <f>IF($P651="","",INDEX(명단표[연차],$P651)&amp;"")</f>
        <v/>
      </c>
      <c r="G651">
        <f>IF($P651="","",INDEX(명단표[소속병원],$P651))</f>
        <v/>
      </c>
      <c r="H651">
        <f>IF($P651="","",IF(INDEX(명단표[소속병원],$P651)="서울병원","서울 소속","타 병원 소속("&amp;INDEX(명단표[소속병원],$P651)&amp;") → 서울 지급"))</f>
        <v/>
      </c>
      <c r="I651">
        <f>IF($P651="","",INDEX(명단표[현재 근무병원],$P651))</f>
        <v/>
      </c>
      <c r="J651">
        <f>IF($P651="","",INDEX(명단표[구리 근무 시작일(기준월)],$P651)&amp;"")</f>
        <v/>
      </c>
      <c r="K651">
        <f>IF($P651="","",INDEX(명단표[구리 근무 종료일(기준월)],$P651)&amp;"")</f>
        <v/>
      </c>
      <c r="L651">
        <f>IF($P651="","",INDEX(명단표[서울 근무일(기준월)],$P651))</f>
        <v/>
      </c>
      <c r="M651">
        <f>IF($P651="","",INDEX(명단표[구리 근무일(기준월)],$P651))</f>
        <v/>
      </c>
      <c r="N651">
        <f>IF($P651="","",INDEX(명단표[급여 판정 근거],$P651))</f>
        <v/>
      </c>
      <c r="O651">
        <f>IF($P651="","",INDEX(명단표[점검],$P651))</f>
        <v/>
      </c>
      <c r="P651" s="17">
        <f>IFERROR(MATCH(646,명단표[서울순번],0),"")</f>
        <v/>
      </c>
      <c r="R651">
        <f>IF($W651="","",INDEX(명단표[이름],$W651))</f>
        <v/>
      </c>
      <c r="S651">
        <f>IF($W651="","",INDEX(명단표[사번],$W651)&amp;"")</f>
        <v/>
      </c>
      <c r="T651">
        <f>IF($W651="","",INDEX(명단표[소속병원],$W651))</f>
        <v/>
      </c>
      <c r="U651">
        <f>IF($W651="","",INDEX(명단표[서울 근무일(기준월)],$W651))</f>
        <v/>
      </c>
      <c r="V651">
        <f>IF($W651="","",INDEX(명단표[구리 근무일(기준월)],$W651))</f>
        <v/>
      </c>
      <c r="W651" s="17">
        <f>IFERROR(MATCH(646,명단표[판정불가순번],0),"")</f>
        <v/>
      </c>
    </row>
    <row r="652">
      <c r="A652">
        <f>IF($P652="","",647)</f>
        <v/>
      </c>
      <c r="B652">
        <f>IF($P652="","",INDEX(명단표[이름],$P652))</f>
        <v/>
      </c>
      <c r="C652">
        <f>IF($P652="","",INDEX(명단표[사번],$P652)&amp;"")</f>
        <v/>
      </c>
      <c r="D652">
        <f>IF($P652="","",INDEX(명단표[전공의등록번호],$P652)&amp;"")</f>
        <v/>
      </c>
      <c r="E652">
        <f>IF($P652="","",INDEX(명단표[수련과목],$P652)&amp;"")</f>
        <v/>
      </c>
      <c r="F652">
        <f>IF($P652="","",INDEX(명단표[연차],$P652)&amp;"")</f>
        <v/>
      </c>
      <c r="G652">
        <f>IF($P652="","",INDEX(명단표[소속병원],$P652))</f>
        <v/>
      </c>
      <c r="H652">
        <f>IF($P652="","",IF(INDEX(명단표[소속병원],$P652)="서울병원","서울 소속","타 병원 소속("&amp;INDEX(명단표[소속병원],$P652)&amp;") → 서울 지급"))</f>
        <v/>
      </c>
      <c r="I652">
        <f>IF($P652="","",INDEX(명단표[현재 근무병원],$P652))</f>
        <v/>
      </c>
      <c r="J652">
        <f>IF($P652="","",INDEX(명단표[구리 근무 시작일(기준월)],$P652)&amp;"")</f>
        <v/>
      </c>
      <c r="K652">
        <f>IF($P652="","",INDEX(명단표[구리 근무 종료일(기준월)],$P652)&amp;"")</f>
        <v/>
      </c>
      <c r="L652">
        <f>IF($P652="","",INDEX(명단표[서울 근무일(기준월)],$P652))</f>
        <v/>
      </c>
      <c r="M652">
        <f>IF($P652="","",INDEX(명단표[구리 근무일(기준월)],$P652))</f>
        <v/>
      </c>
      <c r="N652">
        <f>IF($P652="","",INDEX(명단표[급여 판정 근거],$P652))</f>
        <v/>
      </c>
      <c r="O652">
        <f>IF($P652="","",INDEX(명단표[점검],$P652))</f>
        <v/>
      </c>
      <c r="P652" s="17">
        <f>IFERROR(MATCH(647,명단표[서울순번],0),"")</f>
        <v/>
      </c>
      <c r="R652">
        <f>IF($W652="","",INDEX(명단표[이름],$W652))</f>
        <v/>
      </c>
      <c r="S652">
        <f>IF($W652="","",INDEX(명단표[사번],$W652)&amp;"")</f>
        <v/>
      </c>
      <c r="T652">
        <f>IF($W652="","",INDEX(명단표[소속병원],$W652))</f>
        <v/>
      </c>
      <c r="U652">
        <f>IF($W652="","",INDEX(명단표[서울 근무일(기준월)],$W652))</f>
        <v/>
      </c>
      <c r="V652">
        <f>IF($W652="","",INDEX(명단표[구리 근무일(기준월)],$W652))</f>
        <v/>
      </c>
      <c r="W652" s="17">
        <f>IFERROR(MATCH(647,명단표[판정불가순번],0),"")</f>
        <v/>
      </c>
    </row>
    <row r="653">
      <c r="A653">
        <f>IF($P653="","",648)</f>
        <v/>
      </c>
      <c r="B653">
        <f>IF($P653="","",INDEX(명단표[이름],$P653))</f>
        <v/>
      </c>
      <c r="C653">
        <f>IF($P653="","",INDEX(명단표[사번],$P653)&amp;"")</f>
        <v/>
      </c>
      <c r="D653">
        <f>IF($P653="","",INDEX(명단표[전공의등록번호],$P653)&amp;"")</f>
        <v/>
      </c>
      <c r="E653">
        <f>IF($P653="","",INDEX(명단표[수련과목],$P653)&amp;"")</f>
        <v/>
      </c>
      <c r="F653">
        <f>IF($P653="","",INDEX(명단표[연차],$P653)&amp;"")</f>
        <v/>
      </c>
      <c r="G653">
        <f>IF($P653="","",INDEX(명단표[소속병원],$P653))</f>
        <v/>
      </c>
      <c r="H653">
        <f>IF($P653="","",IF(INDEX(명단표[소속병원],$P653)="서울병원","서울 소속","타 병원 소속("&amp;INDEX(명단표[소속병원],$P653)&amp;") → 서울 지급"))</f>
        <v/>
      </c>
      <c r="I653">
        <f>IF($P653="","",INDEX(명단표[현재 근무병원],$P653))</f>
        <v/>
      </c>
      <c r="J653">
        <f>IF($P653="","",INDEX(명단표[구리 근무 시작일(기준월)],$P653)&amp;"")</f>
        <v/>
      </c>
      <c r="K653">
        <f>IF($P653="","",INDEX(명단표[구리 근무 종료일(기준월)],$P653)&amp;"")</f>
        <v/>
      </c>
      <c r="L653">
        <f>IF($P653="","",INDEX(명단표[서울 근무일(기준월)],$P653))</f>
        <v/>
      </c>
      <c r="M653">
        <f>IF($P653="","",INDEX(명단표[구리 근무일(기준월)],$P653))</f>
        <v/>
      </c>
      <c r="N653">
        <f>IF($P653="","",INDEX(명단표[급여 판정 근거],$P653))</f>
        <v/>
      </c>
      <c r="O653">
        <f>IF($P653="","",INDEX(명단표[점검],$P653))</f>
        <v/>
      </c>
      <c r="P653" s="17">
        <f>IFERROR(MATCH(648,명단표[서울순번],0),"")</f>
        <v/>
      </c>
      <c r="R653">
        <f>IF($W653="","",INDEX(명단표[이름],$W653))</f>
        <v/>
      </c>
      <c r="S653">
        <f>IF($W653="","",INDEX(명단표[사번],$W653)&amp;"")</f>
        <v/>
      </c>
      <c r="T653">
        <f>IF($W653="","",INDEX(명단표[소속병원],$W653))</f>
        <v/>
      </c>
      <c r="U653">
        <f>IF($W653="","",INDEX(명단표[서울 근무일(기준월)],$W653))</f>
        <v/>
      </c>
      <c r="V653">
        <f>IF($W653="","",INDEX(명단표[구리 근무일(기준월)],$W653))</f>
        <v/>
      </c>
      <c r="W653" s="17">
        <f>IFERROR(MATCH(648,명단표[판정불가순번],0),"")</f>
        <v/>
      </c>
    </row>
    <row r="654">
      <c r="A654">
        <f>IF($P654="","",649)</f>
        <v/>
      </c>
      <c r="B654">
        <f>IF($P654="","",INDEX(명단표[이름],$P654))</f>
        <v/>
      </c>
      <c r="C654">
        <f>IF($P654="","",INDEX(명단표[사번],$P654)&amp;"")</f>
        <v/>
      </c>
      <c r="D654">
        <f>IF($P654="","",INDEX(명단표[전공의등록번호],$P654)&amp;"")</f>
        <v/>
      </c>
      <c r="E654">
        <f>IF($P654="","",INDEX(명단표[수련과목],$P654)&amp;"")</f>
        <v/>
      </c>
      <c r="F654">
        <f>IF($P654="","",INDEX(명단표[연차],$P654)&amp;"")</f>
        <v/>
      </c>
      <c r="G654">
        <f>IF($P654="","",INDEX(명단표[소속병원],$P654))</f>
        <v/>
      </c>
      <c r="H654">
        <f>IF($P654="","",IF(INDEX(명단표[소속병원],$P654)="서울병원","서울 소속","타 병원 소속("&amp;INDEX(명단표[소속병원],$P654)&amp;") → 서울 지급"))</f>
        <v/>
      </c>
      <c r="I654">
        <f>IF($P654="","",INDEX(명단표[현재 근무병원],$P654))</f>
        <v/>
      </c>
      <c r="J654">
        <f>IF($P654="","",INDEX(명단표[구리 근무 시작일(기준월)],$P654)&amp;"")</f>
        <v/>
      </c>
      <c r="K654">
        <f>IF($P654="","",INDEX(명단표[구리 근무 종료일(기준월)],$P654)&amp;"")</f>
        <v/>
      </c>
      <c r="L654">
        <f>IF($P654="","",INDEX(명단표[서울 근무일(기준월)],$P654))</f>
        <v/>
      </c>
      <c r="M654">
        <f>IF($P654="","",INDEX(명단표[구리 근무일(기준월)],$P654))</f>
        <v/>
      </c>
      <c r="N654">
        <f>IF($P654="","",INDEX(명단표[급여 판정 근거],$P654))</f>
        <v/>
      </c>
      <c r="O654">
        <f>IF($P654="","",INDEX(명단표[점검],$P654))</f>
        <v/>
      </c>
      <c r="P654" s="17">
        <f>IFERROR(MATCH(649,명단표[서울순번],0),"")</f>
        <v/>
      </c>
      <c r="R654">
        <f>IF($W654="","",INDEX(명단표[이름],$W654))</f>
        <v/>
      </c>
      <c r="S654">
        <f>IF($W654="","",INDEX(명단표[사번],$W654)&amp;"")</f>
        <v/>
      </c>
      <c r="T654">
        <f>IF($W654="","",INDEX(명단표[소속병원],$W654))</f>
        <v/>
      </c>
      <c r="U654">
        <f>IF($W654="","",INDEX(명단표[서울 근무일(기준월)],$W654))</f>
        <v/>
      </c>
      <c r="V654">
        <f>IF($W654="","",INDEX(명단표[구리 근무일(기준월)],$W654))</f>
        <v/>
      </c>
      <c r="W654" s="17">
        <f>IFERROR(MATCH(649,명단표[판정불가순번],0),"")</f>
        <v/>
      </c>
    </row>
    <row r="655">
      <c r="A655">
        <f>IF($P655="","",650)</f>
        <v/>
      </c>
      <c r="B655">
        <f>IF($P655="","",INDEX(명단표[이름],$P655))</f>
        <v/>
      </c>
      <c r="C655">
        <f>IF($P655="","",INDEX(명단표[사번],$P655)&amp;"")</f>
        <v/>
      </c>
      <c r="D655">
        <f>IF($P655="","",INDEX(명단표[전공의등록번호],$P655)&amp;"")</f>
        <v/>
      </c>
      <c r="E655">
        <f>IF($P655="","",INDEX(명단표[수련과목],$P655)&amp;"")</f>
        <v/>
      </c>
      <c r="F655">
        <f>IF($P655="","",INDEX(명단표[연차],$P655)&amp;"")</f>
        <v/>
      </c>
      <c r="G655">
        <f>IF($P655="","",INDEX(명단표[소속병원],$P655))</f>
        <v/>
      </c>
      <c r="H655">
        <f>IF($P655="","",IF(INDEX(명단표[소속병원],$P655)="서울병원","서울 소속","타 병원 소속("&amp;INDEX(명단표[소속병원],$P655)&amp;") → 서울 지급"))</f>
        <v/>
      </c>
      <c r="I655">
        <f>IF($P655="","",INDEX(명단표[현재 근무병원],$P655))</f>
        <v/>
      </c>
      <c r="J655">
        <f>IF($P655="","",INDEX(명단표[구리 근무 시작일(기준월)],$P655)&amp;"")</f>
        <v/>
      </c>
      <c r="K655">
        <f>IF($P655="","",INDEX(명단표[구리 근무 종료일(기준월)],$P655)&amp;"")</f>
        <v/>
      </c>
      <c r="L655">
        <f>IF($P655="","",INDEX(명단표[서울 근무일(기준월)],$P655))</f>
        <v/>
      </c>
      <c r="M655">
        <f>IF($P655="","",INDEX(명단표[구리 근무일(기준월)],$P655))</f>
        <v/>
      </c>
      <c r="N655">
        <f>IF($P655="","",INDEX(명단표[급여 판정 근거],$P655))</f>
        <v/>
      </c>
      <c r="O655">
        <f>IF($P655="","",INDEX(명단표[점검],$P655))</f>
        <v/>
      </c>
      <c r="P655" s="17">
        <f>IFERROR(MATCH(650,명단표[서울순번],0),"")</f>
        <v/>
      </c>
      <c r="R655">
        <f>IF($W655="","",INDEX(명단표[이름],$W655))</f>
        <v/>
      </c>
      <c r="S655">
        <f>IF($W655="","",INDEX(명단표[사번],$W655)&amp;"")</f>
        <v/>
      </c>
      <c r="T655">
        <f>IF($W655="","",INDEX(명단표[소속병원],$W655))</f>
        <v/>
      </c>
      <c r="U655">
        <f>IF($W655="","",INDEX(명단표[서울 근무일(기준월)],$W655))</f>
        <v/>
      </c>
      <c r="V655">
        <f>IF($W655="","",INDEX(명단표[구리 근무일(기준월)],$W655))</f>
        <v/>
      </c>
      <c r="W655" s="17">
        <f>IFERROR(MATCH(650,명단표[판정불가순번],0),"")</f>
        <v/>
      </c>
    </row>
    <row r="656">
      <c r="A656">
        <f>IF($P656="","",651)</f>
        <v/>
      </c>
      <c r="B656">
        <f>IF($P656="","",INDEX(명단표[이름],$P656))</f>
        <v/>
      </c>
      <c r="C656">
        <f>IF($P656="","",INDEX(명단표[사번],$P656)&amp;"")</f>
        <v/>
      </c>
      <c r="D656">
        <f>IF($P656="","",INDEX(명단표[전공의등록번호],$P656)&amp;"")</f>
        <v/>
      </c>
      <c r="E656">
        <f>IF($P656="","",INDEX(명단표[수련과목],$P656)&amp;"")</f>
        <v/>
      </c>
      <c r="F656">
        <f>IF($P656="","",INDEX(명단표[연차],$P656)&amp;"")</f>
        <v/>
      </c>
      <c r="G656">
        <f>IF($P656="","",INDEX(명단표[소속병원],$P656))</f>
        <v/>
      </c>
      <c r="H656">
        <f>IF($P656="","",IF(INDEX(명단표[소속병원],$P656)="서울병원","서울 소속","타 병원 소속("&amp;INDEX(명단표[소속병원],$P656)&amp;") → 서울 지급"))</f>
        <v/>
      </c>
      <c r="I656">
        <f>IF($P656="","",INDEX(명단표[현재 근무병원],$P656))</f>
        <v/>
      </c>
      <c r="J656">
        <f>IF($P656="","",INDEX(명단표[구리 근무 시작일(기준월)],$P656)&amp;"")</f>
        <v/>
      </c>
      <c r="K656">
        <f>IF($P656="","",INDEX(명단표[구리 근무 종료일(기준월)],$P656)&amp;"")</f>
        <v/>
      </c>
      <c r="L656">
        <f>IF($P656="","",INDEX(명단표[서울 근무일(기준월)],$P656))</f>
        <v/>
      </c>
      <c r="M656">
        <f>IF($P656="","",INDEX(명단표[구리 근무일(기준월)],$P656))</f>
        <v/>
      </c>
      <c r="N656">
        <f>IF($P656="","",INDEX(명단표[급여 판정 근거],$P656))</f>
        <v/>
      </c>
      <c r="O656">
        <f>IF($P656="","",INDEX(명단표[점검],$P656))</f>
        <v/>
      </c>
      <c r="P656" s="17">
        <f>IFERROR(MATCH(651,명단표[서울순번],0),"")</f>
        <v/>
      </c>
      <c r="R656">
        <f>IF($W656="","",INDEX(명단표[이름],$W656))</f>
        <v/>
      </c>
      <c r="S656">
        <f>IF($W656="","",INDEX(명단표[사번],$W656)&amp;"")</f>
        <v/>
      </c>
      <c r="T656">
        <f>IF($W656="","",INDEX(명단표[소속병원],$W656))</f>
        <v/>
      </c>
      <c r="U656">
        <f>IF($W656="","",INDEX(명단표[서울 근무일(기준월)],$W656))</f>
        <v/>
      </c>
      <c r="V656">
        <f>IF($W656="","",INDEX(명단표[구리 근무일(기준월)],$W656))</f>
        <v/>
      </c>
      <c r="W656" s="17">
        <f>IFERROR(MATCH(651,명단표[판정불가순번],0),"")</f>
        <v/>
      </c>
    </row>
    <row r="657">
      <c r="A657">
        <f>IF($P657="","",652)</f>
        <v/>
      </c>
      <c r="B657">
        <f>IF($P657="","",INDEX(명단표[이름],$P657))</f>
        <v/>
      </c>
      <c r="C657">
        <f>IF($P657="","",INDEX(명단표[사번],$P657)&amp;"")</f>
        <v/>
      </c>
      <c r="D657">
        <f>IF($P657="","",INDEX(명단표[전공의등록번호],$P657)&amp;"")</f>
        <v/>
      </c>
      <c r="E657">
        <f>IF($P657="","",INDEX(명단표[수련과목],$P657)&amp;"")</f>
        <v/>
      </c>
      <c r="F657">
        <f>IF($P657="","",INDEX(명단표[연차],$P657)&amp;"")</f>
        <v/>
      </c>
      <c r="G657">
        <f>IF($P657="","",INDEX(명단표[소속병원],$P657))</f>
        <v/>
      </c>
      <c r="H657">
        <f>IF($P657="","",IF(INDEX(명단표[소속병원],$P657)="서울병원","서울 소속","타 병원 소속("&amp;INDEX(명단표[소속병원],$P657)&amp;") → 서울 지급"))</f>
        <v/>
      </c>
      <c r="I657">
        <f>IF($P657="","",INDEX(명단표[현재 근무병원],$P657))</f>
        <v/>
      </c>
      <c r="J657">
        <f>IF($P657="","",INDEX(명단표[구리 근무 시작일(기준월)],$P657)&amp;"")</f>
        <v/>
      </c>
      <c r="K657">
        <f>IF($P657="","",INDEX(명단표[구리 근무 종료일(기준월)],$P657)&amp;"")</f>
        <v/>
      </c>
      <c r="L657">
        <f>IF($P657="","",INDEX(명단표[서울 근무일(기준월)],$P657))</f>
        <v/>
      </c>
      <c r="M657">
        <f>IF($P657="","",INDEX(명단표[구리 근무일(기준월)],$P657))</f>
        <v/>
      </c>
      <c r="N657">
        <f>IF($P657="","",INDEX(명단표[급여 판정 근거],$P657))</f>
        <v/>
      </c>
      <c r="O657">
        <f>IF($P657="","",INDEX(명단표[점검],$P657))</f>
        <v/>
      </c>
      <c r="P657" s="17">
        <f>IFERROR(MATCH(652,명단표[서울순번],0),"")</f>
        <v/>
      </c>
      <c r="R657">
        <f>IF($W657="","",INDEX(명단표[이름],$W657))</f>
        <v/>
      </c>
      <c r="S657">
        <f>IF($W657="","",INDEX(명단표[사번],$W657)&amp;"")</f>
        <v/>
      </c>
      <c r="T657">
        <f>IF($W657="","",INDEX(명단표[소속병원],$W657))</f>
        <v/>
      </c>
      <c r="U657">
        <f>IF($W657="","",INDEX(명단표[서울 근무일(기준월)],$W657))</f>
        <v/>
      </c>
      <c r="V657">
        <f>IF($W657="","",INDEX(명단표[구리 근무일(기준월)],$W657))</f>
        <v/>
      </c>
      <c r="W657" s="17">
        <f>IFERROR(MATCH(652,명단표[판정불가순번],0),"")</f>
        <v/>
      </c>
    </row>
    <row r="658">
      <c r="A658">
        <f>IF($P658="","",653)</f>
        <v/>
      </c>
      <c r="B658">
        <f>IF($P658="","",INDEX(명단표[이름],$P658))</f>
        <v/>
      </c>
      <c r="C658">
        <f>IF($P658="","",INDEX(명단표[사번],$P658)&amp;"")</f>
        <v/>
      </c>
      <c r="D658">
        <f>IF($P658="","",INDEX(명단표[전공의등록번호],$P658)&amp;"")</f>
        <v/>
      </c>
      <c r="E658">
        <f>IF($P658="","",INDEX(명단표[수련과목],$P658)&amp;"")</f>
        <v/>
      </c>
      <c r="F658">
        <f>IF($P658="","",INDEX(명단표[연차],$P658)&amp;"")</f>
        <v/>
      </c>
      <c r="G658">
        <f>IF($P658="","",INDEX(명단표[소속병원],$P658))</f>
        <v/>
      </c>
      <c r="H658">
        <f>IF($P658="","",IF(INDEX(명단표[소속병원],$P658)="서울병원","서울 소속","타 병원 소속("&amp;INDEX(명단표[소속병원],$P658)&amp;") → 서울 지급"))</f>
        <v/>
      </c>
      <c r="I658">
        <f>IF($P658="","",INDEX(명단표[현재 근무병원],$P658))</f>
        <v/>
      </c>
      <c r="J658">
        <f>IF($P658="","",INDEX(명단표[구리 근무 시작일(기준월)],$P658)&amp;"")</f>
        <v/>
      </c>
      <c r="K658">
        <f>IF($P658="","",INDEX(명단표[구리 근무 종료일(기준월)],$P658)&amp;"")</f>
        <v/>
      </c>
      <c r="L658">
        <f>IF($P658="","",INDEX(명단표[서울 근무일(기준월)],$P658))</f>
        <v/>
      </c>
      <c r="M658">
        <f>IF($P658="","",INDEX(명단표[구리 근무일(기준월)],$P658))</f>
        <v/>
      </c>
      <c r="N658">
        <f>IF($P658="","",INDEX(명단표[급여 판정 근거],$P658))</f>
        <v/>
      </c>
      <c r="O658">
        <f>IF($P658="","",INDEX(명단표[점검],$P658))</f>
        <v/>
      </c>
      <c r="P658" s="17">
        <f>IFERROR(MATCH(653,명단표[서울순번],0),"")</f>
        <v/>
      </c>
      <c r="R658">
        <f>IF($W658="","",INDEX(명단표[이름],$W658))</f>
        <v/>
      </c>
      <c r="S658">
        <f>IF($W658="","",INDEX(명단표[사번],$W658)&amp;"")</f>
        <v/>
      </c>
      <c r="T658">
        <f>IF($W658="","",INDEX(명단표[소속병원],$W658))</f>
        <v/>
      </c>
      <c r="U658">
        <f>IF($W658="","",INDEX(명단표[서울 근무일(기준월)],$W658))</f>
        <v/>
      </c>
      <c r="V658">
        <f>IF($W658="","",INDEX(명단표[구리 근무일(기준월)],$W658))</f>
        <v/>
      </c>
      <c r="W658" s="17">
        <f>IFERROR(MATCH(653,명단표[판정불가순번],0),"")</f>
        <v/>
      </c>
    </row>
    <row r="659">
      <c r="A659">
        <f>IF($P659="","",654)</f>
        <v/>
      </c>
      <c r="B659">
        <f>IF($P659="","",INDEX(명단표[이름],$P659))</f>
        <v/>
      </c>
      <c r="C659">
        <f>IF($P659="","",INDEX(명단표[사번],$P659)&amp;"")</f>
        <v/>
      </c>
      <c r="D659">
        <f>IF($P659="","",INDEX(명단표[전공의등록번호],$P659)&amp;"")</f>
        <v/>
      </c>
      <c r="E659">
        <f>IF($P659="","",INDEX(명단표[수련과목],$P659)&amp;"")</f>
        <v/>
      </c>
      <c r="F659">
        <f>IF($P659="","",INDEX(명단표[연차],$P659)&amp;"")</f>
        <v/>
      </c>
      <c r="G659">
        <f>IF($P659="","",INDEX(명단표[소속병원],$P659))</f>
        <v/>
      </c>
      <c r="H659">
        <f>IF($P659="","",IF(INDEX(명단표[소속병원],$P659)="서울병원","서울 소속","타 병원 소속("&amp;INDEX(명단표[소속병원],$P659)&amp;") → 서울 지급"))</f>
        <v/>
      </c>
      <c r="I659">
        <f>IF($P659="","",INDEX(명단표[현재 근무병원],$P659))</f>
        <v/>
      </c>
      <c r="J659">
        <f>IF($P659="","",INDEX(명단표[구리 근무 시작일(기준월)],$P659)&amp;"")</f>
        <v/>
      </c>
      <c r="K659">
        <f>IF($P659="","",INDEX(명단표[구리 근무 종료일(기준월)],$P659)&amp;"")</f>
        <v/>
      </c>
      <c r="L659">
        <f>IF($P659="","",INDEX(명단표[서울 근무일(기준월)],$P659))</f>
        <v/>
      </c>
      <c r="M659">
        <f>IF($P659="","",INDEX(명단표[구리 근무일(기준월)],$P659))</f>
        <v/>
      </c>
      <c r="N659">
        <f>IF($P659="","",INDEX(명단표[급여 판정 근거],$P659))</f>
        <v/>
      </c>
      <c r="O659">
        <f>IF($P659="","",INDEX(명단표[점검],$P659))</f>
        <v/>
      </c>
      <c r="P659" s="17">
        <f>IFERROR(MATCH(654,명단표[서울순번],0),"")</f>
        <v/>
      </c>
      <c r="R659">
        <f>IF($W659="","",INDEX(명단표[이름],$W659))</f>
        <v/>
      </c>
      <c r="S659">
        <f>IF($W659="","",INDEX(명단표[사번],$W659)&amp;"")</f>
        <v/>
      </c>
      <c r="T659">
        <f>IF($W659="","",INDEX(명단표[소속병원],$W659))</f>
        <v/>
      </c>
      <c r="U659">
        <f>IF($W659="","",INDEX(명단표[서울 근무일(기준월)],$W659))</f>
        <v/>
      </c>
      <c r="V659">
        <f>IF($W659="","",INDEX(명단표[구리 근무일(기준월)],$W659))</f>
        <v/>
      </c>
      <c r="W659" s="17">
        <f>IFERROR(MATCH(654,명단표[판정불가순번],0),"")</f>
        <v/>
      </c>
    </row>
    <row r="660">
      <c r="A660">
        <f>IF($P660="","",655)</f>
        <v/>
      </c>
      <c r="B660">
        <f>IF($P660="","",INDEX(명단표[이름],$P660))</f>
        <v/>
      </c>
      <c r="C660">
        <f>IF($P660="","",INDEX(명단표[사번],$P660)&amp;"")</f>
        <v/>
      </c>
      <c r="D660">
        <f>IF($P660="","",INDEX(명단표[전공의등록번호],$P660)&amp;"")</f>
        <v/>
      </c>
      <c r="E660">
        <f>IF($P660="","",INDEX(명단표[수련과목],$P660)&amp;"")</f>
        <v/>
      </c>
      <c r="F660">
        <f>IF($P660="","",INDEX(명단표[연차],$P660)&amp;"")</f>
        <v/>
      </c>
      <c r="G660">
        <f>IF($P660="","",INDEX(명단표[소속병원],$P660))</f>
        <v/>
      </c>
      <c r="H660">
        <f>IF($P660="","",IF(INDEX(명단표[소속병원],$P660)="서울병원","서울 소속","타 병원 소속("&amp;INDEX(명단표[소속병원],$P660)&amp;") → 서울 지급"))</f>
        <v/>
      </c>
      <c r="I660">
        <f>IF($P660="","",INDEX(명단표[현재 근무병원],$P660))</f>
        <v/>
      </c>
      <c r="J660">
        <f>IF($P660="","",INDEX(명단표[구리 근무 시작일(기준월)],$P660)&amp;"")</f>
        <v/>
      </c>
      <c r="K660">
        <f>IF($P660="","",INDEX(명단표[구리 근무 종료일(기준월)],$P660)&amp;"")</f>
        <v/>
      </c>
      <c r="L660">
        <f>IF($P660="","",INDEX(명단표[서울 근무일(기준월)],$P660))</f>
        <v/>
      </c>
      <c r="M660">
        <f>IF($P660="","",INDEX(명단표[구리 근무일(기준월)],$P660))</f>
        <v/>
      </c>
      <c r="N660">
        <f>IF($P660="","",INDEX(명단표[급여 판정 근거],$P660))</f>
        <v/>
      </c>
      <c r="O660">
        <f>IF($P660="","",INDEX(명단표[점검],$P660))</f>
        <v/>
      </c>
      <c r="P660" s="17">
        <f>IFERROR(MATCH(655,명단표[서울순번],0),"")</f>
        <v/>
      </c>
      <c r="R660">
        <f>IF($W660="","",INDEX(명단표[이름],$W660))</f>
        <v/>
      </c>
      <c r="S660">
        <f>IF($W660="","",INDEX(명단표[사번],$W660)&amp;"")</f>
        <v/>
      </c>
      <c r="T660">
        <f>IF($W660="","",INDEX(명단표[소속병원],$W660))</f>
        <v/>
      </c>
      <c r="U660">
        <f>IF($W660="","",INDEX(명단표[서울 근무일(기준월)],$W660))</f>
        <v/>
      </c>
      <c r="V660">
        <f>IF($W660="","",INDEX(명단표[구리 근무일(기준월)],$W660))</f>
        <v/>
      </c>
      <c r="W660" s="17">
        <f>IFERROR(MATCH(655,명단표[판정불가순번],0),"")</f>
        <v/>
      </c>
    </row>
    <row r="661">
      <c r="A661">
        <f>IF($P661="","",656)</f>
        <v/>
      </c>
      <c r="B661">
        <f>IF($P661="","",INDEX(명단표[이름],$P661))</f>
        <v/>
      </c>
      <c r="C661">
        <f>IF($P661="","",INDEX(명단표[사번],$P661)&amp;"")</f>
        <v/>
      </c>
      <c r="D661">
        <f>IF($P661="","",INDEX(명단표[전공의등록번호],$P661)&amp;"")</f>
        <v/>
      </c>
      <c r="E661">
        <f>IF($P661="","",INDEX(명단표[수련과목],$P661)&amp;"")</f>
        <v/>
      </c>
      <c r="F661">
        <f>IF($P661="","",INDEX(명단표[연차],$P661)&amp;"")</f>
        <v/>
      </c>
      <c r="G661">
        <f>IF($P661="","",INDEX(명단표[소속병원],$P661))</f>
        <v/>
      </c>
      <c r="H661">
        <f>IF($P661="","",IF(INDEX(명단표[소속병원],$P661)="서울병원","서울 소속","타 병원 소속("&amp;INDEX(명단표[소속병원],$P661)&amp;") → 서울 지급"))</f>
        <v/>
      </c>
      <c r="I661">
        <f>IF($P661="","",INDEX(명단표[현재 근무병원],$P661))</f>
        <v/>
      </c>
      <c r="J661">
        <f>IF($P661="","",INDEX(명단표[구리 근무 시작일(기준월)],$P661)&amp;"")</f>
        <v/>
      </c>
      <c r="K661">
        <f>IF($P661="","",INDEX(명단표[구리 근무 종료일(기준월)],$P661)&amp;"")</f>
        <v/>
      </c>
      <c r="L661">
        <f>IF($P661="","",INDEX(명단표[서울 근무일(기준월)],$P661))</f>
        <v/>
      </c>
      <c r="M661">
        <f>IF($P661="","",INDEX(명단표[구리 근무일(기준월)],$P661))</f>
        <v/>
      </c>
      <c r="N661">
        <f>IF($P661="","",INDEX(명단표[급여 판정 근거],$P661))</f>
        <v/>
      </c>
      <c r="O661">
        <f>IF($P661="","",INDEX(명단표[점검],$P661))</f>
        <v/>
      </c>
      <c r="P661" s="17">
        <f>IFERROR(MATCH(656,명단표[서울순번],0),"")</f>
        <v/>
      </c>
      <c r="R661">
        <f>IF($W661="","",INDEX(명단표[이름],$W661))</f>
        <v/>
      </c>
      <c r="S661">
        <f>IF($W661="","",INDEX(명단표[사번],$W661)&amp;"")</f>
        <v/>
      </c>
      <c r="T661">
        <f>IF($W661="","",INDEX(명단표[소속병원],$W661))</f>
        <v/>
      </c>
      <c r="U661">
        <f>IF($W661="","",INDEX(명단표[서울 근무일(기준월)],$W661))</f>
        <v/>
      </c>
      <c r="V661">
        <f>IF($W661="","",INDEX(명단표[구리 근무일(기준월)],$W661))</f>
        <v/>
      </c>
      <c r="W661" s="17">
        <f>IFERROR(MATCH(656,명단표[판정불가순번],0),"")</f>
        <v/>
      </c>
    </row>
    <row r="662">
      <c r="A662">
        <f>IF($P662="","",657)</f>
        <v/>
      </c>
      <c r="B662">
        <f>IF($P662="","",INDEX(명단표[이름],$P662))</f>
        <v/>
      </c>
      <c r="C662">
        <f>IF($P662="","",INDEX(명단표[사번],$P662)&amp;"")</f>
        <v/>
      </c>
      <c r="D662">
        <f>IF($P662="","",INDEX(명단표[전공의등록번호],$P662)&amp;"")</f>
        <v/>
      </c>
      <c r="E662">
        <f>IF($P662="","",INDEX(명단표[수련과목],$P662)&amp;"")</f>
        <v/>
      </c>
      <c r="F662">
        <f>IF($P662="","",INDEX(명단표[연차],$P662)&amp;"")</f>
        <v/>
      </c>
      <c r="G662">
        <f>IF($P662="","",INDEX(명단표[소속병원],$P662))</f>
        <v/>
      </c>
      <c r="H662">
        <f>IF($P662="","",IF(INDEX(명단표[소속병원],$P662)="서울병원","서울 소속","타 병원 소속("&amp;INDEX(명단표[소속병원],$P662)&amp;") → 서울 지급"))</f>
        <v/>
      </c>
      <c r="I662">
        <f>IF($P662="","",INDEX(명단표[현재 근무병원],$P662))</f>
        <v/>
      </c>
      <c r="J662">
        <f>IF($P662="","",INDEX(명단표[구리 근무 시작일(기준월)],$P662)&amp;"")</f>
        <v/>
      </c>
      <c r="K662">
        <f>IF($P662="","",INDEX(명단표[구리 근무 종료일(기준월)],$P662)&amp;"")</f>
        <v/>
      </c>
      <c r="L662">
        <f>IF($P662="","",INDEX(명단표[서울 근무일(기준월)],$P662))</f>
        <v/>
      </c>
      <c r="M662">
        <f>IF($P662="","",INDEX(명단표[구리 근무일(기준월)],$P662))</f>
        <v/>
      </c>
      <c r="N662">
        <f>IF($P662="","",INDEX(명단표[급여 판정 근거],$P662))</f>
        <v/>
      </c>
      <c r="O662">
        <f>IF($P662="","",INDEX(명단표[점검],$P662))</f>
        <v/>
      </c>
      <c r="P662" s="17">
        <f>IFERROR(MATCH(657,명단표[서울순번],0),"")</f>
        <v/>
      </c>
      <c r="R662">
        <f>IF($W662="","",INDEX(명단표[이름],$W662))</f>
        <v/>
      </c>
      <c r="S662">
        <f>IF($W662="","",INDEX(명단표[사번],$W662)&amp;"")</f>
        <v/>
      </c>
      <c r="T662">
        <f>IF($W662="","",INDEX(명단표[소속병원],$W662))</f>
        <v/>
      </c>
      <c r="U662">
        <f>IF($W662="","",INDEX(명단표[서울 근무일(기준월)],$W662))</f>
        <v/>
      </c>
      <c r="V662">
        <f>IF($W662="","",INDEX(명단표[구리 근무일(기준월)],$W662))</f>
        <v/>
      </c>
      <c r="W662" s="17">
        <f>IFERROR(MATCH(657,명단표[판정불가순번],0),"")</f>
        <v/>
      </c>
    </row>
    <row r="663">
      <c r="A663">
        <f>IF($P663="","",658)</f>
        <v/>
      </c>
      <c r="B663">
        <f>IF($P663="","",INDEX(명단표[이름],$P663))</f>
        <v/>
      </c>
      <c r="C663">
        <f>IF($P663="","",INDEX(명단표[사번],$P663)&amp;"")</f>
        <v/>
      </c>
      <c r="D663">
        <f>IF($P663="","",INDEX(명단표[전공의등록번호],$P663)&amp;"")</f>
        <v/>
      </c>
      <c r="E663">
        <f>IF($P663="","",INDEX(명단표[수련과목],$P663)&amp;"")</f>
        <v/>
      </c>
      <c r="F663">
        <f>IF($P663="","",INDEX(명단표[연차],$P663)&amp;"")</f>
        <v/>
      </c>
      <c r="G663">
        <f>IF($P663="","",INDEX(명단표[소속병원],$P663))</f>
        <v/>
      </c>
      <c r="H663">
        <f>IF($P663="","",IF(INDEX(명단표[소속병원],$P663)="서울병원","서울 소속","타 병원 소속("&amp;INDEX(명단표[소속병원],$P663)&amp;") → 서울 지급"))</f>
        <v/>
      </c>
      <c r="I663">
        <f>IF($P663="","",INDEX(명단표[현재 근무병원],$P663))</f>
        <v/>
      </c>
      <c r="J663">
        <f>IF($P663="","",INDEX(명단표[구리 근무 시작일(기준월)],$P663)&amp;"")</f>
        <v/>
      </c>
      <c r="K663">
        <f>IF($P663="","",INDEX(명단표[구리 근무 종료일(기준월)],$P663)&amp;"")</f>
        <v/>
      </c>
      <c r="L663">
        <f>IF($P663="","",INDEX(명단표[서울 근무일(기준월)],$P663))</f>
        <v/>
      </c>
      <c r="M663">
        <f>IF($P663="","",INDEX(명단표[구리 근무일(기준월)],$P663))</f>
        <v/>
      </c>
      <c r="N663">
        <f>IF($P663="","",INDEX(명단표[급여 판정 근거],$P663))</f>
        <v/>
      </c>
      <c r="O663">
        <f>IF($P663="","",INDEX(명단표[점검],$P663))</f>
        <v/>
      </c>
      <c r="P663" s="17">
        <f>IFERROR(MATCH(658,명단표[서울순번],0),"")</f>
        <v/>
      </c>
      <c r="R663">
        <f>IF($W663="","",INDEX(명단표[이름],$W663))</f>
        <v/>
      </c>
      <c r="S663">
        <f>IF($W663="","",INDEX(명단표[사번],$W663)&amp;"")</f>
        <v/>
      </c>
      <c r="T663">
        <f>IF($W663="","",INDEX(명단표[소속병원],$W663))</f>
        <v/>
      </c>
      <c r="U663">
        <f>IF($W663="","",INDEX(명단표[서울 근무일(기준월)],$W663))</f>
        <v/>
      </c>
      <c r="V663">
        <f>IF($W663="","",INDEX(명단표[구리 근무일(기준월)],$W663))</f>
        <v/>
      </c>
      <c r="W663" s="17">
        <f>IFERROR(MATCH(658,명단표[판정불가순번],0),"")</f>
        <v/>
      </c>
    </row>
    <row r="664">
      <c r="A664">
        <f>IF($P664="","",659)</f>
        <v/>
      </c>
      <c r="B664">
        <f>IF($P664="","",INDEX(명단표[이름],$P664))</f>
        <v/>
      </c>
      <c r="C664">
        <f>IF($P664="","",INDEX(명단표[사번],$P664)&amp;"")</f>
        <v/>
      </c>
      <c r="D664">
        <f>IF($P664="","",INDEX(명단표[전공의등록번호],$P664)&amp;"")</f>
        <v/>
      </c>
      <c r="E664">
        <f>IF($P664="","",INDEX(명단표[수련과목],$P664)&amp;"")</f>
        <v/>
      </c>
      <c r="F664">
        <f>IF($P664="","",INDEX(명단표[연차],$P664)&amp;"")</f>
        <v/>
      </c>
      <c r="G664">
        <f>IF($P664="","",INDEX(명단표[소속병원],$P664))</f>
        <v/>
      </c>
      <c r="H664">
        <f>IF($P664="","",IF(INDEX(명단표[소속병원],$P664)="서울병원","서울 소속","타 병원 소속("&amp;INDEX(명단표[소속병원],$P664)&amp;") → 서울 지급"))</f>
        <v/>
      </c>
      <c r="I664">
        <f>IF($P664="","",INDEX(명단표[현재 근무병원],$P664))</f>
        <v/>
      </c>
      <c r="J664">
        <f>IF($P664="","",INDEX(명단표[구리 근무 시작일(기준월)],$P664)&amp;"")</f>
        <v/>
      </c>
      <c r="K664">
        <f>IF($P664="","",INDEX(명단표[구리 근무 종료일(기준월)],$P664)&amp;"")</f>
        <v/>
      </c>
      <c r="L664">
        <f>IF($P664="","",INDEX(명단표[서울 근무일(기준월)],$P664))</f>
        <v/>
      </c>
      <c r="M664">
        <f>IF($P664="","",INDEX(명단표[구리 근무일(기준월)],$P664))</f>
        <v/>
      </c>
      <c r="N664">
        <f>IF($P664="","",INDEX(명단표[급여 판정 근거],$P664))</f>
        <v/>
      </c>
      <c r="O664">
        <f>IF($P664="","",INDEX(명단표[점검],$P664))</f>
        <v/>
      </c>
      <c r="P664" s="17">
        <f>IFERROR(MATCH(659,명단표[서울순번],0),"")</f>
        <v/>
      </c>
      <c r="R664">
        <f>IF($W664="","",INDEX(명단표[이름],$W664))</f>
        <v/>
      </c>
      <c r="S664">
        <f>IF($W664="","",INDEX(명단표[사번],$W664)&amp;"")</f>
        <v/>
      </c>
      <c r="T664">
        <f>IF($W664="","",INDEX(명단표[소속병원],$W664))</f>
        <v/>
      </c>
      <c r="U664">
        <f>IF($W664="","",INDEX(명단표[서울 근무일(기준월)],$W664))</f>
        <v/>
      </c>
      <c r="V664">
        <f>IF($W664="","",INDEX(명단표[구리 근무일(기준월)],$W664))</f>
        <v/>
      </c>
      <c r="W664" s="17">
        <f>IFERROR(MATCH(659,명단표[판정불가순번],0),"")</f>
        <v/>
      </c>
    </row>
    <row r="665">
      <c r="A665">
        <f>IF($P665="","",660)</f>
        <v/>
      </c>
      <c r="B665">
        <f>IF($P665="","",INDEX(명단표[이름],$P665))</f>
        <v/>
      </c>
      <c r="C665">
        <f>IF($P665="","",INDEX(명단표[사번],$P665)&amp;"")</f>
        <v/>
      </c>
      <c r="D665">
        <f>IF($P665="","",INDEX(명단표[전공의등록번호],$P665)&amp;"")</f>
        <v/>
      </c>
      <c r="E665">
        <f>IF($P665="","",INDEX(명단표[수련과목],$P665)&amp;"")</f>
        <v/>
      </c>
      <c r="F665">
        <f>IF($P665="","",INDEX(명단표[연차],$P665)&amp;"")</f>
        <v/>
      </c>
      <c r="G665">
        <f>IF($P665="","",INDEX(명단표[소속병원],$P665))</f>
        <v/>
      </c>
      <c r="H665">
        <f>IF($P665="","",IF(INDEX(명단표[소속병원],$P665)="서울병원","서울 소속","타 병원 소속("&amp;INDEX(명단표[소속병원],$P665)&amp;") → 서울 지급"))</f>
        <v/>
      </c>
      <c r="I665">
        <f>IF($P665="","",INDEX(명단표[현재 근무병원],$P665))</f>
        <v/>
      </c>
      <c r="J665">
        <f>IF($P665="","",INDEX(명단표[구리 근무 시작일(기준월)],$P665)&amp;"")</f>
        <v/>
      </c>
      <c r="K665">
        <f>IF($P665="","",INDEX(명단표[구리 근무 종료일(기준월)],$P665)&amp;"")</f>
        <v/>
      </c>
      <c r="L665">
        <f>IF($P665="","",INDEX(명단표[서울 근무일(기준월)],$P665))</f>
        <v/>
      </c>
      <c r="M665">
        <f>IF($P665="","",INDEX(명단표[구리 근무일(기준월)],$P665))</f>
        <v/>
      </c>
      <c r="N665">
        <f>IF($P665="","",INDEX(명단표[급여 판정 근거],$P665))</f>
        <v/>
      </c>
      <c r="O665">
        <f>IF($P665="","",INDEX(명단표[점검],$P665))</f>
        <v/>
      </c>
      <c r="P665" s="17">
        <f>IFERROR(MATCH(660,명단표[서울순번],0),"")</f>
        <v/>
      </c>
      <c r="R665">
        <f>IF($W665="","",INDEX(명단표[이름],$W665))</f>
        <v/>
      </c>
      <c r="S665">
        <f>IF($W665="","",INDEX(명단표[사번],$W665)&amp;"")</f>
        <v/>
      </c>
      <c r="T665">
        <f>IF($W665="","",INDEX(명단표[소속병원],$W665))</f>
        <v/>
      </c>
      <c r="U665">
        <f>IF($W665="","",INDEX(명단표[서울 근무일(기준월)],$W665))</f>
        <v/>
      </c>
      <c r="V665">
        <f>IF($W665="","",INDEX(명단표[구리 근무일(기준월)],$W665))</f>
        <v/>
      </c>
      <c r="W665" s="17">
        <f>IFERROR(MATCH(660,명단표[판정불가순번],0),"")</f>
        <v/>
      </c>
    </row>
    <row r="666">
      <c r="A666">
        <f>IF($P666="","",661)</f>
        <v/>
      </c>
      <c r="B666">
        <f>IF($P666="","",INDEX(명단표[이름],$P666))</f>
        <v/>
      </c>
      <c r="C666">
        <f>IF($P666="","",INDEX(명단표[사번],$P666)&amp;"")</f>
        <v/>
      </c>
      <c r="D666">
        <f>IF($P666="","",INDEX(명단표[전공의등록번호],$P666)&amp;"")</f>
        <v/>
      </c>
      <c r="E666">
        <f>IF($P666="","",INDEX(명단표[수련과목],$P666)&amp;"")</f>
        <v/>
      </c>
      <c r="F666">
        <f>IF($P666="","",INDEX(명단표[연차],$P666)&amp;"")</f>
        <v/>
      </c>
      <c r="G666">
        <f>IF($P666="","",INDEX(명단표[소속병원],$P666))</f>
        <v/>
      </c>
      <c r="H666">
        <f>IF($P666="","",IF(INDEX(명단표[소속병원],$P666)="서울병원","서울 소속","타 병원 소속("&amp;INDEX(명단표[소속병원],$P666)&amp;") → 서울 지급"))</f>
        <v/>
      </c>
      <c r="I666">
        <f>IF($P666="","",INDEX(명단표[현재 근무병원],$P666))</f>
        <v/>
      </c>
      <c r="J666">
        <f>IF($P666="","",INDEX(명단표[구리 근무 시작일(기준월)],$P666)&amp;"")</f>
        <v/>
      </c>
      <c r="K666">
        <f>IF($P666="","",INDEX(명단표[구리 근무 종료일(기준월)],$P666)&amp;"")</f>
        <v/>
      </c>
      <c r="L666">
        <f>IF($P666="","",INDEX(명단표[서울 근무일(기준월)],$P666))</f>
        <v/>
      </c>
      <c r="M666">
        <f>IF($P666="","",INDEX(명단표[구리 근무일(기준월)],$P666))</f>
        <v/>
      </c>
      <c r="N666">
        <f>IF($P666="","",INDEX(명단표[급여 판정 근거],$P666))</f>
        <v/>
      </c>
      <c r="O666">
        <f>IF($P666="","",INDEX(명단표[점검],$P666))</f>
        <v/>
      </c>
      <c r="P666" s="17">
        <f>IFERROR(MATCH(661,명단표[서울순번],0),"")</f>
        <v/>
      </c>
      <c r="R666">
        <f>IF($W666="","",INDEX(명단표[이름],$W666))</f>
        <v/>
      </c>
      <c r="S666">
        <f>IF($W666="","",INDEX(명단표[사번],$W666)&amp;"")</f>
        <v/>
      </c>
      <c r="T666">
        <f>IF($W666="","",INDEX(명단표[소속병원],$W666))</f>
        <v/>
      </c>
      <c r="U666">
        <f>IF($W666="","",INDEX(명단표[서울 근무일(기준월)],$W666))</f>
        <v/>
      </c>
      <c r="V666">
        <f>IF($W666="","",INDEX(명단표[구리 근무일(기준월)],$W666))</f>
        <v/>
      </c>
      <c r="W666" s="17">
        <f>IFERROR(MATCH(661,명단표[판정불가순번],0),"")</f>
        <v/>
      </c>
    </row>
    <row r="667">
      <c r="A667">
        <f>IF($P667="","",662)</f>
        <v/>
      </c>
      <c r="B667">
        <f>IF($P667="","",INDEX(명단표[이름],$P667))</f>
        <v/>
      </c>
      <c r="C667">
        <f>IF($P667="","",INDEX(명단표[사번],$P667)&amp;"")</f>
        <v/>
      </c>
      <c r="D667">
        <f>IF($P667="","",INDEX(명단표[전공의등록번호],$P667)&amp;"")</f>
        <v/>
      </c>
      <c r="E667">
        <f>IF($P667="","",INDEX(명단표[수련과목],$P667)&amp;"")</f>
        <v/>
      </c>
      <c r="F667">
        <f>IF($P667="","",INDEX(명단표[연차],$P667)&amp;"")</f>
        <v/>
      </c>
      <c r="G667">
        <f>IF($P667="","",INDEX(명단표[소속병원],$P667))</f>
        <v/>
      </c>
      <c r="H667">
        <f>IF($P667="","",IF(INDEX(명단표[소속병원],$P667)="서울병원","서울 소속","타 병원 소속("&amp;INDEX(명단표[소속병원],$P667)&amp;") → 서울 지급"))</f>
        <v/>
      </c>
      <c r="I667">
        <f>IF($P667="","",INDEX(명단표[현재 근무병원],$P667))</f>
        <v/>
      </c>
      <c r="J667">
        <f>IF($P667="","",INDEX(명단표[구리 근무 시작일(기준월)],$P667)&amp;"")</f>
        <v/>
      </c>
      <c r="K667">
        <f>IF($P667="","",INDEX(명단표[구리 근무 종료일(기준월)],$P667)&amp;"")</f>
        <v/>
      </c>
      <c r="L667">
        <f>IF($P667="","",INDEX(명단표[서울 근무일(기준월)],$P667))</f>
        <v/>
      </c>
      <c r="M667">
        <f>IF($P667="","",INDEX(명단표[구리 근무일(기준월)],$P667))</f>
        <v/>
      </c>
      <c r="N667">
        <f>IF($P667="","",INDEX(명단표[급여 판정 근거],$P667))</f>
        <v/>
      </c>
      <c r="O667">
        <f>IF($P667="","",INDEX(명단표[점검],$P667))</f>
        <v/>
      </c>
      <c r="P667" s="17">
        <f>IFERROR(MATCH(662,명단표[서울순번],0),"")</f>
        <v/>
      </c>
      <c r="R667">
        <f>IF($W667="","",INDEX(명단표[이름],$W667))</f>
        <v/>
      </c>
      <c r="S667">
        <f>IF($W667="","",INDEX(명단표[사번],$W667)&amp;"")</f>
        <v/>
      </c>
      <c r="T667">
        <f>IF($W667="","",INDEX(명단표[소속병원],$W667))</f>
        <v/>
      </c>
      <c r="U667">
        <f>IF($W667="","",INDEX(명단표[서울 근무일(기준월)],$W667))</f>
        <v/>
      </c>
      <c r="V667">
        <f>IF($W667="","",INDEX(명단표[구리 근무일(기준월)],$W667))</f>
        <v/>
      </c>
      <c r="W667" s="17">
        <f>IFERROR(MATCH(662,명단표[판정불가순번],0),"")</f>
        <v/>
      </c>
    </row>
    <row r="668">
      <c r="A668">
        <f>IF($P668="","",663)</f>
        <v/>
      </c>
      <c r="B668">
        <f>IF($P668="","",INDEX(명단표[이름],$P668))</f>
        <v/>
      </c>
      <c r="C668">
        <f>IF($P668="","",INDEX(명단표[사번],$P668)&amp;"")</f>
        <v/>
      </c>
      <c r="D668">
        <f>IF($P668="","",INDEX(명단표[전공의등록번호],$P668)&amp;"")</f>
        <v/>
      </c>
      <c r="E668">
        <f>IF($P668="","",INDEX(명단표[수련과목],$P668)&amp;"")</f>
        <v/>
      </c>
      <c r="F668">
        <f>IF($P668="","",INDEX(명단표[연차],$P668)&amp;"")</f>
        <v/>
      </c>
      <c r="G668">
        <f>IF($P668="","",INDEX(명단표[소속병원],$P668))</f>
        <v/>
      </c>
      <c r="H668">
        <f>IF($P668="","",IF(INDEX(명단표[소속병원],$P668)="서울병원","서울 소속","타 병원 소속("&amp;INDEX(명단표[소속병원],$P668)&amp;") → 서울 지급"))</f>
        <v/>
      </c>
      <c r="I668">
        <f>IF($P668="","",INDEX(명단표[현재 근무병원],$P668))</f>
        <v/>
      </c>
      <c r="J668">
        <f>IF($P668="","",INDEX(명단표[구리 근무 시작일(기준월)],$P668)&amp;"")</f>
        <v/>
      </c>
      <c r="K668">
        <f>IF($P668="","",INDEX(명단표[구리 근무 종료일(기준월)],$P668)&amp;"")</f>
        <v/>
      </c>
      <c r="L668">
        <f>IF($P668="","",INDEX(명단표[서울 근무일(기준월)],$P668))</f>
        <v/>
      </c>
      <c r="M668">
        <f>IF($P668="","",INDEX(명단표[구리 근무일(기준월)],$P668))</f>
        <v/>
      </c>
      <c r="N668">
        <f>IF($P668="","",INDEX(명단표[급여 판정 근거],$P668))</f>
        <v/>
      </c>
      <c r="O668">
        <f>IF($P668="","",INDEX(명단표[점검],$P668))</f>
        <v/>
      </c>
      <c r="P668" s="17">
        <f>IFERROR(MATCH(663,명단표[서울순번],0),"")</f>
        <v/>
      </c>
      <c r="R668">
        <f>IF($W668="","",INDEX(명단표[이름],$W668))</f>
        <v/>
      </c>
      <c r="S668">
        <f>IF($W668="","",INDEX(명단표[사번],$W668)&amp;"")</f>
        <v/>
      </c>
      <c r="T668">
        <f>IF($W668="","",INDEX(명단표[소속병원],$W668))</f>
        <v/>
      </c>
      <c r="U668">
        <f>IF($W668="","",INDEX(명단표[서울 근무일(기준월)],$W668))</f>
        <v/>
      </c>
      <c r="V668">
        <f>IF($W668="","",INDEX(명단표[구리 근무일(기준월)],$W668))</f>
        <v/>
      </c>
      <c r="W668" s="17">
        <f>IFERROR(MATCH(663,명단표[판정불가순번],0),"")</f>
        <v/>
      </c>
    </row>
    <row r="669">
      <c r="A669">
        <f>IF($P669="","",664)</f>
        <v/>
      </c>
      <c r="B669">
        <f>IF($P669="","",INDEX(명단표[이름],$P669))</f>
        <v/>
      </c>
      <c r="C669">
        <f>IF($P669="","",INDEX(명단표[사번],$P669)&amp;"")</f>
        <v/>
      </c>
      <c r="D669">
        <f>IF($P669="","",INDEX(명단표[전공의등록번호],$P669)&amp;"")</f>
        <v/>
      </c>
      <c r="E669">
        <f>IF($P669="","",INDEX(명단표[수련과목],$P669)&amp;"")</f>
        <v/>
      </c>
      <c r="F669">
        <f>IF($P669="","",INDEX(명단표[연차],$P669)&amp;"")</f>
        <v/>
      </c>
      <c r="G669">
        <f>IF($P669="","",INDEX(명단표[소속병원],$P669))</f>
        <v/>
      </c>
      <c r="H669">
        <f>IF($P669="","",IF(INDEX(명단표[소속병원],$P669)="서울병원","서울 소속","타 병원 소속("&amp;INDEX(명단표[소속병원],$P669)&amp;") → 서울 지급"))</f>
        <v/>
      </c>
      <c r="I669">
        <f>IF($P669="","",INDEX(명단표[현재 근무병원],$P669))</f>
        <v/>
      </c>
      <c r="J669">
        <f>IF($P669="","",INDEX(명단표[구리 근무 시작일(기준월)],$P669)&amp;"")</f>
        <v/>
      </c>
      <c r="K669">
        <f>IF($P669="","",INDEX(명단표[구리 근무 종료일(기준월)],$P669)&amp;"")</f>
        <v/>
      </c>
      <c r="L669">
        <f>IF($P669="","",INDEX(명단표[서울 근무일(기준월)],$P669))</f>
        <v/>
      </c>
      <c r="M669">
        <f>IF($P669="","",INDEX(명단표[구리 근무일(기준월)],$P669))</f>
        <v/>
      </c>
      <c r="N669">
        <f>IF($P669="","",INDEX(명단표[급여 판정 근거],$P669))</f>
        <v/>
      </c>
      <c r="O669">
        <f>IF($P669="","",INDEX(명단표[점검],$P669))</f>
        <v/>
      </c>
      <c r="P669" s="17">
        <f>IFERROR(MATCH(664,명단표[서울순번],0),"")</f>
        <v/>
      </c>
      <c r="R669">
        <f>IF($W669="","",INDEX(명단표[이름],$W669))</f>
        <v/>
      </c>
      <c r="S669">
        <f>IF($W669="","",INDEX(명단표[사번],$W669)&amp;"")</f>
        <v/>
      </c>
      <c r="T669">
        <f>IF($W669="","",INDEX(명단표[소속병원],$W669))</f>
        <v/>
      </c>
      <c r="U669">
        <f>IF($W669="","",INDEX(명단표[서울 근무일(기준월)],$W669))</f>
        <v/>
      </c>
      <c r="V669">
        <f>IF($W669="","",INDEX(명단표[구리 근무일(기준월)],$W669))</f>
        <v/>
      </c>
      <c r="W669" s="17">
        <f>IFERROR(MATCH(664,명단표[판정불가순번],0),"")</f>
        <v/>
      </c>
    </row>
    <row r="670">
      <c r="A670">
        <f>IF($P670="","",665)</f>
        <v/>
      </c>
      <c r="B670">
        <f>IF($P670="","",INDEX(명단표[이름],$P670))</f>
        <v/>
      </c>
      <c r="C670">
        <f>IF($P670="","",INDEX(명단표[사번],$P670)&amp;"")</f>
        <v/>
      </c>
      <c r="D670">
        <f>IF($P670="","",INDEX(명단표[전공의등록번호],$P670)&amp;"")</f>
        <v/>
      </c>
      <c r="E670">
        <f>IF($P670="","",INDEX(명단표[수련과목],$P670)&amp;"")</f>
        <v/>
      </c>
      <c r="F670">
        <f>IF($P670="","",INDEX(명단표[연차],$P670)&amp;"")</f>
        <v/>
      </c>
      <c r="G670">
        <f>IF($P670="","",INDEX(명단표[소속병원],$P670))</f>
        <v/>
      </c>
      <c r="H670">
        <f>IF($P670="","",IF(INDEX(명단표[소속병원],$P670)="서울병원","서울 소속","타 병원 소속("&amp;INDEX(명단표[소속병원],$P670)&amp;") → 서울 지급"))</f>
        <v/>
      </c>
      <c r="I670">
        <f>IF($P670="","",INDEX(명단표[현재 근무병원],$P670))</f>
        <v/>
      </c>
      <c r="J670">
        <f>IF($P670="","",INDEX(명단표[구리 근무 시작일(기준월)],$P670)&amp;"")</f>
        <v/>
      </c>
      <c r="K670">
        <f>IF($P670="","",INDEX(명단표[구리 근무 종료일(기준월)],$P670)&amp;"")</f>
        <v/>
      </c>
      <c r="L670">
        <f>IF($P670="","",INDEX(명단표[서울 근무일(기준월)],$P670))</f>
        <v/>
      </c>
      <c r="M670">
        <f>IF($P670="","",INDEX(명단표[구리 근무일(기준월)],$P670))</f>
        <v/>
      </c>
      <c r="N670">
        <f>IF($P670="","",INDEX(명단표[급여 판정 근거],$P670))</f>
        <v/>
      </c>
      <c r="O670">
        <f>IF($P670="","",INDEX(명단표[점검],$P670))</f>
        <v/>
      </c>
      <c r="P670" s="17">
        <f>IFERROR(MATCH(665,명단표[서울순번],0),"")</f>
        <v/>
      </c>
      <c r="R670">
        <f>IF($W670="","",INDEX(명단표[이름],$W670))</f>
        <v/>
      </c>
      <c r="S670">
        <f>IF($W670="","",INDEX(명단표[사번],$W670)&amp;"")</f>
        <v/>
      </c>
      <c r="T670">
        <f>IF($W670="","",INDEX(명단표[소속병원],$W670))</f>
        <v/>
      </c>
      <c r="U670">
        <f>IF($W670="","",INDEX(명단표[서울 근무일(기준월)],$W670))</f>
        <v/>
      </c>
      <c r="V670">
        <f>IF($W670="","",INDEX(명단표[구리 근무일(기준월)],$W670))</f>
        <v/>
      </c>
      <c r="W670" s="17">
        <f>IFERROR(MATCH(665,명단표[판정불가순번],0),"")</f>
        <v/>
      </c>
    </row>
    <row r="671">
      <c r="A671">
        <f>IF($P671="","",666)</f>
        <v/>
      </c>
      <c r="B671">
        <f>IF($P671="","",INDEX(명단표[이름],$P671))</f>
        <v/>
      </c>
      <c r="C671">
        <f>IF($P671="","",INDEX(명단표[사번],$P671)&amp;"")</f>
        <v/>
      </c>
      <c r="D671">
        <f>IF($P671="","",INDEX(명단표[전공의등록번호],$P671)&amp;"")</f>
        <v/>
      </c>
      <c r="E671">
        <f>IF($P671="","",INDEX(명단표[수련과목],$P671)&amp;"")</f>
        <v/>
      </c>
      <c r="F671">
        <f>IF($P671="","",INDEX(명단표[연차],$P671)&amp;"")</f>
        <v/>
      </c>
      <c r="G671">
        <f>IF($P671="","",INDEX(명단표[소속병원],$P671))</f>
        <v/>
      </c>
      <c r="H671">
        <f>IF($P671="","",IF(INDEX(명단표[소속병원],$P671)="서울병원","서울 소속","타 병원 소속("&amp;INDEX(명단표[소속병원],$P671)&amp;") → 서울 지급"))</f>
        <v/>
      </c>
      <c r="I671">
        <f>IF($P671="","",INDEX(명단표[현재 근무병원],$P671))</f>
        <v/>
      </c>
      <c r="J671">
        <f>IF($P671="","",INDEX(명단표[구리 근무 시작일(기준월)],$P671)&amp;"")</f>
        <v/>
      </c>
      <c r="K671">
        <f>IF($P671="","",INDEX(명단표[구리 근무 종료일(기준월)],$P671)&amp;"")</f>
        <v/>
      </c>
      <c r="L671">
        <f>IF($P671="","",INDEX(명단표[서울 근무일(기준월)],$P671))</f>
        <v/>
      </c>
      <c r="M671">
        <f>IF($P671="","",INDEX(명단표[구리 근무일(기준월)],$P671))</f>
        <v/>
      </c>
      <c r="N671">
        <f>IF($P671="","",INDEX(명단표[급여 판정 근거],$P671))</f>
        <v/>
      </c>
      <c r="O671">
        <f>IF($P671="","",INDEX(명단표[점검],$P671))</f>
        <v/>
      </c>
      <c r="P671" s="17">
        <f>IFERROR(MATCH(666,명단표[서울순번],0),"")</f>
        <v/>
      </c>
      <c r="R671">
        <f>IF($W671="","",INDEX(명단표[이름],$W671))</f>
        <v/>
      </c>
      <c r="S671">
        <f>IF($W671="","",INDEX(명단표[사번],$W671)&amp;"")</f>
        <v/>
      </c>
      <c r="T671">
        <f>IF($W671="","",INDEX(명단표[소속병원],$W671))</f>
        <v/>
      </c>
      <c r="U671">
        <f>IF($W671="","",INDEX(명단표[서울 근무일(기준월)],$W671))</f>
        <v/>
      </c>
      <c r="V671">
        <f>IF($W671="","",INDEX(명단표[구리 근무일(기준월)],$W671))</f>
        <v/>
      </c>
      <c r="W671" s="17">
        <f>IFERROR(MATCH(666,명단표[판정불가순번],0),"")</f>
        <v/>
      </c>
    </row>
    <row r="672">
      <c r="A672">
        <f>IF($P672="","",667)</f>
        <v/>
      </c>
      <c r="B672">
        <f>IF($P672="","",INDEX(명단표[이름],$P672))</f>
        <v/>
      </c>
      <c r="C672">
        <f>IF($P672="","",INDEX(명단표[사번],$P672)&amp;"")</f>
        <v/>
      </c>
      <c r="D672">
        <f>IF($P672="","",INDEX(명단표[전공의등록번호],$P672)&amp;"")</f>
        <v/>
      </c>
      <c r="E672">
        <f>IF($P672="","",INDEX(명단표[수련과목],$P672)&amp;"")</f>
        <v/>
      </c>
      <c r="F672">
        <f>IF($P672="","",INDEX(명단표[연차],$P672)&amp;"")</f>
        <v/>
      </c>
      <c r="G672">
        <f>IF($P672="","",INDEX(명단표[소속병원],$P672))</f>
        <v/>
      </c>
      <c r="H672">
        <f>IF($P672="","",IF(INDEX(명단표[소속병원],$P672)="서울병원","서울 소속","타 병원 소속("&amp;INDEX(명단표[소속병원],$P672)&amp;") → 서울 지급"))</f>
        <v/>
      </c>
      <c r="I672">
        <f>IF($P672="","",INDEX(명단표[현재 근무병원],$P672))</f>
        <v/>
      </c>
      <c r="J672">
        <f>IF($P672="","",INDEX(명단표[구리 근무 시작일(기준월)],$P672)&amp;"")</f>
        <v/>
      </c>
      <c r="K672">
        <f>IF($P672="","",INDEX(명단표[구리 근무 종료일(기준월)],$P672)&amp;"")</f>
        <v/>
      </c>
      <c r="L672">
        <f>IF($P672="","",INDEX(명단표[서울 근무일(기준월)],$P672))</f>
        <v/>
      </c>
      <c r="M672">
        <f>IF($P672="","",INDEX(명단표[구리 근무일(기준월)],$P672))</f>
        <v/>
      </c>
      <c r="N672">
        <f>IF($P672="","",INDEX(명단표[급여 판정 근거],$P672))</f>
        <v/>
      </c>
      <c r="O672">
        <f>IF($P672="","",INDEX(명단표[점검],$P672))</f>
        <v/>
      </c>
      <c r="P672" s="17">
        <f>IFERROR(MATCH(667,명단표[서울순번],0),"")</f>
        <v/>
      </c>
      <c r="R672">
        <f>IF($W672="","",INDEX(명단표[이름],$W672))</f>
        <v/>
      </c>
      <c r="S672">
        <f>IF($W672="","",INDEX(명단표[사번],$W672)&amp;"")</f>
        <v/>
      </c>
      <c r="T672">
        <f>IF($W672="","",INDEX(명단표[소속병원],$W672))</f>
        <v/>
      </c>
      <c r="U672">
        <f>IF($W672="","",INDEX(명단표[서울 근무일(기준월)],$W672))</f>
        <v/>
      </c>
      <c r="V672">
        <f>IF($W672="","",INDEX(명단표[구리 근무일(기준월)],$W672))</f>
        <v/>
      </c>
      <c r="W672" s="17">
        <f>IFERROR(MATCH(667,명단표[판정불가순번],0),"")</f>
        <v/>
      </c>
    </row>
    <row r="673">
      <c r="A673">
        <f>IF($P673="","",668)</f>
        <v/>
      </c>
      <c r="B673">
        <f>IF($P673="","",INDEX(명단표[이름],$P673))</f>
        <v/>
      </c>
      <c r="C673">
        <f>IF($P673="","",INDEX(명단표[사번],$P673)&amp;"")</f>
        <v/>
      </c>
      <c r="D673">
        <f>IF($P673="","",INDEX(명단표[전공의등록번호],$P673)&amp;"")</f>
        <v/>
      </c>
      <c r="E673">
        <f>IF($P673="","",INDEX(명단표[수련과목],$P673)&amp;"")</f>
        <v/>
      </c>
      <c r="F673">
        <f>IF($P673="","",INDEX(명단표[연차],$P673)&amp;"")</f>
        <v/>
      </c>
      <c r="G673">
        <f>IF($P673="","",INDEX(명단표[소속병원],$P673))</f>
        <v/>
      </c>
      <c r="H673">
        <f>IF($P673="","",IF(INDEX(명단표[소속병원],$P673)="서울병원","서울 소속","타 병원 소속("&amp;INDEX(명단표[소속병원],$P673)&amp;") → 서울 지급"))</f>
        <v/>
      </c>
      <c r="I673">
        <f>IF($P673="","",INDEX(명단표[현재 근무병원],$P673))</f>
        <v/>
      </c>
      <c r="J673">
        <f>IF($P673="","",INDEX(명단표[구리 근무 시작일(기준월)],$P673)&amp;"")</f>
        <v/>
      </c>
      <c r="K673">
        <f>IF($P673="","",INDEX(명단표[구리 근무 종료일(기준월)],$P673)&amp;"")</f>
        <v/>
      </c>
      <c r="L673">
        <f>IF($P673="","",INDEX(명단표[서울 근무일(기준월)],$P673))</f>
        <v/>
      </c>
      <c r="M673">
        <f>IF($P673="","",INDEX(명단표[구리 근무일(기준월)],$P673))</f>
        <v/>
      </c>
      <c r="N673">
        <f>IF($P673="","",INDEX(명단표[급여 판정 근거],$P673))</f>
        <v/>
      </c>
      <c r="O673">
        <f>IF($P673="","",INDEX(명단표[점검],$P673))</f>
        <v/>
      </c>
      <c r="P673" s="17">
        <f>IFERROR(MATCH(668,명단표[서울순번],0),"")</f>
        <v/>
      </c>
      <c r="R673">
        <f>IF($W673="","",INDEX(명단표[이름],$W673))</f>
        <v/>
      </c>
      <c r="S673">
        <f>IF($W673="","",INDEX(명단표[사번],$W673)&amp;"")</f>
        <v/>
      </c>
      <c r="T673">
        <f>IF($W673="","",INDEX(명단표[소속병원],$W673))</f>
        <v/>
      </c>
      <c r="U673">
        <f>IF($W673="","",INDEX(명단표[서울 근무일(기준월)],$W673))</f>
        <v/>
      </c>
      <c r="V673">
        <f>IF($W673="","",INDEX(명단표[구리 근무일(기준월)],$W673))</f>
        <v/>
      </c>
      <c r="W673" s="17">
        <f>IFERROR(MATCH(668,명단표[판정불가순번],0),"")</f>
        <v/>
      </c>
    </row>
    <row r="674">
      <c r="A674">
        <f>IF($P674="","",669)</f>
        <v/>
      </c>
      <c r="B674">
        <f>IF($P674="","",INDEX(명단표[이름],$P674))</f>
        <v/>
      </c>
      <c r="C674">
        <f>IF($P674="","",INDEX(명단표[사번],$P674)&amp;"")</f>
        <v/>
      </c>
      <c r="D674">
        <f>IF($P674="","",INDEX(명단표[전공의등록번호],$P674)&amp;"")</f>
        <v/>
      </c>
      <c r="E674">
        <f>IF($P674="","",INDEX(명단표[수련과목],$P674)&amp;"")</f>
        <v/>
      </c>
      <c r="F674">
        <f>IF($P674="","",INDEX(명단표[연차],$P674)&amp;"")</f>
        <v/>
      </c>
      <c r="G674">
        <f>IF($P674="","",INDEX(명단표[소속병원],$P674))</f>
        <v/>
      </c>
      <c r="H674">
        <f>IF($P674="","",IF(INDEX(명단표[소속병원],$P674)="서울병원","서울 소속","타 병원 소속("&amp;INDEX(명단표[소속병원],$P674)&amp;") → 서울 지급"))</f>
        <v/>
      </c>
      <c r="I674">
        <f>IF($P674="","",INDEX(명단표[현재 근무병원],$P674))</f>
        <v/>
      </c>
      <c r="J674">
        <f>IF($P674="","",INDEX(명단표[구리 근무 시작일(기준월)],$P674)&amp;"")</f>
        <v/>
      </c>
      <c r="K674">
        <f>IF($P674="","",INDEX(명단표[구리 근무 종료일(기준월)],$P674)&amp;"")</f>
        <v/>
      </c>
      <c r="L674">
        <f>IF($P674="","",INDEX(명단표[서울 근무일(기준월)],$P674))</f>
        <v/>
      </c>
      <c r="M674">
        <f>IF($P674="","",INDEX(명단표[구리 근무일(기준월)],$P674))</f>
        <v/>
      </c>
      <c r="N674">
        <f>IF($P674="","",INDEX(명단표[급여 판정 근거],$P674))</f>
        <v/>
      </c>
      <c r="O674">
        <f>IF($P674="","",INDEX(명단표[점검],$P674))</f>
        <v/>
      </c>
      <c r="P674" s="17">
        <f>IFERROR(MATCH(669,명단표[서울순번],0),"")</f>
        <v/>
      </c>
      <c r="R674">
        <f>IF($W674="","",INDEX(명단표[이름],$W674))</f>
        <v/>
      </c>
      <c r="S674">
        <f>IF($W674="","",INDEX(명단표[사번],$W674)&amp;"")</f>
        <v/>
      </c>
      <c r="T674">
        <f>IF($W674="","",INDEX(명단표[소속병원],$W674))</f>
        <v/>
      </c>
      <c r="U674">
        <f>IF($W674="","",INDEX(명단표[서울 근무일(기준월)],$W674))</f>
        <v/>
      </c>
      <c r="V674">
        <f>IF($W674="","",INDEX(명단표[구리 근무일(기준월)],$W674))</f>
        <v/>
      </c>
      <c r="W674" s="17">
        <f>IFERROR(MATCH(669,명단표[판정불가순번],0),"")</f>
        <v/>
      </c>
    </row>
    <row r="675">
      <c r="A675">
        <f>IF($P675="","",670)</f>
        <v/>
      </c>
      <c r="B675">
        <f>IF($P675="","",INDEX(명단표[이름],$P675))</f>
        <v/>
      </c>
      <c r="C675">
        <f>IF($P675="","",INDEX(명단표[사번],$P675)&amp;"")</f>
        <v/>
      </c>
      <c r="D675">
        <f>IF($P675="","",INDEX(명단표[전공의등록번호],$P675)&amp;"")</f>
        <v/>
      </c>
      <c r="E675">
        <f>IF($P675="","",INDEX(명단표[수련과목],$P675)&amp;"")</f>
        <v/>
      </c>
      <c r="F675">
        <f>IF($P675="","",INDEX(명단표[연차],$P675)&amp;"")</f>
        <v/>
      </c>
      <c r="G675">
        <f>IF($P675="","",INDEX(명단표[소속병원],$P675))</f>
        <v/>
      </c>
      <c r="H675">
        <f>IF($P675="","",IF(INDEX(명단표[소속병원],$P675)="서울병원","서울 소속","타 병원 소속("&amp;INDEX(명단표[소속병원],$P675)&amp;") → 서울 지급"))</f>
        <v/>
      </c>
      <c r="I675">
        <f>IF($P675="","",INDEX(명단표[현재 근무병원],$P675))</f>
        <v/>
      </c>
      <c r="J675">
        <f>IF($P675="","",INDEX(명단표[구리 근무 시작일(기준월)],$P675)&amp;"")</f>
        <v/>
      </c>
      <c r="K675">
        <f>IF($P675="","",INDEX(명단표[구리 근무 종료일(기준월)],$P675)&amp;"")</f>
        <v/>
      </c>
      <c r="L675">
        <f>IF($P675="","",INDEX(명단표[서울 근무일(기준월)],$P675))</f>
        <v/>
      </c>
      <c r="M675">
        <f>IF($P675="","",INDEX(명단표[구리 근무일(기준월)],$P675))</f>
        <v/>
      </c>
      <c r="N675">
        <f>IF($P675="","",INDEX(명단표[급여 판정 근거],$P675))</f>
        <v/>
      </c>
      <c r="O675">
        <f>IF($P675="","",INDEX(명단표[점검],$P675))</f>
        <v/>
      </c>
      <c r="P675" s="17">
        <f>IFERROR(MATCH(670,명단표[서울순번],0),"")</f>
        <v/>
      </c>
      <c r="R675">
        <f>IF($W675="","",INDEX(명단표[이름],$W675))</f>
        <v/>
      </c>
      <c r="S675">
        <f>IF($W675="","",INDEX(명단표[사번],$W675)&amp;"")</f>
        <v/>
      </c>
      <c r="T675">
        <f>IF($W675="","",INDEX(명단표[소속병원],$W675))</f>
        <v/>
      </c>
      <c r="U675">
        <f>IF($W675="","",INDEX(명단표[서울 근무일(기준월)],$W675))</f>
        <v/>
      </c>
      <c r="V675">
        <f>IF($W675="","",INDEX(명단표[구리 근무일(기준월)],$W675))</f>
        <v/>
      </c>
      <c r="W675" s="17">
        <f>IFERROR(MATCH(670,명단표[판정불가순번],0),"")</f>
        <v/>
      </c>
    </row>
    <row r="676">
      <c r="A676">
        <f>IF($P676="","",671)</f>
        <v/>
      </c>
      <c r="B676">
        <f>IF($P676="","",INDEX(명단표[이름],$P676))</f>
        <v/>
      </c>
      <c r="C676">
        <f>IF($P676="","",INDEX(명단표[사번],$P676)&amp;"")</f>
        <v/>
      </c>
      <c r="D676">
        <f>IF($P676="","",INDEX(명단표[전공의등록번호],$P676)&amp;"")</f>
        <v/>
      </c>
      <c r="E676">
        <f>IF($P676="","",INDEX(명단표[수련과목],$P676)&amp;"")</f>
        <v/>
      </c>
      <c r="F676">
        <f>IF($P676="","",INDEX(명단표[연차],$P676)&amp;"")</f>
        <v/>
      </c>
      <c r="G676">
        <f>IF($P676="","",INDEX(명단표[소속병원],$P676))</f>
        <v/>
      </c>
      <c r="H676">
        <f>IF($P676="","",IF(INDEX(명단표[소속병원],$P676)="서울병원","서울 소속","타 병원 소속("&amp;INDEX(명단표[소속병원],$P676)&amp;") → 서울 지급"))</f>
        <v/>
      </c>
      <c r="I676">
        <f>IF($P676="","",INDEX(명단표[현재 근무병원],$P676))</f>
        <v/>
      </c>
      <c r="J676">
        <f>IF($P676="","",INDEX(명단표[구리 근무 시작일(기준월)],$P676)&amp;"")</f>
        <v/>
      </c>
      <c r="K676">
        <f>IF($P676="","",INDEX(명단표[구리 근무 종료일(기준월)],$P676)&amp;"")</f>
        <v/>
      </c>
      <c r="L676">
        <f>IF($P676="","",INDEX(명단표[서울 근무일(기준월)],$P676))</f>
        <v/>
      </c>
      <c r="M676">
        <f>IF($P676="","",INDEX(명단표[구리 근무일(기준월)],$P676))</f>
        <v/>
      </c>
      <c r="N676">
        <f>IF($P676="","",INDEX(명단표[급여 판정 근거],$P676))</f>
        <v/>
      </c>
      <c r="O676">
        <f>IF($P676="","",INDEX(명단표[점검],$P676))</f>
        <v/>
      </c>
      <c r="P676" s="17">
        <f>IFERROR(MATCH(671,명단표[서울순번],0),"")</f>
        <v/>
      </c>
      <c r="R676">
        <f>IF($W676="","",INDEX(명단표[이름],$W676))</f>
        <v/>
      </c>
      <c r="S676">
        <f>IF($W676="","",INDEX(명단표[사번],$W676)&amp;"")</f>
        <v/>
      </c>
      <c r="T676">
        <f>IF($W676="","",INDEX(명단표[소속병원],$W676))</f>
        <v/>
      </c>
      <c r="U676">
        <f>IF($W676="","",INDEX(명단표[서울 근무일(기준월)],$W676))</f>
        <v/>
      </c>
      <c r="V676">
        <f>IF($W676="","",INDEX(명단표[구리 근무일(기준월)],$W676))</f>
        <v/>
      </c>
      <c r="W676" s="17">
        <f>IFERROR(MATCH(671,명단표[판정불가순번],0),"")</f>
        <v/>
      </c>
    </row>
    <row r="677">
      <c r="A677">
        <f>IF($P677="","",672)</f>
        <v/>
      </c>
      <c r="B677">
        <f>IF($P677="","",INDEX(명단표[이름],$P677))</f>
        <v/>
      </c>
      <c r="C677">
        <f>IF($P677="","",INDEX(명단표[사번],$P677)&amp;"")</f>
        <v/>
      </c>
      <c r="D677">
        <f>IF($P677="","",INDEX(명단표[전공의등록번호],$P677)&amp;"")</f>
        <v/>
      </c>
      <c r="E677">
        <f>IF($P677="","",INDEX(명단표[수련과목],$P677)&amp;"")</f>
        <v/>
      </c>
      <c r="F677">
        <f>IF($P677="","",INDEX(명단표[연차],$P677)&amp;"")</f>
        <v/>
      </c>
      <c r="G677">
        <f>IF($P677="","",INDEX(명단표[소속병원],$P677))</f>
        <v/>
      </c>
      <c r="H677">
        <f>IF($P677="","",IF(INDEX(명단표[소속병원],$P677)="서울병원","서울 소속","타 병원 소속("&amp;INDEX(명단표[소속병원],$P677)&amp;") → 서울 지급"))</f>
        <v/>
      </c>
      <c r="I677">
        <f>IF($P677="","",INDEX(명단표[현재 근무병원],$P677))</f>
        <v/>
      </c>
      <c r="J677">
        <f>IF($P677="","",INDEX(명단표[구리 근무 시작일(기준월)],$P677)&amp;"")</f>
        <v/>
      </c>
      <c r="K677">
        <f>IF($P677="","",INDEX(명단표[구리 근무 종료일(기준월)],$P677)&amp;"")</f>
        <v/>
      </c>
      <c r="L677">
        <f>IF($P677="","",INDEX(명단표[서울 근무일(기준월)],$P677))</f>
        <v/>
      </c>
      <c r="M677">
        <f>IF($P677="","",INDEX(명단표[구리 근무일(기준월)],$P677))</f>
        <v/>
      </c>
      <c r="N677">
        <f>IF($P677="","",INDEX(명단표[급여 판정 근거],$P677))</f>
        <v/>
      </c>
      <c r="O677">
        <f>IF($P677="","",INDEX(명단표[점검],$P677))</f>
        <v/>
      </c>
      <c r="P677" s="17">
        <f>IFERROR(MATCH(672,명단표[서울순번],0),"")</f>
        <v/>
      </c>
      <c r="R677">
        <f>IF($W677="","",INDEX(명단표[이름],$W677))</f>
        <v/>
      </c>
      <c r="S677">
        <f>IF($W677="","",INDEX(명단표[사번],$W677)&amp;"")</f>
        <v/>
      </c>
      <c r="T677">
        <f>IF($W677="","",INDEX(명단표[소속병원],$W677))</f>
        <v/>
      </c>
      <c r="U677">
        <f>IF($W677="","",INDEX(명단표[서울 근무일(기준월)],$W677))</f>
        <v/>
      </c>
      <c r="V677">
        <f>IF($W677="","",INDEX(명단표[구리 근무일(기준월)],$W677))</f>
        <v/>
      </c>
      <c r="W677" s="17">
        <f>IFERROR(MATCH(672,명단표[판정불가순번],0),"")</f>
        <v/>
      </c>
    </row>
    <row r="678">
      <c r="A678">
        <f>IF($P678="","",673)</f>
        <v/>
      </c>
      <c r="B678">
        <f>IF($P678="","",INDEX(명단표[이름],$P678))</f>
        <v/>
      </c>
      <c r="C678">
        <f>IF($P678="","",INDEX(명단표[사번],$P678)&amp;"")</f>
        <v/>
      </c>
      <c r="D678">
        <f>IF($P678="","",INDEX(명단표[전공의등록번호],$P678)&amp;"")</f>
        <v/>
      </c>
      <c r="E678">
        <f>IF($P678="","",INDEX(명단표[수련과목],$P678)&amp;"")</f>
        <v/>
      </c>
      <c r="F678">
        <f>IF($P678="","",INDEX(명단표[연차],$P678)&amp;"")</f>
        <v/>
      </c>
      <c r="G678">
        <f>IF($P678="","",INDEX(명단표[소속병원],$P678))</f>
        <v/>
      </c>
      <c r="H678">
        <f>IF($P678="","",IF(INDEX(명단표[소속병원],$P678)="서울병원","서울 소속","타 병원 소속("&amp;INDEX(명단표[소속병원],$P678)&amp;") → 서울 지급"))</f>
        <v/>
      </c>
      <c r="I678">
        <f>IF($P678="","",INDEX(명단표[현재 근무병원],$P678))</f>
        <v/>
      </c>
      <c r="J678">
        <f>IF($P678="","",INDEX(명단표[구리 근무 시작일(기준월)],$P678)&amp;"")</f>
        <v/>
      </c>
      <c r="K678">
        <f>IF($P678="","",INDEX(명단표[구리 근무 종료일(기준월)],$P678)&amp;"")</f>
        <v/>
      </c>
      <c r="L678">
        <f>IF($P678="","",INDEX(명단표[서울 근무일(기준월)],$P678))</f>
        <v/>
      </c>
      <c r="M678">
        <f>IF($P678="","",INDEX(명단표[구리 근무일(기준월)],$P678))</f>
        <v/>
      </c>
      <c r="N678">
        <f>IF($P678="","",INDEX(명단표[급여 판정 근거],$P678))</f>
        <v/>
      </c>
      <c r="O678">
        <f>IF($P678="","",INDEX(명단표[점검],$P678))</f>
        <v/>
      </c>
      <c r="P678" s="17">
        <f>IFERROR(MATCH(673,명단표[서울순번],0),"")</f>
        <v/>
      </c>
      <c r="R678">
        <f>IF($W678="","",INDEX(명단표[이름],$W678))</f>
        <v/>
      </c>
      <c r="S678">
        <f>IF($W678="","",INDEX(명단표[사번],$W678)&amp;"")</f>
        <v/>
      </c>
      <c r="T678">
        <f>IF($W678="","",INDEX(명단표[소속병원],$W678))</f>
        <v/>
      </c>
      <c r="U678">
        <f>IF($W678="","",INDEX(명단표[서울 근무일(기준월)],$W678))</f>
        <v/>
      </c>
      <c r="V678">
        <f>IF($W678="","",INDEX(명단표[구리 근무일(기준월)],$W678))</f>
        <v/>
      </c>
      <c r="W678" s="17">
        <f>IFERROR(MATCH(673,명단표[판정불가순번],0),"")</f>
        <v/>
      </c>
    </row>
    <row r="679">
      <c r="A679">
        <f>IF($P679="","",674)</f>
        <v/>
      </c>
      <c r="B679">
        <f>IF($P679="","",INDEX(명단표[이름],$P679))</f>
        <v/>
      </c>
      <c r="C679">
        <f>IF($P679="","",INDEX(명단표[사번],$P679)&amp;"")</f>
        <v/>
      </c>
      <c r="D679">
        <f>IF($P679="","",INDEX(명단표[전공의등록번호],$P679)&amp;"")</f>
        <v/>
      </c>
      <c r="E679">
        <f>IF($P679="","",INDEX(명단표[수련과목],$P679)&amp;"")</f>
        <v/>
      </c>
      <c r="F679">
        <f>IF($P679="","",INDEX(명단표[연차],$P679)&amp;"")</f>
        <v/>
      </c>
      <c r="G679">
        <f>IF($P679="","",INDEX(명단표[소속병원],$P679))</f>
        <v/>
      </c>
      <c r="H679">
        <f>IF($P679="","",IF(INDEX(명단표[소속병원],$P679)="서울병원","서울 소속","타 병원 소속("&amp;INDEX(명단표[소속병원],$P679)&amp;") → 서울 지급"))</f>
        <v/>
      </c>
      <c r="I679">
        <f>IF($P679="","",INDEX(명단표[현재 근무병원],$P679))</f>
        <v/>
      </c>
      <c r="J679">
        <f>IF($P679="","",INDEX(명단표[구리 근무 시작일(기준월)],$P679)&amp;"")</f>
        <v/>
      </c>
      <c r="K679">
        <f>IF($P679="","",INDEX(명단표[구리 근무 종료일(기준월)],$P679)&amp;"")</f>
        <v/>
      </c>
      <c r="L679">
        <f>IF($P679="","",INDEX(명단표[서울 근무일(기준월)],$P679))</f>
        <v/>
      </c>
      <c r="M679">
        <f>IF($P679="","",INDEX(명단표[구리 근무일(기준월)],$P679))</f>
        <v/>
      </c>
      <c r="N679">
        <f>IF($P679="","",INDEX(명단표[급여 판정 근거],$P679))</f>
        <v/>
      </c>
      <c r="O679">
        <f>IF($P679="","",INDEX(명단표[점검],$P679))</f>
        <v/>
      </c>
      <c r="P679" s="17">
        <f>IFERROR(MATCH(674,명단표[서울순번],0),"")</f>
        <v/>
      </c>
      <c r="R679">
        <f>IF($W679="","",INDEX(명단표[이름],$W679))</f>
        <v/>
      </c>
      <c r="S679">
        <f>IF($W679="","",INDEX(명단표[사번],$W679)&amp;"")</f>
        <v/>
      </c>
      <c r="T679">
        <f>IF($W679="","",INDEX(명단표[소속병원],$W679))</f>
        <v/>
      </c>
      <c r="U679">
        <f>IF($W679="","",INDEX(명단표[서울 근무일(기준월)],$W679))</f>
        <v/>
      </c>
      <c r="V679">
        <f>IF($W679="","",INDEX(명단표[구리 근무일(기준월)],$W679))</f>
        <v/>
      </c>
      <c r="W679" s="17">
        <f>IFERROR(MATCH(674,명단표[판정불가순번],0),"")</f>
        <v/>
      </c>
    </row>
    <row r="680">
      <c r="A680">
        <f>IF($P680="","",675)</f>
        <v/>
      </c>
      <c r="B680">
        <f>IF($P680="","",INDEX(명단표[이름],$P680))</f>
        <v/>
      </c>
      <c r="C680">
        <f>IF($P680="","",INDEX(명단표[사번],$P680)&amp;"")</f>
        <v/>
      </c>
      <c r="D680">
        <f>IF($P680="","",INDEX(명단표[전공의등록번호],$P680)&amp;"")</f>
        <v/>
      </c>
      <c r="E680">
        <f>IF($P680="","",INDEX(명단표[수련과목],$P680)&amp;"")</f>
        <v/>
      </c>
      <c r="F680">
        <f>IF($P680="","",INDEX(명단표[연차],$P680)&amp;"")</f>
        <v/>
      </c>
      <c r="G680">
        <f>IF($P680="","",INDEX(명단표[소속병원],$P680))</f>
        <v/>
      </c>
      <c r="H680">
        <f>IF($P680="","",IF(INDEX(명단표[소속병원],$P680)="서울병원","서울 소속","타 병원 소속("&amp;INDEX(명단표[소속병원],$P680)&amp;") → 서울 지급"))</f>
        <v/>
      </c>
      <c r="I680">
        <f>IF($P680="","",INDEX(명단표[현재 근무병원],$P680))</f>
        <v/>
      </c>
      <c r="J680">
        <f>IF($P680="","",INDEX(명단표[구리 근무 시작일(기준월)],$P680)&amp;"")</f>
        <v/>
      </c>
      <c r="K680">
        <f>IF($P680="","",INDEX(명단표[구리 근무 종료일(기준월)],$P680)&amp;"")</f>
        <v/>
      </c>
      <c r="L680">
        <f>IF($P680="","",INDEX(명단표[서울 근무일(기준월)],$P680))</f>
        <v/>
      </c>
      <c r="M680">
        <f>IF($P680="","",INDEX(명단표[구리 근무일(기준월)],$P680))</f>
        <v/>
      </c>
      <c r="N680">
        <f>IF($P680="","",INDEX(명단표[급여 판정 근거],$P680))</f>
        <v/>
      </c>
      <c r="O680">
        <f>IF($P680="","",INDEX(명단표[점검],$P680))</f>
        <v/>
      </c>
      <c r="P680" s="17">
        <f>IFERROR(MATCH(675,명단표[서울순번],0),"")</f>
        <v/>
      </c>
      <c r="R680">
        <f>IF($W680="","",INDEX(명단표[이름],$W680))</f>
        <v/>
      </c>
      <c r="S680">
        <f>IF($W680="","",INDEX(명단표[사번],$W680)&amp;"")</f>
        <v/>
      </c>
      <c r="T680">
        <f>IF($W680="","",INDEX(명단표[소속병원],$W680))</f>
        <v/>
      </c>
      <c r="U680">
        <f>IF($W680="","",INDEX(명단표[서울 근무일(기준월)],$W680))</f>
        <v/>
      </c>
      <c r="V680">
        <f>IF($W680="","",INDEX(명단표[구리 근무일(기준월)],$W680))</f>
        <v/>
      </c>
      <c r="W680" s="17">
        <f>IFERROR(MATCH(675,명단표[판정불가순번],0),"")</f>
        <v/>
      </c>
    </row>
    <row r="681">
      <c r="A681">
        <f>IF($P681="","",676)</f>
        <v/>
      </c>
      <c r="B681">
        <f>IF($P681="","",INDEX(명단표[이름],$P681))</f>
        <v/>
      </c>
      <c r="C681">
        <f>IF($P681="","",INDEX(명단표[사번],$P681)&amp;"")</f>
        <v/>
      </c>
      <c r="D681">
        <f>IF($P681="","",INDEX(명단표[전공의등록번호],$P681)&amp;"")</f>
        <v/>
      </c>
      <c r="E681">
        <f>IF($P681="","",INDEX(명단표[수련과목],$P681)&amp;"")</f>
        <v/>
      </c>
      <c r="F681">
        <f>IF($P681="","",INDEX(명단표[연차],$P681)&amp;"")</f>
        <v/>
      </c>
      <c r="G681">
        <f>IF($P681="","",INDEX(명단표[소속병원],$P681))</f>
        <v/>
      </c>
      <c r="H681">
        <f>IF($P681="","",IF(INDEX(명단표[소속병원],$P681)="서울병원","서울 소속","타 병원 소속("&amp;INDEX(명단표[소속병원],$P681)&amp;") → 서울 지급"))</f>
        <v/>
      </c>
      <c r="I681">
        <f>IF($P681="","",INDEX(명단표[현재 근무병원],$P681))</f>
        <v/>
      </c>
      <c r="J681">
        <f>IF($P681="","",INDEX(명단표[구리 근무 시작일(기준월)],$P681)&amp;"")</f>
        <v/>
      </c>
      <c r="K681">
        <f>IF($P681="","",INDEX(명단표[구리 근무 종료일(기준월)],$P681)&amp;"")</f>
        <v/>
      </c>
      <c r="L681">
        <f>IF($P681="","",INDEX(명단표[서울 근무일(기준월)],$P681))</f>
        <v/>
      </c>
      <c r="M681">
        <f>IF($P681="","",INDEX(명단표[구리 근무일(기준월)],$P681))</f>
        <v/>
      </c>
      <c r="N681">
        <f>IF($P681="","",INDEX(명단표[급여 판정 근거],$P681))</f>
        <v/>
      </c>
      <c r="O681">
        <f>IF($P681="","",INDEX(명단표[점검],$P681))</f>
        <v/>
      </c>
      <c r="P681" s="17">
        <f>IFERROR(MATCH(676,명단표[서울순번],0),"")</f>
        <v/>
      </c>
      <c r="R681">
        <f>IF($W681="","",INDEX(명단표[이름],$W681))</f>
        <v/>
      </c>
      <c r="S681">
        <f>IF($W681="","",INDEX(명단표[사번],$W681)&amp;"")</f>
        <v/>
      </c>
      <c r="T681">
        <f>IF($W681="","",INDEX(명단표[소속병원],$W681))</f>
        <v/>
      </c>
      <c r="U681">
        <f>IF($W681="","",INDEX(명단표[서울 근무일(기준월)],$W681))</f>
        <v/>
      </c>
      <c r="V681">
        <f>IF($W681="","",INDEX(명단표[구리 근무일(기준월)],$W681))</f>
        <v/>
      </c>
      <c r="W681" s="17">
        <f>IFERROR(MATCH(676,명단표[판정불가순번],0),"")</f>
        <v/>
      </c>
    </row>
    <row r="682">
      <c r="A682">
        <f>IF($P682="","",677)</f>
        <v/>
      </c>
      <c r="B682">
        <f>IF($P682="","",INDEX(명단표[이름],$P682))</f>
        <v/>
      </c>
      <c r="C682">
        <f>IF($P682="","",INDEX(명단표[사번],$P682)&amp;"")</f>
        <v/>
      </c>
      <c r="D682">
        <f>IF($P682="","",INDEX(명단표[전공의등록번호],$P682)&amp;"")</f>
        <v/>
      </c>
      <c r="E682">
        <f>IF($P682="","",INDEX(명단표[수련과목],$P682)&amp;"")</f>
        <v/>
      </c>
      <c r="F682">
        <f>IF($P682="","",INDEX(명단표[연차],$P682)&amp;"")</f>
        <v/>
      </c>
      <c r="G682">
        <f>IF($P682="","",INDEX(명단표[소속병원],$P682))</f>
        <v/>
      </c>
      <c r="H682">
        <f>IF($P682="","",IF(INDEX(명단표[소속병원],$P682)="서울병원","서울 소속","타 병원 소속("&amp;INDEX(명단표[소속병원],$P682)&amp;") → 서울 지급"))</f>
        <v/>
      </c>
      <c r="I682">
        <f>IF($P682="","",INDEX(명단표[현재 근무병원],$P682))</f>
        <v/>
      </c>
      <c r="J682">
        <f>IF($P682="","",INDEX(명단표[구리 근무 시작일(기준월)],$P682)&amp;"")</f>
        <v/>
      </c>
      <c r="K682">
        <f>IF($P682="","",INDEX(명단표[구리 근무 종료일(기준월)],$P682)&amp;"")</f>
        <v/>
      </c>
      <c r="L682">
        <f>IF($P682="","",INDEX(명단표[서울 근무일(기준월)],$P682))</f>
        <v/>
      </c>
      <c r="M682">
        <f>IF($P682="","",INDEX(명단표[구리 근무일(기준월)],$P682))</f>
        <v/>
      </c>
      <c r="N682">
        <f>IF($P682="","",INDEX(명단표[급여 판정 근거],$P682))</f>
        <v/>
      </c>
      <c r="O682">
        <f>IF($P682="","",INDEX(명단표[점검],$P682))</f>
        <v/>
      </c>
      <c r="P682" s="17">
        <f>IFERROR(MATCH(677,명단표[서울순번],0),"")</f>
        <v/>
      </c>
      <c r="R682">
        <f>IF($W682="","",INDEX(명단표[이름],$W682))</f>
        <v/>
      </c>
      <c r="S682">
        <f>IF($W682="","",INDEX(명단표[사번],$W682)&amp;"")</f>
        <v/>
      </c>
      <c r="T682">
        <f>IF($W682="","",INDEX(명단표[소속병원],$W682))</f>
        <v/>
      </c>
      <c r="U682">
        <f>IF($W682="","",INDEX(명단표[서울 근무일(기준월)],$W682))</f>
        <v/>
      </c>
      <c r="V682">
        <f>IF($W682="","",INDEX(명단표[구리 근무일(기준월)],$W682))</f>
        <v/>
      </c>
      <c r="W682" s="17">
        <f>IFERROR(MATCH(677,명단표[판정불가순번],0),"")</f>
        <v/>
      </c>
    </row>
    <row r="683">
      <c r="A683">
        <f>IF($P683="","",678)</f>
        <v/>
      </c>
      <c r="B683">
        <f>IF($P683="","",INDEX(명단표[이름],$P683))</f>
        <v/>
      </c>
      <c r="C683">
        <f>IF($P683="","",INDEX(명단표[사번],$P683)&amp;"")</f>
        <v/>
      </c>
      <c r="D683">
        <f>IF($P683="","",INDEX(명단표[전공의등록번호],$P683)&amp;"")</f>
        <v/>
      </c>
      <c r="E683">
        <f>IF($P683="","",INDEX(명단표[수련과목],$P683)&amp;"")</f>
        <v/>
      </c>
      <c r="F683">
        <f>IF($P683="","",INDEX(명단표[연차],$P683)&amp;"")</f>
        <v/>
      </c>
      <c r="G683">
        <f>IF($P683="","",INDEX(명단표[소속병원],$P683))</f>
        <v/>
      </c>
      <c r="H683">
        <f>IF($P683="","",IF(INDEX(명단표[소속병원],$P683)="서울병원","서울 소속","타 병원 소속("&amp;INDEX(명단표[소속병원],$P683)&amp;") → 서울 지급"))</f>
        <v/>
      </c>
      <c r="I683">
        <f>IF($P683="","",INDEX(명단표[현재 근무병원],$P683))</f>
        <v/>
      </c>
      <c r="J683">
        <f>IF($P683="","",INDEX(명단표[구리 근무 시작일(기준월)],$P683)&amp;"")</f>
        <v/>
      </c>
      <c r="K683">
        <f>IF($P683="","",INDEX(명단표[구리 근무 종료일(기준월)],$P683)&amp;"")</f>
        <v/>
      </c>
      <c r="L683">
        <f>IF($P683="","",INDEX(명단표[서울 근무일(기준월)],$P683))</f>
        <v/>
      </c>
      <c r="M683">
        <f>IF($P683="","",INDEX(명단표[구리 근무일(기준월)],$P683))</f>
        <v/>
      </c>
      <c r="N683">
        <f>IF($P683="","",INDEX(명단표[급여 판정 근거],$P683))</f>
        <v/>
      </c>
      <c r="O683">
        <f>IF($P683="","",INDEX(명단표[점검],$P683))</f>
        <v/>
      </c>
      <c r="P683" s="17">
        <f>IFERROR(MATCH(678,명단표[서울순번],0),"")</f>
        <v/>
      </c>
      <c r="R683">
        <f>IF($W683="","",INDEX(명단표[이름],$W683))</f>
        <v/>
      </c>
      <c r="S683">
        <f>IF($W683="","",INDEX(명단표[사번],$W683)&amp;"")</f>
        <v/>
      </c>
      <c r="T683">
        <f>IF($W683="","",INDEX(명단표[소속병원],$W683))</f>
        <v/>
      </c>
      <c r="U683">
        <f>IF($W683="","",INDEX(명단표[서울 근무일(기준월)],$W683))</f>
        <v/>
      </c>
      <c r="V683">
        <f>IF($W683="","",INDEX(명단표[구리 근무일(기준월)],$W683))</f>
        <v/>
      </c>
      <c r="W683" s="17">
        <f>IFERROR(MATCH(678,명단표[판정불가순번],0),"")</f>
        <v/>
      </c>
    </row>
    <row r="684">
      <c r="A684">
        <f>IF($P684="","",679)</f>
        <v/>
      </c>
      <c r="B684">
        <f>IF($P684="","",INDEX(명단표[이름],$P684))</f>
        <v/>
      </c>
      <c r="C684">
        <f>IF($P684="","",INDEX(명단표[사번],$P684)&amp;"")</f>
        <v/>
      </c>
      <c r="D684">
        <f>IF($P684="","",INDEX(명단표[전공의등록번호],$P684)&amp;"")</f>
        <v/>
      </c>
      <c r="E684">
        <f>IF($P684="","",INDEX(명단표[수련과목],$P684)&amp;"")</f>
        <v/>
      </c>
      <c r="F684">
        <f>IF($P684="","",INDEX(명단표[연차],$P684)&amp;"")</f>
        <v/>
      </c>
      <c r="G684">
        <f>IF($P684="","",INDEX(명단표[소속병원],$P684))</f>
        <v/>
      </c>
      <c r="H684">
        <f>IF($P684="","",IF(INDEX(명단표[소속병원],$P684)="서울병원","서울 소속","타 병원 소속("&amp;INDEX(명단표[소속병원],$P684)&amp;") → 서울 지급"))</f>
        <v/>
      </c>
      <c r="I684">
        <f>IF($P684="","",INDEX(명단표[현재 근무병원],$P684))</f>
        <v/>
      </c>
      <c r="J684">
        <f>IF($P684="","",INDEX(명단표[구리 근무 시작일(기준월)],$P684)&amp;"")</f>
        <v/>
      </c>
      <c r="K684">
        <f>IF($P684="","",INDEX(명단표[구리 근무 종료일(기준월)],$P684)&amp;"")</f>
        <v/>
      </c>
      <c r="L684">
        <f>IF($P684="","",INDEX(명단표[서울 근무일(기준월)],$P684))</f>
        <v/>
      </c>
      <c r="M684">
        <f>IF($P684="","",INDEX(명단표[구리 근무일(기준월)],$P684))</f>
        <v/>
      </c>
      <c r="N684">
        <f>IF($P684="","",INDEX(명단표[급여 판정 근거],$P684))</f>
        <v/>
      </c>
      <c r="O684">
        <f>IF($P684="","",INDEX(명단표[점검],$P684))</f>
        <v/>
      </c>
      <c r="P684" s="17">
        <f>IFERROR(MATCH(679,명단표[서울순번],0),"")</f>
        <v/>
      </c>
      <c r="R684">
        <f>IF($W684="","",INDEX(명단표[이름],$W684))</f>
        <v/>
      </c>
      <c r="S684">
        <f>IF($W684="","",INDEX(명단표[사번],$W684)&amp;"")</f>
        <v/>
      </c>
      <c r="T684">
        <f>IF($W684="","",INDEX(명단표[소속병원],$W684))</f>
        <v/>
      </c>
      <c r="U684">
        <f>IF($W684="","",INDEX(명단표[서울 근무일(기준월)],$W684))</f>
        <v/>
      </c>
      <c r="V684">
        <f>IF($W684="","",INDEX(명단표[구리 근무일(기준월)],$W684))</f>
        <v/>
      </c>
      <c r="W684" s="17">
        <f>IFERROR(MATCH(679,명단표[판정불가순번],0),"")</f>
        <v/>
      </c>
    </row>
    <row r="685">
      <c r="A685">
        <f>IF($P685="","",680)</f>
        <v/>
      </c>
      <c r="B685">
        <f>IF($P685="","",INDEX(명단표[이름],$P685))</f>
        <v/>
      </c>
      <c r="C685">
        <f>IF($P685="","",INDEX(명단표[사번],$P685)&amp;"")</f>
        <v/>
      </c>
      <c r="D685">
        <f>IF($P685="","",INDEX(명단표[전공의등록번호],$P685)&amp;"")</f>
        <v/>
      </c>
      <c r="E685">
        <f>IF($P685="","",INDEX(명단표[수련과목],$P685)&amp;"")</f>
        <v/>
      </c>
      <c r="F685">
        <f>IF($P685="","",INDEX(명단표[연차],$P685)&amp;"")</f>
        <v/>
      </c>
      <c r="G685">
        <f>IF($P685="","",INDEX(명단표[소속병원],$P685))</f>
        <v/>
      </c>
      <c r="H685">
        <f>IF($P685="","",IF(INDEX(명단표[소속병원],$P685)="서울병원","서울 소속","타 병원 소속("&amp;INDEX(명단표[소속병원],$P685)&amp;") → 서울 지급"))</f>
        <v/>
      </c>
      <c r="I685">
        <f>IF($P685="","",INDEX(명단표[현재 근무병원],$P685))</f>
        <v/>
      </c>
      <c r="J685">
        <f>IF($P685="","",INDEX(명단표[구리 근무 시작일(기준월)],$P685)&amp;"")</f>
        <v/>
      </c>
      <c r="K685">
        <f>IF($P685="","",INDEX(명단표[구리 근무 종료일(기준월)],$P685)&amp;"")</f>
        <v/>
      </c>
      <c r="L685">
        <f>IF($P685="","",INDEX(명단표[서울 근무일(기준월)],$P685))</f>
        <v/>
      </c>
      <c r="M685">
        <f>IF($P685="","",INDEX(명단표[구리 근무일(기준월)],$P685))</f>
        <v/>
      </c>
      <c r="N685">
        <f>IF($P685="","",INDEX(명단표[급여 판정 근거],$P685))</f>
        <v/>
      </c>
      <c r="O685">
        <f>IF($P685="","",INDEX(명단표[점검],$P685))</f>
        <v/>
      </c>
      <c r="P685" s="17">
        <f>IFERROR(MATCH(680,명단표[서울순번],0),"")</f>
        <v/>
      </c>
      <c r="R685">
        <f>IF($W685="","",INDEX(명단표[이름],$W685))</f>
        <v/>
      </c>
      <c r="S685">
        <f>IF($W685="","",INDEX(명단표[사번],$W685)&amp;"")</f>
        <v/>
      </c>
      <c r="T685">
        <f>IF($W685="","",INDEX(명단표[소속병원],$W685))</f>
        <v/>
      </c>
      <c r="U685">
        <f>IF($W685="","",INDEX(명단표[서울 근무일(기준월)],$W685))</f>
        <v/>
      </c>
      <c r="V685">
        <f>IF($W685="","",INDEX(명단표[구리 근무일(기준월)],$W685))</f>
        <v/>
      </c>
      <c r="W685" s="17">
        <f>IFERROR(MATCH(680,명단표[판정불가순번],0),"")</f>
        <v/>
      </c>
    </row>
    <row r="686">
      <c r="A686">
        <f>IF($P686="","",681)</f>
        <v/>
      </c>
      <c r="B686">
        <f>IF($P686="","",INDEX(명단표[이름],$P686))</f>
        <v/>
      </c>
      <c r="C686">
        <f>IF($P686="","",INDEX(명단표[사번],$P686)&amp;"")</f>
        <v/>
      </c>
      <c r="D686">
        <f>IF($P686="","",INDEX(명단표[전공의등록번호],$P686)&amp;"")</f>
        <v/>
      </c>
      <c r="E686">
        <f>IF($P686="","",INDEX(명단표[수련과목],$P686)&amp;"")</f>
        <v/>
      </c>
      <c r="F686">
        <f>IF($P686="","",INDEX(명단표[연차],$P686)&amp;"")</f>
        <v/>
      </c>
      <c r="G686">
        <f>IF($P686="","",INDEX(명단표[소속병원],$P686))</f>
        <v/>
      </c>
      <c r="H686">
        <f>IF($P686="","",IF(INDEX(명단표[소속병원],$P686)="서울병원","서울 소속","타 병원 소속("&amp;INDEX(명단표[소속병원],$P686)&amp;") → 서울 지급"))</f>
        <v/>
      </c>
      <c r="I686">
        <f>IF($P686="","",INDEX(명단표[현재 근무병원],$P686))</f>
        <v/>
      </c>
      <c r="J686">
        <f>IF($P686="","",INDEX(명단표[구리 근무 시작일(기준월)],$P686)&amp;"")</f>
        <v/>
      </c>
      <c r="K686">
        <f>IF($P686="","",INDEX(명단표[구리 근무 종료일(기준월)],$P686)&amp;"")</f>
        <v/>
      </c>
      <c r="L686">
        <f>IF($P686="","",INDEX(명단표[서울 근무일(기준월)],$P686))</f>
        <v/>
      </c>
      <c r="M686">
        <f>IF($P686="","",INDEX(명단표[구리 근무일(기준월)],$P686))</f>
        <v/>
      </c>
      <c r="N686">
        <f>IF($P686="","",INDEX(명단표[급여 판정 근거],$P686))</f>
        <v/>
      </c>
      <c r="O686">
        <f>IF($P686="","",INDEX(명단표[점검],$P686))</f>
        <v/>
      </c>
      <c r="P686" s="17">
        <f>IFERROR(MATCH(681,명단표[서울순번],0),"")</f>
        <v/>
      </c>
      <c r="R686">
        <f>IF($W686="","",INDEX(명단표[이름],$W686))</f>
        <v/>
      </c>
      <c r="S686">
        <f>IF($W686="","",INDEX(명단표[사번],$W686)&amp;"")</f>
        <v/>
      </c>
      <c r="T686">
        <f>IF($W686="","",INDEX(명단표[소속병원],$W686))</f>
        <v/>
      </c>
      <c r="U686">
        <f>IF($W686="","",INDEX(명단표[서울 근무일(기준월)],$W686))</f>
        <v/>
      </c>
      <c r="V686">
        <f>IF($W686="","",INDEX(명단표[구리 근무일(기준월)],$W686))</f>
        <v/>
      </c>
      <c r="W686" s="17">
        <f>IFERROR(MATCH(681,명단표[판정불가순번],0),"")</f>
        <v/>
      </c>
    </row>
    <row r="687">
      <c r="A687">
        <f>IF($P687="","",682)</f>
        <v/>
      </c>
      <c r="B687">
        <f>IF($P687="","",INDEX(명단표[이름],$P687))</f>
        <v/>
      </c>
      <c r="C687">
        <f>IF($P687="","",INDEX(명단표[사번],$P687)&amp;"")</f>
        <v/>
      </c>
      <c r="D687">
        <f>IF($P687="","",INDEX(명단표[전공의등록번호],$P687)&amp;"")</f>
        <v/>
      </c>
      <c r="E687">
        <f>IF($P687="","",INDEX(명단표[수련과목],$P687)&amp;"")</f>
        <v/>
      </c>
      <c r="F687">
        <f>IF($P687="","",INDEX(명단표[연차],$P687)&amp;"")</f>
        <v/>
      </c>
      <c r="G687">
        <f>IF($P687="","",INDEX(명단표[소속병원],$P687))</f>
        <v/>
      </c>
      <c r="H687">
        <f>IF($P687="","",IF(INDEX(명단표[소속병원],$P687)="서울병원","서울 소속","타 병원 소속("&amp;INDEX(명단표[소속병원],$P687)&amp;") → 서울 지급"))</f>
        <v/>
      </c>
      <c r="I687">
        <f>IF($P687="","",INDEX(명단표[현재 근무병원],$P687))</f>
        <v/>
      </c>
      <c r="J687">
        <f>IF($P687="","",INDEX(명단표[구리 근무 시작일(기준월)],$P687)&amp;"")</f>
        <v/>
      </c>
      <c r="K687">
        <f>IF($P687="","",INDEX(명단표[구리 근무 종료일(기준월)],$P687)&amp;"")</f>
        <v/>
      </c>
      <c r="L687">
        <f>IF($P687="","",INDEX(명단표[서울 근무일(기준월)],$P687))</f>
        <v/>
      </c>
      <c r="M687">
        <f>IF($P687="","",INDEX(명단표[구리 근무일(기준월)],$P687))</f>
        <v/>
      </c>
      <c r="N687">
        <f>IF($P687="","",INDEX(명단표[급여 판정 근거],$P687))</f>
        <v/>
      </c>
      <c r="O687">
        <f>IF($P687="","",INDEX(명단표[점검],$P687))</f>
        <v/>
      </c>
      <c r="P687" s="17">
        <f>IFERROR(MATCH(682,명단표[서울순번],0),"")</f>
        <v/>
      </c>
      <c r="R687">
        <f>IF($W687="","",INDEX(명단표[이름],$W687))</f>
        <v/>
      </c>
      <c r="S687">
        <f>IF($W687="","",INDEX(명단표[사번],$W687)&amp;"")</f>
        <v/>
      </c>
      <c r="T687">
        <f>IF($W687="","",INDEX(명단표[소속병원],$W687))</f>
        <v/>
      </c>
      <c r="U687">
        <f>IF($W687="","",INDEX(명단표[서울 근무일(기준월)],$W687))</f>
        <v/>
      </c>
      <c r="V687">
        <f>IF($W687="","",INDEX(명단표[구리 근무일(기준월)],$W687))</f>
        <v/>
      </c>
      <c r="W687" s="17">
        <f>IFERROR(MATCH(682,명단표[판정불가순번],0),"")</f>
        <v/>
      </c>
    </row>
    <row r="688">
      <c r="A688">
        <f>IF($P688="","",683)</f>
        <v/>
      </c>
      <c r="B688">
        <f>IF($P688="","",INDEX(명단표[이름],$P688))</f>
        <v/>
      </c>
      <c r="C688">
        <f>IF($P688="","",INDEX(명단표[사번],$P688)&amp;"")</f>
        <v/>
      </c>
      <c r="D688">
        <f>IF($P688="","",INDEX(명단표[전공의등록번호],$P688)&amp;"")</f>
        <v/>
      </c>
      <c r="E688">
        <f>IF($P688="","",INDEX(명단표[수련과목],$P688)&amp;"")</f>
        <v/>
      </c>
      <c r="F688">
        <f>IF($P688="","",INDEX(명단표[연차],$P688)&amp;"")</f>
        <v/>
      </c>
      <c r="G688">
        <f>IF($P688="","",INDEX(명단표[소속병원],$P688))</f>
        <v/>
      </c>
      <c r="H688">
        <f>IF($P688="","",IF(INDEX(명단표[소속병원],$P688)="서울병원","서울 소속","타 병원 소속("&amp;INDEX(명단표[소속병원],$P688)&amp;") → 서울 지급"))</f>
        <v/>
      </c>
      <c r="I688">
        <f>IF($P688="","",INDEX(명단표[현재 근무병원],$P688))</f>
        <v/>
      </c>
      <c r="J688">
        <f>IF($P688="","",INDEX(명단표[구리 근무 시작일(기준월)],$P688)&amp;"")</f>
        <v/>
      </c>
      <c r="K688">
        <f>IF($P688="","",INDEX(명단표[구리 근무 종료일(기준월)],$P688)&amp;"")</f>
        <v/>
      </c>
      <c r="L688">
        <f>IF($P688="","",INDEX(명단표[서울 근무일(기준월)],$P688))</f>
        <v/>
      </c>
      <c r="M688">
        <f>IF($P688="","",INDEX(명단표[구리 근무일(기준월)],$P688))</f>
        <v/>
      </c>
      <c r="N688">
        <f>IF($P688="","",INDEX(명단표[급여 판정 근거],$P688))</f>
        <v/>
      </c>
      <c r="O688">
        <f>IF($P688="","",INDEX(명단표[점검],$P688))</f>
        <v/>
      </c>
      <c r="P688" s="17">
        <f>IFERROR(MATCH(683,명단표[서울순번],0),"")</f>
        <v/>
      </c>
      <c r="R688">
        <f>IF($W688="","",INDEX(명단표[이름],$W688))</f>
        <v/>
      </c>
      <c r="S688">
        <f>IF($W688="","",INDEX(명단표[사번],$W688)&amp;"")</f>
        <v/>
      </c>
      <c r="T688">
        <f>IF($W688="","",INDEX(명단표[소속병원],$W688))</f>
        <v/>
      </c>
      <c r="U688">
        <f>IF($W688="","",INDEX(명단표[서울 근무일(기준월)],$W688))</f>
        <v/>
      </c>
      <c r="V688">
        <f>IF($W688="","",INDEX(명단표[구리 근무일(기준월)],$W688))</f>
        <v/>
      </c>
      <c r="W688" s="17">
        <f>IFERROR(MATCH(683,명단표[판정불가순번],0),"")</f>
        <v/>
      </c>
    </row>
    <row r="689">
      <c r="A689">
        <f>IF($P689="","",684)</f>
        <v/>
      </c>
      <c r="B689">
        <f>IF($P689="","",INDEX(명단표[이름],$P689))</f>
        <v/>
      </c>
      <c r="C689">
        <f>IF($P689="","",INDEX(명단표[사번],$P689)&amp;"")</f>
        <v/>
      </c>
      <c r="D689">
        <f>IF($P689="","",INDEX(명단표[전공의등록번호],$P689)&amp;"")</f>
        <v/>
      </c>
      <c r="E689">
        <f>IF($P689="","",INDEX(명단표[수련과목],$P689)&amp;"")</f>
        <v/>
      </c>
      <c r="F689">
        <f>IF($P689="","",INDEX(명단표[연차],$P689)&amp;"")</f>
        <v/>
      </c>
      <c r="G689">
        <f>IF($P689="","",INDEX(명단표[소속병원],$P689))</f>
        <v/>
      </c>
      <c r="H689">
        <f>IF($P689="","",IF(INDEX(명단표[소속병원],$P689)="서울병원","서울 소속","타 병원 소속("&amp;INDEX(명단표[소속병원],$P689)&amp;") → 서울 지급"))</f>
        <v/>
      </c>
      <c r="I689">
        <f>IF($P689="","",INDEX(명단표[현재 근무병원],$P689))</f>
        <v/>
      </c>
      <c r="J689">
        <f>IF($P689="","",INDEX(명단표[구리 근무 시작일(기준월)],$P689)&amp;"")</f>
        <v/>
      </c>
      <c r="K689">
        <f>IF($P689="","",INDEX(명단표[구리 근무 종료일(기준월)],$P689)&amp;"")</f>
        <v/>
      </c>
      <c r="L689">
        <f>IF($P689="","",INDEX(명단표[서울 근무일(기준월)],$P689))</f>
        <v/>
      </c>
      <c r="M689">
        <f>IF($P689="","",INDEX(명단표[구리 근무일(기준월)],$P689))</f>
        <v/>
      </c>
      <c r="N689">
        <f>IF($P689="","",INDEX(명단표[급여 판정 근거],$P689))</f>
        <v/>
      </c>
      <c r="O689">
        <f>IF($P689="","",INDEX(명단표[점검],$P689))</f>
        <v/>
      </c>
      <c r="P689" s="17">
        <f>IFERROR(MATCH(684,명단표[서울순번],0),"")</f>
        <v/>
      </c>
      <c r="R689">
        <f>IF($W689="","",INDEX(명단표[이름],$W689))</f>
        <v/>
      </c>
      <c r="S689">
        <f>IF($W689="","",INDEX(명단표[사번],$W689)&amp;"")</f>
        <v/>
      </c>
      <c r="T689">
        <f>IF($W689="","",INDEX(명단표[소속병원],$W689))</f>
        <v/>
      </c>
      <c r="U689">
        <f>IF($W689="","",INDEX(명단표[서울 근무일(기준월)],$W689))</f>
        <v/>
      </c>
      <c r="V689">
        <f>IF($W689="","",INDEX(명단표[구리 근무일(기준월)],$W689))</f>
        <v/>
      </c>
      <c r="W689" s="17">
        <f>IFERROR(MATCH(684,명단표[판정불가순번],0),"")</f>
        <v/>
      </c>
    </row>
    <row r="690">
      <c r="A690">
        <f>IF($P690="","",685)</f>
        <v/>
      </c>
      <c r="B690">
        <f>IF($P690="","",INDEX(명단표[이름],$P690))</f>
        <v/>
      </c>
      <c r="C690">
        <f>IF($P690="","",INDEX(명단표[사번],$P690)&amp;"")</f>
        <v/>
      </c>
      <c r="D690">
        <f>IF($P690="","",INDEX(명단표[전공의등록번호],$P690)&amp;"")</f>
        <v/>
      </c>
      <c r="E690">
        <f>IF($P690="","",INDEX(명단표[수련과목],$P690)&amp;"")</f>
        <v/>
      </c>
      <c r="F690">
        <f>IF($P690="","",INDEX(명단표[연차],$P690)&amp;"")</f>
        <v/>
      </c>
      <c r="G690">
        <f>IF($P690="","",INDEX(명단표[소속병원],$P690))</f>
        <v/>
      </c>
      <c r="H690">
        <f>IF($P690="","",IF(INDEX(명단표[소속병원],$P690)="서울병원","서울 소속","타 병원 소속("&amp;INDEX(명단표[소속병원],$P690)&amp;") → 서울 지급"))</f>
        <v/>
      </c>
      <c r="I690">
        <f>IF($P690="","",INDEX(명단표[현재 근무병원],$P690))</f>
        <v/>
      </c>
      <c r="J690">
        <f>IF($P690="","",INDEX(명단표[구리 근무 시작일(기준월)],$P690)&amp;"")</f>
        <v/>
      </c>
      <c r="K690">
        <f>IF($P690="","",INDEX(명단표[구리 근무 종료일(기준월)],$P690)&amp;"")</f>
        <v/>
      </c>
      <c r="L690">
        <f>IF($P690="","",INDEX(명단표[서울 근무일(기준월)],$P690))</f>
        <v/>
      </c>
      <c r="M690">
        <f>IF($P690="","",INDEX(명단표[구리 근무일(기준월)],$P690))</f>
        <v/>
      </c>
      <c r="N690">
        <f>IF($P690="","",INDEX(명단표[급여 판정 근거],$P690))</f>
        <v/>
      </c>
      <c r="O690">
        <f>IF($P690="","",INDEX(명단표[점검],$P690))</f>
        <v/>
      </c>
      <c r="P690" s="17">
        <f>IFERROR(MATCH(685,명단표[서울순번],0),"")</f>
        <v/>
      </c>
      <c r="R690">
        <f>IF($W690="","",INDEX(명단표[이름],$W690))</f>
        <v/>
      </c>
      <c r="S690">
        <f>IF($W690="","",INDEX(명단표[사번],$W690)&amp;"")</f>
        <v/>
      </c>
      <c r="T690">
        <f>IF($W690="","",INDEX(명단표[소속병원],$W690))</f>
        <v/>
      </c>
      <c r="U690">
        <f>IF($W690="","",INDEX(명단표[서울 근무일(기준월)],$W690))</f>
        <v/>
      </c>
      <c r="V690">
        <f>IF($W690="","",INDEX(명단표[구리 근무일(기준월)],$W690))</f>
        <v/>
      </c>
      <c r="W690" s="17">
        <f>IFERROR(MATCH(685,명단표[판정불가순번],0),"")</f>
        <v/>
      </c>
    </row>
    <row r="691">
      <c r="A691">
        <f>IF($P691="","",686)</f>
        <v/>
      </c>
      <c r="B691">
        <f>IF($P691="","",INDEX(명단표[이름],$P691))</f>
        <v/>
      </c>
      <c r="C691">
        <f>IF($P691="","",INDEX(명단표[사번],$P691)&amp;"")</f>
        <v/>
      </c>
      <c r="D691">
        <f>IF($P691="","",INDEX(명단표[전공의등록번호],$P691)&amp;"")</f>
        <v/>
      </c>
      <c r="E691">
        <f>IF($P691="","",INDEX(명단표[수련과목],$P691)&amp;"")</f>
        <v/>
      </c>
      <c r="F691">
        <f>IF($P691="","",INDEX(명단표[연차],$P691)&amp;"")</f>
        <v/>
      </c>
      <c r="G691">
        <f>IF($P691="","",INDEX(명단표[소속병원],$P691))</f>
        <v/>
      </c>
      <c r="H691">
        <f>IF($P691="","",IF(INDEX(명단표[소속병원],$P691)="서울병원","서울 소속","타 병원 소속("&amp;INDEX(명단표[소속병원],$P691)&amp;") → 서울 지급"))</f>
        <v/>
      </c>
      <c r="I691">
        <f>IF($P691="","",INDEX(명단표[현재 근무병원],$P691))</f>
        <v/>
      </c>
      <c r="J691">
        <f>IF($P691="","",INDEX(명단표[구리 근무 시작일(기준월)],$P691)&amp;"")</f>
        <v/>
      </c>
      <c r="K691">
        <f>IF($P691="","",INDEX(명단표[구리 근무 종료일(기준월)],$P691)&amp;"")</f>
        <v/>
      </c>
      <c r="L691">
        <f>IF($P691="","",INDEX(명단표[서울 근무일(기준월)],$P691))</f>
        <v/>
      </c>
      <c r="M691">
        <f>IF($P691="","",INDEX(명단표[구리 근무일(기준월)],$P691))</f>
        <v/>
      </c>
      <c r="N691">
        <f>IF($P691="","",INDEX(명단표[급여 판정 근거],$P691))</f>
        <v/>
      </c>
      <c r="O691">
        <f>IF($P691="","",INDEX(명단표[점검],$P691))</f>
        <v/>
      </c>
      <c r="P691" s="17">
        <f>IFERROR(MATCH(686,명단표[서울순번],0),"")</f>
        <v/>
      </c>
      <c r="R691">
        <f>IF($W691="","",INDEX(명단표[이름],$W691))</f>
        <v/>
      </c>
      <c r="S691">
        <f>IF($W691="","",INDEX(명단표[사번],$W691)&amp;"")</f>
        <v/>
      </c>
      <c r="T691">
        <f>IF($W691="","",INDEX(명단표[소속병원],$W691))</f>
        <v/>
      </c>
      <c r="U691">
        <f>IF($W691="","",INDEX(명단표[서울 근무일(기준월)],$W691))</f>
        <v/>
      </c>
      <c r="V691">
        <f>IF($W691="","",INDEX(명단표[구리 근무일(기준월)],$W691))</f>
        <v/>
      </c>
      <c r="W691" s="17">
        <f>IFERROR(MATCH(686,명단표[판정불가순번],0),"")</f>
        <v/>
      </c>
    </row>
    <row r="692">
      <c r="A692">
        <f>IF($P692="","",687)</f>
        <v/>
      </c>
      <c r="B692">
        <f>IF($P692="","",INDEX(명단표[이름],$P692))</f>
        <v/>
      </c>
      <c r="C692">
        <f>IF($P692="","",INDEX(명단표[사번],$P692)&amp;"")</f>
        <v/>
      </c>
      <c r="D692">
        <f>IF($P692="","",INDEX(명단표[전공의등록번호],$P692)&amp;"")</f>
        <v/>
      </c>
      <c r="E692">
        <f>IF($P692="","",INDEX(명단표[수련과목],$P692)&amp;"")</f>
        <v/>
      </c>
      <c r="F692">
        <f>IF($P692="","",INDEX(명단표[연차],$P692)&amp;"")</f>
        <v/>
      </c>
      <c r="G692">
        <f>IF($P692="","",INDEX(명단표[소속병원],$P692))</f>
        <v/>
      </c>
      <c r="H692">
        <f>IF($P692="","",IF(INDEX(명단표[소속병원],$P692)="서울병원","서울 소속","타 병원 소속("&amp;INDEX(명단표[소속병원],$P692)&amp;") → 서울 지급"))</f>
        <v/>
      </c>
      <c r="I692">
        <f>IF($P692="","",INDEX(명단표[현재 근무병원],$P692))</f>
        <v/>
      </c>
      <c r="J692">
        <f>IF($P692="","",INDEX(명단표[구리 근무 시작일(기준월)],$P692)&amp;"")</f>
        <v/>
      </c>
      <c r="K692">
        <f>IF($P692="","",INDEX(명단표[구리 근무 종료일(기준월)],$P692)&amp;"")</f>
        <v/>
      </c>
      <c r="L692">
        <f>IF($P692="","",INDEX(명단표[서울 근무일(기준월)],$P692))</f>
        <v/>
      </c>
      <c r="M692">
        <f>IF($P692="","",INDEX(명단표[구리 근무일(기준월)],$P692))</f>
        <v/>
      </c>
      <c r="N692">
        <f>IF($P692="","",INDEX(명단표[급여 판정 근거],$P692))</f>
        <v/>
      </c>
      <c r="O692">
        <f>IF($P692="","",INDEX(명단표[점검],$P692))</f>
        <v/>
      </c>
      <c r="P692" s="17">
        <f>IFERROR(MATCH(687,명단표[서울순번],0),"")</f>
        <v/>
      </c>
      <c r="R692">
        <f>IF($W692="","",INDEX(명단표[이름],$W692))</f>
        <v/>
      </c>
      <c r="S692">
        <f>IF($W692="","",INDEX(명단표[사번],$W692)&amp;"")</f>
        <v/>
      </c>
      <c r="T692">
        <f>IF($W692="","",INDEX(명단표[소속병원],$W692))</f>
        <v/>
      </c>
      <c r="U692">
        <f>IF($W692="","",INDEX(명단표[서울 근무일(기준월)],$W692))</f>
        <v/>
      </c>
      <c r="V692">
        <f>IF($W692="","",INDEX(명단표[구리 근무일(기준월)],$W692))</f>
        <v/>
      </c>
      <c r="W692" s="17">
        <f>IFERROR(MATCH(687,명단표[판정불가순번],0),"")</f>
        <v/>
      </c>
    </row>
    <row r="693">
      <c r="A693">
        <f>IF($P693="","",688)</f>
        <v/>
      </c>
      <c r="B693">
        <f>IF($P693="","",INDEX(명단표[이름],$P693))</f>
        <v/>
      </c>
      <c r="C693">
        <f>IF($P693="","",INDEX(명단표[사번],$P693)&amp;"")</f>
        <v/>
      </c>
      <c r="D693">
        <f>IF($P693="","",INDEX(명단표[전공의등록번호],$P693)&amp;"")</f>
        <v/>
      </c>
      <c r="E693">
        <f>IF($P693="","",INDEX(명단표[수련과목],$P693)&amp;"")</f>
        <v/>
      </c>
      <c r="F693">
        <f>IF($P693="","",INDEX(명단표[연차],$P693)&amp;"")</f>
        <v/>
      </c>
      <c r="G693">
        <f>IF($P693="","",INDEX(명단표[소속병원],$P693))</f>
        <v/>
      </c>
      <c r="H693">
        <f>IF($P693="","",IF(INDEX(명단표[소속병원],$P693)="서울병원","서울 소속","타 병원 소속("&amp;INDEX(명단표[소속병원],$P693)&amp;") → 서울 지급"))</f>
        <v/>
      </c>
      <c r="I693">
        <f>IF($P693="","",INDEX(명단표[현재 근무병원],$P693))</f>
        <v/>
      </c>
      <c r="J693">
        <f>IF($P693="","",INDEX(명단표[구리 근무 시작일(기준월)],$P693)&amp;"")</f>
        <v/>
      </c>
      <c r="K693">
        <f>IF($P693="","",INDEX(명단표[구리 근무 종료일(기준월)],$P693)&amp;"")</f>
        <v/>
      </c>
      <c r="L693">
        <f>IF($P693="","",INDEX(명단표[서울 근무일(기준월)],$P693))</f>
        <v/>
      </c>
      <c r="M693">
        <f>IF($P693="","",INDEX(명단표[구리 근무일(기준월)],$P693))</f>
        <v/>
      </c>
      <c r="N693">
        <f>IF($P693="","",INDEX(명단표[급여 판정 근거],$P693))</f>
        <v/>
      </c>
      <c r="O693">
        <f>IF($P693="","",INDEX(명단표[점검],$P693))</f>
        <v/>
      </c>
      <c r="P693" s="17">
        <f>IFERROR(MATCH(688,명단표[서울순번],0),"")</f>
        <v/>
      </c>
      <c r="R693">
        <f>IF($W693="","",INDEX(명단표[이름],$W693))</f>
        <v/>
      </c>
      <c r="S693">
        <f>IF($W693="","",INDEX(명단표[사번],$W693)&amp;"")</f>
        <v/>
      </c>
      <c r="T693">
        <f>IF($W693="","",INDEX(명단표[소속병원],$W693))</f>
        <v/>
      </c>
      <c r="U693">
        <f>IF($W693="","",INDEX(명단표[서울 근무일(기준월)],$W693))</f>
        <v/>
      </c>
      <c r="V693">
        <f>IF($W693="","",INDEX(명단표[구리 근무일(기준월)],$W693))</f>
        <v/>
      </c>
      <c r="W693" s="17">
        <f>IFERROR(MATCH(688,명단표[판정불가순번],0),"")</f>
        <v/>
      </c>
    </row>
    <row r="694">
      <c r="A694">
        <f>IF($P694="","",689)</f>
        <v/>
      </c>
      <c r="B694">
        <f>IF($P694="","",INDEX(명단표[이름],$P694))</f>
        <v/>
      </c>
      <c r="C694">
        <f>IF($P694="","",INDEX(명단표[사번],$P694)&amp;"")</f>
        <v/>
      </c>
      <c r="D694">
        <f>IF($P694="","",INDEX(명단표[전공의등록번호],$P694)&amp;"")</f>
        <v/>
      </c>
      <c r="E694">
        <f>IF($P694="","",INDEX(명단표[수련과목],$P694)&amp;"")</f>
        <v/>
      </c>
      <c r="F694">
        <f>IF($P694="","",INDEX(명단표[연차],$P694)&amp;"")</f>
        <v/>
      </c>
      <c r="G694">
        <f>IF($P694="","",INDEX(명단표[소속병원],$P694))</f>
        <v/>
      </c>
      <c r="H694">
        <f>IF($P694="","",IF(INDEX(명단표[소속병원],$P694)="서울병원","서울 소속","타 병원 소속("&amp;INDEX(명단표[소속병원],$P694)&amp;") → 서울 지급"))</f>
        <v/>
      </c>
      <c r="I694">
        <f>IF($P694="","",INDEX(명단표[현재 근무병원],$P694))</f>
        <v/>
      </c>
      <c r="J694">
        <f>IF($P694="","",INDEX(명단표[구리 근무 시작일(기준월)],$P694)&amp;"")</f>
        <v/>
      </c>
      <c r="K694">
        <f>IF($P694="","",INDEX(명단표[구리 근무 종료일(기준월)],$P694)&amp;"")</f>
        <v/>
      </c>
      <c r="L694">
        <f>IF($P694="","",INDEX(명단표[서울 근무일(기준월)],$P694))</f>
        <v/>
      </c>
      <c r="M694">
        <f>IF($P694="","",INDEX(명단표[구리 근무일(기준월)],$P694))</f>
        <v/>
      </c>
      <c r="N694">
        <f>IF($P694="","",INDEX(명단표[급여 판정 근거],$P694))</f>
        <v/>
      </c>
      <c r="O694">
        <f>IF($P694="","",INDEX(명단표[점검],$P694))</f>
        <v/>
      </c>
      <c r="P694" s="17">
        <f>IFERROR(MATCH(689,명단표[서울순번],0),"")</f>
        <v/>
      </c>
      <c r="R694">
        <f>IF($W694="","",INDEX(명단표[이름],$W694))</f>
        <v/>
      </c>
      <c r="S694">
        <f>IF($W694="","",INDEX(명단표[사번],$W694)&amp;"")</f>
        <v/>
      </c>
      <c r="T694">
        <f>IF($W694="","",INDEX(명단표[소속병원],$W694))</f>
        <v/>
      </c>
      <c r="U694">
        <f>IF($W694="","",INDEX(명단표[서울 근무일(기준월)],$W694))</f>
        <v/>
      </c>
      <c r="V694">
        <f>IF($W694="","",INDEX(명단표[구리 근무일(기준월)],$W694))</f>
        <v/>
      </c>
      <c r="W694" s="17">
        <f>IFERROR(MATCH(689,명단표[판정불가순번],0),"")</f>
        <v/>
      </c>
    </row>
    <row r="695">
      <c r="A695">
        <f>IF($P695="","",690)</f>
        <v/>
      </c>
      <c r="B695">
        <f>IF($P695="","",INDEX(명단표[이름],$P695))</f>
        <v/>
      </c>
      <c r="C695">
        <f>IF($P695="","",INDEX(명단표[사번],$P695)&amp;"")</f>
        <v/>
      </c>
      <c r="D695">
        <f>IF($P695="","",INDEX(명단표[전공의등록번호],$P695)&amp;"")</f>
        <v/>
      </c>
      <c r="E695">
        <f>IF($P695="","",INDEX(명단표[수련과목],$P695)&amp;"")</f>
        <v/>
      </c>
      <c r="F695">
        <f>IF($P695="","",INDEX(명단표[연차],$P695)&amp;"")</f>
        <v/>
      </c>
      <c r="G695">
        <f>IF($P695="","",INDEX(명단표[소속병원],$P695))</f>
        <v/>
      </c>
      <c r="H695">
        <f>IF($P695="","",IF(INDEX(명단표[소속병원],$P695)="서울병원","서울 소속","타 병원 소속("&amp;INDEX(명단표[소속병원],$P695)&amp;") → 서울 지급"))</f>
        <v/>
      </c>
      <c r="I695">
        <f>IF($P695="","",INDEX(명단표[현재 근무병원],$P695))</f>
        <v/>
      </c>
      <c r="J695">
        <f>IF($P695="","",INDEX(명단표[구리 근무 시작일(기준월)],$P695)&amp;"")</f>
        <v/>
      </c>
      <c r="K695">
        <f>IF($P695="","",INDEX(명단표[구리 근무 종료일(기준월)],$P695)&amp;"")</f>
        <v/>
      </c>
      <c r="L695">
        <f>IF($P695="","",INDEX(명단표[서울 근무일(기준월)],$P695))</f>
        <v/>
      </c>
      <c r="M695">
        <f>IF($P695="","",INDEX(명단표[구리 근무일(기준월)],$P695))</f>
        <v/>
      </c>
      <c r="N695">
        <f>IF($P695="","",INDEX(명단표[급여 판정 근거],$P695))</f>
        <v/>
      </c>
      <c r="O695">
        <f>IF($P695="","",INDEX(명단표[점검],$P695))</f>
        <v/>
      </c>
      <c r="P695" s="17">
        <f>IFERROR(MATCH(690,명단표[서울순번],0),"")</f>
        <v/>
      </c>
      <c r="R695">
        <f>IF($W695="","",INDEX(명단표[이름],$W695))</f>
        <v/>
      </c>
      <c r="S695">
        <f>IF($W695="","",INDEX(명단표[사번],$W695)&amp;"")</f>
        <v/>
      </c>
      <c r="T695">
        <f>IF($W695="","",INDEX(명단표[소속병원],$W695))</f>
        <v/>
      </c>
      <c r="U695">
        <f>IF($W695="","",INDEX(명단표[서울 근무일(기준월)],$W695))</f>
        <v/>
      </c>
      <c r="V695">
        <f>IF($W695="","",INDEX(명단표[구리 근무일(기준월)],$W695))</f>
        <v/>
      </c>
      <c r="W695" s="17">
        <f>IFERROR(MATCH(690,명단표[판정불가순번],0),"")</f>
        <v/>
      </c>
    </row>
    <row r="696">
      <c r="A696">
        <f>IF($P696="","",691)</f>
        <v/>
      </c>
      <c r="B696">
        <f>IF($P696="","",INDEX(명단표[이름],$P696))</f>
        <v/>
      </c>
      <c r="C696">
        <f>IF($P696="","",INDEX(명단표[사번],$P696)&amp;"")</f>
        <v/>
      </c>
      <c r="D696">
        <f>IF($P696="","",INDEX(명단표[전공의등록번호],$P696)&amp;"")</f>
        <v/>
      </c>
      <c r="E696">
        <f>IF($P696="","",INDEX(명단표[수련과목],$P696)&amp;"")</f>
        <v/>
      </c>
      <c r="F696">
        <f>IF($P696="","",INDEX(명단표[연차],$P696)&amp;"")</f>
        <v/>
      </c>
      <c r="G696">
        <f>IF($P696="","",INDEX(명단표[소속병원],$P696))</f>
        <v/>
      </c>
      <c r="H696">
        <f>IF($P696="","",IF(INDEX(명단표[소속병원],$P696)="서울병원","서울 소속","타 병원 소속("&amp;INDEX(명단표[소속병원],$P696)&amp;") → 서울 지급"))</f>
        <v/>
      </c>
      <c r="I696">
        <f>IF($P696="","",INDEX(명단표[현재 근무병원],$P696))</f>
        <v/>
      </c>
      <c r="J696">
        <f>IF($P696="","",INDEX(명단표[구리 근무 시작일(기준월)],$P696)&amp;"")</f>
        <v/>
      </c>
      <c r="K696">
        <f>IF($P696="","",INDEX(명단표[구리 근무 종료일(기준월)],$P696)&amp;"")</f>
        <v/>
      </c>
      <c r="L696">
        <f>IF($P696="","",INDEX(명단표[서울 근무일(기준월)],$P696))</f>
        <v/>
      </c>
      <c r="M696">
        <f>IF($P696="","",INDEX(명단표[구리 근무일(기준월)],$P696))</f>
        <v/>
      </c>
      <c r="N696">
        <f>IF($P696="","",INDEX(명단표[급여 판정 근거],$P696))</f>
        <v/>
      </c>
      <c r="O696">
        <f>IF($P696="","",INDEX(명단표[점검],$P696))</f>
        <v/>
      </c>
      <c r="P696" s="17">
        <f>IFERROR(MATCH(691,명단표[서울순번],0),"")</f>
        <v/>
      </c>
      <c r="R696">
        <f>IF($W696="","",INDEX(명단표[이름],$W696))</f>
        <v/>
      </c>
      <c r="S696">
        <f>IF($W696="","",INDEX(명단표[사번],$W696)&amp;"")</f>
        <v/>
      </c>
      <c r="T696">
        <f>IF($W696="","",INDEX(명단표[소속병원],$W696))</f>
        <v/>
      </c>
      <c r="U696">
        <f>IF($W696="","",INDEX(명단표[서울 근무일(기준월)],$W696))</f>
        <v/>
      </c>
      <c r="V696">
        <f>IF($W696="","",INDEX(명단표[구리 근무일(기준월)],$W696))</f>
        <v/>
      </c>
      <c r="W696" s="17">
        <f>IFERROR(MATCH(691,명단표[판정불가순번],0),"")</f>
        <v/>
      </c>
    </row>
    <row r="697">
      <c r="A697">
        <f>IF($P697="","",692)</f>
        <v/>
      </c>
      <c r="B697">
        <f>IF($P697="","",INDEX(명단표[이름],$P697))</f>
        <v/>
      </c>
      <c r="C697">
        <f>IF($P697="","",INDEX(명단표[사번],$P697)&amp;"")</f>
        <v/>
      </c>
      <c r="D697">
        <f>IF($P697="","",INDEX(명단표[전공의등록번호],$P697)&amp;"")</f>
        <v/>
      </c>
      <c r="E697">
        <f>IF($P697="","",INDEX(명단표[수련과목],$P697)&amp;"")</f>
        <v/>
      </c>
      <c r="F697">
        <f>IF($P697="","",INDEX(명단표[연차],$P697)&amp;"")</f>
        <v/>
      </c>
      <c r="G697">
        <f>IF($P697="","",INDEX(명단표[소속병원],$P697))</f>
        <v/>
      </c>
      <c r="H697">
        <f>IF($P697="","",IF(INDEX(명단표[소속병원],$P697)="서울병원","서울 소속","타 병원 소속("&amp;INDEX(명단표[소속병원],$P697)&amp;") → 서울 지급"))</f>
        <v/>
      </c>
      <c r="I697">
        <f>IF($P697="","",INDEX(명단표[현재 근무병원],$P697))</f>
        <v/>
      </c>
      <c r="J697">
        <f>IF($P697="","",INDEX(명단표[구리 근무 시작일(기준월)],$P697)&amp;"")</f>
        <v/>
      </c>
      <c r="K697">
        <f>IF($P697="","",INDEX(명단표[구리 근무 종료일(기준월)],$P697)&amp;"")</f>
        <v/>
      </c>
      <c r="L697">
        <f>IF($P697="","",INDEX(명단표[서울 근무일(기준월)],$P697))</f>
        <v/>
      </c>
      <c r="M697">
        <f>IF($P697="","",INDEX(명단표[구리 근무일(기준월)],$P697))</f>
        <v/>
      </c>
      <c r="N697">
        <f>IF($P697="","",INDEX(명단표[급여 판정 근거],$P697))</f>
        <v/>
      </c>
      <c r="O697">
        <f>IF($P697="","",INDEX(명단표[점검],$P697))</f>
        <v/>
      </c>
      <c r="P697" s="17">
        <f>IFERROR(MATCH(692,명단표[서울순번],0),"")</f>
        <v/>
      </c>
      <c r="R697">
        <f>IF($W697="","",INDEX(명단표[이름],$W697))</f>
        <v/>
      </c>
      <c r="S697">
        <f>IF($W697="","",INDEX(명단표[사번],$W697)&amp;"")</f>
        <v/>
      </c>
      <c r="T697">
        <f>IF($W697="","",INDEX(명단표[소속병원],$W697))</f>
        <v/>
      </c>
      <c r="U697">
        <f>IF($W697="","",INDEX(명단표[서울 근무일(기준월)],$W697))</f>
        <v/>
      </c>
      <c r="V697">
        <f>IF($W697="","",INDEX(명단표[구리 근무일(기준월)],$W697))</f>
        <v/>
      </c>
      <c r="W697" s="17">
        <f>IFERROR(MATCH(692,명단표[판정불가순번],0),"")</f>
        <v/>
      </c>
    </row>
    <row r="698">
      <c r="A698">
        <f>IF($P698="","",693)</f>
        <v/>
      </c>
      <c r="B698">
        <f>IF($P698="","",INDEX(명단표[이름],$P698))</f>
        <v/>
      </c>
      <c r="C698">
        <f>IF($P698="","",INDEX(명단표[사번],$P698)&amp;"")</f>
        <v/>
      </c>
      <c r="D698">
        <f>IF($P698="","",INDEX(명단표[전공의등록번호],$P698)&amp;"")</f>
        <v/>
      </c>
      <c r="E698">
        <f>IF($P698="","",INDEX(명단표[수련과목],$P698)&amp;"")</f>
        <v/>
      </c>
      <c r="F698">
        <f>IF($P698="","",INDEX(명단표[연차],$P698)&amp;"")</f>
        <v/>
      </c>
      <c r="G698">
        <f>IF($P698="","",INDEX(명단표[소속병원],$P698))</f>
        <v/>
      </c>
      <c r="H698">
        <f>IF($P698="","",IF(INDEX(명단표[소속병원],$P698)="서울병원","서울 소속","타 병원 소속("&amp;INDEX(명단표[소속병원],$P698)&amp;") → 서울 지급"))</f>
        <v/>
      </c>
      <c r="I698">
        <f>IF($P698="","",INDEX(명단표[현재 근무병원],$P698))</f>
        <v/>
      </c>
      <c r="J698">
        <f>IF($P698="","",INDEX(명단표[구리 근무 시작일(기준월)],$P698)&amp;"")</f>
        <v/>
      </c>
      <c r="K698">
        <f>IF($P698="","",INDEX(명단표[구리 근무 종료일(기준월)],$P698)&amp;"")</f>
        <v/>
      </c>
      <c r="L698">
        <f>IF($P698="","",INDEX(명단표[서울 근무일(기준월)],$P698))</f>
        <v/>
      </c>
      <c r="M698">
        <f>IF($P698="","",INDEX(명단표[구리 근무일(기준월)],$P698))</f>
        <v/>
      </c>
      <c r="N698">
        <f>IF($P698="","",INDEX(명단표[급여 판정 근거],$P698))</f>
        <v/>
      </c>
      <c r="O698">
        <f>IF($P698="","",INDEX(명단표[점검],$P698))</f>
        <v/>
      </c>
      <c r="P698" s="17">
        <f>IFERROR(MATCH(693,명단표[서울순번],0),"")</f>
        <v/>
      </c>
      <c r="R698">
        <f>IF($W698="","",INDEX(명단표[이름],$W698))</f>
        <v/>
      </c>
      <c r="S698">
        <f>IF($W698="","",INDEX(명단표[사번],$W698)&amp;"")</f>
        <v/>
      </c>
      <c r="T698">
        <f>IF($W698="","",INDEX(명단표[소속병원],$W698))</f>
        <v/>
      </c>
      <c r="U698">
        <f>IF($W698="","",INDEX(명단표[서울 근무일(기준월)],$W698))</f>
        <v/>
      </c>
      <c r="V698">
        <f>IF($W698="","",INDEX(명단표[구리 근무일(기준월)],$W698))</f>
        <v/>
      </c>
      <c r="W698" s="17">
        <f>IFERROR(MATCH(693,명단표[판정불가순번],0),"")</f>
        <v/>
      </c>
    </row>
    <row r="699">
      <c r="A699">
        <f>IF($P699="","",694)</f>
        <v/>
      </c>
      <c r="B699">
        <f>IF($P699="","",INDEX(명단표[이름],$P699))</f>
        <v/>
      </c>
      <c r="C699">
        <f>IF($P699="","",INDEX(명단표[사번],$P699)&amp;"")</f>
        <v/>
      </c>
      <c r="D699">
        <f>IF($P699="","",INDEX(명단표[전공의등록번호],$P699)&amp;"")</f>
        <v/>
      </c>
      <c r="E699">
        <f>IF($P699="","",INDEX(명단표[수련과목],$P699)&amp;"")</f>
        <v/>
      </c>
      <c r="F699">
        <f>IF($P699="","",INDEX(명단표[연차],$P699)&amp;"")</f>
        <v/>
      </c>
      <c r="G699">
        <f>IF($P699="","",INDEX(명단표[소속병원],$P699))</f>
        <v/>
      </c>
      <c r="H699">
        <f>IF($P699="","",IF(INDEX(명단표[소속병원],$P699)="서울병원","서울 소속","타 병원 소속("&amp;INDEX(명단표[소속병원],$P699)&amp;") → 서울 지급"))</f>
        <v/>
      </c>
      <c r="I699">
        <f>IF($P699="","",INDEX(명단표[현재 근무병원],$P699))</f>
        <v/>
      </c>
      <c r="J699">
        <f>IF($P699="","",INDEX(명단표[구리 근무 시작일(기준월)],$P699)&amp;"")</f>
        <v/>
      </c>
      <c r="K699">
        <f>IF($P699="","",INDEX(명단표[구리 근무 종료일(기준월)],$P699)&amp;"")</f>
        <v/>
      </c>
      <c r="L699">
        <f>IF($P699="","",INDEX(명단표[서울 근무일(기준월)],$P699))</f>
        <v/>
      </c>
      <c r="M699">
        <f>IF($P699="","",INDEX(명단표[구리 근무일(기준월)],$P699))</f>
        <v/>
      </c>
      <c r="N699">
        <f>IF($P699="","",INDEX(명단표[급여 판정 근거],$P699))</f>
        <v/>
      </c>
      <c r="O699">
        <f>IF($P699="","",INDEX(명단표[점검],$P699))</f>
        <v/>
      </c>
      <c r="P699" s="17">
        <f>IFERROR(MATCH(694,명단표[서울순번],0),"")</f>
        <v/>
      </c>
      <c r="R699">
        <f>IF($W699="","",INDEX(명단표[이름],$W699))</f>
        <v/>
      </c>
      <c r="S699">
        <f>IF($W699="","",INDEX(명단표[사번],$W699)&amp;"")</f>
        <v/>
      </c>
      <c r="T699">
        <f>IF($W699="","",INDEX(명단표[소속병원],$W699))</f>
        <v/>
      </c>
      <c r="U699">
        <f>IF($W699="","",INDEX(명단표[서울 근무일(기준월)],$W699))</f>
        <v/>
      </c>
      <c r="V699">
        <f>IF($W699="","",INDEX(명단표[구리 근무일(기준월)],$W699))</f>
        <v/>
      </c>
      <c r="W699" s="17">
        <f>IFERROR(MATCH(694,명단표[판정불가순번],0),"")</f>
        <v/>
      </c>
    </row>
    <row r="700">
      <c r="A700">
        <f>IF($P700="","",695)</f>
        <v/>
      </c>
      <c r="B700">
        <f>IF($P700="","",INDEX(명단표[이름],$P700))</f>
        <v/>
      </c>
      <c r="C700">
        <f>IF($P700="","",INDEX(명단표[사번],$P700)&amp;"")</f>
        <v/>
      </c>
      <c r="D700">
        <f>IF($P700="","",INDEX(명단표[전공의등록번호],$P700)&amp;"")</f>
        <v/>
      </c>
      <c r="E700">
        <f>IF($P700="","",INDEX(명단표[수련과목],$P700)&amp;"")</f>
        <v/>
      </c>
      <c r="F700">
        <f>IF($P700="","",INDEX(명단표[연차],$P700)&amp;"")</f>
        <v/>
      </c>
      <c r="G700">
        <f>IF($P700="","",INDEX(명단표[소속병원],$P700))</f>
        <v/>
      </c>
      <c r="H700">
        <f>IF($P700="","",IF(INDEX(명단표[소속병원],$P700)="서울병원","서울 소속","타 병원 소속("&amp;INDEX(명단표[소속병원],$P700)&amp;") → 서울 지급"))</f>
        <v/>
      </c>
      <c r="I700">
        <f>IF($P700="","",INDEX(명단표[현재 근무병원],$P700))</f>
        <v/>
      </c>
      <c r="J700">
        <f>IF($P700="","",INDEX(명단표[구리 근무 시작일(기준월)],$P700)&amp;"")</f>
        <v/>
      </c>
      <c r="K700">
        <f>IF($P700="","",INDEX(명단표[구리 근무 종료일(기준월)],$P700)&amp;"")</f>
        <v/>
      </c>
      <c r="L700">
        <f>IF($P700="","",INDEX(명단표[서울 근무일(기준월)],$P700))</f>
        <v/>
      </c>
      <c r="M700">
        <f>IF($P700="","",INDEX(명단표[구리 근무일(기준월)],$P700))</f>
        <v/>
      </c>
      <c r="N700">
        <f>IF($P700="","",INDEX(명단표[급여 판정 근거],$P700))</f>
        <v/>
      </c>
      <c r="O700">
        <f>IF($P700="","",INDEX(명단표[점검],$P700))</f>
        <v/>
      </c>
      <c r="P700" s="17">
        <f>IFERROR(MATCH(695,명단표[서울순번],0),"")</f>
        <v/>
      </c>
      <c r="R700">
        <f>IF($W700="","",INDEX(명단표[이름],$W700))</f>
        <v/>
      </c>
      <c r="S700">
        <f>IF($W700="","",INDEX(명단표[사번],$W700)&amp;"")</f>
        <v/>
      </c>
      <c r="T700">
        <f>IF($W700="","",INDEX(명단표[소속병원],$W700))</f>
        <v/>
      </c>
      <c r="U700">
        <f>IF($W700="","",INDEX(명단표[서울 근무일(기준월)],$W700))</f>
        <v/>
      </c>
      <c r="V700">
        <f>IF($W700="","",INDEX(명단표[구리 근무일(기준월)],$W700))</f>
        <v/>
      </c>
      <c r="W700" s="17">
        <f>IFERROR(MATCH(695,명단표[판정불가순번],0),"")</f>
        <v/>
      </c>
    </row>
    <row r="701">
      <c r="A701">
        <f>IF($P701="","",696)</f>
        <v/>
      </c>
      <c r="B701">
        <f>IF($P701="","",INDEX(명단표[이름],$P701))</f>
        <v/>
      </c>
      <c r="C701">
        <f>IF($P701="","",INDEX(명단표[사번],$P701)&amp;"")</f>
        <v/>
      </c>
      <c r="D701">
        <f>IF($P701="","",INDEX(명단표[전공의등록번호],$P701)&amp;"")</f>
        <v/>
      </c>
      <c r="E701">
        <f>IF($P701="","",INDEX(명단표[수련과목],$P701)&amp;"")</f>
        <v/>
      </c>
      <c r="F701">
        <f>IF($P701="","",INDEX(명단표[연차],$P701)&amp;"")</f>
        <v/>
      </c>
      <c r="G701">
        <f>IF($P701="","",INDEX(명단표[소속병원],$P701))</f>
        <v/>
      </c>
      <c r="H701">
        <f>IF($P701="","",IF(INDEX(명단표[소속병원],$P701)="서울병원","서울 소속","타 병원 소속("&amp;INDEX(명단표[소속병원],$P701)&amp;") → 서울 지급"))</f>
        <v/>
      </c>
      <c r="I701">
        <f>IF($P701="","",INDEX(명단표[현재 근무병원],$P701))</f>
        <v/>
      </c>
      <c r="J701">
        <f>IF($P701="","",INDEX(명단표[구리 근무 시작일(기준월)],$P701)&amp;"")</f>
        <v/>
      </c>
      <c r="K701">
        <f>IF($P701="","",INDEX(명단표[구리 근무 종료일(기준월)],$P701)&amp;"")</f>
        <v/>
      </c>
      <c r="L701">
        <f>IF($P701="","",INDEX(명단표[서울 근무일(기준월)],$P701))</f>
        <v/>
      </c>
      <c r="M701">
        <f>IF($P701="","",INDEX(명단표[구리 근무일(기준월)],$P701))</f>
        <v/>
      </c>
      <c r="N701">
        <f>IF($P701="","",INDEX(명단표[급여 판정 근거],$P701))</f>
        <v/>
      </c>
      <c r="O701">
        <f>IF($P701="","",INDEX(명단표[점검],$P701))</f>
        <v/>
      </c>
      <c r="P701" s="17">
        <f>IFERROR(MATCH(696,명단표[서울순번],0),"")</f>
        <v/>
      </c>
      <c r="R701">
        <f>IF($W701="","",INDEX(명단표[이름],$W701))</f>
        <v/>
      </c>
      <c r="S701">
        <f>IF($W701="","",INDEX(명단표[사번],$W701)&amp;"")</f>
        <v/>
      </c>
      <c r="T701">
        <f>IF($W701="","",INDEX(명단표[소속병원],$W701))</f>
        <v/>
      </c>
      <c r="U701">
        <f>IF($W701="","",INDEX(명단표[서울 근무일(기준월)],$W701))</f>
        <v/>
      </c>
      <c r="V701">
        <f>IF($W701="","",INDEX(명단표[구리 근무일(기준월)],$W701))</f>
        <v/>
      </c>
      <c r="W701" s="17">
        <f>IFERROR(MATCH(696,명단표[판정불가순번],0),"")</f>
        <v/>
      </c>
    </row>
    <row r="702">
      <c r="A702">
        <f>IF($P702="","",697)</f>
        <v/>
      </c>
      <c r="B702">
        <f>IF($P702="","",INDEX(명단표[이름],$P702))</f>
        <v/>
      </c>
      <c r="C702">
        <f>IF($P702="","",INDEX(명단표[사번],$P702)&amp;"")</f>
        <v/>
      </c>
      <c r="D702">
        <f>IF($P702="","",INDEX(명단표[전공의등록번호],$P702)&amp;"")</f>
        <v/>
      </c>
      <c r="E702">
        <f>IF($P702="","",INDEX(명단표[수련과목],$P702)&amp;"")</f>
        <v/>
      </c>
      <c r="F702">
        <f>IF($P702="","",INDEX(명단표[연차],$P702)&amp;"")</f>
        <v/>
      </c>
      <c r="G702">
        <f>IF($P702="","",INDEX(명단표[소속병원],$P702))</f>
        <v/>
      </c>
      <c r="H702">
        <f>IF($P702="","",IF(INDEX(명단표[소속병원],$P702)="서울병원","서울 소속","타 병원 소속("&amp;INDEX(명단표[소속병원],$P702)&amp;") → 서울 지급"))</f>
        <v/>
      </c>
      <c r="I702">
        <f>IF($P702="","",INDEX(명단표[현재 근무병원],$P702))</f>
        <v/>
      </c>
      <c r="J702">
        <f>IF($P702="","",INDEX(명단표[구리 근무 시작일(기준월)],$P702)&amp;"")</f>
        <v/>
      </c>
      <c r="K702">
        <f>IF($P702="","",INDEX(명단표[구리 근무 종료일(기준월)],$P702)&amp;"")</f>
        <v/>
      </c>
      <c r="L702">
        <f>IF($P702="","",INDEX(명단표[서울 근무일(기준월)],$P702))</f>
        <v/>
      </c>
      <c r="M702">
        <f>IF($P702="","",INDEX(명단표[구리 근무일(기준월)],$P702))</f>
        <v/>
      </c>
      <c r="N702">
        <f>IF($P702="","",INDEX(명단표[급여 판정 근거],$P702))</f>
        <v/>
      </c>
      <c r="O702">
        <f>IF($P702="","",INDEX(명단표[점검],$P702))</f>
        <v/>
      </c>
      <c r="P702" s="17">
        <f>IFERROR(MATCH(697,명단표[서울순번],0),"")</f>
        <v/>
      </c>
      <c r="R702">
        <f>IF($W702="","",INDEX(명단표[이름],$W702))</f>
        <v/>
      </c>
      <c r="S702">
        <f>IF($W702="","",INDEX(명단표[사번],$W702)&amp;"")</f>
        <v/>
      </c>
      <c r="T702">
        <f>IF($W702="","",INDEX(명단표[소속병원],$W702))</f>
        <v/>
      </c>
      <c r="U702">
        <f>IF($W702="","",INDEX(명단표[서울 근무일(기준월)],$W702))</f>
        <v/>
      </c>
      <c r="V702">
        <f>IF($W702="","",INDEX(명단표[구리 근무일(기준월)],$W702))</f>
        <v/>
      </c>
      <c r="W702" s="17">
        <f>IFERROR(MATCH(697,명단표[판정불가순번],0),"")</f>
        <v/>
      </c>
    </row>
    <row r="703">
      <c r="A703">
        <f>IF($P703="","",698)</f>
        <v/>
      </c>
      <c r="B703">
        <f>IF($P703="","",INDEX(명단표[이름],$P703))</f>
        <v/>
      </c>
      <c r="C703">
        <f>IF($P703="","",INDEX(명단표[사번],$P703)&amp;"")</f>
        <v/>
      </c>
      <c r="D703">
        <f>IF($P703="","",INDEX(명단표[전공의등록번호],$P703)&amp;"")</f>
        <v/>
      </c>
      <c r="E703">
        <f>IF($P703="","",INDEX(명단표[수련과목],$P703)&amp;"")</f>
        <v/>
      </c>
      <c r="F703">
        <f>IF($P703="","",INDEX(명단표[연차],$P703)&amp;"")</f>
        <v/>
      </c>
      <c r="G703">
        <f>IF($P703="","",INDEX(명단표[소속병원],$P703))</f>
        <v/>
      </c>
      <c r="H703">
        <f>IF($P703="","",IF(INDEX(명단표[소속병원],$P703)="서울병원","서울 소속","타 병원 소속("&amp;INDEX(명단표[소속병원],$P703)&amp;") → 서울 지급"))</f>
        <v/>
      </c>
      <c r="I703">
        <f>IF($P703="","",INDEX(명단표[현재 근무병원],$P703))</f>
        <v/>
      </c>
      <c r="J703">
        <f>IF($P703="","",INDEX(명단표[구리 근무 시작일(기준월)],$P703)&amp;"")</f>
        <v/>
      </c>
      <c r="K703">
        <f>IF($P703="","",INDEX(명단표[구리 근무 종료일(기준월)],$P703)&amp;"")</f>
        <v/>
      </c>
      <c r="L703">
        <f>IF($P703="","",INDEX(명단표[서울 근무일(기준월)],$P703))</f>
        <v/>
      </c>
      <c r="M703">
        <f>IF($P703="","",INDEX(명단표[구리 근무일(기준월)],$P703))</f>
        <v/>
      </c>
      <c r="N703">
        <f>IF($P703="","",INDEX(명단표[급여 판정 근거],$P703))</f>
        <v/>
      </c>
      <c r="O703">
        <f>IF($P703="","",INDEX(명단표[점검],$P703))</f>
        <v/>
      </c>
      <c r="P703" s="17">
        <f>IFERROR(MATCH(698,명단표[서울순번],0),"")</f>
        <v/>
      </c>
      <c r="R703">
        <f>IF($W703="","",INDEX(명단표[이름],$W703))</f>
        <v/>
      </c>
      <c r="S703">
        <f>IF($W703="","",INDEX(명단표[사번],$W703)&amp;"")</f>
        <v/>
      </c>
      <c r="T703">
        <f>IF($W703="","",INDEX(명단표[소속병원],$W703))</f>
        <v/>
      </c>
      <c r="U703">
        <f>IF($W703="","",INDEX(명단표[서울 근무일(기준월)],$W703))</f>
        <v/>
      </c>
      <c r="V703">
        <f>IF($W703="","",INDEX(명단표[구리 근무일(기준월)],$W703))</f>
        <v/>
      </c>
      <c r="W703" s="17">
        <f>IFERROR(MATCH(698,명단표[판정불가순번],0),"")</f>
        <v/>
      </c>
    </row>
    <row r="704">
      <c r="A704">
        <f>IF($P704="","",699)</f>
        <v/>
      </c>
      <c r="B704">
        <f>IF($P704="","",INDEX(명단표[이름],$P704))</f>
        <v/>
      </c>
      <c r="C704">
        <f>IF($P704="","",INDEX(명단표[사번],$P704)&amp;"")</f>
        <v/>
      </c>
      <c r="D704">
        <f>IF($P704="","",INDEX(명단표[전공의등록번호],$P704)&amp;"")</f>
        <v/>
      </c>
      <c r="E704">
        <f>IF($P704="","",INDEX(명단표[수련과목],$P704)&amp;"")</f>
        <v/>
      </c>
      <c r="F704">
        <f>IF($P704="","",INDEX(명단표[연차],$P704)&amp;"")</f>
        <v/>
      </c>
      <c r="G704">
        <f>IF($P704="","",INDEX(명단표[소속병원],$P704))</f>
        <v/>
      </c>
      <c r="H704">
        <f>IF($P704="","",IF(INDEX(명단표[소속병원],$P704)="서울병원","서울 소속","타 병원 소속("&amp;INDEX(명단표[소속병원],$P704)&amp;") → 서울 지급"))</f>
        <v/>
      </c>
      <c r="I704">
        <f>IF($P704="","",INDEX(명단표[현재 근무병원],$P704))</f>
        <v/>
      </c>
      <c r="J704">
        <f>IF($P704="","",INDEX(명단표[구리 근무 시작일(기준월)],$P704)&amp;"")</f>
        <v/>
      </c>
      <c r="K704">
        <f>IF($P704="","",INDEX(명단표[구리 근무 종료일(기준월)],$P704)&amp;"")</f>
        <v/>
      </c>
      <c r="L704">
        <f>IF($P704="","",INDEX(명단표[서울 근무일(기준월)],$P704))</f>
        <v/>
      </c>
      <c r="M704">
        <f>IF($P704="","",INDEX(명단표[구리 근무일(기준월)],$P704))</f>
        <v/>
      </c>
      <c r="N704">
        <f>IF($P704="","",INDEX(명단표[급여 판정 근거],$P704))</f>
        <v/>
      </c>
      <c r="O704">
        <f>IF($P704="","",INDEX(명단표[점검],$P704))</f>
        <v/>
      </c>
      <c r="P704" s="17">
        <f>IFERROR(MATCH(699,명단표[서울순번],0),"")</f>
        <v/>
      </c>
      <c r="R704">
        <f>IF($W704="","",INDEX(명단표[이름],$W704))</f>
        <v/>
      </c>
      <c r="S704">
        <f>IF($W704="","",INDEX(명단표[사번],$W704)&amp;"")</f>
        <v/>
      </c>
      <c r="T704">
        <f>IF($W704="","",INDEX(명단표[소속병원],$W704))</f>
        <v/>
      </c>
      <c r="U704">
        <f>IF($W704="","",INDEX(명단표[서울 근무일(기준월)],$W704))</f>
        <v/>
      </c>
      <c r="V704">
        <f>IF($W704="","",INDEX(명단표[구리 근무일(기준월)],$W704))</f>
        <v/>
      </c>
      <c r="W704" s="17">
        <f>IFERROR(MATCH(699,명단표[판정불가순번],0),"")</f>
        <v/>
      </c>
    </row>
    <row r="705">
      <c r="A705">
        <f>IF($P705="","",700)</f>
        <v/>
      </c>
      <c r="B705">
        <f>IF($P705="","",INDEX(명단표[이름],$P705))</f>
        <v/>
      </c>
      <c r="C705">
        <f>IF($P705="","",INDEX(명단표[사번],$P705)&amp;"")</f>
        <v/>
      </c>
      <c r="D705">
        <f>IF($P705="","",INDEX(명단표[전공의등록번호],$P705)&amp;"")</f>
        <v/>
      </c>
      <c r="E705">
        <f>IF($P705="","",INDEX(명단표[수련과목],$P705)&amp;"")</f>
        <v/>
      </c>
      <c r="F705">
        <f>IF($P705="","",INDEX(명단표[연차],$P705)&amp;"")</f>
        <v/>
      </c>
      <c r="G705">
        <f>IF($P705="","",INDEX(명단표[소속병원],$P705))</f>
        <v/>
      </c>
      <c r="H705">
        <f>IF($P705="","",IF(INDEX(명단표[소속병원],$P705)="서울병원","서울 소속","타 병원 소속("&amp;INDEX(명단표[소속병원],$P705)&amp;") → 서울 지급"))</f>
        <v/>
      </c>
      <c r="I705">
        <f>IF($P705="","",INDEX(명단표[현재 근무병원],$P705))</f>
        <v/>
      </c>
      <c r="J705">
        <f>IF($P705="","",INDEX(명단표[구리 근무 시작일(기준월)],$P705)&amp;"")</f>
        <v/>
      </c>
      <c r="K705">
        <f>IF($P705="","",INDEX(명단표[구리 근무 종료일(기준월)],$P705)&amp;"")</f>
        <v/>
      </c>
      <c r="L705">
        <f>IF($P705="","",INDEX(명단표[서울 근무일(기준월)],$P705))</f>
        <v/>
      </c>
      <c r="M705">
        <f>IF($P705="","",INDEX(명단표[구리 근무일(기준월)],$P705))</f>
        <v/>
      </c>
      <c r="N705">
        <f>IF($P705="","",INDEX(명단표[급여 판정 근거],$P705))</f>
        <v/>
      </c>
      <c r="O705">
        <f>IF($P705="","",INDEX(명단표[점검],$P705))</f>
        <v/>
      </c>
      <c r="P705" s="17">
        <f>IFERROR(MATCH(700,명단표[서울순번],0),"")</f>
        <v/>
      </c>
      <c r="R705">
        <f>IF($W705="","",INDEX(명단표[이름],$W705))</f>
        <v/>
      </c>
      <c r="S705">
        <f>IF($W705="","",INDEX(명단표[사번],$W705)&amp;"")</f>
        <v/>
      </c>
      <c r="T705">
        <f>IF($W705="","",INDEX(명단표[소속병원],$W705))</f>
        <v/>
      </c>
      <c r="U705">
        <f>IF($W705="","",INDEX(명단표[서울 근무일(기준월)],$W705))</f>
        <v/>
      </c>
      <c r="V705">
        <f>IF($W705="","",INDEX(명단표[구리 근무일(기준월)],$W705))</f>
        <v/>
      </c>
      <c r="W705" s="17">
        <f>IFERROR(MATCH(700,명단표[판정불가순번],0),"")</f>
        <v/>
      </c>
    </row>
    <row r="706">
      <c r="A706">
        <f>IF($P706="","",701)</f>
        <v/>
      </c>
      <c r="B706">
        <f>IF($P706="","",INDEX(명단표[이름],$P706))</f>
        <v/>
      </c>
      <c r="C706">
        <f>IF($P706="","",INDEX(명단표[사번],$P706)&amp;"")</f>
        <v/>
      </c>
      <c r="D706">
        <f>IF($P706="","",INDEX(명단표[전공의등록번호],$P706)&amp;"")</f>
        <v/>
      </c>
      <c r="E706">
        <f>IF($P706="","",INDEX(명단표[수련과목],$P706)&amp;"")</f>
        <v/>
      </c>
      <c r="F706">
        <f>IF($P706="","",INDEX(명단표[연차],$P706)&amp;"")</f>
        <v/>
      </c>
      <c r="G706">
        <f>IF($P706="","",INDEX(명단표[소속병원],$P706))</f>
        <v/>
      </c>
      <c r="H706">
        <f>IF($P706="","",IF(INDEX(명단표[소속병원],$P706)="서울병원","서울 소속","타 병원 소속("&amp;INDEX(명단표[소속병원],$P706)&amp;") → 서울 지급"))</f>
        <v/>
      </c>
      <c r="I706">
        <f>IF($P706="","",INDEX(명단표[현재 근무병원],$P706))</f>
        <v/>
      </c>
      <c r="J706">
        <f>IF($P706="","",INDEX(명단표[구리 근무 시작일(기준월)],$P706)&amp;"")</f>
        <v/>
      </c>
      <c r="K706">
        <f>IF($P706="","",INDEX(명단표[구리 근무 종료일(기준월)],$P706)&amp;"")</f>
        <v/>
      </c>
      <c r="L706">
        <f>IF($P706="","",INDEX(명단표[서울 근무일(기준월)],$P706))</f>
        <v/>
      </c>
      <c r="M706">
        <f>IF($P706="","",INDEX(명단표[구리 근무일(기준월)],$P706))</f>
        <v/>
      </c>
      <c r="N706">
        <f>IF($P706="","",INDEX(명단표[급여 판정 근거],$P706))</f>
        <v/>
      </c>
      <c r="O706">
        <f>IF($P706="","",INDEX(명단표[점검],$P706))</f>
        <v/>
      </c>
      <c r="P706" s="17">
        <f>IFERROR(MATCH(701,명단표[서울순번],0),"")</f>
        <v/>
      </c>
      <c r="R706">
        <f>IF($W706="","",INDEX(명단표[이름],$W706))</f>
        <v/>
      </c>
      <c r="S706">
        <f>IF($W706="","",INDEX(명단표[사번],$W706)&amp;"")</f>
        <v/>
      </c>
      <c r="T706">
        <f>IF($W706="","",INDEX(명단표[소속병원],$W706))</f>
        <v/>
      </c>
      <c r="U706">
        <f>IF($W706="","",INDEX(명단표[서울 근무일(기준월)],$W706))</f>
        <v/>
      </c>
      <c r="V706">
        <f>IF($W706="","",INDEX(명단표[구리 근무일(기준월)],$W706))</f>
        <v/>
      </c>
      <c r="W706" s="17">
        <f>IFERROR(MATCH(701,명단표[판정불가순번],0),"")</f>
        <v/>
      </c>
    </row>
    <row r="707">
      <c r="A707">
        <f>IF($P707="","",702)</f>
        <v/>
      </c>
      <c r="B707">
        <f>IF($P707="","",INDEX(명단표[이름],$P707))</f>
        <v/>
      </c>
      <c r="C707">
        <f>IF($P707="","",INDEX(명단표[사번],$P707)&amp;"")</f>
        <v/>
      </c>
      <c r="D707">
        <f>IF($P707="","",INDEX(명단표[전공의등록번호],$P707)&amp;"")</f>
        <v/>
      </c>
      <c r="E707">
        <f>IF($P707="","",INDEX(명단표[수련과목],$P707)&amp;"")</f>
        <v/>
      </c>
      <c r="F707">
        <f>IF($P707="","",INDEX(명단표[연차],$P707)&amp;"")</f>
        <v/>
      </c>
      <c r="G707">
        <f>IF($P707="","",INDEX(명단표[소속병원],$P707))</f>
        <v/>
      </c>
      <c r="H707">
        <f>IF($P707="","",IF(INDEX(명단표[소속병원],$P707)="서울병원","서울 소속","타 병원 소속("&amp;INDEX(명단표[소속병원],$P707)&amp;") → 서울 지급"))</f>
        <v/>
      </c>
      <c r="I707">
        <f>IF($P707="","",INDEX(명단표[현재 근무병원],$P707))</f>
        <v/>
      </c>
      <c r="J707">
        <f>IF($P707="","",INDEX(명단표[구리 근무 시작일(기준월)],$P707)&amp;"")</f>
        <v/>
      </c>
      <c r="K707">
        <f>IF($P707="","",INDEX(명단표[구리 근무 종료일(기준월)],$P707)&amp;"")</f>
        <v/>
      </c>
      <c r="L707">
        <f>IF($P707="","",INDEX(명단표[서울 근무일(기준월)],$P707))</f>
        <v/>
      </c>
      <c r="M707">
        <f>IF($P707="","",INDEX(명단표[구리 근무일(기준월)],$P707))</f>
        <v/>
      </c>
      <c r="N707">
        <f>IF($P707="","",INDEX(명단표[급여 판정 근거],$P707))</f>
        <v/>
      </c>
      <c r="O707">
        <f>IF($P707="","",INDEX(명단표[점검],$P707))</f>
        <v/>
      </c>
      <c r="P707" s="17">
        <f>IFERROR(MATCH(702,명단표[서울순번],0),"")</f>
        <v/>
      </c>
      <c r="R707">
        <f>IF($W707="","",INDEX(명단표[이름],$W707))</f>
        <v/>
      </c>
      <c r="S707">
        <f>IF($W707="","",INDEX(명단표[사번],$W707)&amp;"")</f>
        <v/>
      </c>
      <c r="T707">
        <f>IF($W707="","",INDEX(명단표[소속병원],$W707))</f>
        <v/>
      </c>
      <c r="U707">
        <f>IF($W707="","",INDEX(명단표[서울 근무일(기준월)],$W707))</f>
        <v/>
      </c>
      <c r="V707">
        <f>IF($W707="","",INDEX(명단표[구리 근무일(기준월)],$W707))</f>
        <v/>
      </c>
      <c r="W707" s="17">
        <f>IFERROR(MATCH(702,명단표[판정불가순번],0),"")</f>
        <v/>
      </c>
    </row>
    <row r="708">
      <c r="A708">
        <f>IF($P708="","",703)</f>
        <v/>
      </c>
      <c r="B708">
        <f>IF($P708="","",INDEX(명단표[이름],$P708))</f>
        <v/>
      </c>
      <c r="C708">
        <f>IF($P708="","",INDEX(명단표[사번],$P708)&amp;"")</f>
        <v/>
      </c>
      <c r="D708">
        <f>IF($P708="","",INDEX(명단표[전공의등록번호],$P708)&amp;"")</f>
        <v/>
      </c>
      <c r="E708">
        <f>IF($P708="","",INDEX(명단표[수련과목],$P708)&amp;"")</f>
        <v/>
      </c>
      <c r="F708">
        <f>IF($P708="","",INDEX(명단표[연차],$P708)&amp;"")</f>
        <v/>
      </c>
      <c r="G708">
        <f>IF($P708="","",INDEX(명단표[소속병원],$P708))</f>
        <v/>
      </c>
      <c r="H708">
        <f>IF($P708="","",IF(INDEX(명단표[소속병원],$P708)="서울병원","서울 소속","타 병원 소속("&amp;INDEX(명단표[소속병원],$P708)&amp;") → 서울 지급"))</f>
        <v/>
      </c>
      <c r="I708">
        <f>IF($P708="","",INDEX(명단표[현재 근무병원],$P708))</f>
        <v/>
      </c>
      <c r="J708">
        <f>IF($P708="","",INDEX(명단표[구리 근무 시작일(기준월)],$P708)&amp;"")</f>
        <v/>
      </c>
      <c r="K708">
        <f>IF($P708="","",INDEX(명단표[구리 근무 종료일(기준월)],$P708)&amp;"")</f>
        <v/>
      </c>
      <c r="L708">
        <f>IF($P708="","",INDEX(명단표[서울 근무일(기준월)],$P708))</f>
        <v/>
      </c>
      <c r="M708">
        <f>IF($P708="","",INDEX(명단표[구리 근무일(기준월)],$P708))</f>
        <v/>
      </c>
      <c r="N708">
        <f>IF($P708="","",INDEX(명단표[급여 판정 근거],$P708))</f>
        <v/>
      </c>
      <c r="O708">
        <f>IF($P708="","",INDEX(명단표[점검],$P708))</f>
        <v/>
      </c>
      <c r="P708" s="17">
        <f>IFERROR(MATCH(703,명단표[서울순번],0),"")</f>
        <v/>
      </c>
      <c r="R708">
        <f>IF($W708="","",INDEX(명단표[이름],$W708))</f>
        <v/>
      </c>
      <c r="S708">
        <f>IF($W708="","",INDEX(명단표[사번],$W708)&amp;"")</f>
        <v/>
      </c>
      <c r="T708">
        <f>IF($W708="","",INDEX(명단표[소속병원],$W708))</f>
        <v/>
      </c>
      <c r="U708">
        <f>IF($W708="","",INDEX(명단표[서울 근무일(기준월)],$W708))</f>
        <v/>
      </c>
      <c r="V708">
        <f>IF($W708="","",INDEX(명단표[구리 근무일(기준월)],$W708))</f>
        <v/>
      </c>
      <c r="W708" s="17">
        <f>IFERROR(MATCH(703,명단표[판정불가순번],0),"")</f>
        <v/>
      </c>
    </row>
    <row r="709">
      <c r="A709">
        <f>IF($P709="","",704)</f>
        <v/>
      </c>
      <c r="B709">
        <f>IF($P709="","",INDEX(명단표[이름],$P709))</f>
        <v/>
      </c>
      <c r="C709">
        <f>IF($P709="","",INDEX(명단표[사번],$P709)&amp;"")</f>
        <v/>
      </c>
      <c r="D709">
        <f>IF($P709="","",INDEX(명단표[전공의등록번호],$P709)&amp;"")</f>
        <v/>
      </c>
      <c r="E709">
        <f>IF($P709="","",INDEX(명단표[수련과목],$P709)&amp;"")</f>
        <v/>
      </c>
      <c r="F709">
        <f>IF($P709="","",INDEX(명단표[연차],$P709)&amp;"")</f>
        <v/>
      </c>
      <c r="G709">
        <f>IF($P709="","",INDEX(명단표[소속병원],$P709))</f>
        <v/>
      </c>
      <c r="H709">
        <f>IF($P709="","",IF(INDEX(명단표[소속병원],$P709)="서울병원","서울 소속","타 병원 소속("&amp;INDEX(명단표[소속병원],$P709)&amp;") → 서울 지급"))</f>
        <v/>
      </c>
      <c r="I709">
        <f>IF($P709="","",INDEX(명단표[현재 근무병원],$P709))</f>
        <v/>
      </c>
      <c r="J709">
        <f>IF($P709="","",INDEX(명단표[구리 근무 시작일(기준월)],$P709)&amp;"")</f>
        <v/>
      </c>
      <c r="K709">
        <f>IF($P709="","",INDEX(명단표[구리 근무 종료일(기준월)],$P709)&amp;"")</f>
        <v/>
      </c>
      <c r="L709">
        <f>IF($P709="","",INDEX(명단표[서울 근무일(기준월)],$P709))</f>
        <v/>
      </c>
      <c r="M709">
        <f>IF($P709="","",INDEX(명단표[구리 근무일(기준월)],$P709))</f>
        <v/>
      </c>
      <c r="N709">
        <f>IF($P709="","",INDEX(명단표[급여 판정 근거],$P709))</f>
        <v/>
      </c>
      <c r="O709">
        <f>IF($P709="","",INDEX(명단표[점검],$P709))</f>
        <v/>
      </c>
      <c r="P709" s="17">
        <f>IFERROR(MATCH(704,명단표[서울순번],0),"")</f>
        <v/>
      </c>
      <c r="R709">
        <f>IF($W709="","",INDEX(명단표[이름],$W709))</f>
        <v/>
      </c>
      <c r="S709">
        <f>IF($W709="","",INDEX(명단표[사번],$W709)&amp;"")</f>
        <v/>
      </c>
      <c r="T709">
        <f>IF($W709="","",INDEX(명단표[소속병원],$W709))</f>
        <v/>
      </c>
      <c r="U709">
        <f>IF($W709="","",INDEX(명단표[서울 근무일(기준월)],$W709))</f>
        <v/>
      </c>
      <c r="V709">
        <f>IF($W709="","",INDEX(명단표[구리 근무일(기준월)],$W709))</f>
        <v/>
      </c>
      <c r="W709" s="17">
        <f>IFERROR(MATCH(704,명단표[판정불가순번],0),"")</f>
        <v/>
      </c>
    </row>
    <row r="710">
      <c r="A710">
        <f>IF($P710="","",705)</f>
        <v/>
      </c>
      <c r="B710">
        <f>IF($P710="","",INDEX(명단표[이름],$P710))</f>
        <v/>
      </c>
      <c r="C710">
        <f>IF($P710="","",INDEX(명단표[사번],$P710)&amp;"")</f>
        <v/>
      </c>
      <c r="D710">
        <f>IF($P710="","",INDEX(명단표[전공의등록번호],$P710)&amp;"")</f>
        <v/>
      </c>
      <c r="E710">
        <f>IF($P710="","",INDEX(명단표[수련과목],$P710)&amp;"")</f>
        <v/>
      </c>
      <c r="F710">
        <f>IF($P710="","",INDEX(명단표[연차],$P710)&amp;"")</f>
        <v/>
      </c>
      <c r="G710">
        <f>IF($P710="","",INDEX(명단표[소속병원],$P710))</f>
        <v/>
      </c>
      <c r="H710">
        <f>IF($P710="","",IF(INDEX(명단표[소속병원],$P710)="서울병원","서울 소속","타 병원 소속("&amp;INDEX(명단표[소속병원],$P710)&amp;") → 서울 지급"))</f>
        <v/>
      </c>
      <c r="I710">
        <f>IF($P710="","",INDEX(명단표[현재 근무병원],$P710))</f>
        <v/>
      </c>
      <c r="J710">
        <f>IF($P710="","",INDEX(명단표[구리 근무 시작일(기준월)],$P710)&amp;"")</f>
        <v/>
      </c>
      <c r="K710">
        <f>IF($P710="","",INDEX(명단표[구리 근무 종료일(기준월)],$P710)&amp;"")</f>
        <v/>
      </c>
      <c r="L710">
        <f>IF($P710="","",INDEX(명단표[서울 근무일(기준월)],$P710))</f>
        <v/>
      </c>
      <c r="M710">
        <f>IF($P710="","",INDEX(명단표[구리 근무일(기준월)],$P710))</f>
        <v/>
      </c>
      <c r="N710">
        <f>IF($P710="","",INDEX(명단표[급여 판정 근거],$P710))</f>
        <v/>
      </c>
      <c r="O710">
        <f>IF($P710="","",INDEX(명단표[점검],$P710))</f>
        <v/>
      </c>
      <c r="P710" s="17">
        <f>IFERROR(MATCH(705,명단표[서울순번],0),"")</f>
        <v/>
      </c>
      <c r="R710">
        <f>IF($W710="","",INDEX(명단표[이름],$W710))</f>
        <v/>
      </c>
      <c r="S710">
        <f>IF($W710="","",INDEX(명단표[사번],$W710)&amp;"")</f>
        <v/>
      </c>
      <c r="T710">
        <f>IF($W710="","",INDEX(명단표[소속병원],$W710))</f>
        <v/>
      </c>
      <c r="U710">
        <f>IF($W710="","",INDEX(명단표[서울 근무일(기준월)],$W710))</f>
        <v/>
      </c>
      <c r="V710">
        <f>IF($W710="","",INDEX(명단표[구리 근무일(기준월)],$W710))</f>
        <v/>
      </c>
      <c r="W710" s="17">
        <f>IFERROR(MATCH(705,명단표[판정불가순번],0),"")</f>
        <v/>
      </c>
    </row>
    <row r="711">
      <c r="A711">
        <f>IF($P711="","",706)</f>
        <v/>
      </c>
      <c r="B711">
        <f>IF($P711="","",INDEX(명단표[이름],$P711))</f>
        <v/>
      </c>
      <c r="C711">
        <f>IF($P711="","",INDEX(명단표[사번],$P711)&amp;"")</f>
        <v/>
      </c>
      <c r="D711">
        <f>IF($P711="","",INDEX(명단표[전공의등록번호],$P711)&amp;"")</f>
        <v/>
      </c>
      <c r="E711">
        <f>IF($P711="","",INDEX(명단표[수련과목],$P711)&amp;"")</f>
        <v/>
      </c>
      <c r="F711">
        <f>IF($P711="","",INDEX(명단표[연차],$P711)&amp;"")</f>
        <v/>
      </c>
      <c r="G711">
        <f>IF($P711="","",INDEX(명단표[소속병원],$P711))</f>
        <v/>
      </c>
      <c r="H711">
        <f>IF($P711="","",IF(INDEX(명단표[소속병원],$P711)="서울병원","서울 소속","타 병원 소속("&amp;INDEX(명단표[소속병원],$P711)&amp;") → 서울 지급"))</f>
        <v/>
      </c>
      <c r="I711">
        <f>IF($P711="","",INDEX(명단표[현재 근무병원],$P711))</f>
        <v/>
      </c>
      <c r="J711">
        <f>IF($P711="","",INDEX(명단표[구리 근무 시작일(기준월)],$P711)&amp;"")</f>
        <v/>
      </c>
      <c r="K711">
        <f>IF($P711="","",INDEX(명단표[구리 근무 종료일(기준월)],$P711)&amp;"")</f>
        <v/>
      </c>
      <c r="L711">
        <f>IF($P711="","",INDEX(명단표[서울 근무일(기준월)],$P711))</f>
        <v/>
      </c>
      <c r="M711">
        <f>IF($P711="","",INDEX(명단표[구리 근무일(기준월)],$P711))</f>
        <v/>
      </c>
      <c r="N711">
        <f>IF($P711="","",INDEX(명단표[급여 판정 근거],$P711))</f>
        <v/>
      </c>
      <c r="O711">
        <f>IF($P711="","",INDEX(명단표[점검],$P711))</f>
        <v/>
      </c>
      <c r="P711" s="17">
        <f>IFERROR(MATCH(706,명단표[서울순번],0),"")</f>
        <v/>
      </c>
      <c r="R711">
        <f>IF($W711="","",INDEX(명단표[이름],$W711))</f>
        <v/>
      </c>
      <c r="S711">
        <f>IF($W711="","",INDEX(명단표[사번],$W711)&amp;"")</f>
        <v/>
      </c>
      <c r="T711">
        <f>IF($W711="","",INDEX(명단표[소속병원],$W711))</f>
        <v/>
      </c>
      <c r="U711">
        <f>IF($W711="","",INDEX(명단표[서울 근무일(기준월)],$W711))</f>
        <v/>
      </c>
      <c r="V711">
        <f>IF($W711="","",INDEX(명단표[구리 근무일(기준월)],$W711))</f>
        <v/>
      </c>
      <c r="W711" s="17">
        <f>IFERROR(MATCH(706,명단표[판정불가순번],0),"")</f>
        <v/>
      </c>
    </row>
    <row r="712">
      <c r="A712">
        <f>IF($P712="","",707)</f>
        <v/>
      </c>
      <c r="B712">
        <f>IF($P712="","",INDEX(명단표[이름],$P712))</f>
        <v/>
      </c>
      <c r="C712">
        <f>IF($P712="","",INDEX(명단표[사번],$P712)&amp;"")</f>
        <v/>
      </c>
      <c r="D712">
        <f>IF($P712="","",INDEX(명단표[전공의등록번호],$P712)&amp;"")</f>
        <v/>
      </c>
      <c r="E712">
        <f>IF($P712="","",INDEX(명단표[수련과목],$P712)&amp;"")</f>
        <v/>
      </c>
      <c r="F712">
        <f>IF($P712="","",INDEX(명단표[연차],$P712)&amp;"")</f>
        <v/>
      </c>
      <c r="G712">
        <f>IF($P712="","",INDEX(명단표[소속병원],$P712))</f>
        <v/>
      </c>
      <c r="H712">
        <f>IF($P712="","",IF(INDEX(명단표[소속병원],$P712)="서울병원","서울 소속","타 병원 소속("&amp;INDEX(명단표[소속병원],$P712)&amp;") → 서울 지급"))</f>
        <v/>
      </c>
      <c r="I712">
        <f>IF($P712="","",INDEX(명단표[현재 근무병원],$P712))</f>
        <v/>
      </c>
      <c r="J712">
        <f>IF($P712="","",INDEX(명단표[구리 근무 시작일(기준월)],$P712)&amp;"")</f>
        <v/>
      </c>
      <c r="K712">
        <f>IF($P712="","",INDEX(명단표[구리 근무 종료일(기준월)],$P712)&amp;"")</f>
        <v/>
      </c>
      <c r="L712">
        <f>IF($P712="","",INDEX(명단표[서울 근무일(기준월)],$P712))</f>
        <v/>
      </c>
      <c r="M712">
        <f>IF($P712="","",INDEX(명단표[구리 근무일(기준월)],$P712))</f>
        <v/>
      </c>
      <c r="N712">
        <f>IF($P712="","",INDEX(명단표[급여 판정 근거],$P712))</f>
        <v/>
      </c>
      <c r="O712">
        <f>IF($P712="","",INDEX(명단표[점검],$P712))</f>
        <v/>
      </c>
      <c r="P712" s="17">
        <f>IFERROR(MATCH(707,명단표[서울순번],0),"")</f>
        <v/>
      </c>
      <c r="R712">
        <f>IF($W712="","",INDEX(명단표[이름],$W712))</f>
        <v/>
      </c>
      <c r="S712">
        <f>IF($W712="","",INDEX(명단표[사번],$W712)&amp;"")</f>
        <v/>
      </c>
      <c r="T712">
        <f>IF($W712="","",INDEX(명단표[소속병원],$W712))</f>
        <v/>
      </c>
      <c r="U712">
        <f>IF($W712="","",INDEX(명단표[서울 근무일(기준월)],$W712))</f>
        <v/>
      </c>
      <c r="V712">
        <f>IF($W712="","",INDEX(명단표[구리 근무일(기준월)],$W712))</f>
        <v/>
      </c>
      <c r="W712" s="17">
        <f>IFERROR(MATCH(707,명단표[판정불가순번],0),"")</f>
        <v/>
      </c>
    </row>
    <row r="713">
      <c r="A713">
        <f>IF($P713="","",708)</f>
        <v/>
      </c>
      <c r="B713">
        <f>IF($P713="","",INDEX(명단표[이름],$P713))</f>
        <v/>
      </c>
      <c r="C713">
        <f>IF($P713="","",INDEX(명단표[사번],$P713)&amp;"")</f>
        <v/>
      </c>
      <c r="D713">
        <f>IF($P713="","",INDEX(명단표[전공의등록번호],$P713)&amp;"")</f>
        <v/>
      </c>
      <c r="E713">
        <f>IF($P713="","",INDEX(명단표[수련과목],$P713)&amp;"")</f>
        <v/>
      </c>
      <c r="F713">
        <f>IF($P713="","",INDEX(명단표[연차],$P713)&amp;"")</f>
        <v/>
      </c>
      <c r="G713">
        <f>IF($P713="","",INDEX(명단표[소속병원],$P713))</f>
        <v/>
      </c>
      <c r="H713">
        <f>IF($P713="","",IF(INDEX(명단표[소속병원],$P713)="서울병원","서울 소속","타 병원 소속("&amp;INDEX(명단표[소속병원],$P713)&amp;") → 서울 지급"))</f>
        <v/>
      </c>
      <c r="I713">
        <f>IF($P713="","",INDEX(명단표[현재 근무병원],$P713))</f>
        <v/>
      </c>
      <c r="J713">
        <f>IF($P713="","",INDEX(명단표[구리 근무 시작일(기준월)],$P713)&amp;"")</f>
        <v/>
      </c>
      <c r="K713">
        <f>IF($P713="","",INDEX(명단표[구리 근무 종료일(기준월)],$P713)&amp;"")</f>
        <v/>
      </c>
      <c r="L713">
        <f>IF($P713="","",INDEX(명단표[서울 근무일(기준월)],$P713))</f>
        <v/>
      </c>
      <c r="M713">
        <f>IF($P713="","",INDEX(명단표[구리 근무일(기준월)],$P713))</f>
        <v/>
      </c>
      <c r="N713">
        <f>IF($P713="","",INDEX(명단표[급여 판정 근거],$P713))</f>
        <v/>
      </c>
      <c r="O713">
        <f>IF($P713="","",INDEX(명단표[점검],$P713))</f>
        <v/>
      </c>
      <c r="P713" s="17">
        <f>IFERROR(MATCH(708,명단표[서울순번],0),"")</f>
        <v/>
      </c>
      <c r="R713">
        <f>IF($W713="","",INDEX(명단표[이름],$W713))</f>
        <v/>
      </c>
      <c r="S713">
        <f>IF($W713="","",INDEX(명단표[사번],$W713)&amp;"")</f>
        <v/>
      </c>
      <c r="T713">
        <f>IF($W713="","",INDEX(명단표[소속병원],$W713))</f>
        <v/>
      </c>
      <c r="U713">
        <f>IF($W713="","",INDEX(명단표[서울 근무일(기준월)],$W713))</f>
        <v/>
      </c>
      <c r="V713">
        <f>IF($W713="","",INDEX(명단표[구리 근무일(기준월)],$W713))</f>
        <v/>
      </c>
      <c r="W713" s="17">
        <f>IFERROR(MATCH(708,명단표[판정불가순번],0),"")</f>
        <v/>
      </c>
    </row>
    <row r="714">
      <c r="A714">
        <f>IF($P714="","",709)</f>
        <v/>
      </c>
      <c r="B714">
        <f>IF($P714="","",INDEX(명단표[이름],$P714))</f>
        <v/>
      </c>
      <c r="C714">
        <f>IF($P714="","",INDEX(명단표[사번],$P714)&amp;"")</f>
        <v/>
      </c>
      <c r="D714">
        <f>IF($P714="","",INDEX(명단표[전공의등록번호],$P714)&amp;"")</f>
        <v/>
      </c>
      <c r="E714">
        <f>IF($P714="","",INDEX(명단표[수련과목],$P714)&amp;"")</f>
        <v/>
      </c>
      <c r="F714">
        <f>IF($P714="","",INDEX(명단표[연차],$P714)&amp;"")</f>
        <v/>
      </c>
      <c r="G714">
        <f>IF($P714="","",INDEX(명단표[소속병원],$P714))</f>
        <v/>
      </c>
      <c r="H714">
        <f>IF($P714="","",IF(INDEX(명단표[소속병원],$P714)="서울병원","서울 소속","타 병원 소속("&amp;INDEX(명단표[소속병원],$P714)&amp;") → 서울 지급"))</f>
        <v/>
      </c>
      <c r="I714">
        <f>IF($P714="","",INDEX(명단표[현재 근무병원],$P714))</f>
        <v/>
      </c>
      <c r="J714">
        <f>IF($P714="","",INDEX(명단표[구리 근무 시작일(기준월)],$P714)&amp;"")</f>
        <v/>
      </c>
      <c r="K714">
        <f>IF($P714="","",INDEX(명단표[구리 근무 종료일(기준월)],$P714)&amp;"")</f>
        <v/>
      </c>
      <c r="L714">
        <f>IF($P714="","",INDEX(명단표[서울 근무일(기준월)],$P714))</f>
        <v/>
      </c>
      <c r="M714">
        <f>IF($P714="","",INDEX(명단표[구리 근무일(기준월)],$P714))</f>
        <v/>
      </c>
      <c r="N714">
        <f>IF($P714="","",INDEX(명단표[급여 판정 근거],$P714))</f>
        <v/>
      </c>
      <c r="O714">
        <f>IF($P714="","",INDEX(명단표[점검],$P714))</f>
        <v/>
      </c>
      <c r="P714" s="17">
        <f>IFERROR(MATCH(709,명단표[서울순번],0),"")</f>
        <v/>
      </c>
      <c r="R714">
        <f>IF($W714="","",INDEX(명단표[이름],$W714))</f>
        <v/>
      </c>
      <c r="S714">
        <f>IF($W714="","",INDEX(명단표[사번],$W714)&amp;"")</f>
        <v/>
      </c>
      <c r="T714">
        <f>IF($W714="","",INDEX(명단표[소속병원],$W714))</f>
        <v/>
      </c>
      <c r="U714">
        <f>IF($W714="","",INDEX(명단표[서울 근무일(기준월)],$W714))</f>
        <v/>
      </c>
      <c r="V714">
        <f>IF($W714="","",INDEX(명단표[구리 근무일(기준월)],$W714))</f>
        <v/>
      </c>
      <c r="W714" s="17">
        <f>IFERROR(MATCH(709,명단표[판정불가순번],0),"")</f>
        <v/>
      </c>
    </row>
    <row r="715">
      <c r="A715">
        <f>IF($P715="","",710)</f>
        <v/>
      </c>
      <c r="B715">
        <f>IF($P715="","",INDEX(명단표[이름],$P715))</f>
        <v/>
      </c>
      <c r="C715">
        <f>IF($P715="","",INDEX(명단표[사번],$P715)&amp;"")</f>
        <v/>
      </c>
      <c r="D715">
        <f>IF($P715="","",INDEX(명단표[전공의등록번호],$P715)&amp;"")</f>
        <v/>
      </c>
      <c r="E715">
        <f>IF($P715="","",INDEX(명단표[수련과목],$P715)&amp;"")</f>
        <v/>
      </c>
      <c r="F715">
        <f>IF($P715="","",INDEX(명단표[연차],$P715)&amp;"")</f>
        <v/>
      </c>
      <c r="G715">
        <f>IF($P715="","",INDEX(명단표[소속병원],$P715))</f>
        <v/>
      </c>
      <c r="H715">
        <f>IF($P715="","",IF(INDEX(명단표[소속병원],$P715)="서울병원","서울 소속","타 병원 소속("&amp;INDEX(명단표[소속병원],$P715)&amp;") → 서울 지급"))</f>
        <v/>
      </c>
      <c r="I715">
        <f>IF($P715="","",INDEX(명단표[현재 근무병원],$P715))</f>
        <v/>
      </c>
      <c r="J715">
        <f>IF($P715="","",INDEX(명단표[구리 근무 시작일(기준월)],$P715)&amp;"")</f>
        <v/>
      </c>
      <c r="K715">
        <f>IF($P715="","",INDEX(명단표[구리 근무 종료일(기준월)],$P715)&amp;"")</f>
        <v/>
      </c>
      <c r="L715">
        <f>IF($P715="","",INDEX(명단표[서울 근무일(기준월)],$P715))</f>
        <v/>
      </c>
      <c r="M715">
        <f>IF($P715="","",INDEX(명단표[구리 근무일(기준월)],$P715))</f>
        <v/>
      </c>
      <c r="N715">
        <f>IF($P715="","",INDEX(명단표[급여 판정 근거],$P715))</f>
        <v/>
      </c>
      <c r="O715">
        <f>IF($P715="","",INDEX(명단표[점검],$P715))</f>
        <v/>
      </c>
      <c r="P715" s="17">
        <f>IFERROR(MATCH(710,명단표[서울순번],0),"")</f>
        <v/>
      </c>
      <c r="R715">
        <f>IF($W715="","",INDEX(명단표[이름],$W715))</f>
        <v/>
      </c>
      <c r="S715">
        <f>IF($W715="","",INDEX(명단표[사번],$W715)&amp;"")</f>
        <v/>
      </c>
      <c r="T715">
        <f>IF($W715="","",INDEX(명단표[소속병원],$W715))</f>
        <v/>
      </c>
      <c r="U715">
        <f>IF($W715="","",INDEX(명단표[서울 근무일(기준월)],$W715))</f>
        <v/>
      </c>
      <c r="V715">
        <f>IF($W715="","",INDEX(명단표[구리 근무일(기준월)],$W715))</f>
        <v/>
      </c>
      <c r="W715" s="17">
        <f>IFERROR(MATCH(710,명단표[판정불가순번],0),"")</f>
        <v/>
      </c>
    </row>
    <row r="716">
      <c r="A716">
        <f>IF($P716="","",711)</f>
        <v/>
      </c>
      <c r="B716">
        <f>IF($P716="","",INDEX(명단표[이름],$P716))</f>
        <v/>
      </c>
      <c r="C716">
        <f>IF($P716="","",INDEX(명단표[사번],$P716)&amp;"")</f>
        <v/>
      </c>
      <c r="D716">
        <f>IF($P716="","",INDEX(명단표[전공의등록번호],$P716)&amp;"")</f>
        <v/>
      </c>
      <c r="E716">
        <f>IF($P716="","",INDEX(명단표[수련과목],$P716)&amp;"")</f>
        <v/>
      </c>
      <c r="F716">
        <f>IF($P716="","",INDEX(명단표[연차],$P716)&amp;"")</f>
        <v/>
      </c>
      <c r="G716">
        <f>IF($P716="","",INDEX(명단표[소속병원],$P716))</f>
        <v/>
      </c>
      <c r="H716">
        <f>IF($P716="","",IF(INDEX(명단표[소속병원],$P716)="서울병원","서울 소속","타 병원 소속("&amp;INDEX(명단표[소속병원],$P716)&amp;") → 서울 지급"))</f>
        <v/>
      </c>
      <c r="I716">
        <f>IF($P716="","",INDEX(명단표[현재 근무병원],$P716))</f>
        <v/>
      </c>
      <c r="J716">
        <f>IF($P716="","",INDEX(명단표[구리 근무 시작일(기준월)],$P716)&amp;"")</f>
        <v/>
      </c>
      <c r="K716">
        <f>IF($P716="","",INDEX(명단표[구리 근무 종료일(기준월)],$P716)&amp;"")</f>
        <v/>
      </c>
      <c r="L716">
        <f>IF($P716="","",INDEX(명단표[서울 근무일(기준월)],$P716))</f>
        <v/>
      </c>
      <c r="M716">
        <f>IF($P716="","",INDEX(명단표[구리 근무일(기준월)],$P716))</f>
        <v/>
      </c>
      <c r="N716">
        <f>IF($P716="","",INDEX(명단표[급여 판정 근거],$P716))</f>
        <v/>
      </c>
      <c r="O716">
        <f>IF($P716="","",INDEX(명단표[점검],$P716))</f>
        <v/>
      </c>
      <c r="P716" s="17">
        <f>IFERROR(MATCH(711,명단표[서울순번],0),"")</f>
        <v/>
      </c>
      <c r="R716">
        <f>IF($W716="","",INDEX(명단표[이름],$W716))</f>
        <v/>
      </c>
      <c r="S716">
        <f>IF($W716="","",INDEX(명단표[사번],$W716)&amp;"")</f>
        <v/>
      </c>
      <c r="T716">
        <f>IF($W716="","",INDEX(명단표[소속병원],$W716))</f>
        <v/>
      </c>
      <c r="U716">
        <f>IF($W716="","",INDEX(명단표[서울 근무일(기준월)],$W716))</f>
        <v/>
      </c>
      <c r="V716">
        <f>IF($W716="","",INDEX(명단표[구리 근무일(기준월)],$W716))</f>
        <v/>
      </c>
      <c r="W716" s="17">
        <f>IFERROR(MATCH(711,명단표[판정불가순번],0),"")</f>
        <v/>
      </c>
    </row>
    <row r="717">
      <c r="A717">
        <f>IF($P717="","",712)</f>
        <v/>
      </c>
      <c r="B717">
        <f>IF($P717="","",INDEX(명단표[이름],$P717))</f>
        <v/>
      </c>
      <c r="C717">
        <f>IF($P717="","",INDEX(명단표[사번],$P717)&amp;"")</f>
        <v/>
      </c>
      <c r="D717">
        <f>IF($P717="","",INDEX(명단표[전공의등록번호],$P717)&amp;"")</f>
        <v/>
      </c>
      <c r="E717">
        <f>IF($P717="","",INDEX(명단표[수련과목],$P717)&amp;"")</f>
        <v/>
      </c>
      <c r="F717">
        <f>IF($P717="","",INDEX(명단표[연차],$P717)&amp;"")</f>
        <v/>
      </c>
      <c r="G717">
        <f>IF($P717="","",INDEX(명단표[소속병원],$P717))</f>
        <v/>
      </c>
      <c r="H717">
        <f>IF($P717="","",IF(INDEX(명단표[소속병원],$P717)="서울병원","서울 소속","타 병원 소속("&amp;INDEX(명단표[소속병원],$P717)&amp;") → 서울 지급"))</f>
        <v/>
      </c>
      <c r="I717">
        <f>IF($P717="","",INDEX(명단표[현재 근무병원],$P717))</f>
        <v/>
      </c>
      <c r="J717">
        <f>IF($P717="","",INDEX(명단표[구리 근무 시작일(기준월)],$P717)&amp;"")</f>
        <v/>
      </c>
      <c r="K717">
        <f>IF($P717="","",INDEX(명단표[구리 근무 종료일(기준월)],$P717)&amp;"")</f>
        <v/>
      </c>
      <c r="L717">
        <f>IF($P717="","",INDEX(명단표[서울 근무일(기준월)],$P717))</f>
        <v/>
      </c>
      <c r="M717">
        <f>IF($P717="","",INDEX(명단표[구리 근무일(기준월)],$P717))</f>
        <v/>
      </c>
      <c r="N717">
        <f>IF($P717="","",INDEX(명단표[급여 판정 근거],$P717))</f>
        <v/>
      </c>
      <c r="O717">
        <f>IF($P717="","",INDEX(명단표[점검],$P717))</f>
        <v/>
      </c>
      <c r="P717" s="17">
        <f>IFERROR(MATCH(712,명단표[서울순번],0),"")</f>
        <v/>
      </c>
      <c r="R717">
        <f>IF($W717="","",INDEX(명단표[이름],$W717))</f>
        <v/>
      </c>
      <c r="S717">
        <f>IF($W717="","",INDEX(명단표[사번],$W717)&amp;"")</f>
        <v/>
      </c>
      <c r="T717">
        <f>IF($W717="","",INDEX(명단표[소속병원],$W717))</f>
        <v/>
      </c>
      <c r="U717">
        <f>IF($W717="","",INDEX(명단표[서울 근무일(기준월)],$W717))</f>
        <v/>
      </c>
      <c r="V717">
        <f>IF($W717="","",INDEX(명단표[구리 근무일(기준월)],$W717))</f>
        <v/>
      </c>
      <c r="W717" s="17">
        <f>IFERROR(MATCH(712,명단표[판정불가순번],0),"")</f>
        <v/>
      </c>
    </row>
    <row r="718">
      <c r="A718">
        <f>IF($P718="","",713)</f>
        <v/>
      </c>
      <c r="B718">
        <f>IF($P718="","",INDEX(명단표[이름],$P718))</f>
        <v/>
      </c>
      <c r="C718">
        <f>IF($P718="","",INDEX(명단표[사번],$P718)&amp;"")</f>
        <v/>
      </c>
      <c r="D718">
        <f>IF($P718="","",INDEX(명단표[전공의등록번호],$P718)&amp;"")</f>
        <v/>
      </c>
      <c r="E718">
        <f>IF($P718="","",INDEX(명단표[수련과목],$P718)&amp;"")</f>
        <v/>
      </c>
      <c r="F718">
        <f>IF($P718="","",INDEX(명단표[연차],$P718)&amp;"")</f>
        <v/>
      </c>
      <c r="G718">
        <f>IF($P718="","",INDEX(명단표[소속병원],$P718))</f>
        <v/>
      </c>
      <c r="H718">
        <f>IF($P718="","",IF(INDEX(명단표[소속병원],$P718)="서울병원","서울 소속","타 병원 소속("&amp;INDEX(명단표[소속병원],$P718)&amp;") → 서울 지급"))</f>
        <v/>
      </c>
      <c r="I718">
        <f>IF($P718="","",INDEX(명단표[현재 근무병원],$P718))</f>
        <v/>
      </c>
      <c r="J718">
        <f>IF($P718="","",INDEX(명단표[구리 근무 시작일(기준월)],$P718)&amp;"")</f>
        <v/>
      </c>
      <c r="K718">
        <f>IF($P718="","",INDEX(명단표[구리 근무 종료일(기준월)],$P718)&amp;"")</f>
        <v/>
      </c>
      <c r="L718">
        <f>IF($P718="","",INDEX(명단표[서울 근무일(기준월)],$P718))</f>
        <v/>
      </c>
      <c r="M718">
        <f>IF($P718="","",INDEX(명단표[구리 근무일(기준월)],$P718))</f>
        <v/>
      </c>
      <c r="N718">
        <f>IF($P718="","",INDEX(명단표[급여 판정 근거],$P718))</f>
        <v/>
      </c>
      <c r="O718">
        <f>IF($P718="","",INDEX(명단표[점검],$P718))</f>
        <v/>
      </c>
      <c r="P718" s="17">
        <f>IFERROR(MATCH(713,명단표[서울순번],0),"")</f>
        <v/>
      </c>
      <c r="R718">
        <f>IF($W718="","",INDEX(명단표[이름],$W718))</f>
        <v/>
      </c>
      <c r="S718">
        <f>IF($W718="","",INDEX(명단표[사번],$W718)&amp;"")</f>
        <v/>
      </c>
      <c r="T718">
        <f>IF($W718="","",INDEX(명단표[소속병원],$W718))</f>
        <v/>
      </c>
      <c r="U718">
        <f>IF($W718="","",INDEX(명단표[서울 근무일(기준월)],$W718))</f>
        <v/>
      </c>
      <c r="V718">
        <f>IF($W718="","",INDEX(명단표[구리 근무일(기준월)],$W718))</f>
        <v/>
      </c>
      <c r="W718" s="17">
        <f>IFERROR(MATCH(713,명단표[판정불가순번],0),"")</f>
        <v/>
      </c>
    </row>
    <row r="719">
      <c r="A719">
        <f>IF($P719="","",714)</f>
        <v/>
      </c>
      <c r="B719">
        <f>IF($P719="","",INDEX(명단표[이름],$P719))</f>
        <v/>
      </c>
      <c r="C719">
        <f>IF($P719="","",INDEX(명단표[사번],$P719)&amp;"")</f>
        <v/>
      </c>
      <c r="D719">
        <f>IF($P719="","",INDEX(명단표[전공의등록번호],$P719)&amp;"")</f>
        <v/>
      </c>
      <c r="E719">
        <f>IF($P719="","",INDEX(명단표[수련과목],$P719)&amp;"")</f>
        <v/>
      </c>
      <c r="F719">
        <f>IF($P719="","",INDEX(명단표[연차],$P719)&amp;"")</f>
        <v/>
      </c>
      <c r="G719">
        <f>IF($P719="","",INDEX(명단표[소속병원],$P719))</f>
        <v/>
      </c>
      <c r="H719">
        <f>IF($P719="","",IF(INDEX(명단표[소속병원],$P719)="서울병원","서울 소속","타 병원 소속("&amp;INDEX(명단표[소속병원],$P719)&amp;") → 서울 지급"))</f>
        <v/>
      </c>
      <c r="I719">
        <f>IF($P719="","",INDEX(명단표[현재 근무병원],$P719))</f>
        <v/>
      </c>
      <c r="J719">
        <f>IF($P719="","",INDEX(명단표[구리 근무 시작일(기준월)],$P719)&amp;"")</f>
        <v/>
      </c>
      <c r="K719">
        <f>IF($P719="","",INDEX(명단표[구리 근무 종료일(기준월)],$P719)&amp;"")</f>
        <v/>
      </c>
      <c r="L719">
        <f>IF($P719="","",INDEX(명단표[서울 근무일(기준월)],$P719))</f>
        <v/>
      </c>
      <c r="M719">
        <f>IF($P719="","",INDEX(명단표[구리 근무일(기준월)],$P719))</f>
        <v/>
      </c>
      <c r="N719">
        <f>IF($P719="","",INDEX(명단표[급여 판정 근거],$P719))</f>
        <v/>
      </c>
      <c r="O719">
        <f>IF($P719="","",INDEX(명단표[점검],$P719))</f>
        <v/>
      </c>
      <c r="P719" s="17">
        <f>IFERROR(MATCH(714,명단표[서울순번],0),"")</f>
        <v/>
      </c>
      <c r="R719">
        <f>IF($W719="","",INDEX(명단표[이름],$W719))</f>
        <v/>
      </c>
      <c r="S719">
        <f>IF($W719="","",INDEX(명단표[사번],$W719)&amp;"")</f>
        <v/>
      </c>
      <c r="T719">
        <f>IF($W719="","",INDEX(명단표[소속병원],$W719))</f>
        <v/>
      </c>
      <c r="U719">
        <f>IF($W719="","",INDEX(명단표[서울 근무일(기준월)],$W719))</f>
        <v/>
      </c>
      <c r="V719">
        <f>IF($W719="","",INDEX(명단표[구리 근무일(기준월)],$W719))</f>
        <v/>
      </c>
      <c r="W719" s="17">
        <f>IFERROR(MATCH(714,명단표[판정불가순번],0),"")</f>
        <v/>
      </c>
    </row>
    <row r="720">
      <c r="A720">
        <f>IF($P720="","",715)</f>
        <v/>
      </c>
      <c r="B720">
        <f>IF($P720="","",INDEX(명단표[이름],$P720))</f>
        <v/>
      </c>
      <c r="C720">
        <f>IF($P720="","",INDEX(명단표[사번],$P720)&amp;"")</f>
        <v/>
      </c>
      <c r="D720">
        <f>IF($P720="","",INDEX(명단표[전공의등록번호],$P720)&amp;"")</f>
        <v/>
      </c>
      <c r="E720">
        <f>IF($P720="","",INDEX(명단표[수련과목],$P720)&amp;"")</f>
        <v/>
      </c>
      <c r="F720">
        <f>IF($P720="","",INDEX(명단표[연차],$P720)&amp;"")</f>
        <v/>
      </c>
      <c r="G720">
        <f>IF($P720="","",INDEX(명단표[소속병원],$P720))</f>
        <v/>
      </c>
      <c r="H720">
        <f>IF($P720="","",IF(INDEX(명단표[소속병원],$P720)="서울병원","서울 소속","타 병원 소속("&amp;INDEX(명단표[소속병원],$P720)&amp;") → 서울 지급"))</f>
        <v/>
      </c>
      <c r="I720">
        <f>IF($P720="","",INDEX(명단표[현재 근무병원],$P720))</f>
        <v/>
      </c>
      <c r="J720">
        <f>IF($P720="","",INDEX(명단표[구리 근무 시작일(기준월)],$P720)&amp;"")</f>
        <v/>
      </c>
      <c r="K720">
        <f>IF($P720="","",INDEX(명단표[구리 근무 종료일(기준월)],$P720)&amp;"")</f>
        <v/>
      </c>
      <c r="L720">
        <f>IF($P720="","",INDEX(명단표[서울 근무일(기준월)],$P720))</f>
        <v/>
      </c>
      <c r="M720">
        <f>IF($P720="","",INDEX(명단표[구리 근무일(기준월)],$P720))</f>
        <v/>
      </c>
      <c r="N720">
        <f>IF($P720="","",INDEX(명단표[급여 판정 근거],$P720))</f>
        <v/>
      </c>
      <c r="O720">
        <f>IF($P720="","",INDEX(명단표[점검],$P720))</f>
        <v/>
      </c>
      <c r="P720" s="17">
        <f>IFERROR(MATCH(715,명단표[서울순번],0),"")</f>
        <v/>
      </c>
      <c r="R720">
        <f>IF($W720="","",INDEX(명단표[이름],$W720))</f>
        <v/>
      </c>
      <c r="S720">
        <f>IF($W720="","",INDEX(명단표[사번],$W720)&amp;"")</f>
        <v/>
      </c>
      <c r="T720">
        <f>IF($W720="","",INDEX(명단표[소속병원],$W720))</f>
        <v/>
      </c>
      <c r="U720">
        <f>IF($W720="","",INDEX(명단표[서울 근무일(기준월)],$W720))</f>
        <v/>
      </c>
      <c r="V720">
        <f>IF($W720="","",INDEX(명단표[구리 근무일(기준월)],$W720))</f>
        <v/>
      </c>
      <c r="W720" s="17">
        <f>IFERROR(MATCH(715,명단표[판정불가순번],0),"")</f>
        <v/>
      </c>
    </row>
    <row r="721">
      <c r="A721">
        <f>IF($P721="","",716)</f>
        <v/>
      </c>
      <c r="B721">
        <f>IF($P721="","",INDEX(명단표[이름],$P721))</f>
        <v/>
      </c>
      <c r="C721">
        <f>IF($P721="","",INDEX(명단표[사번],$P721)&amp;"")</f>
        <v/>
      </c>
      <c r="D721">
        <f>IF($P721="","",INDEX(명단표[전공의등록번호],$P721)&amp;"")</f>
        <v/>
      </c>
      <c r="E721">
        <f>IF($P721="","",INDEX(명단표[수련과목],$P721)&amp;"")</f>
        <v/>
      </c>
      <c r="F721">
        <f>IF($P721="","",INDEX(명단표[연차],$P721)&amp;"")</f>
        <v/>
      </c>
      <c r="G721">
        <f>IF($P721="","",INDEX(명단표[소속병원],$P721))</f>
        <v/>
      </c>
      <c r="H721">
        <f>IF($P721="","",IF(INDEX(명단표[소속병원],$P721)="서울병원","서울 소속","타 병원 소속("&amp;INDEX(명단표[소속병원],$P721)&amp;") → 서울 지급"))</f>
        <v/>
      </c>
      <c r="I721">
        <f>IF($P721="","",INDEX(명단표[현재 근무병원],$P721))</f>
        <v/>
      </c>
      <c r="J721">
        <f>IF($P721="","",INDEX(명단표[구리 근무 시작일(기준월)],$P721)&amp;"")</f>
        <v/>
      </c>
      <c r="K721">
        <f>IF($P721="","",INDEX(명단표[구리 근무 종료일(기준월)],$P721)&amp;"")</f>
        <v/>
      </c>
      <c r="L721">
        <f>IF($P721="","",INDEX(명단표[서울 근무일(기준월)],$P721))</f>
        <v/>
      </c>
      <c r="M721">
        <f>IF($P721="","",INDEX(명단표[구리 근무일(기준월)],$P721))</f>
        <v/>
      </c>
      <c r="N721">
        <f>IF($P721="","",INDEX(명단표[급여 판정 근거],$P721))</f>
        <v/>
      </c>
      <c r="O721">
        <f>IF($P721="","",INDEX(명단표[점검],$P721))</f>
        <v/>
      </c>
      <c r="P721" s="17">
        <f>IFERROR(MATCH(716,명단표[서울순번],0),"")</f>
        <v/>
      </c>
      <c r="R721">
        <f>IF($W721="","",INDEX(명단표[이름],$W721))</f>
        <v/>
      </c>
      <c r="S721">
        <f>IF($W721="","",INDEX(명단표[사번],$W721)&amp;"")</f>
        <v/>
      </c>
      <c r="T721">
        <f>IF($W721="","",INDEX(명단표[소속병원],$W721))</f>
        <v/>
      </c>
      <c r="U721">
        <f>IF($W721="","",INDEX(명단표[서울 근무일(기준월)],$W721))</f>
        <v/>
      </c>
      <c r="V721">
        <f>IF($W721="","",INDEX(명단표[구리 근무일(기준월)],$W721))</f>
        <v/>
      </c>
      <c r="W721" s="17">
        <f>IFERROR(MATCH(716,명단표[판정불가순번],0),"")</f>
        <v/>
      </c>
    </row>
    <row r="722">
      <c r="A722">
        <f>IF($P722="","",717)</f>
        <v/>
      </c>
      <c r="B722">
        <f>IF($P722="","",INDEX(명단표[이름],$P722))</f>
        <v/>
      </c>
      <c r="C722">
        <f>IF($P722="","",INDEX(명단표[사번],$P722)&amp;"")</f>
        <v/>
      </c>
      <c r="D722">
        <f>IF($P722="","",INDEX(명단표[전공의등록번호],$P722)&amp;"")</f>
        <v/>
      </c>
      <c r="E722">
        <f>IF($P722="","",INDEX(명단표[수련과목],$P722)&amp;"")</f>
        <v/>
      </c>
      <c r="F722">
        <f>IF($P722="","",INDEX(명단표[연차],$P722)&amp;"")</f>
        <v/>
      </c>
      <c r="G722">
        <f>IF($P722="","",INDEX(명단표[소속병원],$P722))</f>
        <v/>
      </c>
      <c r="H722">
        <f>IF($P722="","",IF(INDEX(명단표[소속병원],$P722)="서울병원","서울 소속","타 병원 소속("&amp;INDEX(명단표[소속병원],$P722)&amp;") → 서울 지급"))</f>
        <v/>
      </c>
      <c r="I722">
        <f>IF($P722="","",INDEX(명단표[현재 근무병원],$P722))</f>
        <v/>
      </c>
      <c r="J722">
        <f>IF($P722="","",INDEX(명단표[구리 근무 시작일(기준월)],$P722)&amp;"")</f>
        <v/>
      </c>
      <c r="K722">
        <f>IF($P722="","",INDEX(명단표[구리 근무 종료일(기준월)],$P722)&amp;"")</f>
        <v/>
      </c>
      <c r="L722">
        <f>IF($P722="","",INDEX(명단표[서울 근무일(기준월)],$P722))</f>
        <v/>
      </c>
      <c r="M722">
        <f>IF($P722="","",INDEX(명단표[구리 근무일(기준월)],$P722))</f>
        <v/>
      </c>
      <c r="N722">
        <f>IF($P722="","",INDEX(명단표[급여 판정 근거],$P722))</f>
        <v/>
      </c>
      <c r="O722">
        <f>IF($P722="","",INDEX(명단표[점검],$P722))</f>
        <v/>
      </c>
      <c r="P722" s="17">
        <f>IFERROR(MATCH(717,명단표[서울순번],0),"")</f>
        <v/>
      </c>
      <c r="R722">
        <f>IF($W722="","",INDEX(명단표[이름],$W722))</f>
        <v/>
      </c>
      <c r="S722">
        <f>IF($W722="","",INDEX(명단표[사번],$W722)&amp;"")</f>
        <v/>
      </c>
      <c r="T722">
        <f>IF($W722="","",INDEX(명단표[소속병원],$W722))</f>
        <v/>
      </c>
      <c r="U722">
        <f>IF($W722="","",INDEX(명단표[서울 근무일(기준월)],$W722))</f>
        <v/>
      </c>
      <c r="V722">
        <f>IF($W722="","",INDEX(명단표[구리 근무일(기준월)],$W722))</f>
        <v/>
      </c>
      <c r="W722" s="17">
        <f>IFERROR(MATCH(717,명단표[판정불가순번],0),"")</f>
        <v/>
      </c>
    </row>
    <row r="723">
      <c r="A723">
        <f>IF($P723="","",718)</f>
        <v/>
      </c>
      <c r="B723">
        <f>IF($P723="","",INDEX(명단표[이름],$P723))</f>
        <v/>
      </c>
      <c r="C723">
        <f>IF($P723="","",INDEX(명단표[사번],$P723)&amp;"")</f>
        <v/>
      </c>
      <c r="D723">
        <f>IF($P723="","",INDEX(명단표[전공의등록번호],$P723)&amp;"")</f>
        <v/>
      </c>
      <c r="E723">
        <f>IF($P723="","",INDEX(명단표[수련과목],$P723)&amp;"")</f>
        <v/>
      </c>
      <c r="F723">
        <f>IF($P723="","",INDEX(명단표[연차],$P723)&amp;"")</f>
        <v/>
      </c>
      <c r="G723">
        <f>IF($P723="","",INDEX(명단표[소속병원],$P723))</f>
        <v/>
      </c>
      <c r="H723">
        <f>IF($P723="","",IF(INDEX(명단표[소속병원],$P723)="서울병원","서울 소속","타 병원 소속("&amp;INDEX(명단표[소속병원],$P723)&amp;") → 서울 지급"))</f>
        <v/>
      </c>
      <c r="I723">
        <f>IF($P723="","",INDEX(명단표[현재 근무병원],$P723))</f>
        <v/>
      </c>
      <c r="J723">
        <f>IF($P723="","",INDEX(명단표[구리 근무 시작일(기준월)],$P723)&amp;"")</f>
        <v/>
      </c>
      <c r="K723">
        <f>IF($P723="","",INDEX(명단표[구리 근무 종료일(기준월)],$P723)&amp;"")</f>
        <v/>
      </c>
      <c r="L723">
        <f>IF($P723="","",INDEX(명단표[서울 근무일(기준월)],$P723))</f>
        <v/>
      </c>
      <c r="M723">
        <f>IF($P723="","",INDEX(명단표[구리 근무일(기준월)],$P723))</f>
        <v/>
      </c>
      <c r="N723">
        <f>IF($P723="","",INDEX(명단표[급여 판정 근거],$P723))</f>
        <v/>
      </c>
      <c r="O723">
        <f>IF($P723="","",INDEX(명단표[점검],$P723))</f>
        <v/>
      </c>
      <c r="P723" s="17">
        <f>IFERROR(MATCH(718,명단표[서울순번],0),"")</f>
        <v/>
      </c>
      <c r="R723">
        <f>IF($W723="","",INDEX(명단표[이름],$W723))</f>
        <v/>
      </c>
      <c r="S723">
        <f>IF($W723="","",INDEX(명단표[사번],$W723)&amp;"")</f>
        <v/>
      </c>
      <c r="T723">
        <f>IF($W723="","",INDEX(명단표[소속병원],$W723))</f>
        <v/>
      </c>
      <c r="U723">
        <f>IF($W723="","",INDEX(명단표[서울 근무일(기준월)],$W723))</f>
        <v/>
      </c>
      <c r="V723">
        <f>IF($W723="","",INDEX(명단표[구리 근무일(기준월)],$W723))</f>
        <v/>
      </c>
      <c r="W723" s="17">
        <f>IFERROR(MATCH(718,명단표[판정불가순번],0),"")</f>
        <v/>
      </c>
    </row>
    <row r="724">
      <c r="A724">
        <f>IF($P724="","",719)</f>
        <v/>
      </c>
      <c r="B724">
        <f>IF($P724="","",INDEX(명단표[이름],$P724))</f>
        <v/>
      </c>
      <c r="C724">
        <f>IF($P724="","",INDEX(명단표[사번],$P724)&amp;"")</f>
        <v/>
      </c>
      <c r="D724">
        <f>IF($P724="","",INDEX(명단표[전공의등록번호],$P724)&amp;"")</f>
        <v/>
      </c>
      <c r="E724">
        <f>IF($P724="","",INDEX(명단표[수련과목],$P724)&amp;"")</f>
        <v/>
      </c>
      <c r="F724">
        <f>IF($P724="","",INDEX(명단표[연차],$P724)&amp;"")</f>
        <v/>
      </c>
      <c r="G724">
        <f>IF($P724="","",INDEX(명단표[소속병원],$P724))</f>
        <v/>
      </c>
      <c r="H724">
        <f>IF($P724="","",IF(INDEX(명단표[소속병원],$P724)="서울병원","서울 소속","타 병원 소속("&amp;INDEX(명단표[소속병원],$P724)&amp;") → 서울 지급"))</f>
        <v/>
      </c>
      <c r="I724">
        <f>IF($P724="","",INDEX(명단표[현재 근무병원],$P724))</f>
        <v/>
      </c>
      <c r="J724">
        <f>IF($P724="","",INDEX(명단표[구리 근무 시작일(기준월)],$P724)&amp;"")</f>
        <v/>
      </c>
      <c r="K724">
        <f>IF($P724="","",INDEX(명단표[구리 근무 종료일(기준월)],$P724)&amp;"")</f>
        <v/>
      </c>
      <c r="L724">
        <f>IF($P724="","",INDEX(명단표[서울 근무일(기준월)],$P724))</f>
        <v/>
      </c>
      <c r="M724">
        <f>IF($P724="","",INDEX(명단표[구리 근무일(기준월)],$P724))</f>
        <v/>
      </c>
      <c r="N724">
        <f>IF($P724="","",INDEX(명단표[급여 판정 근거],$P724))</f>
        <v/>
      </c>
      <c r="O724">
        <f>IF($P724="","",INDEX(명단표[점검],$P724))</f>
        <v/>
      </c>
      <c r="P724" s="17">
        <f>IFERROR(MATCH(719,명단표[서울순번],0),"")</f>
        <v/>
      </c>
      <c r="R724">
        <f>IF($W724="","",INDEX(명단표[이름],$W724))</f>
        <v/>
      </c>
      <c r="S724">
        <f>IF($W724="","",INDEX(명단표[사번],$W724)&amp;"")</f>
        <v/>
      </c>
      <c r="T724">
        <f>IF($W724="","",INDEX(명단표[소속병원],$W724))</f>
        <v/>
      </c>
      <c r="U724">
        <f>IF($W724="","",INDEX(명단표[서울 근무일(기준월)],$W724))</f>
        <v/>
      </c>
      <c r="V724">
        <f>IF($W724="","",INDEX(명단표[구리 근무일(기준월)],$W724))</f>
        <v/>
      </c>
      <c r="W724" s="17">
        <f>IFERROR(MATCH(719,명단표[판정불가순번],0),"")</f>
        <v/>
      </c>
    </row>
    <row r="725">
      <c r="A725">
        <f>IF($P725="","",720)</f>
        <v/>
      </c>
      <c r="B725">
        <f>IF($P725="","",INDEX(명단표[이름],$P725))</f>
        <v/>
      </c>
      <c r="C725">
        <f>IF($P725="","",INDEX(명단표[사번],$P725)&amp;"")</f>
        <v/>
      </c>
      <c r="D725">
        <f>IF($P725="","",INDEX(명단표[전공의등록번호],$P725)&amp;"")</f>
        <v/>
      </c>
      <c r="E725">
        <f>IF($P725="","",INDEX(명단표[수련과목],$P725)&amp;"")</f>
        <v/>
      </c>
      <c r="F725">
        <f>IF($P725="","",INDEX(명단표[연차],$P725)&amp;"")</f>
        <v/>
      </c>
      <c r="G725">
        <f>IF($P725="","",INDEX(명단표[소속병원],$P725))</f>
        <v/>
      </c>
      <c r="H725">
        <f>IF($P725="","",IF(INDEX(명단표[소속병원],$P725)="서울병원","서울 소속","타 병원 소속("&amp;INDEX(명단표[소속병원],$P725)&amp;") → 서울 지급"))</f>
        <v/>
      </c>
      <c r="I725">
        <f>IF($P725="","",INDEX(명단표[현재 근무병원],$P725))</f>
        <v/>
      </c>
      <c r="J725">
        <f>IF($P725="","",INDEX(명단표[구리 근무 시작일(기준월)],$P725)&amp;"")</f>
        <v/>
      </c>
      <c r="K725">
        <f>IF($P725="","",INDEX(명단표[구리 근무 종료일(기준월)],$P725)&amp;"")</f>
        <v/>
      </c>
      <c r="L725">
        <f>IF($P725="","",INDEX(명단표[서울 근무일(기준월)],$P725))</f>
        <v/>
      </c>
      <c r="M725">
        <f>IF($P725="","",INDEX(명단표[구리 근무일(기준월)],$P725))</f>
        <v/>
      </c>
      <c r="N725">
        <f>IF($P725="","",INDEX(명단표[급여 판정 근거],$P725))</f>
        <v/>
      </c>
      <c r="O725">
        <f>IF($P725="","",INDEX(명단표[점검],$P725))</f>
        <v/>
      </c>
      <c r="P725" s="17">
        <f>IFERROR(MATCH(720,명단표[서울순번],0),"")</f>
        <v/>
      </c>
      <c r="R725">
        <f>IF($W725="","",INDEX(명단표[이름],$W725))</f>
        <v/>
      </c>
      <c r="S725">
        <f>IF($W725="","",INDEX(명단표[사번],$W725)&amp;"")</f>
        <v/>
      </c>
      <c r="T725">
        <f>IF($W725="","",INDEX(명단표[소속병원],$W725))</f>
        <v/>
      </c>
      <c r="U725">
        <f>IF($W725="","",INDEX(명단표[서울 근무일(기준월)],$W725))</f>
        <v/>
      </c>
      <c r="V725">
        <f>IF($W725="","",INDEX(명단표[구리 근무일(기준월)],$W725))</f>
        <v/>
      </c>
      <c r="W725" s="17">
        <f>IFERROR(MATCH(720,명단표[판정불가순번],0),"")</f>
        <v/>
      </c>
    </row>
    <row r="726">
      <c r="A726">
        <f>IF($P726="","",721)</f>
        <v/>
      </c>
      <c r="B726">
        <f>IF($P726="","",INDEX(명단표[이름],$P726))</f>
        <v/>
      </c>
      <c r="C726">
        <f>IF($P726="","",INDEX(명단표[사번],$P726)&amp;"")</f>
        <v/>
      </c>
      <c r="D726">
        <f>IF($P726="","",INDEX(명단표[전공의등록번호],$P726)&amp;"")</f>
        <v/>
      </c>
      <c r="E726">
        <f>IF($P726="","",INDEX(명단표[수련과목],$P726)&amp;"")</f>
        <v/>
      </c>
      <c r="F726">
        <f>IF($P726="","",INDEX(명단표[연차],$P726)&amp;"")</f>
        <v/>
      </c>
      <c r="G726">
        <f>IF($P726="","",INDEX(명단표[소속병원],$P726))</f>
        <v/>
      </c>
      <c r="H726">
        <f>IF($P726="","",IF(INDEX(명단표[소속병원],$P726)="서울병원","서울 소속","타 병원 소속("&amp;INDEX(명단표[소속병원],$P726)&amp;") → 서울 지급"))</f>
        <v/>
      </c>
      <c r="I726">
        <f>IF($P726="","",INDEX(명단표[현재 근무병원],$P726))</f>
        <v/>
      </c>
      <c r="J726">
        <f>IF($P726="","",INDEX(명단표[구리 근무 시작일(기준월)],$P726)&amp;"")</f>
        <v/>
      </c>
      <c r="K726">
        <f>IF($P726="","",INDEX(명단표[구리 근무 종료일(기준월)],$P726)&amp;"")</f>
        <v/>
      </c>
      <c r="L726">
        <f>IF($P726="","",INDEX(명단표[서울 근무일(기준월)],$P726))</f>
        <v/>
      </c>
      <c r="M726">
        <f>IF($P726="","",INDEX(명단표[구리 근무일(기준월)],$P726))</f>
        <v/>
      </c>
      <c r="N726">
        <f>IF($P726="","",INDEX(명단표[급여 판정 근거],$P726))</f>
        <v/>
      </c>
      <c r="O726">
        <f>IF($P726="","",INDEX(명단표[점검],$P726))</f>
        <v/>
      </c>
      <c r="P726" s="17">
        <f>IFERROR(MATCH(721,명단표[서울순번],0),"")</f>
        <v/>
      </c>
      <c r="R726">
        <f>IF($W726="","",INDEX(명단표[이름],$W726))</f>
        <v/>
      </c>
      <c r="S726">
        <f>IF($W726="","",INDEX(명단표[사번],$W726)&amp;"")</f>
        <v/>
      </c>
      <c r="T726">
        <f>IF($W726="","",INDEX(명단표[소속병원],$W726))</f>
        <v/>
      </c>
      <c r="U726">
        <f>IF($W726="","",INDEX(명단표[서울 근무일(기준월)],$W726))</f>
        <v/>
      </c>
      <c r="V726">
        <f>IF($W726="","",INDEX(명단표[구리 근무일(기준월)],$W726))</f>
        <v/>
      </c>
      <c r="W726" s="17">
        <f>IFERROR(MATCH(721,명단표[판정불가순번],0),"")</f>
        <v/>
      </c>
    </row>
    <row r="727">
      <c r="A727">
        <f>IF($P727="","",722)</f>
        <v/>
      </c>
      <c r="B727">
        <f>IF($P727="","",INDEX(명단표[이름],$P727))</f>
        <v/>
      </c>
      <c r="C727">
        <f>IF($P727="","",INDEX(명단표[사번],$P727)&amp;"")</f>
        <v/>
      </c>
      <c r="D727">
        <f>IF($P727="","",INDEX(명단표[전공의등록번호],$P727)&amp;"")</f>
        <v/>
      </c>
      <c r="E727">
        <f>IF($P727="","",INDEX(명단표[수련과목],$P727)&amp;"")</f>
        <v/>
      </c>
      <c r="F727">
        <f>IF($P727="","",INDEX(명단표[연차],$P727)&amp;"")</f>
        <v/>
      </c>
      <c r="G727">
        <f>IF($P727="","",INDEX(명단표[소속병원],$P727))</f>
        <v/>
      </c>
      <c r="H727">
        <f>IF($P727="","",IF(INDEX(명단표[소속병원],$P727)="서울병원","서울 소속","타 병원 소속("&amp;INDEX(명단표[소속병원],$P727)&amp;") → 서울 지급"))</f>
        <v/>
      </c>
      <c r="I727">
        <f>IF($P727="","",INDEX(명단표[현재 근무병원],$P727))</f>
        <v/>
      </c>
      <c r="J727">
        <f>IF($P727="","",INDEX(명단표[구리 근무 시작일(기준월)],$P727)&amp;"")</f>
        <v/>
      </c>
      <c r="K727">
        <f>IF($P727="","",INDEX(명단표[구리 근무 종료일(기준월)],$P727)&amp;"")</f>
        <v/>
      </c>
      <c r="L727">
        <f>IF($P727="","",INDEX(명단표[서울 근무일(기준월)],$P727))</f>
        <v/>
      </c>
      <c r="M727">
        <f>IF($P727="","",INDEX(명단표[구리 근무일(기준월)],$P727))</f>
        <v/>
      </c>
      <c r="N727">
        <f>IF($P727="","",INDEX(명단표[급여 판정 근거],$P727))</f>
        <v/>
      </c>
      <c r="O727">
        <f>IF($P727="","",INDEX(명단표[점검],$P727))</f>
        <v/>
      </c>
      <c r="P727" s="17">
        <f>IFERROR(MATCH(722,명단표[서울순번],0),"")</f>
        <v/>
      </c>
      <c r="R727">
        <f>IF($W727="","",INDEX(명단표[이름],$W727))</f>
        <v/>
      </c>
      <c r="S727">
        <f>IF($W727="","",INDEX(명단표[사번],$W727)&amp;"")</f>
        <v/>
      </c>
      <c r="T727">
        <f>IF($W727="","",INDEX(명단표[소속병원],$W727))</f>
        <v/>
      </c>
      <c r="U727">
        <f>IF($W727="","",INDEX(명단표[서울 근무일(기준월)],$W727))</f>
        <v/>
      </c>
      <c r="V727">
        <f>IF($W727="","",INDEX(명단표[구리 근무일(기준월)],$W727))</f>
        <v/>
      </c>
      <c r="W727" s="17">
        <f>IFERROR(MATCH(722,명단표[판정불가순번],0),"")</f>
        <v/>
      </c>
    </row>
    <row r="728">
      <c r="A728">
        <f>IF($P728="","",723)</f>
        <v/>
      </c>
      <c r="B728">
        <f>IF($P728="","",INDEX(명단표[이름],$P728))</f>
        <v/>
      </c>
      <c r="C728">
        <f>IF($P728="","",INDEX(명단표[사번],$P728)&amp;"")</f>
        <v/>
      </c>
      <c r="D728">
        <f>IF($P728="","",INDEX(명단표[전공의등록번호],$P728)&amp;"")</f>
        <v/>
      </c>
      <c r="E728">
        <f>IF($P728="","",INDEX(명단표[수련과목],$P728)&amp;"")</f>
        <v/>
      </c>
      <c r="F728">
        <f>IF($P728="","",INDEX(명단표[연차],$P728)&amp;"")</f>
        <v/>
      </c>
      <c r="G728">
        <f>IF($P728="","",INDEX(명단표[소속병원],$P728))</f>
        <v/>
      </c>
      <c r="H728">
        <f>IF($P728="","",IF(INDEX(명단표[소속병원],$P728)="서울병원","서울 소속","타 병원 소속("&amp;INDEX(명단표[소속병원],$P728)&amp;") → 서울 지급"))</f>
        <v/>
      </c>
      <c r="I728">
        <f>IF($P728="","",INDEX(명단표[현재 근무병원],$P728))</f>
        <v/>
      </c>
      <c r="J728">
        <f>IF($P728="","",INDEX(명단표[구리 근무 시작일(기준월)],$P728)&amp;"")</f>
        <v/>
      </c>
      <c r="K728">
        <f>IF($P728="","",INDEX(명단표[구리 근무 종료일(기준월)],$P728)&amp;"")</f>
        <v/>
      </c>
      <c r="L728">
        <f>IF($P728="","",INDEX(명단표[서울 근무일(기준월)],$P728))</f>
        <v/>
      </c>
      <c r="M728">
        <f>IF($P728="","",INDEX(명단표[구리 근무일(기준월)],$P728))</f>
        <v/>
      </c>
      <c r="N728">
        <f>IF($P728="","",INDEX(명단표[급여 판정 근거],$P728))</f>
        <v/>
      </c>
      <c r="O728">
        <f>IF($P728="","",INDEX(명단표[점검],$P728))</f>
        <v/>
      </c>
      <c r="P728" s="17">
        <f>IFERROR(MATCH(723,명단표[서울순번],0),"")</f>
        <v/>
      </c>
      <c r="R728">
        <f>IF($W728="","",INDEX(명단표[이름],$W728))</f>
        <v/>
      </c>
      <c r="S728">
        <f>IF($W728="","",INDEX(명단표[사번],$W728)&amp;"")</f>
        <v/>
      </c>
      <c r="T728">
        <f>IF($W728="","",INDEX(명단표[소속병원],$W728))</f>
        <v/>
      </c>
      <c r="U728">
        <f>IF($W728="","",INDEX(명단표[서울 근무일(기준월)],$W728))</f>
        <v/>
      </c>
      <c r="V728">
        <f>IF($W728="","",INDEX(명단표[구리 근무일(기준월)],$W728))</f>
        <v/>
      </c>
      <c r="W728" s="17">
        <f>IFERROR(MATCH(723,명단표[판정불가순번],0),"")</f>
        <v/>
      </c>
    </row>
    <row r="729">
      <c r="A729">
        <f>IF($P729="","",724)</f>
        <v/>
      </c>
      <c r="B729">
        <f>IF($P729="","",INDEX(명단표[이름],$P729))</f>
        <v/>
      </c>
      <c r="C729">
        <f>IF($P729="","",INDEX(명단표[사번],$P729)&amp;"")</f>
        <v/>
      </c>
      <c r="D729">
        <f>IF($P729="","",INDEX(명단표[전공의등록번호],$P729)&amp;"")</f>
        <v/>
      </c>
      <c r="E729">
        <f>IF($P729="","",INDEX(명단표[수련과목],$P729)&amp;"")</f>
        <v/>
      </c>
      <c r="F729">
        <f>IF($P729="","",INDEX(명단표[연차],$P729)&amp;"")</f>
        <v/>
      </c>
      <c r="G729">
        <f>IF($P729="","",INDEX(명단표[소속병원],$P729))</f>
        <v/>
      </c>
      <c r="H729">
        <f>IF($P729="","",IF(INDEX(명단표[소속병원],$P729)="서울병원","서울 소속","타 병원 소속("&amp;INDEX(명단표[소속병원],$P729)&amp;") → 서울 지급"))</f>
        <v/>
      </c>
      <c r="I729">
        <f>IF($P729="","",INDEX(명단표[현재 근무병원],$P729))</f>
        <v/>
      </c>
      <c r="J729">
        <f>IF($P729="","",INDEX(명단표[구리 근무 시작일(기준월)],$P729)&amp;"")</f>
        <v/>
      </c>
      <c r="K729">
        <f>IF($P729="","",INDEX(명단표[구리 근무 종료일(기준월)],$P729)&amp;"")</f>
        <v/>
      </c>
      <c r="L729">
        <f>IF($P729="","",INDEX(명단표[서울 근무일(기준월)],$P729))</f>
        <v/>
      </c>
      <c r="M729">
        <f>IF($P729="","",INDEX(명단표[구리 근무일(기준월)],$P729))</f>
        <v/>
      </c>
      <c r="N729">
        <f>IF($P729="","",INDEX(명단표[급여 판정 근거],$P729))</f>
        <v/>
      </c>
      <c r="O729">
        <f>IF($P729="","",INDEX(명단표[점검],$P729))</f>
        <v/>
      </c>
      <c r="P729" s="17">
        <f>IFERROR(MATCH(724,명단표[서울순번],0),"")</f>
        <v/>
      </c>
      <c r="R729">
        <f>IF($W729="","",INDEX(명단표[이름],$W729))</f>
        <v/>
      </c>
      <c r="S729">
        <f>IF($W729="","",INDEX(명단표[사번],$W729)&amp;"")</f>
        <v/>
      </c>
      <c r="T729">
        <f>IF($W729="","",INDEX(명단표[소속병원],$W729))</f>
        <v/>
      </c>
      <c r="U729">
        <f>IF($W729="","",INDEX(명단표[서울 근무일(기준월)],$W729))</f>
        <v/>
      </c>
      <c r="V729">
        <f>IF($W729="","",INDEX(명단표[구리 근무일(기준월)],$W729))</f>
        <v/>
      </c>
      <c r="W729" s="17">
        <f>IFERROR(MATCH(724,명단표[판정불가순번],0),"")</f>
        <v/>
      </c>
    </row>
    <row r="730">
      <c r="A730">
        <f>IF($P730="","",725)</f>
        <v/>
      </c>
      <c r="B730">
        <f>IF($P730="","",INDEX(명단표[이름],$P730))</f>
        <v/>
      </c>
      <c r="C730">
        <f>IF($P730="","",INDEX(명단표[사번],$P730)&amp;"")</f>
        <v/>
      </c>
      <c r="D730">
        <f>IF($P730="","",INDEX(명단표[전공의등록번호],$P730)&amp;"")</f>
        <v/>
      </c>
      <c r="E730">
        <f>IF($P730="","",INDEX(명단표[수련과목],$P730)&amp;"")</f>
        <v/>
      </c>
      <c r="F730">
        <f>IF($P730="","",INDEX(명단표[연차],$P730)&amp;"")</f>
        <v/>
      </c>
      <c r="G730">
        <f>IF($P730="","",INDEX(명단표[소속병원],$P730))</f>
        <v/>
      </c>
      <c r="H730">
        <f>IF($P730="","",IF(INDEX(명단표[소속병원],$P730)="서울병원","서울 소속","타 병원 소속("&amp;INDEX(명단표[소속병원],$P730)&amp;") → 서울 지급"))</f>
        <v/>
      </c>
      <c r="I730">
        <f>IF($P730="","",INDEX(명단표[현재 근무병원],$P730))</f>
        <v/>
      </c>
      <c r="J730">
        <f>IF($P730="","",INDEX(명단표[구리 근무 시작일(기준월)],$P730)&amp;"")</f>
        <v/>
      </c>
      <c r="K730">
        <f>IF($P730="","",INDEX(명단표[구리 근무 종료일(기준월)],$P730)&amp;"")</f>
        <v/>
      </c>
      <c r="L730">
        <f>IF($P730="","",INDEX(명단표[서울 근무일(기준월)],$P730))</f>
        <v/>
      </c>
      <c r="M730">
        <f>IF($P730="","",INDEX(명단표[구리 근무일(기준월)],$P730))</f>
        <v/>
      </c>
      <c r="N730">
        <f>IF($P730="","",INDEX(명단표[급여 판정 근거],$P730))</f>
        <v/>
      </c>
      <c r="O730">
        <f>IF($P730="","",INDEX(명단표[점검],$P730))</f>
        <v/>
      </c>
      <c r="P730" s="17">
        <f>IFERROR(MATCH(725,명단표[서울순번],0),"")</f>
        <v/>
      </c>
      <c r="R730">
        <f>IF($W730="","",INDEX(명단표[이름],$W730))</f>
        <v/>
      </c>
      <c r="S730">
        <f>IF($W730="","",INDEX(명단표[사번],$W730)&amp;"")</f>
        <v/>
      </c>
      <c r="T730">
        <f>IF($W730="","",INDEX(명단표[소속병원],$W730))</f>
        <v/>
      </c>
      <c r="U730">
        <f>IF($W730="","",INDEX(명단표[서울 근무일(기준월)],$W730))</f>
        <v/>
      </c>
      <c r="V730">
        <f>IF($W730="","",INDEX(명단표[구리 근무일(기준월)],$W730))</f>
        <v/>
      </c>
      <c r="W730" s="17">
        <f>IFERROR(MATCH(725,명단표[판정불가순번],0),"")</f>
        <v/>
      </c>
    </row>
    <row r="731">
      <c r="A731">
        <f>IF($P731="","",726)</f>
        <v/>
      </c>
      <c r="B731">
        <f>IF($P731="","",INDEX(명단표[이름],$P731))</f>
        <v/>
      </c>
      <c r="C731">
        <f>IF($P731="","",INDEX(명단표[사번],$P731)&amp;"")</f>
        <v/>
      </c>
      <c r="D731">
        <f>IF($P731="","",INDEX(명단표[전공의등록번호],$P731)&amp;"")</f>
        <v/>
      </c>
      <c r="E731">
        <f>IF($P731="","",INDEX(명단표[수련과목],$P731)&amp;"")</f>
        <v/>
      </c>
      <c r="F731">
        <f>IF($P731="","",INDEX(명단표[연차],$P731)&amp;"")</f>
        <v/>
      </c>
      <c r="G731">
        <f>IF($P731="","",INDEX(명단표[소속병원],$P731))</f>
        <v/>
      </c>
      <c r="H731">
        <f>IF($P731="","",IF(INDEX(명단표[소속병원],$P731)="서울병원","서울 소속","타 병원 소속("&amp;INDEX(명단표[소속병원],$P731)&amp;") → 서울 지급"))</f>
        <v/>
      </c>
      <c r="I731">
        <f>IF($P731="","",INDEX(명단표[현재 근무병원],$P731))</f>
        <v/>
      </c>
      <c r="J731">
        <f>IF($P731="","",INDEX(명단표[구리 근무 시작일(기준월)],$P731)&amp;"")</f>
        <v/>
      </c>
      <c r="K731">
        <f>IF($P731="","",INDEX(명단표[구리 근무 종료일(기준월)],$P731)&amp;"")</f>
        <v/>
      </c>
      <c r="L731">
        <f>IF($P731="","",INDEX(명단표[서울 근무일(기준월)],$P731))</f>
        <v/>
      </c>
      <c r="M731">
        <f>IF($P731="","",INDEX(명단표[구리 근무일(기준월)],$P731))</f>
        <v/>
      </c>
      <c r="N731">
        <f>IF($P731="","",INDEX(명단표[급여 판정 근거],$P731))</f>
        <v/>
      </c>
      <c r="O731">
        <f>IF($P731="","",INDEX(명단표[점검],$P731))</f>
        <v/>
      </c>
      <c r="P731" s="17">
        <f>IFERROR(MATCH(726,명단표[서울순번],0),"")</f>
        <v/>
      </c>
      <c r="R731">
        <f>IF($W731="","",INDEX(명단표[이름],$W731))</f>
        <v/>
      </c>
      <c r="S731">
        <f>IF($W731="","",INDEX(명단표[사번],$W731)&amp;"")</f>
        <v/>
      </c>
      <c r="T731">
        <f>IF($W731="","",INDEX(명단표[소속병원],$W731))</f>
        <v/>
      </c>
      <c r="U731">
        <f>IF($W731="","",INDEX(명단표[서울 근무일(기준월)],$W731))</f>
        <v/>
      </c>
      <c r="V731">
        <f>IF($W731="","",INDEX(명단표[구리 근무일(기준월)],$W731))</f>
        <v/>
      </c>
      <c r="W731" s="17">
        <f>IFERROR(MATCH(726,명단표[판정불가순번],0),"")</f>
        <v/>
      </c>
    </row>
    <row r="732">
      <c r="A732">
        <f>IF($P732="","",727)</f>
        <v/>
      </c>
      <c r="B732">
        <f>IF($P732="","",INDEX(명단표[이름],$P732))</f>
        <v/>
      </c>
      <c r="C732">
        <f>IF($P732="","",INDEX(명단표[사번],$P732)&amp;"")</f>
        <v/>
      </c>
      <c r="D732">
        <f>IF($P732="","",INDEX(명단표[전공의등록번호],$P732)&amp;"")</f>
        <v/>
      </c>
      <c r="E732">
        <f>IF($P732="","",INDEX(명단표[수련과목],$P732)&amp;"")</f>
        <v/>
      </c>
      <c r="F732">
        <f>IF($P732="","",INDEX(명단표[연차],$P732)&amp;"")</f>
        <v/>
      </c>
      <c r="G732">
        <f>IF($P732="","",INDEX(명단표[소속병원],$P732))</f>
        <v/>
      </c>
      <c r="H732">
        <f>IF($P732="","",IF(INDEX(명단표[소속병원],$P732)="서울병원","서울 소속","타 병원 소속("&amp;INDEX(명단표[소속병원],$P732)&amp;") → 서울 지급"))</f>
        <v/>
      </c>
      <c r="I732">
        <f>IF($P732="","",INDEX(명단표[현재 근무병원],$P732))</f>
        <v/>
      </c>
      <c r="J732">
        <f>IF($P732="","",INDEX(명단표[구리 근무 시작일(기준월)],$P732)&amp;"")</f>
        <v/>
      </c>
      <c r="K732">
        <f>IF($P732="","",INDEX(명단표[구리 근무 종료일(기준월)],$P732)&amp;"")</f>
        <v/>
      </c>
      <c r="L732">
        <f>IF($P732="","",INDEX(명단표[서울 근무일(기준월)],$P732))</f>
        <v/>
      </c>
      <c r="M732">
        <f>IF($P732="","",INDEX(명단표[구리 근무일(기준월)],$P732))</f>
        <v/>
      </c>
      <c r="N732">
        <f>IF($P732="","",INDEX(명단표[급여 판정 근거],$P732))</f>
        <v/>
      </c>
      <c r="O732">
        <f>IF($P732="","",INDEX(명단표[점검],$P732))</f>
        <v/>
      </c>
      <c r="P732" s="17">
        <f>IFERROR(MATCH(727,명단표[서울순번],0),"")</f>
        <v/>
      </c>
      <c r="R732">
        <f>IF($W732="","",INDEX(명단표[이름],$W732))</f>
        <v/>
      </c>
      <c r="S732">
        <f>IF($W732="","",INDEX(명단표[사번],$W732)&amp;"")</f>
        <v/>
      </c>
      <c r="T732">
        <f>IF($W732="","",INDEX(명단표[소속병원],$W732))</f>
        <v/>
      </c>
      <c r="U732">
        <f>IF($W732="","",INDEX(명단표[서울 근무일(기준월)],$W732))</f>
        <v/>
      </c>
      <c r="V732">
        <f>IF($W732="","",INDEX(명단표[구리 근무일(기준월)],$W732))</f>
        <v/>
      </c>
      <c r="W732" s="17">
        <f>IFERROR(MATCH(727,명단표[판정불가순번],0),"")</f>
        <v/>
      </c>
    </row>
    <row r="733">
      <c r="A733">
        <f>IF($P733="","",728)</f>
        <v/>
      </c>
      <c r="B733">
        <f>IF($P733="","",INDEX(명단표[이름],$P733))</f>
        <v/>
      </c>
      <c r="C733">
        <f>IF($P733="","",INDEX(명단표[사번],$P733)&amp;"")</f>
        <v/>
      </c>
      <c r="D733">
        <f>IF($P733="","",INDEX(명단표[전공의등록번호],$P733)&amp;"")</f>
        <v/>
      </c>
      <c r="E733">
        <f>IF($P733="","",INDEX(명단표[수련과목],$P733)&amp;"")</f>
        <v/>
      </c>
      <c r="F733">
        <f>IF($P733="","",INDEX(명단표[연차],$P733)&amp;"")</f>
        <v/>
      </c>
      <c r="G733">
        <f>IF($P733="","",INDEX(명단표[소속병원],$P733))</f>
        <v/>
      </c>
      <c r="H733">
        <f>IF($P733="","",IF(INDEX(명단표[소속병원],$P733)="서울병원","서울 소속","타 병원 소속("&amp;INDEX(명단표[소속병원],$P733)&amp;") → 서울 지급"))</f>
        <v/>
      </c>
      <c r="I733">
        <f>IF($P733="","",INDEX(명단표[현재 근무병원],$P733))</f>
        <v/>
      </c>
      <c r="J733">
        <f>IF($P733="","",INDEX(명단표[구리 근무 시작일(기준월)],$P733)&amp;"")</f>
        <v/>
      </c>
      <c r="K733">
        <f>IF($P733="","",INDEX(명단표[구리 근무 종료일(기준월)],$P733)&amp;"")</f>
        <v/>
      </c>
      <c r="L733">
        <f>IF($P733="","",INDEX(명단표[서울 근무일(기준월)],$P733))</f>
        <v/>
      </c>
      <c r="M733">
        <f>IF($P733="","",INDEX(명단표[구리 근무일(기준월)],$P733))</f>
        <v/>
      </c>
      <c r="N733">
        <f>IF($P733="","",INDEX(명단표[급여 판정 근거],$P733))</f>
        <v/>
      </c>
      <c r="O733">
        <f>IF($P733="","",INDEX(명단표[점검],$P733))</f>
        <v/>
      </c>
      <c r="P733" s="17">
        <f>IFERROR(MATCH(728,명단표[서울순번],0),"")</f>
        <v/>
      </c>
      <c r="R733">
        <f>IF($W733="","",INDEX(명단표[이름],$W733))</f>
        <v/>
      </c>
      <c r="S733">
        <f>IF($W733="","",INDEX(명단표[사번],$W733)&amp;"")</f>
        <v/>
      </c>
      <c r="T733">
        <f>IF($W733="","",INDEX(명단표[소속병원],$W733))</f>
        <v/>
      </c>
      <c r="U733">
        <f>IF($W733="","",INDEX(명단표[서울 근무일(기준월)],$W733))</f>
        <v/>
      </c>
      <c r="V733">
        <f>IF($W733="","",INDEX(명단표[구리 근무일(기준월)],$W733))</f>
        <v/>
      </c>
      <c r="W733" s="17">
        <f>IFERROR(MATCH(728,명단표[판정불가순번],0),"")</f>
        <v/>
      </c>
    </row>
    <row r="734">
      <c r="A734">
        <f>IF($P734="","",729)</f>
        <v/>
      </c>
      <c r="B734">
        <f>IF($P734="","",INDEX(명단표[이름],$P734))</f>
        <v/>
      </c>
      <c r="C734">
        <f>IF($P734="","",INDEX(명단표[사번],$P734)&amp;"")</f>
        <v/>
      </c>
      <c r="D734">
        <f>IF($P734="","",INDEX(명단표[전공의등록번호],$P734)&amp;"")</f>
        <v/>
      </c>
      <c r="E734">
        <f>IF($P734="","",INDEX(명단표[수련과목],$P734)&amp;"")</f>
        <v/>
      </c>
      <c r="F734">
        <f>IF($P734="","",INDEX(명단표[연차],$P734)&amp;"")</f>
        <v/>
      </c>
      <c r="G734">
        <f>IF($P734="","",INDEX(명단표[소속병원],$P734))</f>
        <v/>
      </c>
      <c r="H734">
        <f>IF($P734="","",IF(INDEX(명단표[소속병원],$P734)="서울병원","서울 소속","타 병원 소속("&amp;INDEX(명단표[소속병원],$P734)&amp;") → 서울 지급"))</f>
        <v/>
      </c>
      <c r="I734">
        <f>IF($P734="","",INDEX(명단표[현재 근무병원],$P734))</f>
        <v/>
      </c>
      <c r="J734">
        <f>IF($P734="","",INDEX(명단표[구리 근무 시작일(기준월)],$P734)&amp;"")</f>
        <v/>
      </c>
      <c r="K734">
        <f>IF($P734="","",INDEX(명단표[구리 근무 종료일(기준월)],$P734)&amp;"")</f>
        <v/>
      </c>
      <c r="L734">
        <f>IF($P734="","",INDEX(명단표[서울 근무일(기준월)],$P734))</f>
        <v/>
      </c>
      <c r="M734">
        <f>IF($P734="","",INDEX(명단표[구리 근무일(기준월)],$P734))</f>
        <v/>
      </c>
      <c r="N734">
        <f>IF($P734="","",INDEX(명단표[급여 판정 근거],$P734))</f>
        <v/>
      </c>
      <c r="O734">
        <f>IF($P734="","",INDEX(명단표[점검],$P734))</f>
        <v/>
      </c>
      <c r="P734" s="17">
        <f>IFERROR(MATCH(729,명단표[서울순번],0),"")</f>
        <v/>
      </c>
      <c r="R734">
        <f>IF($W734="","",INDEX(명단표[이름],$W734))</f>
        <v/>
      </c>
      <c r="S734">
        <f>IF($W734="","",INDEX(명단표[사번],$W734)&amp;"")</f>
        <v/>
      </c>
      <c r="T734">
        <f>IF($W734="","",INDEX(명단표[소속병원],$W734))</f>
        <v/>
      </c>
      <c r="U734">
        <f>IF($W734="","",INDEX(명단표[서울 근무일(기준월)],$W734))</f>
        <v/>
      </c>
      <c r="V734">
        <f>IF($W734="","",INDEX(명단표[구리 근무일(기준월)],$W734))</f>
        <v/>
      </c>
      <c r="W734" s="17">
        <f>IFERROR(MATCH(729,명단표[판정불가순번],0),"")</f>
        <v/>
      </c>
    </row>
    <row r="735">
      <c r="A735">
        <f>IF($P735="","",730)</f>
        <v/>
      </c>
      <c r="B735">
        <f>IF($P735="","",INDEX(명단표[이름],$P735))</f>
        <v/>
      </c>
      <c r="C735">
        <f>IF($P735="","",INDEX(명단표[사번],$P735)&amp;"")</f>
        <v/>
      </c>
      <c r="D735">
        <f>IF($P735="","",INDEX(명단표[전공의등록번호],$P735)&amp;"")</f>
        <v/>
      </c>
      <c r="E735">
        <f>IF($P735="","",INDEX(명단표[수련과목],$P735)&amp;"")</f>
        <v/>
      </c>
      <c r="F735">
        <f>IF($P735="","",INDEX(명단표[연차],$P735)&amp;"")</f>
        <v/>
      </c>
      <c r="G735">
        <f>IF($P735="","",INDEX(명단표[소속병원],$P735))</f>
        <v/>
      </c>
      <c r="H735">
        <f>IF($P735="","",IF(INDEX(명단표[소속병원],$P735)="서울병원","서울 소속","타 병원 소속("&amp;INDEX(명단표[소속병원],$P735)&amp;") → 서울 지급"))</f>
        <v/>
      </c>
      <c r="I735">
        <f>IF($P735="","",INDEX(명단표[현재 근무병원],$P735))</f>
        <v/>
      </c>
      <c r="J735">
        <f>IF($P735="","",INDEX(명단표[구리 근무 시작일(기준월)],$P735)&amp;"")</f>
        <v/>
      </c>
      <c r="K735">
        <f>IF($P735="","",INDEX(명단표[구리 근무 종료일(기준월)],$P735)&amp;"")</f>
        <v/>
      </c>
      <c r="L735">
        <f>IF($P735="","",INDEX(명단표[서울 근무일(기준월)],$P735))</f>
        <v/>
      </c>
      <c r="M735">
        <f>IF($P735="","",INDEX(명단표[구리 근무일(기준월)],$P735))</f>
        <v/>
      </c>
      <c r="N735">
        <f>IF($P735="","",INDEX(명단표[급여 판정 근거],$P735))</f>
        <v/>
      </c>
      <c r="O735">
        <f>IF($P735="","",INDEX(명단표[점검],$P735))</f>
        <v/>
      </c>
      <c r="P735" s="17">
        <f>IFERROR(MATCH(730,명단표[서울순번],0),"")</f>
        <v/>
      </c>
      <c r="R735">
        <f>IF($W735="","",INDEX(명단표[이름],$W735))</f>
        <v/>
      </c>
      <c r="S735">
        <f>IF($W735="","",INDEX(명단표[사번],$W735)&amp;"")</f>
        <v/>
      </c>
      <c r="T735">
        <f>IF($W735="","",INDEX(명단표[소속병원],$W735))</f>
        <v/>
      </c>
      <c r="U735">
        <f>IF($W735="","",INDEX(명단표[서울 근무일(기준월)],$W735))</f>
        <v/>
      </c>
      <c r="V735">
        <f>IF($W735="","",INDEX(명단표[구리 근무일(기준월)],$W735))</f>
        <v/>
      </c>
      <c r="W735" s="17">
        <f>IFERROR(MATCH(730,명단표[판정불가순번],0),"")</f>
        <v/>
      </c>
    </row>
    <row r="736">
      <c r="A736">
        <f>IF($P736="","",731)</f>
        <v/>
      </c>
      <c r="B736">
        <f>IF($P736="","",INDEX(명단표[이름],$P736))</f>
        <v/>
      </c>
      <c r="C736">
        <f>IF($P736="","",INDEX(명단표[사번],$P736)&amp;"")</f>
        <v/>
      </c>
      <c r="D736">
        <f>IF($P736="","",INDEX(명단표[전공의등록번호],$P736)&amp;"")</f>
        <v/>
      </c>
      <c r="E736">
        <f>IF($P736="","",INDEX(명단표[수련과목],$P736)&amp;"")</f>
        <v/>
      </c>
      <c r="F736">
        <f>IF($P736="","",INDEX(명단표[연차],$P736)&amp;"")</f>
        <v/>
      </c>
      <c r="G736">
        <f>IF($P736="","",INDEX(명단표[소속병원],$P736))</f>
        <v/>
      </c>
      <c r="H736">
        <f>IF($P736="","",IF(INDEX(명단표[소속병원],$P736)="서울병원","서울 소속","타 병원 소속("&amp;INDEX(명단표[소속병원],$P736)&amp;") → 서울 지급"))</f>
        <v/>
      </c>
      <c r="I736">
        <f>IF($P736="","",INDEX(명단표[현재 근무병원],$P736))</f>
        <v/>
      </c>
      <c r="J736">
        <f>IF($P736="","",INDEX(명단표[구리 근무 시작일(기준월)],$P736)&amp;"")</f>
        <v/>
      </c>
      <c r="K736">
        <f>IF($P736="","",INDEX(명단표[구리 근무 종료일(기준월)],$P736)&amp;"")</f>
        <v/>
      </c>
      <c r="L736">
        <f>IF($P736="","",INDEX(명단표[서울 근무일(기준월)],$P736))</f>
        <v/>
      </c>
      <c r="M736">
        <f>IF($P736="","",INDEX(명단표[구리 근무일(기준월)],$P736))</f>
        <v/>
      </c>
      <c r="N736">
        <f>IF($P736="","",INDEX(명단표[급여 판정 근거],$P736))</f>
        <v/>
      </c>
      <c r="O736">
        <f>IF($P736="","",INDEX(명단표[점검],$P736))</f>
        <v/>
      </c>
      <c r="P736" s="17">
        <f>IFERROR(MATCH(731,명단표[서울순번],0),"")</f>
        <v/>
      </c>
      <c r="R736">
        <f>IF($W736="","",INDEX(명단표[이름],$W736))</f>
        <v/>
      </c>
      <c r="S736">
        <f>IF($W736="","",INDEX(명단표[사번],$W736)&amp;"")</f>
        <v/>
      </c>
      <c r="T736">
        <f>IF($W736="","",INDEX(명단표[소속병원],$W736))</f>
        <v/>
      </c>
      <c r="U736">
        <f>IF($W736="","",INDEX(명단표[서울 근무일(기준월)],$W736))</f>
        <v/>
      </c>
      <c r="V736">
        <f>IF($W736="","",INDEX(명단표[구리 근무일(기준월)],$W736))</f>
        <v/>
      </c>
      <c r="W736" s="17">
        <f>IFERROR(MATCH(731,명단표[판정불가순번],0),"")</f>
        <v/>
      </c>
    </row>
    <row r="737">
      <c r="A737">
        <f>IF($P737="","",732)</f>
        <v/>
      </c>
      <c r="B737">
        <f>IF($P737="","",INDEX(명단표[이름],$P737))</f>
        <v/>
      </c>
      <c r="C737">
        <f>IF($P737="","",INDEX(명단표[사번],$P737)&amp;"")</f>
        <v/>
      </c>
      <c r="D737">
        <f>IF($P737="","",INDEX(명단표[전공의등록번호],$P737)&amp;"")</f>
        <v/>
      </c>
      <c r="E737">
        <f>IF($P737="","",INDEX(명단표[수련과목],$P737)&amp;"")</f>
        <v/>
      </c>
      <c r="F737">
        <f>IF($P737="","",INDEX(명단표[연차],$P737)&amp;"")</f>
        <v/>
      </c>
      <c r="G737">
        <f>IF($P737="","",INDEX(명단표[소속병원],$P737))</f>
        <v/>
      </c>
      <c r="H737">
        <f>IF($P737="","",IF(INDEX(명단표[소속병원],$P737)="서울병원","서울 소속","타 병원 소속("&amp;INDEX(명단표[소속병원],$P737)&amp;") → 서울 지급"))</f>
        <v/>
      </c>
      <c r="I737">
        <f>IF($P737="","",INDEX(명단표[현재 근무병원],$P737))</f>
        <v/>
      </c>
      <c r="J737">
        <f>IF($P737="","",INDEX(명단표[구리 근무 시작일(기준월)],$P737)&amp;"")</f>
        <v/>
      </c>
      <c r="K737">
        <f>IF($P737="","",INDEX(명단표[구리 근무 종료일(기준월)],$P737)&amp;"")</f>
        <v/>
      </c>
      <c r="L737">
        <f>IF($P737="","",INDEX(명단표[서울 근무일(기준월)],$P737))</f>
        <v/>
      </c>
      <c r="M737">
        <f>IF($P737="","",INDEX(명단표[구리 근무일(기준월)],$P737))</f>
        <v/>
      </c>
      <c r="N737">
        <f>IF($P737="","",INDEX(명단표[급여 판정 근거],$P737))</f>
        <v/>
      </c>
      <c r="O737">
        <f>IF($P737="","",INDEX(명단표[점검],$P737))</f>
        <v/>
      </c>
      <c r="P737" s="17">
        <f>IFERROR(MATCH(732,명단표[서울순번],0),"")</f>
        <v/>
      </c>
      <c r="R737">
        <f>IF($W737="","",INDEX(명단표[이름],$W737))</f>
        <v/>
      </c>
      <c r="S737">
        <f>IF($W737="","",INDEX(명단표[사번],$W737)&amp;"")</f>
        <v/>
      </c>
      <c r="T737">
        <f>IF($W737="","",INDEX(명단표[소속병원],$W737))</f>
        <v/>
      </c>
      <c r="U737">
        <f>IF($W737="","",INDEX(명단표[서울 근무일(기준월)],$W737))</f>
        <v/>
      </c>
      <c r="V737">
        <f>IF($W737="","",INDEX(명단표[구리 근무일(기준월)],$W737))</f>
        <v/>
      </c>
      <c r="W737" s="17">
        <f>IFERROR(MATCH(732,명단표[판정불가순번],0),"")</f>
        <v/>
      </c>
    </row>
    <row r="738">
      <c r="A738">
        <f>IF($P738="","",733)</f>
        <v/>
      </c>
      <c r="B738">
        <f>IF($P738="","",INDEX(명단표[이름],$P738))</f>
        <v/>
      </c>
      <c r="C738">
        <f>IF($P738="","",INDEX(명단표[사번],$P738)&amp;"")</f>
        <v/>
      </c>
      <c r="D738">
        <f>IF($P738="","",INDEX(명단표[전공의등록번호],$P738)&amp;"")</f>
        <v/>
      </c>
      <c r="E738">
        <f>IF($P738="","",INDEX(명단표[수련과목],$P738)&amp;"")</f>
        <v/>
      </c>
      <c r="F738">
        <f>IF($P738="","",INDEX(명단표[연차],$P738)&amp;"")</f>
        <v/>
      </c>
      <c r="G738">
        <f>IF($P738="","",INDEX(명단표[소속병원],$P738))</f>
        <v/>
      </c>
      <c r="H738">
        <f>IF($P738="","",IF(INDEX(명단표[소속병원],$P738)="서울병원","서울 소속","타 병원 소속("&amp;INDEX(명단표[소속병원],$P738)&amp;") → 서울 지급"))</f>
        <v/>
      </c>
      <c r="I738">
        <f>IF($P738="","",INDEX(명단표[현재 근무병원],$P738))</f>
        <v/>
      </c>
      <c r="J738">
        <f>IF($P738="","",INDEX(명단표[구리 근무 시작일(기준월)],$P738)&amp;"")</f>
        <v/>
      </c>
      <c r="K738">
        <f>IF($P738="","",INDEX(명단표[구리 근무 종료일(기준월)],$P738)&amp;"")</f>
        <v/>
      </c>
      <c r="L738">
        <f>IF($P738="","",INDEX(명단표[서울 근무일(기준월)],$P738))</f>
        <v/>
      </c>
      <c r="M738">
        <f>IF($P738="","",INDEX(명단표[구리 근무일(기준월)],$P738))</f>
        <v/>
      </c>
      <c r="N738">
        <f>IF($P738="","",INDEX(명단표[급여 판정 근거],$P738))</f>
        <v/>
      </c>
      <c r="O738">
        <f>IF($P738="","",INDEX(명단표[점검],$P738))</f>
        <v/>
      </c>
      <c r="P738" s="17">
        <f>IFERROR(MATCH(733,명단표[서울순번],0),"")</f>
        <v/>
      </c>
      <c r="R738">
        <f>IF($W738="","",INDEX(명단표[이름],$W738))</f>
        <v/>
      </c>
      <c r="S738">
        <f>IF($W738="","",INDEX(명단표[사번],$W738)&amp;"")</f>
        <v/>
      </c>
      <c r="T738">
        <f>IF($W738="","",INDEX(명단표[소속병원],$W738))</f>
        <v/>
      </c>
      <c r="U738">
        <f>IF($W738="","",INDEX(명단표[서울 근무일(기준월)],$W738))</f>
        <v/>
      </c>
      <c r="V738">
        <f>IF($W738="","",INDEX(명단표[구리 근무일(기준월)],$W738))</f>
        <v/>
      </c>
      <c r="W738" s="17">
        <f>IFERROR(MATCH(733,명단표[판정불가순번],0),"")</f>
        <v/>
      </c>
    </row>
    <row r="739">
      <c r="A739">
        <f>IF($P739="","",734)</f>
        <v/>
      </c>
      <c r="B739">
        <f>IF($P739="","",INDEX(명단표[이름],$P739))</f>
        <v/>
      </c>
      <c r="C739">
        <f>IF($P739="","",INDEX(명단표[사번],$P739)&amp;"")</f>
        <v/>
      </c>
      <c r="D739">
        <f>IF($P739="","",INDEX(명단표[전공의등록번호],$P739)&amp;"")</f>
        <v/>
      </c>
      <c r="E739">
        <f>IF($P739="","",INDEX(명단표[수련과목],$P739)&amp;"")</f>
        <v/>
      </c>
      <c r="F739">
        <f>IF($P739="","",INDEX(명단표[연차],$P739)&amp;"")</f>
        <v/>
      </c>
      <c r="G739">
        <f>IF($P739="","",INDEX(명단표[소속병원],$P739))</f>
        <v/>
      </c>
      <c r="H739">
        <f>IF($P739="","",IF(INDEX(명단표[소속병원],$P739)="서울병원","서울 소속","타 병원 소속("&amp;INDEX(명단표[소속병원],$P739)&amp;") → 서울 지급"))</f>
        <v/>
      </c>
      <c r="I739">
        <f>IF($P739="","",INDEX(명단표[현재 근무병원],$P739))</f>
        <v/>
      </c>
      <c r="J739">
        <f>IF($P739="","",INDEX(명단표[구리 근무 시작일(기준월)],$P739)&amp;"")</f>
        <v/>
      </c>
      <c r="K739">
        <f>IF($P739="","",INDEX(명단표[구리 근무 종료일(기준월)],$P739)&amp;"")</f>
        <v/>
      </c>
      <c r="L739">
        <f>IF($P739="","",INDEX(명단표[서울 근무일(기준월)],$P739))</f>
        <v/>
      </c>
      <c r="M739">
        <f>IF($P739="","",INDEX(명단표[구리 근무일(기준월)],$P739))</f>
        <v/>
      </c>
      <c r="N739">
        <f>IF($P739="","",INDEX(명단표[급여 판정 근거],$P739))</f>
        <v/>
      </c>
      <c r="O739">
        <f>IF($P739="","",INDEX(명단표[점검],$P739))</f>
        <v/>
      </c>
      <c r="P739" s="17">
        <f>IFERROR(MATCH(734,명단표[서울순번],0),"")</f>
        <v/>
      </c>
      <c r="R739">
        <f>IF($W739="","",INDEX(명단표[이름],$W739))</f>
        <v/>
      </c>
      <c r="S739">
        <f>IF($W739="","",INDEX(명단표[사번],$W739)&amp;"")</f>
        <v/>
      </c>
      <c r="T739">
        <f>IF($W739="","",INDEX(명단표[소속병원],$W739))</f>
        <v/>
      </c>
      <c r="U739">
        <f>IF($W739="","",INDEX(명단표[서울 근무일(기준월)],$W739))</f>
        <v/>
      </c>
      <c r="V739">
        <f>IF($W739="","",INDEX(명단표[구리 근무일(기준월)],$W739))</f>
        <v/>
      </c>
      <c r="W739" s="17">
        <f>IFERROR(MATCH(734,명단표[판정불가순번],0),"")</f>
        <v/>
      </c>
    </row>
    <row r="740">
      <c r="A740">
        <f>IF($P740="","",735)</f>
        <v/>
      </c>
      <c r="B740">
        <f>IF($P740="","",INDEX(명단표[이름],$P740))</f>
        <v/>
      </c>
      <c r="C740">
        <f>IF($P740="","",INDEX(명단표[사번],$P740)&amp;"")</f>
        <v/>
      </c>
      <c r="D740">
        <f>IF($P740="","",INDEX(명단표[전공의등록번호],$P740)&amp;"")</f>
        <v/>
      </c>
      <c r="E740">
        <f>IF($P740="","",INDEX(명단표[수련과목],$P740)&amp;"")</f>
        <v/>
      </c>
      <c r="F740">
        <f>IF($P740="","",INDEX(명단표[연차],$P740)&amp;"")</f>
        <v/>
      </c>
      <c r="G740">
        <f>IF($P740="","",INDEX(명단표[소속병원],$P740))</f>
        <v/>
      </c>
      <c r="H740">
        <f>IF($P740="","",IF(INDEX(명단표[소속병원],$P740)="서울병원","서울 소속","타 병원 소속("&amp;INDEX(명단표[소속병원],$P740)&amp;") → 서울 지급"))</f>
        <v/>
      </c>
      <c r="I740">
        <f>IF($P740="","",INDEX(명단표[현재 근무병원],$P740))</f>
        <v/>
      </c>
      <c r="J740">
        <f>IF($P740="","",INDEX(명단표[구리 근무 시작일(기준월)],$P740)&amp;"")</f>
        <v/>
      </c>
      <c r="K740">
        <f>IF($P740="","",INDEX(명단표[구리 근무 종료일(기준월)],$P740)&amp;"")</f>
        <v/>
      </c>
      <c r="L740">
        <f>IF($P740="","",INDEX(명단표[서울 근무일(기준월)],$P740))</f>
        <v/>
      </c>
      <c r="M740">
        <f>IF($P740="","",INDEX(명단표[구리 근무일(기준월)],$P740))</f>
        <v/>
      </c>
      <c r="N740">
        <f>IF($P740="","",INDEX(명단표[급여 판정 근거],$P740))</f>
        <v/>
      </c>
      <c r="O740">
        <f>IF($P740="","",INDEX(명단표[점검],$P740))</f>
        <v/>
      </c>
      <c r="P740" s="17">
        <f>IFERROR(MATCH(735,명단표[서울순번],0),"")</f>
        <v/>
      </c>
      <c r="R740">
        <f>IF($W740="","",INDEX(명단표[이름],$W740))</f>
        <v/>
      </c>
      <c r="S740">
        <f>IF($W740="","",INDEX(명단표[사번],$W740)&amp;"")</f>
        <v/>
      </c>
      <c r="T740">
        <f>IF($W740="","",INDEX(명단표[소속병원],$W740))</f>
        <v/>
      </c>
      <c r="U740">
        <f>IF($W740="","",INDEX(명단표[서울 근무일(기준월)],$W740))</f>
        <v/>
      </c>
      <c r="V740">
        <f>IF($W740="","",INDEX(명단표[구리 근무일(기준월)],$W740))</f>
        <v/>
      </c>
      <c r="W740" s="17">
        <f>IFERROR(MATCH(735,명단표[판정불가순번],0),"")</f>
        <v/>
      </c>
    </row>
    <row r="741">
      <c r="A741">
        <f>IF($P741="","",736)</f>
        <v/>
      </c>
      <c r="B741">
        <f>IF($P741="","",INDEX(명단표[이름],$P741))</f>
        <v/>
      </c>
      <c r="C741">
        <f>IF($P741="","",INDEX(명단표[사번],$P741)&amp;"")</f>
        <v/>
      </c>
      <c r="D741">
        <f>IF($P741="","",INDEX(명단표[전공의등록번호],$P741)&amp;"")</f>
        <v/>
      </c>
      <c r="E741">
        <f>IF($P741="","",INDEX(명단표[수련과목],$P741)&amp;"")</f>
        <v/>
      </c>
      <c r="F741">
        <f>IF($P741="","",INDEX(명단표[연차],$P741)&amp;"")</f>
        <v/>
      </c>
      <c r="G741">
        <f>IF($P741="","",INDEX(명단표[소속병원],$P741))</f>
        <v/>
      </c>
      <c r="H741">
        <f>IF($P741="","",IF(INDEX(명단표[소속병원],$P741)="서울병원","서울 소속","타 병원 소속("&amp;INDEX(명단표[소속병원],$P741)&amp;") → 서울 지급"))</f>
        <v/>
      </c>
      <c r="I741">
        <f>IF($P741="","",INDEX(명단표[현재 근무병원],$P741))</f>
        <v/>
      </c>
      <c r="J741">
        <f>IF($P741="","",INDEX(명단표[구리 근무 시작일(기준월)],$P741)&amp;"")</f>
        <v/>
      </c>
      <c r="K741">
        <f>IF($P741="","",INDEX(명단표[구리 근무 종료일(기준월)],$P741)&amp;"")</f>
        <v/>
      </c>
      <c r="L741">
        <f>IF($P741="","",INDEX(명단표[서울 근무일(기준월)],$P741))</f>
        <v/>
      </c>
      <c r="M741">
        <f>IF($P741="","",INDEX(명단표[구리 근무일(기준월)],$P741))</f>
        <v/>
      </c>
      <c r="N741">
        <f>IF($P741="","",INDEX(명단표[급여 판정 근거],$P741))</f>
        <v/>
      </c>
      <c r="O741">
        <f>IF($P741="","",INDEX(명단표[점검],$P741))</f>
        <v/>
      </c>
      <c r="P741" s="17">
        <f>IFERROR(MATCH(736,명단표[서울순번],0),"")</f>
        <v/>
      </c>
      <c r="R741">
        <f>IF($W741="","",INDEX(명단표[이름],$W741))</f>
        <v/>
      </c>
      <c r="S741">
        <f>IF($W741="","",INDEX(명단표[사번],$W741)&amp;"")</f>
        <v/>
      </c>
      <c r="T741">
        <f>IF($W741="","",INDEX(명단표[소속병원],$W741))</f>
        <v/>
      </c>
      <c r="U741">
        <f>IF($W741="","",INDEX(명단표[서울 근무일(기준월)],$W741))</f>
        <v/>
      </c>
      <c r="V741">
        <f>IF($W741="","",INDEX(명단표[구리 근무일(기준월)],$W741))</f>
        <v/>
      </c>
      <c r="W741" s="17">
        <f>IFERROR(MATCH(736,명단표[판정불가순번],0),"")</f>
        <v/>
      </c>
    </row>
    <row r="742">
      <c r="A742">
        <f>IF($P742="","",737)</f>
        <v/>
      </c>
      <c r="B742">
        <f>IF($P742="","",INDEX(명단표[이름],$P742))</f>
        <v/>
      </c>
      <c r="C742">
        <f>IF($P742="","",INDEX(명단표[사번],$P742)&amp;"")</f>
        <v/>
      </c>
      <c r="D742">
        <f>IF($P742="","",INDEX(명단표[전공의등록번호],$P742)&amp;"")</f>
        <v/>
      </c>
      <c r="E742">
        <f>IF($P742="","",INDEX(명단표[수련과목],$P742)&amp;"")</f>
        <v/>
      </c>
      <c r="F742">
        <f>IF($P742="","",INDEX(명단표[연차],$P742)&amp;"")</f>
        <v/>
      </c>
      <c r="G742">
        <f>IF($P742="","",INDEX(명단표[소속병원],$P742))</f>
        <v/>
      </c>
      <c r="H742">
        <f>IF($P742="","",IF(INDEX(명단표[소속병원],$P742)="서울병원","서울 소속","타 병원 소속("&amp;INDEX(명단표[소속병원],$P742)&amp;") → 서울 지급"))</f>
        <v/>
      </c>
      <c r="I742">
        <f>IF($P742="","",INDEX(명단표[현재 근무병원],$P742))</f>
        <v/>
      </c>
      <c r="J742">
        <f>IF($P742="","",INDEX(명단표[구리 근무 시작일(기준월)],$P742)&amp;"")</f>
        <v/>
      </c>
      <c r="K742">
        <f>IF($P742="","",INDEX(명단표[구리 근무 종료일(기준월)],$P742)&amp;"")</f>
        <v/>
      </c>
      <c r="L742">
        <f>IF($P742="","",INDEX(명단표[서울 근무일(기준월)],$P742))</f>
        <v/>
      </c>
      <c r="M742">
        <f>IF($P742="","",INDEX(명단표[구리 근무일(기준월)],$P742))</f>
        <v/>
      </c>
      <c r="N742">
        <f>IF($P742="","",INDEX(명단표[급여 판정 근거],$P742))</f>
        <v/>
      </c>
      <c r="O742">
        <f>IF($P742="","",INDEX(명단표[점검],$P742))</f>
        <v/>
      </c>
      <c r="P742" s="17">
        <f>IFERROR(MATCH(737,명단표[서울순번],0),"")</f>
        <v/>
      </c>
      <c r="R742">
        <f>IF($W742="","",INDEX(명단표[이름],$W742))</f>
        <v/>
      </c>
      <c r="S742">
        <f>IF($W742="","",INDEX(명단표[사번],$W742)&amp;"")</f>
        <v/>
      </c>
      <c r="T742">
        <f>IF($W742="","",INDEX(명단표[소속병원],$W742))</f>
        <v/>
      </c>
      <c r="U742">
        <f>IF($W742="","",INDEX(명단표[서울 근무일(기준월)],$W742))</f>
        <v/>
      </c>
      <c r="V742">
        <f>IF($W742="","",INDEX(명단표[구리 근무일(기준월)],$W742))</f>
        <v/>
      </c>
      <c r="W742" s="17">
        <f>IFERROR(MATCH(737,명단표[판정불가순번],0),"")</f>
        <v/>
      </c>
    </row>
    <row r="743">
      <c r="A743">
        <f>IF($P743="","",738)</f>
        <v/>
      </c>
      <c r="B743">
        <f>IF($P743="","",INDEX(명단표[이름],$P743))</f>
        <v/>
      </c>
      <c r="C743">
        <f>IF($P743="","",INDEX(명단표[사번],$P743)&amp;"")</f>
        <v/>
      </c>
      <c r="D743">
        <f>IF($P743="","",INDEX(명단표[전공의등록번호],$P743)&amp;"")</f>
        <v/>
      </c>
      <c r="E743">
        <f>IF($P743="","",INDEX(명단표[수련과목],$P743)&amp;"")</f>
        <v/>
      </c>
      <c r="F743">
        <f>IF($P743="","",INDEX(명단표[연차],$P743)&amp;"")</f>
        <v/>
      </c>
      <c r="G743">
        <f>IF($P743="","",INDEX(명단표[소속병원],$P743))</f>
        <v/>
      </c>
      <c r="H743">
        <f>IF($P743="","",IF(INDEX(명단표[소속병원],$P743)="서울병원","서울 소속","타 병원 소속("&amp;INDEX(명단표[소속병원],$P743)&amp;") → 서울 지급"))</f>
        <v/>
      </c>
      <c r="I743">
        <f>IF($P743="","",INDEX(명단표[현재 근무병원],$P743))</f>
        <v/>
      </c>
      <c r="J743">
        <f>IF($P743="","",INDEX(명단표[구리 근무 시작일(기준월)],$P743)&amp;"")</f>
        <v/>
      </c>
      <c r="K743">
        <f>IF($P743="","",INDEX(명단표[구리 근무 종료일(기준월)],$P743)&amp;"")</f>
        <v/>
      </c>
      <c r="L743">
        <f>IF($P743="","",INDEX(명단표[서울 근무일(기준월)],$P743))</f>
        <v/>
      </c>
      <c r="M743">
        <f>IF($P743="","",INDEX(명단표[구리 근무일(기준월)],$P743))</f>
        <v/>
      </c>
      <c r="N743">
        <f>IF($P743="","",INDEX(명단표[급여 판정 근거],$P743))</f>
        <v/>
      </c>
      <c r="O743">
        <f>IF($P743="","",INDEX(명단표[점검],$P743))</f>
        <v/>
      </c>
      <c r="P743" s="17">
        <f>IFERROR(MATCH(738,명단표[서울순번],0),"")</f>
        <v/>
      </c>
      <c r="R743">
        <f>IF($W743="","",INDEX(명단표[이름],$W743))</f>
        <v/>
      </c>
      <c r="S743">
        <f>IF($W743="","",INDEX(명단표[사번],$W743)&amp;"")</f>
        <v/>
      </c>
      <c r="T743">
        <f>IF($W743="","",INDEX(명단표[소속병원],$W743))</f>
        <v/>
      </c>
      <c r="U743">
        <f>IF($W743="","",INDEX(명단표[서울 근무일(기준월)],$W743))</f>
        <v/>
      </c>
      <c r="V743">
        <f>IF($W743="","",INDEX(명단표[구리 근무일(기준월)],$W743))</f>
        <v/>
      </c>
      <c r="W743" s="17">
        <f>IFERROR(MATCH(738,명단표[판정불가순번],0),"")</f>
        <v/>
      </c>
    </row>
    <row r="744">
      <c r="A744">
        <f>IF($P744="","",739)</f>
        <v/>
      </c>
      <c r="B744">
        <f>IF($P744="","",INDEX(명단표[이름],$P744))</f>
        <v/>
      </c>
      <c r="C744">
        <f>IF($P744="","",INDEX(명단표[사번],$P744)&amp;"")</f>
        <v/>
      </c>
      <c r="D744">
        <f>IF($P744="","",INDEX(명단표[전공의등록번호],$P744)&amp;"")</f>
        <v/>
      </c>
      <c r="E744">
        <f>IF($P744="","",INDEX(명단표[수련과목],$P744)&amp;"")</f>
        <v/>
      </c>
      <c r="F744">
        <f>IF($P744="","",INDEX(명단표[연차],$P744)&amp;"")</f>
        <v/>
      </c>
      <c r="G744">
        <f>IF($P744="","",INDEX(명단표[소속병원],$P744))</f>
        <v/>
      </c>
      <c r="H744">
        <f>IF($P744="","",IF(INDEX(명단표[소속병원],$P744)="서울병원","서울 소속","타 병원 소속("&amp;INDEX(명단표[소속병원],$P744)&amp;") → 서울 지급"))</f>
        <v/>
      </c>
      <c r="I744">
        <f>IF($P744="","",INDEX(명단표[현재 근무병원],$P744))</f>
        <v/>
      </c>
      <c r="J744">
        <f>IF($P744="","",INDEX(명단표[구리 근무 시작일(기준월)],$P744)&amp;"")</f>
        <v/>
      </c>
      <c r="K744">
        <f>IF($P744="","",INDEX(명단표[구리 근무 종료일(기준월)],$P744)&amp;"")</f>
        <v/>
      </c>
      <c r="L744">
        <f>IF($P744="","",INDEX(명단표[서울 근무일(기준월)],$P744))</f>
        <v/>
      </c>
      <c r="M744">
        <f>IF($P744="","",INDEX(명단표[구리 근무일(기준월)],$P744))</f>
        <v/>
      </c>
      <c r="N744">
        <f>IF($P744="","",INDEX(명단표[급여 판정 근거],$P744))</f>
        <v/>
      </c>
      <c r="O744">
        <f>IF($P744="","",INDEX(명단표[점검],$P744))</f>
        <v/>
      </c>
      <c r="P744" s="17">
        <f>IFERROR(MATCH(739,명단표[서울순번],0),"")</f>
        <v/>
      </c>
      <c r="R744">
        <f>IF($W744="","",INDEX(명단표[이름],$W744))</f>
        <v/>
      </c>
      <c r="S744">
        <f>IF($W744="","",INDEX(명단표[사번],$W744)&amp;"")</f>
        <v/>
      </c>
      <c r="T744">
        <f>IF($W744="","",INDEX(명단표[소속병원],$W744))</f>
        <v/>
      </c>
      <c r="U744">
        <f>IF($W744="","",INDEX(명단표[서울 근무일(기준월)],$W744))</f>
        <v/>
      </c>
      <c r="V744">
        <f>IF($W744="","",INDEX(명단표[구리 근무일(기준월)],$W744))</f>
        <v/>
      </c>
      <c r="W744" s="17">
        <f>IFERROR(MATCH(739,명단표[판정불가순번],0),"")</f>
        <v/>
      </c>
    </row>
    <row r="745">
      <c r="A745">
        <f>IF($P745="","",740)</f>
        <v/>
      </c>
      <c r="B745">
        <f>IF($P745="","",INDEX(명단표[이름],$P745))</f>
        <v/>
      </c>
      <c r="C745">
        <f>IF($P745="","",INDEX(명단표[사번],$P745)&amp;"")</f>
        <v/>
      </c>
      <c r="D745">
        <f>IF($P745="","",INDEX(명단표[전공의등록번호],$P745)&amp;"")</f>
        <v/>
      </c>
      <c r="E745">
        <f>IF($P745="","",INDEX(명단표[수련과목],$P745)&amp;"")</f>
        <v/>
      </c>
      <c r="F745">
        <f>IF($P745="","",INDEX(명단표[연차],$P745)&amp;"")</f>
        <v/>
      </c>
      <c r="G745">
        <f>IF($P745="","",INDEX(명단표[소속병원],$P745))</f>
        <v/>
      </c>
      <c r="H745">
        <f>IF($P745="","",IF(INDEX(명단표[소속병원],$P745)="서울병원","서울 소속","타 병원 소속("&amp;INDEX(명단표[소속병원],$P745)&amp;") → 서울 지급"))</f>
        <v/>
      </c>
      <c r="I745">
        <f>IF($P745="","",INDEX(명단표[현재 근무병원],$P745))</f>
        <v/>
      </c>
      <c r="J745">
        <f>IF($P745="","",INDEX(명단표[구리 근무 시작일(기준월)],$P745)&amp;"")</f>
        <v/>
      </c>
      <c r="K745">
        <f>IF($P745="","",INDEX(명단표[구리 근무 종료일(기준월)],$P745)&amp;"")</f>
        <v/>
      </c>
      <c r="L745">
        <f>IF($P745="","",INDEX(명단표[서울 근무일(기준월)],$P745))</f>
        <v/>
      </c>
      <c r="M745">
        <f>IF($P745="","",INDEX(명단표[구리 근무일(기준월)],$P745))</f>
        <v/>
      </c>
      <c r="N745">
        <f>IF($P745="","",INDEX(명단표[급여 판정 근거],$P745))</f>
        <v/>
      </c>
      <c r="O745">
        <f>IF($P745="","",INDEX(명단표[점검],$P745))</f>
        <v/>
      </c>
      <c r="P745" s="17">
        <f>IFERROR(MATCH(740,명단표[서울순번],0),"")</f>
        <v/>
      </c>
      <c r="R745">
        <f>IF($W745="","",INDEX(명단표[이름],$W745))</f>
        <v/>
      </c>
      <c r="S745">
        <f>IF($W745="","",INDEX(명단표[사번],$W745)&amp;"")</f>
        <v/>
      </c>
      <c r="T745">
        <f>IF($W745="","",INDEX(명단표[소속병원],$W745))</f>
        <v/>
      </c>
      <c r="U745">
        <f>IF($W745="","",INDEX(명단표[서울 근무일(기준월)],$W745))</f>
        <v/>
      </c>
      <c r="V745">
        <f>IF($W745="","",INDEX(명단표[구리 근무일(기준월)],$W745))</f>
        <v/>
      </c>
      <c r="W745" s="17">
        <f>IFERROR(MATCH(740,명단표[판정불가순번],0),"")</f>
        <v/>
      </c>
    </row>
    <row r="746">
      <c r="A746">
        <f>IF($P746="","",741)</f>
        <v/>
      </c>
      <c r="B746">
        <f>IF($P746="","",INDEX(명단표[이름],$P746))</f>
        <v/>
      </c>
      <c r="C746">
        <f>IF($P746="","",INDEX(명단표[사번],$P746)&amp;"")</f>
        <v/>
      </c>
      <c r="D746">
        <f>IF($P746="","",INDEX(명단표[전공의등록번호],$P746)&amp;"")</f>
        <v/>
      </c>
      <c r="E746">
        <f>IF($P746="","",INDEX(명단표[수련과목],$P746)&amp;"")</f>
        <v/>
      </c>
      <c r="F746">
        <f>IF($P746="","",INDEX(명단표[연차],$P746)&amp;"")</f>
        <v/>
      </c>
      <c r="G746">
        <f>IF($P746="","",INDEX(명단표[소속병원],$P746))</f>
        <v/>
      </c>
      <c r="H746">
        <f>IF($P746="","",IF(INDEX(명단표[소속병원],$P746)="서울병원","서울 소속","타 병원 소속("&amp;INDEX(명단표[소속병원],$P746)&amp;") → 서울 지급"))</f>
        <v/>
      </c>
      <c r="I746">
        <f>IF($P746="","",INDEX(명단표[현재 근무병원],$P746))</f>
        <v/>
      </c>
      <c r="J746">
        <f>IF($P746="","",INDEX(명단표[구리 근무 시작일(기준월)],$P746)&amp;"")</f>
        <v/>
      </c>
      <c r="K746">
        <f>IF($P746="","",INDEX(명단표[구리 근무 종료일(기준월)],$P746)&amp;"")</f>
        <v/>
      </c>
      <c r="L746">
        <f>IF($P746="","",INDEX(명단표[서울 근무일(기준월)],$P746))</f>
        <v/>
      </c>
      <c r="M746">
        <f>IF($P746="","",INDEX(명단표[구리 근무일(기준월)],$P746))</f>
        <v/>
      </c>
      <c r="N746">
        <f>IF($P746="","",INDEX(명단표[급여 판정 근거],$P746))</f>
        <v/>
      </c>
      <c r="O746">
        <f>IF($P746="","",INDEX(명단표[점검],$P746))</f>
        <v/>
      </c>
      <c r="P746" s="17">
        <f>IFERROR(MATCH(741,명단표[서울순번],0),"")</f>
        <v/>
      </c>
      <c r="R746">
        <f>IF($W746="","",INDEX(명단표[이름],$W746))</f>
        <v/>
      </c>
      <c r="S746">
        <f>IF($W746="","",INDEX(명단표[사번],$W746)&amp;"")</f>
        <v/>
      </c>
      <c r="T746">
        <f>IF($W746="","",INDEX(명단표[소속병원],$W746))</f>
        <v/>
      </c>
      <c r="U746">
        <f>IF($W746="","",INDEX(명단표[서울 근무일(기준월)],$W746))</f>
        <v/>
      </c>
      <c r="V746">
        <f>IF($W746="","",INDEX(명단표[구리 근무일(기준월)],$W746))</f>
        <v/>
      </c>
      <c r="W746" s="17">
        <f>IFERROR(MATCH(741,명단표[판정불가순번],0),"")</f>
        <v/>
      </c>
    </row>
    <row r="747">
      <c r="A747">
        <f>IF($P747="","",742)</f>
        <v/>
      </c>
      <c r="B747">
        <f>IF($P747="","",INDEX(명단표[이름],$P747))</f>
        <v/>
      </c>
      <c r="C747">
        <f>IF($P747="","",INDEX(명단표[사번],$P747)&amp;"")</f>
        <v/>
      </c>
      <c r="D747">
        <f>IF($P747="","",INDEX(명단표[전공의등록번호],$P747)&amp;"")</f>
        <v/>
      </c>
      <c r="E747">
        <f>IF($P747="","",INDEX(명단표[수련과목],$P747)&amp;"")</f>
        <v/>
      </c>
      <c r="F747">
        <f>IF($P747="","",INDEX(명단표[연차],$P747)&amp;"")</f>
        <v/>
      </c>
      <c r="G747">
        <f>IF($P747="","",INDEX(명단표[소속병원],$P747))</f>
        <v/>
      </c>
      <c r="H747">
        <f>IF($P747="","",IF(INDEX(명단표[소속병원],$P747)="서울병원","서울 소속","타 병원 소속("&amp;INDEX(명단표[소속병원],$P747)&amp;") → 서울 지급"))</f>
        <v/>
      </c>
      <c r="I747">
        <f>IF($P747="","",INDEX(명단표[현재 근무병원],$P747))</f>
        <v/>
      </c>
      <c r="J747">
        <f>IF($P747="","",INDEX(명단표[구리 근무 시작일(기준월)],$P747)&amp;"")</f>
        <v/>
      </c>
      <c r="K747">
        <f>IF($P747="","",INDEX(명단표[구리 근무 종료일(기준월)],$P747)&amp;"")</f>
        <v/>
      </c>
      <c r="L747">
        <f>IF($P747="","",INDEX(명단표[서울 근무일(기준월)],$P747))</f>
        <v/>
      </c>
      <c r="M747">
        <f>IF($P747="","",INDEX(명단표[구리 근무일(기준월)],$P747))</f>
        <v/>
      </c>
      <c r="N747">
        <f>IF($P747="","",INDEX(명단표[급여 판정 근거],$P747))</f>
        <v/>
      </c>
      <c r="O747">
        <f>IF($P747="","",INDEX(명단표[점검],$P747))</f>
        <v/>
      </c>
      <c r="P747" s="17">
        <f>IFERROR(MATCH(742,명단표[서울순번],0),"")</f>
        <v/>
      </c>
      <c r="R747">
        <f>IF($W747="","",INDEX(명단표[이름],$W747))</f>
        <v/>
      </c>
      <c r="S747">
        <f>IF($W747="","",INDEX(명단표[사번],$W747)&amp;"")</f>
        <v/>
      </c>
      <c r="T747">
        <f>IF($W747="","",INDEX(명단표[소속병원],$W747))</f>
        <v/>
      </c>
      <c r="U747">
        <f>IF($W747="","",INDEX(명단표[서울 근무일(기준월)],$W747))</f>
        <v/>
      </c>
      <c r="V747">
        <f>IF($W747="","",INDEX(명단표[구리 근무일(기준월)],$W747))</f>
        <v/>
      </c>
      <c r="W747" s="17">
        <f>IFERROR(MATCH(742,명단표[판정불가순번],0),"")</f>
        <v/>
      </c>
    </row>
    <row r="748">
      <c r="A748">
        <f>IF($P748="","",743)</f>
        <v/>
      </c>
      <c r="B748">
        <f>IF($P748="","",INDEX(명단표[이름],$P748))</f>
        <v/>
      </c>
      <c r="C748">
        <f>IF($P748="","",INDEX(명단표[사번],$P748)&amp;"")</f>
        <v/>
      </c>
      <c r="D748">
        <f>IF($P748="","",INDEX(명단표[전공의등록번호],$P748)&amp;"")</f>
        <v/>
      </c>
      <c r="E748">
        <f>IF($P748="","",INDEX(명단표[수련과목],$P748)&amp;"")</f>
        <v/>
      </c>
      <c r="F748">
        <f>IF($P748="","",INDEX(명단표[연차],$P748)&amp;"")</f>
        <v/>
      </c>
      <c r="G748">
        <f>IF($P748="","",INDEX(명단표[소속병원],$P748))</f>
        <v/>
      </c>
      <c r="H748">
        <f>IF($P748="","",IF(INDEX(명단표[소속병원],$P748)="서울병원","서울 소속","타 병원 소속("&amp;INDEX(명단표[소속병원],$P748)&amp;") → 서울 지급"))</f>
        <v/>
      </c>
      <c r="I748">
        <f>IF($P748="","",INDEX(명단표[현재 근무병원],$P748))</f>
        <v/>
      </c>
      <c r="J748">
        <f>IF($P748="","",INDEX(명단표[구리 근무 시작일(기준월)],$P748)&amp;"")</f>
        <v/>
      </c>
      <c r="K748">
        <f>IF($P748="","",INDEX(명단표[구리 근무 종료일(기준월)],$P748)&amp;"")</f>
        <v/>
      </c>
      <c r="L748">
        <f>IF($P748="","",INDEX(명단표[서울 근무일(기준월)],$P748))</f>
        <v/>
      </c>
      <c r="M748">
        <f>IF($P748="","",INDEX(명단표[구리 근무일(기준월)],$P748))</f>
        <v/>
      </c>
      <c r="N748">
        <f>IF($P748="","",INDEX(명단표[급여 판정 근거],$P748))</f>
        <v/>
      </c>
      <c r="O748">
        <f>IF($P748="","",INDEX(명단표[점검],$P748))</f>
        <v/>
      </c>
      <c r="P748" s="17">
        <f>IFERROR(MATCH(743,명단표[서울순번],0),"")</f>
        <v/>
      </c>
      <c r="R748">
        <f>IF($W748="","",INDEX(명단표[이름],$W748))</f>
        <v/>
      </c>
      <c r="S748">
        <f>IF($W748="","",INDEX(명단표[사번],$W748)&amp;"")</f>
        <v/>
      </c>
      <c r="T748">
        <f>IF($W748="","",INDEX(명단표[소속병원],$W748))</f>
        <v/>
      </c>
      <c r="U748">
        <f>IF($W748="","",INDEX(명단표[서울 근무일(기준월)],$W748))</f>
        <v/>
      </c>
      <c r="V748">
        <f>IF($W748="","",INDEX(명단표[구리 근무일(기준월)],$W748))</f>
        <v/>
      </c>
      <c r="W748" s="17">
        <f>IFERROR(MATCH(743,명단표[판정불가순번],0),"")</f>
        <v/>
      </c>
    </row>
    <row r="749">
      <c r="A749">
        <f>IF($P749="","",744)</f>
        <v/>
      </c>
      <c r="B749">
        <f>IF($P749="","",INDEX(명단표[이름],$P749))</f>
        <v/>
      </c>
      <c r="C749">
        <f>IF($P749="","",INDEX(명단표[사번],$P749)&amp;"")</f>
        <v/>
      </c>
      <c r="D749">
        <f>IF($P749="","",INDEX(명단표[전공의등록번호],$P749)&amp;"")</f>
        <v/>
      </c>
      <c r="E749">
        <f>IF($P749="","",INDEX(명단표[수련과목],$P749)&amp;"")</f>
        <v/>
      </c>
      <c r="F749">
        <f>IF($P749="","",INDEX(명단표[연차],$P749)&amp;"")</f>
        <v/>
      </c>
      <c r="G749">
        <f>IF($P749="","",INDEX(명단표[소속병원],$P749))</f>
        <v/>
      </c>
      <c r="H749">
        <f>IF($P749="","",IF(INDEX(명단표[소속병원],$P749)="서울병원","서울 소속","타 병원 소속("&amp;INDEX(명단표[소속병원],$P749)&amp;") → 서울 지급"))</f>
        <v/>
      </c>
      <c r="I749">
        <f>IF($P749="","",INDEX(명단표[현재 근무병원],$P749))</f>
        <v/>
      </c>
      <c r="J749">
        <f>IF($P749="","",INDEX(명단표[구리 근무 시작일(기준월)],$P749)&amp;"")</f>
        <v/>
      </c>
      <c r="K749">
        <f>IF($P749="","",INDEX(명단표[구리 근무 종료일(기준월)],$P749)&amp;"")</f>
        <v/>
      </c>
      <c r="L749">
        <f>IF($P749="","",INDEX(명단표[서울 근무일(기준월)],$P749))</f>
        <v/>
      </c>
      <c r="M749">
        <f>IF($P749="","",INDEX(명단표[구리 근무일(기준월)],$P749))</f>
        <v/>
      </c>
      <c r="N749">
        <f>IF($P749="","",INDEX(명단표[급여 판정 근거],$P749))</f>
        <v/>
      </c>
      <c r="O749">
        <f>IF($P749="","",INDEX(명단표[점검],$P749))</f>
        <v/>
      </c>
      <c r="P749" s="17">
        <f>IFERROR(MATCH(744,명단표[서울순번],0),"")</f>
        <v/>
      </c>
      <c r="R749">
        <f>IF($W749="","",INDEX(명단표[이름],$W749))</f>
        <v/>
      </c>
      <c r="S749">
        <f>IF($W749="","",INDEX(명단표[사번],$W749)&amp;"")</f>
        <v/>
      </c>
      <c r="T749">
        <f>IF($W749="","",INDEX(명단표[소속병원],$W749))</f>
        <v/>
      </c>
      <c r="U749">
        <f>IF($W749="","",INDEX(명단표[서울 근무일(기준월)],$W749))</f>
        <v/>
      </c>
      <c r="V749">
        <f>IF($W749="","",INDEX(명단표[구리 근무일(기준월)],$W749))</f>
        <v/>
      </c>
      <c r="W749" s="17">
        <f>IFERROR(MATCH(744,명단표[판정불가순번],0),"")</f>
        <v/>
      </c>
    </row>
    <row r="750">
      <c r="A750">
        <f>IF($P750="","",745)</f>
        <v/>
      </c>
      <c r="B750">
        <f>IF($P750="","",INDEX(명단표[이름],$P750))</f>
        <v/>
      </c>
      <c r="C750">
        <f>IF($P750="","",INDEX(명단표[사번],$P750)&amp;"")</f>
        <v/>
      </c>
      <c r="D750">
        <f>IF($P750="","",INDEX(명단표[전공의등록번호],$P750)&amp;"")</f>
        <v/>
      </c>
      <c r="E750">
        <f>IF($P750="","",INDEX(명단표[수련과목],$P750)&amp;"")</f>
        <v/>
      </c>
      <c r="F750">
        <f>IF($P750="","",INDEX(명단표[연차],$P750)&amp;"")</f>
        <v/>
      </c>
      <c r="G750">
        <f>IF($P750="","",INDEX(명단표[소속병원],$P750))</f>
        <v/>
      </c>
      <c r="H750">
        <f>IF($P750="","",IF(INDEX(명단표[소속병원],$P750)="서울병원","서울 소속","타 병원 소속("&amp;INDEX(명단표[소속병원],$P750)&amp;") → 서울 지급"))</f>
        <v/>
      </c>
      <c r="I750">
        <f>IF($P750="","",INDEX(명단표[현재 근무병원],$P750))</f>
        <v/>
      </c>
      <c r="J750">
        <f>IF($P750="","",INDEX(명단표[구리 근무 시작일(기준월)],$P750)&amp;"")</f>
        <v/>
      </c>
      <c r="K750">
        <f>IF($P750="","",INDEX(명단표[구리 근무 종료일(기준월)],$P750)&amp;"")</f>
        <v/>
      </c>
      <c r="L750">
        <f>IF($P750="","",INDEX(명단표[서울 근무일(기준월)],$P750))</f>
        <v/>
      </c>
      <c r="M750">
        <f>IF($P750="","",INDEX(명단표[구리 근무일(기준월)],$P750))</f>
        <v/>
      </c>
      <c r="N750">
        <f>IF($P750="","",INDEX(명단표[급여 판정 근거],$P750))</f>
        <v/>
      </c>
      <c r="O750">
        <f>IF($P750="","",INDEX(명단표[점검],$P750))</f>
        <v/>
      </c>
      <c r="P750" s="17">
        <f>IFERROR(MATCH(745,명단표[서울순번],0),"")</f>
        <v/>
      </c>
      <c r="R750">
        <f>IF($W750="","",INDEX(명단표[이름],$W750))</f>
        <v/>
      </c>
      <c r="S750">
        <f>IF($W750="","",INDEX(명단표[사번],$W750)&amp;"")</f>
        <v/>
      </c>
      <c r="T750">
        <f>IF($W750="","",INDEX(명단표[소속병원],$W750))</f>
        <v/>
      </c>
      <c r="U750">
        <f>IF($W750="","",INDEX(명단표[서울 근무일(기준월)],$W750))</f>
        <v/>
      </c>
      <c r="V750">
        <f>IF($W750="","",INDEX(명단표[구리 근무일(기준월)],$W750))</f>
        <v/>
      </c>
      <c r="W750" s="17">
        <f>IFERROR(MATCH(745,명단표[판정불가순번],0),"")</f>
        <v/>
      </c>
    </row>
    <row r="751">
      <c r="A751">
        <f>IF($P751="","",746)</f>
        <v/>
      </c>
      <c r="B751">
        <f>IF($P751="","",INDEX(명단표[이름],$P751))</f>
        <v/>
      </c>
      <c r="C751">
        <f>IF($P751="","",INDEX(명단표[사번],$P751)&amp;"")</f>
        <v/>
      </c>
      <c r="D751">
        <f>IF($P751="","",INDEX(명단표[전공의등록번호],$P751)&amp;"")</f>
        <v/>
      </c>
      <c r="E751">
        <f>IF($P751="","",INDEX(명단표[수련과목],$P751)&amp;"")</f>
        <v/>
      </c>
      <c r="F751">
        <f>IF($P751="","",INDEX(명단표[연차],$P751)&amp;"")</f>
        <v/>
      </c>
      <c r="G751">
        <f>IF($P751="","",INDEX(명단표[소속병원],$P751))</f>
        <v/>
      </c>
      <c r="H751">
        <f>IF($P751="","",IF(INDEX(명단표[소속병원],$P751)="서울병원","서울 소속","타 병원 소속("&amp;INDEX(명단표[소속병원],$P751)&amp;") → 서울 지급"))</f>
        <v/>
      </c>
      <c r="I751">
        <f>IF($P751="","",INDEX(명단표[현재 근무병원],$P751))</f>
        <v/>
      </c>
      <c r="J751">
        <f>IF($P751="","",INDEX(명단표[구리 근무 시작일(기준월)],$P751)&amp;"")</f>
        <v/>
      </c>
      <c r="K751">
        <f>IF($P751="","",INDEX(명단표[구리 근무 종료일(기준월)],$P751)&amp;"")</f>
        <v/>
      </c>
      <c r="L751">
        <f>IF($P751="","",INDEX(명단표[서울 근무일(기준월)],$P751))</f>
        <v/>
      </c>
      <c r="M751">
        <f>IF($P751="","",INDEX(명단표[구리 근무일(기준월)],$P751))</f>
        <v/>
      </c>
      <c r="N751">
        <f>IF($P751="","",INDEX(명단표[급여 판정 근거],$P751))</f>
        <v/>
      </c>
      <c r="O751">
        <f>IF($P751="","",INDEX(명단표[점검],$P751))</f>
        <v/>
      </c>
      <c r="P751" s="17">
        <f>IFERROR(MATCH(746,명단표[서울순번],0),"")</f>
        <v/>
      </c>
      <c r="R751">
        <f>IF($W751="","",INDEX(명단표[이름],$W751))</f>
        <v/>
      </c>
      <c r="S751">
        <f>IF($W751="","",INDEX(명단표[사번],$W751)&amp;"")</f>
        <v/>
      </c>
      <c r="T751">
        <f>IF($W751="","",INDEX(명단표[소속병원],$W751))</f>
        <v/>
      </c>
      <c r="U751">
        <f>IF($W751="","",INDEX(명단표[서울 근무일(기준월)],$W751))</f>
        <v/>
      </c>
      <c r="V751">
        <f>IF($W751="","",INDEX(명단표[구리 근무일(기준월)],$W751))</f>
        <v/>
      </c>
      <c r="W751" s="17">
        <f>IFERROR(MATCH(746,명단표[판정불가순번],0),"")</f>
        <v/>
      </c>
    </row>
    <row r="752">
      <c r="A752">
        <f>IF($P752="","",747)</f>
        <v/>
      </c>
      <c r="B752">
        <f>IF($P752="","",INDEX(명단표[이름],$P752))</f>
        <v/>
      </c>
      <c r="C752">
        <f>IF($P752="","",INDEX(명단표[사번],$P752)&amp;"")</f>
        <v/>
      </c>
      <c r="D752">
        <f>IF($P752="","",INDEX(명단표[전공의등록번호],$P752)&amp;"")</f>
        <v/>
      </c>
      <c r="E752">
        <f>IF($P752="","",INDEX(명단표[수련과목],$P752)&amp;"")</f>
        <v/>
      </c>
      <c r="F752">
        <f>IF($P752="","",INDEX(명단표[연차],$P752)&amp;"")</f>
        <v/>
      </c>
      <c r="G752">
        <f>IF($P752="","",INDEX(명단표[소속병원],$P752))</f>
        <v/>
      </c>
      <c r="H752">
        <f>IF($P752="","",IF(INDEX(명단표[소속병원],$P752)="서울병원","서울 소속","타 병원 소속("&amp;INDEX(명단표[소속병원],$P752)&amp;") → 서울 지급"))</f>
        <v/>
      </c>
      <c r="I752">
        <f>IF($P752="","",INDEX(명단표[현재 근무병원],$P752))</f>
        <v/>
      </c>
      <c r="J752">
        <f>IF($P752="","",INDEX(명단표[구리 근무 시작일(기준월)],$P752)&amp;"")</f>
        <v/>
      </c>
      <c r="K752">
        <f>IF($P752="","",INDEX(명단표[구리 근무 종료일(기준월)],$P752)&amp;"")</f>
        <v/>
      </c>
      <c r="L752">
        <f>IF($P752="","",INDEX(명단표[서울 근무일(기준월)],$P752))</f>
        <v/>
      </c>
      <c r="M752">
        <f>IF($P752="","",INDEX(명단표[구리 근무일(기준월)],$P752))</f>
        <v/>
      </c>
      <c r="N752">
        <f>IF($P752="","",INDEX(명단표[급여 판정 근거],$P752))</f>
        <v/>
      </c>
      <c r="O752">
        <f>IF($P752="","",INDEX(명단표[점검],$P752))</f>
        <v/>
      </c>
      <c r="P752" s="17">
        <f>IFERROR(MATCH(747,명단표[서울순번],0),"")</f>
        <v/>
      </c>
      <c r="R752">
        <f>IF($W752="","",INDEX(명단표[이름],$W752))</f>
        <v/>
      </c>
      <c r="S752">
        <f>IF($W752="","",INDEX(명단표[사번],$W752)&amp;"")</f>
        <v/>
      </c>
      <c r="T752">
        <f>IF($W752="","",INDEX(명단표[소속병원],$W752))</f>
        <v/>
      </c>
      <c r="U752">
        <f>IF($W752="","",INDEX(명단표[서울 근무일(기준월)],$W752))</f>
        <v/>
      </c>
      <c r="V752">
        <f>IF($W752="","",INDEX(명단표[구리 근무일(기준월)],$W752))</f>
        <v/>
      </c>
      <c r="W752" s="17">
        <f>IFERROR(MATCH(747,명단표[판정불가순번],0),"")</f>
        <v/>
      </c>
    </row>
    <row r="753">
      <c r="A753">
        <f>IF($P753="","",748)</f>
        <v/>
      </c>
      <c r="B753">
        <f>IF($P753="","",INDEX(명단표[이름],$P753))</f>
        <v/>
      </c>
      <c r="C753">
        <f>IF($P753="","",INDEX(명단표[사번],$P753)&amp;"")</f>
        <v/>
      </c>
      <c r="D753">
        <f>IF($P753="","",INDEX(명단표[전공의등록번호],$P753)&amp;"")</f>
        <v/>
      </c>
      <c r="E753">
        <f>IF($P753="","",INDEX(명단표[수련과목],$P753)&amp;"")</f>
        <v/>
      </c>
      <c r="F753">
        <f>IF($P753="","",INDEX(명단표[연차],$P753)&amp;"")</f>
        <v/>
      </c>
      <c r="G753">
        <f>IF($P753="","",INDEX(명단표[소속병원],$P753))</f>
        <v/>
      </c>
      <c r="H753">
        <f>IF($P753="","",IF(INDEX(명단표[소속병원],$P753)="서울병원","서울 소속","타 병원 소속("&amp;INDEX(명단표[소속병원],$P753)&amp;") → 서울 지급"))</f>
        <v/>
      </c>
      <c r="I753">
        <f>IF($P753="","",INDEX(명단표[현재 근무병원],$P753))</f>
        <v/>
      </c>
      <c r="J753">
        <f>IF($P753="","",INDEX(명단표[구리 근무 시작일(기준월)],$P753)&amp;"")</f>
        <v/>
      </c>
      <c r="K753">
        <f>IF($P753="","",INDEX(명단표[구리 근무 종료일(기준월)],$P753)&amp;"")</f>
        <v/>
      </c>
      <c r="L753">
        <f>IF($P753="","",INDEX(명단표[서울 근무일(기준월)],$P753))</f>
        <v/>
      </c>
      <c r="M753">
        <f>IF($P753="","",INDEX(명단표[구리 근무일(기준월)],$P753))</f>
        <v/>
      </c>
      <c r="N753">
        <f>IF($P753="","",INDEX(명단표[급여 판정 근거],$P753))</f>
        <v/>
      </c>
      <c r="O753">
        <f>IF($P753="","",INDEX(명단표[점검],$P753))</f>
        <v/>
      </c>
      <c r="P753" s="17">
        <f>IFERROR(MATCH(748,명단표[서울순번],0),"")</f>
        <v/>
      </c>
      <c r="R753">
        <f>IF($W753="","",INDEX(명단표[이름],$W753))</f>
        <v/>
      </c>
      <c r="S753">
        <f>IF($W753="","",INDEX(명단표[사번],$W753)&amp;"")</f>
        <v/>
      </c>
      <c r="T753">
        <f>IF($W753="","",INDEX(명단표[소속병원],$W753))</f>
        <v/>
      </c>
      <c r="U753">
        <f>IF($W753="","",INDEX(명단표[서울 근무일(기준월)],$W753))</f>
        <v/>
      </c>
      <c r="V753">
        <f>IF($W753="","",INDEX(명단표[구리 근무일(기준월)],$W753))</f>
        <v/>
      </c>
      <c r="W753" s="17">
        <f>IFERROR(MATCH(748,명단표[판정불가순번],0),"")</f>
        <v/>
      </c>
    </row>
    <row r="754">
      <c r="A754">
        <f>IF($P754="","",749)</f>
        <v/>
      </c>
      <c r="B754">
        <f>IF($P754="","",INDEX(명단표[이름],$P754))</f>
        <v/>
      </c>
      <c r="C754">
        <f>IF($P754="","",INDEX(명단표[사번],$P754)&amp;"")</f>
        <v/>
      </c>
      <c r="D754">
        <f>IF($P754="","",INDEX(명단표[전공의등록번호],$P754)&amp;"")</f>
        <v/>
      </c>
      <c r="E754">
        <f>IF($P754="","",INDEX(명단표[수련과목],$P754)&amp;"")</f>
        <v/>
      </c>
      <c r="F754">
        <f>IF($P754="","",INDEX(명단표[연차],$P754)&amp;"")</f>
        <v/>
      </c>
      <c r="G754">
        <f>IF($P754="","",INDEX(명단표[소속병원],$P754))</f>
        <v/>
      </c>
      <c r="H754">
        <f>IF($P754="","",IF(INDEX(명단표[소속병원],$P754)="서울병원","서울 소속","타 병원 소속("&amp;INDEX(명단표[소속병원],$P754)&amp;") → 서울 지급"))</f>
        <v/>
      </c>
      <c r="I754">
        <f>IF($P754="","",INDEX(명단표[현재 근무병원],$P754))</f>
        <v/>
      </c>
      <c r="J754">
        <f>IF($P754="","",INDEX(명단표[구리 근무 시작일(기준월)],$P754)&amp;"")</f>
        <v/>
      </c>
      <c r="K754">
        <f>IF($P754="","",INDEX(명단표[구리 근무 종료일(기준월)],$P754)&amp;"")</f>
        <v/>
      </c>
      <c r="L754">
        <f>IF($P754="","",INDEX(명단표[서울 근무일(기준월)],$P754))</f>
        <v/>
      </c>
      <c r="M754">
        <f>IF($P754="","",INDEX(명단표[구리 근무일(기준월)],$P754))</f>
        <v/>
      </c>
      <c r="N754">
        <f>IF($P754="","",INDEX(명단표[급여 판정 근거],$P754))</f>
        <v/>
      </c>
      <c r="O754">
        <f>IF($P754="","",INDEX(명단표[점검],$P754))</f>
        <v/>
      </c>
      <c r="P754" s="17">
        <f>IFERROR(MATCH(749,명단표[서울순번],0),"")</f>
        <v/>
      </c>
      <c r="R754">
        <f>IF($W754="","",INDEX(명단표[이름],$W754))</f>
        <v/>
      </c>
      <c r="S754">
        <f>IF($W754="","",INDEX(명단표[사번],$W754)&amp;"")</f>
        <v/>
      </c>
      <c r="T754">
        <f>IF($W754="","",INDEX(명단표[소속병원],$W754))</f>
        <v/>
      </c>
      <c r="U754">
        <f>IF($W754="","",INDEX(명단표[서울 근무일(기준월)],$W754))</f>
        <v/>
      </c>
      <c r="V754">
        <f>IF($W754="","",INDEX(명단표[구리 근무일(기준월)],$W754))</f>
        <v/>
      </c>
      <c r="W754" s="17">
        <f>IFERROR(MATCH(749,명단표[판정불가순번],0),"")</f>
        <v/>
      </c>
    </row>
    <row r="755">
      <c r="A755">
        <f>IF($P755="","",750)</f>
        <v/>
      </c>
      <c r="B755">
        <f>IF($P755="","",INDEX(명단표[이름],$P755))</f>
        <v/>
      </c>
      <c r="C755">
        <f>IF($P755="","",INDEX(명단표[사번],$P755)&amp;"")</f>
        <v/>
      </c>
      <c r="D755">
        <f>IF($P755="","",INDEX(명단표[전공의등록번호],$P755)&amp;"")</f>
        <v/>
      </c>
      <c r="E755">
        <f>IF($P755="","",INDEX(명단표[수련과목],$P755)&amp;"")</f>
        <v/>
      </c>
      <c r="F755">
        <f>IF($P755="","",INDEX(명단표[연차],$P755)&amp;"")</f>
        <v/>
      </c>
      <c r="G755">
        <f>IF($P755="","",INDEX(명단표[소속병원],$P755))</f>
        <v/>
      </c>
      <c r="H755">
        <f>IF($P755="","",IF(INDEX(명단표[소속병원],$P755)="서울병원","서울 소속","타 병원 소속("&amp;INDEX(명단표[소속병원],$P755)&amp;") → 서울 지급"))</f>
        <v/>
      </c>
      <c r="I755">
        <f>IF($P755="","",INDEX(명단표[현재 근무병원],$P755))</f>
        <v/>
      </c>
      <c r="J755">
        <f>IF($P755="","",INDEX(명단표[구리 근무 시작일(기준월)],$P755)&amp;"")</f>
        <v/>
      </c>
      <c r="K755">
        <f>IF($P755="","",INDEX(명단표[구리 근무 종료일(기준월)],$P755)&amp;"")</f>
        <v/>
      </c>
      <c r="L755">
        <f>IF($P755="","",INDEX(명단표[서울 근무일(기준월)],$P755))</f>
        <v/>
      </c>
      <c r="M755">
        <f>IF($P755="","",INDEX(명단표[구리 근무일(기준월)],$P755))</f>
        <v/>
      </c>
      <c r="N755">
        <f>IF($P755="","",INDEX(명단표[급여 판정 근거],$P755))</f>
        <v/>
      </c>
      <c r="O755">
        <f>IF($P755="","",INDEX(명단표[점검],$P755))</f>
        <v/>
      </c>
      <c r="P755" s="17">
        <f>IFERROR(MATCH(750,명단표[서울순번],0),"")</f>
        <v/>
      </c>
      <c r="R755">
        <f>IF($W755="","",INDEX(명단표[이름],$W755))</f>
        <v/>
      </c>
      <c r="S755">
        <f>IF($W755="","",INDEX(명단표[사번],$W755)&amp;"")</f>
        <v/>
      </c>
      <c r="T755">
        <f>IF($W755="","",INDEX(명단표[소속병원],$W755))</f>
        <v/>
      </c>
      <c r="U755">
        <f>IF($W755="","",INDEX(명단표[서울 근무일(기준월)],$W755))</f>
        <v/>
      </c>
      <c r="V755">
        <f>IF($W755="","",INDEX(명단표[구리 근무일(기준월)],$W755))</f>
        <v/>
      </c>
      <c r="W755" s="17">
        <f>IFERROR(MATCH(750,명단표[판정불가순번],0),"")</f>
        <v/>
      </c>
    </row>
    <row r="756">
      <c r="A756">
        <f>IF($P756="","",751)</f>
        <v/>
      </c>
      <c r="B756">
        <f>IF($P756="","",INDEX(명단표[이름],$P756))</f>
        <v/>
      </c>
      <c r="C756">
        <f>IF($P756="","",INDEX(명단표[사번],$P756)&amp;"")</f>
        <v/>
      </c>
      <c r="D756">
        <f>IF($P756="","",INDEX(명단표[전공의등록번호],$P756)&amp;"")</f>
        <v/>
      </c>
      <c r="E756">
        <f>IF($P756="","",INDEX(명단표[수련과목],$P756)&amp;"")</f>
        <v/>
      </c>
      <c r="F756">
        <f>IF($P756="","",INDEX(명단표[연차],$P756)&amp;"")</f>
        <v/>
      </c>
      <c r="G756">
        <f>IF($P756="","",INDEX(명단표[소속병원],$P756))</f>
        <v/>
      </c>
      <c r="H756">
        <f>IF($P756="","",IF(INDEX(명단표[소속병원],$P756)="서울병원","서울 소속","타 병원 소속("&amp;INDEX(명단표[소속병원],$P756)&amp;") → 서울 지급"))</f>
        <v/>
      </c>
      <c r="I756">
        <f>IF($P756="","",INDEX(명단표[현재 근무병원],$P756))</f>
        <v/>
      </c>
      <c r="J756">
        <f>IF($P756="","",INDEX(명단표[구리 근무 시작일(기준월)],$P756)&amp;"")</f>
        <v/>
      </c>
      <c r="K756">
        <f>IF($P756="","",INDEX(명단표[구리 근무 종료일(기준월)],$P756)&amp;"")</f>
        <v/>
      </c>
      <c r="L756">
        <f>IF($P756="","",INDEX(명단표[서울 근무일(기준월)],$P756))</f>
        <v/>
      </c>
      <c r="M756">
        <f>IF($P756="","",INDEX(명단표[구리 근무일(기준월)],$P756))</f>
        <v/>
      </c>
      <c r="N756">
        <f>IF($P756="","",INDEX(명단표[급여 판정 근거],$P756))</f>
        <v/>
      </c>
      <c r="O756">
        <f>IF($P756="","",INDEX(명단표[점검],$P756))</f>
        <v/>
      </c>
      <c r="P756" s="17">
        <f>IFERROR(MATCH(751,명단표[서울순번],0),"")</f>
        <v/>
      </c>
      <c r="R756">
        <f>IF($W756="","",INDEX(명단표[이름],$W756))</f>
        <v/>
      </c>
      <c r="S756">
        <f>IF($W756="","",INDEX(명단표[사번],$W756)&amp;"")</f>
        <v/>
      </c>
      <c r="T756">
        <f>IF($W756="","",INDEX(명단표[소속병원],$W756))</f>
        <v/>
      </c>
      <c r="U756">
        <f>IF($W756="","",INDEX(명단표[서울 근무일(기준월)],$W756))</f>
        <v/>
      </c>
      <c r="V756">
        <f>IF($W756="","",INDEX(명단표[구리 근무일(기준월)],$W756))</f>
        <v/>
      </c>
      <c r="W756" s="17">
        <f>IFERROR(MATCH(751,명단표[판정불가순번],0),"")</f>
        <v/>
      </c>
    </row>
    <row r="757">
      <c r="A757">
        <f>IF($P757="","",752)</f>
        <v/>
      </c>
      <c r="B757">
        <f>IF($P757="","",INDEX(명단표[이름],$P757))</f>
        <v/>
      </c>
      <c r="C757">
        <f>IF($P757="","",INDEX(명단표[사번],$P757)&amp;"")</f>
        <v/>
      </c>
      <c r="D757">
        <f>IF($P757="","",INDEX(명단표[전공의등록번호],$P757)&amp;"")</f>
        <v/>
      </c>
      <c r="E757">
        <f>IF($P757="","",INDEX(명단표[수련과목],$P757)&amp;"")</f>
        <v/>
      </c>
      <c r="F757">
        <f>IF($P757="","",INDEX(명단표[연차],$P757)&amp;"")</f>
        <v/>
      </c>
      <c r="G757">
        <f>IF($P757="","",INDEX(명단표[소속병원],$P757))</f>
        <v/>
      </c>
      <c r="H757">
        <f>IF($P757="","",IF(INDEX(명단표[소속병원],$P757)="서울병원","서울 소속","타 병원 소속("&amp;INDEX(명단표[소속병원],$P757)&amp;") → 서울 지급"))</f>
        <v/>
      </c>
      <c r="I757">
        <f>IF($P757="","",INDEX(명단표[현재 근무병원],$P757))</f>
        <v/>
      </c>
      <c r="J757">
        <f>IF($P757="","",INDEX(명단표[구리 근무 시작일(기준월)],$P757)&amp;"")</f>
        <v/>
      </c>
      <c r="K757">
        <f>IF($P757="","",INDEX(명단표[구리 근무 종료일(기준월)],$P757)&amp;"")</f>
        <v/>
      </c>
      <c r="L757">
        <f>IF($P757="","",INDEX(명단표[서울 근무일(기준월)],$P757))</f>
        <v/>
      </c>
      <c r="M757">
        <f>IF($P757="","",INDEX(명단표[구리 근무일(기준월)],$P757))</f>
        <v/>
      </c>
      <c r="N757">
        <f>IF($P757="","",INDEX(명단표[급여 판정 근거],$P757))</f>
        <v/>
      </c>
      <c r="O757">
        <f>IF($P757="","",INDEX(명단표[점검],$P757))</f>
        <v/>
      </c>
      <c r="P757" s="17">
        <f>IFERROR(MATCH(752,명단표[서울순번],0),"")</f>
        <v/>
      </c>
      <c r="R757">
        <f>IF($W757="","",INDEX(명단표[이름],$W757))</f>
        <v/>
      </c>
      <c r="S757">
        <f>IF($W757="","",INDEX(명단표[사번],$W757)&amp;"")</f>
        <v/>
      </c>
      <c r="T757">
        <f>IF($W757="","",INDEX(명단표[소속병원],$W757))</f>
        <v/>
      </c>
      <c r="U757">
        <f>IF($W757="","",INDEX(명단표[서울 근무일(기준월)],$W757))</f>
        <v/>
      </c>
      <c r="V757">
        <f>IF($W757="","",INDEX(명단표[구리 근무일(기준월)],$W757))</f>
        <v/>
      </c>
      <c r="W757" s="17">
        <f>IFERROR(MATCH(752,명단표[판정불가순번],0),"")</f>
        <v/>
      </c>
    </row>
    <row r="758">
      <c r="A758">
        <f>IF($P758="","",753)</f>
        <v/>
      </c>
      <c r="B758">
        <f>IF($P758="","",INDEX(명단표[이름],$P758))</f>
        <v/>
      </c>
      <c r="C758">
        <f>IF($P758="","",INDEX(명단표[사번],$P758)&amp;"")</f>
        <v/>
      </c>
      <c r="D758">
        <f>IF($P758="","",INDEX(명단표[전공의등록번호],$P758)&amp;"")</f>
        <v/>
      </c>
      <c r="E758">
        <f>IF($P758="","",INDEX(명단표[수련과목],$P758)&amp;"")</f>
        <v/>
      </c>
      <c r="F758">
        <f>IF($P758="","",INDEX(명단표[연차],$P758)&amp;"")</f>
        <v/>
      </c>
      <c r="G758">
        <f>IF($P758="","",INDEX(명단표[소속병원],$P758))</f>
        <v/>
      </c>
      <c r="H758">
        <f>IF($P758="","",IF(INDEX(명단표[소속병원],$P758)="서울병원","서울 소속","타 병원 소속("&amp;INDEX(명단표[소속병원],$P758)&amp;") → 서울 지급"))</f>
        <v/>
      </c>
      <c r="I758">
        <f>IF($P758="","",INDEX(명단표[현재 근무병원],$P758))</f>
        <v/>
      </c>
      <c r="J758">
        <f>IF($P758="","",INDEX(명단표[구리 근무 시작일(기준월)],$P758)&amp;"")</f>
        <v/>
      </c>
      <c r="K758">
        <f>IF($P758="","",INDEX(명단표[구리 근무 종료일(기준월)],$P758)&amp;"")</f>
        <v/>
      </c>
      <c r="L758">
        <f>IF($P758="","",INDEX(명단표[서울 근무일(기준월)],$P758))</f>
        <v/>
      </c>
      <c r="M758">
        <f>IF($P758="","",INDEX(명단표[구리 근무일(기준월)],$P758))</f>
        <v/>
      </c>
      <c r="N758">
        <f>IF($P758="","",INDEX(명단표[급여 판정 근거],$P758))</f>
        <v/>
      </c>
      <c r="O758">
        <f>IF($P758="","",INDEX(명단표[점검],$P758))</f>
        <v/>
      </c>
      <c r="P758" s="17">
        <f>IFERROR(MATCH(753,명단표[서울순번],0),"")</f>
        <v/>
      </c>
      <c r="R758">
        <f>IF($W758="","",INDEX(명단표[이름],$W758))</f>
        <v/>
      </c>
      <c r="S758">
        <f>IF($W758="","",INDEX(명단표[사번],$W758)&amp;"")</f>
        <v/>
      </c>
      <c r="T758">
        <f>IF($W758="","",INDEX(명단표[소속병원],$W758))</f>
        <v/>
      </c>
      <c r="U758">
        <f>IF($W758="","",INDEX(명단표[서울 근무일(기준월)],$W758))</f>
        <v/>
      </c>
      <c r="V758">
        <f>IF($W758="","",INDEX(명단표[구리 근무일(기준월)],$W758))</f>
        <v/>
      </c>
      <c r="W758" s="17">
        <f>IFERROR(MATCH(753,명단표[판정불가순번],0),"")</f>
        <v/>
      </c>
    </row>
    <row r="759">
      <c r="A759">
        <f>IF($P759="","",754)</f>
        <v/>
      </c>
      <c r="B759">
        <f>IF($P759="","",INDEX(명단표[이름],$P759))</f>
        <v/>
      </c>
      <c r="C759">
        <f>IF($P759="","",INDEX(명단표[사번],$P759)&amp;"")</f>
        <v/>
      </c>
      <c r="D759">
        <f>IF($P759="","",INDEX(명단표[전공의등록번호],$P759)&amp;"")</f>
        <v/>
      </c>
      <c r="E759">
        <f>IF($P759="","",INDEX(명단표[수련과목],$P759)&amp;"")</f>
        <v/>
      </c>
      <c r="F759">
        <f>IF($P759="","",INDEX(명단표[연차],$P759)&amp;"")</f>
        <v/>
      </c>
      <c r="G759">
        <f>IF($P759="","",INDEX(명단표[소속병원],$P759))</f>
        <v/>
      </c>
      <c r="H759">
        <f>IF($P759="","",IF(INDEX(명단표[소속병원],$P759)="서울병원","서울 소속","타 병원 소속("&amp;INDEX(명단표[소속병원],$P759)&amp;") → 서울 지급"))</f>
        <v/>
      </c>
      <c r="I759">
        <f>IF($P759="","",INDEX(명단표[현재 근무병원],$P759))</f>
        <v/>
      </c>
      <c r="J759">
        <f>IF($P759="","",INDEX(명단표[구리 근무 시작일(기준월)],$P759)&amp;"")</f>
        <v/>
      </c>
      <c r="K759">
        <f>IF($P759="","",INDEX(명단표[구리 근무 종료일(기준월)],$P759)&amp;"")</f>
        <v/>
      </c>
      <c r="L759">
        <f>IF($P759="","",INDEX(명단표[서울 근무일(기준월)],$P759))</f>
        <v/>
      </c>
      <c r="M759">
        <f>IF($P759="","",INDEX(명단표[구리 근무일(기준월)],$P759))</f>
        <v/>
      </c>
      <c r="N759">
        <f>IF($P759="","",INDEX(명단표[급여 판정 근거],$P759))</f>
        <v/>
      </c>
      <c r="O759">
        <f>IF($P759="","",INDEX(명단표[점검],$P759))</f>
        <v/>
      </c>
      <c r="P759" s="17">
        <f>IFERROR(MATCH(754,명단표[서울순번],0),"")</f>
        <v/>
      </c>
      <c r="R759">
        <f>IF($W759="","",INDEX(명단표[이름],$W759))</f>
        <v/>
      </c>
      <c r="S759">
        <f>IF($W759="","",INDEX(명단표[사번],$W759)&amp;"")</f>
        <v/>
      </c>
      <c r="T759">
        <f>IF($W759="","",INDEX(명단표[소속병원],$W759))</f>
        <v/>
      </c>
      <c r="U759">
        <f>IF($W759="","",INDEX(명단표[서울 근무일(기준월)],$W759))</f>
        <v/>
      </c>
      <c r="V759">
        <f>IF($W759="","",INDEX(명단표[구리 근무일(기준월)],$W759))</f>
        <v/>
      </c>
      <c r="W759" s="17">
        <f>IFERROR(MATCH(754,명단표[판정불가순번],0),"")</f>
        <v/>
      </c>
    </row>
    <row r="760">
      <c r="A760">
        <f>IF($P760="","",755)</f>
        <v/>
      </c>
      <c r="B760">
        <f>IF($P760="","",INDEX(명단표[이름],$P760))</f>
        <v/>
      </c>
      <c r="C760">
        <f>IF($P760="","",INDEX(명단표[사번],$P760)&amp;"")</f>
        <v/>
      </c>
      <c r="D760">
        <f>IF($P760="","",INDEX(명단표[전공의등록번호],$P760)&amp;"")</f>
        <v/>
      </c>
      <c r="E760">
        <f>IF($P760="","",INDEX(명단표[수련과목],$P760)&amp;"")</f>
        <v/>
      </c>
      <c r="F760">
        <f>IF($P760="","",INDEX(명단표[연차],$P760)&amp;"")</f>
        <v/>
      </c>
      <c r="G760">
        <f>IF($P760="","",INDEX(명단표[소속병원],$P760))</f>
        <v/>
      </c>
      <c r="H760">
        <f>IF($P760="","",IF(INDEX(명단표[소속병원],$P760)="서울병원","서울 소속","타 병원 소속("&amp;INDEX(명단표[소속병원],$P760)&amp;") → 서울 지급"))</f>
        <v/>
      </c>
      <c r="I760">
        <f>IF($P760="","",INDEX(명단표[현재 근무병원],$P760))</f>
        <v/>
      </c>
      <c r="J760">
        <f>IF($P760="","",INDEX(명단표[구리 근무 시작일(기준월)],$P760)&amp;"")</f>
        <v/>
      </c>
      <c r="K760">
        <f>IF($P760="","",INDEX(명단표[구리 근무 종료일(기준월)],$P760)&amp;"")</f>
        <v/>
      </c>
      <c r="L760">
        <f>IF($P760="","",INDEX(명단표[서울 근무일(기준월)],$P760))</f>
        <v/>
      </c>
      <c r="M760">
        <f>IF($P760="","",INDEX(명단표[구리 근무일(기준월)],$P760))</f>
        <v/>
      </c>
      <c r="N760">
        <f>IF($P760="","",INDEX(명단표[급여 판정 근거],$P760))</f>
        <v/>
      </c>
      <c r="O760">
        <f>IF($P760="","",INDEX(명단표[점검],$P760))</f>
        <v/>
      </c>
      <c r="P760" s="17">
        <f>IFERROR(MATCH(755,명단표[서울순번],0),"")</f>
        <v/>
      </c>
      <c r="R760">
        <f>IF($W760="","",INDEX(명단표[이름],$W760))</f>
        <v/>
      </c>
      <c r="S760">
        <f>IF($W760="","",INDEX(명단표[사번],$W760)&amp;"")</f>
        <v/>
      </c>
      <c r="T760">
        <f>IF($W760="","",INDEX(명단표[소속병원],$W760))</f>
        <v/>
      </c>
      <c r="U760">
        <f>IF($W760="","",INDEX(명단표[서울 근무일(기준월)],$W760))</f>
        <v/>
      </c>
      <c r="V760">
        <f>IF($W760="","",INDEX(명단표[구리 근무일(기준월)],$W760))</f>
        <v/>
      </c>
      <c r="W760" s="17">
        <f>IFERROR(MATCH(755,명단표[판정불가순번],0),"")</f>
        <v/>
      </c>
    </row>
    <row r="761">
      <c r="A761">
        <f>IF($P761="","",756)</f>
        <v/>
      </c>
      <c r="B761">
        <f>IF($P761="","",INDEX(명단표[이름],$P761))</f>
        <v/>
      </c>
      <c r="C761">
        <f>IF($P761="","",INDEX(명단표[사번],$P761)&amp;"")</f>
        <v/>
      </c>
      <c r="D761">
        <f>IF($P761="","",INDEX(명단표[전공의등록번호],$P761)&amp;"")</f>
        <v/>
      </c>
      <c r="E761">
        <f>IF($P761="","",INDEX(명단표[수련과목],$P761)&amp;"")</f>
        <v/>
      </c>
      <c r="F761">
        <f>IF($P761="","",INDEX(명단표[연차],$P761)&amp;"")</f>
        <v/>
      </c>
      <c r="G761">
        <f>IF($P761="","",INDEX(명단표[소속병원],$P761))</f>
        <v/>
      </c>
      <c r="H761">
        <f>IF($P761="","",IF(INDEX(명단표[소속병원],$P761)="서울병원","서울 소속","타 병원 소속("&amp;INDEX(명단표[소속병원],$P761)&amp;") → 서울 지급"))</f>
        <v/>
      </c>
      <c r="I761">
        <f>IF($P761="","",INDEX(명단표[현재 근무병원],$P761))</f>
        <v/>
      </c>
      <c r="J761">
        <f>IF($P761="","",INDEX(명단표[구리 근무 시작일(기준월)],$P761)&amp;"")</f>
        <v/>
      </c>
      <c r="K761">
        <f>IF($P761="","",INDEX(명단표[구리 근무 종료일(기준월)],$P761)&amp;"")</f>
        <v/>
      </c>
      <c r="L761">
        <f>IF($P761="","",INDEX(명단표[서울 근무일(기준월)],$P761))</f>
        <v/>
      </c>
      <c r="M761">
        <f>IF($P761="","",INDEX(명단표[구리 근무일(기준월)],$P761))</f>
        <v/>
      </c>
      <c r="N761">
        <f>IF($P761="","",INDEX(명단표[급여 판정 근거],$P761))</f>
        <v/>
      </c>
      <c r="O761">
        <f>IF($P761="","",INDEX(명단표[점검],$P761))</f>
        <v/>
      </c>
      <c r="P761" s="17">
        <f>IFERROR(MATCH(756,명단표[서울순번],0),"")</f>
        <v/>
      </c>
      <c r="R761">
        <f>IF($W761="","",INDEX(명단표[이름],$W761))</f>
        <v/>
      </c>
      <c r="S761">
        <f>IF($W761="","",INDEX(명단표[사번],$W761)&amp;"")</f>
        <v/>
      </c>
      <c r="T761">
        <f>IF($W761="","",INDEX(명단표[소속병원],$W761))</f>
        <v/>
      </c>
      <c r="U761">
        <f>IF($W761="","",INDEX(명단표[서울 근무일(기준월)],$W761))</f>
        <v/>
      </c>
      <c r="V761">
        <f>IF($W761="","",INDEX(명단표[구리 근무일(기준월)],$W761))</f>
        <v/>
      </c>
      <c r="W761" s="17">
        <f>IFERROR(MATCH(756,명단표[판정불가순번],0),"")</f>
        <v/>
      </c>
    </row>
    <row r="762">
      <c r="A762">
        <f>IF($P762="","",757)</f>
        <v/>
      </c>
      <c r="B762">
        <f>IF($P762="","",INDEX(명단표[이름],$P762))</f>
        <v/>
      </c>
      <c r="C762">
        <f>IF($P762="","",INDEX(명단표[사번],$P762)&amp;"")</f>
        <v/>
      </c>
      <c r="D762">
        <f>IF($P762="","",INDEX(명단표[전공의등록번호],$P762)&amp;"")</f>
        <v/>
      </c>
      <c r="E762">
        <f>IF($P762="","",INDEX(명단표[수련과목],$P762)&amp;"")</f>
        <v/>
      </c>
      <c r="F762">
        <f>IF($P762="","",INDEX(명단표[연차],$P762)&amp;"")</f>
        <v/>
      </c>
      <c r="G762">
        <f>IF($P762="","",INDEX(명단표[소속병원],$P762))</f>
        <v/>
      </c>
      <c r="H762">
        <f>IF($P762="","",IF(INDEX(명단표[소속병원],$P762)="서울병원","서울 소속","타 병원 소속("&amp;INDEX(명단표[소속병원],$P762)&amp;") → 서울 지급"))</f>
        <v/>
      </c>
      <c r="I762">
        <f>IF($P762="","",INDEX(명단표[현재 근무병원],$P762))</f>
        <v/>
      </c>
      <c r="J762">
        <f>IF($P762="","",INDEX(명단표[구리 근무 시작일(기준월)],$P762)&amp;"")</f>
        <v/>
      </c>
      <c r="K762">
        <f>IF($P762="","",INDEX(명단표[구리 근무 종료일(기준월)],$P762)&amp;"")</f>
        <v/>
      </c>
      <c r="L762">
        <f>IF($P762="","",INDEX(명단표[서울 근무일(기준월)],$P762))</f>
        <v/>
      </c>
      <c r="M762">
        <f>IF($P762="","",INDEX(명단표[구리 근무일(기준월)],$P762))</f>
        <v/>
      </c>
      <c r="N762">
        <f>IF($P762="","",INDEX(명단표[급여 판정 근거],$P762))</f>
        <v/>
      </c>
      <c r="O762">
        <f>IF($P762="","",INDEX(명단표[점검],$P762))</f>
        <v/>
      </c>
      <c r="P762" s="17">
        <f>IFERROR(MATCH(757,명단표[서울순번],0),"")</f>
        <v/>
      </c>
      <c r="R762">
        <f>IF($W762="","",INDEX(명단표[이름],$W762))</f>
        <v/>
      </c>
      <c r="S762">
        <f>IF($W762="","",INDEX(명단표[사번],$W762)&amp;"")</f>
        <v/>
      </c>
      <c r="T762">
        <f>IF($W762="","",INDEX(명단표[소속병원],$W762))</f>
        <v/>
      </c>
      <c r="U762">
        <f>IF($W762="","",INDEX(명단표[서울 근무일(기준월)],$W762))</f>
        <v/>
      </c>
      <c r="V762">
        <f>IF($W762="","",INDEX(명단표[구리 근무일(기준월)],$W762))</f>
        <v/>
      </c>
      <c r="W762" s="17">
        <f>IFERROR(MATCH(757,명단표[판정불가순번],0),"")</f>
        <v/>
      </c>
    </row>
    <row r="763">
      <c r="A763">
        <f>IF($P763="","",758)</f>
        <v/>
      </c>
      <c r="B763">
        <f>IF($P763="","",INDEX(명단표[이름],$P763))</f>
        <v/>
      </c>
      <c r="C763">
        <f>IF($P763="","",INDEX(명단표[사번],$P763)&amp;"")</f>
        <v/>
      </c>
      <c r="D763">
        <f>IF($P763="","",INDEX(명단표[전공의등록번호],$P763)&amp;"")</f>
        <v/>
      </c>
      <c r="E763">
        <f>IF($P763="","",INDEX(명단표[수련과목],$P763)&amp;"")</f>
        <v/>
      </c>
      <c r="F763">
        <f>IF($P763="","",INDEX(명단표[연차],$P763)&amp;"")</f>
        <v/>
      </c>
      <c r="G763">
        <f>IF($P763="","",INDEX(명단표[소속병원],$P763))</f>
        <v/>
      </c>
      <c r="H763">
        <f>IF($P763="","",IF(INDEX(명단표[소속병원],$P763)="서울병원","서울 소속","타 병원 소속("&amp;INDEX(명단표[소속병원],$P763)&amp;") → 서울 지급"))</f>
        <v/>
      </c>
      <c r="I763">
        <f>IF($P763="","",INDEX(명단표[현재 근무병원],$P763))</f>
        <v/>
      </c>
      <c r="J763">
        <f>IF($P763="","",INDEX(명단표[구리 근무 시작일(기준월)],$P763)&amp;"")</f>
        <v/>
      </c>
      <c r="K763">
        <f>IF($P763="","",INDEX(명단표[구리 근무 종료일(기준월)],$P763)&amp;"")</f>
        <v/>
      </c>
      <c r="L763">
        <f>IF($P763="","",INDEX(명단표[서울 근무일(기준월)],$P763))</f>
        <v/>
      </c>
      <c r="M763">
        <f>IF($P763="","",INDEX(명단표[구리 근무일(기준월)],$P763))</f>
        <v/>
      </c>
      <c r="N763">
        <f>IF($P763="","",INDEX(명단표[급여 판정 근거],$P763))</f>
        <v/>
      </c>
      <c r="O763">
        <f>IF($P763="","",INDEX(명단표[점검],$P763))</f>
        <v/>
      </c>
      <c r="P763" s="17">
        <f>IFERROR(MATCH(758,명단표[서울순번],0),"")</f>
        <v/>
      </c>
      <c r="R763">
        <f>IF($W763="","",INDEX(명단표[이름],$W763))</f>
        <v/>
      </c>
      <c r="S763">
        <f>IF($W763="","",INDEX(명단표[사번],$W763)&amp;"")</f>
        <v/>
      </c>
      <c r="T763">
        <f>IF($W763="","",INDEX(명단표[소속병원],$W763))</f>
        <v/>
      </c>
      <c r="U763">
        <f>IF($W763="","",INDEX(명단표[서울 근무일(기준월)],$W763))</f>
        <v/>
      </c>
      <c r="V763">
        <f>IF($W763="","",INDEX(명단표[구리 근무일(기준월)],$W763))</f>
        <v/>
      </c>
      <c r="W763" s="17">
        <f>IFERROR(MATCH(758,명단표[판정불가순번],0),"")</f>
        <v/>
      </c>
    </row>
    <row r="764">
      <c r="A764">
        <f>IF($P764="","",759)</f>
        <v/>
      </c>
      <c r="B764">
        <f>IF($P764="","",INDEX(명단표[이름],$P764))</f>
        <v/>
      </c>
      <c r="C764">
        <f>IF($P764="","",INDEX(명단표[사번],$P764)&amp;"")</f>
        <v/>
      </c>
      <c r="D764">
        <f>IF($P764="","",INDEX(명단표[전공의등록번호],$P764)&amp;"")</f>
        <v/>
      </c>
      <c r="E764">
        <f>IF($P764="","",INDEX(명단표[수련과목],$P764)&amp;"")</f>
        <v/>
      </c>
      <c r="F764">
        <f>IF($P764="","",INDEX(명단표[연차],$P764)&amp;"")</f>
        <v/>
      </c>
      <c r="G764">
        <f>IF($P764="","",INDEX(명단표[소속병원],$P764))</f>
        <v/>
      </c>
      <c r="H764">
        <f>IF($P764="","",IF(INDEX(명단표[소속병원],$P764)="서울병원","서울 소속","타 병원 소속("&amp;INDEX(명단표[소속병원],$P764)&amp;") → 서울 지급"))</f>
        <v/>
      </c>
      <c r="I764">
        <f>IF($P764="","",INDEX(명단표[현재 근무병원],$P764))</f>
        <v/>
      </c>
      <c r="J764">
        <f>IF($P764="","",INDEX(명단표[구리 근무 시작일(기준월)],$P764)&amp;"")</f>
        <v/>
      </c>
      <c r="K764">
        <f>IF($P764="","",INDEX(명단표[구리 근무 종료일(기준월)],$P764)&amp;"")</f>
        <v/>
      </c>
      <c r="L764">
        <f>IF($P764="","",INDEX(명단표[서울 근무일(기준월)],$P764))</f>
        <v/>
      </c>
      <c r="M764">
        <f>IF($P764="","",INDEX(명단표[구리 근무일(기준월)],$P764))</f>
        <v/>
      </c>
      <c r="N764">
        <f>IF($P764="","",INDEX(명단표[급여 판정 근거],$P764))</f>
        <v/>
      </c>
      <c r="O764">
        <f>IF($P764="","",INDEX(명단표[점검],$P764))</f>
        <v/>
      </c>
      <c r="P764" s="17">
        <f>IFERROR(MATCH(759,명단표[서울순번],0),"")</f>
        <v/>
      </c>
      <c r="R764">
        <f>IF($W764="","",INDEX(명단표[이름],$W764))</f>
        <v/>
      </c>
      <c r="S764">
        <f>IF($W764="","",INDEX(명단표[사번],$W764)&amp;"")</f>
        <v/>
      </c>
      <c r="T764">
        <f>IF($W764="","",INDEX(명단표[소속병원],$W764))</f>
        <v/>
      </c>
      <c r="U764">
        <f>IF($W764="","",INDEX(명단표[서울 근무일(기준월)],$W764))</f>
        <v/>
      </c>
      <c r="V764">
        <f>IF($W764="","",INDEX(명단표[구리 근무일(기준월)],$W764))</f>
        <v/>
      </c>
      <c r="W764" s="17">
        <f>IFERROR(MATCH(759,명단표[판정불가순번],0),"")</f>
        <v/>
      </c>
    </row>
    <row r="765">
      <c r="A765">
        <f>IF($P765="","",760)</f>
        <v/>
      </c>
      <c r="B765">
        <f>IF($P765="","",INDEX(명단표[이름],$P765))</f>
        <v/>
      </c>
      <c r="C765">
        <f>IF($P765="","",INDEX(명단표[사번],$P765)&amp;"")</f>
        <v/>
      </c>
      <c r="D765">
        <f>IF($P765="","",INDEX(명단표[전공의등록번호],$P765)&amp;"")</f>
        <v/>
      </c>
      <c r="E765">
        <f>IF($P765="","",INDEX(명단표[수련과목],$P765)&amp;"")</f>
        <v/>
      </c>
      <c r="F765">
        <f>IF($P765="","",INDEX(명단표[연차],$P765)&amp;"")</f>
        <v/>
      </c>
      <c r="G765">
        <f>IF($P765="","",INDEX(명단표[소속병원],$P765))</f>
        <v/>
      </c>
      <c r="H765">
        <f>IF($P765="","",IF(INDEX(명단표[소속병원],$P765)="서울병원","서울 소속","타 병원 소속("&amp;INDEX(명단표[소속병원],$P765)&amp;") → 서울 지급"))</f>
        <v/>
      </c>
      <c r="I765">
        <f>IF($P765="","",INDEX(명단표[현재 근무병원],$P765))</f>
        <v/>
      </c>
      <c r="J765">
        <f>IF($P765="","",INDEX(명단표[구리 근무 시작일(기준월)],$P765)&amp;"")</f>
        <v/>
      </c>
      <c r="K765">
        <f>IF($P765="","",INDEX(명단표[구리 근무 종료일(기준월)],$P765)&amp;"")</f>
        <v/>
      </c>
      <c r="L765">
        <f>IF($P765="","",INDEX(명단표[서울 근무일(기준월)],$P765))</f>
        <v/>
      </c>
      <c r="M765">
        <f>IF($P765="","",INDEX(명단표[구리 근무일(기준월)],$P765))</f>
        <v/>
      </c>
      <c r="N765">
        <f>IF($P765="","",INDEX(명단표[급여 판정 근거],$P765))</f>
        <v/>
      </c>
      <c r="O765">
        <f>IF($P765="","",INDEX(명단표[점검],$P765))</f>
        <v/>
      </c>
      <c r="P765" s="17">
        <f>IFERROR(MATCH(760,명단표[서울순번],0),"")</f>
        <v/>
      </c>
      <c r="R765">
        <f>IF($W765="","",INDEX(명단표[이름],$W765))</f>
        <v/>
      </c>
      <c r="S765">
        <f>IF($W765="","",INDEX(명단표[사번],$W765)&amp;"")</f>
        <v/>
      </c>
      <c r="T765">
        <f>IF($W765="","",INDEX(명단표[소속병원],$W765))</f>
        <v/>
      </c>
      <c r="U765">
        <f>IF($W765="","",INDEX(명단표[서울 근무일(기준월)],$W765))</f>
        <v/>
      </c>
      <c r="V765">
        <f>IF($W765="","",INDEX(명단표[구리 근무일(기준월)],$W765))</f>
        <v/>
      </c>
      <c r="W765" s="17">
        <f>IFERROR(MATCH(760,명단표[판정불가순번],0),"")</f>
        <v/>
      </c>
    </row>
    <row r="766">
      <c r="A766">
        <f>IF($P766="","",761)</f>
        <v/>
      </c>
      <c r="B766">
        <f>IF($P766="","",INDEX(명단표[이름],$P766))</f>
        <v/>
      </c>
      <c r="C766">
        <f>IF($P766="","",INDEX(명단표[사번],$P766)&amp;"")</f>
        <v/>
      </c>
      <c r="D766">
        <f>IF($P766="","",INDEX(명단표[전공의등록번호],$P766)&amp;"")</f>
        <v/>
      </c>
      <c r="E766">
        <f>IF($P766="","",INDEX(명단표[수련과목],$P766)&amp;"")</f>
        <v/>
      </c>
      <c r="F766">
        <f>IF($P766="","",INDEX(명단표[연차],$P766)&amp;"")</f>
        <v/>
      </c>
      <c r="G766">
        <f>IF($P766="","",INDEX(명단표[소속병원],$P766))</f>
        <v/>
      </c>
      <c r="H766">
        <f>IF($P766="","",IF(INDEX(명단표[소속병원],$P766)="서울병원","서울 소속","타 병원 소속("&amp;INDEX(명단표[소속병원],$P766)&amp;") → 서울 지급"))</f>
        <v/>
      </c>
      <c r="I766">
        <f>IF($P766="","",INDEX(명단표[현재 근무병원],$P766))</f>
        <v/>
      </c>
      <c r="J766">
        <f>IF($P766="","",INDEX(명단표[구리 근무 시작일(기준월)],$P766)&amp;"")</f>
        <v/>
      </c>
      <c r="K766">
        <f>IF($P766="","",INDEX(명단표[구리 근무 종료일(기준월)],$P766)&amp;"")</f>
        <v/>
      </c>
      <c r="L766">
        <f>IF($P766="","",INDEX(명단표[서울 근무일(기준월)],$P766))</f>
        <v/>
      </c>
      <c r="M766">
        <f>IF($P766="","",INDEX(명단표[구리 근무일(기준월)],$P766))</f>
        <v/>
      </c>
      <c r="N766">
        <f>IF($P766="","",INDEX(명단표[급여 판정 근거],$P766))</f>
        <v/>
      </c>
      <c r="O766">
        <f>IF($P766="","",INDEX(명단표[점검],$P766))</f>
        <v/>
      </c>
      <c r="P766" s="17">
        <f>IFERROR(MATCH(761,명단표[서울순번],0),"")</f>
        <v/>
      </c>
      <c r="R766">
        <f>IF($W766="","",INDEX(명단표[이름],$W766))</f>
        <v/>
      </c>
      <c r="S766">
        <f>IF($W766="","",INDEX(명단표[사번],$W766)&amp;"")</f>
        <v/>
      </c>
      <c r="T766">
        <f>IF($W766="","",INDEX(명단표[소속병원],$W766))</f>
        <v/>
      </c>
      <c r="U766">
        <f>IF($W766="","",INDEX(명단표[서울 근무일(기준월)],$W766))</f>
        <v/>
      </c>
      <c r="V766">
        <f>IF($W766="","",INDEX(명단표[구리 근무일(기준월)],$W766))</f>
        <v/>
      </c>
      <c r="W766" s="17">
        <f>IFERROR(MATCH(761,명단표[판정불가순번],0),"")</f>
        <v/>
      </c>
    </row>
    <row r="767">
      <c r="A767">
        <f>IF($P767="","",762)</f>
        <v/>
      </c>
      <c r="B767">
        <f>IF($P767="","",INDEX(명단표[이름],$P767))</f>
        <v/>
      </c>
      <c r="C767">
        <f>IF($P767="","",INDEX(명단표[사번],$P767)&amp;"")</f>
        <v/>
      </c>
      <c r="D767">
        <f>IF($P767="","",INDEX(명단표[전공의등록번호],$P767)&amp;"")</f>
        <v/>
      </c>
      <c r="E767">
        <f>IF($P767="","",INDEX(명단표[수련과목],$P767)&amp;"")</f>
        <v/>
      </c>
      <c r="F767">
        <f>IF($P767="","",INDEX(명단표[연차],$P767)&amp;"")</f>
        <v/>
      </c>
      <c r="G767">
        <f>IF($P767="","",INDEX(명단표[소속병원],$P767))</f>
        <v/>
      </c>
      <c r="H767">
        <f>IF($P767="","",IF(INDEX(명단표[소속병원],$P767)="서울병원","서울 소속","타 병원 소속("&amp;INDEX(명단표[소속병원],$P767)&amp;") → 서울 지급"))</f>
        <v/>
      </c>
      <c r="I767">
        <f>IF($P767="","",INDEX(명단표[현재 근무병원],$P767))</f>
        <v/>
      </c>
      <c r="J767">
        <f>IF($P767="","",INDEX(명단표[구리 근무 시작일(기준월)],$P767)&amp;"")</f>
        <v/>
      </c>
      <c r="K767">
        <f>IF($P767="","",INDEX(명단표[구리 근무 종료일(기준월)],$P767)&amp;"")</f>
        <v/>
      </c>
      <c r="L767">
        <f>IF($P767="","",INDEX(명단표[서울 근무일(기준월)],$P767))</f>
        <v/>
      </c>
      <c r="M767">
        <f>IF($P767="","",INDEX(명단표[구리 근무일(기준월)],$P767))</f>
        <v/>
      </c>
      <c r="N767">
        <f>IF($P767="","",INDEX(명단표[급여 판정 근거],$P767))</f>
        <v/>
      </c>
      <c r="O767">
        <f>IF($P767="","",INDEX(명단표[점검],$P767))</f>
        <v/>
      </c>
      <c r="P767" s="17">
        <f>IFERROR(MATCH(762,명단표[서울순번],0),"")</f>
        <v/>
      </c>
      <c r="R767">
        <f>IF($W767="","",INDEX(명단표[이름],$W767))</f>
        <v/>
      </c>
      <c r="S767">
        <f>IF($W767="","",INDEX(명단표[사번],$W767)&amp;"")</f>
        <v/>
      </c>
      <c r="T767">
        <f>IF($W767="","",INDEX(명단표[소속병원],$W767))</f>
        <v/>
      </c>
      <c r="U767">
        <f>IF($W767="","",INDEX(명단표[서울 근무일(기준월)],$W767))</f>
        <v/>
      </c>
      <c r="V767">
        <f>IF($W767="","",INDEX(명단표[구리 근무일(기준월)],$W767))</f>
        <v/>
      </c>
      <c r="W767" s="17">
        <f>IFERROR(MATCH(762,명단표[판정불가순번],0),"")</f>
        <v/>
      </c>
    </row>
    <row r="768">
      <c r="A768">
        <f>IF($P768="","",763)</f>
        <v/>
      </c>
      <c r="B768">
        <f>IF($P768="","",INDEX(명단표[이름],$P768))</f>
        <v/>
      </c>
      <c r="C768">
        <f>IF($P768="","",INDEX(명단표[사번],$P768)&amp;"")</f>
        <v/>
      </c>
      <c r="D768">
        <f>IF($P768="","",INDEX(명단표[전공의등록번호],$P768)&amp;"")</f>
        <v/>
      </c>
      <c r="E768">
        <f>IF($P768="","",INDEX(명단표[수련과목],$P768)&amp;"")</f>
        <v/>
      </c>
      <c r="F768">
        <f>IF($P768="","",INDEX(명단표[연차],$P768)&amp;"")</f>
        <v/>
      </c>
      <c r="G768">
        <f>IF($P768="","",INDEX(명단표[소속병원],$P768))</f>
        <v/>
      </c>
      <c r="H768">
        <f>IF($P768="","",IF(INDEX(명단표[소속병원],$P768)="서울병원","서울 소속","타 병원 소속("&amp;INDEX(명단표[소속병원],$P768)&amp;") → 서울 지급"))</f>
        <v/>
      </c>
      <c r="I768">
        <f>IF($P768="","",INDEX(명단표[현재 근무병원],$P768))</f>
        <v/>
      </c>
      <c r="J768">
        <f>IF($P768="","",INDEX(명단표[구리 근무 시작일(기준월)],$P768)&amp;"")</f>
        <v/>
      </c>
      <c r="K768">
        <f>IF($P768="","",INDEX(명단표[구리 근무 종료일(기준월)],$P768)&amp;"")</f>
        <v/>
      </c>
      <c r="L768">
        <f>IF($P768="","",INDEX(명단표[서울 근무일(기준월)],$P768))</f>
        <v/>
      </c>
      <c r="M768">
        <f>IF($P768="","",INDEX(명단표[구리 근무일(기준월)],$P768))</f>
        <v/>
      </c>
      <c r="N768">
        <f>IF($P768="","",INDEX(명단표[급여 판정 근거],$P768))</f>
        <v/>
      </c>
      <c r="O768">
        <f>IF($P768="","",INDEX(명단표[점검],$P768))</f>
        <v/>
      </c>
      <c r="P768" s="17">
        <f>IFERROR(MATCH(763,명단표[서울순번],0),"")</f>
        <v/>
      </c>
      <c r="R768">
        <f>IF($W768="","",INDEX(명단표[이름],$W768))</f>
        <v/>
      </c>
      <c r="S768">
        <f>IF($W768="","",INDEX(명단표[사번],$W768)&amp;"")</f>
        <v/>
      </c>
      <c r="T768">
        <f>IF($W768="","",INDEX(명단표[소속병원],$W768))</f>
        <v/>
      </c>
      <c r="U768">
        <f>IF($W768="","",INDEX(명단표[서울 근무일(기준월)],$W768))</f>
        <v/>
      </c>
      <c r="V768">
        <f>IF($W768="","",INDEX(명단표[구리 근무일(기준월)],$W768))</f>
        <v/>
      </c>
      <c r="W768" s="17">
        <f>IFERROR(MATCH(763,명단표[판정불가순번],0),"")</f>
        <v/>
      </c>
    </row>
    <row r="769">
      <c r="A769">
        <f>IF($P769="","",764)</f>
        <v/>
      </c>
      <c r="B769">
        <f>IF($P769="","",INDEX(명단표[이름],$P769))</f>
        <v/>
      </c>
      <c r="C769">
        <f>IF($P769="","",INDEX(명단표[사번],$P769)&amp;"")</f>
        <v/>
      </c>
      <c r="D769">
        <f>IF($P769="","",INDEX(명단표[전공의등록번호],$P769)&amp;"")</f>
        <v/>
      </c>
      <c r="E769">
        <f>IF($P769="","",INDEX(명단표[수련과목],$P769)&amp;"")</f>
        <v/>
      </c>
      <c r="F769">
        <f>IF($P769="","",INDEX(명단표[연차],$P769)&amp;"")</f>
        <v/>
      </c>
      <c r="G769">
        <f>IF($P769="","",INDEX(명단표[소속병원],$P769))</f>
        <v/>
      </c>
      <c r="H769">
        <f>IF($P769="","",IF(INDEX(명단표[소속병원],$P769)="서울병원","서울 소속","타 병원 소속("&amp;INDEX(명단표[소속병원],$P769)&amp;") → 서울 지급"))</f>
        <v/>
      </c>
      <c r="I769">
        <f>IF($P769="","",INDEX(명단표[현재 근무병원],$P769))</f>
        <v/>
      </c>
      <c r="J769">
        <f>IF($P769="","",INDEX(명단표[구리 근무 시작일(기준월)],$P769)&amp;"")</f>
        <v/>
      </c>
      <c r="K769">
        <f>IF($P769="","",INDEX(명단표[구리 근무 종료일(기준월)],$P769)&amp;"")</f>
        <v/>
      </c>
      <c r="L769">
        <f>IF($P769="","",INDEX(명단표[서울 근무일(기준월)],$P769))</f>
        <v/>
      </c>
      <c r="M769">
        <f>IF($P769="","",INDEX(명단표[구리 근무일(기준월)],$P769))</f>
        <v/>
      </c>
      <c r="N769">
        <f>IF($P769="","",INDEX(명단표[급여 판정 근거],$P769))</f>
        <v/>
      </c>
      <c r="O769">
        <f>IF($P769="","",INDEX(명단표[점검],$P769))</f>
        <v/>
      </c>
      <c r="P769" s="17">
        <f>IFERROR(MATCH(764,명단표[서울순번],0),"")</f>
        <v/>
      </c>
      <c r="R769">
        <f>IF($W769="","",INDEX(명단표[이름],$W769))</f>
        <v/>
      </c>
      <c r="S769">
        <f>IF($W769="","",INDEX(명단표[사번],$W769)&amp;"")</f>
        <v/>
      </c>
      <c r="T769">
        <f>IF($W769="","",INDEX(명단표[소속병원],$W769))</f>
        <v/>
      </c>
      <c r="U769">
        <f>IF($W769="","",INDEX(명단표[서울 근무일(기준월)],$W769))</f>
        <v/>
      </c>
      <c r="V769">
        <f>IF($W769="","",INDEX(명단표[구리 근무일(기준월)],$W769))</f>
        <v/>
      </c>
      <c r="W769" s="17">
        <f>IFERROR(MATCH(764,명단표[판정불가순번],0),"")</f>
        <v/>
      </c>
    </row>
    <row r="770">
      <c r="A770">
        <f>IF($P770="","",765)</f>
        <v/>
      </c>
      <c r="B770">
        <f>IF($P770="","",INDEX(명단표[이름],$P770))</f>
        <v/>
      </c>
      <c r="C770">
        <f>IF($P770="","",INDEX(명단표[사번],$P770)&amp;"")</f>
        <v/>
      </c>
      <c r="D770">
        <f>IF($P770="","",INDEX(명단표[전공의등록번호],$P770)&amp;"")</f>
        <v/>
      </c>
      <c r="E770">
        <f>IF($P770="","",INDEX(명단표[수련과목],$P770)&amp;"")</f>
        <v/>
      </c>
      <c r="F770">
        <f>IF($P770="","",INDEX(명단표[연차],$P770)&amp;"")</f>
        <v/>
      </c>
      <c r="G770">
        <f>IF($P770="","",INDEX(명단표[소속병원],$P770))</f>
        <v/>
      </c>
      <c r="H770">
        <f>IF($P770="","",IF(INDEX(명단표[소속병원],$P770)="서울병원","서울 소속","타 병원 소속("&amp;INDEX(명단표[소속병원],$P770)&amp;") → 서울 지급"))</f>
        <v/>
      </c>
      <c r="I770">
        <f>IF($P770="","",INDEX(명단표[현재 근무병원],$P770))</f>
        <v/>
      </c>
      <c r="J770">
        <f>IF($P770="","",INDEX(명단표[구리 근무 시작일(기준월)],$P770)&amp;"")</f>
        <v/>
      </c>
      <c r="K770">
        <f>IF($P770="","",INDEX(명단표[구리 근무 종료일(기준월)],$P770)&amp;"")</f>
        <v/>
      </c>
      <c r="L770">
        <f>IF($P770="","",INDEX(명단표[서울 근무일(기준월)],$P770))</f>
        <v/>
      </c>
      <c r="M770">
        <f>IF($P770="","",INDEX(명단표[구리 근무일(기준월)],$P770))</f>
        <v/>
      </c>
      <c r="N770">
        <f>IF($P770="","",INDEX(명단표[급여 판정 근거],$P770))</f>
        <v/>
      </c>
      <c r="O770">
        <f>IF($P770="","",INDEX(명단표[점검],$P770))</f>
        <v/>
      </c>
      <c r="P770" s="17">
        <f>IFERROR(MATCH(765,명단표[서울순번],0),"")</f>
        <v/>
      </c>
      <c r="R770">
        <f>IF($W770="","",INDEX(명단표[이름],$W770))</f>
        <v/>
      </c>
      <c r="S770">
        <f>IF($W770="","",INDEX(명단표[사번],$W770)&amp;"")</f>
        <v/>
      </c>
      <c r="T770">
        <f>IF($W770="","",INDEX(명단표[소속병원],$W770))</f>
        <v/>
      </c>
      <c r="U770">
        <f>IF($W770="","",INDEX(명단표[서울 근무일(기준월)],$W770))</f>
        <v/>
      </c>
      <c r="V770">
        <f>IF($W770="","",INDEX(명단표[구리 근무일(기준월)],$W770))</f>
        <v/>
      </c>
      <c r="W770" s="17">
        <f>IFERROR(MATCH(765,명단표[판정불가순번],0),"")</f>
        <v/>
      </c>
    </row>
    <row r="771">
      <c r="A771">
        <f>IF($P771="","",766)</f>
        <v/>
      </c>
      <c r="B771">
        <f>IF($P771="","",INDEX(명단표[이름],$P771))</f>
        <v/>
      </c>
      <c r="C771">
        <f>IF($P771="","",INDEX(명단표[사번],$P771)&amp;"")</f>
        <v/>
      </c>
      <c r="D771">
        <f>IF($P771="","",INDEX(명단표[전공의등록번호],$P771)&amp;"")</f>
        <v/>
      </c>
      <c r="E771">
        <f>IF($P771="","",INDEX(명단표[수련과목],$P771)&amp;"")</f>
        <v/>
      </c>
      <c r="F771">
        <f>IF($P771="","",INDEX(명단표[연차],$P771)&amp;"")</f>
        <v/>
      </c>
      <c r="G771">
        <f>IF($P771="","",INDEX(명단표[소속병원],$P771))</f>
        <v/>
      </c>
      <c r="H771">
        <f>IF($P771="","",IF(INDEX(명단표[소속병원],$P771)="서울병원","서울 소속","타 병원 소속("&amp;INDEX(명단표[소속병원],$P771)&amp;") → 서울 지급"))</f>
        <v/>
      </c>
      <c r="I771">
        <f>IF($P771="","",INDEX(명단표[현재 근무병원],$P771))</f>
        <v/>
      </c>
      <c r="J771">
        <f>IF($P771="","",INDEX(명단표[구리 근무 시작일(기준월)],$P771)&amp;"")</f>
        <v/>
      </c>
      <c r="K771">
        <f>IF($P771="","",INDEX(명단표[구리 근무 종료일(기준월)],$P771)&amp;"")</f>
        <v/>
      </c>
      <c r="L771">
        <f>IF($P771="","",INDEX(명단표[서울 근무일(기준월)],$P771))</f>
        <v/>
      </c>
      <c r="M771">
        <f>IF($P771="","",INDEX(명단표[구리 근무일(기준월)],$P771))</f>
        <v/>
      </c>
      <c r="N771">
        <f>IF($P771="","",INDEX(명단표[급여 판정 근거],$P771))</f>
        <v/>
      </c>
      <c r="O771">
        <f>IF($P771="","",INDEX(명단표[점검],$P771))</f>
        <v/>
      </c>
      <c r="P771" s="17">
        <f>IFERROR(MATCH(766,명단표[서울순번],0),"")</f>
        <v/>
      </c>
      <c r="R771">
        <f>IF($W771="","",INDEX(명단표[이름],$W771))</f>
        <v/>
      </c>
      <c r="S771">
        <f>IF($W771="","",INDEX(명단표[사번],$W771)&amp;"")</f>
        <v/>
      </c>
      <c r="T771">
        <f>IF($W771="","",INDEX(명단표[소속병원],$W771))</f>
        <v/>
      </c>
      <c r="U771">
        <f>IF($W771="","",INDEX(명단표[서울 근무일(기준월)],$W771))</f>
        <v/>
      </c>
      <c r="V771">
        <f>IF($W771="","",INDEX(명단표[구리 근무일(기준월)],$W771))</f>
        <v/>
      </c>
      <c r="W771" s="17">
        <f>IFERROR(MATCH(766,명단표[판정불가순번],0),"")</f>
        <v/>
      </c>
    </row>
    <row r="772">
      <c r="A772">
        <f>IF($P772="","",767)</f>
        <v/>
      </c>
      <c r="B772">
        <f>IF($P772="","",INDEX(명단표[이름],$P772))</f>
        <v/>
      </c>
      <c r="C772">
        <f>IF($P772="","",INDEX(명단표[사번],$P772)&amp;"")</f>
        <v/>
      </c>
      <c r="D772">
        <f>IF($P772="","",INDEX(명단표[전공의등록번호],$P772)&amp;"")</f>
        <v/>
      </c>
      <c r="E772">
        <f>IF($P772="","",INDEX(명단표[수련과목],$P772)&amp;"")</f>
        <v/>
      </c>
      <c r="F772">
        <f>IF($P772="","",INDEX(명단표[연차],$P772)&amp;"")</f>
        <v/>
      </c>
      <c r="G772">
        <f>IF($P772="","",INDEX(명단표[소속병원],$P772))</f>
        <v/>
      </c>
      <c r="H772">
        <f>IF($P772="","",IF(INDEX(명단표[소속병원],$P772)="서울병원","서울 소속","타 병원 소속("&amp;INDEX(명단표[소속병원],$P772)&amp;") → 서울 지급"))</f>
        <v/>
      </c>
      <c r="I772">
        <f>IF($P772="","",INDEX(명단표[현재 근무병원],$P772))</f>
        <v/>
      </c>
      <c r="J772">
        <f>IF($P772="","",INDEX(명단표[구리 근무 시작일(기준월)],$P772)&amp;"")</f>
        <v/>
      </c>
      <c r="K772">
        <f>IF($P772="","",INDEX(명단표[구리 근무 종료일(기준월)],$P772)&amp;"")</f>
        <v/>
      </c>
      <c r="L772">
        <f>IF($P772="","",INDEX(명단표[서울 근무일(기준월)],$P772))</f>
        <v/>
      </c>
      <c r="M772">
        <f>IF($P772="","",INDEX(명단표[구리 근무일(기준월)],$P772))</f>
        <v/>
      </c>
      <c r="N772">
        <f>IF($P772="","",INDEX(명단표[급여 판정 근거],$P772))</f>
        <v/>
      </c>
      <c r="O772">
        <f>IF($P772="","",INDEX(명단표[점검],$P772))</f>
        <v/>
      </c>
      <c r="P772" s="17">
        <f>IFERROR(MATCH(767,명단표[서울순번],0),"")</f>
        <v/>
      </c>
      <c r="R772">
        <f>IF($W772="","",INDEX(명단표[이름],$W772))</f>
        <v/>
      </c>
      <c r="S772">
        <f>IF($W772="","",INDEX(명단표[사번],$W772)&amp;"")</f>
        <v/>
      </c>
      <c r="T772">
        <f>IF($W772="","",INDEX(명단표[소속병원],$W772))</f>
        <v/>
      </c>
      <c r="U772">
        <f>IF($W772="","",INDEX(명단표[서울 근무일(기준월)],$W772))</f>
        <v/>
      </c>
      <c r="V772">
        <f>IF($W772="","",INDEX(명단표[구리 근무일(기준월)],$W772))</f>
        <v/>
      </c>
      <c r="W772" s="17">
        <f>IFERROR(MATCH(767,명단표[판정불가순번],0),"")</f>
        <v/>
      </c>
    </row>
    <row r="773">
      <c r="A773">
        <f>IF($P773="","",768)</f>
        <v/>
      </c>
      <c r="B773">
        <f>IF($P773="","",INDEX(명단표[이름],$P773))</f>
        <v/>
      </c>
      <c r="C773">
        <f>IF($P773="","",INDEX(명단표[사번],$P773)&amp;"")</f>
        <v/>
      </c>
      <c r="D773">
        <f>IF($P773="","",INDEX(명단표[전공의등록번호],$P773)&amp;"")</f>
        <v/>
      </c>
      <c r="E773">
        <f>IF($P773="","",INDEX(명단표[수련과목],$P773)&amp;"")</f>
        <v/>
      </c>
      <c r="F773">
        <f>IF($P773="","",INDEX(명단표[연차],$P773)&amp;"")</f>
        <v/>
      </c>
      <c r="G773">
        <f>IF($P773="","",INDEX(명단표[소속병원],$P773))</f>
        <v/>
      </c>
      <c r="H773">
        <f>IF($P773="","",IF(INDEX(명단표[소속병원],$P773)="서울병원","서울 소속","타 병원 소속("&amp;INDEX(명단표[소속병원],$P773)&amp;") → 서울 지급"))</f>
        <v/>
      </c>
      <c r="I773">
        <f>IF($P773="","",INDEX(명단표[현재 근무병원],$P773))</f>
        <v/>
      </c>
      <c r="J773">
        <f>IF($P773="","",INDEX(명단표[구리 근무 시작일(기준월)],$P773)&amp;"")</f>
        <v/>
      </c>
      <c r="K773">
        <f>IF($P773="","",INDEX(명단표[구리 근무 종료일(기준월)],$P773)&amp;"")</f>
        <v/>
      </c>
      <c r="L773">
        <f>IF($P773="","",INDEX(명단표[서울 근무일(기준월)],$P773))</f>
        <v/>
      </c>
      <c r="M773">
        <f>IF($P773="","",INDEX(명단표[구리 근무일(기준월)],$P773))</f>
        <v/>
      </c>
      <c r="N773">
        <f>IF($P773="","",INDEX(명단표[급여 판정 근거],$P773))</f>
        <v/>
      </c>
      <c r="O773">
        <f>IF($P773="","",INDEX(명단표[점검],$P773))</f>
        <v/>
      </c>
      <c r="P773" s="17">
        <f>IFERROR(MATCH(768,명단표[서울순번],0),"")</f>
        <v/>
      </c>
      <c r="R773">
        <f>IF($W773="","",INDEX(명단표[이름],$W773))</f>
        <v/>
      </c>
      <c r="S773">
        <f>IF($W773="","",INDEX(명단표[사번],$W773)&amp;"")</f>
        <v/>
      </c>
      <c r="T773">
        <f>IF($W773="","",INDEX(명단표[소속병원],$W773))</f>
        <v/>
      </c>
      <c r="U773">
        <f>IF($W773="","",INDEX(명단표[서울 근무일(기준월)],$W773))</f>
        <v/>
      </c>
      <c r="V773">
        <f>IF($W773="","",INDEX(명단표[구리 근무일(기준월)],$W773))</f>
        <v/>
      </c>
      <c r="W773" s="17">
        <f>IFERROR(MATCH(768,명단표[판정불가순번],0),"")</f>
        <v/>
      </c>
    </row>
    <row r="774">
      <c r="A774">
        <f>IF($P774="","",769)</f>
        <v/>
      </c>
      <c r="B774">
        <f>IF($P774="","",INDEX(명단표[이름],$P774))</f>
        <v/>
      </c>
      <c r="C774">
        <f>IF($P774="","",INDEX(명단표[사번],$P774)&amp;"")</f>
        <v/>
      </c>
      <c r="D774">
        <f>IF($P774="","",INDEX(명단표[전공의등록번호],$P774)&amp;"")</f>
        <v/>
      </c>
      <c r="E774">
        <f>IF($P774="","",INDEX(명단표[수련과목],$P774)&amp;"")</f>
        <v/>
      </c>
      <c r="F774">
        <f>IF($P774="","",INDEX(명단표[연차],$P774)&amp;"")</f>
        <v/>
      </c>
      <c r="G774">
        <f>IF($P774="","",INDEX(명단표[소속병원],$P774))</f>
        <v/>
      </c>
      <c r="H774">
        <f>IF($P774="","",IF(INDEX(명단표[소속병원],$P774)="서울병원","서울 소속","타 병원 소속("&amp;INDEX(명단표[소속병원],$P774)&amp;") → 서울 지급"))</f>
        <v/>
      </c>
      <c r="I774">
        <f>IF($P774="","",INDEX(명단표[현재 근무병원],$P774))</f>
        <v/>
      </c>
      <c r="J774">
        <f>IF($P774="","",INDEX(명단표[구리 근무 시작일(기준월)],$P774)&amp;"")</f>
        <v/>
      </c>
      <c r="K774">
        <f>IF($P774="","",INDEX(명단표[구리 근무 종료일(기준월)],$P774)&amp;"")</f>
        <v/>
      </c>
      <c r="L774">
        <f>IF($P774="","",INDEX(명단표[서울 근무일(기준월)],$P774))</f>
        <v/>
      </c>
      <c r="M774">
        <f>IF($P774="","",INDEX(명단표[구리 근무일(기준월)],$P774))</f>
        <v/>
      </c>
      <c r="N774">
        <f>IF($P774="","",INDEX(명단표[급여 판정 근거],$P774))</f>
        <v/>
      </c>
      <c r="O774">
        <f>IF($P774="","",INDEX(명단표[점검],$P774))</f>
        <v/>
      </c>
      <c r="P774" s="17">
        <f>IFERROR(MATCH(769,명단표[서울순번],0),"")</f>
        <v/>
      </c>
      <c r="R774">
        <f>IF($W774="","",INDEX(명단표[이름],$W774))</f>
        <v/>
      </c>
      <c r="S774">
        <f>IF($W774="","",INDEX(명단표[사번],$W774)&amp;"")</f>
        <v/>
      </c>
      <c r="T774">
        <f>IF($W774="","",INDEX(명단표[소속병원],$W774))</f>
        <v/>
      </c>
      <c r="U774">
        <f>IF($W774="","",INDEX(명단표[서울 근무일(기준월)],$W774))</f>
        <v/>
      </c>
      <c r="V774">
        <f>IF($W774="","",INDEX(명단표[구리 근무일(기준월)],$W774))</f>
        <v/>
      </c>
      <c r="W774" s="17">
        <f>IFERROR(MATCH(769,명단표[판정불가순번],0),"")</f>
        <v/>
      </c>
    </row>
    <row r="775">
      <c r="A775">
        <f>IF($P775="","",770)</f>
        <v/>
      </c>
      <c r="B775">
        <f>IF($P775="","",INDEX(명단표[이름],$P775))</f>
        <v/>
      </c>
      <c r="C775">
        <f>IF($P775="","",INDEX(명단표[사번],$P775)&amp;"")</f>
        <v/>
      </c>
      <c r="D775">
        <f>IF($P775="","",INDEX(명단표[전공의등록번호],$P775)&amp;"")</f>
        <v/>
      </c>
      <c r="E775">
        <f>IF($P775="","",INDEX(명단표[수련과목],$P775)&amp;"")</f>
        <v/>
      </c>
      <c r="F775">
        <f>IF($P775="","",INDEX(명단표[연차],$P775)&amp;"")</f>
        <v/>
      </c>
      <c r="G775">
        <f>IF($P775="","",INDEX(명단표[소속병원],$P775))</f>
        <v/>
      </c>
      <c r="H775">
        <f>IF($P775="","",IF(INDEX(명단표[소속병원],$P775)="서울병원","서울 소속","타 병원 소속("&amp;INDEX(명단표[소속병원],$P775)&amp;") → 서울 지급"))</f>
        <v/>
      </c>
      <c r="I775">
        <f>IF($P775="","",INDEX(명단표[현재 근무병원],$P775))</f>
        <v/>
      </c>
      <c r="J775">
        <f>IF($P775="","",INDEX(명단표[구리 근무 시작일(기준월)],$P775)&amp;"")</f>
        <v/>
      </c>
      <c r="K775">
        <f>IF($P775="","",INDEX(명단표[구리 근무 종료일(기준월)],$P775)&amp;"")</f>
        <v/>
      </c>
      <c r="L775">
        <f>IF($P775="","",INDEX(명단표[서울 근무일(기준월)],$P775))</f>
        <v/>
      </c>
      <c r="M775">
        <f>IF($P775="","",INDEX(명단표[구리 근무일(기준월)],$P775))</f>
        <v/>
      </c>
      <c r="N775">
        <f>IF($P775="","",INDEX(명단표[급여 판정 근거],$P775))</f>
        <v/>
      </c>
      <c r="O775">
        <f>IF($P775="","",INDEX(명단표[점검],$P775))</f>
        <v/>
      </c>
      <c r="P775" s="17">
        <f>IFERROR(MATCH(770,명단표[서울순번],0),"")</f>
        <v/>
      </c>
      <c r="R775">
        <f>IF($W775="","",INDEX(명단표[이름],$W775))</f>
        <v/>
      </c>
      <c r="S775">
        <f>IF($W775="","",INDEX(명단표[사번],$W775)&amp;"")</f>
        <v/>
      </c>
      <c r="T775">
        <f>IF($W775="","",INDEX(명단표[소속병원],$W775))</f>
        <v/>
      </c>
      <c r="U775">
        <f>IF($W775="","",INDEX(명단표[서울 근무일(기준월)],$W775))</f>
        <v/>
      </c>
      <c r="V775">
        <f>IF($W775="","",INDEX(명단표[구리 근무일(기준월)],$W775))</f>
        <v/>
      </c>
      <c r="W775" s="17">
        <f>IFERROR(MATCH(770,명단표[판정불가순번],0),"")</f>
        <v/>
      </c>
    </row>
    <row r="776">
      <c r="A776">
        <f>IF($P776="","",771)</f>
        <v/>
      </c>
      <c r="B776">
        <f>IF($P776="","",INDEX(명단표[이름],$P776))</f>
        <v/>
      </c>
      <c r="C776">
        <f>IF($P776="","",INDEX(명단표[사번],$P776)&amp;"")</f>
        <v/>
      </c>
      <c r="D776">
        <f>IF($P776="","",INDEX(명단표[전공의등록번호],$P776)&amp;"")</f>
        <v/>
      </c>
      <c r="E776">
        <f>IF($P776="","",INDEX(명단표[수련과목],$P776)&amp;"")</f>
        <v/>
      </c>
      <c r="F776">
        <f>IF($P776="","",INDEX(명단표[연차],$P776)&amp;"")</f>
        <v/>
      </c>
      <c r="G776">
        <f>IF($P776="","",INDEX(명단표[소속병원],$P776))</f>
        <v/>
      </c>
      <c r="H776">
        <f>IF($P776="","",IF(INDEX(명단표[소속병원],$P776)="서울병원","서울 소속","타 병원 소속("&amp;INDEX(명단표[소속병원],$P776)&amp;") → 서울 지급"))</f>
        <v/>
      </c>
      <c r="I776">
        <f>IF($P776="","",INDEX(명단표[현재 근무병원],$P776))</f>
        <v/>
      </c>
      <c r="J776">
        <f>IF($P776="","",INDEX(명단표[구리 근무 시작일(기준월)],$P776)&amp;"")</f>
        <v/>
      </c>
      <c r="K776">
        <f>IF($P776="","",INDEX(명단표[구리 근무 종료일(기준월)],$P776)&amp;"")</f>
        <v/>
      </c>
      <c r="L776">
        <f>IF($P776="","",INDEX(명단표[서울 근무일(기준월)],$P776))</f>
        <v/>
      </c>
      <c r="M776">
        <f>IF($P776="","",INDEX(명단표[구리 근무일(기준월)],$P776))</f>
        <v/>
      </c>
      <c r="N776">
        <f>IF($P776="","",INDEX(명단표[급여 판정 근거],$P776))</f>
        <v/>
      </c>
      <c r="O776">
        <f>IF($P776="","",INDEX(명단표[점검],$P776))</f>
        <v/>
      </c>
      <c r="P776" s="17">
        <f>IFERROR(MATCH(771,명단표[서울순번],0),"")</f>
        <v/>
      </c>
      <c r="R776">
        <f>IF($W776="","",INDEX(명단표[이름],$W776))</f>
        <v/>
      </c>
      <c r="S776">
        <f>IF($W776="","",INDEX(명단표[사번],$W776)&amp;"")</f>
        <v/>
      </c>
      <c r="T776">
        <f>IF($W776="","",INDEX(명단표[소속병원],$W776))</f>
        <v/>
      </c>
      <c r="U776">
        <f>IF($W776="","",INDEX(명단표[서울 근무일(기준월)],$W776))</f>
        <v/>
      </c>
      <c r="V776">
        <f>IF($W776="","",INDEX(명단표[구리 근무일(기준월)],$W776))</f>
        <v/>
      </c>
      <c r="W776" s="17">
        <f>IFERROR(MATCH(771,명단표[판정불가순번],0),"")</f>
        <v/>
      </c>
    </row>
    <row r="777">
      <c r="A777">
        <f>IF($P777="","",772)</f>
        <v/>
      </c>
      <c r="B777">
        <f>IF($P777="","",INDEX(명단표[이름],$P777))</f>
        <v/>
      </c>
      <c r="C777">
        <f>IF($P777="","",INDEX(명단표[사번],$P777)&amp;"")</f>
        <v/>
      </c>
      <c r="D777">
        <f>IF($P777="","",INDEX(명단표[전공의등록번호],$P777)&amp;"")</f>
        <v/>
      </c>
      <c r="E777">
        <f>IF($P777="","",INDEX(명단표[수련과목],$P777)&amp;"")</f>
        <v/>
      </c>
      <c r="F777">
        <f>IF($P777="","",INDEX(명단표[연차],$P777)&amp;"")</f>
        <v/>
      </c>
      <c r="G777">
        <f>IF($P777="","",INDEX(명단표[소속병원],$P777))</f>
        <v/>
      </c>
      <c r="H777">
        <f>IF($P777="","",IF(INDEX(명단표[소속병원],$P777)="서울병원","서울 소속","타 병원 소속("&amp;INDEX(명단표[소속병원],$P777)&amp;") → 서울 지급"))</f>
        <v/>
      </c>
      <c r="I777">
        <f>IF($P777="","",INDEX(명단표[현재 근무병원],$P777))</f>
        <v/>
      </c>
      <c r="J777">
        <f>IF($P777="","",INDEX(명단표[구리 근무 시작일(기준월)],$P777)&amp;"")</f>
        <v/>
      </c>
      <c r="K777">
        <f>IF($P777="","",INDEX(명단표[구리 근무 종료일(기준월)],$P777)&amp;"")</f>
        <v/>
      </c>
      <c r="L777">
        <f>IF($P777="","",INDEX(명단표[서울 근무일(기준월)],$P777))</f>
        <v/>
      </c>
      <c r="M777">
        <f>IF($P777="","",INDEX(명단표[구리 근무일(기준월)],$P777))</f>
        <v/>
      </c>
      <c r="N777">
        <f>IF($P777="","",INDEX(명단표[급여 판정 근거],$P777))</f>
        <v/>
      </c>
      <c r="O777">
        <f>IF($P777="","",INDEX(명단표[점검],$P777))</f>
        <v/>
      </c>
      <c r="P777" s="17">
        <f>IFERROR(MATCH(772,명단표[서울순번],0),"")</f>
        <v/>
      </c>
      <c r="R777">
        <f>IF($W777="","",INDEX(명단표[이름],$W777))</f>
        <v/>
      </c>
      <c r="S777">
        <f>IF($W777="","",INDEX(명단표[사번],$W777)&amp;"")</f>
        <v/>
      </c>
      <c r="T777">
        <f>IF($W777="","",INDEX(명단표[소속병원],$W777))</f>
        <v/>
      </c>
      <c r="U777">
        <f>IF($W777="","",INDEX(명단표[서울 근무일(기준월)],$W777))</f>
        <v/>
      </c>
      <c r="V777">
        <f>IF($W777="","",INDEX(명단표[구리 근무일(기준월)],$W777))</f>
        <v/>
      </c>
      <c r="W777" s="17">
        <f>IFERROR(MATCH(772,명단표[판정불가순번],0),"")</f>
        <v/>
      </c>
    </row>
    <row r="778">
      <c r="A778">
        <f>IF($P778="","",773)</f>
        <v/>
      </c>
      <c r="B778">
        <f>IF($P778="","",INDEX(명단표[이름],$P778))</f>
        <v/>
      </c>
      <c r="C778">
        <f>IF($P778="","",INDEX(명단표[사번],$P778)&amp;"")</f>
        <v/>
      </c>
      <c r="D778">
        <f>IF($P778="","",INDEX(명단표[전공의등록번호],$P778)&amp;"")</f>
        <v/>
      </c>
      <c r="E778">
        <f>IF($P778="","",INDEX(명단표[수련과목],$P778)&amp;"")</f>
        <v/>
      </c>
      <c r="F778">
        <f>IF($P778="","",INDEX(명단표[연차],$P778)&amp;"")</f>
        <v/>
      </c>
      <c r="G778">
        <f>IF($P778="","",INDEX(명단표[소속병원],$P778))</f>
        <v/>
      </c>
      <c r="H778">
        <f>IF($P778="","",IF(INDEX(명단표[소속병원],$P778)="서울병원","서울 소속","타 병원 소속("&amp;INDEX(명단표[소속병원],$P778)&amp;") → 서울 지급"))</f>
        <v/>
      </c>
      <c r="I778">
        <f>IF($P778="","",INDEX(명단표[현재 근무병원],$P778))</f>
        <v/>
      </c>
      <c r="J778">
        <f>IF($P778="","",INDEX(명단표[구리 근무 시작일(기준월)],$P778)&amp;"")</f>
        <v/>
      </c>
      <c r="K778">
        <f>IF($P778="","",INDEX(명단표[구리 근무 종료일(기준월)],$P778)&amp;"")</f>
        <v/>
      </c>
      <c r="L778">
        <f>IF($P778="","",INDEX(명단표[서울 근무일(기준월)],$P778))</f>
        <v/>
      </c>
      <c r="M778">
        <f>IF($P778="","",INDEX(명단표[구리 근무일(기준월)],$P778))</f>
        <v/>
      </c>
      <c r="N778">
        <f>IF($P778="","",INDEX(명단표[급여 판정 근거],$P778))</f>
        <v/>
      </c>
      <c r="O778">
        <f>IF($P778="","",INDEX(명단표[점검],$P778))</f>
        <v/>
      </c>
      <c r="P778" s="17">
        <f>IFERROR(MATCH(773,명단표[서울순번],0),"")</f>
        <v/>
      </c>
      <c r="R778">
        <f>IF($W778="","",INDEX(명단표[이름],$W778))</f>
        <v/>
      </c>
      <c r="S778">
        <f>IF($W778="","",INDEX(명단표[사번],$W778)&amp;"")</f>
        <v/>
      </c>
      <c r="T778">
        <f>IF($W778="","",INDEX(명단표[소속병원],$W778))</f>
        <v/>
      </c>
      <c r="U778">
        <f>IF($W778="","",INDEX(명단표[서울 근무일(기준월)],$W778))</f>
        <v/>
      </c>
      <c r="V778">
        <f>IF($W778="","",INDEX(명단표[구리 근무일(기준월)],$W778))</f>
        <v/>
      </c>
      <c r="W778" s="17">
        <f>IFERROR(MATCH(773,명단표[판정불가순번],0),"")</f>
        <v/>
      </c>
    </row>
    <row r="779">
      <c r="A779">
        <f>IF($P779="","",774)</f>
        <v/>
      </c>
      <c r="B779">
        <f>IF($P779="","",INDEX(명단표[이름],$P779))</f>
        <v/>
      </c>
      <c r="C779">
        <f>IF($P779="","",INDEX(명단표[사번],$P779)&amp;"")</f>
        <v/>
      </c>
      <c r="D779">
        <f>IF($P779="","",INDEX(명단표[전공의등록번호],$P779)&amp;"")</f>
        <v/>
      </c>
      <c r="E779">
        <f>IF($P779="","",INDEX(명단표[수련과목],$P779)&amp;"")</f>
        <v/>
      </c>
      <c r="F779">
        <f>IF($P779="","",INDEX(명단표[연차],$P779)&amp;"")</f>
        <v/>
      </c>
      <c r="G779">
        <f>IF($P779="","",INDEX(명단표[소속병원],$P779))</f>
        <v/>
      </c>
      <c r="H779">
        <f>IF($P779="","",IF(INDEX(명단표[소속병원],$P779)="서울병원","서울 소속","타 병원 소속("&amp;INDEX(명단표[소속병원],$P779)&amp;") → 서울 지급"))</f>
        <v/>
      </c>
      <c r="I779">
        <f>IF($P779="","",INDEX(명단표[현재 근무병원],$P779))</f>
        <v/>
      </c>
      <c r="J779">
        <f>IF($P779="","",INDEX(명단표[구리 근무 시작일(기준월)],$P779)&amp;"")</f>
        <v/>
      </c>
      <c r="K779">
        <f>IF($P779="","",INDEX(명단표[구리 근무 종료일(기준월)],$P779)&amp;"")</f>
        <v/>
      </c>
      <c r="L779">
        <f>IF($P779="","",INDEX(명단표[서울 근무일(기준월)],$P779))</f>
        <v/>
      </c>
      <c r="M779">
        <f>IF($P779="","",INDEX(명단표[구리 근무일(기준월)],$P779))</f>
        <v/>
      </c>
      <c r="N779">
        <f>IF($P779="","",INDEX(명단표[급여 판정 근거],$P779))</f>
        <v/>
      </c>
      <c r="O779">
        <f>IF($P779="","",INDEX(명단표[점검],$P779))</f>
        <v/>
      </c>
      <c r="P779" s="17">
        <f>IFERROR(MATCH(774,명단표[서울순번],0),"")</f>
        <v/>
      </c>
      <c r="R779">
        <f>IF($W779="","",INDEX(명단표[이름],$W779))</f>
        <v/>
      </c>
      <c r="S779">
        <f>IF($W779="","",INDEX(명단표[사번],$W779)&amp;"")</f>
        <v/>
      </c>
      <c r="T779">
        <f>IF($W779="","",INDEX(명단표[소속병원],$W779))</f>
        <v/>
      </c>
      <c r="U779">
        <f>IF($W779="","",INDEX(명단표[서울 근무일(기준월)],$W779))</f>
        <v/>
      </c>
      <c r="V779">
        <f>IF($W779="","",INDEX(명단표[구리 근무일(기준월)],$W779))</f>
        <v/>
      </c>
      <c r="W779" s="17">
        <f>IFERROR(MATCH(774,명단표[판정불가순번],0),"")</f>
        <v/>
      </c>
    </row>
    <row r="780">
      <c r="A780">
        <f>IF($P780="","",775)</f>
        <v/>
      </c>
      <c r="B780">
        <f>IF($P780="","",INDEX(명단표[이름],$P780))</f>
        <v/>
      </c>
      <c r="C780">
        <f>IF($P780="","",INDEX(명단표[사번],$P780)&amp;"")</f>
        <v/>
      </c>
      <c r="D780">
        <f>IF($P780="","",INDEX(명단표[전공의등록번호],$P780)&amp;"")</f>
        <v/>
      </c>
      <c r="E780">
        <f>IF($P780="","",INDEX(명단표[수련과목],$P780)&amp;"")</f>
        <v/>
      </c>
      <c r="F780">
        <f>IF($P780="","",INDEX(명단표[연차],$P780)&amp;"")</f>
        <v/>
      </c>
      <c r="G780">
        <f>IF($P780="","",INDEX(명단표[소속병원],$P780))</f>
        <v/>
      </c>
      <c r="H780">
        <f>IF($P780="","",IF(INDEX(명단표[소속병원],$P780)="서울병원","서울 소속","타 병원 소속("&amp;INDEX(명단표[소속병원],$P780)&amp;") → 서울 지급"))</f>
        <v/>
      </c>
      <c r="I780">
        <f>IF($P780="","",INDEX(명단표[현재 근무병원],$P780))</f>
        <v/>
      </c>
      <c r="J780">
        <f>IF($P780="","",INDEX(명단표[구리 근무 시작일(기준월)],$P780)&amp;"")</f>
        <v/>
      </c>
      <c r="K780">
        <f>IF($P780="","",INDEX(명단표[구리 근무 종료일(기준월)],$P780)&amp;"")</f>
        <v/>
      </c>
      <c r="L780">
        <f>IF($P780="","",INDEX(명단표[서울 근무일(기준월)],$P780))</f>
        <v/>
      </c>
      <c r="M780">
        <f>IF($P780="","",INDEX(명단표[구리 근무일(기준월)],$P780))</f>
        <v/>
      </c>
      <c r="N780">
        <f>IF($P780="","",INDEX(명단표[급여 판정 근거],$P780))</f>
        <v/>
      </c>
      <c r="O780">
        <f>IF($P780="","",INDEX(명단표[점검],$P780))</f>
        <v/>
      </c>
      <c r="P780" s="17">
        <f>IFERROR(MATCH(775,명단표[서울순번],0),"")</f>
        <v/>
      </c>
      <c r="R780">
        <f>IF($W780="","",INDEX(명단표[이름],$W780))</f>
        <v/>
      </c>
      <c r="S780">
        <f>IF($W780="","",INDEX(명단표[사번],$W780)&amp;"")</f>
        <v/>
      </c>
      <c r="T780">
        <f>IF($W780="","",INDEX(명단표[소속병원],$W780))</f>
        <v/>
      </c>
      <c r="U780">
        <f>IF($W780="","",INDEX(명단표[서울 근무일(기준월)],$W780))</f>
        <v/>
      </c>
      <c r="V780">
        <f>IF($W780="","",INDEX(명단표[구리 근무일(기준월)],$W780))</f>
        <v/>
      </c>
      <c r="W780" s="17">
        <f>IFERROR(MATCH(775,명단표[판정불가순번],0),"")</f>
        <v/>
      </c>
    </row>
    <row r="781">
      <c r="A781">
        <f>IF($P781="","",776)</f>
        <v/>
      </c>
      <c r="B781">
        <f>IF($P781="","",INDEX(명단표[이름],$P781))</f>
        <v/>
      </c>
      <c r="C781">
        <f>IF($P781="","",INDEX(명단표[사번],$P781)&amp;"")</f>
        <v/>
      </c>
      <c r="D781">
        <f>IF($P781="","",INDEX(명단표[전공의등록번호],$P781)&amp;"")</f>
        <v/>
      </c>
      <c r="E781">
        <f>IF($P781="","",INDEX(명단표[수련과목],$P781)&amp;"")</f>
        <v/>
      </c>
      <c r="F781">
        <f>IF($P781="","",INDEX(명단표[연차],$P781)&amp;"")</f>
        <v/>
      </c>
      <c r="G781">
        <f>IF($P781="","",INDEX(명단표[소속병원],$P781))</f>
        <v/>
      </c>
      <c r="H781">
        <f>IF($P781="","",IF(INDEX(명단표[소속병원],$P781)="서울병원","서울 소속","타 병원 소속("&amp;INDEX(명단표[소속병원],$P781)&amp;") → 서울 지급"))</f>
        <v/>
      </c>
      <c r="I781">
        <f>IF($P781="","",INDEX(명단표[현재 근무병원],$P781))</f>
        <v/>
      </c>
      <c r="J781">
        <f>IF($P781="","",INDEX(명단표[구리 근무 시작일(기준월)],$P781)&amp;"")</f>
        <v/>
      </c>
      <c r="K781">
        <f>IF($P781="","",INDEX(명단표[구리 근무 종료일(기준월)],$P781)&amp;"")</f>
        <v/>
      </c>
      <c r="L781">
        <f>IF($P781="","",INDEX(명단표[서울 근무일(기준월)],$P781))</f>
        <v/>
      </c>
      <c r="M781">
        <f>IF($P781="","",INDEX(명단표[구리 근무일(기준월)],$P781))</f>
        <v/>
      </c>
      <c r="N781">
        <f>IF($P781="","",INDEX(명단표[급여 판정 근거],$P781))</f>
        <v/>
      </c>
      <c r="O781">
        <f>IF($P781="","",INDEX(명단표[점검],$P781))</f>
        <v/>
      </c>
      <c r="P781" s="17">
        <f>IFERROR(MATCH(776,명단표[서울순번],0),"")</f>
        <v/>
      </c>
      <c r="R781">
        <f>IF($W781="","",INDEX(명단표[이름],$W781))</f>
        <v/>
      </c>
      <c r="S781">
        <f>IF($W781="","",INDEX(명단표[사번],$W781)&amp;"")</f>
        <v/>
      </c>
      <c r="T781">
        <f>IF($W781="","",INDEX(명단표[소속병원],$W781))</f>
        <v/>
      </c>
      <c r="U781">
        <f>IF($W781="","",INDEX(명단표[서울 근무일(기준월)],$W781))</f>
        <v/>
      </c>
      <c r="V781">
        <f>IF($W781="","",INDEX(명단표[구리 근무일(기준월)],$W781))</f>
        <v/>
      </c>
      <c r="W781" s="17">
        <f>IFERROR(MATCH(776,명단표[판정불가순번],0),"")</f>
        <v/>
      </c>
    </row>
    <row r="782">
      <c r="A782">
        <f>IF($P782="","",777)</f>
        <v/>
      </c>
      <c r="B782">
        <f>IF($P782="","",INDEX(명단표[이름],$P782))</f>
        <v/>
      </c>
      <c r="C782">
        <f>IF($P782="","",INDEX(명단표[사번],$P782)&amp;"")</f>
        <v/>
      </c>
      <c r="D782">
        <f>IF($P782="","",INDEX(명단표[전공의등록번호],$P782)&amp;"")</f>
        <v/>
      </c>
      <c r="E782">
        <f>IF($P782="","",INDEX(명단표[수련과목],$P782)&amp;"")</f>
        <v/>
      </c>
      <c r="F782">
        <f>IF($P782="","",INDEX(명단표[연차],$P782)&amp;"")</f>
        <v/>
      </c>
      <c r="G782">
        <f>IF($P782="","",INDEX(명단표[소속병원],$P782))</f>
        <v/>
      </c>
      <c r="H782">
        <f>IF($P782="","",IF(INDEX(명단표[소속병원],$P782)="서울병원","서울 소속","타 병원 소속("&amp;INDEX(명단표[소속병원],$P782)&amp;") → 서울 지급"))</f>
        <v/>
      </c>
      <c r="I782">
        <f>IF($P782="","",INDEX(명단표[현재 근무병원],$P782))</f>
        <v/>
      </c>
      <c r="J782">
        <f>IF($P782="","",INDEX(명단표[구리 근무 시작일(기준월)],$P782)&amp;"")</f>
        <v/>
      </c>
      <c r="K782">
        <f>IF($P782="","",INDEX(명단표[구리 근무 종료일(기준월)],$P782)&amp;"")</f>
        <v/>
      </c>
      <c r="L782">
        <f>IF($P782="","",INDEX(명단표[서울 근무일(기준월)],$P782))</f>
        <v/>
      </c>
      <c r="M782">
        <f>IF($P782="","",INDEX(명단표[구리 근무일(기준월)],$P782))</f>
        <v/>
      </c>
      <c r="N782">
        <f>IF($P782="","",INDEX(명단표[급여 판정 근거],$P782))</f>
        <v/>
      </c>
      <c r="O782">
        <f>IF($P782="","",INDEX(명단표[점검],$P782))</f>
        <v/>
      </c>
      <c r="P782" s="17">
        <f>IFERROR(MATCH(777,명단표[서울순번],0),"")</f>
        <v/>
      </c>
      <c r="R782">
        <f>IF($W782="","",INDEX(명단표[이름],$W782))</f>
        <v/>
      </c>
      <c r="S782">
        <f>IF($W782="","",INDEX(명단표[사번],$W782)&amp;"")</f>
        <v/>
      </c>
      <c r="T782">
        <f>IF($W782="","",INDEX(명단표[소속병원],$W782))</f>
        <v/>
      </c>
      <c r="U782">
        <f>IF($W782="","",INDEX(명단표[서울 근무일(기준월)],$W782))</f>
        <v/>
      </c>
      <c r="V782">
        <f>IF($W782="","",INDEX(명단표[구리 근무일(기준월)],$W782))</f>
        <v/>
      </c>
      <c r="W782" s="17">
        <f>IFERROR(MATCH(777,명단표[판정불가순번],0),"")</f>
        <v/>
      </c>
    </row>
    <row r="783">
      <c r="A783">
        <f>IF($P783="","",778)</f>
        <v/>
      </c>
      <c r="B783">
        <f>IF($P783="","",INDEX(명단표[이름],$P783))</f>
        <v/>
      </c>
      <c r="C783">
        <f>IF($P783="","",INDEX(명단표[사번],$P783)&amp;"")</f>
        <v/>
      </c>
      <c r="D783">
        <f>IF($P783="","",INDEX(명단표[전공의등록번호],$P783)&amp;"")</f>
        <v/>
      </c>
      <c r="E783">
        <f>IF($P783="","",INDEX(명단표[수련과목],$P783)&amp;"")</f>
        <v/>
      </c>
      <c r="F783">
        <f>IF($P783="","",INDEX(명단표[연차],$P783)&amp;"")</f>
        <v/>
      </c>
      <c r="G783">
        <f>IF($P783="","",INDEX(명단표[소속병원],$P783))</f>
        <v/>
      </c>
      <c r="H783">
        <f>IF($P783="","",IF(INDEX(명단표[소속병원],$P783)="서울병원","서울 소속","타 병원 소속("&amp;INDEX(명단표[소속병원],$P783)&amp;") → 서울 지급"))</f>
        <v/>
      </c>
      <c r="I783">
        <f>IF($P783="","",INDEX(명단표[현재 근무병원],$P783))</f>
        <v/>
      </c>
      <c r="J783">
        <f>IF($P783="","",INDEX(명단표[구리 근무 시작일(기준월)],$P783)&amp;"")</f>
        <v/>
      </c>
      <c r="K783">
        <f>IF($P783="","",INDEX(명단표[구리 근무 종료일(기준월)],$P783)&amp;"")</f>
        <v/>
      </c>
      <c r="L783">
        <f>IF($P783="","",INDEX(명단표[서울 근무일(기준월)],$P783))</f>
        <v/>
      </c>
      <c r="M783">
        <f>IF($P783="","",INDEX(명단표[구리 근무일(기준월)],$P783))</f>
        <v/>
      </c>
      <c r="N783">
        <f>IF($P783="","",INDEX(명단표[급여 판정 근거],$P783))</f>
        <v/>
      </c>
      <c r="O783">
        <f>IF($P783="","",INDEX(명단표[점검],$P783))</f>
        <v/>
      </c>
      <c r="P783" s="17">
        <f>IFERROR(MATCH(778,명단표[서울순번],0),"")</f>
        <v/>
      </c>
      <c r="R783">
        <f>IF($W783="","",INDEX(명단표[이름],$W783))</f>
        <v/>
      </c>
      <c r="S783">
        <f>IF($W783="","",INDEX(명단표[사번],$W783)&amp;"")</f>
        <v/>
      </c>
      <c r="T783">
        <f>IF($W783="","",INDEX(명단표[소속병원],$W783))</f>
        <v/>
      </c>
      <c r="U783">
        <f>IF($W783="","",INDEX(명단표[서울 근무일(기준월)],$W783))</f>
        <v/>
      </c>
      <c r="V783">
        <f>IF($W783="","",INDEX(명단표[구리 근무일(기준월)],$W783))</f>
        <v/>
      </c>
      <c r="W783" s="17">
        <f>IFERROR(MATCH(778,명단표[판정불가순번],0),"")</f>
        <v/>
      </c>
    </row>
    <row r="784">
      <c r="A784">
        <f>IF($P784="","",779)</f>
        <v/>
      </c>
      <c r="B784">
        <f>IF($P784="","",INDEX(명단표[이름],$P784))</f>
        <v/>
      </c>
      <c r="C784">
        <f>IF($P784="","",INDEX(명단표[사번],$P784)&amp;"")</f>
        <v/>
      </c>
      <c r="D784">
        <f>IF($P784="","",INDEX(명단표[전공의등록번호],$P784)&amp;"")</f>
        <v/>
      </c>
      <c r="E784">
        <f>IF($P784="","",INDEX(명단표[수련과목],$P784)&amp;"")</f>
        <v/>
      </c>
      <c r="F784">
        <f>IF($P784="","",INDEX(명단표[연차],$P784)&amp;"")</f>
        <v/>
      </c>
      <c r="G784">
        <f>IF($P784="","",INDEX(명단표[소속병원],$P784))</f>
        <v/>
      </c>
      <c r="H784">
        <f>IF($P784="","",IF(INDEX(명단표[소속병원],$P784)="서울병원","서울 소속","타 병원 소속("&amp;INDEX(명단표[소속병원],$P784)&amp;") → 서울 지급"))</f>
        <v/>
      </c>
      <c r="I784">
        <f>IF($P784="","",INDEX(명단표[현재 근무병원],$P784))</f>
        <v/>
      </c>
      <c r="J784">
        <f>IF($P784="","",INDEX(명단표[구리 근무 시작일(기준월)],$P784)&amp;"")</f>
        <v/>
      </c>
      <c r="K784">
        <f>IF($P784="","",INDEX(명단표[구리 근무 종료일(기준월)],$P784)&amp;"")</f>
        <v/>
      </c>
      <c r="L784">
        <f>IF($P784="","",INDEX(명단표[서울 근무일(기준월)],$P784))</f>
        <v/>
      </c>
      <c r="M784">
        <f>IF($P784="","",INDEX(명단표[구리 근무일(기준월)],$P784))</f>
        <v/>
      </c>
      <c r="N784">
        <f>IF($P784="","",INDEX(명단표[급여 판정 근거],$P784))</f>
        <v/>
      </c>
      <c r="O784">
        <f>IF($P784="","",INDEX(명단표[점검],$P784))</f>
        <v/>
      </c>
      <c r="P784" s="17">
        <f>IFERROR(MATCH(779,명단표[서울순번],0),"")</f>
        <v/>
      </c>
      <c r="R784">
        <f>IF($W784="","",INDEX(명단표[이름],$W784))</f>
        <v/>
      </c>
      <c r="S784">
        <f>IF($W784="","",INDEX(명단표[사번],$W784)&amp;"")</f>
        <v/>
      </c>
      <c r="T784">
        <f>IF($W784="","",INDEX(명단표[소속병원],$W784))</f>
        <v/>
      </c>
      <c r="U784">
        <f>IF($W784="","",INDEX(명단표[서울 근무일(기준월)],$W784))</f>
        <v/>
      </c>
      <c r="V784">
        <f>IF($W784="","",INDEX(명단표[구리 근무일(기준월)],$W784))</f>
        <v/>
      </c>
      <c r="W784" s="17">
        <f>IFERROR(MATCH(779,명단표[판정불가순번],0),"")</f>
        <v/>
      </c>
    </row>
    <row r="785">
      <c r="A785">
        <f>IF($P785="","",780)</f>
        <v/>
      </c>
      <c r="B785">
        <f>IF($P785="","",INDEX(명단표[이름],$P785))</f>
        <v/>
      </c>
      <c r="C785">
        <f>IF($P785="","",INDEX(명단표[사번],$P785)&amp;"")</f>
        <v/>
      </c>
      <c r="D785">
        <f>IF($P785="","",INDEX(명단표[전공의등록번호],$P785)&amp;"")</f>
        <v/>
      </c>
      <c r="E785">
        <f>IF($P785="","",INDEX(명단표[수련과목],$P785)&amp;"")</f>
        <v/>
      </c>
      <c r="F785">
        <f>IF($P785="","",INDEX(명단표[연차],$P785)&amp;"")</f>
        <v/>
      </c>
      <c r="G785">
        <f>IF($P785="","",INDEX(명단표[소속병원],$P785))</f>
        <v/>
      </c>
      <c r="H785">
        <f>IF($P785="","",IF(INDEX(명단표[소속병원],$P785)="서울병원","서울 소속","타 병원 소속("&amp;INDEX(명단표[소속병원],$P785)&amp;") → 서울 지급"))</f>
        <v/>
      </c>
      <c r="I785">
        <f>IF($P785="","",INDEX(명단표[현재 근무병원],$P785))</f>
        <v/>
      </c>
      <c r="J785">
        <f>IF($P785="","",INDEX(명단표[구리 근무 시작일(기준월)],$P785)&amp;"")</f>
        <v/>
      </c>
      <c r="K785">
        <f>IF($P785="","",INDEX(명단표[구리 근무 종료일(기준월)],$P785)&amp;"")</f>
        <v/>
      </c>
      <c r="L785">
        <f>IF($P785="","",INDEX(명단표[서울 근무일(기준월)],$P785))</f>
        <v/>
      </c>
      <c r="M785">
        <f>IF($P785="","",INDEX(명단표[구리 근무일(기준월)],$P785))</f>
        <v/>
      </c>
      <c r="N785">
        <f>IF($P785="","",INDEX(명단표[급여 판정 근거],$P785))</f>
        <v/>
      </c>
      <c r="O785">
        <f>IF($P785="","",INDEX(명단표[점검],$P785))</f>
        <v/>
      </c>
      <c r="P785" s="17">
        <f>IFERROR(MATCH(780,명단표[서울순번],0),"")</f>
        <v/>
      </c>
      <c r="R785">
        <f>IF($W785="","",INDEX(명단표[이름],$W785))</f>
        <v/>
      </c>
      <c r="S785">
        <f>IF($W785="","",INDEX(명단표[사번],$W785)&amp;"")</f>
        <v/>
      </c>
      <c r="T785">
        <f>IF($W785="","",INDEX(명단표[소속병원],$W785))</f>
        <v/>
      </c>
      <c r="U785">
        <f>IF($W785="","",INDEX(명단표[서울 근무일(기준월)],$W785))</f>
        <v/>
      </c>
      <c r="V785">
        <f>IF($W785="","",INDEX(명단표[구리 근무일(기준월)],$W785))</f>
        <v/>
      </c>
      <c r="W785" s="17">
        <f>IFERROR(MATCH(780,명단표[판정불가순번],0),"")</f>
        <v/>
      </c>
    </row>
    <row r="786">
      <c r="A786">
        <f>IF($P786="","",781)</f>
        <v/>
      </c>
      <c r="B786">
        <f>IF($P786="","",INDEX(명단표[이름],$P786))</f>
        <v/>
      </c>
      <c r="C786">
        <f>IF($P786="","",INDEX(명단표[사번],$P786)&amp;"")</f>
        <v/>
      </c>
      <c r="D786">
        <f>IF($P786="","",INDEX(명단표[전공의등록번호],$P786)&amp;"")</f>
        <v/>
      </c>
      <c r="E786">
        <f>IF($P786="","",INDEX(명단표[수련과목],$P786)&amp;"")</f>
        <v/>
      </c>
      <c r="F786">
        <f>IF($P786="","",INDEX(명단표[연차],$P786)&amp;"")</f>
        <v/>
      </c>
      <c r="G786">
        <f>IF($P786="","",INDEX(명단표[소속병원],$P786))</f>
        <v/>
      </c>
      <c r="H786">
        <f>IF($P786="","",IF(INDEX(명단표[소속병원],$P786)="서울병원","서울 소속","타 병원 소속("&amp;INDEX(명단표[소속병원],$P786)&amp;") → 서울 지급"))</f>
        <v/>
      </c>
      <c r="I786">
        <f>IF($P786="","",INDEX(명단표[현재 근무병원],$P786))</f>
        <v/>
      </c>
      <c r="J786">
        <f>IF($P786="","",INDEX(명단표[구리 근무 시작일(기준월)],$P786)&amp;"")</f>
        <v/>
      </c>
      <c r="K786">
        <f>IF($P786="","",INDEX(명단표[구리 근무 종료일(기준월)],$P786)&amp;"")</f>
        <v/>
      </c>
      <c r="L786">
        <f>IF($P786="","",INDEX(명단표[서울 근무일(기준월)],$P786))</f>
        <v/>
      </c>
      <c r="M786">
        <f>IF($P786="","",INDEX(명단표[구리 근무일(기준월)],$P786))</f>
        <v/>
      </c>
      <c r="N786">
        <f>IF($P786="","",INDEX(명단표[급여 판정 근거],$P786))</f>
        <v/>
      </c>
      <c r="O786">
        <f>IF($P786="","",INDEX(명단표[점검],$P786))</f>
        <v/>
      </c>
      <c r="P786" s="17">
        <f>IFERROR(MATCH(781,명단표[서울순번],0),"")</f>
        <v/>
      </c>
      <c r="R786">
        <f>IF($W786="","",INDEX(명단표[이름],$W786))</f>
        <v/>
      </c>
      <c r="S786">
        <f>IF($W786="","",INDEX(명단표[사번],$W786)&amp;"")</f>
        <v/>
      </c>
      <c r="T786">
        <f>IF($W786="","",INDEX(명단표[소속병원],$W786))</f>
        <v/>
      </c>
      <c r="U786">
        <f>IF($W786="","",INDEX(명단표[서울 근무일(기준월)],$W786))</f>
        <v/>
      </c>
      <c r="V786">
        <f>IF($W786="","",INDEX(명단표[구리 근무일(기준월)],$W786))</f>
        <v/>
      </c>
      <c r="W786" s="17">
        <f>IFERROR(MATCH(781,명단표[판정불가순번],0),"")</f>
        <v/>
      </c>
    </row>
    <row r="787">
      <c r="A787">
        <f>IF($P787="","",782)</f>
        <v/>
      </c>
      <c r="B787">
        <f>IF($P787="","",INDEX(명단표[이름],$P787))</f>
        <v/>
      </c>
      <c r="C787">
        <f>IF($P787="","",INDEX(명단표[사번],$P787)&amp;"")</f>
        <v/>
      </c>
      <c r="D787">
        <f>IF($P787="","",INDEX(명단표[전공의등록번호],$P787)&amp;"")</f>
        <v/>
      </c>
      <c r="E787">
        <f>IF($P787="","",INDEX(명단표[수련과목],$P787)&amp;"")</f>
        <v/>
      </c>
      <c r="F787">
        <f>IF($P787="","",INDEX(명단표[연차],$P787)&amp;"")</f>
        <v/>
      </c>
      <c r="G787">
        <f>IF($P787="","",INDEX(명단표[소속병원],$P787))</f>
        <v/>
      </c>
      <c r="H787">
        <f>IF($P787="","",IF(INDEX(명단표[소속병원],$P787)="서울병원","서울 소속","타 병원 소속("&amp;INDEX(명단표[소속병원],$P787)&amp;") → 서울 지급"))</f>
        <v/>
      </c>
      <c r="I787">
        <f>IF($P787="","",INDEX(명단표[현재 근무병원],$P787))</f>
        <v/>
      </c>
      <c r="J787">
        <f>IF($P787="","",INDEX(명단표[구리 근무 시작일(기준월)],$P787)&amp;"")</f>
        <v/>
      </c>
      <c r="K787">
        <f>IF($P787="","",INDEX(명단표[구리 근무 종료일(기준월)],$P787)&amp;"")</f>
        <v/>
      </c>
      <c r="L787">
        <f>IF($P787="","",INDEX(명단표[서울 근무일(기준월)],$P787))</f>
        <v/>
      </c>
      <c r="M787">
        <f>IF($P787="","",INDEX(명단표[구리 근무일(기준월)],$P787))</f>
        <v/>
      </c>
      <c r="N787">
        <f>IF($P787="","",INDEX(명단표[급여 판정 근거],$P787))</f>
        <v/>
      </c>
      <c r="O787">
        <f>IF($P787="","",INDEX(명단표[점검],$P787))</f>
        <v/>
      </c>
      <c r="P787" s="17">
        <f>IFERROR(MATCH(782,명단표[서울순번],0),"")</f>
        <v/>
      </c>
      <c r="R787">
        <f>IF($W787="","",INDEX(명단표[이름],$W787))</f>
        <v/>
      </c>
      <c r="S787">
        <f>IF($W787="","",INDEX(명단표[사번],$W787)&amp;"")</f>
        <v/>
      </c>
      <c r="T787">
        <f>IF($W787="","",INDEX(명단표[소속병원],$W787))</f>
        <v/>
      </c>
      <c r="U787">
        <f>IF($W787="","",INDEX(명단표[서울 근무일(기준월)],$W787))</f>
        <v/>
      </c>
      <c r="V787">
        <f>IF($W787="","",INDEX(명단표[구리 근무일(기준월)],$W787))</f>
        <v/>
      </c>
      <c r="W787" s="17">
        <f>IFERROR(MATCH(782,명단표[판정불가순번],0),"")</f>
        <v/>
      </c>
    </row>
    <row r="788">
      <c r="A788">
        <f>IF($P788="","",783)</f>
        <v/>
      </c>
      <c r="B788">
        <f>IF($P788="","",INDEX(명단표[이름],$P788))</f>
        <v/>
      </c>
      <c r="C788">
        <f>IF($P788="","",INDEX(명단표[사번],$P788)&amp;"")</f>
        <v/>
      </c>
      <c r="D788">
        <f>IF($P788="","",INDEX(명단표[전공의등록번호],$P788)&amp;"")</f>
        <v/>
      </c>
      <c r="E788">
        <f>IF($P788="","",INDEX(명단표[수련과목],$P788)&amp;"")</f>
        <v/>
      </c>
      <c r="F788">
        <f>IF($P788="","",INDEX(명단표[연차],$P788)&amp;"")</f>
        <v/>
      </c>
      <c r="G788">
        <f>IF($P788="","",INDEX(명단표[소속병원],$P788))</f>
        <v/>
      </c>
      <c r="H788">
        <f>IF($P788="","",IF(INDEX(명단표[소속병원],$P788)="서울병원","서울 소속","타 병원 소속("&amp;INDEX(명단표[소속병원],$P788)&amp;") → 서울 지급"))</f>
        <v/>
      </c>
      <c r="I788">
        <f>IF($P788="","",INDEX(명단표[현재 근무병원],$P788))</f>
        <v/>
      </c>
      <c r="J788">
        <f>IF($P788="","",INDEX(명단표[구리 근무 시작일(기준월)],$P788)&amp;"")</f>
        <v/>
      </c>
      <c r="K788">
        <f>IF($P788="","",INDEX(명단표[구리 근무 종료일(기준월)],$P788)&amp;"")</f>
        <v/>
      </c>
      <c r="L788">
        <f>IF($P788="","",INDEX(명단표[서울 근무일(기준월)],$P788))</f>
        <v/>
      </c>
      <c r="M788">
        <f>IF($P788="","",INDEX(명단표[구리 근무일(기준월)],$P788))</f>
        <v/>
      </c>
      <c r="N788">
        <f>IF($P788="","",INDEX(명단표[급여 판정 근거],$P788))</f>
        <v/>
      </c>
      <c r="O788">
        <f>IF($P788="","",INDEX(명단표[점검],$P788))</f>
        <v/>
      </c>
      <c r="P788" s="17">
        <f>IFERROR(MATCH(783,명단표[서울순번],0),"")</f>
        <v/>
      </c>
      <c r="R788">
        <f>IF($W788="","",INDEX(명단표[이름],$W788))</f>
        <v/>
      </c>
      <c r="S788">
        <f>IF($W788="","",INDEX(명단표[사번],$W788)&amp;"")</f>
        <v/>
      </c>
      <c r="T788">
        <f>IF($W788="","",INDEX(명단표[소속병원],$W788))</f>
        <v/>
      </c>
      <c r="U788">
        <f>IF($W788="","",INDEX(명단표[서울 근무일(기준월)],$W788))</f>
        <v/>
      </c>
      <c r="V788">
        <f>IF($W788="","",INDEX(명단표[구리 근무일(기준월)],$W788))</f>
        <v/>
      </c>
      <c r="W788" s="17">
        <f>IFERROR(MATCH(783,명단표[판정불가순번],0),"")</f>
        <v/>
      </c>
    </row>
    <row r="789">
      <c r="A789">
        <f>IF($P789="","",784)</f>
        <v/>
      </c>
      <c r="B789">
        <f>IF($P789="","",INDEX(명단표[이름],$P789))</f>
        <v/>
      </c>
      <c r="C789">
        <f>IF($P789="","",INDEX(명단표[사번],$P789)&amp;"")</f>
        <v/>
      </c>
      <c r="D789">
        <f>IF($P789="","",INDEX(명단표[전공의등록번호],$P789)&amp;"")</f>
        <v/>
      </c>
      <c r="E789">
        <f>IF($P789="","",INDEX(명단표[수련과목],$P789)&amp;"")</f>
        <v/>
      </c>
      <c r="F789">
        <f>IF($P789="","",INDEX(명단표[연차],$P789)&amp;"")</f>
        <v/>
      </c>
      <c r="G789">
        <f>IF($P789="","",INDEX(명단표[소속병원],$P789))</f>
        <v/>
      </c>
      <c r="H789">
        <f>IF($P789="","",IF(INDEX(명단표[소속병원],$P789)="서울병원","서울 소속","타 병원 소속("&amp;INDEX(명단표[소속병원],$P789)&amp;") → 서울 지급"))</f>
        <v/>
      </c>
      <c r="I789">
        <f>IF($P789="","",INDEX(명단표[현재 근무병원],$P789))</f>
        <v/>
      </c>
      <c r="J789">
        <f>IF($P789="","",INDEX(명단표[구리 근무 시작일(기준월)],$P789)&amp;"")</f>
        <v/>
      </c>
      <c r="K789">
        <f>IF($P789="","",INDEX(명단표[구리 근무 종료일(기준월)],$P789)&amp;"")</f>
        <v/>
      </c>
      <c r="L789">
        <f>IF($P789="","",INDEX(명단표[서울 근무일(기준월)],$P789))</f>
        <v/>
      </c>
      <c r="M789">
        <f>IF($P789="","",INDEX(명단표[구리 근무일(기준월)],$P789))</f>
        <v/>
      </c>
      <c r="N789">
        <f>IF($P789="","",INDEX(명단표[급여 판정 근거],$P789))</f>
        <v/>
      </c>
      <c r="O789">
        <f>IF($P789="","",INDEX(명단표[점검],$P789))</f>
        <v/>
      </c>
      <c r="P789" s="17">
        <f>IFERROR(MATCH(784,명단표[서울순번],0),"")</f>
        <v/>
      </c>
      <c r="R789">
        <f>IF($W789="","",INDEX(명단표[이름],$W789))</f>
        <v/>
      </c>
      <c r="S789">
        <f>IF($W789="","",INDEX(명단표[사번],$W789)&amp;"")</f>
        <v/>
      </c>
      <c r="T789">
        <f>IF($W789="","",INDEX(명단표[소속병원],$W789))</f>
        <v/>
      </c>
      <c r="U789">
        <f>IF($W789="","",INDEX(명단표[서울 근무일(기준월)],$W789))</f>
        <v/>
      </c>
      <c r="V789">
        <f>IF($W789="","",INDEX(명단표[구리 근무일(기준월)],$W789))</f>
        <v/>
      </c>
      <c r="W789" s="17">
        <f>IFERROR(MATCH(784,명단표[판정불가순번],0),"")</f>
        <v/>
      </c>
    </row>
    <row r="790">
      <c r="A790">
        <f>IF($P790="","",785)</f>
        <v/>
      </c>
      <c r="B790">
        <f>IF($P790="","",INDEX(명단표[이름],$P790))</f>
        <v/>
      </c>
      <c r="C790">
        <f>IF($P790="","",INDEX(명단표[사번],$P790)&amp;"")</f>
        <v/>
      </c>
      <c r="D790">
        <f>IF($P790="","",INDEX(명단표[전공의등록번호],$P790)&amp;"")</f>
        <v/>
      </c>
      <c r="E790">
        <f>IF($P790="","",INDEX(명단표[수련과목],$P790)&amp;"")</f>
        <v/>
      </c>
      <c r="F790">
        <f>IF($P790="","",INDEX(명단표[연차],$P790)&amp;"")</f>
        <v/>
      </c>
      <c r="G790">
        <f>IF($P790="","",INDEX(명단표[소속병원],$P790))</f>
        <v/>
      </c>
      <c r="H790">
        <f>IF($P790="","",IF(INDEX(명단표[소속병원],$P790)="서울병원","서울 소속","타 병원 소속("&amp;INDEX(명단표[소속병원],$P790)&amp;") → 서울 지급"))</f>
        <v/>
      </c>
      <c r="I790">
        <f>IF($P790="","",INDEX(명단표[현재 근무병원],$P790))</f>
        <v/>
      </c>
      <c r="J790">
        <f>IF($P790="","",INDEX(명단표[구리 근무 시작일(기준월)],$P790)&amp;"")</f>
        <v/>
      </c>
      <c r="K790">
        <f>IF($P790="","",INDEX(명단표[구리 근무 종료일(기준월)],$P790)&amp;"")</f>
        <v/>
      </c>
      <c r="L790">
        <f>IF($P790="","",INDEX(명단표[서울 근무일(기준월)],$P790))</f>
        <v/>
      </c>
      <c r="M790">
        <f>IF($P790="","",INDEX(명단표[구리 근무일(기준월)],$P790))</f>
        <v/>
      </c>
      <c r="N790">
        <f>IF($P790="","",INDEX(명단표[급여 판정 근거],$P790))</f>
        <v/>
      </c>
      <c r="O790">
        <f>IF($P790="","",INDEX(명단표[점검],$P790))</f>
        <v/>
      </c>
      <c r="P790" s="17">
        <f>IFERROR(MATCH(785,명단표[서울순번],0),"")</f>
        <v/>
      </c>
      <c r="R790">
        <f>IF($W790="","",INDEX(명단표[이름],$W790))</f>
        <v/>
      </c>
      <c r="S790">
        <f>IF($W790="","",INDEX(명단표[사번],$W790)&amp;"")</f>
        <v/>
      </c>
      <c r="T790">
        <f>IF($W790="","",INDEX(명단표[소속병원],$W790))</f>
        <v/>
      </c>
      <c r="U790">
        <f>IF($W790="","",INDEX(명단표[서울 근무일(기준월)],$W790))</f>
        <v/>
      </c>
      <c r="V790">
        <f>IF($W790="","",INDEX(명단표[구리 근무일(기준월)],$W790))</f>
        <v/>
      </c>
      <c r="W790" s="17">
        <f>IFERROR(MATCH(785,명단표[판정불가순번],0),"")</f>
        <v/>
      </c>
    </row>
    <row r="791">
      <c r="A791">
        <f>IF($P791="","",786)</f>
        <v/>
      </c>
      <c r="B791">
        <f>IF($P791="","",INDEX(명단표[이름],$P791))</f>
        <v/>
      </c>
      <c r="C791">
        <f>IF($P791="","",INDEX(명단표[사번],$P791)&amp;"")</f>
        <v/>
      </c>
      <c r="D791">
        <f>IF($P791="","",INDEX(명단표[전공의등록번호],$P791)&amp;"")</f>
        <v/>
      </c>
      <c r="E791">
        <f>IF($P791="","",INDEX(명단표[수련과목],$P791)&amp;"")</f>
        <v/>
      </c>
      <c r="F791">
        <f>IF($P791="","",INDEX(명단표[연차],$P791)&amp;"")</f>
        <v/>
      </c>
      <c r="G791">
        <f>IF($P791="","",INDEX(명단표[소속병원],$P791))</f>
        <v/>
      </c>
      <c r="H791">
        <f>IF($P791="","",IF(INDEX(명단표[소속병원],$P791)="서울병원","서울 소속","타 병원 소속("&amp;INDEX(명단표[소속병원],$P791)&amp;") → 서울 지급"))</f>
        <v/>
      </c>
      <c r="I791">
        <f>IF($P791="","",INDEX(명단표[현재 근무병원],$P791))</f>
        <v/>
      </c>
      <c r="J791">
        <f>IF($P791="","",INDEX(명단표[구리 근무 시작일(기준월)],$P791)&amp;"")</f>
        <v/>
      </c>
      <c r="K791">
        <f>IF($P791="","",INDEX(명단표[구리 근무 종료일(기준월)],$P791)&amp;"")</f>
        <v/>
      </c>
      <c r="L791">
        <f>IF($P791="","",INDEX(명단표[서울 근무일(기준월)],$P791))</f>
        <v/>
      </c>
      <c r="M791">
        <f>IF($P791="","",INDEX(명단표[구리 근무일(기준월)],$P791))</f>
        <v/>
      </c>
      <c r="N791">
        <f>IF($P791="","",INDEX(명단표[급여 판정 근거],$P791))</f>
        <v/>
      </c>
      <c r="O791">
        <f>IF($P791="","",INDEX(명단표[점검],$P791))</f>
        <v/>
      </c>
      <c r="P791" s="17">
        <f>IFERROR(MATCH(786,명단표[서울순번],0),"")</f>
        <v/>
      </c>
      <c r="R791">
        <f>IF($W791="","",INDEX(명단표[이름],$W791))</f>
        <v/>
      </c>
      <c r="S791">
        <f>IF($W791="","",INDEX(명단표[사번],$W791)&amp;"")</f>
        <v/>
      </c>
      <c r="T791">
        <f>IF($W791="","",INDEX(명단표[소속병원],$W791))</f>
        <v/>
      </c>
      <c r="U791">
        <f>IF($W791="","",INDEX(명단표[서울 근무일(기준월)],$W791))</f>
        <v/>
      </c>
      <c r="V791">
        <f>IF($W791="","",INDEX(명단표[구리 근무일(기준월)],$W791))</f>
        <v/>
      </c>
      <c r="W791" s="17">
        <f>IFERROR(MATCH(786,명단표[판정불가순번],0),"")</f>
        <v/>
      </c>
    </row>
    <row r="792">
      <c r="A792">
        <f>IF($P792="","",787)</f>
        <v/>
      </c>
      <c r="B792">
        <f>IF($P792="","",INDEX(명단표[이름],$P792))</f>
        <v/>
      </c>
      <c r="C792">
        <f>IF($P792="","",INDEX(명단표[사번],$P792)&amp;"")</f>
        <v/>
      </c>
      <c r="D792">
        <f>IF($P792="","",INDEX(명단표[전공의등록번호],$P792)&amp;"")</f>
        <v/>
      </c>
      <c r="E792">
        <f>IF($P792="","",INDEX(명단표[수련과목],$P792)&amp;"")</f>
        <v/>
      </c>
      <c r="F792">
        <f>IF($P792="","",INDEX(명단표[연차],$P792)&amp;"")</f>
        <v/>
      </c>
      <c r="G792">
        <f>IF($P792="","",INDEX(명단표[소속병원],$P792))</f>
        <v/>
      </c>
      <c r="H792">
        <f>IF($P792="","",IF(INDEX(명단표[소속병원],$P792)="서울병원","서울 소속","타 병원 소속("&amp;INDEX(명단표[소속병원],$P792)&amp;") → 서울 지급"))</f>
        <v/>
      </c>
      <c r="I792">
        <f>IF($P792="","",INDEX(명단표[현재 근무병원],$P792))</f>
        <v/>
      </c>
      <c r="J792">
        <f>IF($P792="","",INDEX(명단표[구리 근무 시작일(기준월)],$P792)&amp;"")</f>
        <v/>
      </c>
      <c r="K792">
        <f>IF($P792="","",INDEX(명단표[구리 근무 종료일(기준월)],$P792)&amp;"")</f>
        <v/>
      </c>
      <c r="L792">
        <f>IF($P792="","",INDEX(명단표[서울 근무일(기준월)],$P792))</f>
        <v/>
      </c>
      <c r="M792">
        <f>IF($P792="","",INDEX(명단표[구리 근무일(기준월)],$P792))</f>
        <v/>
      </c>
      <c r="N792">
        <f>IF($P792="","",INDEX(명단표[급여 판정 근거],$P792))</f>
        <v/>
      </c>
      <c r="O792">
        <f>IF($P792="","",INDEX(명단표[점검],$P792))</f>
        <v/>
      </c>
      <c r="P792" s="17">
        <f>IFERROR(MATCH(787,명단표[서울순번],0),"")</f>
        <v/>
      </c>
      <c r="R792">
        <f>IF($W792="","",INDEX(명단표[이름],$W792))</f>
        <v/>
      </c>
      <c r="S792">
        <f>IF($W792="","",INDEX(명단표[사번],$W792)&amp;"")</f>
        <v/>
      </c>
      <c r="T792">
        <f>IF($W792="","",INDEX(명단표[소속병원],$W792))</f>
        <v/>
      </c>
      <c r="U792">
        <f>IF($W792="","",INDEX(명단표[서울 근무일(기준월)],$W792))</f>
        <v/>
      </c>
      <c r="V792">
        <f>IF($W792="","",INDEX(명단표[구리 근무일(기준월)],$W792))</f>
        <v/>
      </c>
      <c r="W792" s="17">
        <f>IFERROR(MATCH(787,명단표[판정불가순번],0),"")</f>
        <v/>
      </c>
    </row>
    <row r="793">
      <c r="A793">
        <f>IF($P793="","",788)</f>
        <v/>
      </c>
      <c r="B793">
        <f>IF($P793="","",INDEX(명단표[이름],$P793))</f>
        <v/>
      </c>
      <c r="C793">
        <f>IF($P793="","",INDEX(명단표[사번],$P793)&amp;"")</f>
        <v/>
      </c>
      <c r="D793">
        <f>IF($P793="","",INDEX(명단표[전공의등록번호],$P793)&amp;"")</f>
        <v/>
      </c>
      <c r="E793">
        <f>IF($P793="","",INDEX(명단표[수련과목],$P793)&amp;"")</f>
        <v/>
      </c>
      <c r="F793">
        <f>IF($P793="","",INDEX(명단표[연차],$P793)&amp;"")</f>
        <v/>
      </c>
      <c r="G793">
        <f>IF($P793="","",INDEX(명단표[소속병원],$P793))</f>
        <v/>
      </c>
      <c r="H793">
        <f>IF($P793="","",IF(INDEX(명단표[소속병원],$P793)="서울병원","서울 소속","타 병원 소속("&amp;INDEX(명단표[소속병원],$P793)&amp;") → 서울 지급"))</f>
        <v/>
      </c>
      <c r="I793">
        <f>IF($P793="","",INDEX(명단표[현재 근무병원],$P793))</f>
        <v/>
      </c>
      <c r="J793">
        <f>IF($P793="","",INDEX(명단표[구리 근무 시작일(기준월)],$P793)&amp;"")</f>
        <v/>
      </c>
      <c r="K793">
        <f>IF($P793="","",INDEX(명단표[구리 근무 종료일(기준월)],$P793)&amp;"")</f>
        <v/>
      </c>
      <c r="L793">
        <f>IF($P793="","",INDEX(명단표[서울 근무일(기준월)],$P793))</f>
        <v/>
      </c>
      <c r="M793">
        <f>IF($P793="","",INDEX(명단표[구리 근무일(기준월)],$P793))</f>
        <v/>
      </c>
      <c r="N793">
        <f>IF($P793="","",INDEX(명단표[급여 판정 근거],$P793))</f>
        <v/>
      </c>
      <c r="O793">
        <f>IF($P793="","",INDEX(명단표[점검],$P793))</f>
        <v/>
      </c>
      <c r="P793" s="17">
        <f>IFERROR(MATCH(788,명단표[서울순번],0),"")</f>
        <v/>
      </c>
      <c r="R793">
        <f>IF($W793="","",INDEX(명단표[이름],$W793))</f>
        <v/>
      </c>
      <c r="S793">
        <f>IF($W793="","",INDEX(명단표[사번],$W793)&amp;"")</f>
        <v/>
      </c>
      <c r="T793">
        <f>IF($W793="","",INDEX(명단표[소속병원],$W793))</f>
        <v/>
      </c>
      <c r="U793">
        <f>IF($W793="","",INDEX(명단표[서울 근무일(기준월)],$W793))</f>
        <v/>
      </c>
      <c r="V793">
        <f>IF($W793="","",INDEX(명단표[구리 근무일(기준월)],$W793))</f>
        <v/>
      </c>
      <c r="W793" s="17">
        <f>IFERROR(MATCH(788,명단표[판정불가순번],0),"")</f>
        <v/>
      </c>
    </row>
    <row r="794">
      <c r="A794">
        <f>IF($P794="","",789)</f>
        <v/>
      </c>
      <c r="B794">
        <f>IF($P794="","",INDEX(명단표[이름],$P794))</f>
        <v/>
      </c>
      <c r="C794">
        <f>IF($P794="","",INDEX(명단표[사번],$P794)&amp;"")</f>
        <v/>
      </c>
      <c r="D794">
        <f>IF($P794="","",INDEX(명단표[전공의등록번호],$P794)&amp;"")</f>
        <v/>
      </c>
      <c r="E794">
        <f>IF($P794="","",INDEX(명단표[수련과목],$P794)&amp;"")</f>
        <v/>
      </c>
      <c r="F794">
        <f>IF($P794="","",INDEX(명단표[연차],$P794)&amp;"")</f>
        <v/>
      </c>
      <c r="G794">
        <f>IF($P794="","",INDEX(명단표[소속병원],$P794))</f>
        <v/>
      </c>
      <c r="H794">
        <f>IF($P794="","",IF(INDEX(명단표[소속병원],$P794)="서울병원","서울 소속","타 병원 소속("&amp;INDEX(명단표[소속병원],$P794)&amp;") → 서울 지급"))</f>
        <v/>
      </c>
      <c r="I794">
        <f>IF($P794="","",INDEX(명단표[현재 근무병원],$P794))</f>
        <v/>
      </c>
      <c r="J794">
        <f>IF($P794="","",INDEX(명단표[구리 근무 시작일(기준월)],$P794)&amp;"")</f>
        <v/>
      </c>
      <c r="K794">
        <f>IF($P794="","",INDEX(명단표[구리 근무 종료일(기준월)],$P794)&amp;"")</f>
        <v/>
      </c>
      <c r="L794">
        <f>IF($P794="","",INDEX(명단표[서울 근무일(기준월)],$P794))</f>
        <v/>
      </c>
      <c r="M794">
        <f>IF($P794="","",INDEX(명단표[구리 근무일(기준월)],$P794))</f>
        <v/>
      </c>
      <c r="N794">
        <f>IF($P794="","",INDEX(명단표[급여 판정 근거],$P794))</f>
        <v/>
      </c>
      <c r="O794">
        <f>IF($P794="","",INDEX(명단표[점검],$P794))</f>
        <v/>
      </c>
      <c r="P794" s="17">
        <f>IFERROR(MATCH(789,명단표[서울순번],0),"")</f>
        <v/>
      </c>
      <c r="R794">
        <f>IF($W794="","",INDEX(명단표[이름],$W794))</f>
        <v/>
      </c>
      <c r="S794">
        <f>IF($W794="","",INDEX(명단표[사번],$W794)&amp;"")</f>
        <v/>
      </c>
      <c r="T794">
        <f>IF($W794="","",INDEX(명단표[소속병원],$W794))</f>
        <v/>
      </c>
      <c r="U794">
        <f>IF($W794="","",INDEX(명단표[서울 근무일(기준월)],$W794))</f>
        <v/>
      </c>
      <c r="V794">
        <f>IF($W794="","",INDEX(명단표[구리 근무일(기준월)],$W794))</f>
        <v/>
      </c>
      <c r="W794" s="17">
        <f>IFERROR(MATCH(789,명단표[판정불가순번],0),"")</f>
        <v/>
      </c>
    </row>
    <row r="795">
      <c r="A795">
        <f>IF($P795="","",790)</f>
        <v/>
      </c>
      <c r="B795">
        <f>IF($P795="","",INDEX(명단표[이름],$P795))</f>
        <v/>
      </c>
      <c r="C795">
        <f>IF($P795="","",INDEX(명단표[사번],$P795)&amp;"")</f>
        <v/>
      </c>
      <c r="D795">
        <f>IF($P795="","",INDEX(명단표[전공의등록번호],$P795)&amp;"")</f>
        <v/>
      </c>
      <c r="E795">
        <f>IF($P795="","",INDEX(명단표[수련과목],$P795)&amp;"")</f>
        <v/>
      </c>
      <c r="F795">
        <f>IF($P795="","",INDEX(명단표[연차],$P795)&amp;"")</f>
        <v/>
      </c>
      <c r="G795">
        <f>IF($P795="","",INDEX(명단표[소속병원],$P795))</f>
        <v/>
      </c>
      <c r="H795">
        <f>IF($P795="","",IF(INDEX(명단표[소속병원],$P795)="서울병원","서울 소속","타 병원 소속("&amp;INDEX(명단표[소속병원],$P795)&amp;") → 서울 지급"))</f>
        <v/>
      </c>
      <c r="I795">
        <f>IF($P795="","",INDEX(명단표[현재 근무병원],$P795))</f>
        <v/>
      </c>
      <c r="J795">
        <f>IF($P795="","",INDEX(명단표[구리 근무 시작일(기준월)],$P795)&amp;"")</f>
        <v/>
      </c>
      <c r="K795">
        <f>IF($P795="","",INDEX(명단표[구리 근무 종료일(기준월)],$P795)&amp;"")</f>
        <v/>
      </c>
      <c r="L795">
        <f>IF($P795="","",INDEX(명단표[서울 근무일(기준월)],$P795))</f>
        <v/>
      </c>
      <c r="M795">
        <f>IF($P795="","",INDEX(명단표[구리 근무일(기준월)],$P795))</f>
        <v/>
      </c>
      <c r="N795">
        <f>IF($P795="","",INDEX(명단표[급여 판정 근거],$P795))</f>
        <v/>
      </c>
      <c r="O795">
        <f>IF($P795="","",INDEX(명단표[점검],$P795))</f>
        <v/>
      </c>
      <c r="P795" s="17">
        <f>IFERROR(MATCH(790,명단표[서울순번],0),"")</f>
        <v/>
      </c>
      <c r="R795">
        <f>IF($W795="","",INDEX(명단표[이름],$W795))</f>
        <v/>
      </c>
      <c r="S795">
        <f>IF($W795="","",INDEX(명단표[사번],$W795)&amp;"")</f>
        <v/>
      </c>
      <c r="T795">
        <f>IF($W795="","",INDEX(명단표[소속병원],$W795))</f>
        <v/>
      </c>
      <c r="U795">
        <f>IF($W795="","",INDEX(명단표[서울 근무일(기준월)],$W795))</f>
        <v/>
      </c>
      <c r="V795">
        <f>IF($W795="","",INDEX(명단표[구리 근무일(기준월)],$W795))</f>
        <v/>
      </c>
      <c r="W795" s="17">
        <f>IFERROR(MATCH(790,명단표[판정불가순번],0),"")</f>
        <v/>
      </c>
    </row>
    <row r="796">
      <c r="A796">
        <f>IF($P796="","",791)</f>
        <v/>
      </c>
      <c r="B796">
        <f>IF($P796="","",INDEX(명단표[이름],$P796))</f>
        <v/>
      </c>
      <c r="C796">
        <f>IF($P796="","",INDEX(명단표[사번],$P796)&amp;"")</f>
        <v/>
      </c>
      <c r="D796">
        <f>IF($P796="","",INDEX(명단표[전공의등록번호],$P796)&amp;"")</f>
        <v/>
      </c>
      <c r="E796">
        <f>IF($P796="","",INDEX(명단표[수련과목],$P796)&amp;"")</f>
        <v/>
      </c>
      <c r="F796">
        <f>IF($P796="","",INDEX(명단표[연차],$P796)&amp;"")</f>
        <v/>
      </c>
      <c r="G796">
        <f>IF($P796="","",INDEX(명단표[소속병원],$P796))</f>
        <v/>
      </c>
      <c r="H796">
        <f>IF($P796="","",IF(INDEX(명단표[소속병원],$P796)="서울병원","서울 소속","타 병원 소속("&amp;INDEX(명단표[소속병원],$P796)&amp;") → 서울 지급"))</f>
        <v/>
      </c>
      <c r="I796">
        <f>IF($P796="","",INDEX(명단표[현재 근무병원],$P796))</f>
        <v/>
      </c>
      <c r="J796">
        <f>IF($P796="","",INDEX(명단표[구리 근무 시작일(기준월)],$P796)&amp;"")</f>
        <v/>
      </c>
      <c r="K796">
        <f>IF($P796="","",INDEX(명단표[구리 근무 종료일(기준월)],$P796)&amp;"")</f>
        <v/>
      </c>
      <c r="L796">
        <f>IF($P796="","",INDEX(명단표[서울 근무일(기준월)],$P796))</f>
        <v/>
      </c>
      <c r="M796">
        <f>IF($P796="","",INDEX(명단표[구리 근무일(기준월)],$P796))</f>
        <v/>
      </c>
      <c r="N796">
        <f>IF($P796="","",INDEX(명단표[급여 판정 근거],$P796))</f>
        <v/>
      </c>
      <c r="O796">
        <f>IF($P796="","",INDEX(명단표[점검],$P796))</f>
        <v/>
      </c>
      <c r="P796" s="17">
        <f>IFERROR(MATCH(791,명단표[서울순번],0),"")</f>
        <v/>
      </c>
      <c r="R796">
        <f>IF($W796="","",INDEX(명단표[이름],$W796))</f>
        <v/>
      </c>
      <c r="S796">
        <f>IF($W796="","",INDEX(명단표[사번],$W796)&amp;"")</f>
        <v/>
      </c>
      <c r="T796">
        <f>IF($W796="","",INDEX(명단표[소속병원],$W796))</f>
        <v/>
      </c>
      <c r="U796">
        <f>IF($W796="","",INDEX(명단표[서울 근무일(기준월)],$W796))</f>
        <v/>
      </c>
      <c r="V796">
        <f>IF($W796="","",INDEX(명단표[구리 근무일(기준월)],$W796))</f>
        <v/>
      </c>
      <c r="W796" s="17">
        <f>IFERROR(MATCH(791,명단표[판정불가순번],0),"")</f>
        <v/>
      </c>
    </row>
    <row r="797">
      <c r="A797">
        <f>IF($P797="","",792)</f>
        <v/>
      </c>
      <c r="B797">
        <f>IF($P797="","",INDEX(명단표[이름],$P797))</f>
        <v/>
      </c>
      <c r="C797">
        <f>IF($P797="","",INDEX(명단표[사번],$P797)&amp;"")</f>
        <v/>
      </c>
      <c r="D797">
        <f>IF($P797="","",INDEX(명단표[전공의등록번호],$P797)&amp;"")</f>
        <v/>
      </c>
      <c r="E797">
        <f>IF($P797="","",INDEX(명단표[수련과목],$P797)&amp;"")</f>
        <v/>
      </c>
      <c r="F797">
        <f>IF($P797="","",INDEX(명단표[연차],$P797)&amp;"")</f>
        <v/>
      </c>
      <c r="G797">
        <f>IF($P797="","",INDEX(명단표[소속병원],$P797))</f>
        <v/>
      </c>
      <c r="H797">
        <f>IF($P797="","",IF(INDEX(명단표[소속병원],$P797)="서울병원","서울 소속","타 병원 소속("&amp;INDEX(명단표[소속병원],$P797)&amp;") → 서울 지급"))</f>
        <v/>
      </c>
      <c r="I797">
        <f>IF($P797="","",INDEX(명단표[현재 근무병원],$P797))</f>
        <v/>
      </c>
      <c r="J797">
        <f>IF($P797="","",INDEX(명단표[구리 근무 시작일(기준월)],$P797)&amp;"")</f>
        <v/>
      </c>
      <c r="K797">
        <f>IF($P797="","",INDEX(명단표[구리 근무 종료일(기준월)],$P797)&amp;"")</f>
        <v/>
      </c>
      <c r="L797">
        <f>IF($P797="","",INDEX(명단표[서울 근무일(기준월)],$P797))</f>
        <v/>
      </c>
      <c r="M797">
        <f>IF($P797="","",INDEX(명단표[구리 근무일(기준월)],$P797))</f>
        <v/>
      </c>
      <c r="N797">
        <f>IF($P797="","",INDEX(명단표[급여 판정 근거],$P797))</f>
        <v/>
      </c>
      <c r="O797">
        <f>IF($P797="","",INDEX(명단표[점검],$P797))</f>
        <v/>
      </c>
      <c r="P797" s="17">
        <f>IFERROR(MATCH(792,명단표[서울순번],0),"")</f>
        <v/>
      </c>
      <c r="R797">
        <f>IF($W797="","",INDEX(명단표[이름],$W797))</f>
        <v/>
      </c>
      <c r="S797">
        <f>IF($W797="","",INDEX(명단표[사번],$W797)&amp;"")</f>
        <v/>
      </c>
      <c r="T797">
        <f>IF($W797="","",INDEX(명단표[소속병원],$W797))</f>
        <v/>
      </c>
      <c r="U797">
        <f>IF($W797="","",INDEX(명단표[서울 근무일(기준월)],$W797))</f>
        <v/>
      </c>
      <c r="V797">
        <f>IF($W797="","",INDEX(명단표[구리 근무일(기준월)],$W797))</f>
        <v/>
      </c>
      <c r="W797" s="17">
        <f>IFERROR(MATCH(792,명단표[판정불가순번],0),"")</f>
        <v/>
      </c>
    </row>
    <row r="798">
      <c r="A798">
        <f>IF($P798="","",793)</f>
        <v/>
      </c>
      <c r="B798">
        <f>IF($P798="","",INDEX(명단표[이름],$P798))</f>
        <v/>
      </c>
      <c r="C798">
        <f>IF($P798="","",INDEX(명단표[사번],$P798)&amp;"")</f>
        <v/>
      </c>
      <c r="D798">
        <f>IF($P798="","",INDEX(명단표[전공의등록번호],$P798)&amp;"")</f>
        <v/>
      </c>
      <c r="E798">
        <f>IF($P798="","",INDEX(명단표[수련과목],$P798)&amp;"")</f>
        <v/>
      </c>
      <c r="F798">
        <f>IF($P798="","",INDEX(명단표[연차],$P798)&amp;"")</f>
        <v/>
      </c>
      <c r="G798">
        <f>IF($P798="","",INDEX(명단표[소속병원],$P798))</f>
        <v/>
      </c>
      <c r="H798">
        <f>IF($P798="","",IF(INDEX(명단표[소속병원],$P798)="서울병원","서울 소속","타 병원 소속("&amp;INDEX(명단표[소속병원],$P798)&amp;") → 서울 지급"))</f>
        <v/>
      </c>
      <c r="I798">
        <f>IF($P798="","",INDEX(명단표[현재 근무병원],$P798))</f>
        <v/>
      </c>
      <c r="J798">
        <f>IF($P798="","",INDEX(명단표[구리 근무 시작일(기준월)],$P798)&amp;"")</f>
        <v/>
      </c>
      <c r="K798">
        <f>IF($P798="","",INDEX(명단표[구리 근무 종료일(기준월)],$P798)&amp;"")</f>
        <v/>
      </c>
      <c r="L798">
        <f>IF($P798="","",INDEX(명단표[서울 근무일(기준월)],$P798))</f>
        <v/>
      </c>
      <c r="M798">
        <f>IF($P798="","",INDEX(명단표[구리 근무일(기준월)],$P798))</f>
        <v/>
      </c>
      <c r="N798">
        <f>IF($P798="","",INDEX(명단표[급여 판정 근거],$P798))</f>
        <v/>
      </c>
      <c r="O798">
        <f>IF($P798="","",INDEX(명단표[점검],$P798))</f>
        <v/>
      </c>
      <c r="P798" s="17">
        <f>IFERROR(MATCH(793,명단표[서울순번],0),"")</f>
        <v/>
      </c>
      <c r="R798">
        <f>IF($W798="","",INDEX(명단표[이름],$W798))</f>
        <v/>
      </c>
      <c r="S798">
        <f>IF($W798="","",INDEX(명단표[사번],$W798)&amp;"")</f>
        <v/>
      </c>
      <c r="T798">
        <f>IF($W798="","",INDEX(명단표[소속병원],$W798))</f>
        <v/>
      </c>
      <c r="U798">
        <f>IF($W798="","",INDEX(명단표[서울 근무일(기준월)],$W798))</f>
        <v/>
      </c>
      <c r="V798">
        <f>IF($W798="","",INDEX(명단표[구리 근무일(기준월)],$W798))</f>
        <v/>
      </c>
      <c r="W798" s="17">
        <f>IFERROR(MATCH(793,명단표[판정불가순번],0),"")</f>
        <v/>
      </c>
    </row>
    <row r="799">
      <c r="A799">
        <f>IF($P799="","",794)</f>
        <v/>
      </c>
      <c r="B799">
        <f>IF($P799="","",INDEX(명단표[이름],$P799))</f>
        <v/>
      </c>
      <c r="C799">
        <f>IF($P799="","",INDEX(명단표[사번],$P799)&amp;"")</f>
        <v/>
      </c>
      <c r="D799">
        <f>IF($P799="","",INDEX(명단표[전공의등록번호],$P799)&amp;"")</f>
        <v/>
      </c>
      <c r="E799">
        <f>IF($P799="","",INDEX(명단표[수련과목],$P799)&amp;"")</f>
        <v/>
      </c>
      <c r="F799">
        <f>IF($P799="","",INDEX(명단표[연차],$P799)&amp;"")</f>
        <v/>
      </c>
      <c r="G799">
        <f>IF($P799="","",INDEX(명단표[소속병원],$P799))</f>
        <v/>
      </c>
      <c r="H799">
        <f>IF($P799="","",IF(INDEX(명단표[소속병원],$P799)="서울병원","서울 소속","타 병원 소속("&amp;INDEX(명단표[소속병원],$P799)&amp;") → 서울 지급"))</f>
        <v/>
      </c>
      <c r="I799">
        <f>IF($P799="","",INDEX(명단표[현재 근무병원],$P799))</f>
        <v/>
      </c>
      <c r="J799">
        <f>IF($P799="","",INDEX(명단표[구리 근무 시작일(기준월)],$P799)&amp;"")</f>
        <v/>
      </c>
      <c r="K799">
        <f>IF($P799="","",INDEX(명단표[구리 근무 종료일(기준월)],$P799)&amp;"")</f>
        <v/>
      </c>
      <c r="L799">
        <f>IF($P799="","",INDEX(명단표[서울 근무일(기준월)],$P799))</f>
        <v/>
      </c>
      <c r="M799">
        <f>IF($P799="","",INDEX(명단표[구리 근무일(기준월)],$P799))</f>
        <v/>
      </c>
      <c r="N799">
        <f>IF($P799="","",INDEX(명단표[급여 판정 근거],$P799))</f>
        <v/>
      </c>
      <c r="O799">
        <f>IF($P799="","",INDEX(명단표[점검],$P799))</f>
        <v/>
      </c>
      <c r="P799" s="17">
        <f>IFERROR(MATCH(794,명단표[서울순번],0),"")</f>
        <v/>
      </c>
      <c r="R799">
        <f>IF($W799="","",INDEX(명단표[이름],$W799))</f>
        <v/>
      </c>
      <c r="S799">
        <f>IF($W799="","",INDEX(명단표[사번],$W799)&amp;"")</f>
        <v/>
      </c>
      <c r="T799">
        <f>IF($W799="","",INDEX(명단표[소속병원],$W799))</f>
        <v/>
      </c>
      <c r="U799">
        <f>IF($W799="","",INDEX(명단표[서울 근무일(기준월)],$W799))</f>
        <v/>
      </c>
      <c r="V799">
        <f>IF($W799="","",INDEX(명단표[구리 근무일(기준월)],$W799))</f>
        <v/>
      </c>
      <c r="W799" s="17">
        <f>IFERROR(MATCH(794,명단표[판정불가순번],0),"")</f>
        <v/>
      </c>
    </row>
    <row r="800">
      <c r="A800">
        <f>IF($P800="","",795)</f>
        <v/>
      </c>
      <c r="B800">
        <f>IF($P800="","",INDEX(명단표[이름],$P800))</f>
        <v/>
      </c>
      <c r="C800">
        <f>IF($P800="","",INDEX(명단표[사번],$P800)&amp;"")</f>
        <v/>
      </c>
      <c r="D800">
        <f>IF($P800="","",INDEX(명단표[전공의등록번호],$P800)&amp;"")</f>
        <v/>
      </c>
      <c r="E800">
        <f>IF($P800="","",INDEX(명단표[수련과목],$P800)&amp;"")</f>
        <v/>
      </c>
      <c r="F800">
        <f>IF($P800="","",INDEX(명단표[연차],$P800)&amp;"")</f>
        <v/>
      </c>
      <c r="G800">
        <f>IF($P800="","",INDEX(명단표[소속병원],$P800))</f>
        <v/>
      </c>
      <c r="H800">
        <f>IF($P800="","",IF(INDEX(명단표[소속병원],$P800)="서울병원","서울 소속","타 병원 소속("&amp;INDEX(명단표[소속병원],$P800)&amp;") → 서울 지급"))</f>
        <v/>
      </c>
      <c r="I800">
        <f>IF($P800="","",INDEX(명단표[현재 근무병원],$P800))</f>
        <v/>
      </c>
      <c r="J800">
        <f>IF($P800="","",INDEX(명단표[구리 근무 시작일(기준월)],$P800)&amp;"")</f>
        <v/>
      </c>
      <c r="K800">
        <f>IF($P800="","",INDEX(명단표[구리 근무 종료일(기준월)],$P800)&amp;"")</f>
        <v/>
      </c>
      <c r="L800">
        <f>IF($P800="","",INDEX(명단표[서울 근무일(기준월)],$P800))</f>
        <v/>
      </c>
      <c r="M800">
        <f>IF($P800="","",INDEX(명단표[구리 근무일(기준월)],$P800))</f>
        <v/>
      </c>
      <c r="N800">
        <f>IF($P800="","",INDEX(명단표[급여 판정 근거],$P800))</f>
        <v/>
      </c>
      <c r="O800">
        <f>IF($P800="","",INDEX(명단표[점검],$P800))</f>
        <v/>
      </c>
      <c r="P800" s="17">
        <f>IFERROR(MATCH(795,명단표[서울순번],0),"")</f>
        <v/>
      </c>
      <c r="R800">
        <f>IF($W800="","",INDEX(명단표[이름],$W800))</f>
        <v/>
      </c>
      <c r="S800">
        <f>IF($W800="","",INDEX(명단표[사번],$W800)&amp;"")</f>
        <v/>
      </c>
      <c r="T800">
        <f>IF($W800="","",INDEX(명단표[소속병원],$W800))</f>
        <v/>
      </c>
      <c r="U800">
        <f>IF($W800="","",INDEX(명단표[서울 근무일(기준월)],$W800))</f>
        <v/>
      </c>
      <c r="V800">
        <f>IF($W800="","",INDEX(명단표[구리 근무일(기준월)],$W800))</f>
        <v/>
      </c>
      <c r="W800" s="17">
        <f>IFERROR(MATCH(795,명단표[판정불가순번],0),"")</f>
        <v/>
      </c>
    </row>
    <row r="801">
      <c r="A801">
        <f>IF($P801="","",796)</f>
        <v/>
      </c>
      <c r="B801">
        <f>IF($P801="","",INDEX(명단표[이름],$P801))</f>
        <v/>
      </c>
      <c r="C801">
        <f>IF($P801="","",INDEX(명단표[사번],$P801)&amp;"")</f>
        <v/>
      </c>
      <c r="D801">
        <f>IF($P801="","",INDEX(명단표[전공의등록번호],$P801)&amp;"")</f>
        <v/>
      </c>
      <c r="E801">
        <f>IF($P801="","",INDEX(명단표[수련과목],$P801)&amp;"")</f>
        <v/>
      </c>
      <c r="F801">
        <f>IF($P801="","",INDEX(명단표[연차],$P801)&amp;"")</f>
        <v/>
      </c>
      <c r="G801">
        <f>IF($P801="","",INDEX(명단표[소속병원],$P801))</f>
        <v/>
      </c>
      <c r="H801">
        <f>IF($P801="","",IF(INDEX(명단표[소속병원],$P801)="서울병원","서울 소속","타 병원 소속("&amp;INDEX(명단표[소속병원],$P801)&amp;") → 서울 지급"))</f>
        <v/>
      </c>
      <c r="I801">
        <f>IF($P801="","",INDEX(명단표[현재 근무병원],$P801))</f>
        <v/>
      </c>
      <c r="J801">
        <f>IF($P801="","",INDEX(명단표[구리 근무 시작일(기준월)],$P801)&amp;"")</f>
        <v/>
      </c>
      <c r="K801">
        <f>IF($P801="","",INDEX(명단표[구리 근무 종료일(기준월)],$P801)&amp;"")</f>
        <v/>
      </c>
      <c r="L801">
        <f>IF($P801="","",INDEX(명단표[서울 근무일(기준월)],$P801))</f>
        <v/>
      </c>
      <c r="M801">
        <f>IF($P801="","",INDEX(명단표[구리 근무일(기준월)],$P801))</f>
        <v/>
      </c>
      <c r="N801">
        <f>IF($P801="","",INDEX(명단표[급여 판정 근거],$P801))</f>
        <v/>
      </c>
      <c r="O801">
        <f>IF($P801="","",INDEX(명단표[점검],$P801))</f>
        <v/>
      </c>
      <c r="P801" s="17">
        <f>IFERROR(MATCH(796,명단표[서울순번],0),"")</f>
        <v/>
      </c>
      <c r="R801">
        <f>IF($W801="","",INDEX(명단표[이름],$W801))</f>
        <v/>
      </c>
      <c r="S801">
        <f>IF($W801="","",INDEX(명단표[사번],$W801)&amp;"")</f>
        <v/>
      </c>
      <c r="T801">
        <f>IF($W801="","",INDEX(명단표[소속병원],$W801))</f>
        <v/>
      </c>
      <c r="U801">
        <f>IF($W801="","",INDEX(명단표[서울 근무일(기준월)],$W801))</f>
        <v/>
      </c>
      <c r="V801">
        <f>IF($W801="","",INDEX(명단표[구리 근무일(기준월)],$W801))</f>
        <v/>
      </c>
      <c r="W801" s="17">
        <f>IFERROR(MATCH(796,명단표[판정불가순번],0),"")</f>
        <v/>
      </c>
    </row>
    <row r="802">
      <c r="A802">
        <f>IF($P802="","",797)</f>
        <v/>
      </c>
      <c r="B802">
        <f>IF($P802="","",INDEX(명단표[이름],$P802))</f>
        <v/>
      </c>
      <c r="C802">
        <f>IF($P802="","",INDEX(명단표[사번],$P802)&amp;"")</f>
        <v/>
      </c>
      <c r="D802">
        <f>IF($P802="","",INDEX(명단표[전공의등록번호],$P802)&amp;"")</f>
        <v/>
      </c>
      <c r="E802">
        <f>IF($P802="","",INDEX(명단표[수련과목],$P802)&amp;"")</f>
        <v/>
      </c>
      <c r="F802">
        <f>IF($P802="","",INDEX(명단표[연차],$P802)&amp;"")</f>
        <v/>
      </c>
      <c r="G802">
        <f>IF($P802="","",INDEX(명단표[소속병원],$P802))</f>
        <v/>
      </c>
      <c r="H802">
        <f>IF($P802="","",IF(INDEX(명단표[소속병원],$P802)="서울병원","서울 소속","타 병원 소속("&amp;INDEX(명단표[소속병원],$P802)&amp;") → 서울 지급"))</f>
        <v/>
      </c>
      <c r="I802">
        <f>IF($P802="","",INDEX(명단표[현재 근무병원],$P802))</f>
        <v/>
      </c>
      <c r="J802">
        <f>IF($P802="","",INDEX(명단표[구리 근무 시작일(기준월)],$P802)&amp;"")</f>
        <v/>
      </c>
      <c r="K802">
        <f>IF($P802="","",INDEX(명단표[구리 근무 종료일(기준월)],$P802)&amp;"")</f>
        <v/>
      </c>
      <c r="L802">
        <f>IF($P802="","",INDEX(명단표[서울 근무일(기준월)],$P802))</f>
        <v/>
      </c>
      <c r="M802">
        <f>IF($P802="","",INDEX(명단표[구리 근무일(기준월)],$P802))</f>
        <v/>
      </c>
      <c r="N802">
        <f>IF($P802="","",INDEX(명단표[급여 판정 근거],$P802))</f>
        <v/>
      </c>
      <c r="O802">
        <f>IF($P802="","",INDEX(명단표[점검],$P802))</f>
        <v/>
      </c>
      <c r="P802" s="17">
        <f>IFERROR(MATCH(797,명단표[서울순번],0),"")</f>
        <v/>
      </c>
      <c r="R802">
        <f>IF($W802="","",INDEX(명단표[이름],$W802))</f>
        <v/>
      </c>
      <c r="S802">
        <f>IF($W802="","",INDEX(명단표[사번],$W802)&amp;"")</f>
        <v/>
      </c>
      <c r="T802">
        <f>IF($W802="","",INDEX(명단표[소속병원],$W802))</f>
        <v/>
      </c>
      <c r="U802">
        <f>IF($W802="","",INDEX(명단표[서울 근무일(기준월)],$W802))</f>
        <v/>
      </c>
      <c r="V802">
        <f>IF($W802="","",INDEX(명단표[구리 근무일(기준월)],$W802))</f>
        <v/>
      </c>
      <c r="W802" s="17">
        <f>IFERROR(MATCH(797,명단표[판정불가순번],0),"")</f>
        <v/>
      </c>
    </row>
    <row r="803">
      <c r="A803">
        <f>IF($P803="","",798)</f>
        <v/>
      </c>
      <c r="B803">
        <f>IF($P803="","",INDEX(명단표[이름],$P803))</f>
        <v/>
      </c>
      <c r="C803">
        <f>IF($P803="","",INDEX(명단표[사번],$P803)&amp;"")</f>
        <v/>
      </c>
      <c r="D803">
        <f>IF($P803="","",INDEX(명단표[전공의등록번호],$P803)&amp;"")</f>
        <v/>
      </c>
      <c r="E803">
        <f>IF($P803="","",INDEX(명단표[수련과목],$P803)&amp;"")</f>
        <v/>
      </c>
      <c r="F803">
        <f>IF($P803="","",INDEX(명단표[연차],$P803)&amp;"")</f>
        <v/>
      </c>
      <c r="G803">
        <f>IF($P803="","",INDEX(명단표[소속병원],$P803))</f>
        <v/>
      </c>
      <c r="H803">
        <f>IF($P803="","",IF(INDEX(명단표[소속병원],$P803)="서울병원","서울 소속","타 병원 소속("&amp;INDEX(명단표[소속병원],$P803)&amp;") → 서울 지급"))</f>
        <v/>
      </c>
      <c r="I803">
        <f>IF($P803="","",INDEX(명단표[현재 근무병원],$P803))</f>
        <v/>
      </c>
      <c r="J803">
        <f>IF($P803="","",INDEX(명단표[구리 근무 시작일(기준월)],$P803)&amp;"")</f>
        <v/>
      </c>
      <c r="K803">
        <f>IF($P803="","",INDEX(명단표[구리 근무 종료일(기준월)],$P803)&amp;"")</f>
        <v/>
      </c>
      <c r="L803">
        <f>IF($P803="","",INDEX(명단표[서울 근무일(기준월)],$P803))</f>
        <v/>
      </c>
      <c r="M803">
        <f>IF($P803="","",INDEX(명단표[구리 근무일(기준월)],$P803))</f>
        <v/>
      </c>
      <c r="N803">
        <f>IF($P803="","",INDEX(명단표[급여 판정 근거],$P803))</f>
        <v/>
      </c>
      <c r="O803">
        <f>IF($P803="","",INDEX(명단표[점검],$P803))</f>
        <v/>
      </c>
      <c r="P803" s="17">
        <f>IFERROR(MATCH(798,명단표[서울순번],0),"")</f>
        <v/>
      </c>
      <c r="R803">
        <f>IF($W803="","",INDEX(명단표[이름],$W803))</f>
        <v/>
      </c>
      <c r="S803">
        <f>IF($W803="","",INDEX(명단표[사번],$W803)&amp;"")</f>
        <v/>
      </c>
      <c r="T803">
        <f>IF($W803="","",INDEX(명단표[소속병원],$W803))</f>
        <v/>
      </c>
      <c r="U803">
        <f>IF($W803="","",INDEX(명단표[서울 근무일(기준월)],$W803))</f>
        <v/>
      </c>
      <c r="V803">
        <f>IF($W803="","",INDEX(명단표[구리 근무일(기준월)],$W803))</f>
        <v/>
      </c>
      <c r="W803" s="17">
        <f>IFERROR(MATCH(798,명단표[판정불가순번],0),"")</f>
        <v/>
      </c>
    </row>
    <row r="804">
      <c r="A804">
        <f>IF($P804="","",799)</f>
        <v/>
      </c>
      <c r="B804">
        <f>IF($P804="","",INDEX(명단표[이름],$P804))</f>
        <v/>
      </c>
      <c r="C804">
        <f>IF($P804="","",INDEX(명단표[사번],$P804)&amp;"")</f>
        <v/>
      </c>
      <c r="D804">
        <f>IF($P804="","",INDEX(명단표[전공의등록번호],$P804)&amp;"")</f>
        <v/>
      </c>
      <c r="E804">
        <f>IF($P804="","",INDEX(명단표[수련과목],$P804)&amp;"")</f>
        <v/>
      </c>
      <c r="F804">
        <f>IF($P804="","",INDEX(명단표[연차],$P804)&amp;"")</f>
        <v/>
      </c>
      <c r="G804">
        <f>IF($P804="","",INDEX(명단표[소속병원],$P804))</f>
        <v/>
      </c>
      <c r="H804">
        <f>IF($P804="","",IF(INDEX(명단표[소속병원],$P804)="서울병원","서울 소속","타 병원 소속("&amp;INDEX(명단표[소속병원],$P804)&amp;") → 서울 지급"))</f>
        <v/>
      </c>
      <c r="I804">
        <f>IF($P804="","",INDEX(명단표[현재 근무병원],$P804))</f>
        <v/>
      </c>
      <c r="J804">
        <f>IF($P804="","",INDEX(명단표[구리 근무 시작일(기준월)],$P804)&amp;"")</f>
        <v/>
      </c>
      <c r="K804">
        <f>IF($P804="","",INDEX(명단표[구리 근무 종료일(기준월)],$P804)&amp;"")</f>
        <v/>
      </c>
      <c r="L804">
        <f>IF($P804="","",INDEX(명단표[서울 근무일(기준월)],$P804))</f>
        <v/>
      </c>
      <c r="M804">
        <f>IF($P804="","",INDEX(명단표[구리 근무일(기준월)],$P804))</f>
        <v/>
      </c>
      <c r="N804">
        <f>IF($P804="","",INDEX(명단표[급여 판정 근거],$P804))</f>
        <v/>
      </c>
      <c r="O804">
        <f>IF($P804="","",INDEX(명단표[점검],$P804))</f>
        <v/>
      </c>
      <c r="P804" s="17">
        <f>IFERROR(MATCH(799,명단표[서울순번],0),"")</f>
        <v/>
      </c>
      <c r="R804">
        <f>IF($W804="","",INDEX(명단표[이름],$W804))</f>
        <v/>
      </c>
      <c r="S804">
        <f>IF($W804="","",INDEX(명단표[사번],$W804)&amp;"")</f>
        <v/>
      </c>
      <c r="T804">
        <f>IF($W804="","",INDEX(명단표[소속병원],$W804))</f>
        <v/>
      </c>
      <c r="U804">
        <f>IF($W804="","",INDEX(명단표[서울 근무일(기준월)],$W804))</f>
        <v/>
      </c>
      <c r="V804">
        <f>IF($W804="","",INDEX(명단표[구리 근무일(기준월)],$W804))</f>
        <v/>
      </c>
      <c r="W804" s="17">
        <f>IFERROR(MATCH(799,명단표[판정불가순번],0),"")</f>
        <v/>
      </c>
    </row>
    <row r="805">
      <c r="A805">
        <f>IF($P805="","",800)</f>
        <v/>
      </c>
      <c r="B805">
        <f>IF($P805="","",INDEX(명단표[이름],$P805))</f>
        <v/>
      </c>
      <c r="C805">
        <f>IF($P805="","",INDEX(명단표[사번],$P805)&amp;"")</f>
        <v/>
      </c>
      <c r="D805">
        <f>IF($P805="","",INDEX(명단표[전공의등록번호],$P805)&amp;"")</f>
        <v/>
      </c>
      <c r="E805">
        <f>IF($P805="","",INDEX(명단표[수련과목],$P805)&amp;"")</f>
        <v/>
      </c>
      <c r="F805">
        <f>IF($P805="","",INDEX(명단표[연차],$P805)&amp;"")</f>
        <v/>
      </c>
      <c r="G805">
        <f>IF($P805="","",INDEX(명단표[소속병원],$P805))</f>
        <v/>
      </c>
      <c r="H805">
        <f>IF($P805="","",IF(INDEX(명단표[소속병원],$P805)="서울병원","서울 소속","타 병원 소속("&amp;INDEX(명단표[소속병원],$P805)&amp;") → 서울 지급"))</f>
        <v/>
      </c>
      <c r="I805">
        <f>IF($P805="","",INDEX(명단표[현재 근무병원],$P805))</f>
        <v/>
      </c>
      <c r="J805">
        <f>IF($P805="","",INDEX(명단표[구리 근무 시작일(기준월)],$P805)&amp;"")</f>
        <v/>
      </c>
      <c r="K805">
        <f>IF($P805="","",INDEX(명단표[구리 근무 종료일(기준월)],$P805)&amp;"")</f>
        <v/>
      </c>
      <c r="L805">
        <f>IF($P805="","",INDEX(명단표[서울 근무일(기준월)],$P805))</f>
        <v/>
      </c>
      <c r="M805">
        <f>IF($P805="","",INDEX(명단표[구리 근무일(기준월)],$P805))</f>
        <v/>
      </c>
      <c r="N805">
        <f>IF($P805="","",INDEX(명단표[급여 판정 근거],$P805))</f>
        <v/>
      </c>
      <c r="O805">
        <f>IF($P805="","",INDEX(명단표[점검],$P805))</f>
        <v/>
      </c>
      <c r="P805" s="17">
        <f>IFERROR(MATCH(800,명단표[서울순번],0),"")</f>
        <v/>
      </c>
      <c r="R805">
        <f>IF($W805="","",INDEX(명단표[이름],$W805))</f>
        <v/>
      </c>
      <c r="S805">
        <f>IF($W805="","",INDEX(명단표[사번],$W805)&amp;"")</f>
        <v/>
      </c>
      <c r="T805">
        <f>IF($W805="","",INDEX(명단표[소속병원],$W805))</f>
        <v/>
      </c>
      <c r="U805">
        <f>IF($W805="","",INDEX(명단표[서울 근무일(기준월)],$W805))</f>
        <v/>
      </c>
      <c r="V805">
        <f>IF($W805="","",INDEX(명단표[구리 근무일(기준월)],$W805))</f>
        <v/>
      </c>
      <c r="W805" s="17">
        <f>IFERROR(MATCH(800,명단표[판정불가순번],0),"")</f>
        <v/>
      </c>
    </row>
    <row r="806">
      <c r="A806">
        <f>IF($P806="","",801)</f>
        <v/>
      </c>
      <c r="B806">
        <f>IF($P806="","",INDEX(명단표[이름],$P806))</f>
        <v/>
      </c>
      <c r="C806">
        <f>IF($P806="","",INDEX(명단표[사번],$P806)&amp;"")</f>
        <v/>
      </c>
      <c r="D806">
        <f>IF($P806="","",INDEX(명단표[전공의등록번호],$P806)&amp;"")</f>
        <v/>
      </c>
      <c r="E806">
        <f>IF($P806="","",INDEX(명단표[수련과목],$P806)&amp;"")</f>
        <v/>
      </c>
      <c r="F806">
        <f>IF($P806="","",INDEX(명단표[연차],$P806)&amp;"")</f>
        <v/>
      </c>
      <c r="G806">
        <f>IF($P806="","",INDEX(명단표[소속병원],$P806))</f>
        <v/>
      </c>
      <c r="H806">
        <f>IF($P806="","",IF(INDEX(명단표[소속병원],$P806)="서울병원","서울 소속","타 병원 소속("&amp;INDEX(명단표[소속병원],$P806)&amp;") → 서울 지급"))</f>
        <v/>
      </c>
      <c r="I806">
        <f>IF($P806="","",INDEX(명단표[현재 근무병원],$P806))</f>
        <v/>
      </c>
      <c r="J806">
        <f>IF($P806="","",INDEX(명단표[구리 근무 시작일(기준월)],$P806)&amp;"")</f>
        <v/>
      </c>
      <c r="K806">
        <f>IF($P806="","",INDEX(명단표[구리 근무 종료일(기준월)],$P806)&amp;"")</f>
        <v/>
      </c>
      <c r="L806">
        <f>IF($P806="","",INDEX(명단표[서울 근무일(기준월)],$P806))</f>
        <v/>
      </c>
      <c r="M806">
        <f>IF($P806="","",INDEX(명단표[구리 근무일(기준월)],$P806))</f>
        <v/>
      </c>
      <c r="N806">
        <f>IF($P806="","",INDEX(명단표[급여 판정 근거],$P806))</f>
        <v/>
      </c>
      <c r="O806">
        <f>IF($P806="","",INDEX(명단표[점검],$P806))</f>
        <v/>
      </c>
      <c r="P806" s="17">
        <f>IFERROR(MATCH(801,명단표[서울순번],0),"")</f>
        <v/>
      </c>
      <c r="R806">
        <f>IF($W806="","",INDEX(명단표[이름],$W806))</f>
        <v/>
      </c>
      <c r="S806">
        <f>IF($W806="","",INDEX(명단표[사번],$W806)&amp;"")</f>
        <v/>
      </c>
      <c r="T806">
        <f>IF($W806="","",INDEX(명단표[소속병원],$W806))</f>
        <v/>
      </c>
      <c r="U806">
        <f>IF($W806="","",INDEX(명단표[서울 근무일(기준월)],$W806))</f>
        <v/>
      </c>
      <c r="V806">
        <f>IF($W806="","",INDEX(명단표[구리 근무일(기준월)],$W806))</f>
        <v/>
      </c>
      <c r="W806" s="17">
        <f>IFERROR(MATCH(801,명단표[판정불가순번],0),"")</f>
        <v/>
      </c>
    </row>
    <row r="807">
      <c r="A807">
        <f>IF($P807="","",802)</f>
        <v/>
      </c>
      <c r="B807">
        <f>IF($P807="","",INDEX(명단표[이름],$P807))</f>
        <v/>
      </c>
      <c r="C807">
        <f>IF($P807="","",INDEX(명단표[사번],$P807)&amp;"")</f>
        <v/>
      </c>
      <c r="D807">
        <f>IF($P807="","",INDEX(명단표[전공의등록번호],$P807)&amp;"")</f>
        <v/>
      </c>
      <c r="E807">
        <f>IF($P807="","",INDEX(명단표[수련과목],$P807)&amp;"")</f>
        <v/>
      </c>
      <c r="F807">
        <f>IF($P807="","",INDEX(명단표[연차],$P807)&amp;"")</f>
        <v/>
      </c>
      <c r="G807">
        <f>IF($P807="","",INDEX(명단표[소속병원],$P807))</f>
        <v/>
      </c>
      <c r="H807">
        <f>IF($P807="","",IF(INDEX(명단표[소속병원],$P807)="서울병원","서울 소속","타 병원 소속("&amp;INDEX(명단표[소속병원],$P807)&amp;") → 서울 지급"))</f>
        <v/>
      </c>
      <c r="I807">
        <f>IF($P807="","",INDEX(명단표[현재 근무병원],$P807))</f>
        <v/>
      </c>
      <c r="J807">
        <f>IF($P807="","",INDEX(명단표[구리 근무 시작일(기준월)],$P807)&amp;"")</f>
        <v/>
      </c>
      <c r="K807">
        <f>IF($P807="","",INDEX(명단표[구리 근무 종료일(기준월)],$P807)&amp;"")</f>
        <v/>
      </c>
      <c r="L807">
        <f>IF($P807="","",INDEX(명단표[서울 근무일(기준월)],$P807))</f>
        <v/>
      </c>
      <c r="M807">
        <f>IF($P807="","",INDEX(명단표[구리 근무일(기준월)],$P807))</f>
        <v/>
      </c>
      <c r="N807">
        <f>IF($P807="","",INDEX(명단표[급여 판정 근거],$P807))</f>
        <v/>
      </c>
      <c r="O807">
        <f>IF($P807="","",INDEX(명단표[점검],$P807))</f>
        <v/>
      </c>
      <c r="P807" s="17">
        <f>IFERROR(MATCH(802,명단표[서울순번],0),"")</f>
        <v/>
      </c>
      <c r="R807">
        <f>IF($W807="","",INDEX(명단표[이름],$W807))</f>
        <v/>
      </c>
      <c r="S807">
        <f>IF($W807="","",INDEX(명단표[사번],$W807)&amp;"")</f>
        <v/>
      </c>
      <c r="T807">
        <f>IF($W807="","",INDEX(명단표[소속병원],$W807))</f>
        <v/>
      </c>
      <c r="U807">
        <f>IF($W807="","",INDEX(명단표[서울 근무일(기준월)],$W807))</f>
        <v/>
      </c>
      <c r="V807">
        <f>IF($W807="","",INDEX(명단표[구리 근무일(기준월)],$W807))</f>
        <v/>
      </c>
      <c r="W807" s="17">
        <f>IFERROR(MATCH(802,명단표[판정불가순번],0),"")</f>
        <v/>
      </c>
    </row>
    <row r="808">
      <c r="A808">
        <f>IF($P808="","",803)</f>
        <v/>
      </c>
      <c r="B808">
        <f>IF($P808="","",INDEX(명단표[이름],$P808))</f>
        <v/>
      </c>
      <c r="C808">
        <f>IF($P808="","",INDEX(명단표[사번],$P808)&amp;"")</f>
        <v/>
      </c>
      <c r="D808">
        <f>IF($P808="","",INDEX(명단표[전공의등록번호],$P808)&amp;"")</f>
        <v/>
      </c>
      <c r="E808">
        <f>IF($P808="","",INDEX(명단표[수련과목],$P808)&amp;"")</f>
        <v/>
      </c>
      <c r="F808">
        <f>IF($P808="","",INDEX(명단표[연차],$P808)&amp;"")</f>
        <v/>
      </c>
      <c r="G808">
        <f>IF($P808="","",INDEX(명단표[소속병원],$P808))</f>
        <v/>
      </c>
      <c r="H808">
        <f>IF($P808="","",IF(INDEX(명단표[소속병원],$P808)="서울병원","서울 소속","타 병원 소속("&amp;INDEX(명단표[소속병원],$P808)&amp;") → 서울 지급"))</f>
        <v/>
      </c>
      <c r="I808">
        <f>IF($P808="","",INDEX(명단표[현재 근무병원],$P808))</f>
        <v/>
      </c>
      <c r="J808">
        <f>IF($P808="","",INDEX(명단표[구리 근무 시작일(기준월)],$P808)&amp;"")</f>
        <v/>
      </c>
      <c r="K808">
        <f>IF($P808="","",INDEX(명단표[구리 근무 종료일(기준월)],$P808)&amp;"")</f>
        <v/>
      </c>
      <c r="L808">
        <f>IF($P808="","",INDEX(명단표[서울 근무일(기준월)],$P808))</f>
        <v/>
      </c>
      <c r="M808">
        <f>IF($P808="","",INDEX(명단표[구리 근무일(기준월)],$P808))</f>
        <v/>
      </c>
      <c r="N808">
        <f>IF($P808="","",INDEX(명단표[급여 판정 근거],$P808))</f>
        <v/>
      </c>
      <c r="O808">
        <f>IF($P808="","",INDEX(명단표[점검],$P808))</f>
        <v/>
      </c>
      <c r="P808" s="17">
        <f>IFERROR(MATCH(803,명단표[서울순번],0),"")</f>
        <v/>
      </c>
      <c r="R808">
        <f>IF($W808="","",INDEX(명단표[이름],$W808))</f>
        <v/>
      </c>
      <c r="S808">
        <f>IF($W808="","",INDEX(명단표[사번],$W808)&amp;"")</f>
        <v/>
      </c>
      <c r="T808">
        <f>IF($W808="","",INDEX(명단표[소속병원],$W808))</f>
        <v/>
      </c>
      <c r="U808">
        <f>IF($W808="","",INDEX(명단표[서울 근무일(기준월)],$W808))</f>
        <v/>
      </c>
      <c r="V808">
        <f>IF($W808="","",INDEX(명단표[구리 근무일(기준월)],$W808))</f>
        <v/>
      </c>
      <c r="W808" s="17">
        <f>IFERROR(MATCH(803,명단표[판정불가순번],0),"")</f>
        <v/>
      </c>
    </row>
    <row r="809">
      <c r="A809">
        <f>IF($P809="","",804)</f>
        <v/>
      </c>
      <c r="B809">
        <f>IF($P809="","",INDEX(명단표[이름],$P809))</f>
        <v/>
      </c>
      <c r="C809">
        <f>IF($P809="","",INDEX(명단표[사번],$P809)&amp;"")</f>
        <v/>
      </c>
      <c r="D809">
        <f>IF($P809="","",INDEX(명단표[전공의등록번호],$P809)&amp;"")</f>
        <v/>
      </c>
      <c r="E809">
        <f>IF($P809="","",INDEX(명단표[수련과목],$P809)&amp;"")</f>
        <v/>
      </c>
      <c r="F809">
        <f>IF($P809="","",INDEX(명단표[연차],$P809)&amp;"")</f>
        <v/>
      </c>
      <c r="G809">
        <f>IF($P809="","",INDEX(명단표[소속병원],$P809))</f>
        <v/>
      </c>
      <c r="H809">
        <f>IF($P809="","",IF(INDEX(명단표[소속병원],$P809)="서울병원","서울 소속","타 병원 소속("&amp;INDEX(명단표[소속병원],$P809)&amp;") → 서울 지급"))</f>
        <v/>
      </c>
      <c r="I809">
        <f>IF($P809="","",INDEX(명단표[현재 근무병원],$P809))</f>
        <v/>
      </c>
      <c r="J809">
        <f>IF($P809="","",INDEX(명단표[구리 근무 시작일(기준월)],$P809)&amp;"")</f>
        <v/>
      </c>
      <c r="K809">
        <f>IF($P809="","",INDEX(명단표[구리 근무 종료일(기준월)],$P809)&amp;"")</f>
        <v/>
      </c>
      <c r="L809">
        <f>IF($P809="","",INDEX(명단표[서울 근무일(기준월)],$P809))</f>
        <v/>
      </c>
      <c r="M809">
        <f>IF($P809="","",INDEX(명단표[구리 근무일(기준월)],$P809))</f>
        <v/>
      </c>
      <c r="N809">
        <f>IF($P809="","",INDEX(명단표[급여 판정 근거],$P809))</f>
        <v/>
      </c>
      <c r="O809">
        <f>IF($P809="","",INDEX(명단표[점검],$P809))</f>
        <v/>
      </c>
      <c r="P809" s="17">
        <f>IFERROR(MATCH(804,명단표[서울순번],0),"")</f>
        <v/>
      </c>
      <c r="R809">
        <f>IF($W809="","",INDEX(명단표[이름],$W809))</f>
        <v/>
      </c>
      <c r="S809">
        <f>IF($W809="","",INDEX(명단표[사번],$W809)&amp;"")</f>
        <v/>
      </c>
      <c r="T809">
        <f>IF($W809="","",INDEX(명단표[소속병원],$W809))</f>
        <v/>
      </c>
      <c r="U809">
        <f>IF($W809="","",INDEX(명단표[서울 근무일(기준월)],$W809))</f>
        <v/>
      </c>
      <c r="V809">
        <f>IF($W809="","",INDEX(명단표[구리 근무일(기준월)],$W809))</f>
        <v/>
      </c>
      <c r="W809" s="17">
        <f>IFERROR(MATCH(804,명단표[판정불가순번],0),"")</f>
        <v/>
      </c>
    </row>
    <row r="810">
      <c r="A810">
        <f>IF($P810="","",805)</f>
        <v/>
      </c>
      <c r="B810">
        <f>IF($P810="","",INDEX(명단표[이름],$P810))</f>
        <v/>
      </c>
      <c r="C810">
        <f>IF($P810="","",INDEX(명단표[사번],$P810)&amp;"")</f>
        <v/>
      </c>
      <c r="D810">
        <f>IF($P810="","",INDEX(명단표[전공의등록번호],$P810)&amp;"")</f>
        <v/>
      </c>
      <c r="E810">
        <f>IF($P810="","",INDEX(명단표[수련과목],$P810)&amp;"")</f>
        <v/>
      </c>
      <c r="F810">
        <f>IF($P810="","",INDEX(명단표[연차],$P810)&amp;"")</f>
        <v/>
      </c>
      <c r="G810">
        <f>IF($P810="","",INDEX(명단표[소속병원],$P810))</f>
        <v/>
      </c>
      <c r="H810">
        <f>IF($P810="","",IF(INDEX(명단표[소속병원],$P810)="서울병원","서울 소속","타 병원 소속("&amp;INDEX(명단표[소속병원],$P810)&amp;") → 서울 지급"))</f>
        <v/>
      </c>
      <c r="I810">
        <f>IF($P810="","",INDEX(명단표[현재 근무병원],$P810))</f>
        <v/>
      </c>
      <c r="J810">
        <f>IF($P810="","",INDEX(명단표[구리 근무 시작일(기준월)],$P810)&amp;"")</f>
        <v/>
      </c>
      <c r="K810">
        <f>IF($P810="","",INDEX(명단표[구리 근무 종료일(기준월)],$P810)&amp;"")</f>
        <v/>
      </c>
      <c r="L810">
        <f>IF($P810="","",INDEX(명단표[서울 근무일(기준월)],$P810))</f>
        <v/>
      </c>
      <c r="M810">
        <f>IF($P810="","",INDEX(명단표[구리 근무일(기준월)],$P810))</f>
        <v/>
      </c>
      <c r="N810">
        <f>IF($P810="","",INDEX(명단표[급여 판정 근거],$P810))</f>
        <v/>
      </c>
      <c r="O810">
        <f>IF($P810="","",INDEX(명단표[점검],$P810))</f>
        <v/>
      </c>
      <c r="P810" s="17">
        <f>IFERROR(MATCH(805,명단표[서울순번],0),"")</f>
        <v/>
      </c>
      <c r="R810">
        <f>IF($W810="","",INDEX(명단표[이름],$W810))</f>
        <v/>
      </c>
      <c r="S810">
        <f>IF($W810="","",INDEX(명단표[사번],$W810)&amp;"")</f>
        <v/>
      </c>
      <c r="T810">
        <f>IF($W810="","",INDEX(명단표[소속병원],$W810))</f>
        <v/>
      </c>
      <c r="U810">
        <f>IF($W810="","",INDEX(명단표[서울 근무일(기준월)],$W810))</f>
        <v/>
      </c>
      <c r="V810">
        <f>IF($W810="","",INDEX(명단표[구리 근무일(기준월)],$W810))</f>
        <v/>
      </c>
      <c r="W810" s="17">
        <f>IFERROR(MATCH(805,명단표[판정불가순번],0),"")</f>
        <v/>
      </c>
    </row>
    <row r="811">
      <c r="A811">
        <f>IF($P811="","",806)</f>
        <v/>
      </c>
      <c r="B811">
        <f>IF($P811="","",INDEX(명단표[이름],$P811))</f>
        <v/>
      </c>
      <c r="C811">
        <f>IF($P811="","",INDEX(명단표[사번],$P811)&amp;"")</f>
        <v/>
      </c>
      <c r="D811">
        <f>IF($P811="","",INDEX(명단표[전공의등록번호],$P811)&amp;"")</f>
        <v/>
      </c>
      <c r="E811">
        <f>IF($P811="","",INDEX(명단표[수련과목],$P811)&amp;"")</f>
        <v/>
      </c>
      <c r="F811">
        <f>IF($P811="","",INDEX(명단표[연차],$P811)&amp;"")</f>
        <v/>
      </c>
      <c r="G811">
        <f>IF($P811="","",INDEX(명단표[소속병원],$P811))</f>
        <v/>
      </c>
      <c r="H811">
        <f>IF($P811="","",IF(INDEX(명단표[소속병원],$P811)="서울병원","서울 소속","타 병원 소속("&amp;INDEX(명단표[소속병원],$P811)&amp;") → 서울 지급"))</f>
        <v/>
      </c>
      <c r="I811">
        <f>IF($P811="","",INDEX(명단표[현재 근무병원],$P811))</f>
        <v/>
      </c>
      <c r="J811">
        <f>IF($P811="","",INDEX(명단표[구리 근무 시작일(기준월)],$P811)&amp;"")</f>
        <v/>
      </c>
      <c r="K811">
        <f>IF($P811="","",INDEX(명단표[구리 근무 종료일(기준월)],$P811)&amp;"")</f>
        <v/>
      </c>
      <c r="L811">
        <f>IF($P811="","",INDEX(명단표[서울 근무일(기준월)],$P811))</f>
        <v/>
      </c>
      <c r="M811">
        <f>IF($P811="","",INDEX(명단표[구리 근무일(기준월)],$P811))</f>
        <v/>
      </c>
      <c r="N811">
        <f>IF($P811="","",INDEX(명단표[급여 판정 근거],$P811))</f>
        <v/>
      </c>
      <c r="O811">
        <f>IF($P811="","",INDEX(명단표[점검],$P811))</f>
        <v/>
      </c>
      <c r="P811" s="17">
        <f>IFERROR(MATCH(806,명단표[서울순번],0),"")</f>
        <v/>
      </c>
      <c r="R811">
        <f>IF($W811="","",INDEX(명단표[이름],$W811))</f>
        <v/>
      </c>
      <c r="S811">
        <f>IF($W811="","",INDEX(명단표[사번],$W811)&amp;"")</f>
        <v/>
      </c>
      <c r="T811">
        <f>IF($W811="","",INDEX(명단표[소속병원],$W811))</f>
        <v/>
      </c>
      <c r="U811">
        <f>IF($W811="","",INDEX(명단표[서울 근무일(기준월)],$W811))</f>
        <v/>
      </c>
      <c r="V811">
        <f>IF($W811="","",INDEX(명단표[구리 근무일(기준월)],$W811))</f>
        <v/>
      </c>
      <c r="W811" s="17">
        <f>IFERROR(MATCH(806,명단표[판정불가순번],0),"")</f>
        <v/>
      </c>
    </row>
    <row r="812">
      <c r="A812">
        <f>IF($P812="","",807)</f>
        <v/>
      </c>
      <c r="B812">
        <f>IF($P812="","",INDEX(명단표[이름],$P812))</f>
        <v/>
      </c>
      <c r="C812">
        <f>IF($P812="","",INDEX(명단표[사번],$P812)&amp;"")</f>
        <v/>
      </c>
      <c r="D812">
        <f>IF($P812="","",INDEX(명단표[전공의등록번호],$P812)&amp;"")</f>
        <v/>
      </c>
      <c r="E812">
        <f>IF($P812="","",INDEX(명단표[수련과목],$P812)&amp;"")</f>
        <v/>
      </c>
      <c r="F812">
        <f>IF($P812="","",INDEX(명단표[연차],$P812)&amp;"")</f>
        <v/>
      </c>
      <c r="G812">
        <f>IF($P812="","",INDEX(명단표[소속병원],$P812))</f>
        <v/>
      </c>
      <c r="H812">
        <f>IF($P812="","",IF(INDEX(명단표[소속병원],$P812)="서울병원","서울 소속","타 병원 소속("&amp;INDEX(명단표[소속병원],$P812)&amp;") → 서울 지급"))</f>
        <v/>
      </c>
      <c r="I812">
        <f>IF($P812="","",INDEX(명단표[현재 근무병원],$P812))</f>
        <v/>
      </c>
      <c r="J812">
        <f>IF($P812="","",INDEX(명단표[구리 근무 시작일(기준월)],$P812)&amp;"")</f>
        <v/>
      </c>
      <c r="K812">
        <f>IF($P812="","",INDEX(명단표[구리 근무 종료일(기준월)],$P812)&amp;"")</f>
        <v/>
      </c>
      <c r="L812">
        <f>IF($P812="","",INDEX(명단표[서울 근무일(기준월)],$P812))</f>
        <v/>
      </c>
      <c r="M812">
        <f>IF($P812="","",INDEX(명단표[구리 근무일(기준월)],$P812))</f>
        <v/>
      </c>
      <c r="N812">
        <f>IF($P812="","",INDEX(명단표[급여 판정 근거],$P812))</f>
        <v/>
      </c>
      <c r="O812">
        <f>IF($P812="","",INDEX(명단표[점검],$P812))</f>
        <v/>
      </c>
      <c r="P812" s="17">
        <f>IFERROR(MATCH(807,명단표[서울순번],0),"")</f>
        <v/>
      </c>
      <c r="R812">
        <f>IF($W812="","",INDEX(명단표[이름],$W812))</f>
        <v/>
      </c>
      <c r="S812">
        <f>IF($W812="","",INDEX(명단표[사번],$W812)&amp;"")</f>
        <v/>
      </c>
      <c r="T812">
        <f>IF($W812="","",INDEX(명단표[소속병원],$W812))</f>
        <v/>
      </c>
      <c r="U812">
        <f>IF($W812="","",INDEX(명단표[서울 근무일(기준월)],$W812))</f>
        <v/>
      </c>
      <c r="V812">
        <f>IF($W812="","",INDEX(명단표[구리 근무일(기준월)],$W812))</f>
        <v/>
      </c>
      <c r="W812" s="17">
        <f>IFERROR(MATCH(807,명단표[판정불가순번],0),"")</f>
        <v/>
      </c>
    </row>
    <row r="813">
      <c r="A813">
        <f>IF($P813="","",808)</f>
        <v/>
      </c>
      <c r="B813">
        <f>IF($P813="","",INDEX(명단표[이름],$P813))</f>
        <v/>
      </c>
      <c r="C813">
        <f>IF($P813="","",INDEX(명단표[사번],$P813)&amp;"")</f>
        <v/>
      </c>
      <c r="D813">
        <f>IF($P813="","",INDEX(명단표[전공의등록번호],$P813)&amp;"")</f>
        <v/>
      </c>
      <c r="E813">
        <f>IF($P813="","",INDEX(명단표[수련과목],$P813)&amp;"")</f>
        <v/>
      </c>
      <c r="F813">
        <f>IF($P813="","",INDEX(명단표[연차],$P813)&amp;"")</f>
        <v/>
      </c>
      <c r="G813">
        <f>IF($P813="","",INDEX(명단표[소속병원],$P813))</f>
        <v/>
      </c>
      <c r="H813">
        <f>IF($P813="","",IF(INDEX(명단표[소속병원],$P813)="서울병원","서울 소속","타 병원 소속("&amp;INDEX(명단표[소속병원],$P813)&amp;") → 서울 지급"))</f>
        <v/>
      </c>
      <c r="I813">
        <f>IF($P813="","",INDEX(명단표[현재 근무병원],$P813))</f>
        <v/>
      </c>
      <c r="J813">
        <f>IF($P813="","",INDEX(명단표[구리 근무 시작일(기준월)],$P813)&amp;"")</f>
        <v/>
      </c>
      <c r="K813">
        <f>IF($P813="","",INDEX(명단표[구리 근무 종료일(기준월)],$P813)&amp;"")</f>
        <v/>
      </c>
      <c r="L813">
        <f>IF($P813="","",INDEX(명단표[서울 근무일(기준월)],$P813))</f>
        <v/>
      </c>
      <c r="M813">
        <f>IF($P813="","",INDEX(명단표[구리 근무일(기준월)],$P813))</f>
        <v/>
      </c>
      <c r="N813">
        <f>IF($P813="","",INDEX(명단표[급여 판정 근거],$P813))</f>
        <v/>
      </c>
      <c r="O813">
        <f>IF($P813="","",INDEX(명단표[점검],$P813))</f>
        <v/>
      </c>
      <c r="P813" s="17">
        <f>IFERROR(MATCH(808,명단표[서울순번],0),"")</f>
        <v/>
      </c>
      <c r="R813">
        <f>IF($W813="","",INDEX(명단표[이름],$W813))</f>
        <v/>
      </c>
      <c r="S813">
        <f>IF($W813="","",INDEX(명단표[사번],$W813)&amp;"")</f>
        <v/>
      </c>
      <c r="T813">
        <f>IF($W813="","",INDEX(명단표[소속병원],$W813))</f>
        <v/>
      </c>
      <c r="U813">
        <f>IF($W813="","",INDEX(명단표[서울 근무일(기준월)],$W813))</f>
        <v/>
      </c>
      <c r="V813">
        <f>IF($W813="","",INDEX(명단표[구리 근무일(기준월)],$W813))</f>
        <v/>
      </c>
      <c r="W813" s="17">
        <f>IFERROR(MATCH(808,명단표[판정불가순번],0),"")</f>
        <v/>
      </c>
    </row>
    <row r="814">
      <c r="A814">
        <f>IF($P814="","",809)</f>
        <v/>
      </c>
      <c r="B814">
        <f>IF($P814="","",INDEX(명단표[이름],$P814))</f>
        <v/>
      </c>
      <c r="C814">
        <f>IF($P814="","",INDEX(명단표[사번],$P814)&amp;"")</f>
        <v/>
      </c>
      <c r="D814">
        <f>IF($P814="","",INDEX(명단표[전공의등록번호],$P814)&amp;"")</f>
        <v/>
      </c>
      <c r="E814">
        <f>IF($P814="","",INDEX(명단표[수련과목],$P814)&amp;"")</f>
        <v/>
      </c>
      <c r="F814">
        <f>IF($P814="","",INDEX(명단표[연차],$P814)&amp;"")</f>
        <v/>
      </c>
      <c r="G814">
        <f>IF($P814="","",INDEX(명단표[소속병원],$P814))</f>
        <v/>
      </c>
      <c r="H814">
        <f>IF($P814="","",IF(INDEX(명단표[소속병원],$P814)="서울병원","서울 소속","타 병원 소속("&amp;INDEX(명단표[소속병원],$P814)&amp;") → 서울 지급"))</f>
        <v/>
      </c>
      <c r="I814">
        <f>IF($P814="","",INDEX(명단표[현재 근무병원],$P814))</f>
        <v/>
      </c>
      <c r="J814">
        <f>IF($P814="","",INDEX(명단표[구리 근무 시작일(기준월)],$P814)&amp;"")</f>
        <v/>
      </c>
      <c r="K814">
        <f>IF($P814="","",INDEX(명단표[구리 근무 종료일(기준월)],$P814)&amp;"")</f>
        <v/>
      </c>
      <c r="L814">
        <f>IF($P814="","",INDEX(명단표[서울 근무일(기준월)],$P814))</f>
        <v/>
      </c>
      <c r="M814">
        <f>IF($P814="","",INDEX(명단표[구리 근무일(기준월)],$P814))</f>
        <v/>
      </c>
      <c r="N814">
        <f>IF($P814="","",INDEX(명단표[급여 판정 근거],$P814))</f>
        <v/>
      </c>
      <c r="O814">
        <f>IF($P814="","",INDEX(명단표[점검],$P814))</f>
        <v/>
      </c>
      <c r="P814" s="17">
        <f>IFERROR(MATCH(809,명단표[서울순번],0),"")</f>
        <v/>
      </c>
      <c r="R814">
        <f>IF($W814="","",INDEX(명단표[이름],$W814))</f>
        <v/>
      </c>
      <c r="S814">
        <f>IF($W814="","",INDEX(명단표[사번],$W814)&amp;"")</f>
        <v/>
      </c>
      <c r="T814">
        <f>IF($W814="","",INDEX(명단표[소속병원],$W814))</f>
        <v/>
      </c>
      <c r="U814">
        <f>IF($W814="","",INDEX(명단표[서울 근무일(기준월)],$W814))</f>
        <v/>
      </c>
      <c r="V814">
        <f>IF($W814="","",INDEX(명단표[구리 근무일(기준월)],$W814))</f>
        <v/>
      </c>
      <c r="W814" s="17">
        <f>IFERROR(MATCH(809,명단표[판정불가순번],0),"")</f>
        <v/>
      </c>
    </row>
    <row r="815">
      <c r="A815">
        <f>IF($P815="","",810)</f>
        <v/>
      </c>
      <c r="B815">
        <f>IF($P815="","",INDEX(명단표[이름],$P815))</f>
        <v/>
      </c>
      <c r="C815">
        <f>IF($P815="","",INDEX(명단표[사번],$P815)&amp;"")</f>
        <v/>
      </c>
      <c r="D815">
        <f>IF($P815="","",INDEX(명단표[전공의등록번호],$P815)&amp;"")</f>
        <v/>
      </c>
      <c r="E815">
        <f>IF($P815="","",INDEX(명단표[수련과목],$P815)&amp;"")</f>
        <v/>
      </c>
      <c r="F815">
        <f>IF($P815="","",INDEX(명단표[연차],$P815)&amp;"")</f>
        <v/>
      </c>
      <c r="G815">
        <f>IF($P815="","",INDEX(명단표[소속병원],$P815))</f>
        <v/>
      </c>
      <c r="H815">
        <f>IF($P815="","",IF(INDEX(명단표[소속병원],$P815)="서울병원","서울 소속","타 병원 소속("&amp;INDEX(명단표[소속병원],$P815)&amp;") → 서울 지급"))</f>
        <v/>
      </c>
      <c r="I815">
        <f>IF($P815="","",INDEX(명단표[현재 근무병원],$P815))</f>
        <v/>
      </c>
      <c r="J815">
        <f>IF($P815="","",INDEX(명단표[구리 근무 시작일(기준월)],$P815)&amp;"")</f>
        <v/>
      </c>
      <c r="K815">
        <f>IF($P815="","",INDEX(명단표[구리 근무 종료일(기준월)],$P815)&amp;"")</f>
        <v/>
      </c>
      <c r="L815">
        <f>IF($P815="","",INDEX(명단표[서울 근무일(기준월)],$P815))</f>
        <v/>
      </c>
      <c r="M815">
        <f>IF($P815="","",INDEX(명단표[구리 근무일(기준월)],$P815))</f>
        <v/>
      </c>
      <c r="N815">
        <f>IF($P815="","",INDEX(명단표[급여 판정 근거],$P815))</f>
        <v/>
      </c>
      <c r="O815">
        <f>IF($P815="","",INDEX(명단표[점검],$P815))</f>
        <v/>
      </c>
      <c r="P815" s="17">
        <f>IFERROR(MATCH(810,명단표[서울순번],0),"")</f>
        <v/>
      </c>
      <c r="R815">
        <f>IF($W815="","",INDEX(명단표[이름],$W815))</f>
        <v/>
      </c>
      <c r="S815">
        <f>IF($W815="","",INDEX(명단표[사번],$W815)&amp;"")</f>
        <v/>
      </c>
      <c r="T815">
        <f>IF($W815="","",INDEX(명단표[소속병원],$W815))</f>
        <v/>
      </c>
      <c r="U815">
        <f>IF($W815="","",INDEX(명단표[서울 근무일(기준월)],$W815))</f>
        <v/>
      </c>
      <c r="V815">
        <f>IF($W815="","",INDEX(명단표[구리 근무일(기준월)],$W815))</f>
        <v/>
      </c>
      <c r="W815" s="17">
        <f>IFERROR(MATCH(810,명단표[판정불가순번],0),"")</f>
        <v/>
      </c>
    </row>
    <row r="816">
      <c r="A816">
        <f>IF($P816="","",811)</f>
        <v/>
      </c>
      <c r="B816">
        <f>IF($P816="","",INDEX(명단표[이름],$P816))</f>
        <v/>
      </c>
      <c r="C816">
        <f>IF($P816="","",INDEX(명단표[사번],$P816)&amp;"")</f>
        <v/>
      </c>
      <c r="D816">
        <f>IF($P816="","",INDEX(명단표[전공의등록번호],$P816)&amp;"")</f>
        <v/>
      </c>
      <c r="E816">
        <f>IF($P816="","",INDEX(명단표[수련과목],$P816)&amp;"")</f>
        <v/>
      </c>
      <c r="F816">
        <f>IF($P816="","",INDEX(명단표[연차],$P816)&amp;"")</f>
        <v/>
      </c>
      <c r="G816">
        <f>IF($P816="","",INDEX(명단표[소속병원],$P816))</f>
        <v/>
      </c>
      <c r="H816">
        <f>IF($P816="","",IF(INDEX(명단표[소속병원],$P816)="서울병원","서울 소속","타 병원 소속("&amp;INDEX(명단표[소속병원],$P816)&amp;") → 서울 지급"))</f>
        <v/>
      </c>
      <c r="I816">
        <f>IF($P816="","",INDEX(명단표[현재 근무병원],$P816))</f>
        <v/>
      </c>
      <c r="J816">
        <f>IF($P816="","",INDEX(명단표[구리 근무 시작일(기준월)],$P816)&amp;"")</f>
        <v/>
      </c>
      <c r="K816">
        <f>IF($P816="","",INDEX(명단표[구리 근무 종료일(기준월)],$P816)&amp;"")</f>
        <v/>
      </c>
      <c r="L816">
        <f>IF($P816="","",INDEX(명단표[서울 근무일(기준월)],$P816))</f>
        <v/>
      </c>
      <c r="M816">
        <f>IF($P816="","",INDEX(명단표[구리 근무일(기준월)],$P816))</f>
        <v/>
      </c>
      <c r="N816">
        <f>IF($P816="","",INDEX(명단표[급여 판정 근거],$P816))</f>
        <v/>
      </c>
      <c r="O816">
        <f>IF($P816="","",INDEX(명단표[점검],$P816))</f>
        <v/>
      </c>
      <c r="P816" s="17">
        <f>IFERROR(MATCH(811,명단표[서울순번],0),"")</f>
        <v/>
      </c>
      <c r="R816">
        <f>IF($W816="","",INDEX(명단표[이름],$W816))</f>
        <v/>
      </c>
      <c r="S816">
        <f>IF($W816="","",INDEX(명단표[사번],$W816)&amp;"")</f>
        <v/>
      </c>
      <c r="T816">
        <f>IF($W816="","",INDEX(명단표[소속병원],$W816))</f>
        <v/>
      </c>
      <c r="U816">
        <f>IF($W816="","",INDEX(명단표[서울 근무일(기준월)],$W816))</f>
        <v/>
      </c>
      <c r="V816">
        <f>IF($W816="","",INDEX(명단표[구리 근무일(기준월)],$W816))</f>
        <v/>
      </c>
      <c r="W816" s="17">
        <f>IFERROR(MATCH(811,명단표[판정불가순번],0),"")</f>
        <v/>
      </c>
    </row>
    <row r="817">
      <c r="A817">
        <f>IF($P817="","",812)</f>
        <v/>
      </c>
      <c r="B817">
        <f>IF($P817="","",INDEX(명단표[이름],$P817))</f>
        <v/>
      </c>
      <c r="C817">
        <f>IF($P817="","",INDEX(명단표[사번],$P817)&amp;"")</f>
        <v/>
      </c>
      <c r="D817">
        <f>IF($P817="","",INDEX(명단표[전공의등록번호],$P817)&amp;"")</f>
        <v/>
      </c>
      <c r="E817">
        <f>IF($P817="","",INDEX(명단표[수련과목],$P817)&amp;"")</f>
        <v/>
      </c>
      <c r="F817">
        <f>IF($P817="","",INDEX(명단표[연차],$P817)&amp;"")</f>
        <v/>
      </c>
      <c r="G817">
        <f>IF($P817="","",INDEX(명단표[소속병원],$P817))</f>
        <v/>
      </c>
      <c r="H817">
        <f>IF($P817="","",IF(INDEX(명단표[소속병원],$P817)="서울병원","서울 소속","타 병원 소속("&amp;INDEX(명단표[소속병원],$P817)&amp;") → 서울 지급"))</f>
        <v/>
      </c>
      <c r="I817">
        <f>IF($P817="","",INDEX(명단표[현재 근무병원],$P817))</f>
        <v/>
      </c>
      <c r="J817">
        <f>IF($P817="","",INDEX(명단표[구리 근무 시작일(기준월)],$P817)&amp;"")</f>
        <v/>
      </c>
      <c r="K817">
        <f>IF($P817="","",INDEX(명단표[구리 근무 종료일(기준월)],$P817)&amp;"")</f>
        <v/>
      </c>
      <c r="L817">
        <f>IF($P817="","",INDEX(명단표[서울 근무일(기준월)],$P817))</f>
        <v/>
      </c>
      <c r="M817">
        <f>IF($P817="","",INDEX(명단표[구리 근무일(기준월)],$P817))</f>
        <v/>
      </c>
      <c r="N817">
        <f>IF($P817="","",INDEX(명단표[급여 판정 근거],$P817))</f>
        <v/>
      </c>
      <c r="O817">
        <f>IF($P817="","",INDEX(명단표[점검],$P817))</f>
        <v/>
      </c>
      <c r="P817" s="17">
        <f>IFERROR(MATCH(812,명단표[서울순번],0),"")</f>
        <v/>
      </c>
      <c r="R817">
        <f>IF($W817="","",INDEX(명단표[이름],$W817))</f>
        <v/>
      </c>
      <c r="S817">
        <f>IF($W817="","",INDEX(명단표[사번],$W817)&amp;"")</f>
        <v/>
      </c>
      <c r="T817">
        <f>IF($W817="","",INDEX(명단표[소속병원],$W817))</f>
        <v/>
      </c>
      <c r="U817">
        <f>IF($W817="","",INDEX(명단표[서울 근무일(기준월)],$W817))</f>
        <v/>
      </c>
      <c r="V817">
        <f>IF($W817="","",INDEX(명단표[구리 근무일(기준월)],$W817))</f>
        <v/>
      </c>
      <c r="W817" s="17">
        <f>IFERROR(MATCH(812,명단표[판정불가순번],0),"")</f>
        <v/>
      </c>
    </row>
    <row r="818">
      <c r="A818">
        <f>IF($P818="","",813)</f>
        <v/>
      </c>
      <c r="B818">
        <f>IF($P818="","",INDEX(명단표[이름],$P818))</f>
        <v/>
      </c>
      <c r="C818">
        <f>IF($P818="","",INDEX(명단표[사번],$P818)&amp;"")</f>
        <v/>
      </c>
      <c r="D818">
        <f>IF($P818="","",INDEX(명단표[전공의등록번호],$P818)&amp;"")</f>
        <v/>
      </c>
      <c r="E818">
        <f>IF($P818="","",INDEX(명단표[수련과목],$P818)&amp;"")</f>
        <v/>
      </c>
      <c r="F818">
        <f>IF($P818="","",INDEX(명단표[연차],$P818)&amp;"")</f>
        <v/>
      </c>
      <c r="G818">
        <f>IF($P818="","",INDEX(명단표[소속병원],$P818))</f>
        <v/>
      </c>
      <c r="H818">
        <f>IF($P818="","",IF(INDEX(명단표[소속병원],$P818)="서울병원","서울 소속","타 병원 소속("&amp;INDEX(명단표[소속병원],$P818)&amp;") → 서울 지급"))</f>
        <v/>
      </c>
      <c r="I818">
        <f>IF($P818="","",INDEX(명단표[현재 근무병원],$P818))</f>
        <v/>
      </c>
      <c r="J818">
        <f>IF($P818="","",INDEX(명단표[구리 근무 시작일(기준월)],$P818)&amp;"")</f>
        <v/>
      </c>
      <c r="K818">
        <f>IF($P818="","",INDEX(명단표[구리 근무 종료일(기준월)],$P818)&amp;"")</f>
        <v/>
      </c>
      <c r="L818">
        <f>IF($P818="","",INDEX(명단표[서울 근무일(기준월)],$P818))</f>
        <v/>
      </c>
      <c r="M818">
        <f>IF($P818="","",INDEX(명단표[구리 근무일(기준월)],$P818))</f>
        <v/>
      </c>
      <c r="N818">
        <f>IF($P818="","",INDEX(명단표[급여 판정 근거],$P818))</f>
        <v/>
      </c>
      <c r="O818">
        <f>IF($P818="","",INDEX(명단표[점검],$P818))</f>
        <v/>
      </c>
      <c r="P818" s="17">
        <f>IFERROR(MATCH(813,명단표[서울순번],0),"")</f>
        <v/>
      </c>
      <c r="R818">
        <f>IF($W818="","",INDEX(명단표[이름],$W818))</f>
        <v/>
      </c>
      <c r="S818">
        <f>IF($W818="","",INDEX(명단표[사번],$W818)&amp;"")</f>
        <v/>
      </c>
      <c r="T818">
        <f>IF($W818="","",INDEX(명단표[소속병원],$W818))</f>
        <v/>
      </c>
      <c r="U818">
        <f>IF($W818="","",INDEX(명단표[서울 근무일(기준월)],$W818))</f>
        <v/>
      </c>
      <c r="V818">
        <f>IF($W818="","",INDEX(명단표[구리 근무일(기준월)],$W818))</f>
        <v/>
      </c>
      <c r="W818" s="17">
        <f>IFERROR(MATCH(813,명단표[판정불가순번],0),"")</f>
        <v/>
      </c>
    </row>
    <row r="819">
      <c r="A819">
        <f>IF($P819="","",814)</f>
        <v/>
      </c>
      <c r="B819">
        <f>IF($P819="","",INDEX(명단표[이름],$P819))</f>
        <v/>
      </c>
      <c r="C819">
        <f>IF($P819="","",INDEX(명단표[사번],$P819)&amp;"")</f>
        <v/>
      </c>
      <c r="D819">
        <f>IF($P819="","",INDEX(명단표[전공의등록번호],$P819)&amp;"")</f>
        <v/>
      </c>
      <c r="E819">
        <f>IF($P819="","",INDEX(명단표[수련과목],$P819)&amp;"")</f>
        <v/>
      </c>
      <c r="F819">
        <f>IF($P819="","",INDEX(명단표[연차],$P819)&amp;"")</f>
        <v/>
      </c>
      <c r="G819">
        <f>IF($P819="","",INDEX(명단표[소속병원],$P819))</f>
        <v/>
      </c>
      <c r="H819">
        <f>IF($P819="","",IF(INDEX(명단표[소속병원],$P819)="서울병원","서울 소속","타 병원 소속("&amp;INDEX(명단표[소속병원],$P819)&amp;") → 서울 지급"))</f>
        <v/>
      </c>
      <c r="I819">
        <f>IF($P819="","",INDEX(명단표[현재 근무병원],$P819))</f>
        <v/>
      </c>
      <c r="J819">
        <f>IF($P819="","",INDEX(명단표[구리 근무 시작일(기준월)],$P819)&amp;"")</f>
        <v/>
      </c>
      <c r="K819">
        <f>IF($P819="","",INDEX(명단표[구리 근무 종료일(기준월)],$P819)&amp;"")</f>
        <v/>
      </c>
      <c r="L819">
        <f>IF($P819="","",INDEX(명단표[서울 근무일(기준월)],$P819))</f>
        <v/>
      </c>
      <c r="M819">
        <f>IF($P819="","",INDEX(명단표[구리 근무일(기준월)],$P819))</f>
        <v/>
      </c>
      <c r="N819">
        <f>IF($P819="","",INDEX(명단표[급여 판정 근거],$P819))</f>
        <v/>
      </c>
      <c r="O819">
        <f>IF($P819="","",INDEX(명단표[점검],$P819))</f>
        <v/>
      </c>
      <c r="P819" s="17">
        <f>IFERROR(MATCH(814,명단표[서울순번],0),"")</f>
        <v/>
      </c>
      <c r="R819">
        <f>IF($W819="","",INDEX(명단표[이름],$W819))</f>
        <v/>
      </c>
      <c r="S819">
        <f>IF($W819="","",INDEX(명단표[사번],$W819)&amp;"")</f>
        <v/>
      </c>
      <c r="T819">
        <f>IF($W819="","",INDEX(명단표[소속병원],$W819))</f>
        <v/>
      </c>
      <c r="U819">
        <f>IF($W819="","",INDEX(명단표[서울 근무일(기준월)],$W819))</f>
        <v/>
      </c>
      <c r="V819">
        <f>IF($W819="","",INDEX(명단표[구리 근무일(기준월)],$W819))</f>
        <v/>
      </c>
      <c r="W819" s="17">
        <f>IFERROR(MATCH(814,명단표[판정불가순번],0),"")</f>
        <v/>
      </c>
    </row>
    <row r="820">
      <c r="A820">
        <f>IF($P820="","",815)</f>
        <v/>
      </c>
      <c r="B820">
        <f>IF($P820="","",INDEX(명단표[이름],$P820))</f>
        <v/>
      </c>
      <c r="C820">
        <f>IF($P820="","",INDEX(명단표[사번],$P820)&amp;"")</f>
        <v/>
      </c>
      <c r="D820">
        <f>IF($P820="","",INDEX(명단표[전공의등록번호],$P820)&amp;"")</f>
        <v/>
      </c>
      <c r="E820">
        <f>IF($P820="","",INDEX(명단표[수련과목],$P820)&amp;"")</f>
        <v/>
      </c>
      <c r="F820">
        <f>IF($P820="","",INDEX(명단표[연차],$P820)&amp;"")</f>
        <v/>
      </c>
      <c r="G820">
        <f>IF($P820="","",INDEX(명단표[소속병원],$P820))</f>
        <v/>
      </c>
      <c r="H820">
        <f>IF($P820="","",IF(INDEX(명단표[소속병원],$P820)="서울병원","서울 소속","타 병원 소속("&amp;INDEX(명단표[소속병원],$P820)&amp;") → 서울 지급"))</f>
        <v/>
      </c>
      <c r="I820">
        <f>IF($P820="","",INDEX(명단표[현재 근무병원],$P820))</f>
        <v/>
      </c>
      <c r="J820">
        <f>IF($P820="","",INDEX(명단표[구리 근무 시작일(기준월)],$P820)&amp;"")</f>
        <v/>
      </c>
      <c r="K820">
        <f>IF($P820="","",INDEX(명단표[구리 근무 종료일(기준월)],$P820)&amp;"")</f>
        <v/>
      </c>
      <c r="L820">
        <f>IF($P820="","",INDEX(명단표[서울 근무일(기준월)],$P820))</f>
        <v/>
      </c>
      <c r="M820">
        <f>IF($P820="","",INDEX(명단표[구리 근무일(기준월)],$P820))</f>
        <v/>
      </c>
      <c r="N820">
        <f>IF($P820="","",INDEX(명단표[급여 판정 근거],$P820))</f>
        <v/>
      </c>
      <c r="O820">
        <f>IF($P820="","",INDEX(명단표[점검],$P820))</f>
        <v/>
      </c>
      <c r="P820" s="17">
        <f>IFERROR(MATCH(815,명단표[서울순번],0),"")</f>
        <v/>
      </c>
      <c r="R820">
        <f>IF($W820="","",INDEX(명단표[이름],$W820))</f>
        <v/>
      </c>
      <c r="S820">
        <f>IF($W820="","",INDEX(명단표[사번],$W820)&amp;"")</f>
        <v/>
      </c>
      <c r="T820">
        <f>IF($W820="","",INDEX(명단표[소속병원],$W820))</f>
        <v/>
      </c>
      <c r="U820">
        <f>IF($W820="","",INDEX(명단표[서울 근무일(기준월)],$W820))</f>
        <v/>
      </c>
      <c r="V820">
        <f>IF($W820="","",INDEX(명단표[구리 근무일(기준월)],$W820))</f>
        <v/>
      </c>
      <c r="W820" s="17">
        <f>IFERROR(MATCH(815,명단표[판정불가순번],0),"")</f>
        <v/>
      </c>
    </row>
    <row r="821">
      <c r="A821">
        <f>IF($P821="","",816)</f>
        <v/>
      </c>
      <c r="B821">
        <f>IF($P821="","",INDEX(명단표[이름],$P821))</f>
        <v/>
      </c>
      <c r="C821">
        <f>IF($P821="","",INDEX(명단표[사번],$P821)&amp;"")</f>
        <v/>
      </c>
      <c r="D821">
        <f>IF($P821="","",INDEX(명단표[전공의등록번호],$P821)&amp;"")</f>
        <v/>
      </c>
      <c r="E821">
        <f>IF($P821="","",INDEX(명단표[수련과목],$P821)&amp;"")</f>
        <v/>
      </c>
      <c r="F821">
        <f>IF($P821="","",INDEX(명단표[연차],$P821)&amp;"")</f>
        <v/>
      </c>
      <c r="G821">
        <f>IF($P821="","",INDEX(명단표[소속병원],$P821))</f>
        <v/>
      </c>
      <c r="H821">
        <f>IF($P821="","",IF(INDEX(명단표[소속병원],$P821)="서울병원","서울 소속","타 병원 소속("&amp;INDEX(명단표[소속병원],$P821)&amp;") → 서울 지급"))</f>
        <v/>
      </c>
      <c r="I821">
        <f>IF($P821="","",INDEX(명단표[현재 근무병원],$P821))</f>
        <v/>
      </c>
      <c r="J821">
        <f>IF($P821="","",INDEX(명단표[구리 근무 시작일(기준월)],$P821)&amp;"")</f>
        <v/>
      </c>
      <c r="K821">
        <f>IF($P821="","",INDEX(명단표[구리 근무 종료일(기준월)],$P821)&amp;"")</f>
        <v/>
      </c>
      <c r="L821">
        <f>IF($P821="","",INDEX(명단표[서울 근무일(기준월)],$P821))</f>
        <v/>
      </c>
      <c r="M821">
        <f>IF($P821="","",INDEX(명단표[구리 근무일(기준월)],$P821))</f>
        <v/>
      </c>
      <c r="N821">
        <f>IF($P821="","",INDEX(명단표[급여 판정 근거],$P821))</f>
        <v/>
      </c>
      <c r="O821">
        <f>IF($P821="","",INDEX(명단표[점검],$P821))</f>
        <v/>
      </c>
      <c r="P821" s="17">
        <f>IFERROR(MATCH(816,명단표[서울순번],0),"")</f>
        <v/>
      </c>
      <c r="R821">
        <f>IF($W821="","",INDEX(명단표[이름],$W821))</f>
        <v/>
      </c>
      <c r="S821">
        <f>IF($W821="","",INDEX(명단표[사번],$W821)&amp;"")</f>
        <v/>
      </c>
      <c r="T821">
        <f>IF($W821="","",INDEX(명단표[소속병원],$W821))</f>
        <v/>
      </c>
      <c r="U821">
        <f>IF($W821="","",INDEX(명단표[서울 근무일(기준월)],$W821))</f>
        <v/>
      </c>
      <c r="V821">
        <f>IF($W821="","",INDEX(명단표[구리 근무일(기준월)],$W821))</f>
        <v/>
      </c>
      <c r="W821" s="17">
        <f>IFERROR(MATCH(816,명단표[판정불가순번],0),"")</f>
        <v/>
      </c>
    </row>
    <row r="822">
      <c r="A822">
        <f>IF($P822="","",817)</f>
        <v/>
      </c>
      <c r="B822">
        <f>IF($P822="","",INDEX(명단표[이름],$P822))</f>
        <v/>
      </c>
      <c r="C822">
        <f>IF($P822="","",INDEX(명단표[사번],$P822)&amp;"")</f>
        <v/>
      </c>
      <c r="D822">
        <f>IF($P822="","",INDEX(명단표[전공의등록번호],$P822)&amp;"")</f>
        <v/>
      </c>
      <c r="E822">
        <f>IF($P822="","",INDEX(명단표[수련과목],$P822)&amp;"")</f>
        <v/>
      </c>
      <c r="F822">
        <f>IF($P822="","",INDEX(명단표[연차],$P822)&amp;"")</f>
        <v/>
      </c>
      <c r="G822">
        <f>IF($P822="","",INDEX(명단표[소속병원],$P822))</f>
        <v/>
      </c>
      <c r="H822">
        <f>IF($P822="","",IF(INDEX(명단표[소속병원],$P822)="서울병원","서울 소속","타 병원 소속("&amp;INDEX(명단표[소속병원],$P822)&amp;") → 서울 지급"))</f>
        <v/>
      </c>
      <c r="I822">
        <f>IF($P822="","",INDEX(명단표[현재 근무병원],$P822))</f>
        <v/>
      </c>
      <c r="J822">
        <f>IF($P822="","",INDEX(명단표[구리 근무 시작일(기준월)],$P822)&amp;"")</f>
        <v/>
      </c>
      <c r="K822">
        <f>IF($P822="","",INDEX(명단표[구리 근무 종료일(기준월)],$P822)&amp;"")</f>
        <v/>
      </c>
      <c r="L822">
        <f>IF($P822="","",INDEX(명단표[서울 근무일(기준월)],$P822))</f>
        <v/>
      </c>
      <c r="M822">
        <f>IF($P822="","",INDEX(명단표[구리 근무일(기준월)],$P822))</f>
        <v/>
      </c>
      <c r="N822">
        <f>IF($P822="","",INDEX(명단표[급여 판정 근거],$P822))</f>
        <v/>
      </c>
      <c r="O822">
        <f>IF($P822="","",INDEX(명단표[점검],$P822))</f>
        <v/>
      </c>
      <c r="P822" s="17">
        <f>IFERROR(MATCH(817,명단표[서울순번],0),"")</f>
        <v/>
      </c>
      <c r="R822">
        <f>IF($W822="","",INDEX(명단표[이름],$W822))</f>
        <v/>
      </c>
      <c r="S822">
        <f>IF($W822="","",INDEX(명단표[사번],$W822)&amp;"")</f>
        <v/>
      </c>
      <c r="T822">
        <f>IF($W822="","",INDEX(명단표[소속병원],$W822))</f>
        <v/>
      </c>
      <c r="U822">
        <f>IF($W822="","",INDEX(명단표[서울 근무일(기준월)],$W822))</f>
        <v/>
      </c>
      <c r="V822">
        <f>IF($W822="","",INDEX(명단표[구리 근무일(기준월)],$W822))</f>
        <v/>
      </c>
      <c r="W822" s="17">
        <f>IFERROR(MATCH(817,명단표[판정불가순번],0),"")</f>
        <v/>
      </c>
    </row>
    <row r="823">
      <c r="A823">
        <f>IF($P823="","",818)</f>
        <v/>
      </c>
      <c r="B823">
        <f>IF($P823="","",INDEX(명단표[이름],$P823))</f>
        <v/>
      </c>
      <c r="C823">
        <f>IF($P823="","",INDEX(명단표[사번],$P823)&amp;"")</f>
        <v/>
      </c>
      <c r="D823">
        <f>IF($P823="","",INDEX(명단표[전공의등록번호],$P823)&amp;"")</f>
        <v/>
      </c>
      <c r="E823">
        <f>IF($P823="","",INDEX(명단표[수련과목],$P823)&amp;"")</f>
        <v/>
      </c>
      <c r="F823">
        <f>IF($P823="","",INDEX(명단표[연차],$P823)&amp;"")</f>
        <v/>
      </c>
      <c r="G823">
        <f>IF($P823="","",INDEX(명단표[소속병원],$P823))</f>
        <v/>
      </c>
      <c r="H823">
        <f>IF($P823="","",IF(INDEX(명단표[소속병원],$P823)="서울병원","서울 소속","타 병원 소속("&amp;INDEX(명단표[소속병원],$P823)&amp;") → 서울 지급"))</f>
        <v/>
      </c>
      <c r="I823">
        <f>IF($P823="","",INDEX(명단표[현재 근무병원],$P823))</f>
        <v/>
      </c>
      <c r="J823">
        <f>IF($P823="","",INDEX(명단표[구리 근무 시작일(기준월)],$P823)&amp;"")</f>
        <v/>
      </c>
      <c r="K823">
        <f>IF($P823="","",INDEX(명단표[구리 근무 종료일(기준월)],$P823)&amp;"")</f>
        <v/>
      </c>
      <c r="L823">
        <f>IF($P823="","",INDEX(명단표[서울 근무일(기준월)],$P823))</f>
        <v/>
      </c>
      <c r="M823">
        <f>IF($P823="","",INDEX(명단표[구리 근무일(기준월)],$P823))</f>
        <v/>
      </c>
      <c r="N823">
        <f>IF($P823="","",INDEX(명단표[급여 판정 근거],$P823))</f>
        <v/>
      </c>
      <c r="O823">
        <f>IF($P823="","",INDEX(명단표[점검],$P823))</f>
        <v/>
      </c>
      <c r="P823" s="17">
        <f>IFERROR(MATCH(818,명단표[서울순번],0),"")</f>
        <v/>
      </c>
      <c r="R823">
        <f>IF($W823="","",INDEX(명단표[이름],$W823))</f>
        <v/>
      </c>
      <c r="S823">
        <f>IF($W823="","",INDEX(명단표[사번],$W823)&amp;"")</f>
        <v/>
      </c>
      <c r="T823">
        <f>IF($W823="","",INDEX(명단표[소속병원],$W823))</f>
        <v/>
      </c>
      <c r="U823">
        <f>IF($W823="","",INDEX(명단표[서울 근무일(기준월)],$W823))</f>
        <v/>
      </c>
      <c r="V823">
        <f>IF($W823="","",INDEX(명단표[구리 근무일(기준월)],$W823))</f>
        <v/>
      </c>
      <c r="W823" s="17">
        <f>IFERROR(MATCH(818,명단표[판정불가순번],0),"")</f>
        <v/>
      </c>
    </row>
    <row r="824">
      <c r="A824">
        <f>IF($P824="","",819)</f>
        <v/>
      </c>
      <c r="B824">
        <f>IF($P824="","",INDEX(명단표[이름],$P824))</f>
        <v/>
      </c>
      <c r="C824">
        <f>IF($P824="","",INDEX(명단표[사번],$P824)&amp;"")</f>
        <v/>
      </c>
      <c r="D824">
        <f>IF($P824="","",INDEX(명단표[전공의등록번호],$P824)&amp;"")</f>
        <v/>
      </c>
      <c r="E824">
        <f>IF($P824="","",INDEX(명단표[수련과목],$P824)&amp;"")</f>
        <v/>
      </c>
      <c r="F824">
        <f>IF($P824="","",INDEX(명단표[연차],$P824)&amp;"")</f>
        <v/>
      </c>
      <c r="G824">
        <f>IF($P824="","",INDEX(명단표[소속병원],$P824))</f>
        <v/>
      </c>
      <c r="H824">
        <f>IF($P824="","",IF(INDEX(명단표[소속병원],$P824)="서울병원","서울 소속","타 병원 소속("&amp;INDEX(명단표[소속병원],$P824)&amp;") → 서울 지급"))</f>
        <v/>
      </c>
      <c r="I824">
        <f>IF($P824="","",INDEX(명단표[현재 근무병원],$P824))</f>
        <v/>
      </c>
      <c r="J824">
        <f>IF($P824="","",INDEX(명단표[구리 근무 시작일(기준월)],$P824)&amp;"")</f>
        <v/>
      </c>
      <c r="K824">
        <f>IF($P824="","",INDEX(명단표[구리 근무 종료일(기준월)],$P824)&amp;"")</f>
        <v/>
      </c>
      <c r="L824">
        <f>IF($P824="","",INDEX(명단표[서울 근무일(기준월)],$P824))</f>
        <v/>
      </c>
      <c r="M824">
        <f>IF($P824="","",INDEX(명단표[구리 근무일(기준월)],$P824))</f>
        <v/>
      </c>
      <c r="N824">
        <f>IF($P824="","",INDEX(명단표[급여 판정 근거],$P824))</f>
        <v/>
      </c>
      <c r="O824">
        <f>IF($P824="","",INDEX(명단표[점검],$P824))</f>
        <v/>
      </c>
      <c r="P824" s="17">
        <f>IFERROR(MATCH(819,명단표[서울순번],0),"")</f>
        <v/>
      </c>
      <c r="R824">
        <f>IF($W824="","",INDEX(명단표[이름],$W824))</f>
        <v/>
      </c>
      <c r="S824">
        <f>IF($W824="","",INDEX(명단표[사번],$W824)&amp;"")</f>
        <v/>
      </c>
      <c r="T824">
        <f>IF($W824="","",INDEX(명단표[소속병원],$W824))</f>
        <v/>
      </c>
      <c r="U824">
        <f>IF($W824="","",INDEX(명단표[서울 근무일(기준월)],$W824))</f>
        <v/>
      </c>
      <c r="V824">
        <f>IF($W824="","",INDEX(명단표[구리 근무일(기준월)],$W824))</f>
        <v/>
      </c>
      <c r="W824" s="17">
        <f>IFERROR(MATCH(819,명단표[판정불가순번],0),"")</f>
        <v/>
      </c>
    </row>
    <row r="825">
      <c r="A825">
        <f>IF($P825="","",820)</f>
        <v/>
      </c>
      <c r="B825">
        <f>IF($P825="","",INDEX(명단표[이름],$P825))</f>
        <v/>
      </c>
      <c r="C825">
        <f>IF($P825="","",INDEX(명단표[사번],$P825)&amp;"")</f>
        <v/>
      </c>
      <c r="D825">
        <f>IF($P825="","",INDEX(명단표[전공의등록번호],$P825)&amp;"")</f>
        <v/>
      </c>
      <c r="E825">
        <f>IF($P825="","",INDEX(명단표[수련과목],$P825)&amp;"")</f>
        <v/>
      </c>
      <c r="F825">
        <f>IF($P825="","",INDEX(명단표[연차],$P825)&amp;"")</f>
        <v/>
      </c>
      <c r="G825">
        <f>IF($P825="","",INDEX(명단표[소속병원],$P825))</f>
        <v/>
      </c>
      <c r="H825">
        <f>IF($P825="","",IF(INDEX(명단표[소속병원],$P825)="서울병원","서울 소속","타 병원 소속("&amp;INDEX(명단표[소속병원],$P825)&amp;") → 서울 지급"))</f>
        <v/>
      </c>
      <c r="I825">
        <f>IF($P825="","",INDEX(명단표[현재 근무병원],$P825))</f>
        <v/>
      </c>
      <c r="J825">
        <f>IF($P825="","",INDEX(명단표[구리 근무 시작일(기준월)],$P825)&amp;"")</f>
        <v/>
      </c>
      <c r="K825">
        <f>IF($P825="","",INDEX(명단표[구리 근무 종료일(기준월)],$P825)&amp;"")</f>
        <v/>
      </c>
      <c r="L825">
        <f>IF($P825="","",INDEX(명단표[서울 근무일(기준월)],$P825))</f>
        <v/>
      </c>
      <c r="M825">
        <f>IF($P825="","",INDEX(명단표[구리 근무일(기준월)],$P825))</f>
        <v/>
      </c>
      <c r="N825">
        <f>IF($P825="","",INDEX(명단표[급여 판정 근거],$P825))</f>
        <v/>
      </c>
      <c r="O825">
        <f>IF($P825="","",INDEX(명단표[점검],$P825))</f>
        <v/>
      </c>
      <c r="P825" s="17">
        <f>IFERROR(MATCH(820,명단표[서울순번],0),"")</f>
        <v/>
      </c>
      <c r="R825">
        <f>IF($W825="","",INDEX(명단표[이름],$W825))</f>
        <v/>
      </c>
      <c r="S825">
        <f>IF($W825="","",INDEX(명단표[사번],$W825)&amp;"")</f>
        <v/>
      </c>
      <c r="T825">
        <f>IF($W825="","",INDEX(명단표[소속병원],$W825))</f>
        <v/>
      </c>
      <c r="U825">
        <f>IF($W825="","",INDEX(명단표[서울 근무일(기준월)],$W825))</f>
        <v/>
      </c>
      <c r="V825">
        <f>IF($W825="","",INDEX(명단표[구리 근무일(기준월)],$W825))</f>
        <v/>
      </c>
      <c r="W825" s="17">
        <f>IFERROR(MATCH(820,명단표[판정불가순번],0),"")</f>
        <v/>
      </c>
    </row>
    <row r="826">
      <c r="A826">
        <f>IF($P826="","",821)</f>
        <v/>
      </c>
      <c r="B826">
        <f>IF($P826="","",INDEX(명단표[이름],$P826))</f>
        <v/>
      </c>
      <c r="C826">
        <f>IF($P826="","",INDEX(명단표[사번],$P826)&amp;"")</f>
        <v/>
      </c>
      <c r="D826">
        <f>IF($P826="","",INDEX(명단표[전공의등록번호],$P826)&amp;"")</f>
        <v/>
      </c>
      <c r="E826">
        <f>IF($P826="","",INDEX(명단표[수련과목],$P826)&amp;"")</f>
        <v/>
      </c>
      <c r="F826">
        <f>IF($P826="","",INDEX(명단표[연차],$P826)&amp;"")</f>
        <v/>
      </c>
      <c r="G826">
        <f>IF($P826="","",INDEX(명단표[소속병원],$P826))</f>
        <v/>
      </c>
      <c r="H826">
        <f>IF($P826="","",IF(INDEX(명단표[소속병원],$P826)="서울병원","서울 소속","타 병원 소속("&amp;INDEX(명단표[소속병원],$P826)&amp;") → 서울 지급"))</f>
        <v/>
      </c>
      <c r="I826">
        <f>IF($P826="","",INDEX(명단표[현재 근무병원],$P826))</f>
        <v/>
      </c>
      <c r="J826">
        <f>IF($P826="","",INDEX(명단표[구리 근무 시작일(기준월)],$P826)&amp;"")</f>
        <v/>
      </c>
      <c r="K826">
        <f>IF($P826="","",INDEX(명단표[구리 근무 종료일(기준월)],$P826)&amp;"")</f>
        <v/>
      </c>
      <c r="L826">
        <f>IF($P826="","",INDEX(명단표[서울 근무일(기준월)],$P826))</f>
        <v/>
      </c>
      <c r="M826">
        <f>IF($P826="","",INDEX(명단표[구리 근무일(기준월)],$P826))</f>
        <v/>
      </c>
      <c r="N826">
        <f>IF($P826="","",INDEX(명단표[급여 판정 근거],$P826))</f>
        <v/>
      </c>
      <c r="O826">
        <f>IF($P826="","",INDEX(명단표[점검],$P826))</f>
        <v/>
      </c>
      <c r="P826" s="17">
        <f>IFERROR(MATCH(821,명단표[서울순번],0),"")</f>
        <v/>
      </c>
      <c r="R826">
        <f>IF($W826="","",INDEX(명단표[이름],$W826))</f>
        <v/>
      </c>
      <c r="S826">
        <f>IF($W826="","",INDEX(명단표[사번],$W826)&amp;"")</f>
        <v/>
      </c>
      <c r="T826">
        <f>IF($W826="","",INDEX(명단표[소속병원],$W826))</f>
        <v/>
      </c>
      <c r="U826">
        <f>IF($W826="","",INDEX(명단표[서울 근무일(기준월)],$W826))</f>
        <v/>
      </c>
      <c r="V826">
        <f>IF($W826="","",INDEX(명단표[구리 근무일(기준월)],$W826))</f>
        <v/>
      </c>
      <c r="W826" s="17">
        <f>IFERROR(MATCH(821,명단표[판정불가순번],0),"")</f>
        <v/>
      </c>
    </row>
    <row r="827">
      <c r="A827">
        <f>IF($P827="","",822)</f>
        <v/>
      </c>
      <c r="B827">
        <f>IF($P827="","",INDEX(명단표[이름],$P827))</f>
        <v/>
      </c>
      <c r="C827">
        <f>IF($P827="","",INDEX(명단표[사번],$P827)&amp;"")</f>
        <v/>
      </c>
      <c r="D827">
        <f>IF($P827="","",INDEX(명단표[전공의등록번호],$P827)&amp;"")</f>
        <v/>
      </c>
      <c r="E827">
        <f>IF($P827="","",INDEX(명단표[수련과목],$P827)&amp;"")</f>
        <v/>
      </c>
      <c r="F827">
        <f>IF($P827="","",INDEX(명단표[연차],$P827)&amp;"")</f>
        <v/>
      </c>
      <c r="G827">
        <f>IF($P827="","",INDEX(명단표[소속병원],$P827))</f>
        <v/>
      </c>
      <c r="H827">
        <f>IF($P827="","",IF(INDEX(명단표[소속병원],$P827)="서울병원","서울 소속","타 병원 소속("&amp;INDEX(명단표[소속병원],$P827)&amp;") → 서울 지급"))</f>
        <v/>
      </c>
      <c r="I827">
        <f>IF($P827="","",INDEX(명단표[현재 근무병원],$P827))</f>
        <v/>
      </c>
      <c r="J827">
        <f>IF($P827="","",INDEX(명단표[구리 근무 시작일(기준월)],$P827)&amp;"")</f>
        <v/>
      </c>
      <c r="K827">
        <f>IF($P827="","",INDEX(명단표[구리 근무 종료일(기준월)],$P827)&amp;"")</f>
        <v/>
      </c>
      <c r="L827">
        <f>IF($P827="","",INDEX(명단표[서울 근무일(기준월)],$P827))</f>
        <v/>
      </c>
      <c r="M827">
        <f>IF($P827="","",INDEX(명단표[구리 근무일(기준월)],$P827))</f>
        <v/>
      </c>
      <c r="N827">
        <f>IF($P827="","",INDEX(명단표[급여 판정 근거],$P827))</f>
        <v/>
      </c>
      <c r="O827">
        <f>IF($P827="","",INDEX(명단표[점검],$P827))</f>
        <v/>
      </c>
      <c r="P827" s="17">
        <f>IFERROR(MATCH(822,명단표[서울순번],0),"")</f>
        <v/>
      </c>
      <c r="R827">
        <f>IF($W827="","",INDEX(명단표[이름],$W827))</f>
        <v/>
      </c>
      <c r="S827">
        <f>IF($W827="","",INDEX(명단표[사번],$W827)&amp;"")</f>
        <v/>
      </c>
      <c r="T827">
        <f>IF($W827="","",INDEX(명단표[소속병원],$W827))</f>
        <v/>
      </c>
      <c r="U827">
        <f>IF($W827="","",INDEX(명단표[서울 근무일(기준월)],$W827))</f>
        <v/>
      </c>
      <c r="V827">
        <f>IF($W827="","",INDEX(명단표[구리 근무일(기준월)],$W827))</f>
        <v/>
      </c>
      <c r="W827" s="17">
        <f>IFERROR(MATCH(822,명단표[판정불가순번],0),"")</f>
        <v/>
      </c>
    </row>
    <row r="828">
      <c r="A828">
        <f>IF($P828="","",823)</f>
        <v/>
      </c>
      <c r="B828">
        <f>IF($P828="","",INDEX(명단표[이름],$P828))</f>
        <v/>
      </c>
      <c r="C828">
        <f>IF($P828="","",INDEX(명단표[사번],$P828)&amp;"")</f>
        <v/>
      </c>
      <c r="D828">
        <f>IF($P828="","",INDEX(명단표[전공의등록번호],$P828)&amp;"")</f>
        <v/>
      </c>
      <c r="E828">
        <f>IF($P828="","",INDEX(명단표[수련과목],$P828)&amp;"")</f>
        <v/>
      </c>
      <c r="F828">
        <f>IF($P828="","",INDEX(명단표[연차],$P828)&amp;"")</f>
        <v/>
      </c>
      <c r="G828">
        <f>IF($P828="","",INDEX(명단표[소속병원],$P828))</f>
        <v/>
      </c>
      <c r="H828">
        <f>IF($P828="","",IF(INDEX(명단표[소속병원],$P828)="서울병원","서울 소속","타 병원 소속("&amp;INDEX(명단표[소속병원],$P828)&amp;") → 서울 지급"))</f>
        <v/>
      </c>
      <c r="I828">
        <f>IF($P828="","",INDEX(명단표[현재 근무병원],$P828))</f>
        <v/>
      </c>
      <c r="J828">
        <f>IF($P828="","",INDEX(명단표[구리 근무 시작일(기준월)],$P828)&amp;"")</f>
        <v/>
      </c>
      <c r="K828">
        <f>IF($P828="","",INDEX(명단표[구리 근무 종료일(기준월)],$P828)&amp;"")</f>
        <v/>
      </c>
      <c r="L828">
        <f>IF($P828="","",INDEX(명단표[서울 근무일(기준월)],$P828))</f>
        <v/>
      </c>
      <c r="M828">
        <f>IF($P828="","",INDEX(명단표[구리 근무일(기준월)],$P828))</f>
        <v/>
      </c>
      <c r="N828">
        <f>IF($P828="","",INDEX(명단표[급여 판정 근거],$P828))</f>
        <v/>
      </c>
      <c r="O828">
        <f>IF($P828="","",INDEX(명단표[점검],$P828))</f>
        <v/>
      </c>
      <c r="P828" s="17">
        <f>IFERROR(MATCH(823,명단표[서울순번],0),"")</f>
        <v/>
      </c>
      <c r="R828">
        <f>IF($W828="","",INDEX(명단표[이름],$W828))</f>
        <v/>
      </c>
      <c r="S828">
        <f>IF($W828="","",INDEX(명단표[사번],$W828)&amp;"")</f>
        <v/>
      </c>
      <c r="T828">
        <f>IF($W828="","",INDEX(명단표[소속병원],$W828))</f>
        <v/>
      </c>
      <c r="U828">
        <f>IF($W828="","",INDEX(명단표[서울 근무일(기준월)],$W828))</f>
        <v/>
      </c>
      <c r="V828">
        <f>IF($W828="","",INDEX(명단표[구리 근무일(기준월)],$W828))</f>
        <v/>
      </c>
      <c r="W828" s="17">
        <f>IFERROR(MATCH(823,명단표[판정불가순번],0),"")</f>
        <v/>
      </c>
    </row>
    <row r="829">
      <c r="A829">
        <f>IF($P829="","",824)</f>
        <v/>
      </c>
      <c r="B829">
        <f>IF($P829="","",INDEX(명단표[이름],$P829))</f>
        <v/>
      </c>
      <c r="C829">
        <f>IF($P829="","",INDEX(명단표[사번],$P829)&amp;"")</f>
        <v/>
      </c>
      <c r="D829">
        <f>IF($P829="","",INDEX(명단표[전공의등록번호],$P829)&amp;"")</f>
        <v/>
      </c>
      <c r="E829">
        <f>IF($P829="","",INDEX(명단표[수련과목],$P829)&amp;"")</f>
        <v/>
      </c>
      <c r="F829">
        <f>IF($P829="","",INDEX(명단표[연차],$P829)&amp;"")</f>
        <v/>
      </c>
      <c r="G829">
        <f>IF($P829="","",INDEX(명단표[소속병원],$P829))</f>
        <v/>
      </c>
      <c r="H829">
        <f>IF($P829="","",IF(INDEX(명단표[소속병원],$P829)="서울병원","서울 소속","타 병원 소속("&amp;INDEX(명단표[소속병원],$P829)&amp;") → 서울 지급"))</f>
        <v/>
      </c>
      <c r="I829">
        <f>IF($P829="","",INDEX(명단표[현재 근무병원],$P829))</f>
        <v/>
      </c>
      <c r="J829">
        <f>IF($P829="","",INDEX(명단표[구리 근무 시작일(기준월)],$P829)&amp;"")</f>
        <v/>
      </c>
      <c r="K829">
        <f>IF($P829="","",INDEX(명단표[구리 근무 종료일(기준월)],$P829)&amp;"")</f>
        <v/>
      </c>
      <c r="L829">
        <f>IF($P829="","",INDEX(명단표[서울 근무일(기준월)],$P829))</f>
        <v/>
      </c>
      <c r="M829">
        <f>IF($P829="","",INDEX(명단표[구리 근무일(기준월)],$P829))</f>
        <v/>
      </c>
      <c r="N829">
        <f>IF($P829="","",INDEX(명단표[급여 판정 근거],$P829))</f>
        <v/>
      </c>
      <c r="O829">
        <f>IF($P829="","",INDEX(명단표[점검],$P829))</f>
        <v/>
      </c>
      <c r="P829" s="17">
        <f>IFERROR(MATCH(824,명단표[서울순번],0),"")</f>
        <v/>
      </c>
      <c r="R829">
        <f>IF($W829="","",INDEX(명단표[이름],$W829))</f>
        <v/>
      </c>
      <c r="S829">
        <f>IF($W829="","",INDEX(명단표[사번],$W829)&amp;"")</f>
        <v/>
      </c>
      <c r="T829">
        <f>IF($W829="","",INDEX(명단표[소속병원],$W829))</f>
        <v/>
      </c>
      <c r="U829">
        <f>IF($W829="","",INDEX(명단표[서울 근무일(기준월)],$W829))</f>
        <v/>
      </c>
      <c r="V829">
        <f>IF($W829="","",INDEX(명단표[구리 근무일(기준월)],$W829))</f>
        <v/>
      </c>
      <c r="W829" s="17">
        <f>IFERROR(MATCH(824,명단표[판정불가순번],0),"")</f>
        <v/>
      </c>
    </row>
    <row r="830">
      <c r="A830">
        <f>IF($P830="","",825)</f>
        <v/>
      </c>
      <c r="B830">
        <f>IF($P830="","",INDEX(명단표[이름],$P830))</f>
        <v/>
      </c>
      <c r="C830">
        <f>IF($P830="","",INDEX(명단표[사번],$P830)&amp;"")</f>
        <v/>
      </c>
      <c r="D830">
        <f>IF($P830="","",INDEX(명단표[전공의등록번호],$P830)&amp;"")</f>
        <v/>
      </c>
      <c r="E830">
        <f>IF($P830="","",INDEX(명단표[수련과목],$P830)&amp;"")</f>
        <v/>
      </c>
      <c r="F830">
        <f>IF($P830="","",INDEX(명단표[연차],$P830)&amp;"")</f>
        <v/>
      </c>
      <c r="G830">
        <f>IF($P830="","",INDEX(명단표[소속병원],$P830))</f>
        <v/>
      </c>
      <c r="H830">
        <f>IF($P830="","",IF(INDEX(명단표[소속병원],$P830)="서울병원","서울 소속","타 병원 소속("&amp;INDEX(명단표[소속병원],$P830)&amp;") → 서울 지급"))</f>
        <v/>
      </c>
      <c r="I830">
        <f>IF($P830="","",INDEX(명단표[현재 근무병원],$P830))</f>
        <v/>
      </c>
      <c r="J830">
        <f>IF($P830="","",INDEX(명단표[구리 근무 시작일(기준월)],$P830)&amp;"")</f>
        <v/>
      </c>
      <c r="K830">
        <f>IF($P830="","",INDEX(명단표[구리 근무 종료일(기준월)],$P830)&amp;"")</f>
        <v/>
      </c>
      <c r="L830">
        <f>IF($P830="","",INDEX(명단표[서울 근무일(기준월)],$P830))</f>
        <v/>
      </c>
      <c r="M830">
        <f>IF($P830="","",INDEX(명단표[구리 근무일(기준월)],$P830))</f>
        <v/>
      </c>
      <c r="N830">
        <f>IF($P830="","",INDEX(명단표[급여 판정 근거],$P830))</f>
        <v/>
      </c>
      <c r="O830">
        <f>IF($P830="","",INDEX(명단표[점검],$P830))</f>
        <v/>
      </c>
      <c r="P830" s="17">
        <f>IFERROR(MATCH(825,명단표[서울순번],0),"")</f>
        <v/>
      </c>
      <c r="R830">
        <f>IF($W830="","",INDEX(명단표[이름],$W830))</f>
        <v/>
      </c>
      <c r="S830">
        <f>IF($W830="","",INDEX(명단표[사번],$W830)&amp;"")</f>
        <v/>
      </c>
      <c r="T830">
        <f>IF($W830="","",INDEX(명단표[소속병원],$W830))</f>
        <v/>
      </c>
      <c r="U830">
        <f>IF($W830="","",INDEX(명단표[서울 근무일(기준월)],$W830))</f>
        <v/>
      </c>
      <c r="V830">
        <f>IF($W830="","",INDEX(명단표[구리 근무일(기준월)],$W830))</f>
        <v/>
      </c>
      <c r="W830" s="17">
        <f>IFERROR(MATCH(825,명단표[판정불가순번],0),"")</f>
        <v/>
      </c>
    </row>
    <row r="831">
      <c r="A831">
        <f>IF($P831="","",826)</f>
        <v/>
      </c>
      <c r="B831">
        <f>IF($P831="","",INDEX(명단표[이름],$P831))</f>
        <v/>
      </c>
      <c r="C831">
        <f>IF($P831="","",INDEX(명단표[사번],$P831)&amp;"")</f>
        <v/>
      </c>
      <c r="D831">
        <f>IF($P831="","",INDEX(명단표[전공의등록번호],$P831)&amp;"")</f>
        <v/>
      </c>
      <c r="E831">
        <f>IF($P831="","",INDEX(명단표[수련과목],$P831)&amp;"")</f>
        <v/>
      </c>
      <c r="F831">
        <f>IF($P831="","",INDEX(명단표[연차],$P831)&amp;"")</f>
        <v/>
      </c>
      <c r="G831">
        <f>IF($P831="","",INDEX(명단표[소속병원],$P831))</f>
        <v/>
      </c>
      <c r="H831">
        <f>IF($P831="","",IF(INDEX(명단표[소속병원],$P831)="서울병원","서울 소속","타 병원 소속("&amp;INDEX(명단표[소속병원],$P831)&amp;") → 서울 지급"))</f>
        <v/>
      </c>
      <c r="I831">
        <f>IF($P831="","",INDEX(명단표[현재 근무병원],$P831))</f>
        <v/>
      </c>
      <c r="J831">
        <f>IF($P831="","",INDEX(명단표[구리 근무 시작일(기준월)],$P831)&amp;"")</f>
        <v/>
      </c>
      <c r="K831">
        <f>IF($P831="","",INDEX(명단표[구리 근무 종료일(기준월)],$P831)&amp;"")</f>
        <v/>
      </c>
      <c r="L831">
        <f>IF($P831="","",INDEX(명단표[서울 근무일(기준월)],$P831))</f>
        <v/>
      </c>
      <c r="M831">
        <f>IF($P831="","",INDEX(명단표[구리 근무일(기준월)],$P831))</f>
        <v/>
      </c>
      <c r="N831">
        <f>IF($P831="","",INDEX(명단표[급여 판정 근거],$P831))</f>
        <v/>
      </c>
      <c r="O831">
        <f>IF($P831="","",INDEX(명단표[점검],$P831))</f>
        <v/>
      </c>
      <c r="P831" s="17">
        <f>IFERROR(MATCH(826,명단표[서울순번],0),"")</f>
        <v/>
      </c>
      <c r="R831">
        <f>IF($W831="","",INDEX(명단표[이름],$W831))</f>
        <v/>
      </c>
      <c r="S831">
        <f>IF($W831="","",INDEX(명단표[사번],$W831)&amp;"")</f>
        <v/>
      </c>
      <c r="T831">
        <f>IF($W831="","",INDEX(명단표[소속병원],$W831))</f>
        <v/>
      </c>
      <c r="U831">
        <f>IF($W831="","",INDEX(명단표[서울 근무일(기준월)],$W831))</f>
        <v/>
      </c>
      <c r="V831">
        <f>IF($W831="","",INDEX(명단표[구리 근무일(기준월)],$W831))</f>
        <v/>
      </c>
      <c r="W831" s="17">
        <f>IFERROR(MATCH(826,명단표[판정불가순번],0),"")</f>
        <v/>
      </c>
    </row>
    <row r="832">
      <c r="A832">
        <f>IF($P832="","",827)</f>
        <v/>
      </c>
      <c r="B832">
        <f>IF($P832="","",INDEX(명단표[이름],$P832))</f>
        <v/>
      </c>
      <c r="C832">
        <f>IF($P832="","",INDEX(명단표[사번],$P832)&amp;"")</f>
        <v/>
      </c>
      <c r="D832">
        <f>IF($P832="","",INDEX(명단표[전공의등록번호],$P832)&amp;"")</f>
        <v/>
      </c>
      <c r="E832">
        <f>IF($P832="","",INDEX(명단표[수련과목],$P832)&amp;"")</f>
        <v/>
      </c>
      <c r="F832">
        <f>IF($P832="","",INDEX(명단표[연차],$P832)&amp;"")</f>
        <v/>
      </c>
      <c r="G832">
        <f>IF($P832="","",INDEX(명단표[소속병원],$P832))</f>
        <v/>
      </c>
      <c r="H832">
        <f>IF($P832="","",IF(INDEX(명단표[소속병원],$P832)="서울병원","서울 소속","타 병원 소속("&amp;INDEX(명단표[소속병원],$P832)&amp;") → 서울 지급"))</f>
        <v/>
      </c>
      <c r="I832">
        <f>IF($P832="","",INDEX(명단표[현재 근무병원],$P832))</f>
        <v/>
      </c>
      <c r="J832">
        <f>IF($P832="","",INDEX(명단표[구리 근무 시작일(기준월)],$P832)&amp;"")</f>
        <v/>
      </c>
      <c r="K832">
        <f>IF($P832="","",INDEX(명단표[구리 근무 종료일(기준월)],$P832)&amp;"")</f>
        <v/>
      </c>
      <c r="L832">
        <f>IF($P832="","",INDEX(명단표[서울 근무일(기준월)],$P832))</f>
        <v/>
      </c>
      <c r="M832">
        <f>IF($P832="","",INDEX(명단표[구리 근무일(기준월)],$P832))</f>
        <v/>
      </c>
      <c r="N832">
        <f>IF($P832="","",INDEX(명단표[급여 판정 근거],$P832))</f>
        <v/>
      </c>
      <c r="O832">
        <f>IF($P832="","",INDEX(명단표[점검],$P832))</f>
        <v/>
      </c>
      <c r="P832" s="17">
        <f>IFERROR(MATCH(827,명단표[서울순번],0),"")</f>
        <v/>
      </c>
      <c r="R832">
        <f>IF($W832="","",INDEX(명단표[이름],$W832))</f>
        <v/>
      </c>
      <c r="S832">
        <f>IF($W832="","",INDEX(명단표[사번],$W832)&amp;"")</f>
        <v/>
      </c>
      <c r="T832">
        <f>IF($W832="","",INDEX(명단표[소속병원],$W832))</f>
        <v/>
      </c>
      <c r="U832">
        <f>IF($W832="","",INDEX(명단표[서울 근무일(기준월)],$W832))</f>
        <v/>
      </c>
      <c r="V832">
        <f>IF($W832="","",INDEX(명단표[구리 근무일(기준월)],$W832))</f>
        <v/>
      </c>
      <c r="W832" s="17">
        <f>IFERROR(MATCH(827,명단표[판정불가순번],0),"")</f>
        <v/>
      </c>
    </row>
    <row r="833">
      <c r="A833">
        <f>IF($P833="","",828)</f>
        <v/>
      </c>
      <c r="B833">
        <f>IF($P833="","",INDEX(명단표[이름],$P833))</f>
        <v/>
      </c>
      <c r="C833">
        <f>IF($P833="","",INDEX(명단표[사번],$P833)&amp;"")</f>
        <v/>
      </c>
      <c r="D833">
        <f>IF($P833="","",INDEX(명단표[전공의등록번호],$P833)&amp;"")</f>
        <v/>
      </c>
      <c r="E833">
        <f>IF($P833="","",INDEX(명단표[수련과목],$P833)&amp;"")</f>
        <v/>
      </c>
      <c r="F833">
        <f>IF($P833="","",INDEX(명단표[연차],$P833)&amp;"")</f>
        <v/>
      </c>
      <c r="G833">
        <f>IF($P833="","",INDEX(명단표[소속병원],$P833))</f>
        <v/>
      </c>
      <c r="H833">
        <f>IF($P833="","",IF(INDEX(명단표[소속병원],$P833)="서울병원","서울 소속","타 병원 소속("&amp;INDEX(명단표[소속병원],$P833)&amp;") → 서울 지급"))</f>
        <v/>
      </c>
      <c r="I833">
        <f>IF($P833="","",INDEX(명단표[현재 근무병원],$P833))</f>
        <v/>
      </c>
      <c r="J833">
        <f>IF($P833="","",INDEX(명단표[구리 근무 시작일(기준월)],$P833)&amp;"")</f>
        <v/>
      </c>
      <c r="K833">
        <f>IF($P833="","",INDEX(명단표[구리 근무 종료일(기준월)],$P833)&amp;"")</f>
        <v/>
      </c>
      <c r="L833">
        <f>IF($P833="","",INDEX(명단표[서울 근무일(기준월)],$P833))</f>
        <v/>
      </c>
      <c r="M833">
        <f>IF($P833="","",INDEX(명단표[구리 근무일(기준월)],$P833))</f>
        <v/>
      </c>
      <c r="N833">
        <f>IF($P833="","",INDEX(명단표[급여 판정 근거],$P833))</f>
        <v/>
      </c>
      <c r="O833">
        <f>IF($P833="","",INDEX(명단표[점검],$P833))</f>
        <v/>
      </c>
      <c r="P833" s="17">
        <f>IFERROR(MATCH(828,명단표[서울순번],0),"")</f>
        <v/>
      </c>
      <c r="R833">
        <f>IF($W833="","",INDEX(명단표[이름],$W833))</f>
        <v/>
      </c>
      <c r="S833">
        <f>IF($W833="","",INDEX(명단표[사번],$W833)&amp;"")</f>
        <v/>
      </c>
      <c r="T833">
        <f>IF($W833="","",INDEX(명단표[소속병원],$W833))</f>
        <v/>
      </c>
      <c r="U833">
        <f>IF($W833="","",INDEX(명단표[서울 근무일(기준월)],$W833))</f>
        <v/>
      </c>
      <c r="V833">
        <f>IF($W833="","",INDEX(명단표[구리 근무일(기준월)],$W833))</f>
        <v/>
      </c>
      <c r="W833" s="17">
        <f>IFERROR(MATCH(828,명단표[판정불가순번],0),"")</f>
        <v/>
      </c>
    </row>
    <row r="834">
      <c r="A834">
        <f>IF($P834="","",829)</f>
        <v/>
      </c>
      <c r="B834">
        <f>IF($P834="","",INDEX(명단표[이름],$P834))</f>
        <v/>
      </c>
      <c r="C834">
        <f>IF($P834="","",INDEX(명단표[사번],$P834)&amp;"")</f>
        <v/>
      </c>
      <c r="D834">
        <f>IF($P834="","",INDEX(명단표[전공의등록번호],$P834)&amp;"")</f>
        <v/>
      </c>
      <c r="E834">
        <f>IF($P834="","",INDEX(명단표[수련과목],$P834)&amp;"")</f>
        <v/>
      </c>
      <c r="F834">
        <f>IF($P834="","",INDEX(명단표[연차],$P834)&amp;"")</f>
        <v/>
      </c>
      <c r="G834">
        <f>IF($P834="","",INDEX(명단표[소속병원],$P834))</f>
        <v/>
      </c>
      <c r="H834">
        <f>IF($P834="","",IF(INDEX(명단표[소속병원],$P834)="서울병원","서울 소속","타 병원 소속("&amp;INDEX(명단표[소속병원],$P834)&amp;") → 서울 지급"))</f>
        <v/>
      </c>
      <c r="I834">
        <f>IF($P834="","",INDEX(명단표[현재 근무병원],$P834))</f>
        <v/>
      </c>
      <c r="J834">
        <f>IF($P834="","",INDEX(명단표[구리 근무 시작일(기준월)],$P834)&amp;"")</f>
        <v/>
      </c>
      <c r="K834">
        <f>IF($P834="","",INDEX(명단표[구리 근무 종료일(기준월)],$P834)&amp;"")</f>
        <v/>
      </c>
      <c r="L834">
        <f>IF($P834="","",INDEX(명단표[서울 근무일(기준월)],$P834))</f>
        <v/>
      </c>
      <c r="M834">
        <f>IF($P834="","",INDEX(명단표[구리 근무일(기준월)],$P834))</f>
        <v/>
      </c>
      <c r="N834">
        <f>IF($P834="","",INDEX(명단표[급여 판정 근거],$P834))</f>
        <v/>
      </c>
      <c r="O834">
        <f>IF($P834="","",INDEX(명단표[점검],$P834))</f>
        <v/>
      </c>
      <c r="P834" s="17">
        <f>IFERROR(MATCH(829,명단표[서울순번],0),"")</f>
        <v/>
      </c>
      <c r="R834">
        <f>IF($W834="","",INDEX(명단표[이름],$W834))</f>
        <v/>
      </c>
      <c r="S834">
        <f>IF($W834="","",INDEX(명단표[사번],$W834)&amp;"")</f>
        <v/>
      </c>
      <c r="T834">
        <f>IF($W834="","",INDEX(명단표[소속병원],$W834))</f>
        <v/>
      </c>
      <c r="U834">
        <f>IF($W834="","",INDEX(명단표[서울 근무일(기준월)],$W834))</f>
        <v/>
      </c>
      <c r="V834">
        <f>IF($W834="","",INDEX(명단표[구리 근무일(기준월)],$W834))</f>
        <v/>
      </c>
      <c r="W834" s="17">
        <f>IFERROR(MATCH(829,명단표[판정불가순번],0),"")</f>
        <v/>
      </c>
    </row>
    <row r="835">
      <c r="A835">
        <f>IF($P835="","",830)</f>
        <v/>
      </c>
      <c r="B835">
        <f>IF($P835="","",INDEX(명단표[이름],$P835))</f>
        <v/>
      </c>
      <c r="C835">
        <f>IF($P835="","",INDEX(명단표[사번],$P835)&amp;"")</f>
        <v/>
      </c>
      <c r="D835">
        <f>IF($P835="","",INDEX(명단표[전공의등록번호],$P835)&amp;"")</f>
        <v/>
      </c>
      <c r="E835">
        <f>IF($P835="","",INDEX(명단표[수련과목],$P835)&amp;"")</f>
        <v/>
      </c>
      <c r="F835">
        <f>IF($P835="","",INDEX(명단표[연차],$P835)&amp;"")</f>
        <v/>
      </c>
      <c r="G835">
        <f>IF($P835="","",INDEX(명단표[소속병원],$P835))</f>
        <v/>
      </c>
      <c r="H835">
        <f>IF($P835="","",IF(INDEX(명단표[소속병원],$P835)="서울병원","서울 소속","타 병원 소속("&amp;INDEX(명단표[소속병원],$P835)&amp;") → 서울 지급"))</f>
        <v/>
      </c>
      <c r="I835">
        <f>IF($P835="","",INDEX(명단표[현재 근무병원],$P835))</f>
        <v/>
      </c>
      <c r="J835">
        <f>IF($P835="","",INDEX(명단표[구리 근무 시작일(기준월)],$P835)&amp;"")</f>
        <v/>
      </c>
      <c r="K835">
        <f>IF($P835="","",INDEX(명단표[구리 근무 종료일(기준월)],$P835)&amp;"")</f>
        <v/>
      </c>
      <c r="L835">
        <f>IF($P835="","",INDEX(명단표[서울 근무일(기준월)],$P835))</f>
        <v/>
      </c>
      <c r="M835">
        <f>IF($P835="","",INDEX(명단표[구리 근무일(기준월)],$P835))</f>
        <v/>
      </c>
      <c r="N835">
        <f>IF($P835="","",INDEX(명단표[급여 판정 근거],$P835))</f>
        <v/>
      </c>
      <c r="O835">
        <f>IF($P835="","",INDEX(명단표[점검],$P835))</f>
        <v/>
      </c>
      <c r="P835" s="17">
        <f>IFERROR(MATCH(830,명단표[서울순번],0),"")</f>
        <v/>
      </c>
      <c r="R835">
        <f>IF($W835="","",INDEX(명단표[이름],$W835))</f>
        <v/>
      </c>
      <c r="S835">
        <f>IF($W835="","",INDEX(명단표[사번],$W835)&amp;"")</f>
        <v/>
      </c>
      <c r="T835">
        <f>IF($W835="","",INDEX(명단표[소속병원],$W835))</f>
        <v/>
      </c>
      <c r="U835">
        <f>IF($W835="","",INDEX(명단표[서울 근무일(기준월)],$W835))</f>
        <v/>
      </c>
      <c r="V835">
        <f>IF($W835="","",INDEX(명단표[구리 근무일(기준월)],$W835))</f>
        <v/>
      </c>
      <c r="W835" s="17">
        <f>IFERROR(MATCH(830,명단표[판정불가순번],0),"")</f>
        <v/>
      </c>
    </row>
    <row r="836">
      <c r="A836">
        <f>IF($P836="","",831)</f>
        <v/>
      </c>
      <c r="B836">
        <f>IF($P836="","",INDEX(명단표[이름],$P836))</f>
        <v/>
      </c>
      <c r="C836">
        <f>IF($P836="","",INDEX(명단표[사번],$P836)&amp;"")</f>
        <v/>
      </c>
      <c r="D836">
        <f>IF($P836="","",INDEX(명단표[전공의등록번호],$P836)&amp;"")</f>
        <v/>
      </c>
      <c r="E836">
        <f>IF($P836="","",INDEX(명단표[수련과목],$P836)&amp;"")</f>
        <v/>
      </c>
      <c r="F836">
        <f>IF($P836="","",INDEX(명단표[연차],$P836)&amp;"")</f>
        <v/>
      </c>
      <c r="G836">
        <f>IF($P836="","",INDEX(명단표[소속병원],$P836))</f>
        <v/>
      </c>
      <c r="H836">
        <f>IF($P836="","",IF(INDEX(명단표[소속병원],$P836)="서울병원","서울 소속","타 병원 소속("&amp;INDEX(명단표[소속병원],$P836)&amp;") → 서울 지급"))</f>
        <v/>
      </c>
      <c r="I836">
        <f>IF($P836="","",INDEX(명단표[현재 근무병원],$P836))</f>
        <v/>
      </c>
      <c r="J836">
        <f>IF($P836="","",INDEX(명단표[구리 근무 시작일(기준월)],$P836)&amp;"")</f>
        <v/>
      </c>
      <c r="K836">
        <f>IF($P836="","",INDEX(명단표[구리 근무 종료일(기준월)],$P836)&amp;"")</f>
        <v/>
      </c>
      <c r="L836">
        <f>IF($P836="","",INDEX(명단표[서울 근무일(기준월)],$P836))</f>
        <v/>
      </c>
      <c r="M836">
        <f>IF($P836="","",INDEX(명단표[구리 근무일(기준월)],$P836))</f>
        <v/>
      </c>
      <c r="N836">
        <f>IF($P836="","",INDEX(명단표[급여 판정 근거],$P836))</f>
        <v/>
      </c>
      <c r="O836">
        <f>IF($P836="","",INDEX(명단표[점검],$P836))</f>
        <v/>
      </c>
      <c r="P836" s="17">
        <f>IFERROR(MATCH(831,명단표[서울순번],0),"")</f>
        <v/>
      </c>
      <c r="R836">
        <f>IF($W836="","",INDEX(명단표[이름],$W836))</f>
        <v/>
      </c>
      <c r="S836">
        <f>IF($W836="","",INDEX(명단표[사번],$W836)&amp;"")</f>
        <v/>
      </c>
      <c r="T836">
        <f>IF($W836="","",INDEX(명단표[소속병원],$W836))</f>
        <v/>
      </c>
      <c r="U836">
        <f>IF($W836="","",INDEX(명단표[서울 근무일(기준월)],$W836))</f>
        <v/>
      </c>
      <c r="V836">
        <f>IF($W836="","",INDEX(명단표[구리 근무일(기준월)],$W836))</f>
        <v/>
      </c>
      <c r="W836" s="17">
        <f>IFERROR(MATCH(831,명단표[판정불가순번],0),"")</f>
        <v/>
      </c>
    </row>
    <row r="837">
      <c r="A837">
        <f>IF($P837="","",832)</f>
        <v/>
      </c>
      <c r="B837">
        <f>IF($P837="","",INDEX(명단표[이름],$P837))</f>
        <v/>
      </c>
      <c r="C837">
        <f>IF($P837="","",INDEX(명단표[사번],$P837)&amp;"")</f>
        <v/>
      </c>
      <c r="D837">
        <f>IF($P837="","",INDEX(명단표[전공의등록번호],$P837)&amp;"")</f>
        <v/>
      </c>
      <c r="E837">
        <f>IF($P837="","",INDEX(명단표[수련과목],$P837)&amp;"")</f>
        <v/>
      </c>
      <c r="F837">
        <f>IF($P837="","",INDEX(명단표[연차],$P837)&amp;"")</f>
        <v/>
      </c>
      <c r="G837">
        <f>IF($P837="","",INDEX(명단표[소속병원],$P837))</f>
        <v/>
      </c>
      <c r="H837">
        <f>IF($P837="","",IF(INDEX(명단표[소속병원],$P837)="서울병원","서울 소속","타 병원 소속("&amp;INDEX(명단표[소속병원],$P837)&amp;") → 서울 지급"))</f>
        <v/>
      </c>
      <c r="I837">
        <f>IF($P837="","",INDEX(명단표[현재 근무병원],$P837))</f>
        <v/>
      </c>
      <c r="J837">
        <f>IF($P837="","",INDEX(명단표[구리 근무 시작일(기준월)],$P837)&amp;"")</f>
        <v/>
      </c>
      <c r="K837">
        <f>IF($P837="","",INDEX(명단표[구리 근무 종료일(기준월)],$P837)&amp;"")</f>
        <v/>
      </c>
      <c r="L837">
        <f>IF($P837="","",INDEX(명단표[서울 근무일(기준월)],$P837))</f>
        <v/>
      </c>
      <c r="M837">
        <f>IF($P837="","",INDEX(명단표[구리 근무일(기준월)],$P837))</f>
        <v/>
      </c>
      <c r="N837">
        <f>IF($P837="","",INDEX(명단표[급여 판정 근거],$P837))</f>
        <v/>
      </c>
      <c r="O837">
        <f>IF($P837="","",INDEX(명단표[점검],$P837))</f>
        <v/>
      </c>
      <c r="P837" s="17">
        <f>IFERROR(MATCH(832,명단표[서울순번],0),"")</f>
        <v/>
      </c>
      <c r="R837">
        <f>IF($W837="","",INDEX(명단표[이름],$W837))</f>
        <v/>
      </c>
      <c r="S837">
        <f>IF($W837="","",INDEX(명단표[사번],$W837)&amp;"")</f>
        <v/>
      </c>
      <c r="T837">
        <f>IF($W837="","",INDEX(명단표[소속병원],$W837))</f>
        <v/>
      </c>
      <c r="U837">
        <f>IF($W837="","",INDEX(명단표[서울 근무일(기준월)],$W837))</f>
        <v/>
      </c>
      <c r="V837">
        <f>IF($W837="","",INDEX(명단표[구리 근무일(기준월)],$W837))</f>
        <v/>
      </c>
      <c r="W837" s="17">
        <f>IFERROR(MATCH(832,명단표[판정불가순번],0),"")</f>
        <v/>
      </c>
    </row>
    <row r="838">
      <c r="A838">
        <f>IF($P838="","",833)</f>
        <v/>
      </c>
      <c r="B838">
        <f>IF($P838="","",INDEX(명단표[이름],$P838))</f>
        <v/>
      </c>
      <c r="C838">
        <f>IF($P838="","",INDEX(명단표[사번],$P838)&amp;"")</f>
        <v/>
      </c>
      <c r="D838">
        <f>IF($P838="","",INDEX(명단표[전공의등록번호],$P838)&amp;"")</f>
        <v/>
      </c>
      <c r="E838">
        <f>IF($P838="","",INDEX(명단표[수련과목],$P838)&amp;"")</f>
        <v/>
      </c>
      <c r="F838">
        <f>IF($P838="","",INDEX(명단표[연차],$P838)&amp;"")</f>
        <v/>
      </c>
      <c r="G838">
        <f>IF($P838="","",INDEX(명단표[소속병원],$P838))</f>
        <v/>
      </c>
      <c r="H838">
        <f>IF($P838="","",IF(INDEX(명단표[소속병원],$P838)="서울병원","서울 소속","타 병원 소속("&amp;INDEX(명단표[소속병원],$P838)&amp;") → 서울 지급"))</f>
        <v/>
      </c>
      <c r="I838">
        <f>IF($P838="","",INDEX(명단표[현재 근무병원],$P838))</f>
        <v/>
      </c>
      <c r="J838">
        <f>IF($P838="","",INDEX(명단표[구리 근무 시작일(기준월)],$P838)&amp;"")</f>
        <v/>
      </c>
      <c r="K838">
        <f>IF($P838="","",INDEX(명단표[구리 근무 종료일(기준월)],$P838)&amp;"")</f>
        <v/>
      </c>
      <c r="L838">
        <f>IF($P838="","",INDEX(명단표[서울 근무일(기준월)],$P838))</f>
        <v/>
      </c>
      <c r="M838">
        <f>IF($P838="","",INDEX(명단표[구리 근무일(기준월)],$P838))</f>
        <v/>
      </c>
      <c r="N838">
        <f>IF($P838="","",INDEX(명단표[급여 판정 근거],$P838))</f>
        <v/>
      </c>
      <c r="O838">
        <f>IF($P838="","",INDEX(명단표[점검],$P838))</f>
        <v/>
      </c>
      <c r="P838" s="17">
        <f>IFERROR(MATCH(833,명단표[서울순번],0),"")</f>
        <v/>
      </c>
      <c r="R838">
        <f>IF($W838="","",INDEX(명단표[이름],$W838))</f>
        <v/>
      </c>
      <c r="S838">
        <f>IF($W838="","",INDEX(명단표[사번],$W838)&amp;"")</f>
        <v/>
      </c>
      <c r="T838">
        <f>IF($W838="","",INDEX(명단표[소속병원],$W838))</f>
        <v/>
      </c>
      <c r="U838">
        <f>IF($W838="","",INDEX(명단표[서울 근무일(기준월)],$W838))</f>
        <v/>
      </c>
      <c r="V838">
        <f>IF($W838="","",INDEX(명단표[구리 근무일(기준월)],$W838))</f>
        <v/>
      </c>
      <c r="W838" s="17">
        <f>IFERROR(MATCH(833,명단표[판정불가순번],0),"")</f>
        <v/>
      </c>
    </row>
    <row r="839">
      <c r="A839">
        <f>IF($P839="","",834)</f>
        <v/>
      </c>
      <c r="B839">
        <f>IF($P839="","",INDEX(명단표[이름],$P839))</f>
        <v/>
      </c>
      <c r="C839">
        <f>IF($P839="","",INDEX(명단표[사번],$P839)&amp;"")</f>
        <v/>
      </c>
      <c r="D839">
        <f>IF($P839="","",INDEX(명단표[전공의등록번호],$P839)&amp;"")</f>
        <v/>
      </c>
      <c r="E839">
        <f>IF($P839="","",INDEX(명단표[수련과목],$P839)&amp;"")</f>
        <v/>
      </c>
      <c r="F839">
        <f>IF($P839="","",INDEX(명단표[연차],$P839)&amp;"")</f>
        <v/>
      </c>
      <c r="G839">
        <f>IF($P839="","",INDEX(명단표[소속병원],$P839))</f>
        <v/>
      </c>
      <c r="H839">
        <f>IF($P839="","",IF(INDEX(명단표[소속병원],$P839)="서울병원","서울 소속","타 병원 소속("&amp;INDEX(명단표[소속병원],$P839)&amp;") → 서울 지급"))</f>
        <v/>
      </c>
      <c r="I839">
        <f>IF($P839="","",INDEX(명단표[현재 근무병원],$P839))</f>
        <v/>
      </c>
      <c r="J839">
        <f>IF($P839="","",INDEX(명단표[구리 근무 시작일(기준월)],$P839)&amp;"")</f>
        <v/>
      </c>
      <c r="K839">
        <f>IF($P839="","",INDEX(명단표[구리 근무 종료일(기준월)],$P839)&amp;"")</f>
        <v/>
      </c>
      <c r="L839">
        <f>IF($P839="","",INDEX(명단표[서울 근무일(기준월)],$P839))</f>
        <v/>
      </c>
      <c r="M839">
        <f>IF($P839="","",INDEX(명단표[구리 근무일(기준월)],$P839))</f>
        <v/>
      </c>
      <c r="N839">
        <f>IF($P839="","",INDEX(명단표[급여 판정 근거],$P839))</f>
        <v/>
      </c>
      <c r="O839">
        <f>IF($P839="","",INDEX(명단표[점검],$P839))</f>
        <v/>
      </c>
      <c r="P839" s="17">
        <f>IFERROR(MATCH(834,명단표[서울순번],0),"")</f>
        <v/>
      </c>
      <c r="R839">
        <f>IF($W839="","",INDEX(명단표[이름],$W839))</f>
        <v/>
      </c>
      <c r="S839">
        <f>IF($W839="","",INDEX(명단표[사번],$W839)&amp;"")</f>
        <v/>
      </c>
      <c r="T839">
        <f>IF($W839="","",INDEX(명단표[소속병원],$W839))</f>
        <v/>
      </c>
      <c r="U839">
        <f>IF($W839="","",INDEX(명단표[서울 근무일(기준월)],$W839))</f>
        <v/>
      </c>
      <c r="V839">
        <f>IF($W839="","",INDEX(명단표[구리 근무일(기준월)],$W839))</f>
        <v/>
      </c>
      <c r="W839" s="17">
        <f>IFERROR(MATCH(834,명단표[판정불가순번],0),"")</f>
        <v/>
      </c>
    </row>
    <row r="840">
      <c r="A840">
        <f>IF($P840="","",835)</f>
        <v/>
      </c>
      <c r="B840">
        <f>IF($P840="","",INDEX(명단표[이름],$P840))</f>
        <v/>
      </c>
      <c r="C840">
        <f>IF($P840="","",INDEX(명단표[사번],$P840)&amp;"")</f>
        <v/>
      </c>
      <c r="D840">
        <f>IF($P840="","",INDEX(명단표[전공의등록번호],$P840)&amp;"")</f>
        <v/>
      </c>
      <c r="E840">
        <f>IF($P840="","",INDEX(명단표[수련과목],$P840)&amp;"")</f>
        <v/>
      </c>
      <c r="F840">
        <f>IF($P840="","",INDEX(명단표[연차],$P840)&amp;"")</f>
        <v/>
      </c>
      <c r="G840">
        <f>IF($P840="","",INDEX(명단표[소속병원],$P840))</f>
        <v/>
      </c>
      <c r="H840">
        <f>IF($P840="","",IF(INDEX(명단표[소속병원],$P840)="서울병원","서울 소속","타 병원 소속("&amp;INDEX(명단표[소속병원],$P840)&amp;") → 서울 지급"))</f>
        <v/>
      </c>
      <c r="I840">
        <f>IF($P840="","",INDEX(명단표[현재 근무병원],$P840))</f>
        <v/>
      </c>
      <c r="J840">
        <f>IF($P840="","",INDEX(명단표[구리 근무 시작일(기준월)],$P840)&amp;"")</f>
        <v/>
      </c>
      <c r="K840">
        <f>IF($P840="","",INDEX(명단표[구리 근무 종료일(기준월)],$P840)&amp;"")</f>
        <v/>
      </c>
      <c r="L840">
        <f>IF($P840="","",INDEX(명단표[서울 근무일(기준월)],$P840))</f>
        <v/>
      </c>
      <c r="M840">
        <f>IF($P840="","",INDEX(명단표[구리 근무일(기준월)],$P840))</f>
        <v/>
      </c>
      <c r="N840">
        <f>IF($P840="","",INDEX(명단표[급여 판정 근거],$P840))</f>
        <v/>
      </c>
      <c r="O840">
        <f>IF($P840="","",INDEX(명단표[점검],$P840))</f>
        <v/>
      </c>
      <c r="P840" s="17">
        <f>IFERROR(MATCH(835,명단표[서울순번],0),"")</f>
        <v/>
      </c>
      <c r="R840">
        <f>IF($W840="","",INDEX(명단표[이름],$W840))</f>
        <v/>
      </c>
      <c r="S840">
        <f>IF($W840="","",INDEX(명단표[사번],$W840)&amp;"")</f>
        <v/>
      </c>
      <c r="T840">
        <f>IF($W840="","",INDEX(명단표[소속병원],$W840))</f>
        <v/>
      </c>
      <c r="U840">
        <f>IF($W840="","",INDEX(명단표[서울 근무일(기준월)],$W840))</f>
        <v/>
      </c>
      <c r="V840">
        <f>IF($W840="","",INDEX(명단표[구리 근무일(기준월)],$W840))</f>
        <v/>
      </c>
      <c r="W840" s="17">
        <f>IFERROR(MATCH(835,명단표[판정불가순번],0),"")</f>
        <v/>
      </c>
    </row>
    <row r="841">
      <c r="A841">
        <f>IF($P841="","",836)</f>
        <v/>
      </c>
      <c r="B841">
        <f>IF($P841="","",INDEX(명단표[이름],$P841))</f>
        <v/>
      </c>
      <c r="C841">
        <f>IF($P841="","",INDEX(명단표[사번],$P841)&amp;"")</f>
        <v/>
      </c>
      <c r="D841">
        <f>IF($P841="","",INDEX(명단표[전공의등록번호],$P841)&amp;"")</f>
        <v/>
      </c>
      <c r="E841">
        <f>IF($P841="","",INDEX(명단표[수련과목],$P841)&amp;"")</f>
        <v/>
      </c>
      <c r="F841">
        <f>IF($P841="","",INDEX(명단표[연차],$P841)&amp;"")</f>
        <v/>
      </c>
      <c r="G841">
        <f>IF($P841="","",INDEX(명단표[소속병원],$P841))</f>
        <v/>
      </c>
      <c r="H841">
        <f>IF($P841="","",IF(INDEX(명단표[소속병원],$P841)="서울병원","서울 소속","타 병원 소속("&amp;INDEX(명단표[소속병원],$P841)&amp;") → 서울 지급"))</f>
        <v/>
      </c>
      <c r="I841">
        <f>IF($P841="","",INDEX(명단표[현재 근무병원],$P841))</f>
        <v/>
      </c>
      <c r="J841">
        <f>IF($P841="","",INDEX(명단표[구리 근무 시작일(기준월)],$P841)&amp;"")</f>
        <v/>
      </c>
      <c r="K841">
        <f>IF($P841="","",INDEX(명단표[구리 근무 종료일(기준월)],$P841)&amp;"")</f>
        <v/>
      </c>
      <c r="L841">
        <f>IF($P841="","",INDEX(명단표[서울 근무일(기준월)],$P841))</f>
        <v/>
      </c>
      <c r="M841">
        <f>IF($P841="","",INDEX(명단표[구리 근무일(기준월)],$P841))</f>
        <v/>
      </c>
      <c r="N841">
        <f>IF($P841="","",INDEX(명단표[급여 판정 근거],$P841))</f>
        <v/>
      </c>
      <c r="O841">
        <f>IF($P841="","",INDEX(명단표[점검],$P841))</f>
        <v/>
      </c>
      <c r="P841" s="17">
        <f>IFERROR(MATCH(836,명단표[서울순번],0),"")</f>
        <v/>
      </c>
      <c r="R841">
        <f>IF($W841="","",INDEX(명단표[이름],$W841))</f>
        <v/>
      </c>
      <c r="S841">
        <f>IF($W841="","",INDEX(명단표[사번],$W841)&amp;"")</f>
        <v/>
      </c>
      <c r="T841">
        <f>IF($W841="","",INDEX(명단표[소속병원],$W841))</f>
        <v/>
      </c>
      <c r="U841">
        <f>IF($W841="","",INDEX(명단표[서울 근무일(기준월)],$W841))</f>
        <v/>
      </c>
      <c r="V841">
        <f>IF($W841="","",INDEX(명단표[구리 근무일(기준월)],$W841))</f>
        <v/>
      </c>
      <c r="W841" s="17">
        <f>IFERROR(MATCH(836,명단표[판정불가순번],0),"")</f>
        <v/>
      </c>
    </row>
    <row r="842">
      <c r="A842">
        <f>IF($P842="","",837)</f>
        <v/>
      </c>
      <c r="B842">
        <f>IF($P842="","",INDEX(명단표[이름],$P842))</f>
        <v/>
      </c>
      <c r="C842">
        <f>IF($P842="","",INDEX(명단표[사번],$P842)&amp;"")</f>
        <v/>
      </c>
      <c r="D842">
        <f>IF($P842="","",INDEX(명단표[전공의등록번호],$P842)&amp;"")</f>
        <v/>
      </c>
      <c r="E842">
        <f>IF($P842="","",INDEX(명단표[수련과목],$P842)&amp;"")</f>
        <v/>
      </c>
      <c r="F842">
        <f>IF($P842="","",INDEX(명단표[연차],$P842)&amp;"")</f>
        <v/>
      </c>
      <c r="G842">
        <f>IF($P842="","",INDEX(명단표[소속병원],$P842))</f>
        <v/>
      </c>
      <c r="H842">
        <f>IF($P842="","",IF(INDEX(명단표[소속병원],$P842)="서울병원","서울 소속","타 병원 소속("&amp;INDEX(명단표[소속병원],$P842)&amp;") → 서울 지급"))</f>
        <v/>
      </c>
      <c r="I842">
        <f>IF($P842="","",INDEX(명단표[현재 근무병원],$P842))</f>
        <v/>
      </c>
      <c r="J842">
        <f>IF($P842="","",INDEX(명단표[구리 근무 시작일(기준월)],$P842)&amp;"")</f>
        <v/>
      </c>
      <c r="K842">
        <f>IF($P842="","",INDEX(명단표[구리 근무 종료일(기준월)],$P842)&amp;"")</f>
        <v/>
      </c>
      <c r="L842">
        <f>IF($P842="","",INDEX(명단표[서울 근무일(기준월)],$P842))</f>
        <v/>
      </c>
      <c r="M842">
        <f>IF($P842="","",INDEX(명단표[구리 근무일(기준월)],$P842))</f>
        <v/>
      </c>
      <c r="N842">
        <f>IF($P842="","",INDEX(명단표[급여 판정 근거],$P842))</f>
        <v/>
      </c>
      <c r="O842">
        <f>IF($P842="","",INDEX(명단표[점검],$P842))</f>
        <v/>
      </c>
      <c r="P842" s="17">
        <f>IFERROR(MATCH(837,명단표[서울순번],0),"")</f>
        <v/>
      </c>
      <c r="R842">
        <f>IF($W842="","",INDEX(명단표[이름],$W842))</f>
        <v/>
      </c>
      <c r="S842">
        <f>IF($W842="","",INDEX(명단표[사번],$W842)&amp;"")</f>
        <v/>
      </c>
      <c r="T842">
        <f>IF($W842="","",INDEX(명단표[소속병원],$W842))</f>
        <v/>
      </c>
      <c r="U842">
        <f>IF($W842="","",INDEX(명단표[서울 근무일(기준월)],$W842))</f>
        <v/>
      </c>
      <c r="V842">
        <f>IF($W842="","",INDEX(명단표[구리 근무일(기준월)],$W842))</f>
        <v/>
      </c>
      <c r="W842" s="17">
        <f>IFERROR(MATCH(837,명단표[판정불가순번],0),"")</f>
        <v/>
      </c>
    </row>
    <row r="843">
      <c r="A843">
        <f>IF($P843="","",838)</f>
        <v/>
      </c>
      <c r="B843">
        <f>IF($P843="","",INDEX(명단표[이름],$P843))</f>
        <v/>
      </c>
      <c r="C843">
        <f>IF($P843="","",INDEX(명단표[사번],$P843)&amp;"")</f>
        <v/>
      </c>
      <c r="D843">
        <f>IF($P843="","",INDEX(명단표[전공의등록번호],$P843)&amp;"")</f>
        <v/>
      </c>
      <c r="E843">
        <f>IF($P843="","",INDEX(명단표[수련과목],$P843)&amp;"")</f>
        <v/>
      </c>
      <c r="F843">
        <f>IF($P843="","",INDEX(명단표[연차],$P843)&amp;"")</f>
        <v/>
      </c>
      <c r="G843">
        <f>IF($P843="","",INDEX(명단표[소속병원],$P843))</f>
        <v/>
      </c>
      <c r="H843">
        <f>IF($P843="","",IF(INDEX(명단표[소속병원],$P843)="서울병원","서울 소속","타 병원 소속("&amp;INDEX(명단표[소속병원],$P843)&amp;") → 서울 지급"))</f>
        <v/>
      </c>
      <c r="I843">
        <f>IF($P843="","",INDEX(명단표[현재 근무병원],$P843))</f>
        <v/>
      </c>
      <c r="J843">
        <f>IF($P843="","",INDEX(명단표[구리 근무 시작일(기준월)],$P843)&amp;"")</f>
        <v/>
      </c>
      <c r="K843">
        <f>IF($P843="","",INDEX(명단표[구리 근무 종료일(기준월)],$P843)&amp;"")</f>
        <v/>
      </c>
      <c r="L843">
        <f>IF($P843="","",INDEX(명단표[서울 근무일(기준월)],$P843))</f>
        <v/>
      </c>
      <c r="M843">
        <f>IF($P843="","",INDEX(명단표[구리 근무일(기준월)],$P843))</f>
        <v/>
      </c>
      <c r="N843">
        <f>IF($P843="","",INDEX(명단표[급여 판정 근거],$P843))</f>
        <v/>
      </c>
      <c r="O843">
        <f>IF($P843="","",INDEX(명단표[점검],$P843))</f>
        <v/>
      </c>
      <c r="P843" s="17">
        <f>IFERROR(MATCH(838,명단표[서울순번],0),"")</f>
        <v/>
      </c>
      <c r="R843">
        <f>IF($W843="","",INDEX(명단표[이름],$W843))</f>
        <v/>
      </c>
      <c r="S843">
        <f>IF($W843="","",INDEX(명단표[사번],$W843)&amp;"")</f>
        <v/>
      </c>
      <c r="T843">
        <f>IF($W843="","",INDEX(명단표[소속병원],$W843))</f>
        <v/>
      </c>
      <c r="U843">
        <f>IF($W843="","",INDEX(명단표[서울 근무일(기준월)],$W843))</f>
        <v/>
      </c>
      <c r="V843">
        <f>IF($W843="","",INDEX(명단표[구리 근무일(기준월)],$W843))</f>
        <v/>
      </c>
      <c r="W843" s="17">
        <f>IFERROR(MATCH(838,명단표[판정불가순번],0),"")</f>
        <v/>
      </c>
    </row>
    <row r="844">
      <c r="A844">
        <f>IF($P844="","",839)</f>
        <v/>
      </c>
      <c r="B844">
        <f>IF($P844="","",INDEX(명단표[이름],$P844))</f>
        <v/>
      </c>
      <c r="C844">
        <f>IF($P844="","",INDEX(명단표[사번],$P844)&amp;"")</f>
        <v/>
      </c>
      <c r="D844">
        <f>IF($P844="","",INDEX(명단표[전공의등록번호],$P844)&amp;"")</f>
        <v/>
      </c>
      <c r="E844">
        <f>IF($P844="","",INDEX(명단표[수련과목],$P844)&amp;"")</f>
        <v/>
      </c>
      <c r="F844">
        <f>IF($P844="","",INDEX(명단표[연차],$P844)&amp;"")</f>
        <v/>
      </c>
      <c r="G844">
        <f>IF($P844="","",INDEX(명단표[소속병원],$P844))</f>
        <v/>
      </c>
      <c r="H844">
        <f>IF($P844="","",IF(INDEX(명단표[소속병원],$P844)="서울병원","서울 소속","타 병원 소속("&amp;INDEX(명단표[소속병원],$P844)&amp;") → 서울 지급"))</f>
        <v/>
      </c>
      <c r="I844">
        <f>IF($P844="","",INDEX(명단표[현재 근무병원],$P844))</f>
        <v/>
      </c>
      <c r="J844">
        <f>IF($P844="","",INDEX(명단표[구리 근무 시작일(기준월)],$P844)&amp;"")</f>
        <v/>
      </c>
      <c r="K844">
        <f>IF($P844="","",INDEX(명단표[구리 근무 종료일(기준월)],$P844)&amp;"")</f>
        <v/>
      </c>
      <c r="L844">
        <f>IF($P844="","",INDEX(명단표[서울 근무일(기준월)],$P844))</f>
        <v/>
      </c>
      <c r="M844">
        <f>IF($P844="","",INDEX(명단표[구리 근무일(기준월)],$P844))</f>
        <v/>
      </c>
      <c r="N844">
        <f>IF($P844="","",INDEX(명단표[급여 판정 근거],$P844))</f>
        <v/>
      </c>
      <c r="O844">
        <f>IF($P844="","",INDEX(명단표[점검],$P844))</f>
        <v/>
      </c>
      <c r="P844" s="17">
        <f>IFERROR(MATCH(839,명단표[서울순번],0),"")</f>
        <v/>
      </c>
      <c r="R844">
        <f>IF($W844="","",INDEX(명단표[이름],$W844))</f>
        <v/>
      </c>
      <c r="S844">
        <f>IF($W844="","",INDEX(명단표[사번],$W844)&amp;"")</f>
        <v/>
      </c>
      <c r="T844">
        <f>IF($W844="","",INDEX(명단표[소속병원],$W844))</f>
        <v/>
      </c>
      <c r="U844">
        <f>IF($W844="","",INDEX(명단표[서울 근무일(기준월)],$W844))</f>
        <v/>
      </c>
      <c r="V844">
        <f>IF($W844="","",INDEX(명단표[구리 근무일(기준월)],$W844))</f>
        <v/>
      </c>
      <c r="W844" s="17">
        <f>IFERROR(MATCH(839,명단표[판정불가순번],0),"")</f>
        <v/>
      </c>
    </row>
    <row r="845">
      <c r="A845">
        <f>IF($P845="","",840)</f>
        <v/>
      </c>
      <c r="B845">
        <f>IF($P845="","",INDEX(명단표[이름],$P845))</f>
        <v/>
      </c>
      <c r="C845">
        <f>IF($P845="","",INDEX(명단표[사번],$P845)&amp;"")</f>
        <v/>
      </c>
      <c r="D845">
        <f>IF($P845="","",INDEX(명단표[전공의등록번호],$P845)&amp;"")</f>
        <v/>
      </c>
      <c r="E845">
        <f>IF($P845="","",INDEX(명단표[수련과목],$P845)&amp;"")</f>
        <v/>
      </c>
      <c r="F845">
        <f>IF($P845="","",INDEX(명단표[연차],$P845)&amp;"")</f>
        <v/>
      </c>
      <c r="G845">
        <f>IF($P845="","",INDEX(명단표[소속병원],$P845))</f>
        <v/>
      </c>
      <c r="H845">
        <f>IF($P845="","",IF(INDEX(명단표[소속병원],$P845)="서울병원","서울 소속","타 병원 소속("&amp;INDEX(명단표[소속병원],$P845)&amp;") → 서울 지급"))</f>
        <v/>
      </c>
      <c r="I845">
        <f>IF($P845="","",INDEX(명단표[현재 근무병원],$P845))</f>
        <v/>
      </c>
      <c r="J845">
        <f>IF($P845="","",INDEX(명단표[구리 근무 시작일(기준월)],$P845)&amp;"")</f>
        <v/>
      </c>
      <c r="K845">
        <f>IF($P845="","",INDEX(명단표[구리 근무 종료일(기준월)],$P845)&amp;"")</f>
        <v/>
      </c>
      <c r="L845">
        <f>IF($P845="","",INDEX(명단표[서울 근무일(기준월)],$P845))</f>
        <v/>
      </c>
      <c r="M845">
        <f>IF($P845="","",INDEX(명단표[구리 근무일(기준월)],$P845))</f>
        <v/>
      </c>
      <c r="N845">
        <f>IF($P845="","",INDEX(명단표[급여 판정 근거],$P845))</f>
        <v/>
      </c>
      <c r="O845">
        <f>IF($P845="","",INDEX(명단표[점검],$P845))</f>
        <v/>
      </c>
      <c r="P845" s="17">
        <f>IFERROR(MATCH(840,명단표[서울순번],0),"")</f>
        <v/>
      </c>
      <c r="R845">
        <f>IF($W845="","",INDEX(명단표[이름],$W845))</f>
        <v/>
      </c>
      <c r="S845">
        <f>IF($W845="","",INDEX(명단표[사번],$W845)&amp;"")</f>
        <v/>
      </c>
      <c r="T845">
        <f>IF($W845="","",INDEX(명단표[소속병원],$W845))</f>
        <v/>
      </c>
      <c r="U845">
        <f>IF($W845="","",INDEX(명단표[서울 근무일(기준월)],$W845))</f>
        <v/>
      </c>
      <c r="V845">
        <f>IF($W845="","",INDEX(명단표[구리 근무일(기준월)],$W845))</f>
        <v/>
      </c>
      <c r="W845" s="17">
        <f>IFERROR(MATCH(840,명단표[판정불가순번],0),"")</f>
        <v/>
      </c>
    </row>
    <row r="846">
      <c r="A846">
        <f>IF($P846="","",841)</f>
        <v/>
      </c>
      <c r="B846">
        <f>IF($P846="","",INDEX(명단표[이름],$P846))</f>
        <v/>
      </c>
      <c r="C846">
        <f>IF($P846="","",INDEX(명단표[사번],$P846)&amp;"")</f>
        <v/>
      </c>
      <c r="D846">
        <f>IF($P846="","",INDEX(명단표[전공의등록번호],$P846)&amp;"")</f>
        <v/>
      </c>
      <c r="E846">
        <f>IF($P846="","",INDEX(명단표[수련과목],$P846)&amp;"")</f>
        <v/>
      </c>
      <c r="F846">
        <f>IF($P846="","",INDEX(명단표[연차],$P846)&amp;"")</f>
        <v/>
      </c>
      <c r="G846">
        <f>IF($P846="","",INDEX(명단표[소속병원],$P846))</f>
        <v/>
      </c>
      <c r="H846">
        <f>IF($P846="","",IF(INDEX(명단표[소속병원],$P846)="서울병원","서울 소속","타 병원 소속("&amp;INDEX(명단표[소속병원],$P846)&amp;") → 서울 지급"))</f>
        <v/>
      </c>
      <c r="I846">
        <f>IF($P846="","",INDEX(명단표[현재 근무병원],$P846))</f>
        <v/>
      </c>
      <c r="J846">
        <f>IF($P846="","",INDEX(명단표[구리 근무 시작일(기준월)],$P846)&amp;"")</f>
        <v/>
      </c>
      <c r="K846">
        <f>IF($P846="","",INDEX(명단표[구리 근무 종료일(기준월)],$P846)&amp;"")</f>
        <v/>
      </c>
      <c r="L846">
        <f>IF($P846="","",INDEX(명단표[서울 근무일(기준월)],$P846))</f>
        <v/>
      </c>
      <c r="M846">
        <f>IF($P846="","",INDEX(명단표[구리 근무일(기준월)],$P846))</f>
        <v/>
      </c>
      <c r="N846">
        <f>IF($P846="","",INDEX(명단표[급여 판정 근거],$P846))</f>
        <v/>
      </c>
      <c r="O846">
        <f>IF($P846="","",INDEX(명단표[점검],$P846))</f>
        <v/>
      </c>
      <c r="P846" s="17">
        <f>IFERROR(MATCH(841,명단표[서울순번],0),"")</f>
        <v/>
      </c>
      <c r="R846">
        <f>IF($W846="","",INDEX(명단표[이름],$W846))</f>
        <v/>
      </c>
      <c r="S846">
        <f>IF($W846="","",INDEX(명단표[사번],$W846)&amp;"")</f>
        <v/>
      </c>
      <c r="T846">
        <f>IF($W846="","",INDEX(명단표[소속병원],$W846))</f>
        <v/>
      </c>
      <c r="U846">
        <f>IF($W846="","",INDEX(명단표[서울 근무일(기준월)],$W846))</f>
        <v/>
      </c>
      <c r="V846">
        <f>IF($W846="","",INDEX(명단표[구리 근무일(기준월)],$W846))</f>
        <v/>
      </c>
      <c r="W846" s="17">
        <f>IFERROR(MATCH(841,명단표[판정불가순번],0),"")</f>
        <v/>
      </c>
    </row>
    <row r="847">
      <c r="A847">
        <f>IF($P847="","",842)</f>
        <v/>
      </c>
      <c r="B847">
        <f>IF($P847="","",INDEX(명단표[이름],$P847))</f>
        <v/>
      </c>
      <c r="C847">
        <f>IF($P847="","",INDEX(명단표[사번],$P847)&amp;"")</f>
        <v/>
      </c>
      <c r="D847">
        <f>IF($P847="","",INDEX(명단표[전공의등록번호],$P847)&amp;"")</f>
        <v/>
      </c>
      <c r="E847">
        <f>IF($P847="","",INDEX(명단표[수련과목],$P847)&amp;"")</f>
        <v/>
      </c>
      <c r="F847">
        <f>IF($P847="","",INDEX(명단표[연차],$P847)&amp;"")</f>
        <v/>
      </c>
      <c r="G847">
        <f>IF($P847="","",INDEX(명단표[소속병원],$P847))</f>
        <v/>
      </c>
      <c r="H847">
        <f>IF($P847="","",IF(INDEX(명단표[소속병원],$P847)="서울병원","서울 소속","타 병원 소속("&amp;INDEX(명단표[소속병원],$P847)&amp;") → 서울 지급"))</f>
        <v/>
      </c>
      <c r="I847">
        <f>IF($P847="","",INDEX(명단표[현재 근무병원],$P847))</f>
        <v/>
      </c>
      <c r="J847">
        <f>IF($P847="","",INDEX(명단표[구리 근무 시작일(기준월)],$P847)&amp;"")</f>
        <v/>
      </c>
      <c r="K847">
        <f>IF($P847="","",INDEX(명단표[구리 근무 종료일(기준월)],$P847)&amp;"")</f>
        <v/>
      </c>
      <c r="L847">
        <f>IF($P847="","",INDEX(명단표[서울 근무일(기준월)],$P847))</f>
        <v/>
      </c>
      <c r="M847">
        <f>IF($P847="","",INDEX(명단표[구리 근무일(기준월)],$P847))</f>
        <v/>
      </c>
      <c r="N847">
        <f>IF($P847="","",INDEX(명단표[급여 판정 근거],$P847))</f>
        <v/>
      </c>
      <c r="O847">
        <f>IF($P847="","",INDEX(명단표[점검],$P847))</f>
        <v/>
      </c>
      <c r="P847" s="17">
        <f>IFERROR(MATCH(842,명단표[서울순번],0),"")</f>
        <v/>
      </c>
      <c r="R847">
        <f>IF($W847="","",INDEX(명단표[이름],$W847))</f>
        <v/>
      </c>
      <c r="S847">
        <f>IF($W847="","",INDEX(명단표[사번],$W847)&amp;"")</f>
        <v/>
      </c>
      <c r="T847">
        <f>IF($W847="","",INDEX(명단표[소속병원],$W847))</f>
        <v/>
      </c>
      <c r="U847">
        <f>IF($W847="","",INDEX(명단표[서울 근무일(기준월)],$W847))</f>
        <v/>
      </c>
      <c r="V847">
        <f>IF($W847="","",INDEX(명단표[구리 근무일(기준월)],$W847))</f>
        <v/>
      </c>
      <c r="W847" s="17">
        <f>IFERROR(MATCH(842,명단표[판정불가순번],0),"")</f>
        <v/>
      </c>
    </row>
    <row r="848">
      <c r="A848">
        <f>IF($P848="","",843)</f>
        <v/>
      </c>
      <c r="B848">
        <f>IF($P848="","",INDEX(명단표[이름],$P848))</f>
        <v/>
      </c>
      <c r="C848">
        <f>IF($P848="","",INDEX(명단표[사번],$P848)&amp;"")</f>
        <v/>
      </c>
      <c r="D848">
        <f>IF($P848="","",INDEX(명단표[전공의등록번호],$P848)&amp;"")</f>
        <v/>
      </c>
      <c r="E848">
        <f>IF($P848="","",INDEX(명단표[수련과목],$P848)&amp;"")</f>
        <v/>
      </c>
      <c r="F848">
        <f>IF($P848="","",INDEX(명단표[연차],$P848)&amp;"")</f>
        <v/>
      </c>
      <c r="G848">
        <f>IF($P848="","",INDEX(명단표[소속병원],$P848))</f>
        <v/>
      </c>
      <c r="H848">
        <f>IF($P848="","",IF(INDEX(명단표[소속병원],$P848)="서울병원","서울 소속","타 병원 소속("&amp;INDEX(명단표[소속병원],$P848)&amp;") → 서울 지급"))</f>
        <v/>
      </c>
      <c r="I848">
        <f>IF($P848="","",INDEX(명단표[현재 근무병원],$P848))</f>
        <v/>
      </c>
      <c r="J848">
        <f>IF($P848="","",INDEX(명단표[구리 근무 시작일(기준월)],$P848)&amp;"")</f>
        <v/>
      </c>
      <c r="K848">
        <f>IF($P848="","",INDEX(명단표[구리 근무 종료일(기준월)],$P848)&amp;"")</f>
        <v/>
      </c>
      <c r="L848">
        <f>IF($P848="","",INDEX(명단표[서울 근무일(기준월)],$P848))</f>
        <v/>
      </c>
      <c r="M848">
        <f>IF($P848="","",INDEX(명단표[구리 근무일(기준월)],$P848))</f>
        <v/>
      </c>
      <c r="N848">
        <f>IF($P848="","",INDEX(명단표[급여 판정 근거],$P848))</f>
        <v/>
      </c>
      <c r="O848">
        <f>IF($P848="","",INDEX(명단표[점검],$P848))</f>
        <v/>
      </c>
      <c r="P848" s="17">
        <f>IFERROR(MATCH(843,명단표[서울순번],0),"")</f>
        <v/>
      </c>
      <c r="R848">
        <f>IF($W848="","",INDEX(명단표[이름],$W848))</f>
        <v/>
      </c>
      <c r="S848">
        <f>IF($W848="","",INDEX(명단표[사번],$W848)&amp;"")</f>
        <v/>
      </c>
      <c r="T848">
        <f>IF($W848="","",INDEX(명단표[소속병원],$W848))</f>
        <v/>
      </c>
      <c r="U848">
        <f>IF($W848="","",INDEX(명단표[서울 근무일(기준월)],$W848))</f>
        <v/>
      </c>
      <c r="V848">
        <f>IF($W848="","",INDEX(명단표[구리 근무일(기준월)],$W848))</f>
        <v/>
      </c>
      <c r="W848" s="17">
        <f>IFERROR(MATCH(843,명단표[판정불가순번],0),"")</f>
        <v/>
      </c>
    </row>
    <row r="849">
      <c r="A849">
        <f>IF($P849="","",844)</f>
        <v/>
      </c>
      <c r="B849">
        <f>IF($P849="","",INDEX(명단표[이름],$P849))</f>
        <v/>
      </c>
      <c r="C849">
        <f>IF($P849="","",INDEX(명단표[사번],$P849)&amp;"")</f>
        <v/>
      </c>
      <c r="D849">
        <f>IF($P849="","",INDEX(명단표[전공의등록번호],$P849)&amp;"")</f>
        <v/>
      </c>
      <c r="E849">
        <f>IF($P849="","",INDEX(명단표[수련과목],$P849)&amp;"")</f>
        <v/>
      </c>
      <c r="F849">
        <f>IF($P849="","",INDEX(명단표[연차],$P849)&amp;"")</f>
        <v/>
      </c>
      <c r="G849">
        <f>IF($P849="","",INDEX(명단표[소속병원],$P849))</f>
        <v/>
      </c>
      <c r="H849">
        <f>IF($P849="","",IF(INDEX(명단표[소속병원],$P849)="서울병원","서울 소속","타 병원 소속("&amp;INDEX(명단표[소속병원],$P849)&amp;") → 서울 지급"))</f>
        <v/>
      </c>
      <c r="I849">
        <f>IF($P849="","",INDEX(명단표[현재 근무병원],$P849))</f>
        <v/>
      </c>
      <c r="J849">
        <f>IF($P849="","",INDEX(명단표[구리 근무 시작일(기준월)],$P849)&amp;"")</f>
        <v/>
      </c>
      <c r="K849">
        <f>IF($P849="","",INDEX(명단표[구리 근무 종료일(기준월)],$P849)&amp;"")</f>
        <v/>
      </c>
      <c r="L849">
        <f>IF($P849="","",INDEX(명단표[서울 근무일(기준월)],$P849))</f>
        <v/>
      </c>
      <c r="M849">
        <f>IF($P849="","",INDEX(명단표[구리 근무일(기준월)],$P849))</f>
        <v/>
      </c>
      <c r="N849">
        <f>IF($P849="","",INDEX(명단표[급여 판정 근거],$P849))</f>
        <v/>
      </c>
      <c r="O849">
        <f>IF($P849="","",INDEX(명단표[점검],$P849))</f>
        <v/>
      </c>
      <c r="P849" s="17">
        <f>IFERROR(MATCH(844,명단표[서울순번],0),"")</f>
        <v/>
      </c>
      <c r="R849">
        <f>IF($W849="","",INDEX(명단표[이름],$W849))</f>
        <v/>
      </c>
      <c r="S849">
        <f>IF($W849="","",INDEX(명단표[사번],$W849)&amp;"")</f>
        <v/>
      </c>
      <c r="T849">
        <f>IF($W849="","",INDEX(명단표[소속병원],$W849))</f>
        <v/>
      </c>
      <c r="U849">
        <f>IF($W849="","",INDEX(명단표[서울 근무일(기준월)],$W849))</f>
        <v/>
      </c>
      <c r="V849">
        <f>IF($W849="","",INDEX(명단표[구리 근무일(기준월)],$W849))</f>
        <v/>
      </c>
      <c r="W849" s="17">
        <f>IFERROR(MATCH(844,명단표[판정불가순번],0),"")</f>
        <v/>
      </c>
    </row>
    <row r="850">
      <c r="A850">
        <f>IF($P850="","",845)</f>
        <v/>
      </c>
      <c r="B850">
        <f>IF($P850="","",INDEX(명단표[이름],$P850))</f>
        <v/>
      </c>
      <c r="C850">
        <f>IF($P850="","",INDEX(명단표[사번],$P850)&amp;"")</f>
        <v/>
      </c>
      <c r="D850">
        <f>IF($P850="","",INDEX(명단표[전공의등록번호],$P850)&amp;"")</f>
        <v/>
      </c>
      <c r="E850">
        <f>IF($P850="","",INDEX(명단표[수련과목],$P850)&amp;"")</f>
        <v/>
      </c>
      <c r="F850">
        <f>IF($P850="","",INDEX(명단표[연차],$P850)&amp;"")</f>
        <v/>
      </c>
      <c r="G850">
        <f>IF($P850="","",INDEX(명단표[소속병원],$P850))</f>
        <v/>
      </c>
      <c r="H850">
        <f>IF($P850="","",IF(INDEX(명단표[소속병원],$P850)="서울병원","서울 소속","타 병원 소속("&amp;INDEX(명단표[소속병원],$P850)&amp;") → 서울 지급"))</f>
        <v/>
      </c>
      <c r="I850">
        <f>IF($P850="","",INDEX(명단표[현재 근무병원],$P850))</f>
        <v/>
      </c>
      <c r="J850">
        <f>IF($P850="","",INDEX(명단표[구리 근무 시작일(기준월)],$P850)&amp;"")</f>
        <v/>
      </c>
      <c r="K850">
        <f>IF($P850="","",INDEX(명단표[구리 근무 종료일(기준월)],$P850)&amp;"")</f>
        <v/>
      </c>
      <c r="L850">
        <f>IF($P850="","",INDEX(명단표[서울 근무일(기준월)],$P850))</f>
        <v/>
      </c>
      <c r="M850">
        <f>IF($P850="","",INDEX(명단표[구리 근무일(기준월)],$P850))</f>
        <v/>
      </c>
      <c r="N850">
        <f>IF($P850="","",INDEX(명단표[급여 판정 근거],$P850))</f>
        <v/>
      </c>
      <c r="O850">
        <f>IF($P850="","",INDEX(명단표[점검],$P850))</f>
        <v/>
      </c>
      <c r="P850" s="17">
        <f>IFERROR(MATCH(845,명단표[서울순번],0),"")</f>
        <v/>
      </c>
      <c r="R850">
        <f>IF($W850="","",INDEX(명단표[이름],$W850))</f>
        <v/>
      </c>
      <c r="S850">
        <f>IF($W850="","",INDEX(명단표[사번],$W850)&amp;"")</f>
        <v/>
      </c>
      <c r="T850">
        <f>IF($W850="","",INDEX(명단표[소속병원],$W850))</f>
        <v/>
      </c>
      <c r="U850">
        <f>IF($W850="","",INDEX(명단표[서울 근무일(기준월)],$W850))</f>
        <v/>
      </c>
      <c r="V850">
        <f>IF($W850="","",INDEX(명단표[구리 근무일(기준월)],$W850))</f>
        <v/>
      </c>
      <c r="W850" s="17">
        <f>IFERROR(MATCH(845,명단표[판정불가순번],0),"")</f>
        <v/>
      </c>
    </row>
    <row r="851">
      <c r="A851">
        <f>IF($P851="","",846)</f>
        <v/>
      </c>
      <c r="B851">
        <f>IF($P851="","",INDEX(명단표[이름],$P851))</f>
        <v/>
      </c>
      <c r="C851">
        <f>IF($P851="","",INDEX(명단표[사번],$P851)&amp;"")</f>
        <v/>
      </c>
      <c r="D851">
        <f>IF($P851="","",INDEX(명단표[전공의등록번호],$P851)&amp;"")</f>
        <v/>
      </c>
      <c r="E851">
        <f>IF($P851="","",INDEX(명단표[수련과목],$P851)&amp;"")</f>
        <v/>
      </c>
      <c r="F851">
        <f>IF($P851="","",INDEX(명단표[연차],$P851)&amp;"")</f>
        <v/>
      </c>
      <c r="G851">
        <f>IF($P851="","",INDEX(명단표[소속병원],$P851))</f>
        <v/>
      </c>
      <c r="H851">
        <f>IF($P851="","",IF(INDEX(명단표[소속병원],$P851)="서울병원","서울 소속","타 병원 소속("&amp;INDEX(명단표[소속병원],$P851)&amp;") → 서울 지급"))</f>
        <v/>
      </c>
      <c r="I851">
        <f>IF($P851="","",INDEX(명단표[현재 근무병원],$P851))</f>
        <v/>
      </c>
      <c r="J851">
        <f>IF($P851="","",INDEX(명단표[구리 근무 시작일(기준월)],$P851)&amp;"")</f>
        <v/>
      </c>
      <c r="K851">
        <f>IF($P851="","",INDEX(명단표[구리 근무 종료일(기준월)],$P851)&amp;"")</f>
        <v/>
      </c>
      <c r="L851">
        <f>IF($P851="","",INDEX(명단표[서울 근무일(기준월)],$P851))</f>
        <v/>
      </c>
      <c r="M851">
        <f>IF($P851="","",INDEX(명단표[구리 근무일(기준월)],$P851))</f>
        <v/>
      </c>
      <c r="N851">
        <f>IF($P851="","",INDEX(명단표[급여 판정 근거],$P851))</f>
        <v/>
      </c>
      <c r="O851">
        <f>IF($P851="","",INDEX(명단표[점검],$P851))</f>
        <v/>
      </c>
      <c r="P851" s="17">
        <f>IFERROR(MATCH(846,명단표[서울순번],0),"")</f>
        <v/>
      </c>
      <c r="R851">
        <f>IF($W851="","",INDEX(명단표[이름],$W851))</f>
        <v/>
      </c>
      <c r="S851">
        <f>IF($W851="","",INDEX(명단표[사번],$W851)&amp;"")</f>
        <v/>
      </c>
      <c r="T851">
        <f>IF($W851="","",INDEX(명단표[소속병원],$W851))</f>
        <v/>
      </c>
      <c r="U851">
        <f>IF($W851="","",INDEX(명단표[서울 근무일(기준월)],$W851))</f>
        <v/>
      </c>
      <c r="V851">
        <f>IF($W851="","",INDEX(명단표[구리 근무일(기준월)],$W851))</f>
        <v/>
      </c>
      <c r="W851" s="17">
        <f>IFERROR(MATCH(846,명단표[판정불가순번],0),"")</f>
        <v/>
      </c>
    </row>
    <row r="852">
      <c r="A852">
        <f>IF($P852="","",847)</f>
        <v/>
      </c>
      <c r="B852">
        <f>IF($P852="","",INDEX(명단표[이름],$P852))</f>
        <v/>
      </c>
      <c r="C852">
        <f>IF($P852="","",INDEX(명단표[사번],$P852)&amp;"")</f>
        <v/>
      </c>
      <c r="D852">
        <f>IF($P852="","",INDEX(명단표[전공의등록번호],$P852)&amp;"")</f>
        <v/>
      </c>
      <c r="E852">
        <f>IF($P852="","",INDEX(명단표[수련과목],$P852)&amp;"")</f>
        <v/>
      </c>
      <c r="F852">
        <f>IF($P852="","",INDEX(명단표[연차],$P852)&amp;"")</f>
        <v/>
      </c>
      <c r="G852">
        <f>IF($P852="","",INDEX(명단표[소속병원],$P852))</f>
        <v/>
      </c>
      <c r="H852">
        <f>IF($P852="","",IF(INDEX(명단표[소속병원],$P852)="서울병원","서울 소속","타 병원 소속("&amp;INDEX(명단표[소속병원],$P852)&amp;") → 서울 지급"))</f>
        <v/>
      </c>
      <c r="I852">
        <f>IF($P852="","",INDEX(명단표[현재 근무병원],$P852))</f>
        <v/>
      </c>
      <c r="J852">
        <f>IF($P852="","",INDEX(명단표[구리 근무 시작일(기준월)],$P852)&amp;"")</f>
        <v/>
      </c>
      <c r="K852">
        <f>IF($P852="","",INDEX(명단표[구리 근무 종료일(기준월)],$P852)&amp;"")</f>
        <v/>
      </c>
      <c r="L852">
        <f>IF($P852="","",INDEX(명단표[서울 근무일(기준월)],$P852))</f>
        <v/>
      </c>
      <c r="M852">
        <f>IF($P852="","",INDEX(명단표[구리 근무일(기준월)],$P852))</f>
        <v/>
      </c>
      <c r="N852">
        <f>IF($P852="","",INDEX(명단표[급여 판정 근거],$P852))</f>
        <v/>
      </c>
      <c r="O852">
        <f>IF($P852="","",INDEX(명단표[점검],$P852))</f>
        <v/>
      </c>
      <c r="P852" s="17">
        <f>IFERROR(MATCH(847,명단표[서울순번],0),"")</f>
        <v/>
      </c>
      <c r="R852">
        <f>IF($W852="","",INDEX(명단표[이름],$W852))</f>
        <v/>
      </c>
      <c r="S852">
        <f>IF($W852="","",INDEX(명단표[사번],$W852)&amp;"")</f>
        <v/>
      </c>
      <c r="T852">
        <f>IF($W852="","",INDEX(명단표[소속병원],$W852))</f>
        <v/>
      </c>
      <c r="U852">
        <f>IF($W852="","",INDEX(명단표[서울 근무일(기준월)],$W852))</f>
        <v/>
      </c>
      <c r="V852">
        <f>IF($W852="","",INDEX(명단표[구리 근무일(기준월)],$W852))</f>
        <v/>
      </c>
      <c r="W852" s="17">
        <f>IFERROR(MATCH(847,명단표[판정불가순번],0),"")</f>
        <v/>
      </c>
    </row>
    <row r="853">
      <c r="A853">
        <f>IF($P853="","",848)</f>
        <v/>
      </c>
      <c r="B853">
        <f>IF($P853="","",INDEX(명단표[이름],$P853))</f>
        <v/>
      </c>
      <c r="C853">
        <f>IF($P853="","",INDEX(명단표[사번],$P853)&amp;"")</f>
        <v/>
      </c>
      <c r="D853">
        <f>IF($P853="","",INDEX(명단표[전공의등록번호],$P853)&amp;"")</f>
        <v/>
      </c>
      <c r="E853">
        <f>IF($P853="","",INDEX(명단표[수련과목],$P853)&amp;"")</f>
        <v/>
      </c>
      <c r="F853">
        <f>IF($P853="","",INDEX(명단표[연차],$P853)&amp;"")</f>
        <v/>
      </c>
      <c r="G853">
        <f>IF($P853="","",INDEX(명단표[소속병원],$P853))</f>
        <v/>
      </c>
      <c r="H853">
        <f>IF($P853="","",IF(INDEX(명단표[소속병원],$P853)="서울병원","서울 소속","타 병원 소속("&amp;INDEX(명단표[소속병원],$P853)&amp;") → 서울 지급"))</f>
        <v/>
      </c>
      <c r="I853">
        <f>IF($P853="","",INDEX(명단표[현재 근무병원],$P853))</f>
        <v/>
      </c>
      <c r="J853">
        <f>IF($P853="","",INDEX(명단표[구리 근무 시작일(기준월)],$P853)&amp;"")</f>
        <v/>
      </c>
      <c r="K853">
        <f>IF($P853="","",INDEX(명단표[구리 근무 종료일(기준월)],$P853)&amp;"")</f>
        <v/>
      </c>
      <c r="L853">
        <f>IF($P853="","",INDEX(명단표[서울 근무일(기준월)],$P853))</f>
        <v/>
      </c>
      <c r="M853">
        <f>IF($P853="","",INDEX(명단표[구리 근무일(기준월)],$P853))</f>
        <v/>
      </c>
      <c r="N853">
        <f>IF($P853="","",INDEX(명단표[급여 판정 근거],$P853))</f>
        <v/>
      </c>
      <c r="O853">
        <f>IF($P853="","",INDEX(명단표[점검],$P853))</f>
        <v/>
      </c>
      <c r="P853" s="17">
        <f>IFERROR(MATCH(848,명단표[서울순번],0),"")</f>
        <v/>
      </c>
      <c r="R853">
        <f>IF($W853="","",INDEX(명단표[이름],$W853))</f>
        <v/>
      </c>
      <c r="S853">
        <f>IF($W853="","",INDEX(명단표[사번],$W853)&amp;"")</f>
        <v/>
      </c>
      <c r="T853">
        <f>IF($W853="","",INDEX(명단표[소속병원],$W853))</f>
        <v/>
      </c>
      <c r="U853">
        <f>IF($W853="","",INDEX(명단표[서울 근무일(기준월)],$W853))</f>
        <v/>
      </c>
      <c r="V853">
        <f>IF($W853="","",INDEX(명단표[구리 근무일(기준월)],$W853))</f>
        <v/>
      </c>
      <c r="W853" s="17">
        <f>IFERROR(MATCH(848,명단표[판정불가순번],0),"")</f>
        <v/>
      </c>
    </row>
    <row r="854">
      <c r="A854">
        <f>IF($P854="","",849)</f>
        <v/>
      </c>
      <c r="B854">
        <f>IF($P854="","",INDEX(명단표[이름],$P854))</f>
        <v/>
      </c>
      <c r="C854">
        <f>IF($P854="","",INDEX(명단표[사번],$P854)&amp;"")</f>
        <v/>
      </c>
      <c r="D854">
        <f>IF($P854="","",INDEX(명단표[전공의등록번호],$P854)&amp;"")</f>
        <v/>
      </c>
      <c r="E854">
        <f>IF($P854="","",INDEX(명단표[수련과목],$P854)&amp;"")</f>
        <v/>
      </c>
      <c r="F854">
        <f>IF($P854="","",INDEX(명단표[연차],$P854)&amp;"")</f>
        <v/>
      </c>
      <c r="G854">
        <f>IF($P854="","",INDEX(명단표[소속병원],$P854))</f>
        <v/>
      </c>
      <c r="H854">
        <f>IF($P854="","",IF(INDEX(명단표[소속병원],$P854)="서울병원","서울 소속","타 병원 소속("&amp;INDEX(명단표[소속병원],$P854)&amp;") → 서울 지급"))</f>
        <v/>
      </c>
      <c r="I854">
        <f>IF($P854="","",INDEX(명단표[현재 근무병원],$P854))</f>
        <v/>
      </c>
      <c r="J854">
        <f>IF($P854="","",INDEX(명단표[구리 근무 시작일(기준월)],$P854)&amp;"")</f>
        <v/>
      </c>
      <c r="K854">
        <f>IF($P854="","",INDEX(명단표[구리 근무 종료일(기준월)],$P854)&amp;"")</f>
        <v/>
      </c>
      <c r="L854">
        <f>IF($P854="","",INDEX(명단표[서울 근무일(기준월)],$P854))</f>
        <v/>
      </c>
      <c r="M854">
        <f>IF($P854="","",INDEX(명단표[구리 근무일(기준월)],$P854))</f>
        <v/>
      </c>
      <c r="N854">
        <f>IF($P854="","",INDEX(명단표[급여 판정 근거],$P854))</f>
        <v/>
      </c>
      <c r="O854">
        <f>IF($P854="","",INDEX(명단표[점검],$P854))</f>
        <v/>
      </c>
      <c r="P854" s="17">
        <f>IFERROR(MATCH(849,명단표[서울순번],0),"")</f>
        <v/>
      </c>
      <c r="R854">
        <f>IF($W854="","",INDEX(명단표[이름],$W854))</f>
        <v/>
      </c>
      <c r="S854">
        <f>IF($W854="","",INDEX(명단표[사번],$W854)&amp;"")</f>
        <v/>
      </c>
      <c r="T854">
        <f>IF($W854="","",INDEX(명단표[소속병원],$W854))</f>
        <v/>
      </c>
      <c r="U854">
        <f>IF($W854="","",INDEX(명단표[서울 근무일(기준월)],$W854))</f>
        <v/>
      </c>
      <c r="V854">
        <f>IF($W854="","",INDEX(명단표[구리 근무일(기준월)],$W854))</f>
        <v/>
      </c>
      <c r="W854" s="17">
        <f>IFERROR(MATCH(849,명단표[판정불가순번],0),"")</f>
        <v/>
      </c>
    </row>
    <row r="855">
      <c r="A855">
        <f>IF($P855="","",850)</f>
        <v/>
      </c>
      <c r="B855">
        <f>IF($P855="","",INDEX(명단표[이름],$P855))</f>
        <v/>
      </c>
      <c r="C855">
        <f>IF($P855="","",INDEX(명단표[사번],$P855)&amp;"")</f>
        <v/>
      </c>
      <c r="D855">
        <f>IF($P855="","",INDEX(명단표[전공의등록번호],$P855)&amp;"")</f>
        <v/>
      </c>
      <c r="E855">
        <f>IF($P855="","",INDEX(명단표[수련과목],$P855)&amp;"")</f>
        <v/>
      </c>
      <c r="F855">
        <f>IF($P855="","",INDEX(명단표[연차],$P855)&amp;"")</f>
        <v/>
      </c>
      <c r="G855">
        <f>IF($P855="","",INDEX(명단표[소속병원],$P855))</f>
        <v/>
      </c>
      <c r="H855">
        <f>IF($P855="","",IF(INDEX(명단표[소속병원],$P855)="서울병원","서울 소속","타 병원 소속("&amp;INDEX(명단표[소속병원],$P855)&amp;") → 서울 지급"))</f>
        <v/>
      </c>
      <c r="I855">
        <f>IF($P855="","",INDEX(명단표[현재 근무병원],$P855))</f>
        <v/>
      </c>
      <c r="J855">
        <f>IF($P855="","",INDEX(명단표[구리 근무 시작일(기준월)],$P855)&amp;"")</f>
        <v/>
      </c>
      <c r="K855">
        <f>IF($P855="","",INDEX(명단표[구리 근무 종료일(기준월)],$P855)&amp;"")</f>
        <v/>
      </c>
      <c r="L855">
        <f>IF($P855="","",INDEX(명단표[서울 근무일(기준월)],$P855))</f>
        <v/>
      </c>
      <c r="M855">
        <f>IF($P855="","",INDEX(명단표[구리 근무일(기준월)],$P855))</f>
        <v/>
      </c>
      <c r="N855">
        <f>IF($P855="","",INDEX(명단표[급여 판정 근거],$P855))</f>
        <v/>
      </c>
      <c r="O855">
        <f>IF($P855="","",INDEX(명단표[점검],$P855))</f>
        <v/>
      </c>
      <c r="P855" s="17">
        <f>IFERROR(MATCH(850,명단표[서울순번],0),"")</f>
        <v/>
      </c>
      <c r="R855">
        <f>IF($W855="","",INDEX(명단표[이름],$W855))</f>
        <v/>
      </c>
      <c r="S855">
        <f>IF($W855="","",INDEX(명단표[사번],$W855)&amp;"")</f>
        <v/>
      </c>
      <c r="T855">
        <f>IF($W855="","",INDEX(명단표[소속병원],$W855))</f>
        <v/>
      </c>
      <c r="U855">
        <f>IF($W855="","",INDEX(명단표[서울 근무일(기준월)],$W855))</f>
        <v/>
      </c>
      <c r="V855">
        <f>IF($W855="","",INDEX(명단표[구리 근무일(기준월)],$W855))</f>
        <v/>
      </c>
      <c r="W855" s="17">
        <f>IFERROR(MATCH(850,명단표[판정불가순번],0),"")</f>
        <v/>
      </c>
    </row>
    <row r="856">
      <c r="A856">
        <f>IF($P856="","",851)</f>
        <v/>
      </c>
      <c r="B856">
        <f>IF($P856="","",INDEX(명단표[이름],$P856))</f>
        <v/>
      </c>
      <c r="C856">
        <f>IF($P856="","",INDEX(명단표[사번],$P856)&amp;"")</f>
        <v/>
      </c>
      <c r="D856">
        <f>IF($P856="","",INDEX(명단표[전공의등록번호],$P856)&amp;"")</f>
        <v/>
      </c>
      <c r="E856">
        <f>IF($P856="","",INDEX(명단표[수련과목],$P856)&amp;"")</f>
        <v/>
      </c>
      <c r="F856">
        <f>IF($P856="","",INDEX(명단표[연차],$P856)&amp;"")</f>
        <v/>
      </c>
      <c r="G856">
        <f>IF($P856="","",INDEX(명단표[소속병원],$P856))</f>
        <v/>
      </c>
      <c r="H856">
        <f>IF($P856="","",IF(INDEX(명단표[소속병원],$P856)="서울병원","서울 소속","타 병원 소속("&amp;INDEX(명단표[소속병원],$P856)&amp;") → 서울 지급"))</f>
        <v/>
      </c>
      <c r="I856">
        <f>IF($P856="","",INDEX(명단표[현재 근무병원],$P856))</f>
        <v/>
      </c>
      <c r="J856">
        <f>IF($P856="","",INDEX(명단표[구리 근무 시작일(기준월)],$P856)&amp;"")</f>
        <v/>
      </c>
      <c r="K856">
        <f>IF($P856="","",INDEX(명단표[구리 근무 종료일(기준월)],$P856)&amp;"")</f>
        <v/>
      </c>
      <c r="L856">
        <f>IF($P856="","",INDEX(명단표[서울 근무일(기준월)],$P856))</f>
        <v/>
      </c>
      <c r="M856">
        <f>IF($P856="","",INDEX(명단표[구리 근무일(기준월)],$P856))</f>
        <v/>
      </c>
      <c r="N856">
        <f>IF($P856="","",INDEX(명단표[급여 판정 근거],$P856))</f>
        <v/>
      </c>
      <c r="O856">
        <f>IF($P856="","",INDEX(명단표[점검],$P856))</f>
        <v/>
      </c>
      <c r="P856" s="17">
        <f>IFERROR(MATCH(851,명단표[서울순번],0),"")</f>
        <v/>
      </c>
      <c r="R856">
        <f>IF($W856="","",INDEX(명단표[이름],$W856))</f>
        <v/>
      </c>
      <c r="S856">
        <f>IF($W856="","",INDEX(명단표[사번],$W856)&amp;"")</f>
        <v/>
      </c>
      <c r="T856">
        <f>IF($W856="","",INDEX(명단표[소속병원],$W856))</f>
        <v/>
      </c>
      <c r="U856">
        <f>IF($W856="","",INDEX(명단표[서울 근무일(기준월)],$W856))</f>
        <v/>
      </c>
      <c r="V856">
        <f>IF($W856="","",INDEX(명단표[구리 근무일(기준월)],$W856))</f>
        <v/>
      </c>
      <c r="W856" s="17">
        <f>IFERROR(MATCH(851,명단표[판정불가순번],0),"")</f>
        <v/>
      </c>
    </row>
    <row r="857">
      <c r="A857">
        <f>IF($P857="","",852)</f>
        <v/>
      </c>
      <c r="B857">
        <f>IF($P857="","",INDEX(명단표[이름],$P857))</f>
        <v/>
      </c>
      <c r="C857">
        <f>IF($P857="","",INDEX(명단표[사번],$P857)&amp;"")</f>
        <v/>
      </c>
      <c r="D857">
        <f>IF($P857="","",INDEX(명단표[전공의등록번호],$P857)&amp;"")</f>
        <v/>
      </c>
      <c r="E857">
        <f>IF($P857="","",INDEX(명단표[수련과목],$P857)&amp;"")</f>
        <v/>
      </c>
      <c r="F857">
        <f>IF($P857="","",INDEX(명단표[연차],$P857)&amp;"")</f>
        <v/>
      </c>
      <c r="G857">
        <f>IF($P857="","",INDEX(명단표[소속병원],$P857))</f>
        <v/>
      </c>
      <c r="H857">
        <f>IF($P857="","",IF(INDEX(명단표[소속병원],$P857)="서울병원","서울 소속","타 병원 소속("&amp;INDEX(명단표[소속병원],$P857)&amp;") → 서울 지급"))</f>
        <v/>
      </c>
      <c r="I857">
        <f>IF($P857="","",INDEX(명단표[현재 근무병원],$P857))</f>
        <v/>
      </c>
      <c r="J857">
        <f>IF($P857="","",INDEX(명단표[구리 근무 시작일(기준월)],$P857)&amp;"")</f>
        <v/>
      </c>
      <c r="K857">
        <f>IF($P857="","",INDEX(명단표[구리 근무 종료일(기준월)],$P857)&amp;"")</f>
        <v/>
      </c>
      <c r="L857">
        <f>IF($P857="","",INDEX(명단표[서울 근무일(기준월)],$P857))</f>
        <v/>
      </c>
      <c r="M857">
        <f>IF($P857="","",INDEX(명단표[구리 근무일(기준월)],$P857))</f>
        <v/>
      </c>
      <c r="N857">
        <f>IF($P857="","",INDEX(명단표[급여 판정 근거],$P857))</f>
        <v/>
      </c>
      <c r="O857">
        <f>IF($P857="","",INDEX(명단표[점검],$P857))</f>
        <v/>
      </c>
      <c r="P857" s="17">
        <f>IFERROR(MATCH(852,명단표[서울순번],0),"")</f>
        <v/>
      </c>
      <c r="R857">
        <f>IF($W857="","",INDEX(명단표[이름],$W857))</f>
        <v/>
      </c>
      <c r="S857">
        <f>IF($W857="","",INDEX(명단표[사번],$W857)&amp;"")</f>
        <v/>
      </c>
      <c r="T857">
        <f>IF($W857="","",INDEX(명단표[소속병원],$W857))</f>
        <v/>
      </c>
      <c r="U857">
        <f>IF($W857="","",INDEX(명단표[서울 근무일(기준월)],$W857))</f>
        <v/>
      </c>
      <c r="V857">
        <f>IF($W857="","",INDEX(명단표[구리 근무일(기준월)],$W857))</f>
        <v/>
      </c>
      <c r="W857" s="17">
        <f>IFERROR(MATCH(852,명단표[판정불가순번],0),"")</f>
        <v/>
      </c>
    </row>
    <row r="858">
      <c r="A858">
        <f>IF($P858="","",853)</f>
        <v/>
      </c>
      <c r="B858">
        <f>IF($P858="","",INDEX(명단표[이름],$P858))</f>
        <v/>
      </c>
      <c r="C858">
        <f>IF($P858="","",INDEX(명단표[사번],$P858)&amp;"")</f>
        <v/>
      </c>
      <c r="D858">
        <f>IF($P858="","",INDEX(명단표[전공의등록번호],$P858)&amp;"")</f>
        <v/>
      </c>
      <c r="E858">
        <f>IF($P858="","",INDEX(명단표[수련과목],$P858)&amp;"")</f>
        <v/>
      </c>
      <c r="F858">
        <f>IF($P858="","",INDEX(명단표[연차],$P858)&amp;"")</f>
        <v/>
      </c>
      <c r="G858">
        <f>IF($P858="","",INDEX(명단표[소속병원],$P858))</f>
        <v/>
      </c>
      <c r="H858">
        <f>IF($P858="","",IF(INDEX(명단표[소속병원],$P858)="서울병원","서울 소속","타 병원 소속("&amp;INDEX(명단표[소속병원],$P858)&amp;") → 서울 지급"))</f>
        <v/>
      </c>
      <c r="I858">
        <f>IF($P858="","",INDEX(명단표[현재 근무병원],$P858))</f>
        <v/>
      </c>
      <c r="J858">
        <f>IF($P858="","",INDEX(명단표[구리 근무 시작일(기준월)],$P858)&amp;"")</f>
        <v/>
      </c>
      <c r="K858">
        <f>IF($P858="","",INDEX(명단표[구리 근무 종료일(기준월)],$P858)&amp;"")</f>
        <v/>
      </c>
      <c r="L858">
        <f>IF($P858="","",INDEX(명단표[서울 근무일(기준월)],$P858))</f>
        <v/>
      </c>
      <c r="M858">
        <f>IF($P858="","",INDEX(명단표[구리 근무일(기준월)],$P858))</f>
        <v/>
      </c>
      <c r="N858">
        <f>IF($P858="","",INDEX(명단표[급여 판정 근거],$P858))</f>
        <v/>
      </c>
      <c r="O858">
        <f>IF($P858="","",INDEX(명단표[점검],$P858))</f>
        <v/>
      </c>
      <c r="P858" s="17">
        <f>IFERROR(MATCH(853,명단표[서울순번],0),"")</f>
        <v/>
      </c>
      <c r="R858">
        <f>IF($W858="","",INDEX(명단표[이름],$W858))</f>
        <v/>
      </c>
      <c r="S858">
        <f>IF($W858="","",INDEX(명단표[사번],$W858)&amp;"")</f>
        <v/>
      </c>
      <c r="T858">
        <f>IF($W858="","",INDEX(명단표[소속병원],$W858))</f>
        <v/>
      </c>
      <c r="U858">
        <f>IF($W858="","",INDEX(명단표[서울 근무일(기준월)],$W858))</f>
        <v/>
      </c>
      <c r="V858">
        <f>IF($W858="","",INDEX(명단표[구리 근무일(기준월)],$W858))</f>
        <v/>
      </c>
      <c r="W858" s="17">
        <f>IFERROR(MATCH(853,명단표[판정불가순번],0),"")</f>
        <v/>
      </c>
    </row>
    <row r="859">
      <c r="A859">
        <f>IF($P859="","",854)</f>
        <v/>
      </c>
      <c r="B859">
        <f>IF($P859="","",INDEX(명단표[이름],$P859))</f>
        <v/>
      </c>
      <c r="C859">
        <f>IF($P859="","",INDEX(명단표[사번],$P859)&amp;"")</f>
        <v/>
      </c>
      <c r="D859">
        <f>IF($P859="","",INDEX(명단표[전공의등록번호],$P859)&amp;"")</f>
        <v/>
      </c>
      <c r="E859">
        <f>IF($P859="","",INDEX(명단표[수련과목],$P859)&amp;"")</f>
        <v/>
      </c>
      <c r="F859">
        <f>IF($P859="","",INDEX(명단표[연차],$P859)&amp;"")</f>
        <v/>
      </c>
      <c r="G859">
        <f>IF($P859="","",INDEX(명단표[소속병원],$P859))</f>
        <v/>
      </c>
      <c r="H859">
        <f>IF($P859="","",IF(INDEX(명단표[소속병원],$P859)="서울병원","서울 소속","타 병원 소속("&amp;INDEX(명단표[소속병원],$P859)&amp;") → 서울 지급"))</f>
        <v/>
      </c>
      <c r="I859">
        <f>IF($P859="","",INDEX(명단표[현재 근무병원],$P859))</f>
        <v/>
      </c>
      <c r="J859">
        <f>IF($P859="","",INDEX(명단표[구리 근무 시작일(기준월)],$P859)&amp;"")</f>
        <v/>
      </c>
      <c r="K859">
        <f>IF($P859="","",INDEX(명단표[구리 근무 종료일(기준월)],$P859)&amp;"")</f>
        <v/>
      </c>
      <c r="L859">
        <f>IF($P859="","",INDEX(명단표[서울 근무일(기준월)],$P859))</f>
        <v/>
      </c>
      <c r="M859">
        <f>IF($P859="","",INDEX(명단표[구리 근무일(기준월)],$P859))</f>
        <v/>
      </c>
      <c r="N859">
        <f>IF($P859="","",INDEX(명단표[급여 판정 근거],$P859))</f>
        <v/>
      </c>
      <c r="O859">
        <f>IF($P859="","",INDEX(명단표[점검],$P859))</f>
        <v/>
      </c>
      <c r="P859" s="17">
        <f>IFERROR(MATCH(854,명단표[서울순번],0),"")</f>
        <v/>
      </c>
      <c r="R859">
        <f>IF($W859="","",INDEX(명단표[이름],$W859))</f>
        <v/>
      </c>
      <c r="S859">
        <f>IF($W859="","",INDEX(명단표[사번],$W859)&amp;"")</f>
        <v/>
      </c>
      <c r="T859">
        <f>IF($W859="","",INDEX(명단표[소속병원],$W859))</f>
        <v/>
      </c>
      <c r="U859">
        <f>IF($W859="","",INDEX(명단표[서울 근무일(기준월)],$W859))</f>
        <v/>
      </c>
      <c r="V859">
        <f>IF($W859="","",INDEX(명단표[구리 근무일(기준월)],$W859))</f>
        <v/>
      </c>
      <c r="W859" s="17">
        <f>IFERROR(MATCH(854,명단표[판정불가순번],0),"")</f>
        <v/>
      </c>
    </row>
    <row r="860">
      <c r="A860">
        <f>IF($P860="","",855)</f>
        <v/>
      </c>
      <c r="B860">
        <f>IF($P860="","",INDEX(명단표[이름],$P860))</f>
        <v/>
      </c>
      <c r="C860">
        <f>IF($P860="","",INDEX(명단표[사번],$P860)&amp;"")</f>
        <v/>
      </c>
      <c r="D860">
        <f>IF($P860="","",INDEX(명단표[전공의등록번호],$P860)&amp;"")</f>
        <v/>
      </c>
      <c r="E860">
        <f>IF($P860="","",INDEX(명단표[수련과목],$P860)&amp;"")</f>
        <v/>
      </c>
      <c r="F860">
        <f>IF($P860="","",INDEX(명단표[연차],$P860)&amp;"")</f>
        <v/>
      </c>
      <c r="G860">
        <f>IF($P860="","",INDEX(명단표[소속병원],$P860))</f>
        <v/>
      </c>
      <c r="H860">
        <f>IF($P860="","",IF(INDEX(명단표[소속병원],$P860)="서울병원","서울 소속","타 병원 소속("&amp;INDEX(명단표[소속병원],$P860)&amp;") → 서울 지급"))</f>
        <v/>
      </c>
      <c r="I860">
        <f>IF($P860="","",INDEX(명단표[현재 근무병원],$P860))</f>
        <v/>
      </c>
      <c r="J860">
        <f>IF($P860="","",INDEX(명단표[구리 근무 시작일(기준월)],$P860)&amp;"")</f>
        <v/>
      </c>
      <c r="K860">
        <f>IF($P860="","",INDEX(명단표[구리 근무 종료일(기준월)],$P860)&amp;"")</f>
        <v/>
      </c>
      <c r="L860">
        <f>IF($P860="","",INDEX(명단표[서울 근무일(기준월)],$P860))</f>
        <v/>
      </c>
      <c r="M860">
        <f>IF($P860="","",INDEX(명단표[구리 근무일(기준월)],$P860))</f>
        <v/>
      </c>
      <c r="N860">
        <f>IF($P860="","",INDEX(명단표[급여 판정 근거],$P860))</f>
        <v/>
      </c>
      <c r="O860">
        <f>IF($P860="","",INDEX(명단표[점검],$P860))</f>
        <v/>
      </c>
      <c r="P860" s="17">
        <f>IFERROR(MATCH(855,명단표[서울순번],0),"")</f>
        <v/>
      </c>
      <c r="R860">
        <f>IF($W860="","",INDEX(명단표[이름],$W860))</f>
        <v/>
      </c>
      <c r="S860">
        <f>IF($W860="","",INDEX(명단표[사번],$W860)&amp;"")</f>
        <v/>
      </c>
      <c r="T860">
        <f>IF($W860="","",INDEX(명단표[소속병원],$W860))</f>
        <v/>
      </c>
      <c r="U860">
        <f>IF($W860="","",INDEX(명단표[서울 근무일(기준월)],$W860))</f>
        <v/>
      </c>
      <c r="V860">
        <f>IF($W860="","",INDEX(명단표[구리 근무일(기준월)],$W860))</f>
        <v/>
      </c>
      <c r="W860" s="17">
        <f>IFERROR(MATCH(855,명단표[판정불가순번],0),"")</f>
        <v/>
      </c>
    </row>
    <row r="861">
      <c r="A861">
        <f>IF($P861="","",856)</f>
        <v/>
      </c>
      <c r="B861">
        <f>IF($P861="","",INDEX(명단표[이름],$P861))</f>
        <v/>
      </c>
      <c r="C861">
        <f>IF($P861="","",INDEX(명단표[사번],$P861)&amp;"")</f>
        <v/>
      </c>
      <c r="D861">
        <f>IF($P861="","",INDEX(명단표[전공의등록번호],$P861)&amp;"")</f>
        <v/>
      </c>
      <c r="E861">
        <f>IF($P861="","",INDEX(명단표[수련과목],$P861)&amp;"")</f>
        <v/>
      </c>
      <c r="F861">
        <f>IF($P861="","",INDEX(명단표[연차],$P861)&amp;"")</f>
        <v/>
      </c>
      <c r="G861">
        <f>IF($P861="","",INDEX(명단표[소속병원],$P861))</f>
        <v/>
      </c>
      <c r="H861">
        <f>IF($P861="","",IF(INDEX(명단표[소속병원],$P861)="서울병원","서울 소속","타 병원 소속("&amp;INDEX(명단표[소속병원],$P861)&amp;") → 서울 지급"))</f>
        <v/>
      </c>
      <c r="I861">
        <f>IF($P861="","",INDEX(명단표[현재 근무병원],$P861))</f>
        <v/>
      </c>
      <c r="J861">
        <f>IF($P861="","",INDEX(명단표[구리 근무 시작일(기준월)],$P861)&amp;"")</f>
        <v/>
      </c>
      <c r="K861">
        <f>IF($P861="","",INDEX(명단표[구리 근무 종료일(기준월)],$P861)&amp;"")</f>
        <v/>
      </c>
      <c r="L861">
        <f>IF($P861="","",INDEX(명단표[서울 근무일(기준월)],$P861))</f>
        <v/>
      </c>
      <c r="M861">
        <f>IF($P861="","",INDEX(명단표[구리 근무일(기준월)],$P861))</f>
        <v/>
      </c>
      <c r="N861">
        <f>IF($P861="","",INDEX(명단표[급여 판정 근거],$P861))</f>
        <v/>
      </c>
      <c r="O861">
        <f>IF($P861="","",INDEX(명단표[점검],$P861))</f>
        <v/>
      </c>
      <c r="P861" s="17">
        <f>IFERROR(MATCH(856,명단표[서울순번],0),"")</f>
        <v/>
      </c>
      <c r="R861">
        <f>IF($W861="","",INDEX(명단표[이름],$W861))</f>
        <v/>
      </c>
      <c r="S861">
        <f>IF($W861="","",INDEX(명단표[사번],$W861)&amp;"")</f>
        <v/>
      </c>
      <c r="T861">
        <f>IF($W861="","",INDEX(명단표[소속병원],$W861))</f>
        <v/>
      </c>
      <c r="U861">
        <f>IF($W861="","",INDEX(명단표[서울 근무일(기준월)],$W861))</f>
        <v/>
      </c>
      <c r="V861">
        <f>IF($W861="","",INDEX(명단표[구리 근무일(기준월)],$W861))</f>
        <v/>
      </c>
      <c r="W861" s="17">
        <f>IFERROR(MATCH(856,명단표[판정불가순번],0),"")</f>
        <v/>
      </c>
    </row>
    <row r="862">
      <c r="A862">
        <f>IF($P862="","",857)</f>
        <v/>
      </c>
      <c r="B862">
        <f>IF($P862="","",INDEX(명단표[이름],$P862))</f>
        <v/>
      </c>
      <c r="C862">
        <f>IF($P862="","",INDEX(명단표[사번],$P862)&amp;"")</f>
        <v/>
      </c>
      <c r="D862">
        <f>IF($P862="","",INDEX(명단표[전공의등록번호],$P862)&amp;"")</f>
        <v/>
      </c>
      <c r="E862">
        <f>IF($P862="","",INDEX(명단표[수련과목],$P862)&amp;"")</f>
        <v/>
      </c>
      <c r="F862">
        <f>IF($P862="","",INDEX(명단표[연차],$P862)&amp;"")</f>
        <v/>
      </c>
      <c r="G862">
        <f>IF($P862="","",INDEX(명단표[소속병원],$P862))</f>
        <v/>
      </c>
      <c r="H862">
        <f>IF($P862="","",IF(INDEX(명단표[소속병원],$P862)="서울병원","서울 소속","타 병원 소속("&amp;INDEX(명단표[소속병원],$P862)&amp;") → 서울 지급"))</f>
        <v/>
      </c>
      <c r="I862">
        <f>IF($P862="","",INDEX(명단표[현재 근무병원],$P862))</f>
        <v/>
      </c>
      <c r="J862">
        <f>IF($P862="","",INDEX(명단표[구리 근무 시작일(기준월)],$P862)&amp;"")</f>
        <v/>
      </c>
      <c r="K862">
        <f>IF($P862="","",INDEX(명단표[구리 근무 종료일(기준월)],$P862)&amp;"")</f>
        <v/>
      </c>
      <c r="L862">
        <f>IF($P862="","",INDEX(명단표[서울 근무일(기준월)],$P862))</f>
        <v/>
      </c>
      <c r="M862">
        <f>IF($P862="","",INDEX(명단표[구리 근무일(기준월)],$P862))</f>
        <v/>
      </c>
      <c r="N862">
        <f>IF($P862="","",INDEX(명단표[급여 판정 근거],$P862))</f>
        <v/>
      </c>
      <c r="O862">
        <f>IF($P862="","",INDEX(명단표[점검],$P862))</f>
        <v/>
      </c>
      <c r="P862" s="17">
        <f>IFERROR(MATCH(857,명단표[서울순번],0),"")</f>
        <v/>
      </c>
      <c r="R862">
        <f>IF($W862="","",INDEX(명단표[이름],$W862))</f>
        <v/>
      </c>
      <c r="S862">
        <f>IF($W862="","",INDEX(명단표[사번],$W862)&amp;"")</f>
        <v/>
      </c>
      <c r="T862">
        <f>IF($W862="","",INDEX(명단표[소속병원],$W862))</f>
        <v/>
      </c>
      <c r="U862">
        <f>IF($W862="","",INDEX(명단표[서울 근무일(기준월)],$W862))</f>
        <v/>
      </c>
      <c r="V862">
        <f>IF($W862="","",INDEX(명단표[구리 근무일(기준월)],$W862))</f>
        <v/>
      </c>
      <c r="W862" s="17">
        <f>IFERROR(MATCH(857,명단표[판정불가순번],0),"")</f>
        <v/>
      </c>
    </row>
    <row r="863">
      <c r="A863">
        <f>IF($P863="","",858)</f>
        <v/>
      </c>
      <c r="B863">
        <f>IF($P863="","",INDEX(명단표[이름],$P863))</f>
        <v/>
      </c>
      <c r="C863">
        <f>IF($P863="","",INDEX(명단표[사번],$P863)&amp;"")</f>
        <v/>
      </c>
      <c r="D863">
        <f>IF($P863="","",INDEX(명단표[전공의등록번호],$P863)&amp;"")</f>
        <v/>
      </c>
      <c r="E863">
        <f>IF($P863="","",INDEX(명단표[수련과목],$P863)&amp;"")</f>
        <v/>
      </c>
      <c r="F863">
        <f>IF($P863="","",INDEX(명단표[연차],$P863)&amp;"")</f>
        <v/>
      </c>
      <c r="G863">
        <f>IF($P863="","",INDEX(명단표[소속병원],$P863))</f>
        <v/>
      </c>
      <c r="H863">
        <f>IF($P863="","",IF(INDEX(명단표[소속병원],$P863)="서울병원","서울 소속","타 병원 소속("&amp;INDEX(명단표[소속병원],$P863)&amp;") → 서울 지급"))</f>
        <v/>
      </c>
      <c r="I863">
        <f>IF($P863="","",INDEX(명단표[현재 근무병원],$P863))</f>
        <v/>
      </c>
      <c r="J863">
        <f>IF($P863="","",INDEX(명단표[구리 근무 시작일(기준월)],$P863)&amp;"")</f>
        <v/>
      </c>
      <c r="K863">
        <f>IF($P863="","",INDEX(명단표[구리 근무 종료일(기준월)],$P863)&amp;"")</f>
        <v/>
      </c>
      <c r="L863">
        <f>IF($P863="","",INDEX(명단표[서울 근무일(기준월)],$P863))</f>
        <v/>
      </c>
      <c r="M863">
        <f>IF($P863="","",INDEX(명단표[구리 근무일(기준월)],$P863))</f>
        <v/>
      </c>
      <c r="N863">
        <f>IF($P863="","",INDEX(명단표[급여 판정 근거],$P863))</f>
        <v/>
      </c>
      <c r="O863">
        <f>IF($P863="","",INDEX(명단표[점검],$P863))</f>
        <v/>
      </c>
      <c r="P863" s="17">
        <f>IFERROR(MATCH(858,명단표[서울순번],0),"")</f>
        <v/>
      </c>
      <c r="R863">
        <f>IF($W863="","",INDEX(명단표[이름],$W863))</f>
        <v/>
      </c>
      <c r="S863">
        <f>IF($W863="","",INDEX(명단표[사번],$W863)&amp;"")</f>
        <v/>
      </c>
      <c r="T863">
        <f>IF($W863="","",INDEX(명단표[소속병원],$W863))</f>
        <v/>
      </c>
      <c r="U863">
        <f>IF($W863="","",INDEX(명단표[서울 근무일(기준월)],$W863))</f>
        <v/>
      </c>
      <c r="V863">
        <f>IF($W863="","",INDEX(명단표[구리 근무일(기준월)],$W863))</f>
        <v/>
      </c>
      <c r="W863" s="17">
        <f>IFERROR(MATCH(858,명단표[판정불가순번],0),"")</f>
        <v/>
      </c>
    </row>
    <row r="864">
      <c r="A864">
        <f>IF($P864="","",859)</f>
        <v/>
      </c>
      <c r="B864">
        <f>IF($P864="","",INDEX(명단표[이름],$P864))</f>
        <v/>
      </c>
      <c r="C864">
        <f>IF($P864="","",INDEX(명단표[사번],$P864)&amp;"")</f>
        <v/>
      </c>
      <c r="D864">
        <f>IF($P864="","",INDEX(명단표[전공의등록번호],$P864)&amp;"")</f>
        <v/>
      </c>
      <c r="E864">
        <f>IF($P864="","",INDEX(명단표[수련과목],$P864)&amp;"")</f>
        <v/>
      </c>
      <c r="F864">
        <f>IF($P864="","",INDEX(명단표[연차],$P864)&amp;"")</f>
        <v/>
      </c>
      <c r="G864">
        <f>IF($P864="","",INDEX(명단표[소속병원],$P864))</f>
        <v/>
      </c>
      <c r="H864">
        <f>IF($P864="","",IF(INDEX(명단표[소속병원],$P864)="서울병원","서울 소속","타 병원 소속("&amp;INDEX(명단표[소속병원],$P864)&amp;") → 서울 지급"))</f>
        <v/>
      </c>
      <c r="I864">
        <f>IF($P864="","",INDEX(명단표[현재 근무병원],$P864))</f>
        <v/>
      </c>
      <c r="J864">
        <f>IF($P864="","",INDEX(명단표[구리 근무 시작일(기준월)],$P864)&amp;"")</f>
        <v/>
      </c>
      <c r="K864">
        <f>IF($P864="","",INDEX(명단표[구리 근무 종료일(기준월)],$P864)&amp;"")</f>
        <v/>
      </c>
      <c r="L864">
        <f>IF($P864="","",INDEX(명단표[서울 근무일(기준월)],$P864))</f>
        <v/>
      </c>
      <c r="M864">
        <f>IF($P864="","",INDEX(명단표[구리 근무일(기준월)],$P864))</f>
        <v/>
      </c>
      <c r="N864">
        <f>IF($P864="","",INDEX(명단표[급여 판정 근거],$P864))</f>
        <v/>
      </c>
      <c r="O864">
        <f>IF($P864="","",INDEX(명단표[점검],$P864))</f>
        <v/>
      </c>
      <c r="P864" s="17">
        <f>IFERROR(MATCH(859,명단표[서울순번],0),"")</f>
        <v/>
      </c>
      <c r="R864">
        <f>IF($W864="","",INDEX(명단표[이름],$W864))</f>
        <v/>
      </c>
      <c r="S864">
        <f>IF($W864="","",INDEX(명단표[사번],$W864)&amp;"")</f>
        <v/>
      </c>
      <c r="T864">
        <f>IF($W864="","",INDEX(명단표[소속병원],$W864))</f>
        <v/>
      </c>
      <c r="U864">
        <f>IF($W864="","",INDEX(명단표[서울 근무일(기준월)],$W864))</f>
        <v/>
      </c>
      <c r="V864">
        <f>IF($W864="","",INDEX(명단표[구리 근무일(기준월)],$W864))</f>
        <v/>
      </c>
      <c r="W864" s="17">
        <f>IFERROR(MATCH(859,명단표[판정불가순번],0),"")</f>
        <v/>
      </c>
    </row>
    <row r="865">
      <c r="A865">
        <f>IF($P865="","",860)</f>
        <v/>
      </c>
      <c r="B865">
        <f>IF($P865="","",INDEX(명단표[이름],$P865))</f>
        <v/>
      </c>
      <c r="C865">
        <f>IF($P865="","",INDEX(명단표[사번],$P865)&amp;"")</f>
        <v/>
      </c>
      <c r="D865">
        <f>IF($P865="","",INDEX(명단표[전공의등록번호],$P865)&amp;"")</f>
        <v/>
      </c>
      <c r="E865">
        <f>IF($P865="","",INDEX(명단표[수련과목],$P865)&amp;"")</f>
        <v/>
      </c>
      <c r="F865">
        <f>IF($P865="","",INDEX(명단표[연차],$P865)&amp;"")</f>
        <v/>
      </c>
      <c r="G865">
        <f>IF($P865="","",INDEX(명단표[소속병원],$P865))</f>
        <v/>
      </c>
      <c r="H865">
        <f>IF($P865="","",IF(INDEX(명단표[소속병원],$P865)="서울병원","서울 소속","타 병원 소속("&amp;INDEX(명단표[소속병원],$P865)&amp;") → 서울 지급"))</f>
        <v/>
      </c>
      <c r="I865">
        <f>IF($P865="","",INDEX(명단표[현재 근무병원],$P865))</f>
        <v/>
      </c>
      <c r="J865">
        <f>IF($P865="","",INDEX(명단표[구리 근무 시작일(기준월)],$P865)&amp;"")</f>
        <v/>
      </c>
      <c r="K865">
        <f>IF($P865="","",INDEX(명단표[구리 근무 종료일(기준월)],$P865)&amp;"")</f>
        <v/>
      </c>
      <c r="L865">
        <f>IF($P865="","",INDEX(명단표[서울 근무일(기준월)],$P865))</f>
        <v/>
      </c>
      <c r="M865">
        <f>IF($P865="","",INDEX(명단표[구리 근무일(기준월)],$P865))</f>
        <v/>
      </c>
      <c r="N865">
        <f>IF($P865="","",INDEX(명단표[급여 판정 근거],$P865))</f>
        <v/>
      </c>
      <c r="O865">
        <f>IF($P865="","",INDEX(명단표[점검],$P865))</f>
        <v/>
      </c>
      <c r="P865" s="17">
        <f>IFERROR(MATCH(860,명단표[서울순번],0),"")</f>
        <v/>
      </c>
      <c r="R865">
        <f>IF($W865="","",INDEX(명단표[이름],$W865))</f>
        <v/>
      </c>
      <c r="S865">
        <f>IF($W865="","",INDEX(명단표[사번],$W865)&amp;"")</f>
        <v/>
      </c>
      <c r="T865">
        <f>IF($W865="","",INDEX(명단표[소속병원],$W865))</f>
        <v/>
      </c>
      <c r="U865">
        <f>IF($W865="","",INDEX(명단표[서울 근무일(기준월)],$W865))</f>
        <v/>
      </c>
      <c r="V865">
        <f>IF($W865="","",INDEX(명단표[구리 근무일(기준월)],$W865))</f>
        <v/>
      </c>
      <c r="W865" s="17">
        <f>IFERROR(MATCH(860,명단표[판정불가순번],0),"")</f>
        <v/>
      </c>
    </row>
    <row r="866">
      <c r="A866">
        <f>IF($P866="","",861)</f>
        <v/>
      </c>
      <c r="B866">
        <f>IF($P866="","",INDEX(명단표[이름],$P866))</f>
        <v/>
      </c>
      <c r="C866">
        <f>IF($P866="","",INDEX(명단표[사번],$P866)&amp;"")</f>
        <v/>
      </c>
      <c r="D866">
        <f>IF($P866="","",INDEX(명단표[전공의등록번호],$P866)&amp;"")</f>
        <v/>
      </c>
      <c r="E866">
        <f>IF($P866="","",INDEX(명단표[수련과목],$P866)&amp;"")</f>
        <v/>
      </c>
      <c r="F866">
        <f>IF($P866="","",INDEX(명단표[연차],$P866)&amp;"")</f>
        <v/>
      </c>
      <c r="G866">
        <f>IF($P866="","",INDEX(명단표[소속병원],$P866))</f>
        <v/>
      </c>
      <c r="H866">
        <f>IF($P866="","",IF(INDEX(명단표[소속병원],$P866)="서울병원","서울 소속","타 병원 소속("&amp;INDEX(명단표[소속병원],$P866)&amp;") → 서울 지급"))</f>
        <v/>
      </c>
      <c r="I866">
        <f>IF($P866="","",INDEX(명단표[현재 근무병원],$P866))</f>
        <v/>
      </c>
      <c r="J866">
        <f>IF($P866="","",INDEX(명단표[구리 근무 시작일(기준월)],$P866)&amp;"")</f>
        <v/>
      </c>
      <c r="K866">
        <f>IF($P866="","",INDEX(명단표[구리 근무 종료일(기준월)],$P866)&amp;"")</f>
        <v/>
      </c>
      <c r="L866">
        <f>IF($P866="","",INDEX(명단표[서울 근무일(기준월)],$P866))</f>
        <v/>
      </c>
      <c r="M866">
        <f>IF($P866="","",INDEX(명단표[구리 근무일(기준월)],$P866))</f>
        <v/>
      </c>
      <c r="N866">
        <f>IF($P866="","",INDEX(명단표[급여 판정 근거],$P866))</f>
        <v/>
      </c>
      <c r="O866">
        <f>IF($P866="","",INDEX(명단표[점검],$P866))</f>
        <v/>
      </c>
      <c r="P866" s="17">
        <f>IFERROR(MATCH(861,명단표[서울순번],0),"")</f>
        <v/>
      </c>
      <c r="R866">
        <f>IF($W866="","",INDEX(명단표[이름],$W866))</f>
        <v/>
      </c>
      <c r="S866">
        <f>IF($W866="","",INDEX(명단표[사번],$W866)&amp;"")</f>
        <v/>
      </c>
      <c r="T866">
        <f>IF($W866="","",INDEX(명단표[소속병원],$W866))</f>
        <v/>
      </c>
      <c r="U866">
        <f>IF($W866="","",INDEX(명단표[서울 근무일(기준월)],$W866))</f>
        <v/>
      </c>
      <c r="V866">
        <f>IF($W866="","",INDEX(명단표[구리 근무일(기준월)],$W866))</f>
        <v/>
      </c>
      <c r="W866" s="17">
        <f>IFERROR(MATCH(861,명단표[판정불가순번],0),"")</f>
        <v/>
      </c>
    </row>
    <row r="867">
      <c r="A867">
        <f>IF($P867="","",862)</f>
        <v/>
      </c>
      <c r="B867">
        <f>IF($P867="","",INDEX(명단표[이름],$P867))</f>
        <v/>
      </c>
      <c r="C867">
        <f>IF($P867="","",INDEX(명단표[사번],$P867)&amp;"")</f>
        <v/>
      </c>
      <c r="D867">
        <f>IF($P867="","",INDEX(명단표[전공의등록번호],$P867)&amp;"")</f>
        <v/>
      </c>
      <c r="E867">
        <f>IF($P867="","",INDEX(명단표[수련과목],$P867)&amp;"")</f>
        <v/>
      </c>
      <c r="F867">
        <f>IF($P867="","",INDEX(명단표[연차],$P867)&amp;"")</f>
        <v/>
      </c>
      <c r="G867">
        <f>IF($P867="","",INDEX(명단표[소속병원],$P867))</f>
        <v/>
      </c>
      <c r="H867">
        <f>IF($P867="","",IF(INDEX(명단표[소속병원],$P867)="서울병원","서울 소속","타 병원 소속("&amp;INDEX(명단표[소속병원],$P867)&amp;") → 서울 지급"))</f>
        <v/>
      </c>
      <c r="I867">
        <f>IF($P867="","",INDEX(명단표[현재 근무병원],$P867))</f>
        <v/>
      </c>
      <c r="J867">
        <f>IF($P867="","",INDEX(명단표[구리 근무 시작일(기준월)],$P867)&amp;"")</f>
        <v/>
      </c>
      <c r="K867">
        <f>IF($P867="","",INDEX(명단표[구리 근무 종료일(기준월)],$P867)&amp;"")</f>
        <v/>
      </c>
      <c r="L867">
        <f>IF($P867="","",INDEX(명단표[서울 근무일(기준월)],$P867))</f>
        <v/>
      </c>
      <c r="M867">
        <f>IF($P867="","",INDEX(명단표[구리 근무일(기준월)],$P867))</f>
        <v/>
      </c>
      <c r="N867">
        <f>IF($P867="","",INDEX(명단표[급여 판정 근거],$P867))</f>
        <v/>
      </c>
      <c r="O867">
        <f>IF($P867="","",INDEX(명단표[점검],$P867))</f>
        <v/>
      </c>
      <c r="P867" s="17">
        <f>IFERROR(MATCH(862,명단표[서울순번],0),"")</f>
        <v/>
      </c>
      <c r="R867">
        <f>IF($W867="","",INDEX(명단표[이름],$W867))</f>
        <v/>
      </c>
      <c r="S867">
        <f>IF($W867="","",INDEX(명단표[사번],$W867)&amp;"")</f>
        <v/>
      </c>
      <c r="T867">
        <f>IF($W867="","",INDEX(명단표[소속병원],$W867))</f>
        <v/>
      </c>
      <c r="U867">
        <f>IF($W867="","",INDEX(명단표[서울 근무일(기준월)],$W867))</f>
        <v/>
      </c>
      <c r="V867">
        <f>IF($W867="","",INDEX(명단표[구리 근무일(기준월)],$W867))</f>
        <v/>
      </c>
      <c r="W867" s="17">
        <f>IFERROR(MATCH(862,명단표[판정불가순번],0),"")</f>
        <v/>
      </c>
    </row>
    <row r="868">
      <c r="A868">
        <f>IF($P868="","",863)</f>
        <v/>
      </c>
      <c r="B868">
        <f>IF($P868="","",INDEX(명단표[이름],$P868))</f>
        <v/>
      </c>
      <c r="C868">
        <f>IF($P868="","",INDEX(명단표[사번],$P868)&amp;"")</f>
        <v/>
      </c>
      <c r="D868">
        <f>IF($P868="","",INDEX(명단표[전공의등록번호],$P868)&amp;"")</f>
        <v/>
      </c>
      <c r="E868">
        <f>IF($P868="","",INDEX(명단표[수련과목],$P868)&amp;"")</f>
        <v/>
      </c>
      <c r="F868">
        <f>IF($P868="","",INDEX(명단표[연차],$P868)&amp;"")</f>
        <v/>
      </c>
      <c r="G868">
        <f>IF($P868="","",INDEX(명단표[소속병원],$P868))</f>
        <v/>
      </c>
      <c r="H868">
        <f>IF($P868="","",IF(INDEX(명단표[소속병원],$P868)="서울병원","서울 소속","타 병원 소속("&amp;INDEX(명단표[소속병원],$P868)&amp;") → 서울 지급"))</f>
        <v/>
      </c>
      <c r="I868">
        <f>IF($P868="","",INDEX(명단표[현재 근무병원],$P868))</f>
        <v/>
      </c>
      <c r="J868">
        <f>IF($P868="","",INDEX(명단표[구리 근무 시작일(기준월)],$P868)&amp;"")</f>
        <v/>
      </c>
      <c r="K868">
        <f>IF($P868="","",INDEX(명단표[구리 근무 종료일(기준월)],$P868)&amp;"")</f>
        <v/>
      </c>
      <c r="L868">
        <f>IF($P868="","",INDEX(명단표[서울 근무일(기준월)],$P868))</f>
        <v/>
      </c>
      <c r="M868">
        <f>IF($P868="","",INDEX(명단표[구리 근무일(기준월)],$P868))</f>
        <v/>
      </c>
      <c r="N868">
        <f>IF($P868="","",INDEX(명단표[급여 판정 근거],$P868))</f>
        <v/>
      </c>
      <c r="O868">
        <f>IF($P868="","",INDEX(명단표[점검],$P868))</f>
        <v/>
      </c>
      <c r="P868" s="17">
        <f>IFERROR(MATCH(863,명단표[서울순번],0),"")</f>
        <v/>
      </c>
      <c r="R868">
        <f>IF($W868="","",INDEX(명단표[이름],$W868))</f>
        <v/>
      </c>
      <c r="S868">
        <f>IF($W868="","",INDEX(명단표[사번],$W868)&amp;"")</f>
        <v/>
      </c>
      <c r="T868">
        <f>IF($W868="","",INDEX(명단표[소속병원],$W868))</f>
        <v/>
      </c>
      <c r="U868">
        <f>IF($W868="","",INDEX(명단표[서울 근무일(기준월)],$W868))</f>
        <v/>
      </c>
      <c r="V868">
        <f>IF($W868="","",INDEX(명단표[구리 근무일(기준월)],$W868))</f>
        <v/>
      </c>
      <c r="W868" s="17">
        <f>IFERROR(MATCH(863,명단표[판정불가순번],0),"")</f>
        <v/>
      </c>
    </row>
    <row r="869">
      <c r="A869">
        <f>IF($P869="","",864)</f>
        <v/>
      </c>
      <c r="B869">
        <f>IF($P869="","",INDEX(명단표[이름],$P869))</f>
        <v/>
      </c>
      <c r="C869">
        <f>IF($P869="","",INDEX(명단표[사번],$P869)&amp;"")</f>
        <v/>
      </c>
      <c r="D869">
        <f>IF($P869="","",INDEX(명단표[전공의등록번호],$P869)&amp;"")</f>
        <v/>
      </c>
      <c r="E869">
        <f>IF($P869="","",INDEX(명단표[수련과목],$P869)&amp;"")</f>
        <v/>
      </c>
      <c r="F869">
        <f>IF($P869="","",INDEX(명단표[연차],$P869)&amp;"")</f>
        <v/>
      </c>
      <c r="G869">
        <f>IF($P869="","",INDEX(명단표[소속병원],$P869))</f>
        <v/>
      </c>
      <c r="H869">
        <f>IF($P869="","",IF(INDEX(명단표[소속병원],$P869)="서울병원","서울 소속","타 병원 소속("&amp;INDEX(명단표[소속병원],$P869)&amp;") → 서울 지급"))</f>
        <v/>
      </c>
      <c r="I869">
        <f>IF($P869="","",INDEX(명단표[현재 근무병원],$P869))</f>
        <v/>
      </c>
      <c r="J869">
        <f>IF($P869="","",INDEX(명단표[구리 근무 시작일(기준월)],$P869)&amp;"")</f>
        <v/>
      </c>
      <c r="K869">
        <f>IF($P869="","",INDEX(명단표[구리 근무 종료일(기준월)],$P869)&amp;"")</f>
        <v/>
      </c>
      <c r="L869">
        <f>IF($P869="","",INDEX(명단표[서울 근무일(기준월)],$P869))</f>
        <v/>
      </c>
      <c r="M869">
        <f>IF($P869="","",INDEX(명단표[구리 근무일(기준월)],$P869))</f>
        <v/>
      </c>
      <c r="N869">
        <f>IF($P869="","",INDEX(명단표[급여 판정 근거],$P869))</f>
        <v/>
      </c>
      <c r="O869">
        <f>IF($P869="","",INDEX(명단표[점검],$P869))</f>
        <v/>
      </c>
      <c r="P869" s="17">
        <f>IFERROR(MATCH(864,명단표[서울순번],0),"")</f>
        <v/>
      </c>
      <c r="R869">
        <f>IF($W869="","",INDEX(명단표[이름],$W869))</f>
        <v/>
      </c>
      <c r="S869">
        <f>IF($W869="","",INDEX(명단표[사번],$W869)&amp;"")</f>
        <v/>
      </c>
      <c r="T869">
        <f>IF($W869="","",INDEX(명단표[소속병원],$W869))</f>
        <v/>
      </c>
      <c r="U869">
        <f>IF($W869="","",INDEX(명단표[서울 근무일(기준월)],$W869))</f>
        <v/>
      </c>
      <c r="V869">
        <f>IF($W869="","",INDEX(명단표[구리 근무일(기준월)],$W869))</f>
        <v/>
      </c>
      <c r="W869" s="17">
        <f>IFERROR(MATCH(864,명단표[판정불가순번],0),"")</f>
        <v/>
      </c>
    </row>
    <row r="870">
      <c r="A870">
        <f>IF($P870="","",865)</f>
        <v/>
      </c>
      <c r="B870">
        <f>IF($P870="","",INDEX(명단표[이름],$P870))</f>
        <v/>
      </c>
      <c r="C870">
        <f>IF($P870="","",INDEX(명단표[사번],$P870)&amp;"")</f>
        <v/>
      </c>
      <c r="D870">
        <f>IF($P870="","",INDEX(명단표[전공의등록번호],$P870)&amp;"")</f>
        <v/>
      </c>
      <c r="E870">
        <f>IF($P870="","",INDEX(명단표[수련과목],$P870)&amp;"")</f>
        <v/>
      </c>
      <c r="F870">
        <f>IF($P870="","",INDEX(명단표[연차],$P870)&amp;"")</f>
        <v/>
      </c>
      <c r="G870">
        <f>IF($P870="","",INDEX(명단표[소속병원],$P870))</f>
        <v/>
      </c>
      <c r="H870">
        <f>IF($P870="","",IF(INDEX(명단표[소속병원],$P870)="서울병원","서울 소속","타 병원 소속("&amp;INDEX(명단표[소속병원],$P870)&amp;") → 서울 지급"))</f>
        <v/>
      </c>
      <c r="I870">
        <f>IF($P870="","",INDEX(명단표[현재 근무병원],$P870))</f>
        <v/>
      </c>
      <c r="J870">
        <f>IF($P870="","",INDEX(명단표[구리 근무 시작일(기준월)],$P870)&amp;"")</f>
        <v/>
      </c>
      <c r="K870">
        <f>IF($P870="","",INDEX(명단표[구리 근무 종료일(기준월)],$P870)&amp;"")</f>
        <v/>
      </c>
      <c r="L870">
        <f>IF($P870="","",INDEX(명단표[서울 근무일(기준월)],$P870))</f>
        <v/>
      </c>
      <c r="M870">
        <f>IF($P870="","",INDEX(명단표[구리 근무일(기준월)],$P870))</f>
        <v/>
      </c>
      <c r="N870">
        <f>IF($P870="","",INDEX(명단표[급여 판정 근거],$P870))</f>
        <v/>
      </c>
      <c r="O870">
        <f>IF($P870="","",INDEX(명단표[점검],$P870))</f>
        <v/>
      </c>
      <c r="P870" s="17">
        <f>IFERROR(MATCH(865,명단표[서울순번],0),"")</f>
        <v/>
      </c>
      <c r="R870">
        <f>IF($W870="","",INDEX(명단표[이름],$W870))</f>
        <v/>
      </c>
      <c r="S870">
        <f>IF($W870="","",INDEX(명단표[사번],$W870)&amp;"")</f>
        <v/>
      </c>
      <c r="T870">
        <f>IF($W870="","",INDEX(명단표[소속병원],$W870))</f>
        <v/>
      </c>
      <c r="U870">
        <f>IF($W870="","",INDEX(명단표[서울 근무일(기준월)],$W870))</f>
        <v/>
      </c>
      <c r="V870">
        <f>IF($W870="","",INDEX(명단표[구리 근무일(기준월)],$W870))</f>
        <v/>
      </c>
      <c r="W870" s="17">
        <f>IFERROR(MATCH(865,명단표[판정불가순번],0),"")</f>
        <v/>
      </c>
    </row>
    <row r="871">
      <c r="A871">
        <f>IF($P871="","",866)</f>
        <v/>
      </c>
      <c r="B871">
        <f>IF($P871="","",INDEX(명단표[이름],$P871))</f>
        <v/>
      </c>
      <c r="C871">
        <f>IF($P871="","",INDEX(명단표[사번],$P871)&amp;"")</f>
        <v/>
      </c>
      <c r="D871">
        <f>IF($P871="","",INDEX(명단표[전공의등록번호],$P871)&amp;"")</f>
        <v/>
      </c>
      <c r="E871">
        <f>IF($P871="","",INDEX(명단표[수련과목],$P871)&amp;"")</f>
        <v/>
      </c>
      <c r="F871">
        <f>IF($P871="","",INDEX(명단표[연차],$P871)&amp;"")</f>
        <v/>
      </c>
      <c r="G871">
        <f>IF($P871="","",INDEX(명단표[소속병원],$P871))</f>
        <v/>
      </c>
      <c r="H871">
        <f>IF($P871="","",IF(INDEX(명단표[소속병원],$P871)="서울병원","서울 소속","타 병원 소속("&amp;INDEX(명단표[소속병원],$P871)&amp;") → 서울 지급"))</f>
        <v/>
      </c>
      <c r="I871">
        <f>IF($P871="","",INDEX(명단표[현재 근무병원],$P871))</f>
        <v/>
      </c>
      <c r="J871">
        <f>IF($P871="","",INDEX(명단표[구리 근무 시작일(기준월)],$P871)&amp;"")</f>
        <v/>
      </c>
      <c r="K871">
        <f>IF($P871="","",INDEX(명단표[구리 근무 종료일(기준월)],$P871)&amp;"")</f>
        <v/>
      </c>
      <c r="L871">
        <f>IF($P871="","",INDEX(명단표[서울 근무일(기준월)],$P871))</f>
        <v/>
      </c>
      <c r="M871">
        <f>IF($P871="","",INDEX(명단표[구리 근무일(기준월)],$P871))</f>
        <v/>
      </c>
      <c r="N871">
        <f>IF($P871="","",INDEX(명단표[급여 판정 근거],$P871))</f>
        <v/>
      </c>
      <c r="O871">
        <f>IF($P871="","",INDEX(명단표[점검],$P871))</f>
        <v/>
      </c>
      <c r="P871" s="17">
        <f>IFERROR(MATCH(866,명단표[서울순번],0),"")</f>
        <v/>
      </c>
      <c r="R871">
        <f>IF($W871="","",INDEX(명단표[이름],$W871))</f>
        <v/>
      </c>
      <c r="S871">
        <f>IF($W871="","",INDEX(명단표[사번],$W871)&amp;"")</f>
        <v/>
      </c>
      <c r="T871">
        <f>IF($W871="","",INDEX(명단표[소속병원],$W871))</f>
        <v/>
      </c>
      <c r="U871">
        <f>IF($W871="","",INDEX(명단표[서울 근무일(기준월)],$W871))</f>
        <v/>
      </c>
      <c r="V871">
        <f>IF($W871="","",INDEX(명단표[구리 근무일(기준월)],$W871))</f>
        <v/>
      </c>
      <c r="W871" s="17">
        <f>IFERROR(MATCH(866,명단표[판정불가순번],0),"")</f>
        <v/>
      </c>
    </row>
    <row r="872">
      <c r="A872">
        <f>IF($P872="","",867)</f>
        <v/>
      </c>
      <c r="B872">
        <f>IF($P872="","",INDEX(명단표[이름],$P872))</f>
        <v/>
      </c>
      <c r="C872">
        <f>IF($P872="","",INDEX(명단표[사번],$P872)&amp;"")</f>
        <v/>
      </c>
      <c r="D872">
        <f>IF($P872="","",INDEX(명단표[전공의등록번호],$P872)&amp;"")</f>
        <v/>
      </c>
      <c r="E872">
        <f>IF($P872="","",INDEX(명단표[수련과목],$P872)&amp;"")</f>
        <v/>
      </c>
      <c r="F872">
        <f>IF($P872="","",INDEX(명단표[연차],$P872)&amp;"")</f>
        <v/>
      </c>
      <c r="G872">
        <f>IF($P872="","",INDEX(명단표[소속병원],$P872))</f>
        <v/>
      </c>
      <c r="H872">
        <f>IF($P872="","",IF(INDEX(명단표[소속병원],$P872)="서울병원","서울 소속","타 병원 소속("&amp;INDEX(명단표[소속병원],$P872)&amp;") → 서울 지급"))</f>
        <v/>
      </c>
      <c r="I872">
        <f>IF($P872="","",INDEX(명단표[현재 근무병원],$P872))</f>
        <v/>
      </c>
      <c r="J872">
        <f>IF($P872="","",INDEX(명단표[구리 근무 시작일(기준월)],$P872)&amp;"")</f>
        <v/>
      </c>
      <c r="K872">
        <f>IF($P872="","",INDEX(명단표[구리 근무 종료일(기준월)],$P872)&amp;"")</f>
        <v/>
      </c>
      <c r="L872">
        <f>IF($P872="","",INDEX(명단표[서울 근무일(기준월)],$P872))</f>
        <v/>
      </c>
      <c r="M872">
        <f>IF($P872="","",INDEX(명단표[구리 근무일(기준월)],$P872))</f>
        <v/>
      </c>
      <c r="N872">
        <f>IF($P872="","",INDEX(명단표[급여 판정 근거],$P872))</f>
        <v/>
      </c>
      <c r="O872">
        <f>IF($P872="","",INDEX(명단표[점검],$P872))</f>
        <v/>
      </c>
      <c r="P872" s="17">
        <f>IFERROR(MATCH(867,명단표[서울순번],0),"")</f>
        <v/>
      </c>
      <c r="R872">
        <f>IF($W872="","",INDEX(명단표[이름],$W872))</f>
        <v/>
      </c>
      <c r="S872">
        <f>IF($W872="","",INDEX(명단표[사번],$W872)&amp;"")</f>
        <v/>
      </c>
      <c r="T872">
        <f>IF($W872="","",INDEX(명단표[소속병원],$W872))</f>
        <v/>
      </c>
      <c r="U872">
        <f>IF($W872="","",INDEX(명단표[서울 근무일(기준월)],$W872))</f>
        <v/>
      </c>
      <c r="V872">
        <f>IF($W872="","",INDEX(명단표[구리 근무일(기준월)],$W872))</f>
        <v/>
      </c>
      <c r="W872" s="17">
        <f>IFERROR(MATCH(867,명단표[판정불가순번],0),"")</f>
        <v/>
      </c>
    </row>
    <row r="873">
      <c r="A873">
        <f>IF($P873="","",868)</f>
        <v/>
      </c>
      <c r="B873">
        <f>IF($P873="","",INDEX(명단표[이름],$P873))</f>
        <v/>
      </c>
      <c r="C873">
        <f>IF($P873="","",INDEX(명단표[사번],$P873)&amp;"")</f>
        <v/>
      </c>
      <c r="D873">
        <f>IF($P873="","",INDEX(명단표[전공의등록번호],$P873)&amp;"")</f>
        <v/>
      </c>
      <c r="E873">
        <f>IF($P873="","",INDEX(명단표[수련과목],$P873)&amp;"")</f>
        <v/>
      </c>
      <c r="F873">
        <f>IF($P873="","",INDEX(명단표[연차],$P873)&amp;"")</f>
        <v/>
      </c>
      <c r="G873">
        <f>IF($P873="","",INDEX(명단표[소속병원],$P873))</f>
        <v/>
      </c>
      <c r="H873">
        <f>IF($P873="","",IF(INDEX(명단표[소속병원],$P873)="서울병원","서울 소속","타 병원 소속("&amp;INDEX(명단표[소속병원],$P873)&amp;") → 서울 지급"))</f>
        <v/>
      </c>
      <c r="I873">
        <f>IF($P873="","",INDEX(명단표[현재 근무병원],$P873))</f>
        <v/>
      </c>
      <c r="J873">
        <f>IF($P873="","",INDEX(명단표[구리 근무 시작일(기준월)],$P873)&amp;"")</f>
        <v/>
      </c>
      <c r="K873">
        <f>IF($P873="","",INDEX(명단표[구리 근무 종료일(기준월)],$P873)&amp;"")</f>
        <v/>
      </c>
      <c r="L873">
        <f>IF($P873="","",INDEX(명단표[서울 근무일(기준월)],$P873))</f>
        <v/>
      </c>
      <c r="M873">
        <f>IF($P873="","",INDEX(명단표[구리 근무일(기준월)],$P873))</f>
        <v/>
      </c>
      <c r="N873">
        <f>IF($P873="","",INDEX(명단표[급여 판정 근거],$P873))</f>
        <v/>
      </c>
      <c r="O873">
        <f>IF($P873="","",INDEX(명단표[점검],$P873))</f>
        <v/>
      </c>
      <c r="P873" s="17">
        <f>IFERROR(MATCH(868,명단표[서울순번],0),"")</f>
        <v/>
      </c>
      <c r="R873">
        <f>IF($W873="","",INDEX(명단표[이름],$W873))</f>
        <v/>
      </c>
      <c r="S873">
        <f>IF($W873="","",INDEX(명단표[사번],$W873)&amp;"")</f>
        <v/>
      </c>
      <c r="T873">
        <f>IF($W873="","",INDEX(명단표[소속병원],$W873))</f>
        <v/>
      </c>
      <c r="U873">
        <f>IF($W873="","",INDEX(명단표[서울 근무일(기준월)],$W873))</f>
        <v/>
      </c>
      <c r="V873">
        <f>IF($W873="","",INDEX(명단표[구리 근무일(기준월)],$W873))</f>
        <v/>
      </c>
      <c r="W873" s="17">
        <f>IFERROR(MATCH(868,명단표[판정불가순번],0),"")</f>
        <v/>
      </c>
    </row>
    <row r="874">
      <c r="A874">
        <f>IF($P874="","",869)</f>
        <v/>
      </c>
      <c r="B874">
        <f>IF($P874="","",INDEX(명단표[이름],$P874))</f>
        <v/>
      </c>
      <c r="C874">
        <f>IF($P874="","",INDEX(명단표[사번],$P874)&amp;"")</f>
        <v/>
      </c>
      <c r="D874">
        <f>IF($P874="","",INDEX(명단표[전공의등록번호],$P874)&amp;"")</f>
        <v/>
      </c>
      <c r="E874">
        <f>IF($P874="","",INDEX(명단표[수련과목],$P874)&amp;"")</f>
        <v/>
      </c>
      <c r="F874">
        <f>IF($P874="","",INDEX(명단표[연차],$P874)&amp;"")</f>
        <v/>
      </c>
      <c r="G874">
        <f>IF($P874="","",INDEX(명단표[소속병원],$P874))</f>
        <v/>
      </c>
      <c r="H874">
        <f>IF($P874="","",IF(INDEX(명단표[소속병원],$P874)="서울병원","서울 소속","타 병원 소속("&amp;INDEX(명단표[소속병원],$P874)&amp;") → 서울 지급"))</f>
        <v/>
      </c>
      <c r="I874">
        <f>IF($P874="","",INDEX(명단표[현재 근무병원],$P874))</f>
        <v/>
      </c>
      <c r="J874">
        <f>IF($P874="","",INDEX(명단표[구리 근무 시작일(기준월)],$P874)&amp;"")</f>
        <v/>
      </c>
      <c r="K874">
        <f>IF($P874="","",INDEX(명단표[구리 근무 종료일(기준월)],$P874)&amp;"")</f>
        <v/>
      </c>
      <c r="L874">
        <f>IF($P874="","",INDEX(명단표[서울 근무일(기준월)],$P874))</f>
        <v/>
      </c>
      <c r="M874">
        <f>IF($P874="","",INDEX(명단표[구리 근무일(기준월)],$P874))</f>
        <v/>
      </c>
      <c r="N874">
        <f>IF($P874="","",INDEX(명단표[급여 판정 근거],$P874))</f>
        <v/>
      </c>
      <c r="O874">
        <f>IF($P874="","",INDEX(명단표[점검],$P874))</f>
        <v/>
      </c>
      <c r="P874" s="17">
        <f>IFERROR(MATCH(869,명단표[서울순번],0),"")</f>
        <v/>
      </c>
      <c r="R874">
        <f>IF($W874="","",INDEX(명단표[이름],$W874))</f>
        <v/>
      </c>
      <c r="S874">
        <f>IF($W874="","",INDEX(명단표[사번],$W874)&amp;"")</f>
        <v/>
      </c>
      <c r="T874">
        <f>IF($W874="","",INDEX(명단표[소속병원],$W874))</f>
        <v/>
      </c>
      <c r="U874">
        <f>IF($W874="","",INDEX(명단표[서울 근무일(기준월)],$W874))</f>
        <v/>
      </c>
      <c r="V874">
        <f>IF($W874="","",INDEX(명단표[구리 근무일(기준월)],$W874))</f>
        <v/>
      </c>
      <c r="W874" s="17">
        <f>IFERROR(MATCH(869,명단표[판정불가순번],0),"")</f>
        <v/>
      </c>
    </row>
    <row r="875">
      <c r="A875">
        <f>IF($P875="","",870)</f>
        <v/>
      </c>
      <c r="B875">
        <f>IF($P875="","",INDEX(명단표[이름],$P875))</f>
        <v/>
      </c>
      <c r="C875">
        <f>IF($P875="","",INDEX(명단표[사번],$P875)&amp;"")</f>
        <v/>
      </c>
      <c r="D875">
        <f>IF($P875="","",INDEX(명단표[전공의등록번호],$P875)&amp;"")</f>
        <v/>
      </c>
      <c r="E875">
        <f>IF($P875="","",INDEX(명단표[수련과목],$P875)&amp;"")</f>
        <v/>
      </c>
      <c r="F875">
        <f>IF($P875="","",INDEX(명단표[연차],$P875)&amp;"")</f>
        <v/>
      </c>
      <c r="G875">
        <f>IF($P875="","",INDEX(명단표[소속병원],$P875))</f>
        <v/>
      </c>
      <c r="H875">
        <f>IF($P875="","",IF(INDEX(명단표[소속병원],$P875)="서울병원","서울 소속","타 병원 소속("&amp;INDEX(명단표[소속병원],$P875)&amp;") → 서울 지급"))</f>
        <v/>
      </c>
      <c r="I875">
        <f>IF($P875="","",INDEX(명단표[현재 근무병원],$P875))</f>
        <v/>
      </c>
      <c r="J875">
        <f>IF($P875="","",INDEX(명단표[구리 근무 시작일(기준월)],$P875)&amp;"")</f>
        <v/>
      </c>
      <c r="K875">
        <f>IF($P875="","",INDEX(명단표[구리 근무 종료일(기준월)],$P875)&amp;"")</f>
        <v/>
      </c>
      <c r="L875">
        <f>IF($P875="","",INDEX(명단표[서울 근무일(기준월)],$P875))</f>
        <v/>
      </c>
      <c r="M875">
        <f>IF($P875="","",INDEX(명단표[구리 근무일(기준월)],$P875))</f>
        <v/>
      </c>
      <c r="N875">
        <f>IF($P875="","",INDEX(명단표[급여 판정 근거],$P875))</f>
        <v/>
      </c>
      <c r="O875">
        <f>IF($P875="","",INDEX(명단표[점검],$P875))</f>
        <v/>
      </c>
      <c r="P875" s="17">
        <f>IFERROR(MATCH(870,명단표[서울순번],0),"")</f>
        <v/>
      </c>
      <c r="R875">
        <f>IF($W875="","",INDEX(명단표[이름],$W875))</f>
        <v/>
      </c>
      <c r="S875">
        <f>IF($W875="","",INDEX(명단표[사번],$W875)&amp;"")</f>
        <v/>
      </c>
      <c r="T875">
        <f>IF($W875="","",INDEX(명단표[소속병원],$W875))</f>
        <v/>
      </c>
      <c r="U875">
        <f>IF($W875="","",INDEX(명단표[서울 근무일(기준월)],$W875))</f>
        <v/>
      </c>
      <c r="V875">
        <f>IF($W875="","",INDEX(명단표[구리 근무일(기준월)],$W875))</f>
        <v/>
      </c>
      <c r="W875" s="17">
        <f>IFERROR(MATCH(870,명단표[판정불가순번],0),"")</f>
        <v/>
      </c>
    </row>
    <row r="876">
      <c r="A876">
        <f>IF($P876="","",871)</f>
        <v/>
      </c>
      <c r="B876">
        <f>IF($P876="","",INDEX(명단표[이름],$P876))</f>
        <v/>
      </c>
      <c r="C876">
        <f>IF($P876="","",INDEX(명단표[사번],$P876)&amp;"")</f>
        <v/>
      </c>
      <c r="D876">
        <f>IF($P876="","",INDEX(명단표[전공의등록번호],$P876)&amp;"")</f>
        <v/>
      </c>
      <c r="E876">
        <f>IF($P876="","",INDEX(명단표[수련과목],$P876)&amp;"")</f>
        <v/>
      </c>
      <c r="F876">
        <f>IF($P876="","",INDEX(명단표[연차],$P876)&amp;"")</f>
        <v/>
      </c>
      <c r="G876">
        <f>IF($P876="","",INDEX(명단표[소속병원],$P876))</f>
        <v/>
      </c>
      <c r="H876">
        <f>IF($P876="","",IF(INDEX(명단표[소속병원],$P876)="서울병원","서울 소속","타 병원 소속("&amp;INDEX(명단표[소속병원],$P876)&amp;") → 서울 지급"))</f>
        <v/>
      </c>
      <c r="I876">
        <f>IF($P876="","",INDEX(명단표[현재 근무병원],$P876))</f>
        <v/>
      </c>
      <c r="J876">
        <f>IF($P876="","",INDEX(명단표[구리 근무 시작일(기준월)],$P876)&amp;"")</f>
        <v/>
      </c>
      <c r="K876">
        <f>IF($P876="","",INDEX(명단표[구리 근무 종료일(기준월)],$P876)&amp;"")</f>
        <v/>
      </c>
      <c r="L876">
        <f>IF($P876="","",INDEX(명단표[서울 근무일(기준월)],$P876))</f>
        <v/>
      </c>
      <c r="M876">
        <f>IF($P876="","",INDEX(명단표[구리 근무일(기준월)],$P876))</f>
        <v/>
      </c>
      <c r="N876">
        <f>IF($P876="","",INDEX(명단표[급여 판정 근거],$P876))</f>
        <v/>
      </c>
      <c r="O876">
        <f>IF($P876="","",INDEX(명단표[점검],$P876))</f>
        <v/>
      </c>
      <c r="P876" s="17">
        <f>IFERROR(MATCH(871,명단표[서울순번],0),"")</f>
        <v/>
      </c>
      <c r="R876">
        <f>IF($W876="","",INDEX(명단표[이름],$W876))</f>
        <v/>
      </c>
      <c r="S876">
        <f>IF($W876="","",INDEX(명단표[사번],$W876)&amp;"")</f>
        <v/>
      </c>
      <c r="T876">
        <f>IF($W876="","",INDEX(명단표[소속병원],$W876))</f>
        <v/>
      </c>
      <c r="U876">
        <f>IF($W876="","",INDEX(명단표[서울 근무일(기준월)],$W876))</f>
        <v/>
      </c>
      <c r="V876">
        <f>IF($W876="","",INDEX(명단표[구리 근무일(기준월)],$W876))</f>
        <v/>
      </c>
      <c r="W876" s="17">
        <f>IFERROR(MATCH(871,명단표[판정불가순번],0),"")</f>
        <v/>
      </c>
    </row>
    <row r="877">
      <c r="A877">
        <f>IF($P877="","",872)</f>
        <v/>
      </c>
      <c r="B877">
        <f>IF($P877="","",INDEX(명단표[이름],$P877))</f>
        <v/>
      </c>
      <c r="C877">
        <f>IF($P877="","",INDEX(명단표[사번],$P877)&amp;"")</f>
        <v/>
      </c>
      <c r="D877">
        <f>IF($P877="","",INDEX(명단표[전공의등록번호],$P877)&amp;"")</f>
        <v/>
      </c>
      <c r="E877">
        <f>IF($P877="","",INDEX(명단표[수련과목],$P877)&amp;"")</f>
        <v/>
      </c>
      <c r="F877">
        <f>IF($P877="","",INDEX(명단표[연차],$P877)&amp;"")</f>
        <v/>
      </c>
      <c r="G877">
        <f>IF($P877="","",INDEX(명단표[소속병원],$P877))</f>
        <v/>
      </c>
      <c r="H877">
        <f>IF($P877="","",IF(INDEX(명단표[소속병원],$P877)="서울병원","서울 소속","타 병원 소속("&amp;INDEX(명단표[소속병원],$P877)&amp;") → 서울 지급"))</f>
        <v/>
      </c>
      <c r="I877">
        <f>IF($P877="","",INDEX(명단표[현재 근무병원],$P877))</f>
        <v/>
      </c>
      <c r="J877">
        <f>IF($P877="","",INDEX(명단표[구리 근무 시작일(기준월)],$P877)&amp;"")</f>
        <v/>
      </c>
      <c r="K877">
        <f>IF($P877="","",INDEX(명단표[구리 근무 종료일(기준월)],$P877)&amp;"")</f>
        <v/>
      </c>
      <c r="L877">
        <f>IF($P877="","",INDEX(명단표[서울 근무일(기준월)],$P877))</f>
        <v/>
      </c>
      <c r="M877">
        <f>IF($P877="","",INDEX(명단표[구리 근무일(기준월)],$P877))</f>
        <v/>
      </c>
      <c r="N877">
        <f>IF($P877="","",INDEX(명단표[급여 판정 근거],$P877))</f>
        <v/>
      </c>
      <c r="O877">
        <f>IF($P877="","",INDEX(명단표[점검],$P877))</f>
        <v/>
      </c>
      <c r="P877" s="17">
        <f>IFERROR(MATCH(872,명단표[서울순번],0),"")</f>
        <v/>
      </c>
      <c r="R877">
        <f>IF($W877="","",INDEX(명단표[이름],$W877))</f>
        <v/>
      </c>
      <c r="S877">
        <f>IF($W877="","",INDEX(명단표[사번],$W877)&amp;"")</f>
        <v/>
      </c>
      <c r="T877">
        <f>IF($W877="","",INDEX(명단표[소속병원],$W877))</f>
        <v/>
      </c>
      <c r="U877">
        <f>IF($W877="","",INDEX(명단표[서울 근무일(기준월)],$W877))</f>
        <v/>
      </c>
      <c r="V877">
        <f>IF($W877="","",INDEX(명단표[구리 근무일(기준월)],$W877))</f>
        <v/>
      </c>
      <c r="W877" s="17">
        <f>IFERROR(MATCH(872,명단표[판정불가순번],0),"")</f>
        <v/>
      </c>
    </row>
    <row r="878">
      <c r="A878">
        <f>IF($P878="","",873)</f>
        <v/>
      </c>
      <c r="B878">
        <f>IF($P878="","",INDEX(명단표[이름],$P878))</f>
        <v/>
      </c>
      <c r="C878">
        <f>IF($P878="","",INDEX(명단표[사번],$P878)&amp;"")</f>
        <v/>
      </c>
      <c r="D878">
        <f>IF($P878="","",INDEX(명단표[전공의등록번호],$P878)&amp;"")</f>
        <v/>
      </c>
      <c r="E878">
        <f>IF($P878="","",INDEX(명단표[수련과목],$P878)&amp;"")</f>
        <v/>
      </c>
      <c r="F878">
        <f>IF($P878="","",INDEX(명단표[연차],$P878)&amp;"")</f>
        <v/>
      </c>
      <c r="G878">
        <f>IF($P878="","",INDEX(명단표[소속병원],$P878))</f>
        <v/>
      </c>
      <c r="H878">
        <f>IF($P878="","",IF(INDEX(명단표[소속병원],$P878)="서울병원","서울 소속","타 병원 소속("&amp;INDEX(명단표[소속병원],$P878)&amp;") → 서울 지급"))</f>
        <v/>
      </c>
      <c r="I878">
        <f>IF($P878="","",INDEX(명단표[현재 근무병원],$P878))</f>
        <v/>
      </c>
      <c r="J878">
        <f>IF($P878="","",INDEX(명단표[구리 근무 시작일(기준월)],$P878)&amp;"")</f>
        <v/>
      </c>
      <c r="K878">
        <f>IF($P878="","",INDEX(명단표[구리 근무 종료일(기준월)],$P878)&amp;"")</f>
        <v/>
      </c>
      <c r="L878">
        <f>IF($P878="","",INDEX(명단표[서울 근무일(기준월)],$P878))</f>
        <v/>
      </c>
      <c r="M878">
        <f>IF($P878="","",INDEX(명단표[구리 근무일(기준월)],$P878))</f>
        <v/>
      </c>
      <c r="N878">
        <f>IF($P878="","",INDEX(명단표[급여 판정 근거],$P878))</f>
        <v/>
      </c>
      <c r="O878">
        <f>IF($P878="","",INDEX(명단표[점검],$P878))</f>
        <v/>
      </c>
      <c r="P878" s="17">
        <f>IFERROR(MATCH(873,명단표[서울순번],0),"")</f>
        <v/>
      </c>
      <c r="R878">
        <f>IF($W878="","",INDEX(명단표[이름],$W878))</f>
        <v/>
      </c>
      <c r="S878">
        <f>IF($W878="","",INDEX(명단표[사번],$W878)&amp;"")</f>
        <v/>
      </c>
      <c r="T878">
        <f>IF($W878="","",INDEX(명단표[소속병원],$W878))</f>
        <v/>
      </c>
      <c r="U878">
        <f>IF($W878="","",INDEX(명단표[서울 근무일(기준월)],$W878))</f>
        <v/>
      </c>
      <c r="V878">
        <f>IF($W878="","",INDEX(명단표[구리 근무일(기준월)],$W878))</f>
        <v/>
      </c>
      <c r="W878" s="17">
        <f>IFERROR(MATCH(873,명단표[판정불가순번],0),"")</f>
        <v/>
      </c>
    </row>
    <row r="879">
      <c r="A879">
        <f>IF($P879="","",874)</f>
        <v/>
      </c>
      <c r="B879">
        <f>IF($P879="","",INDEX(명단표[이름],$P879))</f>
        <v/>
      </c>
      <c r="C879">
        <f>IF($P879="","",INDEX(명단표[사번],$P879)&amp;"")</f>
        <v/>
      </c>
      <c r="D879">
        <f>IF($P879="","",INDEX(명단표[전공의등록번호],$P879)&amp;"")</f>
        <v/>
      </c>
      <c r="E879">
        <f>IF($P879="","",INDEX(명단표[수련과목],$P879)&amp;"")</f>
        <v/>
      </c>
      <c r="F879">
        <f>IF($P879="","",INDEX(명단표[연차],$P879)&amp;"")</f>
        <v/>
      </c>
      <c r="G879">
        <f>IF($P879="","",INDEX(명단표[소속병원],$P879))</f>
        <v/>
      </c>
      <c r="H879">
        <f>IF($P879="","",IF(INDEX(명단표[소속병원],$P879)="서울병원","서울 소속","타 병원 소속("&amp;INDEX(명단표[소속병원],$P879)&amp;") → 서울 지급"))</f>
        <v/>
      </c>
      <c r="I879">
        <f>IF($P879="","",INDEX(명단표[현재 근무병원],$P879))</f>
        <v/>
      </c>
      <c r="J879">
        <f>IF($P879="","",INDEX(명단표[구리 근무 시작일(기준월)],$P879)&amp;"")</f>
        <v/>
      </c>
      <c r="K879">
        <f>IF($P879="","",INDEX(명단표[구리 근무 종료일(기준월)],$P879)&amp;"")</f>
        <v/>
      </c>
      <c r="L879">
        <f>IF($P879="","",INDEX(명단표[서울 근무일(기준월)],$P879))</f>
        <v/>
      </c>
      <c r="M879">
        <f>IF($P879="","",INDEX(명단표[구리 근무일(기준월)],$P879))</f>
        <v/>
      </c>
      <c r="N879">
        <f>IF($P879="","",INDEX(명단표[급여 판정 근거],$P879))</f>
        <v/>
      </c>
      <c r="O879">
        <f>IF($P879="","",INDEX(명단표[점검],$P879))</f>
        <v/>
      </c>
      <c r="P879" s="17">
        <f>IFERROR(MATCH(874,명단표[서울순번],0),"")</f>
        <v/>
      </c>
      <c r="R879">
        <f>IF($W879="","",INDEX(명단표[이름],$W879))</f>
        <v/>
      </c>
      <c r="S879">
        <f>IF($W879="","",INDEX(명단표[사번],$W879)&amp;"")</f>
        <v/>
      </c>
      <c r="T879">
        <f>IF($W879="","",INDEX(명단표[소속병원],$W879))</f>
        <v/>
      </c>
      <c r="U879">
        <f>IF($W879="","",INDEX(명단표[서울 근무일(기준월)],$W879))</f>
        <v/>
      </c>
      <c r="V879">
        <f>IF($W879="","",INDEX(명단표[구리 근무일(기준월)],$W879))</f>
        <v/>
      </c>
      <c r="W879" s="17">
        <f>IFERROR(MATCH(874,명단표[판정불가순번],0),"")</f>
        <v/>
      </c>
    </row>
    <row r="880">
      <c r="A880">
        <f>IF($P880="","",875)</f>
        <v/>
      </c>
      <c r="B880">
        <f>IF($P880="","",INDEX(명단표[이름],$P880))</f>
        <v/>
      </c>
      <c r="C880">
        <f>IF($P880="","",INDEX(명단표[사번],$P880)&amp;"")</f>
        <v/>
      </c>
      <c r="D880">
        <f>IF($P880="","",INDEX(명단표[전공의등록번호],$P880)&amp;"")</f>
        <v/>
      </c>
      <c r="E880">
        <f>IF($P880="","",INDEX(명단표[수련과목],$P880)&amp;"")</f>
        <v/>
      </c>
      <c r="F880">
        <f>IF($P880="","",INDEX(명단표[연차],$P880)&amp;"")</f>
        <v/>
      </c>
      <c r="G880">
        <f>IF($P880="","",INDEX(명단표[소속병원],$P880))</f>
        <v/>
      </c>
      <c r="H880">
        <f>IF($P880="","",IF(INDEX(명단표[소속병원],$P880)="서울병원","서울 소속","타 병원 소속("&amp;INDEX(명단표[소속병원],$P880)&amp;") → 서울 지급"))</f>
        <v/>
      </c>
      <c r="I880">
        <f>IF($P880="","",INDEX(명단표[현재 근무병원],$P880))</f>
        <v/>
      </c>
      <c r="J880">
        <f>IF($P880="","",INDEX(명단표[구리 근무 시작일(기준월)],$P880)&amp;"")</f>
        <v/>
      </c>
      <c r="K880">
        <f>IF($P880="","",INDEX(명단표[구리 근무 종료일(기준월)],$P880)&amp;"")</f>
        <v/>
      </c>
      <c r="L880">
        <f>IF($P880="","",INDEX(명단표[서울 근무일(기준월)],$P880))</f>
        <v/>
      </c>
      <c r="M880">
        <f>IF($P880="","",INDEX(명단표[구리 근무일(기준월)],$P880))</f>
        <v/>
      </c>
      <c r="N880">
        <f>IF($P880="","",INDEX(명단표[급여 판정 근거],$P880))</f>
        <v/>
      </c>
      <c r="O880">
        <f>IF($P880="","",INDEX(명단표[점검],$P880))</f>
        <v/>
      </c>
      <c r="P880" s="17">
        <f>IFERROR(MATCH(875,명단표[서울순번],0),"")</f>
        <v/>
      </c>
      <c r="R880">
        <f>IF($W880="","",INDEX(명단표[이름],$W880))</f>
        <v/>
      </c>
      <c r="S880">
        <f>IF($W880="","",INDEX(명단표[사번],$W880)&amp;"")</f>
        <v/>
      </c>
      <c r="T880">
        <f>IF($W880="","",INDEX(명단표[소속병원],$W880))</f>
        <v/>
      </c>
      <c r="U880">
        <f>IF($W880="","",INDEX(명단표[서울 근무일(기준월)],$W880))</f>
        <v/>
      </c>
      <c r="V880">
        <f>IF($W880="","",INDEX(명단표[구리 근무일(기준월)],$W880))</f>
        <v/>
      </c>
      <c r="W880" s="17">
        <f>IFERROR(MATCH(875,명단표[판정불가순번],0),"")</f>
        <v/>
      </c>
    </row>
    <row r="881">
      <c r="A881">
        <f>IF($P881="","",876)</f>
        <v/>
      </c>
      <c r="B881">
        <f>IF($P881="","",INDEX(명단표[이름],$P881))</f>
        <v/>
      </c>
      <c r="C881">
        <f>IF($P881="","",INDEX(명단표[사번],$P881)&amp;"")</f>
        <v/>
      </c>
      <c r="D881">
        <f>IF($P881="","",INDEX(명단표[전공의등록번호],$P881)&amp;"")</f>
        <v/>
      </c>
      <c r="E881">
        <f>IF($P881="","",INDEX(명단표[수련과목],$P881)&amp;"")</f>
        <v/>
      </c>
      <c r="F881">
        <f>IF($P881="","",INDEX(명단표[연차],$P881)&amp;"")</f>
        <v/>
      </c>
      <c r="G881">
        <f>IF($P881="","",INDEX(명단표[소속병원],$P881))</f>
        <v/>
      </c>
      <c r="H881">
        <f>IF($P881="","",IF(INDEX(명단표[소속병원],$P881)="서울병원","서울 소속","타 병원 소속("&amp;INDEX(명단표[소속병원],$P881)&amp;") → 서울 지급"))</f>
        <v/>
      </c>
      <c r="I881">
        <f>IF($P881="","",INDEX(명단표[현재 근무병원],$P881))</f>
        <v/>
      </c>
      <c r="J881">
        <f>IF($P881="","",INDEX(명단표[구리 근무 시작일(기준월)],$P881)&amp;"")</f>
        <v/>
      </c>
      <c r="K881">
        <f>IF($P881="","",INDEX(명단표[구리 근무 종료일(기준월)],$P881)&amp;"")</f>
        <v/>
      </c>
      <c r="L881">
        <f>IF($P881="","",INDEX(명단표[서울 근무일(기준월)],$P881))</f>
        <v/>
      </c>
      <c r="M881">
        <f>IF($P881="","",INDEX(명단표[구리 근무일(기준월)],$P881))</f>
        <v/>
      </c>
      <c r="N881">
        <f>IF($P881="","",INDEX(명단표[급여 판정 근거],$P881))</f>
        <v/>
      </c>
      <c r="O881">
        <f>IF($P881="","",INDEX(명단표[점검],$P881))</f>
        <v/>
      </c>
      <c r="P881" s="17">
        <f>IFERROR(MATCH(876,명단표[서울순번],0),"")</f>
        <v/>
      </c>
      <c r="R881">
        <f>IF($W881="","",INDEX(명단표[이름],$W881))</f>
        <v/>
      </c>
      <c r="S881">
        <f>IF($W881="","",INDEX(명단표[사번],$W881)&amp;"")</f>
        <v/>
      </c>
      <c r="T881">
        <f>IF($W881="","",INDEX(명단표[소속병원],$W881))</f>
        <v/>
      </c>
      <c r="U881">
        <f>IF($W881="","",INDEX(명단표[서울 근무일(기준월)],$W881))</f>
        <v/>
      </c>
      <c r="V881">
        <f>IF($W881="","",INDEX(명단표[구리 근무일(기준월)],$W881))</f>
        <v/>
      </c>
      <c r="W881" s="17">
        <f>IFERROR(MATCH(876,명단표[판정불가순번],0),"")</f>
        <v/>
      </c>
    </row>
    <row r="882">
      <c r="A882">
        <f>IF($P882="","",877)</f>
        <v/>
      </c>
      <c r="B882">
        <f>IF($P882="","",INDEX(명단표[이름],$P882))</f>
        <v/>
      </c>
      <c r="C882">
        <f>IF($P882="","",INDEX(명단표[사번],$P882)&amp;"")</f>
        <v/>
      </c>
      <c r="D882">
        <f>IF($P882="","",INDEX(명단표[전공의등록번호],$P882)&amp;"")</f>
        <v/>
      </c>
      <c r="E882">
        <f>IF($P882="","",INDEX(명단표[수련과목],$P882)&amp;"")</f>
        <v/>
      </c>
      <c r="F882">
        <f>IF($P882="","",INDEX(명단표[연차],$P882)&amp;"")</f>
        <v/>
      </c>
      <c r="G882">
        <f>IF($P882="","",INDEX(명단표[소속병원],$P882))</f>
        <v/>
      </c>
      <c r="H882">
        <f>IF($P882="","",IF(INDEX(명단표[소속병원],$P882)="서울병원","서울 소속","타 병원 소속("&amp;INDEX(명단표[소속병원],$P882)&amp;") → 서울 지급"))</f>
        <v/>
      </c>
      <c r="I882">
        <f>IF($P882="","",INDEX(명단표[현재 근무병원],$P882))</f>
        <v/>
      </c>
      <c r="J882">
        <f>IF($P882="","",INDEX(명단표[구리 근무 시작일(기준월)],$P882)&amp;"")</f>
        <v/>
      </c>
      <c r="K882">
        <f>IF($P882="","",INDEX(명단표[구리 근무 종료일(기준월)],$P882)&amp;"")</f>
        <v/>
      </c>
      <c r="L882">
        <f>IF($P882="","",INDEX(명단표[서울 근무일(기준월)],$P882))</f>
        <v/>
      </c>
      <c r="M882">
        <f>IF($P882="","",INDEX(명단표[구리 근무일(기준월)],$P882))</f>
        <v/>
      </c>
      <c r="N882">
        <f>IF($P882="","",INDEX(명단표[급여 판정 근거],$P882))</f>
        <v/>
      </c>
      <c r="O882">
        <f>IF($P882="","",INDEX(명단표[점검],$P882))</f>
        <v/>
      </c>
      <c r="P882" s="17">
        <f>IFERROR(MATCH(877,명단표[서울순번],0),"")</f>
        <v/>
      </c>
      <c r="R882">
        <f>IF($W882="","",INDEX(명단표[이름],$W882))</f>
        <v/>
      </c>
      <c r="S882">
        <f>IF($W882="","",INDEX(명단표[사번],$W882)&amp;"")</f>
        <v/>
      </c>
      <c r="T882">
        <f>IF($W882="","",INDEX(명단표[소속병원],$W882))</f>
        <v/>
      </c>
      <c r="U882">
        <f>IF($W882="","",INDEX(명단표[서울 근무일(기준월)],$W882))</f>
        <v/>
      </c>
      <c r="V882">
        <f>IF($W882="","",INDEX(명단표[구리 근무일(기준월)],$W882))</f>
        <v/>
      </c>
      <c r="W882" s="17">
        <f>IFERROR(MATCH(877,명단표[판정불가순번],0),"")</f>
        <v/>
      </c>
    </row>
    <row r="883">
      <c r="A883">
        <f>IF($P883="","",878)</f>
        <v/>
      </c>
      <c r="B883">
        <f>IF($P883="","",INDEX(명단표[이름],$P883))</f>
        <v/>
      </c>
      <c r="C883">
        <f>IF($P883="","",INDEX(명단표[사번],$P883)&amp;"")</f>
        <v/>
      </c>
      <c r="D883">
        <f>IF($P883="","",INDEX(명단표[전공의등록번호],$P883)&amp;"")</f>
        <v/>
      </c>
      <c r="E883">
        <f>IF($P883="","",INDEX(명단표[수련과목],$P883)&amp;"")</f>
        <v/>
      </c>
      <c r="F883">
        <f>IF($P883="","",INDEX(명단표[연차],$P883)&amp;"")</f>
        <v/>
      </c>
      <c r="G883">
        <f>IF($P883="","",INDEX(명단표[소속병원],$P883))</f>
        <v/>
      </c>
      <c r="H883">
        <f>IF($P883="","",IF(INDEX(명단표[소속병원],$P883)="서울병원","서울 소속","타 병원 소속("&amp;INDEX(명단표[소속병원],$P883)&amp;") → 서울 지급"))</f>
        <v/>
      </c>
      <c r="I883">
        <f>IF($P883="","",INDEX(명단표[현재 근무병원],$P883))</f>
        <v/>
      </c>
      <c r="J883">
        <f>IF($P883="","",INDEX(명단표[구리 근무 시작일(기준월)],$P883)&amp;"")</f>
        <v/>
      </c>
      <c r="K883">
        <f>IF($P883="","",INDEX(명단표[구리 근무 종료일(기준월)],$P883)&amp;"")</f>
        <v/>
      </c>
      <c r="L883">
        <f>IF($P883="","",INDEX(명단표[서울 근무일(기준월)],$P883))</f>
        <v/>
      </c>
      <c r="M883">
        <f>IF($P883="","",INDEX(명단표[구리 근무일(기준월)],$P883))</f>
        <v/>
      </c>
      <c r="N883">
        <f>IF($P883="","",INDEX(명단표[급여 판정 근거],$P883))</f>
        <v/>
      </c>
      <c r="O883">
        <f>IF($P883="","",INDEX(명단표[점검],$P883))</f>
        <v/>
      </c>
      <c r="P883" s="17">
        <f>IFERROR(MATCH(878,명단표[서울순번],0),"")</f>
        <v/>
      </c>
      <c r="R883">
        <f>IF($W883="","",INDEX(명단표[이름],$W883))</f>
        <v/>
      </c>
      <c r="S883">
        <f>IF($W883="","",INDEX(명단표[사번],$W883)&amp;"")</f>
        <v/>
      </c>
      <c r="T883">
        <f>IF($W883="","",INDEX(명단표[소속병원],$W883))</f>
        <v/>
      </c>
      <c r="U883">
        <f>IF($W883="","",INDEX(명단표[서울 근무일(기준월)],$W883))</f>
        <v/>
      </c>
      <c r="V883">
        <f>IF($W883="","",INDEX(명단표[구리 근무일(기준월)],$W883))</f>
        <v/>
      </c>
      <c r="W883" s="17">
        <f>IFERROR(MATCH(878,명단표[판정불가순번],0),"")</f>
        <v/>
      </c>
    </row>
    <row r="884">
      <c r="A884">
        <f>IF($P884="","",879)</f>
        <v/>
      </c>
      <c r="B884">
        <f>IF($P884="","",INDEX(명단표[이름],$P884))</f>
        <v/>
      </c>
      <c r="C884">
        <f>IF($P884="","",INDEX(명단표[사번],$P884)&amp;"")</f>
        <v/>
      </c>
      <c r="D884">
        <f>IF($P884="","",INDEX(명단표[전공의등록번호],$P884)&amp;"")</f>
        <v/>
      </c>
      <c r="E884">
        <f>IF($P884="","",INDEX(명단표[수련과목],$P884)&amp;"")</f>
        <v/>
      </c>
      <c r="F884">
        <f>IF($P884="","",INDEX(명단표[연차],$P884)&amp;"")</f>
        <v/>
      </c>
      <c r="G884">
        <f>IF($P884="","",INDEX(명단표[소속병원],$P884))</f>
        <v/>
      </c>
      <c r="H884">
        <f>IF($P884="","",IF(INDEX(명단표[소속병원],$P884)="서울병원","서울 소속","타 병원 소속("&amp;INDEX(명단표[소속병원],$P884)&amp;") → 서울 지급"))</f>
        <v/>
      </c>
      <c r="I884">
        <f>IF($P884="","",INDEX(명단표[현재 근무병원],$P884))</f>
        <v/>
      </c>
      <c r="J884">
        <f>IF($P884="","",INDEX(명단표[구리 근무 시작일(기준월)],$P884)&amp;"")</f>
        <v/>
      </c>
      <c r="K884">
        <f>IF($P884="","",INDEX(명단표[구리 근무 종료일(기준월)],$P884)&amp;"")</f>
        <v/>
      </c>
      <c r="L884">
        <f>IF($P884="","",INDEX(명단표[서울 근무일(기준월)],$P884))</f>
        <v/>
      </c>
      <c r="M884">
        <f>IF($P884="","",INDEX(명단표[구리 근무일(기준월)],$P884))</f>
        <v/>
      </c>
      <c r="N884">
        <f>IF($P884="","",INDEX(명단표[급여 판정 근거],$P884))</f>
        <v/>
      </c>
      <c r="O884">
        <f>IF($P884="","",INDEX(명단표[점검],$P884))</f>
        <v/>
      </c>
      <c r="P884" s="17">
        <f>IFERROR(MATCH(879,명단표[서울순번],0),"")</f>
        <v/>
      </c>
      <c r="R884">
        <f>IF($W884="","",INDEX(명단표[이름],$W884))</f>
        <v/>
      </c>
      <c r="S884">
        <f>IF($W884="","",INDEX(명단표[사번],$W884)&amp;"")</f>
        <v/>
      </c>
      <c r="T884">
        <f>IF($W884="","",INDEX(명단표[소속병원],$W884))</f>
        <v/>
      </c>
      <c r="U884">
        <f>IF($W884="","",INDEX(명단표[서울 근무일(기준월)],$W884))</f>
        <v/>
      </c>
      <c r="V884">
        <f>IF($W884="","",INDEX(명단표[구리 근무일(기준월)],$W884))</f>
        <v/>
      </c>
      <c r="W884" s="17">
        <f>IFERROR(MATCH(879,명단표[판정불가순번],0),"")</f>
        <v/>
      </c>
    </row>
    <row r="885">
      <c r="A885">
        <f>IF($P885="","",880)</f>
        <v/>
      </c>
      <c r="B885">
        <f>IF($P885="","",INDEX(명단표[이름],$P885))</f>
        <v/>
      </c>
      <c r="C885">
        <f>IF($P885="","",INDEX(명단표[사번],$P885)&amp;"")</f>
        <v/>
      </c>
      <c r="D885">
        <f>IF($P885="","",INDEX(명단표[전공의등록번호],$P885)&amp;"")</f>
        <v/>
      </c>
      <c r="E885">
        <f>IF($P885="","",INDEX(명단표[수련과목],$P885)&amp;"")</f>
        <v/>
      </c>
      <c r="F885">
        <f>IF($P885="","",INDEX(명단표[연차],$P885)&amp;"")</f>
        <v/>
      </c>
      <c r="G885">
        <f>IF($P885="","",INDEX(명단표[소속병원],$P885))</f>
        <v/>
      </c>
      <c r="H885">
        <f>IF($P885="","",IF(INDEX(명단표[소속병원],$P885)="서울병원","서울 소속","타 병원 소속("&amp;INDEX(명단표[소속병원],$P885)&amp;") → 서울 지급"))</f>
        <v/>
      </c>
      <c r="I885">
        <f>IF($P885="","",INDEX(명단표[현재 근무병원],$P885))</f>
        <v/>
      </c>
      <c r="J885">
        <f>IF($P885="","",INDEX(명단표[구리 근무 시작일(기준월)],$P885)&amp;"")</f>
        <v/>
      </c>
      <c r="K885">
        <f>IF($P885="","",INDEX(명단표[구리 근무 종료일(기준월)],$P885)&amp;"")</f>
        <v/>
      </c>
      <c r="L885">
        <f>IF($P885="","",INDEX(명단표[서울 근무일(기준월)],$P885))</f>
        <v/>
      </c>
      <c r="M885">
        <f>IF($P885="","",INDEX(명단표[구리 근무일(기준월)],$P885))</f>
        <v/>
      </c>
      <c r="N885">
        <f>IF($P885="","",INDEX(명단표[급여 판정 근거],$P885))</f>
        <v/>
      </c>
      <c r="O885">
        <f>IF($P885="","",INDEX(명단표[점검],$P885))</f>
        <v/>
      </c>
      <c r="P885" s="17">
        <f>IFERROR(MATCH(880,명단표[서울순번],0),"")</f>
        <v/>
      </c>
      <c r="R885">
        <f>IF($W885="","",INDEX(명단표[이름],$W885))</f>
        <v/>
      </c>
      <c r="S885">
        <f>IF($W885="","",INDEX(명단표[사번],$W885)&amp;"")</f>
        <v/>
      </c>
      <c r="T885">
        <f>IF($W885="","",INDEX(명단표[소속병원],$W885))</f>
        <v/>
      </c>
      <c r="U885">
        <f>IF($W885="","",INDEX(명단표[서울 근무일(기준월)],$W885))</f>
        <v/>
      </c>
      <c r="V885">
        <f>IF($W885="","",INDEX(명단표[구리 근무일(기준월)],$W885))</f>
        <v/>
      </c>
      <c r="W885" s="17">
        <f>IFERROR(MATCH(880,명단표[판정불가순번],0),"")</f>
        <v/>
      </c>
    </row>
    <row r="886">
      <c r="A886">
        <f>IF($P886="","",881)</f>
        <v/>
      </c>
      <c r="B886">
        <f>IF($P886="","",INDEX(명단표[이름],$P886))</f>
        <v/>
      </c>
      <c r="C886">
        <f>IF($P886="","",INDEX(명단표[사번],$P886)&amp;"")</f>
        <v/>
      </c>
      <c r="D886">
        <f>IF($P886="","",INDEX(명단표[전공의등록번호],$P886)&amp;"")</f>
        <v/>
      </c>
      <c r="E886">
        <f>IF($P886="","",INDEX(명단표[수련과목],$P886)&amp;"")</f>
        <v/>
      </c>
      <c r="F886">
        <f>IF($P886="","",INDEX(명단표[연차],$P886)&amp;"")</f>
        <v/>
      </c>
      <c r="G886">
        <f>IF($P886="","",INDEX(명단표[소속병원],$P886))</f>
        <v/>
      </c>
      <c r="H886">
        <f>IF($P886="","",IF(INDEX(명단표[소속병원],$P886)="서울병원","서울 소속","타 병원 소속("&amp;INDEX(명단표[소속병원],$P886)&amp;") → 서울 지급"))</f>
        <v/>
      </c>
      <c r="I886">
        <f>IF($P886="","",INDEX(명단표[현재 근무병원],$P886))</f>
        <v/>
      </c>
      <c r="J886">
        <f>IF($P886="","",INDEX(명단표[구리 근무 시작일(기준월)],$P886)&amp;"")</f>
        <v/>
      </c>
      <c r="K886">
        <f>IF($P886="","",INDEX(명단표[구리 근무 종료일(기준월)],$P886)&amp;"")</f>
        <v/>
      </c>
      <c r="L886">
        <f>IF($P886="","",INDEX(명단표[서울 근무일(기준월)],$P886))</f>
        <v/>
      </c>
      <c r="M886">
        <f>IF($P886="","",INDEX(명단표[구리 근무일(기준월)],$P886))</f>
        <v/>
      </c>
      <c r="N886">
        <f>IF($P886="","",INDEX(명단표[급여 판정 근거],$P886))</f>
        <v/>
      </c>
      <c r="O886">
        <f>IF($P886="","",INDEX(명단표[점검],$P886))</f>
        <v/>
      </c>
      <c r="P886" s="17">
        <f>IFERROR(MATCH(881,명단표[서울순번],0),"")</f>
        <v/>
      </c>
      <c r="R886">
        <f>IF($W886="","",INDEX(명단표[이름],$W886))</f>
        <v/>
      </c>
      <c r="S886">
        <f>IF($W886="","",INDEX(명단표[사번],$W886)&amp;"")</f>
        <v/>
      </c>
      <c r="T886">
        <f>IF($W886="","",INDEX(명단표[소속병원],$W886))</f>
        <v/>
      </c>
      <c r="U886">
        <f>IF($W886="","",INDEX(명단표[서울 근무일(기준월)],$W886))</f>
        <v/>
      </c>
      <c r="V886">
        <f>IF($W886="","",INDEX(명단표[구리 근무일(기준월)],$W886))</f>
        <v/>
      </c>
      <c r="W886" s="17">
        <f>IFERROR(MATCH(881,명단표[판정불가순번],0),"")</f>
        <v/>
      </c>
    </row>
    <row r="887">
      <c r="A887">
        <f>IF($P887="","",882)</f>
        <v/>
      </c>
      <c r="B887">
        <f>IF($P887="","",INDEX(명단표[이름],$P887))</f>
        <v/>
      </c>
      <c r="C887">
        <f>IF($P887="","",INDEX(명단표[사번],$P887)&amp;"")</f>
        <v/>
      </c>
      <c r="D887">
        <f>IF($P887="","",INDEX(명단표[전공의등록번호],$P887)&amp;"")</f>
        <v/>
      </c>
      <c r="E887">
        <f>IF($P887="","",INDEX(명단표[수련과목],$P887)&amp;"")</f>
        <v/>
      </c>
      <c r="F887">
        <f>IF($P887="","",INDEX(명단표[연차],$P887)&amp;"")</f>
        <v/>
      </c>
      <c r="G887">
        <f>IF($P887="","",INDEX(명단표[소속병원],$P887))</f>
        <v/>
      </c>
      <c r="H887">
        <f>IF($P887="","",IF(INDEX(명단표[소속병원],$P887)="서울병원","서울 소속","타 병원 소속("&amp;INDEX(명단표[소속병원],$P887)&amp;") → 서울 지급"))</f>
        <v/>
      </c>
      <c r="I887">
        <f>IF($P887="","",INDEX(명단표[현재 근무병원],$P887))</f>
        <v/>
      </c>
      <c r="J887">
        <f>IF($P887="","",INDEX(명단표[구리 근무 시작일(기준월)],$P887)&amp;"")</f>
        <v/>
      </c>
      <c r="K887">
        <f>IF($P887="","",INDEX(명단표[구리 근무 종료일(기준월)],$P887)&amp;"")</f>
        <v/>
      </c>
      <c r="L887">
        <f>IF($P887="","",INDEX(명단표[서울 근무일(기준월)],$P887))</f>
        <v/>
      </c>
      <c r="M887">
        <f>IF($P887="","",INDEX(명단표[구리 근무일(기준월)],$P887))</f>
        <v/>
      </c>
      <c r="N887">
        <f>IF($P887="","",INDEX(명단표[급여 판정 근거],$P887))</f>
        <v/>
      </c>
      <c r="O887">
        <f>IF($P887="","",INDEX(명단표[점검],$P887))</f>
        <v/>
      </c>
      <c r="P887" s="17">
        <f>IFERROR(MATCH(882,명단표[서울순번],0),"")</f>
        <v/>
      </c>
      <c r="R887">
        <f>IF($W887="","",INDEX(명단표[이름],$W887))</f>
        <v/>
      </c>
      <c r="S887">
        <f>IF($W887="","",INDEX(명단표[사번],$W887)&amp;"")</f>
        <v/>
      </c>
      <c r="T887">
        <f>IF($W887="","",INDEX(명단표[소속병원],$W887))</f>
        <v/>
      </c>
      <c r="U887">
        <f>IF($W887="","",INDEX(명단표[서울 근무일(기준월)],$W887))</f>
        <v/>
      </c>
      <c r="V887">
        <f>IF($W887="","",INDEX(명단표[구리 근무일(기준월)],$W887))</f>
        <v/>
      </c>
      <c r="W887" s="17">
        <f>IFERROR(MATCH(882,명단표[판정불가순번],0),"")</f>
        <v/>
      </c>
    </row>
    <row r="888">
      <c r="A888">
        <f>IF($P888="","",883)</f>
        <v/>
      </c>
      <c r="B888">
        <f>IF($P888="","",INDEX(명단표[이름],$P888))</f>
        <v/>
      </c>
      <c r="C888">
        <f>IF($P888="","",INDEX(명단표[사번],$P888)&amp;"")</f>
        <v/>
      </c>
      <c r="D888">
        <f>IF($P888="","",INDEX(명단표[전공의등록번호],$P888)&amp;"")</f>
        <v/>
      </c>
      <c r="E888">
        <f>IF($P888="","",INDEX(명단표[수련과목],$P888)&amp;"")</f>
        <v/>
      </c>
      <c r="F888">
        <f>IF($P888="","",INDEX(명단표[연차],$P888)&amp;"")</f>
        <v/>
      </c>
      <c r="G888">
        <f>IF($P888="","",INDEX(명단표[소속병원],$P888))</f>
        <v/>
      </c>
      <c r="H888">
        <f>IF($P888="","",IF(INDEX(명단표[소속병원],$P888)="서울병원","서울 소속","타 병원 소속("&amp;INDEX(명단표[소속병원],$P888)&amp;") → 서울 지급"))</f>
        <v/>
      </c>
      <c r="I888">
        <f>IF($P888="","",INDEX(명단표[현재 근무병원],$P888))</f>
        <v/>
      </c>
      <c r="J888">
        <f>IF($P888="","",INDEX(명단표[구리 근무 시작일(기준월)],$P888)&amp;"")</f>
        <v/>
      </c>
      <c r="K888">
        <f>IF($P888="","",INDEX(명단표[구리 근무 종료일(기준월)],$P888)&amp;"")</f>
        <v/>
      </c>
      <c r="L888">
        <f>IF($P888="","",INDEX(명단표[서울 근무일(기준월)],$P888))</f>
        <v/>
      </c>
      <c r="M888">
        <f>IF($P888="","",INDEX(명단표[구리 근무일(기준월)],$P888))</f>
        <v/>
      </c>
      <c r="N888">
        <f>IF($P888="","",INDEX(명단표[급여 판정 근거],$P888))</f>
        <v/>
      </c>
      <c r="O888">
        <f>IF($P888="","",INDEX(명단표[점검],$P888))</f>
        <v/>
      </c>
      <c r="P888" s="17">
        <f>IFERROR(MATCH(883,명단표[서울순번],0),"")</f>
        <v/>
      </c>
      <c r="R888">
        <f>IF($W888="","",INDEX(명단표[이름],$W888))</f>
        <v/>
      </c>
      <c r="S888">
        <f>IF($W888="","",INDEX(명단표[사번],$W888)&amp;"")</f>
        <v/>
      </c>
      <c r="T888">
        <f>IF($W888="","",INDEX(명단표[소속병원],$W888))</f>
        <v/>
      </c>
      <c r="U888">
        <f>IF($W888="","",INDEX(명단표[서울 근무일(기준월)],$W888))</f>
        <v/>
      </c>
      <c r="V888">
        <f>IF($W888="","",INDEX(명단표[구리 근무일(기준월)],$W888))</f>
        <v/>
      </c>
      <c r="W888" s="17">
        <f>IFERROR(MATCH(883,명단표[판정불가순번],0),"")</f>
        <v/>
      </c>
    </row>
    <row r="889">
      <c r="A889">
        <f>IF($P889="","",884)</f>
        <v/>
      </c>
      <c r="B889">
        <f>IF($P889="","",INDEX(명단표[이름],$P889))</f>
        <v/>
      </c>
      <c r="C889">
        <f>IF($P889="","",INDEX(명단표[사번],$P889)&amp;"")</f>
        <v/>
      </c>
      <c r="D889">
        <f>IF($P889="","",INDEX(명단표[전공의등록번호],$P889)&amp;"")</f>
        <v/>
      </c>
      <c r="E889">
        <f>IF($P889="","",INDEX(명단표[수련과목],$P889)&amp;"")</f>
        <v/>
      </c>
      <c r="F889">
        <f>IF($P889="","",INDEX(명단표[연차],$P889)&amp;"")</f>
        <v/>
      </c>
      <c r="G889">
        <f>IF($P889="","",INDEX(명단표[소속병원],$P889))</f>
        <v/>
      </c>
      <c r="H889">
        <f>IF($P889="","",IF(INDEX(명단표[소속병원],$P889)="서울병원","서울 소속","타 병원 소속("&amp;INDEX(명단표[소속병원],$P889)&amp;") → 서울 지급"))</f>
        <v/>
      </c>
      <c r="I889">
        <f>IF($P889="","",INDEX(명단표[현재 근무병원],$P889))</f>
        <v/>
      </c>
      <c r="J889">
        <f>IF($P889="","",INDEX(명단표[구리 근무 시작일(기준월)],$P889)&amp;"")</f>
        <v/>
      </c>
      <c r="K889">
        <f>IF($P889="","",INDEX(명단표[구리 근무 종료일(기준월)],$P889)&amp;"")</f>
        <v/>
      </c>
      <c r="L889">
        <f>IF($P889="","",INDEX(명단표[서울 근무일(기준월)],$P889))</f>
        <v/>
      </c>
      <c r="M889">
        <f>IF($P889="","",INDEX(명단표[구리 근무일(기준월)],$P889))</f>
        <v/>
      </c>
      <c r="N889">
        <f>IF($P889="","",INDEX(명단표[급여 판정 근거],$P889))</f>
        <v/>
      </c>
      <c r="O889">
        <f>IF($P889="","",INDEX(명단표[점검],$P889))</f>
        <v/>
      </c>
      <c r="P889" s="17">
        <f>IFERROR(MATCH(884,명단표[서울순번],0),"")</f>
        <v/>
      </c>
      <c r="R889">
        <f>IF($W889="","",INDEX(명단표[이름],$W889))</f>
        <v/>
      </c>
      <c r="S889">
        <f>IF($W889="","",INDEX(명단표[사번],$W889)&amp;"")</f>
        <v/>
      </c>
      <c r="T889">
        <f>IF($W889="","",INDEX(명단표[소속병원],$W889))</f>
        <v/>
      </c>
      <c r="U889">
        <f>IF($W889="","",INDEX(명단표[서울 근무일(기준월)],$W889))</f>
        <v/>
      </c>
      <c r="V889">
        <f>IF($W889="","",INDEX(명단표[구리 근무일(기준월)],$W889))</f>
        <v/>
      </c>
      <c r="W889" s="17">
        <f>IFERROR(MATCH(884,명단표[판정불가순번],0),"")</f>
        <v/>
      </c>
    </row>
    <row r="890">
      <c r="A890">
        <f>IF($P890="","",885)</f>
        <v/>
      </c>
      <c r="B890">
        <f>IF($P890="","",INDEX(명단표[이름],$P890))</f>
        <v/>
      </c>
      <c r="C890">
        <f>IF($P890="","",INDEX(명단표[사번],$P890)&amp;"")</f>
        <v/>
      </c>
      <c r="D890">
        <f>IF($P890="","",INDEX(명단표[전공의등록번호],$P890)&amp;"")</f>
        <v/>
      </c>
      <c r="E890">
        <f>IF($P890="","",INDEX(명단표[수련과목],$P890)&amp;"")</f>
        <v/>
      </c>
      <c r="F890">
        <f>IF($P890="","",INDEX(명단표[연차],$P890)&amp;"")</f>
        <v/>
      </c>
      <c r="G890">
        <f>IF($P890="","",INDEX(명단표[소속병원],$P890))</f>
        <v/>
      </c>
      <c r="H890">
        <f>IF($P890="","",IF(INDEX(명단표[소속병원],$P890)="서울병원","서울 소속","타 병원 소속("&amp;INDEX(명단표[소속병원],$P890)&amp;") → 서울 지급"))</f>
        <v/>
      </c>
      <c r="I890">
        <f>IF($P890="","",INDEX(명단표[현재 근무병원],$P890))</f>
        <v/>
      </c>
      <c r="J890">
        <f>IF($P890="","",INDEX(명단표[구리 근무 시작일(기준월)],$P890)&amp;"")</f>
        <v/>
      </c>
      <c r="K890">
        <f>IF($P890="","",INDEX(명단표[구리 근무 종료일(기준월)],$P890)&amp;"")</f>
        <v/>
      </c>
      <c r="L890">
        <f>IF($P890="","",INDEX(명단표[서울 근무일(기준월)],$P890))</f>
        <v/>
      </c>
      <c r="M890">
        <f>IF($P890="","",INDEX(명단표[구리 근무일(기준월)],$P890))</f>
        <v/>
      </c>
      <c r="N890">
        <f>IF($P890="","",INDEX(명단표[급여 판정 근거],$P890))</f>
        <v/>
      </c>
      <c r="O890">
        <f>IF($P890="","",INDEX(명단표[점검],$P890))</f>
        <v/>
      </c>
      <c r="P890" s="17">
        <f>IFERROR(MATCH(885,명단표[서울순번],0),"")</f>
        <v/>
      </c>
      <c r="R890">
        <f>IF($W890="","",INDEX(명단표[이름],$W890))</f>
        <v/>
      </c>
      <c r="S890">
        <f>IF($W890="","",INDEX(명단표[사번],$W890)&amp;"")</f>
        <v/>
      </c>
      <c r="T890">
        <f>IF($W890="","",INDEX(명단표[소속병원],$W890))</f>
        <v/>
      </c>
      <c r="U890">
        <f>IF($W890="","",INDEX(명단표[서울 근무일(기준월)],$W890))</f>
        <v/>
      </c>
      <c r="V890">
        <f>IF($W890="","",INDEX(명단표[구리 근무일(기준월)],$W890))</f>
        <v/>
      </c>
      <c r="W890" s="17">
        <f>IFERROR(MATCH(885,명단표[판정불가순번],0),"")</f>
        <v/>
      </c>
    </row>
    <row r="891">
      <c r="A891">
        <f>IF($P891="","",886)</f>
        <v/>
      </c>
      <c r="B891">
        <f>IF($P891="","",INDEX(명단표[이름],$P891))</f>
        <v/>
      </c>
      <c r="C891">
        <f>IF($P891="","",INDEX(명단표[사번],$P891)&amp;"")</f>
        <v/>
      </c>
      <c r="D891">
        <f>IF($P891="","",INDEX(명단표[전공의등록번호],$P891)&amp;"")</f>
        <v/>
      </c>
      <c r="E891">
        <f>IF($P891="","",INDEX(명단표[수련과목],$P891)&amp;"")</f>
        <v/>
      </c>
      <c r="F891">
        <f>IF($P891="","",INDEX(명단표[연차],$P891)&amp;"")</f>
        <v/>
      </c>
      <c r="G891">
        <f>IF($P891="","",INDEX(명단표[소속병원],$P891))</f>
        <v/>
      </c>
      <c r="H891">
        <f>IF($P891="","",IF(INDEX(명단표[소속병원],$P891)="서울병원","서울 소속","타 병원 소속("&amp;INDEX(명단표[소속병원],$P891)&amp;") → 서울 지급"))</f>
        <v/>
      </c>
      <c r="I891">
        <f>IF($P891="","",INDEX(명단표[현재 근무병원],$P891))</f>
        <v/>
      </c>
      <c r="J891">
        <f>IF($P891="","",INDEX(명단표[구리 근무 시작일(기준월)],$P891)&amp;"")</f>
        <v/>
      </c>
      <c r="K891">
        <f>IF($P891="","",INDEX(명단표[구리 근무 종료일(기준월)],$P891)&amp;"")</f>
        <v/>
      </c>
      <c r="L891">
        <f>IF($P891="","",INDEX(명단표[서울 근무일(기준월)],$P891))</f>
        <v/>
      </c>
      <c r="M891">
        <f>IF($P891="","",INDEX(명단표[구리 근무일(기준월)],$P891))</f>
        <v/>
      </c>
      <c r="N891">
        <f>IF($P891="","",INDEX(명단표[급여 판정 근거],$P891))</f>
        <v/>
      </c>
      <c r="O891">
        <f>IF($P891="","",INDEX(명단표[점검],$P891))</f>
        <v/>
      </c>
      <c r="P891" s="17">
        <f>IFERROR(MATCH(886,명단표[서울순번],0),"")</f>
        <v/>
      </c>
      <c r="R891">
        <f>IF($W891="","",INDEX(명단표[이름],$W891))</f>
        <v/>
      </c>
      <c r="S891">
        <f>IF($W891="","",INDEX(명단표[사번],$W891)&amp;"")</f>
        <v/>
      </c>
      <c r="T891">
        <f>IF($W891="","",INDEX(명단표[소속병원],$W891))</f>
        <v/>
      </c>
      <c r="U891">
        <f>IF($W891="","",INDEX(명단표[서울 근무일(기준월)],$W891))</f>
        <v/>
      </c>
      <c r="V891">
        <f>IF($W891="","",INDEX(명단표[구리 근무일(기준월)],$W891))</f>
        <v/>
      </c>
      <c r="W891" s="17">
        <f>IFERROR(MATCH(886,명단표[판정불가순번],0),"")</f>
        <v/>
      </c>
    </row>
    <row r="892">
      <c r="A892">
        <f>IF($P892="","",887)</f>
        <v/>
      </c>
      <c r="B892">
        <f>IF($P892="","",INDEX(명단표[이름],$P892))</f>
        <v/>
      </c>
      <c r="C892">
        <f>IF($P892="","",INDEX(명단표[사번],$P892)&amp;"")</f>
        <v/>
      </c>
      <c r="D892">
        <f>IF($P892="","",INDEX(명단표[전공의등록번호],$P892)&amp;"")</f>
        <v/>
      </c>
      <c r="E892">
        <f>IF($P892="","",INDEX(명단표[수련과목],$P892)&amp;"")</f>
        <v/>
      </c>
      <c r="F892">
        <f>IF($P892="","",INDEX(명단표[연차],$P892)&amp;"")</f>
        <v/>
      </c>
      <c r="G892">
        <f>IF($P892="","",INDEX(명단표[소속병원],$P892))</f>
        <v/>
      </c>
      <c r="H892">
        <f>IF($P892="","",IF(INDEX(명단표[소속병원],$P892)="서울병원","서울 소속","타 병원 소속("&amp;INDEX(명단표[소속병원],$P892)&amp;") → 서울 지급"))</f>
        <v/>
      </c>
      <c r="I892">
        <f>IF($P892="","",INDEX(명단표[현재 근무병원],$P892))</f>
        <v/>
      </c>
      <c r="J892">
        <f>IF($P892="","",INDEX(명단표[구리 근무 시작일(기준월)],$P892)&amp;"")</f>
        <v/>
      </c>
      <c r="K892">
        <f>IF($P892="","",INDEX(명단표[구리 근무 종료일(기준월)],$P892)&amp;"")</f>
        <v/>
      </c>
      <c r="L892">
        <f>IF($P892="","",INDEX(명단표[서울 근무일(기준월)],$P892))</f>
        <v/>
      </c>
      <c r="M892">
        <f>IF($P892="","",INDEX(명단표[구리 근무일(기준월)],$P892))</f>
        <v/>
      </c>
      <c r="N892">
        <f>IF($P892="","",INDEX(명단표[급여 판정 근거],$P892))</f>
        <v/>
      </c>
      <c r="O892">
        <f>IF($P892="","",INDEX(명단표[점검],$P892))</f>
        <v/>
      </c>
      <c r="P892" s="17">
        <f>IFERROR(MATCH(887,명단표[서울순번],0),"")</f>
        <v/>
      </c>
      <c r="R892">
        <f>IF($W892="","",INDEX(명단표[이름],$W892))</f>
        <v/>
      </c>
      <c r="S892">
        <f>IF($W892="","",INDEX(명단표[사번],$W892)&amp;"")</f>
        <v/>
      </c>
      <c r="T892">
        <f>IF($W892="","",INDEX(명단표[소속병원],$W892))</f>
        <v/>
      </c>
      <c r="U892">
        <f>IF($W892="","",INDEX(명단표[서울 근무일(기준월)],$W892))</f>
        <v/>
      </c>
      <c r="V892">
        <f>IF($W892="","",INDEX(명단표[구리 근무일(기준월)],$W892))</f>
        <v/>
      </c>
      <c r="W892" s="17">
        <f>IFERROR(MATCH(887,명단표[판정불가순번],0),"")</f>
        <v/>
      </c>
    </row>
    <row r="893">
      <c r="A893">
        <f>IF($P893="","",888)</f>
        <v/>
      </c>
      <c r="B893">
        <f>IF($P893="","",INDEX(명단표[이름],$P893))</f>
        <v/>
      </c>
      <c r="C893">
        <f>IF($P893="","",INDEX(명단표[사번],$P893)&amp;"")</f>
        <v/>
      </c>
      <c r="D893">
        <f>IF($P893="","",INDEX(명단표[전공의등록번호],$P893)&amp;"")</f>
        <v/>
      </c>
      <c r="E893">
        <f>IF($P893="","",INDEX(명단표[수련과목],$P893)&amp;"")</f>
        <v/>
      </c>
      <c r="F893">
        <f>IF($P893="","",INDEX(명단표[연차],$P893)&amp;"")</f>
        <v/>
      </c>
      <c r="G893">
        <f>IF($P893="","",INDEX(명단표[소속병원],$P893))</f>
        <v/>
      </c>
      <c r="H893">
        <f>IF($P893="","",IF(INDEX(명단표[소속병원],$P893)="서울병원","서울 소속","타 병원 소속("&amp;INDEX(명단표[소속병원],$P893)&amp;") → 서울 지급"))</f>
        <v/>
      </c>
      <c r="I893">
        <f>IF($P893="","",INDEX(명단표[현재 근무병원],$P893))</f>
        <v/>
      </c>
      <c r="J893">
        <f>IF($P893="","",INDEX(명단표[구리 근무 시작일(기준월)],$P893)&amp;"")</f>
        <v/>
      </c>
      <c r="K893">
        <f>IF($P893="","",INDEX(명단표[구리 근무 종료일(기준월)],$P893)&amp;"")</f>
        <v/>
      </c>
      <c r="L893">
        <f>IF($P893="","",INDEX(명단표[서울 근무일(기준월)],$P893))</f>
        <v/>
      </c>
      <c r="M893">
        <f>IF($P893="","",INDEX(명단표[구리 근무일(기준월)],$P893))</f>
        <v/>
      </c>
      <c r="N893">
        <f>IF($P893="","",INDEX(명단표[급여 판정 근거],$P893))</f>
        <v/>
      </c>
      <c r="O893">
        <f>IF($P893="","",INDEX(명단표[점검],$P893))</f>
        <v/>
      </c>
      <c r="P893" s="17">
        <f>IFERROR(MATCH(888,명단표[서울순번],0),"")</f>
        <v/>
      </c>
      <c r="R893">
        <f>IF($W893="","",INDEX(명단표[이름],$W893))</f>
        <v/>
      </c>
      <c r="S893">
        <f>IF($W893="","",INDEX(명단표[사번],$W893)&amp;"")</f>
        <v/>
      </c>
      <c r="T893">
        <f>IF($W893="","",INDEX(명단표[소속병원],$W893))</f>
        <v/>
      </c>
      <c r="U893">
        <f>IF($W893="","",INDEX(명단표[서울 근무일(기준월)],$W893))</f>
        <v/>
      </c>
      <c r="V893">
        <f>IF($W893="","",INDEX(명단표[구리 근무일(기준월)],$W893))</f>
        <v/>
      </c>
      <c r="W893" s="17">
        <f>IFERROR(MATCH(888,명단표[판정불가순번],0),"")</f>
        <v/>
      </c>
    </row>
    <row r="894">
      <c r="A894">
        <f>IF($P894="","",889)</f>
        <v/>
      </c>
      <c r="B894">
        <f>IF($P894="","",INDEX(명단표[이름],$P894))</f>
        <v/>
      </c>
      <c r="C894">
        <f>IF($P894="","",INDEX(명단표[사번],$P894)&amp;"")</f>
        <v/>
      </c>
      <c r="D894">
        <f>IF($P894="","",INDEX(명단표[전공의등록번호],$P894)&amp;"")</f>
        <v/>
      </c>
      <c r="E894">
        <f>IF($P894="","",INDEX(명단표[수련과목],$P894)&amp;"")</f>
        <v/>
      </c>
      <c r="F894">
        <f>IF($P894="","",INDEX(명단표[연차],$P894)&amp;"")</f>
        <v/>
      </c>
      <c r="G894">
        <f>IF($P894="","",INDEX(명단표[소속병원],$P894))</f>
        <v/>
      </c>
      <c r="H894">
        <f>IF($P894="","",IF(INDEX(명단표[소속병원],$P894)="서울병원","서울 소속","타 병원 소속("&amp;INDEX(명단표[소속병원],$P894)&amp;") → 서울 지급"))</f>
        <v/>
      </c>
      <c r="I894">
        <f>IF($P894="","",INDEX(명단표[현재 근무병원],$P894))</f>
        <v/>
      </c>
      <c r="J894">
        <f>IF($P894="","",INDEX(명단표[구리 근무 시작일(기준월)],$P894)&amp;"")</f>
        <v/>
      </c>
      <c r="K894">
        <f>IF($P894="","",INDEX(명단표[구리 근무 종료일(기준월)],$P894)&amp;"")</f>
        <v/>
      </c>
      <c r="L894">
        <f>IF($P894="","",INDEX(명단표[서울 근무일(기준월)],$P894))</f>
        <v/>
      </c>
      <c r="M894">
        <f>IF($P894="","",INDEX(명단표[구리 근무일(기준월)],$P894))</f>
        <v/>
      </c>
      <c r="N894">
        <f>IF($P894="","",INDEX(명단표[급여 판정 근거],$P894))</f>
        <v/>
      </c>
      <c r="O894">
        <f>IF($P894="","",INDEX(명단표[점검],$P894))</f>
        <v/>
      </c>
      <c r="P894" s="17">
        <f>IFERROR(MATCH(889,명단표[서울순번],0),"")</f>
        <v/>
      </c>
      <c r="R894">
        <f>IF($W894="","",INDEX(명단표[이름],$W894))</f>
        <v/>
      </c>
      <c r="S894">
        <f>IF($W894="","",INDEX(명단표[사번],$W894)&amp;"")</f>
        <v/>
      </c>
      <c r="T894">
        <f>IF($W894="","",INDEX(명단표[소속병원],$W894))</f>
        <v/>
      </c>
      <c r="U894">
        <f>IF($W894="","",INDEX(명단표[서울 근무일(기준월)],$W894))</f>
        <v/>
      </c>
      <c r="V894">
        <f>IF($W894="","",INDEX(명단표[구리 근무일(기준월)],$W894))</f>
        <v/>
      </c>
      <c r="W894" s="17">
        <f>IFERROR(MATCH(889,명단표[판정불가순번],0),"")</f>
        <v/>
      </c>
    </row>
    <row r="895">
      <c r="A895">
        <f>IF($P895="","",890)</f>
        <v/>
      </c>
      <c r="B895">
        <f>IF($P895="","",INDEX(명단표[이름],$P895))</f>
        <v/>
      </c>
      <c r="C895">
        <f>IF($P895="","",INDEX(명단표[사번],$P895)&amp;"")</f>
        <v/>
      </c>
      <c r="D895">
        <f>IF($P895="","",INDEX(명단표[전공의등록번호],$P895)&amp;"")</f>
        <v/>
      </c>
      <c r="E895">
        <f>IF($P895="","",INDEX(명단표[수련과목],$P895)&amp;"")</f>
        <v/>
      </c>
      <c r="F895">
        <f>IF($P895="","",INDEX(명단표[연차],$P895)&amp;"")</f>
        <v/>
      </c>
      <c r="G895">
        <f>IF($P895="","",INDEX(명단표[소속병원],$P895))</f>
        <v/>
      </c>
      <c r="H895">
        <f>IF($P895="","",IF(INDEX(명단표[소속병원],$P895)="서울병원","서울 소속","타 병원 소속("&amp;INDEX(명단표[소속병원],$P895)&amp;") → 서울 지급"))</f>
        <v/>
      </c>
      <c r="I895">
        <f>IF($P895="","",INDEX(명단표[현재 근무병원],$P895))</f>
        <v/>
      </c>
      <c r="J895">
        <f>IF($P895="","",INDEX(명단표[구리 근무 시작일(기준월)],$P895)&amp;"")</f>
        <v/>
      </c>
      <c r="K895">
        <f>IF($P895="","",INDEX(명단표[구리 근무 종료일(기준월)],$P895)&amp;"")</f>
        <v/>
      </c>
      <c r="L895">
        <f>IF($P895="","",INDEX(명단표[서울 근무일(기준월)],$P895))</f>
        <v/>
      </c>
      <c r="M895">
        <f>IF($P895="","",INDEX(명단표[구리 근무일(기준월)],$P895))</f>
        <v/>
      </c>
      <c r="N895">
        <f>IF($P895="","",INDEX(명단표[급여 판정 근거],$P895))</f>
        <v/>
      </c>
      <c r="O895">
        <f>IF($P895="","",INDEX(명단표[점검],$P895))</f>
        <v/>
      </c>
      <c r="P895" s="17">
        <f>IFERROR(MATCH(890,명단표[서울순번],0),"")</f>
        <v/>
      </c>
      <c r="R895">
        <f>IF($W895="","",INDEX(명단표[이름],$W895))</f>
        <v/>
      </c>
      <c r="S895">
        <f>IF($W895="","",INDEX(명단표[사번],$W895)&amp;"")</f>
        <v/>
      </c>
      <c r="T895">
        <f>IF($W895="","",INDEX(명단표[소속병원],$W895))</f>
        <v/>
      </c>
      <c r="U895">
        <f>IF($W895="","",INDEX(명단표[서울 근무일(기준월)],$W895))</f>
        <v/>
      </c>
      <c r="V895">
        <f>IF($W895="","",INDEX(명단표[구리 근무일(기준월)],$W895))</f>
        <v/>
      </c>
      <c r="W895" s="17">
        <f>IFERROR(MATCH(890,명단표[판정불가순번],0),"")</f>
        <v/>
      </c>
    </row>
    <row r="896">
      <c r="A896">
        <f>IF($P896="","",891)</f>
        <v/>
      </c>
      <c r="B896">
        <f>IF($P896="","",INDEX(명단표[이름],$P896))</f>
        <v/>
      </c>
      <c r="C896">
        <f>IF($P896="","",INDEX(명단표[사번],$P896)&amp;"")</f>
        <v/>
      </c>
      <c r="D896">
        <f>IF($P896="","",INDEX(명단표[전공의등록번호],$P896)&amp;"")</f>
        <v/>
      </c>
      <c r="E896">
        <f>IF($P896="","",INDEX(명단표[수련과목],$P896)&amp;"")</f>
        <v/>
      </c>
      <c r="F896">
        <f>IF($P896="","",INDEX(명단표[연차],$P896)&amp;"")</f>
        <v/>
      </c>
      <c r="G896">
        <f>IF($P896="","",INDEX(명단표[소속병원],$P896))</f>
        <v/>
      </c>
      <c r="H896">
        <f>IF($P896="","",IF(INDEX(명단표[소속병원],$P896)="서울병원","서울 소속","타 병원 소속("&amp;INDEX(명단표[소속병원],$P896)&amp;") → 서울 지급"))</f>
        <v/>
      </c>
      <c r="I896">
        <f>IF($P896="","",INDEX(명단표[현재 근무병원],$P896))</f>
        <v/>
      </c>
      <c r="J896">
        <f>IF($P896="","",INDEX(명단표[구리 근무 시작일(기준월)],$P896)&amp;"")</f>
        <v/>
      </c>
      <c r="K896">
        <f>IF($P896="","",INDEX(명단표[구리 근무 종료일(기준월)],$P896)&amp;"")</f>
        <v/>
      </c>
      <c r="L896">
        <f>IF($P896="","",INDEX(명단표[서울 근무일(기준월)],$P896))</f>
        <v/>
      </c>
      <c r="M896">
        <f>IF($P896="","",INDEX(명단표[구리 근무일(기준월)],$P896))</f>
        <v/>
      </c>
      <c r="N896">
        <f>IF($P896="","",INDEX(명단표[급여 판정 근거],$P896))</f>
        <v/>
      </c>
      <c r="O896">
        <f>IF($P896="","",INDEX(명단표[점검],$P896))</f>
        <v/>
      </c>
      <c r="P896" s="17">
        <f>IFERROR(MATCH(891,명단표[서울순번],0),"")</f>
        <v/>
      </c>
      <c r="R896">
        <f>IF($W896="","",INDEX(명단표[이름],$W896))</f>
        <v/>
      </c>
      <c r="S896">
        <f>IF($W896="","",INDEX(명단표[사번],$W896)&amp;"")</f>
        <v/>
      </c>
      <c r="T896">
        <f>IF($W896="","",INDEX(명단표[소속병원],$W896))</f>
        <v/>
      </c>
      <c r="U896">
        <f>IF($W896="","",INDEX(명단표[서울 근무일(기준월)],$W896))</f>
        <v/>
      </c>
      <c r="V896">
        <f>IF($W896="","",INDEX(명단표[구리 근무일(기준월)],$W896))</f>
        <v/>
      </c>
      <c r="W896" s="17">
        <f>IFERROR(MATCH(891,명단표[판정불가순번],0),"")</f>
        <v/>
      </c>
    </row>
    <row r="897">
      <c r="A897">
        <f>IF($P897="","",892)</f>
        <v/>
      </c>
      <c r="B897">
        <f>IF($P897="","",INDEX(명단표[이름],$P897))</f>
        <v/>
      </c>
      <c r="C897">
        <f>IF($P897="","",INDEX(명단표[사번],$P897)&amp;"")</f>
        <v/>
      </c>
      <c r="D897">
        <f>IF($P897="","",INDEX(명단표[전공의등록번호],$P897)&amp;"")</f>
        <v/>
      </c>
      <c r="E897">
        <f>IF($P897="","",INDEX(명단표[수련과목],$P897)&amp;"")</f>
        <v/>
      </c>
      <c r="F897">
        <f>IF($P897="","",INDEX(명단표[연차],$P897)&amp;"")</f>
        <v/>
      </c>
      <c r="G897">
        <f>IF($P897="","",INDEX(명단표[소속병원],$P897))</f>
        <v/>
      </c>
      <c r="H897">
        <f>IF($P897="","",IF(INDEX(명단표[소속병원],$P897)="서울병원","서울 소속","타 병원 소속("&amp;INDEX(명단표[소속병원],$P897)&amp;") → 서울 지급"))</f>
        <v/>
      </c>
      <c r="I897">
        <f>IF($P897="","",INDEX(명단표[현재 근무병원],$P897))</f>
        <v/>
      </c>
      <c r="J897">
        <f>IF($P897="","",INDEX(명단표[구리 근무 시작일(기준월)],$P897)&amp;"")</f>
        <v/>
      </c>
      <c r="K897">
        <f>IF($P897="","",INDEX(명단표[구리 근무 종료일(기준월)],$P897)&amp;"")</f>
        <v/>
      </c>
      <c r="L897">
        <f>IF($P897="","",INDEX(명단표[서울 근무일(기준월)],$P897))</f>
        <v/>
      </c>
      <c r="M897">
        <f>IF($P897="","",INDEX(명단표[구리 근무일(기준월)],$P897))</f>
        <v/>
      </c>
      <c r="N897">
        <f>IF($P897="","",INDEX(명단표[급여 판정 근거],$P897))</f>
        <v/>
      </c>
      <c r="O897">
        <f>IF($P897="","",INDEX(명단표[점검],$P897))</f>
        <v/>
      </c>
      <c r="P897" s="17">
        <f>IFERROR(MATCH(892,명단표[서울순번],0),"")</f>
        <v/>
      </c>
      <c r="R897">
        <f>IF($W897="","",INDEX(명단표[이름],$W897))</f>
        <v/>
      </c>
      <c r="S897">
        <f>IF($W897="","",INDEX(명단표[사번],$W897)&amp;"")</f>
        <v/>
      </c>
      <c r="T897">
        <f>IF($W897="","",INDEX(명단표[소속병원],$W897))</f>
        <v/>
      </c>
      <c r="U897">
        <f>IF($W897="","",INDEX(명단표[서울 근무일(기준월)],$W897))</f>
        <v/>
      </c>
      <c r="V897">
        <f>IF($W897="","",INDEX(명단표[구리 근무일(기준월)],$W897))</f>
        <v/>
      </c>
      <c r="W897" s="17">
        <f>IFERROR(MATCH(892,명단표[판정불가순번],0),"")</f>
        <v/>
      </c>
    </row>
    <row r="898">
      <c r="A898">
        <f>IF($P898="","",893)</f>
        <v/>
      </c>
      <c r="B898">
        <f>IF($P898="","",INDEX(명단표[이름],$P898))</f>
        <v/>
      </c>
      <c r="C898">
        <f>IF($P898="","",INDEX(명단표[사번],$P898)&amp;"")</f>
        <v/>
      </c>
      <c r="D898">
        <f>IF($P898="","",INDEX(명단표[전공의등록번호],$P898)&amp;"")</f>
        <v/>
      </c>
      <c r="E898">
        <f>IF($P898="","",INDEX(명단표[수련과목],$P898)&amp;"")</f>
        <v/>
      </c>
      <c r="F898">
        <f>IF($P898="","",INDEX(명단표[연차],$P898)&amp;"")</f>
        <v/>
      </c>
      <c r="G898">
        <f>IF($P898="","",INDEX(명단표[소속병원],$P898))</f>
        <v/>
      </c>
      <c r="H898">
        <f>IF($P898="","",IF(INDEX(명단표[소속병원],$P898)="서울병원","서울 소속","타 병원 소속("&amp;INDEX(명단표[소속병원],$P898)&amp;") → 서울 지급"))</f>
        <v/>
      </c>
      <c r="I898">
        <f>IF($P898="","",INDEX(명단표[현재 근무병원],$P898))</f>
        <v/>
      </c>
      <c r="J898">
        <f>IF($P898="","",INDEX(명단표[구리 근무 시작일(기준월)],$P898)&amp;"")</f>
        <v/>
      </c>
      <c r="K898">
        <f>IF($P898="","",INDEX(명단표[구리 근무 종료일(기준월)],$P898)&amp;"")</f>
        <v/>
      </c>
      <c r="L898">
        <f>IF($P898="","",INDEX(명단표[서울 근무일(기준월)],$P898))</f>
        <v/>
      </c>
      <c r="M898">
        <f>IF($P898="","",INDEX(명단표[구리 근무일(기준월)],$P898))</f>
        <v/>
      </c>
      <c r="N898">
        <f>IF($P898="","",INDEX(명단표[급여 판정 근거],$P898))</f>
        <v/>
      </c>
      <c r="O898">
        <f>IF($P898="","",INDEX(명단표[점검],$P898))</f>
        <v/>
      </c>
      <c r="P898" s="17">
        <f>IFERROR(MATCH(893,명단표[서울순번],0),"")</f>
        <v/>
      </c>
      <c r="R898">
        <f>IF($W898="","",INDEX(명단표[이름],$W898))</f>
        <v/>
      </c>
      <c r="S898">
        <f>IF($W898="","",INDEX(명단표[사번],$W898)&amp;"")</f>
        <v/>
      </c>
      <c r="T898">
        <f>IF($W898="","",INDEX(명단표[소속병원],$W898))</f>
        <v/>
      </c>
      <c r="U898">
        <f>IF($W898="","",INDEX(명단표[서울 근무일(기준월)],$W898))</f>
        <v/>
      </c>
      <c r="V898">
        <f>IF($W898="","",INDEX(명단표[구리 근무일(기준월)],$W898))</f>
        <v/>
      </c>
      <c r="W898" s="17">
        <f>IFERROR(MATCH(893,명단표[판정불가순번],0),"")</f>
        <v/>
      </c>
    </row>
    <row r="899">
      <c r="A899">
        <f>IF($P899="","",894)</f>
        <v/>
      </c>
      <c r="B899">
        <f>IF($P899="","",INDEX(명단표[이름],$P899))</f>
        <v/>
      </c>
      <c r="C899">
        <f>IF($P899="","",INDEX(명단표[사번],$P899)&amp;"")</f>
        <v/>
      </c>
      <c r="D899">
        <f>IF($P899="","",INDEX(명단표[전공의등록번호],$P899)&amp;"")</f>
        <v/>
      </c>
      <c r="E899">
        <f>IF($P899="","",INDEX(명단표[수련과목],$P899)&amp;"")</f>
        <v/>
      </c>
      <c r="F899">
        <f>IF($P899="","",INDEX(명단표[연차],$P899)&amp;"")</f>
        <v/>
      </c>
      <c r="G899">
        <f>IF($P899="","",INDEX(명단표[소속병원],$P899))</f>
        <v/>
      </c>
      <c r="H899">
        <f>IF($P899="","",IF(INDEX(명단표[소속병원],$P899)="서울병원","서울 소속","타 병원 소속("&amp;INDEX(명단표[소속병원],$P899)&amp;") → 서울 지급"))</f>
        <v/>
      </c>
      <c r="I899">
        <f>IF($P899="","",INDEX(명단표[현재 근무병원],$P899))</f>
        <v/>
      </c>
      <c r="J899">
        <f>IF($P899="","",INDEX(명단표[구리 근무 시작일(기준월)],$P899)&amp;"")</f>
        <v/>
      </c>
      <c r="K899">
        <f>IF($P899="","",INDEX(명단표[구리 근무 종료일(기준월)],$P899)&amp;"")</f>
        <v/>
      </c>
      <c r="L899">
        <f>IF($P899="","",INDEX(명단표[서울 근무일(기준월)],$P899))</f>
        <v/>
      </c>
      <c r="M899">
        <f>IF($P899="","",INDEX(명단표[구리 근무일(기준월)],$P899))</f>
        <v/>
      </c>
      <c r="N899">
        <f>IF($P899="","",INDEX(명단표[급여 판정 근거],$P899))</f>
        <v/>
      </c>
      <c r="O899">
        <f>IF($P899="","",INDEX(명단표[점검],$P899))</f>
        <v/>
      </c>
      <c r="P899" s="17">
        <f>IFERROR(MATCH(894,명단표[서울순번],0),"")</f>
        <v/>
      </c>
      <c r="R899">
        <f>IF($W899="","",INDEX(명단표[이름],$W899))</f>
        <v/>
      </c>
      <c r="S899">
        <f>IF($W899="","",INDEX(명단표[사번],$W899)&amp;"")</f>
        <v/>
      </c>
      <c r="T899">
        <f>IF($W899="","",INDEX(명단표[소속병원],$W899))</f>
        <v/>
      </c>
      <c r="U899">
        <f>IF($W899="","",INDEX(명단표[서울 근무일(기준월)],$W899))</f>
        <v/>
      </c>
      <c r="V899">
        <f>IF($W899="","",INDEX(명단표[구리 근무일(기준월)],$W899))</f>
        <v/>
      </c>
      <c r="W899" s="17">
        <f>IFERROR(MATCH(894,명단표[판정불가순번],0),"")</f>
        <v/>
      </c>
    </row>
    <row r="900">
      <c r="A900">
        <f>IF($P900="","",895)</f>
        <v/>
      </c>
      <c r="B900">
        <f>IF($P900="","",INDEX(명단표[이름],$P900))</f>
        <v/>
      </c>
      <c r="C900">
        <f>IF($P900="","",INDEX(명단표[사번],$P900)&amp;"")</f>
        <v/>
      </c>
      <c r="D900">
        <f>IF($P900="","",INDEX(명단표[전공의등록번호],$P900)&amp;"")</f>
        <v/>
      </c>
      <c r="E900">
        <f>IF($P900="","",INDEX(명단표[수련과목],$P900)&amp;"")</f>
        <v/>
      </c>
      <c r="F900">
        <f>IF($P900="","",INDEX(명단표[연차],$P900)&amp;"")</f>
        <v/>
      </c>
      <c r="G900">
        <f>IF($P900="","",INDEX(명단표[소속병원],$P900))</f>
        <v/>
      </c>
      <c r="H900">
        <f>IF($P900="","",IF(INDEX(명단표[소속병원],$P900)="서울병원","서울 소속","타 병원 소속("&amp;INDEX(명단표[소속병원],$P900)&amp;") → 서울 지급"))</f>
        <v/>
      </c>
      <c r="I900">
        <f>IF($P900="","",INDEX(명단표[현재 근무병원],$P900))</f>
        <v/>
      </c>
      <c r="J900">
        <f>IF($P900="","",INDEX(명단표[구리 근무 시작일(기준월)],$P900)&amp;"")</f>
        <v/>
      </c>
      <c r="K900">
        <f>IF($P900="","",INDEX(명단표[구리 근무 종료일(기준월)],$P900)&amp;"")</f>
        <v/>
      </c>
      <c r="L900">
        <f>IF($P900="","",INDEX(명단표[서울 근무일(기준월)],$P900))</f>
        <v/>
      </c>
      <c r="M900">
        <f>IF($P900="","",INDEX(명단표[구리 근무일(기준월)],$P900))</f>
        <v/>
      </c>
      <c r="N900">
        <f>IF($P900="","",INDEX(명단표[급여 판정 근거],$P900))</f>
        <v/>
      </c>
      <c r="O900">
        <f>IF($P900="","",INDEX(명단표[점검],$P900))</f>
        <v/>
      </c>
      <c r="P900" s="17">
        <f>IFERROR(MATCH(895,명단표[서울순번],0),"")</f>
        <v/>
      </c>
      <c r="R900">
        <f>IF($W900="","",INDEX(명단표[이름],$W900))</f>
        <v/>
      </c>
      <c r="S900">
        <f>IF($W900="","",INDEX(명단표[사번],$W900)&amp;"")</f>
        <v/>
      </c>
      <c r="T900">
        <f>IF($W900="","",INDEX(명단표[소속병원],$W900))</f>
        <v/>
      </c>
      <c r="U900">
        <f>IF($W900="","",INDEX(명단표[서울 근무일(기준월)],$W900))</f>
        <v/>
      </c>
      <c r="V900">
        <f>IF($W900="","",INDEX(명단표[구리 근무일(기준월)],$W900))</f>
        <v/>
      </c>
      <c r="W900" s="17">
        <f>IFERROR(MATCH(895,명단표[판정불가순번],0),"")</f>
        <v/>
      </c>
    </row>
    <row r="901">
      <c r="A901">
        <f>IF($P901="","",896)</f>
        <v/>
      </c>
      <c r="B901">
        <f>IF($P901="","",INDEX(명단표[이름],$P901))</f>
        <v/>
      </c>
      <c r="C901">
        <f>IF($P901="","",INDEX(명단표[사번],$P901)&amp;"")</f>
        <v/>
      </c>
      <c r="D901">
        <f>IF($P901="","",INDEX(명단표[전공의등록번호],$P901)&amp;"")</f>
        <v/>
      </c>
      <c r="E901">
        <f>IF($P901="","",INDEX(명단표[수련과목],$P901)&amp;"")</f>
        <v/>
      </c>
      <c r="F901">
        <f>IF($P901="","",INDEX(명단표[연차],$P901)&amp;"")</f>
        <v/>
      </c>
      <c r="G901">
        <f>IF($P901="","",INDEX(명단표[소속병원],$P901))</f>
        <v/>
      </c>
      <c r="H901">
        <f>IF($P901="","",IF(INDEX(명단표[소속병원],$P901)="서울병원","서울 소속","타 병원 소속("&amp;INDEX(명단표[소속병원],$P901)&amp;") → 서울 지급"))</f>
        <v/>
      </c>
      <c r="I901">
        <f>IF($P901="","",INDEX(명단표[현재 근무병원],$P901))</f>
        <v/>
      </c>
      <c r="J901">
        <f>IF($P901="","",INDEX(명단표[구리 근무 시작일(기준월)],$P901)&amp;"")</f>
        <v/>
      </c>
      <c r="K901">
        <f>IF($P901="","",INDEX(명단표[구리 근무 종료일(기준월)],$P901)&amp;"")</f>
        <v/>
      </c>
      <c r="L901">
        <f>IF($P901="","",INDEX(명단표[서울 근무일(기준월)],$P901))</f>
        <v/>
      </c>
      <c r="M901">
        <f>IF($P901="","",INDEX(명단표[구리 근무일(기준월)],$P901))</f>
        <v/>
      </c>
      <c r="N901">
        <f>IF($P901="","",INDEX(명단표[급여 판정 근거],$P901))</f>
        <v/>
      </c>
      <c r="O901">
        <f>IF($P901="","",INDEX(명단표[점검],$P901))</f>
        <v/>
      </c>
      <c r="P901" s="17">
        <f>IFERROR(MATCH(896,명단표[서울순번],0),"")</f>
        <v/>
      </c>
      <c r="R901">
        <f>IF($W901="","",INDEX(명단표[이름],$W901))</f>
        <v/>
      </c>
      <c r="S901">
        <f>IF($W901="","",INDEX(명단표[사번],$W901)&amp;"")</f>
        <v/>
      </c>
      <c r="T901">
        <f>IF($W901="","",INDEX(명단표[소속병원],$W901))</f>
        <v/>
      </c>
      <c r="U901">
        <f>IF($W901="","",INDEX(명단표[서울 근무일(기준월)],$W901))</f>
        <v/>
      </c>
      <c r="V901">
        <f>IF($W901="","",INDEX(명단표[구리 근무일(기준월)],$W901))</f>
        <v/>
      </c>
      <c r="W901" s="17">
        <f>IFERROR(MATCH(896,명단표[판정불가순번],0),"")</f>
        <v/>
      </c>
    </row>
    <row r="902">
      <c r="A902">
        <f>IF($P902="","",897)</f>
        <v/>
      </c>
      <c r="B902">
        <f>IF($P902="","",INDEX(명단표[이름],$P902))</f>
        <v/>
      </c>
      <c r="C902">
        <f>IF($P902="","",INDEX(명단표[사번],$P902)&amp;"")</f>
        <v/>
      </c>
      <c r="D902">
        <f>IF($P902="","",INDEX(명단표[전공의등록번호],$P902)&amp;"")</f>
        <v/>
      </c>
      <c r="E902">
        <f>IF($P902="","",INDEX(명단표[수련과목],$P902)&amp;"")</f>
        <v/>
      </c>
      <c r="F902">
        <f>IF($P902="","",INDEX(명단표[연차],$P902)&amp;"")</f>
        <v/>
      </c>
      <c r="G902">
        <f>IF($P902="","",INDEX(명단표[소속병원],$P902))</f>
        <v/>
      </c>
      <c r="H902">
        <f>IF($P902="","",IF(INDEX(명단표[소속병원],$P902)="서울병원","서울 소속","타 병원 소속("&amp;INDEX(명단표[소속병원],$P902)&amp;") → 서울 지급"))</f>
        <v/>
      </c>
      <c r="I902">
        <f>IF($P902="","",INDEX(명단표[현재 근무병원],$P902))</f>
        <v/>
      </c>
      <c r="J902">
        <f>IF($P902="","",INDEX(명단표[구리 근무 시작일(기준월)],$P902)&amp;"")</f>
        <v/>
      </c>
      <c r="K902">
        <f>IF($P902="","",INDEX(명단표[구리 근무 종료일(기준월)],$P902)&amp;"")</f>
        <v/>
      </c>
      <c r="L902">
        <f>IF($P902="","",INDEX(명단표[서울 근무일(기준월)],$P902))</f>
        <v/>
      </c>
      <c r="M902">
        <f>IF($P902="","",INDEX(명단표[구리 근무일(기준월)],$P902))</f>
        <v/>
      </c>
      <c r="N902">
        <f>IF($P902="","",INDEX(명단표[급여 판정 근거],$P902))</f>
        <v/>
      </c>
      <c r="O902">
        <f>IF($P902="","",INDEX(명단표[점검],$P902))</f>
        <v/>
      </c>
      <c r="P902" s="17">
        <f>IFERROR(MATCH(897,명단표[서울순번],0),"")</f>
        <v/>
      </c>
      <c r="R902">
        <f>IF($W902="","",INDEX(명단표[이름],$W902))</f>
        <v/>
      </c>
      <c r="S902">
        <f>IF($W902="","",INDEX(명단표[사번],$W902)&amp;"")</f>
        <v/>
      </c>
      <c r="T902">
        <f>IF($W902="","",INDEX(명단표[소속병원],$W902))</f>
        <v/>
      </c>
      <c r="U902">
        <f>IF($W902="","",INDEX(명단표[서울 근무일(기준월)],$W902))</f>
        <v/>
      </c>
      <c r="V902">
        <f>IF($W902="","",INDEX(명단표[구리 근무일(기준월)],$W902))</f>
        <v/>
      </c>
      <c r="W902" s="17">
        <f>IFERROR(MATCH(897,명단표[판정불가순번],0),"")</f>
        <v/>
      </c>
    </row>
    <row r="903">
      <c r="A903">
        <f>IF($P903="","",898)</f>
        <v/>
      </c>
      <c r="B903">
        <f>IF($P903="","",INDEX(명단표[이름],$P903))</f>
        <v/>
      </c>
      <c r="C903">
        <f>IF($P903="","",INDEX(명단표[사번],$P903)&amp;"")</f>
        <v/>
      </c>
      <c r="D903">
        <f>IF($P903="","",INDEX(명단표[전공의등록번호],$P903)&amp;"")</f>
        <v/>
      </c>
      <c r="E903">
        <f>IF($P903="","",INDEX(명단표[수련과목],$P903)&amp;"")</f>
        <v/>
      </c>
      <c r="F903">
        <f>IF($P903="","",INDEX(명단표[연차],$P903)&amp;"")</f>
        <v/>
      </c>
      <c r="G903">
        <f>IF($P903="","",INDEX(명단표[소속병원],$P903))</f>
        <v/>
      </c>
      <c r="H903">
        <f>IF($P903="","",IF(INDEX(명단표[소속병원],$P903)="서울병원","서울 소속","타 병원 소속("&amp;INDEX(명단표[소속병원],$P903)&amp;") → 서울 지급"))</f>
        <v/>
      </c>
      <c r="I903">
        <f>IF($P903="","",INDEX(명단표[현재 근무병원],$P903))</f>
        <v/>
      </c>
      <c r="J903">
        <f>IF($P903="","",INDEX(명단표[구리 근무 시작일(기준월)],$P903)&amp;"")</f>
        <v/>
      </c>
      <c r="K903">
        <f>IF($P903="","",INDEX(명단표[구리 근무 종료일(기준월)],$P903)&amp;"")</f>
        <v/>
      </c>
      <c r="L903">
        <f>IF($P903="","",INDEX(명단표[서울 근무일(기준월)],$P903))</f>
        <v/>
      </c>
      <c r="M903">
        <f>IF($P903="","",INDEX(명단표[구리 근무일(기준월)],$P903))</f>
        <v/>
      </c>
      <c r="N903">
        <f>IF($P903="","",INDEX(명단표[급여 판정 근거],$P903))</f>
        <v/>
      </c>
      <c r="O903">
        <f>IF($P903="","",INDEX(명단표[점검],$P903))</f>
        <v/>
      </c>
      <c r="P903" s="17">
        <f>IFERROR(MATCH(898,명단표[서울순번],0),"")</f>
        <v/>
      </c>
      <c r="R903">
        <f>IF($W903="","",INDEX(명단표[이름],$W903))</f>
        <v/>
      </c>
      <c r="S903">
        <f>IF($W903="","",INDEX(명단표[사번],$W903)&amp;"")</f>
        <v/>
      </c>
      <c r="T903">
        <f>IF($W903="","",INDEX(명단표[소속병원],$W903))</f>
        <v/>
      </c>
      <c r="U903">
        <f>IF($W903="","",INDEX(명단표[서울 근무일(기준월)],$W903))</f>
        <v/>
      </c>
      <c r="V903">
        <f>IF($W903="","",INDEX(명단표[구리 근무일(기준월)],$W903))</f>
        <v/>
      </c>
      <c r="W903" s="17">
        <f>IFERROR(MATCH(898,명단표[판정불가순번],0),"")</f>
        <v/>
      </c>
    </row>
    <row r="904">
      <c r="A904">
        <f>IF($P904="","",899)</f>
        <v/>
      </c>
      <c r="B904">
        <f>IF($P904="","",INDEX(명단표[이름],$P904))</f>
        <v/>
      </c>
      <c r="C904">
        <f>IF($P904="","",INDEX(명단표[사번],$P904)&amp;"")</f>
        <v/>
      </c>
      <c r="D904">
        <f>IF($P904="","",INDEX(명단표[전공의등록번호],$P904)&amp;"")</f>
        <v/>
      </c>
      <c r="E904">
        <f>IF($P904="","",INDEX(명단표[수련과목],$P904)&amp;"")</f>
        <v/>
      </c>
      <c r="F904">
        <f>IF($P904="","",INDEX(명단표[연차],$P904)&amp;"")</f>
        <v/>
      </c>
      <c r="G904">
        <f>IF($P904="","",INDEX(명단표[소속병원],$P904))</f>
        <v/>
      </c>
      <c r="H904">
        <f>IF($P904="","",IF(INDEX(명단표[소속병원],$P904)="서울병원","서울 소속","타 병원 소속("&amp;INDEX(명단표[소속병원],$P904)&amp;") → 서울 지급"))</f>
        <v/>
      </c>
      <c r="I904">
        <f>IF($P904="","",INDEX(명단표[현재 근무병원],$P904))</f>
        <v/>
      </c>
      <c r="J904">
        <f>IF($P904="","",INDEX(명단표[구리 근무 시작일(기준월)],$P904)&amp;"")</f>
        <v/>
      </c>
      <c r="K904">
        <f>IF($P904="","",INDEX(명단표[구리 근무 종료일(기준월)],$P904)&amp;"")</f>
        <v/>
      </c>
      <c r="L904">
        <f>IF($P904="","",INDEX(명단표[서울 근무일(기준월)],$P904))</f>
        <v/>
      </c>
      <c r="M904">
        <f>IF($P904="","",INDEX(명단표[구리 근무일(기준월)],$P904))</f>
        <v/>
      </c>
      <c r="N904">
        <f>IF($P904="","",INDEX(명단표[급여 판정 근거],$P904))</f>
        <v/>
      </c>
      <c r="O904">
        <f>IF($P904="","",INDEX(명단표[점검],$P904))</f>
        <v/>
      </c>
      <c r="P904" s="17">
        <f>IFERROR(MATCH(899,명단표[서울순번],0),"")</f>
        <v/>
      </c>
      <c r="R904">
        <f>IF($W904="","",INDEX(명단표[이름],$W904))</f>
        <v/>
      </c>
      <c r="S904">
        <f>IF($W904="","",INDEX(명단표[사번],$W904)&amp;"")</f>
        <v/>
      </c>
      <c r="T904">
        <f>IF($W904="","",INDEX(명단표[소속병원],$W904))</f>
        <v/>
      </c>
      <c r="U904">
        <f>IF($W904="","",INDEX(명단표[서울 근무일(기준월)],$W904))</f>
        <v/>
      </c>
      <c r="V904">
        <f>IF($W904="","",INDEX(명단표[구리 근무일(기준월)],$W904))</f>
        <v/>
      </c>
      <c r="W904" s="17">
        <f>IFERROR(MATCH(899,명단표[판정불가순번],0),"")</f>
        <v/>
      </c>
    </row>
    <row r="905">
      <c r="A905">
        <f>IF($P905="","",900)</f>
        <v/>
      </c>
      <c r="B905">
        <f>IF($P905="","",INDEX(명단표[이름],$P905))</f>
        <v/>
      </c>
      <c r="C905">
        <f>IF($P905="","",INDEX(명단표[사번],$P905)&amp;"")</f>
        <v/>
      </c>
      <c r="D905">
        <f>IF($P905="","",INDEX(명단표[전공의등록번호],$P905)&amp;"")</f>
        <v/>
      </c>
      <c r="E905">
        <f>IF($P905="","",INDEX(명단표[수련과목],$P905)&amp;"")</f>
        <v/>
      </c>
      <c r="F905">
        <f>IF($P905="","",INDEX(명단표[연차],$P905)&amp;"")</f>
        <v/>
      </c>
      <c r="G905">
        <f>IF($P905="","",INDEX(명단표[소속병원],$P905))</f>
        <v/>
      </c>
      <c r="H905">
        <f>IF($P905="","",IF(INDEX(명단표[소속병원],$P905)="서울병원","서울 소속","타 병원 소속("&amp;INDEX(명단표[소속병원],$P905)&amp;") → 서울 지급"))</f>
        <v/>
      </c>
      <c r="I905">
        <f>IF($P905="","",INDEX(명단표[현재 근무병원],$P905))</f>
        <v/>
      </c>
      <c r="J905">
        <f>IF($P905="","",INDEX(명단표[구리 근무 시작일(기준월)],$P905)&amp;"")</f>
        <v/>
      </c>
      <c r="K905">
        <f>IF($P905="","",INDEX(명단표[구리 근무 종료일(기준월)],$P905)&amp;"")</f>
        <v/>
      </c>
      <c r="L905">
        <f>IF($P905="","",INDEX(명단표[서울 근무일(기준월)],$P905))</f>
        <v/>
      </c>
      <c r="M905">
        <f>IF($P905="","",INDEX(명단표[구리 근무일(기준월)],$P905))</f>
        <v/>
      </c>
      <c r="N905">
        <f>IF($P905="","",INDEX(명단표[급여 판정 근거],$P905))</f>
        <v/>
      </c>
      <c r="O905">
        <f>IF($P905="","",INDEX(명단표[점검],$P905))</f>
        <v/>
      </c>
      <c r="P905" s="17">
        <f>IFERROR(MATCH(900,명단표[서울순번],0),"")</f>
        <v/>
      </c>
      <c r="R905">
        <f>IF($W905="","",INDEX(명단표[이름],$W905))</f>
        <v/>
      </c>
      <c r="S905">
        <f>IF($W905="","",INDEX(명단표[사번],$W905)&amp;"")</f>
        <v/>
      </c>
      <c r="T905">
        <f>IF($W905="","",INDEX(명단표[소속병원],$W905))</f>
        <v/>
      </c>
      <c r="U905">
        <f>IF($W905="","",INDEX(명단표[서울 근무일(기준월)],$W905))</f>
        <v/>
      </c>
      <c r="V905">
        <f>IF($W905="","",INDEX(명단표[구리 근무일(기준월)],$W905))</f>
        <v/>
      </c>
      <c r="W905" s="17">
        <f>IFERROR(MATCH(900,명단표[판정불가순번],0),"")</f>
        <v/>
      </c>
    </row>
    <row r="906">
      <c r="A906">
        <f>IF($P906="","",901)</f>
        <v/>
      </c>
      <c r="B906">
        <f>IF($P906="","",INDEX(명단표[이름],$P906))</f>
        <v/>
      </c>
      <c r="C906">
        <f>IF($P906="","",INDEX(명단표[사번],$P906)&amp;"")</f>
        <v/>
      </c>
      <c r="D906">
        <f>IF($P906="","",INDEX(명단표[전공의등록번호],$P906)&amp;"")</f>
        <v/>
      </c>
      <c r="E906">
        <f>IF($P906="","",INDEX(명단표[수련과목],$P906)&amp;"")</f>
        <v/>
      </c>
      <c r="F906">
        <f>IF($P906="","",INDEX(명단표[연차],$P906)&amp;"")</f>
        <v/>
      </c>
      <c r="G906">
        <f>IF($P906="","",INDEX(명단표[소속병원],$P906))</f>
        <v/>
      </c>
      <c r="H906">
        <f>IF($P906="","",IF(INDEX(명단표[소속병원],$P906)="서울병원","서울 소속","타 병원 소속("&amp;INDEX(명단표[소속병원],$P906)&amp;") → 서울 지급"))</f>
        <v/>
      </c>
      <c r="I906">
        <f>IF($P906="","",INDEX(명단표[현재 근무병원],$P906))</f>
        <v/>
      </c>
      <c r="J906">
        <f>IF($P906="","",INDEX(명단표[구리 근무 시작일(기준월)],$P906)&amp;"")</f>
        <v/>
      </c>
      <c r="K906">
        <f>IF($P906="","",INDEX(명단표[구리 근무 종료일(기준월)],$P906)&amp;"")</f>
        <v/>
      </c>
      <c r="L906">
        <f>IF($P906="","",INDEX(명단표[서울 근무일(기준월)],$P906))</f>
        <v/>
      </c>
      <c r="M906">
        <f>IF($P906="","",INDEX(명단표[구리 근무일(기준월)],$P906))</f>
        <v/>
      </c>
      <c r="N906">
        <f>IF($P906="","",INDEX(명단표[급여 판정 근거],$P906))</f>
        <v/>
      </c>
      <c r="O906">
        <f>IF($P906="","",INDEX(명단표[점검],$P906))</f>
        <v/>
      </c>
      <c r="P906" s="17">
        <f>IFERROR(MATCH(901,명단표[서울순번],0),"")</f>
        <v/>
      </c>
      <c r="R906">
        <f>IF($W906="","",INDEX(명단표[이름],$W906))</f>
        <v/>
      </c>
      <c r="S906">
        <f>IF($W906="","",INDEX(명단표[사번],$W906)&amp;"")</f>
        <v/>
      </c>
      <c r="T906">
        <f>IF($W906="","",INDEX(명단표[소속병원],$W906))</f>
        <v/>
      </c>
      <c r="U906">
        <f>IF($W906="","",INDEX(명단표[서울 근무일(기준월)],$W906))</f>
        <v/>
      </c>
      <c r="V906">
        <f>IF($W906="","",INDEX(명단표[구리 근무일(기준월)],$W906))</f>
        <v/>
      </c>
      <c r="W906" s="17">
        <f>IFERROR(MATCH(901,명단표[판정불가순번],0),"")</f>
        <v/>
      </c>
    </row>
    <row r="907">
      <c r="A907">
        <f>IF($P907="","",902)</f>
        <v/>
      </c>
      <c r="B907">
        <f>IF($P907="","",INDEX(명단표[이름],$P907))</f>
        <v/>
      </c>
      <c r="C907">
        <f>IF($P907="","",INDEX(명단표[사번],$P907)&amp;"")</f>
        <v/>
      </c>
      <c r="D907">
        <f>IF($P907="","",INDEX(명단표[전공의등록번호],$P907)&amp;"")</f>
        <v/>
      </c>
      <c r="E907">
        <f>IF($P907="","",INDEX(명단표[수련과목],$P907)&amp;"")</f>
        <v/>
      </c>
      <c r="F907">
        <f>IF($P907="","",INDEX(명단표[연차],$P907)&amp;"")</f>
        <v/>
      </c>
      <c r="G907">
        <f>IF($P907="","",INDEX(명단표[소속병원],$P907))</f>
        <v/>
      </c>
      <c r="H907">
        <f>IF($P907="","",IF(INDEX(명단표[소속병원],$P907)="서울병원","서울 소속","타 병원 소속("&amp;INDEX(명단표[소속병원],$P907)&amp;") → 서울 지급"))</f>
        <v/>
      </c>
      <c r="I907">
        <f>IF($P907="","",INDEX(명단표[현재 근무병원],$P907))</f>
        <v/>
      </c>
      <c r="J907">
        <f>IF($P907="","",INDEX(명단표[구리 근무 시작일(기준월)],$P907)&amp;"")</f>
        <v/>
      </c>
      <c r="K907">
        <f>IF($P907="","",INDEX(명단표[구리 근무 종료일(기준월)],$P907)&amp;"")</f>
        <v/>
      </c>
      <c r="L907">
        <f>IF($P907="","",INDEX(명단표[서울 근무일(기준월)],$P907))</f>
        <v/>
      </c>
      <c r="M907">
        <f>IF($P907="","",INDEX(명단표[구리 근무일(기준월)],$P907))</f>
        <v/>
      </c>
      <c r="N907">
        <f>IF($P907="","",INDEX(명단표[급여 판정 근거],$P907))</f>
        <v/>
      </c>
      <c r="O907">
        <f>IF($P907="","",INDEX(명단표[점검],$P907))</f>
        <v/>
      </c>
      <c r="P907" s="17">
        <f>IFERROR(MATCH(902,명단표[서울순번],0),"")</f>
        <v/>
      </c>
      <c r="R907">
        <f>IF($W907="","",INDEX(명단표[이름],$W907))</f>
        <v/>
      </c>
      <c r="S907">
        <f>IF($W907="","",INDEX(명단표[사번],$W907)&amp;"")</f>
        <v/>
      </c>
      <c r="T907">
        <f>IF($W907="","",INDEX(명단표[소속병원],$W907))</f>
        <v/>
      </c>
      <c r="U907">
        <f>IF($W907="","",INDEX(명단표[서울 근무일(기준월)],$W907))</f>
        <v/>
      </c>
      <c r="V907">
        <f>IF($W907="","",INDEX(명단표[구리 근무일(기준월)],$W907))</f>
        <v/>
      </c>
      <c r="W907" s="17">
        <f>IFERROR(MATCH(902,명단표[판정불가순번],0),"")</f>
        <v/>
      </c>
    </row>
    <row r="908">
      <c r="A908">
        <f>IF($P908="","",903)</f>
        <v/>
      </c>
      <c r="B908">
        <f>IF($P908="","",INDEX(명단표[이름],$P908))</f>
        <v/>
      </c>
      <c r="C908">
        <f>IF($P908="","",INDEX(명단표[사번],$P908)&amp;"")</f>
        <v/>
      </c>
      <c r="D908">
        <f>IF($P908="","",INDEX(명단표[전공의등록번호],$P908)&amp;"")</f>
        <v/>
      </c>
      <c r="E908">
        <f>IF($P908="","",INDEX(명단표[수련과목],$P908)&amp;"")</f>
        <v/>
      </c>
      <c r="F908">
        <f>IF($P908="","",INDEX(명단표[연차],$P908)&amp;"")</f>
        <v/>
      </c>
      <c r="G908">
        <f>IF($P908="","",INDEX(명단표[소속병원],$P908))</f>
        <v/>
      </c>
      <c r="H908">
        <f>IF($P908="","",IF(INDEX(명단표[소속병원],$P908)="서울병원","서울 소속","타 병원 소속("&amp;INDEX(명단표[소속병원],$P908)&amp;") → 서울 지급"))</f>
        <v/>
      </c>
      <c r="I908">
        <f>IF($P908="","",INDEX(명단표[현재 근무병원],$P908))</f>
        <v/>
      </c>
      <c r="J908">
        <f>IF($P908="","",INDEX(명단표[구리 근무 시작일(기준월)],$P908)&amp;"")</f>
        <v/>
      </c>
      <c r="K908">
        <f>IF($P908="","",INDEX(명단표[구리 근무 종료일(기준월)],$P908)&amp;"")</f>
        <v/>
      </c>
      <c r="L908">
        <f>IF($P908="","",INDEX(명단표[서울 근무일(기준월)],$P908))</f>
        <v/>
      </c>
      <c r="M908">
        <f>IF($P908="","",INDEX(명단표[구리 근무일(기준월)],$P908))</f>
        <v/>
      </c>
      <c r="N908">
        <f>IF($P908="","",INDEX(명단표[급여 판정 근거],$P908))</f>
        <v/>
      </c>
      <c r="O908">
        <f>IF($P908="","",INDEX(명단표[점검],$P908))</f>
        <v/>
      </c>
      <c r="P908" s="17">
        <f>IFERROR(MATCH(903,명단표[서울순번],0),"")</f>
        <v/>
      </c>
      <c r="R908">
        <f>IF($W908="","",INDEX(명단표[이름],$W908))</f>
        <v/>
      </c>
      <c r="S908">
        <f>IF($W908="","",INDEX(명단표[사번],$W908)&amp;"")</f>
        <v/>
      </c>
      <c r="T908">
        <f>IF($W908="","",INDEX(명단표[소속병원],$W908))</f>
        <v/>
      </c>
      <c r="U908">
        <f>IF($W908="","",INDEX(명단표[서울 근무일(기준월)],$W908))</f>
        <v/>
      </c>
      <c r="V908">
        <f>IF($W908="","",INDEX(명단표[구리 근무일(기준월)],$W908))</f>
        <v/>
      </c>
      <c r="W908" s="17">
        <f>IFERROR(MATCH(903,명단표[판정불가순번],0),"")</f>
        <v/>
      </c>
    </row>
    <row r="909">
      <c r="A909">
        <f>IF($P909="","",904)</f>
        <v/>
      </c>
      <c r="B909">
        <f>IF($P909="","",INDEX(명단표[이름],$P909))</f>
        <v/>
      </c>
      <c r="C909">
        <f>IF($P909="","",INDEX(명단표[사번],$P909)&amp;"")</f>
        <v/>
      </c>
      <c r="D909">
        <f>IF($P909="","",INDEX(명단표[전공의등록번호],$P909)&amp;"")</f>
        <v/>
      </c>
      <c r="E909">
        <f>IF($P909="","",INDEX(명단표[수련과목],$P909)&amp;"")</f>
        <v/>
      </c>
      <c r="F909">
        <f>IF($P909="","",INDEX(명단표[연차],$P909)&amp;"")</f>
        <v/>
      </c>
      <c r="G909">
        <f>IF($P909="","",INDEX(명단표[소속병원],$P909))</f>
        <v/>
      </c>
      <c r="H909">
        <f>IF($P909="","",IF(INDEX(명단표[소속병원],$P909)="서울병원","서울 소속","타 병원 소속("&amp;INDEX(명단표[소속병원],$P909)&amp;") → 서울 지급"))</f>
        <v/>
      </c>
      <c r="I909">
        <f>IF($P909="","",INDEX(명단표[현재 근무병원],$P909))</f>
        <v/>
      </c>
      <c r="J909">
        <f>IF($P909="","",INDEX(명단표[구리 근무 시작일(기준월)],$P909)&amp;"")</f>
        <v/>
      </c>
      <c r="K909">
        <f>IF($P909="","",INDEX(명단표[구리 근무 종료일(기준월)],$P909)&amp;"")</f>
        <v/>
      </c>
      <c r="L909">
        <f>IF($P909="","",INDEX(명단표[서울 근무일(기준월)],$P909))</f>
        <v/>
      </c>
      <c r="M909">
        <f>IF($P909="","",INDEX(명단표[구리 근무일(기준월)],$P909))</f>
        <v/>
      </c>
      <c r="N909">
        <f>IF($P909="","",INDEX(명단표[급여 판정 근거],$P909))</f>
        <v/>
      </c>
      <c r="O909">
        <f>IF($P909="","",INDEX(명단표[점검],$P909))</f>
        <v/>
      </c>
      <c r="P909" s="17">
        <f>IFERROR(MATCH(904,명단표[서울순번],0),"")</f>
        <v/>
      </c>
      <c r="R909">
        <f>IF($W909="","",INDEX(명단표[이름],$W909))</f>
        <v/>
      </c>
      <c r="S909">
        <f>IF($W909="","",INDEX(명단표[사번],$W909)&amp;"")</f>
        <v/>
      </c>
      <c r="T909">
        <f>IF($W909="","",INDEX(명단표[소속병원],$W909))</f>
        <v/>
      </c>
      <c r="U909">
        <f>IF($W909="","",INDEX(명단표[서울 근무일(기준월)],$W909))</f>
        <v/>
      </c>
      <c r="V909">
        <f>IF($W909="","",INDEX(명단표[구리 근무일(기준월)],$W909))</f>
        <v/>
      </c>
      <c r="W909" s="17">
        <f>IFERROR(MATCH(904,명단표[판정불가순번],0),"")</f>
        <v/>
      </c>
    </row>
    <row r="910">
      <c r="A910">
        <f>IF($P910="","",905)</f>
        <v/>
      </c>
      <c r="B910">
        <f>IF($P910="","",INDEX(명단표[이름],$P910))</f>
        <v/>
      </c>
      <c r="C910">
        <f>IF($P910="","",INDEX(명단표[사번],$P910)&amp;"")</f>
        <v/>
      </c>
      <c r="D910">
        <f>IF($P910="","",INDEX(명단표[전공의등록번호],$P910)&amp;"")</f>
        <v/>
      </c>
      <c r="E910">
        <f>IF($P910="","",INDEX(명단표[수련과목],$P910)&amp;"")</f>
        <v/>
      </c>
      <c r="F910">
        <f>IF($P910="","",INDEX(명단표[연차],$P910)&amp;"")</f>
        <v/>
      </c>
      <c r="G910">
        <f>IF($P910="","",INDEX(명단표[소속병원],$P910))</f>
        <v/>
      </c>
      <c r="H910">
        <f>IF($P910="","",IF(INDEX(명단표[소속병원],$P910)="서울병원","서울 소속","타 병원 소속("&amp;INDEX(명단표[소속병원],$P910)&amp;") → 서울 지급"))</f>
        <v/>
      </c>
      <c r="I910">
        <f>IF($P910="","",INDEX(명단표[현재 근무병원],$P910))</f>
        <v/>
      </c>
      <c r="J910">
        <f>IF($P910="","",INDEX(명단표[구리 근무 시작일(기준월)],$P910)&amp;"")</f>
        <v/>
      </c>
      <c r="K910">
        <f>IF($P910="","",INDEX(명단표[구리 근무 종료일(기준월)],$P910)&amp;"")</f>
        <v/>
      </c>
      <c r="L910">
        <f>IF($P910="","",INDEX(명단표[서울 근무일(기준월)],$P910))</f>
        <v/>
      </c>
      <c r="M910">
        <f>IF($P910="","",INDEX(명단표[구리 근무일(기준월)],$P910))</f>
        <v/>
      </c>
      <c r="N910">
        <f>IF($P910="","",INDEX(명단표[급여 판정 근거],$P910))</f>
        <v/>
      </c>
      <c r="O910">
        <f>IF($P910="","",INDEX(명단표[점검],$P910))</f>
        <v/>
      </c>
      <c r="P910" s="17">
        <f>IFERROR(MATCH(905,명단표[서울순번],0),"")</f>
        <v/>
      </c>
      <c r="R910">
        <f>IF($W910="","",INDEX(명단표[이름],$W910))</f>
        <v/>
      </c>
      <c r="S910">
        <f>IF($W910="","",INDEX(명단표[사번],$W910)&amp;"")</f>
        <v/>
      </c>
      <c r="T910">
        <f>IF($W910="","",INDEX(명단표[소속병원],$W910))</f>
        <v/>
      </c>
      <c r="U910">
        <f>IF($W910="","",INDEX(명단표[서울 근무일(기준월)],$W910))</f>
        <v/>
      </c>
      <c r="V910">
        <f>IF($W910="","",INDEX(명단표[구리 근무일(기준월)],$W910))</f>
        <v/>
      </c>
      <c r="W910" s="17">
        <f>IFERROR(MATCH(905,명단표[판정불가순번],0),"")</f>
        <v/>
      </c>
    </row>
    <row r="911">
      <c r="A911">
        <f>IF($P911="","",906)</f>
        <v/>
      </c>
      <c r="B911">
        <f>IF($P911="","",INDEX(명단표[이름],$P911))</f>
        <v/>
      </c>
      <c r="C911">
        <f>IF($P911="","",INDEX(명단표[사번],$P911)&amp;"")</f>
        <v/>
      </c>
      <c r="D911">
        <f>IF($P911="","",INDEX(명단표[전공의등록번호],$P911)&amp;"")</f>
        <v/>
      </c>
      <c r="E911">
        <f>IF($P911="","",INDEX(명단표[수련과목],$P911)&amp;"")</f>
        <v/>
      </c>
      <c r="F911">
        <f>IF($P911="","",INDEX(명단표[연차],$P911)&amp;"")</f>
        <v/>
      </c>
      <c r="G911">
        <f>IF($P911="","",INDEX(명단표[소속병원],$P911))</f>
        <v/>
      </c>
      <c r="H911">
        <f>IF($P911="","",IF(INDEX(명단표[소속병원],$P911)="서울병원","서울 소속","타 병원 소속("&amp;INDEX(명단표[소속병원],$P911)&amp;") → 서울 지급"))</f>
        <v/>
      </c>
      <c r="I911">
        <f>IF($P911="","",INDEX(명단표[현재 근무병원],$P911))</f>
        <v/>
      </c>
      <c r="J911">
        <f>IF($P911="","",INDEX(명단표[구리 근무 시작일(기준월)],$P911)&amp;"")</f>
        <v/>
      </c>
      <c r="K911">
        <f>IF($P911="","",INDEX(명단표[구리 근무 종료일(기준월)],$P911)&amp;"")</f>
        <v/>
      </c>
      <c r="L911">
        <f>IF($P911="","",INDEX(명단표[서울 근무일(기준월)],$P911))</f>
        <v/>
      </c>
      <c r="M911">
        <f>IF($P911="","",INDEX(명단표[구리 근무일(기준월)],$P911))</f>
        <v/>
      </c>
      <c r="N911">
        <f>IF($P911="","",INDEX(명단표[급여 판정 근거],$P911))</f>
        <v/>
      </c>
      <c r="O911">
        <f>IF($P911="","",INDEX(명단표[점검],$P911))</f>
        <v/>
      </c>
      <c r="P911" s="17">
        <f>IFERROR(MATCH(906,명단표[서울순번],0),"")</f>
        <v/>
      </c>
      <c r="R911">
        <f>IF($W911="","",INDEX(명단표[이름],$W911))</f>
        <v/>
      </c>
      <c r="S911">
        <f>IF($W911="","",INDEX(명단표[사번],$W911)&amp;"")</f>
        <v/>
      </c>
      <c r="T911">
        <f>IF($W911="","",INDEX(명단표[소속병원],$W911))</f>
        <v/>
      </c>
      <c r="U911">
        <f>IF($W911="","",INDEX(명단표[서울 근무일(기준월)],$W911))</f>
        <v/>
      </c>
      <c r="V911">
        <f>IF($W911="","",INDEX(명단표[구리 근무일(기준월)],$W911))</f>
        <v/>
      </c>
      <c r="W911" s="17">
        <f>IFERROR(MATCH(906,명단표[판정불가순번],0),"")</f>
        <v/>
      </c>
    </row>
    <row r="912">
      <c r="A912">
        <f>IF($P912="","",907)</f>
        <v/>
      </c>
      <c r="B912">
        <f>IF($P912="","",INDEX(명단표[이름],$P912))</f>
        <v/>
      </c>
      <c r="C912">
        <f>IF($P912="","",INDEX(명단표[사번],$P912)&amp;"")</f>
        <v/>
      </c>
      <c r="D912">
        <f>IF($P912="","",INDEX(명단표[전공의등록번호],$P912)&amp;"")</f>
        <v/>
      </c>
      <c r="E912">
        <f>IF($P912="","",INDEX(명단표[수련과목],$P912)&amp;"")</f>
        <v/>
      </c>
      <c r="F912">
        <f>IF($P912="","",INDEX(명단표[연차],$P912)&amp;"")</f>
        <v/>
      </c>
      <c r="G912">
        <f>IF($P912="","",INDEX(명단표[소속병원],$P912))</f>
        <v/>
      </c>
      <c r="H912">
        <f>IF($P912="","",IF(INDEX(명단표[소속병원],$P912)="서울병원","서울 소속","타 병원 소속("&amp;INDEX(명단표[소속병원],$P912)&amp;") → 서울 지급"))</f>
        <v/>
      </c>
      <c r="I912">
        <f>IF($P912="","",INDEX(명단표[현재 근무병원],$P912))</f>
        <v/>
      </c>
      <c r="J912">
        <f>IF($P912="","",INDEX(명단표[구리 근무 시작일(기준월)],$P912)&amp;"")</f>
        <v/>
      </c>
      <c r="K912">
        <f>IF($P912="","",INDEX(명단표[구리 근무 종료일(기준월)],$P912)&amp;"")</f>
        <v/>
      </c>
      <c r="L912">
        <f>IF($P912="","",INDEX(명단표[서울 근무일(기준월)],$P912))</f>
        <v/>
      </c>
      <c r="M912">
        <f>IF($P912="","",INDEX(명단표[구리 근무일(기준월)],$P912))</f>
        <v/>
      </c>
      <c r="N912">
        <f>IF($P912="","",INDEX(명단표[급여 판정 근거],$P912))</f>
        <v/>
      </c>
      <c r="O912">
        <f>IF($P912="","",INDEX(명단표[점검],$P912))</f>
        <v/>
      </c>
      <c r="P912" s="17">
        <f>IFERROR(MATCH(907,명단표[서울순번],0),"")</f>
        <v/>
      </c>
      <c r="R912">
        <f>IF($W912="","",INDEX(명단표[이름],$W912))</f>
        <v/>
      </c>
      <c r="S912">
        <f>IF($W912="","",INDEX(명단표[사번],$W912)&amp;"")</f>
        <v/>
      </c>
      <c r="T912">
        <f>IF($W912="","",INDEX(명단표[소속병원],$W912))</f>
        <v/>
      </c>
      <c r="U912">
        <f>IF($W912="","",INDEX(명단표[서울 근무일(기준월)],$W912))</f>
        <v/>
      </c>
      <c r="V912">
        <f>IF($W912="","",INDEX(명단표[구리 근무일(기준월)],$W912))</f>
        <v/>
      </c>
      <c r="W912" s="17">
        <f>IFERROR(MATCH(907,명단표[판정불가순번],0),"")</f>
        <v/>
      </c>
    </row>
    <row r="913">
      <c r="A913">
        <f>IF($P913="","",908)</f>
        <v/>
      </c>
      <c r="B913">
        <f>IF($P913="","",INDEX(명단표[이름],$P913))</f>
        <v/>
      </c>
      <c r="C913">
        <f>IF($P913="","",INDEX(명단표[사번],$P913)&amp;"")</f>
        <v/>
      </c>
      <c r="D913">
        <f>IF($P913="","",INDEX(명단표[전공의등록번호],$P913)&amp;"")</f>
        <v/>
      </c>
      <c r="E913">
        <f>IF($P913="","",INDEX(명단표[수련과목],$P913)&amp;"")</f>
        <v/>
      </c>
      <c r="F913">
        <f>IF($P913="","",INDEX(명단표[연차],$P913)&amp;"")</f>
        <v/>
      </c>
      <c r="G913">
        <f>IF($P913="","",INDEX(명단표[소속병원],$P913))</f>
        <v/>
      </c>
      <c r="H913">
        <f>IF($P913="","",IF(INDEX(명단표[소속병원],$P913)="서울병원","서울 소속","타 병원 소속("&amp;INDEX(명단표[소속병원],$P913)&amp;") → 서울 지급"))</f>
        <v/>
      </c>
      <c r="I913">
        <f>IF($P913="","",INDEX(명단표[현재 근무병원],$P913))</f>
        <v/>
      </c>
      <c r="J913">
        <f>IF($P913="","",INDEX(명단표[구리 근무 시작일(기준월)],$P913)&amp;"")</f>
        <v/>
      </c>
      <c r="K913">
        <f>IF($P913="","",INDEX(명단표[구리 근무 종료일(기준월)],$P913)&amp;"")</f>
        <v/>
      </c>
      <c r="L913">
        <f>IF($P913="","",INDEX(명단표[서울 근무일(기준월)],$P913))</f>
        <v/>
      </c>
      <c r="M913">
        <f>IF($P913="","",INDEX(명단표[구리 근무일(기준월)],$P913))</f>
        <v/>
      </c>
      <c r="N913">
        <f>IF($P913="","",INDEX(명단표[급여 판정 근거],$P913))</f>
        <v/>
      </c>
      <c r="O913">
        <f>IF($P913="","",INDEX(명단표[점검],$P913))</f>
        <v/>
      </c>
      <c r="P913" s="17">
        <f>IFERROR(MATCH(908,명단표[서울순번],0),"")</f>
        <v/>
      </c>
      <c r="R913">
        <f>IF($W913="","",INDEX(명단표[이름],$W913))</f>
        <v/>
      </c>
      <c r="S913">
        <f>IF($W913="","",INDEX(명단표[사번],$W913)&amp;"")</f>
        <v/>
      </c>
      <c r="T913">
        <f>IF($W913="","",INDEX(명단표[소속병원],$W913))</f>
        <v/>
      </c>
      <c r="U913">
        <f>IF($W913="","",INDEX(명단표[서울 근무일(기준월)],$W913))</f>
        <v/>
      </c>
      <c r="V913">
        <f>IF($W913="","",INDEX(명단표[구리 근무일(기준월)],$W913))</f>
        <v/>
      </c>
      <c r="W913" s="17">
        <f>IFERROR(MATCH(908,명단표[판정불가순번],0),"")</f>
        <v/>
      </c>
    </row>
    <row r="914">
      <c r="A914">
        <f>IF($P914="","",909)</f>
        <v/>
      </c>
      <c r="B914">
        <f>IF($P914="","",INDEX(명단표[이름],$P914))</f>
        <v/>
      </c>
      <c r="C914">
        <f>IF($P914="","",INDEX(명단표[사번],$P914)&amp;"")</f>
        <v/>
      </c>
      <c r="D914">
        <f>IF($P914="","",INDEX(명단표[전공의등록번호],$P914)&amp;"")</f>
        <v/>
      </c>
      <c r="E914">
        <f>IF($P914="","",INDEX(명단표[수련과목],$P914)&amp;"")</f>
        <v/>
      </c>
      <c r="F914">
        <f>IF($P914="","",INDEX(명단표[연차],$P914)&amp;"")</f>
        <v/>
      </c>
      <c r="G914">
        <f>IF($P914="","",INDEX(명단표[소속병원],$P914))</f>
        <v/>
      </c>
      <c r="H914">
        <f>IF($P914="","",IF(INDEX(명단표[소속병원],$P914)="서울병원","서울 소속","타 병원 소속("&amp;INDEX(명단표[소속병원],$P914)&amp;") → 서울 지급"))</f>
        <v/>
      </c>
      <c r="I914">
        <f>IF($P914="","",INDEX(명단표[현재 근무병원],$P914))</f>
        <v/>
      </c>
      <c r="J914">
        <f>IF($P914="","",INDEX(명단표[구리 근무 시작일(기준월)],$P914)&amp;"")</f>
        <v/>
      </c>
      <c r="K914">
        <f>IF($P914="","",INDEX(명단표[구리 근무 종료일(기준월)],$P914)&amp;"")</f>
        <v/>
      </c>
      <c r="L914">
        <f>IF($P914="","",INDEX(명단표[서울 근무일(기준월)],$P914))</f>
        <v/>
      </c>
      <c r="M914">
        <f>IF($P914="","",INDEX(명단표[구리 근무일(기준월)],$P914))</f>
        <v/>
      </c>
      <c r="N914">
        <f>IF($P914="","",INDEX(명단표[급여 판정 근거],$P914))</f>
        <v/>
      </c>
      <c r="O914">
        <f>IF($P914="","",INDEX(명단표[점검],$P914))</f>
        <v/>
      </c>
      <c r="P914" s="17">
        <f>IFERROR(MATCH(909,명단표[서울순번],0),"")</f>
        <v/>
      </c>
      <c r="R914">
        <f>IF($W914="","",INDEX(명단표[이름],$W914))</f>
        <v/>
      </c>
      <c r="S914">
        <f>IF($W914="","",INDEX(명단표[사번],$W914)&amp;"")</f>
        <v/>
      </c>
      <c r="T914">
        <f>IF($W914="","",INDEX(명단표[소속병원],$W914))</f>
        <v/>
      </c>
      <c r="U914">
        <f>IF($W914="","",INDEX(명단표[서울 근무일(기준월)],$W914))</f>
        <v/>
      </c>
      <c r="V914">
        <f>IF($W914="","",INDEX(명단표[구리 근무일(기준월)],$W914))</f>
        <v/>
      </c>
      <c r="W914" s="17">
        <f>IFERROR(MATCH(909,명단표[판정불가순번],0),"")</f>
        <v/>
      </c>
    </row>
    <row r="915">
      <c r="A915">
        <f>IF($P915="","",910)</f>
        <v/>
      </c>
      <c r="B915">
        <f>IF($P915="","",INDEX(명단표[이름],$P915))</f>
        <v/>
      </c>
      <c r="C915">
        <f>IF($P915="","",INDEX(명단표[사번],$P915)&amp;"")</f>
        <v/>
      </c>
      <c r="D915">
        <f>IF($P915="","",INDEX(명단표[전공의등록번호],$P915)&amp;"")</f>
        <v/>
      </c>
      <c r="E915">
        <f>IF($P915="","",INDEX(명단표[수련과목],$P915)&amp;"")</f>
        <v/>
      </c>
      <c r="F915">
        <f>IF($P915="","",INDEX(명단표[연차],$P915)&amp;"")</f>
        <v/>
      </c>
      <c r="G915">
        <f>IF($P915="","",INDEX(명단표[소속병원],$P915))</f>
        <v/>
      </c>
      <c r="H915">
        <f>IF($P915="","",IF(INDEX(명단표[소속병원],$P915)="서울병원","서울 소속","타 병원 소속("&amp;INDEX(명단표[소속병원],$P915)&amp;") → 서울 지급"))</f>
        <v/>
      </c>
      <c r="I915">
        <f>IF($P915="","",INDEX(명단표[현재 근무병원],$P915))</f>
        <v/>
      </c>
      <c r="J915">
        <f>IF($P915="","",INDEX(명단표[구리 근무 시작일(기준월)],$P915)&amp;"")</f>
        <v/>
      </c>
      <c r="K915">
        <f>IF($P915="","",INDEX(명단표[구리 근무 종료일(기준월)],$P915)&amp;"")</f>
        <v/>
      </c>
      <c r="L915">
        <f>IF($P915="","",INDEX(명단표[서울 근무일(기준월)],$P915))</f>
        <v/>
      </c>
      <c r="M915">
        <f>IF($P915="","",INDEX(명단표[구리 근무일(기준월)],$P915))</f>
        <v/>
      </c>
      <c r="N915">
        <f>IF($P915="","",INDEX(명단표[급여 판정 근거],$P915))</f>
        <v/>
      </c>
      <c r="O915">
        <f>IF($P915="","",INDEX(명단표[점검],$P915))</f>
        <v/>
      </c>
      <c r="P915" s="17">
        <f>IFERROR(MATCH(910,명단표[서울순번],0),"")</f>
        <v/>
      </c>
      <c r="R915">
        <f>IF($W915="","",INDEX(명단표[이름],$W915))</f>
        <v/>
      </c>
      <c r="S915">
        <f>IF($W915="","",INDEX(명단표[사번],$W915)&amp;"")</f>
        <v/>
      </c>
      <c r="T915">
        <f>IF($W915="","",INDEX(명단표[소속병원],$W915))</f>
        <v/>
      </c>
      <c r="U915">
        <f>IF($W915="","",INDEX(명단표[서울 근무일(기준월)],$W915))</f>
        <v/>
      </c>
      <c r="V915">
        <f>IF($W915="","",INDEX(명단표[구리 근무일(기준월)],$W915))</f>
        <v/>
      </c>
      <c r="W915" s="17">
        <f>IFERROR(MATCH(910,명단표[판정불가순번],0),"")</f>
        <v/>
      </c>
    </row>
    <row r="916">
      <c r="A916">
        <f>IF($P916="","",911)</f>
        <v/>
      </c>
      <c r="B916">
        <f>IF($P916="","",INDEX(명단표[이름],$P916))</f>
        <v/>
      </c>
      <c r="C916">
        <f>IF($P916="","",INDEX(명단표[사번],$P916)&amp;"")</f>
        <v/>
      </c>
      <c r="D916">
        <f>IF($P916="","",INDEX(명단표[전공의등록번호],$P916)&amp;"")</f>
        <v/>
      </c>
      <c r="E916">
        <f>IF($P916="","",INDEX(명단표[수련과목],$P916)&amp;"")</f>
        <v/>
      </c>
      <c r="F916">
        <f>IF($P916="","",INDEX(명단표[연차],$P916)&amp;"")</f>
        <v/>
      </c>
      <c r="G916">
        <f>IF($P916="","",INDEX(명단표[소속병원],$P916))</f>
        <v/>
      </c>
      <c r="H916">
        <f>IF($P916="","",IF(INDEX(명단표[소속병원],$P916)="서울병원","서울 소속","타 병원 소속("&amp;INDEX(명단표[소속병원],$P916)&amp;") → 서울 지급"))</f>
        <v/>
      </c>
      <c r="I916">
        <f>IF($P916="","",INDEX(명단표[현재 근무병원],$P916))</f>
        <v/>
      </c>
      <c r="J916">
        <f>IF($P916="","",INDEX(명단표[구리 근무 시작일(기준월)],$P916)&amp;"")</f>
        <v/>
      </c>
      <c r="K916">
        <f>IF($P916="","",INDEX(명단표[구리 근무 종료일(기준월)],$P916)&amp;"")</f>
        <v/>
      </c>
      <c r="L916">
        <f>IF($P916="","",INDEX(명단표[서울 근무일(기준월)],$P916))</f>
        <v/>
      </c>
      <c r="M916">
        <f>IF($P916="","",INDEX(명단표[구리 근무일(기준월)],$P916))</f>
        <v/>
      </c>
      <c r="N916">
        <f>IF($P916="","",INDEX(명단표[급여 판정 근거],$P916))</f>
        <v/>
      </c>
      <c r="O916">
        <f>IF($P916="","",INDEX(명단표[점검],$P916))</f>
        <v/>
      </c>
      <c r="P916" s="17">
        <f>IFERROR(MATCH(911,명단표[서울순번],0),"")</f>
        <v/>
      </c>
      <c r="R916">
        <f>IF($W916="","",INDEX(명단표[이름],$W916))</f>
        <v/>
      </c>
      <c r="S916">
        <f>IF($W916="","",INDEX(명단표[사번],$W916)&amp;"")</f>
        <v/>
      </c>
      <c r="T916">
        <f>IF($W916="","",INDEX(명단표[소속병원],$W916))</f>
        <v/>
      </c>
      <c r="U916">
        <f>IF($W916="","",INDEX(명단표[서울 근무일(기준월)],$W916))</f>
        <v/>
      </c>
      <c r="V916">
        <f>IF($W916="","",INDEX(명단표[구리 근무일(기준월)],$W916))</f>
        <v/>
      </c>
      <c r="W916" s="17">
        <f>IFERROR(MATCH(911,명단표[판정불가순번],0),"")</f>
        <v/>
      </c>
    </row>
    <row r="917">
      <c r="A917">
        <f>IF($P917="","",912)</f>
        <v/>
      </c>
      <c r="B917">
        <f>IF($P917="","",INDEX(명단표[이름],$P917))</f>
        <v/>
      </c>
      <c r="C917">
        <f>IF($P917="","",INDEX(명단표[사번],$P917)&amp;"")</f>
        <v/>
      </c>
      <c r="D917">
        <f>IF($P917="","",INDEX(명단표[전공의등록번호],$P917)&amp;"")</f>
        <v/>
      </c>
      <c r="E917">
        <f>IF($P917="","",INDEX(명단표[수련과목],$P917)&amp;"")</f>
        <v/>
      </c>
      <c r="F917">
        <f>IF($P917="","",INDEX(명단표[연차],$P917)&amp;"")</f>
        <v/>
      </c>
      <c r="G917">
        <f>IF($P917="","",INDEX(명단표[소속병원],$P917))</f>
        <v/>
      </c>
      <c r="H917">
        <f>IF($P917="","",IF(INDEX(명단표[소속병원],$P917)="서울병원","서울 소속","타 병원 소속("&amp;INDEX(명단표[소속병원],$P917)&amp;") → 서울 지급"))</f>
        <v/>
      </c>
      <c r="I917">
        <f>IF($P917="","",INDEX(명단표[현재 근무병원],$P917))</f>
        <v/>
      </c>
      <c r="J917">
        <f>IF($P917="","",INDEX(명단표[구리 근무 시작일(기준월)],$P917)&amp;"")</f>
        <v/>
      </c>
      <c r="K917">
        <f>IF($P917="","",INDEX(명단표[구리 근무 종료일(기준월)],$P917)&amp;"")</f>
        <v/>
      </c>
      <c r="L917">
        <f>IF($P917="","",INDEX(명단표[서울 근무일(기준월)],$P917))</f>
        <v/>
      </c>
      <c r="M917">
        <f>IF($P917="","",INDEX(명단표[구리 근무일(기준월)],$P917))</f>
        <v/>
      </c>
      <c r="N917">
        <f>IF($P917="","",INDEX(명단표[급여 판정 근거],$P917))</f>
        <v/>
      </c>
      <c r="O917">
        <f>IF($P917="","",INDEX(명단표[점검],$P917))</f>
        <v/>
      </c>
      <c r="P917" s="17">
        <f>IFERROR(MATCH(912,명단표[서울순번],0),"")</f>
        <v/>
      </c>
      <c r="R917">
        <f>IF($W917="","",INDEX(명단표[이름],$W917))</f>
        <v/>
      </c>
      <c r="S917">
        <f>IF($W917="","",INDEX(명단표[사번],$W917)&amp;"")</f>
        <v/>
      </c>
      <c r="T917">
        <f>IF($W917="","",INDEX(명단표[소속병원],$W917))</f>
        <v/>
      </c>
      <c r="U917">
        <f>IF($W917="","",INDEX(명단표[서울 근무일(기준월)],$W917))</f>
        <v/>
      </c>
      <c r="V917">
        <f>IF($W917="","",INDEX(명단표[구리 근무일(기준월)],$W917))</f>
        <v/>
      </c>
      <c r="W917" s="17">
        <f>IFERROR(MATCH(912,명단표[판정불가순번],0),"")</f>
        <v/>
      </c>
    </row>
    <row r="918">
      <c r="A918">
        <f>IF($P918="","",913)</f>
        <v/>
      </c>
      <c r="B918">
        <f>IF($P918="","",INDEX(명단표[이름],$P918))</f>
        <v/>
      </c>
      <c r="C918">
        <f>IF($P918="","",INDEX(명단표[사번],$P918)&amp;"")</f>
        <v/>
      </c>
      <c r="D918">
        <f>IF($P918="","",INDEX(명단표[전공의등록번호],$P918)&amp;"")</f>
        <v/>
      </c>
      <c r="E918">
        <f>IF($P918="","",INDEX(명단표[수련과목],$P918)&amp;"")</f>
        <v/>
      </c>
      <c r="F918">
        <f>IF($P918="","",INDEX(명단표[연차],$P918)&amp;"")</f>
        <v/>
      </c>
      <c r="G918">
        <f>IF($P918="","",INDEX(명단표[소속병원],$P918))</f>
        <v/>
      </c>
      <c r="H918">
        <f>IF($P918="","",IF(INDEX(명단표[소속병원],$P918)="서울병원","서울 소속","타 병원 소속("&amp;INDEX(명단표[소속병원],$P918)&amp;") → 서울 지급"))</f>
        <v/>
      </c>
      <c r="I918">
        <f>IF($P918="","",INDEX(명단표[현재 근무병원],$P918))</f>
        <v/>
      </c>
      <c r="J918">
        <f>IF($P918="","",INDEX(명단표[구리 근무 시작일(기준월)],$P918)&amp;"")</f>
        <v/>
      </c>
      <c r="K918">
        <f>IF($P918="","",INDEX(명단표[구리 근무 종료일(기준월)],$P918)&amp;"")</f>
        <v/>
      </c>
      <c r="L918">
        <f>IF($P918="","",INDEX(명단표[서울 근무일(기준월)],$P918))</f>
        <v/>
      </c>
      <c r="M918">
        <f>IF($P918="","",INDEX(명단표[구리 근무일(기준월)],$P918))</f>
        <v/>
      </c>
      <c r="N918">
        <f>IF($P918="","",INDEX(명단표[급여 판정 근거],$P918))</f>
        <v/>
      </c>
      <c r="O918">
        <f>IF($P918="","",INDEX(명단표[점검],$P918))</f>
        <v/>
      </c>
      <c r="P918" s="17">
        <f>IFERROR(MATCH(913,명단표[서울순번],0),"")</f>
        <v/>
      </c>
      <c r="R918">
        <f>IF($W918="","",INDEX(명단표[이름],$W918))</f>
        <v/>
      </c>
      <c r="S918">
        <f>IF($W918="","",INDEX(명단표[사번],$W918)&amp;"")</f>
        <v/>
      </c>
      <c r="T918">
        <f>IF($W918="","",INDEX(명단표[소속병원],$W918))</f>
        <v/>
      </c>
      <c r="U918">
        <f>IF($W918="","",INDEX(명단표[서울 근무일(기준월)],$W918))</f>
        <v/>
      </c>
      <c r="V918">
        <f>IF($W918="","",INDEX(명단표[구리 근무일(기준월)],$W918))</f>
        <v/>
      </c>
      <c r="W918" s="17">
        <f>IFERROR(MATCH(913,명단표[판정불가순번],0),"")</f>
        <v/>
      </c>
    </row>
    <row r="919">
      <c r="A919">
        <f>IF($P919="","",914)</f>
        <v/>
      </c>
      <c r="B919">
        <f>IF($P919="","",INDEX(명단표[이름],$P919))</f>
        <v/>
      </c>
      <c r="C919">
        <f>IF($P919="","",INDEX(명단표[사번],$P919)&amp;"")</f>
        <v/>
      </c>
      <c r="D919">
        <f>IF($P919="","",INDEX(명단표[전공의등록번호],$P919)&amp;"")</f>
        <v/>
      </c>
      <c r="E919">
        <f>IF($P919="","",INDEX(명단표[수련과목],$P919)&amp;"")</f>
        <v/>
      </c>
      <c r="F919">
        <f>IF($P919="","",INDEX(명단표[연차],$P919)&amp;"")</f>
        <v/>
      </c>
      <c r="G919">
        <f>IF($P919="","",INDEX(명단표[소속병원],$P919))</f>
        <v/>
      </c>
      <c r="H919">
        <f>IF($P919="","",IF(INDEX(명단표[소속병원],$P919)="서울병원","서울 소속","타 병원 소속("&amp;INDEX(명단표[소속병원],$P919)&amp;") → 서울 지급"))</f>
        <v/>
      </c>
      <c r="I919">
        <f>IF($P919="","",INDEX(명단표[현재 근무병원],$P919))</f>
        <v/>
      </c>
      <c r="J919">
        <f>IF($P919="","",INDEX(명단표[구리 근무 시작일(기준월)],$P919)&amp;"")</f>
        <v/>
      </c>
      <c r="K919">
        <f>IF($P919="","",INDEX(명단표[구리 근무 종료일(기준월)],$P919)&amp;"")</f>
        <v/>
      </c>
      <c r="L919">
        <f>IF($P919="","",INDEX(명단표[서울 근무일(기준월)],$P919))</f>
        <v/>
      </c>
      <c r="M919">
        <f>IF($P919="","",INDEX(명단표[구리 근무일(기준월)],$P919))</f>
        <v/>
      </c>
      <c r="N919">
        <f>IF($P919="","",INDEX(명단표[급여 판정 근거],$P919))</f>
        <v/>
      </c>
      <c r="O919">
        <f>IF($P919="","",INDEX(명단표[점검],$P919))</f>
        <v/>
      </c>
      <c r="P919" s="17">
        <f>IFERROR(MATCH(914,명단표[서울순번],0),"")</f>
        <v/>
      </c>
      <c r="R919">
        <f>IF($W919="","",INDEX(명단표[이름],$W919))</f>
        <v/>
      </c>
      <c r="S919">
        <f>IF($W919="","",INDEX(명단표[사번],$W919)&amp;"")</f>
        <v/>
      </c>
      <c r="T919">
        <f>IF($W919="","",INDEX(명단표[소속병원],$W919))</f>
        <v/>
      </c>
      <c r="U919">
        <f>IF($W919="","",INDEX(명단표[서울 근무일(기준월)],$W919))</f>
        <v/>
      </c>
      <c r="V919">
        <f>IF($W919="","",INDEX(명단표[구리 근무일(기준월)],$W919))</f>
        <v/>
      </c>
      <c r="W919" s="17">
        <f>IFERROR(MATCH(914,명단표[판정불가순번],0),"")</f>
        <v/>
      </c>
    </row>
    <row r="920">
      <c r="A920">
        <f>IF($P920="","",915)</f>
        <v/>
      </c>
      <c r="B920">
        <f>IF($P920="","",INDEX(명단표[이름],$P920))</f>
        <v/>
      </c>
      <c r="C920">
        <f>IF($P920="","",INDEX(명단표[사번],$P920)&amp;"")</f>
        <v/>
      </c>
      <c r="D920">
        <f>IF($P920="","",INDEX(명단표[전공의등록번호],$P920)&amp;"")</f>
        <v/>
      </c>
      <c r="E920">
        <f>IF($P920="","",INDEX(명단표[수련과목],$P920)&amp;"")</f>
        <v/>
      </c>
      <c r="F920">
        <f>IF($P920="","",INDEX(명단표[연차],$P920)&amp;"")</f>
        <v/>
      </c>
      <c r="G920">
        <f>IF($P920="","",INDEX(명단표[소속병원],$P920))</f>
        <v/>
      </c>
      <c r="H920">
        <f>IF($P920="","",IF(INDEX(명단표[소속병원],$P920)="서울병원","서울 소속","타 병원 소속("&amp;INDEX(명단표[소속병원],$P920)&amp;") → 서울 지급"))</f>
        <v/>
      </c>
      <c r="I920">
        <f>IF($P920="","",INDEX(명단표[현재 근무병원],$P920))</f>
        <v/>
      </c>
      <c r="J920">
        <f>IF($P920="","",INDEX(명단표[구리 근무 시작일(기준월)],$P920)&amp;"")</f>
        <v/>
      </c>
      <c r="K920">
        <f>IF($P920="","",INDEX(명단표[구리 근무 종료일(기준월)],$P920)&amp;"")</f>
        <v/>
      </c>
      <c r="L920">
        <f>IF($P920="","",INDEX(명단표[서울 근무일(기준월)],$P920))</f>
        <v/>
      </c>
      <c r="M920">
        <f>IF($P920="","",INDEX(명단표[구리 근무일(기준월)],$P920))</f>
        <v/>
      </c>
      <c r="N920">
        <f>IF($P920="","",INDEX(명단표[급여 판정 근거],$P920))</f>
        <v/>
      </c>
      <c r="O920">
        <f>IF($P920="","",INDEX(명단표[점검],$P920))</f>
        <v/>
      </c>
      <c r="P920" s="17">
        <f>IFERROR(MATCH(915,명단표[서울순번],0),"")</f>
        <v/>
      </c>
      <c r="R920">
        <f>IF($W920="","",INDEX(명단표[이름],$W920))</f>
        <v/>
      </c>
      <c r="S920">
        <f>IF($W920="","",INDEX(명단표[사번],$W920)&amp;"")</f>
        <v/>
      </c>
      <c r="T920">
        <f>IF($W920="","",INDEX(명단표[소속병원],$W920))</f>
        <v/>
      </c>
      <c r="U920">
        <f>IF($W920="","",INDEX(명단표[서울 근무일(기준월)],$W920))</f>
        <v/>
      </c>
      <c r="V920">
        <f>IF($W920="","",INDEX(명단표[구리 근무일(기준월)],$W920))</f>
        <v/>
      </c>
      <c r="W920" s="17">
        <f>IFERROR(MATCH(915,명단표[판정불가순번],0),"")</f>
        <v/>
      </c>
    </row>
    <row r="921">
      <c r="A921">
        <f>IF($P921="","",916)</f>
        <v/>
      </c>
      <c r="B921">
        <f>IF($P921="","",INDEX(명단표[이름],$P921))</f>
        <v/>
      </c>
      <c r="C921">
        <f>IF($P921="","",INDEX(명단표[사번],$P921)&amp;"")</f>
        <v/>
      </c>
      <c r="D921">
        <f>IF($P921="","",INDEX(명단표[전공의등록번호],$P921)&amp;"")</f>
        <v/>
      </c>
      <c r="E921">
        <f>IF($P921="","",INDEX(명단표[수련과목],$P921)&amp;"")</f>
        <v/>
      </c>
      <c r="F921">
        <f>IF($P921="","",INDEX(명단표[연차],$P921)&amp;"")</f>
        <v/>
      </c>
      <c r="G921">
        <f>IF($P921="","",INDEX(명단표[소속병원],$P921))</f>
        <v/>
      </c>
      <c r="H921">
        <f>IF($P921="","",IF(INDEX(명단표[소속병원],$P921)="서울병원","서울 소속","타 병원 소속("&amp;INDEX(명단표[소속병원],$P921)&amp;") → 서울 지급"))</f>
        <v/>
      </c>
      <c r="I921">
        <f>IF($P921="","",INDEX(명단표[현재 근무병원],$P921))</f>
        <v/>
      </c>
      <c r="J921">
        <f>IF($P921="","",INDEX(명단표[구리 근무 시작일(기준월)],$P921)&amp;"")</f>
        <v/>
      </c>
      <c r="K921">
        <f>IF($P921="","",INDEX(명단표[구리 근무 종료일(기준월)],$P921)&amp;"")</f>
        <v/>
      </c>
      <c r="L921">
        <f>IF($P921="","",INDEX(명단표[서울 근무일(기준월)],$P921))</f>
        <v/>
      </c>
      <c r="M921">
        <f>IF($P921="","",INDEX(명단표[구리 근무일(기준월)],$P921))</f>
        <v/>
      </c>
      <c r="N921">
        <f>IF($P921="","",INDEX(명단표[급여 판정 근거],$P921))</f>
        <v/>
      </c>
      <c r="O921">
        <f>IF($P921="","",INDEX(명단표[점검],$P921))</f>
        <v/>
      </c>
      <c r="P921" s="17">
        <f>IFERROR(MATCH(916,명단표[서울순번],0),"")</f>
        <v/>
      </c>
      <c r="R921">
        <f>IF($W921="","",INDEX(명단표[이름],$W921))</f>
        <v/>
      </c>
      <c r="S921">
        <f>IF($W921="","",INDEX(명단표[사번],$W921)&amp;"")</f>
        <v/>
      </c>
      <c r="T921">
        <f>IF($W921="","",INDEX(명단표[소속병원],$W921))</f>
        <v/>
      </c>
      <c r="U921">
        <f>IF($W921="","",INDEX(명단표[서울 근무일(기준월)],$W921))</f>
        <v/>
      </c>
      <c r="V921">
        <f>IF($W921="","",INDEX(명단표[구리 근무일(기준월)],$W921))</f>
        <v/>
      </c>
      <c r="W921" s="17">
        <f>IFERROR(MATCH(916,명단표[판정불가순번],0),"")</f>
        <v/>
      </c>
    </row>
    <row r="922">
      <c r="A922">
        <f>IF($P922="","",917)</f>
        <v/>
      </c>
      <c r="B922">
        <f>IF($P922="","",INDEX(명단표[이름],$P922))</f>
        <v/>
      </c>
      <c r="C922">
        <f>IF($P922="","",INDEX(명단표[사번],$P922)&amp;"")</f>
        <v/>
      </c>
      <c r="D922">
        <f>IF($P922="","",INDEX(명단표[전공의등록번호],$P922)&amp;"")</f>
        <v/>
      </c>
      <c r="E922">
        <f>IF($P922="","",INDEX(명단표[수련과목],$P922)&amp;"")</f>
        <v/>
      </c>
      <c r="F922">
        <f>IF($P922="","",INDEX(명단표[연차],$P922)&amp;"")</f>
        <v/>
      </c>
      <c r="G922">
        <f>IF($P922="","",INDEX(명단표[소속병원],$P922))</f>
        <v/>
      </c>
      <c r="H922">
        <f>IF($P922="","",IF(INDEX(명단표[소속병원],$P922)="서울병원","서울 소속","타 병원 소속("&amp;INDEX(명단표[소속병원],$P922)&amp;") → 서울 지급"))</f>
        <v/>
      </c>
      <c r="I922">
        <f>IF($P922="","",INDEX(명단표[현재 근무병원],$P922))</f>
        <v/>
      </c>
      <c r="J922">
        <f>IF($P922="","",INDEX(명단표[구리 근무 시작일(기준월)],$P922)&amp;"")</f>
        <v/>
      </c>
      <c r="K922">
        <f>IF($P922="","",INDEX(명단표[구리 근무 종료일(기준월)],$P922)&amp;"")</f>
        <v/>
      </c>
      <c r="L922">
        <f>IF($P922="","",INDEX(명단표[서울 근무일(기준월)],$P922))</f>
        <v/>
      </c>
      <c r="M922">
        <f>IF($P922="","",INDEX(명단표[구리 근무일(기준월)],$P922))</f>
        <v/>
      </c>
      <c r="N922">
        <f>IF($P922="","",INDEX(명단표[급여 판정 근거],$P922))</f>
        <v/>
      </c>
      <c r="O922">
        <f>IF($P922="","",INDEX(명단표[점검],$P922))</f>
        <v/>
      </c>
      <c r="P922" s="17">
        <f>IFERROR(MATCH(917,명단표[서울순번],0),"")</f>
        <v/>
      </c>
      <c r="R922">
        <f>IF($W922="","",INDEX(명단표[이름],$W922))</f>
        <v/>
      </c>
      <c r="S922">
        <f>IF($W922="","",INDEX(명단표[사번],$W922)&amp;"")</f>
        <v/>
      </c>
      <c r="T922">
        <f>IF($W922="","",INDEX(명단표[소속병원],$W922))</f>
        <v/>
      </c>
      <c r="U922">
        <f>IF($W922="","",INDEX(명단표[서울 근무일(기준월)],$W922))</f>
        <v/>
      </c>
      <c r="V922">
        <f>IF($W922="","",INDEX(명단표[구리 근무일(기준월)],$W922))</f>
        <v/>
      </c>
      <c r="W922" s="17">
        <f>IFERROR(MATCH(917,명단표[판정불가순번],0),"")</f>
        <v/>
      </c>
    </row>
    <row r="923">
      <c r="A923">
        <f>IF($P923="","",918)</f>
        <v/>
      </c>
      <c r="B923">
        <f>IF($P923="","",INDEX(명단표[이름],$P923))</f>
        <v/>
      </c>
      <c r="C923">
        <f>IF($P923="","",INDEX(명단표[사번],$P923)&amp;"")</f>
        <v/>
      </c>
      <c r="D923">
        <f>IF($P923="","",INDEX(명단표[전공의등록번호],$P923)&amp;"")</f>
        <v/>
      </c>
      <c r="E923">
        <f>IF($P923="","",INDEX(명단표[수련과목],$P923)&amp;"")</f>
        <v/>
      </c>
      <c r="F923">
        <f>IF($P923="","",INDEX(명단표[연차],$P923)&amp;"")</f>
        <v/>
      </c>
      <c r="G923">
        <f>IF($P923="","",INDEX(명단표[소속병원],$P923))</f>
        <v/>
      </c>
      <c r="H923">
        <f>IF($P923="","",IF(INDEX(명단표[소속병원],$P923)="서울병원","서울 소속","타 병원 소속("&amp;INDEX(명단표[소속병원],$P923)&amp;") → 서울 지급"))</f>
        <v/>
      </c>
      <c r="I923">
        <f>IF($P923="","",INDEX(명단표[현재 근무병원],$P923))</f>
        <v/>
      </c>
      <c r="J923">
        <f>IF($P923="","",INDEX(명단표[구리 근무 시작일(기준월)],$P923)&amp;"")</f>
        <v/>
      </c>
      <c r="K923">
        <f>IF($P923="","",INDEX(명단표[구리 근무 종료일(기준월)],$P923)&amp;"")</f>
        <v/>
      </c>
      <c r="L923">
        <f>IF($P923="","",INDEX(명단표[서울 근무일(기준월)],$P923))</f>
        <v/>
      </c>
      <c r="M923">
        <f>IF($P923="","",INDEX(명단표[구리 근무일(기준월)],$P923))</f>
        <v/>
      </c>
      <c r="N923">
        <f>IF($P923="","",INDEX(명단표[급여 판정 근거],$P923))</f>
        <v/>
      </c>
      <c r="O923">
        <f>IF($P923="","",INDEX(명단표[점검],$P923))</f>
        <v/>
      </c>
      <c r="P923" s="17">
        <f>IFERROR(MATCH(918,명단표[서울순번],0),"")</f>
        <v/>
      </c>
      <c r="R923">
        <f>IF($W923="","",INDEX(명단표[이름],$W923))</f>
        <v/>
      </c>
      <c r="S923">
        <f>IF($W923="","",INDEX(명단표[사번],$W923)&amp;"")</f>
        <v/>
      </c>
      <c r="T923">
        <f>IF($W923="","",INDEX(명단표[소속병원],$W923))</f>
        <v/>
      </c>
      <c r="U923">
        <f>IF($W923="","",INDEX(명단표[서울 근무일(기준월)],$W923))</f>
        <v/>
      </c>
      <c r="V923">
        <f>IF($W923="","",INDEX(명단표[구리 근무일(기준월)],$W923))</f>
        <v/>
      </c>
      <c r="W923" s="17">
        <f>IFERROR(MATCH(918,명단표[판정불가순번],0),"")</f>
        <v/>
      </c>
    </row>
    <row r="924">
      <c r="A924">
        <f>IF($P924="","",919)</f>
        <v/>
      </c>
      <c r="B924">
        <f>IF($P924="","",INDEX(명단표[이름],$P924))</f>
        <v/>
      </c>
      <c r="C924">
        <f>IF($P924="","",INDEX(명단표[사번],$P924)&amp;"")</f>
        <v/>
      </c>
      <c r="D924">
        <f>IF($P924="","",INDEX(명단표[전공의등록번호],$P924)&amp;"")</f>
        <v/>
      </c>
      <c r="E924">
        <f>IF($P924="","",INDEX(명단표[수련과목],$P924)&amp;"")</f>
        <v/>
      </c>
      <c r="F924">
        <f>IF($P924="","",INDEX(명단표[연차],$P924)&amp;"")</f>
        <v/>
      </c>
      <c r="G924">
        <f>IF($P924="","",INDEX(명단표[소속병원],$P924))</f>
        <v/>
      </c>
      <c r="H924">
        <f>IF($P924="","",IF(INDEX(명단표[소속병원],$P924)="서울병원","서울 소속","타 병원 소속("&amp;INDEX(명단표[소속병원],$P924)&amp;") → 서울 지급"))</f>
        <v/>
      </c>
      <c r="I924">
        <f>IF($P924="","",INDEX(명단표[현재 근무병원],$P924))</f>
        <v/>
      </c>
      <c r="J924">
        <f>IF($P924="","",INDEX(명단표[구리 근무 시작일(기준월)],$P924)&amp;"")</f>
        <v/>
      </c>
      <c r="K924">
        <f>IF($P924="","",INDEX(명단표[구리 근무 종료일(기준월)],$P924)&amp;"")</f>
        <v/>
      </c>
      <c r="L924">
        <f>IF($P924="","",INDEX(명단표[서울 근무일(기준월)],$P924))</f>
        <v/>
      </c>
      <c r="M924">
        <f>IF($P924="","",INDEX(명단표[구리 근무일(기준월)],$P924))</f>
        <v/>
      </c>
      <c r="N924">
        <f>IF($P924="","",INDEX(명단표[급여 판정 근거],$P924))</f>
        <v/>
      </c>
      <c r="O924">
        <f>IF($P924="","",INDEX(명단표[점검],$P924))</f>
        <v/>
      </c>
      <c r="P924" s="17">
        <f>IFERROR(MATCH(919,명단표[서울순번],0),"")</f>
        <v/>
      </c>
      <c r="R924">
        <f>IF($W924="","",INDEX(명단표[이름],$W924))</f>
        <v/>
      </c>
      <c r="S924">
        <f>IF($W924="","",INDEX(명단표[사번],$W924)&amp;"")</f>
        <v/>
      </c>
      <c r="T924">
        <f>IF($W924="","",INDEX(명단표[소속병원],$W924))</f>
        <v/>
      </c>
      <c r="U924">
        <f>IF($W924="","",INDEX(명단표[서울 근무일(기준월)],$W924))</f>
        <v/>
      </c>
      <c r="V924">
        <f>IF($W924="","",INDEX(명단표[구리 근무일(기준월)],$W924))</f>
        <v/>
      </c>
      <c r="W924" s="17">
        <f>IFERROR(MATCH(919,명단표[판정불가순번],0),"")</f>
        <v/>
      </c>
    </row>
    <row r="925">
      <c r="A925">
        <f>IF($P925="","",920)</f>
        <v/>
      </c>
      <c r="B925">
        <f>IF($P925="","",INDEX(명단표[이름],$P925))</f>
        <v/>
      </c>
      <c r="C925">
        <f>IF($P925="","",INDEX(명단표[사번],$P925)&amp;"")</f>
        <v/>
      </c>
      <c r="D925">
        <f>IF($P925="","",INDEX(명단표[전공의등록번호],$P925)&amp;"")</f>
        <v/>
      </c>
      <c r="E925">
        <f>IF($P925="","",INDEX(명단표[수련과목],$P925)&amp;"")</f>
        <v/>
      </c>
      <c r="F925">
        <f>IF($P925="","",INDEX(명단표[연차],$P925)&amp;"")</f>
        <v/>
      </c>
      <c r="G925">
        <f>IF($P925="","",INDEX(명단표[소속병원],$P925))</f>
        <v/>
      </c>
      <c r="H925">
        <f>IF($P925="","",IF(INDEX(명단표[소속병원],$P925)="서울병원","서울 소속","타 병원 소속("&amp;INDEX(명단표[소속병원],$P925)&amp;") → 서울 지급"))</f>
        <v/>
      </c>
      <c r="I925">
        <f>IF($P925="","",INDEX(명단표[현재 근무병원],$P925))</f>
        <v/>
      </c>
      <c r="J925">
        <f>IF($P925="","",INDEX(명단표[구리 근무 시작일(기준월)],$P925)&amp;"")</f>
        <v/>
      </c>
      <c r="K925">
        <f>IF($P925="","",INDEX(명단표[구리 근무 종료일(기준월)],$P925)&amp;"")</f>
        <v/>
      </c>
      <c r="L925">
        <f>IF($P925="","",INDEX(명단표[서울 근무일(기준월)],$P925))</f>
        <v/>
      </c>
      <c r="M925">
        <f>IF($P925="","",INDEX(명단표[구리 근무일(기준월)],$P925))</f>
        <v/>
      </c>
      <c r="N925">
        <f>IF($P925="","",INDEX(명단표[급여 판정 근거],$P925))</f>
        <v/>
      </c>
      <c r="O925">
        <f>IF($P925="","",INDEX(명단표[점검],$P925))</f>
        <v/>
      </c>
      <c r="P925" s="17">
        <f>IFERROR(MATCH(920,명단표[서울순번],0),"")</f>
        <v/>
      </c>
      <c r="R925">
        <f>IF($W925="","",INDEX(명단표[이름],$W925))</f>
        <v/>
      </c>
      <c r="S925">
        <f>IF($W925="","",INDEX(명단표[사번],$W925)&amp;"")</f>
        <v/>
      </c>
      <c r="T925">
        <f>IF($W925="","",INDEX(명단표[소속병원],$W925))</f>
        <v/>
      </c>
      <c r="U925">
        <f>IF($W925="","",INDEX(명단표[서울 근무일(기준월)],$W925))</f>
        <v/>
      </c>
      <c r="V925">
        <f>IF($W925="","",INDEX(명단표[구리 근무일(기준월)],$W925))</f>
        <v/>
      </c>
      <c r="W925" s="17">
        <f>IFERROR(MATCH(920,명단표[판정불가순번],0),"")</f>
        <v/>
      </c>
    </row>
    <row r="926">
      <c r="A926">
        <f>IF($P926="","",921)</f>
        <v/>
      </c>
      <c r="B926">
        <f>IF($P926="","",INDEX(명단표[이름],$P926))</f>
        <v/>
      </c>
      <c r="C926">
        <f>IF($P926="","",INDEX(명단표[사번],$P926)&amp;"")</f>
        <v/>
      </c>
      <c r="D926">
        <f>IF($P926="","",INDEX(명단표[전공의등록번호],$P926)&amp;"")</f>
        <v/>
      </c>
      <c r="E926">
        <f>IF($P926="","",INDEX(명단표[수련과목],$P926)&amp;"")</f>
        <v/>
      </c>
      <c r="F926">
        <f>IF($P926="","",INDEX(명단표[연차],$P926)&amp;"")</f>
        <v/>
      </c>
      <c r="G926">
        <f>IF($P926="","",INDEX(명단표[소속병원],$P926))</f>
        <v/>
      </c>
      <c r="H926">
        <f>IF($P926="","",IF(INDEX(명단표[소속병원],$P926)="서울병원","서울 소속","타 병원 소속("&amp;INDEX(명단표[소속병원],$P926)&amp;") → 서울 지급"))</f>
        <v/>
      </c>
      <c r="I926">
        <f>IF($P926="","",INDEX(명단표[현재 근무병원],$P926))</f>
        <v/>
      </c>
      <c r="J926">
        <f>IF($P926="","",INDEX(명단표[구리 근무 시작일(기준월)],$P926)&amp;"")</f>
        <v/>
      </c>
      <c r="K926">
        <f>IF($P926="","",INDEX(명단표[구리 근무 종료일(기준월)],$P926)&amp;"")</f>
        <v/>
      </c>
      <c r="L926">
        <f>IF($P926="","",INDEX(명단표[서울 근무일(기준월)],$P926))</f>
        <v/>
      </c>
      <c r="M926">
        <f>IF($P926="","",INDEX(명단표[구리 근무일(기준월)],$P926))</f>
        <v/>
      </c>
      <c r="N926">
        <f>IF($P926="","",INDEX(명단표[급여 판정 근거],$P926))</f>
        <v/>
      </c>
      <c r="O926">
        <f>IF($P926="","",INDEX(명단표[점검],$P926))</f>
        <v/>
      </c>
      <c r="P926" s="17">
        <f>IFERROR(MATCH(921,명단표[서울순번],0),"")</f>
        <v/>
      </c>
      <c r="R926">
        <f>IF($W926="","",INDEX(명단표[이름],$W926))</f>
        <v/>
      </c>
      <c r="S926">
        <f>IF($W926="","",INDEX(명단표[사번],$W926)&amp;"")</f>
        <v/>
      </c>
      <c r="T926">
        <f>IF($W926="","",INDEX(명단표[소속병원],$W926))</f>
        <v/>
      </c>
      <c r="U926">
        <f>IF($W926="","",INDEX(명단표[서울 근무일(기준월)],$W926))</f>
        <v/>
      </c>
      <c r="V926">
        <f>IF($W926="","",INDEX(명단표[구리 근무일(기준월)],$W926))</f>
        <v/>
      </c>
      <c r="W926" s="17">
        <f>IFERROR(MATCH(921,명단표[판정불가순번],0),"")</f>
        <v/>
      </c>
    </row>
    <row r="927">
      <c r="A927">
        <f>IF($P927="","",922)</f>
        <v/>
      </c>
      <c r="B927">
        <f>IF($P927="","",INDEX(명단표[이름],$P927))</f>
        <v/>
      </c>
      <c r="C927">
        <f>IF($P927="","",INDEX(명단표[사번],$P927)&amp;"")</f>
        <v/>
      </c>
      <c r="D927">
        <f>IF($P927="","",INDEX(명단표[전공의등록번호],$P927)&amp;"")</f>
        <v/>
      </c>
      <c r="E927">
        <f>IF($P927="","",INDEX(명단표[수련과목],$P927)&amp;"")</f>
        <v/>
      </c>
      <c r="F927">
        <f>IF($P927="","",INDEX(명단표[연차],$P927)&amp;"")</f>
        <v/>
      </c>
      <c r="G927">
        <f>IF($P927="","",INDEX(명단표[소속병원],$P927))</f>
        <v/>
      </c>
      <c r="H927">
        <f>IF($P927="","",IF(INDEX(명단표[소속병원],$P927)="서울병원","서울 소속","타 병원 소속("&amp;INDEX(명단표[소속병원],$P927)&amp;") → 서울 지급"))</f>
        <v/>
      </c>
      <c r="I927">
        <f>IF($P927="","",INDEX(명단표[현재 근무병원],$P927))</f>
        <v/>
      </c>
      <c r="J927">
        <f>IF($P927="","",INDEX(명단표[구리 근무 시작일(기준월)],$P927)&amp;"")</f>
        <v/>
      </c>
      <c r="K927">
        <f>IF($P927="","",INDEX(명단표[구리 근무 종료일(기준월)],$P927)&amp;"")</f>
        <v/>
      </c>
      <c r="L927">
        <f>IF($P927="","",INDEX(명단표[서울 근무일(기준월)],$P927))</f>
        <v/>
      </c>
      <c r="M927">
        <f>IF($P927="","",INDEX(명단표[구리 근무일(기준월)],$P927))</f>
        <v/>
      </c>
      <c r="N927">
        <f>IF($P927="","",INDEX(명단표[급여 판정 근거],$P927))</f>
        <v/>
      </c>
      <c r="O927">
        <f>IF($P927="","",INDEX(명단표[점검],$P927))</f>
        <v/>
      </c>
      <c r="P927" s="17">
        <f>IFERROR(MATCH(922,명단표[서울순번],0),"")</f>
        <v/>
      </c>
      <c r="R927">
        <f>IF($W927="","",INDEX(명단표[이름],$W927))</f>
        <v/>
      </c>
      <c r="S927">
        <f>IF($W927="","",INDEX(명단표[사번],$W927)&amp;"")</f>
        <v/>
      </c>
      <c r="T927">
        <f>IF($W927="","",INDEX(명단표[소속병원],$W927))</f>
        <v/>
      </c>
      <c r="U927">
        <f>IF($W927="","",INDEX(명단표[서울 근무일(기준월)],$W927))</f>
        <v/>
      </c>
      <c r="V927">
        <f>IF($W927="","",INDEX(명단표[구리 근무일(기준월)],$W927))</f>
        <v/>
      </c>
      <c r="W927" s="17">
        <f>IFERROR(MATCH(922,명단표[판정불가순번],0),"")</f>
        <v/>
      </c>
    </row>
    <row r="928">
      <c r="A928">
        <f>IF($P928="","",923)</f>
        <v/>
      </c>
      <c r="B928">
        <f>IF($P928="","",INDEX(명단표[이름],$P928))</f>
        <v/>
      </c>
      <c r="C928">
        <f>IF($P928="","",INDEX(명단표[사번],$P928)&amp;"")</f>
        <v/>
      </c>
      <c r="D928">
        <f>IF($P928="","",INDEX(명단표[전공의등록번호],$P928)&amp;"")</f>
        <v/>
      </c>
      <c r="E928">
        <f>IF($P928="","",INDEX(명단표[수련과목],$P928)&amp;"")</f>
        <v/>
      </c>
      <c r="F928">
        <f>IF($P928="","",INDEX(명단표[연차],$P928)&amp;"")</f>
        <v/>
      </c>
      <c r="G928">
        <f>IF($P928="","",INDEX(명단표[소속병원],$P928))</f>
        <v/>
      </c>
      <c r="H928">
        <f>IF($P928="","",IF(INDEX(명단표[소속병원],$P928)="서울병원","서울 소속","타 병원 소속("&amp;INDEX(명단표[소속병원],$P928)&amp;") → 서울 지급"))</f>
        <v/>
      </c>
      <c r="I928">
        <f>IF($P928="","",INDEX(명단표[현재 근무병원],$P928))</f>
        <v/>
      </c>
      <c r="J928">
        <f>IF($P928="","",INDEX(명단표[구리 근무 시작일(기준월)],$P928)&amp;"")</f>
        <v/>
      </c>
      <c r="K928">
        <f>IF($P928="","",INDEX(명단표[구리 근무 종료일(기준월)],$P928)&amp;"")</f>
        <v/>
      </c>
      <c r="L928">
        <f>IF($P928="","",INDEX(명단표[서울 근무일(기준월)],$P928))</f>
        <v/>
      </c>
      <c r="M928">
        <f>IF($P928="","",INDEX(명단표[구리 근무일(기준월)],$P928))</f>
        <v/>
      </c>
      <c r="N928">
        <f>IF($P928="","",INDEX(명단표[급여 판정 근거],$P928))</f>
        <v/>
      </c>
      <c r="O928">
        <f>IF($P928="","",INDEX(명단표[점검],$P928))</f>
        <v/>
      </c>
      <c r="P928" s="17">
        <f>IFERROR(MATCH(923,명단표[서울순번],0),"")</f>
        <v/>
      </c>
      <c r="R928">
        <f>IF($W928="","",INDEX(명단표[이름],$W928))</f>
        <v/>
      </c>
      <c r="S928">
        <f>IF($W928="","",INDEX(명단표[사번],$W928)&amp;"")</f>
        <v/>
      </c>
      <c r="T928">
        <f>IF($W928="","",INDEX(명단표[소속병원],$W928))</f>
        <v/>
      </c>
      <c r="U928">
        <f>IF($W928="","",INDEX(명단표[서울 근무일(기준월)],$W928))</f>
        <v/>
      </c>
      <c r="V928">
        <f>IF($W928="","",INDEX(명단표[구리 근무일(기준월)],$W928))</f>
        <v/>
      </c>
      <c r="W928" s="17">
        <f>IFERROR(MATCH(923,명단표[판정불가순번],0),"")</f>
        <v/>
      </c>
    </row>
    <row r="929">
      <c r="A929">
        <f>IF($P929="","",924)</f>
        <v/>
      </c>
      <c r="B929">
        <f>IF($P929="","",INDEX(명단표[이름],$P929))</f>
        <v/>
      </c>
      <c r="C929">
        <f>IF($P929="","",INDEX(명단표[사번],$P929)&amp;"")</f>
        <v/>
      </c>
      <c r="D929">
        <f>IF($P929="","",INDEX(명단표[전공의등록번호],$P929)&amp;"")</f>
        <v/>
      </c>
      <c r="E929">
        <f>IF($P929="","",INDEX(명단표[수련과목],$P929)&amp;"")</f>
        <v/>
      </c>
      <c r="F929">
        <f>IF($P929="","",INDEX(명단표[연차],$P929)&amp;"")</f>
        <v/>
      </c>
      <c r="G929">
        <f>IF($P929="","",INDEX(명단표[소속병원],$P929))</f>
        <v/>
      </c>
      <c r="H929">
        <f>IF($P929="","",IF(INDEX(명단표[소속병원],$P929)="서울병원","서울 소속","타 병원 소속("&amp;INDEX(명단표[소속병원],$P929)&amp;") → 서울 지급"))</f>
        <v/>
      </c>
      <c r="I929">
        <f>IF($P929="","",INDEX(명단표[현재 근무병원],$P929))</f>
        <v/>
      </c>
      <c r="J929">
        <f>IF($P929="","",INDEX(명단표[구리 근무 시작일(기준월)],$P929)&amp;"")</f>
        <v/>
      </c>
      <c r="K929">
        <f>IF($P929="","",INDEX(명단표[구리 근무 종료일(기준월)],$P929)&amp;"")</f>
        <v/>
      </c>
      <c r="L929">
        <f>IF($P929="","",INDEX(명단표[서울 근무일(기준월)],$P929))</f>
        <v/>
      </c>
      <c r="M929">
        <f>IF($P929="","",INDEX(명단표[구리 근무일(기준월)],$P929))</f>
        <v/>
      </c>
      <c r="N929">
        <f>IF($P929="","",INDEX(명단표[급여 판정 근거],$P929))</f>
        <v/>
      </c>
      <c r="O929">
        <f>IF($P929="","",INDEX(명단표[점검],$P929))</f>
        <v/>
      </c>
      <c r="P929" s="17">
        <f>IFERROR(MATCH(924,명단표[서울순번],0),"")</f>
        <v/>
      </c>
      <c r="R929">
        <f>IF($W929="","",INDEX(명단표[이름],$W929))</f>
        <v/>
      </c>
      <c r="S929">
        <f>IF($W929="","",INDEX(명단표[사번],$W929)&amp;"")</f>
        <v/>
      </c>
      <c r="T929">
        <f>IF($W929="","",INDEX(명단표[소속병원],$W929))</f>
        <v/>
      </c>
      <c r="U929">
        <f>IF($W929="","",INDEX(명단표[서울 근무일(기준월)],$W929))</f>
        <v/>
      </c>
      <c r="V929">
        <f>IF($W929="","",INDEX(명단표[구리 근무일(기준월)],$W929))</f>
        <v/>
      </c>
      <c r="W929" s="17">
        <f>IFERROR(MATCH(924,명단표[판정불가순번],0),"")</f>
        <v/>
      </c>
    </row>
    <row r="930">
      <c r="A930">
        <f>IF($P930="","",925)</f>
        <v/>
      </c>
      <c r="B930">
        <f>IF($P930="","",INDEX(명단표[이름],$P930))</f>
        <v/>
      </c>
      <c r="C930">
        <f>IF($P930="","",INDEX(명단표[사번],$P930)&amp;"")</f>
        <v/>
      </c>
      <c r="D930">
        <f>IF($P930="","",INDEX(명단표[전공의등록번호],$P930)&amp;"")</f>
        <v/>
      </c>
      <c r="E930">
        <f>IF($P930="","",INDEX(명단표[수련과목],$P930)&amp;"")</f>
        <v/>
      </c>
      <c r="F930">
        <f>IF($P930="","",INDEX(명단표[연차],$P930)&amp;"")</f>
        <v/>
      </c>
      <c r="G930">
        <f>IF($P930="","",INDEX(명단표[소속병원],$P930))</f>
        <v/>
      </c>
      <c r="H930">
        <f>IF($P930="","",IF(INDEX(명단표[소속병원],$P930)="서울병원","서울 소속","타 병원 소속("&amp;INDEX(명단표[소속병원],$P930)&amp;") → 서울 지급"))</f>
        <v/>
      </c>
      <c r="I930">
        <f>IF($P930="","",INDEX(명단표[현재 근무병원],$P930))</f>
        <v/>
      </c>
      <c r="J930">
        <f>IF($P930="","",INDEX(명단표[구리 근무 시작일(기준월)],$P930)&amp;"")</f>
        <v/>
      </c>
      <c r="K930">
        <f>IF($P930="","",INDEX(명단표[구리 근무 종료일(기준월)],$P930)&amp;"")</f>
        <v/>
      </c>
      <c r="L930">
        <f>IF($P930="","",INDEX(명단표[서울 근무일(기준월)],$P930))</f>
        <v/>
      </c>
      <c r="M930">
        <f>IF($P930="","",INDEX(명단표[구리 근무일(기준월)],$P930))</f>
        <v/>
      </c>
      <c r="N930">
        <f>IF($P930="","",INDEX(명단표[급여 판정 근거],$P930))</f>
        <v/>
      </c>
      <c r="O930">
        <f>IF($P930="","",INDEX(명단표[점검],$P930))</f>
        <v/>
      </c>
      <c r="P930" s="17">
        <f>IFERROR(MATCH(925,명단표[서울순번],0),"")</f>
        <v/>
      </c>
      <c r="R930">
        <f>IF($W930="","",INDEX(명단표[이름],$W930))</f>
        <v/>
      </c>
      <c r="S930">
        <f>IF($W930="","",INDEX(명단표[사번],$W930)&amp;"")</f>
        <v/>
      </c>
      <c r="T930">
        <f>IF($W930="","",INDEX(명단표[소속병원],$W930))</f>
        <v/>
      </c>
      <c r="U930">
        <f>IF($W930="","",INDEX(명단표[서울 근무일(기준월)],$W930))</f>
        <v/>
      </c>
      <c r="V930">
        <f>IF($W930="","",INDEX(명단표[구리 근무일(기준월)],$W930))</f>
        <v/>
      </c>
      <c r="W930" s="17">
        <f>IFERROR(MATCH(925,명단표[판정불가순번],0),"")</f>
        <v/>
      </c>
    </row>
    <row r="931">
      <c r="A931">
        <f>IF($P931="","",926)</f>
        <v/>
      </c>
      <c r="B931">
        <f>IF($P931="","",INDEX(명단표[이름],$P931))</f>
        <v/>
      </c>
      <c r="C931">
        <f>IF($P931="","",INDEX(명단표[사번],$P931)&amp;"")</f>
        <v/>
      </c>
      <c r="D931">
        <f>IF($P931="","",INDEX(명단표[전공의등록번호],$P931)&amp;"")</f>
        <v/>
      </c>
      <c r="E931">
        <f>IF($P931="","",INDEX(명단표[수련과목],$P931)&amp;"")</f>
        <v/>
      </c>
      <c r="F931">
        <f>IF($P931="","",INDEX(명단표[연차],$P931)&amp;"")</f>
        <v/>
      </c>
      <c r="G931">
        <f>IF($P931="","",INDEX(명단표[소속병원],$P931))</f>
        <v/>
      </c>
      <c r="H931">
        <f>IF($P931="","",IF(INDEX(명단표[소속병원],$P931)="서울병원","서울 소속","타 병원 소속("&amp;INDEX(명단표[소속병원],$P931)&amp;") → 서울 지급"))</f>
        <v/>
      </c>
      <c r="I931">
        <f>IF($P931="","",INDEX(명단표[현재 근무병원],$P931))</f>
        <v/>
      </c>
      <c r="J931">
        <f>IF($P931="","",INDEX(명단표[구리 근무 시작일(기준월)],$P931)&amp;"")</f>
        <v/>
      </c>
      <c r="K931">
        <f>IF($P931="","",INDEX(명단표[구리 근무 종료일(기준월)],$P931)&amp;"")</f>
        <v/>
      </c>
      <c r="L931">
        <f>IF($P931="","",INDEX(명단표[서울 근무일(기준월)],$P931))</f>
        <v/>
      </c>
      <c r="M931">
        <f>IF($P931="","",INDEX(명단표[구리 근무일(기준월)],$P931))</f>
        <v/>
      </c>
      <c r="N931">
        <f>IF($P931="","",INDEX(명단표[급여 판정 근거],$P931))</f>
        <v/>
      </c>
      <c r="O931">
        <f>IF($P931="","",INDEX(명단표[점검],$P931))</f>
        <v/>
      </c>
      <c r="P931" s="17">
        <f>IFERROR(MATCH(926,명단표[서울순번],0),"")</f>
        <v/>
      </c>
      <c r="R931">
        <f>IF($W931="","",INDEX(명단표[이름],$W931))</f>
        <v/>
      </c>
      <c r="S931">
        <f>IF($W931="","",INDEX(명단표[사번],$W931)&amp;"")</f>
        <v/>
      </c>
      <c r="T931">
        <f>IF($W931="","",INDEX(명단표[소속병원],$W931))</f>
        <v/>
      </c>
      <c r="U931">
        <f>IF($W931="","",INDEX(명단표[서울 근무일(기준월)],$W931))</f>
        <v/>
      </c>
      <c r="V931">
        <f>IF($W931="","",INDEX(명단표[구리 근무일(기준월)],$W931))</f>
        <v/>
      </c>
      <c r="W931" s="17">
        <f>IFERROR(MATCH(926,명단표[판정불가순번],0),"")</f>
        <v/>
      </c>
    </row>
    <row r="932">
      <c r="A932">
        <f>IF($P932="","",927)</f>
        <v/>
      </c>
      <c r="B932">
        <f>IF($P932="","",INDEX(명단표[이름],$P932))</f>
        <v/>
      </c>
      <c r="C932">
        <f>IF($P932="","",INDEX(명단표[사번],$P932)&amp;"")</f>
        <v/>
      </c>
      <c r="D932">
        <f>IF($P932="","",INDEX(명단표[전공의등록번호],$P932)&amp;"")</f>
        <v/>
      </c>
      <c r="E932">
        <f>IF($P932="","",INDEX(명단표[수련과목],$P932)&amp;"")</f>
        <v/>
      </c>
      <c r="F932">
        <f>IF($P932="","",INDEX(명단표[연차],$P932)&amp;"")</f>
        <v/>
      </c>
      <c r="G932">
        <f>IF($P932="","",INDEX(명단표[소속병원],$P932))</f>
        <v/>
      </c>
      <c r="H932">
        <f>IF($P932="","",IF(INDEX(명단표[소속병원],$P932)="서울병원","서울 소속","타 병원 소속("&amp;INDEX(명단표[소속병원],$P932)&amp;") → 서울 지급"))</f>
        <v/>
      </c>
      <c r="I932">
        <f>IF($P932="","",INDEX(명단표[현재 근무병원],$P932))</f>
        <v/>
      </c>
      <c r="J932">
        <f>IF($P932="","",INDEX(명단표[구리 근무 시작일(기준월)],$P932)&amp;"")</f>
        <v/>
      </c>
      <c r="K932">
        <f>IF($P932="","",INDEX(명단표[구리 근무 종료일(기준월)],$P932)&amp;"")</f>
        <v/>
      </c>
      <c r="L932">
        <f>IF($P932="","",INDEX(명단표[서울 근무일(기준월)],$P932))</f>
        <v/>
      </c>
      <c r="M932">
        <f>IF($P932="","",INDEX(명단표[구리 근무일(기준월)],$P932))</f>
        <v/>
      </c>
      <c r="N932">
        <f>IF($P932="","",INDEX(명단표[급여 판정 근거],$P932))</f>
        <v/>
      </c>
      <c r="O932">
        <f>IF($P932="","",INDEX(명단표[점검],$P932))</f>
        <v/>
      </c>
      <c r="P932" s="17">
        <f>IFERROR(MATCH(927,명단표[서울순번],0),"")</f>
        <v/>
      </c>
      <c r="R932">
        <f>IF($W932="","",INDEX(명단표[이름],$W932))</f>
        <v/>
      </c>
      <c r="S932">
        <f>IF($W932="","",INDEX(명단표[사번],$W932)&amp;"")</f>
        <v/>
      </c>
      <c r="T932">
        <f>IF($W932="","",INDEX(명단표[소속병원],$W932))</f>
        <v/>
      </c>
      <c r="U932">
        <f>IF($W932="","",INDEX(명단표[서울 근무일(기준월)],$W932))</f>
        <v/>
      </c>
      <c r="V932">
        <f>IF($W932="","",INDEX(명단표[구리 근무일(기준월)],$W932))</f>
        <v/>
      </c>
      <c r="W932" s="17">
        <f>IFERROR(MATCH(927,명단표[판정불가순번],0),"")</f>
        <v/>
      </c>
    </row>
    <row r="933">
      <c r="A933">
        <f>IF($P933="","",928)</f>
        <v/>
      </c>
      <c r="B933">
        <f>IF($P933="","",INDEX(명단표[이름],$P933))</f>
        <v/>
      </c>
      <c r="C933">
        <f>IF($P933="","",INDEX(명단표[사번],$P933)&amp;"")</f>
        <v/>
      </c>
      <c r="D933">
        <f>IF($P933="","",INDEX(명단표[전공의등록번호],$P933)&amp;"")</f>
        <v/>
      </c>
      <c r="E933">
        <f>IF($P933="","",INDEX(명단표[수련과목],$P933)&amp;"")</f>
        <v/>
      </c>
      <c r="F933">
        <f>IF($P933="","",INDEX(명단표[연차],$P933)&amp;"")</f>
        <v/>
      </c>
      <c r="G933">
        <f>IF($P933="","",INDEX(명단표[소속병원],$P933))</f>
        <v/>
      </c>
      <c r="H933">
        <f>IF($P933="","",IF(INDEX(명단표[소속병원],$P933)="서울병원","서울 소속","타 병원 소속("&amp;INDEX(명단표[소속병원],$P933)&amp;") → 서울 지급"))</f>
        <v/>
      </c>
      <c r="I933">
        <f>IF($P933="","",INDEX(명단표[현재 근무병원],$P933))</f>
        <v/>
      </c>
      <c r="J933">
        <f>IF($P933="","",INDEX(명단표[구리 근무 시작일(기준월)],$P933)&amp;"")</f>
        <v/>
      </c>
      <c r="K933">
        <f>IF($P933="","",INDEX(명단표[구리 근무 종료일(기준월)],$P933)&amp;"")</f>
        <v/>
      </c>
      <c r="L933">
        <f>IF($P933="","",INDEX(명단표[서울 근무일(기준월)],$P933))</f>
        <v/>
      </c>
      <c r="M933">
        <f>IF($P933="","",INDEX(명단표[구리 근무일(기준월)],$P933))</f>
        <v/>
      </c>
      <c r="N933">
        <f>IF($P933="","",INDEX(명단표[급여 판정 근거],$P933))</f>
        <v/>
      </c>
      <c r="O933">
        <f>IF($P933="","",INDEX(명단표[점검],$P933))</f>
        <v/>
      </c>
      <c r="P933" s="17">
        <f>IFERROR(MATCH(928,명단표[서울순번],0),"")</f>
        <v/>
      </c>
      <c r="R933">
        <f>IF($W933="","",INDEX(명단표[이름],$W933))</f>
        <v/>
      </c>
      <c r="S933">
        <f>IF($W933="","",INDEX(명단표[사번],$W933)&amp;"")</f>
        <v/>
      </c>
      <c r="T933">
        <f>IF($W933="","",INDEX(명단표[소속병원],$W933))</f>
        <v/>
      </c>
      <c r="U933">
        <f>IF($W933="","",INDEX(명단표[서울 근무일(기준월)],$W933))</f>
        <v/>
      </c>
      <c r="V933">
        <f>IF($W933="","",INDEX(명단표[구리 근무일(기준월)],$W933))</f>
        <v/>
      </c>
      <c r="W933" s="17">
        <f>IFERROR(MATCH(928,명단표[판정불가순번],0),"")</f>
        <v/>
      </c>
    </row>
    <row r="934">
      <c r="A934">
        <f>IF($P934="","",929)</f>
        <v/>
      </c>
      <c r="B934">
        <f>IF($P934="","",INDEX(명단표[이름],$P934))</f>
        <v/>
      </c>
      <c r="C934">
        <f>IF($P934="","",INDEX(명단표[사번],$P934)&amp;"")</f>
        <v/>
      </c>
      <c r="D934">
        <f>IF($P934="","",INDEX(명단표[전공의등록번호],$P934)&amp;"")</f>
        <v/>
      </c>
      <c r="E934">
        <f>IF($P934="","",INDEX(명단표[수련과목],$P934)&amp;"")</f>
        <v/>
      </c>
      <c r="F934">
        <f>IF($P934="","",INDEX(명단표[연차],$P934)&amp;"")</f>
        <v/>
      </c>
      <c r="G934">
        <f>IF($P934="","",INDEX(명단표[소속병원],$P934))</f>
        <v/>
      </c>
      <c r="H934">
        <f>IF($P934="","",IF(INDEX(명단표[소속병원],$P934)="서울병원","서울 소속","타 병원 소속("&amp;INDEX(명단표[소속병원],$P934)&amp;") → 서울 지급"))</f>
        <v/>
      </c>
      <c r="I934">
        <f>IF($P934="","",INDEX(명단표[현재 근무병원],$P934))</f>
        <v/>
      </c>
      <c r="J934">
        <f>IF($P934="","",INDEX(명단표[구리 근무 시작일(기준월)],$P934)&amp;"")</f>
        <v/>
      </c>
      <c r="K934">
        <f>IF($P934="","",INDEX(명단표[구리 근무 종료일(기준월)],$P934)&amp;"")</f>
        <v/>
      </c>
      <c r="L934">
        <f>IF($P934="","",INDEX(명단표[서울 근무일(기준월)],$P934))</f>
        <v/>
      </c>
      <c r="M934">
        <f>IF($P934="","",INDEX(명단표[구리 근무일(기준월)],$P934))</f>
        <v/>
      </c>
      <c r="N934">
        <f>IF($P934="","",INDEX(명단표[급여 판정 근거],$P934))</f>
        <v/>
      </c>
      <c r="O934">
        <f>IF($P934="","",INDEX(명단표[점검],$P934))</f>
        <v/>
      </c>
      <c r="P934" s="17">
        <f>IFERROR(MATCH(929,명단표[서울순번],0),"")</f>
        <v/>
      </c>
      <c r="R934">
        <f>IF($W934="","",INDEX(명단표[이름],$W934))</f>
        <v/>
      </c>
      <c r="S934">
        <f>IF($W934="","",INDEX(명단표[사번],$W934)&amp;"")</f>
        <v/>
      </c>
      <c r="T934">
        <f>IF($W934="","",INDEX(명단표[소속병원],$W934))</f>
        <v/>
      </c>
      <c r="U934">
        <f>IF($W934="","",INDEX(명단표[서울 근무일(기준월)],$W934))</f>
        <v/>
      </c>
      <c r="V934">
        <f>IF($W934="","",INDEX(명단표[구리 근무일(기준월)],$W934))</f>
        <v/>
      </c>
      <c r="W934" s="17">
        <f>IFERROR(MATCH(929,명단표[판정불가순번],0),"")</f>
        <v/>
      </c>
    </row>
    <row r="935">
      <c r="A935">
        <f>IF($P935="","",930)</f>
        <v/>
      </c>
      <c r="B935">
        <f>IF($P935="","",INDEX(명단표[이름],$P935))</f>
        <v/>
      </c>
      <c r="C935">
        <f>IF($P935="","",INDEX(명단표[사번],$P935)&amp;"")</f>
        <v/>
      </c>
      <c r="D935">
        <f>IF($P935="","",INDEX(명단표[전공의등록번호],$P935)&amp;"")</f>
        <v/>
      </c>
      <c r="E935">
        <f>IF($P935="","",INDEX(명단표[수련과목],$P935)&amp;"")</f>
        <v/>
      </c>
      <c r="F935">
        <f>IF($P935="","",INDEX(명단표[연차],$P935)&amp;"")</f>
        <v/>
      </c>
      <c r="G935">
        <f>IF($P935="","",INDEX(명단표[소속병원],$P935))</f>
        <v/>
      </c>
      <c r="H935">
        <f>IF($P935="","",IF(INDEX(명단표[소속병원],$P935)="서울병원","서울 소속","타 병원 소속("&amp;INDEX(명단표[소속병원],$P935)&amp;") → 서울 지급"))</f>
        <v/>
      </c>
      <c r="I935">
        <f>IF($P935="","",INDEX(명단표[현재 근무병원],$P935))</f>
        <v/>
      </c>
      <c r="J935">
        <f>IF($P935="","",INDEX(명단표[구리 근무 시작일(기준월)],$P935)&amp;"")</f>
        <v/>
      </c>
      <c r="K935">
        <f>IF($P935="","",INDEX(명단표[구리 근무 종료일(기준월)],$P935)&amp;"")</f>
        <v/>
      </c>
      <c r="L935">
        <f>IF($P935="","",INDEX(명단표[서울 근무일(기준월)],$P935))</f>
        <v/>
      </c>
      <c r="M935">
        <f>IF($P935="","",INDEX(명단표[구리 근무일(기준월)],$P935))</f>
        <v/>
      </c>
      <c r="N935">
        <f>IF($P935="","",INDEX(명단표[급여 판정 근거],$P935))</f>
        <v/>
      </c>
      <c r="O935">
        <f>IF($P935="","",INDEX(명단표[점검],$P935))</f>
        <v/>
      </c>
      <c r="P935" s="17">
        <f>IFERROR(MATCH(930,명단표[서울순번],0),"")</f>
        <v/>
      </c>
      <c r="R935">
        <f>IF($W935="","",INDEX(명단표[이름],$W935))</f>
        <v/>
      </c>
      <c r="S935">
        <f>IF($W935="","",INDEX(명단표[사번],$W935)&amp;"")</f>
        <v/>
      </c>
      <c r="T935">
        <f>IF($W935="","",INDEX(명단표[소속병원],$W935))</f>
        <v/>
      </c>
      <c r="U935">
        <f>IF($W935="","",INDEX(명단표[서울 근무일(기준월)],$W935))</f>
        <v/>
      </c>
      <c r="V935">
        <f>IF($W935="","",INDEX(명단표[구리 근무일(기준월)],$W935))</f>
        <v/>
      </c>
      <c r="W935" s="17">
        <f>IFERROR(MATCH(930,명단표[판정불가순번],0),"")</f>
        <v/>
      </c>
    </row>
    <row r="936">
      <c r="A936">
        <f>IF($P936="","",931)</f>
        <v/>
      </c>
      <c r="B936">
        <f>IF($P936="","",INDEX(명단표[이름],$P936))</f>
        <v/>
      </c>
      <c r="C936">
        <f>IF($P936="","",INDEX(명단표[사번],$P936)&amp;"")</f>
        <v/>
      </c>
      <c r="D936">
        <f>IF($P936="","",INDEX(명단표[전공의등록번호],$P936)&amp;"")</f>
        <v/>
      </c>
      <c r="E936">
        <f>IF($P936="","",INDEX(명단표[수련과목],$P936)&amp;"")</f>
        <v/>
      </c>
      <c r="F936">
        <f>IF($P936="","",INDEX(명단표[연차],$P936)&amp;"")</f>
        <v/>
      </c>
      <c r="G936">
        <f>IF($P936="","",INDEX(명단표[소속병원],$P936))</f>
        <v/>
      </c>
      <c r="H936">
        <f>IF($P936="","",IF(INDEX(명단표[소속병원],$P936)="서울병원","서울 소속","타 병원 소속("&amp;INDEX(명단표[소속병원],$P936)&amp;") → 서울 지급"))</f>
        <v/>
      </c>
      <c r="I936">
        <f>IF($P936="","",INDEX(명단표[현재 근무병원],$P936))</f>
        <v/>
      </c>
      <c r="J936">
        <f>IF($P936="","",INDEX(명단표[구리 근무 시작일(기준월)],$P936)&amp;"")</f>
        <v/>
      </c>
      <c r="K936">
        <f>IF($P936="","",INDEX(명단표[구리 근무 종료일(기준월)],$P936)&amp;"")</f>
        <v/>
      </c>
      <c r="L936">
        <f>IF($P936="","",INDEX(명단표[서울 근무일(기준월)],$P936))</f>
        <v/>
      </c>
      <c r="M936">
        <f>IF($P936="","",INDEX(명단표[구리 근무일(기준월)],$P936))</f>
        <v/>
      </c>
      <c r="N936">
        <f>IF($P936="","",INDEX(명단표[급여 판정 근거],$P936))</f>
        <v/>
      </c>
      <c r="O936">
        <f>IF($P936="","",INDEX(명단표[점검],$P936))</f>
        <v/>
      </c>
      <c r="P936" s="17">
        <f>IFERROR(MATCH(931,명단표[서울순번],0),"")</f>
        <v/>
      </c>
      <c r="R936">
        <f>IF($W936="","",INDEX(명단표[이름],$W936))</f>
        <v/>
      </c>
      <c r="S936">
        <f>IF($W936="","",INDEX(명단표[사번],$W936)&amp;"")</f>
        <v/>
      </c>
      <c r="T936">
        <f>IF($W936="","",INDEX(명단표[소속병원],$W936))</f>
        <v/>
      </c>
      <c r="U936">
        <f>IF($W936="","",INDEX(명단표[서울 근무일(기준월)],$W936))</f>
        <v/>
      </c>
      <c r="V936">
        <f>IF($W936="","",INDEX(명단표[구리 근무일(기준월)],$W936))</f>
        <v/>
      </c>
      <c r="W936" s="17">
        <f>IFERROR(MATCH(931,명단표[판정불가순번],0),"")</f>
        <v/>
      </c>
    </row>
    <row r="937">
      <c r="A937">
        <f>IF($P937="","",932)</f>
        <v/>
      </c>
      <c r="B937">
        <f>IF($P937="","",INDEX(명단표[이름],$P937))</f>
        <v/>
      </c>
      <c r="C937">
        <f>IF($P937="","",INDEX(명단표[사번],$P937)&amp;"")</f>
        <v/>
      </c>
      <c r="D937">
        <f>IF($P937="","",INDEX(명단표[전공의등록번호],$P937)&amp;"")</f>
        <v/>
      </c>
      <c r="E937">
        <f>IF($P937="","",INDEX(명단표[수련과목],$P937)&amp;"")</f>
        <v/>
      </c>
      <c r="F937">
        <f>IF($P937="","",INDEX(명단표[연차],$P937)&amp;"")</f>
        <v/>
      </c>
      <c r="G937">
        <f>IF($P937="","",INDEX(명단표[소속병원],$P937))</f>
        <v/>
      </c>
      <c r="H937">
        <f>IF($P937="","",IF(INDEX(명단표[소속병원],$P937)="서울병원","서울 소속","타 병원 소속("&amp;INDEX(명단표[소속병원],$P937)&amp;") → 서울 지급"))</f>
        <v/>
      </c>
      <c r="I937">
        <f>IF($P937="","",INDEX(명단표[현재 근무병원],$P937))</f>
        <v/>
      </c>
      <c r="J937">
        <f>IF($P937="","",INDEX(명단표[구리 근무 시작일(기준월)],$P937)&amp;"")</f>
        <v/>
      </c>
      <c r="K937">
        <f>IF($P937="","",INDEX(명단표[구리 근무 종료일(기준월)],$P937)&amp;"")</f>
        <v/>
      </c>
      <c r="L937">
        <f>IF($P937="","",INDEX(명단표[서울 근무일(기준월)],$P937))</f>
        <v/>
      </c>
      <c r="M937">
        <f>IF($P937="","",INDEX(명단표[구리 근무일(기준월)],$P937))</f>
        <v/>
      </c>
      <c r="N937">
        <f>IF($P937="","",INDEX(명단표[급여 판정 근거],$P937))</f>
        <v/>
      </c>
      <c r="O937">
        <f>IF($P937="","",INDEX(명단표[점검],$P937))</f>
        <v/>
      </c>
      <c r="P937" s="17">
        <f>IFERROR(MATCH(932,명단표[서울순번],0),"")</f>
        <v/>
      </c>
      <c r="R937">
        <f>IF($W937="","",INDEX(명단표[이름],$W937))</f>
        <v/>
      </c>
      <c r="S937">
        <f>IF($W937="","",INDEX(명단표[사번],$W937)&amp;"")</f>
        <v/>
      </c>
      <c r="T937">
        <f>IF($W937="","",INDEX(명단표[소속병원],$W937))</f>
        <v/>
      </c>
      <c r="U937">
        <f>IF($W937="","",INDEX(명단표[서울 근무일(기준월)],$W937))</f>
        <v/>
      </c>
      <c r="V937">
        <f>IF($W937="","",INDEX(명단표[구리 근무일(기준월)],$W937))</f>
        <v/>
      </c>
      <c r="W937" s="17">
        <f>IFERROR(MATCH(932,명단표[판정불가순번],0),"")</f>
        <v/>
      </c>
    </row>
    <row r="938">
      <c r="A938">
        <f>IF($P938="","",933)</f>
        <v/>
      </c>
      <c r="B938">
        <f>IF($P938="","",INDEX(명단표[이름],$P938))</f>
        <v/>
      </c>
      <c r="C938">
        <f>IF($P938="","",INDEX(명단표[사번],$P938)&amp;"")</f>
        <v/>
      </c>
      <c r="D938">
        <f>IF($P938="","",INDEX(명단표[전공의등록번호],$P938)&amp;"")</f>
        <v/>
      </c>
      <c r="E938">
        <f>IF($P938="","",INDEX(명단표[수련과목],$P938)&amp;"")</f>
        <v/>
      </c>
      <c r="F938">
        <f>IF($P938="","",INDEX(명단표[연차],$P938)&amp;"")</f>
        <v/>
      </c>
      <c r="G938">
        <f>IF($P938="","",INDEX(명단표[소속병원],$P938))</f>
        <v/>
      </c>
      <c r="H938">
        <f>IF($P938="","",IF(INDEX(명단표[소속병원],$P938)="서울병원","서울 소속","타 병원 소속("&amp;INDEX(명단표[소속병원],$P938)&amp;") → 서울 지급"))</f>
        <v/>
      </c>
      <c r="I938">
        <f>IF($P938="","",INDEX(명단표[현재 근무병원],$P938))</f>
        <v/>
      </c>
      <c r="J938">
        <f>IF($P938="","",INDEX(명단표[구리 근무 시작일(기준월)],$P938)&amp;"")</f>
        <v/>
      </c>
      <c r="K938">
        <f>IF($P938="","",INDEX(명단표[구리 근무 종료일(기준월)],$P938)&amp;"")</f>
        <v/>
      </c>
      <c r="L938">
        <f>IF($P938="","",INDEX(명단표[서울 근무일(기준월)],$P938))</f>
        <v/>
      </c>
      <c r="M938">
        <f>IF($P938="","",INDEX(명단표[구리 근무일(기준월)],$P938))</f>
        <v/>
      </c>
      <c r="N938">
        <f>IF($P938="","",INDEX(명단표[급여 판정 근거],$P938))</f>
        <v/>
      </c>
      <c r="O938">
        <f>IF($P938="","",INDEX(명단표[점검],$P938))</f>
        <v/>
      </c>
      <c r="P938" s="17">
        <f>IFERROR(MATCH(933,명단표[서울순번],0),"")</f>
        <v/>
      </c>
      <c r="R938">
        <f>IF($W938="","",INDEX(명단표[이름],$W938))</f>
        <v/>
      </c>
      <c r="S938">
        <f>IF($W938="","",INDEX(명단표[사번],$W938)&amp;"")</f>
        <v/>
      </c>
      <c r="T938">
        <f>IF($W938="","",INDEX(명단표[소속병원],$W938))</f>
        <v/>
      </c>
      <c r="U938">
        <f>IF($W938="","",INDEX(명단표[서울 근무일(기준월)],$W938))</f>
        <v/>
      </c>
      <c r="V938">
        <f>IF($W938="","",INDEX(명단표[구리 근무일(기준월)],$W938))</f>
        <v/>
      </c>
      <c r="W938" s="17">
        <f>IFERROR(MATCH(933,명단표[판정불가순번],0),"")</f>
        <v/>
      </c>
    </row>
    <row r="939">
      <c r="A939">
        <f>IF($P939="","",934)</f>
        <v/>
      </c>
      <c r="B939">
        <f>IF($P939="","",INDEX(명단표[이름],$P939))</f>
        <v/>
      </c>
      <c r="C939">
        <f>IF($P939="","",INDEX(명단표[사번],$P939)&amp;"")</f>
        <v/>
      </c>
      <c r="D939">
        <f>IF($P939="","",INDEX(명단표[전공의등록번호],$P939)&amp;"")</f>
        <v/>
      </c>
      <c r="E939">
        <f>IF($P939="","",INDEX(명단표[수련과목],$P939)&amp;"")</f>
        <v/>
      </c>
      <c r="F939">
        <f>IF($P939="","",INDEX(명단표[연차],$P939)&amp;"")</f>
        <v/>
      </c>
      <c r="G939">
        <f>IF($P939="","",INDEX(명단표[소속병원],$P939))</f>
        <v/>
      </c>
      <c r="H939">
        <f>IF($P939="","",IF(INDEX(명단표[소속병원],$P939)="서울병원","서울 소속","타 병원 소속("&amp;INDEX(명단표[소속병원],$P939)&amp;") → 서울 지급"))</f>
        <v/>
      </c>
      <c r="I939">
        <f>IF($P939="","",INDEX(명단표[현재 근무병원],$P939))</f>
        <v/>
      </c>
      <c r="J939">
        <f>IF($P939="","",INDEX(명단표[구리 근무 시작일(기준월)],$P939)&amp;"")</f>
        <v/>
      </c>
      <c r="K939">
        <f>IF($P939="","",INDEX(명단표[구리 근무 종료일(기준월)],$P939)&amp;"")</f>
        <v/>
      </c>
      <c r="L939">
        <f>IF($P939="","",INDEX(명단표[서울 근무일(기준월)],$P939))</f>
        <v/>
      </c>
      <c r="M939">
        <f>IF($P939="","",INDEX(명단표[구리 근무일(기준월)],$P939))</f>
        <v/>
      </c>
      <c r="N939">
        <f>IF($P939="","",INDEX(명단표[급여 판정 근거],$P939))</f>
        <v/>
      </c>
      <c r="O939">
        <f>IF($P939="","",INDEX(명단표[점검],$P939))</f>
        <v/>
      </c>
      <c r="P939" s="17">
        <f>IFERROR(MATCH(934,명단표[서울순번],0),"")</f>
        <v/>
      </c>
      <c r="R939">
        <f>IF($W939="","",INDEX(명단표[이름],$W939))</f>
        <v/>
      </c>
      <c r="S939">
        <f>IF($W939="","",INDEX(명단표[사번],$W939)&amp;"")</f>
        <v/>
      </c>
      <c r="T939">
        <f>IF($W939="","",INDEX(명단표[소속병원],$W939))</f>
        <v/>
      </c>
      <c r="U939">
        <f>IF($W939="","",INDEX(명단표[서울 근무일(기준월)],$W939))</f>
        <v/>
      </c>
      <c r="V939">
        <f>IF($W939="","",INDEX(명단표[구리 근무일(기준월)],$W939))</f>
        <v/>
      </c>
      <c r="W939" s="17">
        <f>IFERROR(MATCH(934,명단표[판정불가순번],0),"")</f>
        <v/>
      </c>
    </row>
    <row r="940">
      <c r="A940">
        <f>IF($P940="","",935)</f>
        <v/>
      </c>
      <c r="B940">
        <f>IF($P940="","",INDEX(명단표[이름],$P940))</f>
        <v/>
      </c>
      <c r="C940">
        <f>IF($P940="","",INDEX(명단표[사번],$P940)&amp;"")</f>
        <v/>
      </c>
      <c r="D940">
        <f>IF($P940="","",INDEX(명단표[전공의등록번호],$P940)&amp;"")</f>
        <v/>
      </c>
      <c r="E940">
        <f>IF($P940="","",INDEX(명단표[수련과목],$P940)&amp;"")</f>
        <v/>
      </c>
      <c r="F940">
        <f>IF($P940="","",INDEX(명단표[연차],$P940)&amp;"")</f>
        <v/>
      </c>
      <c r="G940">
        <f>IF($P940="","",INDEX(명단표[소속병원],$P940))</f>
        <v/>
      </c>
      <c r="H940">
        <f>IF($P940="","",IF(INDEX(명단표[소속병원],$P940)="서울병원","서울 소속","타 병원 소속("&amp;INDEX(명단표[소속병원],$P940)&amp;") → 서울 지급"))</f>
        <v/>
      </c>
      <c r="I940">
        <f>IF($P940="","",INDEX(명단표[현재 근무병원],$P940))</f>
        <v/>
      </c>
      <c r="J940">
        <f>IF($P940="","",INDEX(명단표[구리 근무 시작일(기준월)],$P940)&amp;"")</f>
        <v/>
      </c>
      <c r="K940">
        <f>IF($P940="","",INDEX(명단표[구리 근무 종료일(기준월)],$P940)&amp;"")</f>
        <v/>
      </c>
      <c r="L940">
        <f>IF($P940="","",INDEX(명단표[서울 근무일(기준월)],$P940))</f>
        <v/>
      </c>
      <c r="M940">
        <f>IF($P940="","",INDEX(명단표[구리 근무일(기준월)],$P940))</f>
        <v/>
      </c>
      <c r="N940">
        <f>IF($P940="","",INDEX(명단표[급여 판정 근거],$P940))</f>
        <v/>
      </c>
      <c r="O940">
        <f>IF($P940="","",INDEX(명단표[점검],$P940))</f>
        <v/>
      </c>
      <c r="P940" s="17">
        <f>IFERROR(MATCH(935,명단표[서울순번],0),"")</f>
        <v/>
      </c>
      <c r="R940">
        <f>IF($W940="","",INDEX(명단표[이름],$W940))</f>
        <v/>
      </c>
      <c r="S940">
        <f>IF($W940="","",INDEX(명단표[사번],$W940)&amp;"")</f>
        <v/>
      </c>
      <c r="T940">
        <f>IF($W940="","",INDEX(명단표[소속병원],$W940))</f>
        <v/>
      </c>
      <c r="U940">
        <f>IF($W940="","",INDEX(명단표[서울 근무일(기준월)],$W940))</f>
        <v/>
      </c>
      <c r="V940">
        <f>IF($W940="","",INDEX(명단표[구리 근무일(기준월)],$W940))</f>
        <v/>
      </c>
      <c r="W940" s="17">
        <f>IFERROR(MATCH(935,명단표[판정불가순번],0),"")</f>
        <v/>
      </c>
    </row>
    <row r="941">
      <c r="A941">
        <f>IF($P941="","",936)</f>
        <v/>
      </c>
      <c r="B941">
        <f>IF($P941="","",INDEX(명단표[이름],$P941))</f>
        <v/>
      </c>
      <c r="C941">
        <f>IF($P941="","",INDEX(명단표[사번],$P941)&amp;"")</f>
        <v/>
      </c>
      <c r="D941">
        <f>IF($P941="","",INDEX(명단표[전공의등록번호],$P941)&amp;"")</f>
        <v/>
      </c>
      <c r="E941">
        <f>IF($P941="","",INDEX(명단표[수련과목],$P941)&amp;"")</f>
        <v/>
      </c>
      <c r="F941">
        <f>IF($P941="","",INDEX(명단표[연차],$P941)&amp;"")</f>
        <v/>
      </c>
      <c r="G941">
        <f>IF($P941="","",INDEX(명단표[소속병원],$P941))</f>
        <v/>
      </c>
      <c r="H941">
        <f>IF($P941="","",IF(INDEX(명단표[소속병원],$P941)="서울병원","서울 소속","타 병원 소속("&amp;INDEX(명단표[소속병원],$P941)&amp;") → 서울 지급"))</f>
        <v/>
      </c>
      <c r="I941">
        <f>IF($P941="","",INDEX(명단표[현재 근무병원],$P941))</f>
        <v/>
      </c>
      <c r="J941">
        <f>IF($P941="","",INDEX(명단표[구리 근무 시작일(기준월)],$P941)&amp;"")</f>
        <v/>
      </c>
      <c r="K941">
        <f>IF($P941="","",INDEX(명단표[구리 근무 종료일(기준월)],$P941)&amp;"")</f>
        <v/>
      </c>
      <c r="L941">
        <f>IF($P941="","",INDEX(명단표[서울 근무일(기준월)],$P941))</f>
        <v/>
      </c>
      <c r="M941">
        <f>IF($P941="","",INDEX(명단표[구리 근무일(기준월)],$P941))</f>
        <v/>
      </c>
      <c r="N941">
        <f>IF($P941="","",INDEX(명단표[급여 판정 근거],$P941))</f>
        <v/>
      </c>
      <c r="O941">
        <f>IF($P941="","",INDEX(명단표[점검],$P941))</f>
        <v/>
      </c>
      <c r="P941" s="17">
        <f>IFERROR(MATCH(936,명단표[서울순번],0),"")</f>
        <v/>
      </c>
      <c r="R941">
        <f>IF($W941="","",INDEX(명단표[이름],$W941))</f>
        <v/>
      </c>
      <c r="S941">
        <f>IF($W941="","",INDEX(명단표[사번],$W941)&amp;"")</f>
        <v/>
      </c>
      <c r="T941">
        <f>IF($W941="","",INDEX(명단표[소속병원],$W941))</f>
        <v/>
      </c>
      <c r="U941">
        <f>IF($W941="","",INDEX(명단표[서울 근무일(기준월)],$W941))</f>
        <v/>
      </c>
      <c r="V941">
        <f>IF($W941="","",INDEX(명단표[구리 근무일(기준월)],$W941))</f>
        <v/>
      </c>
      <c r="W941" s="17">
        <f>IFERROR(MATCH(936,명단표[판정불가순번],0),"")</f>
        <v/>
      </c>
    </row>
    <row r="942">
      <c r="A942">
        <f>IF($P942="","",937)</f>
        <v/>
      </c>
      <c r="B942">
        <f>IF($P942="","",INDEX(명단표[이름],$P942))</f>
        <v/>
      </c>
      <c r="C942">
        <f>IF($P942="","",INDEX(명단표[사번],$P942)&amp;"")</f>
        <v/>
      </c>
      <c r="D942">
        <f>IF($P942="","",INDEX(명단표[전공의등록번호],$P942)&amp;"")</f>
        <v/>
      </c>
      <c r="E942">
        <f>IF($P942="","",INDEX(명단표[수련과목],$P942)&amp;"")</f>
        <v/>
      </c>
      <c r="F942">
        <f>IF($P942="","",INDEX(명단표[연차],$P942)&amp;"")</f>
        <v/>
      </c>
      <c r="G942">
        <f>IF($P942="","",INDEX(명단표[소속병원],$P942))</f>
        <v/>
      </c>
      <c r="H942">
        <f>IF($P942="","",IF(INDEX(명단표[소속병원],$P942)="서울병원","서울 소속","타 병원 소속("&amp;INDEX(명단표[소속병원],$P942)&amp;") → 서울 지급"))</f>
        <v/>
      </c>
      <c r="I942">
        <f>IF($P942="","",INDEX(명단표[현재 근무병원],$P942))</f>
        <v/>
      </c>
      <c r="J942">
        <f>IF($P942="","",INDEX(명단표[구리 근무 시작일(기준월)],$P942)&amp;"")</f>
        <v/>
      </c>
      <c r="K942">
        <f>IF($P942="","",INDEX(명단표[구리 근무 종료일(기준월)],$P942)&amp;"")</f>
        <v/>
      </c>
      <c r="L942">
        <f>IF($P942="","",INDEX(명단표[서울 근무일(기준월)],$P942))</f>
        <v/>
      </c>
      <c r="M942">
        <f>IF($P942="","",INDEX(명단표[구리 근무일(기준월)],$P942))</f>
        <v/>
      </c>
      <c r="N942">
        <f>IF($P942="","",INDEX(명단표[급여 판정 근거],$P942))</f>
        <v/>
      </c>
      <c r="O942">
        <f>IF($P942="","",INDEX(명단표[점검],$P942))</f>
        <v/>
      </c>
      <c r="P942" s="17">
        <f>IFERROR(MATCH(937,명단표[서울순번],0),"")</f>
        <v/>
      </c>
      <c r="R942">
        <f>IF($W942="","",INDEX(명단표[이름],$W942))</f>
        <v/>
      </c>
      <c r="S942">
        <f>IF($W942="","",INDEX(명단표[사번],$W942)&amp;"")</f>
        <v/>
      </c>
      <c r="T942">
        <f>IF($W942="","",INDEX(명단표[소속병원],$W942))</f>
        <v/>
      </c>
      <c r="U942">
        <f>IF($W942="","",INDEX(명단표[서울 근무일(기준월)],$W942))</f>
        <v/>
      </c>
      <c r="V942">
        <f>IF($W942="","",INDEX(명단표[구리 근무일(기준월)],$W942))</f>
        <v/>
      </c>
      <c r="W942" s="17">
        <f>IFERROR(MATCH(937,명단표[판정불가순번],0),"")</f>
        <v/>
      </c>
    </row>
    <row r="943">
      <c r="A943">
        <f>IF($P943="","",938)</f>
        <v/>
      </c>
      <c r="B943">
        <f>IF($P943="","",INDEX(명단표[이름],$P943))</f>
        <v/>
      </c>
      <c r="C943">
        <f>IF($P943="","",INDEX(명단표[사번],$P943)&amp;"")</f>
        <v/>
      </c>
      <c r="D943">
        <f>IF($P943="","",INDEX(명단표[전공의등록번호],$P943)&amp;"")</f>
        <v/>
      </c>
      <c r="E943">
        <f>IF($P943="","",INDEX(명단표[수련과목],$P943)&amp;"")</f>
        <v/>
      </c>
      <c r="F943">
        <f>IF($P943="","",INDEX(명단표[연차],$P943)&amp;"")</f>
        <v/>
      </c>
      <c r="G943">
        <f>IF($P943="","",INDEX(명단표[소속병원],$P943))</f>
        <v/>
      </c>
      <c r="H943">
        <f>IF($P943="","",IF(INDEX(명단표[소속병원],$P943)="서울병원","서울 소속","타 병원 소속("&amp;INDEX(명단표[소속병원],$P943)&amp;") → 서울 지급"))</f>
        <v/>
      </c>
      <c r="I943">
        <f>IF($P943="","",INDEX(명단표[현재 근무병원],$P943))</f>
        <v/>
      </c>
      <c r="J943">
        <f>IF($P943="","",INDEX(명단표[구리 근무 시작일(기준월)],$P943)&amp;"")</f>
        <v/>
      </c>
      <c r="K943">
        <f>IF($P943="","",INDEX(명단표[구리 근무 종료일(기준월)],$P943)&amp;"")</f>
        <v/>
      </c>
      <c r="L943">
        <f>IF($P943="","",INDEX(명단표[서울 근무일(기준월)],$P943))</f>
        <v/>
      </c>
      <c r="M943">
        <f>IF($P943="","",INDEX(명단표[구리 근무일(기준월)],$P943))</f>
        <v/>
      </c>
      <c r="N943">
        <f>IF($P943="","",INDEX(명단표[급여 판정 근거],$P943))</f>
        <v/>
      </c>
      <c r="O943">
        <f>IF($P943="","",INDEX(명단표[점검],$P943))</f>
        <v/>
      </c>
      <c r="P943" s="17">
        <f>IFERROR(MATCH(938,명단표[서울순번],0),"")</f>
        <v/>
      </c>
      <c r="R943">
        <f>IF($W943="","",INDEX(명단표[이름],$W943))</f>
        <v/>
      </c>
      <c r="S943">
        <f>IF($W943="","",INDEX(명단표[사번],$W943)&amp;"")</f>
        <v/>
      </c>
      <c r="T943">
        <f>IF($W943="","",INDEX(명단표[소속병원],$W943))</f>
        <v/>
      </c>
      <c r="U943">
        <f>IF($W943="","",INDEX(명단표[서울 근무일(기준월)],$W943))</f>
        <v/>
      </c>
      <c r="V943">
        <f>IF($W943="","",INDEX(명단표[구리 근무일(기준월)],$W943))</f>
        <v/>
      </c>
      <c r="W943" s="17">
        <f>IFERROR(MATCH(938,명단표[판정불가순번],0),"")</f>
        <v/>
      </c>
    </row>
    <row r="944">
      <c r="A944">
        <f>IF($P944="","",939)</f>
        <v/>
      </c>
      <c r="B944">
        <f>IF($P944="","",INDEX(명단표[이름],$P944))</f>
        <v/>
      </c>
      <c r="C944">
        <f>IF($P944="","",INDEX(명단표[사번],$P944)&amp;"")</f>
        <v/>
      </c>
      <c r="D944">
        <f>IF($P944="","",INDEX(명단표[전공의등록번호],$P944)&amp;"")</f>
        <v/>
      </c>
      <c r="E944">
        <f>IF($P944="","",INDEX(명단표[수련과목],$P944)&amp;"")</f>
        <v/>
      </c>
      <c r="F944">
        <f>IF($P944="","",INDEX(명단표[연차],$P944)&amp;"")</f>
        <v/>
      </c>
      <c r="G944">
        <f>IF($P944="","",INDEX(명단표[소속병원],$P944))</f>
        <v/>
      </c>
      <c r="H944">
        <f>IF($P944="","",IF(INDEX(명단표[소속병원],$P944)="서울병원","서울 소속","타 병원 소속("&amp;INDEX(명단표[소속병원],$P944)&amp;") → 서울 지급"))</f>
        <v/>
      </c>
      <c r="I944">
        <f>IF($P944="","",INDEX(명단표[현재 근무병원],$P944))</f>
        <v/>
      </c>
      <c r="J944">
        <f>IF($P944="","",INDEX(명단표[구리 근무 시작일(기준월)],$P944)&amp;"")</f>
        <v/>
      </c>
      <c r="K944">
        <f>IF($P944="","",INDEX(명단표[구리 근무 종료일(기준월)],$P944)&amp;"")</f>
        <v/>
      </c>
      <c r="L944">
        <f>IF($P944="","",INDEX(명단표[서울 근무일(기준월)],$P944))</f>
        <v/>
      </c>
      <c r="M944">
        <f>IF($P944="","",INDEX(명단표[구리 근무일(기준월)],$P944))</f>
        <v/>
      </c>
      <c r="N944">
        <f>IF($P944="","",INDEX(명단표[급여 판정 근거],$P944))</f>
        <v/>
      </c>
      <c r="O944">
        <f>IF($P944="","",INDEX(명단표[점검],$P944))</f>
        <v/>
      </c>
      <c r="P944" s="17">
        <f>IFERROR(MATCH(939,명단표[서울순번],0),"")</f>
        <v/>
      </c>
      <c r="R944">
        <f>IF($W944="","",INDEX(명단표[이름],$W944))</f>
        <v/>
      </c>
      <c r="S944">
        <f>IF($W944="","",INDEX(명단표[사번],$W944)&amp;"")</f>
        <v/>
      </c>
      <c r="T944">
        <f>IF($W944="","",INDEX(명단표[소속병원],$W944))</f>
        <v/>
      </c>
      <c r="U944">
        <f>IF($W944="","",INDEX(명단표[서울 근무일(기준월)],$W944))</f>
        <v/>
      </c>
      <c r="V944">
        <f>IF($W944="","",INDEX(명단표[구리 근무일(기준월)],$W944))</f>
        <v/>
      </c>
      <c r="W944" s="17">
        <f>IFERROR(MATCH(939,명단표[판정불가순번],0),"")</f>
        <v/>
      </c>
    </row>
    <row r="945">
      <c r="A945">
        <f>IF($P945="","",940)</f>
        <v/>
      </c>
      <c r="B945">
        <f>IF($P945="","",INDEX(명단표[이름],$P945))</f>
        <v/>
      </c>
      <c r="C945">
        <f>IF($P945="","",INDEX(명단표[사번],$P945)&amp;"")</f>
        <v/>
      </c>
      <c r="D945">
        <f>IF($P945="","",INDEX(명단표[전공의등록번호],$P945)&amp;"")</f>
        <v/>
      </c>
      <c r="E945">
        <f>IF($P945="","",INDEX(명단표[수련과목],$P945)&amp;"")</f>
        <v/>
      </c>
      <c r="F945">
        <f>IF($P945="","",INDEX(명단표[연차],$P945)&amp;"")</f>
        <v/>
      </c>
      <c r="G945">
        <f>IF($P945="","",INDEX(명단표[소속병원],$P945))</f>
        <v/>
      </c>
      <c r="H945">
        <f>IF($P945="","",IF(INDEX(명단표[소속병원],$P945)="서울병원","서울 소속","타 병원 소속("&amp;INDEX(명단표[소속병원],$P945)&amp;") → 서울 지급"))</f>
        <v/>
      </c>
      <c r="I945">
        <f>IF($P945="","",INDEX(명단표[현재 근무병원],$P945))</f>
        <v/>
      </c>
      <c r="J945">
        <f>IF($P945="","",INDEX(명단표[구리 근무 시작일(기준월)],$P945)&amp;"")</f>
        <v/>
      </c>
      <c r="K945">
        <f>IF($P945="","",INDEX(명단표[구리 근무 종료일(기준월)],$P945)&amp;"")</f>
        <v/>
      </c>
      <c r="L945">
        <f>IF($P945="","",INDEX(명단표[서울 근무일(기준월)],$P945))</f>
        <v/>
      </c>
      <c r="M945">
        <f>IF($P945="","",INDEX(명단표[구리 근무일(기준월)],$P945))</f>
        <v/>
      </c>
      <c r="N945">
        <f>IF($P945="","",INDEX(명단표[급여 판정 근거],$P945))</f>
        <v/>
      </c>
      <c r="O945">
        <f>IF($P945="","",INDEX(명단표[점검],$P945))</f>
        <v/>
      </c>
      <c r="P945" s="17">
        <f>IFERROR(MATCH(940,명단표[서울순번],0),"")</f>
        <v/>
      </c>
      <c r="R945">
        <f>IF($W945="","",INDEX(명단표[이름],$W945))</f>
        <v/>
      </c>
      <c r="S945">
        <f>IF($W945="","",INDEX(명단표[사번],$W945)&amp;"")</f>
        <v/>
      </c>
      <c r="T945">
        <f>IF($W945="","",INDEX(명단표[소속병원],$W945))</f>
        <v/>
      </c>
      <c r="U945">
        <f>IF($W945="","",INDEX(명단표[서울 근무일(기준월)],$W945))</f>
        <v/>
      </c>
      <c r="V945">
        <f>IF($W945="","",INDEX(명단표[구리 근무일(기준월)],$W945))</f>
        <v/>
      </c>
      <c r="W945" s="17">
        <f>IFERROR(MATCH(940,명단표[판정불가순번],0),"")</f>
        <v/>
      </c>
    </row>
    <row r="946">
      <c r="A946">
        <f>IF($P946="","",941)</f>
        <v/>
      </c>
      <c r="B946">
        <f>IF($P946="","",INDEX(명단표[이름],$P946))</f>
        <v/>
      </c>
      <c r="C946">
        <f>IF($P946="","",INDEX(명단표[사번],$P946)&amp;"")</f>
        <v/>
      </c>
      <c r="D946">
        <f>IF($P946="","",INDEX(명단표[전공의등록번호],$P946)&amp;"")</f>
        <v/>
      </c>
      <c r="E946">
        <f>IF($P946="","",INDEX(명단표[수련과목],$P946)&amp;"")</f>
        <v/>
      </c>
      <c r="F946">
        <f>IF($P946="","",INDEX(명단표[연차],$P946)&amp;"")</f>
        <v/>
      </c>
      <c r="G946">
        <f>IF($P946="","",INDEX(명단표[소속병원],$P946))</f>
        <v/>
      </c>
      <c r="H946">
        <f>IF($P946="","",IF(INDEX(명단표[소속병원],$P946)="서울병원","서울 소속","타 병원 소속("&amp;INDEX(명단표[소속병원],$P946)&amp;") → 서울 지급"))</f>
        <v/>
      </c>
      <c r="I946">
        <f>IF($P946="","",INDEX(명단표[현재 근무병원],$P946))</f>
        <v/>
      </c>
      <c r="J946">
        <f>IF($P946="","",INDEX(명단표[구리 근무 시작일(기준월)],$P946)&amp;"")</f>
        <v/>
      </c>
      <c r="K946">
        <f>IF($P946="","",INDEX(명단표[구리 근무 종료일(기준월)],$P946)&amp;"")</f>
        <v/>
      </c>
      <c r="L946">
        <f>IF($P946="","",INDEX(명단표[서울 근무일(기준월)],$P946))</f>
        <v/>
      </c>
      <c r="M946">
        <f>IF($P946="","",INDEX(명단표[구리 근무일(기준월)],$P946))</f>
        <v/>
      </c>
      <c r="N946">
        <f>IF($P946="","",INDEX(명단표[급여 판정 근거],$P946))</f>
        <v/>
      </c>
      <c r="O946">
        <f>IF($P946="","",INDEX(명단표[점검],$P946))</f>
        <v/>
      </c>
      <c r="P946" s="17">
        <f>IFERROR(MATCH(941,명단표[서울순번],0),"")</f>
        <v/>
      </c>
      <c r="R946">
        <f>IF($W946="","",INDEX(명단표[이름],$W946))</f>
        <v/>
      </c>
      <c r="S946">
        <f>IF($W946="","",INDEX(명단표[사번],$W946)&amp;"")</f>
        <v/>
      </c>
      <c r="T946">
        <f>IF($W946="","",INDEX(명단표[소속병원],$W946))</f>
        <v/>
      </c>
      <c r="U946">
        <f>IF($W946="","",INDEX(명단표[서울 근무일(기준월)],$W946))</f>
        <v/>
      </c>
      <c r="V946">
        <f>IF($W946="","",INDEX(명단표[구리 근무일(기준월)],$W946))</f>
        <v/>
      </c>
      <c r="W946" s="17">
        <f>IFERROR(MATCH(941,명단표[판정불가순번],0),"")</f>
        <v/>
      </c>
    </row>
    <row r="947">
      <c r="A947">
        <f>IF($P947="","",942)</f>
        <v/>
      </c>
      <c r="B947">
        <f>IF($P947="","",INDEX(명단표[이름],$P947))</f>
        <v/>
      </c>
      <c r="C947">
        <f>IF($P947="","",INDEX(명단표[사번],$P947)&amp;"")</f>
        <v/>
      </c>
      <c r="D947">
        <f>IF($P947="","",INDEX(명단표[전공의등록번호],$P947)&amp;"")</f>
        <v/>
      </c>
      <c r="E947">
        <f>IF($P947="","",INDEX(명단표[수련과목],$P947)&amp;"")</f>
        <v/>
      </c>
      <c r="F947">
        <f>IF($P947="","",INDEX(명단표[연차],$P947)&amp;"")</f>
        <v/>
      </c>
      <c r="G947">
        <f>IF($P947="","",INDEX(명단표[소속병원],$P947))</f>
        <v/>
      </c>
      <c r="H947">
        <f>IF($P947="","",IF(INDEX(명단표[소속병원],$P947)="서울병원","서울 소속","타 병원 소속("&amp;INDEX(명단표[소속병원],$P947)&amp;") → 서울 지급"))</f>
        <v/>
      </c>
      <c r="I947">
        <f>IF($P947="","",INDEX(명단표[현재 근무병원],$P947))</f>
        <v/>
      </c>
      <c r="J947">
        <f>IF($P947="","",INDEX(명단표[구리 근무 시작일(기준월)],$P947)&amp;"")</f>
        <v/>
      </c>
      <c r="K947">
        <f>IF($P947="","",INDEX(명단표[구리 근무 종료일(기준월)],$P947)&amp;"")</f>
        <v/>
      </c>
      <c r="L947">
        <f>IF($P947="","",INDEX(명단표[서울 근무일(기준월)],$P947))</f>
        <v/>
      </c>
      <c r="M947">
        <f>IF($P947="","",INDEX(명단표[구리 근무일(기준월)],$P947))</f>
        <v/>
      </c>
      <c r="N947">
        <f>IF($P947="","",INDEX(명단표[급여 판정 근거],$P947))</f>
        <v/>
      </c>
      <c r="O947">
        <f>IF($P947="","",INDEX(명단표[점검],$P947))</f>
        <v/>
      </c>
      <c r="P947" s="17">
        <f>IFERROR(MATCH(942,명단표[서울순번],0),"")</f>
        <v/>
      </c>
      <c r="R947">
        <f>IF($W947="","",INDEX(명단표[이름],$W947))</f>
        <v/>
      </c>
      <c r="S947">
        <f>IF($W947="","",INDEX(명단표[사번],$W947)&amp;"")</f>
        <v/>
      </c>
      <c r="T947">
        <f>IF($W947="","",INDEX(명단표[소속병원],$W947))</f>
        <v/>
      </c>
      <c r="U947">
        <f>IF($W947="","",INDEX(명단표[서울 근무일(기준월)],$W947))</f>
        <v/>
      </c>
      <c r="V947">
        <f>IF($W947="","",INDEX(명단표[구리 근무일(기준월)],$W947))</f>
        <v/>
      </c>
      <c r="W947" s="17">
        <f>IFERROR(MATCH(942,명단표[판정불가순번],0),"")</f>
        <v/>
      </c>
    </row>
    <row r="948">
      <c r="A948">
        <f>IF($P948="","",943)</f>
        <v/>
      </c>
      <c r="B948">
        <f>IF($P948="","",INDEX(명단표[이름],$P948))</f>
        <v/>
      </c>
      <c r="C948">
        <f>IF($P948="","",INDEX(명단표[사번],$P948)&amp;"")</f>
        <v/>
      </c>
      <c r="D948">
        <f>IF($P948="","",INDEX(명단표[전공의등록번호],$P948)&amp;"")</f>
        <v/>
      </c>
      <c r="E948">
        <f>IF($P948="","",INDEX(명단표[수련과목],$P948)&amp;"")</f>
        <v/>
      </c>
      <c r="F948">
        <f>IF($P948="","",INDEX(명단표[연차],$P948)&amp;"")</f>
        <v/>
      </c>
      <c r="G948">
        <f>IF($P948="","",INDEX(명단표[소속병원],$P948))</f>
        <v/>
      </c>
      <c r="H948">
        <f>IF($P948="","",IF(INDEX(명단표[소속병원],$P948)="서울병원","서울 소속","타 병원 소속("&amp;INDEX(명단표[소속병원],$P948)&amp;") → 서울 지급"))</f>
        <v/>
      </c>
      <c r="I948">
        <f>IF($P948="","",INDEX(명단표[현재 근무병원],$P948))</f>
        <v/>
      </c>
      <c r="J948">
        <f>IF($P948="","",INDEX(명단표[구리 근무 시작일(기준월)],$P948)&amp;"")</f>
        <v/>
      </c>
      <c r="K948">
        <f>IF($P948="","",INDEX(명단표[구리 근무 종료일(기준월)],$P948)&amp;"")</f>
        <v/>
      </c>
      <c r="L948">
        <f>IF($P948="","",INDEX(명단표[서울 근무일(기준월)],$P948))</f>
        <v/>
      </c>
      <c r="M948">
        <f>IF($P948="","",INDEX(명단표[구리 근무일(기준월)],$P948))</f>
        <v/>
      </c>
      <c r="N948">
        <f>IF($P948="","",INDEX(명단표[급여 판정 근거],$P948))</f>
        <v/>
      </c>
      <c r="O948">
        <f>IF($P948="","",INDEX(명단표[점검],$P948))</f>
        <v/>
      </c>
      <c r="P948" s="17">
        <f>IFERROR(MATCH(943,명단표[서울순번],0),"")</f>
        <v/>
      </c>
      <c r="R948">
        <f>IF($W948="","",INDEX(명단표[이름],$W948))</f>
        <v/>
      </c>
      <c r="S948">
        <f>IF($W948="","",INDEX(명단표[사번],$W948)&amp;"")</f>
        <v/>
      </c>
      <c r="T948">
        <f>IF($W948="","",INDEX(명단표[소속병원],$W948))</f>
        <v/>
      </c>
      <c r="U948">
        <f>IF($W948="","",INDEX(명단표[서울 근무일(기준월)],$W948))</f>
        <v/>
      </c>
      <c r="V948">
        <f>IF($W948="","",INDEX(명단표[구리 근무일(기준월)],$W948))</f>
        <v/>
      </c>
      <c r="W948" s="17">
        <f>IFERROR(MATCH(943,명단표[판정불가순번],0),"")</f>
        <v/>
      </c>
    </row>
    <row r="949">
      <c r="A949">
        <f>IF($P949="","",944)</f>
        <v/>
      </c>
      <c r="B949">
        <f>IF($P949="","",INDEX(명단표[이름],$P949))</f>
        <v/>
      </c>
      <c r="C949">
        <f>IF($P949="","",INDEX(명단표[사번],$P949)&amp;"")</f>
        <v/>
      </c>
      <c r="D949">
        <f>IF($P949="","",INDEX(명단표[전공의등록번호],$P949)&amp;"")</f>
        <v/>
      </c>
      <c r="E949">
        <f>IF($P949="","",INDEX(명단표[수련과목],$P949)&amp;"")</f>
        <v/>
      </c>
      <c r="F949">
        <f>IF($P949="","",INDEX(명단표[연차],$P949)&amp;"")</f>
        <v/>
      </c>
      <c r="G949">
        <f>IF($P949="","",INDEX(명단표[소속병원],$P949))</f>
        <v/>
      </c>
      <c r="H949">
        <f>IF($P949="","",IF(INDEX(명단표[소속병원],$P949)="서울병원","서울 소속","타 병원 소속("&amp;INDEX(명단표[소속병원],$P949)&amp;") → 서울 지급"))</f>
        <v/>
      </c>
      <c r="I949">
        <f>IF($P949="","",INDEX(명단표[현재 근무병원],$P949))</f>
        <v/>
      </c>
      <c r="J949">
        <f>IF($P949="","",INDEX(명단표[구리 근무 시작일(기준월)],$P949)&amp;"")</f>
        <v/>
      </c>
      <c r="K949">
        <f>IF($P949="","",INDEX(명단표[구리 근무 종료일(기준월)],$P949)&amp;"")</f>
        <v/>
      </c>
      <c r="L949">
        <f>IF($P949="","",INDEX(명단표[서울 근무일(기준월)],$P949))</f>
        <v/>
      </c>
      <c r="M949">
        <f>IF($P949="","",INDEX(명단표[구리 근무일(기준월)],$P949))</f>
        <v/>
      </c>
      <c r="N949">
        <f>IF($P949="","",INDEX(명단표[급여 판정 근거],$P949))</f>
        <v/>
      </c>
      <c r="O949">
        <f>IF($P949="","",INDEX(명단표[점검],$P949))</f>
        <v/>
      </c>
      <c r="P949" s="17">
        <f>IFERROR(MATCH(944,명단표[서울순번],0),"")</f>
        <v/>
      </c>
      <c r="R949">
        <f>IF($W949="","",INDEX(명단표[이름],$W949))</f>
        <v/>
      </c>
      <c r="S949">
        <f>IF($W949="","",INDEX(명단표[사번],$W949)&amp;"")</f>
        <v/>
      </c>
      <c r="T949">
        <f>IF($W949="","",INDEX(명단표[소속병원],$W949))</f>
        <v/>
      </c>
      <c r="U949">
        <f>IF($W949="","",INDEX(명단표[서울 근무일(기준월)],$W949))</f>
        <v/>
      </c>
      <c r="V949">
        <f>IF($W949="","",INDEX(명단표[구리 근무일(기준월)],$W949))</f>
        <v/>
      </c>
      <c r="W949" s="17">
        <f>IFERROR(MATCH(944,명단표[판정불가순번],0),"")</f>
        <v/>
      </c>
    </row>
    <row r="950">
      <c r="A950">
        <f>IF($P950="","",945)</f>
        <v/>
      </c>
      <c r="B950">
        <f>IF($P950="","",INDEX(명단표[이름],$P950))</f>
        <v/>
      </c>
      <c r="C950">
        <f>IF($P950="","",INDEX(명단표[사번],$P950)&amp;"")</f>
        <v/>
      </c>
      <c r="D950">
        <f>IF($P950="","",INDEX(명단표[전공의등록번호],$P950)&amp;"")</f>
        <v/>
      </c>
      <c r="E950">
        <f>IF($P950="","",INDEX(명단표[수련과목],$P950)&amp;"")</f>
        <v/>
      </c>
      <c r="F950">
        <f>IF($P950="","",INDEX(명단표[연차],$P950)&amp;"")</f>
        <v/>
      </c>
      <c r="G950">
        <f>IF($P950="","",INDEX(명단표[소속병원],$P950))</f>
        <v/>
      </c>
      <c r="H950">
        <f>IF($P950="","",IF(INDEX(명단표[소속병원],$P950)="서울병원","서울 소속","타 병원 소속("&amp;INDEX(명단표[소속병원],$P950)&amp;") → 서울 지급"))</f>
        <v/>
      </c>
      <c r="I950">
        <f>IF($P950="","",INDEX(명단표[현재 근무병원],$P950))</f>
        <v/>
      </c>
      <c r="J950">
        <f>IF($P950="","",INDEX(명단표[구리 근무 시작일(기준월)],$P950)&amp;"")</f>
        <v/>
      </c>
      <c r="K950">
        <f>IF($P950="","",INDEX(명단표[구리 근무 종료일(기준월)],$P950)&amp;"")</f>
        <v/>
      </c>
      <c r="L950">
        <f>IF($P950="","",INDEX(명단표[서울 근무일(기준월)],$P950))</f>
        <v/>
      </c>
      <c r="M950">
        <f>IF($P950="","",INDEX(명단표[구리 근무일(기준월)],$P950))</f>
        <v/>
      </c>
      <c r="N950">
        <f>IF($P950="","",INDEX(명단표[급여 판정 근거],$P950))</f>
        <v/>
      </c>
      <c r="O950">
        <f>IF($P950="","",INDEX(명단표[점검],$P950))</f>
        <v/>
      </c>
      <c r="P950" s="17">
        <f>IFERROR(MATCH(945,명단표[서울순번],0),"")</f>
        <v/>
      </c>
      <c r="R950">
        <f>IF($W950="","",INDEX(명단표[이름],$W950))</f>
        <v/>
      </c>
      <c r="S950">
        <f>IF($W950="","",INDEX(명단표[사번],$W950)&amp;"")</f>
        <v/>
      </c>
      <c r="T950">
        <f>IF($W950="","",INDEX(명단표[소속병원],$W950))</f>
        <v/>
      </c>
      <c r="U950">
        <f>IF($W950="","",INDEX(명단표[서울 근무일(기준월)],$W950))</f>
        <v/>
      </c>
      <c r="V950">
        <f>IF($W950="","",INDEX(명단표[구리 근무일(기준월)],$W950))</f>
        <v/>
      </c>
      <c r="W950" s="17">
        <f>IFERROR(MATCH(945,명단표[판정불가순번],0),"")</f>
        <v/>
      </c>
    </row>
    <row r="951">
      <c r="A951">
        <f>IF($P951="","",946)</f>
        <v/>
      </c>
      <c r="B951">
        <f>IF($P951="","",INDEX(명단표[이름],$P951))</f>
        <v/>
      </c>
      <c r="C951">
        <f>IF($P951="","",INDEX(명단표[사번],$P951)&amp;"")</f>
        <v/>
      </c>
      <c r="D951">
        <f>IF($P951="","",INDEX(명단표[전공의등록번호],$P951)&amp;"")</f>
        <v/>
      </c>
      <c r="E951">
        <f>IF($P951="","",INDEX(명단표[수련과목],$P951)&amp;"")</f>
        <v/>
      </c>
      <c r="F951">
        <f>IF($P951="","",INDEX(명단표[연차],$P951)&amp;"")</f>
        <v/>
      </c>
      <c r="G951">
        <f>IF($P951="","",INDEX(명단표[소속병원],$P951))</f>
        <v/>
      </c>
      <c r="H951">
        <f>IF($P951="","",IF(INDEX(명단표[소속병원],$P951)="서울병원","서울 소속","타 병원 소속("&amp;INDEX(명단표[소속병원],$P951)&amp;") → 서울 지급"))</f>
        <v/>
      </c>
      <c r="I951">
        <f>IF($P951="","",INDEX(명단표[현재 근무병원],$P951))</f>
        <v/>
      </c>
      <c r="J951">
        <f>IF($P951="","",INDEX(명단표[구리 근무 시작일(기준월)],$P951)&amp;"")</f>
        <v/>
      </c>
      <c r="K951">
        <f>IF($P951="","",INDEX(명단표[구리 근무 종료일(기준월)],$P951)&amp;"")</f>
        <v/>
      </c>
      <c r="L951">
        <f>IF($P951="","",INDEX(명단표[서울 근무일(기준월)],$P951))</f>
        <v/>
      </c>
      <c r="M951">
        <f>IF($P951="","",INDEX(명단표[구리 근무일(기준월)],$P951))</f>
        <v/>
      </c>
      <c r="N951">
        <f>IF($P951="","",INDEX(명단표[급여 판정 근거],$P951))</f>
        <v/>
      </c>
      <c r="O951">
        <f>IF($P951="","",INDEX(명단표[점검],$P951))</f>
        <v/>
      </c>
      <c r="P951" s="17">
        <f>IFERROR(MATCH(946,명단표[서울순번],0),"")</f>
        <v/>
      </c>
      <c r="R951">
        <f>IF($W951="","",INDEX(명단표[이름],$W951))</f>
        <v/>
      </c>
      <c r="S951">
        <f>IF($W951="","",INDEX(명단표[사번],$W951)&amp;"")</f>
        <v/>
      </c>
      <c r="T951">
        <f>IF($W951="","",INDEX(명단표[소속병원],$W951))</f>
        <v/>
      </c>
      <c r="U951">
        <f>IF($W951="","",INDEX(명단표[서울 근무일(기준월)],$W951))</f>
        <v/>
      </c>
      <c r="V951">
        <f>IF($W951="","",INDEX(명단표[구리 근무일(기준월)],$W951))</f>
        <v/>
      </c>
      <c r="W951" s="17">
        <f>IFERROR(MATCH(946,명단표[판정불가순번],0),"")</f>
        <v/>
      </c>
    </row>
    <row r="952">
      <c r="A952">
        <f>IF($P952="","",947)</f>
        <v/>
      </c>
      <c r="B952">
        <f>IF($P952="","",INDEX(명단표[이름],$P952))</f>
        <v/>
      </c>
      <c r="C952">
        <f>IF($P952="","",INDEX(명단표[사번],$P952)&amp;"")</f>
        <v/>
      </c>
      <c r="D952">
        <f>IF($P952="","",INDEX(명단표[전공의등록번호],$P952)&amp;"")</f>
        <v/>
      </c>
      <c r="E952">
        <f>IF($P952="","",INDEX(명단표[수련과목],$P952)&amp;"")</f>
        <v/>
      </c>
      <c r="F952">
        <f>IF($P952="","",INDEX(명단표[연차],$P952)&amp;"")</f>
        <v/>
      </c>
      <c r="G952">
        <f>IF($P952="","",INDEX(명단표[소속병원],$P952))</f>
        <v/>
      </c>
      <c r="H952">
        <f>IF($P952="","",IF(INDEX(명단표[소속병원],$P952)="서울병원","서울 소속","타 병원 소속("&amp;INDEX(명단표[소속병원],$P952)&amp;") → 서울 지급"))</f>
        <v/>
      </c>
      <c r="I952">
        <f>IF($P952="","",INDEX(명단표[현재 근무병원],$P952))</f>
        <v/>
      </c>
      <c r="J952">
        <f>IF($P952="","",INDEX(명단표[구리 근무 시작일(기준월)],$P952)&amp;"")</f>
        <v/>
      </c>
      <c r="K952">
        <f>IF($P952="","",INDEX(명단표[구리 근무 종료일(기준월)],$P952)&amp;"")</f>
        <v/>
      </c>
      <c r="L952">
        <f>IF($P952="","",INDEX(명단표[서울 근무일(기준월)],$P952))</f>
        <v/>
      </c>
      <c r="M952">
        <f>IF($P952="","",INDEX(명단표[구리 근무일(기준월)],$P952))</f>
        <v/>
      </c>
      <c r="N952">
        <f>IF($P952="","",INDEX(명단표[급여 판정 근거],$P952))</f>
        <v/>
      </c>
      <c r="O952">
        <f>IF($P952="","",INDEX(명단표[점검],$P952))</f>
        <v/>
      </c>
      <c r="P952" s="17">
        <f>IFERROR(MATCH(947,명단표[서울순번],0),"")</f>
        <v/>
      </c>
      <c r="R952">
        <f>IF($W952="","",INDEX(명단표[이름],$W952))</f>
        <v/>
      </c>
      <c r="S952">
        <f>IF($W952="","",INDEX(명단표[사번],$W952)&amp;"")</f>
        <v/>
      </c>
      <c r="T952">
        <f>IF($W952="","",INDEX(명단표[소속병원],$W952))</f>
        <v/>
      </c>
      <c r="U952">
        <f>IF($W952="","",INDEX(명단표[서울 근무일(기준월)],$W952))</f>
        <v/>
      </c>
      <c r="V952">
        <f>IF($W952="","",INDEX(명단표[구리 근무일(기준월)],$W952))</f>
        <v/>
      </c>
      <c r="W952" s="17">
        <f>IFERROR(MATCH(947,명단표[판정불가순번],0),"")</f>
        <v/>
      </c>
    </row>
    <row r="953">
      <c r="A953">
        <f>IF($P953="","",948)</f>
        <v/>
      </c>
      <c r="B953">
        <f>IF($P953="","",INDEX(명단표[이름],$P953))</f>
        <v/>
      </c>
      <c r="C953">
        <f>IF($P953="","",INDEX(명단표[사번],$P953)&amp;"")</f>
        <v/>
      </c>
      <c r="D953">
        <f>IF($P953="","",INDEX(명단표[전공의등록번호],$P953)&amp;"")</f>
        <v/>
      </c>
      <c r="E953">
        <f>IF($P953="","",INDEX(명단표[수련과목],$P953)&amp;"")</f>
        <v/>
      </c>
      <c r="F953">
        <f>IF($P953="","",INDEX(명단표[연차],$P953)&amp;"")</f>
        <v/>
      </c>
      <c r="G953">
        <f>IF($P953="","",INDEX(명단표[소속병원],$P953))</f>
        <v/>
      </c>
      <c r="H953">
        <f>IF($P953="","",IF(INDEX(명단표[소속병원],$P953)="서울병원","서울 소속","타 병원 소속("&amp;INDEX(명단표[소속병원],$P953)&amp;") → 서울 지급"))</f>
        <v/>
      </c>
      <c r="I953">
        <f>IF($P953="","",INDEX(명단표[현재 근무병원],$P953))</f>
        <v/>
      </c>
      <c r="J953">
        <f>IF($P953="","",INDEX(명단표[구리 근무 시작일(기준월)],$P953)&amp;"")</f>
        <v/>
      </c>
      <c r="K953">
        <f>IF($P953="","",INDEX(명단표[구리 근무 종료일(기준월)],$P953)&amp;"")</f>
        <v/>
      </c>
      <c r="L953">
        <f>IF($P953="","",INDEX(명단표[서울 근무일(기준월)],$P953))</f>
        <v/>
      </c>
      <c r="M953">
        <f>IF($P953="","",INDEX(명단표[구리 근무일(기준월)],$P953))</f>
        <v/>
      </c>
      <c r="N953">
        <f>IF($P953="","",INDEX(명단표[급여 판정 근거],$P953))</f>
        <v/>
      </c>
      <c r="O953">
        <f>IF($P953="","",INDEX(명단표[점검],$P953))</f>
        <v/>
      </c>
      <c r="P953" s="17">
        <f>IFERROR(MATCH(948,명단표[서울순번],0),"")</f>
        <v/>
      </c>
      <c r="R953">
        <f>IF($W953="","",INDEX(명단표[이름],$W953))</f>
        <v/>
      </c>
      <c r="S953">
        <f>IF($W953="","",INDEX(명단표[사번],$W953)&amp;"")</f>
        <v/>
      </c>
      <c r="T953">
        <f>IF($W953="","",INDEX(명단표[소속병원],$W953))</f>
        <v/>
      </c>
      <c r="U953">
        <f>IF($W953="","",INDEX(명단표[서울 근무일(기준월)],$W953))</f>
        <v/>
      </c>
      <c r="V953">
        <f>IF($W953="","",INDEX(명단표[구리 근무일(기준월)],$W953))</f>
        <v/>
      </c>
      <c r="W953" s="17">
        <f>IFERROR(MATCH(948,명단표[판정불가순번],0),"")</f>
        <v/>
      </c>
    </row>
    <row r="954">
      <c r="A954">
        <f>IF($P954="","",949)</f>
        <v/>
      </c>
      <c r="B954">
        <f>IF($P954="","",INDEX(명단표[이름],$P954))</f>
        <v/>
      </c>
      <c r="C954">
        <f>IF($P954="","",INDEX(명단표[사번],$P954)&amp;"")</f>
        <v/>
      </c>
      <c r="D954">
        <f>IF($P954="","",INDEX(명단표[전공의등록번호],$P954)&amp;"")</f>
        <v/>
      </c>
      <c r="E954">
        <f>IF($P954="","",INDEX(명단표[수련과목],$P954)&amp;"")</f>
        <v/>
      </c>
      <c r="F954">
        <f>IF($P954="","",INDEX(명단표[연차],$P954)&amp;"")</f>
        <v/>
      </c>
      <c r="G954">
        <f>IF($P954="","",INDEX(명단표[소속병원],$P954))</f>
        <v/>
      </c>
      <c r="H954">
        <f>IF($P954="","",IF(INDEX(명단표[소속병원],$P954)="서울병원","서울 소속","타 병원 소속("&amp;INDEX(명단표[소속병원],$P954)&amp;") → 서울 지급"))</f>
        <v/>
      </c>
      <c r="I954">
        <f>IF($P954="","",INDEX(명단표[현재 근무병원],$P954))</f>
        <v/>
      </c>
      <c r="J954">
        <f>IF($P954="","",INDEX(명단표[구리 근무 시작일(기준월)],$P954)&amp;"")</f>
        <v/>
      </c>
      <c r="K954">
        <f>IF($P954="","",INDEX(명단표[구리 근무 종료일(기준월)],$P954)&amp;"")</f>
        <v/>
      </c>
      <c r="L954">
        <f>IF($P954="","",INDEX(명단표[서울 근무일(기준월)],$P954))</f>
        <v/>
      </c>
      <c r="M954">
        <f>IF($P954="","",INDEX(명단표[구리 근무일(기준월)],$P954))</f>
        <v/>
      </c>
      <c r="N954">
        <f>IF($P954="","",INDEX(명단표[급여 판정 근거],$P954))</f>
        <v/>
      </c>
      <c r="O954">
        <f>IF($P954="","",INDEX(명단표[점검],$P954))</f>
        <v/>
      </c>
      <c r="P954" s="17">
        <f>IFERROR(MATCH(949,명단표[서울순번],0),"")</f>
        <v/>
      </c>
      <c r="R954">
        <f>IF($W954="","",INDEX(명단표[이름],$W954))</f>
        <v/>
      </c>
      <c r="S954">
        <f>IF($W954="","",INDEX(명단표[사번],$W954)&amp;"")</f>
        <v/>
      </c>
      <c r="T954">
        <f>IF($W954="","",INDEX(명단표[소속병원],$W954))</f>
        <v/>
      </c>
      <c r="U954">
        <f>IF($W954="","",INDEX(명단표[서울 근무일(기준월)],$W954))</f>
        <v/>
      </c>
      <c r="V954">
        <f>IF($W954="","",INDEX(명단표[구리 근무일(기준월)],$W954))</f>
        <v/>
      </c>
      <c r="W954" s="17">
        <f>IFERROR(MATCH(949,명단표[판정불가순번],0),"")</f>
        <v/>
      </c>
    </row>
    <row r="955">
      <c r="A955">
        <f>IF($P955="","",950)</f>
        <v/>
      </c>
      <c r="B955">
        <f>IF($P955="","",INDEX(명단표[이름],$P955))</f>
        <v/>
      </c>
      <c r="C955">
        <f>IF($P955="","",INDEX(명단표[사번],$P955)&amp;"")</f>
        <v/>
      </c>
      <c r="D955">
        <f>IF($P955="","",INDEX(명단표[전공의등록번호],$P955)&amp;"")</f>
        <v/>
      </c>
      <c r="E955">
        <f>IF($P955="","",INDEX(명단표[수련과목],$P955)&amp;"")</f>
        <v/>
      </c>
      <c r="F955">
        <f>IF($P955="","",INDEX(명단표[연차],$P955)&amp;"")</f>
        <v/>
      </c>
      <c r="G955">
        <f>IF($P955="","",INDEX(명단표[소속병원],$P955))</f>
        <v/>
      </c>
      <c r="H955">
        <f>IF($P955="","",IF(INDEX(명단표[소속병원],$P955)="서울병원","서울 소속","타 병원 소속("&amp;INDEX(명단표[소속병원],$P955)&amp;") → 서울 지급"))</f>
        <v/>
      </c>
      <c r="I955">
        <f>IF($P955="","",INDEX(명단표[현재 근무병원],$P955))</f>
        <v/>
      </c>
      <c r="J955">
        <f>IF($P955="","",INDEX(명단표[구리 근무 시작일(기준월)],$P955)&amp;"")</f>
        <v/>
      </c>
      <c r="K955">
        <f>IF($P955="","",INDEX(명단표[구리 근무 종료일(기준월)],$P955)&amp;"")</f>
        <v/>
      </c>
      <c r="L955">
        <f>IF($P955="","",INDEX(명단표[서울 근무일(기준월)],$P955))</f>
        <v/>
      </c>
      <c r="M955">
        <f>IF($P955="","",INDEX(명단표[구리 근무일(기준월)],$P955))</f>
        <v/>
      </c>
      <c r="N955">
        <f>IF($P955="","",INDEX(명단표[급여 판정 근거],$P955))</f>
        <v/>
      </c>
      <c r="O955">
        <f>IF($P955="","",INDEX(명단표[점검],$P955))</f>
        <v/>
      </c>
      <c r="P955" s="17">
        <f>IFERROR(MATCH(950,명단표[서울순번],0),"")</f>
        <v/>
      </c>
      <c r="R955">
        <f>IF($W955="","",INDEX(명단표[이름],$W955))</f>
        <v/>
      </c>
      <c r="S955">
        <f>IF($W955="","",INDEX(명단표[사번],$W955)&amp;"")</f>
        <v/>
      </c>
      <c r="T955">
        <f>IF($W955="","",INDEX(명단표[소속병원],$W955))</f>
        <v/>
      </c>
      <c r="U955">
        <f>IF($W955="","",INDEX(명단표[서울 근무일(기준월)],$W955))</f>
        <v/>
      </c>
      <c r="V955">
        <f>IF($W955="","",INDEX(명단표[구리 근무일(기준월)],$W955))</f>
        <v/>
      </c>
      <c r="W955" s="17">
        <f>IFERROR(MATCH(950,명단표[판정불가순번],0),"")</f>
        <v/>
      </c>
    </row>
    <row r="956">
      <c r="A956">
        <f>IF($P956="","",951)</f>
        <v/>
      </c>
      <c r="B956">
        <f>IF($P956="","",INDEX(명단표[이름],$P956))</f>
        <v/>
      </c>
      <c r="C956">
        <f>IF($P956="","",INDEX(명단표[사번],$P956)&amp;"")</f>
        <v/>
      </c>
      <c r="D956">
        <f>IF($P956="","",INDEX(명단표[전공의등록번호],$P956)&amp;"")</f>
        <v/>
      </c>
      <c r="E956">
        <f>IF($P956="","",INDEX(명단표[수련과목],$P956)&amp;"")</f>
        <v/>
      </c>
      <c r="F956">
        <f>IF($P956="","",INDEX(명단표[연차],$P956)&amp;"")</f>
        <v/>
      </c>
      <c r="G956">
        <f>IF($P956="","",INDEX(명단표[소속병원],$P956))</f>
        <v/>
      </c>
      <c r="H956">
        <f>IF($P956="","",IF(INDEX(명단표[소속병원],$P956)="서울병원","서울 소속","타 병원 소속("&amp;INDEX(명단표[소속병원],$P956)&amp;") → 서울 지급"))</f>
        <v/>
      </c>
      <c r="I956">
        <f>IF($P956="","",INDEX(명단표[현재 근무병원],$P956))</f>
        <v/>
      </c>
      <c r="J956">
        <f>IF($P956="","",INDEX(명단표[구리 근무 시작일(기준월)],$P956)&amp;"")</f>
        <v/>
      </c>
      <c r="K956">
        <f>IF($P956="","",INDEX(명단표[구리 근무 종료일(기준월)],$P956)&amp;"")</f>
        <v/>
      </c>
      <c r="L956">
        <f>IF($P956="","",INDEX(명단표[서울 근무일(기준월)],$P956))</f>
        <v/>
      </c>
      <c r="M956">
        <f>IF($P956="","",INDEX(명단표[구리 근무일(기준월)],$P956))</f>
        <v/>
      </c>
      <c r="N956">
        <f>IF($P956="","",INDEX(명단표[급여 판정 근거],$P956))</f>
        <v/>
      </c>
      <c r="O956">
        <f>IF($P956="","",INDEX(명단표[점검],$P956))</f>
        <v/>
      </c>
      <c r="P956" s="17">
        <f>IFERROR(MATCH(951,명단표[서울순번],0),"")</f>
        <v/>
      </c>
      <c r="R956">
        <f>IF($W956="","",INDEX(명단표[이름],$W956))</f>
        <v/>
      </c>
      <c r="S956">
        <f>IF($W956="","",INDEX(명단표[사번],$W956)&amp;"")</f>
        <v/>
      </c>
      <c r="T956">
        <f>IF($W956="","",INDEX(명단표[소속병원],$W956))</f>
        <v/>
      </c>
      <c r="U956">
        <f>IF($W956="","",INDEX(명단표[서울 근무일(기준월)],$W956))</f>
        <v/>
      </c>
      <c r="V956">
        <f>IF($W956="","",INDEX(명단표[구리 근무일(기준월)],$W956))</f>
        <v/>
      </c>
      <c r="W956" s="17">
        <f>IFERROR(MATCH(951,명단표[판정불가순번],0),"")</f>
        <v/>
      </c>
    </row>
    <row r="957">
      <c r="A957">
        <f>IF($P957="","",952)</f>
        <v/>
      </c>
      <c r="B957">
        <f>IF($P957="","",INDEX(명단표[이름],$P957))</f>
        <v/>
      </c>
      <c r="C957">
        <f>IF($P957="","",INDEX(명단표[사번],$P957)&amp;"")</f>
        <v/>
      </c>
      <c r="D957">
        <f>IF($P957="","",INDEX(명단표[전공의등록번호],$P957)&amp;"")</f>
        <v/>
      </c>
      <c r="E957">
        <f>IF($P957="","",INDEX(명단표[수련과목],$P957)&amp;"")</f>
        <v/>
      </c>
      <c r="F957">
        <f>IF($P957="","",INDEX(명단표[연차],$P957)&amp;"")</f>
        <v/>
      </c>
      <c r="G957">
        <f>IF($P957="","",INDEX(명단표[소속병원],$P957))</f>
        <v/>
      </c>
      <c r="H957">
        <f>IF($P957="","",IF(INDEX(명단표[소속병원],$P957)="서울병원","서울 소속","타 병원 소속("&amp;INDEX(명단표[소속병원],$P957)&amp;") → 서울 지급"))</f>
        <v/>
      </c>
      <c r="I957">
        <f>IF($P957="","",INDEX(명단표[현재 근무병원],$P957))</f>
        <v/>
      </c>
      <c r="J957">
        <f>IF($P957="","",INDEX(명단표[구리 근무 시작일(기준월)],$P957)&amp;"")</f>
        <v/>
      </c>
      <c r="K957">
        <f>IF($P957="","",INDEX(명단표[구리 근무 종료일(기준월)],$P957)&amp;"")</f>
        <v/>
      </c>
      <c r="L957">
        <f>IF($P957="","",INDEX(명단표[서울 근무일(기준월)],$P957))</f>
        <v/>
      </c>
      <c r="M957">
        <f>IF($P957="","",INDEX(명단표[구리 근무일(기준월)],$P957))</f>
        <v/>
      </c>
      <c r="N957">
        <f>IF($P957="","",INDEX(명단표[급여 판정 근거],$P957))</f>
        <v/>
      </c>
      <c r="O957">
        <f>IF($P957="","",INDEX(명단표[점검],$P957))</f>
        <v/>
      </c>
      <c r="P957" s="17">
        <f>IFERROR(MATCH(952,명단표[서울순번],0),"")</f>
        <v/>
      </c>
      <c r="R957">
        <f>IF($W957="","",INDEX(명단표[이름],$W957))</f>
        <v/>
      </c>
      <c r="S957">
        <f>IF($W957="","",INDEX(명단표[사번],$W957)&amp;"")</f>
        <v/>
      </c>
      <c r="T957">
        <f>IF($W957="","",INDEX(명단표[소속병원],$W957))</f>
        <v/>
      </c>
      <c r="U957">
        <f>IF($W957="","",INDEX(명단표[서울 근무일(기준월)],$W957))</f>
        <v/>
      </c>
      <c r="V957">
        <f>IF($W957="","",INDEX(명단표[구리 근무일(기준월)],$W957))</f>
        <v/>
      </c>
      <c r="W957" s="17">
        <f>IFERROR(MATCH(952,명단표[판정불가순번],0),"")</f>
        <v/>
      </c>
    </row>
    <row r="958">
      <c r="A958">
        <f>IF($P958="","",953)</f>
        <v/>
      </c>
      <c r="B958">
        <f>IF($P958="","",INDEX(명단표[이름],$P958))</f>
        <v/>
      </c>
      <c r="C958">
        <f>IF($P958="","",INDEX(명단표[사번],$P958)&amp;"")</f>
        <v/>
      </c>
      <c r="D958">
        <f>IF($P958="","",INDEX(명단표[전공의등록번호],$P958)&amp;"")</f>
        <v/>
      </c>
      <c r="E958">
        <f>IF($P958="","",INDEX(명단표[수련과목],$P958)&amp;"")</f>
        <v/>
      </c>
      <c r="F958">
        <f>IF($P958="","",INDEX(명단표[연차],$P958)&amp;"")</f>
        <v/>
      </c>
      <c r="G958">
        <f>IF($P958="","",INDEX(명단표[소속병원],$P958))</f>
        <v/>
      </c>
      <c r="H958">
        <f>IF($P958="","",IF(INDEX(명단표[소속병원],$P958)="서울병원","서울 소속","타 병원 소속("&amp;INDEX(명단표[소속병원],$P958)&amp;") → 서울 지급"))</f>
        <v/>
      </c>
      <c r="I958">
        <f>IF($P958="","",INDEX(명단표[현재 근무병원],$P958))</f>
        <v/>
      </c>
      <c r="J958">
        <f>IF($P958="","",INDEX(명단표[구리 근무 시작일(기준월)],$P958)&amp;"")</f>
        <v/>
      </c>
      <c r="K958">
        <f>IF($P958="","",INDEX(명단표[구리 근무 종료일(기준월)],$P958)&amp;"")</f>
        <v/>
      </c>
      <c r="L958">
        <f>IF($P958="","",INDEX(명단표[서울 근무일(기준월)],$P958))</f>
        <v/>
      </c>
      <c r="M958">
        <f>IF($P958="","",INDEX(명단표[구리 근무일(기준월)],$P958))</f>
        <v/>
      </c>
      <c r="N958">
        <f>IF($P958="","",INDEX(명단표[급여 판정 근거],$P958))</f>
        <v/>
      </c>
      <c r="O958">
        <f>IF($P958="","",INDEX(명단표[점검],$P958))</f>
        <v/>
      </c>
      <c r="P958" s="17">
        <f>IFERROR(MATCH(953,명단표[서울순번],0),"")</f>
        <v/>
      </c>
      <c r="R958">
        <f>IF($W958="","",INDEX(명단표[이름],$W958))</f>
        <v/>
      </c>
      <c r="S958">
        <f>IF($W958="","",INDEX(명단표[사번],$W958)&amp;"")</f>
        <v/>
      </c>
      <c r="T958">
        <f>IF($W958="","",INDEX(명단표[소속병원],$W958))</f>
        <v/>
      </c>
      <c r="U958">
        <f>IF($W958="","",INDEX(명단표[서울 근무일(기준월)],$W958))</f>
        <v/>
      </c>
      <c r="V958">
        <f>IF($W958="","",INDEX(명단표[구리 근무일(기준월)],$W958))</f>
        <v/>
      </c>
      <c r="W958" s="17">
        <f>IFERROR(MATCH(953,명단표[판정불가순번],0),"")</f>
        <v/>
      </c>
    </row>
    <row r="959">
      <c r="A959">
        <f>IF($P959="","",954)</f>
        <v/>
      </c>
      <c r="B959">
        <f>IF($P959="","",INDEX(명단표[이름],$P959))</f>
        <v/>
      </c>
      <c r="C959">
        <f>IF($P959="","",INDEX(명단표[사번],$P959)&amp;"")</f>
        <v/>
      </c>
      <c r="D959">
        <f>IF($P959="","",INDEX(명단표[전공의등록번호],$P959)&amp;"")</f>
        <v/>
      </c>
      <c r="E959">
        <f>IF($P959="","",INDEX(명단표[수련과목],$P959)&amp;"")</f>
        <v/>
      </c>
      <c r="F959">
        <f>IF($P959="","",INDEX(명단표[연차],$P959)&amp;"")</f>
        <v/>
      </c>
      <c r="G959">
        <f>IF($P959="","",INDEX(명단표[소속병원],$P959))</f>
        <v/>
      </c>
      <c r="H959">
        <f>IF($P959="","",IF(INDEX(명단표[소속병원],$P959)="서울병원","서울 소속","타 병원 소속("&amp;INDEX(명단표[소속병원],$P959)&amp;") → 서울 지급"))</f>
        <v/>
      </c>
      <c r="I959">
        <f>IF($P959="","",INDEX(명단표[현재 근무병원],$P959))</f>
        <v/>
      </c>
      <c r="J959">
        <f>IF($P959="","",INDEX(명단표[구리 근무 시작일(기준월)],$P959)&amp;"")</f>
        <v/>
      </c>
      <c r="K959">
        <f>IF($P959="","",INDEX(명단표[구리 근무 종료일(기준월)],$P959)&amp;"")</f>
        <v/>
      </c>
      <c r="L959">
        <f>IF($P959="","",INDEX(명단표[서울 근무일(기준월)],$P959))</f>
        <v/>
      </c>
      <c r="M959">
        <f>IF($P959="","",INDEX(명단표[구리 근무일(기준월)],$P959))</f>
        <v/>
      </c>
      <c r="N959">
        <f>IF($P959="","",INDEX(명단표[급여 판정 근거],$P959))</f>
        <v/>
      </c>
      <c r="O959">
        <f>IF($P959="","",INDEX(명단표[점검],$P959))</f>
        <v/>
      </c>
      <c r="P959" s="17">
        <f>IFERROR(MATCH(954,명단표[서울순번],0),"")</f>
        <v/>
      </c>
      <c r="R959">
        <f>IF($W959="","",INDEX(명단표[이름],$W959))</f>
        <v/>
      </c>
      <c r="S959">
        <f>IF($W959="","",INDEX(명단표[사번],$W959)&amp;"")</f>
        <v/>
      </c>
      <c r="T959">
        <f>IF($W959="","",INDEX(명단표[소속병원],$W959))</f>
        <v/>
      </c>
      <c r="U959">
        <f>IF($W959="","",INDEX(명단표[서울 근무일(기준월)],$W959))</f>
        <v/>
      </c>
      <c r="V959">
        <f>IF($W959="","",INDEX(명단표[구리 근무일(기준월)],$W959))</f>
        <v/>
      </c>
      <c r="W959" s="17">
        <f>IFERROR(MATCH(954,명단표[판정불가순번],0),"")</f>
        <v/>
      </c>
    </row>
    <row r="960">
      <c r="A960">
        <f>IF($P960="","",955)</f>
        <v/>
      </c>
      <c r="B960">
        <f>IF($P960="","",INDEX(명단표[이름],$P960))</f>
        <v/>
      </c>
      <c r="C960">
        <f>IF($P960="","",INDEX(명단표[사번],$P960)&amp;"")</f>
        <v/>
      </c>
      <c r="D960">
        <f>IF($P960="","",INDEX(명단표[전공의등록번호],$P960)&amp;"")</f>
        <v/>
      </c>
      <c r="E960">
        <f>IF($P960="","",INDEX(명단표[수련과목],$P960)&amp;"")</f>
        <v/>
      </c>
      <c r="F960">
        <f>IF($P960="","",INDEX(명단표[연차],$P960)&amp;"")</f>
        <v/>
      </c>
      <c r="G960">
        <f>IF($P960="","",INDEX(명단표[소속병원],$P960))</f>
        <v/>
      </c>
      <c r="H960">
        <f>IF($P960="","",IF(INDEX(명단표[소속병원],$P960)="서울병원","서울 소속","타 병원 소속("&amp;INDEX(명단표[소속병원],$P960)&amp;") → 서울 지급"))</f>
        <v/>
      </c>
      <c r="I960">
        <f>IF($P960="","",INDEX(명단표[현재 근무병원],$P960))</f>
        <v/>
      </c>
      <c r="J960">
        <f>IF($P960="","",INDEX(명단표[구리 근무 시작일(기준월)],$P960)&amp;"")</f>
        <v/>
      </c>
      <c r="K960">
        <f>IF($P960="","",INDEX(명단표[구리 근무 종료일(기준월)],$P960)&amp;"")</f>
        <v/>
      </c>
      <c r="L960">
        <f>IF($P960="","",INDEX(명단표[서울 근무일(기준월)],$P960))</f>
        <v/>
      </c>
      <c r="M960">
        <f>IF($P960="","",INDEX(명단표[구리 근무일(기준월)],$P960))</f>
        <v/>
      </c>
      <c r="N960">
        <f>IF($P960="","",INDEX(명단표[급여 판정 근거],$P960))</f>
        <v/>
      </c>
      <c r="O960">
        <f>IF($P960="","",INDEX(명단표[점검],$P960))</f>
        <v/>
      </c>
      <c r="P960" s="17">
        <f>IFERROR(MATCH(955,명단표[서울순번],0),"")</f>
        <v/>
      </c>
      <c r="R960">
        <f>IF($W960="","",INDEX(명단표[이름],$W960))</f>
        <v/>
      </c>
      <c r="S960">
        <f>IF($W960="","",INDEX(명단표[사번],$W960)&amp;"")</f>
        <v/>
      </c>
      <c r="T960">
        <f>IF($W960="","",INDEX(명단표[소속병원],$W960))</f>
        <v/>
      </c>
      <c r="U960">
        <f>IF($W960="","",INDEX(명단표[서울 근무일(기준월)],$W960))</f>
        <v/>
      </c>
      <c r="V960">
        <f>IF($W960="","",INDEX(명단표[구리 근무일(기준월)],$W960))</f>
        <v/>
      </c>
      <c r="W960" s="17">
        <f>IFERROR(MATCH(955,명단표[판정불가순번],0),"")</f>
        <v/>
      </c>
    </row>
    <row r="961">
      <c r="A961">
        <f>IF($P961="","",956)</f>
        <v/>
      </c>
      <c r="B961">
        <f>IF($P961="","",INDEX(명단표[이름],$P961))</f>
        <v/>
      </c>
      <c r="C961">
        <f>IF($P961="","",INDEX(명단표[사번],$P961)&amp;"")</f>
        <v/>
      </c>
      <c r="D961">
        <f>IF($P961="","",INDEX(명단표[전공의등록번호],$P961)&amp;"")</f>
        <v/>
      </c>
      <c r="E961">
        <f>IF($P961="","",INDEX(명단표[수련과목],$P961)&amp;"")</f>
        <v/>
      </c>
      <c r="F961">
        <f>IF($P961="","",INDEX(명단표[연차],$P961)&amp;"")</f>
        <v/>
      </c>
      <c r="G961">
        <f>IF($P961="","",INDEX(명단표[소속병원],$P961))</f>
        <v/>
      </c>
      <c r="H961">
        <f>IF($P961="","",IF(INDEX(명단표[소속병원],$P961)="서울병원","서울 소속","타 병원 소속("&amp;INDEX(명단표[소속병원],$P961)&amp;") → 서울 지급"))</f>
        <v/>
      </c>
      <c r="I961">
        <f>IF($P961="","",INDEX(명단표[현재 근무병원],$P961))</f>
        <v/>
      </c>
      <c r="J961">
        <f>IF($P961="","",INDEX(명단표[구리 근무 시작일(기준월)],$P961)&amp;"")</f>
        <v/>
      </c>
      <c r="K961">
        <f>IF($P961="","",INDEX(명단표[구리 근무 종료일(기준월)],$P961)&amp;"")</f>
        <v/>
      </c>
      <c r="L961">
        <f>IF($P961="","",INDEX(명단표[서울 근무일(기준월)],$P961))</f>
        <v/>
      </c>
      <c r="M961">
        <f>IF($P961="","",INDEX(명단표[구리 근무일(기준월)],$P961))</f>
        <v/>
      </c>
      <c r="N961">
        <f>IF($P961="","",INDEX(명단표[급여 판정 근거],$P961))</f>
        <v/>
      </c>
      <c r="O961">
        <f>IF($P961="","",INDEX(명단표[점검],$P961))</f>
        <v/>
      </c>
      <c r="P961" s="17">
        <f>IFERROR(MATCH(956,명단표[서울순번],0),"")</f>
        <v/>
      </c>
      <c r="R961">
        <f>IF($W961="","",INDEX(명단표[이름],$W961))</f>
        <v/>
      </c>
      <c r="S961">
        <f>IF($W961="","",INDEX(명단표[사번],$W961)&amp;"")</f>
        <v/>
      </c>
      <c r="T961">
        <f>IF($W961="","",INDEX(명단표[소속병원],$W961))</f>
        <v/>
      </c>
      <c r="U961">
        <f>IF($W961="","",INDEX(명단표[서울 근무일(기준월)],$W961))</f>
        <v/>
      </c>
      <c r="V961">
        <f>IF($W961="","",INDEX(명단표[구리 근무일(기준월)],$W961))</f>
        <v/>
      </c>
      <c r="W961" s="17">
        <f>IFERROR(MATCH(956,명단표[판정불가순번],0),"")</f>
        <v/>
      </c>
    </row>
    <row r="962">
      <c r="A962">
        <f>IF($P962="","",957)</f>
        <v/>
      </c>
      <c r="B962">
        <f>IF($P962="","",INDEX(명단표[이름],$P962))</f>
        <v/>
      </c>
      <c r="C962">
        <f>IF($P962="","",INDEX(명단표[사번],$P962)&amp;"")</f>
        <v/>
      </c>
      <c r="D962">
        <f>IF($P962="","",INDEX(명단표[전공의등록번호],$P962)&amp;"")</f>
        <v/>
      </c>
      <c r="E962">
        <f>IF($P962="","",INDEX(명단표[수련과목],$P962)&amp;"")</f>
        <v/>
      </c>
      <c r="F962">
        <f>IF($P962="","",INDEX(명단표[연차],$P962)&amp;"")</f>
        <v/>
      </c>
      <c r="G962">
        <f>IF($P962="","",INDEX(명단표[소속병원],$P962))</f>
        <v/>
      </c>
      <c r="H962">
        <f>IF($P962="","",IF(INDEX(명단표[소속병원],$P962)="서울병원","서울 소속","타 병원 소속("&amp;INDEX(명단표[소속병원],$P962)&amp;") → 서울 지급"))</f>
        <v/>
      </c>
      <c r="I962">
        <f>IF($P962="","",INDEX(명단표[현재 근무병원],$P962))</f>
        <v/>
      </c>
      <c r="J962">
        <f>IF($P962="","",INDEX(명단표[구리 근무 시작일(기준월)],$P962)&amp;"")</f>
        <v/>
      </c>
      <c r="K962">
        <f>IF($P962="","",INDEX(명단표[구리 근무 종료일(기준월)],$P962)&amp;"")</f>
        <v/>
      </c>
      <c r="L962">
        <f>IF($P962="","",INDEX(명단표[서울 근무일(기준월)],$P962))</f>
        <v/>
      </c>
      <c r="M962">
        <f>IF($P962="","",INDEX(명단표[구리 근무일(기준월)],$P962))</f>
        <v/>
      </c>
      <c r="N962">
        <f>IF($P962="","",INDEX(명단표[급여 판정 근거],$P962))</f>
        <v/>
      </c>
      <c r="O962">
        <f>IF($P962="","",INDEX(명단표[점검],$P962))</f>
        <v/>
      </c>
      <c r="P962" s="17">
        <f>IFERROR(MATCH(957,명단표[서울순번],0),"")</f>
        <v/>
      </c>
      <c r="R962">
        <f>IF($W962="","",INDEX(명단표[이름],$W962))</f>
        <v/>
      </c>
      <c r="S962">
        <f>IF($W962="","",INDEX(명단표[사번],$W962)&amp;"")</f>
        <v/>
      </c>
      <c r="T962">
        <f>IF($W962="","",INDEX(명단표[소속병원],$W962))</f>
        <v/>
      </c>
      <c r="U962">
        <f>IF($W962="","",INDEX(명단표[서울 근무일(기준월)],$W962))</f>
        <v/>
      </c>
      <c r="V962">
        <f>IF($W962="","",INDEX(명단표[구리 근무일(기준월)],$W962))</f>
        <v/>
      </c>
      <c r="W962" s="17">
        <f>IFERROR(MATCH(957,명단표[판정불가순번],0),"")</f>
        <v/>
      </c>
    </row>
    <row r="963">
      <c r="A963">
        <f>IF($P963="","",958)</f>
        <v/>
      </c>
      <c r="B963">
        <f>IF($P963="","",INDEX(명단표[이름],$P963))</f>
        <v/>
      </c>
      <c r="C963">
        <f>IF($P963="","",INDEX(명단표[사번],$P963)&amp;"")</f>
        <v/>
      </c>
      <c r="D963">
        <f>IF($P963="","",INDEX(명단표[전공의등록번호],$P963)&amp;"")</f>
        <v/>
      </c>
      <c r="E963">
        <f>IF($P963="","",INDEX(명단표[수련과목],$P963)&amp;"")</f>
        <v/>
      </c>
      <c r="F963">
        <f>IF($P963="","",INDEX(명단표[연차],$P963)&amp;"")</f>
        <v/>
      </c>
      <c r="G963">
        <f>IF($P963="","",INDEX(명단표[소속병원],$P963))</f>
        <v/>
      </c>
      <c r="H963">
        <f>IF($P963="","",IF(INDEX(명단표[소속병원],$P963)="서울병원","서울 소속","타 병원 소속("&amp;INDEX(명단표[소속병원],$P963)&amp;") → 서울 지급"))</f>
        <v/>
      </c>
      <c r="I963">
        <f>IF($P963="","",INDEX(명단표[현재 근무병원],$P963))</f>
        <v/>
      </c>
      <c r="J963">
        <f>IF($P963="","",INDEX(명단표[구리 근무 시작일(기준월)],$P963)&amp;"")</f>
        <v/>
      </c>
      <c r="K963">
        <f>IF($P963="","",INDEX(명단표[구리 근무 종료일(기준월)],$P963)&amp;"")</f>
        <v/>
      </c>
      <c r="L963">
        <f>IF($P963="","",INDEX(명단표[서울 근무일(기준월)],$P963))</f>
        <v/>
      </c>
      <c r="M963">
        <f>IF($P963="","",INDEX(명단표[구리 근무일(기준월)],$P963))</f>
        <v/>
      </c>
      <c r="N963">
        <f>IF($P963="","",INDEX(명단표[급여 판정 근거],$P963))</f>
        <v/>
      </c>
      <c r="O963">
        <f>IF($P963="","",INDEX(명단표[점검],$P963))</f>
        <v/>
      </c>
      <c r="P963" s="17">
        <f>IFERROR(MATCH(958,명단표[서울순번],0),"")</f>
        <v/>
      </c>
      <c r="R963">
        <f>IF($W963="","",INDEX(명단표[이름],$W963))</f>
        <v/>
      </c>
      <c r="S963">
        <f>IF($W963="","",INDEX(명단표[사번],$W963)&amp;"")</f>
        <v/>
      </c>
      <c r="T963">
        <f>IF($W963="","",INDEX(명단표[소속병원],$W963))</f>
        <v/>
      </c>
      <c r="U963">
        <f>IF($W963="","",INDEX(명단표[서울 근무일(기준월)],$W963))</f>
        <v/>
      </c>
      <c r="V963">
        <f>IF($W963="","",INDEX(명단표[구리 근무일(기준월)],$W963))</f>
        <v/>
      </c>
      <c r="W963" s="17">
        <f>IFERROR(MATCH(958,명단표[판정불가순번],0),"")</f>
        <v/>
      </c>
    </row>
    <row r="964">
      <c r="A964">
        <f>IF($P964="","",959)</f>
        <v/>
      </c>
      <c r="B964">
        <f>IF($P964="","",INDEX(명단표[이름],$P964))</f>
        <v/>
      </c>
      <c r="C964">
        <f>IF($P964="","",INDEX(명단표[사번],$P964)&amp;"")</f>
        <v/>
      </c>
      <c r="D964">
        <f>IF($P964="","",INDEX(명단표[전공의등록번호],$P964)&amp;"")</f>
        <v/>
      </c>
      <c r="E964">
        <f>IF($P964="","",INDEX(명단표[수련과목],$P964)&amp;"")</f>
        <v/>
      </c>
      <c r="F964">
        <f>IF($P964="","",INDEX(명단표[연차],$P964)&amp;"")</f>
        <v/>
      </c>
      <c r="G964">
        <f>IF($P964="","",INDEX(명단표[소속병원],$P964))</f>
        <v/>
      </c>
      <c r="H964">
        <f>IF($P964="","",IF(INDEX(명단표[소속병원],$P964)="서울병원","서울 소속","타 병원 소속("&amp;INDEX(명단표[소속병원],$P964)&amp;") → 서울 지급"))</f>
        <v/>
      </c>
      <c r="I964">
        <f>IF($P964="","",INDEX(명단표[현재 근무병원],$P964))</f>
        <v/>
      </c>
      <c r="J964">
        <f>IF($P964="","",INDEX(명단표[구리 근무 시작일(기준월)],$P964)&amp;"")</f>
        <v/>
      </c>
      <c r="K964">
        <f>IF($P964="","",INDEX(명단표[구리 근무 종료일(기준월)],$P964)&amp;"")</f>
        <v/>
      </c>
      <c r="L964">
        <f>IF($P964="","",INDEX(명단표[서울 근무일(기준월)],$P964))</f>
        <v/>
      </c>
      <c r="M964">
        <f>IF($P964="","",INDEX(명단표[구리 근무일(기준월)],$P964))</f>
        <v/>
      </c>
      <c r="N964">
        <f>IF($P964="","",INDEX(명단표[급여 판정 근거],$P964))</f>
        <v/>
      </c>
      <c r="O964">
        <f>IF($P964="","",INDEX(명단표[점검],$P964))</f>
        <v/>
      </c>
      <c r="P964" s="17">
        <f>IFERROR(MATCH(959,명단표[서울순번],0),"")</f>
        <v/>
      </c>
      <c r="R964">
        <f>IF($W964="","",INDEX(명단표[이름],$W964))</f>
        <v/>
      </c>
      <c r="S964">
        <f>IF($W964="","",INDEX(명단표[사번],$W964)&amp;"")</f>
        <v/>
      </c>
      <c r="T964">
        <f>IF($W964="","",INDEX(명단표[소속병원],$W964))</f>
        <v/>
      </c>
      <c r="U964">
        <f>IF($W964="","",INDEX(명단표[서울 근무일(기준월)],$W964))</f>
        <v/>
      </c>
      <c r="V964">
        <f>IF($W964="","",INDEX(명단표[구리 근무일(기준월)],$W964))</f>
        <v/>
      </c>
      <c r="W964" s="17">
        <f>IFERROR(MATCH(959,명단표[판정불가순번],0),"")</f>
        <v/>
      </c>
    </row>
    <row r="965">
      <c r="A965">
        <f>IF($P965="","",960)</f>
        <v/>
      </c>
      <c r="B965">
        <f>IF($P965="","",INDEX(명단표[이름],$P965))</f>
        <v/>
      </c>
      <c r="C965">
        <f>IF($P965="","",INDEX(명단표[사번],$P965)&amp;"")</f>
        <v/>
      </c>
      <c r="D965">
        <f>IF($P965="","",INDEX(명단표[전공의등록번호],$P965)&amp;"")</f>
        <v/>
      </c>
      <c r="E965">
        <f>IF($P965="","",INDEX(명단표[수련과목],$P965)&amp;"")</f>
        <v/>
      </c>
      <c r="F965">
        <f>IF($P965="","",INDEX(명단표[연차],$P965)&amp;"")</f>
        <v/>
      </c>
      <c r="G965">
        <f>IF($P965="","",INDEX(명단표[소속병원],$P965))</f>
        <v/>
      </c>
      <c r="H965">
        <f>IF($P965="","",IF(INDEX(명단표[소속병원],$P965)="서울병원","서울 소속","타 병원 소속("&amp;INDEX(명단표[소속병원],$P965)&amp;") → 서울 지급"))</f>
        <v/>
      </c>
      <c r="I965">
        <f>IF($P965="","",INDEX(명단표[현재 근무병원],$P965))</f>
        <v/>
      </c>
      <c r="J965">
        <f>IF($P965="","",INDEX(명단표[구리 근무 시작일(기준월)],$P965)&amp;"")</f>
        <v/>
      </c>
      <c r="K965">
        <f>IF($P965="","",INDEX(명단표[구리 근무 종료일(기준월)],$P965)&amp;"")</f>
        <v/>
      </c>
      <c r="L965">
        <f>IF($P965="","",INDEX(명단표[서울 근무일(기준월)],$P965))</f>
        <v/>
      </c>
      <c r="M965">
        <f>IF($P965="","",INDEX(명단표[구리 근무일(기준월)],$P965))</f>
        <v/>
      </c>
      <c r="N965">
        <f>IF($P965="","",INDEX(명단표[급여 판정 근거],$P965))</f>
        <v/>
      </c>
      <c r="O965">
        <f>IF($P965="","",INDEX(명단표[점검],$P965))</f>
        <v/>
      </c>
      <c r="P965" s="17">
        <f>IFERROR(MATCH(960,명단표[서울순번],0),"")</f>
        <v/>
      </c>
      <c r="R965">
        <f>IF($W965="","",INDEX(명단표[이름],$W965))</f>
        <v/>
      </c>
      <c r="S965">
        <f>IF($W965="","",INDEX(명단표[사번],$W965)&amp;"")</f>
        <v/>
      </c>
      <c r="T965">
        <f>IF($W965="","",INDEX(명단표[소속병원],$W965))</f>
        <v/>
      </c>
      <c r="U965">
        <f>IF($W965="","",INDEX(명단표[서울 근무일(기준월)],$W965))</f>
        <v/>
      </c>
      <c r="V965">
        <f>IF($W965="","",INDEX(명단표[구리 근무일(기준월)],$W965))</f>
        <v/>
      </c>
      <c r="W965" s="17">
        <f>IFERROR(MATCH(960,명단표[판정불가순번],0),"")</f>
        <v/>
      </c>
    </row>
    <row r="966">
      <c r="A966">
        <f>IF($P966="","",961)</f>
        <v/>
      </c>
      <c r="B966">
        <f>IF($P966="","",INDEX(명단표[이름],$P966))</f>
        <v/>
      </c>
      <c r="C966">
        <f>IF($P966="","",INDEX(명단표[사번],$P966)&amp;"")</f>
        <v/>
      </c>
      <c r="D966">
        <f>IF($P966="","",INDEX(명단표[전공의등록번호],$P966)&amp;"")</f>
        <v/>
      </c>
      <c r="E966">
        <f>IF($P966="","",INDEX(명단표[수련과목],$P966)&amp;"")</f>
        <v/>
      </c>
      <c r="F966">
        <f>IF($P966="","",INDEX(명단표[연차],$P966)&amp;"")</f>
        <v/>
      </c>
      <c r="G966">
        <f>IF($P966="","",INDEX(명단표[소속병원],$P966))</f>
        <v/>
      </c>
      <c r="H966">
        <f>IF($P966="","",IF(INDEX(명단표[소속병원],$P966)="서울병원","서울 소속","타 병원 소속("&amp;INDEX(명단표[소속병원],$P966)&amp;") → 서울 지급"))</f>
        <v/>
      </c>
      <c r="I966">
        <f>IF($P966="","",INDEX(명단표[현재 근무병원],$P966))</f>
        <v/>
      </c>
      <c r="J966">
        <f>IF($P966="","",INDEX(명단표[구리 근무 시작일(기준월)],$P966)&amp;"")</f>
        <v/>
      </c>
      <c r="K966">
        <f>IF($P966="","",INDEX(명단표[구리 근무 종료일(기준월)],$P966)&amp;"")</f>
        <v/>
      </c>
      <c r="L966">
        <f>IF($P966="","",INDEX(명단표[서울 근무일(기준월)],$P966))</f>
        <v/>
      </c>
      <c r="M966">
        <f>IF($P966="","",INDEX(명단표[구리 근무일(기준월)],$P966))</f>
        <v/>
      </c>
      <c r="N966">
        <f>IF($P966="","",INDEX(명단표[급여 판정 근거],$P966))</f>
        <v/>
      </c>
      <c r="O966">
        <f>IF($P966="","",INDEX(명단표[점검],$P966))</f>
        <v/>
      </c>
      <c r="P966" s="17">
        <f>IFERROR(MATCH(961,명단표[서울순번],0),"")</f>
        <v/>
      </c>
      <c r="R966">
        <f>IF($W966="","",INDEX(명단표[이름],$W966))</f>
        <v/>
      </c>
      <c r="S966">
        <f>IF($W966="","",INDEX(명단표[사번],$W966)&amp;"")</f>
        <v/>
      </c>
      <c r="T966">
        <f>IF($W966="","",INDEX(명단표[소속병원],$W966))</f>
        <v/>
      </c>
      <c r="U966">
        <f>IF($W966="","",INDEX(명단표[서울 근무일(기준월)],$W966))</f>
        <v/>
      </c>
      <c r="V966">
        <f>IF($W966="","",INDEX(명단표[구리 근무일(기준월)],$W966))</f>
        <v/>
      </c>
      <c r="W966" s="17">
        <f>IFERROR(MATCH(961,명단표[판정불가순번],0),"")</f>
        <v/>
      </c>
    </row>
    <row r="967">
      <c r="A967">
        <f>IF($P967="","",962)</f>
        <v/>
      </c>
      <c r="B967">
        <f>IF($P967="","",INDEX(명단표[이름],$P967))</f>
        <v/>
      </c>
      <c r="C967">
        <f>IF($P967="","",INDEX(명단표[사번],$P967)&amp;"")</f>
        <v/>
      </c>
      <c r="D967">
        <f>IF($P967="","",INDEX(명단표[전공의등록번호],$P967)&amp;"")</f>
        <v/>
      </c>
      <c r="E967">
        <f>IF($P967="","",INDEX(명단표[수련과목],$P967)&amp;"")</f>
        <v/>
      </c>
      <c r="F967">
        <f>IF($P967="","",INDEX(명단표[연차],$P967)&amp;"")</f>
        <v/>
      </c>
      <c r="G967">
        <f>IF($P967="","",INDEX(명단표[소속병원],$P967))</f>
        <v/>
      </c>
      <c r="H967">
        <f>IF($P967="","",IF(INDEX(명단표[소속병원],$P967)="서울병원","서울 소속","타 병원 소속("&amp;INDEX(명단표[소속병원],$P967)&amp;") → 서울 지급"))</f>
        <v/>
      </c>
      <c r="I967">
        <f>IF($P967="","",INDEX(명단표[현재 근무병원],$P967))</f>
        <v/>
      </c>
      <c r="J967">
        <f>IF($P967="","",INDEX(명단표[구리 근무 시작일(기준월)],$P967)&amp;"")</f>
        <v/>
      </c>
      <c r="K967">
        <f>IF($P967="","",INDEX(명단표[구리 근무 종료일(기준월)],$P967)&amp;"")</f>
        <v/>
      </c>
      <c r="L967">
        <f>IF($P967="","",INDEX(명단표[서울 근무일(기준월)],$P967))</f>
        <v/>
      </c>
      <c r="M967">
        <f>IF($P967="","",INDEX(명단표[구리 근무일(기준월)],$P967))</f>
        <v/>
      </c>
      <c r="N967">
        <f>IF($P967="","",INDEX(명단표[급여 판정 근거],$P967))</f>
        <v/>
      </c>
      <c r="O967">
        <f>IF($P967="","",INDEX(명단표[점검],$P967))</f>
        <v/>
      </c>
      <c r="P967" s="17">
        <f>IFERROR(MATCH(962,명단표[서울순번],0),"")</f>
        <v/>
      </c>
      <c r="R967">
        <f>IF($W967="","",INDEX(명단표[이름],$W967))</f>
        <v/>
      </c>
      <c r="S967">
        <f>IF($W967="","",INDEX(명단표[사번],$W967)&amp;"")</f>
        <v/>
      </c>
      <c r="T967">
        <f>IF($W967="","",INDEX(명단표[소속병원],$W967))</f>
        <v/>
      </c>
      <c r="U967">
        <f>IF($W967="","",INDEX(명단표[서울 근무일(기준월)],$W967))</f>
        <v/>
      </c>
      <c r="V967">
        <f>IF($W967="","",INDEX(명단표[구리 근무일(기준월)],$W967))</f>
        <v/>
      </c>
      <c r="W967" s="17">
        <f>IFERROR(MATCH(962,명단표[판정불가순번],0),"")</f>
        <v/>
      </c>
    </row>
    <row r="968">
      <c r="A968">
        <f>IF($P968="","",963)</f>
        <v/>
      </c>
      <c r="B968">
        <f>IF($P968="","",INDEX(명단표[이름],$P968))</f>
        <v/>
      </c>
      <c r="C968">
        <f>IF($P968="","",INDEX(명단표[사번],$P968)&amp;"")</f>
        <v/>
      </c>
      <c r="D968">
        <f>IF($P968="","",INDEX(명단표[전공의등록번호],$P968)&amp;"")</f>
        <v/>
      </c>
      <c r="E968">
        <f>IF($P968="","",INDEX(명단표[수련과목],$P968)&amp;"")</f>
        <v/>
      </c>
      <c r="F968">
        <f>IF($P968="","",INDEX(명단표[연차],$P968)&amp;"")</f>
        <v/>
      </c>
      <c r="G968">
        <f>IF($P968="","",INDEX(명단표[소속병원],$P968))</f>
        <v/>
      </c>
      <c r="H968">
        <f>IF($P968="","",IF(INDEX(명단표[소속병원],$P968)="서울병원","서울 소속","타 병원 소속("&amp;INDEX(명단표[소속병원],$P968)&amp;") → 서울 지급"))</f>
        <v/>
      </c>
      <c r="I968">
        <f>IF($P968="","",INDEX(명단표[현재 근무병원],$P968))</f>
        <v/>
      </c>
      <c r="J968">
        <f>IF($P968="","",INDEX(명단표[구리 근무 시작일(기준월)],$P968)&amp;"")</f>
        <v/>
      </c>
      <c r="K968">
        <f>IF($P968="","",INDEX(명단표[구리 근무 종료일(기준월)],$P968)&amp;"")</f>
        <v/>
      </c>
      <c r="L968">
        <f>IF($P968="","",INDEX(명단표[서울 근무일(기준월)],$P968))</f>
        <v/>
      </c>
      <c r="M968">
        <f>IF($P968="","",INDEX(명단표[구리 근무일(기준월)],$P968))</f>
        <v/>
      </c>
      <c r="N968">
        <f>IF($P968="","",INDEX(명단표[급여 판정 근거],$P968))</f>
        <v/>
      </c>
      <c r="O968">
        <f>IF($P968="","",INDEX(명단표[점검],$P968))</f>
        <v/>
      </c>
      <c r="P968" s="17">
        <f>IFERROR(MATCH(963,명단표[서울순번],0),"")</f>
        <v/>
      </c>
      <c r="R968">
        <f>IF($W968="","",INDEX(명단표[이름],$W968))</f>
        <v/>
      </c>
      <c r="S968">
        <f>IF($W968="","",INDEX(명단표[사번],$W968)&amp;"")</f>
        <v/>
      </c>
      <c r="T968">
        <f>IF($W968="","",INDEX(명단표[소속병원],$W968))</f>
        <v/>
      </c>
      <c r="U968">
        <f>IF($W968="","",INDEX(명단표[서울 근무일(기준월)],$W968))</f>
        <v/>
      </c>
      <c r="V968">
        <f>IF($W968="","",INDEX(명단표[구리 근무일(기준월)],$W968))</f>
        <v/>
      </c>
      <c r="W968" s="17">
        <f>IFERROR(MATCH(963,명단표[판정불가순번],0),"")</f>
        <v/>
      </c>
    </row>
    <row r="969">
      <c r="A969">
        <f>IF($P969="","",964)</f>
        <v/>
      </c>
      <c r="B969">
        <f>IF($P969="","",INDEX(명단표[이름],$P969))</f>
        <v/>
      </c>
      <c r="C969">
        <f>IF($P969="","",INDEX(명단표[사번],$P969)&amp;"")</f>
        <v/>
      </c>
      <c r="D969">
        <f>IF($P969="","",INDEX(명단표[전공의등록번호],$P969)&amp;"")</f>
        <v/>
      </c>
      <c r="E969">
        <f>IF($P969="","",INDEX(명단표[수련과목],$P969)&amp;"")</f>
        <v/>
      </c>
      <c r="F969">
        <f>IF($P969="","",INDEX(명단표[연차],$P969)&amp;"")</f>
        <v/>
      </c>
      <c r="G969">
        <f>IF($P969="","",INDEX(명단표[소속병원],$P969))</f>
        <v/>
      </c>
      <c r="H969">
        <f>IF($P969="","",IF(INDEX(명단표[소속병원],$P969)="서울병원","서울 소속","타 병원 소속("&amp;INDEX(명단표[소속병원],$P969)&amp;") → 서울 지급"))</f>
        <v/>
      </c>
      <c r="I969">
        <f>IF($P969="","",INDEX(명단표[현재 근무병원],$P969))</f>
        <v/>
      </c>
      <c r="J969">
        <f>IF($P969="","",INDEX(명단표[구리 근무 시작일(기준월)],$P969)&amp;"")</f>
        <v/>
      </c>
      <c r="K969">
        <f>IF($P969="","",INDEX(명단표[구리 근무 종료일(기준월)],$P969)&amp;"")</f>
        <v/>
      </c>
      <c r="L969">
        <f>IF($P969="","",INDEX(명단표[서울 근무일(기준월)],$P969))</f>
        <v/>
      </c>
      <c r="M969">
        <f>IF($P969="","",INDEX(명단표[구리 근무일(기준월)],$P969))</f>
        <v/>
      </c>
      <c r="N969">
        <f>IF($P969="","",INDEX(명단표[급여 판정 근거],$P969))</f>
        <v/>
      </c>
      <c r="O969">
        <f>IF($P969="","",INDEX(명단표[점검],$P969))</f>
        <v/>
      </c>
      <c r="P969" s="17">
        <f>IFERROR(MATCH(964,명단표[서울순번],0),"")</f>
        <v/>
      </c>
      <c r="R969">
        <f>IF($W969="","",INDEX(명단표[이름],$W969))</f>
        <v/>
      </c>
      <c r="S969">
        <f>IF($W969="","",INDEX(명단표[사번],$W969)&amp;"")</f>
        <v/>
      </c>
      <c r="T969">
        <f>IF($W969="","",INDEX(명단표[소속병원],$W969))</f>
        <v/>
      </c>
      <c r="U969">
        <f>IF($W969="","",INDEX(명단표[서울 근무일(기준월)],$W969))</f>
        <v/>
      </c>
      <c r="V969">
        <f>IF($W969="","",INDEX(명단표[구리 근무일(기준월)],$W969))</f>
        <v/>
      </c>
      <c r="W969" s="17">
        <f>IFERROR(MATCH(964,명단표[판정불가순번],0),"")</f>
        <v/>
      </c>
    </row>
    <row r="970">
      <c r="A970">
        <f>IF($P970="","",965)</f>
        <v/>
      </c>
      <c r="B970">
        <f>IF($P970="","",INDEX(명단표[이름],$P970))</f>
        <v/>
      </c>
      <c r="C970">
        <f>IF($P970="","",INDEX(명단표[사번],$P970)&amp;"")</f>
        <v/>
      </c>
      <c r="D970">
        <f>IF($P970="","",INDEX(명단표[전공의등록번호],$P970)&amp;"")</f>
        <v/>
      </c>
      <c r="E970">
        <f>IF($P970="","",INDEX(명단표[수련과목],$P970)&amp;"")</f>
        <v/>
      </c>
      <c r="F970">
        <f>IF($P970="","",INDEX(명단표[연차],$P970)&amp;"")</f>
        <v/>
      </c>
      <c r="G970">
        <f>IF($P970="","",INDEX(명단표[소속병원],$P970))</f>
        <v/>
      </c>
      <c r="H970">
        <f>IF($P970="","",IF(INDEX(명단표[소속병원],$P970)="서울병원","서울 소속","타 병원 소속("&amp;INDEX(명단표[소속병원],$P970)&amp;") → 서울 지급"))</f>
        <v/>
      </c>
      <c r="I970">
        <f>IF($P970="","",INDEX(명단표[현재 근무병원],$P970))</f>
        <v/>
      </c>
      <c r="J970">
        <f>IF($P970="","",INDEX(명단표[구리 근무 시작일(기준월)],$P970)&amp;"")</f>
        <v/>
      </c>
      <c r="K970">
        <f>IF($P970="","",INDEX(명단표[구리 근무 종료일(기준월)],$P970)&amp;"")</f>
        <v/>
      </c>
      <c r="L970">
        <f>IF($P970="","",INDEX(명단표[서울 근무일(기준월)],$P970))</f>
        <v/>
      </c>
      <c r="M970">
        <f>IF($P970="","",INDEX(명단표[구리 근무일(기준월)],$P970))</f>
        <v/>
      </c>
      <c r="N970">
        <f>IF($P970="","",INDEX(명단표[급여 판정 근거],$P970))</f>
        <v/>
      </c>
      <c r="O970">
        <f>IF($P970="","",INDEX(명단표[점검],$P970))</f>
        <v/>
      </c>
      <c r="P970" s="17">
        <f>IFERROR(MATCH(965,명단표[서울순번],0),"")</f>
        <v/>
      </c>
      <c r="R970">
        <f>IF($W970="","",INDEX(명단표[이름],$W970))</f>
        <v/>
      </c>
      <c r="S970">
        <f>IF($W970="","",INDEX(명단표[사번],$W970)&amp;"")</f>
        <v/>
      </c>
      <c r="T970">
        <f>IF($W970="","",INDEX(명단표[소속병원],$W970))</f>
        <v/>
      </c>
      <c r="U970">
        <f>IF($W970="","",INDEX(명단표[서울 근무일(기준월)],$W970))</f>
        <v/>
      </c>
      <c r="V970">
        <f>IF($W970="","",INDEX(명단표[구리 근무일(기준월)],$W970))</f>
        <v/>
      </c>
      <c r="W970" s="17">
        <f>IFERROR(MATCH(965,명단표[판정불가순번],0),"")</f>
        <v/>
      </c>
    </row>
    <row r="971">
      <c r="A971">
        <f>IF($P971="","",966)</f>
        <v/>
      </c>
      <c r="B971">
        <f>IF($P971="","",INDEX(명단표[이름],$P971))</f>
        <v/>
      </c>
      <c r="C971">
        <f>IF($P971="","",INDEX(명단표[사번],$P971)&amp;"")</f>
        <v/>
      </c>
      <c r="D971">
        <f>IF($P971="","",INDEX(명단표[전공의등록번호],$P971)&amp;"")</f>
        <v/>
      </c>
      <c r="E971">
        <f>IF($P971="","",INDEX(명단표[수련과목],$P971)&amp;"")</f>
        <v/>
      </c>
      <c r="F971">
        <f>IF($P971="","",INDEX(명단표[연차],$P971)&amp;"")</f>
        <v/>
      </c>
      <c r="G971">
        <f>IF($P971="","",INDEX(명단표[소속병원],$P971))</f>
        <v/>
      </c>
      <c r="H971">
        <f>IF($P971="","",IF(INDEX(명단표[소속병원],$P971)="서울병원","서울 소속","타 병원 소속("&amp;INDEX(명단표[소속병원],$P971)&amp;") → 서울 지급"))</f>
        <v/>
      </c>
      <c r="I971">
        <f>IF($P971="","",INDEX(명단표[현재 근무병원],$P971))</f>
        <v/>
      </c>
      <c r="J971">
        <f>IF($P971="","",INDEX(명단표[구리 근무 시작일(기준월)],$P971)&amp;"")</f>
        <v/>
      </c>
      <c r="K971">
        <f>IF($P971="","",INDEX(명단표[구리 근무 종료일(기준월)],$P971)&amp;"")</f>
        <v/>
      </c>
      <c r="L971">
        <f>IF($P971="","",INDEX(명단표[서울 근무일(기준월)],$P971))</f>
        <v/>
      </c>
      <c r="M971">
        <f>IF($P971="","",INDEX(명단표[구리 근무일(기준월)],$P971))</f>
        <v/>
      </c>
      <c r="N971">
        <f>IF($P971="","",INDEX(명단표[급여 판정 근거],$P971))</f>
        <v/>
      </c>
      <c r="O971">
        <f>IF($P971="","",INDEX(명단표[점검],$P971))</f>
        <v/>
      </c>
      <c r="P971" s="17">
        <f>IFERROR(MATCH(966,명단표[서울순번],0),"")</f>
        <v/>
      </c>
      <c r="R971">
        <f>IF($W971="","",INDEX(명단표[이름],$W971))</f>
        <v/>
      </c>
      <c r="S971">
        <f>IF($W971="","",INDEX(명단표[사번],$W971)&amp;"")</f>
        <v/>
      </c>
      <c r="T971">
        <f>IF($W971="","",INDEX(명단표[소속병원],$W971))</f>
        <v/>
      </c>
      <c r="U971">
        <f>IF($W971="","",INDEX(명단표[서울 근무일(기준월)],$W971))</f>
        <v/>
      </c>
      <c r="V971">
        <f>IF($W971="","",INDEX(명단표[구리 근무일(기준월)],$W971))</f>
        <v/>
      </c>
      <c r="W971" s="17">
        <f>IFERROR(MATCH(966,명단표[판정불가순번],0),"")</f>
        <v/>
      </c>
    </row>
    <row r="972">
      <c r="A972">
        <f>IF($P972="","",967)</f>
        <v/>
      </c>
      <c r="B972">
        <f>IF($P972="","",INDEX(명단표[이름],$P972))</f>
        <v/>
      </c>
      <c r="C972">
        <f>IF($P972="","",INDEX(명단표[사번],$P972)&amp;"")</f>
        <v/>
      </c>
      <c r="D972">
        <f>IF($P972="","",INDEX(명단표[전공의등록번호],$P972)&amp;"")</f>
        <v/>
      </c>
      <c r="E972">
        <f>IF($P972="","",INDEX(명단표[수련과목],$P972)&amp;"")</f>
        <v/>
      </c>
      <c r="F972">
        <f>IF($P972="","",INDEX(명단표[연차],$P972)&amp;"")</f>
        <v/>
      </c>
      <c r="G972">
        <f>IF($P972="","",INDEX(명단표[소속병원],$P972))</f>
        <v/>
      </c>
      <c r="H972">
        <f>IF($P972="","",IF(INDEX(명단표[소속병원],$P972)="서울병원","서울 소속","타 병원 소속("&amp;INDEX(명단표[소속병원],$P972)&amp;") → 서울 지급"))</f>
        <v/>
      </c>
      <c r="I972">
        <f>IF($P972="","",INDEX(명단표[현재 근무병원],$P972))</f>
        <v/>
      </c>
      <c r="J972">
        <f>IF($P972="","",INDEX(명단표[구리 근무 시작일(기준월)],$P972)&amp;"")</f>
        <v/>
      </c>
      <c r="K972">
        <f>IF($P972="","",INDEX(명단표[구리 근무 종료일(기준월)],$P972)&amp;"")</f>
        <v/>
      </c>
      <c r="L972">
        <f>IF($P972="","",INDEX(명단표[서울 근무일(기준월)],$P972))</f>
        <v/>
      </c>
      <c r="M972">
        <f>IF($P972="","",INDEX(명단표[구리 근무일(기준월)],$P972))</f>
        <v/>
      </c>
      <c r="N972">
        <f>IF($P972="","",INDEX(명단표[급여 판정 근거],$P972))</f>
        <v/>
      </c>
      <c r="O972">
        <f>IF($P972="","",INDEX(명단표[점검],$P972))</f>
        <v/>
      </c>
      <c r="P972" s="17">
        <f>IFERROR(MATCH(967,명단표[서울순번],0),"")</f>
        <v/>
      </c>
      <c r="R972">
        <f>IF($W972="","",INDEX(명단표[이름],$W972))</f>
        <v/>
      </c>
      <c r="S972">
        <f>IF($W972="","",INDEX(명단표[사번],$W972)&amp;"")</f>
        <v/>
      </c>
      <c r="T972">
        <f>IF($W972="","",INDEX(명단표[소속병원],$W972))</f>
        <v/>
      </c>
      <c r="U972">
        <f>IF($W972="","",INDEX(명단표[서울 근무일(기준월)],$W972))</f>
        <v/>
      </c>
      <c r="V972">
        <f>IF($W972="","",INDEX(명단표[구리 근무일(기준월)],$W972))</f>
        <v/>
      </c>
      <c r="W972" s="17">
        <f>IFERROR(MATCH(967,명단표[판정불가순번],0),"")</f>
        <v/>
      </c>
    </row>
    <row r="973">
      <c r="A973">
        <f>IF($P973="","",968)</f>
        <v/>
      </c>
      <c r="B973">
        <f>IF($P973="","",INDEX(명단표[이름],$P973))</f>
        <v/>
      </c>
      <c r="C973">
        <f>IF($P973="","",INDEX(명단표[사번],$P973)&amp;"")</f>
        <v/>
      </c>
      <c r="D973">
        <f>IF($P973="","",INDEX(명단표[전공의등록번호],$P973)&amp;"")</f>
        <v/>
      </c>
      <c r="E973">
        <f>IF($P973="","",INDEX(명단표[수련과목],$P973)&amp;"")</f>
        <v/>
      </c>
      <c r="F973">
        <f>IF($P973="","",INDEX(명단표[연차],$P973)&amp;"")</f>
        <v/>
      </c>
      <c r="G973">
        <f>IF($P973="","",INDEX(명단표[소속병원],$P973))</f>
        <v/>
      </c>
      <c r="H973">
        <f>IF($P973="","",IF(INDEX(명단표[소속병원],$P973)="서울병원","서울 소속","타 병원 소속("&amp;INDEX(명단표[소속병원],$P973)&amp;") → 서울 지급"))</f>
        <v/>
      </c>
      <c r="I973">
        <f>IF($P973="","",INDEX(명단표[현재 근무병원],$P973))</f>
        <v/>
      </c>
      <c r="J973">
        <f>IF($P973="","",INDEX(명단표[구리 근무 시작일(기준월)],$P973)&amp;"")</f>
        <v/>
      </c>
      <c r="K973">
        <f>IF($P973="","",INDEX(명단표[구리 근무 종료일(기준월)],$P973)&amp;"")</f>
        <v/>
      </c>
      <c r="L973">
        <f>IF($P973="","",INDEX(명단표[서울 근무일(기준월)],$P973))</f>
        <v/>
      </c>
      <c r="M973">
        <f>IF($P973="","",INDEX(명단표[구리 근무일(기준월)],$P973))</f>
        <v/>
      </c>
      <c r="N973">
        <f>IF($P973="","",INDEX(명단표[급여 판정 근거],$P973))</f>
        <v/>
      </c>
      <c r="O973">
        <f>IF($P973="","",INDEX(명단표[점검],$P973))</f>
        <v/>
      </c>
      <c r="P973" s="17">
        <f>IFERROR(MATCH(968,명단표[서울순번],0),"")</f>
        <v/>
      </c>
      <c r="R973">
        <f>IF($W973="","",INDEX(명단표[이름],$W973))</f>
        <v/>
      </c>
      <c r="S973">
        <f>IF($W973="","",INDEX(명단표[사번],$W973)&amp;"")</f>
        <v/>
      </c>
      <c r="T973">
        <f>IF($W973="","",INDEX(명단표[소속병원],$W973))</f>
        <v/>
      </c>
      <c r="U973">
        <f>IF($W973="","",INDEX(명단표[서울 근무일(기준월)],$W973))</f>
        <v/>
      </c>
      <c r="V973">
        <f>IF($W973="","",INDEX(명단표[구리 근무일(기준월)],$W973))</f>
        <v/>
      </c>
      <c r="W973" s="17">
        <f>IFERROR(MATCH(968,명단표[판정불가순번],0),"")</f>
        <v/>
      </c>
    </row>
    <row r="974">
      <c r="A974">
        <f>IF($P974="","",969)</f>
        <v/>
      </c>
      <c r="B974">
        <f>IF($P974="","",INDEX(명단표[이름],$P974))</f>
        <v/>
      </c>
      <c r="C974">
        <f>IF($P974="","",INDEX(명단표[사번],$P974)&amp;"")</f>
        <v/>
      </c>
      <c r="D974">
        <f>IF($P974="","",INDEX(명단표[전공의등록번호],$P974)&amp;"")</f>
        <v/>
      </c>
      <c r="E974">
        <f>IF($P974="","",INDEX(명단표[수련과목],$P974)&amp;"")</f>
        <v/>
      </c>
      <c r="F974">
        <f>IF($P974="","",INDEX(명단표[연차],$P974)&amp;"")</f>
        <v/>
      </c>
      <c r="G974">
        <f>IF($P974="","",INDEX(명단표[소속병원],$P974))</f>
        <v/>
      </c>
      <c r="H974">
        <f>IF($P974="","",IF(INDEX(명단표[소속병원],$P974)="서울병원","서울 소속","타 병원 소속("&amp;INDEX(명단표[소속병원],$P974)&amp;") → 서울 지급"))</f>
        <v/>
      </c>
      <c r="I974">
        <f>IF($P974="","",INDEX(명단표[현재 근무병원],$P974))</f>
        <v/>
      </c>
      <c r="J974">
        <f>IF($P974="","",INDEX(명단표[구리 근무 시작일(기준월)],$P974)&amp;"")</f>
        <v/>
      </c>
      <c r="K974">
        <f>IF($P974="","",INDEX(명단표[구리 근무 종료일(기준월)],$P974)&amp;"")</f>
        <v/>
      </c>
      <c r="L974">
        <f>IF($P974="","",INDEX(명단표[서울 근무일(기준월)],$P974))</f>
        <v/>
      </c>
      <c r="M974">
        <f>IF($P974="","",INDEX(명단표[구리 근무일(기준월)],$P974))</f>
        <v/>
      </c>
      <c r="N974">
        <f>IF($P974="","",INDEX(명단표[급여 판정 근거],$P974))</f>
        <v/>
      </c>
      <c r="O974">
        <f>IF($P974="","",INDEX(명단표[점검],$P974))</f>
        <v/>
      </c>
      <c r="P974" s="17">
        <f>IFERROR(MATCH(969,명단표[서울순번],0),"")</f>
        <v/>
      </c>
      <c r="R974">
        <f>IF($W974="","",INDEX(명단표[이름],$W974))</f>
        <v/>
      </c>
      <c r="S974">
        <f>IF($W974="","",INDEX(명단표[사번],$W974)&amp;"")</f>
        <v/>
      </c>
      <c r="T974">
        <f>IF($W974="","",INDEX(명단표[소속병원],$W974))</f>
        <v/>
      </c>
      <c r="U974">
        <f>IF($W974="","",INDEX(명단표[서울 근무일(기준월)],$W974))</f>
        <v/>
      </c>
      <c r="V974">
        <f>IF($W974="","",INDEX(명단표[구리 근무일(기준월)],$W974))</f>
        <v/>
      </c>
      <c r="W974" s="17">
        <f>IFERROR(MATCH(969,명단표[판정불가순번],0),"")</f>
        <v/>
      </c>
    </row>
    <row r="975">
      <c r="A975">
        <f>IF($P975="","",970)</f>
        <v/>
      </c>
      <c r="B975">
        <f>IF($P975="","",INDEX(명단표[이름],$P975))</f>
        <v/>
      </c>
      <c r="C975">
        <f>IF($P975="","",INDEX(명단표[사번],$P975)&amp;"")</f>
        <v/>
      </c>
      <c r="D975">
        <f>IF($P975="","",INDEX(명단표[전공의등록번호],$P975)&amp;"")</f>
        <v/>
      </c>
      <c r="E975">
        <f>IF($P975="","",INDEX(명단표[수련과목],$P975)&amp;"")</f>
        <v/>
      </c>
      <c r="F975">
        <f>IF($P975="","",INDEX(명단표[연차],$P975)&amp;"")</f>
        <v/>
      </c>
      <c r="G975">
        <f>IF($P975="","",INDEX(명단표[소속병원],$P975))</f>
        <v/>
      </c>
      <c r="H975">
        <f>IF($P975="","",IF(INDEX(명단표[소속병원],$P975)="서울병원","서울 소속","타 병원 소속("&amp;INDEX(명단표[소속병원],$P975)&amp;") → 서울 지급"))</f>
        <v/>
      </c>
      <c r="I975">
        <f>IF($P975="","",INDEX(명단표[현재 근무병원],$P975))</f>
        <v/>
      </c>
      <c r="J975">
        <f>IF($P975="","",INDEX(명단표[구리 근무 시작일(기준월)],$P975)&amp;"")</f>
        <v/>
      </c>
      <c r="K975">
        <f>IF($P975="","",INDEX(명단표[구리 근무 종료일(기준월)],$P975)&amp;"")</f>
        <v/>
      </c>
      <c r="L975">
        <f>IF($P975="","",INDEX(명단표[서울 근무일(기준월)],$P975))</f>
        <v/>
      </c>
      <c r="M975">
        <f>IF($P975="","",INDEX(명단표[구리 근무일(기준월)],$P975))</f>
        <v/>
      </c>
      <c r="N975">
        <f>IF($P975="","",INDEX(명단표[급여 판정 근거],$P975))</f>
        <v/>
      </c>
      <c r="O975">
        <f>IF($P975="","",INDEX(명단표[점검],$P975))</f>
        <v/>
      </c>
      <c r="P975" s="17">
        <f>IFERROR(MATCH(970,명단표[서울순번],0),"")</f>
        <v/>
      </c>
      <c r="R975">
        <f>IF($W975="","",INDEX(명단표[이름],$W975))</f>
        <v/>
      </c>
      <c r="S975">
        <f>IF($W975="","",INDEX(명단표[사번],$W975)&amp;"")</f>
        <v/>
      </c>
      <c r="T975">
        <f>IF($W975="","",INDEX(명단표[소속병원],$W975))</f>
        <v/>
      </c>
      <c r="U975">
        <f>IF($W975="","",INDEX(명단표[서울 근무일(기준월)],$W975))</f>
        <v/>
      </c>
      <c r="V975">
        <f>IF($W975="","",INDEX(명단표[구리 근무일(기준월)],$W975))</f>
        <v/>
      </c>
      <c r="W975" s="17">
        <f>IFERROR(MATCH(970,명단표[판정불가순번],0),"")</f>
        <v/>
      </c>
    </row>
    <row r="976">
      <c r="A976">
        <f>IF($P976="","",971)</f>
        <v/>
      </c>
      <c r="B976">
        <f>IF($P976="","",INDEX(명단표[이름],$P976))</f>
        <v/>
      </c>
      <c r="C976">
        <f>IF($P976="","",INDEX(명단표[사번],$P976)&amp;"")</f>
        <v/>
      </c>
      <c r="D976">
        <f>IF($P976="","",INDEX(명단표[전공의등록번호],$P976)&amp;"")</f>
        <v/>
      </c>
      <c r="E976">
        <f>IF($P976="","",INDEX(명단표[수련과목],$P976)&amp;"")</f>
        <v/>
      </c>
      <c r="F976">
        <f>IF($P976="","",INDEX(명단표[연차],$P976)&amp;"")</f>
        <v/>
      </c>
      <c r="G976">
        <f>IF($P976="","",INDEX(명단표[소속병원],$P976))</f>
        <v/>
      </c>
      <c r="H976">
        <f>IF($P976="","",IF(INDEX(명단표[소속병원],$P976)="서울병원","서울 소속","타 병원 소속("&amp;INDEX(명단표[소속병원],$P976)&amp;") → 서울 지급"))</f>
        <v/>
      </c>
      <c r="I976">
        <f>IF($P976="","",INDEX(명단표[현재 근무병원],$P976))</f>
        <v/>
      </c>
      <c r="J976">
        <f>IF($P976="","",INDEX(명단표[구리 근무 시작일(기준월)],$P976)&amp;"")</f>
        <v/>
      </c>
      <c r="K976">
        <f>IF($P976="","",INDEX(명단표[구리 근무 종료일(기준월)],$P976)&amp;"")</f>
        <v/>
      </c>
      <c r="L976">
        <f>IF($P976="","",INDEX(명단표[서울 근무일(기준월)],$P976))</f>
        <v/>
      </c>
      <c r="M976">
        <f>IF($P976="","",INDEX(명단표[구리 근무일(기준월)],$P976))</f>
        <v/>
      </c>
      <c r="N976">
        <f>IF($P976="","",INDEX(명단표[급여 판정 근거],$P976))</f>
        <v/>
      </c>
      <c r="O976">
        <f>IF($P976="","",INDEX(명단표[점검],$P976))</f>
        <v/>
      </c>
      <c r="P976" s="17">
        <f>IFERROR(MATCH(971,명단표[서울순번],0),"")</f>
        <v/>
      </c>
      <c r="R976">
        <f>IF($W976="","",INDEX(명단표[이름],$W976))</f>
        <v/>
      </c>
      <c r="S976">
        <f>IF($W976="","",INDEX(명단표[사번],$W976)&amp;"")</f>
        <v/>
      </c>
      <c r="T976">
        <f>IF($W976="","",INDEX(명단표[소속병원],$W976))</f>
        <v/>
      </c>
      <c r="U976">
        <f>IF($W976="","",INDEX(명단표[서울 근무일(기준월)],$W976))</f>
        <v/>
      </c>
      <c r="V976">
        <f>IF($W976="","",INDEX(명단표[구리 근무일(기준월)],$W976))</f>
        <v/>
      </c>
      <c r="W976" s="17">
        <f>IFERROR(MATCH(971,명단표[판정불가순번],0),"")</f>
        <v/>
      </c>
    </row>
    <row r="977">
      <c r="A977">
        <f>IF($P977="","",972)</f>
        <v/>
      </c>
      <c r="B977">
        <f>IF($P977="","",INDEX(명단표[이름],$P977))</f>
        <v/>
      </c>
      <c r="C977">
        <f>IF($P977="","",INDEX(명단표[사번],$P977)&amp;"")</f>
        <v/>
      </c>
      <c r="D977">
        <f>IF($P977="","",INDEX(명단표[전공의등록번호],$P977)&amp;"")</f>
        <v/>
      </c>
      <c r="E977">
        <f>IF($P977="","",INDEX(명단표[수련과목],$P977)&amp;"")</f>
        <v/>
      </c>
      <c r="F977">
        <f>IF($P977="","",INDEX(명단표[연차],$P977)&amp;"")</f>
        <v/>
      </c>
      <c r="G977">
        <f>IF($P977="","",INDEX(명단표[소속병원],$P977))</f>
        <v/>
      </c>
      <c r="H977">
        <f>IF($P977="","",IF(INDEX(명단표[소속병원],$P977)="서울병원","서울 소속","타 병원 소속("&amp;INDEX(명단표[소속병원],$P977)&amp;") → 서울 지급"))</f>
        <v/>
      </c>
      <c r="I977">
        <f>IF($P977="","",INDEX(명단표[현재 근무병원],$P977))</f>
        <v/>
      </c>
      <c r="J977">
        <f>IF($P977="","",INDEX(명단표[구리 근무 시작일(기준월)],$P977)&amp;"")</f>
        <v/>
      </c>
      <c r="K977">
        <f>IF($P977="","",INDEX(명단표[구리 근무 종료일(기준월)],$P977)&amp;"")</f>
        <v/>
      </c>
      <c r="L977">
        <f>IF($P977="","",INDEX(명단표[서울 근무일(기준월)],$P977))</f>
        <v/>
      </c>
      <c r="M977">
        <f>IF($P977="","",INDEX(명단표[구리 근무일(기준월)],$P977))</f>
        <v/>
      </c>
      <c r="N977">
        <f>IF($P977="","",INDEX(명단표[급여 판정 근거],$P977))</f>
        <v/>
      </c>
      <c r="O977">
        <f>IF($P977="","",INDEX(명단표[점검],$P977))</f>
        <v/>
      </c>
      <c r="P977" s="17">
        <f>IFERROR(MATCH(972,명단표[서울순번],0),"")</f>
        <v/>
      </c>
      <c r="R977">
        <f>IF($W977="","",INDEX(명단표[이름],$W977))</f>
        <v/>
      </c>
      <c r="S977">
        <f>IF($W977="","",INDEX(명단표[사번],$W977)&amp;"")</f>
        <v/>
      </c>
      <c r="T977">
        <f>IF($W977="","",INDEX(명단표[소속병원],$W977))</f>
        <v/>
      </c>
      <c r="U977">
        <f>IF($W977="","",INDEX(명단표[서울 근무일(기준월)],$W977))</f>
        <v/>
      </c>
      <c r="V977">
        <f>IF($W977="","",INDEX(명단표[구리 근무일(기준월)],$W977))</f>
        <v/>
      </c>
      <c r="W977" s="17">
        <f>IFERROR(MATCH(972,명단표[판정불가순번],0),"")</f>
        <v/>
      </c>
    </row>
    <row r="978">
      <c r="A978">
        <f>IF($P978="","",973)</f>
        <v/>
      </c>
      <c r="B978">
        <f>IF($P978="","",INDEX(명단표[이름],$P978))</f>
        <v/>
      </c>
      <c r="C978">
        <f>IF($P978="","",INDEX(명단표[사번],$P978)&amp;"")</f>
        <v/>
      </c>
      <c r="D978">
        <f>IF($P978="","",INDEX(명단표[전공의등록번호],$P978)&amp;"")</f>
        <v/>
      </c>
      <c r="E978">
        <f>IF($P978="","",INDEX(명단표[수련과목],$P978)&amp;"")</f>
        <v/>
      </c>
      <c r="F978">
        <f>IF($P978="","",INDEX(명단표[연차],$P978)&amp;"")</f>
        <v/>
      </c>
      <c r="G978">
        <f>IF($P978="","",INDEX(명단표[소속병원],$P978))</f>
        <v/>
      </c>
      <c r="H978">
        <f>IF($P978="","",IF(INDEX(명단표[소속병원],$P978)="서울병원","서울 소속","타 병원 소속("&amp;INDEX(명단표[소속병원],$P978)&amp;") → 서울 지급"))</f>
        <v/>
      </c>
      <c r="I978">
        <f>IF($P978="","",INDEX(명단표[현재 근무병원],$P978))</f>
        <v/>
      </c>
      <c r="J978">
        <f>IF($P978="","",INDEX(명단표[구리 근무 시작일(기준월)],$P978)&amp;"")</f>
        <v/>
      </c>
      <c r="K978">
        <f>IF($P978="","",INDEX(명단표[구리 근무 종료일(기준월)],$P978)&amp;"")</f>
        <v/>
      </c>
      <c r="L978">
        <f>IF($P978="","",INDEX(명단표[서울 근무일(기준월)],$P978))</f>
        <v/>
      </c>
      <c r="M978">
        <f>IF($P978="","",INDEX(명단표[구리 근무일(기준월)],$P978))</f>
        <v/>
      </c>
      <c r="N978">
        <f>IF($P978="","",INDEX(명단표[급여 판정 근거],$P978))</f>
        <v/>
      </c>
      <c r="O978">
        <f>IF($P978="","",INDEX(명단표[점검],$P978))</f>
        <v/>
      </c>
      <c r="P978" s="17">
        <f>IFERROR(MATCH(973,명단표[서울순번],0),"")</f>
        <v/>
      </c>
      <c r="R978">
        <f>IF($W978="","",INDEX(명단표[이름],$W978))</f>
        <v/>
      </c>
      <c r="S978">
        <f>IF($W978="","",INDEX(명단표[사번],$W978)&amp;"")</f>
        <v/>
      </c>
      <c r="T978">
        <f>IF($W978="","",INDEX(명단표[소속병원],$W978))</f>
        <v/>
      </c>
      <c r="U978">
        <f>IF($W978="","",INDEX(명단표[서울 근무일(기준월)],$W978))</f>
        <v/>
      </c>
      <c r="V978">
        <f>IF($W978="","",INDEX(명단표[구리 근무일(기준월)],$W978))</f>
        <v/>
      </c>
      <c r="W978" s="17">
        <f>IFERROR(MATCH(973,명단표[판정불가순번],0),"")</f>
        <v/>
      </c>
    </row>
    <row r="979">
      <c r="A979">
        <f>IF($P979="","",974)</f>
        <v/>
      </c>
      <c r="B979">
        <f>IF($P979="","",INDEX(명단표[이름],$P979))</f>
        <v/>
      </c>
      <c r="C979">
        <f>IF($P979="","",INDEX(명단표[사번],$P979)&amp;"")</f>
        <v/>
      </c>
      <c r="D979">
        <f>IF($P979="","",INDEX(명단표[전공의등록번호],$P979)&amp;"")</f>
        <v/>
      </c>
      <c r="E979">
        <f>IF($P979="","",INDEX(명단표[수련과목],$P979)&amp;"")</f>
        <v/>
      </c>
      <c r="F979">
        <f>IF($P979="","",INDEX(명단표[연차],$P979)&amp;"")</f>
        <v/>
      </c>
      <c r="G979">
        <f>IF($P979="","",INDEX(명단표[소속병원],$P979))</f>
        <v/>
      </c>
      <c r="H979">
        <f>IF($P979="","",IF(INDEX(명단표[소속병원],$P979)="서울병원","서울 소속","타 병원 소속("&amp;INDEX(명단표[소속병원],$P979)&amp;") → 서울 지급"))</f>
        <v/>
      </c>
      <c r="I979">
        <f>IF($P979="","",INDEX(명단표[현재 근무병원],$P979))</f>
        <v/>
      </c>
      <c r="J979">
        <f>IF($P979="","",INDEX(명단표[구리 근무 시작일(기준월)],$P979)&amp;"")</f>
        <v/>
      </c>
      <c r="K979">
        <f>IF($P979="","",INDEX(명단표[구리 근무 종료일(기준월)],$P979)&amp;"")</f>
        <v/>
      </c>
      <c r="L979">
        <f>IF($P979="","",INDEX(명단표[서울 근무일(기준월)],$P979))</f>
        <v/>
      </c>
      <c r="M979">
        <f>IF($P979="","",INDEX(명단표[구리 근무일(기준월)],$P979))</f>
        <v/>
      </c>
      <c r="N979">
        <f>IF($P979="","",INDEX(명단표[급여 판정 근거],$P979))</f>
        <v/>
      </c>
      <c r="O979">
        <f>IF($P979="","",INDEX(명단표[점검],$P979))</f>
        <v/>
      </c>
      <c r="P979" s="17">
        <f>IFERROR(MATCH(974,명단표[서울순번],0),"")</f>
        <v/>
      </c>
      <c r="R979">
        <f>IF($W979="","",INDEX(명단표[이름],$W979))</f>
        <v/>
      </c>
      <c r="S979">
        <f>IF($W979="","",INDEX(명단표[사번],$W979)&amp;"")</f>
        <v/>
      </c>
      <c r="T979">
        <f>IF($W979="","",INDEX(명단표[소속병원],$W979))</f>
        <v/>
      </c>
      <c r="U979">
        <f>IF($W979="","",INDEX(명단표[서울 근무일(기준월)],$W979))</f>
        <v/>
      </c>
      <c r="V979">
        <f>IF($W979="","",INDEX(명단표[구리 근무일(기준월)],$W979))</f>
        <v/>
      </c>
      <c r="W979" s="17">
        <f>IFERROR(MATCH(974,명단표[판정불가순번],0),"")</f>
        <v/>
      </c>
    </row>
    <row r="980">
      <c r="A980">
        <f>IF($P980="","",975)</f>
        <v/>
      </c>
      <c r="B980">
        <f>IF($P980="","",INDEX(명단표[이름],$P980))</f>
        <v/>
      </c>
      <c r="C980">
        <f>IF($P980="","",INDEX(명단표[사번],$P980)&amp;"")</f>
        <v/>
      </c>
      <c r="D980">
        <f>IF($P980="","",INDEX(명단표[전공의등록번호],$P980)&amp;"")</f>
        <v/>
      </c>
      <c r="E980">
        <f>IF($P980="","",INDEX(명단표[수련과목],$P980)&amp;"")</f>
        <v/>
      </c>
      <c r="F980">
        <f>IF($P980="","",INDEX(명단표[연차],$P980)&amp;"")</f>
        <v/>
      </c>
      <c r="G980">
        <f>IF($P980="","",INDEX(명단표[소속병원],$P980))</f>
        <v/>
      </c>
      <c r="H980">
        <f>IF($P980="","",IF(INDEX(명단표[소속병원],$P980)="서울병원","서울 소속","타 병원 소속("&amp;INDEX(명단표[소속병원],$P980)&amp;") → 서울 지급"))</f>
        <v/>
      </c>
      <c r="I980">
        <f>IF($P980="","",INDEX(명단표[현재 근무병원],$P980))</f>
        <v/>
      </c>
      <c r="J980">
        <f>IF($P980="","",INDEX(명단표[구리 근무 시작일(기준월)],$P980)&amp;"")</f>
        <v/>
      </c>
      <c r="K980">
        <f>IF($P980="","",INDEX(명단표[구리 근무 종료일(기준월)],$P980)&amp;"")</f>
        <v/>
      </c>
      <c r="L980">
        <f>IF($P980="","",INDEX(명단표[서울 근무일(기준월)],$P980))</f>
        <v/>
      </c>
      <c r="M980">
        <f>IF($P980="","",INDEX(명단표[구리 근무일(기준월)],$P980))</f>
        <v/>
      </c>
      <c r="N980">
        <f>IF($P980="","",INDEX(명단표[급여 판정 근거],$P980))</f>
        <v/>
      </c>
      <c r="O980">
        <f>IF($P980="","",INDEX(명단표[점검],$P980))</f>
        <v/>
      </c>
      <c r="P980" s="17">
        <f>IFERROR(MATCH(975,명단표[서울순번],0),"")</f>
        <v/>
      </c>
      <c r="R980">
        <f>IF($W980="","",INDEX(명단표[이름],$W980))</f>
        <v/>
      </c>
      <c r="S980">
        <f>IF($W980="","",INDEX(명단표[사번],$W980)&amp;"")</f>
        <v/>
      </c>
      <c r="T980">
        <f>IF($W980="","",INDEX(명단표[소속병원],$W980))</f>
        <v/>
      </c>
      <c r="U980">
        <f>IF($W980="","",INDEX(명단표[서울 근무일(기준월)],$W980))</f>
        <v/>
      </c>
      <c r="V980">
        <f>IF($W980="","",INDEX(명단표[구리 근무일(기준월)],$W980))</f>
        <v/>
      </c>
      <c r="W980" s="17">
        <f>IFERROR(MATCH(975,명단표[판정불가순번],0),"")</f>
        <v/>
      </c>
    </row>
    <row r="981">
      <c r="A981">
        <f>IF($P981="","",976)</f>
        <v/>
      </c>
      <c r="B981">
        <f>IF($P981="","",INDEX(명단표[이름],$P981))</f>
        <v/>
      </c>
      <c r="C981">
        <f>IF($P981="","",INDEX(명단표[사번],$P981)&amp;"")</f>
        <v/>
      </c>
      <c r="D981">
        <f>IF($P981="","",INDEX(명단표[전공의등록번호],$P981)&amp;"")</f>
        <v/>
      </c>
      <c r="E981">
        <f>IF($P981="","",INDEX(명단표[수련과목],$P981)&amp;"")</f>
        <v/>
      </c>
      <c r="F981">
        <f>IF($P981="","",INDEX(명단표[연차],$P981)&amp;"")</f>
        <v/>
      </c>
      <c r="G981">
        <f>IF($P981="","",INDEX(명단표[소속병원],$P981))</f>
        <v/>
      </c>
      <c r="H981">
        <f>IF($P981="","",IF(INDEX(명단표[소속병원],$P981)="서울병원","서울 소속","타 병원 소속("&amp;INDEX(명단표[소속병원],$P981)&amp;") → 서울 지급"))</f>
        <v/>
      </c>
      <c r="I981">
        <f>IF($P981="","",INDEX(명단표[현재 근무병원],$P981))</f>
        <v/>
      </c>
      <c r="J981">
        <f>IF($P981="","",INDEX(명단표[구리 근무 시작일(기준월)],$P981)&amp;"")</f>
        <v/>
      </c>
      <c r="K981">
        <f>IF($P981="","",INDEX(명단표[구리 근무 종료일(기준월)],$P981)&amp;"")</f>
        <v/>
      </c>
      <c r="L981">
        <f>IF($P981="","",INDEX(명단표[서울 근무일(기준월)],$P981))</f>
        <v/>
      </c>
      <c r="M981">
        <f>IF($P981="","",INDEX(명단표[구리 근무일(기준월)],$P981))</f>
        <v/>
      </c>
      <c r="N981">
        <f>IF($P981="","",INDEX(명단표[급여 판정 근거],$P981))</f>
        <v/>
      </c>
      <c r="O981">
        <f>IF($P981="","",INDEX(명단표[점검],$P981))</f>
        <v/>
      </c>
      <c r="P981" s="17">
        <f>IFERROR(MATCH(976,명단표[서울순번],0),"")</f>
        <v/>
      </c>
      <c r="R981">
        <f>IF($W981="","",INDEX(명단표[이름],$W981))</f>
        <v/>
      </c>
      <c r="S981">
        <f>IF($W981="","",INDEX(명단표[사번],$W981)&amp;"")</f>
        <v/>
      </c>
      <c r="T981">
        <f>IF($W981="","",INDEX(명단표[소속병원],$W981))</f>
        <v/>
      </c>
      <c r="U981">
        <f>IF($W981="","",INDEX(명단표[서울 근무일(기준월)],$W981))</f>
        <v/>
      </c>
      <c r="V981">
        <f>IF($W981="","",INDEX(명단표[구리 근무일(기준월)],$W981))</f>
        <v/>
      </c>
      <c r="W981" s="17">
        <f>IFERROR(MATCH(976,명단표[판정불가순번],0),"")</f>
        <v/>
      </c>
    </row>
    <row r="982">
      <c r="A982">
        <f>IF($P982="","",977)</f>
        <v/>
      </c>
      <c r="B982">
        <f>IF($P982="","",INDEX(명단표[이름],$P982))</f>
        <v/>
      </c>
      <c r="C982">
        <f>IF($P982="","",INDEX(명단표[사번],$P982)&amp;"")</f>
        <v/>
      </c>
      <c r="D982">
        <f>IF($P982="","",INDEX(명단표[전공의등록번호],$P982)&amp;"")</f>
        <v/>
      </c>
      <c r="E982">
        <f>IF($P982="","",INDEX(명단표[수련과목],$P982)&amp;"")</f>
        <v/>
      </c>
      <c r="F982">
        <f>IF($P982="","",INDEX(명단표[연차],$P982)&amp;"")</f>
        <v/>
      </c>
      <c r="G982">
        <f>IF($P982="","",INDEX(명단표[소속병원],$P982))</f>
        <v/>
      </c>
      <c r="H982">
        <f>IF($P982="","",IF(INDEX(명단표[소속병원],$P982)="서울병원","서울 소속","타 병원 소속("&amp;INDEX(명단표[소속병원],$P982)&amp;") → 서울 지급"))</f>
        <v/>
      </c>
      <c r="I982">
        <f>IF($P982="","",INDEX(명단표[현재 근무병원],$P982))</f>
        <v/>
      </c>
      <c r="J982">
        <f>IF($P982="","",INDEX(명단표[구리 근무 시작일(기준월)],$P982)&amp;"")</f>
        <v/>
      </c>
      <c r="K982">
        <f>IF($P982="","",INDEX(명단표[구리 근무 종료일(기준월)],$P982)&amp;"")</f>
        <v/>
      </c>
      <c r="L982">
        <f>IF($P982="","",INDEX(명단표[서울 근무일(기준월)],$P982))</f>
        <v/>
      </c>
      <c r="M982">
        <f>IF($P982="","",INDEX(명단표[구리 근무일(기준월)],$P982))</f>
        <v/>
      </c>
      <c r="N982">
        <f>IF($P982="","",INDEX(명단표[급여 판정 근거],$P982))</f>
        <v/>
      </c>
      <c r="O982">
        <f>IF($P982="","",INDEX(명단표[점검],$P982))</f>
        <v/>
      </c>
      <c r="P982" s="17">
        <f>IFERROR(MATCH(977,명단표[서울순번],0),"")</f>
        <v/>
      </c>
      <c r="R982">
        <f>IF($W982="","",INDEX(명단표[이름],$W982))</f>
        <v/>
      </c>
      <c r="S982">
        <f>IF($W982="","",INDEX(명단표[사번],$W982)&amp;"")</f>
        <v/>
      </c>
      <c r="T982">
        <f>IF($W982="","",INDEX(명단표[소속병원],$W982))</f>
        <v/>
      </c>
      <c r="U982">
        <f>IF($W982="","",INDEX(명단표[서울 근무일(기준월)],$W982))</f>
        <v/>
      </c>
      <c r="V982">
        <f>IF($W982="","",INDEX(명단표[구리 근무일(기준월)],$W982))</f>
        <v/>
      </c>
      <c r="W982" s="17">
        <f>IFERROR(MATCH(977,명단표[판정불가순번],0),"")</f>
        <v/>
      </c>
    </row>
    <row r="983">
      <c r="A983">
        <f>IF($P983="","",978)</f>
        <v/>
      </c>
      <c r="B983">
        <f>IF($P983="","",INDEX(명단표[이름],$P983))</f>
        <v/>
      </c>
      <c r="C983">
        <f>IF($P983="","",INDEX(명단표[사번],$P983)&amp;"")</f>
        <v/>
      </c>
      <c r="D983">
        <f>IF($P983="","",INDEX(명단표[전공의등록번호],$P983)&amp;"")</f>
        <v/>
      </c>
      <c r="E983">
        <f>IF($P983="","",INDEX(명단표[수련과목],$P983)&amp;"")</f>
        <v/>
      </c>
      <c r="F983">
        <f>IF($P983="","",INDEX(명단표[연차],$P983)&amp;"")</f>
        <v/>
      </c>
      <c r="G983">
        <f>IF($P983="","",INDEX(명단표[소속병원],$P983))</f>
        <v/>
      </c>
      <c r="H983">
        <f>IF($P983="","",IF(INDEX(명단표[소속병원],$P983)="서울병원","서울 소속","타 병원 소속("&amp;INDEX(명단표[소속병원],$P983)&amp;") → 서울 지급"))</f>
        <v/>
      </c>
      <c r="I983">
        <f>IF($P983="","",INDEX(명단표[현재 근무병원],$P983))</f>
        <v/>
      </c>
      <c r="J983">
        <f>IF($P983="","",INDEX(명단표[구리 근무 시작일(기준월)],$P983)&amp;"")</f>
        <v/>
      </c>
      <c r="K983">
        <f>IF($P983="","",INDEX(명단표[구리 근무 종료일(기준월)],$P983)&amp;"")</f>
        <v/>
      </c>
      <c r="L983">
        <f>IF($P983="","",INDEX(명단표[서울 근무일(기준월)],$P983))</f>
        <v/>
      </c>
      <c r="M983">
        <f>IF($P983="","",INDEX(명단표[구리 근무일(기준월)],$P983))</f>
        <v/>
      </c>
      <c r="N983">
        <f>IF($P983="","",INDEX(명단표[급여 판정 근거],$P983))</f>
        <v/>
      </c>
      <c r="O983">
        <f>IF($P983="","",INDEX(명단표[점검],$P983))</f>
        <v/>
      </c>
      <c r="P983" s="17">
        <f>IFERROR(MATCH(978,명단표[서울순번],0),"")</f>
        <v/>
      </c>
      <c r="R983">
        <f>IF($W983="","",INDEX(명단표[이름],$W983))</f>
        <v/>
      </c>
      <c r="S983">
        <f>IF($W983="","",INDEX(명단표[사번],$W983)&amp;"")</f>
        <v/>
      </c>
      <c r="T983">
        <f>IF($W983="","",INDEX(명단표[소속병원],$W983))</f>
        <v/>
      </c>
      <c r="U983">
        <f>IF($W983="","",INDEX(명단표[서울 근무일(기준월)],$W983))</f>
        <v/>
      </c>
      <c r="V983">
        <f>IF($W983="","",INDEX(명단표[구리 근무일(기준월)],$W983))</f>
        <v/>
      </c>
      <c r="W983" s="17">
        <f>IFERROR(MATCH(978,명단표[판정불가순번],0),"")</f>
        <v/>
      </c>
    </row>
    <row r="984">
      <c r="A984">
        <f>IF($P984="","",979)</f>
        <v/>
      </c>
      <c r="B984">
        <f>IF($P984="","",INDEX(명단표[이름],$P984))</f>
        <v/>
      </c>
      <c r="C984">
        <f>IF($P984="","",INDEX(명단표[사번],$P984)&amp;"")</f>
        <v/>
      </c>
      <c r="D984">
        <f>IF($P984="","",INDEX(명단표[전공의등록번호],$P984)&amp;"")</f>
        <v/>
      </c>
      <c r="E984">
        <f>IF($P984="","",INDEX(명단표[수련과목],$P984)&amp;"")</f>
        <v/>
      </c>
      <c r="F984">
        <f>IF($P984="","",INDEX(명단표[연차],$P984)&amp;"")</f>
        <v/>
      </c>
      <c r="G984">
        <f>IF($P984="","",INDEX(명단표[소속병원],$P984))</f>
        <v/>
      </c>
      <c r="H984">
        <f>IF($P984="","",IF(INDEX(명단표[소속병원],$P984)="서울병원","서울 소속","타 병원 소속("&amp;INDEX(명단표[소속병원],$P984)&amp;") → 서울 지급"))</f>
        <v/>
      </c>
      <c r="I984">
        <f>IF($P984="","",INDEX(명단표[현재 근무병원],$P984))</f>
        <v/>
      </c>
      <c r="J984">
        <f>IF($P984="","",INDEX(명단표[구리 근무 시작일(기준월)],$P984)&amp;"")</f>
        <v/>
      </c>
      <c r="K984">
        <f>IF($P984="","",INDEX(명단표[구리 근무 종료일(기준월)],$P984)&amp;"")</f>
        <v/>
      </c>
      <c r="L984">
        <f>IF($P984="","",INDEX(명단표[서울 근무일(기준월)],$P984))</f>
        <v/>
      </c>
      <c r="M984">
        <f>IF($P984="","",INDEX(명단표[구리 근무일(기준월)],$P984))</f>
        <v/>
      </c>
      <c r="N984">
        <f>IF($P984="","",INDEX(명단표[급여 판정 근거],$P984))</f>
        <v/>
      </c>
      <c r="O984">
        <f>IF($P984="","",INDEX(명단표[점검],$P984))</f>
        <v/>
      </c>
      <c r="P984" s="17">
        <f>IFERROR(MATCH(979,명단표[서울순번],0),"")</f>
        <v/>
      </c>
      <c r="R984">
        <f>IF($W984="","",INDEX(명단표[이름],$W984))</f>
        <v/>
      </c>
      <c r="S984">
        <f>IF($W984="","",INDEX(명단표[사번],$W984)&amp;"")</f>
        <v/>
      </c>
      <c r="T984">
        <f>IF($W984="","",INDEX(명단표[소속병원],$W984))</f>
        <v/>
      </c>
      <c r="U984">
        <f>IF($W984="","",INDEX(명단표[서울 근무일(기준월)],$W984))</f>
        <v/>
      </c>
      <c r="V984">
        <f>IF($W984="","",INDEX(명단표[구리 근무일(기준월)],$W984))</f>
        <v/>
      </c>
      <c r="W984" s="17">
        <f>IFERROR(MATCH(979,명단표[판정불가순번],0),"")</f>
        <v/>
      </c>
    </row>
    <row r="985">
      <c r="A985">
        <f>IF($P985="","",980)</f>
        <v/>
      </c>
      <c r="B985">
        <f>IF($P985="","",INDEX(명단표[이름],$P985))</f>
        <v/>
      </c>
      <c r="C985">
        <f>IF($P985="","",INDEX(명단표[사번],$P985)&amp;"")</f>
        <v/>
      </c>
      <c r="D985">
        <f>IF($P985="","",INDEX(명단표[전공의등록번호],$P985)&amp;"")</f>
        <v/>
      </c>
      <c r="E985">
        <f>IF($P985="","",INDEX(명단표[수련과목],$P985)&amp;"")</f>
        <v/>
      </c>
      <c r="F985">
        <f>IF($P985="","",INDEX(명단표[연차],$P985)&amp;"")</f>
        <v/>
      </c>
      <c r="G985">
        <f>IF($P985="","",INDEX(명단표[소속병원],$P985))</f>
        <v/>
      </c>
      <c r="H985">
        <f>IF($P985="","",IF(INDEX(명단표[소속병원],$P985)="서울병원","서울 소속","타 병원 소속("&amp;INDEX(명단표[소속병원],$P985)&amp;") → 서울 지급"))</f>
        <v/>
      </c>
      <c r="I985">
        <f>IF($P985="","",INDEX(명단표[현재 근무병원],$P985))</f>
        <v/>
      </c>
      <c r="J985">
        <f>IF($P985="","",INDEX(명단표[구리 근무 시작일(기준월)],$P985)&amp;"")</f>
        <v/>
      </c>
      <c r="K985">
        <f>IF($P985="","",INDEX(명단표[구리 근무 종료일(기준월)],$P985)&amp;"")</f>
        <v/>
      </c>
      <c r="L985">
        <f>IF($P985="","",INDEX(명단표[서울 근무일(기준월)],$P985))</f>
        <v/>
      </c>
      <c r="M985">
        <f>IF($P985="","",INDEX(명단표[구리 근무일(기준월)],$P985))</f>
        <v/>
      </c>
      <c r="N985">
        <f>IF($P985="","",INDEX(명단표[급여 판정 근거],$P985))</f>
        <v/>
      </c>
      <c r="O985">
        <f>IF($P985="","",INDEX(명단표[점검],$P985))</f>
        <v/>
      </c>
      <c r="P985" s="17">
        <f>IFERROR(MATCH(980,명단표[서울순번],0),"")</f>
        <v/>
      </c>
      <c r="R985">
        <f>IF($W985="","",INDEX(명단표[이름],$W985))</f>
        <v/>
      </c>
      <c r="S985">
        <f>IF($W985="","",INDEX(명단표[사번],$W985)&amp;"")</f>
        <v/>
      </c>
      <c r="T985">
        <f>IF($W985="","",INDEX(명단표[소속병원],$W985))</f>
        <v/>
      </c>
      <c r="U985">
        <f>IF($W985="","",INDEX(명단표[서울 근무일(기준월)],$W985))</f>
        <v/>
      </c>
      <c r="V985">
        <f>IF($W985="","",INDEX(명단표[구리 근무일(기준월)],$W985))</f>
        <v/>
      </c>
      <c r="W985" s="17">
        <f>IFERROR(MATCH(980,명단표[판정불가순번],0),"")</f>
        <v/>
      </c>
    </row>
    <row r="986">
      <c r="A986">
        <f>IF($P986="","",981)</f>
        <v/>
      </c>
      <c r="B986">
        <f>IF($P986="","",INDEX(명단표[이름],$P986))</f>
        <v/>
      </c>
      <c r="C986">
        <f>IF($P986="","",INDEX(명단표[사번],$P986)&amp;"")</f>
        <v/>
      </c>
      <c r="D986">
        <f>IF($P986="","",INDEX(명단표[전공의등록번호],$P986)&amp;"")</f>
        <v/>
      </c>
      <c r="E986">
        <f>IF($P986="","",INDEX(명단표[수련과목],$P986)&amp;"")</f>
        <v/>
      </c>
      <c r="F986">
        <f>IF($P986="","",INDEX(명단표[연차],$P986)&amp;"")</f>
        <v/>
      </c>
      <c r="G986">
        <f>IF($P986="","",INDEX(명단표[소속병원],$P986))</f>
        <v/>
      </c>
      <c r="H986">
        <f>IF($P986="","",IF(INDEX(명단표[소속병원],$P986)="서울병원","서울 소속","타 병원 소속("&amp;INDEX(명단표[소속병원],$P986)&amp;") → 서울 지급"))</f>
        <v/>
      </c>
      <c r="I986">
        <f>IF($P986="","",INDEX(명단표[현재 근무병원],$P986))</f>
        <v/>
      </c>
      <c r="J986">
        <f>IF($P986="","",INDEX(명단표[구리 근무 시작일(기준월)],$P986)&amp;"")</f>
        <v/>
      </c>
      <c r="K986">
        <f>IF($P986="","",INDEX(명단표[구리 근무 종료일(기준월)],$P986)&amp;"")</f>
        <v/>
      </c>
      <c r="L986">
        <f>IF($P986="","",INDEX(명단표[서울 근무일(기준월)],$P986))</f>
        <v/>
      </c>
      <c r="M986">
        <f>IF($P986="","",INDEX(명단표[구리 근무일(기준월)],$P986))</f>
        <v/>
      </c>
      <c r="N986">
        <f>IF($P986="","",INDEX(명단표[급여 판정 근거],$P986))</f>
        <v/>
      </c>
      <c r="O986">
        <f>IF($P986="","",INDEX(명단표[점검],$P986))</f>
        <v/>
      </c>
      <c r="P986" s="17">
        <f>IFERROR(MATCH(981,명단표[서울순번],0),"")</f>
        <v/>
      </c>
      <c r="R986">
        <f>IF($W986="","",INDEX(명단표[이름],$W986))</f>
        <v/>
      </c>
      <c r="S986">
        <f>IF($W986="","",INDEX(명단표[사번],$W986)&amp;"")</f>
        <v/>
      </c>
      <c r="T986">
        <f>IF($W986="","",INDEX(명단표[소속병원],$W986))</f>
        <v/>
      </c>
      <c r="U986">
        <f>IF($W986="","",INDEX(명단표[서울 근무일(기준월)],$W986))</f>
        <v/>
      </c>
      <c r="V986">
        <f>IF($W986="","",INDEX(명단표[구리 근무일(기준월)],$W986))</f>
        <v/>
      </c>
      <c r="W986" s="17">
        <f>IFERROR(MATCH(981,명단표[판정불가순번],0),"")</f>
        <v/>
      </c>
    </row>
    <row r="987">
      <c r="A987">
        <f>IF($P987="","",982)</f>
        <v/>
      </c>
      <c r="B987">
        <f>IF($P987="","",INDEX(명단표[이름],$P987))</f>
        <v/>
      </c>
      <c r="C987">
        <f>IF($P987="","",INDEX(명단표[사번],$P987)&amp;"")</f>
        <v/>
      </c>
      <c r="D987">
        <f>IF($P987="","",INDEX(명단표[전공의등록번호],$P987)&amp;"")</f>
        <v/>
      </c>
      <c r="E987">
        <f>IF($P987="","",INDEX(명단표[수련과목],$P987)&amp;"")</f>
        <v/>
      </c>
      <c r="F987">
        <f>IF($P987="","",INDEX(명단표[연차],$P987)&amp;"")</f>
        <v/>
      </c>
      <c r="G987">
        <f>IF($P987="","",INDEX(명단표[소속병원],$P987))</f>
        <v/>
      </c>
      <c r="H987">
        <f>IF($P987="","",IF(INDEX(명단표[소속병원],$P987)="서울병원","서울 소속","타 병원 소속("&amp;INDEX(명단표[소속병원],$P987)&amp;") → 서울 지급"))</f>
        <v/>
      </c>
      <c r="I987">
        <f>IF($P987="","",INDEX(명단표[현재 근무병원],$P987))</f>
        <v/>
      </c>
      <c r="J987">
        <f>IF($P987="","",INDEX(명단표[구리 근무 시작일(기준월)],$P987)&amp;"")</f>
        <v/>
      </c>
      <c r="K987">
        <f>IF($P987="","",INDEX(명단표[구리 근무 종료일(기준월)],$P987)&amp;"")</f>
        <v/>
      </c>
      <c r="L987">
        <f>IF($P987="","",INDEX(명단표[서울 근무일(기준월)],$P987))</f>
        <v/>
      </c>
      <c r="M987">
        <f>IF($P987="","",INDEX(명단표[구리 근무일(기준월)],$P987))</f>
        <v/>
      </c>
      <c r="N987">
        <f>IF($P987="","",INDEX(명단표[급여 판정 근거],$P987))</f>
        <v/>
      </c>
      <c r="O987">
        <f>IF($P987="","",INDEX(명단표[점검],$P987))</f>
        <v/>
      </c>
      <c r="P987" s="17">
        <f>IFERROR(MATCH(982,명단표[서울순번],0),"")</f>
        <v/>
      </c>
      <c r="R987">
        <f>IF($W987="","",INDEX(명단표[이름],$W987))</f>
        <v/>
      </c>
      <c r="S987">
        <f>IF($W987="","",INDEX(명단표[사번],$W987)&amp;"")</f>
        <v/>
      </c>
      <c r="T987">
        <f>IF($W987="","",INDEX(명단표[소속병원],$W987))</f>
        <v/>
      </c>
      <c r="U987">
        <f>IF($W987="","",INDEX(명단표[서울 근무일(기준월)],$W987))</f>
        <v/>
      </c>
      <c r="V987">
        <f>IF($W987="","",INDEX(명단표[구리 근무일(기준월)],$W987))</f>
        <v/>
      </c>
      <c r="W987" s="17">
        <f>IFERROR(MATCH(982,명단표[판정불가순번],0),"")</f>
        <v/>
      </c>
    </row>
    <row r="988">
      <c r="A988">
        <f>IF($P988="","",983)</f>
        <v/>
      </c>
      <c r="B988">
        <f>IF($P988="","",INDEX(명단표[이름],$P988))</f>
        <v/>
      </c>
      <c r="C988">
        <f>IF($P988="","",INDEX(명단표[사번],$P988)&amp;"")</f>
        <v/>
      </c>
      <c r="D988">
        <f>IF($P988="","",INDEX(명단표[전공의등록번호],$P988)&amp;"")</f>
        <v/>
      </c>
      <c r="E988">
        <f>IF($P988="","",INDEX(명단표[수련과목],$P988)&amp;"")</f>
        <v/>
      </c>
      <c r="F988">
        <f>IF($P988="","",INDEX(명단표[연차],$P988)&amp;"")</f>
        <v/>
      </c>
      <c r="G988">
        <f>IF($P988="","",INDEX(명단표[소속병원],$P988))</f>
        <v/>
      </c>
      <c r="H988">
        <f>IF($P988="","",IF(INDEX(명단표[소속병원],$P988)="서울병원","서울 소속","타 병원 소속("&amp;INDEX(명단표[소속병원],$P988)&amp;") → 서울 지급"))</f>
        <v/>
      </c>
      <c r="I988">
        <f>IF($P988="","",INDEX(명단표[현재 근무병원],$P988))</f>
        <v/>
      </c>
      <c r="J988">
        <f>IF($P988="","",INDEX(명단표[구리 근무 시작일(기준월)],$P988)&amp;"")</f>
        <v/>
      </c>
      <c r="K988">
        <f>IF($P988="","",INDEX(명단표[구리 근무 종료일(기준월)],$P988)&amp;"")</f>
        <v/>
      </c>
      <c r="L988">
        <f>IF($P988="","",INDEX(명단표[서울 근무일(기준월)],$P988))</f>
        <v/>
      </c>
      <c r="M988">
        <f>IF($P988="","",INDEX(명단표[구리 근무일(기준월)],$P988))</f>
        <v/>
      </c>
      <c r="N988">
        <f>IF($P988="","",INDEX(명단표[급여 판정 근거],$P988))</f>
        <v/>
      </c>
      <c r="O988">
        <f>IF($P988="","",INDEX(명단표[점검],$P988))</f>
        <v/>
      </c>
      <c r="P988" s="17">
        <f>IFERROR(MATCH(983,명단표[서울순번],0),"")</f>
        <v/>
      </c>
      <c r="R988">
        <f>IF($W988="","",INDEX(명단표[이름],$W988))</f>
        <v/>
      </c>
      <c r="S988">
        <f>IF($W988="","",INDEX(명단표[사번],$W988)&amp;"")</f>
        <v/>
      </c>
      <c r="T988">
        <f>IF($W988="","",INDEX(명단표[소속병원],$W988))</f>
        <v/>
      </c>
      <c r="U988">
        <f>IF($W988="","",INDEX(명단표[서울 근무일(기준월)],$W988))</f>
        <v/>
      </c>
      <c r="V988">
        <f>IF($W988="","",INDEX(명단표[구리 근무일(기준월)],$W988))</f>
        <v/>
      </c>
      <c r="W988" s="17">
        <f>IFERROR(MATCH(983,명단표[판정불가순번],0),"")</f>
        <v/>
      </c>
    </row>
    <row r="989">
      <c r="A989">
        <f>IF($P989="","",984)</f>
        <v/>
      </c>
      <c r="B989">
        <f>IF($P989="","",INDEX(명단표[이름],$P989))</f>
        <v/>
      </c>
      <c r="C989">
        <f>IF($P989="","",INDEX(명단표[사번],$P989)&amp;"")</f>
        <v/>
      </c>
      <c r="D989">
        <f>IF($P989="","",INDEX(명단표[전공의등록번호],$P989)&amp;"")</f>
        <v/>
      </c>
      <c r="E989">
        <f>IF($P989="","",INDEX(명단표[수련과목],$P989)&amp;"")</f>
        <v/>
      </c>
      <c r="F989">
        <f>IF($P989="","",INDEX(명단표[연차],$P989)&amp;"")</f>
        <v/>
      </c>
      <c r="G989">
        <f>IF($P989="","",INDEX(명단표[소속병원],$P989))</f>
        <v/>
      </c>
      <c r="H989">
        <f>IF($P989="","",IF(INDEX(명단표[소속병원],$P989)="서울병원","서울 소속","타 병원 소속("&amp;INDEX(명단표[소속병원],$P989)&amp;") → 서울 지급"))</f>
        <v/>
      </c>
      <c r="I989">
        <f>IF($P989="","",INDEX(명단표[현재 근무병원],$P989))</f>
        <v/>
      </c>
      <c r="J989">
        <f>IF($P989="","",INDEX(명단표[구리 근무 시작일(기준월)],$P989)&amp;"")</f>
        <v/>
      </c>
      <c r="K989">
        <f>IF($P989="","",INDEX(명단표[구리 근무 종료일(기준월)],$P989)&amp;"")</f>
        <v/>
      </c>
      <c r="L989">
        <f>IF($P989="","",INDEX(명단표[서울 근무일(기준월)],$P989))</f>
        <v/>
      </c>
      <c r="M989">
        <f>IF($P989="","",INDEX(명단표[구리 근무일(기준월)],$P989))</f>
        <v/>
      </c>
      <c r="N989">
        <f>IF($P989="","",INDEX(명단표[급여 판정 근거],$P989))</f>
        <v/>
      </c>
      <c r="O989">
        <f>IF($P989="","",INDEX(명단표[점검],$P989))</f>
        <v/>
      </c>
      <c r="P989" s="17">
        <f>IFERROR(MATCH(984,명단표[서울순번],0),"")</f>
        <v/>
      </c>
      <c r="R989">
        <f>IF($W989="","",INDEX(명단표[이름],$W989))</f>
        <v/>
      </c>
      <c r="S989">
        <f>IF($W989="","",INDEX(명단표[사번],$W989)&amp;"")</f>
        <v/>
      </c>
      <c r="T989">
        <f>IF($W989="","",INDEX(명단표[소속병원],$W989))</f>
        <v/>
      </c>
      <c r="U989">
        <f>IF($W989="","",INDEX(명단표[서울 근무일(기준월)],$W989))</f>
        <v/>
      </c>
      <c r="V989">
        <f>IF($W989="","",INDEX(명단표[구리 근무일(기준월)],$W989))</f>
        <v/>
      </c>
      <c r="W989" s="17">
        <f>IFERROR(MATCH(984,명단표[판정불가순번],0),"")</f>
        <v/>
      </c>
    </row>
    <row r="990">
      <c r="A990">
        <f>IF($P990="","",985)</f>
        <v/>
      </c>
      <c r="B990">
        <f>IF($P990="","",INDEX(명단표[이름],$P990))</f>
        <v/>
      </c>
      <c r="C990">
        <f>IF($P990="","",INDEX(명단표[사번],$P990)&amp;"")</f>
        <v/>
      </c>
      <c r="D990">
        <f>IF($P990="","",INDEX(명단표[전공의등록번호],$P990)&amp;"")</f>
        <v/>
      </c>
      <c r="E990">
        <f>IF($P990="","",INDEX(명단표[수련과목],$P990)&amp;"")</f>
        <v/>
      </c>
      <c r="F990">
        <f>IF($P990="","",INDEX(명단표[연차],$P990)&amp;"")</f>
        <v/>
      </c>
      <c r="G990">
        <f>IF($P990="","",INDEX(명단표[소속병원],$P990))</f>
        <v/>
      </c>
      <c r="H990">
        <f>IF($P990="","",IF(INDEX(명단표[소속병원],$P990)="서울병원","서울 소속","타 병원 소속("&amp;INDEX(명단표[소속병원],$P990)&amp;") → 서울 지급"))</f>
        <v/>
      </c>
      <c r="I990">
        <f>IF($P990="","",INDEX(명단표[현재 근무병원],$P990))</f>
        <v/>
      </c>
      <c r="J990">
        <f>IF($P990="","",INDEX(명단표[구리 근무 시작일(기준월)],$P990)&amp;"")</f>
        <v/>
      </c>
      <c r="K990">
        <f>IF($P990="","",INDEX(명단표[구리 근무 종료일(기준월)],$P990)&amp;"")</f>
        <v/>
      </c>
      <c r="L990">
        <f>IF($P990="","",INDEX(명단표[서울 근무일(기준월)],$P990))</f>
        <v/>
      </c>
      <c r="M990">
        <f>IF($P990="","",INDEX(명단표[구리 근무일(기준월)],$P990))</f>
        <v/>
      </c>
      <c r="N990">
        <f>IF($P990="","",INDEX(명단표[급여 판정 근거],$P990))</f>
        <v/>
      </c>
      <c r="O990">
        <f>IF($P990="","",INDEX(명단표[점검],$P990))</f>
        <v/>
      </c>
      <c r="P990" s="17">
        <f>IFERROR(MATCH(985,명단표[서울순번],0),"")</f>
        <v/>
      </c>
      <c r="R990">
        <f>IF($W990="","",INDEX(명단표[이름],$W990))</f>
        <v/>
      </c>
      <c r="S990">
        <f>IF($W990="","",INDEX(명단표[사번],$W990)&amp;"")</f>
        <v/>
      </c>
      <c r="T990">
        <f>IF($W990="","",INDEX(명단표[소속병원],$W990))</f>
        <v/>
      </c>
      <c r="U990">
        <f>IF($W990="","",INDEX(명단표[서울 근무일(기준월)],$W990))</f>
        <v/>
      </c>
      <c r="V990">
        <f>IF($W990="","",INDEX(명단표[구리 근무일(기준월)],$W990))</f>
        <v/>
      </c>
      <c r="W990" s="17">
        <f>IFERROR(MATCH(985,명단표[판정불가순번],0),"")</f>
        <v/>
      </c>
    </row>
    <row r="991">
      <c r="A991">
        <f>IF($P991="","",986)</f>
        <v/>
      </c>
      <c r="B991">
        <f>IF($P991="","",INDEX(명단표[이름],$P991))</f>
        <v/>
      </c>
      <c r="C991">
        <f>IF($P991="","",INDEX(명단표[사번],$P991)&amp;"")</f>
        <v/>
      </c>
      <c r="D991">
        <f>IF($P991="","",INDEX(명단표[전공의등록번호],$P991)&amp;"")</f>
        <v/>
      </c>
      <c r="E991">
        <f>IF($P991="","",INDEX(명단표[수련과목],$P991)&amp;"")</f>
        <v/>
      </c>
      <c r="F991">
        <f>IF($P991="","",INDEX(명단표[연차],$P991)&amp;"")</f>
        <v/>
      </c>
      <c r="G991">
        <f>IF($P991="","",INDEX(명단표[소속병원],$P991))</f>
        <v/>
      </c>
      <c r="H991">
        <f>IF($P991="","",IF(INDEX(명단표[소속병원],$P991)="서울병원","서울 소속","타 병원 소속("&amp;INDEX(명단표[소속병원],$P991)&amp;") → 서울 지급"))</f>
        <v/>
      </c>
      <c r="I991">
        <f>IF($P991="","",INDEX(명단표[현재 근무병원],$P991))</f>
        <v/>
      </c>
      <c r="J991">
        <f>IF($P991="","",INDEX(명단표[구리 근무 시작일(기준월)],$P991)&amp;"")</f>
        <v/>
      </c>
      <c r="K991">
        <f>IF($P991="","",INDEX(명단표[구리 근무 종료일(기준월)],$P991)&amp;"")</f>
        <v/>
      </c>
      <c r="L991">
        <f>IF($P991="","",INDEX(명단표[서울 근무일(기준월)],$P991))</f>
        <v/>
      </c>
      <c r="M991">
        <f>IF($P991="","",INDEX(명단표[구리 근무일(기준월)],$P991))</f>
        <v/>
      </c>
      <c r="N991">
        <f>IF($P991="","",INDEX(명단표[급여 판정 근거],$P991))</f>
        <v/>
      </c>
      <c r="O991">
        <f>IF($P991="","",INDEX(명단표[점검],$P991))</f>
        <v/>
      </c>
      <c r="P991" s="17">
        <f>IFERROR(MATCH(986,명단표[서울순번],0),"")</f>
        <v/>
      </c>
      <c r="R991">
        <f>IF($W991="","",INDEX(명단표[이름],$W991))</f>
        <v/>
      </c>
      <c r="S991">
        <f>IF($W991="","",INDEX(명단표[사번],$W991)&amp;"")</f>
        <v/>
      </c>
      <c r="T991">
        <f>IF($W991="","",INDEX(명단표[소속병원],$W991))</f>
        <v/>
      </c>
      <c r="U991">
        <f>IF($W991="","",INDEX(명단표[서울 근무일(기준월)],$W991))</f>
        <v/>
      </c>
      <c r="V991">
        <f>IF($W991="","",INDEX(명단표[구리 근무일(기준월)],$W991))</f>
        <v/>
      </c>
      <c r="W991" s="17">
        <f>IFERROR(MATCH(986,명단표[판정불가순번],0),"")</f>
        <v/>
      </c>
    </row>
    <row r="992">
      <c r="A992">
        <f>IF($P992="","",987)</f>
        <v/>
      </c>
      <c r="B992">
        <f>IF($P992="","",INDEX(명단표[이름],$P992))</f>
        <v/>
      </c>
      <c r="C992">
        <f>IF($P992="","",INDEX(명단표[사번],$P992)&amp;"")</f>
        <v/>
      </c>
      <c r="D992">
        <f>IF($P992="","",INDEX(명단표[전공의등록번호],$P992)&amp;"")</f>
        <v/>
      </c>
      <c r="E992">
        <f>IF($P992="","",INDEX(명단표[수련과목],$P992)&amp;"")</f>
        <v/>
      </c>
      <c r="F992">
        <f>IF($P992="","",INDEX(명단표[연차],$P992)&amp;"")</f>
        <v/>
      </c>
      <c r="G992">
        <f>IF($P992="","",INDEX(명단표[소속병원],$P992))</f>
        <v/>
      </c>
      <c r="H992">
        <f>IF($P992="","",IF(INDEX(명단표[소속병원],$P992)="서울병원","서울 소속","타 병원 소속("&amp;INDEX(명단표[소속병원],$P992)&amp;") → 서울 지급"))</f>
        <v/>
      </c>
      <c r="I992">
        <f>IF($P992="","",INDEX(명단표[현재 근무병원],$P992))</f>
        <v/>
      </c>
      <c r="J992">
        <f>IF($P992="","",INDEX(명단표[구리 근무 시작일(기준월)],$P992)&amp;"")</f>
        <v/>
      </c>
      <c r="K992">
        <f>IF($P992="","",INDEX(명단표[구리 근무 종료일(기준월)],$P992)&amp;"")</f>
        <v/>
      </c>
      <c r="L992">
        <f>IF($P992="","",INDEX(명단표[서울 근무일(기준월)],$P992))</f>
        <v/>
      </c>
      <c r="M992">
        <f>IF($P992="","",INDEX(명단표[구리 근무일(기준월)],$P992))</f>
        <v/>
      </c>
      <c r="N992">
        <f>IF($P992="","",INDEX(명단표[급여 판정 근거],$P992))</f>
        <v/>
      </c>
      <c r="O992">
        <f>IF($P992="","",INDEX(명단표[점검],$P992))</f>
        <v/>
      </c>
      <c r="P992" s="17">
        <f>IFERROR(MATCH(987,명단표[서울순번],0),"")</f>
        <v/>
      </c>
      <c r="R992">
        <f>IF($W992="","",INDEX(명단표[이름],$W992))</f>
        <v/>
      </c>
      <c r="S992">
        <f>IF($W992="","",INDEX(명단표[사번],$W992)&amp;"")</f>
        <v/>
      </c>
      <c r="T992">
        <f>IF($W992="","",INDEX(명단표[소속병원],$W992))</f>
        <v/>
      </c>
      <c r="U992">
        <f>IF($W992="","",INDEX(명단표[서울 근무일(기준월)],$W992))</f>
        <v/>
      </c>
      <c r="V992">
        <f>IF($W992="","",INDEX(명단표[구리 근무일(기준월)],$W992))</f>
        <v/>
      </c>
      <c r="W992" s="17">
        <f>IFERROR(MATCH(987,명단표[판정불가순번],0),"")</f>
        <v/>
      </c>
    </row>
    <row r="993">
      <c r="A993">
        <f>IF($P993="","",988)</f>
        <v/>
      </c>
      <c r="B993">
        <f>IF($P993="","",INDEX(명단표[이름],$P993))</f>
        <v/>
      </c>
      <c r="C993">
        <f>IF($P993="","",INDEX(명단표[사번],$P993)&amp;"")</f>
        <v/>
      </c>
      <c r="D993">
        <f>IF($P993="","",INDEX(명단표[전공의등록번호],$P993)&amp;"")</f>
        <v/>
      </c>
      <c r="E993">
        <f>IF($P993="","",INDEX(명단표[수련과목],$P993)&amp;"")</f>
        <v/>
      </c>
      <c r="F993">
        <f>IF($P993="","",INDEX(명단표[연차],$P993)&amp;"")</f>
        <v/>
      </c>
      <c r="G993">
        <f>IF($P993="","",INDEX(명단표[소속병원],$P993))</f>
        <v/>
      </c>
      <c r="H993">
        <f>IF($P993="","",IF(INDEX(명단표[소속병원],$P993)="서울병원","서울 소속","타 병원 소속("&amp;INDEX(명단표[소속병원],$P993)&amp;") → 서울 지급"))</f>
        <v/>
      </c>
      <c r="I993">
        <f>IF($P993="","",INDEX(명단표[현재 근무병원],$P993))</f>
        <v/>
      </c>
      <c r="J993">
        <f>IF($P993="","",INDEX(명단표[구리 근무 시작일(기준월)],$P993)&amp;"")</f>
        <v/>
      </c>
      <c r="K993">
        <f>IF($P993="","",INDEX(명단표[구리 근무 종료일(기준월)],$P993)&amp;"")</f>
        <v/>
      </c>
      <c r="L993">
        <f>IF($P993="","",INDEX(명단표[서울 근무일(기준월)],$P993))</f>
        <v/>
      </c>
      <c r="M993">
        <f>IF($P993="","",INDEX(명단표[구리 근무일(기준월)],$P993))</f>
        <v/>
      </c>
      <c r="N993">
        <f>IF($P993="","",INDEX(명단표[급여 판정 근거],$P993))</f>
        <v/>
      </c>
      <c r="O993">
        <f>IF($P993="","",INDEX(명단표[점검],$P993))</f>
        <v/>
      </c>
      <c r="P993" s="17">
        <f>IFERROR(MATCH(988,명단표[서울순번],0),"")</f>
        <v/>
      </c>
      <c r="R993">
        <f>IF($W993="","",INDEX(명단표[이름],$W993))</f>
        <v/>
      </c>
      <c r="S993">
        <f>IF($W993="","",INDEX(명단표[사번],$W993)&amp;"")</f>
        <v/>
      </c>
      <c r="T993">
        <f>IF($W993="","",INDEX(명단표[소속병원],$W993))</f>
        <v/>
      </c>
      <c r="U993">
        <f>IF($W993="","",INDEX(명단표[서울 근무일(기준월)],$W993))</f>
        <v/>
      </c>
      <c r="V993">
        <f>IF($W993="","",INDEX(명단표[구리 근무일(기준월)],$W993))</f>
        <v/>
      </c>
      <c r="W993" s="17">
        <f>IFERROR(MATCH(988,명단표[판정불가순번],0),"")</f>
        <v/>
      </c>
    </row>
    <row r="994">
      <c r="A994">
        <f>IF($P994="","",989)</f>
        <v/>
      </c>
      <c r="B994">
        <f>IF($P994="","",INDEX(명단표[이름],$P994))</f>
        <v/>
      </c>
      <c r="C994">
        <f>IF($P994="","",INDEX(명단표[사번],$P994)&amp;"")</f>
        <v/>
      </c>
      <c r="D994">
        <f>IF($P994="","",INDEX(명단표[전공의등록번호],$P994)&amp;"")</f>
        <v/>
      </c>
      <c r="E994">
        <f>IF($P994="","",INDEX(명단표[수련과목],$P994)&amp;"")</f>
        <v/>
      </c>
      <c r="F994">
        <f>IF($P994="","",INDEX(명단표[연차],$P994)&amp;"")</f>
        <v/>
      </c>
      <c r="G994">
        <f>IF($P994="","",INDEX(명단표[소속병원],$P994))</f>
        <v/>
      </c>
      <c r="H994">
        <f>IF($P994="","",IF(INDEX(명단표[소속병원],$P994)="서울병원","서울 소속","타 병원 소속("&amp;INDEX(명단표[소속병원],$P994)&amp;") → 서울 지급"))</f>
        <v/>
      </c>
      <c r="I994">
        <f>IF($P994="","",INDEX(명단표[현재 근무병원],$P994))</f>
        <v/>
      </c>
      <c r="J994">
        <f>IF($P994="","",INDEX(명단표[구리 근무 시작일(기준월)],$P994)&amp;"")</f>
        <v/>
      </c>
      <c r="K994">
        <f>IF($P994="","",INDEX(명단표[구리 근무 종료일(기준월)],$P994)&amp;"")</f>
        <v/>
      </c>
      <c r="L994">
        <f>IF($P994="","",INDEX(명단표[서울 근무일(기준월)],$P994))</f>
        <v/>
      </c>
      <c r="M994">
        <f>IF($P994="","",INDEX(명단표[구리 근무일(기준월)],$P994))</f>
        <v/>
      </c>
      <c r="N994">
        <f>IF($P994="","",INDEX(명단표[급여 판정 근거],$P994))</f>
        <v/>
      </c>
      <c r="O994">
        <f>IF($P994="","",INDEX(명단표[점검],$P994))</f>
        <v/>
      </c>
      <c r="P994" s="17">
        <f>IFERROR(MATCH(989,명단표[서울순번],0),"")</f>
        <v/>
      </c>
      <c r="R994">
        <f>IF($W994="","",INDEX(명단표[이름],$W994))</f>
        <v/>
      </c>
      <c r="S994">
        <f>IF($W994="","",INDEX(명단표[사번],$W994)&amp;"")</f>
        <v/>
      </c>
      <c r="T994">
        <f>IF($W994="","",INDEX(명단표[소속병원],$W994))</f>
        <v/>
      </c>
      <c r="U994">
        <f>IF($W994="","",INDEX(명단표[서울 근무일(기준월)],$W994))</f>
        <v/>
      </c>
      <c r="V994">
        <f>IF($W994="","",INDEX(명단표[구리 근무일(기준월)],$W994))</f>
        <v/>
      </c>
      <c r="W994" s="17">
        <f>IFERROR(MATCH(989,명단표[판정불가순번],0),"")</f>
        <v/>
      </c>
    </row>
    <row r="995">
      <c r="A995">
        <f>IF($P995="","",990)</f>
        <v/>
      </c>
      <c r="B995">
        <f>IF($P995="","",INDEX(명단표[이름],$P995))</f>
        <v/>
      </c>
      <c r="C995">
        <f>IF($P995="","",INDEX(명단표[사번],$P995)&amp;"")</f>
        <v/>
      </c>
      <c r="D995">
        <f>IF($P995="","",INDEX(명단표[전공의등록번호],$P995)&amp;"")</f>
        <v/>
      </c>
      <c r="E995">
        <f>IF($P995="","",INDEX(명단표[수련과목],$P995)&amp;"")</f>
        <v/>
      </c>
      <c r="F995">
        <f>IF($P995="","",INDEX(명단표[연차],$P995)&amp;"")</f>
        <v/>
      </c>
      <c r="G995">
        <f>IF($P995="","",INDEX(명단표[소속병원],$P995))</f>
        <v/>
      </c>
      <c r="H995">
        <f>IF($P995="","",IF(INDEX(명단표[소속병원],$P995)="서울병원","서울 소속","타 병원 소속("&amp;INDEX(명단표[소속병원],$P995)&amp;") → 서울 지급"))</f>
        <v/>
      </c>
      <c r="I995">
        <f>IF($P995="","",INDEX(명단표[현재 근무병원],$P995))</f>
        <v/>
      </c>
      <c r="J995">
        <f>IF($P995="","",INDEX(명단표[구리 근무 시작일(기준월)],$P995)&amp;"")</f>
        <v/>
      </c>
      <c r="K995">
        <f>IF($P995="","",INDEX(명단표[구리 근무 종료일(기준월)],$P995)&amp;"")</f>
        <v/>
      </c>
      <c r="L995">
        <f>IF($P995="","",INDEX(명단표[서울 근무일(기준월)],$P995))</f>
        <v/>
      </c>
      <c r="M995">
        <f>IF($P995="","",INDEX(명단표[구리 근무일(기준월)],$P995))</f>
        <v/>
      </c>
      <c r="N995">
        <f>IF($P995="","",INDEX(명단표[급여 판정 근거],$P995))</f>
        <v/>
      </c>
      <c r="O995">
        <f>IF($P995="","",INDEX(명단표[점검],$P995))</f>
        <v/>
      </c>
      <c r="P995" s="17">
        <f>IFERROR(MATCH(990,명단표[서울순번],0),"")</f>
        <v/>
      </c>
      <c r="R995">
        <f>IF($W995="","",INDEX(명단표[이름],$W995))</f>
        <v/>
      </c>
      <c r="S995">
        <f>IF($W995="","",INDEX(명단표[사번],$W995)&amp;"")</f>
        <v/>
      </c>
      <c r="T995">
        <f>IF($W995="","",INDEX(명단표[소속병원],$W995))</f>
        <v/>
      </c>
      <c r="U995">
        <f>IF($W995="","",INDEX(명단표[서울 근무일(기준월)],$W995))</f>
        <v/>
      </c>
      <c r="V995">
        <f>IF($W995="","",INDEX(명단표[구리 근무일(기준월)],$W995))</f>
        <v/>
      </c>
      <c r="W995" s="17">
        <f>IFERROR(MATCH(990,명단표[판정불가순번],0),"")</f>
        <v/>
      </c>
    </row>
    <row r="996">
      <c r="A996">
        <f>IF($P996="","",991)</f>
        <v/>
      </c>
      <c r="B996">
        <f>IF($P996="","",INDEX(명단표[이름],$P996))</f>
        <v/>
      </c>
      <c r="C996">
        <f>IF($P996="","",INDEX(명단표[사번],$P996)&amp;"")</f>
        <v/>
      </c>
      <c r="D996">
        <f>IF($P996="","",INDEX(명단표[전공의등록번호],$P996)&amp;"")</f>
        <v/>
      </c>
      <c r="E996">
        <f>IF($P996="","",INDEX(명단표[수련과목],$P996)&amp;"")</f>
        <v/>
      </c>
      <c r="F996">
        <f>IF($P996="","",INDEX(명단표[연차],$P996)&amp;"")</f>
        <v/>
      </c>
      <c r="G996">
        <f>IF($P996="","",INDEX(명단표[소속병원],$P996))</f>
        <v/>
      </c>
      <c r="H996">
        <f>IF($P996="","",IF(INDEX(명단표[소속병원],$P996)="서울병원","서울 소속","타 병원 소속("&amp;INDEX(명단표[소속병원],$P996)&amp;") → 서울 지급"))</f>
        <v/>
      </c>
      <c r="I996">
        <f>IF($P996="","",INDEX(명단표[현재 근무병원],$P996))</f>
        <v/>
      </c>
      <c r="J996">
        <f>IF($P996="","",INDEX(명단표[구리 근무 시작일(기준월)],$P996)&amp;"")</f>
        <v/>
      </c>
      <c r="K996">
        <f>IF($P996="","",INDEX(명단표[구리 근무 종료일(기준월)],$P996)&amp;"")</f>
        <v/>
      </c>
      <c r="L996">
        <f>IF($P996="","",INDEX(명단표[서울 근무일(기준월)],$P996))</f>
        <v/>
      </c>
      <c r="M996">
        <f>IF($P996="","",INDEX(명단표[구리 근무일(기준월)],$P996))</f>
        <v/>
      </c>
      <c r="N996">
        <f>IF($P996="","",INDEX(명단표[급여 판정 근거],$P996))</f>
        <v/>
      </c>
      <c r="O996">
        <f>IF($P996="","",INDEX(명단표[점검],$P996))</f>
        <v/>
      </c>
      <c r="P996" s="17">
        <f>IFERROR(MATCH(991,명단표[서울순번],0),"")</f>
        <v/>
      </c>
      <c r="R996">
        <f>IF($W996="","",INDEX(명단표[이름],$W996))</f>
        <v/>
      </c>
      <c r="S996">
        <f>IF($W996="","",INDEX(명단표[사번],$W996)&amp;"")</f>
        <v/>
      </c>
      <c r="T996">
        <f>IF($W996="","",INDEX(명단표[소속병원],$W996))</f>
        <v/>
      </c>
      <c r="U996">
        <f>IF($W996="","",INDEX(명단표[서울 근무일(기준월)],$W996))</f>
        <v/>
      </c>
      <c r="V996">
        <f>IF($W996="","",INDEX(명단표[구리 근무일(기준월)],$W996))</f>
        <v/>
      </c>
      <c r="W996" s="17">
        <f>IFERROR(MATCH(991,명단표[판정불가순번],0),"")</f>
        <v/>
      </c>
    </row>
    <row r="997">
      <c r="A997">
        <f>IF($P997="","",992)</f>
        <v/>
      </c>
      <c r="B997">
        <f>IF($P997="","",INDEX(명단표[이름],$P997))</f>
        <v/>
      </c>
      <c r="C997">
        <f>IF($P997="","",INDEX(명단표[사번],$P997)&amp;"")</f>
        <v/>
      </c>
      <c r="D997">
        <f>IF($P997="","",INDEX(명단표[전공의등록번호],$P997)&amp;"")</f>
        <v/>
      </c>
      <c r="E997">
        <f>IF($P997="","",INDEX(명단표[수련과목],$P997)&amp;"")</f>
        <v/>
      </c>
      <c r="F997">
        <f>IF($P997="","",INDEX(명단표[연차],$P997)&amp;"")</f>
        <v/>
      </c>
      <c r="G997">
        <f>IF($P997="","",INDEX(명단표[소속병원],$P997))</f>
        <v/>
      </c>
      <c r="H997">
        <f>IF($P997="","",IF(INDEX(명단표[소속병원],$P997)="서울병원","서울 소속","타 병원 소속("&amp;INDEX(명단표[소속병원],$P997)&amp;") → 서울 지급"))</f>
        <v/>
      </c>
      <c r="I997">
        <f>IF($P997="","",INDEX(명단표[현재 근무병원],$P997))</f>
        <v/>
      </c>
      <c r="J997">
        <f>IF($P997="","",INDEX(명단표[구리 근무 시작일(기준월)],$P997)&amp;"")</f>
        <v/>
      </c>
      <c r="K997">
        <f>IF($P997="","",INDEX(명단표[구리 근무 종료일(기준월)],$P997)&amp;"")</f>
        <v/>
      </c>
      <c r="L997">
        <f>IF($P997="","",INDEX(명단표[서울 근무일(기준월)],$P997))</f>
        <v/>
      </c>
      <c r="M997">
        <f>IF($P997="","",INDEX(명단표[구리 근무일(기준월)],$P997))</f>
        <v/>
      </c>
      <c r="N997">
        <f>IF($P997="","",INDEX(명단표[급여 판정 근거],$P997))</f>
        <v/>
      </c>
      <c r="O997">
        <f>IF($P997="","",INDEX(명단표[점검],$P997))</f>
        <v/>
      </c>
      <c r="P997" s="17">
        <f>IFERROR(MATCH(992,명단표[서울순번],0),"")</f>
        <v/>
      </c>
      <c r="R997">
        <f>IF($W997="","",INDEX(명단표[이름],$W997))</f>
        <v/>
      </c>
      <c r="S997">
        <f>IF($W997="","",INDEX(명단표[사번],$W997)&amp;"")</f>
        <v/>
      </c>
      <c r="T997">
        <f>IF($W997="","",INDEX(명단표[소속병원],$W997))</f>
        <v/>
      </c>
      <c r="U997">
        <f>IF($W997="","",INDEX(명단표[서울 근무일(기준월)],$W997))</f>
        <v/>
      </c>
      <c r="V997">
        <f>IF($W997="","",INDEX(명단표[구리 근무일(기준월)],$W997))</f>
        <v/>
      </c>
      <c r="W997" s="17">
        <f>IFERROR(MATCH(992,명단표[판정불가순번],0),"")</f>
        <v/>
      </c>
    </row>
    <row r="998">
      <c r="A998">
        <f>IF($P998="","",993)</f>
        <v/>
      </c>
      <c r="B998">
        <f>IF($P998="","",INDEX(명단표[이름],$P998))</f>
        <v/>
      </c>
      <c r="C998">
        <f>IF($P998="","",INDEX(명단표[사번],$P998)&amp;"")</f>
        <v/>
      </c>
      <c r="D998">
        <f>IF($P998="","",INDEX(명단표[전공의등록번호],$P998)&amp;"")</f>
        <v/>
      </c>
      <c r="E998">
        <f>IF($P998="","",INDEX(명단표[수련과목],$P998)&amp;"")</f>
        <v/>
      </c>
      <c r="F998">
        <f>IF($P998="","",INDEX(명단표[연차],$P998)&amp;"")</f>
        <v/>
      </c>
      <c r="G998">
        <f>IF($P998="","",INDEX(명단표[소속병원],$P998))</f>
        <v/>
      </c>
      <c r="H998">
        <f>IF($P998="","",IF(INDEX(명단표[소속병원],$P998)="서울병원","서울 소속","타 병원 소속("&amp;INDEX(명단표[소속병원],$P998)&amp;") → 서울 지급"))</f>
        <v/>
      </c>
      <c r="I998">
        <f>IF($P998="","",INDEX(명단표[현재 근무병원],$P998))</f>
        <v/>
      </c>
      <c r="J998">
        <f>IF($P998="","",INDEX(명단표[구리 근무 시작일(기준월)],$P998)&amp;"")</f>
        <v/>
      </c>
      <c r="K998">
        <f>IF($P998="","",INDEX(명단표[구리 근무 종료일(기준월)],$P998)&amp;"")</f>
        <v/>
      </c>
      <c r="L998">
        <f>IF($P998="","",INDEX(명단표[서울 근무일(기준월)],$P998))</f>
        <v/>
      </c>
      <c r="M998">
        <f>IF($P998="","",INDEX(명단표[구리 근무일(기준월)],$P998))</f>
        <v/>
      </c>
      <c r="N998">
        <f>IF($P998="","",INDEX(명단표[급여 판정 근거],$P998))</f>
        <v/>
      </c>
      <c r="O998">
        <f>IF($P998="","",INDEX(명단표[점검],$P998))</f>
        <v/>
      </c>
      <c r="P998" s="17">
        <f>IFERROR(MATCH(993,명단표[서울순번],0),"")</f>
        <v/>
      </c>
      <c r="R998">
        <f>IF($W998="","",INDEX(명단표[이름],$W998))</f>
        <v/>
      </c>
      <c r="S998">
        <f>IF($W998="","",INDEX(명단표[사번],$W998)&amp;"")</f>
        <v/>
      </c>
      <c r="T998">
        <f>IF($W998="","",INDEX(명단표[소속병원],$W998))</f>
        <v/>
      </c>
      <c r="U998">
        <f>IF($W998="","",INDEX(명단표[서울 근무일(기준월)],$W998))</f>
        <v/>
      </c>
      <c r="V998">
        <f>IF($W998="","",INDEX(명단표[구리 근무일(기준월)],$W998))</f>
        <v/>
      </c>
      <c r="W998" s="17">
        <f>IFERROR(MATCH(993,명단표[판정불가순번],0),"")</f>
        <v/>
      </c>
    </row>
    <row r="999">
      <c r="A999">
        <f>IF($P999="","",994)</f>
        <v/>
      </c>
      <c r="B999">
        <f>IF($P999="","",INDEX(명단표[이름],$P999))</f>
        <v/>
      </c>
      <c r="C999">
        <f>IF($P999="","",INDEX(명단표[사번],$P999)&amp;"")</f>
        <v/>
      </c>
      <c r="D999">
        <f>IF($P999="","",INDEX(명단표[전공의등록번호],$P999)&amp;"")</f>
        <v/>
      </c>
      <c r="E999">
        <f>IF($P999="","",INDEX(명단표[수련과목],$P999)&amp;"")</f>
        <v/>
      </c>
      <c r="F999">
        <f>IF($P999="","",INDEX(명단표[연차],$P999)&amp;"")</f>
        <v/>
      </c>
      <c r="G999">
        <f>IF($P999="","",INDEX(명단표[소속병원],$P999))</f>
        <v/>
      </c>
      <c r="H999">
        <f>IF($P999="","",IF(INDEX(명단표[소속병원],$P999)="서울병원","서울 소속","타 병원 소속("&amp;INDEX(명단표[소속병원],$P999)&amp;") → 서울 지급"))</f>
        <v/>
      </c>
      <c r="I999">
        <f>IF($P999="","",INDEX(명단표[현재 근무병원],$P999))</f>
        <v/>
      </c>
      <c r="J999">
        <f>IF($P999="","",INDEX(명단표[구리 근무 시작일(기준월)],$P999)&amp;"")</f>
        <v/>
      </c>
      <c r="K999">
        <f>IF($P999="","",INDEX(명단표[구리 근무 종료일(기준월)],$P999)&amp;"")</f>
        <v/>
      </c>
      <c r="L999">
        <f>IF($P999="","",INDEX(명단표[서울 근무일(기준월)],$P999))</f>
        <v/>
      </c>
      <c r="M999">
        <f>IF($P999="","",INDEX(명단표[구리 근무일(기준월)],$P999))</f>
        <v/>
      </c>
      <c r="N999">
        <f>IF($P999="","",INDEX(명단표[급여 판정 근거],$P999))</f>
        <v/>
      </c>
      <c r="O999">
        <f>IF($P999="","",INDEX(명단표[점검],$P999))</f>
        <v/>
      </c>
      <c r="P999" s="17">
        <f>IFERROR(MATCH(994,명단표[서울순번],0),"")</f>
        <v/>
      </c>
      <c r="R999">
        <f>IF($W999="","",INDEX(명단표[이름],$W999))</f>
        <v/>
      </c>
      <c r="S999">
        <f>IF($W999="","",INDEX(명단표[사번],$W999)&amp;"")</f>
        <v/>
      </c>
      <c r="T999">
        <f>IF($W999="","",INDEX(명단표[소속병원],$W999))</f>
        <v/>
      </c>
      <c r="U999">
        <f>IF($W999="","",INDEX(명단표[서울 근무일(기준월)],$W999))</f>
        <v/>
      </c>
      <c r="V999">
        <f>IF($W999="","",INDEX(명단표[구리 근무일(기준월)],$W999))</f>
        <v/>
      </c>
      <c r="W999" s="17">
        <f>IFERROR(MATCH(994,명단표[판정불가순번],0),"")</f>
        <v/>
      </c>
    </row>
    <row r="1000">
      <c r="A1000">
        <f>IF($P1000="","",995)</f>
        <v/>
      </c>
      <c r="B1000">
        <f>IF($P1000="","",INDEX(명단표[이름],$P1000))</f>
        <v/>
      </c>
      <c r="C1000">
        <f>IF($P1000="","",INDEX(명단표[사번],$P1000)&amp;"")</f>
        <v/>
      </c>
      <c r="D1000">
        <f>IF($P1000="","",INDEX(명단표[전공의등록번호],$P1000)&amp;"")</f>
        <v/>
      </c>
      <c r="E1000">
        <f>IF($P1000="","",INDEX(명단표[수련과목],$P1000)&amp;"")</f>
        <v/>
      </c>
      <c r="F1000">
        <f>IF($P1000="","",INDEX(명단표[연차],$P1000)&amp;"")</f>
        <v/>
      </c>
      <c r="G1000">
        <f>IF($P1000="","",INDEX(명단표[소속병원],$P1000))</f>
        <v/>
      </c>
      <c r="H1000">
        <f>IF($P1000="","",IF(INDEX(명단표[소속병원],$P1000)="서울병원","서울 소속","타 병원 소속("&amp;INDEX(명단표[소속병원],$P1000)&amp;") → 서울 지급"))</f>
        <v/>
      </c>
      <c r="I1000">
        <f>IF($P1000="","",INDEX(명단표[현재 근무병원],$P1000))</f>
        <v/>
      </c>
      <c r="J1000">
        <f>IF($P1000="","",INDEX(명단표[구리 근무 시작일(기준월)],$P1000)&amp;"")</f>
        <v/>
      </c>
      <c r="K1000">
        <f>IF($P1000="","",INDEX(명단표[구리 근무 종료일(기준월)],$P1000)&amp;"")</f>
        <v/>
      </c>
      <c r="L1000">
        <f>IF($P1000="","",INDEX(명단표[서울 근무일(기준월)],$P1000))</f>
        <v/>
      </c>
      <c r="M1000">
        <f>IF($P1000="","",INDEX(명단표[구리 근무일(기준월)],$P1000))</f>
        <v/>
      </c>
      <c r="N1000">
        <f>IF($P1000="","",INDEX(명단표[급여 판정 근거],$P1000))</f>
        <v/>
      </c>
      <c r="O1000">
        <f>IF($P1000="","",INDEX(명단표[점검],$P1000))</f>
        <v/>
      </c>
      <c r="P1000" s="17">
        <f>IFERROR(MATCH(995,명단표[서울순번],0),"")</f>
        <v/>
      </c>
      <c r="R1000">
        <f>IF($W1000="","",INDEX(명단표[이름],$W1000))</f>
        <v/>
      </c>
      <c r="S1000">
        <f>IF($W1000="","",INDEX(명단표[사번],$W1000)&amp;"")</f>
        <v/>
      </c>
      <c r="T1000">
        <f>IF($W1000="","",INDEX(명단표[소속병원],$W1000))</f>
        <v/>
      </c>
      <c r="U1000">
        <f>IF($W1000="","",INDEX(명단표[서울 근무일(기준월)],$W1000))</f>
        <v/>
      </c>
      <c r="V1000">
        <f>IF($W1000="","",INDEX(명단표[구리 근무일(기준월)],$W1000))</f>
        <v/>
      </c>
      <c r="W1000" s="17">
        <f>IFERROR(MATCH(995,명단표[판정불가순번],0),"")</f>
        <v/>
      </c>
    </row>
    <row r="1001">
      <c r="A1001">
        <f>IF($P1001="","",996)</f>
        <v/>
      </c>
      <c r="B1001">
        <f>IF($P1001="","",INDEX(명단표[이름],$P1001))</f>
        <v/>
      </c>
      <c r="C1001">
        <f>IF($P1001="","",INDEX(명단표[사번],$P1001)&amp;"")</f>
        <v/>
      </c>
      <c r="D1001">
        <f>IF($P1001="","",INDEX(명단표[전공의등록번호],$P1001)&amp;"")</f>
        <v/>
      </c>
      <c r="E1001">
        <f>IF($P1001="","",INDEX(명단표[수련과목],$P1001)&amp;"")</f>
        <v/>
      </c>
      <c r="F1001">
        <f>IF($P1001="","",INDEX(명단표[연차],$P1001)&amp;"")</f>
        <v/>
      </c>
      <c r="G1001">
        <f>IF($P1001="","",INDEX(명단표[소속병원],$P1001))</f>
        <v/>
      </c>
      <c r="H1001">
        <f>IF($P1001="","",IF(INDEX(명단표[소속병원],$P1001)="서울병원","서울 소속","타 병원 소속("&amp;INDEX(명단표[소속병원],$P1001)&amp;") → 서울 지급"))</f>
        <v/>
      </c>
      <c r="I1001">
        <f>IF($P1001="","",INDEX(명단표[현재 근무병원],$P1001))</f>
        <v/>
      </c>
      <c r="J1001">
        <f>IF($P1001="","",INDEX(명단표[구리 근무 시작일(기준월)],$P1001)&amp;"")</f>
        <v/>
      </c>
      <c r="K1001">
        <f>IF($P1001="","",INDEX(명단표[구리 근무 종료일(기준월)],$P1001)&amp;"")</f>
        <v/>
      </c>
      <c r="L1001">
        <f>IF($P1001="","",INDEX(명단표[서울 근무일(기준월)],$P1001))</f>
        <v/>
      </c>
      <c r="M1001">
        <f>IF($P1001="","",INDEX(명단표[구리 근무일(기준월)],$P1001))</f>
        <v/>
      </c>
      <c r="N1001">
        <f>IF($P1001="","",INDEX(명단표[급여 판정 근거],$P1001))</f>
        <v/>
      </c>
      <c r="O1001">
        <f>IF($P1001="","",INDEX(명단표[점검],$P1001))</f>
        <v/>
      </c>
      <c r="P1001" s="17">
        <f>IFERROR(MATCH(996,명단표[서울순번],0),"")</f>
        <v/>
      </c>
      <c r="R1001">
        <f>IF($W1001="","",INDEX(명단표[이름],$W1001))</f>
        <v/>
      </c>
      <c r="S1001">
        <f>IF($W1001="","",INDEX(명단표[사번],$W1001)&amp;"")</f>
        <v/>
      </c>
      <c r="T1001">
        <f>IF($W1001="","",INDEX(명단표[소속병원],$W1001))</f>
        <v/>
      </c>
      <c r="U1001">
        <f>IF($W1001="","",INDEX(명단표[서울 근무일(기준월)],$W1001))</f>
        <v/>
      </c>
      <c r="V1001">
        <f>IF($W1001="","",INDEX(명단표[구리 근무일(기준월)],$W1001))</f>
        <v/>
      </c>
      <c r="W1001" s="17">
        <f>IFERROR(MATCH(996,명단표[판정불가순번],0),"")</f>
        <v/>
      </c>
    </row>
    <row r="1002">
      <c r="A1002">
        <f>IF($P1002="","",997)</f>
        <v/>
      </c>
      <c r="B1002">
        <f>IF($P1002="","",INDEX(명단표[이름],$P1002))</f>
        <v/>
      </c>
      <c r="C1002">
        <f>IF($P1002="","",INDEX(명단표[사번],$P1002)&amp;"")</f>
        <v/>
      </c>
      <c r="D1002">
        <f>IF($P1002="","",INDEX(명단표[전공의등록번호],$P1002)&amp;"")</f>
        <v/>
      </c>
      <c r="E1002">
        <f>IF($P1002="","",INDEX(명단표[수련과목],$P1002)&amp;"")</f>
        <v/>
      </c>
      <c r="F1002">
        <f>IF($P1002="","",INDEX(명단표[연차],$P1002)&amp;"")</f>
        <v/>
      </c>
      <c r="G1002">
        <f>IF($P1002="","",INDEX(명단표[소속병원],$P1002))</f>
        <v/>
      </c>
      <c r="H1002">
        <f>IF($P1002="","",IF(INDEX(명단표[소속병원],$P1002)="서울병원","서울 소속","타 병원 소속("&amp;INDEX(명단표[소속병원],$P1002)&amp;") → 서울 지급"))</f>
        <v/>
      </c>
      <c r="I1002">
        <f>IF($P1002="","",INDEX(명단표[현재 근무병원],$P1002))</f>
        <v/>
      </c>
      <c r="J1002">
        <f>IF($P1002="","",INDEX(명단표[구리 근무 시작일(기준월)],$P1002)&amp;"")</f>
        <v/>
      </c>
      <c r="K1002">
        <f>IF($P1002="","",INDEX(명단표[구리 근무 종료일(기준월)],$P1002)&amp;"")</f>
        <v/>
      </c>
      <c r="L1002">
        <f>IF($P1002="","",INDEX(명단표[서울 근무일(기준월)],$P1002))</f>
        <v/>
      </c>
      <c r="M1002">
        <f>IF($P1002="","",INDEX(명단표[구리 근무일(기준월)],$P1002))</f>
        <v/>
      </c>
      <c r="N1002">
        <f>IF($P1002="","",INDEX(명단표[급여 판정 근거],$P1002))</f>
        <v/>
      </c>
      <c r="O1002">
        <f>IF($P1002="","",INDEX(명단표[점검],$P1002))</f>
        <v/>
      </c>
      <c r="P1002" s="17">
        <f>IFERROR(MATCH(997,명단표[서울순번],0),"")</f>
        <v/>
      </c>
      <c r="R1002">
        <f>IF($W1002="","",INDEX(명단표[이름],$W1002))</f>
        <v/>
      </c>
      <c r="S1002">
        <f>IF($W1002="","",INDEX(명단표[사번],$W1002)&amp;"")</f>
        <v/>
      </c>
      <c r="T1002">
        <f>IF($W1002="","",INDEX(명단표[소속병원],$W1002))</f>
        <v/>
      </c>
      <c r="U1002">
        <f>IF($W1002="","",INDEX(명단표[서울 근무일(기준월)],$W1002))</f>
        <v/>
      </c>
      <c r="V1002">
        <f>IF($W1002="","",INDEX(명단표[구리 근무일(기준월)],$W1002))</f>
        <v/>
      </c>
      <c r="W1002" s="17">
        <f>IFERROR(MATCH(997,명단표[판정불가순번],0),"")</f>
        <v/>
      </c>
    </row>
    <row r="1003">
      <c r="A1003">
        <f>IF($P1003="","",998)</f>
        <v/>
      </c>
      <c r="B1003">
        <f>IF($P1003="","",INDEX(명단표[이름],$P1003))</f>
        <v/>
      </c>
      <c r="C1003">
        <f>IF($P1003="","",INDEX(명단표[사번],$P1003)&amp;"")</f>
        <v/>
      </c>
      <c r="D1003">
        <f>IF($P1003="","",INDEX(명단표[전공의등록번호],$P1003)&amp;"")</f>
        <v/>
      </c>
      <c r="E1003">
        <f>IF($P1003="","",INDEX(명단표[수련과목],$P1003)&amp;"")</f>
        <v/>
      </c>
      <c r="F1003">
        <f>IF($P1003="","",INDEX(명단표[연차],$P1003)&amp;"")</f>
        <v/>
      </c>
      <c r="G1003">
        <f>IF($P1003="","",INDEX(명단표[소속병원],$P1003))</f>
        <v/>
      </c>
      <c r="H1003">
        <f>IF($P1003="","",IF(INDEX(명단표[소속병원],$P1003)="서울병원","서울 소속","타 병원 소속("&amp;INDEX(명단표[소속병원],$P1003)&amp;") → 서울 지급"))</f>
        <v/>
      </c>
      <c r="I1003">
        <f>IF($P1003="","",INDEX(명단표[현재 근무병원],$P1003))</f>
        <v/>
      </c>
      <c r="J1003">
        <f>IF($P1003="","",INDEX(명단표[구리 근무 시작일(기준월)],$P1003)&amp;"")</f>
        <v/>
      </c>
      <c r="K1003">
        <f>IF($P1003="","",INDEX(명단표[구리 근무 종료일(기준월)],$P1003)&amp;"")</f>
        <v/>
      </c>
      <c r="L1003">
        <f>IF($P1003="","",INDEX(명단표[서울 근무일(기준월)],$P1003))</f>
        <v/>
      </c>
      <c r="M1003">
        <f>IF($P1003="","",INDEX(명단표[구리 근무일(기준월)],$P1003))</f>
        <v/>
      </c>
      <c r="N1003">
        <f>IF($P1003="","",INDEX(명단표[급여 판정 근거],$P1003))</f>
        <v/>
      </c>
      <c r="O1003">
        <f>IF($P1003="","",INDEX(명단표[점검],$P1003))</f>
        <v/>
      </c>
      <c r="P1003" s="17">
        <f>IFERROR(MATCH(998,명단표[서울순번],0),"")</f>
        <v/>
      </c>
      <c r="R1003">
        <f>IF($W1003="","",INDEX(명단표[이름],$W1003))</f>
        <v/>
      </c>
      <c r="S1003">
        <f>IF($W1003="","",INDEX(명단표[사번],$W1003)&amp;"")</f>
        <v/>
      </c>
      <c r="T1003">
        <f>IF($W1003="","",INDEX(명단표[소속병원],$W1003))</f>
        <v/>
      </c>
      <c r="U1003">
        <f>IF($W1003="","",INDEX(명단표[서울 근무일(기준월)],$W1003))</f>
        <v/>
      </c>
      <c r="V1003">
        <f>IF($W1003="","",INDEX(명단표[구리 근무일(기준월)],$W1003))</f>
        <v/>
      </c>
      <c r="W1003" s="17">
        <f>IFERROR(MATCH(998,명단표[판정불가순번],0),"")</f>
        <v/>
      </c>
    </row>
    <row r="1004">
      <c r="A1004">
        <f>IF($P1004="","",999)</f>
        <v/>
      </c>
      <c r="B1004">
        <f>IF($P1004="","",INDEX(명단표[이름],$P1004))</f>
        <v/>
      </c>
      <c r="C1004">
        <f>IF($P1004="","",INDEX(명단표[사번],$P1004)&amp;"")</f>
        <v/>
      </c>
      <c r="D1004">
        <f>IF($P1004="","",INDEX(명단표[전공의등록번호],$P1004)&amp;"")</f>
        <v/>
      </c>
      <c r="E1004">
        <f>IF($P1004="","",INDEX(명단표[수련과목],$P1004)&amp;"")</f>
        <v/>
      </c>
      <c r="F1004">
        <f>IF($P1004="","",INDEX(명단표[연차],$P1004)&amp;"")</f>
        <v/>
      </c>
      <c r="G1004">
        <f>IF($P1004="","",INDEX(명단표[소속병원],$P1004))</f>
        <v/>
      </c>
      <c r="H1004">
        <f>IF($P1004="","",IF(INDEX(명단표[소속병원],$P1004)="서울병원","서울 소속","타 병원 소속("&amp;INDEX(명단표[소속병원],$P1004)&amp;") → 서울 지급"))</f>
        <v/>
      </c>
      <c r="I1004">
        <f>IF($P1004="","",INDEX(명단표[현재 근무병원],$P1004))</f>
        <v/>
      </c>
      <c r="J1004">
        <f>IF($P1004="","",INDEX(명단표[구리 근무 시작일(기준월)],$P1004)&amp;"")</f>
        <v/>
      </c>
      <c r="K1004">
        <f>IF($P1004="","",INDEX(명단표[구리 근무 종료일(기준월)],$P1004)&amp;"")</f>
        <v/>
      </c>
      <c r="L1004">
        <f>IF($P1004="","",INDEX(명단표[서울 근무일(기준월)],$P1004))</f>
        <v/>
      </c>
      <c r="M1004">
        <f>IF($P1004="","",INDEX(명단표[구리 근무일(기준월)],$P1004))</f>
        <v/>
      </c>
      <c r="N1004">
        <f>IF($P1004="","",INDEX(명단표[급여 판정 근거],$P1004))</f>
        <v/>
      </c>
      <c r="O1004">
        <f>IF($P1004="","",INDEX(명단표[점검],$P1004))</f>
        <v/>
      </c>
      <c r="P1004" s="17">
        <f>IFERROR(MATCH(999,명단표[서울순번],0),"")</f>
        <v/>
      </c>
      <c r="R1004">
        <f>IF($W1004="","",INDEX(명단표[이름],$W1004))</f>
        <v/>
      </c>
      <c r="S1004">
        <f>IF($W1004="","",INDEX(명단표[사번],$W1004)&amp;"")</f>
        <v/>
      </c>
      <c r="T1004">
        <f>IF($W1004="","",INDEX(명단표[소속병원],$W1004))</f>
        <v/>
      </c>
      <c r="U1004">
        <f>IF($W1004="","",INDEX(명단표[서울 근무일(기준월)],$W1004))</f>
        <v/>
      </c>
      <c r="V1004">
        <f>IF($W1004="","",INDEX(명단표[구리 근무일(기준월)],$W1004))</f>
        <v/>
      </c>
      <c r="W1004" s="17">
        <f>IFERROR(MATCH(999,명단표[판정불가순번],0),"")</f>
        <v/>
      </c>
    </row>
    <row r="1005">
      <c r="A1005">
        <f>IF($P1005="","",1000)</f>
        <v/>
      </c>
      <c r="B1005">
        <f>IF($P1005="","",INDEX(명단표[이름],$P1005))</f>
        <v/>
      </c>
      <c r="C1005">
        <f>IF($P1005="","",INDEX(명단표[사번],$P1005)&amp;"")</f>
        <v/>
      </c>
      <c r="D1005">
        <f>IF($P1005="","",INDEX(명단표[전공의등록번호],$P1005)&amp;"")</f>
        <v/>
      </c>
      <c r="E1005">
        <f>IF($P1005="","",INDEX(명단표[수련과목],$P1005)&amp;"")</f>
        <v/>
      </c>
      <c r="F1005">
        <f>IF($P1005="","",INDEX(명단표[연차],$P1005)&amp;"")</f>
        <v/>
      </c>
      <c r="G1005">
        <f>IF($P1005="","",INDEX(명단표[소속병원],$P1005))</f>
        <v/>
      </c>
      <c r="H1005">
        <f>IF($P1005="","",IF(INDEX(명단표[소속병원],$P1005)="서울병원","서울 소속","타 병원 소속("&amp;INDEX(명단표[소속병원],$P1005)&amp;") → 서울 지급"))</f>
        <v/>
      </c>
      <c r="I1005">
        <f>IF($P1005="","",INDEX(명단표[현재 근무병원],$P1005))</f>
        <v/>
      </c>
      <c r="J1005">
        <f>IF($P1005="","",INDEX(명단표[구리 근무 시작일(기준월)],$P1005)&amp;"")</f>
        <v/>
      </c>
      <c r="K1005">
        <f>IF($P1005="","",INDEX(명단표[구리 근무 종료일(기준월)],$P1005)&amp;"")</f>
        <v/>
      </c>
      <c r="L1005">
        <f>IF($P1005="","",INDEX(명단표[서울 근무일(기준월)],$P1005))</f>
        <v/>
      </c>
      <c r="M1005">
        <f>IF($P1005="","",INDEX(명단표[구리 근무일(기준월)],$P1005))</f>
        <v/>
      </c>
      <c r="N1005">
        <f>IF($P1005="","",INDEX(명단표[급여 판정 근거],$P1005))</f>
        <v/>
      </c>
      <c r="O1005">
        <f>IF($P1005="","",INDEX(명단표[점검],$P1005))</f>
        <v/>
      </c>
      <c r="P1005" s="17">
        <f>IFERROR(MATCH(1000,명단표[서울순번],0),"")</f>
        <v/>
      </c>
      <c r="R1005">
        <f>IF($W1005="","",INDEX(명단표[이름],$W1005))</f>
        <v/>
      </c>
      <c r="S1005">
        <f>IF($W1005="","",INDEX(명단표[사번],$W1005)&amp;"")</f>
        <v/>
      </c>
      <c r="T1005">
        <f>IF($W1005="","",INDEX(명단표[소속병원],$W1005))</f>
        <v/>
      </c>
      <c r="U1005">
        <f>IF($W1005="","",INDEX(명단표[서울 근무일(기준월)],$W1005))</f>
        <v/>
      </c>
      <c r="V1005">
        <f>IF($W1005="","",INDEX(명단표[구리 근무일(기준월)],$W1005))</f>
        <v/>
      </c>
      <c r="W1005" s="17">
        <f>IFERROR(MATCH(1000,명단표[판정불가순번],0),"")</f>
        <v/>
      </c>
    </row>
  </sheetData>
  <conditionalFormatting sqref="I2">
    <cfRule type="expression" priority="1" dxfId="2">
      <formula>I2&gt;0</formula>
    </cfRule>
  </conditionalFormatting>
  <conditionalFormatting sqref="A6:O1005">
    <cfRule type="expression" priority="2" dxfId="6">
      <formula>LEFT($H6,2)="타 "</formula>
    </cfRule>
  </conditionalFormatting>
  <conditionalFormatting sqref="O6:O1005">
    <cfRule type="expression" priority="3" dxfId="0">
      <formula>AND($O6&lt;&gt;"",$O6&lt;&gt;"정상")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C15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  <col width="10" customWidth="1" min="9" max="9"/>
    <col width="8" customWidth="1" min="10" max="10"/>
    <col width="16" customWidth="1" min="11" max="11"/>
    <col width="24" customWidth="1" min="12" max="12"/>
    <col hidden="1" outlineLevel="1" width="10" customWidth="1" min="15" max="29"/>
  </cols>
  <sheetData>
    <row r="1">
      <c r="A1" s="1" t="inlineStr">
        <is>
          <t>구리병원 근무자 (구리 근무자명단 기준)</t>
        </is>
      </c>
      <c r="I1" s="20" t="inlineStr">
        <is>
          <t>명단 연결</t>
        </is>
      </c>
      <c r="J1" s="21">
        <f>COUNTIF($Y$6:$Y$1505,"명단 일치*")</f>
        <v/>
      </c>
    </row>
    <row r="2">
      <c r="A2" s="3" t="inlineStr">
        <is>
          <t>급여 기준월</t>
        </is>
      </c>
      <c r="B2" s="13">
        <f>급여기준월</f>
        <v/>
      </c>
      <c r="D2" s="17" t="inlineStr">
        <is>
          <t>블록 시작 열</t>
        </is>
      </c>
      <c r="E2" s="22">
        <f t="array" ref="E2">IFERROR(MATCH(YEAR(급여기준월)*100+MONTH(급여기준월),IF(ISNUMBER(SEARCH("근무예정자",'입력_구리근무자명단'!$A$3:$ZZ$3&amp;"")),IFERROR(VALUE(LEFT('입력_구리근무자명단'!$A$3:$ZZ$3&amp;"",4)),0)*100+IFERROR(VALUE(MID('입력_구리근무자명단'!$A$3:$ZZ$3&amp;"",6,IF(IFERROR(FIND("월",'입력_구리근무자명단'!$A$3:$ZZ$3&amp;""),999)&lt;IFERROR(FIND(CHAR(10),'입력_구리근무자명단'!$A$3:$ZZ$3&amp;""),999),IFERROR(FIND("월",'입력_구리근무자명단'!$A$3:$ZZ$3&amp;""),999),IFERROR(FIND(CHAR(10),'입력_구리근무자명단'!$A$3:$ZZ$3&amp;""),999))-6)),0),0),0),"")</f>
        <v/>
      </c>
      <c r="F2" s="17" t="inlineStr">
        <is>
          <t>근무자 확정</t>
        </is>
      </c>
      <c r="G2" s="22">
        <f>IF($E$2="","",IF(COUNTIF(INDEX('입력_구리근무자명단'!$A$4:$ZZ$20000,0,$E$2+1),"?*")&gt;0,"확정","예정"))</f>
        <v/>
      </c>
      <c r="I2" s="20" t="inlineStr">
        <is>
          <t>명단에 없음/동명이인</t>
        </is>
      </c>
      <c r="J2" s="21">
        <f>COUNTIF($Y$6:$Y$1505,"명단에 없음*")+COUNTIF($Y$6:$Y$1505,"동명이인*")</f>
        <v/>
      </c>
      <c r="K2" s="16">
        <f>IF(MAX($AB$6:$AB$1505)&gt;500,"⚠ 목록 표시 한도(500명) 초과",IF(COUNTA('입력_구리근무자명단'!$A$1504:$B$20000)&gt;0,"⚠ 원본 1503행 이후 자료는 해석되지 않음",""))</f>
        <v/>
      </c>
    </row>
    <row r="3">
      <c r="A3" s="17" t="inlineStr">
        <is>
          <t>※ 자동 결과(입력 금지). 그 달 '근무자' 칸이 하나라도 채워져 있으면 근무자, 아니면 근무예정자 기준. 날짜가 없으면 1일~말일. 명단 연결: 이름+진료과(인턴은 이름+인턴), 안 되면 이름만. '블록 시작 열'이 비면 3행 머리글(연·월)을 확인하세요. 원본은 4~1503행까지 해석, 목록은 최대 500명 표시. O열부터는 보조 계산(+ 단추로 펼치기).</t>
        </is>
      </c>
      <c r="I3" s="20" t="inlineStr">
        <is>
          <t>날짜 오류</t>
        </is>
      </c>
      <c r="J3" s="21">
        <f>COUNTIF($Z$6:$Z$1505,"⚠*")+COUNTIF($AA$6:$AA$1505,"⚠*")</f>
        <v/>
      </c>
    </row>
    <row r="4">
      <c r="O4" s="17" t="inlineStr">
        <is>
          <t>보조 계산 (수정 금지) — 원본 각 행을 해석</t>
        </is>
      </c>
    </row>
    <row r="5" ht="30" customHeight="1">
      <c r="A5" s="4" t="inlineStr">
        <is>
          <t>원본행</t>
        </is>
      </c>
      <c r="B5" s="4" t="inlineStr">
        <is>
          <t>진료과</t>
        </is>
      </c>
      <c r="C5" s="4" t="inlineStr">
        <is>
          <t>연차</t>
        </is>
      </c>
      <c r="D5" s="4" t="inlineStr">
        <is>
          <t>이름</t>
        </is>
      </c>
      <c r="E5" s="4" t="inlineStr">
        <is>
          <t>확정/예정</t>
        </is>
      </c>
      <c r="F5" s="4" t="inlineStr">
        <is>
          <t>시작일</t>
        </is>
      </c>
      <c r="G5" s="4" t="inlineStr">
        <is>
          <t>종료일</t>
        </is>
      </c>
      <c r="H5" s="4" t="inlineStr">
        <is>
          <t>기준월 구리 근무일</t>
        </is>
      </c>
      <c r="I5" s="4" t="inlineStr">
        <is>
          <t>비고</t>
        </is>
      </c>
      <c r="J5" s="4" t="inlineStr">
        <is>
          <t>구리독자</t>
        </is>
      </c>
      <c r="K5" s="4" t="inlineStr">
        <is>
          <t>이름|과</t>
        </is>
      </c>
      <c r="L5" s="4" t="inlineStr">
        <is>
          <t>명단 연결</t>
        </is>
      </c>
      <c r="O5" s="18" t="inlineStr">
        <is>
          <t>원본행</t>
        </is>
      </c>
      <c r="P5" s="18" t="inlineStr">
        <is>
          <t>진료과</t>
        </is>
      </c>
      <c r="Q5" s="18" t="inlineStr">
        <is>
          <t>연차</t>
        </is>
      </c>
      <c r="R5" s="18" t="inlineStr">
        <is>
          <t>이름</t>
        </is>
      </c>
      <c r="S5" s="18" t="inlineStr">
        <is>
          <t>시작값</t>
        </is>
      </c>
      <c r="T5" s="18" t="inlineStr">
        <is>
          <t>종료값</t>
        </is>
      </c>
      <c r="U5" s="18" t="inlineStr">
        <is>
          <t>근무일</t>
        </is>
      </c>
      <c r="V5" s="18" t="inlineStr">
        <is>
          <t>비고</t>
        </is>
      </c>
      <c r="W5" s="18" t="inlineStr">
        <is>
          <t>구리독자</t>
        </is>
      </c>
      <c r="X5" s="18" t="inlineStr">
        <is>
          <t>이름|과</t>
        </is>
      </c>
      <c r="Y5" s="18" t="inlineStr">
        <is>
          <t>명단 연결</t>
        </is>
      </c>
      <c r="Z5" s="18" t="inlineStr">
        <is>
          <t>시작일</t>
        </is>
      </c>
      <c r="AA5" s="18" t="inlineStr">
        <is>
          <t>종료일</t>
        </is>
      </c>
      <c r="AB5" s="18" t="inlineStr">
        <is>
          <t>누계</t>
        </is>
      </c>
      <c r="AC5" s="18" t="inlineStr">
        <is>
          <t>순번</t>
        </is>
      </c>
    </row>
    <row r="6">
      <c r="A6">
        <f>IF($E$2="","해당 월 블록 없음",IF(MAX($AB$6:$AB$1505)=0,"해당 월 근무자 없음",INDEX($O$6:$O$1505,MATCH(1,$AC$6:$AC$1505,0))))</f>
        <v/>
      </c>
      <c r="B6">
        <f>IF(ISNUMBER($A6),INDEX($P$6:$P$1505,$A6-3),"")</f>
        <v/>
      </c>
      <c r="C6">
        <f>IF(ISNUMBER($A6),INDEX($Q$6:$Q$1505,$A6-3),"")</f>
        <v/>
      </c>
      <c r="D6">
        <f>IF(ISNUMBER($A6),INDEX($R$6:$R$1505,$A6-3),"")</f>
        <v/>
      </c>
      <c r="E6">
        <f>IF(ISNUMBER($A6),$G$2,"")</f>
        <v/>
      </c>
      <c r="F6">
        <f>IF(ISNUMBER($A6),INDEX($Z$6:$Z$1505,$A6-3),"")</f>
        <v/>
      </c>
      <c r="G6">
        <f>IF(ISNUMBER($A6),INDEX($AA$6:$AA$1505,$A6-3),"")</f>
        <v/>
      </c>
      <c r="H6">
        <f>IF(ISNUMBER($A6),INDEX($U$6:$U$1505,$A6-3),"")</f>
        <v/>
      </c>
      <c r="I6">
        <f>IF(ISNUMBER($A6),INDEX($V$6:$V$1505,$A6-3),"")</f>
        <v/>
      </c>
      <c r="J6">
        <f>IF(ISNUMBER($A6),INDEX($W$6:$W$1505,$A6-3),"")</f>
        <v/>
      </c>
      <c r="K6">
        <f>IF(ISNUMBER($A6),INDEX($X$6:$X$1505,$A6-3),"")</f>
        <v/>
      </c>
      <c r="L6">
        <f>IF(ISNUMBER($A6),INDEX($Y$6:$Y$1505,$A6-3),"")</f>
        <v/>
      </c>
      <c r="O6">
        <f>4</f>
        <v/>
      </c>
      <c r="P6">
        <f>TRIM('입력_구리근무자명단'!$A4&amp;"")</f>
        <v/>
      </c>
      <c r="Q6">
        <f>'입력_구리근무자명단'!$B4&amp;""</f>
        <v/>
      </c>
      <c r="R6">
        <f>IF($E$2="","",TRIM(INDEX('입력_구리근무자명단'!$A4:$ZZ4,1,$E$2+IF($G$2="확정",1,0))&amp;""))</f>
        <v/>
      </c>
      <c r="S6">
        <f>IF($R6="","",IF(INDEX('입력_구리근무자명단'!$A4:$ZZ4,1,$E$2+2)&amp;""="",급여기준월,IF(ISNUMBER(INDEX('입력_구리근무자명단'!$A4:$ZZ4,1,$E$2+2)),INDEX('입력_구리근무자명단'!$A4:$ZZ4,1,$E$2+2),IFERROR(DATE(VALUE(LEFT(INDEX('입력_구리근무자명단'!$A4:$ZZ4,1,$E$2+2),4)),VALUE(MID(INDEX('입력_구리근무자명단'!$A4:$ZZ4,1,$E$2+2),6,2)),VALUE(MID(INDEX('입력_구리근무자명단'!$A4:$ZZ4,1,$E$2+2),9,2))),-1))))</f>
        <v/>
      </c>
      <c r="T6">
        <f>IF($R6="","",IF(INDEX('입력_구리근무자명단'!$A4:$ZZ4,1,$E$2+3)&amp;""="",EOMONTH(급여기준월,0),IF(ISNUMBER(INDEX('입력_구리근무자명단'!$A4:$ZZ4,1,$E$2+3)),INDEX('입력_구리근무자명단'!$A4:$ZZ4,1,$E$2+3),IFERROR(DATE(VALUE(LEFT(INDEX('입력_구리근무자명단'!$A4:$ZZ4,1,$E$2+3),4)),VALUE(MID(INDEX('입력_구리근무자명단'!$A4:$ZZ4,1,$E$2+3),6,2)),VALUE(MID(INDEX('입력_구리근무자명단'!$A4:$ZZ4,1,$E$2+3),9,2))),-1))))</f>
        <v/>
      </c>
      <c r="U6">
        <f>IF($R6="","",IF(OR($S6&lt;0,$T6&lt;0),0,MAX(0,MIN($T6,EOMONTH(급여기준월,0))-MAX($S6,급여기준월)+1)))</f>
        <v/>
      </c>
      <c r="V6">
        <f>IF($R6="","",TRIM(INDEX('입력_구리근무자명단'!$A4:$ZZ4,1,$E$2+5)&amp;""))</f>
        <v/>
      </c>
      <c r="W6">
        <f>IF(ISNUMBER(SEARCH("구리독자",$V6)),"구리독자","")</f>
        <v/>
      </c>
      <c r="X6">
        <f>IF($R6="","",$R6&amp;"|"&amp;IF(OR($Q6="인턴",ISNUMBER(SEARCH("수련교육부",$P6))),"인턴",$P6))</f>
        <v/>
      </c>
      <c r="Y6">
        <f>IF($R6="","",IF(COUNTIF(명단표[이름|과],$X6)=1,"명단 일치",IF(AND(COUNTIF(명단표[이름|과],$X6)=0,COUNTIF(명단표[이름],$R6)=1),"명단 일치(이름만, 과 다름)",IF(COUNTIF(명단표[이름],$R6)=0,IF(COUNTIF(기본자료표[이름],$R6)&gt;0,"명단에 없음(기본자료에는 있음)","명단에 없음"),"동명이인 확인"))))</f>
        <v/>
      </c>
      <c r="Z6">
        <f>IF($R6="","",IF($S6&lt;0,"⚠"&amp;INDEX('입력_구리근무자명단'!$A4:$ZZ4,1,$E$2+2),TEXT($S6,"yyyy-mm-dd")))</f>
        <v/>
      </c>
      <c r="AA6">
        <f>IF($R6="","",IF($T6&lt;0,"⚠"&amp;INDEX('입력_구리근무자명단'!$A4:$ZZ4,1,$E$2+3),TEXT($T6,"yyyy-mm-dd")))</f>
        <v/>
      </c>
      <c r="AB6">
        <f>IF($R6="",0,1)</f>
        <v/>
      </c>
      <c r="AC6">
        <f>IF($R6="","",$AB6)</f>
        <v/>
      </c>
    </row>
    <row r="7">
      <c r="A7">
        <f>IFERROR(INDEX($O$6:$O$1505,MATCH(2,$AC$6:$AC$1505,0)),"")</f>
        <v/>
      </c>
      <c r="B7">
        <f>IF(ISNUMBER($A7),INDEX($P$6:$P$1505,$A7-3),"")</f>
        <v/>
      </c>
      <c r="C7">
        <f>IF(ISNUMBER($A7),INDEX($Q$6:$Q$1505,$A7-3),"")</f>
        <v/>
      </c>
      <c r="D7">
        <f>IF(ISNUMBER($A7),INDEX($R$6:$R$1505,$A7-3),"")</f>
        <v/>
      </c>
      <c r="E7">
        <f>IF(ISNUMBER($A7),$G$2,"")</f>
        <v/>
      </c>
      <c r="F7">
        <f>IF(ISNUMBER($A7),INDEX($Z$6:$Z$1505,$A7-3),"")</f>
        <v/>
      </c>
      <c r="G7">
        <f>IF(ISNUMBER($A7),INDEX($AA$6:$AA$1505,$A7-3),"")</f>
        <v/>
      </c>
      <c r="H7">
        <f>IF(ISNUMBER($A7),INDEX($U$6:$U$1505,$A7-3),"")</f>
        <v/>
      </c>
      <c r="I7">
        <f>IF(ISNUMBER($A7),INDEX($V$6:$V$1505,$A7-3),"")</f>
        <v/>
      </c>
      <c r="J7">
        <f>IF(ISNUMBER($A7),INDEX($W$6:$W$1505,$A7-3),"")</f>
        <v/>
      </c>
      <c r="K7">
        <f>IF(ISNUMBER($A7),INDEX($X$6:$X$1505,$A7-3),"")</f>
        <v/>
      </c>
      <c r="L7">
        <f>IF(ISNUMBER($A7),INDEX($Y$6:$Y$1505,$A7-3),"")</f>
        <v/>
      </c>
      <c r="O7">
        <f>5</f>
        <v/>
      </c>
      <c r="P7">
        <f>IF(TRIM('입력_구리근무자명단'!$A5&amp;"")&lt;&gt;"",TRIM('입력_구리근무자명단'!$A5&amp;""),P6)</f>
        <v/>
      </c>
      <c r="Q7">
        <f>'입력_구리근무자명단'!$B5&amp;""</f>
        <v/>
      </c>
      <c r="R7">
        <f>IF($E$2="","",TRIM(INDEX('입력_구리근무자명단'!$A5:$ZZ5,1,$E$2+IF($G$2="확정",1,0))&amp;""))</f>
        <v/>
      </c>
      <c r="S7">
        <f>IF($R7="","",IF(INDEX('입력_구리근무자명단'!$A5:$ZZ5,1,$E$2+2)&amp;""="",급여기준월,IF(ISNUMBER(INDEX('입력_구리근무자명단'!$A5:$ZZ5,1,$E$2+2)),INDEX('입력_구리근무자명단'!$A5:$ZZ5,1,$E$2+2),IFERROR(DATE(VALUE(LEFT(INDEX('입력_구리근무자명단'!$A5:$ZZ5,1,$E$2+2),4)),VALUE(MID(INDEX('입력_구리근무자명단'!$A5:$ZZ5,1,$E$2+2),6,2)),VALUE(MID(INDEX('입력_구리근무자명단'!$A5:$ZZ5,1,$E$2+2),9,2))),-1))))</f>
        <v/>
      </c>
      <c r="T7">
        <f>IF($R7="","",IF(INDEX('입력_구리근무자명단'!$A5:$ZZ5,1,$E$2+3)&amp;""="",EOMONTH(급여기준월,0),IF(ISNUMBER(INDEX('입력_구리근무자명단'!$A5:$ZZ5,1,$E$2+3)),INDEX('입력_구리근무자명단'!$A5:$ZZ5,1,$E$2+3),IFERROR(DATE(VALUE(LEFT(INDEX('입력_구리근무자명단'!$A5:$ZZ5,1,$E$2+3),4)),VALUE(MID(INDEX('입력_구리근무자명단'!$A5:$ZZ5,1,$E$2+3),6,2)),VALUE(MID(INDEX('입력_구리근무자명단'!$A5:$ZZ5,1,$E$2+3),9,2))),-1))))</f>
        <v/>
      </c>
      <c r="U7">
        <f>IF($R7="","",IF(OR($S7&lt;0,$T7&lt;0),0,MAX(0,MIN($T7,EOMONTH(급여기준월,0))-MAX($S7,급여기준월)+1)))</f>
        <v/>
      </c>
      <c r="V7">
        <f>IF($R7="","",TRIM(INDEX('입력_구리근무자명단'!$A5:$ZZ5,1,$E$2+5)&amp;""))</f>
        <v/>
      </c>
      <c r="W7">
        <f>IF(ISNUMBER(SEARCH("구리독자",$V7)),"구리독자","")</f>
        <v/>
      </c>
      <c r="X7">
        <f>IF($R7="","",$R7&amp;"|"&amp;IF(OR($Q7="인턴",ISNUMBER(SEARCH("수련교육부",$P7))),"인턴",$P7))</f>
        <v/>
      </c>
      <c r="Y7">
        <f>IF($R7="","",IF(COUNTIF(명단표[이름|과],$X7)=1,"명단 일치",IF(AND(COUNTIF(명단표[이름|과],$X7)=0,COUNTIF(명단표[이름],$R7)=1),"명단 일치(이름만, 과 다름)",IF(COUNTIF(명단표[이름],$R7)=0,IF(COUNTIF(기본자료표[이름],$R7)&gt;0,"명단에 없음(기본자료에는 있음)","명단에 없음"),"동명이인 확인"))))</f>
        <v/>
      </c>
      <c r="Z7">
        <f>IF($R7="","",IF($S7&lt;0,"⚠"&amp;INDEX('입력_구리근무자명단'!$A5:$ZZ5,1,$E$2+2),TEXT($S7,"yyyy-mm-dd")))</f>
        <v/>
      </c>
      <c r="AA7">
        <f>IF($R7="","",IF($T7&lt;0,"⚠"&amp;INDEX('입력_구리근무자명단'!$A5:$ZZ5,1,$E$2+3),TEXT($T7,"yyyy-mm-dd")))</f>
        <v/>
      </c>
      <c r="AB7">
        <f>AB6+IF($R7="",0,1)</f>
        <v/>
      </c>
      <c r="AC7">
        <f>IF($R7="","",$AB7)</f>
        <v/>
      </c>
    </row>
    <row r="8">
      <c r="A8">
        <f>IFERROR(INDEX($O$6:$O$1505,MATCH(3,$AC$6:$AC$1505,0)),"")</f>
        <v/>
      </c>
      <c r="B8">
        <f>IF(ISNUMBER($A8),INDEX($P$6:$P$1505,$A8-3),"")</f>
        <v/>
      </c>
      <c r="C8">
        <f>IF(ISNUMBER($A8),INDEX($Q$6:$Q$1505,$A8-3),"")</f>
        <v/>
      </c>
      <c r="D8">
        <f>IF(ISNUMBER($A8),INDEX($R$6:$R$1505,$A8-3),"")</f>
        <v/>
      </c>
      <c r="E8">
        <f>IF(ISNUMBER($A8),$G$2,"")</f>
        <v/>
      </c>
      <c r="F8">
        <f>IF(ISNUMBER($A8),INDEX($Z$6:$Z$1505,$A8-3),"")</f>
        <v/>
      </c>
      <c r="G8">
        <f>IF(ISNUMBER($A8),INDEX($AA$6:$AA$1505,$A8-3),"")</f>
        <v/>
      </c>
      <c r="H8">
        <f>IF(ISNUMBER($A8),INDEX($U$6:$U$1505,$A8-3),"")</f>
        <v/>
      </c>
      <c r="I8">
        <f>IF(ISNUMBER($A8),INDEX($V$6:$V$1505,$A8-3),"")</f>
        <v/>
      </c>
      <c r="J8">
        <f>IF(ISNUMBER($A8),INDEX($W$6:$W$1505,$A8-3),"")</f>
        <v/>
      </c>
      <c r="K8">
        <f>IF(ISNUMBER($A8),INDEX($X$6:$X$1505,$A8-3),"")</f>
        <v/>
      </c>
      <c r="L8">
        <f>IF(ISNUMBER($A8),INDEX($Y$6:$Y$1505,$A8-3),"")</f>
        <v/>
      </c>
      <c r="O8">
        <f>6</f>
        <v/>
      </c>
      <c r="P8">
        <f>IF(TRIM('입력_구리근무자명단'!$A6&amp;"")&lt;&gt;"",TRIM('입력_구리근무자명단'!$A6&amp;""),P7)</f>
        <v/>
      </c>
      <c r="Q8">
        <f>'입력_구리근무자명단'!$B6&amp;""</f>
        <v/>
      </c>
      <c r="R8">
        <f>IF($E$2="","",TRIM(INDEX('입력_구리근무자명단'!$A6:$ZZ6,1,$E$2+IF($G$2="확정",1,0))&amp;""))</f>
        <v/>
      </c>
      <c r="S8">
        <f>IF($R8="","",IF(INDEX('입력_구리근무자명단'!$A6:$ZZ6,1,$E$2+2)&amp;""="",급여기준월,IF(ISNUMBER(INDEX('입력_구리근무자명단'!$A6:$ZZ6,1,$E$2+2)),INDEX('입력_구리근무자명단'!$A6:$ZZ6,1,$E$2+2),IFERROR(DATE(VALUE(LEFT(INDEX('입력_구리근무자명단'!$A6:$ZZ6,1,$E$2+2),4)),VALUE(MID(INDEX('입력_구리근무자명단'!$A6:$ZZ6,1,$E$2+2),6,2)),VALUE(MID(INDEX('입력_구리근무자명단'!$A6:$ZZ6,1,$E$2+2),9,2))),-1))))</f>
        <v/>
      </c>
      <c r="T8">
        <f>IF($R8="","",IF(INDEX('입력_구리근무자명단'!$A6:$ZZ6,1,$E$2+3)&amp;""="",EOMONTH(급여기준월,0),IF(ISNUMBER(INDEX('입력_구리근무자명단'!$A6:$ZZ6,1,$E$2+3)),INDEX('입력_구리근무자명단'!$A6:$ZZ6,1,$E$2+3),IFERROR(DATE(VALUE(LEFT(INDEX('입력_구리근무자명단'!$A6:$ZZ6,1,$E$2+3),4)),VALUE(MID(INDEX('입력_구리근무자명단'!$A6:$ZZ6,1,$E$2+3),6,2)),VALUE(MID(INDEX('입력_구리근무자명단'!$A6:$ZZ6,1,$E$2+3),9,2))),-1))))</f>
        <v/>
      </c>
      <c r="U8">
        <f>IF($R8="","",IF(OR($S8&lt;0,$T8&lt;0),0,MAX(0,MIN($T8,EOMONTH(급여기준월,0))-MAX($S8,급여기준월)+1)))</f>
        <v/>
      </c>
      <c r="V8">
        <f>IF($R8="","",TRIM(INDEX('입력_구리근무자명단'!$A6:$ZZ6,1,$E$2+5)&amp;""))</f>
        <v/>
      </c>
      <c r="W8">
        <f>IF(ISNUMBER(SEARCH("구리독자",$V8)),"구리독자","")</f>
        <v/>
      </c>
      <c r="X8">
        <f>IF($R8="","",$R8&amp;"|"&amp;IF(OR($Q8="인턴",ISNUMBER(SEARCH("수련교육부",$P8))),"인턴",$P8))</f>
        <v/>
      </c>
      <c r="Y8">
        <f>IF($R8="","",IF(COUNTIF(명단표[이름|과],$X8)=1,"명단 일치",IF(AND(COUNTIF(명단표[이름|과],$X8)=0,COUNTIF(명단표[이름],$R8)=1),"명단 일치(이름만, 과 다름)",IF(COUNTIF(명단표[이름],$R8)=0,IF(COUNTIF(기본자료표[이름],$R8)&gt;0,"명단에 없음(기본자료에는 있음)","명단에 없음"),"동명이인 확인"))))</f>
        <v/>
      </c>
      <c r="Z8">
        <f>IF($R8="","",IF($S8&lt;0,"⚠"&amp;INDEX('입력_구리근무자명단'!$A6:$ZZ6,1,$E$2+2),TEXT($S8,"yyyy-mm-dd")))</f>
        <v/>
      </c>
      <c r="AA8">
        <f>IF($R8="","",IF($T8&lt;0,"⚠"&amp;INDEX('입력_구리근무자명단'!$A6:$ZZ6,1,$E$2+3),TEXT($T8,"yyyy-mm-dd")))</f>
        <v/>
      </c>
      <c r="AB8">
        <f>AB7+IF($R8="",0,1)</f>
        <v/>
      </c>
      <c r="AC8">
        <f>IF($R8="","",$AB8)</f>
        <v/>
      </c>
    </row>
    <row r="9">
      <c r="A9">
        <f>IFERROR(INDEX($O$6:$O$1505,MATCH(4,$AC$6:$AC$1505,0)),"")</f>
        <v/>
      </c>
      <c r="B9">
        <f>IF(ISNUMBER($A9),INDEX($P$6:$P$1505,$A9-3),"")</f>
        <v/>
      </c>
      <c r="C9">
        <f>IF(ISNUMBER($A9),INDEX($Q$6:$Q$1505,$A9-3),"")</f>
        <v/>
      </c>
      <c r="D9">
        <f>IF(ISNUMBER($A9),INDEX($R$6:$R$1505,$A9-3),"")</f>
        <v/>
      </c>
      <c r="E9">
        <f>IF(ISNUMBER($A9),$G$2,"")</f>
        <v/>
      </c>
      <c r="F9">
        <f>IF(ISNUMBER($A9),INDEX($Z$6:$Z$1505,$A9-3),"")</f>
        <v/>
      </c>
      <c r="G9">
        <f>IF(ISNUMBER($A9),INDEX($AA$6:$AA$1505,$A9-3),"")</f>
        <v/>
      </c>
      <c r="H9">
        <f>IF(ISNUMBER($A9),INDEX($U$6:$U$1505,$A9-3),"")</f>
        <v/>
      </c>
      <c r="I9">
        <f>IF(ISNUMBER($A9),INDEX($V$6:$V$1505,$A9-3),"")</f>
        <v/>
      </c>
      <c r="J9">
        <f>IF(ISNUMBER($A9),INDEX($W$6:$W$1505,$A9-3),"")</f>
        <v/>
      </c>
      <c r="K9">
        <f>IF(ISNUMBER($A9),INDEX($X$6:$X$1505,$A9-3),"")</f>
        <v/>
      </c>
      <c r="L9">
        <f>IF(ISNUMBER($A9),INDEX($Y$6:$Y$1505,$A9-3),"")</f>
        <v/>
      </c>
      <c r="O9">
        <f>7</f>
        <v/>
      </c>
      <c r="P9">
        <f>IF(TRIM('입력_구리근무자명단'!$A7&amp;"")&lt;&gt;"",TRIM('입력_구리근무자명단'!$A7&amp;""),P8)</f>
        <v/>
      </c>
      <c r="Q9">
        <f>'입력_구리근무자명단'!$B7&amp;""</f>
        <v/>
      </c>
      <c r="R9">
        <f>IF($E$2="","",TRIM(INDEX('입력_구리근무자명단'!$A7:$ZZ7,1,$E$2+IF($G$2="확정",1,0))&amp;""))</f>
        <v/>
      </c>
      <c r="S9">
        <f>IF($R9="","",IF(INDEX('입력_구리근무자명단'!$A7:$ZZ7,1,$E$2+2)&amp;""="",급여기준월,IF(ISNUMBER(INDEX('입력_구리근무자명단'!$A7:$ZZ7,1,$E$2+2)),INDEX('입력_구리근무자명단'!$A7:$ZZ7,1,$E$2+2),IFERROR(DATE(VALUE(LEFT(INDEX('입력_구리근무자명단'!$A7:$ZZ7,1,$E$2+2),4)),VALUE(MID(INDEX('입력_구리근무자명단'!$A7:$ZZ7,1,$E$2+2),6,2)),VALUE(MID(INDEX('입력_구리근무자명단'!$A7:$ZZ7,1,$E$2+2),9,2))),-1))))</f>
        <v/>
      </c>
      <c r="T9">
        <f>IF($R9="","",IF(INDEX('입력_구리근무자명단'!$A7:$ZZ7,1,$E$2+3)&amp;""="",EOMONTH(급여기준월,0),IF(ISNUMBER(INDEX('입력_구리근무자명단'!$A7:$ZZ7,1,$E$2+3)),INDEX('입력_구리근무자명단'!$A7:$ZZ7,1,$E$2+3),IFERROR(DATE(VALUE(LEFT(INDEX('입력_구리근무자명단'!$A7:$ZZ7,1,$E$2+3),4)),VALUE(MID(INDEX('입력_구리근무자명단'!$A7:$ZZ7,1,$E$2+3),6,2)),VALUE(MID(INDEX('입력_구리근무자명단'!$A7:$ZZ7,1,$E$2+3),9,2))),-1))))</f>
        <v/>
      </c>
      <c r="U9">
        <f>IF($R9="","",IF(OR($S9&lt;0,$T9&lt;0),0,MAX(0,MIN($T9,EOMONTH(급여기준월,0))-MAX($S9,급여기준월)+1)))</f>
        <v/>
      </c>
      <c r="V9">
        <f>IF($R9="","",TRIM(INDEX('입력_구리근무자명단'!$A7:$ZZ7,1,$E$2+5)&amp;""))</f>
        <v/>
      </c>
      <c r="W9">
        <f>IF(ISNUMBER(SEARCH("구리독자",$V9)),"구리독자","")</f>
        <v/>
      </c>
      <c r="X9">
        <f>IF($R9="","",$R9&amp;"|"&amp;IF(OR($Q9="인턴",ISNUMBER(SEARCH("수련교육부",$P9))),"인턴",$P9))</f>
        <v/>
      </c>
      <c r="Y9">
        <f>IF($R9="","",IF(COUNTIF(명단표[이름|과],$X9)=1,"명단 일치",IF(AND(COUNTIF(명단표[이름|과],$X9)=0,COUNTIF(명단표[이름],$R9)=1),"명단 일치(이름만, 과 다름)",IF(COUNTIF(명단표[이름],$R9)=0,IF(COUNTIF(기본자료표[이름],$R9)&gt;0,"명단에 없음(기본자료에는 있음)","명단에 없음"),"동명이인 확인"))))</f>
        <v/>
      </c>
      <c r="Z9">
        <f>IF($R9="","",IF($S9&lt;0,"⚠"&amp;INDEX('입력_구리근무자명단'!$A7:$ZZ7,1,$E$2+2),TEXT($S9,"yyyy-mm-dd")))</f>
        <v/>
      </c>
      <c r="AA9">
        <f>IF($R9="","",IF($T9&lt;0,"⚠"&amp;INDEX('입력_구리근무자명단'!$A7:$ZZ7,1,$E$2+3),TEXT($T9,"yyyy-mm-dd")))</f>
        <v/>
      </c>
      <c r="AB9">
        <f>AB8+IF($R9="",0,1)</f>
        <v/>
      </c>
      <c r="AC9">
        <f>IF($R9="","",$AB9)</f>
        <v/>
      </c>
    </row>
    <row r="10">
      <c r="A10">
        <f>IFERROR(INDEX($O$6:$O$1505,MATCH(5,$AC$6:$AC$1505,0)),"")</f>
        <v/>
      </c>
      <c r="B10">
        <f>IF(ISNUMBER($A10),INDEX($P$6:$P$1505,$A10-3),"")</f>
        <v/>
      </c>
      <c r="C10">
        <f>IF(ISNUMBER($A10),INDEX($Q$6:$Q$1505,$A10-3),"")</f>
        <v/>
      </c>
      <c r="D10">
        <f>IF(ISNUMBER($A10),INDEX($R$6:$R$1505,$A10-3),"")</f>
        <v/>
      </c>
      <c r="E10">
        <f>IF(ISNUMBER($A10),$G$2,"")</f>
        <v/>
      </c>
      <c r="F10">
        <f>IF(ISNUMBER($A10),INDEX($Z$6:$Z$1505,$A10-3),"")</f>
        <v/>
      </c>
      <c r="G10">
        <f>IF(ISNUMBER($A10),INDEX($AA$6:$AA$1505,$A10-3),"")</f>
        <v/>
      </c>
      <c r="H10">
        <f>IF(ISNUMBER($A10),INDEX($U$6:$U$1505,$A10-3),"")</f>
        <v/>
      </c>
      <c r="I10">
        <f>IF(ISNUMBER($A10),INDEX($V$6:$V$1505,$A10-3),"")</f>
        <v/>
      </c>
      <c r="J10">
        <f>IF(ISNUMBER($A10),INDEX($W$6:$W$1505,$A10-3),"")</f>
        <v/>
      </c>
      <c r="K10">
        <f>IF(ISNUMBER($A10),INDEX($X$6:$X$1505,$A10-3),"")</f>
        <v/>
      </c>
      <c r="L10">
        <f>IF(ISNUMBER($A10),INDEX($Y$6:$Y$1505,$A10-3),"")</f>
        <v/>
      </c>
      <c r="O10">
        <f>8</f>
        <v/>
      </c>
      <c r="P10">
        <f>IF(TRIM('입력_구리근무자명단'!$A8&amp;"")&lt;&gt;"",TRIM('입력_구리근무자명단'!$A8&amp;""),P9)</f>
        <v/>
      </c>
      <c r="Q10">
        <f>'입력_구리근무자명단'!$B8&amp;""</f>
        <v/>
      </c>
      <c r="R10">
        <f>IF($E$2="","",TRIM(INDEX('입력_구리근무자명단'!$A8:$ZZ8,1,$E$2+IF($G$2="확정",1,0))&amp;""))</f>
        <v/>
      </c>
      <c r="S10">
        <f>IF($R10="","",IF(INDEX('입력_구리근무자명단'!$A8:$ZZ8,1,$E$2+2)&amp;""="",급여기준월,IF(ISNUMBER(INDEX('입력_구리근무자명단'!$A8:$ZZ8,1,$E$2+2)),INDEX('입력_구리근무자명단'!$A8:$ZZ8,1,$E$2+2),IFERROR(DATE(VALUE(LEFT(INDEX('입력_구리근무자명단'!$A8:$ZZ8,1,$E$2+2),4)),VALUE(MID(INDEX('입력_구리근무자명단'!$A8:$ZZ8,1,$E$2+2),6,2)),VALUE(MID(INDEX('입력_구리근무자명단'!$A8:$ZZ8,1,$E$2+2),9,2))),-1))))</f>
        <v/>
      </c>
      <c r="T10">
        <f>IF($R10="","",IF(INDEX('입력_구리근무자명단'!$A8:$ZZ8,1,$E$2+3)&amp;""="",EOMONTH(급여기준월,0),IF(ISNUMBER(INDEX('입력_구리근무자명단'!$A8:$ZZ8,1,$E$2+3)),INDEX('입력_구리근무자명단'!$A8:$ZZ8,1,$E$2+3),IFERROR(DATE(VALUE(LEFT(INDEX('입력_구리근무자명단'!$A8:$ZZ8,1,$E$2+3),4)),VALUE(MID(INDEX('입력_구리근무자명단'!$A8:$ZZ8,1,$E$2+3),6,2)),VALUE(MID(INDEX('입력_구리근무자명단'!$A8:$ZZ8,1,$E$2+3),9,2))),-1))))</f>
        <v/>
      </c>
      <c r="U10">
        <f>IF($R10="","",IF(OR($S10&lt;0,$T10&lt;0),0,MAX(0,MIN($T10,EOMONTH(급여기준월,0))-MAX($S10,급여기준월)+1)))</f>
        <v/>
      </c>
      <c r="V10">
        <f>IF($R10="","",TRIM(INDEX('입력_구리근무자명단'!$A8:$ZZ8,1,$E$2+5)&amp;""))</f>
        <v/>
      </c>
      <c r="W10">
        <f>IF(ISNUMBER(SEARCH("구리독자",$V10)),"구리독자","")</f>
        <v/>
      </c>
      <c r="X10">
        <f>IF($R10="","",$R10&amp;"|"&amp;IF(OR($Q10="인턴",ISNUMBER(SEARCH("수련교육부",$P10))),"인턴",$P10))</f>
        <v/>
      </c>
      <c r="Y10">
        <f>IF($R10="","",IF(COUNTIF(명단표[이름|과],$X10)=1,"명단 일치",IF(AND(COUNTIF(명단표[이름|과],$X10)=0,COUNTIF(명단표[이름],$R10)=1),"명단 일치(이름만, 과 다름)",IF(COUNTIF(명단표[이름],$R10)=0,IF(COUNTIF(기본자료표[이름],$R10)&gt;0,"명단에 없음(기본자료에는 있음)","명단에 없음"),"동명이인 확인"))))</f>
        <v/>
      </c>
      <c r="Z10">
        <f>IF($R10="","",IF($S10&lt;0,"⚠"&amp;INDEX('입력_구리근무자명단'!$A8:$ZZ8,1,$E$2+2),TEXT($S10,"yyyy-mm-dd")))</f>
        <v/>
      </c>
      <c r="AA10">
        <f>IF($R10="","",IF($T10&lt;0,"⚠"&amp;INDEX('입력_구리근무자명단'!$A8:$ZZ8,1,$E$2+3),TEXT($T10,"yyyy-mm-dd")))</f>
        <v/>
      </c>
      <c r="AB10">
        <f>AB9+IF($R10="",0,1)</f>
        <v/>
      </c>
      <c r="AC10">
        <f>IF($R10="","",$AB10)</f>
        <v/>
      </c>
    </row>
    <row r="11">
      <c r="A11">
        <f>IFERROR(INDEX($O$6:$O$1505,MATCH(6,$AC$6:$AC$1505,0)),"")</f>
        <v/>
      </c>
      <c r="B11">
        <f>IF(ISNUMBER($A11),INDEX($P$6:$P$1505,$A11-3),"")</f>
        <v/>
      </c>
      <c r="C11">
        <f>IF(ISNUMBER($A11),INDEX($Q$6:$Q$1505,$A11-3),"")</f>
        <v/>
      </c>
      <c r="D11">
        <f>IF(ISNUMBER($A11),INDEX($R$6:$R$1505,$A11-3),"")</f>
        <v/>
      </c>
      <c r="E11">
        <f>IF(ISNUMBER($A11),$G$2,"")</f>
        <v/>
      </c>
      <c r="F11">
        <f>IF(ISNUMBER($A11),INDEX($Z$6:$Z$1505,$A11-3),"")</f>
        <v/>
      </c>
      <c r="G11">
        <f>IF(ISNUMBER($A11),INDEX($AA$6:$AA$1505,$A11-3),"")</f>
        <v/>
      </c>
      <c r="H11">
        <f>IF(ISNUMBER($A11),INDEX($U$6:$U$1505,$A11-3),"")</f>
        <v/>
      </c>
      <c r="I11">
        <f>IF(ISNUMBER($A11),INDEX($V$6:$V$1505,$A11-3),"")</f>
        <v/>
      </c>
      <c r="J11">
        <f>IF(ISNUMBER($A11),INDEX($W$6:$W$1505,$A11-3),"")</f>
        <v/>
      </c>
      <c r="K11">
        <f>IF(ISNUMBER($A11),INDEX($X$6:$X$1505,$A11-3),"")</f>
        <v/>
      </c>
      <c r="L11">
        <f>IF(ISNUMBER($A11),INDEX($Y$6:$Y$1505,$A11-3),"")</f>
        <v/>
      </c>
      <c r="O11">
        <f>9</f>
        <v/>
      </c>
      <c r="P11">
        <f>IF(TRIM('입력_구리근무자명단'!$A9&amp;"")&lt;&gt;"",TRIM('입력_구리근무자명단'!$A9&amp;""),P10)</f>
        <v/>
      </c>
      <c r="Q11">
        <f>'입력_구리근무자명단'!$B9&amp;""</f>
        <v/>
      </c>
      <c r="R11">
        <f>IF($E$2="","",TRIM(INDEX('입력_구리근무자명단'!$A9:$ZZ9,1,$E$2+IF($G$2="확정",1,0))&amp;""))</f>
        <v/>
      </c>
      <c r="S11">
        <f>IF($R11="","",IF(INDEX('입력_구리근무자명단'!$A9:$ZZ9,1,$E$2+2)&amp;""="",급여기준월,IF(ISNUMBER(INDEX('입력_구리근무자명단'!$A9:$ZZ9,1,$E$2+2)),INDEX('입력_구리근무자명단'!$A9:$ZZ9,1,$E$2+2),IFERROR(DATE(VALUE(LEFT(INDEX('입력_구리근무자명단'!$A9:$ZZ9,1,$E$2+2),4)),VALUE(MID(INDEX('입력_구리근무자명단'!$A9:$ZZ9,1,$E$2+2),6,2)),VALUE(MID(INDEX('입력_구리근무자명단'!$A9:$ZZ9,1,$E$2+2),9,2))),-1))))</f>
        <v/>
      </c>
      <c r="T11">
        <f>IF($R11="","",IF(INDEX('입력_구리근무자명단'!$A9:$ZZ9,1,$E$2+3)&amp;""="",EOMONTH(급여기준월,0),IF(ISNUMBER(INDEX('입력_구리근무자명단'!$A9:$ZZ9,1,$E$2+3)),INDEX('입력_구리근무자명단'!$A9:$ZZ9,1,$E$2+3),IFERROR(DATE(VALUE(LEFT(INDEX('입력_구리근무자명단'!$A9:$ZZ9,1,$E$2+3),4)),VALUE(MID(INDEX('입력_구리근무자명단'!$A9:$ZZ9,1,$E$2+3),6,2)),VALUE(MID(INDEX('입력_구리근무자명단'!$A9:$ZZ9,1,$E$2+3),9,2))),-1))))</f>
        <v/>
      </c>
      <c r="U11">
        <f>IF($R11="","",IF(OR($S11&lt;0,$T11&lt;0),0,MAX(0,MIN($T11,EOMONTH(급여기준월,0))-MAX($S11,급여기준월)+1)))</f>
        <v/>
      </c>
      <c r="V11">
        <f>IF($R11="","",TRIM(INDEX('입력_구리근무자명단'!$A9:$ZZ9,1,$E$2+5)&amp;""))</f>
        <v/>
      </c>
      <c r="W11">
        <f>IF(ISNUMBER(SEARCH("구리독자",$V11)),"구리독자","")</f>
        <v/>
      </c>
      <c r="X11">
        <f>IF($R11="","",$R11&amp;"|"&amp;IF(OR($Q11="인턴",ISNUMBER(SEARCH("수련교육부",$P11))),"인턴",$P11))</f>
        <v/>
      </c>
      <c r="Y11">
        <f>IF($R11="","",IF(COUNTIF(명단표[이름|과],$X11)=1,"명단 일치",IF(AND(COUNTIF(명단표[이름|과],$X11)=0,COUNTIF(명단표[이름],$R11)=1),"명단 일치(이름만, 과 다름)",IF(COUNTIF(명단표[이름],$R11)=0,IF(COUNTIF(기본자료표[이름],$R11)&gt;0,"명단에 없음(기본자료에는 있음)","명단에 없음"),"동명이인 확인"))))</f>
        <v/>
      </c>
      <c r="Z11">
        <f>IF($R11="","",IF($S11&lt;0,"⚠"&amp;INDEX('입력_구리근무자명단'!$A9:$ZZ9,1,$E$2+2),TEXT($S11,"yyyy-mm-dd")))</f>
        <v/>
      </c>
      <c r="AA11">
        <f>IF($R11="","",IF($T11&lt;0,"⚠"&amp;INDEX('입력_구리근무자명단'!$A9:$ZZ9,1,$E$2+3),TEXT($T11,"yyyy-mm-dd")))</f>
        <v/>
      </c>
      <c r="AB11">
        <f>AB10+IF($R11="",0,1)</f>
        <v/>
      </c>
      <c r="AC11">
        <f>IF($R11="","",$AB11)</f>
        <v/>
      </c>
    </row>
    <row r="12">
      <c r="A12">
        <f>IFERROR(INDEX($O$6:$O$1505,MATCH(7,$AC$6:$AC$1505,0)),"")</f>
        <v/>
      </c>
      <c r="B12">
        <f>IF(ISNUMBER($A12),INDEX($P$6:$P$1505,$A12-3),"")</f>
        <v/>
      </c>
      <c r="C12">
        <f>IF(ISNUMBER($A12),INDEX($Q$6:$Q$1505,$A12-3),"")</f>
        <v/>
      </c>
      <c r="D12">
        <f>IF(ISNUMBER($A12),INDEX($R$6:$R$1505,$A12-3),"")</f>
        <v/>
      </c>
      <c r="E12">
        <f>IF(ISNUMBER($A12),$G$2,"")</f>
        <v/>
      </c>
      <c r="F12">
        <f>IF(ISNUMBER($A12),INDEX($Z$6:$Z$1505,$A12-3),"")</f>
        <v/>
      </c>
      <c r="G12">
        <f>IF(ISNUMBER($A12),INDEX($AA$6:$AA$1505,$A12-3),"")</f>
        <v/>
      </c>
      <c r="H12">
        <f>IF(ISNUMBER($A12),INDEX($U$6:$U$1505,$A12-3),"")</f>
        <v/>
      </c>
      <c r="I12">
        <f>IF(ISNUMBER($A12),INDEX($V$6:$V$1505,$A12-3),"")</f>
        <v/>
      </c>
      <c r="J12">
        <f>IF(ISNUMBER($A12),INDEX($W$6:$W$1505,$A12-3),"")</f>
        <v/>
      </c>
      <c r="K12">
        <f>IF(ISNUMBER($A12),INDEX($X$6:$X$1505,$A12-3),"")</f>
        <v/>
      </c>
      <c r="L12">
        <f>IF(ISNUMBER($A12),INDEX($Y$6:$Y$1505,$A12-3),"")</f>
        <v/>
      </c>
      <c r="O12">
        <f>10</f>
        <v/>
      </c>
      <c r="P12">
        <f>IF(TRIM('입력_구리근무자명단'!$A10&amp;"")&lt;&gt;"",TRIM('입력_구리근무자명단'!$A10&amp;""),P11)</f>
        <v/>
      </c>
      <c r="Q12">
        <f>'입력_구리근무자명단'!$B10&amp;""</f>
        <v/>
      </c>
      <c r="R12">
        <f>IF($E$2="","",TRIM(INDEX('입력_구리근무자명단'!$A10:$ZZ10,1,$E$2+IF($G$2="확정",1,0))&amp;""))</f>
        <v/>
      </c>
      <c r="S12">
        <f>IF($R12="","",IF(INDEX('입력_구리근무자명단'!$A10:$ZZ10,1,$E$2+2)&amp;""="",급여기준월,IF(ISNUMBER(INDEX('입력_구리근무자명단'!$A10:$ZZ10,1,$E$2+2)),INDEX('입력_구리근무자명단'!$A10:$ZZ10,1,$E$2+2),IFERROR(DATE(VALUE(LEFT(INDEX('입력_구리근무자명단'!$A10:$ZZ10,1,$E$2+2),4)),VALUE(MID(INDEX('입력_구리근무자명단'!$A10:$ZZ10,1,$E$2+2),6,2)),VALUE(MID(INDEX('입력_구리근무자명단'!$A10:$ZZ10,1,$E$2+2),9,2))),-1))))</f>
        <v/>
      </c>
      <c r="T12">
        <f>IF($R12="","",IF(INDEX('입력_구리근무자명단'!$A10:$ZZ10,1,$E$2+3)&amp;""="",EOMONTH(급여기준월,0),IF(ISNUMBER(INDEX('입력_구리근무자명단'!$A10:$ZZ10,1,$E$2+3)),INDEX('입력_구리근무자명단'!$A10:$ZZ10,1,$E$2+3),IFERROR(DATE(VALUE(LEFT(INDEX('입력_구리근무자명단'!$A10:$ZZ10,1,$E$2+3),4)),VALUE(MID(INDEX('입력_구리근무자명단'!$A10:$ZZ10,1,$E$2+3),6,2)),VALUE(MID(INDEX('입력_구리근무자명단'!$A10:$ZZ10,1,$E$2+3),9,2))),-1))))</f>
        <v/>
      </c>
      <c r="U12">
        <f>IF($R12="","",IF(OR($S12&lt;0,$T12&lt;0),0,MAX(0,MIN($T12,EOMONTH(급여기준월,0))-MAX($S12,급여기준월)+1)))</f>
        <v/>
      </c>
      <c r="V12">
        <f>IF($R12="","",TRIM(INDEX('입력_구리근무자명단'!$A10:$ZZ10,1,$E$2+5)&amp;""))</f>
        <v/>
      </c>
      <c r="W12">
        <f>IF(ISNUMBER(SEARCH("구리독자",$V12)),"구리독자","")</f>
        <v/>
      </c>
      <c r="X12">
        <f>IF($R12="","",$R12&amp;"|"&amp;IF(OR($Q12="인턴",ISNUMBER(SEARCH("수련교육부",$P12))),"인턴",$P12))</f>
        <v/>
      </c>
      <c r="Y12">
        <f>IF($R12="","",IF(COUNTIF(명단표[이름|과],$X12)=1,"명단 일치",IF(AND(COUNTIF(명단표[이름|과],$X12)=0,COUNTIF(명단표[이름],$R12)=1),"명단 일치(이름만, 과 다름)",IF(COUNTIF(명단표[이름],$R12)=0,IF(COUNTIF(기본자료표[이름],$R12)&gt;0,"명단에 없음(기본자료에는 있음)","명단에 없음"),"동명이인 확인"))))</f>
        <v/>
      </c>
      <c r="Z12">
        <f>IF($R12="","",IF($S12&lt;0,"⚠"&amp;INDEX('입력_구리근무자명단'!$A10:$ZZ10,1,$E$2+2),TEXT($S12,"yyyy-mm-dd")))</f>
        <v/>
      </c>
      <c r="AA12">
        <f>IF($R12="","",IF($T12&lt;0,"⚠"&amp;INDEX('입력_구리근무자명단'!$A10:$ZZ10,1,$E$2+3),TEXT($T12,"yyyy-mm-dd")))</f>
        <v/>
      </c>
      <c r="AB12">
        <f>AB11+IF($R12="",0,1)</f>
        <v/>
      </c>
      <c r="AC12">
        <f>IF($R12="","",$AB12)</f>
        <v/>
      </c>
    </row>
    <row r="13">
      <c r="A13">
        <f>IFERROR(INDEX($O$6:$O$1505,MATCH(8,$AC$6:$AC$1505,0)),"")</f>
        <v/>
      </c>
      <c r="B13">
        <f>IF(ISNUMBER($A13),INDEX($P$6:$P$1505,$A13-3),"")</f>
        <v/>
      </c>
      <c r="C13">
        <f>IF(ISNUMBER($A13),INDEX($Q$6:$Q$1505,$A13-3),"")</f>
        <v/>
      </c>
      <c r="D13">
        <f>IF(ISNUMBER($A13),INDEX($R$6:$R$1505,$A13-3),"")</f>
        <v/>
      </c>
      <c r="E13">
        <f>IF(ISNUMBER($A13),$G$2,"")</f>
        <v/>
      </c>
      <c r="F13">
        <f>IF(ISNUMBER($A13),INDEX($Z$6:$Z$1505,$A13-3),"")</f>
        <v/>
      </c>
      <c r="G13">
        <f>IF(ISNUMBER($A13),INDEX($AA$6:$AA$1505,$A13-3),"")</f>
        <v/>
      </c>
      <c r="H13">
        <f>IF(ISNUMBER($A13),INDEX($U$6:$U$1505,$A13-3),"")</f>
        <v/>
      </c>
      <c r="I13">
        <f>IF(ISNUMBER($A13),INDEX($V$6:$V$1505,$A13-3),"")</f>
        <v/>
      </c>
      <c r="J13">
        <f>IF(ISNUMBER($A13),INDEX($W$6:$W$1505,$A13-3),"")</f>
        <v/>
      </c>
      <c r="K13">
        <f>IF(ISNUMBER($A13),INDEX($X$6:$X$1505,$A13-3),"")</f>
        <v/>
      </c>
      <c r="L13">
        <f>IF(ISNUMBER($A13),INDEX($Y$6:$Y$1505,$A13-3),"")</f>
        <v/>
      </c>
      <c r="O13">
        <f>11</f>
        <v/>
      </c>
      <c r="P13">
        <f>IF(TRIM('입력_구리근무자명단'!$A11&amp;"")&lt;&gt;"",TRIM('입력_구리근무자명단'!$A11&amp;""),P12)</f>
        <v/>
      </c>
      <c r="Q13">
        <f>'입력_구리근무자명단'!$B11&amp;""</f>
        <v/>
      </c>
      <c r="R13">
        <f>IF($E$2="","",TRIM(INDEX('입력_구리근무자명단'!$A11:$ZZ11,1,$E$2+IF($G$2="확정",1,0))&amp;""))</f>
        <v/>
      </c>
      <c r="S13">
        <f>IF($R13="","",IF(INDEX('입력_구리근무자명단'!$A11:$ZZ11,1,$E$2+2)&amp;""="",급여기준월,IF(ISNUMBER(INDEX('입력_구리근무자명단'!$A11:$ZZ11,1,$E$2+2)),INDEX('입력_구리근무자명단'!$A11:$ZZ11,1,$E$2+2),IFERROR(DATE(VALUE(LEFT(INDEX('입력_구리근무자명단'!$A11:$ZZ11,1,$E$2+2),4)),VALUE(MID(INDEX('입력_구리근무자명단'!$A11:$ZZ11,1,$E$2+2),6,2)),VALUE(MID(INDEX('입력_구리근무자명단'!$A11:$ZZ11,1,$E$2+2),9,2))),-1))))</f>
        <v/>
      </c>
      <c r="T13">
        <f>IF($R13="","",IF(INDEX('입력_구리근무자명단'!$A11:$ZZ11,1,$E$2+3)&amp;""="",EOMONTH(급여기준월,0),IF(ISNUMBER(INDEX('입력_구리근무자명단'!$A11:$ZZ11,1,$E$2+3)),INDEX('입력_구리근무자명단'!$A11:$ZZ11,1,$E$2+3),IFERROR(DATE(VALUE(LEFT(INDEX('입력_구리근무자명단'!$A11:$ZZ11,1,$E$2+3),4)),VALUE(MID(INDEX('입력_구리근무자명단'!$A11:$ZZ11,1,$E$2+3),6,2)),VALUE(MID(INDEX('입력_구리근무자명단'!$A11:$ZZ11,1,$E$2+3),9,2))),-1))))</f>
        <v/>
      </c>
      <c r="U13">
        <f>IF($R13="","",IF(OR($S13&lt;0,$T13&lt;0),0,MAX(0,MIN($T13,EOMONTH(급여기준월,0))-MAX($S13,급여기준월)+1)))</f>
        <v/>
      </c>
      <c r="V13">
        <f>IF($R13="","",TRIM(INDEX('입력_구리근무자명단'!$A11:$ZZ11,1,$E$2+5)&amp;""))</f>
        <v/>
      </c>
      <c r="W13">
        <f>IF(ISNUMBER(SEARCH("구리독자",$V13)),"구리독자","")</f>
        <v/>
      </c>
      <c r="X13">
        <f>IF($R13="","",$R13&amp;"|"&amp;IF(OR($Q13="인턴",ISNUMBER(SEARCH("수련교육부",$P13))),"인턴",$P13))</f>
        <v/>
      </c>
      <c r="Y13">
        <f>IF($R13="","",IF(COUNTIF(명단표[이름|과],$X13)=1,"명단 일치",IF(AND(COUNTIF(명단표[이름|과],$X13)=0,COUNTIF(명단표[이름],$R13)=1),"명단 일치(이름만, 과 다름)",IF(COUNTIF(명단표[이름],$R13)=0,IF(COUNTIF(기본자료표[이름],$R13)&gt;0,"명단에 없음(기본자료에는 있음)","명단에 없음"),"동명이인 확인"))))</f>
        <v/>
      </c>
      <c r="Z13">
        <f>IF($R13="","",IF($S13&lt;0,"⚠"&amp;INDEX('입력_구리근무자명단'!$A11:$ZZ11,1,$E$2+2),TEXT($S13,"yyyy-mm-dd")))</f>
        <v/>
      </c>
      <c r="AA13">
        <f>IF($R13="","",IF($T13&lt;0,"⚠"&amp;INDEX('입력_구리근무자명단'!$A11:$ZZ11,1,$E$2+3),TEXT($T13,"yyyy-mm-dd")))</f>
        <v/>
      </c>
      <c r="AB13">
        <f>AB12+IF($R13="",0,1)</f>
        <v/>
      </c>
      <c r="AC13">
        <f>IF($R13="","",$AB13)</f>
        <v/>
      </c>
    </row>
    <row r="14">
      <c r="A14">
        <f>IFERROR(INDEX($O$6:$O$1505,MATCH(9,$AC$6:$AC$1505,0)),"")</f>
        <v/>
      </c>
      <c r="B14">
        <f>IF(ISNUMBER($A14),INDEX($P$6:$P$1505,$A14-3),"")</f>
        <v/>
      </c>
      <c r="C14">
        <f>IF(ISNUMBER($A14),INDEX($Q$6:$Q$1505,$A14-3),"")</f>
        <v/>
      </c>
      <c r="D14">
        <f>IF(ISNUMBER($A14),INDEX($R$6:$R$1505,$A14-3),"")</f>
        <v/>
      </c>
      <c r="E14">
        <f>IF(ISNUMBER($A14),$G$2,"")</f>
        <v/>
      </c>
      <c r="F14">
        <f>IF(ISNUMBER($A14),INDEX($Z$6:$Z$1505,$A14-3),"")</f>
        <v/>
      </c>
      <c r="G14">
        <f>IF(ISNUMBER($A14),INDEX($AA$6:$AA$1505,$A14-3),"")</f>
        <v/>
      </c>
      <c r="H14">
        <f>IF(ISNUMBER($A14),INDEX($U$6:$U$1505,$A14-3),"")</f>
        <v/>
      </c>
      <c r="I14">
        <f>IF(ISNUMBER($A14),INDEX($V$6:$V$1505,$A14-3),"")</f>
        <v/>
      </c>
      <c r="J14">
        <f>IF(ISNUMBER($A14),INDEX($W$6:$W$1505,$A14-3),"")</f>
        <v/>
      </c>
      <c r="K14">
        <f>IF(ISNUMBER($A14),INDEX($X$6:$X$1505,$A14-3),"")</f>
        <v/>
      </c>
      <c r="L14">
        <f>IF(ISNUMBER($A14),INDEX($Y$6:$Y$1505,$A14-3),"")</f>
        <v/>
      </c>
      <c r="O14">
        <f>12</f>
        <v/>
      </c>
      <c r="P14">
        <f>IF(TRIM('입력_구리근무자명단'!$A12&amp;"")&lt;&gt;"",TRIM('입력_구리근무자명단'!$A12&amp;""),P13)</f>
        <v/>
      </c>
      <c r="Q14">
        <f>'입력_구리근무자명단'!$B12&amp;""</f>
        <v/>
      </c>
      <c r="R14">
        <f>IF($E$2="","",TRIM(INDEX('입력_구리근무자명단'!$A12:$ZZ12,1,$E$2+IF($G$2="확정",1,0))&amp;""))</f>
        <v/>
      </c>
      <c r="S14">
        <f>IF($R14="","",IF(INDEX('입력_구리근무자명단'!$A12:$ZZ12,1,$E$2+2)&amp;""="",급여기준월,IF(ISNUMBER(INDEX('입력_구리근무자명단'!$A12:$ZZ12,1,$E$2+2)),INDEX('입력_구리근무자명단'!$A12:$ZZ12,1,$E$2+2),IFERROR(DATE(VALUE(LEFT(INDEX('입력_구리근무자명단'!$A12:$ZZ12,1,$E$2+2),4)),VALUE(MID(INDEX('입력_구리근무자명단'!$A12:$ZZ12,1,$E$2+2),6,2)),VALUE(MID(INDEX('입력_구리근무자명단'!$A12:$ZZ12,1,$E$2+2),9,2))),-1))))</f>
        <v/>
      </c>
      <c r="T14">
        <f>IF($R14="","",IF(INDEX('입력_구리근무자명단'!$A12:$ZZ12,1,$E$2+3)&amp;""="",EOMONTH(급여기준월,0),IF(ISNUMBER(INDEX('입력_구리근무자명단'!$A12:$ZZ12,1,$E$2+3)),INDEX('입력_구리근무자명단'!$A12:$ZZ12,1,$E$2+3),IFERROR(DATE(VALUE(LEFT(INDEX('입력_구리근무자명단'!$A12:$ZZ12,1,$E$2+3),4)),VALUE(MID(INDEX('입력_구리근무자명단'!$A12:$ZZ12,1,$E$2+3),6,2)),VALUE(MID(INDEX('입력_구리근무자명단'!$A12:$ZZ12,1,$E$2+3),9,2))),-1))))</f>
        <v/>
      </c>
      <c r="U14">
        <f>IF($R14="","",IF(OR($S14&lt;0,$T14&lt;0),0,MAX(0,MIN($T14,EOMONTH(급여기준월,0))-MAX($S14,급여기준월)+1)))</f>
        <v/>
      </c>
      <c r="V14">
        <f>IF($R14="","",TRIM(INDEX('입력_구리근무자명단'!$A12:$ZZ12,1,$E$2+5)&amp;""))</f>
        <v/>
      </c>
      <c r="W14">
        <f>IF(ISNUMBER(SEARCH("구리독자",$V14)),"구리독자","")</f>
        <v/>
      </c>
      <c r="X14">
        <f>IF($R14="","",$R14&amp;"|"&amp;IF(OR($Q14="인턴",ISNUMBER(SEARCH("수련교육부",$P14))),"인턴",$P14))</f>
        <v/>
      </c>
      <c r="Y14">
        <f>IF($R14="","",IF(COUNTIF(명단표[이름|과],$X14)=1,"명단 일치",IF(AND(COUNTIF(명단표[이름|과],$X14)=0,COUNTIF(명단표[이름],$R14)=1),"명단 일치(이름만, 과 다름)",IF(COUNTIF(명단표[이름],$R14)=0,IF(COUNTIF(기본자료표[이름],$R14)&gt;0,"명단에 없음(기본자료에는 있음)","명단에 없음"),"동명이인 확인"))))</f>
        <v/>
      </c>
      <c r="Z14">
        <f>IF($R14="","",IF($S14&lt;0,"⚠"&amp;INDEX('입력_구리근무자명단'!$A12:$ZZ12,1,$E$2+2),TEXT($S14,"yyyy-mm-dd")))</f>
        <v/>
      </c>
      <c r="AA14">
        <f>IF($R14="","",IF($T14&lt;0,"⚠"&amp;INDEX('입력_구리근무자명단'!$A12:$ZZ12,1,$E$2+3),TEXT($T14,"yyyy-mm-dd")))</f>
        <v/>
      </c>
      <c r="AB14">
        <f>AB13+IF($R14="",0,1)</f>
        <v/>
      </c>
      <c r="AC14">
        <f>IF($R14="","",$AB14)</f>
        <v/>
      </c>
    </row>
    <row r="15">
      <c r="A15">
        <f>IFERROR(INDEX($O$6:$O$1505,MATCH(10,$AC$6:$AC$1505,0)),"")</f>
        <v/>
      </c>
      <c r="B15">
        <f>IF(ISNUMBER($A15),INDEX($P$6:$P$1505,$A15-3),"")</f>
        <v/>
      </c>
      <c r="C15">
        <f>IF(ISNUMBER($A15),INDEX($Q$6:$Q$1505,$A15-3),"")</f>
        <v/>
      </c>
      <c r="D15">
        <f>IF(ISNUMBER($A15),INDEX($R$6:$R$1505,$A15-3),"")</f>
        <v/>
      </c>
      <c r="E15">
        <f>IF(ISNUMBER($A15),$G$2,"")</f>
        <v/>
      </c>
      <c r="F15">
        <f>IF(ISNUMBER($A15),INDEX($Z$6:$Z$1505,$A15-3),"")</f>
        <v/>
      </c>
      <c r="G15">
        <f>IF(ISNUMBER($A15),INDEX($AA$6:$AA$1505,$A15-3),"")</f>
        <v/>
      </c>
      <c r="H15">
        <f>IF(ISNUMBER($A15),INDEX($U$6:$U$1505,$A15-3),"")</f>
        <v/>
      </c>
      <c r="I15">
        <f>IF(ISNUMBER($A15),INDEX($V$6:$V$1505,$A15-3),"")</f>
        <v/>
      </c>
      <c r="J15">
        <f>IF(ISNUMBER($A15),INDEX($W$6:$W$1505,$A15-3),"")</f>
        <v/>
      </c>
      <c r="K15">
        <f>IF(ISNUMBER($A15),INDEX($X$6:$X$1505,$A15-3),"")</f>
        <v/>
      </c>
      <c r="L15">
        <f>IF(ISNUMBER($A15),INDEX($Y$6:$Y$1505,$A15-3),"")</f>
        <v/>
      </c>
      <c r="O15">
        <f>13</f>
        <v/>
      </c>
      <c r="P15">
        <f>IF(TRIM('입력_구리근무자명단'!$A13&amp;"")&lt;&gt;"",TRIM('입력_구리근무자명단'!$A13&amp;""),P14)</f>
        <v/>
      </c>
      <c r="Q15">
        <f>'입력_구리근무자명단'!$B13&amp;""</f>
        <v/>
      </c>
      <c r="R15">
        <f>IF($E$2="","",TRIM(INDEX('입력_구리근무자명단'!$A13:$ZZ13,1,$E$2+IF($G$2="확정",1,0))&amp;""))</f>
        <v/>
      </c>
      <c r="S15">
        <f>IF($R15="","",IF(INDEX('입력_구리근무자명단'!$A13:$ZZ13,1,$E$2+2)&amp;""="",급여기준월,IF(ISNUMBER(INDEX('입력_구리근무자명단'!$A13:$ZZ13,1,$E$2+2)),INDEX('입력_구리근무자명단'!$A13:$ZZ13,1,$E$2+2),IFERROR(DATE(VALUE(LEFT(INDEX('입력_구리근무자명단'!$A13:$ZZ13,1,$E$2+2),4)),VALUE(MID(INDEX('입력_구리근무자명단'!$A13:$ZZ13,1,$E$2+2),6,2)),VALUE(MID(INDEX('입력_구리근무자명단'!$A13:$ZZ13,1,$E$2+2),9,2))),-1))))</f>
        <v/>
      </c>
      <c r="T15">
        <f>IF($R15="","",IF(INDEX('입력_구리근무자명단'!$A13:$ZZ13,1,$E$2+3)&amp;""="",EOMONTH(급여기준월,0),IF(ISNUMBER(INDEX('입력_구리근무자명단'!$A13:$ZZ13,1,$E$2+3)),INDEX('입력_구리근무자명단'!$A13:$ZZ13,1,$E$2+3),IFERROR(DATE(VALUE(LEFT(INDEX('입력_구리근무자명단'!$A13:$ZZ13,1,$E$2+3),4)),VALUE(MID(INDEX('입력_구리근무자명단'!$A13:$ZZ13,1,$E$2+3),6,2)),VALUE(MID(INDEX('입력_구리근무자명단'!$A13:$ZZ13,1,$E$2+3),9,2))),-1))))</f>
        <v/>
      </c>
      <c r="U15">
        <f>IF($R15="","",IF(OR($S15&lt;0,$T15&lt;0),0,MAX(0,MIN($T15,EOMONTH(급여기준월,0))-MAX($S15,급여기준월)+1)))</f>
        <v/>
      </c>
      <c r="V15">
        <f>IF($R15="","",TRIM(INDEX('입력_구리근무자명단'!$A13:$ZZ13,1,$E$2+5)&amp;""))</f>
        <v/>
      </c>
      <c r="W15">
        <f>IF(ISNUMBER(SEARCH("구리독자",$V15)),"구리독자","")</f>
        <v/>
      </c>
      <c r="X15">
        <f>IF($R15="","",$R15&amp;"|"&amp;IF(OR($Q15="인턴",ISNUMBER(SEARCH("수련교육부",$P15))),"인턴",$P15))</f>
        <v/>
      </c>
      <c r="Y15">
        <f>IF($R15="","",IF(COUNTIF(명단표[이름|과],$X15)=1,"명단 일치",IF(AND(COUNTIF(명단표[이름|과],$X15)=0,COUNTIF(명단표[이름],$R15)=1),"명단 일치(이름만, 과 다름)",IF(COUNTIF(명단표[이름],$R15)=0,IF(COUNTIF(기본자료표[이름],$R15)&gt;0,"명단에 없음(기본자료에는 있음)","명단에 없음"),"동명이인 확인"))))</f>
        <v/>
      </c>
      <c r="Z15">
        <f>IF($R15="","",IF($S15&lt;0,"⚠"&amp;INDEX('입력_구리근무자명단'!$A13:$ZZ13,1,$E$2+2),TEXT($S15,"yyyy-mm-dd")))</f>
        <v/>
      </c>
      <c r="AA15">
        <f>IF($R15="","",IF($T15&lt;0,"⚠"&amp;INDEX('입력_구리근무자명단'!$A13:$ZZ13,1,$E$2+3),TEXT($T15,"yyyy-mm-dd")))</f>
        <v/>
      </c>
      <c r="AB15">
        <f>AB14+IF($R15="",0,1)</f>
        <v/>
      </c>
      <c r="AC15">
        <f>IF($R15="","",$AB15)</f>
        <v/>
      </c>
    </row>
    <row r="16">
      <c r="A16">
        <f>IFERROR(INDEX($O$6:$O$1505,MATCH(11,$AC$6:$AC$1505,0)),"")</f>
        <v/>
      </c>
      <c r="B16">
        <f>IF(ISNUMBER($A16),INDEX($P$6:$P$1505,$A16-3),"")</f>
        <v/>
      </c>
      <c r="C16">
        <f>IF(ISNUMBER($A16),INDEX($Q$6:$Q$1505,$A16-3),"")</f>
        <v/>
      </c>
      <c r="D16">
        <f>IF(ISNUMBER($A16),INDEX($R$6:$R$1505,$A16-3),"")</f>
        <v/>
      </c>
      <c r="E16">
        <f>IF(ISNUMBER($A16),$G$2,"")</f>
        <v/>
      </c>
      <c r="F16">
        <f>IF(ISNUMBER($A16),INDEX($Z$6:$Z$1505,$A16-3),"")</f>
        <v/>
      </c>
      <c r="G16">
        <f>IF(ISNUMBER($A16),INDEX($AA$6:$AA$1505,$A16-3),"")</f>
        <v/>
      </c>
      <c r="H16">
        <f>IF(ISNUMBER($A16),INDEX($U$6:$U$1505,$A16-3),"")</f>
        <v/>
      </c>
      <c r="I16">
        <f>IF(ISNUMBER($A16),INDEX($V$6:$V$1505,$A16-3),"")</f>
        <v/>
      </c>
      <c r="J16">
        <f>IF(ISNUMBER($A16),INDEX($W$6:$W$1505,$A16-3),"")</f>
        <v/>
      </c>
      <c r="K16">
        <f>IF(ISNUMBER($A16),INDEX($X$6:$X$1505,$A16-3),"")</f>
        <v/>
      </c>
      <c r="L16">
        <f>IF(ISNUMBER($A16),INDEX($Y$6:$Y$1505,$A16-3),"")</f>
        <v/>
      </c>
      <c r="O16">
        <f>14</f>
        <v/>
      </c>
      <c r="P16">
        <f>IF(TRIM('입력_구리근무자명단'!$A14&amp;"")&lt;&gt;"",TRIM('입력_구리근무자명단'!$A14&amp;""),P15)</f>
        <v/>
      </c>
      <c r="Q16">
        <f>'입력_구리근무자명단'!$B14&amp;""</f>
        <v/>
      </c>
      <c r="R16">
        <f>IF($E$2="","",TRIM(INDEX('입력_구리근무자명단'!$A14:$ZZ14,1,$E$2+IF($G$2="확정",1,0))&amp;""))</f>
        <v/>
      </c>
      <c r="S16">
        <f>IF($R16="","",IF(INDEX('입력_구리근무자명단'!$A14:$ZZ14,1,$E$2+2)&amp;""="",급여기준월,IF(ISNUMBER(INDEX('입력_구리근무자명단'!$A14:$ZZ14,1,$E$2+2)),INDEX('입력_구리근무자명단'!$A14:$ZZ14,1,$E$2+2),IFERROR(DATE(VALUE(LEFT(INDEX('입력_구리근무자명단'!$A14:$ZZ14,1,$E$2+2),4)),VALUE(MID(INDEX('입력_구리근무자명단'!$A14:$ZZ14,1,$E$2+2),6,2)),VALUE(MID(INDEX('입력_구리근무자명단'!$A14:$ZZ14,1,$E$2+2),9,2))),-1))))</f>
        <v/>
      </c>
      <c r="T16">
        <f>IF($R16="","",IF(INDEX('입력_구리근무자명단'!$A14:$ZZ14,1,$E$2+3)&amp;""="",EOMONTH(급여기준월,0),IF(ISNUMBER(INDEX('입력_구리근무자명단'!$A14:$ZZ14,1,$E$2+3)),INDEX('입력_구리근무자명단'!$A14:$ZZ14,1,$E$2+3),IFERROR(DATE(VALUE(LEFT(INDEX('입력_구리근무자명단'!$A14:$ZZ14,1,$E$2+3),4)),VALUE(MID(INDEX('입력_구리근무자명단'!$A14:$ZZ14,1,$E$2+3),6,2)),VALUE(MID(INDEX('입력_구리근무자명단'!$A14:$ZZ14,1,$E$2+3),9,2))),-1))))</f>
        <v/>
      </c>
      <c r="U16">
        <f>IF($R16="","",IF(OR($S16&lt;0,$T16&lt;0),0,MAX(0,MIN($T16,EOMONTH(급여기준월,0))-MAX($S16,급여기준월)+1)))</f>
        <v/>
      </c>
      <c r="V16">
        <f>IF($R16="","",TRIM(INDEX('입력_구리근무자명단'!$A14:$ZZ14,1,$E$2+5)&amp;""))</f>
        <v/>
      </c>
      <c r="W16">
        <f>IF(ISNUMBER(SEARCH("구리독자",$V16)),"구리독자","")</f>
        <v/>
      </c>
      <c r="X16">
        <f>IF($R16="","",$R16&amp;"|"&amp;IF(OR($Q16="인턴",ISNUMBER(SEARCH("수련교육부",$P16))),"인턴",$P16))</f>
        <v/>
      </c>
      <c r="Y16">
        <f>IF($R16="","",IF(COUNTIF(명단표[이름|과],$X16)=1,"명단 일치",IF(AND(COUNTIF(명단표[이름|과],$X16)=0,COUNTIF(명단표[이름],$R16)=1),"명단 일치(이름만, 과 다름)",IF(COUNTIF(명단표[이름],$R16)=0,IF(COUNTIF(기본자료표[이름],$R16)&gt;0,"명단에 없음(기본자료에는 있음)","명단에 없음"),"동명이인 확인"))))</f>
        <v/>
      </c>
      <c r="Z16">
        <f>IF($R16="","",IF($S16&lt;0,"⚠"&amp;INDEX('입력_구리근무자명단'!$A14:$ZZ14,1,$E$2+2),TEXT($S16,"yyyy-mm-dd")))</f>
        <v/>
      </c>
      <c r="AA16">
        <f>IF($R16="","",IF($T16&lt;0,"⚠"&amp;INDEX('입력_구리근무자명단'!$A14:$ZZ14,1,$E$2+3),TEXT($T16,"yyyy-mm-dd")))</f>
        <v/>
      </c>
      <c r="AB16">
        <f>AB15+IF($R16="",0,1)</f>
        <v/>
      </c>
      <c r="AC16">
        <f>IF($R16="","",$AB16)</f>
        <v/>
      </c>
    </row>
    <row r="17">
      <c r="A17">
        <f>IFERROR(INDEX($O$6:$O$1505,MATCH(12,$AC$6:$AC$1505,0)),"")</f>
        <v/>
      </c>
      <c r="B17">
        <f>IF(ISNUMBER($A17),INDEX($P$6:$P$1505,$A17-3),"")</f>
        <v/>
      </c>
      <c r="C17">
        <f>IF(ISNUMBER($A17),INDEX($Q$6:$Q$1505,$A17-3),"")</f>
        <v/>
      </c>
      <c r="D17">
        <f>IF(ISNUMBER($A17),INDEX($R$6:$R$1505,$A17-3),"")</f>
        <v/>
      </c>
      <c r="E17">
        <f>IF(ISNUMBER($A17),$G$2,"")</f>
        <v/>
      </c>
      <c r="F17">
        <f>IF(ISNUMBER($A17),INDEX($Z$6:$Z$1505,$A17-3),"")</f>
        <v/>
      </c>
      <c r="G17">
        <f>IF(ISNUMBER($A17),INDEX($AA$6:$AA$1505,$A17-3),"")</f>
        <v/>
      </c>
      <c r="H17">
        <f>IF(ISNUMBER($A17),INDEX($U$6:$U$1505,$A17-3),"")</f>
        <v/>
      </c>
      <c r="I17">
        <f>IF(ISNUMBER($A17),INDEX($V$6:$V$1505,$A17-3),"")</f>
        <v/>
      </c>
      <c r="J17">
        <f>IF(ISNUMBER($A17),INDEX($W$6:$W$1505,$A17-3),"")</f>
        <v/>
      </c>
      <c r="K17">
        <f>IF(ISNUMBER($A17),INDEX($X$6:$X$1505,$A17-3),"")</f>
        <v/>
      </c>
      <c r="L17">
        <f>IF(ISNUMBER($A17),INDEX($Y$6:$Y$1505,$A17-3),"")</f>
        <v/>
      </c>
      <c r="O17">
        <f>15</f>
        <v/>
      </c>
      <c r="P17">
        <f>IF(TRIM('입력_구리근무자명단'!$A15&amp;"")&lt;&gt;"",TRIM('입력_구리근무자명단'!$A15&amp;""),P16)</f>
        <v/>
      </c>
      <c r="Q17">
        <f>'입력_구리근무자명단'!$B15&amp;""</f>
        <v/>
      </c>
      <c r="R17">
        <f>IF($E$2="","",TRIM(INDEX('입력_구리근무자명단'!$A15:$ZZ15,1,$E$2+IF($G$2="확정",1,0))&amp;""))</f>
        <v/>
      </c>
      <c r="S17">
        <f>IF($R17="","",IF(INDEX('입력_구리근무자명단'!$A15:$ZZ15,1,$E$2+2)&amp;""="",급여기준월,IF(ISNUMBER(INDEX('입력_구리근무자명단'!$A15:$ZZ15,1,$E$2+2)),INDEX('입력_구리근무자명단'!$A15:$ZZ15,1,$E$2+2),IFERROR(DATE(VALUE(LEFT(INDEX('입력_구리근무자명단'!$A15:$ZZ15,1,$E$2+2),4)),VALUE(MID(INDEX('입력_구리근무자명단'!$A15:$ZZ15,1,$E$2+2),6,2)),VALUE(MID(INDEX('입력_구리근무자명단'!$A15:$ZZ15,1,$E$2+2),9,2))),-1))))</f>
        <v/>
      </c>
      <c r="T17">
        <f>IF($R17="","",IF(INDEX('입력_구리근무자명단'!$A15:$ZZ15,1,$E$2+3)&amp;""="",EOMONTH(급여기준월,0),IF(ISNUMBER(INDEX('입력_구리근무자명단'!$A15:$ZZ15,1,$E$2+3)),INDEX('입력_구리근무자명단'!$A15:$ZZ15,1,$E$2+3),IFERROR(DATE(VALUE(LEFT(INDEX('입력_구리근무자명단'!$A15:$ZZ15,1,$E$2+3),4)),VALUE(MID(INDEX('입력_구리근무자명단'!$A15:$ZZ15,1,$E$2+3),6,2)),VALUE(MID(INDEX('입력_구리근무자명단'!$A15:$ZZ15,1,$E$2+3),9,2))),-1))))</f>
        <v/>
      </c>
      <c r="U17">
        <f>IF($R17="","",IF(OR($S17&lt;0,$T17&lt;0),0,MAX(0,MIN($T17,EOMONTH(급여기준월,0))-MAX($S17,급여기준월)+1)))</f>
        <v/>
      </c>
      <c r="V17">
        <f>IF($R17="","",TRIM(INDEX('입력_구리근무자명단'!$A15:$ZZ15,1,$E$2+5)&amp;""))</f>
        <v/>
      </c>
      <c r="W17">
        <f>IF(ISNUMBER(SEARCH("구리독자",$V17)),"구리독자","")</f>
        <v/>
      </c>
      <c r="X17">
        <f>IF($R17="","",$R17&amp;"|"&amp;IF(OR($Q17="인턴",ISNUMBER(SEARCH("수련교육부",$P17))),"인턴",$P17))</f>
        <v/>
      </c>
      <c r="Y17">
        <f>IF($R17="","",IF(COUNTIF(명단표[이름|과],$X17)=1,"명단 일치",IF(AND(COUNTIF(명단표[이름|과],$X17)=0,COUNTIF(명단표[이름],$R17)=1),"명단 일치(이름만, 과 다름)",IF(COUNTIF(명단표[이름],$R17)=0,IF(COUNTIF(기본자료표[이름],$R17)&gt;0,"명단에 없음(기본자료에는 있음)","명단에 없음"),"동명이인 확인"))))</f>
        <v/>
      </c>
      <c r="Z17">
        <f>IF($R17="","",IF($S17&lt;0,"⚠"&amp;INDEX('입력_구리근무자명단'!$A15:$ZZ15,1,$E$2+2),TEXT($S17,"yyyy-mm-dd")))</f>
        <v/>
      </c>
      <c r="AA17">
        <f>IF($R17="","",IF($T17&lt;0,"⚠"&amp;INDEX('입력_구리근무자명단'!$A15:$ZZ15,1,$E$2+3),TEXT($T17,"yyyy-mm-dd")))</f>
        <v/>
      </c>
      <c r="AB17">
        <f>AB16+IF($R17="",0,1)</f>
        <v/>
      </c>
      <c r="AC17">
        <f>IF($R17="","",$AB17)</f>
        <v/>
      </c>
    </row>
    <row r="18">
      <c r="A18">
        <f>IFERROR(INDEX($O$6:$O$1505,MATCH(13,$AC$6:$AC$1505,0)),"")</f>
        <v/>
      </c>
      <c r="B18">
        <f>IF(ISNUMBER($A18),INDEX($P$6:$P$1505,$A18-3),"")</f>
        <v/>
      </c>
      <c r="C18">
        <f>IF(ISNUMBER($A18),INDEX($Q$6:$Q$1505,$A18-3),"")</f>
        <v/>
      </c>
      <c r="D18">
        <f>IF(ISNUMBER($A18),INDEX($R$6:$R$1505,$A18-3),"")</f>
        <v/>
      </c>
      <c r="E18">
        <f>IF(ISNUMBER($A18),$G$2,"")</f>
        <v/>
      </c>
      <c r="F18">
        <f>IF(ISNUMBER($A18),INDEX($Z$6:$Z$1505,$A18-3),"")</f>
        <v/>
      </c>
      <c r="G18">
        <f>IF(ISNUMBER($A18),INDEX($AA$6:$AA$1505,$A18-3),"")</f>
        <v/>
      </c>
      <c r="H18">
        <f>IF(ISNUMBER($A18),INDEX($U$6:$U$1505,$A18-3),"")</f>
        <v/>
      </c>
      <c r="I18">
        <f>IF(ISNUMBER($A18),INDEX($V$6:$V$1505,$A18-3),"")</f>
        <v/>
      </c>
      <c r="J18">
        <f>IF(ISNUMBER($A18),INDEX($W$6:$W$1505,$A18-3),"")</f>
        <v/>
      </c>
      <c r="K18">
        <f>IF(ISNUMBER($A18),INDEX($X$6:$X$1505,$A18-3),"")</f>
        <v/>
      </c>
      <c r="L18">
        <f>IF(ISNUMBER($A18),INDEX($Y$6:$Y$1505,$A18-3),"")</f>
        <v/>
      </c>
      <c r="O18">
        <f>16</f>
        <v/>
      </c>
      <c r="P18">
        <f>IF(TRIM('입력_구리근무자명단'!$A16&amp;"")&lt;&gt;"",TRIM('입력_구리근무자명단'!$A16&amp;""),P17)</f>
        <v/>
      </c>
      <c r="Q18">
        <f>'입력_구리근무자명단'!$B16&amp;""</f>
        <v/>
      </c>
      <c r="R18">
        <f>IF($E$2="","",TRIM(INDEX('입력_구리근무자명단'!$A16:$ZZ16,1,$E$2+IF($G$2="확정",1,0))&amp;""))</f>
        <v/>
      </c>
      <c r="S18">
        <f>IF($R18="","",IF(INDEX('입력_구리근무자명단'!$A16:$ZZ16,1,$E$2+2)&amp;""="",급여기준월,IF(ISNUMBER(INDEX('입력_구리근무자명단'!$A16:$ZZ16,1,$E$2+2)),INDEX('입력_구리근무자명단'!$A16:$ZZ16,1,$E$2+2),IFERROR(DATE(VALUE(LEFT(INDEX('입력_구리근무자명단'!$A16:$ZZ16,1,$E$2+2),4)),VALUE(MID(INDEX('입력_구리근무자명단'!$A16:$ZZ16,1,$E$2+2),6,2)),VALUE(MID(INDEX('입력_구리근무자명단'!$A16:$ZZ16,1,$E$2+2),9,2))),-1))))</f>
        <v/>
      </c>
      <c r="T18">
        <f>IF($R18="","",IF(INDEX('입력_구리근무자명단'!$A16:$ZZ16,1,$E$2+3)&amp;""="",EOMONTH(급여기준월,0),IF(ISNUMBER(INDEX('입력_구리근무자명단'!$A16:$ZZ16,1,$E$2+3)),INDEX('입력_구리근무자명단'!$A16:$ZZ16,1,$E$2+3),IFERROR(DATE(VALUE(LEFT(INDEX('입력_구리근무자명단'!$A16:$ZZ16,1,$E$2+3),4)),VALUE(MID(INDEX('입력_구리근무자명단'!$A16:$ZZ16,1,$E$2+3),6,2)),VALUE(MID(INDEX('입력_구리근무자명단'!$A16:$ZZ16,1,$E$2+3),9,2))),-1))))</f>
        <v/>
      </c>
      <c r="U18">
        <f>IF($R18="","",IF(OR($S18&lt;0,$T18&lt;0),0,MAX(0,MIN($T18,EOMONTH(급여기준월,0))-MAX($S18,급여기준월)+1)))</f>
        <v/>
      </c>
      <c r="V18">
        <f>IF($R18="","",TRIM(INDEX('입력_구리근무자명단'!$A16:$ZZ16,1,$E$2+5)&amp;""))</f>
        <v/>
      </c>
      <c r="W18">
        <f>IF(ISNUMBER(SEARCH("구리독자",$V18)),"구리독자","")</f>
        <v/>
      </c>
      <c r="X18">
        <f>IF($R18="","",$R18&amp;"|"&amp;IF(OR($Q18="인턴",ISNUMBER(SEARCH("수련교육부",$P18))),"인턴",$P18))</f>
        <v/>
      </c>
      <c r="Y18">
        <f>IF($R18="","",IF(COUNTIF(명단표[이름|과],$X18)=1,"명단 일치",IF(AND(COUNTIF(명단표[이름|과],$X18)=0,COUNTIF(명단표[이름],$R18)=1),"명단 일치(이름만, 과 다름)",IF(COUNTIF(명단표[이름],$R18)=0,IF(COUNTIF(기본자료표[이름],$R18)&gt;0,"명단에 없음(기본자료에는 있음)","명단에 없음"),"동명이인 확인"))))</f>
        <v/>
      </c>
      <c r="Z18">
        <f>IF($R18="","",IF($S18&lt;0,"⚠"&amp;INDEX('입력_구리근무자명단'!$A16:$ZZ16,1,$E$2+2),TEXT($S18,"yyyy-mm-dd")))</f>
        <v/>
      </c>
      <c r="AA18">
        <f>IF($R18="","",IF($T18&lt;0,"⚠"&amp;INDEX('입력_구리근무자명단'!$A16:$ZZ16,1,$E$2+3),TEXT($T18,"yyyy-mm-dd")))</f>
        <v/>
      </c>
      <c r="AB18">
        <f>AB17+IF($R18="",0,1)</f>
        <v/>
      </c>
      <c r="AC18">
        <f>IF($R18="","",$AB18)</f>
        <v/>
      </c>
    </row>
    <row r="19">
      <c r="A19">
        <f>IFERROR(INDEX($O$6:$O$1505,MATCH(14,$AC$6:$AC$1505,0)),"")</f>
        <v/>
      </c>
      <c r="B19">
        <f>IF(ISNUMBER($A19),INDEX($P$6:$P$1505,$A19-3),"")</f>
        <v/>
      </c>
      <c r="C19">
        <f>IF(ISNUMBER($A19),INDEX($Q$6:$Q$1505,$A19-3),"")</f>
        <v/>
      </c>
      <c r="D19">
        <f>IF(ISNUMBER($A19),INDEX($R$6:$R$1505,$A19-3),"")</f>
        <v/>
      </c>
      <c r="E19">
        <f>IF(ISNUMBER($A19),$G$2,"")</f>
        <v/>
      </c>
      <c r="F19">
        <f>IF(ISNUMBER($A19),INDEX($Z$6:$Z$1505,$A19-3),"")</f>
        <v/>
      </c>
      <c r="G19">
        <f>IF(ISNUMBER($A19),INDEX($AA$6:$AA$1505,$A19-3),"")</f>
        <v/>
      </c>
      <c r="H19">
        <f>IF(ISNUMBER($A19),INDEX($U$6:$U$1505,$A19-3),"")</f>
        <v/>
      </c>
      <c r="I19">
        <f>IF(ISNUMBER($A19),INDEX($V$6:$V$1505,$A19-3),"")</f>
        <v/>
      </c>
      <c r="J19">
        <f>IF(ISNUMBER($A19),INDEX($W$6:$W$1505,$A19-3),"")</f>
        <v/>
      </c>
      <c r="K19">
        <f>IF(ISNUMBER($A19),INDEX($X$6:$X$1505,$A19-3),"")</f>
        <v/>
      </c>
      <c r="L19">
        <f>IF(ISNUMBER($A19),INDEX($Y$6:$Y$1505,$A19-3),"")</f>
        <v/>
      </c>
      <c r="O19">
        <f>17</f>
        <v/>
      </c>
      <c r="P19">
        <f>IF(TRIM('입력_구리근무자명단'!$A17&amp;"")&lt;&gt;"",TRIM('입력_구리근무자명단'!$A17&amp;""),P18)</f>
        <v/>
      </c>
      <c r="Q19">
        <f>'입력_구리근무자명단'!$B17&amp;""</f>
        <v/>
      </c>
      <c r="R19">
        <f>IF($E$2="","",TRIM(INDEX('입력_구리근무자명단'!$A17:$ZZ17,1,$E$2+IF($G$2="확정",1,0))&amp;""))</f>
        <v/>
      </c>
      <c r="S19">
        <f>IF($R19="","",IF(INDEX('입력_구리근무자명단'!$A17:$ZZ17,1,$E$2+2)&amp;""="",급여기준월,IF(ISNUMBER(INDEX('입력_구리근무자명단'!$A17:$ZZ17,1,$E$2+2)),INDEX('입력_구리근무자명단'!$A17:$ZZ17,1,$E$2+2),IFERROR(DATE(VALUE(LEFT(INDEX('입력_구리근무자명단'!$A17:$ZZ17,1,$E$2+2),4)),VALUE(MID(INDEX('입력_구리근무자명단'!$A17:$ZZ17,1,$E$2+2),6,2)),VALUE(MID(INDEX('입력_구리근무자명단'!$A17:$ZZ17,1,$E$2+2),9,2))),-1))))</f>
        <v/>
      </c>
      <c r="T19">
        <f>IF($R19="","",IF(INDEX('입력_구리근무자명단'!$A17:$ZZ17,1,$E$2+3)&amp;""="",EOMONTH(급여기준월,0),IF(ISNUMBER(INDEX('입력_구리근무자명단'!$A17:$ZZ17,1,$E$2+3)),INDEX('입력_구리근무자명단'!$A17:$ZZ17,1,$E$2+3),IFERROR(DATE(VALUE(LEFT(INDEX('입력_구리근무자명단'!$A17:$ZZ17,1,$E$2+3),4)),VALUE(MID(INDEX('입력_구리근무자명단'!$A17:$ZZ17,1,$E$2+3),6,2)),VALUE(MID(INDEX('입력_구리근무자명단'!$A17:$ZZ17,1,$E$2+3),9,2))),-1))))</f>
        <v/>
      </c>
      <c r="U19">
        <f>IF($R19="","",IF(OR($S19&lt;0,$T19&lt;0),0,MAX(0,MIN($T19,EOMONTH(급여기준월,0))-MAX($S19,급여기준월)+1)))</f>
        <v/>
      </c>
      <c r="V19">
        <f>IF($R19="","",TRIM(INDEX('입력_구리근무자명단'!$A17:$ZZ17,1,$E$2+5)&amp;""))</f>
        <v/>
      </c>
      <c r="W19">
        <f>IF(ISNUMBER(SEARCH("구리독자",$V19)),"구리독자","")</f>
        <v/>
      </c>
      <c r="X19">
        <f>IF($R19="","",$R19&amp;"|"&amp;IF(OR($Q19="인턴",ISNUMBER(SEARCH("수련교육부",$P19))),"인턴",$P19))</f>
        <v/>
      </c>
      <c r="Y19">
        <f>IF($R19="","",IF(COUNTIF(명단표[이름|과],$X19)=1,"명단 일치",IF(AND(COUNTIF(명단표[이름|과],$X19)=0,COUNTIF(명단표[이름],$R19)=1),"명단 일치(이름만, 과 다름)",IF(COUNTIF(명단표[이름],$R19)=0,IF(COUNTIF(기본자료표[이름],$R19)&gt;0,"명단에 없음(기본자료에는 있음)","명단에 없음"),"동명이인 확인"))))</f>
        <v/>
      </c>
      <c r="Z19">
        <f>IF($R19="","",IF($S19&lt;0,"⚠"&amp;INDEX('입력_구리근무자명단'!$A17:$ZZ17,1,$E$2+2),TEXT($S19,"yyyy-mm-dd")))</f>
        <v/>
      </c>
      <c r="AA19">
        <f>IF($R19="","",IF($T19&lt;0,"⚠"&amp;INDEX('입력_구리근무자명단'!$A17:$ZZ17,1,$E$2+3),TEXT($T19,"yyyy-mm-dd")))</f>
        <v/>
      </c>
      <c r="AB19">
        <f>AB18+IF($R19="",0,1)</f>
        <v/>
      </c>
      <c r="AC19">
        <f>IF($R19="","",$AB19)</f>
        <v/>
      </c>
    </row>
    <row r="20">
      <c r="A20">
        <f>IFERROR(INDEX($O$6:$O$1505,MATCH(15,$AC$6:$AC$1505,0)),"")</f>
        <v/>
      </c>
      <c r="B20">
        <f>IF(ISNUMBER($A20),INDEX($P$6:$P$1505,$A20-3),"")</f>
        <v/>
      </c>
      <c r="C20">
        <f>IF(ISNUMBER($A20),INDEX($Q$6:$Q$1505,$A20-3),"")</f>
        <v/>
      </c>
      <c r="D20">
        <f>IF(ISNUMBER($A20),INDEX($R$6:$R$1505,$A20-3),"")</f>
        <v/>
      </c>
      <c r="E20">
        <f>IF(ISNUMBER($A20),$G$2,"")</f>
        <v/>
      </c>
      <c r="F20">
        <f>IF(ISNUMBER($A20),INDEX($Z$6:$Z$1505,$A20-3),"")</f>
        <v/>
      </c>
      <c r="G20">
        <f>IF(ISNUMBER($A20),INDEX($AA$6:$AA$1505,$A20-3),"")</f>
        <v/>
      </c>
      <c r="H20">
        <f>IF(ISNUMBER($A20),INDEX($U$6:$U$1505,$A20-3),"")</f>
        <v/>
      </c>
      <c r="I20">
        <f>IF(ISNUMBER($A20),INDEX($V$6:$V$1505,$A20-3),"")</f>
        <v/>
      </c>
      <c r="J20">
        <f>IF(ISNUMBER($A20),INDEX($W$6:$W$1505,$A20-3),"")</f>
        <v/>
      </c>
      <c r="K20">
        <f>IF(ISNUMBER($A20),INDEX($X$6:$X$1505,$A20-3),"")</f>
        <v/>
      </c>
      <c r="L20">
        <f>IF(ISNUMBER($A20),INDEX($Y$6:$Y$1505,$A20-3),"")</f>
        <v/>
      </c>
      <c r="O20">
        <f>18</f>
        <v/>
      </c>
      <c r="P20">
        <f>IF(TRIM('입력_구리근무자명단'!$A18&amp;"")&lt;&gt;"",TRIM('입력_구리근무자명단'!$A18&amp;""),P19)</f>
        <v/>
      </c>
      <c r="Q20">
        <f>'입력_구리근무자명단'!$B18&amp;""</f>
        <v/>
      </c>
      <c r="R20">
        <f>IF($E$2="","",TRIM(INDEX('입력_구리근무자명단'!$A18:$ZZ18,1,$E$2+IF($G$2="확정",1,0))&amp;""))</f>
        <v/>
      </c>
      <c r="S20">
        <f>IF($R20="","",IF(INDEX('입력_구리근무자명단'!$A18:$ZZ18,1,$E$2+2)&amp;""="",급여기준월,IF(ISNUMBER(INDEX('입력_구리근무자명단'!$A18:$ZZ18,1,$E$2+2)),INDEX('입력_구리근무자명단'!$A18:$ZZ18,1,$E$2+2),IFERROR(DATE(VALUE(LEFT(INDEX('입력_구리근무자명단'!$A18:$ZZ18,1,$E$2+2),4)),VALUE(MID(INDEX('입력_구리근무자명단'!$A18:$ZZ18,1,$E$2+2),6,2)),VALUE(MID(INDEX('입력_구리근무자명단'!$A18:$ZZ18,1,$E$2+2),9,2))),-1))))</f>
        <v/>
      </c>
      <c r="T20">
        <f>IF($R20="","",IF(INDEX('입력_구리근무자명단'!$A18:$ZZ18,1,$E$2+3)&amp;""="",EOMONTH(급여기준월,0),IF(ISNUMBER(INDEX('입력_구리근무자명단'!$A18:$ZZ18,1,$E$2+3)),INDEX('입력_구리근무자명단'!$A18:$ZZ18,1,$E$2+3),IFERROR(DATE(VALUE(LEFT(INDEX('입력_구리근무자명단'!$A18:$ZZ18,1,$E$2+3),4)),VALUE(MID(INDEX('입력_구리근무자명단'!$A18:$ZZ18,1,$E$2+3),6,2)),VALUE(MID(INDEX('입력_구리근무자명단'!$A18:$ZZ18,1,$E$2+3),9,2))),-1))))</f>
        <v/>
      </c>
      <c r="U20">
        <f>IF($R20="","",IF(OR($S20&lt;0,$T20&lt;0),0,MAX(0,MIN($T20,EOMONTH(급여기준월,0))-MAX($S20,급여기준월)+1)))</f>
        <v/>
      </c>
      <c r="V20">
        <f>IF($R20="","",TRIM(INDEX('입력_구리근무자명단'!$A18:$ZZ18,1,$E$2+5)&amp;""))</f>
        <v/>
      </c>
      <c r="W20">
        <f>IF(ISNUMBER(SEARCH("구리독자",$V20)),"구리독자","")</f>
        <v/>
      </c>
      <c r="X20">
        <f>IF($R20="","",$R20&amp;"|"&amp;IF(OR($Q20="인턴",ISNUMBER(SEARCH("수련교육부",$P20))),"인턴",$P20))</f>
        <v/>
      </c>
      <c r="Y20">
        <f>IF($R20="","",IF(COUNTIF(명단표[이름|과],$X20)=1,"명단 일치",IF(AND(COUNTIF(명단표[이름|과],$X20)=0,COUNTIF(명단표[이름],$R20)=1),"명단 일치(이름만, 과 다름)",IF(COUNTIF(명단표[이름],$R20)=0,IF(COUNTIF(기본자료표[이름],$R20)&gt;0,"명단에 없음(기본자료에는 있음)","명단에 없음"),"동명이인 확인"))))</f>
        <v/>
      </c>
      <c r="Z20">
        <f>IF($R20="","",IF($S20&lt;0,"⚠"&amp;INDEX('입력_구리근무자명단'!$A18:$ZZ18,1,$E$2+2),TEXT($S20,"yyyy-mm-dd")))</f>
        <v/>
      </c>
      <c r="AA20">
        <f>IF($R20="","",IF($T20&lt;0,"⚠"&amp;INDEX('입력_구리근무자명단'!$A18:$ZZ18,1,$E$2+3),TEXT($T20,"yyyy-mm-dd")))</f>
        <v/>
      </c>
      <c r="AB20">
        <f>AB19+IF($R20="",0,1)</f>
        <v/>
      </c>
      <c r="AC20">
        <f>IF($R20="","",$AB20)</f>
        <v/>
      </c>
    </row>
    <row r="21">
      <c r="A21">
        <f>IFERROR(INDEX($O$6:$O$1505,MATCH(16,$AC$6:$AC$1505,0)),"")</f>
        <v/>
      </c>
      <c r="B21">
        <f>IF(ISNUMBER($A21),INDEX($P$6:$P$1505,$A21-3),"")</f>
        <v/>
      </c>
      <c r="C21">
        <f>IF(ISNUMBER($A21),INDEX($Q$6:$Q$1505,$A21-3),"")</f>
        <v/>
      </c>
      <c r="D21">
        <f>IF(ISNUMBER($A21),INDEX($R$6:$R$1505,$A21-3),"")</f>
        <v/>
      </c>
      <c r="E21">
        <f>IF(ISNUMBER($A21),$G$2,"")</f>
        <v/>
      </c>
      <c r="F21">
        <f>IF(ISNUMBER($A21),INDEX($Z$6:$Z$1505,$A21-3),"")</f>
        <v/>
      </c>
      <c r="G21">
        <f>IF(ISNUMBER($A21),INDEX($AA$6:$AA$1505,$A21-3),"")</f>
        <v/>
      </c>
      <c r="H21">
        <f>IF(ISNUMBER($A21),INDEX($U$6:$U$1505,$A21-3),"")</f>
        <v/>
      </c>
      <c r="I21">
        <f>IF(ISNUMBER($A21),INDEX($V$6:$V$1505,$A21-3),"")</f>
        <v/>
      </c>
      <c r="J21">
        <f>IF(ISNUMBER($A21),INDEX($W$6:$W$1505,$A21-3),"")</f>
        <v/>
      </c>
      <c r="K21">
        <f>IF(ISNUMBER($A21),INDEX($X$6:$X$1505,$A21-3),"")</f>
        <v/>
      </c>
      <c r="L21">
        <f>IF(ISNUMBER($A21),INDEX($Y$6:$Y$1505,$A21-3),"")</f>
        <v/>
      </c>
      <c r="O21">
        <f>19</f>
        <v/>
      </c>
      <c r="P21">
        <f>IF(TRIM('입력_구리근무자명단'!$A19&amp;"")&lt;&gt;"",TRIM('입력_구리근무자명단'!$A19&amp;""),P20)</f>
        <v/>
      </c>
      <c r="Q21">
        <f>'입력_구리근무자명단'!$B19&amp;""</f>
        <v/>
      </c>
      <c r="R21">
        <f>IF($E$2="","",TRIM(INDEX('입력_구리근무자명단'!$A19:$ZZ19,1,$E$2+IF($G$2="확정",1,0))&amp;""))</f>
        <v/>
      </c>
      <c r="S21">
        <f>IF($R21="","",IF(INDEX('입력_구리근무자명단'!$A19:$ZZ19,1,$E$2+2)&amp;""="",급여기준월,IF(ISNUMBER(INDEX('입력_구리근무자명단'!$A19:$ZZ19,1,$E$2+2)),INDEX('입력_구리근무자명단'!$A19:$ZZ19,1,$E$2+2),IFERROR(DATE(VALUE(LEFT(INDEX('입력_구리근무자명단'!$A19:$ZZ19,1,$E$2+2),4)),VALUE(MID(INDEX('입력_구리근무자명단'!$A19:$ZZ19,1,$E$2+2),6,2)),VALUE(MID(INDEX('입력_구리근무자명단'!$A19:$ZZ19,1,$E$2+2),9,2))),-1))))</f>
        <v/>
      </c>
      <c r="T21">
        <f>IF($R21="","",IF(INDEX('입력_구리근무자명단'!$A19:$ZZ19,1,$E$2+3)&amp;""="",EOMONTH(급여기준월,0),IF(ISNUMBER(INDEX('입력_구리근무자명단'!$A19:$ZZ19,1,$E$2+3)),INDEX('입력_구리근무자명단'!$A19:$ZZ19,1,$E$2+3),IFERROR(DATE(VALUE(LEFT(INDEX('입력_구리근무자명단'!$A19:$ZZ19,1,$E$2+3),4)),VALUE(MID(INDEX('입력_구리근무자명단'!$A19:$ZZ19,1,$E$2+3),6,2)),VALUE(MID(INDEX('입력_구리근무자명단'!$A19:$ZZ19,1,$E$2+3),9,2))),-1))))</f>
        <v/>
      </c>
      <c r="U21">
        <f>IF($R21="","",IF(OR($S21&lt;0,$T21&lt;0),0,MAX(0,MIN($T21,EOMONTH(급여기준월,0))-MAX($S21,급여기준월)+1)))</f>
        <v/>
      </c>
      <c r="V21">
        <f>IF($R21="","",TRIM(INDEX('입력_구리근무자명단'!$A19:$ZZ19,1,$E$2+5)&amp;""))</f>
        <v/>
      </c>
      <c r="W21">
        <f>IF(ISNUMBER(SEARCH("구리독자",$V21)),"구리독자","")</f>
        <v/>
      </c>
      <c r="X21">
        <f>IF($R21="","",$R21&amp;"|"&amp;IF(OR($Q21="인턴",ISNUMBER(SEARCH("수련교육부",$P21))),"인턴",$P21))</f>
        <v/>
      </c>
      <c r="Y21">
        <f>IF($R21="","",IF(COUNTIF(명단표[이름|과],$X21)=1,"명단 일치",IF(AND(COUNTIF(명단표[이름|과],$X21)=0,COUNTIF(명단표[이름],$R21)=1),"명단 일치(이름만, 과 다름)",IF(COUNTIF(명단표[이름],$R21)=0,IF(COUNTIF(기본자료표[이름],$R21)&gt;0,"명단에 없음(기본자료에는 있음)","명단에 없음"),"동명이인 확인"))))</f>
        <v/>
      </c>
      <c r="Z21">
        <f>IF($R21="","",IF($S21&lt;0,"⚠"&amp;INDEX('입력_구리근무자명단'!$A19:$ZZ19,1,$E$2+2),TEXT($S21,"yyyy-mm-dd")))</f>
        <v/>
      </c>
      <c r="AA21">
        <f>IF($R21="","",IF($T21&lt;0,"⚠"&amp;INDEX('입력_구리근무자명단'!$A19:$ZZ19,1,$E$2+3),TEXT($T21,"yyyy-mm-dd")))</f>
        <v/>
      </c>
      <c r="AB21">
        <f>AB20+IF($R21="",0,1)</f>
        <v/>
      </c>
      <c r="AC21">
        <f>IF($R21="","",$AB21)</f>
        <v/>
      </c>
    </row>
    <row r="22">
      <c r="A22">
        <f>IFERROR(INDEX($O$6:$O$1505,MATCH(17,$AC$6:$AC$1505,0)),"")</f>
        <v/>
      </c>
      <c r="B22">
        <f>IF(ISNUMBER($A22),INDEX($P$6:$P$1505,$A22-3),"")</f>
        <v/>
      </c>
      <c r="C22">
        <f>IF(ISNUMBER($A22),INDEX($Q$6:$Q$1505,$A22-3),"")</f>
        <v/>
      </c>
      <c r="D22">
        <f>IF(ISNUMBER($A22),INDEX($R$6:$R$1505,$A22-3),"")</f>
        <v/>
      </c>
      <c r="E22">
        <f>IF(ISNUMBER($A22),$G$2,"")</f>
        <v/>
      </c>
      <c r="F22">
        <f>IF(ISNUMBER($A22),INDEX($Z$6:$Z$1505,$A22-3),"")</f>
        <v/>
      </c>
      <c r="G22">
        <f>IF(ISNUMBER($A22),INDEX($AA$6:$AA$1505,$A22-3),"")</f>
        <v/>
      </c>
      <c r="H22">
        <f>IF(ISNUMBER($A22),INDEX($U$6:$U$1505,$A22-3),"")</f>
        <v/>
      </c>
      <c r="I22">
        <f>IF(ISNUMBER($A22),INDEX($V$6:$V$1505,$A22-3),"")</f>
        <v/>
      </c>
      <c r="J22">
        <f>IF(ISNUMBER($A22),INDEX($W$6:$W$1505,$A22-3),"")</f>
        <v/>
      </c>
      <c r="K22">
        <f>IF(ISNUMBER($A22),INDEX($X$6:$X$1505,$A22-3),"")</f>
        <v/>
      </c>
      <c r="L22">
        <f>IF(ISNUMBER($A22),INDEX($Y$6:$Y$1505,$A22-3),"")</f>
        <v/>
      </c>
      <c r="O22">
        <f>20</f>
        <v/>
      </c>
      <c r="P22">
        <f>IF(TRIM('입력_구리근무자명단'!$A20&amp;"")&lt;&gt;"",TRIM('입력_구리근무자명단'!$A20&amp;""),P21)</f>
        <v/>
      </c>
      <c r="Q22">
        <f>'입력_구리근무자명단'!$B20&amp;""</f>
        <v/>
      </c>
      <c r="R22">
        <f>IF($E$2="","",TRIM(INDEX('입력_구리근무자명단'!$A20:$ZZ20,1,$E$2+IF($G$2="확정",1,0))&amp;""))</f>
        <v/>
      </c>
      <c r="S22">
        <f>IF($R22="","",IF(INDEX('입력_구리근무자명단'!$A20:$ZZ20,1,$E$2+2)&amp;""="",급여기준월,IF(ISNUMBER(INDEX('입력_구리근무자명단'!$A20:$ZZ20,1,$E$2+2)),INDEX('입력_구리근무자명단'!$A20:$ZZ20,1,$E$2+2),IFERROR(DATE(VALUE(LEFT(INDEX('입력_구리근무자명단'!$A20:$ZZ20,1,$E$2+2),4)),VALUE(MID(INDEX('입력_구리근무자명단'!$A20:$ZZ20,1,$E$2+2),6,2)),VALUE(MID(INDEX('입력_구리근무자명단'!$A20:$ZZ20,1,$E$2+2),9,2))),-1))))</f>
        <v/>
      </c>
      <c r="T22">
        <f>IF($R22="","",IF(INDEX('입력_구리근무자명단'!$A20:$ZZ20,1,$E$2+3)&amp;""="",EOMONTH(급여기준월,0),IF(ISNUMBER(INDEX('입력_구리근무자명단'!$A20:$ZZ20,1,$E$2+3)),INDEX('입력_구리근무자명단'!$A20:$ZZ20,1,$E$2+3),IFERROR(DATE(VALUE(LEFT(INDEX('입력_구리근무자명단'!$A20:$ZZ20,1,$E$2+3),4)),VALUE(MID(INDEX('입력_구리근무자명단'!$A20:$ZZ20,1,$E$2+3),6,2)),VALUE(MID(INDEX('입력_구리근무자명단'!$A20:$ZZ20,1,$E$2+3),9,2))),-1))))</f>
        <v/>
      </c>
      <c r="U22">
        <f>IF($R22="","",IF(OR($S22&lt;0,$T22&lt;0),0,MAX(0,MIN($T22,EOMONTH(급여기준월,0))-MAX($S22,급여기준월)+1)))</f>
        <v/>
      </c>
      <c r="V22">
        <f>IF($R22="","",TRIM(INDEX('입력_구리근무자명단'!$A20:$ZZ20,1,$E$2+5)&amp;""))</f>
        <v/>
      </c>
      <c r="W22">
        <f>IF(ISNUMBER(SEARCH("구리독자",$V22)),"구리독자","")</f>
        <v/>
      </c>
      <c r="X22">
        <f>IF($R22="","",$R22&amp;"|"&amp;IF(OR($Q22="인턴",ISNUMBER(SEARCH("수련교육부",$P22))),"인턴",$P22))</f>
        <v/>
      </c>
      <c r="Y22">
        <f>IF($R22="","",IF(COUNTIF(명단표[이름|과],$X22)=1,"명단 일치",IF(AND(COUNTIF(명단표[이름|과],$X22)=0,COUNTIF(명단표[이름],$R22)=1),"명단 일치(이름만, 과 다름)",IF(COUNTIF(명단표[이름],$R22)=0,IF(COUNTIF(기본자료표[이름],$R22)&gt;0,"명단에 없음(기본자료에는 있음)","명단에 없음"),"동명이인 확인"))))</f>
        <v/>
      </c>
      <c r="Z22">
        <f>IF($R22="","",IF($S22&lt;0,"⚠"&amp;INDEX('입력_구리근무자명단'!$A20:$ZZ20,1,$E$2+2),TEXT($S22,"yyyy-mm-dd")))</f>
        <v/>
      </c>
      <c r="AA22">
        <f>IF($R22="","",IF($T22&lt;0,"⚠"&amp;INDEX('입력_구리근무자명단'!$A20:$ZZ20,1,$E$2+3),TEXT($T22,"yyyy-mm-dd")))</f>
        <v/>
      </c>
      <c r="AB22">
        <f>AB21+IF($R22="",0,1)</f>
        <v/>
      </c>
      <c r="AC22">
        <f>IF($R22="","",$AB22)</f>
        <v/>
      </c>
    </row>
    <row r="23">
      <c r="A23">
        <f>IFERROR(INDEX($O$6:$O$1505,MATCH(18,$AC$6:$AC$1505,0)),"")</f>
        <v/>
      </c>
      <c r="B23">
        <f>IF(ISNUMBER($A23),INDEX($P$6:$P$1505,$A23-3),"")</f>
        <v/>
      </c>
      <c r="C23">
        <f>IF(ISNUMBER($A23),INDEX($Q$6:$Q$1505,$A23-3),"")</f>
        <v/>
      </c>
      <c r="D23">
        <f>IF(ISNUMBER($A23),INDEX($R$6:$R$1505,$A23-3),"")</f>
        <v/>
      </c>
      <c r="E23">
        <f>IF(ISNUMBER($A23),$G$2,"")</f>
        <v/>
      </c>
      <c r="F23">
        <f>IF(ISNUMBER($A23),INDEX($Z$6:$Z$1505,$A23-3),"")</f>
        <v/>
      </c>
      <c r="G23">
        <f>IF(ISNUMBER($A23),INDEX($AA$6:$AA$1505,$A23-3),"")</f>
        <v/>
      </c>
      <c r="H23">
        <f>IF(ISNUMBER($A23),INDEX($U$6:$U$1505,$A23-3),"")</f>
        <v/>
      </c>
      <c r="I23">
        <f>IF(ISNUMBER($A23),INDEX($V$6:$V$1505,$A23-3),"")</f>
        <v/>
      </c>
      <c r="J23">
        <f>IF(ISNUMBER($A23),INDEX($W$6:$W$1505,$A23-3),"")</f>
        <v/>
      </c>
      <c r="K23">
        <f>IF(ISNUMBER($A23),INDEX($X$6:$X$1505,$A23-3),"")</f>
        <v/>
      </c>
      <c r="L23">
        <f>IF(ISNUMBER($A23),INDEX($Y$6:$Y$1505,$A23-3),"")</f>
        <v/>
      </c>
      <c r="O23">
        <f>21</f>
        <v/>
      </c>
      <c r="P23">
        <f>IF(TRIM('입력_구리근무자명단'!$A21&amp;"")&lt;&gt;"",TRIM('입력_구리근무자명단'!$A21&amp;""),P22)</f>
        <v/>
      </c>
      <c r="Q23">
        <f>'입력_구리근무자명단'!$B21&amp;""</f>
        <v/>
      </c>
      <c r="R23">
        <f>IF($E$2="","",TRIM(INDEX('입력_구리근무자명단'!$A21:$ZZ21,1,$E$2+IF($G$2="확정",1,0))&amp;""))</f>
        <v/>
      </c>
      <c r="S23">
        <f>IF($R23="","",IF(INDEX('입력_구리근무자명단'!$A21:$ZZ21,1,$E$2+2)&amp;""="",급여기준월,IF(ISNUMBER(INDEX('입력_구리근무자명단'!$A21:$ZZ21,1,$E$2+2)),INDEX('입력_구리근무자명단'!$A21:$ZZ21,1,$E$2+2),IFERROR(DATE(VALUE(LEFT(INDEX('입력_구리근무자명단'!$A21:$ZZ21,1,$E$2+2),4)),VALUE(MID(INDEX('입력_구리근무자명단'!$A21:$ZZ21,1,$E$2+2),6,2)),VALUE(MID(INDEX('입력_구리근무자명단'!$A21:$ZZ21,1,$E$2+2),9,2))),-1))))</f>
        <v/>
      </c>
      <c r="T23">
        <f>IF($R23="","",IF(INDEX('입력_구리근무자명단'!$A21:$ZZ21,1,$E$2+3)&amp;""="",EOMONTH(급여기준월,0),IF(ISNUMBER(INDEX('입력_구리근무자명단'!$A21:$ZZ21,1,$E$2+3)),INDEX('입력_구리근무자명단'!$A21:$ZZ21,1,$E$2+3),IFERROR(DATE(VALUE(LEFT(INDEX('입력_구리근무자명단'!$A21:$ZZ21,1,$E$2+3),4)),VALUE(MID(INDEX('입력_구리근무자명단'!$A21:$ZZ21,1,$E$2+3),6,2)),VALUE(MID(INDEX('입력_구리근무자명단'!$A21:$ZZ21,1,$E$2+3),9,2))),-1))))</f>
        <v/>
      </c>
      <c r="U23">
        <f>IF($R23="","",IF(OR($S23&lt;0,$T23&lt;0),0,MAX(0,MIN($T23,EOMONTH(급여기준월,0))-MAX($S23,급여기준월)+1)))</f>
        <v/>
      </c>
      <c r="V23">
        <f>IF($R23="","",TRIM(INDEX('입력_구리근무자명단'!$A21:$ZZ21,1,$E$2+5)&amp;""))</f>
        <v/>
      </c>
      <c r="W23">
        <f>IF(ISNUMBER(SEARCH("구리독자",$V23)),"구리독자","")</f>
        <v/>
      </c>
      <c r="X23">
        <f>IF($R23="","",$R23&amp;"|"&amp;IF(OR($Q23="인턴",ISNUMBER(SEARCH("수련교육부",$P23))),"인턴",$P23))</f>
        <v/>
      </c>
      <c r="Y23">
        <f>IF($R23="","",IF(COUNTIF(명단표[이름|과],$X23)=1,"명단 일치",IF(AND(COUNTIF(명단표[이름|과],$X23)=0,COUNTIF(명단표[이름],$R23)=1),"명단 일치(이름만, 과 다름)",IF(COUNTIF(명단표[이름],$R23)=0,IF(COUNTIF(기본자료표[이름],$R23)&gt;0,"명단에 없음(기본자료에는 있음)","명단에 없음"),"동명이인 확인"))))</f>
        <v/>
      </c>
      <c r="Z23">
        <f>IF($R23="","",IF($S23&lt;0,"⚠"&amp;INDEX('입력_구리근무자명단'!$A21:$ZZ21,1,$E$2+2),TEXT($S23,"yyyy-mm-dd")))</f>
        <v/>
      </c>
      <c r="AA23">
        <f>IF($R23="","",IF($T23&lt;0,"⚠"&amp;INDEX('입력_구리근무자명단'!$A21:$ZZ21,1,$E$2+3),TEXT($T23,"yyyy-mm-dd")))</f>
        <v/>
      </c>
      <c r="AB23">
        <f>AB22+IF($R23="",0,1)</f>
        <v/>
      </c>
      <c r="AC23">
        <f>IF($R23="","",$AB23)</f>
        <v/>
      </c>
    </row>
    <row r="24">
      <c r="A24">
        <f>IFERROR(INDEX($O$6:$O$1505,MATCH(19,$AC$6:$AC$1505,0)),"")</f>
        <v/>
      </c>
      <c r="B24">
        <f>IF(ISNUMBER($A24),INDEX($P$6:$P$1505,$A24-3),"")</f>
        <v/>
      </c>
      <c r="C24">
        <f>IF(ISNUMBER($A24),INDEX($Q$6:$Q$1505,$A24-3),"")</f>
        <v/>
      </c>
      <c r="D24">
        <f>IF(ISNUMBER($A24),INDEX($R$6:$R$1505,$A24-3),"")</f>
        <v/>
      </c>
      <c r="E24">
        <f>IF(ISNUMBER($A24),$G$2,"")</f>
        <v/>
      </c>
      <c r="F24">
        <f>IF(ISNUMBER($A24),INDEX($Z$6:$Z$1505,$A24-3),"")</f>
        <v/>
      </c>
      <c r="G24">
        <f>IF(ISNUMBER($A24),INDEX($AA$6:$AA$1505,$A24-3),"")</f>
        <v/>
      </c>
      <c r="H24">
        <f>IF(ISNUMBER($A24),INDEX($U$6:$U$1505,$A24-3),"")</f>
        <v/>
      </c>
      <c r="I24">
        <f>IF(ISNUMBER($A24),INDEX($V$6:$V$1505,$A24-3),"")</f>
        <v/>
      </c>
      <c r="J24">
        <f>IF(ISNUMBER($A24),INDEX($W$6:$W$1505,$A24-3),"")</f>
        <v/>
      </c>
      <c r="K24">
        <f>IF(ISNUMBER($A24),INDEX($X$6:$X$1505,$A24-3),"")</f>
        <v/>
      </c>
      <c r="L24">
        <f>IF(ISNUMBER($A24),INDEX($Y$6:$Y$1505,$A24-3),"")</f>
        <v/>
      </c>
      <c r="O24">
        <f>22</f>
        <v/>
      </c>
      <c r="P24">
        <f>IF(TRIM('입력_구리근무자명단'!$A22&amp;"")&lt;&gt;"",TRIM('입력_구리근무자명단'!$A22&amp;""),P23)</f>
        <v/>
      </c>
      <c r="Q24">
        <f>'입력_구리근무자명단'!$B22&amp;""</f>
        <v/>
      </c>
      <c r="R24">
        <f>IF($E$2="","",TRIM(INDEX('입력_구리근무자명단'!$A22:$ZZ22,1,$E$2+IF($G$2="확정",1,0))&amp;""))</f>
        <v/>
      </c>
      <c r="S24">
        <f>IF($R24="","",IF(INDEX('입력_구리근무자명단'!$A22:$ZZ22,1,$E$2+2)&amp;""="",급여기준월,IF(ISNUMBER(INDEX('입력_구리근무자명단'!$A22:$ZZ22,1,$E$2+2)),INDEX('입력_구리근무자명단'!$A22:$ZZ22,1,$E$2+2),IFERROR(DATE(VALUE(LEFT(INDEX('입력_구리근무자명단'!$A22:$ZZ22,1,$E$2+2),4)),VALUE(MID(INDEX('입력_구리근무자명단'!$A22:$ZZ22,1,$E$2+2),6,2)),VALUE(MID(INDEX('입력_구리근무자명단'!$A22:$ZZ22,1,$E$2+2),9,2))),-1))))</f>
        <v/>
      </c>
      <c r="T24">
        <f>IF($R24="","",IF(INDEX('입력_구리근무자명단'!$A22:$ZZ22,1,$E$2+3)&amp;""="",EOMONTH(급여기준월,0),IF(ISNUMBER(INDEX('입력_구리근무자명단'!$A22:$ZZ22,1,$E$2+3)),INDEX('입력_구리근무자명단'!$A22:$ZZ22,1,$E$2+3),IFERROR(DATE(VALUE(LEFT(INDEX('입력_구리근무자명단'!$A22:$ZZ22,1,$E$2+3),4)),VALUE(MID(INDEX('입력_구리근무자명단'!$A22:$ZZ22,1,$E$2+3),6,2)),VALUE(MID(INDEX('입력_구리근무자명단'!$A22:$ZZ22,1,$E$2+3),9,2))),-1))))</f>
        <v/>
      </c>
      <c r="U24">
        <f>IF($R24="","",IF(OR($S24&lt;0,$T24&lt;0),0,MAX(0,MIN($T24,EOMONTH(급여기준월,0))-MAX($S24,급여기준월)+1)))</f>
        <v/>
      </c>
      <c r="V24">
        <f>IF($R24="","",TRIM(INDEX('입력_구리근무자명단'!$A22:$ZZ22,1,$E$2+5)&amp;""))</f>
        <v/>
      </c>
      <c r="W24">
        <f>IF(ISNUMBER(SEARCH("구리독자",$V24)),"구리독자","")</f>
        <v/>
      </c>
      <c r="X24">
        <f>IF($R24="","",$R24&amp;"|"&amp;IF(OR($Q24="인턴",ISNUMBER(SEARCH("수련교육부",$P24))),"인턴",$P24))</f>
        <v/>
      </c>
      <c r="Y24">
        <f>IF($R24="","",IF(COUNTIF(명단표[이름|과],$X24)=1,"명단 일치",IF(AND(COUNTIF(명단표[이름|과],$X24)=0,COUNTIF(명단표[이름],$R24)=1),"명단 일치(이름만, 과 다름)",IF(COUNTIF(명단표[이름],$R24)=0,IF(COUNTIF(기본자료표[이름],$R24)&gt;0,"명단에 없음(기본자료에는 있음)","명단에 없음"),"동명이인 확인"))))</f>
        <v/>
      </c>
      <c r="Z24">
        <f>IF($R24="","",IF($S24&lt;0,"⚠"&amp;INDEX('입력_구리근무자명단'!$A22:$ZZ22,1,$E$2+2),TEXT($S24,"yyyy-mm-dd")))</f>
        <v/>
      </c>
      <c r="AA24">
        <f>IF($R24="","",IF($T24&lt;0,"⚠"&amp;INDEX('입력_구리근무자명단'!$A22:$ZZ22,1,$E$2+3),TEXT($T24,"yyyy-mm-dd")))</f>
        <v/>
      </c>
      <c r="AB24">
        <f>AB23+IF($R24="",0,1)</f>
        <v/>
      </c>
      <c r="AC24">
        <f>IF($R24="","",$AB24)</f>
        <v/>
      </c>
    </row>
    <row r="25">
      <c r="A25">
        <f>IFERROR(INDEX($O$6:$O$1505,MATCH(20,$AC$6:$AC$1505,0)),"")</f>
        <v/>
      </c>
      <c r="B25">
        <f>IF(ISNUMBER($A25),INDEX($P$6:$P$1505,$A25-3),"")</f>
        <v/>
      </c>
      <c r="C25">
        <f>IF(ISNUMBER($A25),INDEX($Q$6:$Q$1505,$A25-3),"")</f>
        <v/>
      </c>
      <c r="D25">
        <f>IF(ISNUMBER($A25),INDEX($R$6:$R$1505,$A25-3),"")</f>
        <v/>
      </c>
      <c r="E25">
        <f>IF(ISNUMBER($A25),$G$2,"")</f>
        <v/>
      </c>
      <c r="F25">
        <f>IF(ISNUMBER($A25),INDEX($Z$6:$Z$1505,$A25-3),"")</f>
        <v/>
      </c>
      <c r="G25">
        <f>IF(ISNUMBER($A25),INDEX($AA$6:$AA$1505,$A25-3),"")</f>
        <v/>
      </c>
      <c r="H25">
        <f>IF(ISNUMBER($A25),INDEX($U$6:$U$1505,$A25-3),"")</f>
        <v/>
      </c>
      <c r="I25">
        <f>IF(ISNUMBER($A25),INDEX($V$6:$V$1505,$A25-3),"")</f>
        <v/>
      </c>
      <c r="J25">
        <f>IF(ISNUMBER($A25),INDEX($W$6:$W$1505,$A25-3),"")</f>
        <v/>
      </c>
      <c r="K25">
        <f>IF(ISNUMBER($A25),INDEX($X$6:$X$1505,$A25-3),"")</f>
        <v/>
      </c>
      <c r="L25">
        <f>IF(ISNUMBER($A25),INDEX($Y$6:$Y$1505,$A25-3),"")</f>
        <v/>
      </c>
      <c r="O25">
        <f>23</f>
        <v/>
      </c>
      <c r="P25">
        <f>IF(TRIM('입력_구리근무자명단'!$A23&amp;"")&lt;&gt;"",TRIM('입력_구리근무자명단'!$A23&amp;""),P24)</f>
        <v/>
      </c>
      <c r="Q25">
        <f>'입력_구리근무자명단'!$B23&amp;""</f>
        <v/>
      </c>
      <c r="R25">
        <f>IF($E$2="","",TRIM(INDEX('입력_구리근무자명단'!$A23:$ZZ23,1,$E$2+IF($G$2="확정",1,0))&amp;""))</f>
        <v/>
      </c>
      <c r="S25">
        <f>IF($R25="","",IF(INDEX('입력_구리근무자명단'!$A23:$ZZ23,1,$E$2+2)&amp;""="",급여기준월,IF(ISNUMBER(INDEX('입력_구리근무자명단'!$A23:$ZZ23,1,$E$2+2)),INDEX('입력_구리근무자명단'!$A23:$ZZ23,1,$E$2+2),IFERROR(DATE(VALUE(LEFT(INDEX('입력_구리근무자명단'!$A23:$ZZ23,1,$E$2+2),4)),VALUE(MID(INDEX('입력_구리근무자명단'!$A23:$ZZ23,1,$E$2+2),6,2)),VALUE(MID(INDEX('입력_구리근무자명단'!$A23:$ZZ23,1,$E$2+2),9,2))),-1))))</f>
        <v/>
      </c>
      <c r="T25">
        <f>IF($R25="","",IF(INDEX('입력_구리근무자명단'!$A23:$ZZ23,1,$E$2+3)&amp;""="",EOMONTH(급여기준월,0),IF(ISNUMBER(INDEX('입력_구리근무자명단'!$A23:$ZZ23,1,$E$2+3)),INDEX('입력_구리근무자명단'!$A23:$ZZ23,1,$E$2+3),IFERROR(DATE(VALUE(LEFT(INDEX('입력_구리근무자명단'!$A23:$ZZ23,1,$E$2+3),4)),VALUE(MID(INDEX('입력_구리근무자명단'!$A23:$ZZ23,1,$E$2+3),6,2)),VALUE(MID(INDEX('입력_구리근무자명단'!$A23:$ZZ23,1,$E$2+3),9,2))),-1))))</f>
        <v/>
      </c>
      <c r="U25">
        <f>IF($R25="","",IF(OR($S25&lt;0,$T25&lt;0),0,MAX(0,MIN($T25,EOMONTH(급여기준월,0))-MAX($S25,급여기준월)+1)))</f>
        <v/>
      </c>
      <c r="V25">
        <f>IF($R25="","",TRIM(INDEX('입력_구리근무자명단'!$A23:$ZZ23,1,$E$2+5)&amp;""))</f>
        <v/>
      </c>
      <c r="W25">
        <f>IF(ISNUMBER(SEARCH("구리독자",$V25)),"구리독자","")</f>
        <v/>
      </c>
      <c r="X25">
        <f>IF($R25="","",$R25&amp;"|"&amp;IF(OR($Q25="인턴",ISNUMBER(SEARCH("수련교육부",$P25))),"인턴",$P25))</f>
        <v/>
      </c>
      <c r="Y25">
        <f>IF($R25="","",IF(COUNTIF(명단표[이름|과],$X25)=1,"명단 일치",IF(AND(COUNTIF(명단표[이름|과],$X25)=0,COUNTIF(명단표[이름],$R25)=1),"명단 일치(이름만, 과 다름)",IF(COUNTIF(명단표[이름],$R25)=0,IF(COUNTIF(기본자료표[이름],$R25)&gt;0,"명단에 없음(기본자료에는 있음)","명단에 없음"),"동명이인 확인"))))</f>
        <v/>
      </c>
      <c r="Z25">
        <f>IF($R25="","",IF($S25&lt;0,"⚠"&amp;INDEX('입력_구리근무자명단'!$A23:$ZZ23,1,$E$2+2),TEXT($S25,"yyyy-mm-dd")))</f>
        <v/>
      </c>
      <c r="AA25">
        <f>IF($R25="","",IF($T25&lt;0,"⚠"&amp;INDEX('입력_구리근무자명단'!$A23:$ZZ23,1,$E$2+3),TEXT($T25,"yyyy-mm-dd")))</f>
        <v/>
      </c>
      <c r="AB25">
        <f>AB24+IF($R25="",0,1)</f>
        <v/>
      </c>
      <c r="AC25">
        <f>IF($R25="","",$AB25)</f>
        <v/>
      </c>
    </row>
    <row r="26">
      <c r="A26">
        <f>IFERROR(INDEX($O$6:$O$1505,MATCH(21,$AC$6:$AC$1505,0)),"")</f>
        <v/>
      </c>
      <c r="B26">
        <f>IF(ISNUMBER($A26),INDEX($P$6:$P$1505,$A26-3),"")</f>
        <v/>
      </c>
      <c r="C26">
        <f>IF(ISNUMBER($A26),INDEX($Q$6:$Q$1505,$A26-3),"")</f>
        <v/>
      </c>
      <c r="D26">
        <f>IF(ISNUMBER($A26),INDEX($R$6:$R$1505,$A26-3),"")</f>
        <v/>
      </c>
      <c r="E26">
        <f>IF(ISNUMBER($A26),$G$2,"")</f>
        <v/>
      </c>
      <c r="F26">
        <f>IF(ISNUMBER($A26),INDEX($Z$6:$Z$1505,$A26-3),"")</f>
        <v/>
      </c>
      <c r="G26">
        <f>IF(ISNUMBER($A26),INDEX($AA$6:$AA$1505,$A26-3),"")</f>
        <v/>
      </c>
      <c r="H26">
        <f>IF(ISNUMBER($A26),INDEX($U$6:$U$1505,$A26-3),"")</f>
        <v/>
      </c>
      <c r="I26">
        <f>IF(ISNUMBER($A26),INDEX($V$6:$V$1505,$A26-3),"")</f>
        <v/>
      </c>
      <c r="J26">
        <f>IF(ISNUMBER($A26),INDEX($W$6:$W$1505,$A26-3),"")</f>
        <v/>
      </c>
      <c r="K26">
        <f>IF(ISNUMBER($A26),INDEX($X$6:$X$1505,$A26-3),"")</f>
        <v/>
      </c>
      <c r="L26">
        <f>IF(ISNUMBER($A26),INDEX($Y$6:$Y$1505,$A26-3),"")</f>
        <v/>
      </c>
      <c r="O26">
        <f>24</f>
        <v/>
      </c>
      <c r="P26">
        <f>IF(TRIM('입력_구리근무자명단'!$A24&amp;"")&lt;&gt;"",TRIM('입력_구리근무자명단'!$A24&amp;""),P25)</f>
        <v/>
      </c>
      <c r="Q26">
        <f>'입력_구리근무자명단'!$B24&amp;""</f>
        <v/>
      </c>
      <c r="R26">
        <f>IF($E$2="","",TRIM(INDEX('입력_구리근무자명단'!$A24:$ZZ24,1,$E$2+IF($G$2="확정",1,0))&amp;""))</f>
        <v/>
      </c>
      <c r="S26">
        <f>IF($R26="","",IF(INDEX('입력_구리근무자명단'!$A24:$ZZ24,1,$E$2+2)&amp;""="",급여기준월,IF(ISNUMBER(INDEX('입력_구리근무자명단'!$A24:$ZZ24,1,$E$2+2)),INDEX('입력_구리근무자명단'!$A24:$ZZ24,1,$E$2+2),IFERROR(DATE(VALUE(LEFT(INDEX('입력_구리근무자명단'!$A24:$ZZ24,1,$E$2+2),4)),VALUE(MID(INDEX('입력_구리근무자명단'!$A24:$ZZ24,1,$E$2+2),6,2)),VALUE(MID(INDEX('입력_구리근무자명단'!$A24:$ZZ24,1,$E$2+2),9,2))),-1))))</f>
        <v/>
      </c>
      <c r="T26">
        <f>IF($R26="","",IF(INDEX('입력_구리근무자명단'!$A24:$ZZ24,1,$E$2+3)&amp;""="",EOMONTH(급여기준월,0),IF(ISNUMBER(INDEX('입력_구리근무자명단'!$A24:$ZZ24,1,$E$2+3)),INDEX('입력_구리근무자명단'!$A24:$ZZ24,1,$E$2+3),IFERROR(DATE(VALUE(LEFT(INDEX('입력_구리근무자명단'!$A24:$ZZ24,1,$E$2+3),4)),VALUE(MID(INDEX('입력_구리근무자명단'!$A24:$ZZ24,1,$E$2+3),6,2)),VALUE(MID(INDEX('입력_구리근무자명단'!$A24:$ZZ24,1,$E$2+3),9,2))),-1))))</f>
        <v/>
      </c>
      <c r="U26">
        <f>IF($R26="","",IF(OR($S26&lt;0,$T26&lt;0),0,MAX(0,MIN($T26,EOMONTH(급여기준월,0))-MAX($S26,급여기준월)+1)))</f>
        <v/>
      </c>
      <c r="V26">
        <f>IF($R26="","",TRIM(INDEX('입력_구리근무자명단'!$A24:$ZZ24,1,$E$2+5)&amp;""))</f>
        <v/>
      </c>
      <c r="W26">
        <f>IF(ISNUMBER(SEARCH("구리독자",$V26)),"구리독자","")</f>
        <v/>
      </c>
      <c r="X26">
        <f>IF($R26="","",$R26&amp;"|"&amp;IF(OR($Q26="인턴",ISNUMBER(SEARCH("수련교육부",$P26))),"인턴",$P26))</f>
        <v/>
      </c>
      <c r="Y26">
        <f>IF($R26="","",IF(COUNTIF(명단표[이름|과],$X26)=1,"명단 일치",IF(AND(COUNTIF(명단표[이름|과],$X26)=0,COUNTIF(명단표[이름],$R26)=1),"명단 일치(이름만, 과 다름)",IF(COUNTIF(명단표[이름],$R26)=0,IF(COUNTIF(기본자료표[이름],$R26)&gt;0,"명단에 없음(기본자료에는 있음)","명단에 없음"),"동명이인 확인"))))</f>
        <v/>
      </c>
      <c r="Z26">
        <f>IF($R26="","",IF($S26&lt;0,"⚠"&amp;INDEX('입력_구리근무자명단'!$A24:$ZZ24,1,$E$2+2),TEXT($S26,"yyyy-mm-dd")))</f>
        <v/>
      </c>
      <c r="AA26">
        <f>IF($R26="","",IF($T26&lt;0,"⚠"&amp;INDEX('입력_구리근무자명단'!$A24:$ZZ24,1,$E$2+3),TEXT($T26,"yyyy-mm-dd")))</f>
        <v/>
      </c>
      <c r="AB26">
        <f>AB25+IF($R26="",0,1)</f>
        <v/>
      </c>
      <c r="AC26">
        <f>IF($R26="","",$AB26)</f>
        <v/>
      </c>
    </row>
    <row r="27">
      <c r="A27">
        <f>IFERROR(INDEX($O$6:$O$1505,MATCH(22,$AC$6:$AC$1505,0)),"")</f>
        <v/>
      </c>
      <c r="B27">
        <f>IF(ISNUMBER($A27),INDEX($P$6:$P$1505,$A27-3),"")</f>
        <v/>
      </c>
      <c r="C27">
        <f>IF(ISNUMBER($A27),INDEX($Q$6:$Q$1505,$A27-3),"")</f>
        <v/>
      </c>
      <c r="D27">
        <f>IF(ISNUMBER($A27),INDEX($R$6:$R$1505,$A27-3),"")</f>
        <v/>
      </c>
      <c r="E27">
        <f>IF(ISNUMBER($A27),$G$2,"")</f>
        <v/>
      </c>
      <c r="F27">
        <f>IF(ISNUMBER($A27),INDEX($Z$6:$Z$1505,$A27-3),"")</f>
        <v/>
      </c>
      <c r="G27">
        <f>IF(ISNUMBER($A27),INDEX($AA$6:$AA$1505,$A27-3),"")</f>
        <v/>
      </c>
      <c r="H27">
        <f>IF(ISNUMBER($A27),INDEX($U$6:$U$1505,$A27-3),"")</f>
        <v/>
      </c>
      <c r="I27">
        <f>IF(ISNUMBER($A27),INDEX($V$6:$V$1505,$A27-3),"")</f>
        <v/>
      </c>
      <c r="J27">
        <f>IF(ISNUMBER($A27),INDEX($W$6:$W$1505,$A27-3),"")</f>
        <v/>
      </c>
      <c r="K27">
        <f>IF(ISNUMBER($A27),INDEX($X$6:$X$1505,$A27-3),"")</f>
        <v/>
      </c>
      <c r="L27">
        <f>IF(ISNUMBER($A27),INDEX($Y$6:$Y$1505,$A27-3),"")</f>
        <v/>
      </c>
      <c r="O27">
        <f>25</f>
        <v/>
      </c>
      <c r="P27">
        <f>IF(TRIM('입력_구리근무자명단'!$A25&amp;"")&lt;&gt;"",TRIM('입력_구리근무자명단'!$A25&amp;""),P26)</f>
        <v/>
      </c>
      <c r="Q27">
        <f>'입력_구리근무자명단'!$B25&amp;""</f>
        <v/>
      </c>
      <c r="R27">
        <f>IF($E$2="","",TRIM(INDEX('입력_구리근무자명단'!$A25:$ZZ25,1,$E$2+IF($G$2="확정",1,0))&amp;""))</f>
        <v/>
      </c>
      <c r="S27">
        <f>IF($R27="","",IF(INDEX('입력_구리근무자명단'!$A25:$ZZ25,1,$E$2+2)&amp;""="",급여기준월,IF(ISNUMBER(INDEX('입력_구리근무자명단'!$A25:$ZZ25,1,$E$2+2)),INDEX('입력_구리근무자명단'!$A25:$ZZ25,1,$E$2+2),IFERROR(DATE(VALUE(LEFT(INDEX('입력_구리근무자명단'!$A25:$ZZ25,1,$E$2+2),4)),VALUE(MID(INDEX('입력_구리근무자명단'!$A25:$ZZ25,1,$E$2+2),6,2)),VALUE(MID(INDEX('입력_구리근무자명단'!$A25:$ZZ25,1,$E$2+2),9,2))),-1))))</f>
        <v/>
      </c>
      <c r="T27">
        <f>IF($R27="","",IF(INDEX('입력_구리근무자명단'!$A25:$ZZ25,1,$E$2+3)&amp;""="",EOMONTH(급여기준월,0),IF(ISNUMBER(INDEX('입력_구리근무자명단'!$A25:$ZZ25,1,$E$2+3)),INDEX('입력_구리근무자명단'!$A25:$ZZ25,1,$E$2+3),IFERROR(DATE(VALUE(LEFT(INDEX('입력_구리근무자명단'!$A25:$ZZ25,1,$E$2+3),4)),VALUE(MID(INDEX('입력_구리근무자명단'!$A25:$ZZ25,1,$E$2+3),6,2)),VALUE(MID(INDEX('입력_구리근무자명단'!$A25:$ZZ25,1,$E$2+3),9,2))),-1))))</f>
        <v/>
      </c>
      <c r="U27">
        <f>IF($R27="","",IF(OR($S27&lt;0,$T27&lt;0),0,MAX(0,MIN($T27,EOMONTH(급여기준월,0))-MAX($S27,급여기준월)+1)))</f>
        <v/>
      </c>
      <c r="V27">
        <f>IF($R27="","",TRIM(INDEX('입력_구리근무자명단'!$A25:$ZZ25,1,$E$2+5)&amp;""))</f>
        <v/>
      </c>
      <c r="W27">
        <f>IF(ISNUMBER(SEARCH("구리독자",$V27)),"구리독자","")</f>
        <v/>
      </c>
      <c r="X27">
        <f>IF($R27="","",$R27&amp;"|"&amp;IF(OR($Q27="인턴",ISNUMBER(SEARCH("수련교육부",$P27))),"인턴",$P27))</f>
        <v/>
      </c>
      <c r="Y27">
        <f>IF($R27="","",IF(COUNTIF(명단표[이름|과],$X27)=1,"명단 일치",IF(AND(COUNTIF(명단표[이름|과],$X27)=0,COUNTIF(명단표[이름],$R27)=1),"명단 일치(이름만, 과 다름)",IF(COUNTIF(명단표[이름],$R27)=0,IF(COUNTIF(기본자료표[이름],$R27)&gt;0,"명단에 없음(기본자료에는 있음)","명단에 없음"),"동명이인 확인"))))</f>
        <v/>
      </c>
      <c r="Z27">
        <f>IF($R27="","",IF($S27&lt;0,"⚠"&amp;INDEX('입력_구리근무자명단'!$A25:$ZZ25,1,$E$2+2),TEXT($S27,"yyyy-mm-dd")))</f>
        <v/>
      </c>
      <c r="AA27">
        <f>IF($R27="","",IF($T27&lt;0,"⚠"&amp;INDEX('입력_구리근무자명단'!$A25:$ZZ25,1,$E$2+3),TEXT($T27,"yyyy-mm-dd")))</f>
        <v/>
      </c>
      <c r="AB27">
        <f>AB26+IF($R27="",0,1)</f>
        <v/>
      </c>
      <c r="AC27">
        <f>IF($R27="","",$AB27)</f>
        <v/>
      </c>
    </row>
    <row r="28">
      <c r="A28">
        <f>IFERROR(INDEX($O$6:$O$1505,MATCH(23,$AC$6:$AC$1505,0)),"")</f>
        <v/>
      </c>
      <c r="B28">
        <f>IF(ISNUMBER($A28),INDEX($P$6:$P$1505,$A28-3),"")</f>
        <v/>
      </c>
      <c r="C28">
        <f>IF(ISNUMBER($A28),INDEX($Q$6:$Q$1505,$A28-3),"")</f>
        <v/>
      </c>
      <c r="D28">
        <f>IF(ISNUMBER($A28),INDEX($R$6:$R$1505,$A28-3),"")</f>
        <v/>
      </c>
      <c r="E28">
        <f>IF(ISNUMBER($A28),$G$2,"")</f>
        <v/>
      </c>
      <c r="F28">
        <f>IF(ISNUMBER($A28),INDEX($Z$6:$Z$1505,$A28-3),"")</f>
        <v/>
      </c>
      <c r="G28">
        <f>IF(ISNUMBER($A28),INDEX($AA$6:$AA$1505,$A28-3),"")</f>
        <v/>
      </c>
      <c r="H28">
        <f>IF(ISNUMBER($A28),INDEX($U$6:$U$1505,$A28-3),"")</f>
        <v/>
      </c>
      <c r="I28">
        <f>IF(ISNUMBER($A28),INDEX($V$6:$V$1505,$A28-3),"")</f>
        <v/>
      </c>
      <c r="J28">
        <f>IF(ISNUMBER($A28),INDEX($W$6:$W$1505,$A28-3),"")</f>
        <v/>
      </c>
      <c r="K28">
        <f>IF(ISNUMBER($A28),INDEX($X$6:$X$1505,$A28-3),"")</f>
        <v/>
      </c>
      <c r="L28">
        <f>IF(ISNUMBER($A28),INDEX($Y$6:$Y$1505,$A28-3),"")</f>
        <v/>
      </c>
      <c r="O28">
        <f>26</f>
        <v/>
      </c>
      <c r="P28">
        <f>IF(TRIM('입력_구리근무자명단'!$A26&amp;"")&lt;&gt;"",TRIM('입력_구리근무자명단'!$A26&amp;""),P27)</f>
        <v/>
      </c>
      <c r="Q28">
        <f>'입력_구리근무자명단'!$B26&amp;""</f>
        <v/>
      </c>
      <c r="R28">
        <f>IF($E$2="","",TRIM(INDEX('입력_구리근무자명단'!$A26:$ZZ26,1,$E$2+IF($G$2="확정",1,0))&amp;""))</f>
        <v/>
      </c>
      <c r="S28">
        <f>IF($R28="","",IF(INDEX('입력_구리근무자명단'!$A26:$ZZ26,1,$E$2+2)&amp;""="",급여기준월,IF(ISNUMBER(INDEX('입력_구리근무자명단'!$A26:$ZZ26,1,$E$2+2)),INDEX('입력_구리근무자명단'!$A26:$ZZ26,1,$E$2+2),IFERROR(DATE(VALUE(LEFT(INDEX('입력_구리근무자명단'!$A26:$ZZ26,1,$E$2+2),4)),VALUE(MID(INDEX('입력_구리근무자명단'!$A26:$ZZ26,1,$E$2+2),6,2)),VALUE(MID(INDEX('입력_구리근무자명단'!$A26:$ZZ26,1,$E$2+2),9,2))),-1))))</f>
        <v/>
      </c>
      <c r="T28">
        <f>IF($R28="","",IF(INDEX('입력_구리근무자명단'!$A26:$ZZ26,1,$E$2+3)&amp;""="",EOMONTH(급여기준월,0),IF(ISNUMBER(INDEX('입력_구리근무자명단'!$A26:$ZZ26,1,$E$2+3)),INDEX('입력_구리근무자명단'!$A26:$ZZ26,1,$E$2+3),IFERROR(DATE(VALUE(LEFT(INDEX('입력_구리근무자명단'!$A26:$ZZ26,1,$E$2+3),4)),VALUE(MID(INDEX('입력_구리근무자명단'!$A26:$ZZ26,1,$E$2+3),6,2)),VALUE(MID(INDEX('입력_구리근무자명단'!$A26:$ZZ26,1,$E$2+3),9,2))),-1))))</f>
        <v/>
      </c>
      <c r="U28">
        <f>IF($R28="","",IF(OR($S28&lt;0,$T28&lt;0),0,MAX(0,MIN($T28,EOMONTH(급여기준월,0))-MAX($S28,급여기준월)+1)))</f>
        <v/>
      </c>
      <c r="V28">
        <f>IF($R28="","",TRIM(INDEX('입력_구리근무자명단'!$A26:$ZZ26,1,$E$2+5)&amp;""))</f>
        <v/>
      </c>
      <c r="W28">
        <f>IF(ISNUMBER(SEARCH("구리독자",$V28)),"구리독자","")</f>
        <v/>
      </c>
      <c r="X28">
        <f>IF($R28="","",$R28&amp;"|"&amp;IF(OR($Q28="인턴",ISNUMBER(SEARCH("수련교육부",$P28))),"인턴",$P28))</f>
        <v/>
      </c>
      <c r="Y28">
        <f>IF($R28="","",IF(COUNTIF(명단표[이름|과],$X28)=1,"명단 일치",IF(AND(COUNTIF(명단표[이름|과],$X28)=0,COUNTIF(명단표[이름],$R28)=1),"명단 일치(이름만, 과 다름)",IF(COUNTIF(명단표[이름],$R28)=0,IF(COUNTIF(기본자료표[이름],$R28)&gt;0,"명단에 없음(기본자료에는 있음)","명단에 없음"),"동명이인 확인"))))</f>
        <v/>
      </c>
      <c r="Z28">
        <f>IF($R28="","",IF($S28&lt;0,"⚠"&amp;INDEX('입력_구리근무자명단'!$A26:$ZZ26,1,$E$2+2),TEXT($S28,"yyyy-mm-dd")))</f>
        <v/>
      </c>
      <c r="AA28">
        <f>IF($R28="","",IF($T28&lt;0,"⚠"&amp;INDEX('입력_구리근무자명단'!$A26:$ZZ26,1,$E$2+3),TEXT($T28,"yyyy-mm-dd")))</f>
        <v/>
      </c>
      <c r="AB28">
        <f>AB27+IF($R28="",0,1)</f>
        <v/>
      </c>
      <c r="AC28">
        <f>IF($R28="","",$AB28)</f>
        <v/>
      </c>
    </row>
    <row r="29">
      <c r="A29">
        <f>IFERROR(INDEX($O$6:$O$1505,MATCH(24,$AC$6:$AC$1505,0)),"")</f>
        <v/>
      </c>
      <c r="B29">
        <f>IF(ISNUMBER($A29),INDEX($P$6:$P$1505,$A29-3),"")</f>
        <v/>
      </c>
      <c r="C29">
        <f>IF(ISNUMBER($A29),INDEX($Q$6:$Q$1505,$A29-3),"")</f>
        <v/>
      </c>
      <c r="D29">
        <f>IF(ISNUMBER($A29),INDEX($R$6:$R$1505,$A29-3),"")</f>
        <v/>
      </c>
      <c r="E29">
        <f>IF(ISNUMBER($A29),$G$2,"")</f>
        <v/>
      </c>
      <c r="F29">
        <f>IF(ISNUMBER($A29),INDEX($Z$6:$Z$1505,$A29-3),"")</f>
        <v/>
      </c>
      <c r="G29">
        <f>IF(ISNUMBER($A29),INDEX($AA$6:$AA$1505,$A29-3),"")</f>
        <v/>
      </c>
      <c r="H29">
        <f>IF(ISNUMBER($A29),INDEX($U$6:$U$1505,$A29-3),"")</f>
        <v/>
      </c>
      <c r="I29">
        <f>IF(ISNUMBER($A29),INDEX($V$6:$V$1505,$A29-3),"")</f>
        <v/>
      </c>
      <c r="J29">
        <f>IF(ISNUMBER($A29),INDEX($W$6:$W$1505,$A29-3),"")</f>
        <v/>
      </c>
      <c r="K29">
        <f>IF(ISNUMBER($A29),INDEX($X$6:$X$1505,$A29-3),"")</f>
        <v/>
      </c>
      <c r="L29">
        <f>IF(ISNUMBER($A29),INDEX($Y$6:$Y$1505,$A29-3),"")</f>
        <v/>
      </c>
      <c r="O29">
        <f>27</f>
        <v/>
      </c>
      <c r="P29">
        <f>IF(TRIM('입력_구리근무자명단'!$A27&amp;"")&lt;&gt;"",TRIM('입력_구리근무자명단'!$A27&amp;""),P28)</f>
        <v/>
      </c>
      <c r="Q29">
        <f>'입력_구리근무자명단'!$B27&amp;""</f>
        <v/>
      </c>
      <c r="R29">
        <f>IF($E$2="","",TRIM(INDEX('입력_구리근무자명단'!$A27:$ZZ27,1,$E$2+IF($G$2="확정",1,0))&amp;""))</f>
        <v/>
      </c>
      <c r="S29">
        <f>IF($R29="","",IF(INDEX('입력_구리근무자명단'!$A27:$ZZ27,1,$E$2+2)&amp;""="",급여기준월,IF(ISNUMBER(INDEX('입력_구리근무자명단'!$A27:$ZZ27,1,$E$2+2)),INDEX('입력_구리근무자명단'!$A27:$ZZ27,1,$E$2+2),IFERROR(DATE(VALUE(LEFT(INDEX('입력_구리근무자명단'!$A27:$ZZ27,1,$E$2+2),4)),VALUE(MID(INDEX('입력_구리근무자명단'!$A27:$ZZ27,1,$E$2+2),6,2)),VALUE(MID(INDEX('입력_구리근무자명단'!$A27:$ZZ27,1,$E$2+2),9,2))),-1))))</f>
        <v/>
      </c>
      <c r="T29">
        <f>IF($R29="","",IF(INDEX('입력_구리근무자명단'!$A27:$ZZ27,1,$E$2+3)&amp;""="",EOMONTH(급여기준월,0),IF(ISNUMBER(INDEX('입력_구리근무자명단'!$A27:$ZZ27,1,$E$2+3)),INDEX('입력_구리근무자명단'!$A27:$ZZ27,1,$E$2+3),IFERROR(DATE(VALUE(LEFT(INDEX('입력_구리근무자명단'!$A27:$ZZ27,1,$E$2+3),4)),VALUE(MID(INDEX('입력_구리근무자명단'!$A27:$ZZ27,1,$E$2+3),6,2)),VALUE(MID(INDEX('입력_구리근무자명단'!$A27:$ZZ27,1,$E$2+3),9,2))),-1))))</f>
        <v/>
      </c>
      <c r="U29">
        <f>IF($R29="","",IF(OR($S29&lt;0,$T29&lt;0),0,MAX(0,MIN($T29,EOMONTH(급여기준월,0))-MAX($S29,급여기준월)+1)))</f>
        <v/>
      </c>
      <c r="V29">
        <f>IF($R29="","",TRIM(INDEX('입력_구리근무자명단'!$A27:$ZZ27,1,$E$2+5)&amp;""))</f>
        <v/>
      </c>
      <c r="W29">
        <f>IF(ISNUMBER(SEARCH("구리독자",$V29)),"구리독자","")</f>
        <v/>
      </c>
      <c r="X29">
        <f>IF($R29="","",$R29&amp;"|"&amp;IF(OR($Q29="인턴",ISNUMBER(SEARCH("수련교육부",$P29))),"인턴",$P29))</f>
        <v/>
      </c>
      <c r="Y29">
        <f>IF($R29="","",IF(COUNTIF(명단표[이름|과],$X29)=1,"명단 일치",IF(AND(COUNTIF(명단표[이름|과],$X29)=0,COUNTIF(명단표[이름],$R29)=1),"명단 일치(이름만, 과 다름)",IF(COUNTIF(명단표[이름],$R29)=0,IF(COUNTIF(기본자료표[이름],$R29)&gt;0,"명단에 없음(기본자료에는 있음)","명단에 없음"),"동명이인 확인"))))</f>
        <v/>
      </c>
      <c r="Z29">
        <f>IF($R29="","",IF($S29&lt;0,"⚠"&amp;INDEX('입력_구리근무자명단'!$A27:$ZZ27,1,$E$2+2),TEXT($S29,"yyyy-mm-dd")))</f>
        <v/>
      </c>
      <c r="AA29">
        <f>IF($R29="","",IF($T29&lt;0,"⚠"&amp;INDEX('입력_구리근무자명단'!$A27:$ZZ27,1,$E$2+3),TEXT($T29,"yyyy-mm-dd")))</f>
        <v/>
      </c>
      <c r="AB29">
        <f>AB28+IF($R29="",0,1)</f>
        <v/>
      </c>
      <c r="AC29">
        <f>IF($R29="","",$AB29)</f>
        <v/>
      </c>
    </row>
    <row r="30">
      <c r="A30">
        <f>IFERROR(INDEX($O$6:$O$1505,MATCH(25,$AC$6:$AC$1505,0)),"")</f>
        <v/>
      </c>
      <c r="B30">
        <f>IF(ISNUMBER($A30),INDEX($P$6:$P$1505,$A30-3),"")</f>
        <v/>
      </c>
      <c r="C30">
        <f>IF(ISNUMBER($A30),INDEX($Q$6:$Q$1505,$A30-3),"")</f>
        <v/>
      </c>
      <c r="D30">
        <f>IF(ISNUMBER($A30),INDEX($R$6:$R$1505,$A30-3),"")</f>
        <v/>
      </c>
      <c r="E30">
        <f>IF(ISNUMBER($A30),$G$2,"")</f>
        <v/>
      </c>
      <c r="F30">
        <f>IF(ISNUMBER($A30),INDEX($Z$6:$Z$1505,$A30-3),"")</f>
        <v/>
      </c>
      <c r="G30">
        <f>IF(ISNUMBER($A30),INDEX($AA$6:$AA$1505,$A30-3),"")</f>
        <v/>
      </c>
      <c r="H30">
        <f>IF(ISNUMBER($A30),INDEX($U$6:$U$1505,$A30-3),"")</f>
        <v/>
      </c>
      <c r="I30">
        <f>IF(ISNUMBER($A30),INDEX($V$6:$V$1505,$A30-3),"")</f>
        <v/>
      </c>
      <c r="J30">
        <f>IF(ISNUMBER($A30),INDEX($W$6:$W$1505,$A30-3),"")</f>
        <v/>
      </c>
      <c r="K30">
        <f>IF(ISNUMBER($A30),INDEX($X$6:$X$1505,$A30-3),"")</f>
        <v/>
      </c>
      <c r="L30">
        <f>IF(ISNUMBER($A30),INDEX($Y$6:$Y$1505,$A30-3),"")</f>
        <v/>
      </c>
      <c r="O30">
        <f>28</f>
        <v/>
      </c>
      <c r="P30">
        <f>IF(TRIM('입력_구리근무자명단'!$A28&amp;"")&lt;&gt;"",TRIM('입력_구리근무자명단'!$A28&amp;""),P29)</f>
        <v/>
      </c>
      <c r="Q30">
        <f>'입력_구리근무자명단'!$B28&amp;""</f>
        <v/>
      </c>
      <c r="R30">
        <f>IF($E$2="","",TRIM(INDEX('입력_구리근무자명단'!$A28:$ZZ28,1,$E$2+IF($G$2="확정",1,0))&amp;""))</f>
        <v/>
      </c>
      <c r="S30">
        <f>IF($R30="","",IF(INDEX('입력_구리근무자명단'!$A28:$ZZ28,1,$E$2+2)&amp;""="",급여기준월,IF(ISNUMBER(INDEX('입력_구리근무자명단'!$A28:$ZZ28,1,$E$2+2)),INDEX('입력_구리근무자명단'!$A28:$ZZ28,1,$E$2+2),IFERROR(DATE(VALUE(LEFT(INDEX('입력_구리근무자명단'!$A28:$ZZ28,1,$E$2+2),4)),VALUE(MID(INDEX('입력_구리근무자명단'!$A28:$ZZ28,1,$E$2+2),6,2)),VALUE(MID(INDEX('입력_구리근무자명단'!$A28:$ZZ28,1,$E$2+2),9,2))),-1))))</f>
        <v/>
      </c>
      <c r="T30">
        <f>IF($R30="","",IF(INDEX('입력_구리근무자명단'!$A28:$ZZ28,1,$E$2+3)&amp;""="",EOMONTH(급여기준월,0),IF(ISNUMBER(INDEX('입력_구리근무자명단'!$A28:$ZZ28,1,$E$2+3)),INDEX('입력_구리근무자명단'!$A28:$ZZ28,1,$E$2+3),IFERROR(DATE(VALUE(LEFT(INDEX('입력_구리근무자명단'!$A28:$ZZ28,1,$E$2+3),4)),VALUE(MID(INDEX('입력_구리근무자명단'!$A28:$ZZ28,1,$E$2+3),6,2)),VALUE(MID(INDEX('입력_구리근무자명단'!$A28:$ZZ28,1,$E$2+3),9,2))),-1))))</f>
        <v/>
      </c>
      <c r="U30">
        <f>IF($R30="","",IF(OR($S30&lt;0,$T30&lt;0),0,MAX(0,MIN($T30,EOMONTH(급여기준월,0))-MAX($S30,급여기준월)+1)))</f>
        <v/>
      </c>
      <c r="V30">
        <f>IF($R30="","",TRIM(INDEX('입력_구리근무자명단'!$A28:$ZZ28,1,$E$2+5)&amp;""))</f>
        <v/>
      </c>
      <c r="W30">
        <f>IF(ISNUMBER(SEARCH("구리독자",$V30)),"구리독자","")</f>
        <v/>
      </c>
      <c r="X30">
        <f>IF($R30="","",$R30&amp;"|"&amp;IF(OR($Q30="인턴",ISNUMBER(SEARCH("수련교육부",$P30))),"인턴",$P30))</f>
        <v/>
      </c>
      <c r="Y30">
        <f>IF($R30="","",IF(COUNTIF(명단표[이름|과],$X30)=1,"명단 일치",IF(AND(COUNTIF(명단표[이름|과],$X30)=0,COUNTIF(명단표[이름],$R30)=1),"명단 일치(이름만, 과 다름)",IF(COUNTIF(명단표[이름],$R30)=0,IF(COUNTIF(기본자료표[이름],$R30)&gt;0,"명단에 없음(기본자료에는 있음)","명단에 없음"),"동명이인 확인"))))</f>
        <v/>
      </c>
      <c r="Z30">
        <f>IF($R30="","",IF($S30&lt;0,"⚠"&amp;INDEX('입력_구리근무자명단'!$A28:$ZZ28,1,$E$2+2),TEXT($S30,"yyyy-mm-dd")))</f>
        <v/>
      </c>
      <c r="AA30">
        <f>IF($R30="","",IF($T30&lt;0,"⚠"&amp;INDEX('입력_구리근무자명단'!$A28:$ZZ28,1,$E$2+3),TEXT($T30,"yyyy-mm-dd")))</f>
        <v/>
      </c>
      <c r="AB30">
        <f>AB29+IF($R30="",0,1)</f>
        <v/>
      </c>
      <c r="AC30">
        <f>IF($R30="","",$AB30)</f>
        <v/>
      </c>
    </row>
    <row r="31">
      <c r="A31">
        <f>IFERROR(INDEX($O$6:$O$1505,MATCH(26,$AC$6:$AC$1505,0)),"")</f>
        <v/>
      </c>
      <c r="B31">
        <f>IF(ISNUMBER($A31),INDEX($P$6:$P$1505,$A31-3),"")</f>
        <v/>
      </c>
      <c r="C31">
        <f>IF(ISNUMBER($A31),INDEX($Q$6:$Q$1505,$A31-3),"")</f>
        <v/>
      </c>
      <c r="D31">
        <f>IF(ISNUMBER($A31),INDEX($R$6:$R$1505,$A31-3),"")</f>
        <v/>
      </c>
      <c r="E31">
        <f>IF(ISNUMBER($A31),$G$2,"")</f>
        <v/>
      </c>
      <c r="F31">
        <f>IF(ISNUMBER($A31),INDEX($Z$6:$Z$1505,$A31-3),"")</f>
        <v/>
      </c>
      <c r="G31">
        <f>IF(ISNUMBER($A31),INDEX($AA$6:$AA$1505,$A31-3),"")</f>
        <v/>
      </c>
      <c r="H31">
        <f>IF(ISNUMBER($A31),INDEX($U$6:$U$1505,$A31-3),"")</f>
        <v/>
      </c>
      <c r="I31">
        <f>IF(ISNUMBER($A31),INDEX($V$6:$V$1505,$A31-3),"")</f>
        <v/>
      </c>
      <c r="J31">
        <f>IF(ISNUMBER($A31),INDEX($W$6:$W$1505,$A31-3),"")</f>
        <v/>
      </c>
      <c r="K31">
        <f>IF(ISNUMBER($A31),INDEX($X$6:$X$1505,$A31-3),"")</f>
        <v/>
      </c>
      <c r="L31">
        <f>IF(ISNUMBER($A31),INDEX($Y$6:$Y$1505,$A31-3),"")</f>
        <v/>
      </c>
      <c r="O31">
        <f>29</f>
        <v/>
      </c>
      <c r="P31">
        <f>IF(TRIM('입력_구리근무자명단'!$A29&amp;"")&lt;&gt;"",TRIM('입력_구리근무자명단'!$A29&amp;""),P30)</f>
        <v/>
      </c>
      <c r="Q31">
        <f>'입력_구리근무자명단'!$B29&amp;""</f>
        <v/>
      </c>
      <c r="R31">
        <f>IF($E$2="","",TRIM(INDEX('입력_구리근무자명단'!$A29:$ZZ29,1,$E$2+IF($G$2="확정",1,0))&amp;""))</f>
        <v/>
      </c>
      <c r="S31">
        <f>IF($R31="","",IF(INDEX('입력_구리근무자명단'!$A29:$ZZ29,1,$E$2+2)&amp;""="",급여기준월,IF(ISNUMBER(INDEX('입력_구리근무자명단'!$A29:$ZZ29,1,$E$2+2)),INDEX('입력_구리근무자명단'!$A29:$ZZ29,1,$E$2+2),IFERROR(DATE(VALUE(LEFT(INDEX('입력_구리근무자명단'!$A29:$ZZ29,1,$E$2+2),4)),VALUE(MID(INDEX('입력_구리근무자명단'!$A29:$ZZ29,1,$E$2+2),6,2)),VALUE(MID(INDEX('입력_구리근무자명단'!$A29:$ZZ29,1,$E$2+2),9,2))),-1))))</f>
        <v/>
      </c>
      <c r="T31">
        <f>IF($R31="","",IF(INDEX('입력_구리근무자명단'!$A29:$ZZ29,1,$E$2+3)&amp;""="",EOMONTH(급여기준월,0),IF(ISNUMBER(INDEX('입력_구리근무자명단'!$A29:$ZZ29,1,$E$2+3)),INDEX('입력_구리근무자명단'!$A29:$ZZ29,1,$E$2+3),IFERROR(DATE(VALUE(LEFT(INDEX('입력_구리근무자명단'!$A29:$ZZ29,1,$E$2+3),4)),VALUE(MID(INDEX('입력_구리근무자명단'!$A29:$ZZ29,1,$E$2+3),6,2)),VALUE(MID(INDEX('입력_구리근무자명단'!$A29:$ZZ29,1,$E$2+3),9,2))),-1))))</f>
        <v/>
      </c>
      <c r="U31">
        <f>IF($R31="","",IF(OR($S31&lt;0,$T31&lt;0),0,MAX(0,MIN($T31,EOMONTH(급여기준월,0))-MAX($S31,급여기준월)+1)))</f>
        <v/>
      </c>
      <c r="V31">
        <f>IF($R31="","",TRIM(INDEX('입력_구리근무자명단'!$A29:$ZZ29,1,$E$2+5)&amp;""))</f>
        <v/>
      </c>
      <c r="W31">
        <f>IF(ISNUMBER(SEARCH("구리독자",$V31)),"구리독자","")</f>
        <v/>
      </c>
      <c r="X31">
        <f>IF($R31="","",$R31&amp;"|"&amp;IF(OR($Q31="인턴",ISNUMBER(SEARCH("수련교육부",$P31))),"인턴",$P31))</f>
        <v/>
      </c>
      <c r="Y31">
        <f>IF($R31="","",IF(COUNTIF(명단표[이름|과],$X31)=1,"명단 일치",IF(AND(COUNTIF(명단표[이름|과],$X31)=0,COUNTIF(명단표[이름],$R31)=1),"명단 일치(이름만, 과 다름)",IF(COUNTIF(명단표[이름],$R31)=0,IF(COUNTIF(기본자료표[이름],$R31)&gt;0,"명단에 없음(기본자료에는 있음)","명단에 없음"),"동명이인 확인"))))</f>
        <v/>
      </c>
      <c r="Z31">
        <f>IF($R31="","",IF($S31&lt;0,"⚠"&amp;INDEX('입력_구리근무자명단'!$A29:$ZZ29,1,$E$2+2),TEXT($S31,"yyyy-mm-dd")))</f>
        <v/>
      </c>
      <c r="AA31">
        <f>IF($R31="","",IF($T31&lt;0,"⚠"&amp;INDEX('입력_구리근무자명단'!$A29:$ZZ29,1,$E$2+3),TEXT($T31,"yyyy-mm-dd")))</f>
        <v/>
      </c>
      <c r="AB31">
        <f>AB30+IF($R31="",0,1)</f>
        <v/>
      </c>
      <c r="AC31">
        <f>IF($R31="","",$AB31)</f>
        <v/>
      </c>
    </row>
    <row r="32">
      <c r="A32">
        <f>IFERROR(INDEX($O$6:$O$1505,MATCH(27,$AC$6:$AC$1505,0)),"")</f>
        <v/>
      </c>
      <c r="B32">
        <f>IF(ISNUMBER($A32),INDEX($P$6:$P$1505,$A32-3),"")</f>
        <v/>
      </c>
      <c r="C32">
        <f>IF(ISNUMBER($A32),INDEX($Q$6:$Q$1505,$A32-3),"")</f>
        <v/>
      </c>
      <c r="D32">
        <f>IF(ISNUMBER($A32),INDEX($R$6:$R$1505,$A32-3),"")</f>
        <v/>
      </c>
      <c r="E32">
        <f>IF(ISNUMBER($A32),$G$2,"")</f>
        <v/>
      </c>
      <c r="F32">
        <f>IF(ISNUMBER($A32),INDEX($Z$6:$Z$1505,$A32-3),"")</f>
        <v/>
      </c>
      <c r="G32">
        <f>IF(ISNUMBER($A32),INDEX($AA$6:$AA$1505,$A32-3),"")</f>
        <v/>
      </c>
      <c r="H32">
        <f>IF(ISNUMBER($A32),INDEX($U$6:$U$1505,$A32-3),"")</f>
        <v/>
      </c>
      <c r="I32">
        <f>IF(ISNUMBER($A32),INDEX($V$6:$V$1505,$A32-3),"")</f>
        <v/>
      </c>
      <c r="J32">
        <f>IF(ISNUMBER($A32),INDEX($W$6:$W$1505,$A32-3),"")</f>
        <v/>
      </c>
      <c r="K32">
        <f>IF(ISNUMBER($A32),INDEX($X$6:$X$1505,$A32-3),"")</f>
        <v/>
      </c>
      <c r="L32">
        <f>IF(ISNUMBER($A32),INDEX($Y$6:$Y$1505,$A32-3),"")</f>
        <v/>
      </c>
      <c r="O32">
        <f>30</f>
        <v/>
      </c>
      <c r="P32">
        <f>IF(TRIM('입력_구리근무자명단'!$A30&amp;"")&lt;&gt;"",TRIM('입력_구리근무자명단'!$A30&amp;""),P31)</f>
        <v/>
      </c>
      <c r="Q32">
        <f>'입력_구리근무자명단'!$B30&amp;""</f>
        <v/>
      </c>
      <c r="R32">
        <f>IF($E$2="","",TRIM(INDEX('입력_구리근무자명단'!$A30:$ZZ30,1,$E$2+IF($G$2="확정",1,0))&amp;""))</f>
        <v/>
      </c>
      <c r="S32">
        <f>IF($R32="","",IF(INDEX('입력_구리근무자명단'!$A30:$ZZ30,1,$E$2+2)&amp;""="",급여기준월,IF(ISNUMBER(INDEX('입력_구리근무자명단'!$A30:$ZZ30,1,$E$2+2)),INDEX('입력_구리근무자명단'!$A30:$ZZ30,1,$E$2+2),IFERROR(DATE(VALUE(LEFT(INDEX('입력_구리근무자명단'!$A30:$ZZ30,1,$E$2+2),4)),VALUE(MID(INDEX('입력_구리근무자명단'!$A30:$ZZ30,1,$E$2+2),6,2)),VALUE(MID(INDEX('입력_구리근무자명단'!$A30:$ZZ30,1,$E$2+2),9,2))),-1))))</f>
        <v/>
      </c>
      <c r="T32">
        <f>IF($R32="","",IF(INDEX('입력_구리근무자명단'!$A30:$ZZ30,1,$E$2+3)&amp;""="",EOMONTH(급여기준월,0),IF(ISNUMBER(INDEX('입력_구리근무자명단'!$A30:$ZZ30,1,$E$2+3)),INDEX('입력_구리근무자명단'!$A30:$ZZ30,1,$E$2+3),IFERROR(DATE(VALUE(LEFT(INDEX('입력_구리근무자명단'!$A30:$ZZ30,1,$E$2+3),4)),VALUE(MID(INDEX('입력_구리근무자명단'!$A30:$ZZ30,1,$E$2+3),6,2)),VALUE(MID(INDEX('입력_구리근무자명단'!$A30:$ZZ30,1,$E$2+3),9,2))),-1))))</f>
        <v/>
      </c>
      <c r="U32">
        <f>IF($R32="","",IF(OR($S32&lt;0,$T32&lt;0),0,MAX(0,MIN($T32,EOMONTH(급여기준월,0))-MAX($S32,급여기준월)+1)))</f>
        <v/>
      </c>
      <c r="V32">
        <f>IF($R32="","",TRIM(INDEX('입력_구리근무자명단'!$A30:$ZZ30,1,$E$2+5)&amp;""))</f>
        <v/>
      </c>
      <c r="W32">
        <f>IF(ISNUMBER(SEARCH("구리독자",$V32)),"구리독자","")</f>
        <v/>
      </c>
      <c r="X32">
        <f>IF($R32="","",$R32&amp;"|"&amp;IF(OR($Q32="인턴",ISNUMBER(SEARCH("수련교육부",$P32))),"인턴",$P32))</f>
        <v/>
      </c>
      <c r="Y32">
        <f>IF($R32="","",IF(COUNTIF(명단표[이름|과],$X32)=1,"명단 일치",IF(AND(COUNTIF(명단표[이름|과],$X32)=0,COUNTIF(명단표[이름],$R32)=1),"명단 일치(이름만, 과 다름)",IF(COUNTIF(명단표[이름],$R32)=0,IF(COUNTIF(기본자료표[이름],$R32)&gt;0,"명단에 없음(기본자료에는 있음)","명단에 없음"),"동명이인 확인"))))</f>
        <v/>
      </c>
      <c r="Z32">
        <f>IF($R32="","",IF($S32&lt;0,"⚠"&amp;INDEX('입력_구리근무자명단'!$A30:$ZZ30,1,$E$2+2),TEXT($S32,"yyyy-mm-dd")))</f>
        <v/>
      </c>
      <c r="AA32">
        <f>IF($R32="","",IF($T32&lt;0,"⚠"&amp;INDEX('입력_구리근무자명단'!$A30:$ZZ30,1,$E$2+3),TEXT($T32,"yyyy-mm-dd")))</f>
        <v/>
      </c>
      <c r="AB32">
        <f>AB31+IF($R32="",0,1)</f>
        <v/>
      </c>
      <c r="AC32">
        <f>IF($R32="","",$AB32)</f>
        <v/>
      </c>
    </row>
    <row r="33">
      <c r="A33">
        <f>IFERROR(INDEX($O$6:$O$1505,MATCH(28,$AC$6:$AC$1505,0)),"")</f>
        <v/>
      </c>
      <c r="B33">
        <f>IF(ISNUMBER($A33),INDEX($P$6:$P$1505,$A33-3),"")</f>
        <v/>
      </c>
      <c r="C33">
        <f>IF(ISNUMBER($A33),INDEX($Q$6:$Q$1505,$A33-3),"")</f>
        <v/>
      </c>
      <c r="D33">
        <f>IF(ISNUMBER($A33),INDEX($R$6:$R$1505,$A33-3),"")</f>
        <v/>
      </c>
      <c r="E33">
        <f>IF(ISNUMBER($A33),$G$2,"")</f>
        <v/>
      </c>
      <c r="F33">
        <f>IF(ISNUMBER($A33),INDEX($Z$6:$Z$1505,$A33-3),"")</f>
        <v/>
      </c>
      <c r="G33">
        <f>IF(ISNUMBER($A33),INDEX($AA$6:$AA$1505,$A33-3),"")</f>
        <v/>
      </c>
      <c r="H33">
        <f>IF(ISNUMBER($A33),INDEX($U$6:$U$1505,$A33-3),"")</f>
        <v/>
      </c>
      <c r="I33">
        <f>IF(ISNUMBER($A33),INDEX($V$6:$V$1505,$A33-3),"")</f>
        <v/>
      </c>
      <c r="J33">
        <f>IF(ISNUMBER($A33),INDEX($W$6:$W$1505,$A33-3),"")</f>
        <v/>
      </c>
      <c r="K33">
        <f>IF(ISNUMBER($A33),INDEX($X$6:$X$1505,$A33-3),"")</f>
        <v/>
      </c>
      <c r="L33">
        <f>IF(ISNUMBER($A33),INDEX($Y$6:$Y$1505,$A33-3),"")</f>
        <v/>
      </c>
      <c r="O33">
        <f>31</f>
        <v/>
      </c>
      <c r="P33">
        <f>IF(TRIM('입력_구리근무자명단'!$A31&amp;"")&lt;&gt;"",TRIM('입력_구리근무자명단'!$A31&amp;""),P32)</f>
        <v/>
      </c>
      <c r="Q33">
        <f>'입력_구리근무자명단'!$B31&amp;""</f>
        <v/>
      </c>
      <c r="R33">
        <f>IF($E$2="","",TRIM(INDEX('입력_구리근무자명단'!$A31:$ZZ31,1,$E$2+IF($G$2="확정",1,0))&amp;""))</f>
        <v/>
      </c>
      <c r="S33">
        <f>IF($R33="","",IF(INDEX('입력_구리근무자명단'!$A31:$ZZ31,1,$E$2+2)&amp;""="",급여기준월,IF(ISNUMBER(INDEX('입력_구리근무자명단'!$A31:$ZZ31,1,$E$2+2)),INDEX('입력_구리근무자명단'!$A31:$ZZ31,1,$E$2+2),IFERROR(DATE(VALUE(LEFT(INDEX('입력_구리근무자명단'!$A31:$ZZ31,1,$E$2+2),4)),VALUE(MID(INDEX('입력_구리근무자명단'!$A31:$ZZ31,1,$E$2+2),6,2)),VALUE(MID(INDEX('입력_구리근무자명단'!$A31:$ZZ31,1,$E$2+2),9,2))),-1))))</f>
        <v/>
      </c>
      <c r="T33">
        <f>IF($R33="","",IF(INDEX('입력_구리근무자명단'!$A31:$ZZ31,1,$E$2+3)&amp;""="",EOMONTH(급여기준월,0),IF(ISNUMBER(INDEX('입력_구리근무자명단'!$A31:$ZZ31,1,$E$2+3)),INDEX('입력_구리근무자명단'!$A31:$ZZ31,1,$E$2+3),IFERROR(DATE(VALUE(LEFT(INDEX('입력_구리근무자명단'!$A31:$ZZ31,1,$E$2+3),4)),VALUE(MID(INDEX('입력_구리근무자명단'!$A31:$ZZ31,1,$E$2+3),6,2)),VALUE(MID(INDEX('입력_구리근무자명단'!$A31:$ZZ31,1,$E$2+3),9,2))),-1))))</f>
        <v/>
      </c>
      <c r="U33">
        <f>IF($R33="","",IF(OR($S33&lt;0,$T33&lt;0),0,MAX(0,MIN($T33,EOMONTH(급여기준월,0))-MAX($S33,급여기준월)+1)))</f>
        <v/>
      </c>
      <c r="V33">
        <f>IF($R33="","",TRIM(INDEX('입력_구리근무자명단'!$A31:$ZZ31,1,$E$2+5)&amp;""))</f>
        <v/>
      </c>
      <c r="W33">
        <f>IF(ISNUMBER(SEARCH("구리독자",$V33)),"구리독자","")</f>
        <v/>
      </c>
      <c r="X33">
        <f>IF($R33="","",$R33&amp;"|"&amp;IF(OR($Q33="인턴",ISNUMBER(SEARCH("수련교육부",$P33))),"인턴",$P33))</f>
        <v/>
      </c>
      <c r="Y33">
        <f>IF($R33="","",IF(COUNTIF(명단표[이름|과],$X33)=1,"명단 일치",IF(AND(COUNTIF(명단표[이름|과],$X33)=0,COUNTIF(명단표[이름],$R33)=1),"명단 일치(이름만, 과 다름)",IF(COUNTIF(명단표[이름],$R33)=0,IF(COUNTIF(기본자료표[이름],$R33)&gt;0,"명단에 없음(기본자료에는 있음)","명단에 없음"),"동명이인 확인"))))</f>
        <v/>
      </c>
      <c r="Z33">
        <f>IF($R33="","",IF($S33&lt;0,"⚠"&amp;INDEX('입력_구리근무자명단'!$A31:$ZZ31,1,$E$2+2),TEXT($S33,"yyyy-mm-dd")))</f>
        <v/>
      </c>
      <c r="AA33">
        <f>IF($R33="","",IF($T33&lt;0,"⚠"&amp;INDEX('입력_구리근무자명단'!$A31:$ZZ31,1,$E$2+3),TEXT($T33,"yyyy-mm-dd")))</f>
        <v/>
      </c>
      <c r="AB33">
        <f>AB32+IF($R33="",0,1)</f>
        <v/>
      </c>
      <c r="AC33">
        <f>IF($R33="","",$AB33)</f>
        <v/>
      </c>
    </row>
    <row r="34">
      <c r="A34">
        <f>IFERROR(INDEX($O$6:$O$1505,MATCH(29,$AC$6:$AC$1505,0)),"")</f>
        <v/>
      </c>
      <c r="B34">
        <f>IF(ISNUMBER($A34),INDEX($P$6:$P$1505,$A34-3),"")</f>
        <v/>
      </c>
      <c r="C34">
        <f>IF(ISNUMBER($A34),INDEX($Q$6:$Q$1505,$A34-3),"")</f>
        <v/>
      </c>
      <c r="D34">
        <f>IF(ISNUMBER($A34),INDEX($R$6:$R$1505,$A34-3),"")</f>
        <v/>
      </c>
      <c r="E34">
        <f>IF(ISNUMBER($A34),$G$2,"")</f>
        <v/>
      </c>
      <c r="F34">
        <f>IF(ISNUMBER($A34),INDEX($Z$6:$Z$1505,$A34-3),"")</f>
        <v/>
      </c>
      <c r="G34">
        <f>IF(ISNUMBER($A34),INDEX($AA$6:$AA$1505,$A34-3),"")</f>
        <v/>
      </c>
      <c r="H34">
        <f>IF(ISNUMBER($A34),INDEX($U$6:$U$1505,$A34-3),"")</f>
        <v/>
      </c>
      <c r="I34">
        <f>IF(ISNUMBER($A34),INDEX($V$6:$V$1505,$A34-3),"")</f>
        <v/>
      </c>
      <c r="J34">
        <f>IF(ISNUMBER($A34),INDEX($W$6:$W$1505,$A34-3),"")</f>
        <v/>
      </c>
      <c r="K34">
        <f>IF(ISNUMBER($A34),INDEX($X$6:$X$1505,$A34-3),"")</f>
        <v/>
      </c>
      <c r="L34">
        <f>IF(ISNUMBER($A34),INDEX($Y$6:$Y$1505,$A34-3),"")</f>
        <v/>
      </c>
      <c r="O34">
        <f>32</f>
        <v/>
      </c>
      <c r="P34">
        <f>IF(TRIM('입력_구리근무자명단'!$A32&amp;"")&lt;&gt;"",TRIM('입력_구리근무자명단'!$A32&amp;""),P33)</f>
        <v/>
      </c>
      <c r="Q34">
        <f>'입력_구리근무자명단'!$B32&amp;""</f>
        <v/>
      </c>
      <c r="R34">
        <f>IF($E$2="","",TRIM(INDEX('입력_구리근무자명단'!$A32:$ZZ32,1,$E$2+IF($G$2="확정",1,0))&amp;""))</f>
        <v/>
      </c>
      <c r="S34">
        <f>IF($R34="","",IF(INDEX('입력_구리근무자명단'!$A32:$ZZ32,1,$E$2+2)&amp;""="",급여기준월,IF(ISNUMBER(INDEX('입력_구리근무자명단'!$A32:$ZZ32,1,$E$2+2)),INDEX('입력_구리근무자명단'!$A32:$ZZ32,1,$E$2+2),IFERROR(DATE(VALUE(LEFT(INDEX('입력_구리근무자명단'!$A32:$ZZ32,1,$E$2+2),4)),VALUE(MID(INDEX('입력_구리근무자명단'!$A32:$ZZ32,1,$E$2+2),6,2)),VALUE(MID(INDEX('입력_구리근무자명단'!$A32:$ZZ32,1,$E$2+2),9,2))),-1))))</f>
        <v/>
      </c>
      <c r="T34">
        <f>IF($R34="","",IF(INDEX('입력_구리근무자명단'!$A32:$ZZ32,1,$E$2+3)&amp;""="",EOMONTH(급여기준월,0),IF(ISNUMBER(INDEX('입력_구리근무자명단'!$A32:$ZZ32,1,$E$2+3)),INDEX('입력_구리근무자명단'!$A32:$ZZ32,1,$E$2+3),IFERROR(DATE(VALUE(LEFT(INDEX('입력_구리근무자명단'!$A32:$ZZ32,1,$E$2+3),4)),VALUE(MID(INDEX('입력_구리근무자명단'!$A32:$ZZ32,1,$E$2+3),6,2)),VALUE(MID(INDEX('입력_구리근무자명단'!$A32:$ZZ32,1,$E$2+3),9,2))),-1))))</f>
        <v/>
      </c>
      <c r="U34">
        <f>IF($R34="","",IF(OR($S34&lt;0,$T34&lt;0),0,MAX(0,MIN($T34,EOMONTH(급여기준월,0))-MAX($S34,급여기준월)+1)))</f>
        <v/>
      </c>
      <c r="V34">
        <f>IF($R34="","",TRIM(INDEX('입력_구리근무자명단'!$A32:$ZZ32,1,$E$2+5)&amp;""))</f>
        <v/>
      </c>
      <c r="W34">
        <f>IF(ISNUMBER(SEARCH("구리독자",$V34)),"구리독자","")</f>
        <v/>
      </c>
      <c r="X34">
        <f>IF($R34="","",$R34&amp;"|"&amp;IF(OR($Q34="인턴",ISNUMBER(SEARCH("수련교육부",$P34))),"인턴",$P34))</f>
        <v/>
      </c>
      <c r="Y34">
        <f>IF($R34="","",IF(COUNTIF(명단표[이름|과],$X34)=1,"명단 일치",IF(AND(COUNTIF(명단표[이름|과],$X34)=0,COUNTIF(명단표[이름],$R34)=1),"명단 일치(이름만, 과 다름)",IF(COUNTIF(명단표[이름],$R34)=0,IF(COUNTIF(기본자료표[이름],$R34)&gt;0,"명단에 없음(기본자료에는 있음)","명단에 없음"),"동명이인 확인"))))</f>
        <v/>
      </c>
      <c r="Z34">
        <f>IF($R34="","",IF($S34&lt;0,"⚠"&amp;INDEX('입력_구리근무자명단'!$A32:$ZZ32,1,$E$2+2),TEXT($S34,"yyyy-mm-dd")))</f>
        <v/>
      </c>
      <c r="AA34">
        <f>IF($R34="","",IF($T34&lt;0,"⚠"&amp;INDEX('입력_구리근무자명단'!$A32:$ZZ32,1,$E$2+3),TEXT($T34,"yyyy-mm-dd")))</f>
        <v/>
      </c>
      <c r="AB34">
        <f>AB33+IF($R34="",0,1)</f>
        <v/>
      </c>
      <c r="AC34">
        <f>IF($R34="","",$AB34)</f>
        <v/>
      </c>
    </row>
    <row r="35">
      <c r="A35">
        <f>IFERROR(INDEX($O$6:$O$1505,MATCH(30,$AC$6:$AC$1505,0)),"")</f>
        <v/>
      </c>
      <c r="B35">
        <f>IF(ISNUMBER($A35),INDEX($P$6:$P$1505,$A35-3),"")</f>
        <v/>
      </c>
      <c r="C35">
        <f>IF(ISNUMBER($A35),INDEX($Q$6:$Q$1505,$A35-3),"")</f>
        <v/>
      </c>
      <c r="D35">
        <f>IF(ISNUMBER($A35),INDEX($R$6:$R$1505,$A35-3),"")</f>
        <v/>
      </c>
      <c r="E35">
        <f>IF(ISNUMBER($A35),$G$2,"")</f>
        <v/>
      </c>
      <c r="F35">
        <f>IF(ISNUMBER($A35),INDEX($Z$6:$Z$1505,$A35-3),"")</f>
        <v/>
      </c>
      <c r="G35">
        <f>IF(ISNUMBER($A35),INDEX($AA$6:$AA$1505,$A35-3),"")</f>
        <v/>
      </c>
      <c r="H35">
        <f>IF(ISNUMBER($A35),INDEX($U$6:$U$1505,$A35-3),"")</f>
        <v/>
      </c>
      <c r="I35">
        <f>IF(ISNUMBER($A35),INDEX($V$6:$V$1505,$A35-3),"")</f>
        <v/>
      </c>
      <c r="J35">
        <f>IF(ISNUMBER($A35),INDEX($W$6:$W$1505,$A35-3),"")</f>
        <v/>
      </c>
      <c r="K35">
        <f>IF(ISNUMBER($A35),INDEX($X$6:$X$1505,$A35-3),"")</f>
        <v/>
      </c>
      <c r="L35">
        <f>IF(ISNUMBER($A35),INDEX($Y$6:$Y$1505,$A35-3),"")</f>
        <v/>
      </c>
      <c r="O35">
        <f>33</f>
        <v/>
      </c>
      <c r="P35">
        <f>IF(TRIM('입력_구리근무자명단'!$A33&amp;"")&lt;&gt;"",TRIM('입력_구리근무자명단'!$A33&amp;""),P34)</f>
        <v/>
      </c>
      <c r="Q35">
        <f>'입력_구리근무자명단'!$B33&amp;""</f>
        <v/>
      </c>
      <c r="R35">
        <f>IF($E$2="","",TRIM(INDEX('입력_구리근무자명단'!$A33:$ZZ33,1,$E$2+IF($G$2="확정",1,0))&amp;""))</f>
        <v/>
      </c>
      <c r="S35">
        <f>IF($R35="","",IF(INDEX('입력_구리근무자명단'!$A33:$ZZ33,1,$E$2+2)&amp;""="",급여기준월,IF(ISNUMBER(INDEX('입력_구리근무자명단'!$A33:$ZZ33,1,$E$2+2)),INDEX('입력_구리근무자명단'!$A33:$ZZ33,1,$E$2+2),IFERROR(DATE(VALUE(LEFT(INDEX('입력_구리근무자명단'!$A33:$ZZ33,1,$E$2+2),4)),VALUE(MID(INDEX('입력_구리근무자명단'!$A33:$ZZ33,1,$E$2+2),6,2)),VALUE(MID(INDEX('입력_구리근무자명단'!$A33:$ZZ33,1,$E$2+2),9,2))),-1))))</f>
        <v/>
      </c>
      <c r="T35">
        <f>IF($R35="","",IF(INDEX('입력_구리근무자명단'!$A33:$ZZ33,1,$E$2+3)&amp;""="",EOMONTH(급여기준월,0),IF(ISNUMBER(INDEX('입력_구리근무자명단'!$A33:$ZZ33,1,$E$2+3)),INDEX('입력_구리근무자명단'!$A33:$ZZ33,1,$E$2+3),IFERROR(DATE(VALUE(LEFT(INDEX('입력_구리근무자명단'!$A33:$ZZ33,1,$E$2+3),4)),VALUE(MID(INDEX('입력_구리근무자명단'!$A33:$ZZ33,1,$E$2+3),6,2)),VALUE(MID(INDEX('입력_구리근무자명단'!$A33:$ZZ33,1,$E$2+3),9,2))),-1))))</f>
        <v/>
      </c>
      <c r="U35">
        <f>IF($R35="","",IF(OR($S35&lt;0,$T35&lt;0),0,MAX(0,MIN($T35,EOMONTH(급여기준월,0))-MAX($S35,급여기준월)+1)))</f>
        <v/>
      </c>
      <c r="V35">
        <f>IF($R35="","",TRIM(INDEX('입력_구리근무자명단'!$A33:$ZZ33,1,$E$2+5)&amp;""))</f>
        <v/>
      </c>
      <c r="W35">
        <f>IF(ISNUMBER(SEARCH("구리독자",$V35)),"구리독자","")</f>
        <v/>
      </c>
      <c r="X35">
        <f>IF($R35="","",$R35&amp;"|"&amp;IF(OR($Q35="인턴",ISNUMBER(SEARCH("수련교육부",$P35))),"인턴",$P35))</f>
        <v/>
      </c>
      <c r="Y35">
        <f>IF($R35="","",IF(COUNTIF(명단표[이름|과],$X35)=1,"명단 일치",IF(AND(COUNTIF(명단표[이름|과],$X35)=0,COUNTIF(명단표[이름],$R35)=1),"명단 일치(이름만, 과 다름)",IF(COUNTIF(명단표[이름],$R35)=0,IF(COUNTIF(기본자료표[이름],$R35)&gt;0,"명단에 없음(기본자료에는 있음)","명단에 없음"),"동명이인 확인"))))</f>
        <v/>
      </c>
      <c r="Z35">
        <f>IF($R35="","",IF($S35&lt;0,"⚠"&amp;INDEX('입력_구리근무자명단'!$A33:$ZZ33,1,$E$2+2),TEXT($S35,"yyyy-mm-dd")))</f>
        <v/>
      </c>
      <c r="AA35">
        <f>IF($R35="","",IF($T35&lt;0,"⚠"&amp;INDEX('입력_구리근무자명단'!$A33:$ZZ33,1,$E$2+3),TEXT($T35,"yyyy-mm-dd")))</f>
        <v/>
      </c>
      <c r="AB35">
        <f>AB34+IF($R35="",0,1)</f>
        <v/>
      </c>
      <c r="AC35">
        <f>IF($R35="","",$AB35)</f>
        <v/>
      </c>
    </row>
    <row r="36">
      <c r="A36">
        <f>IFERROR(INDEX($O$6:$O$1505,MATCH(31,$AC$6:$AC$1505,0)),"")</f>
        <v/>
      </c>
      <c r="B36">
        <f>IF(ISNUMBER($A36),INDEX($P$6:$P$1505,$A36-3),"")</f>
        <v/>
      </c>
      <c r="C36">
        <f>IF(ISNUMBER($A36),INDEX($Q$6:$Q$1505,$A36-3),"")</f>
        <v/>
      </c>
      <c r="D36">
        <f>IF(ISNUMBER($A36),INDEX($R$6:$R$1505,$A36-3),"")</f>
        <v/>
      </c>
      <c r="E36">
        <f>IF(ISNUMBER($A36),$G$2,"")</f>
        <v/>
      </c>
      <c r="F36">
        <f>IF(ISNUMBER($A36),INDEX($Z$6:$Z$1505,$A36-3),"")</f>
        <v/>
      </c>
      <c r="G36">
        <f>IF(ISNUMBER($A36),INDEX($AA$6:$AA$1505,$A36-3),"")</f>
        <v/>
      </c>
      <c r="H36">
        <f>IF(ISNUMBER($A36),INDEX($U$6:$U$1505,$A36-3),"")</f>
        <v/>
      </c>
      <c r="I36">
        <f>IF(ISNUMBER($A36),INDEX($V$6:$V$1505,$A36-3),"")</f>
        <v/>
      </c>
      <c r="J36">
        <f>IF(ISNUMBER($A36),INDEX($W$6:$W$1505,$A36-3),"")</f>
        <v/>
      </c>
      <c r="K36">
        <f>IF(ISNUMBER($A36),INDEX($X$6:$X$1505,$A36-3),"")</f>
        <v/>
      </c>
      <c r="L36">
        <f>IF(ISNUMBER($A36),INDEX($Y$6:$Y$1505,$A36-3),"")</f>
        <v/>
      </c>
      <c r="O36">
        <f>34</f>
        <v/>
      </c>
      <c r="P36">
        <f>IF(TRIM('입력_구리근무자명단'!$A34&amp;"")&lt;&gt;"",TRIM('입력_구리근무자명단'!$A34&amp;""),P35)</f>
        <v/>
      </c>
      <c r="Q36">
        <f>'입력_구리근무자명단'!$B34&amp;""</f>
        <v/>
      </c>
      <c r="R36">
        <f>IF($E$2="","",TRIM(INDEX('입력_구리근무자명단'!$A34:$ZZ34,1,$E$2+IF($G$2="확정",1,0))&amp;""))</f>
        <v/>
      </c>
      <c r="S36">
        <f>IF($R36="","",IF(INDEX('입력_구리근무자명단'!$A34:$ZZ34,1,$E$2+2)&amp;""="",급여기준월,IF(ISNUMBER(INDEX('입력_구리근무자명단'!$A34:$ZZ34,1,$E$2+2)),INDEX('입력_구리근무자명단'!$A34:$ZZ34,1,$E$2+2),IFERROR(DATE(VALUE(LEFT(INDEX('입력_구리근무자명단'!$A34:$ZZ34,1,$E$2+2),4)),VALUE(MID(INDEX('입력_구리근무자명단'!$A34:$ZZ34,1,$E$2+2),6,2)),VALUE(MID(INDEX('입력_구리근무자명단'!$A34:$ZZ34,1,$E$2+2),9,2))),-1))))</f>
        <v/>
      </c>
      <c r="T36">
        <f>IF($R36="","",IF(INDEX('입력_구리근무자명단'!$A34:$ZZ34,1,$E$2+3)&amp;""="",EOMONTH(급여기준월,0),IF(ISNUMBER(INDEX('입력_구리근무자명단'!$A34:$ZZ34,1,$E$2+3)),INDEX('입력_구리근무자명단'!$A34:$ZZ34,1,$E$2+3),IFERROR(DATE(VALUE(LEFT(INDEX('입력_구리근무자명단'!$A34:$ZZ34,1,$E$2+3),4)),VALUE(MID(INDEX('입력_구리근무자명단'!$A34:$ZZ34,1,$E$2+3),6,2)),VALUE(MID(INDEX('입력_구리근무자명단'!$A34:$ZZ34,1,$E$2+3),9,2))),-1))))</f>
        <v/>
      </c>
      <c r="U36">
        <f>IF($R36="","",IF(OR($S36&lt;0,$T36&lt;0),0,MAX(0,MIN($T36,EOMONTH(급여기준월,0))-MAX($S36,급여기준월)+1)))</f>
        <v/>
      </c>
      <c r="V36">
        <f>IF($R36="","",TRIM(INDEX('입력_구리근무자명단'!$A34:$ZZ34,1,$E$2+5)&amp;""))</f>
        <v/>
      </c>
      <c r="W36">
        <f>IF(ISNUMBER(SEARCH("구리독자",$V36)),"구리독자","")</f>
        <v/>
      </c>
      <c r="X36">
        <f>IF($R36="","",$R36&amp;"|"&amp;IF(OR($Q36="인턴",ISNUMBER(SEARCH("수련교육부",$P36))),"인턴",$P36))</f>
        <v/>
      </c>
      <c r="Y36">
        <f>IF($R36="","",IF(COUNTIF(명단표[이름|과],$X36)=1,"명단 일치",IF(AND(COUNTIF(명단표[이름|과],$X36)=0,COUNTIF(명단표[이름],$R36)=1),"명단 일치(이름만, 과 다름)",IF(COUNTIF(명단표[이름],$R36)=0,IF(COUNTIF(기본자료표[이름],$R36)&gt;0,"명단에 없음(기본자료에는 있음)","명단에 없음"),"동명이인 확인"))))</f>
        <v/>
      </c>
      <c r="Z36">
        <f>IF($R36="","",IF($S36&lt;0,"⚠"&amp;INDEX('입력_구리근무자명단'!$A34:$ZZ34,1,$E$2+2),TEXT($S36,"yyyy-mm-dd")))</f>
        <v/>
      </c>
      <c r="AA36">
        <f>IF($R36="","",IF($T36&lt;0,"⚠"&amp;INDEX('입력_구리근무자명단'!$A34:$ZZ34,1,$E$2+3),TEXT($T36,"yyyy-mm-dd")))</f>
        <v/>
      </c>
      <c r="AB36">
        <f>AB35+IF($R36="",0,1)</f>
        <v/>
      </c>
      <c r="AC36">
        <f>IF($R36="","",$AB36)</f>
        <v/>
      </c>
    </row>
    <row r="37">
      <c r="A37">
        <f>IFERROR(INDEX($O$6:$O$1505,MATCH(32,$AC$6:$AC$1505,0)),"")</f>
        <v/>
      </c>
      <c r="B37">
        <f>IF(ISNUMBER($A37),INDEX($P$6:$P$1505,$A37-3),"")</f>
        <v/>
      </c>
      <c r="C37">
        <f>IF(ISNUMBER($A37),INDEX($Q$6:$Q$1505,$A37-3),"")</f>
        <v/>
      </c>
      <c r="D37">
        <f>IF(ISNUMBER($A37),INDEX($R$6:$R$1505,$A37-3),"")</f>
        <v/>
      </c>
      <c r="E37">
        <f>IF(ISNUMBER($A37),$G$2,"")</f>
        <v/>
      </c>
      <c r="F37">
        <f>IF(ISNUMBER($A37),INDEX($Z$6:$Z$1505,$A37-3),"")</f>
        <v/>
      </c>
      <c r="G37">
        <f>IF(ISNUMBER($A37),INDEX($AA$6:$AA$1505,$A37-3),"")</f>
        <v/>
      </c>
      <c r="H37">
        <f>IF(ISNUMBER($A37),INDEX($U$6:$U$1505,$A37-3),"")</f>
        <v/>
      </c>
      <c r="I37">
        <f>IF(ISNUMBER($A37),INDEX($V$6:$V$1505,$A37-3),"")</f>
        <v/>
      </c>
      <c r="J37">
        <f>IF(ISNUMBER($A37),INDEX($W$6:$W$1505,$A37-3),"")</f>
        <v/>
      </c>
      <c r="K37">
        <f>IF(ISNUMBER($A37),INDEX($X$6:$X$1505,$A37-3),"")</f>
        <v/>
      </c>
      <c r="L37">
        <f>IF(ISNUMBER($A37),INDEX($Y$6:$Y$1505,$A37-3),"")</f>
        <v/>
      </c>
      <c r="O37">
        <f>35</f>
        <v/>
      </c>
      <c r="P37">
        <f>IF(TRIM('입력_구리근무자명단'!$A35&amp;"")&lt;&gt;"",TRIM('입력_구리근무자명단'!$A35&amp;""),P36)</f>
        <v/>
      </c>
      <c r="Q37">
        <f>'입력_구리근무자명단'!$B35&amp;""</f>
        <v/>
      </c>
      <c r="R37">
        <f>IF($E$2="","",TRIM(INDEX('입력_구리근무자명단'!$A35:$ZZ35,1,$E$2+IF($G$2="확정",1,0))&amp;""))</f>
        <v/>
      </c>
      <c r="S37">
        <f>IF($R37="","",IF(INDEX('입력_구리근무자명단'!$A35:$ZZ35,1,$E$2+2)&amp;""="",급여기준월,IF(ISNUMBER(INDEX('입력_구리근무자명단'!$A35:$ZZ35,1,$E$2+2)),INDEX('입력_구리근무자명단'!$A35:$ZZ35,1,$E$2+2),IFERROR(DATE(VALUE(LEFT(INDEX('입력_구리근무자명단'!$A35:$ZZ35,1,$E$2+2),4)),VALUE(MID(INDEX('입력_구리근무자명단'!$A35:$ZZ35,1,$E$2+2),6,2)),VALUE(MID(INDEX('입력_구리근무자명단'!$A35:$ZZ35,1,$E$2+2),9,2))),-1))))</f>
        <v/>
      </c>
      <c r="T37">
        <f>IF($R37="","",IF(INDEX('입력_구리근무자명단'!$A35:$ZZ35,1,$E$2+3)&amp;""="",EOMONTH(급여기준월,0),IF(ISNUMBER(INDEX('입력_구리근무자명단'!$A35:$ZZ35,1,$E$2+3)),INDEX('입력_구리근무자명단'!$A35:$ZZ35,1,$E$2+3),IFERROR(DATE(VALUE(LEFT(INDEX('입력_구리근무자명단'!$A35:$ZZ35,1,$E$2+3),4)),VALUE(MID(INDEX('입력_구리근무자명단'!$A35:$ZZ35,1,$E$2+3),6,2)),VALUE(MID(INDEX('입력_구리근무자명단'!$A35:$ZZ35,1,$E$2+3),9,2))),-1))))</f>
        <v/>
      </c>
      <c r="U37">
        <f>IF($R37="","",IF(OR($S37&lt;0,$T37&lt;0),0,MAX(0,MIN($T37,EOMONTH(급여기준월,0))-MAX($S37,급여기준월)+1)))</f>
        <v/>
      </c>
      <c r="V37">
        <f>IF($R37="","",TRIM(INDEX('입력_구리근무자명단'!$A35:$ZZ35,1,$E$2+5)&amp;""))</f>
        <v/>
      </c>
      <c r="W37">
        <f>IF(ISNUMBER(SEARCH("구리독자",$V37)),"구리독자","")</f>
        <v/>
      </c>
      <c r="X37">
        <f>IF($R37="","",$R37&amp;"|"&amp;IF(OR($Q37="인턴",ISNUMBER(SEARCH("수련교육부",$P37))),"인턴",$P37))</f>
        <v/>
      </c>
      <c r="Y37">
        <f>IF($R37="","",IF(COUNTIF(명단표[이름|과],$X37)=1,"명단 일치",IF(AND(COUNTIF(명단표[이름|과],$X37)=0,COUNTIF(명단표[이름],$R37)=1),"명단 일치(이름만, 과 다름)",IF(COUNTIF(명단표[이름],$R37)=0,IF(COUNTIF(기본자료표[이름],$R37)&gt;0,"명단에 없음(기본자료에는 있음)","명단에 없음"),"동명이인 확인"))))</f>
        <v/>
      </c>
      <c r="Z37">
        <f>IF($R37="","",IF($S37&lt;0,"⚠"&amp;INDEX('입력_구리근무자명단'!$A35:$ZZ35,1,$E$2+2),TEXT($S37,"yyyy-mm-dd")))</f>
        <v/>
      </c>
      <c r="AA37">
        <f>IF($R37="","",IF($T37&lt;0,"⚠"&amp;INDEX('입력_구리근무자명단'!$A35:$ZZ35,1,$E$2+3),TEXT($T37,"yyyy-mm-dd")))</f>
        <v/>
      </c>
      <c r="AB37">
        <f>AB36+IF($R37="",0,1)</f>
        <v/>
      </c>
      <c r="AC37">
        <f>IF($R37="","",$AB37)</f>
        <v/>
      </c>
    </row>
    <row r="38">
      <c r="A38">
        <f>IFERROR(INDEX($O$6:$O$1505,MATCH(33,$AC$6:$AC$1505,0)),"")</f>
        <v/>
      </c>
      <c r="B38">
        <f>IF(ISNUMBER($A38),INDEX($P$6:$P$1505,$A38-3),"")</f>
        <v/>
      </c>
      <c r="C38">
        <f>IF(ISNUMBER($A38),INDEX($Q$6:$Q$1505,$A38-3),"")</f>
        <v/>
      </c>
      <c r="D38">
        <f>IF(ISNUMBER($A38),INDEX($R$6:$R$1505,$A38-3),"")</f>
        <v/>
      </c>
      <c r="E38">
        <f>IF(ISNUMBER($A38),$G$2,"")</f>
        <v/>
      </c>
      <c r="F38">
        <f>IF(ISNUMBER($A38),INDEX($Z$6:$Z$1505,$A38-3),"")</f>
        <v/>
      </c>
      <c r="G38">
        <f>IF(ISNUMBER($A38),INDEX($AA$6:$AA$1505,$A38-3),"")</f>
        <v/>
      </c>
      <c r="H38">
        <f>IF(ISNUMBER($A38),INDEX($U$6:$U$1505,$A38-3),"")</f>
        <v/>
      </c>
      <c r="I38">
        <f>IF(ISNUMBER($A38),INDEX($V$6:$V$1505,$A38-3),"")</f>
        <v/>
      </c>
      <c r="J38">
        <f>IF(ISNUMBER($A38),INDEX($W$6:$W$1505,$A38-3),"")</f>
        <v/>
      </c>
      <c r="K38">
        <f>IF(ISNUMBER($A38),INDEX($X$6:$X$1505,$A38-3),"")</f>
        <v/>
      </c>
      <c r="L38">
        <f>IF(ISNUMBER($A38),INDEX($Y$6:$Y$1505,$A38-3),"")</f>
        <v/>
      </c>
      <c r="O38">
        <f>36</f>
        <v/>
      </c>
      <c r="P38">
        <f>IF(TRIM('입력_구리근무자명단'!$A36&amp;"")&lt;&gt;"",TRIM('입력_구리근무자명단'!$A36&amp;""),P37)</f>
        <v/>
      </c>
      <c r="Q38">
        <f>'입력_구리근무자명단'!$B36&amp;""</f>
        <v/>
      </c>
      <c r="R38">
        <f>IF($E$2="","",TRIM(INDEX('입력_구리근무자명단'!$A36:$ZZ36,1,$E$2+IF($G$2="확정",1,0))&amp;""))</f>
        <v/>
      </c>
      <c r="S38">
        <f>IF($R38="","",IF(INDEX('입력_구리근무자명단'!$A36:$ZZ36,1,$E$2+2)&amp;""="",급여기준월,IF(ISNUMBER(INDEX('입력_구리근무자명단'!$A36:$ZZ36,1,$E$2+2)),INDEX('입력_구리근무자명단'!$A36:$ZZ36,1,$E$2+2),IFERROR(DATE(VALUE(LEFT(INDEX('입력_구리근무자명단'!$A36:$ZZ36,1,$E$2+2),4)),VALUE(MID(INDEX('입력_구리근무자명단'!$A36:$ZZ36,1,$E$2+2),6,2)),VALUE(MID(INDEX('입력_구리근무자명단'!$A36:$ZZ36,1,$E$2+2),9,2))),-1))))</f>
        <v/>
      </c>
      <c r="T38">
        <f>IF($R38="","",IF(INDEX('입력_구리근무자명단'!$A36:$ZZ36,1,$E$2+3)&amp;""="",EOMONTH(급여기준월,0),IF(ISNUMBER(INDEX('입력_구리근무자명단'!$A36:$ZZ36,1,$E$2+3)),INDEX('입력_구리근무자명단'!$A36:$ZZ36,1,$E$2+3),IFERROR(DATE(VALUE(LEFT(INDEX('입력_구리근무자명단'!$A36:$ZZ36,1,$E$2+3),4)),VALUE(MID(INDEX('입력_구리근무자명단'!$A36:$ZZ36,1,$E$2+3),6,2)),VALUE(MID(INDEX('입력_구리근무자명단'!$A36:$ZZ36,1,$E$2+3),9,2))),-1))))</f>
        <v/>
      </c>
      <c r="U38">
        <f>IF($R38="","",IF(OR($S38&lt;0,$T38&lt;0),0,MAX(0,MIN($T38,EOMONTH(급여기준월,0))-MAX($S38,급여기준월)+1)))</f>
        <v/>
      </c>
      <c r="V38">
        <f>IF($R38="","",TRIM(INDEX('입력_구리근무자명단'!$A36:$ZZ36,1,$E$2+5)&amp;""))</f>
        <v/>
      </c>
      <c r="W38">
        <f>IF(ISNUMBER(SEARCH("구리독자",$V38)),"구리독자","")</f>
        <v/>
      </c>
      <c r="X38">
        <f>IF($R38="","",$R38&amp;"|"&amp;IF(OR($Q38="인턴",ISNUMBER(SEARCH("수련교육부",$P38))),"인턴",$P38))</f>
        <v/>
      </c>
      <c r="Y38">
        <f>IF($R38="","",IF(COUNTIF(명단표[이름|과],$X38)=1,"명단 일치",IF(AND(COUNTIF(명단표[이름|과],$X38)=0,COUNTIF(명단표[이름],$R38)=1),"명단 일치(이름만, 과 다름)",IF(COUNTIF(명단표[이름],$R38)=0,IF(COUNTIF(기본자료표[이름],$R38)&gt;0,"명단에 없음(기본자료에는 있음)","명단에 없음"),"동명이인 확인"))))</f>
        <v/>
      </c>
      <c r="Z38">
        <f>IF($R38="","",IF($S38&lt;0,"⚠"&amp;INDEX('입력_구리근무자명단'!$A36:$ZZ36,1,$E$2+2),TEXT($S38,"yyyy-mm-dd")))</f>
        <v/>
      </c>
      <c r="AA38">
        <f>IF($R38="","",IF($T38&lt;0,"⚠"&amp;INDEX('입력_구리근무자명단'!$A36:$ZZ36,1,$E$2+3),TEXT($T38,"yyyy-mm-dd")))</f>
        <v/>
      </c>
      <c r="AB38">
        <f>AB37+IF($R38="",0,1)</f>
        <v/>
      </c>
      <c r="AC38">
        <f>IF($R38="","",$AB38)</f>
        <v/>
      </c>
    </row>
    <row r="39">
      <c r="A39">
        <f>IFERROR(INDEX($O$6:$O$1505,MATCH(34,$AC$6:$AC$1505,0)),"")</f>
        <v/>
      </c>
      <c r="B39">
        <f>IF(ISNUMBER($A39),INDEX($P$6:$P$1505,$A39-3),"")</f>
        <v/>
      </c>
      <c r="C39">
        <f>IF(ISNUMBER($A39),INDEX($Q$6:$Q$1505,$A39-3),"")</f>
        <v/>
      </c>
      <c r="D39">
        <f>IF(ISNUMBER($A39),INDEX($R$6:$R$1505,$A39-3),"")</f>
        <v/>
      </c>
      <c r="E39">
        <f>IF(ISNUMBER($A39),$G$2,"")</f>
        <v/>
      </c>
      <c r="F39">
        <f>IF(ISNUMBER($A39),INDEX($Z$6:$Z$1505,$A39-3),"")</f>
        <v/>
      </c>
      <c r="G39">
        <f>IF(ISNUMBER($A39),INDEX($AA$6:$AA$1505,$A39-3),"")</f>
        <v/>
      </c>
      <c r="H39">
        <f>IF(ISNUMBER($A39),INDEX($U$6:$U$1505,$A39-3),"")</f>
        <v/>
      </c>
      <c r="I39">
        <f>IF(ISNUMBER($A39),INDEX($V$6:$V$1505,$A39-3),"")</f>
        <v/>
      </c>
      <c r="J39">
        <f>IF(ISNUMBER($A39),INDEX($W$6:$W$1505,$A39-3),"")</f>
        <v/>
      </c>
      <c r="K39">
        <f>IF(ISNUMBER($A39),INDEX($X$6:$X$1505,$A39-3),"")</f>
        <v/>
      </c>
      <c r="L39">
        <f>IF(ISNUMBER($A39),INDEX($Y$6:$Y$1505,$A39-3),"")</f>
        <v/>
      </c>
      <c r="O39">
        <f>37</f>
        <v/>
      </c>
      <c r="P39">
        <f>IF(TRIM('입력_구리근무자명단'!$A37&amp;"")&lt;&gt;"",TRIM('입력_구리근무자명단'!$A37&amp;""),P38)</f>
        <v/>
      </c>
      <c r="Q39">
        <f>'입력_구리근무자명단'!$B37&amp;""</f>
        <v/>
      </c>
      <c r="R39">
        <f>IF($E$2="","",TRIM(INDEX('입력_구리근무자명단'!$A37:$ZZ37,1,$E$2+IF($G$2="확정",1,0))&amp;""))</f>
        <v/>
      </c>
      <c r="S39">
        <f>IF($R39="","",IF(INDEX('입력_구리근무자명단'!$A37:$ZZ37,1,$E$2+2)&amp;""="",급여기준월,IF(ISNUMBER(INDEX('입력_구리근무자명단'!$A37:$ZZ37,1,$E$2+2)),INDEX('입력_구리근무자명단'!$A37:$ZZ37,1,$E$2+2),IFERROR(DATE(VALUE(LEFT(INDEX('입력_구리근무자명단'!$A37:$ZZ37,1,$E$2+2),4)),VALUE(MID(INDEX('입력_구리근무자명단'!$A37:$ZZ37,1,$E$2+2),6,2)),VALUE(MID(INDEX('입력_구리근무자명단'!$A37:$ZZ37,1,$E$2+2),9,2))),-1))))</f>
        <v/>
      </c>
      <c r="T39">
        <f>IF($R39="","",IF(INDEX('입력_구리근무자명단'!$A37:$ZZ37,1,$E$2+3)&amp;""="",EOMONTH(급여기준월,0),IF(ISNUMBER(INDEX('입력_구리근무자명단'!$A37:$ZZ37,1,$E$2+3)),INDEX('입력_구리근무자명단'!$A37:$ZZ37,1,$E$2+3),IFERROR(DATE(VALUE(LEFT(INDEX('입력_구리근무자명단'!$A37:$ZZ37,1,$E$2+3),4)),VALUE(MID(INDEX('입력_구리근무자명단'!$A37:$ZZ37,1,$E$2+3),6,2)),VALUE(MID(INDEX('입력_구리근무자명단'!$A37:$ZZ37,1,$E$2+3),9,2))),-1))))</f>
        <v/>
      </c>
      <c r="U39">
        <f>IF($R39="","",IF(OR($S39&lt;0,$T39&lt;0),0,MAX(0,MIN($T39,EOMONTH(급여기준월,0))-MAX($S39,급여기준월)+1)))</f>
        <v/>
      </c>
      <c r="V39">
        <f>IF($R39="","",TRIM(INDEX('입력_구리근무자명단'!$A37:$ZZ37,1,$E$2+5)&amp;""))</f>
        <v/>
      </c>
      <c r="W39">
        <f>IF(ISNUMBER(SEARCH("구리독자",$V39)),"구리독자","")</f>
        <v/>
      </c>
      <c r="X39">
        <f>IF($R39="","",$R39&amp;"|"&amp;IF(OR($Q39="인턴",ISNUMBER(SEARCH("수련교육부",$P39))),"인턴",$P39))</f>
        <v/>
      </c>
      <c r="Y39">
        <f>IF($R39="","",IF(COUNTIF(명단표[이름|과],$X39)=1,"명단 일치",IF(AND(COUNTIF(명단표[이름|과],$X39)=0,COUNTIF(명단표[이름],$R39)=1),"명단 일치(이름만, 과 다름)",IF(COUNTIF(명단표[이름],$R39)=0,IF(COUNTIF(기본자료표[이름],$R39)&gt;0,"명단에 없음(기본자료에는 있음)","명단에 없음"),"동명이인 확인"))))</f>
        <v/>
      </c>
      <c r="Z39">
        <f>IF($R39="","",IF($S39&lt;0,"⚠"&amp;INDEX('입력_구리근무자명단'!$A37:$ZZ37,1,$E$2+2),TEXT($S39,"yyyy-mm-dd")))</f>
        <v/>
      </c>
      <c r="AA39">
        <f>IF($R39="","",IF($T39&lt;0,"⚠"&amp;INDEX('입력_구리근무자명단'!$A37:$ZZ37,1,$E$2+3),TEXT($T39,"yyyy-mm-dd")))</f>
        <v/>
      </c>
      <c r="AB39">
        <f>AB38+IF($R39="",0,1)</f>
        <v/>
      </c>
      <c r="AC39">
        <f>IF($R39="","",$AB39)</f>
        <v/>
      </c>
    </row>
    <row r="40">
      <c r="A40">
        <f>IFERROR(INDEX($O$6:$O$1505,MATCH(35,$AC$6:$AC$1505,0)),"")</f>
        <v/>
      </c>
      <c r="B40">
        <f>IF(ISNUMBER($A40),INDEX($P$6:$P$1505,$A40-3),"")</f>
        <v/>
      </c>
      <c r="C40">
        <f>IF(ISNUMBER($A40),INDEX($Q$6:$Q$1505,$A40-3),"")</f>
        <v/>
      </c>
      <c r="D40">
        <f>IF(ISNUMBER($A40),INDEX($R$6:$R$1505,$A40-3),"")</f>
        <v/>
      </c>
      <c r="E40">
        <f>IF(ISNUMBER($A40),$G$2,"")</f>
        <v/>
      </c>
      <c r="F40">
        <f>IF(ISNUMBER($A40),INDEX($Z$6:$Z$1505,$A40-3),"")</f>
        <v/>
      </c>
      <c r="G40">
        <f>IF(ISNUMBER($A40),INDEX($AA$6:$AA$1505,$A40-3),"")</f>
        <v/>
      </c>
      <c r="H40">
        <f>IF(ISNUMBER($A40),INDEX($U$6:$U$1505,$A40-3),"")</f>
        <v/>
      </c>
      <c r="I40">
        <f>IF(ISNUMBER($A40),INDEX($V$6:$V$1505,$A40-3),"")</f>
        <v/>
      </c>
      <c r="J40">
        <f>IF(ISNUMBER($A40),INDEX($W$6:$W$1505,$A40-3),"")</f>
        <v/>
      </c>
      <c r="K40">
        <f>IF(ISNUMBER($A40),INDEX($X$6:$X$1505,$A40-3),"")</f>
        <v/>
      </c>
      <c r="L40">
        <f>IF(ISNUMBER($A40),INDEX($Y$6:$Y$1505,$A40-3),"")</f>
        <v/>
      </c>
      <c r="O40">
        <f>38</f>
        <v/>
      </c>
      <c r="P40">
        <f>IF(TRIM('입력_구리근무자명단'!$A38&amp;"")&lt;&gt;"",TRIM('입력_구리근무자명단'!$A38&amp;""),P39)</f>
        <v/>
      </c>
      <c r="Q40">
        <f>'입력_구리근무자명단'!$B38&amp;""</f>
        <v/>
      </c>
      <c r="R40">
        <f>IF($E$2="","",TRIM(INDEX('입력_구리근무자명단'!$A38:$ZZ38,1,$E$2+IF($G$2="확정",1,0))&amp;""))</f>
        <v/>
      </c>
      <c r="S40">
        <f>IF($R40="","",IF(INDEX('입력_구리근무자명단'!$A38:$ZZ38,1,$E$2+2)&amp;""="",급여기준월,IF(ISNUMBER(INDEX('입력_구리근무자명단'!$A38:$ZZ38,1,$E$2+2)),INDEX('입력_구리근무자명단'!$A38:$ZZ38,1,$E$2+2),IFERROR(DATE(VALUE(LEFT(INDEX('입력_구리근무자명단'!$A38:$ZZ38,1,$E$2+2),4)),VALUE(MID(INDEX('입력_구리근무자명단'!$A38:$ZZ38,1,$E$2+2),6,2)),VALUE(MID(INDEX('입력_구리근무자명단'!$A38:$ZZ38,1,$E$2+2),9,2))),-1))))</f>
        <v/>
      </c>
      <c r="T40">
        <f>IF($R40="","",IF(INDEX('입력_구리근무자명단'!$A38:$ZZ38,1,$E$2+3)&amp;""="",EOMONTH(급여기준월,0),IF(ISNUMBER(INDEX('입력_구리근무자명단'!$A38:$ZZ38,1,$E$2+3)),INDEX('입력_구리근무자명단'!$A38:$ZZ38,1,$E$2+3),IFERROR(DATE(VALUE(LEFT(INDEX('입력_구리근무자명단'!$A38:$ZZ38,1,$E$2+3),4)),VALUE(MID(INDEX('입력_구리근무자명단'!$A38:$ZZ38,1,$E$2+3),6,2)),VALUE(MID(INDEX('입력_구리근무자명단'!$A38:$ZZ38,1,$E$2+3),9,2))),-1))))</f>
        <v/>
      </c>
      <c r="U40">
        <f>IF($R40="","",IF(OR($S40&lt;0,$T40&lt;0),0,MAX(0,MIN($T40,EOMONTH(급여기준월,0))-MAX($S40,급여기준월)+1)))</f>
        <v/>
      </c>
      <c r="V40">
        <f>IF($R40="","",TRIM(INDEX('입력_구리근무자명단'!$A38:$ZZ38,1,$E$2+5)&amp;""))</f>
        <v/>
      </c>
      <c r="W40">
        <f>IF(ISNUMBER(SEARCH("구리독자",$V40)),"구리독자","")</f>
        <v/>
      </c>
      <c r="X40">
        <f>IF($R40="","",$R40&amp;"|"&amp;IF(OR($Q40="인턴",ISNUMBER(SEARCH("수련교육부",$P40))),"인턴",$P40))</f>
        <v/>
      </c>
      <c r="Y40">
        <f>IF($R40="","",IF(COUNTIF(명단표[이름|과],$X40)=1,"명단 일치",IF(AND(COUNTIF(명단표[이름|과],$X40)=0,COUNTIF(명단표[이름],$R40)=1),"명단 일치(이름만, 과 다름)",IF(COUNTIF(명단표[이름],$R40)=0,IF(COUNTIF(기본자료표[이름],$R40)&gt;0,"명단에 없음(기본자료에는 있음)","명단에 없음"),"동명이인 확인"))))</f>
        <v/>
      </c>
      <c r="Z40">
        <f>IF($R40="","",IF($S40&lt;0,"⚠"&amp;INDEX('입력_구리근무자명단'!$A38:$ZZ38,1,$E$2+2),TEXT($S40,"yyyy-mm-dd")))</f>
        <v/>
      </c>
      <c r="AA40">
        <f>IF($R40="","",IF($T40&lt;0,"⚠"&amp;INDEX('입력_구리근무자명단'!$A38:$ZZ38,1,$E$2+3),TEXT($T40,"yyyy-mm-dd")))</f>
        <v/>
      </c>
      <c r="AB40">
        <f>AB39+IF($R40="",0,1)</f>
        <v/>
      </c>
      <c r="AC40">
        <f>IF($R40="","",$AB40)</f>
        <v/>
      </c>
    </row>
    <row r="41">
      <c r="A41">
        <f>IFERROR(INDEX($O$6:$O$1505,MATCH(36,$AC$6:$AC$1505,0)),"")</f>
        <v/>
      </c>
      <c r="B41">
        <f>IF(ISNUMBER($A41),INDEX($P$6:$P$1505,$A41-3),"")</f>
        <v/>
      </c>
      <c r="C41">
        <f>IF(ISNUMBER($A41),INDEX($Q$6:$Q$1505,$A41-3),"")</f>
        <v/>
      </c>
      <c r="D41">
        <f>IF(ISNUMBER($A41),INDEX($R$6:$R$1505,$A41-3),"")</f>
        <v/>
      </c>
      <c r="E41">
        <f>IF(ISNUMBER($A41),$G$2,"")</f>
        <v/>
      </c>
      <c r="F41">
        <f>IF(ISNUMBER($A41),INDEX($Z$6:$Z$1505,$A41-3),"")</f>
        <v/>
      </c>
      <c r="G41">
        <f>IF(ISNUMBER($A41),INDEX($AA$6:$AA$1505,$A41-3),"")</f>
        <v/>
      </c>
      <c r="H41">
        <f>IF(ISNUMBER($A41),INDEX($U$6:$U$1505,$A41-3),"")</f>
        <v/>
      </c>
      <c r="I41">
        <f>IF(ISNUMBER($A41),INDEX($V$6:$V$1505,$A41-3),"")</f>
        <v/>
      </c>
      <c r="J41">
        <f>IF(ISNUMBER($A41),INDEX($W$6:$W$1505,$A41-3),"")</f>
        <v/>
      </c>
      <c r="K41">
        <f>IF(ISNUMBER($A41),INDEX($X$6:$X$1505,$A41-3),"")</f>
        <v/>
      </c>
      <c r="L41">
        <f>IF(ISNUMBER($A41),INDEX($Y$6:$Y$1505,$A41-3),"")</f>
        <v/>
      </c>
      <c r="O41">
        <f>39</f>
        <v/>
      </c>
      <c r="P41">
        <f>IF(TRIM('입력_구리근무자명단'!$A39&amp;"")&lt;&gt;"",TRIM('입력_구리근무자명단'!$A39&amp;""),P40)</f>
        <v/>
      </c>
      <c r="Q41">
        <f>'입력_구리근무자명단'!$B39&amp;""</f>
        <v/>
      </c>
      <c r="R41">
        <f>IF($E$2="","",TRIM(INDEX('입력_구리근무자명단'!$A39:$ZZ39,1,$E$2+IF($G$2="확정",1,0))&amp;""))</f>
        <v/>
      </c>
      <c r="S41">
        <f>IF($R41="","",IF(INDEX('입력_구리근무자명단'!$A39:$ZZ39,1,$E$2+2)&amp;""="",급여기준월,IF(ISNUMBER(INDEX('입력_구리근무자명단'!$A39:$ZZ39,1,$E$2+2)),INDEX('입력_구리근무자명단'!$A39:$ZZ39,1,$E$2+2),IFERROR(DATE(VALUE(LEFT(INDEX('입력_구리근무자명단'!$A39:$ZZ39,1,$E$2+2),4)),VALUE(MID(INDEX('입력_구리근무자명단'!$A39:$ZZ39,1,$E$2+2),6,2)),VALUE(MID(INDEX('입력_구리근무자명단'!$A39:$ZZ39,1,$E$2+2),9,2))),-1))))</f>
        <v/>
      </c>
      <c r="T41">
        <f>IF($R41="","",IF(INDEX('입력_구리근무자명단'!$A39:$ZZ39,1,$E$2+3)&amp;""="",EOMONTH(급여기준월,0),IF(ISNUMBER(INDEX('입력_구리근무자명단'!$A39:$ZZ39,1,$E$2+3)),INDEX('입력_구리근무자명단'!$A39:$ZZ39,1,$E$2+3),IFERROR(DATE(VALUE(LEFT(INDEX('입력_구리근무자명단'!$A39:$ZZ39,1,$E$2+3),4)),VALUE(MID(INDEX('입력_구리근무자명단'!$A39:$ZZ39,1,$E$2+3),6,2)),VALUE(MID(INDEX('입력_구리근무자명단'!$A39:$ZZ39,1,$E$2+3),9,2))),-1))))</f>
        <v/>
      </c>
      <c r="U41">
        <f>IF($R41="","",IF(OR($S41&lt;0,$T41&lt;0),0,MAX(0,MIN($T41,EOMONTH(급여기준월,0))-MAX($S41,급여기준월)+1)))</f>
        <v/>
      </c>
      <c r="V41">
        <f>IF($R41="","",TRIM(INDEX('입력_구리근무자명단'!$A39:$ZZ39,1,$E$2+5)&amp;""))</f>
        <v/>
      </c>
      <c r="W41">
        <f>IF(ISNUMBER(SEARCH("구리독자",$V41)),"구리독자","")</f>
        <v/>
      </c>
      <c r="X41">
        <f>IF($R41="","",$R41&amp;"|"&amp;IF(OR($Q41="인턴",ISNUMBER(SEARCH("수련교육부",$P41))),"인턴",$P41))</f>
        <v/>
      </c>
      <c r="Y41">
        <f>IF($R41="","",IF(COUNTIF(명단표[이름|과],$X41)=1,"명단 일치",IF(AND(COUNTIF(명단표[이름|과],$X41)=0,COUNTIF(명단표[이름],$R41)=1),"명단 일치(이름만, 과 다름)",IF(COUNTIF(명단표[이름],$R41)=0,IF(COUNTIF(기본자료표[이름],$R41)&gt;0,"명단에 없음(기본자료에는 있음)","명단에 없음"),"동명이인 확인"))))</f>
        <v/>
      </c>
      <c r="Z41">
        <f>IF($R41="","",IF($S41&lt;0,"⚠"&amp;INDEX('입력_구리근무자명단'!$A39:$ZZ39,1,$E$2+2),TEXT($S41,"yyyy-mm-dd")))</f>
        <v/>
      </c>
      <c r="AA41">
        <f>IF($R41="","",IF($T41&lt;0,"⚠"&amp;INDEX('입력_구리근무자명단'!$A39:$ZZ39,1,$E$2+3),TEXT($T41,"yyyy-mm-dd")))</f>
        <v/>
      </c>
      <c r="AB41">
        <f>AB40+IF($R41="",0,1)</f>
        <v/>
      </c>
      <c r="AC41">
        <f>IF($R41="","",$AB41)</f>
        <v/>
      </c>
    </row>
    <row r="42">
      <c r="A42">
        <f>IFERROR(INDEX($O$6:$O$1505,MATCH(37,$AC$6:$AC$1505,0)),"")</f>
        <v/>
      </c>
      <c r="B42">
        <f>IF(ISNUMBER($A42),INDEX($P$6:$P$1505,$A42-3),"")</f>
        <v/>
      </c>
      <c r="C42">
        <f>IF(ISNUMBER($A42),INDEX($Q$6:$Q$1505,$A42-3),"")</f>
        <v/>
      </c>
      <c r="D42">
        <f>IF(ISNUMBER($A42),INDEX($R$6:$R$1505,$A42-3),"")</f>
        <v/>
      </c>
      <c r="E42">
        <f>IF(ISNUMBER($A42),$G$2,"")</f>
        <v/>
      </c>
      <c r="F42">
        <f>IF(ISNUMBER($A42),INDEX($Z$6:$Z$1505,$A42-3),"")</f>
        <v/>
      </c>
      <c r="G42">
        <f>IF(ISNUMBER($A42),INDEX($AA$6:$AA$1505,$A42-3),"")</f>
        <v/>
      </c>
      <c r="H42">
        <f>IF(ISNUMBER($A42),INDEX($U$6:$U$1505,$A42-3),"")</f>
        <v/>
      </c>
      <c r="I42">
        <f>IF(ISNUMBER($A42),INDEX($V$6:$V$1505,$A42-3),"")</f>
        <v/>
      </c>
      <c r="J42">
        <f>IF(ISNUMBER($A42),INDEX($W$6:$W$1505,$A42-3),"")</f>
        <v/>
      </c>
      <c r="K42">
        <f>IF(ISNUMBER($A42),INDEX($X$6:$X$1505,$A42-3),"")</f>
        <v/>
      </c>
      <c r="L42">
        <f>IF(ISNUMBER($A42),INDEX($Y$6:$Y$1505,$A42-3),"")</f>
        <v/>
      </c>
      <c r="O42">
        <f>40</f>
        <v/>
      </c>
      <c r="P42">
        <f>IF(TRIM('입력_구리근무자명단'!$A40&amp;"")&lt;&gt;"",TRIM('입력_구리근무자명단'!$A40&amp;""),P41)</f>
        <v/>
      </c>
      <c r="Q42">
        <f>'입력_구리근무자명단'!$B40&amp;""</f>
        <v/>
      </c>
      <c r="R42">
        <f>IF($E$2="","",TRIM(INDEX('입력_구리근무자명단'!$A40:$ZZ40,1,$E$2+IF($G$2="확정",1,0))&amp;""))</f>
        <v/>
      </c>
      <c r="S42">
        <f>IF($R42="","",IF(INDEX('입력_구리근무자명단'!$A40:$ZZ40,1,$E$2+2)&amp;""="",급여기준월,IF(ISNUMBER(INDEX('입력_구리근무자명단'!$A40:$ZZ40,1,$E$2+2)),INDEX('입력_구리근무자명단'!$A40:$ZZ40,1,$E$2+2),IFERROR(DATE(VALUE(LEFT(INDEX('입력_구리근무자명단'!$A40:$ZZ40,1,$E$2+2),4)),VALUE(MID(INDEX('입력_구리근무자명단'!$A40:$ZZ40,1,$E$2+2),6,2)),VALUE(MID(INDEX('입력_구리근무자명단'!$A40:$ZZ40,1,$E$2+2),9,2))),-1))))</f>
        <v/>
      </c>
      <c r="T42">
        <f>IF($R42="","",IF(INDEX('입력_구리근무자명단'!$A40:$ZZ40,1,$E$2+3)&amp;""="",EOMONTH(급여기준월,0),IF(ISNUMBER(INDEX('입력_구리근무자명단'!$A40:$ZZ40,1,$E$2+3)),INDEX('입력_구리근무자명단'!$A40:$ZZ40,1,$E$2+3),IFERROR(DATE(VALUE(LEFT(INDEX('입력_구리근무자명단'!$A40:$ZZ40,1,$E$2+3),4)),VALUE(MID(INDEX('입력_구리근무자명단'!$A40:$ZZ40,1,$E$2+3),6,2)),VALUE(MID(INDEX('입력_구리근무자명단'!$A40:$ZZ40,1,$E$2+3),9,2))),-1))))</f>
        <v/>
      </c>
      <c r="U42">
        <f>IF($R42="","",IF(OR($S42&lt;0,$T42&lt;0),0,MAX(0,MIN($T42,EOMONTH(급여기준월,0))-MAX($S42,급여기준월)+1)))</f>
        <v/>
      </c>
      <c r="V42">
        <f>IF($R42="","",TRIM(INDEX('입력_구리근무자명단'!$A40:$ZZ40,1,$E$2+5)&amp;""))</f>
        <v/>
      </c>
      <c r="W42">
        <f>IF(ISNUMBER(SEARCH("구리독자",$V42)),"구리독자","")</f>
        <v/>
      </c>
      <c r="X42">
        <f>IF($R42="","",$R42&amp;"|"&amp;IF(OR($Q42="인턴",ISNUMBER(SEARCH("수련교육부",$P42))),"인턴",$P42))</f>
        <v/>
      </c>
      <c r="Y42">
        <f>IF($R42="","",IF(COUNTIF(명단표[이름|과],$X42)=1,"명단 일치",IF(AND(COUNTIF(명단표[이름|과],$X42)=0,COUNTIF(명단표[이름],$R42)=1),"명단 일치(이름만, 과 다름)",IF(COUNTIF(명단표[이름],$R42)=0,IF(COUNTIF(기본자료표[이름],$R42)&gt;0,"명단에 없음(기본자료에는 있음)","명단에 없음"),"동명이인 확인"))))</f>
        <v/>
      </c>
      <c r="Z42">
        <f>IF($R42="","",IF($S42&lt;0,"⚠"&amp;INDEX('입력_구리근무자명단'!$A40:$ZZ40,1,$E$2+2),TEXT($S42,"yyyy-mm-dd")))</f>
        <v/>
      </c>
      <c r="AA42">
        <f>IF($R42="","",IF($T42&lt;0,"⚠"&amp;INDEX('입력_구리근무자명단'!$A40:$ZZ40,1,$E$2+3),TEXT($T42,"yyyy-mm-dd")))</f>
        <v/>
      </c>
      <c r="AB42">
        <f>AB41+IF($R42="",0,1)</f>
        <v/>
      </c>
      <c r="AC42">
        <f>IF($R42="","",$AB42)</f>
        <v/>
      </c>
    </row>
    <row r="43">
      <c r="A43">
        <f>IFERROR(INDEX($O$6:$O$1505,MATCH(38,$AC$6:$AC$1505,0)),"")</f>
        <v/>
      </c>
      <c r="B43">
        <f>IF(ISNUMBER($A43),INDEX($P$6:$P$1505,$A43-3),"")</f>
        <v/>
      </c>
      <c r="C43">
        <f>IF(ISNUMBER($A43),INDEX($Q$6:$Q$1505,$A43-3),"")</f>
        <v/>
      </c>
      <c r="D43">
        <f>IF(ISNUMBER($A43),INDEX($R$6:$R$1505,$A43-3),"")</f>
        <v/>
      </c>
      <c r="E43">
        <f>IF(ISNUMBER($A43),$G$2,"")</f>
        <v/>
      </c>
      <c r="F43">
        <f>IF(ISNUMBER($A43),INDEX($Z$6:$Z$1505,$A43-3),"")</f>
        <v/>
      </c>
      <c r="G43">
        <f>IF(ISNUMBER($A43),INDEX($AA$6:$AA$1505,$A43-3),"")</f>
        <v/>
      </c>
      <c r="H43">
        <f>IF(ISNUMBER($A43),INDEX($U$6:$U$1505,$A43-3),"")</f>
        <v/>
      </c>
      <c r="I43">
        <f>IF(ISNUMBER($A43),INDEX($V$6:$V$1505,$A43-3),"")</f>
        <v/>
      </c>
      <c r="J43">
        <f>IF(ISNUMBER($A43),INDEX($W$6:$W$1505,$A43-3),"")</f>
        <v/>
      </c>
      <c r="K43">
        <f>IF(ISNUMBER($A43),INDEX($X$6:$X$1505,$A43-3),"")</f>
        <v/>
      </c>
      <c r="L43">
        <f>IF(ISNUMBER($A43),INDEX($Y$6:$Y$1505,$A43-3),"")</f>
        <v/>
      </c>
      <c r="O43">
        <f>41</f>
        <v/>
      </c>
      <c r="P43">
        <f>IF(TRIM('입력_구리근무자명단'!$A41&amp;"")&lt;&gt;"",TRIM('입력_구리근무자명단'!$A41&amp;""),P42)</f>
        <v/>
      </c>
      <c r="Q43">
        <f>'입력_구리근무자명단'!$B41&amp;""</f>
        <v/>
      </c>
      <c r="R43">
        <f>IF($E$2="","",TRIM(INDEX('입력_구리근무자명단'!$A41:$ZZ41,1,$E$2+IF($G$2="확정",1,0))&amp;""))</f>
        <v/>
      </c>
      <c r="S43">
        <f>IF($R43="","",IF(INDEX('입력_구리근무자명단'!$A41:$ZZ41,1,$E$2+2)&amp;""="",급여기준월,IF(ISNUMBER(INDEX('입력_구리근무자명단'!$A41:$ZZ41,1,$E$2+2)),INDEX('입력_구리근무자명단'!$A41:$ZZ41,1,$E$2+2),IFERROR(DATE(VALUE(LEFT(INDEX('입력_구리근무자명단'!$A41:$ZZ41,1,$E$2+2),4)),VALUE(MID(INDEX('입력_구리근무자명단'!$A41:$ZZ41,1,$E$2+2),6,2)),VALUE(MID(INDEX('입력_구리근무자명단'!$A41:$ZZ41,1,$E$2+2),9,2))),-1))))</f>
        <v/>
      </c>
      <c r="T43">
        <f>IF($R43="","",IF(INDEX('입력_구리근무자명단'!$A41:$ZZ41,1,$E$2+3)&amp;""="",EOMONTH(급여기준월,0),IF(ISNUMBER(INDEX('입력_구리근무자명단'!$A41:$ZZ41,1,$E$2+3)),INDEX('입력_구리근무자명단'!$A41:$ZZ41,1,$E$2+3),IFERROR(DATE(VALUE(LEFT(INDEX('입력_구리근무자명단'!$A41:$ZZ41,1,$E$2+3),4)),VALUE(MID(INDEX('입력_구리근무자명단'!$A41:$ZZ41,1,$E$2+3),6,2)),VALUE(MID(INDEX('입력_구리근무자명단'!$A41:$ZZ41,1,$E$2+3),9,2))),-1))))</f>
        <v/>
      </c>
      <c r="U43">
        <f>IF($R43="","",IF(OR($S43&lt;0,$T43&lt;0),0,MAX(0,MIN($T43,EOMONTH(급여기준월,0))-MAX($S43,급여기준월)+1)))</f>
        <v/>
      </c>
      <c r="V43">
        <f>IF($R43="","",TRIM(INDEX('입력_구리근무자명단'!$A41:$ZZ41,1,$E$2+5)&amp;""))</f>
        <v/>
      </c>
      <c r="W43">
        <f>IF(ISNUMBER(SEARCH("구리독자",$V43)),"구리독자","")</f>
        <v/>
      </c>
      <c r="X43">
        <f>IF($R43="","",$R43&amp;"|"&amp;IF(OR($Q43="인턴",ISNUMBER(SEARCH("수련교육부",$P43))),"인턴",$P43))</f>
        <v/>
      </c>
      <c r="Y43">
        <f>IF($R43="","",IF(COUNTIF(명단표[이름|과],$X43)=1,"명단 일치",IF(AND(COUNTIF(명단표[이름|과],$X43)=0,COUNTIF(명단표[이름],$R43)=1),"명단 일치(이름만, 과 다름)",IF(COUNTIF(명단표[이름],$R43)=0,IF(COUNTIF(기본자료표[이름],$R43)&gt;0,"명단에 없음(기본자료에는 있음)","명단에 없음"),"동명이인 확인"))))</f>
        <v/>
      </c>
      <c r="Z43">
        <f>IF($R43="","",IF($S43&lt;0,"⚠"&amp;INDEX('입력_구리근무자명단'!$A41:$ZZ41,1,$E$2+2),TEXT($S43,"yyyy-mm-dd")))</f>
        <v/>
      </c>
      <c r="AA43">
        <f>IF($R43="","",IF($T43&lt;0,"⚠"&amp;INDEX('입력_구리근무자명단'!$A41:$ZZ41,1,$E$2+3),TEXT($T43,"yyyy-mm-dd")))</f>
        <v/>
      </c>
      <c r="AB43">
        <f>AB42+IF($R43="",0,1)</f>
        <v/>
      </c>
      <c r="AC43">
        <f>IF($R43="","",$AB43)</f>
        <v/>
      </c>
    </row>
    <row r="44">
      <c r="A44">
        <f>IFERROR(INDEX($O$6:$O$1505,MATCH(39,$AC$6:$AC$1505,0)),"")</f>
        <v/>
      </c>
      <c r="B44">
        <f>IF(ISNUMBER($A44),INDEX($P$6:$P$1505,$A44-3),"")</f>
        <v/>
      </c>
      <c r="C44">
        <f>IF(ISNUMBER($A44),INDEX($Q$6:$Q$1505,$A44-3),"")</f>
        <v/>
      </c>
      <c r="D44">
        <f>IF(ISNUMBER($A44),INDEX($R$6:$R$1505,$A44-3),"")</f>
        <v/>
      </c>
      <c r="E44">
        <f>IF(ISNUMBER($A44),$G$2,"")</f>
        <v/>
      </c>
      <c r="F44">
        <f>IF(ISNUMBER($A44),INDEX($Z$6:$Z$1505,$A44-3),"")</f>
        <v/>
      </c>
      <c r="G44">
        <f>IF(ISNUMBER($A44),INDEX($AA$6:$AA$1505,$A44-3),"")</f>
        <v/>
      </c>
      <c r="H44">
        <f>IF(ISNUMBER($A44),INDEX($U$6:$U$1505,$A44-3),"")</f>
        <v/>
      </c>
      <c r="I44">
        <f>IF(ISNUMBER($A44),INDEX($V$6:$V$1505,$A44-3),"")</f>
        <v/>
      </c>
      <c r="J44">
        <f>IF(ISNUMBER($A44),INDEX($W$6:$W$1505,$A44-3),"")</f>
        <v/>
      </c>
      <c r="K44">
        <f>IF(ISNUMBER($A44),INDEX($X$6:$X$1505,$A44-3),"")</f>
        <v/>
      </c>
      <c r="L44">
        <f>IF(ISNUMBER($A44),INDEX($Y$6:$Y$1505,$A44-3),"")</f>
        <v/>
      </c>
      <c r="O44">
        <f>42</f>
        <v/>
      </c>
      <c r="P44">
        <f>IF(TRIM('입력_구리근무자명단'!$A42&amp;"")&lt;&gt;"",TRIM('입력_구리근무자명단'!$A42&amp;""),P43)</f>
        <v/>
      </c>
      <c r="Q44">
        <f>'입력_구리근무자명단'!$B42&amp;""</f>
        <v/>
      </c>
      <c r="R44">
        <f>IF($E$2="","",TRIM(INDEX('입력_구리근무자명단'!$A42:$ZZ42,1,$E$2+IF($G$2="확정",1,0))&amp;""))</f>
        <v/>
      </c>
      <c r="S44">
        <f>IF($R44="","",IF(INDEX('입력_구리근무자명단'!$A42:$ZZ42,1,$E$2+2)&amp;""="",급여기준월,IF(ISNUMBER(INDEX('입력_구리근무자명단'!$A42:$ZZ42,1,$E$2+2)),INDEX('입력_구리근무자명단'!$A42:$ZZ42,1,$E$2+2),IFERROR(DATE(VALUE(LEFT(INDEX('입력_구리근무자명단'!$A42:$ZZ42,1,$E$2+2),4)),VALUE(MID(INDEX('입력_구리근무자명단'!$A42:$ZZ42,1,$E$2+2),6,2)),VALUE(MID(INDEX('입력_구리근무자명단'!$A42:$ZZ42,1,$E$2+2),9,2))),-1))))</f>
        <v/>
      </c>
      <c r="T44">
        <f>IF($R44="","",IF(INDEX('입력_구리근무자명단'!$A42:$ZZ42,1,$E$2+3)&amp;""="",EOMONTH(급여기준월,0),IF(ISNUMBER(INDEX('입력_구리근무자명단'!$A42:$ZZ42,1,$E$2+3)),INDEX('입력_구리근무자명단'!$A42:$ZZ42,1,$E$2+3),IFERROR(DATE(VALUE(LEFT(INDEX('입력_구리근무자명단'!$A42:$ZZ42,1,$E$2+3),4)),VALUE(MID(INDEX('입력_구리근무자명단'!$A42:$ZZ42,1,$E$2+3),6,2)),VALUE(MID(INDEX('입력_구리근무자명단'!$A42:$ZZ42,1,$E$2+3),9,2))),-1))))</f>
        <v/>
      </c>
      <c r="U44">
        <f>IF($R44="","",IF(OR($S44&lt;0,$T44&lt;0),0,MAX(0,MIN($T44,EOMONTH(급여기준월,0))-MAX($S44,급여기준월)+1)))</f>
        <v/>
      </c>
      <c r="V44">
        <f>IF($R44="","",TRIM(INDEX('입력_구리근무자명단'!$A42:$ZZ42,1,$E$2+5)&amp;""))</f>
        <v/>
      </c>
      <c r="W44">
        <f>IF(ISNUMBER(SEARCH("구리독자",$V44)),"구리독자","")</f>
        <v/>
      </c>
      <c r="X44">
        <f>IF($R44="","",$R44&amp;"|"&amp;IF(OR($Q44="인턴",ISNUMBER(SEARCH("수련교육부",$P44))),"인턴",$P44))</f>
        <v/>
      </c>
      <c r="Y44">
        <f>IF($R44="","",IF(COUNTIF(명단표[이름|과],$X44)=1,"명단 일치",IF(AND(COUNTIF(명단표[이름|과],$X44)=0,COUNTIF(명단표[이름],$R44)=1),"명단 일치(이름만, 과 다름)",IF(COUNTIF(명단표[이름],$R44)=0,IF(COUNTIF(기본자료표[이름],$R44)&gt;0,"명단에 없음(기본자료에는 있음)","명단에 없음"),"동명이인 확인"))))</f>
        <v/>
      </c>
      <c r="Z44">
        <f>IF($R44="","",IF($S44&lt;0,"⚠"&amp;INDEX('입력_구리근무자명단'!$A42:$ZZ42,1,$E$2+2),TEXT($S44,"yyyy-mm-dd")))</f>
        <v/>
      </c>
      <c r="AA44">
        <f>IF($R44="","",IF($T44&lt;0,"⚠"&amp;INDEX('입력_구리근무자명단'!$A42:$ZZ42,1,$E$2+3),TEXT($T44,"yyyy-mm-dd")))</f>
        <v/>
      </c>
      <c r="AB44">
        <f>AB43+IF($R44="",0,1)</f>
        <v/>
      </c>
      <c r="AC44">
        <f>IF($R44="","",$AB44)</f>
        <v/>
      </c>
    </row>
    <row r="45">
      <c r="A45">
        <f>IFERROR(INDEX($O$6:$O$1505,MATCH(40,$AC$6:$AC$1505,0)),"")</f>
        <v/>
      </c>
      <c r="B45">
        <f>IF(ISNUMBER($A45),INDEX($P$6:$P$1505,$A45-3),"")</f>
        <v/>
      </c>
      <c r="C45">
        <f>IF(ISNUMBER($A45),INDEX($Q$6:$Q$1505,$A45-3),"")</f>
        <v/>
      </c>
      <c r="D45">
        <f>IF(ISNUMBER($A45),INDEX($R$6:$R$1505,$A45-3),"")</f>
        <v/>
      </c>
      <c r="E45">
        <f>IF(ISNUMBER($A45),$G$2,"")</f>
        <v/>
      </c>
      <c r="F45">
        <f>IF(ISNUMBER($A45),INDEX($Z$6:$Z$1505,$A45-3),"")</f>
        <v/>
      </c>
      <c r="G45">
        <f>IF(ISNUMBER($A45),INDEX($AA$6:$AA$1505,$A45-3),"")</f>
        <v/>
      </c>
      <c r="H45">
        <f>IF(ISNUMBER($A45),INDEX($U$6:$U$1505,$A45-3),"")</f>
        <v/>
      </c>
      <c r="I45">
        <f>IF(ISNUMBER($A45),INDEX($V$6:$V$1505,$A45-3),"")</f>
        <v/>
      </c>
      <c r="J45">
        <f>IF(ISNUMBER($A45),INDEX($W$6:$W$1505,$A45-3),"")</f>
        <v/>
      </c>
      <c r="K45">
        <f>IF(ISNUMBER($A45),INDEX($X$6:$X$1505,$A45-3),"")</f>
        <v/>
      </c>
      <c r="L45">
        <f>IF(ISNUMBER($A45),INDEX($Y$6:$Y$1505,$A45-3),"")</f>
        <v/>
      </c>
      <c r="O45">
        <f>43</f>
        <v/>
      </c>
      <c r="P45">
        <f>IF(TRIM('입력_구리근무자명단'!$A43&amp;"")&lt;&gt;"",TRIM('입력_구리근무자명단'!$A43&amp;""),P44)</f>
        <v/>
      </c>
      <c r="Q45">
        <f>'입력_구리근무자명단'!$B43&amp;""</f>
        <v/>
      </c>
      <c r="R45">
        <f>IF($E$2="","",TRIM(INDEX('입력_구리근무자명단'!$A43:$ZZ43,1,$E$2+IF($G$2="확정",1,0))&amp;""))</f>
        <v/>
      </c>
      <c r="S45">
        <f>IF($R45="","",IF(INDEX('입력_구리근무자명단'!$A43:$ZZ43,1,$E$2+2)&amp;""="",급여기준월,IF(ISNUMBER(INDEX('입력_구리근무자명단'!$A43:$ZZ43,1,$E$2+2)),INDEX('입력_구리근무자명단'!$A43:$ZZ43,1,$E$2+2),IFERROR(DATE(VALUE(LEFT(INDEX('입력_구리근무자명단'!$A43:$ZZ43,1,$E$2+2),4)),VALUE(MID(INDEX('입력_구리근무자명단'!$A43:$ZZ43,1,$E$2+2),6,2)),VALUE(MID(INDEX('입력_구리근무자명단'!$A43:$ZZ43,1,$E$2+2),9,2))),-1))))</f>
        <v/>
      </c>
      <c r="T45">
        <f>IF($R45="","",IF(INDEX('입력_구리근무자명단'!$A43:$ZZ43,1,$E$2+3)&amp;""="",EOMONTH(급여기준월,0),IF(ISNUMBER(INDEX('입력_구리근무자명단'!$A43:$ZZ43,1,$E$2+3)),INDEX('입력_구리근무자명단'!$A43:$ZZ43,1,$E$2+3),IFERROR(DATE(VALUE(LEFT(INDEX('입력_구리근무자명단'!$A43:$ZZ43,1,$E$2+3),4)),VALUE(MID(INDEX('입력_구리근무자명단'!$A43:$ZZ43,1,$E$2+3),6,2)),VALUE(MID(INDEX('입력_구리근무자명단'!$A43:$ZZ43,1,$E$2+3),9,2))),-1))))</f>
        <v/>
      </c>
      <c r="U45">
        <f>IF($R45="","",IF(OR($S45&lt;0,$T45&lt;0),0,MAX(0,MIN($T45,EOMONTH(급여기준월,0))-MAX($S45,급여기준월)+1)))</f>
        <v/>
      </c>
      <c r="V45">
        <f>IF($R45="","",TRIM(INDEX('입력_구리근무자명단'!$A43:$ZZ43,1,$E$2+5)&amp;""))</f>
        <v/>
      </c>
      <c r="W45">
        <f>IF(ISNUMBER(SEARCH("구리독자",$V45)),"구리독자","")</f>
        <v/>
      </c>
      <c r="X45">
        <f>IF($R45="","",$R45&amp;"|"&amp;IF(OR($Q45="인턴",ISNUMBER(SEARCH("수련교육부",$P45))),"인턴",$P45))</f>
        <v/>
      </c>
      <c r="Y45">
        <f>IF($R45="","",IF(COUNTIF(명단표[이름|과],$X45)=1,"명단 일치",IF(AND(COUNTIF(명단표[이름|과],$X45)=0,COUNTIF(명단표[이름],$R45)=1),"명단 일치(이름만, 과 다름)",IF(COUNTIF(명단표[이름],$R45)=0,IF(COUNTIF(기본자료표[이름],$R45)&gt;0,"명단에 없음(기본자료에는 있음)","명단에 없음"),"동명이인 확인"))))</f>
        <v/>
      </c>
      <c r="Z45">
        <f>IF($R45="","",IF($S45&lt;0,"⚠"&amp;INDEX('입력_구리근무자명단'!$A43:$ZZ43,1,$E$2+2),TEXT($S45,"yyyy-mm-dd")))</f>
        <v/>
      </c>
      <c r="AA45">
        <f>IF($R45="","",IF($T45&lt;0,"⚠"&amp;INDEX('입력_구리근무자명단'!$A43:$ZZ43,1,$E$2+3),TEXT($T45,"yyyy-mm-dd")))</f>
        <v/>
      </c>
      <c r="AB45">
        <f>AB44+IF($R45="",0,1)</f>
        <v/>
      </c>
      <c r="AC45">
        <f>IF($R45="","",$AB45)</f>
        <v/>
      </c>
    </row>
    <row r="46">
      <c r="A46">
        <f>IFERROR(INDEX($O$6:$O$1505,MATCH(41,$AC$6:$AC$1505,0)),"")</f>
        <v/>
      </c>
      <c r="B46">
        <f>IF(ISNUMBER($A46),INDEX($P$6:$P$1505,$A46-3),"")</f>
        <v/>
      </c>
      <c r="C46">
        <f>IF(ISNUMBER($A46),INDEX($Q$6:$Q$1505,$A46-3),"")</f>
        <v/>
      </c>
      <c r="D46">
        <f>IF(ISNUMBER($A46),INDEX($R$6:$R$1505,$A46-3),"")</f>
        <v/>
      </c>
      <c r="E46">
        <f>IF(ISNUMBER($A46),$G$2,"")</f>
        <v/>
      </c>
      <c r="F46">
        <f>IF(ISNUMBER($A46),INDEX($Z$6:$Z$1505,$A46-3),"")</f>
        <v/>
      </c>
      <c r="G46">
        <f>IF(ISNUMBER($A46),INDEX($AA$6:$AA$1505,$A46-3),"")</f>
        <v/>
      </c>
      <c r="H46">
        <f>IF(ISNUMBER($A46),INDEX($U$6:$U$1505,$A46-3),"")</f>
        <v/>
      </c>
      <c r="I46">
        <f>IF(ISNUMBER($A46),INDEX($V$6:$V$1505,$A46-3),"")</f>
        <v/>
      </c>
      <c r="J46">
        <f>IF(ISNUMBER($A46),INDEX($W$6:$W$1505,$A46-3),"")</f>
        <v/>
      </c>
      <c r="K46">
        <f>IF(ISNUMBER($A46),INDEX($X$6:$X$1505,$A46-3),"")</f>
        <v/>
      </c>
      <c r="L46">
        <f>IF(ISNUMBER($A46),INDEX($Y$6:$Y$1505,$A46-3),"")</f>
        <v/>
      </c>
      <c r="O46">
        <f>44</f>
        <v/>
      </c>
      <c r="P46">
        <f>IF(TRIM('입력_구리근무자명단'!$A44&amp;"")&lt;&gt;"",TRIM('입력_구리근무자명단'!$A44&amp;""),P45)</f>
        <v/>
      </c>
      <c r="Q46">
        <f>'입력_구리근무자명단'!$B44&amp;""</f>
        <v/>
      </c>
      <c r="R46">
        <f>IF($E$2="","",TRIM(INDEX('입력_구리근무자명단'!$A44:$ZZ44,1,$E$2+IF($G$2="확정",1,0))&amp;""))</f>
        <v/>
      </c>
      <c r="S46">
        <f>IF($R46="","",IF(INDEX('입력_구리근무자명단'!$A44:$ZZ44,1,$E$2+2)&amp;""="",급여기준월,IF(ISNUMBER(INDEX('입력_구리근무자명단'!$A44:$ZZ44,1,$E$2+2)),INDEX('입력_구리근무자명단'!$A44:$ZZ44,1,$E$2+2),IFERROR(DATE(VALUE(LEFT(INDEX('입력_구리근무자명단'!$A44:$ZZ44,1,$E$2+2),4)),VALUE(MID(INDEX('입력_구리근무자명단'!$A44:$ZZ44,1,$E$2+2),6,2)),VALUE(MID(INDEX('입력_구리근무자명단'!$A44:$ZZ44,1,$E$2+2),9,2))),-1))))</f>
        <v/>
      </c>
      <c r="T46">
        <f>IF($R46="","",IF(INDEX('입력_구리근무자명단'!$A44:$ZZ44,1,$E$2+3)&amp;""="",EOMONTH(급여기준월,0),IF(ISNUMBER(INDEX('입력_구리근무자명단'!$A44:$ZZ44,1,$E$2+3)),INDEX('입력_구리근무자명단'!$A44:$ZZ44,1,$E$2+3),IFERROR(DATE(VALUE(LEFT(INDEX('입력_구리근무자명단'!$A44:$ZZ44,1,$E$2+3),4)),VALUE(MID(INDEX('입력_구리근무자명단'!$A44:$ZZ44,1,$E$2+3),6,2)),VALUE(MID(INDEX('입력_구리근무자명단'!$A44:$ZZ44,1,$E$2+3),9,2))),-1))))</f>
        <v/>
      </c>
      <c r="U46">
        <f>IF($R46="","",IF(OR($S46&lt;0,$T46&lt;0),0,MAX(0,MIN($T46,EOMONTH(급여기준월,0))-MAX($S46,급여기준월)+1)))</f>
        <v/>
      </c>
      <c r="V46">
        <f>IF($R46="","",TRIM(INDEX('입력_구리근무자명단'!$A44:$ZZ44,1,$E$2+5)&amp;""))</f>
        <v/>
      </c>
      <c r="W46">
        <f>IF(ISNUMBER(SEARCH("구리독자",$V46)),"구리독자","")</f>
        <v/>
      </c>
      <c r="X46">
        <f>IF($R46="","",$R46&amp;"|"&amp;IF(OR($Q46="인턴",ISNUMBER(SEARCH("수련교육부",$P46))),"인턴",$P46))</f>
        <v/>
      </c>
      <c r="Y46">
        <f>IF($R46="","",IF(COUNTIF(명단표[이름|과],$X46)=1,"명단 일치",IF(AND(COUNTIF(명단표[이름|과],$X46)=0,COUNTIF(명단표[이름],$R46)=1),"명단 일치(이름만, 과 다름)",IF(COUNTIF(명단표[이름],$R46)=0,IF(COUNTIF(기본자료표[이름],$R46)&gt;0,"명단에 없음(기본자료에는 있음)","명단에 없음"),"동명이인 확인"))))</f>
        <v/>
      </c>
      <c r="Z46">
        <f>IF($R46="","",IF($S46&lt;0,"⚠"&amp;INDEX('입력_구리근무자명단'!$A44:$ZZ44,1,$E$2+2),TEXT($S46,"yyyy-mm-dd")))</f>
        <v/>
      </c>
      <c r="AA46">
        <f>IF($R46="","",IF($T46&lt;0,"⚠"&amp;INDEX('입력_구리근무자명단'!$A44:$ZZ44,1,$E$2+3),TEXT($T46,"yyyy-mm-dd")))</f>
        <v/>
      </c>
      <c r="AB46">
        <f>AB45+IF($R46="",0,1)</f>
        <v/>
      </c>
      <c r="AC46">
        <f>IF($R46="","",$AB46)</f>
        <v/>
      </c>
    </row>
    <row r="47">
      <c r="A47">
        <f>IFERROR(INDEX($O$6:$O$1505,MATCH(42,$AC$6:$AC$1505,0)),"")</f>
        <v/>
      </c>
      <c r="B47">
        <f>IF(ISNUMBER($A47),INDEX($P$6:$P$1505,$A47-3),"")</f>
        <v/>
      </c>
      <c r="C47">
        <f>IF(ISNUMBER($A47),INDEX($Q$6:$Q$1505,$A47-3),"")</f>
        <v/>
      </c>
      <c r="D47">
        <f>IF(ISNUMBER($A47),INDEX($R$6:$R$1505,$A47-3),"")</f>
        <v/>
      </c>
      <c r="E47">
        <f>IF(ISNUMBER($A47),$G$2,"")</f>
        <v/>
      </c>
      <c r="F47">
        <f>IF(ISNUMBER($A47),INDEX($Z$6:$Z$1505,$A47-3),"")</f>
        <v/>
      </c>
      <c r="G47">
        <f>IF(ISNUMBER($A47),INDEX($AA$6:$AA$1505,$A47-3),"")</f>
        <v/>
      </c>
      <c r="H47">
        <f>IF(ISNUMBER($A47),INDEX($U$6:$U$1505,$A47-3),"")</f>
        <v/>
      </c>
      <c r="I47">
        <f>IF(ISNUMBER($A47),INDEX($V$6:$V$1505,$A47-3),"")</f>
        <v/>
      </c>
      <c r="J47">
        <f>IF(ISNUMBER($A47),INDEX($W$6:$W$1505,$A47-3),"")</f>
        <v/>
      </c>
      <c r="K47">
        <f>IF(ISNUMBER($A47),INDEX($X$6:$X$1505,$A47-3),"")</f>
        <v/>
      </c>
      <c r="L47">
        <f>IF(ISNUMBER($A47),INDEX($Y$6:$Y$1505,$A47-3),"")</f>
        <v/>
      </c>
      <c r="O47">
        <f>45</f>
        <v/>
      </c>
      <c r="P47">
        <f>IF(TRIM('입력_구리근무자명단'!$A45&amp;"")&lt;&gt;"",TRIM('입력_구리근무자명단'!$A45&amp;""),P46)</f>
        <v/>
      </c>
      <c r="Q47">
        <f>'입력_구리근무자명단'!$B45&amp;""</f>
        <v/>
      </c>
      <c r="R47">
        <f>IF($E$2="","",TRIM(INDEX('입력_구리근무자명단'!$A45:$ZZ45,1,$E$2+IF($G$2="확정",1,0))&amp;""))</f>
        <v/>
      </c>
      <c r="S47">
        <f>IF($R47="","",IF(INDEX('입력_구리근무자명단'!$A45:$ZZ45,1,$E$2+2)&amp;""="",급여기준월,IF(ISNUMBER(INDEX('입력_구리근무자명단'!$A45:$ZZ45,1,$E$2+2)),INDEX('입력_구리근무자명단'!$A45:$ZZ45,1,$E$2+2),IFERROR(DATE(VALUE(LEFT(INDEX('입력_구리근무자명단'!$A45:$ZZ45,1,$E$2+2),4)),VALUE(MID(INDEX('입력_구리근무자명단'!$A45:$ZZ45,1,$E$2+2),6,2)),VALUE(MID(INDEX('입력_구리근무자명단'!$A45:$ZZ45,1,$E$2+2),9,2))),-1))))</f>
        <v/>
      </c>
      <c r="T47">
        <f>IF($R47="","",IF(INDEX('입력_구리근무자명단'!$A45:$ZZ45,1,$E$2+3)&amp;""="",EOMONTH(급여기준월,0),IF(ISNUMBER(INDEX('입력_구리근무자명단'!$A45:$ZZ45,1,$E$2+3)),INDEX('입력_구리근무자명단'!$A45:$ZZ45,1,$E$2+3),IFERROR(DATE(VALUE(LEFT(INDEX('입력_구리근무자명단'!$A45:$ZZ45,1,$E$2+3),4)),VALUE(MID(INDEX('입력_구리근무자명단'!$A45:$ZZ45,1,$E$2+3),6,2)),VALUE(MID(INDEX('입력_구리근무자명단'!$A45:$ZZ45,1,$E$2+3),9,2))),-1))))</f>
        <v/>
      </c>
      <c r="U47">
        <f>IF($R47="","",IF(OR($S47&lt;0,$T47&lt;0),0,MAX(0,MIN($T47,EOMONTH(급여기준월,0))-MAX($S47,급여기준월)+1)))</f>
        <v/>
      </c>
      <c r="V47">
        <f>IF($R47="","",TRIM(INDEX('입력_구리근무자명단'!$A45:$ZZ45,1,$E$2+5)&amp;""))</f>
        <v/>
      </c>
      <c r="W47">
        <f>IF(ISNUMBER(SEARCH("구리독자",$V47)),"구리독자","")</f>
        <v/>
      </c>
      <c r="X47">
        <f>IF($R47="","",$R47&amp;"|"&amp;IF(OR($Q47="인턴",ISNUMBER(SEARCH("수련교육부",$P47))),"인턴",$P47))</f>
        <v/>
      </c>
      <c r="Y47">
        <f>IF($R47="","",IF(COUNTIF(명단표[이름|과],$X47)=1,"명단 일치",IF(AND(COUNTIF(명단표[이름|과],$X47)=0,COUNTIF(명단표[이름],$R47)=1),"명단 일치(이름만, 과 다름)",IF(COUNTIF(명단표[이름],$R47)=0,IF(COUNTIF(기본자료표[이름],$R47)&gt;0,"명단에 없음(기본자료에는 있음)","명단에 없음"),"동명이인 확인"))))</f>
        <v/>
      </c>
      <c r="Z47">
        <f>IF($R47="","",IF($S47&lt;0,"⚠"&amp;INDEX('입력_구리근무자명단'!$A45:$ZZ45,1,$E$2+2),TEXT($S47,"yyyy-mm-dd")))</f>
        <v/>
      </c>
      <c r="AA47">
        <f>IF($R47="","",IF($T47&lt;0,"⚠"&amp;INDEX('입력_구리근무자명단'!$A45:$ZZ45,1,$E$2+3),TEXT($T47,"yyyy-mm-dd")))</f>
        <v/>
      </c>
      <c r="AB47">
        <f>AB46+IF($R47="",0,1)</f>
        <v/>
      </c>
      <c r="AC47">
        <f>IF($R47="","",$AB47)</f>
        <v/>
      </c>
    </row>
    <row r="48">
      <c r="A48">
        <f>IFERROR(INDEX($O$6:$O$1505,MATCH(43,$AC$6:$AC$1505,0)),"")</f>
        <v/>
      </c>
      <c r="B48">
        <f>IF(ISNUMBER($A48),INDEX($P$6:$P$1505,$A48-3),"")</f>
        <v/>
      </c>
      <c r="C48">
        <f>IF(ISNUMBER($A48),INDEX($Q$6:$Q$1505,$A48-3),"")</f>
        <v/>
      </c>
      <c r="D48">
        <f>IF(ISNUMBER($A48),INDEX($R$6:$R$1505,$A48-3),"")</f>
        <v/>
      </c>
      <c r="E48">
        <f>IF(ISNUMBER($A48),$G$2,"")</f>
        <v/>
      </c>
      <c r="F48">
        <f>IF(ISNUMBER($A48),INDEX($Z$6:$Z$1505,$A48-3),"")</f>
        <v/>
      </c>
      <c r="G48">
        <f>IF(ISNUMBER($A48),INDEX($AA$6:$AA$1505,$A48-3),"")</f>
        <v/>
      </c>
      <c r="H48">
        <f>IF(ISNUMBER($A48),INDEX($U$6:$U$1505,$A48-3),"")</f>
        <v/>
      </c>
      <c r="I48">
        <f>IF(ISNUMBER($A48),INDEX($V$6:$V$1505,$A48-3),"")</f>
        <v/>
      </c>
      <c r="J48">
        <f>IF(ISNUMBER($A48),INDEX($W$6:$W$1505,$A48-3),"")</f>
        <v/>
      </c>
      <c r="K48">
        <f>IF(ISNUMBER($A48),INDEX($X$6:$X$1505,$A48-3),"")</f>
        <v/>
      </c>
      <c r="L48">
        <f>IF(ISNUMBER($A48),INDEX($Y$6:$Y$1505,$A48-3),"")</f>
        <v/>
      </c>
      <c r="O48">
        <f>46</f>
        <v/>
      </c>
      <c r="P48">
        <f>IF(TRIM('입력_구리근무자명단'!$A46&amp;"")&lt;&gt;"",TRIM('입력_구리근무자명단'!$A46&amp;""),P47)</f>
        <v/>
      </c>
      <c r="Q48">
        <f>'입력_구리근무자명단'!$B46&amp;""</f>
        <v/>
      </c>
      <c r="R48">
        <f>IF($E$2="","",TRIM(INDEX('입력_구리근무자명단'!$A46:$ZZ46,1,$E$2+IF($G$2="확정",1,0))&amp;""))</f>
        <v/>
      </c>
      <c r="S48">
        <f>IF($R48="","",IF(INDEX('입력_구리근무자명단'!$A46:$ZZ46,1,$E$2+2)&amp;""="",급여기준월,IF(ISNUMBER(INDEX('입력_구리근무자명단'!$A46:$ZZ46,1,$E$2+2)),INDEX('입력_구리근무자명단'!$A46:$ZZ46,1,$E$2+2),IFERROR(DATE(VALUE(LEFT(INDEX('입력_구리근무자명단'!$A46:$ZZ46,1,$E$2+2),4)),VALUE(MID(INDEX('입력_구리근무자명단'!$A46:$ZZ46,1,$E$2+2),6,2)),VALUE(MID(INDEX('입력_구리근무자명단'!$A46:$ZZ46,1,$E$2+2),9,2))),-1))))</f>
        <v/>
      </c>
      <c r="T48">
        <f>IF($R48="","",IF(INDEX('입력_구리근무자명단'!$A46:$ZZ46,1,$E$2+3)&amp;""="",EOMONTH(급여기준월,0),IF(ISNUMBER(INDEX('입력_구리근무자명단'!$A46:$ZZ46,1,$E$2+3)),INDEX('입력_구리근무자명단'!$A46:$ZZ46,1,$E$2+3),IFERROR(DATE(VALUE(LEFT(INDEX('입력_구리근무자명단'!$A46:$ZZ46,1,$E$2+3),4)),VALUE(MID(INDEX('입력_구리근무자명단'!$A46:$ZZ46,1,$E$2+3),6,2)),VALUE(MID(INDEX('입력_구리근무자명단'!$A46:$ZZ46,1,$E$2+3),9,2))),-1))))</f>
        <v/>
      </c>
      <c r="U48">
        <f>IF($R48="","",IF(OR($S48&lt;0,$T48&lt;0),0,MAX(0,MIN($T48,EOMONTH(급여기준월,0))-MAX($S48,급여기준월)+1)))</f>
        <v/>
      </c>
      <c r="V48">
        <f>IF($R48="","",TRIM(INDEX('입력_구리근무자명단'!$A46:$ZZ46,1,$E$2+5)&amp;""))</f>
        <v/>
      </c>
      <c r="W48">
        <f>IF(ISNUMBER(SEARCH("구리독자",$V48)),"구리독자","")</f>
        <v/>
      </c>
      <c r="X48">
        <f>IF($R48="","",$R48&amp;"|"&amp;IF(OR($Q48="인턴",ISNUMBER(SEARCH("수련교육부",$P48))),"인턴",$P48))</f>
        <v/>
      </c>
      <c r="Y48">
        <f>IF($R48="","",IF(COUNTIF(명단표[이름|과],$X48)=1,"명단 일치",IF(AND(COUNTIF(명단표[이름|과],$X48)=0,COUNTIF(명단표[이름],$R48)=1),"명단 일치(이름만, 과 다름)",IF(COUNTIF(명단표[이름],$R48)=0,IF(COUNTIF(기본자료표[이름],$R48)&gt;0,"명단에 없음(기본자료에는 있음)","명단에 없음"),"동명이인 확인"))))</f>
        <v/>
      </c>
      <c r="Z48">
        <f>IF($R48="","",IF($S48&lt;0,"⚠"&amp;INDEX('입력_구리근무자명단'!$A46:$ZZ46,1,$E$2+2),TEXT($S48,"yyyy-mm-dd")))</f>
        <v/>
      </c>
      <c r="AA48">
        <f>IF($R48="","",IF($T48&lt;0,"⚠"&amp;INDEX('입력_구리근무자명단'!$A46:$ZZ46,1,$E$2+3),TEXT($T48,"yyyy-mm-dd")))</f>
        <v/>
      </c>
      <c r="AB48">
        <f>AB47+IF($R48="",0,1)</f>
        <v/>
      </c>
      <c r="AC48">
        <f>IF($R48="","",$AB48)</f>
        <v/>
      </c>
    </row>
    <row r="49">
      <c r="A49">
        <f>IFERROR(INDEX($O$6:$O$1505,MATCH(44,$AC$6:$AC$1505,0)),"")</f>
        <v/>
      </c>
      <c r="B49">
        <f>IF(ISNUMBER($A49),INDEX($P$6:$P$1505,$A49-3),"")</f>
        <v/>
      </c>
      <c r="C49">
        <f>IF(ISNUMBER($A49),INDEX($Q$6:$Q$1505,$A49-3),"")</f>
        <v/>
      </c>
      <c r="D49">
        <f>IF(ISNUMBER($A49),INDEX($R$6:$R$1505,$A49-3),"")</f>
        <v/>
      </c>
      <c r="E49">
        <f>IF(ISNUMBER($A49),$G$2,"")</f>
        <v/>
      </c>
      <c r="F49">
        <f>IF(ISNUMBER($A49),INDEX($Z$6:$Z$1505,$A49-3),"")</f>
        <v/>
      </c>
      <c r="G49">
        <f>IF(ISNUMBER($A49),INDEX($AA$6:$AA$1505,$A49-3),"")</f>
        <v/>
      </c>
      <c r="H49">
        <f>IF(ISNUMBER($A49),INDEX($U$6:$U$1505,$A49-3),"")</f>
        <v/>
      </c>
      <c r="I49">
        <f>IF(ISNUMBER($A49),INDEX($V$6:$V$1505,$A49-3),"")</f>
        <v/>
      </c>
      <c r="J49">
        <f>IF(ISNUMBER($A49),INDEX($W$6:$W$1505,$A49-3),"")</f>
        <v/>
      </c>
      <c r="K49">
        <f>IF(ISNUMBER($A49),INDEX($X$6:$X$1505,$A49-3),"")</f>
        <v/>
      </c>
      <c r="L49">
        <f>IF(ISNUMBER($A49),INDEX($Y$6:$Y$1505,$A49-3),"")</f>
        <v/>
      </c>
      <c r="O49">
        <f>47</f>
        <v/>
      </c>
      <c r="P49">
        <f>IF(TRIM('입력_구리근무자명단'!$A47&amp;"")&lt;&gt;"",TRIM('입력_구리근무자명단'!$A47&amp;""),P48)</f>
        <v/>
      </c>
      <c r="Q49">
        <f>'입력_구리근무자명단'!$B47&amp;""</f>
        <v/>
      </c>
      <c r="R49">
        <f>IF($E$2="","",TRIM(INDEX('입력_구리근무자명단'!$A47:$ZZ47,1,$E$2+IF($G$2="확정",1,0))&amp;""))</f>
        <v/>
      </c>
      <c r="S49">
        <f>IF($R49="","",IF(INDEX('입력_구리근무자명단'!$A47:$ZZ47,1,$E$2+2)&amp;""="",급여기준월,IF(ISNUMBER(INDEX('입력_구리근무자명단'!$A47:$ZZ47,1,$E$2+2)),INDEX('입력_구리근무자명단'!$A47:$ZZ47,1,$E$2+2),IFERROR(DATE(VALUE(LEFT(INDEX('입력_구리근무자명단'!$A47:$ZZ47,1,$E$2+2),4)),VALUE(MID(INDEX('입력_구리근무자명단'!$A47:$ZZ47,1,$E$2+2),6,2)),VALUE(MID(INDEX('입력_구리근무자명단'!$A47:$ZZ47,1,$E$2+2),9,2))),-1))))</f>
        <v/>
      </c>
      <c r="T49">
        <f>IF($R49="","",IF(INDEX('입력_구리근무자명단'!$A47:$ZZ47,1,$E$2+3)&amp;""="",EOMONTH(급여기준월,0),IF(ISNUMBER(INDEX('입력_구리근무자명단'!$A47:$ZZ47,1,$E$2+3)),INDEX('입력_구리근무자명단'!$A47:$ZZ47,1,$E$2+3),IFERROR(DATE(VALUE(LEFT(INDEX('입력_구리근무자명단'!$A47:$ZZ47,1,$E$2+3),4)),VALUE(MID(INDEX('입력_구리근무자명단'!$A47:$ZZ47,1,$E$2+3),6,2)),VALUE(MID(INDEX('입력_구리근무자명단'!$A47:$ZZ47,1,$E$2+3),9,2))),-1))))</f>
        <v/>
      </c>
      <c r="U49">
        <f>IF($R49="","",IF(OR($S49&lt;0,$T49&lt;0),0,MAX(0,MIN($T49,EOMONTH(급여기준월,0))-MAX($S49,급여기준월)+1)))</f>
        <v/>
      </c>
      <c r="V49">
        <f>IF($R49="","",TRIM(INDEX('입력_구리근무자명단'!$A47:$ZZ47,1,$E$2+5)&amp;""))</f>
        <v/>
      </c>
      <c r="W49">
        <f>IF(ISNUMBER(SEARCH("구리독자",$V49)),"구리독자","")</f>
        <v/>
      </c>
      <c r="X49">
        <f>IF($R49="","",$R49&amp;"|"&amp;IF(OR($Q49="인턴",ISNUMBER(SEARCH("수련교육부",$P49))),"인턴",$P49))</f>
        <v/>
      </c>
      <c r="Y49">
        <f>IF($R49="","",IF(COUNTIF(명단표[이름|과],$X49)=1,"명단 일치",IF(AND(COUNTIF(명단표[이름|과],$X49)=0,COUNTIF(명단표[이름],$R49)=1),"명단 일치(이름만, 과 다름)",IF(COUNTIF(명단표[이름],$R49)=0,IF(COUNTIF(기본자료표[이름],$R49)&gt;0,"명단에 없음(기본자료에는 있음)","명단에 없음"),"동명이인 확인"))))</f>
        <v/>
      </c>
      <c r="Z49">
        <f>IF($R49="","",IF($S49&lt;0,"⚠"&amp;INDEX('입력_구리근무자명단'!$A47:$ZZ47,1,$E$2+2),TEXT($S49,"yyyy-mm-dd")))</f>
        <v/>
      </c>
      <c r="AA49">
        <f>IF($R49="","",IF($T49&lt;0,"⚠"&amp;INDEX('입력_구리근무자명단'!$A47:$ZZ47,1,$E$2+3),TEXT($T49,"yyyy-mm-dd")))</f>
        <v/>
      </c>
      <c r="AB49">
        <f>AB48+IF($R49="",0,1)</f>
        <v/>
      </c>
      <c r="AC49">
        <f>IF($R49="","",$AB49)</f>
        <v/>
      </c>
    </row>
    <row r="50">
      <c r="A50">
        <f>IFERROR(INDEX($O$6:$O$1505,MATCH(45,$AC$6:$AC$1505,0)),"")</f>
        <v/>
      </c>
      <c r="B50">
        <f>IF(ISNUMBER($A50),INDEX($P$6:$P$1505,$A50-3),"")</f>
        <v/>
      </c>
      <c r="C50">
        <f>IF(ISNUMBER($A50),INDEX($Q$6:$Q$1505,$A50-3),"")</f>
        <v/>
      </c>
      <c r="D50">
        <f>IF(ISNUMBER($A50),INDEX($R$6:$R$1505,$A50-3),"")</f>
        <v/>
      </c>
      <c r="E50">
        <f>IF(ISNUMBER($A50),$G$2,"")</f>
        <v/>
      </c>
      <c r="F50">
        <f>IF(ISNUMBER($A50),INDEX($Z$6:$Z$1505,$A50-3),"")</f>
        <v/>
      </c>
      <c r="G50">
        <f>IF(ISNUMBER($A50),INDEX($AA$6:$AA$1505,$A50-3),"")</f>
        <v/>
      </c>
      <c r="H50">
        <f>IF(ISNUMBER($A50),INDEX($U$6:$U$1505,$A50-3),"")</f>
        <v/>
      </c>
      <c r="I50">
        <f>IF(ISNUMBER($A50),INDEX($V$6:$V$1505,$A50-3),"")</f>
        <v/>
      </c>
      <c r="J50">
        <f>IF(ISNUMBER($A50),INDEX($W$6:$W$1505,$A50-3),"")</f>
        <v/>
      </c>
      <c r="K50">
        <f>IF(ISNUMBER($A50),INDEX($X$6:$X$1505,$A50-3),"")</f>
        <v/>
      </c>
      <c r="L50">
        <f>IF(ISNUMBER($A50),INDEX($Y$6:$Y$1505,$A50-3),"")</f>
        <v/>
      </c>
      <c r="O50">
        <f>48</f>
        <v/>
      </c>
      <c r="P50">
        <f>IF(TRIM('입력_구리근무자명단'!$A48&amp;"")&lt;&gt;"",TRIM('입력_구리근무자명단'!$A48&amp;""),P49)</f>
        <v/>
      </c>
      <c r="Q50">
        <f>'입력_구리근무자명단'!$B48&amp;""</f>
        <v/>
      </c>
      <c r="R50">
        <f>IF($E$2="","",TRIM(INDEX('입력_구리근무자명단'!$A48:$ZZ48,1,$E$2+IF($G$2="확정",1,0))&amp;""))</f>
        <v/>
      </c>
      <c r="S50">
        <f>IF($R50="","",IF(INDEX('입력_구리근무자명단'!$A48:$ZZ48,1,$E$2+2)&amp;""="",급여기준월,IF(ISNUMBER(INDEX('입력_구리근무자명단'!$A48:$ZZ48,1,$E$2+2)),INDEX('입력_구리근무자명단'!$A48:$ZZ48,1,$E$2+2),IFERROR(DATE(VALUE(LEFT(INDEX('입력_구리근무자명단'!$A48:$ZZ48,1,$E$2+2),4)),VALUE(MID(INDEX('입력_구리근무자명단'!$A48:$ZZ48,1,$E$2+2),6,2)),VALUE(MID(INDEX('입력_구리근무자명단'!$A48:$ZZ48,1,$E$2+2),9,2))),-1))))</f>
        <v/>
      </c>
      <c r="T50">
        <f>IF($R50="","",IF(INDEX('입력_구리근무자명단'!$A48:$ZZ48,1,$E$2+3)&amp;""="",EOMONTH(급여기준월,0),IF(ISNUMBER(INDEX('입력_구리근무자명단'!$A48:$ZZ48,1,$E$2+3)),INDEX('입력_구리근무자명단'!$A48:$ZZ48,1,$E$2+3),IFERROR(DATE(VALUE(LEFT(INDEX('입력_구리근무자명단'!$A48:$ZZ48,1,$E$2+3),4)),VALUE(MID(INDEX('입력_구리근무자명단'!$A48:$ZZ48,1,$E$2+3),6,2)),VALUE(MID(INDEX('입력_구리근무자명단'!$A48:$ZZ48,1,$E$2+3),9,2))),-1))))</f>
        <v/>
      </c>
      <c r="U50">
        <f>IF($R50="","",IF(OR($S50&lt;0,$T50&lt;0),0,MAX(0,MIN($T50,EOMONTH(급여기준월,0))-MAX($S50,급여기준월)+1)))</f>
        <v/>
      </c>
      <c r="V50">
        <f>IF($R50="","",TRIM(INDEX('입력_구리근무자명단'!$A48:$ZZ48,1,$E$2+5)&amp;""))</f>
        <v/>
      </c>
      <c r="W50">
        <f>IF(ISNUMBER(SEARCH("구리독자",$V50)),"구리독자","")</f>
        <v/>
      </c>
      <c r="X50">
        <f>IF($R50="","",$R50&amp;"|"&amp;IF(OR($Q50="인턴",ISNUMBER(SEARCH("수련교육부",$P50))),"인턴",$P50))</f>
        <v/>
      </c>
      <c r="Y50">
        <f>IF($R50="","",IF(COUNTIF(명단표[이름|과],$X50)=1,"명단 일치",IF(AND(COUNTIF(명단표[이름|과],$X50)=0,COUNTIF(명단표[이름],$R50)=1),"명단 일치(이름만, 과 다름)",IF(COUNTIF(명단표[이름],$R50)=0,IF(COUNTIF(기본자료표[이름],$R50)&gt;0,"명단에 없음(기본자료에는 있음)","명단에 없음"),"동명이인 확인"))))</f>
        <v/>
      </c>
      <c r="Z50">
        <f>IF($R50="","",IF($S50&lt;0,"⚠"&amp;INDEX('입력_구리근무자명단'!$A48:$ZZ48,1,$E$2+2),TEXT($S50,"yyyy-mm-dd")))</f>
        <v/>
      </c>
      <c r="AA50">
        <f>IF($R50="","",IF($T50&lt;0,"⚠"&amp;INDEX('입력_구리근무자명단'!$A48:$ZZ48,1,$E$2+3),TEXT($T50,"yyyy-mm-dd")))</f>
        <v/>
      </c>
      <c r="AB50">
        <f>AB49+IF($R50="",0,1)</f>
        <v/>
      </c>
      <c r="AC50">
        <f>IF($R50="","",$AB50)</f>
        <v/>
      </c>
    </row>
    <row r="51">
      <c r="A51">
        <f>IFERROR(INDEX($O$6:$O$1505,MATCH(46,$AC$6:$AC$1505,0)),"")</f>
        <v/>
      </c>
      <c r="B51">
        <f>IF(ISNUMBER($A51),INDEX($P$6:$P$1505,$A51-3),"")</f>
        <v/>
      </c>
      <c r="C51">
        <f>IF(ISNUMBER($A51),INDEX($Q$6:$Q$1505,$A51-3),"")</f>
        <v/>
      </c>
      <c r="D51">
        <f>IF(ISNUMBER($A51),INDEX($R$6:$R$1505,$A51-3),"")</f>
        <v/>
      </c>
      <c r="E51">
        <f>IF(ISNUMBER($A51),$G$2,"")</f>
        <v/>
      </c>
      <c r="F51">
        <f>IF(ISNUMBER($A51),INDEX($Z$6:$Z$1505,$A51-3),"")</f>
        <v/>
      </c>
      <c r="G51">
        <f>IF(ISNUMBER($A51),INDEX($AA$6:$AA$1505,$A51-3),"")</f>
        <v/>
      </c>
      <c r="H51">
        <f>IF(ISNUMBER($A51),INDEX($U$6:$U$1505,$A51-3),"")</f>
        <v/>
      </c>
      <c r="I51">
        <f>IF(ISNUMBER($A51),INDEX($V$6:$V$1505,$A51-3),"")</f>
        <v/>
      </c>
      <c r="J51">
        <f>IF(ISNUMBER($A51),INDEX($W$6:$W$1505,$A51-3),"")</f>
        <v/>
      </c>
      <c r="K51">
        <f>IF(ISNUMBER($A51),INDEX($X$6:$X$1505,$A51-3),"")</f>
        <v/>
      </c>
      <c r="L51">
        <f>IF(ISNUMBER($A51),INDEX($Y$6:$Y$1505,$A51-3),"")</f>
        <v/>
      </c>
      <c r="O51">
        <f>49</f>
        <v/>
      </c>
      <c r="P51">
        <f>IF(TRIM('입력_구리근무자명단'!$A49&amp;"")&lt;&gt;"",TRIM('입력_구리근무자명단'!$A49&amp;""),P50)</f>
        <v/>
      </c>
      <c r="Q51">
        <f>'입력_구리근무자명단'!$B49&amp;""</f>
        <v/>
      </c>
      <c r="R51">
        <f>IF($E$2="","",TRIM(INDEX('입력_구리근무자명단'!$A49:$ZZ49,1,$E$2+IF($G$2="확정",1,0))&amp;""))</f>
        <v/>
      </c>
      <c r="S51">
        <f>IF($R51="","",IF(INDEX('입력_구리근무자명단'!$A49:$ZZ49,1,$E$2+2)&amp;""="",급여기준월,IF(ISNUMBER(INDEX('입력_구리근무자명단'!$A49:$ZZ49,1,$E$2+2)),INDEX('입력_구리근무자명단'!$A49:$ZZ49,1,$E$2+2),IFERROR(DATE(VALUE(LEFT(INDEX('입력_구리근무자명단'!$A49:$ZZ49,1,$E$2+2),4)),VALUE(MID(INDEX('입력_구리근무자명단'!$A49:$ZZ49,1,$E$2+2),6,2)),VALUE(MID(INDEX('입력_구리근무자명단'!$A49:$ZZ49,1,$E$2+2),9,2))),-1))))</f>
        <v/>
      </c>
      <c r="T51">
        <f>IF($R51="","",IF(INDEX('입력_구리근무자명단'!$A49:$ZZ49,1,$E$2+3)&amp;""="",EOMONTH(급여기준월,0),IF(ISNUMBER(INDEX('입력_구리근무자명단'!$A49:$ZZ49,1,$E$2+3)),INDEX('입력_구리근무자명단'!$A49:$ZZ49,1,$E$2+3),IFERROR(DATE(VALUE(LEFT(INDEX('입력_구리근무자명단'!$A49:$ZZ49,1,$E$2+3),4)),VALUE(MID(INDEX('입력_구리근무자명단'!$A49:$ZZ49,1,$E$2+3),6,2)),VALUE(MID(INDEX('입력_구리근무자명단'!$A49:$ZZ49,1,$E$2+3),9,2))),-1))))</f>
        <v/>
      </c>
      <c r="U51">
        <f>IF($R51="","",IF(OR($S51&lt;0,$T51&lt;0),0,MAX(0,MIN($T51,EOMONTH(급여기준월,0))-MAX($S51,급여기준월)+1)))</f>
        <v/>
      </c>
      <c r="V51">
        <f>IF($R51="","",TRIM(INDEX('입력_구리근무자명단'!$A49:$ZZ49,1,$E$2+5)&amp;""))</f>
        <v/>
      </c>
      <c r="W51">
        <f>IF(ISNUMBER(SEARCH("구리독자",$V51)),"구리독자","")</f>
        <v/>
      </c>
      <c r="X51">
        <f>IF($R51="","",$R51&amp;"|"&amp;IF(OR($Q51="인턴",ISNUMBER(SEARCH("수련교육부",$P51))),"인턴",$P51))</f>
        <v/>
      </c>
      <c r="Y51">
        <f>IF($R51="","",IF(COUNTIF(명단표[이름|과],$X51)=1,"명단 일치",IF(AND(COUNTIF(명단표[이름|과],$X51)=0,COUNTIF(명단표[이름],$R51)=1),"명단 일치(이름만, 과 다름)",IF(COUNTIF(명단표[이름],$R51)=0,IF(COUNTIF(기본자료표[이름],$R51)&gt;0,"명단에 없음(기본자료에는 있음)","명단에 없음"),"동명이인 확인"))))</f>
        <v/>
      </c>
      <c r="Z51">
        <f>IF($R51="","",IF($S51&lt;0,"⚠"&amp;INDEX('입력_구리근무자명단'!$A49:$ZZ49,1,$E$2+2),TEXT($S51,"yyyy-mm-dd")))</f>
        <v/>
      </c>
      <c r="AA51">
        <f>IF($R51="","",IF($T51&lt;0,"⚠"&amp;INDEX('입력_구리근무자명단'!$A49:$ZZ49,1,$E$2+3),TEXT($T51,"yyyy-mm-dd")))</f>
        <v/>
      </c>
      <c r="AB51">
        <f>AB50+IF($R51="",0,1)</f>
        <v/>
      </c>
      <c r="AC51">
        <f>IF($R51="","",$AB51)</f>
        <v/>
      </c>
    </row>
    <row r="52">
      <c r="A52">
        <f>IFERROR(INDEX($O$6:$O$1505,MATCH(47,$AC$6:$AC$1505,0)),"")</f>
        <v/>
      </c>
      <c r="B52">
        <f>IF(ISNUMBER($A52),INDEX($P$6:$P$1505,$A52-3),"")</f>
        <v/>
      </c>
      <c r="C52">
        <f>IF(ISNUMBER($A52),INDEX($Q$6:$Q$1505,$A52-3),"")</f>
        <v/>
      </c>
      <c r="D52">
        <f>IF(ISNUMBER($A52),INDEX($R$6:$R$1505,$A52-3),"")</f>
        <v/>
      </c>
      <c r="E52">
        <f>IF(ISNUMBER($A52),$G$2,"")</f>
        <v/>
      </c>
      <c r="F52">
        <f>IF(ISNUMBER($A52),INDEX($Z$6:$Z$1505,$A52-3),"")</f>
        <v/>
      </c>
      <c r="G52">
        <f>IF(ISNUMBER($A52),INDEX($AA$6:$AA$1505,$A52-3),"")</f>
        <v/>
      </c>
      <c r="H52">
        <f>IF(ISNUMBER($A52),INDEX($U$6:$U$1505,$A52-3),"")</f>
        <v/>
      </c>
      <c r="I52">
        <f>IF(ISNUMBER($A52),INDEX($V$6:$V$1505,$A52-3),"")</f>
        <v/>
      </c>
      <c r="J52">
        <f>IF(ISNUMBER($A52),INDEX($W$6:$W$1505,$A52-3),"")</f>
        <v/>
      </c>
      <c r="K52">
        <f>IF(ISNUMBER($A52),INDEX($X$6:$X$1505,$A52-3),"")</f>
        <v/>
      </c>
      <c r="L52">
        <f>IF(ISNUMBER($A52),INDEX($Y$6:$Y$1505,$A52-3),"")</f>
        <v/>
      </c>
      <c r="O52">
        <f>50</f>
        <v/>
      </c>
      <c r="P52">
        <f>IF(TRIM('입력_구리근무자명단'!$A50&amp;"")&lt;&gt;"",TRIM('입력_구리근무자명단'!$A50&amp;""),P51)</f>
        <v/>
      </c>
      <c r="Q52">
        <f>'입력_구리근무자명단'!$B50&amp;""</f>
        <v/>
      </c>
      <c r="R52">
        <f>IF($E$2="","",TRIM(INDEX('입력_구리근무자명단'!$A50:$ZZ50,1,$E$2+IF($G$2="확정",1,0))&amp;""))</f>
        <v/>
      </c>
      <c r="S52">
        <f>IF($R52="","",IF(INDEX('입력_구리근무자명단'!$A50:$ZZ50,1,$E$2+2)&amp;""="",급여기준월,IF(ISNUMBER(INDEX('입력_구리근무자명단'!$A50:$ZZ50,1,$E$2+2)),INDEX('입력_구리근무자명단'!$A50:$ZZ50,1,$E$2+2),IFERROR(DATE(VALUE(LEFT(INDEX('입력_구리근무자명단'!$A50:$ZZ50,1,$E$2+2),4)),VALUE(MID(INDEX('입력_구리근무자명단'!$A50:$ZZ50,1,$E$2+2),6,2)),VALUE(MID(INDEX('입력_구리근무자명단'!$A50:$ZZ50,1,$E$2+2),9,2))),-1))))</f>
        <v/>
      </c>
      <c r="T52">
        <f>IF($R52="","",IF(INDEX('입력_구리근무자명단'!$A50:$ZZ50,1,$E$2+3)&amp;""="",EOMONTH(급여기준월,0),IF(ISNUMBER(INDEX('입력_구리근무자명단'!$A50:$ZZ50,1,$E$2+3)),INDEX('입력_구리근무자명단'!$A50:$ZZ50,1,$E$2+3),IFERROR(DATE(VALUE(LEFT(INDEX('입력_구리근무자명단'!$A50:$ZZ50,1,$E$2+3),4)),VALUE(MID(INDEX('입력_구리근무자명단'!$A50:$ZZ50,1,$E$2+3),6,2)),VALUE(MID(INDEX('입력_구리근무자명단'!$A50:$ZZ50,1,$E$2+3),9,2))),-1))))</f>
        <v/>
      </c>
      <c r="U52">
        <f>IF($R52="","",IF(OR($S52&lt;0,$T52&lt;0),0,MAX(0,MIN($T52,EOMONTH(급여기준월,0))-MAX($S52,급여기준월)+1)))</f>
        <v/>
      </c>
      <c r="V52">
        <f>IF($R52="","",TRIM(INDEX('입력_구리근무자명단'!$A50:$ZZ50,1,$E$2+5)&amp;""))</f>
        <v/>
      </c>
      <c r="W52">
        <f>IF(ISNUMBER(SEARCH("구리독자",$V52)),"구리독자","")</f>
        <v/>
      </c>
      <c r="X52">
        <f>IF($R52="","",$R52&amp;"|"&amp;IF(OR($Q52="인턴",ISNUMBER(SEARCH("수련교육부",$P52))),"인턴",$P52))</f>
        <v/>
      </c>
      <c r="Y52">
        <f>IF($R52="","",IF(COUNTIF(명단표[이름|과],$X52)=1,"명단 일치",IF(AND(COUNTIF(명단표[이름|과],$X52)=0,COUNTIF(명단표[이름],$R52)=1),"명단 일치(이름만, 과 다름)",IF(COUNTIF(명단표[이름],$R52)=0,IF(COUNTIF(기본자료표[이름],$R52)&gt;0,"명단에 없음(기본자료에는 있음)","명단에 없음"),"동명이인 확인"))))</f>
        <v/>
      </c>
      <c r="Z52">
        <f>IF($R52="","",IF($S52&lt;0,"⚠"&amp;INDEX('입력_구리근무자명단'!$A50:$ZZ50,1,$E$2+2),TEXT($S52,"yyyy-mm-dd")))</f>
        <v/>
      </c>
      <c r="AA52">
        <f>IF($R52="","",IF($T52&lt;0,"⚠"&amp;INDEX('입력_구리근무자명단'!$A50:$ZZ50,1,$E$2+3),TEXT($T52,"yyyy-mm-dd")))</f>
        <v/>
      </c>
      <c r="AB52">
        <f>AB51+IF($R52="",0,1)</f>
        <v/>
      </c>
      <c r="AC52">
        <f>IF($R52="","",$AB52)</f>
        <v/>
      </c>
    </row>
    <row r="53">
      <c r="A53">
        <f>IFERROR(INDEX($O$6:$O$1505,MATCH(48,$AC$6:$AC$1505,0)),"")</f>
        <v/>
      </c>
      <c r="B53">
        <f>IF(ISNUMBER($A53),INDEX($P$6:$P$1505,$A53-3),"")</f>
        <v/>
      </c>
      <c r="C53">
        <f>IF(ISNUMBER($A53),INDEX($Q$6:$Q$1505,$A53-3),"")</f>
        <v/>
      </c>
      <c r="D53">
        <f>IF(ISNUMBER($A53),INDEX($R$6:$R$1505,$A53-3),"")</f>
        <v/>
      </c>
      <c r="E53">
        <f>IF(ISNUMBER($A53),$G$2,"")</f>
        <v/>
      </c>
      <c r="F53">
        <f>IF(ISNUMBER($A53),INDEX($Z$6:$Z$1505,$A53-3),"")</f>
        <v/>
      </c>
      <c r="G53">
        <f>IF(ISNUMBER($A53),INDEX($AA$6:$AA$1505,$A53-3),"")</f>
        <v/>
      </c>
      <c r="H53">
        <f>IF(ISNUMBER($A53),INDEX($U$6:$U$1505,$A53-3),"")</f>
        <v/>
      </c>
      <c r="I53">
        <f>IF(ISNUMBER($A53),INDEX($V$6:$V$1505,$A53-3),"")</f>
        <v/>
      </c>
      <c r="J53">
        <f>IF(ISNUMBER($A53),INDEX($W$6:$W$1505,$A53-3),"")</f>
        <v/>
      </c>
      <c r="K53">
        <f>IF(ISNUMBER($A53),INDEX($X$6:$X$1505,$A53-3),"")</f>
        <v/>
      </c>
      <c r="L53">
        <f>IF(ISNUMBER($A53),INDEX($Y$6:$Y$1505,$A53-3),"")</f>
        <v/>
      </c>
      <c r="O53">
        <f>51</f>
        <v/>
      </c>
      <c r="P53">
        <f>IF(TRIM('입력_구리근무자명단'!$A51&amp;"")&lt;&gt;"",TRIM('입력_구리근무자명단'!$A51&amp;""),P52)</f>
        <v/>
      </c>
      <c r="Q53">
        <f>'입력_구리근무자명단'!$B51&amp;""</f>
        <v/>
      </c>
      <c r="R53">
        <f>IF($E$2="","",TRIM(INDEX('입력_구리근무자명단'!$A51:$ZZ51,1,$E$2+IF($G$2="확정",1,0))&amp;""))</f>
        <v/>
      </c>
      <c r="S53">
        <f>IF($R53="","",IF(INDEX('입력_구리근무자명단'!$A51:$ZZ51,1,$E$2+2)&amp;""="",급여기준월,IF(ISNUMBER(INDEX('입력_구리근무자명단'!$A51:$ZZ51,1,$E$2+2)),INDEX('입력_구리근무자명단'!$A51:$ZZ51,1,$E$2+2),IFERROR(DATE(VALUE(LEFT(INDEX('입력_구리근무자명단'!$A51:$ZZ51,1,$E$2+2),4)),VALUE(MID(INDEX('입력_구리근무자명단'!$A51:$ZZ51,1,$E$2+2),6,2)),VALUE(MID(INDEX('입력_구리근무자명단'!$A51:$ZZ51,1,$E$2+2),9,2))),-1))))</f>
        <v/>
      </c>
      <c r="T53">
        <f>IF($R53="","",IF(INDEX('입력_구리근무자명단'!$A51:$ZZ51,1,$E$2+3)&amp;""="",EOMONTH(급여기준월,0),IF(ISNUMBER(INDEX('입력_구리근무자명단'!$A51:$ZZ51,1,$E$2+3)),INDEX('입력_구리근무자명단'!$A51:$ZZ51,1,$E$2+3),IFERROR(DATE(VALUE(LEFT(INDEX('입력_구리근무자명단'!$A51:$ZZ51,1,$E$2+3),4)),VALUE(MID(INDEX('입력_구리근무자명단'!$A51:$ZZ51,1,$E$2+3),6,2)),VALUE(MID(INDEX('입력_구리근무자명단'!$A51:$ZZ51,1,$E$2+3),9,2))),-1))))</f>
        <v/>
      </c>
      <c r="U53">
        <f>IF($R53="","",IF(OR($S53&lt;0,$T53&lt;0),0,MAX(0,MIN($T53,EOMONTH(급여기준월,0))-MAX($S53,급여기준월)+1)))</f>
        <v/>
      </c>
      <c r="V53">
        <f>IF($R53="","",TRIM(INDEX('입력_구리근무자명단'!$A51:$ZZ51,1,$E$2+5)&amp;""))</f>
        <v/>
      </c>
      <c r="W53">
        <f>IF(ISNUMBER(SEARCH("구리독자",$V53)),"구리독자","")</f>
        <v/>
      </c>
      <c r="X53">
        <f>IF($R53="","",$R53&amp;"|"&amp;IF(OR($Q53="인턴",ISNUMBER(SEARCH("수련교육부",$P53))),"인턴",$P53))</f>
        <v/>
      </c>
      <c r="Y53">
        <f>IF($R53="","",IF(COUNTIF(명단표[이름|과],$X53)=1,"명단 일치",IF(AND(COUNTIF(명단표[이름|과],$X53)=0,COUNTIF(명단표[이름],$R53)=1),"명단 일치(이름만, 과 다름)",IF(COUNTIF(명단표[이름],$R53)=0,IF(COUNTIF(기본자료표[이름],$R53)&gt;0,"명단에 없음(기본자료에는 있음)","명단에 없음"),"동명이인 확인"))))</f>
        <v/>
      </c>
      <c r="Z53">
        <f>IF($R53="","",IF($S53&lt;0,"⚠"&amp;INDEX('입력_구리근무자명단'!$A51:$ZZ51,1,$E$2+2),TEXT($S53,"yyyy-mm-dd")))</f>
        <v/>
      </c>
      <c r="AA53">
        <f>IF($R53="","",IF($T53&lt;0,"⚠"&amp;INDEX('입력_구리근무자명단'!$A51:$ZZ51,1,$E$2+3),TEXT($T53,"yyyy-mm-dd")))</f>
        <v/>
      </c>
      <c r="AB53">
        <f>AB52+IF($R53="",0,1)</f>
        <v/>
      </c>
      <c r="AC53">
        <f>IF($R53="","",$AB53)</f>
        <v/>
      </c>
    </row>
    <row r="54">
      <c r="A54">
        <f>IFERROR(INDEX($O$6:$O$1505,MATCH(49,$AC$6:$AC$1505,0)),"")</f>
        <v/>
      </c>
      <c r="B54">
        <f>IF(ISNUMBER($A54),INDEX($P$6:$P$1505,$A54-3),"")</f>
        <v/>
      </c>
      <c r="C54">
        <f>IF(ISNUMBER($A54),INDEX($Q$6:$Q$1505,$A54-3),"")</f>
        <v/>
      </c>
      <c r="D54">
        <f>IF(ISNUMBER($A54),INDEX($R$6:$R$1505,$A54-3),"")</f>
        <v/>
      </c>
      <c r="E54">
        <f>IF(ISNUMBER($A54),$G$2,"")</f>
        <v/>
      </c>
      <c r="F54">
        <f>IF(ISNUMBER($A54),INDEX($Z$6:$Z$1505,$A54-3),"")</f>
        <v/>
      </c>
      <c r="G54">
        <f>IF(ISNUMBER($A54),INDEX($AA$6:$AA$1505,$A54-3),"")</f>
        <v/>
      </c>
      <c r="H54">
        <f>IF(ISNUMBER($A54),INDEX($U$6:$U$1505,$A54-3),"")</f>
        <v/>
      </c>
      <c r="I54">
        <f>IF(ISNUMBER($A54),INDEX($V$6:$V$1505,$A54-3),"")</f>
        <v/>
      </c>
      <c r="J54">
        <f>IF(ISNUMBER($A54),INDEX($W$6:$W$1505,$A54-3),"")</f>
        <v/>
      </c>
      <c r="K54">
        <f>IF(ISNUMBER($A54),INDEX($X$6:$X$1505,$A54-3),"")</f>
        <v/>
      </c>
      <c r="L54">
        <f>IF(ISNUMBER($A54),INDEX($Y$6:$Y$1505,$A54-3),"")</f>
        <v/>
      </c>
      <c r="O54">
        <f>52</f>
        <v/>
      </c>
      <c r="P54">
        <f>IF(TRIM('입력_구리근무자명단'!$A52&amp;"")&lt;&gt;"",TRIM('입력_구리근무자명단'!$A52&amp;""),P53)</f>
        <v/>
      </c>
      <c r="Q54">
        <f>'입력_구리근무자명단'!$B52&amp;""</f>
        <v/>
      </c>
      <c r="R54">
        <f>IF($E$2="","",TRIM(INDEX('입력_구리근무자명단'!$A52:$ZZ52,1,$E$2+IF($G$2="확정",1,0))&amp;""))</f>
        <v/>
      </c>
      <c r="S54">
        <f>IF($R54="","",IF(INDEX('입력_구리근무자명단'!$A52:$ZZ52,1,$E$2+2)&amp;""="",급여기준월,IF(ISNUMBER(INDEX('입력_구리근무자명단'!$A52:$ZZ52,1,$E$2+2)),INDEX('입력_구리근무자명단'!$A52:$ZZ52,1,$E$2+2),IFERROR(DATE(VALUE(LEFT(INDEX('입력_구리근무자명단'!$A52:$ZZ52,1,$E$2+2),4)),VALUE(MID(INDEX('입력_구리근무자명단'!$A52:$ZZ52,1,$E$2+2),6,2)),VALUE(MID(INDEX('입력_구리근무자명단'!$A52:$ZZ52,1,$E$2+2),9,2))),-1))))</f>
        <v/>
      </c>
      <c r="T54">
        <f>IF($R54="","",IF(INDEX('입력_구리근무자명단'!$A52:$ZZ52,1,$E$2+3)&amp;""="",EOMONTH(급여기준월,0),IF(ISNUMBER(INDEX('입력_구리근무자명단'!$A52:$ZZ52,1,$E$2+3)),INDEX('입력_구리근무자명단'!$A52:$ZZ52,1,$E$2+3),IFERROR(DATE(VALUE(LEFT(INDEX('입력_구리근무자명단'!$A52:$ZZ52,1,$E$2+3),4)),VALUE(MID(INDEX('입력_구리근무자명단'!$A52:$ZZ52,1,$E$2+3),6,2)),VALUE(MID(INDEX('입력_구리근무자명단'!$A52:$ZZ52,1,$E$2+3),9,2))),-1))))</f>
        <v/>
      </c>
      <c r="U54">
        <f>IF($R54="","",IF(OR($S54&lt;0,$T54&lt;0),0,MAX(0,MIN($T54,EOMONTH(급여기준월,0))-MAX($S54,급여기준월)+1)))</f>
        <v/>
      </c>
      <c r="V54">
        <f>IF($R54="","",TRIM(INDEX('입력_구리근무자명단'!$A52:$ZZ52,1,$E$2+5)&amp;""))</f>
        <v/>
      </c>
      <c r="W54">
        <f>IF(ISNUMBER(SEARCH("구리독자",$V54)),"구리독자","")</f>
        <v/>
      </c>
      <c r="X54">
        <f>IF($R54="","",$R54&amp;"|"&amp;IF(OR($Q54="인턴",ISNUMBER(SEARCH("수련교육부",$P54))),"인턴",$P54))</f>
        <v/>
      </c>
      <c r="Y54">
        <f>IF($R54="","",IF(COUNTIF(명단표[이름|과],$X54)=1,"명단 일치",IF(AND(COUNTIF(명단표[이름|과],$X54)=0,COUNTIF(명단표[이름],$R54)=1),"명단 일치(이름만, 과 다름)",IF(COUNTIF(명단표[이름],$R54)=0,IF(COUNTIF(기본자료표[이름],$R54)&gt;0,"명단에 없음(기본자료에는 있음)","명단에 없음"),"동명이인 확인"))))</f>
        <v/>
      </c>
      <c r="Z54">
        <f>IF($R54="","",IF($S54&lt;0,"⚠"&amp;INDEX('입력_구리근무자명단'!$A52:$ZZ52,1,$E$2+2),TEXT($S54,"yyyy-mm-dd")))</f>
        <v/>
      </c>
      <c r="AA54">
        <f>IF($R54="","",IF($T54&lt;0,"⚠"&amp;INDEX('입력_구리근무자명단'!$A52:$ZZ52,1,$E$2+3),TEXT($T54,"yyyy-mm-dd")))</f>
        <v/>
      </c>
      <c r="AB54">
        <f>AB53+IF($R54="",0,1)</f>
        <v/>
      </c>
      <c r="AC54">
        <f>IF($R54="","",$AB54)</f>
        <v/>
      </c>
    </row>
    <row r="55">
      <c r="A55">
        <f>IFERROR(INDEX($O$6:$O$1505,MATCH(50,$AC$6:$AC$1505,0)),"")</f>
        <v/>
      </c>
      <c r="B55">
        <f>IF(ISNUMBER($A55),INDEX($P$6:$P$1505,$A55-3),"")</f>
        <v/>
      </c>
      <c r="C55">
        <f>IF(ISNUMBER($A55),INDEX($Q$6:$Q$1505,$A55-3),"")</f>
        <v/>
      </c>
      <c r="D55">
        <f>IF(ISNUMBER($A55),INDEX($R$6:$R$1505,$A55-3),"")</f>
        <v/>
      </c>
      <c r="E55">
        <f>IF(ISNUMBER($A55),$G$2,"")</f>
        <v/>
      </c>
      <c r="F55">
        <f>IF(ISNUMBER($A55),INDEX($Z$6:$Z$1505,$A55-3),"")</f>
        <v/>
      </c>
      <c r="G55">
        <f>IF(ISNUMBER($A55),INDEX($AA$6:$AA$1505,$A55-3),"")</f>
        <v/>
      </c>
      <c r="H55">
        <f>IF(ISNUMBER($A55),INDEX($U$6:$U$1505,$A55-3),"")</f>
        <v/>
      </c>
      <c r="I55">
        <f>IF(ISNUMBER($A55),INDEX($V$6:$V$1505,$A55-3),"")</f>
        <v/>
      </c>
      <c r="J55">
        <f>IF(ISNUMBER($A55),INDEX($W$6:$W$1505,$A55-3),"")</f>
        <v/>
      </c>
      <c r="K55">
        <f>IF(ISNUMBER($A55),INDEX($X$6:$X$1505,$A55-3),"")</f>
        <v/>
      </c>
      <c r="L55">
        <f>IF(ISNUMBER($A55),INDEX($Y$6:$Y$1505,$A55-3),"")</f>
        <v/>
      </c>
      <c r="O55">
        <f>53</f>
        <v/>
      </c>
      <c r="P55">
        <f>IF(TRIM('입력_구리근무자명단'!$A53&amp;"")&lt;&gt;"",TRIM('입력_구리근무자명단'!$A53&amp;""),P54)</f>
        <v/>
      </c>
      <c r="Q55">
        <f>'입력_구리근무자명단'!$B53&amp;""</f>
        <v/>
      </c>
      <c r="R55">
        <f>IF($E$2="","",TRIM(INDEX('입력_구리근무자명단'!$A53:$ZZ53,1,$E$2+IF($G$2="확정",1,0))&amp;""))</f>
        <v/>
      </c>
      <c r="S55">
        <f>IF($R55="","",IF(INDEX('입력_구리근무자명단'!$A53:$ZZ53,1,$E$2+2)&amp;""="",급여기준월,IF(ISNUMBER(INDEX('입력_구리근무자명단'!$A53:$ZZ53,1,$E$2+2)),INDEX('입력_구리근무자명단'!$A53:$ZZ53,1,$E$2+2),IFERROR(DATE(VALUE(LEFT(INDEX('입력_구리근무자명단'!$A53:$ZZ53,1,$E$2+2),4)),VALUE(MID(INDEX('입력_구리근무자명단'!$A53:$ZZ53,1,$E$2+2),6,2)),VALUE(MID(INDEX('입력_구리근무자명단'!$A53:$ZZ53,1,$E$2+2),9,2))),-1))))</f>
        <v/>
      </c>
      <c r="T55">
        <f>IF($R55="","",IF(INDEX('입력_구리근무자명단'!$A53:$ZZ53,1,$E$2+3)&amp;""="",EOMONTH(급여기준월,0),IF(ISNUMBER(INDEX('입력_구리근무자명단'!$A53:$ZZ53,1,$E$2+3)),INDEX('입력_구리근무자명단'!$A53:$ZZ53,1,$E$2+3),IFERROR(DATE(VALUE(LEFT(INDEX('입력_구리근무자명단'!$A53:$ZZ53,1,$E$2+3),4)),VALUE(MID(INDEX('입력_구리근무자명단'!$A53:$ZZ53,1,$E$2+3),6,2)),VALUE(MID(INDEX('입력_구리근무자명단'!$A53:$ZZ53,1,$E$2+3),9,2))),-1))))</f>
        <v/>
      </c>
      <c r="U55">
        <f>IF($R55="","",IF(OR($S55&lt;0,$T55&lt;0),0,MAX(0,MIN($T55,EOMONTH(급여기준월,0))-MAX($S55,급여기준월)+1)))</f>
        <v/>
      </c>
      <c r="V55">
        <f>IF($R55="","",TRIM(INDEX('입력_구리근무자명단'!$A53:$ZZ53,1,$E$2+5)&amp;""))</f>
        <v/>
      </c>
      <c r="W55">
        <f>IF(ISNUMBER(SEARCH("구리독자",$V55)),"구리독자","")</f>
        <v/>
      </c>
      <c r="X55">
        <f>IF($R55="","",$R55&amp;"|"&amp;IF(OR($Q55="인턴",ISNUMBER(SEARCH("수련교육부",$P55))),"인턴",$P55))</f>
        <v/>
      </c>
      <c r="Y55">
        <f>IF($R55="","",IF(COUNTIF(명단표[이름|과],$X55)=1,"명단 일치",IF(AND(COUNTIF(명단표[이름|과],$X55)=0,COUNTIF(명단표[이름],$R55)=1),"명단 일치(이름만, 과 다름)",IF(COUNTIF(명단표[이름],$R55)=0,IF(COUNTIF(기본자료표[이름],$R55)&gt;0,"명단에 없음(기본자료에는 있음)","명단에 없음"),"동명이인 확인"))))</f>
        <v/>
      </c>
      <c r="Z55">
        <f>IF($R55="","",IF($S55&lt;0,"⚠"&amp;INDEX('입력_구리근무자명단'!$A53:$ZZ53,1,$E$2+2),TEXT($S55,"yyyy-mm-dd")))</f>
        <v/>
      </c>
      <c r="AA55">
        <f>IF($R55="","",IF($T55&lt;0,"⚠"&amp;INDEX('입력_구리근무자명단'!$A53:$ZZ53,1,$E$2+3),TEXT($T55,"yyyy-mm-dd")))</f>
        <v/>
      </c>
      <c r="AB55">
        <f>AB54+IF($R55="",0,1)</f>
        <v/>
      </c>
      <c r="AC55">
        <f>IF($R55="","",$AB55)</f>
        <v/>
      </c>
    </row>
    <row r="56">
      <c r="A56">
        <f>IFERROR(INDEX($O$6:$O$1505,MATCH(51,$AC$6:$AC$1505,0)),"")</f>
        <v/>
      </c>
      <c r="B56">
        <f>IF(ISNUMBER($A56),INDEX($P$6:$P$1505,$A56-3),"")</f>
        <v/>
      </c>
      <c r="C56">
        <f>IF(ISNUMBER($A56),INDEX($Q$6:$Q$1505,$A56-3),"")</f>
        <v/>
      </c>
      <c r="D56">
        <f>IF(ISNUMBER($A56),INDEX($R$6:$R$1505,$A56-3),"")</f>
        <v/>
      </c>
      <c r="E56">
        <f>IF(ISNUMBER($A56),$G$2,"")</f>
        <v/>
      </c>
      <c r="F56">
        <f>IF(ISNUMBER($A56),INDEX($Z$6:$Z$1505,$A56-3),"")</f>
        <v/>
      </c>
      <c r="G56">
        <f>IF(ISNUMBER($A56),INDEX($AA$6:$AA$1505,$A56-3),"")</f>
        <v/>
      </c>
      <c r="H56">
        <f>IF(ISNUMBER($A56),INDEX($U$6:$U$1505,$A56-3),"")</f>
        <v/>
      </c>
      <c r="I56">
        <f>IF(ISNUMBER($A56),INDEX($V$6:$V$1505,$A56-3),"")</f>
        <v/>
      </c>
      <c r="J56">
        <f>IF(ISNUMBER($A56),INDEX($W$6:$W$1505,$A56-3),"")</f>
        <v/>
      </c>
      <c r="K56">
        <f>IF(ISNUMBER($A56),INDEX($X$6:$X$1505,$A56-3),"")</f>
        <v/>
      </c>
      <c r="L56">
        <f>IF(ISNUMBER($A56),INDEX($Y$6:$Y$1505,$A56-3),"")</f>
        <v/>
      </c>
      <c r="O56">
        <f>54</f>
        <v/>
      </c>
      <c r="P56">
        <f>IF(TRIM('입력_구리근무자명단'!$A54&amp;"")&lt;&gt;"",TRIM('입력_구리근무자명단'!$A54&amp;""),P55)</f>
        <v/>
      </c>
      <c r="Q56">
        <f>'입력_구리근무자명단'!$B54&amp;""</f>
        <v/>
      </c>
      <c r="R56">
        <f>IF($E$2="","",TRIM(INDEX('입력_구리근무자명단'!$A54:$ZZ54,1,$E$2+IF($G$2="확정",1,0))&amp;""))</f>
        <v/>
      </c>
      <c r="S56">
        <f>IF($R56="","",IF(INDEX('입력_구리근무자명단'!$A54:$ZZ54,1,$E$2+2)&amp;""="",급여기준월,IF(ISNUMBER(INDEX('입력_구리근무자명단'!$A54:$ZZ54,1,$E$2+2)),INDEX('입력_구리근무자명단'!$A54:$ZZ54,1,$E$2+2),IFERROR(DATE(VALUE(LEFT(INDEX('입력_구리근무자명단'!$A54:$ZZ54,1,$E$2+2),4)),VALUE(MID(INDEX('입력_구리근무자명단'!$A54:$ZZ54,1,$E$2+2),6,2)),VALUE(MID(INDEX('입력_구리근무자명단'!$A54:$ZZ54,1,$E$2+2),9,2))),-1))))</f>
        <v/>
      </c>
      <c r="T56">
        <f>IF($R56="","",IF(INDEX('입력_구리근무자명단'!$A54:$ZZ54,1,$E$2+3)&amp;""="",EOMONTH(급여기준월,0),IF(ISNUMBER(INDEX('입력_구리근무자명단'!$A54:$ZZ54,1,$E$2+3)),INDEX('입력_구리근무자명단'!$A54:$ZZ54,1,$E$2+3),IFERROR(DATE(VALUE(LEFT(INDEX('입력_구리근무자명단'!$A54:$ZZ54,1,$E$2+3),4)),VALUE(MID(INDEX('입력_구리근무자명단'!$A54:$ZZ54,1,$E$2+3),6,2)),VALUE(MID(INDEX('입력_구리근무자명단'!$A54:$ZZ54,1,$E$2+3),9,2))),-1))))</f>
        <v/>
      </c>
      <c r="U56">
        <f>IF($R56="","",IF(OR($S56&lt;0,$T56&lt;0),0,MAX(0,MIN($T56,EOMONTH(급여기준월,0))-MAX($S56,급여기준월)+1)))</f>
        <v/>
      </c>
      <c r="V56">
        <f>IF($R56="","",TRIM(INDEX('입력_구리근무자명단'!$A54:$ZZ54,1,$E$2+5)&amp;""))</f>
        <v/>
      </c>
      <c r="W56">
        <f>IF(ISNUMBER(SEARCH("구리독자",$V56)),"구리독자","")</f>
        <v/>
      </c>
      <c r="X56">
        <f>IF($R56="","",$R56&amp;"|"&amp;IF(OR($Q56="인턴",ISNUMBER(SEARCH("수련교육부",$P56))),"인턴",$P56))</f>
        <v/>
      </c>
      <c r="Y56">
        <f>IF($R56="","",IF(COUNTIF(명단표[이름|과],$X56)=1,"명단 일치",IF(AND(COUNTIF(명단표[이름|과],$X56)=0,COUNTIF(명단표[이름],$R56)=1),"명단 일치(이름만, 과 다름)",IF(COUNTIF(명단표[이름],$R56)=0,IF(COUNTIF(기본자료표[이름],$R56)&gt;0,"명단에 없음(기본자료에는 있음)","명단에 없음"),"동명이인 확인"))))</f>
        <v/>
      </c>
      <c r="Z56">
        <f>IF($R56="","",IF($S56&lt;0,"⚠"&amp;INDEX('입력_구리근무자명단'!$A54:$ZZ54,1,$E$2+2),TEXT($S56,"yyyy-mm-dd")))</f>
        <v/>
      </c>
      <c r="AA56">
        <f>IF($R56="","",IF($T56&lt;0,"⚠"&amp;INDEX('입력_구리근무자명단'!$A54:$ZZ54,1,$E$2+3),TEXT($T56,"yyyy-mm-dd")))</f>
        <v/>
      </c>
      <c r="AB56">
        <f>AB55+IF($R56="",0,1)</f>
        <v/>
      </c>
      <c r="AC56">
        <f>IF($R56="","",$AB56)</f>
        <v/>
      </c>
    </row>
    <row r="57">
      <c r="A57">
        <f>IFERROR(INDEX($O$6:$O$1505,MATCH(52,$AC$6:$AC$1505,0)),"")</f>
        <v/>
      </c>
      <c r="B57">
        <f>IF(ISNUMBER($A57),INDEX($P$6:$P$1505,$A57-3),"")</f>
        <v/>
      </c>
      <c r="C57">
        <f>IF(ISNUMBER($A57),INDEX($Q$6:$Q$1505,$A57-3),"")</f>
        <v/>
      </c>
      <c r="D57">
        <f>IF(ISNUMBER($A57),INDEX($R$6:$R$1505,$A57-3),"")</f>
        <v/>
      </c>
      <c r="E57">
        <f>IF(ISNUMBER($A57),$G$2,"")</f>
        <v/>
      </c>
      <c r="F57">
        <f>IF(ISNUMBER($A57),INDEX($Z$6:$Z$1505,$A57-3),"")</f>
        <v/>
      </c>
      <c r="G57">
        <f>IF(ISNUMBER($A57),INDEX($AA$6:$AA$1505,$A57-3),"")</f>
        <v/>
      </c>
      <c r="H57">
        <f>IF(ISNUMBER($A57),INDEX($U$6:$U$1505,$A57-3),"")</f>
        <v/>
      </c>
      <c r="I57">
        <f>IF(ISNUMBER($A57),INDEX($V$6:$V$1505,$A57-3),"")</f>
        <v/>
      </c>
      <c r="J57">
        <f>IF(ISNUMBER($A57),INDEX($W$6:$W$1505,$A57-3),"")</f>
        <v/>
      </c>
      <c r="K57">
        <f>IF(ISNUMBER($A57),INDEX($X$6:$X$1505,$A57-3),"")</f>
        <v/>
      </c>
      <c r="L57">
        <f>IF(ISNUMBER($A57),INDEX($Y$6:$Y$1505,$A57-3),"")</f>
        <v/>
      </c>
      <c r="O57">
        <f>55</f>
        <v/>
      </c>
      <c r="P57">
        <f>IF(TRIM('입력_구리근무자명단'!$A55&amp;"")&lt;&gt;"",TRIM('입력_구리근무자명단'!$A55&amp;""),P56)</f>
        <v/>
      </c>
      <c r="Q57">
        <f>'입력_구리근무자명단'!$B55&amp;""</f>
        <v/>
      </c>
      <c r="R57">
        <f>IF($E$2="","",TRIM(INDEX('입력_구리근무자명단'!$A55:$ZZ55,1,$E$2+IF($G$2="확정",1,0))&amp;""))</f>
        <v/>
      </c>
      <c r="S57">
        <f>IF($R57="","",IF(INDEX('입력_구리근무자명단'!$A55:$ZZ55,1,$E$2+2)&amp;""="",급여기준월,IF(ISNUMBER(INDEX('입력_구리근무자명단'!$A55:$ZZ55,1,$E$2+2)),INDEX('입력_구리근무자명단'!$A55:$ZZ55,1,$E$2+2),IFERROR(DATE(VALUE(LEFT(INDEX('입력_구리근무자명단'!$A55:$ZZ55,1,$E$2+2),4)),VALUE(MID(INDEX('입력_구리근무자명단'!$A55:$ZZ55,1,$E$2+2),6,2)),VALUE(MID(INDEX('입력_구리근무자명단'!$A55:$ZZ55,1,$E$2+2),9,2))),-1))))</f>
        <v/>
      </c>
      <c r="T57">
        <f>IF($R57="","",IF(INDEX('입력_구리근무자명단'!$A55:$ZZ55,1,$E$2+3)&amp;""="",EOMONTH(급여기준월,0),IF(ISNUMBER(INDEX('입력_구리근무자명단'!$A55:$ZZ55,1,$E$2+3)),INDEX('입력_구리근무자명단'!$A55:$ZZ55,1,$E$2+3),IFERROR(DATE(VALUE(LEFT(INDEX('입력_구리근무자명단'!$A55:$ZZ55,1,$E$2+3),4)),VALUE(MID(INDEX('입력_구리근무자명단'!$A55:$ZZ55,1,$E$2+3),6,2)),VALUE(MID(INDEX('입력_구리근무자명단'!$A55:$ZZ55,1,$E$2+3),9,2))),-1))))</f>
        <v/>
      </c>
      <c r="U57">
        <f>IF($R57="","",IF(OR($S57&lt;0,$T57&lt;0),0,MAX(0,MIN($T57,EOMONTH(급여기준월,0))-MAX($S57,급여기준월)+1)))</f>
        <v/>
      </c>
      <c r="V57">
        <f>IF($R57="","",TRIM(INDEX('입력_구리근무자명단'!$A55:$ZZ55,1,$E$2+5)&amp;""))</f>
        <v/>
      </c>
      <c r="W57">
        <f>IF(ISNUMBER(SEARCH("구리독자",$V57)),"구리독자","")</f>
        <v/>
      </c>
      <c r="X57">
        <f>IF($R57="","",$R57&amp;"|"&amp;IF(OR($Q57="인턴",ISNUMBER(SEARCH("수련교육부",$P57))),"인턴",$P57))</f>
        <v/>
      </c>
      <c r="Y57">
        <f>IF($R57="","",IF(COUNTIF(명단표[이름|과],$X57)=1,"명단 일치",IF(AND(COUNTIF(명단표[이름|과],$X57)=0,COUNTIF(명단표[이름],$R57)=1),"명단 일치(이름만, 과 다름)",IF(COUNTIF(명단표[이름],$R57)=0,IF(COUNTIF(기본자료표[이름],$R57)&gt;0,"명단에 없음(기본자료에는 있음)","명단에 없음"),"동명이인 확인"))))</f>
        <v/>
      </c>
      <c r="Z57">
        <f>IF($R57="","",IF($S57&lt;0,"⚠"&amp;INDEX('입력_구리근무자명단'!$A55:$ZZ55,1,$E$2+2),TEXT($S57,"yyyy-mm-dd")))</f>
        <v/>
      </c>
      <c r="AA57">
        <f>IF($R57="","",IF($T57&lt;0,"⚠"&amp;INDEX('입력_구리근무자명단'!$A55:$ZZ55,1,$E$2+3),TEXT($T57,"yyyy-mm-dd")))</f>
        <v/>
      </c>
      <c r="AB57">
        <f>AB56+IF($R57="",0,1)</f>
        <v/>
      </c>
      <c r="AC57">
        <f>IF($R57="","",$AB57)</f>
        <v/>
      </c>
    </row>
    <row r="58">
      <c r="A58">
        <f>IFERROR(INDEX($O$6:$O$1505,MATCH(53,$AC$6:$AC$1505,0)),"")</f>
        <v/>
      </c>
      <c r="B58">
        <f>IF(ISNUMBER($A58),INDEX($P$6:$P$1505,$A58-3),"")</f>
        <v/>
      </c>
      <c r="C58">
        <f>IF(ISNUMBER($A58),INDEX($Q$6:$Q$1505,$A58-3),"")</f>
        <v/>
      </c>
      <c r="D58">
        <f>IF(ISNUMBER($A58),INDEX($R$6:$R$1505,$A58-3),"")</f>
        <v/>
      </c>
      <c r="E58">
        <f>IF(ISNUMBER($A58),$G$2,"")</f>
        <v/>
      </c>
      <c r="F58">
        <f>IF(ISNUMBER($A58),INDEX($Z$6:$Z$1505,$A58-3),"")</f>
        <v/>
      </c>
      <c r="G58">
        <f>IF(ISNUMBER($A58),INDEX($AA$6:$AA$1505,$A58-3),"")</f>
        <v/>
      </c>
      <c r="H58">
        <f>IF(ISNUMBER($A58),INDEX($U$6:$U$1505,$A58-3),"")</f>
        <v/>
      </c>
      <c r="I58">
        <f>IF(ISNUMBER($A58),INDEX($V$6:$V$1505,$A58-3),"")</f>
        <v/>
      </c>
      <c r="J58">
        <f>IF(ISNUMBER($A58),INDEX($W$6:$W$1505,$A58-3),"")</f>
        <v/>
      </c>
      <c r="K58">
        <f>IF(ISNUMBER($A58),INDEX($X$6:$X$1505,$A58-3),"")</f>
        <v/>
      </c>
      <c r="L58">
        <f>IF(ISNUMBER($A58),INDEX($Y$6:$Y$1505,$A58-3),"")</f>
        <v/>
      </c>
      <c r="O58">
        <f>56</f>
        <v/>
      </c>
      <c r="P58">
        <f>IF(TRIM('입력_구리근무자명단'!$A56&amp;"")&lt;&gt;"",TRIM('입력_구리근무자명단'!$A56&amp;""),P57)</f>
        <v/>
      </c>
      <c r="Q58">
        <f>'입력_구리근무자명단'!$B56&amp;""</f>
        <v/>
      </c>
      <c r="R58">
        <f>IF($E$2="","",TRIM(INDEX('입력_구리근무자명단'!$A56:$ZZ56,1,$E$2+IF($G$2="확정",1,0))&amp;""))</f>
        <v/>
      </c>
      <c r="S58">
        <f>IF($R58="","",IF(INDEX('입력_구리근무자명단'!$A56:$ZZ56,1,$E$2+2)&amp;""="",급여기준월,IF(ISNUMBER(INDEX('입력_구리근무자명단'!$A56:$ZZ56,1,$E$2+2)),INDEX('입력_구리근무자명단'!$A56:$ZZ56,1,$E$2+2),IFERROR(DATE(VALUE(LEFT(INDEX('입력_구리근무자명단'!$A56:$ZZ56,1,$E$2+2),4)),VALUE(MID(INDEX('입력_구리근무자명단'!$A56:$ZZ56,1,$E$2+2),6,2)),VALUE(MID(INDEX('입력_구리근무자명단'!$A56:$ZZ56,1,$E$2+2),9,2))),-1))))</f>
        <v/>
      </c>
      <c r="T58">
        <f>IF($R58="","",IF(INDEX('입력_구리근무자명단'!$A56:$ZZ56,1,$E$2+3)&amp;""="",EOMONTH(급여기준월,0),IF(ISNUMBER(INDEX('입력_구리근무자명단'!$A56:$ZZ56,1,$E$2+3)),INDEX('입력_구리근무자명단'!$A56:$ZZ56,1,$E$2+3),IFERROR(DATE(VALUE(LEFT(INDEX('입력_구리근무자명단'!$A56:$ZZ56,1,$E$2+3),4)),VALUE(MID(INDEX('입력_구리근무자명단'!$A56:$ZZ56,1,$E$2+3),6,2)),VALUE(MID(INDEX('입력_구리근무자명단'!$A56:$ZZ56,1,$E$2+3),9,2))),-1))))</f>
        <v/>
      </c>
      <c r="U58">
        <f>IF($R58="","",IF(OR($S58&lt;0,$T58&lt;0),0,MAX(0,MIN($T58,EOMONTH(급여기준월,0))-MAX($S58,급여기준월)+1)))</f>
        <v/>
      </c>
      <c r="V58">
        <f>IF($R58="","",TRIM(INDEX('입력_구리근무자명단'!$A56:$ZZ56,1,$E$2+5)&amp;""))</f>
        <v/>
      </c>
      <c r="W58">
        <f>IF(ISNUMBER(SEARCH("구리독자",$V58)),"구리독자","")</f>
        <v/>
      </c>
      <c r="X58">
        <f>IF($R58="","",$R58&amp;"|"&amp;IF(OR($Q58="인턴",ISNUMBER(SEARCH("수련교육부",$P58))),"인턴",$P58))</f>
        <v/>
      </c>
      <c r="Y58">
        <f>IF($R58="","",IF(COUNTIF(명단표[이름|과],$X58)=1,"명단 일치",IF(AND(COUNTIF(명단표[이름|과],$X58)=0,COUNTIF(명단표[이름],$R58)=1),"명단 일치(이름만, 과 다름)",IF(COUNTIF(명단표[이름],$R58)=0,IF(COUNTIF(기본자료표[이름],$R58)&gt;0,"명단에 없음(기본자료에는 있음)","명단에 없음"),"동명이인 확인"))))</f>
        <v/>
      </c>
      <c r="Z58">
        <f>IF($R58="","",IF($S58&lt;0,"⚠"&amp;INDEX('입력_구리근무자명단'!$A56:$ZZ56,1,$E$2+2),TEXT($S58,"yyyy-mm-dd")))</f>
        <v/>
      </c>
      <c r="AA58">
        <f>IF($R58="","",IF($T58&lt;0,"⚠"&amp;INDEX('입력_구리근무자명단'!$A56:$ZZ56,1,$E$2+3),TEXT($T58,"yyyy-mm-dd")))</f>
        <v/>
      </c>
      <c r="AB58">
        <f>AB57+IF($R58="",0,1)</f>
        <v/>
      </c>
      <c r="AC58">
        <f>IF($R58="","",$AB58)</f>
        <v/>
      </c>
    </row>
    <row r="59">
      <c r="A59">
        <f>IFERROR(INDEX($O$6:$O$1505,MATCH(54,$AC$6:$AC$1505,0)),"")</f>
        <v/>
      </c>
      <c r="B59">
        <f>IF(ISNUMBER($A59),INDEX($P$6:$P$1505,$A59-3),"")</f>
        <v/>
      </c>
      <c r="C59">
        <f>IF(ISNUMBER($A59),INDEX($Q$6:$Q$1505,$A59-3),"")</f>
        <v/>
      </c>
      <c r="D59">
        <f>IF(ISNUMBER($A59),INDEX($R$6:$R$1505,$A59-3),"")</f>
        <v/>
      </c>
      <c r="E59">
        <f>IF(ISNUMBER($A59),$G$2,"")</f>
        <v/>
      </c>
      <c r="F59">
        <f>IF(ISNUMBER($A59),INDEX($Z$6:$Z$1505,$A59-3),"")</f>
        <v/>
      </c>
      <c r="G59">
        <f>IF(ISNUMBER($A59),INDEX($AA$6:$AA$1505,$A59-3),"")</f>
        <v/>
      </c>
      <c r="H59">
        <f>IF(ISNUMBER($A59),INDEX($U$6:$U$1505,$A59-3),"")</f>
        <v/>
      </c>
      <c r="I59">
        <f>IF(ISNUMBER($A59),INDEX($V$6:$V$1505,$A59-3),"")</f>
        <v/>
      </c>
      <c r="J59">
        <f>IF(ISNUMBER($A59),INDEX($W$6:$W$1505,$A59-3),"")</f>
        <v/>
      </c>
      <c r="K59">
        <f>IF(ISNUMBER($A59),INDEX($X$6:$X$1505,$A59-3),"")</f>
        <v/>
      </c>
      <c r="L59">
        <f>IF(ISNUMBER($A59),INDEX($Y$6:$Y$1505,$A59-3),"")</f>
        <v/>
      </c>
      <c r="O59">
        <f>57</f>
        <v/>
      </c>
      <c r="P59">
        <f>IF(TRIM('입력_구리근무자명단'!$A57&amp;"")&lt;&gt;"",TRIM('입력_구리근무자명단'!$A57&amp;""),P58)</f>
        <v/>
      </c>
      <c r="Q59">
        <f>'입력_구리근무자명단'!$B57&amp;""</f>
        <v/>
      </c>
      <c r="R59">
        <f>IF($E$2="","",TRIM(INDEX('입력_구리근무자명단'!$A57:$ZZ57,1,$E$2+IF($G$2="확정",1,0))&amp;""))</f>
        <v/>
      </c>
      <c r="S59">
        <f>IF($R59="","",IF(INDEX('입력_구리근무자명단'!$A57:$ZZ57,1,$E$2+2)&amp;""="",급여기준월,IF(ISNUMBER(INDEX('입력_구리근무자명단'!$A57:$ZZ57,1,$E$2+2)),INDEX('입력_구리근무자명단'!$A57:$ZZ57,1,$E$2+2),IFERROR(DATE(VALUE(LEFT(INDEX('입력_구리근무자명단'!$A57:$ZZ57,1,$E$2+2),4)),VALUE(MID(INDEX('입력_구리근무자명단'!$A57:$ZZ57,1,$E$2+2),6,2)),VALUE(MID(INDEX('입력_구리근무자명단'!$A57:$ZZ57,1,$E$2+2),9,2))),-1))))</f>
        <v/>
      </c>
      <c r="T59">
        <f>IF($R59="","",IF(INDEX('입력_구리근무자명단'!$A57:$ZZ57,1,$E$2+3)&amp;""="",EOMONTH(급여기준월,0),IF(ISNUMBER(INDEX('입력_구리근무자명단'!$A57:$ZZ57,1,$E$2+3)),INDEX('입력_구리근무자명단'!$A57:$ZZ57,1,$E$2+3),IFERROR(DATE(VALUE(LEFT(INDEX('입력_구리근무자명단'!$A57:$ZZ57,1,$E$2+3),4)),VALUE(MID(INDEX('입력_구리근무자명단'!$A57:$ZZ57,1,$E$2+3),6,2)),VALUE(MID(INDEX('입력_구리근무자명단'!$A57:$ZZ57,1,$E$2+3),9,2))),-1))))</f>
        <v/>
      </c>
      <c r="U59">
        <f>IF($R59="","",IF(OR($S59&lt;0,$T59&lt;0),0,MAX(0,MIN($T59,EOMONTH(급여기준월,0))-MAX($S59,급여기준월)+1)))</f>
        <v/>
      </c>
      <c r="V59">
        <f>IF($R59="","",TRIM(INDEX('입력_구리근무자명단'!$A57:$ZZ57,1,$E$2+5)&amp;""))</f>
        <v/>
      </c>
      <c r="W59">
        <f>IF(ISNUMBER(SEARCH("구리독자",$V59)),"구리독자","")</f>
        <v/>
      </c>
      <c r="X59">
        <f>IF($R59="","",$R59&amp;"|"&amp;IF(OR($Q59="인턴",ISNUMBER(SEARCH("수련교육부",$P59))),"인턴",$P59))</f>
        <v/>
      </c>
      <c r="Y59">
        <f>IF($R59="","",IF(COUNTIF(명단표[이름|과],$X59)=1,"명단 일치",IF(AND(COUNTIF(명단표[이름|과],$X59)=0,COUNTIF(명단표[이름],$R59)=1),"명단 일치(이름만, 과 다름)",IF(COUNTIF(명단표[이름],$R59)=0,IF(COUNTIF(기본자료표[이름],$R59)&gt;0,"명단에 없음(기본자료에는 있음)","명단에 없음"),"동명이인 확인"))))</f>
        <v/>
      </c>
      <c r="Z59">
        <f>IF($R59="","",IF($S59&lt;0,"⚠"&amp;INDEX('입력_구리근무자명단'!$A57:$ZZ57,1,$E$2+2),TEXT($S59,"yyyy-mm-dd")))</f>
        <v/>
      </c>
      <c r="AA59">
        <f>IF($R59="","",IF($T59&lt;0,"⚠"&amp;INDEX('입력_구리근무자명단'!$A57:$ZZ57,1,$E$2+3),TEXT($T59,"yyyy-mm-dd")))</f>
        <v/>
      </c>
      <c r="AB59">
        <f>AB58+IF($R59="",0,1)</f>
        <v/>
      </c>
      <c r="AC59">
        <f>IF($R59="","",$AB59)</f>
        <v/>
      </c>
    </row>
    <row r="60">
      <c r="A60">
        <f>IFERROR(INDEX($O$6:$O$1505,MATCH(55,$AC$6:$AC$1505,0)),"")</f>
        <v/>
      </c>
      <c r="B60">
        <f>IF(ISNUMBER($A60),INDEX($P$6:$P$1505,$A60-3),"")</f>
        <v/>
      </c>
      <c r="C60">
        <f>IF(ISNUMBER($A60),INDEX($Q$6:$Q$1505,$A60-3),"")</f>
        <v/>
      </c>
      <c r="D60">
        <f>IF(ISNUMBER($A60),INDEX($R$6:$R$1505,$A60-3),"")</f>
        <v/>
      </c>
      <c r="E60">
        <f>IF(ISNUMBER($A60),$G$2,"")</f>
        <v/>
      </c>
      <c r="F60">
        <f>IF(ISNUMBER($A60),INDEX($Z$6:$Z$1505,$A60-3),"")</f>
        <v/>
      </c>
      <c r="G60">
        <f>IF(ISNUMBER($A60),INDEX($AA$6:$AA$1505,$A60-3),"")</f>
        <v/>
      </c>
      <c r="H60">
        <f>IF(ISNUMBER($A60),INDEX($U$6:$U$1505,$A60-3),"")</f>
        <v/>
      </c>
      <c r="I60">
        <f>IF(ISNUMBER($A60),INDEX($V$6:$V$1505,$A60-3),"")</f>
        <v/>
      </c>
      <c r="J60">
        <f>IF(ISNUMBER($A60),INDEX($W$6:$W$1505,$A60-3),"")</f>
        <v/>
      </c>
      <c r="K60">
        <f>IF(ISNUMBER($A60),INDEX($X$6:$X$1505,$A60-3),"")</f>
        <v/>
      </c>
      <c r="L60">
        <f>IF(ISNUMBER($A60),INDEX($Y$6:$Y$1505,$A60-3),"")</f>
        <v/>
      </c>
      <c r="O60">
        <f>58</f>
        <v/>
      </c>
      <c r="P60">
        <f>IF(TRIM('입력_구리근무자명단'!$A58&amp;"")&lt;&gt;"",TRIM('입력_구리근무자명단'!$A58&amp;""),P59)</f>
        <v/>
      </c>
      <c r="Q60">
        <f>'입력_구리근무자명단'!$B58&amp;""</f>
        <v/>
      </c>
      <c r="R60">
        <f>IF($E$2="","",TRIM(INDEX('입력_구리근무자명단'!$A58:$ZZ58,1,$E$2+IF($G$2="확정",1,0))&amp;""))</f>
        <v/>
      </c>
      <c r="S60">
        <f>IF($R60="","",IF(INDEX('입력_구리근무자명단'!$A58:$ZZ58,1,$E$2+2)&amp;""="",급여기준월,IF(ISNUMBER(INDEX('입력_구리근무자명단'!$A58:$ZZ58,1,$E$2+2)),INDEX('입력_구리근무자명단'!$A58:$ZZ58,1,$E$2+2),IFERROR(DATE(VALUE(LEFT(INDEX('입력_구리근무자명단'!$A58:$ZZ58,1,$E$2+2),4)),VALUE(MID(INDEX('입력_구리근무자명단'!$A58:$ZZ58,1,$E$2+2),6,2)),VALUE(MID(INDEX('입력_구리근무자명단'!$A58:$ZZ58,1,$E$2+2),9,2))),-1))))</f>
        <v/>
      </c>
      <c r="T60">
        <f>IF($R60="","",IF(INDEX('입력_구리근무자명단'!$A58:$ZZ58,1,$E$2+3)&amp;""="",EOMONTH(급여기준월,0),IF(ISNUMBER(INDEX('입력_구리근무자명단'!$A58:$ZZ58,1,$E$2+3)),INDEX('입력_구리근무자명단'!$A58:$ZZ58,1,$E$2+3),IFERROR(DATE(VALUE(LEFT(INDEX('입력_구리근무자명단'!$A58:$ZZ58,1,$E$2+3),4)),VALUE(MID(INDEX('입력_구리근무자명단'!$A58:$ZZ58,1,$E$2+3),6,2)),VALUE(MID(INDEX('입력_구리근무자명단'!$A58:$ZZ58,1,$E$2+3),9,2))),-1))))</f>
        <v/>
      </c>
      <c r="U60">
        <f>IF($R60="","",IF(OR($S60&lt;0,$T60&lt;0),0,MAX(0,MIN($T60,EOMONTH(급여기준월,0))-MAX($S60,급여기준월)+1)))</f>
        <v/>
      </c>
      <c r="V60">
        <f>IF($R60="","",TRIM(INDEX('입력_구리근무자명단'!$A58:$ZZ58,1,$E$2+5)&amp;""))</f>
        <v/>
      </c>
      <c r="W60">
        <f>IF(ISNUMBER(SEARCH("구리독자",$V60)),"구리독자","")</f>
        <v/>
      </c>
      <c r="X60">
        <f>IF($R60="","",$R60&amp;"|"&amp;IF(OR($Q60="인턴",ISNUMBER(SEARCH("수련교육부",$P60))),"인턴",$P60))</f>
        <v/>
      </c>
      <c r="Y60">
        <f>IF($R60="","",IF(COUNTIF(명단표[이름|과],$X60)=1,"명단 일치",IF(AND(COUNTIF(명단표[이름|과],$X60)=0,COUNTIF(명단표[이름],$R60)=1),"명단 일치(이름만, 과 다름)",IF(COUNTIF(명단표[이름],$R60)=0,IF(COUNTIF(기본자료표[이름],$R60)&gt;0,"명단에 없음(기본자료에는 있음)","명단에 없음"),"동명이인 확인"))))</f>
        <v/>
      </c>
      <c r="Z60">
        <f>IF($R60="","",IF($S60&lt;0,"⚠"&amp;INDEX('입력_구리근무자명단'!$A58:$ZZ58,1,$E$2+2),TEXT($S60,"yyyy-mm-dd")))</f>
        <v/>
      </c>
      <c r="AA60">
        <f>IF($R60="","",IF($T60&lt;0,"⚠"&amp;INDEX('입력_구리근무자명단'!$A58:$ZZ58,1,$E$2+3),TEXT($T60,"yyyy-mm-dd")))</f>
        <v/>
      </c>
      <c r="AB60">
        <f>AB59+IF($R60="",0,1)</f>
        <v/>
      </c>
      <c r="AC60">
        <f>IF($R60="","",$AB60)</f>
        <v/>
      </c>
    </row>
    <row r="61">
      <c r="A61">
        <f>IFERROR(INDEX($O$6:$O$1505,MATCH(56,$AC$6:$AC$1505,0)),"")</f>
        <v/>
      </c>
      <c r="B61">
        <f>IF(ISNUMBER($A61),INDEX($P$6:$P$1505,$A61-3),"")</f>
        <v/>
      </c>
      <c r="C61">
        <f>IF(ISNUMBER($A61),INDEX($Q$6:$Q$1505,$A61-3),"")</f>
        <v/>
      </c>
      <c r="D61">
        <f>IF(ISNUMBER($A61),INDEX($R$6:$R$1505,$A61-3),"")</f>
        <v/>
      </c>
      <c r="E61">
        <f>IF(ISNUMBER($A61),$G$2,"")</f>
        <v/>
      </c>
      <c r="F61">
        <f>IF(ISNUMBER($A61),INDEX($Z$6:$Z$1505,$A61-3),"")</f>
        <v/>
      </c>
      <c r="G61">
        <f>IF(ISNUMBER($A61),INDEX($AA$6:$AA$1505,$A61-3),"")</f>
        <v/>
      </c>
      <c r="H61">
        <f>IF(ISNUMBER($A61),INDEX($U$6:$U$1505,$A61-3),"")</f>
        <v/>
      </c>
      <c r="I61">
        <f>IF(ISNUMBER($A61),INDEX($V$6:$V$1505,$A61-3),"")</f>
        <v/>
      </c>
      <c r="J61">
        <f>IF(ISNUMBER($A61),INDEX($W$6:$W$1505,$A61-3),"")</f>
        <v/>
      </c>
      <c r="K61">
        <f>IF(ISNUMBER($A61),INDEX($X$6:$X$1505,$A61-3),"")</f>
        <v/>
      </c>
      <c r="L61">
        <f>IF(ISNUMBER($A61),INDEX($Y$6:$Y$1505,$A61-3),"")</f>
        <v/>
      </c>
      <c r="O61">
        <f>59</f>
        <v/>
      </c>
      <c r="P61">
        <f>IF(TRIM('입력_구리근무자명단'!$A59&amp;"")&lt;&gt;"",TRIM('입력_구리근무자명단'!$A59&amp;""),P60)</f>
        <v/>
      </c>
      <c r="Q61">
        <f>'입력_구리근무자명단'!$B59&amp;""</f>
        <v/>
      </c>
      <c r="R61">
        <f>IF($E$2="","",TRIM(INDEX('입력_구리근무자명단'!$A59:$ZZ59,1,$E$2+IF($G$2="확정",1,0))&amp;""))</f>
        <v/>
      </c>
      <c r="S61">
        <f>IF($R61="","",IF(INDEX('입력_구리근무자명단'!$A59:$ZZ59,1,$E$2+2)&amp;""="",급여기준월,IF(ISNUMBER(INDEX('입력_구리근무자명단'!$A59:$ZZ59,1,$E$2+2)),INDEX('입력_구리근무자명단'!$A59:$ZZ59,1,$E$2+2),IFERROR(DATE(VALUE(LEFT(INDEX('입력_구리근무자명단'!$A59:$ZZ59,1,$E$2+2),4)),VALUE(MID(INDEX('입력_구리근무자명단'!$A59:$ZZ59,1,$E$2+2),6,2)),VALUE(MID(INDEX('입력_구리근무자명단'!$A59:$ZZ59,1,$E$2+2),9,2))),-1))))</f>
        <v/>
      </c>
      <c r="T61">
        <f>IF($R61="","",IF(INDEX('입력_구리근무자명단'!$A59:$ZZ59,1,$E$2+3)&amp;""="",EOMONTH(급여기준월,0),IF(ISNUMBER(INDEX('입력_구리근무자명단'!$A59:$ZZ59,1,$E$2+3)),INDEX('입력_구리근무자명단'!$A59:$ZZ59,1,$E$2+3),IFERROR(DATE(VALUE(LEFT(INDEX('입력_구리근무자명단'!$A59:$ZZ59,1,$E$2+3),4)),VALUE(MID(INDEX('입력_구리근무자명단'!$A59:$ZZ59,1,$E$2+3),6,2)),VALUE(MID(INDEX('입력_구리근무자명단'!$A59:$ZZ59,1,$E$2+3),9,2))),-1))))</f>
        <v/>
      </c>
      <c r="U61">
        <f>IF($R61="","",IF(OR($S61&lt;0,$T61&lt;0),0,MAX(0,MIN($T61,EOMONTH(급여기준월,0))-MAX($S61,급여기준월)+1)))</f>
        <v/>
      </c>
      <c r="V61">
        <f>IF($R61="","",TRIM(INDEX('입력_구리근무자명단'!$A59:$ZZ59,1,$E$2+5)&amp;""))</f>
        <v/>
      </c>
      <c r="W61">
        <f>IF(ISNUMBER(SEARCH("구리독자",$V61)),"구리독자","")</f>
        <v/>
      </c>
      <c r="X61">
        <f>IF($R61="","",$R61&amp;"|"&amp;IF(OR($Q61="인턴",ISNUMBER(SEARCH("수련교육부",$P61))),"인턴",$P61))</f>
        <v/>
      </c>
      <c r="Y61">
        <f>IF($R61="","",IF(COUNTIF(명단표[이름|과],$X61)=1,"명단 일치",IF(AND(COUNTIF(명단표[이름|과],$X61)=0,COUNTIF(명단표[이름],$R61)=1),"명단 일치(이름만, 과 다름)",IF(COUNTIF(명단표[이름],$R61)=0,IF(COUNTIF(기본자료표[이름],$R61)&gt;0,"명단에 없음(기본자료에는 있음)","명단에 없음"),"동명이인 확인"))))</f>
        <v/>
      </c>
      <c r="Z61">
        <f>IF($R61="","",IF($S61&lt;0,"⚠"&amp;INDEX('입력_구리근무자명단'!$A59:$ZZ59,1,$E$2+2),TEXT($S61,"yyyy-mm-dd")))</f>
        <v/>
      </c>
      <c r="AA61">
        <f>IF($R61="","",IF($T61&lt;0,"⚠"&amp;INDEX('입력_구리근무자명단'!$A59:$ZZ59,1,$E$2+3),TEXT($T61,"yyyy-mm-dd")))</f>
        <v/>
      </c>
      <c r="AB61">
        <f>AB60+IF($R61="",0,1)</f>
        <v/>
      </c>
      <c r="AC61">
        <f>IF($R61="","",$AB61)</f>
        <v/>
      </c>
    </row>
    <row r="62">
      <c r="A62">
        <f>IFERROR(INDEX($O$6:$O$1505,MATCH(57,$AC$6:$AC$1505,0)),"")</f>
        <v/>
      </c>
      <c r="B62">
        <f>IF(ISNUMBER($A62),INDEX($P$6:$P$1505,$A62-3),"")</f>
        <v/>
      </c>
      <c r="C62">
        <f>IF(ISNUMBER($A62),INDEX($Q$6:$Q$1505,$A62-3),"")</f>
        <v/>
      </c>
      <c r="D62">
        <f>IF(ISNUMBER($A62),INDEX($R$6:$R$1505,$A62-3),"")</f>
        <v/>
      </c>
      <c r="E62">
        <f>IF(ISNUMBER($A62),$G$2,"")</f>
        <v/>
      </c>
      <c r="F62">
        <f>IF(ISNUMBER($A62),INDEX($Z$6:$Z$1505,$A62-3),"")</f>
        <v/>
      </c>
      <c r="G62">
        <f>IF(ISNUMBER($A62),INDEX($AA$6:$AA$1505,$A62-3),"")</f>
        <v/>
      </c>
      <c r="H62">
        <f>IF(ISNUMBER($A62),INDEX($U$6:$U$1505,$A62-3),"")</f>
        <v/>
      </c>
      <c r="I62">
        <f>IF(ISNUMBER($A62),INDEX($V$6:$V$1505,$A62-3),"")</f>
        <v/>
      </c>
      <c r="J62">
        <f>IF(ISNUMBER($A62),INDEX($W$6:$W$1505,$A62-3),"")</f>
        <v/>
      </c>
      <c r="K62">
        <f>IF(ISNUMBER($A62),INDEX($X$6:$X$1505,$A62-3),"")</f>
        <v/>
      </c>
      <c r="L62">
        <f>IF(ISNUMBER($A62),INDEX($Y$6:$Y$1505,$A62-3),"")</f>
        <v/>
      </c>
      <c r="O62">
        <f>60</f>
        <v/>
      </c>
      <c r="P62">
        <f>IF(TRIM('입력_구리근무자명단'!$A60&amp;"")&lt;&gt;"",TRIM('입력_구리근무자명단'!$A60&amp;""),P61)</f>
        <v/>
      </c>
      <c r="Q62">
        <f>'입력_구리근무자명단'!$B60&amp;""</f>
        <v/>
      </c>
      <c r="R62">
        <f>IF($E$2="","",TRIM(INDEX('입력_구리근무자명단'!$A60:$ZZ60,1,$E$2+IF($G$2="확정",1,0))&amp;""))</f>
        <v/>
      </c>
      <c r="S62">
        <f>IF($R62="","",IF(INDEX('입력_구리근무자명단'!$A60:$ZZ60,1,$E$2+2)&amp;""="",급여기준월,IF(ISNUMBER(INDEX('입력_구리근무자명단'!$A60:$ZZ60,1,$E$2+2)),INDEX('입력_구리근무자명단'!$A60:$ZZ60,1,$E$2+2),IFERROR(DATE(VALUE(LEFT(INDEX('입력_구리근무자명단'!$A60:$ZZ60,1,$E$2+2),4)),VALUE(MID(INDEX('입력_구리근무자명단'!$A60:$ZZ60,1,$E$2+2),6,2)),VALUE(MID(INDEX('입력_구리근무자명단'!$A60:$ZZ60,1,$E$2+2),9,2))),-1))))</f>
        <v/>
      </c>
      <c r="T62">
        <f>IF($R62="","",IF(INDEX('입력_구리근무자명단'!$A60:$ZZ60,1,$E$2+3)&amp;""="",EOMONTH(급여기준월,0),IF(ISNUMBER(INDEX('입력_구리근무자명단'!$A60:$ZZ60,1,$E$2+3)),INDEX('입력_구리근무자명단'!$A60:$ZZ60,1,$E$2+3),IFERROR(DATE(VALUE(LEFT(INDEX('입력_구리근무자명단'!$A60:$ZZ60,1,$E$2+3),4)),VALUE(MID(INDEX('입력_구리근무자명단'!$A60:$ZZ60,1,$E$2+3),6,2)),VALUE(MID(INDEX('입력_구리근무자명단'!$A60:$ZZ60,1,$E$2+3),9,2))),-1))))</f>
        <v/>
      </c>
      <c r="U62">
        <f>IF($R62="","",IF(OR($S62&lt;0,$T62&lt;0),0,MAX(0,MIN($T62,EOMONTH(급여기준월,0))-MAX($S62,급여기준월)+1)))</f>
        <v/>
      </c>
      <c r="V62">
        <f>IF($R62="","",TRIM(INDEX('입력_구리근무자명단'!$A60:$ZZ60,1,$E$2+5)&amp;""))</f>
        <v/>
      </c>
      <c r="W62">
        <f>IF(ISNUMBER(SEARCH("구리독자",$V62)),"구리독자","")</f>
        <v/>
      </c>
      <c r="X62">
        <f>IF($R62="","",$R62&amp;"|"&amp;IF(OR($Q62="인턴",ISNUMBER(SEARCH("수련교육부",$P62))),"인턴",$P62))</f>
        <v/>
      </c>
      <c r="Y62">
        <f>IF($R62="","",IF(COUNTIF(명단표[이름|과],$X62)=1,"명단 일치",IF(AND(COUNTIF(명단표[이름|과],$X62)=0,COUNTIF(명단표[이름],$R62)=1),"명단 일치(이름만, 과 다름)",IF(COUNTIF(명단표[이름],$R62)=0,IF(COUNTIF(기본자료표[이름],$R62)&gt;0,"명단에 없음(기본자료에는 있음)","명단에 없음"),"동명이인 확인"))))</f>
        <v/>
      </c>
      <c r="Z62">
        <f>IF($R62="","",IF($S62&lt;0,"⚠"&amp;INDEX('입력_구리근무자명단'!$A60:$ZZ60,1,$E$2+2),TEXT($S62,"yyyy-mm-dd")))</f>
        <v/>
      </c>
      <c r="AA62">
        <f>IF($R62="","",IF($T62&lt;0,"⚠"&amp;INDEX('입력_구리근무자명단'!$A60:$ZZ60,1,$E$2+3),TEXT($T62,"yyyy-mm-dd")))</f>
        <v/>
      </c>
      <c r="AB62">
        <f>AB61+IF($R62="",0,1)</f>
        <v/>
      </c>
      <c r="AC62">
        <f>IF($R62="","",$AB62)</f>
        <v/>
      </c>
    </row>
    <row r="63">
      <c r="A63">
        <f>IFERROR(INDEX($O$6:$O$1505,MATCH(58,$AC$6:$AC$1505,0)),"")</f>
        <v/>
      </c>
      <c r="B63">
        <f>IF(ISNUMBER($A63),INDEX($P$6:$P$1505,$A63-3),"")</f>
        <v/>
      </c>
      <c r="C63">
        <f>IF(ISNUMBER($A63),INDEX($Q$6:$Q$1505,$A63-3),"")</f>
        <v/>
      </c>
      <c r="D63">
        <f>IF(ISNUMBER($A63),INDEX($R$6:$R$1505,$A63-3),"")</f>
        <v/>
      </c>
      <c r="E63">
        <f>IF(ISNUMBER($A63),$G$2,"")</f>
        <v/>
      </c>
      <c r="F63">
        <f>IF(ISNUMBER($A63),INDEX($Z$6:$Z$1505,$A63-3),"")</f>
        <v/>
      </c>
      <c r="G63">
        <f>IF(ISNUMBER($A63),INDEX($AA$6:$AA$1505,$A63-3),"")</f>
        <v/>
      </c>
      <c r="H63">
        <f>IF(ISNUMBER($A63),INDEX($U$6:$U$1505,$A63-3),"")</f>
        <v/>
      </c>
      <c r="I63">
        <f>IF(ISNUMBER($A63),INDEX($V$6:$V$1505,$A63-3),"")</f>
        <v/>
      </c>
      <c r="J63">
        <f>IF(ISNUMBER($A63),INDEX($W$6:$W$1505,$A63-3),"")</f>
        <v/>
      </c>
      <c r="K63">
        <f>IF(ISNUMBER($A63),INDEX($X$6:$X$1505,$A63-3),"")</f>
        <v/>
      </c>
      <c r="L63">
        <f>IF(ISNUMBER($A63),INDEX($Y$6:$Y$1505,$A63-3),"")</f>
        <v/>
      </c>
      <c r="O63">
        <f>61</f>
        <v/>
      </c>
      <c r="P63">
        <f>IF(TRIM('입력_구리근무자명단'!$A61&amp;"")&lt;&gt;"",TRIM('입력_구리근무자명단'!$A61&amp;""),P62)</f>
        <v/>
      </c>
      <c r="Q63">
        <f>'입력_구리근무자명단'!$B61&amp;""</f>
        <v/>
      </c>
      <c r="R63">
        <f>IF($E$2="","",TRIM(INDEX('입력_구리근무자명단'!$A61:$ZZ61,1,$E$2+IF($G$2="확정",1,0))&amp;""))</f>
        <v/>
      </c>
      <c r="S63">
        <f>IF($R63="","",IF(INDEX('입력_구리근무자명단'!$A61:$ZZ61,1,$E$2+2)&amp;""="",급여기준월,IF(ISNUMBER(INDEX('입력_구리근무자명단'!$A61:$ZZ61,1,$E$2+2)),INDEX('입력_구리근무자명단'!$A61:$ZZ61,1,$E$2+2),IFERROR(DATE(VALUE(LEFT(INDEX('입력_구리근무자명단'!$A61:$ZZ61,1,$E$2+2),4)),VALUE(MID(INDEX('입력_구리근무자명단'!$A61:$ZZ61,1,$E$2+2),6,2)),VALUE(MID(INDEX('입력_구리근무자명단'!$A61:$ZZ61,1,$E$2+2),9,2))),-1))))</f>
        <v/>
      </c>
      <c r="T63">
        <f>IF($R63="","",IF(INDEX('입력_구리근무자명단'!$A61:$ZZ61,1,$E$2+3)&amp;""="",EOMONTH(급여기준월,0),IF(ISNUMBER(INDEX('입력_구리근무자명단'!$A61:$ZZ61,1,$E$2+3)),INDEX('입력_구리근무자명단'!$A61:$ZZ61,1,$E$2+3),IFERROR(DATE(VALUE(LEFT(INDEX('입력_구리근무자명단'!$A61:$ZZ61,1,$E$2+3),4)),VALUE(MID(INDEX('입력_구리근무자명단'!$A61:$ZZ61,1,$E$2+3),6,2)),VALUE(MID(INDEX('입력_구리근무자명단'!$A61:$ZZ61,1,$E$2+3),9,2))),-1))))</f>
        <v/>
      </c>
      <c r="U63">
        <f>IF($R63="","",IF(OR($S63&lt;0,$T63&lt;0),0,MAX(0,MIN($T63,EOMONTH(급여기준월,0))-MAX($S63,급여기준월)+1)))</f>
        <v/>
      </c>
      <c r="V63">
        <f>IF($R63="","",TRIM(INDEX('입력_구리근무자명단'!$A61:$ZZ61,1,$E$2+5)&amp;""))</f>
        <v/>
      </c>
      <c r="W63">
        <f>IF(ISNUMBER(SEARCH("구리독자",$V63)),"구리독자","")</f>
        <v/>
      </c>
      <c r="X63">
        <f>IF($R63="","",$R63&amp;"|"&amp;IF(OR($Q63="인턴",ISNUMBER(SEARCH("수련교육부",$P63))),"인턴",$P63))</f>
        <v/>
      </c>
      <c r="Y63">
        <f>IF($R63="","",IF(COUNTIF(명단표[이름|과],$X63)=1,"명단 일치",IF(AND(COUNTIF(명단표[이름|과],$X63)=0,COUNTIF(명단표[이름],$R63)=1),"명단 일치(이름만, 과 다름)",IF(COUNTIF(명단표[이름],$R63)=0,IF(COUNTIF(기본자료표[이름],$R63)&gt;0,"명단에 없음(기본자료에는 있음)","명단에 없음"),"동명이인 확인"))))</f>
        <v/>
      </c>
      <c r="Z63">
        <f>IF($R63="","",IF($S63&lt;0,"⚠"&amp;INDEX('입력_구리근무자명단'!$A61:$ZZ61,1,$E$2+2),TEXT($S63,"yyyy-mm-dd")))</f>
        <v/>
      </c>
      <c r="AA63">
        <f>IF($R63="","",IF($T63&lt;0,"⚠"&amp;INDEX('입력_구리근무자명단'!$A61:$ZZ61,1,$E$2+3),TEXT($T63,"yyyy-mm-dd")))</f>
        <v/>
      </c>
      <c r="AB63">
        <f>AB62+IF($R63="",0,1)</f>
        <v/>
      </c>
      <c r="AC63">
        <f>IF($R63="","",$AB63)</f>
        <v/>
      </c>
    </row>
    <row r="64">
      <c r="A64">
        <f>IFERROR(INDEX($O$6:$O$1505,MATCH(59,$AC$6:$AC$1505,0)),"")</f>
        <v/>
      </c>
      <c r="B64">
        <f>IF(ISNUMBER($A64),INDEX($P$6:$P$1505,$A64-3),"")</f>
        <v/>
      </c>
      <c r="C64">
        <f>IF(ISNUMBER($A64),INDEX($Q$6:$Q$1505,$A64-3),"")</f>
        <v/>
      </c>
      <c r="D64">
        <f>IF(ISNUMBER($A64),INDEX($R$6:$R$1505,$A64-3),"")</f>
        <v/>
      </c>
      <c r="E64">
        <f>IF(ISNUMBER($A64),$G$2,"")</f>
        <v/>
      </c>
      <c r="F64">
        <f>IF(ISNUMBER($A64),INDEX($Z$6:$Z$1505,$A64-3),"")</f>
        <v/>
      </c>
      <c r="G64">
        <f>IF(ISNUMBER($A64),INDEX($AA$6:$AA$1505,$A64-3),"")</f>
        <v/>
      </c>
      <c r="H64">
        <f>IF(ISNUMBER($A64),INDEX($U$6:$U$1505,$A64-3),"")</f>
        <v/>
      </c>
      <c r="I64">
        <f>IF(ISNUMBER($A64),INDEX($V$6:$V$1505,$A64-3),"")</f>
        <v/>
      </c>
      <c r="J64">
        <f>IF(ISNUMBER($A64),INDEX($W$6:$W$1505,$A64-3),"")</f>
        <v/>
      </c>
      <c r="K64">
        <f>IF(ISNUMBER($A64),INDEX($X$6:$X$1505,$A64-3),"")</f>
        <v/>
      </c>
      <c r="L64">
        <f>IF(ISNUMBER($A64),INDEX($Y$6:$Y$1505,$A64-3),"")</f>
        <v/>
      </c>
      <c r="O64">
        <f>62</f>
        <v/>
      </c>
      <c r="P64">
        <f>IF(TRIM('입력_구리근무자명단'!$A62&amp;"")&lt;&gt;"",TRIM('입력_구리근무자명단'!$A62&amp;""),P63)</f>
        <v/>
      </c>
      <c r="Q64">
        <f>'입력_구리근무자명단'!$B62&amp;""</f>
        <v/>
      </c>
      <c r="R64">
        <f>IF($E$2="","",TRIM(INDEX('입력_구리근무자명단'!$A62:$ZZ62,1,$E$2+IF($G$2="확정",1,0))&amp;""))</f>
        <v/>
      </c>
      <c r="S64">
        <f>IF($R64="","",IF(INDEX('입력_구리근무자명단'!$A62:$ZZ62,1,$E$2+2)&amp;""="",급여기준월,IF(ISNUMBER(INDEX('입력_구리근무자명단'!$A62:$ZZ62,1,$E$2+2)),INDEX('입력_구리근무자명단'!$A62:$ZZ62,1,$E$2+2),IFERROR(DATE(VALUE(LEFT(INDEX('입력_구리근무자명단'!$A62:$ZZ62,1,$E$2+2),4)),VALUE(MID(INDEX('입력_구리근무자명단'!$A62:$ZZ62,1,$E$2+2),6,2)),VALUE(MID(INDEX('입력_구리근무자명단'!$A62:$ZZ62,1,$E$2+2),9,2))),-1))))</f>
        <v/>
      </c>
      <c r="T64">
        <f>IF($R64="","",IF(INDEX('입력_구리근무자명단'!$A62:$ZZ62,1,$E$2+3)&amp;""="",EOMONTH(급여기준월,0),IF(ISNUMBER(INDEX('입력_구리근무자명단'!$A62:$ZZ62,1,$E$2+3)),INDEX('입력_구리근무자명단'!$A62:$ZZ62,1,$E$2+3),IFERROR(DATE(VALUE(LEFT(INDEX('입력_구리근무자명단'!$A62:$ZZ62,1,$E$2+3),4)),VALUE(MID(INDEX('입력_구리근무자명단'!$A62:$ZZ62,1,$E$2+3),6,2)),VALUE(MID(INDEX('입력_구리근무자명단'!$A62:$ZZ62,1,$E$2+3),9,2))),-1))))</f>
        <v/>
      </c>
      <c r="U64">
        <f>IF($R64="","",IF(OR($S64&lt;0,$T64&lt;0),0,MAX(0,MIN($T64,EOMONTH(급여기준월,0))-MAX($S64,급여기준월)+1)))</f>
        <v/>
      </c>
      <c r="V64">
        <f>IF($R64="","",TRIM(INDEX('입력_구리근무자명단'!$A62:$ZZ62,1,$E$2+5)&amp;""))</f>
        <v/>
      </c>
      <c r="W64">
        <f>IF(ISNUMBER(SEARCH("구리독자",$V64)),"구리독자","")</f>
        <v/>
      </c>
      <c r="X64">
        <f>IF($R64="","",$R64&amp;"|"&amp;IF(OR($Q64="인턴",ISNUMBER(SEARCH("수련교육부",$P64))),"인턴",$P64))</f>
        <v/>
      </c>
      <c r="Y64">
        <f>IF($R64="","",IF(COUNTIF(명단표[이름|과],$X64)=1,"명단 일치",IF(AND(COUNTIF(명단표[이름|과],$X64)=0,COUNTIF(명단표[이름],$R64)=1),"명단 일치(이름만, 과 다름)",IF(COUNTIF(명단표[이름],$R64)=0,IF(COUNTIF(기본자료표[이름],$R64)&gt;0,"명단에 없음(기본자료에는 있음)","명단에 없음"),"동명이인 확인"))))</f>
        <v/>
      </c>
      <c r="Z64">
        <f>IF($R64="","",IF($S64&lt;0,"⚠"&amp;INDEX('입력_구리근무자명단'!$A62:$ZZ62,1,$E$2+2),TEXT($S64,"yyyy-mm-dd")))</f>
        <v/>
      </c>
      <c r="AA64">
        <f>IF($R64="","",IF($T64&lt;0,"⚠"&amp;INDEX('입력_구리근무자명단'!$A62:$ZZ62,1,$E$2+3),TEXT($T64,"yyyy-mm-dd")))</f>
        <v/>
      </c>
      <c r="AB64">
        <f>AB63+IF($R64="",0,1)</f>
        <v/>
      </c>
      <c r="AC64">
        <f>IF($R64="","",$AB64)</f>
        <v/>
      </c>
    </row>
    <row r="65">
      <c r="A65">
        <f>IFERROR(INDEX($O$6:$O$1505,MATCH(60,$AC$6:$AC$1505,0)),"")</f>
        <v/>
      </c>
      <c r="B65">
        <f>IF(ISNUMBER($A65),INDEX($P$6:$P$1505,$A65-3),"")</f>
        <v/>
      </c>
      <c r="C65">
        <f>IF(ISNUMBER($A65),INDEX($Q$6:$Q$1505,$A65-3),"")</f>
        <v/>
      </c>
      <c r="D65">
        <f>IF(ISNUMBER($A65),INDEX($R$6:$R$1505,$A65-3),"")</f>
        <v/>
      </c>
      <c r="E65">
        <f>IF(ISNUMBER($A65),$G$2,"")</f>
        <v/>
      </c>
      <c r="F65">
        <f>IF(ISNUMBER($A65),INDEX($Z$6:$Z$1505,$A65-3),"")</f>
        <v/>
      </c>
      <c r="G65">
        <f>IF(ISNUMBER($A65),INDEX($AA$6:$AA$1505,$A65-3),"")</f>
        <v/>
      </c>
      <c r="H65">
        <f>IF(ISNUMBER($A65),INDEX($U$6:$U$1505,$A65-3),"")</f>
        <v/>
      </c>
      <c r="I65">
        <f>IF(ISNUMBER($A65),INDEX($V$6:$V$1505,$A65-3),"")</f>
        <v/>
      </c>
      <c r="J65">
        <f>IF(ISNUMBER($A65),INDEX($W$6:$W$1505,$A65-3),"")</f>
        <v/>
      </c>
      <c r="K65">
        <f>IF(ISNUMBER($A65),INDEX($X$6:$X$1505,$A65-3),"")</f>
        <v/>
      </c>
      <c r="L65">
        <f>IF(ISNUMBER($A65),INDEX($Y$6:$Y$1505,$A65-3),"")</f>
        <v/>
      </c>
      <c r="O65">
        <f>63</f>
        <v/>
      </c>
      <c r="P65">
        <f>IF(TRIM('입력_구리근무자명단'!$A63&amp;"")&lt;&gt;"",TRIM('입력_구리근무자명단'!$A63&amp;""),P64)</f>
        <v/>
      </c>
      <c r="Q65">
        <f>'입력_구리근무자명단'!$B63&amp;""</f>
        <v/>
      </c>
      <c r="R65">
        <f>IF($E$2="","",TRIM(INDEX('입력_구리근무자명단'!$A63:$ZZ63,1,$E$2+IF($G$2="확정",1,0))&amp;""))</f>
        <v/>
      </c>
      <c r="S65">
        <f>IF($R65="","",IF(INDEX('입력_구리근무자명단'!$A63:$ZZ63,1,$E$2+2)&amp;""="",급여기준월,IF(ISNUMBER(INDEX('입력_구리근무자명단'!$A63:$ZZ63,1,$E$2+2)),INDEX('입력_구리근무자명단'!$A63:$ZZ63,1,$E$2+2),IFERROR(DATE(VALUE(LEFT(INDEX('입력_구리근무자명단'!$A63:$ZZ63,1,$E$2+2),4)),VALUE(MID(INDEX('입력_구리근무자명단'!$A63:$ZZ63,1,$E$2+2),6,2)),VALUE(MID(INDEX('입력_구리근무자명단'!$A63:$ZZ63,1,$E$2+2),9,2))),-1))))</f>
        <v/>
      </c>
      <c r="T65">
        <f>IF($R65="","",IF(INDEX('입력_구리근무자명단'!$A63:$ZZ63,1,$E$2+3)&amp;""="",EOMONTH(급여기준월,0),IF(ISNUMBER(INDEX('입력_구리근무자명단'!$A63:$ZZ63,1,$E$2+3)),INDEX('입력_구리근무자명단'!$A63:$ZZ63,1,$E$2+3),IFERROR(DATE(VALUE(LEFT(INDEX('입력_구리근무자명단'!$A63:$ZZ63,1,$E$2+3),4)),VALUE(MID(INDEX('입력_구리근무자명단'!$A63:$ZZ63,1,$E$2+3),6,2)),VALUE(MID(INDEX('입력_구리근무자명단'!$A63:$ZZ63,1,$E$2+3),9,2))),-1))))</f>
        <v/>
      </c>
      <c r="U65">
        <f>IF($R65="","",IF(OR($S65&lt;0,$T65&lt;0),0,MAX(0,MIN($T65,EOMONTH(급여기준월,0))-MAX($S65,급여기준월)+1)))</f>
        <v/>
      </c>
      <c r="V65">
        <f>IF($R65="","",TRIM(INDEX('입력_구리근무자명단'!$A63:$ZZ63,1,$E$2+5)&amp;""))</f>
        <v/>
      </c>
      <c r="W65">
        <f>IF(ISNUMBER(SEARCH("구리독자",$V65)),"구리독자","")</f>
        <v/>
      </c>
      <c r="X65">
        <f>IF($R65="","",$R65&amp;"|"&amp;IF(OR($Q65="인턴",ISNUMBER(SEARCH("수련교육부",$P65))),"인턴",$P65))</f>
        <v/>
      </c>
      <c r="Y65">
        <f>IF($R65="","",IF(COUNTIF(명단표[이름|과],$X65)=1,"명단 일치",IF(AND(COUNTIF(명단표[이름|과],$X65)=0,COUNTIF(명단표[이름],$R65)=1),"명단 일치(이름만, 과 다름)",IF(COUNTIF(명단표[이름],$R65)=0,IF(COUNTIF(기본자료표[이름],$R65)&gt;0,"명단에 없음(기본자료에는 있음)","명단에 없음"),"동명이인 확인"))))</f>
        <v/>
      </c>
      <c r="Z65">
        <f>IF($R65="","",IF($S65&lt;0,"⚠"&amp;INDEX('입력_구리근무자명단'!$A63:$ZZ63,1,$E$2+2),TEXT($S65,"yyyy-mm-dd")))</f>
        <v/>
      </c>
      <c r="AA65">
        <f>IF($R65="","",IF($T65&lt;0,"⚠"&amp;INDEX('입력_구리근무자명단'!$A63:$ZZ63,1,$E$2+3),TEXT($T65,"yyyy-mm-dd")))</f>
        <v/>
      </c>
      <c r="AB65">
        <f>AB64+IF($R65="",0,1)</f>
        <v/>
      </c>
      <c r="AC65">
        <f>IF($R65="","",$AB65)</f>
        <v/>
      </c>
    </row>
    <row r="66">
      <c r="A66">
        <f>IFERROR(INDEX($O$6:$O$1505,MATCH(61,$AC$6:$AC$1505,0)),"")</f>
        <v/>
      </c>
      <c r="B66">
        <f>IF(ISNUMBER($A66),INDEX($P$6:$P$1505,$A66-3),"")</f>
        <v/>
      </c>
      <c r="C66">
        <f>IF(ISNUMBER($A66),INDEX($Q$6:$Q$1505,$A66-3),"")</f>
        <v/>
      </c>
      <c r="D66">
        <f>IF(ISNUMBER($A66),INDEX($R$6:$R$1505,$A66-3),"")</f>
        <v/>
      </c>
      <c r="E66">
        <f>IF(ISNUMBER($A66),$G$2,"")</f>
        <v/>
      </c>
      <c r="F66">
        <f>IF(ISNUMBER($A66),INDEX($Z$6:$Z$1505,$A66-3),"")</f>
        <v/>
      </c>
      <c r="G66">
        <f>IF(ISNUMBER($A66),INDEX($AA$6:$AA$1505,$A66-3),"")</f>
        <v/>
      </c>
      <c r="H66">
        <f>IF(ISNUMBER($A66),INDEX($U$6:$U$1505,$A66-3),"")</f>
        <v/>
      </c>
      <c r="I66">
        <f>IF(ISNUMBER($A66),INDEX($V$6:$V$1505,$A66-3),"")</f>
        <v/>
      </c>
      <c r="J66">
        <f>IF(ISNUMBER($A66),INDEX($W$6:$W$1505,$A66-3),"")</f>
        <v/>
      </c>
      <c r="K66">
        <f>IF(ISNUMBER($A66),INDEX($X$6:$X$1505,$A66-3),"")</f>
        <v/>
      </c>
      <c r="L66">
        <f>IF(ISNUMBER($A66),INDEX($Y$6:$Y$1505,$A66-3),"")</f>
        <v/>
      </c>
      <c r="O66">
        <f>64</f>
        <v/>
      </c>
      <c r="P66">
        <f>IF(TRIM('입력_구리근무자명단'!$A64&amp;"")&lt;&gt;"",TRIM('입력_구리근무자명단'!$A64&amp;""),P65)</f>
        <v/>
      </c>
      <c r="Q66">
        <f>'입력_구리근무자명단'!$B64&amp;""</f>
        <v/>
      </c>
      <c r="R66">
        <f>IF($E$2="","",TRIM(INDEX('입력_구리근무자명단'!$A64:$ZZ64,1,$E$2+IF($G$2="확정",1,0))&amp;""))</f>
        <v/>
      </c>
      <c r="S66">
        <f>IF($R66="","",IF(INDEX('입력_구리근무자명단'!$A64:$ZZ64,1,$E$2+2)&amp;""="",급여기준월,IF(ISNUMBER(INDEX('입력_구리근무자명단'!$A64:$ZZ64,1,$E$2+2)),INDEX('입력_구리근무자명단'!$A64:$ZZ64,1,$E$2+2),IFERROR(DATE(VALUE(LEFT(INDEX('입력_구리근무자명단'!$A64:$ZZ64,1,$E$2+2),4)),VALUE(MID(INDEX('입력_구리근무자명단'!$A64:$ZZ64,1,$E$2+2),6,2)),VALUE(MID(INDEX('입력_구리근무자명단'!$A64:$ZZ64,1,$E$2+2),9,2))),-1))))</f>
        <v/>
      </c>
      <c r="T66">
        <f>IF($R66="","",IF(INDEX('입력_구리근무자명단'!$A64:$ZZ64,1,$E$2+3)&amp;""="",EOMONTH(급여기준월,0),IF(ISNUMBER(INDEX('입력_구리근무자명단'!$A64:$ZZ64,1,$E$2+3)),INDEX('입력_구리근무자명단'!$A64:$ZZ64,1,$E$2+3),IFERROR(DATE(VALUE(LEFT(INDEX('입력_구리근무자명단'!$A64:$ZZ64,1,$E$2+3),4)),VALUE(MID(INDEX('입력_구리근무자명단'!$A64:$ZZ64,1,$E$2+3),6,2)),VALUE(MID(INDEX('입력_구리근무자명단'!$A64:$ZZ64,1,$E$2+3),9,2))),-1))))</f>
        <v/>
      </c>
      <c r="U66">
        <f>IF($R66="","",IF(OR($S66&lt;0,$T66&lt;0),0,MAX(0,MIN($T66,EOMONTH(급여기준월,0))-MAX($S66,급여기준월)+1)))</f>
        <v/>
      </c>
      <c r="V66">
        <f>IF($R66="","",TRIM(INDEX('입력_구리근무자명단'!$A64:$ZZ64,1,$E$2+5)&amp;""))</f>
        <v/>
      </c>
      <c r="W66">
        <f>IF(ISNUMBER(SEARCH("구리독자",$V66)),"구리독자","")</f>
        <v/>
      </c>
      <c r="X66">
        <f>IF($R66="","",$R66&amp;"|"&amp;IF(OR($Q66="인턴",ISNUMBER(SEARCH("수련교육부",$P66))),"인턴",$P66))</f>
        <v/>
      </c>
      <c r="Y66">
        <f>IF($R66="","",IF(COUNTIF(명단표[이름|과],$X66)=1,"명단 일치",IF(AND(COUNTIF(명단표[이름|과],$X66)=0,COUNTIF(명단표[이름],$R66)=1),"명단 일치(이름만, 과 다름)",IF(COUNTIF(명단표[이름],$R66)=0,IF(COUNTIF(기본자료표[이름],$R66)&gt;0,"명단에 없음(기본자료에는 있음)","명단에 없음"),"동명이인 확인"))))</f>
        <v/>
      </c>
      <c r="Z66">
        <f>IF($R66="","",IF($S66&lt;0,"⚠"&amp;INDEX('입력_구리근무자명단'!$A64:$ZZ64,1,$E$2+2),TEXT($S66,"yyyy-mm-dd")))</f>
        <v/>
      </c>
      <c r="AA66">
        <f>IF($R66="","",IF($T66&lt;0,"⚠"&amp;INDEX('입력_구리근무자명단'!$A64:$ZZ64,1,$E$2+3),TEXT($T66,"yyyy-mm-dd")))</f>
        <v/>
      </c>
      <c r="AB66">
        <f>AB65+IF($R66="",0,1)</f>
        <v/>
      </c>
      <c r="AC66">
        <f>IF($R66="","",$AB66)</f>
        <v/>
      </c>
    </row>
    <row r="67">
      <c r="A67">
        <f>IFERROR(INDEX($O$6:$O$1505,MATCH(62,$AC$6:$AC$1505,0)),"")</f>
        <v/>
      </c>
      <c r="B67">
        <f>IF(ISNUMBER($A67),INDEX($P$6:$P$1505,$A67-3),"")</f>
        <v/>
      </c>
      <c r="C67">
        <f>IF(ISNUMBER($A67),INDEX($Q$6:$Q$1505,$A67-3),"")</f>
        <v/>
      </c>
      <c r="D67">
        <f>IF(ISNUMBER($A67),INDEX($R$6:$R$1505,$A67-3),"")</f>
        <v/>
      </c>
      <c r="E67">
        <f>IF(ISNUMBER($A67),$G$2,"")</f>
        <v/>
      </c>
      <c r="F67">
        <f>IF(ISNUMBER($A67),INDEX($Z$6:$Z$1505,$A67-3),"")</f>
        <v/>
      </c>
      <c r="G67">
        <f>IF(ISNUMBER($A67),INDEX($AA$6:$AA$1505,$A67-3),"")</f>
        <v/>
      </c>
      <c r="H67">
        <f>IF(ISNUMBER($A67),INDEX($U$6:$U$1505,$A67-3),"")</f>
        <v/>
      </c>
      <c r="I67">
        <f>IF(ISNUMBER($A67),INDEX($V$6:$V$1505,$A67-3),"")</f>
        <v/>
      </c>
      <c r="J67">
        <f>IF(ISNUMBER($A67),INDEX($W$6:$W$1505,$A67-3),"")</f>
        <v/>
      </c>
      <c r="K67">
        <f>IF(ISNUMBER($A67),INDEX($X$6:$X$1505,$A67-3),"")</f>
        <v/>
      </c>
      <c r="L67">
        <f>IF(ISNUMBER($A67),INDEX($Y$6:$Y$1505,$A67-3),"")</f>
        <v/>
      </c>
      <c r="O67">
        <f>65</f>
        <v/>
      </c>
      <c r="P67">
        <f>IF(TRIM('입력_구리근무자명단'!$A65&amp;"")&lt;&gt;"",TRIM('입력_구리근무자명단'!$A65&amp;""),P66)</f>
        <v/>
      </c>
      <c r="Q67">
        <f>'입력_구리근무자명단'!$B65&amp;""</f>
        <v/>
      </c>
      <c r="R67">
        <f>IF($E$2="","",TRIM(INDEX('입력_구리근무자명단'!$A65:$ZZ65,1,$E$2+IF($G$2="확정",1,0))&amp;""))</f>
        <v/>
      </c>
      <c r="S67">
        <f>IF($R67="","",IF(INDEX('입력_구리근무자명단'!$A65:$ZZ65,1,$E$2+2)&amp;""="",급여기준월,IF(ISNUMBER(INDEX('입력_구리근무자명단'!$A65:$ZZ65,1,$E$2+2)),INDEX('입력_구리근무자명단'!$A65:$ZZ65,1,$E$2+2),IFERROR(DATE(VALUE(LEFT(INDEX('입력_구리근무자명단'!$A65:$ZZ65,1,$E$2+2),4)),VALUE(MID(INDEX('입력_구리근무자명단'!$A65:$ZZ65,1,$E$2+2),6,2)),VALUE(MID(INDEX('입력_구리근무자명단'!$A65:$ZZ65,1,$E$2+2),9,2))),-1))))</f>
        <v/>
      </c>
      <c r="T67">
        <f>IF($R67="","",IF(INDEX('입력_구리근무자명단'!$A65:$ZZ65,1,$E$2+3)&amp;""="",EOMONTH(급여기준월,0),IF(ISNUMBER(INDEX('입력_구리근무자명단'!$A65:$ZZ65,1,$E$2+3)),INDEX('입력_구리근무자명단'!$A65:$ZZ65,1,$E$2+3),IFERROR(DATE(VALUE(LEFT(INDEX('입력_구리근무자명단'!$A65:$ZZ65,1,$E$2+3),4)),VALUE(MID(INDEX('입력_구리근무자명단'!$A65:$ZZ65,1,$E$2+3),6,2)),VALUE(MID(INDEX('입력_구리근무자명단'!$A65:$ZZ65,1,$E$2+3),9,2))),-1))))</f>
        <v/>
      </c>
      <c r="U67">
        <f>IF($R67="","",IF(OR($S67&lt;0,$T67&lt;0),0,MAX(0,MIN($T67,EOMONTH(급여기준월,0))-MAX($S67,급여기준월)+1)))</f>
        <v/>
      </c>
      <c r="V67">
        <f>IF($R67="","",TRIM(INDEX('입력_구리근무자명단'!$A65:$ZZ65,1,$E$2+5)&amp;""))</f>
        <v/>
      </c>
      <c r="W67">
        <f>IF(ISNUMBER(SEARCH("구리독자",$V67)),"구리독자","")</f>
        <v/>
      </c>
      <c r="X67">
        <f>IF($R67="","",$R67&amp;"|"&amp;IF(OR($Q67="인턴",ISNUMBER(SEARCH("수련교육부",$P67))),"인턴",$P67))</f>
        <v/>
      </c>
      <c r="Y67">
        <f>IF($R67="","",IF(COUNTIF(명단표[이름|과],$X67)=1,"명단 일치",IF(AND(COUNTIF(명단표[이름|과],$X67)=0,COUNTIF(명단표[이름],$R67)=1),"명단 일치(이름만, 과 다름)",IF(COUNTIF(명단표[이름],$R67)=0,IF(COUNTIF(기본자료표[이름],$R67)&gt;0,"명단에 없음(기본자료에는 있음)","명단에 없음"),"동명이인 확인"))))</f>
        <v/>
      </c>
      <c r="Z67">
        <f>IF($R67="","",IF($S67&lt;0,"⚠"&amp;INDEX('입력_구리근무자명단'!$A65:$ZZ65,1,$E$2+2),TEXT($S67,"yyyy-mm-dd")))</f>
        <v/>
      </c>
      <c r="AA67">
        <f>IF($R67="","",IF($T67&lt;0,"⚠"&amp;INDEX('입력_구리근무자명단'!$A65:$ZZ65,1,$E$2+3),TEXT($T67,"yyyy-mm-dd")))</f>
        <v/>
      </c>
      <c r="AB67">
        <f>AB66+IF($R67="",0,1)</f>
        <v/>
      </c>
      <c r="AC67">
        <f>IF($R67="","",$AB67)</f>
        <v/>
      </c>
    </row>
    <row r="68">
      <c r="A68">
        <f>IFERROR(INDEX($O$6:$O$1505,MATCH(63,$AC$6:$AC$1505,0)),"")</f>
        <v/>
      </c>
      <c r="B68">
        <f>IF(ISNUMBER($A68),INDEX($P$6:$P$1505,$A68-3),"")</f>
        <v/>
      </c>
      <c r="C68">
        <f>IF(ISNUMBER($A68),INDEX($Q$6:$Q$1505,$A68-3),"")</f>
        <v/>
      </c>
      <c r="D68">
        <f>IF(ISNUMBER($A68),INDEX($R$6:$R$1505,$A68-3),"")</f>
        <v/>
      </c>
      <c r="E68">
        <f>IF(ISNUMBER($A68),$G$2,"")</f>
        <v/>
      </c>
      <c r="F68">
        <f>IF(ISNUMBER($A68),INDEX($Z$6:$Z$1505,$A68-3),"")</f>
        <v/>
      </c>
      <c r="G68">
        <f>IF(ISNUMBER($A68),INDEX($AA$6:$AA$1505,$A68-3),"")</f>
        <v/>
      </c>
      <c r="H68">
        <f>IF(ISNUMBER($A68),INDEX($U$6:$U$1505,$A68-3),"")</f>
        <v/>
      </c>
      <c r="I68">
        <f>IF(ISNUMBER($A68),INDEX($V$6:$V$1505,$A68-3),"")</f>
        <v/>
      </c>
      <c r="J68">
        <f>IF(ISNUMBER($A68),INDEX($W$6:$W$1505,$A68-3),"")</f>
        <v/>
      </c>
      <c r="K68">
        <f>IF(ISNUMBER($A68),INDEX($X$6:$X$1505,$A68-3),"")</f>
        <v/>
      </c>
      <c r="L68">
        <f>IF(ISNUMBER($A68),INDEX($Y$6:$Y$1505,$A68-3),"")</f>
        <v/>
      </c>
      <c r="O68">
        <f>66</f>
        <v/>
      </c>
      <c r="P68">
        <f>IF(TRIM('입력_구리근무자명단'!$A66&amp;"")&lt;&gt;"",TRIM('입력_구리근무자명단'!$A66&amp;""),P67)</f>
        <v/>
      </c>
      <c r="Q68">
        <f>'입력_구리근무자명단'!$B66&amp;""</f>
        <v/>
      </c>
      <c r="R68">
        <f>IF($E$2="","",TRIM(INDEX('입력_구리근무자명단'!$A66:$ZZ66,1,$E$2+IF($G$2="확정",1,0))&amp;""))</f>
        <v/>
      </c>
      <c r="S68">
        <f>IF($R68="","",IF(INDEX('입력_구리근무자명단'!$A66:$ZZ66,1,$E$2+2)&amp;""="",급여기준월,IF(ISNUMBER(INDEX('입력_구리근무자명단'!$A66:$ZZ66,1,$E$2+2)),INDEX('입력_구리근무자명단'!$A66:$ZZ66,1,$E$2+2),IFERROR(DATE(VALUE(LEFT(INDEX('입력_구리근무자명단'!$A66:$ZZ66,1,$E$2+2),4)),VALUE(MID(INDEX('입력_구리근무자명단'!$A66:$ZZ66,1,$E$2+2),6,2)),VALUE(MID(INDEX('입력_구리근무자명단'!$A66:$ZZ66,1,$E$2+2),9,2))),-1))))</f>
        <v/>
      </c>
      <c r="T68">
        <f>IF($R68="","",IF(INDEX('입력_구리근무자명단'!$A66:$ZZ66,1,$E$2+3)&amp;""="",EOMONTH(급여기준월,0),IF(ISNUMBER(INDEX('입력_구리근무자명단'!$A66:$ZZ66,1,$E$2+3)),INDEX('입력_구리근무자명단'!$A66:$ZZ66,1,$E$2+3),IFERROR(DATE(VALUE(LEFT(INDEX('입력_구리근무자명단'!$A66:$ZZ66,1,$E$2+3),4)),VALUE(MID(INDEX('입력_구리근무자명단'!$A66:$ZZ66,1,$E$2+3),6,2)),VALUE(MID(INDEX('입력_구리근무자명단'!$A66:$ZZ66,1,$E$2+3),9,2))),-1))))</f>
        <v/>
      </c>
      <c r="U68">
        <f>IF($R68="","",IF(OR($S68&lt;0,$T68&lt;0),0,MAX(0,MIN($T68,EOMONTH(급여기준월,0))-MAX($S68,급여기준월)+1)))</f>
        <v/>
      </c>
      <c r="V68">
        <f>IF($R68="","",TRIM(INDEX('입력_구리근무자명단'!$A66:$ZZ66,1,$E$2+5)&amp;""))</f>
        <v/>
      </c>
      <c r="W68">
        <f>IF(ISNUMBER(SEARCH("구리독자",$V68)),"구리독자","")</f>
        <v/>
      </c>
      <c r="X68">
        <f>IF($R68="","",$R68&amp;"|"&amp;IF(OR($Q68="인턴",ISNUMBER(SEARCH("수련교육부",$P68))),"인턴",$P68))</f>
        <v/>
      </c>
      <c r="Y68">
        <f>IF($R68="","",IF(COUNTIF(명단표[이름|과],$X68)=1,"명단 일치",IF(AND(COUNTIF(명단표[이름|과],$X68)=0,COUNTIF(명단표[이름],$R68)=1),"명단 일치(이름만, 과 다름)",IF(COUNTIF(명단표[이름],$R68)=0,IF(COUNTIF(기본자료표[이름],$R68)&gt;0,"명단에 없음(기본자료에는 있음)","명단에 없음"),"동명이인 확인"))))</f>
        <v/>
      </c>
      <c r="Z68">
        <f>IF($R68="","",IF($S68&lt;0,"⚠"&amp;INDEX('입력_구리근무자명단'!$A66:$ZZ66,1,$E$2+2),TEXT($S68,"yyyy-mm-dd")))</f>
        <v/>
      </c>
      <c r="AA68">
        <f>IF($R68="","",IF($T68&lt;0,"⚠"&amp;INDEX('입력_구리근무자명단'!$A66:$ZZ66,1,$E$2+3),TEXT($T68,"yyyy-mm-dd")))</f>
        <v/>
      </c>
      <c r="AB68">
        <f>AB67+IF($R68="",0,1)</f>
        <v/>
      </c>
      <c r="AC68">
        <f>IF($R68="","",$AB68)</f>
        <v/>
      </c>
    </row>
    <row r="69">
      <c r="A69">
        <f>IFERROR(INDEX($O$6:$O$1505,MATCH(64,$AC$6:$AC$1505,0)),"")</f>
        <v/>
      </c>
      <c r="B69">
        <f>IF(ISNUMBER($A69),INDEX($P$6:$P$1505,$A69-3),"")</f>
        <v/>
      </c>
      <c r="C69">
        <f>IF(ISNUMBER($A69),INDEX($Q$6:$Q$1505,$A69-3),"")</f>
        <v/>
      </c>
      <c r="D69">
        <f>IF(ISNUMBER($A69),INDEX($R$6:$R$1505,$A69-3),"")</f>
        <v/>
      </c>
      <c r="E69">
        <f>IF(ISNUMBER($A69),$G$2,"")</f>
        <v/>
      </c>
      <c r="F69">
        <f>IF(ISNUMBER($A69),INDEX($Z$6:$Z$1505,$A69-3),"")</f>
        <v/>
      </c>
      <c r="G69">
        <f>IF(ISNUMBER($A69),INDEX($AA$6:$AA$1505,$A69-3),"")</f>
        <v/>
      </c>
      <c r="H69">
        <f>IF(ISNUMBER($A69),INDEX($U$6:$U$1505,$A69-3),"")</f>
        <v/>
      </c>
      <c r="I69">
        <f>IF(ISNUMBER($A69),INDEX($V$6:$V$1505,$A69-3),"")</f>
        <v/>
      </c>
      <c r="J69">
        <f>IF(ISNUMBER($A69),INDEX($W$6:$W$1505,$A69-3),"")</f>
        <v/>
      </c>
      <c r="K69">
        <f>IF(ISNUMBER($A69),INDEX($X$6:$X$1505,$A69-3),"")</f>
        <v/>
      </c>
      <c r="L69">
        <f>IF(ISNUMBER($A69),INDEX($Y$6:$Y$1505,$A69-3),"")</f>
        <v/>
      </c>
      <c r="O69">
        <f>67</f>
        <v/>
      </c>
      <c r="P69">
        <f>IF(TRIM('입력_구리근무자명단'!$A67&amp;"")&lt;&gt;"",TRIM('입력_구리근무자명단'!$A67&amp;""),P68)</f>
        <v/>
      </c>
      <c r="Q69">
        <f>'입력_구리근무자명단'!$B67&amp;""</f>
        <v/>
      </c>
      <c r="R69">
        <f>IF($E$2="","",TRIM(INDEX('입력_구리근무자명단'!$A67:$ZZ67,1,$E$2+IF($G$2="확정",1,0))&amp;""))</f>
        <v/>
      </c>
      <c r="S69">
        <f>IF($R69="","",IF(INDEX('입력_구리근무자명단'!$A67:$ZZ67,1,$E$2+2)&amp;""="",급여기준월,IF(ISNUMBER(INDEX('입력_구리근무자명단'!$A67:$ZZ67,1,$E$2+2)),INDEX('입력_구리근무자명단'!$A67:$ZZ67,1,$E$2+2),IFERROR(DATE(VALUE(LEFT(INDEX('입력_구리근무자명단'!$A67:$ZZ67,1,$E$2+2),4)),VALUE(MID(INDEX('입력_구리근무자명단'!$A67:$ZZ67,1,$E$2+2),6,2)),VALUE(MID(INDEX('입력_구리근무자명단'!$A67:$ZZ67,1,$E$2+2),9,2))),-1))))</f>
        <v/>
      </c>
      <c r="T69">
        <f>IF($R69="","",IF(INDEX('입력_구리근무자명단'!$A67:$ZZ67,1,$E$2+3)&amp;""="",EOMONTH(급여기준월,0),IF(ISNUMBER(INDEX('입력_구리근무자명단'!$A67:$ZZ67,1,$E$2+3)),INDEX('입력_구리근무자명단'!$A67:$ZZ67,1,$E$2+3),IFERROR(DATE(VALUE(LEFT(INDEX('입력_구리근무자명단'!$A67:$ZZ67,1,$E$2+3),4)),VALUE(MID(INDEX('입력_구리근무자명단'!$A67:$ZZ67,1,$E$2+3),6,2)),VALUE(MID(INDEX('입력_구리근무자명단'!$A67:$ZZ67,1,$E$2+3),9,2))),-1))))</f>
        <v/>
      </c>
      <c r="U69">
        <f>IF($R69="","",IF(OR($S69&lt;0,$T69&lt;0),0,MAX(0,MIN($T69,EOMONTH(급여기준월,0))-MAX($S69,급여기준월)+1)))</f>
        <v/>
      </c>
      <c r="V69">
        <f>IF($R69="","",TRIM(INDEX('입력_구리근무자명단'!$A67:$ZZ67,1,$E$2+5)&amp;""))</f>
        <v/>
      </c>
      <c r="W69">
        <f>IF(ISNUMBER(SEARCH("구리독자",$V69)),"구리독자","")</f>
        <v/>
      </c>
      <c r="X69">
        <f>IF($R69="","",$R69&amp;"|"&amp;IF(OR($Q69="인턴",ISNUMBER(SEARCH("수련교육부",$P69))),"인턴",$P69))</f>
        <v/>
      </c>
      <c r="Y69">
        <f>IF($R69="","",IF(COUNTIF(명단표[이름|과],$X69)=1,"명단 일치",IF(AND(COUNTIF(명단표[이름|과],$X69)=0,COUNTIF(명단표[이름],$R69)=1),"명단 일치(이름만, 과 다름)",IF(COUNTIF(명단표[이름],$R69)=0,IF(COUNTIF(기본자료표[이름],$R69)&gt;0,"명단에 없음(기본자료에는 있음)","명단에 없음"),"동명이인 확인"))))</f>
        <v/>
      </c>
      <c r="Z69">
        <f>IF($R69="","",IF($S69&lt;0,"⚠"&amp;INDEX('입력_구리근무자명단'!$A67:$ZZ67,1,$E$2+2),TEXT($S69,"yyyy-mm-dd")))</f>
        <v/>
      </c>
      <c r="AA69">
        <f>IF($R69="","",IF($T69&lt;0,"⚠"&amp;INDEX('입력_구리근무자명단'!$A67:$ZZ67,1,$E$2+3),TEXT($T69,"yyyy-mm-dd")))</f>
        <v/>
      </c>
      <c r="AB69">
        <f>AB68+IF($R69="",0,1)</f>
        <v/>
      </c>
      <c r="AC69">
        <f>IF($R69="","",$AB69)</f>
        <v/>
      </c>
    </row>
    <row r="70">
      <c r="A70">
        <f>IFERROR(INDEX($O$6:$O$1505,MATCH(65,$AC$6:$AC$1505,0)),"")</f>
        <v/>
      </c>
      <c r="B70">
        <f>IF(ISNUMBER($A70),INDEX($P$6:$P$1505,$A70-3),"")</f>
        <v/>
      </c>
      <c r="C70">
        <f>IF(ISNUMBER($A70),INDEX($Q$6:$Q$1505,$A70-3),"")</f>
        <v/>
      </c>
      <c r="D70">
        <f>IF(ISNUMBER($A70),INDEX($R$6:$R$1505,$A70-3),"")</f>
        <v/>
      </c>
      <c r="E70">
        <f>IF(ISNUMBER($A70),$G$2,"")</f>
        <v/>
      </c>
      <c r="F70">
        <f>IF(ISNUMBER($A70),INDEX($Z$6:$Z$1505,$A70-3),"")</f>
        <v/>
      </c>
      <c r="G70">
        <f>IF(ISNUMBER($A70),INDEX($AA$6:$AA$1505,$A70-3),"")</f>
        <v/>
      </c>
      <c r="H70">
        <f>IF(ISNUMBER($A70),INDEX($U$6:$U$1505,$A70-3),"")</f>
        <v/>
      </c>
      <c r="I70">
        <f>IF(ISNUMBER($A70),INDEX($V$6:$V$1505,$A70-3),"")</f>
        <v/>
      </c>
      <c r="J70">
        <f>IF(ISNUMBER($A70),INDEX($W$6:$W$1505,$A70-3),"")</f>
        <v/>
      </c>
      <c r="K70">
        <f>IF(ISNUMBER($A70),INDEX($X$6:$X$1505,$A70-3),"")</f>
        <v/>
      </c>
      <c r="L70">
        <f>IF(ISNUMBER($A70),INDEX($Y$6:$Y$1505,$A70-3),"")</f>
        <v/>
      </c>
      <c r="O70">
        <f>68</f>
        <v/>
      </c>
      <c r="P70">
        <f>IF(TRIM('입력_구리근무자명단'!$A68&amp;"")&lt;&gt;"",TRIM('입력_구리근무자명단'!$A68&amp;""),P69)</f>
        <v/>
      </c>
      <c r="Q70">
        <f>'입력_구리근무자명단'!$B68&amp;""</f>
        <v/>
      </c>
      <c r="R70">
        <f>IF($E$2="","",TRIM(INDEX('입력_구리근무자명단'!$A68:$ZZ68,1,$E$2+IF($G$2="확정",1,0))&amp;""))</f>
        <v/>
      </c>
      <c r="S70">
        <f>IF($R70="","",IF(INDEX('입력_구리근무자명단'!$A68:$ZZ68,1,$E$2+2)&amp;""="",급여기준월,IF(ISNUMBER(INDEX('입력_구리근무자명단'!$A68:$ZZ68,1,$E$2+2)),INDEX('입력_구리근무자명단'!$A68:$ZZ68,1,$E$2+2),IFERROR(DATE(VALUE(LEFT(INDEX('입력_구리근무자명단'!$A68:$ZZ68,1,$E$2+2),4)),VALUE(MID(INDEX('입력_구리근무자명단'!$A68:$ZZ68,1,$E$2+2),6,2)),VALUE(MID(INDEX('입력_구리근무자명단'!$A68:$ZZ68,1,$E$2+2),9,2))),-1))))</f>
        <v/>
      </c>
      <c r="T70">
        <f>IF($R70="","",IF(INDEX('입력_구리근무자명단'!$A68:$ZZ68,1,$E$2+3)&amp;""="",EOMONTH(급여기준월,0),IF(ISNUMBER(INDEX('입력_구리근무자명단'!$A68:$ZZ68,1,$E$2+3)),INDEX('입력_구리근무자명단'!$A68:$ZZ68,1,$E$2+3),IFERROR(DATE(VALUE(LEFT(INDEX('입력_구리근무자명단'!$A68:$ZZ68,1,$E$2+3),4)),VALUE(MID(INDEX('입력_구리근무자명단'!$A68:$ZZ68,1,$E$2+3),6,2)),VALUE(MID(INDEX('입력_구리근무자명단'!$A68:$ZZ68,1,$E$2+3),9,2))),-1))))</f>
        <v/>
      </c>
      <c r="U70">
        <f>IF($R70="","",IF(OR($S70&lt;0,$T70&lt;0),0,MAX(0,MIN($T70,EOMONTH(급여기준월,0))-MAX($S70,급여기준월)+1)))</f>
        <v/>
      </c>
      <c r="V70">
        <f>IF($R70="","",TRIM(INDEX('입력_구리근무자명단'!$A68:$ZZ68,1,$E$2+5)&amp;""))</f>
        <v/>
      </c>
      <c r="W70">
        <f>IF(ISNUMBER(SEARCH("구리독자",$V70)),"구리독자","")</f>
        <v/>
      </c>
      <c r="X70">
        <f>IF($R70="","",$R70&amp;"|"&amp;IF(OR($Q70="인턴",ISNUMBER(SEARCH("수련교육부",$P70))),"인턴",$P70))</f>
        <v/>
      </c>
      <c r="Y70">
        <f>IF($R70="","",IF(COUNTIF(명단표[이름|과],$X70)=1,"명단 일치",IF(AND(COUNTIF(명단표[이름|과],$X70)=0,COUNTIF(명단표[이름],$R70)=1),"명단 일치(이름만, 과 다름)",IF(COUNTIF(명단표[이름],$R70)=0,IF(COUNTIF(기본자료표[이름],$R70)&gt;0,"명단에 없음(기본자료에는 있음)","명단에 없음"),"동명이인 확인"))))</f>
        <v/>
      </c>
      <c r="Z70">
        <f>IF($R70="","",IF($S70&lt;0,"⚠"&amp;INDEX('입력_구리근무자명단'!$A68:$ZZ68,1,$E$2+2),TEXT($S70,"yyyy-mm-dd")))</f>
        <v/>
      </c>
      <c r="AA70">
        <f>IF($R70="","",IF($T70&lt;0,"⚠"&amp;INDEX('입력_구리근무자명단'!$A68:$ZZ68,1,$E$2+3),TEXT($T70,"yyyy-mm-dd")))</f>
        <v/>
      </c>
      <c r="AB70">
        <f>AB69+IF($R70="",0,1)</f>
        <v/>
      </c>
      <c r="AC70">
        <f>IF($R70="","",$AB70)</f>
        <v/>
      </c>
    </row>
    <row r="71">
      <c r="A71">
        <f>IFERROR(INDEX($O$6:$O$1505,MATCH(66,$AC$6:$AC$1505,0)),"")</f>
        <v/>
      </c>
      <c r="B71">
        <f>IF(ISNUMBER($A71),INDEX($P$6:$P$1505,$A71-3),"")</f>
        <v/>
      </c>
      <c r="C71">
        <f>IF(ISNUMBER($A71),INDEX($Q$6:$Q$1505,$A71-3),"")</f>
        <v/>
      </c>
      <c r="D71">
        <f>IF(ISNUMBER($A71),INDEX($R$6:$R$1505,$A71-3),"")</f>
        <v/>
      </c>
      <c r="E71">
        <f>IF(ISNUMBER($A71),$G$2,"")</f>
        <v/>
      </c>
      <c r="F71">
        <f>IF(ISNUMBER($A71),INDEX($Z$6:$Z$1505,$A71-3),"")</f>
        <v/>
      </c>
      <c r="G71">
        <f>IF(ISNUMBER($A71),INDEX($AA$6:$AA$1505,$A71-3),"")</f>
        <v/>
      </c>
      <c r="H71">
        <f>IF(ISNUMBER($A71),INDEX($U$6:$U$1505,$A71-3),"")</f>
        <v/>
      </c>
      <c r="I71">
        <f>IF(ISNUMBER($A71),INDEX($V$6:$V$1505,$A71-3),"")</f>
        <v/>
      </c>
      <c r="J71">
        <f>IF(ISNUMBER($A71),INDEX($W$6:$W$1505,$A71-3),"")</f>
        <v/>
      </c>
      <c r="K71">
        <f>IF(ISNUMBER($A71),INDEX($X$6:$X$1505,$A71-3),"")</f>
        <v/>
      </c>
      <c r="L71">
        <f>IF(ISNUMBER($A71),INDEX($Y$6:$Y$1505,$A71-3),"")</f>
        <v/>
      </c>
      <c r="O71">
        <f>69</f>
        <v/>
      </c>
      <c r="P71">
        <f>IF(TRIM('입력_구리근무자명단'!$A69&amp;"")&lt;&gt;"",TRIM('입력_구리근무자명단'!$A69&amp;""),P70)</f>
        <v/>
      </c>
      <c r="Q71">
        <f>'입력_구리근무자명단'!$B69&amp;""</f>
        <v/>
      </c>
      <c r="R71">
        <f>IF($E$2="","",TRIM(INDEX('입력_구리근무자명단'!$A69:$ZZ69,1,$E$2+IF($G$2="확정",1,0))&amp;""))</f>
        <v/>
      </c>
      <c r="S71">
        <f>IF($R71="","",IF(INDEX('입력_구리근무자명단'!$A69:$ZZ69,1,$E$2+2)&amp;""="",급여기준월,IF(ISNUMBER(INDEX('입력_구리근무자명단'!$A69:$ZZ69,1,$E$2+2)),INDEX('입력_구리근무자명단'!$A69:$ZZ69,1,$E$2+2),IFERROR(DATE(VALUE(LEFT(INDEX('입력_구리근무자명단'!$A69:$ZZ69,1,$E$2+2),4)),VALUE(MID(INDEX('입력_구리근무자명단'!$A69:$ZZ69,1,$E$2+2),6,2)),VALUE(MID(INDEX('입력_구리근무자명단'!$A69:$ZZ69,1,$E$2+2),9,2))),-1))))</f>
        <v/>
      </c>
      <c r="T71">
        <f>IF($R71="","",IF(INDEX('입력_구리근무자명단'!$A69:$ZZ69,1,$E$2+3)&amp;""="",EOMONTH(급여기준월,0),IF(ISNUMBER(INDEX('입력_구리근무자명단'!$A69:$ZZ69,1,$E$2+3)),INDEX('입력_구리근무자명단'!$A69:$ZZ69,1,$E$2+3),IFERROR(DATE(VALUE(LEFT(INDEX('입력_구리근무자명단'!$A69:$ZZ69,1,$E$2+3),4)),VALUE(MID(INDEX('입력_구리근무자명단'!$A69:$ZZ69,1,$E$2+3),6,2)),VALUE(MID(INDEX('입력_구리근무자명단'!$A69:$ZZ69,1,$E$2+3),9,2))),-1))))</f>
        <v/>
      </c>
      <c r="U71">
        <f>IF($R71="","",IF(OR($S71&lt;0,$T71&lt;0),0,MAX(0,MIN($T71,EOMONTH(급여기준월,0))-MAX($S71,급여기준월)+1)))</f>
        <v/>
      </c>
      <c r="V71">
        <f>IF($R71="","",TRIM(INDEX('입력_구리근무자명단'!$A69:$ZZ69,1,$E$2+5)&amp;""))</f>
        <v/>
      </c>
      <c r="W71">
        <f>IF(ISNUMBER(SEARCH("구리독자",$V71)),"구리독자","")</f>
        <v/>
      </c>
      <c r="X71">
        <f>IF($R71="","",$R71&amp;"|"&amp;IF(OR($Q71="인턴",ISNUMBER(SEARCH("수련교육부",$P71))),"인턴",$P71))</f>
        <v/>
      </c>
      <c r="Y71">
        <f>IF($R71="","",IF(COUNTIF(명단표[이름|과],$X71)=1,"명단 일치",IF(AND(COUNTIF(명단표[이름|과],$X71)=0,COUNTIF(명단표[이름],$R71)=1),"명단 일치(이름만, 과 다름)",IF(COUNTIF(명단표[이름],$R71)=0,IF(COUNTIF(기본자료표[이름],$R71)&gt;0,"명단에 없음(기본자료에는 있음)","명단에 없음"),"동명이인 확인"))))</f>
        <v/>
      </c>
      <c r="Z71">
        <f>IF($R71="","",IF($S71&lt;0,"⚠"&amp;INDEX('입력_구리근무자명단'!$A69:$ZZ69,1,$E$2+2),TEXT($S71,"yyyy-mm-dd")))</f>
        <v/>
      </c>
      <c r="AA71">
        <f>IF($R71="","",IF($T71&lt;0,"⚠"&amp;INDEX('입력_구리근무자명단'!$A69:$ZZ69,1,$E$2+3),TEXT($T71,"yyyy-mm-dd")))</f>
        <v/>
      </c>
      <c r="AB71">
        <f>AB70+IF($R71="",0,1)</f>
        <v/>
      </c>
      <c r="AC71">
        <f>IF($R71="","",$AB71)</f>
        <v/>
      </c>
    </row>
    <row r="72">
      <c r="A72">
        <f>IFERROR(INDEX($O$6:$O$1505,MATCH(67,$AC$6:$AC$1505,0)),"")</f>
        <v/>
      </c>
      <c r="B72">
        <f>IF(ISNUMBER($A72),INDEX($P$6:$P$1505,$A72-3),"")</f>
        <v/>
      </c>
      <c r="C72">
        <f>IF(ISNUMBER($A72),INDEX($Q$6:$Q$1505,$A72-3),"")</f>
        <v/>
      </c>
      <c r="D72">
        <f>IF(ISNUMBER($A72),INDEX($R$6:$R$1505,$A72-3),"")</f>
        <v/>
      </c>
      <c r="E72">
        <f>IF(ISNUMBER($A72),$G$2,"")</f>
        <v/>
      </c>
      <c r="F72">
        <f>IF(ISNUMBER($A72),INDEX($Z$6:$Z$1505,$A72-3),"")</f>
        <v/>
      </c>
      <c r="G72">
        <f>IF(ISNUMBER($A72),INDEX($AA$6:$AA$1505,$A72-3),"")</f>
        <v/>
      </c>
      <c r="H72">
        <f>IF(ISNUMBER($A72),INDEX($U$6:$U$1505,$A72-3),"")</f>
        <v/>
      </c>
      <c r="I72">
        <f>IF(ISNUMBER($A72),INDEX($V$6:$V$1505,$A72-3),"")</f>
        <v/>
      </c>
      <c r="J72">
        <f>IF(ISNUMBER($A72),INDEX($W$6:$W$1505,$A72-3),"")</f>
        <v/>
      </c>
      <c r="K72">
        <f>IF(ISNUMBER($A72),INDEX($X$6:$X$1505,$A72-3),"")</f>
        <v/>
      </c>
      <c r="L72">
        <f>IF(ISNUMBER($A72),INDEX($Y$6:$Y$1505,$A72-3),"")</f>
        <v/>
      </c>
      <c r="O72">
        <f>70</f>
        <v/>
      </c>
      <c r="P72">
        <f>IF(TRIM('입력_구리근무자명단'!$A70&amp;"")&lt;&gt;"",TRIM('입력_구리근무자명단'!$A70&amp;""),P71)</f>
        <v/>
      </c>
      <c r="Q72">
        <f>'입력_구리근무자명단'!$B70&amp;""</f>
        <v/>
      </c>
      <c r="R72">
        <f>IF($E$2="","",TRIM(INDEX('입력_구리근무자명단'!$A70:$ZZ70,1,$E$2+IF($G$2="확정",1,0))&amp;""))</f>
        <v/>
      </c>
      <c r="S72">
        <f>IF($R72="","",IF(INDEX('입력_구리근무자명단'!$A70:$ZZ70,1,$E$2+2)&amp;""="",급여기준월,IF(ISNUMBER(INDEX('입력_구리근무자명단'!$A70:$ZZ70,1,$E$2+2)),INDEX('입력_구리근무자명단'!$A70:$ZZ70,1,$E$2+2),IFERROR(DATE(VALUE(LEFT(INDEX('입력_구리근무자명단'!$A70:$ZZ70,1,$E$2+2),4)),VALUE(MID(INDEX('입력_구리근무자명단'!$A70:$ZZ70,1,$E$2+2),6,2)),VALUE(MID(INDEX('입력_구리근무자명단'!$A70:$ZZ70,1,$E$2+2),9,2))),-1))))</f>
        <v/>
      </c>
      <c r="T72">
        <f>IF($R72="","",IF(INDEX('입력_구리근무자명단'!$A70:$ZZ70,1,$E$2+3)&amp;""="",EOMONTH(급여기준월,0),IF(ISNUMBER(INDEX('입력_구리근무자명단'!$A70:$ZZ70,1,$E$2+3)),INDEX('입력_구리근무자명단'!$A70:$ZZ70,1,$E$2+3),IFERROR(DATE(VALUE(LEFT(INDEX('입력_구리근무자명단'!$A70:$ZZ70,1,$E$2+3),4)),VALUE(MID(INDEX('입력_구리근무자명단'!$A70:$ZZ70,1,$E$2+3),6,2)),VALUE(MID(INDEX('입력_구리근무자명단'!$A70:$ZZ70,1,$E$2+3),9,2))),-1))))</f>
        <v/>
      </c>
      <c r="U72">
        <f>IF($R72="","",IF(OR($S72&lt;0,$T72&lt;0),0,MAX(0,MIN($T72,EOMONTH(급여기준월,0))-MAX($S72,급여기준월)+1)))</f>
        <v/>
      </c>
      <c r="V72">
        <f>IF($R72="","",TRIM(INDEX('입력_구리근무자명단'!$A70:$ZZ70,1,$E$2+5)&amp;""))</f>
        <v/>
      </c>
      <c r="W72">
        <f>IF(ISNUMBER(SEARCH("구리독자",$V72)),"구리독자","")</f>
        <v/>
      </c>
      <c r="X72">
        <f>IF($R72="","",$R72&amp;"|"&amp;IF(OR($Q72="인턴",ISNUMBER(SEARCH("수련교육부",$P72))),"인턴",$P72))</f>
        <v/>
      </c>
      <c r="Y72">
        <f>IF($R72="","",IF(COUNTIF(명단표[이름|과],$X72)=1,"명단 일치",IF(AND(COUNTIF(명단표[이름|과],$X72)=0,COUNTIF(명단표[이름],$R72)=1),"명단 일치(이름만, 과 다름)",IF(COUNTIF(명단표[이름],$R72)=0,IF(COUNTIF(기본자료표[이름],$R72)&gt;0,"명단에 없음(기본자료에는 있음)","명단에 없음"),"동명이인 확인"))))</f>
        <v/>
      </c>
      <c r="Z72">
        <f>IF($R72="","",IF($S72&lt;0,"⚠"&amp;INDEX('입력_구리근무자명단'!$A70:$ZZ70,1,$E$2+2),TEXT($S72,"yyyy-mm-dd")))</f>
        <v/>
      </c>
      <c r="AA72">
        <f>IF($R72="","",IF($T72&lt;0,"⚠"&amp;INDEX('입력_구리근무자명단'!$A70:$ZZ70,1,$E$2+3),TEXT($T72,"yyyy-mm-dd")))</f>
        <v/>
      </c>
      <c r="AB72">
        <f>AB71+IF($R72="",0,1)</f>
        <v/>
      </c>
      <c r="AC72">
        <f>IF($R72="","",$AB72)</f>
        <v/>
      </c>
    </row>
    <row r="73">
      <c r="A73">
        <f>IFERROR(INDEX($O$6:$O$1505,MATCH(68,$AC$6:$AC$1505,0)),"")</f>
        <v/>
      </c>
      <c r="B73">
        <f>IF(ISNUMBER($A73),INDEX($P$6:$P$1505,$A73-3),"")</f>
        <v/>
      </c>
      <c r="C73">
        <f>IF(ISNUMBER($A73),INDEX($Q$6:$Q$1505,$A73-3),"")</f>
        <v/>
      </c>
      <c r="D73">
        <f>IF(ISNUMBER($A73),INDEX($R$6:$R$1505,$A73-3),"")</f>
        <v/>
      </c>
      <c r="E73">
        <f>IF(ISNUMBER($A73),$G$2,"")</f>
        <v/>
      </c>
      <c r="F73">
        <f>IF(ISNUMBER($A73),INDEX($Z$6:$Z$1505,$A73-3),"")</f>
        <v/>
      </c>
      <c r="G73">
        <f>IF(ISNUMBER($A73),INDEX($AA$6:$AA$1505,$A73-3),"")</f>
        <v/>
      </c>
      <c r="H73">
        <f>IF(ISNUMBER($A73),INDEX($U$6:$U$1505,$A73-3),"")</f>
        <v/>
      </c>
      <c r="I73">
        <f>IF(ISNUMBER($A73),INDEX($V$6:$V$1505,$A73-3),"")</f>
        <v/>
      </c>
      <c r="J73">
        <f>IF(ISNUMBER($A73),INDEX($W$6:$W$1505,$A73-3),"")</f>
        <v/>
      </c>
      <c r="K73">
        <f>IF(ISNUMBER($A73),INDEX($X$6:$X$1505,$A73-3),"")</f>
        <v/>
      </c>
      <c r="L73">
        <f>IF(ISNUMBER($A73),INDEX($Y$6:$Y$1505,$A73-3),"")</f>
        <v/>
      </c>
      <c r="O73">
        <f>71</f>
        <v/>
      </c>
      <c r="P73">
        <f>IF(TRIM('입력_구리근무자명단'!$A71&amp;"")&lt;&gt;"",TRIM('입력_구리근무자명단'!$A71&amp;""),P72)</f>
        <v/>
      </c>
      <c r="Q73">
        <f>'입력_구리근무자명단'!$B71&amp;""</f>
        <v/>
      </c>
      <c r="R73">
        <f>IF($E$2="","",TRIM(INDEX('입력_구리근무자명단'!$A71:$ZZ71,1,$E$2+IF($G$2="확정",1,0))&amp;""))</f>
        <v/>
      </c>
      <c r="S73">
        <f>IF($R73="","",IF(INDEX('입력_구리근무자명단'!$A71:$ZZ71,1,$E$2+2)&amp;""="",급여기준월,IF(ISNUMBER(INDEX('입력_구리근무자명단'!$A71:$ZZ71,1,$E$2+2)),INDEX('입력_구리근무자명단'!$A71:$ZZ71,1,$E$2+2),IFERROR(DATE(VALUE(LEFT(INDEX('입력_구리근무자명단'!$A71:$ZZ71,1,$E$2+2),4)),VALUE(MID(INDEX('입력_구리근무자명단'!$A71:$ZZ71,1,$E$2+2),6,2)),VALUE(MID(INDEX('입력_구리근무자명단'!$A71:$ZZ71,1,$E$2+2),9,2))),-1))))</f>
        <v/>
      </c>
      <c r="T73">
        <f>IF($R73="","",IF(INDEX('입력_구리근무자명단'!$A71:$ZZ71,1,$E$2+3)&amp;""="",EOMONTH(급여기준월,0),IF(ISNUMBER(INDEX('입력_구리근무자명단'!$A71:$ZZ71,1,$E$2+3)),INDEX('입력_구리근무자명단'!$A71:$ZZ71,1,$E$2+3),IFERROR(DATE(VALUE(LEFT(INDEX('입력_구리근무자명단'!$A71:$ZZ71,1,$E$2+3),4)),VALUE(MID(INDEX('입력_구리근무자명단'!$A71:$ZZ71,1,$E$2+3),6,2)),VALUE(MID(INDEX('입력_구리근무자명단'!$A71:$ZZ71,1,$E$2+3),9,2))),-1))))</f>
        <v/>
      </c>
      <c r="U73">
        <f>IF($R73="","",IF(OR($S73&lt;0,$T73&lt;0),0,MAX(0,MIN($T73,EOMONTH(급여기준월,0))-MAX($S73,급여기준월)+1)))</f>
        <v/>
      </c>
      <c r="V73">
        <f>IF($R73="","",TRIM(INDEX('입력_구리근무자명단'!$A71:$ZZ71,1,$E$2+5)&amp;""))</f>
        <v/>
      </c>
      <c r="W73">
        <f>IF(ISNUMBER(SEARCH("구리독자",$V73)),"구리독자","")</f>
        <v/>
      </c>
      <c r="X73">
        <f>IF($R73="","",$R73&amp;"|"&amp;IF(OR($Q73="인턴",ISNUMBER(SEARCH("수련교육부",$P73))),"인턴",$P73))</f>
        <v/>
      </c>
      <c r="Y73">
        <f>IF($R73="","",IF(COUNTIF(명단표[이름|과],$X73)=1,"명단 일치",IF(AND(COUNTIF(명단표[이름|과],$X73)=0,COUNTIF(명단표[이름],$R73)=1),"명단 일치(이름만, 과 다름)",IF(COUNTIF(명단표[이름],$R73)=0,IF(COUNTIF(기본자료표[이름],$R73)&gt;0,"명단에 없음(기본자료에는 있음)","명단에 없음"),"동명이인 확인"))))</f>
        <v/>
      </c>
      <c r="Z73">
        <f>IF($R73="","",IF($S73&lt;0,"⚠"&amp;INDEX('입력_구리근무자명단'!$A71:$ZZ71,1,$E$2+2),TEXT($S73,"yyyy-mm-dd")))</f>
        <v/>
      </c>
      <c r="AA73">
        <f>IF($R73="","",IF($T73&lt;0,"⚠"&amp;INDEX('입력_구리근무자명단'!$A71:$ZZ71,1,$E$2+3),TEXT($T73,"yyyy-mm-dd")))</f>
        <v/>
      </c>
      <c r="AB73">
        <f>AB72+IF($R73="",0,1)</f>
        <v/>
      </c>
      <c r="AC73">
        <f>IF($R73="","",$AB73)</f>
        <v/>
      </c>
    </row>
    <row r="74">
      <c r="A74">
        <f>IFERROR(INDEX($O$6:$O$1505,MATCH(69,$AC$6:$AC$1505,0)),"")</f>
        <v/>
      </c>
      <c r="B74">
        <f>IF(ISNUMBER($A74),INDEX($P$6:$P$1505,$A74-3),"")</f>
        <v/>
      </c>
      <c r="C74">
        <f>IF(ISNUMBER($A74),INDEX($Q$6:$Q$1505,$A74-3),"")</f>
        <v/>
      </c>
      <c r="D74">
        <f>IF(ISNUMBER($A74),INDEX($R$6:$R$1505,$A74-3),"")</f>
        <v/>
      </c>
      <c r="E74">
        <f>IF(ISNUMBER($A74),$G$2,"")</f>
        <v/>
      </c>
      <c r="F74">
        <f>IF(ISNUMBER($A74),INDEX($Z$6:$Z$1505,$A74-3),"")</f>
        <v/>
      </c>
      <c r="G74">
        <f>IF(ISNUMBER($A74),INDEX($AA$6:$AA$1505,$A74-3),"")</f>
        <v/>
      </c>
      <c r="H74">
        <f>IF(ISNUMBER($A74),INDEX($U$6:$U$1505,$A74-3),"")</f>
        <v/>
      </c>
      <c r="I74">
        <f>IF(ISNUMBER($A74),INDEX($V$6:$V$1505,$A74-3),"")</f>
        <v/>
      </c>
      <c r="J74">
        <f>IF(ISNUMBER($A74),INDEX($W$6:$W$1505,$A74-3),"")</f>
        <v/>
      </c>
      <c r="K74">
        <f>IF(ISNUMBER($A74),INDEX($X$6:$X$1505,$A74-3),"")</f>
        <v/>
      </c>
      <c r="L74">
        <f>IF(ISNUMBER($A74),INDEX($Y$6:$Y$1505,$A74-3),"")</f>
        <v/>
      </c>
      <c r="O74">
        <f>72</f>
        <v/>
      </c>
      <c r="P74">
        <f>IF(TRIM('입력_구리근무자명단'!$A72&amp;"")&lt;&gt;"",TRIM('입력_구리근무자명단'!$A72&amp;""),P73)</f>
        <v/>
      </c>
      <c r="Q74">
        <f>'입력_구리근무자명단'!$B72&amp;""</f>
        <v/>
      </c>
      <c r="R74">
        <f>IF($E$2="","",TRIM(INDEX('입력_구리근무자명단'!$A72:$ZZ72,1,$E$2+IF($G$2="확정",1,0))&amp;""))</f>
        <v/>
      </c>
      <c r="S74">
        <f>IF($R74="","",IF(INDEX('입력_구리근무자명단'!$A72:$ZZ72,1,$E$2+2)&amp;""="",급여기준월,IF(ISNUMBER(INDEX('입력_구리근무자명단'!$A72:$ZZ72,1,$E$2+2)),INDEX('입력_구리근무자명단'!$A72:$ZZ72,1,$E$2+2),IFERROR(DATE(VALUE(LEFT(INDEX('입력_구리근무자명단'!$A72:$ZZ72,1,$E$2+2),4)),VALUE(MID(INDEX('입력_구리근무자명단'!$A72:$ZZ72,1,$E$2+2),6,2)),VALUE(MID(INDEX('입력_구리근무자명단'!$A72:$ZZ72,1,$E$2+2),9,2))),-1))))</f>
        <v/>
      </c>
      <c r="T74">
        <f>IF($R74="","",IF(INDEX('입력_구리근무자명단'!$A72:$ZZ72,1,$E$2+3)&amp;""="",EOMONTH(급여기준월,0),IF(ISNUMBER(INDEX('입력_구리근무자명단'!$A72:$ZZ72,1,$E$2+3)),INDEX('입력_구리근무자명단'!$A72:$ZZ72,1,$E$2+3),IFERROR(DATE(VALUE(LEFT(INDEX('입력_구리근무자명단'!$A72:$ZZ72,1,$E$2+3),4)),VALUE(MID(INDEX('입력_구리근무자명단'!$A72:$ZZ72,1,$E$2+3),6,2)),VALUE(MID(INDEX('입력_구리근무자명단'!$A72:$ZZ72,1,$E$2+3),9,2))),-1))))</f>
        <v/>
      </c>
      <c r="U74">
        <f>IF($R74="","",IF(OR($S74&lt;0,$T74&lt;0),0,MAX(0,MIN($T74,EOMONTH(급여기준월,0))-MAX($S74,급여기준월)+1)))</f>
        <v/>
      </c>
      <c r="V74">
        <f>IF($R74="","",TRIM(INDEX('입력_구리근무자명단'!$A72:$ZZ72,1,$E$2+5)&amp;""))</f>
        <v/>
      </c>
      <c r="W74">
        <f>IF(ISNUMBER(SEARCH("구리독자",$V74)),"구리독자","")</f>
        <v/>
      </c>
      <c r="X74">
        <f>IF($R74="","",$R74&amp;"|"&amp;IF(OR($Q74="인턴",ISNUMBER(SEARCH("수련교육부",$P74))),"인턴",$P74))</f>
        <v/>
      </c>
      <c r="Y74">
        <f>IF($R74="","",IF(COUNTIF(명단표[이름|과],$X74)=1,"명단 일치",IF(AND(COUNTIF(명단표[이름|과],$X74)=0,COUNTIF(명단표[이름],$R74)=1),"명단 일치(이름만, 과 다름)",IF(COUNTIF(명단표[이름],$R74)=0,IF(COUNTIF(기본자료표[이름],$R74)&gt;0,"명단에 없음(기본자료에는 있음)","명단에 없음"),"동명이인 확인"))))</f>
        <v/>
      </c>
      <c r="Z74">
        <f>IF($R74="","",IF($S74&lt;0,"⚠"&amp;INDEX('입력_구리근무자명단'!$A72:$ZZ72,1,$E$2+2),TEXT($S74,"yyyy-mm-dd")))</f>
        <v/>
      </c>
      <c r="AA74">
        <f>IF($R74="","",IF($T74&lt;0,"⚠"&amp;INDEX('입력_구리근무자명단'!$A72:$ZZ72,1,$E$2+3),TEXT($T74,"yyyy-mm-dd")))</f>
        <v/>
      </c>
      <c r="AB74">
        <f>AB73+IF($R74="",0,1)</f>
        <v/>
      </c>
      <c r="AC74">
        <f>IF($R74="","",$AB74)</f>
        <v/>
      </c>
    </row>
    <row r="75">
      <c r="A75">
        <f>IFERROR(INDEX($O$6:$O$1505,MATCH(70,$AC$6:$AC$1505,0)),"")</f>
        <v/>
      </c>
      <c r="B75">
        <f>IF(ISNUMBER($A75),INDEX($P$6:$P$1505,$A75-3),"")</f>
        <v/>
      </c>
      <c r="C75">
        <f>IF(ISNUMBER($A75),INDEX($Q$6:$Q$1505,$A75-3),"")</f>
        <v/>
      </c>
      <c r="D75">
        <f>IF(ISNUMBER($A75),INDEX($R$6:$R$1505,$A75-3),"")</f>
        <v/>
      </c>
      <c r="E75">
        <f>IF(ISNUMBER($A75),$G$2,"")</f>
        <v/>
      </c>
      <c r="F75">
        <f>IF(ISNUMBER($A75),INDEX($Z$6:$Z$1505,$A75-3),"")</f>
        <v/>
      </c>
      <c r="G75">
        <f>IF(ISNUMBER($A75),INDEX($AA$6:$AA$1505,$A75-3),"")</f>
        <v/>
      </c>
      <c r="H75">
        <f>IF(ISNUMBER($A75),INDEX($U$6:$U$1505,$A75-3),"")</f>
        <v/>
      </c>
      <c r="I75">
        <f>IF(ISNUMBER($A75),INDEX($V$6:$V$1505,$A75-3),"")</f>
        <v/>
      </c>
      <c r="J75">
        <f>IF(ISNUMBER($A75),INDEX($W$6:$W$1505,$A75-3),"")</f>
        <v/>
      </c>
      <c r="K75">
        <f>IF(ISNUMBER($A75),INDEX($X$6:$X$1505,$A75-3),"")</f>
        <v/>
      </c>
      <c r="L75">
        <f>IF(ISNUMBER($A75),INDEX($Y$6:$Y$1505,$A75-3),"")</f>
        <v/>
      </c>
      <c r="O75">
        <f>73</f>
        <v/>
      </c>
      <c r="P75">
        <f>IF(TRIM('입력_구리근무자명단'!$A73&amp;"")&lt;&gt;"",TRIM('입력_구리근무자명단'!$A73&amp;""),P74)</f>
        <v/>
      </c>
      <c r="Q75">
        <f>'입력_구리근무자명단'!$B73&amp;""</f>
        <v/>
      </c>
      <c r="R75">
        <f>IF($E$2="","",TRIM(INDEX('입력_구리근무자명단'!$A73:$ZZ73,1,$E$2+IF($G$2="확정",1,0))&amp;""))</f>
        <v/>
      </c>
      <c r="S75">
        <f>IF($R75="","",IF(INDEX('입력_구리근무자명단'!$A73:$ZZ73,1,$E$2+2)&amp;""="",급여기준월,IF(ISNUMBER(INDEX('입력_구리근무자명단'!$A73:$ZZ73,1,$E$2+2)),INDEX('입력_구리근무자명단'!$A73:$ZZ73,1,$E$2+2),IFERROR(DATE(VALUE(LEFT(INDEX('입력_구리근무자명단'!$A73:$ZZ73,1,$E$2+2),4)),VALUE(MID(INDEX('입력_구리근무자명단'!$A73:$ZZ73,1,$E$2+2),6,2)),VALUE(MID(INDEX('입력_구리근무자명단'!$A73:$ZZ73,1,$E$2+2),9,2))),-1))))</f>
        <v/>
      </c>
      <c r="T75">
        <f>IF($R75="","",IF(INDEX('입력_구리근무자명단'!$A73:$ZZ73,1,$E$2+3)&amp;""="",EOMONTH(급여기준월,0),IF(ISNUMBER(INDEX('입력_구리근무자명단'!$A73:$ZZ73,1,$E$2+3)),INDEX('입력_구리근무자명단'!$A73:$ZZ73,1,$E$2+3),IFERROR(DATE(VALUE(LEFT(INDEX('입력_구리근무자명단'!$A73:$ZZ73,1,$E$2+3),4)),VALUE(MID(INDEX('입력_구리근무자명단'!$A73:$ZZ73,1,$E$2+3),6,2)),VALUE(MID(INDEX('입력_구리근무자명단'!$A73:$ZZ73,1,$E$2+3),9,2))),-1))))</f>
        <v/>
      </c>
      <c r="U75">
        <f>IF($R75="","",IF(OR($S75&lt;0,$T75&lt;0),0,MAX(0,MIN($T75,EOMONTH(급여기준월,0))-MAX($S75,급여기준월)+1)))</f>
        <v/>
      </c>
      <c r="V75">
        <f>IF($R75="","",TRIM(INDEX('입력_구리근무자명단'!$A73:$ZZ73,1,$E$2+5)&amp;""))</f>
        <v/>
      </c>
      <c r="W75">
        <f>IF(ISNUMBER(SEARCH("구리독자",$V75)),"구리독자","")</f>
        <v/>
      </c>
      <c r="X75">
        <f>IF($R75="","",$R75&amp;"|"&amp;IF(OR($Q75="인턴",ISNUMBER(SEARCH("수련교육부",$P75))),"인턴",$P75))</f>
        <v/>
      </c>
      <c r="Y75">
        <f>IF($R75="","",IF(COUNTIF(명단표[이름|과],$X75)=1,"명단 일치",IF(AND(COUNTIF(명단표[이름|과],$X75)=0,COUNTIF(명단표[이름],$R75)=1),"명단 일치(이름만, 과 다름)",IF(COUNTIF(명단표[이름],$R75)=0,IF(COUNTIF(기본자료표[이름],$R75)&gt;0,"명단에 없음(기본자료에는 있음)","명단에 없음"),"동명이인 확인"))))</f>
        <v/>
      </c>
      <c r="Z75">
        <f>IF($R75="","",IF($S75&lt;0,"⚠"&amp;INDEX('입력_구리근무자명단'!$A73:$ZZ73,1,$E$2+2),TEXT($S75,"yyyy-mm-dd")))</f>
        <v/>
      </c>
      <c r="AA75">
        <f>IF($R75="","",IF($T75&lt;0,"⚠"&amp;INDEX('입력_구리근무자명단'!$A73:$ZZ73,1,$E$2+3),TEXT($T75,"yyyy-mm-dd")))</f>
        <v/>
      </c>
      <c r="AB75">
        <f>AB74+IF($R75="",0,1)</f>
        <v/>
      </c>
      <c r="AC75">
        <f>IF($R75="","",$AB75)</f>
        <v/>
      </c>
    </row>
    <row r="76">
      <c r="A76">
        <f>IFERROR(INDEX($O$6:$O$1505,MATCH(71,$AC$6:$AC$1505,0)),"")</f>
        <v/>
      </c>
      <c r="B76">
        <f>IF(ISNUMBER($A76),INDEX($P$6:$P$1505,$A76-3),"")</f>
        <v/>
      </c>
      <c r="C76">
        <f>IF(ISNUMBER($A76),INDEX($Q$6:$Q$1505,$A76-3),"")</f>
        <v/>
      </c>
      <c r="D76">
        <f>IF(ISNUMBER($A76),INDEX($R$6:$R$1505,$A76-3),"")</f>
        <v/>
      </c>
      <c r="E76">
        <f>IF(ISNUMBER($A76),$G$2,"")</f>
        <v/>
      </c>
      <c r="F76">
        <f>IF(ISNUMBER($A76),INDEX($Z$6:$Z$1505,$A76-3),"")</f>
        <v/>
      </c>
      <c r="G76">
        <f>IF(ISNUMBER($A76),INDEX($AA$6:$AA$1505,$A76-3),"")</f>
        <v/>
      </c>
      <c r="H76">
        <f>IF(ISNUMBER($A76),INDEX($U$6:$U$1505,$A76-3),"")</f>
        <v/>
      </c>
      <c r="I76">
        <f>IF(ISNUMBER($A76),INDEX($V$6:$V$1505,$A76-3),"")</f>
        <v/>
      </c>
      <c r="J76">
        <f>IF(ISNUMBER($A76),INDEX($W$6:$W$1505,$A76-3),"")</f>
        <v/>
      </c>
      <c r="K76">
        <f>IF(ISNUMBER($A76),INDEX($X$6:$X$1505,$A76-3),"")</f>
        <v/>
      </c>
      <c r="L76">
        <f>IF(ISNUMBER($A76),INDEX($Y$6:$Y$1505,$A76-3),"")</f>
        <v/>
      </c>
      <c r="O76">
        <f>74</f>
        <v/>
      </c>
      <c r="P76">
        <f>IF(TRIM('입력_구리근무자명단'!$A74&amp;"")&lt;&gt;"",TRIM('입력_구리근무자명단'!$A74&amp;""),P75)</f>
        <v/>
      </c>
      <c r="Q76">
        <f>'입력_구리근무자명단'!$B74&amp;""</f>
        <v/>
      </c>
      <c r="R76">
        <f>IF($E$2="","",TRIM(INDEX('입력_구리근무자명단'!$A74:$ZZ74,1,$E$2+IF($G$2="확정",1,0))&amp;""))</f>
        <v/>
      </c>
      <c r="S76">
        <f>IF($R76="","",IF(INDEX('입력_구리근무자명단'!$A74:$ZZ74,1,$E$2+2)&amp;""="",급여기준월,IF(ISNUMBER(INDEX('입력_구리근무자명단'!$A74:$ZZ74,1,$E$2+2)),INDEX('입력_구리근무자명단'!$A74:$ZZ74,1,$E$2+2),IFERROR(DATE(VALUE(LEFT(INDEX('입력_구리근무자명단'!$A74:$ZZ74,1,$E$2+2),4)),VALUE(MID(INDEX('입력_구리근무자명단'!$A74:$ZZ74,1,$E$2+2),6,2)),VALUE(MID(INDEX('입력_구리근무자명단'!$A74:$ZZ74,1,$E$2+2),9,2))),-1))))</f>
        <v/>
      </c>
      <c r="T76">
        <f>IF($R76="","",IF(INDEX('입력_구리근무자명단'!$A74:$ZZ74,1,$E$2+3)&amp;""="",EOMONTH(급여기준월,0),IF(ISNUMBER(INDEX('입력_구리근무자명단'!$A74:$ZZ74,1,$E$2+3)),INDEX('입력_구리근무자명단'!$A74:$ZZ74,1,$E$2+3),IFERROR(DATE(VALUE(LEFT(INDEX('입력_구리근무자명단'!$A74:$ZZ74,1,$E$2+3),4)),VALUE(MID(INDEX('입력_구리근무자명단'!$A74:$ZZ74,1,$E$2+3),6,2)),VALUE(MID(INDEX('입력_구리근무자명단'!$A74:$ZZ74,1,$E$2+3),9,2))),-1))))</f>
        <v/>
      </c>
      <c r="U76">
        <f>IF($R76="","",IF(OR($S76&lt;0,$T76&lt;0),0,MAX(0,MIN($T76,EOMONTH(급여기준월,0))-MAX($S76,급여기준월)+1)))</f>
        <v/>
      </c>
      <c r="V76">
        <f>IF($R76="","",TRIM(INDEX('입력_구리근무자명단'!$A74:$ZZ74,1,$E$2+5)&amp;""))</f>
        <v/>
      </c>
      <c r="W76">
        <f>IF(ISNUMBER(SEARCH("구리독자",$V76)),"구리독자","")</f>
        <v/>
      </c>
      <c r="X76">
        <f>IF($R76="","",$R76&amp;"|"&amp;IF(OR($Q76="인턴",ISNUMBER(SEARCH("수련교육부",$P76))),"인턴",$P76))</f>
        <v/>
      </c>
      <c r="Y76">
        <f>IF($R76="","",IF(COUNTIF(명단표[이름|과],$X76)=1,"명단 일치",IF(AND(COUNTIF(명단표[이름|과],$X76)=0,COUNTIF(명단표[이름],$R76)=1),"명단 일치(이름만, 과 다름)",IF(COUNTIF(명단표[이름],$R76)=0,IF(COUNTIF(기본자료표[이름],$R76)&gt;0,"명단에 없음(기본자료에는 있음)","명단에 없음"),"동명이인 확인"))))</f>
        <v/>
      </c>
      <c r="Z76">
        <f>IF($R76="","",IF($S76&lt;0,"⚠"&amp;INDEX('입력_구리근무자명단'!$A74:$ZZ74,1,$E$2+2),TEXT($S76,"yyyy-mm-dd")))</f>
        <v/>
      </c>
      <c r="AA76">
        <f>IF($R76="","",IF($T76&lt;0,"⚠"&amp;INDEX('입력_구리근무자명단'!$A74:$ZZ74,1,$E$2+3),TEXT($T76,"yyyy-mm-dd")))</f>
        <v/>
      </c>
      <c r="AB76">
        <f>AB75+IF($R76="",0,1)</f>
        <v/>
      </c>
      <c r="AC76">
        <f>IF($R76="","",$AB76)</f>
        <v/>
      </c>
    </row>
    <row r="77">
      <c r="A77">
        <f>IFERROR(INDEX($O$6:$O$1505,MATCH(72,$AC$6:$AC$1505,0)),"")</f>
        <v/>
      </c>
      <c r="B77">
        <f>IF(ISNUMBER($A77),INDEX($P$6:$P$1505,$A77-3),"")</f>
        <v/>
      </c>
      <c r="C77">
        <f>IF(ISNUMBER($A77),INDEX($Q$6:$Q$1505,$A77-3),"")</f>
        <v/>
      </c>
      <c r="D77">
        <f>IF(ISNUMBER($A77),INDEX($R$6:$R$1505,$A77-3),"")</f>
        <v/>
      </c>
      <c r="E77">
        <f>IF(ISNUMBER($A77),$G$2,"")</f>
        <v/>
      </c>
      <c r="F77">
        <f>IF(ISNUMBER($A77),INDEX($Z$6:$Z$1505,$A77-3),"")</f>
        <v/>
      </c>
      <c r="G77">
        <f>IF(ISNUMBER($A77),INDEX($AA$6:$AA$1505,$A77-3),"")</f>
        <v/>
      </c>
      <c r="H77">
        <f>IF(ISNUMBER($A77),INDEX($U$6:$U$1505,$A77-3),"")</f>
        <v/>
      </c>
      <c r="I77">
        <f>IF(ISNUMBER($A77),INDEX($V$6:$V$1505,$A77-3),"")</f>
        <v/>
      </c>
      <c r="J77">
        <f>IF(ISNUMBER($A77),INDEX($W$6:$W$1505,$A77-3),"")</f>
        <v/>
      </c>
      <c r="K77">
        <f>IF(ISNUMBER($A77),INDEX($X$6:$X$1505,$A77-3),"")</f>
        <v/>
      </c>
      <c r="L77">
        <f>IF(ISNUMBER($A77),INDEX($Y$6:$Y$1505,$A77-3),"")</f>
        <v/>
      </c>
      <c r="O77">
        <f>75</f>
        <v/>
      </c>
      <c r="P77">
        <f>IF(TRIM('입력_구리근무자명단'!$A75&amp;"")&lt;&gt;"",TRIM('입력_구리근무자명단'!$A75&amp;""),P76)</f>
        <v/>
      </c>
      <c r="Q77">
        <f>'입력_구리근무자명단'!$B75&amp;""</f>
        <v/>
      </c>
      <c r="R77">
        <f>IF($E$2="","",TRIM(INDEX('입력_구리근무자명단'!$A75:$ZZ75,1,$E$2+IF($G$2="확정",1,0))&amp;""))</f>
        <v/>
      </c>
      <c r="S77">
        <f>IF($R77="","",IF(INDEX('입력_구리근무자명단'!$A75:$ZZ75,1,$E$2+2)&amp;""="",급여기준월,IF(ISNUMBER(INDEX('입력_구리근무자명단'!$A75:$ZZ75,1,$E$2+2)),INDEX('입력_구리근무자명단'!$A75:$ZZ75,1,$E$2+2),IFERROR(DATE(VALUE(LEFT(INDEX('입력_구리근무자명단'!$A75:$ZZ75,1,$E$2+2),4)),VALUE(MID(INDEX('입력_구리근무자명단'!$A75:$ZZ75,1,$E$2+2),6,2)),VALUE(MID(INDEX('입력_구리근무자명단'!$A75:$ZZ75,1,$E$2+2),9,2))),-1))))</f>
        <v/>
      </c>
      <c r="T77">
        <f>IF($R77="","",IF(INDEX('입력_구리근무자명단'!$A75:$ZZ75,1,$E$2+3)&amp;""="",EOMONTH(급여기준월,0),IF(ISNUMBER(INDEX('입력_구리근무자명단'!$A75:$ZZ75,1,$E$2+3)),INDEX('입력_구리근무자명단'!$A75:$ZZ75,1,$E$2+3),IFERROR(DATE(VALUE(LEFT(INDEX('입력_구리근무자명단'!$A75:$ZZ75,1,$E$2+3),4)),VALUE(MID(INDEX('입력_구리근무자명단'!$A75:$ZZ75,1,$E$2+3),6,2)),VALUE(MID(INDEX('입력_구리근무자명단'!$A75:$ZZ75,1,$E$2+3),9,2))),-1))))</f>
        <v/>
      </c>
      <c r="U77">
        <f>IF($R77="","",IF(OR($S77&lt;0,$T77&lt;0),0,MAX(0,MIN($T77,EOMONTH(급여기준월,0))-MAX($S77,급여기준월)+1)))</f>
        <v/>
      </c>
      <c r="V77">
        <f>IF($R77="","",TRIM(INDEX('입력_구리근무자명단'!$A75:$ZZ75,1,$E$2+5)&amp;""))</f>
        <v/>
      </c>
      <c r="W77">
        <f>IF(ISNUMBER(SEARCH("구리독자",$V77)),"구리독자","")</f>
        <v/>
      </c>
      <c r="X77">
        <f>IF($R77="","",$R77&amp;"|"&amp;IF(OR($Q77="인턴",ISNUMBER(SEARCH("수련교육부",$P77))),"인턴",$P77))</f>
        <v/>
      </c>
      <c r="Y77">
        <f>IF($R77="","",IF(COUNTIF(명단표[이름|과],$X77)=1,"명단 일치",IF(AND(COUNTIF(명단표[이름|과],$X77)=0,COUNTIF(명단표[이름],$R77)=1),"명단 일치(이름만, 과 다름)",IF(COUNTIF(명단표[이름],$R77)=0,IF(COUNTIF(기본자료표[이름],$R77)&gt;0,"명단에 없음(기본자료에는 있음)","명단에 없음"),"동명이인 확인"))))</f>
        <v/>
      </c>
      <c r="Z77">
        <f>IF($R77="","",IF($S77&lt;0,"⚠"&amp;INDEX('입력_구리근무자명단'!$A75:$ZZ75,1,$E$2+2),TEXT($S77,"yyyy-mm-dd")))</f>
        <v/>
      </c>
      <c r="AA77">
        <f>IF($R77="","",IF($T77&lt;0,"⚠"&amp;INDEX('입력_구리근무자명단'!$A75:$ZZ75,1,$E$2+3),TEXT($T77,"yyyy-mm-dd")))</f>
        <v/>
      </c>
      <c r="AB77">
        <f>AB76+IF($R77="",0,1)</f>
        <v/>
      </c>
      <c r="AC77">
        <f>IF($R77="","",$AB77)</f>
        <v/>
      </c>
    </row>
    <row r="78">
      <c r="A78">
        <f>IFERROR(INDEX($O$6:$O$1505,MATCH(73,$AC$6:$AC$1505,0)),"")</f>
        <v/>
      </c>
      <c r="B78">
        <f>IF(ISNUMBER($A78),INDEX($P$6:$P$1505,$A78-3),"")</f>
        <v/>
      </c>
      <c r="C78">
        <f>IF(ISNUMBER($A78),INDEX($Q$6:$Q$1505,$A78-3),"")</f>
        <v/>
      </c>
      <c r="D78">
        <f>IF(ISNUMBER($A78),INDEX($R$6:$R$1505,$A78-3),"")</f>
        <v/>
      </c>
      <c r="E78">
        <f>IF(ISNUMBER($A78),$G$2,"")</f>
        <v/>
      </c>
      <c r="F78">
        <f>IF(ISNUMBER($A78),INDEX($Z$6:$Z$1505,$A78-3),"")</f>
        <v/>
      </c>
      <c r="G78">
        <f>IF(ISNUMBER($A78),INDEX($AA$6:$AA$1505,$A78-3),"")</f>
        <v/>
      </c>
      <c r="H78">
        <f>IF(ISNUMBER($A78),INDEX($U$6:$U$1505,$A78-3),"")</f>
        <v/>
      </c>
      <c r="I78">
        <f>IF(ISNUMBER($A78),INDEX($V$6:$V$1505,$A78-3),"")</f>
        <v/>
      </c>
      <c r="J78">
        <f>IF(ISNUMBER($A78),INDEX($W$6:$W$1505,$A78-3),"")</f>
        <v/>
      </c>
      <c r="K78">
        <f>IF(ISNUMBER($A78),INDEX($X$6:$X$1505,$A78-3),"")</f>
        <v/>
      </c>
      <c r="L78">
        <f>IF(ISNUMBER($A78),INDEX($Y$6:$Y$1505,$A78-3),"")</f>
        <v/>
      </c>
      <c r="O78">
        <f>76</f>
        <v/>
      </c>
      <c r="P78">
        <f>IF(TRIM('입력_구리근무자명단'!$A76&amp;"")&lt;&gt;"",TRIM('입력_구리근무자명단'!$A76&amp;""),P77)</f>
        <v/>
      </c>
      <c r="Q78">
        <f>'입력_구리근무자명단'!$B76&amp;""</f>
        <v/>
      </c>
      <c r="R78">
        <f>IF($E$2="","",TRIM(INDEX('입력_구리근무자명단'!$A76:$ZZ76,1,$E$2+IF($G$2="확정",1,0))&amp;""))</f>
        <v/>
      </c>
      <c r="S78">
        <f>IF($R78="","",IF(INDEX('입력_구리근무자명단'!$A76:$ZZ76,1,$E$2+2)&amp;""="",급여기준월,IF(ISNUMBER(INDEX('입력_구리근무자명단'!$A76:$ZZ76,1,$E$2+2)),INDEX('입력_구리근무자명단'!$A76:$ZZ76,1,$E$2+2),IFERROR(DATE(VALUE(LEFT(INDEX('입력_구리근무자명단'!$A76:$ZZ76,1,$E$2+2),4)),VALUE(MID(INDEX('입력_구리근무자명단'!$A76:$ZZ76,1,$E$2+2),6,2)),VALUE(MID(INDEX('입력_구리근무자명단'!$A76:$ZZ76,1,$E$2+2),9,2))),-1))))</f>
        <v/>
      </c>
      <c r="T78">
        <f>IF($R78="","",IF(INDEX('입력_구리근무자명단'!$A76:$ZZ76,1,$E$2+3)&amp;""="",EOMONTH(급여기준월,0),IF(ISNUMBER(INDEX('입력_구리근무자명단'!$A76:$ZZ76,1,$E$2+3)),INDEX('입력_구리근무자명단'!$A76:$ZZ76,1,$E$2+3),IFERROR(DATE(VALUE(LEFT(INDEX('입력_구리근무자명단'!$A76:$ZZ76,1,$E$2+3),4)),VALUE(MID(INDEX('입력_구리근무자명단'!$A76:$ZZ76,1,$E$2+3),6,2)),VALUE(MID(INDEX('입력_구리근무자명단'!$A76:$ZZ76,1,$E$2+3),9,2))),-1))))</f>
        <v/>
      </c>
      <c r="U78">
        <f>IF($R78="","",IF(OR($S78&lt;0,$T78&lt;0),0,MAX(0,MIN($T78,EOMONTH(급여기준월,0))-MAX($S78,급여기준월)+1)))</f>
        <v/>
      </c>
      <c r="V78">
        <f>IF($R78="","",TRIM(INDEX('입력_구리근무자명단'!$A76:$ZZ76,1,$E$2+5)&amp;""))</f>
        <v/>
      </c>
      <c r="W78">
        <f>IF(ISNUMBER(SEARCH("구리독자",$V78)),"구리독자","")</f>
        <v/>
      </c>
      <c r="X78">
        <f>IF($R78="","",$R78&amp;"|"&amp;IF(OR($Q78="인턴",ISNUMBER(SEARCH("수련교육부",$P78))),"인턴",$P78))</f>
        <v/>
      </c>
      <c r="Y78">
        <f>IF($R78="","",IF(COUNTIF(명단표[이름|과],$X78)=1,"명단 일치",IF(AND(COUNTIF(명단표[이름|과],$X78)=0,COUNTIF(명단표[이름],$R78)=1),"명단 일치(이름만, 과 다름)",IF(COUNTIF(명단표[이름],$R78)=0,IF(COUNTIF(기본자료표[이름],$R78)&gt;0,"명단에 없음(기본자료에는 있음)","명단에 없음"),"동명이인 확인"))))</f>
        <v/>
      </c>
      <c r="Z78">
        <f>IF($R78="","",IF($S78&lt;0,"⚠"&amp;INDEX('입력_구리근무자명단'!$A76:$ZZ76,1,$E$2+2),TEXT($S78,"yyyy-mm-dd")))</f>
        <v/>
      </c>
      <c r="AA78">
        <f>IF($R78="","",IF($T78&lt;0,"⚠"&amp;INDEX('입력_구리근무자명단'!$A76:$ZZ76,1,$E$2+3),TEXT($T78,"yyyy-mm-dd")))</f>
        <v/>
      </c>
      <c r="AB78">
        <f>AB77+IF($R78="",0,1)</f>
        <v/>
      </c>
      <c r="AC78">
        <f>IF($R78="","",$AB78)</f>
        <v/>
      </c>
    </row>
    <row r="79">
      <c r="A79">
        <f>IFERROR(INDEX($O$6:$O$1505,MATCH(74,$AC$6:$AC$1505,0)),"")</f>
        <v/>
      </c>
      <c r="B79">
        <f>IF(ISNUMBER($A79),INDEX($P$6:$P$1505,$A79-3),"")</f>
        <v/>
      </c>
      <c r="C79">
        <f>IF(ISNUMBER($A79),INDEX($Q$6:$Q$1505,$A79-3),"")</f>
        <v/>
      </c>
      <c r="D79">
        <f>IF(ISNUMBER($A79),INDEX($R$6:$R$1505,$A79-3),"")</f>
        <v/>
      </c>
      <c r="E79">
        <f>IF(ISNUMBER($A79),$G$2,"")</f>
        <v/>
      </c>
      <c r="F79">
        <f>IF(ISNUMBER($A79),INDEX($Z$6:$Z$1505,$A79-3),"")</f>
        <v/>
      </c>
      <c r="G79">
        <f>IF(ISNUMBER($A79),INDEX($AA$6:$AA$1505,$A79-3),"")</f>
        <v/>
      </c>
      <c r="H79">
        <f>IF(ISNUMBER($A79),INDEX($U$6:$U$1505,$A79-3),"")</f>
        <v/>
      </c>
      <c r="I79">
        <f>IF(ISNUMBER($A79),INDEX($V$6:$V$1505,$A79-3),"")</f>
        <v/>
      </c>
      <c r="J79">
        <f>IF(ISNUMBER($A79),INDEX($W$6:$W$1505,$A79-3),"")</f>
        <v/>
      </c>
      <c r="K79">
        <f>IF(ISNUMBER($A79),INDEX($X$6:$X$1505,$A79-3),"")</f>
        <v/>
      </c>
      <c r="L79">
        <f>IF(ISNUMBER($A79),INDEX($Y$6:$Y$1505,$A79-3),"")</f>
        <v/>
      </c>
      <c r="O79">
        <f>77</f>
        <v/>
      </c>
      <c r="P79">
        <f>IF(TRIM('입력_구리근무자명단'!$A77&amp;"")&lt;&gt;"",TRIM('입력_구리근무자명단'!$A77&amp;""),P78)</f>
        <v/>
      </c>
      <c r="Q79">
        <f>'입력_구리근무자명단'!$B77&amp;""</f>
        <v/>
      </c>
      <c r="R79">
        <f>IF($E$2="","",TRIM(INDEX('입력_구리근무자명단'!$A77:$ZZ77,1,$E$2+IF($G$2="확정",1,0))&amp;""))</f>
        <v/>
      </c>
      <c r="S79">
        <f>IF($R79="","",IF(INDEX('입력_구리근무자명단'!$A77:$ZZ77,1,$E$2+2)&amp;""="",급여기준월,IF(ISNUMBER(INDEX('입력_구리근무자명단'!$A77:$ZZ77,1,$E$2+2)),INDEX('입력_구리근무자명단'!$A77:$ZZ77,1,$E$2+2),IFERROR(DATE(VALUE(LEFT(INDEX('입력_구리근무자명단'!$A77:$ZZ77,1,$E$2+2),4)),VALUE(MID(INDEX('입력_구리근무자명단'!$A77:$ZZ77,1,$E$2+2),6,2)),VALUE(MID(INDEX('입력_구리근무자명단'!$A77:$ZZ77,1,$E$2+2),9,2))),-1))))</f>
        <v/>
      </c>
      <c r="T79">
        <f>IF($R79="","",IF(INDEX('입력_구리근무자명단'!$A77:$ZZ77,1,$E$2+3)&amp;""="",EOMONTH(급여기준월,0),IF(ISNUMBER(INDEX('입력_구리근무자명단'!$A77:$ZZ77,1,$E$2+3)),INDEX('입력_구리근무자명단'!$A77:$ZZ77,1,$E$2+3),IFERROR(DATE(VALUE(LEFT(INDEX('입력_구리근무자명단'!$A77:$ZZ77,1,$E$2+3),4)),VALUE(MID(INDEX('입력_구리근무자명단'!$A77:$ZZ77,1,$E$2+3),6,2)),VALUE(MID(INDEX('입력_구리근무자명단'!$A77:$ZZ77,1,$E$2+3),9,2))),-1))))</f>
        <v/>
      </c>
      <c r="U79">
        <f>IF($R79="","",IF(OR($S79&lt;0,$T79&lt;0),0,MAX(0,MIN($T79,EOMONTH(급여기준월,0))-MAX($S79,급여기준월)+1)))</f>
        <v/>
      </c>
      <c r="V79">
        <f>IF($R79="","",TRIM(INDEX('입력_구리근무자명단'!$A77:$ZZ77,1,$E$2+5)&amp;""))</f>
        <v/>
      </c>
      <c r="W79">
        <f>IF(ISNUMBER(SEARCH("구리독자",$V79)),"구리독자","")</f>
        <v/>
      </c>
      <c r="X79">
        <f>IF($R79="","",$R79&amp;"|"&amp;IF(OR($Q79="인턴",ISNUMBER(SEARCH("수련교육부",$P79))),"인턴",$P79))</f>
        <v/>
      </c>
      <c r="Y79">
        <f>IF($R79="","",IF(COUNTIF(명단표[이름|과],$X79)=1,"명단 일치",IF(AND(COUNTIF(명단표[이름|과],$X79)=0,COUNTIF(명단표[이름],$R79)=1),"명단 일치(이름만, 과 다름)",IF(COUNTIF(명단표[이름],$R79)=0,IF(COUNTIF(기본자료표[이름],$R79)&gt;0,"명단에 없음(기본자료에는 있음)","명단에 없음"),"동명이인 확인"))))</f>
        <v/>
      </c>
      <c r="Z79">
        <f>IF($R79="","",IF($S79&lt;0,"⚠"&amp;INDEX('입력_구리근무자명단'!$A77:$ZZ77,1,$E$2+2),TEXT($S79,"yyyy-mm-dd")))</f>
        <v/>
      </c>
      <c r="AA79">
        <f>IF($R79="","",IF($T79&lt;0,"⚠"&amp;INDEX('입력_구리근무자명단'!$A77:$ZZ77,1,$E$2+3),TEXT($T79,"yyyy-mm-dd")))</f>
        <v/>
      </c>
      <c r="AB79">
        <f>AB78+IF($R79="",0,1)</f>
        <v/>
      </c>
      <c r="AC79">
        <f>IF($R79="","",$AB79)</f>
        <v/>
      </c>
    </row>
    <row r="80">
      <c r="A80">
        <f>IFERROR(INDEX($O$6:$O$1505,MATCH(75,$AC$6:$AC$1505,0)),"")</f>
        <v/>
      </c>
      <c r="B80">
        <f>IF(ISNUMBER($A80),INDEX($P$6:$P$1505,$A80-3),"")</f>
        <v/>
      </c>
      <c r="C80">
        <f>IF(ISNUMBER($A80),INDEX($Q$6:$Q$1505,$A80-3),"")</f>
        <v/>
      </c>
      <c r="D80">
        <f>IF(ISNUMBER($A80),INDEX($R$6:$R$1505,$A80-3),"")</f>
        <v/>
      </c>
      <c r="E80">
        <f>IF(ISNUMBER($A80),$G$2,"")</f>
        <v/>
      </c>
      <c r="F80">
        <f>IF(ISNUMBER($A80),INDEX($Z$6:$Z$1505,$A80-3),"")</f>
        <v/>
      </c>
      <c r="G80">
        <f>IF(ISNUMBER($A80),INDEX($AA$6:$AA$1505,$A80-3),"")</f>
        <v/>
      </c>
      <c r="H80">
        <f>IF(ISNUMBER($A80),INDEX($U$6:$U$1505,$A80-3),"")</f>
        <v/>
      </c>
      <c r="I80">
        <f>IF(ISNUMBER($A80),INDEX($V$6:$V$1505,$A80-3),"")</f>
        <v/>
      </c>
      <c r="J80">
        <f>IF(ISNUMBER($A80),INDEX($W$6:$W$1505,$A80-3),"")</f>
        <v/>
      </c>
      <c r="K80">
        <f>IF(ISNUMBER($A80),INDEX($X$6:$X$1505,$A80-3),"")</f>
        <v/>
      </c>
      <c r="L80">
        <f>IF(ISNUMBER($A80),INDEX($Y$6:$Y$1505,$A80-3),"")</f>
        <v/>
      </c>
      <c r="O80">
        <f>78</f>
        <v/>
      </c>
      <c r="P80">
        <f>IF(TRIM('입력_구리근무자명단'!$A78&amp;"")&lt;&gt;"",TRIM('입력_구리근무자명단'!$A78&amp;""),P79)</f>
        <v/>
      </c>
      <c r="Q80">
        <f>'입력_구리근무자명단'!$B78&amp;""</f>
        <v/>
      </c>
      <c r="R80">
        <f>IF($E$2="","",TRIM(INDEX('입력_구리근무자명단'!$A78:$ZZ78,1,$E$2+IF($G$2="확정",1,0))&amp;""))</f>
        <v/>
      </c>
      <c r="S80">
        <f>IF($R80="","",IF(INDEX('입력_구리근무자명단'!$A78:$ZZ78,1,$E$2+2)&amp;""="",급여기준월,IF(ISNUMBER(INDEX('입력_구리근무자명단'!$A78:$ZZ78,1,$E$2+2)),INDEX('입력_구리근무자명단'!$A78:$ZZ78,1,$E$2+2),IFERROR(DATE(VALUE(LEFT(INDEX('입력_구리근무자명단'!$A78:$ZZ78,1,$E$2+2),4)),VALUE(MID(INDEX('입력_구리근무자명단'!$A78:$ZZ78,1,$E$2+2),6,2)),VALUE(MID(INDEX('입력_구리근무자명단'!$A78:$ZZ78,1,$E$2+2),9,2))),-1))))</f>
        <v/>
      </c>
      <c r="T80">
        <f>IF($R80="","",IF(INDEX('입력_구리근무자명단'!$A78:$ZZ78,1,$E$2+3)&amp;""="",EOMONTH(급여기준월,0),IF(ISNUMBER(INDEX('입력_구리근무자명단'!$A78:$ZZ78,1,$E$2+3)),INDEX('입력_구리근무자명단'!$A78:$ZZ78,1,$E$2+3),IFERROR(DATE(VALUE(LEFT(INDEX('입력_구리근무자명단'!$A78:$ZZ78,1,$E$2+3),4)),VALUE(MID(INDEX('입력_구리근무자명단'!$A78:$ZZ78,1,$E$2+3),6,2)),VALUE(MID(INDEX('입력_구리근무자명단'!$A78:$ZZ78,1,$E$2+3),9,2))),-1))))</f>
        <v/>
      </c>
      <c r="U80">
        <f>IF($R80="","",IF(OR($S80&lt;0,$T80&lt;0),0,MAX(0,MIN($T80,EOMONTH(급여기준월,0))-MAX($S80,급여기준월)+1)))</f>
        <v/>
      </c>
      <c r="V80">
        <f>IF($R80="","",TRIM(INDEX('입력_구리근무자명단'!$A78:$ZZ78,1,$E$2+5)&amp;""))</f>
        <v/>
      </c>
      <c r="W80">
        <f>IF(ISNUMBER(SEARCH("구리독자",$V80)),"구리독자","")</f>
        <v/>
      </c>
      <c r="X80">
        <f>IF($R80="","",$R80&amp;"|"&amp;IF(OR($Q80="인턴",ISNUMBER(SEARCH("수련교육부",$P80))),"인턴",$P80))</f>
        <v/>
      </c>
      <c r="Y80">
        <f>IF($R80="","",IF(COUNTIF(명단표[이름|과],$X80)=1,"명단 일치",IF(AND(COUNTIF(명단표[이름|과],$X80)=0,COUNTIF(명단표[이름],$R80)=1),"명단 일치(이름만, 과 다름)",IF(COUNTIF(명단표[이름],$R80)=0,IF(COUNTIF(기본자료표[이름],$R80)&gt;0,"명단에 없음(기본자료에는 있음)","명단에 없음"),"동명이인 확인"))))</f>
        <v/>
      </c>
      <c r="Z80">
        <f>IF($R80="","",IF($S80&lt;0,"⚠"&amp;INDEX('입력_구리근무자명단'!$A78:$ZZ78,1,$E$2+2),TEXT($S80,"yyyy-mm-dd")))</f>
        <v/>
      </c>
      <c r="AA80">
        <f>IF($R80="","",IF($T80&lt;0,"⚠"&amp;INDEX('입력_구리근무자명단'!$A78:$ZZ78,1,$E$2+3),TEXT($T80,"yyyy-mm-dd")))</f>
        <v/>
      </c>
      <c r="AB80">
        <f>AB79+IF($R80="",0,1)</f>
        <v/>
      </c>
      <c r="AC80">
        <f>IF($R80="","",$AB80)</f>
        <v/>
      </c>
    </row>
    <row r="81">
      <c r="A81">
        <f>IFERROR(INDEX($O$6:$O$1505,MATCH(76,$AC$6:$AC$1505,0)),"")</f>
        <v/>
      </c>
      <c r="B81">
        <f>IF(ISNUMBER($A81),INDEX($P$6:$P$1505,$A81-3),"")</f>
        <v/>
      </c>
      <c r="C81">
        <f>IF(ISNUMBER($A81),INDEX($Q$6:$Q$1505,$A81-3),"")</f>
        <v/>
      </c>
      <c r="D81">
        <f>IF(ISNUMBER($A81),INDEX($R$6:$R$1505,$A81-3),"")</f>
        <v/>
      </c>
      <c r="E81">
        <f>IF(ISNUMBER($A81),$G$2,"")</f>
        <v/>
      </c>
      <c r="F81">
        <f>IF(ISNUMBER($A81),INDEX($Z$6:$Z$1505,$A81-3),"")</f>
        <v/>
      </c>
      <c r="G81">
        <f>IF(ISNUMBER($A81),INDEX($AA$6:$AA$1505,$A81-3),"")</f>
        <v/>
      </c>
      <c r="H81">
        <f>IF(ISNUMBER($A81),INDEX($U$6:$U$1505,$A81-3),"")</f>
        <v/>
      </c>
      <c r="I81">
        <f>IF(ISNUMBER($A81),INDEX($V$6:$V$1505,$A81-3),"")</f>
        <v/>
      </c>
      <c r="J81">
        <f>IF(ISNUMBER($A81),INDEX($W$6:$W$1505,$A81-3),"")</f>
        <v/>
      </c>
      <c r="K81">
        <f>IF(ISNUMBER($A81),INDEX($X$6:$X$1505,$A81-3),"")</f>
        <v/>
      </c>
      <c r="L81">
        <f>IF(ISNUMBER($A81),INDEX($Y$6:$Y$1505,$A81-3),"")</f>
        <v/>
      </c>
      <c r="O81">
        <f>79</f>
        <v/>
      </c>
      <c r="P81">
        <f>IF(TRIM('입력_구리근무자명단'!$A79&amp;"")&lt;&gt;"",TRIM('입력_구리근무자명단'!$A79&amp;""),P80)</f>
        <v/>
      </c>
      <c r="Q81">
        <f>'입력_구리근무자명단'!$B79&amp;""</f>
        <v/>
      </c>
      <c r="R81">
        <f>IF($E$2="","",TRIM(INDEX('입력_구리근무자명단'!$A79:$ZZ79,1,$E$2+IF($G$2="확정",1,0))&amp;""))</f>
        <v/>
      </c>
      <c r="S81">
        <f>IF($R81="","",IF(INDEX('입력_구리근무자명단'!$A79:$ZZ79,1,$E$2+2)&amp;""="",급여기준월,IF(ISNUMBER(INDEX('입력_구리근무자명단'!$A79:$ZZ79,1,$E$2+2)),INDEX('입력_구리근무자명단'!$A79:$ZZ79,1,$E$2+2),IFERROR(DATE(VALUE(LEFT(INDEX('입력_구리근무자명단'!$A79:$ZZ79,1,$E$2+2),4)),VALUE(MID(INDEX('입력_구리근무자명단'!$A79:$ZZ79,1,$E$2+2),6,2)),VALUE(MID(INDEX('입력_구리근무자명단'!$A79:$ZZ79,1,$E$2+2),9,2))),-1))))</f>
        <v/>
      </c>
      <c r="T81">
        <f>IF($R81="","",IF(INDEX('입력_구리근무자명단'!$A79:$ZZ79,1,$E$2+3)&amp;""="",EOMONTH(급여기준월,0),IF(ISNUMBER(INDEX('입력_구리근무자명단'!$A79:$ZZ79,1,$E$2+3)),INDEX('입력_구리근무자명단'!$A79:$ZZ79,1,$E$2+3),IFERROR(DATE(VALUE(LEFT(INDEX('입력_구리근무자명단'!$A79:$ZZ79,1,$E$2+3),4)),VALUE(MID(INDEX('입력_구리근무자명단'!$A79:$ZZ79,1,$E$2+3),6,2)),VALUE(MID(INDEX('입력_구리근무자명단'!$A79:$ZZ79,1,$E$2+3),9,2))),-1))))</f>
        <v/>
      </c>
      <c r="U81">
        <f>IF($R81="","",IF(OR($S81&lt;0,$T81&lt;0),0,MAX(0,MIN($T81,EOMONTH(급여기준월,0))-MAX($S81,급여기준월)+1)))</f>
        <v/>
      </c>
      <c r="V81">
        <f>IF($R81="","",TRIM(INDEX('입력_구리근무자명단'!$A79:$ZZ79,1,$E$2+5)&amp;""))</f>
        <v/>
      </c>
      <c r="W81">
        <f>IF(ISNUMBER(SEARCH("구리독자",$V81)),"구리독자","")</f>
        <v/>
      </c>
      <c r="X81">
        <f>IF($R81="","",$R81&amp;"|"&amp;IF(OR($Q81="인턴",ISNUMBER(SEARCH("수련교육부",$P81))),"인턴",$P81))</f>
        <v/>
      </c>
      <c r="Y81">
        <f>IF($R81="","",IF(COUNTIF(명단표[이름|과],$X81)=1,"명단 일치",IF(AND(COUNTIF(명단표[이름|과],$X81)=0,COUNTIF(명단표[이름],$R81)=1),"명단 일치(이름만, 과 다름)",IF(COUNTIF(명단표[이름],$R81)=0,IF(COUNTIF(기본자료표[이름],$R81)&gt;0,"명단에 없음(기본자료에는 있음)","명단에 없음"),"동명이인 확인"))))</f>
        <v/>
      </c>
      <c r="Z81">
        <f>IF($R81="","",IF($S81&lt;0,"⚠"&amp;INDEX('입력_구리근무자명단'!$A79:$ZZ79,1,$E$2+2),TEXT($S81,"yyyy-mm-dd")))</f>
        <v/>
      </c>
      <c r="AA81">
        <f>IF($R81="","",IF($T81&lt;0,"⚠"&amp;INDEX('입력_구리근무자명단'!$A79:$ZZ79,1,$E$2+3),TEXT($T81,"yyyy-mm-dd")))</f>
        <v/>
      </c>
      <c r="AB81">
        <f>AB80+IF($R81="",0,1)</f>
        <v/>
      </c>
      <c r="AC81">
        <f>IF($R81="","",$AB81)</f>
        <v/>
      </c>
    </row>
    <row r="82">
      <c r="A82">
        <f>IFERROR(INDEX($O$6:$O$1505,MATCH(77,$AC$6:$AC$1505,0)),"")</f>
        <v/>
      </c>
      <c r="B82">
        <f>IF(ISNUMBER($A82),INDEX($P$6:$P$1505,$A82-3),"")</f>
        <v/>
      </c>
      <c r="C82">
        <f>IF(ISNUMBER($A82),INDEX($Q$6:$Q$1505,$A82-3),"")</f>
        <v/>
      </c>
      <c r="D82">
        <f>IF(ISNUMBER($A82),INDEX($R$6:$R$1505,$A82-3),"")</f>
        <v/>
      </c>
      <c r="E82">
        <f>IF(ISNUMBER($A82),$G$2,"")</f>
        <v/>
      </c>
      <c r="F82">
        <f>IF(ISNUMBER($A82),INDEX($Z$6:$Z$1505,$A82-3),"")</f>
        <v/>
      </c>
      <c r="G82">
        <f>IF(ISNUMBER($A82),INDEX($AA$6:$AA$1505,$A82-3),"")</f>
        <v/>
      </c>
      <c r="H82">
        <f>IF(ISNUMBER($A82),INDEX($U$6:$U$1505,$A82-3),"")</f>
        <v/>
      </c>
      <c r="I82">
        <f>IF(ISNUMBER($A82),INDEX($V$6:$V$1505,$A82-3),"")</f>
        <v/>
      </c>
      <c r="J82">
        <f>IF(ISNUMBER($A82),INDEX($W$6:$W$1505,$A82-3),"")</f>
        <v/>
      </c>
      <c r="K82">
        <f>IF(ISNUMBER($A82),INDEX($X$6:$X$1505,$A82-3),"")</f>
        <v/>
      </c>
      <c r="L82">
        <f>IF(ISNUMBER($A82),INDEX($Y$6:$Y$1505,$A82-3),"")</f>
        <v/>
      </c>
      <c r="O82">
        <f>80</f>
        <v/>
      </c>
      <c r="P82">
        <f>IF(TRIM('입력_구리근무자명단'!$A80&amp;"")&lt;&gt;"",TRIM('입력_구리근무자명단'!$A80&amp;""),P81)</f>
        <v/>
      </c>
      <c r="Q82">
        <f>'입력_구리근무자명단'!$B80&amp;""</f>
        <v/>
      </c>
      <c r="R82">
        <f>IF($E$2="","",TRIM(INDEX('입력_구리근무자명단'!$A80:$ZZ80,1,$E$2+IF($G$2="확정",1,0))&amp;""))</f>
        <v/>
      </c>
      <c r="S82">
        <f>IF($R82="","",IF(INDEX('입력_구리근무자명단'!$A80:$ZZ80,1,$E$2+2)&amp;""="",급여기준월,IF(ISNUMBER(INDEX('입력_구리근무자명단'!$A80:$ZZ80,1,$E$2+2)),INDEX('입력_구리근무자명단'!$A80:$ZZ80,1,$E$2+2),IFERROR(DATE(VALUE(LEFT(INDEX('입력_구리근무자명단'!$A80:$ZZ80,1,$E$2+2),4)),VALUE(MID(INDEX('입력_구리근무자명단'!$A80:$ZZ80,1,$E$2+2),6,2)),VALUE(MID(INDEX('입력_구리근무자명단'!$A80:$ZZ80,1,$E$2+2),9,2))),-1))))</f>
        <v/>
      </c>
      <c r="T82">
        <f>IF($R82="","",IF(INDEX('입력_구리근무자명단'!$A80:$ZZ80,1,$E$2+3)&amp;""="",EOMONTH(급여기준월,0),IF(ISNUMBER(INDEX('입력_구리근무자명단'!$A80:$ZZ80,1,$E$2+3)),INDEX('입력_구리근무자명단'!$A80:$ZZ80,1,$E$2+3),IFERROR(DATE(VALUE(LEFT(INDEX('입력_구리근무자명단'!$A80:$ZZ80,1,$E$2+3),4)),VALUE(MID(INDEX('입력_구리근무자명단'!$A80:$ZZ80,1,$E$2+3),6,2)),VALUE(MID(INDEX('입력_구리근무자명단'!$A80:$ZZ80,1,$E$2+3),9,2))),-1))))</f>
        <v/>
      </c>
      <c r="U82">
        <f>IF($R82="","",IF(OR($S82&lt;0,$T82&lt;0),0,MAX(0,MIN($T82,EOMONTH(급여기준월,0))-MAX($S82,급여기준월)+1)))</f>
        <v/>
      </c>
      <c r="V82">
        <f>IF($R82="","",TRIM(INDEX('입력_구리근무자명단'!$A80:$ZZ80,1,$E$2+5)&amp;""))</f>
        <v/>
      </c>
      <c r="W82">
        <f>IF(ISNUMBER(SEARCH("구리독자",$V82)),"구리독자","")</f>
        <v/>
      </c>
      <c r="X82">
        <f>IF($R82="","",$R82&amp;"|"&amp;IF(OR($Q82="인턴",ISNUMBER(SEARCH("수련교육부",$P82))),"인턴",$P82))</f>
        <v/>
      </c>
      <c r="Y82">
        <f>IF($R82="","",IF(COUNTIF(명단표[이름|과],$X82)=1,"명단 일치",IF(AND(COUNTIF(명단표[이름|과],$X82)=0,COUNTIF(명단표[이름],$R82)=1),"명단 일치(이름만, 과 다름)",IF(COUNTIF(명단표[이름],$R82)=0,IF(COUNTIF(기본자료표[이름],$R82)&gt;0,"명단에 없음(기본자료에는 있음)","명단에 없음"),"동명이인 확인"))))</f>
        <v/>
      </c>
      <c r="Z82">
        <f>IF($R82="","",IF($S82&lt;0,"⚠"&amp;INDEX('입력_구리근무자명단'!$A80:$ZZ80,1,$E$2+2),TEXT($S82,"yyyy-mm-dd")))</f>
        <v/>
      </c>
      <c r="AA82">
        <f>IF($R82="","",IF($T82&lt;0,"⚠"&amp;INDEX('입력_구리근무자명단'!$A80:$ZZ80,1,$E$2+3),TEXT($T82,"yyyy-mm-dd")))</f>
        <v/>
      </c>
      <c r="AB82">
        <f>AB81+IF($R82="",0,1)</f>
        <v/>
      </c>
      <c r="AC82">
        <f>IF($R82="","",$AB82)</f>
        <v/>
      </c>
    </row>
    <row r="83">
      <c r="A83">
        <f>IFERROR(INDEX($O$6:$O$1505,MATCH(78,$AC$6:$AC$1505,0)),"")</f>
        <v/>
      </c>
      <c r="B83">
        <f>IF(ISNUMBER($A83),INDEX($P$6:$P$1505,$A83-3),"")</f>
        <v/>
      </c>
      <c r="C83">
        <f>IF(ISNUMBER($A83),INDEX($Q$6:$Q$1505,$A83-3),"")</f>
        <v/>
      </c>
      <c r="D83">
        <f>IF(ISNUMBER($A83),INDEX($R$6:$R$1505,$A83-3),"")</f>
        <v/>
      </c>
      <c r="E83">
        <f>IF(ISNUMBER($A83),$G$2,"")</f>
        <v/>
      </c>
      <c r="F83">
        <f>IF(ISNUMBER($A83),INDEX($Z$6:$Z$1505,$A83-3),"")</f>
        <v/>
      </c>
      <c r="G83">
        <f>IF(ISNUMBER($A83),INDEX($AA$6:$AA$1505,$A83-3),"")</f>
        <v/>
      </c>
      <c r="H83">
        <f>IF(ISNUMBER($A83),INDEX($U$6:$U$1505,$A83-3),"")</f>
        <v/>
      </c>
      <c r="I83">
        <f>IF(ISNUMBER($A83),INDEX($V$6:$V$1505,$A83-3),"")</f>
        <v/>
      </c>
      <c r="J83">
        <f>IF(ISNUMBER($A83),INDEX($W$6:$W$1505,$A83-3),"")</f>
        <v/>
      </c>
      <c r="K83">
        <f>IF(ISNUMBER($A83),INDEX($X$6:$X$1505,$A83-3),"")</f>
        <v/>
      </c>
      <c r="L83">
        <f>IF(ISNUMBER($A83),INDEX($Y$6:$Y$1505,$A83-3),"")</f>
        <v/>
      </c>
      <c r="O83">
        <f>81</f>
        <v/>
      </c>
      <c r="P83">
        <f>IF(TRIM('입력_구리근무자명단'!$A81&amp;"")&lt;&gt;"",TRIM('입력_구리근무자명단'!$A81&amp;""),P82)</f>
        <v/>
      </c>
      <c r="Q83">
        <f>'입력_구리근무자명단'!$B81&amp;""</f>
        <v/>
      </c>
      <c r="R83">
        <f>IF($E$2="","",TRIM(INDEX('입력_구리근무자명단'!$A81:$ZZ81,1,$E$2+IF($G$2="확정",1,0))&amp;""))</f>
        <v/>
      </c>
      <c r="S83">
        <f>IF($R83="","",IF(INDEX('입력_구리근무자명단'!$A81:$ZZ81,1,$E$2+2)&amp;""="",급여기준월,IF(ISNUMBER(INDEX('입력_구리근무자명단'!$A81:$ZZ81,1,$E$2+2)),INDEX('입력_구리근무자명단'!$A81:$ZZ81,1,$E$2+2),IFERROR(DATE(VALUE(LEFT(INDEX('입력_구리근무자명단'!$A81:$ZZ81,1,$E$2+2),4)),VALUE(MID(INDEX('입력_구리근무자명단'!$A81:$ZZ81,1,$E$2+2),6,2)),VALUE(MID(INDEX('입력_구리근무자명단'!$A81:$ZZ81,1,$E$2+2),9,2))),-1))))</f>
        <v/>
      </c>
      <c r="T83">
        <f>IF($R83="","",IF(INDEX('입력_구리근무자명단'!$A81:$ZZ81,1,$E$2+3)&amp;""="",EOMONTH(급여기준월,0),IF(ISNUMBER(INDEX('입력_구리근무자명단'!$A81:$ZZ81,1,$E$2+3)),INDEX('입력_구리근무자명단'!$A81:$ZZ81,1,$E$2+3),IFERROR(DATE(VALUE(LEFT(INDEX('입력_구리근무자명단'!$A81:$ZZ81,1,$E$2+3),4)),VALUE(MID(INDEX('입력_구리근무자명단'!$A81:$ZZ81,1,$E$2+3),6,2)),VALUE(MID(INDEX('입력_구리근무자명단'!$A81:$ZZ81,1,$E$2+3),9,2))),-1))))</f>
        <v/>
      </c>
      <c r="U83">
        <f>IF($R83="","",IF(OR($S83&lt;0,$T83&lt;0),0,MAX(0,MIN($T83,EOMONTH(급여기준월,0))-MAX($S83,급여기준월)+1)))</f>
        <v/>
      </c>
      <c r="V83">
        <f>IF($R83="","",TRIM(INDEX('입력_구리근무자명단'!$A81:$ZZ81,1,$E$2+5)&amp;""))</f>
        <v/>
      </c>
      <c r="W83">
        <f>IF(ISNUMBER(SEARCH("구리독자",$V83)),"구리독자","")</f>
        <v/>
      </c>
      <c r="X83">
        <f>IF($R83="","",$R83&amp;"|"&amp;IF(OR($Q83="인턴",ISNUMBER(SEARCH("수련교육부",$P83))),"인턴",$P83))</f>
        <v/>
      </c>
      <c r="Y83">
        <f>IF($R83="","",IF(COUNTIF(명단표[이름|과],$X83)=1,"명단 일치",IF(AND(COUNTIF(명단표[이름|과],$X83)=0,COUNTIF(명단표[이름],$R83)=1),"명단 일치(이름만, 과 다름)",IF(COUNTIF(명단표[이름],$R83)=0,IF(COUNTIF(기본자료표[이름],$R83)&gt;0,"명단에 없음(기본자료에는 있음)","명단에 없음"),"동명이인 확인"))))</f>
        <v/>
      </c>
      <c r="Z83">
        <f>IF($R83="","",IF($S83&lt;0,"⚠"&amp;INDEX('입력_구리근무자명단'!$A81:$ZZ81,1,$E$2+2),TEXT($S83,"yyyy-mm-dd")))</f>
        <v/>
      </c>
      <c r="AA83">
        <f>IF($R83="","",IF($T83&lt;0,"⚠"&amp;INDEX('입력_구리근무자명단'!$A81:$ZZ81,1,$E$2+3),TEXT($T83,"yyyy-mm-dd")))</f>
        <v/>
      </c>
      <c r="AB83">
        <f>AB82+IF($R83="",0,1)</f>
        <v/>
      </c>
      <c r="AC83">
        <f>IF($R83="","",$AB83)</f>
        <v/>
      </c>
    </row>
    <row r="84">
      <c r="A84">
        <f>IFERROR(INDEX($O$6:$O$1505,MATCH(79,$AC$6:$AC$1505,0)),"")</f>
        <v/>
      </c>
      <c r="B84">
        <f>IF(ISNUMBER($A84),INDEX($P$6:$P$1505,$A84-3),"")</f>
        <v/>
      </c>
      <c r="C84">
        <f>IF(ISNUMBER($A84),INDEX($Q$6:$Q$1505,$A84-3),"")</f>
        <v/>
      </c>
      <c r="D84">
        <f>IF(ISNUMBER($A84),INDEX($R$6:$R$1505,$A84-3),"")</f>
        <v/>
      </c>
      <c r="E84">
        <f>IF(ISNUMBER($A84),$G$2,"")</f>
        <v/>
      </c>
      <c r="F84">
        <f>IF(ISNUMBER($A84),INDEX($Z$6:$Z$1505,$A84-3),"")</f>
        <v/>
      </c>
      <c r="G84">
        <f>IF(ISNUMBER($A84),INDEX($AA$6:$AA$1505,$A84-3),"")</f>
        <v/>
      </c>
      <c r="H84">
        <f>IF(ISNUMBER($A84),INDEX($U$6:$U$1505,$A84-3),"")</f>
        <v/>
      </c>
      <c r="I84">
        <f>IF(ISNUMBER($A84),INDEX($V$6:$V$1505,$A84-3),"")</f>
        <v/>
      </c>
      <c r="J84">
        <f>IF(ISNUMBER($A84),INDEX($W$6:$W$1505,$A84-3),"")</f>
        <v/>
      </c>
      <c r="K84">
        <f>IF(ISNUMBER($A84),INDEX($X$6:$X$1505,$A84-3),"")</f>
        <v/>
      </c>
      <c r="L84">
        <f>IF(ISNUMBER($A84),INDEX($Y$6:$Y$1505,$A84-3),"")</f>
        <v/>
      </c>
      <c r="O84">
        <f>82</f>
        <v/>
      </c>
      <c r="P84">
        <f>IF(TRIM('입력_구리근무자명단'!$A82&amp;"")&lt;&gt;"",TRIM('입력_구리근무자명단'!$A82&amp;""),P83)</f>
        <v/>
      </c>
      <c r="Q84">
        <f>'입력_구리근무자명단'!$B82&amp;""</f>
        <v/>
      </c>
      <c r="R84">
        <f>IF($E$2="","",TRIM(INDEX('입력_구리근무자명단'!$A82:$ZZ82,1,$E$2+IF($G$2="확정",1,0))&amp;""))</f>
        <v/>
      </c>
      <c r="S84">
        <f>IF($R84="","",IF(INDEX('입력_구리근무자명단'!$A82:$ZZ82,1,$E$2+2)&amp;""="",급여기준월,IF(ISNUMBER(INDEX('입력_구리근무자명단'!$A82:$ZZ82,1,$E$2+2)),INDEX('입력_구리근무자명단'!$A82:$ZZ82,1,$E$2+2),IFERROR(DATE(VALUE(LEFT(INDEX('입력_구리근무자명단'!$A82:$ZZ82,1,$E$2+2),4)),VALUE(MID(INDEX('입력_구리근무자명단'!$A82:$ZZ82,1,$E$2+2),6,2)),VALUE(MID(INDEX('입력_구리근무자명단'!$A82:$ZZ82,1,$E$2+2),9,2))),-1))))</f>
        <v/>
      </c>
      <c r="T84">
        <f>IF($R84="","",IF(INDEX('입력_구리근무자명단'!$A82:$ZZ82,1,$E$2+3)&amp;""="",EOMONTH(급여기준월,0),IF(ISNUMBER(INDEX('입력_구리근무자명단'!$A82:$ZZ82,1,$E$2+3)),INDEX('입력_구리근무자명단'!$A82:$ZZ82,1,$E$2+3),IFERROR(DATE(VALUE(LEFT(INDEX('입력_구리근무자명단'!$A82:$ZZ82,1,$E$2+3),4)),VALUE(MID(INDEX('입력_구리근무자명단'!$A82:$ZZ82,1,$E$2+3),6,2)),VALUE(MID(INDEX('입력_구리근무자명단'!$A82:$ZZ82,1,$E$2+3),9,2))),-1))))</f>
        <v/>
      </c>
      <c r="U84">
        <f>IF($R84="","",IF(OR($S84&lt;0,$T84&lt;0),0,MAX(0,MIN($T84,EOMONTH(급여기준월,0))-MAX($S84,급여기준월)+1)))</f>
        <v/>
      </c>
      <c r="V84">
        <f>IF($R84="","",TRIM(INDEX('입력_구리근무자명단'!$A82:$ZZ82,1,$E$2+5)&amp;""))</f>
        <v/>
      </c>
      <c r="W84">
        <f>IF(ISNUMBER(SEARCH("구리독자",$V84)),"구리독자","")</f>
        <v/>
      </c>
      <c r="X84">
        <f>IF($R84="","",$R84&amp;"|"&amp;IF(OR($Q84="인턴",ISNUMBER(SEARCH("수련교육부",$P84))),"인턴",$P84))</f>
        <v/>
      </c>
      <c r="Y84">
        <f>IF($R84="","",IF(COUNTIF(명단표[이름|과],$X84)=1,"명단 일치",IF(AND(COUNTIF(명단표[이름|과],$X84)=0,COUNTIF(명단표[이름],$R84)=1),"명단 일치(이름만, 과 다름)",IF(COUNTIF(명단표[이름],$R84)=0,IF(COUNTIF(기본자료표[이름],$R84)&gt;0,"명단에 없음(기본자료에는 있음)","명단에 없음"),"동명이인 확인"))))</f>
        <v/>
      </c>
      <c r="Z84">
        <f>IF($R84="","",IF($S84&lt;0,"⚠"&amp;INDEX('입력_구리근무자명단'!$A82:$ZZ82,1,$E$2+2),TEXT($S84,"yyyy-mm-dd")))</f>
        <v/>
      </c>
      <c r="AA84">
        <f>IF($R84="","",IF($T84&lt;0,"⚠"&amp;INDEX('입력_구리근무자명단'!$A82:$ZZ82,1,$E$2+3),TEXT($T84,"yyyy-mm-dd")))</f>
        <v/>
      </c>
      <c r="AB84">
        <f>AB83+IF($R84="",0,1)</f>
        <v/>
      </c>
      <c r="AC84">
        <f>IF($R84="","",$AB84)</f>
        <v/>
      </c>
    </row>
    <row r="85">
      <c r="A85">
        <f>IFERROR(INDEX($O$6:$O$1505,MATCH(80,$AC$6:$AC$1505,0)),"")</f>
        <v/>
      </c>
      <c r="B85">
        <f>IF(ISNUMBER($A85),INDEX($P$6:$P$1505,$A85-3),"")</f>
        <v/>
      </c>
      <c r="C85">
        <f>IF(ISNUMBER($A85),INDEX($Q$6:$Q$1505,$A85-3),"")</f>
        <v/>
      </c>
      <c r="D85">
        <f>IF(ISNUMBER($A85),INDEX($R$6:$R$1505,$A85-3),"")</f>
        <v/>
      </c>
      <c r="E85">
        <f>IF(ISNUMBER($A85),$G$2,"")</f>
        <v/>
      </c>
      <c r="F85">
        <f>IF(ISNUMBER($A85),INDEX($Z$6:$Z$1505,$A85-3),"")</f>
        <v/>
      </c>
      <c r="G85">
        <f>IF(ISNUMBER($A85),INDEX($AA$6:$AA$1505,$A85-3),"")</f>
        <v/>
      </c>
      <c r="H85">
        <f>IF(ISNUMBER($A85),INDEX($U$6:$U$1505,$A85-3),"")</f>
        <v/>
      </c>
      <c r="I85">
        <f>IF(ISNUMBER($A85),INDEX($V$6:$V$1505,$A85-3),"")</f>
        <v/>
      </c>
      <c r="J85">
        <f>IF(ISNUMBER($A85),INDEX($W$6:$W$1505,$A85-3),"")</f>
        <v/>
      </c>
      <c r="K85">
        <f>IF(ISNUMBER($A85),INDEX($X$6:$X$1505,$A85-3),"")</f>
        <v/>
      </c>
      <c r="L85">
        <f>IF(ISNUMBER($A85),INDEX($Y$6:$Y$1505,$A85-3),"")</f>
        <v/>
      </c>
      <c r="O85">
        <f>83</f>
        <v/>
      </c>
      <c r="P85">
        <f>IF(TRIM('입력_구리근무자명단'!$A83&amp;"")&lt;&gt;"",TRIM('입력_구리근무자명단'!$A83&amp;""),P84)</f>
        <v/>
      </c>
      <c r="Q85">
        <f>'입력_구리근무자명단'!$B83&amp;""</f>
        <v/>
      </c>
      <c r="R85">
        <f>IF($E$2="","",TRIM(INDEX('입력_구리근무자명단'!$A83:$ZZ83,1,$E$2+IF($G$2="확정",1,0))&amp;""))</f>
        <v/>
      </c>
      <c r="S85">
        <f>IF($R85="","",IF(INDEX('입력_구리근무자명단'!$A83:$ZZ83,1,$E$2+2)&amp;""="",급여기준월,IF(ISNUMBER(INDEX('입력_구리근무자명단'!$A83:$ZZ83,1,$E$2+2)),INDEX('입력_구리근무자명단'!$A83:$ZZ83,1,$E$2+2),IFERROR(DATE(VALUE(LEFT(INDEX('입력_구리근무자명단'!$A83:$ZZ83,1,$E$2+2),4)),VALUE(MID(INDEX('입력_구리근무자명단'!$A83:$ZZ83,1,$E$2+2),6,2)),VALUE(MID(INDEX('입력_구리근무자명단'!$A83:$ZZ83,1,$E$2+2),9,2))),-1))))</f>
        <v/>
      </c>
      <c r="T85">
        <f>IF($R85="","",IF(INDEX('입력_구리근무자명단'!$A83:$ZZ83,1,$E$2+3)&amp;""="",EOMONTH(급여기준월,0),IF(ISNUMBER(INDEX('입력_구리근무자명단'!$A83:$ZZ83,1,$E$2+3)),INDEX('입력_구리근무자명단'!$A83:$ZZ83,1,$E$2+3),IFERROR(DATE(VALUE(LEFT(INDEX('입력_구리근무자명단'!$A83:$ZZ83,1,$E$2+3),4)),VALUE(MID(INDEX('입력_구리근무자명단'!$A83:$ZZ83,1,$E$2+3),6,2)),VALUE(MID(INDEX('입력_구리근무자명단'!$A83:$ZZ83,1,$E$2+3),9,2))),-1))))</f>
        <v/>
      </c>
      <c r="U85">
        <f>IF($R85="","",IF(OR($S85&lt;0,$T85&lt;0),0,MAX(0,MIN($T85,EOMONTH(급여기준월,0))-MAX($S85,급여기준월)+1)))</f>
        <v/>
      </c>
      <c r="V85">
        <f>IF($R85="","",TRIM(INDEX('입력_구리근무자명단'!$A83:$ZZ83,1,$E$2+5)&amp;""))</f>
        <v/>
      </c>
      <c r="W85">
        <f>IF(ISNUMBER(SEARCH("구리독자",$V85)),"구리독자","")</f>
        <v/>
      </c>
      <c r="X85">
        <f>IF($R85="","",$R85&amp;"|"&amp;IF(OR($Q85="인턴",ISNUMBER(SEARCH("수련교육부",$P85))),"인턴",$P85))</f>
        <v/>
      </c>
      <c r="Y85">
        <f>IF($R85="","",IF(COUNTIF(명단표[이름|과],$X85)=1,"명단 일치",IF(AND(COUNTIF(명단표[이름|과],$X85)=0,COUNTIF(명단표[이름],$R85)=1),"명단 일치(이름만, 과 다름)",IF(COUNTIF(명단표[이름],$R85)=0,IF(COUNTIF(기본자료표[이름],$R85)&gt;0,"명단에 없음(기본자료에는 있음)","명단에 없음"),"동명이인 확인"))))</f>
        <v/>
      </c>
      <c r="Z85">
        <f>IF($R85="","",IF($S85&lt;0,"⚠"&amp;INDEX('입력_구리근무자명단'!$A83:$ZZ83,1,$E$2+2),TEXT($S85,"yyyy-mm-dd")))</f>
        <v/>
      </c>
      <c r="AA85">
        <f>IF($R85="","",IF($T85&lt;0,"⚠"&amp;INDEX('입력_구리근무자명단'!$A83:$ZZ83,1,$E$2+3),TEXT($T85,"yyyy-mm-dd")))</f>
        <v/>
      </c>
      <c r="AB85">
        <f>AB84+IF($R85="",0,1)</f>
        <v/>
      </c>
      <c r="AC85">
        <f>IF($R85="","",$AB85)</f>
        <v/>
      </c>
    </row>
    <row r="86">
      <c r="A86">
        <f>IFERROR(INDEX($O$6:$O$1505,MATCH(81,$AC$6:$AC$1505,0)),"")</f>
        <v/>
      </c>
      <c r="B86">
        <f>IF(ISNUMBER($A86),INDEX($P$6:$P$1505,$A86-3),"")</f>
        <v/>
      </c>
      <c r="C86">
        <f>IF(ISNUMBER($A86),INDEX($Q$6:$Q$1505,$A86-3),"")</f>
        <v/>
      </c>
      <c r="D86">
        <f>IF(ISNUMBER($A86),INDEX($R$6:$R$1505,$A86-3),"")</f>
        <v/>
      </c>
      <c r="E86">
        <f>IF(ISNUMBER($A86),$G$2,"")</f>
        <v/>
      </c>
      <c r="F86">
        <f>IF(ISNUMBER($A86),INDEX($Z$6:$Z$1505,$A86-3),"")</f>
        <v/>
      </c>
      <c r="G86">
        <f>IF(ISNUMBER($A86),INDEX($AA$6:$AA$1505,$A86-3),"")</f>
        <v/>
      </c>
      <c r="H86">
        <f>IF(ISNUMBER($A86),INDEX($U$6:$U$1505,$A86-3),"")</f>
        <v/>
      </c>
      <c r="I86">
        <f>IF(ISNUMBER($A86),INDEX($V$6:$V$1505,$A86-3),"")</f>
        <v/>
      </c>
      <c r="J86">
        <f>IF(ISNUMBER($A86),INDEX($W$6:$W$1505,$A86-3),"")</f>
        <v/>
      </c>
      <c r="K86">
        <f>IF(ISNUMBER($A86),INDEX($X$6:$X$1505,$A86-3),"")</f>
        <v/>
      </c>
      <c r="L86">
        <f>IF(ISNUMBER($A86),INDEX($Y$6:$Y$1505,$A86-3),"")</f>
        <v/>
      </c>
      <c r="O86">
        <f>84</f>
        <v/>
      </c>
      <c r="P86">
        <f>IF(TRIM('입력_구리근무자명단'!$A84&amp;"")&lt;&gt;"",TRIM('입력_구리근무자명단'!$A84&amp;""),P85)</f>
        <v/>
      </c>
      <c r="Q86">
        <f>'입력_구리근무자명단'!$B84&amp;""</f>
        <v/>
      </c>
      <c r="R86">
        <f>IF($E$2="","",TRIM(INDEX('입력_구리근무자명단'!$A84:$ZZ84,1,$E$2+IF($G$2="확정",1,0))&amp;""))</f>
        <v/>
      </c>
      <c r="S86">
        <f>IF($R86="","",IF(INDEX('입력_구리근무자명단'!$A84:$ZZ84,1,$E$2+2)&amp;""="",급여기준월,IF(ISNUMBER(INDEX('입력_구리근무자명단'!$A84:$ZZ84,1,$E$2+2)),INDEX('입력_구리근무자명단'!$A84:$ZZ84,1,$E$2+2),IFERROR(DATE(VALUE(LEFT(INDEX('입력_구리근무자명단'!$A84:$ZZ84,1,$E$2+2),4)),VALUE(MID(INDEX('입력_구리근무자명단'!$A84:$ZZ84,1,$E$2+2),6,2)),VALUE(MID(INDEX('입력_구리근무자명단'!$A84:$ZZ84,1,$E$2+2),9,2))),-1))))</f>
        <v/>
      </c>
      <c r="T86">
        <f>IF($R86="","",IF(INDEX('입력_구리근무자명단'!$A84:$ZZ84,1,$E$2+3)&amp;""="",EOMONTH(급여기준월,0),IF(ISNUMBER(INDEX('입력_구리근무자명단'!$A84:$ZZ84,1,$E$2+3)),INDEX('입력_구리근무자명단'!$A84:$ZZ84,1,$E$2+3),IFERROR(DATE(VALUE(LEFT(INDEX('입력_구리근무자명단'!$A84:$ZZ84,1,$E$2+3),4)),VALUE(MID(INDEX('입력_구리근무자명단'!$A84:$ZZ84,1,$E$2+3),6,2)),VALUE(MID(INDEX('입력_구리근무자명단'!$A84:$ZZ84,1,$E$2+3),9,2))),-1))))</f>
        <v/>
      </c>
      <c r="U86">
        <f>IF($R86="","",IF(OR($S86&lt;0,$T86&lt;0),0,MAX(0,MIN($T86,EOMONTH(급여기준월,0))-MAX($S86,급여기준월)+1)))</f>
        <v/>
      </c>
      <c r="V86">
        <f>IF($R86="","",TRIM(INDEX('입력_구리근무자명단'!$A84:$ZZ84,1,$E$2+5)&amp;""))</f>
        <v/>
      </c>
      <c r="W86">
        <f>IF(ISNUMBER(SEARCH("구리독자",$V86)),"구리독자","")</f>
        <v/>
      </c>
      <c r="X86">
        <f>IF($R86="","",$R86&amp;"|"&amp;IF(OR($Q86="인턴",ISNUMBER(SEARCH("수련교육부",$P86))),"인턴",$P86))</f>
        <v/>
      </c>
      <c r="Y86">
        <f>IF($R86="","",IF(COUNTIF(명단표[이름|과],$X86)=1,"명단 일치",IF(AND(COUNTIF(명단표[이름|과],$X86)=0,COUNTIF(명단표[이름],$R86)=1),"명단 일치(이름만, 과 다름)",IF(COUNTIF(명단표[이름],$R86)=0,IF(COUNTIF(기본자료표[이름],$R86)&gt;0,"명단에 없음(기본자료에는 있음)","명단에 없음"),"동명이인 확인"))))</f>
        <v/>
      </c>
      <c r="Z86">
        <f>IF($R86="","",IF($S86&lt;0,"⚠"&amp;INDEX('입력_구리근무자명단'!$A84:$ZZ84,1,$E$2+2),TEXT($S86,"yyyy-mm-dd")))</f>
        <v/>
      </c>
      <c r="AA86">
        <f>IF($R86="","",IF($T86&lt;0,"⚠"&amp;INDEX('입력_구리근무자명단'!$A84:$ZZ84,1,$E$2+3),TEXT($T86,"yyyy-mm-dd")))</f>
        <v/>
      </c>
      <c r="AB86">
        <f>AB85+IF($R86="",0,1)</f>
        <v/>
      </c>
      <c r="AC86">
        <f>IF($R86="","",$AB86)</f>
        <v/>
      </c>
    </row>
    <row r="87">
      <c r="A87">
        <f>IFERROR(INDEX($O$6:$O$1505,MATCH(82,$AC$6:$AC$1505,0)),"")</f>
        <v/>
      </c>
      <c r="B87">
        <f>IF(ISNUMBER($A87),INDEX($P$6:$P$1505,$A87-3),"")</f>
        <v/>
      </c>
      <c r="C87">
        <f>IF(ISNUMBER($A87),INDEX($Q$6:$Q$1505,$A87-3),"")</f>
        <v/>
      </c>
      <c r="D87">
        <f>IF(ISNUMBER($A87),INDEX($R$6:$R$1505,$A87-3),"")</f>
        <v/>
      </c>
      <c r="E87">
        <f>IF(ISNUMBER($A87),$G$2,"")</f>
        <v/>
      </c>
      <c r="F87">
        <f>IF(ISNUMBER($A87),INDEX($Z$6:$Z$1505,$A87-3),"")</f>
        <v/>
      </c>
      <c r="G87">
        <f>IF(ISNUMBER($A87),INDEX($AA$6:$AA$1505,$A87-3),"")</f>
        <v/>
      </c>
      <c r="H87">
        <f>IF(ISNUMBER($A87),INDEX($U$6:$U$1505,$A87-3),"")</f>
        <v/>
      </c>
      <c r="I87">
        <f>IF(ISNUMBER($A87),INDEX($V$6:$V$1505,$A87-3),"")</f>
        <v/>
      </c>
      <c r="J87">
        <f>IF(ISNUMBER($A87),INDEX($W$6:$W$1505,$A87-3),"")</f>
        <v/>
      </c>
      <c r="K87">
        <f>IF(ISNUMBER($A87),INDEX($X$6:$X$1505,$A87-3),"")</f>
        <v/>
      </c>
      <c r="L87">
        <f>IF(ISNUMBER($A87),INDEX($Y$6:$Y$1505,$A87-3),"")</f>
        <v/>
      </c>
      <c r="O87">
        <f>85</f>
        <v/>
      </c>
      <c r="P87">
        <f>IF(TRIM('입력_구리근무자명단'!$A85&amp;"")&lt;&gt;"",TRIM('입력_구리근무자명단'!$A85&amp;""),P86)</f>
        <v/>
      </c>
      <c r="Q87">
        <f>'입력_구리근무자명단'!$B85&amp;""</f>
        <v/>
      </c>
      <c r="R87">
        <f>IF($E$2="","",TRIM(INDEX('입력_구리근무자명단'!$A85:$ZZ85,1,$E$2+IF($G$2="확정",1,0))&amp;""))</f>
        <v/>
      </c>
      <c r="S87">
        <f>IF($R87="","",IF(INDEX('입력_구리근무자명단'!$A85:$ZZ85,1,$E$2+2)&amp;""="",급여기준월,IF(ISNUMBER(INDEX('입력_구리근무자명단'!$A85:$ZZ85,1,$E$2+2)),INDEX('입력_구리근무자명단'!$A85:$ZZ85,1,$E$2+2),IFERROR(DATE(VALUE(LEFT(INDEX('입력_구리근무자명단'!$A85:$ZZ85,1,$E$2+2),4)),VALUE(MID(INDEX('입력_구리근무자명단'!$A85:$ZZ85,1,$E$2+2),6,2)),VALUE(MID(INDEX('입력_구리근무자명단'!$A85:$ZZ85,1,$E$2+2),9,2))),-1))))</f>
        <v/>
      </c>
      <c r="T87">
        <f>IF($R87="","",IF(INDEX('입력_구리근무자명단'!$A85:$ZZ85,1,$E$2+3)&amp;""="",EOMONTH(급여기준월,0),IF(ISNUMBER(INDEX('입력_구리근무자명단'!$A85:$ZZ85,1,$E$2+3)),INDEX('입력_구리근무자명단'!$A85:$ZZ85,1,$E$2+3),IFERROR(DATE(VALUE(LEFT(INDEX('입력_구리근무자명단'!$A85:$ZZ85,1,$E$2+3),4)),VALUE(MID(INDEX('입력_구리근무자명단'!$A85:$ZZ85,1,$E$2+3),6,2)),VALUE(MID(INDEX('입력_구리근무자명단'!$A85:$ZZ85,1,$E$2+3),9,2))),-1))))</f>
        <v/>
      </c>
      <c r="U87">
        <f>IF($R87="","",IF(OR($S87&lt;0,$T87&lt;0),0,MAX(0,MIN($T87,EOMONTH(급여기준월,0))-MAX($S87,급여기준월)+1)))</f>
        <v/>
      </c>
      <c r="V87">
        <f>IF($R87="","",TRIM(INDEX('입력_구리근무자명단'!$A85:$ZZ85,1,$E$2+5)&amp;""))</f>
        <v/>
      </c>
      <c r="W87">
        <f>IF(ISNUMBER(SEARCH("구리독자",$V87)),"구리독자","")</f>
        <v/>
      </c>
      <c r="X87">
        <f>IF($R87="","",$R87&amp;"|"&amp;IF(OR($Q87="인턴",ISNUMBER(SEARCH("수련교육부",$P87))),"인턴",$P87))</f>
        <v/>
      </c>
      <c r="Y87">
        <f>IF($R87="","",IF(COUNTIF(명단표[이름|과],$X87)=1,"명단 일치",IF(AND(COUNTIF(명단표[이름|과],$X87)=0,COUNTIF(명단표[이름],$R87)=1),"명단 일치(이름만, 과 다름)",IF(COUNTIF(명단표[이름],$R87)=0,IF(COUNTIF(기본자료표[이름],$R87)&gt;0,"명단에 없음(기본자료에는 있음)","명단에 없음"),"동명이인 확인"))))</f>
        <v/>
      </c>
      <c r="Z87">
        <f>IF($R87="","",IF($S87&lt;0,"⚠"&amp;INDEX('입력_구리근무자명단'!$A85:$ZZ85,1,$E$2+2),TEXT($S87,"yyyy-mm-dd")))</f>
        <v/>
      </c>
      <c r="AA87">
        <f>IF($R87="","",IF($T87&lt;0,"⚠"&amp;INDEX('입력_구리근무자명단'!$A85:$ZZ85,1,$E$2+3),TEXT($T87,"yyyy-mm-dd")))</f>
        <v/>
      </c>
      <c r="AB87">
        <f>AB86+IF($R87="",0,1)</f>
        <v/>
      </c>
      <c r="AC87">
        <f>IF($R87="","",$AB87)</f>
        <v/>
      </c>
    </row>
    <row r="88">
      <c r="A88">
        <f>IFERROR(INDEX($O$6:$O$1505,MATCH(83,$AC$6:$AC$1505,0)),"")</f>
        <v/>
      </c>
      <c r="B88">
        <f>IF(ISNUMBER($A88),INDEX($P$6:$P$1505,$A88-3),"")</f>
        <v/>
      </c>
      <c r="C88">
        <f>IF(ISNUMBER($A88),INDEX($Q$6:$Q$1505,$A88-3),"")</f>
        <v/>
      </c>
      <c r="D88">
        <f>IF(ISNUMBER($A88),INDEX($R$6:$R$1505,$A88-3),"")</f>
        <v/>
      </c>
      <c r="E88">
        <f>IF(ISNUMBER($A88),$G$2,"")</f>
        <v/>
      </c>
      <c r="F88">
        <f>IF(ISNUMBER($A88),INDEX($Z$6:$Z$1505,$A88-3),"")</f>
        <v/>
      </c>
      <c r="G88">
        <f>IF(ISNUMBER($A88),INDEX($AA$6:$AA$1505,$A88-3),"")</f>
        <v/>
      </c>
      <c r="H88">
        <f>IF(ISNUMBER($A88),INDEX($U$6:$U$1505,$A88-3),"")</f>
        <v/>
      </c>
      <c r="I88">
        <f>IF(ISNUMBER($A88),INDEX($V$6:$V$1505,$A88-3),"")</f>
        <v/>
      </c>
      <c r="J88">
        <f>IF(ISNUMBER($A88),INDEX($W$6:$W$1505,$A88-3),"")</f>
        <v/>
      </c>
      <c r="K88">
        <f>IF(ISNUMBER($A88),INDEX($X$6:$X$1505,$A88-3),"")</f>
        <v/>
      </c>
      <c r="L88">
        <f>IF(ISNUMBER($A88),INDEX($Y$6:$Y$1505,$A88-3),"")</f>
        <v/>
      </c>
      <c r="O88">
        <f>86</f>
        <v/>
      </c>
      <c r="P88">
        <f>IF(TRIM('입력_구리근무자명단'!$A86&amp;"")&lt;&gt;"",TRIM('입력_구리근무자명단'!$A86&amp;""),P87)</f>
        <v/>
      </c>
      <c r="Q88">
        <f>'입력_구리근무자명단'!$B86&amp;""</f>
        <v/>
      </c>
      <c r="R88">
        <f>IF($E$2="","",TRIM(INDEX('입력_구리근무자명단'!$A86:$ZZ86,1,$E$2+IF($G$2="확정",1,0))&amp;""))</f>
        <v/>
      </c>
      <c r="S88">
        <f>IF($R88="","",IF(INDEX('입력_구리근무자명단'!$A86:$ZZ86,1,$E$2+2)&amp;""="",급여기준월,IF(ISNUMBER(INDEX('입력_구리근무자명단'!$A86:$ZZ86,1,$E$2+2)),INDEX('입력_구리근무자명단'!$A86:$ZZ86,1,$E$2+2),IFERROR(DATE(VALUE(LEFT(INDEX('입력_구리근무자명단'!$A86:$ZZ86,1,$E$2+2),4)),VALUE(MID(INDEX('입력_구리근무자명단'!$A86:$ZZ86,1,$E$2+2),6,2)),VALUE(MID(INDEX('입력_구리근무자명단'!$A86:$ZZ86,1,$E$2+2),9,2))),-1))))</f>
        <v/>
      </c>
      <c r="T88">
        <f>IF($R88="","",IF(INDEX('입력_구리근무자명단'!$A86:$ZZ86,1,$E$2+3)&amp;""="",EOMONTH(급여기준월,0),IF(ISNUMBER(INDEX('입력_구리근무자명단'!$A86:$ZZ86,1,$E$2+3)),INDEX('입력_구리근무자명단'!$A86:$ZZ86,1,$E$2+3),IFERROR(DATE(VALUE(LEFT(INDEX('입력_구리근무자명단'!$A86:$ZZ86,1,$E$2+3),4)),VALUE(MID(INDEX('입력_구리근무자명단'!$A86:$ZZ86,1,$E$2+3),6,2)),VALUE(MID(INDEX('입력_구리근무자명단'!$A86:$ZZ86,1,$E$2+3),9,2))),-1))))</f>
        <v/>
      </c>
      <c r="U88">
        <f>IF($R88="","",IF(OR($S88&lt;0,$T88&lt;0),0,MAX(0,MIN($T88,EOMONTH(급여기준월,0))-MAX($S88,급여기준월)+1)))</f>
        <v/>
      </c>
      <c r="V88">
        <f>IF($R88="","",TRIM(INDEX('입력_구리근무자명단'!$A86:$ZZ86,1,$E$2+5)&amp;""))</f>
        <v/>
      </c>
      <c r="W88">
        <f>IF(ISNUMBER(SEARCH("구리독자",$V88)),"구리독자","")</f>
        <v/>
      </c>
      <c r="X88">
        <f>IF($R88="","",$R88&amp;"|"&amp;IF(OR($Q88="인턴",ISNUMBER(SEARCH("수련교육부",$P88))),"인턴",$P88))</f>
        <v/>
      </c>
      <c r="Y88">
        <f>IF($R88="","",IF(COUNTIF(명단표[이름|과],$X88)=1,"명단 일치",IF(AND(COUNTIF(명단표[이름|과],$X88)=0,COUNTIF(명단표[이름],$R88)=1),"명단 일치(이름만, 과 다름)",IF(COUNTIF(명단표[이름],$R88)=0,IF(COUNTIF(기본자료표[이름],$R88)&gt;0,"명단에 없음(기본자료에는 있음)","명단에 없음"),"동명이인 확인"))))</f>
        <v/>
      </c>
      <c r="Z88">
        <f>IF($R88="","",IF($S88&lt;0,"⚠"&amp;INDEX('입력_구리근무자명단'!$A86:$ZZ86,1,$E$2+2),TEXT($S88,"yyyy-mm-dd")))</f>
        <v/>
      </c>
      <c r="AA88">
        <f>IF($R88="","",IF($T88&lt;0,"⚠"&amp;INDEX('입력_구리근무자명단'!$A86:$ZZ86,1,$E$2+3),TEXT($T88,"yyyy-mm-dd")))</f>
        <v/>
      </c>
      <c r="AB88">
        <f>AB87+IF($R88="",0,1)</f>
        <v/>
      </c>
      <c r="AC88">
        <f>IF($R88="","",$AB88)</f>
        <v/>
      </c>
    </row>
    <row r="89">
      <c r="A89">
        <f>IFERROR(INDEX($O$6:$O$1505,MATCH(84,$AC$6:$AC$1505,0)),"")</f>
        <v/>
      </c>
      <c r="B89">
        <f>IF(ISNUMBER($A89),INDEX($P$6:$P$1505,$A89-3),"")</f>
        <v/>
      </c>
      <c r="C89">
        <f>IF(ISNUMBER($A89),INDEX($Q$6:$Q$1505,$A89-3),"")</f>
        <v/>
      </c>
      <c r="D89">
        <f>IF(ISNUMBER($A89),INDEX($R$6:$R$1505,$A89-3),"")</f>
        <v/>
      </c>
      <c r="E89">
        <f>IF(ISNUMBER($A89),$G$2,"")</f>
        <v/>
      </c>
      <c r="F89">
        <f>IF(ISNUMBER($A89),INDEX($Z$6:$Z$1505,$A89-3),"")</f>
        <v/>
      </c>
      <c r="G89">
        <f>IF(ISNUMBER($A89),INDEX($AA$6:$AA$1505,$A89-3),"")</f>
        <v/>
      </c>
      <c r="H89">
        <f>IF(ISNUMBER($A89),INDEX($U$6:$U$1505,$A89-3),"")</f>
        <v/>
      </c>
      <c r="I89">
        <f>IF(ISNUMBER($A89),INDEX($V$6:$V$1505,$A89-3),"")</f>
        <v/>
      </c>
      <c r="J89">
        <f>IF(ISNUMBER($A89),INDEX($W$6:$W$1505,$A89-3),"")</f>
        <v/>
      </c>
      <c r="K89">
        <f>IF(ISNUMBER($A89),INDEX($X$6:$X$1505,$A89-3),"")</f>
        <v/>
      </c>
      <c r="L89">
        <f>IF(ISNUMBER($A89),INDEX($Y$6:$Y$1505,$A89-3),"")</f>
        <v/>
      </c>
      <c r="O89">
        <f>87</f>
        <v/>
      </c>
      <c r="P89">
        <f>IF(TRIM('입력_구리근무자명단'!$A87&amp;"")&lt;&gt;"",TRIM('입력_구리근무자명단'!$A87&amp;""),P88)</f>
        <v/>
      </c>
      <c r="Q89">
        <f>'입력_구리근무자명단'!$B87&amp;""</f>
        <v/>
      </c>
      <c r="R89">
        <f>IF($E$2="","",TRIM(INDEX('입력_구리근무자명단'!$A87:$ZZ87,1,$E$2+IF($G$2="확정",1,0))&amp;""))</f>
        <v/>
      </c>
      <c r="S89">
        <f>IF($R89="","",IF(INDEX('입력_구리근무자명단'!$A87:$ZZ87,1,$E$2+2)&amp;""="",급여기준월,IF(ISNUMBER(INDEX('입력_구리근무자명단'!$A87:$ZZ87,1,$E$2+2)),INDEX('입력_구리근무자명단'!$A87:$ZZ87,1,$E$2+2),IFERROR(DATE(VALUE(LEFT(INDEX('입력_구리근무자명단'!$A87:$ZZ87,1,$E$2+2),4)),VALUE(MID(INDEX('입력_구리근무자명단'!$A87:$ZZ87,1,$E$2+2),6,2)),VALUE(MID(INDEX('입력_구리근무자명단'!$A87:$ZZ87,1,$E$2+2),9,2))),-1))))</f>
        <v/>
      </c>
      <c r="T89">
        <f>IF($R89="","",IF(INDEX('입력_구리근무자명단'!$A87:$ZZ87,1,$E$2+3)&amp;""="",EOMONTH(급여기준월,0),IF(ISNUMBER(INDEX('입력_구리근무자명단'!$A87:$ZZ87,1,$E$2+3)),INDEX('입력_구리근무자명단'!$A87:$ZZ87,1,$E$2+3),IFERROR(DATE(VALUE(LEFT(INDEX('입력_구리근무자명단'!$A87:$ZZ87,1,$E$2+3),4)),VALUE(MID(INDEX('입력_구리근무자명단'!$A87:$ZZ87,1,$E$2+3),6,2)),VALUE(MID(INDEX('입력_구리근무자명단'!$A87:$ZZ87,1,$E$2+3),9,2))),-1))))</f>
        <v/>
      </c>
      <c r="U89">
        <f>IF($R89="","",IF(OR($S89&lt;0,$T89&lt;0),0,MAX(0,MIN($T89,EOMONTH(급여기준월,0))-MAX($S89,급여기준월)+1)))</f>
        <v/>
      </c>
      <c r="V89">
        <f>IF($R89="","",TRIM(INDEX('입력_구리근무자명단'!$A87:$ZZ87,1,$E$2+5)&amp;""))</f>
        <v/>
      </c>
      <c r="W89">
        <f>IF(ISNUMBER(SEARCH("구리독자",$V89)),"구리독자","")</f>
        <v/>
      </c>
      <c r="X89">
        <f>IF($R89="","",$R89&amp;"|"&amp;IF(OR($Q89="인턴",ISNUMBER(SEARCH("수련교육부",$P89))),"인턴",$P89))</f>
        <v/>
      </c>
      <c r="Y89">
        <f>IF($R89="","",IF(COUNTIF(명단표[이름|과],$X89)=1,"명단 일치",IF(AND(COUNTIF(명단표[이름|과],$X89)=0,COUNTIF(명단표[이름],$R89)=1),"명단 일치(이름만, 과 다름)",IF(COUNTIF(명단표[이름],$R89)=0,IF(COUNTIF(기본자료표[이름],$R89)&gt;0,"명단에 없음(기본자료에는 있음)","명단에 없음"),"동명이인 확인"))))</f>
        <v/>
      </c>
      <c r="Z89">
        <f>IF($R89="","",IF($S89&lt;0,"⚠"&amp;INDEX('입력_구리근무자명단'!$A87:$ZZ87,1,$E$2+2),TEXT($S89,"yyyy-mm-dd")))</f>
        <v/>
      </c>
      <c r="AA89">
        <f>IF($R89="","",IF($T89&lt;0,"⚠"&amp;INDEX('입력_구리근무자명단'!$A87:$ZZ87,1,$E$2+3),TEXT($T89,"yyyy-mm-dd")))</f>
        <v/>
      </c>
      <c r="AB89">
        <f>AB88+IF($R89="",0,1)</f>
        <v/>
      </c>
      <c r="AC89">
        <f>IF($R89="","",$AB89)</f>
        <v/>
      </c>
    </row>
    <row r="90">
      <c r="A90">
        <f>IFERROR(INDEX($O$6:$O$1505,MATCH(85,$AC$6:$AC$1505,0)),"")</f>
        <v/>
      </c>
      <c r="B90">
        <f>IF(ISNUMBER($A90),INDEX($P$6:$P$1505,$A90-3),"")</f>
        <v/>
      </c>
      <c r="C90">
        <f>IF(ISNUMBER($A90),INDEX($Q$6:$Q$1505,$A90-3),"")</f>
        <v/>
      </c>
      <c r="D90">
        <f>IF(ISNUMBER($A90),INDEX($R$6:$R$1505,$A90-3),"")</f>
        <v/>
      </c>
      <c r="E90">
        <f>IF(ISNUMBER($A90),$G$2,"")</f>
        <v/>
      </c>
      <c r="F90">
        <f>IF(ISNUMBER($A90),INDEX($Z$6:$Z$1505,$A90-3),"")</f>
        <v/>
      </c>
      <c r="G90">
        <f>IF(ISNUMBER($A90),INDEX($AA$6:$AA$1505,$A90-3),"")</f>
        <v/>
      </c>
      <c r="H90">
        <f>IF(ISNUMBER($A90),INDEX($U$6:$U$1505,$A90-3),"")</f>
        <v/>
      </c>
      <c r="I90">
        <f>IF(ISNUMBER($A90),INDEX($V$6:$V$1505,$A90-3),"")</f>
        <v/>
      </c>
      <c r="J90">
        <f>IF(ISNUMBER($A90),INDEX($W$6:$W$1505,$A90-3),"")</f>
        <v/>
      </c>
      <c r="K90">
        <f>IF(ISNUMBER($A90),INDEX($X$6:$X$1505,$A90-3),"")</f>
        <v/>
      </c>
      <c r="L90">
        <f>IF(ISNUMBER($A90),INDEX($Y$6:$Y$1505,$A90-3),"")</f>
        <v/>
      </c>
      <c r="O90">
        <f>88</f>
        <v/>
      </c>
      <c r="P90">
        <f>IF(TRIM('입력_구리근무자명단'!$A88&amp;"")&lt;&gt;"",TRIM('입력_구리근무자명단'!$A88&amp;""),P89)</f>
        <v/>
      </c>
      <c r="Q90">
        <f>'입력_구리근무자명단'!$B88&amp;""</f>
        <v/>
      </c>
      <c r="R90">
        <f>IF($E$2="","",TRIM(INDEX('입력_구리근무자명단'!$A88:$ZZ88,1,$E$2+IF($G$2="확정",1,0))&amp;""))</f>
        <v/>
      </c>
      <c r="S90">
        <f>IF($R90="","",IF(INDEX('입력_구리근무자명단'!$A88:$ZZ88,1,$E$2+2)&amp;""="",급여기준월,IF(ISNUMBER(INDEX('입력_구리근무자명단'!$A88:$ZZ88,1,$E$2+2)),INDEX('입력_구리근무자명단'!$A88:$ZZ88,1,$E$2+2),IFERROR(DATE(VALUE(LEFT(INDEX('입력_구리근무자명단'!$A88:$ZZ88,1,$E$2+2),4)),VALUE(MID(INDEX('입력_구리근무자명단'!$A88:$ZZ88,1,$E$2+2),6,2)),VALUE(MID(INDEX('입력_구리근무자명단'!$A88:$ZZ88,1,$E$2+2),9,2))),-1))))</f>
        <v/>
      </c>
      <c r="T90">
        <f>IF($R90="","",IF(INDEX('입력_구리근무자명단'!$A88:$ZZ88,1,$E$2+3)&amp;""="",EOMONTH(급여기준월,0),IF(ISNUMBER(INDEX('입력_구리근무자명단'!$A88:$ZZ88,1,$E$2+3)),INDEX('입력_구리근무자명단'!$A88:$ZZ88,1,$E$2+3),IFERROR(DATE(VALUE(LEFT(INDEX('입력_구리근무자명단'!$A88:$ZZ88,1,$E$2+3),4)),VALUE(MID(INDEX('입력_구리근무자명단'!$A88:$ZZ88,1,$E$2+3),6,2)),VALUE(MID(INDEX('입력_구리근무자명단'!$A88:$ZZ88,1,$E$2+3),9,2))),-1))))</f>
        <v/>
      </c>
      <c r="U90">
        <f>IF($R90="","",IF(OR($S90&lt;0,$T90&lt;0),0,MAX(0,MIN($T90,EOMONTH(급여기준월,0))-MAX($S90,급여기준월)+1)))</f>
        <v/>
      </c>
      <c r="V90">
        <f>IF($R90="","",TRIM(INDEX('입력_구리근무자명단'!$A88:$ZZ88,1,$E$2+5)&amp;""))</f>
        <v/>
      </c>
      <c r="W90">
        <f>IF(ISNUMBER(SEARCH("구리독자",$V90)),"구리독자","")</f>
        <v/>
      </c>
      <c r="X90">
        <f>IF($R90="","",$R90&amp;"|"&amp;IF(OR($Q90="인턴",ISNUMBER(SEARCH("수련교육부",$P90))),"인턴",$P90))</f>
        <v/>
      </c>
      <c r="Y90">
        <f>IF($R90="","",IF(COUNTIF(명단표[이름|과],$X90)=1,"명단 일치",IF(AND(COUNTIF(명단표[이름|과],$X90)=0,COUNTIF(명단표[이름],$R90)=1),"명단 일치(이름만, 과 다름)",IF(COUNTIF(명단표[이름],$R90)=0,IF(COUNTIF(기본자료표[이름],$R90)&gt;0,"명단에 없음(기본자료에는 있음)","명단에 없음"),"동명이인 확인"))))</f>
        <v/>
      </c>
      <c r="Z90">
        <f>IF($R90="","",IF($S90&lt;0,"⚠"&amp;INDEX('입력_구리근무자명단'!$A88:$ZZ88,1,$E$2+2),TEXT($S90,"yyyy-mm-dd")))</f>
        <v/>
      </c>
      <c r="AA90">
        <f>IF($R90="","",IF($T90&lt;0,"⚠"&amp;INDEX('입력_구리근무자명단'!$A88:$ZZ88,1,$E$2+3),TEXT($T90,"yyyy-mm-dd")))</f>
        <v/>
      </c>
      <c r="AB90">
        <f>AB89+IF($R90="",0,1)</f>
        <v/>
      </c>
      <c r="AC90">
        <f>IF($R90="","",$AB90)</f>
        <v/>
      </c>
    </row>
    <row r="91">
      <c r="A91">
        <f>IFERROR(INDEX($O$6:$O$1505,MATCH(86,$AC$6:$AC$1505,0)),"")</f>
        <v/>
      </c>
      <c r="B91">
        <f>IF(ISNUMBER($A91),INDEX($P$6:$P$1505,$A91-3),"")</f>
        <v/>
      </c>
      <c r="C91">
        <f>IF(ISNUMBER($A91),INDEX($Q$6:$Q$1505,$A91-3),"")</f>
        <v/>
      </c>
      <c r="D91">
        <f>IF(ISNUMBER($A91),INDEX($R$6:$R$1505,$A91-3),"")</f>
        <v/>
      </c>
      <c r="E91">
        <f>IF(ISNUMBER($A91),$G$2,"")</f>
        <v/>
      </c>
      <c r="F91">
        <f>IF(ISNUMBER($A91),INDEX($Z$6:$Z$1505,$A91-3),"")</f>
        <v/>
      </c>
      <c r="G91">
        <f>IF(ISNUMBER($A91),INDEX($AA$6:$AA$1505,$A91-3),"")</f>
        <v/>
      </c>
      <c r="H91">
        <f>IF(ISNUMBER($A91),INDEX($U$6:$U$1505,$A91-3),"")</f>
        <v/>
      </c>
      <c r="I91">
        <f>IF(ISNUMBER($A91),INDEX($V$6:$V$1505,$A91-3),"")</f>
        <v/>
      </c>
      <c r="J91">
        <f>IF(ISNUMBER($A91),INDEX($W$6:$W$1505,$A91-3),"")</f>
        <v/>
      </c>
      <c r="K91">
        <f>IF(ISNUMBER($A91),INDEX($X$6:$X$1505,$A91-3),"")</f>
        <v/>
      </c>
      <c r="L91">
        <f>IF(ISNUMBER($A91),INDEX($Y$6:$Y$1505,$A91-3),"")</f>
        <v/>
      </c>
      <c r="O91">
        <f>89</f>
        <v/>
      </c>
      <c r="P91">
        <f>IF(TRIM('입력_구리근무자명단'!$A89&amp;"")&lt;&gt;"",TRIM('입력_구리근무자명단'!$A89&amp;""),P90)</f>
        <v/>
      </c>
      <c r="Q91">
        <f>'입력_구리근무자명단'!$B89&amp;""</f>
        <v/>
      </c>
      <c r="R91">
        <f>IF($E$2="","",TRIM(INDEX('입력_구리근무자명단'!$A89:$ZZ89,1,$E$2+IF($G$2="확정",1,0))&amp;""))</f>
        <v/>
      </c>
      <c r="S91">
        <f>IF($R91="","",IF(INDEX('입력_구리근무자명단'!$A89:$ZZ89,1,$E$2+2)&amp;""="",급여기준월,IF(ISNUMBER(INDEX('입력_구리근무자명단'!$A89:$ZZ89,1,$E$2+2)),INDEX('입력_구리근무자명단'!$A89:$ZZ89,1,$E$2+2),IFERROR(DATE(VALUE(LEFT(INDEX('입력_구리근무자명단'!$A89:$ZZ89,1,$E$2+2),4)),VALUE(MID(INDEX('입력_구리근무자명단'!$A89:$ZZ89,1,$E$2+2),6,2)),VALUE(MID(INDEX('입력_구리근무자명단'!$A89:$ZZ89,1,$E$2+2),9,2))),-1))))</f>
        <v/>
      </c>
      <c r="T91">
        <f>IF($R91="","",IF(INDEX('입력_구리근무자명단'!$A89:$ZZ89,1,$E$2+3)&amp;""="",EOMONTH(급여기준월,0),IF(ISNUMBER(INDEX('입력_구리근무자명단'!$A89:$ZZ89,1,$E$2+3)),INDEX('입력_구리근무자명단'!$A89:$ZZ89,1,$E$2+3),IFERROR(DATE(VALUE(LEFT(INDEX('입력_구리근무자명단'!$A89:$ZZ89,1,$E$2+3),4)),VALUE(MID(INDEX('입력_구리근무자명단'!$A89:$ZZ89,1,$E$2+3),6,2)),VALUE(MID(INDEX('입력_구리근무자명단'!$A89:$ZZ89,1,$E$2+3),9,2))),-1))))</f>
        <v/>
      </c>
      <c r="U91">
        <f>IF($R91="","",IF(OR($S91&lt;0,$T91&lt;0),0,MAX(0,MIN($T91,EOMONTH(급여기준월,0))-MAX($S91,급여기준월)+1)))</f>
        <v/>
      </c>
      <c r="V91">
        <f>IF($R91="","",TRIM(INDEX('입력_구리근무자명단'!$A89:$ZZ89,1,$E$2+5)&amp;""))</f>
        <v/>
      </c>
      <c r="W91">
        <f>IF(ISNUMBER(SEARCH("구리독자",$V91)),"구리독자","")</f>
        <v/>
      </c>
      <c r="X91">
        <f>IF($R91="","",$R91&amp;"|"&amp;IF(OR($Q91="인턴",ISNUMBER(SEARCH("수련교육부",$P91))),"인턴",$P91))</f>
        <v/>
      </c>
      <c r="Y91">
        <f>IF($R91="","",IF(COUNTIF(명단표[이름|과],$X91)=1,"명단 일치",IF(AND(COUNTIF(명단표[이름|과],$X91)=0,COUNTIF(명단표[이름],$R91)=1),"명단 일치(이름만, 과 다름)",IF(COUNTIF(명단표[이름],$R91)=0,IF(COUNTIF(기본자료표[이름],$R91)&gt;0,"명단에 없음(기본자료에는 있음)","명단에 없음"),"동명이인 확인"))))</f>
        <v/>
      </c>
      <c r="Z91">
        <f>IF($R91="","",IF($S91&lt;0,"⚠"&amp;INDEX('입력_구리근무자명단'!$A89:$ZZ89,1,$E$2+2),TEXT($S91,"yyyy-mm-dd")))</f>
        <v/>
      </c>
      <c r="AA91">
        <f>IF($R91="","",IF($T91&lt;0,"⚠"&amp;INDEX('입력_구리근무자명단'!$A89:$ZZ89,1,$E$2+3),TEXT($T91,"yyyy-mm-dd")))</f>
        <v/>
      </c>
      <c r="AB91">
        <f>AB90+IF($R91="",0,1)</f>
        <v/>
      </c>
      <c r="AC91">
        <f>IF($R91="","",$AB91)</f>
        <v/>
      </c>
    </row>
    <row r="92">
      <c r="A92">
        <f>IFERROR(INDEX($O$6:$O$1505,MATCH(87,$AC$6:$AC$1505,0)),"")</f>
        <v/>
      </c>
      <c r="B92">
        <f>IF(ISNUMBER($A92),INDEX($P$6:$P$1505,$A92-3),"")</f>
        <v/>
      </c>
      <c r="C92">
        <f>IF(ISNUMBER($A92),INDEX($Q$6:$Q$1505,$A92-3),"")</f>
        <v/>
      </c>
      <c r="D92">
        <f>IF(ISNUMBER($A92),INDEX($R$6:$R$1505,$A92-3),"")</f>
        <v/>
      </c>
      <c r="E92">
        <f>IF(ISNUMBER($A92),$G$2,"")</f>
        <v/>
      </c>
      <c r="F92">
        <f>IF(ISNUMBER($A92),INDEX($Z$6:$Z$1505,$A92-3),"")</f>
        <v/>
      </c>
      <c r="G92">
        <f>IF(ISNUMBER($A92),INDEX($AA$6:$AA$1505,$A92-3),"")</f>
        <v/>
      </c>
      <c r="H92">
        <f>IF(ISNUMBER($A92),INDEX($U$6:$U$1505,$A92-3),"")</f>
        <v/>
      </c>
      <c r="I92">
        <f>IF(ISNUMBER($A92),INDEX($V$6:$V$1505,$A92-3),"")</f>
        <v/>
      </c>
      <c r="J92">
        <f>IF(ISNUMBER($A92),INDEX($W$6:$W$1505,$A92-3),"")</f>
        <v/>
      </c>
      <c r="K92">
        <f>IF(ISNUMBER($A92),INDEX($X$6:$X$1505,$A92-3),"")</f>
        <v/>
      </c>
      <c r="L92">
        <f>IF(ISNUMBER($A92),INDEX($Y$6:$Y$1505,$A92-3),"")</f>
        <v/>
      </c>
      <c r="O92">
        <f>90</f>
        <v/>
      </c>
      <c r="P92">
        <f>IF(TRIM('입력_구리근무자명단'!$A90&amp;"")&lt;&gt;"",TRIM('입력_구리근무자명단'!$A90&amp;""),P91)</f>
        <v/>
      </c>
      <c r="Q92">
        <f>'입력_구리근무자명단'!$B90&amp;""</f>
        <v/>
      </c>
      <c r="R92">
        <f>IF($E$2="","",TRIM(INDEX('입력_구리근무자명단'!$A90:$ZZ90,1,$E$2+IF($G$2="확정",1,0))&amp;""))</f>
        <v/>
      </c>
      <c r="S92">
        <f>IF($R92="","",IF(INDEX('입력_구리근무자명단'!$A90:$ZZ90,1,$E$2+2)&amp;""="",급여기준월,IF(ISNUMBER(INDEX('입력_구리근무자명단'!$A90:$ZZ90,1,$E$2+2)),INDEX('입력_구리근무자명단'!$A90:$ZZ90,1,$E$2+2),IFERROR(DATE(VALUE(LEFT(INDEX('입력_구리근무자명단'!$A90:$ZZ90,1,$E$2+2),4)),VALUE(MID(INDEX('입력_구리근무자명단'!$A90:$ZZ90,1,$E$2+2),6,2)),VALUE(MID(INDEX('입력_구리근무자명단'!$A90:$ZZ90,1,$E$2+2),9,2))),-1))))</f>
        <v/>
      </c>
      <c r="T92">
        <f>IF($R92="","",IF(INDEX('입력_구리근무자명단'!$A90:$ZZ90,1,$E$2+3)&amp;""="",EOMONTH(급여기준월,0),IF(ISNUMBER(INDEX('입력_구리근무자명단'!$A90:$ZZ90,1,$E$2+3)),INDEX('입력_구리근무자명단'!$A90:$ZZ90,1,$E$2+3),IFERROR(DATE(VALUE(LEFT(INDEX('입력_구리근무자명단'!$A90:$ZZ90,1,$E$2+3),4)),VALUE(MID(INDEX('입력_구리근무자명단'!$A90:$ZZ90,1,$E$2+3),6,2)),VALUE(MID(INDEX('입력_구리근무자명단'!$A90:$ZZ90,1,$E$2+3),9,2))),-1))))</f>
        <v/>
      </c>
      <c r="U92">
        <f>IF($R92="","",IF(OR($S92&lt;0,$T92&lt;0),0,MAX(0,MIN($T92,EOMONTH(급여기준월,0))-MAX($S92,급여기준월)+1)))</f>
        <v/>
      </c>
      <c r="V92">
        <f>IF($R92="","",TRIM(INDEX('입력_구리근무자명단'!$A90:$ZZ90,1,$E$2+5)&amp;""))</f>
        <v/>
      </c>
      <c r="W92">
        <f>IF(ISNUMBER(SEARCH("구리독자",$V92)),"구리독자","")</f>
        <v/>
      </c>
      <c r="X92">
        <f>IF($R92="","",$R92&amp;"|"&amp;IF(OR($Q92="인턴",ISNUMBER(SEARCH("수련교육부",$P92))),"인턴",$P92))</f>
        <v/>
      </c>
      <c r="Y92">
        <f>IF($R92="","",IF(COUNTIF(명단표[이름|과],$X92)=1,"명단 일치",IF(AND(COUNTIF(명단표[이름|과],$X92)=0,COUNTIF(명단표[이름],$R92)=1),"명단 일치(이름만, 과 다름)",IF(COUNTIF(명단표[이름],$R92)=0,IF(COUNTIF(기본자료표[이름],$R92)&gt;0,"명단에 없음(기본자료에는 있음)","명단에 없음"),"동명이인 확인"))))</f>
        <v/>
      </c>
      <c r="Z92">
        <f>IF($R92="","",IF($S92&lt;0,"⚠"&amp;INDEX('입력_구리근무자명단'!$A90:$ZZ90,1,$E$2+2),TEXT($S92,"yyyy-mm-dd")))</f>
        <v/>
      </c>
      <c r="AA92">
        <f>IF($R92="","",IF($T92&lt;0,"⚠"&amp;INDEX('입력_구리근무자명단'!$A90:$ZZ90,1,$E$2+3),TEXT($T92,"yyyy-mm-dd")))</f>
        <v/>
      </c>
      <c r="AB92">
        <f>AB91+IF($R92="",0,1)</f>
        <v/>
      </c>
      <c r="AC92">
        <f>IF($R92="","",$AB92)</f>
        <v/>
      </c>
    </row>
    <row r="93">
      <c r="A93">
        <f>IFERROR(INDEX($O$6:$O$1505,MATCH(88,$AC$6:$AC$1505,0)),"")</f>
        <v/>
      </c>
      <c r="B93">
        <f>IF(ISNUMBER($A93),INDEX($P$6:$P$1505,$A93-3),"")</f>
        <v/>
      </c>
      <c r="C93">
        <f>IF(ISNUMBER($A93),INDEX($Q$6:$Q$1505,$A93-3),"")</f>
        <v/>
      </c>
      <c r="D93">
        <f>IF(ISNUMBER($A93),INDEX($R$6:$R$1505,$A93-3),"")</f>
        <v/>
      </c>
      <c r="E93">
        <f>IF(ISNUMBER($A93),$G$2,"")</f>
        <v/>
      </c>
      <c r="F93">
        <f>IF(ISNUMBER($A93),INDEX($Z$6:$Z$1505,$A93-3),"")</f>
        <v/>
      </c>
      <c r="G93">
        <f>IF(ISNUMBER($A93),INDEX($AA$6:$AA$1505,$A93-3),"")</f>
        <v/>
      </c>
      <c r="H93">
        <f>IF(ISNUMBER($A93),INDEX($U$6:$U$1505,$A93-3),"")</f>
        <v/>
      </c>
      <c r="I93">
        <f>IF(ISNUMBER($A93),INDEX($V$6:$V$1505,$A93-3),"")</f>
        <v/>
      </c>
      <c r="J93">
        <f>IF(ISNUMBER($A93),INDEX($W$6:$W$1505,$A93-3),"")</f>
        <v/>
      </c>
      <c r="K93">
        <f>IF(ISNUMBER($A93),INDEX($X$6:$X$1505,$A93-3),"")</f>
        <v/>
      </c>
      <c r="L93">
        <f>IF(ISNUMBER($A93),INDEX($Y$6:$Y$1505,$A93-3),"")</f>
        <v/>
      </c>
      <c r="O93">
        <f>91</f>
        <v/>
      </c>
      <c r="P93">
        <f>IF(TRIM('입력_구리근무자명단'!$A91&amp;"")&lt;&gt;"",TRIM('입력_구리근무자명단'!$A91&amp;""),P92)</f>
        <v/>
      </c>
      <c r="Q93">
        <f>'입력_구리근무자명단'!$B91&amp;""</f>
        <v/>
      </c>
      <c r="R93">
        <f>IF($E$2="","",TRIM(INDEX('입력_구리근무자명단'!$A91:$ZZ91,1,$E$2+IF($G$2="확정",1,0))&amp;""))</f>
        <v/>
      </c>
      <c r="S93">
        <f>IF($R93="","",IF(INDEX('입력_구리근무자명단'!$A91:$ZZ91,1,$E$2+2)&amp;""="",급여기준월,IF(ISNUMBER(INDEX('입력_구리근무자명단'!$A91:$ZZ91,1,$E$2+2)),INDEX('입력_구리근무자명단'!$A91:$ZZ91,1,$E$2+2),IFERROR(DATE(VALUE(LEFT(INDEX('입력_구리근무자명단'!$A91:$ZZ91,1,$E$2+2),4)),VALUE(MID(INDEX('입력_구리근무자명단'!$A91:$ZZ91,1,$E$2+2),6,2)),VALUE(MID(INDEX('입력_구리근무자명단'!$A91:$ZZ91,1,$E$2+2),9,2))),-1))))</f>
        <v/>
      </c>
      <c r="T93">
        <f>IF($R93="","",IF(INDEX('입력_구리근무자명단'!$A91:$ZZ91,1,$E$2+3)&amp;""="",EOMONTH(급여기준월,0),IF(ISNUMBER(INDEX('입력_구리근무자명단'!$A91:$ZZ91,1,$E$2+3)),INDEX('입력_구리근무자명단'!$A91:$ZZ91,1,$E$2+3),IFERROR(DATE(VALUE(LEFT(INDEX('입력_구리근무자명단'!$A91:$ZZ91,1,$E$2+3),4)),VALUE(MID(INDEX('입력_구리근무자명단'!$A91:$ZZ91,1,$E$2+3),6,2)),VALUE(MID(INDEX('입력_구리근무자명단'!$A91:$ZZ91,1,$E$2+3),9,2))),-1))))</f>
        <v/>
      </c>
      <c r="U93">
        <f>IF($R93="","",IF(OR($S93&lt;0,$T93&lt;0),0,MAX(0,MIN($T93,EOMONTH(급여기준월,0))-MAX($S93,급여기준월)+1)))</f>
        <v/>
      </c>
      <c r="V93">
        <f>IF($R93="","",TRIM(INDEX('입력_구리근무자명단'!$A91:$ZZ91,1,$E$2+5)&amp;""))</f>
        <v/>
      </c>
      <c r="W93">
        <f>IF(ISNUMBER(SEARCH("구리독자",$V93)),"구리독자","")</f>
        <v/>
      </c>
      <c r="X93">
        <f>IF($R93="","",$R93&amp;"|"&amp;IF(OR($Q93="인턴",ISNUMBER(SEARCH("수련교육부",$P93))),"인턴",$P93))</f>
        <v/>
      </c>
      <c r="Y93">
        <f>IF($R93="","",IF(COUNTIF(명단표[이름|과],$X93)=1,"명단 일치",IF(AND(COUNTIF(명단표[이름|과],$X93)=0,COUNTIF(명단표[이름],$R93)=1),"명단 일치(이름만, 과 다름)",IF(COUNTIF(명단표[이름],$R93)=0,IF(COUNTIF(기본자료표[이름],$R93)&gt;0,"명단에 없음(기본자료에는 있음)","명단에 없음"),"동명이인 확인"))))</f>
        <v/>
      </c>
      <c r="Z93">
        <f>IF($R93="","",IF($S93&lt;0,"⚠"&amp;INDEX('입력_구리근무자명단'!$A91:$ZZ91,1,$E$2+2),TEXT($S93,"yyyy-mm-dd")))</f>
        <v/>
      </c>
      <c r="AA93">
        <f>IF($R93="","",IF($T93&lt;0,"⚠"&amp;INDEX('입력_구리근무자명단'!$A91:$ZZ91,1,$E$2+3),TEXT($T93,"yyyy-mm-dd")))</f>
        <v/>
      </c>
      <c r="AB93">
        <f>AB92+IF($R93="",0,1)</f>
        <v/>
      </c>
      <c r="AC93">
        <f>IF($R93="","",$AB93)</f>
        <v/>
      </c>
    </row>
    <row r="94">
      <c r="A94">
        <f>IFERROR(INDEX($O$6:$O$1505,MATCH(89,$AC$6:$AC$1505,0)),"")</f>
        <v/>
      </c>
      <c r="B94">
        <f>IF(ISNUMBER($A94),INDEX($P$6:$P$1505,$A94-3),"")</f>
        <v/>
      </c>
      <c r="C94">
        <f>IF(ISNUMBER($A94),INDEX($Q$6:$Q$1505,$A94-3),"")</f>
        <v/>
      </c>
      <c r="D94">
        <f>IF(ISNUMBER($A94),INDEX($R$6:$R$1505,$A94-3),"")</f>
        <v/>
      </c>
      <c r="E94">
        <f>IF(ISNUMBER($A94),$G$2,"")</f>
        <v/>
      </c>
      <c r="F94">
        <f>IF(ISNUMBER($A94),INDEX($Z$6:$Z$1505,$A94-3),"")</f>
        <v/>
      </c>
      <c r="G94">
        <f>IF(ISNUMBER($A94),INDEX($AA$6:$AA$1505,$A94-3),"")</f>
        <v/>
      </c>
      <c r="H94">
        <f>IF(ISNUMBER($A94),INDEX($U$6:$U$1505,$A94-3),"")</f>
        <v/>
      </c>
      <c r="I94">
        <f>IF(ISNUMBER($A94),INDEX($V$6:$V$1505,$A94-3),"")</f>
        <v/>
      </c>
      <c r="J94">
        <f>IF(ISNUMBER($A94),INDEX($W$6:$W$1505,$A94-3),"")</f>
        <v/>
      </c>
      <c r="K94">
        <f>IF(ISNUMBER($A94),INDEX($X$6:$X$1505,$A94-3),"")</f>
        <v/>
      </c>
      <c r="L94">
        <f>IF(ISNUMBER($A94),INDEX($Y$6:$Y$1505,$A94-3),"")</f>
        <v/>
      </c>
      <c r="O94">
        <f>92</f>
        <v/>
      </c>
      <c r="P94">
        <f>IF(TRIM('입력_구리근무자명단'!$A92&amp;"")&lt;&gt;"",TRIM('입력_구리근무자명단'!$A92&amp;""),P93)</f>
        <v/>
      </c>
      <c r="Q94">
        <f>'입력_구리근무자명단'!$B92&amp;""</f>
        <v/>
      </c>
      <c r="R94">
        <f>IF($E$2="","",TRIM(INDEX('입력_구리근무자명단'!$A92:$ZZ92,1,$E$2+IF($G$2="확정",1,0))&amp;""))</f>
        <v/>
      </c>
      <c r="S94">
        <f>IF($R94="","",IF(INDEX('입력_구리근무자명단'!$A92:$ZZ92,1,$E$2+2)&amp;""="",급여기준월,IF(ISNUMBER(INDEX('입력_구리근무자명단'!$A92:$ZZ92,1,$E$2+2)),INDEX('입력_구리근무자명단'!$A92:$ZZ92,1,$E$2+2),IFERROR(DATE(VALUE(LEFT(INDEX('입력_구리근무자명단'!$A92:$ZZ92,1,$E$2+2),4)),VALUE(MID(INDEX('입력_구리근무자명단'!$A92:$ZZ92,1,$E$2+2),6,2)),VALUE(MID(INDEX('입력_구리근무자명단'!$A92:$ZZ92,1,$E$2+2),9,2))),-1))))</f>
        <v/>
      </c>
      <c r="T94">
        <f>IF($R94="","",IF(INDEX('입력_구리근무자명단'!$A92:$ZZ92,1,$E$2+3)&amp;""="",EOMONTH(급여기준월,0),IF(ISNUMBER(INDEX('입력_구리근무자명단'!$A92:$ZZ92,1,$E$2+3)),INDEX('입력_구리근무자명단'!$A92:$ZZ92,1,$E$2+3),IFERROR(DATE(VALUE(LEFT(INDEX('입력_구리근무자명단'!$A92:$ZZ92,1,$E$2+3),4)),VALUE(MID(INDEX('입력_구리근무자명단'!$A92:$ZZ92,1,$E$2+3),6,2)),VALUE(MID(INDEX('입력_구리근무자명단'!$A92:$ZZ92,1,$E$2+3),9,2))),-1))))</f>
        <v/>
      </c>
      <c r="U94">
        <f>IF($R94="","",IF(OR($S94&lt;0,$T94&lt;0),0,MAX(0,MIN($T94,EOMONTH(급여기준월,0))-MAX($S94,급여기준월)+1)))</f>
        <v/>
      </c>
      <c r="V94">
        <f>IF($R94="","",TRIM(INDEX('입력_구리근무자명단'!$A92:$ZZ92,1,$E$2+5)&amp;""))</f>
        <v/>
      </c>
      <c r="W94">
        <f>IF(ISNUMBER(SEARCH("구리독자",$V94)),"구리독자","")</f>
        <v/>
      </c>
      <c r="X94">
        <f>IF($R94="","",$R94&amp;"|"&amp;IF(OR($Q94="인턴",ISNUMBER(SEARCH("수련교육부",$P94))),"인턴",$P94))</f>
        <v/>
      </c>
      <c r="Y94">
        <f>IF($R94="","",IF(COUNTIF(명단표[이름|과],$X94)=1,"명단 일치",IF(AND(COUNTIF(명단표[이름|과],$X94)=0,COUNTIF(명단표[이름],$R94)=1),"명단 일치(이름만, 과 다름)",IF(COUNTIF(명단표[이름],$R94)=0,IF(COUNTIF(기본자료표[이름],$R94)&gt;0,"명단에 없음(기본자료에는 있음)","명단에 없음"),"동명이인 확인"))))</f>
        <v/>
      </c>
      <c r="Z94">
        <f>IF($R94="","",IF($S94&lt;0,"⚠"&amp;INDEX('입력_구리근무자명단'!$A92:$ZZ92,1,$E$2+2),TEXT($S94,"yyyy-mm-dd")))</f>
        <v/>
      </c>
      <c r="AA94">
        <f>IF($R94="","",IF($T94&lt;0,"⚠"&amp;INDEX('입력_구리근무자명단'!$A92:$ZZ92,1,$E$2+3),TEXT($T94,"yyyy-mm-dd")))</f>
        <v/>
      </c>
      <c r="AB94">
        <f>AB93+IF($R94="",0,1)</f>
        <v/>
      </c>
      <c r="AC94">
        <f>IF($R94="","",$AB94)</f>
        <v/>
      </c>
    </row>
    <row r="95">
      <c r="A95">
        <f>IFERROR(INDEX($O$6:$O$1505,MATCH(90,$AC$6:$AC$1505,0)),"")</f>
        <v/>
      </c>
      <c r="B95">
        <f>IF(ISNUMBER($A95),INDEX($P$6:$P$1505,$A95-3),"")</f>
        <v/>
      </c>
      <c r="C95">
        <f>IF(ISNUMBER($A95),INDEX($Q$6:$Q$1505,$A95-3),"")</f>
        <v/>
      </c>
      <c r="D95">
        <f>IF(ISNUMBER($A95),INDEX($R$6:$R$1505,$A95-3),"")</f>
        <v/>
      </c>
      <c r="E95">
        <f>IF(ISNUMBER($A95),$G$2,"")</f>
        <v/>
      </c>
      <c r="F95">
        <f>IF(ISNUMBER($A95),INDEX($Z$6:$Z$1505,$A95-3),"")</f>
        <v/>
      </c>
      <c r="G95">
        <f>IF(ISNUMBER($A95),INDEX($AA$6:$AA$1505,$A95-3),"")</f>
        <v/>
      </c>
      <c r="H95">
        <f>IF(ISNUMBER($A95),INDEX($U$6:$U$1505,$A95-3),"")</f>
        <v/>
      </c>
      <c r="I95">
        <f>IF(ISNUMBER($A95),INDEX($V$6:$V$1505,$A95-3),"")</f>
        <v/>
      </c>
      <c r="J95">
        <f>IF(ISNUMBER($A95),INDEX($W$6:$W$1505,$A95-3),"")</f>
        <v/>
      </c>
      <c r="K95">
        <f>IF(ISNUMBER($A95),INDEX($X$6:$X$1505,$A95-3),"")</f>
        <v/>
      </c>
      <c r="L95">
        <f>IF(ISNUMBER($A95),INDEX($Y$6:$Y$1505,$A95-3),"")</f>
        <v/>
      </c>
      <c r="O95">
        <f>93</f>
        <v/>
      </c>
      <c r="P95">
        <f>IF(TRIM('입력_구리근무자명단'!$A93&amp;"")&lt;&gt;"",TRIM('입력_구리근무자명단'!$A93&amp;""),P94)</f>
        <v/>
      </c>
      <c r="Q95">
        <f>'입력_구리근무자명단'!$B93&amp;""</f>
        <v/>
      </c>
      <c r="R95">
        <f>IF($E$2="","",TRIM(INDEX('입력_구리근무자명단'!$A93:$ZZ93,1,$E$2+IF($G$2="확정",1,0))&amp;""))</f>
        <v/>
      </c>
      <c r="S95">
        <f>IF($R95="","",IF(INDEX('입력_구리근무자명단'!$A93:$ZZ93,1,$E$2+2)&amp;""="",급여기준월,IF(ISNUMBER(INDEX('입력_구리근무자명단'!$A93:$ZZ93,1,$E$2+2)),INDEX('입력_구리근무자명단'!$A93:$ZZ93,1,$E$2+2),IFERROR(DATE(VALUE(LEFT(INDEX('입력_구리근무자명단'!$A93:$ZZ93,1,$E$2+2),4)),VALUE(MID(INDEX('입력_구리근무자명단'!$A93:$ZZ93,1,$E$2+2),6,2)),VALUE(MID(INDEX('입력_구리근무자명단'!$A93:$ZZ93,1,$E$2+2),9,2))),-1))))</f>
        <v/>
      </c>
      <c r="T95">
        <f>IF($R95="","",IF(INDEX('입력_구리근무자명단'!$A93:$ZZ93,1,$E$2+3)&amp;""="",EOMONTH(급여기준월,0),IF(ISNUMBER(INDEX('입력_구리근무자명단'!$A93:$ZZ93,1,$E$2+3)),INDEX('입력_구리근무자명단'!$A93:$ZZ93,1,$E$2+3),IFERROR(DATE(VALUE(LEFT(INDEX('입력_구리근무자명단'!$A93:$ZZ93,1,$E$2+3),4)),VALUE(MID(INDEX('입력_구리근무자명단'!$A93:$ZZ93,1,$E$2+3),6,2)),VALUE(MID(INDEX('입력_구리근무자명단'!$A93:$ZZ93,1,$E$2+3),9,2))),-1))))</f>
        <v/>
      </c>
      <c r="U95">
        <f>IF($R95="","",IF(OR($S95&lt;0,$T95&lt;0),0,MAX(0,MIN($T95,EOMONTH(급여기준월,0))-MAX($S95,급여기준월)+1)))</f>
        <v/>
      </c>
      <c r="V95">
        <f>IF($R95="","",TRIM(INDEX('입력_구리근무자명단'!$A93:$ZZ93,1,$E$2+5)&amp;""))</f>
        <v/>
      </c>
      <c r="W95">
        <f>IF(ISNUMBER(SEARCH("구리독자",$V95)),"구리독자","")</f>
        <v/>
      </c>
      <c r="X95">
        <f>IF($R95="","",$R95&amp;"|"&amp;IF(OR($Q95="인턴",ISNUMBER(SEARCH("수련교육부",$P95))),"인턴",$P95))</f>
        <v/>
      </c>
      <c r="Y95">
        <f>IF($R95="","",IF(COUNTIF(명단표[이름|과],$X95)=1,"명단 일치",IF(AND(COUNTIF(명단표[이름|과],$X95)=0,COUNTIF(명단표[이름],$R95)=1),"명단 일치(이름만, 과 다름)",IF(COUNTIF(명단표[이름],$R95)=0,IF(COUNTIF(기본자료표[이름],$R95)&gt;0,"명단에 없음(기본자료에는 있음)","명단에 없음"),"동명이인 확인"))))</f>
        <v/>
      </c>
      <c r="Z95">
        <f>IF($R95="","",IF($S95&lt;0,"⚠"&amp;INDEX('입력_구리근무자명단'!$A93:$ZZ93,1,$E$2+2),TEXT($S95,"yyyy-mm-dd")))</f>
        <v/>
      </c>
      <c r="AA95">
        <f>IF($R95="","",IF($T95&lt;0,"⚠"&amp;INDEX('입력_구리근무자명단'!$A93:$ZZ93,1,$E$2+3),TEXT($T95,"yyyy-mm-dd")))</f>
        <v/>
      </c>
      <c r="AB95">
        <f>AB94+IF($R95="",0,1)</f>
        <v/>
      </c>
      <c r="AC95">
        <f>IF($R95="","",$AB95)</f>
        <v/>
      </c>
    </row>
    <row r="96">
      <c r="A96">
        <f>IFERROR(INDEX($O$6:$O$1505,MATCH(91,$AC$6:$AC$1505,0)),"")</f>
        <v/>
      </c>
      <c r="B96">
        <f>IF(ISNUMBER($A96),INDEX($P$6:$P$1505,$A96-3),"")</f>
        <v/>
      </c>
      <c r="C96">
        <f>IF(ISNUMBER($A96),INDEX($Q$6:$Q$1505,$A96-3),"")</f>
        <v/>
      </c>
      <c r="D96">
        <f>IF(ISNUMBER($A96),INDEX($R$6:$R$1505,$A96-3),"")</f>
        <v/>
      </c>
      <c r="E96">
        <f>IF(ISNUMBER($A96),$G$2,"")</f>
        <v/>
      </c>
      <c r="F96">
        <f>IF(ISNUMBER($A96),INDEX($Z$6:$Z$1505,$A96-3),"")</f>
        <v/>
      </c>
      <c r="G96">
        <f>IF(ISNUMBER($A96),INDEX($AA$6:$AA$1505,$A96-3),"")</f>
        <v/>
      </c>
      <c r="H96">
        <f>IF(ISNUMBER($A96),INDEX($U$6:$U$1505,$A96-3),"")</f>
        <v/>
      </c>
      <c r="I96">
        <f>IF(ISNUMBER($A96),INDEX($V$6:$V$1505,$A96-3),"")</f>
        <v/>
      </c>
      <c r="J96">
        <f>IF(ISNUMBER($A96),INDEX($W$6:$W$1505,$A96-3),"")</f>
        <v/>
      </c>
      <c r="K96">
        <f>IF(ISNUMBER($A96),INDEX($X$6:$X$1505,$A96-3),"")</f>
        <v/>
      </c>
      <c r="L96">
        <f>IF(ISNUMBER($A96),INDEX($Y$6:$Y$1505,$A96-3),"")</f>
        <v/>
      </c>
      <c r="O96">
        <f>94</f>
        <v/>
      </c>
      <c r="P96">
        <f>IF(TRIM('입력_구리근무자명단'!$A94&amp;"")&lt;&gt;"",TRIM('입력_구리근무자명단'!$A94&amp;""),P95)</f>
        <v/>
      </c>
      <c r="Q96">
        <f>'입력_구리근무자명단'!$B94&amp;""</f>
        <v/>
      </c>
      <c r="R96">
        <f>IF($E$2="","",TRIM(INDEX('입력_구리근무자명단'!$A94:$ZZ94,1,$E$2+IF($G$2="확정",1,0))&amp;""))</f>
        <v/>
      </c>
      <c r="S96">
        <f>IF($R96="","",IF(INDEX('입력_구리근무자명단'!$A94:$ZZ94,1,$E$2+2)&amp;""="",급여기준월,IF(ISNUMBER(INDEX('입력_구리근무자명단'!$A94:$ZZ94,1,$E$2+2)),INDEX('입력_구리근무자명단'!$A94:$ZZ94,1,$E$2+2),IFERROR(DATE(VALUE(LEFT(INDEX('입력_구리근무자명단'!$A94:$ZZ94,1,$E$2+2),4)),VALUE(MID(INDEX('입력_구리근무자명단'!$A94:$ZZ94,1,$E$2+2),6,2)),VALUE(MID(INDEX('입력_구리근무자명단'!$A94:$ZZ94,1,$E$2+2),9,2))),-1))))</f>
        <v/>
      </c>
      <c r="T96">
        <f>IF($R96="","",IF(INDEX('입력_구리근무자명단'!$A94:$ZZ94,1,$E$2+3)&amp;""="",EOMONTH(급여기준월,0),IF(ISNUMBER(INDEX('입력_구리근무자명단'!$A94:$ZZ94,1,$E$2+3)),INDEX('입력_구리근무자명단'!$A94:$ZZ94,1,$E$2+3),IFERROR(DATE(VALUE(LEFT(INDEX('입력_구리근무자명단'!$A94:$ZZ94,1,$E$2+3),4)),VALUE(MID(INDEX('입력_구리근무자명단'!$A94:$ZZ94,1,$E$2+3),6,2)),VALUE(MID(INDEX('입력_구리근무자명단'!$A94:$ZZ94,1,$E$2+3),9,2))),-1))))</f>
        <v/>
      </c>
      <c r="U96">
        <f>IF($R96="","",IF(OR($S96&lt;0,$T96&lt;0),0,MAX(0,MIN($T96,EOMONTH(급여기준월,0))-MAX($S96,급여기준월)+1)))</f>
        <v/>
      </c>
      <c r="V96">
        <f>IF($R96="","",TRIM(INDEX('입력_구리근무자명단'!$A94:$ZZ94,1,$E$2+5)&amp;""))</f>
        <v/>
      </c>
      <c r="W96">
        <f>IF(ISNUMBER(SEARCH("구리독자",$V96)),"구리독자","")</f>
        <v/>
      </c>
      <c r="X96">
        <f>IF($R96="","",$R96&amp;"|"&amp;IF(OR($Q96="인턴",ISNUMBER(SEARCH("수련교육부",$P96))),"인턴",$P96))</f>
        <v/>
      </c>
      <c r="Y96">
        <f>IF($R96="","",IF(COUNTIF(명단표[이름|과],$X96)=1,"명단 일치",IF(AND(COUNTIF(명단표[이름|과],$X96)=0,COUNTIF(명단표[이름],$R96)=1),"명단 일치(이름만, 과 다름)",IF(COUNTIF(명단표[이름],$R96)=0,IF(COUNTIF(기본자료표[이름],$R96)&gt;0,"명단에 없음(기본자료에는 있음)","명단에 없음"),"동명이인 확인"))))</f>
        <v/>
      </c>
      <c r="Z96">
        <f>IF($R96="","",IF($S96&lt;0,"⚠"&amp;INDEX('입력_구리근무자명단'!$A94:$ZZ94,1,$E$2+2),TEXT($S96,"yyyy-mm-dd")))</f>
        <v/>
      </c>
      <c r="AA96">
        <f>IF($R96="","",IF($T96&lt;0,"⚠"&amp;INDEX('입력_구리근무자명단'!$A94:$ZZ94,1,$E$2+3),TEXT($T96,"yyyy-mm-dd")))</f>
        <v/>
      </c>
      <c r="AB96">
        <f>AB95+IF($R96="",0,1)</f>
        <v/>
      </c>
      <c r="AC96">
        <f>IF($R96="","",$AB96)</f>
        <v/>
      </c>
    </row>
    <row r="97">
      <c r="A97">
        <f>IFERROR(INDEX($O$6:$O$1505,MATCH(92,$AC$6:$AC$1505,0)),"")</f>
        <v/>
      </c>
      <c r="B97">
        <f>IF(ISNUMBER($A97),INDEX($P$6:$P$1505,$A97-3),"")</f>
        <v/>
      </c>
      <c r="C97">
        <f>IF(ISNUMBER($A97),INDEX($Q$6:$Q$1505,$A97-3),"")</f>
        <v/>
      </c>
      <c r="D97">
        <f>IF(ISNUMBER($A97),INDEX($R$6:$R$1505,$A97-3),"")</f>
        <v/>
      </c>
      <c r="E97">
        <f>IF(ISNUMBER($A97),$G$2,"")</f>
        <v/>
      </c>
      <c r="F97">
        <f>IF(ISNUMBER($A97),INDEX($Z$6:$Z$1505,$A97-3),"")</f>
        <v/>
      </c>
      <c r="G97">
        <f>IF(ISNUMBER($A97),INDEX($AA$6:$AA$1505,$A97-3),"")</f>
        <v/>
      </c>
      <c r="H97">
        <f>IF(ISNUMBER($A97),INDEX($U$6:$U$1505,$A97-3),"")</f>
        <v/>
      </c>
      <c r="I97">
        <f>IF(ISNUMBER($A97),INDEX($V$6:$V$1505,$A97-3),"")</f>
        <v/>
      </c>
      <c r="J97">
        <f>IF(ISNUMBER($A97),INDEX($W$6:$W$1505,$A97-3),"")</f>
        <v/>
      </c>
      <c r="K97">
        <f>IF(ISNUMBER($A97),INDEX($X$6:$X$1505,$A97-3),"")</f>
        <v/>
      </c>
      <c r="L97">
        <f>IF(ISNUMBER($A97),INDEX($Y$6:$Y$1505,$A97-3),"")</f>
        <v/>
      </c>
      <c r="O97">
        <f>95</f>
        <v/>
      </c>
      <c r="P97">
        <f>IF(TRIM('입력_구리근무자명단'!$A95&amp;"")&lt;&gt;"",TRIM('입력_구리근무자명단'!$A95&amp;""),P96)</f>
        <v/>
      </c>
      <c r="Q97">
        <f>'입력_구리근무자명단'!$B95&amp;""</f>
        <v/>
      </c>
      <c r="R97">
        <f>IF($E$2="","",TRIM(INDEX('입력_구리근무자명단'!$A95:$ZZ95,1,$E$2+IF($G$2="확정",1,0))&amp;""))</f>
        <v/>
      </c>
      <c r="S97">
        <f>IF($R97="","",IF(INDEX('입력_구리근무자명단'!$A95:$ZZ95,1,$E$2+2)&amp;""="",급여기준월,IF(ISNUMBER(INDEX('입력_구리근무자명단'!$A95:$ZZ95,1,$E$2+2)),INDEX('입력_구리근무자명단'!$A95:$ZZ95,1,$E$2+2),IFERROR(DATE(VALUE(LEFT(INDEX('입력_구리근무자명단'!$A95:$ZZ95,1,$E$2+2),4)),VALUE(MID(INDEX('입력_구리근무자명단'!$A95:$ZZ95,1,$E$2+2),6,2)),VALUE(MID(INDEX('입력_구리근무자명단'!$A95:$ZZ95,1,$E$2+2),9,2))),-1))))</f>
        <v/>
      </c>
      <c r="T97">
        <f>IF($R97="","",IF(INDEX('입력_구리근무자명단'!$A95:$ZZ95,1,$E$2+3)&amp;""="",EOMONTH(급여기준월,0),IF(ISNUMBER(INDEX('입력_구리근무자명단'!$A95:$ZZ95,1,$E$2+3)),INDEX('입력_구리근무자명단'!$A95:$ZZ95,1,$E$2+3),IFERROR(DATE(VALUE(LEFT(INDEX('입력_구리근무자명단'!$A95:$ZZ95,1,$E$2+3),4)),VALUE(MID(INDEX('입력_구리근무자명단'!$A95:$ZZ95,1,$E$2+3),6,2)),VALUE(MID(INDEX('입력_구리근무자명단'!$A95:$ZZ95,1,$E$2+3),9,2))),-1))))</f>
        <v/>
      </c>
      <c r="U97">
        <f>IF($R97="","",IF(OR($S97&lt;0,$T97&lt;0),0,MAX(0,MIN($T97,EOMONTH(급여기준월,0))-MAX($S97,급여기준월)+1)))</f>
        <v/>
      </c>
      <c r="V97">
        <f>IF($R97="","",TRIM(INDEX('입력_구리근무자명단'!$A95:$ZZ95,1,$E$2+5)&amp;""))</f>
        <v/>
      </c>
      <c r="W97">
        <f>IF(ISNUMBER(SEARCH("구리독자",$V97)),"구리독자","")</f>
        <v/>
      </c>
      <c r="X97">
        <f>IF($R97="","",$R97&amp;"|"&amp;IF(OR($Q97="인턴",ISNUMBER(SEARCH("수련교육부",$P97))),"인턴",$P97))</f>
        <v/>
      </c>
      <c r="Y97">
        <f>IF($R97="","",IF(COUNTIF(명단표[이름|과],$X97)=1,"명단 일치",IF(AND(COUNTIF(명단표[이름|과],$X97)=0,COUNTIF(명단표[이름],$R97)=1),"명단 일치(이름만, 과 다름)",IF(COUNTIF(명단표[이름],$R97)=0,IF(COUNTIF(기본자료표[이름],$R97)&gt;0,"명단에 없음(기본자료에는 있음)","명단에 없음"),"동명이인 확인"))))</f>
        <v/>
      </c>
      <c r="Z97">
        <f>IF($R97="","",IF($S97&lt;0,"⚠"&amp;INDEX('입력_구리근무자명단'!$A95:$ZZ95,1,$E$2+2),TEXT($S97,"yyyy-mm-dd")))</f>
        <v/>
      </c>
      <c r="AA97">
        <f>IF($R97="","",IF($T97&lt;0,"⚠"&amp;INDEX('입력_구리근무자명단'!$A95:$ZZ95,1,$E$2+3),TEXT($T97,"yyyy-mm-dd")))</f>
        <v/>
      </c>
      <c r="AB97">
        <f>AB96+IF($R97="",0,1)</f>
        <v/>
      </c>
      <c r="AC97">
        <f>IF($R97="","",$AB97)</f>
        <v/>
      </c>
    </row>
    <row r="98">
      <c r="A98">
        <f>IFERROR(INDEX($O$6:$O$1505,MATCH(93,$AC$6:$AC$1505,0)),"")</f>
        <v/>
      </c>
      <c r="B98">
        <f>IF(ISNUMBER($A98),INDEX($P$6:$P$1505,$A98-3),"")</f>
        <v/>
      </c>
      <c r="C98">
        <f>IF(ISNUMBER($A98),INDEX($Q$6:$Q$1505,$A98-3),"")</f>
        <v/>
      </c>
      <c r="D98">
        <f>IF(ISNUMBER($A98),INDEX($R$6:$R$1505,$A98-3),"")</f>
        <v/>
      </c>
      <c r="E98">
        <f>IF(ISNUMBER($A98),$G$2,"")</f>
        <v/>
      </c>
      <c r="F98">
        <f>IF(ISNUMBER($A98),INDEX($Z$6:$Z$1505,$A98-3),"")</f>
        <v/>
      </c>
      <c r="G98">
        <f>IF(ISNUMBER($A98),INDEX($AA$6:$AA$1505,$A98-3),"")</f>
        <v/>
      </c>
      <c r="H98">
        <f>IF(ISNUMBER($A98),INDEX($U$6:$U$1505,$A98-3),"")</f>
        <v/>
      </c>
      <c r="I98">
        <f>IF(ISNUMBER($A98),INDEX($V$6:$V$1505,$A98-3),"")</f>
        <v/>
      </c>
      <c r="J98">
        <f>IF(ISNUMBER($A98),INDEX($W$6:$W$1505,$A98-3),"")</f>
        <v/>
      </c>
      <c r="K98">
        <f>IF(ISNUMBER($A98),INDEX($X$6:$X$1505,$A98-3),"")</f>
        <v/>
      </c>
      <c r="L98">
        <f>IF(ISNUMBER($A98),INDEX($Y$6:$Y$1505,$A98-3),"")</f>
        <v/>
      </c>
      <c r="O98">
        <f>96</f>
        <v/>
      </c>
      <c r="P98">
        <f>IF(TRIM('입력_구리근무자명단'!$A96&amp;"")&lt;&gt;"",TRIM('입력_구리근무자명단'!$A96&amp;""),P97)</f>
        <v/>
      </c>
      <c r="Q98">
        <f>'입력_구리근무자명단'!$B96&amp;""</f>
        <v/>
      </c>
      <c r="R98">
        <f>IF($E$2="","",TRIM(INDEX('입력_구리근무자명단'!$A96:$ZZ96,1,$E$2+IF($G$2="확정",1,0))&amp;""))</f>
        <v/>
      </c>
      <c r="S98">
        <f>IF($R98="","",IF(INDEX('입력_구리근무자명단'!$A96:$ZZ96,1,$E$2+2)&amp;""="",급여기준월,IF(ISNUMBER(INDEX('입력_구리근무자명단'!$A96:$ZZ96,1,$E$2+2)),INDEX('입력_구리근무자명단'!$A96:$ZZ96,1,$E$2+2),IFERROR(DATE(VALUE(LEFT(INDEX('입력_구리근무자명단'!$A96:$ZZ96,1,$E$2+2),4)),VALUE(MID(INDEX('입력_구리근무자명단'!$A96:$ZZ96,1,$E$2+2),6,2)),VALUE(MID(INDEX('입력_구리근무자명단'!$A96:$ZZ96,1,$E$2+2),9,2))),-1))))</f>
        <v/>
      </c>
      <c r="T98">
        <f>IF($R98="","",IF(INDEX('입력_구리근무자명단'!$A96:$ZZ96,1,$E$2+3)&amp;""="",EOMONTH(급여기준월,0),IF(ISNUMBER(INDEX('입력_구리근무자명단'!$A96:$ZZ96,1,$E$2+3)),INDEX('입력_구리근무자명단'!$A96:$ZZ96,1,$E$2+3),IFERROR(DATE(VALUE(LEFT(INDEX('입력_구리근무자명단'!$A96:$ZZ96,1,$E$2+3),4)),VALUE(MID(INDEX('입력_구리근무자명단'!$A96:$ZZ96,1,$E$2+3),6,2)),VALUE(MID(INDEX('입력_구리근무자명단'!$A96:$ZZ96,1,$E$2+3),9,2))),-1))))</f>
        <v/>
      </c>
      <c r="U98">
        <f>IF($R98="","",IF(OR($S98&lt;0,$T98&lt;0),0,MAX(0,MIN($T98,EOMONTH(급여기준월,0))-MAX($S98,급여기준월)+1)))</f>
        <v/>
      </c>
      <c r="V98">
        <f>IF($R98="","",TRIM(INDEX('입력_구리근무자명단'!$A96:$ZZ96,1,$E$2+5)&amp;""))</f>
        <v/>
      </c>
      <c r="W98">
        <f>IF(ISNUMBER(SEARCH("구리독자",$V98)),"구리독자","")</f>
        <v/>
      </c>
      <c r="X98">
        <f>IF($R98="","",$R98&amp;"|"&amp;IF(OR($Q98="인턴",ISNUMBER(SEARCH("수련교육부",$P98))),"인턴",$P98))</f>
        <v/>
      </c>
      <c r="Y98">
        <f>IF($R98="","",IF(COUNTIF(명단표[이름|과],$X98)=1,"명단 일치",IF(AND(COUNTIF(명단표[이름|과],$X98)=0,COUNTIF(명단표[이름],$R98)=1),"명단 일치(이름만, 과 다름)",IF(COUNTIF(명단표[이름],$R98)=0,IF(COUNTIF(기본자료표[이름],$R98)&gt;0,"명단에 없음(기본자료에는 있음)","명단에 없음"),"동명이인 확인"))))</f>
        <v/>
      </c>
      <c r="Z98">
        <f>IF($R98="","",IF($S98&lt;0,"⚠"&amp;INDEX('입력_구리근무자명단'!$A96:$ZZ96,1,$E$2+2),TEXT($S98,"yyyy-mm-dd")))</f>
        <v/>
      </c>
      <c r="AA98">
        <f>IF($R98="","",IF($T98&lt;0,"⚠"&amp;INDEX('입력_구리근무자명단'!$A96:$ZZ96,1,$E$2+3),TEXT($T98,"yyyy-mm-dd")))</f>
        <v/>
      </c>
      <c r="AB98">
        <f>AB97+IF($R98="",0,1)</f>
        <v/>
      </c>
      <c r="AC98">
        <f>IF($R98="","",$AB98)</f>
        <v/>
      </c>
    </row>
    <row r="99">
      <c r="A99">
        <f>IFERROR(INDEX($O$6:$O$1505,MATCH(94,$AC$6:$AC$1505,0)),"")</f>
        <v/>
      </c>
      <c r="B99">
        <f>IF(ISNUMBER($A99),INDEX($P$6:$P$1505,$A99-3),"")</f>
        <v/>
      </c>
      <c r="C99">
        <f>IF(ISNUMBER($A99),INDEX($Q$6:$Q$1505,$A99-3),"")</f>
        <v/>
      </c>
      <c r="D99">
        <f>IF(ISNUMBER($A99),INDEX($R$6:$R$1505,$A99-3),"")</f>
        <v/>
      </c>
      <c r="E99">
        <f>IF(ISNUMBER($A99),$G$2,"")</f>
        <v/>
      </c>
      <c r="F99">
        <f>IF(ISNUMBER($A99),INDEX($Z$6:$Z$1505,$A99-3),"")</f>
        <v/>
      </c>
      <c r="G99">
        <f>IF(ISNUMBER($A99),INDEX($AA$6:$AA$1505,$A99-3),"")</f>
        <v/>
      </c>
      <c r="H99">
        <f>IF(ISNUMBER($A99),INDEX($U$6:$U$1505,$A99-3),"")</f>
        <v/>
      </c>
      <c r="I99">
        <f>IF(ISNUMBER($A99),INDEX($V$6:$V$1505,$A99-3),"")</f>
        <v/>
      </c>
      <c r="J99">
        <f>IF(ISNUMBER($A99),INDEX($W$6:$W$1505,$A99-3),"")</f>
        <v/>
      </c>
      <c r="K99">
        <f>IF(ISNUMBER($A99),INDEX($X$6:$X$1505,$A99-3),"")</f>
        <v/>
      </c>
      <c r="L99">
        <f>IF(ISNUMBER($A99),INDEX($Y$6:$Y$1505,$A99-3),"")</f>
        <v/>
      </c>
      <c r="O99">
        <f>97</f>
        <v/>
      </c>
      <c r="P99">
        <f>IF(TRIM('입력_구리근무자명단'!$A97&amp;"")&lt;&gt;"",TRIM('입력_구리근무자명단'!$A97&amp;""),P98)</f>
        <v/>
      </c>
      <c r="Q99">
        <f>'입력_구리근무자명단'!$B97&amp;""</f>
        <v/>
      </c>
      <c r="R99">
        <f>IF($E$2="","",TRIM(INDEX('입력_구리근무자명단'!$A97:$ZZ97,1,$E$2+IF($G$2="확정",1,0))&amp;""))</f>
        <v/>
      </c>
      <c r="S99">
        <f>IF($R99="","",IF(INDEX('입력_구리근무자명단'!$A97:$ZZ97,1,$E$2+2)&amp;""="",급여기준월,IF(ISNUMBER(INDEX('입력_구리근무자명단'!$A97:$ZZ97,1,$E$2+2)),INDEX('입력_구리근무자명단'!$A97:$ZZ97,1,$E$2+2),IFERROR(DATE(VALUE(LEFT(INDEX('입력_구리근무자명단'!$A97:$ZZ97,1,$E$2+2),4)),VALUE(MID(INDEX('입력_구리근무자명단'!$A97:$ZZ97,1,$E$2+2),6,2)),VALUE(MID(INDEX('입력_구리근무자명단'!$A97:$ZZ97,1,$E$2+2),9,2))),-1))))</f>
        <v/>
      </c>
      <c r="T99">
        <f>IF($R99="","",IF(INDEX('입력_구리근무자명단'!$A97:$ZZ97,1,$E$2+3)&amp;""="",EOMONTH(급여기준월,0),IF(ISNUMBER(INDEX('입력_구리근무자명단'!$A97:$ZZ97,1,$E$2+3)),INDEX('입력_구리근무자명단'!$A97:$ZZ97,1,$E$2+3),IFERROR(DATE(VALUE(LEFT(INDEX('입력_구리근무자명단'!$A97:$ZZ97,1,$E$2+3),4)),VALUE(MID(INDEX('입력_구리근무자명단'!$A97:$ZZ97,1,$E$2+3),6,2)),VALUE(MID(INDEX('입력_구리근무자명단'!$A97:$ZZ97,1,$E$2+3),9,2))),-1))))</f>
        <v/>
      </c>
      <c r="U99">
        <f>IF($R99="","",IF(OR($S99&lt;0,$T99&lt;0),0,MAX(0,MIN($T99,EOMONTH(급여기준월,0))-MAX($S99,급여기준월)+1)))</f>
        <v/>
      </c>
      <c r="V99">
        <f>IF($R99="","",TRIM(INDEX('입력_구리근무자명단'!$A97:$ZZ97,1,$E$2+5)&amp;""))</f>
        <v/>
      </c>
      <c r="W99">
        <f>IF(ISNUMBER(SEARCH("구리독자",$V99)),"구리독자","")</f>
        <v/>
      </c>
      <c r="X99">
        <f>IF($R99="","",$R99&amp;"|"&amp;IF(OR($Q99="인턴",ISNUMBER(SEARCH("수련교육부",$P99))),"인턴",$P99))</f>
        <v/>
      </c>
      <c r="Y99">
        <f>IF($R99="","",IF(COUNTIF(명단표[이름|과],$X99)=1,"명단 일치",IF(AND(COUNTIF(명단표[이름|과],$X99)=0,COUNTIF(명단표[이름],$R99)=1),"명단 일치(이름만, 과 다름)",IF(COUNTIF(명단표[이름],$R99)=0,IF(COUNTIF(기본자료표[이름],$R99)&gt;0,"명단에 없음(기본자료에는 있음)","명단에 없음"),"동명이인 확인"))))</f>
        <v/>
      </c>
      <c r="Z99">
        <f>IF($R99="","",IF($S99&lt;0,"⚠"&amp;INDEX('입력_구리근무자명단'!$A97:$ZZ97,1,$E$2+2),TEXT($S99,"yyyy-mm-dd")))</f>
        <v/>
      </c>
      <c r="AA99">
        <f>IF($R99="","",IF($T99&lt;0,"⚠"&amp;INDEX('입력_구리근무자명단'!$A97:$ZZ97,1,$E$2+3),TEXT($T99,"yyyy-mm-dd")))</f>
        <v/>
      </c>
      <c r="AB99">
        <f>AB98+IF($R99="",0,1)</f>
        <v/>
      </c>
      <c r="AC99">
        <f>IF($R99="","",$AB99)</f>
        <v/>
      </c>
    </row>
    <row r="100">
      <c r="A100">
        <f>IFERROR(INDEX($O$6:$O$1505,MATCH(95,$AC$6:$AC$1505,0)),"")</f>
        <v/>
      </c>
      <c r="B100">
        <f>IF(ISNUMBER($A100),INDEX($P$6:$P$1505,$A100-3),"")</f>
        <v/>
      </c>
      <c r="C100">
        <f>IF(ISNUMBER($A100),INDEX($Q$6:$Q$1505,$A100-3),"")</f>
        <v/>
      </c>
      <c r="D100">
        <f>IF(ISNUMBER($A100),INDEX($R$6:$R$1505,$A100-3),"")</f>
        <v/>
      </c>
      <c r="E100">
        <f>IF(ISNUMBER($A100),$G$2,"")</f>
        <v/>
      </c>
      <c r="F100">
        <f>IF(ISNUMBER($A100),INDEX($Z$6:$Z$1505,$A100-3),"")</f>
        <v/>
      </c>
      <c r="G100">
        <f>IF(ISNUMBER($A100),INDEX($AA$6:$AA$1505,$A100-3),"")</f>
        <v/>
      </c>
      <c r="H100">
        <f>IF(ISNUMBER($A100),INDEX($U$6:$U$1505,$A100-3),"")</f>
        <v/>
      </c>
      <c r="I100">
        <f>IF(ISNUMBER($A100),INDEX($V$6:$V$1505,$A100-3),"")</f>
        <v/>
      </c>
      <c r="J100">
        <f>IF(ISNUMBER($A100),INDEX($W$6:$W$1505,$A100-3),"")</f>
        <v/>
      </c>
      <c r="K100">
        <f>IF(ISNUMBER($A100),INDEX($X$6:$X$1505,$A100-3),"")</f>
        <v/>
      </c>
      <c r="L100">
        <f>IF(ISNUMBER($A100),INDEX($Y$6:$Y$1505,$A100-3),"")</f>
        <v/>
      </c>
      <c r="O100">
        <f>98</f>
        <v/>
      </c>
      <c r="P100">
        <f>IF(TRIM('입력_구리근무자명단'!$A98&amp;"")&lt;&gt;"",TRIM('입력_구리근무자명단'!$A98&amp;""),P99)</f>
        <v/>
      </c>
      <c r="Q100">
        <f>'입력_구리근무자명단'!$B98&amp;""</f>
        <v/>
      </c>
      <c r="R100">
        <f>IF($E$2="","",TRIM(INDEX('입력_구리근무자명단'!$A98:$ZZ98,1,$E$2+IF($G$2="확정",1,0))&amp;""))</f>
        <v/>
      </c>
      <c r="S100">
        <f>IF($R100="","",IF(INDEX('입력_구리근무자명단'!$A98:$ZZ98,1,$E$2+2)&amp;""="",급여기준월,IF(ISNUMBER(INDEX('입력_구리근무자명단'!$A98:$ZZ98,1,$E$2+2)),INDEX('입력_구리근무자명단'!$A98:$ZZ98,1,$E$2+2),IFERROR(DATE(VALUE(LEFT(INDEX('입력_구리근무자명단'!$A98:$ZZ98,1,$E$2+2),4)),VALUE(MID(INDEX('입력_구리근무자명단'!$A98:$ZZ98,1,$E$2+2),6,2)),VALUE(MID(INDEX('입력_구리근무자명단'!$A98:$ZZ98,1,$E$2+2),9,2))),-1))))</f>
        <v/>
      </c>
      <c r="T100">
        <f>IF($R100="","",IF(INDEX('입력_구리근무자명단'!$A98:$ZZ98,1,$E$2+3)&amp;""="",EOMONTH(급여기준월,0),IF(ISNUMBER(INDEX('입력_구리근무자명단'!$A98:$ZZ98,1,$E$2+3)),INDEX('입력_구리근무자명단'!$A98:$ZZ98,1,$E$2+3),IFERROR(DATE(VALUE(LEFT(INDEX('입력_구리근무자명단'!$A98:$ZZ98,1,$E$2+3),4)),VALUE(MID(INDEX('입력_구리근무자명단'!$A98:$ZZ98,1,$E$2+3),6,2)),VALUE(MID(INDEX('입력_구리근무자명단'!$A98:$ZZ98,1,$E$2+3),9,2))),-1))))</f>
        <v/>
      </c>
      <c r="U100">
        <f>IF($R100="","",IF(OR($S100&lt;0,$T100&lt;0),0,MAX(0,MIN($T100,EOMONTH(급여기준월,0))-MAX($S100,급여기준월)+1)))</f>
        <v/>
      </c>
      <c r="V100">
        <f>IF($R100="","",TRIM(INDEX('입력_구리근무자명단'!$A98:$ZZ98,1,$E$2+5)&amp;""))</f>
        <v/>
      </c>
      <c r="W100">
        <f>IF(ISNUMBER(SEARCH("구리독자",$V100)),"구리독자","")</f>
        <v/>
      </c>
      <c r="X100">
        <f>IF($R100="","",$R100&amp;"|"&amp;IF(OR($Q100="인턴",ISNUMBER(SEARCH("수련교육부",$P100))),"인턴",$P100))</f>
        <v/>
      </c>
      <c r="Y100">
        <f>IF($R100="","",IF(COUNTIF(명단표[이름|과],$X100)=1,"명단 일치",IF(AND(COUNTIF(명단표[이름|과],$X100)=0,COUNTIF(명단표[이름],$R100)=1),"명단 일치(이름만, 과 다름)",IF(COUNTIF(명단표[이름],$R100)=0,IF(COUNTIF(기본자료표[이름],$R100)&gt;0,"명단에 없음(기본자료에는 있음)","명단에 없음"),"동명이인 확인"))))</f>
        <v/>
      </c>
      <c r="Z100">
        <f>IF($R100="","",IF($S100&lt;0,"⚠"&amp;INDEX('입력_구리근무자명단'!$A98:$ZZ98,1,$E$2+2),TEXT($S100,"yyyy-mm-dd")))</f>
        <v/>
      </c>
      <c r="AA100">
        <f>IF($R100="","",IF($T100&lt;0,"⚠"&amp;INDEX('입력_구리근무자명단'!$A98:$ZZ98,1,$E$2+3),TEXT($T100,"yyyy-mm-dd")))</f>
        <v/>
      </c>
      <c r="AB100">
        <f>AB99+IF($R100="",0,1)</f>
        <v/>
      </c>
      <c r="AC100">
        <f>IF($R100="","",$AB100)</f>
        <v/>
      </c>
    </row>
    <row r="101">
      <c r="A101">
        <f>IFERROR(INDEX($O$6:$O$1505,MATCH(96,$AC$6:$AC$1505,0)),"")</f>
        <v/>
      </c>
      <c r="B101">
        <f>IF(ISNUMBER($A101),INDEX($P$6:$P$1505,$A101-3),"")</f>
        <v/>
      </c>
      <c r="C101">
        <f>IF(ISNUMBER($A101),INDEX($Q$6:$Q$1505,$A101-3),"")</f>
        <v/>
      </c>
      <c r="D101">
        <f>IF(ISNUMBER($A101),INDEX($R$6:$R$1505,$A101-3),"")</f>
        <v/>
      </c>
      <c r="E101">
        <f>IF(ISNUMBER($A101),$G$2,"")</f>
        <v/>
      </c>
      <c r="F101">
        <f>IF(ISNUMBER($A101),INDEX($Z$6:$Z$1505,$A101-3),"")</f>
        <v/>
      </c>
      <c r="G101">
        <f>IF(ISNUMBER($A101),INDEX($AA$6:$AA$1505,$A101-3),"")</f>
        <v/>
      </c>
      <c r="H101">
        <f>IF(ISNUMBER($A101),INDEX($U$6:$U$1505,$A101-3),"")</f>
        <v/>
      </c>
      <c r="I101">
        <f>IF(ISNUMBER($A101),INDEX($V$6:$V$1505,$A101-3),"")</f>
        <v/>
      </c>
      <c r="J101">
        <f>IF(ISNUMBER($A101),INDEX($W$6:$W$1505,$A101-3),"")</f>
        <v/>
      </c>
      <c r="K101">
        <f>IF(ISNUMBER($A101),INDEX($X$6:$X$1505,$A101-3),"")</f>
        <v/>
      </c>
      <c r="L101">
        <f>IF(ISNUMBER($A101),INDEX($Y$6:$Y$1505,$A101-3),"")</f>
        <v/>
      </c>
      <c r="O101">
        <f>99</f>
        <v/>
      </c>
      <c r="P101">
        <f>IF(TRIM('입력_구리근무자명단'!$A99&amp;"")&lt;&gt;"",TRIM('입력_구리근무자명단'!$A99&amp;""),P100)</f>
        <v/>
      </c>
      <c r="Q101">
        <f>'입력_구리근무자명단'!$B99&amp;""</f>
        <v/>
      </c>
      <c r="R101">
        <f>IF($E$2="","",TRIM(INDEX('입력_구리근무자명단'!$A99:$ZZ99,1,$E$2+IF($G$2="확정",1,0))&amp;""))</f>
        <v/>
      </c>
      <c r="S101">
        <f>IF($R101="","",IF(INDEX('입력_구리근무자명단'!$A99:$ZZ99,1,$E$2+2)&amp;""="",급여기준월,IF(ISNUMBER(INDEX('입력_구리근무자명단'!$A99:$ZZ99,1,$E$2+2)),INDEX('입력_구리근무자명단'!$A99:$ZZ99,1,$E$2+2),IFERROR(DATE(VALUE(LEFT(INDEX('입력_구리근무자명단'!$A99:$ZZ99,1,$E$2+2),4)),VALUE(MID(INDEX('입력_구리근무자명단'!$A99:$ZZ99,1,$E$2+2),6,2)),VALUE(MID(INDEX('입력_구리근무자명단'!$A99:$ZZ99,1,$E$2+2),9,2))),-1))))</f>
        <v/>
      </c>
      <c r="T101">
        <f>IF($R101="","",IF(INDEX('입력_구리근무자명단'!$A99:$ZZ99,1,$E$2+3)&amp;""="",EOMONTH(급여기준월,0),IF(ISNUMBER(INDEX('입력_구리근무자명단'!$A99:$ZZ99,1,$E$2+3)),INDEX('입력_구리근무자명단'!$A99:$ZZ99,1,$E$2+3),IFERROR(DATE(VALUE(LEFT(INDEX('입력_구리근무자명단'!$A99:$ZZ99,1,$E$2+3),4)),VALUE(MID(INDEX('입력_구리근무자명단'!$A99:$ZZ99,1,$E$2+3),6,2)),VALUE(MID(INDEX('입력_구리근무자명단'!$A99:$ZZ99,1,$E$2+3),9,2))),-1))))</f>
        <v/>
      </c>
      <c r="U101">
        <f>IF($R101="","",IF(OR($S101&lt;0,$T101&lt;0),0,MAX(0,MIN($T101,EOMONTH(급여기준월,0))-MAX($S101,급여기준월)+1)))</f>
        <v/>
      </c>
      <c r="V101">
        <f>IF($R101="","",TRIM(INDEX('입력_구리근무자명단'!$A99:$ZZ99,1,$E$2+5)&amp;""))</f>
        <v/>
      </c>
      <c r="W101">
        <f>IF(ISNUMBER(SEARCH("구리독자",$V101)),"구리독자","")</f>
        <v/>
      </c>
      <c r="X101">
        <f>IF($R101="","",$R101&amp;"|"&amp;IF(OR($Q101="인턴",ISNUMBER(SEARCH("수련교육부",$P101))),"인턴",$P101))</f>
        <v/>
      </c>
      <c r="Y101">
        <f>IF($R101="","",IF(COUNTIF(명단표[이름|과],$X101)=1,"명단 일치",IF(AND(COUNTIF(명단표[이름|과],$X101)=0,COUNTIF(명단표[이름],$R101)=1),"명단 일치(이름만, 과 다름)",IF(COUNTIF(명단표[이름],$R101)=0,IF(COUNTIF(기본자료표[이름],$R101)&gt;0,"명단에 없음(기본자료에는 있음)","명단에 없음"),"동명이인 확인"))))</f>
        <v/>
      </c>
      <c r="Z101">
        <f>IF($R101="","",IF($S101&lt;0,"⚠"&amp;INDEX('입력_구리근무자명단'!$A99:$ZZ99,1,$E$2+2),TEXT($S101,"yyyy-mm-dd")))</f>
        <v/>
      </c>
      <c r="AA101">
        <f>IF($R101="","",IF($T101&lt;0,"⚠"&amp;INDEX('입력_구리근무자명단'!$A99:$ZZ99,1,$E$2+3),TEXT($T101,"yyyy-mm-dd")))</f>
        <v/>
      </c>
      <c r="AB101">
        <f>AB100+IF($R101="",0,1)</f>
        <v/>
      </c>
      <c r="AC101">
        <f>IF($R101="","",$AB101)</f>
        <v/>
      </c>
    </row>
    <row r="102">
      <c r="A102">
        <f>IFERROR(INDEX($O$6:$O$1505,MATCH(97,$AC$6:$AC$1505,0)),"")</f>
        <v/>
      </c>
      <c r="B102">
        <f>IF(ISNUMBER($A102),INDEX($P$6:$P$1505,$A102-3),"")</f>
        <v/>
      </c>
      <c r="C102">
        <f>IF(ISNUMBER($A102),INDEX($Q$6:$Q$1505,$A102-3),"")</f>
        <v/>
      </c>
      <c r="D102">
        <f>IF(ISNUMBER($A102),INDEX($R$6:$R$1505,$A102-3),"")</f>
        <v/>
      </c>
      <c r="E102">
        <f>IF(ISNUMBER($A102),$G$2,"")</f>
        <v/>
      </c>
      <c r="F102">
        <f>IF(ISNUMBER($A102),INDEX($Z$6:$Z$1505,$A102-3),"")</f>
        <v/>
      </c>
      <c r="G102">
        <f>IF(ISNUMBER($A102),INDEX($AA$6:$AA$1505,$A102-3),"")</f>
        <v/>
      </c>
      <c r="H102">
        <f>IF(ISNUMBER($A102),INDEX($U$6:$U$1505,$A102-3),"")</f>
        <v/>
      </c>
      <c r="I102">
        <f>IF(ISNUMBER($A102),INDEX($V$6:$V$1505,$A102-3),"")</f>
        <v/>
      </c>
      <c r="J102">
        <f>IF(ISNUMBER($A102),INDEX($W$6:$W$1505,$A102-3),"")</f>
        <v/>
      </c>
      <c r="K102">
        <f>IF(ISNUMBER($A102),INDEX($X$6:$X$1505,$A102-3),"")</f>
        <v/>
      </c>
      <c r="L102">
        <f>IF(ISNUMBER($A102),INDEX($Y$6:$Y$1505,$A102-3),"")</f>
        <v/>
      </c>
      <c r="O102">
        <f>100</f>
        <v/>
      </c>
      <c r="P102">
        <f>IF(TRIM('입력_구리근무자명단'!$A100&amp;"")&lt;&gt;"",TRIM('입력_구리근무자명단'!$A100&amp;""),P101)</f>
        <v/>
      </c>
      <c r="Q102">
        <f>'입력_구리근무자명단'!$B100&amp;""</f>
        <v/>
      </c>
      <c r="R102">
        <f>IF($E$2="","",TRIM(INDEX('입력_구리근무자명단'!$A100:$ZZ100,1,$E$2+IF($G$2="확정",1,0))&amp;""))</f>
        <v/>
      </c>
      <c r="S102">
        <f>IF($R102="","",IF(INDEX('입력_구리근무자명단'!$A100:$ZZ100,1,$E$2+2)&amp;""="",급여기준월,IF(ISNUMBER(INDEX('입력_구리근무자명단'!$A100:$ZZ100,1,$E$2+2)),INDEX('입력_구리근무자명단'!$A100:$ZZ100,1,$E$2+2),IFERROR(DATE(VALUE(LEFT(INDEX('입력_구리근무자명단'!$A100:$ZZ100,1,$E$2+2),4)),VALUE(MID(INDEX('입력_구리근무자명단'!$A100:$ZZ100,1,$E$2+2),6,2)),VALUE(MID(INDEX('입력_구리근무자명단'!$A100:$ZZ100,1,$E$2+2),9,2))),-1))))</f>
        <v/>
      </c>
      <c r="T102">
        <f>IF($R102="","",IF(INDEX('입력_구리근무자명단'!$A100:$ZZ100,1,$E$2+3)&amp;""="",EOMONTH(급여기준월,0),IF(ISNUMBER(INDEX('입력_구리근무자명단'!$A100:$ZZ100,1,$E$2+3)),INDEX('입력_구리근무자명단'!$A100:$ZZ100,1,$E$2+3),IFERROR(DATE(VALUE(LEFT(INDEX('입력_구리근무자명단'!$A100:$ZZ100,1,$E$2+3),4)),VALUE(MID(INDEX('입력_구리근무자명단'!$A100:$ZZ100,1,$E$2+3),6,2)),VALUE(MID(INDEX('입력_구리근무자명단'!$A100:$ZZ100,1,$E$2+3),9,2))),-1))))</f>
        <v/>
      </c>
      <c r="U102">
        <f>IF($R102="","",IF(OR($S102&lt;0,$T102&lt;0),0,MAX(0,MIN($T102,EOMONTH(급여기준월,0))-MAX($S102,급여기준월)+1)))</f>
        <v/>
      </c>
      <c r="V102">
        <f>IF($R102="","",TRIM(INDEX('입력_구리근무자명단'!$A100:$ZZ100,1,$E$2+5)&amp;""))</f>
        <v/>
      </c>
      <c r="W102">
        <f>IF(ISNUMBER(SEARCH("구리독자",$V102)),"구리독자","")</f>
        <v/>
      </c>
      <c r="X102">
        <f>IF($R102="","",$R102&amp;"|"&amp;IF(OR($Q102="인턴",ISNUMBER(SEARCH("수련교육부",$P102))),"인턴",$P102))</f>
        <v/>
      </c>
      <c r="Y102">
        <f>IF($R102="","",IF(COUNTIF(명단표[이름|과],$X102)=1,"명단 일치",IF(AND(COUNTIF(명단표[이름|과],$X102)=0,COUNTIF(명단표[이름],$R102)=1),"명단 일치(이름만, 과 다름)",IF(COUNTIF(명단표[이름],$R102)=0,IF(COUNTIF(기본자료표[이름],$R102)&gt;0,"명단에 없음(기본자료에는 있음)","명단에 없음"),"동명이인 확인"))))</f>
        <v/>
      </c>
      <c r="Z102">
        <f>IF($R102="","",IF($S102&lt;0,"⚠"&amp;INDEX('입력_구리근무자명단'!$A100:$ZZ100,1,$E$2+2),TEXT($S102,"yyyy-mm-dd")))</f>
        <v/>
      </c>
      <c r="AA102">
        <f>IF($R102="","",IF($T102&lt;0,"⚠"&amp;INDEX('입력_구리근무자명단'!$A100:$ZZ100,1,$E$2+3),TEXT($T102,"yyyy-mm-dd")))</f>
        <v/>
      </c>
      <c r="AB102">
        <f>AB101+IF($R102="",0,1)</f>
        <v/>
      </c>
      <c r="AC102">
        <f>IF($R102="","",$AB102)</f>
        <v/>
      </c>
    </row>
    <row r="103">
      <c r="A103">
        <f>IFERROR(INDEX($O$6:$O$1505,MATCH(98,$AC$6:$AC$1505,0)),"")</f>
        <v/>
      </c>
      <c r="B103">
        <f>IF(ISNUMBER($A103),INDEX($P$6:$P$1505,$A103-3),"")</f>
        <v/>
      </c>
      <c r="C103">
        <f>IF(ISNUMBER($A103),INDEX($Q$6:$Q$1505,$A103-3),"")</f>
        <v/>
      </c>
      <c r="D103">
        <f>IF(ISNUMBER($A103),INDEX($R$6:$R$1505,$A103-3),"")</f>
        <v/>
      </c>
      <c r="E103">
        <f>IF(ISNUMBER($A103),$G$2,"")</f>
        <v/>
      </c>
      <c r="F103">
        <f>IF(ISNUMBER($A103),INDEX($Z$6:$Z$1505,$A103-3),"")</f>
        <v/>
      </c>
      <c r="G103">
        <f>IF(ISNUMBER($A103),INDEX($AA$6:$AA$1505,$A103-3),"")</f>
        <v/>
      </c>
      <c r="H103">
        <f>IF(ISNUMBER($A103),INDEX($U$6:$U$1505,$A103-3),"")</f>
        <v/>
      </c>
      <c r="I103">
        <f>IF(ISNUMBER($A103),INDEX($V$6:$V$1505,$A103-3),"")</f>
        <v/>
      </c>
      <c r="J103">
        <f>IF(ISNUMBER($A103),INDEX($W$6:$W$1505,$A103-3),"")</f>
        <v/>
      </c>
      <c r="K103">
        <f>IF(ISNUMBER($A103),INDEX($X$6:$X$1505,$A103-3),"")</f>
        <v/>
      </c>
      <c r="L103">
        <f>IF(ISNUMBER($A103),INDEX($Y$6:$Y$1505,$A103-3),"")</f>
        <v/>
      </c>
      <c r="O103">
        <f>101</f>
        <v/>
      </c>
      <c r="P103">
        <f>IF(TRIM('입력_구리근무자명단'!$A101&amp;"")&lt;&gt;"",TRIM('입력_구리근무자명단'!$A101&amp;""),P102)</f>
        <v/>
      </c>
      <c r="Q103">
        <f>'입력_구리근무자명단'!$B101&amp;""</f>
        <v/>
      </c>
      <c r="R103">
        <f>IF($E$2="","",TRIM(INDEX('입력_구리근무자명단'!$A101:$ZZ101,1,$E$2+IF($G$2="확정",1,0))&amp;""))</f>
        <v/>
      </c>
      <c r="S103">
        <f>IF($R103="","",IF(INDEX('입력_구리근무자명단'!$A101:$ZZ101,1,$E$2+2)&amp;""="",급여기준월,IF(ISNUMBER(INDEX('입력_구리근무자명단'!$A101:$ZZ101,1,$E$2+2)),INDEX('입력_구리근무자명단'!$A101:$ZZ101,1,$E$2+2),IFERROR(DATE(VALUE(LEFT(INDEX('입력_구리근무자명단'!$A101:$ZZ101,1,$E$2+2),4)),VALUE(MID(INDEX('입력_구리근무자명단'!$A101:$ZZ101,1,$E$2+2),6,2)),VALUE(MID(INDEX('입력_구리근무자명단'!$A101:$ZZ101,1,$E$2+2),9,2))),-1))))</f>
        <v/>
      </c>
      <c r="T103">
        <f>IF($R103="","",IF(INDEX('입력_구리근무자명단'!$A101:$ZZ101,1,$E$2+3)&amp;""="",EOMONTH(급여기준월,0),IF(ISNUMBER(INDEX('입력_구리근무자명단'!$A101:$ZZ101,1,$E$2+3)),INDEX('입력_구리근무자명단'!$A101:$ZZ101,1,$E$2+3),IFERROR(DATE(VALUE(LEFT(INDEX('입력_구리근무자명단'!$A101:$ZZ101,1,$E$2+3),4)),VALUE(MID(INDEX('입력_구리근무자명단'!$A101:$ZZ101,1,$E$2+3),6,2)),VALUE(MID(INDEX('입력_구리근무자명단'!$A101:$ZZ101,1,$E$2+3),9,2))),-1))))</f>
        <v/>
      </c>
      <c r="U103">
        <f>IF($R103="","",IF(OR($S103&lt;0,$T103&lt;0),0,MAX(0,MIN($T103,EOMONTH(급여기준월,0))-MAX($S103,급여기준월)+1)))</f>
        <v/>
      </c>
      <c r="V103">
        <f>IF($R103="","",TRIM(INDEX('입력_구리근무자명단'!$A101:$ZZ101,1,$E$2+5)&amp;""))</f>
        <v/>
      </c>
      <c r="W103">
        <f>IF(ISNUMBER(SEARCH("구리독자",$V103)),"구리독자","")</f>
        <v/>
      </c>
      <c r="X103">
        <f>IF($R103="","",$R103&amp;"|"&amp;IF(OR($Q103="인턴",ISNUMBER(SEARCH("수련교육부",$P103))),"인턴",$P103))</f>
        <v/>
      </c>
      <c r="Y103">
        <f>IF($R103="","",IF(COUNTIF(명단표[이름|과],$X103)=1,"명단 일치",IF(AND(COUNTIF(명단표[이름|과],$X103)=0,COUNTIF(명단표[이름],$R103)=1),"명단 일치(이름만, 과 다름)",IF(COUNTIF(명단표[이름],$R103)=0,IF(COUNTIF(기본자료표[이름],$R103)&gt;0,"명단에 없음(기본자료에는 있음)","명단에 없음"),"동명이인 확인"))))</f>
        <v/>
      </c>
      <c r="Z103">
        <f>IF($R103="","",IF($S103&lt;0,"⚠"&amp;INDEX('입력_구리근무자명단'!$A101:$ZZ101,1,$E$2+2),TEXT($S103,"yyyy-mm-dd")))</f>
        <v/>
      </c>
      <c r="AA103">
        <f>IF($R103="","",IF($T103&lt;0,"⚠"&amp;INDEX('입력_구리근무자명단'!$A101:$ZZ101,1,$E$2+3),TEXT($T103,"yyyy-mm-dd")))</f>
        <v/>
      </c>
      <c r="AB103">
        <f>AB102+IF($R103="",0,1)</f>
        <v/>
      </c>
      <c r="AC103">
        <f>IF($R103="","",$AB103)</f>
        <v/>
      </c>
    </row>
    <row r="104">
      <c r="A104">
        <f>IFERROR(INDEX($O$6:$O$1505,MATCH(99,$AC$6:$AC$1505,0)),"")</f>
        <v/>
      </c>
      <c r="B104">
        <f>IF(ISNUMBER($A104),INDEX($P$6:$P$1505,$A104-3),"")</f>
        <v/>
      </c>
      <c r="C104">
        <f>IF(ISNUMBER($A104),INDEX($Q$6:$Q$1505,$A104-3),"")</f>
        <v/>
      </c>
      <c r="D104">
        <f>IF(ISNUMBER($A104),INDEX($R$6:$R$1505,$A104-3),"")</f>
        <v/>
      </c>
      <c r="E104">
        <f>IF(ISNUMBER($A104),$G$2,"")</f>
        <v/>
      </c>
      <c r="F104">
        <f>IF(ISNUMBER($A104),INDEX($Z$6:$Z$1505,$A104-3),"")</f>
        <v/>
      </c>
      <c r="G104">
        <f>IF(ISNUMBER($A104),INDEX($AA$6:$AA$1505,$A104-3),"")</f>
        <v/>
      </c>
      <c r="H104">
        <f>IF(ISNUMBER($A104),INDEX($U$6:$U$1505,$A104-3),"")</f>
        <v/>
      </c>
      <c r="I104">
        <f>IF(ISNUMBER($A104),INDEX($V$6:$V$1505,$A104-3),"")</f>
        <v/>
      </c>
      <c r="J104">
        <f>IF(ISNUMBER($A104),INDEX($W$6:$W$1505,$A104-3),"")</f>
        <v/>
      </c>
      <c r="K104">
        <f>IF(ISNUMBER($A104),INDEX($X$6:$X$1505,$A104-3),"")</f>
        <v/>
      </c>
      <c r="L104">
        <f>IF(ISNUMBER($A104),INDEX($Y$6:$Y$1505,$A104-3),"")</f>
        <v/>
      </c>
      <c r="O104">
        <f>102</f>
        <v/>
      </c>
      <c r="P104">
        <f>IF(TRIM('입력_구리근무자명단'!$A102&amp;"")&lt;&gt;"",TRIM('입력_구리근무자명단'!$A102&amp;""),P103)</f>
        <v/>
      </c>
      <c r="Q104">
        <f>'입력_구리근무자명단'!$B102&amp;""</f>
        <v/>
      </c>
      <c r="R104">
        <f>IF($E$2="","",TRIM(INDEX('입력_구리근무자명단'!$A102:$ZZ102,1,$E$2+IF($G$2="확정",1,0))&amp;""))</f>
        <v/>
      </c>
      <c r="S104">
        <f>IF($R104="","",IF(INDEX('입력_구리근무자명단'!$A102:$ZZ102,1,$E$2+2)&amp;""="",급여기준월,IF(ISNUMBER(INDEX('입력_구리근무자명단'!$A102:$ZZ102,1,$E$2+2)),INDEX('입력_구리근무자명단'!$A102:$ZZ102,1,$E$2+2),IFERROR(DATE(VALUE(LEFT(INDEX('입력_구리근무자명단'!$A102:$ZZ102,1,$E$2+2),4)),VALUE(MID(INDEX('입력_구리근무자명단'!$A102:$ZZ102,1,$E$2+2),6,2)),VALUE(MID(INDEX('입력_구리근무자명단'!$A102:$ZZ102,1,$E$2+2),9,2))),-1))))</f>
        <v/>
      </c>
      <c r="T104">
        <f>IF($R104="","",IF(INDEX('입력_구리근무자명단'!$A102:$ZZ102,1,$E$2+3)&amp;""="",EOMONTH(급여기준월,0),IF(ISNUMBER(INDEX('입력_구리근무자명단'!$A102:$ZZ102,1,$E$2+3)),INDEX('입력_구리근무자명단'!$A102:$ZZ102,1,$E$2+3),IFERROR(DATE(VALUE(LEFT(INDEX('입력_구리근무자명단'!$A102:$ZZ102,1,$E$2+3),4)),VALUE(MID(INDEX('입력_구리근무자명단'!$A102:$ZZ102,1,$E$2+3),6,2)),VALUE(MID(INDEX('입력_구리근무자명단'!$A102:$ZZ102,1,$E$2+3),9,2))),-1))))</f>
        <v/>
      </c>
      <c r="U104">
        <f>IF($R104="","",IF(OR($S104&lt;0,$T104&lt;0),0,MAX(0,MIN($T104,EOMONTH(급여기준월,0))-MAX($S104,급여기준월)+1)))</f>
        <v/>
      </c>
      <c r="V104">
        <f>IF($R104="","",TRIM(INDEX('입력_구리근무자명단'!$A102:$ZZ102,1,$E$2+5)&amp;""))</f>
        <v/>
      </c>
      <c r="W104">
        <f>IF(ISNUMBER(SEARCH("구리독자",$V104)),"구리독자","")</f>
        <v/>
      </c>
      <c r="X104">
        <f>IF($R104="","",$R104&amp;"|"&amp;IF(OR($Q104="인턴",ISNUMBER(SEARCH("수련교육부",$P104))),"인턴",$P104))</f>
        <v/>
      </c>
      <c r="Y104">
        <f>IF($R104="","",IF(COUNTIF(명단표[이름|과],$X104)=1,"명단 일치",IF(AND(COUNTIF(명단표[이름|과],$X104)=0,COUNTIF(명단표[이름],$R104)=1),"명단 일치(이름만, 과 다름)",IF(COUNTIF(명단표[이름],$R104)=0,IF(COUNTIF(기본자료표[이름],$R104)&gt;0,"명단에 없음(기본자료에는 있음)","명단에 없음"),"동명이인 확인"))))</f>
        <v/>
      </c>
      <c r="Z104">
        <f>IF($R104="","",IF($S104&lt;0,"⚠"&amp;INDEX('입력_구리근무자명단'!$A102:$ZZ102,1,$E$2+2),TEXT($S104,"yyyy-mm-dd")))</f>
        <v/>
      </c>
      <c r="AA104">
        <f>IF($R104="","",IF($T104&lt;0,"⚠"&amp;INDEX('입력_구리근무자명단'!$A102:$ZZ102,1,$E$2+3),TEXT($T104,"yyyy-mm-dd")))</f>
        <v/>
      </c>
      <c r="AB104">
        <f>AB103+IF($R104="",0,1)</f>
        <v/>
      </c>
      <c r="AC104">
        <f>IF($R104="","",$AB104)</f>
        <v/>
      </c>
    </row>
    <row r="105">
      <c r="A105">
        <f>IFERROR(INDEX($O$6:$O$1505,MATCH(100,$AC$6:$AC$1505,0)),"")</f>
        <v/>
      </c>
      <c r="B105">
        <f>IF(ISNUMBER($A105),INDEX($P$6:$P$1505,$A105-3),"")</f>
        <v/>
      </c>
      <c r="C105">
        <f>IF(ISNUMBER($A105),INDEX($Q$6:$Q$1505,$A105-3),"")</f>
        <v/>
      </c>
      <c r="D105">
        <f>IF(ISNUMBER($A105),INDEX($R$6:$R$1505,$A105-3),"")</f>
        <v/>
      </c>
      <c r="E105">
        <f>IF(ISNUMBER($A105),$G$2,"")</f>
        <v/>
      </c>
      <c r="F105">
        <f>IF(ISNUMBER($A105),INDEX($Z$6:$Z$1505,$A105-3),"")</f>
        <v/>
      </c>
      <c r="G105">
        <f>IF(ISNUMBER($A105),INDEX($AA$6:$AA$1505,$A105-3),"")</f>
        <v/>
      </c>
      <c r="H105">
        <f>IF(ISNUMBER($A105),INDEX($U$6:$U$1505,$A105-3),"")</f>
        <v/>
      </c>
      <c r="I105">
        <f>IF(ISNUMBER($A105),INDEX($V$6:$V$1505,$A105-3),"")</f>
        <v/>
      </c>
      <c r="J105">
        <f>IF(ISNUMBER($A105),INDEX($W$6:$W$1505,$A105-3),"")</f>
        <v/>
      </c>
      <c r="K105">
        <f>IF(ISNUMBER($A105),INDEX($X$6:$X$1505,$A105-3),"")</f>
        <v/>
      </c>
      <c r="L105">
        <f>IF(ISNUMBER($A105),INDEX($Y$6:$Y$1505,$A105-3),"")</f>
        <v/>
      </c>
      <c r="O105">
        <f>103</f>
        <v/>
      </c>
      <c r="P105">
        <f>IF(TRIM('입력_구리근무자명단'!$A103&amp;"")&lt;&gt;"",TRIM('입력_구리근무자명단'!$A103&amp;""),P104)</f>
        <v/>
      </c>
      <c r="Q105">
        <f>'입력_구리근무자명단'!$B103&amp;""</f>
        <v/>
      </c>
      <c r="R105">
        <f>IF($E$2="","",TRIM(INDEX('입력_구리근무자명단'!$A103:$ZZ103,1,$E$2+IF($G$2="확정",1,0))&amp;""))</f>
        <v/>
      </c>
      <c r="S105">
        <f>IF($R105="","",IF(INDEX('입력_구리근무자명단'!$A103:$ZZ103,1,$E$2+2)&amp;""="",급여기준월,IF(ISNUMBER(INDEX('입력_구리근무자명단'!$A103:$ZZ103,1,$E$2+2)),INDEX('입력_구리근무자명단'!$A103:$ZZ103,1,$E$2+2),IFERROR(DATE(VALUE(LEFT(INDEX('입력_구리근무자명단'!$A103:$ZZ103,1,$E$2+2),4)),VALUE(MID(INDEX('입력_구리근무자명단'!$A103:$ZZ103,1,$E$2+2),6,2)),VALUE(MID(INDEX('입력_구리근무자명단'!$A103:$ZZ103,1,$E$2+2),9,2))),-1))))</f>
        <v/>
      </c>
      <c r="T105">
        <f>IF($R105="","",IF(INDEX('입력_구리근무자명단'!$A103:$ZZ103,1,$E$2+3)&amp;""="",EOMONTH(급여기준월,0),IF(ISNUMBER(INDEX('입력_구리근무자명단'!$A103:$ZZ103,1,$E$2+3)),INDEX('입력_구리근무자명단'!$A103:$ZZ103,1,$E$2+3),IFERROR(DATE(VALUE(LEFT(INDEX('입력_구리근무자명단'!$A103:$ZZ103,1,$E$2+3),4)),VALUE(MID(INDEX('입력_구리근무자명단'!$A103:$ZZ103,1,$E$2+3),6,2)),VALUE(MID(INDEX('입력_구리근무자명단'!$A103:$ZZ103,1,$E$2+3),9,2))),-1))))</f>
        <v/>
      </c>
      <c r="U105">
        <f>IF($R105="","",IF(OR($S105&lt;0,$T105&lt;0),0,MAX(0,MIN($T105,EOMONTH(급여기준월,0))-MAX($S105,급여기준월)+1)))</f>
        <v/>
      </c>
      <c r="V105">
        <f>IF($R105="","",TRIM(INDEX('입력_구리근무자명단'!$A103:$ZZ103,1,$E$2+5)&amp;""))</f>
        <v/>
      </c>
      <c r="W105">
        <f>IF(ISNUMBER(SEARCH("구리독자",$V105)),"구리독자","")</f>
        <v/>
      </c>
      <c r="X105">
        <f>IF($R105="","",$R105&amp;"|"&amp;IF(OR($Q105="인턴",ISNUMBER(SEARCH("수련교육부",$P105))),"인턴",$P105))</f>
        <v/>
      </c>
      <c r="Y105">
        <f>IF($R105="","",IF(COUNTIF(명단표[이름|과],$X105)=1,"명단 일치",IF(AND(COUNTIF(명단표[이름|과],$X105)=0,COUNTIF(명단표[이름],$R105)=1),"명단 일치(이름만, 과 다름)",IF(COUNTIF(명단표[이름],$R105)=0,IF(COUNTIF(기본자료표[이름],$R105)&gt;0,"명단에 없음(기본자료에는 있음)","명단에 없음"),"동명이인 확인"))))</f>
        <v/>
      </c>
      <c r="Z105">
        <f>IF($R105="","",IF($S105&lt;0,"⚠"&amp;INDEX('입력_구리근무자명단'!$A103:$ZZ103,1,$E$2+2),TEXT($S105,"yyyy-mm-dd")))</f>
        <v/>
      </c>
      <c r="AA105">
        <f>IF($R105="","",IF($T105&lt;0,"⚠"&amp;INDEX('입력_구리근무자명단'!$A103:$ZZ103,1,$E$2+3),TEXT($T105,"yyyy-mm-dd")))</f>
        <v/>
      </c>
      <c r="AB105">
        <f>AB104+IF($R105="",0,1)</f>
        <v/>
      </c>
      <c r="AC105">
        <f>IF($R105="","",$AB105)</f>
        <v/>
      </c>
    </row>
    <row r="106">
      <c r="A106">
        <f>IFERROR(INDEX($O$6:$O$1505,MATCH(101,$AC$6:$AC$1505,0)),"")</f>
        <v/>
      </c>
      <c r="B106">
        <f>IF(ISNUMBER($A106),INDEX($P$6:$P$1505,$A106-3),"")</f>
        <v/>
      </c>
      <c r="C106">
        <f>IF(ISNUMBER($A106),INDEX($Q$6:$Q$1505,$A106-3),"")</f>
        <v/>
      </c>
      <c r="D106">
        <f>IF(ISNUMBER($A106),INDEX($R$6:$R$1505,$A106-3),"")</f>
        <v/>
      </c>
      <c r="E106">
        <f>IF(ISNUMBER($A106),$G$2,"")</f>
        <v/>
      </c>
      <c r="F106">
        <f>IF(ISNUMBER($A106),INDEX($Z$6:$Z$1505,$A106-3),"")</f>
        <v/>
      </c>
      <c r="G106">
        <f>IF(ISNUMBER($A106),INDEX($AA$6:$AA$1505,$A106-3),"")</f>
        <v/>
      </c>
      <c r="H106">
        <f>IF(ISNUMBER($A106),INDEX($U$6:$U$1505,$A106-3),"")</f>
        <v/>
      </c>
      <c r="I106">
        <f>IF(ISNUMBER($A106),INDEX($V$6:$V$1505,$A106-3),"")</f>
        <v/>
      </c>
      <c r="J106">
        <f>IF(ISNUMBER($A106),INDEX($W$6:$W$1505,$A106-3),"")</f>
        <v/>
      </c>
      <c r="K106">
        <f>IF(ISNUMBER($A106),INDEX($X$6:$X$1505,$A106-3),"")</f>
        <v/>
      </c>
      <c r="L106">
        <f>IF(ISNUMBER($A106),INDEX($Y$6:$Y$1505,$A106-3),"")</f>
        <v/>
      </c>
      <c r="O106">
        <f>104</f>
        <v/>
      </c>
      <c r="P106">
        <f>IF(TRIM('입력_구리근무자명단'!$A104&amp;"")&lt;&gt;"",TRIM('입력_구리근무자명단'!$A104&amp;""),P105)</f>
        <v/>
      </c>
      <c r="Q106">
        <f>'입력_구리근무자명단'!$B104&amp;""</f>
        <v/>
      </c>
      <c r="R106">
        <f>IF($E$2="","",TRIM(INDEX('입력_구리근무자명단'!$A104:$ZZ104,1,$E$2+IF($G$2="확정",1,0))&amp;""))</f>
        <v/>
      </c>
      <c r="S106">
        <f>IF($R106="","",IF(INDEX('입력_구리근무자명단'!$A104:$ZZ104,1,$E$2+2)&amp;""="",급여기준월,IF(ISNUMBER(INDEX('입력_구리근무자명단'!$A104:$ZZ104,1,$E$2+2)),INDEX('입력_구리근무자명단'!$A104:$ZZ104,1,$E$2+2),IFERROR(DATE(VALUE(LEFT(INDEX('입력_구리근무자명단'!$A104:$ZZ104,1,$E$2+2),4)),VALUE(MID(INDEX('입력_구리근무자명단'!$A104:$ZZ104,1,$E$2+2),6,2)),VALUE(MID(INDEX('입력_구리근무자명단'!$A104:$ZZ104,1,$E$2+2),9,2))),-1))))</f>
        <v/>
      </c>
      <c r="T106">
        <f>IF($R106="","",IF(INDEX('입력_구리근무자명단'!$A104:$ZZ104,1,$E$2+3)&amp;""="",EOMONTH(급여기준월,0),IF(ISNUMBER(INDEX('입력_구리근무자명단'!$A104:$ZZ104,1,$E$2+3)),INDEX('입력_구리근무자명단'!$A104:$ZZ104,1,$E$2+3),IFERROR(DATE(VALUE(LEFT(INDEX('입력_구리근무자명단'!$A104:$ZZ104,1,$E$2+3),4)),VALUE(MID(INDEX('입력_구리근무자명단'!$A104:$ZZ104,1,$E$2+3),6,2)),VALUE(MID(INDEX('입력_구리근무자명단'!$A104:$ZZ104,1,$E$2+3),9,2))),-1))))</f>
        <v/>
      </c>
      <c r="U106">
        <f>IF($R106="","",IF(OR($S106&lt;0,$T106&lt;0),0,MAX(0,MIN($T106,EOMONTH(급여기준월,0))-MAX($S106,급여기준월)+1)))</f>
        <v/>
      </c>
      <c r="V106">
        <f>IF($R106="","",TRIM(INDEX('입력_구리근무자명단'!$A104:$ZZ104,1,$E$2+5)&amp;""))</f>
        <v/>
      </c>
      <c r="W106">
        <f>IF(ISNUMBER(SEARCH("구리독자",$V106)),"구리독자","")</f>
        <v/>
      </c>
      <c r="X106">
        <f>IF($R106="","",$R106&amp;"|"&amp;IF(OR($Q106="인턴",ISNUMBER(SEARCH("수련교육부",$P106))),"인턴",$P106))</f>
        <v/>
      </c>
      <c r="Y106">
        <f>IF($R106="","",IF(COUNTIF(명단표[이름|과],$X106)=1,"명단 일치",IF(AND(COUNTIF(명단표[이름|과],$X106)=0,COUNTIF(명단표[이름],$R106)=1),"명단 일치(이름만, 과 다름)",IF(COUNTIF(명단표[이름],$R106)=0,IF(COUNTIF(기본자료표[이름],$R106)&gt;0,"명단에 없음(기본자료에는 있음)","명단에 없음"),"동명이인 확인"))))</f>
        <v/>
      </c>
      <c r="Z106">
        <f>IF($R106="","",IF($S106&lt;0,"⚠"&amp;INDEX('입력_구리근무자명단'!$A104:$ZZ104,1,$E$2+2),TEXT($S106,"yyyy-mm-dd")))</f>
        <v/>
      </c>
      <c r="AA106">
        <f>IF($R106="","",IF($T106&lt;0,"⚠"&amp;INDEX('입력_구리근무자명단'!$A104:$ZZ104,1,$E$2+3),TEXT($T106,"yyyy-mm-dd")))</f>
        <v/>
      </c>
      <c r="AB106">
        <f>AB105+IF($R106="",0,1)</f>
        <v/>
      </c>
      <c r="AC106">
        <f>IF($R106="","",$AB106)</f>
        <v/>
      </c>
    </row>
    <row r="107">
      <c r="A107">
        <f>IFERROR(INDEX($O$6:$O$1505,MATCH(102,$AC$6:$AC$1505,0)),"")</f>
        <v/>
      </c>
      <c r="B107">
        <f>IF(ISNUMBER($A107),INDEX($P$6:$P$1505,$A107-3),"")</f>
        <v/>
      </c>
      <c r="C107">
        <f>IF(ISNUMBER($A107),INDEX($Q$6:$Q$1505,$A107-3),"")</f>
        <v/>
      </c>
      <c r="D107">
        <f>IF(ISNUMBER($A107),INDEX($R$6:$R$1505,$A107-3),"")</f>
        <v/>
      </c>
      <c r="E107">
        <f>IF(ISNUMBER($A107),$G$2,"")</f>
        <v/>
      </c>
      <c r="F107">
        <f>IF(ISNUMBER($A107),INDEX($Z$6:$Z$1505,$A107-3),"")</f>
        <v/>
      </c>
      <c r="G107">
        <f>IF(ISNUMBER($A107),INDEX($AA$6:$AA$1505,$A107-3),"")</f>
        <v/>
      </c>
      <c r="H107">
        <f>IF(ISNUMBER($A107),INDEX($U$6:$U$1505,$A107-3),"")</f>
        <v/>
      </c>
      <c r="I107">
        <f>IF(ISNUMBER($A107),INDEX($V$6:$V$1505,$A107-3),"")</f>
        <v/>
      </c>
      <c r="J107">
        <f>IF(ISNUMBER($A107),INDEX($W$6:$W$1505,$A107-3),"")</f>
        <v/>
      </c>
      <c r="K107">
        <f>IF(ISNUMBER($A107),INDEX($X$6:$X$1505,$A107-3),"")</f>
        <v/>
      </c>
      <c r="L107">
        <f>IF(ISNUMBER($A107),INDEX($Y$6:$Y$1505,$A107-3),"")</f>
        <v/>
      </c>
      <c r="O107">
        <f>105</f>
        <v/>
      </c>
      <c r="P107">
        <f>IF(TRIM('입력_구리근무자명단'!$A105&amp;"")&lt;&gt;"",TRIM('입력_구리근무자명단'!$A105&amp;""),P106)</f>
        <v/>
      </c>
      <c r="Q107">
        <f>'입력_구리근무자명단'!$B105&amp;""</f>
        <v/>
      </c>
      <c r="R107">
        <f>IF($E$2="","",TRIM(INDEX('입력_구리근무자명단'!$A105:$ZZ105,1,$E$2+IF($G$2="확정",1,0))&amp;""))</f>
        <v/>
      </c>
      <c r="S107">
        <f>IF($R107="","",IF(INDEX('입력_구리근무자명단'!$A105:$ZZ105,1,$E$2+2)&amp;""="",급여기준월,IF(ISNUMBER(INDEX('입력_구리근무자명단'!$A105:$ZZ105,1,$E$2+2)),INDEX('입력_구리근무자명단'!$A105:$ZZ105,1,$E$2+2),IFERROR(DATE(VALUE(LEFT(INDEX('입력_구리근무자명단'!$A105:$ZZ105,1,$E$2+2),4)),VALUE(MID(INDEX('입력_구리근무자명단'!$A105:$ZZ105,1,$E$2+2),6,2)),VALUE(MID(INDEX('입력_구리근무자명단'!$A105:$ZZ105,1,$E$2+2),9,2))),-1))))</f>
        <v/>
      </c>
      <c r="T107">
        <f>IF($R107="","",IF(INDEX('입력_구리근무자명단'!$A105:$ZZ105,1,$E$2+3)&amp;""="",EOMONTH(급여기준월,0),IF(ISNUMBER(INDEX('입력_구리근무자명단'!$A105:$ZZ105,1,$E$2+3)),INDEX('입력_구리근무자명단'!$A105:$ZZ105,1,$E$2+3),IFERROR(DATE(VALUE(LEFT(INDEX('입력_구리근무자명단'!$A105:$ZZ105,1,$E$2+3),4)),VALUE(MID(INDEX('입력_구리근무자명단'!$A105:$ZZ105,1,$E$2+3),6,2)),VALUE(MID(INDEX('입력_구리근무자명단'!$A105:$ZZ105,1,$E$2+3),9,2))),-1))))</f>
        <v/>
      </c>
      <c r="U107">
        <f>IF($R107="","",IF(OR($S107&lt;0,$T107&lt;0),0,MAX(0,MIN($T107,EOMONTH(급여기준월,0))-MAX($S107,급여기준월)+1)))</f>
        <v/>
      </c>
      <c r="V107">
        <f>IF($R107="","",TRIM(INDEX('입력_구리근무자명단'!$A105:$ZZ105,1,$E$2+5)&amp;""))</f>
        <v/>
      </c>
      <c r="W107">
        <f>IF(ISNUMBER(SEARCH("구리독자",$V107)),"구리독자","")</f>
        <v/>
      </c>
      <c r="X107">
        <f>IF($R107="","",$R107&amp;"|"&amp;IF(OR($Q107="인턴",ISNUMBER(SEARCH("수련교육부",$P107))),"인턴",$P107))</f>
        <v/>
      </c>
      <c r="Y107">
        <f>IF($R107="","",IF(COUNTIF(명단표[이름|과],$X107)=1,"명단 일치",IF(AND(COUNTIF(명단표[이름|과],$X107)=0,COUNTIF(명단표[이름],$R107)=1),"명단 일치(이름만, 과 다름)",IF(COUNTIF(명단표[이름],$R107)=0,IF(COUNTIF(기본자료표[이름],$R107)&gt;0,"명단에 없음(기본자료에는 있음)","명단에 없음"),"동명이인 확인"))))</f>
        <v/>
      </c>
      <c r="Z107">
        <f>IF($R107="","",IF($S107&lt;0,"⚠"&amp;INDEX('입력_구리근무자명단'!$A105:$ZZ105,1,$E$2+2),TEXT($S107,"yyyy-mm-dd")))</f>
        <v/>
      </c>
      <c r="AA107">
        <f>IF($R107="","",IF($T107&lt;0,"⚠"&amp;INDEX('입력_구리근무자명단'!$A105:$ZZ105,1,$E$2+3),TEXT($T107,"yyyy-mm-dd")))</f>
        <v/>
      </c>
      <c r="AB107">
        <f>AB106+IF($R107="",0,1)</f>
        <v/>
      </c>
      <c r="AC107">
        <f>IF($R107="","",$AB107)</f>
        <v/>
      </c>
    </row>
    <row r="108">
      <c r="A108">
        <f>IFERROR(INDEX($O$6:$O$1505,MATCH(103,$AC$6:$AC$1505,0)),"")</f>
        <v/>
      </c>
      <c r="B108">
        <f>IF(ISNUMBER($A108),INDEX($P$6:$P$1505,$A108-3),"")</f>
        <v/>
      </c>
      <c r="C108">
        <f>IF(ISNUMBER($A108),INDEX($Q$6:$Q$1505,$A108-3),"")</f>
        <v/>
      </c>
      <c r="D108">
        <f>IF(ISNUMBER($A108),INDEX($R$6:$R$1505,$A108-3),"")</f>
        <v/>
      </c>
      <c r="E108">
        <f>IF(ISNUMBER($A108),$G$2,"")</f>
        <v/>
      </c>
      <c r="F108">
        <f>IF(ISNUMBER($A108),INDEX($Z$6:$Z$1505,$A108-3),"")</f>
        <v/>
      </c>
      <c r="G108">
        <f>IF(ISNUMBER($A108),INDEX($AA$6:$AA$1505,$A108-3),"")</f>
        <v/>
      </c>
      <c r="H108">
        <f>IF(ISNUMBER($A108),INDEX($U$6:$U$1505,$A108-3),"")</f>
        <v/>
      </c>
      <c r="I108">
        <f>IF(ISNUMBER($A108),INDEX($V$6:$V$1505,$A108-3),"")</f>
        <v/>
      </c>
      <c r="J108">
        <f>IF(ISNUMBER($A108),INDEX($W$6:$W$1505,$A108-3),"")</f>
        <v/>
      </c>
      <c r="K108">
        <f>IF(ISNUMBER($A108),INDEX($X$6:$X$1505,$A108-3),"")</f>
        <v/>
      </c>
      <c r="L108">
        <f>IF(ISNUMBER($A108),INDEX($Y$6:$Y$1505,$A108-3),"")</f>
        <v/>
      </c>
      <c r="O108">
        <f>106</f>
        <v/>
      </c>
      <c r="P108">
        <f>IF(TRIM('입력_구리근무자명단'!$A106&amp;"")&lt;&gt;"",TRIM('입력_구리근무자명단'!$A106&amp;""),P107)</f>
        <v/>
      </c>
      <c r="Q108">
        <f>'입력_구리근무자명단'!$B106&amp;""</f>
        <v/>
      </c>
      <c r="R108">
        <f>IF($E$2="","",TRIM(INDEX('입력_구리근무자명단'!$A106:$ZZ106,1,$E$2+IF($G$2="확정",1,0))&amp;""))</f>
        <v/>
      </c>
      <c r="S108">
        <f>IF($R108="","",IF(INDEX('입력_구리근무자명단'!$A106:$ZZ106,1,$E$2+2)&amp;""="",급여기준월,IF(ISNUMBER(INDEX('입력_구리근무자명단'!$A106:$ZZ106,1,$E$2+2)),INDEX('입력_구리근무자명단'!$A106:$ZZ106,1,$E$2+2),IFERROR(DATE(VALUE(LEFT(INDEX('입력_구리근무자명단'!$A106:$ZZ106,1,$E$2+2),4)),VALUE(MID(INDEX('입력_구리근무자명단'!$A106:$ZZ106,1,$E$2+2),6,2)),VALUE(MID(INDEX('입력_구리근무자명단'!$A106:$ZZ106,1,$E$2+2),9,2))),-1))))</f>
        <v/>
      </c>
      <c r="T108">
        <f>IF($R108="","",IF(INDEX('입력_구리근무자명단'!$A106:$ZZ106,1,$E$2+3)&amp;""="",EOMONTH(급여기준월,0),IF(ISNUMBER(INDEX('입력_구리근무자명단'!$A106:$ZZ106,1,$E$2+3)),INDEX('입력_구리근무자명단'!$A106:$ZZ106,1,$E$2+3),IFERROR(DATE(VALUE(LEFT(INDEX('입력_구리근무자명단'!$A106:$ZZ106,1,$E$2+3),4)),VALUE(MID(INDEX('입력_구리근무자명단'!$A106:$ZZ106,1,$E$2+3),6,2)),VALUE(MID(INDEX('입력_구리근무자명단'!$A106:$ZZ106,1,$E$2+3),9,2))),-1))))</f>
        <v/>
      </c>
      <c r="U108">
        <f>IF($R108="","",IF(OR($S108&lt;0,$T108&lt;0),0,MAX(0,MIN($T108,EOMONTH(급여기준월,0))-MAX($S108,급여기준월)+1)))</f>
        <v/>
      </c>
      <c r="V108">
        <f>IF($R108="","",TRIM(INDEX('입력_구리근무자명단'!$A106:$ZZ106,1,$E$2+5)&amp;""))</f>
        <v/>
      </c>
      <c r="W108">
        <f>IF(ISNUMBER(SEARCH("구리독자",$V108)),"구리독자","")</f>
        <v/>
      </c>
      <c r="X108">
        <f>IF($R108="","",$R108&amp;"|"&amp;IF(OR($Q108="인턴",ISNUMBER(SEARCH("수련교육부",$P108))),"인턴",$P108))</f>
        <v/>
      </c>
      <c r="Y108">
        <f>IF($R108="","",IF(COUNTIF(명단표[이름|과],$X108)=1,"명단 일치",IF(AND(COUNTIF(명단표[이름|과],$X108)=0,COUNTIF(명단표[이름],$R108)=1),"명단 일치(이름만, 과 다름)",IF(COUNTIF(명단표[이름],$R108)=0,IF(COUNTIF(기본자료표[이름],$R108)&gt;0,"명단에 없음(기본자료에는 있음)","명단에 없음"),"동명이인 확인"))))</f>
        <v/>
      </c>
      <c r="Z108">
        <f>IF($R108="","",IF($S108&lt;0,"⚠"&amp;INDEX('입력_구리근무자명단'!$A106:$ZZ106,1,$E$2+2),TEXT($S108,"yyyy-mm-dd")))</f>
        <v/>
      </c>
      <c r="AA108">
        <f>IF($R108="","",IF($T108&lt;0,"⚠"&amp;INDEX('입력_구리근무자명단'!$A106:$ZZ106,1,$E$2+3),TEXT($T108,"yyyy-mm-dd")))</f>
        <v/>
      </c>
      <c r="AB108">
        <f>AB107+IF($R108="",0,1)</f>
        <v/>
      </c>
      <c r="AC108">
        <f>IF($R108="","",$AB108)</f>
        <v/>
      </c>
    </row>
    <row r="109">
      <c r="A109">
        <f>IFERROR(INDEX($O$6:$O$1505,MATCH(104,$AC$6:$AC$1505,0)),"")</f>
        <v/>
      </c>
      <c r="B109">
        <f>IF(ISNUMBER($A109),INDEX($P$6:$P$1505,$A109-3),"")</f>
        <v/>
      </c>
      <c r="C109">
        <f>IF(ISNUMBER($A109),INDEX($Q$6:$Q$1505,$A109-3),"")</f>
        <v/>
      </c>
      <c r="D109">
        <f>IF(ISNUMBER($A109),INDEX($R$6:$R$1505,$A109-3),"")</f>
        <v/>
      </c>
      <c r="E109">
        <f>IF(ISNUMBER($A109),$G$2,"")</f>
        <v/>
      </c>
      <c r="F109">
        <f>IF(ISNUMBER($A109),INDEX($Z$6:$Z$1505,$A109-3),"")</f>
        <v/>
      </c>
      <c r="G109">
        <f>IF(ISNUMBER($A109),INDEX($AA$6:$AA$1505,$A109-3),"")</f>
        <v/>
      </c>
      <c r="H109">
        <f>IF(ISNUMBER($A109),INDEX($U$6:$U$1505,$A109-3),"")</f>
        <v/>
      </c>
      <c r="I109">
        <f>IF(ISNUMBER($A109),INDEX($V$6:$V$1505,$A109-3),"")</f>
        <v/>
      </c>
      <c r="J109">
        <f>IF(ISNUMBER($A109),INDEX($W$6:$W$1505,$A109-3),"")</f>
        <v/>
      </c>
      <c r="K109">
        <f>IF(ISNUMBER($A109),INDEX($X$6:$X$1505,$A109-3),"")</f>
        <v/>
      </c>
      <c r="L109">
        <f>IF(ISNUMBER($A109),INDEX($Y$6:$Y$1505,$A109-3),"")</f>
        <v/>
      </c>
      <c r="O109">
        <f>107</f>
        <v/>
      </c>
      <c r="P109">
        <f>IF(TRIM('입력_구리근무자명단'!$A107&amp;"")&lt;&gt;"",TRIM('입력_구리근무자명단'!$A107&amp;""),P108)</f>
        <v/>
      </c>
      <c r="Q109">
        <f>'입력_구리근무자명단'!$B107&amp;""</f>
        <v/>
      </c>
      <c r="R109">
        <f>IF($E$2="","",TRIM(INDEX('입력_구리근무자명단'!$A107:$ZZ107,1,$E$2+IF($G$2="확정",1,0))&amp;""))</f>
        <v/>
      </c>
      <c r="S109">
        <f>IF($R109="","",IF(INDEX('입력_구리근무자명단'!$A107:$ZZ107,1,$E$2+2)&amp;""="",급여기준월,IF(ISNUMBER(INDEX('입력_구리근무자명단'!$A107:$ZZ107,1,$E$2+2)),INDEX('입력_구리근무자명단'!$A107:$ZZ107,1,$E$2+2),IFERROR(DATE(VALUE(LEFT(INDEX('입력_구리근무자명단'!$A107:$ZZ107,1,$E$2+2),4)),VALUE(MID(INDEX('입력_구리근무자명단'!$A107:$ZZ107,1,$E$2+2),6,2)),VALUE(MID(INDEX('입력_구리근무자명단'!$A107:$ZZ107,1,$E$2+2),9,2))),-1))))</f>
        <v/>
      </c>
      <c r="T109">
        <f>IF($R109="","",IF(INDEX('입력_구리근무자명단'!$A107:$ZZ107,1,$E$2+3)&amp;""="",EOMONTH(급여기준월,0),IF(ISNUMBER(INDEX('입력_구리근무자명단'!$A107:$ZZ107,1,$E$2+3)),INDEX('입력_구리근무자명단'!$A107:$ZZ107,1,$E$2+3),IFERROR(DATE(VALUE(LEFT(INDEX('입력_구리근무자명단'!$A107:$ZZ107,1,$E$2+3),4)),VALUE(MID(INDEX('입력_구리근무자명단'!$A107:$ZZ107,1,$E$2+3),6,2)),VALUE(MID(INDEX('입력_구리근무자명단'!$A107:$ZZ107,1,$E$2+3),9,2))),-1))))</f>
        <v/>
      </c>
      <c r="U109">
        <f>IF($R109="","",IF(OR($S109&lt;0,$T109&lt;0),0,MAX(0,MIN($T109,EOMONTH(급여기준월,0))-MAX($S109,급여기준월)+1)))</f>
        <v/>
      </c>
      <c r="V109">
        <f>IF($R109="","",TRIM(INDEX('입력_구리근무자명단'!$A107:$ZZ107,1,$E$2+5)&amp;""))</f>
        <v/>
      </c>
      <c r="W109">
        <f>IF(ISNUMBER(SEARCH("구리독자",$V109)),"구리독자","")</f>
        <v/>
      </c>
      <c r="X109">
        <f>IF($R109="","",$R109&amp;"|"&amp;IF(OR($Q109="인턴",ISNUMBER(SEARCH("수련교육부",$P109))),"인턴",$P109))</f>
        <v/>
      </c>
      <c r="Y109">
        <f>IF($R109="","",IF(COUNTIF(명단표[이름|과],$X109)=1,"명단 일치",IF(AND(COUNTIF(명단표[이름|과],$X109)=0,COUNTIF(명단표[이름],$R109)=1),"명단 일치(이름만, 과 다름)",IF(COUNTIF(명단표[이름],$R109)=0,IF(COUNTIF(기본자료표[이름],$R109)&gt;0,"명단에 없음(기본자료에는 있음)","명단에 없음"),"동명이인 확인"))))</f>
        <v/>
      </c>
      <c r="Z109">
        <f>IF($R109="","",IF($S109&lt;0,"⚠"&amp;INDEX('입력_구리근무자명단'!$A107:$ZZ107,1,$E$2+2),TEXT($S109,"yyyy-mm-dd")))</f>
        <v/>
      </c>
      <c r="AA109">
        <f>IF($R109="","",IF($T109&lt;0,"⚠"&amp;INDEX('입력_구리근무자명단'!$A107:$ZZ107,1,$E$2+3),TEXT($T109,"yyyy-mm-dd")))</f>
        <v/>
      </c>
      <c r="AB109">
        <f>AB108+IF($R109="",0,1)</f>
        <v/>
      </c>
      <c r="AC109">
        <f>IF($R109="","",$AB109)</f>
        <v/>
      </c>
    </row>
    <row r="110">
      <c r="A110">
        <f>IFERROR(INDEX($O$6:$O$1505,MATCH(105,$AC$6:$AC$1505,0)),"")</f>
        <v/>
      </c>
      <c r="B110">
        <f>IF(ISNUMBER($A110),INDEX($P$6:$P$1505,$A110-3),"")</f>
        <v/>
      </c>
      <c r="C110">
        <f>IF(ISNUMBER($A110),INDEX($Q$6:$Q$1505,$A110-3),"")</f>
        <v/>
      </c>
      <c r="D110">
        <f>IF(ISNUMBER($A110),INDEX($R$6:$R$1505,$A110-3),"")</f>
        <v/>
      </c>
      <c r="E110">
        <f>IF(ISNUMBER($A110),$G$2,"")</f>
        <v/>
      </c>
      <c r="F110">
        <f>IF(ISNUMBER($A110),INDEX($Z$6:$Z$1505,$A110-3),"")</f>
        <v/>
      </c>
      <c r="G110">
        <f>IF(ISNUMBER($A110),INDEX($AA$6:$AA$1505,$A110-3),"")</f>
        <v/>
      </c>
      <c r="H110">
        <f>IF(ISNUMBER($A110),INDEX($U$6:$U$1505,$A110-3),"")</f>
        <v/>
      </c>
      <c r="I110">
        <f>IF(ISNUMBER($A110),INDEX($V$6:$V$1505,$A110-3),"")</f>
        <v/>
      </c>
      <c r="J110">
        <f>IF(ISNUMBER($A110),INDEX($W$6:$W$1505,$A110-3),"")</f>
        <v/>
      </c>
      <c r="K110">
        <f>IF(ISNUMBER($A110),INDEX($X$6:$X$1505,$A110-3),"")</f>
        <v/>
      </c>
      <c r="L110">
        <f>IF(ISNUMBER($A110),INDEX($Y$6:$Y$1505,$A110-3),"")</f>
        <v/>
      </c>
      <c r="O110">
        <f>108</f>
        <v/>
      </c>
      <c r="P110">
        <f>IF(TRIM('입력_구리근무자명단'!$A108&amp;"")&lt;&gt;"",TRIM('입력_구리근무자명단'!$A108&amp;""),P109)</f>
        <v/>
      </c>
      <c r="Q110">
        <f>'입력_구리근무자명단'!$B108&amp;""</f>
        <v/>
      </c>
      <c r="R110">
        <f>IF($E$2="","",TRIM(INDEX('입력_구리근무자명단'!$A108:$ZZ108,1,$E$2+IF($G$2="확정",1,0))&amp;""))</f>
        <v/>
      </c>
      <c r="S110">
        <f>IF($R110="","",IF(INDEX('입력_구리근무자명단'!$A108:$ZZ108,1,$E$2+2)&amp;""="",급여기준월,IF(ISNUMBER(INDEX('입력_구리근무자명단'!$A108:$ZZ108,1,$E$2+2)),INDEX('입력_구리근무자명단'!$A108:$ZZ108,1,$E$2+2),IFERROR(DATE(VALUE(LEFT(INDEX('입력_구리근무자명단'!$A108:$ZZ108,1,$E$2+2),4)),VALUE(MID(INDEX('입력_구리근무자명단'!$A108:$ZZ108,1,$E$2+2),6,2)),VALUE(MID(INDEX('입력_구리근무자명단'!$A108:$ZZ108,1,$E$2+2),9,2))),-1))))</f>
        <v/>
      </c>
      <c r="T110">
        <f>IF($R110="","",IF(INDEX('입력_구리근무자명단'!$A108:$ZZ108,1,$E$2+3)&amp;""="",EOMONTH(급여기준월,0),IF(ISNUMBER(INDEX('입력_구리근무자명단'!$A108:$ZZ108,1,$E$2+3)),INDEX('입력_구리근무자명단'!$A108:$ZZ108,1,$E$2+3),IFERROR(DATE(VALUE(LEFT(INDEX('입력_구리근무자명단'!$A108:$ZZ108,1,$E$2+3),4)),VALUE(MID(INDEX('입력_구리근무자명단'!$A108:$ZZ108,1,$E$2+3),6,2)),VALUE(MID(INDEX('입력_구리근무자명단'!$A108:$ZZ108,1,$E$2+3),9,2))),-1))))</f>
        <v/>
      </c>
      <c r="U110">
        <f>IF($R110="","",IF(OR($S110&lt;0,$T110&lt;0),0,MAX(0,MIN($T110,EOMONTH(급여기준월,0))-MAX($S110,급여기준월)+1)))</f>
        <v/>
      </c>
      <c r="V110">
        <f>IF($R110="","",TRIM(INDEX('입력_구리근무자명단'!$A108:$ZZ108,1,$E$2+5)&amp;""))</f>
        <v/>
      </c>
      <c r="W110">
        <f>IF(ISNUMBER(SEARCH("구리독자",$V110)),"구리독자","")</f>
        <v/>
      </c>
      <c r="X110">
        <f>IF($R110="","",$R110&amp;"|"&amp;IF(OR($Q110="인턴",ISNUMBER(SEARCH("수련교육부",$P110))),"인턴",$P110))</f>
        <v/>
      </c>
      <c r="Y110">
        <f>IF($R110="","",IF(COUNTIF(명단표[이름|과],$X110)=1,"명단 일치",IF(AND(COUNTIF(명단표[이름|과],$X110)=0,COUNTIF(명단표[이름],$R110)=1),"명단 일치(이름만, 과 다름)",IF(COUNTIF(명단표[이름],$R110)=0,IF(COUNTIF(기본자료표[이름],$R110)&gt;0,"명단에 없음(기본자료에는 있음)","명단에 없음"),"동명이인 확인"))))</f>
        <v/>
      </c>
      <c r="Z110">
        <f>IF($R110="","",IF($S110&lt;0,"⚠"&amp;INDEX('입력_구리근무자명단'!$A108:$ZZ108,1,$E$2+2),TEXT($S110,"yyyy-mm-dd")))</f>
        <v/>
      </c>
      <c r="AA110">
        <f>IF($R110="","",IF($T110&lt;0,"⚠"&amp;INDEX('입력_구리근무자명단'!$A108:$ZZ108,1,$E$2+3),TEXT($T110,"yyyy-mm-dd")))</f>
        <v/>
      </c>
      <c r="AB110">
        <f>AB109+IF($R110="",0,1)</f>
        <v/>
      </c>
      <c r="AC110">
        <f>IF($R110="","",$AB110)</f>
        <v/>
      </c>
    </row>
    <row r="111">
      <c r="A111">
        <f>IFERROR(INDEX($O$6:$O$1505,MATCH(106,$AC$6:$AC$1505,0)),"")</f>
        <v/>
      </c>
      <c r="B111">
        <f>IF(ISNUMBER($A111),INDEX($P$6:$P$1505,$A111-3),"")</f>
        <v/>
      </c>
      <c r="C111">
        <f>IF(ISNUMBER($A111),INDEX($Q$6:$Q$1505,$A111-3),"")</f>
        <v/>
      </c>
      <c r="D111">
        <f>IF(ISNUMBER($A111),INDEX($R$6:$R$1505,$A111-3),"")</f>
        <v/>
      </c>
      <c r="E111">
        <f>IF(ISNUMBER($A111),$G$2,"")</f>
        <v/>
      </c>
      <c r="F111">
        <f>IF(ISNUMBER($A111),INDEX($Z$6:$Z$1505,$A111-3),"")</f>
        <v/>
      </c>
      <c r="G111">
        <f>IF(ISNUMBER($A111),INDEX($AA$6:$AA$1505,$A111-3),"")</f>
        <v/>
      </c>
      <c r="H111">
        <f>IF(ISNUMBER($A111),INDEX($U$6:$U$1505,$A111-3),"")</f>
        <v/>
      </c>
      <c r="I111">
        <f>IF(ISNUMBER($A111),INDEX($V$6:$V$1505,$A111-3),"")</f>
        <v/>
      </c>
      <c r="J111">
        <f>IF(ISNUMBER($A111),INDEX($W$6:$W$1505,$A111-3),"")</f>
        <v/>
      </c>
      <c r="K111">
        <f>IF(ISNUMBER($A111),INDEX($X$6:$X$1505,$A111-3),"")</f>
        <v/>
      </c>
      <c r="L111">
        <f>IF(ISNUMBER($A111),INDEX($Y$6:$Y$1505,$A111-3),"")</f>
        <v/>
      </c>
      <c r="O111">
        <f>109</f>
        <v/>
      </c>
      <c r="P111">
        <f>IF(TRIM('입력_구리근무자명단'!$A109&amp;"")&lt;&gt;"",TRIM('입력_구리근무자명단'!$A109&amp;""),P110)</f>
        <v/>
      </c>
      <c r="Q111">
        <f>'입력_구리근무자명단'!$B109&amp;""</f>
        <v/>
      </c>
      <c r="R111">
        <f>IF($E$2="","",TRIM(INDEX('입력_구리근무자명단'!$A109:$ZZ109,1,$E$2+IF($G$2="확정",1,0))&amp;""))</f>
        <v/>
      </c>
      <c r="S111">
        <f>IF($R111="","",IF(INDEX('입력_구리근무자명단'!$A109:$ZZ109,1,$E$2+2)&amp;""="",급여기준월,IF(ISNUMBER(INDEX('입력_구리근무자명단'!$A109:$ZZ109,1,$E$2+2)),INDEX('입력_구리근무자명단'!$A109:$ZZ109,1,$E$2+2),IFERROR(DATE(VALUE(LEFT(INDEX('입력_구리근무자명단'!$A109:$ZZ109,1,$E$2+2),4)),VALUE(MID(INDEX('입력_구리근무자명단'!$A109:$ZZ109,1,$E$2+2),6,2)),VALUE(MID(INDEX('입력_구리근무자명단'!$A109:$ZZ109,1,$E$2+2),9,2))),-1))))</f>
        <v/>
      </c>
      <c r="T111">
        <f>IF($R111="","",IF(INDEX('입력_구리근무자명단'!$A109:$ZZ109,1,$E$2+3)&amp;""="",EOMONTH(급여기준월,0),IF(ISNUMBER(INDEX('입력_구리근무자명단'!$A109:$ZZ109,1,$E$2+3)),INDEX('입력_구리근무자명단'!$A109:$ZZ109,1,$E$2+3),IFERROR(DATE(VALUE(LEFT(INDEX('입력_구리근무자명단'!$A109:$ZZ109,1,$E$2+3),4)),VALUE(MID(INDEX('입력_구리근무자명단'!$A109:$ZZ109,1,$E$2+3),6,2)),VALUE(MID(INDEX('입력_구리근무자명단'!$A109:$ZZ109,1,$E$2+3),9,2))),-1))))</f>
        <v/>
      </c>
      <c r="U111">
        <f>IF($R111="","",IF(OR($S111&lt;0,$T111&lt;0),0,MAX(0,MIN($T111,EOMONTH(급여기준월,0))-MAX($S111,급여기준월)+1)))</f>
        <v/>
      </c>
      <c r="V111">
        <f>IF($R111="","",TRIM(INDEX('입력_구리근무자명단'!$A109:$ZZ109,1,$E$2+5)&amp;""))</f>
        <v/>
      </c>
      <c r="W111">
        <f>IF(ISNUMBER(SEARCH("구리독자",$V111)),"구리독자","")</f>
        <v/>
      </c>
      <c r="X111">
        <f>IF($R111="","",$R111&amp;"|"&amp;IF(OR($Q111="인턴",ISNUMBER(SEARCH("수련교육부",$P111))),"인턴",$P111))</f>
        <v/>
      </c>
      <c r="Y111">
        <f>IF($R111="","",IF(COUNTIF(명단표[이름|과],$X111)=1,"명단 일치",IF(AND(COUNTIF(명단표[이름|과],$X111)=0,COUNTIF(명단표[이름],$R111)=1),"명단 일치(이름만, 과 다름)",IF(COUNTIF(명단표[이름],$R111)=0,IF(COUNTIF(기본자료표[이름],$R111)&gt;0,"명단에 없음(기본자료에는 있음)","명단에 없음"),"동명이인 확인"))))</f>
        <v/>
      </c>
      <c r="Z111">
        <f>IF($R111="","",IF($S111&lt;0,"⚠"&amp;INDEX('입력_구리근무자명단'!$A109:$ZZ109,1,$E$2+2),TEXT($S111,"yyyy-mm-dd")))</f>
        <v/>
      </c>
      <c r="AA111">
        <f>IF($R111="","",IF($T111&lt;0,"⚠"&amp;INDEX('입력_구리근무자명단'!$A109:$ZZ109,1,$E$2+3),TEXT($T111,"yyyy-mm-dd")))</f>
        <v/>
      </c>
      <c r="AB111">
        <f>AB110+IF($R111="",0,1)</f>
        <v/>
      </c>
      <c r="AC111">
        <f>IF($R111="","",$AB111)</f>
        <v/>
      </c>
    </row>
    <row r="112">
      <c r="A112">
        <f>IFERROR(INDEX($O$6:$O$1505,MATCH(107,$AC$6:$AC$1505,0)),"")</f>
        <v/>
      </c>
      <c r="B112">
        <f>IF(ISNUMBER($A112),INDEX($P$6:$P$1505,$A112-3),"")</f>
        <v/>
      </c>
      <c r="C112">
        <f>IF(ISNUMBER($A112),INDEX($Q$6:$Q$1505,$A112-3),"")</f>
        <v/>
      </c>
      <c r="D112">
        <f>IF(ISNUMBER($A112),INDEX($R$6:$R$1505,$A112-3),"")</f>
        <v/>
      </c>
      <c r="E112">
        <f>IF(ISNUMBER($A112),$G$2,"")</f>
        <v/>
      </c>
      <c r="F112">
        <f>IF(ISNUMBER($A112),INDEX($Z$6:$Z$1505,$A112-3),"")</f>
        <v/>
      </c>
      <c r="G112">
        <f>IF(ISNUMBER($A112),INDEX($AA$6:$AA$1505,$A112-3),"")</f>
        <v/>
      </c>
      <c r="H112">
        <f>IF(ISNUMBER($A112),INDEX($U$6:$U$1505,$A112-3),"")</f>
        <v/>
      </c>
      <c r="I112">
        <f>IF(ISNUMBER($A112),INDEX($V$6:$V$1505,$A112-3),"")</f>
        <v/>
      </c>
      <c r="J112">
        <f>IF(ISNUMBER($A112),INDEX($W$6:$W$1505,$A112-3),"")</f>
        <v/>
      </c>
      <c r="K112">
        <f>IF(ISNUMBER($A112),INDEX($X$6:$X$1505,$A112-3),"")</f>
        <v/>
      </c>
      <c r="L112">
        <f>IF(ISNUMBER($A112),INDEX($Y$6:$Y$1505,$A112-3),"")</f>
        <v/>
      </c>
      <c r="O112">
        <f>110</f>
        <v/>
      </c>
      <c r="P112">
        <f>IF(TRIM('입력_구리근무자명단'!$A110&amp;"")&lt;&gt;"",TRIM('입력_구리근무자명단'!$A110&amp;""),P111)</f>
        <v/>
      </c>
      <c r="Q112">
        <f>'입력_구리근무자명단'!$B110&amp;""</f>
        <v/>
      </c>
      <c r="R112">
        <f>IF($E$2="","",TRIM(INDEX('입력_구리근무자명단'!$A110:$ZZ110,1,$E$2+IF($G$2="확정",1,0))&amp;""))</f>
        <v/>
      </c>
      <c r="S112">
        <f>IF($R112="","",IF(INDEX('입력_구리근무자명단'!$A110:$ZZ110,1,$E$2+2)&amp;""="",급여기준월,IF(ISNUMBER(INDEX('입력_구리근무자명단'!$A110:$ZZ110,1,$E$2+2)),INDEX('입력_구리근무자명단'!$A110:$ZZ110,1,$E$2+2),IFERROR(DATE(VALUE(LEFT(INDEX('입력_구리근무자명단'!$A110:$ZZ110,1,$E$2+2),4)),VALUE(MID(INDEX('입력_구리근무자명단'!$A110:$ZZ110,1,$E$2+2),6,2)),VALUE(MID(INDEX('입력_구리근무자명단'!$A110:$ZZ110,1,$E$2+2),9,2))),-1))))</f>
        <v/>
      </c>
      <c r="T112">
        <f>IF($R112="","",IF(INDEX('입력_구리근무자명단'!$A110:$ZZ110,1,$E$2+3)&amp;""="",EOMONTH(급여기준월,0),IF(ISNUMBER(INDEX('입력_구리근무자명단'!$A110:$ZZ110,1,$E$2+3)),INDEX('입력_구리근무자명단'!$A110:$ZZ110,1,$E$2+3),IFERROR(DATE(VALUE(LEFT(INDEX('입력_구리근무자명단'!$A110:$ZZ110,1,$E$2+3),4)),VALUE(MID(INDEX('입력_구리근무자명단'!$A110:$ZZ110,1,$E$2+3),6,2)),VALUE(MID(INDEX('입력_구리근무자명단'!$A110:$ZZ110,1,$E$2+3),9,2))),-1))))</f>
        <v/>
      </c>
      <c r="U112">
        <f>IF($R112="","",IF(OR($S112&lt;0,$T112&lt;0),0,MAX(0,MIN($T112,EOMONTH(급여기준월,0))-MAX($S112,급여기준월)+1)))</f>
        <v/>
      </c>
      <c r="V112">
        <f>IF($R112="","",TRIM(INDEX('입력_구리근무자명단'!$A110:$ZZ110,1,$E$2+5)&amp;""))</f>
        <v/>
      </c>
      <c r="W112">
        <f>IF(ISNUMBER(SEARCH("구리독자",$V112)),"구리독자","")</f>
        <v/>
      </c>
      <c r="X112">
        <f>IF($R112="","",$R112&amp;"|"&amp;IF(OR($Q112="인턴",ISNUMBER(SEARCH("수련교육부",$P112))),"인턴",$P112))</f>
        <v/>
      </c>
      <c r="Y112">
        <f>IF($R112="","",IF(COUNTIF(명단표[이름|과],$X112)=1,"명단 일치",IF(AND(COUNTIF(명단표[이름|과],$X112)=0,COUNTIF(명단표[이름],$R112)=1),"명단 일치(이름만, 과 다름)",IF(COUNTIF(명단표[이름],$R112)=0,IF(COUNTIF(기본자료표[이름],$R112)&gt;0,"명단에 없음(기본자료에는 있음)","명단에 없음"),"동명이인 확인"))))</f>
        <v/>
      </c>
      <c r="Z112">
        <f>IF($R112="","",IF($S112&lt;0,"⚠"&amp;INDEX('입력_구리근무자명단'!$A110:$ZZ110,1,$E$2+2),TEXT($S112,"yyyy-mm-dd")))</f>
        <v/>
      </c>
      <c r="AA112">
        <f>IF($R112="","",IF($T112&lt;0,"⚠"&amp;INDEX('입력_구리근무자명단'!$A110:$ZZ110,1,$E$2+3),TEXT($T112,"yyyy-mm-dd")))</f>
        <v/>
      </c>
      <c r="AB112">
        <f>AB111+IF($R112="",0,1)</f>
        <v/>
      </c>
      <c r="AC112">
        <f>IF($R112="","",$AB112)</f>
        <v/>
      </c>
    </row>
    <row r="113">
      <c r="A113">
        <f>IFERROR(INDEX($O$6:$O$1505,MATCH(108,$AC$6:$AC$1505,0)),"")</f>
        <v/>
      </c>
      <c r="B113">
        <f>IF(ISNUMBER($A113),INDEX($P$6:$P$1505,$A113-3),"")</f>
        <v/>
      </c>
      <c r="C113">
        <f>IF(ISNUMBER($A113),INDEX($Q$6:$Q$1505,$A113-3),"")</f>
        <v/>
      </c>
      <c r="D113">
        <f>IF(ISNUMBER($A113),INDEX($R$6:$R$1505,$A113-3),"")</f>
        <v/>
      </c>
      <c r="E113">
        <f>IF(ISNUMBER($A113),$G$2,"")</f>
        <v/>
      </c>
      <c r="F113">
        <f>IF(ISNUMBER($A113),INDEX($Z$6:$Z$1505,$A113-3),"")</f>
        <v/>
      </c>
      <c r="G113">
        <f>IF(ISNUMBER($A113),INDEX($AA$6:$AA$1505,$A113-3),"")</f>
        <v/>
      </c>
      <c r="H113">
        <f>IF(ISNUMBER($A113),INDEX($U$6:$U$1505,$A113-3),"")</f>
        <v/>
      </c>
      <c r="I113">
        <f>IF(ISNUMBER($A113),INDEX($V$6:$V$1505,$A113-3),"")</f>
        <v/>
      </c>
      <c r="J113">
        <f>IF(ISNUMBER($A113),INDEX($W$6:$W$1505,$A113-3),"")</f>
        <v/>
      </c>
      <c r="K113">
        <f>IF(ISNUMBER($A113),INDEX($X$6:$X$1505,$A113-3),"")</f>
        <v/>
      </c>
      <c r="L113">
        <f>IF(ISNUMBER($A113),INDEX($Y$6:$Y$1505,$A113-3),"")</f>
        <v/>
      </c>
      <c r="O113">
        <f>111</f>
        <v/>
      </c>
      <c r="P113">
        <f>IF(TRIM('입력_구리근무자명단'!$A111&amp;"")&lt;&gt;"",TRIM('입력_구리근무자명단'!$A111&amp;""),P112)</f>
        <v/>
      </c>
      <c r="Q113">
        <f>'입력_구리근무자명단'!$B111&amp;""</f>
        <v/>
      </c>
      <c r="R113">
        <f>IF($E$2="","",TRIM(INDEX('입력_구리근무자명단'!$A111:$ZZ111,1,$E$2+IF($G$2="확정",1,0))&amp;""))</f>
        <v/>
      </c>
      <c r="S113">
        <f>IF($R113="","",IF(INDEX('입력_구리근무자명단'!$A111:$ZZ111,1,$E$2+2)&amp;""="",급여기준월,IF(ISNUMBER(INDEX('입력_구리근무자명단'!$A111:$ZZ111,1,$E$2+2)),INDEX('입력_구리근무자명단'!$A111:$ZZ111,1,$E$2+2),IFERROR(DATE(VALUE(LEFT(INDEX('입력_구리근무자명단'!$A111:$ZZ111,1,$E$2+2),4)),VALUE(MID(INDEX('입력_구리근무자명단'!$A111:$ZZ111,1,$E$2+2),6,2)),VALUE(MID(INDEX('입력_구리근무자명단'!$A111:$ZZ111,1,$E$2+2),9,2))),-1))))</f>
        <v/>
      </c>
      <c r="T113">
        <f>IF($R113="","",IF(INDEX('입력_구리근무자명단'!$A111:$ZZ111,1,$E$2+3)&amp;""="",EOMONTH(급여기준월,0),IF(ISNUMBER(INDEX('입력_구리근무자명단'!$A111:$ZZ111,1,$E$2+3)),INDEX('입력_구리근무자명단'!$A111:$ZZ111,1,$E$2+3),IFERROR(DATE(VALUE(LEFT(INDEX('입력_구리근무자명단'!$A111:$ZZ111,1,$E$2+3),4)),VALUE(MID(INDEX('입력_구리근무자명단'!$A111:$ZZ111,1,$E$2+3),6,2)),VALUE(MID(INDEX('입력_구리근무자명단'!$A111:$ZZ111,1,$E$2+3),9,2))),-1))))</f>
        <v/>
      </c>
      <c r="U113">
        <f>IF($R113="","",IF(OR($S113&lt;0,$T113&lt;0),0,MAX(0,MIN($T113,EOMONTH(급여기준월,0))-MAX($S113,급여기준월)+1)))</f>
        <v/>
      </c>
      <c r="V113">
        <f>IF($R113="","",TRIM(INDEX('입력_구리근무자명단'!$A111:$ZZ111,1,$E$2+5)&amp;""))</f>
        <v/>
      </c>
      <c r="W113">
        <f>IF(ISNUMBER(SEARCH("구리독자",$V113)),"구리독자","")</f>
        <v/>
      </c>
      <c r="X113">
        <f>IF($R113="","",$R113&amp;"|"&amp;IF(OR($Q113="인턴",ISNUMBER(SEARCH("수련교육부",$P113))),"인턴",$P113))</f>
        <v/>
      </c>
      <c r="Y113">
        <f>IF($R113="","",IF(COUNTIF(명단표[이름|과],$X113)=1,"명단 일치",IF(AND(COUNTIF(명단표[이름|과],$X113)=0,COUNTIF(명단표[이름],$R113)=1),"명단 일치(이름만, 과 다름)",IF(COUNTIF(명단표[이름],$R113)=0,IF(COUNTIF(기본자료표[이름],$R113)&gt;0,"명단에 없음(기본자료에는 있음)","명단에 없음"),"동명이인 확인"))))</f>
        <v/>
      </c>
      <c r="Z113">
        <f>IF($R113="","",IF($S113&lt;0,"⚠"&amp;INDEX('입력_구리근무자명단'!$A111:$ZZ111,1,$E$2+2),TEXT($S113,"yyyy-mm-dd")))</f>
        <v/>
      </c>
      <c r="AA113">
        <f>IF($R113="","",IF($T113&lt;0,"⚠"&amp;INDEX('입력_구리근무자명단'!$A111:$ZZ111,1,$E$2+3),TEXT($T113,"yyyy-mm-dd")))</f>
        <v/>
      </c>
      <c r="AB113">
        <f>AB112+IF($R113="",0,1)</f>
        <v/>
      </c>
      <c r="AC113">
        <f>IF($R113="","",$AB113)</f>
        <v/>
      </c>
    </row>
    <row r="114">
      <c r="A114">
        <f>IFERROR(INDEX($O$6:$O$1505,MATCH(109,$AC$6:$AC$1505,0)),"")</f>
        <v/>
      </c>
      <c r="B114">
        <f>IF(ISNUMBER($A114),INDEX($P$6:$P$1505,$A114-3),"")</f>
        <v/>
      </c>
      <c r="C114">
        <f>IF(ISNUMBER($A114),INDEX($Q$6:$Q$1505,$A114-3),"")</f>
        <v/>
      </c>
      <c r="D114">
        <f>IF(ISNUMBER($A114),INDEX($R$6:$R$1505,$A114-3),"")</f>
        <v/>
      </c>
      <c r="E114">
        <f>IF(ISNUMBER($A114),$G$2,"")</f>
        <v/>
      </c>
      <c r="F114">
        <f>IF(ISNUMBER($A114),INDEX($Z$6:$Z$1505,$A114-3),"")</f>
        <v/>
      </c>
      <c r="G114">
        <f>IF(ISNUMBER($A114),INDEX($AA$6:$AA$1505,$A114-3),"")</f>
        <v/>
      </c>
      <c r="H114">
        <f>IF(ISNUMBER($A114),INDEX($U$6:$U$1505,$A114-3),"")</f>
        <v/>
      </c>
      <c r="I114">
        <f>IF(ISNUMBER($A114),INDEX($V$6:$V$1505,$A114-3),"")</f>
        <v/>
      </c>
      <c r="J114">
        <f>IF(ISNUMBER($A114),INDEX($W$6:$W$1505,$A114-3),"")</f>
        <v/>
      </c>
      <c r="K114">
        <f>IF(ISNUMBER($A114),INDEX($X$6:$X$1505,$A114-3),"")</f>
        <v/>
      </c>
      <c r="L114">
        <f>IF(ISNUMBER($A114),INDEX($Y$6:$Y$1505,$A114-3),"")</f>
        <v/>
      </c>
      <c r="O114">
        <f>112</f>
        <v/>
      </c>
      <c r="P114">
        <f>IF(TRIM('입력_구리근무자명단'!$A112&amp;"")&lt;&gt;"",TRIM('입력_구리근무자명단'!$A112&amp;""),P113)</f>
        <v/>
      </c>
      <c r="Q114">
        <f>'입력_구리근무자명단'!$B112&amp;""</f>
        <v/>
      </c>
      <c r="R114">
        <f>IF($E$2="","",TRIM(INDEX('입력_구리근무자명단'!$A112:$ZZ112,1,$E$2+IF($G$2="확정",1,0))&amp;""))</f>
        <v/>
      </c>
      <c r="S114">
        <f>IF($R114="","",IF(INDEX('입력_구리근무자명단'!$A112:$ZZ112,1,$E$2+2)&amp;""="",급여기준월,IF(ISNUMBER(INDEX('입력_구리근무자명단'!$A112:$ZZ112,1,$E$2+2)),INDEX('입력_구리근무자명단'!$A112:$ZZ112,1,$E$2+2),IFERROR(DATE(VALUE(LEFT(INDEX('입력_구리근무자명단'!$A112:$ZZ112,1,$E$2+2),4)),VALUE(MID(INDEX('입력_구리근무자명단'!$A112:$ZZ112,1,$E$2+2),6,2)),VALUE(MID(INDEX('입력_구리근무자명단'!$A112:$ZZ112,1,$E$2+2),9,2))),-1))))</f>
        <v/>
      </c>
      <c r="T114">
        <f>IF($R114="","",IF(INDEX('입력_구리근무자명단'!$A112:$ZZ112,1,$E$2+3)&amp;""="",EOMONTH(급여기준월,0),IF(ISNUMBER(INDEX('입력_구리근무자명단'!$A112:$ZZ112,1,$E$2+3)),INDEX('입력_구리근무자명단'!$A112:$ZZ112,1,$E$2+3),IFERROR(DATE(VALUE(LEFT(INDEX('입력_구리근무자명단'!$A112:$ZZ112,1,$E$2+3),4)),VALUE(MID(INDEX('입력_구리근무자명단'!$A112:$ZZ112,1,$E$2+3),6,2)),VALUE(MID(INDEX('입력_구리근무자명단'!$A112:$ZZ112,1,$E$2+3),9,2))),-1))))</f>
        <v/>
      </c>
      <c r="U114">
        <f>IF($R114="","",IF(OR($S114&lt;0,$T114&lt;0),0,MAX(0,MIN($T114,EOMONTH(급여기준월,0))-MAX($S114,급여기준월)+1)))</f>
        <v/>
      </c>
      <c r="V114">
        <f>IF($R114="","",TRIM(INDEX('입력_구리근무자명단'!$A112:$ZZ112,1,$E$2+5)&amp;""))</f>
        <v/>
      </c>
      <c r="W114">
        <f>IF(ISNUMBER(SEARCH("구리독자",$V114)),"구리독자","")</f>
        <v/>
      </c>
      <c r="X114">
        <f>IF($R114="","",$R114&amp;"|"&amp;IF(OR($Q114="인턴",ISNUMBER(SEARCH("수련교육부",$P114))),"인턴",$P114))</f>
        <v/>
      </c>
      <c r="Y114">
        <f>IF($R114="","",IF(COUNTIF(명단표[이름|과],$X114)=1,"명단 일치",IF(AND(COUNTIF(명단표[이름|과],$X114)=0,COUNTIF(명단표[이름],$R114)=1),"명단 일치(이름만, 과 다름)",IF(COUNTIF(명단표[이름],$R114)=0,IF(COUNTIF(기본자료표[이름],$R114)&gt;0,"명단에 없음(기본자료에는 있음)","명단에 없음"),"동명이인 확인"))))</f>
        <v/>
      </c>
      <c r="Z114">
        <f>IF($R114="","",IF($S114&lt;0,"⚠"&amp;INDEX('입력_구리근무자명단'!$A112:$ZZ112,1,$E$2+2),TEXT($S114,"yyyy-mm-dd")))</f>
        <v/>
      </c>
      <c r="AA114">
        <f>IF($R114="","",IF($T114&lt;0,"⚠"&amp;INDEX('입력_구리근무자명단'!$A112:$ZZ112,1,$E$2+3),TEXT($T114,"yyyy-mm-dd")))</f>
        <v/>
      </c>
      <c r="AB114">
        <f>AB113+IF($R114="",0,1)</f>
        <v/>
      </c>
      <c r="AC114">
        <f>IF($R114="","",$AB114)</f>
        <v/>
      </c>
    </row>
    <row r="115">
      <c r="A115">
        <f>IFERROR(INDEX($O$6:$O$1505,MATCH(110,$AC$6:$AC$1505,0)),"")</f>
        <v/>
      </c>
      <c r="B115">
        <f>IF(ISNUMBER($A115),INDEX($P$6:$P$1505,$A115-3),"")</f>
        <v/>
      </c>
      <c r="C115">
        <f>IF(ISNUMBER($A115),INDEX($Q$6:$Q$1505,$A115-3),"")</f>
        <v/>
      </c>
      <c r="D115">
        <f>IF(ISNUMBER($A115),INDEX($R$6:$R$1505,$A115-3),"")</f>
        <v/>
      </c>
      <c r="E115">
        <f>IF(ISNUMBER($A115),$G$2,"")</f>
        <v/>
      </c>
      <c r="F115">
        <f>IF(ISNUMBER($A115),INDEX($Z$6:$Z$1505,$A115-3),"")</f>
        <v/>
      </c>
      <c r="G115">
        <f>IF(ISNUMBER($A115),INDEX($AA$6:$AA$1505,$A115-3),"")</f>
        <v/>
      </c>
      <c r="H115">
        <f>IF(ISNUMBER($A115),INDEX($U$6:$U$1505,$A115-3),"")</f>
        <v/>
      </c>
      <c r="I115">
        <f>IF(ISNUMBER($A115),INDEX($V$6:$V$1505,$A115-3),"")</f>
        <v/>
      </c>
      <c r="J115">
        <f>IF(ISNUMBER($A115),INDEX($W$6:$W$1505,$A115-3),"")</f>
        <v/>
      </c>
      <c r="K115">
        <f>IF(ISNUMBER($A115),INDEX($X$6:$X$1505,$A115-3),"")</f>
        <v/>
      </c>
      <c r="L115">
        <f>IF(ISNUMBER($A115),INDEX($Y$6:$Y$1505,$A115-3),"")</f>
        <v/>
      </c>
      <c r="O115">
        <f>113</f>
        <v/>
      </c>
      <c r="P115">
        <f>IF(TRIM('입력_구리근무자명단'!$A113&amp;"")&lt;&gt;"",TRIM('입력_구리근무자명단'!$A113&amp;""),P114)</f>
        <v/>
      </c>
      <c r="Q115">
        <f>'입력_구리근무자명단'!$B113&amp;""</f>
        <v/>
      </c>
      <c r="R115">
        <f>IF($E$2="","",TRIM(INDEX('입력_구리근무자명단'!$A113:$ZZ113,1,$E$2+IF($G$2="확정",1,0))&amp;""))</f>
        <v/>
      </c>
      <c r="S115">
        <f>IF($R115="","",IF(INDEX('입력_구리근무자명단'!$A113:$ZZ113,1,$E$2+2)&amp;""="",급여기준월,IF(ISNUMBER(INDEX('입력_구리근무자명단'!$A113:$ZZ113,1,$E$2+2)),INDEX('입력_구리근무자명단'!$A113:$ZZ113,1,$E$2+2),IFERROR(DATE(VALUE(LEFT(INDEX('입력_구리근무자명단'!$A113:$ZZ113,1,$E$2+2),4)),VALUE(MID(INDEX('입력_구리근무자명단'!$A113:$ZZ113,1,$E$2+2),6,2)),VALUE(MID(INDEX('입력_구리근무자명단'!$A113:$ZZ113,1,$E$2+2),9,2))),-1))))</f>
        <v/>
      </c>
      <c r="T115">
        <f>IF($R115="","",IF(INDEX('입력_구리근무자명단'!$A113:$ZZ113,1,$E$2+3)&amp;""="",EOMONTH(급여기준월,0),IF(ISNUMBER(INDEX('입력_구리근무자명단'!$A113:$ZZ113,1,$E$2+3)),INDEX('입력_구리근무자명단'!$A113:$ZZ113,1,$E$2+3),IFERROR(DATE(VALUE(LEFT(INDEX('입력_구리근무자명단'!$A113:$ZZ113,1,$E$2+3),4)),VALUE(MID(INDEX('입력_구리근무자명단'!$A113:$ZZ113,1,$E$2+3),6,2)),VALUE(MID(INDEX('입력_구리근무자명단'!$A113:$ZZ113,1,$E$2+3),9,2))),-1))))</f>
        <v/>
      </c>
      <c r="U115">
        <f>IF($R115="","",IF(OR($S115&lt;0,$T115&lt;0),0,MAX(0,MIN($T115,EOMONTH(급여기준월,0))-MAX($S115,급여기준월)+1)))</f>
        <v/>
      </c>
      <c r="V115">
        <f>IF($R115="","",TRIM(INDEX('입력_구리근무자명단'!$A113:$ZZ113,1,$E$2+5)&amp;""))</f>
        <v/>
      </c>
      <c r="W115">
        <f>IF(ISNUMBER(SEARCH("구리독자",$V115)),"구리독자","")</f>
        <v/>
      </c>
      <c r="X115">
        <f>IF($R115="","",$R115&amp;"|"&amp;IF(OR($Q115="인턴",ISNUMBER(SEARCH("수련교육부",$P115))),"인턴",$P115))</f>
        <v/>
      </c>
      <c r="Y115">
        <f>IF($R115="","",IF(COUNTIF(명단표[이름|과],$X115)=1,"명단 일치",IF(AND(COUNTIF(명단표[이름|과],$X115)=0,COUNTIF(명단표[이름],$R115)=1),"명단 일치(이름만, 과 다름)",IF(COUNTIF(명단표[이름],$R115)=0,IF(COUNTIF(기본자료표[이름],$R115)&gt;0,"명단에 없음(기본자료에는 있음)","명단에 없음"),"동명이인 확인"))))</f>
        <v/>
      </c>
      <c r="Z115">
        <f>IF($R115="","",IF($S115&lt;0,"⚠"&amp;INDEX('입력_구리근무자명단'!$A113:$ZZ113,1,$E$2+2),TEXT($S115,"yyyy-mm-dd")))</f>
        <v/>
      </c>
      <c r="AA115">
        <f>IF($R115="","",IF($T115&lt;0,"⚠"&amp;INDEX('입력_구리근무자명단'!$A113:$ZZ113,1,$E$2+3),TEXT($T115,"yyyy-mm-dd")))</f>
        <v/>
      </c>
      <c r="AB115">
        <f>AB114+IF($R115="",0,1)</f>
        <v/>
      </c>
      <c r="AC115">
        <f>IF($R115="","",$AB115)</f>
        <v/>
      </c>
    </row>
    <row r="116">
      <c r="A116">
        <f>IFERROR(INDEX($O$6:$O$1505,MATCH(111,$AC$6:$AC$1505,0)),"")</f>
        <v/>
      </c>
      <c r="B116">
        <f>IF(ISNUMBER($A116),INDEX($P$6:$P$1505,$A116-3),"")</f>
        <v/>
      </c>
      <c r="C116">
        <f>IF(ISNUMBER($A116),INDEX($Q$6:$Q$1505,$A116-3),"")</f>
        <v/>
      </c>
      <c r="D116">
        <f>IF(ISNUMBER($A116),INDEX($R$6:$R$1505,$A116-3),"")</f>
        <v/>
      </c>
      <c r="E116">
        <f>IF(ISNUMBER($A116),$G$2,"")</f>
        <v/>
      </c>
      <c r="F116">
        <f>IF(ISNUMBER($A116),INDEX($Z$6:$Z$1505,$A116-3),"")</f>
        <v/>
      </c>
      <c r="G116">
        <f>IF(ISNUMBER($A116),INDEX($AA$6:$AA$1505,$A116-3),"")</f>
        <v/>
      </c>
      <c r="H116">
        <f>IF(ISNUMBER($A116),INDEX($U$6:$U$1505,$A116-3),"")</f>
        <v/>
      </c>
      <c r="I116">
        <f>IF(ISNUMBER($A116),INDEX($V$6:$V$1505,$A116-3),"")</f>
        <v/>
      </c>
      <c r="J116">
        <f>IF(ISNUMBER($A116),INDEX($W$6:$W$1505,$A116-3),"")</f>
        <v/>
      </c>
      <c r="K116">
        <f>IF(ISNUMBER($A116),INDEX($X$6:$X$1505,$A116-3),"")</f>
        <v/>
      </c>
      <c r="L116">
        <f>IF(ISNUMBER($A116),INDEX($Y$6:$Y$1505,$A116-3),"")</f>
        <v/>
      </c>
      <c r="O116">
        <f>114</f>
        <v/>
      </c>
      <c r="P116">
        <f>IF(TRIM('입력_구리근무자명단'!$A114&amp;"")&lt;&gt;"",TRIM('입력_구리근무자명단'!$A114&amp;""),P115)</f>
        <v/>
      </c>
      <c r="Q116">
        <f>'입력_구리근무자명단'!$B114&amp;""</f>
        <v/>
      </c>
      <c r="R116">
        <f>IF($E$2="","",TRIM(INDEX('입력_구리근무자명단'!$A114:$ZZ114,1,$E$2+IF($G$2="확정",1,0))&amp;""))</f>
        <v/>
      </c>
      <c r="S116">
        <f>IF($R116="","",IF(INDEX('입력_구리근무자명단'!$A114:$ZZ114,1,$E$2+2)&amp;""="",급여기준월,IF(ISNUMBER(INDEX('입력_구리근무자명단'!$A114:$ZZ114,1,$E$2+2)),INDEX('입력_구리근무자명단'!$A114:$ZZ114,1,$E$2+2),IFERROR(DATE(VALUE(LEFT(INDEX('입력_구리근무자명단'!$A114:$ZZ114,1,$E$2+2),4)),VALUE(MID(INDEX('입력_구리근무자명단'!$A114:$ZZ114,1,$E$2+2),6,2)),VALUE(MID(INDEX('입력_구리근무자명단'!$A114:$ZZ114,1,$E$2+2),9,2))),-1))))</f>
        <v/>
      </c>
      <c r="T116">
        <f>IF($R116="","",IF(INDEX('입력_구리근무자명단'!$A114:$ZZ114,1,$E$2+3)&amp;""="",EOMONTH(급여기준월,0),IF(ISNUMBER(INDEX('입력_구리근무자명단'!$A114:$ZZ114,1,$E$2+3)),INDEX('입력_구리근무자명단'!$A114:$ZZ114,1,$E$2+3),IFERROR(DATE(VALUE(LEFT(INDEX('입력_구리근무자명단'!$A114:$ZZ114,1,$E$2+3),4)),VALUE(MID(INDEX('입력_구리근무자명단'!$A114:$ZZ114,1,$E$2+3),6,2)),VALUE(MID(INDEX('입력_구리근무자명단'!$A114:$ZZ114,1,$E$2+3),9,2))),-1))))</f>
        <v/>
      </c>
      <c r="U116">
        <f>IF($R116="","",IF(OR($S116&lt;0,$T116&lt;0),0,MAX(0,MIN($T116,EOMONTH(급여기준월,0))-MAX($S116,급여기준월)+1)))</f>
        <v/>
      </c>
      <c r="V116">
        <f>IF($R116="","",TRIM(INDEX('입력_구리근무자명단'!$A114:$ZZ114,1,$E$2+5)&amp;""))</f>
        <v/>
      </c>
      <c r="W116">
        <f>IF(ISNUMBER(SEARCH("구리독자",$V116)),"구리독자","")</f>
        <v/>
      </c>
      <c r="X116">
        <f>IF($R116="","",$R116&amp;"|"&amp;IF(OR($Q116="인턴",ISNUMBER(SEARCH("수련교육부",$P116))),"인턴",$P116))</f>
        <v/>
      </c>
      <c r="Y116">
        <f>IF($R116="","",IF(COUNTIF(명단표[이름|과],$X116)=1,"명단 일치",IF(AND(COUNTIF(명단표[이름|과],$X116)=0,COUNTIF(명단표[이름],$R116)=1),"명단 일치(이름만, 과 다름)",IF(COUNTIF(명단표[이름],$R116)=0,IF(COUNTIF(기본자료표[이름],$R116)&gt;0,"명단에 없음(기본자료에는 있음)","명단에 없음"),"동명이인 확인"))))</f>
        <v/>
      </c>
      <c r="Z116">
        <f>IF($R116="","",IF($S116&lt;0,"⚠"&amp;INDEX('입력_구리근무자명단'!$A114:$ZZ114,1,$E$2+2),TEXT($S116,"yyyy-mm-dd")))</f>
        <v/>
      </c>
      <c r="AA116">
        <f>IF($R116="","",IF($T116&lt;0,"⚠"&amp;INDEX('입력_구리근무자명단'!$A114:$ZZ114,1,$E$2+3),TEXT($T116,"yyyy-mm-dd")))</f>
        <v/>
      </c>
      <c r="AB116">
        <f>AB115+IF($R116="",0,1)</f>
        <v/>
      </c>
      <c r="AC116">
        <f>IF($R116="","",$AB116)</f>
        <v/>
      </c>
    </row>
    <row r="117">
      <c r="A117">
        <f>IFERROR(INDEX($O$6:$O$1505,MATCH(112,$AC$6:$AC$1505,0)),"")</f>
        <v/>
      </c>
      <c r="B117">
        <f>IF(ISNUMBER($A117),INDEX($P$6:$P$1505,$A117-3),"")</f>
        <v/>
      </c>
      <c r="C117">
        <f>IF(ISNUMBER($A117),INDEX($Q$6:$Q$1505,$A117-3),"")</f>
        <v/>
      </c>
      <c r="D117">
        <f>IF(ISNUMBER($A117),INDEX($R$6:$R$1505,$A117-3),"")</f>
        <v/>
      </c>
      <c r="E117">
        <f>IF(ISNUMBER($A117),$G$2,"")</f>
        <v/>
      </c>
      <c r="F117">
        <f>IF(ISNUMBER($A117),INDEX($Z$6:$Z$1505,$A117-3),"")</f>
        <v/>
      </c>
      <c r="G117">
        <f>IF(ISNUMBER($A117),INDEX($AA$6:$AA$1505,$A117-3),"")</f>
        <v/>
      </c>
      <c r="H117">
        <f>IF(ISNUMBER($A117),INDEX($U$6:$U$1505,$A117-3),"")</f>
        <v/>
      </c>
      <c r="I117">
        <f>IF(ISNUMBER($A117),INDEX($V$6:$V$1505,$A117-3),"")</f>
        <v/>
      </c>
      <c r="J117">
        <f>IF(ISNUMBER($A117),INDEX($W$6:$W$1505,$A117-3),"")</f>
        <v/>
      </c>
      <c r="K117">
        <f>IF(ISNUMBER($A117),INDEX($X$6:$X$1505,$A117-3),"")</f>
        <v/>
      </c>
      <c r="L117">
        <f>IF(ISNUMBER($A117),INDEX($Y$6:$Y$1505,$A117-3),"")</f>
        <v/>
      </c>
      <c r="O117">
        <f>115</f>
        <v/>
      </c>
      <c r="P117">
        <f>IF(TRIM('입력_구리근무자명단'!$A115&amp;"")&lt;&gt;"",TRIM('입력_구리근무자명단'!$A115&amp;""),P116)</f>
        <v/>
      </c>
      <c r="Q117">
        <f>'입력_구리근무자명단'!$B115&amp;""</f>
        <v/>
      </c>
      <c r="R117">
        <f>IF($E$2="","",TRIM(INDEX('입력_구리근무자명단'!$A115:$ZZ115,1,$E$2+IF($G$2="확정",1,0))&amp;""))</f>
        <v/>
      </c>
      <c r="S117">
        <f>IF($R117="","",IF(INDEX('입력_구리근무자명단'!$A115:$ZZ115,1,$E$2+2)&amp;""="",급여기준월,IF(ISNUMBER(INDEX('입력_구리근무자명단'!$A115:$ZZ115,1,$E$2+2)),INDEX('입력_구리근무자명단'!$A115:$ZZ115,1,$E$2+2),IFERROR(DATE(VALUE(LEFT(INDEX('입력_구리근무자명단'!$A115:$ZZ115,1,$E$2+2),4)),VALUE(MID(INDEX('입력_구리근무자명단'!$A115:$ZZ115,1,$E$2+2),6,2)),VALUE(MID(INDEX('입력_구리근무자명단'!$A115:$ZZ115,1,$E$2+2),9,2))),-1))))</f>
        <v/>
      </c>
      <c r="T117">
        <f>IF($R117="","",IF(INDEX('입력_구리근무자명단'!$A115:$ZZ115,1,$E$2+3)&amp;""="",EOMONTH(급여기준월,0),IF(ISNUMBER(INDEX('입력_구리근무자명단'!$A115:$ZZ115,1,$E$2+3)),INDEX('입력_구리근무자명단'!$A115:$ZZ115,1,$E$2+3),IFERROR(DATE(VALUE(LEFT(INDEX('입력_구리근무자명단'!$A115:$ZZ115,1,$E$2+3),4)),VALUE(MID(INDEX('입력_구리근무자명단'!$A115:$ZZ115,1,$E$2+3),6,2)),VALUE(MID(INDEX('입력_구리근무자명단'!$A115:$ZZ115,1,$E$2+3),9,2))),-1))))</f>
        <v/>
      </c>
      <c r="U117">
        <f>IF($R117="","",IF(OR($S117&lt;0,$T117&lt;0),0,MAX(0,MIN($T117,EOMONTH(급여기준월,0))-MAX($S117,급여기준월)+1)))</f>
        <v/>
      </c>
      <c r="V117">
        <f>IF($R117="","",TRIM(INDEX('입력_구리근무자명단'!$A115:$ZZ115,1,$E$2+5)&amp;""))</f>
        <v/>
      </c>
      <c r="W117">
        <f>IF(ISNUMBER(SEARCH("구리독자",$V117)),"구리독자","")</f>
        <v/>
      </c>
      <c r="X117">
        <f>IF($R117="","",$R117&amp;"|"&amp;IF(OR($Q117="인턴",ISNUMBER(SEARCH("수련교육부",$P117))),"인턴",$P117))</f>
        <v/>
      </c>
      <c r="Y117">
        <f>IF($R117="","",IF(COUNTIF(명단표[이름|과],$X117)=1,"명단 일치",IF(AND(COUNTIF(명단표[이름|과],$X117)=0,COUNTIF(명단표[이름],$R117)=1),"명단 일치(이름만, 과 다름)",IF(COUNTIF(명단표[이름],$R117)=0,IF(COUNTIF(기본자료표[이름],$R117)&gt;0,"명단에 없음(기본자료에는 있음)","명단에 없음"),"동명이인 확인"))))</f>
        <v/>
      </c>
      <c r="Z117">
        <f>IF($R117="","",IF($S117&lt;0,"⚠"&amp;INDEX('입력_구리근무자명단'!$A115:$ZZ115,1,$E$2+2),TEXT($S117,"yyyy-mm-dd")))</f>
        <v/>
      </c>
      <c r="AA117">
        <f>IF($R117="","",IF($T117&lt;0,"⚠"&amp;INDEX('입력_구리근무자명단'!$A115:$ZZ115,1,$E$2+3),TEXT($T117,"yyyy-mm-dd")))</f>
        <v/>
      </c>
      <c r="AB117">
        <f>AB116+IF($R117="",0,1)</f>
        <v/>
      </c>
      <c r="AC117">
        <f>IF($R117="","",$AB117)</f>
        <v/>
      </c>
    </row>
    <row r="118">
      <c r="A118">
        <f>IFERROR(INDEX($O$6:$O$1505,MATCH(113,$AC$6:$AC$1505,0)),"")</f>
        <v/>
      </c>
      <c r="B118">
        <f>IF(ISNUMBER($A118),INDEX($P$6:$P$1505,$A118-3),"")</f>
        <v/>
      </c>
      <c r="C118">
        <f>IF(ISNUMBER($A118),INDEX($Q$6:$Q$1505,$A118-3),"")</f>
        <v/>
      </c>
      <c r="D118">
        <f>IF(ISNUMBER($A118),INDEX($R$6:$R$1505,$A118-3),"")</f>
        <v/>
      </c>
      <c r="E118">
        <f>IF(ISNUMBER($A118),$G$2,"")</f>
        <v/>
      </c>
      <c r="F118">
        <f>IF(ISNUMBER($A118),INDEX($Z$6:$Z$1505,$A118-3),"")</f>
        <v/>
      </c>
      <c r="G118">
        <f>IF(ISNUMBER($A118),INDEX($AA$6:$AA$1505,$A118-3),"")</f>
        <v/>
      </c>
      <c r="H118">
        <f>IF(ISNUMBER($A118),INDEX($U$6:$U$1505,$A118-3),"")</f>
        <v/>
      </c>
      <c r="I118">
        <f>IF(ISNUMBER($A118),INDEX($V$6:$V$1505,$A118-3),"")</f>
        <v/>
      </c>
      <c r="J118">
        <f>IF(ISNUMBER($A118),INDEX($W$6:$W$1505,$A118-3),"")</f>
        <v/>
      </c>
      <c r="K118">
        <f>IF(ISNUMBER($A118),INDEX($X$6:$X$1505,$A118-3),"")</f>
        <v/>
      </c>
      <c r="L118">
        <f>IF(ISNUMBER($A118),INDEX($Y$6:$Y$1505,$A118-3),"")</f>
        <v/>
      </c>
      <c r="O118">
        <f>116</f>
        <v/>
      </c>
      <c r="P118">
        <f>IF(TRIM('입력_구리근무자명단'!$A116&amp;"")&lt;&gt;"",TRIM('입력_구리근무자명단'!$A116&amp;""),P117)</f>
        <v/>
      </c>
      <c r="Q118">
        <f>'입력_구리근무자명단'!$B116&amp;""</f>
        <v/>
      </c>
      <c r="R118">
        <f>IF($E$2="","",TRIM(INDEX('입력_구리근무자명단'!$A116:$ZZ116,1,$E$2+IF($G$2="확정",1,0))&amp;""))</f>
        <v/>
      </c>
      <c r="S118">
        <f>IF($R118="","",IF(INDEX('입력_구리근무자명단'!$A116:$ZZ116,1,$E$2+2)&amp;""="",급여기준월,IF(ISNUMBER(INDEX('입력_구리근무자명단'!$A116:$ZZ116,1,$E$2+2)),INDEX('입력_구리근무자명단'!$A116:$ZZ116,1,$E$2+2),IFERROR(DATE(VALUE(LEFT(INDEX('입력_구리근무자명단'!$A116:$ZZ116,1,$E$2+2),4)),VALUE(MID(INDEX('입력_구리근무자명단'!$A116:$ZZ116,1,$E$2+2),6,2)),VALUE(MID(INDEX('입력_구리근무자명단'!$A116:$ZZ116,1,$E$2+2),9,2))),-1))))</f>
        <v/>
      </c>
      <c r="T118">
        <f>IF($R118="","",IF(INDEX('입력_구리근무자명단'!$A116:$ZZ116,1,$E$2+3)&amp;""="",EOMONTH(급여기준월,0),IF(ISNUMBER(INDEX('입력_구리근무자명단'!$A116:$ZZ116,1,$E$2+3)),INDEX('입력_구리근무자명단'!$A116:$ZZ116,1,$E$2+3),IFERROR(DATE(VALUE(LEFT(INDEX('입력_구리근무자명단'!$A116:$ZZ116,1,$E$2+3),4)),VALUE(MID(INDEX('입력_구리근무자명단'!$A116:$ZZ116,1,$E$2+3),6,2)),VALUE(MID(INDEX('입력_구리근무자명단'!$A116:$ZZ116,1,$E$2+3),9,2))),-1))))</f>
        <v/>
      </c>
      <c r="U118">
        <f>IF($R118="","",IF(OR($S118&lt;0,$T118&lt;0),0,MAX(0,MIN($T118,EOMONTH(급여기준월,0))-MAX($S118,급여기준월)+1)))</f>
        <v/>
      </c>
      <c r="V118">
        <f>IF($R118="","",TRIM(INDEX('입력_구리근무자명단'!$A116:$ZZ116,1,$E$2+5)&amp;""))</f>
        <v/>
      </c>
      <c r="W118">
        <f>IF(ISNUMBER(SEARCH("구리독자",$V118)),"구리독자","")</f>
        <v/>
      </c>
      <c r="X118">
        <f>IF($R118="","",$R118&amp;"|"&amp;IF(OR($Q118="인턴",ISNUMBER(SEARCH("수련교육부",$P118))),"인턴",$P118))</f>
        <v/>
      </c>
      <c r="Y118">
        <f>IF($R118="","",IF(COUNTIF(명단표[이름|과],$X118)=1,"명단 일치",IF(AND(COUNTIF(명단표[이름|과],$X118)=0,COUNTIF(명단표[이름],$R118)=1),"명단 일치(이름만, 과 다름)",IF(COUNTIF(명단표[이름],$R118)=0,IF(COUNTIF(기본자료표[이름],$R118)&gt;0,"명단에 없음(기본자료에는 있음)","명단에 없음"),"동명이인 확인"))))</f>
        <v/>
      </c>
      <c r="Z118">
        <f>IF($R118="","",IF($S118&lt;0,"⚠"&amp;INDEX('입력_구리근무자명단'!$A116:$ZZ116,1,$E$2+2),TEXT($S118,"yyyy-mm-dd")))</f>
        <v/>
      </c>
      <c r="AA118">
        <f>IF($R118="","",IF($T118&lt;0,"⚠"&amp;INDEX('입력_구리근무자명단'!$A116:$ZZ116,1,$E$2+3),TEXT($T118,"yyyy-mm-dd")))</f>
        <v/>
      </c>
      <c r="AB118">
        <f>AB117+IF($R118="",0,1)</f>
        <v/>
      </c>
      <c r="AC118">
        <f>IF($R118="","",$AB118)</f>
        <v/>
      </c>
    </row>
    <row r="119">
      <c r="A119">
        <f>IFERROR(INDEX($O$6:$O$1505,MATCH(114,$AC$6:$AC$1505,0)),"")</f>
        <v/>
      </c>
      <c r="B119">
        <f>IF(ISNUMBER($A119),INDEX($P$6:$P$1505,$A119-3),"")</f>
        <v/>
      </c>
      <c r="C119">
        <f>IF(ISNUMBER($A119),INDEX($Q$6:$Q$1505,$A119-3),"")</f>
        <v/>
      </c>
      <c r="D119">
        <f>IF(ISNUMBER($A119),INDEX($R$6:$R$1505,$A119-3),"")</f>
        <v/>
      </c>
      <c r="E119">
        <f>IF(ISNUMBER($A119),$G$2,"")</f>
        <v/>
      </c>
      <c r="F119">
        <f>IF(ISNUMBER($A119),INDEX($Z$6:$Z$1505,$A119-3),"")</f>
        <v/>
      </c>
      <c r="G119">
        <f>IF(ISNUMBER($A119),INDEX($AA$6:$AA$1505,$A119-3),"")</f>
        <v/>
      </c>
      <c r="H119">
        <f>IF(ISNUMBER($A119),INDEX($U$6:$U$1505,$A119-3),"")</f>
        <v/>
      </c>
      <c r="I119">
        <f>IF(ISNUMBER($A119),INDEX($V$6:$V$1505,$A119-3),"")</f>
        <v/>
      </c>
      <c r="J119">
        <f>IF(ISNUMBER($A119),INDEX($W$6:$W$1505,$A119-3),"")</f>
        <v/>
      </c>
      <c r="K119">
        <f>IF(ISNUMBER($A119),INDEX($X$6:$X$1505,$A119-3),"")</f>
        <v/>
      </c>
      <c r="L119">
        <f>IF(ISNUMBER($A119),INDEX($Y$6:$Y$1505,$A119-3),"")</f>
        <v/>
      </c>
      <c r="O119">
        <f>117</f>
        <v/>
      </c>
      <c r="P119">
        <f>IF(TRIM('입력_구리근무자명단'!$A117&amp;"")&lt;&gt;"",TRIM('입력_구리근무자명단'!$A117&amp;""),P118)</f>
        <v/>
      </c>
      <c r="Q119">
        <f>'입력_구리근무자명단'!$B117&amp;""</f>
        <v/>
      </c>
      <c r="R119">
        <f>IF($E$2="","",TRIM(INDEX('입력_구리근무자명단'!$A117:$ZZ117,1,$E$2+IF($G$2="확정",1,0))&amp;""))</f>
        <v/>
      </c>
      <c r="S119">
        <f>IF($R119="","",IF(INDEX('입력_구리근무자명단'!$A117:$ZZ117,1,$E$2+2)&amp;""="",급여기준월,IF(ISNUMBER(INDEX('입력_구리근무자명단'!$A117:$ZZ117,1,$E$2+2)),INDEX('입력_구리근무자명단'!$A117:$ZZ117,1,$E$2+2),IFERROR(DATE(VALUE(LEFT(INDEX('입력_구리근무자명단'!$A117:$ZZ117,1,$E$2+2),4)),VALUE(MID(INDEX('입력_구리근무자명단'!$A117:$ZZ117,1,$E$2+2),6,2)),VALUE(MID(INDEX('입력_구리근무자명단'!$A117:$ZZ117,1,$E$2+2),9,2))),-1))))</f>
        <v/>
      </c>
      <c r="T119">
        <f>IF($R119="","",IF(INDEX('입력_구리근무자명단'!$A117:$ZZ117,1,$E$2+3)&amp;""="",EOMONTH(급여기준월,0),IF(ISNUMBER(INDEX('입력_구리근무자명단'!$A117:$ZZ117,1,$E$2+3)),INDEX('입력_구리근무자명단'!$A117:$ZZ117,1,$E$2+3),IFERROR(DATE(VALUE(LEFT(INDEX('입력_구리근무자명단'!$A117:$ZZ117,1,$E$2+3),4)),VALUE(MID(INDEX('입력_구리근무자명단'!$A117:$ZZ117,1,$E$2+3),6,2)),VALUE(MID(INDEX('입력_구리근무자명단'!$A117:$ZZ117,1,$E$2+3),9,2))),-1))))</f>
        <v/>
      </c>
      <c r="U119">
        <f>IF($R119="","",IF(OR($S119&lt;0,$T119&lt;0),0,MAX(0,MIN($T119,EOMONTH(급여기준월,0))-MAX($S119,급여기준월)+1)))</f>
        <v/>
      </c>
      <c r="V119">
        <f>IF($R119="","",TRIM(INDEX('입력_구리근무자명단'!$A117:$ZZ117,1,$E$2+5)&amp;""))</f>
        <v/>
      </c>
      <c r="W119">
        <f>IF(ISNUMBER(SEARCH("구리독자",$V119)),"구리독자","")</f>
        <v/>
      </c>
      <c r="X119">
        <f>IF($R119="","",$R119&amp;"|"&amp;IF(OR($Q119="인턴",ISNUMBER(SEARCH("수련교육부",$P119))),"인턴",$P119))</f>
        <v/>
      </c>
      <c r="Y119">
        <f>IF($R119="","",IF(COUNTIF(명단표[이름|과],$X119)=1,"명단 일치",IF(AND(COUNTIF(명단표[이름|과],$X119)=0,COUNTIF(명단표[이름],$R119)=1),"명단 일치(이름만, 과 다름)",IF(COUNTIF(명단표[이름],$R119)=0,IF(COUNTIF(기본자료표[이름],$R119)&gt;0,"명단에 없음(기본자료에는 있음)","명단에 없음"),"동명이인 확인"))))</f>
        <v/>
      </c>
      <c r="Z119">
        <f>IF($R119="","",IF($S119&lt;0,"⚠"&amp;INDEX('입력_구리근무자명단'!$A117:$ZZ117,1,$E$2+2),TEXT($S119,"yyyy-mm-dd")))</f>
        <v/>
      </c>
      <c r="AA119">
        <f>IF($R119="","",IF($T119&lt;0,"⚠"&amp;INDEX('입력_구리근무자명단'!$A117:$ZZ117,1,$E$2+3),TEXT($T119,"yyyy-mm-dd")))</f>
        <v/>
      </c>
      <c r="AB119">
        <f>AB118+IF($R119="",0,1)</f>
        <v/>
      </c>
      <c r="AC119">
        <f>IF($R119="","",$AB119)</f>
        <v/>
      </c>
    </row>
    <row r="120">
      <c r="A120">
        <f>IFERROR(INDEX($O$6:$O$1505,MATCH(115,$AC$6:$AC$1505,0)),"")</f>
        <v/>
      </c>
      <c r="B120">
        <f>IF(ISNUMBER($A120),INDEX($P$6:$P$1505,$A120-3),"")</f>
        <v/>
      </c>
      <c r="C120">
        <f>IF(ISNUMBER($A120),INDEX($Q$6:$Q$1505,$A120-3),"")</f>
        <v/>
      </c>
      <c r="D120">
        <f>IF(ISNUMBER($A120),INDEX($R$6:$R$1505,$A120-3),"")</f>
        <v/>
      </c>
      <c r="E120">
        <f>IF(ISNUMBER($A120),$G$2,"")</f>
        <v/>
      </c>
      <c r="F120">
        <f>IF(ISNUMBER($A120),INDEX($Z$6:$Z$1505,$A120-3),"")</f>
        <v/>
      </c>
      <c r="G120">
        <f>IF(ISNUMBER($A120),INDEX($AA$6:$AA$1505,$A120-3),"")</f>
        <v/>
      </c>
      <c r="H120">
        <f>IF(ISNUMBER($A120),INDEX($U$6:$U$1505,$A120-3),"")</f>
        <v/>
      </c>
      <c r="I120">
        <f>IF(ISNUMBER($A120),INDEX($V$6:$V$1505,$A120-3),"")</f>
        <v/>
      </c>
      <c r="J120">
        <f>IF(ISNUMBER($A120),INDEX($W$6:$W$1505,$A120-3),"")</f>
        <v/>
      </c>
      <c r="K120">
        <f>IF(ISNUMBER($A120),INDEX($X$6:$X$1505,$A120-3),"")</f>
        <v/>
      </c>
      <c r="L120">
        <f>IF(ISNUMBER($A120),INDEX($Y$6:$Y$1505,$A120-3),"")</f>
        <v/>
      </c>
      <c r="O120">
        <f>118</f>
        <v/>
      </c>
      <c r="P120">
        <f>IF(TRIM('입력_구리근무자명단'!$A118&amp;"")&lt;&gt;"",TRIM('입력_구리근무자명단'!$A118&amp;""),P119)</f>
        <v/>
      </c>
      <c r="Q120">
        <f>'입력_구리근무자명단'!$B118&amp;""</f>
        <v/>
      </c>
      <c r="R120">
        <f>IF($E$2="","",TRIM(INDEX('입력_구리근무자명단'!$A118:$ZZ118,1,$E$2+IF($G$2="확정",1,0))&amp;""))</f>
        <v/>
      </c>
      <c r="S120">
        <f>IF($R120="","",IF(INDEX('입력_구리근무자명단'!$A118:$ZZ118,1,$E$2+2)&amp;""="",급여기준월,IF(ISNUMBER(INDEX('입력_구리근무자명단'!$A118:$ZZ118,1,$E$2+2)),INDEX('입력_구리근무자명단'!$A118:$ZZ118,1,$E$2+2),IFERROR(DATE(VALUE(LEFT(INDEX('입력_구리근무자명단'!$A118:$ZZ118,1,$E$2+2),4)),VALUE(MID(INDEX('입력_구리근무자명단'!$A118:$ZZ118,1,$E$2+2),6,2)),VALUE(MID(INDEX('입력_구리근무자명단'!$A118:$ZZ118,1,$E$2+2),9,2))),-1))))</f>
        <v/>
      </c>
      <c r="T120">
        <f>IF($R120="","",IF(INDEX('입력_구리근무자명단'!$A118:$ZZ118,1,$E$2+3)&amp;""="",EOMONTH(급여기준월,0),IF(ISNUMBER(INDEX('입력_구리근무자명단'!$A118:$ZZ118,1,$E$2+3)),INDEX('입력_구리근무자명단'!$A118:$ZZ118,1,$E$2+3),IFERROR(DATE(VALUE(LEFT(INDEX('입력_구리근무자명단'!$A118:$ZZ118,1,$E$2+3),4)),VALUE(MID(INDEX('입력_구리근무자명단'!$A118:$ZZ118,1,$E$2+3),6,2)),VALUE(MID(INDEX('입력_구리근무자명단'!$A118:$ZZ118,1,$E$2+3),9,2))),-1))))</f>
        <v/>
      </c>
      <c r="U120">
        <f>IF($R120="","",IF(OR($S120&lt;0,$T120&lt;0),0,MAX(0,MIN($T120,EOMONTH(급여기준월,0))-MAX($S120,급여기준월)+1)))</f>
        <v/>
      </c>
      <c r="V120">
        <f>IF($R120="","",TRIM(INDEX('입력_구리근무자명단'!$A118:$ZZ118,1,$E$2+5)&amp;""))</f>
        <v/>
      </c>
      <c r="W120">
        <f>IF(ISNUMBER(SEARCH("구리독자",$V120)),"구리독자","")</f>
        <v/>
      </c>
      <c r="X120">
        <f>IF($R120="","",$R120&amp;"|"&amp;IF(OR($Q120="인턴",ISNUMBER(SEARCH("수련교육부",$P120))),"인턴",$P120))</f>
        <v/>
      </c>
      <c r="Y120">
        <f>IF($R120="","",IF(COUNTIF(명단표[이름|과],$X120)=1,"명단 일치",IF(AND(COUNTIF(명단표[이름|과],$X120)=0,COUNTIF(명단표[이름],$R120)=1),"명단 일치(이름만, 과 다름)",IF(COUNTIF(명단표[이름],$R120)=0,IF(COUNTIF(기본자료표[이름],$R120)&gt;0,"명단에 없음(기본자료에는 있음)","명단에 없음"),"동명이인 확인"))))</f>
        <v/>
      </c>
      <c r="Z120">
        <f>IF($R120="","",IF($S120&lt;0,"⚠"&amp;INDEX('입력_구리근무자명단'!$A118:$ZZ118,1,$E$2+2),TEXT($S120,"yyyy-mm-dd")))</f>
        <v/>
      </c>
      <c r="AA120">
        <f>IF($R120="","",IF($T120&lt;0,"⚠"&amp;INDEX('입력_구리근무자명단'!$A118:$ZZ118,1,$E$2+3),TEXT($T120,"yyyy-mm-dd")))</f>
        <v/>
      </c>
      <c r="AB120">
        <f>AB119+IF($R120="",0,1)</f>
        <v/>
      </c>
      <c r="AC120">
        <f>IF($R120="","",$AB120)</f>
        <v/>
      </c>
    </row>
    <row r="121">
      <c r="A121">
        <f>IFERROR(INDEX($O$6:$O$1505,MATCH(116,$AC$6:$AC$1505,0)),"")</f>
        <v/>
      </c>
      <c r="B121">
        <f>IF(ISNUMBER($A121),INDEX($P$6:$P$1505,$A121-3),"")</f>
        <v/>
      </c>
      <c r="C121">
        <f>IF(ISNUMBER($A121),INDEX($Q$6:$Q$1505,$A121-3),"")</f>
        <v/>
      </c>
      <c r="D121">
        <f>IF(ISNUMBER($A121),INDEX($R$6:$R$1505,$A121-3),"")</f>
        <v/>
      </c>
      <c r="E121">
        <f>IF(ISNUMBER($A121),$G$2,"")</f>
        <v/>
      </c>
      <c r="F121">
        <f>IF(ISNUMBER($A121),INDEX($Z$6:$Z$1505,$A121-3),"")</f>
        <v/>
      </c>
      <c r="G121">
        <f>IF(ISNUMBER($A121),INDEX($AA$6:$AA$1505,$A121-3),"")</f>
        <v/>
      </c>
      <c r="H121">
        <f>IF(ISNUMBER($A121),INDEX($U$6:$U$1505,$A121-3),"")</f>
        <v/>
      </c>
      <c r="I121">
        <f>IF(ISNUMBER($A121),INDEX($V$6:$V$1505,$A121-3),"")</f>
        <v/>
      </c>
      <c r="J121">
        <f>IF(ISNUMBER($A121),INDEX($W$6:$W$1505,$A121-3),"")</f>
        <v/>
      </c>
      <c r="K121">
        <f>IF(ISNUMBER($A121),INDEX($X$6:$X$1505,$A121-3),"")</f>
        <v/>
      </c>
      <c r="L121">
        <f>IF(ISNUMBER($A121),INDEX($Y$6:$Y$1505,$A121-3),"")</f>
        <v/>
      </c>
      <c r="O121">
        <f>119</f>
        <v/>
      </c>
      <c r="P121">
        <f>IF(TRIM('입력_구리근무자명단'!$A119&amp;"")&lt;&gt;"",TRIM('입력_구리근무자명단'!$A119&amp;""),P120)</f>
        <v/>
      </c>
      <c r="Q121">
        <f>'입력_구리근무자명단'!$B119&amp;""</f>
        <v/>
      </c>
      <c r="R121">
        <f>IF($E$2="","",TRIM(INDEX('입력_구리근무자명단'!$A119:$ZZ119,1,$E$2+IF($G$2="확정",1,0))&amp;""))</f>
        <v/>
      </c>
      <c r="S121">
        <f>IF($R121="","",IF(INDEX('입력_구리근무자명단'!$A119:$ZZ119,1,$E$2+2)&amp;""="",급여기준월,IF(ISNUMBER(INDEX('입력_구리근무자명단'!$A119:$ZZ119,1,$E$2+2)),INDEX('입력_구리근무자명단'!$A119:$ZZ119,1,$E$2+2),IFERROR(DATE(VALUE(LEFT(INDEX('입력_구리근무자명단'!$A119:$ZZ119,1,$E$2+2),4)),VALUE(MID(INDEX('입력_구리근무자명단'!$A119:$ZZ119,1,$E$2+2),6,2)),VALUE(MID(INDEX('입력_구리근무자명단'!$A119:$ZZ119,1,$E$2+2),9,2))),-1))))</f>
        <v/>
      </c>
      <c r="T121">
        <f>IF($R121="","",IF(INDEX('입력_구리근무자명단'!$A119:$ZZ119,1,$E$2+3)&amp;""="",EOMONTH(급여기준월,0),IF(ISNUMBER(INDEX('입력_구리근무자명단'!$A119:$ZZ119,1,$E$2+3)),INDEX('입력_구리근무자명단'!$A119:$ZZ119,1,$E$2+3),IFERROR(DATE(VALUE(LEFT(INDEX('입력_구리근무자명단'!$A119:$ZZ119,1,$E$2+3),4)),VALUE(MID(INDEX('입력_구리근무자명단'!$A119:$ZZ119,1,$E$2+3),6,2)),VALUE(MID(INDEX('입력_구리근무자명단'!$A119:$ZZ119,1,$E$2+3),9,2))),-1))))</f>
        <v/>
      </c>
      <c r="U121">
        <f>IF($R121="","",IF(OR($S121&lt;0,$T121&lt;0),0,MAX(0,MIN($T121,EOMONTH(급여기준월,0))-MAX($S121,급여기준월)+1)))</f>
        <v/>
      </c>
      <c r="V121">
        <f>IF($R121="","",TRIM(INDEX('입력_구리근무자명단'!$A119:$ZZ119,1,$E$2+5)&amp;""))</f>
        <v/>
      </c>
      <c r="W121">
        <f>IF(ISNUMBER(SEARCH("구리독자",$V121)),"구리독자","")</f>
        <v/>
      </c>
      <c r="X121">
        <f>IF($R121="","",$R121&amp;"|"&amp;IF(OR($Q121="인턴",ISNUMBER(SEARCH("수련교육부",$P121))),"인턴",$P121))</f>
        <v/>
      </c>
      <c r="Y121">
        <f>IF($R121="","",IF(COUNTIF(명단표[이름|과],$X121)=1,"명단 일치",IF(AND(COUNTIF(명단표[이름|과],$X121)=0,COUNTIF(명단표[이름],$R121)=1),"명단 일치(이름만, 과 다름)",IF(COUNTIF(명단표[이름],$R121)=0,IF(COUNTIF(기본자료표[이름],$R121)&gt;0,"명단에 없음(기본자료에는 있음)","명단에 없음"),"동명이인 확인"))))</f>
        <v/>
      </c>
      <c r="Z121">
        <f>IF($R121="","",IF($S121&lt;0,"⚠"&amp;INDEX('입력_구리근무자명단'!$A119:$ZZ119,1,$E$2+2),TEXT($S121,"yyyy-mm-dd")))</f>
        <v/>
      </c>
      <c r="AA121">
        <f>IF($R121="","",IF($T121&lt;0,"⚠"&amp;INDEX('입력_구리근무자명단'!$A119:$ZZ119,1,$E$2+3),TEXT($T121,"yyyy-mm-dd")))</f>
        <v/>
      </c>
      <c r="AB121">
        <f>AB120+IF($R121="",0,1)</f>
        <v/>
      </c>
      <c r="AC121">
        <f>IF($R121="","",$AB121)</f>
        <v/>
      </c>
    </row>
    <row r="122">
      <c r="A122">
        <f>IFERROR(INDEX($O$6:$O$1505,MATCH(117,$AC$6:$AC$1505,0)),"")</f>
        <v/>
      </c>
      <c r="B122">
        <f>IF(ISNUMBER($A122),INDEX($P$6:$P$1505,$A122-3),"")</f>
        <v/>
      </c>
      <c r="C122">
        <f>IF(ISNUMBER($A122),INDEX($Q$6:$Q$1505,$A122-3),"")</f>
        <v/>
      </c>
      <c r="D122">
        <f>IF(ISNUMBER($A122),INDEX($R$6:$R$1505,$A122-3),"")</f>
        <v/>
      </c>
      <c r="E122">
        <f>IF(ISNUMBER($A122),$G$2,"")</f>
        <v/>
      </c>
      <c r="F122">
        <f>IF(ISNUMBER($A122),INDEX($Z$6:$Z$1505,$A122-3),"")</f>
        <v/>
      </c>
      <c r="G122">
        <f>IF(ISNUMBER($A122),INDEX($AA$6:$AA$1505,$A122-3),"")</f>
        <v/>
      </c>
      <c r="H122">
        <f>IF(ISNUMBER($A122),INDEX($U$6:$U$1505,$A122-3),"")</f>
        <v/>
      </c>
      <c r="I122">
        <f>IF(ISNUMBER($A122),INDEX($V$6:$V$1505,$A122-3),"")</f>
        <v/>
      </c>
      <c r="J122">
        <f>IF(ISNUMBER($A122),INDEX($W$6:$W$1505,$A122-3),"")</f>
        <v/>
      </c>
      <c r="K122">
        <f>IF(ISNUMBER($A122),INDEX($X$6:$X$1505,$A122-3),"")</f>
        <v/>
      </c>
      <c r="L122">
        <f>IF(ISNUMBER($A122),INDEX($Y$6:$Y$1505,$A122-3),"")</f>
        <v/>
      </c>
      <c r="O122">
        <f>120</f>
        <v/>
      </c>
      <c r="P122">
        <f>IF(TRIM('입력_구리근무자명단'!$A120&amp;"")&lt;&gt;"",TRIM('입력_구리근무자명단'!$A120&amp;""),P121)</f>
        <v/>
      </c>
      <c r="Q122">
        <f>'입력_구리근무자명단'!$B120&amp;""</f>
        <v/>
      </c>
      <c r="R122">
        <f>IF($E$2="","",TRIM(INDEX('입력_구리근무자명단'!$A120:$ZZ120,1,$E$2+IF($G$2="확정",1,0))&amp;""))</f>
        <v/>
      </c>
      <c r="S122">
        <f>IF($R122="","",IF(INDEX('입력_구리근무자명단'!$A120:$ZZ120,1,$E$2+2)&amp;""="",급여기준월,IF(ISNUMBER(INDEX('입력_구리근무자명단'!$A120:$ZZ120,1,$E$2+2)),INDEX('입력_구리근무자명단'!$A120:$ZZ120,1,$E$2+2),IFERROR(DATE(VALUE(LEFT(INDEX('입력_구리근무자명단'!$A120:$ZZ120,1,$E$2+2),4)),VALUE(MID(INDEX('입력_구리근무자명단'!$A120:$ZZ120,1,$E$2+2),6,2)),VALUE(MID(INDEX('입력_구리근무자명단'!$A120:$ZZ120,1,$E$2+2),9,2))),-1))))</f>
        <v/>
      </c>
      <c r="T122">
        <f>IF($R122="","",IF(INDEX('입력_구리근무자명단'!$A120:$ZZ120,1,$E$2+3)&amp;""="",EOMONTH(급여기준월,0),IF(ISNUMBER(INDEX('입력_구리근무자명단'!$A120:$ZZ120,1,$E$2+3)),INDEX('입력_구리근무자명단'!$A120:$ZZ120,1,$E$2+3),IFERROR(DATE(VALUE(LEFT(INDEX('입력_구리근무자명단'!$A120:$ZZ120,1,$E$2+3),4)),VALUE(MID(INDEX('입력_구리근무자명단'!$A120:$ZZ120,1,$E$2+3),6,2)),VALUE(MID(INDEX('입력_구리근무자명단'!$A120:$ZZ120,1,$E$2+3),9,2))),-1))))</f>
        <v/>
      </c>
      <c r="U122">
        <f>IF($R122="","",IF(OR($S122&lt;0,$T122&lt;0),0,MAX(0,MIN($T122,EOMONTH(급여기준월,0))-MAX($S122,급여기준월)+1)))</f>
        <v/>
      </c>
      <c r="V122">
        <f>IF($R122="","",TRIM(INDEX('입력_구리근무자명단'!$A120:$ZZ120,1,$E$2+5)&amp;""))</f>
        <v/>
      </c>
      <c r="W122">
        <f>IF(ISNUMBER(SEARCH("구리독자",$V122)),"구리독자","")</f>
        <v/>
      </c>
      <c r="X122">
        <f>IF($R122="","",$R122&amp;"|"&amp;IF(OR($Q122="인턴",ISNUMBER(SEARCH("수련교육부",$P122))),"인턴",$P122))</f>
        <v/>
      </c>
      <c r="Y122">
        <f>IF($R122="","",IF(COUNTIF(명단표[이름|과],$X122)=1,"명단 일치",IF(AND(COUNTIF(명단표[이름|과],$X122)=0,COUNTIF(명단표[이름],$R122)=1),"명단 일치(이름만, 과 다름)",IF(COUNTIF(명단표[이름],$R122)=0,IF(COUNTIF(기본자료표[이름],$R122)&gt;0,"명단에 없음(기본자료에는 있음)","명단에 없음"),"동명이인 확인"))))</f>
        <v/>
      </c>
      <c r="Z122">
        <f>IF($R122="","",IF($S122&lt;0,"⚠"&amp;INDEX('입력_구리근무자명단'!$A120:$ZZ120,1,$E$2+2),TEXT($S122,"yyyy-mm-dd")))</f>
        <v/>
      </c>
      <c r="AA122">
        <f>IF($R122="","",IF($T122&lt;0,"⚠"&amp;INDEX('입력_구리근무자명단'!$A120:$ZZ120,1,$E$2+3),TEXT($T122,"yyyy-mm-dd")))</f>
        <v/>
      </c>
      <c r="AB122">
        <f>AB121+IF($R122="",0,1)</f>
        <v/>
      </c>
      <c r="AC122">
        <f>IF($R122="","",$AB122)</f>
        <v/>
      </c>
    </row>
    <row r="123">
      <c r="A123">
        <f>IFERROR(INDEX($O$6:$O$1505,MATCH(118,$AC$6:$AC$1505,0)),"")</f>
        <v/>
      </c>
      <c r="B123">
        <f>IF(ISNUMBER($A123),INDEX($P$6:$P$1505,$A123-3),"")</f>
        <v/>
      </c>
      <c r="C123">
        <f>IF(ISNUMBER($A123),INDEX($Q$6:$Q$1505,$A123-3),"")</f>
        <v/>
      </c>
      <c r="D123">
        <f>IF(ISNUMBER($A123),INDEX($R$6:$R$1505,$A123-3),"")</f>
        <v/>
      </c>
      <c r="E123">
        <f>IF(ISNUMBER($A123),$G$2,"")</f>
        <v/>
      </c>
      <c r="F123">
        <f>IF(ISNUMBER($A123),INDEX($Z$6:$Z$1505,$A123-3),"")</f>
        <v/>
      </c>
      <c r="G123">
        <f>IF(ISNUMBER($A123),INDEX($AA$6:$AA$1505,$A123-3),"")</f>
        <v/>
      </c>
      <c r="H123">
        <f>IF(ISNUMBER($A123),INDEX($U$6:$U$1505,$A123-3),"")</f>
        <v/>
      </c>
      <c r="I123">
        <f>IF(ISNUMBER($A123),INDEX($V$6:$V$1505,$A123-3),"")</f>
        <v/>
      </c>
      <c r="J123">
        <f>IF(ISNUMBER($A123),INDEX($W$6:$W$1505,$A123-3),"")</f>
        <v/>
      </c>
      <c r="K123">
        <f>IF(ISNUMBER($A123),INDEX($X$6:$X$1505,$A123-3),"")</f>
        <v/>
      </c>
      <c r="L123">
        <f>IF(ISNUMBER($A123),INDEX($Y$6:$Y$1505,$A123-3),"")</f>
        <v/>
      </c>
      <c r="O123">
        <f>121</f>
        <v/>
      </c>
      <c r="P123">
        <f>IF(TRIM('입력_구리근무자명단'!$A121&amp;"")&lt;&gt;"",TRIM('입력_구리근무자명단'!$A121&amp;""),P122)</f>
        <v/>
      </c>
      <c r="Q123">
        <f>'입력_구리근무자명단'!$B121&amp;""</f>
        <v/>
      </c>
      <c r="R123">
        <f>IF($E$2="","",TRIM(INDEX('입력_구리근무자명단'!$A121:$ZZ121,1,$E$2+IF($G$2="확정",1,0))&amp;""))</f>
        <v/>
      </c>
      <c r="S123">
        <f>IF($R123="","",IF(INDEX('입력_구리근무자명단'!$A121:$ZZ121,1,$E$2+2)&amp;""="",급여기준월,IF(ISNUMBER(INDEX('입력_구리근무자명단'!$A121:$ZZ121,1,$E$2+2)),INDEX('입력_구리근무자명단'!$A121:$ZZ121,1,$E$2+2),IFERROR(DATE(VALUE(LEFT(INDEX('입력_구리근무자명단'!$A121:$ZZ121,1,$E$2+2),4)),VALUE(MID(INDEX('입력_구리근무자명단'!$A121:$ZZ121,1,$E$2+2),6,2)),VALUE(MID(INDEX('입력_구리근무자명단'!$A121:$ZZ121,1,$E$2+2),9,2))),-1))))</f>
        <v/>
      </c>
      <c r="T123">
        <f>IF($R123="","",IF(INDEX('입력_구리근무자명단'!$A121:$ZZ121,1,$E$2+3)&amp;""="",EOMONTH(급여기준월,0),IF(ISNUMBER(INDEX('입력_구리근무자명단'!$A121:$ZZ121,1,$E$2+3)),INDEX('입력_구리근무자명단'!$A121:$ZZ121,1,$E$2+3),IFERROR(DATE(VALUE(LEFT(INDEX('입력_구리근무자명단'!$A121:$ZZ121,1,$E$2+3),4)),VALUE(MID(INDEX('입력_구리근무자명단'!$A121:$ZZ121,1,$E$2+3),6,2)),VALUE(MID(INDEX('입력_구리근무자명단'!$A121:$ZZ121,1,$E$2+3),9,2))),-1))))</f>
        <v/>
      </c>
      <c r="U123">
        <f>IF($R123="","",IF(OR($S123&lt;0,$T123&lt;0),0,MAX(0,MIN($T123,EOMONTH(급여기준월,0))-MAX($S123,급여기준월)+1)))</f>
        <v/>
      </c>
      <c r="V123">
        <f>IF($R123="","",TRIM(INDEX('입력_구리근무자명단'!$A121:$ZZ121,1,$E$2+5)&amp;""))</f>
        <v/>
      </c>
      <c r="W123">
        <f>IF(ISNUMBER(SEARCH("구리독자",$V123)),"구리독자","")</f>
        <v/>
      </c>
      <c r="X123">
        <f>IF($R123="","",$R123&amp;"|"&amp;IF(OR($Q123="인턴",ISNUMBER(SEARCH("수련교육부",$P123))),"인턴",$P123))</f>
        <v/>
      </c>
      <c r="Y123">
        <f>IF($R123="","",IF(COUNTIF(명단표[이름|과],$X123)=1,"명단 일치",IF(AND(COUNTIF(명단표[이름|과],$X123)=0,COUNTIF(명단표[이름],$R123)=1),"명단 일치(이름만, 과 다름)",IF(COUNTIF(명단표[이름],$R123)=0,IF(COUNTIF(기본자료표[이름],$R123)&gt;0,"명단에 없음(기본자료에는 있음)","명단에 없음"),"동명이인 확인"))))</f>
        <v/>
      </c>
      <c r="Z123">
        <f>IF($R123="","",IF($S123&lt;0,"⚠"&amp;INDEX('입력_구리근무자명단'!$A121:$ZZ121,1,$E$2+2),TEXT($S123,"yyyy-mm-dd")))</f>
        <v/>
      </c>
      <c r="AA123">
        <f>IF($R123="","",IF($T123&lt;0,"⚠"&amp;INDEX('입력_구리근무자명단'!$A121:$ZZ121,1,$E$2+3),TEXT($T123,"yyyy-mm-dd")))</f>
        <v/>
      </c>
      <c r="AB123">
        <f>AB122+IF($R123="",0,1)</f>
        <v/>
      </c>
      <c r="AC123">
        <f>IF($R123="","",$AB123)</f>
        <v/>
      </c>
    </row>
    <row r="124">
      <c r="A124">
        <f>IFERROR(INDEX($O$6:$O$1505,MATCH(119,$AC$6:$AC$1505,0)),"")</f>
        <v/>
      </c>
      <c r="B124">
        <f>IF(ISNUMBER($A124),INDEX($P$6:$P$1505,$A124-3),"")</f>
        <v/>
      </c>
      <c r="C124">
        <f>IF(ISNUMBER($A124),INDEX($Q$6:$Q$1505,$A124-3),"")</f>
        <v/>
      </c>
      <c r="D124">
        <f>IF(ISNUMBER($A124),INDEX($R$6:$R$1505,$A124-3),"")</f>
        <v/>
      </c>
      <c r="E124">
        <f>IF(ISNUMBER($A124),$G$2,"")</f>
        <v/>
      </c>
      <c r="F124">
        <f>IF(ISNUMBER($A124),INDEX($Z$6:$Z$1505,$A124-3),"")</f>
        <v/>
      </c>
      <c r="G124">
        <f>IF(ISNUMBER($A124),INDEX($AA$6:$AA$1505,$A124-3),"")</f>
        <v/>
      </c>
      <c r="H124">
        <f>IF(ISNUMBER($A124),INDEX($U$6:$U$1505,$A124-3),"")</f>
        <v/>
      </c>
      <c r="I124">
        <f>IF(ISNUMBER($A124),INDEX($V$6:$V$1505,$A124-3),"")</f>
        <v/>
      </c>
      <c r="J124">
        <f>IF(ISNUMBER($A124),INDEX($W$6:$W$1505,$A124-3),"")</f>
        <v/>
      </c>
      <c r="K124">
        <f>IF(ISNUMBER($A124),INDEX($X$6:$X$1505,$A124-3),"")</f>
        <v/>
      </c>
      <c r="L124">
        <f>IF(ISNUMBER($A124),INDEX($Y$6:$Y$1505,$A124-3),"")</f>
        <v/>
      </c>
      <c r="O124">
        <f>122</f>
        <v/>
      </c>
      <c r="P124">
        <f>IF(TRIM('입력_구리근무자명단'!$A122&amp;"")&lt;&gt;"",TRIM('입력_구리근무자명단'!$A122&amp;""),P123)</f>
        <v/>
      </c>
      <c r="Q124">
        <f>'입력_구리근무자명단'!$B122&amp;""</f>
        <v/>
      </c>
      <c r="R124">
        <f>IF($E$2="","",TRIM(INDEX('입력_구리근무자명단'!$A122:$ZZ122,1,$E$2+IF($G$2="확정",1,0))&amp;""))</f>
        <v/>
      </c>
      <c r="S124">
        <f>IF($R124="","",IF(INDEX('입력_구리근무자명단'!$A122:$ZZ122,1,$E$2+2)&amp;""="",급여기준월,IF(ISNUMBER(INDEX('입력_구리근무자명단'!$A122:$ZZ122,1,$E$2+2)),INDEX('입력_구리근무자명단'!$A122:$ZZ122,1,$E$2+2),IFERROR(DATE(VALUE(LEFT(INDEX('입력_구리근무자명단'!$A122:$ZZ122,1,$E$2+2),4)),VALUE(MID(INDEX('입력_구리근무자명단'!$A122:$ZZ122,1,$E$2+2),6,2)),VALUE(MID(INDEX('입력_구리근무자명단'!$A122:$ZZ122,1,$E$2+2),9,2))),-1))))</f>
        <v/>
      </c>
      <c r="T124">
        <f>IF($R124="","",IF(INDEX('입력_구리근무자명단'!$A122:$ZZ122,1,$E$2+3)&amp;""="",EOMONTH(급여기준월,0),IF(ISNUMBER(INDEX('입력_구리근무자명단'!$A122:$ZZ122,1,$E$2+3)),INDEX('입력_구리근무자명단'!$A122:$ZZ122,1,$E$2+3),IFERROR(DATE(VALUE(LEFT(INDEX('입력_구리근무자명단'!$A122:$ZZ122,1,$E$2+3),4)),VALUE(MID(INDEX('입력_구리근무자명단'!$A122:$ZZ122,1,$E$2+3),6,2)),VALUE(MID(INDEX('입력_구리근무자명단'!$A122:$ZZ122,1,$E$2+3),9,2))),-1))))</f>
        <v/>
      </c>
      <c r="U124">
        <f>IF($R124="","",IF(OR($S124&lt;0,$T124&lt;0),0,MAX(0,MIN($T124,EOMONTH(급여기준월,0))-MAX($S124,급여기준월)+1)))</f>
        <v/>
      </c>
      <c r="V124">
        <f>IF($R124="","",TRIM(INDEX('입력_구리근무자명단'!$A122:$ZZ122,1,$E$2+5)&amp;""))</f>
        <v/>
      </c>
      <c r="W124">
        <f>IF(ISNUMBER(SEARCH("구리독자",$V124)),"구리독자","")</f>
        <v/>
      </c>
      <c r="X124">
        <f>IF($R124="","",$R124&amp;"|"&amp;IF(OR($Q124="인턴",ISNUMBER(SEARCH("수련교육부",$P124))),"인턴",$P124))</f>
        <v/>
      </c>
      <c r="Y124">
        <f>IF($R124="","",IF(COUNTIF(명단표[이름|과],$X124)=1,"명단 일치",IF(AND(COUNTIF(명단표[이름|과],$X124)=0,COUNTIF(명단표[이름],$R124)=1),"명단 일치(이름만, 과 다름)",IF(COUNTIF(명단표[이름],$R124)=0,IF(COUNTIF(기본자료표[이름],$R124)&gt;0,"명단에 없음(기본자료에는 있음)","명단에 없음"),"동명이인 확인"))))</f>
        <v/>
      </c>
      <c r="Z124">
        <f>IF($R124="","",IF($S124&lt;0,"⚠"&amp;INDEX('입력_구리근무자명단'!$A122:$ZZ122,1,$E$2+2),TEXT($S124,"yyyy-mm-dd")))</f>
        <v/>
      </c>
      <c r="AA124">
        <f>IF($R124="","",IF($T124&lt;0,"⚠"&amp;INDEX('입력_구리근무자명단'!$A122:$ZZ122,1,$E$2+3),TEXT($T124,"yyyy-mm-dd")))</f>
        <v/>
      </c>
      <c r="AB124">
        <f>AB123+IF($R124="",0,1)</f>
        <v/>
      </c>
      <c r="AC124">
        <f>IF($R124="","",$AB124)</f>
        <v/>
      </c>
    </row>
    <row r="125">
      <c r="A125">
        <f>IFERROR(INDEX($O$6:$O$1505,MATCH(120,$AC$6:$AC$1505,0)),"")</f>
        <v/>
      </c>
      <c r="B125">
        <f>IF(ISNUMBER($A125),INDEX($P$6:$P$1505,$A125-3),"")</f>
        <v/>
      </c>
      <c r="C125">
        <f>IF(ISNUMBER($A125),INDEX($Q$6:$Q$1505,$A125-3),"")</f>
        <v/>
      </c>
      <c r="D125">
        <f>IF(ISNUMBER($A125),INDEX($R$6:$R$1505,$A125-3),"")</f>
        <v/>
      </c>
      <c r="E125">
        <f>IF(ISNUMBER($A125),$G$2,"")</f>
        <v/>
      </c>
      <c r="F125">
        <f>IF(ISNUMBER($A125),INDEX($Z$6:$Z$1505,$A125-3),"")</f>
        <v/>
      </c>
      <c r="G125">
        <f>IF(ISNUMBER($A125),INDEX($AA$6:$AA$1505,$A125-3),"")</f>
        <v/>
      </c>
      <c r="H125">
        <f>IF(ISNUMBER($A125),INDEX($U$6:$U$1505,$A125-3),"")</f>
        <v/>
      </c>
      <c r="I125">
        <f>IF(ISNUMBER($A125),INDEX($V$6:$V$1505,$A125-3),"")</f>
        <v/>
      </c>
      <c r="J125">
        <f>IF(ISNUMBER($A125),INDEX($W$6:$W$1505,$A125-3),"")</f>
        <v/>
      </c>
      <c r="K125">
        <f>IF(ISNUMBER($A125),INDEX($X$6:$X$1505,$A125-3),"")</f>
        <v/>
      </c>
      <c r="L125">
        <f>IF(ISNUMBER($A125),INDEX($Y$6:$Y$1505,$A125-3),"")</f>
        <v/>
      </c>
      <c r="O125">
        <f>123</f>
        <v/>
      </c>
      <c r="P125">
        <f>IF(TRIM('입력_구리근무자명단'!$A123&amp;"")&lt;&gt;"",TRIM('입력_구리근무자명단'!$A123&amp;""),P124)</f>
        <v/>
      </c>
      <c r="Q125">
        <f>'입력_구리근무자명단'!$B123&amp;""</f>
        <v/>
      </c>
      <c r="R125">
        <f>IF($E$2="","",TRIM(INDEX('입력_구리근무자명단'!$A123:$ZZ123,1,$E$2+IF($G$2="확정",1,0))&amp;""))</f>
        <v/>
      </c>
      <c r="S125">
        <f>IF($R125="","",IF(INDEX('입력_구리근무자명단'!$A123:$ZZ123,1,$E$2+2)&amp;""="",급여기준월,IF(ISNUMBER(INDEX('입력_구리근무자명단'!$A123:$ZZ123,1,$E$2+2)),INDEX('입력_구리근무자명단'!$A123:$ZZ123,1,$E$2+2),IFERROR(DATE(VALUE(LEFT(INDEX('입력_구리근무자명단'!$A123:$ZZ123,1,$E$2+2),4)),VALUE(MID(INDEX('입력_구리근무자명단'!$A123:$ZZ123,1,$E$2+2),6,2)),VALUE(MID(INDEX('입력_구리근무자명단'!$A123:$ZZ123,1,$E$2+2),9,2))),-1))))</f>
        <v/>
      </c>
      <c r="T125">
        <f>IF($R125="","",IF(INDEX('입력_구리근무자명단'!$A123:$ZZ123,1,$E$2+3)&amp;""="",EOMONTH(급여기준월,0),IF(ISNUMBER(INDEX('입력_구리근무자명단'!$A123:$ZZ123,1,$E$2+3)),INDEX('입력_구리근무자명단'!$A123:$ZZ123,1,$E$2+3),IFERROR(DATE(VALUE(LEFT(INDEX('입력_구리근무자명단'!$A123:$ZZ123,1,$E$2+3),4)),VALUE(MID(INDEX('입력_구리근무자명단'!$A123:$ZZ123,1,$E$2+3),6,2)),VALUE(MID(INDEX('입력_구리근무자명단'!$A123:$ZZ123,1,$E$2+3),9,2))),-1))))</f>
        <v/>
      </c>
      <c r="U125">
        <f>IF($R125="","",IF(OR($S125&lt;0,$T125&lt;0),0,MAX(0,MIN($T125,EOMONTH(급여기준월,0))-MAX($S125,급여기준월)+1)))</f>
        <v/>
      </c>
      <c r="V125">
        <f>IF($R125="","",TRIM(INDEX('입력_구리근무자명단'!$A123:$ZZ123,1,$E$2+5)&amp;""))</f>
        <v/>
      </c>
      <c r="W125">
        <f>IF(ISNUMBER(SEARCH("구리독자",$V125)),"구리독자","")</f>
        <v/>
      </c>
      <c r="X125">
        <f>IF($R125="","",$R125&amp;"|"&amp;IF(OR($Q125="인턴",ISNUMBER(SEARCH("수련교육부",$P125))),"인턴",$P125))</f>
        <v/>
      </c>
      <c r="Y125">
        <f>IF($R125="","",IF(COUNTIF(명단표[이름|과],$X125)=1,"명단 일치",IF(AND(COUNTIF(명단표[이름|과],$X125)=0,COUNTIF(명단표[이름],$R125)=1),"명단 일치(이름만, 과 다름)",IF(COUNTIF(명단표[이름],$R125)=0,IF(COUNTIF(기본자료표[이름],$R125)&gt;0,"명단에 없음(기본자료에는 있음)","명단에 없음"),"동명이인 확인"))))</f>
        <v/>
      </c>
      <c r="Z125">
        <f>IF($R125="","",IF($S125&lt;0,"⚠"&amp;INDEX('입력_구리근무자명단'!$A123:$ZZ123,1,$E$2+2),TEXT($S125,"yyyy-mm-dd")))</f>
        <v/>
      </c>
      <c r="AA125">
        <f>IF($R125="","",IF($T125&lt;0,"⚠"&amp;INDEX('입력_구리근무자명단'!$A123:$ZZ123,1,$E$2+3),TEXT($T125,"yyyy-mm-dd")))</f>
        <v/>
      </c>
      <c r="AB125">
        <f>AB124+IF($R125="",0,1)</f>
        <v/>
      </c>
      <c r="AC125">
        <f>IF($R125="","",$AB125)</f>
        <v/>
      </c>
    </row>
    <row r="126">
      <c r="A126">
        <f>IFERROR(INDEX($O$6:$O$1505,MATCH(121,$AC$6:$AC$1505,0)),"")</f>
        <v/>
      </c>
      <c r="B126">
        <f>IF(ISNUMBER($A126),INDEX($P$6:$P$1505,$A126-3),"")</f>
        <v/>
      </c>
      <c r="C126">
        <f>IF(ISNUMBER($A126),INDEX($Q$6:$Q$1505,$A126-3),"")</f>
        <v/>
      </c>
      <c r="D126">
        <f>IF(ISNUMBER($A126),INDEX($R$6:$R$1505,$A126-3),"")</f>
        <v/>
      </c>
      <c r="E126">
        <f>IF(ISNUMBER($A126),$G$2,"")</f>
        <v/>
      </c>
      <c r="F126">
        <f>IF(ISNUMBER($A126),INDEX($Z$6:$Z$1505,$A126-3),"")</f>
        <v/>
      </c>
      <c r="G126">
        <f>IF(ISNUMBER($A126),INDEX($AA$6:$AA$1505,$A126-3),"")</f>
        <v/>
      </c>
      <c r="H126">
        <f>IF(ISNUMBER($A126),INDEX($U$6:$U$1505,$A126-3),"")</f>
        <v/>
      </c>
      <c r="I126">
        <f>IF(ISNUMBER($A126),INDEX($V$6:$V$1505,$A126-3),"")</f>
        <v/>
      </c>
      <c r="J126">
        <f>IF(ISNUMBER($A126),INDEX($W$6:$W$1505,$A126-3),"")</f>
        <v/>
      </c>
      <c r="K126">
        <f>IF(ISNUMBER($A126),INDEX($X$6:$X$1505,$A126-3),"")</f>
        <v/>
      </c>
      <c r="L126">
        <f>IF(ISNUMBER($A126),INDEX($Y$6:$Y$1505,$A126-3),"")</f>
        <v/>
      </c>
      <c r="O126">
        <f>124</f>
        <v/>
      </c>
      <c r="P126">
        <f>IF(TRIM('입력_구리근무자명단'!$A124&amp;"")&lt;&gt;"",TRIM('입력_구리근무자명단'!$A124&amp;""),P125)</f>
        <v/>
      </c>
      <c r="Q126">
        <f>'입력_구리근무자명단'!$B124&amp;""</f>
        <v/>
      </c>
      <c r="R126">
        <f>IF($E$2="","",TRIM(INDEX('입력_구리근무자명단'!$A124:$ZZ124,1,$E$2+IF($G$2="확정",1,0))&amp;""))</f>
        <v/>
      </c>
      <c r="S126">
        <f>IF($R126="","",IF(INDEX('입력_구리근무자명단'!$A124:$ZZ124,1,$E$2+2)&amp;""="",급여기준월,IF(ISNUMBER(INDEX('입력_구리근무자명단'!$A124:$ZZ124,1,$E$2+2)),INDEX('입력_구리근무자명단'!$A124:$ZZ124,1,$E$2+2),IFERROR(DATE(VALUE(LEFT(INDEX('입력_구리근무자명단'!$A124:$ZZ124,1,$E$2+2),4)),VALUE(MID(INDEX('입력_구리근무자명단'!$A124:$ZZ124,1,$E$2+2),6,2)),VALUE(MID(INDEX('입력_구리근무자명단'!$A124:$ZZ124,1,$E$2+2),9,2))),-1))))</f>
        <v/>
      </c>
      <c r="T126">
        <f>IF($R126="","",IF(INDEX('입력_구리근무자명단'!$A124:$ZZ124,1,$E$2+3)&amp;""="",EOMONTH(급여기준월,0),IF(ISNUMBER(INDEX('입력_구리근무자명단'!$A124:$ZZ124,1,$E$2+3)),INDEX('입력_구리근무자명단'!$A124:$ZZ124,1,$E$2+3),IFERROR(DATE(VALUE(LEFT(INDEX('입력_구리근무자명단'!$A124:$ZZ124,1,$E$2+3),4)),VALUE(MID(INDEX('입력_구리근무자명단'!$A124:$ZZ124,1,$E$2+3),6,2)),VALUE(MID(INDEX('입력_구리근무자명단'!$A124:$ZZ124,1,$E$2+3),9,2))),-1))))</f>
        <v/>
      </c>
      <c r="U126">
        <f>IF($R126="","",IF(OR($S126&lt;0,$T126&lt;0),0,MAX(0,MIN($T126,EOMONTH(급여기준월,0))-MAX($S126,급여기준월)+1)))</f>
        <v/>
      </c>
      <c r="V126">
        <f>IF($R126="","",TRIM(INDEX('입력_구리근무자명단'!$A124:$ZZ124,1,$E$2+5)&amp;""))</f>
        <v/>
      </c>
      <c r="W126">
        <f>IF(ISNUMBER(SEARCH("구리독자",$V126)),"구리독자","")</f>
        <v/>
      </c>
      <c r="X126">
        <f>IF($R126="","",$R126&amp;"|"&amp;IF(OR($Q126="인턴",ISNUMBER(SEARCH("수련교육부",$P126))),"인턴",$P126))</f>
        <v/>
      </c>
      <c r="Y126">
        <f>IF($R126="","",IF(COUNTIF(명단표[이름|과],$X126)=1,"명단 일치",IF(AND(COUNTIF(명단표[이름|과],$X126)=0,COUNTIF(명단표[이름],$R126)=1),"명단 일치(이름만, 과 다름)",IF(COUNTIF(명단표[이름],$R126)=0,IF(COUNTIF(기본자료표[이름],$R126)&gt;0,"명단에 없음(기본자료에는 있음)","명단에 없음"),"동명이인 확인"))))</f>
        <v/>
      </c>
      <c r="Z126">
        <f>IF($R126="","",IF($S126&lt;0,"⚠"&amp;INDEX('입력_구리근무자명단'!$A124:$ZZ124,1,$E$2+2),TEXT($S126,"yyyy-mm-dd")))</f>
        <v/>
      </c>
      <c r="AA126">
        <f>IF($R126="","",IF($T126&lt;0,"⚠"&amp;INDEX('입력_구리근무자명단'!$A124:$ZZ124,1,$E$2+3),TEXT($T126,"yyyy-mm-dd")))</f>
        <v/>
      </c>
      <c r="AB126">
        <f>AB125+IF($R126="",0,1)</f>
        <v/>
      </c>
      <c r="AC126">
        <f>IF($R126="","",$AB126)</f>
        <v/>
      </c>
    </row>
    <row r="127">
      <c r="A127">
        <f>IFERROR(INDEX($O$6:$O$1505,MATCH(122,$AC$6:$AC$1505,0)),"")</f>
        <v/>
      </c>
      <c r="B127">
        <f>IF(ISNUMBER($A127),INDEX($P$6:$P$1505,$A127-3),"")</f>
        <v/>
      </c>
      <c r="C127">
        <f>IF(ISNUMBER($A127),INDEX($Q$6:$Q$1505,$A127-3),"")</f>
        <v/>
      </c>
      <c r="D127">
        <f>IF(ISNUMBER($A127),INDEX($R$6:$R$1505,$A127-3),"")</f>
        <v/>
      </c>
      <c r="E127">
        <f>IF(ISNUMBER($A127),$G$2,"")</f>
        <v/>
      </c>
      <c r="F127">
        <f>IF(ISNUMBER($A127),INDEX($Z$6:$Z$1505,$A127-3),"")</f>
        <v/>
      </c>
      <c r="G127">
        <f>IF(ISNUMBER($A127),INDEX($AA$6:$AA$1505,$A127-3),"")</f>
        <v/>
      </c>
      <c r="H127">
        <f>IF(ISNUMBER($A127),INDEX($U$6:$U$1505,$A127-3),"")</f>
        <v/>
      </c>
      <c r="I127">
        <f>IF(ISNUMBER($A127),INDEX($V$6:$V$1505,$A127-3),"")</f>
        <v/>
      </c>
      <c r="J127">
        <f>IF(ISNUMBER($A127),INDEX($W$6:$W$1505,$A127-3),"")</f>
        <v/>
      </c>
      <c r="K127">
        <f>IF(ISNUMBER($A127),INDEX($X$6:$X$1505,$A127-3),"")</f>
        <v/>
      </c>
      <c r="L127">
        <f>IF(ISNUMBER($A127),INDEX($Y$6:$Y$1505,$A127-3),"")</f>
        <v/>
      </c>
      <c r="O127">
        <f>125</f>
        <v/>
      </c>
      <c r="P127">
        <f>IF(TRIM('입력_구리근무자명단'!$A125&amp;"")&lt;&gt;"",TRIM('입력_구리근무자명단'!$A125&amp;""),P126)</f>
        <v/>
      </c>
      <c r="Q127">
        <f>'입력_구리근무자명단'!$B125&amp;""</f>
        <v/>
      </c>
      <c r="R127">
        <f>IF($E$2="","",TRIM(INDEX('입력_구리근무자명단'!$A125:$ZZ125,1,$E$2+IF($G$2="확정",1,0))&amp;""))</f>
        <v/>
      </c>
      <c r="S127">
        <f>IF($R127="","",IF(INDEX('입력_구리근무자명단'!$A125:$ZZ125,1,$E$2+2)&amp;""="",급여기준월,IF(ISNUMBER(INDEX('입력_구리근무자명단'!$A125:$ZZ125,1,$E$2+2)),INDEX('입력_구리근무자명단'!$A125:$ZZ125,1,$E$2+2),IFERROR(DATE(VALUE(LEFT(INDEX('입력_구리근무자명단'!$A125:$ZZ125,1,$E$2+2),4)),VALUE(MID(INDEX('입력_구리근무자명단'!$A125:$ZZ125,1,$E$2+2),6,2)),VALUE(MID(INDEX('입력_구리근무자명단'!$A125:$ZZ125,1,$E$2+2),9,2))),-1))))</f>
        <v/>
      </c>
      <c r="T127">
        <f>IF($R127="","",IF(INDEX('입력_구리근무자명단'!$A125:$ZZ125,1,$E$2+3)&amp;""="",EOMONTH(급여기준월,0),IF(ISNUMBER(INDEX('입력_구리근무자명단'!$A125:$ZZ125,1,$E$2+3)),INDEX('입력_구리근무자명단'!$A125:$ZZ125,1,$E$2+3),IFERROR(DATE(VALUE(LEFT(INDEX('입력_구리근무자명단'!$A125:$ZZ125,1,$E$2+3),4)),VALUE(MID(INDEX('입력_구리근무자명단'!$A125:$ZZ125,1,$E$2+3),6,2)),VALUE(MID(INDEX('입력_구리근무자명단'!$A125:$ZZ125,1,$E$2+3),9,2))),-1))))</f>
        <v/>
      </c>
      <c r="U127">
        <f>IF($R127="","",IF(OR($S127&lt;0,$T127&lt;0),0,MAX(0,MIN($T127,EOMONTH(급여기준월,0))-MAX($S127,급여기준월)+1)))</f>
        <v/>
      </c>
      <c r="V127">
        <f>IF($R127="","",TRIM(INDEX('입력_구리근무자명단'!$A125:$ZZ125,1,$E$2+5)&amp;""))</f>
        <v/>
      </c>
      <c r="W127">
        <f>IF(ISNUMBER(SEARCH("구리독자",$V127)),"구리독자","")</f>
        <v/>
      </c>
      <c r="X127">
        <f>IF($R127="","",$R127&amp;"|"&amp;IF(OR($Q127="인턴",ISNUMBER(SEARCH("수련교육부",$P127))),"인턴",$P127))</f>
        <v/>
      </c>
      <c r="Y127">
        <f>IF($R127="","",IF(COUNTIF(명단표[이름|과],$X127)=1,"명단 일치",IF(AND(COUNTIF(명단표[이름|과],$X127)=0,COUNTIF(명단표[이름],$R127)=1),"명단 일치(이름만, 과 다름)",IF(COUNTIF(명단표[이름],$R127)=0,IF(COUNTIF(기본자료표[이름],$R127)&gt;0,"명단에 없음(기본자료에는 있음)","명단에 없음"),"동명이인 확인"))))</f>
        <v/>
      </c>
      <c r="Z127">
        <f>IF($R127="","",IF($S127&lt;0,"⚠"&amp;INDEX('입력_구리근무자명단'!$A125:$ZZ125,1,$E$2+2),TEXT($S127,"yyyy-mm-dd")))</f>
        <v/>
      </c>
      <c r="AA127">
        <f>IF($R127="","",IF($T127&lt;0,"⚠"&amp;INDEX('입력_구리근무자명단'!$A125:$ZZ125,1,$E$2+3),TEXT($T127,"yyyy-mm-dd")))</f>
        <v/>
      </c>
      <c r="AB127">
        <f>AB126+IF($R127="",0,1)</f>
        <v/>
      </c>
      <c r="AC127">
        <f>IF($R127="","",$AB127)</f>
        <v/>
      </c>
    </row>
    <row r="128">
      <c r="A128">
        <f>IFERROR(INDEX($O$6:$O$1505,MATCH(123,$AC$6:$AC$1505,0)),"")</f>
        <v/>
      </c>
      <c r="B128">
        <f>IF(ISNUMBER($A128),INDEX($P$6:$P$1505,$A128-3),"")</f>
        <v/>
      </c>
      <c r="C128">
        <f>IF(ISNUMBER($A128),INDEX($Q$6:$Q$1505,$A128-3),"")</f>
        <v/>
      </c>
      <c r="D128">
        <f>IF(ISNUMBER($A128),INDEX($R$6:$R$1505,$A128-3),"")</f>
        <v/>
      </c>
      <c r="E128">
        <f>IF(ISNUMBER($A128),$G$2,"")</f>
        <v/>
      </c>
      <c r="F128">
        <f>IF(ISNUMBER($A128),INDEX($Z$6:$Z$1505,$A128-3),"")</f>
        <v/>
      </c>
      <c r="G128">
        <f>IF(ISNUMBER($A128),INDEX($AA$6:$AA$1505,$A128-3),"")</f>
        <v/>
      </c>
      <c r="H128">
        <f>IF(ISNUMBER($A128),INDEX($U$6:$U$1505,$A128-3),"")</f>
        <v/>
      </c>
      <c r="I128">
        <f>IF(ISNUMBER($A128),INDEX($V$6:$V$1505,$A128-3),"")</f>
        <v/>
      </c>
      <c r="J128">
        <f>IF(ISNUMBER($A128),INDEX($W$6:$W$1505,$A128-3),"")</f>
        <v/>
      </c>
      <c r="K128">
        <f>IF(ISNUMBER($A128),INDEX($X$6:$X$1505,$A128-3),"")</f>
        <v/>
      </c>
      <c r="L128">
        <f>IF(ISNUMBER($A128),INDEX($Y$6:$Y$1505,$A128-3),"")</f>
        <v/>
      </c>
      <c r="O128">
        <f>126</f>
        <v/>
      </c>
      <c r="P128">
        <f>IF(TRIM('입력_구리근무자명단'!$A126&amp;"")&lt;&gt;"",TRIM('입력_구리근무자명단'!$A126&amp;""),P127)</f>
        <v/>
      </c>
      <c r="Q128">
        <f>'입력_구리근무자명단'!$B126&amp;""</f>
        <v/>
      </c>
      <c r="R128">
        <f>IF($E$2="","",TRIM(INDEX('입력_구리근무자명단'!$A126:$ZZ126,1,$E$2+IF($G$2="확정",1,0))&amp;""))</f>
        <v/>
      </c>
      <c r="S128">
        <f>IF($R128="","",IF(INDEX('입력_구리근무자명단'!$A126:$ZZ126,1,$E$2+2)&amp;""="",급여기준월,IF(ISNUMBER(INDEX('입력_구리근무자명단'!$A126:$ZZ126,1,$E$2+2)),INDEX('입력_구리근무자명단'!$A126:$ZZ126,1,$E$2+2),IFERROR(DATE(VALUE(LEFT(INDEX('입력_구리근무자명단'!$A126:$ZZ126,1,$E$2+2),4)),VALUE(MID(INDEX('입력_구리근무자명단'!$A126:$ZZ126,1,$E$2+2),6,2)),VALUE(MID(INDEX('입력_구리근무자명단'!$A126:$ZZ126,1,$E$2+2),9,2))),-1))))</f>
        <v/>
      </c>
      <c r="T128">
        <f>IF($R128="","",IF(INDEX('입력_구리근무자명단'!$A126:$ZZ126,1,$E$2+3)&amp;""="",EOMONTH(급여기준월,0),IF(ISNUMBER(INDEX('입력_구리근무자명단'!$A126:$ZZ126,1,$E$2+3)),INDEX('입력_구리근무자명단'!$A126:$ZZ126,1,$E$2+3),IFERROR(DATE(VALUE(LEFT(INDEX('입력_구리근무자명단'!$A126:$ZZ126,1,$E$2+3),4)),VALUE(MID(INDEX('입력_구리근무자명단'!$A126:$ZZ126,1,$E$2+3),6,2)),VALUE(MID(INDEX('입력_구리근무자명단'!$A126:$ZZ126,1,$E$2+3),9,2))),-1))))</f>
        <v/>
      </c>
      <c r="U128">
        <f>IF($R128="","",IF(OR($S128&lt;0,$T128&lt;0),0,MAX(0,MIN($T128,EOMONTH(급여기준월,0))-MAX($S128,급여기준월)+1)))</f>
        <v/>
      </c>
      <c r="V128">
        <f>IF($R128="","",TRIM(INDEX('입력_구리근무자명단'!$A126:$ZZ126,1,$E$2+5)&amp;""))</f>
        <v/>
      </c>
      <c r="W128">
        <f>IF(ISNUMBER(SEARCH("구리독자",$V128)),"구리독자","")</f>
        <v/>
      </c>
      <c r="X128">
        <f>IF($R128="","",$R128&amp;"|"&amp;IF(OR($Q128="인턴",ISNUMBER(SEARCH("수련교육부",$P128))),"인턴",$P128))</f>
        <v/>
      </c>
      <c r="Y128">
        <f>IF($R128="","",IF(COUNTIF(명단표[이름|과],$X128)=1,"명단 일치",IF(AND(COUNTIF(명단표[이름|과],$X128)=0,COUNTIF(명단표[이름],$R128)=1),"명단 일치(이름만, 과 다름)",IF(COUNTIF(명단표[이름],$R128)=0,IF(COUNTIF(기본자료표[이름],$R128)&gt;0,"명단에 없음(기본자료에는 있음)","명단에 없음"),"동명이인 확인"))))</f>
        <v/>
      </c>
      <c r="Z128">
        <f>IF($R128="","",IF($S128&lt;0,"⚠"&amp;INDEX('입력_구리근무자명단'!$A126:$ZZ126,1,$E$2+2),TEXT($S128,"yyyy-mm-dd")))</f>
        <v/>
      </c>
      <c r="AA128">
        <f>IF($R128="","",IF($T128&lt;0,"⚠"&amp;INDEX('입력_구리근무자명단'!$A126:$ZZ126,1,$E$2+3),TEXT($T128,"yyyy-mm-dd")))</f>
        <v/>
      </c>
      <c r="AB128">
        <f>AB127+IF($R128="",0,1)</f>
        <v/>
      </c>
      <c r="AC128">
        <f>IF($R128="","",$AB128)</f>
        <v/>
      </c>
    </row>
    <row r="129">
      <c r="A129">
        <f>IFERROR(INDEX($O$6:$O$1505,MATCH(124,$AC$6:$AC$1505,0)),"")</f>
        <v/>
      </c>
      <c r="B129">
        <f>IF(ISNUMBER($A129),INDEX($P$6:$P$1505,$A129-3),"")</f>
        <v/>
      </c>
      <c r="C129">
        <f>IF(ISNUMBER($A129),INDEX($Q$6:$Q$1505,$A129-3),"")</f>
        <v/>
      </c>
      <c r="D129">
        <f>IF(ISNUMBER($A129),INDEX($R$6:$R$1505,$A129-3),"")</f>
        <v/>
      </c>
      <c r="E129">
        <f>IF(ISNUMBER($A129),$G$2,"")</f>
        <v/>
      </c>
      <c r="F129">
        <f>IF(ISNUMBER($A129),INDEX($Z$6:$Z$1505,$A129-3),"")</f>
        <v/>
      </c>
      <c r="G129">
        <f>IF(ISNUMBER($A129),INDEX($AA$6:$AA$1505,$A129-3),"")</f>
        <v/>
      </c>
      <c r="H129">
        <f>IF(ISNUMBER($A129),INDEX($U$6:$U$1505,$A129-3),"")</f>
        <v/>
      </c>
      <c r="I129">
        <f>IF(ISNUMBER($A129),INDEX($V$6:$V$1505,$A129-3),"")</f>
        <v/>
      </c>
      <c r="J129">
        <f>IF(ISNUMBER($A129),INDEX($W$6:$W$1505,$A129-3),"")</f>
        <v/>
      </c>
      <c r="K129">
        <f>IF(ISNUMBER($A129),INDEX($X$6:$X$1505,$A129-3),"")</f>
        <v/>
      </c>
      <c r="L129">
        <f>IF(ISNUMBER($A129),INDEX($Y$6:$Y$1505,$A129-3),"")</f>
        <v/>
      </c>
      <c r="O129">
        <f>127</f>
        <v/>
      </c>
      <c r="P129">
        <f>IF(TRIM('입력_구리근무자명단'!$A127&amp;"")&lt;&gt;"",TRIM('입력_구리근무자명단'!$A127&amp;""),P128)</f>
        <v/>
      </c>
      <c r="Q129">
        <f>'입력_구리근무자명단'!$B127&amp;""</f>
        <v/>
      </c>
      <c r="R129">
        <f>IF($E$2="","",TRIM(INDEX('입력_구리근무자명단'!$A127:$ZZ127,1,$E$2+IF($G$2="확정",1,0))&amp;""))</f>
        <v/>
      </c>
      <c r="S129">
        <f>IF($R129="","",IF(INDEX('입력_구리근무자명단'!$A127:$ZZ127,1,$E$2+2)&amp;""="",급여기준월,IF(ISNUMBER(INDEX('입력_구리근무자명단'!$A127:$ZZ127,1,$E$2+2)),INDEX('입력_구리근무자명단'!$A127:$ZZ127,1,$E$2+2),IFERROR(DATE(VALUE(LEFT(INDEX('입력_구리근무자명단'!$A127:$ZZ127,1,$E$2+2),4)),VALUE(MID(INDEX('입력_구리근무자명단'!$A127:$ZZ127,1,$E$2+2),6,2)),VALUE(MID(INDEX('입력_구리근무자명단'!$A127:$ZZ127,1,$E$2+2),9,2))),-1))))</f>
        <v/>
      </c>
      <c r="T129">
        <f>IF($R129="","",IF(INDEX('입력_구리근무자명단'!$A127:$ZZ127,1,$E$2+3)&amp;""="",EOMONTH(급여기준월,0),IF(ISNUMBER(INDEX('입력_구리근무자명단'!$A127:$ZZ127,1,$E$2+3)),INDEX('입력_구리근무자명단'!$A127:$ZZ127,1,$E$2+3),IFERROR(DATE(VALUE(LEFT(INDEX('입력_구리근무자명단'!$A127:$ZZ127,1,$E$2+3),4)),VALUE(MID(INDEX('입력_구리근무자명단'!$A127:$ZZ127,1,$E$2+3),6,2)),VALUE(MID(INDEX('입력_구리근무자명단'!$A127:$ZZ127,1,$E$2+3),9,2))),-1))))</f>
        <v/>
      </c>
      <c r="U129">
        <f>IF($R129="","",IF(OR($S129&lt;0,$T129&lt;0),0,MAX(0,MIN($T129,EOMONTH(급여기준월,0))-MAX($S129,급여기준월)+1)))</f>
        <v/>
      </c>
      <c r="V129">
        <f>IF($R129="","",TRIM(INDEX('입력_구리근무자명단'!$A127:$ZZ127,1,$E$2+5)&amp;""))</f>
        <v/>
      </c>
      <c r="W129">
        <f>IF(ISNUMBER(SEARCH("구리독자",$V129)),"구리독자","")</f>
        <v/>
      </c>
      <c r="X129">
        <f>IF($R129="","",$R129&amp;"|"&amp;IF(OR($Q129="인턴",ISNUMBER(SEARCH("수련교육부",$P129))),"인턴",$P129))</f>
        <v/>
      </c>
      <c r="Y129">
        <f>IF($R129="","",IF(COUNTIF(명단표[이름|과],$X129)=1,"명단 일치",IF(AND(COUNTIF(명단표[이름|과],$X129)=0,COUNTIF(명단표[이름],$R129)=1),"명단 일치(이름만, 과 다름)",IF(COUNTIF(명단표[이름],$R129)=0,IF(COUNTIF(기본자료표[이름],$R129)&gt;0,"명단에 없음(기본자료에는 있음)","명단에 없음"),"동명이인 확인"))))</f>
        <v/>
      </c>
      <c r="Z129">
        <f>IF($R129="","",IF($S129&lt;0,"⚠"&amp;INDEX('입력_구리근무자명단'!$A127:$ZZ127,1,$E$2+2),TEXT($S129,"yyyy-mm-dd")))</f>
        <v/>
      </c>
      <c r="AA129">
        <f>IF($R129="","",IF($T129&lt;0,"⚠"&amp;INDEX('입력_구리근무자명단'!$A127:$ZZ127,1,$E$2+3),TEXT($T129,"yyyy-mm-dd")))</f>
        <v/>
      </c>
      <c r="AB129">
        <f>AB128+IF($R129="",0,1)</f>
        <v/>
      </c>
      <c r="AC129">
        <f>IF($R129="","",$AB129)</f>
        <v/>
      </c>
    </row>
    <row r="130">
      <c r="A130">
        <f>IFERROR(INDEX($O$6:$O$1505,MATCH(125,$AC$6:$AC$1505,0)),"")</f>
        <v/>
      </c>
      <c r="B130">
        <f>IF(ISNUMBER($A130),INDEX($P$6:$P$1505,$A130-3),"")</f>
        <v/>
      </c>
      <c r="C130">
        <f>IF(ISNUMBER($A130),INDEX($Q$6:$Q$1505,$A130-3),"")</f>
        <v/>
      </c>
      <c r="D130">
        <f>IF(ISNUMBER($A130),INDEX($R$6:$R$1505,$A130-3),"")</f>
        <v/>
      </c>
      <c r="E130">
        <f>IF(ISNUMBER($A130),$G$2,"")</f>
        <v/>
      </c>
      <c r="F130">
        <f>IF(ISNUMBER($A130),INDEX($Z$6:$Z$1505,$A130-3),"")</f>
        <v/>
      </c>
      <c r="G130">
        <f>IF(ISNUMBER($A130),INDEX($AA$6:$AA$1505,$A130-3),"")</f>
        <v/>
      </c>
      <c r="H130">
        <f>IF(ISNUMBER($A130),INDEX($U$6:$U$1505,$A130-3),"")</f>
        <v/>
      </c>
      <c r="I130">
        <f>IF(ISNUMBER($A130),INDEX($V$6:$V$1505,$A130-3),"")</f>
        <v/>
      </c>
      <c r="J130">
        <f>IF(ISNUMBER($A130),INDEX($W$6:$W$1505,$A130-3),"")</f>
        <v/>
      </c>
      <c r="K130">
        <f>IF(ISNUMBER($A130),INDEX($X$6:$X$1505,$A130-3),"")</f>
        <v/>
      </c>
      <c r="L130">
        <f>IF(ISNUMBER($A130),INDEX($Y$6:$Y$1505,$A130-3),"")</f>
        <v/>
      </c>
      <c r="O130">
        <f>128</f>
        <v/>
      </c>
      <c r="P130">
        <f>IF(TRIM('입력_구리근무자명단'!$A128&amp;"")&lt;&gt;"",TRIM('입력_구리근무자명단'!$A128&amp;""),P129)</f>
        <v/>
      </c>
      <c r="Q130">
        <f>'입력_구리근무자명단'!$B128&amp;""</f>
        <v/>
      </c>
      <c r="R130">
        <f>IF($E$2="","",TRIM(INDEX('입력_구리근무자명단'!$A128:$ZZ128,1,$E$2+IF($G$2="확정",1,0))&amp;""))</f>
        <v/>
      </c>
      <c r="S130">
        <f>IF($R130="","",IF(INDEX('입력_구리근무자명단'!$A128:$ZZ128,1,$E$2+2)&amp;""="",급여기준월,IF(ISNUMBER(INDEX('입력_구리근무자명단'!$A128:$ZZ128,1,$E$2+2)),INDEX('입력_구리근무자명단'!$A128:$ZZ128,1,$E$2+2),IFERROR(DATE(VALUE(LEFT(INDEX('입력_구리근무자명단'!$A128:$ZZ128,1,$E$2+2),4)),VALUE(MID(INDEX('입력_구리근무자명단'!$A128:$ZZ128,1,$E$2+2),6,2)),VALUE(MID(INDEX('입력_구리근무자명단'!$A128:$ZZ128,1,$E$2+2),9,2))),-1))))</f>
        <v/>
      </c>
      <c r="T130">
        <f>IF($R130="","",IF(INDEX('입력_구리근무자명단'!$A128:$ZZ128,1,$E$2+3)&amp;""="",EOMONTH(급여기준월,0),IF(ISNUMBER(INDEX('입력_구리근무자명단'!$A128:$ZZ128,1,$E$2+3)),INDEX('입력_구리근무자명단'!$A128:$ZZ128,1,$E$2+3),IFERROR(DATE(VALUE(LEFT(INDEX('입력_구리근무자명단'!$A128:$ZZ128,1,$E$2+3),4)),VALUE(MID(INDEX('입력_구리근무자명단'!$A128:$ZZ128,1,$E$2+3),6,2)),VALUE(MID(INDEX('입력_구리근무자명단'!$A128:$ZZ128,1,$E$2+3),9,2))),-1))))</f>
        <v/>
      </c>
      <c r="U130">
        <f>IF($R130="","",IF(OR($S130&lt;0,$T130&lt;0),0,MAX(0,MIN($T130,EOMONTH(급여기준월,0))-MAX($S130,급여기준월)+1)))</f>
        <v/>
      </c>
      <c r="V130">
        <f>IF($R130="","",TRIM(INDEX('입력_구리근무자명단'!$A128:$ZZ128,1,$E$2+5)&amp;""))</f>
        <v/>
      </c>
      <c r="W130">
        <f>IF(ISNUMBER(SEARCH("구리독자",$V130)),"구리독자","")</f>
        <v/>
      </c>
      <c r="X130">
        <f>IF($R130="","",$R130&amp;"|"&amp;IF(OR($Q130="인턴",ISNUMBER(SEARCH("수련교육부",$P130))),"인턴",$P130))</f>
        <v/>
      </c>
      <c r="Y130">
        <f>IF($R130="","",IF(COUNTIF(명단표[이름|과],$X130)=1,"명단 일치",IF(AND(COUNTIF(명단표[이름|과],$X130)=0,COUNTIF(명단표[이름],$R130)=1),"명단 일치(이름만, 과 다름)",IF(COUNTIF(명단표[이름],$R130)=0,IF(COUNTIF(기본자료표[이름],$R130)&gt;0,"명단에 없음(기본자료에는 있음)","명단에 없음"),"동명이인 확인"))))</f>
        <v/>
      </c>
      <c r="Z130">
        <f>IF($R130="","",IF($S130&lt;0,"⚠"&amp;INDEX('입력_구리근무자명단'!$A128:$ZZ128,1,$E$2+2),TEXT($S130,"yyyy-mm-dd")))</f>
        <v/>
      </c>
      <c r="AA130">
        <f>IF($R130="","",IF($T130&lt;0,"⚠"&amp;INDEX('입력_구리근무자명단'!$A128:$ZZ128,1,$E$2+3),TEXT($T130,"yyyy-mm-dd")))</f>
        <v/>
      </c>
      <c r="AB130">
        <f>AB129+IF($R130="",0,1)</f>
        <v/>
      </c>
      <c r="AC130">
        <f>IF($R130="","",$AB130)</f>
        <v/>
      </c>
    </row>
    <row r="131">
      <c r="A131">
        <f>IFERROR(INDEX($O$6:$O$1505,MATCH(126,$AC$6:$AC$1505,0)),"")</f>
        <v/>
      </c>
      <c r="B131">
        <f>IF(ISNUMBER($A131),INDEX($P$6:$P$1505,$A131-3),"")</f>
        <v/>
      </c>
      <c r="C131">
        <f>IF(ISNUMBER($A131),INDEX($Q$6:$Q$1505,$A131-3),"")</f>
        <v/>
      </c>
      <c r="D131">
        <f>IF(ISNUMBER($A131),INDEX($R$6:$R$1505,$A131-3),"")</f>
        <v/>
      </c>
      <c r="E131">
        <f>IF(ISNUMBER($A131),$G$2,"")</f>
        <v/>
      </c>
      <c r="F131">
        <f>IF(ISNUMBER($A131),INDEX($Z$6:$Z$1505,$A131-3),"")</f>
        <v/>
      </c>
      <c r="G131">
        <f>IF(ISNUMBER($A131),INDEX($AA$6:$AA$1505,$A131-3),"")</f>
        <v/>
      </c>
      <c r="H131">
        <f>IF(ISNUMBER($A131),INDEX($U$6:$U$1505,$A131-3),"")</f>
        <v/>
      </c>
      <c r="I131">
        <f>IF(ISNUMBER($A131),INDEX($V$6:$V$1505,$A131-3),"")</f>
        <v/>
      </c>
      <c r="J131">
        <f>IF(ISNUMBER($A131),INDEX($W$6:$W$1505,$A131-3),"")</f>
        <v/>
      </c>
      <c r="K131">
        <f>IF(ISNUMBER($A131),INDEX($X$6:$X$1505,$A131-3),"")</f>
        <v/>
      </c>
      <c r="L131">
        <f>IF(ISNUMBER($A131),INDEX($Y$6:$Y$1505,$A131-3),"")</f>
        <v/>
      </c>
      <c r="O131">
        <f>129</f>
        <v/>
      </c>
      <c r="P131">
        <f>IF(TRIM('입력_구리근무자명단'!$A129&amp;"")&lt;&gt;"",TRIM('입력_구리근무자명단'!$A129&amp;""),P130)</f>
        <v/>
      </c>
      <c r="Q131">
        <f>'입력_구리근무자명단'!$B129&amp;""</f>
        <v/>
      </c>
      <c r="R131">
        <f>IF($E$2="","",TRIM(INDEX('입력_구리근무자명단'!$A129:$ZZ129,1,$E$2+IF($G$2="확정",1,0))&amp;""))</f>
        <v/>
      </c>
      <c r="S131">
        <f>IF($R131="","",IF(INDEX('입력_구리근무자명단'!$A129:$ZZ129,1,$E$2+2)&amp;""="",급여기준월,IF(ISNUMBER(INDEX('입력_구리근무자명단'!$A129:$ZZ129,1,$E$2+2)),INDEX('입력_구리근무자명단'!$A129:$ZZ129,1,$E$2+2),IFERROR(DATE(VALUE(LEFT(INDEX('입력_구리근무자명단'!$A129:$ZZ129,1,$E$2+2),4)),VALUE(MID(INDEX('입력_구리근무자명단'!$A129:$ZZ129,1,$E$2+2),6,2)),VALUE(MID(INDEX('입력_구리근무자명단'!$A129:$ZZ129,1,$E$2+2),9,2))),-1))))</f>
        <v/>
      </c>
      <c r="T131">
        <f>IF($R131="","",IF(INDEX('입력_구리근무자명단'!$A129:$ZZ129,1,$E$2+3)&amp;""="",EOMONTH(급여기준월,0),IF(ISNUMBER(INDEX('입력_구리근무자명단'!$A129:$ZZ129,1,$E$2+3)),INDEX('입력_구리근무자명단'!$A129:$ZZ129,1,$E$2+3),IFERROR(DATE(VALUE(LEFT(INDEX('입력_구리근무자명단'!$A129:$ZZ129,1,$E$2+3),4)),VALUE(MID(INDEX('입력_구리근무자명단'!$A129:$ZZ129,1,$E$2+3),6,2)),VALUE(MID(INDEX('입력_구리근무자명단'!$A129:$ZZ129,1,$E$2+3),9,2))),-1))))</f>
        <v/>
      </c>
      <c r="U131">
        <f>IF($R131="","",IF(OR($S131&lt;0,$T131&lt;0),0,MAX(0,MIN($T131,EOMONTH(급여기준월,0))-MAX($S131,급여기준월)+1)))</f>
        <v/>
      </c>
      <c r="V131">
        <f>IF($R131="","",TRIM(INDEX('입력_구리근무자명단'!$A129:$ZZ129,1,$E$2+5)&amp;""))</f>
        <v/>
      </c>
      <c r="W131">
        <f>IF(ISNUMBER(SEARCH("구리독자",$V131)),"구리독자","")</f>
        <v/>
      </c>
      <c r="X131">
        <f>IF($R131="","",$R131&amp;"|"&amp;IF(OR($Q131="인턴",ISNUMBER(SEARCH("수련교육부",$P131))),"인턴",$P131))</f>
        <v/>
      </c>
      <c r="Y131">
        <f>IF($R131="","",IF(COUNTIF(명단표[이름|과],$X131)=1,"명단 일치",IF(AND(COUNTIF(명단표[이름|과],$X131)=0,COUNTIF(명단표[이름],$R131)=1),"명단 일치(이름만, 과 다름)",IF(COUNTIF(명단표[이름],$R131)=0,IF(COUNTIF(기본자료표[이름],$R131)&gt;0,"명단에 없음(기본자료에는 있음)","명단에 없음"),"동명이인 확인"))))</f>
        <v/>
      </c>
      <c r="Z131">
        <f>IF($R131="","",IF($S131&lt;0,"⚠"&amp;INDEX('입력_구리근무자명단'!$A129:$ZZ129,1,$E$2+2),TEXT($S131,"yyyy-mm-dd")))</f>
        <v/>
      </c>
      <c r="AA131">
        <f>IF($R131="","",IF($T131&lt;0,"⚠"&amp;INDEX('입력_구리근무자명단'!$A129:$ZZ129,1,$E$2+3),TEXT($T131,"yyyy-mm-dd")))</f>
        <v/>
      </c>
      <c r="AB131">
        <f>AB130+IF($R131="",0,1)</f>
        <v/>
      </c>
      <c r="AC131">
        <f>IF($R131="","",$AB131)</f>
        <v/>
      </c>
    </row>
    <row r="132">
      <c r="A132">
        <f>IFERROR(INDEX($O$6:$O$1505,MATCH(127,$AC$6:$AC$1505,0)),"")</f>
        <v/>
      </c>
      <c r="B132">
        <f>IF(ISNUMBER($A132),INDEX($P$6:$P$1505,$A132-3),"")</f>
        <v/>
      </c>
      <c r="C132">
        <f>IF(ISNUMBER($A132),INDEX($Q$6:$Q$1505,$A132-3),"")</f>
        <v/>
      </c>
      <c r="D132">
        <f>IF(ISNUMBER($A132),INDEX($R$6:$R$1505,$A132-3),"")</f>
        <v/>
      </c>
      <c r="E132">
        <f>IF(ISNUMBER($A132),$G$2,"")</f>
        <v/>
      </c>
      <c r="F132">
        <f>IF(ISNUMBER($A132),INDEX($Z$6:$Z$1505,$A132-3),"")</f>
        <v/>
      </c>
      <c r="G132">
        <f>IF(ISNUMBER($A132),INDEX($AA$6:$AA$1505,$A132-3),"")</f>
        <v/>
      </c>
      <c r="H132">
        <f>IF(ISNUMBER($A132),INDEX($U$6:$U$1505,$A132-3),"")</f>
        <v/>
      </c>
      <c r="I132">
        <f>IF(ISNUMBER($A132),INDEX($V$6:$V$1505,$A132-3),"")</f>
        <v/>
      </c>
      <c r="J132">
        <f>IF(ISNUMBER($A132),INDEX($W$6:$W$1505,$A132-3),"")</f>
        <v/>
      </c>
      <c r="K132">
        <f>IF(ISNUMBER($A132),INDEX($X$6:$X$1505,$A132-3),"")</f>
        <v/>
      </c>
      <c r="L132">
        <f>IF(ISNUMBER($A132),INDEX($Y$6:$Y$1505,$A132-3),"")</f>
        <v/>
      </c>
      <c r="O132">
        <f>130</f>
        <v/>
      </c>
      <c r="P132">
        <f>IF(TRIM('입력_구리근무자명단'!$A130&amp;"")&lt;&gt;"",TRIM('입력_구리근무자명단'!$A130&amp;""),P131)</f>
        <v/>
      </c>
      <c r="Q132">
        <f>'입력_구리근무자명단'!$B130&amp;""</f>
        <v/>
      </c>
      <c r="R132">
        <f>IF($E$2="","",TRIM(INDEX('입력_구리근무자명단'!$A130:$ZZ130,1,$E$2+IF($G$2="확정",1,0))&amp;""))</f>
        <v/>
      </c>
      <c r="S132">
        <f>IF($R132="","",IF(INDEX('입력_구리근무자명단'!$A130:$ZZ130,1,$E$2+2)&amp;""="",급여기준월,IF(ISNUMBER(INDEX('입력_구리근무자명단'!$A130:$ZZ130,1,$E$2+2)),INDEX('입력_구리근무자명단'!$A130:$ZZ130,1,$E$2+2),IFERROR(DATE(VALUE(LEFT(INDEX('입력_구리근무자명단'!$A130:$ZZ130,1,$E$2+2),4)),VALUE(MID(INDEX('입력_구리근무자명단'!$A130:$ZZ130,1,$E$2+2),6,2)),VALUE(MID(INDEX('입력_구리근무자명단'!$A130:$ZZ130,1,$E$2+2),9,2))),-1))))</f>
        <v/>
      </c>
      <c r="T132">
        <f>IF($R132="","",IF(INDEX('입력_구리근무자명단'!$A130:$ZZ130,1,$E$2+3)&amp;""="",EOMONTH(급여기준월,0),IF(ISNUMBER(INDEX('입력_구리근무자명단'!$A130:$ZZ130,1,$E$2+3)),INDEX('입력_구리근무자명단'!$A130:$ZZ130,1,$E$2+3),IFERROR(DATE(VALUE(LEFT(INDEX('입력_구리근무자명단'!$A130:$ZZ130,1,$E$2+3),4)),VALUE(MID(INDEX('입력_구리근무자명단'!$A130:$ZZ130,1,$E$2+3),6,2)),VALUE(MID(INDEX('입력_구리근무자명단'!$A130:$ZZ130,1,$E$2+3),9,2))),-1))))</f>
        <v/>
      </c>
      <c r="U132">
        <f>IF($R132="","",IF(OR($S132&lt;0,$T132&lt;0),0,MAX(0,MIN($T132,EOMONTH(급여기준월,0))-MAX($S132,급여기준월)+1)))</f>
        <v/>
      </c>
      <c r="V132">
        <f>IF($R132="","",TRIM(INDEX('입력_구리근무자명단'!$A130:$ZZ130,1,$E$2+5)&amp;""))</f>
        <v/>
      </c>
      <c r="W132">
        <f>IF(ISNUMBER(SEARCH("구리독자",$V132)),"구리독자","")</f>
        <v/>
      </c>
      <c r="X132">
        <f>IF($R132="","",$R132&amp;"|"&amp;IF(OR($Q132="인턴",ISNUMBER(SEARCH("수련교육부",$P132))),"인턴",$P132))</f>
        <v/>
      </c>
      <c r="Y132">
        <f>IF($R132="","",IF(COUNTIF(명단표[이름|과],$X132)=1,"명단 일치",IF(AND(COUNTIF(명단표[이름|과],$X132)=0,COUNTIF(명단표[이름],$R132)=1),"명단 일치(이름만, 과 다름)",IF(COUNTIF(명단표[이름],$R132)=0,IF(COUNTIF(기본자료표[이름],$R132)&gt;0,"명단에 없음(기본자료에는 있음)","명단에 없음"),"동명이인 확인"))))</f>
        <v/>
      </c>
      <c r="Z132">
        <f>IF($R132="","",IF($S132&lt;0,"⚠"&amp;INDEX('입력_구리근무자명단'!$A130:$ZZ130,1,$E$2+2),TEXT($S132,"yyyy-mm-dd")))</f>
        <v/>
      </c>
      <c r="AA132">
        <f>IF($R132="","",IF($T132&lt;0,"⚠"&amp;INDEX('입력_구리근무자명단'!$A130:$ZZ130,1,$E$2+3),TEXT($T132,"yyyy-mm-dd")))</f>
        <v/>
      </c>
      <c r="AB132">
        <f>AB131+IF($R132="",0,1)</f>
        <v/>
      </c>
      <c r="AC132">
        <f>IF($R132="","",$AB132)</f>
        <v/>
      </c>
    </row>
    <row r="133">
      <c r="A133">
        <f>IFERROR(INDEX($O$6:$O$1505,MATCH(128,$AC$6:$AC$1505,0)),"")</f>
        <v/>
      </c>
      <c r="B133">
        <f>IF(ISNUMBER($A133),INDEX($P$6:$P$1505,$A133-3),"")</f>
        <v/>
      </c>
      <c r="C133">
        <f>IF(ISNUMBER($A133),INDEX($Q$6:$Q$1505,$A133-3),"")</f>
        <v/>
      </c>
      <c r="D133">
        <f>IF(ISNUMBER($A133),INDEX($R$6:$R$1505,$A133-3),"")</f>
        <v/>
      </c>
      <c r="E133">
        <f>IF(ISNUMBER($A133),$G$2,"")</f>
        <v/>
      </c>
      <c r="F133">
        <f>IF(ISNUMBER($A133),INDEX($Z$6:$Z$1505,$A133-3),"")</f>
        <v/>
      </c>
      <c r="G133">
        <f>IF(ISNUMBER($A133),INDEX($AA$6:$AA$1505,$A133-3),"")</f>
        <v/>
      </c>
      <c r="H133">
        <f>IF(ISNUMBER($A133),INDEX($U$6:$U$1505,$A133-3),"")</f>
        <v/>
      </c>
      <c r="I133">
        <f>IF(ISNUMBER($A133),INDEX($V$6:$V$1505,$A133-3),"")</f>
        <v/>
      </c>
      <c r="J133">
        <f>IF(ISNUMBER($A133),INDEX($W$6:$W$1505,$A133-3),"")</f>
        <v/>
      </c>
      <c r="K133">
        <f>IF(ISNUMBER($A133),INDEX($X$6:$X$1505,$A133-3),"")</f>
        <v/>
      </c>
      <c r="L133">
        <f>IF(ISNUMBER($A133),INDEX($Y$6:$Y$1505,$A133-3),"")</f>
        <v/>
      </c>
      <c r="O133">
        <f>131</f>
        <v/>
      </c>
      <c r="P133">
        <f>IF(TRIM('입력_구리근무자명단'!$A131&amp;"")&lt;&gt;"",TRIM('입력_구리근무자명단'!$A131&amp;""),P132)</f>
        <v/>
      </c>
      <c r="Q133">
        <f>'입력_구리근무자명단'!$B131&amp;""</f>
        <v/>
      </c>
      <c r="R133">
        <f>IF($E$2="","",TRIM(INDEX('입력_구리근무자명단'!$A131:$ZZ131,1,$E$2+IF($G$2="확정",1,0))&amp;""))</f>
        <v/>
      </c>
      <c r="S133">
        <f>IF($R133="","",IF(INDEX('입력_구리근무자명단'!$A131:$ZZ131,1,$E$2+2)&amp;""="",급여기준월,IF(ISNUMBER(INDEX('입력_구리근무자명단'!$A131:$ZZ131,1,$E$2+2)),INDEX('입력_구리근무자명단'!$A131:$ZZ131,1,$E$2+2),IFERROR(DATE(VALUE(LEFT(INDEX('입력_구리근무자명단'!$A131:$ZZ131,1,$E$2+2),4)),VALUE(MID(INDEX('입력_구리근무자명단'!$A131:$ZZ131,1,$E$2+2),6,2)),VALUE(MID(INDEX('입력_구리근무자명단'!$A131:$ZZ131,1,$E$2+2),9,2))),-1))))</f>
        <v/>
      </c>
      <c r="T133">
        <f>IF($R133="","",IF(INDEX('입력_구리근무자명단'!$A131:$ZZ131,1,$E$2+3)&amp;""="",EOMONTH(급여기준월,0),IF(ISNUMBER(INDEX('입력_구리근무자명단'!$A131:$ZZ131,1,$E$2+3)),INDEX('입력_구리근무자명단'!$A131:$ZZ131,1,$E$2+3),IFERROR(DATE(VALUE(LEFT(INDEX('입력_구리근무자명단'!$A131:$ZZ131,1,$E$2+3),4)),VALUE(MID(INDEX('입력_구리근무자명단'!$A131:$ZZ131,1,$E$2+3),6,2)),VALUE(MID(INDEX('입력_구리근무자명단'!$A131:$ZZ131,1,$E$2+3),9,2))),-1))))</f>
        <v/>
      </c>
      <c r="U133">
        <f>IF($R133="","",IF(OR($S133&lt;0,$T133&lt;0),0,MAX(0,MIN($T133,EOMONTH(급여기준월,0))-MAX($S133,급여기준월)+1)))</f>
        <v/>
      </c>
      <c r="V133">
        <f>IF($R133="","",TRIM(INDEX('입력_구리근무자명단'!$A131:$ZZ131,1,$E$2+5)&amp;""))</f>
        <v/>
      </c>
      <c r="W133">
        <f>IF(ISNUMBER(SEARCH("구리독자",$V133)),"구리독자","")</f>
        <v/>
      </c>
      <c r="X133">
        <f>IF($R133="","",$R133&amp;"|"&amp;IF(OR($Q133="인턴",ISNUMBER(SEARCH("수련교육부",$P133))),"인턴",$P133))</f>
        <v/>
      </c>
      <c r="Y133">
        <f>IF($R133="","",IF(COUNTIF(명단표[이름|과],$X133)=1,"명단 일치",IF(AND(COUNTIF(명단표[이름|과],$X133)=0,COUNTIF(명단표[이름],$R133)=1),"명단 일치(이름만, 과 다름)",IF(COUNTIF(명단표[이름],$R133)=0,IF(COUNTIF(기본자료표[이름],$R133)&gt;0,"명단에 없음(기본자료에는 있음)","명단에 없음"),"동명이인 확인"))))</f>
        <v/>
      </c>
      <c r="Z133">
        <f>IF($R133="","",IF($S133&lt;0,"⚠"&amp;INDEX('입력_구리근무자명단'!$A131:$ZZ131,1,$E$2+2),TEXT($S133,"yyyy-mm-dd")))</f>
        <v/>
      </c>
      <c r="AA133">
        <f>IF($R133="","",IF($T133&lt;0,"⚠"&amp;INDEX('입력_구리근무자명단'!$A131:$ZZ131,1,$E$2+3),TEXT($T133,"yyyy-mm-dd")))</f>
        <v/>
      </c>
      <c r="AB133">
        <f>AB132+IF($R133="",0,1)</f>
        <v/>
      </c>
      <c r="AC133">
        <f>IF($R133="","",$AB133)</f>
        <v/>
      </c>
    </row>
    <row r="134">
      <c r="A134">
        <f>IFERROR(INDEX($O$6:$O$1505,MATCH(129,$AC$6:$AC$1505,0)),"")</f>
        <v/>
      </c>
      <c r="B134">
        <f>IF(ISNUMBER($A134),INDEX($P$6:$P$1505,$A134-3),"")</f>
        <v/>
      </c>
      <c r="C134">
        <f>IF(ISNUMBER($A134),INDEX($Q$6:$Q$1505,$A134-3),"")</f>
        <v/>
      </c>
      <c r="D134">
        <f>IF(ISNUMBER($A134),INDEX($R$6:$R$1505,$A134-3),"")</f>
        <v/>
      </c>
      <c r="E134">
        <f>IF(ISNUMBER($A134),$G$2,"")</f>
        <v/>
      </c>
      <c r="F134">
        <f>IF(ISNUMBER($A134),INDEX($Z$6:$Z$1505,$A134-3),"")</f>
        <v/>
      </c>
      <c r="G134">
        <f>IF(ISNUMBER($A134),INDEX($AA$6:$AA$1505,$A134-3),"")</f>
        <v/>
      </c>
      <c r="H134">
        <f>IF(ISNUMBER($A134),INDEX($U$6:$U$1505,$A134-3),"")</f>
        <v/>
      </c>
      <c r="I134">
        <f>IF(ISNUMBER($A134),INDEX($V$6:$V$1505,$A134-3),"")</f>
        <v/>
      </c>
      <c r="J134">
        <f>IF(ISNUMBER($A134),INDEX($W$6:$W$1505,$A134-3),"")</f>
        <v/>
      </c>
      <c r="K134">
        <f>IF(ISNUMBER($A134),INDEX($X$6:$X$1505,$A134-3),"")</f>
        <v/>
      </c>
      <c r="L134">
        <f>IF(ISNUMBER($A134),INDEX($Y$6:$Y$1505,$A134-3),"")</f>
        <v/>
      </c>
      <c r="O134">
        <f>132</f>
        <v/>
      </c>
      <c r="P134">
        <f>IF(TRIM('입력_구리근무자명단'!$A132&amp;"")&lt;&gt;"",TRIM('입력_구리근무자명단'!$A132&amp;""),P133)</f>
        <v/>
      </c>
      <c r="Q134">
        <f>'입력_구리근무자명단'!$B132&amp;""</f>
        <v/>
      </c>
      <c r="R134">
        <f>IF($E$2="","",TRIM(INDEX('입력_구리근무자명단'!$A132:$ZZ132,1,$E$2+IF($G$2="확정",1,0))&amp;""))</f>
        <v/>
      </c>
      <c r="S134">
        <f>IF($R134="","",IF(INDEX('입력_구리근무자명단'!$A132:$ZZ132,1,$E$2+2)&amp;""="",급여기준월,IF(ISNUMBER(INDEX('입력_구리근무자명단'!$A132:$ZZ132,1,$E$2+2)),INDEX('입력_구리근무자명단'!$A132:$ZZ132,1,$E$2+2),IFERROR(DATE(VALUE(LEFT(INDEX('입력_구리근무자명단'!$A132:$ZZ132,1,$E$2+2),4)),VALUE(MID(INDEX('입력_구리근무자명단'!$A132:$ZZ132,1,$E$2+2),6,2)),VALUE(MID(INDEX('입력_구리근무자명단'!$A132:$ZZ132,1,$E$2+2),9,2))),-1))))</f>
        <v/>
      </c>
      <c r="T134">
        <f>IF($R134="","",IF(INDEX('입력_구리근무자명단'!$A132:$ZZ132,1,$E$2+3)&amp;""="",EOMONTH(급여기준월,0),IF(ISNUMBER(INDEX('입력_구리근무자명단'!$A132:$ZZ132,1,$E$2+3)),INDEX('입력_구리근무자명단'!$A132:$ZZ132,1,$E$2+3),IFERROR(DATE(VALUE(LEFT(INDEX('입력_구리근무자명단'!$A132:$ZZ132,1,$E$2+3),4)),VALUE(MID(INDEX('입력_구리근무자명단'!$A132:$ZZ132,1,$E$2+3),6,2)),VALUE(MID(INDEX('입력_구리근무자명단'!$A132:$ZZ132,1,$E$2+3),9,2))),-1))))</f>
        <v/>
      </c>
      <c r="U134">
        <f>IF($R134="","",IF(OR($S134&lt;0,$T134&lt;0),0,MAX(0,MIN($T134,EOMONTH(급여기준월,0))-MAX($S134,급여기준월)+1)))</f>
        <v/>
      </c>
      <c r="V134">
        <f>IF($R134="","",TRIM(INDEX('입력_구리근무자명단'!$A132:$ZZ132,1,$E$2+5)&amp;""))</f>
        <v/>
      </c>
      <c r="W134">
        <f>IF(ISNUMBER(SEARCH("구리독자",$V134)),"구리독자","")</f>
        <v/>
      </c>
      <c r="X134">
        <f>IF($R134="","",$R134&amp;"|"&amp;IF(OR($Q134="인턴",ISNUMBER(SEARCH("수련교육부",$P134))),"인턴",$P134))</f>
        <v/>
      </c>
      <c r="Y134">
        <f>IF($R134="","",IF(COUNTIF(명단표[이름|과],$X134)=1,"명단 일치",IF(AND(COUNTIF(명단표[이름|과],$X134)=0,COUNTIF(명단표[이름],$R134)=1),"명단 일치(이름만, 과 다름)",IF(COUNTIF(명단표[이름],$R134)=0,IF(COUNTIF(기본자료표[이름],$R134)&gt;0,"명단에 없음(기본자료에는 있음)","명단에 없음"),"동명이인 확인"))))</f>
        <v/>
      </c>
      <c r="Z134">
        <f>IF($R134="","",IF($S134&lt;0,"⚠"&amp;INDEX('입력_구리근무자명단'!$A132:$ZZ132,1,$E$2+2),TEXT($S134,"yyyy-mm-dd")))</f>
        <v/>
      </c>
      <c r="AA134">
        <f>IF($R134="","",IF($T134&lt;0,"⚠"&amp;INDEX('입력_구리근무자명단'!$A132:$ZZ132,1,$E$2+3),TEXT($T134,"yyyy-mm-dd")))</f>
        <v/>
      </c>
      <c r="AB134">
        <f>AB133+IF($R134="",0,1)</f>
        <v/>
      </c>
      <c r="AC134">
        <f>IF($R134="","",$AB134)</f>
        <v/>
      </c>
    </row>
    <row r="135">
      <c r="A135">
        <f>IFERROR(INDEX($O$6:$O$1505,MATCH(130,$AC$6:$AC$1505,0)),"")</f>
        <v/>
      </c>
      <c r="B135">
        <f>IF(ISNUMBER($A135),INDEX($P$6:$P$1505,$A135-3),"")</f>
        <v/>
      </c>
      <c r="C135">
        <f>IF(ISNUMBER($A135),INDEX($Q$6:$Q$1505,$A135-3),"")</f>
        <v/>
      </c>
      <c r="D135">
        <f>IF(ISNUMBER($A135),INDEX($R$6:$R$1505,$A135-3),"")</f>
        <v/>
      </c>
      <c r="E135">
        <f>IF(ISNUMBER($A135),$G$2,"")</f>
        <v/>
      </c>
      <c r="F135">
        <f>IF(ISNUMBER($A135),INDEX($Z$6:$Z$1505,$A135-3),"")</f>
        <v/>
      </c>
      <c r="G135">
        <f>IF(ISNUMBER($A135),INDEX($AA$6:$AA$1505,$A135-3),"")</f>
        <v/>
      </c>
      <c r="H135">
        <f>IF(ISNUMBER($A135),INDEX($U$6:$U$1505,$A135-3),"")</f>
        <v/>
      </c>
      <c r="I135">
        <f>IF(ISNUMBER($A135),INDEX($V$6:$V$1505,$A135-3),"")</f>
        <v/>
      </c>
      <c r="J135">
        <f>IF(ISNUMBER($A135),INDEX($W$6:$W$1505,$A135-3),"")</f>
        <v/>
      </c>
      <c r="K135">
        <f>IF(ISNUMBER($A135),INDEX($X$6:$X$1505,$A135-3),"")</f>
        <v/>
      </c>
      <c r="L135">
        <f>IF(ISNUMBER($A135),INDEX($Y$6:$Y$1505,$A135-3),"")</f>
        <v/>
      </c>
      <c r="O135">
        <f>133</f>
        <v/>
      </c>
      <c r="P135">
        <f>IF(TRIM('입력_구리근무자명단'!$A133&amp;"")&lt;&gt;"",TRIM('입력_구리근무자명단'!$A133&amp;""),P134)</f>
        <v/>
      </c>
      <c r="Q135">
        <f>'입력_구리근무자명단'!$B133&amp;""</f>
        <v/>
      </c>
      <c r="R135">
        <f>IF($E$2="","",TRIM(INDEX('입력_구리근무자명단'!$A133:$ZZ133,1,$E$2+IF($G$2="확정",1,0))&amp;""))</f>
        <v/>
      </c>
      <c r="S135">
        <f>IF($R135="","",IF(INDEX('입력_구리근무자명단'!$A133:$ZZ133,1,$E$2+2)&amp;""="",급여기준월,IF(ISNUMBER(INDEX('입력_구리근무자명단'!$A133:$ZZ133,1,$E$2+2)),INDEX('입력_구리근무자명단'!$A133:$ZZ133,1,$E$2+2),IFERROR(DATE(VALUE(LEFT(INDEX('입력_구리근무자명단'!$A133:$ZZ133,1,$E$2+2),4)),VALUE(MID(INDEX('입력_구리근무자명단'!$A133:$ZZ133,1,$E$2+2),6,2)),VALUE(MID(INDEX('입력_구리근무자명단'!$A133:$ZZ133,1,$E$2+2),9,2))),-1))))</f>
        <v/>
      </c>
      <c r="T135">
        <f>IF($R135="","",IF(INDEX('입력_구리근무자명단'!$A133:$ZZ133,1,$E$2+3)&amp;""="",EOMONTH(급여기준월,0),IF(ISNUMBER(INDEX('입력_구리근무자명단'!$A133:$ZZ133,1,$E$2+3)),INDEX('입력_구리근무자명단'!$A133:$ZZ133,1,$E$2+3),IFERROR(DATE(VALUE(LEFT(INDEX('입력_구리근무자명단'!$A133:$ZZ133,1,$E$2+3),4)),VALUE(MID(INDEX('입력_구리근무자명단'!$A133:$ZZ133,1,$E$2+3),6,2)),VALUE(MID(INDEX('입력_구리근무자명단'!$A133:$ZZ133,1,$E$2+3),9,2))),-1))))</f>
        <v/>
      </c>
      <c r="U135">
        <f>IF($R135="","",IF(OR($S135&lt;0,$T135&lt;0),0,MAX(0,MIN($T135,EOMONTH(급여기준월,0))-MAX($S135,급여기준월)+1)))</f>
        <v/>
      </c>
      <c r="V135">
        <f>IF($R135="","",TRIM(INDEX('입력_구리근무자명단'!$A133:$ZZ133,1,$E$2+5)&amp;""))</f>
        <v/>
      </c>
      <c r="W135">
        <f>IF(ISNUMBER(SEARCH("구리독자",$V135)),"구리독자","")</f>
        <v/>
      </c>
      <c r="X135">
        <f>IF($R135="","",$R135&amp;"|"&amp;IF(OR($Q135="인턴",ISNUMBER(SEARCH("수련교육부",$P135))),"인턴",$P135))</f>
        <v/>
      </c>
      <c r="Y135">
        <f>IF($R135="","",IF(COUNTIF(명단표[이름|과],$X135)=1,"명단 일치",IF(AND(COUNTIF(명단표[이름|과],$X135)=0,COUNTIF(명단표[이름],$R135)=1),"명단 일치(이름만, 과 다름)",IF(COUNTIF(명단표[이름],$R135)=0,IF(COUNTIF(기본자료표[이름],$R135)&gt;0,"명단에 없음(기본자료에는 있음)","명단에 없음"),"동명이인 확인"))))</f>
        <v/>
      </c>
      <c r="Z135">
        <f>IF($R135="","",IF($S135&lt;0,"⚠"&amp;INDEX('입력_구리근무자명단'!$A133:$ZZ133,1,$E$2+2),TEXT($S135,"yyyy-mm-dd")))</f>
        <v/>
      </c>
      <c r="AA135">
        <f>IF($R135="","",IF($T135&lt;0,"⚠"&amp;INDEX('입력_구리근무자명단'!$A133:$ZZ133,1,$E$2+3),TEXT($T135,"yyyy-mm-dd")))</f>
        <v/>
      </c>
      <c r="AB135">
        <f>AB134+IF($R135="",0,1)</f>
        <v/>
      </c>
      <c r="AC135">
        <f>IF($R135="","",$AB135)</f>
        <v/>
      </c>
    </row>
    <row r="136">
      <c r="A136">
        <f>IFERROR(INDEX($O$6:$O$1505,MATCH(131,$AC$6:$AC$1505,0)),"")</f>
        <v/>
      </c>
      <c r="B136">
        <f>IF(ISNUMBER($A136),INDEX($P$6:$P$1505,$A136-3),"")</f>
        <v/>
      </c>
      <c r="C136">
        <f>IF(ISNUMBER($A136),INDEX($Q$6:$Q$1505,$A136-3),"")</f>
        <v/>
      </c>
      <c r="D136">
        <f>IF(ISNUMBER($A136),INDEX($R$6:$R$1505,$A136-3),"")</f>
        <v/>
      </c>
      <c r="E136">
        <f>IF(ISNUMBER($A136),$G$2,"")</f>
        <v/>
      </c>
      <c r="F136">
        <f>IF(ISNUMBER($A136),INDEX($Z$6:$Z$1505,$A136-3),"")</f>
        <v/>
      </c>
      <c r="G136">
        <f>IF(ISNUMBER($A136),INDEX($AA$6:$AA$1505,$A136-3),"")</f>
        <v/>
      </c>
      <c r="H136">
        <f>IF(ISNUMBER($A136),INDEX($U$6:$U$1505,$A136-3),"")</f>
        <v/>
      </c>
      <c r="I136">
        <f>IF(ISNUMBER($A136),INDEX($V$6:$V$1505,$A136-3),"")</f>
        <v/>
      </c>
      <c r="J136">
        <f>IF(ISNUMBER($A136),INDEX($W$6:$W$1505,$A136-3),"")</f>
        <v/>
      </c>
      <c r="K136">
        <f>IF(ISNUMBER($A136),INDEX($X$6:$X$1505,$A136-3),"")</f>
        <v/>
      </c>
      <c r="L136">
        <f>IF(ISNUMBER($A136),INDEX($Y$6:$Y$1505,$A136-3),"")</f>
        <v/>
      </c>
      <c r="O136">
        <f>134</f>
        <v/>
      </c>
      <c r="P136">
        <f>IF(TRIM('입력_구리근무자명단'!$A134&amp;"")&lt;&gt;"",TRIM('입력_구리근무자명단'!$A134&amp;""),P135)</f>
        <v/>
      </c>
      <c r="Q136">
        <f>'입력_구리근무자명단'!$B134&amp;""</f>
        <v/>
      </c>
      <c r="R136">
        <f>IF($E$2="","",TRIM(INDEX('입력_구리근무자명단'!$A134:$ZZ134,1,$E$2+IF($G$2="확정",1,0))&amp;""))</f>
        <v/>
      </c>
      <c r="S136">
        <f>IF($R136="","",IF(INDEX('입력_구리근무자명단'!$A134:$ZZ134,1,$E$2+2)&amp;""="",급여기준월,IF(ISNUMBER(INDEX('입력_구리근무자명단'!$A134:$ZZ134,1,$E$2+2)),INDEX('입력_구리근무자명단'!$A134:$ZZ134,1,$E$2+2),IFERROR(DATE(VALUE(LEFT(INDEX('입력_구리근무자명단'!$A134:$ZZ134,1,$E$2+2),4)),VALUE(MID(INDEX('입력_구리근무자명단'!$A134:$ZZ134,1,$E$2+2),6,2)),VALUE(MID(INDEX('입력_구리근무자명단'!$A134:$ZZ134,1,$E$2+2),9,2))),-1))))</f>
        <v/>
      </c>
      <c r="T136">
        <f>IF($R136="","",IF(INDEX('입력_구리근무자명단'!$A134:$ZZ134,1,$E$2+3)&amp;""="",EOMONTH(급여기준월,0),IF(ISNUMBER(INDEX('입력_구리근무자명단'!$A134:$ZZ134,1,$E$2+3)),INDEX('입력_구리근무자명단'!$A134:$ZZ134,1,$E$2+3),IFERROR(DATE(VALUE(LEFT(INDEX('입력_구리근무자명단'!$A134:$ZZ134,1,$E$2+3),4)),VALUE(MID(INDEX('입력_구리근무자명단'!$A134:$ZZ134,1,$E$2+3),6,2)),VALUE(MID(INDEX('입력_구리근무자명단'!$A134:$ZZ134,1,$E$2+3),9,2))),-1))))</f>
        <v/>
      </c>
      <c r="U136">
        <f>IF($R136="","",IF(OR($S136&lt;0,$T136&lt;0),0,MAX(0,MIN($T136,EOMONTH(급여기준월,0))-MAX($S136,급여기준월)+1)))</f>
        <v/>
      </c>
      <c r="V136">
        <f>IF($R136="","",TRIM(INDEX('입력_구리근무자명단'!$A134:$ZZ134,1,$E$2+5)&amp;""))</f>
        <v/>
      </c>
      <c r="W136">
        <f>IF(ISNUMBER(SEARCH("구리독자",$V136)),"구리독자","")</f>
        <v/>
      </c>
      <c r="X136">
        <f>IF($R136="","",$R136&amp;"|"&amp;IF(OR($Q136="인턴",ISNUMBER(SEARCH("수련교육부",$P136))),"인턴",$P136))</f>
        <v/>
      </c>
      <c r="Y136">
        <f>IF($R136="","",IF(COUNTIF(명단표[이름|과],$X136)=1,"명단 일치",IF(AND(COUNTIF(명단표[이름|과],$X136)=0,COUNTIF(명단표[이름],$R136)=1),"명단 일치(이름만, 과 다름)",IF(COUNTIF(명단표[이름],$R136)=0,IF(COUNTIF(기본자료표[이름],$R136)&gt;0,"명단에 없음(기본자료에는 있음)","명단에 없음"),"동명이인 확인"))))</f>
        <v/>
      </c>
      <c r="Z136">
        <f>IF($R136="","",IF($S136&lt;0,"⚠"&amp;INDEX('입력_구리근무자명단'!$A134:$ZZ134,1,$E$2+2),TEXT($S136,"yyyy-mm-dd")))</f>
        <v/>
      </c>
      <c r="AA136">
        <f>IF($R136="","",IF($T136&lt;0,"⚠"&amp;INDEX('입력_구리근무자명단'!$A134:$ZZ134,1,$E$2+3),TEXT($T136,"yyyy-mm-dd")))</f>
        <v/>
      </c>
      <c r="AB136">
        <f>AB135+IF($R136="",0,1)</f>
        <v/>
      </c>
      <c r="AC136">
        <f>IF($R136="","",$AB136)</f>
        <v/>
      </c>
    </row>
    <row r="137">
      <c r="A137">
        <f>IFERROR(INDEX($O$6:$O$1505,MATCH(132,$AC$6:$AC$1505,0)),"")</f>
        <v/>
      </c>
      <c r="B137">
        <f>IF(ISNUMBER($A137),INDEX($P$6:$P$1505,$A137-3),"")</f>
        <v/>
      </c>
      <c r="C137">
        <f>IF(ISNUMBER($A137),INDEX($Q$6:$Q$1505,$A137-3),"")</f>
        <v/>
      </c>
      <c r="D137">
        <f>IF(ISNUMBER($A137),INDEX($R$6:$R$1505,$A137-3),"")</f>
        <v/>
      </c>
      <c r="E137">
        <f>IF(ISNUMBER($A137),$G$2,"")</f>
        <v/>
      </c>
      <c r="F137">
        <f>IF(ISNUMBER($A137),INDEX($Z$6:$Z$1505,$A137-3),"")</f>
        <v/>
      </c>
      <c r="G137">
        <f>IF(ISNUMBER($A137),INDEX($AA$6:$AA$1505,$A137-3),"")</f>
        <v/>
      </c>
      <c r="H137">
        <f>IF(ISNUMBER($A137),INDEX($U$6:$U$1505,$A137-3),"")</f>
        <v/>
      </c>
      <c r="I137">
        <f>IF(ISNUMBER($A137),INDEX($V$6:$V$1505,$A137-3),"")</f>
        <v/>
      </c>
      <c r="J137">
        <f>IF(ISNUMBER($A137),INDEX($W$6:$W$1505,$A137-3),"")</f>
        <v/>
      </c>
      <c r="K137">
        <f>IF(ISNUMBER($A137),INDEX($X$6:$X$1505,$A137-3),"")</f>
        <v/>
      </c>
      <c r="L137">
        <f>IF(ISNUMBER($A137),INDEX($Y$6:$Y$1505,$A137-3),"")</f>
        <v/>
      </c>
      <c r="O137">
        <f>135</f>
        <v/>
      </c>
      <c r="P137">
        <f>IF(TRIM('입력_구리근무자명단'!$A135&amp;"")&lt;&gt;"",TRIM('입력_구리근무자명단'!$A135&amp;""),P136)</f>
        <v/>
      </c>
      <c r="Q137">
        <f>'입력_구리근무자명단'!$B135&amp;""</f>
        <v/>
      </c>
      <c r="R137">
        <f>IF($E$2="","",TRIM(INDEX('입력_구리근무자명단'!$A135:$ZZ135,1,$E$2+IF($G$2="확정",1,0))&amp;""))</f>
        <v/>
      </c>
      <c r="S137">
        <f>IF($R137="","",IF(INDEX('입력_구리근무자명단'!$A135:$ZZ135,1,$E$2+2)&amp;""="",급여기준월,IF(ISNUMBER(INDEX('입력_구리근무자명단'!$A135:$ZZ135,1,$E$2+2)),INDEX('입력_구리근무자명단'!$A135:$ZZ135,1,$E$2+2),IFERROR(DATE(VALUE(LEFT(INDEX('입력_구리근무자명단'!$A135:$ZZ135,1,$E$2+2),4)),VALUE(MID(INDEX('입력_구리근무자명단'!$A135:$ZZ135,1,$E$2+2),6,2)),VALUE(MID(INDEX('입력_구리근무자명단'!$A135:$ZZ135,1,$E$2+2),9,2))),-1))))</f>
        <v/>
      </c>
      <c r="T137">
        <f>IF($R137="","",IF(INDEX('입력_구리근무자명단'!$A135:$ZZ135,1,$E$2+3)&amp;""="",EOMONTH(급여기준월,0),IF(ISNUMBER(INDEX('입력_구리근무자명단'!$A135:$ZZ135,1,$E$2+3)),INDEX('입력_구리근무자명단'!$A135:$ZZ135,1,$E$2+3),IFERROR(DATE(VALUE(LEFT(INDEX('입력_구리근무자명단'!$A135:$ZZ135,1,$E$2+3),4)),VALUE(MID(INDEX('입력_구리근무자명단'!$A135:$ZZ135,1,$E$2+3),6,2)),VALUE(MID(INDEX('입력_구리근무자명단'!$A135:$ZZ135,1,$E$2+3),9,2))),-1))))</f>
        <v/>
      </c>
      <c r="U137">
        <f>IF($R137="","",IF(OR($S137&lt;0,$T137&lt;0),0,MAX(0,MIN($T137,EOMONTH(급여기준월,0))-MAX($S137,급여기준월)+1)))</f>
        <v/>
      </c>
      <c r="V137">
        <f>IF($R137="","",TRIM(INDEX('입력_구리근무자명단'!$A135:$ZZ135,1,$E$2+5)&amp;""))</f>
        <v/>
      </c>
      <c r="W137">
        <f>IF(ISNUMBER(SEARCH("구리독자",$V137)),"구리독자","")</f>
        <v/>
      </c>
      <c r="X137">
        <f>IF($R137="","",$R137&amp;"|"&amp;IF(OR($Q137="인턴",ISNUMBER(SEARCH("수련교육부",$P137))),"인턴",$P137))</f>
        <v/>
      </c>
      <c r="Y137">
        <f>IF($R137="","",IF(COUNTIF(명단표[이름|과],$X137)=1,"명단 일치",IF(AND(COUNTIF(명단표[이름|과],$X137)=0,COUNTIF(명단표[이름],$R137)=1),"명단 일치(이름만, 과 다름)",IF(COUNTIF(명단표[이름],$R137)=0,IF(COUNTIF(기본자료표[이름],$R137)&gt;0,"명단에 없음(기본자료에는 있음)","명단에 없음"),"동명이인 확인"))))</f>
        <v/>
      </c>
      <c r="Z137">
        <f>IF($R137="","",IF($S137&lt;0,"⚠"&amp;INDEX('입력_구리근무자명단'!$A135:$ZZ135,1,$E$2+2),TEXT($S137,"yyyy-mm-dd")))</f>
        <v/>
      </c>
      <c r="AA137">
        <f>IF($R137="","",IF($T137&lt;0,"⚠"&amp;INDEX('입력_구리근무자명단'!$A135:$ZZ135,1,$E$2+3),TEXT($T137,"yyyy-mm-dd")))</f>
        <v/>
      </c>
      <c r="AB137">
        <f>AB136+IF($R137="",0,1)</f>
        <v/>
      </c>
      <c r="AC137">
        <f>IF($R137="","",$AB137)</f>
        <v/>
      </c>
    </row>
    <row r="138">
      <c r="A138">
        <f>IFERROR(INDEX($O$6:$O$1505,MATCH(133,$AC$6:$AC$1505,0)),"")</f>
        <v/>
      </c>
      <c r="B138">
        <f>IF(ISNUMBER($A138),INDEX($P$6:$P$1505,$A138-3),"")</f>
        <v/>
      </c>
      <c r="C138">
        <f>IF(ISNUMBER($A138),INDEX($Q$6:$Q$1505,$A138-3),"")</f>
        <v/>
      </c>
      <c r="D138">
        <f>IF(ISNUMBER($A138),INDEX($R$6:$R$1505,$A138-3),"")</f>
        <v/>
      </c>
      <c r="E138">
        <f>IF(ISNUMBER($A138),$G$2,"")</f>
        <v/>
      </c>
      <c r="F138">
        <f>IF(ISNUMBER($A138),INDEX($Z$6:$Z$1505,$A138-3),"")</f>
        <v/>
      </c>
      <c r="G138">
        <f>IF(ISNUMBER($A138),INDEX($AA$6:$AA$1505,$A138-3),"")</f>
        <v/>
      </c>
      <c r="H138">
        <f>IF(ISNUMBER($A138),INDEX($U$6:$U$1505,$A138-3),"")</f>
        <v/>
      </c>
      <c r="I138">
        <f>IF(ISNUMBER($A138),INDEX($V$6:$V$1505,$A138-3),"")</f>
        <v/>
      </c>
      <c r="J138">
        <f>IF(ISNUMBER($A138),INDEX($W$6:$W$1505,$A138-3),"")</f>
        <v/>
      </c>
      <c r="K138">
        <f>IF(ISNUMBER($A138),INDEX($X$6:$X$1505,$A138-3),"")</f>
        <v/>
      </c>
      <c r="L138">
        <f>IF(ISNUMBER($A138),INDEX($Y$6:$Y$1505,$A138-3),"")</f>
        <v/>
      </c>
      <c r="O138">
        <f>136</f>
        <v/>
      </c>
      <c r="P138">
        <f>IF(TRIM('입력_구리근무자명단'!$A136&amp;"")&lt;&gt;"",TRIM('입력_구리근무자명단'!$A136&amp;""),P137)</f>
        <v/>
      </c>
      <c r="Q138">
        <f>'입력_구리근무자명단'!$B136&amp;""</f>
        <v/>
      </c>
      <c r="R138">
        <f>IF($E$2="","",TRIM(INDEX('입력_구리근무자명단'!$A136:$ZZ136,1,$E$2+IF($G$2="확정",1,0))&amp;""))</f>
        <v/>
      </c>
      <c r="S138">
        <f>IF($R138="","",IF(INDEX('입력_구리근무자명단'!$A136:$ZZ136,1,$E$2+2)&amp;""="",급여기준월,IF(ISNUMBER(INDEX('입력_구리근무자명단'!$A136:$ZZ136,1,$E$2+2)),INDEX('입력_구리근무자명단'!$A136:$ZZ136,1,$E$2+2),IFERROR(DATE(VALUE(LEFT(INDEX('입력_구리근무자명단'!$A136:$ZZ136,1,$E$2+2),4)),VALUE(MID(INDEX('입력_구리근무자명단'!$A136:$ZZ136,1,$E$2+2),6,2)),VALUE(MID(INDEX('입력_구리근무자명단'!$A136:$ZZ136,1,$E$2+2),9,2))),-1))))</f>
        <v/>
      </c>
      <c r="T138">
        <f>IF($R138="","",IF(INDEX('입력_구리근무자명단'!$A136:$ZZ136,1,$E$2+3)&amp;""="",EOMONTH(급여기준월,0),IF(ISNUMBER(INDEX('입력_구리근무자명단'!$A136:$ZZ136,1,$E$2+3)),INDEX('입력_구리근무자명단'!$A136:$ZZ136,1,$E$2+3),IFERROR(DATE(VALUE(LEFT(INDEX('입력_구리근무자명단'!$A136:$ZZ136,1,$E$2+3),4)),VALUE(MID(INDEX('입력_구리근무자명단'!$A136:$ZZ136,1,$E$2+3),6,2)),VALUE(MID(INDEX('입력_구리근무자명단'!$A136:$ZZ136,1,$E$2+3),9,2))),-1))))</f>
        <v/>
      </c>
      <c r="U138">
        <f>IF($R138="","",IF(OR($S138&lt;0,$T138&lt;0),0,MAX(0,MIN($T138,EOMONTH(급여기준월,0))-MAX($S138,급여기준월)+1)))</f>
        <v/>
      </c>
      <c r="V138">
        <f>IF($R138="","",TRIM(INDEX('입력_구리근무자명단'!$A136:$ZZ136,1,$E$2+5)&amp;""))</f>
        <v/>
      </c>
      <c r="W138">
        <f>IF(ISNUMBER(SEARCH("구리독자",$V138)),"구리독자","")</f>
        <v/>
      </c>
      <c r="X138">
        <f>IF($R138="","",$R138&amp;"|"&amp;IF(OR($Q138="인턴",ISNUMBER(SEARCH("수련교육부",$P138))),"인턴",$P138))</f>
        <v/>
      </c>
      <c r="Y138">
        <f>IF($R138="","",IF(COUNTIF(명단표[이름|과],$X138)=1,"명단 일치",IF(AND(COUNTIF(명단표[이름|과],$X138)=0,COUNTIF(명단표[이름],$R138)=1),"명단 일치(이름만, 과 다름)",IF(COUNTIF(명단표[이름],$R138)=0,IF(COUNTIF(기본자료표[이름],$R138)&gt;0,"명단에 없음(기본자료에는 있음)","명단에 없음"),"동명이인 확인"))))</f>
        <v/>
      </c>
      <c r="Z138">
        <f>IF($R138="","",IF($S138&lt;0,"⚠"&amp;INDEX('입력_구리근무자명단'!$A136:$ZZ136,1,$E$2+2),TEXT($S138,"yyyy-mm-dd")))</f>
        <v/>
      </c>
      <c r="AA138">
        <f>IF($R138="","",IF($T138&lt;0,"⚠"&amp;INDEX('입력_구리근무자명단'!$A136:$ZZ136,1,$E$2+3),TEXT($T138,"yyyy-mm-dd")))</f>
        <v/>
      </c>
      <c r="AB138">
        <f>AB137+IF($R138="",0,1)</f>
        <v/>
      </c>
      <c r="AC138">
        <f>IF($R138="","",$AB138)</f>
        <v/>
      </c>
    </row>
    <row r="139">
      <c r="A139">
        <f>IFERROR(INDEX($O$6:$O$1505,MATCH(134,$AC$6:$AC$1505,0)),"")</f>
        <v/>
      </c>
      <c r="B139">
        <f>IF(ISNUMBER($A139),INDEX($P$6:$P$1505,$A139-3),"")</f>
        <v/>
      </c>
      <c r="C139">
        <f>IF(ISNUMBER($A139),INDEX($Q$6:$Q$1505,$A139-3),"")</f>
        <v/>
      </c>
      <c r="D139">
        <f>IF(ISNUMBER($A139),INDEX($R$6:$R$1505,$A139-3),"")</f>
        <v/>
      </c>
      <c r="E139">
        <f>IF(ISNUMBER($A139),$G$2,"")</f>
        <v/>
      </c>
      <c r="F139">
        <f>IF(ISNUMBER($A139),INDEX($Z$6:$Z$1505,$A139-3),"")</f>
        <v/>
      </c>
      <c r="G139">
        <f>IF(ISNUMBER($A139),INDEX($AA$6:$AA$1505,$A139-3),"")</f>
        <v/>
      </c>
      <c r="H139">
        <f>IF(ISNUMBER($A139),INDEX($U$6:$U$1505,$A139-3),"")</f>
        <v/>
      </c>
      <c r="I139">
        <f>IF(ISNUMBER($A139),INDEX($V$6:$V$1505,$A139-3),"")</f>
        <v/>
      </c>
      <c r="J139">
        <f>IF(ISNUMBER($A139),INDEX($W$6:$W$1505,$A139-3),"")</f>
        <v/>
      </c>
      <c r="K139">
        <f>IF(ISNUMBER($A139),INDEX($X$6:$X$1505,$A139-3),"")</f>
        <v/>
      </c>
      <c r="L139">
        <f>IF(ISNUMBER($A139),INDEX($Y$6:$Y$1505,$A139-3),"")</f>
        <v/>
      </c>
      <c r="O139">
        <f>137</f>
        <v/>
      </c>
      <c r="P139">
        <f>IF(TRIM('입력_구리근무자명단'!$A137&amp;"")&lt;&gt;"",TRIM('입력_구리근무자명단'!$A137&amp;""),P138)</f>
        <v/>
      </c>
      <c r="Q139">
        <f>'입력_구리근무자명단'!$B137&amp;""</f>
        <v/>
      </c>
      <c r="R139">
        <f>IF($E$2="","",TRIM(INDEX('입력_구리근무자명단'!$A137:$ZZ137,1,$E$2+IF($G$2="확정",1,0))&amp;""))</f>
        <v/>
      </c>
      <c r="S139">
        <f>IF($R139="","",IF(INDEX('입력_구리근무자명단'!$A137:$ZZ137,1,$E$2+2)&amp;""="",급여기준월,IF(ISNUMBER(INDEX('입력_구리근무자명단'!$A137:$ZZ137,1,$E$2+2)),INDEX('입력_구리근무자명단'!$A137:$ZZ137,1,$E$2+2),IFERROR(DATE(VALUE(LEFT(INDEX('입력_구리근무자명단'!$A137:$ZZ137,1,$E$2+2),4)),VALUE(MID(INDEX('입력_구리근무자명단'!$A137:$ZZ137,1,$E$2+2),6,2)),VALUE(MID(INDEX('입력_구리근무자명단'!$A137:$ZZ137,1,$E$2+2),9,2))),-1))))</f>
        <v/>
      </c>
      <c r="T139">
        <f>IF($R139="","",IF(INDEX('입력_구리근무자명단'!$A137:$ZZ137,1,$E$2+3)&amp;""="",EOMONTH(급여기준월,0),IF(ISNUMBER(INDEX('입력_구리근무자명단'!$A137:$ZZ137,1,$E$2+3)),INDEX('입력_구리근무자명단'!$A137:$ZZ137,1,$E$2+3),IFERROR(DATE(VALUE(LEFT(INDEX('입력_구리근무자명단'!$A137:$ZZ137,1,$E$2+3),4)),VALUE(MID(INDEX('입력_구리근무자명단'!$A137:$ZZ137,1,$E$2+3),6,2)),VALUE(MID(INDEX('입력_구리근무자명단'!$A137:$ZZ137,1,$E$2+3),9,2))),-1))))</f>
        <v/>
      </c>
      <c r="U139">
        <f>IF($R139="","",IF(OR($S139&lt;0,$T139&lt;0),0,MAX(0,MIN($T139,EOMONTH(급여기준월,0))-MAX($S139,급여기준월)+1)))</f>
        <v/>
      </c>
      <c r="V139">
        <f>IF($R139="","",TRIM(INDEX('입력_구리근무자명단'!$A137:$ZZ137,1,$E$2+5)&amp;""))</f>
        <v/>
      </c>
      <c r="W139">
        <f>IF(ISNUMBER(SEARCH("구리독자",$V139)),"구리독자","")</f>
        <v/>
      </c>
      <c r="X139">
        <f>IF($R139="","",$R139&amp;"|"&amp;IF(OR($Q139="인턴",ISNUMBER(SEARCH("수련교육부",$P139))),"인턴",$P139))</f>
        <v/>
      </c>
      <c r="Y139">
        <f>IF($R139="","",IF(COUNTIF(명단표[이름|과],$X139)=1,"명단 일치",IF(AND(COUNTIF(명단표[이름|과],$X139)=0,COUNTIF(명단표[이름],$R139)=1),"명단 일치(이름만, 과 다름)",IF(COUNTIF(명단표[이름],$R139)=0,IF(COUNTIF(기본자료표[이름],$R139)&gt;0,"명단에 없음(기본자료에는 있음)","명단에 없음"),"동명이인 확인"))))</f>
        <v/>
      </c>
      <c r="Z139">
        <f>IF($R139="","",IF($S139&lt;0,"⚠"&amp;INDEX('입력_구리근무자명단'!$A137:$ZZ137,1,$E$2+2),TEXT($S139,"yyyy-mm-dd")))</f>
        <v/>
      </c>
      <c r="AA139">
        <f>IF($R139="","",IF($T139&lt;0,"⚠"&amp;INDEX('입력_구리근무자명단'!$A137:$ZZ137,1,$E$2+3),TEXT($T139,"yyyy-mm-dd")))</f>
        <v/>
      </c>
      <c r="AB139">
        <f>AB138+IF($R139="",0,1)</f>
        <v/>
      </c>
      <c r="AC139">
        <f>IF($R139="","",$AB139)</f>
        <v/>
      </c>
    </row>
    <row r="140">
      <c r="A140">
        <f>IFERROR(INDEX($O$6:$O$1505,MATCH(135,$AC$6:$AC$1505,0)),"")</f>
        <v/>
      </c>
      <c r="B140">
        <f>IF(ISNUMBER($A140),INDEX($P$6:$P$1505,$A140-3),"")</f>
        <v/>
      </c>
      <c r="C140">
        <f>IF(ISNUMBER($A140),INDEX($Q$6:$Q$1505,$A140-3),"")</f>
        <v/>
      </c>
      <c r="D140">
        <f>IF(ISNUMBER($A140),INDEX($R$6:$R$1505,$A140-3),"")</f>
        <v/>
      </c>
      <c r="E140">
        <f>IF(ISNUMBER($A140),$G$2,"")</f>
        <v/>
      </c>
      <c r="F140">
        <f>IF(ISNUMBER($A140),INDEX($Z$6:$Z$1505,$A140-3),"")</f>
        <v/>
      </c>
      <c r="G140">
        <f>IF(ISNUMBER($A140),INDEX($AA$6:$AA$1505,$A140-3),"")</f>
        <v/>
      </c>
      <c r="H140">
        <f>IF(ISNUMBER($A140),INDEX($U$6:$U$1505,$A140-3),"")</f>
        <v/>
      </c>
      <c r="I140">
        <f>IF(ISNUMBER($A140),INDEX($V$6:$V$1505,$A140-3),"")</f>
        <v/>
      </c>
      <c r="J140">
        <f>IF(ISNUMBER($A140),INDEX($W$6:$W$1505,$A140-3),"")</f>
        <v/>
      </c>
      <c r="K140">
        <f>IF(ISNUMBER($A140),INDEX($X$6:$X$1505,$A140-3),"")</f>
        <v/>
      </c>
      <c r="L140">
        <f>IF(ISNUMBER($A140),INDEX($Y$6:$Y$1505,$A140-3),"")</f>
        <v/>
      </c>
      <c r="O140">
        <f>138</f>
        <v/>
      </c>
      <c r="P140">
        <f>IF(TRIM('입력_구리근무자명단'!$A138&amp;"")&lt;&gt;"",TRIM('입력_구리근무자명단'!$A138&amp;""),P139)</f>
        <v/>
      </c>
      <c r="Q140">
        <f>'입력_구리근무자명단'!$B138&amp;""</f>
        <v/>
      </c>
      <c r="R140">
        <f>IF($E$2="","",TRIM(INDEX('입력_구리근무자명단'!$A138:$ZZ138,1,$E$2+IF($G$2="확정",1,0))&amp;""))</f>
        <v/>
      </c>
      <c r="S140">
        <f>IF($R140="","",IF(INDEX('입력_구리근무자명단'!$A138:$ZZ138,1,$E$2+2)&amp;""="",급여기준월,IF(ISNUMBER(INDEX('입력_구리근무자명단'!$A138:$ZZ138,1,$E$2+2)),INDEX('입력_구리근무자명단'!$A138:$ZZ138,1,$E$2+2),IFERROR(DATE(VALUE(LEFT(INDEX('입력_구리근무자명단'!$A138:$ZZ138,1,$E$2+2),4)),VALUE(MID(INDEX('입력_구리근무자명단'!$A138:$ZZ138,1,$E$2+2),6,2)),VALUE(MID(INDEX('입력_구리근무자명단'!$A138:$ZZ138,1,$E$2+2),9,2))),-1))))</f>
        <v/>
      </c>
      <c r="T140">
        <f>IF($R140="","",IF(INDEX('입력_구리근무자명단'!$A138:$ZZ138,1,$E$2+3)&amp;""="",EOMONTH(급여기준월,0),IF(ISNUMBER(INDEX('입력_구리근무자명단'!$A138:$ZZ138,1,$E$2+3)),INDEX('입력_구리근무자명단'!$A138:$ZZ138,1,$E$2+3),IFERROR(DATE(VALUE(LEFT(INDEX('입력_구리근무자명단'!$A138:$ZZ138,1,$E$2+3),4)),VALUE(MID(INDEX('입력_구리근무자명단'!$A138:$ZZ138,1,$E$2+3),6,2)),VALUE(MID(INDEX('입력_구리근무자명단'!$A138:$ZZ138,1,$E$2+3),9,2))),-1))))</f>
        <v/>
      </c>
      <c r="U140">
        <f>IF($R140="","",IF(OR($S140&lt;0,$T140&lt;0),0,MAX(0,MIN($T140,EOMONTH(급여기준월,0))-MAX($S140,급여기준월)+1)))</f>
        <v/>
      </c>
      <c r="V140">
        <f>IF($R140="","",TRIM(INDEX('입력_구리근무자명단'!$A138:$ZZ138,1,$E$2+5)&amp;""))</f>
        <v/>
      </c>
      <c r="W140">
        <f>IF(ISNUMBER(SEARCH("구리독자",$V140)),"구리독자","")</f>
        <v/>
      </c>
      <c r="X140">
        <f>IF($R140="","",$R140&amp;"|"&amp;IF(OR($Q140="인턴",ISNUMBER(SEARCH("수련교육부",$P140))),"인턴",$P140))</f>
        <v/>
      </c>
      <c r="Y140">
        <f>IF($R140="","",IF(COUNTIF(명단표[이름|과],$X140)=1,"명단 일치",IF(AND(COUNTIF(명단표[이름|과],$X140)=0,COUNTIF(명단표[이름],$R140)=1),"명단 일치(이름만, 과 다름)",IF(COUNTIF(명단표[이름],$R140)=0,IF(COUNTIF(기본자료표[이름],$R140)&gt;0,"명단에 없음(기본자료에는 있음)","명단에 없음"),"동명이인 확인"))))</f>
        <v/>
      </c>
      <c r="Z140">
        <f>IF($R140="","",IF($S140&lt;0,"⚠"&amp;INDEX('입력_구리근무자명단'!$A138:$ZZ138,1,$E$2+2),TEXT($S140,"yyyy-mm-dd")))</f>
        <v/>
      </c>
      <c r="AA140">
        <f>IF($R140="","",IF($T140&lt;0,"⚠"&amp;INDEX('입력_구리근무자명단'!$A138:$ZZ138,1,$E$2+3),TEXT($T140,"yyyy-mm-dd")))</f>
        <v/>
      </c>
      <c r="AB140">
        <f>AB139+IF($R140="",0,1)</f>
        <v/>
      </c>
      <c r="AC140">
        <f>IF($R140="","",$AB140)</f>
        <v/>
      </c>
    </row>
    <row r="141">
      <c r="A141">
        <f>IFERROR(INDEX($O$6:$O$1505,MATCH(136,$AC$6:$AC$1505,0)),"")</f>
        <v/>
      </c>
      <c r="B141">
        <f>IF(ISNUMBER($A141),INDEX($P$6:$P$1505,$A141-3),"")</f>
        <v/>
      </c>
      <c r="C141">
        <f>IF(ISNUMBER($A141),INDEX($Q$6:$Q$1505,$A141-3),"")</f>
        <v/>
      </c>
      <c r="D141">
        <f>IF(ISNUMBER($A141),INDEX($R$6:$R$1505,$A141-3),"")</f>
        <v/>
      </c>
      <c r="E141">
        <f>IF(ISNUMBER($A141),$G$2,"")</f>
        <v/>
      </c>
      <c r="F141">
        <f>IF(ISNUMBER($A141),INDEX($Z$6:$Z$1505,$A141-3),"")</f>
        <v/>
      </c>
      <c r="G141">
        <f>IF(ISNUMBER($A141),INDEX($AA$6:$AA$1505,$A141-3),"")</f>
        <v/>
      </c>
      <c r="H141">
        <f>IF(ISNUMBER($A141),INDEX($U$6:$U$1505,$A141-3),"")</f>
        <v/>
      </c>
      <c r="I141">
        <f>IF(ISNUMBER($A141),INDEX($V$6:$V$1505,$A141-3),"")</f>
        <v/>
      </c>
      <c r="J141">
        <f>IF(ISNUMBER($A141),INDEX($W$6:$W$1505,$A141-3),"")</f>
        <v/>
      </c>
      <c r="K141">
        <f>IF(ISNUMBER($A141),INDEX($X$6:$X$1505,$A141-3),"")</f>
        <v/>
      </c>
      <c r="L141">
        <f>IF(ISNUMBER($A141),INDEX($Y$6:$Y$1505,$A141-3),"")</f>
        <v/>
      </c>
      <c r="O141">
        <f>139</f>
        <v/>
      </c>
      <c r="P141">
        <f>IF(TRIM('입력_구리근무자명단'!$A139&amp;"")&lt;&gt;"",TRIM('입력_구리근무자명단'!$A139&amp;""),P140)</f>
        <v/>
      </c>
      <c r="Q141">
        <f>'입력_구리근무자명단'!$B139&amp;""</f>
        <v/>
      </c>
      <c r="R141">
        <f>IF($E$2="","",TRIM(INDEX('입력_구리근무자명단'!$A139:$ZZ139,1,$E$2+IF($G$2="확정",1,0))&amp;""))</f>
        <v/>
      </c>
      <c r="S141">
        <f>IF($R141="","",IF(INDEX('입력_구리근무자명단'!$A139:$ZZ139,1,$E$2+2)&amp;""="",급여기준월,IF(ISNUMBER(INDEX('입력_구리근무자명단'!$A139:$ZZ139,1,$E$2+2)),INDEX('입력_구리근무자명단'!$A139:$ZZ139,1,$E$2+2),IFERROR(DATE(VALUE(LEFT(INDEX('입력_구리근무자명단'!$A139:$ZZ139,1,$E$2+2),4)),VALUE(MID(INDEX('입력_구리근무자명단'!$A139:$ZZ139,1,$E$2+2),6,2)),VALUE(MID(INDEX('입력_구리근무자명단'!$A139:$ZZ139,1,$E$2+2),9,2))),-1))))</f>
        <v/>
      </c>
      <c r="T141">
        <f>IF($R141="","",IF(INDEX('입력_구리근무자명단'!$A139:$ZZ139,1,$E$2+3)&amp;""="",EOMONTH(급여기준월,0),IF(ISNUMBER(INDEX('입력_구리근무자명단'!$A139:$ZZ139,1,$E$2+3)),INDEX('입력_구리근무자명단'!$A139:$ZZ139,1,$E$2+3),IFERROR(DATE(VALUE(LEFT(INDEX('입력_구리근무자명단'!$A139:$ZZ139,1,$E$2+3),4)),VALUE(MID(INDEX('입력_구리근무자명단'!$A139:$ZZ139,1,$E$2+3),6,2)),VALUE(MID(INDEX('입력_구리근무자명단'!$A139:$ZZ139,1,$E$2+3),9,2))),-1))))</f>
        <v/>
      </c>
      <c r="U141">
        <f>IF($R141="","",IF(OR($S141&lt;0,$T141&lt;0),0,MAX(0,MIN($T141,EOMONTH(급여기준월,0))-MAX($S141,급여기준월)+1)))</f>
        <v/>
      </c>
      <c r="V141">
        <f>IF($R141="","",TRIM(INDEX('입력_구리근무자명단'!$A139:$ZZ139,1,$E$2+5)&amp;""))</f>
        <v/>
      </c>
      <c r="W141">
        <f>IF(ISNUMBER(SEARCH("구리독자",$V141)),"구리독자","")</f>
        <v/>
      </c>
      <c r="X141">
        <f>IF($R141="","",$R141&amp;"|"&amp;IF(OR($Q141="인턴",ISNUMBER(SEARCH("수련교육부",$P141))),"인턴",$P141))</f>
        <v/>
      </c>
      <c r="Y141">
        <f>IF($R141="","",IF(COUNTIF(명단표[이름|과],$X141)=1,"명단 일치",IF(AND(COUNTIF(명단표[이름|과],$X141)=0,COUNTIF(명단표[이름],$R141)=1),"명단 일치(이름만, 과 다름)",IF(COUNTIF(명단표[이름],$R141)=0,IF(COUNTIF(기본자료표[이름],$R141)&gt;0,"명단에 없음(기본자료에는 있음)","명단에 없음"),"동명이인 확인"))))</f>
        <v/>
      </c>
      <c r="Z141">
        <f>IF($R141="","",IF($S141&lt;0,"⚠"&amp;INDEX('입력_구리근무자명단'!$A139:$ZZ139,1,$E$2+2),TEXT($S141,"yyyy-mm-dd")))</f>
        <v/>
      </c>
      <c r="AA141">
        <f>IF($R141="","",IF($T141&lt;0,"⚠"&amp;INDEX('입력_구리근무자명단'!$A139:$ZZ139,1,$E$2+3),TEXT($T141,"yyyy-mm-dd")))</f>
        <v/>
      </c>
      <c r="AB141">
        <f>AB140+IF($R141="",0,1)</f>
        <v/>
      </c>
      <c r="AC141">
        <f>IF($R141="","",$AB141)</f>
        <v/>
      </c>
    </row>
    <row r="142">
      <c r="A142">
        <f>IFERROR(INDEX($O$6:$O$1505,MATCH(137,$AC$6:$AC$1505,0)),"")</f>
        <v/>
      </c>
      <c r="B142">
        <f>IF(ISNUMBER($A142),INDEX($P$6:$P$1505,$A142-3),"")</f>
        <v/>
      </c>
      <c r="C142">
        <f>IF(ISNUMBER($A142),INDEX($Q$6:$Q$1505,$A142-3),"")</f>
        <v/>
      </c>
      <c r="D142">
        <f>IF(ISNUMBER($A142),INDEX($R$6:$R$1505,$A142-3),"")</f>
        <v/>
      </c>
      <c r="E142">
        <f>IF(ISNUMBER($A142),$G$2,"")</f>
        <v/>
      </c>
      <c r="F142">
        <f>IF(ISNUMBER($A142),INDEX($Z$6:$Z$1505,$A142-3),"")</f>
        <v/>
      </c>
      <c r="G142">
        <f>IF(ISNUMBER($A142),INDEX($AA$6:$AA$1505,$A142-3),"")</f>
        <v/>
      </c>
      <c r="H142">
        <f>IF(ISNUMBER($A142),INDEX($U$6:$U$1505,$A142-3),"")</f>
        <v/>
      </c>
      <c r="I142">
        <f>IF(ISNUMBER($A142),INDEX($V$6:$V$1505,$A142-3),"")</f>
        <v/>
      </c>
      <c r="J142">
        <f>IF(ISNUMBER($A142),INDEX($W$6:$W$1505,$A142-3),"")</f>
        <v/>
      </c>
      <c r="K142">
        <f>IF(ISNUMBER($A142),INDEX($X$6:$X$1505,$A142-3),"")</f>
        <v/>
      </c>
      <c r="L142">
        <f>IF(ISNUMBER($A142),INDEX($Y$6:$Y$1505,$A142-3),"")</f>
        <v/>
      </c>
      <c r="O142">
        <f>140</f>
        <v/>
      </c>
      <c r="P142">
        <f>IF(TRIM('입력_구리근무자명단'!$A140&amp;"")&lt;&gt;"",TRIM('입력_구리근무자명단'!$A140&amp;""),P141)</f>
        <v/>
      </c>
      <c r="Q142">
        <f>'입력_구리근무자명단'!$B140&amp;""</f>
        <v/>
      </c>
      <c r="R142">
        <f>IF($E$2="","",TRIM(INDEX('입력_구리근무자명단'!$A140:$ZZ140,1,$E$2+IF($G$2="확정",1,0))&amp;""))</f>
        <v/>
      </c>
      <c r="S142">
        <f>IF($R142="","",IF(INDEX('입력_구리근무자명단'!$A140:$ZZ140,1,$E$2+2)&amp;""="",급여기준월,IF(ISNUMBER(INDEX('입력_구리근무자명단'!$A140:$ZZ140,1,$E$2+2)),INDEX('입력_구리근무자명단'!$A140:$ZZ140,1,$E$2+2),IFERROR(DATE(VALUE(LEFT(INDEX('입력_구리근무자명단'!$A140:$ZZ140,1,$E$2+2),4)),VALUE(MID(INDEX('입력_구리근무자명단'!$A140:$ZZ140,1,$E$2+2),6,2)),VALUE(MID(INDEX('입력_구리근무자명단'!$A140:$ZZ140,1,$E$2+2),9,2))),-1))))</f>
        <v/>
      </c>
      <c r="T142">
        <f>IF($R142="","",IF(INDEX('입력_구리근무자명단'!$A140:$ZZ140,1,$E$2+3)&amp;""="",EOMONTH(급여기준월,0),IF(ISNUMBER(INDEX('입력_구리근무자명단'!$A140:$ZZ140,1,$E$2+3)),INDEX('입력_구리근무자명단'!$A140:$ZZ140,1,$E$2+3),IFERROR(DATE(VALUE(LEFT(INDEX('입력_구리근무자명단'!$A140:$ZZ140,1,$E$2+3),4)),VALUE(MID(INDEX('입력_구리근무자명단'!$A140:$ZZ140,1,$E$2+3),6,2)),VALUE(MID(INDEX('입력_구리근무자명단'!$A140:$ZZ140,1,$E$2+3),9,2))),-1))))</f>
        <v/>
      </c>
      <c r="U142">
        <f>IF($R142="","",IF(OR($S142&lt;0,$T142&lt;0),0,MAX(0,MIN($T142,EOMONTH(급여기준월,0))-MAX($S142,급여기준월)+1)))</f>
        <v/>
      </c>
      <c r="V142">
        <f>IF($R142="","",TRIM(INDEX('입력_구리근무자명단'!$A140:$ZZ140,1,$E$2+5)&amp;""))</f>
        <v/>
      </c>
      <c r="W142">
        <f>IF(ISNUMBER(SEARCH("구리독자",$V142)),"구리독자","")</f>
        <v/>
      </c>
      <c r="X142">
        <f>IF($R142="","",$R142&amp;"|"&amp;IF(OR($Q142="인턴",ISNUMBER(SEARCH("수련교육부",$P142))),"인턴",$P142))</f>
        <v/>
      </c>
      <c r="Y142">
        <f>IF($R142="","",IF(COUNTIF(명단표[이름|과],$X142)=1,"명단 일치",IF(AND(COUNTIF(명단표[이름|과],$X142)=0,COUNTIF(명단표[이름],$R142)=1),"명단 일치(이름만, 과 다름)",IF(COUNTIF(명단표[이름],$R142)=0,IF(COUNTIF(기본자료표[이름],$R142)&gt;0,"명단에 없음(기본자료에는 있음)","명단에 없음"),"동명이인 확인"))))</f>
        <v/>
      </c>
      <c r="Z142">
        <f>IF($R142="","",IF($S142&lt;0,"⚠"&amp;INDEX('입력_구리근무자명단'!$A140:$ZZ140,1,$E$2+2),TEXT($S142,"yyyy-mm-dd")))</f>
        <v/>
      </c>
      <c r="AA142">
        <f>IF($R142="","",IF($T142&lt;0,"⚠"&amp;INDEX('입력_구리근무자명단'!$A140:$ZZ140,1,$E$2+3),TEXT($T142,"yyyy-mm-dd")))</f>
        <v/>
      </c>
      <c r="AB142">
        <f>AB141+IF($R142="",0,1)</f>
        <v/>
      </c>
      <c r="AC142">
        <f>IF($R142="","",$AB142)</f>
        <v/>
      </c>
    </row>
    <row r="143">
      <c r="A143">
        <f>IFERROR(INDEX($O$6:$O$1505,MATCH(138,$AC$6:$AC$1505,0)),"")</f>
        <v/>
      </c>
      <c r="B143">
        <f>IF(ISNUMBER($A143),INDEX($P$6:$P$1505,$A143-3),"")</f>
        <v/>
      </c>
      <c r="C143">
        <f>IF(ISNUMBER($A143),INDEX($Q$6:$Q$1505,$A143-3),"")</f>
        <v/>
      </c>
      <c r="D143">
        <f>IF(ISNUMBER($A143),INDEX($R$6:$R$1505,$A143-3),"")</f>
        <v/>
      </c>
      <c r="E143">
        <f>IF(ISNUMBER($A143),$G$2,"")</f>
        <v/>
      </c>
      <c r="F143">
        <f>IF(ISNUMBER($A143),INDEX($Z$6:$Z$1505,$A143-3),"")</f>
        <v/>
      </c>
      <c r="G143">
        <f>IF(ISNUMBER($A143),INDEX($AA$6:$AA$1505,$A143-3),"")</f>
        <v/>
      </c>
      <c r="H143">
        <f>IF(ISNUMBER($A143),INDEX($U$6:$U$1505,$A143-3),"")</f>
        <v/>
      </c>
      <c r="I143">
        <f>IF(ISNUMBER($A143),INDEX($V$6:$V$1505,$A143-3),"")</f>
        <v/>
      </c>
      <c r="J143">
        <f>IF(ISNUMBER($A143),INDEX($W$6:$W$1505,$A143-3),"")</f>
        <v/>
      </c>
      <c r="K143">
        <f>IF(ISNUMBER($A143),INDEX($X$6:$X$1505,$A143-3),"")</f>
        <v/>
      </c>
      <c r="L143">
        <f>IF(ISNUMBER($A143),INDEX($Y$6:$Y$1505,$A143-3),"")</f>
        <v/>
      </c>
      <c r="O143">
        <f>141</f>
        <v/>
      </c>
      <c r="P143">
        <f>IF(TRIM('입력_구리근무자명단'!$A141&amp;"")&lt;&gt;"",TRIM('입력_구리근무자명단'!$A141&amp;""),P142)</f>
        <v/>
      </c>
      <c r="Q143">
        <f>'입력_구리근무자명단'!$B141&amp;""</f>
        <v/>
      </c>
      <c r="R143">
        <f>IF($E$2="","",TRIM(INDEX('입력_구리근무자명단'!$A141:$ZZ141,1,$E$2+IF($G$2="확정",1,0))&amp;""))</f>
        <v/>
      </c>
      <c r="S143">
        <f>IF($R143="","",IF(INDEX('입력_구리근무자명단'!$A141:$ZZ141,1,$E$2+2)&amp;""="",급여기준월,IF(ISNUMBER(INDEX('입력_구리근무자명단'!$A141:$ZZ141,1,$E$2+2)),INDEX('입력_구리근무자명단'!$A141:$ZZ141,1,$E$2+2),IFERROR(DATE(VALUE(LEFT(INDEX('입력_구리근무자명단'!$A141:$ZZ141,1,$E$2+2),4)),VALUE(MID(INDEX('입력_구리근무자명단'!$A141:$ZZ141,1,$E$2+2),6,2)),VALUE(MID(INDEX('입력_구리근무자명단'!$A141:$ZZ141,1,$E$2+2),9,2))),-1))))</f>
        <v/>
      </c>
      <c r="T143">
        <f>IF($R143="","",IF(INDEX('입력_구리근무자명단'!$A141:$ZZ141,1,$E$2+3)&amp;""="",EOMONTH(급여기준월,0),IF(ISNUMBER(INDEX('입력_구리근무자명단'!$A141:$ZZ141,1,$E$2+3)),INDEX('입력_구리근무자명단'!$A141:$ZZ141,1,$E$2+3),IFERROR(DATE(VALUE(LEFT(INDEX('입력_구리근무자명단'!$A141:$ZZ141,1,$E$2+3),4)),VALUE(MID(INDEX('입력_구리근무자명단'!$A141:$ZZ141,1,$E$2+3),6,2)),VALUE(MID(INDEX('입력_구리근무자명단'!$A141:$ZZ141,1,$E$2+3),9,2))),-1))))</f>
        <v/>
      </c>
      <c r="U143">
        <f>IF($R143="","",IF(OR($S143&lt;0,$T143&lt;0),0,MAX(0,MIN($T143,EOMONTH(급여기준월,0))-MAX($S143,급여기준월)+1)))</f>
        <v/>
      </c>
      <c r="V143">
        <f>IF($R143="","",TRIM(INDEX('입력_구리근무자명단'!$A141:$ZZ141,1,$E$2+5)&amp;""))</f>
        <v/>
      </c>
      <c r="W143">
        <f>IF(ISNUMBER(SEARCH("구리독자",$V143)),"구리독자","")</f>
        <v/>
      </c>
      <c r="X143">
        <f>IF($R143="","",$R143&amp;"|"&amp;IF(OR($Q143="인턴",ISNUMBER(SEARCH("수련교육부",$P143))),"인턴",$P143))</f>
        <v/>
      </c>
      <c r="Y143">
        <f>IF($R143="","",IF(COUNTIF(명단표[이름|과],$X143)=1,"명단 일치",IF(AND(COUNTIF(명단표[이름|과],$X143)=0,COUNTIF(명단표[이름],$R143)=1),"명단 일치(이름만, 과 다름)",IF(COUNTIF(명단표[이름],$R143)=0,IF(COUNTIF(기본자료표[이름],$R143)&gt;0,"명단에 없음(기본자료에는 있음)","명단에 없음"),"동명이인 확인"))))</f>
        <v/>
      </c>
      <c r="Z143">
        <f>IF($R143="","",IF($S143&lt;0,"⚠"&amp;INDEX('입력_구리근무자명단'!$A141:$ZZ141,1,$E$2+2),TEXT($S143,"yyyy-mm-dd")))</f>
        <v/>
      </c>
      <c r="AA143">
        <f>IF($R143="","",IF($T143&lt;0,"⚠"&amp;INDEX('입력_구리근무자명단'!$A141:$ZZ141,1,$E$2+3),TEXT($T143,"yyyy-mm-dd")))</f>
        <v/>
      </c>
      <c r="AB143">
        <f>AB142+IF($R143="",0,1)</f>
        <v/>
      </c>
      <c r="AC143">
        <f>IF($R143="","",$AB143)</f>
        <v/>
      </c>
    </row>
    <row r="144">
      <c r="A144">
        <f>IFERROR(INDEX($O$6:$O$1505,MATCH(139,$AC$6:$AC$1505,0)),"")</f>
        <v/>
      </c>
      <c r="B144">
        <f>IF(ISNUMBER($A144),INDEX($P$6:$P$1505,$A144-3),"")</f>
        <v/>
      </c>
      <c r="C144">
        <f>IF(ISNUMBER($A144),INDEX($Q$6:$Q$1505,$A144-3),"")</f>
        <v/>
      </c>
      <c r="D144">
        <f>IF(ISNUMBER($A144),INDEX($R$6:$R$1505,$A144-3),"")</f>
        <v/>
      </c>
      <c r="E144">
        <f>IF(ISNUMBER($A144),$G$2,"")</f>
        <v/>
      </c>
      <c r="F144">
        <f>IF(ISNUMBER($A144),INDEX($Z$6:$Z$1505,$A144-3),"")</f>
        <v/>
      </c>
      <c r="G144">
        <f>IF(ISNUMBER($A144),INDEX($AA$6:$AA$1505,$A144-3),"")</f>
        <v/>
      </c>
      <c r="H144">
        <f>IF(ISNUMBER($A144),INDEX($U$6:$U$1505,$A144-3),"")</f>
        <v/>
      </c>
      <c r="I144">
        <f>IF(ISNUMBER($A144),INDEX($V$6:$V$1505,$A144-3),"")</f>
        <v/>
      </c>
      <c r="J144">
        <f>IF(ISNUMBER($A144),INDEX($W$6:$W$1505,$A144-3),"")</f>
        <v/>
      </c>
      <c r="K144">
        <f>IF(ISNUMBER($A144),INDEX($X$6:$X$1505,$A144-3),"")</f>
        <v/>
      </c>
      <c r="L144">
        <f>IF(ISNUMBER($A144),INDEX($Y$6:$Y$1505,$A144-3),"")</f>
        <v/>
      </c>
      <c r="O144">
        <f>142</f>
        <v/>
      </c>
      <c r="P144">
        <f>IF(TRIM('입력_구리근무자명단'!$A142&amp;"")&lt;&gt;"",TRIM('입력_구리근무자명단'!$A142&amp;""),P143)</f>
        <v/>
      </c>
      <c r="Q144">
        <f>'입력_구리근무자명단'!$B142&amp;""</f>
        <v/>
      </c>
      <c r="R144">
        <f>IF($E$2="","",TRIM(INDEX('입력_구리근무자명단'!$A142:$ZZ142,1,$E$2+IF($G$2="확정",1,0))&amp;""))</f>
        <v/>
      </c>
      <c r="S144">
        <f>IF($R144="","",IF(INDEX('입력_구리근무자명단'!$A142:$ZZ142,1,$E$2+2)&amp;""="",급여기준월,IF(ISNUMBER(INDEX('입력_구리근무자명단'!$A142:$ZZ142,1,$E$2+2)),INDEX('입력_구리근무자명단'!$A142:$ZZ142,1,$E$2+2),IFERROR(DATE(VALUE(LEFT(INDEX('입력_구리근무자명단'!$A142:$ZZ142,1,$E$2+2),4)),VALUE(MID(INDEX('입력_구리근무자명단'!$A142:$ZZ142,1,$E$2+2),6,2)),VALUE(MID(INDEX('입력_구리근무자명단'!$A142:$ZZ142,1,$E$2+2),9,2))),-1))))</f>
        <v/>
      </c>
      <c r="T144">
        <f>IF($R144="","",IF(INDEX('입력_구리근무자명단'!$A142:$ZZ142,1,$E$2+3)&amp;""="",EOMONTH(급여기준월,0),IF(ISNUMBER(INDEX('입력_구리근무자명단'!$A142:$ZZ142,1,$E$2+3)),INDEX('입력_구리근무자명단'!$A142:$ZZ142,1,$E$2+3),IFERROR(DATE(VALUE(LEFT(INDEX('입력_구리근무자명단'!$A142:$ZZ142,1,$E$2+3),4)),VALUE(MID(INDEX('입력_구리근무자명단'!$A142:$ZZ142,1,$E$2+3),6,2)),VALUE(MID(INDEX('입력_구리근무자명단'!$A142:$ZZ142,1,$E$2+3),9,2))),-1))))</f>
        <v/>
      </c>
      <c r="U144">
        <f>IF($R144="","",IF(OR($S144&lt;0,$T144&lt;0),0,MAX(0,MIN($T144,EOMONTH(급여기준월,0))-MAX($S144,급여기준월)+1)))</f>
        <v/>
      </c>
      <c r="V144">
        <f>IF($R144="","",TRIM(INDEX('입력_구리근무자명단'!$A142:$ZZ142,1,$E$2+5)&amp;""))</f>
        <v/>
      </c>
      <c r="W144">
        <f>IF(ISNUMBER(SEARCH("구리독자",$V144)),"구리독자","")</f>
        <v/>
      </c>
      <c r="X144">
        <f>IF($R144="","",$R144&amp;"|"&amp;IF(OR($Q144="인턴",ISNUMBER(SEARCH("수련교육부",$P144))),"인턴",$P144))</f>
        <v/>
      </c>
      <c r="Y144">
        <f>IF($R144="","",IF(COUNTIF(명단표[이름|과],$X144)=1,"명단 일치",IF(AND(COUNTIF(명단표[이름|과],$X144)=0,COUNTIF(명단표[이름],$R144)=1),"명단 일치(이름만, 과 다름)",IF(COUNTIF(명단표[이름],$R144)=0,IF(COUNTIF(기본자료표[이름],$R144)&gt;0,"명단에 없음(기본자료에는 있음)","명단에 없음"),"동명이인 확인"))))</f>
        <v/>
      </c>
      <c r="Z144">
        <f>IF($R144="","",IF($S144&lt;0,"⚠"&amp;INDEX('입력_구리근무자명단'!$A142:$ZZ142,1,$E$2+2),TEXT($S144,"yyyy-mm-dd")))</f>
        <v/>
      </c>
      <c r="AA144">
        <f>IF($R144="","",IF($T144&lt;0,"⚠"&amp;INDEX('입력_구리근무자명단'!$A142:$ZZ142,1,$E$2+3),TEXT($T144,"yyyy-mm-dd")))</f>
        <v/>
      </c>
      <c r="AB144">
        <f>AB143+IF($R144="",0,1)</f>
        <v/>
      </c>
      <c r="AC144">
        <f>IF($R144="","",$AB144)</f>
        <v/>
      </c>
    </row>
    <row r="145">
      <c r="A145">
        <f>IFERROR(INDEX($O$6:$O$1505,MATCH(140,$AC$6:$AC$1505,0)),"")</f>
        <v/>
      </c>
      <c r="B145">
        <f>IF(ISNUMBER($A145),INDEX($P$6:$P$1505,$A145-3),"")</f>
        <v/>
      </c>
      <c r="C145">
        <f>IF(ISNUMBER($A145),INDEX($Q$6:$Q$1505,$A145-3),"")</f>
        <v/>
      </c>
      <c r="D145">
        <f>IF(ISNUMBER($A145),INDEX($R$6:$R$1505,$A145-3),"")</f>
        <v/>
      </c>
      <c r="E145">
        <f>IF(ISNUMBER($A145),$G$2,"")</f>
        <v/>
      </c>
      <c r="F145">
        <f>IF(ISNUMBER($A145),INDEX($Z$6:$Z$1505,$A145-3),"")</f>
        <v/>
      </c>
      <c r="G145">
        <f>IF(ISNUMBER($A145),INDEX($AA$6:$AA$1505,$A145-3),"")</f>
        <v/>
      </c>
      <c r="H145">
        <f>IF(ISNUMBER($A145),INDEX($U$6:$U$1505,$A145-3),"")</f>
        <v/>
      </c>
      <c r="I145">
        <f>IF(ISNUMBER($A145),INDEX($V$6:$V$1505,$A145-3),"")</f>
        <v/>
      </c>
      <c r="J145">
        <f>IF(ISNUMBER($A145),INDEX($W$6:$W$1505,$A145-3),"")</f>
        <v/>
      </c>
      <c r="K145">
        <f>IF(ISNUMBER($A145),INDEX($X$6:$X$1505,$A145-3),"")</f>
        <v/>
      </c>
      <c r="L145">
        <f>IF(ISNUMBER($A145),INDEX($Y$6:$Y$1505,$A145-3),"")</f>
        <v/>
      </c>
      <c r="O145">
        <f>143</f>
        <v/>
      </c>
      <c r="P145">
        <f>IF(TRIM('입력_구리근무자명단'!$A143&amp;"")&lt;&gt;"",TRIM('입력_구리근무자명단'!$A143&amp;""),P144)</f>
        <v/>
      </c>
      <c r="Q145">
        <f>'입력_구리근무자명단'!$B143&amp;""</f>
        <v/>
      </c>
      <c r="R145">
        <f>IF($E$2="","",TRIM(INDEX('입력_구리근무자명단'!$A143:$ZZ143,1,$E$2+IF($G$2="확정",1,0))&amp;""))</f>
        <v/>
      </c>
      <c r="S145">
        <f>IF($R145="","",IF(INDEX('입력_구리근무자명단'!$A143:$ZZ143,1,$E$2+2)&amp;""="",급여기준월,IF(ISNUMBER(INDEX('입력_구리근무자명단'!$A143:$ZZ143,1,$E$2+2)),INDEX('입력_구리근무자명단'!$A143:$ZZ143,1,$E$2+2),IFERROR(DATE(VALUE(LEFT(INDEX('입력_구리근무자명단'!$A143:$ZZ143,1,$E$2+2),4)),VALUE(MID(INDEX('입력_구리근무자명단'!$A143:$ZZ143,1,$E$2+2),6,2)),VALUE(MID(INDEX('입력_구리근무자명단'!$A143:$ZZ143,1,$E$2+2),9,2))),-1))))</f>
        <v/>
      </c>
      <c r="T145">
        <f>IF($R145="","",IF(INDEX('입력_구리근무자명단'!$A143:$ZZ143,1,$E$2+3)&amp;""="",EOMONTH(급여기준월,0),IF(ISNUMBER(INDEX('입력_구리근무자명단'!$A143:$ZZ143,1,$E$2+3)),INDEX('입력_구리근무자명단'!$A143:$ZZ143,1,$E$2+3),IFERROR(DATE(VALUE(LEFT(INDEX('입력_구리근무자명단'!$A143:$ZZ143,1,$E$2+3),4)),VALUE(MID(INDEX('입력_구리근무자명단'!$A143:$ZZ143,1,$E$2+3),6,2)),VALUE(MID(INDEX('입력_구리근무자명단'!$A143:$ZZ143,1,$E$2+3),9,2))),-1))))</f>
        <v/>
      </c>
      <c r="U145">
        <f>IF($R145="","",IF(OR($S145&lt;0,$T145&lt;0),0,MAX(0,MIN($T145,EOMONTH(급여기준월,0))-MAX($S145,급여기준월)+1)))</f>
        <v/>
      </c>
      <c r="V145">
        <f>IF($R145="","",TRIM(INDEX('입력_구리근무자명단'!$A143:$ZZ143,1,$E$2+5)&amp;""))</f>
        <v/>
      </c>
      <c r="W145">
        <f>IF(ISNUMBER(SEARCH("구리독자",$V145)),"구리독자","")</f>
        <v/>
      </c>
      <c r="X145">
        <f>IF($R145="","",$R145&amp;"|"&amp;IF(OR($Q145="인턴",ISNUMBER(SEARCH("수련교육부",$P145))),"인턴",$P145))</f>
        <v/>
      </c>
      <c r="Y145">
        <f>IF($R145="","",IF(COUNTIF(명단표[이름|과],$X145)=1,"명단 일치",IF(AND(COUNTIF(명단표[이름|과],$X145)=0,COUNTIF(명단표[이름],$R145)=1),"명단 일치(이름만, 과 다름)",IF(COUNTIF(명단표[이름],$R145)=0,IF(COUNTIF(기본자료표[이름],$R145)&gt;0,"명단에 없음(기본자료에는 있음)","명단에 없음"),"동명이인 확인"))))</f>
        <v/>
      </c>
      <c r="Z145">
        <f>IF($R145="","",IF($S145&lt;0,"⚠"&amp;INDEX('입력_구리근무자명단'!$A143:$ZZ143,1,$E$2+2),TEXT($S145,"yyyy-mm-dd")))</f>
        <v/>
      </c>
      <c r="AA145">
        <f>IF($R145="","",IF($T145&lt;0,"⚠"&amp;INDEX('입력_구리근무자명단'!$A143:$ZZ143,1,$E$2+3),TEXT($T145,"yyyy-mm-dd")))</f>
        <v/>
      </c>
      <c r="AB145">
        <f>AB144+IF($R145="",0,1)</f>
        <v/>
      </c>
      <c r="AC145">
        <f>IF($R145="","",$AB145)</f>
        <v/>
      </c>
    </row>
    <row r="146">
      <c r="A146">
        <f>IFERROR(INDEX($O$6:$O$1505,MATCH(141,$AC$6:$AC$1505,0)),"")</f>
        <v/>
      </c>
      <c r="B146">
        <f>IF(ISNUMBER($A146),INDEX($P$6:$P$1505,$A146-3),"")</f>
        <v/>
      </c>
      <c r="C146">
        <f>IF(ISNUMBER($A146),INDEX($Q$6:$Q$1505,$A146-3),"")</f>
        <v/>
      </c>
      <c r="D146">
        <f>IF(ISNUMBER($A146),INDEX($R$6:$R$1505,$A146-3),"")</f>
        <v/>
      </c>
      <c r="E146">
        <f>IF(ISNUMBER($A146),$G$2,"")</f>
        <v/>
      </c>
      <c r="F146">
        <f>IF(ISNUMBER($A146),INDEX($Z$6:$Z$1505,$A146-3),"")</f>
        <v/>
      </c>
      <c r="G146">
        <f>IF(ISNUMBER($A146),INDEX($AA$6:$AA$1505,$A146-3),"")</f>
        <v/>
      </c>
      <c r="H146">
        <f>IF(ISNUMBER($A146),INDEX($U$6:$U$1505,$A146-3),"")</f>
        <v/>
      </c>
      <c r="I146">
        <f>IF(ISNUMBER($A146),INDEX($V$6:$V$1505,$A146-3),"")</f>
        <v/>
      </c>
      <c r="J146">
        <f>IF(ISNUMBER($A146),INDEX($W$6:$W$1505,$A146-3),"")</f>
        <v/>
      </c>
      <c r="K146">
        <f>IF(ISNUMBER($A146),INDEX($X$6:$X$1505,$A146-3),"")</f>
        <v/>
      </c>
      <c r="L146">
        <f>IF(ISNUMBER($A146),INDEX($Y$6:$Y$1505,$A146-3),"")</f>
        <v/>
      </c>
      <c r="O146">
        <f>144</f>
        <v/>
      </c>
      <c r="P146">
        <f>IF(TRIM('입력_구리근무자명단'!$A144&amp;"")&lt;&gt;"",TRIM('입력_구리근무자명단'!$A144&amp;""),P145)</f>
        <v/>
      </c>
      <c r="Q146">
        <f>'입력_구리근무자명단'!$B144&amp;""</f>
        <v/>
      </c>
      <c r="R146">
        <f>IF($E$2="","",TRIM(INDEX('입력_구리근무자명단'!$A144:$ZZ144,1,$E$2+IF($G$2="확정",1,0))&amp;""))</f>
        <v/>
      </c>
      <c r="S146">
        <f>IF($R146="","",IF(INDEX('입력_구리근무자명단'!$A144:$ZZ144,1,$E$2+2)&amp;""="",급여기준월,IF(ISNUMBER(INDEX('입력_구리근무자명단'!$A144:$ZZ144,1,$E$2+2)),INDEX('입력_구리근무자명단'!$A144:$ZZ144,1,$E$2+2),IFERROR(DATE(VALUE(LEFT(INDEX('입력_구리근무자명단'!$A144:$ZZ144,1,$E$2+2),4)),VALUE(MID(INDEX('입력_구리근무자명단'!$A144:$ZZ144,1,$E$2+2),6,2)),VALUE(MID(INDEX('입력_구리근무자명단'!$A144:$ZZ144,1,$E$2+2),9,2))),-1))))</f>
        <v/>
      </c>
      <c r="T146">
        <f>IF($R146="","",IF(INDEX('입력_구리근무자명단'!$A144:$ZZ144,1,$E$2+3)&amp;""="",EOMONTH(급여기준월,0),IF(ISNUMBER(INDEX('입력_구리근무자명단'!$A144:$ZZ144,1,$E$2+3)),INDEX('입력_구리근무자명단'!$A144:$ZZ144,1,$E$2+3),IFERROR(DATE(VALUE(LEFT(INDEX('입력_구리근무자명단'!$A144:$ZZ144,1,$E$2+3),4)),VALUE(MID(INDEX('입력_구리근무자명단'!$A144:$ZZ144,1,$E$2+3),6,2)),VALUE(MID(INDEX('입력_구리근무자명단'!$A144:$ZZ144,1,$E$2+3),9,2))),-1))))</f>
        <v/>
      </c>
      <c r="U146">
        <f>IF($R146="","",IF(OR($S146&lt;0,$T146&lt;0),0,MAX(0,MIN($T146,EOMONTH(급여기준월,0))-MAX($S146,급여기준월)+1)))</f>
        <v/>
      </c>
      <c r="V146">
        <f>IF($R146="","",TRIM(INDEX('입력_구리근무자명단'!$A144:$ZZ144,1,$E$2+5)&amp;""))</f>
        <v/>
      </c>
      <c r="W146">
        <f>IF(ISNUMBER(SEARCH("구리독자",$V146)),"구리독자","")</f>
        <v/>
      </c>
      <c r="X146">
        <f>IF($R146="","",$R146&amp;"|"&amp;IF(OR($Q146="인턴",ISNUMBER(SEARCH("수련교육부",$P146))),"인턴",$P146))</f>
        <v/>
      </c>
      <c r="Y146">
        <f>IF($R146="","",IF(COUNTIF(명단표[이름|과],$X146)=1,"명단 일치",IF(AND(COUNTIF(명단표[이름|과],$X146)=0,COUNTIF(명단표[이름],$R146)=1),"명단 일치(이름만, 과 다름)",IF(COUNTIF(명단표[이름],$R146)=0,IF(COUNTIF(기본자료표[이름],$R146)&gt;0,"명단에 없음(기본자료에는 있음)","명단에 없음"),"동명이인 확인"))))</f>
        <v/>
      </c>
      <c r="Z146">
        <f>IF($R146="","",IF($S146&lt;0,"⚠"&amp;INDEX('입력_구리근무자명단'!$A144:$ZZ144,1,$E$2+2),TEXT($S146,"yyyy-mm-dd")))</f>
        <v/>
      </c>
      <c r="AA146">
        <f>IF($R146="","",IF($T146&lt;0,"⚠"&amp;INDEX('입력_구리근무자명단'!$A144:$ZZ144,1,$E$2+3),TEXT($T146,"yyyy-mm-dd")))</f>
        <v/>
      </c>
      <c r="AB146">
        <f>AB145+IF($R146="",0,1)</f>
        <v/>
      </c>
      <c r="AC146">
        <f>IF($R146="","",$AB146)</f>
        <v/>
      </c>
    </row>
    <row r="147">
      <c r="A147">
        <f>IFERROR(INDEX($O$6:$O$1505,MATCH(142,$AC$6:$AC$1505,0)),"")</f>
        <v/>
      </c>
      <c r="B147">
        <f>IF(ISNUMBER($A147),INDEX($P$6:$P$1505,$A147-3),"")</f>
        <v/>
      </c>
      <c r="C147">
        <f>IF(ISNUMBER($A147),INDEX($Q$6:$Q$1505,$A147-3),"")</f>
        <v/>
      </c>
      <c r="D147">
        <f>IF(ISNUMBER($A147),INDEX($R$6:$R$1505,$A147-3),"")</f>
        <v/>
      </c>
      <c r="E147">
        <f>IF(ISNUMBER($A147),$G$2,"")</f>
        <v/>
      </c>
      <c r="F147">
        <f>IF(ISNUMBER($A147),INDEX($Z$6:$Z$1505,$A147-3),"")</f>
        <v/>
      </c>
      <c r="G147">
        <f>IF(ISNUMBER($A147),INDEX($AA$6:$AA$1505,$A147-3),"")</f>
        <v/>
      </c>
      <c r="H147">
        <f>IF(ISNUMBER($A147),INDEX($U$6:$U$1505,$A147-3),"")</f>
        <v/>
      </c>
      <c r="I147">
        <f>IF(ISNUMBER($A147),INDEX($V$6:$V$1505,$A147-3),"")</f>
        <v/>
      </c>
      <c r="J147">
        <f>IF(ISNUMBER($A147),INDEX($W$6:$W$1505,$A147-3),"")</f>
        <v/>
      </c>
      <c r="K147">
        <f>IF(ISNUMBER($A147),INDEX($X$6:$X$1505,$A147-3),"")</f>
        <v/>
      </c>
      <c r="L147">
        <f>IF(ISNUMBER($A147),INDEX($Y$6:$Y$1505,$A147-3),"")</f>
        <v/>
      </c>
      <c r="O147">
        <f>145</f>
        <v/>
      </c>
      <c r="P147">
        <f>IF(TRIM('입력_구리근무자명단'!$A145&amp;"")&lt;&gt;"",TRIM('입력_구리근무자명단'!$A145&amp;""),P146)</f>
        <v/>
      </c>
      <c r="Q147">
        <f>'입력_구리근무자명단'!$B145&amp;""</f>
        <v/>
      </c>
      <c r="R147">
        <f>IF($E$2="","",TRIM(INDEX('입력_구리근무자명단'!$A145:$ZZ145,1,$E$2+IF($G$2="확정",1,0))&amp;""))</f>
        <v/>
      </c>
      <c r="S147">
        <f>IF($R147="","",IF(INDEX('입력_구리근무자명단'!$A145:$ZZ145,1,$E$2+2)&amp;""="",급여기준월,IF(ISNUMBER(INDEX('입력_구리근무자명단'!$A145:$ZZ145,1,$E$2+2)),INDEX('입력_구리근무자명단'!$A145:$ZZ145,1,$E$2+2),IFERROR(DATE(VALUE(LEFT(INDEX('입력_구리근무자명단'!$A145:$ZZ145,1,$E$2+2),4)),VALUE(MID(INDEX('입력_구리근무자명단'!$A145:$ZZ145,1,$E$2+2),6,2)),VALUE(MID(INDEX('입력_구리근무자명단'!$A145:$ZZ145,1,$E$2+2),9,2))),-1))))</f>
        <v/>
      </c>
      <c r="T147">
        <f>IF($R147="","",IF(INDEX('입력_구리근무자명단'!$A145:$ZZ145,1,$E$2+3)&amp;""="",EOMONTH(급여기준월,0),IF(ISNUMBER(INDEX('입력_구리근무자명단'!$A145:$ZZ145,1,$E$2+3)),INDEX('입력_구리근무자명단'!$A145:$ZZ145,1,$E$2+3),IFERROR(DATE(VALUE(LEFT(INDEX('입력_구리근무자명단'!$A145:$ZZ145,1,$E$2+3),4)),VALUE(MID(INDEX('입력_구리근무자명단'!$A145:$ZZ145,1,$E$2+3),6,2)),VALUE(MID(INDEX('입력_구리근무자명단'!$A145:$ZZ145,1,$E$2+3),9,2))),-1))))</f>
        <v/>
      </c>
      <c r="U147">
        <f>IF($R147="","",IF(OR($S147&lt;0,$T147&lt;0),0,MAX(0,MIN($T147,EOMONTH(급여기준월,0))-MAX($S147,급여기준월)+1)))</f>
        <v/>
      </c>
      <c r="V147">
        <f>IF($R147="","",TRIM(INDEX('입력_구리근무자명단'!$A145:$ZZ145,1,$E$2+5)&amp;""))</f>
        <v/>
      </c>
      <c r="W147">
        <f>IF(ISNUMBER(SEARCH("구리독자",$V147)),"구리독자","")</f>
        <v/>
      </c>
      <c r="X147">
        <f>IF($R147="","",$R147&amp;"|"&amp;IF(OR($Q147="인턴",ISNUMBER(SEARCH("수련교육부",$P147))),"인턴",$P147))</f>
        <v/>
      </c>
      <c r="Y147">
        <f>IF($R147="","",IF(COUNTIF(명단표[이름|과],$X147)=1,"명단 일치",IF(AND(COUNTIF(명단표[이름|과],$X147)=0,COUNTIF(명단표[이름],$R147)=1),"명단 일치(이름만, 과 다름)",IF(COUNTIF(명단표[이름],$R147)=0,IF(COUNTIF(기본자료표[이름],$R147)&gt;0,"명단에 없음(기본자료에는 있음)","명단에 없음"),"동명이인 확인"))))</f>
        <v/>
      </c>
      <c r="Z147">
        <f>IF($R147="","",IF($S147&lt;0,"⚠"&amp;INDEX('입력_구리근무자명단'!$A145:$ZZ145,1,$E$2+2),TEXT($S147,"yyyy-mm-dd")))</f>
        <v/>
      </c>
      <c r="AA147">
        <f>IF($R147="","",IF($T147&lt;0,"⚠"&amp;INDEX('입력_구리근무자명단'!$A145:$ZZ145,1,$E$2+3),TEXT($T147,"yyyy-mm-dd")))</f>
        <v/>
      </c>
      <c r="AB147">
        <f>AB146+IF($R147="",0,1)</f>
        <v/>
      </c>
      <c r="AC147">
        <f>IF($R147="","",$AB147)</f>
        <v/>
      </c>
    </row>
    <row r="148">
      <c r="A148">
        <f>IFERROR(INDEX($O$6:$O$1505,MATCH(143,$AC$6:$AC$1505,0)),"")</f>
        <v/>
      </c>
      <c r="B148">
        <f>IF(ISNUMBER($A148),INDEX($P$6:$P$1505,$A148-3),"")</f>
        <v/>
      </c>
      <c r="C148">
        <f>IF(ISNUMBER($A148),INDEX($Q$6:$Q$1505,$A148-3),"")</f>
        <v/>
      </c>
      <c r="D148">
        <f>IF(ISNUMBER($A148),INDEX($R$6:$R$1505,$A148-3),"")</f>
        <v/>
      </c>
      <c r="E148">
        <f>IF(ISNUMBER($A148),$G$2,"")</f>
        <v/>
      </c>
      <c r="F148">
        <f>IF(ISNUMBER($A148),INDEX($Z$6:$Z$1505,$A148-3),"")</f>
        <v/>
      </c>
      <c r="G148">
        <f>IF(ISNUMBER($A148),INDEX($AA$6:$AA$1505,$A148-3),"")</f>
        <v/>
      </c>
      <c r="H148">
        <f>IF(ISNUMBER($A148),INDEX($U$6:$U$1505,$A148-3),"")</f>
        <v/>
      </c>
      <c r="I148">
        <f>IF(ISNUMBER($A148),INDEX($V$6:$V$1505,$A148-3),"")</f>
        <v/>
      </c>
      <c r="J148">
        <f>IF(ISNUMBER($A148),INDEX($W$6:$W$1505,$A148-3),"")</f>
        <v/>
      </c>
      <c r="K148">
        <f>IF(ISNUMBER($A148),INDEX($X$6:$X$1505,$A148-3),"")</f>
        <v/>
      </c>
      <c r="L148">
        <f>IF(ISNUMBER($A148),INDEX($Y$6:$Y$1505,$A148-3),"")</f>
        <v/>
      </c>
      <c r="O148">
        <f>146</f>
        <v/>
      </c>
      <c r="P148">
        <f>IF(TRIM('입력_구리근무자명단'!$A146&amp;"")&lt;&gt;"",TRIM('입력_구리근무자명단'!$A146&amp;""),P147)</f>
        <v/>
      </c>
      <c r="Q148">
        <f>'입력_구리근무자명단'!$B146&amp;""</f>
        <v/>
      </c>
      <c r="R148">
        <f>IF($E$2="","",TRIM(INDEX('입력_구리근무자명단'!$A146:$ZZ146,1,$E$2+IF($G$2="확정",1,0))&amp;""))</f>
        <v/>
      </c>
      <c r="S148">
        <f>IF($R148="","",IF(INDEX('입력_구리근무자명단'!$A146:$ZZ146,1,$E$2+2)&amp;""="",급여기준월,IF(ISNUMBER(INDEX('입력_구리근무자명단'!$A146:$ZZ146,1,$E$2+2)),INDEX('입력_구리근무자명단'!$A146:$ZZ146,1,$E$2+2),IFERROR(DATE(VALUE(LEFT(INDEX('입력_구리근무자명단'!$A146:$ZZ146,1,$E$2+2),4)),VALUE(MID(INDEX('입력_구리근무자명단'!$A146:$ZZ146,1,$E$2+2),6,2)),VALUE(MID(INDEX('입력_구리근무자명단'!$A146:$ZZ146,1,$E$2+2),9,2))),-1))))</f>
        <v/>
      </c>
      <c r="T148">
        <f>IF($R148="","",IF(INDEX('입력_구리근무자명단'!$A146:$ZZ146,1,$E$2+3)&amp;""="",EOMONTH(급여기준월,0),IF(ISNUMBER(INDEX('입력_구리근무자명단'!$A146:$ZZ146,1,$E$2+3)),INDEX('입력_구리근무자명단'!$A146:$ZZ146,1,$E$2+3),IFERROR(DATE(VALUE(LEFT(INDEX('입력_구리근무자명단'!$A146:$ZZ146,1,$E$2+3),4)),VALUE(MID(INDEX('입력_구리근무자명단'!$A146:$ZZ146,1,$E$2+3),6,2)),VALUE(MID(INDEX('입력_구리근무자명단'!$A146:$ZZ146,1,$E$2+3),9,2))),-1))))</f>
        <v/>
      </c>
      <c r="U148">
        <f>IF($R148="","",IF(OR($S148&lt;0,$T148&lt;0),0,MAX(0,MIN($T148,EOMONTH(급여기준월,0))-MAX($S148,급여기준월)+1)))</f>
        <v/>
      </c>
      <c r="V148">
        <f>IF($R148="","",TRIM(INDEX('입력_구리근무자명단'!$A146:$ZZ146,1,$E$2+5)&amp;""))</f>
        <v/>
      </c>
      <c r="W148">
        <f>IF(ISNUMBER(SEARCH("구리독자",$V148)),"구리독자","")</f>
        <v/>
      </c>
      <c r="X148">
        <f>IF($R148="","",$R148&amp;"|"&amp;IF(OR($Q148="인턴",ISNUMBER(SEARCH("수련교육부",$P148))),"인턴",$P148))</f>
        <v/>
      </c>
      <c r="Y148">
        <f>IF($R148="","",IF(COUNTIF(명단표[이름|과],$X148)=1,"명단 일치",IF(AND(COUNTIF(명단표[이름|과],$X148)=0,COUNTIF(명단표[이름],$R148)=1),"명단 일치(이름만, 과 다름)",IF(COUNTIF(명단표[이름],$R148)=0,IF(COUNTIF(기본자료표[이름],$R148)&gt;0,"명단에 없음(기본자료에는 있음)","명단에 없음"),"동명이인 확인"))))</f>
        <v/>
      </c>
      <c r="Z148">
        <f>IF($R148="","",IF($S148&lt;0,"⚠"&amp;INDEX('입력_구리근무자명단'!$A146:$ZZ146,1,$E$2+2),TEXT($S148,"yyyy-mm-dd")))</f>
        <v/>
      </c>
      <c r="AA148">
        <f>IF($R148="","",IF($T148&lt;0,"⚠"&amp;INDEX('입력_구리근무자명단'!$A146:$ZZ146,1,$E$2+3),TEXT($T148,"yyyy-mm-dd")))</f>
        <v/>
      </c>
      <c r="AB148">
        <f>AB147+IF($R148="",0,1)</f>
        <v/>
      </c>
      <c r="AC148">
        <f>IF($R148="","",$AB148)</f>
        <v/>
      </c>
    </row>
    <row r="149">
      <c r="A149">
        <f>IFERROR(INDEX($O$6:$O$1505,MATCH(144,$AC$6:$AC$1505,0)),"")</f>
        <v/>
      </c>
      <c r="B149">
        <f>IF(ISNUMBER($A149),INDEX($P$6:$P$1505,$A149-3),"")</f>
        <v/>
      </c>
      <c r="C149">
        <f>IF(ISNUMBER($A149),INDEX($Q$6:$Q$1505,$A149-3),"")</f>
        <v/>
      </c>
      <c r="D149">
        <f>IF(ISNUMBER($A149),INDEX($R$6:$R$1505,$A149-3),"")</f>
        <v/>
      </c>
      <c r="E149">
        <f>IF(ISNUMBER($A149),$G$2,"")</f>
        <v/>
      </c>
      <c r="F149">
        <f>IF(ISNUMBER($A149),INDEX($Z$6:$Z$1505,$A149-3),"")</f>
        <v/>
      </c>
      <c r="G149">
        <f>IF(ISNUMBER($A149),INDEX($AA$6:$AA$1505,$A149-3),"")</f>
        <v/>
      </c>
      <c r="H149">
        <f>IF(ISNUMBER($A149),INDEX($U$6:$U$1505,$A149-3),"")</f>
        <v/>
      </c>
      <c r="I149">
        <f>IF(ISNUMBER($A149),INDEX($V$6:$V$1505,$A149-3),"")</f>
        <v/>
      </c>
      <c r="J149">
        <f>IF(ISNUMBER($A149),INDEX($W$6:$W$1505,$A149-3),"")</f>
        <v/>
      </c>
      <c r="K149">
        <f>IF(ISNUMBER($A149),INDEX($X$6:$X$1505,$A149-3),"")</f>
        <v/>
      </c>
      <c r="L149">
        <f>IF(ISNUMBER($A149),INDEX($Y$6:$Y$1505,$A149-3),"")</f>
        <v/>
      </c>
      <c r="O149">
        <f>147</f>
        <v/>
      </c>
      <c r="P149">
        <f>IF(TRIM('입력_구리근무자명단'!$A147&amp;"")&lt;&gt;"",TRIM('입력_구리근무자명단'!$A147&amp;""),P148)</f>
        <v/>
      </c>
      <c r="Q149">
        <f>'입력_구리근무자명단'!$B147&amp;""</f>
        <v/>
      </c>
      <c r="R149">
        <f>IF($E$2="","",TRIM(INDEX('입력_구리근무자명단'!$A147:$ZZ147,1,$E$2+IF($G$2="확정",1,0))&amp;""))</f>
        <v/>
      </c>
      <c r="S149">
        <f>IF($R149="","",IF(INDEX('입력_구리근무자명단'!$A147:$ZZ147,1,$E$2+2)&amp;""="",급여기준월,IF(ISNUMBER(INDEX('입력_구리근무자명단'!$A147:$ZZ147,1,$E$2+2)),INDEX('입력_구리근무자명단'!$A147:$ZZ147,1,$E$2+2),IFERROR(DATE(VALUE(LEFT(INDEX('입력_구리근무자명단'!$A147:$ZZ147,1,$E$2+2),4)),VALUE(MID(INDEX('입력_구리근무자명단'!$A147:$ZZ147,1,$E$2+2),6,2)),VALUE(MID(INDEX('입력_구리근무자명단'!$A147:$ZZ147,1,$E$2+2),9,2))),-1))))</f>
        <v/>
      </c>
      <c r="T149">
        <f>IF($R149="","",IF(INDEX('입력_구리근무자명단'!$A147:$ZZ147,1,$E$2+3)&amp;""="",EOMONTH(급여기준월,0),IF(ISNUMBER(INDEX('입력_구리근무자명단'!$A147:$ZZ147,1,$E$2+3)),INDEX('입력_구리근무자명단'!$A147:$ZZ147,1,$E$2+3),IFERROR(DATE(VALUE(LEFT(INDEX('입력_구리근무자명단'!$A147:$ZZ147,1,$E$2+3),4)),VALUE(MID(INDEX('입력_구리근무자명단'!$A147:$ZZ147,1,$E$2+3),6,2)),VALUE(MID(INDEX('입력_구리근무자명단'!$A147:$ZZ147,1,$E$2+3),9,2))),-1))))</f>
        <v/>
      </c>
      <c r="U149">
        <f>IF($R149="","",IF(OR($S149&lt;0,$T149&lt;0),0,MAX(0,MIN($T149,EOMONTH(급여기준월,0))-MAX($S149,급여기준월)+1)))</f>
        <v/>
      </c>
      <c r="V149">
        <f>IF($R149="","",TRIM(INDEX('입력_구리근무자명단'!$A147:$ZZ147,1,$E$2+5)&amp;""))</f>
        <v/>
      </c>
      <c r="W149">
        <f>IF(ISNUMBER(SEARCH("구리독자",$V149)),"구리독자","")</f>
        <v/>
      </c>
      <c r="X149">
        <f>IF($R149="","",$R149&amp;"|"&amp;IF(OR($Q149="인턴",ISNUMBER(SEARCH("수련교육부",$P149))),"인턴",$P149))</f>
        <v/>
      </c>
      <c r="Y149">
        <f>IF($R149="","",IF(COUNTIF(명단표[이름|과],$X149)=1,"명단 일치",IF(AND(COUNTIF(명단표[이름|과],$X149)=0,COUNTIF(명단표[이름],$R149)=1),"명단 일치(이름만, 과 다름)",IF(COUNTIF(명단표[이름],$R149)=0,IF(COUNTIF(기본자료표[이름],$R149)&gt;0,"명단에 없음(기본자료에는 있음)","명단에 없음"),"동명이인 확인"))))</f>
        <v/>
      </c>
      <c r="Z149">
        <f>IF($R149="","",IF($S149&lt;0,"⚠"&amp;INDEX('입력_구리근무자명단'!$A147:$ZZ147,1,$E$2+2),TEXT($S149,"yyyy-mm-dd")))</f>
        <v/>
      </c>
      <c r="AA149">
        <f>IF($R149="","",IF($T149&lt;0,"⚠"&amp;INDEX('입력_구리근무자명단'!$A147:$ZZ147,1,$E$2+3),TEXT($T149,"yyyy-mm-dd")))</f>
        <v/>
      </c>
      <c r="AB149">
        <f>AB148+IF($R149="",0,1)</f>
        <v/>
      </c>
      <c r="AC149">
        <f>IF($R149="","",$AB149)</f>
        <v/>
      </c>
    </row>
    <row r="150">
      <c r="A150">
        <f>IFERROR(INDEX($O$6:$O$1505,MATCH(145,$AC$6:$AC$1505,0)),"")</f>
        <v/>
      </c>
      <c r="B150">
        <f>IF(ISNUMBER($A150),INDEX($P$6:$P$1505,$A150-3),"")</f>
        <v/>
      </c>
      <c r="C150">
        <f>IF(ISNUMBER($A150),INDEX($Q$6:$Q$1505,$A150-3),"")</f>
        <v/>
      </c>
      <c r="D150">
        <f>IF(ISNUMBER($A150),INDEX($R$6:$R$1505,$A150-3),"")</f>
        <v/>
      </c>
      <c r="E150">
        <f>IF(ISNUMBER($A150),$G$2,"")</f>
        <v/>
      </c>
      <c r="F150">
        <f>IF(ISNUMBER($A150),INDEX($Z$6:$Z$1505,$A150-3),"")</f>
        <v/>
      </c>
      <c r="G150">
        <f>IF(ISNUMBER($A150),INDEX($AA$6:$AA$1505,$A150-3),"")</f>
        <v/>
      </c>
      <c r="H150">
        <f>IF(ISNUMBER($A150),INDEX($U$6:$U$1505,$A150-3),"")</f>
        <v/>
      </c>
      <c r="I150">
        <f>IF(ISNUMBER($A150),INDEX($V$6:$V$1505,$A150-3),"")</f>
        <v/>
      </c>
      <c r="J150">
        <f>IF(ISNUMBER($A150),INDEX($W$6:$W$1505,$A150-3),"")</f>
        <v/>
      </c>
      <c r="K150">
        <f>IF(ISNUMBER($A150),INDEX($X$6:$X$1505,$A150-3),"")</f>
        <v/>
      </c>
      <c r="L150">
        <f>IF(ISNUMBER($A150),INDEX($Y$6:$Y$1505,$A150-3),"")</f>
        <v/>
      </c>
      <c r="O150">
        <f>148</f>
        <v/>
      </c>
      <c r="P150">
        <f>IF(TRIM('입력_구리근무자명단'!$A148&amp;"")&lt;&gt;"",TRIM('입력_구리근무자명단'!$A148&amp;""),P149)</f>
        <v/>
      </c>
      <c r="Q150">
        <f>'입력_구리근무자명단'!$B148&amp;""</f>
        <v/>
      </c>
      <c r="R150">
        <f>IF($E$2="","",TRIM(INDEX('입력_구리근무자명단'!$A148:$ZZ148,1,$E$2+IF($G$2="확정",1,0))&amp;""))</f>
        <v/>
      </c>
      <c r="S150">
        <f>IF($R150="","",IF(INDEX('입력_구리근무자명단'!$A148:$ZZ148,1,$E$2+2)&amp;""="",급여기준월,IF(ISNUMBER(INDEX('입력_구리근무자명단'!$A148:$ZZ148,1,$E$2+2)),INDEX('입력_구리근무자명단'!$A148:$ZZ148,1,$E$2+2),IFERROR(DATE(VALUE(LEFT(INDEX('입력_구리근무자명단'!$A148:$ZZ148,1,$E$2+2),4)),VALUE(MID(INDEX('입력_구리근무자명단'!$A148:$ZZ148,1,$E$2+2),6,2)),VALUE(MID(INDEX('입력_구리근무자명단'!$A148:$ZZ148,1,$E$2+2),9,2))),-1))))</f>
        <v/>
      </c>
      <c r="T150">
        <f>IF($R150="","",IF(INDEX('입력_구리근무자명단'!$A148:$ZZ148,1,$E$2+3)&amp;""="",EOMONTH(급여기준월,0),IF(ISNUMBER(INDEX('입력_구리근무자명단'!$A148:$ZZ148,1,$E$2+3)),INDEX('입력_구리근무자명단'!$A148:$ZZ148,1,$E$2+3),IFERROR(DATE(VALUE(LEFT(INDEX('입력_구리근무자명단'!$A148:$ZZ148,1,$E$2+3),4)),VALUE(MID(INDEX('입력_구리근무자명단'!$A148:$ZZ148,1,$E$2+3),6,2)),VALUE(MID(INDEX('입력_구리근무자명단'!$A148:$ZZ148,1,$E$2+3),9,2))),-1))))</f>
        <v/>
      </c>
      <c r="U150">
        <f>IF($R150="","",IF(OR($S150&lt;0,$T150&lt;0),0,MAX(0,MIN($T150,EOMONTH(급여기준월,0))-MAX($S150,급여기준월)+1)))</f>
        <v/>
      </c>
      <c r="V150">
        <f>IF($R150="","",TRIM(INDEX('입력_구리근무자명단'!$A148:$ZZ148,1,$E$2+5)&amp;""))</f>
        <v/>
      </c>
      <c r="W150">
        <f>IF(ISNUMBER(SEARCH("구리독자",$V150)),"구리독자","")</f>
        <v/>
      </c>
      <c r="X150">
        <f>IF($R150="","",$R150&amp;"|"&amp;IF(OR($Q150="인턴",ISNUMBER(SEARCH("수련교육부",$P150))),"인턴",$P150))</f>
        <v/>
      </c>
      <c r="Y150">
        <f>IF($R150="","",IF(COUNTIF(명단표[이름|과],$X150)=1,"명단 일치",IF(AND(COUNTIF(명단표[이름|과],$X150)=0,COUNTIF(명단표[이름],$R150)=1),"명단 일치(이름만, 과 다름)",IF(COUNTIF(명단표[이름],$R150)=0,IF(COUNTIF(기본자료표[이름],$R150)&gt;0,"명단에 없음(기본자료에는 있음)","명단에 없음"),"동명이인 확인"))))</f>
        <v/>
      </c>
      <c r="Z150">
        <f>IF($R150="","",IF($S150&lt;0,"⚠"&amp;INDEX('입력_구리근무자명단'!$A148:$ZZ148,1,$E$2+2),TEXT($S150,"yyyy-mm-dd")))</f>
        <v/>
      </c>
      <c r="AA150">
        <f>IF($R150="","",IF($T150&lt;0,"⚠"&amp;INDEX('입력_구리근무자명단'!$A148:$ZZ148,1,$E$2+3),TEXT($T150,"yyyy-mm-dd")))</f>
        <v/>
      </c>
      <c r="AB150">
        <f>AB149+IF($R150="",0,1)</f>
        <v/>
      </c>
      <c r="AC150">
        <f>IF($R150="","",$AB150)</f>
        <v/>
      </c>
    </row>
    <row r="151">
      <c r="A151">
        <f>IFERROR(INDEX($O$6:$O$1505,MATCH(146,$AC$6:$AC$1505,0)),"")</f>
        <v/>
      </c>
      <c r="B151">
        <f>IF(ISNUMBER($A151),INDEX($P$6:$P$1505,$A151-3),"")</f>
        <v/>
      </c>
      <c r="C151">
        <f>IF(ISNUMBER($A151),INDEX($Q$6:$Q$1505,$A151-3),"")</f>
        <v/>
      </c>
      <c r="D151">
        <f>IF(ISNUMBER($A151),INDEX($R$6:$R$1505,$A151-3),"")</f>
        <v/>
      </c>
      <c r="E151">
        <f>IF(ISNUMBER($A151),$G$2,"")</f>
        <v/>
      </c>
      <c r="F151">
        <f>IF(ISNUMBER($A151),INDEX($Z$6:$Z$1505,$A151-3),"")</f>
        <v/>
      </c>
      <c r="G151">
        <f>IF(ISNUMBER($A151),INDEX($AA$6:$AA$1505,$A151-3),"")</f>
        <v/>
      </c>
      <c r="H151">
        <f>IF(ISNUMBER($A151),INDEX($U$6:$U$1505,$A151-3),"")</f>
        <v/>
      </c>
      <c r="I151">
        <f>IF(ISNUMBER($A151),INDEX($V$6:$V$1505,$A151-3),"")</f>
        <v/>
      </c>
      <c r="J151">
        <f>IF(ISNUMBER($A151),INDEX($W$6:$W$1505,$A151-3),"")</f>
        <v/>
      </c>
      <c r="K151">
        <f>IF(ISNUMBER($A151),INDEX($X$6:$X$1505,$A151-3),"")</f>
        <v/>
      </c>
      <c r="L151">
        <f>IF(ISNUMBER($A151),INDEX($Y$6:$Y$1505,$A151-3),"")</f>
        <v/>
      </c>
      <c r="O151">
        <f>149</f>
        <v/>
      </c>
      <c r="P151">
        <f>IF(TRIM('입력_구리근무자명단'!$A149&amp;"")&lt;&gt;"",TRIM('입력_구리근무자명단'!$A149&amp;""),P150)</f>
        <v/>
      </c>
      <c r="Q151">
        <f>'입력_구리근무자명단'!$B149&amp;""</f>
        <v/>
      </c>
      <c r="R151">
        <f>IF($E$2="","",TRIM(INDEX('입력_구리근무자명단'!$A149:$ZZ149,1,$E$2+IF($G$2="확정",1,0))&amp;""))</f>
        <v/>
      </c>
      <c r="S151">
        <f>IF($R151="","",IF(INDEX('입력_구리근무자명단'!$A149:$ZZ149,1,$E$2+2)&amp;""="",급여기준월,IF(ISNUMBER(INDEX('입력_구리근무자명단'!$A149:$ZZ149,1,$E$2+2)),INDEX('입력_구리근무자명단'!$A149:$ZZ149,1,$E$2+2),IFERROR(DATE(VALUE(LEFT(INDEX('입력_구리근무자명단'!$A149:$ZZ149,1,$E$2+2),4)),VALUE(MID(INDEX('입력_구리근무자명단'!$A149:$ZZ149,1,$E$2+2),6,2)),VALUE(MID(INDEX('입력_구리근무자명단'!$A149:$ZZ149,1,$E$2+2),9,2))),-1))))</f>
        <v/>
      </c>
      <c r="T151">
        <f>IF($R151="","",IF(INDEX('입력_구리근무자명단'!$A149:$ZZ149,1,$E$2+3)&amp;""="",EOMONTH(급여기준월,0),IF(ISNUMBER(INDEX('입력_구리근무자명단'!$A149:$ZZ149,1,$E$2+3)),INDEX('입력_구리근무자명단'!$A149:$ZZ149,1,$E$2+3),IFERROR(DATE(VALUE(LEFT(INDEX('입력_구리근무자명단'!$A149:$ZZ149,1,$E$2+3),4)),VALUE(MID(INDEX('입력_구리근무자명단'!$A149:$ZZ149,1,$E$2+3),6,2)),VALUE(MID(INDEX('입력_구리근무자명단'!$A149:$ZZ149,1,$E$2+3),9,2))),-1))))</f>
        <v/>
      </c>
      <c r="U151">
        <f>IF($R151="","",IF(OR($S151&lt;0,$T151&lt;0),0,MAX(0,MIN($T151,EOMONTH(급여기준월,0))-MAX($S151,급여기준월)+1)))</f>
        <v/>
      </c>
      <c r="V151">
        <f>IF($R151="","",TRIM(INDEX('입력_구리근무자명단'!$A149:$ZZ149,1,$E$2+5)&amp;""))</f>
        <v/>
      </c>
      <c r="W151">
        <f>IF(ISNUMBER(SEARCH("구리독자",$V151)),"구리독자","")</f>
        <v/>
      </c>
      <c r="X151">
        <f>IF($R151="","",$R151&amp;"|"&amp;IF(OR($Q151="인턴",ISNUMBER(SEARCH("수련교육부",$P151))),"인턴",$P151))</f>
        <v/>
      </c>
      <c r="Y151">
        <f>IF($R151="","",IF(COUNTIF(명단표[이름|과],$X151)=1,"명단 일치",IF(AND(COUNTIF(명단표[이름|과],$X151)=0,COUNTIF(명단표[이름],$R151)=1),"명단 일치(이름만, 과 다름)",IF(COUNTIF(명단표[이름],$R151)=0,IF(COUNTIF(기본자료표[이름],$R151)&gt;0,"명단에 없음(기본자료에는 있음)","명단에 없음"),"동명이인 확인"))))</f>
        <v/>
      </c>
      <c r="Z151">
        <f>IF($R151="","",IF($S151&lt;0,"⚠"&amp;INDEX('입력_구리근무자명단'!$A149:$ZZ149,1,$E$2+2),TEXT($S151,"yyyy-mm-dd")))</f>
        <v/>
      </c>
      <c r="AA151">
        <f>IF($R151="","",IF($T151&lt;0,"⚠"&amp;INDEX('입력_구리근무자명단'!$A149:$ZZ149,1,$E$2+3),TEXT($T151,"yyyy-mm-dd")))</f>
        <v/>
      </c>
      <c r="AB151">
        <f>AB150+IF($R151="",0,1)</f>
        <v/>
      </c>
      <c r="AC151">
        <f>IF($R151="","",$AB151)</f>
        <v/>
      </c>
    </row>
    <row r="152">
      <c r="A152">
        <f>IFERROR(INDEX($O$6:$O$1505,MATCH(147,$AC$6:$AC$1505,0)),"")</f>
        <v/>
      </c>
      <c r="B152">
        <f>IF(ISNUMBER($A152),INDEX($P$6:$P$1505,$A152-3),"")</f>
        <v/>
      </c>
      <c r="C152">
        <f>IF(ISNUMBER($A152),INDEX($Q$6:$Q$1505,$A152-3),"")</f>
        <v/>
      </c>
      <c r="D152">
        <f>IF(ISNUMBER($A152),INDEX($R$6:$R$1505,$A152-3),"")</f>
        <v/>
      </c>
      <c r="E152">
        <f>IF(ISNUMBER($A152),$G$2,"")</f>
        <v/>
      </c>
      <c r="F152">
        <f>IF(ISNUMBER($A152),INDEX($Z$6:$Z$1505,$A152-3),"")</f>
        <v/>
      </c>
      <c r="G152">
        <f>IF(ISNUMBER($A152),INDEX($AA$6:$AA$1505,$A152-3),"")</f>
        <v/>
      </c>
      <c r="H152">
        <f>IF(ISNUMBER($A152),INDEX($U$6:$U$1505,$A152-3),"")</f>
        <v/>
      </c>
      <c r="I152">
        <f>IF(ISNUMBER($A152),INDEX($V$6:$V$1505,$A152-3),"")</f>
        <v/>
      </c>
      <c r="J152">
        <f>IF(ISNUMBER($A152),INDEX($W$6:$W$1505,$A152-3),"")</f>
        <v/>
      </c>
      <c r="K152">
        <f>IF(ISNUMBER($A152),INDEX($X$6:$X$1505,$A152-3),"")</f>
        <v/>
      </c>
      <c r="L152">
        <f>IF(ISNUMBER($A152),INDEX($Y$6:$Y$1505,$A152-3),"")</f>
        <v/>
      </c>
      <c r="O152">
        <f>150</f>
        <v/>
      </c>
      <c r="P152">
        <f>IF(TRIM('입력_구리근무자명단'!$A150&amp;"")&lt;&gt;"",TRIM('입력_구리근무자명단'!$A150&amp;""),P151)</f>
        <v/>
      </c>
      <c r="Q152">
        <f>'입력_구리근무자명단'!$B150&amp;""</f>
        <v/>
      </c>
      <c r="R152">
        <f>IF($E$2="","",TRIM(INDEX('입력_구리근무자명단'!$A150:$ZZ150,1,$E$2+IF($G$2="확정",1,0))&amp;""))</f>
        <v/>
      </c>
      <c r="S152">
        <f>IF($R152="","",IF(INDEX('입력_구리근무자명단'!$A150:$ZZ150,1,$E$2+2)&amp;""="",급여기준월,IF(ISNUMBER(INDEX('입력_구리근무자명단'!$A150:$ZZ150,1,$E$2+2)),INDEX('입력_구리근무자명단'!$A150:$ZZ150,1,$E$2+2),IFERROR(DATE(VALUE(LEFT(INDEX('입력_구리근무자명단'!$A150:$ZZ150,1,$E$2+2),4)),VALUE(MID(INDEX('입력_구리근무자명단'!$A150:$ZZ150,1,$E$2+2),6,2)),VALUE(MID(INDEX('입력_구리근무자명단'!$A150:$ZZ150,1,$E$2+2),9,2))),-1))))</f>
        <v/>
      </c>
      <c r="T152">
        <f>IF($R152="","",IF(INDEX('입력_구리근무자명단'!$A150:$ZZ150,1,$E$2+3)&amp;""="",EOMONTH(급여기준월,0),IF(ISNUMBER(INDEX('입력_구리근무자명단'!$A150:$ZZ150,1,$E$2+3)),INDEX('입력_구리근무자명단'!$A150:$ZZ150,1,$E$2+3),IFERROR(DATE(VALUE(LEFT(INDEX('입력_구리근무자명단'!$A150:$ZZ150,1,$E$2+3),4)),VALUE(MID(INDEX('입력_구리근무자명단'!$A150:$ZZ150,1,$E$2+3),6,2)),VALUE(MID(INDEX('입력_구리근무자명단'!$A150:$ZZ150,1,$E$2+3),9,2))),-1))))</f>
        <v/>
      </c>
      <c r="U152">
        <f>IF($R152="","",IF(OR($S152&lt;0,$T152&lt;0),0,MAX(0,MIN($T152,EOMONTH(급여기준월,0))-MAX($S152,급여기준월)+1)))</f>
        <v/>
      </c>
      <c r="V152">
        <f>IF($R152="","",TRIM(INDEX('입력_구리근무자명단'!$A150:$ZZ150,1,$E$2+5)&amp;""))</f>
        <v/>
      </c>
      <c r="W152">
        <f>IF(ISNUMBER(SEARCH("구리독자",$V152)),"구리독자","")</f>
        <v/>
      </c>
      <c r="X152">
        <f>IF($R152="","",$R152&amp;"|"&amp;IF(OR($Q152="인턴",ISNUMBER(SEARCH("수련교육부",$P152))),"인턴",$P152))</f>
        <v/>
      </c>
      <c r="Y152">
        <f>IF($R152="","",IF(COUNTIF(명단표[이름|과],$X152)=1,"명단 일치",IF(AND(COUNTIF(명단표[이름|과],$X152)=0,COUNTIF(명단표[이름],$R152)=1),"명단 일치(이름만, 과 다름)",IF(COUNTIF(명단표[이름],$R152)=0,IF(COUNTIF(기본자료표[이름],$R152)&gt;0,"명단에 없음(기본자료에는 있음)","명단에 없음"),"동명이인 확인"))))</f>
        <v/>
      </c>
      <c r="Z152">
        <f>IF($R152="","",IF($S152&lt;0,"⚠"&amp;INDEX('입력_구리근무자명단'!$A150:$ZZ150,1,$E$2+2),TEXT($S152,"yyyy-mm-dd")))</f>
        <v/>
      </c>
      <c r="AA152">
        <f>IF($R152="","",IF($T152&lt;0,"⚠"&amp;INDEX('입력_구리근무자명단'!$A150:$ZZ150,1,$E$2+3),TEXT($T152,"yyyy-mm-dd")))</f>
        <v/>
      </c>
      <c r="AB152">
        <f>AB151+IF($R152="",0,1)</f>
        <v/>
      </c>
      <c r="AC152">
        <f>IF($R152="","",$AB152)</f>
        <v/>
      </c>
    </row>
    <row r="153">
      <c r="A153">
        <f>IFERROR(INDEX($O$6:$O$1505,MATCH(148,$AC$6:$AC$1505,0)),"")</f>
        <v/>
      </c>
      <c r="B153">
        <f>IF(ISNUMBER($A153),INDEX($P$6:$P$1505,$A153-3),"")</f>
        <v/>
      </c>
      <c r="C153">
        <f>IF(ISNUMBER($A153),INDEX($Q$6:$Q$1505,$A153-3),"")</f>
        <v/>
      </c>
      <c r="D153">
        <f>IF(ISNUMBER($A153),INDEX($R$6:$R$1505,$A153-3),"")</f>
        <v/>
      </c>
      <c r="E153">
        <f>IF(ISNUMBER($A153),$G$2,"")</f>
        <v/>
      </c>
      <c r="F153">
        <f>IF(ISNUMBER($A153),INDEX($Z$6:$Z$1505,$A153-3),"")</f>
        <v/>
      </c>
      <c r="G153">
        <f>IF(ISNUMBER($A153),INDEX($AA$6:$AA$1505,$A153-3),"")</f>
        <v/>
      </c>
      <c r="H153">
        <f>IF(ISNUMBER($A153),INDEX($U$6:$U$1505,$A153-3),"")</f>
        <v/>
      </c>
      <c r="I153">
        <f>IF(ISNUMBER($A153),INDEX($V$6:$V$1505,$A153-3),"")</f>
        <v/>
      </c>
      <c r="J153">
        <f>IF(ISNUMBER($A153),INDEX($W$6:$W$1505,$A153-3),"")</f>
        <v/>
      </c>
      <c r="K153">
        <f>IF(ISNUMBER($A153),INDEX($X$6:$X$1505,$A153-3),"")</f>
        <v/>
      </c>
      <c r="L153">
        <f>IF(ISNUMBER($A153),INDEX($Y$6:$Y$1505,$A153-3),"")</f>
        <v/>
      </c>
      <c r="O153">
        <f>151</f>
        <v/>
      </c>
      <c r="P153">
        <f>IF(TRIM('입력_구리근무자명단'!$A151&amp;"")&lt;&gt;"",TRIM('입력_구리근무자명단'!$A151&amp;""),P152)</f>
        <v/>
      </c>
      <c r="Q153">
        <f>'입력_구리근무자명단'!$B151&amp;""</f>
        <v/>
      </c>
      <c r="R153">
        <f>IF($E$2="","",TRIM(INDEX('입력_구리근무자명단'!$A151:$ZZ151,1,$E$2+IF($G$2="확정",1,0))&amp;""))</f>
        <v/>
      </c>
      <c r="S153">
        <f>IF($R153="","",IF(INDEX('입력_구리근무자명단'!$A151:$ZZ151,1,$E$2+2)&amp;""="",급여기준월,IF(ISNUMBER(INDEX('입력_구리근무자명단'!$A151:$ZZ151,1,$E$2+2)),INDEX('입력_구리근무자명단'!$A151:$ZZ151,1,$E$2+2),IFERROR(DATE(VALUE(LEFT(INDEX('입력_구리근무자명단'!$A151:$ZZ151,1,$E$2+2),4)),VALUE(MID(INDEX('입력_구리근무자명단'!$A151:$ZZ151,1,$E$2+2),6,2)),VALUE(MID(INDEX('입력_구리근무자명단'!$A151:$ZZ151,1,$E$2+2),9,2))),-1))))</f>
        <v/>
      </c>
      <c r="T153">
        <f>IF($R153="","",IF(INDEX('입력_구리근무자명단'!$A151:$ZZ151,1,$E$2+3)&amp;""="",EOMONTH(급여기준월,0),IF(ISNUMBER(INDEX('입력_구리근무자명단'!$A151:$ZZ151,1,$E$2+3)),INDEX('입력_구리근무자명단'!$A151:$ZZ151,1,$E$2+3),IFERROR(DATE(VALUE(LEFT(INDEX('입력_구리근무자명단'!$A151:$ZZ151,1,$E$2+3),4)),VALUE(MID(INDEX('입력_구리근무자명단'!$A151:$ZZ151,1,$E$2+3),6,2)),VALUE(MID(INDEX('입력_구리근무자명단'!$A151:$ZZ151,1,$E$2+3),9,2))),-1))))</f>
        <v/>
      </c>
      <c r="U153">
        <f>IF($R153="","",IF(OR($S153&lt;0,$T153&lt;0),0,MAX(0,MIN($T153,EOMONTH(급여기준월,0))-MAX($S153,급여기준월)+1)))</f>
        <v/>
      </c>
      <c r="V153">
        <f>IF($R153="","",TRIM(INDEX('입력_구리근무자명단'!$A151:$ZZ151,1,$E$2+5)&amp;""))</f>
        <v/>
      </c>
      <c r="W153">
        <f>IF(ISNUMBER(SEARCH("구리독자",$V153)),"구리독자","")</f>
        <v/>
      </c>
      <c r="X153">
        <f>IF($R153="","",$R153&amp;"|"&amp;IF(OR($Q153="인턴",ISNUMBER(SEARCH("수련교육부",$P153))),"인턴",$P153))</f>
        <v/>
      </c>
      <c r="Y153">
        <f>IF($R153="","",IF(COUNTIF(명단표[이름|과],$X153)=1,"명단 일치",IF(AND(COUNTIF(명단표[이름|과],$X153)=0,COUNTIF(명단표[이름],$R153)=1),"명단 일치(이름만, 과 다름)",IF(COUNTIF(명단표[이름],$R153)=0,IF(COUNTIF(기본자료표[이름],$R153)&gt;0,"명단에 없음(기본자료에는 있음)","명단에 없음"),"동명이인 확인"))))</f>
        <v/>
      </c>
      <c r="Z153">
        <f>IF($R153="","",IF($S153&lt;0,"⚠"&amp;INDEX('입력_구리근무자명단'!$A151:$ZZ151,1,$E$2+2),TEXT($S153,"yyyy-mm-dd")))</f>
        <v/>
      </c>
      <c r="AA153">
        <f>IF($R153="","",IF($T153&lt;0,"⚠"&amp;INDEX('입력_구리근무자명단'!$A151:$ZZ151,1,$E$2+3),TEXT($T153,"yyyy-mm-dd")))</f>
        <v/>
      </c>
      <c r="AB153">
        <f>AB152+IF($R153="",0,1)</f>
        <v/>
      </c>
      <c r="AC153">
        <f>IF($R153="","",$AB153)</f>
        <v/>
      </c>
    </row>
    <row r="154">
      <c r="A154">
        <f>IFERROR(INDEX($O$6:$O$1505,MATCH(149,$AC$6:$AC$1505,0)),"")</f>
        <v/>
      </c>
      <c r="B154">
        <f>IF(ISNUMBER($A154),INDEX($P$6:$P$1505,$A154-3),"")</f>
        <v/>
      </c>
      <c r="C154">
        <f>IF(ISNUMBER($A154),INDEX($Q$6:$Q$1505,$A154-3),"")</f>
        <v/>
      </c>
      <c r="D154">
        <f>IF(ISNUMBER($A154),INDEX($R$6:$R$1505,$A154-3),"")</f>
        <v/>
      </c>
      <c r="E154">
        <f>IF(ISNUMBER($A154),$G$2,"")</f>
        <v/>
      </c>
      <c r="F154">
        <f>IF(ISNUMBER($A154),INDEX($Z$6:$Z$1505,$A154-3),"")</f>
        <v/>
      </c>
      <c r="G154">
        <f>IF(ISNUMBER($A154),INDEX($AA$6:$AA$1505,$A154-3),"")</f>
        <v/>
      </c>
      <c r="H154">
        <f>IF(ISNUMBER($A154),INDEX($U$6:$U$1505,$A154-3),"")</f>
        <v/>
      </c>
      <c r="I154">
        <f>IF(ISNUMBER($A154),INDEX($V$6:$V$1505,$A154-3),"")</f>
        <v/>
      </c>
      <c r="J154">
        <f>IF(ISNUMBER($A154),INDEX($W$6:$W$1505,$A154-3),"")</f>
        <v/>
      </c>
      <c r="K154">
        <f>IF(ISNUMBER($A154),INDEX($X$6:$X$1505,$A154-3),"")</f>
        <v/>
      </c>
      <c r="L154">
        <f>IF(ISNUMBER($A154),INDEX($Y$6:$Y$1505,$A154-3),"")</f>
        <v/>
      </c>
      <c r="O154">
        <f>152</f>
        <v/>
      </c>
      <c r="P154">
        <f>IF(TRIM('입력_구리근무자명단'!$A152&amp;"")&lt;&gt;"",TRIM('입력_구리근무자명단'!$A152&amp;""),P153)</f>
        <v/>
      </c>
      <c r="Q154">
        <f>'입력_구리근무자명단'!$B152&amp;""</f>
        <v/>
      </c>
      <c r="R154">
        <f>IF($E$2="","",TRIM(INDEX('입력_구리근무자명단'!$A152:$ZZ152,1,$E$2+IF($G$2="확정",1,0))&amp;""))</f>
        <v/>
      </c>
      <c r="S154">
        <f>IF($R154="","",IF(INDEX('입력_구리근무자명단'!$A152:$ZZ152,1,$E$2+2)&amp;""="",급여기준월,IF(ISNUMBER(INDEX('입력_구리근무자명단'!$A152:$ZZ152,1,$E$2+2)),INDEX('입력_구리근무자명단'!$A152:$ZZ152,1,$E$2+2),IFERROR(DATE(VALUE(LEFT(INDEX('입력_구리근무자명단'!$A152:$ZZ152,1,$E$2+2),4)),VALUE(MID(INDEX('입력_구리근무자명단'!$A152:$ZZ152,1,$E$2+2),6,2)),VALUE(MID(INDEX('입력_구리근무자명단'!$A152:$ZZ152,1,$E$2+2),9,2))),-1))))</f>
        <v/>
      </c>
      <c r="T154">
        <f>IF($R154="","",IF(INDEX('입력_구리근무자명단'!$A152:$ZZ152,1,$E$2+3)&amp;""="",EOMONTH(급여기준월,0),IF(ISNUMBER(INDEX('입력_구리근무자명단'!$A152:$ZZ152,1,$E$2+3)),INDEX('입력_구리근무자명단'!$A152:$ZZ152,1,$E$2+3),IFERROR(DATE(VALUE(LEFT(INDEX('입력_구리근무자명단'!$A152:$ZZ152,1,$E$2+3),4)),VALUE(MID(INDEX('입력_구리근무자명단'!$A152:$ZZ152,1,$E$2+3),6,2)),VALUE(MID(INDEX('입력_구리근무자명단'!$A152:$ZZ152,1,$E$2+3),9,2))),-1))))</f>
        <v/>
      </c>
      <c r="U154">
        <f>IF($R154="","",IF(OR($S154&lt;0,$T154&lt;0),0,MAX(0,MIN($T154,EOMONTH(급여기준월,0))-MAX($S154,급여기준월)+1)))</f>
        <v/>
      </c>
      <c r="V154">
        <f>IF($R154="","",TRIM(INDEX('입력_구리근무자명단'!$A152:$ZZ152,1,$E$2+5)&amp;""))</f>
        <v/>
      </c>
      <c r="W154">
        <f>IF(ISNUMBER(SEARCH("구리독자",$V154)),"구리독자","")</f>
        <v/>
      </c>
      <c r="X154">
        <f>IF($R154="","",$R154&amp;"|"&amp;IF(OR($Q154="인턴",ISNUMBER(SEARCH("수련교육부",$P154))),"인턴",$P154))</f>
        <v/>
      </c>
      <c r="Y154">
        <f>IF($R154="","",IF(COUNTIF(명단표[이름|과],$X154)=1,"명단 일치",IF(AND(COUNTIF(명단표[이름|과],$X154)=0,COUNTIF(명단표[이름],$R154)=1),"명단 일치(이름만, 과 다름)",IF(COUNTIF(명단표[이름],$R154)=0,IF(COUNTIF(기본자료표[이름],$R154)&gt;0,"명단에 없음(기본자료에는 있음)","명단에 없음"),"동명이인 확인"))))</f>
        <v/>
      </c>
      <c r="Z154">
        <f>IF($R154="","",IF($S154&lt;0,"⚠"&amp;INDEX('입력_구리근무자명단'!$A152:$ZZ152,1,$E$2+2),TEXT($S154,"yyyy-mm-dd")))</f>
        <v/>
      </c>
      <c r="AA154">
        <f>IF($R154="","",IF($T154&lt;0,"⚠"&amp;INDEX('입력_구리근무자명단'!$A152:$ZZ152,1,$E$2+3),TEXT($T154,"yyyy-mm-dd")))</f>
        <v/>
      </c>
      <c r="AB154">
        <f>AB153+IF($R154="",0,1)</f>
        <v/>
      </c>
      <c r="AC154">
        <f>IF($R154="","",$AB154)</f>
        <v/>
      </c>
    </row>
    <row r="155">
      <c r="A155">
        <f>IFERROR(INDEX($O$6:$O$1505,MATCH(150,$AC$6:$AC$1505,0)),"")</f>
        <v/>
      </c>
      <c r="B155">
        <f>IF(ISNUMBER($A155),INDEX($P$6:$P$1505,$A155-3),"")</f>
        <v/>
      </c>
      <c r="C155">
        <f>IF(ISNUMBER($A155),INDEX($Q$6:$Q$1505,$A155-3),"")</f>
        <v/>
      </c>
      <c r="D155">
        <f>IF(ISNUMBER($A155),INDEX($R$6:$R$1505,$A155-3),"")</f>
        <v/>
      </c>
      <c r="E155">
        <f>IF(ISNUMBER($A155),$G$2,"")</f>
        <v/>
      </c>
      <c r="F155">
        <f>IF(ISNUMBER($A155),INDEX($Z$6:$Z$1505,$A155-3),"")</f>
        <v/>
      </c>
      <c r="G155">
        <f>IF(ISNUMBER($A155),INDEX($AA$6:$AA$1505,$A155-3),"")</f>
        <v/>
      </c>
      <c r="H155">
        <f>IF(ISNUMBER($A155),INDEX($U$6:$U$1505,$A155-3),"")</f>
        <v/>
      </c>
      <c r="I155">
        <f>IF(ISNUMBER($A155),INDEX($V$6:$V$1505,$A155-3),"")</f>
        <v/>
      </c>
      <c r="J155">
        <f>IF(ISNUMBER($A155),INDEX($W$6:$W$1505,$A155-3),"")</f>
        <v/>
      </c>
      <c r="K155">
        <f>IF(ISNUMBER($A155),INDEX($X$6:$X$1505,$A155-3),"")</f>
        <v/>
      </c>
      <c r="L155">
        <f>IF(ISNUMBER($A155),INDEX($Y$6:$Y$1505,$A155-3),"")</f>
        <v/>
      </c>
      <c r="O155">
        <f>153</f>
        <v/>
      </c>
      <c r="P155">
        <f>IF(TRIM('입력_구리근무자명단'!$A153&amp;"")&lt;&gt;"",TRIM('입력_구리근무자명단'!$A153&amp;""),P154)</f>
        <v/>
      </c>
      <c r="Q155">
        <f>'입력_구리근무자명단'!$B153&amp;""</f>
        <v/>
      </c>
      <c r="R155">
        <f>IF($E$2="","",TRIM(INDEX('입력_구리근무자명단'!$A153:$ZZ153,1,$E$2+IF($G$2="확정",1,0))&amp;""))</f>
        <v/>
      </c>
      <c r="S155">
        <f>IF($R155="","",IF(INDEX('입력_구리근무자명단'!$A153:$ZZ153,1,$E$2+2)&amp;""="",급여기준월,IF(ISNUMBER(INDEX('입력_구리근무자명단'!$A153:$ZZ153,1,$E$2+2)),INDEX('입력_구리근무자명단'!$A153:$ZZ153,1,$E$2+2),IFERROR(DATE(VALUE(LEFT(INDEX('입력_구리근무자명단'!$A153:$ZZ153,1,$E$2+2),4)),VALUE(MID(INDEX('입력_구리근무자명단'!$A153:$ZZ153,1,$E$2+2),6,2)),VALUE(MID(INDEX('입력_구리근무자명단'!$A153:$ZZ153,1,$E$2+2),9,2))),-1))))</f>
        <v/>
      </c>
      <c r="T155">
        <f>IF($R155="","",IF(INDEX('입력_구리근무자명단'!$A153:$ZZ153,1,$E$2+3)&amp;""="",EOMONTH(급여기준월,0),IF(ISNUMBER(INDEX('입력_구리근무자명단'!$A153:$ZZ153,1,$E$2+3)),INDEX('입력_구리근무자명단'!$A153:$ZZ153,1,$E$2+3),IFERROR(DATE(VALUE(LEFT(INDEX('입력_구리근무자명단'!$A153:$ZZ153,1,$E$2+3),4)),VALUE(MID(INDEX('입력_구리근무자명단'!$A153:$ZZ153,1,$E$2+3),6,2)),VALUE(MID(INDEX('입력_구리근무자명단'!$A153:$ZZ153,1,$E$2+3),9,2))),-1))))</f>
        <v/>
      </c>
      <c r="U155">
        <f>IF($R155="","",IF(OR($S155&lt;0,$T155&lt;0),0,MAX(0,MIN($T155,EOMONTH(급여기준월,0))-MAX($S155,급여기준월)+1)))</f>
        <v/>
      </c>
      <c r="V155">
        <f>IF($R155="","",TRIM(INDEX('입력_구리근무자명단'!$A153:$ZZ153,1,$E$2+5)&amp;""))</f>
        <v/>
      </c>
      <c r="W155">
        <f>IF(ISNUMBER(SEARCH("구리독자",$V155)),"구리독자","")</f>
        <v/>
      </c>
      <c r="X155">
        <f>IF($R155="","",$R155&amp;"|"&amp;IF(OR($Q155="인턴",ISNUMBER(SEARCH("수련교육부",$P155))),"인턴",$P155))</f>
        <v/>
      </c>
      <c r="Y155">
        <f>IF($R155="","",IF(COUNTIF(명단표[이름|과],$X155)=1,"명단 일치",IF(AND(COUNTIF(명단표[이름|과],$X155)=0,COUNTIF(명단표[이름],$R155)=1),"명단 일치(이름만, 과 다름)",IF(COUNTIF(명단표[이름],$R155)=0,IF(COUNTIF(기본자료표[이름],$R155)&gt;0,"명단에 없음(기본자료에는 있음)","명단에 없음"),"동명이인 확인"))))</f>
        <v/>
      </c>
      <c r="Z155">
        <f>IF($R155="","",IF($S155&lt;0,"⚠"&amp;INDEX('입력_구리근무자명단'!$A153:$ZZ153,1,$E$2+2),TEXT($S155,"yyyy-mm-dd")))</f>
        <v/>
      </c>
      <c r="AA155">
        <f>IF($R155="","",IF($T155&lt;0,"⚠"&amp;INDEX('입력_구리근무자명단'!$A153:$ZZ153,1,$E$2+3),TEXT($T155,"yyyy-mm-dd")))</f>
        <v/>
      </c>
      <c r="AB155">
        <f>AB154+IF($R155="",0,1)</f>
        <v/>
      </c>
      <c r="AC155">
        <f>IF($R155="","",$AB155)</f>
        <v/>
      </c>
    </row>
    <row r="156">
      <c r="A156">
        <f>IFERROR(INDEX($O$6:$O$1505,MATCH(151,$AC$6:$AC$1505,0)),"")</f>
        <v/>
      </c>
      <c r="B156">
        <f>IF(ISNUMBER($A156),INDEX($P$6:$P$1505,$A156-3),"")</f>
        <v/>
      </c>
      <c r="C156">
        <f>IF(ISNUMBER($A156),INDEX($Q$6:$Q$1505,$A156-3),"")</f>
        <v/>
      </c>
      <c r="D156">
        <f>IF(ISNUMBER($A156),INDEX($R$6:$R$1505,$A156-3),"")</f>
        <v/>
      </c>
      <c r="E156">
        <f>IF(ISNUMBER($A156),$G$2,"")</f>
        <v/>
      </c>
      <c r="F156">
        <f>IF(ISNUMBER($A156),INDEX($Z$6:$Z$1505,$A156-3),"")</f>
        <v/>
      </c>
      <c r="G156">
        <f>IF(ISNUMBER($A156),INDEX($AA$6:$AA$1505,$A156-3),"")</f>
        <v/>
      </c>
      <c r="H156">
        <f>IF(ISNUMBER($A156),INDEX($U$6:$U$1505,$A156-3),"")</f>
        <v/>
      </c>
      <c r="I156">
        <f>IF(ISNUMBER($A156),INDEX($V$6:$V$1505,$A156-3),"")</f>
        <v/>
      </c>
      <c r="J156">
        <f>IF(ISNUMBER($A156),INDEX($W$6:$W$1505,$A156-3),"")</f>
        <v/>
      </c>
      <c r="K156">
        <f>IF(ISNUMBER($A156),INDEX($X$6:$X$1505,$A156-3),"")</f>
        <v/>
      </c>
      <c r="L156">
        <f>IF(ISNUMBER($A156),INDEX($Y$6:$Y$1505,$A156-3),"")</f>
        <v/>
      </c>
      <c r="O156">
        <f>154</f>
        <v/>
      </c>
      <c r="P156">
        <f>IF(TRIM('입력_구리근무자명단'!$A154&amp;"")&lt;&gt;"",TRIM('입력_구리근무자명단'!$A154&amp;""),P155)</f>
        <v/>
      </c>
      <c r="Q156">
        <f>'입력_구리근무자명단'!$B154&amp;""</f>
        <v/>
      </c>
      <c r="R156">
        <f>IF($E$2="","",TRIM(INDEX('입력_구리근무자명단'!$A154:$ZZ154,1,$E$2+IF($G$2="확정",1,0))&amp;""))</f>
        <v/>
      </c>
      <c r="S156">
        <f>IF($R156="","",IF(INDEX('입력_구리근무자명단'!$A154:$ZZ154,1,$E$2+2)&amp;""="",급여기준월,IF(ISNUMBER(INDEX('입력_구리근무자명단'!$A154:$ZZ154,1,$E$2+2)),INDEX('입력_구리근무자명단'!$A154:$ZZ154,1,$E$2+2),IFERROR(DATE(VALUE(LEFT(INDEX('입력_구리근무자명단'!$A154:$ZZ154,1,$E$2+2),4)),VALUE(MID(INDEX('입력_구리근무자명단'!$A154:$ZZ154,1,$E$2+2),6,2)),VALUE(MID(INDEX('입력_구리근무자명단'!$A154:$ZZ154,1,$E$2+2),9,2))),-1))))</f>
        <v/>
      </c>
      <c r="T156">
        <f>IF($R156="","",IF(INDEX('입력_구리근무자명단'!$A154:$ZZ154,1,$E$2+3)&amp;""="",EOMONTH(급여기준월,0),IF(ISNUMBER(INDEX('입력_구리근무자명단'!$A154:$ZZ154,1,$E$2+3)),INDEX('입력_구리근무자명단'!$A154:$ZZ154,1,$E$2+3),IFERROR(DATE(VALUE(LEFT(INDEX('입력_구리근무자명단'!$A154:$ZZ154,1,$E$2+3),4)),VALUE(MID(INDEX('입력_구리근무자명단'!$A154:$ZZ154,1,$E$2+3),6,2)),VALUE(MID(INDEX('입력_구리근무자명단'!$A154:$ZZ154,1,$E$2+3),9,2))),-1))))</f>
        <v/>
      </c>
      <c r="U156">
        <f>IF($R156="","",IF(OR($S156&lt;0,$T156&lt;0),0,MAX(0,MIN($T156,EOMONTH(급여기준월,0))-MAX($S156,급여기준월)+1)))</f>
        <v/>
      </c>
      <c r="V156">
        <f>IF($R156="","",TRIM(INDEX('입력_구리근무자명단'!$A154:$ZZ154,1,$E$2+5)&amp;""))</f>
        <v/>
      </c>
      <c r="W156">
        <f>IF(ISNUMBER(SEARCH("구리독자",$V156)),"구리독자","")</f>
        <v/>
      </c>
      <c r="X156">
        <f>IF($R156="","",$R156&amp;"|"&amp;IF(OR($Q156="인턴",ISNUMBER(SEARCH("수련교육부",$P156))),"인턴",$P156))</f>
        <v/>
      </c>
      <c r="Y156">
        <f>IF($R156="","",IF(COUNTIF(명단표[이름|과],$X156)=1,"명단 일치",IF(AND(COUNTIF(명단표[이름|과],$X156)=0,COUNTIF(명단표[이름],$R156)=1),"명단 일치(이름만, 과 다름)",IF(COUNTIF(명단표[이름],$R156)=0,IF(COUNTIF(기본자료표[이름],$R156)&gt;0,"명단에 없음(기본자료에는 있음)","명단에 없음"),"동명이인 확인"))))</f>
        <v/>
      </c>
      <c r="Z156">
        <f>IF($R156="","",IF($S156&lt;0,"⚠"&amp;INDEX('입력_구리근무자명단'!$A154:$ZZ154,1,$E$2+2),TEXT($S156,"yyyy-mm-dd")))</f>
        <v/>
      </c>
      <c r="AA156">
        <f>IF($R156="","",IF($T156&lt;0,"⚠"&amp;INDEX('입력_구리근무자명단'!$A154:$ZZ154,1,$E$2+3),TEXT($T156,"yyyy-mm-dd")))</f>
        <v/>
      </c>
      <c r="AB156">
        <f>AB155+IF($R156="",0,1)</f>
        <v/>
      </c>
      <c r="AC156">
        <f>IF($R156="","",$AB156)</f>
        <v/>
      </c>
    </row>
    <row r="157">
      <c r="A157">
        <f>IFERROR(INDEX($O$6:$O$1505,MATCH(152,$AC$6:$AC$1505,0)),"")</f>
        <v/>
      </c>
      <c r="B157">
        <f>IF(ISNUMBER($A157),INDEX($P$6:$P$1505,$A157-3),"")</f>
        <v/>
      </c>
      <c r="C157">
        <f>IF(ISNUMBER($A157),INDEX($Q$6:$Q$1505,$A157-3),"")</f>
        <v/>
      </c>
      <c r="D157">
        <f>IF(ISNUMBER($A157),INDEX($R$6:$R$1505,$A157-3),"")</f>
        <v/>
      </c>
      <c r="E157">
        <f>IF(ISNUMBER($A157),$G$2,"")</f>
        <v/>
      </c>
      <c r="F157">
        <f>IF(ISNUMBER($A157),INDEX($Z$6:$Z$1505,$A157-3),"")</f>
        <v/>
      </c>
      <c r="G157">
        <f>IF(ISNUMBER($A157),INDEX($AA$6:$AA$1505,$A157-3),"")</f>
        <v/>
      </c>
      <c r="H157">
        <f>IF(ISNUMBER($A157),INDEX($U$6:$U$1505,$A157-3),"")</f>
        <v/>
      </c>
      <c r="I157">
        <f>IF(ISNUMBER($A157),INDEX($V$6:$V$1505,$A157-3),"")</f>
        <v/>
      </c>
      <c r="J157">
        <f>IF(ISNUMBER($A157),INDEX($W$6:$W$1505,$A157-3),"")</f>
        <v/>
      </c>
      <c r="K157">
        <f>IF(ISNUMBER($A157),INDEX($X$6:$X$1505,$A157-3),"")</f>
        <v/>
      </c>
      <c r="L157">
        <f>IF(ISNUMBER($A157),INDEX($Y$6:$Y$1505,$A157-3),"")</f>
        <v/>
      </c>
      <c r="O157">
        <f>155</f>
        <v/>
      </c>
      <c r="P157">
        <f>IF(TRIM('입력_구리근무자명단'!$A155&amp;"")&lt;&gt;"",TRIM('입력_구리근무자명단'!$A155&amp;""),P156)</f>
        <v/>
      </c>
      <c r="Q157">
        <f>'입력_구리근무자명단'!$B155&amp;""</f>
        <v/>
      </c>
      <c r="R157">
        <f>IF($E$2="","",TRIM(INDEX('입력_구리근무자명단'!$A155:$ZZ155,1,$E$2+IF($G$2="확정",1,0))&amp;""))</f>
        <v/>
      </c>
      <c r="S157">
        <f>IF($R157="","",IF(INDEX('입력_구리근무자명단'!$A155:$ZZ155,1,$E$2+2)&amp;""="",급여기준월,IF(ISNUMBER(INDEX('입력_구리근무자명단'!$A155:$ZZ155,1,$E$2+2)),INDEX('입력_구리근무자명단'!$A155:$ZZ155,1,$E$2+2),IFERROR(DATE(VALUE(LEFT(INDEX('입력_구리근무자명단'!$A155:$ZZ155,1,$E$2+2),4)),VALUE(MID(INDEX('입력_구리근무자명단'!$A155:$ZZ155,1,$E$2+2),6,2)),VALUE(MID(INDEX('입력_구리근무자명단'!$A155:$ZZ155,1,$E$2+2),9,2))),-1))))</f>
        <v/>
      </c>
      <c r="T157">
        <f>IF($R157="","",IF(INDEX('입력_구리근무자명단'!$A155:$ZZ155,1,$E$2+3)&amp;""="",EOMONTH(급여기준월,0),IF(ISNUMBER(INDEX('입력_구리근무자명단'!$A155:$ZZ155,1,$E$2+3)),INDEX('입력_구리근무자명단'!$A155:$ZZ155,1,$E$2+3),IFERROR(DATE(VALUE(LEFT(INDEX('입력_구리근무자명단'!$A155:$ZZ155,1,$E$2+3),4)),VALUE(MID(INDEX('입력_구리근무자명단'!$A155:$ZZ155,1,$E$2+3),6,2)),VALUE(MID(INDEX('입력_구리근무자명단'!$A155:$ZZ155,1,$E$2+3),9,2))),-1))))</f>
        <v/>
      </c>
      <c r="U157">
        <f>IF($R157="","",IF(OR($S157&lt;0,$T157&lt;0),0,MAX(0,MIN($T157,EOMONTH(급여기준월,0))-MAX($S157,급여기준월)+1)))</f>
        <v/>
      </c>
      <c r="V157">
        <f>IF($R157="","",TRIM(INDEX('입력_구리근무자명단'!$A155:$ZZ155,1,$E$2+5)&amp;""))</f>
        <v/>
      </c>
      <c r="W157">
        <f>IF(ISNUMBER(SEARCH("구리독자",$V157)),"구리독자","")</f>
        <v/>
      </c>
      <c r="X157">
        <f>IF($R157="","",$R157&amp;"|"&amp;IF(OR($Q157="인턴",ISNUMBER(SEARCH("수련교육부",$P157))),"인턴",$P157))</f>
        <v/>
      </c>
      <c r="Y157">
        <f>IF($R157="","",IF(COUNTIF(명단표[이름|과],$X157)=1,"명단 일치",IF(AND(COUNTIF(명단표[이름|과],$X157)=0,COUNTIF(명단표[이름],$R157)=1),"명단 일치(이름만, 과 다름)",IF(COUNTIF(명단표[이름],$R157)=0,IF(COUNTIF(기본자료표[이름],$R157)&gt;0,"명단에 없음(기본자료에는 있음)","명단에 없음"),"동명이인 확인"))))</f>
        <v/>
      </c>
      <c r="Z157">
        <f>IF($R157="","",IF($S157&lt;0,"⚠"&amp;INDEX('입력_구리근무자명단'!$A155:$ZZ155,1,$E$2+2),TEXT($S157,"yyyy-mm-dd")))</f>
        <v/>
      </c>
      <c r="AA157">
        <f>IF($R157="","",IF($T157&lt;0,"⚠"&amp;INDEX('입력_구리근무자명단'!$A155:$ZZ155,1,$E$2+3),TEXT($T157,"yyyy-mm-dd")))</f>
        <v/>
      </c>
      <c r="AB157">
        <f>AB156+IF($R157="",0,1)</f>
        <v/>
      </c>
      <c r="AC157">
        <f>IF($R157="","",$AB157)</f>
        <v/>
      </c>
    </row>
    <row r="158">
      <c r="A158">
        <f>IFERROR(INDEX($O$6:$O$1505,MATCH(153,$AC$6:$AC$1505,0)),"")</f>
        <v/>
      </c>
      <c r="B158">
        <f>IF(ISNUMBER($A158),INDEX($P$6:$P$1505,$A158-3),"")</f>
        <v/>
      </c>
      <c r="C158">
        <f>IF(ISNUMBER($A158),INDEX($Q$6:$Q$1505,$A158-3),"")</f>
        <v/>
      </c>
      <c r="D158">
        <f>IF(ISNUMBER($A158),INDEX($R$6:$R$1505,$A158-3),"")</f>
        <v/>
      </c>
      <c r="E158">
        <f>IF(ISNUMBER($A158),$G$2,"")</f>
        <v/>
      </c>
      <c r="F158">
        <f>IF(ISNUMBER($A158),INDEX($Z$6:$Z$1505,$A158-3),"")</f>
        <v/>
      </c>
      <c r="G158">
        <f>IF(ISNUMBER($A158),INDEX($AA$6:$AA$1505,$A158-3),"")</f>
        <v/>
      </c>
      <c r="H158">
        <f>IF(ISNUMBER($A158),INDEX($U$6:$U$1505,$A158-3),"")</f>
        <v/>
      </c>
      <c r="I158">
        <f>IF(ISNUMBER($A158),INDEX($V$6:$V$1505,$A158-3),"")</f>
        <v/>
      </c>
      <c r="J158">
        <f>IF(ISNUMBER($A158),INDEX($W$6:$W$1505,$A158-3),"")</f>
        <v/>
      </c>
      <c r="K158">
        <f>IF(ISNUMBER($A158),INDEX($X$6:$X$1505,$A158-3),"")</f>
        <v/>
      </c>
      <c r="L158">
        <f>IF(ISNUMBER($A158),INDEX($Y$6:$Y$1505,$A158-3),"")</f>
        <v/>
      </c>
      <c r="O158">
        <f>156</f>
        <v/>
      </c>
      <c r="P158">
        <f>IF(TRIM('입력_구리근무자명단'!$A156&amp;"")&lt;&gt;"",TRIM('입력_구리근무자명단'!$A156&amp;""),P157)</f>
        <v/>
      </c>
      <c r="Q158">
        <f>'입력_구리근무자명단'!$B156&amp;""</f>
        <v/>
      </c>
      <c r="R158">
        <f>IF($E$2="","",TRIM(INDEX('입력_구리근무자명단'!$A156:$ZZ156,1,$E$2+IF($G$2="확정",1,0))&amp;""))</f>
        <v/>
      </c>
      <c r="S158">
        <f>IF($R158="","",IF(INDEX('입력_구리근무자명단'!$A156:$ZZ156,1,$E$2+2)&amp;""="",급여기준월,IF(ISNUMBER(INDEX('입력_구리근무자명단'!$A156:$ZZ156,1,$E$2+2)),INDEX('입력_구리근무자명단'!$A156:$ZZ156,1,$E$2+2),IFERROR(DATE(VALUE(LEFT(INDEX('입력_구리근무자명단'!$A156:$ZZ156,1,$E$2+2),4)),VALUE(MID(INDEX('입력_구리근무자명단'!$A156:$ZZ156,1,$E$2+2),6,2)),VALUE(MID(INDEX('입력_구리근무자명단'!$A156:$ZZ156,1,$E$2+2),9,2))),-1))))</f>
        <v/>
      </c>
      <c r="T158">
        <f>IF($R158="","",IF(INDEX('입력_구리근무자명단'!$A156:$ZZ156,1,$E$2+3)&amp;""="",EOMONTH(급여기준월,0),IF(ISNUMBER(INDEX('입력_구리근무자명단'!$A156:$ZZ156,1,$E$2+3)),INDEX('입력_구리근무자명단'!$A156:$ZZ156,1,$E$2+3),IFERROR(DATE(VALUE(LEFT(INDEX('입력_구리근무자명단'!$A156:$ZZ156,1,$E$2+3),4)),VALUE(MID(INDEX('입력_구리근무자명단'!$A156:$ZZ156,1,$E$2+3),6,2)),VALUE(MID(INDEX('입력_구리근무자명단'!$A156:$ZZ156,1,$E$2+3),9,2))),-1))))</f>
        <v/>
      </c>
      <c r="U158">
        <f>IF($R158="","",IF(OR($S158&lt;0,$T158&lt;0),0,MAX(0,MIN($T158,EOMONTH(급여기준월,0))-MAX($S158,급여기준월)+1)))</f>
        <v/>
      </c>
      <c r="V158">
        <f>IF($R158="","",TRIM(INDEX('입력_구리근무자명단'!$A156:$ZZ156,1,$E$2+5)&amp;""))</f>
        <v/>
      </c>
      <c r="W158">
        <f>IF(ISNUMBER(SEARCH("구리독자",$V158)),"구리독자","")</f>
        <v/>
      </c>
      <c r="X158">
        <f>IF($R158="","",$R158&amp;"|"&amp;IF(OR($Q158="인턴",ISNUMBER(SEARCH("수련교육부",$P158))),"인턴",$P158))</f>
        <v/>
      </c>
      <c r="Y158">
        <f>IF($R158="","",IF(COUNTIF(명단표[이름|과],$X158)=1,"명단 일치",IF(AND(COUNTIF(명단표[이름|과],$X158)=0,COUNTIF(명단표[이름],$R158)=1),"명단 일치(이름만, 과 다름)",IF(COUNTIF(명단표[이름],$R158)=0,IF(COUNTIF(기본자료표[이름],$R158)&gt;0,"명단에 없음(기본자료에는 있음)","명단에 없음"),"동명이인 확인"))))</f>
        <v/>
      </c>
      <c r="Z158">
        <f>IF($R158="","",IF($S158&lt;0,"⚠"&amp;INDEX('입력_구리근무자명단'!$A156:$ZZ156,1,$E$2+2),TEXT($S158,"yyyy-mm-dd")))</f>
        <v/>
      </c>
      <c r="AA158">
        <f>IF($R158="","",IF($T158&lt;0,"⚠"&amp;INDEX('입력_구리근무자명단'!$A156:$ZZ156,1,$E$2+3),TEXT($T158,"yyyy-mm-dd")))</f>
        <v/>
      </c>
      <c r="AB158">
        <f>AB157+IF($R158="",0,1)</f>
        <v/>
      </c>
      <c r="AC158">
        <f>IF($R158="","",$AB158)</f>
        <v/>
      </c>
    </row>
    <row r="159">
      <c r="A159">
        <f>IFERROR(INDEX($O$6:$O$1505,MATCH(154,$AC$6:$AC$1505,0)),"")</f>
        <v/>
      </c>
      <c r="B159">
        <f>IF(ISNUMBER($A159),INDEX($P$6:$P$1505,$A159-3),"")</f>
        <v/>
      </c>
      <c r="C159">
        <f>IF(ISNUMBER($A159),INDEX($Q$6:$Q$1505,$A159-3),"")</f>
        <v/>
      </c>
      <c r="D159">
        <f>IF(ISNUMBER($A159),INDEX($R$6:$R$1505,$A159-3),"")</f>
        <v/>
      </c>
      <c r="E159">
        <f>IF(ISNUMBER($A159),$G$2,"")</f>
        <v/>
      </c>
      <c r="F159">
        <f>IF(ISNUMBER($A159),INDEX($Z$6:$Z$1505,$A159-3),"")</f>
        <v/>
      </c>
      <c r="G159">
        <f>IF(ISNUMBER($A159),INDEX($AA$6:$AA$1505,$A159-3),"")</f>
        <v/>
      </c>
      <c r="H159">
        <f>IF(ISNUMBER($A159),INDEX($U$6:$U$1505,$A159-3),"")</f>
        <v/>
      </c>
      <c r="I159">
        <f>IF(ISNUMBER($A159),INDEX($V$6:$V$1505,$A159-3),"")</f>
        <v/>
      </c>
      <c r="J159">
        <f>IF(ISNUMBER($A159),INDEX($W$6:$W$1505,$A159-3),"")</f>
        <v/>
      </c>
      <c r="K159">
        <f>IF(ISNUMBER($A159),INDEX($X$6:$X$1505,$A159-3),"")</f>
        <v/>
      </c>
      <c r="L159">
        <f>IF(ISNUMBER($A159),INDEX($Y$6:$Y$1505,$A159-3),"")</f>
        <v/>
      </c>
      <c r="O159">
        <f>157</f>
        <v/>
      </c>
      <c r="P159">
        <f>IF(TRIM('입력_구리근무자명단'!$A157&amp;"")&lt;&gt;"",TRIM('입력_구리근무자명단'!$A157&amp;""),P158)</f>
        <v/>
      </c>
      <c r="Q159">
        <f>'입력_구리근무자명단'!$B157&amp;""</f>
        <v/>
      </c>
      <c r="R159">
        <f>IF($E$2="","",TRIM(INDEX('입력_구리근무자명단'!$A157:$ZZ157,1,$E$2+IF($G$2="확정",1,0))&amp;""))</f>
        <v/>
      </c>
      <c r="S159">
        <f>IF($R159="","",IF(INDEX('입력_구리근무자명단'!$A157:$ZZ157,1,$E$2+2)&amp;""="",급여기준월,IF(ISNUMBER(INDEX('입력_구리근무자명단'!$A157:$ZZ157,1,$E$2+2)),INDEX('입력_구리근무자명단'!$A157:$ZZ157,1,$E$2+2),IFERROR(DATE(VALUE(LEFT(INDEX('입력_구리근무자명단'!$A157:$ZZ157,1,$E$2+2),4)),VALUE(MID(INDEX('입력_구리근무자명단'!$A157:$ZZ157,1,$E$2+2),6,2)),VALUE(MID(INDEX('입력_구리근무자명단'!$A157:$ZZ157,1,$E$2+2),9,2))),-1))))</f>
        <v/>
      </c>
      <c r="T159">
        <f>IF($R159="","",IF(INDEX('입력_구리근무자명단'!$A157:$ZZ157,1,$E$2+3)&amp;""="",EOMONTH(급여기준월,0),IF(ISNUMBER(INDEX('입력_구리근무자명단'!$A157:$ZZ157,1,$E$2+3)),INDEX('입력_구리근무자명단'!$A157:$ZZ157,1,$E$2+3),IFERROR(DATE(VALUE(LEFT(INDEX('입력_구리근무자명단'!$A157:$ZZ157,1,$E$2+3),4)),VALUE(MID(INDEX('입력_구리근무자명단'!$A157:$ZZ157,1,$E$2+3),6,2)),VALUE(MID(INDEX('입력_구리근무자명단'!$A157:$ZZ157,1,$E$2+3),9,2))),-1))))</f>
        <v/>
      </c>
      <c r="U159">
        <f>IF($R159="","",IF(OR($S159&lt;0,$T159&lt;0),0,MAX(0,MIN($T159,EOMONTH(급여기준월,0))-MAX($S159,급여기준월)+1)))</f>
        <v/>
      </c>
      <c r="V159">
        <f>IF($R159="","",TRIM(INDEX('입력_구리근무자명단'!$A157:$ZZ157,1,$E$2+5)&amp;""))</f>
        <v/>
      </c>
      <c r="W159">
        <f>IF(ISNUMBER(SEARCH("구리독자",$V159)),"구리독자","")</f>
        <v/>
      </c>
      <c r="X159">
        <f>IF($R159="","",$R159&amp;"|"&amp;IF(OR($Q159="인턴",ISNUMBER(SEARCH("수련교육부",$P159))),"인턴",$P159))</f>
        <v/>
      </c>
      <c r="Y159">
        <f>IF($R159="","",IF(COUNTIF(명단표[이름|과],$X159)=1,"명단 일치",IF(AND(COUNTIF(명단표[이름|과],$X159)=0,COUNTIF(명단표[이름],$R159)=1),"명단 일치(이름만, 과 다름)",IF(COUNTIF(명단표[이름],$R159)=0,IF(COUNTIF(기본자료표[이름],$R159)&gt;0,"명단에 없음(기본자료에는 있음)","명단에 없음"),"동명이인 확인"))))</f>
        <v/>
      </c>
      <c r="Z159">
        <f>IF($R159="","",IF($S159&lt;0,"⚠"&amp;INDEX('입력_구리근무자명단'!$A157:$ZZ157,1,$E$2+2),TEXT($S159,"yyyy-mm-dd")))</f>
        <v/>
      </c>
      <c r="AA159">
        <f>IF($R159="","",IF($T159&lt;0,"⚠"&amp;INDEX('입력_구리근무자명단'!$A157:$ZZ157,1,$E$2+3),TEXT($T159,"yyyy-mm-dd")))</f>
        <v/>
      </c>
      <c r="AB159">
        <f>AB158+IF($R159="",0,1)</f>
        <v/>
      </c>
      <c r="AC159">
        <f>IF($R159="","",$AB159)</f>
        <v/>
      </c>
    </row>
    <row r="160">
      <c r="A160">
        <f>IFERROR(INDEX($O$6:$O$1505,MATCH(155,$AC$6:$AC$1505,0)),"")</f>
        <v/>
      </c>
      <c r="B160">
        <f>IF(ISNUMBER($A160),INDEX($P$6:$P$1505,$A160-3),"")</f>
        <v/>
      </c>
      <c r="C160">
        <f>IF(ISNUMBER($A160),INDEX($Q$6:$Q$1505,$A160-3),"")</f>
        <v/>
      </c>
      <c r="D160">
        <f>IF(ISNUMBER($A160),INDEX($R$6:$R$1505,$A160-3),"")</f>
        <v/>
      </c>
      <c r="E160">
        <f>IF(ISNUMBER($A160),$G$2,"")</f>
        <v/>
      </c>
      <c r="F160">
        <f>IF(ISNUMBER($A160),INDEX($Z$6:$Z$1505,$A160-3),"")</f>
        <v/>
      </c>
      <c r="G160">
        <f>IF(ISNUMBER($A160),INDEX($AA$6:$AA$1505,$A160-3),"")</f>
        <v/>
      </c>
      <c r="H160">
        <f>IF(ISNUMBER($A160),INDEX($U$6:$U$1505,$A160-3),"")</f>
        <v/>
      </c>
      <c r="I160">
        <f>IF(ISNUMBER($A160),INDEX($V$6:$V$1505,$A160-3),"")</f>
        <v/>
      </c>
      <c r="J160">
        <f>IF(ISNUMBER($A160),INDEX($W$6:$W$1505,$A160-3),"")</f>
        <v/>
      </c>
      <c r="K160">
        <f>IF(ISNUMBER($A160),INDEX($X$6:$X$1505,$A160-3),"")</f>
        <v/>
      </c>
      <c r="L160">
        <f>IF(ISNUMBER($A160),INDEX($Y$6:$Y$1505,$A160-3),"")</f>
        <v/>
      </c>
      <c r="O160">
        <f>158</f>
        <v/>
      </c>
      <c r="P160">
        <f>IF(TRIM('입력_구리근무자명단'!$A158&amp;"")&lt;&gt;"",TRIM('입력_구리근무자명단'!$A158&amp;""),P159)</f>
        <v/>
      </c>
      <c r="Q160">
        <f>'입력_구리근무자명단'!$B158&amp;""</f>
        <v/>
      </c>
      <c r="R160">
        <f>IF($E$2="","",TRIM(INDEX('입력_구리근무자명단'!$A158:$ZZ158,1,$E$2+IF($G$2="확정",1,0))&amp;""))</f>
        <v/>
      </c>
      <c r="S160">
        <f>IF($R160="","",IF(INDEX('입력_구리근무자명단'!$A158:$ZZ158,1,$E$2+2)&amp;""="",급여기준월,IF(ISNUMBER(INDEX('입력_구리근무자명단'!$A158:$ZZ158,1,$E$2+2)),INDEX('입력_구리근무자명단'!$A158:$ZZ158,1,$E$2+2),IFERROR(DATE(VALUE(LEFT(INDEX('입력_구리근무자명단'!$A158:$ZZ158,1,$E$2+2),4)),VALUE(MID(INDEX('입력_구리근무자명단'!$A158:$ZZ158,1,$E$2+2),6,2)),VALUE(MID(INDEX('입력_구리근무자명단'!$A158:$ZZ158,1,$E$2+2),9,2))),-1))))</f>
        <v/>
      </c>
      <c r="T160">
        <f>IF($R160="","",IF(INDEX('입력_구리근무자명단'!$A158:$ZZ158,1,$E$2+3)&amp;""="",EOMONTH(급여기준월,0),IF(ISNUMBER(INDEX('입력_구리근무자명단'!$A158:$ZZ158,1,$E$2+3)),INDEX('입력_구리근무자명단'!$A158:$ZZ158,1,$E$2+3),IFERROR(DATE(VALUE(LEFT(INDEX('입력_구리근무자명단'!$A158:$ZZ158,1,$E$2+3),4)),VALUE(MID(INDEX('입력_구리근무자명단'!$A158:$ZZ158,1,$E$2+3),6,2)),VALUE(MID(INDEX('입력_구리근무자명단'!$A158:$ZZ158,1,$E$2+3),9,2))),-1))))</f>
        <v/>
      </c>
      <c r="U160">
        <f>IF($R160="","",IF(OR($S160&lt;0,$T160&lt;0),0,MAX(0,MIN($T160,EOMONTH(급여기준월,0))-MAX($S160,급여기준월)+1)))</f>
        <v/>
      </c>
      <c r="V160">
        <f>IF($R160="","",TRIM(INDEX('입력_구리근무자명단'!$A158:$ZZ158,1,$E$2+5)&amp;""))</f>
        <v/>
      </c>
      <c r="W160">
        <f>IF(ISNUMBER(SEARCH("구리독자",$V160)),"구리독자","")</f>
        <v/>
      </c>
      <c r="X160">
        <f>IF($R160="","",$R160&amp;"|"&amp;IF(OR($Q160="인턴",ISNUMBER(SEARCH("수련교육부",$P160))),"인턴",$P160))</f>
        <v/>
      </c>
      <c r="Y160">
        <f>IF($R160="","",IF(COUNTIF(명단표[이름|과],$X160)=1,"명단 일치",IF(AND(COUNTIF(명단표[이름|과],$X160)=0,COUNTIF(명단표[이름],$R160)=1),"명단 일치(이름만, 과 다름)",IF(COUNTIF(명단표[이름],$R160)=0,IF(COUNTIF(기본자료표[이름],$R160)&gt;0,"명단에 없음(기본자료에는 있음)","명단에 없음"),"동명이인 확인"))))</f>
        <v/>
      </c>
      <c r="Z160">
        <f>IF($R160="","",IF($S160&lt;0,"⚠"&amp;INDEX('입력_구리근무자명단'!$A158:$ZZ158,1,$E$2+2),TEXT($S160,"yyyy-mm-dd")))</f>
        <v/>
      </c>
      <c r="AA160">
        <f>IF($R160="","",IF($T160&lt;0,"⚠"&amp;INDEX('입력_구리근무자명단'!$A158:$ZZ158,1,$E$2+3),TEXT($T160,"yyyy-mm-dd")))</f>
        <v/>
      </c>
      <c r="AB160">
        <f>AB159+IF($R160="",0,1)</f>
        <v/>
      </c>
      <c r="AC160">
        <f>IF($R160="","",$AB160)</f>
        <v/>
      </c>
    </row>
    <row r="161">
      <c r="A161">
        <f>IFERROR(INDEX($O$6:$O$1505,MATCH(156,$AC$6:$AC$1505,0)),"")</f>
        <v/>
      </c>
      <c r="B161">
        <f>IF(ISNUMBER($A161),INDEX($P$6:$P$1505,$A161-3),"")</f>
        <v/>
      </c>
      <c r="C161">
        <f>IF(ISNUMBER($A161),INDEX($Q$6:$Q$1505,$A161-3),"")</f>
        <v/>
      </c>
      <c r="D161">
        <f>IF(ISNUMBER($A161),INDEX($R$6:$R$1505,$A161-3),"")</f>
        <v/>
      </c>
      <c r="E161">
        <f>IF(ISNUMBER($A161),$G$2,"")</f>
        <v/>
      </c>
      <c r="F161">
        <f>IF(ISNUMBER($A161),INDEX($Z$6:$Z$1505,$A161-3),"")</f>
        <v/>
      </c>
      <c r="G161">
        <f>IF(ISNUMBER($A161),INDEX($AA$6:$AA$1505,$A161-3),"")</f>
        <v/>
      </c>
      <c r="H161">
        <f>IF(ISNUMBER($A161),INDEX($U$6:$U$1505,$A161-3),"")</f>
        <v/>
      </c>
      <c r="I161">
        <f>IF(ISNUMBER($A161),INDEX($V$6:$V$1505,$A161-3),"")</f>
        <v/>
      </c>
      <c r="J161">
        <f>IF(ISNUMBER($A161),INDEX($W$6:$W$1505,$A161-3),"")</f>
        <v/>
      </c>
      <c r="K161">
        <f>IF(ISNUMBER($A161),INDEX($X$6:$X$1505,$A161-3),"")</f>
        <v/>
      </c>
      <c r="L161">
        <f>IF(ISNUMBER($A161),INDEX($Y$6:$Y$1505,$A161-3),"")</f>
        <v/>
      </c>
      <c r="O161">
        <f>159</f>
        <v/>
      </c>
      <c r="P161">
        <f>IF(TRIM('입력_구리근무자명단'!$A159&amp;"")&lt;&gt;"",TRIM('입력_구리근무자명단'!$A159&amp;""),P160)</f>
        <v/>
      </c>
      <c r="Q161">
        <f>'입력_구리근무자명단'!$B159&amp;""</f>
        <v/>
      </c>
      <c r="R161">
        <f>IF($E$2="","",TRIM(INDEX('입력_구리근무자명단'!$A159:$ZZ159,1,$E$2+IF($G$2="확정",1,0))&amp;""))</f>
        <v/>
      </c>
      <c r="S161">
        <f>IF($R161="","",IF(INDEX('입력_구리근무자명단'!$A159:$ZZ159,1,$E$2+2)&amp;""="",급여기준월,IF(ISNUMBER(INDEX('입력_구리근무자명단'!$A159:$ZZ159,1,$E$2+2)),INDEX('입력_구리근무자명단'!$A159:$ZZ159,1,$E$2+2),IFERROR(DATE(VALUE(LEFT(INDEX('입력_구리근무자명단'!$A159:$ZZ159,1,$E$2+2),4)),VALUE(MID(INDEX('입력_구리근무자명단'!$A159:$ZZ159,1,$E$2+2),6,2)),VALUE(MID(INDEX('입력_구리근무자명단'!$A159:$ZZ159,1,$E$2+2),9,2))),-1))))</f>
        <v/>
      </c>
      <c r="T161">
        <f>IF($R161="","",IF(INDEX('입력_구리근무자명단'!$A159:$ZZ159,1,$E$2+3)&amp;""="",EOMONTH(급여기준월,0),IF(ISNUMBER(INDEX('입력_구리근무자명단'!$A159:$ZZ159,1,$E$2+3)),INDEX('입력_구리근무자명단'!$A159:$ZZ159,1,$E$2+3),IFERROR(DATE(VALUE(LEFT(INDEX('입력_구리근무자명단'!$A159:$ZZ159,1,$E$2+3),4)),VALUE(MID(INDEX('입력_구리근무자명단'!$A159:$ZZ159,1,$E$2+3),6,2)),VALUE(MID(INDEX('입력_구리근무자명단'!$A159:$ZZ159,1,$E$2+3),9,2))),-1))))</f>
        <v/>
      </c>
      <c r="U161">
        <f>IF($R161="","",IF(OR($S161&lt;0,$T161&lt;0),0,MAX(0,MIN($T161,EOMONTH(급여기준월,0))-MAX($S161,급여기준월)+1)))</f>
        <v/>
      </c>
      <c r="V161">
        <f>IF($R161="","",TRIM(INDEX('입력_구리근무자명단'!$A159:$ZZ159,1,$E$2+5)&amp;""))</f>
        <v/>
      </c>
      <c r="W161">
        <f>IF(ISNUMBER(SEARCH("구리독자",$V161)),"구리독자","")</f>
        <v/>
      </c>
      <c r="X161">
        <f>IF($R161="","",$R161&amp;"|"&amp;IF(OR($Q161="인턴",ISNUMBER(SEARCH("수련교육부",$P161))),"인턴",$P161))</f>
        <v/>
      </c>
      <c r="Y161">
        <f>IF($R161="","",IF(COUNTIF(명단표[이름|과],$X161)=1,"명단 일치",IF(AND(COUNTIF(명단표[이름|과],$X161)=0,COUNTIF(명단표[이름],$R161)=1),"명단 일치(이름만, 과 다름)",IF(COUNTIF(명단표[이름],$R161)=0,IF(COUNTIF(기본자료표[이름],$R161)&gt;0,"명단에 없음(기본자료에는 있음)","명단에 없음"),"동명이인 확인"))))</f>
        <v/>
      </c>
      <c r="Z161">
        <f>IF($R161="","",IF($S161&lt;0,"⚠"&amp;INDEX('입력_구리근무자명단'!$A159:$ZZ159,1,$E$2+2),TEXT($S161,"yyyy-mm-dd")))</f>
        <v/>
      </c>
      <c r="AA161">
        <f>IF($R161="","",IF($T161&lt;0,"⚠"&amp;INDEX('입력_구리근무자명단'!$A159:$ZZ159,1,$E$2+3),TEXT($T161,"yyyy-mm-dd")))</f>
        <v/>
      </c>
      <c r="AB161">
        <f>AB160+IF($R161="",0,1)</f>
        <v/>
      </c>
      <c r="AC161">
        <f>IF($R161="","",$AB161)</f>
        <v/>
      </c>
    </row>
    <row r="162">
      <c r="A162">
        <f>IFERROR(INDEX($O$6:$O$1505,MATCH(157,$AC$6:$AC$1505,0)),"")</f>
        <v/>
      </c>
      <c r="B162">
        <f>IF(ISNUMBER($A162),INDEX($P$6:$P$1505,$A162-3),"")</f>
        <v/>
      </c>
      <c r="C162">
        <f>IF(ISNUMBER($A162),INDEX($Q$6:$Q$1505,$A162-3),"")</f>
        <v/>
      </c>
      <c r="D162">
        <f>IF(ISNUMBER($A162),INDEX($R$6:$R$1505,$A162-3),"")</f>
        <v/>
      </c>
      <c r="E162">
        <f>IF(ISNUMBER($A162),$G$2,"")</f>
        <v/>
      </c>
      <c r="F162">
        <f>IF(ISNUMBER($A162),INDEX($Z$6:$Z$1505,$A162-3),"")</f>
        <v/>
      </c>
      <c r="G162">
        <f>IF(ISNUMBER($A162),INDEX($AA$6:$AA$1505,$A162-3),"")</f>
        <v/>
      </c>
      <c r="H162">
        <f>IF(ISNUMBER($A162),INDEX($U$6:$U$1505,$A162-3),"")</f>
        <v/>
      </c>
      <c r="I162">
        <f>IF(ISNUMBER($A162),INDEX($V$6:$V$1505,$A162-3),"")</f>
        <v/>
      </c>
      <c r="J162">
        <f>IF(ISNUMBER($A162),INDEX($W$6:$W$1505,$A162-3),"")</f>
        <v/>
      </c>
      <c r="K162">
        <f>IF(ISNUMBER($A162),INDEX($X$6:$X$1505,$A162-3),"")</f>
        <v/>
      </c>
      <c r="L162">
        <f>IF(ISNUMBER($A162),INDEX($Y$6:$Y$1505,$A162-3),"")</f>
        <v/>
      </c>
      <c r="O162">
        <f>160</f>
        <v/>
      </c>
      <c r="P162">
        <f>IF(TRIM('입력_구리근무자명단'!$A160&amp;"")&lt;&gt;"",TRIM('입력_구리근무자명단'!$A160&amp;""),P161)</f>
        <v/>
      </c>
      <c r="Q162">
        <f>'입력_구리근무자명단'!$B160&amp;""</f>
        <v/>
      </c>
      <c r="R162">
        <f>IF($E$2="","",TRIM(INDEX('입력_구리근무자명단'!$A160:$ZZ160,1,$E$2+IF($G$2="확정",1,0))&amp;""))</f>
        <v/>
      </c>
      <c r="S162">
        <f>IF($R162="","",IF(INDEX('입력_구리근무자명단'!$A160:$ZZ160,1,$E$2+2)&amp;""="",급여기준월,IF(ISNUMBER(INDEX('입력_구리근무자명단'!$A160:$ZZ160,1,$E$2+2)),INDEX('입력_구리근무자명단'!$A160:$ZZ160,1,$E$2+2),IFERROR(DATE(VALUE(LEFT(INDEX('입력_구리근무자명단'!$A160:$ZZ160,1,$E$2+2),4)),VALUE(MID(INDEX('입력_구리근무자명단'!$A160:$ZZ160,1,$E$2+2),6,2)),VALUE(MID(INDEX('입력_구리근무자명단'!$A160:$ZZ160,1,$E$2+2),9,2))),-1))))</f>
        <v/>
      </c>
      <c r="T162">
        <f>IF($R162="","",IF(INDEX('입력_구리근무자명단'!$A160:$ZZ160,1,$E$2+3)&amp;""="",EOMONTH(급여기준월,0),IF(ISNUMBER(INDEX('입력_구리근무자명단'!$A160:$ZZ160,1,$E$2+3)),INDEX('입력_구리근무자명단'!$A160:$ZZ160,1,$E$2+3),IFERROR(DATE(VALUE(LEFT(INDEX('입력_구리근무자명단'!$A160:$ZZ160,1,$E$2+3),4)),VALUE(MID(INDEX('입력_구리근무자명단'!$A160:$ZZ160,1,$E$2+3),6,2)),VALUE(MID(INDEX('입력_구리근무자명단'!$A160:$ZZ160,1,$E$2+3),9,2))),-1))))</f>
        <v/>
      </c>
      <c r="U162">
        <f>IF($R162="","",IF(OR($S162&lt;0,$T162&lt;0),0,MAX(0,MIN($T162,EOMONTH(급여기준월,0))-MAX($S162,급여기준월)+1)))</f>
        <v/>
      </c>
      <c r="V162">
        <f>IF($R162="","",TRIM(INDEX('입력_구리근무자명단'!$A160:$ZZ160,1,$E$2+5)&amp;""))</f>
        <v/>
      </c>
      <c r="W162">
        <f>IF(ISNUMBER(SEARCH("구리독자",$V162)),"구리독자","")</f>
        <v/>
      </c>
      <c r="X162">
        <f>IF($R162="","",$R162&amp;"|"&amp;IF(OR($Q162="인턴",ISNUMBER(SEARCH("수련교육부",$P162))),"인턴",$P162))</f>
        <v/>
      </c>
      <c r="Y162">
        <f>IF($R162="","",IF(COUNTIF(명단표[이름|과],$X162)=1,"명단 일치",IF(AND(COUNTIF(명단표[이름|과],$X162)=0,COUNTIF(명단표[이름],$R162)=1),"명단 일치(이름만, 과 다름)",IF(COUNTIF(명단표[이름],$R162)=0,IF(COUNTIF(기본자료표[이름],$R162)&gt;0,"명단에 없음(기본자료에는 있음)","명단에 없음"),"동명이인 확인"))))</f>
        <v/>
      </c>
      <c r="Z162">
        <f>IF($R162="","",IF($S162&lt;0,"⚠"&amp;INDEX('입력_구리근무자명단'!$A160:$ZZ160,1,$E$2+2),TEXT($S162,"yyyy-mm-dd")))</f>
        <v/>
      </c>
      <c r="AA162">
        <f>IF($R162="","",IF($T162&lt;0,"⚠"&amp;INDEX('입력_구리근무자명단'!$A160:$ZZ160,1,$E$2+3),TEXT($T162,"yyyy-mm-dd")))</f>
        <v/>
      </c>
      <c r="AB162">
        <f>AB161+IF($R162="",0,1)</f>
        <v/>
      </c>
      <c r="AC162">
        <f>IF($R162="","",$AB162)</f>
        <v/>
      </c>
    </row>
    <row r="163">
      <c r="A163">
        <f>IFERROR(INDEX($O$6:$O$1505,MATCH(158,$AC$6:$AC$1505,0)),"")</f>
        <v/>
      </c>
      <c r="B163">
        <f>IF(ISNUMBER($A163),INDEX($P$6:$P$1505,$A163-3),"")</f>
        <v/>
      </c>
      <c r="C163">
        <f>IF(ISNUMBER($A163),INDEX($Q$6:$Q$1505,$A163-3),"")</f>
        <v/>
      </c>
      <c r="D163">
        <f>IF(ISNUMBER($A163),INDEX($R$6:$R$1505,$A163-3),"")</f>
        <v/>
      </c>
      <c r="E163">
        <f>IF(ISNUMBER($A163),$G$2,"")</f>
        <v/>
      </c>
      <c r="F163">
        <f>IF(ISNUMBER($A163),INDEX($Z$6:$Z$1505,$A163-3),"")</f>
        <v/>
      </c>
      <c r="G163">
        <f>IF(ISNUMBER($A163),INDEX($AA$6:$AA$1505,$A163-3),"")</f>
        <v/>
      </c>
      <c r="H163">
        <f>IF(ISNUMBER($A163),INDEX($U$6:$U$1505,$A163-3),"")</f>
        <v/>
      </c>
      <c r="I163">
        <f>IF(ISNUMBER($A163),INDEX($V$6:$V$1505,$A163-3),"")</f>
        <v/>
      </c>
      <c r="J163">
        <f>IF(ISNUMBER($A163),INDEX($W$6:$W$1505,$A163-3),"")</f>
        <v/>
      </c>
      <c r="K163">
        <f>IF(ISNUMBER($A163),INDEX($X$6:$X$1505,$A163-3),"")</f>
        <v/>
      </c>
      <c r="L163">
        <f>IF(ISNUMBER($A163),INDEX($Y$6:$Y$1505,$A163-3),"")</f>
        <v/>
      </c>
      <c r="O163">
        <f>161</f>
        <v/>
      </c>
      <c r="P163">
        <f>IF(TRIM('입력_구리근무자명단'!$A161&amp;"")&lt;&gt;"",TRIM('입력_구리근무자명단'!$A161&amp;""),P162)</f>
        <v/>
      </c>
      <c r="Q163">
        <f>'입력_구리근무자명단'!$B161&amp;""</f>
        <v/>
      </c>
      <c r="R163">
        <f>IF($E$2="","",TRIM(INDEX('입력_구리근무자명단'!$A161:$ZZ161,1,$E$2+IF($G$2="확정",1,0))&amp;""))</f>
        <v/>
      </c>
      <c r="S163">
        <f>IF($R163="","",IF(INDEX('입력_구리근무자명단'!$A161:$ZZ161,1,$E$2+2)&amp;""="",급여기준월,IF(ISNUMBER(INDEX('입력_구리근무자명단'!$A161:$ZZ161,1,$E$2+2)),INDEX('입력_구리근무자명단'!$A161:$ZZ161,1,$E$2+2),IFERROR(DATE(VALUE(LEFT(INDEX('입력_구리근무자명단'!$A161:$ZZ161,1,$E$2+2),4)),VALUE(MID(INDEX('입력_구리근무자명단'!$A161:$ZZ161,1,$E$2+2),6,2)),VALUE(MID(INDEX('입력_구리근무자명단'!$A161:$ZZ161,1,$E$2+2),9,2))),-1))))</f>
        <v/>
      </c>
      <c r="T163">
        <f>IF($R163="","",IF(INDEX('입력_구리근무자명단'!$A161:$ZZ161,1,$E$2+3)&amp;""="",EOMONTH(급여기준월,0),IF(ISNUMBER(INDEX('입력_구리근무자명단'!$A161:$ZZ161,1,$E$2+3)),INDEX('입력_구리근무자명단'!$A161:$ZZ161,1,$E$2+3),IFERROR(DATE(VALUE(LEFT(INDEX('입력_구리근무자명단'!$A161:$ZZ161,1,$E$2+3),4)),VALUE(MID(INDEX('입력_구리근무자명단'!$A161:$ZZ161,1,$E$2+3),6,2)),VALUE(MID(INDEX('입력_구리근무자명단'!$A161:$ZZ161,1,$E$2+3),9,2))),-1))))</f>
        <v/>
      </c>
      <c r="U163">
        <f>IF($R163="","",IF(OR($S163&lt;0,$T163&lt;0),0,MAX(0,MIN($T163,EOMONTH(급여기준월,0))-MAX($S163,급여기준월)+1)))</f>
        <v/>
      </c>
      <c r="V163">
        <f>IF($R163="","",TRIM(INDEX('입력_구리근무자명단'!$A161:$ZZ161,1,$E$2+5)&amp;""))</f>
        <v/>
      </c>
      <c r="W163">
        <f>IF(ISNUMBER(SEARCH("구리독자",$V163)),"구리독자","")</f>
        <v/>
      </c>
      <c r="X163">
        <f>IF($R163="","",$R163&amp;"|"&amp;IF(OR($Q163="인턴",ISNUMBER(SEARCH("수련교육부",$P163))),"인턴",$P163))</f>
        <v/>
      </c>
      <c r="Y163">
        <f>IF($R163="","",IF(COUNTIF(명단표[이름|과],$X163)=1,"명단 일치",IF(AND(COUNTIF(명단표[이름|과],$X163)=0,COUNTIF(명단표[이름],$R163)=1),"명단 일치(이름만, 과 다름)",IF(COUNTIF(명단표[이름],$R163)=0,IF(COUNTIF(기본자료표[이름],$R163)&gt;0,"명단에 없음(기본자료에는 있음)","명단에 없음"),"동명이인 확인"))))</f>
        <v/>
      </c>
      <c r="Z163">
        <f>IF($R163="","",IF($S163&lt;0,"⚠"&amp;INDEX('입력_구리근무자명단'!$A161:$ZZ161,1,$E$2+2),TEXT($S163,"yyyy-mm-dd")))</f>
        <v/>
      </c>
      <c r="AA163">
        <f>IF($R163="","",IF($T163&lt;0,"⚠"&amp;INDEX('입력_구리근무자명단'!$A161:$ZZ161,1,$E$2+3),TEXT($T163,"yyyy-mm-dd")))</f>
        <v/>
      </c>
      <c r="AB163">
        <f>AB162+IF($R163="",0,1)</f>
        <v/>
      </c>
      <c r="AC163">
        <f>IF($R163="","",$AB163)</f>
        <v/>
      </c>
    </row>
    <row r="164">
      <c r="A164">
        <f>IFERROR(INDEX($O$6:$O$1505,MATCH(159,$AC$6:$AC$1505,0)),"")</f>
        <v/>
      </c>
      <c r="B164">
        <f>IF(ISNUMBER($A164),INDEX($P$6:$P$1505,$A164-3),"")</f>
        <v/>
      </c>
      <c r="C164">
        <f>IF(ISNUMBER($A164),INDEX($Q$6:$Q$1505,$A164-3),"")</f>
        <v/>
      </c>
      <c r="D164">
        <f>IF(ISNUMBER($A164),INDEX($R$6:$R$1505,$A164-3),"")</f>
        <v/>
      </c>
      <c r="E164">
        <f>IF(ISNUMBER($A164),$G$2,"")</f>
        <v/>
      </c>
      <c r="F164">
        <f>IF(ISNUMBER($A164),INDEX($Z$6:$Z$1505,$A164-3),"")</f>
        <v/>
      </c>
      <c r="G164">
        <f>IF(ISNUMBER($A164),INDEX($AA$6:$AA$1505,$A164-3),"")</f>
        <v/>
      </c>
      <c r="H164">
        <f>IF(ISNUMBER($A164),INDEX($U$6:$U$1505,$A164-3),"")</f>
        <v/>
      </c>
      <c r="I164">
        <f>IF(ISNUMBER($A164),INDEX($V$6:$V$1505,$A164-3),"")</f>
        <v/>
      </c>
      <c r="J164">
        <f>IF(ISNUMBER($A164),INDEX($W$6:$W$1505,$A164-3),"")</f>
        <v/>
      </c>
      <c r="K164">
        <f>IF(ISNUMBER($A164),INDEX($X$6:$X$1505,$A164-3),"")</f>
        <v/>
      </c>
      <c r="L164">
        <f>IF(ISNUMBER($A164),INDEX($Y$6:$Y$1505,$A164-3),"")</f>
        <v/>
      </c>
      <c r="O164">
        <f>162</f>
        <v/>
      </c>
      <c r="P164">
        <f>IF(TRIM('입력_구리근무자명단'!$A162&amp;"")&lt;&gt;"",TRIM('입력_구리근무자명단'!$A162&amp;""),P163)</f>
        <v/>
      </c>
      <c r="Q164">
        <f>'입력_구리근무자명단'!$B162&amp;""</f>
        <v/>
      </c>
      <c r="R164">
        <f>IF($E$2="","",TRIM(INDEX('입력_구리근무자명단'!$A162:$ZZ162,1,$E$2+IF($G$2="확정",1,0))&amp;""))</f>
        <v/>
      </c>
      <c r="S164">
        <f>IF($R164="","",IF(INDEX('입력_구리근무자명단'!$A162:$ZZ162,1,$E$2+2)&amp;""="",급여기준월,IF(ISNUMBER(INDEX('입력_구리근무자명단'!$A162:$ZZ162,1,$E$2+2)),INDEX('입력_구리근무자명단'!$A162:$ZZ162,1,$E$2+2),IFERROR(DATE(VALUE(LEFT(INDEX('입력_구리근무자명단'!$A162:$ZZ162,1,$E$2+2),4)),VALUE(MID(INDEX('입력_구리근무자명단'!$A162:$ZZ162,1,$E$2+2),6,2)),VALUE(MID(INDEX('입력_구리근무자명단'!$A162:$ZZ162,1,$E$2+2),9,2))),-1))))</f>
        <v/>
      </c>
      <c r="T164">
        <f>IF($R164="","",IF(INDEX('입력_구리근무자명단'!$A162:$ZZ162,1,$E$2+3)&amp;""="",EOMONTH(급여기준월,0),IF(ISNUMBER(INDEX('입력_구리근무자명단'!$A162:$ZZ162,1,$E$2+3)),INDEX('입력_구리근무자명단'!$A162:$ZZ162,1,$E$2+3),IFERROR(DATE(VALUE(LEFT(INDEX('입력_구리근무자명단'!$A162:$ZZ162,1,$E$2+3),4)),VALUE(MID(INDEX('입력_구리근무자명단'!$A162:$ZZ162,1,$E$2+3),6,2)),VALUE(MID(INDEX('입력_구리근무자명단'!$A162:$ZZ162,1,$E$2+3),9,2))),-1))))</f>
        <v/>
      </c>
      <c r="U164">
        <f>IF($R164="","",IF(OR($S164&lt;0,$T164&lt;0),0,MAX(0,MIN($T164,EOMONTH(급여기준월,0))-MAX($S164,급여기준월)+1)))</f>
        <v/>
      </c>
      <c r="V164">
        <f>IF($R164="","",TRIM(INDEX('입력_구리근무자명단'!$A162:$ZZ162,1,$E$2+5)&amp;""))</f>
        <v/>
      </c>
      <c r="W164">
        <f>IF(ISNUMBER(SEARCH("구리독자",$V164)),"구리독자","")</f>
        <v/>
      </c>
      <c r="X164">
        <f>IF($R164="","",$R164&amp;"|"&amp;IF(OR($Q164="인턴",ISNUMBER(SEARCH("수련교육부",$P164))),"인턴",$P164))</f>
        <v/>
      </c>
      <c r="Y164">
        <f>IF($R164="","",IF(COUNTIF(명단표[이름|과],$X164)=1,"명단 일치",IF(AND(COUNTIF(명단표[이름|과],$X164)=0,COUNTIF(명단표[이름],$R164)=1),"명단 일치(이름만, 과 다름)",IF(COUNTIF(명단표[이름],$R164)=0,IF(COUNTIF(기본자료표[이름],$R164)&gt;0,"명단에 없음(기본자료에는 있음)","명단에 없음"),"동명이인 확인"))))</f>
        <v/>
      </c>
      <c r="Z164">
        <f>IF($R164="","",IF($S164&lt;0,"⚠"&amp;INDEX('입력_구리근무자명단'!$A162:$ZZ162,1,$E$2+2),TEXT($S164,"yyyy-mm-dd")))</f>
        <v/>
      </c>
      <c r="AA164">
        <f>IF($R164="","",IF($T164&lt;0,"⚠"&amp;INDEX('입력_구리근무자명단'!$A162:$ZZ162,1,$E$2+3),TEXT($T164,"yyyy-mm-dd")))</f>
        <v/>
      </c>
      <c r="AB164">
        <f>AB163+IF($R164="",0,1)</f>
        <v/>
      </c>
      <c r="AC164">
        <f>IF($R164="","",$AB164)</f>
        <v/>
      </c>
    </row>
    <row r="165">
      <c r="A165">
        <f>IFERROR(INDEX($O$6:$O$1505,MATCH(160,$AC$6:$AC$1505,0)),"")</f>
        <v/>
      </c>
      <c r="B165">
        <f>IF(ISNUMBER($A165),INDEX($P$6:$P$1505,$A165-3),"")</f>
        <v/>
      </c>
      <c r="C165">
        <f>IF(ISNUMBER($A165),INDEX($Q$6:$Q$1505,$A165-3),"")</f>
        <v/>
      </c>
      <c r="D165">
        <f>IF(ISNUMBER($A165),INDEX($R$6:$R$1505,$A165-3),"")</f>
        <v/>
      </c>
      <c r="E165">
        <f>IF(ISNUMBER($A165),$G$2,"")</f>
        <v/>
      </c>
      <c r="F165">
        <f>IF(ISNUMBER($A165),INDEX($Z$6:$Z$1505,$A165-3),"")</f>
        <v/>
      </c>
      <c r="G165">
        <f>IF(ISNUMBER($A165),INDEX($AA$6:$AA$1505,$A165-3),"")</f>
        <v/>
      </c>
      <c r="H165">
        <f>IF(ISNUMBER($A165),INDEX($U$6:$U$1505,$A165-3),"")</f>
        <v/>
      </c>
      <c r="I165">
        <f>IF(ISNUMBER($A165),INDEX($V$6:$V$1505,$A165-3),"")</f>
        <v/>
      </c>
      <c r="J165">
        <f>IF(ISNUMBER($A165),INDEX($W$6:$W$1505,$A165-3),"")</f>
        <v/>
      </c>
      <c r="K165">
        <f>IF(ISNUMBER($A165),INDEX($X$6:$X$1505,$A165-3),"")</f>
        <v/>
      </c>
      <c r="L165">
        <f>IF(ISNUMBER($A165),INDEX($Y$6:$Y$1505,$A165-3),"")</f>
        <v/>
      </c>
      <c r="O165">
        <f>163</f>
        <v/>
      </c>
      <c r="P165">
        <f>IF(TRIM('입력_구리근무자명단'!$A163&amp;"")&lt;&gt;"",TRIM('입력_구리근무자명단'!$A163&amp;""),P164)</f>
        <v/>
      </c>
      <c r="Q165">
        <f>'입력_구리근무자명단'!$B163&amp;""</f>
        <v/>
      </c>
      <c r="R165">
        <f>IF($E$2="","",TRIM(INDEX('입력_구리근무자명단'!$A163:$ZZ163,1,$E$2+IF($G$2="확정",1,0))&amp;""))</f>
        <v/>
      </c>
      <c r="S165">
        <f>IF($R165="","",IF(INDEX('입력_구리근무자명단'!$A163:$ZZ163,1,$E$2+2)&amp;""="",급여기준월,IF(ISNUMBER(INDEX('입력_구리근무자명단'!$A163:$ZZ163,1,$E$2+2)),INDEX('입력_구리근무자명단'!$A163:$ZZ163,1,$E$2+2),IFERROR(DATE(VALUE(LEFT(INDEX('입력_구리근무자명단'!$A163:$ZZ163,1,$E$2+2),4)),VALUE(MID(INDEX('입력_구리근무자명단'!$A163:$ZZ163,1,$E$2+2),6,2)),VALUE(MID(INDEX('입력_구리근무자명단'!$A163:$ZZ163,1,$E$2+2),9,2))),-1))))</f>
        <v/>
      </c>
      <c r="T165">
        <f>IF($R165="","",IF(INDEX('입력_구리근무자명단'!$A163:$ZZ163,1,$E$2+3)&amp;""="",EOMONTH(급여기준월,0),IF(ISNUMBER(INDEX('입력_구리근무자명단'!$A163:$ZZ163,1,$E$2+3)),INDEX('입력_구리근무자명단'!$A163:$ZZ163,1,$E$2+3),IFERROR(DATE(VALUE(LEFT(INDEX('입력_구리근무자명단'!$A163:$ZZ163,1,$E$2+3),4)),VALUE(MID(INDEX('입력_구리근무자명단'!$A163:$ZZ163,1,$E$2+3),6,2)),VALUE(MID(INDEX('입력_구리근무자명단'!$A163:$ZZ163,1,$E$2+3),9,2))),-1))))</f>
        <v/>
      </c>
      <c r="U165">
        <f>IF($R165="","",IF(OR($S165&lt;0,$T165&lt;0),0,MAX(0,MIN($T165,EOMONTH(급여기준월,0))-MAX($S165,급여기준월)+1)))</f>
        <v/>
      </c>
      <c r="V165">
        <f>IF($R165="","",TRIM(INDEX('입력_구리근무자명단'!$A163:$ZZ163,1,$E$2+5)&amp;""))</f>
        <v/>
      </c>
      <c r="W165">
        <f>IF(ISNUMBER(SEARCH("구리독자",$V165)),"구리독자","")</f>
        <v/>
      </c>
      <c r="X165">
        <f>IF($R165="","",$R165&amp;"|"&amp;IF(OR($Q165="인턴",ISNUMBER(SEARCH("수련교육부",$P165))),"인턴",$P165))</f>
        <v/>
      </c>
      <c r="Y165">
        <f>IF($R165="","",IF(COUNTIF(명단표[이름|과],$X165)=1,"명단 일치",IF(AND(COUNTIF(명단표[이름|과],$X165)=0,COUNTIF(명단표[이름],$R165)=1),"명단 일치(이름만, 과 다름)",IF(COUNTIF(명단표[이름],$R165)=0,IF(COUNTIF(기본자료표[이름],$R165)&gt;0,"명단에 없음(기본자료에는 있음)","명단에 없음"),"동명이인 확인"))))</f>
        <v/>
      </c>
      <c r="Z165">
        <f>IF($R165="","",IF($S165&lt;0,"⚠"&amp;INDEX('입력_구리근무자명단'!$A163:$ZZ163,1,$E$2+2),TEXT($S165,"yyyy-mm-dd")))</f>
        <v/>
      </c>
      <c r="AA165">
        <f>IF($R165="","",IF($T165&lt;0,"⚠"&amp;INDEX('입력_구리근무자명단'!$A163:$ZZ163,1,$E$2+3),TEXT($T165,"yyyy-mm-dd")))</f>
        <v/>
      </c>
      <c r="AB165">
        <f>AB164+IF($R165="",0,1)</f>
        <v/>
      </c>
      <c r="AC165">
        <f>IF($R165="","",$AB165)</f>
        <v/>
      </c>
    </row>
    <row r="166">
      <c r="A166">
        <f>IFERROR(INDEX($O$6:$O$1505,MATCH(161,$AC$6:$AC$1505,0)),"")</f>
        <v/>
      </c>
      <c r="B166">
        <f>IF(ISNUMBER($A166),INDEX($P$6:$P$1505,$A166-3),"")</f>
        <v/>
      </c>
      <c r="C166">
        <f>IF(ISNUMBER($A166),INDEX($Q$6:$Q$1505,$A166-3),"")</f>
        <v/>
      </c>
      <c r="D166">
        <f>IF(ISNUMBER($A166),INDEX($R$6:$R$1505,$A166-3),"")</f>
        <v/>
      </c>
      <c r="E166">
        <f>IF(ISNUMBER($A166),$G$2,"")</f>
        <v/>
      </c>
      <c r="F166">
        <f>IF(ISNUMBER($A166),INDEX($Z$6:$Z$1505,$A166-3),"")</f>
        <v/>
      </c>
      <c r="G166">
        <f>IF(ISNUMBER($A166),INDEX($AA$6:$AA$1505,$A166-3),"")</f>
        <v/>
      </c>
      <c r="H166">
        <f>IF(ISNUMBER($A166),INDEX($U$6:$U$1505,$A166-3),"")</f>
        <v/>
      </c>
      <c r="I166">
        <f>IF(ISNUMBER($A166),INDEX($V$6:$V$1505,$A166-3),"")</f>
        <v/>
      </c>
      <c r="J166">
        <f>IF(ISNUMBER($A166),INDEX($W$6:$W$1505,$A166-3),"")</f>
        <v/>
      </c>
      <c r="K166">
        <f>IF(ISNUMBER($A166),INDEX($X$6:$X$1505,$A166-3),"")</f>
        <v/>
      </c>
      <c r="L166">
        <f>IF(ISNUMBER($A166),INDEX($Y$6:$Y$1505,$A166-3),"")</f>
        <v/>
      </c>
      <c r="O166">
        <f>164</f>
        <v/>
      </c>
      <c r="P166">
        <f>IF(TRIM('입력_구리근무자명단'!$A164&amp;"")&lt;&gt;"",TRIM('입력_구리근무자명단'!$A164&amp;""),P165)</f>
        <v/>
      </c>
      <c r="Q166">
        <f>'입력_구리근무자명단'!$B164&amp;""</f>
        <v/>
      </c>
      <c r="R166">
        <f>IF($E$2="","",TRIM(INDEX('입력_구리근무자명단'!$A164:$ZZ164,1,$E$2+IF($G$2="확정",1,0))&amp;""))</f>
        <v/>
      </c>
      <c r="S166">
        <f>IF($R166="","",IF(INDEX('입력_구리근무자명단'!$A164:$ZZ164,1,$E$2+2)&amp;""="",급여기준월,IF(ISNUMBER(INDEX('입력_구리근무자명단'!$A164:$ZZ164,1,$E$2+2)),INDEX('입력_구리근무자명단'!$A164:$ZZ164,1,$E$2+2),IFERROR(DATE(VALUE(LEFT(INDEX('입력_구리근무자명단'!$A164:$ZZ164,1,$E$2+2),4)),VALUE(MID(INDEX('입력_구리근무자명단'!$A164:$ZZ164,1,$E$2+2),6,2)),VALUE(MID(INDEX('입력_구리근무자명단'!$A164:$ZZ164,1,$E$2+2),9,2))),-1))))</f>
        <v/>
      </c>
      <c r="T166">
        <f>IF($R166="","",IF(INDEX('입력_구리근무자명단'!$A164:$ZZ164,1,$E$2+3)&amp;""="",EOMONTH(급여기준월,0),IF(ISNUMBER(INDEX('입력_구리근무자명단'!$A164:$ZZ164,1,$E$2+3)),INDEX('입력_구리근무자명단'!$A164:$ZZ164,1,$E$2+3),IFERROR(DATE(VALUE(LEFT(INDEX('입력_구리근무자명단'!$A164:$ZZ164,1,$E$2+3),4)),VALUE(MID(INDEX('입력_구리근무자명단'!$A164:$ZZ164,1,$E$2+3),6,2)),VALUE(MID(INDEX('입력_구리근무자명단'!$A164:$ZZ164,1,$E$2+3),9,2))),-1))))</f>
        <v/>
      </c>
      <c r="U166">
        <f>IF($R166="","",IF(OR($S166&lt;0,$T166&lt;0),0,MAX(0,MIN($T166,EOMONTH(급여기준월,0))-MAX($S166,급여기준월)+1)))</f>
        <v/>
      </c>
      <c r="V166">
        <f>IF($R166="","",TRIM(INDEX('입력_구리근무자명단'!$A164:$ZZ164,1,$E$2+5)&amp;""))</f>
        <v/>
      </c>
      <c r="W166">
        <f>IF(ISNUMBER(SEARCH("구리독자",$V166)),"구리독자","")</f>
        <v/>
      </c>
      <c r="X166">
        <f>IF($R166="","",$R166&amp;"|"&amp;IF(OR($Q166="인턴",ISNUMBER(SEARCH("수련교육부",$P166))),"인턴",$P166))</f>
        <v/>
      </c>
      <c r="Y166">
        <f>IF($R166="","",IF(COUNTIF(명단표[이름|과],$X166)=1,"명단 일치",IF(AND(COUNTIF(명단표[이름|과],$X166)=0,COUNTIF(명단표[이름],$R166)=1),"명단 일치(이름만, 과 다름)",IF(COUNTIF(명단표[이름],$R166)=0,IF(COUNTIF(기본자료표[이름],$R166)&gt;0,"명단에 없음(기본자료에는 있음)","명단에 없음"),"동명이인 확인"))))</f>
        <v/>
      </c>
      <c r="Z166">
        <f>IF($R166="","",IF($S166&lt;0,"⚠"&amp;INDEX('입력_구리근무자명단'!$A164:$ZZ164,1,$E$2+2),TEXT($S166,"yyyy-mm-dd")))</f>
        <v/>
      </c>
      <c r="AA166">
        <f>IF($R166="","",IF($T166&lt;0,"⚠"&amp;INDEX('입력_구리근무자명단'!$A164:$ZZ164,1,$E$2+3),TEXT($T166,"yyyy-mm-dd")))</f>
        <v/>
      </c>
      <c r="AB166">
        <f>AB165+IF($R166="",0,1)</f>
        <v/>
      </c>
      <c r="AC166">
        <f>IF($R166="","",$AB166)</f>
        <v/>
      </c>
    </row>
    <row r="167">
      <c r="A167">
        <f>IFERROR(INDEX($O$6:$O$1505,MATCH(162,$AC$6:$AC$1505,0)),"")</f>
        <v/>
      </c>
      <c r="B167">
        <f>IF(ISNUMBER($A167),INDEX($P$6:$P$1505,$A167-3),"")</f>
        <v/>
      </c>
      <c r="C167">
        <f>IF(ISNUMBER($A167),INDEX($Q$6:$Q$1505,$A167-3),"")</f>
        <v/>
      </c>
      <c r="D167">
        <f>IF(ISNUMBER($A167),INDEX($R$6:$R$1505,$A167-3),"")</f>
        <v/>
      </c>
      <c r="E167">
        <f>IF(ISNUMBER($A167),$G$2,"")</f>
        <v/>
      </c>
      <c r="F167">
        <f>IF(ISNUMBER($A167),INDEX($Z$6:$Z$1505,$A167-3),"")</f>
        <v/>
      </c>
      <c r="G167">
        <f>IF(ISNUMBER($A167),INDEX($AA$6:$AA$1505,$A167-3),"")</f>
        <v/>
      </c>
      <c r="H167">
        <f>IF(ISNUMBER($A167),INDEX($U$6:$U$1505,$A167-3),"")</f>
        <v/>
      </c>
      <c r="I167">
        <f>IF(ISNUMBER($A167),INDEX($V$6:$V$1505,$A167-3),"")</f>
        <v/>
      </c>
      <c r="J167">
        <f>IF(ISNUMBER($A167),INDEX($W$6:$W$1505,$A167-3),"")</f>
        <v/>
      </c>
      <c r="K167">
        <f>IF(ISNUMBER($A167),INDEX($X$6:$X$1505,$A167-3),"")</f>
        <v/>
      </c>
      <c r="L167">
        <f>IF(ISNUMBER($A167),INDEX($Y$6:$Y$1505,$A167-3),"")</f>
        <v/>
      </c>
      <c r="O167">
        <f>165</f>
        <v/>
      </c>
      <c r="P167">
        <f>IF(TRIM('입력_구리근무자명단'!$A165&amp;"")&lt;&gt;"",TRIM('입력_구리근무자명단'!$A165&amp;""),P166)</f>
        <v/>
      </c>
      <c r="Q167">
        <f>'입력_구리근무자명단'!$B165&amp;""</f>
        <v/>
      </c>
      <c r="R167">
        <f>IF($E$2="","",TRIM(INDEX('입력_구리근무자명단'!$A165:$ZZ165,1,$E$2+IF($G$2="확정",1,0))&amp;""))</f>
        <v/>
      </c>
      <c r="S167">
        <f>IF($R167="","",IF(INDEX('입력_구리근무자명단'!$A165:$ZZ165,1,$E$2+2)&amp;""="",급여기준월,IF(ISNUMBER(INDEX('입력_구리근무자명단'!$A165:$ZZ165,1,$E$2+2)),INDEX('입력_구리근무자명단'!$A165:$ZZ165,1,$E$2+2),IFERROR(DATE(VALUE(LEFT(INDEX('입력_구리근무자명단'!$A165:$ZZ165,1,$E$2+2),4)),VALUE(MID(INDEX('입력_구리근무자명단'!$A165:$ZZ165,1,$E$2+2),6,2)),VALUE(MID(INDEX('입력_구리근무자명단'!$A165:$ZZ165,1,$E$2+2),9,2))),-1))))</f>
        <v/>
      </c>
      <c r="T167">
        <f>IF($R167="","",IF(INDEX('입력_구리근무자명단'!$A165:$ZZ165,1,$E$2+3)&amp;""="",EOMONTH(급여기준월,0),IF(ISNUMBER(INDEX('입력_구리근무자명단'!$A165:$ZZ165,1,$E$2+3)),INDEX('입력_구리근무자명단'!$A165:$ZZ165,1,$E$2+3),IFERROR(DATE(VALUE(LEFT(INDEX('입력_구리근무자명단'!$A165:$ZZ165,1,$E$2+3),4)),VALUE(MID(INDEX('입력_구리근무자명단'!$A165:$ZZ165,1,$E$2+3),6,2)),VALUE(MID(INDEX('입력_구리근무자명단'!$A165:$ZZ165,1,$E$2+3),9,2))),-1))))</f>
        <v/>
      </c>
      <c r="U167">
        <f>IF($R167="","",IF(OR($S167&lt;0,$T167&lt;0),0,MAX(0,MIN($T167,EOMONTH(급여기준월,0))-MAX($S167,급여기준월)+1)))</f>
        <v/>
      </c>
      <c r="V167">
        <f>IF($R167="","",TRIM(INDEX('입력_구리근무자명단'!$A165:$ZZ165,1,$E$2+5)&amp;""))</f>
        <v/>
      </c>
      <c r="W167">
        <f>IF(ISNUMBER(SEARCH("구리독자",$V167)),"구리독자","")</f>
        <v/>
      </c>
      <c r="X167">
        <f>IF($R167="","",$R167&amp;"|"&amp;IF(OR($Q167="인턴",ISNUMBER(SEARCH("수련교육부",$P167))),"인턴",$P167))</f>
        <v/>
      </c>
      <c r="Y167">
        <f>IF($R167="","",IF(COUNTIF(명단표[이름|과],$X167)=1,"명단 일치",IF(AND(COUNTIF(명단표[이름|과],$X167)=0,COUNTIF(명단표[이름],$R167)=1),"명단 일치(이름만, 과 다름)",IF(COUNTIF(명단표[이름],$R167)=0,IF(COUNTIF(기본자료표[이름],$R167)&gt;0,"명단에 없음(기본자료에는 있음)","명단에 없음"),"동명이인 확인"))))</f>
        <v/>
      </c>
      <c r="Z167">
        <f>IF($R167="","",IF($S167&lt;0,"⚠"&amp;INDEX('입력_구리근무자명단'!$A165:$ZZ165,1,$E$2+2),TEXT($S167,"yyyy-mm-dd")))</f>
        <v/>
      </c>
      <c r="AA167">
        <f>IF($R167="","",IF($T167&lt;0,"⚠"&amp;INDEX('입력_구리근무자명단'!$A165:$ZZ165,1,$E$2+3),TEXT($T167,"yyyy-mm-dd")))</f>
        <v/>
      </c>
      <c r="AB167">
        <f>AB166+IF($R167="",0,1)</f>
        <v/>
      </c>
      <c r="AC167">
        <f>IF($R167="","",$AB167)</f>
        <v/>
      </c>
    </row>
    <row r="168">
      <c r="A168">
        <f>IFERROR(INDEX($O$6:$O$1505,MATCH(163,$AC$6:$AC$1505,0)),"")</f>
        <v/>
      </c>
      <c r="B168">
        <f>IF(ISNUMBER($A168),INDEX($P$6:$P$1505,$A168-3),"")</f>
        <v/>
      </c>
      <c r="C168">
        <f>IF(ISNUMBER($A168),INDEX($Q$6:$Q$1505,$A168-3),"")</f>
        <v/>
      </c>
      <c r="D168">
        <f>IF(ISNUMBER($A168),INDEX($R$6:$R$1505,$A168-3),"")</f>
        <v/>
      </c>
      <c r="E168">
        <f>IF(ISNUMBER($A168),$G$2,"")</f>
        <v/>
      </c>
      <c r="F168">
        <f>IF(ISNUMBER($A168),INDEX($Z$6:$Z$1505,$A168-3),"")</f>
        <v/>
      </c>
      <c r="G168">
        <f>IF(ISNUMBER($A168),INDEX($AA$6:$AA$1505,$A168-3),"")</f>
        <v/>
      </c>
      <c r="H168">
        <f>IF(ISNUMBER($A168),INDEX($U$6:$U$1505,$A168-3),"")</f>
        <v/>
      </c>
      <c r="I168">
        <f>IF(ISNUMBER($A168),INDEX($V$6:$V$1505,$A168-3),"")</f>
        <v/>
      </c>
      <c r="J168">
        <f>IF(ISNUMBER($A168),INDEX($W$6:$W$1505,$A168-3),"")</f>
        <v/>
      </c>
      <c r="K168">
        <f>IF(ISNUMBER($A168),INDEX($X$6:$X$1505,$A168-3),"")</f>
        <v/>
      </c>
      <c r="L168">
        <f>IF(ISNUMBER($A168),INDEX($Y$6:$Y$1505,$A168-3),"")</f>
        <v/>
      </c>
      <c r="O168">
        <f>166</f>
        <v/>
      </c>
      <c r="P168">
        <f>IF(TRIM('입력_구리근무자명단'!$A166&amp;"")&lt;&gt;"",TRIM('입력_구리근무자명단'!$A166&amp;""),P167)</f>
        <v/>
      </c>
      <c r="Q168">
        <f>'입력_구리근무자명단'!$B166&amp;""</f>
        <v/>
      </c>
      <c r="R168">
        <f>IF($E$2="","",TRIM(INDEX('입력_구리근무자명단'!$A166:$ZZ166,1,$E$2+IF($G$2="확정",1,0))&amp;""))</f>
        <v/>
      </c>
      <c r="S168">
        <f>IF($R168="","",IF(INDEX('입력_구리근무자명단'!$A166:$ZZ166,1,$E$2+2)&amp;""="",급여기준월,IF(ISNUMBER(INDEX('입력_구리근무자명단'!$A166:$ZZ166,1,$E$2+2)),INDEX('입력_구리근무자명단'!$A166:$ZZ166,1,$E$2+2),IFERROR(DATE(VALUE(LEFT(INDEX('입력_구리근무자명단'!$A166:$ZZ166,1,$E$2+2),4)),VALUE(MID(INDEX('입력_구리근무자명단'!$A166:$ZZ166,1,$E$2+2),6,2)),VALUE(MID(INDEX('입력_구리근무자명단'!$A166:$ZZ166,1,$E$2+2),9,2))),-1))))</f>
        <v/>
      </c>
      <c r="T168">
        <f>IF($R168="","",IF(INDEX('입력_구리근무자명단'!$A166:$ZZ166,1,$E$2+3)&amp;""="",EOMONTH(급여기준월,0),IF(ISNUMBER(INDEX('입력_구리근무자명단'!$A166:$ZZ166,1,$E$2+3)),INDEX('입력_구리근무자명단'!$A166:$ZZ166,1,$E$2+3),IFERROR(DATE(VALUE(LEFT(INDEX('입력_구리근무자명단'!$A166:$ZZ166,1,$E$2+3),4)),VALUE(MID(INDEX('입력_구리근무자명단'!$A166:$ZZ166,1,$E$2+3),6,2)),VALUE(MID(INDEX('입력_구리근무자명단'!$A166:$ZZ166,1,$E$2+3),9,2))),-1))))</f>
        <v/>
      </c>
      <c r="U168">
        <f>IF($R168="","",IF(OR($S168&lt;0,$T168&lt;0),0,MAX(0,MIN($T168,EOMONTH(급여기준월,0))-MAX($S168,급여기준월)+1)))</f>
        <v/>
      </c>
      <c r="V168">
        <f>IF($R168="","",TRIM(INDEX('입력_구리근무자명단'!$A166:$ZZ166,1,$E$2+5)&amp;""))</f>
        <v/>
      </c>
      <c r="W168">
        <f>IF(ISNUMBER(SEARCH("구리독자",$V168)),"구리독자","")</f>
        <v/>
      </c>
      <c r="X168">
        <f>IF($R168="","",$R168&amp;"|"&amp;IF(OR($Q168="인턴",ISNUMBER(SEARCH("수련교육부",$P168))),"인턴",$P168))</f>
        <v/>
      </c>
      <c r="Y168">
        <f>IF($R168="","",IF(COUNTIF(명단표[이름|과],$X168)=1,"명단 일치",IF(AND(COUNTIF(명단표[이름|과],$X168)=0,COUNTIF(명단표[이름],$R168)=1),"명단 일치(이름만, 과 다름)",IF(COUNTIF(명단표[이름],$R168)=0,IF(COUNTIF(기본자료표[이름],$R168)&gt;0,"명단에 없음(기본자료에는 있음)","명단에 없음"),"동명이인 확인"))))</f>
        <v/>
      </c>
      <c r="Z168">
        <f>IF($R168="","",IF($S168&lt;0,"⚠"&amp;INDEX('입력_구리근무자명단'!$A166:$ZZ166,1,$E$2+2),TEXT($S168,"yyyy-mm-dd")))</f>
        <v/>
      </c>
      <c r="AA168">
        <f>IF($R168="","",IF($T168&lt;0,"⚠"&amp;INDEX('입력_구리근무자명단'!$A166:$ZZ166,1,$E$2+3),TEXT($T168,"yyyy-mm-dd")))</f>
        <v/>
      </c>
      <c r="AB168">
        <f>AB167+IF($R168="",0,1)</f>
        <v/>
      </c>
      <c r="AC168">
        <f>IF($R168="","",$AB168)</f>
        <v/>
      </c>
    </row>
    <row r="169">
      <c r="A169">
        <f>IFERROR(INDEX($O$6:$O$1505,MATCH(164,$AC$6:$AC$1505,0)),"")</f>
        <v/>
      </c>
      <c r="B169">
        <f>IF(ISNUMBER($A169),INDEX($P$6:$P$1505,$A169-3),"")</f>
        <v/>
      </c>
      <c r="C169">
        <f>IF(ISNUMBER($A169),INDEX($Q$6:$Q$1505,$A169-3),"")</f>
        <v/>
      </c>
      <c r="D169">
        <f>IF(ISNUMBER($A169),INDEX($R$6:$R$1505,$A169-3),"")</f>
        <v/>
      </c>
      <c r="E169">
        <f>IF(ISNUMBER($A169),$G$2,"")</f>
        <v/>
      </c>
      <c r="F169">
        <f>IF(ISNUMBER($A169),INDEX($Z$6:$Z$1505,$A169-3),"")</f>
        <v/>
      </c>
      <c r="G169">
        <f>IF(ISNUMBER($A169),INDEX($AA$6:$AA$1505,$A169-3),"")</f>
        <v/>
      </c>
      <c r="H169">
        <f>IF(ISNUMBER($A169),INDEX($U$6:$U$1505,$A169-3),"")</f>
        <v/>
      </c>
      <c r="I169">
        <f>IF(ISNUMBER($A169),INDEX($V$6:$V$1505,$A169-3),"")</f>
        <v/>
      </c>
      <c r="J169">
        <f>IF(ISNUMBER($A169),INDEX($W$6:$W$1505,$A169-3),"")</f>
        <v/>
      </c>
      <c r="K169">
        <f>IF(ISNUMBER($A169),INDEX($X$6:$X$1505,$A169-3),"")</f>
        <v/>
      </c>
      <c r="L169">
        <f>IF(ISNUMBER($A169),INDEX($Y$6:$Y$1505,$A169-3),"")</f>
        <v/>
      </c>
      <c r="O169">
        <f>167</f>
        <v/>
      </c>
      <c r="P169">
        <f>IF(TRIM('입력_구리근무자명단'!$A167&amp;"")&lt;&gt;"",TRIM('입력_구리근무자명단'!$A167&amp;""),P168)</f>
        <v/>
      </c>
      <c r="Q169">
        <f>'입력_구리근무자명단'!$B167&amp;""</f>
        <v/>
      </c>
      <c r="R169">
        <f>IF($E$2="","",TRIM(INDEX('입력_구리근무자명단'!$A167:$ZZ167,1,$E$2+IF($G$2="확정",1,0))&amp;""))</f>
        <v/>
      </c>
      <c r="S169">
        <f>IF($R169="","",IF(INDEX('입력_구리근무자명단'!$A167:$ZZ167,1,$E$2+2)&amp;""="",급여기준월,IF(ISNUMBER(INDEX('입력_구리근무자명단'!$A167:$ZZ167,1,$E$2+2)),INDEX('입력_구리근무자명단'!$A167:$ZZ167,1,$E$2+2),IFERROR(DATE(VALUE(LEFT(INDEX('입력_구리근무자명단'!$A167:$ZZ167,1,$E$2+2),4)),VALUE(MID(INDEX('입력_구리근무자명단'!$A167:$ZZ167,1,$E$2+2),6,2)),VALUE(MID(INDEX('입력_구리근무자명단'!$A167:$ZZ167,1,$E$2+2),9,2))),-1))))</f>
        <v/>
      </c>
      <c r="T169">
        <f>IF($R169="","",IF(INDEX('입력_구리근무자명단'!$A167:$ZZ167,1,$E$2+3)&amp;""="",EOMONTH(급여기준월,0),IF(ISNUMBER(INDEX('입력_구리근무자명단'!$A167:$ZZ167,1,$E$2+3)),INDEX('입력_구리근무자명단'!$A167:$ZZ167,1,$E$2+3),IFERROR(DATE(VALUE(LEFT(INDEX('입력_구리근무자명단'!$A167:$ZZ167,1,$E$2+3),4)),VALUE(MID(INDEX('입력_구리근무자명단'!$A167:$ZZ167,1,$E$2+3),6,2)),VALUE(MID(INDEX('입력_구리근무자명단'!$A167:$ZZ167,1,$E$2+3),9,2))),-1))))</f>
        <v/>
      </c>
      <c r="U169">
        <f>IF($R169="","",IF(OR($S169&lt;0,$T169&lt;0),0,MAX(0,MIN($T169,EOMONTH(급여기준월,0))-MAX($S169,급여기준월)+1)))</f>
        <v/>
      </c>
      <c r="V169">
        <f>IF($R169="","",TRIM(INDEX('입력_구리근무자명단'!$A167:$ZZ167,1,$E$2+5)&amp;""))</f>
        <v/>
      </c>
      <c r="W169">
        <f>IF(ISNUMBER(SEARCH("구리독자",$V169)),"구리독자","")</f>
        <v/>
      </c>
      <c r="X169">
        <f>IF($R169="","",$R169&amp;"|"&amp;IF(OR($Q169="인턴",ISNUMBER(SEARCH("수련교육부",$P169))),"인턴",$P169))</f>
        <v/>
      </c>
      <c r="Y169">
        <f>IF($R169="","",IF(COUNTIF(명단표[이름|과],$X169)=1,"명단 일치",IF(AND(COUNTIF(명단표[이름|과],$X169)=0,COUNTIF(명단표[이름],$R169)=1),"명단 일치(이름만, 과 다름)",IF(COUNTIF(명단표[이름],$R169)=0,IF(COUNTIF(기본자료표[이름],$R169)&gt;0,"명단에 없음(기본자료에는 있음)","명단에 없음"),"동명이인 확인"))))</f>
        <v/>
      </c>
      <c r="Z169">
        <f>IF($R169="","",IF($S169&lt;0,"⚠"&amp;INDEX('입력_구리근무자명단'!$A167:$ZZ167,1,$E$2+2),TEXT($S169,"yyyy-mm-dd")))</f>
        <v/>
      </c>
      <c r="AA169">
        <f>IF($R169="","",IF($T169&lt;0,"⚠"&amp;INDEX('입력_구리근무자명단'!$A167:$ZZ167,1,$E$2+3),TEXT($T169,"yyyy-mm-dd")))</f>
        <v/>
      </c>
      <c r="AB169">
        <f>AB168+IF($R169="",0,1)</f>
        <v/>
      </c>
      <c r="AC169">
        <f>IF($R169="","",$AB169)</f>
        <v/>
      </c>
    </row>
    <row r="170">
      <c r="A170">
        <f>IFERROR(INDEX($O$6:$O$1505,MATCH(165,$AC$6:$AC$1505,0)),"")</f>
        <v/>
      </c>
      <c r="B170">
        <f>IF(ISNUMBER($A170),INDEX($P$6:$P$1505,$A170-3),"")</f>
        <v/>
      </c>
      <c r="C170">
        <f>IF(ISNUMBER($A170),INDEX($Q$6:$Q$1505,$A170-3),"")</f>
        <v/>
      </c>
      <c r="D170">
        <f>IF(ISNUMBER($A170),INDEX($R$6:$R$1505,$A170-3),"")</f>
        <v/>
      </c>
      <c r="E170">
        <f>IF(ISNUMBER($A170),$G$2,"")</f>
        <v/>
      </c>
      <c r="F170">
        <f>IF(ISNUMBER($A170),INDEX($Z$6:$Z$1505,$A170-3),"")</f>
        <v/>
      </c>
      <c r="G170">
        <f>IF(ISNUMBER($A170),INDEX($AA$6:$AA$1505,$A170-3),"")</f>
        <v/>
      </c>
      <c r="H170">
        <f>IF(ISNUMBER($A170),INDEX($U$6:$U$1505,$A170-3),"")</f>
        <v/>
      </c>
      <c r="I170">
        <f>IF(ISNUMBER($A170),INDEX($V$6:$V$1505,$A170-3),"")</f>
        <v/>
      </c>
      <c r="J170">
        <f>IF(ISNUMBER($A170),INDEX($W$6:$W$1505,$A170-3),"")</f>
        <v/>
      </c>
      <c r="K170">
        <f>IF(ISNUMBER($A170),INDEX($X$6:$X$1505,$A170-3),"")</f>
        <v/>
      </c>
      <c r="L170">
        <f>IF(ISNUMBER($A170),INDEX($Y$6:$Y$1505,$A170-3),"")</f>
        <v/>
      </c>
      <c r="O170">
        <f>168</f>
        <v/>
      </c>
      <c r="P170">
        <f>IF(TRIM('입력_구리근무자명단'!$A168&amp;"")&lt;&gt;"",TRIM('입력_구리근무자명단'!$A168&amp;""),P169)</f>
        <v/>
      </c>
      <c r="Q170">
        <f>'입력_구리근무자명단'!$B168&amp;""</f>
        <v/>
      </c>
      <c r="R170">
        <f>IF($E$2="","",TRIM(INDEX('입력_구리근무자명단'!$A168:$ZZ168,1,$E$2+IF($G$2="확정",1,0))&amp;""))</f>
        <v/>
      </c>
      <c r="S170">
        <f>IF($R170="","",IF(INDEX('입력_구리근무자명단'!$A168:$ZZ168,1,$E$2+2)&amp;""="",급여기준월,IF(ISNUMBER(INDEX('입력_구리근무자명단'!$A168:$ZZ168,1,$E$2+2)),INDEX('입력_구리근무자명단'!$A168:$ZZ168,1,$E$2+2),IFERROR(DATE(VALUE(LEFT(INDEX('입력_구리근무자명단'!$A168:$ZZ168,1,$E$2+2),4)),VALUE(MID(INDEX('입력_구리근무자명단'!$A168:$ZZ168,1,$E$2+2),6,2)),VALUE(MID(INDEX('입력_구리근무자명단'!$A168:$ZZ168,1,$E$2+2),9,2))),-1))))</f>
        <v/>
      </c>
      <c r="T170">
        <f>IF($R170="","",IF(INDEX('입력_구리근무자명단'!$A168:$ZZ168,1,$E$2+3)&amp;""="",EOMONTH(급여기준월,0),IF(ISNUMBER(INDEX('입력_구리근무자명단'!$A168:$ZZ168,1,$E$2+3)),INDEX('입력_구리근무자명단'!$A168:$ZZ168,1,$E$2+3),IFERROR(DATE(VALUE(LEFT(INDEX('입력_구리근무자명단'!$A168:$ZZ168,1,$E$2+3),4)),VALUE(MID(INDEX('입력_구리근무자명단'!$A168:$ZZ168,1,$E$2+3),6,2)),VALUE(MID(INDEX('입력_구리근무자명단'!$A168:$ZZ168,1,$E$2+3),9,2))),-1))))</f>
        <v/>
      </c>
      <c r="U170">
        <f>IF($R170="","",IF(OR($S170&lt;0,$T170&lt;0),0,MAX(0,MIN($T170,EOMONTH(급여기준월,0))-MAX($S170,급여기준월)+1)))</f>
        <v/>
      </c>
      <c r="V170">
        <f>IF($R170="","",TRIM(INDEX('입력_구리근무자명단'!$A168:$ZZ168,1,$E$2+5)&amp;""))</f>
        <v/>
      </c>
      <c r="W170">
        <f>IF(ISNUMBER(SEARCH("구리독자",$V170)),"구리독자","")</f>
        <v/>
      </c>
      <c r="X170">
        <f>IF($R170="","",$R170&amp;"|"&amp;IF(OR($Q170="인턴",ISNUMBER(SEARCH("수련교육부",$P170))),"인턴",$P170))</f>
        <v/>
      </c>
      <c r="Y170">
        <f>IF($R170="","",IF(COUNTIF(명단표[이름|과],$X170)=1,"명단 일치",IF(AND(COUNTIF(명단표[이름|과],$X170)=0,COUNTIF(명단표[이름],$R170)=1),"명단 일치(이름만, 과 다름)",IF(COUNTIF(명단표[이름],$R170)=0,IF(COUNTIF(기본자료표[이름],$R170)&gt;0,"명단에 없음(기본자료에는 있음)","명단에 없음"),"동명이인 확인"))))</f>
        <v/>
      </c>
      <c r="Z170">
        <f>IF($R170="","",IF($S170&lt;0,"⚠"&amp;INDEX('입력_구리근무자명단'!$A168:$ZZ168,1,$E$2+2),TEXT($S170,"yyyy-mm-dd")))</f>
        <v/>
      </c>
      <c r="AA170">
        <f>IF($R170="","",IF($T170&lt;0,"⚠"&amp;INDEX('입력_구리근무자명단'!$A168:$ZZ168,1,$E$2+3),TEXT($T170,"yyyy-mm-dd")))</f>
        <v/>
      </c>
      <c r="AB170">
        <f>AB169+IF($R170="",0,1)</f>
        <v/>
      </c>
      <c r="AC170">
        <f>IF($R170="","",$AB170)</f>
        <v/>
      </c>
    </row>
    <row r="171">
      <c r="A171">
        <f>IFERROR(INDEX($O$6:$O$1505,MATCH(166,$AC$6:$AC$1505,0)),"")</f>
        <v/>
      </c>
      <c r="B171">
        <f>IF(ISNUMBER($A171),INDEX($P$6:$P$1505,$A171-3),"")</f>
        <v/>
      </c>
      <c r="C171">
        <f>IF(ISNUMBER($A171),INDEX($Q$6:$Q$1505,$A171-3),"")</f>
        <v/>
      </c>
      <c r="D171">
        <f>IF(ISNUMBER($A171),INDEX($R$6:$R$1505,$A171-3),"")</f>
        <v/>
      </c>
      <c r="E171">
        <f>IF(ISNUMBER($A171),$G$2,"")</f>
        <v/>
      </c>
      <c r="F171">
        <f>IF(ISNUMBER($A171),INDEX($Z$6:$Z$1505,$A171-3),"")</f>
        <v/>
      </c>
      <c r="G171">
        <f>IF(ISNUMBER($A171),INDEX($AA$6:$AA$1505,$A171-3),"")</f>
        <v/>
      </c>
      <c r="H171">
        <f>IF(ISNUMBER($A171),INDEX($U$6:$U$1505,$A171-3),"")</f>
        <v/>
      </c>
      <c r="I171">
        <f>IF(ISNUMBER($A171),INDEX($V$6:$V$1505,$A171-3),"")</f>
        <v/>
      </c>
      <c r="J171">
        <f>IF(ISNUMBER($A171),INDEX($W$6:$W$1505,$A171-3),"")</f>
        <v/>
      </c>
      <c r="K171">
        <f>IF(ISNUMBER($A171),INDEX($X$6:$X$1505,$A171-3),"")</f>
        <v/>
      </c>
      <c r="L171">
        <f>IF(ISNUMBER($A171),INDEX($Y$6:$Y$1505,$A171-3),"")</f>
        <v/>
      </c>
      <c r="O171">
        <f>169</f>
        <v/>
      </c>
      <c r="P171">
        <f>IF(TRIM('입력_구리근무자명단'!$A169&amp;"")&lt;&gt;"",TRIM('입력_구리근무자명단'!$A169&amp;""),P170)</f>
        <v/>
      </c>
      <c r="Q171">
        <f>'입력_구리근무자명단'!$B169&amp;""</f>
        <v/>
      </c>
      <c r="R171">
        <f>IF($E$2="","",TRIM(INDEX('입력_구리근무자명단'!$A169:$ZZ169,1,$E$2+IF($G$2="확정",1,0))&amp;""))</f>
        <v/>
      </c>
      <c r="S171">
        <f>IF($R171="","",IF(INDEX('입력_구리근무자명단'!$A169:$ZZ169,1,$E$2+2)&amp;""="",급여기준월,IF(ISNUMBER(INDEX('입력_구리근무자명단'!$A169:$ZZ169,1,$E$2+2)),INDEX('입력_구리근무자명단'!$A169:$ZZ169,1,$E$2+2),IFERROR(DATE(VALUE(LEFT(INDEX('입력_구리근무자명단'!$A169:$ZZ169,1,$E$2+2),4)),VALUE(MID(INDEX('입력_구리근무자명단'!$A169:$ZZ169,1,$E$2+2),6,2)),VALUE(MID(INDEX('입력_구리근무자명단'!$A169:$ZZ169,1,$E$2+2),9,2))),-1))))</f>
        <v/>
      </c>
      <c r="T171">
        <f>IF($R171="","",IF(INDEX('입력_구리근무자명단'!$A169:$ZZ169,1,$E$2+3)&amp;""="",EOMONTH(급여기준월,0),IF(ISNUMBER(INDEX('입력_구리근무자명단'!$A169:$ZZ169,1,$E$2+3)),INDEX('입력_구리근무자명단'!$A169:$ZZ169,1,$E$2+3),IFERROR(DATE(VALUE(LEFT(INDEX('입력_구리근무자명단'!$A169:$ZZ169,1,$E$2+3),4)),VALUE(MID(INDEX('입력_구리근무자명단'!$A169:$ZZ169,1,$E$2+3),6,2)),VALUE(MID(INDEX('입력_구리근무자명단'!$A169:$ZZ169,1,$E$2+3),9,2))),-1))))</f>
        <v/>
      </c>
      <c r="U171">
        <f>IF($R171="","",IF(OR($S171&lt;0,$T171&lt;0),0,MAX(0,MIN($T171,EOMONTH(급여기준월,0))-MAX($S171,급여기준월)+1)))</f>
        <v/>
      </c>
      <c r="V171">
        <f>IF($R171="","",TRIM(INDEX('입력_구리근무자명단'!$A169:$ZZ169,1,$E$2+5)&amp;""))</f>
        <v/>
      </c>
      <c r="W171">
        <f>IF(ISNUMBER(SEARCH("구리독자",$V171)),"구리독자","")</f>
        <v/>
      </c>
      <c r="X171">
        <f>IF($R171="","",$R171&amp;"|"&amp;IF(OR($Q171="인턴",ISNUMBER(SEARCH("수련교육부",$P171))),"인턴",$P171))</f>
        <v/>
      </c>
      <c r="Y171">
        <f>IF($R171="","",IF(COUNTIF(명단표[이름|과],$X171)=1,"명단 일치",IF(AND(COUNTIF(명단표[이름|과],$X171)=0,COUNTIF(명단표[이름],$R171)=1),"명단 일치(이름만, 과 다름)",IF(COUNTIF(명단표[이름],$R171)=0,IF(COUNTIF(기본자료표[이름],$R171)&gt;0,"명단에 없음(기본자료에는 있음)","명단에 없음"),"동명이인 확인"))))</f>
        <v/>
      </c>
      <c r="Z171">
        <f>IF($R171="","",IF($S171&lt;0,"⚠"&amp;INDEX('입력_구리근무자명단'!$A169:$ZZ169,1,$E$2+2),TEXT($S171,"yyyy-mm-dd")))</f>
        <v/>
      </c>
      <c r="AA171">
        <f>IF($R171="","",IF($T171&lt;0,"⚠"&amp;INDEX('입력_구리근무자명단'!$A169:$ZZ169,1,$E$2+3),TEXT($T171,"yyyy-mm-dd")))</f>
        <v/>
      </c>
      <c r="AB171">
        <f>AB170+IF($R171="",0,1)</f>
        <v/>
      </c>
      <c r="AC171">
        <f>IF($R171="","",$AB171)</f>
        <v/>
      </c>
    </row>
    <row r="172">
      <c r="A172">
        <f>IFERROR(INDEX($O$6:$O$1505,MATCH(167,$AC$6:$AC$1505,0)),"")</f>
        <v/>
      </c>
      <c r="B172">
        <f>IF(ISNUMBER($A172),INDEX($P$6:$P$1505,$A172-3),"")</f>
        <v/>
      </c>
      <c r="C172">
        <f>IF(ISNUMBER($A172),INDEX($Q$6:$Q$1505,$A172-3),"")</f>
        <v/>
      </c>
      <c r="D172">
        <f>IF(ISNUMBER($A172),INDEX($R$6:$R$1505,$A172-3),"")</f>
        <v/>
      </c>
      <c r="E172">
        <f>IF(ISNUMBER($A172),$G$2,"")</f>
        <v/>
      </c>
      <c r="F172">
        <f>IF(ISNUMBER($A172),INDEX($Z$6:$Z$1505,$A172-3),"")</f>
        <v/>
      </c>
      <c r="G172">
        <f>IF(ISNUMBER($A172),INDEX($AA$6:$AA$1505,$A172-3),"")</f>
        <v/>
      </c>
      <c r="H172">
        <f>IF(ISNUMBER($A172),INDEX($U$6:$U$1505,$A172-3),"")</f>
        <v/>
      </c>
      <c r="I172">
        <f>IF(ISNUMBER($A172),INDEX($V$6:$V$1505,$A172-3),"")</f>
        <v/>
      </c>
      <c r="J172">
        <f>IF(ISNUMBER($A172),INDEX($W$6:$W$1505,$A172-3),"")</f>
        <v/>
      </c>
      <c r="K172">
        <f>IF(ISNUMBER($A172),INDEX($X$6:$X$1505,$A172-3),"")</f>
        <v/>
      </c>
      <c r="L172">
        <f>IF(ISNUMBER($A172),INDEX($Y$6:$Y$1505,$A172-3),"")</f>
        <v/>
      </c>
      <c r="O172">
        <f>170</f>
        <v/>
      </c>
      <c r="P172">
        <f>IF(TRIM('입력_구리근무자명단'!$A170&amp;"")&lt;&gt;"",TRIM('입력_구리근무자명단'!$A170&amp;""),P171)</f>
        <v/>
      </c>
      <c r="Q172">
        <f>'입력_구리근무자명단'!$B170&amp;""</f>
        <v/>
      </c>
      <c r="R172">
        <f>IF($E$2="","",TRIM(INDEX('입력_구리근무자명단'!$A170:$ZZ170,1,$E$2+IF($G$2="확정",1,0))&amp;""))</f>
        <v/>
      </c>
      <c r="S172">
        <f>IF($R172="","",IF(INDEX('입력_구리근무자명단'!$A170:$ZZ170,1,$E$2+2)&amp;""="",급여기준월,IF(ISNUMBER(INDEX('입력_구리근무자명단'!$A170:$ZZ170,1,$E$2+2)),INDEX('입력_구리근무자명단'!$A170:$ZZ170,1,$E$2+2),IFERROR(DATE(VALUE(LEFT(INDEX('입력_구리근무자명단'!$A170:$ZZ170,1,$E$2+2),4)),VALUE(MID(INDEX('입력_구리근무자명단'!$A170:$ZZ170,1,$E$2+2),6,2)),VALUE(MID(INDEX('입력_구리근무자명단'!$A170:$ZZ170,1,$E$2+2),9,2))),-1))))</f>
        <v/>
      </c>
      <c r="T172">
        <f>IF($R172="","",IF(INDEX('입력_구리근무자명단'!$A170:$ZZ170,1,$E$2+3)&amp;""="",EOMONTH(급여기준월,0),IF(ISNUMBER(INDEX('입력_구리근무자명단'!$A170:$ZZ170,1,$E$2+3)),INDEX('입력_구리근무자명단'!$A170:$ZZ170,1,$E$2+3),IFERROR(DATE(VALUE(LEFT(INDEX('입력_구리근무자명단'!$A170:$ZZ170,1,$E$2+3),4)),VALUE(MID(INDEX('입력_구리근무자명단'!$A170:$ZZ170,1,$E$2+3),6,2)),VALUE(MID(INDEX('입력_구리근무자명단'!$A170:$ZZ170,1,$E$2+3),9,2))),-1))))</f>
        <v/>
      </c>
      <c r="U172">
        <f>IF($R172="","",IF(OR($S172&lt;0,$T172&lt;0),0,MAX(0,MIN($T172,EOMONTH(급여기준월,0))-MAX($S172,급여기준월)+1)))</f>
        <v/>
      </c>
      <c r="V172">
        <f>IF($R172="","",TRIM(INDEX('입력_구리근무자명단'!$A170:$ZZ170,1,$E$2+5)&amp;""))</f>
        <v/>
      </c>
      <c r="W172">
        <f>IF(ISNUMBER(SEARCH("구리독자",$V172)),"구리독자","")</f>
        <v/>
      </c>
      <c r="X172">
        <f>IF($R172="","",$R172&amp;"|"&amp;IF(OR($Q172="인턴",ISNUMBER(SEARCH("수련교육부",$P172))),"인턴",$P172))</f>
        <v/>
      </c>
      <c r="Y172">
        <f>IF($R172="","",IF(COUNTIF(명단표[이름|과],$X172)=1,"명단 일치",IF(AND(COUNTIF(명단표[이름|과],$X172)=0,COUNTIF(명단표[이름],$R172)=1),"명단 일치(이름만, 과 다름)",IF(COUNTIF(명단표[이름],$R172)=0,IF(COUNTIF(기본자료표[이름],$R172)&gt;0,"명단에 없음(기본자료에는 있음)","명단에 없음"),"동명이인 확인"))))</f>
        <v/>
      </c>
      <c r="Z172">
        <f>IF($R172="","",IF($S172&lt;0,"⚠"&amp;INDEX('입력_구리근무자명단'!$A170:$ZZ170,1,$E$2+2),TEXT($S172,"yyyy-mm-dd")))</f>
        <v/>
      </c>
      <c r="AA172">
        <f>IF($R172="","",IF($T172&lt;0,"⚠"&amp;INDEX('입력_구리근무자명단'!$A170:$ZZ170,1,$E$2+3),TEXT($T172,"yyyy-mm-dd")))</f>
        <v/>
      </c>
      <c r="AB172">
        <f>AB171+IF($R172="",0,1)</f>
        <v/>
      </c>
      <c r="AC172">
        <f>IF($R172="","",$AB172)</f>
        <v/>
      </c>
    </row>
    <row r="173">
      <c r="A173">
        <f>IFERROR(INDEX($O$6:$O$1505,MATCH(168,$AC$6:$AC$1505,0)),"")</f>
        <v/>
      </c>
      <c r="B173">
        <f>IF(ISNUMBER($A173),INDEX($P$6:$P$1505,$A173-3),"")</f>
        <v/>
      </c>
      <c r="C173">
        <f>IF(ISNUMBER($A173),INDEX($Q$6:$Q$1505,$A173-3),"")</f>
        <v/>
      </c>
      <c r="D173">
        <f>IF(ISNUMBER($A173),INDEX($R$6:$R$1505,$A173-3),"")</f>
        <v/>
      </c>
      <c r="E173">
        <f>IF(ISNUMBER($A173),$G$2,"")</f>
        <v/>
      </c>
      <c r="F173">
        <f>IF(ISNUMBER($A173),INDEX($Z$6:$Z$1505,$A173-3),"")</f>
        <v/>
      </c>
      <c r="G173">
        <f>IF(ISNUMBER($A173),INDEX($AA$6:$AA$1505,$A173-3),"")</f>
        <v/>
      </c>
      <c r="H173">
        <f>IF(ISNUMBER($A173),INDEX($U$6:$U$1505,$A173-3),"")</f>
        <v/>
      </c>
      <c r="I173">
        <f>IF(ISNUMBER($A173),INDEX($V$6:$V$1505,$A173-3),"")</f>
        <v/>
      </c>
      <c r="J173">
        <f>IF(ISNUMBER($A173),INDEX($W$6:$W$1505,$A173-3),"")</f>
        <v/>
      </c>
      <c r="K173">
        <f>IF(ISNUMBER($A173),INDEX($X$6:$X$1505,$A173-3),"")</f>
        <v/>
      </c>
      <c r="L173">
        <f>IF(ISNUMBER($A173),INDEX($Y$6:$Y$1505,$A173-3),"")</f>
        <v/>
      </c>
      <c r="O173">
        <f>171</f>
        <v/>
      </c>
      <c r="P173">
        <f>IF(TRIM('입력_구리근무자명단'!$A171&amp;"")&lt;&gt;"",TRIM('입력_구리근무자명단'!$A171&amp;""),P172)</f>
        <v/>
      </c>
      <c r="Q173">
        <f>'입력_구리근무자명단'!$B171&amp;""</f>
        <v/>
      </c>
      <c r="R173">
        <f>IF($E$2="","",TRIM(INDEX('입력_구리근무자명단'!$A171:$ZZ171,1,$E$2+IF($G$2="확정",1,0))&amp;""))</f>
        <v/>
      </c>
      <c r="S173">
        <f>IF($R173="","",IF(INDEX('입력_구리근무자명단'!$A171:$ZZ171,1,$E$2+2)&amp;""="",급여기준월,IF(ISNUMBER(INDEX('입력_구리근무자명단'!$A171:$ZZ171,1,$E$2+2)),INDEX('입력_구리근무자명단'!$A171:$ZZ171,1,$E$2+2),IFERROR(DATE(VALUE(LEFT(INDEX('입력_구리근무자명단'!$A171:$ZZ171,1,$E$2+2),4)),VALUE(MID(INDEX('입력_구리근무자명단'!$A171:$ZZ171,1,$E$2+2),6,2)),VALUE(MID(INDEX('입력_구리근무자명단'!$A171:$ZZ171,1,$E$2+2),9,2))),-1))))</f>
        <v/>
      </c>
      <c r="T173">
        <f>IF($R173="","",IF(INDEX('입력_구리근무자명단'!$A171:$ZZ171,1,$E$2+3)&amp;""="",EOMONTH(급여기준월,0),IF(ISNUMBER(INDEX('입력_구리근무자명단'!$A171:$ZZ171,1,$E$2+3)),INDEX('입력_구리근무자명단'!$A171:$ZZ171,1,$E$2+3),IFERROR(DATE(VALUE(LEFT(INDEX('입력_구리근무자명단'!$A171:$ZZ171,1,$E$2+3),4)),VALUE(MID(INDEX('입력_구리근무자명단'!$A171:$ZZ171,1,$E$2+3),6,2)),VALUE(MID(INDEX('입력_구리근무자명단'!$A171:$ZZ171,1,$E$2+3),9,2))),-1))))</f>
        <v/>
      </c>
      <c r="U173">
        <f>IF($R173="","",IF(OR($S173&lt;0,$T173&lt;0),0,MAX(0,MIN($T173,EOMONTH(급여기준월,0))-MAX($S173,급여기준월)+1)))</f>
        <v/>
      </c>
      <c r="V173">
        <f>IF($R173="","",TRIM(INDEX('입력_구리근무자명단'!$A171:$ZZ171,1,$E$2+5)&amp;""))</f>
        <v/>
      </c>
      <c r="W173">
        <f>IF(ISNUMBER(SEARCH("구리독자",$V173)),"구리독자","")</f>
        <v/>
      </c>
      <c r="X173">
        <f>IF($R173="","",$R173&amp;"|"&amp;IF(OR($Q173="인턴",ISNUMBER(SEARCH("수련교육부",$P173))),"인턴",$P173))</f>
        <v/>
      </c>
      <c r="Y173">
        <f>IF($R173="","",IF(COUNTIF(명단표[이름|과],$X173)=1,"명단 일치",IF(AND(COUNTIF(명단표[이름|과],$X173)=0,COUNTIF(명단표[이름],$R173)=1),"명단 일치(이름만, 과 다름)",IF(COUNTIF(명단표[이름],$R173)=0,IF(COUNTIF(기본자료표[이름],$R173)&gt;0,"명단에 없음(기본자료에는 있음)","명단에 없음"),"동명이인 확인"))))</f>
        <v/>
      </c>
      <c r="Z173">
        <f>IF($R173="","",IF($S173&lt;0,"⚠"&amp;INDEX('입력_구리근무자명단'!$A171:$ZZ171,1,$E$2+2),TEXT($S173,"yyyy-mm-dd")))</f>
        <v/>
      </c>
      <c r="AA173">
        <f>IF($R173="","",IF($T173&lt;0,"⚠"&amp;INDEX('입력_구리근무자명단'!$A171:$ZZ171,1,$E$2+3),TEXT($T173,"yyyy-mm-dd")))</f>
        <v/>
      </c>
      <c r="AB173">
        <f>AB172+IF($R173="",0,1)</f>
        <v/>
      </c>
      <c r="AC173">
        <f>IF($R173="","",$AB173)</f>
        <v/>
      </c>
    </row>
    <row r="174">
      <c r="A174">
        <f>IFERROR(INDEX($O$6:$O$1505,MATCH(169,$AC$6:$AC$1505,0)),"")</f>
        <v/>
      </c>
      <c r="B174">
        <f>IF(ISNUMBER($A174),INDEX($P$6:$P$1505,$A174-3),"")</f>
        <v/>
      </c>
      <c r="C174">
        <f>IF(ISNUMBER($A174),INDEX($Q$6:$Q$1505,$A174-3),"")</f>
        <v/>
      </c>
      <c r="D174">
        <f>IF(ISNUMBER($A174),INDEX($R$6:$R$1505,$A174-3),"")</f>
        <v/>
      </c>
      <c r="E174">
        <f>IF(ISNUMBER($A174),$G$2,"")</f>
        <v/>
      </c>
      <c r="F174">
        <f>IF(ISNUMBER($A174),INDEX($Z$6:$Z$1505,$A174-3),"")</f>
        <v/>
      </c>
      <c r="G174">
        <f>IF(ISNUMBER($A174),INDEX($AA$6:$AA$1505,$A174-3),"")</f>
        <v/>
      </c>
      <c r="H174">
        <f>IF(ISNUMBER($A174),INDEX($U$6:$U$1505,$A174-3),"")</f>
        <v/>
      </c>
      <c r="I174">
        <f>IF(ISNUMBER($A174),INDEX($V$6:$V$1505,$A174-3),"")</f>
        <v/>
      </c>
      <c r="J174">
        <f>IF(ISNUMBER($A174),INDEX($W$6:$W$1505,$A174-3),"")</f>
        <v/>
      </c>
      <c r="K174">
        <f>IF(ISNUMBER($A174),INDEX($X$6:$X$1505,$A174-3),"")</f>
        <v/>
      </c>
      <c r="L174">
        <f>IF(ISNUMBER($A174),INDEX($Y$6:$Y$1505,$A174-3),"")</f>
        <v/>
      </c>
      <c r="O174">
        <f>172</f>
        <v/>
      </c>
      <c r="P174">
        <f>IF(TRIM('입력_구리근무자명단'!$A172&amp;"")&lt;&gt;"",TRIM('입력_구리근무자명단'!$A172&amp;""),P173)</f>
        <v/>
      </c>
      <c r="Q174">
        <f>'입력_구리근무자명단'!$B172&amp;""</f>
        <v/>
      </c>
      <c r="R174">
        <f>IF($E$2="","",TRIM(INDEX('입력_구리근무자명단'!$A172:$ZZ172,1,$E$2+IF($G$2="확정",1,0))&amp;""))</f>
        <v/>
      </c>
      <c r="S174">
        <f>IF($R174="","",IF(INDEX('입력_구리근무자명단'!$A172:$ZZ172,1,$E$2+2)&amp;""="",급여기준월,IF(ISNUMBER(INDEX('입력_구리근무자명단'!$A172:$ZZ172,1,$E$2+2)),INDEX('입력_구리근무자명단'!$A172:$ZZ172,1,$E$2+2),IFERROR(DATE(VALUE(LEFT(INDEX('입력_구리근무자명단'!$A172:$ZZ172,1,$E$2+2),4)),VALUE(MID(INDEX('입력_구리근무자명단'!$A172:$ZZ172,1,$E$2+2),6,2)),VALUE(MID(INDEX('입력_구리근무자명단'!$A172:$ZZ172,1,$E$2+2),9,2))),-1))))</f>
        <v/>
      </c>
      <c r="T174">
        <f>IF($R174="","",IF(INDEX('입력_구리근무자명단'!$A172:$ZZ172,1,$E$2+3)&amp;""="",EOMONTH(급여기준월,0),IF(ISNUMBER(INDEX('입력_구리근무자명단'!$A172:$ZZ172,1,$E$2+3)),INDEX('입력_구리근무자명단'!$A172:$ZZ172,1,$E$2+3),IFERROR(DATE(VALUE(LEFT(INDEX('입력_구리근무자명단'!$A172:$ZZ172,1,$E$2+3),4)),VALUE(MID(INDEX('입력_구리근무자명단'!$A172:$ZZ172,1,$E$2+3),6,2)),VALUE(MID(INDEX('입력_구리근무자명단'!$A172:$ZZ172,1,$E$2+3),9,2))),-1))))</f>
        <v/>
      </c>
      <c r="U174">
        <f>IF($R174="","",IF(OR($S174&lt;0,$T174&lt;0),0,MAX(0,MIN($T174,EOMONTH(급여기준월,0))-MAX($S174,급여기준월)+1)))</f>
        <v/>
      </c>
      <c r="V174">
        <f>IF($R174="","",TRIM(INDEX('입력_구리근무자명단'!$A172:$ZZ172,1,$E$2+5)&amp;""))</f>
        <v/>
      </c>
      <c r="W174">
        <f>IF(ISNUMBER(SEARCH("구리독자",$V174)),"구리독자","")</f>
        <v/>
      </c>
      <c r="X174">
        <f>IF($R174="","",$R174&amp;"|"&amp;IF(OR($Q174="인턴",ISNUMBER(SEARCH("수련교육부",$P174))),"인턴",$P174))</f>
        <v/>
      </c>
      <c r="Y174">
        <f>IF($R174="","",IF(COUNTIF(명단표[이름|과],$X174)=1,"명단 일치",IF(AND(COUNTIF(명단표[이름|과],$X174)=0,COUNTIF(명단표[이름],$R174)=1),"명단 일치(이름만, 과 다름)",IF(COUNTIF(명단표[이름],$R174)=0,IF(COUNTIF(기본자료표[이름],$R174)&gt;0,"명단에 없음(기본자료에는 있음)","명단에 없음"),"동명이인 확인"))))</f>
        <v/>
      </c>
      <c r="Z174">
        <f>IF($R174="","",IF($S174&lt;0,"⚠"&amp;INDEX('입력_구리근무자명단'!$A172:$ZZ172,1,$E$2+2),TEXT($S174,"yyyy-mm-dd")))</f>
        <v/>
      </c>
      <c r="AA174">
        <f>IF($R174="","",IF($T174&lt;0,"⚠"&amp;INDEX('입력_구리근무자명단'!$A172:$ZZ172,1,$E$2+3),TEXT($T174,"yyyy-mm-dd")))</f>
        <v/>
      </c>
      <c r="AB174">
        <f>AB173+IF($R174="",0,1)</f>
        <v/>
      </c>
      <c r="AC174">
        <f>IF($R174="","",$AB174)</f>
        <v/>
      </c>
    </row>
    <row r="175">
      <c r="A175">
        <f>IFERROR(INDEX($O$6:$O$1505,MATCH(170,$AC$6:$AC$1505,0)),"")</f>
        <v/>
      </c>
      <c r="B175">
        <f>IF(ISNUMBER($A175),INDEX($P$6:$P$1505,$A175-3),"")</f>
        <v/>
      </c>
      <c r="C175">
        <f>IF(ISNUMBER($A175),INDEX($Q$6:$Q$1505,$A175-3),"")</f>
        <v/>
      </c>
      <c r="D175">
        <f>IF(ISNUMBER($A175),INDEX($R$6:$R$1505,$A175-3),"")</f>
        <v/>
      </c>
      <c r="E175">
        <f>IF(ISNUMBER($A175),$G$2,"")</f>
        <v/>
      </c>
      <c r="F175">
        <f>IF(ISNUMBER($A175),INDEX($Z$6:$Z$1505,$A175-3),"")</f>
        <v/>
      </c>
      <c r="G175">
        <f>IF(ISNUMBER($A175),INDEX($AA$6:$AA$1505,$A175-3),"")</f>
        <v/>
      </c>
      <c r="H175">
        <f>IF(ISNUMBER($A175),INDEX($U$6:$U$1505,$A175-3),"")</f>
        <v/>
      </c>
      <c r="I175">
        <f>IF(ISNUMBER($A175),INDEX($V$6:$V$1505,$A175-3),"")</f>
        <v/>
      </c>
      <c r="J175">
        <f>IF(ISNUMBER($A175),INDEX($W$6:$W$1505,$A175-3),"")</f>
        <v/>
      </c>
      <c r="K175">
        <f>IF(ISNUMBER($A175),INDEX($X$6:$X$1505,$A175-3),"")</f>
        <v/>
      </c>
      <c r="L175">
        <f>IF(ISNUMBER($A175),INDEX($Y$6:$Y$1505,$A175-3),"")</f>
        <v/>
      </c>
      <c r="O175">
        <f>173</f>
        <v/>
      </c>
      <c r="P175">
        <f>IF(TRIM('입력_구리근무자명단'!$A173&amp;"")&lt;&gt;"",TRIM('입력_구리근무자명단'!$A173&amp;""),P174)</f>
        <v/>
      </c>
      <c r="Q175">
        <f>'입력_구리근무자명단'!$B173&amp;""</f>
        <v/>
      </c>
      <c r="R175">
        <f>IF($E$2="","",TRIM(INDEX('입력_구리근무자명단'!$A173:$ZZ173,1,$E$2+IF($G$2="확정",1,0))&amp;""))</f>
        <v/>
      </c>
      <c r="S175">
        <f>IF($R175="","",IF(INDEX('입력_구리근무자명단'!$A173:$ZZ173,1,$E$2+2)&amp;""="",급여기준월,IF(ISNUMBER(INDEX('입력_구리근무자명단'!$A173:$ZZ173,1,$E$2+2)),INDEX('입력_구리근무자명단'!$A173:$ZZ173,1,$E$2+2),IFERROR(DATE(VALUE(LEFT(INDEX('입력_구리근무자명단'!$A173:$ZZ173,1,$E$2+2),4)),VALUE(MID(INDEX('입력_구리근무자명단'!$A173:$ZZ173,1,$E$2+2),6,2)),VALUE(MID(INDEX('입력_구리근무자명단'!$A173:$ZZ173,1,$E$2+2),9,2))),-1))))</f>
        <v/>
      </c>
      <c r="T175">
        <f>IF($R175="","",IF(INDEX('입력_구리근무자명단'!$A173:$ZZ173,1,$E$2+3)&amp;""="",EOMONTH(급여기준월,0),IF(ISNUMBER(INDEX('입력_구리근무자명단'!$A173:$ZZ173,1,$E$2+3)),INDEX('입력_구리근무자명단'!$A173:$ZZ173,1,$E$2+3),IFERROR(DATE(VALUE(LEFT(INDEX('입력_구리근무자명단'!$A173:$ZZ173,1,$E$2+3),4)),VALUE(MID(INDEX('입력_구리근무자명단'!$A173:$ZZ173,1,$E$2+3),6,2)),VALUE(MID(INDEX('입력_구리근무자명단'!$A173:$ZZ173,1,$E$2+3),9,2))),-1))))</f>
        <v/>
      </c>
      <c r="U175">
        <f>IF($R175="","",IF(OR($S175&lt;0,$T175&lt;0),0,MAX(0,MIN($T175,EOMONTH(급여기준월,0))-MAX($S175,급여기준월)+1)))</f>
        <v/>
      </c>
      <c r="V175">
        <f>IF($R175="","",TRIM(INDEX('입력_구리근무자명단'!$A173:$ZZ173,1,$E$2+5)&amp;""))</f>
        <v/>
      </c>
      <c r="W175">
        <f>IF(ISNUMBER(SEARCH("구리독자",$V175)),"구리독자","")</f>
        <v/>
      </c>
      <c r="X175">
        <f>IF($R175="","",$R175&amp;"|"&amp;IF(OR($Q175="인턴",ISNUMBER(SEARCH("수련교육부",$P175))),"인턴",$P175))</f>
        <v/>
      </c>
      <c r="Y175">
        <f>IF($R175="","",IF(COUNTIF(명단표[이름|과],$X175)=1,"명단 일치",IF(AND(COUNTIF(명단표[이름|과],$X175)=0,COUNTIF(명단표[이름],$R175)=1),"명단 일치(이름만, 과 다름)",IF(COUNTIF(명단표[이름],$R175)=0,IF(COUNTIF(기본자료표[이름],$R175)&gt;0,"명단에 없음(기본자료에는 있음)","명단에 없음"),"동명이인 확인"))))</f>
        <v/>
      </c>
      <c r="Z175">
        <f>IF($R175="","",IF($S175&lt;0,"⚠"&amp;INDEX('입력_구리근무자명단'!$A173:$ZZ173,1,$E$2+2),TEXT($S175,"yyyy-mm-dd")))</f>
        <v/>
      </c>
      <c r="AA175">
        <f>IF($R175="","",IF($T175&lt;0,"⚠"&amp;INDEX('입력_구리근무자명단'!$A173:$ZZ173,1,$E$2+3),TEXT($T175,"yyyy-mm-dd")))</f>
        <v/>
      </c>
      <c r="AB175">
        <f>AB174+IF($R175="",0,1)</f>
        <v/>
      </c>
      <c r="AC175">
        <f>IF($R175="","",$AB175)</f>
        <v/>
      </c>
    </row>
    <row r="176">
      <c r="A176">
        <f>IFERROR(INDEX($O$6:$O$1505,MATCH(171,$AC$6:$AC$1505,0)),"")</f>
        <v/>
      </c>
      <c r="B176">
        <f>IF(ISNUMBER($A176),INDEX($P$6:$P$1505,$A176-3),"")</f>
        <v/>
      </c>
      <c r="C176">
        <f>IF(ISNUMBER($A176),INDEX($Q$6:$Q$1505,$A176-3),"")</f>
        <v/>
      </c>
      <c r="D176">
        <f>IF(ISNUMBER($A176),INDEX($R$6:$R$1505,$A176-3),"")</f>
        <v/>
      </c>
      <c r="E176">
        <f>IF(ISNUMBER($A176),$G$2,"")</f>
        <v/>
      </c>
      <c r="F176">
        <f>IF(ISNUMBER($A176),INDEX($Z$6:$Z$1505,$A176-3),"")</f>
        <v/>
      </c>
      <c r="G176">
        <f>IF(ISNUMBER($A176),INDEX($AA$6:$AA$1505,$A176-3),"")</f>
        <v/>
      </c>
      <c r="H176">
        <f>IF(ISNUMBER($A176),INDEX($U$6:$U$1505,$A176-3),"")</f>
        <v/>
      </c>
      <c r="I176">
        <f>IF(ISNUMBER($A176),INDEX($V$6:$V$1505,$A176-3),"")</f>
        <v/>
      </c>
      <c r="J176">
        <f>IF(ISNUMBER($A176),INDEX($W$6:$W$1505,$A176-3),"")</f>
        <v/>
      </c>
      <c r="K176">
        <f>IF(ISNUMBER($A176),INDEX($X$6:$X$1505,$A176-3),"")</f>
        <v/>
      </c>
      <c r="L176">
        <f>IF(ISNUMBER($A176),INDEX($Y$6:$Y$1505,$A176-3),"")</f>
        <v/>
      </c>
      <c r="O176">
        <f>174</f>
        <v/>
      </c>
      <c r="P176">
        <f>IF(TRIM('입력_구리근무자명단'!$A174&amp;"")&lt;&gt;"",TRIM('입력_구리근무자명단'!$A174&amp;""),P175)</f>
        <v/>
      </c>
      <c r="Q176">
        <f>'입력_구리근무자명단'!$B174&amp;""</f>
        <v/>
      </c>
      <c r="R176">
        <f>IF($E$2="","",TRIM(INDEX('입력_구리근무자명단'!$A174:$ZZ174,1,$E$2+IF($G$2="확정",1,0))&amp;""))</f>
        <v/>
      </c>
      <c r="S176">
        <f>IF($R176="","",IF(INDEX('입력_구리근무자명단'!$A174:$ZZ174,1,$E$2+2)&amp;""="",급여기준월,IF(ISNUMBER(INDEX('입력_구리근무자명단'!$A174:$ZZ174,1,$E$2+2)),INDEX('입력_구리근무자명단'!$A174:$ZZ174,1,$E$2+2),IFERROR(DATE(VALUE(LEFT(INDEX('입력_구리근무자명단'!$A174:$ZZ174,1,$E$2+2),4)),VALUE(MID(INDEX('입력_구리근무자명단'!$A174:$ZZ174,1,$E$2+2),6,2)),VALUE(MID(INDEX('입력_구리근무자명단'!$A174:$ZZ174,1,$E$2+2),9,2))),-1))))</f>
        <v/>
      </c>
      <c r="T176">
        <f>IF($R176="","",IF(INDEX('입력_구리근무자명단'!$A174:$ZZ174,1,$E$2+3)&amp;""="",EOMONTH(급여기준월,0),IF(ISNUMBER(INDEX('입력_구리근무자명단'!$A174:$ZZ174,1,$E$2+3)),INDEX('입력_구리근무자명단'!$A174:$ZZ174,1,$E$2+3),IFERROR(DATE(VALUE(LEFT(INDEX('입력_구리근무자명단'!$A174:$ZZ174,1,$E$2+3),4)),VALUE(MID(INDEX('입력_구리근무자명단'!$A174:$ZZ174,1,$E$2+3),6,2)),VALUE(MID(INDEX('입력_구리근무자명단'!$A174:$ZZ174,1,$E$2+3),9,2))),-1))))</f>
        <v/>
      </c>
      <c r="U176">
        <f>IF($R176="","",IF(OR($S176&lt;0,$T176&lt;0),0,MAX(0,MIN($T176,EOMONTH(급여기준월,0))-MAX($S176,급여기준월)+1)))</f>
        <v/>
      </c>
      <c r="V176">
        <f>IF($R176="","",TRIM(INDEX('입력_구리근무자명단'!$A174:$ZZ174,1,$E$2+5)&amp;""))</f>
        <v/>
      </c>
      <c r="W176">
        <f>IF(ISNUMBER(SEARCH("구리독자",$V176)),"구리독자","")</f>
        <v/>
      </c>
      <c r="X176">
        <f>IF($R176="","",$R176&amp;"|"&amp;IF(OR($Q176="인턴",ISNUMBER(SEARCH("수련교육부",$P176))),"인턴",$P176))</f>
        <v/>
      </c>
      <c r="Y176">
        <f>IF($R176="","",IF(COUNTIF(명단표[이름|과],$X176)=1,"명단 일치",IF(AND(COUNTIF(명단표[이름|과],$X176)=0,COUNTIF(명단표[이름],$R176)=1),"명단 일치(이름만, 과 다름)",IF(COUNTIF(명단표[이름],$R176)=0,IF(COUNTIF(기본자료표[이름],$R176)&gt;0,"명단에 없음(기본자료에는 있음)","명단에 없음"),"동명이인 확인"))))</f>
        <v/>
      </c>
      <c r="Z176">
        <f>IF($R176="","",IF($S176&lt;0,"⚠"&amp;INDEX('입력_구리근무자명단'!$A174:$ZZ174,1,$E$2+2),TEXT($S176,"yyyy-mm-dd")))</f>
        <v/>
      </c>
      <c r="AA176">
        <f>IF($R176="","",IF($T176&lt;0,"⚠"&amp;INDEX('입력_구리근무자명단'!$A174:$ZZ174,1,$E$2+3),TEXT($T176,"yyyy-mm-dd")))</f>
        <v/>
      </c>
      <c r="AB176">
        <f>AB175+IF($R176="",0,1)</f>
        <v/>
      </c>
      <c r="AC176">
        <f>IF($R176="","",$AB176)</f>
        <v/>
      </c>
    </row>
    <row r="177">
      <c r="A177">
        <f>IFERROR(INDEX($O$6:$O$1505,MATCH(172,$AC$6:$AC$1505,0)),"")</f>
        <v/>
      </c>
      <c r="B177">
        <f>IF(ISNUMBER($A177),INDEX($P$6:$P$1505,$A177-3),"")</f>
        <v/>
      </c>
      <c r="C177">
        <f>IF(ISNUMBER($A177),INDEX($Q$6:$Q$1505,$A177-3),"")</f>
        <v/>
      </c>
      <c r="D177">
        <f>IF(ISNUMBER($A177),INDEX($R$6:$R$1505,$A177-3),"")</f>
        <v/>
      </c>
      <c r="E177">
        <f>IF(ISNUMBER($A177),$G$2,"")</f>
        <v/>
      </c>
      <c r="F177">
        <f>IF(ISNUMBER($A177),INDEX($Z$6:$Z$1505,$A177-3),"")</f>
        <v/>
      </c>
      <c r="G177">
        <f>IF(ISNUMBER($A177),INDEX($AA$6:$AA$1505,$A177-3),"")</f>
        <v/>
      </c>
      <c r="H177">
        <f>IF(ISNUMBER($A177),INDEX($U$6:$U$1505,$A177-3),"")</f>
        <v/>
      </c>
      <c r="I177">
        <f>IF(ISNUMBER($A177),INDEX($V$6:$V$1505,$A177-3),"")</f>
        <v/>
      </c>
      <c r="J177">
        <f>IF(ISNUMBER($A177),INDEX($W$6:$W$1505,$A177-3),"")</f>
        <v/>
      </c>
      <c r="K177">
        <f>IF(ISNUMBER($A177),INDEX($X$6:$X$1505,$A177-3),"")</f>
        <v/>
      </c>
      <c r="L177">
        <f>IF(ISNUMBER($A177),INDEX($Y$6:$Y$1505,$A177-3),"")</f>
        <v/>
      </c>
      <c r="O177">
        <f>175</f>
        <v/>
      </c>
      <c r="P177">
        <f>IF(TRIM('입력_구리근무자명단'!$A175&amp;"")&lt;&gt;"",TRIM('입력_구리근무자명단'!$A175&amp;""),P176)</f>
        <v/>
      </c>
      <c r="Q177">
        <f>'입력_구리근무자명단'!$B175&amp;""</f>
        <v/>
      </c>
      <c r="R177">
        <f>IF($E$2="","",TRIM(INDEX('입력_구리근무자명단'!$A175:$ZZ175,1,$E$2+IF($G$2="확정",1,0))&amp;""))</f>
        <v/>
      </c>
      <c r="S177">
        <f>IF($R177="","",IF(INDEX('입력_구리근무자명단'!$A175:$ZZ175,1,$E$2+2)&amp;""="",급여기준월,IF(ISNUMBER(INDEX('입력_구리근무자명단'!$A175:$ZZ175,1,$E$2+2)),INDEX('입력_구리근무자명단'!$A175:$ZZ175,1,$E$2+2),IFERROR(DATE(VALUE(LEFT(INDEX('입력_구리근무자명단'!$A175:$ZZ175,1,$E$2+2),4)),VALUE(MID(INDEX('입력_구리근무자명단'!$A175:$ZZ175,1,$E$2+2),6,2)),VALUE(MID(INDEX('입력_구리근무자명단'!$A175:$ZZ175,1,$E$2+2),9,2))),-1))))</f>
        <v/>
      </c>
      <c r="T177">
        <f>IF($R177="","",IF(INDEX('입력_구리근무자명단'!$A175:$ZZ175,1,$E$2+3)&amp;""="",EOMONTH(급여기준월,0),IF(ISNUMBER(INDEX('입력_구리근무자명단'!$A175:$ZZ175,1,$E$2+3)),INDEX('입력_구리근무자명단'!$A175:$ZZ175,1,$E$2+3),IFERROR(DATE(VALUE(LEFT(INDEX('입력_구리근무자명단'!$A175:$ZZ175,1,$E$2+3),4)),VALUE(MID(INDEX('입력_구리근무자명단'!$A175:$ZZ175,1,$E$2+3),6,2)),VALUE(MID(INDEX('입력_구리근무자명단'!$A175:$ZZ175,1,$E$2+3),9,2))),-1))))</f>
        <v/>
      </c>
      <c r="U177">
        <f>IF($R177="","",IF(OR($S177&lt;0,$T177&lt;0),0,MAX(0,MIN($T177,EOMONTH(급여기준월,0))-MAX($S177,급여기준월)+1)))</f>
        <v/>
      </c>
      <c r="V177">
        <f>IF($R177="","",TRIM(INDEX('입력_구리근무자명단'!$A175:$ZZ175,1,$E$2+5)&amp;""))</f>
        <v/>
      </c>
      <c r="W177">
        <f>IF(ISNUMBER(SEARCH("구리독자",$V177)),"구리독자","")</f>
        <v/>
      </c>
      <c r="X177">
        <f>IF($R177="","",$R177&amp;"|"&amp;IF(OR($Q177="인턴",ISNUMBER(SEARCH("수련교육부",$P177))),"인턴",$P177))</f>
        <v/>
      </c>
      <c r="Y177">
        <f>IF($R177="","",IF(COUNTIF(명단표[이름|과],$X177)=1,"명단 일치",IF(AND(COUNTIF(명단표[이름|과],$X177)=0,COUNTIF(명단표[이름],$R177)=1),"명단 일치(이름만, 과 다름)",IF(COUNTIF(명단표[이름],$R177)=0,IF(COUNTIF(기본자료표[이름],$R177)&gt;0,"명단에 없음(기본자료에는 있음)","명단에 없음"),"동명이인 확인"))))</f>
        <v/>
      </c>
      <c r="Z177">
        <f>IF($R177="","",IF($S177&lt;0,"⚠"&amp;INDEX('입력_구리근무자명단'!$A175:$ZZ175,1,$E$2+2),TEXT($S177,"yyyy-mm-dd")))</f>
        <v/>
      </c>
      <c r="AA177">
        <f>IF($R177="","",IF($T177&lt;0,"⚠"&amp;INDEX('입력_구리근무자명단'!$A175:$ZZ175,1,$E$2+3),TEXT($T177,"yyyy-mm-dd")))</f>
        <v/>
      </c>
      <c r="AB177">
        <f>AB176+IF($R177="",0,1)</f>
        <v/>
      </c>
      <c r="AC177">
        <f>IF($R177="","",$AB177)</f>
        <v/>
      </c>
    </row>
    <row r="178">
      <c r="A178">
        <f>IFERROR(INDEX($O$6:$O$1505,MATCH(173,$AC$6:$AC$1505,0)),"")</f>
        <v/>
      </c>
      <c r="B178">
        <f>IF(ISNUMBER($A178),INDEX($P$6:$P$1505,$A178-3),"")</f>
        <v/>
      </c>
      <c r="C178">
        <f>IF(ISNUMBER($A178),INDEX($Q$6:$Q$1505,$A178-3),"")</f>
        <v/>
      </c>
      <c r="D178">
        <f>IF(ISNUMBER($A178),INDEX($R$6:$R$1505,$A178-3),"")</f>
        <v/>
      </c>
      <c r="E178">
        <f>IF(ISNUMBER($A178),$G$2,"")</f>
        <v/>
      </c>
      <c r="F178">
        <f>IF(ISNUMBER($A178),INDEX($Z$6:$Z$1505,$A178-3),"")</f>
        <v/>
      </c>
      <c r="G178">
        <f>IF(ISNUMBER($A178),INDEX($AA$6:$AA$1505,$A178-3),"")</f>
        <v/>
      </c>
      <c r="H178">
        <f>IF(ISNUMBER($A178),INDEX($U$6:$U$1505,$A178-3),"")</f>
        <v/>
      </c>
      <c r="I178">
        <f>IF(ISNUMBER($A178),INDEX($V$6:$V$1505,$A178-3),"")</f>
        <v/>
      </c>
      <c r="J178">
        <f>IF(ISNUMBER($A178),INDEX($W$6:$W$1505,$A178-3),"")</f>
        <v/>
      </c>
      <c r="K178">
        <f>IF(ISNUMBER($A178),INDEX($X$6:$X$1505,$A178-3),"")</f>
        <v/>
      </c>
      <c r="L178">
        <f>IF(ISNUMBER($A178),INDEX($Y$6:$Y$1505,$A178-3),"")</f>
        <v/>
      </c>
      <c r="O178">
        <f>176</f>
        <v/>
      </c>
      <c r="P178">
        <f>IF(TRIM('입력_구리근무자명단'!$A176&amp;"")&lt;&gt;"",TRIM('입력_구리근무자명단'!$A176&amp;""),P177)</f>
        <v/>
      </c>
      <c r="Q178">
        <f>'입력_구리근무자명단'!$B176&amp;""</f>
        <v/>
      </c>
      <c r="R178">
        <f>IF($E$2="","",TRIM(INDEX('입력_구리근무자명단'!$A176:$ZZ176,1,$E$2+IF($G$2="확정",1,0))&amp;""))</f>
        <v/>
      </c>
      <c r="S178">
        <f>IF($R178="","",IF(INDEX('입력_구리근무자명단'!$A176:$ZZ176,1,$E$2+2)&amp;""="",급여기준월,IF(ISNUMBER(INDEX('입력_구리근무자명단'!$A176:$ZZ176,1,$E$2+2)),INDEX('입력_구리근무자명단'!$A176:$ZZ176,1,$E$2+2),IFERROR(DATE(VALUE(LEFT(INDEX('입력_구리근무자명단'!$A176:$ZZ176,1,$E$2+2),4)),VALUE(MID(INDEX('입력_구리근무자명단'!$A176:$ZZ176,1,$E$2+2),6,2)),VALUE(MID(INDEX('입력_구리근무자명단'!$A176:$ZZ176,1,$E$2+2),9,2))),-1))))</f>
        <v/>
      </c>
      <c r="T178">
        <f>IF($R178="","",IF(INDEX('입력_구리근무자명단'!$A176:$ZZ176,1,$E$2+3)&amp;""="",EOMONTH(급여기준월,0),IF(ISNUMBER(INDEX('입력_구리근무자명단'!$A176:$ZZ176,1,$E$2+3)),INDEX('입력_구리근무자명단'!$A176:$ZZ176,1,$E$2+3),IFERROR(DATE(VALUE(LEFT(INDEX('입력_구리근무자명단'!$A176:$ZZ176,1,$E$2+3),4)),VALUE(MID(INDEX('입력_구리근무자명단'!$A176:$ZZ176,1,$E$2+3),6,2)),VALUE(MID(INDEX('입력_구리근무자명단'!$A176:$ZZ176,1,$E$2+3),9,2))),-1))))</f>
        <v/>
      </c>
      <c r="U178">
        <f>IF($R178="","",IF(OR($S178&lt;0,$T178&lt;0),0,MAX(0,MIN($T178,EOMONTH(급여기준월,0))-MAX($S178,급여기준월)+1)))</f>
        <v/>
      </c>
      <c r="V178">
        <f>IF($R178="","",TRIM(INDEX('입력_구리근무자명단'!$A176:$ZZ176,1,$E$2+5)&amp;""))</f>
        <v/>
      </c>
      <c r="W178">
        <f>IF(ISNUMBER(SEARCH("구리독자",$V178)),"구리독자","")</f>
        <v/>
      </c>
      <c r="X178">
        <f>IF($R178="","",$R178&amp;"|"&amp;IF(OR($Q178="인턴",ISNUMBER(SEARCH("수련교육부",$P178))),"인턴",$P178))</f>
        <v/>
      </c>
      <c r="Y178">
        <f>IF($R178="","",IF(COUNTIF(명단표[이름|과],$X178)=1,"명단 일치",IF(AND(COUNTIF(명단표[이름|과],$X178)=0,COUNTIF(명단표[이름],$R178)=1),"명단 일치(이름만, 과 다름)",IF(COUNTIF(명단표[이름],$R178)=0,IF(COUNTIF(기본자료표[이름],$R178)&gt;0,"명단에 없음(기본자료에는 있음)","명단에 없음"),"동명이인 확인"))))</f>
        <v/>
      </c>
      <c r="Z178">
        <f>IF($R178="","",IF($S178&lt;0,"⚠"&amp;INDEX('입력_구리근무자명단'!$A176:$ZZ176,1,$E$2+2),TEXT($S178,"yyyy-mm-dd")))</f>
        <v/>
      </c>
      <c r="AA178">
        <f>IF($R178="","",IF($T178&lt;0,"⚠"&amp;INDEX('입력_구리근무자명단'!$A176:$ZZ176,1,$E$2+3),TEXT($T178,"yyyy-mm-dd")))</f>
        <v/>
      </c>
      <c r="AB178">
        <f>AB177+IF($R178="",0,1)</f>
        <v/>
      </c>
      <c r="AC178">
        <f>IF($R178="","",$AB178)</f>
        <v/>
      </c>
    </row>
    <row r="179">
      <c r="A179">
        <f>IFERROR(INDEX($O$6:$O$1505,MATCH(174,$AC$6:$AC$1505,0)),"")</f>
        <v/>
      </c>
      <c r="B179">
        <f>IF(ISNUMBER($A179),INDEX($P$6:$P$1505,$A179-3),"")</f>
        <v/>
      </c>
      <c r="C179">
        <f>IF(ISNUMBER($A179),INDEX($Q$6:$Q$1505,$A179-3),"")</f>
        <v/>
      </c>
      <c r="D179">
        <f>IF(ISNUMBER($A179),INDEX($R$6:$R$1505,$A179-3),"")</f>
        <v/>
      </c>
      <c r="E179">
        <f>IF(ISNUMBER($A179),$G$2,"")</f>
        <v/>
      </c>
      <c r="F179">
        <f>IF(ISNUMBER($A179),INDEX($Z$6:$Z$1505,$A179-3),"")</f>
        <v/>
      </c>
      <c r="G179">
        <f>IF(ISNUMBER($A179),INDEX($AA$6:$AA$1505,$A179-3),"")</f>
        <v/>
      </c>
      <c r="H179">
        <f>IF(ISNUMBER($A179),INDEX($U$6:$U$1505,$A179-3),"")</f>
        <v/>
      </c>
      <c r="I179">
        <f>IF(ISNUMBER($A179),INDEX($V$6:$V$1505,$A179-3),"")</f>
        <v/>
      </c>
      <c r="J179">
        <f>IF(ISNUMBER($A179),INDEX($W$6:$W$1505,$A179-3),"")</f>
        <v/>
      </c>
      <c r="K179">
        <f>IF(ISNUMBER($A179),INDEX($X$6:$X$1505,$A179-3),"")</f>
        <v/>
      </c>
      <c r="L179">
        <f>IF(ISNUMBER($A179),INDEX($Y$6:$Y$1505,$A179-3),"")</f>
        <v/>
      </c>
      <c r="O179">
        <f>177</f>
        <v/>
      </c>
      <c r="P179">
        <f>IF(TRIM('입력_구리근무자명단'!$A177&amp;"")&lt;&gt;"",TRIM('입력_구리근무자명단'!$A177&amp;""),P178)</f>
        <v/>
      </c>
      <c r="Q179">
        <f>'입력_구리근무자명단'!$B177&amp;""</f>
        <v/>
      </c>
      <c r="R179">
        <f>IF($E$2="","",TRIM(INDEX('입력_구리근무자명단'!$A177:$ZZ177,1,$E$2+IF($G$2="확정",1,0))&amp;""))</f>
        <v/>
      </c>
      <c r="S179">
        <f>IF($R179="","",IF(INDEX('입력_구리근무자명단'!$A177:$ZZ177,1,$E$2+2)&amp;""="",급여기준월,IF(ISNUMBER(INDEX('입력_구리근무자명단'!$A177:$ZZ177,1,$E$2+2)),INDEX('입력_구리근무자명단'!$A177:$ZZ177,1,$E$2+2),IFERROR(DATE(VALUE(LEFT(INDEX('입력_구리근무자명단'!$A177:$ZZ177,1,$E$2+2),4)),VALUE(MID(INDEX('입력_구리근무자명단'!$A177:$ZZ177,1,$E$2+2),6,2)),VALUE(MID(INDEX('입력_구리근무자명단'!$A177:$ZZ177,1,$E$2+2),9,2))),-1))))</f>
        <v/>
      </c>
      <c r="T179">
        <f>IF($R179="","",IF(INDEX('입력_구리근무자명단'!$A177:$ZZ177,1,$E$2+3)&amp;""="",EOMONTH(급여기준월,0),IF(ISNUMBER(INDEX('입력_구리근무자명단'!$A177:$ZZ177,1,$E$2+3)),INDEX('입력_구리근무자명단'!$A177:$ZZ177,1,$E$2+3),IFERROR(DATE(VALUE(LEFT(INDEX('입력_구리근무자명단'!$A177:$ZZ177,1,$E$2+3),4)),VALUE(MID(INDEX('입력_구리근무자명단'!$A177:$ZZ177,1,$E$2+3),6,2)),VALUE(MID(INDEX('입력_구리근무자명단'!$A177:$ZZ177,1,$E$2+3),9,2))),-1))))</f>
        <v/>
      </c>
      <c r="U179">
        <f>IF($R179="","",IF(OR($S179&lt;0,$T179&lt;0),0,MAX(0,MIN($T179,EOMONTH(급여기준월,0))-MAX($S179,급여기준월)+1)))</f>
        <v/>
      </c>
      <c r="V179">
        <f>IF($R179="","",TRIM(INDEX('입력_구리근무자명단'!$A177:$ZZ177,1,$E$2+5)&amp;""))</f>
        <v/>
      </c>
      <c r="W179">
        <f>IF(ISNUMBER(SEARCH("구리독자",$V179)),"구리독자","")</f>
        <v/>
      </c>
      <c r="X179">
        <f>IF($R179="","",$R179&amp;"|"&amp;IF(OR($Q179="인턴",ISNUMBER(SEARCH("수련교육부",$P179))),"인턴",$P179))</f>
        <v/>
      </c>
      <c r="Y179">
        <f>IF($R179="","",IF(COUNTIF(명단표[이름|과],$X179)=1,"명단 일치",IF(AND(COUNTIF(명단표[이름|과],$X179)=0,COUNTIF(명단표[이름],$R179)=1),"명단 일치(이름만, 과 다름)",IF(COUNTIF(명단표[이름],$R179)=0,IF(COUNTIF(기본자료표[이름],$R179)&gt;0,"명단에 없음(기본자료에는 있음)","명단에 없음"),"동명이인 확인"))))</f>
        <v/>
      </c>
      <c r="Z179">
        <f>IF($R179="","",IF($S179&lt;0,"⚠"&amp;INDEX('입력_구리근무자명단'!$A177:$ZZ177,1,$E$2+2),TEXT($S179,"yyyy-mm-dd")))</f>
        <v/>
      </c>
      <c r="AA179">
        <f>IF($R179="","",IF($T179&lt;0,"⚠"&amp;INDEX('입력_구리근무자명단'!$A177:$ZZ177,1,$E$2+3),TEXT($T179,"yyyy-mm-dd")))</f>
        <v/>
      </c>
      <c r="AB179">
        <f>AB178+IF($R179="",0,1)</f>
        <v/>
      </c>
      <c r="AC179">
        <f>IF($R179="","",$AB179)</f>
        <v/>
      </c>
    </row>
    <row r="180">
      <c r="A180">
        <f>IFERROR(INDEX($O$6:$O$1505,MATCH(175,$AC$6:$AC$1505,0)),"")</f>
        <v/>
      </c>
      <c r="B180">
        <f>IF(ISNUMBER($A180),INDEX($P$6:$P$1505,$A180-3),"")</f>
        <v/>
      </c>
      <c r="C180">
        <f>IF(ISNUMBER($A180),INDEX($Q$6:$Q$1505,$A180-3),"")</f>
        <v/>
      </c>
      <c r="D180">
        <f>IF(ISNUMBER($A180),INDEX($R$6:$R$1505,$A180-3),"")</f>
        <v/>
      </c>
      <c r="E180">
        <f>IF(ISNUMBER($A180),$G$2,"")</f>
        <v/>
      </c>
      <c r="F180">
        <f>IF(ISNUMBER($A180),INDEX($Z$6:$Z$1505,$A180-3),"")</f>
        <v/>
      </c>
      <c r="G180">
        <f>IF(ISNUMBER($A180),INDEX($AA$6:$AA$1505,$A180-3),"")</f>
        <v/>
      </c>
      <c r="H180">
        <f>IF(ISNUMBER($A180),INDEX($U$6:$U$1505,$A180-3),"")</f>
        <v/>
      </c>
      <c r="I180">
        <f>IF(ISNUMBER($A180),INDEX($V$6:$V$1505,$A180-3),"")</f>
        <v/>
      </c>
      <c r="J180">
        <f>IF(ISNUMBER($A180),INDEX($W$6:$W$1505,$A180-3),"")</f>
        <v/>
      </c>
      <c r="K180">
        <f>IF(ISNUMBER($A180),INDEX($X$6:$X$1505,$A180-3),"")</f>
        <v/>
      </c>
      <c r="L180">
        <f>IF(ISNUMBER($A180),INDEX($Y$6:$Y$1505,$A180-3),"")</f>
        <v/>
      </c>
      <c r="O180">
        <f>178</f>
        <v/>
      </c>
      <c r="P180">
        <f>IF(TRIM('입력_구리근무자명단'!$A178&amp;"")&lt;&gt;"",TRIM('입력_구리근무자명단'!$A178&amp;""),P179)</f>
        <v/>
      </c>
      <c r="Q180">
        <f>'입력_구리근무자명단'!$B178&amp;""</f>
        <v/>
      </c>
      <c r="R180">
        <f>IF($E$2="","",TRIM(INDEX('입력_구리근무자명단'!$A178:$ZZ178,1,$E$2+IF($G$2="확정",1,0))&amp;""))</f>
        <v/>
      </c>
      <c r="S180">
        <f>IF($R180="","",IF(INDEX('입력_구리근무자명단'!$A178:$ZZ178,1,$E$2+2)&amp;""="",급여기준월,IF(ISNUMBER(INDEX('입력_구리근무자명단'!$A178:$ZZ178,1,$E$2+2)),INDEX('입력_구리근무자명단'!$A178:$ZZ178,1,$E$2+2),IFERROR(DATE(VALUE(LEFT(INDEX('입력_구리근무자명단'!$A178:$ZZ178,1,$E$2+2),4)),VALUE(MID(INDEX('입력_구리근무자명단'!$A178:$ZZ178,1,$E$2+2),6,2)),VALUE(MID(INDEX('입력_구리근무자명단'!$A178:$ZZ178,1,$E$2+2),9,2))),-1))))</f>
        <v/>
      </c>
      <c r="T180">
        <f>IF($R180="","",IF(INDEX('입력_구리근무자명단'!$A178:$ZZ178,1,$E$2+3)&amp;""="",EOMONTH(급여기준월,0),IF(ISNUMBER(INDEX('입력_구리근무자명단'!$A178:$ZZ178,1,$E$2+3)),INDEX('입력_구리근무자명단'!$A178:$ZZ178,1,$E$2+3),IFERROR(DATE(VALUE(LEFT(INDEX('입력_구리근무자명단'!$A178:$ZZ178,1,$E$2+3),4)),VALUE(MID(INDEX('입력_구리근무자명단'!$A178:$ZZ178,1,$E$2+3),6,2)),VALUE(MID(INDEX('입력_구리근무자명단'!$A178:$ZZ178,1,$E$2+3),9,2))),-1))))</f>
        <v/>
      </c>
      <c r="U180">
        <f>IF($R180="","",IF(OR($S180&lt;0,$T180&lt;0),0,MAX(0,MIN($T180,EOMONTH(급여기준월,0))-MAX($S180,급여기준월)+1)))</f>
        <v/>
      </c>
      <c r="V180">
        <f>IF($R180="","",TRIM(INDEX('입력_구리근무자명단'!$A178:$ZZ178,1,$E$2+5)&amp;""))</f>
        <v/>
      </c>
      <c r="W180">
        <f>IF(ISNUMBER(SEARCH("구리독자",$V180)),"구리독자","")</f>
        <v/>
      </c>
      <c r="X180">
        <f>IF($R180="","",$R180&amp;"|"&amp;IF(OR($Q180="인턴",ISNUMBER(SEARCH("수련교육부",$P180))),"인턴",$P180))</f>
        <v/>
      </c>
      <c r="Y180">
        <f>IF($R180="","",IF(COUNTIF(명단표[이름|과],$X180)=1,"명단 일치",IF(AND(COUNTIF(명단표[이름|과],$X180)=0,COUNTIF(명단표[이름],$R180)=1),"명단 일치(이름만, 과 다름)",IF(COUNTIF(명단표[이름],$R180)=0,IF(COUNTIF(기본자료표[이름],$R180)&gt;0,"명단에 없음(기본자료에는 있음)","명단에 없음"),"동명이인 확인"))))</f>
        <v/>
      </c>
      <c r="Z180">
        <f>IF($R180="","",IF($S180&lt;0,"⚠"&amp;INDEX('입력_구리근무자명단'!$A178:$ZZ178,1,$E$2+2),TEXT($S180,"yyyy-mm-dd")))</f>
        <v/>
      </c>
      <c r="AA180">
        <f>IF($R180="","",IF($T180&lt;0,"⚠"&amp;INDEX('입력_구리근무자명단'!$A178:$ZZ178,1,$E$2+3),TEXT($T180,"yyyy-mm-dd")))</f>
        <v/>
      </c>
      <c r="AB180">
        <f>AB179+IF($R180="",0,1)</f>
        <v/>
      </c>
      <c r="AC180">
        <f>IF($R180="","",$AB180)</f>
        <v/>
      </c>
    </row>
    <row r="181">
      <c r="A181">
        <f>IFERROR(INDEX($O$6:$O$1505,MATCH(176,$AC$6:$AC$1505,0)),"")</f>
        <v/>
      </c>
      <c r="B181">
        <f>IF(ISNUMBER($A181),INDEX($P$6:$P$1505,$A181-3),"")</f>
        <v/>
      </c>
      <c r="C181">
        <f>IF(ISNUMBER($A181),INDEX($Q$6:$Q$1505,$A181-3),"")</f>
        <v/>
      </c>
      <c r="D181">
        <f>IF(ISNUMBER($A181),INDEX($R$6:$R$1505,$A181-3),"")</f>
        <v/>
      </c>
      <c r="E181">
        <f>IF(ISNUMBER($A181),$G$2,"")</f>
        <v/>
      </c>
      <c r="F181">
        <f>IF(ISNUMBER($A181),INDEX($Z$6:$Z$1505,$A181-3),"")</f>
        <v/>
      </c>
      <c r="G181">
        <f>IF(ISNUMBER($A181),INDEX($AA$6:$AA$1505,$A181-3),"")</f>
        <v/>
      </c>
      <c r="H181">
        <f>IF(ISNUMBER($A181),INDEX($U$6:$U$1505,$A181-3),"")</f>
        <v/>
      </c>
      <c r="I181">
        <f>IF(ISNUMBER($A181),INDEX($V$6:$V$1505,$A181-3),"")</f>
        <v/>
      </c>
      <c r="J181">
        <f>IF(ISNUMBER($A181),INDEX($W$6:$W$1505,$A181-3),"")</f>
        <v/>
      </c>
      <c r="K181">
        <f>IF(ISNUMBER($A181),INDEX($X$6:$X$1505,$A181-3),"")</f>
        <v/>
      </c>
      <c r="L181">
        <f>IF(ISNUMBER($A181),INDEX($Y$6:$Y$1505,$A181-3),"")</f>
        <v/>
      </c>
      <c r="O181">
        <f>179</f>
        <v/>
      </c>
      <c r="P181">
        <f>IF(TRIM('입력_구리근무자명단'!$A179&amp;"")&lt;&gt;"",TRIM('입력_구리근무자명단'!$A179&amp;""),P180)</f>
        <v/>
      </c>
      <c r="Q181">
        <f>'입력_구리근무자명단'!$B179&amp;""</f>
        <v/>
      </c>
      <c r="R181">
        <f>IF($E$2="","",TRIM(INDEX('입력_구리근무자명단'!$A179:$ZZ179,1,$E$2+IF($G$2="확정",1,0))&amp;""))</f>
        <v/>
      </c>
      <c r="S181">
        <f>IF($R181="","",IF(INDEX('입력_구리근무자명단'!$A179:$ZZ179,1,$E$2+2)&amp;""="",급여기준월,IF(ISNUMBER(INDEX('입력_구리근무자명단'!$A179:$ZZ179,1,$E$2+2)),INDEX('입력_구리근무자명단'!$A179:$ZZ179,1,$E$2+2),IFERROR(DATE(VALUE(LEFT(INDEX('입력_구리근무자명단'!$A179:$ZZ179,1,$E$2+2),4)),VALUE(MID(INDEX('입력_구리근무자명단'!$A179:$ZZ179,1,$E$2+2),6,2)),VALUE(MID(INDEX('입력_구리근무자명단'!$A179:$ZZ179,1,$E$2+2),9,2))),-1))))</f>
        <v/>
      </c>
      <c r="T181">
        <f>IF($R181="","",IF(INDEX('입력_구리근무자명단'!$A179:$ZZ179,1,$E$2+3)&amp;""="",EOMONTH(급여기준월,0),IF(ISNUMBER(INDEX('입력_구리근무자명단'!$A179:$ZZ179,1,$E$2+3)),INDEX('입력_구리근무자명단'!$A179:$ZZ179,1,$E$2+3),IFERROR(DATE(VALUE(LEFT(INDEX('입력_구리근무자명단'!$A179:$ZZ179,1,$E$2+3),4)),VALUE(MID(INDEX('입력_구리근무자명단'!$A179:$ZZ179,1,$E$2+3),6,2)),VALUE(MID(INDEX('입력_구리근무자명단'!$A179:$ZZ179,1,$E$2+3),9,2))),-1))))</f>
        <v/>
      </c>
      <c r="U181">
        <f>IF($R181="","",IF(OR($S181&lt;0,$T181&lt;0),0,MAX(0,MIN($T181,EOMONTH(급여기준월,0))-MAX($S181,급여기준월)+1)))</f>
        <v/>
      </c>
      <c r="V181">
        <f>IF($R181="","",TRIM(INDEX('입력_구리근무자명단'!$A179:$ZZ179,1,$E$2+5)&amp;""))</f>
        <v/>
      </c>
      <c r="W181">
        <f>IF(ISNUMBER(SEARCH("구리독자",$V181)),"구리독자","")</f>
        <v/>
      </c>
      <c r="X181">
        <f>IF($R181="","",$R181&amp;"|"&amp;IF(OR($Q181="인턴",ISNUMBER(SEARCH("수련교육부",$P181))),"인턴",$P181))</f>
        <v/>
      </c>
      <c r="Y181">
        <f>IF($R181="","",IF(COUNTIF(명단표[이름|과],$X181)=1,"명단 일치",IF(AND(COUNTIF(명단표[이름|과],$X181)=0,COUNTIF(명단표[이름],$R181)=1),"명단 일치(이름만, 과 다름)",IF(COUNTIF(명단표[이름],$R181)=0,IF(COUNTIF(기본자료표[이름],$R181)&gt;0,"명단에 없음(기본자료에는 있음)","명단에 없음"),"동명이인 확인"))))</f>
        <v/>
      </c>
      <c r="Z181">
        <f>IF($R181="","",IF($S181&lt;0,"⚠"&amp;INDEX('입력_구리근무자명단'!$A179:$ZZ179,1,$E$2+2),TEXT($S181,"yyyy-mm-dd")))</f>
        <v/>
      </c>
      <c r="AA181">
        <f>IF($R181="","",IF($T181&lt;0,"⚠"&amp;INDEX('입력_구리근무자명단'!$A179:$ZZ179,1,$E$2+3),TEXT($T181,"yyyy-mm-dd")))</f>
        <v/>
      </c>
      <c r="AB181">
        <f>AB180+IF($R181="",0,1)</f>
        <v/>
      </c>
      <c r="AC181">
        <f>IF($R181="","",$AB181)</f>
        <v/>
      </c>
    </row>
    <row r="182">
      <c r="A182">
        <f>IFERROR(INDEX($O$6:$O$1505,MATCH(177,$AC$6:$AC$1505,0)),"")</f>
        <v/>
      </c>
      <c r="B182">
        <f>IF(ISNUMBER($A182),INDEX($P$6:$P$1505,$A182-3),"")</f>
        <v/>
      </c>
      <c r="C182">
        <f>IF(ISNUMBER($A182),INDEX($Q$6:$Q$1505,$A182-3),"")</f>
        <v/>
      </c>
      <c r="D182">
        <f>IF(ISNUMBER($A182),INDEX($R$6:$R$1505,$A182-3),"")</f>
        <v/>
      </c>
      <c r="E182">
        <f>IF(ISNUMBER($A182),$G$2,"")</f>
        <v/>
      </c>
      <c r="F182">
        <f>IF(ISNUMBER($A182),INDEX($Z$6:$Z$1505,$A182-3),"")</f>
        <v/>
      </c>
      <c r="G182">
        <f>IF(ISNUMBER($A182),INDEX($AA$6:$AA$1505,$A182-3),"")</f>
        <v/>
      </c>
      <c r="H182">
        <f>IF(ISNUMBER($A182),INDEX($U$6:$U$1505,$A182-3),"")</f>
        <v/>
      </c>
      <c r="I182">
        <f>IF(ISNUMBER($A182),INDEX($V$6:$V$1505,$A182-3),"")</f>
        <v/>
      </c>
      <c r="J182">
        <f>IF(ISNUMBER($A182),INDEX($W$6:$W$1505,$A182-3),"")</f>
        <v/>
      </c>
      <c r="K182">
        <f>IF(ISNUMBER($A182),INDEX($X$6:$X$1505,$A182-3),"")</f>
        <v/>
      </c>
      <c r="L182">
        <f>IF(ISNUMBER($A182),INDEX($Y$6:$Y$1505,$A182-3),"")</f>
        <v/>
      </c>
      <c r="O182">
        <f>180</f>
        <v/>
      </c>
      <c r="P182">
        <f>IF(TRIM('입력_구리근무자명단'!$A180&amp;"")&lt;&gt;"",TRIM('입력_구리근무자명단'!$A180&amp;""),P181)</f>
        <v/>
      </c>
      <c r="Q182">
        <f>'입력_구리근무자명단'!$B180&amp;""</f>
        <v/>
      </c>
      <c r="R182">
        <f>IF($E$2="","",TRIM(INDEX('입력_구리근무자명단'!$A180:$ZZ180,1,$E$2+IF($G$2="확정",1,0))&amp;""))</f>
        <v/>
      </c>
      <c r="S182">
        <f>IF($R182="","",IF(INDEX('입력_구리근무자명단'!$A180:$ZZ180,1,$E$2+2)&amp;""="",급여기준월,IF(ISNUMBER(INDEX('입력_구리근무자명단'!$A180:$ZZ180,1,$E$2+2)),INDEX('입력_구리근무자명단'!$A180:$ZZ180,1,$E$2+2),IFERROR(DATE(VALUE(LEFT(INDEX('입력_구리근무자명단'!$A180:$ZZ180,1,$E$2+2),4)),VALUE(MID(INDEX('입력_구리근무자명단'!$A180:$ZZ180,1,$E$2+2),6,2)),VALUE(MID(INDEX('입력_구리근무자명단'!$A180:$ZZ180,1,$E$2+2),9,2))),-1))))</f>
        <v/>
      </c>
      <c r="T182">
        <f>IF($R182="","",IF(INDEX('입력_구리근무자명단'!$A180:$ZZ180,1,$E$2+3)&amp;""="",EOMONTH(급여기준월,0),IF(ISNUMBER(INDEX('입력_구리근무자명단'!$A180:$ZZ180,1,$E$2+3)),INDEX('입력_구리근무자명단'!$A180:$ZZ180,1,$E$2+3),IFERROR(DATE(VALUE(LEFT(INDEX('입력_구리근무자명단'!$A180:$ZZ180,1,$E$2+3),4)),VALUE(MID(INDEX('입력_구리근무자명단'!$A180:$ZZ180,1,$E$2+3),6,2)),VALUE(MID(INDEX('입력_구리근무자명단'!$A180:$ZZ180,1,$E$2+3),9,2))),-1))))</f>
        <v/>
      </c>
      <c r="U182">
        <f>IF($R182="","",IF(OR($S182&lt;0,$T182&lt;0),0,MAX(0,MIN($T182,EOMONTH(급여기준월,0))-MAX($S182,급여기준월)+1)))</f>
        <v/>
      </c>
      <c r="V182">
        <f>IF($R182="","",TRIM(INDEX('입력_구리근무자명단'!$A180:$ZZ180,1,$E$2+5)&amp;""))</f>
        <v/>
      </c>
      <c r="W182">
        <f>IF(ISNUMBER(SEARCH("구리독자",$V182)),"구리독자","")</f>
        <v/>
      </c>
      <c r="X182">
        <f>IF($R182="","",$R182&amp;"|"&amp;IF(OR($Q182="인턴",ISNUMBER(SEARCH("수련교육부",$P182))),"인턴",$P182))</f>
        <v/>
      </c>
      <c r="Y182">
        <f>IF($R182="","",IF(COUNTIF(명단표[이름|과],$X182)=1,"명단 일치",IF(AND(COUNTIF(명단표[이름|과],$X182)=0,COUNTIF(명단표[이름],$R182)=1),"명단 일치(이름만, 과 다름)",IF(COUNTIF(명단표[이름],$R182)=0,IF(COUNTIF(기본자료표[이름],$R182)&gt;0,"명단에 없음(기본자료에는 있음)","명단에 없음"),"동명이인 확인"))))</f>
        <v/>
      </c>
      <c r="Z182">
        <f>IF($R182="","",IF($S182&lt;0,"⚠"&amp;INDEX('입력_구리근무자명단'!$A180:$ZZ180,1,$E$2+2),TEXT($S182,"yyyy-mm-dd")))</f>
        <v/>
      </c>
      <c r="AA182">
        <f>IF($R182="","",IF($T182&lt;0,"⚠"&amp;INDEX('입력_구리근무자명단'!$A180:$ZZ180,1,$E$2+3),TEXT($T182,"yyyy-mm-dd")))</f>
        <v/>
      </c>
      <c r="AB182">
        <f>AB181+IF($R182="",0,1)</f>
        <v/>
      </c>
      <c r="AC182">
        <f>IF($R182="","",$AB182)</f>
        <v/>
      </c>
    </row>
    <row r="183">
      <c r="A183">
        <f>IFERROR(INDEX($O$6:$O$1505,MATCH(178,$AC$6:$AC$1505,0)),"")</f>
        <v/>
      </c>
      <c r="B183">
        <f>IF(ISNUMBER($A183),INDEX($P$6:$P$1505,$A183-3),"")</f>
        <v/>
      </c>
      <c r="C183">
        <f>IF(ISNUMBER($A183),INDEX($Q$6:$Q$1505,$A183-3),"")</f>
        <v/>
      </c>
      <c r="D183">
        <f>IF(ISNUMBER($A183),INDEX($R$6:$R$1505,$A183-3),"")</f>
        <v/>
      </c>
      <c r="E183">
        <f>IF(ISNUMBER($A183),$G$2,"")</f>
        <v/>
      </c>
      <c r="F183">
        <f>IF(ISNUMBER($A183),INDEX($Z$6:$Z$1505,$A183-3),"")</f>
        <v/>
      </c>
      <c r="G183">
        <f>IF(ISNUMBER($A183),INDEX($AA$6:$AA$1505,$A183-3),"")</f>
        <v/>
      </c>
      <c r="H183">
        <f>IF(ISNUMBER($A183),INDEX($U$6:$U$1505,$A183-3),"")</f>
        <v/>
      </c>
      <c r="I183">
        <f>IF(ISNUMBER($A183),INDEX($V$6:$V$1505,$A183-3),"")</f>
        <v/>
      </c>
      <c r="J183">
        <f>IF(ISNUMBER($A183),INDEX($W$6:$W$1505,$A183-3),"")</f>
        <v/>
      </c>
      <c r="K183">
        <f>IF(ISNUMBER($A183),INDEX($X$6:$X$1505,$A183-3),"")</f>
        <v/>
      </c>
      <c r="L183">
        <f>IF(ISNUMBER($A183),INDEX($Y$6:$Y$1505,$A183-3),"")</f>
        <v/>
      </c>
      <c r="O183">
        <f>181</f>
        <v/>
      </c>
      <c r="P183">
        <f>IF(TRIM('입력_구리근무자명단'!$A181&amp;"")&lt;&gt;"",TRIM('입력_구리근무자명단'!$A181&amp;""),P182)</f>
        <v/>
      </c>
      <c r="Q183">
        <f>'입력_구리근무자명단'!$B181&amp;""</f>
        <v/>
      </c>
      <c r="R183">
        <f>IF($E$2="","",TRIM(INDEX('입력_구리근무자명단'!$A181:$ZZ181,1,$E$2+IF($G$2="확정",1,0))&amp;""))</f>
        <v/>
      </c>
      <c r="S183">
        <f>IF($R183="","",IF(INDEX('입력_구리근무자명단'!$A181:$ZZ181,1,$E$2+2)&amp;""="",급여기준월,IF(ISNUMBER(INDEX('입력_구리근무자명단'!$A181:$ZZ181,1,$E$2+2)),INDEX('입력_구리근무자명단'!$A181:$ZZ181,1,$E$2+2),IFERROR(DATE(VALUE(LEFT(INDEX('입력_구리근무자명단'!$A181:$ZZ181,1,$E$2+2),4)),VALUE(MID(INDEX('입력_구리근무자명단'!$A181:$ZZ181,1,$E$2+2),6,2)),VALUE(MID(INDEX('입력_구리근무자명단'!$A181:$ZZ181,1,$E$2+2),9,2))),-1))))</f>
        <v/>
      </c>
      <c r="T183">
        <f>IF($R183="","",IF(INDEX('입력_구리근무자명단'!$A181:$ZZ181,1,$E$2+3)&amp;""="",EOMONTH(급여기준월,0),IF(ISNUMBER(INDEX('입력_구리근무자명단'!$A181:$ZZ181,1,$E$2+3)),INDEX('입력_구리근무자명단'!$A181:$ZZ181,1,$E$2+3),IFERROR(DATE(VALUE(LEFT(INDEX('입력_구리근무자명단'!$A181:$ZZ181,1,$E$2+3),4)),VALUE(MID(INDEX('입력_구리근무자명단'!$A181:$ZZ181,1,$E$2+3),6,2)),VALUE(MID(INDEX('입력_구리근무자명단'!$A181:$ZZ181,1,$E$2+3),9,2))),-1))))</f>
        <v/>
      </c>
      <c r="U183">
        <f>IF($R183="","",IF(OR($S183&lt;0,$T183&lt;0),0,MAX(0,MIN($T183,EOMONTH(급여기준월,0))-MAX($S183,급여기준월)+1)))</f>
        <v/>
      </c>
      <c r="V183">
        <f>IF($R183="","",TRIM(INDEX('입력_구리근무자명단'!$A181:$ZZ181,1,$E$2+5)&amp;""))</f>
        <v/>
      </c>
      <c r="W183">
        <f>IF(ISNUMBER(SEARCH("구리독자",$V183)),"구리독자","")</f>
        <v/>
      </c>
      <c r="X183">
        <f>IF($R183="","",$R183&amp;"|"&amp;IF(OR($Q183="인턴",ISNUMBER(SEARCH("수련교육부",$P183))),"인턴",$P183))</f>
        <v/>
      </c>
      <c r="Y183">
        <f>IF($R183="","",IF(COUNTIF(명단표[이름|과],$X183)=1,"명단 일치",IF(AND(COUNTIF(명단표[이름|과],$X183)=0,COUNTIF(명단표[이름],$R183)=1),"명단 일치(이름만, 과 다름)",IF(COUNTIF(명단표[이름],$R183)=0,IF(COUNTIF(기본자료표[이름],$R183)&gt;0,"명단에 없음(기본자료에는 있음)","명단에 없음"),"동명이인 확인"))))</f>
        <v/>
      </c>
      <c r="Z183">
        <f>IF($R183="","",IF($S183&lt;0,"⚠"&amp;INDEX('입력_구리근무자명단'!$A181:$ZZ181,1,$E$2+2),TEXT($S183,"yyyy-mm-dd")))</f>
        <v/>
      </c>
      <c r="AA183">
        <f>IF($R183="","",IF($T183&lt;0,"⚠"&amp;INDEX('입력_구리근무자명단'!$A181:$ZZ181,1,$E$2+3),TEXT($T183,"yyyy-mm-dd")))</f>
        <v/>
      </c>
      <c r="AB183">
        <f>AB182+IF($R183="",0,1)</f>
        <v/>
      </c>
      <c r="AC183">
        <f>IF($R183="","",$AB183)</f>
        <v/>
      </c>
    </row>
    <row r="184">
      <c r="A184">
        <f>IFERROR(INDEX($O$6:$O$1505,MATCH(179,$AC$6:$AC$1505,0)),"")</f>
        <v/>
      </c>
      <c r="B184">
        <f>IF(ISNUMBER($A184),INDEX($P$6:$P$1505,$A184-3),"")</f>
        <v/>
      </c>
      <c r="C184">
        <f>IF(ISNUMBER($A184),INDEX($Q$6:$Q$1505,$A184-3),"")</f>
        <v/>
      </c>
      <c r="D184">
        <f>IF(ISNUMBER($A184),INDEX($R$6:$R$1505,$A184-3),"")</f>
        <v/>
      </c>
      <c r="E184">
        <f>IF(ISNUMBER($A184),$G$2,"")</f>
        <v/>
      </c>
      <c r="F184">
        <f>IF(ISNUMBER($A184),INDEX($Z$6:$Z$1505,$A184-3),"")</f>
        <v/>
      </c>
      <c r="G184">
        <f>IF(ISNUMBER($A184),INDEX($AA$6:$AA$1505,$A184-3),"")</f>
        <v/>
      </c>
      <c r="H184">
        <f>IF(ISNUMBER($A184),INDEX($U$6:$U$1505,$A184-3),"")</f>
        <v/>
      </c>
      <c r="I184">
        <f>IF(ISNUMBER($A184),INDEX($V$6:$V$1505,$A184-3),"")</f>
        <v/>
      </c>
      <c r="J184">
        <f>IF(ISNUMBER($A184),INDEX($W$6:$W$1505,$A184-3),"")</f>
        <v/>
      </c>
      <c r="K184">
        <f>IF(ISNUMBER($A184),INDEX($X$6:$X$1505,$A184-3),"")</f>
        <v/>
      </c>
      <c r="L184">
        <f>IF(ISNUMBER($A184),INDEX($Y$6:$Y$1505,$A184-3),"")</f>
        <v/>
      </c>
      <c r="O184">
        <f>182</f>
        <v/>
      </c>
      <c r="P184">
        <f>IF(TRIM('입력_구리근무자명단'!$A182&amp;"")&lt;&gt;"",TRIM('입력_구리근무자명단'!$A182&amp;""),P183)</f>
        <v/>
      </c>
      <c r="Q184">
        <f>'입력_구리근무자명단'!$B182&amp;""</f>
        <v/>
      </c>
      <c r="R184">
        <f>IF($E$2="","",TRIM(INDEX('입력_구리근무자명단'!$A182:$ZZ182,1,$E$2+IF($G$2="확정",1,0))&amp;""))</f>
        <v/>
      </c>
      <c r="S184">
        <f>IF($R184="","",IF(INDEX('입력_구리근무자명단'!$A182:$ZZ182,1,$E$2+2)&amp;""="",급여기준월,IF(ISNUMBER(INDEX('입력_구리근무자명단'!$A182:$ZZ182,1,$E$2+2)),INDEX('입력_구리근무자명단'!$A182:$ZZ182,1,$E$2+2),IFERROR(DATE(VALUE(LEFT(INDEX('입력_구리근무자명단'!$A182:$ZZ182,1,$E$2+2),4)),VALUE(MID(INDEX('입력_구리근무자명단'!$A182:$ZZ182,1,$E$2+2),6,2)),VALUE(MID(INDEX('입력_구리근무자명단'!$A182:$ZZ182,1,$E$2+2),9,2))),-1))))</f>
        <v/>
      </c>
      <c r="T184">
        <f>IF($R184="","",IF(INDEX('입력_구리근무자명단'!$A182:$ZZ182,1,$E$2+3)&amp;""="",EOMONTH(급여기준월,0),IF(ISNUMBER(INDEX('입력_구리근무자명단'!$A182:$ZZ182,1,$E$2+3)),INDEX('입력_구리근무자명단'!$A182:$ZZ182,1,$E$2+3),IFERROR(DATE(VALUE(LEFT(INDEX('입력_구리근무자명단'!$A182:$ZZ182,1,$E$2+3),4)),VALUE(MID(INDEX('입력_구리근무자명단'!$A182:$ZZ182,1,$E$2+3),6,2)),VALUE(MID(INDEX('입력_구리근무자명단'!$A182:$ZZ182,1,$E$2+3),9,2))),-1))))</f>
        <v/>
      </c>
      <c r="U184">
        <f>IF($R184="","",IF(OR($S184&lt;0,$T184&lt;0),0,MAX(0,MIN($T184,EOMONTH(급여기준월,0))-MAX($S184,급여기준월)+1)))</f>
        <v/>
      </c>
      <c r="V184">
        <f>IF($R184="","",TRIM(INDEX('입력_구리근무자명단'!$A182:$ZZ182,1,$E$2+5)&amp;""))</f>
        <v/>
      </c>
      <c r="W184">
        <f>IF(ISNUMBER(SEARCH("구리독자",$V184)),"구리독자","")</f>
        <v/>
      </c>
      <c r="X184">
        <f>IF($R184="","",$R184&amp;"|"&amp;IF(OR($Q184="인턴",ISNUMBER(SEARCH("수련교육부",$P184))),"인턴",$P184))</f>
        <v/>
      </c>
      <c r="Y184">
        <f>IF($R184="","",IF(COUNTIF(명단표[이름|과],$X184)=1,"명단 일치",IF(AND(COUNTIF(명단표[이름|과],$X184)=0,COUNTIF(명단표[이름],$R184)=1),"명단 일치(이름만, 과 다름)",IF(COUNTIF(명단표[이름],$R184)=0,IF(COUNTIF(기본자료표[이름],$R184)&gt;0,"명단에 없음(기본자료에는 있음)","명단에 없음"),"동명이인 확인"))))</f>
        <v/>
      </c>
      <c r="Z184">
        <f>IF($R184="","",IF($S184&lt;0,"⚠"&amp;INDEX('입력_구리근무자명단'!$A182:$ZZ182,1,$E$2+2),TEXT($S184,"yyyy-mm-dd")))</f>
        <v/>
      </c>
      <c r="AA184">
        <f>IF($R184="","",IF($T184&lt;0,"⚠"&amp;INDEX('입력_구리근무자명단'!$A182:$ZZ182,1,$E$2+3),TEXT($T184,"yyyy-mm-dd")))</f>
        <v/>
      </c>
      <c r="AB184">
        <f>AB183+IF($R184="",0,1)</f>
        <v/>
      </c>
      <c r="AC184">
        <f>IF($R184="","",$AB184)</f>
        <v/>
      </c>
    </row>
    <row r="185">
      <c r="A185">
        <f>IFERROR(INDEX($O$6:$O$1505,MATCH(180,$AC$6:$AC$1505,0)),"")</f>
        <v/>
      </c>
      <c r="B185">
        <f>IF(ISNUMBER($A185),INDEX($P$6:$P$1505,$A185-3),"")</f>
        <v/>
      </c>
      <c r="C185">
        <f>IF(ISNUMBER($A185),INDEX($Q$6:$Q$1505,$A185-3),"")</f>
        <v/>
      </c>
      <c r="D185">
        <f>IF(ISNUMBER($A185),INDEX($R$6:$R$1505,$A185-3),"")</f>
        <v/>
      </c>
      <c r="E185">
        <f>IF(ISNUMBER($A185),$G$2,"")</f>
        <v/>
      </c>
      <c r="F185">
        <f>IF(ISNUMBER($A185),INDEX($Z$6:$Z$1505,$A185-3),"")</f>
        <v/>
      </c>
      <c r="G185">
        <f>IF(ISNUMBER($A185),INDEX($AA$6:$AA$1505,$A185-3),"")</f>
        <v/>
      </c>
      <c r="H185">
        <f>IF(ISNUMBER($A185),INDEX($U$6:$U$1505,$A185-3),"")</f>
        <v/>
      </c>
      <c r="I185">
        <f>IF(ISNUMBER($A185),INDEX($V$6:$V$1505,$A185-3),"")</f>
        <v/>
      </c>
      <c r="J185">
        <f>IF(ISNUMBER($A185),INDEX($W$6:$W$1505,$A185-3),"")</f>
        <v/>
      </c>
      <c r="K185">
        <f>IF(ISNUMBER($A185),INDEX($X$6:$X$1505,$A185-3),"")</f>
        <v/>
      </c>
      <c r="L185">
        <f>IF(ISNUMBER($A185),INDEX($Y$6:$Y$1505,$A185-3),"")</f>
        <v/>
      </c>
      <c r="O185">
        <f>183</f>
        <v/>
      </c>
      <c r="P185">
        <f>IF(TRIM('입력_구리근무자명단'!$A183&amp;"")&lt;&gt;"",TRIM('입력_구리근무자명단'!$A183&amp;""),P184)</f>
        <v/>
      </c>
      <c r="Q185">
        <f>'입력_구리근무자명단'!$B183&amp;""</f>
        <v/>
      </c>
      <c r="R185">
        <f>IF($E$2="","",TRIM(INDEX('입력_구리근무자명단'!$A183:$ZZ183,1,$E$2+IF($G$2="확정",1,0))&amp;""))</f>
        <v/>
      </c>
      <c r="S185">
        <f>IF($R185="","",IF(INDEX('입력_구리근무자명단'!$A183:$ZZ183,1,$E$2+2)&amp;""="",급여기준월,IF(ISNUMBER(INDEX('입력_구리근무자명단'!$A183:$ZZ183,1,$E$2+2)),INDEX('입력_구리근무자명단'!$A183:$ZZ183,1,$E$2+2),IFERROR(DATE(VALUE(LEFT(INDEX('입력_구리근무자명단'!$A183:$ZZ183,1,$E$2+2),4)),VALUE(MID(INDEX('입력_구리근무자명단'!$A183:$ZZ183,1,$E$2+2),6,2)),VALUE(MID(INDEX('입력_구리근무자명단'!$A183:$ZZ183,1,$E$2+2),9,2))),-1))))</f>
        <v/>
      </c>
      <c r="T185">
        <f>IF($R185="","",IF(INDEX('입력_구리근무자명단'!$A183:$ZZ183,1,$E$2+3)&amp;""="",EOMONTH(급여기준월,0),IF(ISNUMBER(INDEX('입력_구리근무자명단'!$A183:$ZZ183,1,$E$2+3)),INDEX('입력_구리근무자명단'!$A183:$ZZ183,1,$E$2+3),IFERROR(DATE(VALUE(LEFT(INDEX('입력_구리근무자명단'!$A183:$ZZ183,1,$E$2+3),4)),VALUE(MID(INDEX('입력_구리근무자명단'!$A183:$ZZ183,1,$E$2+3),6,2)),VALUE(MID(INDEX('입력_구리근무자명단'!$A183:$ZZ183,1,$E$2+3),9,2))),-1))))</f>
        <v/>
      </c>
      <c r="U185">
        <f>IF($R185="","",IF(OR($S185&lt;0,$T185&lt;0),0,MAX(0,MIN($T185,EOMONTH(급여기준월,0))-MAX($S185,급여기준월)+1)))</f>
        <v/>
      </c>
      <c r="V185">
        <f>IF($R185="","",TRIM(INDEX('입력_구리근무자명단'!$A183:$ZZ183,1,$E$2+5)&amp;""))</f>
        <v/>
      </c>
      <c r="W185">
        <f>IF(ISNUMBER(SEARCH("구리독자",$V185)),"구리독자","")</f>
        <v/>
      </c>
      <c r="X185">
        <f>IF($R185="","",$R185&amp;"|"&amp;IF(OR($Q185="인턴",ISNUMBER(SEARCH("수련교육부",$P185))),"인턴",$P185))</f>
        <v/>
      </c>
      <c r="Y185">
        <f>IF($R185="","",IF(COUNTIF(명단표[이름|과],$X185)=1,"명단 일치",IF(AND(COUNTIF(명단표[이름|과],$X185)=0,COUNTIF(명단표[이름],$R185)=1),"명단 일치(이름만, 과 다름)",IF(COUNTIF(명단표[이름],$R185)=0,IF(COUNTIF(기본자료표[이름],$R185)&gt;0,"명단에 없음(기본자료에는 있음)","명단에 없음"),"동명이인 확인"))))</f>
        <v/>
      </c>
      <c r="Z185">
        <f>IF($R185="","",IF($S185&lt;0,"⚠"&amp;INDEX('입력_구리근무자명단'!$A183:$ZZ183,1,$E$2+2),TEXT($S185,"yyyy-mm-dd")))</f>
        <v/>
      </c>
      <c r="AA185">
        <f>IF($R185="","",IF($T185&lt;0,"⚠"&amp;INDEX('입력_구리근무자명단'!$A183:$ZZ183,1,$E$2+3),TEXT($T185,"yyyy-mm-dd")))</f>
        <v/>
      </c>
      <c r="AB185">
        <f>AB184+IF($R185="",0,1)</f>
        <v/>
      </c>
      <c r="AC185">
        <f>IF($R185="","",$AB185)</f>
        <v/>
      </c>
    </row>
    <row r="186">
      <c r="A186">
        <f>IFERROR(INDEX($O$6:$O$1505,MATCH(181,$AC$6:$AC$1505,0)),"")</f>
        <v/>
      </c>
      <c r="B186">
        <f>IF(ISNUMBER($A186),INDEX($P$6:$P$1505,$A186-3),"")</f>
        <v/>
      </c>
      <c r="C186">
        <f>IF(ISNUMBER($A186),INDEX($Q$6:$Q$1505,$A186-3),"")</f>
        <v/>
      </c>
      <c r="D186">
        <f>IF(ISNUMBER($A186),INDEX($R$6:$R$1505,$A186-3),"")</f>
        <v/>
      </c>
      <c r="E186">
        <f>IF(ISNUMBER($A186),$G$2,"")</f>
        <v/>
      </c>
      <c r="F186">
        <f>IF(ISNUMBER($A186),INDEX($Z$6:$Z$1505,$A186-3),"")</f>
        <v/>
      </c>
      <c r="G186">
        <f>IF(ISNUMBER($A186),INDEX($AA$6:$AA$1505,$A186-3),"")</f>
        <v/>
      </c>
      <c r="H186">
        <f>IF(ISNUMBER($A186),INDEX($U$6:$U$1505,$A186-3),"")</f>
        <v/>
      </c>
      <c r="I186">
        <f>IF(ISNUMBER($A186),INDEX($V$6:$V$1505,$A186-3),"")</f>
        <v/>
      </c>
      <c r="J186">
        <f>IF(ISNUMBER($A186),INDEX($W$6:$W$1505,$A186-3),"")</f>
        <v/>
      </c>
      <c r="K186">
        <f>IF(ISNUMBER($A186),INDEX($X$6:$X$1505,$A186-3),"")</f>
        <v/>
      </c>
      <c r="L186">
        <f>IF(ISNUMBER($A186),INDEX($Y$6:$Y$1505,$A186-3),"")</f>
        <v/>
      </c>
      <c r="O186">
        <f>184</f>
        <v/>
      </c>
      <c r="P186">
        <f>IF(TRIM('입력_구리근무자명단'!$A184&amp;"")&lt;&gt;"",TRIM('입력_구리근무자명단'!$A184&amp;""),P185)</f>
        <v/>
      </c>
      <c r="Q186">
        <f>'입력_구리근무자명단'!$B184&amp;""</f>
        <v/>
      </c>
      <c r="R186">
        <f>IF($E$2="","",TRIM(INDEX('입력_구리근무자명단'!$A184:$ZZ184,1,$E$2+IF($G$2="확정",1,0))&amp;""))</f>
        <v/>
      </c>
      <c r="S186">
        <f>IF($R186="","",IF(INDEX('입력_구리근무자명단'!$A184:$ZZ184,1,$E$2+2)&amp;""="",급여기준월,IF(ISNUMBER(INDEX('입력_구리근무자명단'!$A184:$ZZ184,1,$E$2+2)),INDEX('입력_구리근무자명단'!$A184:$ZZ184,1,$E$2+2),IFERROR(DATE(VALUE(LEFT(INDEX('입력_구리근무자명단'!$A184:$ZZ184,1,$E$2+2),4)),VALUE(MID(INDEX('입력_구리근무자명단'!$A184:$ZZ184,1,$E$2+2),6,2)),VALUE(MID(INDEX('입력_구리근무자명단'!$A184:$ZZ184,1,$E$2+2),9,2))),-1))))</f>
        <v/>
      </c>
      <c r="T186">
        <f>IF($R186="","",IF(INDEX('입력_구리근무자명단'!$A184:$ZZ184,1,$E$2+3)&amp;""="",EOMONTH(급여기준월,0),IF(ISNUMBER(INDEX('입력_구리근무자명단'!$A184:$ZZ184,1,$E$2+3)),INDEX('입력_구리근무자명단'!$A184:$ZZ184,1,$E$2+3),IFERROR(DATE(VALUE(LEFT(INDEX('입력_구리근무자명단'!$A184:$ZZ184,1,$E$2+3),4)),VALUE(MID(INDEX('입력_구리근무자명단'!$A184:$ZZ184,1,$E$2+3),6,2)),VALUE(MID(INDEX('입력_구리근무자명단'!$A184:$ZZ184,1,$E$2+3),9,2))),-1))))</f>
        <v/>
      </c>
      <c r="U186">
        <f>IF($R186="","",IF(OR($S186&lt;0,$T186&lt;0),0,MAX(0,MIN($T186,EOMONTH(급여기준월,0))-MAX($S186,급여기준월)+1)))</f>
        <v/>
      </c>
      <c r="V186">
        <f>IF($R186="","",TRIM(INDEX('입력_구리근무자명단'!$A184:$ZZ184,1,$E$2+5)&amp;""))</f>
        <v/>
      </c>
      <c r="W186">
        <f>IF(ISNUMBER(SEARCH("구리독자",$V186)),"구리독자","")</f>
        <v/>
      </c>
      <c r="X186">
        <f>IF($R186="","",$R186&amp;"|"&amp;IF(OR($Q186="인턴",ISNUMBER(SEARCH("수련교육부",$P186))),"인턴",$P186))</f>
        <v/>
      </c>
      <c r="Y186">
        <f>IF($R186="","",IF(COUNTIF(명단표[이름|과],$X186)=1,"명단 일치",IF(AND(COUNTIF(명단표[이름|과],$X186)=0,COUNTIF(명단표[이름],$R186)=1),"명단 일치(이름만, 과 다름)",IF(COUNTIF(명단표[이름],$R186)=0,IF(COUNTIF(기본자료표[이름],$R186)&gt;0,"명단에 없음(기본자료에는 있음)","명단에 없음"),"동명이인 확인"))))</f>
        <v/>
      </c>
      <c r="Z186">
        <f>IF($R186="","",IF($S186&lt;0,"⚠"&amp;INDEX('입력_구리근무자명단'!$A184:$ZZ184,1,$E$2+2),TEXT($S186,"yyyy-mm-dd")))</f>
        <v/>
      </c>
      <c r="AA186">
        <f>IF($R186="","",IF($T186&lt;0,"⚠"&amp;INDEX('입력_구리근무자명단'!$A184:$ZZ184,1,$E$2+3),TEXT($T186,"yyyy-mm-dd")))</f>
        <v/>
      </c>
      <c r="AB186">
        <f>AB185+IF($R186="",0,1)</f>
        <v/>
      </c>
      <c r="AC186">
        <f>IF($R186="","",$AB186)</f>
        <v/>
      </c>
    </row>
    <row r="187">
      <c r="A187">
        <f>IFERROR(INDEX($O$6:$O$1505,MATCH(182,$AC$6:$AC$1505,0)),"")</f>
        <v/>
      </c>
      <c r="B187">
        <f>IF(ISNUMBER($A187),INDEX($P$6:$P$1505,$A187-3),"")</f>
        <v/>
      </c>
      <c r="C187">
        <f>IF(ISNUMBER($A187),INDEX($Q$6:$Q$1505,$A187-3),"")</f>
        <v/>
      </c>
      <c r="D187">
        <f>IF(ISNUMBER($A187),INDEX($R$6:$R$1505,$A187-3),"")</f>
        <v/>
      </c>
      <c r="E187">
        <f>IF(ISNUMBER($A187),$G$2,"")</f>
        <v/>
      </c>
      <c r="F187">
        <f>IF(ISNUMBER($A187),INDEX($Z$6:$Z$1505,$A187-3),"")</f>
        <v/>
      </c>
      <c r="G187">
        <f>IF(ISNUMBER($A187),INDEX($AA$6:$AA$1505,$A187-3),"")</f>
        <v/>
      </c>
      <c r="H187">
        <f>IF(ISNUMBER($A187),INDEX($U$6:$U$1505,$A187-3),"")</f>
        <v/>
      </c>
      <c r="I187">
        <f>IF(ISNUMBER($A187),INDEX($V$6:$V$1505,$A187-3),"")</f>
        <v/>
      </c>
      <c r="J187">
        <f>IF(ISNUMBER($A187),INDEX($W$6:$W$1505,$A187-3),"")</f>
        <v/>
      </c>
      <c r="K187">
        <f>IF(ISNUMBER($A187),INDEX($X$6:$X$1505,$A187-3),"")</f>
        <v/>
      </c>
      <c r="L187">
        <f>IF(ISNUMBER($A187),INDEX($Y$6:$Y$1505,$A187-3),"")</f>
        <v/>
      </c>
      <c r="O187">
        <f>185</f>
        <v/>
      </c>
      <c r="P187">
        <f>IF(TRIM('입력_구리근무자명단'!$A185&amp;"")&lt;&gt;"",TRIM('입력_구리근무자명단'!$A185&amp;""),P186)</f>
        <v/>
      </c>
      <c r="Q187">
        <f>'입력_구리근무자명단'!$B185&amp;""</f>
        <v/>
      </c>
      <c r="R187">
        <f>IF($E$2="","",TRIM(INDEX('입력_구리근무자명단'!$A185:$ZZ185,1,$E$2+IF($G$2="확정",1,0))&amp;""))</f>
        <v/>
      </c>
      <c r="S187">
        <f>IF($R187="","",IF(INDEX('입력_구리근무자명단'!$A185:$ZZ185,1,$E$2+2)&amp;""="",급여기준월,IF(ISNUMBER(INDEX('입력_구리근무자명단'!$A185:$ZZ185,1,$E$2+2)),INDEX('입력_구리근무자명단'!$A185:$ZZ185,1,$E$2+2),IFERROR(DATE(VALUE(LEFT(INDEX('입력_구리근무자명단'!$A185:$ZZ185,1,$E$2+2),4)),VALUE(MID(INDEX('입력_구리근무자명단'!$A185:$ZZ185,1,$E$2+2),6,2)),VALUE(MID(INDEX('입력_구리근무자명단'!$A185:$ZZ185,1,$E$2+2),9,2))),-1))))</f>
        <v/>
      </c>
      <c r="T187">
        <f>IF($R187="","",IF(INDEX('입력_구리근무자명단'!$A185:$ZZ185,1,$E$2+3)&amp;""="",EOMONTH(급여기준월,0),IF(ISNUMBER(INDEX('입력_구리근무자명단'!$A185:$ZZ185,1,$E$2+3)),INDEX('입력_구리근무자명단'!$A185:$ZZ185,1,$E$2+3),IFERROR(DATE(VALUE(LEFT(INDEX('입력_구리근무자명단'!$A185:$ZZ185,1,$E$2+3),4)),VALUE(MID(INDEX('입력_구리근무자명단'!$A185:$ZZ185,1,$E$2+3),6,2)),VALUE(MID(INDEX('입력_구리근무자명단'!$A185:$ZZ185,1,$E$2+3),9,2))),-1))))</f>
        <v/>
      </c>
      <c r="U187">
        <f>IF($R187="","",IF(OR($S187&lt;0,$T187&lt;0),0,MAX(0,MIN($T187,EOMONTH(급여기준월,0))-MAX($S187,급여기준월)+1)))</f>
        <v/>
      </c>
      <c r="V187">
        <f>IF($R187="","",TRIM(INDEX('입력_구리근무자명단'!$A185:$ZZ185,1,$E$2+5)&amp;""))</f>
        <v/>
      </c>
      <c r="W187">
        <f>IF(ISNUMBER(SEARCH("구리독자",$V187)),"구리독자","")</f>
        <v/>
      </c>
      <c r="X187">
        <f>IF($R187="","",$R187&amp;"|"&amp;IF(OR($Q187="인턴",ISNUMBER(SEARCH("수련교육부",$P187))),"인턴",$P187))</f>
        <v/>
      </c>
      <c r="Y187">
        <f>IF($R187="","",IF(COUNTIF(명단표[이름|과],$X187)=1,"명단 일치",IF(AND(COUNTIF(명단표[이름|과],$X187)=0,COUNTIF(명단표[이름],$R187)=1),"명단 일치(이름만, 과 다름)",IF(COUNTIF(명단표[이름],$R187)=0,IF(COUNTIF(기본자료표[이름],$R187)&gt;0,"명단에 없음(기본자료에는 있음)","명단에 없음"),"동명이인 확인"))))</f>
        <v/>
      </c>
      <c r="Z187">
        <f>IF($R187="","",IF($S187&lt;0,"⚠"&amp;INDEX('입력_구리근무자명단'!$A185:$ZZ185,1,$E$2+2),TEXT($S187,"yyyy-mm-dd")))</f>
        <v/>
      </c>
      <c r="AA187">
        <f>IF($R187="","",IF($T187&lt;0,"⚠"&amp;INDEX('입력_구리근무자명단'!$A185:$ZZ185,1,$E$2+3),TEXT($T187,"yyyy-mm-dd")))</f>
        <v/>
      </c>
      <c r="AB187">
        <f>AB186+IF($R187="",0,1)</f>
        <v/>
      </c>
      <c r="AC187">
        <f>IF($R187="","",$AB187)</f>
        <v/>
      </c>
    </row>
    <row r="188">
      <c r="A188">
        <f>IFERROR(INDEX($O$6:$O$1505,MATCH(183,$AC$6:$AC$1505,0)),"")</f>
        <v/>
      </c>
      <c r="B188">
        <f>IF(ISNUMBER($A188),INDEX($P$6:$P$1505,$A188-3),"")</f>
        <v/>
      </c>
      <c r="C188">
        <f>IF(ISNUMBER($A188),INDEX($Q$6:$Q$1505,$A188-3),"")</f>
        <v/>
      </c>
      <c r="D188">
        <f>IF(ISNUMBER($A188),INDEX($R$6:$R$1505,$A188-3),"")</f>
        <v/>
      </c>
      <c r="E188">
        <f>IF(ISNUMBER($A188),$G$2,"")</f>
        <v/>
      </c>
      <c r="F188">
        <f>IF(ISNUMBER($A188),INDEX($Z$6:$Z$1505,$A188-3),"")</f>
        <v/>
      </c>
      <c r="G188">
        <f>IF(ISNUMBER($A188),INDEX($AA$6:$AA$1505,$A188-3),"")</f>
        <v/>
      </c>
      <c r="H188">
        <f>IF(ISNUMBER($A188),INDEX($U$6:$U$1505,$A188-3),"")</f>
        <v/>
      </c>
      <c r="I188">
        <f>IF(ISNUMBER($A188),INDEX($V$6:$V$1505,$A188-3),"")</f>
        <v/>
      </c>
      <c r="J188">
        <f>IF(ISNUMBER($A188),INDEX($W$6:$W$1505,$A188-3),"")</f>
        <v/>
      </c>
      <c r="K188">
        <f>IF(ISNUMBER($A188),INDEX($X$6:$X$1505,$A188-3),"")</f>
        <v/>
      </c>
      <c r="L188">
        <f>IF(ISNUMBER($A188),INDEX($Y$6:$Y$1505,$A188-3),"")</f>
        <v/>
      </c>
      <c r="O188">
        <f>186</f>
        <v/>
      </c>
      <c r="P188">
        <f>IF(TRIM('입력_구리근무자명단'!$A186&amp;"")&lt;&gt;"",TRIM('입력_구리근무자명단'!$A186&amp;""),P187)</f>
        <v/>
      </c>
      <c r="Q188">
        <f>'입력_구리근무자명단'!$B186&amp;""</f>
        <v/>
      </c>
      <c r="R188">
        <f>IF($E$2="","",TRIM(INDEX('입력_구리근무자명단'!$A186:$ZZ186,1,$E$2+IF($G$2="확정",1,0))&amp;""))</f>
        <v/>
      </c>
      <c r="S188">
        <f>IF($R188="","",IF(INDEX('입력_구리근무자명단'!$A186:$ZZ186,1,$E$2+2)&amp;""="",급여기준월,IF(ISNUMBER(INDEX('입력_구리근무자명단'!$A186:$ZZ186,1,$E$2+2)),INDEX('입력_구리근무자명단'!$A186:$ZZ186,1,$E$2+2),IFERROR(DATE(VALUE(LEFT(INDEX('입력_구리근무자명단'!$A186:$ZZ186,1,$E$2+2),4)),VALUE(MID(INDEX('입력_구리근무자명단'!$A186:$ZZ186,1,$E$2+2),6,2)),VALUE(MID(INDEX('입력_구리근무자명단'!$A186:$ZZ186,1,$E$2+2),9,2))),-1))))</f>
        <v/>
      </c>
      <c r="T188">
        <f>IF($R188="","",IF(INDEX('입력_구리근무자명단'!$A186:$ZZ186,1,$E$2+3)&amp;""="",EOMONTH(급여기준월,0),IF(ISNUMBER(INDEX('입력_구리근무자명단'!$A186:$ZZ186,1,$E$2+3)),INDEX('입력_구리근무자명단'!$A186:$ZZ186,1,$E$2+3),IFERROR(DATE(VALUE(LEFT(INDEX('입력_구리근무자명단'!$A186:$ZZ186,1,$E$2+3),4)),VALUE(MID(INDEX('입력_구리근무자명단'!$A186:$ZZ186,1,$E$2+3),6,2)),VALUE(MID(INDEX('입력_구리근무자명단'!$A186:$ZZ186,1,$E$2+3),9,2))),-1))))</f>
        <v/>
      </c>
      <c r="U188">
        <f>IF($R188="","",IF(OR($S188&lt;0,$T188&lt;0),0,MAX(0,MIN($T188,EOMONTH(급여기준월,0))-MAX($S188,급여기준월)+1)))</f>
        <v/>
      </c>
      <c r="V188">
        <f>IF($R188="","",TRIM(INDEX('입력_구리근무자명단'!$A186:$ZZ186,1,$E$2+5)&amp;""))</f>
        <v/>
      </c>
      <c r="W188">
        <f>IF(ISNUMBER(SEARCH("구리독자",$V188)),"구리독자","")</f>
        <v/>
      </c>
      <c r="X188">
        <f>IF($R188="","",$R188&amp;"|"&amp;IF(OR($Q188="인턴",ISNUMBER(SEARCH("수련교육부",$P188))),"인턴",$P188))</f>
        <v/>
      </c>
      <c r="Y188">
        <f>IF($R188="","",IF(COUNTIF(명단표[이름|과],$X188)=1,"명단 일치",IF(AND(COUNTIF(명단표[이름|과],$X188)=0,COUNTIF(명단표[이름],$R188)=1),"명단 일치(이름만, 과 다름)",IF(COUNTIF(명단표[이름],$R188)=0,IF(COUNTIF(기본자료표[이름],$R188)&gt;0,"명단에 없음(기본자료에는 있음)","명단에 없음"),"동명이인 확인"))))</f>
        <v/>
      </c>
      <c r="Z188">
        <f>IF($R188="","",IF($S188&lt;0,"⚠"&amp;INDEX('입력_구리근무자명단'!$A186:$ZZ186,1,$E$2+2),TEXT($S188,"yyyy-mm-dd")))</f>
        <v/>
      </c>
      <c r="AA188">
        <f>IF($R188="","",IF($T188&lt;0,"⚠"&amp;INDEX('입력_구리근무자명단'!$A186:$ZZ186,1,$E$2+3),TEXT($T188,"yyyy-mm-dd")))</f>
        <v/>
      </c>
      <c r="AB188">
        <f>AB187+IF($R188="",0,1)</f>
        <v/>
      </c>
      <c r="AC188">
        <f>IF($R188="","",$AB188)</f>
        <v/>
      </c>
    </row>
    <row r="189">
      <c r="A189">
        <f>IFERROR(INDEX($O$6:$O$1505,MATCH(184,$AC$6:$AC$1505,0)),"")</f>
        <v/>
      </c>
      <c r="B189">
        <f>IF(ISNUMBER($A189),INDEX($P$6:$P$1505,$A189-3),"")</f>
        <v/>
      </c>
      <c r="C189">
        <f>IF(ISNUMBER($A189),INDEX($Q$6:$Q$1505,$A189-3),"")</f>
        <v/>
      </c>
      <c r="D189">
        <f>IF(ISNUMBER($A189),INDEX($R$6:$R$1505,$A189-3),"")</f>
        <v/>
      </c>
      <c r="E189">
        <f>IF(ISNUMBER($A189),$G$2,"")</f>
        <v/>
      </c>
      <c r="F189">
        <f>IF(ISNUMBER($A189),INDEX($Z$6:$Z$1505,$A189-3),"")</f>
        <v/>
      </c>
      <c r="G189">
        <f>IF(ISNUMBER($A189),INDEX($AA$6:$AA$1505,$A189-3),"")</f>
        <v/>
      </c>
      <c r="H189">
        <f>IF(ISNUMBER($A189),INDEX($U$6:$U$1505,$A189-3),"")</f>
        <v/>
      </c>
      <c r="I189">
        <f>IF(ISNUMBER($A189),INDEX($V$6:$V$1505,$A189-3),"")</f>
        <v/>
      </c>
      <c r="J189">
        <f>IF(ISNUMBER($A189),INDEX($W$6:$W$1505,$A189-3),"")</f>
        <v/>
      </c>
      <c r="K189">
        <f>IF(ISNUMBER($A189),INDEX($X$6:$X$1505,$A189-3),"")</f>
        <v/>
      </c>
      <c r="L189">
        <f>IF(ISNUMBER($A189),INDEX($Y$6:$Y$1505,$A189-3),"")</f>
        <v/>
      </c>
      <c r="O189">
        <f>187</f>
        <v/>
      </c>
      <c r="P189">
        <f>IF(TRIM('입력_구리근무자명단'!$A187&amp;"")&lt;&gt;"",TRIM('입력_구리근무자명단'!$A187&amp;""),P188)</f>
        <v/>
      </c>
      <c r="Q189">
        <f>'입력_구리근무자명단'!$B187&amp;""</f>
        <v/>
      </c>
      <c r="R189">
        <f>IF($E$2="","",TRIM(INDEX('입력_구리근무자명단'!$A187:$ZZ187,1,$E$2+IF($G$2="확정",1,0))&amp;""))</f>
        <v/>
      </c>
      <c r="S189">
        <f>IF($R189="","",IF(INDEX('입력_구리근무자명단'!$A187:$ZZ187,1,$E$2+2)&amp;""="",급여기준월,IF(ISNUMBER(INDEX('입력_구리근무자명단'!$A187:$ZZ187,1,$E$2+2)),INDEX('입력_구리근무자명단'!$A187:$ZZ187,1,$E$2+2),IFERROR(DATE(VALUE(LEFT(INDEX('입력_구리근무자명단'!$A187:$ZZ187,1,$E$2+2),4)),VALUE(MID(INDEX('입력_구리근무자명단'!$A187:$ZZ187,1,$E$2+2),6,2)),VALUE(MID(INDEX('입력_구리근무자명단'!$A187:$ZZ187,1,$E$2+2),9,2))),-1))))</f>
        <v/>
      </c>
      <c r="T189">
        <f>IF($R189="","",IF(INDEX('입력_구리근무자명단'!$A187:$ZZ187,1,$E$2+3)&amp;""="",EOMONTH(급여기준월,0),IF(ISNUMBER(INDEX('입력_구리근무자명단'!$A187:$ZZ187,1,$E$2+3)),INDEX('입력_구리근무자명단'!$A187:$ZZ187,1,$E$2+3),IFERROR(DATE(VALUE(LEFT(INDEX('입력_구리근무자명단'!$A187:$ZZ187,1,$E$2+3),4)),VALUE(MID(INDEX('입력_구리근무자명단'!$A187:$ZZ187,1,$E$2+3),6,2)),VALUE(MID(INDEX('입력_구리근무자명단'!$A187:$ZZ187,1,$E$2+3),9,2))),-1))))</f>
        <v/>
      </c>
      <c r="U189">
        <f>IF($R189="","",IF(OR($S189&lt;0,$T189&lt;0),0,MAX(0,MIN($T189,EOMONTH(급여기준월,0))-MAX($S189,급여기준월)+1)))</f>
        <v/>
      </c>
      <c r="V189">
        <f>IF($R189="","",TRIM(INDEX('입력_구리근무자명단'!$A187:$ZZ187,1,$E$2+5)&amp;""))</f>
        <v/>
      </c>
      <c r="W189">
        <f>IF(ISNUMBER(SEARCH("구리독자",$V189)),"구리독자","")</f>
        <v/>
      </c>
      <c r="X189">
        <f>IF($R189="","",$R189&amp;"|"&amp;IF(OR($Q189="인턴",ISNUMBER(SEARCH("수련교육부",$P189))),"인턴",$P189))</f>
        <v/>
      </c>
      <c r="Y189">
        <f>IF($R189="","",IF(COUNTIF(명단표[이름|과],$X189)=1,"명단 일치",IF(AND(COUNTIF(명단표[이름|과],$X189)=0,COUNTIF(명단표[이름],$R189)=1),"명단 일치(이름만, 과 다름)",IF(COUNTIF(명단표[이름],$R189)=0,IF(COUNTIF(기본자료표[이름],$R189)&gt;0,"명단에 없음(기본자료에는 있음)","명단에 없음"),"동명이인 확인"))))</f>
        <v/>
      </c>
      <c r="Z189">
        <f>IF($R189="","",IF($S189&lt;0,"⚠"&amp;INDEX('입력_구리근무자명단'!$A187:$ZZ187,1,$E$2+2),TEXT($S189,"yyyy-mm-dd")))</f>
        <v/>
      </c>
      <c r="AA189">
        <f>IF($R189="","",IF($T189&lt;0,"⚠"&amp;INDEX('입력_구리근무자명단'!$A187:$ZZ187,1,$E$2+3),TEXT($T189,"yyyy-mm-dd")))</f>
        <v/>
      </c>
      <c r="AB189">
        <f>AB188+IF($R189="",0,1)</f>
        <v/>
      </c>
      <c r="AC189">
        <f>IF($R189="","",$AB189)</f>
        <v/>
      </c>
    </row>
    <row r="190">
      <c r="A190">
        <f>IFERROR(INDEX($O$6:$O$1505,MATCH(185,$AC$6:$AC$1505,0)),"")</f>
        <v/>
      </c>
      <c r="B190">
        <f>IF(ISNUMBER($A190),INDEX($P$6:$P$1505,$A190-3),"")</f>
        <v/>
      </c>
      <c r="C190">
        <f>IF(ISNUMBER($A190),INDEX($Q$6:$Q$1505,$A190-3),"")</f>
        <v/>
      </c>
      <c r="D190">
        <f>IF(ISNUMBER($A190),INDEX($R$6:$R$1505,$A190-3),"")</f>
        <v/>
      </c>
      <c r="E190">
        <f>IF(ISNUMBER($A190),$G$2,"")</f>
        <v/>
      </c>
      <c r="F190">
        <f>IF(ISNUMBER($A190),INDEX($Z$6:$Z$1505,$A190-3),"")</f>
        <v/>
      </c>
      <c r="G190">
        <f>IF(ISNUMBER($A190),INDEX($AA$6:$AA$1505,$A190-3),"")</f>
        <v/>
      </c>
      <c r="H190">
        <f>IF(ISNUMBER($A190),INDEX($U$6:$U$1505,$A190-3),"")</f>
        <v/>
      </c>
      <c r="I190">
        <f>IF(ISNUMBER($A190),INDEX($V$6:$V$1505,$A190-3),"")</f>
        <v/>
      </c>
      <c r="J190">
        <f>IF(ISNUMBER($A190),INDEX($W$6:$W$1505,$A190-3),"")</f>
        <v/>
      </c>
      <c r="K190">
        <f>IF(ISNUMBER($A190),INDEX($X$6:$X$1505,$A190-3),"")</f>
        <v/>
      </c>
      <c r="L190">
        <f>IF(ISNUMBER($A190),INDEX($Y$6:$Y$1505,$A190-3),"")</f>
        <v/>
      </c>
      <c r="O190">
        <f>188</f>
        <v/>
      </c>
      <c r="P190">
        <f>IF(TRIM('입력_구리근무자명단'!$A188&amp;"")&lt;&gt;"",TRIM('입력_구리근무자명단'!$A188&amp;""),P189)</f>
        <v/>
      </c>
      <c r="Q190">
        <f>'입력_구리근무자명단'!$B188&amp;""</f>
        <v/>
      </c>
      <c r="R190">
        <f>IF($E$2="","",TRIM(INDEX('입력_구리근무자명단'!$A188:$ZZ188,1,$E$2+IF($G$2="확정",1,0))&amp;""))</f>
        <v/>
      </c>
      <c r="S190">
        <f>IF($R190="","",IF(INDEX('입력_구리근무자명단'!$A188:$ZZ188,1,$E$2+2)&amp;""="",급여기준월,IF(ISNUMBER(INDEX('입력_구리근무자명단'!$A188:$ZZ188,1,$E$2+2)),INDEX('입력_구리근무자명단'!$A188:$ZZ188,1,$E$2+2),IFERROR(DATE(VALUE(LEFT(INDEX('입력_구리근무자명단'!$A188:$ZZ188,1,$E$2+2),4)),VALUE(MID(INDEX('입력_구리근무자명단'!$A188:$ZZ188,1,$E$2+2),6,2)),VALUE(MID(INDEX('입력_구리근무자명단'!$A188:$ZZ188,1,$E$2+2),9,2))),-1))))</f>
        <v/>
      </c>
      <c r="T190">
        <f>IF($R190="","",IF(INDEX('입력_구리근무자명단'!$A188:$ZZ188,1,$E$2+3)&amp;""="",EOMONTH(급여기준월,0),IF(ISNUMBER(INDEX('입력_구리근무자명단'!$A188:$ZZ188,1,$E$2+3)),INDEX('입력_구리근무자명단'!$A188:$ZZ188,1,$E$2+3),IFERROR(DATE(VALUE(LEFT(INDEX('입력_구리근무자명단'!$A188:$ZZ188,1,$E$2+3),4)),VALUE(MID(INDEX('입력_구리근무자명단'!$A188:$ZZ188,1,$E$2+3),6,2)),VALUE(MID(INDEX('입력_구리근무자명단'!$A188:$ZZ188,1,$E$2+3),9,2))),-1))))</f>
        <v/>
      </c>
      <c r="U190">
        <f>IF($R190="","",IF(OR($S190&lt;0,$T190&lt;0),0,MAX(0,MIN($T190,EOMONTH(급여기준월,0))-MAX($S190,급여기준월)+1)))</f>
        <v/>
      </c>
      <c r="V190">
        <f>IF($R190="","",TRIM(INDEX('입력_구리근무자명단'!$A188:$ZZ188,1,$E$2+5)&amp;""))</f>
        <v/>
      </c>
      <c r="W190">
        <f>IF(ISNUMBER(SEARCH("구리독자",$V190)),"구리독자","")</f>
        <v/>
      </c>
      <c r="X190">
        <f>IF($R190="","",$R190&amp;"|"&amp;IF(OR($Q190="인턴",ISNUMBER(SEARCH("수련교육부",$P190))),"인턴",$P190))</f>
        <v/>
      </c>
      <c r="Y190">
        <f>IF($R190="","",IF(COUNTIF(명단표[이름|과],$X190)=1,"명단 일치",IF(AND(COUNTIF(명단표[이름|과],$X190)=0,COUNTIF(명단표[이름],$R190)=1),"명단 일치(이름만, 과 다름)",IF(COUNTIF(명단표[이름],$R190)=0,IF(COUNTIF(기본자료표[이름],$R190)&gt;0,"명단에 없음(기본자료에는 있음)","명단에 없음"),"동명이인 확인"))))</f>
        <v/>
      </c>
      <c r="Z190">
        <f>IF($R190="","",IF($S190&lt;0,"⚠"&amp;INDEX('입력_구리근무자명단'!$A188:$ZZ188,1,$E$2+2),TEXT($S190,"yyyy-mm-dd")))</f>
        <v/>
      </c>
      <c r="AA190">
        <f>IF($R190="","",IF($T190&lt;0,"⚠"&amp;INDEX('입력_구리근무자명단'!$A188:$ZZ188,1,$E$2+3),TEXT($T190,"yyyy-mm-dd")))</f>
        <v/>
      </c>
      <c r="AB190">
        <f>AB189+IF($R190="",0,1)</f>
        <v/>
      </c>
      <c r="AC190">
        <f>IF($R190="","",$AB190)</f>
        <v/>
      </c>
    </row>
    <row r="191">
      <c r="A191">
        <f>IFERROR(INDEX($O$6:$O$1505,MATCH(186,$AC$6:$AC$1505,0)),"")</f>
        <v/>
      </c>
      <c r="B191">
        <f>IF(ISNUMBER($A191),INDEX($P$6:$P$1505,$A191-3),"")</f>
        <v/>
      </c>
      <c r="C191">
        <f>IF(ISNUMBER($A191),INDEX($Q$6:$Q$1505,$A191-3),"")</f>
        <v/>
      </c>
      <c r="D191">
        <f>IF(ISNUMBER($A191),INDEX($R$6:$R$1505,$A191-3),"")</f>
        <v/>
      </c>
      <c r="E191">
        <f>IF(ISNUMBER($A191),$G$2,"")</f>
        <v/>
      </c>
      <c r="F191">
        <f>IF(ISNUMBER($A191),INDEX($Z$6:$Z$1505,$A191-3),"")</f>
        <v/>
      </c>
      <c r="G191">
        <f>IF(ISNUMBER($A191),INDEX($AA$6:$AA$1505,$A191-3),"")</f>
        <v/>
      </c>
      <c r="H191">
        <f>IF(ISNUMBER($A191),INDEX($U$6:$U$1505,$A191-3),"")</f>
        <v/>
      </c>
      <c r="I191">
        <f>IF(ISNUMBER($A191),INDEX($V$6:$V$1505,$A191-3),"")</f>
        <v/>
      </c>
      <c r="J191">
        <f>IF(ISNUMBER($A191),INDEX($W$6:$W$1505,$A191-3),"")</f>
        <v/>
      </c>
      <c r="K191">
        <f>IF(ISNUMBER($A191),INDEX($X$6:$X$1505,$A191-3),"")</f>
        <v/>
      </c>
      <c r="L191">
        <f>IF(ISNUMBER($A191),INDEX($Y$6:$Y$1505,$A191-3),"")</f>
        <v/>
      </c>
      <c r="O191">
        <f>189</f>
        <v/>
      </c>
      <c r="P191">
        <f>IF(TRIM('입력_구리근무자명단'!$A189&amp;"")&lt;&gt;"",TRIM('입력_구리근무자명단'!$A189&amp;""),P190)</f>
        <v/>
      </c>
      <c r="Q191">
        <f>'입력_구리근무자명단'!$B189&amp;""</f>
        <v/>
      </c>
      <c r="R191">
        <f>IF($E$2="","",TRIM(INDEX('입력_구리근무자명단'!$A189:$ZZ189,1,$E$2+IF($G$2="확정",1,0))&amp;""))</f>
        <v/>
      </c>
      <c r="S191">
        <f>IF($R191="","",IF(INDEX('입력_구리근무자명단'!$A189:$ZZ189,1,$E$2+2)&amp;""="",급여기준월,IF(ISNUMBER(INDEX('입력_구리근무자명단'!$A189:$ZZ189,1,$E$2+2)),INDEX('입력_구리근무자명단'!$A189:$ZZ189,1,$E$2+2),IFERROR(DATE(VALUE(LEFT(INDEX('입력_구리근무자명단'!$A189:$ZZ189,1,$E$2+2),4)),VALUE(MID(INDEX('입력_구리근무자명단'!$A189:$ZZ189,1,$E$2+2),6,2)),VALUE(MID(INDEX('입력_구리근무자명단'!$A189:$ZZ189,1,$E$2+2),9,2))),-1))))</f>
        <v/>
      </c>
      <c r="T191">
        <f>IF($R191="","",IF(INDEX('입력_구리근무자명단'!$A189:$ZZ189,1,$E$2+3)&amp;""="",EOMONTH(급여기준월,0),IF(ISNUMBER(INDEX('입력_구리근무자명단'!$A189:$ZZ189,1,$E$2+3)),INDEX('입력_구리근무자명단'!$A189:$ZZ189,1,$E$2+3),IFERROR(DATE(VALUE(LEFT(INDEX('입력_구리근무자명단'!$A189:$ZZ189,1,$E$2+3),4)),VALUE(MID(INDEX('입력_구리근무자명단'!$A189:$ZZ189,1,$E$2+3),6,2)),VALUE(MID(INDEX('입력_구리근무자명단'!$A189:$ZZ189,1,$E$2+3),9,2))),-1))))</f>
        <v/>
      </c>
      <c r="U191">
        <f>IF($R191="","",IF(OR($S191&lt;0,$T191&lt;0),0,MAX(0,MIN($T191,EOMONTH(급여기준월,0))-MAX($S191,급여기준월)+1)))</f>
        <v/>
      </c>
      <c r="V191">
        <f>IF($R191="","",TRIM(INDEX('입력_구리근무자명단'!$A189:$ZZ189,1,$E$2+5)&amp;""))</f>
        <v/>
      </c>
      <c r="W191">
        <f>IF(ISNUMBER(SEARCH("구리독자",$V191)),"구리독자","")</f>
        <v/>
      </c>
      <c r="X191">
        <f>IF($R191="","",$R191&amp;"|"&amp;IF(OR($Q191="인턴",ISNUMBER(SEARCH("수련교육부",$P191))),"인턴",$P191))</f>
        <v/>
      </c>
      <c r="Y191">
        <f>IF($R191="","",IF(COUNTIF(명단표[이름|과],$X191)=1,"명단 일치",IF(AND(COUNTIF(명단표[이름|과],$X191)=0,COUNTIF(명단표[이름],$R191)=1),"명단 일치(이름만, 과 다름)",IF(COUNTIF(명단표[이름],$R191)=0,IF(COUNTIF(기본자료표[이름],$R191)&gt;0,"명단에 없음(기본자료에는 있음)","명단에 없음"),"동명이인 확인"))))</f>
        <v/>
      </c>
      <c r="Z191">
        <f>IF($R191="","",IF($S191&lt;0,"⚠"&amp;INDEX('입력_구리근무자명단'!$A189:$ZZ189,1,$E$2+2),TEXT($S191,"yyyy-mm-dd")))</f>
        <v/>
      </c>
      <c r="AA191">
        <f>IF($R191="","",IF($T191&lt;0,"⚠"&amp;INDEX('입력_구리근무자명단'!$A189:$ZZ189,1,$E$2+3),TEXT($T191,"yyyy-mm-dd")))</f>
        <v/>
      </c>
      <c r="AB191">
        <f>AB190+IF($R191="",0,1)</f>
        <v/>
      </c>
      <c r="AC191">
        <f>IF($R191="","",$AB191)</f>
        <v/>
      </c>
    </row>
    <row r="192">
      <c r="A192">
        <f>IFERROR(INDEX($O$6:$O$1505,MATCH(187,$AC$6:$AC$1505,0)),"")</f>
        <v/>
      </c>
      <c r="B192">
        <f>IF(ISNUMBER($A192),INDEX($P$6:$P$1505,$A192-3),"")</f>
        <v/>
      </c>
      <c r="C192">
        <f>IF(ISNUMBER($A192),INDEX($Q$6:$Q$1505,$A192-3),"")</f>
        <v/>
      </c>
      <c r="D192">
        <f>IF(ISNUMBER($A192),INDEX($R$6:$R$1505,$A192-3),"")</f>
        <v/>
      </c>
      <c r="E192">
        <f>IF(ISNUMBER($A192),$G$2,"")</f>
        <v/>
      </c>
      <c r="F192">
        <f>IF(ISNUMBER($A192),INDEX($Z$6:$Z$1505,$A192-3),"")</f>
        <v/>
      </c>
      <c r="G192">
        <f>IF(ISNUMBER($A192),INDEX($AA$6:$AA$1505,$A192-3),"")</f>
        <v/>
      </c>
      <c r="H192">
        <f>IF(ISNUMBER($A192),INDEX($U$6:$U$1505,$A192-3),"")</f>
        <v/>
      </c>
      <c r="I192">
        <f>IF(ISNUMBER($A192),INDEX($V$6:$V$1505,$A192-3),"")</f>
        <v/>
      </c>
      <c r="J192">
        <f>IF(ISNUMBER($A192),INDEX($W$6:$W$1505,$A192-3),"")</f>
        <v/>
      </c>
      <c r="K192">
        <f>IF(ISNUMBER($A192),INDEX($X$6:$X$1505,$A192-3),"")</f>
        <v/>
      </c>
      <c r="L192">
        <f>IF(ISNUMBER($A192),INDEX($Y$6:$Y$1505,$A192-3),"")</f>
        <v/>
      </c>
      <c r="O192">
        <f>190</f>
        <v/>
      </c>
      <c r="P192">
        <f>IF(TRIM('입력_구리근무자명단'!$A190&amp;"")&lt;&gt;"",TRIM('입력_구리근무자명단'!$A190&amp;""),P191)</f>
        <v/>
      </c>
      <c r="Q192">
        <f>'입력_구리근무자명단'!$B190&amp;""</f>
        <v/>
      </c>
      <c r="R192">
        <f>IF($E$2="","",TRIM(INDEX('입력_구리근무자명단'!$A190:$ZZ190,1,$E$2+IF($G$2="확정",1,0))&amp;""))</f>
        <v/>
      </c>
      <c r="S192">
        <f>IF($R192="","",IF(INDEX('입력_구리근무자명단'!$A190:$ZZ190,1,$E$2+2)&amp;""="",급여기준월,IF(ISNUMBER(INDEX('입력_구리근무자명단'!$A190:$ZZ190,1,$E$2+2)),INDEX('입력_구리근무자명단'!$A190:$ZZ190,1,$E$2+2),IFERROR(DATE(VALUE(LEFT(INDEX('입력_구리근무자명단'!$A190:$ZZ190,1,$E$2+2),4)),VALUE(MID(INDEX('입력_구리근무자명단'!$A190:$ZZ190,1,$E$2+2),6,2)),VALUE(MID(INDEX('입력_구리근무자명단'!$A190:$ZZ190,1,$E$2+2),9,2))),-1))))</f>
        <v/>
      </c>
      <c r="T192">
        <f>IF($R192="","",IF(INDEX('입력_구리근무자명단'!$A190:$ZZ190,1,$E$2+3)&amp;""="",EOMONTH(급여기준월,0),IF(ISNUMBER(INDEX('입력_구리근무자명단'!$A190:$ZZ190,1,$E$2+3)),INDEX('입력_구리근무자명단'!$A190:$ZZ190,1,$E$2+3),IFERROR(DATE(VALUE(LEFT(INDEX('입력_구리근무자명단'!$A190:$ZZ190,1,$E$2+3),4)),VALUE(MID(INDEX('입력_구리근무자명단'!$A190:$ZZ190,1,$E$2+3),6,2)),VALUE(MID(INDEX('입력_구리근무자명단'!$A190:$ZZ190,1,$E$2+3),9,2))),-1))))</f>
        <v/>
      </c>
      <c r="U192">
        <f>IF($R192="","",IF(OR($S192&lt;0,$T192&lt;0),0,MAX(0,MIN($T192,EOMONTH(급여기준월,0))-MAX($S192,급여기준월)+1)))</f>
        <v/>
      </c>
      <c r="V192">
        <f>IF($R192="","",TRIM(INDEX('입력_구리근무자명단'!$A190:$ZZ190,1,$E$2+5)&amp;""))</f>
        <v/>
      </c>
      <c r="W192">
        <f>IF(ISNUMBER(SEARCH("구리독자",$V192)),"구리독자","")</f>
        <v/>
      </c>
      <c r="X192">
        <f>IF($R192="","",$R192&amp;"|"&amp;IF(OR($Q192="인턴",ISNUMBER(SEARCH("수련교육부",$P192))),"인턴",$P192))</f>
        <v/>
      </c>
      <c r="Y192">
        <f>IF($R192="","",IF(COUNTIF(명단표[이름|과],$X192)=1,"명단 일치",IF(AND(COUNTIF(명단표[이름|과],$X192)=0,COUNTIF(명단표[이름],$R192)=1),"명단 일치(이름만, 과 다름)",IF(COUNTIF(명단표[이름],$R192)=0,IF(COUNTIF(기본자료표[이름],$R192)&gt;0,"명단에 없음(기본자료에는 있음)","명단에 없음"),"동명이인 확인"))))</f>
        <v/>
      </c>
      <c r="Z192">
        <f>IF($R192="","",IF($S192&lt;0,"⚠"&amp;INDEX('입력_구리근무자명단'!$A190:$ZZ190,1,$E$2+2),TEXT($S192,"yyyy-mm-dd")))</f>
        <v/>
      </c>
      <c r="AA192">
        <f>IF($R192="","",IF($T192&lt;0,"⚠"&amp;INDEX('입력_구리근무자명단'!$A190:$ZZ190,1,$E$2+3),TEXT($T192,"yyyy-mm-dd")))</f>
        <v/>
      </c>
      <c r="AB192">
        <f>AB191+IF($R192="",0,1)</f>
        <v/>
      </c>
      <c r="AC192">
        <f>IF($R192="","",$AB192)</f>
        <v/>
      </c>
    </row>
    <row r="193">
      <c r="A193">
        <f>IFERROR(INDEX($O$6:$O$1505,MATCH(188,$AC$6:$AC$1505,0)),"")</f>
        <v/>
      </c>
      <c r="B193">
        <f>IF(ISNUMBER($A193),INDEX($P$6:$P$1505,$A193-3),"")</f>
        <v/>
      </c>
      <c r="C193">
        <f>IF(ISNUMBER($A193),INDEX($Q$6:$Q$1505,$A193-3),"")</f>
        <v/>
      </c>
      <c r="D193">
        <f>IF(ISNUMBER($A193),INDEX($R$6:$R$1505,$A193-3),"")</f>
        <v/>
      </c>
      <c r="E193">
        <f>IF(ISNUMBER($A193),$G$2,"")</f>
        <v/>
      </c>
      <c r="F193">
        <f>IF(ISNUMBER($A193),INDEX($Z$6:$Z$1505,$A193-3),"")</f>
        <v/>
      </c>
      <c r="G193">
        <f>IF(ISNUMBER($A193),INDEX($AA$6:$AA$1505,$A193-3),"")</f>
        <v/>
      </c>
      <c r="H193">
        <f>IF(ISNUMBER($A193),INDEX($U$6:$U$1505,$A193-3),"")</f>
        <v/>
      </c>
      <c r="I193">
        <f>IF(ISNUMBER($A193),INDEX($V$6:$V$1505,$A193-3),"")</f>
        <v/>
      </c>
      <c r="J193">
        <f>IF(ISNUMBER($A193),INDEX($W$6:$W$1505,$A193-3),"")</f>
        <v/>
      </c>
      <c r="K193">
        <f>IF(ISNUMBER($A193),INDEX($X$6:$X$1505,$A193-3),"")</f>
        <v/>
      </c>
      <c r="L193">
        <f>IF(ISNUMBER($A193),INDEX($Y$6:$Y$1505,$A193-3),"")</f>
        <v/>
      </c>
      <c r="O193">
        <f>191</f>
        <v/>
      </c>
      <c r="P193">
        <f>IF(TRIM('입력_구리근무자명단'!$A191&amp;"")&lt;&gt;"",TRIM('입력_구리근무자명단'!$A191&amp;""),P192)</f>
        <v/>
      </c>
      <c r="Q193">
        <f>'입력_구리근무자명단'!$B191&amp;""</f>
        <v/>
      </c>
      <c r="R193">
        <f>IF($E$2="","",TRIM(INDEX('입력_구리근무자명단'!$A191:$ZZ191,1,$E$2+IF($G$2="확정",1,0))&amp;""))</f>
        <v/>
      </c>
      <c r="S193">
        <f>IF($R193="","",IF(INDEX('입력_구리근무자명단'!$A191:$ZZ191,1,$E$2+2)&amp;""="",급여기준월,IF(ISNUMBER(INDEX('입력_구리근무자명단'!$A191:$ZZ191,1,$E$2+2)),INDEX('입력_구리근무자명단'!$A191:$ZZ191,1,$E$2+2),IFERROR(DATE(VALUE(LEFT(INDEX('입력_구리근무자명단'!$A191:$ZZ191,1,$E$2+2),4)),VALUE(MID(INDEX('입력_구리근무자명단'!$A191:$ZZ191,1,$E$2+2),6,2)),VALUE(MID(INDEX('입력_구리근무자명단'!$A191:$ZZ191,1,$E$2+2),9,2))),-1))))</f>
        <v/>
      </c>
      <c r="T193">
        <f>IF($R193="","",IF(INDEX('입력_구리근무자명단'!$A191:$ZZ191,1,$E$2+3)&amp;""="",EOMONTH(급여기준월,0),IF(ISNUMBER(INDEX('입력_구리근무자명단'!$A191:$ZZ191,1,$E$2+3)),INDEX('입력_구리근무자명단'!$A191:$ZZ191,1,$E$2+3),IFERROR(DATE(VALUE(LEFT(INDEX('입력_구리근무자명단'!$A191:$ZZ191,1,$E$2+3),4)),VALUE(MID(INDEX('입력_구리근무자명단'!$A191:$ZZ191,1,$E$2+3),6,2)),VALUE(MID(INDEX('입력_구리근무자명단'!$A191:$ZZ191,1,$E$2+3),9,2))),-1))))</f>
        <v/>
      </c>
      <c r="U193">
        <f>IF($R193="","",IF(OR($S193&lt;0,$T193&lt;0),0,MAX(0,MIN($T193,EOMONTH(급여기준월,0))-MAX($S193,급여기준월)+1)))</f>
        <v/>
      </c>
      <c r="V193">
        <f>IF($R193="","",TRIM(INDEX('입력_구리근무자명단'!$A191:$ZZ191,1,$E$2+5)&amp;""))</f>
        <v/>
      </c>
      <c r="W193">
        <f>IF(ISNUMBER(SEARCH("구리독자",$V193)),"구리독자","")</f>
        <v/>
      </c>
      <c r="X193">
        <f>IF($R193="","",$R193&amp;"|"&amp;IF(OR($Q193="인턴",ISNUMBER(SEARCH("수련교육부",$P193))),"인턴",$P193))</f>
        <v/>
      </c>
      <c r="Y193">
        <f>IF($R193="","",IF(COUNTIF(명단표[이름|과],$X193)=1,"명단 일치",IF(AND(COUNTIF(명단표[이름|과],$X193)=0,COUNTIF(명단표[이름],$R193)=1),"명단 일치(이름만, 과 다름)",IF(COUNTIF(명단표[이름],$R193)=0,IF(COUNTIF(기본자료표[이름],$R193)&gt;0,"명단에 없음(기본자료에는 있음)","명단에 없음"),"동명이인 확인"))))</f>
        <v/>
      </c>
      <c r="Z193">
        <f>IF($R193="","",IF($S193&lt;0,"⚠"&amp;INDEX('입력_구리근무자명단'!$A191:$ZZ191,1,$E$2+2),TEXT($S193,"yyyy-mm-dd")))</f>
        <v/>
      </c>
      <c r="AA193">
        <f>IF($R193="","",IF($T193&lt;0,"⚠"&amp;INDEX('입력_구리근무자명단'!$A191:$ZZ191,1,$E$2+3),TEXT($T193,"yyyy-mm-dd")))</f>
        <v/>
      </c>
      <c r="AB193">
        <f>AB192+IF($R193="",0,1)</f>
        <v/>
      </c>
      <c r="AC193">
        <f>IF($R193="","",$AB193)</f>
        <v/>
      </c>
    </row>
    <row r="194">
      <c r="A194">
        <f>IFERROR(INDEX($O$6:$O$1505,MATCH(189,$AC$6:$AC$1505,0)),"")</f>
        <v/>
      </c>
      <c r="B194">
        <f>IF(ISNUMBER($A194),INDEX($P$6:$P$1505,$A194-3),"")</f>
        <v/>
      </c>
      <c r="C194">
        <f>IF(ISNUMBER($A194),INDEX($Q$6:$Q$1505,$A194-3),"")</f>
        <v/>
      </c>
      <c r="D194">
        <f>IF(ISNUMBER($A194),INDEX($R$6:$R$1505,$A194-3),"")</f>
        <v/>
      </c>
      <c r="E194">
        <f>IF(ISNUMBER($A194),$G$2,"")</f>
        <v/>
      </c>
      <c r="F194">
        <f>IF(ISNUMBER($A194),INDEX($Z$6:$Z$1505,$A194-3),"")</f>
        <v/>
      </c>
      <c r="G194">
        <f>IF(ISNUMBER($A194),INDEX($AA$6:$AA$1505,$A194-3),"")</f>
        <v/>
      </c>
      <c r="H194">
        <f>IF(ISNUMBER($A194),INDEX($U$6:$U$1505,$A194-3),"")</f>
        <v/>
      </c>
      <c r="I194">
        <f>IF(ISNUMBER($A194),INDEX($V$6:$V$1505,$A194-3),"")</f>
        <v/>
      </c>
      <c r="J194">
        <f>IF(ISNUMBER($A194),INDEX($W$6:$W$1505,$A194-3),"")</f>
        <v/>
      </c>
      <c r="K194">
        <f>IF(ISNUMBER($A194),INDEX($X$6:$X$1505,$A194-3),"")</f>
        <v/>
      </c>
      <c r="L194">
        <f>IF(ISNUMBER($A194),INDEX($Y$6:$Y$1505,$A194-3),"")</f>
        <v/>
      </c>
      <c r="O194">
        <f>192</f>
        <v/>
      </c>
      <c r="P194">
        <f>IF(TRIM('입력_구리근무자명단'!$A192&amp;"")&lt;&gt;"",TRIM('입력_구리근무자명단'!$A192&amp;""),P193)</f>
        <v/>
      </c>
      <c r="Q194">
        <f>'입력_구리근무자명단'!$B192&amp;""</f>
        <v/>
      </c>
      <c r="R194">
        <f>IF($E$2="","",TRIM(INDEX('입력_구리근무자명단'!$A192:$ZZ192,1,$E$2+IF($G$2="확정",1,0))&amp;""))</f>
        <v/>
      </c>
      <c r="S194">
        <f>IF($R194="","",IF(INDEX('입력_구리근무자명단'!$A192:$ZZ192,1,$E$2+2)&amp;""="",급여기준월,IF(ISNUMBER(INDEX('입력_구리근무자명단'!$A192:$ZZ192,1,$E$2+2)),INDEX('입력_구리근무자명단'!$A192:$ZZ192,1,$E$2+2),IFERROR(DATE(VALUE(LEFT(INDEX('입력_구리근무자명단'!$A192:$ZZ192,1,$E$2+2),4)),VALUE(MID(INDEX('입력_구리근무자명단'!$A192:$ZZ192,1,$E$2+2),6,2)),VALUE(MID(INDEX('입력_구리근무자명단'!$A192:$ZZ192,1,$E$2+2),9,2))),-1))))</f>
        <v/>
      </c>
      <c r="T194">
        <f>IF($R194="","",IF(INDEX('입력_구리근무자명단'!$A192:$ZZ192,1,$E$2+3)&amp;""="",EOMONTH(급여기준월,0),IF(ISNUMBER(INDEX('입력_구리근무자명단'!$A192:$ZZ192,1,$E$2+3)),INDEX('입력_구리근무자명단'!$A192:$ZZ192,1,$E$2+3),IFERROR(DATE(VALUE(LEFT(INDEX('입력_구리근무자명단'!$A192:$ZZ192,1,$E$2+3),4)),VALUE(MID(INDEX('입력_구리근무자명단'!$A192:$ZZ192,1,$E$2+3),6,2)),VALUE(MID(INDEX('입력_구리근무자명단'!$A192:$ZZ192,1,$E$2+3),9,2))),-1))))</f>
        <v/>
      </c>
      <c r="U194">
        <f>IF($R194="","",IF(OR($S194&lt;0,$T194&lt;0),0,MAX(0,MIN($T194,EOMONTH(급여기준월,0))-MAX($S194,급여기준월)+1)))</f>
        <v/>
      </c>
      <c r="V194">
        <f>IF($R194="","",TRIM(INDEX('입력_구리근무자명단'!$A192:$ZZ192,1,$E$2+5)&amp;""))</f>
        <v/>
      </c>
      <c r="W194">
        <f>IF(ISNUMBER(SEARCH("구리독자",$V194)),"구리독자","")</f>
        <v/>
      </c>
      <c r="X194">
        <f>IF($R194="","",$R194&amp;"|"&amp;IF(OR($Q194="인턴",ISNUMBER(SEARCH("수련교육부",$P194))),"인턴",$P194))</f>
        <v/>
      </c>
      <c r="Y194">
        <f>IF($R194="","",IF(COUNTIF(명단표[이름|과],$X194)=1,"명단 일치",IF(AND(COUNTIF(명단표[이름|과],$X194)=0,COUNTIF(명단표[이름],$R194)=1),"명단 일치(이름만, 과 다름)",IF(COUNTIF(명단표[이름],$R194)=0,IF(COUNTIF(기본자료표[이름],$R194)&gt;0,"명단에 없음(기본자료에는 있음)","명단에 없음"),"동명이인 확인"))))</f>
        <v/>
      </c>
      <c r="Z194">
        <f>IF($R194="","",IF($S194&lt;0,"⚠"&amp;INDEX('입력_구리근무자명단'!$A192:$ZZ192,1,$E$2+2),TEXT($S194,"yyyy-mm-dd")))</f>
        <v/>
      </c>
      <c r="AA194">
        <f>IF($R194="","",IF($T194&lt;0,"⚠"&amp;INDEX('입력_구리근무자명단'!$A192:$ZZ192,1,$E$2+3),TEXT($T194,"yyyy-mm-dd")))</f>
        <v/>
      </c>
      <c r="AB194">
        <f>AB193+IF($R194="",0,1)</f>
        <v/>
      </c>
      <c r="AC194">
        <f>IF($R194="","",$AB194)</f>
        <v/>
      </c>
    </row>
    <row r="195">
      <c r="A195">
        <f>IFERROR(INDEX($O$6:$O$1505,MATCH(190,$AC$6:$AC$1505,0)),"")</f>
        <v/>
      </c>
      <c r="B195">
        <f>IF(ISNUMBER($A195),INDEX($P$6:$P$1505,$A195-3),"")</f>
        <v/>
      </c>
      <c r="C195">
        <f>IF(ISNUMBER($A195),INDEX($Q$6:$Q$1505,$A195-3),"")</f>
        <v/>
      </c>
      <c r="D195">
        <f>IF(ISNUMBER($A195),INDEX($R$6:$R$1505,$A195-3),"")</f>
        <v/>
      </c>
      <c r="E195">
        <f>IF(ISNUMBER($A195),$G$2,"")</f>
        <v/>
      </c>
      <c r="F195">
        <f>IF(ISNUMBER($A195),INDEX($Z$6:$Z$1505,$A195-3),"")</f>
        <v/>
      </c>
      <c r="G195">
        <f>IF(ISNUMBER($A195),INDEX($AA$6:$AA$1505,$A195-3),"")</f>
        <v/>
      </c>
      <c r="H195">
        <f>IF(ISNUMBER($A195),INDEX($U$6:$U$1505,$A195-3),"")</f>
        <v/>
      </c>
      <c r="I195">
        <f>IF(ISNUMBER($A195),INDEX($V$6:$V$1505,$A195-3),"")</f>
        <v/>
      </c>
      <c r="J195">
        <f>IF(ISNUMBER($A195),INDEX($W$6:$W$1505,$A195-3),"")</f>
        <v/>
      </c>
      <c r="K195">
        <f>IF(ISNUMBER($A195),INDEX($X$6:$X$1505,$A195-3),"")</f>
        <v/>
      </c>
      <c r="L195">
        <f>IF(ISNUMBER($A195),INDEX($Y$6:$Y$1505,$A195-3),"")</f>
        <v/>
      </c>
      <c r="O195">
        <f>193</f>
        <v/>
      </c>
      <c r="P195">
        <f>IF(TRIM('입력_구리근무자명단'!$A193&amp;"")&lt;&gt;"",TRIM('입력_구리근무자명단'!$A193&amp;""),P194)</f>
        <v/>
      </c>
      <c r="Q195">
        <f>'입력_구리근무자명단'!$B193&amp;""</f>
        <v/>
      </c>
      <c r="R195">
        <f>IF($E$2="","",TRIM(INDEX('입력_구리근무자명단'!$A193:$ZZ193,1,$E$2+IF($G$2="확정",1,0))&amp;""))</f>
        <v/>
      </c>
      <c r="S195">
        <f>IF($R195="","",IF(INDEX('입력_구리근무자명단'!$A193:$ZZ193,1,$E$2+2)&amp;""="",급여기준월,IF(ISNUMBER(INDEX('입력_구리근무자명단'!$A193:$ZZ193,1,$E$2+2)),INDEX('입력_구리근무자명단'!$A193:$ZZ193,1,$E$2+2),IFERROR(DATE(VALUE(LEFT(INDEX('입력_구리근무자명단'!$A193:$ZZ193,1,$E$2+2),4)),VALUE(MID(INDEX('입력_구리근무자명단'!$A193:$ZZ193,1,$E$2+2),6,2)),VALUE(MID(INDEX('입력_구리근무자명단'!$A193:$ZZ193,1,$E$2+2),9,2))),-1))))</f>
        <v/>
      </c>
      <c r="T195">
        <f>IF($R195="","",IF(INDEX('입력_구리근무자명단'!$A193:$ZZ193,1,$E$2+3)&amp;""="",EOMONTH(급여기준월,0),IF(ISNUMBER(INDEX('입력_구리근무자명단'!$A193:$ZZ193,1,$E$2+3)),INDEX('입력_구리근무자명단'!$A193:$ZZ193,1,$E$2+3),IFERROR(DATE(VALUE(LEFT(INDEX('입력_구리근무자명단'!$A193:$ZZ193,1,$E$2+3),4)),VALUE(MID(INDEX('입력_구리근무자명단'!$A193:$ZZ193,1,$E$2+3),6,2)),VALUE(MID(INDEX('입력_구리근무자명단'!$A193:$ZZ193,1,$E$2+3),9,2))),-1))))</f>
        <v/>
      </c>
      <c r="U195">
        <f>IF($R195="","",IF(OR($S195&lt;0,$T195&lt;0),0,MAX(0,MIN($T195,EOMONTH(급여기준월,0))-MAX($S195,급여기준월)+1)))</f>
        <v/>
      </c>
      <c r="V195">
        <f>IF($R195="","",TRIM(INDEX('입력_구리근무자명단'!$A193:$ZZ193,1,$E$2+5)&amp;""))</f>
        <v/>
      </c>
      <c r="W195">
        <f>IF(ISNUMBER(SEARCH("구리독자",$V195)),"구리독자","")</f>
        <v/>
      </c>
      <c r="X195">
        <f>IF($R195="","",$R195&amp;"|"&amp;IF(OR($Q195="인턴",ISNUMBER(SEARCH("수련교육부",$P195))),"인턴",$P195))</f>
        <v/>
      </c>
      <c r="Y195">
        <f>IF($R195="","",IF(COUNTIF(명단표[이름|과],$X195)=1,"명단 일치",IF(AND(COUNTIF(명단표[이름|과],$X195)=0,COUNTIF(명단표[이름],$R195)=1),"명단 일치(이름만, 과 다름)",IF(COUNTIF(명단표[이름],$R195)=0,IF(COUNTIF(기본자료표[이름],$R195)&gt;0,"명단에 없음(기본자료에는 있음)","명단에 없음"),"동명이인 확인"))))</f>
        <v/>
      </c>
      <c r="Z195">
        <f>IF($R195="","",IF($S195&lt;0,"⚠"&amp;INDEX('입력_구리근무자명단'!$A193:$ZZ193,1,$E$2+2),TEXT($S195,"yyyy-mm-dd")))</f>
        <v/>
      </c>
      <c r="AA195">
        <f>IF($R195="","",IF($T195&lt;0,"⚠"&amp;INDEX('입력_구리근무자명단'!$A193:$ZZ193,1,$E$2+3),TEXT($T195,"yyyy-mm-dd")))</f>
        <v/>
      </c>
      <c r="AB195">
        <f>AB194+IF($R195="",0,1)</f>
        <v/>
      </c>
      <c r="AC195">
        <f>IF($R195="","",$AB195)</f>
        <v/>
      </c>
    </row>
    <row r="196">
      <c r="A196">
        <f>IFERROR(INDEX($O$6:$O$1505,MATCH(191,$AC$6:$AC$1505,0)),"")</f>
        <v/>
      </c>
      <c r="B196">
        <f>IF(ISNUMBER($A196),INDEX($P$6:$P$1505,$A196-3),"")</f>
        <v/>
      </c>
      <c r="C196">
        <f>IF(ISNUMBER($A196),INDEX($Q$6:$Q$1505,$A196-3),"")</f>
        <v/>
      </c>
      <c r="D196">
        <f>IF(ISNUMBER($A196),INDEX($R$6:$R$1505,$A196-3),"")</f>
        <v/>
      </c>
      <c r="E196">
        <f>IF(ISNUMBER($A196),$G$2,"")</f>
        <v/>
      </c>
      <c r="F196">
        <f>IF(ISNUMBER($A196),INDEX($Z$6:$Z$1505,$A196-3),"")</f>
        <v/>
      </c>
      <c r="G196">
        <f>IF(ISNUMBER($A196),INDEX($AA$6:$AA$1505,$A196-3),"")</f>
        <v/>
      </c>
      <c r="H196">
        <f>IF(ISNUMBER($A196),INDEX($U$6:$U$1505,$A196-3),"")</f>
        <v/>
      </c>
      <c r="I196">
        <f>IF(ISNUMBER($A196),INDEX($V$6:$V$1505,$A196-3),"")</f>
        <v/>
      </c>
      <c r="J196">
        <f>IF(ISNUMBER($A196),INDEX($W$6:$W$1505,$A196-3),"")</f>
        <v/>
      </c>
      <c r="K196">
        <f>IF(ISNUMBER($A196),INDEX($X$6:$X$1505,$A196-3),"")</f>
        <v/>
      </c>
      <c r="L196">
        <f>IF(ISNUMBER($A196),INDEX($Y$6:$Y$1505,$A196-3),"")</f>
        <v/>
      </c>
      <c r="O196">
        <f>194</f>
        <v/>
      </c>
      <c r="P196">
        <f>IF(TRIM('입력_구리근무자명단'!$A194&amp;"")&lt;&gt;"",TRIM('입력_구리근무자명단'!$A194&amp;""),P195)</f>
        <v/>
      </c>
      <c r="Q196">
        <f>'입력_구리근무자명단'!$B194&amp;""</f>
        <v/>
      </c>
      <c r="R196">
        <f>IF($E$2="","",TRIM(INDEX('입력_구리근무자명단'!$A194:$ZZ194,1,$E$2+IF($G$2="확정",1,0))&amp;""))</f>
        <v/>
      </c>
      <c r="S196">
        <f>IF($R196="","",IF(INDEX('입력_구리근무자명단'!$A194:$ZZ194,1,$E$2+2)&amp;""="",급여기준월,IF(ISNUMBER(INDEX('입력_구리근무자명단'!$A194:$ZZ194,1,$E$2+2)),INDEX('입력_구리근무자명단'!$A194:$ZZ194,1,$E$2+2),IFERROR(DATE(VALUE(LEFT(INDEX('입력_구리근무자명단'!$A194:$ZZ194,1,$E$2+2),4)),VALUE(MID(INDEX('입력_구리근무자명단'!$A194:$ZZ194,1,$E$2+2),6,2)),VALUE(MID(INDEX('입력_구리근무자명단'!$A194:$ZZ194,1,$E$2+2),9,2))),-1))))</f>
        <v/>
      </c>
      <c r="T196">
        <f>IF($R196="","",IF(INDEX('입력_구리근무자명단'!$A194:$ZZ194,1,$E$2+3)&amp;""="",EOMONTH(급여기준월,0),IF(ISNUMBER(INDEX('입력_구리근무자명단'!$A194:$ZZ194,1,$E$2+3)),INDEX('입력_구리근무자명단'!$A194:$ZZ194,1,$E$2+3),IFERROR(DATE(VALUE(LEFT(INDEX('입력_구리근무자명단'!$A194:$ZZ194,1,$E$2+3),4)),VALUE(MID(INDEX('입력_구리근무자명단'!$A194:$ZZ194,1,$E$2+3),6,2)),VALUE(MID(INDEX('입력_구리근무자명단'!$A194:$ZZ194,1,$E$2+3),9,2))),-1))))</f>
        <v/>
      </c>
      <c r="U196">
        <f>IF($R196="","",IF(OR($S196&lt;0,$T196&lt;0),0,MAX(0,MIN($T196,EOMONTH(급여기준월,0))-MAX($S196,급여기준월)+1)))</f>
        <v/>
      </c>
      <c r="V196">
        <f>IF($R196="","",TRIM(INDEX('입력_구리근무자명단'!$A194:$ZZ194,1,$E$2+5)&amp;""))</f>
        <v/>
      </c>
      <c r="W196">
        <f>IF(ISNUMBER(SEARCH("구리독자",$V196)),"구리독자","")</f>
        <v/>
      </c>
      <c r="X196">
        <f>IF($R196="","",$R196&amp;"|"&amp;IF(OR($Q196="인턴",ISNUMBER(SEARCH("수련교육부",$P196))),"인턴",$P196))</f>
        <v/>
      </c>
      <c r="Y196">
        <f>IF($R196="","",IF(COUNTIF(명단표[이름|과],$X196)=1,"명단 일치",IF(AND(COUNTIF(명단표[이름|과],$X196)=0,COUNTIF(명단표[이름],$R196)=1),"명단 일치(이름만, 과 다름)",IF(COUNTIF(명단표[이름],$R196)=0,IF(COUNTIF(기본자료표[이름],$R196)&gt;0,"명단에 없음(기본자료에는 있음)","명단에 없음"),"동명이인 확인"))))</f>
        <v/>
      </c>
      <c r="Z196">
        <f>IF($R196="","",IF($S196&lt;0,"⚠"&amp;INDEX('입력_구리근무자명단'!$A194:$ZZ194,1,$E$2+2),TEXT($S196,"yyyy-mm-dd")))</f>
        <v/>
      </c>
      <c r="AA196">
        <f>IF($R196="","",IF($T196&lt;0,"⚠"&amp;INDEX('입력_구리근무자명단'!$A194:$ZZ194,1,$E$2+3),TEXT($T196,"yyyy-mm-dd")))</f>
        <v/>
      </c>
      <c r="AB196">
        <f>AB195+IF($R196="",0,1)</f>
        <v/>
      </c>
      <c r="AC196">
        <f>IF($R196="","",$AB196)</f>
        <v/>
      </c>
    </row>
    <row r="197">
      <c r="A197">
        <f>IFERROR(INDEX($O$6:$O$1505,MATCH(192,$AC$6:$AC$1505,0)),"")</f>
        <v/>
      </c>
      <c r="B197">
        <f>IF(ISNUMBER($A197),INDEX($P$6:$P$1505,$A197-3),"")</f>
        <v/>
      </c>
      <c r="C197">
        <f>IF(ISNUMBER($A197),INDEX($Q$6:$Q$1505,$A197-3),"")</f>
        <v/>
      </c>
      <c r="D197">
        <f>IF(ISNUMBER($A197),INDEX($R$6:$R$1505,$A197-3),"")</f>
        <v/>
      </c>
      <c r="E197">
        <f>IF(ISNUMBER($A197),$G$2,"")</f>
        <v/>
      </c>
      <c r="F197">
        <f>IF(ISNUMBER($A197),INDEX($Z$6:$Z$1505,$A197-3),"")</f>
        <v/>
      </c>
      <c r="G197">
        <f>IF(ISNUMBER($A197),INDEX($AA$6:$AA$1505,$A197-3),"")</f>
        <v/>
      </c>
      <c r="H197">
        <f>IF(ISNUMBER($A197),INDEX($U$6:$U$1505,$A197-3),"")</f>
        <v/>
      </c>
      <c r="I197">
        <f>IF(ISNUMBER($A197),INDEX($V$6:$V$1505,$A197-3),"")</f>
        <v/>
      </c>
      <c r="J197">
        <f>IF(ISNUMBER($A197),INDEX($W$6:$W$1505,$A197-3),"")</f>
        <v/>
      </c>
      <c r="K197">
        <f>IF(ISNUMBER($A197),INDEX($X$6:$X$1505,$A197-3),"")</f>
        <v/>
      </c>
      <c r="L197">
        <f>IF(ISNUMBER($A197),INDEX($Y$6:$Y$1505,$A197-3),"")</f>
        <v/>
      </c>
      <c r="O197">
        <f>195</f>
        <v/>
      </c>
      <c r="P197">
        <f>IF(TRIM('입력_구리근무자명단'!$A195&amp;"")&lt;&gt;"",TRIM('입력_구리근무자명단'!$A195&amp;""),P196)</f>
        <v/>
      </c>
      <c r="Q197">
        <f>'입력_구리근무자명단'!$B195&amp;""</f>
        <v/>
      </c>
      <c r="R197">
        <f>IF($E$2="","",TRIM(INDEX('입력_구리근무자명단'!$A195:$ZZ195,1,$E$2+IF($G$2="확정",1,0))&amp;""))</f>
        <v/>
      </c>
      <c r="S197">
        <f>IF($R197="","",IF(INDEX('입력_구리근무자명단'!$A195:$ZZ195,1,$E$2+2)&amp;""="",급여기준월,IF(ISNUMBER(INDEX('입력_구리근무자명단'!$A195:$ZZ195,1,$E$2+2)),INDEX('입력_구리근무자명단'!$A195:$ZZ195,1,$E$2+2),IFERROR(DATE(VALUE(LEFT(INDEX('입력_구리근무자명단'!$A195:$ZZ195,1,$E$2+2),4)),VALUE(MID(INDEX('입력_구리근무자명단'!$A195:$ZZ195,1,$E$2+2),6,2)),VALUE(MID(INDEX('입력_구리근무자명단'!$A195:$ZZ195,1,$E$2+2),9,2))),-1))))</f>
        <v/>
      </c>
      <c r="T197">
        <f>IF($R197="","",IF(INDEX('입력_구리근무자명단'!$A195:$ZZ195,1,$E$2+3)&amp;""="",EOMONTH(급여기준월,0),IF(ISNUMBER(INDEX('입력_구리근무자명단'!$A195:$ZZ195,1,$E$2+3)),INDEX('입력_구리근무자명단'!$A195:$ZZ195,1,$E$2+3),IFERROR(DATE(VALUE(LEFT(INDEX('입력_구리근무자명단'!$A195:$ZZ195,1,$E$2+3),4)),VALUE(MID(INDEX('입력_구리근무자명단'!$A195:$ZZ195,1,$E$2+3),6,2)),VALUE(MID(INDEX('입력_구리근무자명단'!$A195:$ZZ195,1,$E$2+3),9,2))),-1))))</f>
        <v/>
      </c>
      <c r="U197">
        <f>IF($R197="","",IF(OR($S197&lt;0,$T197&lt;0),0,MAX(0,MIN($T197,EOMONTH(급여기준월,0))-MAX($S197,급여기준월)+1)))</f>
        <v/>
      </c>
      <c r="V197">
        <f>IF($R197="","",TRIM(INDEX('입력_구리근무자명단'!$A195:$ZZ195,1,$E$2+5)&amp;""))</f>
        <v/>
      </c>
      <c r="W197">
        <f>IF(ISNUMBER(SEARCH("구리독자",$V197)),"구리독자","")</f>
        <v/>
      </c>
      <c r="X197">
        <f>IF($R197="","",$R197&amp;"|"&amp;IF(OR($Q197="인턴",ISNUMBER(SEARCH("수련교육부",$P197))),"인턴",$P197))</f>
        <v/>
      </c>
      <c r="Y197">
        <f>IF($R197="","",IF(COUNTIF(명단표[이름|과],$X197)=1,"명단 일치",IF(AND(COUNTIF(명단표[이름|과],$X197)=0,COUNTIF(명단표[이름],$R197)=1),"명단 일치(이름만, 과 다름)",IF(COUNTIF(명단표[이름],$R197)=0,IF(COUNTIF(기본자료표[이름],$R197)&gt;0,"명단에 없음(기본자료에는 있음)","명단에 없음"),"동명이인 확인"))))</f>
        <v/>
      </c>
      <c r="Z197">
        <f>IF($R197="","",IF($S197&lt;0,"⚠"&amp;INDEX('입력_구리근무자명단'!$A195:$ZZ195,1,$E$2+2),TEXT($S197,"yyyy-mm-dd")))</f>
        <v/>
      </c>
      <c r="AA197">
        <f>IF($R197="","",IF($T197&lt;0,"⚠"&amp;INDEX('입력_구리근무자명단'!$A195:$ZZ195,1,$E$2+3),TEXT($T197,"yyyy-mm-dd")))</f>
        <v/>
      </c>
      <c r="AB197">
        <f>AB196+IF($R197="",0,1)</f>
        <v/>
      </c>
      <c r="AC197">
        <f>IF($R197="","",$AB197)</f>
        <v/>
      </c>
    </row>
    <row r="198">
      <c r="A198">
        <f>IFERROR(INDEX($O$6:$O$1505,MATCH(193,$AC$6:$AC$1505,0)),"")</f>
        <v/>
      </c>
      <c r="B198">
        <f>IF(ISNUMBER($A198),INDEX($P$6:$P$1505,$A198-3),"")</f>
        <v/>
      </c>
      <c r="C198">
        <f>IF(ISNUMBER($A198),INDEX($Q$6:$Q$1505,$A198-3),"")</f>
        <v/>
      </c>
      <c r="D198">
        <f>IF(ISNUMBER($A198),INDEX($R$6:$R$1505,$A198-3),"")</f>
        <v/>
      </c>
      <c r="E198">
        <f>IF(ISNUMBER($A198),$G$2,"")</f>
        <v/>
      </c>
      <c r="F198">
        <f>IF(ISNUMBER($A198),INDEX($Z$6:$Z$1505,$A198-3),"")</f>
        <v/>
      </c>
      <c r="G198">
        <f>IF(ISNUMBER($A198),INDEX($AA$6:$AA$1505,$A198-3),"")</f>
        <v/>
      </c>
      <c r="H198">
        <f>IF(ISNUMBER($A198),INDEX($U$6:$U$1505,$A198-3),"")</f>
        <v/>
      </c>
      <c r="I198">
        <f>IF(ISNUMBER($A198),INDEX($V$6:$V$1505,$A198-3),"")</f>
        <v/>
      </c>
      <c r="J198">
        <f>IF(ISNUMBER($A198),INDEX($W$6:$W$1505,$A198-3),"")</f>
        <v/>
      </c>
      <c r="K198">
        <f>IF(ISNUMBER($A198),INDEX($X$6:$X$1505,$A198-3),"")</f>
        <v/>
      </c>
      <c r="L198">
        <f>IF(ISNUMBER($A198),INDEX($Y$6:$Y$1505,$A198-3),"")</f>
        <v/>
      </c>
      <c r="O198">
        <f>196</f>
        <v/>
      </c>
      <c r="P198">
        <f>IF(TRIM('입력_구리근무자명단'!$A196&amp;"")&lt;&gt;"",TRIM('입력_구리근무자명단'!$A196&amp;""),P197)</f>
        <v/>
      </c>
      <c r="Q198">
        <f>'입력_구리근무자명단'!$B196&amp;""</f>
        <v/>
      </c>
      <c r="R198">
        <f>IF($E$2="","",TRIM(INDEX('입력_구리근무자명단'!$A196:$ZZ196,1,$E$2+IF($G$2="확정",1,0))&amp;""))</f>
        <v/>
      </c>
      <c r="S198">
        <f>IF($R198="","",IF(INDEX('입력_구리근무자명단'!$A196:$ZZ196,1,$E$2+2)&amp;""="",급여기준월,IF(ISNUMBER(INDEX('입력_구리근무자명단'!$A196:$ZZ196,1,$E$2+2)),INDEX('입력_구리근무자명단'!$A196:$ZZ196,1,$E$2+2),IFERROR(DATE(VALUE(LEFT(INDEX('입력_구리근무자명단'!$A196:$ZZ196,1,$E$2+2),4)),VALUE(MID(INDEX('입력_구리근무자명단'!$A196:$ZZ196,1,$E$2+2),6,2)),VALUE(MID(INDEX('입력_구리근무자명단'!$A196:$ZZ196,1,$E$2+2),9,2))),-1))))</f>
        <v/>
      </c>
      <c r="T198">
        <f>IF($R198="","",IF(INDEX('입력_구리근무자명단'!$A196:$ZZ196,1,$E$2+3)&amp;""="",EOMONTH(급여기준월,0),IF(ISNUMBER(INDEX('입력_구리근무자명단'!$A196:$ZZ196,1,$E$2+3)),INDEX('입력_구리근무자명단'!$A196:$ZZ196,1,$E$2+3),IFERROR(DATE(VALUE(LEFT(INDEX('입력_구리근무자명단'!$A196:$ZZ196,1,$E$2+3),4)),VALUE(MID(INDEX('입력_구리근무자명단'!$A196:$ZZ196,1,$E$2+3),6,2)),VALUE(MID(INDEX('입력_구리근무자명단'!$A196:$ZZ196,1,$E$2+3),9,2))),-1))))</f>
        <v/>
      </c>
      <c r="U198">
        <f>IF($R198="","",IF(OR($S198&lt;0,$T198&lt;0),0,MAX(0,MIN($T198,EOMONTH(급여기준월,0))-MAX($S198,급여기준월)+1)))</f>
        <v/>
      </c>
      <c r="V198">
        <f>IF($R198="","",TRIM(INDEX('입력_구리근무자명단'!$A196:$ZZ196,1,$E$2+5)&amp;""))</f>
        <v/>
      </c>
      <c r="W198">
        <f>IF(ISNUMBER(SEARCH("구리독자",$V198)),"구리독자","")</f>
        <v/>
      </c>
      <c r="X198">
        <f>IF($R198="","",$R198&amp;"|"&amp;IF(OR($Q198="인턴",ISNUMBER(SEARCH("수련교육부",$P198))),"인턴",$P198))</f>
        <v/>
      </c>
      <c r="Y198">
        <f>IF($R198="","",IF(COUNTIF(명단표[이름|과],$X198)=1,"명단 일치",IF(AND(COUNTIF(명단표[이름|과],$X198)=0,COUNTIF(명단표[이름],$R198)=1),"명단 일치(이름만, 과 다름)",IF(COUNTIF(명단표[이름],$R198)=0,IF(COUNTIF(기본자료표[이름],$R198)&gt;0,"명단에 없음(기본자료에는 있음)","명단에 없음"),"동명이인 확인"))))</f>
        <v/>
      </c>
      <c r="Z198">
        <f>IF($R198="","",IF($S198&lt;0,"⚠"&amp;INDEX('입력_구리근무자명단'!$A196:$ZZ196,1,$E$2+2),TEXT($S198,"yyyy-mm-dd")))</f>
        <v/>
      </c>
      <c r="AA198">
        <f>IF($R198="","",IF($T198&lt;0,"⚠"&amp;INDEX('입력_구리근무자명단'!$A196:$ZZ196,1,$E$2+3),TEXT($T198,"yyyy-mm-dd")))</f>
        <v/>
      </c>
      <c r="AB198">
        <f>AB197+IF($R198="",0,1)</f>
        <v/>
      </c>
      <c r="AC198">
        <f>IF($R198="","",$AB198)</f>
        <v/>
      </c>
    </row>
    <row r="199">
      <c r="A199">
        <f>IFERROR(INDEX($O$6:$O$1505,MATCH(194,$AC$6:$AC$1505,0)),"")</f>
        <v/>
      </c>
      <c r="B199">
        <f>IF(ISNUMBER($A199),INDEX($P$6:$P$1505,$A199-3),"")</f>
        <v/>
      </c>
      <c r="C199">
        <f>IF(ISNUMBER($A199),INDEX($Q$6:$Q$1505,$A199-3),"")</f>
        <v/>
      </c>
      <c r="D199">
        <f>IF(ISNUMBER($A199),INDEX($R$6:$R$1505,$A199-3),"")</f>
        <v/>
      </c>
      <c r="E199">
        <f>IF(ISNUMBER($A199),$G$2,"")</f>
        <v/>
      </c>
      <c r="F199">
        <f>IF(ISNUMBER($A199),INDEX($Z$6:$Z$1505,$A199-3),"")</f>
        <v/>
      </c>
      <c r="G199">
        <f>IF(ISNUMBER($A199),INDEX($AA$6:$AA$1505,$A199-3),"")</f>
        <v/>
      </c>
      <c r="H199">
        <f>IF(ISNUMBER($A199),INDEX($U$6:$U$1505,$A199-3),"")</f>
        <v/>
      </c>
      <c r="I199">
        <f>IF(ISNUMBER($A199),INDEX($V$6:$V$1505,$A199-3),"")</f>
        <v/>
      </c>
      <c r="J199">
        <f>IF(ISNUMBER($A199),INDEX($W$6:$W$1505,$A199-3),"")</f>
        <v/>
      </c>
      <c r="K199">
        <f>IF(ISNUMBER($A199),INDEX($X$6:$X$1505,$A199-3),"")</f>
        <v/>
      </c>
      <c r="L199">
        <f>IF(ISNUMBER($A199),INDEX($Y$6:$Y$1505,$A199-3),"")</f>
        <v/>
      </c>
      <c r="O199">
        <f>197</f>
        <v/>
      </c>
      <c r="P199">
        <f>IF(TRIM('입력_구리근무자명단'!$A197&amp;"")&lt;&gt;"",TRIM('입력_구리근무자명단'!$A197&amp;""),P198)</f>
        <v/>
      </c>
      <c r="Q199">
        <f>'입력_구리근무자명단'!$B197&amp;""</f>
        <v/>
      </c>
      <c r="R199">
        <f>IF($E$2="","",TRIM(INDEX('입력_구리근무자명단'!$A197:$ZZ197,1,$E$2+IF($G$2="확정",1,0))&amp;""))</f>
        <v/>
      </c>
      <c r="S199">
        <f>IF($R199="","",IF(INDEX('입력_구리근무자명단'!$A197:$ZZ197,1,$E$2+2)&amp;""="",급여기준월,IF(ISNUMBER(INDEX('입력_구리근무자명단'!$A197:$ZZ197,1,$E$2+2)),INDEX('입력_구리근무자명단'!$A197:$ZZ197,1,$E$2+2),IFERROR(DATE(VALUE(LEFT(INDEX('입력_구리근무자명단'!$A197:$ZZ197,1,$E$2+2),4)),VALUE(MID(INDEX('입력_구리근무자명단'!$A197:$ZZ197,1,$E$2+2),6,2)),VALUE(MID(INDEX('입력_구리근무자명단'!$A197:$ZZ197,1,$E$2+2),9,2))),-1))))</f>
        <v/>
      </c>
      <c r="T199">
        <f>IF($R199="","",IF(INDEX('입력_구리근무자명단'!$A197:$ZZ197,1,$E$2+3)&amp;""="",EOMONTH(급여기준월,0),IF(ISNUMBER(INDEX('입력_구리근무자명단'!$A197:$ZZ197,1,$E$2+3)),INDEX('입력_구리근무자명단'!$A197:$ZZ197,1,$E$2+3),IFERROR(DATE(VALUE(LEFT(INDEX('입력_구리근무자명단'!$A197:$ZZ197,1,$E$2+3),4)),VALUE(MID(INDEX('입력_구리근무자명단'!$A197:$ZZ197,1,$E$2+3),6,2)),VALUE(MID(INDEX('입력_구리근무자명단'!$A197:$ZZ197,1,$E$2+3),9,2))),-1))))</f>
        <v/>
      </c>
      <c r="U199">
        <f>IF($R199="","",IF(OR($S199&lt;0,$T199&lt;0),0,MAX(0,MIN($T199,EOMONTH(급여기준월,0))-MAX($S199,급여기준월)+1)))</f>
        <v/>
      </c>
      <c r="V199">
        <f>IF($R199="","",TRIM(INDEX('입력_구리근무자명단'!$A197:$ZZ197,1,$E$2+5)&amp;""))</f>
        <v/>
      </c>
      <c r="W199">
        <f>IF(ISNUMBER(SEARCH("구리독자",$V199)),"구리독자","")</f>
        <v/>
      </c>
      <c r="X199">
        <f>IF($R199="","",$R199&amp;"|"&amp;IF(OR($Q199="인턴",ISNUMBER(SEARCH("수련교육부",$P199))),"인턴",$P199))</f>
        <v/>
      </c>
      <c r="Y199">
        <f>IF($R199="","",IF(COUNTIF(명단표[이름|과],$X199)=1,"명단 일치",IF(AND(COUNTIF(명단표[이름|과],$X199)=0,COUNTIF(명단표[이름],$R199)=1),"명단 일치(이름만, 과 다름)",IF(COUNTIF(명단표[이름],$R199)=0,IF(COUNTIF(기본자료표[이름],$R199)&gt;0,"명단에 없음(기본자료에는 있음)","명단에 없음"),"동명이인 확인"))))</f>
        <v/>
      </c>
      <c r="Z199">
        <f>IF($R199="","",IF($S199&lt;0,"⚠"&amp;INDEX('입력_구리근무자명단'!$A197:$ZZ197,1,$E$2+2),TEXT($S199,"yyyy-mm-dd")))</f>
        <v/>
      </c>
      <c r="AA199">
        <f>IF($R199="","",IF($T199&lt;0,"⚠"&amp;INDEX('입력_구리근무자명단'!$A197:$ZZ197,1,$E$2+3),TEXT($T199,"yyyy-mm-dd")))</f>
        <v/>
      </c>
      <c r="AB199">
        <f>AB198+IF($R199="",0,1)</f>
        <v/>
      </c>
      <c r="AC199">
        <f>IF($R199="","",$AB199)</f>
        <v/>
      </c>
    </row>
    <row r="200">
      <c r="A200">
        <f>IFERROR(INDEX($O$6:$O$1505,MATCH(195,$AC$6:$AC$1505,0)),"")</f>
        <v/>
      </c>
      <c r="B200">
        <f>IF(ISNUMBER($A200),INDEX($P$6:$P$1505,$A200-3),"")</f>
        <v/>
      </c>
      <c r="C200">
        <f>IF(ISNUMBER($A200),INDEX($Q$6:$Q$1505,$A200-3),"")</f>
        <v/>
      </c>
      <c r="D200">
        <f>IF(ISNUMBER($A200),INDEX($R$6:$R$1505,$A200-3),"")</f>
        <v/>
      </c>
      <c r="E200">
        <f>IF(ISNUMBER($A200),$G$2,"")</f>
        <v/>
      </c>
      <c r="F200">
        <f>IF(ISNUMBER($A200),INDEX($Z$6:$Z$1505,$A200-3),"")</f>
        <v/>
      </c>
      <c r="G200">
        <f>IF(ISNUMBER($A200),INDEX($AA$6:$AA$1505,$A200-3),"")</f>
        <v/>
      </c>
      <c r="H200">
        <f>IF(ISNUMBER($A200),INDEX($U$6:$U$1505,$A200-3),"")</f>
        <v/>
      </c>
      <c r="I200">
        <f>IF(ISNUMBER($A200),INDEX($V$6:$V$1505,$A200-3),"")</f>
        <v/>
      </c>
      <c r="J200">
        <f>IF(ISNUMBER($A200),INDEX($W$6:$W$1505,$A200-3),"")</f>
        <v/>
      </c>
      <c r="K200">
        <f>IF(ISNUMBER($A200),INDEX($X$6:$X$1505,$A200-3),"")</f>
        <v/>
      </c>
      <c r="L200">
        <f>IF(ISNUMBER($A200),INDEX($Y$6:$Y$1505,$A200-3),"")</f>
        <v/>
      </c>
      <c r="O200">
        <f>198</f>
        <v/>
      </c>
      <c r="P200">
        <f>IF(TRIM('입력_구리근무자명단'!$A198&amp;"")&lt;&gt;"",TRIM('입력_구리근무자명단'!$A198&amp;""),P199)</f>
        <v/>
      </c>
      <c r="Q200">
        <f>'입력_구리근무자명단'!$B198&amp;""</f>
        <v/>
      </c>
      <c r="R200">
        <f>IF($E$2="","",TRIM(INDEX('입력_구리근무자명단'!$A198:$ZZ198,1,$E$2+IF($G$2="확정",1,0))&amp;""))</f>
        <v/>
      </c>
      <c r="S200">
        <f>IF($R200="","",IF(INDEX('입력_구리근무자명단'!$A198:$ZZ198,1,$E$2+2)&amp;""="",급여기준월,IF(ISNUMBER(INDEX('입력_구리근무자명단'!$A198:$ZZ198,1,$E$2+2)),INDEX('입력_구리근무자명단'!$A198:$ZZ198,1,$E$2+2),IFERROR(DATE(VALUE(LEFT(INDEX('입력_구리근무자명단'!$A198:$ZZ198,1,$E$2+2),4)),VALUE(MID(INDEX('입력_구리근무자명단'!$A198:$ZZ198,1,$E$2+2),6,2)),VALUE(MID(INDEX('입력_구리근무자명단'!$A198:$ZZ198,1,$E$2+2),9,2))),-1))))</f>
        <v/>
      </c>
      <c r="T200">
        <f>IF($R200="","",IF(INDEX('입력_구리근무자명단'!$A198:$ZZ198,1,$E$2+3)&amp;""="",EOMONTH(급여기준월,0),IF(ISNUMBER(INDEX('입력_구리근무자명단'!$A198:$ZZ198,1,$E$2+3)),INDEX('입력_구리근무자명단'!$A198:$ZZ198,1,$E$2+3),IFERROR(DATE(VALUE(LEFT(INDEX('입력_구리근무자명단'!$A198:$ZZ198,1,$E$2+3),4)),VALUE(MID(INDEX('입력_구리근무자명단'!$A198:$ZZ198,1,$E$2+3),6,2)),VALUE(MID(INDEX('입력_구리근무자명단'!$A198:$ZZ198,1,$E$2+3),9,2))),-1))))</f>
        <v/>
      </c>
      <c r="U200">
        <f>IF($R200="","",IF(OR($S200&lt;0,$T200&lt;0),0,MAX(0,MIN($T200,EOMONTH(급여기준월,0))-MAX($S200,급여기준월)+1)))</f>
        <v/>
      </c>
      <c r="V200">
        <f>IF($R200="","",TRIM(INDEX('입력_구리근무자명단'!$A198:$ZZ198,1,$E$2+5)&amp;""))</f>
        <v/>
      </c>
      <c r="W200">
        <f>IF(ISNUMBER(SEARCH("구리독자",$V200)),"구리독자","")</f>
        <v/>
      </c>
      <c r="X200">
        <f>IF($R200="","",$R200&amp;"|"&amp;IF(OR($Q200="인턴",ISNUMBER(SEARCH("수련교육부",$P200))),"인턴",$P200))</f>
        <v/>
      </c>
      <c r="Y200">
        <f>IF($R200="","",IF(COUNTIF(명단표[이름|과],$X200)=1,"명단 일치",IF(AND(COUNTIF(명단표[이름|과],$X200)=0,COUNTIF(명단표[이름],$R200)=1),"명단 일치(이름만, 과 다름)",IF(COUNTIF(명단표[이름],$R200)=0,IF(COUNTIF(기본자료표[이름],$R200)&gt;0,"명단에 없음(기본자료에는 있음)","명단에 없음"),"동명이인 확인"))))</f>
        <v/>
      </c>
      <c r="Z200">
        <f>IF($R200="","",IF($S200&lt;0,"⚠"&amp;INDEX('입력_구리근무자명단'!$A198:$ZZ198,1,$E$2+2),TEXT($S200,"yyyy-mm-dd")))</f>
        <v/>
      </c>
      <c r="AA200">
        <f>IF($R200="","",IF($T200&lt;0,"⚠"&amp;INDEX('입력_구리근무자명단'!$A198:$ZZ198,1,$E$2+3),TEXT($T200,"yyyy-mm-dd")))</f>
        <v/>
      </c>
      <c r="AB200">
        <f>AB199+IF($R200="",0,1)</f>
        <v/>
      </c>
      <c r="AC200">
        <f>IF($R200="","",$AB200)</f>
        <v/>
      </c>
    </row>
    <row r="201">
      <c r="A201">
        <f>IFERROR(INDEX($O$6:$O$1505,MATCH(196,$AC$6:$AC$1505,0)),"")</f>
        <v/>
      </c>
      <c r="B201">
        <f>IF(ISNUMBER($A201),INDEX($P$6:$P$1505,$A201-3),"")</f>
        <v/>
      </c>
      <c r="C201">
        <f>IF(ISNUMBER($A201),INDEX($Q$6:$Q$1505,$A201-3),"")</f>
        <v/>
      </c>
      <c r="D201">
        <f>IF(ISNUMBER($A201),INDEX($R$6:$R$1505,$A201-3),"")</f>
        <v/>
      </c>
      <c r="E201">
        <f>IF(ISNUMBER($A201),$G$2,"")</f>
        <v/>
      </c>
      <c r="F201">
        <f>IF(ISNUMBER($A201),INDEX($Z$6:$Z$1505,$A201-3),"")</f>
        <v/>
      </c>
      <c r="G201">
        <f>IF(ISNUMBER($A201),INDEX($AA$6:$AA$1505,$A201-3),"")</f>
        <v/>
      </c>
      <c r="H201">
        <f>IF(ISNUMBER($A201),INDEX($U$6:$U$1505,$A201-3),"")</f>
        <v/>
      </c>
      <c r="I201">
        <f>IF(ISNUMBER($A201),INDEX($V$6:$V$1505,$A201-3),"")</f>
        <v/>
      </c>
      <c r="J201">
        <f>IF(ISNUMBER($A201),INDEX($W$6:$W$1505,$A201-3),"")</f>
        <v/>
      </c>
      <c r="K201">
        <f>IF(ISNUMBER($A201),INDEX($X$6:$X$1505,$A201-3),"")</f>
        <v/>
      </c>
      <c r="L201">
        <f>IF(ISNUMBER($A201),INDEX($Y$6:$Y$1505,$A201-3),"")</f>
        <v/>
      </c>
      <c r="O201">
        <f>199</f>
        <v/>
      </c>
      <c r="P201">
        <f>IF(TRIM('입력_구리근무자명단'!$A199&amp;"")&lt;&gt;"",TRIM('입력_구리근무자명단'!$A199&amp;""),P200)</f>
        <v/>
      </c>
      <c r="Q201">
        <f>'입력_구리근무자명단'!$B199&amp;""</f>
        <v/>
      </c>
      <c r="R201">
        <f>IF($E$2="","",TRIM(INDEX('입력_구리근무자명단'!$A199:$ZZ199,1,$E$2+IF($G$2="확정",1,0))&amp;""))</f>
        <v/>
      </c>
      <c r="S201">
        <f>IF($R201="","",IF(INDEX('입력_구리근무자명단'!$A199:$ZZ199,1,$E$2+2)&amp;""="",급여기준월,IF(ISNUMBER(INDEX('입력_구리근무자명단'!$A199:$ZZ199,1,$E$2+2)),INDEX('입력_구리근무자명단'!$A199:$ZZ199,1,$E$2+2),IFERROR(DATE(VALUE(LEFT(INDEX('입력_구리근무자명단'!$A199:$ZZ199,1,$E$2+2),4)),VALUE(MID(INDEX('입력_구리근무자명단'!$A199:$ZZ199,1,$E$2+2),6,2)),VALUE(MID(INDEX('입력_구리근무자명단'!$A199:$ZZ199,1,$E$2+2),9,2))),-1))))</f>
        <v/>
      </c>
      <c r="T201">
        <f>IF($R201="","",IF(INDEX('입력_구리근무자명단'!$A199:$ZZ199,1,$E$2+3)&amp;""="",EOMONTH(급여기준월,0),IF(ISNUMBER(INDEX('입력_구리근무자명단'!$A199:$ZZ199,1,$E$2+3)),INDEX('입력_구리근무자명단'!$A199:$ZZ199,1,$E$2+3),IFERROR(DATE(VALUE(LEFT(INDEX('입력_구리근무자명단'!$A199:$ZZ199,1,$E$2+3),4)),VALUE(MID(INDEX('입력_구리근무자명단'!$A199:$ZZ199,1,$E$2+3),6,2)),VALUE(MID(INDEX('입력_구리근무자명단'!$A199:$ZZ199,1,$E$2+3),9,2))),-1))))</f>
        <v/>
      </c>
      <c r="U201">
        <f>IF($R201="","",IF(OR($S201&lt;0,$T201&lt;0),0,MAX(0,MIN($T201,EOMONTH(급여기준월,0))-MAX($S201,급여기준월)+1)))</f>
        <v/>
      </c>
      <c r="V201">
        <f>IF($R201="","",TRIM(INDEX('입력_구리근무자명단'!$A199:$ZZ199,1,$E$2+5)&amp;""))</f>
        <v/>
      </c>
      <c r="W201">
        <f>IF(ISNUMBER(SEARCH("구리독자",$V201)),"구리독자","")</f>
        <v/>
      </c>
      <c r="X201">
        <f>IF($R201="","",$R201&amp;"|"&amp;IF(OR($Q201="인턴",ISNUMBER(SEARCH("수련교육부",$P201))),"인턴",$P201))</f>
        <v/>
      </c>
      <c r="Y201">
        <f>IF($R201="","",IF(COUNTIF(명단표[이름|과],$X201)=1,"명단 일치",IF(AND(COUNTIF(명단표[이름|과],$X201)=0,COUNTIF(명단표[이름],$R201)=1),"명단 일치(이름만, 과 다름)",IF(COUNTIF(명단표[이름],$R201)=0,IF(COUNTIF(기본자료표[이름],$R201)&gt;0,"명단에 없음(기본자료에는 있음)","명단에 없음"),"동명이인 확인"))))</f>
        <v/>
      </c>
      <c r="Z201">
        <f>IF($R201="","",IF($S201&lt;0,"⚠"&amp;INDEX('입력_구리근무자명단'!$A199:$ZZ199,1,$E$2+2),TEXT($S201,"yyyy-mm-dd")))</f>
        <v/>
      </c>
      <c r="AA201">
        <f>IF($R201="","",IF($T201&lt;0,"⚠"&amp;INDEX('입력_구리근무자명단'!$A199:$ZZ199,1,$E$2+3),TEXT($T201,"yyyy-mm-dd")))</f>
        <v/>
      </c>
      <c r="AB201">
        <f>AB200+IF($R201="",0,1)</f>
        <v/>
      </c>
      <c r="AC201">
        <f>IF($R201="","",$AB201)</f>
        <v/>
      </c>
    </row>
    <row r="202">
      <c r="A202">
        <f>IFERROR(INDEX($O$6:$O$1505,MATCH(197,$AC$6:$AC$1505,0)),"")</f>
        <v/>
      </c>
      <c r="B202">
        <f>IF(ISNUMBER($A202),INDEX($P$6:$P$1505,$A202-3),"")</f>
        <v/>
      </c>
      <c r="C202">
        <f>IF(ISNUMBER($A202),INDEX($Q$6:$Q$1505,$A202-3),"")</f>
        <v/>
      </c>
      <c r="D202">
        <f>IF(ISNUMBER($A202),INDEX($R$6:$R$1505,$A202-3),"")</f>
        <v/>
      </c>
      <c r="E202">
        <f>IF(ISNUMBER($A202),$G$2,"")</f>
        <v/>
      </c>
      <c r="F202">
        <f>IF(ISNUMBER($A202),INDEX($Z$6:$Z$1505,$A202-3),"")</f>
        <v/>
      </c>
      <c r="G202">
        <f>IF(ISNUMBER($A202),INDEX($AA$6:$AA$1505,$A202-3),"")</f>
        <v/>
      </c>
      <c r="H202">
        <f>IF(ISNUMBER($A202),INDEX($U$6:$U$1505,$A202-3),"")</f>
        <v/>
      </c>
      <c r="I202">
        <f>IF(ISNUMBER($A202),INDEX($V$6:$V$1505,$A202-3),"")</f>
        <v/>
      </c>
      <c r="J202">
        <f>IF(ISNUMBER($A202),INDEX($W$6:$W$1505,$A202-3),"")</f>
        <v/>
      </c>
      <c r="K202">
        <f>IF(ISNUMBER($A202),INDEX($X$6:$X$1505,$A202-3),"")</f>
        <v/>
      </c>
      <c r="L202">
        <f>IF(ISNUMBER($A202),INDEX($Y$6:$Y$1505,$A202-3),"")</f>
        <v/>
      </c>
      <c r="O202">
        <f>200</f>
        <v/>
      </c>
      <c r="P202">
        <f>IF(TRIM('입력_구리근무자명단'!$A200&amp;"")&lt;&gt;"",TRIM('입력_구리근무자명단'!$A200&amp;""),P201)</f>
        <v/>
      </c>
      <c r="Q202">
        <f>'입력_구리근무자명단'!$B200&amp;""</f>
        <v/>
      </c>
      <c r="R202">
        <f>IF($E$2="","",TRIM(INDEX('입력_구리근무자명단'!$A200:$ZZ200,1,$E$2+IF($G$2="확정",1,0))&amp;""))</f>
        <v/>
      </c>
      <c r="S202">
        <f>IF($R202="","",IF(INDEX('입력_구리근무자명단'!$A200:$ZZ200,1,$E$2+2)&amp;""="",급여기준월,IF(ISNUMBER(INDEX('입력_구리근무자명단'!$A200:$ZZ200,1,$E$2+2)),INDEX('입력_구리근무자명단'!$A200:$ZZ200,1,$E$2+2),IFERROR(DATE(VALUE(LEFT(INDEX('입력_구리근무자명단'!$A200:$ZZ200,1,$E$2+2),4)),VALUE(MID(INDEX('입력_구리근무자명단'!$A200:$ZZ200,1,$E$2+2),6,2)),VALUE(MID(INDEX('입력_구리근무자명단'!$A200:$ZZ200,1,$E$2+2),9,2))),-1))))</f>
        <v/>
      </c>
      <c r="T202">
        <f>IF($R202="","",IF(INDEX('입력_구리근무자명단'!$A200:$ZZ200,1,$E$2+3)&amp;""="",EOMONTH(급여기준월,0),IF(ISNUMBER(INDEX('입력_구리근무자명단'!$A200:$ZZ200,1,$E$2+3)),INDEX('입력_구리근무자명단'!$A200:$ZZ200,1,$E$2+3),IFERROR(DATE(VALUE(LEFT(INDEX('입력_구리근무자명단'!$A200:$ZZ200,1,$E$2+3),4)),VALUE(MID(INDEX('입력_구리근무자명단'!$A200:$ZZ200,1,$E$2+3),6,2)),VALUE(MID(INDEX('입력_구리근무자명단'!$A200:$ZZ200,1,$E$2+3),9,2))),-1))))</f>
        <v/>
      </c>
      <c r="U202">
        <f>IF($R202="","",IF(OR($S202&lt;0,$T202&lt;0),0,MAX(0,MIN($T202,EOMONTH(급여기준월,0))-MAX($S202,급여기준월)+1)))</f>
        <v/>
      </c>
      <c r="V202">
        <f>IF($R202="","",TRIM(INDEX('입력_구리근무자명단'!$A200:$ZZ200,1,$E$2+5)&amp;""))</f>
        <v/>
      </c>
      <c r="W202">
        <f>IF(ISNUMBER(SEARCH("구리독자",$V202)),"구리독자","")</f>
        <v/>
      </c>
      <c r="X202">
        <f>IF($R202="","",$R202&amp;"|"&amp;IF(OR($Q202="인턴",ISNUMBER(SEARCH("수련교육부",$P202))),"인턴",$P202))</f>
        <v/>
      </c>
      <c r="Y202">
        <f>IF($R202="","",IF(COUNTIF(명단표[이름|과],$X202)=1,"명단 일치",IF(AND(COUNTIF(명단표[이름|과],$X202)=0,COUNTIF(명단표[이름],$R202)=1),"명단 일치(이름만, 과 다름)",IF(COUNTIF(명단표[이름],$R202)=0,IF(COUNTIF(기본자료표[이름],$R202)&gt;0,"명단에 없음(기본자료에는 있음)","명단에 없음"),"동명이인 확인"))))</f>
        <v/>
      </c>
      <c r="Z202">
        <f>IF($R202="","",IF($S202&lt;0,"⚠"&amp;INDEX('입력_구리근무자명단'!$A200:$ZZ200,1,$E$2+2),TEXT($S202,"yyyy-mm-dd")))</f>
        <v/>
      </c>
      <c r="AA202">
        <f>IF($R202="","",IF($T202&lt;0,"⚠"&amp;INDEX('입력_구리근무자명단'!$A200:$ZZ200,1,$E$2+3),TEXT($T202,"yyyy-mm-dd")))</f>
        <v/>
      </c>
      <c r="AB202">
        <f>AB201+IF($R202="",0,1)</f>
        <v/>
      </c>
      <c r="AC202">
        <f>IF($R202="","",$AB202)</f>
        <v/>
      </c>
    </row>
    <row r="203">
      <c r="A203">
        <f>IFERROR(INDEX($O$6:$O$1505,MATCH(198,$AC$6:$AC$1505,0)),"")</f>
        <v/>
      </c>
      <c r="B203">
        <f>IF(ISNUMBER($A203),INDEX($P$6:$P$1505,$A203-3),"")</f>
        <v/>
      </c>
      <c r="C203">
        <f>IF(ISNUMBER($A203),INDEX($Q$6:$Q$1505,$A203-3),"")</f>
        <v/>
      </c>
      <c r="D203">
        <f>IF(ISNUMBER($A203),INDEX($R$6:$R$1505,$A203-3),"")</f>
        <v/>
      </c>
      <c r="E203">
        <f>IF(ISNUMBER($A203),$G$2,"")</f>
        <v/>
      </c>
      <c r="F203">
        <f>IF(ISNUMBER($A203),INDEX($Z$6:$Z$1505,$A203-3),"")</f>
        <v/>
      </c>
      <c r="G203">
        <f>IF(ISNUMBER($A203),INDEX($AA$6:$AA$1505,$A203-3),"")</f>
        <v/>
      </c>
      <c r="H203">
        <f>IF(ISNUMBER($A203),INDEX($U$6:$U$1505,$A203-3),"")</f>
        <v/>
      </c>
      <c r="I203">
        <f>IF(ISNUMBER($A203),INDEX($V$6:$V$1505,$A203-3),"")</f>
        <v/>
      </c>
      <c r="J203">
        <f>IF(ISNUMBER($A203),INDEX($W$6:$W$1505,$A203-3),"")</f>
        <v/>
      </c>
      <c r="K203">
        <f>IF(ISNUMBER($A203),INDEX($X$6:$X$1505,$A203-3),"")</f>
        <v/>
      </c>
      <c r="L203">
        <f>IF(ISNUMBER($A203),INDEX($Y$6:$Y$1505,$A203-3),"")</f>
        <v/>
      </c>
      <c r="O203">
        <f>201</f>
        <v/>
      </c>
      <c r="P203">
        <f>IF(TRIM('입력_구리근무자명단'!$A201&amp;"")&lt;&gt;"",TRIM('입력_구리근무자명단'!$A201&amp;""),P202)</f>
        <v/>
      </c>
      <c r="Q203">
        <f>'입력_구리근무자명단'!$B201&amp;""</f>
        <v/>
      </c>
      <c r="R203">
        <f>IF($E$2="","",TRIM(INDEX('입력_구리근무자명단'!$A201:$ZZ201,1,$E$2+IF($G$2="확정",1,0))&amp;""))</f>
        <v/>
      </c>
      <c r="S203">
        <f>IF($R203="","",IF(INDEX('입력_구리근무자명단'!$A201:$ZZ201,1,$E$2+2)&amp;""="",급여기준월,IF(ISNUMBER(INDEX('입력_구리근무자명단'!$A201:$ZZ201,1,$E$2+2)),INDEX('입력_구리근무자명단'!$A201:$ZZ201,1,$E$2+2),IFERROR(DATE(VALUE(LEFT(INDEX('입력_구리근무자명단'!$A201:$ZZ201,1,$E$2+2),4)),VALUE(MID(INDEX('입력_구리근무자명단'!$A201:$ZZ201,1,$E$2+2),6,2)),VALUE(MID(INDEX('입력_구리근무자명단'!$A201:$ZZ201,1,$E$2+2),9,2))),-1))))</f>
        <v/>
      </c>
      <c r="T203">
        <f>IF($R203="","",IF(INDEX('입력_구리근무자명단'!$A201:$ZZ201,1,$E$2+3)&amp;""="",EOMONTH(급여기준월,0),IF(ISNUMBER(INDEX('입력_구리근무자명단'!$A201:$ZZ201,1,$E$2+3)),INDEX('입력_구리근무자명단'!$A201:$ZZ201,1,$E$2+3),IFERROR(DATE(VALUE(LEFT(INDEX('입력_구리근무자명단'!$A201:$ZZ201,1,$E$2+3),4)),VALUE(MID(INDEX('입력_구리근무자명단'!$A201:$ZZ201,1,$E$2+3),6,2)),VALUE(MID(INDEX('입력_구리근무자명단'!$A201:$ZZ201,1,$E$2+3),9,2))),-1))))</f>
        <v/>
      </c>
      <c r="U203">
        <f>IF($R203="","",IF(OR($S203&lt;0,$T203&lt;0),0,MAX(0,MIN($T203,EOMONTH(급여기준월,0))-MAX($S203,급여기준월)+1)))</f>
        <v/>
      </c>
      <c r="V203">
        <f>IF($R203="","",TRIM(INDEX('입력_구리근무자명단'!$A201:$ZZ201,1,$E$2+5)&amp;""))</f>
        <v/>
      </c>
      <c r="W203">
        <f>IF(ISNUMBER(SEARCH("구리독자",$V203)),"구리독자","")</f>
        <v/>
      </c>
      <c r="X203">
        <f>IF($R203="","",$R203&amp;"|"&amp;IF(OR($Q203="인턴",ISNUMBER(SEARCH("수련교육부",$P203))),"인턴",$P203))</f>
        <v/>
      </c>
      <c r="Y203">
        <f>IF($R203="","",IF(COUNTIF(명단표[이름|과],$X203)=1,"명단 일치",IF(AND(COUNTIF(명단표[이름|과],$X203)=0,COUNTIF(명단표[이름],$R203)=1),"명단 일치(이름만, 과 다름)",IF(COUNTIF(명단표[이름],$R203)=0,IF(COUNTIF(기본자료표[이름],$R203)&gt;0,"명단에 없음(기본자료에는 있음)","명단에 없음"),"동명이인 확인"))))</f>
        <v/>
      </c>
      <c r="Z203">
        <f>IF($R203="","",IF($S203&lt;0,"⚠"&amp;INDEX('입력_구리근무자명단'!$A201:$ZZ201,1,$E$2+2),TEXT($S203,"yyyy-mm-dd")))</f>
        <v/>
      </c>
      <c r="AA203">
        <f>IF($R203="","",IF($T203&lt;0,"⚠"&amp;INDEX('입력_구리근무자명단'!$A201:$ZZ201,1,$E$2+3),TEXT($T203,"yyyy-mm-dd")))</f>
        <v/>
      </c>
      <c r="AB203">
        <f>AB202+IF($R203="",0,1)</f>
        <v/>
      </c>
      <c r="AC203">
        <f>IF($R203="","",$AB203)</f>
        <v/>
      </c>
    </row>
    <row r="204">
      <c r="A204">
        <f>IFERROR(INDEX($O$6:$O$1505,MATCH(199,$AC$6:$AC$1505,0)),"")</f>
        <v/>
      </c>
      <c r="B204">
        <f>IF(ISNUMBER($A204),INDEX($P$6:$P$1505,$A204-3),"")</f>
        <v/>
      </c>
      <c r="C204">
        <f>IF(ISNUMBER($A204),INDEX($Q$6:$Q$1505,$A204-3),"")</f>
        <v/>
      </c>
      <c r="D204">
        <f>IF(ISNUMBER($A204),INDEX($R$6:$R$1505,$A204-3),"")</f>
        <v/>
      </c>
      <c r="E204">
        <f>IF(ISNUMBER($A204),$G$2,"")</f>
        <v/>
      </c>
      <c r="F204">
        <f>IF(ISNUMBER($A204),INDEX($Z$6:$Z$1505,$A204-3),"")</f>
        <v/>
      </c>
      <c r="G204">
        <f>IF(ISNUMBER($A204),INDEX($AA$6:$AA$1505,$A204-3),"")</f>
        <v/>
      </c>
      <c r="H204">
        <f>IF(ISNUMBER($A204),INDEX($U$6:$U$1505,$A204-3),"")</f>
        <v/>
      </c>
      <c r="I204">
        <f>IF(ISNUMBER($A204),INDEX($V$6:$V$1505,$A204-3),"")</f>
        <v/>
      </c>
      <c r="J204">
        <f>IF(ISNUMBER($A204),INDEX($W$6:$W$1505,$A204-3),"")</f>
        <v/>
      </c>
      <c r="K204">
        <f>IF(ISNUMBER($A204),INDEX($X$6:$X$1505,$A204-3),"")</f>
        <v/>
      </c>
      <c r="L204">
        <f>IF(ISNUMBER($A204),INDEX($Y$6:$Y$1505,$A204-3),"")</f>
        <v/>
      </c>
      <c r="O204">
        <f>202</f>
        <v/>
      </c>
      <c r="P204">
        <f>IF(TRIM('입력_구리근무자명단'!$A202&amp;"")&lt;&gt;"",TRIM('입력_구리근무자명단'!$A202&amp;""),P203)</f>
        <v/>
      </c>
      <c r="Q204">
        <f>'입력_구리근무자명단'!$B202&amp;""</f>
        <v/>
      </c>
      <c r="R204">
        <f>IF($E$2="","",TRIM(INDEX('입력_구리근무자명단'!$A202:$ZZ202,1,$E$2+IF($G$2="확정",1,0))&amp;""))</f>
        <v/>
      </c>
      <c r="S204">
        <f>IF($R204="","",IF(INDEX('입력_구리근무자명단'!$A202:$ZZ202,1,$E$2+2)&amp;""="",급여기준월,IF(ISNUMBER(INDEX('입력_구리근무자명단'!$A202:$ZZ202,1,$E$2+2)),INDEX('입력_구리근무자명단'!$A202:$ZZ202,1,$E$2+2),IFERROR(DATE(VALUE(LEFT(INDEX('입력_구리근무자명단'!$A202:$ZZ202,1,$E$2+2),4)),VALUE(MID(INDEX('입력_구리근무자명단'!$A202:$ZZ202,1,$E$2+2),6,2)),VALUE(MID(INDEX('입력_구리근무자명단'!$A202:$ZZ202,1,$E$2+2),9,2))),-1))))</f>
        <v/>
      </c>
      <c r="T204">
        <f>IF($R204="","",IF(INDEX('입력_구리근무자명단'!$A202:$ZZ202,1,$E$2+3)&amp;""="",EOMONTH(급여기준월,0),IF(ISNUMBER(INDEX('입력_구리근무자명단'!$A202:$ZZ202,1,$E$2+3)),INDEX('입력_구리근무자명단'!$A202:$ZZ202,1,$E$2+3),IFERROR(DATE(VALUE(LEFT(INDEX('입력_구리근무자명단'!$A202:$ZZ202,1,$E$2+3),4)),VALUE(MID(INDEX('입력_구리근무자명단'!$A202:$ZZ202,1,$E$2+3),6,2)),VALUE(MID(INDEX('입력_구리근무자명단'!$A202:$ZZ202,1,$E$2+3),9,2))),-1))))</f>
        <v/>
      </c>
      <c r="U204">
        <f>IF($R204="","",IF(OR($S204&lt;0,$T204&lt;0),0,MAX(0,MIN($T204,EOMONTH(급여기준월,0))-MAX($S204,급여기준월)+1)))</f>
        <v/>
      </c>
      <c r="V204">
        <f>IF($R204="","",TRIM(INDEX('입력_구리근무자명단'!$A202:$ZZ202,1,$E$2+5)&amp;""))</f>
        <v/>
      </c>
      <c r="W204">
        <f>IF(ISNUMBER(SEARCH("구리독자",$V204)),"구리독자","")</f>
        <v/>
      </c>
      <c r="X204">
        <f>IF($R204="","",$R204&amp;"|"&amp;IF(OR($Q204="인턴",ISNUMBER(SEARCH("수련교육부",$P204))),"인턴",$P204))</f>
        <v/>
      </c>
      <c r="Y204">
        <f>IF($R204="","",IF(COUNTIF(명단표[이름|과],$X204)=1,"명단 일치",IF(AND(COUNTIF(명단표[이름|과],$X204)=0,COUNTIF(명단표[이름],$R204)=1),"명단 일치(이름만, 과 다름)",IF(COUNTIF(명단표[이름],$R204)=0,IF(COUNTIF(기본자료표[이름],$R204)&gt;0,"명단에 없음(기본자료에는 있음)","명단에 없음"),"동명이인 확인"))))</f>
        <v/>
      </c>
      <c r="Z204">
        <f>IF($R204="","",IF($S204&lt;0,"⚠"&amp;INDEX('입력_구리근무자명단'!$A202:$ZZ202,1,$E$2+2),TEXT($S204,"yyyy-mm-dd")))</f>
        <v/>
      </c>
      <c r="AA204">
        <f>IF($R204="","",IF($T204&lt;0,"⚠"&amp;INDEX('입력_구리근무자명단'!$A202:$ZZ202,1,$E$2+3),TEXT($T204,"yyyy-mm-dd")))</f>
        <v/>
      </c>
      <c r="AB204">
        <f>AB203+IF($R204="",0,1)</f>
        <v/>
      </c>
      <c r="AC204">
        <f>IF($R204="","",$AB204)</f>
        <v/>
      </c>
    </row>
    <row r="205">
      <c r="A205">
        <f>IFERROR(INDEX($O$6:$O$1505,MATCH(200,$AC$6:$AC$1505,0)),"")</f>
        <v/>
      </c>
      <c r="B205">
        <f>IF(ISNUMBER($A205),INDEX($P$6:$P$1505,$A205-3),"")</f>
        <v/>
      </c>
      <c r="C205">
        <f>IF(ISNUMBER($A205),INDEX($Q$6:$Q$1505,$A205-3),"")</f>
        <v/>
      </c>
      <c r="D205">
        <f>IF(ISNUMBER($A205),INDEX($R$6:$R$1505,$A205-3),"")</f>
        <v/>
      </c>
      <c r="E205">
        <f>IF(ISNUMBER($A205),$G$2,"")</f>
        <v/>
      </c>
      <c r="F205">
        <f>IF(ISNUMBER($A205),INDEX($Z$6:$Z$1505,$A205-3),"")</f>
        <v/>
      </c>
      <c r="G205">
        <f>IF(ISNUMBER($A205),INDEX($AA$6:$AA$1505,$A205-3),"")</f>
        <v/>
      </c>
      <c r="H205">
        <f>IF(ISNUMBER($A205),INDEX($U$6:$U$1505,$A205-3),"")</f>
        <v/>
      </c>
      <c r="I205">
        <f>IF(ISNUMBER($A205),INDEX($V$6:$V$1505,$A205-3),"")</f>
        <v/>
      </c>
      <c r="J205">
        <f>IF(ISNUMBER($A205),INDEX($W$6:$W$1505,$A205-3),"")</f>
        <v/>
      </c>
      <c r="K205">
        <f>IF(ISNUMBER($A205),INDEX($X$6:$X$1505,$A205-3),"")</f>
        <v/>
      </c>
      <c r="L205">
        <f>IF(ISNUMBER($A205),INDEX($Y$6:$Y$1505,$A205-3),"")</f>
        <v/>
      </c>
      <c r="O205">
        <f>203</f>
        <v/>
      </c>
      <c r="P205">
        <f>IF(TRIM('입력_구리근무자명단'!$A203&amp;"")&lt;&gt;"",TRIM('입력_구리근무자명단'!$A203&amp;""),P204)</f>
        <v/>
      </c>
      <c r="Q205">
        <f>'입력_구리근무자명단'!$B203&amp;""</f>
        <v/>
      </c>
      <c r="R205">
        <f>IF($E$2="","",TRIM(INDEX('입력_구리근무자명단'!$A203:$ZZ203,1,$E$2+IF($G$2="확정",1,0))&amp;""))</f>
        <v/>
      </c>
      <c r="S205">
        <f>IF($R205="","",IF(INDEX('입력_구리근무자명단'!$A203:$ZZ203,1,$E$2+2)&amp;""="",급여기준월,IF(ISNUMBER(INDEX('입력_구리근무자명단'!$A203:$ZZ203,1,$E$2+2)),INDEX('입력_구리근무자명단'!$A203:$ZZ203,1,$E$2+2),IFERROR(DATE(VALUE(LEFT(INDEX('입력_구리근무자명단'!$A203:$ZZ203,1,$E$2+2),4)),VALUE(MID(INDEX('입력_구리근무자명단'!$A203:$ZZ203,1,$E$2+2),6,2)),VALUE(MID(INDEX('입력_구리근무자명단'!$A203:$ZZ203,1,$E$2+2),9,2))),-1))))</f>
        <v/>
      </c>
      <c r="T205">
        <f>IF($R205="","",IF(INDEX('입력_구리근무자명단'!$A203:$ZZ203,1,$E$2+3)&amp;""="",EOMONTH(급여기준월,0),IF(ISNUMBER(INDEX('입력_구리근무자명단'!$A203:$ZZ203,1,$E$2+3)),INDEX('입력_구리근무자명단'!$A203:$ZZ203,1,$E$2+3),IFERROR(DATE(VALUE(LEFT(INDEX('입력_구리근무자명단'!$A203:$ZZ203,1,$E$2+3),4)),VALUE(MID(INDEX('입력_구리근무자명단'!$A203:$ZZ203,1,$E$2+3),6,2)),VALUE(MID(INDEX('입력_구리근무자명단'!$A203:$ZZ203,1,$E$2+3),9,2))),-1))))</f>
        <v/>
      </c>
      <c r="U205">
        <f>IF($R205="","",IF(OR($S205&lt;0,$T205&lt;0),0,MAX(0,MIN($T205,EOMONTH(급여기준월,0))-MAX($S205,급여기준월)+1)))</f>
        <v/>
      </c>
      <c r="V205">
        <f>IF($R205="","",TRIM(INDEX('입력_구리근무자명단'!$A203:$ZZ203,1,$E$2+5)&amp;""))</f>
        <v/>
      </c>
      <c r="W205">
        <f>IF(ISNUMBER(SEARCH("구리독자",$V205)),"구리독자","")</f>
        <v/>
      </c>
      <c r="X205">
        <f>IF($R205="","",$R205&amp;"|"&amp;IF(OR($Q205="인턴",ISNUMBER(SEARCH("수련교육부",$P205))),"인턴",$P205))</f>
        <v/>
      </c>
      <c r="Y205">
        <f>IF($R205="","",IF(COUNTIF(명단표[이름|과],$X205)=1,"명단 일치",IF(AND(COUNTIF(명단표[이름|과],$X205)=0,COUNTIF(명단표[이름],$R205)=1),"명단 일치(이름만, 과 다름)",IF(COUNTIF(명단표[이름],$R205)=0,IF(COUNTIF(기본자료표[이름],$R205)&gt;0,"명단에 없음(기본자료에는 있음)","명단에 없음"),"동명이인 확인"))))</f>
        <v/>
      </c>
      <c r="Z205">
        <f>IF($R205="","",IF($S205&lt;0,"⚠"&amp;INDEX('입력_구리근무자명단'!$A203:$ZZ203,1,$E$2+2),TEXT($S205,"yyyy-mm-dd")))</f>
        <v/>
      </c>
      <c r="AA205">
        <f>IF($R205="","",IF($T205&lt;0,"⚠"&amp;INDEX('입력_구리근무자명단'!$A203:$ZZ203,1,$E$2+3),TEXT($T205,"yyyy-mm-dd")))</f>
        <v/>
      </c>
      <c r="AB205">
        <f>AB204+IF($R205="",0,1)</f>
        <v/>
      </c>
      <c r="AC205">
        <f>IF($R205="","",$AB205)</f>
        <v/>
      </c>
    </row>
    <row r="206">
      <c r="A206">
        <f>IFERROR(INDEX($O$6:$O$1505,MATCH(201,$AC$6:$AC$1505,0)),"")</f>
        <v/>
      </c>
      <c r="B206">
        <f>IF(ISNUMBER($A206),INDEX($P$6:$P$1505,$A206-3),"")</f>
        <v/>
      </c>
      <c r="C206">
        <f>IF(ISNUMBER($A206),INDEX($Q$6:$Q$1505,$A206-3),"")</f>
        <v/>
      </c>
      <c r="D206">
        <f>IF(ISNUMBER($A206),INDEX($R$6:$R$1505,$A206-3),"")</f>
        <v/>
      </c>
      <c r="E206">
        <f>IF(ISNUMBER($A206),$G$2,"")</f>
        <v/>
      </c>
      <c r="F206">
        <f>IF(ISNUMBER($A206),INDEX($Z$6:$Z$1505,$A206-3),"")</f>
        <v/>
      </c>
      <c r="G206">
        <f>IF(ISNUMBER($A206),INDEX($AA$6:$AA$1505,$A206-3),"")</f>
        <v/>
      </c>
      <c r="H206">
        <f>IF(ISNUMBER($A206),INDEX($U$6:$U$1505,$A206-3),"")</f>
        <v/>
      </c>
      <c r="I206">
        <f>IF(ISNUMBER($A206),INDEX($V$6:$V$1505,$A206-3),"")</f>
        <v/>
      </c>
      <c r="J206">
        <f>IF(ISNUMBER($A206),INDEX($W$6:$W$1505,$A206-3),"")</f>
        <v/>
      </c>
      <c r="K206">
        <f>IF(ISNUMBER($A206),INDEX($X$6:$X$1505,$A206-3),"")</f>
        <v/>
      </c>
      <c r="L206">
        <f>IF(ISNUMBER($A206),INDEX($Y$6:$Y$1505,$A206-3),"")</f>
        <v/>
      </c>
      <c r="O206">
        <f>204</f>
        <v/>
      </c>
      <c r="P206">
        <f>IF(TRIM('입력_구리근무자명단'!$A204&amp;"")&lt;&gt;"",TRIM('입력_구리근무자명단'!$A204&amp;""),P205)</f>
        <v/>
      </c>
      <c r="Q206">
        <f>'입력_구리근무자명단'!$B204&amp;""</f>
        <v/>
      </c>
      <c r="R206">
        <f>IF($E$2="","",TRIM(INDEX('입력_구리근무자명단'!$A204:$ZZ204,1,$E$2+IF($G$2="확정",1,0))&amp;""))</f>
        <v/>
      </c>
      <c r="S206">
        <f>IF($R206="","",IF(INDEX('입력_구리근무자명단'!$A204:$ZZ204,1,$E$2+2)&amp;""="",급여기준월,IF(ISNUMBER(INDEX('입력_구리근무자명단'!$A204:$ZZ204,1,$E$2+2)),INDEX('입력_구리근무자명단'!$A204:$ZZ204,1,$E$2+2),IFERROR(DATE(VALUE(LEFT(INDEX('입력_구리근무자명단'!$A204:$ZZ204,1,$E$2+2),4)),VALUE(MID(INDEX('입력_구리근무자명단'!$A204:$ZZ204,1,$E$2+2),6,2)),VALUE(MID(INDEX('입력_구리근무자명단'!$A204:$ZZ204,1,$E$2+2),9,2))),-1))))</f>
        <v/>
      </c>
      <c r="T206">
        <f>IF($R206="","",IF(INDEX('입력_구리근무자명단'!$A204:$ZZ204,1,$E$2+3)&amp;""="",EOMONTH(급여기준월,0),IF(ISNUMBER(INDEX('입력_구리근무자명단'!$A204:$ZZ204,1,$E$2+3)),INDEX('입력_구리근무자명단'!$A204:$ZZ204,1,$E$2+3),IFERROR(DATE(VALUE(LEFT(INDEX('입력_구리근무자명단'!$A204:$ZZ204,1,$E$2+3),4)),VALUE(MID(INDEX('입력_구리근무자명단'!$A204:$ZZ204,1,$E$2+3),6,2)),VALUE(MID(INDEX('입력_구리근무자명단'!$A204:$ZZ204,1,$E$2+3),9,2))),-1))))</f>
        <v/>
      </c>
      <c r="U206">
        <f>IF($R206="","",IF(OR($S206&lt;0,$T206&lt;0),0,MAX(0,MIN($T206,EOMONTH(급여기준월,0))-MAX($S206,급여기준월)+1)))</f>
        <v/>
      </c>
      <c r="V206">
        <f>IF($R206="","",TRIM(INDEX('입력_구리근무자명단'!$A204:$ZZ204,1,$E$2+5)&amp;""))</f>
        <v/>
      </c>
      <c r="W206">
        <f>IF(ISNUMBER(SEARCH("구리독자",$V206)),"구리독자","")</f>
        <v/>
      </c>
      <c r="X206">
        <f>IF($R206="","",$R206&amp;"|"&amp;IF(OR($Q206="인턴",ISNUMBER(SEARCH("수련교육부",$P206))),"인턴",$P206))</f>
        <v/>
      </c>
      <c r="Y206">
        <f>IF($R206="","",IF(COUNTIF(명단표[이름|과],$X206)=1,"명단 일치",IF(AND(COUNTIF(명단표[이름|과],$X206)=0,COUNTIF(명단표[이름],$R206)=1),"명단 일치(이름만, 과 다름)",IF(COUNTIF(명단표[이름],$R206)=0,IF(COUNTIF(기본자료표[이름],$R206)&gt;0,"명단에 없음(기본자료에는 있음)","명단에 없음"),"동명이인 확인"))))</f>
        <v/>
      </c>
      <c r="Z206">
        <f>IF($R206="","",IF($S206&lt;0,"⚠"&amp;INDEX('입력_구리근무자명단'!$A204:$ZZ204,1,$E$2+2),TEXT($S206,"yyyy-mm-dd")))</f>
        <v/>
      </c>
      <c r="AA206">
        <f>IF($R206="","",IF($T206&lt;0,"⚠"&amp;INDEX('입력_구리근무자명단'!$A204:$ZZ204,1,$E$2+3),TEXT($T206,"yyyy-mm-dd")))</f>
        <v/>
      </c>
      <c r="AB206">
        <f>AB205+IF($R206="",0,1)</f>
        <v/>
      </c>
      <c r="AC206">
        <f>IF($R206="","",$AB206)</f>
        <v/>
      </c>
    </row>
    <row r="207">
      <c r="A207">
        <f>IFERROR(INDEX($O$6:$O$1505,MATCH(202,$AC$6:$AC$1505,0)),"")</f>
        <v/>
      </c>
      <c r="B207">
        <f>IF(ISNUMBER($A207),INDEX($P$6:$P$1505,$A207-3),"")</f>
        <v/>
      </c>
      <c r="C207">
        <f>IF(ISNUMBER($A207),INDEX($Q$6:$Q$1505,$A207-3),"")</f>
        <v/>
      </c>
      <c r="D207">
        <f>IF(ISNUMBER($A207),INDEX($R$6:$R$1505,$A207-3),"")</f>
        <v/>
      </c>
      <c r="E207">
        <f>IF(ISNUMBER($A207),$G$2,"")</f>
        <v/>
      </c>
      <c r="F207">
        <f>IF(ISNUMBER($A207),INDEX($Z$6:$Z$1505,$A207-3),"")</f>
        <v/>
      </c>
      <c r="G207">
        <f>IF(ISNUMBER($A207),INDEX($AA$6:$AA$1505,$A207-3),"")</f>
        <v/>
      </c>
      <c r="H207">
        <f>IF(ISNUMBER($A207),INDEX($U$6:$U$1505,$A207-3),"")</f>
        <v/>
      </c>
      <c r="I207">
        <f>IF(ISNUMBER($A207),INDEX($V$6:$V$1505,$A207-3),"")</f>
        <v/>
      </c>
      <c r="J207">
        <f>IF(ISNUMBER($A207),INDEX($W$6:$W$1505,$A207-3),"")</f>
        <v/>
      </c>
      <c r="K207">
        <f>IF(ISNUMBER($A207),INDEX($X$6:$X$1505,$A207-3),"")</f>
        <v/>
      </c>
      <c r="L207">
        <f>IF(ISNUMBER($A207),INDEX($Y$6:$Y$1505,$A207-3),"")</f>
        <v/>
      </c>
      <c r="O207">
        <f>205</f>
        <v/>
      </c>
      <c r="P207">
        <f>IF(TRIM('입력_구리근무자명단'!$A205&amp;"")&lt;&gt;"",TRIM('입력_구리근무자명단'!$A205&amp;""),P206)</f>
        <v/>
      </c>
      <c r="Q207">
        <f>'입력_구리근무자명단'!$B205&amp;""</f>
        <v/>
      </c>
      <c r="R207">
        <f>IF($E$2="","",TRIM(INDEX('입력_구리근무자명단'!$A205:$ZZ205,1,$E$2+IF($G$2="확정",1,0))&amp;""))</f>
        <v/>
      </c>
      <c r="S207">
        <f>IF($R207="","",IF(INDEX('입력_구리근무자명단'!$A205:$ZZ205,1,$E$2+2)&amp;""="",급여기준월,IF(ISNUMBER(INDEX('입력_구리근무자명단'!$A205:$ZZ205,1,$E$2+2)),INDEX('입력_구리근무자명단'!$A205:$ZZ205,1,$E$2+2),IFERROR(DATE(VALUE(LEFT(INDEX('입력_구리근무자명단'!$A205:$ZZ205,1,$E$2+2),4)),VALUE(MID(INDEX('입력_구리근무자명단'!$A205:$ZZ205,1,$E$2+2),6,2)),VALUE(MID(INDEX('입력_구리근무자명단'!$A205:$ZZ205,1,$E$2+2),9,2))),-1))))</f>
        <v/>
      </c>
      <c r="T207">
        <f>IF($R207="","",IF(INDEX('입력_구리근무자명단'!$A205:$ZZ205,1,$E$2+3)&amp;""="",EOMONTH(급여기준월,0),IF(ISNUMBER(INDEX('입력_구리근무자명단'!$A205:$ZZ205,1,$E$2+3)),INDEX('입력_구리근무자명단'!$A205:$ZZ205,1,$E$2+3),IFERROR(DATE(VALUE(LEFT(INDEX('입력_구리근무자명단'!$A205:$ZZ205,1,$E$2+3),4)),VALUE(MID(INDEX('입력_구리근무자명단'!$A205:$ZZ205,1,$E$2+3),6,2)),VALUE(MID(INDEX('입력_구리근무자명단'!$A205:$ZZ205,1,$E$2+3),9,2))),-1))))</f>
        <v/>
      </c>
      <c r="U207">
        <f>IF($R207="","",IF(OR($S207&lt;0,$T207&lt;0),0,MAX(0,MIN($T207,EOMONTH(급여기준월,0))-MAX($S207,급여기준월)+1)))</f>
        <v/>
      </c>
      <c r="V207">
        <f>IF($R207="","",TRIM(INDEX('입력_구리근무자명단'!$A205:$ZZ205,1,$E$2+5)&amp;""))</f>
        <v/>
      </c>
      <c r="W207">
        <f>IF(ISNUMBER(SEARCH("구리독자",$V207)),"구리독자","")</f>
        <v/>
      </c>
      <c r="X207">
        <f>IF($R207="","",$R207&amp;"|"&amp;IF(OR($Q207="인턴",ISNUMBER(SEARCH("수련교육부",$P207))),"인턴",$P207))</f>
        <v/>
      </c>
      <c r="Y207">
        <f>IF($R207="","",IF(COUNTIF(명단표[이름|과],$X207)=1,"명단 일치",IF(AND(COUNTIF(명단표[이름|과],$X207)=0,COUNTIF(명단표[이름],$R207)=1),"명단 일치(이름만, 과 다름)",IF(COUNTIF(명단표[이름],$R207)=0,IF(COUNTIF(기본자료표[이름],$R207)&gt;0,"명단에 없음(기본자료에는 있음)","명단에 없음"),"동명이인 확인"))))</f>
        <v/>
      </c>
      <c r="Z207">
        <f>IF($R207="","",IF($S207&lt;0,"⚠"&amp;INDEX('입력_구리근무자명단'!$A205:$ZZ205,1,$E$2+2),TEXT($S207,"yyyy-mm-dd")))</f>
        <v/>
      </c>
      <c r="AA207">
        <f>IF($R207="","",IF($T207&lt;0,"⚠"&amp;INDEX('입력_구리근무자명단'!$A205:$ZZ205,1,$E$2+3),TEXT($T207,"yyyy-mm-dd")))</f>
        <v/>
      </c>
      <c r="AB207">
        <f>AB206+IF($R207="",0,1)</f>
        <v/>
      </c>
      <c r="AC207">
        <f>IF($R207="","",$AB207)</f>
        <v/>
      </c>
    </row>
    <row r="208">
      <c r="A208">
        <f>IFERROR(INDEX($O$6:$O$1505,MATCH(203,$AC$6:$AC$1505,0)),"")</f>
        <v/>
      </c>
      <c r="B208">
        <f>IF(ISNUMBER($A208),INDEX($P$6:$P$1505,$A208-3),"")</f>
        <v/>
      </c>
      <c r="C208">
        <f>IF(ISNUMBER($A208),INDEX($Q$6:$Q$1505,$A208-3),"")</f>
        <v/>
      </c>
      <c r="D208">
        <f>IF(ISNUMBER($A208),INDEX($R$6:$R$1505,$A208-3),"")</f>
        <v/>
      </c>
      <c r="E208">
        <f>IF(ISNUMBER($A208),$G$2,"")</f>
        <v/>
      </c>
      <c r="F208">
        <f>IF(ISNUMBER($A208),INDEX($Z$6:$Z$1505,$A208-3),"")</f>
        <v/>
      </c>
      <c r="G208">
        <f>IF(ISNUMBER($A208),INDEX($AA$6:$AA$1505,$A208-3),"")</f>
        <v/>
      </c>
      <c r="H208">
        <f>IF(ISNUMBER($A208),INDEX($U$6:$U$1505,$A208-3),"")</f>
        <v/>
      </c>
      <c r="I208">
        <f>IF(ISNUMBER($A208),INDEX($V$6:$V$1505,$A208-3),"")</f>
        <v/>
      </c>
      <c r="J208">
        <f>IF(ISNUMBER($A208),INDEX($W$6:$W$1505,$A208-3),"")</f>
        <v/>
      </c>
      <c r="K208">
        <f>IF(ISNUMBER($A208),INDEX($X$6:$X$1505,$A208-3),"")</f>
        <v/>
      </c>
      <c r="L208">
        <f>IF(ISNUMBER($A208),INDEX($Y$6:$Y$1505,$A208-3),"")</f>
        <v/>
      </c>
      <c r="O208">
        <f>206</f>
        <v/>
      </c>
      <c r="P208">
        <f>IF(TRIM('입력_구리근무자명단'!$A206&amp;"")&lt;&gt;"",TRIM('입력_구리근무자명단'!$A206&amp;""),P207)</f>
        <v/>
      </c>
      <c r="Q208">
        <f>'입력_구리근무자명단'!$B206&amp;""</f>
        <v/>
      </c>
      <c r="R208">
        <f>IF($E$2="","",TRIM(INDEX('입력_구리근무자명단'!$A206:$ZZ206,1,$E$2+IF($G$2="확정",1,0))&amp;""))</f>
        <v/>
      </c>
      <c r="S208">
        <f>IF($R208="","",IF(INDEX('입력_구리근무자명단'!$A206:$ZZ206,1,$E$2+2)&amp;""="",급여기준월,IF(ISNUMBER(INDEX('입력_구리근무자명단'!$A206:$ZZ206,1,$E$2+2)),INDEX('입력_구리근무자명단'!$A206:$ZZ206,1,$E$2+2),IFERROR(DATE(VALUE(LEFT(INDEX('입력_구리근무자명단'!$A206:$ZZ206,1,$E$2+2),4)),VALUE(MID(INDEX('입력_구리근무자명단'!$A206:$ZZ206,1,$E$2+2),6,2)),VALUE(MID(INDEX('입력_구리근무자명단'!$A206:$ZZ206,1,$E$2+2),9,2))),-1))))</f>
        <v/>
      </c>
      <c r="T208">
        <f>IF($R208="","",IF(INDEX('입력_구리근무자명단'!$A206:$ZZ206,1,$E$2+3)&amp;""="",EOMONTH(급여기준월,0),IF(ISNUMBER(INDEX('입력_구리근무자명단'!$A206:$ZZ206,1,$E$2+3)),INDEX('입력_구리근무자명단'!$A206:$ZZ206,1,$E$2+3),IFERROR(DATE(VALUE(LEFT(INDEX('입력_구리근무자명단'!$A206:$ZZ206,1,$E$2+3),4)),VALUE(MID(INDEX('입력_구리근무자명단'!$A206:$ZZ206,1,$E$2+3),6,2)),VALUE(MID(INDEX('입력_구리근무자명단'!$A206:$ZZ206,1,$E$2+3),9,2))),-1))))</f>
        <v/>
      </c>
      <c r="U208">
        <f>IF($R208="","",IF(OR($S208&lt;0,$T208&lt;0),0,MAX(0,MIN($T208,EOMONTH(급여기준월,0))-MAX($S208,급여기준월)+1)))</f>
        <v/>
      </c>
      <c r="V208">
        <f>IF($R208="","",TRIM(INDEX('입력_구리근무자명단'!$A206:$ZZ206,1,$E$2+5)&amp;""))</f>
        <v/>
      </c>
      <c r="W208">
        <f>IF(ISNUMBER(SEARCH("구리독자",$V208)),"구리독자","")</f>
        <v/>
      </c>
      <c r="X208">
        <f>IF($R208="","",$R208&amp;"|"&amp;IF(OR($Q208="인턴",ISNUMBER(SEARCH("수련교육부",$P208))),"인턴",$P208))</f>
        <v/>
      </c>
      <c r="Y208">
        <f>IF($R208="","",IF(COUNTIF(명단표[이름|과],$X208)=1,"명단 일치",IF(AND(COUNTIF(명단표[이름|과],$X208)=0,COUNTIF(명단표[이름],$R208)=1),"명단 일치(이름만, 과 다름)",IF(COUNTIF(명단표[이름],$R208)=0,IF(COUNTIF(기본자료표[이름],$R208)&gt;0,"명단에 없음(기본자료에는 있음)","명단에 없음"),"동명이인 확인"))))</f>
        <v/>
      </c>
      <c r="Z208">
        <f>IF($R208="","",IF($S208&lt;0,"⚠"&amp;INDEX('입력_구리근무자명단'!$A206:$ZZ206,1,$E$2+2),TEXT($S208,"yyyy-mm-dd")))</f>
        <v/>
      </c>
      <c r="AA208">
        <f>IF($R208="","",IF($T208&lt;0,"⚠"&amp;INDEX('입력_구리근무자명단'!$A206:$ZZ206,1,$E$2+3),TEXT($T208,"yyyy-mm-dd")))</f>
        <v/>
      </c>
      <c r="AB208">
        <f>AB207+IF($R208="",0,1)</f>
        <v/>
      </c>
      <c r="AC208">
        <f>IF($R208="","",$AB208)</f>
        <v/>
      </c>
    </row>
    <row r="209">
      <c r="A209">
        <f>IFERROR(INDEX($O$6:$O$1505,MATCH(204,$AC$6:$AC$1505,0)),"")</f>
        <v/>
      </c>
      <c r="B209">
        <f>IF(ISNUMBER($A209),INDEX($P$6:$P$1505,$A209-3),"")</f>
        <v/>
      </c>
      <c r="C209">
        <f>IF(ISNUMBER($A209),INDEX($Q$6:$Q$1505,$A209-3),"")</f>
        <v/>
      </c>
      <c r="D209">
        <f>IF(ISNUMBER($A209),INDEX($R$6:$R$1505,$A209-3),"")</f>
        <v/>
      </c>
      <c r="E209">
        <f>IF(ISNUMBER($A209),$G$2,"")</f>
        <v/>
      </c>
      <c r="F209">
        <f>IF(ISNUMBER($A209),INDEX($Z$6:$Z$1505,$A209-3),"")</f>
        <v/>
      </c>
      <c r="G209">
        <f>IF(ISNUMBER($A209),INDEX($AA$6:$AA$1505,$A209-3),"")</f>
        <v/>
      </c>
      <c r="H209">
        <f>IF(ISNUMBER($A209),INDEX($U$6:$U$1505,$A209-3),"")</f>
        <v/>
      </c>
      <c r="I209">
        <f>IF(ISNUMBER($A209),INDEX($V$6:$V$1505,$A209-3),"")</f>
        <v/>
      </c>
      <c r="J209">
        <f>IF(ISNUMBER($A209),INDEX($W$6:$W$1505,$A209-3),"")</f>
        <v/>
      </c>
      <c r="K209">
        <f>IF(ISNUMBER($A209),INDEX($X$6:$X$1505,$A209-3),"")</f>
        <v/>
      </c>
      <c r="L209">
        <f>IF(ISNUMBER($A209),INDEX($Y$6:$Y$1505,$A209-3),"")</f>
        <v/>
      </c>
      <c r="O209">
        <f>207</f>
        <v/>
      </c>
      <c r="P209">
        <f>IF(TRIM('입력_구리근무자명단'!$A207&amp;"")&lt;&gt;"",TRIM('입력_구리근무자명단'!$A207&amp;""),P208)</f>
        <v/>
      </c>
      <c r="Q209">
        <f>'입력_구리근무자명단'!$B207&amp;""</f>
        <v/>
      </c>
      <c r="R209">
        <f>IF($E$2="","",TRIM(INDEX('입력_구리근무자명단'!$A207:$ZZ207,1,$E$2+IF($G$2="확정",1,0))&amp;""))</f>
        <v/>
      </c>
      <c r="S209">
        <f>IF($R209="","",IF(INDEX('입력_구리근무자명단'!$A207:$ZZ207,1,$E$2+2)&amp;""="",급여기준월,IF(ISNUMBER(INDEX('입력_구리근무자명단'!$A207:$ZZ207,1,$E$2+2)),INDEX('입력_구리근무자명단'!$A207:$ZZ207,1,$E$2+2),IFERROR(DATE(VALUE(LEFT(INDEX('입력_구리근무자명단'!$A207:$ZZ207,1,$E$2+2),4)),VALUE(MID(INDEX('입력_구리근무자명단'!$A207:$ZZ207,1,$E$2+2),6,2)),VALUE(MID(INDEX('입력_구리근무자명단'!$A207:$ZZ207,1,$E$2+2),9,2))),-1))))</f>
        <v/>
      </c>
      <c r="T209">
        <f>IF($R209="","",IF(INDEX('입력_구리근무자명단'!$A207:$ZZ207,1,$E$2+3)&amp;""="",EOMONTH(급여기준월,0),IF(ISNUMBER(INDEX('입력_구리근무자명단'!$A207:$ZZ207,1,$E$2+3)),INDEX('입력_구리근무자명단'!$A207:$ZZ207,1,$E$2+3),IFERROR(DATE(VALUE(LEFT(INDEX('입력_구리근무자명단'!$A207:$ZZ207,1,$E$2+3),4)),VALUE(MID(INDEX('입력_구리근무자명단'!$A207:$ZZ207,1,$E$2+3),6,2)),VALUE(MID(INDEX('입력_구리근무자명단'!$A207:$ZZ207,1,$E$2+3),9,2))),-1))))</f>
        <v/>
      </c>
      <c r="U209">
        <f>IF($R209="","",IF(OR($S209&lt;0,$T209&lt;0),0,MAX(0,MIN($T209,EOMONTH(급여기준월,0))-MAX($S209,급여기준월)+1)))</f>
        <v/>
      </c>
      <c r="V209">
        <f>IF($R209="","",TRIM(INDEX('입력_구리근무자명단'!$A207:$ZZ207,1,$E$2+5)&amp;""))</f>
        <v/>
      </c>
      <c r="W209">
        <f>IF(ISNUMBER(SEARCH("구리독자",$V209)),"구리독자","")</f>
        <v/>
      </c>
      <c r="X209">
        <f>IF($R209="","",$R209&amp;"|"&amp;IF(OR($Q209="인턴",ISNUMBER(SEARCH("수련교육부",$P209))),"인턴",$P209))</f>
        <v/>
      </c>
      <c r="Y209">
        <f>IF($R209="","",IF(COUNTIF(명단표[이름|과],$X209)=1,"명단 일치",IF(AND(COUNTIF(명단표[이름|과],$X209)=0,COUNTIF(명단표[이름],$R209)=1),"명단 일치(이름만, 과 다름)",IF(COUNTIF(명단표[이름],$R209)=0,IF(COUNTIF(기본자료표[이름],$R209)&gt;0,"명단에 없음(기본자료에는 있음)","명단에 없음"),"동명이인 확인"))))</f>
        <v/>
      </c>
      <c r="Z209">
        <f>IF($R209="","",IF($S209&lt;0,"⚠"&amp;INDEX('입력_구리근무자명단'!$A207:$ZZ207,1,$E$2+2),TEXT($S209,"yyyy-mm-dd")))</f>
        <v/>
      </c>
      <c r="AA209">
        <f>IF($R209="","",IF($T209&lt;0,"⚠"&amp;INDEX('입력_구리근무자명단'!$A207:$ZZ207,1,$E$2+3),TEXT($T209,"yyyy-mm-dd")))</f>
        <v/>
      </c>
      <c r="AB209">
        <f>AB208+IF($R209="",0,1)</f>
        <v/>
      </c>
      <c r="AC209">
        <f>IF($R209="","",$AB209)</f>
        <v/>
      </c>
    </row>
    <row r="210">
      <c r="A210">
        <f>IFERROR(INDEX($O$6:$O$1505,MATCH(205,$AC$6:$AC$1505,0)),"")</f>
        <v/>
      </c>
      <c r="B210">
        <f>IF(ISNUMBER($A210),INDEX($P$6:$P$1505,$A210-3),"")</f>
        <v/>
      </c>
      <c r="C210">
        <f>IF(ISNUMBER($A210),INDEX($Q$6:$Q$1505,$A210-3),"")</f>
        <v/>
      </c>
      <c r="D210">
        <f>IF(ISNUMBER($A210),INDEX($R$6:$R$1505,$A210-3),"")</f>
        <v/>
      </c>
      <c r="E210">
        <f>IF(ISNUMBER($A210),$G$2,"")</f>
        <v/>
      </c>
      <c r="F210">
        <f>IF(ISNUMBER($A210),INDEX($Z$6:$Z$1505,$A210-3),"")</f>
        <v/>
      </c>
      <c r="G210">
        <f>IF(ISNUMBER($A210),INDEX($AA$6:$AA$1505,$A210-3),"")</f>
        <v/>
      </c>
      <c r="H210">
        <f>IF(ISNUMBER($A210),INDEX($U$6:$U$1505,$A210-3),"")</f>
        <v/>
      </c>
      <c r="I210">
        <f>IF(ISNUMBER($A210),INDEX($V$6:$V$1505,$A210-3),"")</f>
        <v/>
      </c>
      <c r="J210">
        <f>IF(ISNUMBER($A210),INDEX($W$6:$W$1505,$A210-3),"")</f>
        <v/>
      </c>
      <c r="K210">
        <f>IF(ISNUMBER($A210),INDEX($X$6:$X$1505,$A210-3),"")</f>
        <v/>
      </c>
      <c r="L210">
        <f>IF(ISNUMBER($A210),INDEX($Y$6:$Y$1505,$A210-3),"")</f>
        <v/>
      </c>
      <c r="O210">
        <f>208</f>
        <v/>
      </c>
      <c r="P210">
        <f>IF(TRIM('입력_구리근무자명단'!$A208&amp;"")&lt;&gt;"",TRIM('입력_구리근무자명단'!$A208&amp;""),P209)</f>
        <v/>
      </c>
      <c r="Q210">
        <f>'입력_구리근무자명단'!$B208&amp;""</f>
        <v/>
      </c>
      <c r="R210">
        <f>IF($E$2="","",TRIM(INDEX('입력_구리근무자명단'!$A208:$ZZ208,1,$E$2+IF($G$2="확정",1,0))&amp;""))</f>
        <v/>
      </c>
      <c r="S210">
        <f>IF($R210="","",IF(INDEX('입력_구리근무자명단'!$A208:$ZZ208,1,$E$2+2)&amp;""="",급여기준월,IF(ISNUMBER(INDEX('입력_구리근무자명단'!$A208:$ZZ208,1,$E$2+2)),INDEX('입력_구리근무자명단'!$A208:$ZZ208,1,$E$2+2),IFERROR(DATE(VALUE(LEFT(INDEX('입력_구리근무자명단'!$A208:$ZZ208,1,$E$2+2),4)),VALUE(MID(INDEX('입력_구리근무자명단'!$A208:$ZZ208,1,$E$2+2),6,2)),VALUE(MID(INDEX('입력_구리근무자명단'!$A208:$ZZ208,1,$E$2+2),9,2))),-1))))</f>
        <v/>
      </c>
      <c r="T210">
        <f>IF($R210="","",IF(INDEX('입력_구리근무자명단'!$A208:$ZZ208,1,$E$2+3)&amp;""="",EOMONTH(급여기준월,0),IF(ISNUMBER(INDEX('입력_구리근무자명단'!$A208:$ZZ208,1,$E$2+3)),INDEX('입력_구리근무자명단'!$A208:$ZZ208,1,$E$2+3),IFERROR(DATE(VALUE(LEFT(INDEX('입력_구리근무자명단'!$A208:$ZZ208,1,$E$2+3),4)),VALUE(MID(INDEX('입력_구리근무자명단'!$A208:$ZZ208,1,$E$2+3),6,2)),VALUE(MID(INDEX('입력_구리근무자명단'!$A208:$ZZ208,1,$E$2+3),9,2))),-1))))</f>
        <v/>
      </c>
      <c r="U210">
        <f>IF($R210="","",IF(OR($S210&lt;0,$T210&lt;0),0,MAX(0,MIN($T210,EOMONTH(급여기준월,0))-MAX($S210,급여기준월)+1)))</f>
        <v/>
      </c>
      <c r="V210">
        <f>IF($R210="","",TRIM(INDEX('입력_구리근무자명단'!$A208:$ZZ208,1,$E$2+5)&amp;""))</f>
        <v/>
      </c>
      <c r="W210">
        <f>IF(ISNUMBER(SEARCH("구리독자",$V210)),"구리독자","")</f>
        <v/>
      </c>
      <c r="X210">
        <f>IF($R210="","",$R210&amp;"|"&amp;IF(OR($Q210="인턴",ISNUMBER(SEARCH("수련교육부",$P210))),"인턴",$P210))</f>
        <v/>
      </c>
      <c r="Y210">
        <f>IF($R210="","",IF(COUNTIF(명단표[이름|과],$X210)=1,"명단 일치",IF(AND(COUNTIF(명단표[이름|과],$X210)=0,COUNTIF(명단표[이름],$R210)=1),"명단 일치(이름만, 과 다름)",IF(COUNTIF(명단표[이름],$R210)=0,IF(COUNTIF(기본자료표[이름],$R210)&gt;0,"명단에 없음(기본자료에는 있음)","명단에 없음"),"동명이인 확인"))))</f>
        <v/>
      </c>
      <c r="Z210">
        <f>IF($R210="","",IF($S210&lt;0,"⚠"&amp;INDEX('입력_구리근무자명단'!$A208:$ZZ208,1,$E$2+2),TEXT($S210,"yyyy-mm-dd")))</f>
        <v/>
      </c>
      <c r="AA210">
        <f>IF($R210="","",IF($T210&lt;0,"⚠"&amp;INDEX('입력_구리근무자명단'!$A208:$ZZ208,1,$E$2+3),TEXT($T210,"yyyy-mm-dd")))</f>
        <v/>
      </c>
      <c r="AB210">
        <f>AB209+IF($R210="",0,1)</f>
        <v/>
      </c>
      <c r="AC210">
        <f>IF($R210="","",$AB210)</f>
        <v/>
      </c>
    </row>
    <row r="211">
      <c r="A211">
        <f>IFERROR(INDEX($O$6:$O$1505,MATCH(206,$AC$6:$AC$1505,0)),"")</f>
        <v/>
      </c>
      <c r="B211">
        <f>IF(ISNUMBER($A211),INDEX($P$6:$P$1505,$A211-3),"")</f>
        <v/>
      </c>
      <c r="C211">
        <f>IF(ISNUMBER($A211),INDEX($Q$6:$Q$1505,$A211-3),"")</f>
        <v/>
      </c>
      <c r="D211">
        <f>IF(ISNUMBER($A211),INDEX($R$6:$R$1505,$A211-3),"")</f>
        <v/>
      </c>
      <c r="E211">
        <f>IF(ISNUMBER($A211),$G$2,"")</f>
        <v/>
      </c>
      <c r="F211">
        <f>IF(ISNUMBER($A211),INDEX($Z$6:$Z$1505,$A211-3),"")</f>
        <v/>
      </c>
      <c r="G211">
        <f>IF(ISNUMBER($A211),INDEX($AA$6:$AA$1505,$A211-3),"")</f>
        <v/>
      </c>
      <c r="H211">
        <f>IF(ISNUMBER($A211),INDEX($U$6:$U$1505,$A211-3),"")</f>
        <v/>
      </c>
      <c r="I211">
        <f>IF(ISNUMBER($A211),INDEX($V$6:$V$1505,$A211-3),"")</f>
        <v/>
      </c>
      <c r="J211">
        <f>IF(ISNUMBER($A211),INDEX($W$6:$W$1505,$A211-3),"")</f>
        <v/>
      </c>
      <c r="K211">
        <f>IF(ISNUMBER($A211),INDEX($X$6:$X$1505,$A211-3),"")</f>
        <v/>
      </c>
      <c r="L211">
        <f>IF(ISNUMBER($A211),INDEX($Y$6:$Y$1505,$A211-3),"")</f>
        <v/>
      </c>
      <c r="O211">
        <f>209</f>
        <v/>
      </c>
      <c r="P211">
        <f>IF(TRIM('입력_구리근무자명단'!$A209&amp;"")&lt;&gt;"",TRIM('입력_구리근무자명단'!$A209&amp;""),P210)</f>
        <v/>
      </c>
      <c r="Q211">
        <f>'입력_구리근무자명단'!$B209&amp;""</f>
        <v/>
      </c>
      <c r="R211">
        <f>IF($E$2="","",TRIM(INDEX('입력_구리근무자명단'!$A209:$ZZ209,1,$E$2+IF($G$2="확정",1,0))&amp;""))</f>
        <v/>
      </c>
      <c r="S211">
        <f>IF($R211="","",IF(INDEX('입력_구리근무자명단'!$A209:$ZZ209,1,$E$2+2)&amp;""="",급여기준월,IF(ISNUMBER(INDEX('입력_구리근무자명단'!$A209:$ZZ209,1,$E$2+2)),INDEX('입력_구리근무자명단'!$A209:$ZZ209,1,$E$2+2),IFERROR(DATE(VALUE(LEFT(INDEX('입력_구리근무자명단'!$A209:$ZZ209,1,$E$2+2),4)),VALUE(MID(INDEX('입력_구리근무자명단'!$A209:$ZZ209,1,$E$2+2),6,2)),VALUE(MID(INDEX('입력_구리근무자명단'!$A209:$ZZ209,1,$E$2+2),9,2))),-1))))</f>
        <v/>
      </c>
      <c r="T211">
        <f>IF($R211="","",IF(INDEX('입력_구리근무자명단'!$A209:$ZZ209,1,$E$2+3)&amp;""="",EOMONTH(급여기준월,0),IF(ISNUMBER(INDEX('입력_구리근무자명단'!$A209:$ZZ209,1,$E$2+3)),INDEX('입력_구리근무자명단'!$A209:$ZZ209,1,$E$2+3),IFERROR(DATE(VALUE(LEFT(INDEX('입력_구리근무자명단'!$A209:$ZZ209,1,$E$2+3),4)),VALUE(MID(INDEX('입력_구리근무자명단'!$A209:$ZZ209,1,$E$2+3),6,2)),VALUE(MID(INDEX('입력_구리근무자명단'!$A209:$ZZ209,1,$E$2+3),9,2))),-1))))</f>
        <v/>
      </c>
      <c r="U211">
        <f>IF($R211="","",IF(OR($S211&lt;0,$T211&lt;0),0,MAX(0,MIN($T211,EOMONTH(급여기준월,0))-MAX($S211,급여기준월)+1)))</f>
        <v/>
      </c>
      <c r="V211">
        <f>IF($R211="","",TRIM(INDEX('입력_구리근무자명단'!$A209:$ZZ209,1,$E$2+5)&amp;""))</f>
        <v/>
      </c>
      <c r="W211">
        <f>IF(ISNUMBER(SEARCH("구리독자",$V211)),"구리독자","")</f>
        <v/>
      </c>
      <c r="X211">
        <f>IF($R211="","",$R211&amp;"|"&amp;IF(OR($Q211="인턴",ISNUMBER(SEARCH("수련교육부",$P211))),"인턴",$P211))</f>
        <v/>
      </c>
      <c r="Y211">
        <f>IF($R211="","",IF(COUNTIF(명단표[이름|과],$X211)=1,"명단 일치",IF(AND(COUNTIF(명단표[이름|과],$X211)=0,COUNTIF(명단표[이름],$R211)=1),"명단 일치(이름만, 과 다름)",IF(COUNTIF(명단표[이름],$R211)=0,IF(COUNTIF(기본자료표[이름],$R211)&gt;0,"명단에 없음(기본자료에는 있음)","명단에 없음"),"동명이인 확인"))))</f>
        <v/>
      </c>
      <c r="Z211">
        <f>IF($R211="","",IF($S211&lt;0,"⚠"&amp;INDEX('입력_구리근무자명단'!$A209:$ZZ209,1,$E$2+2),TEXT($S211,"yyyy-mm-dd")))</f>
        <v/>
      </c>
      <c r="AA211">
        <f>IF($R211="","",IF($T211&lt;0,"⚠"&amp;INDEX('입력_구리근무자명단'!$A209:$ZZ209,1,$E$2+3),TEXT($T211,"yyyy-mm-dd")))</f>
        <v/>
      </c>
      <c r="AB211">
        <f>AB210+IF($R211="",0,1)</f>
        <v/>
      </c>
      <c r="AC211">
        <f>IF($R211="","",$AB211)</f>
        <v/>
      </c>
    </row>
    <row r="212">
      <c r="A212">
        <f>IFERROR(INDEX($O$6:$O$1505,MATCH(207,$AC$6:$AC$1505,0)),"")</f>
        <v/>
      </c>
      <c r="B212">
        <f>IF(ISNUMBER($A212),INDEX($P$6:$P$1505,$A212-3),"")</f>
        <v/>
      </c>
      <c r="C212">
        <f>IF(ISNUMBER($A212),INDEX($Q$6:$Q$1505,$A212-3),"")</f>
        <v/>
      </c>
      <c r="D212">
        <f>IF(ISNUMBER($A212),INDEX($R$6:$R$1505,$A212-3),"")</f>
        <v/>
      </c>
      <c r="E212">
        <f>IF(ISNUMBER($A212),$G$2,"")</f>
        <v/>
      </c>
      <c r="F212">
        <f>IF(ISNUMBER($A212),INDEX($Z$6:$Z$1505,$A212-3),"")</f>
        <v/>
      </c>
      <c r="G212">
        <f>IF(ISNUMBER($A212),INDEX($AA$6:$AA$1505,$A212-3),"")</f>
        <v/>
      </c>
      <c r="H212">
        <f>IF(ISNUMBER($A212),INDEX($U$6:$U$1505,$A212-3),"")</f>
        <v/>
      </c>
      <c r="I212">
        <f>IF(ISNUMBER($A212),INDEX($V$6:$V$1505,$A212-3),"")</f>
        <v/>
      </c>
      <c r="J212">
        <f>IF(ISNUMBER($A212),INDEX($W$6:$W$1505,$A212-3),"")</f>
        <v/>
      </c>
      <c r="K212">
        <f>IF(ISNUMBER($A212),INDEX($X$6:$X$1505,$A212-3),"")</f>
        <v/>
      </c>
      <c r="L212">
        <f>IF(ISNUMBER($A212),INDEX($Y$6:$Y$1505,$A212-3),"")</f>
        <v/>
      </c>
      <c r="O212">
        <f>210</f>
        <v/>
      </c>
      <c r="P212">
        <f>IF(TRIM('입력_구리근무자명단'!$A210&amp;"")&lt;&gt;"",TRIM('입력_구리근무자명단'!$A210&amp;""),P211)</f>
        <v/>
      </c>
      <c r="Q212">
        <f>'입력_구리근무자명단'!$B210&amp;""</f>
        <v/>
      </c>
      <c r="R212">
        <f>IF($E$2="","",TRIM(INDEX('입력_구리근무자명단'!$A210:$ZZ210,1,$E$2+IF($G$2="확정",1,0))&amp;""))</f>
        <v/>
      </c>
      <c r="S212">
        <f>IF($R212="","",IF(INDEX('입력_구리근무자명단'!$A210:$ZZ210,1,$E$2+2)&amp;""="",급여기준월,IF(ISNUMBER(INDEX('입력_구리근무자명단'!$A210:$ZZ210,1,$E$2+2)),INDEX('입력_구리근무자명단'!$A210:$ZZ210,1,$E$2+2),IFERROR(DATE(VALUE(LEFT(INDEX('입력_구리근무자명단'!$A210:$ZZ210,1,$E$2+2),4)),VALUE(MID(INDEX('입력_구리근무자명단'!$A210:$ZZ210,1,$E$2+2),6,2)),VALUE(MID(INDEX('입력_구리근무자명단'!$A210:$ZZ210,1,$E$2+2),9,2))),-1))))</f>
        <v/>
      </c>
      <c r="T212">
        <f>IF($R212="","",IF(INDEX('입력_구리근무자명단'!$A210:$ZZ210,1,$E$2+3)&amp;""="",EOMONTH(급여기준월,0),IF(ISNUMBER(INDEX('입력_구리근무자명단'!$A210:$ZZ210,1,$E$2+3)),INDEX('입력_구리근무자명단'!$A210:$ZZ210,1,$E$2+3),IFERROR(DATE(VALUE(LEFT(INDEX('입력_구리근무자명단'!$A210:$ZZ210,1,$E$2+3),4)),VALUE(MID(INDEX('입력_구리근무자명단'!$A210:$ZZ210,1,$E$2+3),6,2)),VALUE(MID(INDEX('입력_구리근무자명단'!$A210:$ZZ210,1,$E$2+3),9,2))),-1))))</f>
        <v/>
      </c>
      <c r="U212">
        <f>IF($R212="","",IF(OR($S212&lt;0,$T212&lt;0),0,MAX(0,MIN($T212,EOMONTH(급여기준월,0))-MAX($S212,급여기준월)+1)))</f>
        <v/>
      </c>
      <c r="V212">
        <f>IF($R212="","",TRIM(INDEX('입력_구리근무자명단'!$A210:$ZZ210,1,$E$2+5)&amp;""))</f>
        <v/>
      </c>
      <c r="W212">
        <f>IF(ISNUMBER(SEARCH("구리독자",$V212)),"구리독자","")</f>
        <v/>
      </c>
      <c r="X212">
        <f>IF($R212="","",$R212&amp;"|"&amp;IF(OR($Q212="인턴",ISNUMBER(SEARCH("수련교육부",$P212))),"인턴",$P212))</f>
        <v/>
      </c>
      <c r="Y212">
        <f>IF($R212="","",IF(COUNTIF(명단표[이름|과],$X212)=1,"명단 일치",IF(AND(COUNTIF(명단표[이름|과],$X212)=0,COUNTIF(명단표[이름],$R212)=1),"명단 일치(이름만, 과 다름)",IF(COUNTIF(명단표[이름],$R212)=0,IF(COUNTIF(기본자료표[이름],$R212)&gt;0,"명단에 없음(기본자료에는 있음)","명단에 없음"),"동명이인 확인"))))</f>
        <v/>
      </c>
      <c r="Z212">
        <f>IF($R212="","",IF($S212&lt;0,"⚠"&amp;INDEX('입력_구리근무자명단'!$A210:$ZZ210,1,$E$2+2),TEXT($S212,"yyyy-mm-dd")))</f>
        <v/>
      </c>
      <c r="AA212">
        <f>IF($R212="","",IF($T212&lt;0,"⚠"&amp;INDEX('입력_구리근무자명단'!$A210:$ZZ210,1,$E$2+3),TEXT($T212,"yyyy-mm-dd")))</f>
        <v/>
      </c>
      <c r="AB212">
        <f>AB211+IF($R212="",0,1)</f>
        <v/>
      </c>
      <c r="AC212">
        <f>IF($R212="","",$AB212)</f>
        <v/>
      </c>
    </row>
    <row r="213">
      <c r="A213">
        <f>IFERROR(INDEX($O$6:$O$1505,MATCH(208,$AC$6:$AC$1505,0)),"")</f>
        <v/>
      </c>
      <c r="B213">
        <f>IF(ISNUMBER($A213),INDEX($P$6:$P$1505,$A213-3),"")</f>
        <v/>
      </c>
      <c r="C213">
        <f>IF(ISNUMBER($A213),INDEX($Q$6:$Q$1505,$A213-3),"")</f>
        <v/>
      </c>
      <c r="D213">
        <f>IF(ISNUMBER($A213),INDEX($R$6:$R$1505,$A213-3),"")</f>
        <v/>
      </c>
      <c r="E213">
        <f>IF(ISNUMBER($A213),$G$2,"")</f>
        <v/>
      </c>
      <c r="F213">
        <f>IF(ISNUMBER($A213),INDEX($Z$6:$Z$1505,$A213-3),"")</f>
        <v/>
      </c>
      <c r="G213">
        <f>IF(ISNUMBER($A213),INDEX($AA$6:$AA$1505,$A213-3),"")</f>
        <v/>
      </c>
      <c r="H213">
        <f>IF(ISNUMBER($A213),INDEX($U$6:$U$1505,$A213-3),"")</f>
        <v/>
      </c>
      <c r="I213">
        <f>IF(ISNUMBER($A213),INDEX($V$6:$V$1505,$A213-3),"")</f>
        <v/>
      </c>
      <c r="J213">
        <f>IF(ISNUMBER($A213),INDEX($W$6:$W$1505,$A213-3),"")</f>
        <v/>
      </c>
      <c r="K213">
        <f>IF(ISNUMBER($A213),INDEX($X$6:$X$1505,$A213-3),"")</f>
        <v/>
      </c>
      <c r="L213">
        <f>IF(ISNUMBER($A213),INDEX($Y$6:$Y$1505,$A213-3),"")</f>
        <v/>
      </c>
      <c r="O213">
        <f>211</f>
        <v/>
      </c>
      <c r="P213">
        <f>IF(TRIM('입력_구리근무자명단'!$A211&amp;"")&lt;&gt;"",TRIM('입력_구리근무자명단'!$A211&amp;""),P212)</f>
        <v/>
      </c>
      <c r="Q213">
        <f>'입력_구리근무자명단'!$B211&amp;""</f>
        <v/>
      </c>
      <c r="R213">
        <f>IF($E$2="","",TRIM(INDEX('입력_구리근무자명단'!$A211:$ZZ211,1,$E$2+IF($G$2="확정",1,0))&amp;""))</f>
        <v/>
      </c>
      <c r="S213">
        <f>IF($R213="","",IF(INDEX('입력_구리근무자명단'!$A211:$ZZ211,1,$E$2+2)&amp;""="",급여기준월,IF(ISNUMBER(INDEX('입력_구리근무자명단'!$A211:$ZZ211,1,$E$2+2)),INDEX('입력_구리근무자명단'!$A211:$ZZ211,1,$E$2+2),IFERROR(DATE(VALUE(LEFT(INDEX('입력_구리근무자명단'!$A211:$ZZ211,1,$E$2+2),4)),VALUE(MID(INDEX('입력_구리근무자명단'!$A211:$ZZ211,1,$E$2+2),6,2)),VALUE(MID(INDEX('입력_구리근무자명단'!$A211:$ZZ211,1,$E$2+2),9,2))),-1))))</f>
        <v/>
      </c>
      <c r="T213">
        <f>IF($R213="","",IF(INDEX('입력_구리근무자명단'!$A211:$ZZ211,1,$E$2+3)&amp;""="",EOMONTH(급여기준월,0),IF(ISNUMBER(INDEX('입력_구리근무자명단'!$A211:$ZZ211,1,$E$2+3)),INDEX('입력_구리근무자명단'!$A211:$ZZ211,1,$E$2+3),IFERROR(DATE(VALUE(LEFT(INDEX('입력_구리근무자명단'!$A211:$ZZ211,1,$E$2+3),4)),VALUE(MID(INDEX('입력_구리근무자명단'!$A211:$ZZ211,1,$E$2+3),6,2)),VALUE(MID(INDEX('입력_구리근무자명단'!$A211:$ZZ211,1,$E$2+3),9,2))),-1))))</f>
        <v/>
      </c>
      <c r="U213">
        <f>IF($R213="","",IF(OR($S213&lt;0,$T213&lt;0),0,MAX(0,MIN($T213,EOMONTH(급여기준월,0))-MAX($S213,급여기준월)+1)))</f>
        <v/>
      </c>
      <c r="V213">
        <f>IF($R213="","",TRIM(INDEX('입력_구리근무자명단'!$A211:$ZZ211,1,$E$2+5)&amp;""))</f>
        <v/>
      </c>
      <c r="W213">
        <f>IF(ISNUMBER(SEARCH("구리독자",$V213)),"구리독자","")</f>
        <v/>
      </c>
      <c r="X213">
        <f>IF($R213="","",$R213&amp;"|"&amp;IF(OR($Q213="인턴",ISNUMBER(SEARCH("수련교육부",$P213))),"인턴",$P213))</f>
        <v/>
      </c>
      <c r="Y213">
        <f>IF($R213="","",IF(COUNTIF(명단표[이름|과],$X213)=1,"명단 일치",IF(AND(COUNTIF(명단표[이름|과],$X213)=0,COUNTIF(명단표[이름],$R213)=1),"명단 일치(이름만, 과 다름)",IF(COUNTIF(명단표[이름],$R213)=0,IF(COUNTIF(기본자료표[이름],$R213)&gt;0,"명단에 없음(기본자료에는 있음)","명단에 없음"),"동명이인 확인"))))</f>
        <v/>
      </c>
      <c r="Z213">
        <f>IF($R213="","",IF($S213&lt;0,"⚠"&amp;INDEX('입력_구리근무자명단'!$A211:$ZZ211,1,$E$2+2),TEXT($S213,"yyyy-mm-dd")))</f>
        <v/>
      </c>
      <c r="AA213">
        <f>IF($R213="","",IF($T213&lt;0,"⚠"&amp;INDEX('입력_구리근무자명단'!$A211:$ZZ211,1,$E$2+3),TEXT($T213,"yyyy-mm-dd")))</f>
        <v/>
      </c>
      <c r="AB213">
        <f>AB212+IF($R213="",0,1)</f>
        <v/>
      </c>
      <c r="AC213">
        <f>IF($R213="","",$AB213)</f>
        <v/>
      </c>
    </row>
    <row r="214">
      <c r="A214">
        <f>IFERROR(INDEX($O$6:$O$1505,MATCH(209,$AC$6:$AC$1505,0)),"")</f>
        <v/>
      </c>
      <c r="B214">
        <f>IF(ISNUMBER($A214),INDEX($P$6:$P$1505,$A214-3),"")</f>
        <v/>
      </c>
      <c r="C214">
        <f>IF(ISNUMBER($A214),INDEX($Q$6:$Q$1505,$A214-3),"")</f>
        <v/>
      </c>
      <c r="D214">
        <f>IF(ISNUMBER($A214),INDEX($R$6:$R$1505,$A214-3),"")</f>
        <v/>
      </c>
      <c r="E214">
        <f>IF(ISNUMBER($A214),$G$2,"")</f>
        <v/>
      </c>
      <c r="F214">
        <f>IF(ISNUMBER($A214),INDEX($Z$6:$Z$1505,$A214-3),"")</f>
        <v/>
      </c>
      <c r="G214">
        <f>IF(ISNUMBER($A214),INDEX($AA$6:$AA$1505,$A214-3),"")</f>
        <v/>
      </c>
      <c r="H214">
        <f>IF(ISNUMBER($A214),INDEX($U$6:$U$1505,$A214-3),"")</f>
        <v/>
      </c>
      <c r="I214">
        <f>IF(ISNUMBER($A214),INDEX($V$6:$V$1505,$A214-3),"")</f>
        <v/>
      </c>
      <c r="J214">
        <f>IF(ISNUMBER($A214),INDEX($W$6:$W$1505,$A214-3),"")</f>
        <v/>
      </c>
      <c r="K214">
        <f>IF(ISNUMBER($A214),INDEX($X$6:$X$1505,$A214-3),"")</f>
        <v/>
      </c>
      <c r="L214">
        <f>IF(ISNUMBER($A214),INDEX($Y$6:$Y$1505,$A214-3),"")</f>
        <v/>
      </c>
      <c r="O214">
        <f>212</f>
        <v/>
      </c>
      <c r="P214">
        <f>IF(TRIM('입력_구리근무자명단'!$A212&amp;"")&lt;&gt;"",TRIM('입력_구리근무자명단'!$A212&amp;""),P213)</f>
        <v/>
      </c>
      <c r="Q214">
        <f>'입력_구리근무자명단'!$B212&amp;""</f>
        <v/>
      </c>
      <c r="R214">
        <f>IF($E$2="","",TRIM(INDEX('입력_구리근무자명단'!$A212:$ZZ212,1,$E$2+IF($G$2="확정",1,0))&amp;""))</f>
        <v/>
      </c>
      <c r="S214">
        <f>IF($R214="","",IF(INDEX('입력_구리근무자명단'!$A212:$ZZ212,1,$E$2+2)&amp;""="",급여기준월,IF(ISNUMBER(INDEX('입력_구리근무자명단'!$A212:$ZZ212,1,$E$2+2)),INDEX('입력_구리근무자명단'!$A212:$ZZ212,1,$E$2+2),IFERROR(DATE(VALUE(LEFT(INDEX('입력_구리근무자명단'!$A212:$ZZ212,1,$E$2+2),4)),VALUE(MID(INDEX('입력_구리근무자명단'!$A212:$ZZ212,1,$E$2+2),6,2)),VALUE(MID(INDEX('입력_구리근무자명단'!$A212:$ZZ212,1,$E$2+2),9,2))),-1))))</f>
        <v/>
      </c>
      <c r="T214">
        <f>IF($R214="","",IF(INDEX('입력_구리근무자명단'!$A212:$ZZ212,1,$E$2+3)&amp;""="",EOMONTH(급여기준월,0),IF(ISNUMBER(INDEX('입력_구리근무자명단'!$A212:$ZZ212,1,$E$2+3)),INDEX('입력_구리근무자명단'!$A212:$ZZ212,1,$E$2+3),IFERROR(DATE(VALUE(LEFT(INDEX('입력_구리근무자명단'!$A212:$ZZ212,1,$E$2+3),4)),VALUE(MID(INDEX('입력_구리근무자명단'!$A212:$ZZ212,1,$E$2+3),6,2)),VALUE(MID(INDEX('입력_구리근무자명단'!$A212:$ZZ212,1,$E$2+3),9,2))),-1))))</f>
        <v/>
      </c>
      <c r="U214">
        <f>IF($R214="","",IF(OR($S214&lt;0,$T214&lt;0),0,MAX(0,MIN($T214,EOMONTH(급여기준월,0))-MAX($S214,급여기준월)+1)))</f>
        <v/>
      </c>
      <c r="V214">
        <f>IF($R214="","",TRIM(INDEX('입력_구리근무자명단'!$A212:$ZZ212,1,$E$2+5)&amp;""))</f>
        <v/>
      </c>
      <c r="W214">
        <f>IF(ISNUMBER(SEARCH("구리독자",$V214)),"구리독자","")</f>
        <v/>
      </c>
      <c r="X214">
        <f>IF($R214="","",$R214&amp;"|"&amp;IF(OR($Q214="인턴",ISNUMBER(SEARCH("수련교육부",$P214))),"인턴",$P214))</f>
        <v/>
      </c>
      <c r="Y214">
        <f>IF($R214="","",IF(COUNTIF(명단표[이름|과],$X214)=1,"명단 일치",IF(AND(COUNTIF(명단표[이름|과],$X214)=0,COUNTIF(명단표[이름],$R214)=1),"명단 일치(이름만, 과 다름)",IF(COUNTIF(명단표[이름],$R214)=0,IF(COUNTIF(기본자료표[이름],$R214)&gt;0,"명단에 없음(기본자료에는 있음)","명단에 없음"),"동명이인 확인"))))</f>
        <v/>
      </c>
      <c r="Z214">
        <f>IF($R214="","",IF($S214&lt;0,"⚠"&amp;INDEX('입력_구리근무자명단'!$A212:$ZZ212,1,$E$2+2),TEXT($S214,"yyyy-mm-dd")))</f>
        <v/>
      </c>
      <c r="AA214">
        <f>IF($R214="","",IF($T214&lt;0,"⚠"&amp;INDEX('입력_구리근무자명단'!$A212:$ZZ212,1,$E$2+3),TEXT($T214,"yyyy-mm-dd")))</f>
        <v/>
      </c>
      <c r="AB214">
        <f>AB213+IF($R214="",0,1)</f>
        <v/>
      </c>
      <c r="AC214">
        <f>IF($R214="","",$AB214)</f>
        <v/>
      </c>
    </row>
    <row r="215">
      <c r="A215">
        <f>IFERROR(INDEX($O$6:$O$1505,MATCH(210,$AC$6:$AC$1505,0)),"")</f>
        <v/>
      </c>
      <c r="B215">
        <f>IF(ISNUMBER($A215),INDEX($P$6:$P$1505,$A215-3),"")</f>
        <v/>
      </c>
      <c r="C215">
        <f>IF(ISNUMBER($A215),INDEX($Q$6:$Q$1505,$A215-3),"")</f>
        <v/>
      </c>
      <c r="D215">
        <f>IF(ISNUMBER($A215),INDEX($R$6:$R$1505,$A215-3),"")</f>
        <v/>
      </c>
      <c r="E215">
        <f>IF(ISNUMBER($A215),$G$2,"")</f>
        <v/>
      </c>
      <c r="F215">
        <f>IF(ISNUMBER($A215),INDEX($Z$6:$Z$1505,$A215-3),"")</f>
        <v/>
      </c>
      <c r="G215">
        <f>IF(ISNUMBER($A215),INDEX($AA$6:$AA$1505,$A215-3),"")</f>
        <v/>
      </c>
      <c r="H215">
        <f>IF(ISNUMBER($A215),INDEX($U$6:$U$1505,$A215-3),"")</f>
        <v/>
      </c>
      <c r="I215">
        <f>IF(ISNUMBER($A215),INDEX($V$6:$V$1505,$A215-3),"")</f>
        <v/>
      </c>
      <c r="J215">
        <f>IF(ISNUMBER($A215),INDEX($W$6:$W$1505,$A215-3),"")</f>
        <v/>
      </c>
      <c r="K215">
        <f>IF(ISNUMBER($A215),INDEX($X$6:$X$1505,$A215-3),"")</f>
        <v/>
      </c>
      <c r="L215">
        <f>IF(ISNUMBER($A215),INDEX($Y$6:$Y$1505,$A215-3),"")</f>
        <v/>
      </c>
      <c r="O215">
        <f>213</f>
        <v/>
      </c>
      <c r="P215">
        <f>IF(TRIM('입력_구리근무자명단'!$A213&amp;"")&lt;&gt;"",TRIM('입력_구리근무자명단'!$A213&amp;""),P214)</f>
        <v/>
      </c>
      <c r="Q215">
        <f>'입력_구리근무자명단'!$B213&amp;""</f>
        <v/>
      </c>
      <c r="R215">
        <f>IF($E$2="","",TRIM(INDEX('입력_구리근무자명단'!$A213:$ZZ213,1,$E$2+IF($G$2="확정",1,0))&amp;""))</f>
        <v/>
      </c>
      <c r="S215">
        <f>IF($R215="","",IF(INDEX('입력_구리근무자명단'!$A213:$ZZ213,1,$E$2+2)&amp;""="",급여기준월,IF(ISNUMBER(INDEX('입력_구리근무자명단'!$A213:$ZZ213,1,$E$2+2)),INDEX('입력_구리근무자명단'!$A213:$ZZ213,1,$E$2+2),IFERROR(DATE(VALUE(LEFT(INDEX('입력_구리근무자명단'!$A213:$ZZ213,1,$E$2+2),4)),VALUE(MID(INDEX('입력_구리근무자명단'!$A213:$ZZ213,1,$E$2+2),6,2)),VALUE(MID(INDEX('입력_구리근무자명단'!$A213:$ZZ213,1,$E$2+2),9,2))),-1))))</f>
        <v/>
      </c>
      <c r="T215">
        <f>IF($R215="","",IF(INDEX('입력_구리근무자명단'!$A213:$ZZ213,1,$E$2+3)&amp;""="",EOMONTH(급여기준월,0),IF(ISNUMBER(INDEX('입력_구리근무자명단'!$A213:$ZZ213,1,$E$2+3)),INDEX('입력_구리근무자명단'!$A213:$ZZ213,1,$E$2+3),IFERROR(DATE(VALUE(LEFT(INDEX('입력_구리근무자명단'!$A213:$ZZ213,1,$E$2+3),4)),VALUE(MID(INDEX('입력_구리근무자명단'!$A213:$ZZ213,1,$E$2+3),6,2)),VALUE(MID(INDEX('입력_구리근무자명단'!$A213:$ZZ213,1,$E$2+3),9,2))),-1))))</f>
        <v/>
      </c>
      <c r="U215">
        <f>IF($R215="","",IF(OR($S215&lt;0,$T215&lt;0),0,MAX(0,MIN($T215,EOMONTH(급여기준월,0))-MAX($S215,급여기준월)+1)))</f>
        <v/>
      </c>
      <c r="V215">
        <f>IF($R215="","",TRIM(INDEX('입력_구리근무자명단'!$A213:$ZZ213,1,$E$2+5)&amp;""))</f>
        <v/>
      </c>
      <c r="W215">
        <f>IF(ISNUMBER(SEARCH("구리독자",$V215)),"구리독자","")</f>
        <v/>
      </c>
      <c r="X215">
        <f>IF($R215="","",$R215&amp;"|"&amp;IF(OR($Q215="인턴",ISNUMBER(SEARCH("수련교육부",$P215))),"인턴",$P215))</f>
        <v/>
      </c>
      <c r="Y215">
        <f>IF($R215="","",IF(COUNTIF(명단표[이름|과],$X215)=1,"명단 일치",IF(AND(COUNTIF(명단표[이름|과],$X215)=0,COUNTIF(명단표[이름],$R215)=1),"명단 일치(이름만, 과 다름)",IF(COUNTIF(명단표[이름],$R215)=0,IF(COUNTIF(기본자료표[이름],$R215)&gt;0,"명단에 없음(기본자료에는 있음)","명단에 없음"),"동명이인 확인"))))</f>
        <v/>
      </c>
      <c r="Z215">
        <f>IF($R215="","",IF($S215&lt;0,"⚠"&amp;INDEX('입력_구리근무자명단'!$A213:$ZZ213,1,$E$2+2),TEXT($S215,"yyyy-mm-dd")))</f>
        <v/>
      </c>
      <c r="AA215">
        <f>IF($R215="","",IF($T215&lt;0,"⚠"&amp;INDEX('입력_구리근무자명단'!$A213:$ZZ213,1,$E$2+3),TEXT($T215,"yyyy-mm-dd")))</f>
        <v/>
      </c>
      <c r="AB215">
        <f>AB214+IF($R215="",0,1)</f>
        <v/>
      </c>
      <c r="AC215">
        <f>IF($R215="","",$AB215)</f>
        <v/>
      </c>
    </row>
    <row r="216">
      <c r="A216">
        <f>IFERROR(INDEX($O$6:$O$1505,MATCH(211,$AC$6:$AC$1505,0)),"")</f>
        <v/>
      </c>
      <c r="B216">
        <f>IF(ISNUMBER($A216),INDEX($P$6:$P$1505,$A216-3),"")</f>
        <v/>
      </c>
      <c r="C216">
        <f>IF(ISNUMBER($A216),INDEX($Q$6:$Q$1505,$A216-3),"")</f>
        <v/>
      </c>
      <c r="D216">
        <f>IF(ISNUMBER($A216),INDEX($R$6:$R$1505,$A216-3),"")</f>
        <v/>
      </c>
      <c r="E216">
        <f>IF(ISNUMBER($A216),$G$2,"")</f>
        <v/>
      </c>
      <c r="F216">
        <f>IF(ISNUMBER($A216),INDEX($Z$6:$Z$1505,$A216-3),"")</f>
        <v/>
      </c>
      <c r="G216">
        <f>IF(ISNUMBER($A216),INDEX($AA$6:$AA$1505,$A216-3),"")</f>
        <v/>
      </c>
      <c r="H216">
        <f>IF(ISNUMBER($A216),INDEX($U$6:$U$1505,$A216-3),"")</f>
        <v/>
      </c>
      <c r="I216">
        <f>IF(ISNUMBER($A216),INDEX($V$6:$V$1505,$A216-3),"")</f>
        <v/>
      </c>
      <c r="J216">
        <f>IF(ISNUMBER($A216),INDEX($W$6:$W$1505,$A216-3),"")</f>
        <v/>
      </c>
      <c r="K216">
        <f>IF(ISNUMBER($A216),INDEX($X$6:$X$1505,$A216-3),"")</f>
        <v/>
      </c>
      <c r="L216">
        <f>IF(ISNUMBER($A216),INDEX($Y$6:$Y$1505,$A216-3),"")</f>
        <v/>
      </c>
      <c r="O216">
        <f>214</f>
        <v/>
      </c>
      <c r="P216">
        <f>IF(TRIM('입력_구리근무자명단'!$A214&amp;"")&lt;&gt;"",TRIM('입력_구리근무자명단'!$A214&amp;""),P215)</f>
        <v/>
      </c>
      <c r="Q216">
        <f>'입력_구리근무자명단'!$B214&amp;""</f>
        <v/>
      </c>
      <c r="R216">
        <f>IF($E$2="","",TRIM(INDEX('입력_구리근무자명단'!$A214:$ZZ214,1,$E$2+IF($G$2="확정",1,0))&amp;""))</f>
        <v/>
      </c>
      <c r="S216">
        <f>IF($R216="","",IF(INDEX('입력_구리근무자명단'!$A214:$ZZ214,1,$E$2+2)&amp;""="",급여기준월,IF(ISNUMBER(INDEX('입력_구리근무자명단'!$A214:$ZZ214,1,$E$2+2)),INDEX('입력_구리근무자명단'!$A214:$ZZ214,1,$E$2+2),IFERROR(DATE(VALUE(LEFT(INDEX('입력_구리근무자명단'!$A214:$ZZ214,1,$E$2+2),4)),VALUE(MID(INDEX('입력_구리근무자명단'!$A214:$ZZ214,1,$E$2+2),6,2)),VALUE(MID(INDEX('입력_구리근무자명단'!$A214:$ZZ214,1,$E$2+2),9,2))),-1))))</f>
        <v/>
      </c>
      <c r="T216">
        <f>IF($R216="","",IF(INDEX('입력_구리근무자명단'!$A214:$ZZ214,1,$E$2+3)&amp;""="",EOMONTH(급여기준월,0),IF(ISNUMBER(INDEX('입력_구리근무자명단'!$A214:$ZZ214,1,$E$2+3)),INDEX('입력_구리근무자명단'!$A214:$ZZ214,1,$E$2+3),IFERROR(DATE(VALUE(LEFT(INDEX('입력_구리근무자명단'!$A214:$ZZ214,1,$E$2+3),4)),VALUE(MID(INDEX('입력_구리근무자명단'!$A214:$ZZ214,1,$E$2+3),6,2)),VALUE(MID(INDEX('입력_구리근무자명단'!$A214:$ZZ214,1,$E$2+3),9,2))),-1))))</f>
        <v/>
      </c>
      <c r="U216">
        <f>IF($R216="","",IF(OR($S216&lt;0,$T216&lt;0),0,MAX(0,MIN($T216,EOMONTH(급여기준월,0))-MAX($S216,급여기준월)+1)))</f>
        <v/>
      </c>
      <c r="V216">
        <f>IF($R216="","",TRIM(INDEX('입력_구리근무자명단'!$A214:$ZZ214,1,$E$2+5)&amp;""))</f>
        <v/>
      </c>
      <c r="W216">
        <f>IF(ISNUMBER(SEARCH("구리독자",$V216)),"구리독자","")</f>
        <v/>
      </c>
      <c r="X216">
        <f>IF($R216="","",$R216&amp;"|"&amp;IF(OR($Q216="인턴",ISNUMBER(SEARCH("수련교육부",$P216))),"인턴",$P216))</f>
        <v/>
      </c>
      <c r="Y216">
        <f>IF($R216="","",IF(COUNTIF(명단표[이름|과],$X216)=1,"명단 일치",IF(AND(COUNTIF(명단표[이름|과],$X216)=0,COUNTIF(명단표[이름],$R216)=1),"명단 일치(이름만, 과 다름)",IF(COUNTIF(명단표[이름],$R216)=0,IF(COUNTIF(기본자료표[이름],$R216)&gt;0,"명단에 없음(기본자료에는 있음)","명단에 없음"),"동명이인 확인"))))</f>
        <v/>
      </c>
      <c r="Z216">
        <f>IF($R216="","",IF($S216&lt;0,"⚠"&amp;INDEX('입력_구리근무자명단'!$A214:$ZZ214,1,$E$2+2),TEXT($S216,"yyyy-mm-dd")))</f>
        <v/>
      </c>
      <c r="AA216">
        <f>IF($R216="","",IF($T216&lt;0,"⚠"&amp;INDEX('입력_구리근무자명단'!$A214:$ZZ214,1,$E$2+3),TEXT($T216,"yyyy-mm-dd")))</f>
        <v/>
      </c>
      <c r="AB216">
        <f>AB215+IF($R216="",0,1)</f>
        <v/>
      </c>
      <c r="AC216">
        <f>IF($R216="","",$AB216)</f>
        <v/>
      </c>
    </row>
    <row r="217">
      <c r="A217">
        <f>IFERROR(INDEX($O$6:$O$1505,MATCH(212,$AC$6:$AC$1505,0)),"")</f>
        <v/>
      </c>
      <c r="B217">
        <f>IF(ISNUMBER($A217),INDEX($P$6:$P$1505,$A217-3),"")</f>
        <v/>
      </c>
      <c r="C217">
        <f>IF(ISNUMBER($A217),INDEX($Q$6:$Q$1505,$A217-3),"")</f>
        <v/>
      </c>
      <c r="D217">
        <f>IF(ISNUMBER($A217),INDEX($R$6:$R$1505,$A217-3),"")</f>
        <v/>
      </c>
      <c r="E217">
        <f>IF(ISNUMBER($A217),$G$2,"")</f>
        <v/>
      </c>
      <c r="F217">
        <f>IF(ISNUMBER($A217),INDEX($Z$6:$Z$1505,$A217-3),"")</f>
        <v/>
      </c>
      <c r="G217">
        <f>IF(ISNUMBER($A217),INDEX($AA$6:$AA$1505,$A217-3),"")</f>
        <v/>
      </c>
      <c r="H217">
        <f>IF(ISNUMBER($A217),INDEX($U$6:$U$1505,$A217-3),"")</f>
        <v/>
      </c>
      <c r="I217">
        <f>IF(ISNUMBER($A217),INDEX($V$6:$V$1505,$A217-3),"")</f>
        <v/>
      </c>
      <c r="J217">
        <f>IF(ISNUMBER($A217),INDEX($W$6:$W$1505,$A217-3),"")</f>
        <v/>
      </c>
      <c r="K217">
        <f>IF(ISNUMBER($A217),INDEX($X$6:$X$1505,$A217-3),"")</f>
        <v/>
      </c>
      <c r="L217">
        <f>IF(ISNUMBER($A217),INDEX($Y$6:$Y$1505,$A217-3),"")</f>
        <v/>
      </c>
      <c r="O217">
        <f>215</f>
        <v/>
      </c>
      <c r="P217">
        <f>IF(TRIM('입력_구리근무자명단'!$A215&amp;"")&lt;&gt;"",TRIM('입력_구리근무자명단'!$A215&amp;""),P216)</f>
        <v/>
      </c>
      <c r="Q217">
        <f>'입력_구리근무자명단'!$B215&amp;""</f>
        <v/>
      </c>
      <c r="R217">
        <f>IF($E$2="","",TRIM(INDEX('입력_구리근무자명단'!$A215:$ZZ215,1,$E$2+IF($G$2="확정",1,0))&amp;""))</f>
        <v/>
      </c>
      <c r="S217">
        <f>IF($R217="","",IF(INDEX('입력_구리근무자명단'!$A215:$ZZ215,1,$E$2+2)&amp;""="",급여기준월,IF(ISNUMBER(INDEX('입력_구리근무자명단'!$A215:$ZZ215,1,$E$2+2)),INDEX('입력_구리근무자명단'!$A215:$ZZ215,1,$E$2+2),IFERROR(DATE(VALUE(LEFT(INDEX('입력_구리근무자명단'!$A215:$ZZ215,1,$E$2+2),4)),VALUE(MID(INDEX('입력_구리근무자명단'!$A215:$ZZ215,1,$E$2+2),6,2)),VALUE(MID(INDEX('입력_구리근무자명단'!$A215:$ZZ215,1,$E$2+2),9,2))),-1))))</f>
        <v/>
      </c>
      <c r="T217">
        <f>IF($R217="","",IF(INDEX('입력_구리근무자명단'!$A215:$ZZ215,1,$E$2+3)&amp;""="",EOMONTH(급여기준월,0),IF(ISNUMBER(INDEX('입력_구리근무자명단'!$A215:$ZZ215,1,$E$2+3)),INDEX('입력_구리근무자명단'!$A215:$ZZ215,1,$E$2+3),IFERROR(DATE(VALUE(LEFT(INDEX('입력_구리근무자명단'!$A215:$ZZ215,1,$E$2+3),4)),VALUE(MID(INDEX('입력_구리근무자명단'!$A215:$ZZ215,1,$E$2+3),6,2)),VALUE(MID(INDEX('입력_구리근무자명단'!$A215:$ZZ215,1,$E$2+3),9,2))),-1))))</f>
        <v/>
      </c>
      <c r="U217">
        <f>IF($R217="","",IF(OR($S217&lt;0,$T217&lt;0),0,MAX(0,MIN($T217,EOMONTH(급여기준월,0))-MAX($S217,급여기준월)+1)))</f>
        <v/>
      </c>
      <c r="V217">
        <f>IF($R217="","",TRIM(INDEX('입력_구리근무자명단'!$A215:$ZZ215,1,$E$2+5)&amp;""))</f>
        <v/>
      </c>
      <c r="W217">
        <f>IF(ISNUMBER(SEARCH("구리독자",$V217)),"구리독자","")</f>
        <v/>
      </c>
      <c r="X217">
        <f>IF($R217="","",$R217&amp;"|"&amp;IF(OR($Q217="인턴",ISNUMBER(SEARCH("수련교육부",$P217))),"인턴",$P217))</f>
        <v/>
      </c>
      <c r="Y217">
        <f>IF($R217="","",IF(COUNTIF(명단표[이름|과],$X217)=1,"명단 일치",IF(AND(COUNTIF(명단표[이름|과],$X217)=0,COUNTIF(명단표[이름],$R217)=1),"명단 일치(이름만, 과 다름)",IF(COUNTIF(명단표[이름],$R217)=0,IF(COUNTIF(기본자료표[이름],$R217)&gt;0,"명단에 없음(기본자료에는 있음)","명단에 없음"),"동명이인 확인"))))</f>
        <v/>
      </c>
      <c r="Z217">
        <f>IF($R217="","",IF($S217&lt;0,"⚠"&amp;INDEX('입력_구리근무자명단'!$A215:$ZZ215,1,$E$2+2),TEXT($S217,"yyyy-mm-dd")))</f>
        <v/>
      </c>
      <c r="AA217">
        <f>IF($R217="","",IF($T217&lt;0,"⚠"&amp;INDEX('입력_구리근무자명단'!$A215:$ZZ215,1,$E$2+3),TEXT($T217,"yyyy-mm-dd")))</f>
        <v/>
      </c>
      <c r="AB217">
        <f>AB216+IF($R217="",0,1)</f>
        <v/>
      </c>
      <c r="AC217">
        <f>IF($R217="","",$AB217)</f>
        <v/>
      </c>
    </row>
    <row r="218">
      <c r="A218">
        <f>IFERROR(INDEX($O$6:$O$1505,MATCH(213,$AC$6:$AC$1505,0)),"")</f>
        <v/>
      </c>
      <c r="B218">
        <f>IF(ISNUMBER($A218),INDEX($P$6:$P$1505,$A218-3),"")</f>
        <v/>
      </c>
      <c r="C218">
        <f>IF(ISNUMBER($A218),INDEX($Q$6:$Q$1505,$A218-3),"")</f>
        <v/>
      </c>
      <c r="D218">
        <f>IF(ISNUMBER($A218),INDEX($R$6:$R$1505,$A218-3),"")</f>
        <v/>
      </c>
      <c r="E218">
        <f>IF(ISNUMBER($A218),$G$2,"")</f>
        <v/>
      </c>
      <c r="F218">
        <f>IF(ISNUMBER($A218),INDEX($Z$6:$Z$1505,$A218-3),"")</f>
        <v/>
      </c>
      <c r="G218">
        <f>IF(ISNUMBER($A218),INDEX($AA$6:$AA$1505,$A218-3),"")</f>
        <v/>
      </c>
      <c r="H218">
        <f>IF(ISNUMBER($A218),INDEX($U$6:$U$1505,$A218-3),"")</f>
        <v/>
      </c>
      <c r="I218">
        <f>IF(ISNUMBER($A218),INDEX($V$6:$V$1505,$A218-3),"")</f>
        <v/>
      </c>
      <c r="J218">
        <f>IF(ISNUMBER($A218),INDEX($W$6:$W$1505,$A218-3),"")</f>
        <v/>
      </c>
      <c r="K218">
        <f>IF(ISNUMBER($A218),INDEX($X$6:$X$1505,$A218-3),"")</f>
        <v/>
      </c>
      <c r="L218">
        <f>IF(ISNUMBER($A218),INDEX($Y$6:$Y$1505,$A218-3),"")</f>
        <v/>
      </c>
      <c r="O218">
        <f>216</f>
        <v/>
      </c>
      <c r="P218">
        <f>IF(TRIM('입력_구리근무자명단'!$A216&amp;"")&lt;&gt;"",TRIM('입력_구리근무자명단'!$A216&amp;""),P217)</f>
        <v/>
      </c>
      <c r="Q218">
        <f>'입력_구리근무자명단'!$B216&amp;""</f>
        <v/>
      </c>
      <c r="R218">
        <f>IF($E$2="","",TRIM(INDEX('입력_구리근무자명단'!$A216:$ZZ216,1,$E$2+IF($G$2="확정",1,0))&amp;""))</f>
        <v/>
      </c>
      <c r="S218">
        <f>IF($R218="","",IF(INDEX('입력_구리근무자명단'!$A216:$ZZ216,1,$E$2+2)&amp;""="",급여기준월,IF(ISNUMBER(INDEX('입력_구리근무자명단'!$A216:$ZZ216,1,$E$2+2)),INDEX('입력_구리근무자명단'!$A216:$ZZ216,1,$E$2+2),IFERROR(DATE(VALUE(LEFT(INDEX('입력_구리근무자명단'!$A216:$ZZ216,1,$E$2+2),4)),VALUE(MID(INDEX('입력_구리근무자명단'!$A216:$ZZ216,1,$E$2+2),6,2)),VALUE(MID(INDEX('입력_구리근무자명단'!$A216:$ZZ216,1,$E$2+2),9,2))),-1))))</f>
        <v/>
      </c>
      <c r="T218">
        <f>IF($R218="","",IF(INDEX('입력_구리근무자명단'!$A216:$ZZ216,1,$E$2+3)&amp;""="",EOMONTH(급여기준월,0),IF(ISNUMBER(INDEX('입력_구리근무자명단'!$A216:$ZZ216,1,$E$2+3)),INDEX('입력_구리근무자명단'!$A216:$ZZ216,1,$E$2+3),IFERROR(DATE(VALUE(LEFT(INDEX('입력_구리근무자명단'!$A216:$ZZ216,1,$E$2+3),4)),VALUE(MID(INDEX('입력_구리근무자명단'!$A216:$ZZ216,1,$E$2+3),6,2)),VALUE(MID(INDEX('입력_구리근무자명단'!$A216:$ZZ216,1,$E$2+3),9,2))),-1))))</f>
        <v/>
      </c>
      <c r="U218">
        <f>IF($R218="","",IF(OR($S218&lt;0,$T218&lt;0),0,MAX(0,MIN($T218,EOMONTH(급여기준월,0))-MAX($S218,급여기준월)+1)))</f>
        <v/>
      </c>
      <c r="V218">
        <f>IF($R218="","",TRIM(INDEX('입력_구리근무자명단'!$A216:$ZZ216,1,$E$2+5)&amp;""))</f>
        <v/>
      </c>
      <c r="W218">
        <f>IF(ISNUMBER(SEARCH("구리독자",$V218)),"구리독자","")</f>
        <v/>
      </c>
      <c r="X218">
        <f>IF($R218="","",$R218&amp;"|"&amp;IF(OR($Q218="인턴",ISNUMBER(SEARCH("수련교육부",$P218))),"인턴",$P218))</f>
        <v/>
      </c>
      <c r="Y218">
        <f>IF($R218="","",IF(COUNTIF(명단표[이름|과],$X218)=1,"명단 일치",IF(AND(COUNTIF(명단표[이름|과],$X218)=0,COUNTIF(명단표[이름],$R218)=1),"명단 일치(이름만, 과 다름)",IF(COUNTIF(명단표[이름],$R218)=0,IF(COUNTIF(기본자료표[이름],$R218)&gt;0,"명단에 없음(기본자료에는 있음)","명단에 없음"),"동명이인 확인"))))</f>
        <v/>
      </c>
      <c r="Z218">
        <f>IF($R218="","",IF($S218&lt;0,"⚠"&amp;INDEX('입력_구리근무자명단'!$A216:$ZZ216,1,$E$2+2),TEXT($S218,"yyyy-mm-dd")))</f>
        <v/>
      </c>
      <c r="AA218">
        <f>IF($R218="","",IF($T218&lt;0,"⚠"&amp;INDEX('입력_구리근무자명단'!$A216:$ZZ216,1,$E$2+3),TEXT($T218,"yyyy-mm-dd")))</f>
        <v/>
      </c>
      <c r="AB218">
        <f>AB217+IF($R218="",0,1)</f>
        <v/>
      </c>
      <c r="AC218">
        <f>IF($R218="","",$AB218)</f>
        <v/>
      </c>
    </row>
    <row r="219">
      <c r="A219">
        <f>IFERROR(INDEX($O$6:$O$1505,MATCH(214,$AC$6:$AC$1505,0)),"")</f>
        <v/>
      </c>
      <c r="B219">
        <f>IF(ISNUMBER($A219),INDEX($P$6:$P$1505,$A219-3),"")</f>
        <v/>
      </c>
      <c r="C219">
        <f>IF(ISNUMBER($A219),INDEX($Q$6:$Q$1505,$A219-3),"")</f>
        <v/>
      </c>
      <c r="D219">
        <f>IF(ISNUMBER($A219),INDEX($R$6:$R$1505,$A219-3),"")</f>
        <v/>
      </c>
      <c r="E219">
        <f>IF(ISNUMBER($A219),$G$2,"")</f>
        <v/>
      </c>
      <c r="F219">
        <f>IF(ISNUMBER($A219),INDEX($Z$6:$Z$1505,$A219-3),"")</f>
        <v/>
      </c>
      <c r="G219">
        <f>IF(ISNUMBER($A219),INDEX($AA$6:$AA$1505,$A219-3),"")</f>
        <v/>
      </c>
      <c r="H219">
        <f>IF(ISNUMBER($A219),INDEX($U$6:$U$1505,$A219-3),"")</f>
        <v/>
      </c>
      <c r="I219">
        <f>IF(ISNUMBER($A219),INDEX($V$6:$V$1505,$A219-3),"")</f>
        <v/>
      </c>
      <c r="J219">
        <f>IF(ISNUMBER($A219),INDEX($W$6:$W$1505,$A219-3),"")</f>
        <v/>
      </c>
      <c r="K219">
        <f>IF(ISNUMBER($A219),INDEX($X$6:$X$1505,$A219-3),"")</f>
        <v/>
      </c>
      <c r="L219">
        <f>IF(ISNUMBER($A219),INDEX($Y$6:$Y$1505,$A219-3),"")</f>
        <v/>
      </c>
      <c r="O219">
        <f>217</f>
        <v/>
      </c>
      <c r="P219">
        <f>IF(TRIM('입력_구리근무자명단'!$A217&amp;"")&lt;&gt;"",TRIM('입력_구리근무자명단'!$A217&amp;""),P218)</f>
        <v/>
      </c>
      <c r="Q219">
        <f>'입력_구리근무자명단'!$B217&amp;""</f>
        <v/>
      </c>
      <c r="R219">
        <f>IF($E$2="","",TRIM(INDEX('입력_구리근무자명단'!$A217:$ZZ217,1,$E$2+IF($G$2="확정",1,0))&amp;""))</f>
        <v/>
      </c>
      <c r="S219">
        <f>IF($R219="","",IF(INDEX('입력_구리근무자명단'!$A217:$ZZ217,1,$E$2+2)&amp;""="",급여기준월,IF(ISNUMBER(INDEX('입력_구리근무자명단'!$A217:$ZZ217,1,$E$2+2)),INDEX('입력_구리근무자명단'!$A217:$ZZ217,1,$E$2+2),IFERROR(DATE(VALUE(LEFT(INDEX('입력_구리근무자명단'!$A217:$ZZ217,1,$E$2+2),4)),VALUE(MID(INDEX('입력_구리근무자명단'!$A217:$ZZ217,1,$E$2+2),6,2)),VALUE(MID(INDEX('입력_구리근무자명단'!$A217:$ZZ217,1,$E$2+2),9,2))),-1))))</f>
        <v/>
      </c>
      <c r="T219">
        <f>IF($R219="","",IF(INDEX('입력_구리근무자명단'!$A217:$ZZ217,1,$E$2+3)&amp;""="",EOMONTH(급여기준월,0),IF(ISNUMBER(INDEX('입력_구리근무자명단'!$A217:$ZZ217,1,$E$2+3)),INDEX('입력_구리근무자명단'!$A217:$ZZ217,1,$E$2+3),IFERROR(DATE(VALUE(LEFT(INDEX('입력_구리근무자명단'!$A217:$ZZ217,1,$E$2+3),4)),VALUE(MID(INDEX('입력_구리근무자명단'!$A217:$ZZ217,1,$E$2+3),6,2)),VALUE(MID(INDEX('입력_구리근무자명단'!$A217:$ZZ217,1,$E$2+3),9,2))),-1))))</f>
        <v/>
      </c>
      <c r="U219">
        <f>IF($R219="","",IF(OR($S219&lt;0,$T219&lt;0),0,MAX(0,MIN($T219,EOMONTH(급여기준월,0))-MAX($S219,급여기준월)+1)))</f>
        <v/>
      </c>
      <c r="V219">
        <f>IF($R219="","",TRIM(INDEX('입력_구리근무자명단'!$A217:$ZZ217,1,$E$2+5)&amp;""))</f>
        <v/>
      </c>
      <c r="W219">
        <f>IF(ISNUMBER(SEARCH("구리독자",$V219)),"구리독자","")</f>
        <v/>
      </c>
      <c r="X219">
        <f>IF($R219="","",$R219&amp;"|"&amp;IF(OR($Q219="인턴",ISNUMBER(SEARCH("수련교육부",$P219))),"인턴",$P219))</f>
        <v/>
      </c>
      <c r="Y219">
        <f>IF($R219="","",IF(COUNTIF(명단표[이름|과],$X219)=1,"명단 일치",IF(AND(COUNTIF(명단표[이름|과],$X219)=0,COUNTIF(명단표[이름],$R219)=1),"명단 일치(이름만, 과 다름)",IF(COUNTIF(명단표[이름],$R219)=0,IF(COUNTIF(기본자료표[이름],$R219)&gt;0,"명단에 없음(기본자료에는 있음)","명단에 없음"),"동명이인 확인"))))</f>
        <v/>
      </c>
      <c r="Z219">
        <f>IF($R219="","",IF($S219&lt;0,"⚠"&amp;INDEX('입력_구리근무자명단'!$A217:$ZZ217,1,$E$2+2),TEXT($S219,"yyyy-mm-dd")))</f>
        <v/>
      </c>
      <c r="AA219">
        <f>IF($R219="","",IF($T219&lt;0,"⚠"&amp;INDEX('입력_구리근무자명단'!$A217:$ZZ217,1,$E$2+3),TEXT($T219,"yyyy-mm-dd")))</f>
        <v/>
      </c>
      <c r="AB219">
        <f>AB218+IF($R219="",0,1)</f>
        <v/>
      </c>
      <c r="AC219">
        <f>IF($R219="","",$AB219)</f>
        <v/>
      </c>
    </row>
    <row r="220">
      <c r="A220">
        <f>IFERROR(INDEX($O$6:$O$1505,MATCH(215,$AC$6:$AC$1505,0)),"")</f>
        <v/>
      </c>
      <c r="B220">
        <f>IF(ISNUMBER($A220),INDEX($P$6:$P$1505,$A220-3),"")</f>
        <v/>
      </c>
      <c r="C220">
        <f>IF(ISNUMBER($A220),INDEX($Q$6:$Q$1505,$A220-3),"")</f>
        <v/>
      </c>
      <c r="D220">
        <f>IF(ISNUMBER($A220),INDEX($R$6:$R$1505,$A220-3),"")</f>
        <v/>
      </c>
      <c r="E220">
        <f>IF(ISNUMBER($A220),$G$2,"")</f>
        <v/>
      </c>
      <c r="F220">
        <f>IF(ISNUMBER($A220),INDEX($Z$6:$Z$1505,$A220-3),"")</f>
        <v/>
      </c>
      <c r="G220">
        <f>IF(ISNUMBER($A220),INDEX($AA$6:$AA$1505,$A220-3),"")</f>
        <v/>
      </c>
      <c r="H220">
        <f>IF(ISNUMBER($A220),INDEX($U$6:$U$1505,$A220-3),"")</f>
        <v/>
      </c>
      <c r="I220">
        <f>IF(ISNUMBER($A220),INDEX($V$6:$V$1505,$A220-3),"")</f>
        <v/>
      </c>
      <c r="J220">
        <f>IF(ISNUMBER($A220),INDEX($W$6:$W$1505,$A220-3),"")</f>
        <v/>
      </c>
      <c r="K220">
        <f>IF(ISNUMBER($A220),INDEX($X$6:$X$1505,$A220-3),"")</f>
        <v/>
      </c>
      <c r="L220">
        <f>IF(ISNUMBER($A220),INDEX($Y$6:$Y$1505,$A220-3),"")</f>
        <v/>
      </c>
      <c r="O220">
        <f>218</f>
        <v/>
      </c>
      <c r="P220">
        <f>IF(TRIM('입력_구리근무자명단'!$A218&amp;"")&lt;&gt;"",TRIM('입력_구리근무자명단'!$A218&amp;""),P219)</f>
        <v/>
      </c>
      <c r="Q220">
        <f>'입력_구리근무자명단'!$B218&amp;""</f>
        <v/>
      </c>
      <c r="R220">
        <f>IF($E$2="","",TRIM(INDEX('입력_구리근무자명단'!$A218:$ZZ218,1,$E$2+IF($G$2="확정",1,0))&amp;""))</f>
        <v/>
      </c>
      <c r="S220">
        <f>IF($R220="","",IF(INDEX('입력_구리근무자명단'!$A218:$ZZ218,1,$E$2+2)&amp;""="",급여기준월,IF(ISNUMBER(INDEX('입력_구리근무자명단'!$A218:$ZZ218,1,$E$2+2)),INDEX('입력_구리근무자명단'!$A218:$ZZ218,1,$E$2+2),IFERROR(DATE(VALUE(LEFT(INDEX('입력_구리근무자명단'!$A218:$ZZ218,1,$E$2+2),4)),VALUE(MID(INDEX('입력_구리근무자명단'!$A218:$ZZ218,1,$E$2+2),6,2)),VALUE(MID(INDEX('입력_구리근무자명단'!$A218:$ZZ218,1,$E$2+2),9,2))),-1))))</f>
        <v/>
      </c>
      <c r="T220">
        <f>IF($R220="","",IF(INDEX('입력_구리근무자명단'!$A218:$ZZ218,1,$E$2+3)&amp;""="",EOMONTH(급여기준월,0),IF(ISNUMBER(INDEX('입력_구리근무자명단'!$A218:$ZZ218,1,$E$2+3)),INDEX('입력_구리근무자명단'!$A218:$ZZ218,1,$E$2+3),IFERROR(DATE(VALUE(LEFT(INDEX('입력_구리근무자명단'!$A218:$ZZ218,1,$E$2+3),4)),VALUE(MID(INDEX('입력_구리근무자명단'!$A218:$ZZ218,1,$E$2+3),6,2)),VALUE(MID(INDEX('입력_구리근무자명단'!$A218:$ZZ218,1,$E$2+3),9,2))),-1))))</f>
        <v/>
      </c>
      <c r="U220">
        <f>IF($R220="","",IF(OR($S220&lt;0,$T220&lt;0),0,MAX(0,MIN($T220,EOMONTH(급여기준월,0))-MAX($S220,급여기준월)+1)))</f>
        <v/>
      </c>
      <c r="V220">
        <f>IF($R220="","",TRIM(INDEX('입력_구리근무자명단'!$A218:$ZZ218,1,$E$2+5)&amp;""))</f>
        <v/>
      </c>
      <c r="W220">
        <f>IF(ISNUMBER(SEARCH("구리독자",$V220)),"구리독자","")</f>
        <v/>
      </c>
      <c r="X220">
        <f>IF($R220="","",$R220&amp;"|"&amp;IF(OR($Q220="인턴",ISNUMBER(SEARCH("수련교육부",$P220))),"인턴",$P220))</f>
        <v/>
      </c>
      <c r="Y220">
        <f>IF($R220="","",IF(COUNTIF(명단표[이름|과],$X220)=1,"명단 일치",IF(AND(COUNTIF(명단표[이름|과],$X220)=0,COUNTIF(명단표[이름],$R220)=1),"명단 일치(이름만, 과 다름)",IF(COUNTIF(명단표[이름],$R220)=0,IF(COUNTIF(기본자료표[이름],$R220)&gt;0,"명단에 없음(기본자료에는 있음)","명단에 없음"),"동명이인 확인"))))</f>
        <v/>
      </c>
      <c r="Z220">
        <f>IF($R220="","",IF($S220&lt;0,"⚠"&amp;INDEX('입력_구리근무자명단'!$A218:$ZZ218,1,$E$2+2),TEXT($S220,"yyyy-mm-dd")))</f>
        <v/>
      </c>
      <c r="AA220">
        <f>IF($R220="","",IF($T220&lt;0,"⚠"&amp;INDEX('입력_구리근무자명단'!$A218:$ZZ218,1,$E$2+3),TEXT($T220,"yyyy-mm-dd")))</f>
        <v/>
      </c>
      <c r="AB220">
        <f>AB219+IF($R220="",0,1)</f>
        <v/>
      </c>
      <c r="AC220">
        <f>IF($R220="","",$AB220)</f>
        <v/>
      </c>
    </row>
    <row r="221">
      <c r="A221">
        <f>IFERROR(INDEX($O$6:$O$1505,MATCH(216,$AC$6:$AC$1505,0)),"")</f>
        <v/>
      </c>
      <c r="B221">
        <f>IF(ISNUMBER($A221),INDEX($P$6:$P$1505,$A221-3),"")</f>
        <v/>
      </c>
      <c r="C221">
        <f>IF(ISNUMBER($A221),INDEX($Q$6:$Q$1505,$A221-3),"")</f>
        <v/>
      </c>
      <c r="D221">
        <f>IF(ISNUMBER($A221),INDEX($R$6:$R$1505,$A221-3),"")</f>
        <v/>
      </c>
      <c r="E221">
        <f>IF(ISNUMBER($A221),$G$2,"")</f>
        <v/>
      </c>
      <c r="F221">
        <f>IF(ISNUMBER($A221),INDEX($Z$6:$Z$1505,$A221-3),"")</f>
        <v/>
      </c>
      <c r="G221">
        <f>IF(ISNUMBER($A221),INDEX($AA$6:$AA$1505,$A221-3),"")</f>
        <v/>
      </c>
      <c r="H221">
        <f>IF(ISNUMBER($A221),INDEX($U$6:$U$1505,$A221-3),"")</f>
        <v/>
      </c>
      <c r="I221">
        <f>IF(ISNUMBER($A221),INDEX($V$6:$V$1505,$A221-3),"")</f>
        <v/>
      </c>
      <c r="J221">
        <f>IF(ISNUMBER($A221),INDEX($W$6:$W$1505,$A221-3),"")</f>
        <v/>
      </c>
      <c r="K221">
        <f>IF(ISNUMBER($A221),INDEX($X$6:$X$1505,$A221-3),"")</f>
        <v/>
      </c>
      <c r="L221">
        <f>IF(ISNUMBER($A221),INDEX($Y$6:$Y$1505,$A221-3),"")</f>
        <v/>
      </c>
      <c r="O221">
        <f>219</f>
        <v/>
      </c>
      <c r="P221">
        <f>IF(TRIM('입력_구리근무자명단'!$A219&amp;"")&lt;&gt;"",TRIM('입력_구리근무자명단'!$A219&amp;""),P220)</f>
        <v/>
      </c>
      <c r="Q221">
        <f>'입력_구리근무자명단'!$B219&amp;""</f>
        <v/>
      </c>
      <c r="R221">
        <f>IF($E$2="","",TRIM(INDEX('입력_구리근무자명단'!$A219:$ZZ219,1,$E$2+IF($G$2="확정",1,0))&amp;""))</f>
        <v/>
      </c>
      <c r="S221">
        <f>IF($R221="","",IF(INDEX('입력_구리근무자명단'!$A219:$ZZ219,1,$E$2+2)&amp;""="",급여기준월,IF(ISNUMBER(INDEX('입력_구리근무자명단'!$A219:$ZZ219,1,$E$2+2)),INDEX('입력_구리근무자명단'!$A219:$ZZ219,1,$E$2+2),IFERROR(DATE(VALUE(LEFT(INDEX('입력_구리근무자명단'!$A219:$ZZ219,1,$E$2+2),4)),VALUE(MID(INDEX('입력_구리근무자명단'!$A219:$ZZ219,1,$E$2+2),6,2)),VALUE(MID(INDEX('입력_구리근무자명단'!$A219:$ZZ219,1,$E$2+2),9,2))),-1))))</f>
        <v/>
      </c>
      <c r="T221">
        <f>IF($R221="","",IF(INDEX('입력_구리근무자명단'!$A219:$ZZ219,1,$E$2+3)&amp;""="",EOMONTH(급여기준월,0),IF(ISNUMBER(INDEX('입력_구리근무자명단'!$A219:$ZZ219,1,$E$2+3)),INDEX('입력_구리근무자명단'!$A219:$ZZ219,1,$E$2+3),IFERROR(DATE(VALUE(LEFT(INDEX('입력_구리근무자명단'!$A219:$ZZ219,1,$E$2+3),4)),VALUE(MID(INDEX('입력_구리근무자명단'!$A219:$ZZ219,1,$E$2+3),6,2)),VALUE(MID(INDEX('입력_구리근무자명단'!$A219:$ZZ219,1,$E$2+3),9,2))),-1))))</f>
        <v/>
      </c>
      <c r="U221">
        <f>IF($R221="","",IF(OR($S221&lt;0,$T221&lt;0),0,MAX(0,MIN($T221,EOMONTH(급여기준월,0))-MAX($S221,급여기준월)+1)))</f>
        <v/>
      </c>
      <c r="V221">
        <f>IF($R221="","",TRIM(INDEX('입력_구리근무자명단'!$A219:$ZZ219,1,$E$2+5)&amp;""))</f>
        <v/>
      </c>
      <c r="W221">
        <f>IF(ISNUMBER(SEARCH("구리독자",$V221)),"구리독자","")</f>
        <v/>
      </c>
      <c r="X221">
        <f>IF($R221="","",$R221&amp;"|"&amp;IF(OR($Q221="인턴",ISNUMBER(SEARCH("수련교육부",$P221))),"인턴",$P221))</f>
        <v/>
      </c>
      <c r="Y221">
        <f>IF($R221="","",IF(COUNTIF(명단표[이름|과],$X221)=1,"명단 일치",IF(AND(COUNTIF(명단표[이름|과],$X221)=0,COUNTIF(명단표[이름],$R221)=1),"명단 일치(이름만, 과 다름)",IF(COUNTIF(명단표[이름],$R221)=0,IF(COUNTIF(기본자료표[이름],$R221)&gt;0,"명단에 없음(기본자료에는 있음)","명단에 없음"),"동명이인 확인"))))</f>
        <v/>
      </c>
      <c r="Z221">
        <f>IF($R221="","",IF($S221&lt;0,"⚠"&amp;INDEX('입력_구리근무자명단'!$A219:$ZZ219,1,$E$2+2),TEXT($S221,"yyyy-mm-dd")))</f>
        <v/>
      </c>
      <c r="AA221">
        <f>IF($R221="","",IF($T221&lt;0,"⚠"&amp;INDEX('입력_구리근무자명단'!$A219:$ZZ219,1,$E$2+3),TEXT($T221,"yyyy-mm-dd")))</f>
        <v/>
      </c>
      <c r="AB221">
        <f>AB220+IF($R221="",0,1)</f>
        <v/>
      </c>
      <c r="AC221">
        <f>IF($R221="","",$AB221)</f>
        <v/>
      </c>
    </row>
    <row r="222">
      <c r="A222">
        <f>IFERROR(INDEX($O$6:$O$1505,MATCH(217,$AC$6:$AC$1505,0)),"")</f>
        <v/>
      </c>
      <c r="B222">
        <f>IF(ISNUMBER($A222),INDEX($P$6:$P$1505,$A222-3),"")</f>
        <v/>
      </c>
      <c r="C222">
        <f>IF(ISNUMBER($A222),INDEX($Q$6:$Q$1505,$A222-3),"")</f>
        <v/>
      </c>
      <c r="D222">
        <f>IF(ISNUMBER($A222),INDEX($R$6:$R$1505,$A222-3),"")</f>
        <v/>
      </c>
      <c r="E222">
        <f>IF(ISNUMBER($A222),$G$2,"")</f>
        <v/>
      </c>
      <c r="F222">
        <f>IF(ISNUMBER($A222),INDEX($Z$6:$Z$1505,$A222-3),"")</f>
        <v/>
      </c>
      <c r="G222">
        <f>IF(ISNUMBER($A222),INDEX($AA$6:$AA$1505,$A222-3),"")</f>
        <v/>
      </c>
      <c r="H222">
        <f>IF(ISNUMBER($A222),INDEX($U$6:$U$1505,$A222-3),"")</f>
        <v/>
      </c>
      <c r="I222">
        <f>IF(ISNUMBER($A222),INDEX($V$6:$V$1505,$A222-3),"")</f>
        <v/>
      </c>
      <c r="J222">
        <f>IF(ISNUMBER($A222),INDEX($W$6:$W$1505,$A222-3),"")</f>
        <v/>
      </c>
      <c r="K222">
        <f>IF(ISNUMBER($A222),INDEX($X$6:$X$1505,$A222-3),"")</f>
        <v/>
      </c>
      <c r="L222">
        <f>IF(ISNUMBER($A222),INDEX($Y$6:$Y$1505,$A222-3),"")</f>
        <v/>
      </c>
      <c r="O222">
        <f>220</f>
        <v/>
      </c>
      <c r="P222">
        <f>IF(TRIM('입력_구리근무자명단'!$A220&amp;"")&lt;&gt;"",TRIM('입력_구리근무자명단'!$A220&amp;""),P221)</f>
        <v/>
      </c>
      <c r="Q222">
        <f>'입력_구리근무자명단'!$B220&amp;""</f>
        <v/>
      </c>
      <c r="R222">
        <f>IF($E$2="","",TRIM(INDEX('입력_구리근무자명단'!$A220:$ZZ220,1,$E$2+IF($G$2="확정",1,0))&amp;""))</f>
        <v/>
      </c>
      <c r="S222">
        <f>IF($R222="","",IF(INDEX('입력_구리근무자명단'!$A220:$ZZ220,1,$E$2+2)&amp;""="",급여기준월,IF(ISNUMBER(INDEX('입력_구리근무자명단'!$A220:$ZZ220,1,$E$2+2)),INDEX('입력_구리근무자명단'!$A220:$ZZ220,1,$E$2+2),IFERROR(DATE(VALUE(LEFT(INDEX('입력_구리근무자명단'!$A220:$ZZ220,1,$E$2+2),4)),VALUE(MID(INDEX('입력_구리근무자명단'!$A220:$ZZ220,1,$E$2+2),6,2)),VALUE(MID(INDEX('입력_구리근무자명단'!$A220:$ZZ220,1,$E$2+2),9,2))),-1))))</f>
        <v/>
      </c>
      <c r="T222">
        <f>IF($R222="","",IF(INDEX('입력_구리근무자명단'!$A220:$ZZ220,1,$E$2+3)&amp;""="",EOMONTH(급여기준월,0),IF(ISNUMBER(INDEX('입력_구리근무자명단'!$A220:$ZZ220,1,$E$2+3)),INDEX('입력_구리근무자명단'!$A220:$ZZ220,1,$E$2+3),IFERROR(DATE(VALUE(LEFT(INDEX('입력_구리근무자명단'!$A220:$ZZ220,1,$E$2+3),4)),VALUE(MID(INDEX('입력_구리근무자명단'!$A220:$ZZ220,1,$E$2+3),6,2)),VALUE(MID(INDEX('입력_구리근무자명단'!$A220:$ZZ220,1,$E$2+3),9,2))),-1))))</f>
        <v/>
      </c>
      <c r="U222">
        <f>IF($R222="","",IF(OR($S222&lt;0,$T222&lt;0),0,MAX(0,MIN($T222,EOMONTH(급여기준월,0))-MAX($S222,급여기준월)+1)))</f>
        <v/>
      </c>
      <c r="V222">
        <f>IF($R222="","",TRIM(INDEX('입력_구리근무자명단'!$A220:$ZZ220,1,$E$2+5)&amp;""))</f>
        <v/>
      </c>
      <c r="W222">
        <f>IF(ISNUMBER(SEARCH("구리독자",$V222)),"구리독자","")</f>
        <v/>
      </c>
      <c r="X222">
        <f>IF($R222="","",$R222&amp;"|"&amp;IF(OR($Q222="인턴",ISNUMBER(SEARCH("수련교육부",$P222))),"인턴",$P222))</f>
        <v/>
      </c>
      <c r="Y222">
        <f>IF($R222="","",IF(COUNTIF(명단표[이름|과],$X222)=1,"명단 일치",IF(AND(COUNTIF(명단표[이름|과],$X222)=0,COUNTIF(명단표[이름],$R222)=1),"명단 일치(이름만, 과 다름)",IF(COUNTIF(명단표[이름],$R222)=0,IF(COUNTIF(기본자료표[이름],$R222)&gt;0,"명단에 없음(기본자료에는 있음)","명단에 없음"),"동명이인 확인"))))</f>
        <v/>
      </c>
      <c r="Z222">
        <f>IF($R222="","",IF($S222&lt;0,"⚠"&amp;INDEX('입력_구리근무자명단'!$A220:$ZZ220,1,$E$2+2),TEXT($S222,"yyyy-mm-dd")))</f>
        <v/>
      </c>
      <c r="AA222">
        <f>IF($R222="","",IF($T222&lt;0,"⚠"&amp;INDEX('입력_구리근무자명단'!$A220:$ZZ220,1,$E$2+3),TEXT($T222,"yyyy-mm-dd")))</f>
        <v/>
      </c>
      <c r="AB222">
        <f>AB221+IF($R222="",0,1)</f>
        <v/>
      </c>
      <c r="AC222">
        <f>IF($R222="","",$AB222)</f>
        <v/>
      </c>
    </row>
    <row r="223">
      <c r="A223">
        <f>IFERROR(INDEX($O$6:$O$1505,MATCH(218,$AC$6:$AC$1505,0)),"")</f>
        <v/>
      </c>
      <c r="B223">
        <f>IF(ISNUMBER($A223),INDEX($P$6:$P$1505,$A223-3),"")</f>
        <v/>
      </c>
      <c r="C223">
        <f>IF(ISNUMBER($A223),INDEX($Q$6:$Q$1505,$A223-3),"")</f>
        <v/>
      </c>
      <c r="D223">
        <f>IF(ISNUMBER($A223),INDEX($R$6:$R$1505,$A223-3),"")</f>
        <v/>
      </c>
      <c r="E223">
        <f>IF(ISNUMBER($A223),$G$2,"")</f>
        <v/>
      </c>
      <c r="F223">
        <f>IF(ISNUMBER($A223),INDEX($Z$6:$Z$1505,$A223-3),"")</f>
        <v/>
      </c>
      <c r="G223">
        <f>IF(ISNUMBER($A223),INDEX($AA$6:$AA$1505,$A223-3),"")</f>
        <v/>
      </c>
      <c r="H223">
        <f>IF(ISNUMBER($A223),INDEX($U$6:$U$1505,$A223-3),"")</f>
        <v/>
      </c>
      <c r="I223">
        <f>IF(ISNUMBER($A223),INDEX($V$6:$V$1505,$A223-3),"")</f>
        <v/>
      </c>
      <c r="J223">
        <f>IF(ISNUMBER($A223),INDEX($W$6:$W$1505,$A223-3),"")</f>
        <v/>
      </c>
      <c r="K223">
        <f>IF(ISNUMBER($A223),INDEX($X$6:$X$1505,$A223-3),"")</f>
        <v/>
      </c>
      <c r="L223">
        <f>IF(ISNUMBER($A223),INDEX($Y$6:$Y$1505,$A223-3),"")</f>
        <v/>
      </c>
      <c r="O223">
        <f>221</f>
        <v/>
      </c>
      <c r="P223">
        <f>IF(TRIM('입력_구리근무자명단'!$A221&amp;"")&lt;&gt;"",TRIM('입력_구리근무자명단'!$A221&amp;""),P222)</f>
        <v/>
      </c>
      <c r="Q223">
        <f>'입력_구리근무자명단'!$B221&amp;""</f>
        <v/>
      </c>
      <c r="R223">
        <f>IF($E$2="","",TRIM(INDEX('입력_구리근무자명단'!$A221:$ZZ221,1,$E$2+IF($G$2="확정",1,0))&amp;""))</f>
        <v/>
      </c>
      <c r="S223">
        <f>IF($R223="","",IF(INDEX('입력_구리근무자명단'!$A221:$ZZ221,1,$E$2+2)&amp;""="",급여기준월,IF(ISNUMBER(INDEX('입력_구리근무자명단'!$A221:$ZZ221,1,$E$2+2)),INDEX('입력_구리근무자명단'!$A221:$ZZ221,1,$E$2+2),IFERROR(DATE(VALUE(LEFT(INDEX('입력_구리근무자명단'!$A221:$ZZ221,1,$E$2+2),4)),VALUE(MID(INDEX('입력_구리근무자명단'!$A221:$ZZ221,1,$E$2+2),6,2)),VALUE(MID(INDEX('입력_구리근무자명단'!$A221:$ZZ221,1,$E$2+2),9,2))),-1))))</f>
        <v/>
      </c>
      <c r="T223">
        <f>IF($R223="","",IF(INDEX('입력_구리근무자명단'!$A221:$ZZ221,1,$E$2+3)&amp;""="",EOMONTH(급여기준월,0),IF(ISNUMBER(INDEX('입력_구리근무자명단'!$A221:$ZZ221,1,$E$2+3)),INDEX('입력_구리근무자명단'!$A221:$ZZ221,1,$E$2+3),IFERROR(DATE(VALUE(LEFT(INDEX('입력_구리근무자명단'!$A221:$ZZ221,1,$E$2+3),4)),VALUE(MID(INDEX('입력_구리근무자명단'!$A221:$ZZ221,1,$E$2+3),6,2)),VALUE(MID(INDEX('입력_구리근무자명단'!$A221:$ZZ221,1,$E$2+3),9,2))),-1))))</f>
        <v/>
      </c>
      <c r="U223">
        <f>IF($R223="","",IF(OR($S223&lt;0,$T223&lt;0),0,MAX(0,MIN($T223,EOMONTH(급여기준월,0))-MAX($S223,급여기준월)+1)))</f>
        <v/>
      </c>
      <c r="V223">
        <f>IF($R223="","",TRIM(INDEX('입력_구리근무자명단'!$A221:$ZZ221,1,$E$2+5)&amp;""))</f>
        <v/>
      </c>
      <c r="W223">
        <f>IF(ISNUMBER(SEARCH("구리독자",$V223)),"구리독자","")</f>
        <v/>
      </c>
      <c r="X223">
        <f>IF($R223="","",$R223&amp;"|"&amp;IF(OR($Q223="인턴",ISNUMBER(SEARCH("수련교육부",$P223))),"인턴",$P223))</f>
        <v/>
      </c>
      <c r="Y223">
        <f>IF($R223="","",IF(COUNTIF(명단표[이름|과],$X223)=1,"명단 일치",IF(AND(COUNTIF(명단표[이름|과],$X223)=0,COUNTIF(명단표[이름],$R223)=1),"명단 일치(이름만, 과 다름)",IF(COUNTIF(명단표[이름],$R223)=0,IF(COUNTIF(기본자료표[이름],$R223)&gt;0,"명단에 없음(기본자료에는 있음)","명단에 없음"),"동명이인 확인"))))</f>
        <v/>
      </c>
      <c r="Z223">
        <f>IF($R223="","",IF($S223&lt;0,"⚠"&amp;INDEX('입력_구리근무자명단'!$A221:$ZZ221,1,$E$2+2),TEXT($S223,"yyyy-mm-dd")))</f>
        <v/>
      </c>
      <c r="AA223">
        <f>IF($R223="","",IF($T223&lt;0,"⚠"&amp;INDEX('입력_구리근무자명단'!$A221:$ZZ221,1,$E$2+3),TEXT($T223,"yyyy-mm-dd")))</f>
        <v/>
      </c>
      <c r="AB223">
        <f>AB222+IF($R223="",0,1)</f>
        <v/>
      </c>
      <c r="AC223">
        <f>IF($R223="","",$AB223)</f>
        <v/>
      </c>
    </row>
    <row r="224">
      <c r="A224">
        <f>IFERROR(INDEX($O$6:$O$1505,MATCH(219,$AC$6:$AC$1505,0)),"")</f>
        <v/>
      </c>
      <c r="B224">
        <f>IF(ISNUMBER($A224),INDEX($P$6:$P$1505,$A224-3),"")</f>
        <v/>
      </c>
      <c r="C224">
        <f>IF(ISNUMBER($A224),INDEX($Q$6:$Q$1505,$A224-3),"")</f>
        <v/>
      </c>
      <c r="D224">
        <f>IF(ISNUMBER($A224),INDEX($R$6:$R$1505,$A224-3),"")</f>
        <v/>
      </c>
      <c r="E224">
        <f>IF(ISNUMBER($A224),$G$2,"")</f>
        <v/>
      </c>
      <c r="F224">
        <f>IF(ISNUMBER($A224),INDEX($Z$6:$Z$1505,$A224-3),"")</f>
        <v/>
      </c>
      <c r="G224">
        <f>IF(ISNUMBER($A224),INDEX($AA$6:$AA$1505,$A224-3),"")</f>
        <v/>
      </c>
      <c r="H224">
        <f>IF(ISNUMBER($A224),INDEX($U$6:$U$1505,$A224-3),"")</f>
        <v/>
      </c>
      <c r="I224">
        <f>IF(ISNUMBER($A224),INDEX($V$6:$V$1505,$A224-3),"")</f>
        <v/>
      </c>
      <c r="J224">
        <f>IF(ISNUMBER($A224),INDEX($W$6:$W$1505,$A224-3),"")</f>
        <v/>
      </c>
      <c r="K224">
        <f>IF(ISNUMBER($A224),INDEX($X$6:$X$1505,$A224-3),"")</f>
        <v/>
      </c>
      <c r="L224">
        <f>IF(ISNUMBER($A224),INDEX($Y$6:$Y$1505,$A224-3),"")</f>
        <v/>
      </c>
      <c r="O224">
        <f>222</f>
        <v/>
      </c>
      <c r="P224">
        <f>IF(TRIM('입력_구리근무자명단'!$A222&amp;"")&lt;&gt;"",TRIM('입력_구리근무자명단'!$A222&amp;""),P223)</f>
        <v/>
      </c>
      <c r="Q224">
        <f>'입력_구리근무자명단'!$B222&amp;""</f>
        <v/>
      </c>
      <c r="R224">
        <f>IF($E$2="","",TRIM(INDEX('입력_구리근무자명단'!$A222:$ZZ222,1,$E$2+IF($G$2="확정",1,0))&amp;""))</f>
        <v/>
      </c>
      <c r="S224">
        <f>IF($R224="","",IF(INDEX('입력_구리근무자명단'!$A222:$ZZ222,1,$E$2+2)&amp;""="",급여기준월,IF(ISNUMBER(INDEX('입력_구리근무자명단'!$A222:$ZZ222,1,$E$2+2)),INDEX('입력_구리근무자명단'!$A222:$ZZ222,1,$E$2+2),IFERROR(DATE(VALUE(LEFT(INDEX('입력_구리근무자명단'!$A222:$ZZ222,1,$E$2+2),4)),VALUE(MID(INDEX('입력_구리근무자명단'!$A222:$ZZ222,1,$E$2+2),6,2)),VALUE(MID(INDEX('입력_구리근무자명단'!$A222:$ZZ222,1,$E$2+2),9,2))),-1))))</f>
        <v/>
      </c>
      <c r="T224">
        <f>IF($R224="","",IF(INDEX('입력_구리근무자명단'!$A222:$ZZ222,1,$E$2+3)&amp;""="",EOMONTH(급여기준월,0),IF(ISNUMBER(INDEX('입력_구리근무자명단'!$A222:$ZZ222,1,$E$2+3)),INDEX('입력_구리근무자명단'!$A222:$ZZ222,1,$E$2+3),IFERROR(DATE(VALUE(LEFT(INDEX('입력_구리근무자명단'!$A222:$ZZ222,1,$E$2+3),4)),VALUE(MID(INDEX('입력_구리근무자명단'!$A222:$ZZ222,1,$E$2+3),6,2)),VALUE(MID(INDEX('입력_구리근무자명단'!$A222:$ZZ222,1,$E$2+3),9,2))),-1))))</f>
        <v/>
      </c>
      <c r="U224">
        <f>IF($R224="","",IF(OR($S224&lt;0,$T224&lt;0),0,MAX(0,MIN($T224,EOMONTH(급여기준월,0))-MAX($S224,급여기준월)+1)))</f>
        <v/>
      </c>
      <c r="V224">
        <f>IF($R224="","",TRIM(INDEX('입력_구리근무자명단'!$A222:$ZZ222,1,$E$2+5)&amp;""))</f>
        <v/>
      </c>
      <c r="W224">
        <f>IF(ISNUMBER(SEARCH("구리독자",$V224)),"구리독자","")</f>
        <v/>
      </c>
      <c r="X224">
        <f>IF($R224="","",$R224&amp;"|"&amp;IF(OR($Q224="인턴",ISNUMBER(SEARCH("수련교육부",$P224))),"인턴",$P224))</f>
        <v/>
      </c>
      <c r="Y224">
        <f>IF($R224="","",IF(COUNTIF(명단표[이름|과],$X224)=1,"명단 일치",IF(AND(COUNTIF(명단표[이름|과],$X224)=0,COUNTIF(명단표[이름],$R224)=1),"명단 일치(이름만, 과 다름)",IF(COUNTIF(명단표[이름],$R224)=0,IF(COUNTIF(기본자료표[이름],$R224)&gt;0,"명단에 없음(기본자료에는 있음)","명단에 없음"),"동명이인 확인"))))</f>
        <v/>
      </c>
      <c r="Z224">
        <f>IF($R224="","",IF($S224&lt;0,"⚠"&amp;INDEX('입력_구리근무자명단'!$A222:$ZZ222,1,$E$2+2),TEXT($S224,"yyyy-mm-dd")))</f>
        <v/>
      </c>
      <c r="AA224">
        <f>IF($R224="","",IF($T224&lt;0,"⚠"&amp;INDEX('입력_구리근무자명단'!$A222:$ZZ222,1,$E$2+3),TEXT($T224,"yyyy-mm-dd")))</f>
        <v/>
      </c>
      <c r="AB224">
        <f>AB223+IF($R224="",0,1)</f>
        <v/>
      </c>
      <c r="AC224">
        <f>IF($R224="","",$AB224)</f>
        <v/>
      </c>
    </row>
    <row r="225">
      <c r="A225">
        <f>IFERROR(INDEX($O$6:$O$1505,MATCH(220,$AC$6:$AC$1505,0)),"")</f>
        <v/>
      </c>
      <c r="B225">
        <f>IF(ISNUMBER($A225),INDEX($P$6:$P$1505,$A225-3),"")</f>
        <v/>
      </c>
      <c r="C225">
        <f>IF(ISNUMBER($A225),INDEX($Q$6:$Q$1505,$A225-3),"")</f>
        <v/>
      </c>
      <c r="D225">
        <f>IF(ISNUMBER($A225),INDEX($R$6:$R$1505,$A225-3),"")</f>
        <v/>
      </c>
      <c r="E225">
        <f>IF(ISNUMBER($A225),$G$2,"")</f>
        <v/>
      </c>
      <c r="F225">
        <f>IF(ISNUMBER($A225),INDEX($Z$6:$Z$1505,$A225-3),"")</f>
        <v/>
      </c>
      <c r="G225">
        <f>IF(ISNUMBER($A225),INDEX($AA$6:$AA$1505,$A225-3),"")</f>
        <v/>
      </c>
      <c r="H225">
        <f>IF(ISNUMBER($A225),INDEX($U$6:$U$1505,$A225-3),"")</f>
        <v/>
      </c>
      <c r="I225">
        <f>IF(ISNUMBER($A225),INDEX($V$6:$V$1505,$A225-3),"")</f>
        <v/>
      </c>
      <c r="J225">
        <f>IF(ISNUMBER($A225),INDEX($W$6:$W$1505,$A225-3),"")</f>
        <v/>
      </c>
      <c r="K225">
        <f>IF(ISNUMBER($A225),INDEX($X$6:$X$1505,$A225-3),"")</f>
        <v/>
      </c>
      <c r="L225">
        <f>IF(ISNUMBER($A225),INDEX($Y$6:$Y$1505,$A225-3),"")</f>
        <v/>
      </c>
      <c r="O225">
        <f>223</f>
        <v/>
      </c>
      <c r="P225">
        <f>IF(TRIM('입력_구리근무자명단'!$A223&amp;"")&lt;&gt;"",TRIM('입력_구리근무자명단'!$A223&amp;""),P224)</f>
        <v/>
      </c>
      <c r="Q225">
        <f>'입력_구리근무자명단'!$B223&amp;""</f>
        <v/>
      </c>
      <c r="R225">
        <f>IF($E$2="","",TRIM(INDEX('입력_구리근무자명단'!$A223:$ZZ223,1,$E$2+IF($G$2="확정",1,0))&amp;""))</f>
        <v/>
      </c>
      <c r="S225">
        <f>IF($R225="","",IF(INDEX('입력_구리근무자명단'!$A223:$ZZ223,1,$E$2+2)&amp;""="",급여기준월,IF(ISNUMBER(INDEX('입력_구리근무자명단'!$A223:$ZZ223,1,$E$2+2)),INDEX('입력_구리근무자명단'!$A223:$ZZ223,1,$E$2+2),IFERROR(DATE(VALUE(LEFT(INDEX('입력_구리근무자명단'!$A223:$ZZ223,1,$E$2+2),4)),VALUE(MID(INDEX('입력_구리근무자명단'!$A223:$ZZ223,1,$E$2+2),6,2)),VALUE(MID(INDEX('입력_구리근무자명단'!$A223:$ZZ223,1,$E$2+2),9,2))),-1))))</f>
        <v/>
      </c>
      <c r="T225">
        <f>IF($R225="","",IF(INDEX('입력_구리근무자명단'!$A223:$ZZ223,1,$E$2+3)&amp;""="",EOMONTH(급여기준월,0),IF(ISNUMBER(INDEX('입력_구리근무자명단'!$A223:$ZZ223,1,$E$2+3)),INDEX('입력_구리근무자명단'!$A223:$ZZ223,1,$E$2+3),IFERROR(DATE(VALUE(LEFT(INDEX('입력_구리근무자명단'!$A223:$ZZ223,1,$E$2+3),4)),VALUE(MID(INDEX('입력_구리근무자명단'!$A223:$ZZ223,1,$E$2+3),6,2)),VALUE(MID(INDEX('입력_구리근무자명단'!$A223:$ZZ223,1,$E$2+3),9,2))),-1))))</f>
        <v/>
      </c>
      <c r="U225">
        <f>IF($R225="","",IF(OR($S225&lt;0,$T225&lt;0),0,MAX(0,MIN($T225,EOMONTH(급여기준월,0))-MAX($S225,급여기준월)+1)))</f>
        <v/>
      </c>
      <c r="V225">
        <f>IF($R225="","",TRIM(INDEX('입력_구리근무자명단'!$A223:$ZZ223,1,$E$2+5)&amp;""))</f>
        <v/>
      </c>
      <c r="W225">
        <f>IF(ISNUMBER(SEARCH("구리독자",$V225)),"구리독자","")</f>
        <v/>
      </c>
      <c r="X225">
        <f>IF($R225="","",$R225&amp;"|"&amp;IF(OR($Q225="인턴",ISNUMBER(SEARCH("수련교육부",$P225))),"인턴",$P225))</f>
        <v/>
      </c>
      <c r="Y225">
        <f>IF($R225="","",IF(COUNTIF(명단표[이름|과],$X225)=1,"명단 일치",IF(AND(COUNTIF(명단표[이름|과],$X225)=0,COUNTIF(명단표[이름],$R225)=1),"명단 일치(이름만, 과 다름)",IF(COUNTIF(명단표[이름],$R225)=0,IF(COUNTIF(기본자료표[이름],$R225)&gt;0,"명단에 없음(기본자료에는 있음)","명단에 없음"),"동명이인 확인"))))</f>
        <v/>
      </c>
      <c r="Z225">
        <f>IF($R225="","",IF($S225&lt;0,"⚠"&amp;INDEX('입력_구리근무자명단'!$A223:$ZZ223,1,$E$2+2),TEXT($S225,"yyyy-mm-dd")))</f>
        <v/>
      </c>
      <c r="AA225">
        <f>IF($R225="","",IF($T225&lt;0,"⚠"&amp;INDEX('입력_구리근무자명단'!$A223:$ZZ223,1,$E$2+3),TEXT($T225,"yyyy-mm-dd")))</f>
        <v/>
      </c>
      <c r="AB225">
        <f>AB224+IF($R225="",0,1)</f>
        <v/>
      </c>
      <c r="AC225">
        <f>IF($R225="","",$AB225)</f>
        <v/>
      </c>
    </row>
    <row r="226">
      <c r="A226">
        <f>IFERROR(INDEX($O$6:$O$1505,MATCH(221,$AC$6:$AC$1505,0)),"")</f>
        <v/>
      </c>
      <c r="B226">
        <f>IF(ISNUMBER($A226),INDEX($P$6:$P$1505,$A226-3),"")</f>
        <v/>
      </c>
      <c r="C226">
        <f>IF(ISNUMBER($A226),INDEX($Q$6:$Q$1505,$A226-3),"")</f>
        <v/>
      </c>
      <c r="D226">
        <f>IF(ISNUMBER($A226),INDEX($R$6:$R$1505,$A226-3),"")</f>
        <v/>
      </c>
      <c r="E226">
        <f>IF(ISNUMBER($A226),$G$2,"")</f>
        <v/>
      </c>
      <c r="F226">
        <f>IF(ISNUMBER($A226),INDEX($Z$6:$Z$1505,$A226-3),"")</f>
        <v/>
      </c>
      <c r="G226">
        <f>IF(ISNUMBER($A226),INDEX($AA$6:$AA$1505,$A226-3),"")</f>
        <v/>
      </c>
      <c r="H226">
        <f>IF(ISNUMBER($A226),INDEX($U$6:$U$1505,$A226-3),"")</f>
        <v/>
      </c>
      <c r="I226">
        <f>IF(ISNUMBER($A226),INDEX($V$6:$V$1505,$A226-3),"")</f>
        <v/>
      </c>
      <c r="J226">
        <f>IF(ISNUMBER($A226),INDEX($W$6:$W$1505,$A226-3),"")</f>
        <v/>
      </c>
      <c r="K226">
        <f>IF(ISNUMBER($A226),INDEX($X$6:$X$1505,$A226-3),"")</f>
        <v/>
      </c>
      <c r="L226">
        <f>IF(ISNUMBER($A226),INDEX($Y$6:$Y$1505,$A226-3),"")</f>
        <v/>
      </c>
      <c r="O226">
        <f>224</f>
        <v/>
      </c>
      <c r="P226">
        <f>IF(TRIM('입력_구리근무자명단'!$A224&amp;"")&lt;&gt;"",TRIM('입력_구리근무자명단'!$A224&amp;""),P225)</f>
        <v/>
      </c>
      <c r="Q226">
        <f>'입력_구리근무자명단'!$B224&amp;""</f>
        <v/>
      </c>
      <c r="R226">
        <f>IF($E$2="","",TRIM(INDEX('입력_구리근무자명단'!$A224:$ZZ224,1,$E$2+IF($G$2="확정",1,0))&amp;""))</f>
        <v/>
      </c>
      <c r="S226">
        <f>IF($R226="","",IF(INDEX('입력_구리근무자명단'!$A224:$ZZ224,1,$E$2+2)&amp;""="",급여기준월,IF(ISNUMBER(INDEX('입력_구리근무자명단'!$A224:$ZZ224,1,$E$2+2)),INDEX('입력_구리근무자명단'!$A224:$ZZ224,1,$E$2+2),IFERROR(DATE(VALUE(LEFT(INDEX('입력_구리근무자명단'!$A224:$ZZ224,1,$E$2+2),4)),VALUE(MID(INDEX('입력_구리근무자명단'!$A224:$ZZ224,1,$E$2+2),6,2)),VALUE(MID(INDEX('입력_구리근무자명단'!$A224:$ZZ224,1,$E$2+2),9,2))),-1))))</f>
        <v/>
      </c>
      <c r="T226">
        <f>IF($R226="","",IF(INDEX('입력_구리근무자명단'!$A224:$ZZ224,1,$E$2+3)&amp;""="",EOMONTH(급여기준월,0),IF(ISNUMBER(INDEX('입력_구리근무자명단'!$A224:$ZZ224,1,$E$2+3)),INDEX('입력_구리근무자명단'!$A224:$ZZ224,1,$E$2+3),IFERROR(DATE(VALUE(LEFT(INDEX('입력_구리근무자명단'!$A224:$ZZ224,1,$E$2+3),4)),VALUE(MID(INDEX('입력_구리근무자명단'!$A224:$ZZ224,1,$E$2+3),6,2)),VALUE(MID(INDEX('입력_구리근무자명단'!$A224:$ZZ224,1,$E$2+3),9,2))),-1))))</f>
        <v/>
      </c>
      <c r="U226">
        <f>IF($R226="","",IF(OR($S226&lt;0,$T226&lt;0),0,MAX(0,MIN($T226,EOMONTH(급여기준월,0))-MAX($S226,급여기준월)+1)))</f>
        <v/>
      </c>
      <c r="V226">
        <f>IF($R226="","",TRIM(INDEX('입력_구리근무자명단'!$A224:$ZZ224,1,$E$2+5)&amp;""))</f>
        <v/>
      </c>
      <c r="W226">
        <f>IF(ISNUMBER(SEARCH("구리독자",$V226)),"구리독자","")</f>
        <v/>
      </c>
      <c r="X226">
        <f>IF($R226="","",$R226&amp;"|"&amp;IF(OR($Q226="인턴",ISNUMBER(SEARCH("수련교육부",$P226))),"인턴",$P226))</f>
        <v/>
      </c>
      <c r="Y226">
        <f>IF($R226="","",IF(COUNTIF(명단표[이름|과],$X226)=1,"명단 일치",IF(AND(COUNTIF(명단표[이름|과],$X226)=0,COUNTIF(명단표[이름],$R226)=1),"명단 일치(이름만, 과 다름)",IF(COUNTIF(명단표[이름],$R226)=0,IF(COUNTIF(기본자료표[이름],$R226)&gt;0,"명단에 없음(기본자료에는 있음)","명단에 없음"),"동명이인 확인"))))</f>
        <v/>
      </c>
      <c r="Z226">
        <f>IF($R226="","",IF($S226&lt;0,"⚠"&amp;INDEX('입력_구리근무자명단'!$A224:$ZZ224,1,$E$2+2),TEXT($S226,"yyyy-mm-dd")))</f>
        <v/>
      </c>
      <c r="AA226">
        <f>IF($R226="","",IF($T226&lt;0,"⚠"&amp;INDEX('입력_구리근무자명단'!$A224:$ZZ224,1,$E$2+3),TEXT($T226,"yyyy-mm-dd")))</f>
        <v/>
      </c>
      <c r="AB226">
        <f>AB225+IF($R226="",0,1)</f>
        <v/>
      </c>
      <c r="AC226">
        <f>IF($R226="","",$AB226)</f>
        <v/>
      </c>
    </row>
    <row r="227">
      <c r="A227">
        <f>IFERROR(INDEX($O$6:$O$1505,MATCH(222,$AC$6:$AC$1505,0)),"")</f>
        <v/>
      </c>
      <c r="B227">
        <f>IF(ISNUMBER($A227),INDEX($P$6:$P$1505,$A227-3),"")</f>
        <v/>
      </c>
      <c r="C227">
        <f>IF(ISNUMBER($A227),INDEX($Q$6:$Q$1505,$A227-3),"")</f>
        <v/>
      </c>
      <c r="D227">
        <f>IF(ISNUMBER($A227),INDEX($R$6:$R$1505,$A227-3),"")</f>
        <v/>
      </c>
      <c r="E227">
        <f>IF(ISNUMBER($A227),$G$2,"")</f>
        <v/>
      </c>
      <c r="F227">
        <f>IF(ISNUMBER($A227),INDEX($Z$6:$Z$1505,$A227-3),"")</f>
        <v/>
      </c>
      <c r="G227">
        <f>IF(ISNUMBER($A227),INDEX($AA$6:$AA$1505,$A227-3),"")</f>
        <v/>
      </c>
      <c r="H227">
        <f>IF(ISNUMBER($A227),INDEX($U$6:$U$1505,$A227-3),"")</f>
        <v/>
      </c>
      <c r="I227">
        <f>IF(ISNUMBER($A227),INDEX($V$6:$V$1505,$A227-3),"")</f>
        <v/>
      </c>
      <c r="J227">
        <f>IF(ISNUMBER($A227),INDEX($W$6:$W$1505,$A227-3),"")</f>
        <v/>
      </c>
      <c r="K227">
        <f>IF(ISNUMBER($A227),INDEX($X$6:$X$1505,$A227-3),"")</f>
        <v/>
      </c>
      <c r="L227">
        <f>IF(ISNUMBER($A227),INDEX($Y$6:$Y$1505,$A227-3),"")</f>
        <v/>
      </c>
      <c r="O227">
        <f>225</f>
        <v/>
      </c>
      <c r="P227">
        <f>IF(TRIM('입력_구리근무자명단'!$A225&amp;"")&lt;&gt;"",TRIM('입력_구리근무자명단'!$A225&amp;""),P226)</f>
        <v/>
      </c>
      <c r="Q227">
        <f>'입력_구리근무자명단'!$B225&amp;""</f>
        <v/>
      </c>
      <c r="R227">
        <f>IF($E$2="","",TRIM(INDEX('입력_구리근무자명단'!$A225:$ZZ225,1,$E$2+IF($G$2="확정",1,0))&amp;""))</f>
        <v/>
      </c>
      <c r="S227">
        <f>IF($R227="","",IF(INDEX('입력_구리근무자명단'!$A225:$ZZ225,1,$E$2+2)&amp;""="",급여기준월,IF(ISNUMBER(INDEX('입력_구리근무자명단'!$A225:$ZZ225,1,$E$2+2)),INDEX('입력_구리근무자명단'!$A225:$ZZ225,1,$E$2+2),IFERROR(DATE(VALUE(LEFT(INDEX('입력_구리근무자명단'!$A225:$ZZ225,1,$E$2+2),4)),VALUE(MID(INDEX('입력_구리근무자명단'!$A225:$ZZ225,1,$E$2+2),6,2)),VALUE(MID(INDEX('입력_구리근무자명단'!$A225:$ZZ225,1,$E$2+2),9,2))),-1))))</f>
        <v/>
      </c>
      <c r="T227">
        <f>IF($R227="","",IF(INDEX('입력_구리근무자명단'!$A225:$ZZ225,1,$E$2+3)&amp;""="",EOMONTH(급여기준월,0),IF(ISNUMBER(INDEX('입력_구리근무자명단'!$A225:$ZZ225,1,$E$2+3)),INDEX('입력_구리근무자명단'!$A225:$ZZ225,1,$E$2+3),IFERROR(DATE(VALUE(LEFT(INDEX('입력_구리근무자명단'!$A225:$ZZ225,1,$E$2+3),4)),VALUE(MID(INDEX('입력_구리근무자명단'!$A225:$ZZ225,1,$E$2+3),6,2)),VALUE(MID(INDEX('입력_구리근무자명단'!$A225:$ZZ225,1,$E$2+3),9,2))),-1))))</f>
        <v/>
      </c>
      <c r="U227">
        <f>IF($R227="","",IF(OR($S227&lt;0,$T227&lt;0),0,MAX(0,MIN($T227,EOMONTH(급여기준월,0))-MAX($S227,급여기준월)+1)))</f>
        <v/>
      </c>
      <c r="V227">
        <f>IF($R227="","",TRIM(INDEX('입력_구리근무자명단'!$A225:$ZZ225,1,$E$2+5)&amp;""))</f>
        <v/>
      </c>
      <c r="W227">
        <f>IF(ISNUMBER(SEARCH("구리독자",$V227)),"구리독자","")</f>
        <v/>
      </c>
      <c r="X227">
        <f>IF($R227="","",$R227&amp;"|"&amp;IF(OR($Q227="인턴",ISNUMBER(SEARCH("수련교육부",$P227))),"인턴",$P227))</f>
        <v/>
      </c>
      <c r="Y227">
        <f>IF($R227="","",IF(COUNTIF(명단표[이름|과],$X227)=1,"명단 일치",IF(AND(COUNTIF(명단표[이름|과],$X227)=0,COUNTIF(명단표[이름],$R227)=1),"명단 일치(이름만, 과 다름)",IF(COUNTIF(명단표[이름],$R227)=0,IF(COUNTIF(기본자료표[이름],$R227)&gt;0,"명단에 없음(기본자료에는 있음)","명단에 없음"),"동명이인 확인"))))</f>
        <v/>
      </c>
      <c r="Z227">
        <f>IF($R227="","",IF($S227&lt;0,"⚠"&amp;INDEX('입력_구리근무자명단'!$A225:$ZZ225,1,$E$2+2),TEXT($S227,"yyyy-mm-dd")))</f>
        <v/>
      </c>
      <c r="AA227">
        <f>IF($R227="","",IF($T227&lt;0,"⚠"&amp;INDEX('입력_구리근무자명단'!$A225:$ZZ225,1,$E$2+3),TEXT($T227,"yyyy-mm-dd")))</f>
        <v/>
      </c>
      <c r="AB227">
        <f>AB226+IF($R227="",0,1)</f>
        <v/>
      </c>
      <c r="AC227">
        <f>IF($R227="","",$AB227)</f>
        <v/>
      </c>
    </row>
    <row r="228">
      <c r="A228">
        <f>IFERROR(INDEX($O$6:$O$1505,MATCH(223,$AC$6:$AC$1505,0)),"")</f>
        <v/>
      </c>
      <c r="B228">
        <f>IF(ISNUMBER($A228),INDEX($P$6:$P$1505,$A228-3),"")</f>
        <v/>
      </c>
      <c r="C228">
        <f>IF(ISNUMBER($A228),INDEX($Q$6:$Q$1505,$A228-3),"")</f>
        <v/>
      </c>
      <c r="D228">
        <f>IF(ISNUMBER($A228),INDEX($R$6:$R$1505,$A228-3),"")</f>
        <v/>
      </c>
      <c r="E228">
        <f>IF(ISNUMBER($A228),$G$2,"")</f>
        <v/>
      </c>
      <c r="F228">
        <f>IF(ISNUMBER($A228),INDEX($Z$6:$Z$1505,$A228-3),"")</f>
        <v/>
      </c>
      <c r="G228">
        <f>IF(ISNUMBER($A228),INDEX($AA$6:$AA$1505,$A228-3),"")</f>
        <v/>
      </c>
      <c r="H228">
        <f>IF(ISNUMBER($A228),INDEX($U$6:$U$1505,$A228-3),"")</f>
        <v/>
      </c>
      <c r="I228">
        <f>IF(ISNUMBER($A228),INDEX($V$6:$V$1505,$A228-3),"")</f>
        <v/>
      </c>
      <c r="J228">
        <f>IF(ISNUMBER($A228),INDEX($W$6:$W$1505,$A228-3),"")</f>
        <v/>
      </c>
      <c r="K228">
        <f>IF(ISNUMBER($A228),INDEX($X$6:$X$1505,$A228-3),"")</f>
        <v/>
      </c>
      <c r="L228">
        <f>IF(ISNUMBER($A228),INDEX($Y$6:$Y$1505,$A228-3),"")</f>
        <v/>
      </c>
      <c r="O228">
        <f>226</f>
        <v/>
      </c>
      <c r="P228">
        <f>IF(TRIM('입력_구리근무자명단'!$A226&amp;"")&lt;&gt;"",TRIM('입력_구리근무자명단'!$A226&amp;""),P227)</f>
        <v/>
      </c>
      <c r="Q228">
        <f>'입력_구리근무자명단'!$B226&amp;""</f>
        <v/>
      </c>
      <c r="R228">
        <f>IF($E$2="","",TRIM(INDEX('입력_구리근무자명단'!$A226:$ZZ226,1,$E$2+IF($G$2="확정",1,0))&amp;""))</f>
        <v/>
      </c>
      <c r="S228">
        <f>IF($R228="","",IF(INDEX('입력_구리근무자명단'!$A226:$ZZ226,1,$E$2+2)&amp;""="",급여기준월,IF(ISNUMBER(INDEX('입력_구리근무자명단'!$A226:$ZZ226,1,$E$2+2)),INDEX('입력_구리근무자명단'!$A226:$ZZ226,1,$E$2+2),IFERROR(DATE(VALUE(LEFT(INDEX('입력_구리근무자명단'!$A226:$ZZ226,1,$E$2+2),4)),VALUE(MID(INDEX('입력_구리근무자명단'!$A226:$ZZ226,1,$E$2+2),6,2)),VALUE(MID(INDEX('입력_구리근무자명단'!$A226:$ZZ226,1,$E$2+2),9,2))),-1))))</f>
        <v/>
      </c>
      <c r="T228">
        <f>IF($R228="","",IF(INDEX('입력_구리근무자명단'!$A226:$ZZ226,1,$E$2+3)&amp;""="",EOMONTH(급여기준월,0),IF(ISNUMBER(INDEX('입력_구리근무자명단'!$A226:$ZZ226,1,$E$2+3)),INDEX('입력_구리근무자명단'!$A226:$ZZ226,1,$E$2+3),IFERROR(DATE(VALUE(LEFT(INDEX('입력_구리근무자명단'!$A226:$ZZ226,1,$E$2+3),4)),VALUE(MID(INDEX('입력_구리근무자명단'!$A226:$ZZ226,1,$E$2+3),6,2)),VALUE(MID(INDEX('입력_구리근무자명단'!$A226:$ZZ226,1,$E$2+3),9,2))),-1))))</f>
        <v/>
      </c>
      <c r="U228">
        <f>IF($R228="","",IF(OR($S228&lt;0,$T228&lt;0),0,MAX(0,MIN($T228,EOMONTH(급여기준월,0))-MAX($S228,급여기준월)+1)))</f>
        <v/>
      </c>
      <c r="V228">
        <f>IF($R228="","",TRIM(INDEX('입력_구리근무자명단'!$A226:$ZZ226,1,$E$2+5)&amp;""))</f>
        <v/>
      </c>
      <c r="W228">
        <f>IF(ISNUMBER(SEARCH("구리독자",$V228)),"구리독자","")</f>
        <v/>
      </c>
      <c r="X228">
        <f>IF($R228="","",$R228&amp;"|"&amp;IF(OR($Q228="인턴",ISNUMBER(SEARCH("수련교육부",$P228))),"인턴",$P228))</f>
        <v/>
      </c>
      <c r="Y228">
        <f>IF($R228="","",IF(COUNTIF(명단표[이름|과],$X228)=1,"명단 일치",IF(AND(COUNTIF(명단표[이름|과],$X228)=0,COUNTIF(명단표[이름],$R228)=1),"명단 일치(이름만, 과 다름)",IF(COUNTIF(명단표[이름],$R228)=0,IF(COUNTIF(기본자료표[이름],$R228)&gt;0,"명단에 없음(기본자료에는 있음)","명단에 없음"),"동명이인 확인"))))</f>
        <v/>
      </c>
      <c r="Z228">
        <f>IF($R228="","",IF($S228&lt;0,"⚠"&amp;INDEX('입력_구리근무자명단'!$A226:$ZZ226,1,$E$2+2),TEXT($S228,"yyyy-mm-dd")))</f>
        <v/>
      </c>
      <c r="AA228">
        <f>IF($R228="","",IF($T228&lt;0,"⚠"&amp;INDEX('입력_구리근무자명단'!$A226:$ZZ226,1,$E$2+3),TEXT($T228,"yyyy-mm-dd")))</f>
        <v/>
      </c>
      <c r="AB228">
        <f>AB227+IF($R228="",0,1)</f>
        <v/>
      </c>
      <c r="AC228">
        <f>IF($R228="","",$AB228)</f>
        <v/>
      </c>
    </row>
    <row r="229">
      <c r="A229">
        <f>IFERROR(INDEX($O$6:$O$1505,MATCH(224,$AC$6:$AC$1505,0)),"")</f>
        <v/>
      </c>
      <c r="B229">
        <f>IF(ISNUMBER($A229),INDEX($P$6:$P$1505,$A229-3),"")</f>
        <v/>
      </c>
      <c r="C229">
        <f>IF(ISNUMBER($A229),INDEX($Q$6:$Q$1505,$A229-3),"")</f>
        <v/>
      </c>
      <c r="D229">
        <f>IF(ISNUMBER($A229),INDEX($R$6:$R$1505,$A229-3),"")</f>
        <v/>
      </c>
      <c r="E229">
        <f>IF(ISNUMBER($A229),$G$2,"")</f>
        <v/>
      </c>
      <c r="F229">
        <f>IF(ISNUMBER($A229),INDEX($Z$6:$Z$1505,$A229-3),"")</f>
        <v/>
      </c>
      <c r="G229">
        <f>IF(ISNUMBER($A229),INDEX($AA$6:$AA$1505,$A229-3),"")</f>
        <v/>
      </c>
      <c r="H229">
        <f>IF(ISNUMBER($A229),INDEX($U$6:$U$1505,$A229-3),"")</f>
        <v/>
      </c>
      <c r="I229">
        <f>IF(ISNUMBER($A229),INDEX($V$6:$V$1505,$A229-3),"")</f>
        <v/>
      </c>
      <c r="J229">
        <f>IF(ISNUMBER($A229),INDEX($W$6:$W$1505,$A229-3),"")</f>
        <v/>
      </c>
      <c r="K229">
        <f>IF(ISNUMBER($A229),INDEX($X$6:$X$1505,$A229-3),"")</f>
        <v/>
      </c>
      <c r="L229">
        <f>IF(ISNUMBER($A229),INDEX($Y$6:$Y$1505,$A229-3),"")</f>
        <v/>
      </c>
      <c r="O229">
        <f>227</f>
        <v/>
      </c>
      <c r="P229">
        <f>IF(TRIM('입력_구리근무자명단'!$A227&amp;"")&lt;&gt;"",TRIM('입력_구리근무자명단'!$A227&amp;""),P228)</f>
        <v/>
      </c>
      <c r="Q229">
        <f>'입력_구리근무자명단'!$B227&amp;""</f>
        <v/>
      </c>
      <c r="R229">
        <f>IF($E$2="","",TRIM(INDEX('입력_구리근무자명단'!$A227:$ZZ227,1,$E$2+IF($G$2="확정",1,0))&amp;""))</f>
        <v/>
      </c>
      <c r="S229">
        <f>IF($R229="","",IF(INDEX('입력_구리근무자명단'!$A227:$ZZ227,1,$E$2+2)&amp;""="",급여기준월,IF(ISNUMBER(INDEX('입력_구리근무자명단'!$A227:$ZZ227,1,$E$2+2)),INDEX('입력_구리근무자명단'!$A227:$ZZ227,1,$E$2+2),IFERROR(DATE(VALUE(LEFT(INDEX('입력_구리근무자명단'!$A227:$ZZ227,1,$E$2+2),4)),VALUE(MID(INDEX('입력_구리근무자명단'!$A227:$ZZ227,1,$E$2+2),6,2)),VALUE(MID(INDEX('입력_구리근무자명단'!$A227:$ZZ227,1,$E$2+2),9,2))),-1))))</f>
        <v/>
      </c>
      <c r="T229">
        <f>IF($R229="","",IF(INDEX('입력_구리근무자명단'!$A227:$ZZ227,1,$E$2+3)&amp;""="",EOMONTH(급여기준월,0),IF(ISNUMBER(INDEX('입력_구리근무자명단'!$A227:$ZZ227,1,$E$2+3)),INDEX('입력_구리근무자명단'!$A227:$ZZ227,1,$E$2+3),IFERROR(DATE(VALUE(LEFT(INDEX('입력_구리근무자명단'!$A227:$ZZ227,1,$E$2+3),4)),VALUE(MID(INDEX('입력_구리근무자명단'!$A227:$ZZ227,1,$E$2+3),6,2)),VALUE(MID(INDEX('입력_구리근무자명단'!$A227:$ZZ227,1,$E$2+3),9,2))),-1))))</f>
        <v/>
      </c>
      <c r="U229">
        <f>IF($R229="","",IF(OR($S229&lt;0,$T229&lt;0),0,MAX(0,MIN($T229,EOMONTH(급여기준월,0))-MAX($S229,급여기준월)+1)))</f>
        <v/>
      </c>
      <c r="V229">
        <f>IF($R229="","",TRIM(INDEX('입력_구리근무자명단'!$A227:$ZZ227,1,$E$2+5)&amp;""))</f>
        <v/>
      </c>
      <c r="W229">
        <f>IF(ISNUMBER(SEARCH("구리독자",$V229)),"구리독자","")</f>
        <v/>
      </c>
      <c r="X229">
        <f>IF($R229="","",$R229&amp;"|"&amp;IF(OR($Q229="인턴",ISNUMBER(SEARCH("수련교육부",$P229))),"인턴",$P229))</f>
        <v/>
      </c>
      <c r="Y229">
        <f>IF($R229="","",IF(COUNTIF(명단표[이름|과],$X229)=1,"명단 일치",IF(AND(COUNTIF(명단표[이름|과],$X229)=0,COUNTIF(명단표[이름],$R229)=1),"명단 일치(이름만, 과 다름)",IF(COUNTIF(명단표[이름],$R229)=0,IF(COUNTIF(기본자료표[이름],$R229)&gt;0,"명단에 없음(기본자료에는 있음)","명단에 없음"),"동명이인 확인"))))</f>
        <v/>
      </c>
      <c r="Z229">
        <f>IF($R229="","",IF($S229&lt;0,"⚠"&amp;INDEX('입력_구리근무자명단'!$A227:$ZZ227,1,$E$2+2),TEXT($S229,"yyyy-mm-dd")))</f>
        <v/>
      </c>
      <c r="AA229">
        <f>IF($R229="","",IF($T229&lt;0,"⚠"&amp;INDEX('입력_구리근무자명단'!$A227:$ZZ227,1,$E$2+3),TEXT($T229,"yyyy-mm-dd")))</f>
        <v/>
      </c>
      <c r="AB229">
        <f>AB228+IF($R229="",0,1)</f>
        <v/>
      </c>
      <c r="AC229">
        <f>IF($R229="","",$AB229)</f>
        <v/>
      </c>
    </row>
    <row r="230">
      <c r="A230">
        <f>IFERROR(INDEX($O$6:$O$1505,MATCH(225,$AC$6:$AC$1505,0)),"")</f>
        <v/>
      </c>
      <c r="B230">
        <f>IF(ISNUMBER($A230),INDEX($P$6:$P$1505,$A230-3),"")</f>
        <v/>
      </c>
      <c r="C230">
        <f>IF(ISNUMBER($A230),INDEX($Q$6:$Q$1505,$A230-3),"")</f>
        <v/>
      </c>
      <c r="D230">
        <f>IF(ISNUMBER($A230),INDEX($R$6:$R$1505,$A230-3),"")</f>
        <v/>
      </c>
      <c r="E230">
        <f>IF(ISNUMBER($A230),$G$2,"")</f>
        <v/>
      </c>
      <c r="F230">
        <f>IF(ISNUMBER($A230),INDEX($Z$6:$Z$1505,$A230-3),"")</f>
        <v/>
      </c>
      <c r="G230">
        <f>IF(ISNUMBER($A230),INDEX($AA$6:$AA$1505,$A230-3),"")</f>
        <v/>
      </c>
      <c r="H230">
        <f>IF(ISNUMBER($A230),INDEX($U$6:$U$1505,$A230-3),"")</f>
        <v/>
      </c>
      <c r="I230">
        <f>IF(ISNUMBER($A230),INDEX($V$6:$V$1505,$A230-3),"")</f>
        <v/>
      </c>
      <c r="J230">
        <f>IF(ISNUMBER($A230),INDEX($W$6:$W$1505,$A230-3),"")</f>
        <v/>
      </c>
      <c r="K230">
        <f>IF(ISNUMBER($A230),INDEX($X$6:$X$1505,$A230-3),"")</f>
        <v/>
      </c>
      <c r="L230">
        <f>IF(ISNUMBER($A230),INDEX($Y$6:$Y$1505,$A230-3),"")</f>
        <v/>
      </c>
      <c r="O230">
        <f>228</f>
        <v/>
      </c>
      <c r="P230">
        <f>IF(TRIM('입력_구리근무자명단'!$A228&amp;"")&lt;&gt;"",TRIM('입력_구리근무자명단'!$A228&amp;""),P229)</f>
        <v/>
      </c>
      <c r="Q230">
        <f>'입력_구리근무자명단'!$B228&amp;""</f>
        <v/>
      </c>
      <c r="R230">
        <f>IF($E$2="","",TRIM(INDEX('입력_구리근무자명단'!$A228:$ZZ228,1,$E$2+IF($G$2="확정",1,0))&amp;""))</f>
        <v/>
      </c>
      <c r="S230">
        <f>IF($R230="","",IF(INDEX('입력_구리근무자명단'!$A228:$ZZ228,1,$E$2+2)&amp;""="",급여기준월,IF(ISNUMBER(INDEX('입력_구리근무자명단'!$A228:$ZZ228,1,$E$2+2)),INDEX('입력_구리근무자명단'!$A228:$ZZ228,1,$E$2+2),IFERROR(DATE(VALUE(LEFT(INDEX('입력_구리근무자명단'!$A228:$ZZ228,1,$E$2+2),4)),VALUE(MID(INDEX('입력_구리근무자명단'!$A228:$ZZ228,1,$E$2+2),6,2)),VALUE(MID(INDEX('입력_구리근무자명단'!$A228:$ZZ228,1,$E$2+2),9,2))),-1))))</f>
        <v/>
      </c>
      <c r="T230">
        <f>IF($R230="","",IF(INDEX('입력_구리근무자명단'!$A228:$ZZ228,1,$E$2+3)&amp;""="",EOMONTH(급여기준월,0),IF(ISNUMBER(INDEX('입력_구리근무자명단'!$A228:$ZZ228,1,$E$2+3)),INDEX('입력_구리근무자명단'!$A228:$ZZ228,1,$E$2+3),IFERROR(DATE(VALUE(LEFT(INDEX('입력_구리근무자명단'!$A228:$ZZ228,1,$E$2+3),4)),VALUE(MID(INDEX('입력_구리근무자명단'!$A228:$ZZ228,1,$E$2+3),6,2)),VALUE(MID(INDEX('입력_구리근무자명단'!$A228:$ZZ228,1,$E$2+3),9,2))),-1))))</f>
        <v/>
      </c>
      <c r="U230">
        <f>IF($R230="","",IF(OR($S230&lt;0,$T230&lt;0),0,MAX(0,MIN($T230,EOMONTH(급여기준월,0))-MAX($S230,급여기준월)+1)))</f>
        <v/>
      </c>
      <c r="V230">
        <f>IF($R230="","",TRIM(INDEX('입력_구리근무자명단'!$A228:$ZZ228,1,$E$2+5)&amp;""))</f>
        <v/>
      </c>
      <c r="W230">
        <f>IF(ISNUMBER(SEARCH("구리독자",$V230)),"구리독자","")</f>
        <v/>
      </c>
      <c r="X230">
        <f>IF($R230="","",$R230&amp;"|"&amp;IF(OR($Q230="인턴",ISNUMBER(SEARCH("수련교육부",$P230))),"인턴",$P230))</f>
        <v/>
      </c>
      <c r="Y230">
        <f>IF($R230="","",IF(COUNTIF(명단표[이름|과],$X230)=1,"명단 일치",IF(AND(COUNTIF(명단표[이름|과],$X230)=0,COUNTIF(명단표[이름],$R230)=1),"명단 일치(이름만, 과 다름)",IF(COUNTIF(명단표[이름],$R230)=0,IF(COUNTIF(기본자료표[이름],$R230)&gt;0,"명단에 없음(기본자료에는 있음)","명단에 없음"),"동명이인 확인"))))</f>
        <v/>
      </c>
      <c r="Z230">
        <f>IF($R230="","",IF($S230&lt;0,"⚠"&amp;INDEX('입력_구리근무자명단'!$A228:$ZZ228,1,$E$2+2),TEXT($S230,"yyyy-mm-dd")))</f>
        <v/>
      </c>
      <c r="AA230">
        <f>IF($R230="","",IF($T230&lt;0,"⚠"&amp;INDEX('입력_구리근무자명단'!$A228:$ZZ228,1,$E$2+3),TEXT($T230,"yyyy-mm-dd")))</f>
        <v/>
      </c>
      <c r="AB230">
        <f>AB229+IF($R230="",0,1)</f>
        <v/>
      </c>
      <c r="AC230">
        <f>IF($R230="","",$AB230)</f>
        <v/>
      </c>
    </row>
    <row r="231">
      <c r="A231">
        <f>IFERROR(INDEX($O$6:$O$1505,MATCH(226,$AC$6:$AC$1505,0)),"")</f>
        <v/>
      </c>
      <c r="B231">
        <f>IF(ISNUMBER($A231),INDEX($P$6:$P$1505,$A231-3),"")</f>
        <v/>
      </c>
      <c r="C231">
        <f>IF(ISNUMBER($A231),INDEX($Q$6:$Q$1505,$A231-3),"")</f>
        <v/>
      </c>
      <c r="D231">
        <f>IF(ISNUMBER($A231),INDEX($R$6:$R$1505,$A231-3),"")</f>
        <v/>
      </c>
      <c r="E231">
        <f>IF(ISNUMBER($A231),$G$2,"")</f>
        <v/>
      </c>
      <c r="F231">
        <f>IF(ISNUMBER($A231),INDEX($Z$6:$Z$1505,$A231-3),"")</f>
        <v/>
      </c>
      <c r="G231">
        <f>IF(ISNUMBER($A231),INDEX($AA$6:$AA$1505,$A231-3),"")</f>
        <v/>
      </c>
      <c r="H231">
        <f>IF(ISNUMBER($A231),INDEX($U$6:$U$1505,$A231-3),"")</f>
        <v/>
      </c>
      <c r="I231">
        <f>IF(ISNUMBER($A231),INDEX($V$6:$V$1505,$A231-3),"")</f>
        <v/>
      </c>
      <c r="J231">
        <f>IF(ISNUMBER($A231),INDEX($W$6:$W$1505,$A231-3),"")</f>
        <v/>
      </c>
      <c r="K231">
        <f>IF(ISNUMBER($A231),INDEX($X$6:$X$1505,$A231-3),"")</f>
        <v/>
      </c>
      <c r="L231">
        <f>IF(ISNUMBER($A231),INDEX($Y$6:$Y$1505,$A231-3),"")</f>
        <v/>
      </c>
      <c r="O231">
        <f>229</f>
        <v/>
      </c>
      <c r="P231">
        <f>IF(TRIM('입력_구리근무자명단'!$A229&amp;"")&lt;&gt;"",TRIM('입력_구리근무자명단'!$A229&amp;""),P230)</f>
        <v/>
      </c>
      <c r="Q231">
        <f>'입력_구리근무자명단'!$B229&amp;""</f>
        <v/>
      </c>
      <c r="R231">
        <f>IF($E$2="","",TRIM(INDEX('입력_구리근무자명단'!$A229:$ZZ229,1,$E$2+IF($G$2="확정",1,0))&amp;""))</f>
        <v/>
      </c>
      <c r="S231">
        <f>IF($R231="","",IF(INDEX('입력_구리근무자명단'!$A229:$ZZ229,1,$E$2+2)&amp;""="",급여기준월,IF(ISNUMBER(INDEX('입력_구리근무자명단'!$A229:$ZZ229,1,$E$2+2)),INDEX('입력_구리근무자명단'!$A229:$ZZ229,1,$E$2+2),IFERROR(DATE(VALUE(LEFT(INDEX('입력_구리근무자명단'!$A229:$ZZ229,1,$E$2+2),4)),VALUE(MID(INDEX('입력_구리근무자명단'!$A229:$ZZ229,1,$E$2+2),6,2)),VALUE(MID(INDEX('입력_구리근무자명단'!$A229:$ZZ229,1,$E$2+2),9,2))),-1))))</f>
        <v/>
      </c>
      <c r="T231">
        <f>IF($R231="","",IF(INDEX('입력_구리근무자명단'!$A229:$ZZ229,1,$E$2+3)&amp;""="",EOMONTH(급여기준월,0),IF(ISNUMBER(INDEX('입력_구리근무자명단'!$A229:$ZZ229,1,$E$2+3)),INDEX('입력_구리근무자명단'!$A229:$ZZ229,1,$E$2+3),IFERROR(DATE(VALUE(LEFT(INDEX('입력_구리근무자명단'!$A229:$ZZ229,1,$E$2+3),4)),VALUE(MID(INDEX('입력_구리근무자명단'!$A229:$ZZ229,1,$E$2+3),6,2)),VALUE(MID(INDEX('입력_구리근무자명단'!$A229:$ZZ229,1,$E$2+3),9,2))),-1))))</f>
        <v/>
      </c>
      <c r="U231">
        <f>IF($R231="","",IF(OR($S231&lt;0,$T231&lt;0),0,MAX(0,MIN($T231,EOMONTH(급여기준월,0))-MAX($S231,급여기준월)+1)))</f>
        <v/>
      </c>
      <c r="V231">
        <f>IF($R231="","",TRIM(INDEX('입력_구리근무자명단'!$A229:$ZZ229,1,$E$2+5)&amp;""))</f>
        <v/>
      </c>
      <c r="W231">
        <f>IF(ISNUMBER(SEARCH("구리독자",$V231)),"구리독자","")</f>
        <v/>
      </c>
      <c r="X231">
        <f>IF($R231="","",$R231&amp;"|"&amp;IF(OR($Q231="인턴",ISNUMBER(SEARCH("수련교육부",$P231))),"인턴",$P231))</f>
        <v/>
      </c>
      <c r="Y231">
        <f>IF($R231="","",IF(COUNTIF(명단표[이름|과],$X231)=1,"명단 일치",IF(AND(COUNTIF(명단표[이름|과],$X231)=0,COUNTIF(명단표[이름],$R231)=1),"명단 일치(이름만, 과 다름)",IF(COUNTIF(명단표[이름],$R231)=0,IF(COUNTIF(기본자료표[이름],$R231)&gt;0,"명단에 없음(기본자료에는 있음)","명단에 없음"),"동명이인 확인"))))</f>
        <v/>
      </c>
      <c r="Z231">
        <f>IF($R231="","",IF($S231&lt;0,"⚠"&amp;INDEX('입력_구리근무자명단'!$A229:$ZZ229,1,$E$2+2),TEXT($S231,"yyyy-mm-dd")))</f>
        <v/>
      </c>
      <c r="AA231">
        <f>IF($R231="","",IF($T231&lt;0,"⚠"&amp;INDEX('입력_구리근무자명단'!$A229:$ZZ229,1,$E$2+3),TEXT($T231,"yyyy-mm-dd")))</f>
        <v/>
      </c>
      <c r="AB231">
        <f>AB230+IF($R231="",0,1)</f>
        <v/>
      </c>
      <c r="AC231">
        <f>IF($R231="","",$AB231)</f>
        <v/>
      </c>
    </row>
    <row r="232">
      <c r="A232">
        <f>IFERROR(INDEX($O$6:$O$1505,MATCH(227,$AC$6:$AC$1505,0)),"")</f>
        <v/>
      </c>
      <c r="B232">
        <f>IF(ISNUMBER($A232),INDEX($P$6:$P$1505,$A232-3),"")</f>
        <v/>
      </c>
      <c r="C232">
        <f>IF(ISNUMBER($A232),INDEX($Q$6:$Q$1505,$A232-3),"")</f>
        <v/>
      </c>
      <c r="D232">
        <f>IF(ISNUMBER($A232),INDEX($R$6:$R$1505,$A232-3),"")</f>
        <v/>
      </c>
      <c r="E232">
        <f>IF(ISNUMBER($A232),$G$2,"")</f>
        <v/>
      </c>
      <c r="F232">
        <f>IF(ISNUMBER($A232),INDEX($Z$6:$Z$1505,$A232-3),"")</f>
        <v/>
      </c>
      <c r="G232">
        <f>IF(ISNUMBER($A232),INDEX($AA$6:$AA$1505,$A232-3),"")</f>
        <v/>
      </c>
      <c r="H232">
        <f>IF(ISNUMBER($A232),INDEX($U$6:$U$1505,$A232-3),"")</f>
        <v/>
      </c>
      <c r="I232">
        <f>IF(ISNUMBER($A232),INDEX($V$6:$V$1505,$A232-3),"")</f>
        <v/>
      </c>
      <c r="J232">
        <f>IF(ISNUMBER($A232),INDEX($W$6:$W$1505,$A232-3),"")</f>
        <v/>
      </c>
      <c r="K232">
        <f>IF(ISNUMBER($A232),INDEX($X$6:$X$1505,$A232-3),"")</f>
        <v/>
      </c>
      <c r="L232">
        <f>IF(ISNUMBER($A232),INDEX($Y$6:$Y$1505,$A232-3),"")</f>
        <v/>
      </c>
      <c r="O232">
        <f>230</f>
        <v/>
      </c>
      <c r="P232">
        <f>IF(TRIM('입력_구리근무자명단'!$A230&amp;"")&lt;&gt;"",TRIM('입력_구리근무자명단'!$A230&amp;""),P231)</f>
        <v/>
      </c>
      <c r="Q232">
        <f>'입력_구리근무자명단'!$B230&amp;""</f>
        <v/>
      </c>
      <c r="R232">
        <f>IF($E$2="","",TRIM(INDEX('입력_구리근무자명단'!$A230:$ZZ230,1,$E$2+IF($G$2="확정",1,0))&amp;""))</f>
        <v/>
      </c>
      <c r="S232">
        <f>IF($R232="","",IF(INDEX('입력_구리근무자명단'!$A230:$ZZ230,1,$E$2+2)&amp;""="",급여기준월,IF(ISNUMBER(INDEX('입력_구리근무자명단'!$A230:$ZZ230,1,$E$2+2)),INDEX('입력_구리근무자명단'!$A230:$ZZ230,1,$E$2+2),IFERROR(DATE(VALUE(LEFT(INDEX('입력_구리근무자명단'!$A230:$ZZ230,1,$E$2+2),4)),VALUE(MID(INDEX('입력_구리근무자명단'!$A230:$ZZ230,1,$E$2+2),6,2)),VALUE(MID(INDEX('입력_구리근무자명단'!$A230:$ZZ230,1,$E$2+2),9,2))),-1))))</f>
        <v/>
      </c>
      <c r="T232">
        <f>IF($R232="","",IF(INDEX('입력_구리근무자명단'!$A230:$ZZ230,1,$E$2+3)&amp;""="",EOMONTH(급여기준월,0),IF(ISNUMBER(INDEX('입력_구리근무자명단'!$A230:$ZZ230,1,$E$2+3)),INDEX('입력_구리근무자명단'!$A230:$ZZ230,1,$E$2+3),IFERROR(DATE(VALUE(LEFT(INDEX('입력_구리근무자명단'!$A230:$ZZ230,1,$E$2+3),4)),VALUE(MID(INDEX('입력_구리근무자명단'!$A230:$ZZ230,1,$E$2+3),6,2)),VALUE(MID(INDEX('입력_구리근무자명단'!$A230:$ZZ230,1,$E$2+3),9,2))),-1))))</f>
        <v/>
      </c>
      <c r="U232">
        <f>IF($R232="","",IF(OR($S232&lt;0,$T232&lt;0),0,MAX(0,MIN($T232,EOMONTH(급여기준월,0))-MAX($S232,급여기준월)+1)))</f>
        <v/>
      </c>
      <c r="V232">
        <f>IF($R232="","",TRIM(INDEX('입력_구리근무자명단'!$A230:$ZZ230,1,$E$2+5)&amp;""))</f>
        <v/>
      </c>
      <c r="W232">
        <f>IF(ISNUMBER(SEARCH("구리독자",$V232)),"구리독자","")</f>
        <v/>
      </c>
      <c r="X232">
        <f>IF($R232="","",$R232&amp;"|"&amp;IF(OR($Q232="인턴",ISNUMBER(SEARCH("수련교육부",$P232))),"인턴",$P232))</f>
        <v/>
      </c>
      <c r="Y232">
        <f>IF($R232="","",IF(COUNTIF(명단표[이름|과],$X232)=1,"명단 일치",IF(AND(COUNTIF(명단표[이름|과],$X232)=0,COUNTIF(명단표[이름],$R232)=1),"명단 일치(이름만, 과 다름)",IF(COUNTIF(명단표[이름],$R232)=0,IF(COUNTIF(기본자료표[이름],$R232)&gt;0,"명단에 없음(기본자료에는 있음)","명단에 없음"),"동명이인 확인"))))</f>
        <v/>
      </c>
      <c r="Z232">
        <f>IF($R232="","",IF($S232&lt;0,"⚠"&amp;INDEX('입력_구리근무자명단'!$A230:$ZZ230,1,$E$2+2),TEXT($S232,"yyyy-mm-dd")))</f>
        <v/>
      </c>
      <c r="AA232">
        <f>IF($R232="","",IF($T232&lt;0,"⚠"&amp;INDEX('입력_구리근무자명단'!$A230:$ZZ230,1,$E$2+3),TEXT($T232,"yyyy-mm-dd")))</f>
        <v/>
      </c>
      <c r="AB232">
        <f>AB231+IF($R232="",0,1)</f>
        <v/>
      </c>
      <c r="AC232">
        <f>IF($R232="","",$AB232)</f>
        <v/>
      </c>
    </row>
    <row r="233">
      <c r="A233">
        <f>IFERROR(INDEX($O$6:$O$1505,MATCH(228,$AC$6:$AC$1505,0)),"")</f>
        <v/>
      </c>
      <c r="B233">
        <f>IF(ISNUMBER($A233),INDEX($P$6:$P$1505,$A233-3),"")</f>
        <v/>
      </c>
      <c r="C233">
        <f>IF(ISNUMBER($A233),INDEX($Q$6:$Q$1505,$A233-3),"")</f>
        <v/>
      </c>
      <c r="D233">
        <f>IF(ISNUMBER($A233),INDEX($R$6:$R$1505,$A233-3),"")</f>
        <v/>
      </c>
      <c r="E233">
        <f>IF(ISNUMBER($A233),$G$2,"")</f>
        <v/>
      </c>
      <c r="F233">
        <f>IF(ISNUMBER($A233),INDEX($Z$6:$Z$1505,$A233-3),"")</f>
        <v/>
      </c>
      <c r="G233">
        <f>IF(ISNUMBER($A233),INDEX($AA$6:$AA$1505,$A233-3),"")</f>
        <v/>
      </c>
      <c r="H233">
        <f>IF(ISNUMBER($A233),INDEX($U$6:$U$1505,$A233-3),"")</f>
        <v/>
      </c>
      <c r="I233">
        <f>IF(ISNUMBER($A233),INDEX($V$6:$V$1505,$A233-3),"")</f>
        <v/>
      </c>
      <c r="J233">
        <f>IF(ISNUMBER($A233),INDEX($W$6:$W$1505,$A233-3),"")</f>
        <v/>
      </c>
      <c r="K233">
        <f>IF(ISNUMBER($A233),INDEX($X$6:$X$1505,$A233-3),"")</f>
        <v/>
      </c>
      <c r="L233">
        <f>IF(ISNUMBER($A233),INDEX($Y$6:$Y$1505,$A233-3),"")</f>
        <v/>
      </c>
      <c r="O233">
        <f>231</f>
        <v/>
      </c>
      <c r="P233">
        <f>IF(TRIM('입력_구리근무자명단'!$A231&amp;"")&lt;&gt;"",TRIM('입력_구리근무자명단'!$A231&amp;""),P232)</f>
        <v/>
      </c>
      <c r="Q233">
        <f>'입력_구리근무자명단'!$B231&amp;""</f>
        <v/>
      </c>
      <c r="R233">
        <f>IF($E$2="","",TRIM(INDEX('입력_구리근무자명단'!$A231:$ZZ231,1,$E$2+IF($G$2="확정",1,0))&amp;""))</f>
        <v/>
      </c>
      <c r="S233">
        <f>IF($R233="","",IF(INDEX('입력_구리근무자명단'!$A231:$ZZ231,1,$E$2+2)&amp;""="",급여기준월,IF(ISNUMBER(INDEX('입력_구리근무자명단'!$A231:$ZZ231,1,$E$2+2)),INDEX('입력_구리근무자명단'!$A231:$ZZ231,1,$E$2+2),IFERROR(DATE(VALUE(LEFT(INDEX('입력_구리근무자명단'!$A231:$ZZ231,1,$E$2+2),4)),VALUE(MID(INDEX('입력_구리근무자명단'!$A231:$ZZ231,1,$E$2+2),6,2)),VALUE(MID(INDEX('입력_구리근무자명단'!$A231:$ZZ231,1,$E$2+2),9,2))),-1))))</f>
        <v/>
      </c>
      <c r="T233">
        <f>IF($R233="","",IF(INDEX('입력_구리근무자명단'!$A231:$ZZ231,1,$E$2+3)&amp;""="",EOMONTH(급여기준월,0),IF(ISNUMBER(INDEX('입력_구리근무자명단'!$A231:$ZZ231,1,$E$2+3)),INDEX('입력_구리근무자명단'!$A231:$ZZ231,1,$E$2+3),IFERROR(DATE(VALUE(LEFT(INDEX('입력_구리근무자명단'!$A231:$ZZ231,1,$E$2+3),4)),VALUE(MID(INDEX('입력_구리근무자명단'!$A231:$ZZ231,1,$E$2+3),6,2)),VALUE(MID(INDEX('입력_구리근무자명단'!$A231:$ZZ231,1,$E$2+3),9,2))),-1))))</f>
        <v/>
      </c>
      <c r="U233">
        <f>IF($R233="","",IF(OR($S233&lt;0,$T233&lt;0),0,MAX(0,MIN($T233,EOMONTH(급여기준월,0))-MAX($S233,급여기준월)+1)))</f>
        <v/>
      </c>
      <c r="V233">
        <f>IF($R233="","",TRIM(INDEX('입력_구리근무자명단'!$A231:$ZZ231,1,$E$2+5)&amp;""))</f>
        <v/>
      </c>
      <c r="W233">
        <f>IF(ISNUMBER(SEARCH("구리독자",$V233)),"구리독자","")</f>
        <v/>
      </c>
      <c r="X233">
        <f>IF($R233="","",$R233&amp;"|"&amp;IF(OR($Q233="인턴",ISNUMBER(SEARCH("수련교육부",$P233))),"인턴",$P233))</f>
        <v/>
      </c>
      <c r="Y233">
        <f>IF($R233="","",IF(COUNTIF(명단표[이름|과],$X233)=1,"명단 일치",IF(AND(COUNTIF(명단표[이름|과],$X233)=0,COUNTIF(명단표[이름],$R233)=1),"명단 일치(이름만, 과 다름)",IF(COUNTIF(명단표[이름],$R233)=0,IF(COUNTIF(기본자료표[이름],$R233)&gt;0,"명단에 없음(기본자료에는 있음)","명단에 없음"),"동명이인 확인"))))</f>
        <v/>
      </c>
      <c r="Z233">
        <f>IF($R233="","",IF($S233&lt;0,"⚠"&amp;INDEX('입력_구리근무자명단'!$A231:$ZZ231,1,$E$2+2),TEXT($S233,"yyyy-mm-dd")))</f>
        <v/>
      </c>
      <c r="AA233">
        <f>IF($R233="","",IF($T233&lt;0,"⚠"&amp;INDEX('입력_구리근무자명단'!$A231:$ZZ231,1,$E$2+3),TEXT($T233,"yyyy-mm-dd")))</f>
        <v/>
      </c>
      <c r="AB233">
        <f>AB232+IF($R233="",0,1)</f>
        <v/>
      </c>
      <c r="AC233">
        <f>IF($R233="","",$AB233)</f>
        <v/>
      </c>
    </row>
    <row r="234">
      <c r="A234">
        <f>IFERROR(INDEX($O$6:$O$1505,MATCH(229,$AC$6:$AC$1505,0)),"")</f>
        <v/>
      </c>
      <c r="B234">
        <f>IF(ISNUMBER($A234),INDEX($P$6:$P$1505,$A234-3),"")</f>
        <v/>
      </c>
      <c r="C234">
        <f>IF(ISNUMBER($A234),INDEX($Q$6:$Q$1505,$A234-3),"")</f>
        <v/>
      </c>
      <c r="D234">
        <f>IF(ISNUMBER($A234),INDEX($R$6:$R$1505,$A234-3),"")</f>
        <v/>
      </c>
      <c r="E234">
        <f>IF(ISNUMBER($A234),$G$2,"")</f>
        <v/>
      </c>
      <c r="F234">
        <f>IF(ISNUMBER($A234),INDEX($Z$6:$Z$1505,$A234-3),"")</f>
        <v/>
      </c>
      <c r="G234">
        <f>IF(ISNUMBER($A234),INDEX($AA$6:$AA$1505,$A234-3),"")</f>
        <v/>
      </c>
      <c r="H234">
        <f>IF(ISNUMBER($A234),INDEX($U$6:$U$1505,$A234-3),"")</f>
        <v/>
      </c>
      <c r="I234">
        <f>IF(ISNUMBER($A234),INDEX($V$6:$V$1505,$A234-3),"")</f>
        <v/>
      </c>
      <c r="J234">
        <f>IF(ISNUMBER($A234),INDEX($W$6:$W$1505,$A234-3),"")</f>
        <v/>
      </c>
      <c r="K234">
        <f>IF(ISNUMBER($A234),INDEX($X$6:$X$1505,$A234-3),"")</f>
        <v/>
      </c>
      <c r="L234">
        <f>IF(ISNUMBER($A234),INDEX($Y$6:$Y$1505,$A234-3),"")</f>
        <v/>
      </c>
      <c r="O234">
        <f>232</f>
        <v/>
      </c>
      <c r="P234">
        <f>IF(TRIM('입력_구리근무자명단'!$A232&amp;"")&lt;&gt;"",TRIM('입력_구리근무자명단'!$A232&amp;""),P233)</f>
        <v/>
      </c>
      <c r="Q234">
        <f>'입력_구리근무자명단'!$B232&amp;""</f>
        <v/>
      </c>
      <c r="R234">
        <f>IF($E$2="","",TRIM(INDEX('입력_구리근무자명단'!$A232:$ZZ232,1,$E$2+IF($G$2="확정",1,0))&amp;""))</f>
        <v/>
      </c>
      <c r="S234">
        <f>IF($R234="","",IF(INDEX('입력_구리근무자명단'!$A232:$ZZ232,1,$E$2+2)&amp;""="",급여기준월,IF(ISNUMBER(INDEX('입력_구리근무자명단'!$A232:$ZZ232,1,$E$2+2)),INDEX('입력_구리근무자명단'!$A232:$ZZ232,1,$E$2+2),IFERROR(DATE(VALUE(LEFT(INDEX('입력_구리근무자명단'!$A232:$ZZ232,1,$E$2+2),4)),VALUE(MID(INDEX('입력_구리근무자명단'!$A232:$ZZ232,1,$E$2+2),6,2)),VALUE(MID(INDEX('입력_구리근무자명단'!$A232:$ZZ232,1,$E$2+2),9,2))),-1))))</f>
        <v/>
      </c>
      <c r="T234">
        <f>IF($R234="","",IF(INDEX('입력_구리근무자명단'!$A232:$ZZ232,1,$E$2+3)&amp;""="",EOMONTH(급여기준월,0),IF(ISNUMBER(INDEX('입력_구리근무자명단'!$A232:$ZZ232,1,$E$2+3)),INDEX('입력_구리근무자명단'!$A232:$ZZ232,1,$E$2+3),IFERROR(DATE(VALUE(LEFT(INDEX('입력_구리근무자명단'!$A232:$ZZ232,1,$E$2+3),4)),VALUE(MID(INDEX('입력_구리근무자명단'!$A232:$ZZ232,1,$E$2+3),6,2)),VALUE(MID(INDEX('입력_구리근무자명단'!$A232:$ZZ232,1,$E$2+3),9,2))),-1))))</f>
        <v/>
      </c>
      <c r="U234">
        <f>IF($R234="","",IF(OR($S234&lt;0,$T234&lt;0),0,MAX(0,MIN($T234,EOMONTH(급여기준월,0))-MAX($S234,급여기준월)+1)))</f>
        <v/>
      </c>
      <c r="V234">
        <f>IF($R234="","",TRIM(INDEX('입력_구리근무자명단'!$A232:$ZZ232,1,$E$2+5)&amp;""))</f>
        <v/>
      </c>
      <c r="W234">
        <f>IF(ISNUMBER(SEARCH("구리독자",$V234)),"구리독자","")</f>
        <v/>
      </c>
      <c r="X234">
        <f>IF($R234="","",$R234&amp;"|"&amp;IF(OR($Q234="인턴",ISNUMBER(SEARCH("수련교육부",$P234))),"인턴",$P234))</f>
        <v/>
      </c>
      <c r="Y234">
        <f>IF($R234="","",IF(COUNTIF(명단표[이름|과],$X234)=1,"명단 일치",IF(AND(COUNTIF(명단표[이름|과],$X234)=0,COUNTIF(명단표[이름],$R234)=1),"명단 일치(이름만, 과 다름)",IF(COUNTIF(명단표[이름],$R234)=0,IF(COUNTIF(기본자료표[이름],$R234)&gt;0,"명단에 없음(기본자료에는 있음)","명단에 없음"),"동명이인 확인"))))</f>
        <v/>
      </c>
      <c r="Z234">
        <f>IF($R234="","",IF($S234&lt;0,"⚠"&amp;INDEX('입력_구리근무자명단'!$A232:$ZZ232,1,$E$2+2),TEXT($S234,"yyyy-mm-dd")))</f>
        <v/>
      </c>
      <c r="AA234">
        <f>IF($R234="","",IF($T234&lt;0,"⚠"&amp;INDEX('입력_구리근무자명단'!$A232:$ZZ232,1,$E$2+3),TEXT($T234,"yyyy-mm-dd")))</f>
        <v/>
      </c>
      <c r="AB234">
        <f>AB233+IF($R234="",0,1)</f>
        <v/>
      </c>
      <c r="AC234">
        <f>IF($R234="","",$AB234)</f>
        <v/>
      </c>
    </row>
    <row r="235">
      <c r="A235">
        <f>IFERROR(INDEX($O$6:$O$1505,MATCH(230,$AC$6:$AC$1505,0)),"")</f>
        <v/>
      </c>
      <c r="B235">
        <f>IF(ISNUMBER($A235),INDEX($P$6:$P$1505,$A235-3),"")</f>
        <v/>
      </c>
      <c r="C235">
        <f>IF(ISNUMBER($A235),INDEX($Q$6:$Q$1505,$A235-3),"")</f>
        <v/>
      </c>
      <c r="D235">
        <f>IF(ISNUMBER($A235),INDEX($R$6:$R$1505,$A235-3),"")</f>
        <v/>
      </c>
      <c r="E235">
        <f>IF(ISNUMBER($A235),$G$2,"")</f>
        <v/>
      </c>
      <c r="F235">
        <f>IF(ISNUMBER($A235),INDEX($Z$6:$Z$1505,$A235-3),"")</f>
        <v/>
      </c>
      <c r="G235">
        <f>IF(ISNUMBER($A235),INDEX($AA$6:$AA$1505,$A235-3),"")</f>
        <v/>
      </c>
      <c r="H235">
        <f>IF(ISNUMBER($A235),INDEX($U$6:$U$1505,$A235-3),"")</f>
        <v/>
      </c>
      <c r="I235">
        <f>IF(ISNUMBER($A235),INDEX($V$6:$V$1505,$A235-3),"")</f>
        <v/>
      </c>
      <c r="J235">
        <f>IF(ISNUMBER($A235),INDEX($W$6:$W$1505,$A235-3),"")</f>
        <v/>
      </c>
      <c r="K235">
        <f>IF(ISNUMBER($A235),INDEX($X$6:$X$1505,$A235-3),"")</f>
        <v/>
      </c>
      <c r="L235">
        <f>IF(ISNUMBER($A235),INDEX($Y$6:$Y$1505,$A235-3),"")</f>
        <v/>
      </c>
      <c r="O235">
        <f>233</f>
        <v/>
      </c>
      <c r="P235">
        <f>IF(TRIM('입력_구리근무자명단'!$A233&amp;"")&lt;&gt;"",TRIM('입력_구리근무자명단'!$A233&amp;""),P234)</f>
        <v/>
      </c>
      <c r="Q235">
        <f>'입력_구리근무자명단'!$B233&amp;""</f>
        <v/>
      </c>
      <c r="R235">
        <f>IF($E$2="","",TRIM(INDEX('입력_구리근무자명단'!$A233:$ZZ233,1,$E$2+IF($G$2="확정",1,0))&amp;""))</f>
        <v/>
      </c>
      <c r="S235">
        <f>IF($R235="","",IF(INDEX('입력_구리근무자명단'!$A233:$ZZ233,1,$E$2+2)&amp;""="",급여기준월,IF(ISNUMBER(INDEX('입력_구리근무자명단'!$A233:$ZZ233,1,$E$2+2)),INDEX('입력_구리근무자명단'!$A233:$ZZ233,1,$E$2+2),IFERROR(DATE(VALUE(LEFT(INDEX('입력_구리근무자명단'!$A233:$ZZ233,1,$E$2+2),4)),VALUE(MID(INDEX('입력_구리근무자명단'!$A233:$ZZ233,1,$E$2+2),6,2)),VALUE(MID(INDEX('입력_구리근무자명단'!$A233:$ZZ233,1,$E$2+2),9,2))),-1))))</f>
        <v/>
      </c>
      <c r="T235">
        <f>IF($R235="","",IF(INDEX('입력_구리근무자명단'!$A233:$ZZ233,1,$E$2+3)&amp;""="",EOMONTH(급여기준월,0),IF(ISNUMBER(INDEX('입력_구리근무자명단'!$A233:$ZZ233,1,$E$2+3)),INDEX('입력_구리근무자명단'!$A233:$ZZ233,1,$E$2+3),IFERROR(DATE(VALUE(LEFT(INDEX('입력_구리근무자명단'!$A233:$ZZ233,1,$E$2+3),4)),VALUE(MID(INDEX('입력_구리근무자명단'!$A233:$ZZ233,1,$E$2+3),6,2)),VALUE(MID(INDEX('입력_구리근무자명단'!$A233:$ZZ233,1,$E$2+3),9,2))),-1))))</f>
        <v/>
      </c>
      <c r="U235">
        <f>IF($R235="","",IF(OR($S235&lt;0,$T235&lt;0),0,MAX(0,MIN($T235,EOMONTH(급여기준월,0))-MAX($S235,급여기준월)+1)))</f>
        <v/>
      </c>
      <c r="V235">
        <f>IF($R235="","",TRIM(INDEX('입력_구리근무자명단'!$A233:$ZZ233,1,$E$2+5)&amp;""))</f>
        <v/>
      </c>
      <c r="W235">
        <f>IF(ISNUMBER(SEARCH("구리독자",$V235)),"구리독자","")</f>
        <v/>
      </c>
      <c r="X235">
        <f>IF($R235="","",$R235&amp;"|"&amp;IF(OR($Q235="인턴",ISNUMBER(SEARCH("수련교육부",$P235))),"인턴",$P235))</f>
        <v/>
      </c>
      <c r="Y235">
        <f>IF($R235="","",IF(COUNTIF(명단표[이름|과],$X235)=1,"명단 일치",IF(AND(COUNTIF(명단표[이름|과],$X235)=0,COUNTIF(명단표[이름],$R235)=1),"명단 일치(이름만, 과 다름)",IF(COUNTIF(명단표[이름],$R235)=0,IF(COUNTIF(기본자료표[이름],$R235)&gt;0,"명단에 없음(기본자료에는 있음)","명단에 없음"),"동명이인 확인"))))</f>
        <v/>
      </c>
      <c r="Z235">
        <f>IF($R235="","",IF($S235&lt;0,"⚠"&amp;INDEX('입력_구리근무자명단'!$A233:$ZZ233,1,$E$2+2),TEXT($S235,"yyyy-mm-dd")))</f>
        <v/>
      </c>
      <c r="AA235">
        <f>IF($R235="","",IF($T235&lt;0,"⚠"&amp;INDEX('입력_구리근무자명단'!$A233:$ZZ233,1,$E$2+3),TEXT($T235,"yyyy-mm-dd")))</f>
        <v/>
      </c>
      <c r="AB235">
        <f>AB234+IF($R235="",0,1)</f>
        <v/>
      </c>
      <c r="AC235">
        <f>IF($R235="","",$AB235)</f>
        <v/>
      </c>
    </row>
    <row r="236">
      <c r="A236">
        <f>IFERROR(INDEX($O$6:$O$1505,MATCH(231,$AC$6:$AC$1505,0)),"")</f>
        <v/>
      </c>
      <c r="B236">
        <f>IF(ISNUMBER($A236),INDEX($P$6:$P$1505,$A236-3),"")</f>
        <v/>
      </c>
      <c r="C236">
        <f>IF(ISNUMBER($A236),INDEX($Q$6:$Q$1505,$A236-3),"")</f>
        <v/>
      </c>
      <c r="D236">
        <f>IF(ISNUMBER($A236),INDEX($R$6:$R$1505,$A236-3),"")</f>
        <v/>
      </c>
      <c r="E236">
        <f>IF(ISNUMBER($A236),$G$2,"")</f>
        <v/>
      </c>
      <c r="F236">
        <f>IF(ISNUMBER($A236),INDEX($Z$6:$Z$1505,$A236-3),"")</f>
        <v/>
      </c>
      <c r="G236">
        <f>IF(ISNUMBER($A236),INDEX($AA$6:$AA$1505,$A236-3),"")</f>
        <v/>
      </c>
      <c r="H236">
        <f>IF(ISNUMBER($A236),INDEX($U$6:$U$1505,$A236-3),"")</f>
        <v/>
      </c>
      <c r="I236">
        <f>IF(ISNUMBER($A236),INDEX($V$6:$V$1505,$A236-3),"")</f>
        <v/>
      </c>
      <c r="J236">
        <f>IF(ISNUMBER($A236),INDEX($W$6:$W$1505,$A236-3),"")</f>
        <v/>
      </c>
      <c r="K236">
        <f>IF(ISNUMBER($A236),INDEX($X$6:$X$1505,$A236-3),"")</f>
        <v/>
      </c>
      <c r="L236">
        <f>IF(ISNUMBER($A236),INDEX($Y$6:$Y$1505,$A236-3),"")</f>
        <v/>
      </c>
      <c r="O236">
        <f>234</f>
        <v/>
      </c>
      <c r="P236">
        <f>IF(TRIM('입력_구리근무자명단'!$A234&amp;"")&lt;&gt;"",TRIM('입력_구리근무자명단'!$A234&amp;""),P235)</f>
        <v/>
      </c>
      <c r="Q236">
        <f>'입력_구리근무자명단'!$B234&amp;""</f>
        <v/>
      </c>
      <c r="R236">
        <f>IF($E$2="","",TRIM(INDEX('입력_구리근무자명단'!$A234:$ZZ234,1,$E$2+IF($G$2="확정",1,0))&amp;""))</f>
        <v/>
      </c>
      <c r="S236">
        <f>IF($R236="","",IF(INDEX('입력_구리근무자명단'!$A234:$ZZ234,1,$E$2+2)&amp;""="",급여기준월,IF(ISNUMBER(INDEX('입력_구리근무자명단'!$A234:$ZZ234,1,$E$2+2)),INDEX('입력_구리근무자명단'!$A234:$ZZ234,1,$E$2+2),IFERROR(DATE(VALUE(LEFT(INDEX('입력_구리근무자명단'!$A234:$ZZ234,1,$E$2+2),4)),VALUE(MID(INDEX('입력_구리근무자명단'!$A234:$ZZ234,1,$E$2+2),6,2)),VALUE(MID(INDEX('입력_구리근무자명단'!$A234:$ZZ234,1,$E$2+2),9,2))),-1))))</f>
        <v/>
      </c>
      <c r="T236">
        <f>IF($R236="","",IF(INDEX('입력_구리근무자명단'!$A234:$ZZ234,1,$E$2+3)&amp;""="",EOMONTH(급여기준월,0),IF(ISNUMBER(INDEX('입력_구리근무자명단'!$A234:$ZZ234,1,$E$2+3)),INDEX('입력_구리근무자명단'!$A234:$ZZ234,1,$E$2+3),IFERROR(DATE(VALUE(LEFT(INDEX('입력_구리근무자명단'!$A234:$ZZ234,1,$E$2+3),4)),VALUE(MID(INDEX('입력_구리근무자명단'!$A234:$ZZ234,1,$E$2+3),6,2)),VALUE(MID(INDEX('입력_구리근무자명단'!$A234:$ZZ234,1,$E$2+3),9,2))),-1))))</f>
        <v/>
      </c>
      <c r="U236">
        <f>IF($R236="","",IF(OR($S236&lt;0,$T236&lt;0),0,MAX(0,MIN($T236,EOMONTH(급여기준월,0))-MAX($S236,급여기준월)+1)))</f>
        <v/>
      </c>
      <c r="V236">
        <f>IF($R236="","",TRIM(INDEX('입력_구리근무자명단'!$A234:$ZZ234,1,$E$2+5)&amp;""))</f>
        <v/>
      </c>
      <c r="W236">
        <f>IF(ISNUMBER(SEARCH("구리독자",$V236)),"구리독자","")</f>
        <v/>
      </c>
      <c r="X236">
        <f>IF($R236="","",$R236&amp;"|"&amp;IF(OR($Q236="인턴",ISNUMBER(SEARCH("수련교육부",$P236))),"인턴",$P236))</f>
        <v/>
      </c>
      <c r="Y236">
        <f>IF($R236="","",IF(COUNTIF(명단표[이름|과],$X236)=1,"명단 일치",IF(AND(COUNTIF(명단표[이름|과],$X236)=0,COUNTIF(명단표[이름],$R236)=1),"명단 일치(이름만, 과 다름)",IF(COUNTIF(명단표[이름],$R236)=0,IF(COUNTIF(기본자료표[이름],$R236)&gt;0,"명단에 없음(기본자료에는 있음)","명단에 없음"),"동명이인 확인"))))</f>
        <v/>
      </c>
      <c r="Z236">
        <f>IF($R236="","",IF($S236&lt;0,"⚠"&amp;INDEX('입력_구리근무자명단'!$A234:$ZZ234,1,$E$2+2),TEXT($S236,"yyyy-mm-dd")))</f>
        <v/>
      </c>
      <c r="AA236">
        <f>IF($R236="","",IF($T236&lt;0,"⚠"&amp;INDEX('입력_구리근무자명단'!$A234:$ZZ234,1,$E$2+3),TEXT($T236,"yyyy-mm-dd")))</f>
        <v/>
      </c>
      <c r="AB236">
        <f>AB235+IF($R236="",0,1)</f>
        <v/>
      </c>
      <c r="AC236">
        <f>IF($R236="","",$AB236)</f>
        <v/>
      </c>
    </row>
    <row r="237">
      <c r="A237">
        <f>IFERROR(INDEX($O$6:$O$1505,MATCH(232,$AC$6:$AC$1505,0)),"")</f>
        <v/>
      </c>
      <c r="B237">
        <f>IF(ISNUMBER($A237),INDEX($P$6:$P$1505,$A237-3),"")</f>
        <v/>
      </c>
      <c r="C237">
        <f>IF(ISNUMBER($A237),INDEX($Q$6:$Q$1505,$A237-3),"")</f>
        <v/>
      </c>
      <c r="D237">
        <f>IF(ISNUMBER($A237),INDEX($R$6:$R$1505,$A237-3),"")</f>
        <v/>
      </c>
      <c r="E237">
        <f>IF(ISNUMBER($A237),$G$2,"")</f>
        <v/>
      </c>
      <c r="F237">
        <f>IF(ISNUMBER($A237),INDEX($Z$6:$Z$1505,$A237-3),"")</f>
        <v/>
      </c>
      <c r="G237">
        <f>IF(ISNUMBER($A237),INDEX($AA$6:$AA$1505,$A237-3),"")</f>
        <v/>
      </c>
      <c r="H237">
        <f>IF(ISNUMBER($A237),INDEX($U$6:$U$1505,$A237-3),"")</f>
        <v/>
      </c>
      <c r="I237">
        <f>IF(ISNUMBER($A237),INDEX($V$6:$V$1505,$A237-3),"")</f>
        <v/>
      </c>
      <c r="J237">
        <f>IF(ISNUMBER($A237),INDEX($W$6:$W$1505,$A237-3),"")</f>
        <v/>
      </c>
      <c r="K237">
        <f>IF(ISNUMBER($A237),INDEX($X$6:$X$1505,$A237-3),"")</f>
        <v/>
      </c>
      <c r="L237">
        <f>IF(ISNUMBER($A237),INDEX($Y$6:$Y$1505,$A237-3),"")</f>
        <v/>
      </c>
      <c r="O237">
        <f>235</f>
        <v/>
      </c>
      <c r="P237">
        <f>IF(TRIM('입력_구리근무자명단'!$A235&amp;"")&lt;&gt;"",TRIM('입력_구리근무자명단'!$A235&amp;""),P236)</f>
        <v/>
      </c>
      <c r="Q237">
        <f>'입력_구리근무자명단'!$B235&amp;""</f>
        <v/>
      </c>
      <c r="R237">
        <f>IF($E$2="","",TRIM(INDEX('입력_구리근무자명단'!$A235:$ZZ235,1,$E$2+IF($G$2="확정",1,0))&amp;""))</f>
        <v/>
      </c>
      <c r="S237">
        <f>IF($R237="","",IF(INDEX('입력_구리근무자명단'!$A235:$ZZ235,1,$E$2+2)&amp;""="",급여기준월,IF(ISNUMBER(INDEX('입력_구리근무자명단'!$A235:$ZZ235,1,$E$2+2)),INDEX('입력_구리근무자명단'!$A235:$ZZ235,1,$E$2+2),IFERROR(DATE(VALUE(LEFT(INDEX('입력_구리근무자명단'!$A235:$ZZ235,1,$E$2+2),4)),VALUE(MID(INDEX('입력_구리근무자명단'!$A235:$ZZ235,1,$E$2+2),6,2)),VALUE(MID(INDEX('입력_구리근무자명단'!$A235:$ZZ235,1,$E$2+2),9,2))),-1))))</f>
        <v/>
      </c>
      <c r="T237">
        <f>IF($R237="","",IF(INDEX('입력_구리근무자명단'!$A235:$ZZ235,1,$E$2+3)&amp;""="",EOMONTH(급여기준월,0),IF(ISNUMBER(INDEX('입력_구리근무자명단'!$A235:$ZZ235,1,$E$2+3)),INDEX('입력_구리근무자명단'!$A235:$ZZ235,1,$E$2+3),IFERROR(DATE(VALUE(LEFT(INDEX('입력_구리근무자명단'!$A235:$ZZ235,1,$E$2+3),4)),VALUE(MID(INDEX('입력_구리근무자명단'!$A235:$ZZ235,1,$E$2+3),6,2)),VALUE(MID(INDEX('입력_구리근무자명단'!$A235:$ZZ235,1,$E$2+3),9,2))),-1))))</f>
        <v/>
      </c>
      <c r="U237">
        <f>IF($R237="","",IF(OR($S237&lt;0,$T237&lt;0),0,MAX(0,MIN($T237,EOMONTH(급여기준월,0))-MAX($S237,급여기준월)+1)))</f>
        <v/>
      </c>
      <c r="V237">
        <f>IF($R237="","",TRIM(INDEX('입력_구리근무자명단'!$A235:$ZZ235,1,$E$2+5)&amp;""))</f>
        <v/>
      </c>
      <c r="W237">
        <f>IF(ISNUMBER(SEARCH("구리독자",$V237)),"구리독자","")</f>
        <v/>
      </c>
      <c r="X237">
        <f>IF($R237="","",$R237&amp;"|"&amp;IF(OR($Q237="인턴",ISNUMBER(SEARCH("수련교육부",$P237))),"인턴",$P237))</f>
        <v/>
      </c>
      <c r="Y237">
        <f>IF($R237="","",IF(COUNTIF(명단표[이름|과],$X237)=1,"명단 일치",IF(AND(COUNTIF(명단표[이름|과],$X237)=0,COUNTIF(명단표[이름],$R237)=1),"명단 일치(이름만, 과 다름)",IF(COUNTIF(명단표[이름],$R237)=0,IF(COUNTIF(기본자료표[이름],$R237)&gt;0,"명단에 없음(기본자료에는 있음)","명단에 없음"),"동명이인 확인"))))</f>
        <v/>
      </c>
      <c r="Z237">
        <f>IF($R237="","",IF($S237&lt;0,"⚠"&amp;INDEX('입력_구리근무자명단'!$A235:$ZZ235,1,$E$2+2),TEXT($S237,"yyyy-mm-dd")))</f>
        <v/>
      </c>
      <c r="AA237">
        <f>IF($R237="","",IF($T237&lt;0,"⚠"&amp;INDEX('입력_구리근무자명단'!$A235:$ZZ235,1,$E$2+3),TEXT($T237,"yyyy-mm-dd")))</f>
        <v/>
      </c>
      <c r="AB237">
        <f>AB236+IF($R237="",0,1)</f>
        <v/>
      </c>
      <c r="AC237">
        <f>IF($R237="","",$AB237)</f>
        <v/>
      </c>
    </row>
    <row r="238">
      <c r="A238">
        <f>IFERROR(INDEX($O$6:$O$1505,MATCH(233,$AC$6:$AC$1505,0)),"")</f>
        <v/>
      </c>
      <c r="B238">
        <f>IF(ISNUMBER($A238),INDEX($P$6:$P$1505,$A238-3),"")</f>
        <v/>
      </c>
      <c r="C238">
        <f>IF(ISNUMBER($A238),INDEX($Q$6:$Q$1505,$A238-3),"")</f>
        <v/>
      </c>
      <c r="D238">
        <f>IF(ISNUMBER($A238),INDEX($R$6:$R$1505,$A238-3),"")</f>
        <v/>
      </c>
      <c r="E238">
        <f>IF(ISNUMBER($A238),$G$2,"")</f>
        <v/>
      </c>
      <c r="F238">
        <f>IF(ISNUMBER($A238),INDEX($Z$6:$Z$1505,$A238-3),"")</f>
        <v/>
      </c>
      <c r="G238">
        <f>IF(ISNUMBER($A238),INDEX($AA$6:$AA$1505,$A238-3),"")</f>
        <v/>
      </c>
      <c r="H238">
        <f>IF(ISNUMBER($A238),INDEX($U$6:$U$1505,$A238-3),"")</f>
        <v/>
      </c>
      <c r="I238">
        <f>IF(ISNUMBER($A238),INDEX($V$6:$V$1505,$A238-3),"")</f>
        <v/>
      </c>
      <c r="J238">
        <f>IF(ISNUMBER($A238),INDEX($W$6:$W$1505,$A238-3),"")</f>
        <v/>
      </c>
      <c r="K238">
        <f>IF(ISNUMBER($A238),INDEX($X$6:$X$1505,$A238-3),"")</f>
        <v/>
      </c>
      <c r="L238">
        <f>IF(ISNUMBER($A238),INDEX($Y$6:$Y$1505,$A238-3),"")</f>
        <v/>
      </c>
      <c r="O238">
        <f>236</f>
        <v/>
      </c>
      <c r="P238">
        <f>IF(TRIM('입력_구리근무자명단'!$A236&amp;"")&lt;&gt;"",TRIM('입력_구리근무자명단'!$A236&amp;""),P237)</f>
        <v/>
      </c>
      <c r="Q238">
        <f>'입력_구리근무자명단'!$B236&amp;""</f>
        <v/>
      </c>
      <c r="R238">
        <f>IF($E$2="","",TRIM(INDEX('입력_구리근무자명단'!$A236:$ZZ236,1,$E$2+IF($G$2="확정",1,0))&amp;""))</f>
        <v/>
      </c>
      <c r="S238">
        <f>IF($R238="","",IF(INDEX('입력_구리근무자명단'!$A236:$ZZ236,1,$E$2+2)&amp;""="",급여기준월,IF(ISNUMBER(INDEX('입력_구리근무자명단'!$A236:$ZZ236,1,$E$2+2)),INDEX('입력_구리근무자명단'!$A236:$ZZ236,1,$E$2+2),IFERROR(DATE(VALUE(LEFT(INDEX('입력_구리근무자명단'!$A236:$ZZ236,1,$E$2+2),4)),VALUE(MID(INDEX('입력_구리근무자명단'!$A236:$ZZ236,1,$E$2+2),6,2)),VALUE(MID(INDEX('입력_구리근무자명단'!$A236:$ZZ236,1,$E$2+2),9,2))),-1))))</f>
        <v/>
      </c>
      <c r="T238">
        <f>IF($R238="","",IF(INDEX('입력_구리근무자명단'!$A236:$ZZ236,1,$E$2+3)&amp;""="",EOMONTH(급여기준월,0),IF(ISNUMBER(INDEX('입력_구리근무자명단'!$A236:$ZZ236,1,$E$2+3)),INDEX('입력_구리근무자명단'!$A236:$ZZ236,1,$E$2+3),IFERROR(DATE(VALUE(LEFT(INDEX('입력_구리근무자명단'!$A236:$ZZ236,1,$E$2+3),4)),VALUE(MID(INDEX('입력_구리근무자명단'!$A236:$ZZ236,1,$E$2+3),6,2)),VALUE(MID(INDEX('입력_구리근무자명단'!$A236:$ZZ236,1,$E$2+3),9,2))),-1))))</f>
        <v/>
      </c>
      <c r="U238">
        <f>IF($R238="","",IF(OR($S238&lt;0,$T238&lt;0),0,MAX(0,MIN($T238,EOMONTH(급여기준월,0))-MAX($S238,급여기준월)+1)))</f>
        <v/>
      </c>
      <c r="V238">
        <f>IF($R238="","",TRIM(INDEX('입력_구리근무자명단'!$A236:$ZZ236,1,$E$2+5)&amp;""))</f>
        <v/>
      </c>
      <c r="W238">
        <f>IF(ISNUMBER(SEARCH("구리독자",$V238)),"구리독자","")</f>
        <v/>
      </c>
      <c r="X238">
        <f>IF($R238="","",$R238&amp;"|"&amp;IF(OR($Q238="인턴",ISNUMBER(SEARCH("수련교육부",$P238))),"인턴",$P238))</f>
        <v/>
      </c>
      <c r="Y238">
        <f>IF($R238="","",IF(COUNTIF(명단표[이름|과],$X238)=1,"명단 일치",IF(AND(COUNTIF(명단표[이름|과],$X238)=0,COUNTIF(명단표[이름],$R238)=1),"명단 일치(이름만, 과 다름)",IF(COUNTIF(명단표[이름],$R238)=0,IF(COUNTIF(기본자료표[이름],$R238)&gt;0,"명단에 없음(기본자료에는 있음)","명단에 없음"),"동명이인 확인"))))</f>
        <v/>
      </c>
      <c r="Z238">
        <f>IF($R238="","",IF($S238&lt;0,"⚠"&amp;INDEX('입력_구리근무자명단'!$A236:$ZZ236,1,$E$2+2),TEXT($S238,"yyyy-mm-dd")))</f>
        <v/>
      </c>
      <c r="AA238">
        <f>IF($R238="","",IF($T238&lt;0,"⚠"&amp;INDEX('입력_구리근무자명단'!$A236:$ZZ236,1,$E$2+3),TEXT($T238,"yyyy-mm-dd")))</f>
        <v/>
      </c>
      <c r="AB238">
        <f>AB237+IF($R238="",0,1)</f>
        <v/>
      </c>
      <c r="AC238">
        <f>IF($R238="","",$AB238)</f>
        <v/>
      </c>
    </row>
    <row r="239">
      <c r="A239">
        <f>IFERROR(INDEX($O$6:$O$1505,MATCH(234,$AC$6:$AC$1505,0)),"")</f>
        <v/>
      </c>
      <c r="B239">
        <f>IF(ISNUMBER($A239),INDEX($P$6:$P$1505,$A239-3),"")</f>
        <v/>
      </c>
      <c r="C239">
        <f>IF(ISNUMBER($A239),INDEX($Q$6:$Q$1505,$A239-3),"")</f>
        <v/>
      </c>
      <c r="D239">
        <f>IF(ISNUMBER($A239),INDEX($R$6:$R$1505,$A239-3),"")</f>
        <v/>
      </c>
      <c r="E239">
        <f>IF(ISNUMBER($A239),$G$2,"")</f>
        <v/>
      </c>
      <c r="F239">
        <f>IF(ISNUMBER($A239),INDEX($Z$6:$Z$1505,$A239-3),"")</f>
        <v/>
      </c>
      <c r="G239">
        <f>IF(ISNUMBER($A239),INDEX($AA$6:$AA$1505,$A239-3),"")</f>
        <v/>
      </c>
      <c r="H239">
        <f>IF(ISNUMBER($A239),INDEX($U$6:$U$1505,$A239-3),"")</f>
        <v/>
      </c>
      <c r="I239">
        <f>IF(ISNUMBER($A239),INDEX($V$6:$V$1505,$A239-3),"")</f>
        <v/>
      </c>
      <c r="J239">
        <f>IF(ISNUMBER($A239),INDEX($W$6:$W$1505,$A239-3),"")</f>
        <v/>
      </c>
      <c r="K239">
        <f>IF(ISNUMBER($A239),INDEX($X$6:$X$1505,$A239-3),"")</f>
        <v/>
      </c>
      <c r="L239">
        <f>IF(ISNUMBER($A239),INDEX($Y$6:$Y$1505,$A239-3),"")</f>
        <v/>
      </c>
      <c r="O239">
        <f>237</f>
        <v/>
      </c>
      <c r="P239">
        <f>IF(TRIM('입력_구리근무자명단'!$A237&amp;"")&lt;&gt;"",TRIM('입력_구리근무자명단'!$A237&amp;""),P238)</f>
        <v/>
      </c>
      <c r="Q239">
        <f>'입력_구리근무자명단'!$B237&amp;""</f>
        <v/>
      </c>
      <c r="R239">
        <f>IF($E$2="","",TRIM(INDEX('입력_구리근무자명단'!$A237:$ZZ237,1,$E$2+IF($G$2="확정",1,0))&amp;""))</f>
        <v/>
      </c>
      <c r="S239">
        <f>IF($R239="","",IF(INDEX('입력_구리근무자명단'!$A237:$ZZ237,1,$E$2+2)&amp;""="",급여기준월,IF(ISNUMBER(INDEX('입력_구리근무자명단'!$A237:$ZZ237,1,$E$2+2)),INDEX('입력_구리근무자명단'!$A237:$ZZ237,1,$E$2+2),IFERROR(DATE(VALUE(LEFT(INDEX('입력_구리근무자명단'!$A237:$ZZ237,1,$E$2+2),4)),VALUE(MID(INDEX('입력_구리근무자명단'!$A237:$ZZ237,1,$E$2+2),6,2)),VALUE(MID(INDEX('입력_구리근무자명단'!$A237:$ZZ237,1,$E$2+2),9,2))),-1))))</f>
        <v/>
      </c>
      <c r="T239">
        <f>IF($R239="","",IF(INDEX('입력_구리근무자명단'!$A237:$ZZ237,1,$E$2+3)&amp;""="",EOMONTH(급여기준월,0),IF(ISNUMBER(INDEX('입력_구리근무자명단'!$A237:$ZZ237,1,$E$2+3)),INDEX('입력_구리근무자명단'!$A237:$ZZ237,1,$E$2+3),IFERROR(DATE(VALUE(LEFT(INDEX('입력_구리근무자명단'!$A237:$ZZ237,1,$E$2+3),4)),VALUE(MID(INDEX('입력_구리근무자명단'!$A237:$ZZ237,1,$E$2+3),6,2)),VALUE(MID(INDEX('입력_구리근무자명단'!$A237:$ZZ237,1,$E$2+3),9,2))),-1))))</f>
        <v/>
      </c>
      <c r="U239">
        <f>IF($R239="","",IF(OR($S239&lt;0,$T239&lt;0),0,MAX(0,MIN($T239,EOMONTH(급여기준월,0))-MAX($S239,급여기준월)+1)))</f>
        <v/>
      </c>
      <c r="V239">
        <f>IF($R239="","",TRIM(INDEX('입력_구리근무자명단'!$A237:$ZZ237,1,$E$2+5)&amp;""))</f>
        <v/>
      </c>
      <c r="W239">
        <f>IF(ISNUMBER(SEARCH("구리독자",$V239)),"구리독자","")</f>
        <v/>
      </c>
      <c r="X239">
        <f>IF($R239="","",$R239&amp;"|"&amp;IF(OR($Q239="인턴",ISNUMBER(SEARCH("수련교육부",$P239))),"인턴",$P239))</f>
        <v/>
      </c>
      <c r="Y239">
        <f>IF($R239="","",IF(COUNTIF(명단표[이름|과],$X239)=1,"명단 일치",IF(AND(COUNTIF(명단표[이름|과],$X239)=0,COUNTIF(명단표[이름],$R239)=1),"명단 일치(이름만, 과 다름)",IF(COUNTIF(명단표[이름],$R239)=0,IF(COUNTIF(기본자료표[이름],$R239)&gt;0,"명단에 없음(기본자료에는 있음)","명단에 없음"),"동명이인 확인"))))</f>
        <v/>
      </c>
      <c r="Z239">
        <f>IF($R239="","",IF($S239&lt;0,"⚠"&amp;INDEX('입력_구리근무자명단'!$A237:$ZZ237,1,$E$2+2),TEXT($S239,"yyyy-mm-dd")))</f>
        <v/>
      </c>
      <c r="AA239">
        <f>IF($R239="","",IF($T239&lt;0,"⚠"&amp;INDEX('입력_구리근무자명단'!$A237:$ZZ237,1,$E$2+3),TEXT($T239,"yyyy-mm-dd")))</f>
        <v/>
      </c>
      <c r="AB239">
        <f>AB238+IF($R239="",0,1)</f>
        <v/>
      </c>
      <c r="AC239">
        <f>IF($R239="","",$AB239)</f>
        <v/>
      </c>
    </row>
    <row r="240">
      <c r="A240">
        <f>IFERROR(INDEX($O$6:$O$1505,MATCH(235,$AC$6:$AC$1505,0)),"")</f>
        <v/>
      </c>
      <c r="B240">
        <f>IF(ISNUMBER($A240),INDEX($P$6:$P$1505,$A240-3),"")</f>
        <v/>
      </c>
      <c r="C240">
        <f>IF(ISNUMBER($A240),INDEX($Q$6:$Q$1505,$A240-3),"")</f>
        <v/>
      </c>
      <c r="D240">
        <f>IF(ISNUMBER($A240),INDEX($R$6:$R$1505,$A240-3),"")</f>
        <v/>
      </c>
      <c r="E240">
        <f>IF(ISNUMBER($A240),$G$2,"")</f>
        <v/>
      </c>
      <c r="F240">
        <f>IF(ISNUMBER($A240),INDEX($Z$6:$Z$1505,$A240-3),"")</f>
        <v/>
      </c>
      <c r="G240">
        <f>IF(ISNUMBER($A240),INDEX($AA$6:$AA$1505,$A240-3),"")</f>
        <v/>
      </c>
      <c r="H240">
        <f>IF(ISNUMBER($A240),INDEX($U$6:$U$1505,$A240-3),"")</f>
        <v/>
      </c>
      <c r="I240">
        <f>IF(ISNUMBER($A240),INDEX($V$6:$V$1505,$A240-3),"")</f>
        <v/>
      </c>
      <c r="J240">
        <f>IF(ISNUMBER($A240),INDEX($W$6:$W$1505,$A240-3),"")</f>
        <v/>
      </c>
      <c r="K240">
        <f>IF(ISNUMBER($A240),INDEX($X$6:$X$1505,$A240-3),"")</f>
        <v/>
      </c>
      <c r="L240">
        <f>IF(ISNUMBER($A240),INDEX($Y$6:$Y$1505,$A240-3),"")</f>
        <v/>
      </c>
      <c r="O240">
        <f>238</f>
        <v/>
      </c>
      <c r="P240">
        <f>IF(TRIM('입력_구리근무자명단'!$A238&amp;"")&lt;&gt;"",TRIM('입력_구리근무자명단'!$A238&amp;""),P239)</f>
        <v/>
      </c>
      <c r="Q240">
        <f>'입력_구리근무자명단'!$B238&amp;""</f>
        <v/>
      </c>
      <c r="R240">
        <f>IF($E$2="","",TRIM(INDEX('입력_구리근무자명단'!$A238:$ZZ238,1,$E$2+IF($G$2="확정",1,0))&amp;""))</f>
        <v/>
      </c>
      <c r="S240">
        <f>IF($R240="","",IF(INDEX('입력_구리근무자명단'!$A238:$ZZ238,1,$E$2+2)&amp;""="",급여기준월,IF(ISNUMBER(INDEX('입력_구리근무자명단'!$A238:$ZZ238,1,$E$2+2)),INDEX('입력_구리근무자명단'!$A238:$ZZ238,1,$E$2+2),IFERROR(DATE(VALUE(LEFT(INDEX('입력_구리근무자명단'!$A238:$ZZ238,1,$E$2+2),4)),VALUE(MID(INDEX('입력_구리근무자명단'!$A238:$ZZ238,1,$E$2+2),6,2)),VALUE(MID(INDEX('입력_구리근무자명단'!$A238:$ZZ238,1,$E$2+2),9,2))),-1))))</f>
        <v/>
      </c>
      <c r="T240">
        <f>IF($R240="","",IF(INDEX('입력_구리근무자명단'!$A238:$ZZ238,1,$E$2+3)&amp;""="",EOMONTH(급여기준월,0),IF(ISNUMBER(INDEX('입력_구리근무자명단'!$A238:$ZZ238,1,$E$2+3)),INDEX('입력_구리근무자명단'!$A238:$ZZ238,1,$E$2+3),IFERROR(DATE(VALUE(LEFT(INDEX('입력_구리근무자명단'!$A238:$ZZ238,1,$E$2+3),4)),VALUE(MID(INDEX('입력_구리근무자명단'!$A238:$ZZ238,1,$E$2+3),6,2)),VALUE(MID(INDEX('입력_구리근무자명단'!$A238:$ZZ238,1,$E$2+3),9,2))),-1))))</f>
        <v/>
      </c>
      <c r="U240">
        <f>IF($R240="","",IF(OR($S240&lt;0,$T240&lt;0),0,MAX(0,MIN($T240,EOMONTH(급여기준월,0))-MAX($S240,급여기준월)+1)))</f>
        <v/>
      </c>
      <c r="V240">
        <f>IF($R240="","",TRIM(INDEX('입력_구리근무자명단'!$A238:$ZZ238,1,$E$2+5)&amp;""))</f>
        <v/>
      </c>
      <c r="W240">
        <f>IF(ISNUMBER(SEARCH("구리독자",$V240)),"구리독자","")</f>
        <v/>
      </c>
      <c r="X240">
        <f>IF($R240="","",$R240&amp;"|"&amp;IF(OR($Q240="인턴",ISNUMBER(SEARCH("수련교육부",$P240))),"인턴",$P240))</f>
        <v/>
      </c>
      <c r="Y240">
        <f>IF($R240="","",IF(COUNTIF(명단표[이름|과],$X240)=1,"명단 일치",IF(AND(COUNTIF(명단표[이름|과],$X240)=0,COUNTIF(명단표[이름],$R240)=1),"명단 일치(이름만, 과 다름)",IF(COUNTIF(명단표[이름],$R240)=0,IF(COUNTIF(기본자료표[이름],$R240)&gt;0,"명단에 없음(기본자료에는 있음)","명단에 없음"),"동명이인 확인"))))</f>
        <v/>
      </c>
      <c r="Z240">
        <f>IF($R240="","",IF($S240&lt;0,"⚠"&amp;INDEX('입력_구리근무자명단'!$A238:$ZZ238,1,$E$2+2),TEXT($S240,"yyyy-mm-dd")))</f>
        <v/>
      </c>
      <c r="AA240">
        <f>IF($R240="","",IF($T240&lt;0,"⚠"&amp;INDEX('입력_구리근무자명단'!$A238:$ZZ238,1,$E$2+3),TEXT($T240,"yyyy-mm-dd")))</f>
        <v/>
      </c>
      <c r="AB240">
        <f>AB239+IF($R240="",0,1)</f>
        <v/>
      </c>
      <c r="AC240">
        <f>IF($R240="","",$AB240)</f>
        <v/>
      </c>
    </row>
    <row r="241">
      <c r="A241">
        <f>IFERROR(INDEX($O$6:$O$1505,MATCH(236,$AC$6:$AC$1505,0)),"")</f>
        <v/>
      </c>
      <c r="B241">
        <f>IF(ISNUMBER($A241),INDEX($P$6:$P$1505,$A241-3),"")</f>
        <v/>
      </c>
      <c r="C241">
        <f>IF(ISNUMBER($A241),INDEX($Q$6:$Q$1505,$A241-3),"")</f>
        <v/>
      </c>
      <c r="D241">
        <f>IF(ISNUMBER($A241),INDEX($R$6:$R$1505,$A241-3),"")</f>
        <v/>
      </c>
      <c r="E241">
        <f>IF(ISNUMBER($A241),$G$2,"")</f>
        <v/>
      </c>
      <c r="F241">
        <f>IF(ISNUMBER($A241),INDEX($Z$6:$Z$1505,$A241-3),"")</f>
        <v/>
      </c>
      <c r="G241">
        <f>IF(ISNUMBER($A241),INDEX($AA$6:$AA$1505,$A241-3),"")</f>
        <v/>
      </c>
      <c r="H241">
        <f>IF(ISNUMBER($A241),INDEX($U$6:$U$1505,$A241-3),"")</f>
        <v/>
      </c>
      <c r="I241">
        <f>IF(ISNUMBER($A241),INDEX($V$6:$V$1505,$A241-3),"")</f>
        <v/>
      </c>
      <c r="J241">
        <f>IF(ISNUMBER($A241),INDEX($W$6:$W$1505,$A241-3),"")</f>
        <v/>
      </c>
      <c r="K241">
        <f>IF(ISNUMBER($A241),INDEX($X$6:$X$1505,$A241-3),"")</f>
        <v/>
      </c>
      <c r="L241">
        <f>IF(ISNUMBER($A241),INDEX($Y$6:$Y$1505,$A241-3),"")</f>
        <v/>
      </c>
      <c r="O241">
        <f>239</f>
        <v/>
      </c>
      <c r="P241">
        <f>IF(TRIM('입력_구리근무자명단'!$A239&amp;"")&lt;&gt;"",TRIM('입력_구리근무자명단'!$A239&amp;""),P240)</f>
        <v/>
      </c>
      <c r="Q241">
        <f>'입력_구리근무자명단'!$B239&amp;""</f>
        <v/>
      </c>
      <c r="R241">
        <f>IF($E$2="","",TRIM(INDEX('입력_구리근무자명단'!$A239:$ZZ239,1,$E$2+IF($G$2="확정",1,0))&amp;""))</f>
        <v/>
      </c>
      <c r="S241">
        <f>IF($R241="","",IF(INDEX('입력_구리근무자명단'!$A239:$ZZ239,1,$E$2+2)&amp;""="",급여기준월,IF(ISNUMBER(INDEX('입력_구리근무자명단'!$A239:$ZZ239,1,$E$2+2)),INDEX('입력_구리근무자명단'!$A239:$ZZ239,1,$E$2+2),IFERROR(DATE(VALUE(LEFT(INDEX('입력_구리근무자명단'!$A239:$ZZ239,1,$E$2+2),4)),VALUE(MID(INDEX('입력_구리근무자명단'!$A239:$ZZ239,1,$E$2+2),6,2)),VALUE(MID(INDEX('입력_구리근무자명단'!$A239:$ZZ239,1,$E$2+2),9,2))),-1))))</f>
        <v/>
      </c>
      <c r="T241">
        <f>IF($R241="","",IF(INDEX('입력_구리근무자명단'!$A239:$ZZ239,1,$E$2+3)&amp;""="",EOMONTH(급여기준월,0),IF(ISNUMBER(INDEX('입력_구리근무자명단'!$A239:$ZZ239,1,$E$2+3)),INDEX('입력_구리근무자명단'!$A239:$ZZ239,1,$E$2+3),IFERROR(DATE(VALUE(LEFT(INDEX('입력_구리근무자명단'!$A239:$ZZ239,1,$E$2+3),4)),VALUE(MID(INDEX('입력_구리근무자명단'!$A239:$ZZ239,1,$E$2+3),6,2)),VALUE(MID(INDEX('입력_구리근무자명단'!$A239:$ZZ239,1,$E$2+3),9,2))),-1))))</f>
        <v/>
      </c>
      <c r="U241">
        <f>IF($R241="","",IF(OR($S241&lt;0,$T241&lt;0),0,MAX(0,MIN($T241,EOMONTH(급여기준월,0))-MAX($S241,급여기준월)+1)))</f>
        <v/>
      </c>
      <c r="V241">
        <f>IF($R241="","",TRIM(INDEX('입력_구리근무자명단'!$A239:$ZZ239,1,$E$2+5)&amp;""))</f>
        <v/>
      </c>
      <c r="W241">
        <f>IF(ISNUMBER(SEARCH("구리독자",$V241)),"구리독자","")</f>
        <v/>
      </c>
      <c r="X241">
        <f>IF($R241="","",$R241&amp;"|"&amp;IF(OR($Q241="인턴",ISNUMBER(SEARCH("수련교육부",$P241))),"인턴",$P241))</f>
        <v/>
      </c>
      <c r="Y241">
        <f>IF($R241="","",IF(COUNTIF(명단표[이름|과],$X241)=1,"명단 일치",IF(AND(COUNTIF(명단표[이름|과],$X241)=0,COUNTIF(명단표[이름],$R241)=1),"명단 일치(이름만, 과 다름)",IF(COUNTIF(명단표[이름],$R241)=0,IF(COUNTIF(기본자료표[이름],$R241)&gt;0,"명단에 없음(기본자료에는 있음)","명단에 없음"),"동명이인 확인"))))</f>
        <v/>
      </c>
      <c r="Z241">
        <f>IF($R241="","",IF($S241&lt;0,"⚠"&amp;INDEX('입력_구리근무자명단'!$A239:$ZZ239,1,$E$2+2),TEXT($S241,"yyyy-mm-dd")))</f>
        <v/>
      </c>
      <c r="AA241">
        <f>IF($R241="","",IF($T241&lt;0,"⚠"&amp;INDEX('입력_구리근무자명단'!$A239:$ZZ239,1,$E$2+3),TEXT($T241,"yyyy-mm-dd")))</f>
        <v/>
      </c>
      <c r="AB241">
        <f>AB240+IF($R241="",0,1)</f>
        <v/>
      </c>
      <c r="AC241">
        <f>IF($R241="","",$AB241)</f>
        <v/>
      </c>
    </row>
    <row r="242">
      <c r="A242">
        <f>IFERROR(INDEX($O$6:$O$1505,MATCH(237,$AC$6:$AC$1505,0)),"")</f>
        <v/>
      </c>
      <c r="B242">
        <f>IF(ISNUMBER($A242),INDEX($P$6:$P$1505,$A242-3),"")</f>
        <v/>
      </c>
      <c r="C242">
        <f>IF(ISNUMBER($A242),INDEX($Q$6:$Q$1505,$A242-3),"")</f>
        <v/>
      </c>
      <c r="D242">
        <f>IF(ISNUMBER($A242),INDEX($R$6:$R$1505,$A242-3),"")</f>
        <v/>
      </c>
      <c r="E242">
        <f>IF(ISNUMBER($A242),$G$2,"")</f>
        <v/>
      </c>
      <c r="F242">
        <f>IF(ISNUMBER($A242),INDEX($Z$6:$Z$1505,$A242-3),"")</f>
        <v/>
      </c>
      <c r="G242">
        <f>IF(ISNUMBER($A242),INDEX($AA$6:$AA$1505,$A242-3),"")</f>
        <v/>
      </c>
      <c r="H242">
        <f>IF(ISNUMBER($A242),INDEX($U$6:$U$1505,$A242-3),"")</f>
        <v/>
      </c>
      <c r="I242">
        <f>IF(ISNUMBER($A242),INDEX($V$6:$V$1505,$A242-3),"")</f>
        <v/>
      </c>
      <c r="J242">
        <f>IF(ISNUMBER($A242),INDEX($W$6:$W$1505,$A242-3),"")</f>
        <v/>
      </c>
      <c r="K242">
        <f>IF(ISNUMBER($A242),INDEX($X$6:$X$1505,$A242-3),"")</f>
        <v/>
      </c>
      <c r="L242">
        <f>IF(ISNUMBER($A242),INDEX($Y$6:$Y$1505,$A242-3),"")</f>
        <v/>
      </c>
      <c r="O242">
        <f>240</f>
        <v/>
      </c>
      <c r="P242">
        <f>IF(TRIM('입력_구리근무자명단'!$A240&amp;"")&lt;&gt;"",TRIM('입력_구리근무자명단'!$A240&amp;""),P241)</f>
        <v/>
      </c>
      <c r="Q242">
        <f>'입력_구리근무자명단'!$B240&amp;""</f>
        <v/>
      </c>
      <c r="R242">
        <f>IF($E$2="","",TRIM(INDEX('입력_구리근무자명단'!$A240:$ZZ240,1,$E$2+IF($G$2="확정",1,0))&amp;""))</f>
        <v/>
      </c>
      <c r="S242">
        <f>IF($R242="","",IF(INDEX('입력_구리근무자명단'!$A240:$ZZ240,1,$E$2+2)&amp;""="",급여기준월,IF(ISNUMBER(INDEX('입력_구리근무자명단'!$A240:$ZZ240,1,$E$2+2)),INDEX('입력_구리근무자명단'!$A240:$ZZ240,1,$E$2+2),IFERROR(DATE(VALUE(LEFT(INDEX('입력_구리근무자명단'!$A240:$ZZ240,1,$E$2+2),4)),VALUE(MID(INDEX('입력_구리근무자명단'!$A240:$ZZ240,1,$E$2+2),6,2)),VALUE(MID(INDEX('입력_구리근무자명단'!$A240:$ZZ240,1,$E$2+2),9,2))),-1))))</f>
        <v/>
      </c>
      <c r="T242">
        <f>IF($R242="","",IF(INDEX('입력_구리근무자명단'!$A240:$ZZ240,1,$E$2+3)&amp;""="",EOMONTH(급여기준월,0),IF(ISNUMBER(INDEX('입력_구리근무자명단'!$A240:$ZZ240,1,$E$2+3)),INDEX('입력_구리근무자명단'!$A240:$ZZ240,1,$E$2+3),IFERROR(DATE(VALUE(LEFT(INDEX('입력_구리근무자명단'!$A240:$ZZ240,1,$E$2+3),4)),VALUE(MID(INDEX('입력_구리근무자명단'!$A240:$ZZ240,1,$E$2+3),6,2)),VALUE(MID(INDEX('입력_구리근무자명단'!$A240:$ZZ240,1,$E$2+3),9,2))),-1))))</f>
        <v/>
      </c>
      <c r="U242">
        <f>IF($R242="","",IF(OR($S242&lt;0,$T242&lt;0),0,MAX(0,MIN($T242,EOMONTH(급여기준월,0))-MAX($S242,급여기준월)+1)))</f>
        <v/>
      </c>
      <c r="V242">
        <f>IF($R242="","",TRIM(INDEX('입력_구리근무자명단'!$A240:$ZZ240,1,$E$2+5)&amp;""))</f>
        <v/>
      </c>
      <c r="W242">
        <f>IF(ISNUMBER(SEARCH("구리독자",$V242)),"구리독자","")</f>
        <v/>
      </c>
      <c r="X242">
        <f>IF($R242="","",$R242&amp;"|"&amp;IF(OR($Q242="인턴",ISNUMBER(SEARCH("수련교육부",$P242))),"인턴",$P242))</f>
        <v/>
      </c>
      <c r="Y242">
        <f>IF($R242="","",IF(COUNTIF(명단표[이름|과],$X242)=1,"명단 일치",IF(AND(COUNTIF(명단표[이름|과],$X242)=0,COUNTIF(명단표[이름],$R242)=1),"명단 일치(이름만, 과 다름)",IF(COUNTIF(명단표[이름],$R242)=0,IF(COUNTIF(기본자료표[이름],$R242)&gt;0,"명단에 없음(기본자료에는 있음)","명단에 없음"),"동명이인 확인"))))</f>
        <v/>
      </c>
      <c r="Z242">
        <f>IF($R242="","",IF($S242&lt;0,"⚠"&amp;INDEX('입력_구리근무자명단'!$A240:$ZZ240,1,$E$2+2),TEXT($S242,"yyyy-mm-dd")))</f>
        <v/>
      </c>
      <c r="AA242">
        <f>IF($R242="","",IF($T242&lt;0,"⚠"&amp;INDEX('입력_구리근무자명단'!$A240:$ZZ240,1,$E$2+3),TEXT($T242,"yyyy-mm-dd")))</f>
        <v/>
      </c>
      <c r="AB242">
        <f>AB241+IF($R242="",0,1)</f>
        <v/>
      </c>
      <c r="AC242">
        <f>IF($R242="","",$AB242)</f>
        <v/>
      </c>
    </row>
    <row r="243">
      <c r="A243">
        <f>IFERROR(INDEX($O$6:$O$1505,MATCH(238,$AC$6:$AC$1505,0)),"")</f>
        <v/>
      </c>
      <c r="B243">
        <f>IF(ISNUMBER($A243),INDEX($P$6:$P$1505,$A243-3),"")</f>
        <v/>
      </c>
      <c r="C243">
        <f>IF(ISNUMBER($A243),INDEX($Q$6:$Q$1505,$A243-3),"")</f>
        <v/>
      </c>
      <c r="D243">
        <f>IF(ISNUMBER($A243),INDEX($R$6:$R$1505,$A243-3),"")</f>
        <v/>
      </c>
      <c r="E243">
        <f>IF(ISNUMBER($A243),$G$2,"")</f>
        <v/>
      </c>
      <c r="F243">
        <f>IF(ISNUMBER($A243),INDEX($Z$6:$Z$1505,$A243-3),"")</f>
        <v/>
      </c>
      <c r="G243">
        <f>IF(ISNUMBER($A243),INDEX($AA$6:$AA$1505,$A243-3),"")</f>
        <v/>
      </c>
      <c r="H243">
        <f>IF(ISNUMBER($A243),INDEX($U$6:$U$1505,$A243-3),"")</f>
        <v/>
      </c>
      <c r="I243">
        <f>IF(ISNUMBER($A243),INDEX($V$6:$V$1505,$A243-3),"")</f>
        <v/>
      </c>
      <c r="J243">
        <f>IF(ISNUMBER($A243),INDEX($W$6:$W$1505,$A243-3),"")</f>
        <v/>
      </c>
      <c r="K243">
        <f>IF(ISNUMBER($A243),INDEX($X$6:$X$1505,$A243-3),"")</f>
        <v/>
      </c>
      <c r="L243">
        <f>IF(ISNUMBER($A243),INDEX($Y$6:$Y$1505,$A243-3),"")</f>
        <v/>
      </c>
      <c r="O243">
        <f>241</f>
        <v/>
      </c>
      <c r="P243">
        <f>IF(TRIM('입력_구리근무자명단'!$A241&amp;"")&lt;&gt;"",TRIM('입력_구리근무자명단'!$A241&amp;""),P242)</f>
        <v/>
      </c>
      <c r="Q243">
        <f>'입력_구리근무자명단'!$B241&amp;""</f>
        <v/>
      </c>
      <c r="R243">
        <f>IF($E$2="","",TRIM(INDEX('입력_구리근무자명단'!$A241:$ZZ241,1,$E$2+IF($G$2="확정",1,0))&amp;""))</f>
        <v/>
      </c>
      <c r="S243">
        <f>IF($R243="","",IF(INDEX('입력_구리근무자명단'!$A241:$ZZ241,1,$E$2+2)&amp;""="",급여기준월,IF(ISNUMBER(INDEX('입력_구리근무자명단'!$A241:$ZZ241,1,$E$2+2)),INDEX('입력_구리근무자명단'!$A241:$ZZ241,1,$E$2+2),IFERROR(DATE(VALUE(LEFT(INDEX('입력_구리근무자명단'!$A241:$ZZ241,1,$E$2+2),4)),VALUE(MID(INDEX('입력_구리근무자명단'!$A241:$ZZ241,1,$E$2+2),6,2)),VALUE(MID(INDEX('입력_구리근무자명단'!$A241:$ZZ241,1,$E$2+2),9,2))),-1))))</f>
        <v/>
      </c>
      <c r="T243">
        <f>IF($R243="","",IF(INDEX('입력_구리근무자명단'!$A241:$ZZ241,1,$E$2+3)&amp;""="",EOMONTH(급여기준월,0),IF(ISNUMBER(INDEX('입력_구리근무자명단'!$A241:$ZZ241,1,$E$2+3)),INDEX('입력_구리근무자명단'!$A241:$ZZ241,1,$E$2+3),IFERROR(DATE(VALUE(LEFT(INDEX('입력_구리근무자명단'!$A241:$ZZ241,1,$E$2+3),4)),VALUE(MID(INDEX('입력_구리근무자명단'!$A241:$ZZ241,1,$E$2+3),6,2)),VALUE(MID(INDEX('입력_구리근무자명단'!$A241:$ZZ241,1,$E$2+3),9,2))),-1))))</f>
        <v/>
      </c>
      <c r="U243">
        <f>IF($R243="","",IF(OR($S243&lt;0,$T243&lt;0),0,MAX(0,MIN($T243,EOMONTH(급여기준월,0))-MAX($S243,급여기준월)+1)))</f>
        <v/>
      </c>
      <c r="V243">
        <f>IF($R243="","",TRIM(INDEX('입력_구리근무자명단'!$A241:$ZZ241,1,$E$2+5)&amp;""))</f>
        <v/>
      </c>
      <c r="W243">
        <f>IF(ISNUMBER(SEARCH("구리독자",$V243)),"구리독자","")</f>
        <v/>
      </c>
      <c r="X243">
        <f>IF($R243="","",$R243&amp;"|"&amp;IF(OR($Q243="인턴",ISNUMBER(SEARCH("수련교육부",$P243))),"인턴",$P243))</f>
        <v/>
      </c>
      <c r="Y243">
        <f>IF($R243="","",IF(COUNTIF(명단표[이름|과],$X243)=1,"명단 일치",IF(AND(COUNTIF(명단표[이름|과],$X243)=0,COUNTIF(명단표[이름],$R243)=1),"명단 일치(이름만, 과 다름)",IF(COUNTIF(명단표[이름],$R243)=0,IF(COUNTIF(기본자료표[이름],$R243)&gt;0,"명단에 없음(기본자료에는 있음)","명단에 없음"),"동명이인 확인"))))</f>
        <v/>
      </c>
      <c r="Z243">
        <f>IF($R243="","",IF($S243&lt;0,"⚠"&amp;INDEX('입력_구리근무자명단'!$A241:$ZZ241,1,$E$2+2),TEXT($S243,"yyyy-mm-dd")))</f>
        <v/>
      </c>
      <c r="AA243">
        <f>IF($R243="","",IF($T243&lt;0,"⚠"&amp;INDEX('입력_구리근무자명단'!$A241:$ZZ241,1,$E$2+3),TEXT($T243,"yyyy-mm-dd")))</f>
        <v/>
      </c>
      <c r="AB243">
        <f>AB242+IF($R243="",0,1)</f>
        <v/>
      </c>
      <c r="AC243">
        <f>IF($R243="","",$AB243)</f>
        <v/>
      </c>
    </row>
    <row r="244">
      <c r="A244">
        <f>IFERROR(INDEX($O$6:$O$1505,MATCH(239,$AC$6:$AC$1505,0)),"")</f>
        <v/>
      </c>
      <c r="B244">
        <f>IF(ISNUMBER($A244),INDEX($P$6:$P$1505,$A244-3),"")</f>
        <v/>
      </c>
      <c r="C244">
        <f>IF(ISNUMBER($A244),INDEX($Q$6:$Q$1505,$A244-3),"")</f>
        <v/>
      </c>
      <c r="D244">
        <f>IF(ISNUMBER($A244),INDEX($R$6:$R$1505,$A244-3),"")</f>
        <v/>
      </c>
      <c r="E244">
        <f>IF(ISNUMBER($A244),$G$2,"")</f>
        <v/>
      </c>
      <c r="F244">
        <f>IF(ISNUMBER($A244),INDEX($Z$6:$Z$1505,$A244-3),"")</f>
        <v/>
      </c>
      <c r="G244">
        <f>IF(ISNUMBER($A244),INDEX($AA$6:$AA$1505,$A244-3),"")</f>
        <v/>
      </c>
      <c r="H244">
        <f>IF(ISNUMBER($A244),INDEX($U$6:$U$1505,$A244-3),"")</f>
        <v/>
      </c>
      <c r="I244">
        <f>IF(ISNUMBER($A244),INDEX($V$6:$V$1505,$A244-3),"")</f>
        <v/>
      </c>
      <c r="J244">
        <f>IF(ISNUMBER($A244),INDEX($W$6:$W$1505,$A244-3),"")</f>
        <v/>
      </c>
      <c r="K244">
        <f>IF(ISNUMBER($A244),INDEX($X$6:$X$1505,$A244-3),"")</f>
        <v/>
      </c>
      <c r="L244">
        <f>IF(ISNUMBER($A244),INDEX($Y$6:$Y$1505,$A244-3),"")</f>
        <v/>
      </c>
      <c r="O244">
        <f>242</f>
        <v/>
      </c>
      <c r="P244">
        <f>IF(TRIM('입력_구리근무자명단'!$A242&amp;"")&lt;&gt;"",TRIM('입력_구리근무자명단'!$A242&amp;""),P243)</f>
        <v/>
      </c>
      <c r="Q244">
        <f>'입력_구리근무자명단'!$B242&amp;""</f>
        <v/>
      </c>
      <c r="R244">
        <f>IF($E$2="","",TRIM(INDEX('입력_구리근무자명단'!$A242:$ZZ242,1,$E$2+IF($G$2="확정",1,0))&amp;""))</f>
        <v/>
      </c>
      <c r="S244">
        <f>IF($R244="","",IF(INDEX('입력_구리근무자명단'!$A242:$ZZ242,1,$E$2+2)&amp;""="",급여기준월,IF(ISNUMBER(INDEX('입력_구리근무자명단'!$A242:$ZZ242,1,$E$2+2)),INDEX('입력_구리근무자명단'!$A242:$ZZ242,1,$E$2+2),IFERROR(DATE(VALUE(LEFT(INDEX('입력_구리근무자명단'!$A242:$ZZ242,1,$E$2+2),4)),VALUE(MID(INDEX('입력_구리근무자명단'!$A242:$ZZ242,1,$E$2+2),6,2)),VALUE(MID(INDEX('입력_구리근무자명단'!$A242:$ZZ242,1,$E$2+2),9,2))),-1))))</f>
        <v/>
      </c>
      <c r="T244">
        <f>IF($R244="","",IF(INDEX('입력_구리근무자명단'!$A242:$ZZ242,1,$E$2+3)&amp;""="",EOMONTH(급여기준월,0),IF(ISNUMBER(INDEX('입력_구리근무자명단'!$A242:$ZZ242,1,$E$2+3)),INDEX('입력_구리근무자명단'!$A242:$ZZ242,1,$E$2+3),IFERROR(DATE(VALUE(LEFT(INDEX('입력_구리근무자명단'!$A242:$ZZ242,1,$E$2+3),4)),VALUE(MID(INDEX('입력_구리근무자명단'!$A242:$ZZ242,1,$E$2+3),6,2)),VALUE(MID(INDEX('입력_구리근무자명단'!$A242:$ZZ242,1,$E$2+3),9,2))),-1))))</f>
        <v/>
      </c>
      <c r="U244">
        <f>IF($R244="","",IF(OR($S244&lt;0,$T244&lt;0),0,MAX(0,MIN($T244,EOMONTH(급여기준월,0))-MAX($S244,급여기준월)+1)))</f>
        <v/>
      </c>
      <c r="V244">
        <f>IF($R244="","",TRIM(INDEX('입력_구리근무자명단'!$A242:$ZZ242,1,$E$2+5)&amp;""))</f>
        <v/>
      </c>
      <c r="W244">
        <f>IF(ISNUMBER(SEARCH("구리독자",$V244)),"구리독자","")</f>
        <v/>
      </c>
      <c r="X244">
        <f>IF($R244="","",$R244&amp;"|"&amp;IF(OR($Q244="인턴",ISNUMBER(SEARCH("수련교육부",$P244))),"인턴",$P244))</f>
        <v/>
      </c>
      <c r="Y244">
        <f>IF($R244="","",IF(COUNTIF(명단표[이름|과],$X244)=1,"명단 일치",IF(AND(COUNTIF(명단표[이름|과],$X244)=0,COUNTIF(명단표[이름],$R244)=1),"명단 일치(이름만, 과 다름)",IF(COUNTIF(명단표[이름],$R244)=0,IF(COUNTIF(기본자료표[이름],$R244)&gt;0,"명단에 없음(기본자료에는 있음)","명단에 없음"),"동명이인 확인"))))</f>
        <v/>
      </c>
      <c r="Z244">
        <f>IF($R244="","",IF($S244&lt;0,"⚠"&amp;INDEX('입력_구리근무자명단'!$A242:$ZZ242,1,$E$2+2),TEXT($S244,"yyyy-mm-dd")))</f>
        <v/>
      </c>
      <c r="AA244">
        <f>IF($R244="","",IF($T244&lt;0,"⚠"&amp;INDEX('입력_구리근무자명단'!$A242:$ZZ242,1,$E$2+3),TEXT($T244,"yyyy-mm-dd")))</f>
        <v/>
      </c>
      <c r="AB244">
        <f>AB243+IF($R244="",0,1)</f>
        <v/>
      </c>
      <c r="AC244">
        <f>IF($R244="","",$AB244)</f>
        <v/>
      </c>
    </row>
    <row r="245">
      <c r="A245">
        <f>IFERROR(INDEX($O$6:$O$1505,MATCH(240,$AC$6:$AC$1505,0)),"")</f>
        <v/>
      </c>
      <c r="B245">
        <f>IF(ISNUMBER($A245),INDEX($P$6:$P$1505,$A245-3),"")</f>
        <v/>
      </c>
      <c r="C245">
        <f>IF(ISNUMBER($A245),INDEX($Q$6:$Q$1505,$A245-3),"")</f>
        <v/>
      </c>
      <c r="D245">
        <f>IF(ISNUMBER($A245),INDEX($R$6:$R$1505,$A245-3),"")</f>
        <v/>
      </c>
      <c r="E245">
        <f>IF(ISNUMBER($A245),$G$2,"")</f>
        <v/>
      </c>
      <c r="F245">
        <f>IF(ISNUMBER($A245),INDEX($Z$6:$Z$1505,$A245-3),"")</f>
        <v/>
      </c>
      <c r="G245">
        <f>IF(ISNUMBER($A245),INDEX($AA$6:$AA$1505,$A245-3),"")</f>
        <v/>
      </c>
      <c r="H245">
        <f>IF(ISNUMBER($A245),INDEX($U$6:$U$1505,$A245-3),"")</f>
        <v/>
      </c>
      <c r="I245">
        <f>IF(ISNUMBER($A245),INDEX($V$6:$V$1505,$A245-3),"")</f>
        <v/>
      </c>
      <c r="J245">
        <f>IF(ISNUMBER($A245),INDEX($W$6:$W$1505,$A245-3),"")</f>
        <v/>
      </c>
      <c r="K245">
        <f>IF(ISNUMBER($A245),INDEX($X$6:$X$1505,$A245-3),"")</f>
        <v/>
      </c>
      <c r="L245">
        <f>IF(ISNUMBER($A245),INDEX($Y$6:$Y$1505,$A245-3),"")</f>
        <v/>
      </c>
      <c r="O245">
        <f>243</f>
        <v/>
      </c>
      <c r="P245">
        <f>IF(TRIM('입력_구리근무자명단'!$A243&amp;"")&lt;&gt;"",TRIM('입력_구리근무자명단'!$A243&amp;""),P244)</f>
        <v/>
      </c>
      <c r="Q245">
        <f>'입력_구리근무자명단'!$B243&amp;""</f>
        <v/>
      </c>
      <c r="R245">
        <f>IF($E$2="","",TRIM(INDEX('입력_구리근무자명단'!$A243:$ZZ243,1,$E$2+IF($G$2="확정",1,0))&amp;""))</f>
        <v/>
      </c>
      <c r="S245">
        <f>IF($R245="","",IF(INDEX('입력_구리근무자명단'!$A243:$ZZ243,1,$E$2+2)&amp;""="",급여기준월,IF(ISNUMBER(INDEX('입력_구리근무자명단'!$A243:$ZZ243,1,$E$2+2)),INDEX('입력_구리근무자명단'!$A243:$ZZ243,1,$E$2+2),IFERROR(DATE(VALUE(LEFT(INDEX('입력_구리근무자명단'!$A243:$ZZ243,1,$E$2+2),4)),VALUE(MID(INDEX('입력_구리근무자명단'!$A243:$ZZ243,1,$E$2+2),6,2)),VALUE(MID(INDEX('입력_구리근무자명단'!$A243:$ZZ243,1,$E$2+2),9,2))),-1))))</f>
        <v/>
      </c>
      <c r="T245">
        <f>IF($R245="","",IF(INDEX('입력_구리근무자명단'!$A243:$ZZ243,1,$E$2+3)&amp;""="",EOMONTH(급여기준월,0),IF(ISNUMBER(INDEX('입력_구리근무자명단'!$A243:$ZZ243,1,$E$2+3)),INDEX('입력_구리근무자명단'!$A243:$ZZ243,1,$E$2+3),IFERROR(DATE(VALUE(LEFT(INDEX('입력_구리근무자명단'!$A243:$ZZ243,1,$E$2+3),4)),VALUE(MID(INDEX('입력_구리근무자명단'!$A243:$ZZ243,1,$E$2+3),6,2)),VALUE(MID(INDEX('입력_구리근무자명단'!$A243:$ZZ243,1,$E$2+3),9,2))),-1))))</f>
        <v/>
      </c>
      <c r="U245">
        <f>IF($R245="","",IF(OR($S245&lt;0,$T245&lt;0),0,MAX(0,MIN($T245,EOMONTH(급여기준월,0))-MAX($S245,급여기준월)+1)))</f>
        <v/>
      </c>
      <c r="V245">
        <f>IF($R245="","",TRIM(INDEX('입력_구리근무자명단'!$A243:$ZZ243,1,$E$2+5)&amp;""))</f>
        <v/>
      </c>
      <c r="W245">
        <f>IF(ISNUMBER(SEARCH("구리독자",$V245)),"구리독자","")</f>
        <v/>
      </c>
      <c r="X245">
        <f>IF($R245="","",$R245&amp;"|"&amp;IF(OR($Q245="인턴",ISNUMBER(SEARCH("수련교육부",$P245))),"인턴",$P245))</f>
        <v/>
      </c>
      <c r="Y245">
        <f>IF($R245="","",IF(COUNTIF(명단표[이름|과],$X245)=1,"명단 일치",IF(AND(COUNTIF(명단표[이름|과],$X245)=0,COUNTIF(명단표[이름],$R245)=1),"명단 일치(이름만, 과 다름)",IF(COUNTIF(명단표[이름],$R245)=0,IF(COUNTIF(기본자료표[이름],$R245)&gt;0,"명단에 없음(기본자료에는 있음)","명단에 없음"),"동명이인 확인"))))</f>
        <v/>
      </c>
      <c r="Z245">
        <f>IF($R245="","",IF($S245&lt;0,"⚠"&amp;INDEX('입력_구리근무자명단'!$A243:$ZZ243,1,$E$2+2),TEXT($S245,"yyyy-mm-dd")))</f>
        <v/>
      </c>
      <c r="AA245">
        <f>IF($R245="","",IF($T245&lt;0,"⚠"&amp;INDEX('입력_구리근무자명단'!$A243:$ZZ243,1,$E$2+3),TEXT($T245,"yyyy-mm-dd")))</f>
        <v/>
      </c>
      <c r="AB245">
        <f>AB244+IF($R245="",0,1)</f>
        <v/>
      </c>
      <c r="AC245">
        <f>IF($R245="","",$AB245)</f>
        <v/>
      </c>
    </row>
    <row r="246">
      <c r="A246">
        <f>IFERROR(INDEX($O$6:$O$1505,MATCH(241,$AC$6:$AC$1505,0)),"")</f>
        <v/>
      </c>
      <c r="B246">
        <f>IF(ISNUMBER($A246),INDEX($P$6:$P$1505,$A246-3),"")</f>
        <v/>
      </c>
      <c r="C246">
        <f>IF(ISNUMBER($A246),INDEX($Q$6:$Q$1505,$A246-3),"")</f>
        <v/>
      </c>
      <c r="D246">
        <f>IF(ISNUMBER($A246),INDEX($R$6:$R$1505,$A246-3),"")</f>
        <v/>
      </c>
      <c r="E246">
        <f>IF(ISNUMBER($A246),$G$2,"")</f>
        <v/>
      </c>
      <c r="F246">
        <f>IF(ISNUMBER($A246),INDEX($Z$6:$Z$1505,$A246-3),"")</f>
        <v/>
      </c>
      <c r="G246">
        <f>IF(ISNUMBER($A246),INDEX($AA$6:$AA$1505,$A246-3),"")</f>
        <v/>
      </c>
      <c r="H246">
        <f>IF(ISNUMBER($A246),INDEX($U$6:$U$1505,$A246-3),"")</f>
        <v/>
      </c>
      <c r="I246">
        <f>IF(ISNUMBER($A246),INDEX($V$6:$V$1505,$A246-3),"")</f>
        <v/>
      </c>
      <c r="J246">
        <f>IF(ISNUMBER($A246),INDEX($W$6:$W$1505,$A246-3),"")</f>
        <v/>
      </c>
      <c r="K246">
        <f>IF(ISNUMBER($A246),INDEX($X$6:$X$1505,$A246-3),"")</f>
        <v/>
      </c>
      <c r="L246">
        <f>IF(ISNUMBER($A246),INDEX($Y$6:$Y$1505,$A246-3),"")</f>
        <v/>
      </c>
      <c r="O246">
        <f>244</f>
        <v/>
      </c>
      <c r="P246">
        <f>IF(TRIM('입력_구리근무자명단'!$A244&amp;"")&lt;&gt;"",TRIM('입력_구리근무자명단'!$A244&amp;""),P245)</f>
        <v/>
      </c>
      <c r="Q246">
        <f>'입력_구리근무자명단'!$B244&amp;""</f>
        <v/>
      </c>
      <c r="R246">
        <f>IF($E$2="","",TRIM(INDEX('입력_구리근무자명단'!$A244:$ZZ244,1,$E$2+IF($G$2="확정",1,0))&amp;""))</f>
        <v/>
      </c>
      <c r="S246">
        <f>IF($R246="","",IF(INDEX('입력_구리근무자명단'!$A244:$ZZ244,1,$E$2+2)&amp;""="",급여기준월,IF(ISNUMBER(INDEX('입력_구리근무자명단'!$A244:$ZZ244,1,$E$2+2)),INDEX('입력_구리근무자명단'!$A244:$ZZ244,1,$E$2+2),IFERROR(DATE(VALUE(LEFT(INDEX('입력_구리근무자명단'!$A244:$ZZ244,1,$E$2+2),4)),VALUE(MID(INDEX('입력_구리근무자명단'!$A244:$ZZ244,1,$E$2+2),6,2)),VALUE(MID(INDEX('입력_구리근무자명단'!$A244:$ZZ244,1,$E$2+2),9,2))),-1))))</f>
        <v/>
      </c>
      <c r="T246">
        <f>IF($R246="","",IF(INDEX('입력_구리근무자명단'!$A244:$ZZ244,1,$E$2+3)&amp;""="",EOMONTH(급여기준월,0),IF(ISNUMBER(INDEX('입력_구리근무자명단'!$A244:$ZZ244,1,$E$2+3)),INDEX('입력_구리근무자명단'!$A244:$ZZ244,1,$E$2+3),IFERROR(DATE(VALUE(LEFT(INDEX('입력_구리근무자명단'!$A244:$ZZ244,1,$E$2+3),4)),VALUE(MID(INDEX('입력_구리근무자명단'!$A244:$ZZ244,1,$E$2+3),6,2)),VALUE(MID(INDEX('입력_구리근무자명단'!$A244:$ZZ244,1,$E$2+3),9,2))),-1))))</f>
        <v/>
      </c>
      <c r="U246">
        <f>IF($R246="","",IF(OR($S246&lt;0,$T246&lt;0),0,MAX(0,MIN($T246,EOMONTH(급여기준월,0))-MAX($S246,급여기준월)+1)))</f>
        <v/>
      </c>
      <c r="V246">
        <f>IF($R246="","",TRIM(INDEX('입력_구리근무자명단'!$A244:$ZZ244,1,$E$2+5)&amp;""))</f>
        <v/>
      </c>
      <c r="W246">
        <f>IF(ISNUMBER(SEARCH("구리독자",$V246)),"구리독자","")</f>
        <v/>
      </c>
      <c r="X246">
        <f>IF($R246="","",$R246&amp;"|"&amp;IF(OR($Q246="인턴",ISNUMBER(SEARCH("수련교육부",$P246))),"인턴",$P246))</f>
        <v/>
      </c>
      <c r="Y246">
        <f>IF($R246="","",IF(COUNTIF(명단표[이름|과],$X246)=1,"명단 일치",IF(AND(COUNTIF(명단표[이름|과],$X246)=0,COUNTIF(명단표[이름],$R246)=1),"명단 일치(이름만, 과 다름)",IF(COUNTIF(명단표[이름],$R246)=0,IF(COUNTIF(기본자료표[이름],$R246)&gt;0,"명단에 없음(기본자료에는 있음)","명단에 없음"),"동명이인 확인"))))</f>
        <v/>
      </c>
      <c r="Z246">
        <f>IF($R246="","",IF($S246&lt;0,"⚠"&amp;INDEX('입력_구리근무자명단'!$A244:$ZZ244,1,$E$2+2),TEXT($S246,"yyyy-mm-dd")))</f>
        <v/>
      </c>
      <c r="AA246">
        <f>IF($R246="","",IF($T246&lt;0,"⚠"&amp;INDEX('입력_구리근무자명단'!$A244:$ZZ244,1,$E$2+3),TEXT($T246,"yyyy-mm-dd")))</f>
        <v/>
      </c>
      <c r="AB246">
        <f>AB245+IF($R246="",0,1)</f>
        <v/>
      </c>
      <c r="AC246">
        <f>IF($R246="","",$AB246)</f>
        <v/>
      </c>
    </row>
    <row r="247">
      <c r="A247">
        <f>IFERROR(INDEX($O$6:$O$1505,MATCH(242,$AC$6:$AC$1505,0)),"")</f>
        <v/>
      </c>
      <c r="B247">
        <f>IF(ISNUMBER($A247),INDEX($P$6:$P$1505,$A247-3),"")</f>
        <v/>
      </c>
      <c r="C247">
        <f>IF(ISNUMBER($A247),INDEX($Q$6:$Q$1505,$A247-3),"")</f>
        <v/>
      </c>
      <c r="D247">
        <f>IF(ISNUMBER($A247),INDEX($R$6:$R$1505,$A247-3),"")</f>
        <v/>
      </c>
      <c r="E247">
        <f>IF(ISNUMBER($A247),$G$2,"")</f>
        <v/>
      </c>
      <c r="F247">
        <f>IF(ISNUMBER($A247),INDEX($Z$6:$Z$1505,$A247-3),"")</f>
        <v/>
      </c>
      <c r="G247">
        <f>IF(ISNUMBER($A247),INDEX($AA$6:$AA$1505,$A247-3),"")</f>
        <v/>
      </c>
      <c r="H247">
        <f>IF(ISNUMBER($A247),INDEX($U$6:$U$1505,$A247-3),"")</f>
        <v/>
      </c>
      <c r="I247">
        <f>IF(ISNUMBER($A247),INDEX($V$6:$V$1505,$A247-3),"")</f>
        <v/>
      </c>
      <c r="J247">
        <f>IF(ISNUMBER($A247),INDEX($W$6:$W$1505,$A247-3),"")</f>
        <v/>
      </c>
      <c r="K247">
        <f>IF(ISNUMBER($A247),INDEX($X$6:$X$1505,$A247-3),"")</f>
        <v/>
      </c>
      <c r="L247">
        <f>IF(ISNUMBER($A247),INDEX($Y$6:$Y$1505,$A247-3),"")</f>
        <v/>
      </c>
      <c r="O247">
        <f>245</f>
        <v/>
      </c>
      <c r="P247">
        <f>IF(TRIM('입력_구리근무자명단'!$A245&amp;"")&lt;&gt;"",TRIM('입력_구리근무자명단'!$A245&amp;""),P246)</f>
        <v/>
      </c>
      <c r="Q247">
        <f>'입력_구리근무자명단'!$B245&amp;""</f>
        <v/>
      </c>
      <c r="R247">
        <f>IF($E$2="","",TRIM(INDEX('입력_구리근무자명단'!$A245:$ZZ245,1,$E$2+IF($G$2="확정",1,0))&amp;""))</f>
        <v/>
      </c>
      <c r="S247">
        <f>IF($R247="","",IF(INDEX('입력_구리근무자명단'!$A245:$ZZ245,1,$E$2+2)&amp;""="",급여기준월,IF(ISNUMBER(INDEX('입력_구리근무자명단'!$A245:$ZZ245,1,$E$2+2)),INDEX('입력_구리근무자명단'!$A245:$ZZ245,1,$E$2+2),IFERROR(DATE(VALUE(LEFT(INDEX('입력_구리근무자명단'!$A245:$ZZ245,1,$E$2+2),4)),VALUE(MID(INDEX('입력_구리근무자명단'!$A245:$ZZ245,1,$E$2+2),6,2)),VALUE(MID(INDEX('입력_구리근무자명단'!$A245:$ZZ245,1,$E$2+2),9,2))),-1))))</f>
        <v/>
      </c>
      <c r="T247">
        <f>IF($R247="","",IF(INDEX('입력_구리근무자명단'!$A245:$ZZ245,1,$E$2+3)&amp;""="",EOMONTH(급여기준월,0),IF(ISNUMBER(INDEX('입력_구리근무자명단'!$A245:$ZZ245,1,$E$2+3)),INDEX('입력_구리근무자명단'!$A245:$ZZ245,1,$E$2+3),IFERROR(DATE(VALUE(LEFT(INDEX('입력_구리근무자명단'!$A245:$ZZ245,1,$E$2+3),4)),VALUE(MID(INDEX('입력_구리근무자명단'!$A245:$ZZ245,1,$E$2+3),6,2)),VALUE(MID(INDEX('입력_구리근무자명단'!$A245:$ZZ245,1,$E$2+3),9,2))),-1))))</f>
        <v/>
      </c>
      <c r="U247">
        <f>IF($R247="","",IF(OR($S247&lt;0,$T247&lt;0),0,MAX(0,MIN($T247,EOMONTH(급여기준월,0))-MAX($S247,급여기준월)+1)))</f>
        <v/>
      </c>
      <c r="V247">
        <f>IF($R247="","",TRIM(INDEX('입력_구리근무자명단'!$A245:$ZZ245,1,$E$2+5)&amp;""))</f>
        <v/>
      </c>
      <c r="W247">
        <f>IF(ISNUMBER(SEARCH("구리독자",$V247)),"구리독자","")</f>
        <v/>
      </c>
      <c r="X247">
        <f>IF($R247="","",$R247&amp;"|"&amp;IF(OR($Q247="인턴",ISNUMBER(SEARCH("수련교육부",$P247))),"인턴",$P247))</f>
        <v/>
      </c>
      <c r="Y247">
        <f>IF($R247="","",IF(COUNTIF(명단표[이름|과],$X247)=1,"명단 일치",IF(AND(COUNTIF(명단표[이름|과],$X247)=0,COUNTIF(명단표[이름],$R247)=1),"명단 일치(이름만, 과 다름)",IF(COUNTIF(명단표[이름],$R247)=0,IF(COUNTIF(기본자료표[이름],$R247)&gt;0,"명단에 없음(기본자료에는 있음)","명단에 없음"),"동명이인 확인"))))</f>
        <v/>
      </c>
      <c r="Z247">
        <f>IF($R247="","",IF($S247&lt;0,"⚠"&amp;INDEX('입력_구리근무자명단'!$A245:$ZZ245,1,$E$2+2),TEXT($S247,"yyyy-mm-dd")))</f>
        <v/>
      </c>
      <c r="AA247">
        <f>IF($R247="","",IF($T247&lt;0,"⚠"&amp;INDEX('입력_구리근무자명단'!$A245:$ZZ245,1,$E$2+3),TEXT($T247,"yyyy-mm-dd")))</f>
        <v/>
      </c>
      <c r="AB247">
        <f>AB246+IF($R247="",0,1)</f>
        <v/>
      </c>
      <c r="AC247">
        <f>IF($R247="","",$AB247)</f>
        <v/>
      </c>
    </row>
    <row r="248">
      <c r="A248">
        <f>IFERROR(INDEX($O$6:$O$1505,MATCH(243,$AC$6:$AC$1505,0)),"")</f>
        <v/>
      </c>
      <c r="B248">
        <f>IF(ISNUMBER($A248),INDEX($P$6:$P$1505,$A248-3),"")</f>
        <v/>
      </c>
      <c r="C248">
        <f>IF(ISNUMBER($A248),INDEX($Q$6:$Q$1505,$A248-3),"")</f>
        <v/>
      </c>
      <c r="D248">
        <f>IF(ISNUMBER($A248),INDEX($R$6:$R$1505,$A248-3),"")</f>
        <v/>
      </c>
      <c r="E248">
        <f>IF(ISNUMBER($A248),$G$2,"")</f>
        <v/>
      </c>
      <c r="F248">
        <f>IF(ISNUMBER($A248),INDEX($Z$6:$Z$1505,$A248-3),"")</f>
        <v/>
      </c>
      <c r="G248">
        <f>IF(ISNUMBER($A248),INDEX($AA$6:$AA$1505,$A248-3),"")</f>
        <v/>
      </c>
      <c r="H248">
        <f>IF(ISNUMBER($A248),INDEX($U$6:$U$1505,$A248-3),"")</f>
        <v/>
      </c>
      <c r="I248">
        <f>IF(ISNUMBER($A248),INDEX($V$6:$V$1505,$A248-3),"")</f>
        <v/>
      </c>
      <c r="J248">
        <f>IF(ISNUMBER($A248),INDEX($W$6:$W$1505,$A248-3),"")</f>
        <v/>
      </c>
      <c r="K248">
        <f>IF(ISNUMBER($A248),INDEX($X$6:$X$1505,$A248-3),"")</f>
        <v/>
      </c>
      <c r="L248">
        <f>IF(ISNUMBER($A248),INDEX($Y$6:$Y$1505,$A248-3),"")</f>
        <v/>
      </c>
      <c r="O248">
        <f>246</f>
        <v/>
      </c>
      <c r="P248">
        <f>IF(TRIM('입력_구리근무자명단'!$A246&amp;"")&lt;&gt;"",TRIM('입력_구리근무자명단'!$A246&amp;""),P247)</f>
        <v/>
      </c>
      <c r="Q248">
        <f>'입력_구리근무자명단'!$B246&amp;""</f>
        <v/>
      </c>
      <c r="R248">
        <f>IF($E$2="","",TRIM(INDEX('입력_구리근무자명단'!$A246:$ZZ246,1,$E$2+IF($G$2="확정",1,0))&amp;""))</f>
        <v/>
      </c>
      <c r="S248">
        <f>IF($R248="","",IF(INDEX('입력_구리근무자명단'!$A246:$ZZ246,1,$E$2+2)&amp;""="",급여기준월,IF(ISNUMBER(INDEX('입력_구리근무자명단'!$A246:$ZZ246,1,$E$2+2)),INDEX('입력_구리근무자명단'!$A246:$ZZ246,1,$E$2+2),IFERROR(DATE(VALUE(LEFT(INDEX('입력_구리근무자명단'!$A246:$ZZ246,1,$E$2+2),4)),VALUE(MID(INDEX('입력_구리근무자명단'!$A246:$ZZ246,1,$E$2+2),6,2)),VALUE(MID(INDEX('입력_구리근무자명단'!$A246:$ZZ246,1,$E$2+2),9,2))),-1))))</f>
        <v/>
      </c>
      <c r="T248">
        <f>IF($R248="","",IF(INDEX('입력_구리근무자명단'!$A246:$ZZ246,1,$E$2+3)&amp;""="",EOMONTH(급여기준월,0),IF(ISNUMBER(INDEX('입력_구리근무자명단'!$A246:$ZZ246,1,$E$2+3)),INDEX('입력_구리근무자명단'!$A246:$ZZ246,1,$E$2+3),IFERROR(DATE(VALUE(LEFT(INDEX('입력_구리근무자명단'!$A246:$ZZ246,1,$E$2+3),4)),VALUE(MID(INDEX('입력_구리근무자명단'!$A246:$ZZ246,1,$E$2+3),6,2)),VALUE(MID(INDEX('입력_구리근무자명단'!$A246:$ZZ246,1,$E$2+3),9,2))),-1))))</f>
        <v/>
      </c>
      <c r="U248">
        <f>IF($R248="","",IF(OR($S248&lt;0,$T248&lt;0),0,MAX(0,MIN($T248,EOMONTH(급여기준월,0))-MAX($S248,급여기준월)+1)))</f>
        <v/>
      </c>
      <c r="V248">
        <f>IF($R248="","",TRIM(INDEX('입력_구리근무자명단'!$A246:$ZZ246,1,$E$2+5)&amp;""))</f>
        <v/>
      </c>
      <c r="W248">
        <f>IF(ISNUMBER(SEARCH("구리독자",$V248)),"구리독자","")</f>
        <v/>
      </c>
      <c r="X248">
        <f>IF($R248="","",$R248&amp;"|"&amp;IF(OR($Q248="인턴",ISNUMBER(SEARCH("수련교육부",$P248))),"인턴",$P248))</f>
        <v/>
      </c>
      <c r="Y248">
        <f>IF($R248="","",IF(COUNTIF(명단표[이름|과],$X248)=1,"명단 일치",IF(AND(COUNTIF(명단표[이름|과],$X248)=0,COUNTIF(명단표[이름],$R248)=1),"명단 일치(이름만, 과 다름)",IF(COUNTIF(명단표[이름],$R248)=0,IF(COUNTIF(기본자료표[이름],$R248)&gt;0,"명단에 없음(기본자료에는 있음)","명단에 없음"),"동명이인 확인"))))</f>
        <v/>
      </c>
      <c r="Z248">
        <f>IF($R248="","",IF($S248&lt;0,"⚠"&amp;INDEX('입력_구리근무자명단'!$A246:$ZZ246,1,$E$2+2),TEXT($S248,"yyyy-mm-dd")))</f>
        <v/>
      </c>
      <c r="AA248">
        <f>IF($R248="","",IF($T248&lt;0,"⚠"&amp;INDEX('입력_구리근무자명단'!$A246:$ZZ246,1,$E$2+3),TEXT($T248,"yyyy-mm-dd")))</f>
        <v/>
      </c>
      <c r="AB248">
        <f>AB247+IF($R248="",0,1)</f>
        <v/>
      </c>
      <c r="AC248">
        <f>IF($R248="","",$AB248)</f>
        <v/>
      </c>
    </row>
    <row r="249">
      <c r="A249">
        <f>IFERROR(INDEX($O$6:$O$1505,MATCH(244,$AC$6:$AC$1505,0)),"")</f>
        <v/>
      </c>
      <c r="B249">
        <f>IF(ISNUMBER($A249),INDEX($P$6:$P$1505,$A249-3),"")</f>
        <v/>
      </c>
      <c r="C249">
        <f>IF(ISNUMBER($A249),INDEX($Q$6:$Q$1505,$A249-3),"")</f>
        <v/>
      </c>
      <c r="D249">
        <f>IF(ISNUMBER($A249),INDEX($R$6:$R$1505,$A249-3),"")</f>
        <v/>
      </c>
      <c r="E249">
        <f>IF(ISNUMBER($A249),$G$2,"")</f>
        <v/>
      </c>
      <c r="F249">
        <f>IF(ISNUMBER($A249),INDEX($Z$6:$Z$1505,$A249-3),"")</f>
        <v/>
      </c>
      <c r="G249">
        <f>IF(ISNUMBER($A249),INDEX($AA$6:$AA$1505,$A249-3),"")</f>
        <v/>
      </c>
      <c r="H249">
        <f>IF(ISNUMBER($A249),INDEX($U$6:$U$1505,$A249-3),"")</f>
        <v/>
      </c>
      <c r="I249">
        <f>IF(ISNUMBER($A249),INDEX($V$6:$V$1505,$A249-3),"")</f>
        <v/>
      </c>
      <c r="J249">
        <f>IF(ISNUMBER($A249),INDEX($W$6:$W$1505,$A249-3),"")</f>
        <v/>
      </c>
      <c r="K249">
        <f>IF(ISNUMBER($A249),INDEX($X$6:$X$1505,$A249-3),"")</f>
        <v/>
      </c>
      <c r="L249">
        <f>IF(ISNUMBER($A249),INDEX($Y$6:$Y$1505,$A249-3),"")</f>
        <v/>
      </c>
      <c r="O249">
        <f>247</f>
        <v/>
      </c>
      <c r="P249">
        <f>IF(TRIM('입력_구리근무자명단'!$A247&amp;"")&lt;&gt;"",TRIM('입력_구리근무자명단'!$A247&amp;""),P248)</f>
        <v/>
      </c>
      <c r="Q249">
        <f>'입력_구리근무자명단'!$B247&amp;""</f>
        <v/>
      </c>
      <c r="R249">
        <f>IF($E$2="","",TRIM(INDEX('입력_구리근무자명단'!$A247:$ZZ247,1,$E$2+IF($G$2="확정",1,0))&amp;""))</f>
        <v/>
      </c>
      <c r="S249">
        <f>IF($R249="","",IF(INDEX('입력_구리근무자명단'!$A247:$ZZ247,1,$E$2+2)&amp;""="",급여기준월,IF(ISNUMBER(INDEX('입력_구리근무자명단'!$A247:$ZZ247,1,$E$2+2)),INDEX('입력_구리근무자명단'!$A247:$ZZ247,1,$E$2+2),IFERROR(DATE(VALUE(LEFT(INDEX('입력_구리근무자명단'!$A247:$ZZ247,1,$E$2+2),4)),VALUE(MID(INDEX('입력_구리근무자명단'!$A247:$ZZ247,1,$E$2+2),6,2)),VALUE(MID(INDEX('입력_구리근무자명단'!$A247:$ZZ247,1,$E$2+2),9,2))),-1))))</f>
        <v/>
      </c>
      <c r="T249">
        <f>IF($R249="","",IF(INDEX('입력_구리근무자명단'!$A247:$ZZ247,1,$E$2+3)&amp;""="",EOMONTH(급여기준월,0),IF(ISNUMBER(INDEX('입력_구리근무자명단'!$A247:$ZZ247,1,$E$2+3)),INDEX('입력_구리근무자명단'!$A247:$ZZ247,1,$E$2+3),IFERROR(DATE(VALUE(LEFT(INDEX('입력_구리근무자명단'!$A247:$ZZ247,1,$E$2+3),4)),VALUE(MID(INDEX('입력_구리근무자명단'!$A247:$ZZ247,1,$E$2+3),6,2)),VALUE(MID(INDEX('입력_구리근무자명단'!$A247:$ZZ247,1,$E$2+3),9,2))),-1))))</f>
        <v/>
      </c>
      <c r="U249">
        <f>IF($R249="","",IF(OR($S249&lt;0,$T249&lt;0),0,MAX(0,MIN($T249,EOMONTH(급여기준월,0))-MAX($S249,급여기준월)+1)))</f>
        <v/>
      </c>
      <c r="V249">
        <f>IF($R249="","",TRIM(INDEX('입력_구리근무자명단'!$A247:$ZZ247,1,$E$2+5)&amp;""))</f>
        <v/>
      </c>
      <c r="W249">
        <f>IF(ISNUMBER(SEARCH("구리독자",$V249)),"구리독자","")</f>
        <v/>
      </c>
      <c r="X249">
        <f>IF($R249="","",$R249&amp;"|"&amp;IF(OR($Q249="인턴",ISNUMBER(SEARCH("수련교육부",$P249))),"인턴",$P249))</f>
        <v/>
      </c>
      <c r="Y249">
        <f>IF($R249="","",IF(COUNTIF(명단표[이름|과],$X249)=1,"명단 일치",IF(AND(COUNTIF(명단표[이름|과],$X249)=0,COUNTIF(명단표[이름],$R249)=1),"명단 일치(이름만, 과 다름)",IF(COUNTIF(명단표[이름],$R249)=0,IF(COUNTIF(기본자료표[이름],$R249)&gt;0,"명단에 없음(기본자료에는 있음)","명단에 없음"),"동명이인 확인"))))</f>
        <v/>
      </c>
      <c r="Z249">
        <f>IF($R249="","",IF($S249&lt;0,"⚠"&amp;INDEX('입력_구리근무자명단'!$A247:$ZZ247,1,$E$2+2),TEXT($S249,"yyyy-mm-dd")))</f>
        <v/>
      </c>
      <c r="AA249">
        <f>IF($R249="","",IF($T249&lt;0,"⚠"&amp;INDEX('입력_구리근무자명단'!$A247:$ZZ247,1,$E$2+3),TEXT($T249,"yyyy-mm-dd")))</f>
        <v/>
      </c>
      <c r="AB249">
        <f>AB248+IF($R249="",0,1)</f>
        <v/>
      </c>
      <c r="AC249">
        <f>IF($R249="","",$AB249)</f>
        <v/>
      </c>
    </row>
    <row r="250">
      <c r="A250">
        <f>IFERROR(INDEX($O$6:$O$1505,MATCH(245,$AC$6:$AC$1505,0)),"")</f>
        <v/>
      </c>
      <c r="B250">
        <f>IF(ISNUMBER($A250),INDEX($P$6:$P$1505,$A250-3),"")</f>
        <v/>
      </c>
      <c r="C250">
        <f>IF(ISNUMBER($A250),INDEX($Q$6:$Q$1505,$A250-3),"")</f>
        <v/>
      </c>
      <c r="D250">
        <f>IF(ISNUMBER($A250),INDEX($R$6:$R$1505,$A250-3),"")</f>
        <v/>
      </c>
      <c r="E250">
        <f>IF(ISNUMBER($A250),$G$2,"")</f>
        <v/>
      </c>
      <c r="F250">
        <f>IF(ISNUMBER($A250),INDEX($Z$6:$Z$1505,$A250-3),"")</f>
        <v/>
      </c>
      <c r="G250">
        <f>IF(ISNUMBER($A250),INDEX($AA$6:$AA$1505,$A250-3),"")</f>
        <v/>
      </c>
      <c r="H250">
        <f>IF(ISNUMBER($A250),INDEX($U$6:$U$1505,$A250-3),"")</f>
        <v/>
      </c>
      <c r="I250">
        <f>IF(ISNUMBER($A250),INDEX($V$6:$V$1505,$A250-3),"")</f>
        <v/>
      </c>
      <c r="J250">
        <f>IF(ISNUMBER($A250),INDEX($W$6:$W$1505,$A250-3),"")</f>
        <v/>
      </c>
      <c r="K250">
        <f>IF(ISNUMBER($A250),INDEX($X$6:$X$1505,$A250-3),"")</f>
        <v/>
      </c>
      <c r="L250">
        <f>IF(ISNUMBER($A250),INDEX($Y$6:$Y$1505,$A250-3),"")</f>
        <v/>
      </c>
      <c r="O250">
        <f>248</f>
        <v/>
      </c>
      <c r="P250">
        <f>IF(TRIM('입력_구리근무자명단'!$A248&amp;"")&lt;&gt;"",TRIM('입력_구리근무자명단'!$A248&amp;""),P249)</f>
        <v/>
      </c>
      <c r="Q250">
        <f>'입력_구리근무자명단'!$B248&amp;""</f>
        <v/>
      </c>
      <c r="R250">
        <f>IF($E$2="","",TRIM(INDEX('입력_구리근무자명단'!$A248:$ZZ248,1,$E$2+IF($G$2="확정",1,0))&amp;""))</f>
        <v/>
      </c>
      <c r="S250">
        <f>IF($R250="","",IF(INDEX('입력_구리근무자명단'!$A248:$ZZ248,1,$E$2+2)&amp;""="",급여기준월,IF(ISNUMBER(INDEX('입력_구리근무자명단'!$A248:$ZZ248,1,$E$2+2)),INDEX('입력_구리근무자명단'!$A248:$ZZ248,1,$E$2+2),IFERROR(DATE(VALUE(LEFT(INDEX('입력_구리근무자명단'!$A248:$ZZ248,1,$E$2+2),4)),VALUE(MID(INDEX('입력_구리근무자명단'!$A248:$ZZ248,1,$E$2+2),6,2)),VALUE(MID(INDEX('입력_구리근무자명단'!$A248:$ZZ248,1,$E$2+2),9,2))),-1))))</f>
        <v/>
      </c>
      <c r="T250">
        <f>IF($R250="","",IF(INDEX('입력_구리근무자명단'!$A248:$ZZ248,1,$E$2+3)&amp;""="",EOMONTH(급여기준월,0),IF(ISNUMBER(INDEX('입력_구리근무자명단'!$A248:$ZZ248,1,$E$2+3)),INDEX('입력_구리근무자명단'!$A248:$ZZ248,1,$E$2+3),IFERROR(DATE(VALUE(LEFT(INDEX('입력_구리근무자명단'!$A248:$ZZ248,1,$E$2+3),4)),VALUE(MID(INDEX('입력_구리근무자명단'!$A248:$ZZ248,1,$E$2+3),6,2)),VALUE(MID(INDEX('입력_구리근무자명단'!$A248:$ZZ248,1,$E$2+3),9,2))),-1))))</f>
        <v/>
      </c>
      <c r="U250">
        <f>IF($R250="","",IF(OR($S250&lt;0,$T250&lt;0),0,MAX(0,MIN($T250,EOMONTH(급여기준월,0))-MAX($S250,급여기준월)+1)))</f>
        <v/>
      </c>
      <c r="V250">
        <f>IF($R250="","",TRIM(INDEX('입력_구리근무자명단'!$A248:$ZZ248,1,$E$2+5)&amp;""))</f>
        <v/>
      </c>
      <c r="W250">
        <f>IF(ISNUMBER(SEARCH("구리독자",$V250)),"구리독자","")</f>
        <v/>
      </c>
      <c r="X250">
        <f>IF($R250="","",$R250&amp;"|"&amp;IF(OR($Q250="인턴",ISNUMBER(SEARCH("수련교육부",$P250))),"인턴",$P250))</f>
        <v/>
      </c>
      <c r="Y250">
        <f>IF($R250="","",IF(COUNTIF(명단표[이름|과],$X250)=1,"명단 일치",IF(AND(COUNTIF(명단표[이름|과],$X250)=0,COUNTIF(명단표[이름],$R250)=1),"명단 일치(이름만, 과 다름)",IF(COUNTIF(명단표[이름],$R250)=0,IF(COUNTIF(기본자료표[이름],$R250)&gt;0,"명단에 없음(기본자료에는 있음)","명단에 없음"),"동명이인 확인"))))</f>
        <v/>
      </c>
      <c r="Z250">
        <f>IF($R250="","",IF($S250&lt;0,"⚠"&amp;INDEX('입력_구리근무자명단'!$A248:$ZZ248,1,$E$2+2),TEXT($S250,"yyyy-mm-dd")))</f>
        <v/>
      </c>
      <c r="AA250">
        <f>IF($R250="","",IF($T250&lt;0,"⚠"&amp;INDEX('입력_구리근무자명단'!$A248:$ZZ248,1,$E$2+3),TEXT($T250,"yyyy-mm-dd")))</f>
        <v/>
      </c>
      <c r="AB250">
        <f>AB249+IF($R250="",0,1)</f>
        <v/>
      </c>
      <c r="AC250">
        <f>IF($R250="","",$AB250)</f>
        <v/>
      </c>
    </row>
    <row r="251">
      <c r="A251">
        <f>IFERROR(INDEX($O$6:$O$1505,MATCH(246,$AC$6:$AC$1505,0)),"")</f>
        <v/>
      </c>
      <c r="B251">
        <f>IF(ISNUMBER($A251),INDEX($P$6:$P$1505,$A251-3),"")</f>
        <v/>
      </c>
      <c r="C251">
        <f>IF(ISNUMBER($A251),INDEX($Q$6:$Q$1505,$A251-3),"")</f>
        <v/>
      </c>
      <c r="D251">
        <f>IF(ISNUMBER($A251),INDEX($R$6:$R$1505,$A251-3),"")</f>
        <v/>
      </c>
      <c r="E251">
        <f>IF(ISNUMBER($A251),$G$2,"")</f>
        <v/>
      </c>
      <c r="F251">
        <f>IF(ISNUMBER($A251),INDEX($Z$6:$Z$1505,$A251-3),"")</f>
        <v/>
      </c>
      <c r="G251">
        <f>IF(ISNUMBER($A251),INDEX($AA$6:$AA$1505,$A251-3),"")</f>
        <v/>
      </c>
      <c r="H251">
        <f>IF(ISNUMBER($A251),INDEX($U$6:$U$1505,$A251-3),"")</f>
        <v/>
      </c>
      <c r="I251">
        <f>IF(ISNUMBER($A251),INDEX($V$6:$V$1505,$A251-3),"")</f>
        <v/>
      </c>
      <c r="J251">
        <f>IF(ISNUMBER($A251),INDEX($W$6:$W$1505,$A251-3),"")</f>
        <v/>
      </c>
      <c r="K251">
        <f>IF(ISNUMBER($A251),INDEX($X$6:$X$1505,$A251-3),"")</f>
        <v/>
      </c>
      <c r="L251">
        <f>IF(ISNUMBER($A251),INDEX($Y$6:$Y$1505,$A251-3),"")</f>
        <v/>
      </c>
      <c r="O251">
        <f>249</f>
        <v/>
      </c>
      <c r="P251">
        <f>IF(TRIM('입력_구리근무자명단'!$A249&amp;"")&lt;&gt;"",TRIM('입력_구리근무자명단'!$A249&amp;""),P250)</f>
        <v/>
      </c>
      <c r="Q251">
        <f>'입력_구리근무자명단'!$B249&amp;""</f>
        <v/>
      </c>
      <c r="R251">
        <f>IF($E$2="","",TRIM(INDEX('입력_구리근무자명단'!$A249:$ZZ249,1,$E$2+IF($G$2="확정",1,0))&amp;""))</f>
        <v/>
      </c>
      <c r="S251">
        <f>IF($R251="","",IF(INDEX('입력_구리근무자명단'!$A249:$ZZ249,1,$E$2+2)&amp;""="",급여기준월,IF(ISNUMBER(INDEX('입력_구리근무자명단'!$A249:$ZZ249,1,$E$2+2)),INDEX('입력_구리근무자명단'!$A249:$ZZ249,1,$E$2+2),IFERROR(DATE(VALUE(LEFT(INDEX('입력_구리근무자명단'!$A249:$ZZ249,1,$E$2+2),4)),VALUE(MID(INDEX('입력_구리근무자명단'!$A249:$ZZ249,1,$E$2+2),6,2)),VALUE(MID(INDEX('입력_구리근무자명단'!$A249:$ZZ249,1,$E$2+2),9,2))),-1))))</f>
        <v/>
      </c>
      <c r="T251">
        <f>IF($R251="","",IF(INDEX('입력_구리근무자명단'!$A249:$ZZ249,1,$E$2+3)&amp;""="",EOMONTH(급여기준월,0),IF(ISNUMBER(INDEX('입력_구리근무자명단'!$A249:$ZZ249,1,$E$2+3)),INDEX('입력_구리근무자명단'!$A249:$ZZ249,1,$E$2+3),IFERROR(DATE(VALUE(LEFT(INDEX('입력_구리근무자명단'!$A249:$ZZ249,1,$E$2+3),4)),VALUE(MID(INDEX('입력_구리근무자명단'!$A249:$ZZ249,1,$E$2+3),6,2)),VALUE(MID(INDEX('입력_구리근무자명단'!$A249:$ZZ249,1,$E$2+3),9,2))),-1))))</f>
        <v/>
      </c>
      <c r="U251">
        <f>IF($R251="","",IF(OR($S251&lt;0,$T251&lt;0),0,MAX(0,MIN($T251,EOMONTH(급여기준월,0))-MAX($S251,급여기준월)+1)))</f>
        <v/>
      </c>
      <c r="V251">
        <f>IF($R251="","",TRIM(INDEX('입력_구리근무자명단'!$A249:$ZZ249,1,$E$2+5)&amp;""))</f>
        <v/>
      </c>
      <c r="W251">
        <f>IF(ISNUMBER(SEARCH("구리독자",$V251)),"구리독자","")</f>
        <v/>
      </c>
      <c r="X251">
        <f>IF($R251="","",$R251&amp;"|"&amp;IF(OR($Q251="인턴",ISNUMBER(SEARCH("수련교육부",$P251))),"인턴",$P251))</f>
        <v/>
      </c>
      <c r="Y251">
        <f>IF($R251="","",IF(COUNTIF(명단표[이름|과],$X251)=1,"명단 일치",IF(AND(COUNTIF(명단표[이름|과],$X251)=0,COUNTIF(명단표[이름],$R251)=1),"명단 일치(이름만, 과 다름)",IF(COUNTIF(명단표[이름],$R251)=0,IF(COUNTIF(기본자료표[이름],$R251)&gt;0,"명단에 없음(기본자료에는 있음)","명단에 없음"),"동명이인 확인"))))</f>
        <v/>
      </c>
      <c r="Z251">
        <f>IF($R251="","",IF($S251&lt;0,"⚠"&amp;INDEX('입력_구리근무자명단'!$A249:$ZZ249,1,$E$2+2),TEXT($S251,"yyyy-mm-dd")))</f>
        <v/>
      </c>
      <c r="AA251">
        <f>IF($R251="","",IF($T251&lt;0,"⚠"&amp;INDEX('입력_구리근무자명단'!$A249:$ZZ249,1,$E$2+3),TEXT($T251,"yyyy-mm-dd")))</f>
        <v/>
      </c>
      <c r="AB251">
        <f>AB250+IF($R251="",0,1)</f>
        <v/>
      </c>
      <c r="AC251">
        <f>IF($R251="","",$AB251)</f>
        <v/>
      </c>
    </row>
    <row r="252">
      <c r="A252">
        <f>IFERROR(INDEX($O$6:$O$1505,MATCH(247,$AC$6:$AC$1505,0)),"")</f>
        <v/>
      </c>
      <c r="B252">
        <f>IF(ISNUMBER($A252),INDEX($P$6:$P$1505,$A252-3),"")</f>
        <v/>
      </c>
      <c r="C252">
        <f>IF(ISNUMBER($A252),INDEX($Q$6:$Q$1505,$A252-3),"")</f>
        <v/>
      </c>
      <c r="D252">
        <f>IF(ISNUMBER($A252),INDEX($R$6:$R$1505,$A252-3),"")</f>
        <v/>
      </c>
      <c r="E252">
        <f>IF(ISNUMBER($A252),$G$2,"")</f>
        <v/>
      </c>
      <c r="F252">
        <f>IF(ISNUMBER($A252),INDEX($Z$6:$Z$1505,$A252-3),"")</f>
        <v/>
      </c>
      <c r="G252">
        <f>IF(ISNUMBER($A252),INDEX($AA$6:$AA$1505,$A252-3),"")</f>
        <v/>
      </c>
      <c r="H252">
        <f>IF(ISNUMBER($A252),INDEX($U$6:$U$1505,$A252-3),"")</f>
        <v/>
      </c>
      <c r="I252">
        <f>IF(ISNUMBER($A252),INDEX($V$6:$V$1505,$A252-3),"")</f>
        <v/>
      </c>
      <c r="J252">
        <f>IF(ISNUMBER($A252),INDEX($W$6:$W$1505,$A252-3),"")</f>
        <v/>
      </c>
      <c r="K252">
        <f>IF(ISNUMBER($A252),INDEX($X$6:$X$1505,$A252-3),"")</f>
        <v/>
      </c>
      <c r="L252">
        <f>IF(ISNUMBER($A252),INDEX($Y$6:$Y$1505,$A252-3),"")</f>
        <v/>
      </c>
      <c r="O252">
        <f>250</f>
        <v/>
      </c>
      <c r="P252">
        <f>IF(TRIM('입력_구리근무자명단'!$A250&amp;"")&lt;&gt;"",TRIM('입력_구리근무자명단'!$A250&amp;""),P251)</f>
        <v/>
      </c>
      <c r="Q252">
        <f>'입력_구리근무자명단'!$B250&amp;""</f>
        <v/>
      </c>
      <c r="R252">
        <f>IF($E$2="","",TRIM(INDEX('입력_구리근무자명단'!$A250:$ZZ250,1,$E$2+IF($G$2="확정",1,0))&amp;""))</f>
        <v/>
      </c>
      <c r="S252">
        <f>IF($R252="","",IF(INDEX('입력_구리근무자명단'!$A250:$ZZ250,1,$E$2+2)&amp;""="",급여기준월,IF(ISNUMBER(INDEX('입력_구리근무자명단'!$A250:$ZZ250,1,$E$2+2)),INDEX('입력_구리근무자명단'!$A250:$ZZ250,1,$E$2+2),IFERROR(DATE(VALUE(LEFT(INDEX('입력_구리근무자명단'!$A250:$ZZ250,1,$E$2+2),4)),VALUE(MID(INDEX('입력_구리근무자명단'!$A250:$ZZ250,1,$E$2+2),6,2)),VALUE(MID(INDEX('입력_구리근무자명단'!$A250:$ZZ250,1,$E$2+2),9,2))),-1))))</f>
        <v/>
      </c>
      <c r="T252">
        <f>IF($R252="","",IF(INDEX('입력_구리근무자명단'!$A250:$ZZ250,1,$E$2+3)&amp;""="",EOMONTH(급여기준월,0),IF(ISNUMBER(INDEX('입력_구리근무자명단'!$A250:$ZZ250,1,$E$2+3)),INDEX('입력_구리근무자명단'!$A250:$ZZ250,1,$E$2+3),IFERROR(DATE(VALUE(LEFT(INDEX('입력_구리근무자명단'!$A250:$ZZ250,1,$E$2+3),4)),VALUE(MID(INDEX('입력_구리근무자명단'!$A250:$ZZ250,1,$E$2+3),6,2)),VALUE(MID(INDEX('입력_구리근무자명단'!$A250:$ZZ250,1,$E$2+3),9,2))),-1))))</f>
        <v/>
      </c>
      <c r="U252">
        <f>IF($R252="","",IF(OR($S252&lt;0,$T252&lt;0),0,MAX(0,MIN($T252,EOMONTH(급여기준월,0))-MAX($S252,급여기준월)+1)))</f>
        <v/>
      </c>
      <c r="V252">
        <f>IF($R252="","",TRIM(INDEX('입력_구리근무자명단'!$A250:$ZZ250,1,$E$2+5)&amp;""))</f>
        <v/>
      </c>
      <c r="W252">
        <f>IF(ISNUMBER(SEARCH("구리독자",$V252)),"구리독자","")</f>
        <v/>
      </c>
      <c r="X252">
        <f>IF($R252="","",$R252&amp;"|"&amp;IF(OR($Q252="인턴",ISNUMBER(SEARCH("수련교육부",$P252))),"인턴",$P252))</f>
        <v/>
      </c>
      <c r="Y252">
        <f>IF($R252="","",IF(COUNTIF(명단표[이름|과],$X252)=1,"명단 일치",IF(AND(COUNTIF(명단표[이름|과],$X252)=0,COUNTIF(명단표[이름],$R252)=1),"명단 일치(이름만, 과 다름)",IF(COUNTIF(명단표[이름],$R252)=0,IF(COUNTIF(기본자료표[이름],$R252)&gt;0,"명단에 없음(기본자료에는 있음)","명단에 없음"),"동명이인 확인"))))</f>
        <v/>
      </c>
      <c r="Z252">
        <f>IF($R252="","",IF($S252&lt;0,"⚠"&amp;INDEX('입력_구리근무자명단'!$A250:$ZZ250,1,$E$2+2),TEXT($S252,"yyyy-mm-dd")))</f>
        <v/>
      </c>
      <c r="AA252">
        <f>IF($R252="","",IF($T252&lt;0,"⚠"&amp;INDEX('입력_구리근무자명단'!$A250:$ZZ250,1,$E$2+3),TEXT($T252,"yyyy-mm-dd")))</f>
        <v/>
      </c>
      <c r="AB252">
        <f>AB251+IF($R252="",0,1)</f>
        <v/>
      </c>
      <c r="AC252">
        <f>IF($R252="","",$AB252)</f>
        <v/>
      </c>
    </row>
    <row r="253">
      <c r="A253">
        <f>IFERROR(INDEX($O$6:$O$1505,MATCH(248,$AC$6:$AC$1505,0)),"")</f>
        <v/>
      </c>
      <c r="B253">
        <f>IF(ISNUMBER($A253),INDEX($P$6:$P$1505,$A253-3),"")</f>
        <v/>
      </c>
      <c r="C253">
        <f>IF(ISNUMBER($A253),INDEX($Q$6:$Q$1505,$A253-3),"")</f>
        <v/>
      </c>
      <c r="D253">
        <f>IF(ISNUMBER($A253),INDEX($R$6:$R$1505,$A253-3),"")</f>
        <v/>
      </c>
      <c r="E253">
        <f>IF(ISNUMBER($A253),$G$2,"")</f>
        <v/>
      </c>
      <c r="F253">
        <f>IF(ISNUMBER($A253),INDEX($Z$6:$Z$1505,$A253-3),"")</f>
        <v/>
      </c>
      <c r="G253">
        <f>IF(ISNUMBER($A253),INDEX($AA$6:$AA$1505,$A253-3),"")</f>
        <v/>
      </c>
      <c r="H253">
        <f>IF(ISNUMBER($A253),INDEX($U$6:$U$1505,$A253-3),"")</f>
        <v/>
      </c>
      <c r="I253">
        <f>IF(ISNUMBER($A253),INDEX($V$6:$V$1505,$A253-3),"")</f>
        <v/>
      </c>
      <c r="J253">
        <f>IF(ISNUMBER($A253),INDEX($W$6:$W$1505,$A253-3),"")</f>
        <v/>
      </c>
      <c r="K253">
        <f>IF(ISNUMBER($A253),INDEX($X$6:$X$1505,$A253-3),"")</f>
        <v/>
      </c>
      <c r="L253">
        <f>IF(ISNUMBER($A253),INDEX($Y$6:$Y$1505,$A253-3),"")</f>
        <v/>
      </c>
      <c r="O253">
        <f>251</f>
        <v/>
      </c>
      <c r="P253">
        <f>IF(TRIM('입력_구리근무자명단'!$A251&amp;"")&lt;&gt;"",TRIM('입력_구리근무자명단'!$A251&amp;""),P252)</f>
        <v/>
      </c>
      <c r="Q253">
        <f>'입력_구리근무자명단'!$B251&amp;""</f>
        <v/>
      </c>
      <c r="R253">
        <f>IF($E$2="","",TRIM(INDEX('입력_구리근무자명단'!$A251:$ZZ251,1,$E$2+IF($G$2="확정",1,0))&amp;""))</f>
        <v/>
      </c>
      <c r="S253">
        <f>IF($R253="","",IF(INDEX('입력_구리근무자명단'!$A251:$ZZ251,1,$E$2+2)&amp;""="",급여기준월,IF(ISNUMBER(INDEX('입력_구리근무자명단'!$A251:$ZZ251,1,$E$2+2)),INDEX('입력_구리근무자명단'!$A251:$ZZ251,1,$E$2+2),IFERROR(DATE(VALUE(LEFT(INDEX('입력_구리근무자명단'!$A251:$ZZ251,1,$E$2+2),4)),VALUE(MID(INDEX('입력_구리근무자명단'!$A251:$ZZ251,1,$E$2+2),6,2)),VALUE(MID(INDEX('입력_구리근무자명단'!$A251:$ZZ251,1,$E$2+2),9,2))),-1))))</f>
        <v/>
      </c>
      <c r="T253">
        <f>IF($R253="","",IF(INDEX('입력_구리근무자명단'!$A251:$ZZ251,1,$E$2+3)&amp;""="",EOMONTH(급여기준월,0),IF(ISNUMBER(INDEX('입력_구리근무자명단'!$A251:$ZZ251,1,$E$2+3)),INDEX('입력_구리근무자명단'!$A251:$ZZ251,1,$E$2+3),IFERROR(DATE(VALUE(LEFT(INDEX('입력_구리근무자명단'!$A251:$ZZ251,1,$E$2+3),4)),VALUE(MID(INDEX('입력_구리근무자명단'!$A251:$ZZ251,1,$E$2+3),6,2)),VALUE(MID(INDEX('입력_구리근무자명단'!$A251:$ZZ251,1,$E$2+3),9,2))),-1))))</f>
        <v/>
      </c>
      <c r="U253">
        <f>IF($R253="","",IF(OR($S253&lt;0,$T253&lt;0),0,MAX(0,MIN($T253,EOMONTH(급여기준월,0))-MAX($S253,급여기준월)+1)))</f>
        <v/>
      </c>
      <c r="V253">
        <f>IF($R253="","",TRIM(INDEX('입력_구리근무자명단'!$A251:$ZZ251,1,$E$2+5)&amp;""))</f>
        <v/>
      </c>
      <c r="W253">
        <f>IF(ISNUMBER(SEARCH("구리독자",$V253)),"구리독자","")</f>
        <v/>
      </c>
      <c r="X253">
        <f>IF($R253="","",$R253&amp;"|"&amp;IF(OR($Q253="인턴",ISNUMBER(SEARCH("수련교육부",$P253))),"인턴",$P253))</f>
        <v/>
      </c>
      <c r="Y253">
        <f>IF($R253="","",IF(COUNTIF(명단표[이름|과],$X253)=1,"명단 일치",IF(AND(COUNTIF(명단표[이름|과],$X253)=0,COUNTIF(명단표[이름],$R253)=1),"명단 일치(이름만, 과 다름)",IF(COUNTIF(명단표[이름],$R253)=0,IF(COUNTIF(기본자료표[이름],$R253)&gt;0,"명단에 없음(기본자료에는 있음)","명단에 없음"),"동명이인 확인"))))</f>
        <v/>
      </c>
      <c r="Z253">
        <f>IF($R253="","",IF($S253&lt;0,"⚠"&amp;INDEX('입력_구리근무자명단'!$A251:$ZZ251,1,$E$2+2),TEXT($S253,"yyyy-mm-dd")))</f>
        <v/>
      </c>
      <c r="AA253">
        <f>IF($R253="","",IF($T253&lt;0,"⚠"&amp;INDEX('입력_구리근무자명단'!$A251:$ZZ251,1,$E$2+3),TEXT($T253,"yyyy-mm-dd")))</f>
        <v/>
      </c>
      <c r="AB253">
        <f>AB252+IF($R253="",0,1)</f>
        <v/>
      </c>
      <c r="AC253">
        <f>IF($R253="","",$AB253)</f>
        <v/>
      </c>
    </row>
    <row r="254">
      <c r="A254">
        <f>IFERROR(INDEX($O$6:$O$1505,MATCH(249,$AC$6:$AC$1505,0)),"")</f>
        <v/>
      </c>
      <c r="B254">
        <f>IF(ISNUMBER($A254),INDEX($P$6:$P$1505,$A254-3),"")</f>
        <v/>
      </c>
      <c r="C254">
        <f>IF(ISNUMBER($A254),INDEX($Q$6:$Q$1505,$A254-3),"")</f>
        <v/>
      </c>
      <c r="D254">
        <f>IF(ISNUMBER($A254),INDEX($R$6:$R$1505,$A254-3),"")</f>
        <v/>
      </c>
      <c r="E254">
        <f>IF(ISNUMBER($A254),$G$2,"")</f>
        <v/>
      </c>
      <c r="F254">
        <f>IF(ISNUMBER($A254),INDEX($Z$6:$Z$1505,$A254-3),"")</f>
        <v/>
      </c>
      <c r="G254">
        <f>IF(ISNUMBER($A254),INDEX($AA$6:$AA$1505,$A254-3),"")</f>
        <v/>
      </c>
      <c r="H254">
        <f>IF(ISNUMBER($A254),INDEX($U$6:$U$1505,$A254-3),"")</f>
        <v/>
      </c>
      <c r="I254">
        <f>IF(ISNUMBER($A254),INDEX($V$6:$V$1505,$A254-3),"")</f>
        <v/>
      </c>
      <c r="J254">
        <f>IF(ISNUMBER($A254),INDEX($W$6:$W$1505,$A254-3),"")</f>
        <v/>
      </c>
      <c r="K254">
        <f>IF(ISNUMBER($A254),INDEX($X$6:$X$1505,$A254-3),"")</f>
        <v/>
      </c>
      <c r="L254">
        <f>IF(ISNUMBER($A254),INDEX($Y$6:$Y$1505,$A254-3),"")</f>
        <v/>
      </c>
      <c r="O254">
        <f>252</f>
        <v/>
      </c>
      <c r="P254">
        <f>IF(TRIM('입력_구리근무자명단'!$A252&amp;"")&lt;&gt;"",TRIM('입력_구리근무자명단'!$A252&amp;""),P253)</f>
        <v/>
      </c>
      <c r="Q254">
        <f>'입력_구리근무자명단'!$B252&amp;""</f>
        <v/>
      </c>
      <c r="R254">
        <f>IF($E$2="","",TRIM(INDEX('입력_구리근무자명단'!$A252:$ZZ252,1,$E$2+IF($G$2="확정",1,0))&amp;""))</f>
        <v/>
      </c>
      <c r="S254">
        <f>IF($R254="","",IF(INDEX('입력_구리근무자명단'!$A252:$ZZ252,1,$E$2+2)&amp;""="",급여기준월,IF(ISNUMBER(INDEX('입력_구리근무자명단'!$A252:$ZZ252,1,$E$2+2)),INDEX('입력_구리근무자명단'!$A252:$ZZ252,1,$E$2+2),IFERROR(DATE(VALUE(LEFT(INDEX('입력_구리근무자명단'!$A252:$ZZ252,1,$E$2+2),4)),VALUE(MID(INDEX('입력_구리근무자명단'!$A252:$ZZ252,1,$E$2+2),6,2)),VALUE(MID(INDEX('입력_구리근무자명단'!$A252:$ZZ252,1,$E$2+2),9,2))),-1))))</f>
        <v/>
      </c>
      <c r="T254">
        <f>IF($R254="","",IF(INDEX('입력_구리근무자명단'!$A252:$ZZ252,1,$E$2+3)&amp;""="",EOMONTH(급여기준월,0),IF(ISNUMBER(INDEX('입력_구리근무자명단'!$A252:$ZZ252,1,$E$2+3)),INDEX('입력_구리근무자명단'!$A252:$ZZ252,1,$E$2+3),IFERROR(DATE(VALUE(LEFT(INDEX('입력_구리근무자명단'!$A252:$ZZ252,1,$E$2+3),4)),VALUE(MID(INDEX('입력_구리근무자명단'!$A252:$ZZ252,1,$E$2+3),6,2)),VALUE(MID(INDEX('입력_구리근무자명단'!$A252:$ZZ252,1,$E$2+3),9,2))),-1))))</f>
        <v/>
      </c>
      <c r="U254">
        <f>IF($R254="","",IF(OR($S254&lt;0,$T254&lt;0),0,MAX(0,MIN($T254,EOMONTH(급여기준월,0))-MAX($S254,급여기준월)+1)))</f>
        <v/>
      </c>
      <c r="V254">
        <f>IF($R254="","",TRIM(INDEX('입력_구리근무자명단'!$A252:$ZZ252,1,$E$2+5)&amp;""))</f>
        <v/>
      </c>
      <c r="W254">
        <f>IF(ISNUMBER(SEARCH("구리독자",$V254)),"구리독자","")</f>
        <v/>
      </c>
      <c r="X254">
        <f>IF($R254="","",$R254&amp;"|"&amp;IF(OR($Q254="인턴",ISNUMBER(SEARCH("수련교육부",$P254))),"인턴",$P254))</f>
        <v/>
      </c>
      <c r="Y254">
        <f>IF($R254="","",IF(COUNTIF(명단표[이름|과],$X254)=1,"명단 일치",IF(AND(COUNTIF(명단표[이름|과],$X254)=0,COUNTIF(명단표[이름],$R254)=1),"명단 일치(이름만, 과 다름)",IF(COUNTIF(명단표[이름],$R254)=0,IF(COUNTIF(기본자료표[이름],$R254)&gt;0,"명단에 없음(기본자료에는 있음)","명단에 없음"),"동명이인 확인"))))</f>
        <v/>
      </c>
      <c r="Z254">
        <f>IF($R254="","",IF($S254&lt;0,"⚠"&amp;INDEX('입력_구리근무자명단'!$A252:$ZZ252,1,$E$2+2),TEXT($S254,"yyyy-mm-dd")))</f>
        <v/>
      </c>
      <c r="AA254">
        <f>IF($R254="","",IF($T254&lt;0,"⚠"&amp;INDEX('입력_구리근무자명단'!$A252:$ZZ252,1,$E$2+3),TEXT($T254,"yyyy-mm-dd")))</f>
        <v/>
      </c>
      <c r="AB254">
        <f>AB253+IF($R254="",0,1)</f>
        <v/>
      </c>
      <c r="AC254">
        <f>IF($R254="","",$AB254)</f>
        <v/>
      </c>
    </row>
    <row r="255">
      <c r="A255">
        <f>IFERROR(INDEX($O$6:$O$1505,MATCH(250,$AC$6:$AC$1505,0)),"")</f>
        <v/>
      </c>
      <c r="B255">
        <f>IF(ISNUMBER($A255),INDEX($P$6:$P$1505,$A255-3),"")</f>
        <v/>
      </c>
      <c r="C255">
        <f>IF(ISNUMBER($A255),INDEX($Q$6:$Q$1505,$A255-3),"")</f>
        <v/>
      </c>
      <c r="D255">
        <f>IF(ISNUMBER($A255),INDEX($R$6:$R$1505,$A255-3),"")</f>
        <v/>
      </c>
      <c r="E255">
        <f>IF(ISNUMBER($A255),$G$2,"")</f>
        <v/>
      </c>
      <c r="F255">
        <f>IF(ISNUMBER($A255),INDEX($Z$6:$Z$1505,$A255-3),"")</f>
        <v/>
      </c>
      <c r="G255">
        <f>IF(ISNUMBER($A255),INDEX($AA$6:$AA$1505,$A255-3),"")</f>
        <v/>
      </c>
      <c r="H255">
        <f>IF(ISNUMBER($A255),INDEX($U$6:$U$1505,$A255-3),"")</f>
        <v/>
      </c>
      <c r="I255">
        <f>IF(ISNUMBER($A255),INDEX($V$6:$V$1505,$A255-3),"")</f>
        <v/>
      </c>
      <c r="J255">
        <f>IF(ISNUMBER($A255),INDEX($W$6:$W$1505,$A255-3),"")</f>
        <v/>
      </c>
      <c r="K255">
        <f>IF(ISNUMBER($A255),INDEX($X$6:$X$1505,$A255-3),"")</f>
        <v/>
      </c>
      <c r="L255">
        <f>IF(ISNUMBER($A255),INDEX($Y$6:$Y$1505,$A255-3),"")</f>
        <v/>
      </c>
      <c r="O255">
        <f>253</f>
        <v/>
      </c>
      <c r="P255">
        <f>IF(TRIM('입력_구리근무자명단'!$A253&amp;"")&lt;&gt;"",TRIM('입력_구리근무자명단'!$A253&amp;""),P254)</f>
        <v/>
      </c>
      <c r="Q255">
        <f>'입력_구리근무자명단'!$B253&amp;""</f>
        <v/>
      </c>
      <c r="R255">
        <f>IF($E$2="","",TRIM(INDEX('입력_구리근무자명단'!$A253:$ZZ253,1,$E$2+IF($G$2="확정",1,0))&amp;""))</f>
        <v/>
      </c>
      <c r="S255">
        <f>IF($R255="","",IF(INDEX('입력_구리근무자명단'!$A253:$ZZ253,1,$E$2+2)&amp;""="",급여기준월,IF(ISNUMBER(INDEX('입력_구리근무자명단'!$A253:$ZZ253,1,$E$2+2)),INDEX('입력_구리근무자명단'!$A253:$ZZ253,1,$E$2+2),IFERROR(DATE(VALUE(LEFT(INDEX('입력_구리근무자명단'!$A253:$ZZ253,1,$E$2+2),4)),VALUE(MID(INDEX('입력_구리근무자명단'!$A253:$ZZ253,1,$E$2+2),6,2)),VALUE(MID(INDEX('입력_구리근무자명단'!$A253:$ZZ253,1,$E$2+2),9,2))),-1))))</f>
        <v/>
      </c>
      <c r="T255">
        <f>IF($R255="","",IF(INDEX('입력_구리근무자명단'!$A253:$ZZ253,1,$E$2+3)&amp;""="",EOMONTH(급여기준월,0),IF(ISNUMBER(INDEX('입력_구리근무자명단'!$A253:$ZZ253,1,$E$2+3)),INDEX('입력_구리근무자명단'!$A253:$ZZ253,1,$E$2+3),IFERROR(DATE(VALUE(LEFT(INDEX('입력_구리근무자명단'!$A253:$ZZ253,1,$E$2+3),4)),VALUE(MID(INDEX('입력_구리근무자명단'!$A253:$ZZ253,1,$E$2+3),6,2)),VALUE(MID(INDEX('입력_구리근무자명단'!$A253:$ZZ253,1,$E$2+3),9,2))),-1))))</f>
        <v/>
      </c>
      <c r="U255">
        <f>IF($R255="","",IF(OR($S255&lt;0,$T255&lt;0),0,MAX(0,MIN($T255,EOMONTH(급여기준월,0))-MAX($S255,급여기준월)+1)))</f>
        <v/>
      </c>
      <c r="V255">
        <f>IF($R255="","",TRIM(INDEX('입력_구리근무자명단'!$A253:$ZZ253,1,$E$2+5)&amp;""))</f>
        <v/>
      </c>
      <c r="W255">
        <f>IF(ISNUMBER(SEARCH("구리독자",$V255)),"구리독자","")</f>
        <v/>
      </c>
      <c r="X255">
        <f>IF($R255="","",$R255&amp;"|"&amp;IF(OR($Q255="인턴",ISNUMBER(SEARCH("수련교육부",$P255))),"인턴",$P255))</f>
        <v/>
      </c>
      <c r="Y255">
        <f>IF($R255="","",IF(COUNTIF(명단표[이름|과],$X255)=1,"명단 일치",IF(AND(COUNTIF(명단표[이름|과],$X255)=0,COUNTIF(명단표[이름],$R255)=1),"명단 일치(이름만, 과 다름)",IF(COUNTIF(명단표[이름],$R255)=0,IF(COUNTIF(기본자료표[이름],$R255)&gt;0,"명단에 없음(기본자료에는 있음)","명단에 없음"),"동명이인 확인"))))</f>
        <v/>
      </c>
      <c r="Z255">
        <f>IF($R255="","",IF($S255&lt;0,"⚠"&amp;INDEX('입력_구리근무자명단'!$A253:$ZZ253,1,$E$2+2),TEXT($S255,"yyyy-mm-dd")))</f>
        <v/>
      </c>
      <c r="AA255">
        <f>IF($R255="","",IF($T255&lt;0,"⚠"&amp;INDEX('입력_구리근무자명단'!$A253:$ZZ253,1,$E$2+3),TEXT($T255,"yyyy-mm-dd")))</f>
        <v/>
      </c>
      <c r="AB255">
        <f>AB254+IF($R255="",0,1)</f>
        <v/>
      </c>
      <c r="AC255">
        <f>IF($R255="","",$AB255)</f>
        <v/>
      </c>
    </row>
    <row r="256">
      <c r="A256">
        <f>IFERROR(INDEX($O$6:$O$1505,MATCH(251,$AC$6:$AC$1505,0)),"")</f>
        <v/>
      </c>
      <c r="B256">
        <f>IF(ISNUMBER($A256),INDEX($P$6:$P$1505,$A256-3),"")</f>
        <v/>
      </c>
      <c r="C256">
        <f>IF(ISNUMBER($A256),INDEX($Q$6:$Q$1505,$A256-3),"")</f>
        <v/>
      </c>
      <c r="D256">
        <f>IF(ISNUMBER($A256),INDEX($R$6:$R$1505,$A256-3),"")</f>
        <v/>
      </c>
      <c r="E256">
        <f>IF(ISNUMBER($A256),$G$2,"")</f>
        <v/>
      </c>
      <c r="F256">
        <f>IF(ISNUMBER($A256),INDEX($Z$6:$Z$1505,$A256-3),"")</f>
        <v/>
      </c>
      <c r="G256">
        <f>IF(ISNUMBER($A256),INDEX($AA$6:$AA$1505,$A256-3),"")</f>
        <v/>
      </c>
      <c r="H256">
        <f>IF(ISNUMBER($A256),INDEX($U$6:$U$1505,$A256-3),"")</f>
        <v/>
      </c>
      <c r="I256">
        <f>IF(ISNUMBER($A256),INDEX($V$6:$V$1505,$A256-3),"")</f>
        <v/>
      </c>
      <c r="J256">
        <f>IF(ISNUMBER($A256),INDEX($W$6:$W$1505,$A256-3),"")</f>
        <v/>
      </c>
      <c r="K256">
        <f>IF(ISNUMBER($A256),INDEX($X$6:$X$1505,$A256-3),"")</f>
        <v/>
      </c>
      <c r="L256">
        <f>IF(ISNUMBER($A256),INDEX($Y$6:$Y$1505,$A256-3),"")</f>
        <v/>
      </c>
      <c r="O256">
        <f>254</f>
        <v/>
      </c>
      <c r="P256">
        <f>IF(TRIM('입력_구리근무자명단'!$A254&amp;"")&lt;&gt;"",TRIM('입력_구리근무자명단'!$A254&amp;""),P255)</f>
        <v/>
      </c>
      <c r="Q256">
        <f>'입력_구리근무자명단'!$B254&amp;""</f>
        <v/>
      </c>
      <c r="R256">
        <f>IF($E$2="","",TRIM(INDEX('입력_구리근무자명단'!$A254:$ZZ254,1,$E$2+IF($G$2="확정",1,0))&amp;""))</f>
        <v/>
      </c>
      <c r="S256">
        <f>IF($R256="","",IF(INDEX('입력_구리근무자명단'!$A254:$ZZ254,1,$E$2+2)&amp;""="",급여기준월,IF(ISNUMBER(INDEX('입력_구리근무자명단'!$A254:$ZZ254,1,$E$2+2)),INDEX('입력_구리근무자명단'!$A254:$ZZ254,1,$E$2+2),IFERROR(DATE(VALUE(LEFT(INDEX('입력_구리근무자명단'!$A254:$ZZ254,1,$E$2+2),4)),VALUE(MID(INDEX('입력_구리근무자명단'!$A254:$ZZ254,1,$E$2+2),6,2)),VALUE(MID(INDEX('입력_구리근무자명단'!$A254:$ZZ254,1,$E$2+2),9,2))),-1))))</f>
        <v/>
      </c>
      <c r="T256">
        <f>IF($R256="","",IF(INDEX('입력_구리근무자명단'!$A254:$ZZ254,1,$E$2+3)&amp;""="",EOMONTH(급여기준월,0),IF(ISNUMBER(INDEX('입력_구리근무자명단'!$A254:$ZZ254,1,$E$2+3)),INDEX('입력_구리근무자명단'!$A254:$ZZ254,1,$E$2+3),IFERROR(DATE(VALUE(LEFT(INDEX('입력_구리근무자명단'!$A254:$ZZ254,1,$E$2+3),4)),VALUE(MID(INDEX('입력_구리근무자명단'!$A254:$ZZ254,1,$E$2+3),6,2)),VALUE(MID(INDEX('입력_구리근무자명단'!$A254:$ZZ254,1,$E$2+3),9,2))),-1))))</f>
        <v/>
      </c>
      <c r="U256">
        <f>IF($R256="","",IF(OR($S256&lt;0,$T256&lt;0),0,MAX(0,MIN($T256,EOMONTH(급여기준월,0))-MAX($S256,급여기준월)+1)))</f>
        <v/>
      </c>
      <c r="V256">
        <f>IF($R256="","",TRIM(INDEX('입력_구리근무자명단'!$A254:$ZZ254,1,$E$2+5)&amp;""))</f>
        <v/>
      </c>
      <c r="W256">
        <f>IF(ISNUMBER(SEARCH("구리독자",$V256)),"구리독자","")</f>
        <v/>
      </c>
      <c r="X256">
        <f>IF($R256="","",$R256&amp;"|"&amp;IF(OR($Q256="인턴",ISNUMBER(SEARCH("수련교육부",$P256))),"인턴",$P256))</f>
        <v/>
      </c>
      <c r="Y256">
        <f>IF($R256="","",IF(COUNTIF(명단표[이름|과],$X256)=1,"명단 일치",IF(AND(COUNTIF(명단표[이름|과],$X256)=0,COUNTIF(명단표[이름],$R256)=1),"명단 일치(이름만, 과 다름)",IF(COUNTIF(명단표[이름],$R256)=0,IF(COUNTIF(기본자료표[이름],$R256)&gt;0,"명단에 없음(기본자료에는 있음)","명단에 없음"),"동명이인 확인"))))</f>
        <v/>
      </c>
      <c r="Z256">
        <f>IF($R256="","",IF($S256&lt;0,"⚠"&amp;INDEX('입력_구리근무자명단'!$A254:$ZZ254,1,$E$2+2),TEXT($S256,"yyyy-mm-dd")))</f>
        <v/>
      </c>
      <c r="AA256">
        <f>IF($R256="","",IF($T256&lt;0,"⚠"&amp;INDEX('입력_구리근무자명단'!$A254:$ZZ254,1,$E$2+3),TEXT($T256,"yyyy-mm-dd")))</f>
        <v/>
      </c>
      <c r="AB256">
        <f>AB255+IF($R256="",0,1)</f>
        <v/>
      </c>
      <c r="AC256">
        <f>IF($R256="","",$AB256)</f>
        <v/>
      </c>
    </row>
    <row r="257">
      <c r="A257">
        <f>IFERROR(INDEX($O$6:$O$1505,MATCH(252,$AC$6:$AC$1505,0)),"")</f>
        <v/>
      </c>
      <c r="B257">
        <f>IF(ISNUMBER($A257),INDEX($P$6:$P$1505,$A257-3),"")</f>
        <v/>
      </c>
      <c r="C257">
        <f>IF(ISNUMBER($A257),INDEX($Q$6:$Q$1505,$A257-3),"")</f>
        <v/>
      </c>
      <c r="D257">
        <f>IF(ISNUMBER($A257),INDEX($R$6:$R$1505,$A257-3),"")</f>
        <v/>
      </c>
      <c r="E257">
        <f>IF(ISNUMBER($A257),$G$2,"")</f>
        <v/>
      </c>
      <c r="F257">
        <f>IF(ISNUMBER($A257),INDEX($Z$6:$Z$1505,$A257-3),"")</f>
        <v/>
      </c>
      <c r="G257">
        <f>IF(ISNUMBER($A257),INDEX($AA$6:$AA$1505,$A257-3),"")</f>
        <v/>
      </c>
      <c r="H257">
        <f>IF(ISNUMBER($A257),INDEX($U$6:$U$1505,$A257-3),"")</f>
        <v/>
      </c>
      <c r="I257">
        <f>IF(ISNUMBER($A257),INDEX($V$6:$V$1505,$A257-3),"")</f>
        <v/>
      </c>
      <c r="J257">
        <f>IF(ISNUMBER($A257),INDEX($W$6:$W$1505,$A257-3),"")</f>
        <v/>
      </c>
      <c r="K257">
        <f>IF(ISNUMBER($A257),INDEX($X$6:$X$1505,$A257-3),"")</f>
        <v/>
      </c>
      <c r="L257">
        <f>IF(ISNUMBER($A257),INDEX($Y$6:$Y$1505,$A257-3),"")</f>
        <v/>
      </c>
      <c r="O257">
        <f>255</f>
        <v/>
      </c>
      <c r="P257">
        <f>IF(TRIM('입력_구리근무자명단'!$A255&amp;"")&lt;&gt;"",TRIM('입력_구리근무자명단'!$A255&amp;""),P256)</f>
        <v/>
      </c>
      <c r="Q257">
        <f>'입력_구리근무자명단'!$B255&amp;""</f>
        <v/>
      </c>
      <c r="R257">
        <f>IF($E$2="","",TRIM(INDEX('입력_구리근무자명단'!$A255:$ZZ255,1,$E$2+IF($G$2="확정",1,0))&amp;""))</f>
        <v/>
      </c>
      <c r="S257">
        <f>IF($R257="","",IF(INDEX('입력_구리근무자명단'!$A255:$ZZ255,1,$E$2+2)&amp;""="",급여기준월,IF(ISNUMBER(INDEX('입력_구리근무자명단'!$A255:$ZZ255,1,$E$2+2)),INDEX('입력_구리근무자명단'!$A255:$ZZ255,1,$E$2+2),IFERROR(DATE(VALUE(LEFT(INDEX('입력_구리근무자명단'!$A255:$ZZ255,1,$E$2+2),4)),VALUE(MID(INDEX('입력_구리근무자명단'!$A255:$ZZ255,1,$E$2+2),6,2)),VALUE(MID(INDEX('입력_구리근무자명단'!$A255:$ZZ255,1,$E$2+2),9,2))),-1))))</f>
        <v/>
      </c>
      <c r="T257">
        <f>IF($R257="","",IF(INDEX('입력_구리근무자명단'!$A255:$ZZ255,1,$E$2+3)&amp;""="",EOMONTH(급여기준월,0),IF(ISNUMBER(INDEX('입력_구리근무자명단'!$A255:$ZZ255,1,$E$2+3)),INDEX('입력_구리근무자명단'!$A255:$ZZ255,1,$E$2+3),IFERROR(DATE(VALUE(LEFT(INDEX('입력_구리근무자명단'!$A255:$ZZ255,1,$E$2+3),4)),VALUE(MID(INDEX('입력_구리근무자명단'!$A255:$ZZ255,1,$E$2+3),6,2)),VALUE(MID(INDEX('입력_구리근무자명단'!$A255:$ZZ255,1,$E$2+3),9,2))),-1))))</f>
        <v/>
      </c>
      <c r="U257">
        <f>IF($R257="","",IF(OR($S257&lt;0,$T257&lt;0),0,MAX(0,MIN($T257,EOMONTH(급여기준월,0))-MAX($S257,급여기준월)+1)))</f>
        <v/>
      </c>
      <c r="V257">
        <f>IF($R257="","",TRIM(INDEX('입력_구리근무자명단'!$A255:$ZZ255,1,$E$2+5)&amp;""))</f>
        <v/>
      </c>
      <c r="W257">
        <f>IF(ISNUMBER(SEARCH("구리독자",$V257)),"구리독자","")</f>
        <v/>
      </c>
      <c r="X257">
        <f>IF($R257="","",$R257&amp;"|"&amp;IF(OR($Q257="인턴",ISNUMBER(SEARCH("수련교육부",$P257))),"인턴",$P257))</f>
        <v/>
      </c>
      <c r="Y257">
        <f>IF($R257="","",IF(COUNTIF(명단표[이름|과],$X257)=1,"명단 일치",IF(AND(COUNTIF(명단표[이름|과],$X257)=0,COUNTIF(명단표[이름],$R257)=1),"명단 일치(이름만, 과 다름)",IF(COUNTIF(명단표[이름],$R257)=0,IF(COUNTIF(기본자료표[이름],$R257)&gt;0,"명단에 없음(기본자료에는 있음)","명단에 없음"),"동명이인 확인"))))</f>
        <v/>
      </c>
      <c r="Z257">
        <f>IF($R257="","",IF($S257&lt;0,"⚠"&amp;INDEX('입력_구리근무자명단'!$A255:$ZZ255,1,$E$2+2),TEXT($S257,"yyyy-mm-dd")))</f>
        <v/>
      </c>
      <c r="AA257">
        <f>IF($R257="","",IF($T257&lt;0,"⚠"&amp;INDEX('입력_구리근무자명단'!$A255:$ZZ255,1,$E$2+3),TEXT($T257,"yyyy-mm-dd")))</f>
        <v/>
      </c>
      <c r="AB257">
        <f>AB256+IF($R257="",0,1)</f>
        <v/>
      </c>
      <c r="AC257">
        <f>IF($R257="","",$AB257)</f>
        <v/>
      </c>
    </row>
    <row r="258">
      <c r="A258">
        <f>IFERROR(INDEX($O$6:$O$1505,MATCH(253,$AC$6:$AC$1505,0)),"")</f>
        <v/>
      </c>
      <c r="B258">
        <f>IF(ISNUMBER($A258),INDEX($P$6:$P$1505,$A258-3),"")</f>
        <v/>
      </c>
      <c r="C258">
        <f>IF(ISNUMBER($A258),INDEX($Q$6:$Q$1505,$A258-3),"")</f>
        <v/>
      </c>
      <c r="D258">
        <f>IF(ISNUMBER($A258),INDEX($R$6:$R$1505,$A258-3),"")</f>
        <v/>
      </c>
      <c r="E258">
        <f>IF(ISNUMBER($A258),$G$2,"")</f>
        <v/>
      </c>
      <c r="F258">
        <f>IF(ISNUMBER($A258),INDEX($Z$6:$Z$1505,$A258-3),"")</f>
        <v/>
      </c>
      <c r="G258">
        <f>IF(ISNUMBER($A258),INDEX($AA$6:$AA$1505,$A258-3),"")</f>
        <v/>
      </c>
      <c r="H258">
        <f>IF(ISNUMBER($A258),INDEX($U$6:$U$1505,$A258-3),"")</f>
        <v/>
      </c>
      <c r="I258">
        <f>IF(ISNUMBER($A258),INDEX($V$6:$V$1505,$A258-3),"")</f>
        <v/>
      </c>
      <c r="J258">
        <f>IF(ISNUMBER($A258),INDEX($W$6:$W$1505,$A258-3),"")</f>
        <v/>
      </c>
      <c r="K258">
        <f>IF(ISNUMBER($A258),INDEX($X$6:$X$1505,$A258-3),"")</f>
        <v/>
      </c>
      <c r="L258">
        <f>IF(ISNUMBER($A258),INDEX($Y$6:$Y$1505,$A258-3),"")</f>
        <v/>
      </c>
      <c r="O258">
        <f>256</f>
        <v/>
      </c>
      <c r="P258">
        <f>IF(TRIM('입력_구리근무자명단'!$A256&amp;"")&lt;&gt;"",TRIM('입력_구리근무자명단'!$A256&amp;""),P257)</f>
        <v/>
      </c>
      <c r="Q258">
        <f>'입력_구리근무자명단'!$B256&amp;""</f>
        <v/>
      </c>
      <c r="R258">
        <f>IF($E$2="","",TRIM(INDEX('입력_구리근무자명단'!$A256:$ZZ256,1,$E$2+IF($G$2="확정",1,0))&amp;""))</f>
        <v/>
      </c>
      <c r="S258">
        <f>IF($R258="","",IF(INDEX('입력_구리근무자명단'!$A256:$ZZ256,1,$E$2+2)&amp;""="",급여기준월,IF(ISNUMBER(INDEX('입력_구리근무자명단'!$A256:$ZZ256,1,$E$2+2)),INDEX('입력_구리근무자명단'!$A256:$ZZ256,1,$E$2+2),IFERROR(DATE(VALUE(LEFT(INDEX('입력_구리근무자명단'!$A256:$ZZ256,1,$E$2+2),4)),VALUE(MID(INDEX('입력_구리근무자명단'!$A256:$ZZ256,1,$E$2+2),6,2)),VALUE(MID(INDEX('입력_구리근무자명단'!$A256:$ZZ256,1,$E$2+2),9,2))),-1))))</f>
        <v/>
      </c>
      <c r="T258">
        <f>IF($R258="","",IF(INDEX('입력_구리근무자명단'!$A256:$ZZ256,1,$E$2+3)&amp;""="",EOMONTH(급여기준월,0),IF(ISNUMBER(INDEX('입력_구리근무자명단'!$A256:$ZZ256,1,$E$2+3)),INDEX('입력_구리근무자명단'!$A256:$ZZ256,1,$E$2+3),IFERROR(DATE(VALUE(LEFT(INDEX('입력_구리근무자명단'!$A256:$ZZ256,1,$E$2+3),4)),VALUE(MID(INDEX('입력_구리근무자명단'!$A256:$ZZ256,1,$E$2+3),6,2)),VALUE(MID(INDEX('입력_구리근무자명단'!$A256:$ZZ256,1,$E$2+3),9,2))),-1))))</f>
        <v/>
      </c>
      <c r="U258">
        <f>IF($R258="","",IF(OR($S258&lt;0,$T258&lt;0),0,MAX(0,MIN($T258,EOMONTH(급여기준월,0))-MAX($S258,급여기준월)+1)))</f>
        <v/>
      </c>
      <c r="V258">
        <f>IF($R258="","",TRIM(INDEX('입력_구리근무자명단'!$A256:$ZZ256,1,$E$2+5)&amp;""))</f>
        <v/>
      </c>
      <c r="W258">
        <f>IF(ISNUMBER(SEARCH("구리독자",$V258)),"구리독자","")</f>
        <v/>
      </c>
      <c r="X258">
        <f>IF($R258="","",$R258&amp;"|"&amp;IF(OR($Q258="인턴",ISNUMBER(SEARCH("수련교육부",$P258))),"인턴",$P258))</f>
        <v/>
      </c>
      <c r="Y258">
        <f>IF($R258="","",IF(COUNTIF(명단표[이름|과],$X258)=1,"명단 일치",IF(AND(COUNTIF(명단표[이름|과],$X258)=0,COUNTIF(명단표[이름],$R258)=1),"명단 일치(이름만, 과 다름)",IF(COUNTIF(명단표[이름],$R258)=0,IF(COUNTIF(기본자료표[이름],$R258)&gt;0,"명단에 없음(기본자료에는 있음)","명단에 없음"),"동명이인 확인"))))</f>
        <v/>
      </c>
      <c r="Z258">
        <f>IF($R258="","",IF($S258&lt;0,"⚠"&amp;INDEX('입력_구리근무자명단'!$A256:$ZZ256,1,$E$2+2),TEXT($S258,"yyyy-mm-dd")))</f>
        <v/>
      </c>
      <c r="AA258">
        <f>IF($R258="","",IF($T258&lt;0,"⚠"&amp;INDEX('입력_구리근무자명단'!$A256:$ZZ256,1,$E$2+3),TEXT($T258,"yyyy-mm-dd")))</f>
        <v/>
      </c>
      <c r="AB258">
        <f>AB257+IF($R258="",0,1)</f>
        <v/>
      </c>
      <c r="AC258">
        <f>IF($R258="","",$AB258)</f>
        <v/>
      </c>
    </row>
    <row r="259">
      <c r="A259">
        <f>IFERROR(INDEX($O$6:$O$1505,MATCH(254,$AC$6:$AC$1505,0)),"")</f>
        <v/>
      </c>
      <c r="B259">
        <f>IF(ISNUMBER($A259),INDEX($P$6:$P$1505,$A259-3),"")</f>
        <v/>
      </c>
      <c r="C259">
        <f>IF(ISNUMBER($A259),INDEX($Q$6:$Q$1505,$A259-3),"")</f>
        <v/>
      </c>
      <c r="D259">
        <f>IF(ISNUMBER($A259),INDEX($R$6:$R$1505,$A259-3),"")</f>
        <v/>
      </c>
      <c r="E259">
        <f>IF(ISNUMBER($A259),$G$2,"")</f>
        <v/>
      </c>
      <c r="F259">
        <f>IF(ISNUMBER($A259),INDEX($Z$6:$Z$1505,$A259-3),"")</f>
        <v/>
      </c>
      <c r="G259">
        <f>IF(ISNUMBER($A259),INDEX($AA$6:$AA$1505,$A259-3),"")</f>
        <v/>
      </c>
      <c r="H259">
        <f>IF(ISNUMBER($A259),INDEX($U$6:$U$1505,$A259-3),"")</f>
        <v/>
      </c>
      <c r="I259">
        <f>IF(ISNUMBER($A259),INDEX($V$6:$V$1505,$A259-3),"")</f>
        <v/>
      </c>
      <c r="J259">
        <f>IF(ISNUMBER($A259),INDEX($W$6:$W$1505,$A259-3),"")</f>
        <v/>
      </c>
      <c r="K259">
        <f>IF(ISNUMBER($A259),INDEX($X$6:$X$1505,$A259-3),"")</f>
        <v/>
      </c>
      <c r="L259">
        <f>IF(ISNUMBER($A259),INDEX($Y$6:$Y$1505,$A259-3),"")</f>
        <v/>
      </c>
      <c r="O259">
        <f>257</f>
        <v/>
      </c>
      <c r="P259">
        <f>IF(TRIM('입력_구리근무자명단'!$A257&amp;"")&lt;&gt;"",TRIM('입력_구리근무자명단'!$A257&amp;""),P258)</f>
        <v/>
      </c>
      <c r="Q259">
        <f>'입력_구리근무자명단'!$B257&amp;""</f>
        <v/>
      </c>
      <c r="R259">
        <f>IF($E$2="","",TRIM(INDEX('입력_구리근무자명단'!$A257:$ZZ257,1,$E$2+IF($G$2="확정",1,0))&amp;""))</f>
        <v/>
      </c>
      <c r="S259">
        <f>IF($R259="","",IF(INDEX('입력_구리근무자명단'!$A257:$ZZ257,1,$E$2+2)&amp;""="",급여기준월,IF(ISNUMBER(INDEX('입력_구리근무자명단'!$A257:$ZZ257,1,$E$2+2)),INDEX('입력_구리근무자명단'!$A257:$ZZ257,1,$E$2+2),IFERROR(DATE(VALUE(LEFT(INDEX('입력_구리근무자명단'!$A257:$ZZ257,1,$E$2+2),4)),VALUE(MID(INDEX('입력_구리근무자명단'!$A257:$ZZ257,1,$E$2+2),6,2)),VALUE(MID(INDEX('입력_구리근무자명단'!$A257:$ZZ257,1,$E$2+2),9,2))),-1))))</f>
        <v/>
      </c>
      <c r="T259">
        <f>IF($R259="","",IF(INDEX('입력_구리근무자명단'!$A257:$ZZ257,1,$E$2+3)&amp;""="",EOMONTH(급여기준월,0),IF(ISNUMBER(INDEX('입력_구리근무자명단'!$A257:$ZZ257,1,$E$2+3)),INDEX('입력_구리근무자명단'!$A257:$ZZ257,1,$E$2+3),IFERROR(DATE(VALUE(LEFT(INDEX('입력_구리근무자명단'!$A257:$ZZ257,1,$E$2+3),4)),VALUE(MID(INDEX('입력_구리근무자명단'!$A257:$ZZ257,1,$E$2+3),6,2)),VALUE(MID(INDEX('입력_구리근무자명단'!$A257:$ZZ257,1,$E$2+3),9,2))),-1))))</f>
        <v/>
      </c>
      <c r="U259">
        <f>IF($R259="","",IF(OR($S259&lt;0,$T259&lt;0),0,MAX(0,MIN($T259,EOMONTH(급여기준월,0))-MAX($S259,급여기준월)+1)))</f>
        <v/>
      </c>
      <c r="V259">
        <f>IF($R259="","",TRIM(INDEX('입력_구리근무자명단'!$A257:$ZZ257,1,$E$2+5)&amp;""))</f>
        <v/>
      </c>
      <c r="W259">
        <f>IF(ISNUMBER(SEARCH("구리독자",$V259)),"구리독자","")</f>
        <v/>
      </c>
      <c r="X259">
        <f>IF($R259="","",$R259&amp;"|"&amp;IF(OR($Q259="인턴",ISNUMBER(SEARCH("수련교육부",$P259))),"인턴",$P259))</f>
        <v/>
      </c>
      <c r="Y259">
        <f>IF($R259="","",IF(COUNTIF(명단표[이름|과],$X259)=1,"명단 일치",IF(AND(COUNTIF(명단표[이름|과],$X259)=0,COUNTIF(명단표[이름],$R259)=1),"명단 일치(이름만, 과 다름)",IF(COUNTIF(명단표[이름],$R259)=0,IF(COUNTIF(기본자료표[이름],$R259)&gt;0,"명단에 없음(기본자료에는 있음)","명단에 없음"),"동명이인 확인"))))</f>
        <v/>
      </c>
      <c r="Z259">
        <f>IF($R259="","",IF($S259&lt;0,"⚠"&amp;INDEX('입력_구리근무자명단'!$A257:$ZZ257,1,$E$2+2),TEXT($S259,"yyyy-mm-dd")))</f>
        <v/>
      </c>
      <c r="AA259">
        <f>IF($R259="","",IF($T259&lt;0,"⚠"&amp;INDEX('입력_구리근무자명단'!$A257:$ZZ257,1,$E$2+3),TEXT($T259,"yyyy-mm-dd")))</f>
        <v/>
      </c>
      <c r="AB259">
        <f>AB258+IF($R259="",0,1)</f>
        <v/>
      </c>
      <c r="AC259">
        <f>IF($R259="","",$AB259)</f>
        <v/>
      </c>
    </row>
    <row r="260">
      <c r="A260">
        <f>IFERROR(INDEX($O$6:$O$1505,MATCH(255,$AC$6:$AC$1505,0)),"")</f>
        <v/>
      </c>
      <c r="B260">
        <f>IF(ISNUMBER($A260),INDEX($P$6:$P$1505,$A260-3),"")</f>
        <v/>
      </c>
      <c r="C260">
        <f>IF(ISNUMBER($A260),INDEX($Q$6:$Q$1505,$A260-3),"")</f>
        <v/>
      </c>
      <c r="D260">
        <f>IF(ISNUMBER($A260),INDEX($R$6:$R$1505,$A260-3),"")</f>
        <v/>
      </c>
      <c r="E260">
        <f>IF(ISNUMBER($A260),$G$2,"")</f>
        <v/>
      </c>
      <c r="F260">
        <f>IF(ISNUMBER($A260),INDEX($Z$6:$Z$1505,$A260-3),"")</f>
        <v/>
      </c>
      <c r="G260">
        <f>IF(ISNUMBER($A260),INDEX($AA$6:$AA$1505,$A260-3),"")</f>
        <v/>
      </c>
      <c r="H260">
        <f>IF(ISNUMBER($A260),INDEX($U$6:$U$1505,$A260-3),"")</f>
        <v/>
      </c>
      <c r="I260">
        <f>IF(ISNUMBER($A260),INDEX($V$6:$V$1505,$A260-3),"")</f>
        <v/>
      </c>
      <c r="J260">
        <f>IF(ISNUMBER($A260),INDEX($W$6:$W$1505,$A260-3),"")</f>
        <v/>
      </c>
      <c r="K260">
        <f>IF(ISNUMBER($A260),INDEX($X$6:$X$1505,$A260-3),"")</f>
        <v/>
      </c>
      <c r="L260">
        <f>IF(ISNUMBER($A260),INDEX($Y$6:$Y$1505,$A260-3),"")</f>
        <v/>
      </c>
      <c r="O260">
        <f>258</f>
        <v/>
      </c>
      <c r="P260">
        <f>IF(TRIM('입력_구리근무자명단'!$A258&amp;"")&lt;&gt;"",TRIM('입력_구리근무자명단'!$A258&amp;""),P259)</f>
        <v/>
      </c>
      <c r="Q260">
        <f>'입력_구리근무자명단'!$B258&amp;""</f>
        <v/>
      </c>
      <c r="R260">
        <f>IF($E$2="","",TRIM(INDEX('입력_구리근무자명단'!$A258:$ZZ258,1,$E$2+IF($G$2="확정",1,0))&amp;""))</f>
        <v/>
      </c>
      <c r="S260">
        <f>IF($R260="","",IF(INDEX('입력_구리근무자명단'!$A258:$ZZ258,1,$E$2+2)&amp;""="",급여기준월,IF(ISNUMBER(INDEX('입력_구리근무자명단'!$A258:$ZZ258,1,$E$2+2)),INDEX('입력_구리근무자명단'!$A258:$ZZ258,1,$E$2+2),IFERROR(DATE(VALUE(LEFT(INDEX('입력_구리근무자명단'!$A258:$ZZ258,1,$E$2+2),4)),VALUE(MID(INDEX('입력_구리근무자명단'!$A258:$ZZ258,1,$E$2+2),6,2)),VALUE(MID(INDEX('입력_구리근무자명단'!$A258:$ZZ258,1,$E$2+2),9,2))),-1))))</f>
        <v/>
      </c>
      <c r="T260">
        <f>IF($R260="","",IF(INDEX('입력_구리근무자명단'!$A258:$ZZ258,1,$E$2+3)&amp;""="",EOMONTH(급여기준월,0),IF(ISNUMBER(INDEX('입력_구리근무자명단'!$A258:$ZZ258,1,$E$2+3)),INDEX('입력_구리근무자명단'!$A258:$ZZ258,1,$E$2+3),IFERROR(DATE(VALUE(LEFT(INDEX('입력_구리근무자명단'!$A258:$ZZ258,1,$E$2+3),4)),VALUE(MID(INDEX('입력_구리근무자명단'!$A258:$ZZ258,1,$E$2+3),6,2)),VALUE(MID(INDEX('입력_구리근무자명단'!$A258:$ZZ258,1,$E$2+3),9,2))),-1))))</f>
        <v/>
      </c>
      <c r="U260">
        <f>IF($R260="","",IF(OR($S260&lt;0,$T260&lt;0),0,MAX(0,MIN($T260,EOMONTH(급여기준월,0))-MAX($S260,급여기준월)+1)))</f>
        <v/>
      </c>
      <c r="V260">
        <f>IF($R260="","",TRIM(INDEX('입력_구리근무자명단'!$A258:$ZZ258,1,$E$2+5)&amp;""))</f>
        <v/>
      </c>
      <c r="W260">
        <f>IF(ISNUMBER(SEARCH("구리독자",$V260)),"구리독자","")</f>
        <v/>
      </c>
      <c r="X260">
        <f>IF($R260="","",$R260&amp;"|"&amp;IF(OR($Q260="인턴",ISNUMBER(SEARCH("수련교육부",$P260))),"인턴",$P260))</f>
        <v/>
      </c>
      <c r="Y260">
        <f>IF($R260="","",IF(COUNTIF(명단표[이름|과],$X260)=1,"명단 일치",IF(AND(COUNTIF(명단표[이름|과],$X260)=0,COUNTIF(명단표[이름],$R260)=1),"명단 일치(이름만, 과 다름)",IF(COUNTIF(명단표[이름],$R260)=0,IF(COUNTIF(기본자료표[이름],$R260)&gt;0,"명단에 없음(기본자료에는 있음)","명단에 없음"),"동명이인 확인"))))</f>
        <v/>
      </c>
      <c r="Z260">
        <f>IF($R260="","",IF($S260&lt;0,"⚠"&amp;INDEX('입력_구리근무자명단'!$A258:$ZZ258,1,$E$2+2),TEXT($S260,"yyyy-mm-dd")))</f>
        <v/>
      </c>
      <c r="AA260">
        <f>IF($R260="","",IF($T260&lt;0,"⚠"&amp;INDEX('입력_구리근무자명단'!$A258:$ZZ258,1,$E$2+3),TEXT($T260,"yyyy-mm-dd")))</f>
        <v/>
      </c>
      <c r="AB260">
        <f>AB259+IF($R260="",0,1)</f>
        <v/>
      </c>
      <c r="AC260">
        <f>IF($R260="","",$AB260)</f>
        <v/>
      </c>
    </row>
    <row r="261">
      <c r="A261">
        <f>IFERROR(INDEX($O$6:$O$1505,MATCH(256,$AC$6:$AC$1505,0)),"")</f>
        <v/>
      </c>
      <c r="B261">
        <f>IF(ISNUMBER($A261),INDEX($P$6:$P$1505,$A261-3),"")</f>
        <v/>
      </c>
      <c r="C261">
        <f>IF(ISNUMBER($A261),INDEX($Q$6:$Q$1505,$A261-3),"")</f>
        <v/>
      </c>
      <c r="D261">
        <f>IF(ISNUMBER($A261),INDEX($R$6:$R$1505,$A261-3),"")</f>
        <v/>
      </c>
      <c r="E261">
        <f>IF(ISNUMBER($A261),$G$2,"")</f>
        <v/>
      </c>
      <c r="F261">
        <f>IF(ISNUMBER($A261),INDEX($Z$6:$Z$1505,$A261-3),"")</f>
        <v/>
      </c>
      <c r="G261">
        <f>IF(ISNUMBER($A261),INDEX($AA$6:$AA$1505,$A261-3),"")</f>
        <v/>
      </c>
      <c r="H261">
        <f>IF(ISNUMBER($A261),INDEX($U$6:$U$1505,$A261-3),"")</f>
        <v/>
      </c>
      <c r="I261">
        <f>IF(ISNUMBER($A261),INDEX($V$6:$V$1505,$A261-3),"")</f>
        <v/>
      </c>
      <c r="J261">
        <f>IF(ISNUMBER($A261),INDEX($W$6:$W$1505,$A261-3),"")</f>
        <v/>
      </c>
      <c r="K261">
        <f>IF(ISNUMBER($A261),INDEX($X$6:$X$1505,$A261-3),"")</f>
        <v/>
      </c>
      <c r="L261">
        <f>IF(ISNUMBER($A261),INDEX($Y$6:$Y$1505,$A261-3),"")</f>
        <v/>
      </c>
      <c r="O261">
        <f>259</f>
        <v/>
      </c>
      <c r="P261">
        <f>IF(TRIM('입력_구리근무자명단'!$A259&amp;"")&lt;&gt;"",TRIM('입력_구리근무자명단'!$A259&amp;""),P260)</f>
        <v/>
      </c>
      <c r="Q261">
        <f>'입력_구리근무자명단'!$B259&amp;""</f>
        <v/>
      </c>
      <c r="R261">
        <f>IF($E$2="","",TRIM(INDEX('입력_구리근무자명단'!$A259:$ZZ259,1,$E$2+IF($G$2="확정",1,0))&amp;""))</f>
        <v/>
      </c>
      <c r="S261">
        <f>IF($R261="","",IF(INDEX('입력_구리근무자명단'!$A259:$ZZ259,1,$E$2+2)&amp;""="",급여기준월,IF(ISNUMBER(INDEX('입력_구리근무자명단'!$A259:$ZZ259,1,$E$2+2)),INDEX('입력_구리근무자명단'!$A259:$ZZ259,1,$E$2+2),IFERROR(DATE(VALUE(LEFT(INDEX('입력_구리근무자명단'!$A259:$ZZ259,1,$E$2+2),4)),VALUE(MID(INDEX('입력_구리근무자명단'!$A259:$ZZ259,1,$E$2+2),6,2)),VALUE(MID(INDEX('입력_구리근무자명단'!$A259:$ZZ259,1,$E$2+2),9,2))),-1))))</f>
        <v/>
      </c>
      <c r="T261">
        <f>IF($R261="","",IF(INDEX('입력_구리근무자명단'!$A259:$ZZ259,1,$E$2+3)&amp;""="",EOMONTH(급여기준월,0),IF(ISNUMBER(INDEX('입력_구리근무자명단'!$A259:$ZZ259,1,$E$2+3)),INDEX('입력_구리근무자명단'!$A259:$ZZ259,1,$E$2+3),IFERROR(DATE(VALUE(LEFT(INDEX('입력_구리근무자명단'!$A259:$ZZ259,1,$E$2+3),4)),VALUE(MID(INDEX('입력_구리근무자명단'!$A259:$ZZ259,1,$E$2+3),6,2)),VALUE(MID(INDEX('입력_구리근무자명단'!$A259:$ZZ259,1,$E$2+3),9,2))),-1))))</f>
        <v/>
      </c>
      <c r="U261">
        <f>IF($R261="","",IF(OR($S261&lt;0,$T261&lt;0),0,MAX(0,MIN($T261,EOMONTH(급여기준월,0))-MAX($S261,급여기준월)+1)))</f>
        <v/>
      </c>
      <c r="V261">
        <f>IF($R261="","",TRIM(INDEX('입력_구리근무자명단'!$A259:$ZZ259,1,$E$2+5)&amp;""))</f>
        <v/>
      </c>
      <c r="W261">
        <f>IF(ISNUMBER(SEARCH("구리독자",$V261)),"구리독자","")</f>
        <v/>
      </c>
      <c r="X261">
        <f>IF($R261="","",$R261&amp;"|"&amp;IF(OR($Q261="인턴",ISNUMBER(SEARCH("수련교육부",$P261))),"인턴",$P261))</f>
        <v/>
      </c>
      <c r="Y261">
        <f>IF($R261="","",IF(COUNTIF(명단표[이름|과],$X261)=1,"명단 일치",IF(AND(COUNTIF(명단표[이름|과],$X261)=0,COUNTIF(명단표[이름],$R261)=1),"명단 일치(이름만, 과 다름)",IF(COUNTIF(명단표[이름],$R261)=0,IF(COUNTIF(기본자료표[이름],$R261)&gt;0,"명단에 없음(기본자료에는 있음)","명단에 없음"),"동명이인 확인"))))</f>
        <v/>
      </c>
      <c r="Z261">
        <f>IF($R261="","",IF($S261&lt;0,"⚠"&amp;INDEX('입력_구리근무자명단'!$A259:$ZZ259,1,$E$2+2),TEXT($S261,"yyyy-mm-dd")))</f>
        <v/>
      </c>
      <c r="AA261">
        <f>IF($R261="","",IF($T261&lt;0,"⚠"&amp;INDEX('입력_구리근무자명단'!$A259:$ZZ259,1,$E$2+3),TEXT($T261,"yyyy-mm-dd")))</f>
        <v/>
      </c>
      <c r="AB261">
        <f>AB260+IF($R261="",0,1)</f>
        <v/>
      </c>
      <c r="AC261">
        <f>IF($R261="","",$AB261)</f>
        <v/>
      </c>
    </row>
    <row r="262">
      <c r="A262">
        <f>IFERROR(INDEX($O$6:$O$1505,MATCH(257,$AC$6:$AC$1505,0)),"")</f>
        <v/>
      </c>
      <c r="B262">
        <f>IF(ISNUMBER($A262),INDEX($P$6:$P$1505,$A262-3),"")</f>
        <v/>
      </c>
      <c r="C262">
        <f>IF(ISNUMBER($A262),INDEX($Q$6:$Q$1505,$A262-3),"")</f>
        <v/>
      </c>
      <c r="D262">
        <f>IF(ISNUMBER($A262),INDEX($R$6:$R$1505,$A262-3),"")</f>
        <v/>
      </c>
      <c r="E262">
        <f>IF(ISNUMBER($A262),$G$2,"")</f>
        <v/>
      </c>
      <c r="F262">
        <f>IF(ISNUMBER($A262),INDEX($Z$6:$Z$1505,$A262-3),"")</f>
        <v/>
      </c>
      <c r="G262">
        <f>IF(ISNUMBER($A262),INDEX($AA$6:$AA$1505,$A262-3),"")</f>
        <v/>
      </c>
      <c r="H262">
        <f>IF(ISNUMBER($A262),INDEX($U$6:$U$1505,$A262-3),"")</f>
        <v/>
      </c>
      <c r="I262">
        <f>IF(ISNUMBER($A262),INDEX($V$6:$V$1505,$A262-3),"")</f>
        <v/>
      </c>
      <c r="J262">
        <f>IF(ISNUMBER($A262),INDEX($W$6:$W$1505,$A262-3),"")</f>
        <v/>
      </c>
      <c r="K262">
        <f>IF(ISNUMBER($A262),INDEX($X$6:$X$1505,$A262-3),"")</f>
        <v/>
      </c>
      <c r="L262">
        <f>IF(ISNUMBER($A262),INDEX($Y$6:$Y$1505,$A262-3),"")</f>
        <v/>
      </c>
      <c r="O262">
        <f>260</f>
        <v/>
      </c>
      <c r="P262">
        <f>IF(TRIM('입력_구리근무자명단'!$A260&amp;"")&lt;&gt;"",TRIM('입력_구리근무자명단'!$A260&amp;""),P261)</f>
        <v/>
      </c>
      <c r="Q262">
        <f>'입력_구리근무자명단'!$B260&amp;""</f>
        <v/>
      </c>
      <c r="R262">
        <f>IF($E$2="","",TRIM(INDEX('입력_구리근무자명단'!$A260:$ZZ260,1,$E$2+IF($G$2="확정",1,0))&amp;""))</f>
        <v/>
      </c>
      <c r="S262">
        <f>IF($R262="","",IF(INDEX('입력_구리근무자명단'!$A260:$ZZ260,1,$E$2+2)&amp;""="",급여기준월,IF(ISNUMBER(INDEX('입력_구리근무자명단'!$A260:$ZZ260,1,$E$2+2)),INDEX('입력_구리근무자명단'!$A260:$ZZ260,1,$E$2+2),IFERROR(DATE(VALUE(LEFT(INDEX('입력_구리근무자명단'!$A260:$ZZ260,1,$E$2+2),4)),VALUE(MID(INDEX('입력_구리근무자명단'!$A260:$ZZ260,1,$E$2+2),6,2)),VALUE(MID(INDEX('입력_구리근무자명단'!$A260:$ZZ260,1,$E$2+2),9,2))),-1))))</f>
        <v/>
      </c>
      <c r="T262">
        <f>IF($R262="","",IF(INDEX('입력_구리근무자명단'!$A260:$ZZ260,1,$E$2+3)&amp;""="",EOMONTH(급여기준월,0),IF(ISNUMBER(INDEX('입력_구리근무자명단'!$A260:$ZZ260,1,$E$2+3)),INDEX('입력_구리근무자명단'!$A260:$ZZ260,1,$E$2+3),IFERROR(DATE(VALUE(LEFT(INDEX('입력_구리근무자명단'!$A260:$ZZ260,1,$E$2+3),4)),VALUE(MID(INDEX('입력_구리근무자명단'!$A260:$ZZ260,1,$E$2+3),6,2)),VALUE(MID(INDEX('입력_구리근무자명단'!$A260:$ZZ260,1,$E$2+3),9,2))),-1))))</f>
        <v/>
      </c>
      <c r="U262">
        <f>IF($R262="","",IF(OR($S262&lt;0,$T262&lt;0),0,MAX(0,MIN($T262,EOMONTH(급여기준월,0))-MAX($S262,급여기준월)+1)))</f>
        <v/>
      </c>
      <c r="V262">
        <f>IF($R262="","",TRIM(INDEX('입력_구리근무자명단'!$A260:$ZZ260,1,$E$2+5)&amp;""))</f>
        <v/>
      </c>
      <c r="W262">
        <f>IF(ISNUMBER(SEARCH("구리독자",$V262)),"구리독자","")</f>
        <v/>
      </c>
      <c r="X262">
        <f>IF($R262="","",$R262&amp;"|"&amp;IF(OR($Q262="인턴",ISNUMBER(SEARCH("수련교육부",$P262))),"인턴",$P262))</f>
        <v/>
      </c>
      <c r="Y262">
        <f>IF($R262="","",IF(COUNTIF(명단표[이름|과],$X262)=1,"명단 일치",IF(AND(COUNTIF(명단표[이름|과],$X262)=0,COUNTIF(명단표[이름],$R262)=1),"명단 일치(이름만, 과 다름)",IF(COUNTIF(명단표[이름],$R262)=0,IF(COUNTIF(기본자료표[이름],$R262)&gt;0,"명단에 없음(기본자료에는 있음)","명단에 없음"),"동명이인 확인"))))</f>
        <v/>
      </c>
      <c r="Z262">
        <f>IF($R262="","",IF($S262&lt;0,"⚠"&amp;INDEX('입력_구리근무자명단'!$A260:$ZZ260,1,$E$2+2),TEXT($S262,"yyyy-mm-dd")))</f>
        <v/>
      </c>
      <c r="AA262">
        <f>IF($R262="","",IF($T262&lt;0,"⚠"&amp;INDEX('입력_구리근무자명단'!$A260:$ZZ260,1,$E$2+3),TEXT($T262,"yyyy-mm-dd")))</f>
        <v/>
      </c>
      <c r="AB262">
        <f>AB261+IF($R262="",0,1)</f>
        <v/>
      </c>
      <c r="AC262">
        <f>IF($R262="","",$AB262)</f>
        <v/>
      </c>
    </row>
    <row r="263">
      <c r="A263">
        <f>IFERROR(INDEX($O$6:$O$1505,MATCH(258,$AC$6:$AC$1505,0)),"")</f>
        <v/>
      </c>
      <c r="B263">
        <f>IF(ISNUMBER($A263),INDEX($P$6:$P$1505,$A263-3),"")</f>
        <v/>
      </c>
      <c r="C263">
        <f>IF(ISNUMBER($A263),INDEX($Q$6:$Q$1505,$A263-3),"")</f>
        <v/>
      </c>
      <c r="D263">
        <f>IF(ISNUMBER($A263),INDEX($R$6:$R$1505,$A263-3),"")</f>
        <v/>
      </c>
      <c r="E263">
        <f>IF(ISNUMBER($A263),$G$2,"")</f>
        <v/>
      </c>
      <c r="F263">
        <f>IF(ISNUMBER($A263),INDEX($Z$6:$Z$1505,$A263-3),"")</f>
        <v/>
      </c>
      <c r="G263">
        <f>IF(ISNUMBER($A263),INDEX($AA$6:$AA$1505,$A263-3),"")</f>
        <v/>
      </c>
      <c r="H263">
        <f>IF(ISNUMBER($A263),INDEX($U$6:$U$1505,$A263-3),"")</f>
        <v/>
      </c>
      <c r="I263">
        <f>IF(ISNUMBER($A263),INDEX($V$6:$V$1505,$A263-3),"")</f>
        <v/>
      </c>
      <c r="J263">
        <f>IF(ISNUMBER($A263),INDEX($W$6:$W$1505,$A263-3),"")</f>
        <v/>
      </c>
      <c r="K263">
        <f>IF(ISNUMBER($A263),INDEX($X$6:$X$1505,$A263-3),"")</f>
        <v/>
      </c>
      <c r="L263">
        <f>IF(ISNUMBER($A263),INDEX($Y$6:$Y$1505,$A263-3),"")</f>
        <v/>
      </c>
      <c r="O263">
        <f>261</f>
        <v/>
      </c>
      <c r="P263">
        <f>IF(TRIM('입력_구리근무자명단'!$A261&amp;"")&lt;&gt;"",TRIM('입력_구리근무자명단'!$A261&amp;""),P262)</f>
        <v/>
      </c>
      <c r="Q263">
        <f>'입력_구리근무자명단'!$B261&amp;""</f>
        <v/>
      </c>
      <c r="R263">
        <f>IF($E$2="","",TRIM(INDEX('입력_구리근무자명단'!$A261:$ZZ261,1,$E$2+IF($G$2="확정",1,0))&amp;""))</f>
        <v/>
      </c>
      <c r="S263">
        <f>IF($R263="","",IF(INDEX('입력_구리근무자명단'!$A261:$ZZ261,1,$E$2+2)&amp;""="",급여기준월,IF(ISNUMBER(INDEX('입력_구리근무자명단'!$A261:$ZZ261,1,$E$2+2)),INDEX('입력_구리근무자명단'!$A261:$ZZ261,1,$E$2+2),IFERROR(DATE(VALUE(LEFT(INDEX('입력_구리근무자명단'!$A261:$ZZ261,1,$E$2+2),4)),VALUE(MID(INDEX('입력_구리근무자명단'!$A261:$ZZ261,1,$E$2+2),6,2)),VALUE(MID(INDEX('입력_구리근무자명단'!$A261:$ZZ261,1,$E$2+2),9,2))),-1))))</f>
        <v/>
      </c>
      <c r="T263">
        <f>IF($R263="","",IF(INDEX('입력_구리근무자명단'!$A261:$ZZ261,1,$E$2+3)&amp;""="",EOMONTH(급여기준월,0),IF(ISNUMBER(INDEX('입력_구리근무자명단'!$A261:$ZZ261,1,$E$2+3)),INDEX('입력_구리근무자명단'!$A261:$ZZ261,1,$E$2+3),IFERROR(DATE(VALUE(LEFT(INDEX('입력_구리근무자명단'!$A261:$ZZ261,1,$E$2+3),4)),VALUE(MID(INDEX('입력_구리근무자명단'!$A261:$ZZ261,1,$E$2+3),6,2)),VALUE(MID(INDEX('입력_구리근무자명단'!$A261:$ZZ261,1,$E$2+3),9,2))),-1))))</f>
        <v/>
      </c>
      <c r="U263">
        <f>IF($R263="","",IF(OR($S263&lt;0,$T263&lt;0),0,MAX(0,MIN($T263,EOMONTH(급여기준월,0))-MAX($S263,급여기준월)+1)))</f>
        <v/>
      </c>
      <c r="V263">
        <f>IF($R263="","",TRIM(INDEX('입력_구리근무자명단'!$A261:$ZZ261,1,$E$2+5)&amp;""))</f>
        <v/>
      </c>
      <c r="W263">
        <f>IF(ISNUMBER(SEARCH("구리독자",$V263)),"구리독자","")</f>
        <v/>
      </c>
      <c r="X263">
        <f>IF($R263="","",$R263&amp;"|"&amp;IF(OR($Q263="인턴",ISNUMBER(SEARCH("수련교육부",$P263))),"인턴",$P263))</f>
        <v/>
      </c>
      <c r="Y263">
        <f>IF($R263="","",IF(COUNTIF(명단표[이름|과],$X263)=1,"명단 일치",IF(AND(COUNTIF(명단표[이름|과],$X263)=0,COUNTIF(명단표[이름],$R263)=1),"명단 일치(이름만, 과 다름)",IF(COUNTIF(명단표[이름],$R263)=0,IF(COUNTIF(기본자료표[이름],$R263)&gt;0,"명단에 없음(기본자료에는 있음)","명단에 없음"),"동명이인 확인"))))</f>
        <v/>
      </c>
      <c r="Z263">
        <f>IF($R263="","",IF($S263&lt;0,"⚠"&amp;INDEX('입력_구리근무자명단'!$A261:$ZZ261,1,$E$2+2),TEXT($S263,"yyyy-mm-dd")))</f>
        <v/>
      </c>
      <c r="AA263">
        <f>IF($R263="","",IF($T263&lt;0,"⚠"&amp;INDEX('입력_구리근무자명단'!$A261:$ZZ261,1,$E$2+3),TEXT($T263,"yyyy-mm-dd")))</f>
        <v/>
      </c>
      <c r="AB263">
        <f>AB262+IF($R263="",0,1)</f>
        <v/>
      </c>
      <c r="AC263">
        <f>IF($R263="","",$AB263)</f>
        <v/>
      </c>
    </row>
    <row r="264">
      <c r="A264">
        <f>IFERROR(INDEX($O$6:$O$1505,MATCH(259,$AC$6:$AC$1505,0)),"")</f>
        <v/>
      </c>
      <c r="B264">
        <f>IF(ISNUMBER($A264),INDEX($P$6:$P$1505,$A264-3),"")</f>
        <v/>
      </c>
      <c r="C264">
        <f>IF(ISNUMBER($A264),INDEX($Q$6:$Q$1505,$A264-3),"")</f>
        <v/>
      </c>
      <c r="D264">
        <f>IF(ISNUMBER($A264),INDEX($R$6:$R$1505,$A264-3),"")</f>
        <v/>
      </c>
      <c r="E264">
        <f>IF(ISNUMBER($A264),$G$2,"")</f>
        <v/>
      </c>
      <c r="F264">
        <f>IF(ISNUMBER($A264),INDEX($Z$6:$Z$1505,$A264-3),"")</f>
        <v/>
      </c>
      <c r="G264">
        <f>IF(ISNUMBER($A264),INDEX($AA$6:$AA$1505,$A264-3),"")</f>
        <v/>
      </c>
      <c r="H264">
        <f>IF(ISNUMBER($A264),INDEX($U$6:$U$1505,$A264-3),"")</f>
        <v/>
      </c>
      <c r="I264">
        <f>IF(ISNUMBER($A264),INDEX($V$6:$V$1505,$A264-3),"")</f>
        <v/>
      </c>
      <c r="J264">
        <f>IF(ISNUMBER($A264),INDEX($W$6:$W$1505,$A264-3),"")</f>
        <v/>
      </c>
      <c r="K264">
        <f>IF(ISNUMBER($A264),INDEX($X$6:$X$1505,$A264-3),"")</f>
        <v/>
      </c>
      <c r="L264">
        <f>IF(ISNUMBER($A264),INDEX($Y$6:$Y$1505,$A264-3),"")</f>
        <v/>
      </c>
      <c r="O264">
        <f>262</f>
        <v/>
      </c>
      <c r="P264">
        <f>IF(TRIM('입력_구리근무자명단'!$A262&amp;"")&lt;&gt;"",TRIM('입력_구리근무자명단'!$A262&amp;""),P263)</f>
        <v/>
      </c>
      <c r="Q264">
        <f>'입력_구리근무자명단'!$B262&amp;""</f>
        <v/>
      </c>
      <c r="R264">
        <f>IF($E$2="","",TRIM(INDEX('입력_구리근무자명단'!$A262:$ZZ262,1,$E$2+IF($G$2="확정",1,0))&amp;""))</f>
        <v/>
      </c>
      <c r="S264">
        <f>IF($R264="","",IF(INDEX('입력_구리근무자명단'!$A262:$ZZ262,1,$E$2+2)&amp;""="",급여기준월,IF(ISNUMBER(INDEX('입력_구리근무자명단'!$A262:$ZZ262,1,$E$2+2)),INDEX('입력_구리근무자명단'!$A262:$ZZ262,1,$E$2+2),IFERROR(DATE(VALUE(LEFT(INDEX('입력_구리근무자명단'!$A262:$ZZ262,1,$E$2+2),4)),VALUE(MID(INDEX('입력_구리근무자명단'!$A262:$ZZ262,1,$E$2+2),6,2)),VALUE(MID(INDEX('입력_구리근무자명단'!$A262:$ZZ262,1,$E$2+2),9,2))),-1))))</f>
        <v/>
      </c>
      <c r="T264">
        <f>IF($R264="","",IF(INDEX('입력_구리근무자명단'!$A262:$ZZ262,1,$E$2+3)&amp;""="",EOMONTH(급여기준월,0),IF(ISNUMBER(INDEX('입력_구리근무자명단'!$A262:$ZZ262,1,$E$2+3)),INDEX('입력_구리근무자명단'!$A262:$ZZ262,1,$E$2+3),IFERROR(DATE(VALUE(LEFT(INDEX('입력_구리근무자명단'!$A262:$ZZ262,1,$E$2+3),4)),VALUE(MID(INDEX('입력_구리근무자명단'!$A262:$ZZ262,1,$E$2+3),6,2)),VALUE(MID(INDEX('입력_구리근무자명단'!$A262:$ZZ262,1,$E$2+3),9,2))),-1))))</f>
        <v/>
      </c>
      <c r="U264">
        <f>IF($R264="","",IF(OR($S264&lt;0,$T264&lt;0),0,MAX(0,MIN($T264,EOMONTH(급여기준월,0))-MAX($S264,급여기준월)+1)))</f>
        <v/>
      </c>
      <c r="V264">
        <f>IF($R264="","",TRIM(INDEX('입력_구리근무자명단'!$A262:$ZZ262,1,$E$2+5)&amp;""))</f>
        <v/>
      </c>
      <c r="W264">
        <f>IF(ISNUMBER(SEARCH("구리독자",$V264)),"구리독자","")</f>
        <v/>
      </c>
      <c r="X264">
        <f>IF($R264="","",$R264&amp;"|"&amp;IF(OR($Q264="인턴",ISNUMBER(SEARCH("수련교육부",$P264))),"인턴",$P264))</f>
        <v/>
      </c>
      <c r="Y264">
        <f>IF($R264="","",IF(COUNTIF(명단표[이름|과],$X264)=1,"명단 일치",IF(AND(COUNTIF(명단표[이름|과],$X264)=0,COUNTIF(명단표[이름],$R264)=1),"명단 일치(이름만, 과 다름)",IF(COUNTIF(명단표[이름],$R264)=0,IF(COUNTIF(기본자료표[이름],$R264)&gt;0,"명단에 없음(기본자료에는 있음)","명단에 없음"),"동명이인 확인"))))</f>
        <v/>
      </c>
      <c r="Z264">
        <f>IF($R264="","",IF($S264&lt;0,"⚠"&amp;INDEX('입력_구리근무자명단'!$A262:$ZZ262,1,$E$2+2),TEXT($S264,"yyyy-mm-dd")))</f>
        <v/>
      </c>
      <c r="AA264">
        <f>IF($R264="","",IF($T264&lt;0,"⚠"&amp;INDEX('입력_구리근무자명단'!$A262:$ZZ262,1,$E$2+3),TEXT($T264,"yyyy-mm-dd")))</f>
        <v/>
      </c>
      <c r="AB264">
        <f>AB263+IF($R264="",0,1)</f>
        <v/>
      </c>
      <c r="AC264">
        <f>IF($R264="","",$AB264)</f>
        <v/>
      </c>
    </row>
    <row r="265">
      <c r="A265">
        <f>IFERROR(INDEX($O$6:$O$1505,MATCH(260,$AC$6:$AC$1505,0)),"")</f>
        <v/>
      </c>
      <c r="B265">
        <f>IF(ISNUMBER($A265),INDEX($P$6:$P$1505,$A265-3),"")</f>
        <v/>
      </c>
      <c r="C265">
        <f>IF(ISNUMBER($A265),INDEX($Q$6:$Q$1505,$A265-3),"")</f>
        <v/>
      </c>
      <c r="D265">
        <f>IF(ISNUMBER($A265),INDEX($R$6:$R$1505,$A265-3),"")</f>
        <v/>
      </c>
      <c r="E265">
        <f>IF(ISNUMBER($A265),$G$2,"")</f>
        <v/>
      </c>
      <c r="F265">
        <f>IF(ISNUMBER($A265),INDEX($Z$6:$Z$1505,$A265-3),"")</f>
        <v/>
      </c>
      <c r="G265">
        <f>IF(ISNUMBER($A265),INDEX($AA$6:$AA$1505,$A265-3),"")</f>
        <v/>
      </c>
      <c r="H265">
        <f>IF(ISNUMBER($A265),INDEX($U$6:$U$1505,$A265-3),"")</f>
        <v/>
      </c>
      <c r="I265">
        <f>IF(ISNUMBER($A265),INDEX($V$6:$V$1505,$A265-3),"")</f>
        <v/>
      </c>
      <c r="J265">
        <f>IF(ISNUMBER($A265),INDEX($W$6:$W$1505,$A265-3),"")</f>
        <v/>
      </c>
      <c r="K265">
        <f>IF(ISNUMBER($A265),INDEX($X$6:$X$1505,$A265-3),"")</f>
        <v/>
      </c>
      <c r="L265">
        <f>IF(ISNUMBER($A265),INDEX($Y$6:$Y$1505,$A265-3),"")</f>
        <v/>
      </c>
      <c r="O265">
        <f>263</f>
        <v/>
      </c>
      <c r="P265">
        <f>IF(TRIM('입력_구리근무자명단'!$A263&amp;"")&lt;&gt;"",TRIM('입력_구리근무자명단'!$A263&amp;""),P264)</f>
        <v/>
      </c>
      <c r="Q265">
        <f>'입력_구리근무자명단'!$B263&amp;""</f>
        <v/>
      </c>
      <c r="R265">
        <f>IF($E$2="","",TRIM(INDEX('입력_구리근무자명단'!$A263:$ZZ263,1,$E$2+IF($G$2="확정",1,0))&amp;""))</f>
        <v/>
      </c>
      <c r="S265">
        <f>IF($R265="","",IF(INDEX('입력_구리근무자명단'!$A263:$ZZ263,1,$E$2+2)&amp;""="",급여기준월,IF(ISNUMBER(INDEX('입력_구리근무자명단'!$A263:$ZZ263,1,$E$2+2)),INDEX('입력_구리근무자명단'!$A263:$ZZ263,1,$E$2+2),IFERROR(DATE(VALUE(LEFT(INDEX('입력_구리근무자명단'!$A263:$ZZ263,1,$E$2+2),4)),VALUE(MID(INDEX('입력_구리근무자명단'!$A263:$ZZ263,1,$E$2+2),6,2)),VALUE(MID(INDEX('입력_구리근무자명단'!$A263:$ZZ263,1,$E$2+2),9,2))),-1))))</f>
        <v/>
      </c>
      <c r="T265">
        <f>IF($R265="","",IF(INDEX('입력_구리근무자명단'!$A263:$ZZ263,1,$E$2+3)&amp;""="",EOMONTH(급여기준월,0),IF(ISNUMBER(INDEX('입력_구리근무자명단'!$A263:$ZZ263,1,$E$2+3)),INDEX('입력_구리근무자명단'!$A263:$ZZ263,1,$E$2+3),IFERROR(DATE(VALUE(LEFT(INDEX('입력_구리근무자명단'!$A263:$ZZ263,1,$E$2+3),4)),VALUE(MID(INDEX('입력_구리근무자명단'!$A263:$ZZ263,1,$E$2+3),6,2)),VALUE(MID(INDEX('입력_구리근무자명단'!$A263:$ZZ263,1,$E$2+3),9,2))),-1))))</f>
        <v/>
      </c>
      <c r="U265">
        <f>IF($R265="","",IF(OR($S265&lt;0,$T265&lt;0),0,MAX(0,MIN($T265,EOMONTH(급여기준월,0))-MAX($S265,급여기준월)+1)))</f>
        <v/>
      </c>
      <c r="V265">
        <f>IF($R265="","",TRIM(INDEX('입력_구리근무자명단'!$A263:$ZZ263,1,$E$2+5)&amp;""))</f>
        <v/>
      </c>
      <c r="W265">
        <f>IF(ISNUMBER(SEARCH("구리독자",$V265)),"구리독자","")</f>
        <v/>
      </c>
      <c r="X265">
        <f>IF($R265="","",$R265&amp;"|"&amp;IF(OR($Q265="인턴",ISNUMBER(SEARCH("수련교육부",$P265))),"인턴",$P265))</f>
        <v/>
      </c>
      <c r="Y265">
        <f>IF($R265="","",IF(COUNTIF(명단표[이름|과],$X265)=1,"명단 일치",IF(AND(COUNTIF(명단표[이름|과],$X265)=0,COUNTIF(명단표[이름],$R265)=1),"명단 일치(이름만, 과 다름)",IF(COUNTIF(명단표[이름],$R265)=0,IF(COUNTIF(기본자료표[이름],$R265)&gt;0,"명단에 없음(기본자료에는 있음)","명단에 없음"),"동명이인 확인"))))</f>
        <v/>
      </c>
      <c r="Z265">
        <f>IF($R265="","",IF($S265&lt;0,"⚠"&amp;INDEX('입력_구리근무자명단'!$A263:$ZZ263,1,$E$2+2),TEXT($S265,"yyyy-mm-dd")))</f>
        <v/>
      </c>
      <c r="AA265">
        <f>IF($R265="","",IF($T265&lt;0,"⚠"&amp;INDEX('입력_구리근무자명단'!$A263:$ZZ263,1,$E$2+3),TEXT($T265,"yyyy-mm-dd")))</f>
        <v/>
      </c>
      <c r="AB265">
        <f>AB264+IF($R265="",0,1)</f>
        <v/>
      </c>
      <c r="AC265">
        <f>IF($R265="","",$AB265)</f>
        <v/>
      </c>
    </row>
    <row r="266">
      <c r="A266">
        <f>IFERROR(INDEX($O$6:$O$1505,MATCH(261,$AC$6:$AC$1505,0)),"")</f>
        <v/>
      </c>
      <c r="B266">
        <f>IF(ISNUMBER($A266),INDEX($P$6:$P$1505,$A266-3),"")</f>
        <v/>
      </c>
      <c r="C266">
        <f>IF(ISNUMBER($A266),INDEX($Q$6:$Q$1505,$A266-3),"")</f>
        <v/>
      </c>
      <c r="D266">
        <f>IF(ISNUMBER($A266),INDEX($R$6:$R$1505,$A266-3),"")</f>
        <v/>
      </c>
      <c r="E266">
        <f>IF(ISNUMBER($A266),$G$2,"")</f>
        <v/>
      </c>
      <c r="F266">
        <f>IF(ISNUMBER($A266),INDEX($Z$6:$Z$1505,$A266-3),"")</f>
        <v/>
      </c>
      <c r="G266">
        <f>IF(ISNUMBER($A266),INDEX($AA$6:$AA$1505,$A266-3),"")</f>
        <v/>
      </c>
      <c r="H266">
        <f>IF(ISNUMBER($A266),INDEX($U$6:$U$1505,$A266-3),"")</f>
        <v/>
      </c>
      <c r="I266">
        <f>IF(ISNUMBER($A266),INDEX($V$6:$V$1505,$A266-3),"")</f>
        <v/>
      </c>
      <c r="J266">
        <f>IF(ISNUMBER($A266),INDEX($W$6:$W$1505,$A266-3),"")</f>
        <v/>
      </c>
      <c r="K266">
        <f>IF(ISNUMBER($A266),INDEX($X$6:$X$1505,$A266-3),"")</f>
        <v/>
      </c>
      <c r="L266">
        <f>IF(ISNUMBER($A266),INDEX($Y$6:$Y$1505,$A266-3),"")</f>
        <v/>
      </c>
      <c r="O266">
        <f>264</f>
        <v/>
      </c>
      <c r="P266">
        <f>IF(TRIM('입력_구리근무자명단'!$A264&amp;"")&lt;&gt;"",TRIM('입력_구리근무자명단'!$A264&amp;""),P265)</f>
        <v/>
      </c>
      <c r="Q266">
        <f>'입력_구리근무자명단'!$B264&amp;""</f>
        <v/>
      </c>
      <c r="R266">
        <f>IF($E$2="","",TRIM(INDEX('입력_구리근무자명단'!$A264:$ZZ264,1,$E$2+IF($G$2="확정",1,0))&amp;""))</f>
        <v/>
      </c>
      <c r="S266">
        <f>IF($R266="","",IF(INDEX('입력_구리근무자명단'!$A264:$ZZ264,1,$E$2+2)&amp;""="",급여기준월,IF(ISNUMBER(INDEX('입력_구리근무자명단'!$A264:$ZZ264,1,$E$2+2)),INDEX('입력_구리근무자명단'!$A264:$ZZ264,1,$E$2+2),IFERROR(DATE(VALUE(LEFT(INDEX('입력_구리근무자명단'!$A264:$ZZ264,1,$E$2+2),4)),VALUE(MID(INDEX('입력_구리근무자명단'!$A264:$ZZ264,1,$E$2+2),6,2)),VALUE(MID(INDEX('입력_구리근무자명단'!$A264:$ZZ264,1,$E$2+2),9,2))),-1))))</f>
        <v/>
      </c>
      <c r="T266">
        <f>IF($R266="","",IF(INDEX('입력_구리근무자명단'!$A264:$ZZ264,1,$E$2+3)&amp;""="",EOMONTH(급여기준월,0),IF(ISNUMBER(INDEX('입력_구리근무자명단'!$A264:$ZZ264,1,$E$2+3)),INDEX('입력_구리근무자명단'!$A264:$ZZ264,1,$E$2+3),IFERROR(DATE(VALUE(LEFT(INDEX('입력_구리근무자명단'!$A264:$ZZ264,1,$E$2+3),4)),VALUE(MID(INDEX('입력_구리근무자명단'!$A264:$ZZ264,1,$E$2+3),6,2)),VALUE(MID(INDEX('입력_구리근무자명단'!$A264:$ZZ264,1,$E$2+3),9,2))),-1))))</f>
        <v/>
      </c>
      <c r="U266">
        <f>IF($R266="","",IF(OR($S266&lt;0,$T266&lt;0),0,MAX(0,MIN($T266,EOMONTH(급여기준월,0))-MAX($S266,급여기준월)+1)))</f>
        <v/>
      </c>
      <c r="V266">
        <f>IF($R266="","",TRIM(INDEX('입력_구리근무자명단'!$A264:$ZZ264,1,$E$2+5)&amp;""))</f>
        <v/>
      </c>
      <c r="W266">
        <f>IF(ISNUMBER(SEARCH("구리독자",$V266)),"구리독자","")</f>
        <v/>
      </c>
      <c r="X266">
        <f>IF($R266="","",$R266&amp;"|"&amp;IF(OR($Q266="인턴",ISNUMBER(SEARCH("수련교육부",$P266))),"인턴",$P266))</f>
        <v/>
      </c>
      <c r="Y266">
        <f>IF($R266="","",IF(COUNTIF(명단표[이름|과],$X266)=1,"명단 일치",IF(AND(COUNTIF(명단표[이름|과],$X266)=0,COUNTIF(명단표[이름],$R266)=1),"명단 일치(이름만, 과 다름)",IF(COUNTIF(명단표[이름],$R266)=0,IF(COUNTIF(기본자료표[이름],$R266)&gt;0,"명단에 없음(기본자료에는 있음)","명단에 없음"),"동명이인 확인"))))</f>
        <v/>
      </c>
      <c r="Z266">
        <f>IF($R266="","",IF($S266&lt;0,"⚠"&amp;INDEX('입력_구리근무자명단'!$A264:$ZZ264,1,$E$2+2),TEXT($S266,"yyyy-mm-dd")))</f>
        <v/>
      </c>
      <c r="AA266">
        <f>IF($R266="","",IF($T266&lt;0,"⚠"&amp;INDEX('입력_구리근무자명단'!$A264:$ZZ264,1,$E$2+3),TEXT($T266,"yyyy-mm-dd")))</f>
        <v/>
      </c>
      <c r="AB266">
        <f>AB265+IF($R266="",0,1)</f>
        <v/>
      </c>
      <c r="AC266">
        <f>IF($R266="","",$AB266)</f>
        <v/>
      </c>
    </row>
    <row r="267">
      <c r="A267">
        <f>IFERROR(INDEX($O$6:$O$1505,MATCH(262,$AC$6:$AC$1505,0)),"")</f>
        <v/>
      </c>
      <c r="B267">
        <f>IF(ISNUMBER($A267),INDEX($P$6:$P$1505,$A267-3),"")</f>
        <v/>
      </c>
      <c r="C267">
        <f>IF(ISNUMBER($A267),INDEX($Q$6:$Q$1505,$A267-3),"")</f>
        <v/>
      </c>
      <c r="D267">
        <f>IF(ISNUMBER($A267),INDEX($R$6:$R$1505,$A267-3),"")</f>
        <v/>
      </c>
      <c r="E267">
        <f>IF(ISNUMBER($A267),$G$2,"")</f>
        <v/>
      </c>
      <c r="F267">
        <f>IF(ISNUMBER($A267),INDEX($Z$6:$Z$1505,$A267-3),"")</f>
        <v/>
      </c>
      <c r="G267">
        <f>IF(ISNUMBER($A267),INDEX($AA$6:$AA$1505,$A267-3),"")</f>
        <v/>
      </c>
      <c r="H267">
        <f>IF(ISNUMBER($A267),INDEX($U$6:$U$1505,$A267-3),"")</f>
        <v/>
      </c>
      <c r="I267">
        <f>IF(ISNUMBER($A267),INDEX($V$6:$V$1505,$A267-3),"")</f>
        <v/>
      </c>
      <c r="J267">
        <f>IF(ISNUMBER($A267),INDEX($W$6:$W$1505,$A267-3),"")</f>
        <v/>
      </c>
      <c r="K267">
        <f>IF(ISNUMBER($A267),INDEX($X$6:$X$1505,$A267-3),"")</f>
        <v/>
      </c>
      <c r="L267">
        <f>IF(ISNUMBER($A267),INDEX($Y$6:$Y$1505,$A267-3),"")</f>
        <v/>
      </c>
      <c r="O267">
        <f>265</f>
        <v/>
      </c>
      <c r="P267">
        <f>IF(TRIM('입력_구리근무자명단'!$A265&amp;"")&lt;&gt;"",TRIM('입력_구리근무자명단'!$A265&amp;""),P266)</f>
        <v/>
      </c>
      <c r="Q267">
        <f>'입력_구리근무자명단'!$B265&amp;""</f>
        <v/>
      </c>
      <c r="R267">
        <f>IF($E$2="","",TRIM(INDEX('입력_구리근무자명단'!$A265:$ZZ265,1,$E$2+IF($G$2="확정",1,0))&amp;""))</f>
        <v/>
      </c>
      <c r="S267">
        <f>IF($R267="","",IF(INDEX('입력_구리근무자명단'!$A265:$ZZ265,1,$E$2+2)&amp;""="",급여기준월,IF(ISNUMBER(INDEX('입력_구리근무자명단'!$A265:$ZZ265,1,$E$2+2)),INDEX('입력_구리근무자명단'!$A265:$ZZ265,1,$E$2+2),IFERROR(DATE(VALUE(LEFT(INDEX('입력_구리근무자명단'!$A265:$ZZ265,1,$E$2+2),4)),VALUE(MID(INDEX('입력_구리근무자명단'!$A265:$ZZ265,1,$E$2+2),6,2)),VALUE(MID(INDEX('입력_구리근무자명단'!$A265:$ZZ265,1,$E$2+2),9,2))),-1))))</f>
        <v/>
      </c>
      <c r="T267">
        <f>IF($R267="","",IF(INDEX('입력_구리근무자명단'!$A265:$ZZ265,1,$E$2+3)&amp;""="",EOMONTH(급여기준월,0),IF(ISNUMBER(INDEX('입력_구리근무자명단'!$A265:$ZZ265,1,$E$2+3)),INDEX('입력_구리근무자명단'!$A265:$ZZ265,1,$E$2+3),IFERROR(DATE(VALUE(LEFT(INDEX('입력_구리근무자명단'!$A265:$ZZ265,1,$E$2+3),4)),VALUE(MID(INDEX('입력_구리근무자명단'!$A265:$ZZ265,1,$E$2+3),6,2)),VALUE(MID(INDEX('입력_구리근무자명단'!$A265:$ZZ265,1,$E$2+3),9,2))),-1))))</f>
        <v/>
      </c>
      <c r="U267">
        <f>IF($R267="","",IF(OR($S267&lt;0,$T267&lt;0),0,MAX(0,MIN($T267,EOMONTH(급여기준월,0))-MAX($S267,급여기준월)+1)))</f>
        <v/>
      </c>
      <c r="V267">
        <f>IF($R267="","",TRIM(INDEX('입력_구리근무자명단'!$A265:$ZZ265,1,$E$2+5)&amp;""))</f>
        <v/>
      </c>
      <c r="W267">
        <f>IF(ISNUMBER(SEARCH("구리독자",$V267)),"구리독자","")</f>
        <v/>
      </c>
      <c r="X267">
        <f>IF($R267="","",$R267&amp;"|"&amp;IF(OR($Q267="인턴",ISNUMBER(SEARCH("수련교육부",$P267))),"인턴",$P267))</f>
        <v/>
      </c>
      <c r="Y267">
        <f>IF($R267="","",IF(COUNTIF(명단표[이름|과],$X267)=1,"명단 일치",IF(AND(COUNTIF(명단표[이름|과],$X267)=0,COUNTIF(명단표[이름],$R267)=1),"명단 일치(이름만, 과 다름)",IF(COUNTIF(명단표[이름],$R267)=0,IF(COUNTIF(기본자료표[이름],$R267)&gt;0,"명단에 없음(기본자료에는 있음)","명단에 없음"),"동명이인 확인"))))</f>
        <v/>
      </c>
      <c r="Z267">
        <f>IF($R267="","",IF($S267&lt;0,"⚠"&amp;INDEX('입력_구리근무자명단'!$A265:$ZZ265,1,$E$2+2),TEXT($S267,"yyyy-mm-dd")))</f>
        <v/>
      </c>
      <c r="AA267">
        <f>IF($R267="","",IF($T267&lt;0,"⚠"&amp;INDEX('입력_구리근무자명단'!$A265:$ZZ265,1,$E$2+3),TEXT($T267,"yyyy-mm-dd")))</f>
        <v/>
      </c>
      <c r="AB267">
        <f>AB266+IF($R267="",0,1)</f>
        <v/>
      </c>
      <c r="AC267">
        <f>IF($R267="","",$AB267)</f>
        <v/>
      </c>
    </row>
    <row r="268">
      <c r="A268">
        <f>IFERROR(INDEX($O$6:$O$1505,MATCH(263,$AC$6:$AC$1505,0)),"")</f>
        <v/>
      </c>
      <c r="B268">
        <f>IF(ISNUMBER($A268),INDEX($P$6:$P$1505,$A268-3),"")</f>
        <v/>
      </c>
      <c r="C268">
        <f>IF(ISNUMBER($A268),INDEX($Q$6:$Q$1505,$A268-3),"")</f>
        <v/>
      </c>
      <c r="D268">
        <f>IF(ISNUMBER($A268),INDEX($R$6:$R$1505,$A268-3),"")</f>
        <v/>
      </c>
      <c r="E268">
        <f>IF(ISNUMBER($A268),$G$2,"")</f>
        <v/>
      </c>
      <c r="F268">
        <f>IF(ISNUMBER($A268),INDEX($Z$6:$Z$1505,$A268-3),"")</f>
        <v/>
      </c>
      <c r="G268">
        <f>IF(ISNUMBER($A268),INDEX($AA$6:$AA$1505,$A268-3),"")</f>
        <v/>
      </c>
      <c r="H268">
        <f>IF(ISNUMBER($A268),INDEX($U$6:$U$1505,$A268-3),"")</f>
        <v/>
      </c>
      <c r="I268">
        <f>IF(ISNUMBER($A268),INDEX($V$6:$V$1505,$A268-3),"")</f>
        <v/>
      </c>
      <c r="J268">
        <f>IF(ISNUMBER($A268),INDEX($W$6:$W$1505,$A268-3),"")</f>
        <v/>
      </c>
      <c r="K268">
        <f>IF(ISNUMBER($A268),INDEX($X$6:$X$1505,$A268-3),"")</f>
        <v/>
      </c>
      <c r="L268">
        <f>IF(ISNUMBER($A268),INDEX($Y$6:$Y$1505,$A268-3),"")</f>
        <v/>
      </c>
      <c r="O268">
        <f>266</f>
        <v/>
      </c>
      <c r="P268">
        <f>IF(TRIM('입력_구리근무자명단'!$A266&amp;"")&lt;&gt;"",TRIM('입력_구리근무자명단'!$A266&amp;""),P267)</f>
        <v/>
      </c>
      <c r="Q268">
        <f>'입력_구리근무자명단'!$B266&amp;""</f>
        <v/>
      </c>
      <c r="R268">
        <f>IF($E$2="","",TRIM(INDEX('입력_구리근무자명단'!$A266:$ZZ266,1,$E$2+IF($G$2="확정",1,0))&amp;""))</f>
        <v/>
      </c>
      <c r="S268">
        <f>IF($R268="","",IF(INDEX('입력_구리근무자명단'!$A266:$ZZ266,1,$E$2+2)&amp;""="",급여기준월,IF(ISNUMBER(INDEX('입력_구리근무자명단'!$A266:$ZZ266,1,$E$2+2)),INDEX('입력_구리근무자명단'!$A266:$ZZ266,1,$E$2+2),IFERROR(DATE(VALUE(LEFT(INDEX('입력_구리근무자명단'!$A266:$ZZ266,1,$E$2+2),4)),VALUE(MID(INDEX('입력_구리근무자명단'!$A266:$ZZ266,1,$E$2+2),6,2)),VALUE(MID(INDEX('입력_구리근무자명단'!$A266:$ZZ266,1,$E$2+2),9,2))),-1))))</f>
        <v/>
      </c>
      <c r="T268">
        <f>IF($R268="","",IF(INDEX('입력_구리근무자명단'!$A266:$ZZ266,1,$E$2+3)&amp;""="",EOMONTH(급여기준월,0),IF(ISNUMBER(INDEX('입력_구리근무자명단'!$A266:$ZZ266,1,$E$2+3)),INDEX('입력_구리근무자명단'!$A266:$ZZ266,1,$E$2+3),IFERROR(DATE(VALUE(LEFT(INDEX('입력_구리근무자명단'!$A266:$ZZ266,1,$E$2+3),4)),VALUE(MID(INDEX('입력_구리근무자명단'!$A266:$ZZ266,1,$E$2+3),6,2)),VALUE(MID(INDEX('입력_구리근무자명단'!$A266:$ZZ266,1,$E$2+3),9,2))),-1))))</f>
        <v/>
      </c>
      <c r="U268">
        <f>IF($R268="","",IF(OR($S268&lt;0,$T268&lt;0),0,MAX(0,MIN($T268,EOMONTH(급여기준월,0))-MAX($S268,급여기준월)+1)))</f>
        <v/>
      </c>
      <c r="V268">
        <f>IF($R268="","",TRIM(INDEX('입력_구리근무자명단'!$A266:$ZZ266,1,$E$2+5)&amp;""))</f>
        <v/>
      </c>
      <c r="W268">
        <f>IF(ISNUMBER(SEARCH("구리독자",$V268)),"구리독자","")</f>
        <v/>
      </c>
      <c r="X268">
        <f>IF($R268="","",$R268&amp;"|"&amp;IF(OR($Q268="인턴",ISNUMBER(SEARCH("수련교육부",$P268))),"인턴",$P268))</f>
        <v/>
      </c>
      <c r="Y268">
        <f>IF($R268="","",IF(COUNTIF(명단표[이름|과],$X268)=1,"명단 일치",IF(AND(COUNTIF(명단표[이름|과],$X268)=0,COUNTIF(명단표[이름],$R268)=1),"명단 일치(이름만, 과 다름)",IF(COUNTIF(명단표[이름],$R268)=0,IF(COUNTIF(기본자료표[이름],$R268)&gt;0,"명단에 없음(기본자료에는 있음)","명단에 없음"),"동명이인 확인"))))</f>
        <v/>
      </c>
      <c r="Z268">
        <f>IF($R268="","",IF($S268&lt;0,"⚠"&amp;INDEX('입력_구리근무자명단'!$A266:$ZZ266,1,$E$2+2),TEXT($S268,"yyyy-mm-dd")))</f>
        <v/>
      </c>
      <c r="AA268">
        <f>IF($R268="","",IF($T268&lt;0,"⚠"&amp;INDEX('입력_구리근무자명단'!$A266:$ZZ266,1,$E$2+3),TEXT($T268,"yyyy-mm-dd")))</f>
        <v/>
      </c>
      <c r="AB268">
        <f>AB267+IF($R268="",0,1)</f>
        <v/>
      </c>
      <c r="AC268">
        <f>IF($R268="","",$AB268)</f>
        <v/>
      </c>
    </row>
    <row r="269">
      <c r="A269">
        <f>IFERROR(INDEX($O$6:$O$1505,MATCH(264,$AC$6:$AC$1505,0)),"")</f>
        <v/>
      </c>
      <c r="B269">
        <f>IF(ISNUMBER($A269),INDEX($P$6:$P$1505,$A269-3),"")</f>
        <v/>
      </c>
      <c r="C269">
        <f>IF(ISNUMBER($A269),INDEX($Q$6:$Q$1505,$A269-3),"")</f>
        <v/>
      </c>
      <c r="D269">
        <f>IF(ISNUMBER($A269),INDEX($R$6:$R$1505,$A269-3),"")</f>
        <v/>
      </c>
      <c r="E269">
        <f>IF(ISNUMBER($A269),$G$2,"")</f>
        <v/>
      </c>
      <c r="F269">
        <f>IF(ISNUMBER($A269),INDEX($Z$6:$Z$1505,$A269-3),"")</f>
        <v/>
      </c>
      <c r="G269">
        <f>IF(ISNUMBER($A269),INDEX($AA$6:$AA$1505,$A269-3),"")</f>
        <v/>
      </c>
      <c r="H269">
        <f>IF(ISNUMBER($A269),INDEX($U$6:$U$1505,$A269-3),"")</f>
        <v/>
      </c>
      <c r="I269">
        <f>IF(ISNUMBER($A269),INDEX($V$6:$V$1505,$A269-3),"")</f>
        <v/>
      </c>
      <c r="J269">
        <f>IF(ISNUMBER($A269),INDEX($W$6:$W$1505,$A269-3),"")</f>
        <v/>
      </c>
      <c r="K269">
        <f>IF(ISNUMBER($A269),INDEX($X$6:$X$1505,$A269-3),"")</f>
        <v/>
      </c>
      <c r="L269">
        <f>IF(ISNUMBER($A269),INDEX($Y$6:$Y$1505,$A269-3),"")</f>
        <v/>
      </c>
      <c r="O269">
        <f>267</f>
        <v/>
      </c>
      <c r="P269">
        <f>IF(TRIM('입력_구리근무자명단'!$A267&amp;"")&lt;&gt;"",TRIM('입력_구리근무자명단'!$A267&amp;""),P268)</f>
        <v/>
      </c>
      <c r="Q269">
        <f>'입력_구리근무자명단'!$B267&amp;""</f>
        <v/>
      </c>
      <c r="R269">
        <f>IF($E$2="","",TRIM(INDEX('입력_구리근무자명단'!$A267:$ZZ267,1,$E$2+IF($G$2="확정",1,0))&amp;""))</f>
        <v/>
      </c>
      <c r="S269">
        <f>IF($R269="","",IF(INDEX('입력_구리근무자명단'!$A267:$ZZ267,1,$E$2+2)&amp;""="",급여기준월,IF(ISNUMBER(INDEX('입력_구리근무자명단'!$A267:$ZZ267,1,$E$2+2)),INDEX('입력_구리근무자명단'!$A267:$ZZ267,1,$E$2+2),IFERROR(DATE(VALUE(LEFT(INDEX('입력_구리근무자명단'!$A267:$ZZ267,1,$E$2+2),4)),VALUE(MID(INDEX('입력_구리근무자명단'!$A267:$ZZ267,1,$E$2+2),6,2)),VALUE(MID(INDEX('입력_구리근무자명단'!$A267:$ZZ267,1,$E$2+2),9,2))),-1))))</f>
        <v/>
      </c>
      <c r="T269">
        <f>IF($R269="","",IF(INDEX('입력_구리근무자명단'!$A267:$ZZ267,1,$E$2+3)&amp;""="",EOMONTH(급여기준월,0),IF(ISNUMBER(INDEX('입력_구리근무자명단'!$A267:$ZZ267,1,$E$2+3)),INDEX('입력_구리근무자명단'!$A267:$ZZ267,1,$E$2+3),IFERROR(DATE(VALUE(LEFT(INDEX('입력_구리근무자명단'!$A267:$ZZ267,1,$E$2+3),4)),VALUE(MID(INDEX('입력_구리근무자명단'!$A267:$ZZ267,1,$E$2+3),6,2)),VALUE(MID(INDEX('입력_구리근무자명단'!$A267:$ZZ267,1,$E$2+3),9,2))),-1))))</f>
        <v/>
      </c>
      <c r="U269">
        <f>IF($R269="","",IF(OR($S269&lt;0,$T269&lt;0),0,MAX(0,MIN($T269,EOMONTH(급여기준월,0))-MAX($S269,급여기준월)+1)))</f>
        <v/>
      </c>
      <c r="V269">
        <f>IF($R269="","",TRIM(INDEX('입력_구리근무자명단'!$A267:$ZZ267,1,$E$2+5)&amp;""))</f>
        <v/>
      </c>
      <c r="W269">
        <f>IF(ISNUMBER(SEARCH("구리독자",$V269)),"구리독자","")</f>
        <v/>
      </c>
      <c r="X269">
        <f>IF($R269="","",$R269&amp;"|"&amp;IF(OR($Q269="인턴",ISNUMBER(SEARCH("수련교육부",$P269))),"인턴",$P269))</f>
        <v/>
      </c>
      <c r="Y269">
        <f>IF($R269="","",IF(COUNTIF(명단표[이름|과],$X269)=1,"명단 일치",IF(AND(COUNTIF(명단표[이름|과],$X269)=0,COUNTIF(명단표[이름],$R269)=1),"명단 일치(이름만, 과 다름)",IF(COUNTIF(명단표[이름],$R269)=0,IF(COUNTIF(기본자료표[이름],$R269)&gt;0,"명단에 없음(기본자료에는 있음)","명단에 없음"),"동명이인 확인"))))</f>
        <v/>
      </c>
      <c r="Z269">
        <f>IF($R269="","",IF($S269&lt;0,"⚠"&amp;INDEX('입력_구리근무자명단'!$A267:$ZZ267,1,$E$2+2),TEXT($S269,"yyyy-mm-dd")))</f>
        <v/>
      </c>
      <c r="AA269">
        <f>IF($R269="","",IF($T269&lt;0,"⚠"&amp;INDEX('입력_구리근무자명단'!$A267:$ZZ267,1,$E$2+3),TEXT($T269,"yyyy-mm-dd")))</f>
        <v/>
      </c>
      <c r="AB269">
        <f>AB268+IF($R269="",0,1)</f>
        <v/>
      </c>
      <c r="AC269">
        <f>IF($R269="","",$AB269)</f>
        <v/>
      </c>
    </row>
    <row r="270">
      <c r="A270">
        <f>IFERROR(INDEX($O$6:$O$1505,MATCH(265,$AC$6:$AC$1505,0)),"")</f>
        <v/>
      </c>
      <c r="B270">
        <f>IF(ISNUMBER($A270),INDEX($P$6:$P$1505,$A270-3),"")</f>
        <v/>
      </c>
      <c r="C270">
        <f>IF(ISNUMBER($A270),INDEX($Q$6:$Q$1505,$A270-3),"")</f>
        <v/>
      </c>
      <c r="D270">
        <f>IF(ISNUMBER($A270),INDEX($R$6:$R$1505,$A270-3),"")</f>
        <v/>
      </c>
      <c r="E270">
        <f>IF(ISNUMBER($A270),$G$2,"")</f>
        <v/>
      </c>
      <c r="F270">
        <f>IF(ISNUMBER($A270),INDEX($Z$6:$Z$1505,$A270-3),"")</f>
        <v/>
      </c>
      <c r="G270">
        <f>IF(ISNUMBER($A270),INDEX($AA$6:$AA$1505,$A270-3),"")</f>
        <v/>
      </c>
      <c r="H270">
        <f>IF(ISNUMBER($A270),INDEX($U$6:$U$1505,$A270-3),"")</f>
        <v/>
      </c>
      <c r="I270">
        <f>IF(ISNUMBER($A270),INDEX($V$6:$V$1505,$A270-3),"")</f>
        <v/>
      </c>
      <c r="J270">
        <f>IF(ISNUMBER($A270),INDEX($W$6:$W$1505,$A270-3),"")</f>
        <v/>
      </c>
      <c r="K270">
        <f>IF(ISNUMBER($A270),INDEX($X$6:$X$1505,$A270-3),"")</f>
        <v/>
      </c>
      <c r="L270">
        <f>IF(ISNUMBER($A270),INDEX($Y$6:$Y$1505,$A270-3),"")</f>
        <v/>
      </c>
      <c r="O270">
        <f>268</f>
        <v/>
      </c>
      <c r="P270">
        <f>IF(TRIM('입력_구리근무자명단'!$A268&amp;"")&lt;&gt;"",TRIM('입력_구리근무자명단'!$A268&amp;""),P269)</f>
        <v/>
      </c>
      <c r="Q270">
        <f>'입력_구리근무자명단'!$B268&amp;""</f>
        <v/>
      </c>
      <c r="R270">
        <f>IF($E$2="","",TRIM(INDEX('입력_구리근무자명단'!$A268:$ZZ268,1,$E$2+IF($G$2="확정",1,0))&amp;""))</f>
        <v/>
      </c>
      <c r="S270">
        <f>IF($R270="","",IF(INDEX('입력_구리근무자명단'!$A268:$ZZ268,1,$E$2+2)&amp;""="",급여기준월,IF(ISNUMBER(INDEX('입력_구리근무자명단'!$A268:$ZZ268,1,$E$2+2)),INDEX('입력_구리근무자명단'!$A268:$ZZ268,1,$E$2+2),IFERROR(DATE(VALUE(LEFT(INDEX('입력_구리근무자명단'!$A268:$ZZ268,1,$E$2+2),4)),VALUE(MID(INDEX('입력_구리근무자명단'!$A268:$ZZ268,1,$E$2+2),6,2)),VALUE(MID(INDEX('입력_구리근무자명단'!$A268:$ZZ268,1,$E$2+2),9,2))),-1))))</f>
        <v/>
      </c>
      <c r="T270">
        <f>IF($R270="","",IF(INDEX('입력_구리근무자명단'!$A268:$ZZ268,1,$E$2+3)&amp;""="",EOMONTH(급여기준월,0),IF(ISNUMBER(INDEX('입력_구리근무자명단'!$A268:$ZZ268,1,$E$2+3)),INDEX('입력_구리근무자명단'!$A268:$ZZ268,1,$E$2+3),IFERROR(DATE(VALUE(LEFT(INDEX('입력_구리근무자명단'!$A268:$ZZ268,1,$E$2+3),4)),VALUE(MID(INDEX('입력_구리근무자명단'!$A268:$ZZ268,1,$E$2+3),6,2)),VALUE(MID(INDEX('입력_구리근무자명단'!$A268:$ZZ268,1,$E$2+3),9,2))),-1))))</f>
        <v/>
      </c>
      <c r="U270">
        <f>IF($R270="","",IF(OR($S270&lt;0,$T270&lt;0),0,MAX(0,MIN($T270,EOMONTH(급여기준월,0))-MAX($S270,급여기준월)+1)))</f>
        <v/>
      </c>
      <c r="V270">
        <f>IF($R270="","",TRIM(INDEX('입력_구리근무자명단'!$A268:$ZZ268,1,$E$2+5)&amp;""))</f>
        <v/>
      </c>
      <c r="W270">
        <f>IF(ISNUMBER(SEARCH("구리독자",$V270)),"구리독자","")</f>
        <v/>
      </c>
      <c r="X270">
        <f>IF($R270="","",$R270&amp;"|"&amp;IF(OR($Q270="인턴",ISNUMBER(SEARCH("수련교육부",$P270))),"인턴",$P270))</f>
        <v/>
      </c>
      <c r="Y270">
        <f>IF($R270="","",IF(COUNTIF(명단표[이름|과],$X270)=1,"명단 일치",IF(AND(COUNTIF(명단표[이름|과],$X270)=0,COUNTIF(명단표[이름],$R270)=1),"명단 일치(이름만, 과 다름)",IF(COUNTIF(명단표[이름],$R270)=0,IF(COUNTIF(기본자료표[이름],$R270)&gt;0,"명단에 없음(기본자료에는 있음)","명단에 없음"),"동명이인 확인"))))</f>
        <v/>
      </c>
      <c r="Z270">
        <f>IF($R270="","",IF($S270&lt;0,"⚠"&amp;INDEX('입력_구리근무자명단'!$A268:$ZZ268,1,$E$2+2),TEXT($S270,"yyyy-mm-dd")))</f>
        <v/>
      </c>
      <c r="AA270">
        <f>IF($R270="","",IF($T270&lt;0,"⚠"&amp;INDEX('입력_구리근무자명단'!$A268:$ZZ268,1,$E$2+3),TEXT($T270,"yyyy-mm-dd")))</f>
        <v/>
      </c>
      <c r="AB270">
        <f>AB269+IF($R270="",0,1)</f>
        <v/>
      </c>
      <c r="AC270">
        <f>IF($R270="","",$AB270)</f>
        <v/>
      </c>
    </row>
    <row r="271">
      <c r="A271">
        <f>IFERROR(INDEX($O$6:$O$1505,MATCH(266,$AC$6:$AC$1505,0)),"")</f>
        <v/>
      </c>
      <c r="B271">
        <f>IF(ISNUMBER($A271),INDEX($P$6:$P$1505,$A271-3),"")</f>
        <v/>
      </c>
      <c r="C271">
        <f>IF(ISNUMBER($A271),INDEX($Q$6:$Q$1505,$A271-3),"")</f>
        <v/>
      </c>
      <c r="D271">
        <f>IF(ISNUMBER($A271),INDEX($R$6:$R$1505,$A271-3),"")</f>
        <v/>
      </c>
      <c r="E271">
        <f>IF(ISNUMBER($A271),$G$2,"")</f>
        <v/>
      </c>
      <c r="F271">
        <f>IF(ISNUMBER($A271),INDEX($Z$6:$Z$1505,$A271-3),"")</f>
        <v/>
      </c>
      <c r="G271">
        <f>IF(ISNUMBER($A271),INDEX($AA$6:$AA$1505,$A271-3),"")</f>
        <v/>
      </c>
      <c r="H271">
        <f>IF(ISNUMBER($A271),INDEX($U$6:$U$1505,$A271-3),"")</f>
        <v/>
      </c>
      <c r="I271">
        <f>IF(ISNUMBER($A271),INDEX($V$6:$V$1505,$A271-3),"")</f>
        <v/>
      </c>
      <c r="J271">
        <f>IF(ISNUMBER($A271),INDEX($W$6:$W$1505,$A271-3),"")</f>
        <v/>
      </c>
      <c r="K271">
        <f>IF(ISNUMBER($A271),INDEX($X$6:$X$1505,$A271-3),"")</f>
        <v/>
      </c>
      <c r="L271">
        <f>IF(ISNUMBER($A271),INDEX($Y$6:$Y$1505,$A271-3),"")</f>
        <v/>
      </c>
      <c r="O271">
        <f>269</f>
        <v/>
      </c>
      <c r="P271">
        <f>IF(TRIM('입력_구리근무자명단'!$A269&amp;"")&lt;&gt;"",TRIM('입력_구리근무자명단'!$A269&amp;""),P270)</f>
        <v/>
      </c>
      <c r="Q271">
        <f>'입력_구리근무자명단'!$B269&amp;""</f>
        <v/>
      </c>
      <c r="R271">
        <f>IF($E$2="","",TRIM(INDEX('입력_구리근무자명단'!$A269:$ZZ269,1,$E$2+IF($G$2="확정",1,0))&amp;""))</f>
        <v/>
      </c>
      <c r="S271">
        <f>IF($R271="","",IF(INDEX('입력_구리근무자명단'!$A269:$ZZ269,1,$E$2+2)&amp;""="",급여기준월,IF(ISNUMBER(INDEX('입력_구리근무자명단'!$A269:$ZZ269,1,$E$2+2)),INDEX('입력_구리근무자명단'!$A269:$ZZ269,1,$E$2+2),IFERROR(DATE(VALUE(LEFT(INDEX('입력_구리근무자명단'!$A269:$ZZ269,1,$E$2+2),4)),VALUE(MID(INDEX('입력_구리근무자명단'!$A269:$ZZ269,1,$E$2+2),6,2)),VALUE(MID(INDEX('입력_구리근무자명단'!$A269:$ZZ269,1,$E$2+2),9,2))),-1))))</f>
        <v/>
      </c>
      <c r="T271">
        <f>IF($R271="","",IF(INDEX('입력_구리근무자명단'!$A269:$ZZ269,1,$E$2+3)&amp;""="",EOMONTH(급여기준월,0),IF(ISNUMBER(INDEX('입력_구리근무자명단'!$A269:$ZZ269,1,$E$2+3)),INDEX('입력_구리근무자명단'!$A269:$ZZ269,1,$E$2+3),IFERROR(DATE(VALUE(LEFT(INDEX('입력_구리근무자명단'!$A269:$ZZ269,1,$E$2+3),4)),VALUE(MID(INDEX('입력_구리근무자명단'!$A269:$ZZ269,1,$E$2+3),6,2)),VALUE(MID(INDEX('입력_구리근무자명단'!$A269:$ZZ269,1,$E$2+3),9,2))),-1))))</f>
        <v/>
      </c>
      <c r="U271">
        <f>IF($R271="","",IF(OR($S271&lt;0,$T271&lt;0),0,MAX(0,MIN($T271,EOMONTH(급여기준월,0))-MAX($S271,급여기준월)+1)))</f>
        <v/>
      </c>
      <c r="V271">
        <f>IF($R271="","",TRIM(INDEX('입력_구리근무자명단'!$A269:$ZZ269,1,$E$2+5)&amp;""))</f>
        <v/>
      </c>
      <c r="W271">
        <f>IF(ISNUMBER(SEARCH("구리독자",$V271)),"구리독자","")</f>
        <v/>
      </c>
      <c r="X271">
        <f>IF($R271="","",$R271&amp;"|"&amp;IF(OR($Q271="인턴",ISNUMBER(SEARCH("수련교육부",$P271))),"인턴",$P271))</f>
        <v/>
      </c>
      <c r="Y271">
        <f>IF($R271="","",IF(COUNTIF(명단표[이름|과],$X271)=1,"명단 일치",IF(AND(COUNTIF(명단표[이름|과],$X271)=0,COUNTIF(명단표[이름],$R271)=1),"명단 일치(이름만, 과 다름)",IF(COUNTIF(명단표[이름],$R271)=0,IF(COUNTIF(기본자료표[이름],$R271)&gt;0,"명단에 없음(기본자료에는 있음)","명단에 없음"),"동명이인 확인"))))</f>
        <v/>
      </c>
      <c r="Z271">
        <f>IF($R271="","",IF($S271&lt;0,"⚠"&amp;INDEX('입력_구리근무자명단'!$A269:$ZZ269,1,$E$2+2),TEXT($S271,"yyyy-mm-dd")))</f>
        <v/>
      </c>
      <c r="AA271">
        <f>IF($R271="","",IF($T271&lt;0,"⚠"&amp;INDEX('입력_구리근무자명단'!$A269:$ZZ269,1,$E$2+3),TEXT($T271,"yyyy-mm-dd")))</f>
        <v/>
      </c>
      <c r="AB271">
        <f>AB270+IF($R271="",0,1)</f>
        <v/>
      </c>
      <c r="AC271">
        <f>IF($R271="","",$AB271)</f>
        <v/>
      </c>
    </row>
    <row r="272">
      <c r="A272">
        <f>IFERROR(INDEX($O$6:$O$1505,MATCH(267,$AC$6:$AC$1505,0)),"")</f>
        <v/>
      </c>
      <c r="B272">
        <f>IF(ISNUMBER($A272),INDEX($P$6:$P$1505,$A272-3),"")</f>
        <v/>
      </c>
      <c r="C272">
        <f>IF(ISNUMBER($A272),INDEX($Q$6:$Q$1505,$A272-3),"")</f>
        <v/>
      </c>
      <c r="D272">
        <f>IF(ISNUMBER($A272),INDEX($R$6:$R$1505,$A272-3),"")</f>
        <v/>
      </c>
      <c r="E272">
        <f>IF(ISNUMBER($A272),$G$2,"")</f>
        <v/>
      </c>
      <c r="F272">
        <f>IF(ISNUMBER($A272),INDEX($Z$6:$Z$1505,$A272-3),"")</f>
        <v/>
      </c>
      <c r="G272">
        <f>IF(ISNUMBER($A272),INDEX($AA$6:$AA$1505,$A272-3),"")</f>
        <v/>
      </c>
      <c r="H272">
        <f>IF(ISNUMBER($A272),INDEX($U$6:$U$1505,$A272-3),"")</f>
        <v/>
      </c>
      <c r="I272">
        <f>IF(ISNUMBER($A272),INDEX($V$6:$V$1505,$A272-3),"")</f>
        <v/>
      </c>
      <c r="J272">
        <f>IF(ISNUMBER($A272),INDEX($W$6:$W$1505,$A272-3),"")</f>
        <v/>
      </c>
      <c r="K272">
        <f>IF(ISNUMBER($A272),INDEX($X$6:$X$1505,$A272-3),"")</f>
        <v/>
      </c>
      <c r="L272">
        <f>IF(ISNUMBER($A272),INDEX($Y$6:$Y$1505,$A272-3),"")</f>
        <v/>
      </c>
      <c r="O272">
        <f>270</f>
        <v/>
      </c>
      <c r="P272">
        <f>IF(TRIM('입력_구리근무자명단'!$A270&amp;"")&lt;&gt;"",TRIM('입력_구리근무자명단'!$A270&amp;""),P271)</f>
        <v/>
      </c>
      <c r="Q272">
        <f>'입력_구리근무자명단'!$B270&amp;""</f>
        <v/>
      </c>
      <c r="R272">
        <f>IF($E$2="","",TRIM(INDEX('입력_구리근무자명단'!$A270:$ZZ270,1,$E$2+IF($G$2="확정",1,0))&amp;""))</f>
        <v/>
      </c>
      <c r="S272">
        <f>IF($R272="","",IF(INDEX('입력_구리근무자명단'!$A270:$ZZ270,1,$E$2+2)&amp;""="",급여기준월,IF(ISNUMBER(INDEX('입력_구리근무자명단'!$A270:$ZZ270,1,$E$2+2)),INDEX('입력_구리근무자명단'!$A270:$ZZ270,1,$E$2+2),IFERROR(DATE(VALUE(LEFT(INDEX('입력_구리근무자명단'!$A270:$ZZ270,1,$E$2+2),4)),VALUE(MID(INDEX('입력_구리근무자명단'!$A270:$ZZ270,1,$E$2+2),6,2)),VALUE(MID(INDEX('입력_구리근무자명단'!$A270:$ZZ270,1,$E$2+2),9,2))),-1))))</f>
        <v/>
      </c>
      <c r="T272">
        <f>IF($R272="","",IF(INDEX('입력_구리근무자명단'!$A270:$ZZ270,1,$E$2+3)&amp;""="",EOMONTH(급여기준월,0),IF(ISNUMBER(INDEX('입력_구리근무자명단'!$A270:$ZZ270,1,$E$2+3)),INDEX('입력_구리근무자명단'!$A270:$ZZ270,1,$E$2+3),IFERROR(DATE(VALUE(LEFT(INDEX('입력_구리근무자명단'!$A270:$ZZ270,1,$E$2+3),4)),VALUE(MID(INDEX('입력_구리근무자명단'!$A270:$ZZ270,1,$E$2+3),6,2)),VALUE(MID(INDEX('입력_구리근무자명단'!$A270:$ZZ270,1,$E$2+3),9,2))),-1))))</f>
        <v/>
      </c>
      <c r="U272">
        <f>IF($R272="","",IF(OR($S272&lt;0,$T272&lt;0),0,MAX(0,MIN($T272,EOMONTH(급여기준월,0))-MAX($S272,급여기준월)+1)))</f>
        <v/>
      </c>
      <c r="V272">
        <f>IF($R272="","",TRIM(INDEX('입력_구리근무자명단'!$A270:$ZZ270,1,$E$2+5)&amp;""))</f>
        <v/>
      </c>
      <c r="W272">
        <f>IF(ISNUMBER(SEARCH("구리독자",$V272)),"구리독자","")</f>
        <v/>
      </c>
      <c r="X272">
        <f>IF($R272="","",$R272&amp;"|"&amp;IF(OR($Q272="인턴",ISNUMBER(SEARCH("수련교육부",$P272))),"인턴",$P272))</f>
        <v/>
      </c>
      <c r="Y272">
        <f>IF($R272="","",IF(COUNTIF(명단표[이름|과],$X272)=1,"명단 일치",IF(AND(COUNTIF(명단표[이름|과],$X272)=0,COUNTIF(명단표[이름],$R272)=1),"명단 일치(이름만, 과 다름)",IF(COUNTIF(명단표[이름],$R272)=0,IF(COUNTIF(기본자료표[이름],$R272)&gt;0,"명단에 없음(기본자료에는 있음)","명단에 없음"),"동명이인 확인"))))</f>
        <v/>
      </c>
      <c r="Z272">
        <f>IF($R272="","",IF($S272&lt;0,"⚠"&amp;INDEX('입력_구리근무자명단'!$A270:$ZZ270,1,$E$2+2),TEXT($S272,"yyyy-mm-dd")))</f>
        <v/>
      </c>
      <c r="AA272">
        <f>IF($R272="","",IF($T272&lt;0,"⚠"&amp;INDEX('입력_구리근무자명단'!$A270:$ZZ270,1,$E$2+3),TEXT($T272,"yyyy-mm-dd")))</f>
        <v/>
      </c>
      <c r="AB272">
        <f>AB271+IF($R272="",0,1)</f>
        <v/>
      </c>
      <c r="AC272">
        <f>IF($R272="","",$AB272)</f>
        <v/>
      </c>
    </row>
    <row r="273">
      <c r="A273">
        <f>IFERROR(INDEX($O$6:$O$1505,MATCH(268,$AC$6:$AC$1505,0)),"")</f>
        <v/>
      </c>
      <c r="B273">
        <f>IF(ISNUMBER($A273),INDEX($P$6:$P$1505,$A273-3),"")</f>
        <v/>
      </c>
      <c r="C273">
        <f>IF(ISNUMBER($A273),INDEX($Q$6:$Q$1505,$A273-3),"")</f>
        <v/>
      </c>
      <c r="D273">
        <f>IF(ISNUMBER($A273),INDEX($R$6:$R$1505,$A273-3),"")</f>
        <v/>
      </c>
      <c r="E273">
        <f>IF(ISNUMBER($A273),$G$2,"")</f>
        <v/>
      </c>
      <c r="F273">
        <f>IF(ISNUMBER($A273),INDEX($Z$6:$Z$1505,$A273-3),"")</f>
        <v/>
      </c>
      <c r="G273">
        <f>IF(ISNUMBER($A273),INDEX($AA$6:$AA$1505,$A273-3),"")</f>
        <v/>
      </c>
      <c r="H273">
        <f>IF(ISNUMBER($A273),INDEX($U$6:$U$1505,$A273-3),"")</f>
        <v/>
      </c>
      <c r="I273">
        <f>IF(ISNUMBER($A273),INDEX($V$6:$V$1505,$A273-3),"")</f>
        <v/>
      </c>
      <c r="J273">
        <f>IF(ISNUMBER($A273),INDEX($W$6:$W$1505,$A273-3),"")</f>
        <v/>
      </c>
      <c r="K273">
        <f>IF(ISNUMBER($A273),INDEX($X$6:$X$1505,$A273-3),"")</f>
        <v/>
      </c>
      <c r="L273">
        <f>IF(ISNUMBER($A273),INDEX($Y$6:$Y$1505,$A273-3),"")</f>
        <v/>
      </c>
      <c r="O273">
        <f>271</f>
        <v/>
      </c>
      <c r="P273">
        <f>IF(TRIM('입력_구리근무자명단'!$A271&amp;"")&lt;&gt;"",TRIM('입력_구리근무자명단'!$A271&amp;""),P272)</f>
        <v/>
      </c>
      <c r="Q273">
        <f>'입력_구리근무자명단'!$B271&amp;""</f>
        <v/>
      </c>
      <c r="R273">
        <f>IF($E$2="","",TRIM(INDEX('입력_구리근무자명단'!$A271:$ZZ271,1,$E$2+IF($G$2="확정",1,0))&amp;""))</f>
        <v/>
      </c>
      <c r="S273">
        <f>IF($R273="","",IF(INDEX('입력_구리근무자명단'!$A271:$ZZ271,1,$E$2+2)&amp;""="",급여기준월,IF(ISNUMBER(INDEX('입력_구리근무자명단'!$A271:$ZZ271,1,$E$2+2)),INDEX('입력_구리근무자명단'!$A271:$ZZ271,1,$E$2+2),IFERROR(DATE(VALUE(LEFT(INDEX('입력_구리근무자명단'!$A271:$ZZ271,1,$E$2+2),4)),VALUE(MID(INDEX('입력_구리근무자명단'!$A271:$ZZ271,1,$E$2+2),6,2)),VALUE(MID(INDEX('입력_구리근무자명단'!$A271:$ZZ271,1,$E$2+2),9,2))),-1))))</f>
        <v/>
      </c>
      <c r="T273">
        <f>IF($R273="","",IF(INDEX('입력_구리근무자명단'!$A271:$ZZ271,1,$E$2+3)&amp;""="",EOMONTH(급여기준월,0),IF(ISNUMBER(INDEX('입력_구리근무자명단'!$A271:$ZZ271,1,$E$2+3)),INDEX('입력_구리근무자명단'!$A271:$ZZ271,1,$E$2+3),IFERROR(DATE(VALUE(LEFT(INDEX('입력_구리근무자명단'!$A271:$ZZ271,1,$E$2+3),4)),VALUE(MID(INDEX('입력_구리근무자명단'!$A271:$ZZ271,1,$E$2+3),6,2)),VALUE(MID(INDEX('입력_구리근무자명단'!$A271:$ZZ271,1,$E$2+3),9,2))),-1))))</f>
        <v/>
      </c>
      <c r="U273">
        <f>IF($R273="","",IF(OR($S273&lt;0,$T273&lt;0),0,MAX(0,MIN($T273,EOMONTH(급여기준월,0))-MAX($S273,급여기준월)+1)))</f>
        <v/>
      </c>
      <c r="V273">
        <f>IF($R273="","",TRIM(INDEX('입력_구리근무자명단'!$A271:$ZZ271,1,$E$2+5)&amp;""))</f>
        <v/>
      </c>
      <c r="W273">
        <f>IF(ISNUMBER(SEARCH("구리독자",$V273)),"구리독자","")</f>
        <v/>
      </c>
      <c r="X273">
        <f>IF($R273="","",$R273&amp;"|"&amp;IF(OR($Q273="인턴",ISNUMBER(SEARCH("수련교육부",$P273))),"인턴",$P273))</f>
        <v/>
      </c>
      <c r="Y273">
        <f>IF($R273="","",IF(COUNTIF(명단표[이름|과],$X273)=1,"명단 일치",IF(AND(COUNTIF(명단표[이름|과],$X273)=0,COUNTIF(명단표[이름],$R273)=1),"명단 일치(이름만, 과 다름)",IF(COUNTIF(명단표[이름],$R273)=0,IF(COUNTIF(기본자료표[이름],$R273)&gt;0,"명단에 없음(기본자료에는 있음)","명단에 없음"),"동명이인 확인"))))</f>
        <v/>
      </c>
      <c r="Z273">
        <f>IF($R273="","",IF($S273&lt;0,"⚠"&amp;INDEX('입력_구리근무자명단'!$A271:$ZZ271,1,$E$2+2),TEXT($S273,"yyyy-mm-dd")))</f>
        <v/>
      </c>
      <c r="AA273">
        <f>IF($R273="","",IF($T273&lt;0,"⚠"&amp;INDEX('입력_구리근무자명단'!$A271:$ZZ271,1,$E$2+3),TEXT($T273,"yyyy-mm-dd")))</f>
        <v/>
      </c>
      <c r="AB273">
        <f>AB272+IF($R273="",0,1)</f>
        <v/>
      </c>
      <c r="AC273">
        <f>IF($R273="","",$AB273)</f>
        <v/>
      </c>
    </row>
    <row r="274">
      <c r="A274">
        <f>IFERROR(INDEX($O$6:$O$1505,MATCH(269,$AC$6:$AC$1505,0)),"")</f>
        <v/>
      </c>
      <c r="B274">
        <f>IF(ISNUMBER($A274),INDEX($P$6:$P$1505,$A274-3),"")</f>
        <v/>
      </c>
      <c r="C274">
        <f>IF(ISNUMBER($A274),INDEX($Q$6:$Q$1505,$A274-3),"")</f>
        <v/>
      </c>
      <c r="D274">
        <f>IF(ISNUMBER($A274),INDEX($R$6:$R$1505,$A274-3),"")</f>
        <v/>
      </c>
      <c r="E274">
        <f>IF(ISNUMBER($A274),$G$2,"")</f>
        <v/>
      </c>
      <c r="F274">
        <f>IF(ISNUMBER($A274),INDEX($Z$6:$Z$1505,$A274-3),"")</f>
        <v/>
      </c>
      <c r="G274">
        <f>IF(ISNUMBER($A274),INDEX($AA$6:$AA$1505,$A274-3),"")</f>
        <v/>
      </c>
      <c r="H274">
        <f>IF(ISNUMBER($A274),INDEX($U$6:$U$1505,$A274-3),"")</f>
        <v/>
      </c>
      <c r="I274">
        <f>IF(ISNUMBER($A274),INDEX($V$6:$V$1505,$A274-3),"")</f>
        <v/>
      </c>
      <c r="J274">
        <f>IF(ISNUMBER($A274),INDEX($W$6:$W$1505,$A274-3),"")</f>
        <v/>
      </c>
      <c r="K274">
        <f>IF(ISNUMBER($A274),INDEX($X$6:$X$1505,$A274-3),"")</f>
        <v/>
      </c>
      <c r="L274">
        <f>IF(ISNUMBER($A274),INDEX($Y$6:$Y$1505,$A274-3),"")</f>
        <v/>
      </c>
      <c r="O274">
        <f>272</f>
        <v/>
      </c>
      <c r="P274">
        <f>IF(TRIM('입력_구리근무자명단'!$A272&amp;"")&lt;&gt;"",TRIM('입력_구리근무자명단'!$A272&amp;""),P273)</f>
        <v/>
      </c>
      <c r="Q274">
        <f>'입력_구리근무자명단'!$B272&amp;""</f>
        <v/>
      </c>
      <c r="R274">
        <f>IF($E$2="","",TRIM(INDEX('입력_구리근무자명단'!$A272:$ZZ272,1,$E$2+IF($G$2="확정",1,0))&amp;""))</f>
        <v/>
      </c>
      <c r="S274">
        <f>IF($R274="","",IF(INDEX('입력_구리근무자명단'!$A272:$ZZ272,1,$E$2+2)&amp;""="",급여기준월,IF(ISNUMBER(INDEX('입력_구리근무자명단'!$A272:$ZZ272,1,$E$2+2)),INDEX('입력_구리근무자명단'!$A272:$ZZ272,1,$E$2+2),IFERROR(DATE(VALUE(LEFT(INDEX('입력_구리근무자명단'!$A272:$ZZ272,1,$E$2+2),4)),VALUE(MID(INDEX('입력_구리근무자명단'!$A272:$ZZ272,1,$E$2+2),6,2)),VALUE(MID(INDEX('입력_구리근무자명단'!$A272:$ZZ272,1,$E$2+2),9,2))),-1))))</f>
        <v/>
      </c>
      <c r="T274">
        <f>IF($R274="","",IF(INDEX('입력_구리근무자명단'!$A272:$ZZ272,1,$E$2+3)&amp;""="",EOMONTH(급여기준월,0),IF(ISNUMBER(INDEX('입력_구리근무자명단'!$A272:$ZZ272,1,$E$2+3)),INDEX('입력_구리근무자명단'!$A272:$ZZ272,1,$E$2+3),IFERROR(DATE(VALUE(LEFT(INDEX('입력_구리근무자명단'!$A272:$ZZ272,1,$E$2+3),4)),VALUE(MID(INDEX('입력_구리근무자명단'!$A272:$ZZ272,1,$E$2+3),6,2)),VALUE(MID(INDEX('입력_구리근무자명단'!$A272:$ZZ272,1,$E$2+3),9,2))),-1))))</f>
        <v/>
      </c>
      <c r="U274">
        <f>IF($R274="","",IF(OR($S274&lt;0,$T274&lt;0),0,MAX(0,MIN($T274,EOMONTH(급여기준월,0))-MAX($S274,급여기준월)+1)))</f>
        <v/>
      </c>
      <c r="V274">
        <f>IF($R274="","",TRIM(INDEX('입력_구리근무자명단'!$A272:$ZZ272,1,$E$2+5)&amp;""))</f>
        <v/>
      </c>
      <c r="W274">
        <f>IF(ISNUMBER(SEARCH("구리독자",$V274)),"구리독자","")</f>
        <v/>
      </c>
      <c r="X274">
        <f>IF($R274="","",$R274&amp;"|"&amp;IF(OR($Q274="인턴",ISNUMBER(SEARCH("수련교육부",$P274))),"인턴",$P274))</f>
        <v/>
      </c>
      <c r="Y274">
        <f>IF($R274="","",IF(COUNTIF(명단표[이름|과],$X274)=1,"명단 일치",IF(AND(COUNTIF(명단표[이름|과],$X274)=0,COUNTIF(명단표[이름],$R274)=1),"명단 일치(이름만, 과 다름)",IF(COUNTIF(명단표[이름],$R274)=0,IF(COUNTIF(기본자료표[이름],$R274)&gt;0,"명단에 없음(기본자료에는 있음)","명단에 없음"),"동명이인 확인"))))</f>
        <v/>
      </c>
      <c r="Z274">
        <f>IF($R274="","",IF($S274&lt;0,"⚠"&amp;INDEX('입력_구리근무자명단'!$A272:$ZZ272,1,$E$2+2),TEXT($S274,"yyyy-mm-dd")))</f>
        <v/>
      </c>
      <c r="AA274">
        <f>IF($R274="","",IF($T274&lt;0,"⚠"&amp;INDEX('입력_구리근무자명단'!$A272:$ZZ272,1,$E$2+3),TEXT($T274,"yyyy-mm-dd")))</f>
        <v/>
      </c>
      <c r="AB274">
        <f>AB273+IF($R274="",0,1)</f>
        <v/>
      </c>
      <c r="AC274">
        <f>IF($R274="","",$AB274)</f>
        <v/>
      </c>
    </row>
    <row r="275">
      <c r="A275">
        <f>IFERROR(INDEX($O$6:$O$1505,MATCH(270,$AC$6:$AC$1505,0)),"")</f>
        <v/>
      </c>
      <c r="B275">
        <f>IF(ISNUMBER($A275),INDEX($P$6:$P$1505,$A275-3),"")</f>
        <v/>
      </c>
      <c r="C275">
        <f>IF(ISNUMBER($A275),INDEX($Q$6:$Q$1505,$A275-3),"")</f>
        <v/>
      </c>
      <c r="D275">
        <f>IF(ISNUMBER($A275),INDEX($R$6:$R$1505,$A275-3),"")</f>
        <v/>
      </c>
      <c r="E275">
        <f>IF(ISNUMBER($A275),$G$2,"")</f>
        <v/>
      </c>
      <c r="F275">
        <f>IF(ISNUMBER($A275),INDEX($Z$6:$Z$1505,$A275-3),"")</f>
        <v/>
      </c>
      <c r="G275">
        <f>IF(ISNUMBER($A275),INDEX($AA$6:$AA$1505,$A275-3),"")</f>
        <v/>
      </c>
      <c r="H275">
        <f>IF(ISNUMBER($A275),INDEX($U$6:$U$1505,$A275-3),"")</f>
        <v/>
      </c>
      <c r="I275">
        <f>IF(ISNUMBER($A275),INDEX($V$6:$V$1505,$A275-3),"")</f>
        <v/>
      </c>
      <c r="J275">
        <f>IF(ISNUMBER($A275),INDEX($W$6:$W$1505,$A275-3),"")</f>
        <v/>
      </c>
      <c r="K275">
        <f>IF(ISNUMBER($A275),INDEX($X$6:$X$1505,$A275-3),"")</f>
        <v/>
      </c>
      <c r="L275">
        <f>IF(ISNUMBER($A275),INDEX($Y$6:$Y$1505,$A275-3),"")</f>
        <v/>
      </c>
      <c r="O275">
        <f>273</f>
        <v/>
      </c>
      <c r="P275">
        <f>IF(TRIM('입력_구리근무자명단'!$A273&amp;"")&lt;&gt;"",TRIM('입력_구리근무자명단'!$A273&amp;""),P274)</f>
        <v/>
      </c>
      <c r="Q275">
        <f>'입력_구리근무자명단'!$B273&amp;""</f>
        <v/>
      </c>
      <c r="R275">
        <f>IF($E$2="","",TRIM(INDEX('입력_구리근무자명단'!$A273:$ZZ273,1,$E$2+IF($G$2="확정",1,0))&amp;""))</f>
        <v/>
      </c>
      <c r="S275">
        <f>IF($R275="","",IF(INDEX('입력_구리근무자명단'!$A273:$ZZ273,1,$E$2+2)&amp;""="",급여기준월,IF(ISNUMBER(INDEX('입력_구리근무자명단'!$A273:$ZZ273,1,$E$2+2)),INDEX('입력_구리근무자명단'!$A273:$ZZ273,1,$E$2+2),IFERROR(DATE(VALUE(LEFT(INDEX('입력_구리근무자명단'!$A273:$ZZ273,1,$E$2+2),4)),VALUE(MID(INDEX('입력_구리근무자명단'!$A273:$ZZ273,1,$E$2+2),6,2)),VALUE(MID(INDEX('입력_구리근무자명단'!$A273:$ZZ273,1,$E$2+2),9,2))),-1))))</f>
        <v/>
      </c>
      <c r="T275">
        <f>IF($R275="","",IF(INDEX('입력_구리근무자명단'!$A273:$ZZ273,1,$E$2+3)&amp;""="",EOMONTH(급여기준월,0),IF(ISNUMBER(INDEX('입력_구리근무자명단'!$A273:$ZZ273,1,$E$2+3)),INDEX('입력_구리근무자명단'!$A273:$ZZ273,1,$E$2+3),IFERROR(DATE(VALUE(LEFT(INDEX('입력_구리근무자명단'!$A273:$ZZ273,1,$E$2+3),4)),VALUE(MID(INDEX('입력_구리근무자명단'!$A273:$ZZ273,1,$E$2+3),6,2)),VALUE(MID(INDEX('입력_구리근무자명단'!$A273:$ZZ273,1,$E$2+3),9,2))),-1))))</f>
        <v/>
      </c>
      <c r="U275">
        <f>IF($R275="","",IF(OR($S275&lt;0,$T275&lt;0),0,MAX(0,MIN($T275,EOMONTH(급여기준월,0))-MAX($S275,급여기준월)+1)))</f>
        <v/>
      </c>
      <c r="V275">
        <f>IF($R275="","",TRIM(INDEX('입력_구리근무자명단'!$A273:$ZZ273,1,$E$2+5)&amp;""))</f>
        <v/>
      </c>
      <c r="W275">
        <f>IF(ISNUMBER(SEARCH("구리독자",$V275)),"구리독자","")</f>
        <v/>
      </c>
      <c r="X275">
        <f>IF($R275="","",$R275&amp;"|"&amp;IF(OR($Q275="인턴",ISNUMBER(SEARCH("수련교육부",$P275))),"인턴",$P275))</f>
        <v/>
      </c>
      <c r="Y275">
        <f>IF($R275="","",IF(COUNTIF(명단표[이름|과],$X275)=1,"명단 일치",IF(AND(COUNTIF(명단표[이름|과],$X275)=0,COUNTIF(명단표[이름],$R275)=1),"명단 일치(이름만, 과 다름)",IF(COUNTIF(명단표[이름],$R275)=0,IF(COUNTIF(기본자료표[이름],$R275)&gt;0,"명단에 없음(기본자료에는 있음)","명단에 없음"),"동명이인 확인"))))</f>
        <v/>
      </c>
      <c r="Z275">
        <f>IF($R275="","",IF($S275&lt;0,"⚠"&amp;INDEX('입력_구리근무자명단'!$A273:$ZZ273,1,$E$2+2),TEXT($S275,"yyyy-mm-dd")))</f>
        <v/>
      </c>
      <c r="AA275">
        <f>IF($R275="","",IF($T275&lt;0,"⚠"&amp;INDEX('입력_구리근무자명단'!$A273:$ZZ273,1,$E$2+3),TEXT($T275,"yyyy-mm-dd")))</f>
        <v/>
      </c>
      <c r="AB275">
        <f>AB274+IF($R275="",0,1)</f>
        <v/>
      </c>
      <c r="AC275">
        <f>IF($R275="","",$AB275)</f>
        <v/>
      </c>
    </row>
    <row r="276">
      <c r="A276">
        <f>IFERROR(INDEX($O$6:$O$1505,MATCH(271,$AC$6:$AC$1505,0)),"")</f>
        <v/>
      </c>
      <c r="B276">
        <f>IF(ISNUMBER($A276),INDEX($P$6:$P$1505,$A276-3),"")</f>
        <v/>
      </c>
      <c r="C276">
        <f>IF(ISNUMBER($A276),INDEX($Q$6:$Q$1505,$A276-3),"")</f>
        <v/>
      </c>
      <c r="D276">
        <f>IF(ISNUMBER($A276),INDEX($R$6:$R$1505,$A276-3),"")</f>
        <v/>
      </c>
      <c r="E276">
        <f>IF(ISNUMBER($A276),$G$2,"")</f>
        <v/>
      </c>
      <c r="F276">
        <f>IF(ISNUMBER($A276),INDEX($Z$6:$Z$1505,$A276-3),"")</f>
        <v/>
      </c>
      <c r="G276">
        <f>IF(ISNUMBER($A276),INDEX($AA$6:$AA$1505,$A276-3),"")</f>
        <v/>
      </c>
      <c r="H276">
        <f>IF(ISNUMBER($A276),INDEX($U$6:$U$1505,$A276-3),"")</f>
        <v/>
      </c>
      <c r="I276">
        <f>IF(ISNUMBER($A276),INDEX($V$6:$V$1505,$A276-3),"")</f>
        <v/>
      </c>
      <c r="J276">
        <f>IF(ISNUMBER($A276),INDEX($W$6:$W$1505,$A276-3),"")</f>
        <v/>
      </c>
      <c r="K276">
        <f>IF(ISNUMBER($A276),INDEX($X$6:$X$1505,$A276-3),"")</f>
        <v/>
      </c>
      <c r="L276">
        <f>IF(ISNUMBER($A276),INDEX($Y$6:$Y$1505,$A276-3),"")</f>
        <v/>
      </c>
      <c r="O276">
        <f>274</f>
        <v/>
      </c>
      <c r="P276">
        <f>IF(TRIM('입력_구리근무자명단'!$A274&amp;"")&lt;&gt;"",TRIM('입력_구리근무자명단'!$A274&amp;""),P275)</f>
        <v/>
      </c>
      <c r="Q276">
        <f>'입력_구리근무자명단'!$B274&amp;""</f>
        <v/>
      </c>
      <c r="R276">
        <f>IF($E$2="","",TRIM(INDEX('입력_구리근무자명단'!$A274:$ZZ274,1,$E$2+IF($G$2="확정",1,0))&amp;""))</f>
        <v/>
      </c>
      <c r="S276">
        <f>IF($R276="","",IF(INDEX('입력_구리근무자명단'!$A274:$ZZ274,1,$E$2+2)&amp;""="",급여기준월,IF(ISNUMBER(INDEX('입력_구리근무자명단'!$A274:$ZZ274,1,$E$2+2)),INDEX('입력_구리근무자명단'!$A274:$ZZ274,1,$E$2+2),IFERROR(DATE(VALUE(LEFT(INDEX('입력_구리근무자명단'!$A274:$ZZ274,1,$E$2+2),4)),VALUE(MID(INDEX('입력_구리근무자명단'!$A274:$ZZ274,1,$E$2+2),6,2)),VALUE(MID(INDEX('입력_구리근무자명단'!$A274:$ZZ274,1,$E$2+2),9,2))),-1))))</f>
        <v/>
      </c>
      <c r="T276">
        <f>IF($R276="","",IF(INDEX('입력_구리근무자명단'!$A274:$ZZ274,1,$E$2+3)&amp;""="",EOMONTH(급여기준월,0),IF(ISNUMBER(INDEX('입력_구리근무자명단'!$A274:$ZZ274,1,$E$2+3)),INDEX('입력_구리근무자명단'!$A274:$ZZ274,1,$E$2+3),IFERROR(DATE(VALUE(LEFT(INDEX('입력_구리근무자명단'!$A274:$ZZ274,1,$E$2+3),4)),VALUE(MID(INDEX('입력_구리근무자명단'!$A274:$ZZ274,1,$E$2+3),6,2)),VALUE(MID(INDEX('입력_구리근무자명단'!$A274:$ZZ274,1,$E$2+3),9,2))),-1))))</f>
        <v/>
      </c>
      <c r="U276">
        <f>IF($R276="","",IF(OR($S276&lt;0,$T276&lt;0),0,MAX(0,MIN($T276,EOMONTH(급여기준월,0))-MAX($S276,급여기준월)+1)))</f>
        <v/>
      </c>
      <c r="V276">
        <f>IF($R276="","",TRIM(INDEX('입력_구리근무자명단'!$A274:$ZZ274,1,$E$2+5)&amp;""))</f>
        <v/>
      </c>
      <c r="W276">
        <f>IF(ISNUMBER(SEARCH("구리독자",$V276)),"구리독자","")</f>
        <v/>
      </c>
      <c r="X276">
        <f>IF($R276="","",$R276&amp;"|"&amp;IF(OR($Q276="인턴",ISNUMBER(SEARCH("수련교육부",$P276))),"인턴",$P276))</f>
        <v/>
      </c>
      <c r="Y276">
        <f>IF($R276="","",IF(COUNTIF(명단표[이름|과],$X276)=1,"명단 일치",IF(AND(COUNTIF(명단표[이름|과],$X276)=0,COUNTIF(명단표[이름],$R276)=1),"명단 일치(이름만, 과 다름)",IF(COUNTIF(명단표[이름],$R276)=0,IF(COUNTIF(기본자료표[이름],$R276)&gt;0,"명단에 없음(기본자료에는 있음)","명단에 없음"),"동명이인 확인"))))</f>
        <v/>
      </c>
      <c r="Z276">
        <f>IF($R276="","",IF($S276&lt;0,"⚠"&amp;INDEX('입력_구리근무자명단'!$A274:$ZZ274,1,$E$2+2),TEXT($S276,"yyyy-mm-dd")))</f>
        <v/>
      </c>
      <c r="AA276">
        <f>IF($R276="","",IF($T276&lt;0,"⚠"&amp;INDEX('입력_구리근무자명단'!$A274:$ZZ274,1,$E$2+3),TEXT($T276,"yyyy-mm-dd")))</f>
        <v/>
      </c>
      <c r="AB276">
        <f>AB275+IF($R276="",0,1)</f>
        <v/>
      </c>
      <c r="AC276">
        <f>IF($R276="","",$AB276)</f>
        <v/>
      </c>
    </row>
    <row r="277">
      <c r="A277">
        <f>IFERROR(INDEX($O$6:$O$1505,MATCH(272,$AC$6:$AC$1505,0)),"")</f>
        <v/>
      </c>
      <c r="B277">
        <f>IF(ISNUMBER($A277),INDEX($P$6:$P$1505,$A277-3),"")</f>
        <v/>
      </c>
      <c r="C277">
        <f>IF(ISNUMBER($A277),INDEX($Q$6:$Q$1505,$A277-3),"")</f>
        <v/>
      </c>
      <c r="D277">
        <f>IF(ISNUMBER($A277),INDEX($R$6:$R$1505,$A277-3),"")</f>
        <v/>
      </c>
      <c r="E277">
        <f>IF(ISNUMBER($A277),$G$2,"")</f>
        <v/>
      </c>
      <c r="F277">
        <f>IF(ISNUMBER($A277),INDEX($Z$6:$Z$1505,$A277-3),"")</f>
        <v/>
      </c>
      <c r="G277">
        <f>IF(ISNUMBER($A277),INDEX($AA$6:$AA$1505,$A277-3),"")</f>
        <v/>
      </c>
      <c r="H277">
        <f>IF(ISNUMBER($A277),INDEX($U$6:$U$1505,$A277-3),"")</f>
        <v/>
      </c>
      <c r="I277">
        <f>IF(ISNUMBER($A277),INDEX($V$6:$V$1505,$A277-3),"")</f>
        <v/>
      </c>
      <c r="J277">
        <f>IF(ISNUMBER($A277),INDEX($W$6:$W$1505,$A277-3),"")</f>
        <v/>
      </c>
      <c r="K277">
        <f>IF(ISNUMBER($A277),INDEX($X$6:$X$1505,$A277-3),"")</f>
        <v/>
      </c>
      <c r="L277">
        <f>IF(ISNUMBER($A277),INDEX($Y$6:$Y$1505,$A277-3),"")</f>
        <v/>
      </c>
      <c r="O277">
        <f>275</f>
        <v/>
      </c>
      <c r="P277">
        <f>IF(TRIM('입력_구리근무자명단'!$A275&amp;"")&lt;&gt;"",TRIM('입력_구리근무자명단'!$A275&amp;""),P276)</f>
        <v/>
      </c>
      <c r="Q277">
        <f>'입력_구리근무자명단'!$B275&amp;""</f>
        <v/>
      </c>
      <c r="R277">
        <f>IF($E$2="","",TRIM(INDEX('입력_구리근무자명단'!$A275:$ZZ275,1,$E$2+IF($G$2="확정",1,0))&amp;""))</f>
        <v/>
      </c>
      <c r="S277">
        <f>IF($R277="","",IF(INDEX('입력_구리근무자명단'!$A275:$ZZ275,1,$E$2+2)&amp;""="",급여기준월,IF(ISNUMBER(INDEX('입력_구리근무자명단'!$A275:$ZZ275,1,$E$2+2)),INDEX('입력_구리근무자명단'!$A275:$ZZ275,1,$E$2+2),IFERROR(DATE(VALUE(LEFT(INDEX('입력_구리근무자명단'!$A275:$ZZ275,1,$E$2+2),4)),VALUE(MID(INDEX('입력_구리근무자명단'!$A275:$ZZ275,1,$E$2+2),6,2)),VALUE(MID(INDEX('입력_구리근무자명단'!$A275:$ZZ275,1,$E$2+2),9,2))),-1))))</f>
        <v/>
      </c>
      <c r="T277">
        <f>IF($R277="","",IF(INDEX('입력_구리근무자명단'!$A275:$ZZ275,1,$E$2+3)&amp;""="",EOMONTH(급여기준월,0),IF(ISNUMBER(INDEX('입력_구리근무자명단'!$A275:$ZZ275,1,$E$2+3)),INDEX('입력_구리근무자명단'!$A275:$ZZ275,1,$E$2+3),IFERROR(DATE(VALUE(LEFT(INDEX('입력_구리근무자명단'!$A275:$ZZ275,1,$E$2+3),4)),VALUE(MID(INDEX('입력_구리근무자명단'!$A275:$ZZ275,1,$E$2+3),6,2)),VALUE(MID(INDEX('입력_구리근무자명단'!$A275:$ZZ275,1,$E$2+3),9,2))),-1))))</f>
        <v/>
      </c>
      <c r="U277">
        <f>IF($R277="","",IF(OR($S277&lt;0,$T277&lt;0),0,MAX(0,MIN($T277,EOMONTH(급여기준월,0))-MAX($S277,급여기준월)+1)))</f>
        <v/>
      </c>
      <c r="V277">
        <f>IF($R277="","",TRIM(INDEX('입력_구리근무자명단'!$A275:$ZZ275,1,$E$2+5)&amp;""))</f>
        <v/>
      </c>
      <c r="W277">
        <f>IF(ISNUMBER(SEARCH("구리독자",$V277)),"구리독자","")</f>
        <v/>
      </c>
      <c r="X277">
        <f>IF($R277="","",$R277&amp;"|"&amp;IF(OR($Q277="인턴",ISNUMBER(SEARCH("수련교육부",$P277))),"인턴",$P277))</f>
        <v/>
      </c>
      <c r="Y277">
        <f>IF($R277="","",IF(COUNTIF(명단표[이름|과],$X277)=1,"명단 일치",IF(AND(COUNTIF(명단표[이름|과],$X277)=0,COUNTIF(명단표[이름],$R277)=1),"명단 일치(이름만, 과 다름)",IF(COUNTIF(명단표[이름],$R277)=0,IF(COUNTIF(기본자료표[이름],$R277)&gt;0,"명단에 없음(기본자료에는 있음)","명단에 없음"),"동명이인 확인"))))</f>
        <v/>
      </c>
      <c r="Z277">
        <f>IF($R277="","",IF($S277&lt;0,"⚠"&amp;INDEX('입력_구리근무자명단'!$A275:$ZZ275,1,$E$2+2),TEXT($S277,"yyyy-mm-dd")))</f>
        <v/>
      </c>
      <c r="AA277">
        <f>IF($R277="","",IF($T277&lt;0,"⚠"&amp;INDEX('입력_구리근무자명단'!$A275:$ZZ275,1,$E$2+3),TEXT($T277,"yyyy-mm-dd")))</f>
        <v/>
      </c>
      <c r="AB277">
        <f>AB276+IF($R277="",0,1)</f>
        <v/>
      </c>
      <c r="AC277">
        <f>IF($R277="","",$AB277)</f>
        <v/>
      </c>
    </row>
    <row r="278">
      <c r="A278">
        <f>IFERROR(INDEX($O$6:$O$1505,MATCH(273,$AC$6:$AC$1505,0)),"")</f>
        <v/>
      </c>
      <c r="B278">
        <f>IF(ISNUMBER($A278),INDEX($P$6:$P$1505,$A278-3),"")</f>
        <v/>
      </c>
      <c r="C278">
        <f>IF(ISNUMBER($A278),INDEX($Q$6:$Q$1505,$A278-3),"")</f>
        <v/>
      </c>
      <c r="D278">
        <f>IF(ISNUMBER($A278),INDEX($R$6:$R$1505,$A278-3),"")</f>
        <v/>
      </c>
      <c r="E278">
        <f>IF(ISNUMBER($A278),$G$2,"")</f>
        <v/>
      </c>
      <c r="F278">
        <f>IF(ISNUMBER($A278),INDEX($Z$6:$Z$1505,$A278-3),"")</f>
        <v/>
      </c>
      <c r="G278">
        <f>IF(ISNUMBER($A278),INDEX($AA$6:$AA$1505,$A278-3),"")</f>
        <v/>
      </c>
      <c r="H278">
        <f>IF(ISNUMBER($A278),INDEX($U$6:$U$1505,$A278-3),"")</f>
        <v/>
      </c>
      <c r="I278">
        <f>IF(ISNUMBER($A278),INDEX($V$6:$V$1505,$A278-3),"")</f>
        <v/>
      </c>
      <c r="J278">
        <f>IF(ISNUMBER($A278),INDEX($W$6:$W$1505,$A278-3),"")</f>
        <v/>
      </c>
      <c r="K278">
        <f>IF(ISNUMBER($A278),INDEX($X$6:$X$1505,$A278-3),"")</f>
        <v/>
      </c>
      <c r="L278">
        <f>IF(ISNUMBER($A278),INDEX($Y$6:$Y$1505,$A278-3),"")</f>
        <v/>
      </c>
      <c r="O278">
        <f>276</f>
        <v/>
      </c>
      <c r="P278">
        <f>IF(TRIM('입력_구리근무자명단'!$A276&amp;"")&lt;&gt;"",TRIM('입력_구리근무자명단'!$A276&amp;""),P277)</f>
        <v/>
      </c>
      <c r="Q278">
        <f>'입력_구리근무자명단'!$B276&amp;""</f>
        <v/>
      </c>
      <c r="R278">
        <f>IF($E$2="","",TRIM(INDEX('입력_구리근무자명단'!$A276:$ZZ276,1,$E$2+IF($G$2="확정",1,0))&amp;""))</f>
        <v/>
      </c>
      <c r="S278">
        <f>IF($R278="","",IF(INDEX('입력_구리근무자명단'!$A276:$ZZ276,1,$E$2+2)&amp;""="",급여기준월,IF(ISNUMBER(INDEX('입력_구리근무자명단'!$A276:$ZZ276,1,$E$2+2)),INDEX('입력_구리근무자명단'!$A276:$ZZ276,1,$E$2+2),IFERROR(DATE(VALUE(LEFT(INDEX('입력_구리근무자명단'!$A276:$ZZ276,1,$E$2+2),4)),VALUE(MID(INDEX('입력_구리근무자명단'!$A276:$ZZ276,1,$E$2+2),6,2)),VALUE(MID(INDEX('입력_구리근무자명단'!$A276:$ZZ276,1,$E$2+2),9,2))),-1))))</f>
        <v/>
      </c>
      <c r="T278">
        <f>IF($R278="","",IF(INDEX('입력_구리근무자명단'!$A276:$ZZ276,1,$E$2+3)&amp;""="",EOMONTH(급여기준월,0),IF(ISNUMBER(INDEX('입력_구리근무자명단'!$A276:$ZZ276,1,$E$2+3)),INDEX('입력_구리근무자명단'!$A276:$ZZ276,1,$E$2+3),IFERROR(DATE(VALUE(LEFT(INDEX('입력_구리근무자명단'!$A276:$ZZ276,1,$E$2+3),4)),VALUE(MID(INDEX('입력_구리근무자명단'!$A276:$ZZ276,1,$E$2+3),6,2)),VALUE(MID(INDEX('입력_구리근무자명단'!$A276:$ZZ276,1,$E$2+3),9,2))),-1))))</f>
        <v/>
      </c>
      <c r="U278">
        <f>IF($R278="","",IF(OR($S278&lt;0,$T278&lt;0),0,MAX(0,MIN($T278,EOMONTH(급여기준월,0))-MAX($S278,급여기준월)+1)))</f>
        <v/>
      </c>
      <c r="V278">
        <f>IF($R278="","",TRIM(INDEX('입력_구리근무자명단'!$A276:$ZZ276,1,$E$2+5)&amp;""))</f>
        <v/>
      </c>
      <c r="W278">
        <f>IF(ISNUMBER(SEARCH("구리독자",$V278)),"구리독자","")</f>
        <v/>
      </c>
      <c r="X278">
        <f>IF($R278="","",$R278&amp;"|"&amp;IF(OR($Q278="인턴",ISNUMBER(SEARCH("수련교육부",$P278))),"인턴",$P278))</f>
        <v/>
      </c>
      <c r="Y278">
        <f>IF($R278="","",IF(COUNTIF(명단표[이름|과],$X278)=1,"명단 일치",IF(AND(COUNTIF(명단표[이름|과],$X278)=0,COUNTIF(명단표[이름],$R278)=1),"명단 일치(이름만, 과 다름)",IF(COUNTIF(명단표[이름],$R278)=0,IF(COUNTIF(기본자료표[이름],$R278)&gt;0,"명단에 없음(기본자료에는 있음)","명단에 없음"),"동명이인 확인"))))</f>
        <v/>
      </c>
      <c r="Z278">
        <f>IF($R278="","",IF($S278&lt;0,"⚠"&amp;INDEX('입력_구리근무자명단'!$A276:$ZZ276,1,$E$2+2),TEXT($S278,"yyyy-mm-dd")))</f>
        <v/>
      </c>
      <c r="AA278">
        <f>IF($R278="","",IF($T278&lt;0,"⚠"&amp;INDEX('입력_구리근무자명단'!$A276:$ZZ276,1,$E$2+3),TEXT($T278,"yyyy-mm-dd")))</f>
        <v/>
      </c>
      <c r="AB278">
        <f>AB277+IF($R278="",0,1)</f>
        <v/>
      </c>
      <c r="AC278">
        <f>IF($R278="","",$AB278)</f>
        <v/>
      </c>
    </row>
    <row r="279">
      <c r="A279">
        <f>IFERROR(INDEX($O$6:$O$1505,MATCH(274,$AC$6:$AC$1505,0)),"")</f>
        <v/>
      </c>
      <c r="B279">
        <f>IF(ISNUMBER($A279),INDEX($P$6:$P$1505,$A279-3),"")</f>
        <v/>
      </c>
      <c r="C279">
        <f>IF(ISNUMBER($A279),INDEX($Q$6:$Q$1505,$A279-3),"")</f>
        <v/>
      </c>
      <c r="D279">
        <f>IF(ISNUMBER($A279),INDEX($R$6:$R$1505,$A279-3),"")</f>
        <v/>
      </c>
      <c r="E279">
        <f>IF(ISNUMBER($A279),$G$2,"")</f>
        <v/>
      </c>
      <c r="F279">
        <f>IF(ISNUMBER($A279),INDEX($Z$6:$Z$1505,$A279-3),"")</f>
        <v/>
      </c>
      <c r="G279">
        <f>IF(ISNUMBER($A279),INDEX($AA$6:$AA$1505,$A279-3),"")</f>
        <v/>
      </c>
      <c r="H279">
        <f>IF(ISNUMBER($A279),INDEX($U$6:$U$1505,$A279-3),"")</f>
        <v/>
      </c>
      <c r="I279">
        <f>IF(ISNUMBER($A279),INDEX($V$6:$V$1505,$A279-3),"")</f>
        <v/>
      </c>
      <c r="J279">
        <f>IF(ISNUMBER($A279),INDEX($W$6:$W$1505,$A279-3),"")</f>
        <v/>
      </c>
      <c r="K279">
        <f>IF(ISNUMBER($A279),INDEX($X$6:$X$1505,$A279-3),"")</f>
        <v/>
      </c>
      <c r="L279">
        <f>IF(ISNUMBER($A279),INDEX($Y$6:$Y$1505,$A279-3),"")</f>
        <v/>
      </c>
      <c r="O279">
        <f>277</f>
        <v/>
      </c>
      <c r="P279">
        <f>IF(TRIM('입력_구리근무자명단'!$A277&amp;"")&lt;&gt;"",TRIM('입력_구리근무자명단'!$A277&amp;""),P278)</f>
        <v/>
      </c>
      <c r="Q279">
        <f>'입력_구리근무자명단'!$B277&amp;""</f>
        <v/>
      </c>
      <c r="R279">
        <f>IF($E$2="","",TRIM(INDEX('입력_구리근무자명단'!$A277:$ZZ277,1,$E$2+IF($G$2="확정",1,0))&amp;""))</f>
        <v/>
      </c>
      <c r="S279">
        <f>IF($R279="","",IF(INDEX('입력_구리근무자명단'!$A277:$ZZ277,1,$E$2+2)&amp;""="",급여기준월,IF(ISNUMBER(INDEX('입력_구리근무자명단'!$A277:$ZZ277,1,$E$2+2)),INDEX('입력_구리근무자명단'!$A277:$ZZ277,1,$E$2+2),IFERROR(DATE(VALUE(LEFT(INDEX('입력_구리근무자명단'!$A277:$ZZ277,1,$E$2+2),4)),VALUE(MID(INDEX('입력_구리근무자명단'!$A277:$ZZ277,1,$E$2+2),6,2)),VALUE(MID(INDEX('입력_구리근무자명단'!$A277:$ZZ277,1,$E$2+2),9,2))),-1))))</f>
        <v/>
      </c>
      <c r="T279">
        <f>IF($R279="","",IF(INDEX('입력_구리근무자명단'!$A277:$ZZ277,1,$E$2+3)&amp;""="",EOMONTH(급여기준월,0),IF(ISNUMBER(INDEX('입력_구리근무자명단'!$A277:$ZZ277,1,$E$2+3)),INDEX('입력_구리근무자명단'!$A277:$ZZ277,1,$E$2+3),IFERROR(DATE(VALUE(LEFT(INDEX('입력_구리근무자명단'!$A277:$ZZ277,1,$E$2+3),4)),VALUE(MID(INDEX('입력_구리근무자명단'!$A277:$ZZ277,1,$E$2+3),6,2)),VALUE(MID(INDEX('입력_구리근무자명단'!$A277:$ZZ277,1,$E$2+3),9,2))),-1))))</f>
        <v/>
      </c>
      <c r="U279">
        <f>IF($R279="","",IF(OR($S279&lt;0,$T279&lt;0),0,MAX(0,MIN($T279,EOMONTH(급여기준월,0))-MAX($S279,급여기준월)+1)))</f>
        <v/>
      </c>
      <c r="V279">
        <f>IF($R279="","",TRIM(INDEX('입력_구리근무자명단'!$A277:$ZZ277,1,$E$2+5)&amp;""))</f>
        <v/>
      </c>
      <c r="W279">
        <f>IF(ISNUMBER(SEARCH("구리독자",$V279)),"구리독자","")</f>
        <v/>
      </c>
      <c r="X279">
        <f>IF($R279="","",$R279&amp;"|"&amp;IF(OR($Q279="인턴",ISNUMBER(SEARCH("수련교육부",$P279))),"인턴",$P279))</f>
        <v/>
      </c>
      <c r="Y279">
        <f>IF($R279="","",IF(COUNTIF(명단표[이름|과],$X279)=1,"명단 일치",IF(AND(COUNTIF(명단표[이름|과],$X279)=0,COUNTIF(명단표[이름],$R279)=1),"명단 일치(이름만, 과 다름)",IF(COUNTIF(명단표[이름],$R279)=0,IF(COUNTIF(기본자료표[이름],$R279)&gt;0,"명단에 없음(기본자료에는 있음)","명단에 없음"),"동명이인 확인"))))</f>
        <v/>
      </c>
      <c r="Z279">
        <f>IF($R279="","",IF($S279&lt;0,"⚠"&amp;INDEX('입력_구리근무자명단'!$A277:$ZZ277,1,$E$2+2),TEXT($S279,"yyyy-mm-dd")))</f>
        <v/>
      </c>
      <c r="AA279">
        <f>IF($R279="","",IF($T279&lt;0,"⚠"&amp;INDEX('입력_구리근무자명단'!$A277:$ZZ277,1,$E$2+3),TEXT($T279,"yyyy-mm-dd")))</f>
        <v/>
      </c>
      <c r="AB279">
        <f>AB278+IF($R279="",0,1)</f>
        <v/>
      </c>
      <c r="AC279">
        <f>IF($R279="","",$AB279)</f>
        <v/>
      </c>
    </row>
    <row r="280">
      <c r="A280">
        <f>IFERROR(INDEX($O$6:$O$1505,MATCH(275,$AC$6:$AC$1505,0)),"")</f>
        <v/>
      </c>
      <c r="B280">
        <f>IF(ISNUMBER($A280),INDEX($P$6:$P$1505,$A280-3),"")</f>
        <v/>
      </c>
      <c r="C280">
        <f>IF(ISNUMBER($A280),INDEX($Q$6:$Q$1505,$A280-3),"")</f>
        <v/>
      </c>
      <c r="D280">
        <f>IF(ISNUMBER($A280),INDEX($R$6:$R$1505,$A280-3),"")</f>
        <v/>
      </c>
      <c r="E280">
        <f>IF(ISNUMBER($A280),$G$2,"")</f>
        <v/>
      </c>
      <c r="F280">
        <f>IF(ISNUMBER($A280),INDEX($Z$6:$Z$1505,$A280-3),"")</f>
        <v/>
      </c>
      <c r="G280">
        <f>IF(ISNUMBER($A280),INDEX($AA$6:$AA$1505,$A280-3),"")</f>
        <v/>
      </c>
      <c r="H280">
        <f>IF(ISNUMBER($A280),INDEX($U$6:$U$1505,$A280-3),"")</f>
        <v/>
      </c>
      <c r="I280">
        <f>IF(ISNUMBER($A280),INDEX($V$6:$V$1505,$A280-3),"")</f>
        <v/>
      </c>
      <c r="J280">
        <f>IF(ISNUMBER($A280),INDEX($W$6:$W$1505,$A280-3),"")</f>
        <v/>
      </c>
      <c r="K280">
        <f>IF(ISNUMBER($A280),INDEX($X$6:$X$1505,$A280-3),"")</f>
        <v/>
      </c>
      <c r="L280">
        <f>IF(ISNUMBER($A280),INDEX($Y$6:$Y$1505,$A280-3),"")</f>
        <v/>
      </c>
      <c r="O280">
        <f>278</f>
        <v/>
      </c>
      <c r="P280">
        <f>IF(TRIM('입력_구리근무자명단'!$A278&amp;"")&lt;&gt;"",TRIM('입력_구리근무자명단'!$A278&amp;""),P279)</f>
        <v/>
      </c>
      <c r="Q280">
        <f>'입력_구리근무자명단'!$B278&amp;""</f>
        <v/>
      </c>
      <c r="R280">
        <f>IF($E$2="","",TRIM(INDEX('입력_구리근무자명단'!$A278:$ZZ278,1,$E$2+IF($G$2="확정",1,0))&amp;""))</f>
        <v/>
      </c>
      <c r="S280">
        <f>IF($R280="","",IF(INDEX('입력_구리근무자명단'!$A278:$ZZ278,1,$E$2+2)&amp;""="",급여기준월,IF(ISNUMBER(INDEX('입력_구리근무자명단'!$A278:$ZZ278,1,$E$2+2)),INDEX('입력_구리근무자명단'!$A278:$ZZ278,1,$E$2+2),IFERROR(DATE(VALUE(LEFT(INDEX('입력_구리근무자명단'!$A278:$ZZ278,1,$E$2+2),4)),VALUE(MID(INDEX('입력_구리근무자명단'!$A278:$ZZ278,1,$E$2+2),6,2)),VALUE(MID(INDEX('입력_구리근무자명단'!$A278:$ZZ278,1,$E$2+2),9,2))),-1))))</f>
        <v/>
      </c>
      <c r="T280">
        <f>IF($R280="","",IF(INDEX('입력_구리근무자명단'!$A278:$ZZ278,1,$E$2+3)&amp;""="",EOMONTH(급여기준월,0),IF(ISNUMBER(INDEX('입력_구리근무자명단'!$A278:$ZZ278,1,$E$2+3)),INDEX('입력_구리근무자명단'!$A278:$ZZ278,1,$E$2+3),IFERROR(DATE(VALUE(LEFT(INDEX('입력_구리근무자명단'!$A278:$ZZ278,1,$E$2+3),4)),VALUE(MID(INDEX('입력_구리근무자명단'!$A278:$ZZ278,1,$E$2+3),6,2)),VALUE(MID(INDEX('입력_구리근무자명단'!$A278:$ZZ278,1,$E$2+3),9,2))),-1))))</f>
        <v/>
      </c>
      <c r="U280">
        <f>IF($R280="","",IF(OR($S280&lt;0,$T280&lt;0),0,MAX(0,MIN($T280,EOMONTH(급여기준월,0))-MAX($S280,급여기준월)+1)))</f>
        <v/>
      </c>
      <c r="V280">
        <f>IF($R280="","",TRIM(INDEX('입력_구리근무자명단'!$A278:$ZZ278,1,$E$2+5)&amp;""))</f>
        <v/>
      </c>
      <c r="W280">
        <f>IF(ISNUMBER(SEARCH("구리독자",$V280)),"구리독자","")</f>
        <v/>
      </c>
      <c r="X280">
        <f>IF($R280="","",$R280&amp;"|"&amp;IF(OR($Q280="인턴",ISNUMBER(SEARCH("수련교육부",$P280))),"인턴",$P280))</f>
        <v/>
      </c>
      <c r="Y280">
        <f>IF($R280="","",IF(COUNTIF(명단표[이름|과],$X280)=1,"명단 일치",IF(AND(COUNTIF(명단표[이름|과],$X280)=0,COUNTIF(명단표[이름],$R280)=1),"명단 일치(이름만, 과 다름)",IF(COUNTIF(명단표[이름],$R280)=0,IF(COUNTIF(기본자료표[이름],$R280)&gt;0,"명단에 없음(기본자료에는 있음)","명단에 없음"),"동명이인 확인"))))</f>
        <v/>
      </c>
      <c r="Z280">
        <f>IF($R280="","",IF($S280&lt;0,"⚠"&amp;INDEX('입력_구리근무자명단'!$A278:$ZZ278,1,$E$2+2),TEXT($S280,"yyyy-mm-dd")))</f>
        <v/>
      </c>
      <c r="AA280">
        <f>IF($R280="","",IF($T280&lt;0,"⚠"&amp;INDEX('입력_구리근무자명단'!$A278:$ZZ278,1,$E$2+3),TEXT($T280,"yyyy-mm-dd")))</f>
        <v/>
      </c>
      <c r="AB280">
        <f>AB279+IF($R280="",0,1)</f>
        <v/>
      </c>
      <c r="AC280">
        <f>IF($R280="","",$AB280)</f>
        <v/>
      </c>
    </row>
    <row r="281">
      <c r="A281">
        <f>IFERROR(INDEX($O$6:$O$1505,MATCH(276,$AC$6:$AC$1505,0)),"")</f>
        <v/>
      </c>
      <c r="B281">
        <f>IF(ISNUMBER($A281),INDEX($P$6:$P$1505,$A281-3),"")</f>
        <v/>
      </c>
      <c r="C281">
        <f>IF(ISNUMBER($A281),INDEX($Q$6:$Q$1505,$A281-3),"")</f>
        <v/>
      </c>
      <c r="D281">
        <f>IF(ISNUMBER($A281),INDEX($R$6:$R$1505,$A281-3),"")</f>
        <v/>
      </c>
      <c r="E281">
        <f>IF(ISNUMBER($A281),$G$2,"")</f>
        <v/>
      </c>
      <c r="F281">
        <f>IF(ISNUMBER($A281),INDEX($Z$6:$Z$1505,$A281-3),"")</f>
        <v/>
      </c>
      <c r="G281">
        <f>IF(ISNUMBER($A281),INDEX($AA$6:$AA$1505,$A281-3),"")</f>
        <v/>
      </c>
      <c r="H281">
        <f>IF(ISNUMBER($A281),INDEX($U$6:$U$1505,$A281-3),"")</f>
        <v/>
      </c>
      <c r="I281">
        <f>IF(ISNUMBER($A281),INDEX($V$6:$V$1505,$A281-3),"")</f>
        <v/>
      </c>
      <c r="J281">
        <f>IF(ISNUMBER($A281),INDEX($W$6:$W$1505,$A281-3),"")</f>
        <v/>
      </c>
      <c r="K281">
        <f>IF(ISNUMBER($A281),INDEX($X$6:$X$1505,$A281-3),"")</f>
        <v/>
      </c>
      <c r="L281">
        <f>IF(ISNUMBER($A281),INDEX($Y$6:$Y$1505,$A281-3),"")</f>
        <v/>
      </c>
      <c r="O281">
        <f>279</f>
        <v/>
      </c>
      <c r="P281">
        <f>IF(TRIM('입력_구리근무자명단'!$A279&amp;"")&lt;&gt;"",TRIM('입력_구리근무자명단'!$A279&amp;""),P280)</f>
        <v/>
      </c>
      <c r="Q281">
        <f>'입력_구리근무자명단'!$B279&amp;""</f>
        <v/>
      </c>
      <c r="R281">
        <f>IF($E$2="","",TRIM(INDEX('입력_구리근무자명단'!$A279:$ZZ279,1,$E$2+IF($G$2="확정",1,0))&amp;""))</f>
        <v/>
      </c>
      <c r="S281">
        <f>IF($R281="","",IF(INDEX('입력_구리근무자명단'!$A279:$ZZ279,1,$E$2+2)&amp;""="",급여기준월,IF(ISNUMBER(INDEX('입력_구리근무자명단'!$A279:$ZZ279,1,$E$2+2)),INDEX('입력_구리근무자명단'!$A279:$ZZ279,1,$E$2+2),IFERROR(DATE(VALUE(LEFT(INDEX('입력_구리근무자명단'!$A279:$ZZ279,1,$E$2+2),4)),VALUE(MID(INDEX('입력_구리근무자명단'!$A279:$ZZ279,1,$E$2+2),6,2)),VALUE(MID(INDEX('입력_구리근무자명단'!$A279:$ZZ279,1,$E$2+2),9,2))),-1))))</f>
        <v/>
      </c>
      <c r="T281">
        <f>IF($R281="","",IF(INDEX('입력_구리근무자명단'!$A279:$ZZ279,1,$E$2+3)&amp;""="",EOMONTH(급여기준월,0),IF(ISNUMBER(INDEX('입력_구리근무자명단'!$A279:$ZZ279,1,$E$2+3)),INDEX('입력_구리근무자명단'!$A279:$ZZ279,1,$E$2+3),IFERROR(DATE(VALUE(LEFT(INDEX('입력_구리근무자명단'!$A279:$ZZ279,1,$E$2+3),4)),VALUE(MID(INDEX('입력_구리근무자명단'!$A279:$ZZ279,1,$E$2+3),6,2)),VALUE(MID(INDEX('입력_구리근무자명단'!$A279:$ZZ279,1,$E$2+3),9,2))),-1))))</f>
        <v/>
      </c>
      <c r="U281">
        <f>IF($R281="","",IF(OR($S281&lt;0,$T281&lt;0),0,MAX(0,MIN($T281,EOMONTH(급여기준월,0))-MAX($S281,급여기준월)+1)))</f>
        <v/>
      </c>
      <c r="V281">
        <f>IF($R281="","",TRIM(INDEX('입력_구리근무자명단'!$A279:$ZZ279,1,$E$2+5)&amp;""))</f>
        <v/>
      </c>
      <c r="W281">
        <f>IF(ISNUMBER(SEARCH("구리독자",$V281)),"구리독자","")</f>
        <v/>
      </c>
      <c r="X281">
        <f>IF($R281="","",$R281&amp;"|"&amp;IF(OR($Q281="인턴",ISNUMBER(SEARCH("수련교육부",$P281))),"인턴",$P281))</f>
        <v/>
      </c>
      <c r="Y281">
        <f>IF($R281="","",IF(COUNTIF(명단표[이름|과],$X281)=1,"명단 일치",IF(AND(COUNTIF(명단표[이름|과],$X281)=0,COUNTIF(명단표[이름],$R281)=1),"명단 일치(이름만, 과 다름)",IF(COUNTIF(명단표[이름],$R281)=0,IF(COUNTIF(기본자료표[이름],$R281)&gt;0,"명단에 없음(기본자료에는 있음)","명단에 없음"),"동명이인 확인"))))</f>
        <v/>
      </c>
      <c r="Z281">
        <f>IF($R281="","",IF($S281&lt;0,"⚠"&amp;INDEX('입력_구리근무자명단'!$A279:$ZZ279,1,$E$2+2),TEXT($S281,"yyyy-mm-dd")))</f>
        <v/>
      </c>
      <c r="AA281">
        <f>IF($R281="","",IF($T281&lt;0,"⚠"&amp;INDEX('입력_구리근무자명단'!$A279:$ZZ279,1,$E$2+3),TEXT($T281,"yyyy-mm-dd")))</f>
        <v/>
      </c>
      <c r="AB281">
        <f>AB280+IF($R281="",0,1)</f>
        <v/>
      </c>
      <c r="AC281">
        <f>IF($R281="","",$AB281)</f>
        <v/>
      </c>
    </row>
    <row r="282">
      <c r="A282">
        <f>IFERROR(INDEX($O$6:$O$1505,MATCH(277,$AC$6:$AC$1505,0)),"")</f>
        <v/>
      </c>
      <c r="B282">
        <f>IF(ISNUMBER($A282),INDEX($P$6:$P$1505,$A282-3),"")</f>
        <v/>
      </c>
      <c r="C282">
        <f>IF(ISNUMBER($A282),INDEX($Q$6:$Q$1505,$A282-3),"")</f>
        <v/>
      </c>
      <c r="D282">
        <f>IF(ISNUMBER($A282),INDEX($R$6:$R$1505,$A282-3),"")</f>
        <v/>
      </c>
      <c r="E282">
        <f>IF(ISNUMBER($A282),$G$2,"")</f>
        <v/>
      </c>
      <c r="F282">
        <f>IF(ISNUMBER($A282),INDEX($Z$6:$Z$1505,$A282-3),"")</f>
        <v/>
      </c>
      <c r="G282">
        <f>IF(ISNUMBER($A282),INDEX($AA$6:$AA$1505,$A282-3),"")</f>
        <v/>
      </c>
      <c r="H282">
        <f>IF(ISNUMBER($A282),INDEX($U$6:$U$1505,$A282-3),"")</f>
        <v/>
      </c>
      <c r="I282">
        <f>IF(ISNUMBER($A282),INDEX($V$6:$V$1505,$A282-3),"")</f>
        <v/>
      </c>
      <c r="J282">
        <f>IF(ISNUMBER($A282),INDEX($W$6:$W$1505,$A282-3),"")</f>
        <v/>
      </c>
      <c r="K282">
        <f>IF(ISNUMBER($A282),INDEX($X$6:$X$1505,$A282-3),"")</f>
        <v/>
      </c>
      <c r="L282">
        <f>IF(ISNUMBER($A282),INDEX($Y$6:$Y$1505,$A282-3),"")</f>
        <v/>
      </c>
      <c r="O282">
        <f>280</f>
        <v/>
      </c>
      <c r="P282">
        <f>IF(TRIM('입력_구리근무자명단'!$A280&amp;"")&lt;&gt;"",TRIM('입력_구리근무자명단'!$A280&amp;""),P281)</f>
        <v/>
      </c>
      <c r="Q282">
        <f>'입력_구리근무자명단'!$B280&amp;""</f>
        <v/>
      </c>
      <c r="R282">
        <f>IF($E$2="","",TRIM(INDEX('입력_구리근무자명단'!$A280:$ZZ280,1,$E$2+IF($G$2="확정",1,0))&amp;""))</f>
        <v/>
      </c>
      <c r="S282">
        <f>IF($R282="","",IF(INDEX('입력_구리근무자명단'!$A280:$ZZ280,1,$E$2+2)&amp;""="",급여기준월,IF(ISNUMBER(INDEX('입력_구리근무자명단'!$A280:$ZZ280,1,$E$2+2)),INDEX('입력_구리근무자명단'!$A280:$ZZ280,1,$E$2+2),IFERROR(DATE(VALUE(LEFT(INDEX('입력_구리근무자명단'!$A280:$ZZ280,1,$E$2+2),4)),VALUE(MID(INDEX('입력_구리근무자명단'!$A280:$ZZ280,1,$E$2+2),6,2)),VALUE(MID(INDEX('입력_구리근무자명단'!$A280:$ZZ280,1,$E$2+2),9,2))),-1))))</f>
        <v/>
      </c>
      <c r="T282">
        <f>IF($R282="","",IF(INDEX('입력_구리근무자명단'!$A280:$ZZ280,1,$E$2+3)&amp;""="",EOMONTH(급여기준월,0),IF(ISNUMBER(INDEX('입력_구리근무자명단'!$A280:$ZZ280,1,$E$2+3)),INDEX('입력_구리근무자명단'!$A280:$ZZ280,1,$E$2+3),IFERROR(DATE(VALUE(LEFT(INDEX('입력_구리근무자명단'!$A280:$ZZ280,1,$E$2+3),4)),VALUE(MID(INDEX('입력_구리근무자명단'!$A280:$ZZ280,1,$E$2+3),6,2)),VALUE(MID(INDEX('입력_구리근무자명단'!$A280:$ZZ280,1,$E$2+3),9,2))),-1))))</f>
        <v/>
      </c>
      <c r="U282">
        <f>IF($R282="","",IF(OR($S282&lt;0,$T282&lt;0),0,MAX(0,MIN($T282,EOMONTH(급여기준월,0))-MAX($S282,급여기준월)+1)))</f>
        <v/>
      </c>
      <c r="V282">
        <f>IF($R282="","",TRIM(INDEX('입력_구리근무자명단'!$A280:$ZZ280,1,$E$2+5)&amp;""))</f>
        <v/>
      </c>
      <c r="W282">
        <f>IF(ISNUMBER(SEARCH("구리독자",$V282)),"구리독자","")</f>
        <v/>
      </c>
      <c r="X282">
        <f>IF($R282="","",$R282&amp;"|"&amp;IF(OR($Q282="인턴",ISNUMBER(SEARCH("수련교육부",$P282))),"인턴",$P282))</f>
        <v/>
      </c>
      <c r="Y282">
        <f>IF($R282="","",IF(COUNTIF(명단표[이름|과],$X282)=1,"명단 일치",IF(AND(COUNTIF(명단표[이름|과],$X282)=0,COUNTIF(명단표[이름],$R282)=1),"명단 일치(이름만, 과 다름)",IF(COUNTIF(명단표[이름],$R282)=0,IF(COUNTIF(기본자료표[이름],$R282)&gt;0,"명단에 없음(기본자료에는 있음)","명단에 없음"),"동명이인 확인"))))</f>
        <v/>
      </c>
      <c r="Z282">
        <f>IF($R282="","",IF($S282&lt;0,"⚠"&amp;INDEX('입력_구리근무자명단'!$A280:$ZZ280,1,$E$2+2),TEXT($S282,"yyyy-mm-dd")))</f>
        <v/>
      </c>
      <c r="AA282">
        <f>IF($R282="","",IF($T282&lt;0,"⚠"&amp;INDEX('입력_구리근무자명단'!$A280:$ZZ280,1,$E$2+3),TEXT($T282,"yyyy-mm-dd")))</f>
        <v/>
      </c>
      <c r="AB282">
        <f>AB281+IF($R282="",0,1)</f>
        <v/>
      </c>
      <c r="AC282">
        <f>IF($R282="","",$AB282)</f>
        <v/>
      </c>
    </row>
    <row r="283">
      <c r="A283">
        <f>IFERROR(INDEX($O$6:$O$1505,MATCH(278,$AC$6:$AC$1505,0)),"")</f>
        <v/>
      </c>
      <c r="B283">
        <f>IF(ISNUMBER($A283),INDEX($P$6:$P$1505,$A283-3),"")</f>
        <v/>
      </c>
      <c r="C283">
        <f>IF(ISNUMBER($A283),INDEX($Q$6:$Q$1505,$A283-3),"")</f>
        <v/>
      </c>
      <c r="D283">
        <f>IF(ISNUMBER($A283),INDEX($R$6:$R$1505,$A283-3),"")</f>
        <v/>
      </c>
      <c r="E283">
        <f>IF(ISNUMBER($A283),$G$2,"")</f>
        <v/>
      </c>
      <c r="F283">
        <f>IF(ISNUMBER($A283),INDEX($Z$6:$Z$1505,$A283-3),"")</f>
        <v/>
      </c>
      <c r="G283">
        <f>IF(ISNUMBER($A283),INDEX($AA$6:$AA$1505,$A283-3),"")</f>
        <v/>
      </c>
      <c r="H283">
        <f>IF(ISNUMBER($A283),INDEX($U$6:$U$1505,$A283-3),"")</f>
        <v/>
      </c>
      <c r="I283">
        <f>IF(ISNUMBER($A283),INDEX($V$6:$V$1505,$A283-3),"")</f>
        <v/>
      </c>
      <c r="J283">
        <f>IF(ISNUMBER($A283),INDEX($W$6:$W$1505,$A283-3),"")</f>
        <v/>
      </c>
      <c r="K283">
        <f>IF(ISNUMBER($A283),INDEX($X$6:$X$1505,$A283-3),"")</f>
        <v/>
      </c>
      <c r="L283">
        <f>IF(ISNUMBER($A283),INDEX($Y$6:$Y$1505,$A283-3),"")</f>
        <v/>
      </c>
      <c r="O283">
        <f>281</f>
        <v/>
      </c>
      <c r="P283">
        <f>IF(TRIM('입력_구리근무자명단'!$A281&amp;"")&lt;&gt;"",TRIM('입력_구리근무자명단'!$A281&amp;""),P282)</f>
        <v/>
      </c>
      <c r="Q283">
        <f>'입력_구리근무자명단'!$B281&amp;""</f>
        <v/>
      </c>
      <c r="R283">
        <f>IF($E$2="","",TRIM(INDEX('입력_구리근무자명단'!$A281:$ZZ281,1,$E$2+IF($G$2="확정",1,0))&amp;""))</f>
        <v/>
      </c>
      <c r="S283">
        <f>IF($R283="","",IF(INDEX('입력_구리근무자명단'!$A281:$ZZ281,1,$E$2+2)&amp;""="",급여기준월,IF(ISNUMBER(INDEX('입력_구리근무자명단'!$A281:$ZZ281,1,$E$2+2)),INDEX('입력_구리근무자명단'!$A281:$ZZ281,1,$E$2+2),IFERROR(DATE(VALUE(LEFT(INDEX('입력_구리근무자명단'!$A281:$ZZ281,1,$E$2+2),4)),VALUE(MID(INDEX('입력_구리근무자명단'!$A281:$ZZ281,1,$E$2+2),6,2)),VALUE(MID(INDEX('입력_구리근무자명단'!$A281:$ZZ281,1,$E$2+2),9,2))),-1))))</f>
        <v/>
      </c>
      <c r="T283">
        <f>IF($R283="","",IF(INDEX('입력_구리근무자명단'!$A281:$ZZ281,1,$E$2+3)&amp;""="",EOMONTH(급여기준월,0),IF(ISNUMBER(INDEX('입력_구리근무자명단'!$A281:$ZZ281,1,$E$2+3)),INDEX('입력_구리근무자명단'!$A281:$ZZ281,1,$E$2+3),IFERROR(DATE(VALUE(LEFT(INDEX('입력_구리근무자명단'!$A281:$ZZ281,1,$E$2+3),4)),VALUE(MID(INDEX('입력_구리근무자명단'!$A281:$ZZ281,1,$E$2+3),6,2)),VALUE(MID(INDEX('입력_구리근무자명단'!$A281:$ZZ281,1,$E$2+3),9,2))),-1))))</f>
        <v/>
      </c>
      <c r="U283">
        <f>IF($R283="","",IF(OR($S283&lt;0,$T283&lt;0),0,MAX(0,MIN($T283,EOMONTH(급여기준월,0))-MAX($S283,급여기준월)+1)))</f>
        <v/>
      </c>
      <c r="V283">
        <f>IF($R283="","",TRIM(INDEX('입력_구리근무자명단'!$A281:$ZZ281,1,$E$2+5)&amp;""))</f>
        <v/>
      </c>
      <c r="W283">
        <f>IF(ISNUMBER(SEARCH("구리독자",$V283)),"구리독자","")</f>
        <v/>
      </c>
      <c r="X283">
        <f>IF($R283="","",$R283&amp;"|"&amp;IF(OR($Q283="인턴",ISNUMBER(SEARCH("수련교육부",$P283))),"인턴",$P283))</f>
        <v/>
      </c>
      <c r="Y283">
        <f>IF($R283="","",IF(COUNTIF(명단표[이름|과],$X283)=1,"명단 일치",IF(AND(COUNTIF(명단표[이름|과],$X283)=0,COUNTIF(명단표[이름],$R283)=1),"명단 일치(이름만, 과 다름)",IF(COUNTIF(명단표[이름],$R283)=0,IF(COUNTIF(기본자료표[이름],$R283)&gt;0,"명단에 없음(기본자료에는 있음)","명단에 없음"),"동명이인 확인"))))</f>
        <v/>
      </c>
      <c r="Z283">
        <f>IF($R283="","",IF($S283&lt;0,"⚠"&amp;INDEX('입력_구리근무자명단'!$A281:$ZZ281,1,$E$2+2),TEXT($S283,"yyyy-mm-dd")))</f>
        <v/>
      </c>
      <c r="AA283">
        <f>IF($R283="","",IF($T283&lt;0,"⚠"&amp;INDEX('입력_구리근무자명단'!$A281:$ZZ281,1,$E$2+3),TEXT($T283,"yyyy-mm-dd")))</f>
        <v/>
      </c>
      <c r="AB283">
        <f>AB282+IF($R283="",0,1)</f>
        <v/>
      </c>
      <c r="AC283">
        <f>IF($R283="","",$AB283)</f>
        <v/>
      </c>
    </row>
    <row r="284">
      <c r="A284">
        <f>IFERROR(INDEX($O$6:$O$1505,MATCH(279,$AC$6:$AC$1505,0)),"")</f>
        <v/>
      </c>
      <c r="B284">
        <f>IF(ISNUMBER($A284),INDEX($P$6:$P$1505,$A284-3),"")</f>
        <v/>
      </c>
      <c r="C284">
        <f>IF(ISNUMBER($A284),INDEX($Q$6:$Q$1505,$A284-3),"")</f>
        <v/>
      </c>
      <c r="D284">
        <f>IF(ISNUMBER($A284),INDEX($R$6:$R$1505,$A284-3),"")</f>
        <v/>
      </c>
      <c r="E284">
        <f>IF(ISNUMBER($A284),$G$2,"")</f>
        <v/>
      </c>
      <c r="F284">
        <f>IF(ISNUMBER($A284),INDEX($Z$6:$Z$1505,$A284-3),"")</f>
        <v/>
      </c>
      <c r="G284">
        <f>IF(ISNUMBER($A284),INDEX($AA$6:$AA$1505,$A284-3),"")</f>
        <v/>
      </c>
      <c r="H284">
        <f>IF(ISNUMBER($A284),INDEX($U$6:$U$1505,$A284-3),"")</f>
        <v/>
      </c>
      <c r="I284">
        <f>IF(ISNUMBER($A284),INDEX($V$6:$V$1505,$A284-3),"")</f>
        <v/>
      </c>
      <c r="J284">
        <f>IF(ISNUMBER($A284),INDEX($W$6:$W$1505,$A284-3),"")</f>
        <v/>
      </c>
      <c r="K284">
        <f>IF(ISNUMBER($A284),INDEX($X$6:$X$1505,$A284-3),"")</f>
        <v/>
      </c>
      <c r="L284">
        <f>IF(ISNUMBER($A284),INDEX($Y$6:$Y$1505,$A284-3),"")</f>
        <v/>
      </c>
      <c r="O284">
        <f>282</f>
        <v/>
      </c>
      <c r="P284">
        <f>IF(TRIM('입력_구리근무자명단'!$A282&amp;"")&lt;&gt;"",TRIM('입력_구리근무자명단'!$A282&amp;""),P283)</f>
        <v/>
      </c>
      <c r="Q284">
        <f>'입력_구리근무자명단'!$B282&amp;""</f>
        <v/>
      </c>
      <c r="R284">
        <f>IF($E$2="","",TRIM(INDEX('입력_구리근무자명단'!$A282:$ZZ282,1,$E$2+IF($G$2="확정",1,0))&amp;""))</f>
        <v/>
      </c>
      <c r="S284">
        <f>IF($R284="","",IF(INDEX('입력_구리근무자명단'!$A282:$ZZ282,1,$E$2+2)&amp;""="",급여기준월,IF(ISNUMBER(INDEX('입력_구리근무자명단'!$A282:$ZZ282,1,$E$2+2)),INDEX('입력_구리근무자명단'!$A282:$ZZ282,1,$E$2+2),IFERROR(DATE(VALUE(LEFT(INDEX('입력_구리근무자명단'!$A282:$ZZ282,1,$E$2+2),4)),VALUE(MID(INDEX('입력_구리근무자명단'!$A282:$ZZ282,1,$E$2+2),6,2)),VALUE(MID(INDEX('입력_구리근무자명단'!$A282:$ZZ282,1,$E$2+2),9,2))),-1))))</f>
        <v/>
      </c>
      <c r="T284">
        <f>IF($R284="","",IF(INDEX('입력_구리근무자명단'!$A282:$ZZ282,1,$E$2+3)&amp;""="",EOMONTH(급여기준월,0),IF(ISNUMBER(INDEX('입력_구리근무자명단'!$A282:$ZZ282,1,$E$2+3)),INDEX('입력_구리근무자명단'!$A282:$ZZ282,1,$E$2+3),IFERROR(DATE(VALUE(LEFT(INDEX('입력_구리근무자명단'!$A282:$ZZ282,1,$E$2+3),4)),VALUE(MID(INDEX('입력_구리근무자명단'!$A282:$ZZ282,1,$E$2+3),6,2)),VALUE(MID(INDEX('입력_구리근무자명단'!$A282:$ZZ282,1,$E$2+3),9,2))),-1))))</f>
        <v/>
      </c>
      <c r="U284">
        <f>IF($R284="","",IF(OR($S284&lt;0,$T284&lt;0),0,MAX(0,MIN($T284,EOMONTH(급여기준월,0))-MAX($S284,급여기준월)+1)))</f>
        <v/>
      </c>
      <c r="V284">
        <f>IF($R284="","",TRIM(INDEX('입력_구리근무자명단'!$A282:$ZZ282,1,$E$2+5)&amp;""))</f>
        <v/>
      </c>
      <c r="W284">
        <f>IF(ISNUMBER(SEARCH("구리독자",$V284)),"구리독자","")</f>
        <v/>
      </c>
      <c r="X284">
        <f>IF($R284="","",$R284&amp;"|"&amp;IF(OR($Q284="인턴",ISNUMBER(SEARCH("수련교육부",$P284))),"인턴",$P284))</f>
        <v/>
      </c>
      <c r="Y284">
        <f>IF($R284="","",IF(COUNTIF(명단표[이름|과],$X284)=1,"명단 일치",IF(AND(COUNTIF(명단표[이름|과],$X284)=0,COUNTIF(명단표[이름],$R284)=1),"명단 일치(이름만, 과 다름)",IF(COUNTIF(명단표[이름],$R284)=0,IF(COUNTIF(기본자료표[이름],$R284)&gt;0,"명단에 없음(기본자료에는 있음)","명단에 없음"),"동명이인 확인"))))</f>
        <v/>
      </c>
      <c r="Z284">
        <f>IF($R284="","",IF($S284&lt;0,"⚠"&amp;INDEX('입력_구리근무자명단'!$A282:$ZZ282,1,$E$2+2),TEXT($S284,"yyyy-mm-dd")))</f>
        <v/>
      </c>
      <c r="AA284">
        <f>IF($R284="","",IF($T284&lt;0,"⚠"&amp;INDEX('입력_구리근무자명단'!$A282:$ZZ282,1,$E$2+3),TEXT($T284,"yyyy-mm-dd")))</f>
        <v/>
      </c>
      <c r="AB284">
        <f>AB283+IF($R284="",0,1)</f>
        <v/>
      </c>
      <c r="AC284">
        <f>IF($R284="","",$AB284)</f>
        <v/>
      </c>
    </row>
    <row r="285">
      <c r="A285">
        <f>IFERROR(INDEX($O$6:$O$1505,MATCH(280,$AC$6:$AC$1505,0)),"")</f>
        <v/>
      </c>
      <c r="B285">
        <f>IF(ISNUMBER($A285),INDEX($P$6:$P$1505,$A285-3),"")</f>
        <v/>
      </c>
      <c r="C285">
        <f>IF(ISNUMBER($A285),INDEX($Q$6:$Q$1505,$A285-3),"")</f>
        <v/>
      </c>
      <c r="D285">
        <f>IF(ISNUMBER($A285),INDEX($R$6:$R$1505,$A285-3),"")</f>
        <v/>
      </c>
      <c r="E285">
        <f>IF(ISNUMBER($A285),$G$2,"")</f>
        <v/>
      </c>
      <c r="F285">
        <f>IF(ISNUMBER($A285),INDEX($Z$6:$Z$1505,$A285-3),"")</f>
        <v/>
      </c>
      <c r="G285">
        <f>IF(ISNUMBER($A285),INDEX($AA$6:$AA$1505,$A285-3),"")</f>
        <v/>
      </c>
      <c r="H285">
        <f>IF(ISNUMBER($A285),INDEX($U$6:$U$1505,$A285-3),"")</f>
        <v/>
      </c>
      <c r="I285">
        <f>IF(ISNUMBER($A285),INDEX($V$6:$V$1505,$A285-3),"")</f>
        <v/>
      </c>
      <c r="J285">
        <f>IF(ISNUMBER($A285),INDEX($W$6:$W$1505,$A285-3),"")</f>
        <v/>
      </c>
      <c r="K285">
        <f>IF(ISNUMBER($A285),INDEX($X$6:$X$1505,$A285-3),"")</f>
        <v/>
      </c>
      <c r="L285">
        <f>IF(ISNUMBER($A285),INDEX($Y$6:$Y$1505,$A285-3),"")</f>
        <v/>
      </c>
      <c r="O285">
        <f>283</f>
        <v/>
      </c>
      <c r="P285">
        <f>IF(TRIM('입력_구리근무자명단'!$A283&amp;"")&lt;&gt;"",TRIM('입력_구리근무자명단'!$A283&amp;""),P284)</f>
        <v/>
      </c>
      <c r="Q285">
        <f>'입력_구리근무자명단'!$B283&amp;""</f>
        <v/>
      </c>
      <c r="R285">
        <f>IF($E$2="","",TRIM(INDEX('입력_구리근무자명단'!$A283:$ZZ283,1,$E$2+IF($G$2="확정",1,0))&amp;""))</f>
        <v/>
      </c>
      <c r="S285">
        <f>IF($R285="","",IF(INDEX('입력_구리근무자명단'!$A283:$ZZ283,1,$E$2+2)&amp;""="",급여기준월,IF(ISNUMBER(INDEX('입력_구리근무자명단'!$A283:$ZZ283,1,$E$2+2)),INDEX('입력_구리근무자명단'!$A283:$ZZ283,1,$E$2+2),IFERROR(DATE(VALUE(LEFT(INDEX('입력_구리근무자명단'!$A283:$ZZ283,1,$E$2+2),4)),VALUE(MID(INDEX('입력_구리근무자명단'!$A283:$ZZ283,1,$E$2+2),6,2)),VALUE(MID(INDEX('입력_구리근무자명단'!$A283:$ZZ283,1,$E$2+2),9,2))),-1))))</f>
        <v/>
      </c>
      <c r="T285">
        <f>IF($R285="","",IF(INDEX('입력_구리근무자명단'!$A283:$ZZ283,1,$E$2+3)&amp;""="",EOMONTH(급여기준월,0),IF(ISNUMBER(INDEX('입력_구리근무자명단'!$A283:$ZZ283,1,$E$2+3)),INDEX('입력_구리근무자명단'!$A283:$ZZ283,1,$E$2+3),IFERROR(DATE(VALUE(LEFT(INDEX('입력_구리근무자명단'!$A283:$ZZ283,1,$E$2+3),4)),VALUE(MID(INDEX('입력_구리근무자명단'!$A283:$ZZ283,1,$E$2+3),6,2)),VALUE(MID(INDEX('입력_구리근무자명단'!$A283:$ZZ283,1,$E$2+3),9,2))),-1))))</f>
        <v/>
      </c>
      <c r="U285">
        <f>IF($R285="","",IF(OR($S285&lt;0,$T285&lt;0),0,MAX(0,MIN($T285,EOMONTH(급여기준월,0))-MAX($S285,급여기준월)+1)))</f>
        <v/>
      </c>
      <c r="V285">
        <f>IF($R285="","",TRIM(INDEX('입력_구리근무자명단'!$A283:$ZZ283,1,$E$2+5)&amp;""))</f>
        <v/>
      </c>
      <c r="W285">
        <f>IF(ISNUMBER(SEARCH("구리독자",$V285)),"구리독자","")</f>
        <v/>
      </c>
      <c r="X285">
        <f>IF($R285="","",$R285&amp;"|"&amp;IF(OR($Q285="인턴",ISNUMBER(SEARCH("수련교육부",$P285))),"인턴",$P285))</f>
        <v/>
      </c>
      <c r="Y285">
        <f>IF($R285="","",IF(COUNTIF(명단표[이름|과],$X285)=1,"명단 일치",IF(AND(COUNTIF(명단표[이름|과],$X285)=0,COUNTIF(명단표[이름],$R285)=1),"명단 일치(이름만, 과 다름)",IF(COUNTIF(명단표[이름],$R285)=0,IF(COUNTIF(기본자료표[이름],$R285)&gt;0,"명단에 없음(기본자료에는 있음)","명단에 없음"),"동명이인 확인"))))</f>
        <v/>
      </c>
      <c r="Z285">
        <f>IF($R285="","",IF($S285&lt;0,"⚠"&amp;INDEX('입력_구리근무자명단'!$A283:$ZZ283,1,$E$2+2),TEXT($S285,"yyyy-mm-dd")))</f>
        <v/>
      </c>
      <c r="AA285">
        <f>IF($R285="","",IF($T285&lt;0,"⚠"&amp;INDEX('입력_구리근무자명단'!$A283:$ZZ283,1,$E$2+3),TEXT($T285,"yyyy-mm-dd")))</f>
        <v/>
      </c>
      <c r="AB285">
        <f>AB284+IF($R285="",0,1)</f>
        <v/>
      </c>
      <c r="AC285">
        <f>IF($R285="","",$AB285)</f>
        <v/>
      </c>
    </row>
    <row r="286">
      <c r="A286">
        <f>IFERROR(INDEX($O$6:$O$1505,MATCH(281,$AC$6:$AC$1505,0)),"")</f>
        <v/>
      </c>
      <c r="B286">
        <f>IF(ISNUMBER($A286),INDEX($P$6:$P$1505,$A286-3),"")</f>
        <v/>
      </c>
      <c r="C286">
        <f>IF(ISNUMBER($A286),INDEX($Q$6:$Q$1505,$A286-3),"")</f>
        <v/>
      </c>
      <c r="D286">
        <f>IF(ISNUMBER($A286),INDEX($R$6:$R$1505,$A286-3),"")</f>
        <v/>
      </c>
      <c r="E286">
        <f>IF(ISNUMBER($A286),$G$2,"")</f>
        <v/>
      </c>
      <c r="F286">
        <f>IF(ISNUMBER($A286),INDEX($Z$6:$Z$1505,$A286-3),"")</f>
        <v/>
      </c>
      <c r="G286">
        <f>IF(ISNUMBER($A286),INDEX($AA$6:$AA$1505,$A286-3),"")</f>
        <v/>
      </c>
      <c r="H286">
        <f>IF(ISNUMBER($A286),INDEX($U$6:$U$1505,$A286-3),"")</f>
        <v/>
      </c>
      <c r="I286">
        <f>IF(ISNUMBER($A286),INDEX($V$6:$V$1505,$A286-3),"")</f>
        <v/>
      </c>
      <c r="J286">
        <f>IF(ISNUMBER($A286),INDEX($W$6:$W$1505,$A286-3),"")</f>
        <v/>
      </c>
      <c r="K286">
        <f>IF(ISNUMBER($A286),INDEX($X$6:$X$1505,$A286-3),"")</f>
        <v/>
      </c>
      <c r="L286">
        <f>IF(ISNUMBER($A286),INDEX($Y$6:$Y$1505,$A286-3),"")</f>
        <v/>
      </c>
      <c r="O286">
        <f>284</f>
        <v/>
      </c>
      <c r="P286">
        <f>IF(TRIM('입력_구리근무자명단'!$A284&amp;"")&lt;&gt;"",TRIM('입력_구리근무자명단'!$A284&amp;""),P285)</f>
        <v/>
      </c>
      <c r="Q286">
        <f>'입력_구리근무자명단'!$B284&amp;""</f>
        <v/>
      </c>
      <c r="R286">
        <f>IF($E$2="","",TRIM(INDEX('입력_구리근무자명단'!$A284:$ZZ284,1,$E$2+IF($G$2="확정",1,0))&amp;""))</f>
        <v/>
      </c>
      <c r="S286">
        <f>IF($R286="","",IF(INDEX('입력_구리근무자명단'!$A284:$ZZ284,1,$E$2+2)&amp;""="",급여기준월,IF(ISNUMBER(INDEX('입력_구리근무자명단'!$A284:$ZZ284,1,$E$2+2)),INDEX('입력_구리근무자명단'!$A284:$ZZ284,1,$E$2+2),IFERROR(DATE(VALUE(LEFT(INDEX('입력_구리근무자명단'!$A284:$ZZ284,1,$E$2+2),4)),VALUE(MID(INDEX('입력_구리근무자명단'!$A284:$ZZ284,1,$E$2+2),6,2)),VALUE(MID(INDEX('입력_구리근무자명단'!$A284:$ZZ284,1,$E$2+2),9,2))),-1))))</f>
        <v/>
      </c>
      <c r="T286">
        <f>IF($R286="","",IF(INDEX('입력_구리근무자명단'!$A284:$ZZ284,1,$E$2+3)&amp;""="",EOMONTH(급여기준월,0),IF(ISNUMBER(INDEX('입력_구리근무자명단'!$A284:$ZZ284,1,$E$2+3)),INDEX('입력_구리근무자명단'!$A284:$ZZ284,1,$E$2+3),IFERROR(DATE(VALUE(LEFT(INDEX('입력_구리근무자명단'!$A284:$ZZ284,1,$E$2+3),4)),VALUE(MID(INDEX('입력_구리근무자명단'!$A284:$ZZ284,1,$E$2+3),6,2)),VALUE(MID(INDEX('입력_구리근무자명단'!$A284:$ZZ284,1,$E$2+3),9,2))),-1))))</f>
        <v/>
      </c>
      <c r="U286">
        <f>IF($R286="","",IF(OR($S286&lt;0,$T286&lt;0),0,MAX(0,MIN($T286,EOMONTH(급여기준월,0))-MAX($S286,급여기준월)+1)))</f>
        <v/>
      </c>
      <c r="V286">
        <f>IF($R286="","",TRIM(INDEX('입력_구리근무자명단'!$A284:$ZZ284,1,$E$2+5)&amp;""))</f>
        <v/>
      </c>
      <c r="W286">
        <f>IF(ISNUMBER(SEARCH("구리독자",$V286)),"구리독자","")</f>
        <v/>
      </c>
      <c r="X286">
        <f>IF($R286="","",$R286&amp;"|"&amp;IF(OR($Q286="인턴",ISNUMBER(SEARCH("수련교육부",$P286))),"인턴",$P286))</f>
        <v/>
      </c>
      <c r="Y286">
        <f>IF($R286="","",IF(COUNTIF(명단표[이름|과],$X286)=1,"명단 일치",IF(AND(COUNTIF(명단표[이름|과],$X286)=0,COUNTIF(명단표[이름],$R286)=1),"명단 일치(이름만, 과 다름)",IF(COUNTIF(명단표[이름],$R286)=0,IF(COUNTIF(기본자료표[이름],$R286)&gt;0,"명단에 없음(기본자료에는 있음)","명단에 없음"),"동명이인 확인"))))</f>
        <v/>
      </c>
      <c r="Z286">
        <f>IF($R286="","",IF($S286&lt;0,"⚠"&amp;INDEX('입력_구리근무자명단'!$A284:$ZZ284,1,$E$2+2),TEXT($S286,"yyyy-mm-dd")))</f>
        <v/>
      </c>
      <c r="AA286">
        <f>IF($R286="","",IF($T286&lt;0,"⚠"&amp;INDEX('입력_구리근무자명단'!$A284:$ZZ284,1,$E$2+3),TEXT($T286,"yyyy-mm-dd")))</f>
        <v/>
      </c>
      <c r="AB286">
        <f>AB285+IF($R286="",0,1)</f>
        <v/>
      </c>
      <c r="AC286">
        <f>IF($R286="","",$AB286)</f>
        <v/>
      </c>
    </row>
    <row r="287">
      <c r="A287">
        <f>IFERROR(INDEX($O$6:$O$1505,MATCH(282,$AC$6:$AC$1505,0)),"")</f>
        <v/>
      </c>
      <c r="B287">
        <f>IF(ISNUMBER($A287),INDEX($P$6:$P$1505,$A287-3),"")</f>
        <v/>
      </c>
      <c r="C287">
        <f>IF(ISNUMBER($A287),INDEX($Q$6:$Q$1505,$A287-3),"")</f>
        <v/>
      </c>
      <c r="D287">
        <f>IF(ISNUMBER($A287),INDEX($R$6:$R$1505,$A287-3),"")</f>
        <v/>
      </c>
      <c r="E287">
        <f>IF(ISNUMBER($A287),$G$2,"")</f>
        <v/>
      </c>
      <c r="F287">
        <f>IF(ISNUMBER($A287),INDEX($Z$6:$Z$1505,$A287-3),"")</f>
        <v/>
      </c>
      <c r="G287">
        <f>IF(ISNUMBER($A287),INDEX($AA$6:$AA$1505,$A287-3),"")</f>
        <v/>
      </c>
      <c r="H287">
        <f>IF(ISNUMBER($A287),INDEX($U$6:$U$1505,$A287-3),"")</f>
        <v/>
      </c>
      <c r="I287">
        <f>IF(ISNUMBER($A287),INDEX($V$6:$V$1505,$A287-3),"")</f>
        <v/>
      </c>
      <c r="J287">
        <f>IF(ISNUMBER($A287),INDEX($W$6:$W$1505,$A287-3),"")</f>
        <v/>
      </c>
      <c r="K287">
        <f>IF(ISNUMBER($A287),INDEX($X$6:$X$1505,$A287-3),"")</f>
        <v/>
      </c>
      <c r="L287">
        <f>IF(ISNUMBER($A287),INDEX($Y$6:$Y$1505,$A287-3),"")</f>
        <v/>
      </c>
      <c r="O287">
        <f>285</f>
        <v/>
      </c>
      <c r="P287">
        <f>IF(TRIM('입력_구리근무자명단'!$A285&amp;"")&lt;&gt;"",TRIM('입력_구리근무자명단'!$A285&amp;""),P286)</f>
        <v/>
      </c>
      <c r="Q287">
        <f>'입력_구리근무자명단'!$B285&amp;""</f>
        <v/>
      </c>
      <c r="R287">
        <f>IF($E$2="","",TRIM(INDEX('입력_구리근무자명단'!$A285:$ZZ285,1,$E$2+IF($G$2="확정",1,0))&amp;""))</f>
        <v/>
      </c>
      <c r="S287">
        <f>IF($R287="","",IF(INDEX('입력_구리근무자명단'!$A285:$ZZ285,1,$E$2+2)&amp;""="",급여기준월,IF(ISNUMBER(INDEX('입력_구리근무자명단'!$A285:$ZZ285,1,$E$2+2)),INDEX('입력_구리근무자명단'!$A285:$ZZ285,1,$E$2+2),IFERROR(DATE(VALUE(LEFT(INDEX('입력_구리근무자명단'!$A285:$ZZ285,1,$E$2+2),4)),VALUE(MID(INDEX('입력_구리근무자명단'!$A285:$ZZ285,1,$E$2+2),6,2)),VALUE(MID(INDEX('입력_구리근무자명단'!$A285:$ZZ285,1,$E$2+2),9,2))),-1))))</f>
        <v/>
      </c>
      <c r="T287">
        <f>IF($R287="","",IF(INDEX('입력_구리근무자명단'!$A285:$ZZ285,1,$E$2+3)&amp;""="",EOMONTH(급여기준월,0),IF(ISNUMBER(INDEX('입력_구리근무자명단'!$A285:$ZZ285,1,$E$2+3)),INDEX('입력_구리근무자명단'!$A285:$ZZ285,1,$E$2+3),IFERROR(DATE(VALUE(LEFT(INDEX('입력_구리근무자명단'!$A285:$ZZ285,1,$E$2+3),4)),VALUE(MID(INDEX('입력_구리근무자명단'!$A285:$ZZ285,1,$E$2+3),6,2)),VALUE(MID(INDEX('입력_구리근무자명단'!$A285:$ZZ285,1,$E$2+3),9,2))),-1))))</f>
        <v/>
      </c>
      <c r="U287">
        <f>IF($R287="","",IF(OR($S287&lt;0,$T287&lt;0),0,MAX(0,MIN($T287,EOMONTH(급여기준월,0))-MAX($S287,급여기준월)+1)))</f>
        <v/>
      </c>
      <c r="V287">
        <f>IF($R287="","",TRIM(INDEX('입력_구리근무자명단'!$A285:$ZZ285,1,$E$2+5)&amp;""))</f>
        <v/>
      </c>
      <c r="W287">
        <f>IF(ISNUMBER(SEARCH("구리독자",$V287)),"구리독자","")</f>
        <v/>
      </c>
      <c r="X287">
        <f>IF($R287="","",$R287&amp;"|"&amp;IF(OR($Q287="인턴",ISNUMBER(SEARCH("수련교육부",$P287))),"인턴",$P287))</f>
        <v/>
      </c>
      <c r="Y287">
        <f>IF($R287="","",IF(COUNTIF(명단표[이름|과],$X287)=1,"명단 일치",IF(AND(COUNTIF(명단표[이름|과],$X287)=0,COUNTIF(명단표[이름],$R287)=1),"명단 일치(이름만, 과 다름)",IF(COUNTIF(명단표[이름],$R287)=0,IF(COUNTIF(기본자료표[이름],$R287)&gt;0,"명단에 없음(기본자료에는 있음)","명단에 없음"),"동명이인 확인"))))</f>
        <v/>
      </c>
      <c r="Z287">
        <f>IF($R287="","",IF($S287&lt;0,"⚠"&amp;INDEX('입력_구리근무자명단'!$A285:$ZZ285,1,$E$2+2),TEXT($S287,"yyyy-mm-dd")))</f>
        <v/>
      </c>
      <c r="AA287">
        <f>IF($R287="","",IF($T287&lt;0,"⚠"&amp;INDEX('입력_구리근무자명단'!$A285:$ZZ285,1,$E$2+3),TEXT($T287,"yyyy-mm-dd")))</f>
        <v/>
      </c>
      <c r="AB287">
        <f>AB286+IF($R287="",0,1)</f>
        <v/>
      </c>
      <c r="AC287">
        <f>IF($R287="","",$AB287)</f>
        <v/>
      </c>
    </row>
    <row r="288">
      <c r="A288">
        <f>IFERROR(INDEX($O$6:$O$1505,MATCH(283,$AC$6:$AC$1505,0)),"")</f>
        <v/>
      </c>
      <c r="B288">
        <f>IF(ISNUMBER($A288),INDEX($P$6:$P$1505,$A288-3),"")</f>
        <v/>
      </c>
      <c r="C288">
        <f>IF(ISNUMBER($A288),INDEX($Q$6:$Q$1505,$A288-3),"")</f>
        <v/>
      </c>
      <c r="D288">
        <f>IF(ISNUMBER($A288),INDEX($R$6:$R$1505,$A288-3),"")</f>
        <v/>
      </c>
      <c r="E288">
        <f>IF(ISNUMBER($A288),$G$2,"")</f>
        <v/>
      </c>
      <c r="F288">
        <f>IF(ISNUMBER($A288),INDEX($Z$6:$Z$1505,$A288-3),"")</f>
        <v/>
      </c>
      <c r="G288">
        <f>IF(ISNUMBER($A288),INDEX($AA$6:$AA$1505,$A288-3),"")</f>
        <v/>
      </c>
      <c r="H288">
        <f>IF(ISNUMBER($A288),INDEX($U$6:$U$1505,$A288-3),"")</f>
        <v/>
      </c>
      <c r="I288">
        <f>IF(ISNUMBER($A288),INDEX($V$6:$V$1505,$A288-3),"")</f>
        <v/>
      </c>
      <c r="J288">
        <f>IF(ISNUMBER($A288),INDEX($W$6:$W$1505,$A288-3),"")</f>
        <v/>
      </c>
      <c r="K288">
        <f>IF(ISNUMBER($A288),INDEX($X$6:$X$1505,$A288-3),"")</f>
        <v/>
      </c>
      <c r="L288">
        <f>IF(ISNUMBER($A288),INDEX($Y$6:$Y$1505,$A288-3),"")</f>
        <v/>
      </c>
      <c r="O288">
        <f>286</f>
        <v/>
      </c>
      <c r="P288">
        <f>IF(TRIM('입력_구리근무자명단'!$A286&amp;"")&lt;&gt;"",TRIM('입력_구리근무자명단'!$A286&amp;""),P287)</f>
        <v/>
      </c>
      <c r="Q288">
        <f>'입력_구리근무자명단'!$B286&amp;""</f>
        <v/>
      </c>
      <c r="R288">
        <f>IF($E$2="","",TRIM(INDEX('입력_구리근무자명단'!$A286:$ZZ286,1,$E$2+IF($G$2="확정",1,0))&amp;""))</f>
        <v/>
      </c>
      <c r="S288">
        <f>IF($R288="","",IF(INDEX('입력_구리근무자명단'!$A286:$ZZ286,1,$E$2+2)&amp;""="",급여기준월,IF(ISNUMBER(INDEX('입력_구리근무자명단'!$A286:$ZZ286,1,$E$2+2)),INDEX('입력_구리근무자명단'!$A286:$ZZ286,1,$E$2+2),IFERROR(DATE(VALUE(LEFT(INDEX('입력_구리근무자명단'!$A286:$ZZ286,1,$E$2+2),4)),VALUE(MID(INDEX('입력_구리근무자명단'!$A286:$ZZ286,1,$E$2+2),6,2)),VALUE(MID(INDEX('입력_구리근무자명단'!$A286:$ZZ286,1,$E$2+2),9,2))),-1))))</f>
        <v/>
      </c>
      <c r="T288">
        <f>IF($R288="","",IF(INDEX('입력_구리근무자명단'!$A286:$ZZ286,1,$E$2+3)&amp;""="",EOMONTH(급여기준월,0),IF(ISNUMBER(INDEX('입력_구리근무자명단'!$A286:$ZZ286,1,$E$2+3)),INDEX('입력_구리근무자명단'!$A286:$ZZ286,1,$E$2+3),IFERROR(DATE(VALUE(LEFT(INDEX('입력_구리근무자명단'!$A286:$ZZ286,1,$E$2+3),4)),VALUE(MID(INDEX('입력_구리근무자명단'!$A286:$ZZ286,1,$E$2+3),6,2)),VALUE(MID(INDEX('입력_구리근무자명단'!$A286:$ZZ286,1,$E$2+3),9,2))),-1))))</f>
        <v/>
      </c>
      <c r="U288">
        <f>IF($R288="","",IF(OR($S288&lt;0,$T288&lt;0),0,MAX(0,MIN($T288,EOMONTH(급여기준월,0))-MAX($S288,급여기준월)+1)))</f>
        <v/>
      </c>
      <c r="V288">
        <f>IF($R288="","",TRIM(INDEX('입력_구리근무자명단'!$A286:$ZZ286,1,$E$2+5)&amp;""))</f>
        <v/>
      </c>
      <c r="W288">
        <f>IF(ISNUMBER(SEARCH("구리독자",$V288)),"구리독자","")</f>
        <v/>
      </c>
      <c r="X288">
        <f>IF($R288="","",$R288&amp;"|"&amp;IF(OR($Q288="인턴",ISNUMBER(SEARCH("수련교육부",$P288))),"인턴",$P288))</f>
        <v/>
      </c>
      <c r="Y288">
        <f>IF($R288="","",IF(COUNTIF(명단표[이름|과],$X288)=1,"명단 일치",IF(AND(COUNTIF(명단표[이름|과],$X288)=0,COUNTIF(명단표[이름],$R288)=1),"명단 일치(이름만, 과 다름)",IF(COUNTIF(명단표[이름],$R288)=0,IF(COUNTIF(기본자료표[이름],$R288)&gt;0,"명단에 없음(기본자료에는 있음)","명단에 없음"),"동명이인 확인"))))</f>
        <v/>
      </c>
      <c r="Z288">
        <f>IF($R288="","",IF($S288&lt;0,"⚠"&amp;INDEX('입력_구리근무자명단'!$A286:$ZZ286,1,$E$2+2),TEXT($S288,"yyyy-mm-dd")))</f>
        <v/>
      </c>
      <c r="AA288">
        <f>IF($R288="","",IF($T288&lt;0,"⚠"&amp;INDEX('입력_구리근무자명단'!$A286:$ZZ286,1,$E$2+3),TEXT($T288,"yyyy-mm-dd")))</f>
        <v/>
      </c>
      <c r="AB288">
        <f>AB287+IF($R288="",0,1)</f>
        <v/>
      </c>
      <c r="AC288">
        <f>IF($R288="","",$AB288)</f>
        <v/>
      </c>
    </row>
    <row r="289">
      <c r="A289">
        <f>IFERROR(INDEX($O$6:$O$1505,MATCH(284,$AC$6:$AC$1505,0)),"")</f>
        <v/>
      </c>
      <c r="B289">
        <f>IF(ISNUMBER($A289),INDEX($P$6:$P$1505,$A289-3),"")</f>
        <v/>
      </c>
      <c r="C289">
        <f>IF(ISNUMBER($A289),INDEX($Q$6:$Q$1505,$A289-3),"")</f>
        <v/>
      </c>
      <c r="D289">
        <f>IF(ISNUMBER($A289),INDEX($R$6:$R$1505,$A289-3),"")</f>
        <v/>
      </c>
      <c r="E289">
        <f>IF(ISNUMBER($A289),$G$2,"")</f>
        <v/>
      </c>
      <c r="F289">
        <f>IF(ISNUMBER($A289),INDEX($Z$6:$Z$1505,$A289-3),"")</f>
        <v/>
      </c>
      <c r="G289">
        <f>IF(ISNUMBER($A289),INDEX($AA$6:$AA$1505,$A289-3),"")</f>
        <v/>
      </c>
      <c r="H289">
        <f>IF(ISNUMBER($A289),INDEX($U$6:$U$1505,$A289-3),"")</f>
        <v/>
      </c>
      <c r="I289">
        <f>IF(ISNUMBER($A289),INDEX($V$6:$V$1505,$A289-3),"")</f>
        <v/>
      </c>
      <c r="J289">
        <f>IF(ISNUMBER($A289),INDEX($W$6:$W$1505,$A289-3),"")</f>
        <v/>
      </c>
      <c r="K289">
        <f>IF(ISNUMBER($A289),INDEX($X$6:$X$1505,$A289-3),"")</f>
        <v/>
      </c>
      <c r="L289">
        <f>IF(ISNUMBER($A289),INDEX($Y$6:$Y$1505,$A289-3),"")</f>
        <v/>
      </c>
      <c r="O289">
        <f>287</f>
        <v/>
      </c>
      <c r="P289">
        <f>IF(TRIM('입력_구리근무자명단'!$A287&amp;"")&lt;&gt;"",TRIM('입력_구리근무자명단'!$A287&amp;""),P288)</f>
        <v/>
      </c>
      <c r="Q289">
        <f>'입력_구리근무자명단'!$B287&amp;""</f>
        <v/>
      </c>
      <c r="R289">
        <f>IF($E$2="","",TRIM(INDEX('입력_구리근무자명단'!$A287:$ZZ287,1,$E$2+IF($G$2="확정",1,0))&amp;""))</f>
        <v/>
      </c>
      <c r="S289">
        <f>IF($R289="","",IF(INDEX('입력_구리근무자명단'!$A287:$ZZ287,1,$E$2+2)&amp;""="",급여기준월,IF(ISNUMBER(INDEX('입력_구리근무자명단'!$A287:$ZZ287,1,$E$2+2)),INDEX('입력_구리근무자명단'!$A287:$ZZ287,1,$E$2+2),IFERROR(DATE(VALUE(LEFT(INDEX('입력_구리근무자명단'!$A287:$ZZ287,1,$E$2+2),4)),VALUE(MID(INDEX('입력_구리근무자명단'!$A287:$ZZ287,1,$E$2+2),6,2)),VALUE(MID(INDEX('입력_구리근무자명단'!$A287:$ZZ287,1,$E$2+2),9,2))),-1))))</f>
        <v/>
      </c>
      <c r="T289">
        <f>IF($R289="","",IF(INDEX('입력_구리근무자명단'!$A287:$ZZ287,1,$E$2+3)&amp;""="",EOMONTH(급여기준월,0),IF(ISNUMBER(INDEX('입력_구리근무자명단'!$A287:$ZZ287,1,$E$2+3)),INDEX('입력_구리근무자명단'!$A287:$ZZ287,1,$E$2+3),IFERROR(DATE(VALUE(LEFT(INDEX('입력_구리근무자명단'!$A287:$ZZ287,1,$E$2+3),4)),VALUE(MID(INDEX('입력_구리근무자명단'!$A287:$ZZ287,1,$E$2+3),6,2)),VALUE(MID(INDEX('입력_구리근무자명단'!$A287:$ZZ287,1,$E$2+3),9,2))),-1))))</f>
        <v/>
      </c>
      <c r="U289">
        <f>IF($R289="","",IF(OR($S289&lt;0,$T289&lt;0),0,MAX(0,MIN($T289,EOMONTH(급여기준월,0))-MAX($S289,급여기준월)+1)))</f>
        <v/>
      </c>
      <c r="V289">
        <f>IF($R289="","",TRIM(INDEX('입력_구리근무자명단'!$A287:$ZZ287,1,$E$2+5)&amp;""))</f>
        <v/>
      </c>
      <c r="W289">
        <f>IF(ISNUMBER(SEARCH("구리독자",$V289)),"구리독자","")</f>
        <v/>
      </c>
      <c r="X289">
        <f>IF($R289="","",$R289&amp;"|"&amp;IF(OR($Q289="인턴",ISNUMBER(SEARCH("수련교육부",$P289))),"인턴",$P289))</f>
        <v/>
      </c>
      <c r="Y289">
        <f>IF($R289="","",IF(COUNTIF(명단표[이름|과],$X289)=1,"명단 일치",IF(AND(COUNTIF(명단표[이름|과],$X289)=0,COUNTIF(명단표[이름],$R289)=1),"명단 일치(이름만, 과 다름)",IF(COUNTIF(명단표[이름],$R289)=0,IF(COUNTIF(기본자료표[이름],$R289)&gt;0,"명단에 없음(기본자료에는 있음)","명단에 없음"),"동명이인 확인"))))</f>
        <v/>
      </c>
      <c r="Z289">
        <f>IF($R289="","",IF($S289&lt;0,"⚠"&amp;INDEX('입력_구리근무자명단'!$A287:$ZZ287,1,$E$2+2),TEXT($S289,"yyyy-mm-dd")))</f>
        <v/>
      </c>
      <c r="AA289">
        <f>IF($R289="","",IF($T289&lt;0,"⚠"&amp;INDEX('입력_구리근무자명단'!$A287:$ZZ287,1,$E$2+3),TEXT($T289,"yyyy-mm-dd")))</f>
        <v/>
      </c>
      <c r="AB289">
        <f>AB288+IF($R289="",0,1)</f>
        <v/>
      </c>
      <c r="AC289">
        <f>IF($R289="","",$AB289)</f>
        <v/>
      </c>
    </row>
    <row r="290">
      <c r="A290">
        <f>IFERROR(INDEX($O$6:$O$1505,MATCH(285,$AC$6:$AC$1505,0)),"")</f>
        <v/>
      </c>
      <c r="B290">
        <f>IF(ISNUMBER($A290),INDEX($P$6:$P$1505,$A290-3),"")</f>
        <v/>
      </c>
      <c r="C290">
        <f>IF(ISNUMBER($A290),INDEX($Q$6:$Q$1505,$A290-3),"")</f>
        <v/>
      </c>
      <c r="D290">
        <f>IF(ISNUMBER($A290),INDEX($R$6:$R$1505,$A290-3),"")</f>
        <v/>
      </c>
      <c r="E290">
        <f>IF(ISNUMBER($A290),$G$2,"")</f>
        <v/>
      </c>
      <c r="F290">
        <f>IF(ISNUMBER($A290),INDEX($Z$6:$Z$1505,$A290-3),"")</f>
        <v/>
      </c>
      <c r="G290">
        <f>IF(ISNUMBER($A290),INDEX($AA$6:$AA$1505,$A290-3),"")</f>
        <v/>
      </c>
      <c r="H290">
        <f>IF(ISNUMBER($A290),INDEX($U$6:$U$1505,$A290-3),"")</f>
        <v/>
      </c>
      <c r="I290">
        <f>IF(ISNUMBER($A290),INDEX($V$6:$V$1505,$A290-3),"")</f>
        <v/>
      </c>
      <c r="J290">
        <f>IF(ISNUMBER($A290),INDEX($W$6:$W$1505,$A290-3),"")</f>
        <v/>
      </c>
      <c r="K290">
        <f>IF(ISNUMBER($A290),INDEX($X$6:$X$1505,$A290-3),"")</f>
        <v/>
      </c>
      <c r="L290">
        <f>IF(ISNUMBER($A290),INDEX($Y$6:$Y$1505,$A290-3),"")</f>
        <v/>
      </c>
      <c r="O290">
        <f>288</f>
        <v/>
      </c>
      <c r="P290">
        <f>IF(TRIM('입력_구리근무자명단'!$A288&amp;"")&lt;&gt;"",TRIM('입력_구리근무자명단'!$A288&amp;""),P289)</f>
        <v/>
      </c>
      <c r="Q290">
        <f>'입력_구리근무자명단'!$B288&amp;""</f>
        <v/>
      </c>
      <c r="R290">
        <f>IF($E$2="","",TRIM(INDEX('입력_구리근무자명단'!$A288:$ZZ288,1,$E$2+IF($G$2="확정",1,0))&amp;""))</f>
        <v/>
      </c>
      <c r="S290">
        <f>IF($R290="","",IF(INDEX('입력_구리근무자명단'!$A288:$ZZ288,1,$E$2+2)&amp;""="",급여기준월,IF(ISNUMBER(INDEX('입력_구리근무자명단'!$A288:$ZZ288,1,$E$2+2)),INDEX('입력_구리근무자명단'!$A288:$ZZ288,1,$E$2+2),IFERROR(DATE(VALUE(LEFT(INDEX('입력_구리근무자명단'!$A288:$ZZ288,1,$E$2+2),4)),VALUE(MID(INDEX('입력_구리근무자명단'!$A288:$ZZ288,1,$E$2+2),6,2)),VALUE(MID(INDEX('입력_구리근무자명단'!$A288:$ZZ288,1,$E$2+2),9,2))),-1))))</f>
        <v/>
      </c>
      <c r="T290">
        <f>IF($R290="","",IF(INDEX('입력_구리근무자명단'!$A288:$ZZ288,1,$E$2+3)&amp;""="",EOMONTH(급여기준월,0),IF(ISNUMBER(INDEX('입력_구리근무자명단'!$A288:$ZZ288,1,$E$2+3)),INDEX('입력_구리근무자명단'!$A288:$ZZ288,1,$E$2+3),IFERROR(DATE(VALUE(LEFT(INDEX('입력_구리근무자명단'!$A288:$ZZ288,1,$E$2+3),4)),VALUE(MID(INDEX('입력_구리근무자명단'!$A288:$ZZ288,1,$E$2+3),6,2)),VALUE(MID(INDEX('입력_구리근무자명단'!$A288:$ZZ288,1,$E$2+3),9,2))),-1))))</f>
        <v/>
      </c>
      <c r="U290">
        <f>IF($R290="","",IF(OR($S290&lt;0,$T290&lt;0),0,MAX(0,MIN($T290,EOMONTH(급여기준월,0))-MAX($S290,급여기준월)+1)))</f>
        <v/>
      </c>
      <c r="V290">
        <f>IF($R290="","",TRIM(INDEX('입력_구리근무자명단'!$A288:$ZZ288,1,$E$2+5)&amp;""))</f>
        <v/>
      </c>
      <c r="W290">
        <f>IF(ISNUMBER(SEARCH("구리독자",$V290)),"구리독자","")</f>
        <v/>
      </c>
      <c r="X290">
        <f>IF($R290="","",$R290&amp;"|"&amp;IF(OR($Q290="인턴",ISNUMBER(SEARCH("수련교육부",$P290))),"인턴",$P290))</f>
        <v/>
      </c>
      <c r="Y290">
        <f>IF($R290="","",IF(COUNTIF(명단표[이름|과],$X290)=1,"명단 일치",IF(AND(COUNTIF(명단표[이름|과],$X290)=0,COUNTIF(명단표[이름],$R290)=1),"명단 일치(이름만, 과 다름)",IF(COUNTIF(명단표[이름],$R290)=0,IF(COUNTIF(기본자료표[이름],$R290)&gt;0,"명단에 없음(기본자료에는 있음)","명단에 없음"),"동명이인 확인"))))</f>
        <v/>
      </c>
      <c r="Z290">
        <f>IF($R290="","",IF($S290&lt;0,"⚠"&amp;INDEX('입력_구리근무자명단'!$A288:$ZZ288,1,$E$2+2),TEXT($S290,"yyyy-mm-dd")))</f>
        <v/>
      </c>
      <c r="AA290">
        <f>IF($R290="","",IF($T290&lt;0,"⚠"&amp;INDEX('입력_구리근무자명단'!$A288:$ZZ288,1,$E$2+3),TEXT($T290,"yyyy-mm-dd")))</f>
        <v/>
      </c>
      <c r="AB290">
        <f>AB289+IF($R290="",0,1)</f>
        <v/>
      </c>
      <c r="AC290">
        <f>IF($R290="","",$AB290)</f>
        <v/>
      </c>
    </row>
    <row r="291">
      <c r="A291">
        <f>IFERROR(INDEX($O$6:$O$1505,MATCH(286,$AC$6:$AC$1505,0)),"")</f>
        <v/>
      </c>
      <c r="B291">
        <f>IF(ISNUMBER($A291),INDEX($P$6:$P$1505,$A291-3),"")</f>
        <v/>
      </c>
      <c r="C291">
        <f>IF(ISNUMBER($A291),INDEX($Q$6:$Q$1505,$A291-3),"")</f>
        <v/>
      </c>
      <c r="D291">
        <f>IF(ISNUMBER($A291),INDEX($R$6:$R$1505,$A291-3),"")</f>
        <v/>
      </c>
      <c r="E291">
        <f>IF(ISNUMBER($A291),$G$2,"")</f>
        <v/>
      </c>
      <c r="F291">
        <f>IF(ISNUMBER($A291),INDEX($Z$6:$Z$1505,$A291-3),"")</f>
        <v/>
      </c>
      <c r="G291">
        <f>IF(ISNUMBER($A291),INDEX($AA$6:$AA$1505,$A291-3),"")</f>
        <v/>
      </c>
      <c r="H291">
        <f>IF(ISNUMBER($A291),INDEX($U$6:$U$1505,$A291-3),"")</f>
        <v/>
      </c>
      <c r="I291">
        <f>IF(ISNUMBER($A291),INDEX($V$6:$V$1505,$A291-3),"")</f>
        <v/>
      </c>
      <c r="J291">
        <f>IF(ISNUMBER($A291),INDEX($W$6:$W$1505,$A291-3),"")</f>
        <v/>
      </c>
      <c r="K291">
        <f>IF(ISNUMBER($A291),INDEX($X$6:$X$1505,$A291-3),"")</f>
        <v/>
      </c>
      <c r="L291">
        <f>IF(ISNUMBER($A291),INDEX($Y$6:$Y$1505,$A291-3),"")</f>
        <v/>
      </c>
      <c r="O291">
        <f>289</f>
        <v/>
      </c>
      <c r="P291">
        <f>IF(TRIM('입력_구리근무자명단'!$A289&amp;"")&lt;&gt;"",TRIM('입력_구리근무자명단'!$A289&amp;""),P290)</f>
        <v/>
      </c>
      <c r="Q291">
        <f>'입력_구리근무자명단'!$B289&amp;""</f>
        <v/>
      </c>
      <c r="R291">
        <f>IF($E$2="","",TRIM(INDEX('입력_구리근무자명단'!$A289:$ZZ289,1,$E$2+IF($G$2="확정",1,0))&amp;""))</f>
        <v/>
      </c>
      <c r="S291">
        <f>IF($R291="","",IF(INDEX('입력_구리근무자명단'!$A289:$ZZ289,1,$E$2+2)&amp;""="",급여기준월,IF(ISNUMBER(INDEX('입력_구리근무자명단'!$A289:$ZZ289,1,$E$2+2)),INDEX('입력_구리근무자명단'!$A289:$ZZ289,1,$E$2+2),IFERROR(DATE(VALUE(LEFT(INDEX('입력_구리근무자명단'!$A289:$ZZ289,1,$E$2+2),4)),VALUE(MID(INDEX('입력_구리근무자명단'!$A289:$ZZ289,1,$E$2+2),6,2)),VALUE(MID(INDEX('입력_구리근무자명단'!$A289:$ZZ289,1,$E$2+2),9,2))),-1))))</f>
        <v/>
      </c>
      <c r="T291">
        <f>IF($R291="","",IF(INDEX('입력_구리근무자명단'!$A289:$ZZ289,1,$E$2+3)&amp;""="",EOMONTH(급여기준월,0),IF(ISNUMBER(INDEX('입력_구리근무자명단'!$A289:$ZZ289,1,$E$2+3)),INDEX('입력_구리근무자명단'!$A289:$ZZ289,1,$E$2+3),IFERROR(DATE(VALUE(LEFT(INDEX('입력_구리근무자명단'!$A289:$ZZ289,1,$E$2+3),4)),VALUE(MID(INDEX('입력_구리근무자명단'!$A289:$ZZ289,1,$E$2+3),6,2)),VALUE(MID(INDEX('입력_구리근무자명단'!$A289:$ZZ289,1,$E$2+3),9,2))),-1))))</f>
        <v/>
      </c>
      <c r="U291">
        <f>IF($R291="","",IF(OR($S291&lt;0,$T291&lt;0),0,MAX(0,MIN($T291,EOMONTH(급여기준월,0))-MAX($S291,급여기준월)+1)))</f>
        <v/>
      </c>
      <c r="V291">
        <f>IF($R291="","",TRIM(INDEX('입력_구리근무자명단'!$A289:$ZZ289,1,$E$2+5)&amp;""))</f>
        <v/>
      </c>
      <c r="W291">
        <f>IF(ISNUMBER(SEARCH("구리독자",$V291)),"구리독자","")</f>
        <v/>
      </c>
      <c r="X291">
        <f>IF($R291="","",$R291&amp;"|"&amp;IF(OR($Q291="인턴",ISNUMBER(SEARCH("수련교육부",$P291))),"인턴",$P291))</f>
        <v/>
      </c>
      <c r="Y291">
        <f>IF($R291="","",IF(COUNTIF(명단표[이름|과],$X291)=1,"명단 일치",IF(AND(COUNTIF(명단표[이름|과],$X291)=0,COUNTIF(명단표[이름],$R291)=1),"명단 일치(이름만, 과 다름)",IF(COUNTIF(명단표[이름],$R291)=0,IF(COUNTIF(기본자료표[이름],$R291)&gt;0,"명단에 없음(기본자료에는 있음)","명단에 없음"),"동명이인 확인"))))</f>
        <v/>
      </c>
      <c r="Z291">
        <f>IF($R291="","",IF($S291&lt;0,"⚠"&amp;INDEX('입력_구리근무자명단'!$A289:$ZZ289,1,$E$2+2),TEXT($S291,"yyyy-mm-dd")))</f>
        <v/>
      </c>
      <c r="AA291">
        <f>IF($R291="","",IF($T291&lt;0,"⚠"&amp;INDEX('입력_구리근무자명단'!$A289:$ZZ289,1,$E$2+3),TEXT($T291,"yyyy-mm-dd")))</f>
        <v/>
      </c>
      <c r="AB291">
        <f>AB290+IF($R291="",0,1)</f>
        <v/>
      </c>
      <c r="AC291">
        <f>IF($R291="","",$AB291)</f>
        <v/>
      </c>
    </row>
    <row r="292">
      <c r="A292">
        <f>IFERROR(INDEX($O$6:$O$1505,MATCH(287,$AC$6:$AC$1505,0)),"")</f>
        <v/>
      </c>
      <c r="B292">
        <f>IF(ISNUMBER($A292),INDEX($P$6:$P$1505,$A292-3),"")</f>
        <v/>
      </c>
      <c r="C292">
        <f>IF(ISNUMBER($A292),INDEX($Q$6:$Q$1505,$A292-3),"")</f>
        <v/>
      </c>
      <c r="D292">
        <f>IF(ISNUMBER($A292),INDEX($R$6:$R$1505,$A292-3),"")</f>
        <v/>
      </c>
      <c r="E292">
        <f>IF(ISNUMBER($A292),$G$2,"")</f>
        <v/>
      </c>
      <c r="F292">
        <f>IF(ISNUMBER($A292),INDEX($Z$6:$Z$1505,$A292-3),"")</f>
        <v/>
      </c>
      <c r="G292">
        <f>IF(ISNUMBER($A292),INDEX($AA$6:$AA$1505,$A292-3),"")</f>
        <v/>
      </c>
      <c r="H292">
        <f>IF(ISNUMBER($A292),INDEX($U$6:$U$1505,$A292-3),"")</f>
        <v/>
      </c>
      <c r="I292">
        <f>IF(ISNUMBER($A292),INDEX($V$6:$V$1505,$A292-3),"")</f>
        <v/>
      </c>
      <c r="J292">
        <f>IF(ISNUMBER($A292),INDEX($W$6:$W$1505,$A292-3),"")</f>
        <v/>
      </c>
      <c r="K292">
        <f>IF(ISNUMBER($A292),INDEX($X$6:$X$1505,$A292-3),"")</f>
        <v/>
      </c>
      <c r="L292">
        <f>IF(ISNUMBER($A292),INDEX($Y$6:$Y$1505,$A292-3),"")</f>
        <v/>
      </c>
      <c r="O292">
        <f>290</f>
        <v/>
      </c>
      <c r="P292">
        <f>IF(TRIM('입력_구리근무자명단'!$A290&amp;"")&lt;&gt;"",TRIM('입력_구리근무자명단'!$A290&amp;""),P291)</f>
        <v/>
      </c>
      <c r="Q292">
        <f>'입력_구리근무자명단'!$B290&amp;""</f>
        <v/>
      </c>
      <c r="R292">
        <f>IF($E$2="","",TRIM(INDEX('입력_구리근무자명단'!$A290:$ZZ290,1,$E$2+IF($G$2="확정",1,0))&amp;""))</f>
        <v/>
      </c>
      <c r="S292">
        <f>IF($R292="","",IF(INDEX('입력_구리근무자명단'!$A290:$ZZ290,1,$E$2+2)&amp;""="",급여기준월,IF(ISNUMBER(INDEX('입력_구리근무자명단'!$A290:$ZZ290,1,$E$2+2)),INDEX('입력_구리근무자명단'!$A290:$ZZ290,1,$E$2+2),IFERROR(DATE(VALUE(LEFT(INDEX('입력_구리근무자명단'!$A290:$ZZ290,1,$E$2+2),4)),VALUE(MID(INDEX('입력_구리근무자명단'!$A290:$ZZ290,1,$E$2+2),6,2)),VALUE(MID(INDEX('입력_구리근무자명단'!$A290:$ZZ290,1,$E$2+2),9,2))),-1))))</f>
        <v/>
      </c>
      <c r="T292">
        <f>IF($R292="","",IF(INDEX('입력_구리근무자명단'!$A290:$ZZ290,1,$E$2+3)&amp;""="",EOMONTH(급여기준월,0),IF(ISNUMBER(INDEX('입력_구리근무자명단'!$A290:$ZZ290,1,$E$2+3)),INDEX('입력_구리근무자명단'!$A290:$ZZ290,1,$E$2+3),IFERROR(DATE(VALUE(LEFT(INDEX('입력_구리근무자명단'!$A290:$ZZ290,1,$E$2+3),4)),VALUE(MID(INDEX('입력_구리근무자명단'!$A290:$ZZ290,1,$E$2+3),6,2)),VALUE(MID(INDEX('입력_구리근무자명단'!$A290:$ZZ290,1,$E$2+3),9,2))),-1))))</f>
        <v/>
      </c>
      <c r="U292">
        <f>IF($R292="","",IF(OR($S292&lt;0,$T292&lt;0),0,MAX(0,MIN($T292,EOMONTH(급여기준월,0))-MAX($S292,급여기준월)+1)))</f>
        <v/>
      </c>
      <c r="V292">
        <f>IF($R292="","",TRIM(INDEX('입력_구리근무자명단'!$A290:$ZZ290,1,$E$2+5)&amp;""))</f>
        <v/>
      </c>
      <c r="W292">
        <f>IF(ISNUMBER(SEARCH("구리독자",$V292)),"구리독자","")</f>
        <v/>
      </c>
      <c r="X292">
        <f>IF($R292="","",$R292&amp;"|"&amp;IF(OR($Q292="인턴",ISNUMBER(SEARCH("수련교육부",$P292))),"인턴",$P292))</f>
        <v/>
      </c>
      <c r="Y292">
        <f>IF($R292="","",IF(COUNTIF(명단표[이름|과],$X292)=1,"명단 일치",IF(AND(COUNTIF(명단표[이름|과],$X292)=0,COUNTIF(명단표[이름],$R292)=1),"명단 일치(이름만, 과 다름)",IF(COUNTIF(명단표[이름],$R292)=0,IF(COUNTIF(기본자료표[이름],$R292)&gt;0,"명단에 없음(기본자료에는 있음)","명단에 없음"),"동명이인 확인"))))</f>
        <v/>
      </c>
      <c r="Z292">
        <f>IF($R292="","",IF($S292&lt;0,"⚠"&amp;INDEX('입력_구리근무자명단'!$A290:$ZZ290,1,$E$2+2),TEXT($S292,"yyyy-mm-dd")))</f>
        <v/>
      </c>
      <c r="AA292">
        <f>IF($R292="","",IF($T292&lt;0,"⚠"&amp;INDEX('입력_구리근무자명단'!$A290:$ZZ290,1,$E$2+3),TEXT($T292,"yyyy-mm-dd")))</f>
        <v/>
      </c>
      <c r="AB292">
        <f>AB291+IF($R292="",0,1)</f>
        <v/>
      </c>
      <c r="AC292">
        <f>IF($R292="","",$AB292)</f>
        <v/>
      </c>
    </row>
    <row r="293">
      <c r="A293">
        <f>IFERROR(INDEX($O$6:$O$1505,MATCH(288,$AC$6:$AC$1505,0)),"")</f>
        <v/>
      </c>
      <c r="B293">
        <f>IF(ISNUMBER($A293),INDEX($P$6:$P$1505,$A293-3),"")</f>
        <v/>
      </c>
      <c r="C293">
        <f>IF(ISNUMBER($A293),INDEX($Q$6:$Q$1505,$A293-3),"")</f>
        <v/>
      </c>
      <c r="D293">
        <f>IF(ISNUMBER($A293),INDEX($R$6:$R$1505,$A293-3),"")</f>
        <v/>
      </c>
      <c r="E293">
        <f>IF(ISNUMBER($A293),$G$2,"")</f>
        <v/>
      </c>
      <c r="F293">
        <f>IF(ISNUMBER($A293),INDEX($Z$6:$Z$1505,$A293-3),"")</f>
        <v/>
      </c>
      <c r="G293">
        <f>IF(ISNUMBER($A293),INDEX($AA$6:$AA$1505,$A293-3),"")</f>
        <v/>
      </c>
      <c r="H293">
        <f>IF(ISNUMBER($A293),INDEX($U$6:$U$1505,$A293-3),"")</f>
        <v/>
      </c>
      <c r="I293">
        <f>IF(ISNUMBER($A293),INDEX($V$6:$V$1505,$A293-3),"")</f>
        <v/>
      </c>
      <c r="J293">
        <f>IF(ISNUMBER($A293),INDEX($W$6:$W$1505,$A293-3),"")</f>
        <v/>
      </c>
      <c r="K293">
        <f>IF(ISNUMBER($A293),INDEX($X$6:$X$1505,$A293-3),"")</f>
        <v/>
      </c>
      <c r="L293">
        <f>IF(ISNUMBER($A293),INDEX($Y$6:$Y$1505,$A293-3),"")</f>
        <v/>
      </c>
      <c r="O293">
        <f>291</f>
        <v/>
      </c>
      <c r="P293">
        <f>IF(TRIM('입력_구리근무자명단'!$A291&amp;"")&lt;&gt;"",TRIM('입력_구리근무자명단'!$A291&amp;""),P292)</f>
        <v/>
      </c>
      <c r="Q293">
        <f>'입력_구리근무자명단'!$B291&amp;""</f>
        <v/>
      </c>
      <c r="R293">
        <f>IF($E$2="","",TRIM(INDEX('입력_구리근무자명단'!$A291:$ZZ291,1,$E$2+IF($G$2="확정",1,0))&amp;""))</f>
        <v/>
      </c>
      <c r="S293">
        <f>IF($R293="","",IF(INDEX('입력_구리근무자명단'!$A291:$ZZ291,1,$E$2+2)&amp;""="",급여기준월,IF(ISNUMBER(INDEX('입력_구리근무자명단'!$A291:$ZZ291,1,$E$2+2)),INDEX('입력_구리근무자명단'!$A291:$ZZ291,1,$E$2+2),IFERROR(DATE(VALUE(LEFT(INDEX('입력_구리근무자명단'!$A291:$ZZ291,1,$E$2+2),4)),VALUE(MID(INDEX('입력_구리근무자명단'!$A291:$ZZ291,1,$E$2+2),6,2)),VALUE(MID(INDEX('입력_구리근무자명단'!$A291:$ZZ291,1,$E$2+2),9,2))),-1))))</f>
        <v/>
      </c>
      <c r="T293">
        <f>IF($R293="","",IF(INDEX('입력_구리근무자명단'!$A291:$ZZ291,1,$E$2+3)&amp;""="",EOMONTH(급여기준월,0),IF(ISNUMBER(INDEX('입력_구리근무자명단'!$A291:$ZZ291,1,$E$2+3)),INDEX('입력_구리근무자명단'!$A291:$ZZ291,1,$E$2+3),IFERROR(DATE(VALUE(LEFT(INDEX('입력_구리근무자명단'!$A291:$ZZ291,1,$E$2+3),4)),VALUE(MID(INDEX('입력_구리근무자명단'!$A291:$ZZ291,1,$E$2+3),6,2)),VALUE(MID(INDEX('입력_구리근무자명단'!$A291:$ZZ291,1,$E$2+3),9,2))),-1))))</f>
        <v/>
      </c>
      <c r="U293">
        <f>IF($R293="","",IF(OR($S293&lt;0,$T293&lt;0),0,MAX(0,MIN($T293,EOMONTH(급여기준월,0))-MAX($S293,급여기준월)+1)))</f>
        <v/>
      </c>
      <c r="V293">
        <f>IF($R293="","",TRIM(INDEX('입력_구리근무자명단'!$A291:$ZZ291,1,$E$2+5)&amp;""))</f>
        <v/>
      </c>
      <c r="W293">
        <f>IF(ISNUMBER(SEARCH("구리독자",$V293)),"구리독자","")</f>
        <v/>
      </c>
      <c r="X293">
        <f>IF($R293="","",$R293&amp;"|"&amp;IF(OR($Q293="인턴",ISNUMBER(SEARCH("수련교육부",$P293))),"인턴",$P293))</f>
        <v/>
      </c>
      <c r="Y293">
        <f>IF($R293="","",IF(COUNTIF(명단표[이름|과],$X293)=1,"명단 일치",IF(AND(COUNTIF(명단표[이름|과],$X293)=0,COUNTIF(명단표[이름],$R293)=1),"명단 일치(이름만, 과 다름)",IF(COUNTIF(명단표[이름],$R293)=0,IF(COUNTIF(기본자료표[이름],$R293)&gt;0,"명단에 없음(기본자료에는 있음)","명단에 없음"),"동명이인 확인"))))</f>
        <v/>
      </c>
      <c r="Z293">
        <f>IF($R293="","",IF($S293&lt;0,"⚠"&amp;INDEX('입력_구리근무자명단'!$A291:$ZZ291,1,$E$2+2),TEXT($S293,"yyyy-mm-dd")))</f>
        <v/>
      </c>
      <c r="AA293">
        <f>IF($R293="","",IF($T293&lt;0,"⚠"&amp;INDEX('입력_구리근무자명단'!$A291:$ZZ291,1,$E$2+3),TEXT($T293,"yyyy-mm-dd")))</f>
        <v/>
      </c>
      <c r="AB293">
        <f>AB292+IF($R293="",0,1)</f>
        <v/>
      </c>
      <c r="AC293">
        <f>IF($R293="","",$AB293)</f>
        <v/>
      </c>
    </row>
    <row r="294">
      <c r="A294">
        <f>IFERROR(INDEX($O$6:$O$1505,MATCH(289,$AC$6:$AC$1505,0)),"")</f>
        <v/>
      </c>
      <c r="B294">
        <f>IF(ISNUMBER($A294),INDEX($P$6:$P$1505,$A294-3),"")</f>
        <v/>
      </c>
      <c r="C294">
        <f>IF(ISNUMBER($A294),INDEX($Q$6:$Q$1505,$A294-3),"")</f>
        <v/>
      </c>
      <c r="D294">
        <f>IF(ISNUMBER($A294),INDEX($R$6:$R$1505,$A294-3),"")</f>
        <v/>
      </c>
      <c r="E294">
        <f>IF(ISNUMBER($A294),$G$2,"")</f>
        <v/>
      </c>
      <c r="F294">
        <f>IF(ISNUMBER($A294),INDEX($Z$6:$Z$1505,$A294-3),"")</f>
        <v/>
      </c>
      <c r="G294">
        <f>IF(ISNUMBER($A294),INDEX($AA$6:$AA$1505,$A294-3),"")</f>
        <v/>
      </c>
      <c r="H294">
        <f>IF(ISNUMBER($A294),INDEX($U$6:$U$1505,$A294-3),"")</f>
        <v/>
      </c>
      <c r="I294">
        <f>IF(ISNUMBER($A294),INDEX($V$6:$V$1505,$A294-3),"")</f>
        <v/>
      </c>
      <c r="J294">
        <f>IF(ISNUMBER($A294),INDEX($W$6:$W$1505,$A294-3),"")</f>
        <v/>
      </c>
      <c r="K294">
        <f>IF(ISNUMBER($A294),INDEX($X$6:$X$1505,$A294-3),"")</f>
        <v/>
      </c>
      <c r="L294">
        <f>IF(ISNUMBER($A294),INDEX($Y$6:$Y$1505,$A294-3),"")</f>
        <v/>
      </c>
      <c r="O294">
        <f>292</f>
        <v/>
      </c>
      <c r="P294">
        <f>IF(TRIM('입력_구리근무자명단'!$A292&amp;"")&lt;&gt;"",TRIM('입력_구리근무자명단'!$A292&amp;""),P293)</f>
        <v/>
      </c>
      <c r="Q294">
        <f>'입력_구리근무자명단'!$B292&amp;""</f>
        <v/>
      </c>
      <c r="R294">
        <f>IF($E$2="","",TRIM(INDEX('입력_구리근무자명단'!$A292:$ZZ292,1,$E$2+IF($G$2="확정",1,0))&amp;""))</f>
        <v/>
      </c>
      <c r="S294">
        <f>IF($R294="","",IF(INDEX('입력_구리근무자명단'!$A292:$ZZ292,1,$E$2+2)&amp;""="",급여기준월,IF(ISNUMBER(INDEX('입력_구리근무자명단'!$A292:$ZZ292,1,$E$2+2)),INDEX('입력_구리근무자명단'!$A292:$ZZ292,1,$E$2+2),IFERROR(DATE(VALUE(LEFT(INDEX('입력_구리근무자명단'!$A292:$ZZ292,1,$E$2+2),4)),VALUE(MID(INDEX('입력_구리근무자명단'!$A292:$ZZ292,1,$E$2+2),6,2)),VALUE(MID(INDEX('입력_구리근무자명단'!$A292:$ZZ292,1,$E$2+2),9,2))),-1))))</f>
        <v/>
      </c>
      <c r="T294">
        <f>IF($R294="","",IF(INDEX('입력_구리근무자명단'!$A292:$ZZ292,1,$E$2+3)&amp;""="",EOMONTH(급여기준월,0),IF(ISNUMBER(INDEX('입력_구리근무자명단'!$A292:$ZZ292,1,$E$2+3)),INDEX('입력_구리근무자명단'!$A292:$ZZ292,1,$E$2+3),IFERROR(DATE(VALUE(LEFT(INDEX('입력_구리근무자명단'!$A292:$ZZ292,1,$E$2+3),4)),VALUE(MID(INDEX('입력_구리근무자명단'!$A292:$ZZ292,1,$E$2+3),6,2)),VALUE(MID(INDEX('입력_구리근무자명단'!$A292:$ZZ292,1,$E$2+3),9,2))),-1))))</f>
        <v/>
      </c>
      <c r="U294">
        <f>IF($R294="","",IF(OR($S294&lt;0,$T294&lt;0),0,MAX(0,MIN($T294,EOMONTH(급여기준월,0))-MAX($S294,급여기준월)+1)))</f>
        <v/>
      </c>
      <c r="V294">
        <f>IF($R294="","",TRIM(INDEX('입력_구리근무자명단'!$A292:$ZZ292,1,$E$2+5)&amp;""))</f>
        <v/>
      </c>
      <c r="W294">
        <f>IF(ISNUMBER(SEARCH("구리독자",$V294)),"구리독자","")</f>
        <v/>
      </c>
      <c r="X294">
        <f>IF($R294="","",$R294&amp;"|"&amp;IF(OR($Q294="인턴",ISNUMBER(SEARCH("수련교육부",$P294))),"인턴",$P294))</f>
        <v/>
      </c>
      <c r="Y294">
        <f>IF($R294="","",IF(COUNTIF(명단표[이름|과],$X294)=1,"명단 일치",IF(AND(COUNTIF(명단표[이름|과],$X294)=0,COUNTIF(명단표[이름],$R294)=1),"명단 일치(이름만, 과 다름)",IF(COUNTIF(명단표[이름],$R294)=0,IF(COUNTIF(기본자료표[이름],$R294)&gt;0,"명단에 없음(기본자료에는 있음)","명단에 없음"),"동명이인 확인"))))</f>
        <v/>
      </c>
      <c r="Z294">
        <f>IF($R294="","",IF($S294&lt;0,"⚠"&amp;INDEX('입력_구리근무자명단'!$A292:$ZZ292,1,$E$2+2),TEXT($S294,"yyyy-mm-dd")))</f>
        <v/>
      </c>
      <c r="AA294">
        <f>IF($R294="","",IF($T294&lt;0,"⚠"&amp;INDEX('입력_구리근무자명단'!$A292:$ZZ292,1,$E$2+3),TEXT($T294,"yyyy-mm-dd")))</f>
        <v/>
      </c>
      <c r="AB294">
        <f>AB293+IF($R294="",0,1)</f>
        <v/>
      </c>
      <c r="AC294">
        <f>IF($R294="","",$AB294)</f>
        <v/>
      </c>
    </row>
    <row r="295">
      <c r="A295">
        <f>IFERROR(INDEX($O$6:$O$1505,MATCH(290,$AC$6:$AC$1505,0)),"")</f>
        <v/>
      </c>
      <c r="B295">
        <f>IF(ISNUMBER($A295),INDEX($P$6:$P$1505,$A295-3),"")</f>
        <v/>
      </c>
      <c r="C295">
        <f>IF(ISNUMBER($A295),INDEX($Q$6:$Q$1505,$A295-3),"")</f>
        <v/>
      </c>
      <c r="D295">
        <f>IF(ISNUMBER($A295),INDEX($R$6:$R$1505,$A295-3),"")</f>
        <v/>
      </c>
      <c r="E295">
        <f>IF(ISNUMBER($A295),$G$2,"")</f>
        <v/>
      </c>
      <c r="F295">
        <f>IF(ISNUMBER($A295),INDEX($Z$6:$Z$1505,$A295-3),"")</f>
        <v/>
      </c>
      <c r="G295">
        <f>IF(ISNUMBER($A295),INDEX($AA$6:$AA$1505,$A295-3),"")</f>
        <v/>
      </c>
      <c r="H295">
        <f>IF(ISNUMBER($A295),INDEX($U$6:$U$1505,$A295-3),"")</f>
        <v/>
      </c>
      <c r="I295">
        <f>IF(ISNUMBER($A295),INDEX($V$6:$V$1505,$A295-3),"")</f>
        <v/>
      </c>
      <c r="J295">
        <f>IF(ISNUMBER($A295),INDEX($W$6:$W$1505,$A295-3),"")</f>
        <v/>
      </c>
      <c r="K295">
        <f>IF(ISNUMBER($A295),INDEX($X$6:$X$1505,$A295-3),"")</f>
        <v/>
      </c>
      <c r="L295">
        <f>IF(ISNUMBER($A295),INDEX($Y$6:$Y$1505,$A295-3),"")</f>
        <v/>
      </c>
      <c r="O295">
        <f>293</f>
        <v/>
      </c>
      <c r="P295">
        <f>IF(TRIM('입력_구리근무자명단'!$A293&amp;"")&lt;&gt;"",TRIM('입력_구리근무자명단'!$A293&amp;""),P294)</f>
        <v/>
      </c>
      <c r="Q295">
        <f>'입력_구리근무자명단'!$B293&amp;""</f>
        <v/>
      </c>
      <c r="R295">
        <f>IF($E$2="","",TRIM(INDEX('입력_구리근무자명단'!$A293:$ZZ293,1,$E$2+IF($G$2="확정",1,0))&amp;""))</f>
        <v/>
      </c>
      <c r="S295">
        <f>IF($R295="","",IF(INDEX('입력_구리근무자명단'!$A293:$ZZ293,1,$E$2+2)&amp;""="",급여기준월,IF(ISNUMBER(INDEX('입력_구리근무자명단'!$A293:$ZZ293,1,$E$2+2)),INDEX('입력_구리근무자명단'!$A293:$ZZ293,1,$E$2+2),IFERROR(DATE(VALUE(LEFT(INDEX('입력_구리근무자명단'!$A293:$ZZ293,1,$E$2+2),4)),VALUE(MID(INDEX('입력_구리근무자명단'!$A293:$ZZ293,1,$E$2+2),6,2)),VALUE(MID(INDEX('입력_구리근무자명단'!$A293:$ZZ293,1,$E$2+2),9,2))),-1))))</f>
        <v/>
      </c>
      <c r="T295">
        <f>IF($R295="","",IF(INDEX('입력_구리근무자명단'!$A293:$ZZ293,1,$E$2+3)&amp;""="",EOMONTH(급여기준월,0),IF(ISNUMBER(INDEX('입력_구리근무자명단'!$A293:$ZZ293,1,$E$2+3)),INDEX('입력_구리근무자명단'!$A293:$ZZ293,1,$E$2+3),IFERROR(DATE(VALUE(LEFT(INDEX('입력_구리근무자명단'!$A293:$ZZ293,1,$E$2+3),4)),VALUE(MID(INDEX('입력_구리근무자명단'!$A293:$ZZ293,1,$E$2+3),6,2)),VALUE(MID(INDEX('입력_구리근무자명단'!$A293:$ZZ293,1,$E$2+3),9,2))),-1))))</f>
        <v/>
      </c>
      <c r="U295">
        <f>IF($R295="","",IF(OR($S295&lt;0,$T295&lt;0),0,MAX(0,MIN($T295,EOMONTH(급여기준월,0))-MAX($S295,급여기준월)+1)))</f>
        <v/>
      </c>
      <c r="V295">
        <f>IF($R295="","",TRIM(INDEX('입력_구리근무자명단'!$A293:$ZZ293,1,$E$2+5)&amp;""))</f>
        <v/>
      </c>
      <c r="W295">
        <f>IF(ISNUMBER(SEARCH("구리독자",$V295)),"구리독자","")</f>
        <v/>
      </c>
      <c r="X295">
        <f>IF($R295="","",$R295&amp;"|"&amp;IF(OR($Q295="인턴",ISNUMBER(SEARCH("수련교육부",$P295))),"인턴",$P295))</f>
        <v/>
      </c>
      <c r="Y295">
        <f>IF($R295="","",IF(COUNTIF(명단표[이름|과],$X295)=1,"명단 일치",IF(AND(COUNTIF(명단표[이름|과],$X295)=0,COUNTIF(명단표[이름],$R295)=1),"명단 일치(이름만, 과 다름)",IF(COUNTIF(명단표[이름],$R295)=0,IF(COUNTIF(기본자료표[이름],$R295)&gt;0,"명단에 없음(기본자료에는 있음)","명단에 없음"),"동명이인 확인"))))</f>
        <v/>
      </c>
      <c r="Z295">
        <f>IF($R295="","",IF($S295&lt;0,"⚠"&amp;INDEX('입력_구리근무자명단'!$A293:$ZZ293,1,$E$2+2),TEXT($S295,"yyyy-mm-dd")))</f>
        <v/>
      </c>
      <c r="AA295">
        <f>IF($R295="","",IF($T295&lt;0,"⚠"&amp;INDEX('입력_구리근무자명단'!$A293:$ZZ293,1,$E$2+3),TEXT($T295,"yyyy-mm-dd")))</f>
        <v/>
      </c>
      <c r="AB295">
        <f>AB294+IF($R295="",0,1)</f>
        <v/>
      </c>
      <c r="AC295">
        <f>IF($R295="","",$AB295)</f>
        <v/>
      </c>
    </row>
    <row r="296">
      <c r="A296">
        <f>IFERROR(INDEX($O$6:$O$1505,MATCH(291,$AC$6:$AC$1505,0)),"")</f>
        <v/>
      </c>
      <c r="B296">
        <f>IF(ISNUMBER($A296),INDEX($P$6:$P$1505,$A296-3),"")</f>
        <v/>
      </c>
      <c r="C296">
        <f>IF(ISNUMBER($A296),INDEX($Q$6:$Q$1505,$A296-3),"")</f>
        <v/>
      </c>
      <c r="D296">
        <f>IF(ISNUMBER($A296),INDEX($R$6:$R$1505,$A296-3),"")</f>
        <v/>
      </c>
      <c r="E296">
        <f>IF(ISNUMBER($A296),$G$2,"")</f>
        <v/>
      </c>
      <c r="F296">
        <f>IF(ISNUMBER($A296),INDEX($Z$6:$Z$1505,$A296-3),"")</f>
        <v/>
      </c>
      <c r="G296">
        <f>IF(ISNUMBER($A296),INDEX($AA$6:$AA$1505,$A296-3),"")</f>
        <v/>
      </c>
      <c r="H296">
        <f>IF(ISNUMBER($A296),INDEX($U$6:$U$1505,$A296-3),"")</f>
        <v/>
      </c>
      <c r="I296">
        <f>IF(ISNUMBER($A296),INDEX($V$6:$V$1505,$A296-3),"")</f>
        <v/>
      </c>
      <c r="J296">
        <f>IF(ISNUMBER($A296),INDEX($W$6:$W$1505,$A296-3),"")</f>
        <v/>
      </c>
      <c r="K296">
        <f>IF(ISNUMBER($A296),INDEX($X$6:$X$1505,$A296-3),"")</f>
        <v/>
      </c>
      <c r="L296">
        <f>IF(ISNUMBER($A296),INDEX($Y$6:$Y$1505,$A296-3),"")</f>
        <v/>
      </c>
      <c r="O296">
        <f>294</f>
        <v/>
      </c>
      <c r="P296">
        <f>IF(TRIM('입력_구리근무자명단'!$A294&amp;"")&lt;&gt;"",TRIM('입력_구리근무자명단'!$A294&amp;""),P295)</f>
        <v/>
      </c>
      <c r="Q296">
        <f>'입력_구리근무자명단'!$B294&amp;""</f>
        <v/>
      </c>
      <c r="R296">
        <f>IF($E$2="","",TRIM(INDEX('입력_구리근무자명단'!$A294:$ZZ294,1,$E$2+IF($G$2="확정",1,0))&amp;""))</f>
        <v/>
      </c>
      <c r="S296">
        <f>IF($R296="","",IF(INDEX('입력_구리근무자명단'!$A294:$ZZ294,1,$E$2+2)&amp;""="",급여기준월,IF(ISNUMBER(INDEX('입력_구리근무자명단'!$A294:$ZZ294,1,$E$2+2)),INDEX('입력_구리근무자명단'!$A294:$ZZ294,1,$E$2+2),IFERROR(DATE(VALUE(LEFT(INDEX('입력_구리근무자명단'!$A294:$ZZ294,1,$E$2+2),4)),VALUE(MID(INDEX('입력_구리근무자명단'!$A294:$ZZ294,1,$E$2+2),6,2)),VALUE(MID(INDEX('입력_구리근무자명단'!$A294:$ZZ294,1,$E$2+2),9,2))),-1))))</f>
        <v/>
      </c>
      <c r="T296">
        <f>IF($R296="","",IF(INDEX('입력_구리근무자명단'!$A294:$ZZ294,1,$E$2+3)&amp;""="",EOMONTH(급여기준월,0),IF(ISNUMBER(INDEX('입력_구리근무자명단'!$A294:$ZZ294,1,$E$2+3)),INDEX('입력_구리근무자명단'!$A294:$ZZ294,1,$E$2+3),IFERROR(DATE(VALUE(LEFT(INDEX('입력_구리근무자명단'!$A294:$ZZ294,1,$E$2+3),4)),VALUE(MID(INDEX('입력_구리근무자명단'!$A294:$ZZ294,1,$E$2+3),6,2)),VALUE(MID(INDEX('입력_구리근무자명단'!$A294:$ZZ294,1,$E$2+3),9,2))),-1))))</f>
        <v/>
      </c>
      <c r="U296">
        <f>IF($R296="","",IF(OR($S296&lt;0,$T296&lt;0),0,MAX(0,MIN($T296,EOMONTH(급여기준월,0))-MAX($S296,급여기준월)+1)))</f>
        <v/>
      </c>
      <c r="V296">
        <f>IF($R296="","",TRIM(INDEX('입력_구리근무자명단'!$A294:$ZZ294,1,$E$2+5)&amp;""))</f>
        <v/>
      </c>
      <c r="W296">
        <f>IF(ISNUMBER(SEARCH("구리독자",$V296)),"구리독자","")</f>
        <v/>
      </c>
      <c r="X296">
        <f>IF($R296="","",$R296&amp;"|"&amp;IF(OR($Q296="인턴",ISNUMBER(SEARCH("수련교육부",$P296))),"인턴",$P296))</f>
        <v/>
      </c>
      <c r="Y296">
        <f>IF($R296="","",IF(COUNTIF(명단표[이름|과],$X296)=1,"명단 일치",IF(AND(COUNTIF(명단표[이름|과],$X296)=0,COUNTIF(명단표[이름],$R296)=1),"명단 일치(이름만, 과 다름)",IF(COUNTIF(명단표[이름],$R296)=0,IF(COUNTIF(기본자료표[이름],$R296)&gt;0,"명단에 없음(기본자료에는 있음)","명단에 없음"),"동명이인 확인"))))</f>
        <v/>
      </c>
      <c r="Z296">
        <f>IF($R296="","",IF($S296&lt;0,"⚠"&amp;INDEX('입력_구리근무자명단'!$A294:$ZZ294,1,$E$2+2),TEXT($S296,"yyyy-mm-dd")))</f>
        <v/>
      </c>
      <c r="AA296">
        <f>IF($R296="","",IF($T296&lt;0,"⚠"&amp;INDEX('입력_구리근무자명단'!$A294:$ZZ294,1,$E$2+3),TEXT($T296,"yyyy-mm-dd")))</f>
        <v/>
      </c>
      <c r="AB296">
        <f>AB295+IF($R296="",0,1)</f>
        <v/>
      </c>
      <c r="AC296">
        <f>IF($R296="","",$AB296)</f>
        <v/>
      </c>
    </row>
    <row r="297">
      <c r="A297">
        <f>IFERROR(INDEX($O$6:$O$1505,MATCH(292,$AC$6:$AC$1505,0)),"")</f>
        <v/>
      </c>
      <c r="B297">
        <f>IF(ISNUMBER($A297),INDEX($P$6:$P$1505,$A297-3),"")</f>
        <v/>
      </c>
      <c r="C297">
        <f>IF(ISNUMBER($A297),INDEX($Q$6:$Q$1505,$A297-3),"")</f>
        <v/>
      </c>
      <c r="D297">
        <f>IF(ISNUMBER($A297),INDEX($R$6:$R$1505,$A297-3),"")</f>
        <v/>
      </c>
      <c r="E297">
        <f>IF(ISNUMBER($A297),$G$2,"")</f>
        <v/>
      </c>
      <c r="F297">
        <f>IF(ISNUMBER($A297),INDEX($Z$6:$Z$1505,$A297-3),"")</f>
        <v/>
      </c>
      <c r="G297">
        <f>IF(ISNUMBER($A297),INDEX($AA$6:$AA$1505,$A297-3),"")</f>
        <v/>
      </c>
      <c r="H297">
        <f>IF(ISNUMBER($A297),INDEX($U$6:$U$1505,$A297-3),"")</f>
        <v/>
      </c>
      <c r="I297">
        <f>IF(ISNUMBER($A297),INDEX($V$6:$V$1505,$A297-3),"")</f>
        <v/>
      </c>
      <c r="J297">
        <f>IF(ISNUMBER($A297),INDEX($W$6:$W$1505,$A297-3),"")</f>
        <v/>
      </c>
      <c r="K297">
        <f>IF(ISNUMBER($A297),INDEX($X$6:$X$1505,$A297-3),"")</f>
        <v/>
      </c>
      <c r="L297">
        <f>IF(ISNUMBER($A297),INDEX($Y$6:$Y$1505,$A297-3),"")</f>
        <v/>
      </c>
      <c r="O297">
        <f>295</f>
        <v/>
      </c>
      <c r="P297">
        <f>IF(TRIM('입력_구리근무자명단'!$A295&amp;"")&lt;&gt;"",TRIM('입력_구리근무자명단'!$A295&amp;""),P296)</f>
        <v/>
      </c>
      <c r="Q297">
        <f>'입력_구리근무자명단'!$B295&amp;""</f>
        <v/>
      </c>
      <c r="R297">
        <f>IF($E$2="","",TRIM(INDEX('입력_구리근무자명단'!$A295:$ZZ295,1,$E$2+IF($G$2="확정",1,0))&amp;""))</f>
        <v/>
      </c>
      <c r="S297">
        <f>IF($R297="","",IF(INDEX('입력_구리근무자명단'!$A295:$ZZ295,1,$E$2+2)&amp;""="",급여기준월,IF(ISNUMBER(INDEX('입력_구리근무자명단'!$A295:$ZZ295,1,$E$2+2)),INDEX('입력_구리근무자명단'!$A295:$ZZ295,1,$E$2+2),IFERROR(DATE(VALUE(LEFT(INDEX('입력_구리근무자명단'!$A295:$ZZ295,1,$E$2+2),4)),VALUE(MID(INDEX('입력_구리근무자명단'!$A295:$ZZ295,1,$E$2+2),6,2)),VALUE(MID(INDEX('입력_구리근무자명단'!$A295:$ZZ295,1,$E$2+2),9,2))),-1))))</f>
        <v/>
      </c>
      <c r="T297">
        <f>IF($R297="","",IF(INDEX('입력_구리근무자명단'!$A295:$ZZ295,1,$E$2+3)&amp;""="",EOMONTH(급여기준월,0),IF(ISNUMBER(INDEX('입력_구리근무자명단'!$A295:$ZZ295,1,$E$2+3)),INDEX('입력_구리근무자명단'!$A295:$ZZ295,1,$E$2+3),IFERROR(DATE(VALUE(LEFT(INDEX('입력_구리근무자명단'!$A295:$ZZ295,1,$E$2+3),4)),VALUE(MID(INDEX('입력_구리근무자명단'!$A295:$ZZ295,1,$E$2+3),6,2)),VALUE(MID(INDEX('입력_구리근무자명단'!$A295:$ZZ295,1,$E$2+3),9,2))),-1))))</f>
        <v/>
      </c>
      <c r="U297">
        <f>IF($R297="","",IF(OR($S297&lt;0,$T297&lt;0),0,MAX(0,MIN($T297,EOMONTH(급여기준월,0))-MAX($S297,급여기준월)+1)))</f>
        <v/>
      </c>
      <c r="V297">
        <f>IF($R297="","",TRIM(INDEX('입력_구리근무자명단'!$A295:$ZZ295,1,$E$2+5)&amp;""))</f>
        <v/>
      </c>
      <c r="W297">
        <f>IF(ISNUMBER(SEARCH("구리독자",$V297)),"구리독자","")</f>
        <v/>
      </c>
      <c r="X297">
        <f>IF($R297="","",$R297&amp;"|"&amp;IF(OR($Q297="인턴",ISNUMBER(SEARCH("수련교육부",$P297))),"인턴",$P297))</f>
        <v/>
      </c>
      <c r="Y297">
        <f>IF($R297="","",IF(COUNTIF(명단표[이름|과],$X297)=1,"명단 일치",IF(AND(COUNTIF(명단표[이름|과],$X297)=0,COUNTIF(명단표[이름],$R297)=1),"명단 일치(이름만, 과 다름)",IF(COUNTIF(명단표[이름],$R297)=0,IF(COUNTIF(기본자료표[이름],$R297)&gt;0,"명단에 없음(기본자료에는 있음)","명단에 없음"),"동명이인 확인"))))</f>
        <v/>
      </c>
      <c r="Z297">
        <f>IF($R297="","",IF($S297&lt;0,"⚠"&amp;INDEX('입력_구리근무자명단'!$A295:$ZZ295,1,$E$2+2),TEXT($S297,"yyyy-mm-dd")))</f>
        <v/>
      </c>
      <c r="AA297">
        <f>IF($R297="","",IF($T297&lt;0,"⚠"&amp;INDEX('입력_구리근무자명단'!$A295:$ZZ295,1,$E$2+3),TEXT($T297,"yyyy-mm-dd")))</f>
        <v/>
      </c>
      <c r="AB297">
        <f>AB296+IF($R297="",0,1)</f>
        <v/>
      </c>
      <c r="AC297">
        <f>IF($R297="","",$AB297)</f>
        <v/>
      </c>
    </row>
    <row r="298">
      <c r="A298">
        <f>IFERROR(INDEX($O$6:$O$1505,MATCH(293,$AC$6:$AC$1505,0)),"")</f>
        <v/>
      </c>
      <c r="B298">
        <f>IF(ISNUMBER($A298),INDEX($P$6:$P$1505,$A298-3),"")</f>
        <v/>
      </c>
      <c r="C298">
        <f>IF(ISNUMBER($A298),INDEX($Q$6:$Q$1505,$A298-3),"")</f>
        <v/>
      </c>
      <c r="D298">
        <f>IF(ISNUMBER($A298),INDEX($R$6:$R$1505,$A298-3),"")</f>
        <v/>
      </c>
      <c r="E298">
        <f>IF(ISNUMBER($A298),$G$2,"")</f>
        <v/>
      </c>
      <c r="F298">
        <f>IF(ISNUMBER($A298),INDEX($Z$6:$Z$1505,$A298-3),"")</f>
        <v/>
      </c>
      <c r="G298">
        <f>IF(ISNUMBER($A298),INDEX($AA$6:$AA$1505,$A298-3),"")</f>
        <v/>
      </c>
      <c r="H298">
        <f>IF(ISNUMBER($A298),INDEX($U$6:$U$1505,$A298-3),"")</f>
        <v/>
      </c>
      <c r="I298">
        <f>IF(ISNUMBER($A298),INDEX($V$6:$V$1505,$A298-3),"")</f>
        <v/>
      </c>
      <c r="J298">
        <f>IF(ISNUMBER($A298),INDEX($W$6:$W$1505,$A298-3),"")</f>
        <v/>
      </c>
      <c r="K298">
        <f>IF(ISNUMBER($A298),INDEX($X$6:$X$1505,$A298-3),"")</f>
        <v/>
      </c>
      <c r="L298">
        <f>IF(ISNUMBER($A298),INDEX($Y$6:$Y$1505,$A298-3),"")</f>
        <v/>
      </c>
      <c r="O298">
        <f>296</f>
        <v/>
      </c>
      <c r="P298">
        <f>IF(TRIM('입력_구리근무자명단'!$A296&amp;"")&lt;&gt;"",TRIM('입력_구리근무자명단'!$A296&amp;""),P297)</f>
        <v/>
      </c>
      <c r="Q298">
        <f>'입력_구리근무자명단'!$B296&amp;""</f>
        <v/>
      </c>
      <c r="R298">
        <f>IF($E$2="","",TRIM(INDEX('입력_구리근무자명단'!$A296:$ZZ296,1,$E$2+IF($G$2="확정",1,0))&amp;""))</f>
        <v/>
      </c>
      <c r="S298">
        <f>IF($R298="","",IF(INDEX('입력_구리근무자명단'!$A296:$ZZ296,1,$E$2+2)&amp;""="",급여기준월,IF(ISNUMBER(INDEX('입력_구리근무자명단'!$A296:$ZZ296,1,$E$2+2)),INDEX('입력_구리근무자명단'!$A296:$ZZ296,1,$E$2+2),IFERROR(DATE(VALUE(LEFT(INDEX('입력_구리근무자명단'!$A296:$ZZ296,1,$E$2+2),4)),VALUE(MID(INDEX('입력_구리근무자명단'!$A296:$ZZ296,1,$E$2+2),6,2)),VALUE(MID(INDEX('입력_구리근무자명단'!$A296:$ZZ296,1,$E$2+2),9,2))),-1))))</f>
        <v/>
      </c>
      <c r="T298">
        <f>IF($R298="","",IF(INDEX('입력_구리근무자명단'!$A296:$ZZ296,1,$E$2+3)&amp;""="",EOMONTH(급여기준월,0),IF(ISNUMBER(INDEX('입력_구리근무자명단'!$A296:$ZZ296,1,$E$2+3)),INDEX('입력_구리근무자명단'!$A296:$ZZ296,1,$E$2+3),IFERROR(DATE(VALUE(LEFT(INDEX('입력_구리근무자명단'!$A296:$ZZ296,1,$E$2+3),4)),VALUE(MID(INDEX('입력_구리근무자명단'!$A296:$ZZ296,1,$E$2+3),6,2)),VALUE(MID(INDEX('입력_구리근무자명단'!$A296:$ZZ296,1,$E$2+3),9,2))),-1))))</f>
        <v/>
      </c>
      <c r="U298">
        <f>IF($R298="","",IF(OR($S298&lt;0,$T298&lt;0),0,MAX(0,MIN($T298,EOMONTH(급여기준월,0))-MAX($S298,급여기준월)+1)))</f>
        <v/>
      </c>
      <c r="V298">
        <f>IF($R298="","",TRIM(INDEX('입력_구리근무자명단'!$A296:$ZZ296,1,$E$2+5)&amp;""))</f>
        <v/>
      </c>
      <c r="W298">
        <f>IF(ISNUMBER(SEARCH("구리독자",$V298)),"구리독자","")</f>
        <v/>
      </c>
      <c r="X298">
        <f>IF($R298="","",$R298&amp;"|"&amp;IF(OR($Q298="인턴",ISNUMBER(SEARCH("수련교육부",$P298))),"인턴",$P298))</f>
        <v/>
      </c>
      <c r="Y298">
        <f>IF($R298="","",IF(COUNTIF(명단표[이름|과],$X298)=1,"명단 일치",IF(AND(COUNTIF(명단표[이름|과],$X298)=0,COUNTIF(명단표[이름],$R298)=1),"명단 일치(이름만, 과 다름)",IF(COUNTIF(명단표[이름],$R298)=0,IF(COUNTIF(기본자료표[이름],$R298)&gt;0,"명단에 없음(기본자료에는 있음)","명단에 없음"),"동명이인 확인"))))</f>
        <v/>
      </c>
      <c r="Z298">
        <f>IF($R298="","",IF($S298&lt;0,"⚠"&amp;INDEX('입력_구리근무자명단'!$A296:$ZZ296,1,$E$2+2),TEXT($S298,"yyyy-mm-dd")))</f>
        <v/>
      </c>
      <c r="AA298">
        <f>IF($R298="","",IF($T298&lt;0,"⚠"&amp;INDEX('입력_구리근무자명단'!$A296:$ZZ296,1,$E$2+3),TEXT($T298,"yyyy-mm-dd")))</f>
        <v/>
      </c>
      <c r="AB298">
        <f>AB297+IF($R298="",0,1)</f>
        <v/>
      </c>
      <c r="AC298">
        <f>IF($R298="","",$AB298)</f>
        <v/>
      </c>
    </row>
    <row r="299">
      <c r="A299">
        <f>IFERROR(INDEX($O$6:$O$1505,MATCH(294,$AC$6:$AC$1505,0)),"")</f>
        <v/>
      </c>
      <c r="B299">
        <f>IF(ISNUMBER($A299),INDEX($P$6:$P$1505,$A299-3),"")</f>
        <v/>
      </c>
      <c r="C299">
        <f>IF(ISNUMBER($A299),INDEX($Q$6:$Q$1505,$A299-3),"")</f>
        <v/>
      </c>
      <c r="D299">
        <f>IF(ISNUMBER($A299),INDEX($R$6:$R$1505,$A299-3),"")</f>
        <v/>
      </c>
      <c r="E299">
        <f>IF(ISNUMBER($A299),$G$2,"")</f>
        <v/>
      </c>
      <c r="F299">
        <f>IF(ISNUMBER($A299),INDEX($Z$6:$Z$1505,$A299-3),"")</f>
        <v/>
      </c>
      <c r="G299">
        <f>IF(ISNUMBER($A299),INDEX($AA$6:$AA$1505,$A299-3),"")</f>
        <v/>
      </c>
      <c r="H299">
        <f>IF(ISNUMBER($A299),INDEX($U$6:$U$1505,$A299-3),"")</f>
        <v/>
      </c>
      <c r="I299">
        <f>IF(ISNUMBER($A299),INDEX($V$6:$V$1505,$A299-3),"")</f>
        <v/>
      </c>
      <c r="J299">
        <f>IF(ISNUMBER($A299),INDEX($W$6:$W$1505,$A299-3),"")</f>
        <v/>
      </c>
      <c r="K299">
        <f>IF(ISNUMBER($A299),INDEX($X$6:$X$1505,$A299-3),"")</f>
        <v/>
      </c>
      <c r="L299">
        <f>IF(ISNUMBER($A299),INDEX($Y$6:$Y$1505,$A299-3),"")</f>
        <v/>
      </c>
      <c r="O299">
        <f>297</f>
        <v/>
      </c>
      <c r="P299">
        <f>IF(TRIM('입력_구리근무자명단'!$A297&amp;"")&lt;&gt;"",TRIM('입력_구리근무자명단'!$A297&amp;""),P298)</f>
        <v/>
      </c>
      <c r="Q299">
        <f>'입력_구리근무자명단'!$B297&amp;""</f>
        <v/>
      </c>
      <c r="R299">
        <f>IF($E$2="","",TRIM(INDEX('입력_구리근무자명단'!$A297:$ZZ297,1,$E$2+IF($G$2="확정",1,0))&amp;""))</f>
        <v/>
      </c>
      <c r="S299">
        <f>IF($R299="","",IF(INDEX('입력_구리근무자명단'!$A297:$ZZ297,1,$E$2+2)&amp;""="",급여기준월,IF(ISNUMBER(INDEX('입력_구리근무자명단'!$A297:$ZZ297,1,$E$2+2)),INDEX('입력_구리근무자명단'!$A297:$ZZ297,1,$E$2+2),IFERROR(DATE(VALUE(LEFT(INDEX('입력_구리근무자명단'!$A297:$ZZ297,1,$E$2+2),4)),VALUE(MID(INDEX('입력_구리근무자명단'!$A297:$ZZ297,1,$E$2+2),6,2)),VALUE(MID(INDEX('입력_구리근무자명단'!$A297:$ZZ297,1,$E$2+2),9,2))),-1))))</f>
        <v/>
      </c>
      <c r="T299">
        <f>IF($R299="","",IF(INDEX('입력_구리근무자명단'!$A297:$ZZ297,1,$E$2+3)&amp;""="",EOMONTH(급여기준월,0),IF(ISNUMBER(INDEX('입력_구리근무자명단'!$A297:$ZZ297,1,$E$2+3)),INDEX('입력_구리근무자명단'!$A297:$ZZ297,1,$E$2+3),IFERROR(DATE(VALUE(LEFT(INDEX('입력_구리근무자명단'!$A297:$ZZ297,1,$E$2+3),4)),VALUE(MID(INDEX('입력_구리근무자명단'!$A297:$ZZ297,1,$E$2+3),6,2)),VALUE(MID(INDEX('입력_구리근무자명단'!$A297:$ZZ297,1,$E$2+3),9,2))),-1))))</f>
        <v/>
      </c>
      <c r="U299">
        <f>IF($R299="","",IF(OR($S299&lt;0,$T299&lt;0),0,MAX(0,MIN($T299,EOMONTH(급여기준월,0))-MAX($S299,급여기준월)+1)))</f>
        <v/>
      </c>
      <c r="V299">
        <f>IF($R299="","",TRIM(INDEX('입력_구리근무자명단'!$A297:$ZZ297,1,$E$2+5)&amp;""))</f>
        <v/>
      </c>
      <c r="W299">
        <f>IF(ISNUMBER(SEARCH("구리독자",$V299)),"구리독자","")</f>
        <v/>
      </c>
      <c r="X299">
        <f>IF($R299="","",$R299&amp;"|"&amp;IF(OR($Q299="인턴",ISNUMBER(SEARCH("수련교육부",$P299))),"인턴",$P299))</f>
        <v/>
      </c>
      <c r="Y299">
        <f>IF($R299="","",IF(COUNTIF(명단표[이름|과],$X299)=1,"명단 일치",IF(AND(COUNTIF(명단표[이름|과],$X299)=0,COUNTIF(명단표[이름],$R299)=1),"명단 일치(이름만, 과 다름)",IF(COUNTIF(명단표[이름],$R299)=0,IF(COUNTIF(기본자료표[이름],$R299)&gt;0,"명단에 없음(기본자료에는 있음)","명단에 없음"),"동명이인 확인"))))</f>
        <v/>
      </c>
      <c r="Z299">
        <f>IF($R299="","",IF($S299&lt;0,"⚠"&amp;INDEX('입력_구리근무자명단'!$A297:$ZZ297,1,$E$2+2),TEXT($S299,"yyyy-mm-dd")))</f>
        <v/>
      </c>
      <c r="AA299">
        <f>IF($R299="","",IF($T299&lt;0,"⚠"&amp;INDEX('입력_구리근무자명단'!$A297:$ZZ297,1,$E$2+3),TEXT($T299,"yyyy-mm-dd")))</f>
        <v/>
      </c>
      <c r="AB299">
        <f>AB298+IF($R299="",0,1)</f>
        <v/>
      </c>
      <c r="AC299">
        <f>IF($R299="","",$AB299)</f>
        <v/>
      </c>
    </row>
    <row r="300">
      <c r="A300">
        <f>IFERROR(INDEX($O$6:$O$1505,MATCH(295,$AC$6:$AC$1505,0)),"")</f>
        <v/>
      </c>
      <c r="B300">
        <f>IF(ISNUMBER($A300),INDEX($P$6:$P$1505,$A300-3),"")</f>
        <v/>
      </c>
      <c r="C300">
        <f>IF(ISNUMBER($A300),INDEX($Q$6:$Q$1505,$A300-3),"")</f>
        <v/>
      </c>
      <c r="D300">
        <f>IF(ISNUMBER($A300),INDEX($R$6:$R$1505,$A300-3),"")</f>
        <v/>
      </c>
      <c r="E300">
        <f>IF(ISNUMBER($A300),$G$2,"")</f>
        <v/>
      </c>
      <c r="F300">
        <f>IF(ISNUMBER($A300),INDEX($Z$6:$Z$1505,$A300-3),"")</f>
        <v/>
      </c>
      <c r="G300">
        <f>IF(ISNUMBER($A300),INDEX($AA$6:$AA$1505,$A300-3),"")</f>
        <v/>
      </c>
      <c r="H300">
        <f>IF(ISNUMBER($A300),INDEX($U$6:$U$1505,$A300-3),"")</f>
        <v/>
      </c>
      <c r="I300">
        <f>IF(ISNUMBER($A300),INDEX($V$6:$V$1505,$A300-3),"")</f>
        <v/>
      </c>
      <c r="J300">
        <f>IF(ISNUMBER($A300),INDEX($W$6:$W$1505,$A300-3),"")</f>
        <v/>
      </c>
      <c r="K300">
        <f>IF(ISNUMBER($A300),INDEX($X$6:$X$1505,$A300-3),"")</f>
        <v/>
      </c>
      <c r="L300">
        <f>IF(ISNUMBER($A300),INDEX($Y$6:$Y$1505,$A300-3),"")</f>
        <v/>
      </c>
      <c r="O300">
        <f>298</f>
        <v/>
      </c>
      <c r="P300">
        <f>IF(TRIM('입력_구리근무자명단'!$A298&amp;"")&lt;&gt;"",TRIM('입력_구리근무자명단'!$A298&amp;""),P299)</f>
        <v/>
      </c>
      <c r="Q300">
        <f>'입력_구리근무자명단'!$B298&amp;""</f>
        <v/>
      </c>
      <c r="R300">
        <f>IF($E$2="","",TRIM(INDEX('입력_구리근무자명단'!$A298:$ZZ298,1,$E$2+IF($G$2="확정",1,0))&amp;""))</f>
        <v/>
      </c>
      <c r="S300">
        <f>IF($R300="","",IF(INDEX('입력_구리근무자명단'!$A298:$ZZ298,1,$E$2+2)&amp;""="",급여기준월,IF(ISNUMBER(INDEX('입력_구리근무자명단'!$A298:$ZZ298,1,$E$2+2)),INDEX('입력_구리근무자명단'!$A298:$ZZ298,1,$E$2+2),IFERROR(DATE(VALUE(LEFT(INDEX('입력_구리근무자명단'!$A298:$ZZ298,1,$E$2+2),4)),VALUE(MID(INDEX('입력_구리근무자명단'!$A298:$ZZ298,1,$E$2+2),6,2)),VALUE(MID(INDEX('입력_구리근무자명단'!$A298:$ZZ298,1,$E$2+2),9,2))),-1))))</f>
        <v/>
      </c>
      <c r="T300">
        <f>IF($R300="","",IF(INDEX('입력_구리근무자명단'!$A298:$ZZ298,1,$E$2+3)&amp;""="",EOMONTH(급여기준월,0),IF(ISNUMBER(INDEX('입력_구리근무자명단'!$A298:$ZZ298,1,$E$2+3)),INDEX('입력_구리근무자명단'!$A298:$ZZ298,1,$E$2+3),IFERROR(DATE(VALUE(LEFT(INDEX('입력_구리근무자명단'!$A298:$ZZ298,1,$E$2+3),4)),VALUE(MID(INDEX('입력_구리근무자명단'!$A298:$ZZ298,1,$E$2+3),6,2)),VALUE(MID(INDEX('입력_구리근무자명단'!$A298:$ZZ298,1,$E$2+3),9,2))),-1))))</f>
        <v/>
      </c>
      <c r="U300">
        <f>IF($R300="","",IF(OR($S300&lt;0,$T300&lt;0),0,MAX(0,MIN($T300,EOMONTH(급여기준월,0))-MAX($S300,급여기준월)+1)))</f>
        <v/>
      </c>
      <c r="V300">
        <f>IF($R300="","",TRIM(INDEX('입력_구리근무자명단'!$A298:$ZZ298,1,$E$2+5)&amp;""))</f>
        <v/>
      </c>
      <c r="W300">
        <f>IF(ISNUMBER(SEARCH("구리독자",$V300)),"구리독자","")</f>
        <v/>
      </c>
      <c r="X300">
        <f>IF($R300="","",$R300&amp;"|"&amp;IF(OR($Q300="인턴",ISNUMBER(SEARCH("수련교육부",$P300))),"인턴",$P300))</f>
        <v/>
      </c>
      <c r="Y300">
        <f>IF($R300="","",IF(COUNTIF(명단표[이름|과],$X300)=1,"명단 일치",IF(AND(COUNTIF(명단표[이름|과],$X300)=0,COUNTIF(명단표[이름],$R300)=1),"명단 일치(이름만, 과 다름)",IF(COUNTIF(명단표[이름],$R300)=0,IF(COUNTIF(기본자료표[이름],$R300)&gt;0,"명단에 없음(기본자료에는 있음)","명단에 없음"),"동명이인 확인"))))</f>
        <v/>
      </c>
      <c r="Z300">
        <f>IF($R300="","",IF($S300&lt;0,"⚠"&amp;INDEX('입력_구리근무자명단'!$A298:$ZZ298,1,$E$2+2),TEXT($S300,"yyyy-mm-dd")))</f>
        <v/>
      </c>
      <c r="AA300">
        <f>IF($R300="","",IF($T300&lt;0,"⚠"&amp;INDEX('입력_구리근무자명단'!$A298:$ZZ298,1,$E$2+3),TEXT($T300,"yyyy-mm-dd")))</f>
        <v/>
      </c>
      <c r="AB300">
        <f>AB299+IF($R300="",0,1)</f>
        <v/>
      </c>
      <c r="AC300">
        <f>IF($R300="","",$AB300)</f>
        <v/>
      </c>
    </row>
    <row r="301">
      <c r="A301">
        <f>IFERROR(INDEX($O$6:$O$1505,MATCH(296,$AC$6:$AC$1505,0)),"")</f>
        <v/>
      </c>
      <c r="B301">
        <f>IF(ISNUMBER($A301),INDEX($P$6:$P$1505,$A301-3),"")</f>
        <v/>
      </c>
      <c r="C301">
        <f>IF(ISNUMBER($A301),INDEX($Q$6:$Q$1505,$A301-3),"")</f>
        <v/>
      </c>
      <c r="D301">
        <f>IF(ISNUMBER($A301),INDEX($R$6:$R$1505,$A301-3),"")</f>
        <v/>
      </c>
      <c r="E301">
        <f>IF(ISNUMBER($A301),$G$2,"")</f>
        <v/>
      </c>
      <c r="F301">
        <f>IF(ISNUMBER($A301),INDEX($Z$6:$Z$1505,$A301-3),"")</f>
        <v/>
      </c>
      <c r="G301">
        <f>IF(ISNUMBER($A301),INDEX($AA$6:$AA$1505,$A301-3),"")</f>
        <v/>
      </c>
      <c r="H301">
        <f>IF(ISNUMBER($A301),INDEX($U$6:$U$1505,$A301-3),"")</f>
        <v/>
      </c>
      <c r="I301">
        <f>IF(ISNUMBER($A301),INDEX($V$6:$V$1505,$A301-3),"")</f>
        <v/>
      </c>
      <c r="J301">
        <f>IF(ISNUMBER($A301),INDEX($W$6:$W$1505,$A301-3),"")</f>
        <v/>
      </c>
      <c r="K301">
        <f>IF(ISNUMBER($A301),INDEX($X$6:$X$1505,$A301-3),"")</f>
        <v/>
      </c>
      <c r="L301">
        <f>IF(ISNUMBER($A301),INDEX($Y$6:$Y$1505,$A301-3),"")</f>
        <v/>
      </c>
      <c r="O301">
        <f>299</f>
        <v/>
      </c>
      <c r="P301">
        <f>IF(TRIM('입력_구리근무자명단'!$A299&amp;"")&lt;&gt;"",TRIM('입력_구리근무자명단'!$A299&amp;""),P300)</f>
        <v/>
      </c>
      <c r="Q301">
        <f>'입력_구리근무자명단'!$B299&amp;""</f>
        <v/>
      </c>
      <c r="R301">
        <f>IF($E$2="","",TRIM(INDEX('입력_구리근무자명단'!$A299:$ZZ299,1,$E$2+IF($G$2="확정",1,0))&amp;""))</f>
        <v/>
      </c>
      <c r="S301">
        <f>IF($R301="","",IF(INDEX('입력_구리근무자명단'!$A299:$ZZ299,1,$E$2+2)&amp;""="",급여기준월,IF(ISNUMBER(INDEX('입력_구리근무자명단'!$A299:$ZZ299,1,$E$2+2)),INDEX('입력_구리근무자명단'!$A299:$ZZ299,1,$E$2+2),IFERROR(DATE(VALUE(LEFT(INDEX('입력_구리근무자명단'!$A299:$ZZ299,1,$E$2+2),4)),VALUE(MID(INDEX('입력_구리근무자명단'!$A299:$ZZ299,1,$E$2+2),6,2)),VALUE(MID(INDEX('입력_구리근무자명단'!$A299:$ZZ299,1,$E$2+2),9,2))),-1))))</f>
        <v/>
      </c>
      <c r="T301">
        <f>IF($R301="","",IF(INDEX('입력_구리근무자명단'!$A299:$ZZ299,1,$E$2+3)&amp;""="",EOMONTH(급여기준월,0),IF(ISNUMBER(INDEX('입력_구리근무자명단'!$A299:$ZZ299,1,$E$2+3)),INDEX('입력_구리근무자명단'!$A299:$ZZ299,1,$E$2+3),IFERROR(DATE(VALUE(LEFT(INDEX('입력_구리근무자명단'!$A299:$ZZ299,1,$E$2+3),4)),VALUE(MID(INDEX('입력_구리근무자명단'!$A299:$ZZ299,1,$E$2+3),6,2)),VALUE(MID(INDEX('입력_구리근무자명단'!$A299:$ZZ299,1,$E$2+3),9,2))),-1))))</f>
        <v/>
      </c>
      <c r="U301">
        <f>IF($R301="","",IF(OR($S301&lt;0,$T301&lt;0),0,MAX(0,MIN($T301,EOMONTH(급여기준월,0))-MAX($S301,급여기준월)+1)))</f>
        <v/>
      </c>
      <c r="V301">
        <f>IF($R301="","",TRIM(INDEX('입력_구리근무자명단'!$A299:$ZZ299,1,$E$2+5)&amp;""))</f>
        <v/>
      </c>
      <c r="W301">
        <f>IF(ISNUMBER(SEARCH("구리독자",$V301)),"구리독자","")</f>
        <v/>
      </c>
      <c r="X301">
        <f>IF($R301="","",$R301&amp;"|"&amp;IF(OR($Q301="인턴",ISNUMBER(SEARCH("수련교육부",$P301))),"인턴",$P301))</f>
        <v/>
      </c>
      <c r="Y301">
        <f>IF($R301="","",IF(COUNTIF(명단표[이름|과],$X301)=1,"명단 일치",IF(AND(COUNTIF(명단표[이름|과],$X301)=0,COUNTIF(명단표[이름],$R301)=1),"명단 일치(이름만, 과 다름)",IF(COUNTIF(명단표[이름],$R301)=0,IF(COUNTIF(기본자료표[이름],$R301)&gt;0,"명단에 없음(기본자료에는 있음)","명단에 없음"),"동명이인 확인"))))</f>
        <v/>
      </c>
      <c r="Z301">
        <f>IF($R301="","",IF($S301&lt;0,"⚠"&amp;INDEX('입력_구리근무자명단'!$A299:$ZZ299,1,$E$2+2),TEXT($S301,"yyyy-mm-dd")))</f>
        <v/>
      </c>
      <c r="AA301">
        <f>IF($R301="","",IF($T301&lt;0,"⚠"&amp;INDEX('입력_구리근무자명단'!$A299:$ZZ299,1,$E$2+3),TEXT($T301,"yyyy-mm-dd")))</f>
        <v/>
      </c>
      <c r="AB301">
        <f>AB300+IF($R301="",0,1)</f>
        <v/>
      </c>
      <c r="AC301">
        <f>IF($R301="","",$AB301)</f>
        <v/>
      </c>
    </row>
    <row r="302">
      <c r="A302">
        <f>IFERROR(INDEX($O$6:$O$1505,MATCH(297,$AC$6:$AC$1505,0)),"")</f>
        <v/>
      </c>
      <c r="B302">
        <f>IF(ISNUMBER($A302),INDEX($P$6:$P$1505,$A302-3),"")</f>
        <v/>
      </c>
      <c r="C302">
        <f>IF(ISNUMBER($A302),INDEX($Q$6:$Q$1505,$A302-3),"")</f>
        <v/>
      </c>
      <c r="D302">
        <f>IF(ISNUMBER($A302),INDEX($R$6:$R$1505,$A302-3),"")</f>
        <v/>
      </c>
      <c r="E302">
        <f>IF(ISNUMBER($A302),$G$2,"")</f>
        <v/>
      </c>
      <c r="F302">
        <f>IF(ISNUMBER($A302),INDEX($Z$6:$Z$1505,$A302-3),"")</f>
        <v/>
      </c>
      <c r="G302">
        <f>IF(ISNUMBER($A302),INDEX($AA$6:$AA$1505,$A302-3),"")</f>
        <v/>
      </c>
      <c r="H302">
        <f>IF(ISNUMBER($A302),INDEX($U$6:$U$1505,$A302-3),"")</f>
        <v/>
      </c>
      <c r="I302">
        <f>IF(ISNUMBER($A302),INDEX($V$6:$V$1505,$A302-3),"")</f>
        <v/>
      </c>
      <c r="J302">
        <f>IF(ISNUMBER($A302),INDEX($W$6:$W$1505,$A302-3),"")</f>
        <v/>
      </c>
      <c r="K302">
        <f>IF(ISNUMBER($A302),INDEX($X$6:$X$1505,$A302-3),"")</f>
        <v/>
      </c>
      <c r="L302">
        <f>IF(ISNUMBER($A302),INDEX($Y$6:$Y$1505,$A302-3),"")</f>
        <v/>
      </c>
      <c r="O302">
        <f>300</f>
        <v/>
      </c>
      <c r="P302">
        <f>IF(TRIM('입력_구리근무자명단'!$A300&amp;"")&lt;&gt;"",TRIM('입력_구리근무자명단'!$A300&amp;""),P301)</f>
        <v/>
      </c>
      <c r="Q302">
        <f>'입력_구리근무자명단'!$B300&amp;""</f>
        <v/>
      </c>
      <c r="R302">
        <f>IF($E$2="","",TRIM(INDEX('입력_구리근무자명단'!$A300:$ZZ300,1,$E$2+IF($G$2="확정",1,0))&amp;""))</f>
        <v/>
      </c>
      <c r="S302">
        <f>IF($R302="","",IF(INDEX('입력_구리근무자명단'!$A300:$ZZ300,1,$E$2+2)&amp;""="",급여기준월,IF(ISNUMBER(INDEX('입력_구리근무자명단'!$A300:$ZZ300,1,$E$2+2)),INDEX('입력_구리근무자명단'!$A300:$ZZ300,1,$E$2+2),IFERROR(DATE(VALUE(LEFT(INDEX('입력_구리근무자명단'!$A300:$ZZ300,1,$E$2+2),4)),VALUE(MID(INDEX('입력_구리근무자명단'!$A300:$ZZ300,1,$E$2+2),6,2)),VALUE(MID(INDEX('입력_구리근무자명단'!$A300:$ZZ300,1,$E$2+2),9,2))),-1))))</f>
        <v/>
      </c>
      <c r="T302">
        <f>IF($R302="","",IF(INDEX('입력_구리근무자명단'!$A300:$ZZ300,1,$E$2+3)&amp;""="",EOMONTH(급여기준월,0),IF(ISNUMBER(INDEX('입력_구리근무자명단'!$A300:$ZZ300,1,$E$2+3)),INDEX('입력_구리근무자명단'!$A300:$ZZ300,1,$E$2+3),IFERROR(DATE(VALUE(LEFT(INDEX('입력_구리근무자명단'!$A300:$ZZ300,1,$E$2+3),4)),VALUE(MID(INDEX('입력_구리근무자명단'!$A300:$ZZ300,1,$E$2+3),6,2)),VALUE(MID(INDEX('입력_구리근무자명단'!$A300:$ZZ300,1,$E$2+3),9,2))),-1))))</f>
        <v/>
      </c>
      <c r="U302">
        <f>IF($R302="","",IF(OR($S302&lt;0,$T302&lt;0),0,MAX(0,MIN($T302,EOMONTH(급여기준월,0))-MAX($S302,급여기준월)+1)))</f>
        <v/>
      </c>
      <c r="V302">
        <f>IF($R302="","",TRIM(INDEX('입력_구리근무자명단'!$A300:$ZZ300,1,$E$2+5)&amp;""))</f>
        <v/>
      </c>
      <c r="W302">
        <f>IF(ISNUMBER(SEARCH("구리독자",$V302)),"구리독자","")</f>
        <v/>
      </c>
      <c r="X302">
        <f>IF($R302="","",$R302&amp;"|"&amp;IF(OR($Q302="인턴",ISNUMBER(SEARCH("수련교육부",$P302))),"인턴",$P302))</f>
        <v/>
      </c>
      <c r="Y302">
        <f>IF($R302="","",IF(COUNTIF(명단표[이름|과],$X302)=1,"명단 일치",IF(AND(COUNTIF(명단표[이름|과],$X302)=0,COUNTIF(명단표[이름],$R302)=1),"명단 일치(이름만, 과 다름)",IF(COUNTIF(명단표[이름],$R302)=0,IF(COUNTIF(기본자료표[이름],$R302)&gt;0,"명단에 없음(기본자료에는 있음)","명단에 없음"),"동명이인 확인"))))</f>
        <v/>
      </c>
      <c r="Z302">
        <f>IF($R302="","",IF($S302&lt;0,"⚠"&amp;INDEX('입력_구리근무자명단'!$A300:$ZZ300,1,$E$2+2),TEXT($S302,"yyyy-mm-dd")))</f>
        <v/>
      </c>
      <c r="AA302">
        <f>IF($R302="","",IF($T302&lt;0,"⚠"&amp;INDEX('입력_구리근무자명단'!$A300:$ZZ300,1,$E$2+3),TEXT($T302,"yyyy-mm-dd")))</f>
        <v/>
      </c>
      <c r="AB302">
        <f>AB301+IF($R302="",0,1)</f>
        <v/>
      </c>
      <c r="AC302">
        <f>IF($R302="","",$AB302)</f>
        <v/>
      </c>
    </row>
    <row r="303">
      <c r="A303">
        <f>IFERROR(INDEX($O$6:$O$1505,MATCH(298,$AC$6:$AC$1505,0)),"")</f>
        <v/>
      </c>
      <c r="B303">
        <f>IF(ISNUMBER($A303),INDEX($P$6:$P$1505,$A303-3),"")</f>
        <v/>
      </c>
      <c r="C303">
        <f>IF(ISNUMBER($A303),INDEX($Q$6:$Q$1505,$A303-3),"")</f>
        <v/>
      </c>
      <c r="D303">
        <f>IF(ISNUMBER($A303),INDEX($R$6:$R$1505,$A303-3),"")</f>
        <v/>
      </c>
      <c r="E303">
        <f>IF(ISNUMBER($A303),$G$2,"")</f>
        <v/>
      </c>
      <c r="F303">
        <f>IF(ISNUMBER($A303),INDEX($Z$6:$Z$1505,$A303-3),"")</f>
        <v/>
      </c>
      <c r="G303">
        <f>IF(ISNUMBER($A303),INDEX($AA$6:$AA$1505,$A303-3),"")</f>
        <v/>
      </c>
      <c r="H303">
        <f>IF(ISNUMBER($A303),INDEX($U$6:$U$1505,$A303-3),"")</f>
        <v/>
      </c>
      <c r="I303">
        <f>IF(ISNUMBER($A303),INDEX($V$6:$V$1505,$A303-3),"")</f>
        <v/>
      </c>
      <c r="J303">
        <f>IF(ISNUMBER($A303),INDEX($W$6:$W$1505,$A303-3),"")</f>
        <v/>
      </c>
      <c r="K303">
        <f>IF(ISNUMBER($A303),INDEX($X$6:$X$1505,$A303-3),"")</f>
        <v/>
      </c>
      <c r="L303">
        <f>IF(ISNUMBER($A303),INDEX($Y$6:$Y$1505,$A303-3),"")</f>
        <v/>
      </c>
      <c r="O303">
        <f>301</f>
        <v/>
      </c>
      <c r="P303">
        <f>IF(TRIM('입력_구리근무자명단'!$A301&amp;"")&lt;&gt;"",TRIM('입력_구리근무자명단'!$A301&amp;""),P302)</f>
        <v/>
      </c>
      <c r="Q303">
        <f>'입력_구리근무자명단'!$B301&amp;""</f>
        <v/>
      </c>
      <c r="R303">
        <f>IF($E$2="","",TRIM(INDEX('입력_구리근무자명단'!$A301:$ZZ301,1,$E$2+IF($G$2="확정",1,0))&amp;""))</f>
        <v/>
      </c>
      <c r="S303">
        <f>IF($R303="","",IF(INDEX('입력_구리근무자명단'!$A301:$ZZ301,1,$E$2+2)&amp;""="",급여기준월,IF(ISNUMBER(INDEX('입력_구리근무자명단'!$A301:$ZZ301,1,$E$2+2)),INDEX('입력_구리근무자명단'!$A301:$ZZ301,1,$E$2+2),IFERROR(DATE(VALUE(LEFT(INDEX('입력_구리근무자명단'!$A301:$ZZ301,1,$E$2+2),4)),VALUE(MID(INDEX('입력_구리근무자명단'!$A301:$ZZ301,1,$E$2+2),6,2)),VALUE(MID(INDEX('입력_구리근무자명단'!$A301:$ZZ301,1,$E$2+2),9,2))),-1))))</f>
        <v/>
      </c>
      <c r="T303">
        <f>IF($R303="","",IF(INDEX('입력_구리근무자명단'!$A301:$ZZ301,1,$E$2+3)&amp;""="",EOMONTH(급여기준월,0),IF(ISNUMBER(INDEX('입력_구리근무자명단'!$A301:$ZZ301,1,$E$2+3)),INDEX('입력_구리근무자명단'!$A301:$ZZ301,1,$E$2+3),IFERROR(DATE(VALUE(LEFT(INDEX('입력_구리근무자명단'!$A301:$ZZ301,1,$E$2+3),4)),VALUE(MID(INDEX('입력_구리근무자명단'!$A301:$ZZ301,1,$E$2+3),6,2)),VALUE(MID(INDEX('입력_구리근무자명단'!$A301:$ZZ301,1,$E$2+3),9,2))),-1))))</f>
        <v/>
      </c>
      <c r="U303">
        <f>IF($R303="","",IF(OR($S303&lt;0,$T303&lt;0),0,MAX(0,MIN($T303,EOMONTH(급여기준월,0))-MAX($S303,급여기준월)+1)))</f>
        <v/>
      </c>
      <c r="V303">
        <f>IF($R303="","",TRIM(INDEX('입력_구리근무자명단'!$A301:$ZZ301,1,$E$2+5)&amp;""))</f>
        <v/>
      </c>
      <c r="W303">
        <f>IF(ISNUMBER(SEARCH("구리독자",$V303)),"구리독자","")</f>
        <v/>
      </c>
      <c r="X303">
        <f>IF($R303="","",$R303&amp;"|"&amp;IF(OR($Q303="인턴",ISNUMBER(SEARCH("수련교육부",$P303))),"인턴",$P303))</f>
        <v/>
      </c>
      <c r="Y303">
        <f>IF($R303="","",IF(COUNTIF(명단표[이름|과],$X303)=1,"명단 일치",IF(AND(COUNTIF(명단표[이름|과],$X303)=0,COUNTIF(명단표[이름],$R303)=1),"명단 일치(이름만, 과 다름)",IF(COUNTIF(명단표[이름],$R303)=0,IF(COUNTIF(기본자료표[이름],$R303)&gt;0,"명단에 없음(기본자료에는 있음)","명단에 없음"),"동명이인 확인"))))</f>
        <v/>
      </c>
      <c r="Z303">
        <f>IF($R303="","",IF($S303&lt;0,"⚠"&amp;INDEX('입력_구리근무자명단'!$A301:$ZZ301,1,$E$2+2),TEXT($S303,"yyyy-mm-dd")))</f>
        <v/>
      </c>
      <c r="AA303">
        <f>IF($R303="","",IF($T303&lt;0,"⚠"&amp;INDEX('입력_구리근무자명단'!$A301:$ZZ301,1,$E$2+3),TEXT($T303,"yyyy-mm-dd")))</f>
        <v/>
      </c>
      <c r="AB303">
        <f>AB302+IF($R303="",0,1)</f>
        <v/>
      </c>
      <c r="AC303">
        <f>IF($R303="","",$AB303)</f>
        <v/>
      </c>
    </row>
    <row r="304">
      <c r="A304">
        <f>IFERROR(INDEX($O$6:$O$1505,MATCH(299,$AC$6:$AC$1505,0)),"")</f>
        <v/>
      </c>
      <c r="B304">
        <f>IF(ISNUMBER($A304),INDEX($P$6:$P$1505,$A304-3),"")</f>
        <v/>
      </c>
      <c r="C304">
        <f>IF(ISNUMBER($A304),INDEX($Q$6:$Q$1505,$A304-3),"")</f>
        <v/>
      </c>
      <c r="D304">
        <f>IF(ISNUMBER($A304),INDEX($R$6:$R$1505,$A304-3),"")</f>
        <v/>
      </c>
      <c r="E304">
        <f>IF(ISNUMBER($A304),$G$2,"")</f>
        <v/>
      </c>
      <c r="F304">
        <f>IF(ISNUMBER($A304),INDEX($Z$6:$Z$1505,$A304-3),"")</f>
        <v/>
      </c>
      <c r="G304">
        <f>IF(ISNUMBER($A304),INDEX($AA$6:$AA$1505,$A304-3),"")</f>
        <v/>
      </c>
      <c r="H304">
        <f>IF(ISNUMBER($A304),INDEX($U$6:$U$1505,$A304-3),"")</f>
        <v/>
      </c>
      <c r="I304">
        <f>IF(ISNUMBER($A304),INDEX($V$6:$V$1505,$A304-3),"")</f>
        <v/>
      </c>
      <c r="J304">
        <f>IF(ISNUMBER($A304),INDEX($W$6:$W$1505,$A304-3),"")</f>
        <v/>
      </c>
      <c r="K304">
        <f>IF(ISNUMBER($A304),INDEX($X$6:$X$1505,$A304-3),"")</f>
        <v/>
      </c>
      <c r="L304">
        <f>IF(ISNUMBER($A304),INDEX($Y$6:$Y$1505,$A304-3),"")</f>
        <v/>
      </c>
      <c r="O304">
        <f>302</f>
        <v/>
      </c>
      <c r="P304">
        <f>IF(TRIM('입력_구리근무자명단'!$A302&amp;"")&lt;&gt;"",TRIM('입력_구리근무자명단'!$A302&amp;""),P303)</f>
        <v/>
      </c>
      <c r="Q304">
        <f>'입력_구리근무자명단'!$B302&amp;""</f>
        <v/>
      </c>
      <c r="R304">
        <f>IF($E$2="","",TRIM(INDEX('입력_구리근무자명단'!$A302:$ZZ302,1,$E$2+IF($G$2="확정",1,0))&amp;""))</f>
        <v/>
      </c>
      <c r="S304">
        <f>IF($R304="","",IF(INDEX('입력_구리근무자명단'!$A302:$ZZ302,1,$E$2+2)&amp;""="",급여기준월,IF(ISNUMBER(INDEX('입력_구리근무자명단'!$A302:$ZZ302,1,$E$2+2)),INDEX('입력_구리근무자명단'!$A302:$ZZ302,1,$E$2+2),IFERROR(DATE(VALUE(LEFT(INDEX('입력_구리근무자명단'!$A302:$ZZ302,1,$E$2+2),4)),VALUE(MID(INDEX('입력_구리근무자명단'!$A302:$ZZ302,1,$E$2+2),6,2)),VALUE(MID(INDEX('입력_구리근무자명단'!$A302:$ZZ302,1,$E$2+2),9,2))),-1))))</f>
        <v/>
      </c>
      <c r="T304">
        <f>IF($R304="","",IF(INDEX('입력_구리근무자명단'!$A302:$ZZ302,1,$E$2+3)&amp;""="",EOMONTH(급여기준월,0),IF(ISNUMBER(INDEX('입력_구리근무자명단'!$A302:$ZZ302,1,$E$2+3)),INDEX('입력_구리근무자명단'!$A302:$ZZ302,1,$E$2+3),IFERROR(DATE(VALUE(LEFT(INDEX('입력_구리근무자명단'!$A302:$ZZ302,1,$E$2+3),4)),VALUE(MID(INDEX('입력_구리근무자명단'!$A302:$ZZ302,1,$E$2+3),6,2)),VALUE(MID(INDEX('입력_구리근무자명단'!$A302:$ZZ302,1,$E$2+3),9,2))),-1))))</f>
        <v/>
      </c>
      <c r="U304">
        <f>IF($R304="","",IF(OR($S304&lt;0,$T304&lt;0),0,MAX(0,MIN($T304,EOMONTH(급여기준월,0))-MAX($S304,급여기준월)+1)))</f>
        <v/>
      </c>
      <c r="V304">
        <f>IF($R304="","",TRIM(INDEX('입력_구리근무자명단'!$A302:$ZZ302,1,$E$2+5)&amp;""))</f>
        <v/>
      </c>
      <c r="W304">
        <f>IF(ISNUMBER(SEARCH("구리독자",$V304)),"구리독자","")</f>
        <v/>
      </c>
      <c r="X304">
        <f>IF($R304="","",$R304&amp;"|"&amp;IF(OR($Q304="인턴",ISNUMBER(SEARCH("수련교육부",$P304))),"인턴",$P304))</f>
        <v/>
      </c>
      <c r="Y304">
        <f>IF($R304="","",IF(COUNTIF(명단표[이름|과],$X304)=1,"명단 일치",IF(AND(COUNTIF(명단표[이름|과],$X304)=0,COUNTIF(명단표[이름],$R304)=1),"명단 일치(이름만, 과 다름)",IF(COUNTIF(명단표[이름],$R304)=0,IF(COUNTIF(기본자료표[이름],$R304)&gt;0,"명단에 없음(기본자료에는 있음)","명단에 없음"),"동명이인 확인"))))</f>
        <v/>
      </c>
      <c r="Z304">
        <f>IF($R304="","",IF($S304&lt;0,"⚠"&amp;INDEX('입력_구리근무자명단'!$A302:$ZZ302,1,$E$2+2),TEXT($S304,"yyyy-mm-dd")))</f>
        <v/>
      </c>
      <c r="AA304">
        <f>IF($R304="","",IF($T304&lt;0,"⚠"&amp;INDEX('입력_구리근무자명단'!$A302:$ZZ302,1,$E$2+3),TEXT($T304,"yyyy-mm-dd")))</f>
        <v/>
      </c>
      <c r="AB304">
        <f>AB303+IF($R304="",0,1)</f>
        <v/>
      </c>
      <c r="AC304">
        <f>IF($R304="","",$AB304)</f>
        <v/>
      </c>
    </row>
    <row r="305">
      <c r="A305">
        <f>IFERROR(INDEX($O$6:$O$1505,MATCH(300,$AC$6:$AC$1505,0)),"")</f>
        <v/>
      </c>
      <c r="B305">
        <f>IF(ISNUMBER($A305),INDEX($P$6:$P$1505,$A305-3),"")</f>
        <v/>
      </c>
      <c r="C305">
        <f>IF(ISNUMBER($A305),INDEX($Q$6:$Q$1505,$A305-3),"")</f>
        <v/>
      </c>
      <c r="D305">
        <f>IF(ISNUMBER($A305),INDEX($R$6:$R$1505,$A305-3),"")</f>
        <v/>
      </c>
      <c r="E305">
        <f>IF(ISNUMBER($A305),$G$2,"")</f>
        <v/>
      </c>
      <c r="F305">
        <f>IF(ISNUMBER($A305),INDEX($Z$6:$Z$1505,$A305-3),"")</f>
        <v/>
      </c>
      <c r="G305">
        <f>IF(ISNUMBER($A305),INDEX($AA$6:$AA$1505,$A305-3),"")</f>
        <v/>
      </c>
      <c r="H305">
        <f>IF(ISNUMBER($A305),INDEX($U$6:$U$1505,$A305-3),"")</f>
        <v/>
      </c>
      <c r="I305">
        <f>IF(ISNUMBER($A305),INDEX($V$6:$V$1505,$A305-3),"")</f>
        <v/>
      </c>
      <c r="J305">
        <f>IF(ISNUMBER($A305),INDEX($W$6:$W$1505,$A305-3),"")</f>
        <v/>
      </c>
      <c r="K305">
        <f>IF(ISNUMBER($A305),INDEX($X$6:$X$1505,$A305-3),"")</f>
        <v/>
      </c>
      <c r="L305">
        <f>IF(ISNUMBER($A305),INDEX($Y$6:$Y$1505,$A305-3),"")</f>
        <v/>
      </c>
      <c r="O305">
        <f>303</f>
        <v/>
      </c>
      <c r="P305">
        <f>IF(TRIM('입력_구리근무자명단'!$A303&amp;"")&lt;&gt;"",TRIM('입력_구리근무자명단'!$A303&amp;""),P304)</f>
        <v/>
      </c>
      <c r="Q305">
        <f>'입력_구리근무자명단'!$B303&amp;""</f>
        <v/>
      </c>
      <c r="R305">
        <f>IF($E$2="","",TRIM(INDEX('입력_구리근무자명단'!$A303:$ZZ303,1,$E$2+IF($G$2="확정",1,0))&amp;""))</f>
        <v/>
      </c>
      <c r="S305">
        <f>IF($R305="","",IF(INDEX('입력_구리근무자명단'!$A303:$ZZ303,1,$E$2+2)&amp;""="",급여기준월,IF(ISNUMBER(INDEX('입력_구리근무자명단'!$A303:$ZZ303,1,$E$2+2)),INDEX('입력_구리근무자명단'!$A303:$ZZ303,1,$E$2+2),IFERROR(DATE(VALUE(LEFT(INDEX('입력_구리근무자명단'!$A303:$ZZ303,1,$E$2+2),4)),VALUE(MID(INDEX('입력_구리근무자명단'!$A303:$ZZ303,1,$E$2+2),6,2)),VALUE(MID(INDEX('입력_구리근무자명단'!$A303:$ZZ303,1,$E$2+2),9,2))),-1))))</f>
        <v/>
      </c>
      <c r="T305">
        <f>IF($R305="","",IF(INDEX('입력_구리근무자명단'!$A303:$ZZ303,1,$E$2+3)&amp;""="",EOMONTH(급여기준월,0),IF(ISNUMBER(INDEX('입력_구리근무자명단'!$A303:$ZZ303,1,$E$2+3)),INDEX('입력_구리근무자명단'!$A303:$ZZ303,1,$E$2+3),IFERROR(DATE(VALUE(LEFT(INDEX('입력_구리근무자명단'!$A303:$ZZ303,1,$E$2+3),4)),VALUE(MID(INDEX('입력_구리근무자명단'!$A303:$ZZ303,1,$E$2+3),6,2)),VALUE(MID(INDEX('입력_구리근무자명단'!$A303:$ZZ303,1,$E$2+3),9,2))),-1))))</f>
        <v/>
      </c>
      <c r="U305">
        <f>IF($R305="","",IF(OR($S305&lt;0,$T305&lt;0),0,MAX(0,MIN($T305,EOMONTH(급여기준월,0))-MAX($S305,급여기준월)+1)))</f>
        <v/>
      </c>
      <c r="V305">
        <f>IF($R305="","",TRIM(INDEX('입력_구리근무자명단'!$A303:$ZZ303,1,$E$2+5)&amp;""))</f>
        <v/>
      </c>
      <c r="W305">
        <f>IF(ISNUMBER(SEARCH("구리독자",$V305)),"구리독자","")</f>
        <v/>
      </c>
      <c r="X305">
        <f>IF($R305="","",$R305&amp;"|"&amp;IF(OR($Q305="인턴",ISNUMBER(SEARCH("수련교육부",$P305))),"인턴",$P305))</f>
        <v/>
      </c>
      <c r="Y305">
        <f>IF($R305="","",IF(COUNTIF(명단표[이름|과],$X305)=1,"명단 일치",IF(AND(COUNTIF(명단표[이름|과],$X305)=0,COUNTIF(명단표[이름],$R305)=1),"명단 일치(이름만, 과 다름)",IF(COUNTIF(명단표[이름],$R305)=0,IF(COUNTIF(기본자료표[이름],$R305)&gt;0,"명단에 없음(기본자료에는 있음)","명단에 없음"),"동명이인 확인"))))</f>
        <v/>
      </c>
      <c r="Z305">
        <f>IF($R305="","",IF($S305&lt;0,"⚠"&amp;INDEX('입력_구리근무자명단'!$A303:$ZZ303,1,$E$2+2),TEXT($S305,"yyyy-mm-dd")))</f>
        <v/>
      </c>
      <c r="AA305">
        <f>IF($R305="","",IF($T305&lt;0,"⚠"&amp;INDEX('입력_구리근무자명단'!$A303:$ZZ303,1,$E$2+3),TEXT($T305,"yyyy-mm-dd")))</f>
        <v/>
      </c>
      <c r="AB305">
        <f>AB304+IF($R305="",0,1)</f>
        <v/>
      </c>
      <c r="AC305">
        <f>IF($R305="","",$AB305)</f>
        <v/>
      </c>
    </row>
    <row r="306">
      <c r="A306">
        <f>IFERROR(INDEX($O$6:$O$1505,MATCH(301,$AC$6:$AC$1505,0)),"")</f>
        <v/>
      </c>
      <c r="B306">
        <f>IF(ISNUMBER($A306),INDEX($P$6:$P$1505,$A306-3),"")</f>
        <v/>
      </c>
      <c r="C306">
        <f>IF(ISNUMBER($A306),INDEX($Q$6:$Q$1505,$A306-3),"")</f>
        <v/>
      </c>
      <c r="D306">
        <f>IF(ISNUMBER($A306),INDEX($R$6:$R$1505,$A306-3),"")</f>
        <v/>
      </c>
      <c r="E306">
        <f>IF(ISNUMBER($A306),$G$2,"")</f>
        <v/>
      </c>
      <c r="F306">
        <f>IF(ISNUMBER($A306),INDEX($Z$6:$Z$1505,$A306-3),"")</f>
        <v/>
      </c>
      <c r="G306">
        <f>IF(ISNUMBER($A306),INDEX($AA$6:$AA$1505,$A306-3),"")</f>
        <v/>
      </c>
      <c r="H306">
        <f>IF(ISNUMBER($A306),INDEX($U$6:$U$1505,$A306-3),"")</f>
        <v/>
      </c>
      <c r="I306">
        <f>IF(ISNUMBER($A306),INDEX($V$6:$V$1505,$A306-3),"")</f>
        <v/>
      </c>
      <c r="J306">
        <f>IF(ISNUMBER($A306),INDEX($W$6:$W$1505,$A306-3),"")</f>
        <v/>
      </c>
      <c r="K306">
        <f>IF(ISNUMBER($A306),INDEX($X$6:$X$1505,$A306-3),"")</f>
        <v/>
      </c>
      <c r="L306">
        <f>IF(ISNUMBER($A306),INDEX($Y$6:$Y$1505,$A306-3),"")</f>
        <v/>
      </c>
      <c r="O306">
        <f>304</f>
        <v/>
      </c>
      <c r="P306">
        <f>IF(TRIM('입력_구리근무자명단'!$A304&amp;"")&lt;&gt;"",TRIM('입력_구리근무자명단'!$A304&amp;""),P305)</f>
        <v/>
      </c>
      <c r="Q306">
        <f>'입력_구리근무자명단'!$B304&amp;""</f>
        <v/>
      </c>
      <c r="R306">
        <f>IF($E$2="","",TRIM(INDEX('입력_구리근무자명단'!$A304:$ZZ304,1,$E$2+IF($G$2="확정",1,0))&amp;""))</f>
        <v/>
      </c>
      <c r="S306">
        <f>IF($R306="","",IF(INDEX('입력_구리근무자명단'!$A304:$ZZ304,1,$E$2+2)&amp;""="",급여기준월,IF(ISNUMBER(INDEX('입력_구리근무자명단'!$A304:$ZZ304,1,$E$2+2)),INDEX('입력_구리근무자명단'!$A304:$ZZ304,1,$E$2+2),IFERROR(DATE(VALUE(LEFT(INDEX('입력_구리근무자명단'!$A304:$ZZ304,1,$E$2+2),4)),VALUE(MID(INDEX('입력_구리근무자명단'!$A304:$ZZ304,1,$E$2+2),6,2)),VALUE(MID(INDEX('입력_구리근무자명단'!$A304:$ZZ304,1,$E$2+2),9,2))),-1))))</f>
        <v/>
      </c>
      <c r="T306">
        <f>IF($R306="","",IF(INDEX('입력_구리근무자명단'!$A304:$ZZ304,1,$E$2+3)&amp;""="",EOMONTH(급여기준월,0),IF(ISNUMBER(INDEX('입력_구리근무자명단'!$A304:$ZZ304,1,$E$2+3)),INDEX('입력_구리근무자명단'!$A304:$ZZ304,1,$E$2+3),IFERROR(DATE(VALUE(LEFT(INDEX('입력_구리근무자명단'!$A304:$ZZ304,1,$E$2+3),4)),VALUE(MID(INDEX('입력_구리근무자명단'!$A304:$ZZ304,1,$E$2+3),6,2)),VALUE(MID(INDEX('입력_구리근무자명단'!$A304:$ZZ304,1,$E$2+3),9,2))),-1))))</f>
        <v/>
      </c>
      <c r="U306">
        <f>IF($R306="","",IF(OR($S306&lt;0,$T306&lt;0),0,MAX(0,MIN($T306,EOMONTH(급여기준월,0))-MAX($S306,급여기준월)+1)))</f>
        <v/>
      </c>
      <c r="V306">
        <f>IF($R306="","",TRIM(INDEX('입력_구리근무자명단'!$A304:$ZZ304,1,$E$2+5)&amp;""))</f>
        <v/>
      </c>
      <c r="W306">
        <f>IF(ISNUMBER(SEARCH("구리독자",$V306)),"구리독자","")</f>
        <v/>
      </c>
      <c r="X306">
        <f>IF($R306="","",$R306&amp;"|"&amp;IF(OR($Q306="인턴",ISNUMBER(SEARCH("수련교육부",$P306))),"인턴",$P306))</f>
        <v/>
      </c>
      <c r="Y306">
        <f>IF($R306="","",IF(COUNTIF(명단표[이름|과],$X306)=1,"명단 일치",IF(AND(COUNTIF(명단표[이름|과],$X306)=0,COUNTIF(명단표[이름],$R306)=1),"명단 일치(이름만, 과 다름)",IF(COUNTIF(명단표[이름],$R306)=0,IF(COUNTIF(기본자료표[이름],$R306)&gt;0,"명단에 없음(기본자료에는 있음)","명단에 없음"),"동명이인 확인"))))</f>
        <v/>
      </c>
      <c r="Z306">
        <f>IF($R306="","",IF($S306&lt;0,"⚠"&amp;INDEX('입력_구리근무자명단'!$A304:$ZZ304,1,$E$2+2),TEXT($S306,"yyyy-mm-dd")))</f>
        <v/>
      </c>
      <c r="AA306">
        <f>IF($R306="","",IF($T306&lt;0,"⚠"&amp;INDEX('입력_구리근무자명단'!$A304:$ZZ304,1,$E$2+3),TEXT($T306,"yyyy-mm-dd")))</f>
        <v/>
      </c>
      <c r="AB306">
        <f>AB305+IF($R306="",0,1)</f>
        <v/>
      </c>
      <c r="AC306">
        <f>IF($R306="","",$AB306)</f>
        <v/>
      </c>
    </row>
    <row r="307">
      <c r="A307">
        <f>IFERROR(INDEX($O$6:$O$1505,MATCH(302,$AC$6:$AC$1505,0)),"")</f>
        <v/>
      </c>
      <c r="B307">
        <f>IF(ISNUMBER($A307),INDEX($P$6:$P$1505,$A307-3),"")</f>
        <v/>
      </c>
      <c r="C307">
        <f>IF(ISNUMBER($A307),INDEX($Q$6:$Q$1505,$A307-3),"")</f>
        <v/>
      </c>
      <c r="D307">
        <f>IF(ISNUMBER($A307),INDEX($R$6:$R$1505,$A307-3),"")</f>
        <v/>
      </c>
      <c r="E307">
        <f>IF(ISNUMBER($A307),$G$2,"")</f>
        <v/>
      </c>
      <c r="F307">
        <f>IF(ISNUMBER($A307),INDEX($Z$6:$Z$1505,$A307-3),"")</f>
        <v/>
      </c>
      <c r="G307">
        <f>IF(ISNUMBER($A307),INDEX($AA$6:$AA$1505,$A307-3),"")</f>
        <v/>
      </c>
      <c r="H307">
        <f>IF(ISNUMBER($A307),INDEX($U$6:$U$1505,$A307-3),"")</f>
        <v/>
      </c>
      <c r="I307">
        <f>IF(ISNUMBER($A307),INDEX($V$6:$V$1505,$A307-3),"")</f>
        <v/>
      </c>
      <c r="J307">
        <f>IF(ISNUMBER($A307),INDEX($W$6:$W$1505,$A307-3),"")</f>
        <v/>
      </c>
      <c r="K307">
        <f>IF(ISNUMBER($A307),INDEX($X$6:$X$1505,$A307-3),"")</f>
        <v/>
      </c>
      <c r="L307">
        <f>IF(ISNUMBER($A307),INDEX($Y$6:$Y$1505,$A307-3),"")</f>
        <v/>
      </c>
      <c r="O307">
        <f>305</f>
        <v/>
      </c>
      <c r="P307">
        <f>IF(TRIM('입력_구리근무자명단'!$A305&amp;"")&lt;&gt;"",TRIM('입력_구리근무자명단'!$A305&amp;""),P306)</f>
        <v/>
      </c>
      <c r="Q307">
        <f>'입력_구리근무자명단'!$B305&amp;""</f>
        <v/>
      </c>
      <c r="R307">
        <f>IF($E$2="","",TRIM(INDEX('입력_구리근무자명단'!$A305:$ZZ305,1,$E$2+IF($G$2="확정",1,0))&amp;""))</f>
        <v/>
      </c>
      <c r="S307">
        <f>IF($R307="","",IF(INDEX('입력_구리근무자명단'!$A305:$ZZ305,1,$E$2+2)&amp;""="",급여기준월,IF(ISNUMBER(INDEX('입력_구리근무자명단'!$A305:$ZZ305,1,$E$2+2)),INDEX('입력_구리근무자명단'!$A305:$ZZ305,1,$E$2+2),IFERROR(DATE(VALUE(LEFT(INDEX('입력_구리근무자명단'!$A305:$ZZ305,1,$E$2+2),4)),VALUE(MID(INDEX('입력_구리근무자명단'!$A305:$ZZ305,1,$E$2+2),6,2)),VALUE(MID(INDEX('입력_구리근무자명단'!$A305:$ZZ305,1,$E$2+2),9,2))),-1))))</f>
        <v/>
      </c>
      <c r="T307">
        <f>IF($R307="","",IF(INDEX('입력_구리근무자명단'!$A305:$ZZ305,1,$E$2+3)&amp;""="",EOMONTH(급여기준월,0),IF(ISNUMBER(INDEX('입력_구리근무자명단'!$A305:$ZZ305,1,$E$2+3)),INDEX('입력_구리근무자명단'!$A305:$ZZ305,1,$E$2+3),IFERROR(DATE(VALUE(LEFT(INDEX('입력_구리근무자명단'!$A305:$ZZ305,1,$E$2+3),4)),VALUE(MID(INDEX('입력_구리근무자명단'!$A305:$ZZ305,1,$E$2+3),6,2)),VALUE(MID(INDEX('입력_구리근무자명단'!$A305:$ZZ305,1,$E$2+3),9,2))),-1))))</f>
        <v/>
      </c>
      <c r="U307">
        <f>IF($R307="","",IF(OR($S307&lt;0,$T307&lt;0),0,MAX(0,MIN($T307,EOMONTH(급여기준월,0))-MAX($S307,급여기준월)+1)))</f>
        <v/>
      </c>
      <c r="V307">
        <f>IF($R307="","",TRIM(INDEX('입력_구리근무자명단'!$A305:$ZZ305,1,$E$2+5)&amp;""))</f>
        <v/>
      </c>
      <c r="W307">
        <f>IF(ISNUMBER(SEARCH("구리독자",$V307)),"구리독자","")</f>
        <v/>
      </c>
      <c r="X307">
        <f>IF($R307="","",$R307&amp;"|"&amp;IF(OR($Q307="인턴",ISNUMBER(SEARCH("수련교육부",$P307))),"인턴",$P307))</f>
        <v/>
      </c>
      <c r="Y307">
        <f>IF($R307="","",IF(COUNTIF(명단표[이름|과],$X307)=1,"명단 일치",IF(AND(COUNTIF(명단표[이름|과],$X307)=0,COUNTIF(명단표[이름],$R307)=1),"명단 일치(이름만, 과 다름)",IF(COUNTIF(명단표[이름],$R307)=0,IF(COUNTIF(기본자료표[이름],$R307)&gt;0,"명단에 없음(기본자료에는 있음)","명단에 없음"),"동명이인 확인"))))</f>
        <v/>
      </c>
      <c r="Z307">
        <f>IF($R307="","",IF($S307&lt;0,"⚠"&amp;INDEX('입력_구리근무자명단'!$A305:$ZZ305,1,$E$2+2),TEXT($S307,"yyyy-mm-dd")))</f>
        <v/>
      </c>
      <c r="AA307">
        <f>IF($R307="","",IF($T307&lt;0,"⚠"&amp;INDEX('입력_구리근무자명단'!$A305:$ZZ305,1,$E$2+3),TEXT($T307,"yyyy-mm-dd")))</f>
        <v/>
      </c>
      <c r="AB307">
        <f>AB306+IF($R307="",0,1)</f>
        <v/>
      </c>
      <c r="AC307">
        <f>IF($R307="","",$AB307)</f>
        <v/>
      </c>
    </row>
    <row r="308">
      <c r="A308">
        <f>IFERROR(INDEX($O$6:$O$1505,MATCH(303,$AC$6:$AC$1505,0)),"")</f>
        <v/>
      </c>
      <c r="B308">
        <f>IF(ISNUMBER($A308),INDEX($P$6:$P$1505,$A308-3),"")</f>
        <v/>
      </c>
      <c r="C308">
        <f>IF(ISNUMBER($A308),INDEX($Q$6:$Q$1505,$A308-3),"")</f>
        <v/>
      </c>
      <c r="D308">
        <f>IF(ISNUMBER($A308),INDEX($R$6:$R$1505,$A308-3),"")</f>
        <v/>
      </c>
      <c r="E308">
        <f>IF(ISNUMBER($A308),$G$2,"")</f>
        <v/>
      </c>
      <c r="F308">
        <f>IF(ISNUMBER($A308),INDEX($Z$6:$Z$1505,$A308-3),"")</f>
        <v/>
      </c>
      <c r="G308">
        <f>IF(ISNUMBER($A308),INDEX($AA$6:$AA$1505,$A308-3),"")</f>
        <v/>
      </c>
      <c r="H308">
        <f>IF(ISNUMBER($A308),INDEX($U$6:$U$1505,$A308-3),"")</f>
        <v/>
      </c>
      <c r="I308">
        <f>IF(ISNUMBER($A308),INDEX($V$6:$V$1505,$A308-3),"")</f>
        <v/>
      </c>
      <c r="J308">
        <f>IF(ISNUMBER($A308),INDEX($W$6:$W$1505,$A308-3),"")</f>
        <v/>
      </c>
      <c r="K308">
        <f>IF(ISNUMBER($A308),INDEX($X$6:$X$1505,$A308-3),"")</f>
        <v/>
      </c>
      <c r="L308">
        <f>IF(ISNUMBER($A308),INDEX($Y$6:$Y$1505,$A308-3),"")</f>
        <v/>
      </c>
      <c r="O308">
        <f>306</f>
        <v/>
      </c>
      <c r="P308">
        <f>IF(TRIM('입력_구리근무자명단'!$A306&amp;"")&lt;&gt;"",TRIM('입력_구리근무자명단'!$A306&amp;""),P307)</f>
        <v/>
      </c>
      <c r="Q308">
        <f>'입력_구리근무자명단'!$B306&amp;""</f>
        <v/>
      </c>
      <c r="R308">
        <f>IF($E$2="","",TRIM(INDEX('입력_구리근무자명단'!$A306:$ZZ306,1,$E$2+IF($G$2="확정",1,0))&amp;""))</f>
        <v/>
      </c>
      <c r="S308">
        <f>IF($R308="","",IF(INDEX('입력_구리근무자명단'!$A306:$ZZ306,1,$E$2+2)&amp;""="",급여기준월,IF(ISNUMBER(INDEX('입력_구리근무자명단'!$A306:$ZZ306,1,$E$2+2)),INDEX('입력_구리근무자명단'!$A306:$ZZ306,1,$E$2+2),IFERROR(DATE(VALUE(LEFT(INDEX('입력_구리근무자명단'!$A306:$ZZ306,1,$E$2+2),4)),VALUE(MID(INDEX('입력_구리근무자명단'!$A306:$ZZ306,1,$E$2+2),6,2)),VALUE(MID(INDEX('입력_구리근무자명단'!$A306:$ZZ306,1,$E$2+2),9,2))),-1))))</f>
        <v/>
      </c>
      <c r="T308">
        <f>IF($R308="","",IF(INDEX('입력_구리근무자명단'!$A306:$ZZ306,1,$E$2+3)&amp;""="",EOMONTH(급여기준월,0),IF(ISNUMBER(INDEX('입력_구리근무자명단'!$A306:$ZZ306,1,$E$2+3)),INDEX('입력_구리근무자명단'!$A306:$ZZ306,1,$E$2+3),IFERROR(DATE(VALUE(LEFT(INDEX('입력_구리근무자명단'!$A306:$ZZ306,1,$E$2+3),4)),VALUE(MID(INDEX('입력_구리근무자명단'!$A306:$ZZ306,1,$E$2+3),6,2)),VALUE(MID(INDEX('입력_구리근무자명단'!$A306:$ZZ306,1,$E$2+3),9,2))),-1))))</f>
        <v/>
      </c>
      <c r="U308">
        <f>IF($R308="","",IF(OR($S308&lt;0,$T308&lt;0),0,MAX(0,MIN($T308,EOMONTH(급여기준월,0))-MAX($S308,급여기준월)+1)))</f>
        <v/>
      </c>
      <c r="V308">
        <f>IF($R308="","",TRIM(INDEX('입력_구리근무자명단'!$A306:$ZZ306,1,$E$2+5)&amp;""))</f>
        <v/>
      </c>
      <c r="W308">
        <f>IF(ISNUMBER(SEARCH("구리독자",$V308)),"구리독자","")</f>
        <v/>
      </c>
      <c r="X308">
        <f>IF($R308="","",$R308&amp;"|"&amp;IF(OR($Q308="인턴",ISNUMBER(SEARCH("수련교육부",$P308))),"인턴",$P308))</f>
        <v/>
      </c>
      <c r="Y308">
        <f>IF($R308="","",IF(COUNTIF(명단표[이름|과],$X308)=1,"명단 일치",IF(AND(COUNTIF(명단표[이름|과],$X308)=0,COUNTIF(명단표[이름],$R308)=1),"명단 일치(이름만, 과 다름)",IF(COUNTIF(명단표[이름],$R308)=0,IF(COUNTIF(기본자료표[이름],$R308)&gt;0,"명단에 없음(기본자료에는 있음)","명단에 없음"),"동명이인 확인"))))</f>
        <v/>
      </c>
      <c r="Z308">
        <f>IF($R308="","",IF($S308&lt;0,"⚠"&amp;INDEX('입력_구리근무자명단'!$A306:$ZZ306,1,$E$2+2),TEXT($S308,"yyyy-mm-dd")))</f>
        <v/>
      </c>
      <c r="AA308">
        <f>IF($R308="","",IF($T308&lt;0,"⚠"&amp;INDEX('입력_구리근무자명단'!$A306:$ZZ306,1,$E$2+3),TEXT($T308,"yyyy-mm-dd")))</f>
        <v/>
      </c>
      <c r="AB308">
        <f>AB307+IF($R308="",0,1)</f>
        <v/>
      </c>
      <c r="AC308">
        <f>IF($R308="","",$AB308)</f>
        <v/>
      </c>
    </row>
    <row r="309">
      <c r="A309">
        <f>IFERROR(INDEX($O$6:$O$1505,MATCH(304,$AC$6:$AC$1505,0)),"")</f>
        <v/>
      </c>
      <c r="B309">
        <f>IF(ISNUMBER($A309),INDEX($P$6:$P$1505,$A309-3),"")</f>
        <v/>
      </c>
      <c r="C309">
        <f>IF(ISNUMBER($A309),INDEX($Q$6:$Q$1505,$A309-3),"")</f>
        <v/>
      </c>
      <c r="D309">
        <f>IF(ISNUMBER($A309),INDEX($R$6:$R$1505,$A309-3),"")</f>
        <v/>
      </c>
      <c r="E309">
        <f>IF(ISNUMBER($A309),$G$2,"")</f>
        <v/>
      </c>
      <c r="F309">
        <f>IF(ISNUMBER($A309),INDEX($Z$6:$Z$1505,$A309-3),"")</f>
        <v/>
      </c>
      <c r="G309">
        <f>IF(ISNUMBER($A309),INDEX($AA$6:$AA$1505,$A309-3),"")</f>
        <v/>
      </c>
      <c r="H309">
        <f>IF(ISNUMBER($A309),INDEX($U$6:$U$1505,$A309-3),"")</f>
        <v/>
      </c>
      <c r="I309">
        <f>IF(ISNUMBER($A309),INDEX($V$6:$V$1505,$A309-3),"")</f>
        <v/>
      </c>
      <c r="J309">
        <f>IF(ISNUMBER($A309),INDEX($W$6:$W$1505,$A309-3),"")</f>
        <v/>
      </c>
      <c r="K309">
        <f>IF(ISNUMBER($A309),INDEX($X$6:$X$1505,$A309-3),"")</f>
        <v/>
      </c>
      <c r="L309">
        <f>IF(ISNUMBER($A309),INDEX($Y$6:$Y$1505,$A309-3),"")</f>
        <v/>
      </c>
      <c r="O309">
        <f>307</f>
        <v/>
      </c>
      <c r="P309">
        <f>IF(TRIM('입력_구리근무자명단'!$A307&amp;"")&lt;&gt;"",TRIM('입력_구리근무자명단'!$A307&amp;""),P308)</f>
        <v/>
      </c>
      <c r="Q309">
        <f>'입력_구리근무자명단'!$B307&amp;""</f>
        <v/>
      </c>
      <c r="R309">
        <f>IF($E$2="","",TRIM(INDEX('입력_구리근무자명단'!$A307:$ZZ307,1,$E$2+IF($G$2="확정",1,0))&amp;""))</f>
        <v/>
      </c>
      <c r="S309">
        <f>IF($R309="","",IF(INDEX('입력_구리근무자명단'!$A307:$ZZ307,1,$E$2+2)&amp;""="",급여기준월,IF(ISNUMBER(INDEX('입력_구리근무자명단'!$A307:$ZZ307,1,$E$2+2)),INDEX('입력_구리근무자명단'!$A307:$ZZ307,1,$E$2+2),IFERROR(DATE(VALUE(LEFT(INDEX('입력_구리근무자명단'!$A307:$ZZ307,1,$E$2+2),4)),VALUE(MID(INDEX('입력_구리근무자명단'!$A307:$ZZ307,1,$E$2+2),6,2)),VALUE(MID(INDEX('입력_구리근무자명단'!$A307:$ZZ307,1,$E$2+2),9,2))),-1))))</f>
        <v/>
      </c>
      <c r="T309">
        <f>IF($R309="","",IF(INDEX('입력_구리근무자명단'!$A307:$ZZ307,1,$E$2+3)&amp;""="",EOMONTH(급여기준월,0),IF(ISNUMBER(INDEX('입력_구리근무자명단'!$A307:$ZZ307,1,$E$2+3)),INDEX('입력_구리근무자명단'!$A307:$ZZ307,1,$E$2+3),IFERROR(DATE(VALUE(LEFT(INDEX('입력_구리근무자명단'!$A307:$ZZ307,1,$E$2+3),4)),VALUE(MID(INDEX('입력_구리근무자명단'!$A307:$ZZ307,1,$E$2+3),6,2)),VALUE(MID(INDEX('입력_구리근무자명단'!$A307:$ZZ307,1,$E$2+3),9,2))),-1))))</f>
        <v/>
      </c>
      <c r="U309">
        <f>IF($R309="","",IF(OR($S309&lt;0,$T309&lt;0),0,MAX(0,MIN($T309,EOMONTH(급여기준월,0))-MAX($S309,급여기준월)+1)))</f>
        <v/>
      </c>
      <c r="V309">
        <f>IF($R309="","",TRIM(INDEX('입력_구리근무자명단'!$A307:$ZZ307,1,$E$2+5)&amp;""))</f>
        <v/>
      </c>
      <c r="W309">
        <f>IF(ISNUMBER(SEARCH("구리독자",$V309)),"구리독자","")</f>
        <v/>
      </c>
      <c r="X309">
        <f>IF($R309="","",$R309&amp;"|"&amp;IF(OR($Q309="인턴",ISNUMBER(SEARCH("수련교육부",$P309))),"인턴",$P309))</f>
        <v/>
      </c>
      <c r="Y309">
        <f>IF($R309="","",IF(COUNTIF(명단표[이름|과],$X309)=1,"명단 일치",IF(AND(COUNTIF(명단표[이름|과],$X309)=0,COUNTIF(명단표[이름],$R309)=1),"명단 일치(이름만, 과 다름)",IF(COUNTIF(명단표[이름],$R309)=0,IF(COUNTIF(기본자료표[이름],$R309)&gt;0,"명단에 없음(기본자료에는 있음)","명단에 없음"),"동명이인 확인"))))</f>
        <v/>
      </c>
      <c r="Z309">
        <f>IF($R309="","",IF($S309&lt;0,"⚠"&amp;INDEX('입력_구리근무자명단'!$A307:$ZZ307,1,$E$2+2),TEXT($S309,"yyyy-mm-dd")))</f>
        <v/>
      </c>
      <c r="AA309">
        <f>IF($R309="","",IF($T309&lt;0,"⚠"&amp;INDEX('입력_구리근무자명단'!$A307:$ZZ307,1,$E$2+3),TEXT($T309,"yyyy-mm-dd")))</f>
        <v/>
      </c>
      <c r="AB309">
        <f>AB308+IF($R309="",0,1)</f>
        <v/>
      </c>
      <c r="AC309">
        <f>IF($R309="","",$AB309)</f>
        <v/>
      </c>
    </row>
    <row r="310">
      <c r="A310">
        <f>IFERROR(INDEX($O$6:$O$1505,MATCH(305,$AC$6:$AC$1505,0)),"")</f>
        <v/>
      </c>
      <c r="B310">
        <f>IF(ISNUMBER($A310),INDEX($P$6:$P$1505,$A310-3),"")</f>
        <v/>
      </c>
      <c r="C310">
        <f>IF(ISNUMBER($A310),INDEX($Q$6:$Q$1505,$A310-3),"")</f>
        <v/>
      </c>
      <c r="D310">
        <f>IF(ISNUMBER($A310),INDEX($R$6:$R$1505,$A310-3),"")</f>
        <v/>
      </c>
      <c r="E310">
        <f>IF(ISNUMBER($A310),$G$2,"")</f>
        <v/>
      </c>
      <c r="F310">
        <f>IF(ISNUMBER($A310),INDEX($Z$6:$Z$1505,$A310-3),"")</f>
        <v/>
      </c>
      <c r="G310">
        <f>IF(ISNUMBER($A310),INDEX($AA$6:$AA$1505,$A310-3),"")</f>
        <v/>
      </c>
      <c r="H310">
        <f>IF(ISNUMBER($A310),INDEX($U$6:$U$1505,$A310-3),"")</f>
        <v/>
      </c>
      <c r="I310">
        <f>IF(ISNUMBER($A310),INDEX($V$6:$V$1505,$A310-3),"")</f>
        <v/>
      </c>
      <c r="J310">
        <f>IF(ISNUMBER($A310),INDEX($W$6:$W$1505,$A310-3),"")</f>
        <v/>
      </c>
      <c r="K310">
        <f>IF(ISNUMBER($A310),INDEX($X$6:$X$1505,$A310-3),"")</f>
        <v/>
      </c>
      <c r="L310">
        <f>IF(ISNUMBER($A310),INDEX($Y$6:$Y$1505,$A310-3),"")</f>
        <v/>
      </c>
      <c r="O310">
        <f>308</f>
        <v/>
      </c>
      <c r="P310">
        <f>IF(TRIM('입력_구리근무자명단'!$A308&amp;"")&lt;&gt;"",TRIM('입력_구리근무자명단'!$A308&amp;""),P309)</f>
        <v/>
      </c>
      <c r="Q310">
        <f>'입력_구리근무자명단'!$B308&amp;""</f>
        <v/>
      </c>
      <c r="R310">
        <f>IF($E$2="","",TRIM(INDEX('입력_구리근무자명단'!$A308:$ZZ308,1,$E$2+IF($G$2="확정",1,0))&amp;""))</f>
        <v/>
      </c>
      <c r="S310">
        <f>IF($R310="","",IF(INDEX('입력_구리근무자명단'!$A308:$ZZ308,1,$E$2+2)&amp;""="",급여기준월,IF(ISNUMBER(INDEX('입력_구리근무자명단'!$A308:$ZZ308,1,$E$2+2)),INDEX('입력_구리근무자명단'!$A308:$ZZ308,1,$E$2+2),IFERROR(DATE(VALUE(LEFT(INDEX('입력_구리근무자명단'!$A308:$ZZ308,1,$E$2+2),4)),VALUE(MID(INDEX('입력_구리근무자명단'!$A308:$ZZ308,1,$E$2+2),6,2)),VALUE(MID(INDEX('입력_구리근무자명단'!$A308:$ZZ308,1,$E$2+2),9,2))),-1))))</f>
        <v/>
      </c>
      <c r="T310">
        <f>IF($R310="","",IF(INDEX('입력_구리근무자명단'!$A308:$ZZ308,1,$E$2+3)&amp;""="",EOMONTH(급여기준월,0),IF(ISNUMBER(INDEX('입력_구리근무자명단'!$A308:$ZZ308,1,$E$2+3)),INDEX('입력_구리근무자명단'!$A308:$ZZ308,1,$E$2+3),IFERROR(DATE(VALUE(LEFT(INDEX('입력_구리근무자명단'!$A308:$ZZ308,1,$E$2+3),4)),VALUE(MID(INDEX('입력_구리근무자명단'!$A308:$ZZ308,1,$E$2+3),6,2)),VALUE(MID(INDEX('입력_구리근무자명단'!$A308:$ZZ308,1,$E$2+3),9,2))),-1))))</f>
        <v/>
      </c>
      <c r="U310">
        <f>IF($R310="","",IF(OR($S310&lt;0,$T310&lt;0),0,MAX(0,MIN($T310,EOMONTH(급여기준월,0))-MAX($S310,급여기준월)+1)))</f>
        <v/>
      </c>
      <c r="V310">
        <f>IF($R310="","",TRIM(INDEX('입력_구리근무자명단'!$A308:$ZZ308,1,$E$2+5)&amp;""))</f>
        <v/>
      </c>
      <c r="W310">
        <f>IF(ISNUMBER(SEARCH("구리독자",$V310)),"구리독자","")</f>
        <v/>
      </c>
      <c r="X310">
        <f>IF($R310="","",$R310&amp;"|"&amp;IF(OR($Q310="인턴",ISNUMBER(SEARCH("수련교육부",$P310))),"인턴",$P310))</f>
        <v/>
      </c>
      <c r="Y310">
        <f>IF($R310="","",IF(COUNTIF(명단표[이름|과],$X310)=1,"명단 일치",IF(AND(COUNTIF(명단표[이름|과],$X310)=0,COUNTIF(명단표[이름],$R310)=1),"명단 일치(이름만, 과 다름)",IF(COUNTIF(명단표[이름],$R310)=0,IF(COUNTIF(기본자료표[이름],$R310)&gt;0,"명단에 없음(기본자료에는 있음)","명단에 없음"),"동명이인 확인"))))</f>
        <v/>
      </c>
      <c r="Z310">
        <f>IF($R310="","",IF($S310&lt;0,"⚠"&amp;INDEX('입력_구리근무자명단'!$A308:$ZZ308,1,$E$2+2),TEXT($S310,"yyyy-mm-dd")))</f>
        <v/>
      </c>
      <c r="AA310">
        <f>IF($R310="","",IF($T310&lt;0,"⚠"&amp;INDEX('입력_구리근무자명단'!$A308:$ZZ308,1,$E$2+3),TEXT($T310,"yyyy-mm-dd")))</f>
        <v/>
      </c>
      <c r="AB310">
        <f>AB309+IF($R310="",0,1)</f>
        <v/>
      </c>
      <c r="AC310">
        <f>IF($R310="","",$AB310)</f>
        <v/>
      </c>
    </row>
    <row r="311">
      <c r="A311">
        <f>IFERROR(INDEX($O$6:$O$1505,MATCH(306,$AC$6:$AC$1505,0)),"")</f>
        <v/>
      </c>
      <c r="B311">
        <f>IF(ISNUMBER($A311),INDEX($P$6:$P$1505,$A311-3),"")</f>
        <v/>
      </c>
      <c r="C311">
        <f>IF(ISNUMBER($A311),INDEX($Q$6:$Q$1505,$A311-3),"")</f>
        <v/>
      </c>
      <c r="D311">
        <f>IF(ISNUMBER($A311),INDEX($R$6:$R$1505,$A311-3),"")</f>
        <v/>
      </c>
      <c r="E311">
        <f>IF(ISNUMBER($A311),$G$2,"")</f>
        <v/>
      </c>
      <c r="F311">
        <f>IF(ISNUMBER($A311),INDEX($Z$6:$Z$1505,$A311-3),"")</f>
        <v/>
      </c>
      <c r="G311">
        <f>IF(ISNUMBER($A311),INDEX($AA$6:$AA$1505,$A311-3),"")</f>
        <v/>
      </c>
      <c r="H311">
        <f>IF(ISNUMBER($A311),INDEX($U$6:$U$1505,$A311-3),"")</f>
        <v/>
      </c>
      <c r="I311">
        <f>IF(ISNUMBER($A311),INDEX($V$6:$V$1505,$A311-3),"")</f>
        <v/>
      </c>
      <c r="J311">
        <f>IF(ISNUMBER($A311),INDEX($W$6:$W$1505,$A311-3),"")</f>
        <v/>
      </c>
      <c r="K311">
        <f>IF(ISNUMBER($A311),INDEX($X$6:$X$1505,$A311-3),"")</f>
        <v/>
      </c>
      <c r="L311">
        <f>IF(ISNUMBER($A311),INDEX($Y$6:$Y$1505,$A311-3),"")</f>
        <v/>
      </c>
      <c r="O311">
        <f>309</f>
        <v/>
      </c>
      <c r="P311">
        <f>IF(TRIM('입력_구리근무자명단'!$A309&amp;"")&lt;&gt;"",TRIM('입력_구리근무자명단'!$A309&amp;""),P310)</f>
        <v/>
      </c>
      <c r="Q311">
        <f>'입력_구리근무자명단'!$B309&amp;""</f>
        <v/>
      </c>
      <c r="R311">
        <f>IF($E$2="","",TRIM(INDEX('입력_구리근무자명단'!$A309:$ZZ309,1,$E$2+IF($G$2="확정",1,0))&amp;""))</f>
        <v/>
      </c>
      <c r="S311">
        <f>IF($R311="","",IF(INDEX('입력_구리근무자명단'!$A309:$ZZ309,1,$E$2+2)&amp;""="",급여기준월,IF(ISNUMBER(INDEX('입력_구리근무자명단'!$A309:$ZZ309,1,$E$2+2)),INDEX('입력_구리근무자명단'!$A309:$ZZ309,1,$E$2+2),IFERROR(DATE(VALUE(LEFT(INDEX('입력_구리근무자명단'!$A309:$ZZ309,1,$E$2+2),4)),VALUE(MID(INDEX('입력_구리근무자명단'!$A309:$ZZ309,1,$E$2+2),6,2)),VALUE(MID(INDEX('입력_구리근무자명단'!$A309:$ZZ309,1,$E$2+2),9,2))),-1))))</f>
        <v/>
      </c>
      <c r="T311">
        <f>IF($R311="","",IF(INDEX('입력_구리근무자명단'!$A309:$ZZ309,1,$E$2+3)&amp;""="",EOMONTH(급여기준월,0),IF(ISNUMBER(INDEX('입력_구리근무자명단'!$A309:$ZZ309,1,$E$2+3)),INDEX('입력_구리근무자명단'!$A309:$ZZ309,1,$E$2+3),IFERROR(DATE(VALUE(LEFT(INDEX('입력_구리근무자명단'!$A309:$ZZ309,1,$E$2+3),4)),VALUE(MID(INDEX('입력_구리근무자명단'!$A309:$ZZ309,1,$E$2+3),6,2)),VALUE(MID(INDEX('입력_구리근무자명단'!$A309:$ZZ309,1,$E$2+3),9,2))),-1))))</f>
        <v/>
      </c>
      <c r="U311">
        <f>IF($R311="","",IF(OR($S311&lt;0,$T311&lt;0),0,MAX(0,MIN($T311,EOMONTH(급여기준월,0))-MAX($S311,급여기준월)+1)))</f>
        <v/>
      </c>
      <c r="V311">
        <f>IF($R311="","",TRIM(INDEX('입력_구리근무자명단'!$A309:$ZZ309,1,$E$2+5)&amp;""))</f>
        <v/>
      </c>
      <c r="W311">
        <f>IF(ISNUMBER(SEARCH("구리독자",$V311)),"구리독자","")</f>
        <v/>
      </c>
      <c r="X311">
        <f>IF($R311="","",$R311&amp;"|"&amp;IF(OR($Q311="인턴",ISNUMBER(SEARCH("수련교육부",$P311))),"인턴",$P311))</f>
        <v/>
      </c>
      <c r="Y311">
        <f>IF($R311="","",IF(COUNTIF(명단표[이름|과],$X311)=1,"명단 일치",IF(AND(COUNTIF(명단표[이름|과],$X311)=0,COUNTIF(명단표[이름],$R311)=1),"명단 일치(이름만, 과 다름)",IF(COUNTIF(명단표[이름],$R311)=0,IF(COUNTIF(기본자료표[이름],$R311)&gt;0,"명단에 없음(기본자료에는 있음)","명단에 없음"),"동명이인 확인"))))</f>
        <v/>
      </c>
      <c r="Z311">
        <f>IF($R311="","",IF($S311&lt;0,"⚠"&amp;INDEX('입력_구리근무자명단'!$A309:$ZZ309,1,$E$2+2),TEXT($S311,"yyyy-mm-dd")))</f>
        <v/>
      </c>
      <c r="AA311">
        <f>IF($R311="","",IF($T311&lt;0,"⚠"&amp;INDEX('입력_구리근무자명단'!$A309:$ZZ309,1,$E$2+3),TEXT($T311,"yyyy-mm-dd")))</f>
        <v/>
      </c>
      <c r="AB311">
        <f>AB310+IF($R311="",0,1)</f>
        <v/>
      </c>
      <c r="AC311">
        <f>IF($R311="","",$AB311)</f>
        <v/>
      </c>
    </row>
    <row r="312">
      <c r="A312">
        <f>IFERROR(INDEX($O$6:$O$1505,MATCH(307,$AC$6:$AC$1505,0)),"")</f>
        <v/>
      </c>
      <c r="B312">
        <f>IF(ISNUMBER($A312),INDEX($P$6:$P$1505,$A312-3),"")</f>
        <v/>
      </c>
      <c r="C312">
        <f>IF(ISNUMBER($A312),INDEX($Q$6:$Q$1505,$A312-3),"")</f>
        <v/>
      </c>
      <c r="D312">
        <f>IF(ISNUMBER($A312),INDEX($R$6:$R$1505,$A312-3),"")</f>
        <v/>
      </c>
      <c r="E312">
        <f>IF(ISNUMBER($A312),$G$2,"")</f>
        <v/>
      </c>
      <c r="F312">
        <f>IF(ISNUMBER($A312),INDEX($Z$6:$Z$1505,$A312-3),"")</f>
        <v/>
      </c>
      <c r="G312">
        <f>IF(ISNUMBER($A312),INDEX($AA$6:$AA$1505,$A312-3),"")</f>
        <v/>
      </c>
      <c r="H312">
        <f>IF(ISNUMBER($A312),INDEX($U$6:$U$1505,$A312-3),"")</f>
        <v/>
      </c>
      <c r="I312">
        <f>IF(ISNUMBER($A312),INDEX($V$6:$V$1505,$A312-3),"")</f>
        <v/>
      </c>
      <c r="J312">
        <f>IF(ISNUMBER($A312),INDEX($W$6:$W$1505,$A312-3),"")</f>
        <v/>
      </c>
      <c r="K312">
        <f>IF(ISNUMBER($A312),INDEX($X$6:$X$1505,$A312-3),"")</f>
        <v/>
      </c>
      <c r="L312">
        <f>IF(ISNUMBER($A312),INDEX($Y$6:$Y$1505,$A312-3),"")</f>
        <v/>
      </c>
      <c r="O312">
        <f>310</f>
        <v/>
      </c>
      <c r="P312">
        <f>IF(TRIM('입력_구리근무자명단'!$A310&amp;"")&lt;&gt;"",TRIM('입력_구리근무자명단'!$A310&amp;""),P311)</f>
        <v/>
      </c>
      <c r="Q312">
        <f>'입력_구리근무자명단'!$B310&amp;""</f>
        <v/>
      </c>
      <c r="R312">
        <f>IF($E$2="","",TRIM(INDEX('입력_구리근무자명단'!$A310:$ZZ310,1,$E$2+IF($G$2="확정",1,0))&amp;""))</f>
        <v/>
      </c>
      <c r="S312">
        <f>IF($R312="","",IF(INDEX('입력_구리근무자명단'!$A310:$ZZ310,1,$E$2+2)&amp;""="",급여기준월,IF(ISNUMBER(INDEX('입력_구리근무자명단'!$A310:$ZZ310,1,$E$2+2)),INDEX('입력_구리근무자명단'!$A310:$ZZ310,1,$E$2+2),IFERROR(DATE(VALUE(LEFT(INDEX('입력_구리근무자명단'!$A310:$ZZ310,1,$E$2+2),4)),VALUE(MID(INDEX('입력_구리근무자명단'!$A310:$ZZ310,1,$E$2+2),6,2)),VALUE(MID(INDEX('입력_구리근무자명단'!$A310:$ZZ310,1,$E$2+2),9,2))),-1))))</f>
        <v/>
      </c>
      <c r="T312">
        <f>IF($R312="","",IF(INDEX('입력_구리근무자명단'!$A310:$ZZ310,1,$E$2+3)&amp;""="",EOMONTH(급여기준월,0),IF(ISNUMBER(INDEX('입력_구리근무자명단'!$A310:$ZZ310,1,$E$2+3)),INDEX('입력_구리근무자명단'!$A310:$ZZ310,1,$E$2+3),IFERROR(DATE(VALUE(LEFT(INDEX('입력_구리근무자명단'!$A310:$ZZ310,1,$E$2+3),4)),VALUE(MID(INDEX('입력_구리근무자명단'!$A310:$ZZ310,1,$E$2+3),6,2)),VALUE(MID(INDEX('입력_구리근무자명단'!$A310:$ZZ310,1,$E$2+3),9,2))),-1))))</f>
        <v/>
      </c>
      <c r="U312">
        <f>IF($R312="","",IF(OR($S312&lt;0,$T312&lt;0),0,MAX(0,MIN($T312,EOMONTH(급여기준월,0))-MAX($S312,급여기준월)+1)))</f>
        <v/>
      </c>
      <c r="V312">
        <f>IF($R312="","",TRIM(INDEX('입력_구리근무자명단'!$A310:$ZZ310,1,$E$2+5)&amp;""))</f>
        <v/>
      </c>
      <c r="W312">
        <f>IF(ISNUMBER(SEARCH("구리독자",$V312)),"구리독자","")</f>
        <v/>
      </c>
      <c r="X312">
        <f>IF($R312="","",$R312&amp;"|"&amp;IF(OR($Q312="인턴",ISNUMBER(SEARCH("수련교육부",$P312))),"인턴",$P312))</f>
        <v/>
      </c>
      <c r="Y312">
        <f>IF($R312="","",IF(COUNTIF(명단표[이름|과],$X312)=1,"명단 일치",IF(AND(COUNTIF(명단표[이름|과],$X312)=0,COUNTIF(명단표[이름],$R312)=1),"명단 일치(이름만, 과 다름)",IF(COUNTIF(명단표[이름],$R312)=0,IF(COUNTIF(기본자료표[이름],$R312)&gt;0,"명단에 없음(기본자료에는 있음)","명단에 없음"),"동명이인 확인"))))</f>
        <v/>
      </c>
      <c r="Z312">
        <f>IF($R312="","",IF($S312&lt;0,"⚠"&amp;INDEX('입력_구리근무자명단'!$A310:$ZZ310,1,$E$2+2),TEXT($S312,"yyyy-mm-dd")))</f>
        <v/>
      </c>
      <c r="AA312">
        <f>IF($R312="","",IF($T312&lt;0,"⚠"&amp;INDEX('입력_구리근무자명단'!$A310:$ZZ310,1,$E$2+3),TEXT($T312,"yyyy-mm-dd")))</f>
        <v/>
      </c>
      <c r="AB312">
        <f>AB311+IF($R312="",0,1)</f>
        <v/>
      </c>
      <c r="AC312">
        <f>IF($R312="","",$AB312)</f>
        <v/>
      </c>
    </row>
    <row r="313">
      <c r="A313">
        <f>IFERROR(INDEX($O$6:$O$1505,MATCH(308,$AC$6:$AC$1505,0)),"")</f>
        <v/>
      </c>
      <c r="B313">
        <f>IF(ISNUMBER($A313),INDEX($P$6:$P$1505,$A313-3),"")</f>
        <v/>
      </c>
      <c r="C313">
        <f>IF(ISNUMBER($A313),INDEX($Q$6:$Q$1505,$A313-3),"")</f>
        <v/>
      </c>
      <c r="D313">
        <f>IF(ISNUMBER($A313),INDEX($R$6:$R$1505,$A313-3),"")</f>
        <v/>
      </c>
      <c r="E313">
        <f>IF(ISNUMBER($A313),$G$2,"")</f>
        <v/>
      </c>
      <c r="F313">
        <f>IF(ISNUMBER($A313),INDEX($Z$6:$Z$1505,$A313-3),"")</f>
        <v/>
      </c>
      <c r="G313">
        <f>IF(ISNUMBER($A313),INDEX($AA$6:$AA$1505,$A313-3),"")</f>
        <v/>
      </c>
      <c r="H313">
        <f>IF(ISNUMBER($A313),INDEX($U$6:$U$1505,$A313-3),"")</f>
        <v/>
      </c>
      <c r="I313">
        <f>IF(ISNUMBER($A313),INDEX($V$6:$V$1505,$A313-3),"")</f>
        <v/>
      </c>
      <c r="J313">
        <f>IF(ISNUMBER($A313),INDEX($W$6:$W$1505,$A313-3),"")</f>
        <v/>
      </c>
      <c r="K313">
        <f>IF(ISNUMBER($A313),INDEX($X$6:$X$1505,$A313-3),"")</f>
        <v/>
      </c>
      <c r="L313">
        <f>IF(ISNUMBER($A313),INDEX($Y$6:$Y$1505,$A313-3),"")</f>
        <v/>
      </c>
      <c r="O313">
        <f>311</f>
        <v/>
      </c>
      <c r="P313">
        <f>IF(TRIM('입력_구리근무자명단'!$A311&amp;"")&lt;&gt;"",TRIM('입력_구리근무자명단'!$A311&amp;""),P312)</f>
        <v/>
      </c>
      <c r="Q313">
        <f>'입력_구리근무자명단'!$B311&amp;""</f>
        <v/>
      </c>
      <c r="R313">
        <f>IF($E$2="","",TRIM(INDEX('입력_구리근무자명단'!$A311:$ZZ311,1,$E$2+IF($G$2="확정",1,0))&amp;""))</f>
        <v/>
      </c>
      <c r="S313">
        <f>IF($R313="","",IF(INDEX('입력_구리근무자명단'!$A311:$ZZ311,1,$E$2+2)&amp;""="",급여기준월,IF(ISNUMBER(INDEX('입력_구리근무자명단'!$A311:$ZZ311,1,$E$2+2)),INDEX('입력_구리근무자명단'!$A311:$ZZ311,1,$E$2+2),IFERROR(DATE(VALUE(LEFT(INDEX('입력_구리근무자명단'!$A311:$ZZ311,1,$E$2+2),4)),VALUE(MID(INDEX('입력_구리근무자명단'!$A311:$ZZ311,1,$E$2+2),6,2)),VALUE(MID(INDEX('입력_구리근무자명단'!$A311:$ZZ311,1,$E$2+2),9,2))),-1))))</f>
        <v/>
      </c>
      <c r="T313">
        <f>IF($R313="","",IF(INDEX('입력_구리근무자명단'!$A311:$ZZ311,1,$E$2+3)&amp;""="",EOMONTH(급여기준월,0),IF(ISNUMBER(INDEX('입력_구리근무자명단'!$A311:$ZZ311,1,$E$2+3)),INDEX('입력_구리근무자명단'!$A311:$ZZ311,1,$E$2+3),IFERROR(DATE(VALUE(LEFT(INDEX('입력_구리근무자명단'!$A311:$ZZ311,1,$E$2+3),4)),VALUE(MID(INDEX('입력_구리근무자명단'!$A311:$ZZ311,1,$E$2+3),6,2)),VALUE(MID(INDEX('입력_구리근무자명단'!$A311:$ZZ311,1,$E$2+3),9,2))),-1))))</f>
        <v/>
      </c>
      <c r="U313">
        <f>IF($R313="","",IF(OR($S313&lt;0,$T313&lt;0),0,MAX(0,MIN($T313,EOMONTH(급여기준월,0))-MAX($S313,급여기준월)+1)))</f>
        <v/>
      </c>
      <c r="V313">
        <f>IF($R313="","",TRIM(INDEX('입력_구리근무자명단'!$A311:$ZZ311,1,$E$2+5)&amp;""))</f>
        <v/>
      </c>
      <c r="W313">
        <f>IF(ISNUMBER(SEARCH("구리독자",$V313)),"구리독자","")</f>
        <v/>
      </c>
      <c r="X313">
        <f>IF($R313="","",$R313&amp;"|"&amp;IF(OR($Q313="인턴",ISNUMBER(SEARCH("수련교육부",$P313))),"인턴",$P313))</f>
        <v/>
      </c>
      <c r="Y313">
        <f>IF($R313="","",IF(COUNTIF(명단표[이름|과],$X313)=1,"명단 일치",IF(AND(COUNTIF(명단표[이름|과],$X313)=0,COUNTIF(명단표[이름],$R313)=1),"명단 일치(이름만, 과 다름)",IF(COUNTIF(명단표[이름],$R313)=0,IF(COUNTIF(기본자료표[이름],$R313)&gt;0,"명단에 없음(기본자료에는 있음)","명단에 없음"),"동명이인 확인"))))</f>
        <v/>
      </c>
      <c r="Z313">
        <f>IF($R313="","",IF($S313&lt;0,"⚠"&amp;INDEX('입력_구리근무자명단'!$A311:$ZZ311,1,$E$2+2),TEXT($S313,"yyyy-mm-dd")))</f>
        <v/>
      </c>
      <c r="AA313">
        <f>IF($R313="","",IF($T313&lt;0,"⚠"&amp;INDEX('입력_구리근무자명단'!$A311:$ZZ311,1,$E$2+3),TEXT($T313,"yyyy-mm-dd")))</f>
        <v/>
      </c>
      <c r="AB313">
        <f>AB312+IF($R313="",0,1)</f>
        <v/>
      </c>
      <c r="AC313">
        <f>IF($R313="","",$AB313)</f>
        <v/>
      </c>
    </row>
    <row r="314">
      <c r="A314">
        <f>IFERROR(INDEX($O$6:$O$1505,MATCH(309,$AC$6:$AC$1505,0)),"")</f>
        <v/>
      </c>
      <c r="B314">
        <f>IF(ISNUMBER($A314),INDEX($P$6:$P$1505,$A314-3),"")</f>
        <v/>
      </c>
      <c r="C314">
        <f>IF(ISNUMBER($A314),INDEX($Q$6:$Q$1505,$A314-3),"")</f>
        <v/>
      </c>
      <c r="D314">
        <f>IF(ISNUMBER($A314),INDEX($R$6:$R$1505,$A314-3),"")</f>
        <v/>
      </c>
      <c r="E314">
        <f>IF(ISNUMBER($A314),$G$2,"")</f>
        <v/>
      </c>
      <c r="F314">
        <f>IF(ISNUMBER($A314),INDEX($Z$6:$Z$1505,$A314-3),"")</f>
        <v/>
      </c>
      <c r="G314">
        <f>IF(ISNUMBER($A314),INDEX($AA$6:$AA$1505,$A314-3),"")</f>
        <v/>
      </c>
      <c r="H314">
        <f>IF(ISNUMBER($A314),INDEX($U$6:$U$1505,$A314-3),"")</f>
        <v/>
      </c>
      <c r="I314">
        <f>IF(ISNUMBER($A314),INDEX($V$6:$V$1505,$A314-3),"")</f>
        <v/>
      </c>
      <c r="J314">
        <f>IF(ISNUMBER($A314),INDEX($W$6:$W$1505,$A314-3),"")</f>
        <v/>
      </c>
      <c r="K314">
        <f>IF(ISNUMBER($A314),INDEX($X$6:$X$1505,$A314-3),"")</f>
        <v/>
      </c>
      <c r="L314">
        <f>IF(ISNUMBER($A314),INDEX($Y$6:$Y$1505,$A314-3),"")</f>
        <v/>
      </c>
      <c r="O314">
        <f>312</f>
        <v/>
      </c>
      <c r="P314">
        <f>IF(TRIM('입력_구리근무자명단'!$A312&amp;"")&lt;&gt;"",TRIM('입력_구리근무자명단'!$A312&amp;""),P313)</f>
        <v/>
      </c>
      <c r="Q314">
        <f>'입력_구리근무자명단'!$B312&amp;""</f>
        <v/>
      </c>
      <c r="R314">
        <f>IF($E$2="","",TRIM(INDEX('입력_구리근무자명단'!$A312:$ZZ312,1,$E$2+IF($G$2="확정",1,0))&amp;""))</f>
        <v/>
      </c>
      <c r="S314">
        <f>IF($R314="","",IF(INDEX('입력_구리근무자명단'!$A312:$ZZ312,1,$E$2+2)&amp;""="",급여기준월,IF(ISNUMBER(INDEX('입력_구리근무자명단'!$A312:$ZZ312,1,$E$2+2)),INDEX('입력_구리근무자명단'!$A312:$ZZ312,1,$E$2+2),IFERROR(DATE(VALUE(LEFT(INDEX('입력_구리근무자명단'!$A312:$ZZ312,1,$E$2+2),4)),VALUE(MID(INDEX('입력_구리근무자명단'!$A312:$ZZ312,1,$E$2+2),6,2)),VALUE(MID(INDEX('입력_구리근무자명단'!$A312:$ZZ312,1,$E$2+2),9,2))),-1))))</f>
        <v/>
      </c>
      <c r="T314">
        <f>IF($R314="","",IF(INDEX('입력_구리근무자명단'!$A312:$ZZ312,1,$E$2+3)&amp;""="",EOMONTH(급여기준월,0),IF(ISNUMBER(INDEX('입력_구리근무자명단'!$A312:$ZZ312,1,$E$2+3)),INDEX('입력_구리근무자명단'!$A312:$ZZ312,1,$E$2+3),IFERROR(DATE(VALUE(LEFT(INDEX('입력_구리근무자명단'!$A312:$ZZ312,1,$E$2+3),4)),VALUE(MID(INDEX('입력_구리근무자명단'!$A312:$ZZ312,1,$E$2+3),6,2)),VALUE(MID(INDEX('입력_구리근무자명단'!$A312:$ZZ312,1,$E$2+3),9,2))),-1))))</f>
        <v/>
      </c>
      <c r="U314">
        <f>IF($R314="","",IF(OR($S314&lt;0,$T314&lt;0),0,MAX(0,MIN($T314,EOMONTH(급여기준월,0))-MAX($S314,급여기준월)+1)))</f>
        <v/>
      </c>
      <c r="V314">
        <f>IF($R314="","",TRIM(INDEX('입력_구리근무자명단'!$A312:$ZZ312,1,$E$2+5)&amp;""))</f>
        <v/>
      </c>
      <c r="W314">
        <f>IF(ISNUMBER(SEARCH("구리독자",$V314)),"구리독자","")</f>
        <v/>
      </c>
      <c r="X314">
        <f>IF($R314="","",$R314&amp;"|"&amp;IF(OR($Q314="인턴",ISNUMBER(SEARCH("수련교육부",$P314))),"인턴",$P314))</f>
        <v/>
      </c>
      <c r="Y314">
        <f>IF($R314="","",IF(COUNTIF(명단표[이름|과],$X314)=1,"명단 일치",IF(AND(COUNTIF(명단표[이름|과],$X314)=0,COUNTIF(명단표[이름],$R314)=1),"명단 일치(이름만, 과 다름)",IF(COUNTIF(명단표[이름],$R314)=0,IF(COUNTIF(기본자료표[이름],$R314)&gt;0,"명단에 없음(기본자료에는 있음)","명단에 없음"),"동명이인 확인"))))</f>
        <v/>
      </c>
      <c r="Z314">
        <f>IF($R314="","",IF($S314&lt;0,"⚠"&amp;INDEX('입력_구리근무자명단'!$A312:$ZZ312,1,$E$2+2),TEXT($S314,"yyyy-mm-dd")))</f>
        <v/>
      </c>
      <c r="AA314">
        <f>IF($R314="","",IF($T314&lt;0,"⚠"&amp;INDEX('입력_구리근무자명단'!$A312:$ZZ312,1,$E$2+3),TEXT($T314,"yyyy-mm-dd")))</f>
        <v/>
      </c>
      <c r="AB314">
        <f>AB313+IF($R314="",0,1)</f>
        <v/>
      </c>
      <c r="AC314">
        <f>IF($R314="","",$AB314)</f>
        <v/>
      </c>
    </row>
    <row r="315">
      <c r="A315">
        <f>IFERROR(INDEX($O$6:$O$1505,MATCH(310,$AC$6:$AC$1505,0)),"")</f>
        <v/>
      </c>
      <c r="B315">
        <f>IF(ISNUMBER($A315),INDEX($P$6:$P$1505,$A315-3),"")</f>
        <v/>
      </c>
      <c r="C315">
        <f>IF(ISNUMBER($A315),INDEX($Q$6:$Q$1505,$A315-3),"")</f>
        <v/>
      </c>
      <c r="D315">
        <f>IF(ISNUMBER($A315),INDEX($R$6:$R$1505,$A315-3),"")</f>
        <v/>
      </c>
      <c r="E315">
        <f>IF(ISNUMBER($A315),$G$2,"")</f>
        <v/>
      </c>
      <c r="F315">
        <f>IF(ISNUMBER($A315),INDEX($Z$6:$Z$1505,$A315-3),"")</f>
        <v/>
      </c>
      <c r="G315">
        <f>IF(ISNUMBER($A315),INDEX($AA$6:$AA$1505,$A315-3),"")</f>
        <v/>
      </c>
      <c r="H315">
        <f>IF(ISNUMBER($A315),INDEX($U$6:$U$1505,$A315-3),"")</f>
        <v/>
      </c>
      <c r="I315">
        <f>IF(ISNUMBER($A315),INDEX($V$6:$V$1505,$A315-3),"")</f>
        <v/>
      </c>
      <c r="J315">
        <f>IF(ISNUMBER($A315),INDEX($W$6:$W$1505,$A315-3),"")</f>
        <v/>
      </c>
      <c r="K315">
        <f>IF(ISNUMBER($A315),INDEX($X$6:$X$1505,$A315-3),"")</f>
        <v/>
      </c>
      <c r="L315">
        <f>IF(ISNUMBER($A315),INDEX($Y$6:$Y$1505,$A315-3),"")</f>
        <v/>
      </c>
      <c r="O315">
        <f>313</f>
        <v/>
      </c>
      <c r="P315">
        <f>IF(TRIM('입력_구리근무자명단'!$A313&amp;"")&lt;&gt;"",TRIM('입력_구리근무자명단'!$A313&amp;""),P314)</f>
        <v/>
      </c>
      <c r="Q315">
        <f>'입력_구리근무자명단'!$B313&amp;""</f>
        <v/>
      </c>
      <c r="R315">
        <f>IF($E$2="","",TRIM(INDEX('입력_구리근무자명단'!$A313:$ZZ313,1,$E$2+IF($G$2="확정",1,0))&amp;""))</f>
        <v/>
      </c>
      <c r="S315">
        <f>IF($R315="","",IF(INDEX('입력_구리근무자명단'!$A313:$ZZ313,1,$E$2+2)&amp;""="",급여기준월,IF(ISNUMBER(INDEX('입력_구리근무자명단'!$A313:$ZZ313,1,$E$2+2)),INDEX('입력_구리근무자명단'!$A313:$ZZ313,1,$E$2+2),IFERROR(DATE(VALUE(LEFT(INDEX('입력_구리근무자명단'!$A313:$ZZ313,1,$E$2+2),4)),VALUE(MID(INDEX('입력_구리근무자명단'!$A313:$ZZ313,1,$E$2+2),6,2)),VALUE(MID(INDEX('입력_구리근무자명단'!$A313:$ZZ313,1,$E$2+2),9,2))),-1))))</f>
        <v/>
      </c>
      <c r="T315">
        <f>IF($R315="","",IF(INDEX('입력_구리근무자명단'!$A313:$ZZ313,1,$E$2+3)&amp;""="",EOMONTH(급여기준월,0),IF(ISNUMBER(INDEX('입력_구리근무자명단'!$A313:$ZZ313,1,$E$2+3)),INDEX('입력_구리근무자명단'!$A313:$ZZ313,1,$E$2+3),IFERROR(DATE(VALUE(LEFT(INDEX('입력_구리근무자명단'!$A313:$ZZ313,1,$E$2+3),4)),VALUE(MID(INDEX('입력_구리근무자명단'!$A313:$ZZ313,1,$E$2+3),6,2)),VALUE(MID(INDEX('입력_구리근무자명단'!$A313:$ZZ313,1,$E$2+3),9,2))),-1))))</f>
        <v/>
      </c>
      <c r="U315">
        <f>IF($R315="","",IF(OR($S315&lt;0,$T315&lt;0),0,MAX(0,MIN($T315,EOMONTH(급여기준월,0))-MAX($S315,급여기준월)+1)))</f>
        <v/>
      </c>
      <c r="V315">
        <f>IF($R315="","",TRIM(INDEX('입력_구리근무자명단'!$A313:$ZZ313,1,$E$2+5)&amp;""))</f>
        <v/>
      </c>
      <c r="W315">
        <f>IF(ISNUMBER(SEARCH("구리독자",$V315)),"구리독자","")</f>
        <v/>
      </c>
      <c r="X315">
        <f>IF($R315="","",$R315&amp;"|"&amp;IF(OR($Q315="인턴",ISNUMBER(SEARCH("수련교육부",$P315))),"인턴",$P315))</f>
        <v/>
      </c>
      <c r="Y315">
        <f>IF($R315="","",IF(COUNTIF(명단표[이름|과],$X315)=1,"명단 일치",IF(AND(COUNTIF(명단표[이름|과],$X315)=0,COUNTIF(명단표[이름],$R315)=1),"명단 일치(이름만, 과 다름)",IF(COUNTIF(명단표[이름],$R315)=0,IF(COUNTIF(기본자료표[이름],$R315)&gt;0,"명단에 없음(기본자료에는 있음)","명단에 없음"),"동명이인 확인"))))</f>
        <v/>
      </c>
      <c r="Z315">
        <f>IF($R315="","",IF($S315&lt;0,"⚠"&amp;INDEX('입력_구리근무자명단'!$A313:$ZZ313,1,$E$2+2),TEXT($S315,"yyyy-mm-dd")))</f>
        <v/>
      </c>
      <c r="AA315">
        <f>IF($R315="","",IF($T315&lt;0,"⚠"&amp;INDEX('입력_구리근무자명단'!$A313:$ZZ313,1,$E$2+3),TEXT($T315,"yyyy-mm-dd")))</f>
        <v/>
      </c>
      <c r="AB315">
        <f>AB314+IF($R315="",0,1)</f>
        <v/>
      </c>
      <c r="AC315">
        <f>IF($R315="","",$AB315)</f>
        <v/>
      </c>
    </row>
    <row r="316">
      <c r="A316">
        <f>IFERROR(INDEX($O$6:$O$1505,MATCH(311,$AC$6:$AC$1505,0)),"")</f>
        <v/>
      </c>
      <c r="B316">
        <f>IF(ISNUMBER($A316),INDEX($P$6:$P$1505,$A316-3),"")</f>
        <v/>
      </c>
      <c r="C316">
        <f>IF(ISNUMBER($A316),INDEX($Q$6:$Q$1505,$A316-3),"")</f>
        <v/>
      </c>
      <c r="D316">
        <f>IF(ISNUMBER($A316),INDEX($R$6:$R$1505,$A316-3),"")</f>
        <v/>
      </c>
      <c r="E316">
        <f>IF(ISNUMBER($A316),$G$2,"")</f>
        <v/>
      </c>
      <c r="F316">
        <f>IF(ISNUMBER($A316),INDEX($Z$6:$Z$1505,$A316-3),"")</f>
        <v/>
      </c>
      <c r="G316">
        <f>IF(ISNUMBER($A316),INDEX($AA$6:$AA$1505,$A316-3),"")</f>
        <v/>
      </c>
      <c r="H316">
        <f>IF(ISNUMBER($A316),INDEX($U$6:$U$1505,$A316-3),"")</f>
        <v/>
      </c>
      <c r="I316">
        <f>IF(ISNUMBER($A316),INDEX($V$6:$V$1505,$A316-3),"")</f>
        <v/>
      </c>
      <c r="J316">
        <f>IF(ISNUMBER($A316),INDEX($W$6:$W$1505,$A316-3),"")</f>
        <v/>
      </c>
      <c r="K316">
        <f>IF(ISNUMBER($A316),INDEX($X$6:$X$1505,$A316-3),"")</f>
        <v/>
      </c>
      <c r="L316">
        <f>IF(ISNUMBER($A316),INDEX($Y$6:$Y$1505,$A316-3),"")</f>
        <v/>
      </c>
      <c r="O316">
        <f>314</f>
        <v/>
      </c>
      <c r="P316">
        <f>IF(TRIM('입력_구리근무자명단'!$A314&amp;"")&lt;&gt;"",TRIM('입력_구리근무자명단'!$A314&amp;""),P315)</f>
        <v/>
      </c>
      <c r="Q316">
        <f>'입력_구리근무자명단'!$B314&amp;""</f>
        <v/>
      </c>
      <c r="R316">
        <f>IF($E$2="","",TRIM(INDEX('입력_구리근무자명단'!$A314:$ZZ314,1,$E$2+IF($G$2="확정",1,0))&amp;""))</f>
        <v/>
      </c>
      <c r="S316">
        <f>IF($R316="","",IF(INDEX('입력_구리근무자명단'!$A314:$ZZ314,1,$E$2+2)&amp;""="",급여기준월,IF(ISNUMBER(INDEX('입력_구리근무자명단'!$A314:$ZZ314,1,$E$2+2)),INDEX('입력_구리근무자명단'!$A314:$ZZ314,1,$E$2+2),IFERROR(DATE(VALUE(LEFT(INDEX('입력_구리근무자명단'!$A314:$ZZ314,1,$E$2+2),4)),VALUE(MID(INDEX('입력_구리근무자명단'!$A314:$ZZ314,1,$E$2+2),6,2)),VALUE(MID(INDEX('입력_구리근무자명단'!$A314:$ZZ314,1,$E$2+2),9,2))),-1))))</f>
        <v/>
      </c>
      <c r="T316">
        <f>IF($R316="","",IF(INDEX('입력_구리근무자명단'!$A314:$ZZ314,1,$E$2+3)&amp;""="",EOMONTH(급여기준월,0),IF(ISNUMBER(INDEX('입력_구리근무자명단'!$A314:$ZZ314,1,$E$2+3)),INDEX('입력_구리근무자명단'!$A314:$ZZ314,1,$E$2+3),IFERROR(DATE(VALUE(LEFT(INDEX('입력_구리근무자명단'!$A314:$ZZ314,1,$E$2+3),4)),VALUE(MID(INDEX('입력_구리근무자명단'!$A314:$ZZ314,1,$E$2+3),6,2)),VALUE(MID(INDEX('입력_구리근무자명단'!$A314:$ZZ314,1,$E$2+3),9,2))),-1))))</f>
        <v/>
      </c>
      <c r="U316">
        <f>IF($R316="","",IF(OR($S316&lt;0,$T316&lt;0),0,MAX(0,MIN($T316,EOMONTH(급여기준월,0))-MAX($S316,급여기준월)+1)))</f>
        <v/>
      </c>
      <c r="V316">
        <f>IF($R316="","",TRIM(INDEX('입력_구리근무자명단'!$A314:$ZZ314,1,$E$2+5)&amp;""))</f>
        <v/>
      </c>
      <c r="W316">
        <f>IF(ISNUMBER(SEARCH("구리독자",$V316)),"구리독자","")</f>
        <v/>
      </c>
      <c r="X316">
        <f>IF($R316="","",$R316&amp;"|"&amp;IF(OR($Q316="인턴",ISNUMBER(SEARCH("수련교육부",$P316))),"인턴",$P316))</f>
        <v/>
      </c>
      <c r="Y316">
        <f>IF($R316="","",IF(COUNTIF(명단표[이름|과],$X316)=1,"명단 일치",IF(AND(COUNTIF(명단표[이름|과],$X316)=0,COUNTIF(명단표[이름],$R316)=1),"명단 일치(이름만, 과 다름)",IF(COUNTIF(명단표[이름],$R316)=0,IF(COUNTIF(기본자료표[이름],$R316)&gt;0,"명단에 없음(기본자료에는 있음)","명단에 없음"),"동명이인 확인"))))</f>
        <v/>
      </c>
      <c r="Z316">
        <f>IF($R316="","",IF($S316&lt;0,"⚠"&amp;INDEX('입력_구리근무자명단'!$A314:$ZZ314,1,$E$2+2),TEXT($S316,"yyyy-mm-dd")))</f>
        <v/>
      </c>
      <c r="AA316">
        <f>IF($R316="","",IF($T316&lt;0,"⚠"&amp;INDEX('입력_구리근무자명단'!$A314:$ZZ314,1,$E$2+3),TEXT($T316,"yyyy-mm-dd")))</f>
        <v/>
      </c>
      <c r="AB316">
        <f>AB315+IF($R316="",0,1)</f>
        <v/>
      </c>
      <c r="AC316">
        <f>IF($R316="","",$AB316)</f>
        <v/>
      </c>
    </row>
    <row r="317">
      <c r="A317">
        <f>IFERROR(INDEX($O$6:$O$1505,MATCH(312,$AC$6:$AC$1505,0)),"")</f>
        <v/>
      </c>
      <c r="B317">
        <f>IF(ISNUMBER($A317),INDEX($P$6:$P$1505,$A317-3),"")</f>
        <v/>
      </c>
      <c r="C317">
        <f>IF(ISNUMBER($A317),INDEX($Q$6:$Q$1505,$A317-3),"")</f>
        <v/>
      </c>
      <c r="D317">
        <f>IF(ISNUMBER($A317),INDEX($R$6:$R$1505,$A317-3),"")</f>
        <v/>
      </c>
      <c r="E317">
        <f>IF(ISNUMBER($A317),$G$2,"")</f>
        <v/>
      </c>
      <c r="F317">
        <f>IF(ISNUMBER($A317),INDEX($Z$6:$Z$1505,$A317-3),"")</f>
        <v/>
      </c>
      <c r="G317">
        <f>IF(ISNUMBER($A317),INDEX($AA$6:$AA$1505,$A317-3),"")</f>
        <v/>
      </c>
      <c r="H317">
        <f>IF(ISNUMBER($A317),INDEX($U$6:$U$1505,$A317-3),"")</f>
        <v/>
      </c>
      <c r="I317">
        <f>IF(ISNUMBER($A317),INDEX($V$6:$V$1505,$A317-3),"")</f>
        <v/>
      </c>
      <c r="J317">
        <f>IF(ISNUMBER($A317),INDEX($W$6:$W$1505,$A317-3),"")</f>
        <v/>
      </c>
      <c r="K317">
        <f>IF(ISNUMBER($A317),INDEX($X$6:$X$1505,$A317-3),"")</f>
        <v/>
      </c>
      <c r="L317">
        <f>IF(ISNUMBER($A317),INDEX($Y$6:$Y$1505,$A317-3),"")</f>
        <v/>
      </c>
      <c r="O317">
        <f>315</f>
        <v/>
      </c>
      <c r="P317">
        <f>IF(TRIM('입력_구리근무자명단'!$A315&amp;"")&lt;&gt;"",TRIM('입력_구리근무자명단'!$A315&amp;""),P316)</f>
        <v/>
      </c>
      <c r="Q317">
        <f>'입력_구리근무자명단'!$B315&amp;""</f>
        <v/>
      </c>
      <c r="R317">
        <f>IF($E$2="","",TRIM(INDEX('입력_구리근무자명단'!$A315:$ZZ315,1,$E$2+IF($G$2="확정",1,0))&amp;""))</f>
        <v/>
      </c>
      <c r="S317">
        <f>IF($R317="","",IF(INDEX('입력_구리근무자명단'!$A315:$ZZ315,1,$E$2+2)&amp;""="",급여기준월,IF(ISNUMBER(INDEX('입력_구리근무자명단'!$A315:$ZZ315,1,$E$2+2)),INDEX('입력_구리근무자명단'!$A315:$ZZ315,1,$E$2+2),IFERROR(DATE(VALUE(LEFT(INDEX('입력_구리근무자명단'!$A315:$ZZ315,1,$E$2+2),4)),VALUE(MID(INDEX('입력_구리근무자명단'!$A315:$ZZ315,1,$E$2+2),6,2)),VALUE(MID(INDEX('입력_구리근무자명단'!$A315:$ZZ315,1,$E$2+2),9,2))),-1))))</f>
        <v/>
      </c>
      <c r="T317">
        <f>IF($R317="","",IF(INDEX('입력_구리근무자명단'!$A315:$ZZ315,1,$E$2+3)&amp;""="",EOMONTH(급여기준월,0),IF(ISNUMBER(INDEX('입력_구리근무자명단'!$A315:$ZZ315,1,$E$2+3)),INDEX('입력_구리근무자명단'!$A315:$ZZ315,1,$E$2+3),IFERROR(DATE(VALUE(LEFT(INDEX('입력_구리근무자명단'!$A315:$ZZ315,1,$E$2+3),4)),VALUE(MID(INDEX('입력_구리근무자명단'!$A315:$ZZ315,1,$E$2+3),6,2)),VALUE(MID(INDEX('입력_구리근무자명단'!$A315:$ZZ315,1,$E$2+3),9,2))),-1))))</f>
        <v/>
      </c>
      <c r="U317">
        <f>IF($R317="","",IF(OR($S317&lt;0,$T317&lt;0),0,MAX(0,MIN($T317,EOMONTH(급여기준월,0))-MAX($S317,급여기준월)+1)))</f>
        <v/>
      </c>
      <c r="V317">
        <f>IF($R317="","",TRIM(INDEX('입력_구리근무자명단'!$A315:$ZZ315,1,$E$2+5)&amp;""))</f>
        <v/>
      </c>
      <c r="W317">
        <f>IF(ISNUMBER(SEARCH("구리독자",$V317)),"구리독자","")</f>
        <v/>
      </c>
      <c r="X317">
        <f>IF($R317="","",$R317&amp;"|"&amp;IF(OR($Q317="인턴",ISNUMBER(SEARCH("수련교육부",$P317))),"인턴",$P317))</f>
        <v/>
      </c>
      <c r="Y317">
        <f>IF($R317="","",IF(COUNTIF(명단표[이름|과],$X317)=1,"명단 일치",IF(AND(COUNTIF(명단표[이름|과],$X317)=0,COUNTIF(명단표[이름],$R317)=1),"명단 일치(이름만, 과 다름)",IF(COUNTIF(명단표[이름],$R317)=0,IF(COUNTIF(기본자료표[이름],$R317)&gt;0,"명단에 없음(기본자료에는 있음)","명단에 없음"),"동명이인 확인"))))</f>
        <v/>
      </c>
      <c r="Z317">
        <f>IF($R317="","",IF($S317&lt;0,"⚠"&amp;INDEX('입력_구리근무자명단'!$A315:$ZZ315,1,$E$2+2),TEXT($S317,"yyyy-mm-dd")))</f>
        <v/>
      </c>
      <c r="AA317">
        <f>IF($R317="","",IF($T317&lt;0,"⚠"&amp;INDEX('입력_구리근무자명단'!$A315:$ZZ315,1,$E$2+3),TEXT($T317,"yyyy-mm-dd")))</f>
        <v/>
      </c>
      <c r="AB317">
        <f>AB316+IF($R317="",0,1)</f>
        <v/>
      </c>
      <c r="AC317">
        <f>IF($R317="","",$AB317)</f>
        <v/>
      </c>
    </row>
    <row r="318">
      <c r="A318">
        <f>IFERROR(INDEX($O$6:$O$1505,MATCH(313,$AC$6:$AC$1505,0)),"")</f>
        <v/>
      </c>
      <c r="B318">
        <f>IF(ISNUMBER($A318),INDEX($P$6:$P$1505,$A318-3),"")</f>
        <v/>
      </c>
      <c r="C318">
        <f>IF(ISNUMBER($A318),INDEX($Q$6:$Q$1505,$A318-3),"")</f>
        <v/>
      </c>
      <c r="D318">
        <f>IF(ISNUMBER($A318),INDEX($R$6:$R$1505,$A318-3),"")</f>
        <v/>
      </c>
      <c r="E318">
        <f>IF(ISNUMBER($A318),$G$2,"")</f>
        <v/>
      </c>
      <c r="F318">
        <f>IF(ISNUMBER($A318),INDEX($Z$6:$Z$1505,$A318-3),"")</f>
        <v/>
      </c>
      <c r="G318">
        <f>IF(ISNUMBER($A318),INDEX($AA$6:$AA$1505,$A318-3),"")</f>
        <v/>
      </c>
      <c r="H318">
        <f>IF(ISNUMBER($A318),INDEX($U$6:$U$1505,$A318-3),"")</f>
        <v/>
      </c>
      <c r="I318">
        <f>IF(ISNUMBER($A318),INDEX($V$6:$V$1505,$A318-3),"")</f>
        <v/>
      </c>
      <c r="J318">
        <f>IF(ISNUMBER($A318),INDEX($W$6:$W$1505,$A318-3),"")</f>
        <v/>
      </c>
      <c r="K318">
        <f>IF(ISNUMBER($A318),INDEX($X$6:$X$1505,$A318-3),"")</f>
        <v/>
      </c>
      <c r="L318">
        <f>IF(ISNUMBER($A318),INDEX($Y$6:$Y$1505,$A318-3),"")</f>
        <v/>
      </c>
      <c r="O318">
        <f>316</f>
        <v/>
      </c>
      <c r="P318">
        <f>IF(TRIM('입력_구리근무자명단'!$A316&amp;"")&lt;&gt;"",TRIM('입력_구리근무자명단'!$A316&amp;""),P317)</f>
        <v/>
      </c>
      <c r="Q318">
        <f>'입력_구리근무자명단'!$B316&amp;""</f>
        <v/>
      </c>
      <c r="R318">
        <f>IF($E$2="","",TRIM(INDEX('입력_구리근무자명단'!$A316:$ZZ316,1,$E$2+IF($G$2="확정",1,0))&amp;""))</f>
        <v/>
      </c>
      <c r="S318">
        <f>IF($R318="","",IF(INDEX('입력_구리근무자명단'!$A316:$ZZ316,1,$E$2+2)&amp;""="",급여기준월,IF(ISNUMBER(INDEX('입력_구리근무자명단'!$A316:$ZZ316,1,$E$2+2)),INDEX('입력_구리근무자명단'!$A316:$ZZ316,1,$E$2+2),IFERROR(DATE(VALUE(LEFT(INDEX('입력_구리근무자명단'!$A316:$ZZ316,1,$E$2+2),4)),VALUE(MID(INDEX('입력_구리근무자명단'!$A316:$ZZ316,1,$E$2+2),6,2)),VALUE(MID(INDEX('입력_구리근무자명단'!$A316:$ZZ316,1,$E$2+2),9,2))),-1))))</f>
        <v/>
      </c>
      <c r="T318">
        <f>IF($R318="","",IF(INDEX('입력_구리근무자명단'!$A316:$ZZ316,1,$E$2+3)&amp;""="",EOMONTH(급여기준월,0),IF(ISNUMBER(INDEX('입력_구리근무자명단'!$A316:$ZZ316,1,$E$2+3)),INDEX('입력_구리근무자명단'!$A316:$ZZ316,1,$E$2+3),IFERROR(DATE(VALUE(LEFT(INDEX('입력_구리근무자명단'!$A316:$ZZ316,1,$E$2+3),4)),VALUE(MID(INDEX('입력_구리근무자명단'!$A316:$ZZ316,1,$E$2+3),6,2)),VALUE(MID(INDEX('입력_구리근무자명단'!$A316:$ZZ316,1,$E$2+3),9,2))),-1))))</f>
        <v/>
      </c>
      <c r="U318">
        <f>IF($R318="","",IF(OR($S318&lt;0,$T318&lt;0),0,MAX(0,MIN($T318,EOMONTH(급여기준월,0))-MAX($S318,급여기준월)+1)))</f>
        <v/>
      </c>
      <c r="V318">
        <f>IF($R318="","",TRIM(INDEX('입력_구리근무자명단'!$A316:$ZZ316,1,$E$2+5)&amp;""))</f>
        <v/>
      </c>
      <c r="W318">
        <f>IF(ISNUMBER(SEARCH("구리독자",$V318)),"구리독자","")</f>
        <v/>
      </c>
      <c r="X318">
        <f>IF($R318="","",$R318&amp;"|"&amp;IF(OR($Q318="인턴",ISNUMBER(SEARCH("수련교육부",$P318))),"인턴",$P318))</f>
        <v/>
      </c>
      <c r="Y318">
        <f>IF($R318="","",IF(COUNTIF(명단표[이름|과],$X318)=1,"명단 일치",IF(AND(COUNTIF(명단표[이름|과],$X318)=0,COUNTIF(명단표[이름],$R318)=1),"명단 일치(이름만, 과 다름)",IF(COUNTIF(명단표[이름],$R318)=0,IF(COUNTIF(기본자료표[이름],$R318)&gt;0,"명단에 없음(기본자료에는 있음)","명단에 없음"),"동명이인 확인"))))</f>
        <v/>
      </c>
      <c r="Z318">
        <f>IF($R318="","",IF($S318&lt;0,"⚠"&amp;INDEX('입력_구리근무자명단'!$A316:$ZZ316,1,$E$2+2),TEXT($S318,"yyyy-mm-dd")))</f>
        <v/>
      </c>
      <c r="AA318">
        <f>IF($R318="","",IF($T318&lt;0,"⚠"&amp;INDEX('입력_구리근무자명단'!$A316:$ZZ316,1,$E$2+3),TEXT($T318,"yyyy-mm-dd")))</f>
        <v/>
      </c>
      <c r="AB318">
        <f>AB317+IF($R318="",0,1)</f>
        <v/>
      </c>
      <c r="AC318">
        <f>IF($R318="","",$AB318)</f>
        <v/>
      </c>
    </row>
    <row r="319">
      <c r="A319">
        <f>IFERROR(INDEX($O$6:$O$1505,MATCH(314,$AC$6:$AC$1505,0)),"")</f>
        <v/>
      </c>
      <c r="B319">
        <f>IF(ISNUMBER($A319),INDEX($P$6:$P$1505,$A319-3),"")</f>
        <v/>
      </c>
      <c r="C319">
        <f>IF(ISNUMBER($A319),INDEX($Q$6:$Q$1505,$A319-3),"")</f>
        <v/>
      </c>
      <c r="D319">
        <f>IF(ISNUMBER($A319),INDEX($R$6:$R$1505,$A319-3),"")</f>
        <v/>
      </c>
      <c r="E319">
        <f>IF(ISNUMBER($A319),$G$2,"")</f>
        <v/>
      </c>
      <c r="F319">
        <f>IF(ISNUMBER($A319),INDEX($Z$6:$Z$1505,$A319-3),"")</f>
        <v/>
      </c>
      <c r="G319">
        <f>IF(ISNUMBER($A319),INDEX($AA$6:$AA$1505,$A319-3),"")</f>
        <v/>
      </c>
      <c r="H319">
        <f>IF(ISNUMBER($A319),INDEX($U$6:$U$1505,$A319-3),"")</f>
        <v/>
      </c>
      <c r="I319">
        <f>IF(ISNUMBER($A319),INDEX($V$6:$V$1505,$A319-3),"")</f>
        <v/>
      </c>
      <c r="J319">
        <f>IF(ISNUMBER($A319),INDEX($W$6:$W$1505,$A319-3),"")</f>
        <v/>
      </c>
      <c r="K319">
        <f>IF(ISNUMBER($A319),INDEX($X$6:$X$1505,$A319-3),"")</f>
        <v/>
      </c>
      <c r="L319">
        <f>IF(ISNUMBER($A319),INDEX($Y$6:$Y$1505,$A319-3),"")</f>
        <v/>
      </c>
      <c r="O319">
        <f>317</f>
        <v/>
      </c>
      <c r="P319">
        <f>IF(TRIM('입력_구리근무자명단'!$A317&amp;"")&lt;&gt;"",TRIM('입력_구리근무자명단'!$A317&amp;""),P318)</f>
        <v/>
      </c>
      <c r="Q319">
        <f>'입력_구리근무자명단'!$B317&amp;""</f>
        <v/>
      </c>
      <c r="R319">
        <f>IF($E$2="","",TRIM(INDEX('입력_구리근무자명단'!$A317:$ZZ317,1,$E$2+IF($G$2="확정",1,0))&amp;""))</f>
        <v/>
      </c>
      <c r="S319">
        <f>IF($R319="","",IF(INDEX('입력_구리근무자명단'!$A317:$ZZ317,1,$E$2+2)&amp;""="",급여기준월,IF(ISNUMBER(INDEX('입력_구리근무자명단'!$A317:$ZZ317,1,$E$2+2)),INDEX('입력_구리근무자명단'!$A317:$ZZ317,1,$E$2+2),IFERROR(DATE(VALUE(LEFT(INDEX('입력_구리근무자명단'!$A317:$ZZ317,1,$E$2+2),4)),VALUE(MID(INDEX('입력_구리근무자명단'!$A317:$ZZ317,1,$E$2+2),6,2)),VALUE(MID(INDEX('입력_구리근무자명단'!$A317:$ZZ317,1,$E$2+2),9,2))),-1))))</f>
        <v/>
      </c>
      <c r="T319">
        <f>IF($R319="","",IF(INDEX('입력_구리근무자명단'!$A317:$ZZ317,1,$E$2+3)&amp;""="",EOMONTH(급여기준월,0),IF(ISNUMBER(INDEX('입력_구리근무자명단'!$A317:$ZZ317,1,$E$2+3)),INDEX('입력_구리근무자명단'!$A317:$ZZ317,1,$E$2+3),IFERROR(DATE(VALUE(LEFT(INDEX('입력_구리근무자명단'!$A317:$ZZ317,1,$E$2+3),4)),VALUE(MID(INDEX('입력_구리근무자명단'!$A317:$ZZ317,1,$E$2+3),6,2)),VALUE(MID(INDEX('입력_구리근무자명단'!$A317:$ZZ317,1,$E$2+3),9,2))),-1))))</f>
        <v/>
      </c>
      <c r="U319">
        <f>IF($R319="","",IF(OR($S319&lt;0,$T319&lt;0),0,MAX(0,MIN($T319,EOMONTH(급여기준월,0))-MAX($S319,급여기준월)+1)))</f>
        <v/>
      </c>
      <c r="V319">
        <f>IF($R319="","",TRIM(INDEX('입력_구리근무자명단'!$A317:$ZZ317,1,$E$2+5)&amp;""))</f>
        <v/>
      </c>
      <c r="W319">
        <f>IF(ISNUMBER(SEARCH("구리독자",$V319)),"구리독자","")</f>
        <v/>
      </c>
      <c r="X319">
        <f>IF($R319="","",$R319&amp;"|"&amp;IF(OR($Q319="인턴",ISNUMBER(SEARCH("수련교육부",$P319))),"인턴",$P319))</f>
        <v/>
      </c>
      <c r="Y319">
        <f>IF($R319="","",IF(COUNTIF(명단표[이름|과],$X319)=1,"명단 일치",IF(AND(COUNTIF(명단표[이름|과],$X319)=0,COUNTIF(명단표[이름],$R319)=1),"명단 일치(이름만, 과 다름)",IF(COUNTIF(명단표[이름],$R319)=0,IF(COUNTIF(기본자료표[이름],$R319)&gt;0,"명단에 없음(기본자료에는 있음)","명단에 없음"),"동명이인 확인"))))</f>
        <v/>
      </c>
      <c r="Z319">
        <f>IF($R319="","",IF($S319&lt;0,"⚠"&amp;INDEX('입력_구리근무자명단'!$A317:$ZZ317,1,$E$2+2),TEXT($S319,"yyyy-mm-dd")))</f>
        <v/>
      </c>
      <c r="AA319">
        <f>IF($R319="","",IF($T319&lt;0,"⚠"&amp;INDEX('입력_구리근무자명단'!$A317:$ZZ317,1,$E$2+3),TEXT($T319,"yyyy-mm-dd")))</f>
        <v/>
      </c>
      <c r="AB319">
        <f>AB318+IF($R319="",0,1)</f>
        <v/>
      </c>
      <c r="AC319">
        <f>IF($R319="","",$AB319)</f>
        <v/>
      </c>
    </row>
    <row r="320">
      <c r="A320">
        <f>IFERROR(INDEX($O$6:$O$1505,MATCH(315,$AC$6:$AC$1505,0)),"")</f>
        <v/>
      </c>
      <c r="B320">
        <f>IF(ISNUMBER($A320),INDEX($P$6:$P$1505,$A320-3),"")</f>
        <v/>
      </c>
      <c r="C320">
        <f>IF(ISNUMBER($A320),INDEX($Q$6:$Q$1505,$A320-3),"")</f>
        <v/>
      </c>
      <c r="D320">
        <f>IF(ISNUMBER($A320),INDEX($R$6:$R$1505,$A320-3),"")</f>
        <v/>
      </c>
      <c r="E320">
        <f>IF(ISNUMBER($A320),$G$2,"")</f>
        <v/>
      </c>
      <c r="F320">
        <f>IF(ISNUMBER($A320),INDEX($Z$6:$Z$1505,$A320-3),"")</f>
        <v/>
      </c>
      <c r="G320">
        <f>IF(ISNUMBER($A320),INDEX($AA$6:$AA$1505,$A320-3),"")</f>
        <v/>
      </c>
      <c r="H320">
        <f>IF(ISNUMBER($A320),INDEX($U$6:$U$1505,$A320-3),"")</f>
        <v/>
      </c>
      <c r="I320">
        <f>IF(ISNUMBER($A320),INDEX($V$6:$V$1505,$A320-3),"")</f>
        <v/>
      </c>
      <c r="J320">
        <f>IF(ISNUMBER($A320),INDEX($W$6:$W$1505,$A320-3),"")</f>
        <v/>
      </c>
      <c r="K320">
        <f>IF(ISNUMBER($A320),INDEX($X$6:$X$1505,$A320-3),"")</f>
        <v/>
      </c>
      <c r="L320">
        <f>IF(ISNUMBER($A320),INDEX($Y$6:$Y$1505,$A320-3),"")</f>
        <v/>
      </c>
      <c r="O320">
        <f>318</f>
        <v/>
      </c>
      <c r="P320">
        <f>IF(TRIM('입력_구리근무자명단'!$A318&amp;"")&lt;&gt;"",TRIM('입력_구리근무자명단'!$A318&amp;""),P319)</f>
        <v/>
      </c>
      <c r="Q320">
        <f>'입력_구리근무자명단'!$B318&amp;""</f>
        <v/>
      </c>
      <c r="R320">
        <f>IF($E$2="","",TRIM(INDEX('입력_구리근무자명단'!$A318:$ZZ318,1,$E$2+IF($G$2="확정",1,0))&amp;""))</f>
        <v/>
      </c>
      <c r="S320">
        <f>IF($R320="","",IF(INDEX('입력_구리근무자명단'!$A318:$ZZ318,1,$E$2+2)&amp;""="",급여기준월,IF(ISNUMBER(INDEX('입력_구리근무자명단'!$A318:$ZZ318,1,$E$2+2)),INDEX('입력_구리근무자명단'!$A318:$ZZ318,1,$E$2+2),IFERROR(DATE(VALUE(LEFT(INDEX('입력_구리근무자명단'!$A318:$ZZ318,1,$E$2+2),4)),VALUE(MID(INDEX('입력_구리근무자명단'!$A318:$ZZ318,1,$E$2+2),6,2)),VALUE(MID(INDEX('입력_구리근무자명단'!$A318:$ZZ318,1,$E$2+2),9,2))),-1))))</f>
        <v/>
      </c>
      <c r="T320">
        <f>IF($R320="","",IF(INDEX('입력_구리근무자명단'!$A318:$ZZ318,1,$E$2+3)&amp;""="",EOMONTH(급여기준월,0),IF(ISNUMBER(INDEX('입력_구리근무자명단'!$A318:$ZZ318,1,$E$2+3)),INDEX('입력_구리근무자명단'!$A318:$ZZ318,1,$E$2+3),IFERROR(DATE(VALUE(LEFT(INDEX('입력_구리근무자명단'!$A318:$ZZ318,1,$E$2+3),4)),VALUE(MID(INDEX('입력_구리근무자명단'!$A318:$ZZ318,1,$E$2+3),6,2)),VALUE(MID(INDEX('입력_구리근무자명단'!$A318:$ZZ318,1,$E$2+3),9,2))),-1))))</f>
        <v/>
      </c>
      <c r="U320">
        <f>IF($R320="","",IF(OR($S320&lt;0,$T320&lt;0),0,MAX(0,MIN($T320,EOMONTH(급여기준월,0))-MAX($S320,급여기준월)+1)))</f>
        <v/>
      </c>
      <c r="V320">
        <f>IF($R320="","",TRIM(INDEX('입력_구리근무자명단'!$A318:$ZZ318,1,$E$2+5)&amp;""))</f>
        <v/>
      </c>
      <c r="W320">
        <f>IF(ISNUMBER(SEARCH("구리독자",$V320)),"구리독자","")</f>
        <v/>
      </c>
      <c r="X320">
        <f>IF($R320="","",$R320&amp;"|"&amp;IF(OR($Q320="인턴",ISNUMBER(SEARCH("수련교육부",$P320))),"인턴",$P320))</f>
        <v/>
      </c>
      <c r="Y320">
        <f>IF($R320="","",IF(COUNTIF(명단표[이름|과],$X320)=1,"명단 일치",IF(AND(COUNTIF(명단표[이름|과],$X320)=0,COUNTIF(명단표[이름],$R320)=1),"명단 일치(이름만, 과 다름)",IF(COUNTIF(명단표[이름],$R320)=0,IF(COUNTIF(기본자료표[이름],$R320)&gt;0,"명단에 없음(기본자료에는 있음)","명단에 없음"),"동명이인 확인"))))</f>
        <v/>
      </c>
      <c r="Z320">
        <f>IF($R320="","",IF($S320&lt;0,"⚠"&amp;INDEX('입력_구리근무자명단'!$A318:$ZZ318,1,$E$2+2),TEXT($S320,"yyyy-mm-dd")))</f>
        <v/>
      </c>
      <c r="AA320">
        <f>IF($R320="","",IF($T320&lt;0,"⚠"&amp;INDEX('입력_구리근무자명단'!$A318:$ZZ318,1,$E$2+3),TEXT($T320,"yyyy-mm-dd")))</f>
        <v/>
      </c>
      <c r="AB320">
        <f>AB319+IF($R320="",0,1)</f>
        <v/>
      </c>
      <c r="AC320">
        <f>IF($R320="","",$AB320)</f>
        <v/>
      </c>
    </row>
    <row r="321">
      <c r="A321">
        <f>IFERROR(INDEX($O$6:$O$1505,MATCH(316,$AC$6:$AC$1505,0)),"")</f>
        <v/>
      </c>
      <c r="B321">
        <f>IF(ISNUMBER($A321),INDEX($P$6:$P$1505,$A321-3),"")</f>
        <v/>
      </c>
      <c r="C321">
        <f>IF(ISNUMBER($A321),INDEX($Q$6:$Q$1505,$A321-3),"")</f>
        <v/>
      </c>
      <c r="D321">
        <f>IF(ISNUMBER($A321),INDEX($R$6:$R$1505,$A321-3),"")</f>
        <v/>
      </c>
      <c r="E321">
        <f>IF(ISNUMBER($A321),$G$2,"")</f>
        <v/>
      </c>
      <c r="F321">
        <f>IF(ISNUMBER($A321),INDEX($Z$6:$Z$1505,$A321-3),"")</f>
        <v/>
      </c>
      <c r="G321">
        <f>IF(ISNUMBER($A321),INDEX($AA$6:$AA$1505,$A321-3),"")</f>
        <v/>
      </c>
      <c r="H321">
        <f>IF(ISNUMBER($A321),INDEX($U$6:$U$1505,$A321-3),"")</f>
        <v/>
      </c>
      <c r="I321">
        <f>IF(ISNUMBER($A321),INDEX($V$6:$V$1505,$A321-3),"")</f>
        <v/>
      </c>
      <c r="J321">
        <f>IF(ISNUMBER($A321),INDEX($W$6:$W$1505,$A321-3),"")</f>
        <v/>
      </c>
      <c r="K321">
        <f>IF(ISNUMBER($A321),INDEX($X$6:$X$1505,$A321-3),"")</f>
        <v/>
      </c>
      <c r="L321">
        <f>IF(ISNUMBER($A321),INDEX($Y$6:$Y$1505,$A321-3),"")</f>
        <v/>
      </c>
      <c r="O321">
        <f>319</f>
        <v/>
      </c>
      <c r="P321">
        <f>IF(TRIM('입력_구리근무자명단'!$A319&amp;"")&lt;&gt;"",TRIM('입력_구리근무자명단'!$A319&amp;""),P320)</f>
        <v/>
      </c>
      <c r="Q321">
        <f>'입력_구리근무자명단'!$B319&amp;""</f>
        <v/>
      </c>
      <c r="R321">
        <f>IF($E$2="","",TRIM(INDEX('입력_구리근무자명단'!$A319:$ZZ319,1,$E$2+IF($G$2="확정",1,0))&amp;""))</f>
        <v/>
      </c>
      <c r="S321">
        <f>IF($R321="","",IF(INDEX('입력_구리근무자명단'!$A319:$ZZ319,1,$E$2+2)&amp;""="",급여기준월,IF(ISNUMBER(INDEX('입력_구리근무자명단'!$A319:$ZZ319,1,$E$2+2)),INDEX('입력_구리근무자명단'!$A319:$ZZ319,1,$E$2+2),IFERROR(DATE(VALUE(LEFT(INDEX('입력_구리근무자명단'!$A319:$ZZ319,1,$E$2+2),4)),VALUE(MID(INDEX('입력_구리근무자명단'!$A319:$ZZ319,1,$E$2+2),6,2)),VALUE(MID(INDEX('입력_구리근무자명단'!$A319:$ZZ319,1,$E$2+2),9,2))),-1))))</f>
        <v/>
      </c>
      <c r="T321">
        <f>IF($R321="","",IF(INDEX('입력_구리근무자명단'!$A319:$ZZ319,1,$E$2+3)&amp;""="",EOMONTH(급여기준월,0),IF(ISNUMBER(INDEX('입력_구리근무자명단'!$A319:$ZZ319,1,$E$2+3)),INDEX('입력_구리근무자명단'!$A319:$ZZ319,1,$E$2+3),IFERROR(DATE(VALUE(LEFT(INDEX('입력_구리근무자명단'!$A319:$ZZ319,1,$E$2+3),4)),VALUE(MID(INDEX('입력_구리근무자명단'!$A319:$ZZ319,1,$E$2+3),6,2)),VALUE(MID(INDEX('입력_구리근무자명단'!$A319:$ZZ319,1,$E$2+3),9,2))),-1))))</f>
        <v/>
      </c>
      <c r="U321">
        <f>IF($R321="","",IF(OR($S321&lt;0,$T321&lt;0),0,MAX(0,MIN($T321,EOMONTH(급여기준월,0))-MAX($S321,급여기준월)+1)))</f>
        <v/>
      </c>
      <c r="V321">
        <f>IF($R321="","",TRIM(INDEX('입력_구리근무자명단'!$A319:$ZZ319,1,$E$2+5)&amp;""))</f>
        <v/>
      </c>
      <c r="W321">
        <f>IF(ISNUMBER(SEARCH("구리독자",$V321)),"구리독자","")</f>
        <v/>
      </c>
      <c r="X321">
        <f>IF($R321="","",$R321&amp;"|"&amp;IF(OR($Q321="인턴",ISNUMBER(SEARCH("수련교육부",$P321))),"인턴",$P321))</f>
        <v/>
      </c>
      <c r="Y321">
        <f>IF($R321="","",IF(COUNTIF(명단표[이름|과],$X321)=1,"명단 일치",IF(AND(COUNTIF(명단표[이름|과],$X321)=0,COUNTIF(명단표[이름],$R321)=1),"명단 일치(이름만, 과 다름)",IF(COUNTIF(명단표[이름],$R321)=0,IF(COUNTIF(기본자료표[이름],$R321)&gt;0,"명단에 없음(기본자료에는 있음)","명단에 없음"),"동명이인 확인"))))</f>
        <v/>
      </c>
      <c r="Z321">
        <f>IF($R321="","",IF($S321&lt;0,"⚠"&amp;INDEX('입력_구리근무자명단'!$A319:$ZZ319,1,$E$2+2),TEXT($S321,"yyyy-mm-dd")))</f>
        <v/>
      </c>
      <c r="AA321">
        <f>IF($R321="","",IF($T321&lt;0,"⚠"&amp;INDEX('입력_구리근무자명단'!$A319:$ZZ319,1,$E$2+3),TEXT($T321,"yyyy-mm-dd")))</f>
        <v/>
      </c>
      <c r="AB321">
        <f>AB320+IF($R321="",0,1)</f>
        <v/>
      </c>
      <c r="AC321">
        <f>IF($R321="","",$AB321)</f>
        <v/>
      </c>
    </row>
    <row r="322">
      <c r="A322">
        <f>IFERROR(INDEX($O$6:$O$1505,MATCH(317,$AC$6:$AC$1505,0)),"")</f>
        <v/>
      </c>
      <c r="B322">
        <f>IF(ISNUMBER($A322),INDEX($P$6:$P$1505,$A322-3),"")</f>
        <v/>
      </c>
      <c r="C322">
        <f>IF(ISNUMBER($A322),INDEX($Q$6:$Q$1505,$A322-3),"")</f>
        <v/>
      </c>
      <c r="D322">
        <f>IF(ISNUMBER($A322),INDEX($R$6:$R$1505,$A322-3),"")</f>
        <v/>
      </c>
      <c r="E322">
        <f>IF(ISNUMBER($A322),$G$2,"")</f>
        <v/>
      </c>
      <c r="F322">
        <f>IF(ISNUMBER($A322),INDEX($Z$6:$Z$1505,$A322-3),"")</f>
        <v/>
      </c>
      <c r="G322">
        <f>IF(ISNUMBER($A322),INDEX($AA$6:$AA$1505,$A322-3),"")</f>
        <v/>
      </c>
      <c r="H322">
        <f>IF(ISNUMBER($A322),INDEX($U$6:$U$1505,$A322-3),"")</f>
        <v/>
      </c>
      <c r="I322">
        <f>IF(ISNUMBER($A322),INDEX($V$6:$V$1505,$A322-3),"")</f>
        <v/>
      </c>
      <c r="J322">
        <f>IF(ISNUMBER($A322),INDEX($W$6:$W$1505,$A322-3),"")</f>
        <v/>
      </c>
      <c r="K322">
        <f>IF(ISNUMBER($A322),INDEX($X$6:$X$1505,$A322-3),"")</f>
        <v/>
      </c>
      <c r="L322">
        <f>IF(ISNUMBER($A322),INDEX($Y$6:$Y$1505,$A322-3),"")</f>
        <v/>
      </c>
      <c r="O322">
        <f>320</f>
        <v/>
      </c>
      <c r="P322">
        <f>IF(TRIM('입력_구리근무자명단'!$A320&amp;"")&lt;&gt;"",TRIM('입력_구리근무자명단'!$A320&amp;""),P321)</f>
        <v/>
      </c>
      <c r="Q322">
        <f>'입력_구리근무자명단'!$B320&amp;""</f>
        <v/>
      </c>
      <c r="R322">
        <f>IF($E$2="","",TRIM(INDEX('입력_구리근무자명단'!$A320:$ZZ320,1,$E$2+IF($G$2="확정",1,0))&amp;""))</f>
        <v/>
      </c>
      <c r="S322">
        <f>IF($R322="","",IF(INDEX('입력_구리근무자명단'!$A320:$ZZ320,1,$E$2+2)&amp;""="",급여기준월,IF(ISNUMBER(INDEX('입력_구리근무자명단'!$A320:$ZZ320,1,$E$2+2)),INDEX('입력_구리근무자명단'!$A320:$ZZ320,1,$E$2+2),IFERROR(DATE(VALUE(LEFT(INDEX('입력_구리근무자명단'!$A320:$ZZ320,1,$E$2+2),4)),VALUE(MID(INDEX('입력_구리근무자명단'!$A320:$ZZ320,1,$E$2+2),6,2)),VALUE(MID(INDEX('입력_구리근무자명단'!$A320:$ZZ320,1,$E$2+2),9,2))),-1))))</f>
        <v/>
      </c>
      <c r="T322">
        <f>IF($R322="","",IF(INDEX('입력_구리근무자명단'!$A320:$ZZ320,1,$E$2+3)&amp;""="",EOMONTH(급여기준월,0),IF(ISNUMBER(INDEX('입력_구리근무자명단'!$A320:$ZZ320,1,$E$2+3)),INDEX('입력_구리근무자명단'!$A320:$ZZ320,1,$E$2+3),IFERROR(DATE(VALUE(LEFT(INDEX('입력_구리근무자명단'!$A320:$ZZ320,1,$E$2+3),4)),VALUE(MID(INDEX('입력_구리근무자명단'!$A320:$ZZ320,1,$E$2+3),6,2)),VALUE(MID(INDEX('입력_구리근무자명단'!$A320:$ZZ320,1,$E$2+3),9,2))),-1))))</f>
        <v/>
      </c>
      <c r="U322">
        <f>IF($R322="","",IF(OR($S322&lt;0,$T322&lt;0),0,MAX(0,MIN($T322,EOMONTH(급여기준월,0))-MAX($S322,급여기준월)+1)))</f>
        <v/>
      </c>
      <c r="V322">
        <f>IF($R322="","",TRIM(INDEX('입력_구리근무자명단'!$A320:$ZZ320,1,$E$2+5)&amp;""))</f>
        <v/>
      </c>
      <c r="W322">
        <f>IF(ISNUMBER(SEARCH("구리독자",$V322)),"구리독자","")</f>
        <v/>
      </c>
      <c r="X322">
        <f>IF($R322="","",$R322&amp;"|"&amp;IF(OR($Q322="인턴",ISNUMBER(SEARCH("수련교육부",$P322))),"인턴",$P322))</f>
        <v/>
      </c>
      <c r="Y322">
        <f>IF($R322="","",IF(COUNTIF(명단표[이름|과],$X322)=1,"명단 일치",IF(AND(COUNTIF(명단표[이름|과],$X322)=0,COUNTIF(명단표[이름],$R322)=1),"명단 일치(이름만, 과 다름)",IF(COUNTIF(명단표[이름],$R322)=0,IF(COUNTIF(기본자료표[이름],$R322)&gt;0,"명단에 없음(기본자료에는 있음)","명단에 없음"),"동명이인 확인"))))</f>
        <v/>
      </c>
      <c r="Z322">
        <f>IF($R322="","",IF($S322&lt;0,"⚠"&amp;INDEX('입력_구리근무자명단'!$A320:$ZZ320,1,$E$2+2),TEXT($S322,"yyyy-mm-dd")))</f>
        <v/>
      </c>
      <c r="AA322">
        <f>IF($R322="","",IF($T322&lt;0,"⚠"&amp;INDEX('입력_구리근무자명단'!$A320:$ZZ320,1,$E$2+3),TEXT($T322,"yyyy-mm-dd")))</f>
        <v/>
      </c>
      <c r="AB322">
        <f>AB321+IF($R322="",0,1)</f>
        <v/>
      </c>
      <c r="AC322">
        <f>IF($R322="","",$AB322)</f>
        <v/>
      </c>
    </row>
    <row r="323">
      <c r="A323">
        <f>IFERROR(INDEX($O$6:$O$1505,MATCH(318,$AC$6:$AC$1505,0)),"")</f>
        <v/>
      </c>
      <c r="B323">
        <f>IF(ISNUMBER($A323),INDEX($P$6:$P$1505,$A323-3),"")</f>
        <v/>
      </c>
      <c r="C323">
        <f>IF(ISNUMBER($A323),INDEX($Q$6:$Q$1505,$A323-3),"")</f>
        <v/>
      </c>
      <c r="D323">
        <f>IF(ISNUMBER($A323),INDEX($R$6:$R$1505,$A323-3),"")</f>
        <v/>
      </c>
      <c r="E323">
        <f>IF(ISNUMBER($A323),$G$2,"")</f>
        <v/>
      </c>
      <c r="F323">
        <f>IF(ISNUMBER($A323),INDEX($Z$6:$Z$1505,$A323-3),"")</f>
        <v/>
      </c>
      <c r="G323">
        <f>IF(ISNUMBER($A323),INDEX($AA$6:$AA$1505,$A323-3),"")</f>
        <v/>
      </c>
      <c r="H323">
        <f>IF(ISNUMBER($A323),INDEX($U$6:$U$1505,$A323-3),"")</f>
        <v/>
      </c>
      <c r="I323">
        <f>IF(ISNUMBER($A323),INDEX($V$6:$V$1505,$A323-3),"")</f>
        <v/>
      </c>
      <c r="J323">
        <f>IF(ISNUMBER($A323),INDEX($W$6:$W$1505,$A323-3),"")</f>
        <v/>
      </c>
      <c r="K323">
        <f>IF(ISNUMBER($A323),INDEX($X$6:$X$1505,$A323-3),"")</f>
        <v/>
      </c>
      <c r="L323">
        <f>IF(ISNUMBER($A323),INDEX($Y$6:$Y$1505,$A323-3),"")</f>
        <v/>
      </c>
      <c r="O323">
        <f>321</f>
        <v/>
      </c>
      <c r="P323">
        <f>IF(TRIM('입력_구리근무자명단'!$A321&amp;"")&lt;&gt;"",TRIM('입력_구리근무자명단'!$A321&amp;""),P322)</f>
        <v/>
      </c>
      <c r="Q323">
        <f>'입력_구리근무자명단'!$B321&amp;""</f>
        <v/>
      </c>
      <c r="R323">
        <f>IF($E$2="","",TRIM(INDEX('입력_구리근무자명단'!$A321:$ZZ321,1,$E$2+IF($G$2="확정",1,0))&amp;""))</f>
        <v/>
      </c>
      <c r="S323">
        <f>IF($R323="","",IF(INDEX('입력_구리근무자명단'!$A321:$ZZ321,1,$E$2+2)&amp;""="",급여기준월,IF(ISNUMBER(INDEX('입력_구리근무자명단'!$A321:$ZZ321,1,$E$2+2)),INDEX('입력_구리근무자명단'!$A321:$ZZ321,1,$E$2+2),IFERROR(DATE(VALUE(LEFT(INDEX('입력_구리근무자명단'!$A321:$ZZ321,1,$E$2+2),4)),VALUE(MID(INDEX('입력_구리근무자명단'!$A321:$ZZ321,1,$E$2+2),6,2)),VALUE(MID(INDEX('입력_구리근무자명단'!$A321:$ZZ321,1,$E$2+2),9,2))),-1))))</f>
        <v/>
      </c>
      <c r="T323">
        <f>IF($R323="","",IF(INDEX('입력_구리근무자명단'!$A321:$ZZ321,1,$E$2+3)&amp;""="",EOMONTH(급여기준월,0),IF(ISNUMBER(INDEX('입력_구리근무자명단'!$A321:$ZZ321,1,$E$2+3)),INDEX('입력_구리근무자명단'!$A321:$ZZ321,1,$E$2+3),IFERROR(DATE(VALUE(LEFT(INDEX('입력_구리근무자명단'!$A321:$ZZ321,1,$E$2+3),4)),VALUE(MID(INDEX('입력_구리근무자명단'!$A321:$ZZ321,1,$E$2+3),6,2)),VALUE(MID(INDEX('입력_구리근무자명단'!$A321:$ZZ321,1,$E$2+3),9,2))),-1))))</f>
        <v/>
      </c>
      <c r="U323">
        <f>IF($R323="","",IF(OR($S323&lt;0,$T323&lt;0),0,MAX(0,MIN($T323,EOMONTH(급여기준월,0))-MAX($S323,급여기준월)+1)))</f>
        <v/>
      </c>
      <c r="V323">
        <f>IF($R323="","",TRIM(INDEX('입력_구리근무자명단'!$A321:$ZZ321,1,$E$2+5)&amp;""))</f>
        <v/>
      </c>
      <c r="W323">
        <f>IF(ISNUMBER(SEARCH("구리독자",$V323)),"구리독자","")</f>
        <v/>
      </c>
      <c r="X323">
        <f>IF($R323="","",$R323&amp;"|"&amp;IF(OR($Q323="인턴",ISNUMBER(SEARCH("수련교육부",$P323))),"인턴",$P323))</f>
        <v/>
      </c>
      <c r="Y323">
        <f>IF($R323="","",IF(COUNTIF(명단표[이름|과],$X323)=1,"명단 일치",IF(AND(COUNTIF(명단표[이름|과],$X323)=0,COUNTIF(명단표[이름],$R323)=1),"명단 일치(이름만, 과 다름)",IF(COUNTIF(명단표[이름],$R323)=0,IF(COUNTIF(기본자료표[이름],$R323)&gt;0,"명단에 없음(기본자료에는 있음)","명단에 없음"),"동명이인 확인"))))</f>
        <v/>
      </c>
      <c r="Z323">
        <f>IF($R323="","",IF($S323&lt;0,"⚠"&amp;INDEX('입력_구리근무자명단'!$A321:$ZZ321,1,$E$2+2),TEXT($S323,"yyyy-mm-dd")))</f>
        <v/>
      </c>
      <c r="AA323">
        <f>IF($R323="","",IF($T323&lt;0,"⚠"&amp;INDEX('입력_구리근무자명단'!$A321:$ZZ321,1,$E$2+3),TEXT($T323,"yyyy-mm-dd")))</f>
        <v/>
      </c>
      <c r="AB323">
        <f>AB322+IF($R323="",0,1)</f>
        <v/>
      </c>
      <c r="AC323">
        <f>IF($R323="","",$AB323)</f>
        <v/>
      </c>
    </row>
    <row r="324">
      <c r="A324">
        <f>IFERROR(INDEX($O$6:$O$1505,MATCH(319,$AC$6:$AC$1505,0)),"")</f>
        <v/>
      </c>
      <c r="B324">
        <f>IF(ISNUMBER($A324),INDEX($P$6:$P$1505,$A324-3),"")</f>
        <v/>
      </c>
      <c r="C324">
        <f>IF(ISNUMBER($A324),INDEX($Q$6:$Q$1505,$A324-3),"")</f>
        <v/>
      </c>
      <c r="D324">
        <f>IF(ISNUMBER($A324),INDEX($R$6:$R$1505,$A324-3),"")</f>
        <v/>
      </c>
      <c r="E324">
        <f>IF(ISNUMBER($A324),$G$2,"")</f>
        <v/>
      </c>
      <c r="F324">
        <f>IF(ISNUMBER($A324),INDEX($Z$6:$Z$1505,$A324-3),"")</f>
        <v/>
      </c>
      <c r="G324">
        <f>IF(ISNUMBER($A324),INDEX($AA$6:$AA$1505,$A324-3),"")</f>
        <v/>
      </c>
      <c r="H324">
        <f>IF(ISNUMBER($A324),INDEX($U$6:$U$1505,$A324-3),"")</f>
        <v/>
      </c>
      <c r="I324">
        <f>IF(ISNUMBER($A324),INDEX($V$6:$V$1505,$A324-3),"")</f>
        <v/>
      </c>
      <c r="J324">
        <f>IF(ISNUMBER($A324),INDEX($W$6:$W$1505,$A324-3),"")</f>
        <v/>
      </c>
      <c r="K324">
        <f>IF(ISNUMBER($A324),INDEX($X$6:$X$1505,$A324-3),"")</f>
        <v/>
      </c>
      <c r="L324">
        <f>IF(ISNUMBER($A324),INDEX($Y$6:$Y$1505,$A324-3),"")</f>
        <v/>
      </c>
      <c r="O324">
        <f>322</f>
        <v/>
      </c>
      <c r="P324">
        <f>IF(TRIM('입력_구리근무자명단'!$A322&amp;"")&lt;&gt;"",TRIM('입력_구리근무자명단'!$A322&amp;""),P323)</f>
        <v/>
      </c>
      <c r="Q324">
        <f>'입력_구리근무자명단'!$B322&amp;""</f>
        <v/>
      </c>
      <c r="R324">
        <f>IF($E$2="","",TRIM(INDEX('입력_구리근무자명단'!$A322:$ZZ322,1,$E$2+IF($G$2="확정",1,0))&amp;""))</f>
        <v/>
      </c>
      <c r="S324">
        <f>IF($R324="","",IF(INDEX('입력_구리근무자명단'!$A322:$ZZ322,1,$E$2+2)&amp;""="",급여기준월,IF(ISNUMBER(INDEX('입력_구리근무자명단'!$A322:$ZZ322,1,$E$2+2)),INDEX('입력_구리근무자명단'!$A322:$ZZ322,1,$E$2+2),IFERROR(DATE(VALUE(LEFT(INDEX('입력_구리근무자명단'!$A322:$ZZ322,1,$E$2+2),4)),VALUE(MID(INDEX('입력_구리근무자명단'!$A322:$ZZ322,1,$E$2+2),6,2)),VALUE(MID(INDEX('입력_구리근무자명단'!$A322:$ZZ322,1,$E$2+2),9,2))),-1))))</f>
        <v/>
      </c>
      <c r="T324">
        <f>IF($R324="","",IF(INDEX('입력_구리근무자명단'!$A322:$ZZ322,1,$E$2+3)&amp;""="",EOMONTH(급여기준월,0),IF(ISNUMBER(INDEX('입력_구리근무자명단'!$A322:$ZZ322,1,$E$2+3)),INDEX('입력_구리근무자명단'!$A322:$ZZ322,1,$E$2+3),IFERROR(DATE(VALUE(LEFT(INDEX('입력_구리근무자명단'!$A322:$ZZ322,1,$E$2+3),4)),VALUE(MID(INDEX('입력_구리근무자명단'!$A322:$ZZ322,1,$E$2+3),6,2)),VALUE(MID(INDEX('입력_구리근무자명단'!$A322:$ZZ322,1,$E$2+3),9,2))),-1))))</f>
        <v/>
      </c>
      <c r="U324">
        <f>IF($R324="","",IF(OR($S324&lt;0,$T324&lt;0),0,MAX(0,MIN($T324,EOMONTH(급여기준월,0))-MAX($S324,급여기준월)+1)))</f>
        <v/>
      </c>
      <c r="V324">
        <f>IF($R324="","",TRIM(INDEX('입력_구리근무자명단'!$A322:$ZZ322,1,$E$2+5)&amp;""))</f>
        <v/>
      </c>
      <c r="W324">
        <f>IF(ISNUMBER(SEARCH("구리독자",$V324)),"구리독자","")</f>
        <v/>
      </c>
      <c r="X324">
        <f>IF($R324="","",$R324&amp;"|"&amp;IF(OR($Q324="인턴",ISNUMBER(SEARCH("수련교육부",$P324))),"인턴",$P324))</f>
        <v/>
      </c>
      <c r="Y324">
        <f>IF($R324="","",IF(COUNTIF(명단표[이름|과],$X324)=1,"명단 일치",IF(AND(COUNTIF(명단표[이름|과],$X324)=0,COUNTIF(명단표[이름],$R324)=1),"명단 일치(이름만, 과 다름)",IF(COUNTIF(명단표[이름],$R324)=0,IF(COUNTIF(기본자료표[이름],$R324)&gt;0,"명단에 없음(기본자료에는 있음)","명단에 없음"),"동명이인 확인"))))</f>
        <v/>
      </c>
      <c r="Z324">
        <f>IF($R324="","",IF($S324&lt;0,"⚠"&amp;INDEX('입력_구리근무자명단'!$A322:$ZZ322,1,$E$2+2),TEXT($S324,"yyyy-mm-dd")))</f>
        <v/>
      </c>
      <c r="AA324">
        <f>IF($R324="","",IF($T324&lt;0,"⚠"&amp;INDEX('입력_구리근무자명단'!$A322:$ZZ322,1,$E$2+3),TEXT($T324,"yyyy-mm-dd")))</f>
        <v/>
      </c>
      <c r="AB324">
        <f>AB323+IF($R324="",0,1)</f>
        <v/>
      </c>
      <c r="AC324">
        <f>IF($R324="","",$AB324)</f>
        <v/>
      </c>
    </row>
    <row r="325">
      <c r="A325">
        <f>IFERROR(INDEX($O$6:$O$1505,MATCH(320,$AC$6:$AC$1505,0)),"")</f>
        <v/>
      </c>
      <c r="B325">
        <f>IF(ISNUMBER($A325),INDEX($P$6:$P$1505,$A325-3),"")</f>
        <v/>
      </c>
      <c r="C325">
        <f>IF(ISNUMBER($A325),INDEX($Q$6:$Q$1505,$A325-3),"")</f>
        <v/>
      </c>
      <c r="D325">
        <f>IF(ISNUMBER($A325),INDEX($R$6:$R$1505,$A325-3),"")</f>
        <v/>
      </c>
      <c r="E325">
        <f>IF(ISNUMBER($A325),$G$2,"")</f>
        <v/>
      </c>
      <c r="F325">
        <f>IF(ISNUMBER($A325),INDEX($Z$6:$Z$1505,$A325-3),"")</f>
        <v/>
      </c>
      <c r="G325">
        <f>IF(ISNUMBER($A325),INDEX($AA$6:$AA$1505,$A325-3),"")</f>
        <v/>
      </c>
      <c r="H325">
        <f>IF(ISNUMBER($A325),INDEX($U$6:$U$1505,$A325-3),"")</f>
        <v/>
      </c>
      <c r="I325">
        <f>IF(ISNUMBER($A325),INDEX($V$6:$V$1505,$A325-3),"")</f>
        <v/>
      </c>
      <c r="J325">
        <f>IF(ISNUMBER($A325),INDEX($W$6:$W$1505,$A325-3),"")</f>
        <v/>
      </c>
      <c r="K325">
        <f>IF(ISNUMBER($A325),INDEX($X$6:$X$1505,$A325-3),"")</f>
        <v/>
      </c>
      <c r="L325">
        <f>IF(ISNUMBER($A325),INDEX($Y$6:$Y$1505,$A325-3),"")</f>
        <v/>
      </c>
      <c r="O325">
        <f>323</f>
        <v/>
      </c>
      <c r="P325">
        <f>IF(TRIM('입력_구리근무자명단'!$A323&amp;"")&lt;&gt;"",TRIM('입력_구리근무자명단'!$A323&amp;""),P324)</f>
        <v/>
      </c>
      <c r="Q325">
        <f>'입력_구리근무자명단'!$B323&amp;""</f>
        <v/>
      </c>
      <c r="R325">
        <f>IF($E$2="","",TRIM(INDEX('입력_구리근무자명단'!$A323:$ZZ323,1,$E$2+IF($G$2="확정",1,0))&amp;""))</f>
        <v/>
      </c>
      <c r="S325">
        <f>IF($R325="","",IF(INDEX('입력_구리근무자명단'!$A323:$ZZ323,1,$E$2+2)&amp;""="",급여기준월,IF(ISNUMBER(INDEX('입력_구리근무자명단'!$A323:$ZZ323,1,$E$2+2)),INDEX('입력_구리근무자명단'!$A323:$ZZ323,1,$E$2+2),IFERROR(DATE(VALUE(LEFT(INDEX('입력_구리근무자명단'!$A323:$ZZ323,1,$E$2+2),4)),VALUE(MID(INDEX('입력_구리근무자명단'!$A323:$ZZ323,1,$E$2+2),6,2)),VALUE(MID(INDEX('입력_구리근무자명단'!$A323:$ZZ323,1,$E$2+2),9,2))),-1))))</f>
        <v/>
      </c>
      <c r="T325">
        <f>IF($R325="","",IF(INDEX('입력_구리근무자명단'!$A323:$ZZ323,1,$E$2+3)&amp;""="",EOMONTH(급여기준월,0),IF(ISNUMBER(INDEX('입력_구리근무자명단'!$A323:$ZZ323,1,$E$2+3)),INDEX('입력_구리근무자명단'!$A323:$ZZ323,1,$E$2+3),IFERROR(DATE(VALUE(LEFT(INDEX('입력_구리근무자명단'!$A323:$ZZ323,1,$E$2+3),4)),VALUE(MID(INDEX('입력_구리근무자명단'!$A323:$ZZ323,1,$E$2+3),6,2)),VALUE(MID(INDEX('입력_구리근무자명단'!$A323:$ZZ323,1,$E$2+3),9,2))),-1))))</f>
        <v/>
      </c>
      <c r="U325">
        <f>IF($R325="","",IF(OR($S325&lt;0,$T325&lt;0),0,MAX(0,MIN($T325,EOMONTH(급여기준월,0))-MAX($S325,급여기준월)+1)))</f>
        <v/>
      </c>
      <c r="V325">
        <f>IF($R325="","",TRIM(INDEX('입력_구리근무자명단'!$A323:$ZZ323,1,$E$2+5)&amp;""))</f>
        <v/>
      </c>
      <c r="W325">
        <f>IF(ISNUMBER(SEARCH("구리독자",$V325)),"구리독자","")</f>
        <v/>
      </c>
      <c r="X325">
        <f>IF($R325="","",$R325&amp;"|"&amp;IF(OR($Q325="인턴",ISNUMBER(SEARCH("수련교육부",$P325))),"인턴",$P325))</f>
        <v/>
      </c>
      <c r="Y325">
        <f>IF($R325="","",IF(COUNTIF(명단표[이름|과],$X325)=1,"명단 일치",IF(AND(COUNTIF(명단표[이름|과],$X325)=0,COUNTIF(명단표[이름],$R325)=1),"명단 일치(이름만, 과 다름)",IF(COUNTIF(명단표[이름],$R325)=0,IF(COUNTIF(기본자료표[이름],$R325)&gt;0,"명단에 없음(기본자료에는 있음)","명단에 없음"),"동명이인 확인"))))</f>
        <v/>
      </c>
      <c r="Z325">
        <f>IF($R325="","",IF($S325&lt;0,"⚠"&amp;INDEX('입력_구리근무자명단'!$A323:$ZZ323,1,$E$2+2),TEXT($S325,"yyyy-mm-dd")))</f>
        <v/>
      </c>
      <c r="AA325">
        <f>IF($R325="","",IF($T325&lt;0,"⚠"&amp;INDEX('입력_구리근무자명단'!$A323:$ZZ323,1,$E$2+3),TEXT($T325,"yyyy-mm-dd")))</f>
        <v/>
      </c>
      <c r="AB325">
        <f>AB324+IF($R325="",0,1)</f>
        <v/>
      </c>
      <c r="AC325">
        <f>IF($R325="","",$AB325)</f>
        <v/>
      </c>
    </row>
    <row r="326">
      <c r="A326">
        <f>IFERROR(INDEX($O$6:$O$1505,MATCH(321,$AC$6:$AC$1505,0)),"")</f>
        <v/>
      </c>
      <c r="B326">
        <f>IF(ISNUMBER($A326),INDEX($P$6:$P$1505,$A326-3),"")</f>
        <v/>
      </c>
      <c r="C326">
        <f>IF(ISNUMBER($A326),INDEX($Q$6:$Q$1505,$A326-3),"")</f>
        <v/>
      </c>
      <c r="D326">
        <f>IF(ISNUMBER($A326),INDEX($R$6:$R$1505,$A326-3),"")</f>
        <v/>
      </c>
      <c r="E326">
        <f>IF(ISNUMBER($A326),$G$2,"")</f>
        <v/>
      </c>
      <c r="F326">
        <f>IF(ISNUMBER($A326),INDEX($Z$6:$Z$1505,$A326-3),"")</f>
        <v/>
      </c>
      <c r="G326">
        <f>IF(ISNUMBER($A326),INDEX($AA$6:$AA$1505,$A326-3),"")</f>
        <v/>
      </c>
      <c r="H326">
        <f>IF(ISNUMBER($A326),INDEX($U$6:$U$1505,$A326-3),"")</f>
        <v/>
      </c>
      <c r="I326">
        <f>IF(ISNUMBER($A326),INDEX($V$6:$V$1505,$A326-3),"")</f>
        <v/>
      </c>
      <c r="J326">
        <f>IF(ISNUMBER($A326),INDEX($W$6:$W$1505,$A326-3),"")</f>
        <v/>
      </c>
      <c r="K326">
        <f>IF(ISNUMBER($A326),INDEX($X$6:$X$1505,$A326-3),"")</f>
        <v/>
      </c>
      <c r="L326">
        <f>IF(ISNUMBER($A326),INDEX($Y$6:$Y$1505,$A326-3),"")</f>
        <v/>
      </c>
      <c r="O326">
        <f>324</f>
        <v/>
      </c>
      <c r="P326">
        <f>IF(TRIM('입력_구리근무자명단'!$A324&amp;"")&lt;&gt;"",TRIM('입력_구리근무자명단'!$A324&amp;""),P325)</f>
        <v/>
      </c>
      <c r="Q326">
        <f>'입력_구리근무자명단'!$B324&amp;""</f>
        <v/>
      </c>
      <c r="R326">
        <f>IF($E$2="","",TRIM(INDEX('입력_구리근무자명단'!$A324:$ZZ324,1,$E$2+IF($G$2="확정",1,0))&amp;""))</f>
        <v/>
      </c>
      <c r="S326">
        <f>IF($R326="","",IF(INDEX('입력_구리근무자명단'!$A324:$ZZ324,1,$E$2+2)&amp;""="",급여기준월,IF(ISNUMBER(INDEX('입력_구리근무자명단'!$A324:$ZZ324,1,$E$2+2)),INDEX('입력_구리근무자명단'!$A324:$ZZ324,1,$E$2+2),IFERROR(DATE(VALUE(LEFT(INDEX('입력_구리근무자명단'!$A324:$ZZ324,1,$E$2+2),4)),VALUE(MID(INDEX('입력_구리근무자명단'!$A324:$ZZ324,1,$E$2+2),6,2)),VALUE(MID(INDEX('입력_구리근무자명단'!$A324:$ZZ324,1,$E$2+2),9,2))),-1))))</f>
        <v/>
      </c>
      <c r="T326">
        <f>IF($R326="","",IF(INDEX('입력_구리근무자명단'!$A324:$ZZ324,1,$E$2+3)&amp;""="",EOMONTH(급여기준월,0),IF(ISNUMBER(INDEX('입력_구리근무자명단'!$A324:$ZZ324,1,$E$2+3)),INDEX('입력_구리근무자명단'!$A324:$ZZ324,1,$E$2+3),IFERROR(DATE(VALUE(LEFT(INDEX('입력_구리근무자명단'!$A324:$ZZ324,1,$E$2+3),4)),VALUE(MID(INDEX('입력_구리근무자명단'!$A324:$ZZ324,1,$E$2+3),6,2)),VALUE(MID(INDEX('입력_구리근무자명단'!$A324:$ZZ324,1,$E$2+3),9,2))),-1))))</f>
        <v/>
      </c>
      <c r="U326">
        <f>IF($R326="","",IF(OR($S326&lt;0,$T326&lt;0),0,MAX(0,MIN($T326,EOMONTH(급여기준월,0))-MAX($S326,급여기준월)+1)))</f>
        <v/>
      </c>
      <c r="V326">
        <f>IF($R326="","",TRIM(INDEX('입력_구리근무자명단'!$A324:$ZZ324,1,$E$2+5)&amp;""))</f>
        <v/>
      </c>
      <c r="W326">
        <f>IF(ISNUMBER(SEARCH("구리독자",$V326)),"구리독자","")</f>
        <v/>
      </c>
      <c r="X326">
        <f>IF($R326="","",$R326&amp;"|"&amp;IF(OR($Q326="인턴",ISNUMBER(SEARCH("수련교육부",$P326))),"인턴",$P326))</f>
        <v/>
      </c>
      <c r="Y326">
        <f>IF($R326="","",IF(COUNTIF(명단표[이름|과],$X326)=1,"명단 일치",IF(AND(COUNTIF(명단표[이름|과],$X326)=0,COUNTIF(명단표[이름],$R326)=1),"명단 일치(이름만, 과 다름)",IF(COUNTIF(명단표[이름],$R326)=0,IF(COUNTIF(기본자료표[이름],$R326)&gt;0,"명단에 없음(기본자료에는 있음)","명단에 없음"),"동명이인 확인"))))</f>
        <v/>
      </c>
      <c r="Z326">
        <f>IF($R326="","",IF($S326&lt;0,"⚠"&amp;INDEX('입력_구리근무자명단'!$A324:$ZZ324,1,$E$2+2),TEXT($S326,"yyyy-mm-dd")))</f>
        <v/>
      </c>
      <c r="AA326">
        <f>IF($R326="","",IF($T326&lt;0,"⚠"&amp;INDEX('입력_구리근무자명단'!$A324:$ZZ324,1,$E$2+3),TEXT($T326,"yyyy-mm-dd")))</f>
        <v/>
      </c>
      <c r="AB326">
        <f>AB325+IF($R326="",0,1)</f>
        <v/>
      </c>
      <c r="AC326">
        <f>IF($R326="","",$AB326)</f>
        <v/>
      </c>
    </row>
    <row r="327">
      <c r="A327">
        <f>IFERROR(INDEX($O$6:$O$1505,MATCH(322,$AC$6:$AC$1505,0)),"")</f>
        <v/>
      </c>
      <c r="B327">
        <f>IF(ISNUMBER($A327),INDEX($P$6:$P$1505,$A327-3),"")</f>
        <v/>
      </c>
      <c r="C327">
        <f>IF(ISNUMBER($A327),INDEX($Q$6:$Q$1505,$A327-3),"")</f>
        <v/>
      </c>
      <c r="D327">
        <f>IF(ISNUMBER($A327),INDEX($R$6:$R$1505,$A327-3),"")</f>
        <v/>
      </c>
      <c r="E327">
        <f>IF(ISNUMBER($A327),$G$2,"")</f>
        <v/>
      </c>
      <c r="F327">
        <f>IF(ISNUMBER($A327),INDEX($Z$6:$Z$1505,$A327-3),"")</f>
        <v/>
      </c>
      <c r="G327">
        <f>IF(ISNUMBER($A327),INDEX($AA$6:$AA$1505,$A327-3),"")</f>
        <v/>
      </c>
      <c r="H327">
        <f>IF(ISNUMBER($A327),INDEX($U$6:$U$1505,$A327-3),"")</f>
        <v/>
      </c>
      <c r="I327">
        <f>IF(ISNUMBER($A327),INDEX($V$6:$V$1505,$A327-3),"")</f>
        <v/>
      </c>
      <c r="J327">
        <f>IF(ISNUMBER($A327),INDEX($W$6:$W$1505,$A327-3),"")</f>
        <v/>
      </c>
      <c r="K327">
        <f>IF(ISNUMBER($A327),INDEX($X$6:$X$1505,$A327-3),"")</f>
        <v/>
      </c>
      <c r="L327">
        <f>IF(ISNUMBER($A327),INDEX($Y$6:$Y$1505,$A327-3),"")</f>
        <v/>
      </c>
      <c r="O327">
        <f>325</f>
        <v/>
      </c>
      <c r="P327">
        <f>IF(TRIM('입력_구리근무자명단'!$A325&amp;"")&lt;&gt;"",TRIM('입력_구리근무자명단'!$A325&amp;""),P326)</f>
        <v/>
      </c>
      <c r="Q327">
        <f>'입력_구리근무자명단'!$B325&amp;""</f>
        <v/>
      </c>
      <c r="R327">
        <f>IF($E$2="","",TRIM(INDEX('입력_구리근무자명단'!$A325:$ZZ325,1,$E$2+IF($G$2="확정",1,0))&amp;""))</f>
        <v/>
      </c>
      <c r="S327">
        <f>IF($R327="","",IF(INDEX('입력_구리근무자명단'!$A325:$ZZ325,1,$E$2+2)&amp;""="",급여기준월,IF(ISNUMBER(INDEX('입력_구리근무자명단'!$A325:$ZZ325,1,$E$2+2)),INDEX('입력_구리근무자명단'!$A325:$ZZ325,1,$E$2+2),IFERROR(DATE(VALUE(LEFT(INDEX('입력_구리근무자명단'!$A325:$ZZ325,1,$E$2+2),4)),VALUE(MID(INDEX('입력_구리근무자명단'!$A325:$ZZ325,1,$E$2+2),6,2)),VALUE(MID(INDEX('입력_구리근무자명단'!$A325:$ZZ325,1,$E$2+2),9,2))),-1))))</f>
        <v/>
      </c>
      <c r="T327">
        <f>IF($R327="","",IF(INDEX('입력_구리근무자명단'!$A325:$ZZ325,1,$E$2+3)&amp;""="",EOMONTH(급여기준월,0),IF(ISNUMBER(INDEX('입력_구리근무자명단'!$A325:$ZZ325,1,$E$2+3)),INDEX('입력_구리근무자명단'!$A325:$ZZ325,1,$E$2+3),IFERROR(DATE(VALUE(LEFT(INDEX('입력_구리근무자명단'!$A325:$ZZ325,1,$E$2+3),4)),VALUE(MID(INDEX('입력_구리근무자명단'!$A325:$ZZ325,1,$E$2+3),6,2)),VALUE(MID(INDEX('입력_구리근무자명단'!$A325:$ZZ325,1,$E$2+3),9,2))),-1))))</f>
        <v/>
      </c>
      <c r="U327">
        <f>IF($R327="","",IF(OR($S327&lt;0,$T327&lt;0),0,MAX(0,MIN($T327,EOMONTH(급여기준월,0))-MAX($S327,급여기준월)+1)))</f>
        <v/>
      </c>
      <c r="V327">
        <f>IF($R327="","",TRIM(INDEX('입력_구리근무자명단'!$A325:$ZZ325,1,$E$2+5)&amp;""))</f>
        <v/>
      </c>
      <c r="W327">
        <f>IF(ISNUMBER(SEARCH("구리독자",$V327)),"구리독자","")</f>
        <v/>
      </c>
      <c r="X327">
        <f>IF($R327="","",$R327&amp;"|"&amp;IF(OR($Q327="인턴",ISNUMBER(SEARCH("수련교육부",$P327))),"인턴",$P327))</f>
        <v/>
      </c>
      <c r="Y327">
        <f>IF($R327="","",IF(COUNTIF(명단표[이름|과],$X327)=1,"명단 일치",IF(AND(COUNTIF(명단표[이름|과],$X327)=0,COUNTIF(명단표[이름],$R327)=1),"명단 일치(이름만, 과 다름)",IF(COUNTIF(명단표[이름],$R327)=0,IF(COUNTIF(기본자료표[이름],$R327)&gt;0,"명단에 없음(기본자료에는 있음)","명단에 없음"),"동명이인 확인"))))</f>
        <v/>
      </c>
      <c r="Z327">
        <f>IF($R327="","",IF($S327&lt;0,"⚠"&amp;INDEX('입력_구리근무자명단'!$A325:$ZZ325,1,$E$2+2),TEXT($S327,"yyyy-mm-dd")))</f>
        <v/>
      </c>
      <c r="AA327">
        <f>IF($R327="","",IF($T327&lt;0,"⚠"&amp;INDEX('입력_구리근무자명단'!$A325:$ZZ325,1,$E$2+3),TEXT($T327,"yyyy-mm-dd")))</f>
        <v/>
      </c>
      <c r="AB327">
        <f>AB326+IF($R327="",0,1)</f>
        <v/>
      </c>
      <c r="AC327">
        <f>IF($R327="","",$AB327)</f>
        <v/>
      </c>
    </row>
    <row r="328">
      <c r="A328">
        <f>IFERROR(INDEX($O$6:$O$1505,MATCH(323,$AC$6:$AC$1505,0)),"")</f>
        <v/>
      </c>
      <c r="B328">
        <f>IF(ISNUMBER($A328),INDEX($P$6:$P$1505,$A328-3),"")</f>
        <v/>
      </c>
      <c r="C328">
        <f>IF(ISNUMBER($A328),INDEX($Q$6:$Q$1505,$A328-3),"")</f>
        <v/>
      </c>
      <c r="D328">
        <f>IF(ISNUMBER($A328),INDEX($R$6:$R$1505,$A328-3),"")</f>
        <v/>
      </c>
      <c r="E328">
        <f>IF(ISNUMBER($A328),$G$2,"")</f>
        <v/>
      </c>
      <c r="F328">
        <f>IF(ISNUMBER($A328),INDEX($Z$6:$Z$1505,$A328-3),"")</f>
        <v/>
      </c>
      <c r="G328">
        <f>IF(ISNUMBER($A328),INDEX($AA$6:$AA$1505,$A328-3),"")</f>
        <v/>
      </c>
      <c r="H328">
        <f>IF(ISNUMBER($A328),INDEX($U$6:$U$1505,$A328-3),"")</f>
        <v/>
      </c>
      <c r="I328">
        <f>IF(ISNUMBER($A328),INDEX($V$6:$V$1505,$A328-3),"")</f>
        <v/>
      </c>
      <c r="J328">
        <f>IF(ISNUMBER($A328),INDEX($W$6:$W$1505,$A328-3),"")</f>
        <v/>
      </c>
      <c r="K328">
        <f>IF(ISNUMBER($A328),INDEX($X$6:$X$1505,$A328-3),"")</f>
        <v/>
      </c>
      <c r="L328">
        <f>IF(ISNUMBER($A328),INDEX($Y$6:$Y$1505,$A328-3),"")</f>
        <v/>
      </c>
      <c r="O328">
        <f>326</f>
        <v/>
      </c>
      <c r="P328">
        <f>IF(TRIM('입력_구리근무자명단'!$A326&amp;"")&lt;&gt;"",TRIM('입력_구리근무자명단'!$A326&amp;""),P327)</f>
        <v/>
      </c>
      <c r="Q328">
        <f>'입력_구리근무자명단'!$B326&amp;""</f>
        <v/>
      </c>
      <c r="R328">
        <f>IF($E$2="","",TRIM(INDEX('입력_구리근무자명단'!$A326:$ZZ326,1,$E$2+IF($G$2="확정",1,0))&amp;""))</f>
        <v/>
      </c>
      <c r="S328">
        <f>IF($R328="","",IF(INDEX('입력_구리근무자명단'!$A326:$ZZ326,1,$E$2+2)&amp;""="",급여기준월,IF(ISNUMBER(INDEX('입력_구리근무자명단'!$A326:$ZZ326,1,$E$2+2)),INDEX('입력_구리근무자명단'!$A326:$ZZ326,1,$E$2+2),IFERROR(DATE(VALUE(LEFT(INDEX('입력_구리근무자명단'!$A326:$ZZ326,1,$E$2+2),4)),VALUE(MID(INDEX('입력_구리근무자명단'!$A326:$ZZ326,1,$E$2+2),6,2)),VALUE(MID(INDEX('입력_구리근무자명단'!$A326:$ZZ326,1,$E$2+2),9,2))),-1))))</f>
        <v/>
      </c>
      <c r="T328">
        <f>IF($R328="","",IF(INDEX('입력_구리근무자명단'!$A326:$ZZ326,1,$E$2+3)&amp;""="",EOMONTH(급여기준월,0),IF(ISNUMBER(INDEX('입력_구리근무자명단'!$A326:$ZZ326,1,$E$2+3)),INDEX('입력_구리근무자명단'!$A326:$ZZ326,1,$E$2+3),IFERROR(DATE(VALUE(LEFT(INDEX('입력_구리근무자명단'!$A326:$ZZ326,1,$E$2+3),4)),VALUE(MID(INDEX('입력_구리근무자명단'!$A326:$ZZ326,1,$E$2+3),6,2)),VALUE(MID(INDEX('입력_구리근무자명단'!$A326:$ZZ326,1,$E$2+3),9,2))),-1))))</f>
        <v/>
      </c>
      <c r="U328">
        <f>IF($R328="","",IF(OR($S328&lt;0,$T328&lt;0),0,MAX(0,MIN($T328,EOMONTH(급여기준월,0))-MAX($S328,급여기준월)+1)))</f>
        <v/>
      </c>
      <c r="V328">
        <f>IF($R328="","",TRIM(INDEX('입력_구리근무자명단'!$A326:$ZZ326,1,$E$2+5)&amp;""))</f>
        <v/>
      </c>
      <c r="W328">
        <f>IF(ISNUMBER(SEARCH("구리독자",$V328)),"구리독자","")</f>
        <v/>
      </c>
      <c r="X328">
        <f>IF($R328="","",$R328&amp;"|"&amp;IF(OR($Q328="인턴",ISNUMBER(SEARCH("수련교육부",$P328))),"인턴",$P328))</f>
        <v/>
      </c>
      <c r="Y328">
        <f>IF($R328="","",IF(COUNTIF(명단표[이름|과],$X328)=1,"명단 일치",IF(AND(COUNTIF(명단표[이름|과],$X328)=0,COUNTIF(명단표[이름],$R328)=1),"명단 일치(이름만, 과 다름)",IF(COUNTIF(명단표[이름],$R328)=0,IF(COUNTIF(기본자료표[이름],$R328)&gt;0,"명단에 없음(기본자료에는 있음)","명단에 없음"),"동명이인 확인"))))</f>
        <v/>
      </c>
      <c r="Z328">
        <f>IF($R328="","",IF($S328&lt;0,"⚠"&amp;INDEX('입력_구리근무자명단'!$A326:$ZZ326,1,$E$2+2),TEXT($S328,"yyyy-mm-dd")))</f>
        <v/>
      </c>
      <c r="AA328">
        <f>IF($R328="","",IF($T328&lt;0,"⚠"&amp;INDEX('입력_구리근무자명단'!$A326:$ZZ326,1,$E$2+3),TEXT($T328,"yyyy-mm-dd")))</f>
        <v/>
      </c>
      <c r="AB328">
        <f>AB327+IF($R328="",0,1)</f>
        <v/>
      </c>
      <c r="AC328">
        <f>IF($R328="","",$AB328)</f>
        <v/>
      </c>
    </row>
    <row r="329">
      <c r="A329">
        <f>IFERROR(INDEX($O$6:$O$1505,MATCH(324,$AC$6:$AC$1505,0)),"")</f>
        <v/>
      </c>
      <c r="B329">
        <f>IF(ISNUMBER($A329),INDEX($P$6:$P$1505,$A329-3),"")</f>
        <v/>
      </c>
      <c r="C329">
        <f>IF(ISNUMBER($A329),INDEX($Q$6:$Q$1505,$A329-3),"")</f>
        <v/>
      </c>
      <c r="D329">
        <f>IF(ISNUMBER($A329),INDEX($R$6:$R$1505,$A329-3),"")</f>
        <v/>
      </c>
      <c r="E329">
        <f>IF(ISNUMBER($A329),$G$2,"")</f>
        <v/>
      </c>
      <c r="F329">
        <f>IF(ISNUMBER($A329),INDEX($Z$6:$Z$1505,$A329-3),"")</f>
        <v/>
      </c>
      <c r="G329">
        <f>IF(ISNUMBER($A329),INDEX($AA$6:$AA$1505,$A329-3),"")</f>
        <v/>
      </c>
      <c r="H329">
        <f>IF(ISNUMBER($A329),INDEX($U$6:$U$1505,$A329-3),"")</f>
        <v/>
      </c>
      <c r="I329">
        <f>IF(ISNUMBER($A329),INDEX($V$6:$V$1505,$A329-3),"")</f>
        <v/>
      </c>
      <c r="J329">
        <f>IF(ISNUMBER($A329),INDEX($W$6:$W$1505,$A329-3),"")</f>
        <v/>
      </c>
      <c r="K329">
        <f>IF(ISNUMBER($A329),INDEX($X$6:$X$1505,$A329-3),"")</f>
        <v/>
      </c>
      <c r="L329">
        <f>IF(ISNUMBER($A329),INDEX($Y$6:$Y$1505,$A329-3),"")</f>
        <v/>
      </c>
      <c r="O329">
        <f>327</f>
        <v/>
      </c>
      <c r="P329">
        <f>IF(TRIM('입력_구리근무자명단'!$A327&amp;"")&lt;&gt;"",TRIM('입력_구리근무자명단'!$A327&amp;""),P328)</f>
        <v/>
      </c>
      <c r="Q329">
        <f>'입력_구리근무자명단'!$B327&amp;""</f>
        <v/>
      </c>
      <c r="R329">
        <f>IF($E$2="","",TRIM(INDEX('입력_구리근무자명단'!$A327:$ZZ327,1,$E$2+IF($G$2="확정",1,0))&amp;""))</f>
        <v/>
      </c>
      <c r="S329">
        <f>IF($R329="","",IF(INDEX('입력_구리근무자명단'!$A327:$ZZ327,1,$E$2+2)&amp;""="",급여기준월,IF(ISNUMBER(INDEX('입력_구리근무자명단'!$A327:$ZZ327,1,$E$2+2)),INDEX('입력_구리근무자명단'!$A327:$ZZ327,1,$E$2+2),IFERROR(DATE(VALUE(LEFT(INDEX('입력_구리근무자명단'!$A327:$ZZ327,1,$E$2+2),4)),VALUE(MID(INDEX('입력_구리근무자명단'!$A327:$ZZ327,1,$E$2+2),6,2)),VALUE(MID(INDEX('입력_구리근무자명단'!$A327:$ZZ327,1,$E$2+2),9,2))),-1))))</f>
        <v/>
      </c>
      <c r="T329">
        <f>IF($R329="","",IF(INDEX('입력_구리근무자명단'!$A327:$ZZ327,1,$E$2+3)&amp;""="",EOMONTH(급여기준월,0),IF(ISNUMBER(INDEX('입력_구리근무자명단'!$A327:$ZZ327,1,$E$2+3)),INDEX('입력_구리근무자명단'!$A327:$ZZ327,1,$E$2+3),IFERROR(DATE(VALUE(LEFT(INDEX('입력_구리근무자명단'!$A327:$ZZ327,1,$E$2+3),4)),VALUE(MID(INDEX('입력_구리근무자명단'!$A327:$ZZ327,1,$E$2+3),6,2)),VALUE(MID(INDEX('입력_구리근무자명단'!$A327:$ZZ327,1,$E$2+3),9,2))),-1))))</f>
        <v/>
      </c>
      <c r="U329">
        <f>IF($R329="","",IF(OR($S329&lt;0,$T329&lt;0),0,MAX(0,MIN($T329,EOMONTH(급여기준월,0))-MAX($S329,급여기준월)+1)))</f>
        <v/>
      </c>
      <c r="V329">
        <f>IF($R329="","",TRIM(INDEX('입력_구리근무자명단'!$A327:$ZZ327,1,$E$2+5)&amp;""))</f>
        <v/>
      </c>
      <c r="W329">
        <f>IF(ISNUMBER(SEARCH("구리독자",$V329)),"구리독자","")</f>
        <v/>
      </c>
      <c r="X329">
        <f>IF($R329="","",$R329&amp;"|"&amp;IF(OR($Q329="인턴",ISNUMBER(SEARCH("수련교육부",$P329))),"인턴",$P329))</f>
        <v/>
      </c>
      <c r="Y329">
        <f>IF($R329="","",IF(COUNTIF(명단표[이름|과],$X329)=1,"명단 일치",IF(AND(COUNTIF(명단표[이름|과],$X329)=0,COUNTIF(명단표[이름],$R329)=1),"명단 일치(이름만, 과 다름)",IF(COUNTIF(명단표[이름],$R329)=0,IF(COUNTIF(기본자료표[이름],$R329)&gt;0,"명단에 없음(기본자료에는 있음)","명단에 없음"),"동명이인 확인"))))</f>
        <v/>
      </c>
      <c r="Z329">
        <f>IF($R329="","",IF($S329&lt;0,"⚠"&amp;INDEX('입력_구리근무자명단'!$A327:$ZZ327,1,$E$2+2),TEXT($S329,"yyyy-mm-dd")))</f>
        <v/>
      </c>
      <c r="AA329">
        <f>IF($R329="","",IF($T329&lt;0,"⚠"&amp;INDEX('입력_구리근무자명단'!$A327:$ZZ327,1,$E$2+3),TEXT($T329,"yyyy-mm-dd")))</f>
        <v/>
      </c>
      <c r="AB329">
        <f>AB328+IF($R329="",0,1)</f>
        <v/>
      </c>
      <c r="AC329">
        <f>IF($R329="","",$AB329)</f>
        <v/>
      </c>
    </row>
    <row r="330">
      <c r="A330">
        <f>IFERROR(INDEX($O$6:$O$1505,MATCH(325,$AC$6:$AC$1505,0)),"")</f>
        <v/>
      </c>
      <c r="B330">
        <f>IF(ISNUMBER($A330),INDEX($P$6:$P$1505,$A330-3),"")</f>
        <v/>
      </c>
      <c r="C330">
        <f>IF(ISNUMBER($A330),INDEX($Q$6:$Q$1505,$A330-3),"")</f>
        <v/>
      </c>
      <c r="D330">
        <f>IF(ISNUMBER($A330),INDEX($R$6:$R$1505,$A330-3),"")</f>
        <v/>
      </c>
      <c r="E330">
        <f>IF(ISNUMBER($A330),$G$2,"")</f>
        <v/>
      </c>
      <c r="F330">
        <f>IF(ISNUMBER($A330),INDEX($Z$6:$Z$1505,$A330-3),"")</f>
        <v/>
      </c>
      <c r="G330">
        <f>IF(ISNUMBER($A330),INDEX($AA$6:$AA$1505,$A330-3),"")</f>
        <v/>
      </c>
      <c r="H330">
        <f>IF(ISNUMBER($A330),INDEX($U$6:$U$1505,$A330-3),"")</f>
        <v/>
      </c>
      <c r="I330">
        <f>IF(ISNUMBER($A330),INDEX($V$6:$V$1505,$A330-3),"")</f>
        <v/>
      </c>
      <c r="J330">
        <f>IF(ISNUMBER($A330),INDEX($W$6:$W$1505,$A330-3),"")</f>
        <v/>
      </c>
      <c r="K330">
        <f>IF(ISNUMBER($A330),INDEX($X$6:$X$1505,$A330-3),"")</f>
        <v/>
      </c>
      <c r="L330">
        <f>IF(ISNUMBER($A330),INDEX($Y$6:$Y$1505,$A330-3),"")</f>
        <v/>
      </c>
      <c r="O330">
        <f>328</f>
        <v/>
      </c>
      <c r="P330">
        <f>IF(TRIM('입력_구리근무자명단'!$A328&amp;"")&lt;&gt;"",TRIM('입력_구리근무자명단'!$A328&amp;""),P329)</f>
        <v/>
      </c>
      <c r="Q330">
        <f>'입력_구리근무자명단'!$B328&amp;""</f>
        <v/>
      </c>
      <c r="R330">
        <f>IF($E$2="","",TRIM(INDEX('입력_구리근무자명단'!$A328:$ZZ328,1,$E$2+IF($G$2="확정",1,0))&amp;""))</f>
        <v/>
      </c>
      <c r="S330">
        <f>IF($R330="","",IF(INDEX('입력_구리근무자명단'!$A328:$ZZ328,1,$E$2+2)&amp;""="",급여기준월,IF(ISNUMBER(INDEX('입력_구리근무자명단'!$A328:$ZZ328,1,$E$2+2)),INDEX('입력_구리근무자명단'!$A328:$ZZ328,1,$E$2+2),IFERROR(DATE(VALUE(LEFT(INDEX('입력_구리근무자명단'!$A328:$ZZ328,1,$E$2+2),4)),VALUE(MID(INDEX('입력_구리근무자명단'!$A328:$ZZ328,1,$E$2+2),6,2)),VALUE(MID(INDEX('입력_구리근무자명단'!$A328:$ZZ328,1,$E$2+2),9,2))),-1))))</f>
        <v/>
      </c>
      <c r="T330">
        <f>IF($R330="","",IF(INDEX('입력_구리근무자명단'!$A328:$ZZ328,1,$E$2+3)&amp;""="",EOMONTH(급여기준월,0),IF(ISNUMBER(INDEX('입력_구리근무자명단'!$A328:$ZZ328,1,$E$2+3)),INDEX('입력_구리근무자명단'!$A328:$ZZ328,1,$E$2+3),IFERROR(DATE(VALUE(LEFT(INDEX('입력_구리근무자명단'!$A328:$ZZ328,1,$E$2+3),4)),VALUE(MID(INDEX('입력_구리근무자명단'!$A328:$ZZ328,1,$E$2+3),6,2)),VALUE(MID(INDEX('입력_구리근무자명단'!$A328:$ZZ328,1,$E$2+3),9,2))),-1))))</f>
        <v/>
      </c>
      <c r="U330">
        <f>IF($R330="","",IF(OR($S330&lt;0,$T330&lt;0),0,MAX(0,MIN($T330,EOMONTH(급여기준월,0))-MAX($S330,급여기준월)+1)))</f>
        <v/>
      </c>
      <c r="V330">
        <f>IF($R330="","",TRIM(INDEX('입력_구리근무자명단'!$A328:$ZZ328,1,$E$2+5)&amp;""))</f>
        <v/>
      </c>
      <c r="W330">
        <f>IF(ISNUMBER(SEARCH("구리독자",$V330)),"구리독자","")</f>
        <v/>
      </c>
      <c r="X330">
        <f>IF($R330="","",$R330&amp;"|"&amp;IF(OR($Q330="인턴",ISNUMBER(SEARCH("수련교육부",$P330))),"인턴",$P330))</f>
        <v/>
      </c>
      <c r="Y330">
        <f>IF($R330="","",IF(COUNTIF(명단표[이름|과],$X330)=1,"명단 일치",IF(AND(COUNTIF(명단표[이름|과],$X330)=0,COUNTIF(명단표[이름],$R330)=1),"명단 일치(이름만, 과 다름)",IF(COUNTIF(명단표[이름],$R330)=0,IF(COUNTIF(기본자료표[이름],$R330)&gt;0,"명단에 없음(기본자료에는 있음)","명단에 없음"),"동명이인 확인"))))</f>
        <v/>
      </c>
      <c r="Z330">
        <f>IF($R330="","",IF($S330&lt;0,"⚠"&amp;INDEX('입력_구리근무자명단'!$A328:$ZZ328,1,$E$2+2),TEXT($S330,"yyyy-mm-dd")))</f>
        <v/>
      </c>
      <c r="AA330">
        <f>IF($R330="","",IF($T330&lt;0,"⚠"&amp;INDEX('입력_구리근무자명단'!$A328:$ZZ328,1,$E$2+3),TEXT($T330,"yyyy-mm-dd")))</f>
        <v/>
      </c>
      <c r="AB330">
        <f>AB329+IF($R330="",0,1)</f>
        <v/>
      </c>
      <c r="AC330">
        <f>IF($R330="","",$AB330)</f>
        <v/>
      </c>
    </row>
    <row r="331">
      <c r="A331">
        <f>IFERROR(INDEX($O$6:$O$1505,MATCH(326,$AC$6:$AC$1505,0)),"")</f>
        <v/>
      </c>
      <c r="B331">
        <f>IF(ISNUMBER($A331),INDEX($P$6:$P$1505,$A331-3),"")</f>
        <v/>
      </c>
      <c r="C331">
        <f>IF(ISNUMBER($A331),INDEX($Q$6:$Q$1505,$A331-3),"")</f>
        <v/>
      </c>
      <c r="D331">
        <f>IF(ISNUMBER($A331),INDEX($R$6:$R$1505,$A331-3),"")</f>
        <v/>
      </c>
      <c r="E331">
        <f>IF(ISNUMBER($A331),$G$2,"")</f>
        <v/>
      </c>
      <c r="F331">
        <f>IF(ISNUMBER($A331),INDEX($Z$6:$Z$1505,$A331-3),"")</f>
        <v/>
      </c>
      <c r="G331">
        <f>IF(ISNUMBER($A331),INDEX($AA$6:$AA$1505,$A331-3),"")</f>
        <v/>
      </c>
      <c r="H331">
        <f>IF(ISNUMBER($A331),INDEX($U$6:$U$1505,$A331-3),"")</f>
        <v/>
      </c>
      <c r="I331">
        <f>IF(ISNUMBER($A331),INDEX($V$6:$V$1505,$A331-3),"")</f>
        <v/>
      </c>
      <c r="J331">
        <f>IF(ISNUMBER($A331),INDEX($W$6:$W$1505,$A331-3),"")</f>
        <v/>
      </c>
      <c r="K331">
        <f>IF(ISNUMBER($A331),INDEX($X$6:$X$1505,$A331-3),"")</f>
        <v/>
      </c>
      <c r="L331">
        <f>IF(ISNUMBER($A331),INDEX($Y$6:$Y$1505,$A331-3),"")</f>
        <v/>
      </c>
      <c r="O331">
        <f>329</f>
        <v/>
      </c>
      <c r="P331">
        <f>IF(TRIM('입력_구리근무자명단'!$A329&amp;"")&lt;&gt;"",TRIM('입력_구리근무자명단'!$A329&amp;""),P330)</f>
        <v/>
      </c>
      <c r="Q331">
        <f>'입력_구리근무자명단'!$B329&amp;""</f>
        <v/>
      </c>
      <c r="R331">
        <f>IF($E$2="","",TRIM(INDEX('입력_구리근무자명단'!$A329:$ZZ329,1,$E$2+IF($G$2="확정",1,0))&amp;""))</f>
        <v/>
      </c>
      <c r="S331">
        <f>IF($R331="","",IF(INDEX('입력_구리근무자명단'!$A329:$ZZ329,1,$E$2+2)&amp;""="",급여기준월,IF(ISNUMBER(INDEX('입력_구리근무자명단'!$A329:$ZZ329,1,$E$2+2)),INDEX('입력_구리근무자명단'!$A329:$ZZ329,1,$E$2+2),IFERROR(DATE(VALUE(LEFT(INDEX('입력_구리근무자명단'!$A329:$ZZ329,1,$E$2+2),4)),VALUE(MID(INDEX('입력_구리근무자명단'!$A329:$ZZ329,1,$E$2+2),6,2)),VALUE(MID(INDEX('입력_구리근무자명단'!$A329:$ZZ329,1,$E$2+2),9,2))),-1))))</f>
        <v/>
      </c>
      <c r="T331">
        <f>IF($R331="","",IF(INDEX('입력_구리근무자명단'!$A329:$ZZ329,1,$E$2+3)&amp;""="",EOMONTH(급여기준월,0),IF(ISNUMBER(INDEX('입력_구리근무자명단'!$A329:$ZZ329,1,$E$2+3)),INDEX('입력_구리근무자명단'!$A329:$ZZ329,1,$E$2+3),IFERROR(DATE(VALUE(LEFT(INDEX('입력_구리근무자명단'!$A329:$ZZ329,1,$E$2+3),4)),VALUE(MID(INDEX('입력_구리근무자명단'!$A329:$ZZ329,1,$E$2+3),6,2)),VALUE(MID(INDEX('입력_구리근무자명단'!$A329:$ZZ329,1,$E$2+3),9,2))),-1))))</f>
        <v/>
      </c>
      <c r="U331">
        <f>IF($R331="","",IF(OR($S331&lt;0,$T331&lt;0),0,MAX(0,MIN($T331,EOMONTH(급여기준월,0))-MAX($S331,급여기준월)+1)))</f>
        <v/>
      </c>
      <c r="V331">
        <f>IF($R331="","",TRIM(INDEX('입력_구리근무자명단'!$A329:$ZZ329,1,$E$2+5)&amp;""))</f>
        <v/>
      </c>
      <c r="W331">
        <f>IF(ISNUMBER(SEARCH("구리독자",$V331)),"구리독자","")</f>
        <v/>
      </c>
      <c r="X331">
        <f>IF($R331="","",$R331&amp;"|"&amp;IF(OR($Q331="인턴",ISNUMBER(SEARCH("수련교육부",$P331))),"인턴",$P331))</f>
        <v/>
      </c>
      <c r="Y331">
        <f>IF($R331="","",IF(COUNTIF(명단표[이름|과],$X331)=1,"명단 일치",IF(AND(COUNTIF(명단표[이름|과],$X331)=0,COUNTIF(명단표[이름],$R331)=1),"명단 일치(이름만, 과 다름)",IF(COUNTIF(명단표[이름],$R331)=0,IF(COUNTIF(기본자료표[이름],$R331)&gt;0,"명단에 없음(기본자료에는 있음)","명단에 없음"),"동명이인 확인"))))</f>
        <v/>
      </c>
      <c r="Z331">
        <f>IF($R331="","",IF($S331&lt;0,"⚠"&amp;INDEX('입력_구리근무자명단'!$A329:$ZZ329,1,$E$2+2),TEXT($S331,"yyyy-mm-dd")))</f>
        <v/>
      </c>
      <c r="AA331">
        <f>IF($R331="","",IF($T331&lt;0,"⚠"&amp;INDEX('입력_구리근무자명단'!$A329:$ZZ329,1,$E$2+3),TEXT($T331,"yyyy-mm-dd")))</f>
        <v/>
      </c>
      <c r="AB331">
        <f>AB330+IF($R331="",0,1)</f>
        <v/>
      </c>
      <c r="AC331">
        <f>IF($R331="","",$AB331)</f>
        <v/>
      </c>
    </row>
    <row r="332">
      <c r="A332">
        <f>IFERROR(INDEX($O$6:$O$1505,MATCH(327,$AC$6:$AC$1505,0)),"")</f>
        <v/>
      </c>
      <c r="B332">
        <f>IF(ISNUMBER($A332),INDEX($P$6:$P$1505,$A332-3),"")</f>
        <v/>
      </c>
      <c r="C332">
        <f>IF(ISNUMBER($A332),INDEX($Q$6:$Q$1505,$A332-3),"")</f>
        <v/>
      </c>
      <c r="D332">
        <f>IF(ISNUMBER($A332),INDEX($R$6:$R$1505,$A332-3),"")</f>
        <v/>
      </c>
      <c r="E332">
        <f>IF(ISNUMBER($A332),$G$2,"")</f>
        <v/>
      </c>
      <c r="F332">
        <f>IF(ISNUMBER($A332),INDEX($Z$6:$Z$1505,$A332-3),"")</f>
        <v/>
      </c>
      <c r="G332">
        <f>IF(ISNUMBER($A332),INDEX($AA$6:$AA$1505,$A332-3),"")</f>
        <v/>
      </c>
      <c r="H332">
        <f>IF(ISNUMBER($A332),INDEX($U$6:$U$1505,$A332-3),"")</f>
        <v/>
      </c>
      <c r="I332">
        <f>IF(ISNUMBER($A332),INDEX($V$6:$V$1505,$A332-3),"")</f>
        <v/>
      </c>
      <c r="J332">
        <f>IF(ISNUMBER($A332),INDEX($W$6:$W$1505,$A332-3),"")</f>
        <v/>
      </c>
      <c r="K332">
        <f>IF(ISNUMBER($A332),INDEX($X$6:$X$1505,$A332-3),"")</f>
        <v/>
      </c>
      <c r="L332">
        <f>IF(ISNUMBER($A332),INDEX($Y$6:$Y$1505,$A332-3),"")</f>
        <v/>
      </c>
      <c r="O332">
        <f>330</f>
        <v/>
      </c>
      <c r="P332">
        <f>IF(TRIM('입력_구리근무자명단'!$A330&amp;"")&lt;&gt;"",TRIM('입력_구리근무자명단'!$A330&amp;""),P331)</f>
        <v/>
      </c>
      <c r="Q332">
        <f>'입력_구리근무자명단'!$B330&amp;""</f>
        <v/>
      </c>
      <c r="R332">
        <f>IF($E$2="","",TRIM(INDEX('입력_구리근무자명단'!$A330:$ZZ330,1,$E$2+IF($G$2="확정",1,0))&amp;""))</f>
        <v/>
      </c>
      <c r="S332">
        <f>IF($R332="","",IF(INDEX('입력_구리근무자명단'!$A330:$ZZ330,1,$E$2+2)&amp;""="",급여기준월,IF(ISNUMBER(INDEX('입력_구리근무자명단'!$A330:$ZZ330,1,$E$2+2)),INDEX('입력_구리근무자명단'!$A330:$ZZ330,1,$E$2+2),IFERROR(DATE(VALUE(LEFT(INDEX('입력_구리근무자명단'!$A330:$ZZ330,1,$E$2+2),4)),VALUE(MID(INDEX('입력_구리근무자명단'!$A330:$ZZ330,1,$E$2+2),6,2)),VALUE(MID(INDEX('입력_구리근무자명단'!$A330:$ZZ330,1,$E$2+2),9,2))),-1))))</f>
        <v/>
      </c>
      <c r="T332">
        <f>IF($R332="","",IF(INDEX('입력_구리근무자명단'!$A330:$ZZ330,1,$E$2+3)&amp;""="",EOMONTH(급여기준월,0),IF(ISNUMBER(INDEX('입력_구리근무자명단'!$A330:$ZZ330,1,$E$2+3)),INDEX('입력_구리근무자명단'!$A330:$ZZ330,1,$E$2+3),IFERROR(DATE(VALUE(LEFT(INDEX('입력_구리근무자명단'!$A330:$ZZ330,1,$E$2+3),4)),VALUE(MID(INDEX('입력_구리근무자명단'!$A330:$ZZ330,1,$E$2+3),6,2)),VALUE(MID(INDEX('입력_구리근무자명단'!$A330:$ZZ330,1,$E$2+3),9,2))),-1))))</f>
        <v/>
      </c>
      <c r="U332">
        <f>IF($R332="","",IF(OR($S332&lt;0,$T332&lt;0),0,MAX(0,MIN($T332,EOMONTH(급여기준월,0))-MAX($S332,급여기준월)+1)))</f>
        <v/>
      </c>
      <c r="V332">
        <f>IF($R332="","",TRIM(INDEX('입력_구리근무자명단'!$A330:$ZZ330,1,$E$2+5)&amp;""))</f>
        <v/>
      </c>
      <c r="W332">
        <f>IF(ISNUMBER(SEARCH("구리독자",$V332)),"구리독자","")</f>
        <v/>
      </c>
      <c r="X332">
        <f>IF($R332="","",$R332&amp;"|"&amp;IF(OR($Q332="인턴",ISNUMBER(SEARCH("수련교육부",$P332))),"인턴",$P332))</f>
        <v/>
      </c>
      <c r="Y332">
        <f>IF($R332="","",IF(COUNTIF(명단표[이름|과],$X332)=1,"명단 일치",IF(AND(COUNTIF(명단표[이름|과],$X332)=0,COUNTIF(명단표[이름],$R332)=1),"명단 일치(이름만, 과 다름)",IF(COUNTIF(명단표[이름],$R332)=0,IF(COUNTIF(기본자료표[이름],$R332)&gt;0,"명단에 없음(기본자료에는 있음)","명단에 없음"),"동명이인 확인"))))</f>
        <v/>
      </c>
      <c r="Z332">
        <f>IF($R332="","",IF($S332&lt;0,"⚠"&amp;INDEX('입력_구리근무자명단'!$A330:$ZZ330,1,$E$2+2),TEXT($S332,"yyyy-mm-dd")))</f>
        <v/>
      </c>
      <c r="AA332">
        <f>IF($R332="","",IF($T332&lt;0,"⚠"&amp;INDEX('입력_구리근무자명단'!$A330:$ZZ330,1,$E$2+3),TEXT($T332,"yyyy-mm-dd")))</f>
        <v/>
      </c>
      <c r="AB332">
        <f>AB331+IF($R332="",0,1)</f>
        <v/>
      </c>
      <c r="AC332">
        <f>IF($R332="","",$AB332)</f>
        <v/>
      </c>
    </row>
    <row r="333">
      <c r="A333">
        <f>IFERROR(INDEX($O$6:$O$1505,MATCH(328,$AC$6:$AC$1505,0)),"")</f>
        <v/>
      </c>
      <c r="B333">
        <f>IF(ISNUMBER($A333),INDEX($P$6:$P$1505,$A333-3),"")</f>
        <v/>
      </c>
      <c r="C333">
        <f>IF(ISNUMBER($A333),INDEX($Q$6:$Q$1505,$A333-3),"")</f>
        <v/>
      </c>
      <c r="D333">
        <f>IF(ISNUMBER($A333),INDEX($R$6:$R$1505,$A333-3),"")</f>
        <v/>
      </c>
      <c r="E333">
        <f>IF(ISNUMBER($A333),$G$2,"")</f>
        <v/>
      </c>
      <c r="F333">
        <f>IF(ISNUMBER($A333),INDEX($Z$6:$Z$1505,$A333-3),"")</f>
        <v/>
      </c>
      <c r="G333">
        <f>IF(ISNUMBER($A333),INDEX($AA$6:$AA$1505,$A333-3),"")</f>
        <v/>
      </c>
      <c r="H333">
        <f>IF(ISNUMBER($A333),INDEX($U$6:$U$1505,$A333-3),"")</f>
        <v/>
      </c>
      <c r="I333">
        <f>IF(ISNUMBER($A333),INDEX($V$6:$V$1505,$A333-3),"")</f>
        <v/>
      </c>
      <c r="J333">
        <f>IF(ISNUMBER($A333),INDEX($W$6:$W$1505,$A333-3),"")</f>
        <v/>
      </c>
      <c r="K333">
        <f>IF(ISNUMBER($A333),INDEX($X$6:$X$1505,$A333-3),"")</f>
        <v/>
      </c>
      <c r="L333">
        <f>IF(ISNUMBER($A333),INDEX($Y$6:$Y$1505,$A333-3),"")</f>
        <v/>
      </c>
      <c r="O333">
        <f>331</f>
        <v/>
      </c>
      <c r="P333">
        <f>IF(TRIM('입력_구리근무자명단'!$A331&amp;"")&lt;&gt;"",TRIM('입력_구리근무자명단'!$A331&amp;""),P332)</f>
        <v/>
      </c>
      <c r="Q333">
        <f>'입력_구리근무자명단'!$B331&amp;""</f>
        <v/>
      </c>
      <c r="R333">
        <f>IF($E$2="","",TRIM(INDEX('입력_구리근무자명단'!$A331:$ZZ331,1,$E$2+IF($G$2="확정",1,0))&amp;""))</f>
        <v/>
      </c>
      <c r="S333">
        <f>IF($R333="","",IF(INDEX('입력_구리근무자명단'!$A331:$ZZ331,1,$E$2+2)&amp;""="",급여기준월,IF(ISNUMBER(INDEX('입력_구리근무자명단'!$A331:$ZZ331,1,$E$2+2)),INDEX('입력_구리근무자명단'!$A331:$ZZ331,1,$E$2+2),IFERROR(DATE(VALUE(LEFT(INDEX('입력_구리근무자명단'!$A331:$ZZ331,1,$E$2+2),4)),VALUE(MID(INDEX('입력_구리근무자명단'!$A331:$ZZ331,1,$E$2+2),6,2)),VALUE(MID(INDEX('입력_구리근무자명단'!$A331:$ZZ331,1,$E$2+2),9,2))),-1))))</f>
        <v/>
      </c>
      <c r="T333">
        <f>IF($R333="","",IF(INDEX('입력_구리근무자명단'!$A331:$ZZ331,1,$E$2+3)&amp;""="",EOMONTH(급여기준월,0),IF(ISNUMBER(INDEX('입력_구리근무자명단'!$A331:$ZZ331,1,$E$2+3)),INDEX('입력_구리근무자명단'!$A331:$ZZ331,1,$E$2+3),IFERROR(DATE(VALUE(LEFT(INDEX('입력_구리근무자명단'!$A331:$ZZ331,1,$E$2+3),4)),VALUE(MID(INDEX('입력_구리근무자명단'!$A331:$ZZ331,1,$E$2+3),6,2)),VALUE(MID(INDEX('입력_구리근무자명단'!$A331:$ZZ331,1,$E$2+3),9,2))),-1))))</f>
        <v/>
      </c>
      <c r="U333">
        <f>IF($R333="","",IF(OR($S333&lt;0,$T333&lt;0),0,MAX(0,MIN($T333,EOMONTH(급여기준월,0))-MAX($S333,급여기준월)+1)))</f>
        <v/>
      </c>
      <c r="V333">
        <f>IF($R333="","",TRIM(INDEX('입력_구리근무자명단'!$A331:$ZZ331,1,$E$2+5)&amp;""))</f>
        <v/>
      </c>
      <c r="W333">
        <f>IF(ISNUMBER(SEARCH("구리독자",$V333)),"구리독자","")</f>
        <v/>
      </c>
      <c r="X333">
        <f>IF($R333="","",$R333&amp;"|"&amp;IF(OR($Q333="인턴",ISNUMBER(SEARCH("수련교육부",$P333))),"인턴",$P333))</f>
        <v/>
      </c>
      <c r="Y333">
        <f>IF($R333="","",IF(COUNTIF(명단표[이름|과],$X333)=1,"명단 일치",IF(AND(COUNTIF(명단표[이름|과],$X333)=0,COUNTIF(명단표[이름],$R333)=1),"명단 일치(이름만, 과 다름)",IF(COUNTIF(명단표[이름],$R333)=0,IF(COUNTIF(기본자료표[이름],$R333)&gt;0,"명단에 없음(기본자료에는 있음)","명단에 없음"),"동명이인 확인"))))</f>
        <v/>
      </c>
      <c r="Z333">
        <f>IF($R333="","",IF($S333&lt;0,"⚠"&amp;INDEX('입력_구리근무자명단'!$A331:$ZZ331,1,$E$2+2),TEXT($S333,"yyyy-mm-dd")))</f>
        <v/>
      </c>
      <c r="AA333">
        <f>IF($R333="","",IF($T333&lt;0,"⚠"&amp;INDEX('입력_구리근무자명단'!$A331:$ZZ331,1,$E$2+3),TEXT($T333,"yyyy-mm-dd")))</f>
        <v/>
      </c>
      <c r="AB333">
        <f>AB332+IF($R333="",0,1)</f>
        <v/>
      </c>
      <c r="AC333">
        <f>IF($R333="","",$AB333)</f>
        <v/>
      </c>
    </row>
    <row r="334">
      <c r="A334">
        <f>IFERROR(INDEX($O$6:$O$1505,MATCH(329,$AC$6:$AC$1505,0)),"")</f>
        <v/>
      </c>
      <c r="B334">
        <f>IF(ISNUMBER($A334),INDEX($P$6:$P$1505,$A334-3),"")</f>
        <v/>
      </c>
      <c r="C334">
        <f>IF(ISNUMBER($A334),INDEX($Q$6:$Q$1505,$A334-3),"")</f>
        <v/>
      </c>
      <c r="D334">
        <f>IF(ISNUMBER($A334),INDEX($R$6:$R$1505,$A334-3),"")</f>
        <v/>
      </c>
      <c r="E334">
        <f>IF(ISNUMBER($A334),$G$2,"")</f>
        <v/>
      </c>
      <c r="F334">
        <f>IF(ISNUMBER($A334),INDEX($Z$6:$Z$1505,$A334-3),"")</f>
        <v/>
      </c>
      <c r="G334">
        <f>IF(ISNUMBER($A334),INDEX($AA$6:$AA$1505,$A334-3),"")</f>
        <v/>
      </c>
      <c r="H334">
        <f>IF(ISNUMBER($A334),INDEX($U$6:$U$1505,$A334-3),"")</f>
        <v/>
      </c>
      <c r="I334">
        <f>IF(ISNUMBER($A334),INDEX($V$6:$V$1505,$A334-3),"")</f>
        <v/>
      </c>
      <c r="J334">
        <f>IF(ISNUMBER($A334),INDEX($W$6:$W$1505,$A334-3),"")</f>
        <v/>
      </c>
      <c r="K334">
        <f>IF(ISNUMBER($A334),INDEX($X$6:$X$1505,$A334-3),"")</f>
        <v/>
      </c>
      <c r="L334">
        <f>IF(ISNUMBER($A334),INDEX($Y$6:$Y$1505,$A334-3),"")</f>
        <v/>
      </c>
      <c r="O334">
        <f>332</f>
        <v/>
      </c>
      <c r="P334">
        <f>IF(TRIM('입력_구리근무자명단'!$A332&amp;"")&lt;&gt;"",TRIM('입력_구리근무자명단'!$A332&amp;""),P333)</f>
        <v/>
      </c>
      <c r="Q334">
        <f>'입력_구리근무자명단'!$B332&amp;""</f>
        <v/>
      </c>
      <c r="R334">
        <f>IF($E$2="","",TRIM(INDEX('입력_구리근무자명단'!$A332:$ZZ332,1,$E$2+IF($G$2="확정",1,0))&amp;""))</f>
        <v/>
      </c>
      <c r="S334">
        <f>IF($R334="","",IF(INDEX('입력_구리근무자명단'!$A332:$ZZ332,1,$E$2+2)&amp;""="",급여기준월,IF(ISNUMBER(INDEX('입력_구리근무자명단'!$A332:$ZZ332,1,$E$2+2)),INDEX('입력_구리근무자명단'!$A332:$ZZ332,1,$E$2+2),IFERROR(DATE(VALUE(LEFT(INDEX('입력_구리근무자명단'!$A332:$ZZ332,1,$E$2+2),4)),VALUE(MID(INDEX('입력_구리근무자명단'!$A332:$ZZ332,1,$E$2+2),6,2)),VALUE(MID(INDEX('입력_구리근무자명단'!$A332:$ZZ332,1,$E$2+2),9,2))),-1))))</f>
        <v/>
      </c>
      <c r="T334">
        <f>IF($R334="","",IF(INDEX('입력_구리근무자명단'!$A332:$ZZ332,1,$E$2+3)&amp;""="",EOMONTH(급여기준월,0),IF(ISNUMBER(INDEX('입력_구리근무자명단'!$A332:$ZZ332,1,$E$2+3)),INDEX('입력_구리근무자명단'!$A332:$ZZ332,1,$E$2+3),IFERROR(DATE(VALUE(LEFT(INDEX('입력_구리근무자명단'!$A332:$ZZ332,1,$E$2+3),4)),VALUE(MID(INDEX('입력_구리근무자명단'!$A332:$ZZ332,1,$E$2+3),6,2)),VALUE(MID(INDEX('입력_구리근무자명단'!$A332:$ZZ332,1,$E$2+3),9,2))),-1))))</f>
        <v/>
      </c>
      <c r="U334">
        <f>IF($R334="","",IF(OR($S334&lt;0,$T334&lt;0),0,MAX(0,MIN($T334,EOMONTH(급여기준월,0))-MAX($S334,급여기준월)+1)))</f>
        <v/>
      </c>
      <c r="V334">
        <f>IF($R334="","",TRIM(INDEX('입력_구리근무자명단'!$A332:$ZZ332,1,$E$2+5)&amp;""))</f>
        <v/>
      </c>
      <c r="W334">
        <f>IF(ISNUMBER(SEARCH("구리독자",$V334)),"구리독자","")</f>
        <v/>
      </c>
      <c r="X334">
        <f>IF($R334="","",$R334&amp;"|"&amp;IF(OR($Q334="인턴",ISNUMBER(SEARCH("수련교육부",$P334))),"인턴",$P334))</f>
        <v/>
      </c>
      <c r="Y334">
        <f>IF($R334="","",IF(COUNTIF(명단표[이름|과],$X334)=1,"명단 일치",IF(AND(COUNTIF(명단표[이름|과],$X334)=0,COUNTIF(명단표[이름],$R334)=1),"명단 일치(이름만, 과 다름)",IF(COUNTIF(명단표[이름],$R334)=0,IF(COUNTIF(기본자료표[이름],$R334)&gt;0,"명단에 없음(기본자료에는 있음)","명단에 없음"),"동명이인 확인"))))</f>
        <v/>
      </c>
      <c r="Z334">
        <f>IF($R334="","",IF($S334&lt;0,"⚠"&amp;INDEX('입력_구리근무자명단'!$A332:$ZZ332,1,$E$2+2),TEXT($S334,"yyyy-mm-dd")))</f>
        <v/>
      </c>
      <c r="AA334">
        <f>IF($R334="","",IF($T334&lt;0,"⚠"&amp;INDEX('입력_구리근무자명단'!$A332:$ZZ332,1,$E$2+3),TEXT($T334,"yyyy-mm-dd")))</f>
        <v/>
      </c>
      <c r="AB334">
        <f>AB333+IF($R334="",0,1)</f>
        <v/>
      </c>
      <c r="AC334">
        <f>IF($R334="","",$AB334)</f>
        <v/>
      </c>
    </row>
    <row r="335">
      <c r="A335">
        <f>IFERROR(INDEX($O$6:$O$1505,MATCH(330,$AC$6:$AC$1505,0)),"")</f>
        <v/>
      </c>
      <c r="B335">
        <f>IF(ISNUMBER($A335),INDEX($P$6:$P$1505,$A335-3),"")</f>
        <v/>
      </c>
      <c r="C335">
        <f>IF(ISNUMBER($A335),INDEX($Q$6:$Q$1505,$A335-3),"")</f>
        <v/>
      </c>
      <c r="D335">
        <f>IF(ISNUMBER($A335),INDEX($R$6:$R$1505,$A335-3),"")</f>
        <v/>
      </c>
      <c r="E335">
        <f>IF(ISNUMBER($A335),$G$2,"")</f>
        <v/>
      </c>
      <c r="F335">
        <f>IF(ISNUMBER($A335),INDEX($Z$6:$Z$1505,$A335-3),"")</f>
        <v/>
      </c>
      <c r="G335">
        <f>IF(ISNUMBER($A335),INDEX($AA$6:$AA$1505,$A335-3),"")</f>
        <v/>
      </c>
      <c r="H335">
        <f>IF(ISNUMBER($A335),INDEX($U$6:$U$1505,$A335-3),"")</f>
        <v/>
      </c>
      <c r="I335">
        <f>IF(ISNUMBER($A335),INDEX($V$6:$V$1505,$A335-3),"")</f>
        <v/>
      </c>
      <c r="J335">
        <f>IF(ISNUMBER($A335),INDEX($W$6:$W$1505,$A335-3),"")</f>
        <v/>
      </c>
      <c r="K335">
        <f>IF(ISNUMBER($A335),INDEX($X$6:$X$1505,$A335-3),"")</f>
        <v/>
      </c>
      <c r="L335">
        <f>IF(ISNUMBER($A335),INDEX($Y$6:$Y$1505,$A335-3),"")</f>
        <v/>
      </c>
      <c r="O335">
        <f>333</f>
        <v/>
      </c>
      <c r="P335">
        <f>IF(TRIM('입력_구리근무자명단'!$A333&amp;"")&lt;&gt;"",TRIM('입력_구리근무자명단'!$A333&amp;""),P334)</f>
        <v/>
      </c>
      <c r="Q335">
        <f>'입력_구리근무자명단'!$B333&amp;""</f>
        <v/>
      </c>
      <c r="R335">
        <f>IF($E$2="","",TRIM(INDEX('입력_구리근무자명단'!$A333:$ZZ333,1,$E$2+IF($G$2="확정",1,0))&amp;""))</f>
        <v/>
      </c>
      <c r="S335">
        <f>IF($R335="","",IF(INDEX('입력_구리근무자명단'!$A333:$ZZ333,1,$E$2+2)&amp;""="",급여기준월,IF(ISNUMBER(INDEX('입력_구리근무자명단'!$A333:$ZZ333,1,$E$2+2)),INDEX('입력_구리근무자명단'!$A333:$ZZ333,1,$E$2+2),IFERROR(DATE(VALUE(LEFT(INDEX('입력_구리근무자명단'!$A333:$ZZ333,1,$E$2+2),4)),VALUE(MID(INDEX('입력_구리근무자명단'!$A333:$ZZ333,1,$E$2+2),6,2)),VALUE(MID(INDEX('입력_구리근무자명단'!$A333:$ZZ333,1,$E$2+2),9,2))),-1))))</f>
        <v/>
      </c>
      <c r="T335">
        <f>IF($R335="","",IF(INDEX('입력_구리근무자명단'!$A333:$ZZ333,1,$E$2+3)&amp;""="",EOMONTH(급여기준월,0),IF(ISNUMBER(INDEX('입력_구리근무자명단'!$A333:$ZZ333,1,$E$2+3)),INDEX('입력_구리근무자명단'!$A333:$ZZ333,1,$E$2+3),IFERROR(DATE(VALUE(LEFT(INDEX('입력_구리근무자명단'!$A333:$ZZ333,1,$E$2+3),4)),VALUE(MID(INDEX('입력_구리근무자명단'!$A333:$ZZ333,1,$E$2+3),6,2)),VALUE(MID(INDEX('입력_구리근무자명단'!$A333:$ZZ333,1,$E$2+3),9,2))),-1))))</f>
        <v/>
      </c>
      <c r="U335">
        <f>IF($R335="","",IF(OR($S335&lt;0,$T335&lt;0),0,MAX(0,MIN($T335,EOMONTH(급여기준월,0))-MAX($S335,급여기준월)+1)))</f>
        <v/>
      </c>
      <c r="V335">
        <f>IF($R335="","",TRIM(INDEX('입력_구리근무자명단'!$A333:$ZZ333,1,$E$2+5)&amp;""))</f>
        <v/>
      </c>
      <c r="W335">
        <f>IF(ISNUMBER(SEARCH("구리독자",$V335)),"구리독자","")</f>
        <v/>
      </c>
      <c r="X335">
        <f>IF($R335="","",$R335&amp;"|"&amp;IF(OR($Q335="인턴",ISNUMBER(SEARCH("수련교육부",$P335))),"인턴",$P335))</f>
        <v/>
      </c>
      <c r="Y335">
        <f>IF($R335="","",IF(COUNTIF(명단표[이름|과],$X335)=1,"명단 일치",IF(AND(COUNTIF(명단표[이름|과],$X335)=0,COUNTIF(명단표[이름],$R335)=1),"명단 일치(이름만, 과 다름)",IF(COUNTIF(명단표[이름],$R335)=0,IF(COUNTIF(기본자료표[이름],$R335)&gt;0,"명단에 없음(기본자료에는 있음)","명단에 없음"),"동명이인 확인"))))</f>
        <v/>
      </c>
      <c r="Z335">
        <f>IF($R335="","",IF($S335&lt;0,"⚠"&amp;INDEX('입력_구리근무자명단'!$A333:$ZZ333,1,$E$2+2),TEXT($S335,"yyyy-mm-dd")))</f>
        <v/>
      </c>
      <c r="AA335">
        <f>IF($R335="","",IF($T335&lt;0,"⚠"&amp;INDEX('입력_구리근무자명단'!$A333:$ZZ333,1,$E$2+3),TEXT($T335,"yyyy-mm-dd")))</f>
        <v/>
      </c>
      <c r="AB335">
        <f>AB334+IF($R335="",0,1)</f>
        <v/>
      </c>
      <c r="AC335">
        <f>IF($R335="","",$AB335)</f>
        <v/>
      </c>
    </row>
    <row r="336">
      <c r="A336">
        <f>IFERROR(INDEX($O$6:$O$1505,MATCH(331,$AC$6:$AC$1505,0)),"")</f>
        <v/>
      </c>
      <c r="B336">
        <f>IF(ISNUMBER($A336),INDEX($P$6:$P$1505,$A336-3),"")</f>
        <v/>
      </c>
      <c r="C336">
        <f>IF(ISNUMBER($A336),INDEX($Q$6:$Q$1505,$A336-3),"")</f>
        <v/>
      </c>
      <c r="D336">
        <f>IF(ISNUMBER($A336),INDEX($R$6:$R$1505,$A336-3),"")</f>
        <v/>
      </c>
      <c r="E336">
        <f>IF(ISNUMBER($A336),$G$2,"")</f>
        <v/>
      </c>
      <c r="F336">
        <f>IF(ISNUMBER($A336),INDEX($Z$6:$Z$1505,$A336-3),"")</f>
        <v/>
      </c>
      <c r="G336">
        <f>IF(ISNUMBER($A336),INDEX($AA$6:$AA$1505,$A336-3),"")</f>
        <v/>
      </c>
      <c r="H336">
        <f>IF(ISNUMBER($A336),INDEX($U$6:$U$1505,$A336-3),"")</f>
        <v/>
      </c>
      <c r="I336">
        <f>IF(ISNUMBER($A336),INDEX($V$6:$V$1505,$A336-3),"")</f>
        <v/>
      </c>
      <c r="J336">
        <f>IF(ISNUMBER($A336),INDEX($W$6:$W$1505,$A336-3),"")</f>
        <v/>
      </c>
      <c r="K336">
        <f>IF(ISNUMBER($A336),INDEX($X$6:$X$1505,$A336-3),"")</f>
        <v/>
      </c>
      <c r="L336">
        <f>IF(ISNUMBER($A336),INDEX($Y$6:$Y$1505,$A336-3),"")</f>
        <v/>
      </c>
      <c r="O336">
        <f>334</f>
        <v/>
      </c>
      <c r="P336">
        <f>IF(TRIM('입력_구리근무자명단'!$A334&amp;"")&lt;&gt;"",TRIM('입력_구리근무자명단'!$A334&amp;""),P335)</f>
        <v/>
      </c>
      <c r="Q336">
        <f>'입력_구리근무자명단'!$B334&amp;""</f>
        <v/>
      </c>
      <c r="R336">
        <f>IF($E$2="","",TRIM(INDEX('입력_구리근무자명단'!$A334:$ZZ334,1,$E$2+IF($G$2="확정",1,0))&amp;""))</f>
        <v/>
      </c>
      <c r="S336">
        <f>IF($R336="","",IF(INDEX('입력_구리근무자명단'!$A334:$ZZ334,1,$E$2+2)&amp;""="",급여기준월,IF(ISNUMBER(INDEX('입력_구리근무자명단'!$A334:$ZZ334,1,$E$2+2)),INDEX('입력_구리근무자명단'!$A334:$ZZ334,1,$E$2+2),IFERROR(DATE(VALUE(LEFT(INDEX('입력_구리근무자명단'!$A334:$ZZ334,1,$E$2+2),4)),VALUE(MID(INDEX('입력_구리근무자명단'!$A334:$ZZ334,1,$E$2+2),6,2)),VALUE(MID(INDEX('입력_구리근무자명단'!$A334:$ZZ334,1,$E$2+2),9,2))),-1))))</f>
        <v/>
      </c>
      <c r="T336">
        <f>IF($R336="","",IF(INDEX('입력_구리근무자명단'!$A334:$ZZ334,1,$E$2+3)&amp;""="",EOMONTH(급여기준월,0),IF(ISNUMBER(INDEX('입력_구리근무자명단'!$A334:$ZZ334,1,$E$2+3)),INDEX('입력_구리근무자명단'!$A334:$ZZ334,1,$E$2+3),IFERROR(DATE(VALUE(LEFT(INDEX('입력_구리근무자명단'!$A334:$ZZ334,1,$E$2+3),4)),VALUE(MID(INDEX('입력_구리근무자명단'!$A334:$ZZ334,1,$E$2+3),6,2)),VALUE(MID(INDEX('입력_구리근무자명단'!$A334:$ZZ334,1,$E$2+3),9,2))),-1))))</f>
        <v/>
      </c>
      <c r="U336">
        <f>IF($R336="","",IF(OR($S336&lt;0,$T336&lt;0),0,MAX(0,MIN($T336,EOMONTH(급여기준월,0))-MAX($S336,급여기준월)+1)))</f>
        <v/>
      </c>
      <c r="V336">
        <f>IF($R336="","",TRIM(INDEX('입력_구리근무자명단'!$A334:$ZZ334,1,$E$2+5)&amp;""))</f>
        <v/>
      </c>
      <c r="W336">
        <f>IF(ISNUMBER(SEARCH("구리독자",$V336)),"구리독자","")</f>
        <v/>
      </c>
      <c r="X336">
        <f>IF($R336="","",$R336&amp;"|"&amp;IF(OR($Q336="인턴",ISNUMBER(SEARCH("수련교육부",$P336))),"인턴",$P336))</f>
        <v/>
      </c>
      <c r="Y336">
        <f>IF($R336="","",IF(COUNTIF(명단표[이름|과],$X336)=1,"명단 일치",IF(AND(COUNTIF(명단표[이름|과],$X336)=0,COUNTIF(명단표[이름],$R336)=1),"명단 일치(이름만, 과 다름)",IF(COUNTIF(명단표[이름],$R336)=0,IF(COUNTIF(기본자료표[이름],$R336)&gt;0,"명단에 없음(기본자료에는 있음)","명단에 없음"),"동명이인 확인"))))</f>
        <v/>
      </c>
      <c r="Z336">
        <f>IF($R336="","",IF($S336&lt;0,"⚠"&amp;INDEX('입력_구리근무자명단'!$A334:$ZZ334,1,$E$2+2),TEXT($S336,"yyyy-mm-dd")))</f>
        <v/>
      </c>
      <c r="AA336">
        <f>IF($R336="","",IF($T336&lt;0,"⚠"&amp;INDEX('입력_구리근무자명단'!$A334:$ZZ334,1,$E$2+3),TEXT($T336,"yyyy-mm-dd")))</f>
        <v/>
      </c>
      <c r="AB336">
        <f>AB335+IF($R336="",0,1)</f>
        <v/>
      </c>
      <c r="AC336">
        <f>IF($R336="","",$AB336)</f>
        <v/>
      </c>
    </row>
    <row r="337">
      <c r="A337">
        <f>IFERROR(INDEX($O$6:$O$1505,MATCH(332,$AC$6:$AC$1505,0)),"")</f>
        <v/>
      </c>
      <c r="B337">
        <f>IF(ISNUMBER($A337),INDEX($P$6:$P$1505,$A337-3),"")</f>
        <v/>
      </c>
      <c r="C337">
        <f>IF(ISNUMBER($A337),INDEX($Q$6:$Q$1505,$A337-3),"")</f>
        <v/>
      </c>
      <c r="D337">
        <f>IF(ISNUMBER($A337),INDEX($R$6:$R$1505,$A337-3),"")</f>
        <v/>
      </c>
      <c r="E337">
        <f>IF(ISNUMBER($A337),$G$2,"")</f>
        <v/>
      </c>
      <c r="F337">
        <f>IF(ISNUMBER($A337),INDEX($Z$6:$Z$1505,$A337-3),"")</f>
        <v/>
      </c>
      <c r="G337">
        <f>IF(ISNUMBER($A337),INDEX($AA$6:$AA$1505,$A337-3),"")</f>
        <v/>
      </c>
      <c r="H337">
        <f>IF(ISNUMBER($A337),INDEX($U$6:$U$1505,$A337-3),"")</f>
        <v/>
      </c>
      <c r="I337">
        <f>IF(ISNUMBER($A337),INDEX($V$6:$V$1505,$A337-3),"")</f>
        <v/>
      </c>
      <c r="J337">
        <f>IF(ISNUMBER($A337),INDEX($W$6:$W$1505,$A337-3),"")</f>
        <v/>
      </c>
      <c r="K337">
        <f>IF(ISNUMBER($A337),INDEX($X$6:$X$1505,$A337-3),"")</f>
        <v/>
      </c>
      <c r="L337">
        <f>IF(ISNUMBER($A337),INDEX($Y$6:$Y$1505,$A337-3),"")</f>
        <v/>
      </c>
      <c r="O337">
        <f>335</f>
        <v/>
      </c>
      <c r="P337">
        <f>IF(TRIM('입력_구리근무자명단'!$A335&amp;"")&lt;&gt;"",TRIM('입력_구리근무자명단'!$A335&amp;""),P336)</f>
        <v/>
      </c>
      <c r="Q337">
        <f>'입력_구리근무자명단'!$B335&amp;""</f>
        <v/>
      </c>
      <c r="R337">
        <f>IF($E$2="","",TRIM(INDEX('입력_구리근무자명단'!$A335:$ZZ335,1,$E$2+IF($G$2="확정",1,0))&amp;""))</f>
        <v/>
      </c>
      <c r="S337">
        <f>IF($R337="","",IF(INDEX('입력_구리근무자명단'!$A335:$ZZ335,1,$E$2+2)&amp;""="",급여기준월,IF(ISNUMBER(INDEX('입력_구리근무자명단'!$A335:$ZZ335,1,$E$2+2)),INDEX('입력_구리근무자명단'!$A335:$ZZ335,1,$E$2+2),IFERROR(DATE(VALUE(LEFT(INDEX('입력_구리근무자명단'!$A335:$ZZ335,1,$E$2+2),4)),VALUE(MID(INDEX('입력_구리근무자명단'!$A335:$ZZ335,1,$E$2+2),6,2)),VALUE(MID(INDEX('입력_구리근무자명단'!$A335:$ZZ335,1,$E$2+2),9,2))),-1))))</f>
        <v/>
      </c>
      <c r="T337">
        <f>IF($R337="","",IF(INDEX('입력_구리근무자명단'!$A335:$ZZ335,1,$E$2+3)&amp;""="",EOMONTH(급여기준월,0),IF(ISNUMBER(INDEX('입력_구리근무자명단'!$A335:$ZZ335,1,$E$2+3)),INDEX('입력_구리근무자명단'!$A335:$ZZ335,1,$E$2+3),IFERROR(DATE(VALUE(LEFT(INDEX('입력_구리근무자명단'!$A335:$ZZ335,1,$E$2+3),4)),VALUE(MID(INDEX('입력_구리근무자명단'!$A335:$ZZ335,1,$E$2+3),6,2)),VALUE(MID(INDEX('입력_구리근무자명단'!$A335:$ZZ335,1,$E$2+3),9,2))),-1))))</f>
        <v/>
      </c>
      <c r="U337">
        <f>IF($R337="","",IF(OR($S337&lt;0,$T337&lt;0),0,MAX(0,MIN($T337,EOMONTH(급여기준월,0))-MAX($S337,급여기준월)+1)))</f>
        <v/>
      </c>
      <c r="V337">
        <f>IF($R337="","",TRIM(INDEX('입력_구리근무자명단'!$A335:$ZZ335,1,$E$2+5)&amp;""))</f>
        <v/>
      </c>
      <c r="W337">
        <f>IF(ISNUMBER(SEARCH("구리독자",$V337)),"구리독자","")</f>
        <v/>
      </c>
      <c r="X337">
        <f>IF($R337="","",$R337&amp;"|"&amp;IF(OR($Q337="인턴",ISNUMBER(SEARCH("수련교육부",$P337))),"인턴",$P337))</f>
        <v/>
      </c>
      <c r="Y337">
        <f>IF($R337="","",IF(COUNTIF(명단표[이름|과],$X337)=1,"명단 일치",IF(AND(COUNTIF(명단표[이름|과],$X337)=0,COUNTIF(명단표[이름],$R337)=1),"명단 일치(이름만, 과 다름)",IF(COUNTIF(명단표[이름],$R337)=0,IF(COUNTIF(기본자료표[이름],$R337)&gt;0,"명단에 없음(기본자료에는 있음)","명단에 없음"),"동명이인 확인"))))</f>
        <v/>
      </c>
      <c r="Z337">
        <f>IF($R337="","",IF($S337&lt;0,"⚠"&amp;INDEX('입력_구리근무자명단'!$A335:$ZZ335,1,$E$2+2),TEXT($S337,"yyyy-mm-dd")))</f>
        <v/>
      </c>
      <c r="AA337">
        <f>IF($R337="","",IF($T337&lt;0,"⚠"&amp;INDEX('입력_구리근무자명단'!$A335:$ZZ335,1,$E$2+3),TEXT($T337,"yyyy-mm-dd")))</f>
        <v/>
      </c>
      <c r="AB337">
        <f>AB336+IF($R337="",0,1)</f>
        <v/>
      </c>
      <c r="AC337">
        <f>IF($R337="","",$AB337)</f>
        <v/>
      </c>
    </row>
    <row r="338">
      <c r="A338">
        <f>IFERROR(INDEX($O$6:$O$1505,MATCH(333,$AC$6:$AC$1505,0)),"")</f>
        <v/>
      </c>
      <c r="B338">
        <f>IF(ISNUMBER($A338),INDEX($P$6:$P$1505,$A338-3),"")</f>
        <v/>
      </c>
      <c r="C338">
        <f>IF(ISNUMBER($A338),INDEX($Q$6:$Q$1505,$A338-3),"")</f>
        <v/>
      </c>
      <c r="D338">
        <f>IF(ISNUMBER($A338),INDEX($R$6:$R$1505,$A338-3),"")</f>
        <v/>
      </c>
      <c r="E338">
        <f>IF(ISNUMBER($A338),$G$2,"")</f>
        <v/>
      </c>
      <c r="F338">
        <f>IF(ISNUMBER($A338),INDEX($Z$6:$Z$1505,$A338-3),"")</f>
        <v/>
      </c>
      <c r="G338">
        <f>IF(ISNUMBER($A338),INDEX($AA$6:$AA$1505,$A338-3),"")</f>
        <v/>
      </c>
      <c r="H338">
        <f>IF(ISNUMBER($A338),INDEX($U$6:$U$1505,$A338-3),"")</f>
        <v/>
      </c>
      <c r="I338">
        <f>IF(ISNUMBER($A338),INDEX($V$6:$V$1505,$A338-3),"")</f>
        <v/>
      </c>
      <c r="J338">
        <f>IF(ISNUMBER($A338),INDEX($W$6:$W$1505,$A338-3),"")</f>
        <v/>
      </c>
      <c r="K338">
        <f>IF(ISNUMBER($A338),INDEX($X$6:$X$1505,$A338-3),"")</f>
        <v/>
      </c>
      <c r="L338">
        <f>IF(ISNUMBER($A338),INDEX($Y$6:$Y$1505,$A338-3),"")</f>
        <v/>
      </c>
      <c r="O338">
        <f>336</f>
        <v/>
      </c>
      <c r="P338">
        <f>IF(TRIM('입력_구리근무자명단'!$A336&amp;"")&lt;&gt;"",TRIM('입력_구리근무자명단'!$A336&amp;""),P337)</f>
        <v/>
      </c>
      <c r="Q338">
        <f>'입력_구리근무자명단'!$B336&amp;""</f>
        <v/>
      </c>
      <c r="R338">
        <f>IF($E$2="","",TRIM(INDEX('입력_구리근무자명단'!$A336:$ZZ336,1,$E$2+IF($G$2="확정",1,0))&amp;""))</f>
        <v/>
      </c>
      <c r="S338">
        <f>IF($R338="","",IF(INDEX('입력_구리근무자명단'!$A336:$ZZ336,1,$E$2+2)&amp;""="",급여기준월,IF(ISNUMBER(INDEX('입력_구리근무자명단'!$A336:$ZZ336,1,$E$2+2)),INDEX('입력_구리근무자명단'!$A336:$ZZ336,1,$E$2+2),IFERROR(DATE(VALUE(LEFT(INDEX('입력_구리근무자명단'!$A336:$ZZ336,1,$E$2+2),4)),VALUE(MID(INDEX('입력_구리근무자명단'!$A336:$ZZ336,1,$E$2+2),6,2)),VALUE(MID(INDEX('입력_구리근무자명단'!$A336:$ZZ336,1,$E$2+2),9,2))),-1))))</f>
        <v/>
      </c>
      <c r="T338">
        <f>IF($R338="","",IF(INDEX('입력_구리근무자명단'!$A336:$ZZ336,1,$E$2+3)&amp;""="",EOMONTH(급여기준월,0),IF(ISNUMBER(INDEX('입력_구리근무자명단'!$A336:$ZZ336,1,$E$2+3)),INDEX('입력_구리근무자명단'!$A336:$ZZ336,1,$E$2+3),IFERROR(DATE(VALUE(LEFT(INDEX('입력_구리근무자명단'!$A336:$ZZ336,1,$E$2+3),4)),VALUE(MID(INDEX('입력_구리근무자명단'!$A336:$ZZ336,1,$E$2+3),6,2)),VALUE(MID(INDEX('입력_구리근무자명단'!$A336:$ZZ336,1,$E$2+3),9,2))),-1))))</f>
        <v/>
      </c>
      <c r="U338">
        <f>IF($R338="","",IF(OR($S338&lt;0,$T338&lt;0),0,MAX(0,MIN($T338,EOMONTH(급여기준월,0))-MAX($S338,급여기준월)+1)))</f>
        <v/>
      </c>
      <c r="V338">
        <f>IF($R338="","",TRIM(INDEX('입력_구리근무자명단'!$A336:$ZZ336,1,$E$2+5)&amp;""))</f>
        <v/>
      </c>
      <c r="W338">
        <f>IF(ISNUMBER(SEARCH("구리독자",$V338)),"구리독자","")</f>
        <v/>
      </c>
      <c r="X338">
        <f>IF($R338="","",$R338&amp;"|"&amp;IF(OR($Q338="인턴",ISNUMBER(SEARCH("수련교육부",$P338))),"인턴",$P338))</f>
        <v/>
      </c>
      <c r="Y338">
        <f>IF($R338="","",IF(COUNTIF(명단표[이름|과],$X338)=1,"명단 일치",IF(AND(COUNTIF(명단표[이름|과],$X338)=0,COUNTIF(명단표[이름],$R338)=1),"명단 일치(이름만, 과 다름)",IF(COUNTIF(명단표[이름],$R338)=0,IF(COUNTIF(기본자료표[이름],$R338)&gt;0,"명단에 없음(기본자료에는 있음)","명단에 없음"),"동명이인 확인"))))</f>
        <v/>
      </c>
      <c r="Z338">
        <f>IF($R338="","",IF($S338&lt;0,"⚠"&amp;INDEX('입력_구리근무자명단'!$A336:$ZZ336,1,$E$2+2),TEXT($S338,"yyyy-mm-dd")))</f>
        <v/>
      </c>
      <c r="AA338">
        <f>IF($R338="","",IF($T338&lt;0,"⚠"&amp;INDEX('입력_구리근무자명단'!$A336:$ZZ336,1,$E$2+3),TEXT($T338,"yyyy-mm-dd")))</f>
        <v/>
      </c>
      <c r="AB338">
        <f>AB337+IF($R338="",0,1)</f>
        <v/>
      </c>
      <c r="AC338">
        <f>IF($R338="","",$AB338)</f>
        <v/>
      </c>
    </row>
    <row r="339">
      <c r="A339">
        <f>IFERROR(INDEX($O$6:$O$1505,MATCH(334,$AC$6:$AC$1505,0)),"")</f>
        <v/>
      </c>
      <c r="B339">
        <f>IF(ISNUMBER($A339),INDEX($P$6:$P$1505,$A339-3),"")</f>
        <v/>
      </c>
      <c r="C339">
        <f>IF(ISNUMBER($A339),INDEX($Q$6:$Q$1505,$A339-3),"")</f>
        <v/>
      </c>
      <c r="D339">
        <f>IF(ISNUMBER($A339),INDEX($R$6:$R$1505,$A339-3),"")</f>
        <v/>
      </c>
      <c r="E339">
        <f>IF(ISNUMBER($A339),$G$2,"")</f>
        <v/>
      </c>
      <c r="F339">
        <f>IF(ISNUMBER($A339),INDEX($Z$6:$Z$1505,$A339-3),"")</f>
        <v/>
      </c>
      <c r="G339">
        <f>IF(ISNUMBER($A339),INDEX($AA$6:$AA$1505,$A339-3),"")</f>
        <v/>
      </c>
      <c r="H339">
        <f>IF(ISNUMBER($A339),INDEX($U$6:$U$1505,$A339-3),"")</f>
        <v/>
      </c>
      <c r="I339">
        <f>IF(ISNUMBER($A339),INDEX($V$6:$V$1505,$A339-3),"")</f>
        <v/>
      </c>
      <c r="J339">
        <f>IF(ISNUMBER($A339),INDEX($W$6:$W$1505,$A339-3),"")</f>
        <v/>
      </c>
      <c r="K339">
        <f>IF(ISNUMBER($A339),INDEX($X$6:$X$1505,$A339-3),"")</f>
        <v/>
      </c>
      <c r="L339">
        <f>IF(ISNUMBER($A339),INDEX($Y$6:$Y$1505,$A339-3),"")</f>
        <v/>
      </c>
      <c r="O339">
        <f>337</f>
        <v/>
      </c>
      <c r="P339">
        <f>IF(TRIM('입력_구리근무자명단'!$A337&amp;"")&lt;&gt;"",TRIM('입력_구리근무자명단'!$A337&amp;""),P338)</f>
        <v/>
      </c>
      <c r="Q339">
        <f>'입력_구리근무자명단'!$B337&amp;""</f>
        <v/>
      </c>
      <c r="R339">
        <f>IF($E$2="","",TRIM(INDEX('입력_구리근무자명단'!$A337:$ZZ337,1,$E$2+IF($G$2="확정",1,0))&amp;""))</f>
        <v/>
      </c>
      <c r="S339">
        <f>IF($R339="","",IF(INDEX('입력_구리근무자명단'!$A337:$ZZ337,1,$E$2+2)&amp;""="",급여기준월,IF(ISNUMBER(INDEX('입력_구리근무자명단'!$A337:$ZZ337,1,$E$2+2)),INDEX('입력_구리근무자명단'!$A337:$ZZ337,1,$E$2+2),IFERROR(DATE(VALUE(LEFT(INDEX('입력_구리근무자명단'!$A337:$ZZ337,1,$E$2+2),4)),VALUE(MID(INDEX('입력_구리근무자명단'!$A337:$ZZ337,1,$E$2+2),6,2)),VALUE(MID(INDEX('입력_구리근무자명단'!$A337:$ZZ337,1,$E$2+2),9,2))),-1))))</f>
        <v/>
      </c>
      <c r="T339">
        <f>IF($R339="","",IF(INDEX('입력_구리근무자명단'!$A337:$ZZ337,1,$E$2+3)&amp;""="",EOMONTH(급여기준월,0),IF(ISNUMBER(INDEX('입력_구리근무자명단'!$A337:$ZZ337,1,$E$2+3)),INDEX('입력_구리근무자명단'!$A337:$ZZ337,1,$E$2+3),IFERROR(DATE(VALUE(LEFT(INDEX('입력_구리근무자명단'!$A337:$ZZ337,1,$E$2+3),4)),VALUE(MID(INDEX('입력_구리근무자명단'!$A337:$ZZ337,1,$E$2+3),6,2)),VALUE(MID(INDEX('입력_구리근무자명단'!$A337:$ZZ337,1,$E$2+3),9,2))),-1))))</f>
        <v/>
      </c>
      <c r="U339">
        <f>IF($R339="","",IF(OR($S339&lt;0,$T339&lt;0),0,MAX(0,MIN($T339,EOMONTH(급여기준월,0))-MAX($S339,급여기준월)+1)))</f>
        <v/>
      </c>
      <c r="V339">
        <f>IF($R339="","",TRIM(INDEX('입력_구리근무자명단'!$A337:$ZZ337,1,$E$2+5)&amp;""))</f>
        <v/>
      </c>
      <c r="W339">
        <f>IF(ISNUMBER(SEARCH("구리독자",$V339)),"구리독자","")</f>
        <v/>
      </c>
      <c r="X339">
        <f>IF($R339="","",$R339&amp;"|"&amp;IF(OR($Q339="인턴",ISNUMBER(SEARCH("수련교육부",$P339))),"인턴",$P339))</f>
        <v/>
      </c>
      <c r="Y339">
        <f>IF($R339="","",IF(COUNTIF(명단표[이름|과],$X339)=1,"명단 일치",IF(AND(COUNTIF(명단표[이름|과],$X339)=0,COUNTIF(명단표[이름],$R339)=1),"명단 일치(이름만, 과 다름)",IF(COUNTIF(명단표[이름],$R339)=0,IF(COUNTIF(기본자료표[이름],$R339)&gt;0,"명단에 없음(기본자료에는 있음)","명단에 없음"),"동명이인 확인"))))</f>
        <v/>
      </c>
      <c r="Z339">
        <f>IF($R339="","",IF($S339&lt;0,"⚠"&amp;INDEX('입력_구리근무자명단'!$A337:$ZZ337,1,$E$2+2),TEXT($S339,"yyyy-mm-dd")))</f>
        <v/>
      </c>
      <c r="AA339">
        <f>IF($R339="","",IF($T339&lt;0,"⚠"&amp;INDEX('입력_구리근무자명단'!$A337:$ZZ337,1,$E$2+3),TEXT($T339,"yyyy-mm-dd")))</f>
        <v/>
      </c>
      <c r="AB339">
        <f>AB338+IF($R339="",0,1)</f>
        <v/>
      </c>
      <c r="AC339">
        <f>IF($R339="","",$AB339)</f>
        <v/>
      </c>
    </row>
    <row r="340">
      <c r="A340">
        <f>IFERROR(INDEX($O$6:$O$1505,MATCH(335,$AC$6:$AC$1505,0)),"")</f>
        <v/>
      </c>
      <c r="B340">
        <f>IF(ISNUMBER($A340),INDEX($P$6:$P$1505,$A340-3),"")</f>
        <v/>
      </c>
      <c r="C340">
        <f>IF(ISNUMBER($A340),INDEX($Q$6:$Q$1505,$A340-3),"")</f>
        <v/>
      </c>
      <c r="D340">
        <f>IF(ISNUMBER($A340),INDEX($R$6:$R$1505,$A340-3),"")</f>
        <v/>
      </c>
      <c r="E340">
        <f>IF(ISNUMBER($A340),$G$2,"")</f>
        <v/>
      </c>
      <c r="F340">
        <f>IF(ISNUMBER($A340),INDEX($Z$6:$Z$1505,$A340-3),"")</f>
        <v/>
      </c>
      <c r="G340">
        <f>IF(ISNUMBER($A340),INDEX($AA$6:$AA$1505,$A340-3),"")</f>
        <v/>
      </c>
      <c r="H340">
        <f>IF(ISNUMBER($A340),INDEX($U$6:$U$1505,$A340-3),"")</f>
        <v/>
      </c>
      <c r="I340">
        <f>IF(ISNUMBER($A340),INDEX($V$6:$V$1505,$A340-3),"")</f>
        <v/>
      </c>
      <c r="J340">
        <f>IF(ISNUMBER($A340),INDEX($W$6:$W$1505,$A340-3),"")</f>
        <v/>
      </c>
      <c r="K340">
        <f>IF(ISNUMBER($A340),INDEX($X$6:$X$1505,$A340-3),"")</f>
        <v/>
      </c>
      <c r="L340">
        <f>IF(ISNUMBER($A340),INDEX($Y$6:$Y$1505,$A340-3),"")</f>
        <v/>
      </c>
      <c r="O340">
        <f>338</f>
        <v/>
      </c>
      <c r="P340">
        <f>IF(TRIM('입력_구리근무자명단'!$A338&amp;"")&lt;&gt;"",TRIM('입력_구리근무자명단'!$A338&amp;""),P339)</f>
        <v/>
      </c>
      <c r="Q340">
        <f>'입력_구리근무자명단'!$B338&amp;""</f>
        <v/>
      </c>
      <c r="R340">
        <f>IF($E$2="","",TRIM(INDEX('입력_구리근무자명단'!$A338:$ZZ338,1,$E$2+IF($G$2="확정",1,0))&amp;""))</f>
        <v/>
      </c>
      <c r="S340">
        <f>IF($R340="","",IF(INDEX('입력_구리근무자명단'!$A338:$ZZ338,1,$E$2+2)&amp;""="",급여기준월,IF(ISNUMBER(INDEX('입력_구리근무자명단'!$A338:$ZZ338,1,$E$2+2)),INDEX('입력_구리근무자명단'!$A338:$ZZ338,1,$E$2+2),IFERROR(DATE(VALUE(LEFT(INDEX('입력_구리근무자명단'!$A338:$ZZ338,1,$E$2+2),4)),VALUE(MID(INDEX('입력_구리근무자명단'!$A338:$ZZ338,1,$E$2+2),6,2)),VALUE(MID(INDEX('입력_구리근무자명단'!$A338:$ZZ338,1,$E$2+2),9,2))),-1))))</f>
        <v/>
      </c>
      <c r="T340">
        <f>IF($R340="","",IF(INDEX('입력_구리근무자명단'!$A338:$ZZ338,1,$E$2+3)&amp;""="",EOMONTH(급여기준월,0),IF(ISNUMBER(INDEX('입력_구리근무자명단'!$A338:$ZZ338,1,$E$2+3)),INDEX('입력_구리근무자명단'!$A338:$ZZ338,1,$E$2+3),IFERROR(DATE(VALUE(LEFT(INDEX('입력_구리근무자명단'!$A338:$ZZ338,1,$E$2+3),4)),VALUE(MID(INDEX('입력_구리근무자명단'!$A338:$ZZ338,1,$E$2+3),6,2)),VALUE(MID(INDEX('입력_구리근무자명단'!$A338:$ZZ338,1,$E$2+3),9,2))),-1))))</f>
        <v/>
      </c>
      <c r="U340">
        <f>IF($R340="","",IF(OR($S340&lt;0,$T340&lt;0),0,MAX(0,MIN($T340,EOMONTH(급여기준월,0))-MAX($S340,급여기준월)+1)))</f>
        <v/>
      </c>
      <c r="V340">
        <f>IF($R340="","",TRIM(INDEX('입력_구리근무자명단'!$A338:$ZZ338,1,$E$2+5)&amp;""))</f>
        <v/>
      </c>
      <c r="W340">
        <f>IF(ISNUMBER(SEARCH("구리독자",$V340)),"구리독자","")</f>
        <v/>
      </c>
      <c r="X340">
        <f>IF($R340="","",$R340&amp;"|"&amp;IF(OR($Q340="인턴",ISNUMBER(SEARCH("수련교육부",$P340))),"인턴",$P340))</f>
        <v/>
      </c>
      <c r="Y340">
        <f>IF($R340="","",IF(COUNTIF(명단표[이름|과],$X340)=1,"명단 일치",IF(AND(COUNTIF(명단표[이름|과],$X340)=0,COUNTIF(명단표[이름],$R340)=1),"명단 일치(이름만, 과 다름)",IF(COUNTIF(명단표[이름],$R340)=0,IF(COUNTIF(기본자료표[이름],$R340)&gt;0,"명단에 없음(기본자료에는 있음)","명단에 없음"),"동명이인 확인"))))</f>
        <v/>
      </c>
      <c r="Z340">
        <f>IF($R340="","",IF($S340&lt;0,"⚠"&amp;INDEX('입력_구리근무자명단'!$A338:$ZZ338,1,$E$2+2),TEXT($S340,"yyyy-mm-dd")))</f>
        <v/>
      </c>
      <c r="AA340">
        <f>IF($R340="","",IF($T340&lt;0,"⚠"&amp;INDEX('입력_구리근무자명단'!$A338:$ZZ338,1,$E$2+3),TEXT($T340,"yyyy-mm-dd")))</f>
        <v/>
      </c>
      <c r="AB340">
        <f>AB339+IF($R340="",0,1)</f>
        <v/>
      </c>
      <c r="AC340">
        <f>IF($R340="","",$AB340)</f>
        <v/>
      </c>
    </row>
    <row r="341">
      <c r="A341">
        <f>IFERROR(INDEX($O$6:$O$1505,MATCH(336,$AC$6:$AC$1505,0)),"")</f>
        <v/>
      </c>
      <c r="B341">
        <f>IF(ISNUMBER($A341),INDEX($P$6:$P$1505,$A341-3),"")</f>
        <v/>
      </c>
      <c r="C341">
        <f>IF(ISNUMBER($A341),INDEX($Q$6:$Q$1505,$A341-3),"")</f>
        <v/>
      </c>
      <c r="D341">
        <f>IF(ISNUMBER($A341),INDEX($R$6:$R$1505,$A341-3),"")</f>
        <v/>
      </c>
      <c r="E341">
        <f>IF(ISNUMBER($A341),$G$2,"")</f>
        <v/>
      </c>
      <c r="F341">
        <f>IF(ISNUMBER($A341),INDEX($Z$6:$Z$1505,$A341-3),"")</f>
        <v/>
      </c>
      <c r="G341">
        <f>IF(ISNUMBER($A341),INDEX($AA$6:$AA$1505,$A341-3),"")</f>
        <v/>
      </c>
      <c r="H341">
        <f>IF(ISNUMBER($A341),INDEX($U$6:$U$1505,$A341-3),"")</f>
        <v/>
      </c>
      <c r="I341">
        <f>IF(ISNUMBER($A341),INDEX($V$6:$V$1505,$A341-3),"")</f>
        <v/>
      </c>
      <c r="J341">
        <f>IF(ISNUMBER($A341),INDEX($W$6:$W$1505,$A341-3),"")</f>
        <v/>
      </c>
      <c r="K341">
        <f>IF(ISNUMBER($A341),INDEX($X$6:$X$1505,$A341-3),"")</f>
        <v/>
      </c>
      <c r="L341">
        <f>IF(ISNUMBER($A341),INDEX($Y$6:$Y$1505,$A341-3),"")</f>
        <v/>
      </c>
      <c r="O341">
        <f>339</f>
        <v/>
      </c>
      <c r="P341">
        <f>IF(TRIM('입력_구리근무자명단'!$A339&amp;"")&lt;&gt;"",TRIM('입력_구리근무자명단'!$A339&amp;""),P340)</f>
        <v/>
      </c>
      <c r="Q341">
        <f>'입력_구리근무자명단'!$B339&amp;""</f>
        <v/>
      </c>
      <c r="R341">
        <f>IF($E$2="","",TRIM(INDEX('입력_구리근무자명단'!$A339:$ZZ339,1,$E$2+IF($G$2="확정",1,0))&amp;""))</f>
        <v/>
      </c>
      <c r="S341">
        <f>IF($R341="","",IF(INDEX('입력_구리근무자명단'!$A339:$ZZ339,1,$E$2+2)&amp;""="",급여기준월,IF(ISNUMBER(INDEX('입력_구리근무자명단'!$A339:$ZZ339,1,$E$2+2)),INDEX('입력_구리근무자명단'!$A339:$ZZ339,1,$E$2+2),IFERROR(DATE(VALUE(LEFT(INDEX('입력_구리근무자명단'!$A339:$ZZ339,1,$E$2+2),4)),VALUE(MID(INDEX('입력_구리근무자명단'!$A339:$ZZ339,1,$E$2+2),6,2)),VALUE(MID(INDEX('입력_구리근무자명단'!$A339:$ZZ339,1,$E$2+2),9,2))),-1))))</f>
        <v/>
      </c>
      <c r="T341">
        <f>IF($R341="","",IF(INDEX('입력_구리근무자명단'!$A339:$ZZ339,1,$E$2+3)&amp;""="",EOMONTH(급여기준월,0),IF(ISNUMBER(INDEX('입력_구리근무자명단'!$A339:$ZZ339,1,$E$2+3)),INDEX('입력_구리근무자명단'!$A339:$ZZ339,1,$E$2+3),IFERROR(DATE(VALUE(LEFT(INDEX('입력_구리근무자명단'!$A339:$ZZ339,1,$E$2+3),4)),VALUE(MID(INDEX('입력_구리근무자명단'!$A339:$ZZ339,1,$E$2+3),6,2)),VALUE(MID(INDEX('입력_구리근무자명단'!$A339:$ZZ339,1,$E$2+3),9,2))),-1))))</f>
        <v/>
      </c>
      <c r="U341">
        <f>IF($R341="","",IF(OR($S341&lt;0,$T341&lt;0),0,MAX(0,MIN($T341,EOMONTH(급여기준월,0))-MAX($S341,급여기준월)+1)))</f>
        <v/>
      </c>
      <c r="V341">
        <f>IF($R341="","",TRIM(INDEX('입력_구리근무자명단'!$A339:$ZZ339,1,$E$2+5)&amp;""))</f>
        <v/>
      </c>
      <c r="W341">
        <f>IF(ISNUMBER(SEARCH("구리독자",$V341)),"구리독자","")</f>
        <v/>
      </c>
      <c r="X341">
        <f>IF($R341="","",$R341&amp;"|"&amp;IF(OR($Q341="인턴",ISNUMBER(SEARCH("수련교육부",$P341))),"인턴",$P341))</f>
        <v/>
      </c>
      <c r="Y341">
        <f>IF($R341="","",IF(COUNTIF(명단표[이름|과],$X341)=1,"명단 일치",IF(AND(COUNTIF(명단표[이름|과],$X341)=0,COUNTIF(명단표[이름],$R341)=1),"명단 일치(이름만, 과 다름)",IF(COUNTIF(명단표[이름],$R341)=0,IF(COUNTIF(기본자료표[이름],$R341)&gt;0,"명단에 없음(기본자료에는 있음)","명단에 없음"),"동명이인 확인"))))</f>
        <v/>
      </c>
      <c r="Z341">
        <f>IF($R341="","",IF($S341&lt;0,"⚠"&amp;INDEX('입력_구리근무자명단'!$A339:$ZZ339,1,$E$2+2),TEXT($S341,"yyyy-mm-dd")))</f>
        <v/>
      </c>
      <c r="AA341">
        <f>IF($R341="","",IF($T341&lt;0,"⚠"&amp;INDEX('입력_구리근무자명단'!$A339:$ZZ339,1,$E$2+3),TEXT($T341,"yyyy-mm-dd")))</f>
        <v/>
      </c>
      <c r="AB341">
        <f>AB340+IF($R341="",0,1)</f>
        <v/>
      </c>
      <c r="AC341">
        <f>IF($R341="","",$AB341)</f>
        <v/>
      </c>
    </row>
    <row r="342">
      <c r="A342">
        <f>IFERROR(INDEX($O$6:$O$1505,MATCH(337,$AC$6:$AC$1505,0)),"")</f>
        <v/>
      </c>
      <c r="B342">
        <f>IF(ISNUMBER($A342),INDEX($P$6:$P$1505,$A342-3),"")</f>
        <v/>
      </c>
      <c r="C342">
        <f>IF(ISNUMBER($A342),INDEX($Q$6:$Q$1505,$A342-3),"")</f>
        <v/>
      </c>
      <c r="D342">
        <f>IF(ISNUMBER($A342),INDEX($R$6:$R$1505,$A342-3),"")</f>
        <v/>
      </c>
      <c r="E342">
        <f>IF(ISNUMBER($A342),$G$2,"")</f>
        <v/>
      </c>
      <c r="F342">
        <f>IF(ISNUMBER($A342),INDEX($Z$6:$Z$1505,$A342-3),"")</f>
        <v/>
      </c>
      <c r="G342">
        <f>IF(ISNUMBER($A342),INDEX($AA$6:$AA$1505,$A342-3),"")</f>
        <v/>
      </c>
      <c r="H342">
        <f>IF(ISNUMBER($A342),INDEX($U$6:$U$1505,$A342-3),"")</f>
        <v/>
      </c>
      <c r="I342">
        <f>IF(ISNUMBER($A342),INDEX($V$6:$V$1505,$A342-3),"")</f>
        <v/>
      </c>
      <c r="J342">
        <f>IF(ISNUMBER($A342),INDEX($W$6:$W$1505,$A342-3),"")</f>
        <v/>
      </c>
      <c r="K342">
        <f>IF(ISNUMBER($A342),INDEX($X$6:$X$1505,$A342-3),"")</f>
        <v/>
      </c>
      <c r="L342">
        <f>IF(ISNUMBER($A342),INDEX($Y$6:$Y$1505,$A342-3),"")</f>
        <v/>
      </c>
      <c r="O342">
        <f>340</f>
        <v/>
      </c>
      <c r="P342">
        <f>IF(TRIM('입력_구리근무자명단'!$A340&amp;"")&lt;&gt;"",TRIM('입력_구리근무자명단'!$A340&amp;""),P341)</f>
        <v/>
      </c>
      <c r="Q342">
        <f>'입력_구리근무자명단'!$B340&amp;""</f>
        <v/>
      </c>
      <c r="R342">
        <f>IF($E$2="","",TRIM(INDEX('입력_구리근무자명단'!$A340:$ZZ340,1,$E$2+IF($G$2="확정",1,0))&amp;""))</f>
        <v/>
      </c>
      <c r="S342">
        <f>IF($R342="","",IF(INDEX('입력_구리근무자명단'!$A340:$ZZ340,1,$E$2+2)&amp;""="",급여기준월,IF(ISNUMBER(INDEX('입력_구리근무자명단'!$A340:$ZZ340,1,$E$2+2)),INDEX('입력_구리근무자명단'!$A340:$ZZ340,1,$E$2+2),IFERROR(DATE(VALUE(LEFT(INDEX('입력_구리근무자명단'!$A340:$ZZ340,1,$E$2+2),4)),VALUE(MID(INDEX('입력_구리근무자명단'!$A340:$ZZ340,1,$E$2+2),6,2)),VALUE(MID(INDEX('입력_구리근무자명단'!$A340:$ZZ340,1,$E$2+2),9,2))),-1))))</f>
        <v/>
      </c>
      <c r="T342">
        <f>IF($R342="","",IF(INDEX('입력_구리근무자명단'!$A340:$ZZ340,1,$E$2+3)&amp;""="",EOMONTH(급여기준월,0),IF(ISNUMBER(INDEX('입력_구리근무자명단'!$A340:$ZZ340,1,$E$2+3)),INDEX('입력_구리근무자명단'!$A340:$ZZ340,1,$E$2+3),IFERROR(DATE(VALUE(LEFT(INDEX('입력_구리근무자명단'!$A340:$ZZ340,1,$E$2+3),4)),VALUE(MID(INDEX('입력_구리근무자명단'!$A340:$ZZ340,1,$E$2+3),6,2)),VALUE(MID(INDEX('입력_구리근무자명단'!$A340:$ZZ340,1,$E$2+3),9,2))),-1))))</f>
        <v/>
      </c>
      <c r="U342">
        <f>IF($R342="","",IF(OR($S342&lt;0,$T342&lt;0),0,MAX(0,MIN($T342,EOMONTH(급여기준월,0))-MAX($S342,급여기준월)+1)))</f>
        <v/>
      </c>
      <c r="V342">
        <f>IF($R342="","",TRIM(INDEX('입력_구리근무자명단'!$A340:$ZZ340,1,$E$2+5)&amp;""))</f>
        <v/>
      </c>
      <c r="W342">
        <f>IF(ISNUMBER(SEARCH("구리독자",$V342)),"구리독자","")</f>
        <v/>
      </c>
      <c r="X342">
        <f>IF($R342="","",$R342&amp;"|"&amp;IF(OR($Q342="인턴",ISNUMBER(SEARCH("수련교육부",$P342))),"인턴",$P342))</f>
        <v/>
      </c>
      <c r="Y342">
        <f>IF($R342="","",IF(COUNTIF(명단표[이름|과],$X342)=1,"명단 일치",IF(AND(COUNTIF(명단표[이름|과],$X342)=0,COUNTIF(명단표[이름],$R342)=1),"명단 일치(이름만, 과 다름)",IF(COUNTIF(명단표[이름],$R342)=0,IF(COUNTIF(기본자료표[이름],$R342)&gt;0,"명단에 없음(기본자료에는 있음)","명단에 없음"),"동명이인 확인"))))</f>
        <v/>
      </c>
      <c r="Z342">
        <f>IF($R342="","",IF($S342&lt;0,"⚠"&amp;INDEX('입력_구리근무자명단'!$A340:$ZZ340,1,$E$2+2),TEXT($S342,"yyyy-mm-dd")))</f>
        <v/>
      </c>
      <c r="AA342">
        <f>IF($R342="","",IF($T342&lt;0,"⚠"&amp;INDEX('입력_구리근무자명단'!$A340:$ZZ340,1,$E$2+3),TEXT($T342,"yyyy-mm-dd")))</f>
        <v/>
      </c>
      <c r="AB342">
        <f>AB341+IF($R342="",0,1)</f>
        <v/>
      </c>
      <c r="AC342">
        <f>IF($R342="","",$AB342)</f>
        <v/>
      </c>
    </row>
    <row r="343">
      <c r="A343">
        <f>IFERROR(INDEX($O$6:$O$1505,MATCH(338,$AC$6:$AC$1505,0)),"")</f>
        <v/>
      </c>
      <c r="B343">
        <f>IF(ISNUMBER($A343),INDEX($P$6:$P$1505,$A343-3),"")</f>
        <v/>
      </c>
      <c r="C343">
        <f>IF(ISNUMBER($A343),INDEX($Q$6:$Q$1505,$A343-3),"")</f>
        <v/>
      </c>
      <c r="D343">
        <f>IF(ISNUMBER($A343),INDEX($R$6:$R$1505,$A343-3),"")</f>
        <v/>
      </c>
      <c r="E343">
        <f>IF(ISNUMBER($A343),$G$2,"")</f>
        <v/>
      </c>
      <c r="F343">
        <f>IF(ISNUMBER($A343),INDEX($Z$6:$Z$1505,$A343-3),"")</f>
        <v/>
      </c>
      <c r="G343">
        <f>IF(ISNUMBER($A343),INDEX($AA$6:$AA$1505,$A343-3),"")</f>
        <v/>
      </c>
      <c r="H343">
        <f>IF(ISNUMBER($A343),INDEX($U$6:$U$1505,$A343-3),"")</f>
        <v/>
      </c>
      <c r="I343">
        <f>IF(ISNUMBER($A343),INDEX($V$6:$V$1505,$A343-3),"")</f>
        <v/>
      </c>
      <c r="J343">
        <f>IF(ISNUMBER($A343),INDEX($W$6:$W$1505,$A343-3),"")</f>
        <v/>
      </c>
      <c r="K343">
        <f>IF(ISNUMBER($A343),INDEX($X$6:$X$1505,$A343-3),"")</f>
        <v/>
      </c>
      <c r="L343">
        <f>IF(ISNUMBER($A343),INDEX($Y$6:$Y$1505,$A343-3),"")</f>
        <v/>
      </c>
      <c r="O343">
        <f>341</f>
        <v/>
      </c>
      <c r="P343">
        <f>IF(TRIM('입력_구리근무자명단'!$A341&amp;"")&lt;&gt;"",TRIM('입력_구리근무자명단'!$A341&amp;""),P342)</f>
        <v/>
      </c>
      <c r="Q343">
        <f>'입력_구리근무자명단'!$B341&amp;""</f>
        <v/>
      </c>
      <c r="R343">
        <f>IF($E$2="","",TRIM(INDEX('입력_구리근무자명단'!$A341:$ZZ341,1,$E$2+IF($G$2="확정",1,0))&amp;""))</f>
        <v/>
      </c>
      <c r="S343">
        <f>IF($R343="","",IF(INDEX('입력_구리근무자명단'!$A341:$ZZ341,1,$E$2+2)&amp;""="",급여기준월,IF(ISNUMBER(INDEX('입력_구리근무자명단'!$A341:$ZZ341,1,$E$2+2)),INDEX('입력_구리근무자명단'!$A341:$ZZ341,1,$E$2+2),IFERROR(DATE(VALUE(LEFT(INDEX('입력_구리근무자명단'!$A341:$ZZ341,1,$E$2+2),4)),VALUE(MID(INDEX('입력_구리근무자명단'!$A341:$ZZ341,1,$E$2+2),6,2)),VALUE(MID(INDEX('입력_구리근무자명단'!$A341:$ZZ341,1,$E$2+2),9,2))),-1))))</f>
        <v/>
      </c>
      <c r="T343">
        <f>IF($R343="","",IF(INDEX('입력_구리근무자명단'!$A341:$ZZ341,1,$E$2+3)&amp;""="",EOMONTH(급여기준월,0),IF(ISNUMBER(INDEX('입력_구리근무자명단'!$A341:$ZZ341,1,$E$2+3)),INDEX('입력_구리근무자명단'!$A341:$ZZ341,1,$E$2+3),IFERROR(DATE(VALUE(LEFT(INDEX('입력_구리근무자명단'!$A341:$ZZ341,1,$E$2+3),4)),VALUE(MID(INDEX('입력_구리근무자명단'!$A341:$ZZ341,1,$E$2+3),6,2)),VALUE(MID(INDEX('입력_구리근무자명단'!$A341:$ZZ341,1,$E$2+3),9,2))),-1))))</f>
        <v/>
      </c>
      <c r="U343">
        <f>IF($R343="","",IF(OR($S343&lt;0,$T343&lt;0),0,MAX(0,MIN($T343,EOMONTH(급여기준월,0))-MAX($S343,급여기준월)+1)))</f>
        <v/>
      </c>
      <c r="V343">
        <f>IF($R343="","",TRIM(INDEX('입력_구리근무자명단'!$A341:$ZZ341,1,$E$2+5)&amp;""))</f>
        <v/>
      </c>
      <c r="W343">
        <f>IF(ISNUMBER(SEARCH("구리독자",$V343)),"구리독자","")</f>
        <v/>
      </c>
      <c r="X343">
        <f>IF($R343="","",$R343&amp;"|"&amp;IF(OR($Q343="인턴",ISNUMBER(SEARCH("수련교육부",$P343))),"인턴",$P343))</f>
        <v/>
      </c>
      <c r="Y343">
        <f>IF($R343="","",IF(COUNTIF(명단표[이름|과],$X343)=1,"명단 일치",IF(AND(COUNTIF(명단표[이름|과],$X343)=0,COUNTIF(명단표[이름],$R343)=1),"명단 일치(이름만, 과 다름)",IF(COUNTIF(명단표[이름],$R343)=0,IF(COUNTIF(기본자료표[이름],$R343)&gt;0,"명단에 없음(기본자료에는 있음)","명단에 없음"),"동명이인 확인"))))</f>
        <v/>
      </c>
      <c r="Z343">
        <f>IF($R343="","",IF($S343&lt;0,"⚠"&amp;INDEX('입력_구리근무자명단'!$A341:$ZZ341,1,$E$2+2),TEXT($S343,"yyyy-mm-dd")))</f>
        <v/>
      </c>
      <c r="AA343">
        <f>IF($R343="","",IF($T343&lt;0,"⚠"&amp;INDEX('입력_구리근무자명단'!$A341:$ZZ341,1,$E$2+3),TEXT($T343,"yyyy-mm-dd")))</f>
        <v/>
      </c>
      <c r="AB343">
        <f>AB342+IF($R343="",0,1)</f>
        <v/>
      </c>
      <c r="AC343">
        <f>IF($R343="","",$AB343)</f>
        <v/>
      </c>
    </row>
    <row r="344">
      <c r="A344">
        <f>IFERROR(INDEX($O$6:$O$1505,MATCH(339,$AC$6:$AC$1505,0)),"")</f>
        <v/>
      </c>
      <c r="B344">
        <f>IF(ISNUMBER($A344),INDEX($P$6:$P$1505,$A344-3),"")</f>
        <v/>
      </c>
      <c r="C344">
        <f>IF(ISNUMBER($A344),INDEX($Q$6:$Q$1505,$A344-3),"")</f>
        <v/>
      </c>
      <c r="D344">
        <f>IF(ISNUMBER($A344),INDEX($R$6:$R$1505,$A344-3),"")</f>
        <v/>
      </c>
      <c r="E344">
        <f>IF(ISNUMBER($A344),$G$2,"")</f>
        <v/>
      </c>
      <c r="F344">
        <f>IF(ISNUMBER($A344),INDEX($Z$6:$Z$1505,$A344-3),"")</f>
        <v/>
      </c>
      <c r="G344">
        <f>IF(ISNUMBER($A344),INDEX($AA$6:$AA$1505,$A344-3),"")</f>
        <v/>
      </c>
      <c r="H344">
        <f>IF(ISNUMBER($A344),INDEX($U$6:$U$1505,$A344-3),"")</f>
        <v/>
      </c>
      <c r="I344">
        <f>IF(ISNUMBER($A344),INDEX($V$6:$V$1505,$A344-3),"")</f>
        <v/>
      </c>
      <c r="J344">
        <f>IF(ISNUMBER($A344),INDEX($W$6:$W$1505,$A344-3),"")</f>
        <v/>
      </c>
      <c r="K344">
        <f>IF(ISNUMBER($A344),INDEX($X$6:$X$1505,$A344-3),"")</f>
        <v/>
      </c>
      <c r="L344">
        <f>IF(ISNUMBER($A344),INDEX($Y$6:$Y$1505,$A344-3),"")</f>
        <v/>
      </c>
      <c r="O344">
        <f>342</f>
        <v/>
      </c>
      <c r="P344">
        <f>IF(TRIM('입력_구리근무자명단'!$A342&amp;"")&lt;&gt;"",TRIM('입력_구리근무자명단'!$A342&amp;""),P343)</f>
        <v/>
      </c>
      <c r="Q344">
        <f>'입력_구리근무자명단'!$B342&amp;""</f>
        <v/>
      </c>
      <c r="R344">
        <f>IF($E$2="","",TRIM(INDEX('입력_구리근무자명단'!$A342:$ZZ342,1,$E$2+IF($G$2="확정",1,0))&amp;""))</f>
        <v/>
      </c>
      <c r="S344">
        <f>IF($R344="","",IF(INDEX('입력_구리근무자명단'!$A342:$ZZ342,1,$E$2+2)&amp;""="",급여기준월,IF(ISNUMBER(INDEX('입력_구리근무자명단'!$A342:$ZZ342,1,$E$2+2)),INDEX('입력_구리근무자명단'!$A342:$ZZ342,1,$E$2+2),IFERROR(DATE(VALUE(LEFT(INDEX('입력_구리근무자명단'!$A342:$ZZ342,1,$E$2+2),4)),VALUE(MID(INDEX('입력_구리근무자명단'!$A342:$ZZ342,1,$E$2+2),6,2)),VALUE(MID(INDEX('입력_구리근무자명단'!$A342:$ZZ342,1,$E$2+2),9,2))),-1))))</f>
        <v/>
      </c>
      <c r="T344">
        <f>IF($R344="","",IF(INDEX('입력_구리근무자명단'!$A342:$ZZ342,1,$E$2+3)&amp;""="",EOMONTH(급여기준월,0),IF(ISNUMBER(INDEX('입력_구리근무자명단'!$A342:$ZZ342,1,$E$2+3)),INDEX('입력_구리근무자명단'!$A342:$ZZ342,1,$E$2+3),IFERROR(DATE(VALUE(LEFT(INDEX('입력_구리근무자명단'!$A342:$ZZ342,1,$E$2+3),4)),VALUE(MID(INDEX('입력_구리근무자명단'!$A342:$ZZ342,1,$E$2+3),6,2)),VALUE(MID(INDEX('입력_구리근무자명단'!$A342:$ZZ342,1,$E$2+3),9,2))),-1))))</f>
        <v/>
      </c>
      <c r="U344">
        <f>IF($R344="","",IF(OR($S344&lt;0,$T344&lt;0),0,MAX(0,MIN($T344,EOMONTH(급여기준월,0))-MAX($S344,급여기준월)+1)))</f>
        <v/>
      </c>
      <c r="V344">
        <f>IF($R344="","",TRIM(INDEX('입력_구리근무자명단'!$A342:$ZZ342,1,$E$2+5)&amp;""))</f>
        <v/>
      </c>
      <c r="W344">
        <f>IF(ISNUMBER(SEARCH("구리독자",$V344)),"구리독자","")</f>
        <v/>
      </c>
      <c r="X344">
        <f>IF($R344="","",$R344&amp;"|"&amp;IF(OR($Q344="인턴",ISNUMBER(SEARCH("수련교육부",$P344))),"인턴",$P344))</f>
        <v/>
      </c>
      <c r="Y344">
        <f>IF($R344="","",IF(COUNTIF(명단표[이름|과],$X344)=1,"명단 일치",IF(AND(COUNTIF(명단표[이름|과],$X344)=0,COUNTIF(명단표[이름],$R344)=1),"명단 일치(이름만, 과 다름)",IF(COUNTIF(명단표[이름],$R344)=0,IF(COUNTIF(기본자료표[이름],$R344)&gt;0,"명단에 없음(기본자료에는 있음)","명단에 없음"),"동명이인 확인"))))</f>
        <v/>
      </c>
      <c r="Z344">
        <f>IF($R344="","",IF($S344&lt;0,"⚠"&amp;INDEX('입력_구리근무자명단'!$A342:$ZZ342,1,$E$2+2),TEXT($S344,"yyyy-mm-dd")))</f>
        <v/>
      </c>
      <c r="AA344">
        <f>IF($R344="","",IF($T344&lt;0,"⚠"&amp;INDEX('입력_구리근무자명단'!$A342:$ZZ342,1,$E$2+3),TEXT($T344,"yyyy-mm-dd")))</f>
        <v/>
      </c>
      <c r="AB344">
        <f>AB343+IF($R344="",0,1)</f>
        <v/>
      </c>
      <c r="AC344">
        <f>IF($R344="","",$AB344)</f>
        <v/>
      </c>
    </row>
    <row r="345">
      <c r="A345">
        <f>IFERROR(INDEX($O$6:$O$1505,MATCH(340,$AC$6:$AC$1505,0)),"")</f>
        <v/>
      </c>
      <c r="B345">
        <f>IF(ISNUMBER($A345),INDEX($P$6:$P$1505,$A345-3),"")</f>
        <v/>
      </c>
      <c r="C345">
        <f>IF(ISNUMBER($A345),INDEX($Q$6:$Q$1505,$A345-3),"")</f>
        <v/>
      </c>
      <c r="D345">
        <f>IF(ISNUMBER($A345),INDEX($R$6:$R$1505,$A345-3),"")</f>
        <v/>
      </c>
      <c r="E345">
        <f>IF(ISNUMBER($A345),$G$2,"")</f>
        <v/>
      </c>
      <c r="F345">
        <f>IF(ISNUMBER($A345),INDEX($Z$6:$Z$1505,$A345-3),"")</f>
        <v/>
      </c>
      <c r="G345">
        <f>IF(ISNUMBER($A345),INDEX($AA$6:$AA$1505,$A345-3),"")</f>
        <v/>
      </c>
      <c r="H345">
        <f>IF(ISNUMBER($A345),INDEX($U$6:$U$1505,$A345-3),"")</f>
        <v/>
      </c>
      <c r="I345">
        <f>IF(ISNUMBER($A345),INDEX($V$6:$V$1505,$A345-3),"")</f>
        <v/>
      </c>
      <c r="J345">
        <f>IF(ISNUMBER($A345),INDEX($W$6:$W$1505,$A345-3),"")</f>
        <v/>
      </c>
      <c r="K345">
        <f>IF(ISNUMBER($A345),INDEX($X$6:$X$1505,$A345-3),"")</f>
        <v/>
      </c>
      <c r="L345">
        <f>IF(ISNUMBER($A345),INDEX($Y$6:$Y$1505,$A345-3),"")</f>
        <v/>
      </c>
      <c r="O345">
        <f>343</f>
        <v/>
      </c>
      <c r="P345">
        <f>IF(TRIM('입력_구리근무자명단'!$A343&amp;"")&lt;&gt;"",TRIM('입력_구리근무자명단'!$A343&amp;""),P344)</f>
        <v/>
      </c>
      <c r="Q345">
        <f>'입력_구리근무자명단'!$B343&amp;""</f>
        <v/>
      </c>
      <c r="R345">
        <f>IF($E$2="","",TRIM(INDEX('입력_구리근무자명단'!$A343:$ZZ343,1,$E$2+IF($G$2="확정",1,0))&amp;""))</f>
        <v/>
      </c>
      <c r="S345">
        <f>IF($R345="","",IF(INDEX('입력_구리근무자명단'!$A343:$ZZ343,1,$E$2+2)&amp;""="",급여기준월,IF(ISNUMBER(INDEX('입력_구리근무자명단'!$A343:$ZZ343,1,$E$2+2)),INDEX('입력_구리근무자명단'!$A343:$ZZ343,1,$E$2+2),IFERROR(DATE(VALUE(LEFT(INDEX('입력_구리근무자명단'!$A343:$ZZ343,1,$E$2+2),4)),VALUE(MID(INDEX('입력_구리근무자명단'!$A343:$ZZ343,1,$E$2+2),6,2)),VALUE(MID(INDEX('입력_구리근무자명단'!$A343:$ZZ343,1,$E$2+2),9,2))),-1))))</f>
        <v/>
      </c>
      <c r="T345">
        <f>IF($R345="","",IF(INDEX('입력_구리근무자명단'!$A343:$ZZ343,1,$E$2+3)&amp;""="",EOMONTH(급여기준월,0),IF(ISNUMBER(INDEX('입력_구리근무자명단'!$A343:$ZZ343,1,$E$2+3)),INDEX('입력_구리근무자명단'!$A343:$ZZ343,1,$E$2+3),IFERROR(DATE(VALUE(LEFT(INDEX('입력_구리근무자명단'!$A343:$ZZ343,1,$E$2+3),4)),VALUE(MID(INDEX('입력_구리근무자명단'!$A343:$ZZ343,1,$E$2+3),6,2)),VALUE(MID(INDEX('입력_구리근무자명단'!$A343:$ZZ343,1,$E$2+3),9,2))),-1))))</f>
        <v/>
      </c>
      <c r="U345">
        <f>IF($R345="","",IF(OR($S345&lt;0,$T345&lt;0),0,MAX(0,MIN($T345,EOMONTH(급여기준월,0))-MAX($S345,급여기준월)+1)))</f>
        <v/>
      </c>
      <c r="V345">
        <f>IF($R345="","",TRIM(INDEX('입력_구리근무자명단'!$A343:$ZZ343,1,$E$2+5)&amp;""))</f>
        <v/>
      </c>
      <c r="W345">
        <f>IF(ISNUMBER(SEARCH("구리독자",$V345)),"구리독자","")</f>
        <v/>
      </c>
      <c r="X345">
        <f>IF($R345="","",$R345&amp;"|"&amp;IF(OR($Q345="인턴",ISNUMBER(SEARCH("수련교육부",$P345))),"인턴",$P345))</f>
        <v/>
      </c>
      <c r="Y345">
        <f>IF($R345="","",IF(COUNTIF(명단표[이름|과],$X345)=1,"명단 일치",IF(AND(COUNTIF(명단표[이름|과],$X345)=0,COUNTIF(명단표[이름],$R345)=1),"명단 일치(이름만, 과 다름)",IF(COUNTIF(명단표[이름],$R345)=0,IF(COUNTIF(기본자료표[이름],$R345)&gt;0,"명단에 없음(기본자료에는 있음)","명단에 없음"),"동명이인 확인"))))</f>
        <v/>
      </c>
      <c r="Z345">
        <f>IF($R345="","",IF($S345&lt;0,"⚠"&amp;INDEX('입력_구리근무자명단'!$A343:$ZZ343,1,$E$2+2),TEXT($S345,"yyyy-mm-dd")))</f>
        <v/>
      </c>
      <c r="AA345">
        <f>IF($R345="","",IF($T345&lt;0,"⚠"&amp;INDEX('입력_구리근무자명단'!$A343:$ZZ343,1,$E$2+3),TEXT($T345,"yyyy-mm-dd")))</f>
        <v/>
      </c>
      <c r="AB345">
        <f>AB344+IF($R345="",0,1)</f>
        <v/>
      </c>
      <c r="AC345">
        <f>IF($R345="","",$AB345)</f>
        <v/>
      </c>
    </row>
    <row r="346">
      <c r="A346">
        <f>IFERROR(INDEX($O$6:$O$1505,MATCH(341,$AC$6:$AC$1505,0)),"")</f>
        <v/>
      </c>
      <c r="B346">
        <f>IF(ISNUMBER($A346),INDEX($P$6:$P$1505,$A346-3),"")</f>
        <v/>
      </c>
      <c r="C346">
        <f>IF(ISNUMBER($A346),INDEX($Q$6:$Q$1505,$A346-3),"")</f>
        <v/>
      </c>
      <c r="D346">
        <f>IF(ISNUMBER($A346),INDEX($R$6:$R$1505,$A346-3),"")</f>
        <v/>
      </c>
      <c r="E346">
        <f>IF(ISNUMBER($A346),$G$2,"")</f>
        <v/>
      </c>
      <c r="F346">
        <f>IF(ISNUMBER($A346),INDEX($Z$6:$Z$1505,$A346-3),"")</f>
        <v/>
      </c>
      <c r="G346">
        <f>IF(ISNUMBER($A346),INDEX($AA$6:$AA$1505,$A346-3),"")</f>
        <v/>
      </c>
      <c r="H346">
        <f>IF(ISNUMBER($A346),INDEX($U$6:$U$1505,$A346-3),"")</f>
        <v/>
      </c>
      <c r="I346">
        <f>IF(ISNUMBER($A346),INDEX($V$6:$V$1505,$A346-3),"")</f>
        <v/>
      </c>
      <c r="J346">
        <f>IF(ISNUMBER($A346),INDEX($W$6:$W$1505,$A346-3),"")</f>
        <v/>
      </c>
      <c r="K346">
        <f>IF(ISNUMBER($A346),INDEX($X$6:$X$1505,$A346-3),"")</f>
        <v/>
      </c>
      <c r="L346">
        <f>IF(ISNUMBER($A346),INDEX($Y$6:$Y$1505,$A346-3),"")</f>
        <v/>
      </c>
      <c r="O346">
        <f>344</f>
        <v/>
      </c>
      <c r="P346">
        <f>IF(TRIM('입력_구리근무자명단'!$A344&amp;"")&lt;&gt;"",TRIM('입력_구리근무자명단'!$A344&amp;""),P345)</f>
        <v/>
      </c>
      <c r="Q346">
        <f>'입력_구리근무자명단'!$B344&amp;""</f>
        <v/>
      </c>
      <c r="R346">
        <f>IF($E$2="","",TRIM(INDEX('입력_구리근무자명단'!$A344:$ZZ344,1,$E$2+IF($G$2="확정",1,0))&amp;""))</f>
        <v/>
      </c>
      <c r="S346">
        <f>IF($R346="","",IF(INDEX('입력_구리근무자명단'!$A344:$ZZ344,1,$E$2+2)&amp;""="",급여기준월,IF(ISNUMBER(INDEX('입력_구리근무자명단'!$A344:$ZZ344,1,$E$2+2)),INDEX('입력_구리근무자명단'!$A344:$ZZ344,1,$E$2+2),IFERROR(DATE(VALUE(LEFT(INDEX('입력_구리근무자명단'!$A344:$ZZ344,1,$E$2+2),4)),VALUE(MID(INDEX('입력_구리근무자명단'!$A344:$ZZ344,1,$E$2+2),6,2)),VALUE(MID(INDEX('입력_구리근무자명단'!$A344:$ZZ344,1,$E$2+2),9,2))),-1))))</f>
        <v/>
      </c>
      <c r="T346">
        <f>IF($R346="","",IF(INDEX('입력_구리근무자명단'!$A344:$ZZ344,1,$E$2+3)&amp;""="",EOMONTH(급여기준월,0),IF(ISNUMBER(INDEX('입력_구리근무자명단'!$A344:$ZZ344,1,$E$2+3)),INDEX('입력_구리근무자명단'!$A344:$ZZ344,1,$E$2+3),IFERROR(DATE(VALUE(LEFT(INDEX('입력_구리근무자명단'!$A344:$ZZ344,1,$E$2+3),4)),VALUE(MID(INDEX('입력_구리근무자명단'!$A344:$ZZ344,1,$E$2+3),6,2)),VALUE(MID(INDEX('입력_구리근무자명단'!$A344:$ZZ344,1,$E$2+3),9,2))),-1))))</f>
        <v/>
      </c>
      <c r="U346">
        <f>IF($R346="","",IF(OR($S346&lt;0,$T346&lt;0),0,MAX(0,MIN($T346,EOMONTH(급여기준월,0))-MAX($S346,급여기준월)+1)))</f>
        <v/>
      </c>
      <c r="V346">
        <f>IF($R346="","",TRIM(INDEX('입력_구리근무자명단'!$A344:$ZZ344,1,$E$2+5)&amp;""))</f>
        <v/>
      </c>
      <c r="W346">
        <f>IF(ISNUMBER(SEARCH("구리독자",$V346)),"구리독자","")</f>
        <v/>
      </c>
      <c r="X346">
        <f>IF($R346="","",$R346&amp;"|"&amp;IF(OR($Q346="인턴",ISNUMBER(SEARCH("수련교육부",$P346))),"인턴",$P346))</f>
        <v/>
      </c>
      <c r="Y346">
        <f>IF($R346="","",IF(COUNTIF(명단표[이름|과],$X346)=1,"명단 일치",IF(AND(COUNTIF(명단표[이름|과],$X346)=0,COUNTIF(명단표[이름],$R346)=1),"명단 일치(이름만, 과 다름)",IF(COUNTIF(명단표[이름],$R346)=0,IF(COUNTIF(기본자료표[이름],$R346)&gt;0,"명단에 없음(기본자료에는 있음)","명단에 없음"),"동명이인 확인"))))</f>
        <v/>
      </c>
      <c r="Z346">
        <f>IF($R346="","",IF($S346&lt;0,"⚠"&amp;INDEX('입력_구리근무자명단'!$A344:$ZZ344,1,$E$2+2),TEXT($S346,"yyyy-mm-dd")))</f>
        <v/>
      </c>
      <c r="AA346">
        <f>IF($R346="","",IF($T346&lt;0,"⚠"&amp;INDEX('입력_구리근무자명단'!$A344:$ZZ344,1,$E$2+3),TEXT($T346,"yyyy-mm-dd")))</f>
        <v/>
      </c>
      <c r="AB346">
        <f>AB345+IF($R346="",0,1)</f>
        <v/>
      </c>
      <c r="AC346">
        <f>IF($R346="","",$AB346)</f>
        <v/>
      </c>
    </row>
    <row r="347">
      <c r="A347">
        <f>IFERROR(INDEX($O$6:$O$1505,MATCH(342,$AC$6:$AC$1505,0)),"")</f>
        <v/>
      </c>
      <c r="B347">
        <f>IF(ISNUMBER($A347),INDEX($P$6:$P$1505,$A347-3),"")</f>
        <v/>
      </c>
      <c r="C347">
        <f>IF(ISNUMBER($A347),INDEX($Q$6:$Q$1505,$A347-3),"")</f>
        <v/>
      </c>
      <c r="D347">
        <f>IF(ISNUMBER($A347),INDEX($R$6:$R$1505,$A347-3),"")</f>
        <v/>
      </c>
      <c r="E347">
        <f>IF(ISNUMBER($A347),$G$2,"")</f>
        <v/>
      </c>
      <c r="F347">
        <f>IF(ISNUMBER($A347),INDEX($Z$6:$Z$1505,$A347-3),"")</f>
        <v/>
      </c>
      <c r="G347">
        <f>IF(ISNUMBER($A347),INDEX($AA$6:$AA$1505,$A347-3),"")</f>
        <v/>
      </c>
      <c r="H347">
        <f>IF(ISNUMBER($A347),INDEX($U$6:$U$1505,$A347-3),"")</f>
        <v/>
      </c>
      <c r="I347">
        <f>IF(ISNUMBER($A347),INDEX($V$6:$V$1505,$A347-3),"")</f>
        <v/>
      </c>
      <c r="J347">
        <f>IF(ISNUMBER($A347),INDEX($W$6:$W$1505,$A347-3),"")</f>
        <v/>
      </c>
      <c r="K347">
        <f>IF(ISNUMBER($A347),INDEX($X$6:$X$1505,$A347-3),"")</f>
        <v/>
      </c>
      <c r="L347">
        <f>IF(ISNUMBER($A347),INDEX($Y$6:$Y$1505,$A347-3),"")</f>
        <v/>
      </c>
      <c r="O347">
        <f>345</f>
        <v/>
      </c>
      <c r="P347">
        <f>IF(TRIM('입력_구리근무자명단'!$A345&amp;"")&lt;&gt;"",TRIM('입력_구리근무자명단'!$A345&amp;""),P346)</f>
        <v/>
      </c>
      <c r="Q347">
        <f>'입력_구리근무자명단'!$B345&amp;""</f>
        <v/>
      </c>
      <c r="R347">
        <f>IF($E$2="","",TRIM(INDEX('입력_구리근무자명단'!$A345:$ZZ345,1,$E$2+IF($G$2="확정",1,0))&amp;""))</f>
        <v/>
      </c>
      <c r="S347">
        <f>IF($R347="","",IF(INDEX('입력_구리근무자명단'!$A345:$ZZ345,1,$E$2+2)&amp;""="",급여기준월,IF(ISNUMBER(INDEX('입력_구리근무자명단'!$A345:$ZZ345,1,$E$2+2)),INDEX('입력_구리근무자명단'!$A345:$ZZ345,1,$E$2+2),IFERROR(DATE(VALUE(LEFT(INDEX('입력_구리근무자명단'!$A345:$ZZ345,1,$E$2+2),4)),VALUE(MID(INDEX('입력_구리근무자명단'!$A345:$ZZ345,1,$E$2+2),6,2)),VALUE(MID(INDEX('입력_구리근무자명단'!$A345:$ZZ345,1,$E$2+2),9,2))),-1))))</f>
        <v/>
      </c>
      <c r="T347">
        <f>IF($R347="","",IF(INDEX('입력_구리근무자명단'!$A345:$ZZ345,1,$E$2+3)&amp;""="",EOMONTH(급여기준월,0),IF(ISNUMBER(INDEX('입력_구리근무자명단'!$A345:$ZZ345,1,$E$2+3)),INDEX('입력_구리근무자명단'!$A345:$ZZ345,1,$E$2+3),IFERROR(DATE(VALUE(LEFT(INDEX('입력_구리근무자명단'!$A345:$ZZ345,1,$E$2+3),4)),VALUE(MID(INDEX('입력_구리근무자명단'!$A345:$ZZ345,1,$E$2+3),6,2)),VALUE(MID(INDEX('입력_구리근무자명단'!$A345:$ZZ345,1,$E$2+3),9,2))),-1))))</f>
        <v/>
      </c>
      <c r="U347">
        <f>IF($R347="","",IF(OR($S347&lt;0,$T347&lt;0),0,MAX(0,MIN($T347,EOMONTH(급여기준월,0))-MAX($S347,급여기준월)+1)))</f>
        <v/>
      </c>
      <c r="V347">
        <f>IF($R347="","",TRIM(INDEX('입력_구리근무자명단'!$A345:$ZZ345,1,$E$2+5)&amp;""))</f>
        <v/>
      </c>
      <c r="W347">
        <f>IF(ISNUMBER(SEARCH("구리독자",$V347)),"구리독자","")</f>
        <v/>
      </c>
      <c r="X347">
        <f>IF($R347="","",$R347&amp;"|"&amp;IF(OR($Q347="인턴",ISNUMBER(SEARCH("수련교육부",$P347))),"인턴",$P347))</f>
        <v/>
      </c>
      <c r="Y347">
        <f>IF($R347="","",IF(COUNTIF(명단표[이름|과],$X347)=1,"명단 일치",IF(AND(COUNTIF(명단표[이름|과],$X347)=0,COUNTIF(명단표[이름],$R347)=1),"명단 일치(이름만, 과 다름)",IF(COUNTIF(명단표[이름],$R347)=0,IF(COUNTIF(기본자료표[이름],$R347)&gt;0,"명단에 없음(기본자료에는 있음)","명단에 없음"),"동명이인 확인"))))</f>
        <v/>
      </c>
      <c r="Z347">
        <f>IF($R347="","",IF($S347&lt;0,"⚠"&amp;INDEX('입력_구리근무자명단'!$A345:$ZZ345,1,$E$2+2),TEXT($S347,"yyyy-mm-dd")))</f>
        <v/>
      </c>
      <c r="AA347">
        <f>IF($R347="","",IF($T347&lt;0,"⚠"&amp;INDEX('입력_구리근무자명단'!$A345:$ZZ345,1,$E$2+3),TEXT($T347,"yyyy-mm-dd")))</f>
        <v/>
      </c>
      <c r="AB347">
        <f>AB346+IF($R347="",0,1)</f>
        <v/>
      </c>
      <c r="AC347">
        <f>IF($R347="","",$AB347)</f>
        <v/>
      </c>
    </row>
    <row r="348">
      <c r="A348">
        <f>IFERROR(INDEX($O$6:$O$1505,MATCH(343,$AC$6:$AC$1505,0)),"")</f>
        <v/>
      </c>
      <c r="B348">
        <f>IF(ISNUMBER($A348),INDEX($P$6:$P$1505,$A348-3),"")</f>
        <v/>
      </c>
      <c r="C348">
        <f>IF(ISNUMBER($A348),INDEX($Q$6:$Q$1505,$A348-3),"")</f>
        <v/>
      </c>
      <c r="D348">
        <f>IF(ISNUMBER($A348),INDEX($R$6:$R$1505,$A348-3),"")</f>
        <v/>
      </c>
      <c r="E348">
        <f>IF(ISNUMBER($A348),$G$2,"")</f>
        <v/>
      </c>
      <c r="F348">
        <f>IF(ISNUMBER($A348),INDEX($Z$6:$Z$1505,$A348-3),"")</f>
        <v/>
      </c>
      <c r="G348">
        <f>IF(ISNUMBER($A348),INDEX($AA$6:$AA$1505,$A348-3),"")</f>
        <v/>
      </c>
      <c r="H348">
        <f>IF(ISNUMBER($A348),INDEX($U$6:$U$1505,$A348-3),"")</f>
        <v/>
      </c>
      <c r="I348">
        <f>IF(ISNUMBER($A348),INDEX($V$6:$V$1505,$A348-3),"")</f>
        <v/>
      </c>
      <c r="J348">
        <f>IF(ISNUMBER($A348),INDEX($W$6:$W$1505,$A348-3),"")</f>
        <v/>
      </c>
      <c r="K348">
        <f>IF(ISNUMBER($A348),INDEX($X$6:$X$1505,$A348-3),"")</f>
        <v/>
      </c>
      <c r="L348">
        <f>IF(ISNUMBER($A348),INDEX($Y$6:$Y$1505,$A348-3),"")</f>
        <v/>
      </c>
      <c r="O348">
        <f>346</f>
        <v/>
      </c>
      <c r="P348">
        <f>IF(TRIM('입력_구리근무자명단'!$A346&amp;"")&lt;&gt;"",TRIM('입력_구리근무자명단'!$A346&amp;""),P347)</f>
        <v/>
      </c>
      <c r="Q348">
        <f>'입력_구리근무자명단'!$B346&amp;""</f>
        <v/>
      </c>
      <c r="R348">
        <f>IF($E$2="","",TRIM(INDEX('입력_구리근무자명단'!$A346:$ZZ346,1,$E$2+IF($G$2="확정",1,0))&amp;""))</f>
        <v/>
      </c>
      <c r="S348">
        <f>IF($R348="","",IF(INDEX('입력_구리근무자명단'!$A346:$ZZ346,1,$E$2+2)&amp;""="",급여기준월,IF(ISNUMBER(INDEX('입력_구리근무자명단'!$A346:$ZZ346,1,$E$2+2)),INDEX('입력_구리근무자명단'!$A346:$ZZ346,1,$E$2+2),IFERROR(DATE(VALUE(LEFT(INDEX('입력_구리근무자명단'!$A346:$ZZ346,1,$E$2+2),4)),VALUE(MID(INDEX('입력_구리근무자명단'!$A346:$ZZ346,1,$E$2+2),6,2)),VALUE(MID(INDEX('입력_구리근무자명단'!$A346:$ZZ346,1,$E$2+2),9,2))),-1))))</f>
        <v/>
      </c>
      <c r="T348">
        <f>IF($R348="","",IF(INDEX('입력_구리근무자명단'!$A346:$ZZ346,1,$E$2+3)&amp;""="",EOMONTH(급여기준월,0),IF(ISNUMBER(INDEX('입력_구리근무자명단'!$A346:$ZZ346,1,$E$2+3)),INDEX('입력_구리근무자명단'!$A346:$ZZ346,1,$E$2+3),IFERROR(DATE(VALUE(LEFT(INDEX('입력_구리근무자명단'!$A346:$ZZ346,1,$E$2+3),4)),VALUE(MID(INDEX('입력_구리근무자명단'!$A346:$ZZ346,1,$E$2+3),6,2)),VALUE(MID(INDEX('입력_구리근무자명단'!$A346:$ZZ346,1,$E$2+3),9,2))),-1))))</f>
        <v/>
      </c>
      <c r="U348">
        <f>IF($R348="","",IF(OR($S348&lt;0,$T348&lt;0),0,MAX(0,MIN($T348,EOMONTH(급여기준월,0))-MAX($S348,급여기준월)+1)))</f>
        <v/>
      </c>
      <c r="V348">
        <f>IF($R348="","",TRIM(INDEX('입력_구리근무자명단'!$A346:$ZZ346,1,$E$2+5)&amp;""))</f>
        <v/>
      </c>
      <c r="W348">
        <f>IF(ISNUMBER(SEARCH("구리독자",$V348)),"구리독자","")</f>
        <v/>
      </c>
      <c r="X348">
        <f>IF($R348="","",$R348&amp;"|"&amp;IF(OR($Q348="인턴",ISNUMBER(SEARCH("수련교육부",$P348))),"인턴",$P348))</f>
        <v/>
      </c>
      <c r="Y348">
        <f>IF($R348="","",IF(COUNTIF(명단표[이름|과],$X348)=1,"명단 일치",IF(AND(COUNTIF(명단표[이름|과],$X348)=0,COUNTIF(명단표[이름],$R348)=1),"명단 일치(이름만, 과 다름)",IF(COUNTIF(명단표[이름],$R348)=0,IF(COUNTIF(기본자료표[이름],$R348)&gt;0,"명단에 없음(기본자료에는 있음)","명단에 없음"),"동명이인 확인"))))</f>
        <v/>
      </c>
      <c r="Z348">
        <f>IF($R348="","",IF($S348&lt;0,"⚠"&amp;INDEX('입력_구리근무자명단'!$A346:$ZZ346,1,$E$2+2),TEXT($S348,"yyyy-mm-dd")))</f>
        <v/>
      </c>
      <c r="AA348">
        <f>IF($R348="","",IF($T348&lt;0,"⚠"&amp;INDEX('입력_구리근무자명단'!$A346:$ZZ346,1,$E$2+3),TEXT($T348,"yyyy-mm-dd")))</f>
        <v/>
      </c>
      <c r="AB348">
        <f>AB347+IF($R348="",0,1)</f>
        <v/>
      </c>
      <c r="AC348">
        <f>IF($R348="","",$AB348)</f>
        <v/>
      </c>
    </row>
    <row r="349">
      <c r="A349">
        <f>IFERROR(INDEX($O$6:$O$1505,MATCH(344,$AC$6:$AC$1505,0)),"")</f>
        <v/>
      </c>
      <c r="B349">
        <f>IF(ISNUMBER($A349),INDEX($P$6:$P$1505,$A349-3),"")</f>
        <v/>
      </c>
      <c r="C349">
        <f>IF(ISNUMBER($A349),INDEX($Q$6:$Q$1505,$A349-3),"")</f>
        <v/>
      </c>
      <c r="D349">
        <f>IF(ISNUMBER($A349),INDEX($R$6:$R$1505,$A349-3),"")</f>
        <v/>
      </c>
      <c r="E349">
        <f>IF(ISNUMBER($A349),$G$2,"")</f>
        <v/>
      </c>
      <c r="F349">
        <f>IF(ISNUMBER($A349),INDEX($Z$6:$Z$1505,$A349-3),"")</f>
        <v/>
      </c>
      <c r="G349">
        <f>IF(ISNUMBER($A349),INDEX($AA$6:$AA$1505,$A349-3),"")</f>
        <v/>
      </c>
      <c r="H349">
        <f>IF(ISNUMBER($A349),INDEX($U$6:$U$1505,$A349-3),"")</f>
        <v/>
      </c>
      <c r="I349">
        <f>IF(ISNUMBER($A349),INDEX($V$6:$V$1505,$A349-3),"")</f>
        <v/>
      </c>
      <c r="J349">
        <f>IF(ISNUMBER($A349),INDEX($W$6:$W$1505,$A349-3),"")</f>
        <v/>
      </c>
      <c r="K349">
        <f>IF(ISNUMBER($A349),INDEX($X$6:$X$1505,$A349-3),"")</f>
        <v/>
      </c>
      <c r="L349">
        <f>IF(ISNUMBER($A349),INDEX($Y$6:$Y$1505,$A349-3),"")</f>
        <v/>
      </c>
      <c r="O349">
        <f>347</f>
        <v/>
      </c>
      <c r="P349">
        <f>IF(TRIM('입력_구리근무자명단'!$A347&amp;"")&lt;&gt;"",TRIM('입력_구리근무자명단'!$A347&amp;""),P348)</f>
        <v/>
      </c>
      <c r="Q349">
        <f>'입력_구리근무자명단'!$B347&amp;""</f>
        <v/>
      </c>
      <c r="R349">
        <f>IF($E$2="","",TRIM(INDEX('입력_구리근무자명단'!$A347:$ZZ347,1,$E$2+IF($G$2="확정",1,0))&amp;""))</f>
        <v/>
      </c>
      <c r="S349">
        <f>IF($R349="","",IF(INDEX('입력_구리근무자명단'!$A347:$ZZ347,1,$E$2+2)&amp;""="",급여기준월,IF(ISNUMBER(INDEX('입력_구리근무자명단'!$A347:$ZZ347,1,$E$2+2)),INDEX('입력_구리근무자명단'!$A347:$ZZ347,1,$E$2+2),IFERROR(DATE(VALUE(LEFT(INDEX('입력_구리근무자명단'!$A347:$ZZ347,1,$E$2+2),4)),VALUE(MID(INDEX('입력_구리근무자명단'!$A347:$ZZ347,1,$E$2+2),6,2)),VALUE(MID(INDEX('입력_구리근무자명단'!$A347:$ZZ347,1,$E$2+2),9,2))),-1))))</f>
        <v/>
      </c>
      <c r="T349">
        <f>IF($R349="","",IF(INDEX('입력_구리근무자명단'!$A347:$ZZ347,1,$E$2+3)&amp;""="",EOMONTH(급여기준월,0),IF(ISNUMBER(INDEX('입력_구리근무자명단'!$A347:$ZZ347,1,$E$2+3)),INDEX('입력_구리근무자명단'!$A347:$ZZ347,1,$E$2+3),IFERROR(DATE(VALUE(LEFT(INDEX('입력_구리근무자명단'!$A347:$ZZ347,1,$E$2+3),4)),VALUE(MID(INDEX('입력_구리근무자명단'!$A347:$ZZ347,1,$E$2+3),6,2)),VALUE(MID(INDEX('입력_구리근무자명단'!$A347:$ZZ347,1,$E$2+3),9,2))),-1))))</f>
        <v/>
      </c>
      <c r="U349">
        <f>IF($R349="","",IF(OR($S349&lt;0,$T349&lt;0),0,MAX(0,MIN($T349,EOMONTH(급여기준월,0))-MAX($S349,급여기준월)+1)))</f>
        <v/>
      </c>
      <c r="V349">
        <f>IF($R349="","",TRIM(INDEX('입력_구리근무자명단'!$A347:$ZZ347,1,$E$2+5)&amp;""))</f>
        <v/>
      </c>
      <c r="W349">
        <f>IF(ISNUMBER(SEARCH("구리독자",$V349)),"구리독자","")</f>
        <v/>
      </c>
      <c r="X349">
        <f>IF($R349="","",$R349&amp;"|"&amp;IF(OR($Q349="인턴",ISNUMBER(SEARCH("수련교육부",$P349))),"인턴",$P349))</f>
        <v/>
      </c>
      <c r="Y349">
        <f>IF($R349="","",IF(COUNTIF(명단표[이름|과],$X349)=1,"명단 일치",IF(AND(COUNTIF(명단표[이름|과],$X349)=0,COUNTIF(명단표[이름],$R349)=1),"명단 일치(이름만, 과 다름)",IF(COUNTIF(명단표[이름],$R349)=0,IF(COUNTIF(기본자료표[이름],$R349)&gt;0,"명단에 없음(기본자료에는 있음)","명단에 없음"),"동명이인 확인"))))</f>
        <v/>
      </c>
      <c r="Z349">
        <f>IF($R349="","",IF($S349&lt;0,"⚠"&amp;INDEX('입력_구리근무자명단'!$A347:$ZZ347,1,$E$2+2),TEXT($S349,"yyyy-mm-dd")))</f>
        <v/>
      </c>
      <c r="AA349">
        <f>IF($R349="","",IF($T349&lt;0,"⚠"&amp;INDEX('입력_구리근무자명단'!$A347:$ZZ347,1,$E$2+3),TEXT($T349,"yyyy-mm-dd")))</f>
        <v/>
      </c>
      <c r="AB349">
        <f>AB348+IF($R349="",0,1)</f>
        <v/>
      </c>
      <c r="AC349">
        <f>IF($R349="","",$AB349)</f>
        <v/>
      </c>
    </row>
    <row r="350">
      <c r="A350">
        <f>IFERROR(INDEX($O$6:$O$1505,MATCH(345,$AC$6:$AC$1505,0)),"")</f>
        <v/>
      </c>
      <c r="B350">
        <f>IF(ISNUMBER($A350),INDEX($P$6:$P$1505,$A350-3),"")</f>
        <v/>
      </c>
      <c r="C350">
        <f>IF(ISNUMBER($A350),INDEX($Q$6:$Q$1505,$A350-3),"")</f>
        <v/>
      </c>
      <c r="D350">
        <f>IF(ISNUMBER($A350),INDEX($R$6:$R$1505,$A350-3),"")</f>
        <v/>
      </c>
      <c r="E350">
        <f>IF(ISNUMBER($A350),$G$2,"")</f>
        <v/>
      </c>
      <c r="F350">
        <f>IF(ISNUMBER($A350),INDEX($Z$6:$Z$1505,$A350-3),"")</f>
        <v/>
      </c>
      <c r="G350">
        <f>IF(ISNUMBER($A350),INDEX($AA$6:$AA$1505,$A350-3),"")</f>
        <v/>
      </c>
      <c r="H350">
        <f>IF(ISNUMBER($A350),INDEX($U$6:$U$1505,$A350-3),"")</f>
        <v/>
      </c>
      <c r="I350">
        <f>IF(ISNUMBER($A350),INDEX($V$6:$V$1505,$A350-3),"")</f>
        <v/>
      </c>
      <c r="J350">
        <f>IF(ISNUMBER($A350),INDEX($W$6:$W$1505,$A350-3),"")</f>
        <v/>
      </c>
      <c r="K350">
        <f>IF(ISNUMBER($A350),INDEX($X$6:$X$1505,$A350-3),"")</f>
        <v/>
      </c>
      <c r="L350">
        <f>IF(ISNUMBER($A350),INDEX($Y$6:$Y$1505,$A350-3),"")</f>
        <v/>
      </c>
      <c r="O350">
        <f>348</f>
        <v/>
      </c>
      <c r="P350">
        <f>IF(TRIM('입력_구리근무자명단'!$A348&amp;"")&lt;&gt;"",TRIM('입력_구리근무자명단'!$A348&amp;""),P349)</f>
        <v/>
      </c>
      <c r="Q350">
        <f>'입력_구리근무자명단'!$B348&amp;""</f>
        <v/>
      </c>
      <c r="R350">
        <f>IF($E$2="","",TRIM(INDEX('입력_구리근무자명단'!$A348:$ZZ348,1,$E$2+IF($G$2="확정",1,0))&amp;""))</f>
        <v/>
      </c>
      <c r="S350">
        <f>IF($R350="","",IF(INDEX('입력_구리근무자명단'!$A348:$ZZ348,1,$E$2+2)&amp;""="",급여기준월,IF(ISNUMBER(INDEX('입력_구리근무자명단'!$A348:$ZZ348,1,$E$2+2)),INDEX('입력_구리근무자명단'!$A348:$ZZ348,1,$E$2+2),IFERROR(DATE(VALUE(LEFT(INDEX('입력_구리근무자명단'!$A348:$ZZ348,1,$E$2+2),4)),VALUE(MID(INDEX('입력_구리근무자명단'!$A348:$ZZ348,1,$E$2+2),6,2)),VALUE(MID(INDEX('입력_구리근무자명단'!$A348:$ZZ348,1,$E$2+2),9,2))),-1))))</f>
        <v/>
      </c>
      <c r="T350">
        <f>IF($R350="","",IF(INDEX('입력_구리근무자명단'!$A348:$ZZ348,1,$E$2+3)&amp;""="",EOMONTH(급여기준월,0),IF(ISNUMBER(INDEX('입력_구리근무자명단'!$A348:$ZZ348,1,$E$2+3)),INDEX('입력_구리근무자명단'!$A348:$ZZ348,1,$E$2+3),IFERROR(DATE(VALUE(LEFT(INDEX('입력_구리근무자명단'!$A348:$ZZ348,1,$E$2+3),4)),VALUE(MID(INDEX('입력_구리근무자명단'!$A348:$ZZ348,1,$E$2+3),6,2)),VALUE(MID(INDEX('입력_구리근무자명단'!$A348:$ZZ348,1,$E$2+3),9,2))),-1))))</f>
        <v/>
      </c>
      <c r="U350">
        <f>IF($R350="","",IF(OR($S350&lt;0,$T350&lt;0),0,MAX(0,MIN($T350,EOMONTH(급여기준월,0))-MAX($S350,급여기준월)+1)))</f>
        <v/>
      </c>
      <c r="V350">
        <f>IF($R350="","",TRIM(INDEX('입력_구리근무자명단'!$A348:$ZZ348,1,$E$2+5)&amp;""))</f>
        <v/>
      </c>
      <c r="W350">
        <f>IF(ISNUMBER(SEARCH("구리독자",$V350)),"구리독자","")</f>
        <v/>
      </c>
      <c r="X350">
        <f>IF($R350="","",$R350&amp;"|"&amp;IF(OR($Q350="인턴",ISNUMBER(SEARCH("수련교육부",$P350))),"인턴",$P350))</f>
        <v/>
      </c>
      <c r="Y350">
        <f>IF($R350="","",IF(COUNTIF(명단표[이름|과],$X350)=1,"명단 일치",IF(AND(COUNTIF(명단표[이름|과],$X350)=0,COUNTIF(명단표[이름],$R350)=1),"명단 일치(이름만, 과 다름)",IF(COUNTIF(명단표[이름],$R350)=0,IF(COUNTIF(기본자료표[이름],$R350)&gt;0,"명단에 없음(기본자료에는 있음)","명단에 없음"),"동명이인 확인"))))</f>
        <v/>
      </c>
      <c r="Z350">
        <f>IF($R350="","",IF($S350&lt;0,"⚠"&amp;INDEX('입력_구리근무자명단'!$A348:$ZZ348,1,$E$2+2),TEXT($S350,"yyyy-mm-dd")))</f>
        <v/>
      </c>
      <c r="AA350">
        <f>IF($R350="","",IF($T350&lt;0,"⚠"&amp;INDEX('입력_구리근무자명단'!$A348:$ZZ348,1,$E$2+3),TEXT($T350,"yyyy-mm-dd")))</f>
        <v/>
      </c>
      <c r="AB350">
        <f>AB349+IF($R350="",0,1)</f>
        <v/>
      </c>
      <c r="AC350">
        <f>IF($R350="","",$AB350)</f>
        <v/>
      </c>
    </row>
    <row r="351">
      <c r="A351">
        <f>IFERROR(INDEX($O$6:$O$1505,MATCH(346,$AC$6:$AC$1505,0)),"")</f>
        <v/>
      </c>
      <c r="B351">
        <f>IF(ISNUMBER($A351),INDEX($P$6:$P$1505,$A351-3),"")</f>
        <v/>
      </c>
      <c r="C351">
        <f>IF(ISNUMBER($A351),INDEX($Q$6:$Q$1505,$A351-3),"")</f>
        <v/>
      </c>
      <c r="D351">
        <f>IF(ISNUMBER($A351),INDEX($R$6:$R$1505,$A351-3),"")</f>
        <v/>
      </c>
      <c r="E351">
        <f>IF(ISNUMBER($A351),$G$2,"")</f>
        <v/>
      </c>
      <c r="F351">
        <f>IF(ISNUMBER($A351),INDEX($Z$6:$Z$1505,$A351-3),"")</f>
        <v/>
      </c>
      <c r="G351">
        <f>IF(ISNUMBER($A351),INDEX($AA$6:$AA$1505,$A351-3),"")</f>
        <v/>
      </c>
      <c r="H351">
        <f>IF(ISNUMBER($A351),INDEX($U$6:$U$1505,$A351-3),"")</f>
        <v/>
      </c>
      <c r="I351">
        <f>IF(ISNUMBER($A351),INDEX($V$6:$V$1505,$A351-3),"")</f>
        <v/>
      </c>
      <c r="J351">
        <f>IF(ISNUMBER($A351),INDEX($W$6:$W$1505,$A351-3),"")</f>
        <v/>
      </c>
      <c r="K351">
        <f>IF(ISNUMBER($A351),INDEX($X$6:$X$1505,$A351-3),"")</f>
        <v/>
      </c>
      <c r="L351">
        <f>IF(ISNUMBER($A351),INDEX($Y$6:$Y$1505,$A351-3),"")</f>
        <v/>
      </c>
      <c r="O351">
        <f>349</f>
        <v/>
      </c>
      <c r="P351">
        <f>IF(TRIM('입력_구리근무자명단'!$A349&amp;"")&lt;&gt;"",TRIM('입력_구리근무자명단'!$A349&amp;""),P350)</f>
        <v/>
      </c>
      <c r="Q351">
        <f>'입력_구리근무자명단'!$B349&amp;""</f>
        <v/>
      </c>
      <c r="R351">
        <f>IF($E$2="","",TRIM(INDEX('입력_구리근무자명단'!$A349:$ZZ349,1,$E$2+IF($G$2="확정",1,0))&amp;""))</f>
        <v/>
      </c>
      <c r="S351">
        <f>IF($R351="","",IF(INDEX('입력_구리근무자명단'!$A349:$ZZ349,1,$E$2+2)&amp;""="",급여기준월,IF(ISNUMBER(INDEX('입력_구리근무자명단'!$A349:$ZZ349,1,$E$2+2)),INDEX('입력_구리근무자명단'!$A349:$ZZ349,1,$E$2+2),IFERROR(DATE(VALUE(LEFT(INDEX('입력_구리근무자명단'!$A349:$ZZ349,1,$E$2+2),4)),VALUE(MID(INDEX('입력_구리근무자명단'!$A349:$ZZ349,1,$E$2+2),6,2)),VALUE(MID(INDEX('입력_구리근무자명단'!$A349:$ZZ349,1,$E$2+2),9,2))),-1))))</f>
        <v/>
      </c>
      <c r="T351">
        <f>IF($R351="","",IF(INDEX('입력_구리근무자명단'!$A349:$ZZ349,1,$E$2+3)&amp;""="",EOMONTH(급여기준월,0),IF(ISNUMBER(INDEX('입력_구리근무자명단'!$A349:$ZZ349,1,$E$2+3)),INDEX('입력_구리근무자명단'!$A349:$ZZ349,1,$E$2+3),IFERROR(DATE(VALUE(LEFT(INDEX('입력_구리근무자명단'!$A349:$ZZ349,1,$E$2+3),4)),VALUE(MID(INDEX('입력_구리근무자명단'!$A349:$ZZ349,1,$E$2+3),6,2)),VALUE(MID(INDEX('입력_구리근무자명단'!$A349:$ZZ349,1,$E$2+3),9,2))),-1))))</f>
        <v/>
      </c>
      <c r="U351">
        <f>IF($R351="","",IF(OR($S351&lt;0,$T351&lt;0),0,MAX(0,MIN($T351,EOMONTH(급여기준월,0))-MAX($S351,급여기준월)+1)))</f>
        <v/>
      </c>
      <c r="V351">
        <f>IF($R351="","",TRIM(INDEX('입력_구리근무자명단'!$A349:$ZZ349,1,$E$2+5)&amp;""))</f>
        <v/>
      </c>
      <c r="W351">
        <f>IF(ISNUMBER(SEARCH("구리독자",$V351)),"구리독자","")</f>
        <v/>
      </c>
      <c r="X351">
        <f>IF($R351="","",$R351&amp;"|"&amp;IF(OR($Q351="인턴",ISNUMBER(SEARCH("수련교육부",$P351))),"인턴",$P351))</f>
        <v/>
      </c>
      <c r="Y351">
        <f>IF($R351="","",IF(COUNTIF(명단표[이름|과],$X351)=1,"명단 일치",IF(AND(COUNTIF(명단표[이름|과],$X351)=0,COUNTIF(명단표[이름],$R351)=1),"명단 일치(이름만, 과 다름)",IF(COUNTIF(명단표[이름],$R351)=0,IF(COUNTIF(기본자료표[이름],$R351)&gt;0,"명단에 없음(기본자료에는 있음)","명단에 없음"),"동명이인 확인"))))</f>
        <v/>
      </c>
      <c r="Z351">
        <f>IF($R351="","",IF($S351&lt;0,"⚠"&amp;INDEX('입력_구리근무자명단'!$A349:$ZZ349,1,$E$2+2),TEXT($S351,"yyyy-mm-dd")))</f>
        <v/>
      </c>
      <c r="AA351">
        <f>IF($R351="","",IF($T351&lt;0,"⚠"&amp;INDEX('입력_구리근무자명단'!$A349:$ZZ349,1,$E$2+3),TEXT($T351,"yyyy-mm-dd")))</f>
        <v/>
      </c>
      <c r="AB351">
        <f>AB350+IF($R351="",0,1)</f>
        <v/>
      </c>
      <c r="AC351">
        <f>IF($R351="","",$AB351)</f>
        <v/>
      </c>
    </row>
    <row r="352">
      <c r="A352">
        <f>IFERROR(INDEX($O$6:$O$1505,MATCH(347,$AC$6:$AC$1505,0)),"")</f>
        <v/>
      </c>
      <c r="B352">
        <f>IF(ISNUMBER($A352),INDEX($P$6:$P$1505,$A352-3),"")</f>
        <v/>
      </c>
      <c r="C352">
        <f>IF(ISNUMBER($A352),INDEX($Q$6:$Q$1505,$A352-3),"")</f>
        <v/>
      </c>
      <c r="D352">
        <f>IF(ISNUMBER($A352),INDEX($R$6:$R$1505,$A352-3),"")</f>
        <v/>
      </c>
      <c r="E352">
        <f>IF(ISNUMBER($A352),$G$2,"")</f>
        <v/>
      </c>
      <c r="F352">
        <f>IF(ISNUMBER($A352),INDEX($Z$6:$Z$1505,$A352-3),"")</f>
        <v/>
      </c>
      <c r="G352">
        <f>IF(ISNUMBER($A352),INDEX($AA$6:$AA$1505,$A352-3),"")</f>
        <v/>
      </c>
      <c r="H352">
        <f>IF(ISNUMBER($A352),INDEX($U$6:$U$1505,$A352-3),"")</f>
        <v/>
      </c>
      <c r="I352">
        <f>IF(ISNUMBER($A352),INDEX($V$6:$V$1505,$A352-3),"")</f>
        <v/>
      </c>
      <c r="J352">
        <f>IF(ISNUMBER($A352),INDEX($W$6:$W$1505,$A352-3),"")</f>
        <v/>
      </c>
      <c r="K352">
        <f>IF(ISNUMBER($A352),INDEX($X$6:$X$1505,$A352-3),"")</f>
        <v/>
      </c>
      <c r="L352">
        <f>IF(ISNUMBER($A352),INDEX($Y$6:$Y$1505,$A352-3),"")</f>
        <v/>
      </c>
      <c r="O352">
        <f>350</f>
        <v/>
      </c>
      <c r="P352">
        <f>IF(TRIM('입력_구리근무자명단'!$A350&amp;"")&lt;&gt;"",TRIM('입력_구리근무자명단'!$A350&amp;""),P351)</f>
        <v/>
      </c>
      <c r="Q352">
        <f>'입력_구리근무자명단'!$B350&amp;""</f>
        <v/>
      </c>
      <c r="R352">
        <f>IF($E$2="","",TRIM(INDEX('입력_구리근무자명단'!$A350:$ZZ350,1,$E$2+IF($G$2="확정",1,0))&amp;""))</f>
        <v/>
      </c>
      <c r="S352">
        <f>IF($R352="","",IF(INDEX('입력_구리근무자명단'!$A350:$ZZ350,1,$E$2+2)&amp;""="",급여기준월,IF(ISNUMBER(INDEX('입력_구리근무자명단'!$A350:$ZZ350,1,$E$2+2)),INDEX('입력_구리근무자명단'!$A350:$ZZ350,1,$E$2+2),IFERROR(DATE(VALUE(LEFT(INDEX('입력_구리근무자명단'!$A350:$ZZ350,1,$E$2+2),4)),VALUE(MID(INDEX('입력_구리근무자명단'!$A350:$ZZ350,1,$E$2+2),6,2)),VALUE(MID(INDEX('입력_구리근무자명단'!$A350:$ZZ350,1,$E$2+2),9,2))),-1))))</f>
        <v/>
      </c>
      <c r="T352">
        <f>IF($R352="","",IF(INDEX('입력_구리근무자명단'!$A350:$ZZ350,1,$E$2+3)&amp;""="",EOMONTH(급여기준월,0),IF(ISNUMBER(INDEX('입력_구리근무자명단'!$A350:$ZZ350,1,$E$2+3)),INDEX('입력_구리근무자명단'!$A350:$ZZ350,1,$E$2+3),IFERROR(DATE(VALUE(LEFT(INDEX('입력_구리근무자명단'!$A350:$ZZ350,1,$E$2+3),4)),VALUE(MID(INDEX('입력_구리근무자명단'!$A350:$ZZ350,1,$E$2+3),6,2)),VALUE(MID(INDEX('입력_구리근무자명단'!$A350:$ZZ350,1,$E$2+3),9,2))),-1))))</f>
        <v/>
      </c>
      <c r="U352">
        <f>IF($R352="","",IF(OR($S352&lt;0,$T352&lt;0),0,MAX(0,MIN($T352,EOMONTH(급여기준월,0))-MAX($S352,급여기준월)+1)))</f>
        <v/>
      </c>
      <c r="V352">
        <f>IF($R352="","",TRIM(INDEX('입력_구리근무자명단'!$A350:$ZZ350,1,$E$2+5)&amp;""))</f>
        <v/>
      </c>
      <c r="W352">
        <f>IF(ISNUMBER(SEARCH("구리독자",$V352)),"구리독자","")</f>
        <v/>
      </c>
      <c r="X352">
        <f>IF($R352="","",$R352&amp;"|"&amp;IF(OR($Q352="인턴",ISNUMBER(SEARCH("수련교육부",$P352))),"인턴",$P352))</f>
        <v/>
      </c>
      <c r="Y352">
        <f>IF($R352="","",IF(COUNTIF(명단표[이름|과],$X352)=1,"명단 일치",IF(AND(COUNTIF(명단표[이름|과],$X352)=0,COUNTIF(명단표[이름],$R352)=1),"명단 일치(이름만, 과 다름)",IF(COUNTIF(명단표[이름],$R352)=0,IF(COUNTIF(기본자료표[이름],$R352)&gt;0,"명단에 없음(기본자료에는 있음)","명단에 없음"),"동명이인 확인"))))</f>
        <v/>
      </c>
      <c r="Z352">
        <f>IF($R352="","",IF($S352&lt;0,"⚠"&amp;INDEX('입력_구리근무자명단'!$A350:$ZZ350,1,$E$2+2),TEXT($S352,"yyyy-mm-dd")))</f>
        <v/>
      </c>
      <c r="AA352">
        <f>IF($R352="","",IF($T352&lt;0,"⚠"&amp;INDEX('입력_구리근무자명단'!$A350:$ZZ350,1,$E$2+3),TEXT($T352,"yyyy-mm-dd")))</f>
        <v/>
      </c>
      <c r="AB352">
        <f>AB351+IF($R352="",0,1)</f>
        <v/>
      </c>
      <c r="AC352">
        <f>IF($R352="","",$AB352)</f>
        <v/>
      </c>
    </row>
    <row r="353">
      <c r="A353">
        <f>IFERROR(INDEX($O$6:$O$1505,MATCH(348,$AC$6:$AC$1505,0)),"")</f>
        <v/>
      </c>
      <c r="B353">
        <f>IF(ISNUMBER($A353),INDEX($P$6:$P$1505,$A353-3),"")</f>
        <v/>
      </c>
      <c r="C353">
        <f>IF(ISNUMBER($A353),INDEX($Q$6:$Q$1505,$A353-3),"")</f>
        <v/>
      </c>
      <c r="D353">
        <f>IF(ISNUMBER($A353),INDEX($R$6:$R$1505,$A353-3),"")</f>
        <v/>
      </c>
      <c r="E353">
        <f>IF(ISNUMBER($A353),$G$2,"")</f>
        <v/>
      </c>
      <c r="F353">
        <f>IF(ISNUMBER($A353),INDEX($Z$6:$Z$1505,$A353-3),"")</f>
        <v/>
      </c>
      <c r="G353">
        <f>IF(ISNUMBER($A353),INDEX($AA$6:$AA$1505,$A353-3),"")</f>
        <v/>
      </c>
      <c r="H353">
        <f>IF(ISNUMBER($A353),INDEX($U$6:$U$1505,$A353-3),"")</f>
        <v/>
      </c>
      <c r="I353">
        <f>IF(ISNUMBER($A353),INDEX($V$6:$V$1505,$A353-3),"")</f>
        <v/>
      </c>
      <c r="J353">
        <f>IF(ISNUMBER($A353),INDEX($W$6:$W$1505,$A353-3),"")</f>
        <v/>
      </c>
      <c r="K353">
        <f>IF(ISNUMBER($A353),INDEX($X$6:$X$1505,$A353-3),"")</f>
        <v/>
      </c>
      <c r="L353">
        <f>IF(ISNUMBER($A353),INDEX($Y$6:$Y$1505,$A353-3),"")</f>
        <v/>
      </c>
      <c r="O353">
        <f>351</f>
        <v/>
      </c>
      <c r="P353">
        <f>IF(TRIM('입력_구리근무자명단'!$A351&amp;"")&lt;&gt;"",TRIM('입력_구리근무자명단'!$A351&amp;""),P352)</f>
        <v/>
      </c>
      <c r="Q353">
        <f>'입력_구리근무자명단'!$B351&amp;""</f>
        <v/>
      </c>
      <c r="R353">
        <f>IF($E$2="","",TRIM(INDEX('입력_구리근무자명단'!$A351:$ZZ351,1,$E$2+IF($G$2="확정",1,0))&amp;""))</f>
        <v/>
      </c>
      <c r="S353">
        <f>IF($R353="","",IF(INDEX('입력_구리근무자명단'!$A351:$ZZ351,1,$E$2+2)&amp;""="",급여기준월,IF(ISNUMBER(INDEX('입력_구리근무자명단'!$A351:$ZZ351,1,$E$2+2)),INDEX('입력_구리근무자명단'!$A351:$ZZ351,1,$E$2+2),IFERROR(DATE(VALUE(LEFT(INDEX('입력_구리근무자명단'!$A351:$ZZ351,1,$E$2+2),4)),VALUE(MID(INDEX('입력_구리근무자명단'!$A351:$ZZ351,1,$E$2+2),6,2)),VALUE(MID(INDEX('입력_구리근무자명단'!$A351:$ZZ351,1,$E$2+2),9,2))),-1))))</f>
        <v/>
      </c>
      <c r="T353">
        <f>IF($R353="","",IF(INDEX('입력_구리근무자명단'!$A351:$ZZ351,1,$E$2+3)&amp;""="",EOMONTH(급여기준월,0),IF(ISNUMBER(INDEX('입력_구리근무자명단'!$A351:$ZZ351,1,$E$2+3)),INDEX('입력_구리근무자명단'!$A351:$ZZ351,1,$E$2+3),IFERROR(DATE(VALUE(LEFT(INDEX('입력_구리근무자명단'!$A351:$ZZ351,1,$E$2+3),4)),VALUE(MID(INDEX('입력_구리근무자명단'!$A351:$ZZ351,1,$E$2+3),6,2)),VALUE(MID(INDEX('입력_구리근무자명단'!$A351:$ZZ351,1,$E$2+3),9,2))),-1))))</f>
        <v/>
      </c>
      <c r="U353">
        <f>IF($R353="","",IF(OR($S353&lt;0,$T353&lt;0),0,MAX(0,MIN($T353,EOMONTH(급여기준월,0))-MAX($S353,급여기준월)+1)))</f>
        <v/>
      </c>
      <c r="V353">
        <f>IF($R353="","",TRIM(INDEX('입력_구리근무자명단'!$A351:$ZZ351,1,$E$2+5)&amp;""))</f>
        <v/>
      </c>
      <c r="W353">
        <f>IF(ISNUMBER(SEARCH("구리독자",$V353)),"구리독자","")</f>
        <v/>
      </c>
      <c r="X353">
        <f>IF($R353="","",$R353&amp;"|"&amp;IF(OR($Q353="인턴",ISNUMBER(SEARCH("수련교육부",$P353))),"인턴",$P353))</f>
        <v/>
      </c>
      <c r="Y353">
        <f>IF($R353="","",IF(COUNTIF(명단표[이름|과],$X353)=1,"명단 일치",IF(AND(COUNTIF(명단표[이름|과],$X353)=0,COUNTIF(명단표[이름],$R353)=1),"명단 일치(이름만, 과 다름)",IF(COUNTIF(명단표[이름],$R353)=0,IF(COUNTIF(기본자료표[이름],$R353)&gt;0,"명단에 없음(기본자료에는 있음)","명단에 없음"),"동명이인 확인"))))</f>
        <v/>
      </c>
      <c r="Z353">
        <f>IF($R353="","",IF($S353&lt;0,"⚠"&amp;INDEX('입력_구리근무자명단'!$A351:$ZZ351,1,$E$2+2),TEXT($S353,"yyyy-mm-dd")))</f>
        <v/>
      </c>
      <c r="AA353">
        <f>IF($R353="","",IF($T353&lt;0,"⚠"&amp;INDEX('입력_구리근무자명단'!$A351:$ZZ351,1,$E$2+3),TEXT($T353,"yyyy-mm-dd")))</f>
        <v/>
      </c>
      <c r="AB353">
        <f>AB352+IF($R353="",0,1)</f>
        <v/>
      </c>
      <c r="AC353">
        <f>IF($R353="","",$AB353)</f>
        <v/>
      </c>
    </row>
    <row r="354">
      <c r="A354">
        <f>IFERROR(INDEX($O$6:$O$1505,MATCH(349,$AC$6:$AC$1505,0)),"")</f>
        <v/>
      </c>
      <c r="B354">
        <f>IF(ISNUMBER($A354),INDEX($P$6:$P$1505,$A354-3),"")</f>
        <v/>
      </c>
      <c r="C354">
        <f>IF(ISNUMBER($A354),INDEX($Q$6:$Q$1505,$A354-3),"")</f>
        <v/>
      </c>
      <c r="D354">
        <f>IF(ISNUMBER($A354),INDEX($R$6:$R$1505,$A354-3),"")</f>
        <v/>
      </c>
      <c r="E354">
        <f>IF(ISNUMBER($A354),$G$2,"")</f>
        <v/>
      </c>
      <c r="F354">
        <f>IF(ISNUMBER($A354),INDEX($Z$6:$Z$1505,$A354-3),"")</f>
        <v/>
      </c>
      <c r="G354">
        <f>IF(ISNUMBER($A354),INDEX($AA$6:$AA$1505,$A354-3),"")</f>
        <v/>
      </c>
      <c r="H354">
        <f>IF(ISNUMBER($A354),INDEX($U$6:$U$1505,$A354-3),"")</f>
        <v/>
      </c>
      <c r="I354">
        <f>IF(ISNUMBER($A354),INDEX($V$6:$V$1505,$A354-3),"")</f>
        <v/>
      </c>
      <c r="J354">
        <f>IF(ISNUMBER($A354),INDEX($W$6:$W$1505,$A354-3),"")</f>
        <v/>
      </c>
      <c r="K354">
        <f>IF(ISNUMBER($A354),INDEX($X$6:$X$1505,$A354-3),"")</f>
        <v/>
      </c>
      <c r="L354">
        <f>IF(ISNUMBER($A354),INDEX($Y$6:$Y$1505,$A354-3),"")</f>
        <v/>
      </c>
      <c r="O354">
        <f>352</f>
        <v/>
      </c>
      <c r="P354">
        <f>IF(TRIM('입력_구리근무자명단'!$A352&amp;"")&lt;&gt;"",TRIM('입력_구리근무자명단'!$A352&amp;""),P353)</f>
        <v/>
      </c>
      <c r="Q354">
        <f>'입력_구리근무자명단'!$B352&amp;""</f>
        <v/>
      </c>
      <c r="R354">
        <f>IF($E$2="","",TRIM(INDEX('입력_구리근무자명단'!$A352:$ZZ352,1,$E$2+IF($G$2="확정",1,0))&amp;""))</f>
        <v/>
      </c>
      <c r="S354">
        <f>IF($R354="","",IF(INDEX('입력_구리근무자명단'!$A352:$ZZ352,1,$E$2+2)&amp;""="",급여기준월,IF(ISNUMBER(INDEX('입력_구리근무자명단'!$A352:$ZZ352,1,$E$2+2)),INDEX('입력_구리근무자명단'!$A352:$ZZ352,1,$E$2+2),IFERROR(DATE(VALUE(LEFT(INDEX('입력_구리근무자명단'!$A352:$ZZ352,1,$E$2+2),4)),VALUE(MID(INDEX('입력_구리근무자명단'!$A352:$ZZ352,1,$E$2+2),6,2)),VALUE(MID(INDEX('입력_구리근무자명단'!$A352:$ZZ352,1,$E$2+2),9,2))),-1))))</f>
        <v/>
      </c>
      <c r="T354">
        <f>IF($R354="","",IF(INDEX('입력_구리근무자명단'!$A352:$ZZ352,1,$E$2+3)&amp;""="",EOMONTH(급여기준월,0),IF(ISNUMBER(INDEX('입력_구리근무자명단'!$A352:$ZZ352,1,$E$2+3)),INDEX('입력_구리근무자명단'!$A352:$ZZ352,1,$E$2+3),IFERROR(DATE(VALUE(LEFT(INDEX('입력_구리근무자명단'!$A352:$ZZ352,1,$E$2+3),4)),VALUE(MID(INDEX('입력_구리근무자명단'!$A352:$ZZ352,1,$E$2+3),6,2)),VALUE(MID(INDEX('입력_구리근무자명단'!$A352:$ZZ352,1,$E$2+3),9,2))),-1))))</f>
        <v/>
      </c>
      <c r="U354">
        <f>IF($R354="","",IF(OR($S354&lt;0,$T354&lt;0),0,MAX(0,MIN($T354,EOMONTH(급여기준월,0))-MAX($S354,급여기준월)+1)))</f>
        <v/>
      </c>
      <c r="V354">
        <f>IF($R354="","",TRIM(INDEX('입력_구리근무자명단'!$A352:$ZZ352,1,$E$2+5)&amp;""))</f>
        <v/>
      </c>
      <c r="W354">
        <f>IF(ISNUMBER(SEARCH("구리독자",$V354)),"구리독자","")</f>
        <v/>
      </c>
      <c r="X354">
        <f>IF($R354="","",$R354&amp;"|"&amp;IF(OR($Q354="인턴",ISNUMBER(SEARCH("수련교육부",$P354))),"인턴",$P354))</f>
        <v/>
      </c>
      <c r="Y354">
        <f>IF($R354="","",IF(COUNTIF(명단표[이름|과],$X354)=1,"명단 일치",IF(AND(COUNTIF(명단표[이름|과],$X354)=0,COUNTIF(명단표[이름],$R354)=1),"명단 일치(이름만, 과 다름)",IF(COUNTIF(명단표[이름],$R354)=0,IF(COUNTIF(기본자료표[이름],$R354)&gt;0,"명단에 없음(기본자료에는 있음)","명단에 없음"),"동명이인 확인"))))</f>
        <v/>
      </c>
      <c r="Z354">
        <f>IF($R354="","",IF($S354&lt;0,"⚠"&amp;INDEX('입력_구리근무자명단'!$A352:$ZZ352,1,$E$2+2),TEXT($S354,"yyyy-mm-dd")))</f>
        <v/>
      </c>
      <c r="AA354">
        <f>IF($R354="","",IF($T354&lt;0,"⚠"&amp;INDEX('입력_구리근무자명단'!$A352:$ZZ352,1,$E$2+3),TEXT($T354,"yyyy-mm-dd")))</f>
        <v/>
      </c>
      <c r="AB354">
        <f>AB353+IF($R354="",0,1)</f>
        <v/>
      </c>
      <c r="AC354">
        <f>IF($R354="","",$AB354)</f>
        <v/>
      </c>
    </row>
    <row r="355">
      <c r="A355">
        <f>IFERROR(INDEX($O$6:$O$1505,MATCH(350,$AC$6:$AC$1505,0)),"")</f>
        <v/>
      </c>
      <c r="B355">
        <f>IF(ISNUMBER($A355),INDEX($P$6:$P$1505,$A355-3),"")</f>
        <v/>
      </c>
      <c r="C355">
        <f>IF(ISNUMBER($A355),INDEX($Q$6:$Q$1505,$A355-3),"")</f>
        <v/>
      </c>
      <c r="D355">
        <f>IF(ISNUMBER($A355),INDEX($R$6:$R$1505,$A355-3),"")</f>
        <v/>
      </c>
      <c r="E355">
        <f>IF(ISNUMBER($A355),$G$2,"")</f>
        <v/>
      </c>
      <c r="F355">
        <f>IF(ISNUMBER($A355),INDEX($Z$6:$Z$1505,$A355-3),"")</f>
        <v/>
      </c>
      <c r="G355">
        <f>IF(ISNUMBER($A355),INDEX($AA$6:$AA$1505,$A355-3),"")</f>
        <v/>
      </c>
      <c r="H355">
        <f>IF(ISNUMBER($A355),INDEX($U$6:$U$1505,$A355-3),"")</f>
        <v/>
      </c>
      <c r="I355">
        <f>IF(ISNUMBER($A355),INDEX($V$6:$V$1505,$A355-3),"")</f>
        <v/>
      </c>
      <c r="J355">
        <f>IF(ISNUMBER($A355),INDEX($W$6:$W$1505,$A355-3),"")</f>
        <v/>
      </c>
      <c r="K355">
        <f>IF(ISNUMBER($A355),INDEX($X$6:$X$1505,$A355-3),"")</f>
        <v/>
      </c>
      <c r="L355">
        <f>IF(ISNUMBER($A355),INDEX($Y$6:$Y$1505,$A355-3),"")</f>
        <v/>
      </c>
      <c r="O355">
        <f>353</f>
        <v/>
      </c>
      <c r="P355">
        <f>IF(TRIM('입력_구리근무자명단'!$A353&amp;"")&lt;&gt;"",TRIM('입력_구리근무자명단'!$A353&amp;""),P354)</f>
        <v/>
      </c>
      <c r="Q355">
        <f>'입력_구리근무자명단'!$B353&amp;""</f>
        <v/>
      </c>
      <c r="R355">
        <f>IF($E$2="","",TRIM(INDEX('입력_구리근무자명단'!$A353:$ZZ353,1,$E$2+IF($G$2="확정",1,0))&amp;""))</f>
        <v/>
      </c>
      <c r="S355">
        <f>IF($R355="","",IF(INDEX('입력_구리근무자명단'!$A353:$ZZ353,1,$E$2+2)&amp;""="",급여기준월,IF(ISNUMBER(INDEX('입력_구리근무자명단'!$A353:$ZZ353,1,$E$2+2)),INDEX('입력_구리근무자명단'!$A353:$ZZ353,1,$E$2+2),IFERROR(DATE(VALUE(LEFT(INDEX('입력_구리근무자명단'!$A353:$ZZ353,1,$E$2+2),4)),VALUE(MID(INDEX('입력_구리근무자명단'!$A353:$ZZ353,1,$E$2+2),6,2)),VALUE(MID(INDEX('입력_구리근무자명단'!$A353:$ZZ353,1,$E$2+2),9,2))),-1))))</f>
        <v/>
      </c>
      <c r="T355">
        <f>IF($R355="","",IF(INDEX('입력_구리근무자명단'!$A353:$ZZ353,1,$E$2+3)&amp;""="",EOMONTH(급여기준월,0),IF(ISNUMBER(INDEX('입력_구리근무자명단'!$A353:$ZZ353,1,$E$2+3)),INDEX('입력_구리근무자명단'!$A353:$ZZ353,1,$E$2+3),IFERROR(DATE(VALUE(LEFT(INDEX('입력_구리근무자명단'!$A353:$ZZ353,1,$E$2+3),4)),VALUE(MID(INDEX('입력_구리근무자명단'!$A353:$ZZ353,1,$E$2+3),6,2)),VALUE(MID(INDEX('입력_구리근무자명단'!$A353:$ZZ353,1,$E$2+3),9,2))),-1))))</f>
        <v/>
      </c>
      <c r="U355">
        <f>IF($R355="","",IF(OR($S355&lt;0,$T355&lt;0),0,MAX(0,MIN($T355,EOMONTH(급여기준월,0))-MAX($S355,급여기준월)+1)))</f>
        <v/>
      </c>
      <c r="V355">
        <f>IF($R355="","",TRIM(INDEX('입력_구리근무자명단'!$A353:$ZZ353,1,$E$2+5)&amp;""))</f>
        <v/>
      </c>
      <c r="W355">
        <f>IF(ISNUMBER(SEARCH("구리독자",$V355)),"구리독자","")</f>
        <v/>
      </c>
      <c r="X355">
        <f>IF($R355="","",$R355&amp;"|"&amp;IF(OR($Q355="인턴",ISNUMBER(SEARCH("수련교육부",$P355))),"인턴",$P355))</f>
        <v/>
      </c>
      <c r="Y355">
        <f>IF($R355="","",IF(COUNTIF(명단표[이름|과],$X355)=1,"명단 일치",IF(AND(COUNTIF(명단표[이름|과],$X355)=0,COUNTIF(명단표[이름],$R355)=1),"명단 일치(이름만, 과 다름)",IF(COUNTIF(명단표[이름],$R355)=0,IF(COUNTIF(기본자료표[이름],$R355)&gt;0,"명단에 없음(기본자료에는 있음)","명단에 없음"),"동명이인 확인"))))</f>
        <v/>
      </c>
      <c r="Z355">
        <f>IF($R355="","",IF($S355&lt;0,"⚠"&amp;INDEX('입력_구리근무자명단'!$A353:$ZZ353,1,$E$2+2),TEXT($S355,"yyyy-mm-dd")))</f>
        <v/>
      </c>
      <c r="AA355">
        <f>IF($R355="","",IF($T355&lt;0,"⚠"&amp;INDEX('입력_구리근무자명단'!$A353:$ZZ353,1,$E$2+3),TEXT($T355,"yyyy-mm-dd")))</f>
        <v/>
      </c>
      <c r="AB355">
        <f>AB354+IF($R355="",0,1)</f>
        <v/>
      </c>
      <c r="AC355">
        <f>IF($R355="","",$AB355)</f>
        <v/>
      </c>
    </row>
    <row r="356">
      <c r="A356">
        <f>IFERROR(INDEX($O$6:$O$1505,MATCH(351,$AC$6:$AC$1505,0)),"")</f>
        <v/>
      </c>
      <c r="B356">
        <f>IF(ISNUMBER($A356),INDEX($P$6:$P$1505,$A356-3),"")</f>
        <v/>
      </c>
      <c r="C356">
        <f>IF(ISNUMBER($A356),INDEX($Q$6:$Q$1505,$A356-3),"")</f>
        <v/>
      </c>
      <c r="D356">
        <f>IF(ISNUMBER($A356),INDEX($R$6:$R$1505,$A356-3),"")</f>
        <v/>
      </c>
      <c r="E356">
        <f>IF(ISNUMBER($A356),$G$2,"")</f>
        <v/>
      </c>
      <c r="F356">
        <f>IF(ISNUMBER($A356),INDEX($Z$6:$Z$1505,$A356-3),"")</f>
        <v/>
      </c>
      <c r="G356">
        <f>IF(ISNUMBER($A356),INDEX($AA$6:$AA$1505,$A356-3),"")</f>
        <v/>
      </c>
      <c r="H356">
        <f>IF(ISNUMBER($A356),INDEX($U$6:$U$1505,$A356-3),"")</f>
        <v/>
      </c>
      <c r="I356">
        <f>IF(ISNUMBER($A356),INDEX($V$6:$V$1505,$A356-3),"")</f>
        <v/>
      </c>
      <c r="J356">
        <f>IF(ISNUMBER($A356),INDEX($W$6:$W$1505,$A356-3),"")</f>
        <v/>
      </c>
      <c r="K356">
        <f>IF(ISNUMBER($A356),INDEX($X$6:$X$1505,$A356-3),"")</f>
        <v/>
      </c>
      <c r="L356">
        <f>IF(ISNUMBER($A356),INDEX($Y$6:$Y$1505,$A356-3),"")</f>
        <v/>
      </c>
      <c r="O356">
        <f>354</f>
        <v/>
      </c>
      <c r="P356">
        <f>IF(TRIM('입력_구리근무자명단'!$A354&amp;"")&lt;&gt;"",TRIM('입력_구리근무자명단'!$A354&amp;""),P355)</f>
        <v/>
      </c>
      <c r="Q356">
        <f>'입력_구리근무자명단'!$B354&amp;""</f>
        <v/>
      </c>
      <c r="R356">
        <f>IF($E$2="","",TRIM(INDEX('입력_구리근무자명단'!$A354:$ZZ354,1,$E$2+IF($G$2="확정",1,0))&amp;""))</f>
        <v/>
      </c>
      <c r="S356">
        <f>IF($R356="","",IF(INDEX('입력_구리근무자명단'!$A354:$ZZ354,1,$E$2+2)&amp;""="",급여기준월,IF(ISNUMBER(INDEX('입력_구리근무자명단'!$A354:$ZZ354,1,$E$2+2)),INDEX('입력_구리근무자명단'!$A354:$ZZ354,1,$E$2+2),IFERROR(DATE(VALUE(LEFT(INDEX('입력_구리근무자명단'!$A354:$ZZ354,1,$E$2+2),4)),VALUE(MID(INDEX('입력_구리근무자명단'!$A354:$ZZ354,1,$E$2+2),6,2)),VALUE(MID(INDEX('입력_구리근무자명단'!$A354:$ZZ354,1,$E$2+2),9,2))),-1))))</f>
        <v/>
      </c>
      <c r="T356">
        <f>IF($R356="","",IF(INDEX('입력_구리근무자명단'!$A354:$ZZ354,1,$E$2+3)&amp;""="",EOMONTH(급여기준월,0),IF(ISNUMBER(INDEX('입력_구리근무자명단'!$A354:$ZZ354,1,$E$2+3)),INDEX('입력_구리근무자명단'!$A354:$ZZ354,1,$E$2+3),IFERROR(DATE(VALUE(LEFT(INDEX('입력_구리근무자명단'!$A354:$ZZ354,1,$E$2+3),4)),VALUE(MID(INDEX('입력_구리근무자명단'!$A354:$ZZ354,1,$E$2+3),6,2)),VALUE(MID(INDEX('입력_구리근무자명단'!$A354:$ZZ354,1,$E$2+3),9,2))),-1))))</f>
        <v/>
      </c>
      <c r="U356">
        <f>IF($R356="","",IF(OR($S356&lt;0,$T356&lt;0),0,MAX(0,MIN($T356,EOMONTH(급여기준월,0))-MAX($S356,급여기준월)+1)))</f>
        <v/>
      </c>
      <c r="V356">
        <f>IF($R356="","",TRIM(INDEX('입력_구리근무자명단'!$A354:$ZZ354,1,$E$2+5)&amp;""))</f>
        <v/>
      </c>
      <c r="W356">
        <f>IF(ISNUMBER(SEARCH("구리독자",$V356)),"구리독자","")</f>
        <v/>
      </c>
      <c r="X356">
        <f>IF($R356="","",$R356&amp;"|"&amp;IF(OR($Q356="인턴",ISNUMBER(SEARCH("수련교육부",$P356))),"인턴",$P356))</f>
        <v/>
      </c>
      <c r="Y356">
        <f>IF($R356="","",IF(COUNTIF(명단표[이름|과],$X356)=1,"명단 일치",IF(AND(COUNTIF(명단표[이름|과],$X356)=0,COUNTIF(명단표[이름],$R356)=1),"명단 일치(이름만, 과 다름)",IF(COUNTIF(명단표[이름],$R356)=0,IF(COUNTIF(기본자료표[이름],$R356)&gt;0,"명단에 없음(기본자료에는 있음)","명단에 없음"),"동명이인 확인"))))</f>
        <v/>
      </c>
      <c r="Z356">
        <f>IF($R356="","",IF($S356&lt;0,"⚠"&amp;INDEX('입력_구리근무자명단'!$A354:$ZZ354,1,$E$2+2),TEXT($S356,"yyyy-mm-dd")))</f>
        <v/>
      </c>
      <c r="AA356">
        <f>IF($R356="","",IF($T356&lt;0,"⚠"&amp;INDEX('입력_구리근무자명단'!$A354:$ZZ354,1,$E$2+3),TEXT($T356,"yyyy-mm-dd")))</f>
        <v/>
      </c>
      <c r="AB356">
        <f>AB355+IF($R356="",0,1)</f>
        <v/>
      </c>
      <c r="AC356">
        <f>IF($R356="","",$AB356)</f>
        <v/>
      </c>
    </row>
    <row r="357">
      <c r="A357">
        <f>IFERROR(INDEX($O$6:$O$1505,MATCH(352,$AC$6:$AC$1505,0)),"")</f>
        <v/>
      </c>
      <c r="B357">
        <f>IF(ISNUMBER($A357),INDEX($P$6:$P$1505,$A357-3),"")</f>
        <v/>
      </c>
      <c r="C357">
        <f>IF(ISNUMBER($A357),INDEX($Q$6:$Q$1505,$A357-3),"")</f>
        <v/>
      </c>
      <c r="D357">
        <f>IF(ISNUMBER($A357),INDEX($R$6:$R$1505,$A357-3),"")</f>
        <v/>
      </c>
      <c r="E357">
        <f>IF(ISNUMBER($A357),$G$2,"")</f>
        <v/>
      </c>
      <c r="F357">
        <f>IF(ISNUMBER($A357),INDEX($Z$6:$Z$1505,$A357-3),"")</f>
        <v/>
      </c>
      <c r="G357">
        <f>IF(ISNUMBER($A357),INDEX($AA$6:$AA$1505,$A357-3),"")</f>
        <v/>
      </c>
      <c r="H357">
        <f>IF(ISNUMBER($A357),INDEX($U$6:$U$1505,$A357-3),"")</f>
        <v/>
      </c>
      <c r="I357">
        <f>IF(ISNUMBER($A357),INDEX($V$6:$V$1505,$A357-3),"")</f>
        <v/>
      </c>
      <c r="J357">
        <f>IF(ISNUMBER($A357),INDEX($W$6:$W$1505,$A357-3),"")</f>
        <v/>
      </c>
      <c r="K357">
        <f>IF(ISNUMBER($A357),INDEX($X$6:$X$1505,$A357-3),"")</f>
        <v/>
      </c>
      <c r="L357">
        <f>IF(ISNUMBER($A357),INDEX($Y$6:$Y$1505,$A357-3),"")</f>
        <v/>
      </c>
      <c r="O357">
        <f>355</f>
        <v/>
      </c>
      <c r="P357">
        <f>IF(TRIM('입력_구리근무자명단'!$A355&amp;"")&lt;&gt;"",TRIM('입력_구리근무자명단'!$A355&amp;""),P356)</f>
        <v/>
      </c>
      <c r="Q357">
        <f>'입력_구리근무자명단'!$B355&amp;""</f>
        <v/>
      </c>
      <c r="R357">
        <f>IF($E$2="","",TRIM(INDEX('입력_구리근무자명단'!$A355:$ZZ355,1,$E$2+IF($G$2="확정",1,0))&amp;""))</f>
        <v/>
      </c>
      <c r="S357">
        <f>IF($R357="","",IF(INDEX('입력_구리근무자명단'!$A355:$ZZ355,1,$E$2+2)&amp;""="",급여기준월,IF(ISNUMBER(INDEX('입력_구리근무자명단'!$A355:$ZZ355,1,$E$2+2)),INDEX('입력_구리근무자명단'!$A355:$ZZ355,1,$E$2+2),IFERROR(DATE(VALUE(LEFT(INDEX('입력_구리근무자명단'!$A355:$ZZ355,1,$E$2+2),4)),VALUE(MID(INDEX('입력_구리근무자명단'!$A355:$ZZ355,1,$E$2+2),6,2)),VALUE(MID(INDEX('입력_구리근무자명단'!$A355:$ZZ355,1,$E$2+2),9,2))),-1))))</f>
        <v/>
      </c>
      <c r="T357">
        <f>IF($R357="","",IF(INDEX('입력_구리근무자명단'!$A355:$ZZ355,1,$E$2+3)&amp;""="",EOMONTH(급여기준월,0),IF(ISNUMBER(INDEX('입력_구리근무자명단'!$A355:$ZZ355,1,$E$2+3)),INDEX('입력_구리근무자명단'!$A355:$ZZ355,1,$E$2+3),IFERROR(DATE(VALUE(LEFT(INDEX('입력_구리근무자명단'!$A355:$ZZ355,1,$E$2+3),4)),VALUE(MID(INDEX('입력_구리근무자명단'!$A355:$ZZ355,1,$E$2+3),6,2)),VALUE(MID(INDEX('입력_구리근무자명단'!$A355:$ZZ355,1,$E$2+3),9,2))),-1))))</f>
        <v/>
      </c>
      <c r="U357">
        <f>IF($R357="","",IF(OR($S357&lt;0,$T357&lt;0),0,MAX(0,MIN($T357,EOMONTH(급여기준월,0))-MAX($S357,급여기준월)+1)))</f>
        <v/>
      </c>
      <c r="V357">
        <f>IF($R357="","",TRIM(INDEX('입력_구리근무자명단'!$A355:$ZZ355,1,$E$2+5)&amp;""))</f>
        <v/>
      </c>
      <c r="W357">
        <f>IF(ISNUMBER(SEARCH("구리독자",$V357)),"구리독자","")</f>
        <v/>
      </c>
      <c r="X357">
        <f>IF($R357="","",$R357&amp;"|"&amp;IF(OR($Q357="인턴",ISNUMBER(SEARCH("수련교육부",$P357))),"인턴",$P357))</f>
        <v/>
      </c>
      <c r="Y357">
        <f>IF($R357="","",IF(COUNTIF(명단표[이름|과],$X357)=1,"명단 일치",IF(AND(COUNTIF(명단표[이름|과],$X357)=0,COUNTIF(명단표[이름],$R357)=1),"명단 일치(이름만, 과 다름)",IF(COUNTIF(명단표[이름],$R357)=0,IF(COUNTIF(기본자료표[이름],$R357)&gt;0,"명단에 없음(기본자료에는 있음)","명단에 없음"),"동명이인 확인"))))</f>
        <v/>
      </c>
      <c r="Z357">
        <f>IF($R357="","",IF($S357&lt;0,"⚠"&amp;INDEX('입력_구리근무자명단'!$A355:$ZZ355,1,$E$2+2),TEXT($S357,"yyyy-mm-dd")))</f>
        <v/>
      </c>
      <c r="AA357">
        <f>IF($R357="","",IF($T357&lt;0,"⚠"&amp;INDEX('입력_구리근무자명단'!$A355:$ZZ355,1,$E$2+3),TEXT($T357,"yyyy-mm-dd")))</f>
        <v/>
      </c>
      <c r="AB357">
        <f>AB356+IF($R357="",0,1)</f>
        <v/>
      </c>
      <c r="AC357">
        <f>IF($R357="","",$AB357)</f>
        <v/>
      </c>
    </row>
    <row r="358">
      <c r="A358">
        <f>IFERROR(INDEX($O$6:$O$1505,MATCH(353,$AC$6:$AC$1505,0)),"")</f>
        <v/>
      </c>
      <c r="B358">
        <f>IF(ISNUMBER($A358),INDEX($P$6:$P$1505,$A358-3),"")</f>
        <v/>
      </c>
      <c r="C358">
        <f>IF(ISNUMBER($A358),INDEX($Q$6:$Q$1505,$A358-3),"")</f>
        <v/>
      </c>
      <c r="D358">
        <f>IF(ISNUMBER($A358),INDEX($R$6:$R$1505,$A358-3),"")</f>
        <v/>
      </c>
      <c r="E358">
        <f>IF(ISNUMBER($A358),$G$2,"")</f>
        <v/>
      </c>
      <c r="F358">
        <f>IF(ISNUMBER($A358),INDEX($Z$6:$Z$1505,$A358-3),"")</f>
        <v/>
      </c>
      <c r="G358">
        <f>IF(ISNUMBER($A358),INDEX($AA$6:$AA$1505,$A358-3),"")</f>
        <v/>
      </c>
      <c r="H358">
        <f>IF(ISNUMBER($A358),INDEX($U$6:$U$1505,$A358-3),"")</f>
        <v/>
      </c>
      <c r="I358">
        <f>IF(ISNUMBER($A358),INDEX($V$6:$V$1505,$A358-3),"")</f>
        <v/>
      </c>
      <c r="J358">
        <f>IF(ISNUMBER($A358),INDEX($W$6:$W$1505,$A358-3),"")</f>
        <v/>
      </c>
      <c r="K358">
        <f>IF(ISNUMBER($A358),INDEX($X$6:$X$1505,$A358-3),"")</f>
        <v/>
      </c>
      <c r="L358">
        <f>IF(ISNUMBER($A358),INDEX($Y$6:$Y$1505,$A358-3),"")</f>
        <v/>
      </c>
      <c r="O358">
        <f>356</f>
        <v/>
      </c>
      <c r="P358">
        <f>IF(TRIM('입력_구리근무자명단'!$A356&amp;"")&lt;&gt;"",TRIM('입력_구리근무자명단'!$A356&amp;""),P357)</f>
        <v/>
      </c>
      <c r="Q358">
        <f>'입력_구리근무자명단'!$B356&amp;""</f>
        <v/>
      </c>
      <c r="R358">
        <f>IF($E$2="","",TRIM(INDEX('입력_구리근무자명단'!$A356:$ZZ356,1,$E$2+IF($G$2="확정",1,0))&amp;""))</f>
        <v/>
      </c>
      <c r="S358">
        <f>IF($R358="","",IF(INDEX('입력_구리근무자명단'!$A356:$ZZ356,1,$E$2+2)&amp;""="",급여기준월,IF(ISNUMBER(INDEX('입력_구리근무자명단'!$A356:$ZZ356,1,$E$2+2)),INDEX('입력_구리근무자명단'!$A356:$ZZ356,1,$E$2+2),IFERROR(DATE(VALUE(LEFT(INDEX('입력_구리근무자명단'!$A356:$ZZ356,1,$E$2+2),4)),VALUE(MID(INDEX('입력_구리근무자명단'!$A356:$ZZ356,1,$E$2+2),6,2)),VALUE(MID(INDEX('입력_구리근무자명단'!$A356:$ZZ356,1,$E$2+2),9,2))),-1))))</f>
        <v/>
      </c>
      <c r="T358">
        <f>IF($R358="","",IF(INDEX('입력_구리근무자명단'!$A356:$ZZ356,1,$E$2+3)&amp;""="",EOMONTH(급여기준월,0),IF(ISNUMBER(INDEX('입력_구리근무자명단'!$A356:$ZZ356,1,$E$2+3)),INDEX('입력_구리근무자명단'!$A356:$ZZ356,1,$E$2+3),IFERROR(DATE(VALUE(LEFT(INDEX('입력_구리근무자명단'!$A356:$ZZ356,1,$E$2+3),4)),VALUE(MID(INDEX('입력_구리근무자명단'!$A356:$ZZ356,1,$E$2+3),6,2)),VALUE(MID(INDEX('입력_구리근무자명단'!$A356:$ZZ356,1,$E$2+3),9,2))),-1))))</f>
        <v/>
      </c>
      <c r="U358">
        <f>IF($R358="","",IF(OR($S358&lt;0,$T358&lt;0),0,MAX(0,MIN($T358,EOMONTH(급여기준월,0))-MAX($S358,급여기준월)+1)))</f>
        <v/>
      </c>
      <c r="V358">
        <f>IF($R358="","",TRIM(INDEX('입력_구리근무자명단'!$A356:$ZZ356,1,$E$2+5)&amp;""))</f>
        <v/>
      </c>
      <c r="W358">
        <f>IF(ISNUMBER(SEARCH("구리독자",$V358)),"구리독자","")</f>
        <v/>
      </c>
      <c r="X358">
        <f>IF($R358="","",$R358&amp;"|"&amp;IF(OR($Q358="인턴",ISNUMBER(SEARCH("수련교육부",$P358))),"인턴",$P358))</f>
        <v/>
      </c>
      <c r="Y358">
        <f>IF($R358="","",IF(COUNTIF(명단표[이름|과],$X358)=1,"명단 일치",IF(AND(COUNTIF(명단표[이름|과],$X358)=0,COUNTIF(명단표[이름],$R358)=1),"명단 일치(이름만, 과 다름)",IF(COUNTIF(명단표[이름],$R358)=0,IF(COUNTIF(기본자료표[이름],$R358)&gt;0,"명단에 없음(기본자료에는 있음)","명단에 없음"),"동명이인 확인"))))</f>
        <v/>
      </c>
      <c r="Z358">
        <f>IF($R358="","",IF($S358&lt;0,"⚠"&amp;INDEX('입력_구리근무자명단'!$A356:$ZZ356,1,$E$2+2),TEXT($S358,"yyyy-mm-dd")))</f>
        <v/>
      </c>
      <c r="AA358">
        <f>IF($R358="","",IF($T358&lt;0,"⚠"&amp;INDEX('입력_구리근무자명단'!$A356:$ZZ356,1,$E$2+3),TEXT($T358,"yyyy-mm-dd")))</f>
        <v/>
      </c>
      <c r="AB358">
        <f>AB357+IF($R358="",0,1)</f>
        <v/>
      </c>
      <c r="AC358">
        <f>IF($R358="","",$AB358)</f>
        <v/>
      </c>
    </row>
    <row r="359">
      <c r="A359">
        <f>IFERROR(INDEX($O$6:$O$1505,MATCH(354,$AC$6:$AC$1505,0)),"")</f>
        <v/>
      </c>
      <c r="B359">
        <f>IF(ISNUMBER($A359),INDEX($P$6:$P$1505,$A359-3),"")</f>
        <v/>
      </c>
      <c r="C359">
        <f>IF(ISNUMBER($A359),INDEX($Q$6:$Q$1505,$A359-3),"")</f>
        <v/>
      </c>
      <c r="D359">
        <f>IF(ISNUMBER($A359),INDEX($R$6:$R$1505,$A359-3),"")</f>
        <v/>
      </c>
      <c r="E359">
        <f>IF(ISNUMBER($A359),$G$2,"")</f>
        <v/>
      </c>
      <c r="F359">
        <f>IF(ISNUMBER($A359),INDEX($Z$6:$Z$1505,$A359-3),"")</f>
        <v/>
      </c>
      <c r="G359">
        <f>IF(ISNUMBER($A359),INDEX($AA$6:$AA$1505,$A359-3),"")</f>
        <v/>
      </c>
      <c r="H359">
        <f>IF(ISNUMBER($A359),INDEX($U$6:$U$1505,$A359-3),"")</f>
        <v/>
      </c>
      <c r="I359">
        <f>IF(ISNUMBER($A359),INDEX($V$6:$V$1505,$A359-3),"")</f>
        <v/>
      </c>
      <c r="J359">
        <f>IF(ISNUMBER($A359),INDEX($W$6:$W$1505,$A359-3),"")</f>
        <v/>
      </c>
      <c r="K359">
        <f>IF(ISNUMBER($A359),INDEX($X$6:$X$1505,$A359-3),"")</f>
        <v/>
      </c>
      <c r="L359">
        <f>IF(ISNUMBER($A359),INDEX($Y$6:$Y$1505,$A359-3),"")</f>
        <v/>
      </c>
      <c r="O359">
        <f>357</f>
        <v/>
      </c>
      <c r="P359">
        <f>IF(TRIM('입력_구리근무자명단'!$A357&amp;"")&lt;&gt;"",TRIM('입력_구리근무자명단'!$A357&amp;""),P358)</f>
        <v/>
      </c>
      <c r="Q359">
        <f>'입력_구리근무자명단'!$B357&amp;""</f>
        <v/>
      </c>
      <c r="R359">
        <f>IF($E$2="","",TRIM(INDEX('입력_구리근무자명단'!$A357:$ZZ357,1,$E$2+IF($G$2="확정",1,0))&amp;""))</f>
        <v/>
      </c>
      <c r="S359">
        <f>IF($R359="","",IF(INDEX('입력_구리근무자명단'!$A357:$ZZ357,1,$E$2+2)&amp;""="",급여기준월,IF(ISNUMBER(INDEX('입력_구리근무자명단'!$A357:$ZZ357,1,$E$2+2)),INDEX('입력_구리근무자명단'!$A357:$ZZ357,1,$E$2+2),IFERROR(DATE(VALUE(LEFT(INDEX('입력_구리근무자명단'!$A357:$ZZ357,1,$E$2+2),4)),VALUE(MID(INDEX('입력_구리근무자명단'!$A357:$ZZ357,1,$E$2+2),6,2)),VALUE(MID(INDEX('입력_구리근무자명단'!$A357:$ZZ357,1,$E$2+2),9,2))),-1))))</f>
        <v/>
      </c>
      <c r="T359">
        <f>IF($R359="","",IF(INDEX('입력_구리근무자명단'!$A357:$ZZ357,1,$E$2+3)&amp;""="",EOMONTH(급여기준월,0),IF(ISNUMBER(INDEX('입력_구리근무자명단'!$A357:$ZZ357,1,$E$2+3)),INDEX('입력_구리근무자명단'!$A357:$ZZ357,1,$E$2+3),IFERROR(DATE(VALUE(LEFT(INDEX('입력_구리근무자명단'!$A357:$ZZ357,1,$E$2+3),4)),VALUE(MID(INDEX('입력_구리근무자명단'!$A357:$ZZ357,1,$E$2+3),6,2)),VALUE(MID(INDEX('입력_구리근무자명단'!$A357:$ZZ357,1,$E$2+3),9,2))),-1))))</f>
        <v/>
      </c>
      <c r="U359">
        <f>IF($R359="","",IF(OR($S359&lt;0,$T359&lt;0),0,MAX(0,MIN($T359,EOMONTH(급여기준월,0))-MAX($S359,급여기준월)+1)))</f>
        <v/>
      </c>
      <c r="V359">
        <f>IF($R359="","",TRIM(INDEX('입력_구리근무자명단'!$A357:$ZZ357,1,$E$2+5)&amp;""))</f>
        <v/>
      </c>
      <c r="W359">
        <f>IF(ISNUMBER(SEARCH("구리독자",$V359)),"구리독자","")</f>
        <v/>
      </c>
      <c r="X359">
        <f>IF($R359="","",$R359&amp;"|"&amp;IF(OR($Q359="인턴",ISNUMBER(SEARCH("수련교육부",$P359))),"인턴",$P359))</f>
        <v/>
      </c>
      <c r="Y359">
        <f>IF($R359="","",IF(COUNTIF(명단표[이름|과],$X359)=1,"명단 일치",IF(AND(COUNTIF(명단표[이름|과],$X359)=0,COUNTIF(명단표[이름],$R359)=1),"명단 일치(이름만, 과 다름)",IF(COUNTIF(명단표[이름],$R359)=0,IF(COUNTIF(기본자료표[이름],$R359)&gt;0,"명단에 없음(기본자료에는 있음)","명단에 없음"),"동명이인 확인"))))</f>
        <v/>
      </c>
      <c r="Z359">
        <f>IF($R359="","",IF($S359&lt;0,"⚠"&amp;INDEX('입력_구리근무자명단'!$A357:$ZZ357,1,$E$2+2),TEXT($S359,"yyyy-mm-dd")))</f>
        <v/>
      </c>
      <c r="AA359">
        <f>IF($R359="","",IF($T359&lt;0,"⚠"&amp;INDEX('입력_구리근무자명단'!$A357:$ZZ357,1,$E$2+3),TEXT($T359,"yyyy-mm-dd")))</f>
        <v/>
      </c>
      <c r="AB359">
        <f>AB358+IF($R359="",0,1)</f>
        <v/>
      </c>
      <c r="AC359">
        <f>IF($R359="","",$AB359)</f>
        <v/>
      </c>
    </row>
    <row r="360">
      <c r="A360">
        <f>IFERROR(INDEX($O$6:$O$1505,MATCH(355,$AC$6:$AC$1505,0)),"")</f>
        <v/>
      </c>
      <c r="B360">
        <f>IF(ISNUMBER($A360),INDEX($P$6:$P$1505,$A360-3),"")</f>
        <v/>
      </c>
      <c r="C360">
        <f>IF(ISNUMBER($A360),INDEX($Q$6:$Q$1505,$A360-3),"")</f>
        <v/>
      </c>
      <c r="D360">
        <f>IF(ISNUMBER($A360),INDEX($R$6:$R$1505,$A360-3),"")</f>
        <v/>
      </c>
      <c r="E360">
        <f>IF(ISNUMBER($A360),$G$2,"")</f>
        <v/>
      </c>
      <c r="F360">
        <f>IF(ISNUMBER($A360),INDEX($Z$6:$Z$1505,$A360-3),"")</f>
        <v/>
      </c>
      <c r="G360">
        <f>IF(ISNUMBER($A360),INDEX($AA$6:$AA$1505,$A360-3),"")</f>
        <v/>
      </c>
      <c r="H360">
        <f>IF(ISNUMBER($A360),INDEX($U$6:$U$1505,$A360-3),"")</f>
        <v/>
      </c>
      <c r="I360">
        <f>IF(ISNUMBER($A360),INDEX($V$6:$V$1505,$A360-3),"")</f>
        <v/>
      </c>
      <c r="J360">
        <f>IF(ISNUMBER($A360),INDEX($W$6:$W$1505,$A360-3),"")</f>
        <v/>
      </c>
      <c r="K360">
        <f>IF(ISNUMBER($A360),INDEX($X$6:$X$1505,$A360-3),"")</f>
        <v/>
      </c>
      <c r="L360">
        <f>IF(ISNUMBER($A360),INDEX($Y$6:$Y$1505,$A360-3),"")</f>
        <v/>
      </c>
      <c r="O360">
        <f>358</f>
        <v/>
      </c>
      <c r="P360">
        <f>IF(TRIM('입력_구리근무자명단'!$A358&amp;"")&lt;&gt;"",TRIM('입력_구리근무자명단'!$A358&amp;""),P359)</f>
        <v/>
      </c>
      <c r="Q360">
        <f>'입력_구리근무자명단'!$B358&amp;""</f>
        <v/>
      </c>
      <c r="R360">
        <f>IF($E$2="","",TRIM(INDEX('입력_구리근무자명단'!$A358:$ZZ358,1,$E$2+IF($G$2="확정",1,0))&amp;""))</f>
        <v/>
      </c>
      <c r="S360">
        <f>IF($R360="","",IF(INDEX('입력_구리근무자명단'!$A358:$ZZ358,1,$E$2+2)&amp;""="",급여기준월,IF(ISNUMBER(INDEX('입력_구리근무자명단'!$A358:$ZZ358,1,$E$2+2)),INDEX('입력_구리근무자명단'!$A358:$ZZ358,1,$E$2+2),IFERROR(DATE(VALUE(LEFT(INDEX('입력_구리근무자명단'!$A358:$ZZ358,1,$E$2+2),4)),VALUE(MID(INDEX('입력_구리근무자명단'!$A358:$ZZ358,1,$E$2+2),6,2)),VALUE(MID(INDEX('입력_구리근무자명단'!$A358:$ZZ358,1,$E$2+2),9,2))),-1))))</f>
        <v/>
      </c>
      <c r="T360">
        <f>IF($R360="","",IF(INDEX('입력_구리근무자명단'!$A358:$ZZ358,1,$E$2+3)&amp;""="",EOMONTH(급여기준월,0),IF(ISNUMBER(INDEX('입력_구리근무자명단'!$A358:$ZZ358,1,$E$2+3)),INDEX('입력_구리근무자명단'!$A358:$ZZ358,1,$E$2+3),IFERROR(DATE(VALUE(LEFT(INDEX('입력_구리근무자명단'!$A358:$ZZ358,1,$E$2+3),4)),VALUE(MID(INDEX('입력_구리근무자명단'!$A358:$ZZ358,1,$E$2+3),6,2)),VALUE(MID(INDEX('입력_구리근무자명단'!$A358:$ZZ358,1,$E$2+3),9,2))),-1))))</f>
        <v/>
      </c>
      <c r="U360">
        <f>IF($R360="","",IF(OR($S360&lt;0,$T360&lt;0),0,MAX(0,MIN($T360,EOMONTH(급여기준월,0))-MAX($S360,급여기준월)+1)))</f>
        <v/>
      </c>
      <c r="V360">
        <f>IF($R360="","",TRIM(INDEX('입력_구리근무자명단'!$A358:$ZZ358,1,$E$2+5)&amp;""))</f>
        <v/>
      </c>
      <c r="W360">
        <f>IF(ISNUMBER(SEARCH("구리독자",$V360)),"구리독자","")</f>
        <v/>
      </c>
      <c r="X360">
        <f>IF($R360="","",$R360&amp;"|"&amp;IF(OR($Q360="인턴",ISNUMBER(SEARCH("수련교육부",$P360))),"인턴",$P360))</f>
        <v/>
      </c>
      <c r="Y360">
        <f>IF($R360="","",IF(COUNTIF(명단표[이름|과],$X360)=1,"명단 일치",IF(AND(COUNTIF(명단표[이름|과],$X360)=0,COUNTIF(명단표[이름],$R360)=1),"명단 일치(이름만, 과 다름)",IF(COUNTIF(명단표[이름],$R360)=0,IF(COUNTIF(기본자료표[이름],$R360)&gt;0,"명단에 없음(기본자료에는 있음)","명단에 없음"),"동명이인 확인"))))</f>
        <v/>
      </c>
      <c r="Z360">
        <f>IF($R360="","",IF($S360&lt;0,"⚠"&amp;INDEX('입력_구리근무자명단'!$A358:$ZZ358,1,$E$2+2),TEXT($S360,"yyyy-mm-dd")))</f>
        <v/>
      </c>
      <c r="AA360">
        <f>IF($R360="","",IF($T360&lt;0,"⚠"&amp;INDEX('입력_구리근무자명단'!$A358:$ZZ358,1,$E$2+3),TEXT($T360,"yyyy-mm-dd")))</f>
        <v/>
      </c>
      <c r="AB360">
        <f>AB359+IF($R360="",0,1)</f>
        <v/>
      </c>
      <c r="AC360">
        <f>IF($R360="","",$AB360)</f>
        <v/>
      </c>
    </row>
    <row r="361">
      <c r="A361">
        <f>IFERROR(INDEX($O$6:$O$1505,MATCH(356,$AC$6:$AC$1505,0)),"")</f>
        <v/>
      </c>
      <c r="B361">
        <f>IF(ISNUMBER($A361),INDEX($P$6:$P$1505,$A361-3),"")</f>
        <v/>
      </c>
      <c r="C361">
        <f>IF(ISNUMBER($A361),INDEX($Q$6:$Q$1505,$A361-3),"")</f>
        <v/>
      </c>
      <c r="D361">
        <f>IF(ISNUMBER($A361),INDEX($R$6:$R$1505,$A361-3),"")</f>
        <v/>
      </c>
      <c r="E361">
        <f>IF(ISNUMBER($A361),$G$2,"")</f>
        <v/>
      </c>
      <c r="F361">
        <f>IF(ISNUMBER($A361),INDEX($Z$6:$Z$1505,$A361-3),"")</f>
        <v/>
      </c>
      <c r="G361">
        <f>IF(ISNUMBER($A361),INDEX($AA$6:$AA$1505,$A361-3),"")</f>
        <v/>
      </c>
      <c r="H361">
        <f>IF(ISNUMBER($A361),INDEX($U$6:$U$1505,$A361-3),"")</f>
        <v/>
      </c>
      <c r="I361">
        <f>IF(ISNUMBER($A361),INDEX($V$6:$V$1505,$A361-3),"")</f>
        <v/>
      </c>
      <c r="J361">
        <f>IF(ISNUMBER($A361),INDEX($W$6:$W$1505,$A361-3),"")</f>
        <v/>
      </c>
      <c r="K361">
        <f>IF(ISNUMBER($A361),INDEX($X$6:$X$1505,$A361-3),"")</f>
        <v/>
      </c>
      <c r="L361">
        <f>IF(ISNUMBER($A361),INDEX($Y$6:$Y$1505,$A361-3),"")</f>
        <v/>
      </c>
      <c r="O361">
        <f>359</f>
        <v/>
      </c>
      <c r="P361">
        <f>IF(TRIM('입력_구리근무자명단'!$A359&amp;"")&lt;&gt;"",TRIM('입력_구리근무자명단'!$A359&amp;""),P360)</f>
        <v/>
      </c>
      <c r="Q361">
        <f>'입력_구리근무자명단'!$B359&amp;""</f>
        <v/>
      </c>
      <c r="R361">
        <f>IF($E$2="","",TRIM(INDEX('입력_구리근무자명단'!$A359:$ZZ359,1,$E$2+IF($G$2="확정",1,0))&amp;""))</f>
        <v/>
      </c>
      <c r="S361">
        <f>IF($R361="","",IF(INDEX('입력_구리근무자명단'!$A359:$ZZ359,1,$E$2+2)&amp;""="",급여기준월,IF(ISNUMBER(INDEX('입력_구리근무자명단'!$A359:$ZZ359,1,$E$2+2)),INDEX('입력_구리근무자명단'!$A359:$ZZ359,1,$E$2+2),IFERROR(DATE(VALUE(LEFT(INDEX('입력_구리근무자명단'!$A359:$ZZ359,1,$E$2+2),4)),VALUE(MID(INDEX('입력_구리근무자명단'!$A359:$ZZ359,1,$E$2+2),6,2)),VALUE(MID(INDEX('입력_구리근무자명단'!$A359:$ZZ359,1,$E$2+2),9,2))),-1))))</f>
        <v/>
      </c>
      <c r="T361">
        <f>IF($R361="","",IF(INDEX('입력_구리근무자명단'!$A359:$ZZ359,1,$E$2+3)&amp;""="",EOMONTH(급여기준월,0),IF(ISNUMBER(INDEX('입력_구리근무자명단'!$A359:$ZZ359,1,$E$2+3)),INDEX('입력_구리근무자명단'!$A359:$ZZ359,1,$E$2+3),IFERROR(DATE(VALUE(LEFT(INDEX('입력_구리근무자명단'!$A359:$ZZ359,1,$E$2+3),4)),VALUE(MID(INDEX('입력_구리근무자명단'!$A359:$ZZ359,1,$E$2+3),6,2)),VALUE(MID(INDEX('입력_구리근무자명단'!$A359:$ZZ359,1,$E$2+3),9,2))),-1))))</f>
        <v/>
      </c>
      <c r="U361">
        <f>IF($R361="","",IF(OR($S361&lt;0,$T361&lt;0),0,MAX(0,MIN($T361,EOMONTH(급여기준월,0))-MAX($S361,급여기준월)+1)))</f>
        <v/>
      </c>
      <c r="V361">
        <f>IF($R361="","",TRIM(INDEX('입력_구리근무자명단'!$A359:$ZZ359,1,$E$2+5)&amp;""))</f>
        <v/>
      </c>
      <c r="W361">
        <f>IF(ISNUMBER(SEARCH("구리독자",$V361)),"구리독자","")</f>
        <v/>
      </c>
      <c r="X361">
        <f>IF($R361="","",$R361&amp;"|"&amp;IF(OR($Q361="인턴",ISNUMBER(SEARCH("수련교육부",$P361))),"인턴",$P361))</f>
        <v/>
      </c>
      <c r="Y361">
        <f>IF($R361="","",IF(COUNTIF(명단표[이름|과],$X361)=1,"명단 일치",IF(AND(COUNTIF(명단표[이름|과],$X361)=0,COUNTIF(명단표[이름],$R361)=1),"명단 일치(이름만, 과 다름)",IF(COUNTIF(명단표[이름],$R361)=0,IF(COUNTIF(기본자료표[이름],$R361)&gt;0,"명단에 없음(기본자료에는 있음)","명단에 없음"),"동명이인 확인"))))</f>
        <v/>
      </c>
      <c r="Z361">
        <f>IF($R361="","",IF($S361&lt;0,"⚠"&amp;INDEX('입력_구리근무자명단'!$A359:$ZZ359,1,$E$2+2),TEXT($S361,"yyyy-mm-dd")))</f>
        <v/>
      </c>
      <c r="AA361">
        <f>IF($R361="","",IF($T361&lt;0,"⚠"&amp;INDEX('입력_구리근무자명단'!$A359:$ZZ359,1,$E$2+3),TEXT($T361,"yyyy-mm-dd")))</f>
        <v/>
      </c>
      <c r="AB361">
        <f>AB360+IF($R361="",0,1)</f>
        <v/>
      </c>
      <c r="AC361">
        <f>IF($R361="","",$AB361)</f>
        <v/>
      </c>
    </row>
    <row r="362">
      <c r="A362">
        <f>IFERROR(INDEX($O$6:$O$1505,MATCH(357,$AC$6:$AC$1505,0)),"")</f>
        <v/>
      </c>
      <c r="B362">
        <f>IF(ISNUMBER($A362),INDEX($P$6:$P$1505,$A362-3),"")</f>
        <v/>
      </c>
      <c r="C362">
        <f>IF(ISNUMBER($A362),INDEX($Q$6:$Q$1505,$A362-3),"")</f>
        <v/>
      </c>
      <c r="D362">
        <f>IF(ISNUMBER($A362),INDEX($R$6:$R$1505,$A362-3),"")</f>
        <v/>
      </c>
      <c r="E362">
        <f>IF(ISNUMBER($A362),$G$2,"")</f>
        <v/>
      </c>
      <c r="F362">
        <f>IF(ISNUMBER($A362),INDEX($Z$6:$Z$1505,$A362-3),"")</f>
        <v/>
      </c>
      <c r="G362">
        <f>IF(ISNUMBER($A362),INDEX($AA$6:$AA$1505,$A362-3),"")</f>
        <v/>
      </c>
      <c r="H362">
        <f>IF(ISNUMBER($A362),INDEX($U$6:$U$1505,$A362-3),"")</f>
        <v/>
      </c>
      <c r="I362">
        <f>IF(ISNUMBER($A362),INDEX($V$6:$V$1505,$A362-3),"")</f>
        <v/>
      </c>
      <c r="J362">
        <f>IF(ISNUMBER($A362),INDEX($W$6:$W$1505,$A362-3),"")</f>
        <v/>
      </c>
      <c r="K362">
        <f>IF(ISNUMBER($A362),INDEX($X$6:$X$1505,$A362-3),"")</f>
        <v/>
      </c>
      <c r="L362">
        <f>IF(ISNUMBER($A362),INDEX($Y$6:$Y$1505,$A362-3),"")</f>
        <v/>
      </c>
      <c r="O362">
        <f>360</f>
        <v/>
      </c>
      <c r="P362">
        <f>IF(TRIM('입력_구리근무자명단'!$A360&amp;"")&lt;&gt;"",TRIM('입력_구리근무자명단'!$A360&amp;""),P361)</f>
        <v/>
      </c>
      <c r="Q362">
        <f>'입력_구리근무자명단'!$B360&amp;""</f>
        <v/>
      </c>
      <c r="R362">
        <f>IF($E$2="","",TRIM(INDEX('입력_구리근무자명단'!$A360:$ZZ360,1,$E$2+IF($G$2="확정",1,0))&amp;""))</f>
        <v/>
      </c>
      <c r="S362">
        <f>IF($R362="","",IF(INDEX('입력_구리근무자명단'!$A360:$ZZ360,1,$E$2+2)&amp;""="",급여기준월,IF(ISNUMBER(INDEX('입력_구리근무자명단'!$A360:$ZZ360,1,$E$2+2)),INDEX('입력_구리근무자명단'!$A360:$ZZ360,1,$E$2+2),IFERROR(DATE(VALUE(LEFT(INDEX('입력_구리근무자명단'!$A360:$ZZ360,1,$E$2+2),4)),VALUE(MID(INDEX('입력_구리근무자명단'!$A360:$ZZ360,1,$E$2+2),6,2)),VALUE(MID(INDEX('입력_구리근무자명단'!$A360:$ZZ360,1,$E$2+2),9,2))),-1))))</f>
        <v/>
      </c>
      <c r="T362">
        <f>IF($R362="","",IF(INDEX('입력_구리근무자명단'!$A360:$ZZ360,1,$E$2+3)&amp;""="",EOMONTH(급여기준월,0),IF(ISNUMBER(INDEX('입력_구리근무자명단'!$A360:$ZZ360,1,$E$2+3)),INDEX('입력_구리근무자명단'!$A360:$ZZ360,1,$E$2+3),IFERROR(DATE(VALUE(LEFT(INDEX('입력_구리근무자명단'!$A360:$ZZ360,1,$E$2+3),4)),VALUE(MID(INDEX('입력_구리근무자명단'!$A360:$ZZ360,1,$E$2+3),6,2)),VALUE(MID(INDEX('입력_구리근무자명단'!$A360:$ZZ360,1,$E$2+3),9,2))),-1))))</f>
        <v/>
      </c>
      <c r="U362">
        <f>IF($R362="","",IF(OR($S362&lt;0,$T362&lt;0),0,MAX(0,MIN($T362,EOMONTH(급여기준월,0))-MAX($S362,급여기준월)+1)))</f>
        <v/>
      </c>
      <c r="V362">
        <f>IF($R362="","",TRIM(INDEX('입력_구리근무자명단'!$A360:$ZZ360,1,$E$2+5)&amp;""))</f>
        <v/>
      </c>
      <c r="W362">
        <f>IF(ISNUMBER(SEARCH("구리독자",$V362)),"구리독자","")</f>
        <v/>
      </c>
      <c r="X362">
        <f>IF($R362="","",$R362&amp;"|"&amp;IF(OR($Q362="인턴",ISNUMBER(SEARCH("수련교육부",$P362))),"인턴",$P362))</f>
        <v/>
      </c>
      <c r="Y362">
        <f>IF($R362="","",IF(COUNTIF(명단표[이름|과],$X362)=1,"명단 일치",IF(AND(COUNTIF(명단표[이름|과],$X362)=0,COUNTIF(명단표[이름],$R362)=1),"명단 일치(이름만, 과 다름)",IF(COUNTIF(명단표[이름],$R362)=0,IF(COUNTIF(기본자료표[이름],$R362)&gt;0,"명단에 없음(기본자료에는 있음)","명단에 없음"),"동명이인 확인"))))</f>
        <v/>
      </c>
      <c r="Z362">
        <f>IF($R362="","",IF($S362&lt;0,"⚠"&amp;INDEX('입력_구리근무자명단'!$A360:$ZZ360,1,$E$2+2),TEXT($S362,"yyyy-mm-dd")))</f>
        <v/>
      </c>
      <c r="AA362">
        <f>IF($R362="","",IF($T362&lt;0,"⚠"&amp;INDEX('입력_구리근무자명단'!$A360:$ZZ360,1,$E$2+3),TEXT($T362,"yyyy-mm-dd")))</f>
        <v/>
      </c>
      <c r="AB362">
        <f>AB361+IF($R362="",0,1)</f>
        <v/>
      </c>
      <c r="AC362">
        <f>IF($R362="","",$AB362)</f>
        <v/>
      </c>
    </row>
    <row r="363">
      <c r="A363">
        <f>IFERROR(INDEX($O$6:$O$1505,MATCH(358,$AC$6:$AC$1505,0)),"")</f>
        <v/>
      </c>
      <c r="B363">
        <f>IF(ISNUMBER($A363),INDEX($P$6:$P$1505,$A363-3),"")</f>
        <v/>
      </c>
      <c r="C363">
        <f>IF(ISNUMBER($A363),INDEX($Q$6:$Q$1505,$A363-3),"")</f>
        <v/>
      </c>
      <c r="D363">
        <f>IF(ISNUMBER($A363),INDEX($R$6:$R$1505,$A363-3),"")</f>
        <v/>
      </c>
      <c r="E363">
        <f>IF(ISNUMBER($A363),$G$2,"")</f>
        <v/>
      </c>
      <c r="F363">
        <f>IF(ISNUMBER($A363),INDEX($Z$6:$Z$1505,$A363-3),"")</f>
        <v/>
      </c>
      <c r="G363">
        <f>IF(ISNUMBER($A363),INDEX($AA$6:$AA$1505,$A363-3),"")</f>
        <v/>
      </c>
      <c r="H363">
        <f>IF(ISNUMBER($A363),INDEX($U$6:$U$1505,$A363-3),"")</f>
        <v/>
      </c>
      <c r="I363">
        <f>IF(ISNUMBER($A363),INDEX($V$6:$V$1505,$A363-3),"")</f>
        <v/>
      </c>
      <c r="J363">
        <f>IF(ISNUMBER($A363),INDEX($W$6:$W$1505,$A363-3),"")</f>
        <v/>
      </c>
      <c r="K363">
        <f>IF(ISNUMBER($A363),INDEX($X$6:$X$1505,$A363-3),"")</f>
        <v/>
      </c>
      <c r="L363">
        <f>IF(ISNUMBER($A363),INDEX($Y$6:$Y$1505,$A363-3),"")</f>
        <v/>
      </c>
      <c r="O363">
        <f>361</f>
        <v/>
      </c>
      <c r="P363">
        <f>IF(TRIM('입력_구리근무자명단'!$A361&amp;"")&lt;&gt;"",TRIM('입력_구리근무자명단'!$A361&amp;""),P362)</f>
        <v/>
      </c>
      <c r="Q363">
        <f>'입력_구리근무자명단'!$B361&amp;""</f>
        <v/>
      </c>
      <c r="R363">
        <f>IF($E$2="","",TRIM(INDEX('입력_구리근무자명단'!$A361:$ZZ361,1,$E$2+IF($G$2="확정",1,0))&amp;""))</f>
        <v/>
      </c>
      <c r="S363">
        <f>IF($R363="","",IF(INDEX('입력_구리근무자명단'!$A361:$ZZ361,1,$E$2+2)&amp;""="",급여기준월,IF(ISNUMBER(INDEX('입력_구리근무자명단'!$A361:$ZZ361,1,$E$2+2)),INDEX('입력_구리근무자명단'!$A361:$ZZ361,1,$E$2+2),IFERROR(DATE(VALUE(LEFT(INDEX('입력_구리근무자명단'!$A361:$ZZ361,1,$E$2+2),4)),VALUE(MID(INDEX('입력_구리근무자명단'!$A361:$ZZ361,1,$E$2+2),6,2)),VALUE(MID(INDEX('입력_구리근무자명단'!$A361:$ZZ361,1,$E$2+2),9,2))),-1))))</f>
        <v/>
      </c>
      <c r="T363">
        <f>IF($R363="","",IF(INDEX('입력_구리근무자명단'!$A361:$ZZ361,1,$E$2+3)&amp;""="",EOMONTH(급여기준월,0),IF(ISNUMBER(INDEX('입력_구리근무자명단'!$A361:$ZZ361,1,$E$2+3)),INDEX('입력_구리근무자명단'!$A361:$ZZ361,1,$E$2+3),IFERROR(DATE(VALUE(LEFT(INDEX('입력_구리근무자명단'!$A361:$ZZ361,1,$E$2+3),4)),VALUE(MID(INDEX('입력_구리근무자명단'!$A361:$ZZ361,1,$E$2+3),6,2)),VALUE(MID(INDEX('입력_구리근무자명단'!$A361:$ZZ361,1,$E$2+3),9,2))),-1))))</f>
        <v/>
      </c>
      <c r="U363">
        <f>IF($R363="","",IF(OR($S363&lt;0,$T363&lt;0),0,MAX(0,MIN($T363,EOMONTH(급여기준월,0))-MAX($S363,급여기준월)+1)))</f>
        <v/>
      </c>
      <c r="V363">
        <f>IF($R363="","",TRIM(INDEX('입력_구리근무자명단'!$A361:$ZZ361,1,$E$2+5)&amp;""))</f>
        <v/>
      </c>
      <c r="W363">
        <f>IF(ISNUMBER(SEARCH("구리독자",$V363)),"구리독자","")</f>
        <v/>
      </c>
      <c r="X363">
        <f>IF($R363="","",$R363&amp;"|"&amp;IF(OR($Q363="인턴",ISNUMBER(SEARCH("수련교육부",$P363))),"인턴",$P363))</f>
        <v/>
      </c>
      <c r="Y363">
        <f>IF($R363="","",IF(COUNTIF(명단표[이름|과],$X363)=1,"명단 일치",IF(AND(COUNTIF(명단표[이름|과],$X363)=0,COUNTIF(명단표[이름],$R363)=1),"명단 일치(이름만, 과 다름)",IF(COUNTIF(명단표[이름],$R363)=0,IF(COUNTIF(기본자료표[이름],$R363)&gt;0,"명단에 없음(기본자료에는 있음)","명단에 없음"),"동명이인 확인"))))</f>
        <v/>
      </c>
      <c r="Z363">
        <f>IF($R363="","",IF($S363&lt;0,"⚠"&amp;INDEX('입력_구리근무자명단'!$A361:$ZZ361,1,$E$2+2),TEXT($S363,"yyyy-mm-dd")))</f>
        <v/>
      </c>
      <c r="AA363">
        <f>IF($R363="","",IF($T363&lt;0,"⚠"&amp;INDEX('입력_구리근무자명단'!$A361:$ZZ361,1,$E$2+3),TEXT($T363,"yyyy-mm-dd")))</f>
        <v/>
      </c>
      <c r="AB363">
        <f>AB362+IF($R363="",0,1)</f>
        <v/>
      </c>
      <c r="AC363">
        <f>IF($R363="","",$AB363)</f>
        <v/>
      </c>
    </row>
    <row r="364">
      <c r="A364">
        <f>IFERROR(INDEX($O$6:$O$1505,MATCH(359,$AC$6:$AC$1505,0)),"")</f>
        <v/>
      </c>
      <c r="B364">
        <f>IF(ISNUMBER($A364),INDEX($P$6:$P$1505,$A364-3),"")</f>
        <v/>
      </c>
      <c r="C364">
        <f>IF(ISNUMBER($A364),INDEX($Q$6:$Q$1505,$A364-3),"")</f>
        <v/>
      </c>
      <c r="D364">
        <f>IF(ISNUMBER($A364),INDEX($R$6:$R$1505,$A364-3),"")</f>
        <v/>
      </c>
      <c r="E364">
        <f>IF(ISNUMBER($A364),$G$2,"")</f>
        <v/>
      </c>
      <c r="F364">
        <f>IF(ISNUMBER($A364),INDEX($Z$6:$Z$1505,$A364-3),"")</f>
        <v/>
      </c>
      <c r="G364">
        <f>IF(ISNUMBER($A364),INDEX($AA$6:$AA$1505,$A364-3),"")</f>
        <v/>
      </c>
      <c r="H364">
        <f>IF(ISNUMBER($A364),INDEX($U$6:$U$1505,$A364-3),"")</f>
        <v/>
      </c>
      <c r="I364">
        <f>IF(ISNUMBER($A364),INDEX($V$6:$V$1505,$A364-3),"")</f>
        <v/>
      </c>
      <c r="J364">
        <f>IF(ISNUMBER($A364),INDEX($W$6:$W$1505,$A364-3),"")</f>
        <v/>
      </c>
      <c r="K364">
        <f>IF(ISNUMBER($A364),INDEX($X$6:$X$1505,$A364-3),"")</f>
        <v/>
      </c>
      <c r="L364">
        <f>IF(ISNUMBER($A364),INDEX($Y$6:$Y$1505,$A364-3),"")</f>
        <v/>
      </c>
      <c r="O364">
        <f>362</f>
        <v/>
      </c>
      <c r="P364">
        <f>IF(TRIM('입력_구리근무자명단'!$A362&amp;"")&lt;&gt;"",TRIM('입력_구리근무자명단'!$A362&amp;""),P363)</f>
        <v/>
      </c>
      <c r="Q364">
        <f>'입력_구리근무자명단'!$B362&amp;""</f>
        <v/>
      </c>
      <c r="R364">
        <f>IF($E$2="","",TRIM(INDEX('입력_구리근무자명단'!$A362:$ZZ362,1,$E$2+IF($G$2="확정",1,0))&amp;""))</f>
        <v/>
      </c>
      <c r="S364">
        <f>IF($R364="","",IF(INDEX('입력_구리근무자명단'!$A362:$ZZ362,1,$E$2+2)&amp;""="",급여기준월,IF(ISNUMBER(INDEX('입력_구리근무자명단'!$A362:$ZZ362,1,$E$2+2)),INDEX('입력_구리근무자명단'!$A362:$ZZ362,1,$E$2+2),IFERROR(DATE(VALUE(LEFT(INDEX('입력_구리근무자명단'!$A362:$ZZ362,1,$E$2+2),4)),VALUE(MID(INDEX('입력_구리근무자명단'!$A362:$ZZ362,1,$E$2+2),6,2)),VALUE(MID(INDEX('입력_구리근무자명단'!$A362:$ZZ362,1,$E$2+2),9,2))),-1))))</f>
        <v/>
      </c>
      <c r="T364">
        <f>IF($R364="","",IF(INDEX('입력_구리근무자명단'!$A362:$ZZ362,1,$E$2+3)&amp;""="",EOMONTH(급여기준월,0),IF(ISNUMBER(INDEX('입력_구리근무자명단'!$A362:$ZZ362,1,$E$2+3)),INDEX('입력_구리근무자명단'!$A362:$ZZ362,1,$E$2+3),IFERROR(DATE(VALUE(LEFT(INDEX('입력_구리근무자명단'!$A362:$ZZ362,1,$E$2+3),4)),VALUE(MID(INDEX('입력_구리근무자명단'!$A362:$ZZ362,1,$E$2+3),6,2)),VALUE(MID(INDEX('입력_구리근무자명단'!$A362:$ZZ362,1,$E$2+3),9,2))),-1))))</f>
        <v/>
      </c>
      <c r="U364">
        <f>IF($R364="","",IF(OR($S364&lt;0,$T364&lt;0),0,MAX(0,MIN($T364,EOMONTH(급여기준월,0))-MAX($S364,급여기준월)+1)))</f>
        <v/>
      </c>
      <c r="V364">
        <f>IF($R364="","",TRIM(INDEX('입력_구리근무자명단'!$A362:$ZZ362,1,$E$2+5)&amp;""))</f>
        <v/>
      </c>
      <c r="W364">
        <f>IF(ISNUMBER(SEARCH("구리독자",$V364)),"구리독자","")</f>
        <v/>
      </c>
      <c r="X364">
        <f>IF($R364="","",$R364&amp;"|"&amp;IF(OR($Q364="인턴",ISNUMBER(SEARCH("수련교육부",$P364))),"인턴",$P364))</f>
        <v/>
      </c>
      <c r="Y364">
        <f>IF($R364="","",IF(COUNTIF(명단표[이름|과],$X364)=1,"명단 일치",IF(AND(COUNTIF(명단표[이름|과],$X364)=0,COUNTIF(명단표[이름],$R364)=1),"명단 일치(이름만, 과 다름)",IF(COUNTIF(명단표[이름],$R364)=0,IF(COUNTIF(기본자료표[이름],$R364)&gt;0,"명단에 없음(기본자료에는 있음)","명단에 없음"),"동명이인 확인"))))</f>
        <v/>
      </c>
      <c r="Z364">
        <f>IF($R364="","",IF($S364&lt;0,"⚠"&amp;INDEX('입력_구리근무자명단'!$A362:$ZZ362,1,$E$2+2),TEXT($S364,"yyyy-mm-dd")))</f>
        <v/>
      </c>
      <c r="AA364">
        <f>IF($R364="","",IF($T364&lt;0,"⚠"&amp;INDEX('입력_구리근무자명단'!$A362:$ZZ362,1,$E$2+3),TEXT($T364,"yyyy-mm-dd")))</f>
        <v/>
      </c>
      <c r="AB364">
        <f>AB363+IF($R364="",0,1)</f>
        <v/>
      </c>
      <c r="AC364">
        <f>IF($R364="","",$AB364)</f>
        <v/>
      </c>
    </row>
    <row r="365">
      <c r="A365">
        <f>IFERROR(INDEX($O$6:$O$1505,MATCH(360,$AC$6:$AC$1505,0)),"")</f>
        <v/>
      </c>
      <c r="B365">
        <f>IF(ISNUMBER($A365),INDEX($P$6:$P$1505,$A365-3),"")</f>
        <v/>
      </c>
      <c r="C365">
        <f>IF(ISNUMBER($A365),INDEX($Q$6:$Q$1505,$A365-3),"")</f>
        <v/>
      </c>
      <c r="D365">
        <f>IF(ISNUMBER($A365),INDEX($R$6:$R$1505,$A365-3),"")</f>
        <v/>
      </c>
      <c r="E365">
        <f>IF(ISNUMBER($A365),$G$2,"")</f>
        <v/>
      </c>
      <c r="F365">
        <f>IF(ISNUMBER($A365),INDEX($Z$6:$Z$1505,$A365-3),"")</f>
        <v/>
      </c>
      <c r="G365">
        <f>IF(ISNUMBER($A365),INDEX($AA$6:$AA$1505,$A365-3),"")</f>
        <v/>
      </c>
      <c r="H365">
        <f>IF(ISNUMBER($A365),INDEX($U$6:$U$1505,$A365-3),"")</f>
        <v/>
      </c>
      <c r="I365">
        <f>IF(ISNUMBER($A365),INDEX($V$6:$V$1505,$A365-3),"")</f>
        <v/>
      </c>
      <c r="J365">
        <f>IF(ISNUMBER($A365),INDEX($W$6:$W$1505,$A365-3),"")</f>
        <v/>
      </c>
      <c r="K365">
        <f>IF(ISNUMBER($A365),INDEX($X$6:$X$1505,$A365-3),"")</f>
        <v/>
      </c>
      <c r="L365">
        <f>IF(ISNUMBER($A365),INDEX($Y$6:$Y$1505,$A365-3),"")</f>
        <v/>
      </c>
      <c r="O365">
        <f>363</f>
        <v/>
      </c>
      <c r="P365">
        <f>IF(TRIM('입력_구리근무자명단'!$A363&amp;"")&lt;&gt;"",TRIM('입력_구리근무자명단'!$A363&amp;""),P364)</f>
        <v/>
      </c>
      <c r="Q365">
        <f>'입력_구리근무자명단'!$B363&amp;""</f>
        <v/>
      </c>
      <c r="R365">
        <f>IF($E$2="","",TRIM(INDEX('입력_구리근무자명단'!$A363:$ZZ363,1,$E$2+IF($G$2="확정",1,0))&amp;""))</f>
        <v/>
      </c>
      <c r="S365">
        <f>IF($R365="","",IF(INDEX('입력_구리근무자명단'!$A363:$ZZ363,1,$E$2+2)&amp;""="",급여기준월,IF(ISNUMBER(INDEX('입력_구리근무자명단'!$A363:$ZZ363,1,$E$2+2)),INDEX('입력_구리근무자명단'!$A363:$ZZ363,1,$E$2+2),IFERROR(DATE(VALUE(LEFT(INDEX('입력_구리근무자명단'!$A363:$ZZ363,1,$E$2+2),4)),VALUE(MID(INDEX('입력_구리근무자명단'!$A363:$ZZ363,1,$E$2+2),6,2)),VALUE(MID(INDEX('입력_구리근무자명단'!$A363:$ZZ363,1,$E$2+2),9,2))),-1))))</f>
        <v/>
      </c>
      <c r="T365">
        <f>IF($R365="","",IF(INDEX('입력_구리근무자명단'!$A363:$ZZ363,1,$E$2+3)&amp;""="",EOMONTH(급여기준월,0),IF(ISNUMBER(INDEX('입력_구리근무자명단'!$A363:$ZZ363,1,$E$2+3)),INDEX('입력_구리근무자명단'!$A363:$ZZ363,1,$E$2+3),IFERROR(DATE(VALUE(LEFT(INDEX('입력_구리근무자명단'!$A363:$ZZ363,1,$E$2+3),4)),VALUE(MID(INDEX('입력_구리근무자명단'!$A363:$ZZ363,1,$E$2+3),6,2)),VALUE(MID(INDEX('입력_구리근무자명단'!$A363:$ZZ363,1,$E$2+3),9,2))),-1))))</f>
        <v/>
      </c>
      <c r="U365">
        <f>IF($R365="","",IF(OR($S365&lt;0,$T365&lt;0),0,MAX(0,MIN($T365,EOMONTH(급여기준월,0))-MAX($S365,급여기준월)+1)))</f>
        <v/>
      </c>
      <c r="V365">
        <f>IF($R365="","",TRIM(INDEX('입력_구리근무자명단'!$A363:$ZZ363,1,$E$2+5)&amp;""))</f>
        <v/>
      </c>
      <c r="W365">
        <f>IF(ISNUMBER(SEARCH("구리독자",$V365)),"구리독자","")</f>
        <v/>
      </c>
      <c r="X365">
        <f>IF($R365="","",$R365&amp;"|"&amp;IF(OR($Q365="인턴",ISNUMBER(SEARCH("수련교육부",$P365))),"인턴",$P365))</f>
        <v/>
      </c>
      <c r="Y365">
        <f>IF($R365="","",IF(COUNTIF(명단표[이름|과],$X365)=1,"명단 일치",IF(AND(COUNTIF(명단표[이름|과],$X365)=0,COUNTIF(명단표[이름],$R365)=1),"명단 일치(이름만, 과 다름)",IF(COUNTIF(명단표[이름],$R365)=0,IF(COUNTIF(기본자료표[이름],$R365)&gt;0,"명단에 없음(기본자료에는 있음)","명단에 없음"),"동명이인 확인"))))</f>
        <v/>
      </c>
      <c r="Z365">
        <f>IF($R365="","",IF($S365&lt;0,"⚠"&amp;INDEX('입력_구리근무자명단'!$A363:$ZZ363,1,$E$2+2),TEXT($S365,"yyyy-mm-dd")))</f>
        <v/>
      </c>
      <c r="AA365">
        <f>IF($R365="","",IF($T365&lt;0,"⚠"&amp;INDEX('입력_구리근무자명단'!$A363:$ZZ363,1,$E$2+3),TEXT($T365,"yyyy-mm-dd")))</f>
        <v/>
      </c>
      <c r="AB365">
        <f>AB364+IF($R365="",0,1)</f>
        <v/>
      </c>
      <c r="AC365">
        <f>IF($R365="","",$AB365)</f>
        <v/>
      </c>
    </row>
    <row r="366">
      <c r="A366">
        <f>IFERROR(INDEX($O$6:$O$1505,MATCH(361,$AC$6:$AC$1505,0)),"")</f>
        <v/>
      </c>
      <c r="B366">
        <f>IF(ISNUMBER($A366),INDEX($P$6:$P$1505,$A366-3),"")</f>
        <v/>
      </c>
      <c r="C366">
        <f>IF(ISNUMBER($A366),INDEX($Q$6:$Q$1505,$A366-3),"")</f>
        <v/>
      </c>
      <c r="D366">
        <f>IF(ISNUMBER($A366),INDEX($R$6:$R$1505,$A366-3),"")</f>
        <v/>
      </c>
      <c r="E366">
        <f>IF(ISNUMBER($A366),$G$2,"")</f>
        <v/>
      </c>
      <c r="F366">
        <f>IF(ISNUMBER($A366),INDEX($Z$6:$Z$1505,$A366-3),"")</f>
        <v/>
      </c>
      <c r="G366">
        <f>IF(ISNUMBER($A366),INDEX($AA$6:$AA$1505,$A366-3),"")</f>
        <v/>
      </c>
      <c r="H366">
        <f>IF(ISNUMBER($A366),INDEX($U$6:$U$1505,$A366-3),"")</f>
        <v/>
      </c>
      <c r="I366">
        <f>IF(ISNUMBER($A366),INDEX($V$6:$V$1505,$A366-3),"")</f>
        <v/>
      </c>
      <c r="J366">
        <f>IF(ISNUMBER($A366),INDEX($W$6:$W$1505,$A366-3),"")</f>
        <v/>
      </c>
      <c r="K366">
        <f>IF(ISNUMBER($A366),INDEX($X$6:$X$1505,$A366-3),"")</f>
        <v/>
      </c>
      <c r="L366">
        <f>IF(ISNUMBER($A366),INDEX($Y$6:$Y$1505,$A366-3),"")</f>
        <v/>
      </c>
      <c r="O366">
        <f>364</f>
        <v/>
      </c>
      <c r="P366">
        <f>IF(TRIM('입력_구리근무자명단'!$A364&amp;"")&lt;&gt;"",TRIM('입력_구리근무자명단'!$A364&amp;""),P365)</f>
        <v/>
      </c>
      <c r="Q366">
        <f>'입력_구리근무자명단'!$B364&amp;""</f>
        <v/>
      </c>
      <c r="R366">
        <f>IF($E$2="","",TRIM(INDEX('입력_구리근무자명단'!$A364:$ZZ364,1,$E$2+IF($G$2="확정",1,0))&amp;""))</f>
        <v/>
      </c>
      <c r="S366">
        <f>IF($R366="","",IF(INDEX('입력_구리근무자명단'!$A364:$ZZ364,1,$E$2+2)&amp;""="",급여기준월,IF(ISNUMBER(INDEX('입력_구리근무자명단'!$A364:$ZZ364,1,$E$2+2)),INDEX('입력_구리근무자명단'!$A364:$ZZ364,1,$E$2+2),IFERROR(DATE(VALUE(LEFT(INDEX('입력_구리근무자명단'!$A364:$ZZ364,1,$E$2+2),4)),VALUE(MID(INDEX('입력_구리근무자명단'!$A364:$ZZ364,1,$E$2+2),6,2)),VALUE(MID(INDEX('입력_구리근무자명단'!$A364:$ZZ364,1,$E$2+2),9,2))),-1))))</f>
        <v/>
      </c>
      <c r="T366">
        <f>IF($R366="","",IF(INDEX('입력_구리근무자명단'!$A364:$ZZ364,1,$E$2+3)&amp;""="",EOMONTH(급여기준월,0),IF(ISNUMBER(INDEX('입력_구리근무자명단'!$A364:$ZZ364,1,$E$2+3)),INDEX('입력_구리근무자명단'!$A364:$ZZ364,1,$E$2+3),IFERROR(DATE(VALUE(LEFT(INDEX('입력_구리근무자명단'!$A364:$ZZ364,1,$E$2+3),4)),VALUE(MID(INDEX('입력_구리근무자명단'!$A364:$ZZ364,1,$E$2+3),6,2)),VALUE(MID(INDEX('입력_구리근무자명단'!$A364:$ZZ364,1,$E$2+3),9,2))),-1))))</f>
        <v/>
      </c>
      <c r="U366">
        <f>IF($R366="","",IF(OR($S366&lt;0,$T366&lt;0),0,MAX(0,MIN($T366,EOMONTH(급여기준월,0))-MAX($S366,급여기준월)+1)))</f>
        <v/>
      </c>
      <c r="V366">
        <f>IF($R366="","",TRIM(INDEX('입력_구리근무자명단'!$A364:$ZZ364,1,$E$2+5)&amp;""))</f>
        <v/>
      </c>
      <c r="W366">
        <f>IF(ISNUMBER(SEARCH("구리독자",$V366)),"구리독자","")</f>
        <v/>
      </c>
      <c r="X366">
        <f>IF($R366="","",$R366&amp;"|"&amp;IF(OR($Q366="인턴",ISNUMBER(SEARCH("수련교육부",$P366))),"인턴",$P366))</f>
        <v/>
      </c>
      <c r="Y366">
        <f>IF($R366="","",IF(COUNTIF(명단표[이름|과],$X366)=1,"명단 일치",IF(AND(COUNTIF(명단표[이름|과],$X366)=0,COUNTIF(명단표[이름],$R366)=1),"명단 일치(이름만, 과 다름)",IF(COUNTIF(명단표[이름],$R366)=0,IF(COUNTIF(기본자료표[이름],$R366)&gt;0,"명단에 없음(기본자료에는 있음)","명단에 없음"),"동명이인 확인"))))</f>
        <v/>
      </c>
      <c r="Z366">
        <f>IF($R366="","",IF($S366&lt;0,"⚠"&amp;INDEX('입력_구리근무자명단'!$A364:$ZZ364,1,$E$2+2),TEXT($S366,"yyyy-mm-dd")))</f>
        <v/>
      </c>
      <c r="AA366">
        <f>IF($R366="","",IF($T366&lt;0,"⚠"&amp;INDEX('입력_구리근무자명단'!$A364:$ZZ364,1,$E$2+3),TEXT($T366,"yyyy-mm-dd")))</f>
        <v/>
      </c>
      <c r="AB366">
        <f>AB365+IF($R366="",0,1)</f>
        <v/>
      </c>
      <c r="AC366">
        <f>IF($R366="","",$AB366)</f>
        <v/>
      </c>
    </row>
    <row r="367">
      <c r="A367">
        <f>IFERROR(INDEX($O$6:$O$1505,MATCH(362,$AC$6:$AC$1505,0)),"")</f>
        <v/>
      </c>
      <c r="B367">
        <f>IF(ISNUMBER($A367),INDEX($P$6:$P$1505,$A367-3),"")</f>
        <v/>
      </c>
      <c r="C367">
        <f>IF(ISNUMBER($A367),INDEX($Q$6:$Q$1505,$A367-3),"")</f>
        <v/>
      </c>
      <c r="D367">
        <f>IF(ISNUMBER($A367),INDEX($R$6:$R$1505,$A367-3),"")</f>
        <v/>
      </c>
      <c r="E367">
        <f>IF(ISNUMBER($A367),$G$2,"")</f>
        <v/>
      </c>
      <c r="F367">
        <f>IF(ISNUMBER($A367),INDEX($Z$6:$Z$1505,$A367-3),"")</f>
        <v/>
      </c>
      <c r="G367">
        <f>IF(ISNUMBER($A367),INDEX($AA$6:$AA$1505,$A367-3),"")</f>
        <v/>
      </c>
      <c r="H367">
        <f>IF(ISNUMBER($A367),INDEX($U$6:$U$1505,$A367-3),"")</f>
        <v/>
      </c>
      <c r="I367">
        <f>IF(ISNUMBER($A367),INDEX($V$6:$V$1505,$A367-3),"")</f>
        <v/>
      </c>
      <c r="J367">
        <f>IF(ISNUMBER($A367),INDEX($W$6:$W$1505,$A367-3),"")</f>
        <v/>
      </c>
      <c r="K367">
        <f>IF(ISNUMBER($A367),INDEX($X$6:$X$1505,$A367-3),"")</f>
        <v/>
      </c>
      <c r="L367">
        <f>IF(ISNUMBER($A367),INDEX($Y$6:$Y$1505,$A367-3),"")</f>
        <v/>
      </c>
      <c r="O367">
        <f>365</f>
        <v/>
      </c>
      <c r="P367">
        <f>IF(TRIM('입력_구리근무자명단'!$A365&amp;"")&lt;&gt;"",TRIM('입력_구리근무자명단'!$A365&amp;""),P366)</f>
        <v/>
      </c>
      <c r="Q367">
        <f>'입력_구리근무자명단'!$B365&amp;""</f>
        <v/>
      </c>
      <c r="R367">
        <f>IF($E$2="","",TRIM(INDEX('입력_구리근무자명단'!$A365:$ZZ365,1,$E$2+IF($G$2="확정",1,0))&amp;""))</f>
        <v/>
      </c>
      <c r="S367">
        <f>IF($R367="","",IF(INDEX('입력_구리근무자명단'!$A365:$ZZ365,1,$E$2+2)&amp;""="",급여기준월,IF(ISNUMBER(INDEX('입력_구리근무자명단'!$A365:$ZZ365,1,$E$2+2)),INDEX('입력_구리근무자명단'!$A365:$ZZ365,1,$E$2+2),IFERROR(DATE(VALUE(LEFT(INDEX('입력_구리근무자명단'!$A365:$ZZ365,1,$E$2+2),4)),VALUE(MID(INDEX('입력_구리근무자명단'!$A365:$ZZ365,1,$E$2+2),6,2)),VALUE(MID(INDEX('입력_구리근무자명단'!$A365:$ZZ365,1,$E$2+2),9,2))),-1))))</f>
        <v/>
      </c>
      <c r="T367">
        <f>IF($R367="","",IF(INDEX('입력_구리근무자명단'!$A365:$ZZ365,1,$E$2+3)&amp;""="",EOMONTH(급여기준월,0),IF(ISNUMBER(INDEX('입력_구리근무자명단'!$A365:$ZZ365,1,$E$2+3)),INDEX('입력_구리근무자명단'!$A365:$ZZ365,1,$E$2+3),IFERROR(DATE(VALUE(LEFT(INDEX('입력_구리근무자명단'!$A365:$ZZ365,1,$E$2+3),4)),VALUE(MID(INDEX('입력_구리근무자명단'!$A365:$ZZ365,1,$E$2+3),6,2)),VALUE(MID(INDEX('입력_구리근무자명단'!$A365:$ZZ365,1,$E$2+3),9,2))),-1))))</f>
        <v/>
      </c>
      <c r="U367">
        <f>IF($R367="","",IF(OR($S367&lt;0,$T367&lt;0),0,MAX(0,MIN($T367,EOMONTH(급여기준월,0))-MAX($S367,급여기준월)+1)))</f>
        <v/>
      </c>
      <c r="V367">
        <f>IF($R367="","",TRIM(INDEX('입력_구리근무자명단'!$A365:$ZZ365,1,$E$2+5)&amp;""))</f>
        <v/>
      </c>
      <c r="W367">
        <f>IF(ISNUMBER(SEARCH("구리독자",$V367)),"구리독자","")</f>
        <v/>
      </c>
      <c r="X367">
        <f>IF($R367="","",$R367&amp;"|"&amp;IF(OR($Q367="인턴",ISNUMBER(SEARCH("수련교육부",$P367))),"인턴",$P367))</f>
        <v/>
      </c>
      <c r="Y367">
        <f>IF($R367="","",IF(COUNTIF(명단표[이름|과],$X367)=1,"명단 일치",IF(AND(COUNTIF(명단표[이름|과],$X367)=0,COUNTIF(명단표[이름],$R367)=1),"명단 일치(이름만, 과 다름)",IF(COUNTIF(명단표[이름],$R367)=0,IF(COUNTIF(기본자료표[이름],$R367)&gt;0,"명단에 없음(기본자료에는 있음)","명단에 없음"),"동명이인 확인"))))</f>
        <v/>
      </c>
      <c r="Z367">
        <f>IF($R367="","",IF($S367&lt;0,"⚠"&amp;INDEX('입력_구리근무자명단'!$A365:$ZZ365,1,$E$2+2),TEXT($S367,"yyyy-mm-dd")))</f>
        <v/>
      </c>
      <c r="AA367">
        <f>IF($R367="","",IF($T367&lt;0,"⚠"&amp;INDEX('입력_구리근무자명단'!$A365:$ZZ365,1,$E$2+3),TEXT($T367,"yyyy-mm-dd")))</f>
        <v/>
      </c>
      <c r="AB367">
        <f>AB366+IF($R367="",0,1)</f>
        <v/>
      </c>
      <c r="AC367">
        <f>IF($R367="","",$AB367)</f>
        <v/>
      </c>
    </row>
    <row r="368">
      <c r="A368">
        <f>IFERROR(INDEX($O$6:$O$1505,MATCH(363,$AC$6:$AC$1505,0)),"")</f>
        <v/>
      </c>
      <c r="B368">
        <f>IF(ISNUMBER($A368),INDEX($P$6:$P$1505,$A368-3),"")</f>
        <v/>
      </c>
      <c r="C368">
        <f>IF(ISNUMBER($A368),INDEX($Q$6:$Q$1505,$A368-3),"")</f>
        <v/>
      </c>
      <c r="D368">
        <f>IF(ISNUMBER($A368),INDEX($R$6:$R$1505,$A368-3),"")</f>
        <v/>
      </c>
      <c r="E368">
        <f>IF(ISNUMBER($A368),$G$2,"")</f>
        <v/>
      </c>
      <c r="F368">
        <f>IF(ISNUMBER($A368),INDEX($Z$6:$Z$1505,$A368-3),"")</f>
        <v/>
      </c>
      <c r="G368">
        <f>IF(ISNUMBER($A368),INDEX($AA$6:$AA$1505,$A368-3),"")</f>
        <v/>
      </c>
      <c r="H368">
        <f>IF(ISNUMBER($A368),INDEX($U$6:$U$1505,$A368-3),"")</f>
        <v/>
      </c>
      <c r="I368">
        <f>IF(ISNUMBER($A368),INDEX($V$6:$V$1505,$A368-3),"")</f>
        <v/>
      </c>
      <c r="J368">
        <f>IF(ISNUMBER($A368),INDEX($W$6:$W$1505,$A368-3),"")</f>
        <v/>
      </c>
      <c r="K368">
        <f>IF(ISNUMBER($A368),INDEX($X$6:$X$1505,$A368-3),"")</f>
        <v/>
      </c>
      <c r="L368">
        <f>IF(ISNUMBER($A368),INDEX($Y$6:$Y$1505,$A368-3),"")</f>
        <v/>
      </c>
      <c r="O368">
        <f>366</f>
        <v/>
      </c>
      <c r="P368">
        <f>IF(TRIM('입력_구리근무자명단'!$A366&amp;"")&lt;&gt;"",TRIM('입력_구리근무자명단'!$A366&amp;""),P367)</f>
        <v/>
      </c>
      <c r="Q368">
        <f>'입력_구리근무자명단'!$B366&amp;""</f>
        <v/>
      </c>
      <c r="R368">
        <f>IF($E$2="","",TRIM(INDEX('입력_구리근무자명단'!$A366:$ZZ366,1,$E$2+IF($G$2="확정",1,0))&amp;""))</f>
        <v/>
      </c>
      <c r="S368">
        <f>IF($R368="","",IF(INDEX('입력_구리근무자명단'!$A366:$ZZ366,1,$E$2+2)&amp;""="",급여기준월,IF(ISNUMBER(INDEX('입력_구리근무자명단'!$A366:$ZZ366,1,$E$2+2)),INDEX('입력_구리근무자명단'!$A366:$ZZ366,1,$E$2+2),IFERROR(DATE(VALUE(LEFT(INDEX('입력_구리근무자명단'!$A366:$ZZ366,1,$E$2+2),4)),VALUE(MID(INDEX('입력_구리근무자명단'!$A366:$ZZ366,1,$E$2+2),6,2)),VALUE(MID(INDEX('입력_구리근무자명단'!$A366:$ZZ366,1,$E$2+2),9,2))),-1))))</f>
        <v/>
      </c>
      <c r="T368">
        <f>IF($R368="","",IF(INDEX('입력_구리근무자명단'!$A366:$ZZ366,1,$E$2+3)&amp;""="",EOMONTH(급여기준월,0),IF(ISNUMBER(INDEX('입력_구리근무자명단'!$A366:$ZZ366,1,$E$2+3)),INDEX('입력_구리근무자명단'!$A366:$ZZ366,1,$E$2+3),IFERROR(DATE(VALUE(LEFT(INDEX('입력_구리근무자명단'!$A366:$ZZ366,1,$E$2+3),4)),VALUE(MID(INDEX('입력_구리근무자명단'!$A366:$ZZ366,1,$E$2+3),6,2)),VALUE(MID(INDEX('입력_구리근무자명단'!$A366:$ZZ366,1,$E$2+3),9,2))),-1))))</f>
        <v/>
      </c>
      <c r="U368">
        <f>IF($R368="","",IF(OR($S368&lt;0,$T368&lt;0),0,MAX(0,MIN($T368,EOMONTH(급여기준월,0))-MAX($S368,급여기준월)+1)))</f>
        <v/>
      </c>
      <c r="V368">
        <f>IF($R368="","",TRIM(INDEX('입력_구리근무자명단'!$A366:$ZZ366,1,$E$2+5)&amp;""))</f>
        <v/>
      </c>
      <c r="W368">
        <f>IF(ISNUMBER(SEARCH("구리독자",$V368)),"구리독자","")</f>
        <v/>
      </c>
      <c r="X368">
        <f>IF($R368="","",$R368&amp;"|"&amp;IF(OR($Q368="인턴",ISNUMBER(SEARCH("수련교육부",$P368))),"인턴",$P368))</f>
        <v/>
      </c>
      <c r="Y368">
        <f>IF($R368="","",IF(COUNTIF(명단표[이름|과],$X368)=1,"명단 일치",IF(AND(COUNTIF(명단표[이름|과],$X368)=0,COUNTIF(명단표[이름],$R368)=1),"명단 일치(이름만, 과 다름)",IF(COUNTIF(명단표[이름],$R368)=0,IF(COUNTIF(기본자료표[이름],$R368)&gt;0,"명단에 없음(기본자료에는 있음)","명단에 없음"),"동명이인 확인"))))</f>
        <v/>
      </c>
      <c r="Z368">
        <f>IF($R368="","",IF($S368&lt;0,"⚠"&amp;INDEX('입력_구리근무자명단'!$A366:$ZZ366,1,$E$2+2),TEXT($S368,"yyyy-mm-dd")))</f>
        <v/>
      </c>
      <c r="AA368">
        <f>IF($R368="","",IF($T368&lt;0,"⚠"&amp;INDEX('입력_구리근무자명단'!$A366:$ZZ366,1,$E$2+3),TEXT($T368,"yyyy-mm-dd")))</f>
        <v/>
      </c>
      <c r="AB368">
        <f>AB367+IF($R368="",0,1)</f>
        <v/>
      </c>
      <c r="AC368">
        <f>IF($R368="","",$AB368)</f>
        <v/>
      </c>
    </row>
    <row r="369">
      <c r="A369">
        <f>IFERROR(INDEX($O$6:$O$1505,MATCH(364,$AC$6:$AC$1505,0)),"")</f>
        <v/>
      </c>
      <c r="B369">
        <f>IF(ISNUMBER($A369),INDEX($P$6:$P$1505,$A369-3),"")</f>
        <v/>
      </c>
      <c r="C369">
        <f>IF(ISNUMBER($A369),INDEX($Q$6:$Q$1505,$A369-3),"")</f>
        <v/>
      </c>
      <c r="D369">
        <f>IF(ISNUMBER($A369),INDEX($R$6:$R$1505,$A369-3),"")</f>
        <v/>
      </c>
      <c r="E369">
        <f>IF(ISNUMBER($A369),$G$2,"")</f>
        <v/>
      </c>
      <c r="F369">
        <f>IF(ISNUMBER($A369),INDEX($Z$6:$Z$1505,$A369-3),"")</f>
        <v/>
      </c>
      <c r="G369">
        <f>IF(ISNUMBER($A369),INDEX($AA$6:$AA$1505,$A369-3),"")</f>
        <v/>
      </c>
      <c r="H369">
        <f>IF(ISNUMBER($A369),INDEX($U$6:$U$1505,$A369-3),"")</f>
        <v/>
      </c>
      <c r="I369">
        <f>IF(ISNUMBER($A369),INDEX($V$6:$V$1505,$A369-3),"")</f>
        <v/>
      </c>
      <c r="J369">
        <f>IF(ISNUMBER($A369),INDEX($W$6:$W$1505,$A369-3),"")</f>
        <v/>
      </c>
      <c r="K369">
        <f>IF(ISNUMBER($A369),INDEX($X$6:$X$1505,$A369-3),"")</f>
        <v/>
      </c>
      <c r="L369">
        <f>IF(ISNUMBER($A369),INDEX($Y$6:$Y$1505,$A369-3),"")</f>
        <v/>
      </c>
      <c r="O369">
        <f>367</f>
        <v/>
      </c>
      <c r="P369">
        <f>IF(TRIM('입력_구리근무자명단'!$A367&amp;"")&lt;&gt;"",TRIM('입력_구리근무자명단'!$A367&amp;""),P368)</f>
        <v/>
      </c>
      <c r="Q369">
        <f>'입력_구리근무자명단'!$B367&amp;""</f>
        <v/>
      </c>
      <c r="R369">
        <f>IF($E$2="","",TRIM(INDEX('입력_구리근무자명단'!$A367:$ZZ367,1,$E$2+IF($G$2="확정",1,0))&amp;""))</f>
        <v/>
      </c>
      <c r="S369">
        <f>IF($R369="","",IF(INDEX('입력_구리근무자명단'!$A367:$ZZ367,1,$E$2+2)&amp;""="",급여기준월,IF(ISNUMBER(INDEX('입력_구리근무자명단'!$A367:$ZZ367,1,$E$2+2)),INDEX('입력_구리근무자명단'!$A367:$ZZ367,1,$E$2+2),IFERROR(DATE(VALUE(LEFT(INDEX('입력_구리근무자명단'!$A367:$ZZ367,1,$E$2+2),4)),VALUE(MID(INDEX('입력_구리근무자명단'!$A367:$ZZ367,1,$E$2+2),6,2)),VALUE(MID(INDEX('입력_구리근무자명단'!$A367:$ZZ367,1,$E$2+2),9,2))),-1))))</f>
        <v/>
      </c>
      <c r="T369">
        <f>IF($R369="","",IF(INDEX('입력_구리근무자명단'!$A367:$ZZ367,1,$E$2+3)&amp;""="",EOMONTH(급여기준월,0),IF(ISNUMBER(INDEX('입력_구리근무자명단'!$A367:$ZZ367,1,$E$2+3)),INDEX('입력_구리근무자명단'!$A367:$ZZ367,1,$E$2+3),IFERROR(DATE(VALUE(LEFT(INDEX('입력_구리근무자명단'!$A367:$ZZ367,1,$E$2+3),4)),VALUE(MID(INDEX('입력_구리근무자명단'!$A367:$ZZ367,1,$E$2+3),6,2)),VALUE(MID(INDEX('입력_구리근무자명단'!$A367:$ZZ367,1,$E$2+3),9,2))),-1))))</f>
        <v/>
      </c>
      <c r="U369">
        <f>IF($R369="","",IF(OR($S369&lt;0,$T369&lt;0),0,MAX(0,MIN($T369,EOMONTH(급여기준월,0))-MAX($S369,급여기준월)+1)))</f>
        <v/>
      </c>
      <c r="V369">
        <f>IF($R369="","",TRIM(INDEX('입력_구리근무자명단'!$A367:$ZZ367,1,$E$2+5)&amp;""))</f>
        <v/>
      </c>
      <c r="W369">
        <f>IF(ISNUMBER(SEARCH("구리독자",$V369)),"구리독자","")</f>
        <v/>
      </c>
      <c r="X369">
        <f>IF($R369="","",$R369&amp;"|"&amp;IF(OR($Q369="인턴",ISNUMBER(SEARCH("수련교육부",$P369))),"인턴",$P369))</f>
        <v/>
      </c>
      <c r="Y369">
        <f>IF($R369="","",IF(COUNTIF(명단표[이름|과],$X369)=1,"명단 일치",IF(AND(COUNTIF(명단표[이름|과],$X369)=0,COUNTIF(명단표[이름],$R369)=1),"명단 일치(이름만, 과 다름)",IF(COUNTIF(명단표[이름],$R369)=0,IF(COUNTIF(기본자료표[이름],$R369)&gt;0,"명단에 없음(기본자료에는 있음)","명단에 없음"),"동명이인 확인"))))</f>
        <v/>
      </c>
      <c r="Z369">
        <f>IF($R369="","",IF($S369&lt;0,"⚠"&amp;INDEX('입력_구리근무자명단'!$A367:$ZZ367,1,$E$2+2),TEXT($S369,"yyyy-mm-dd")))</f>
        <v/>
      </c>
      <c r="AA369">
        <f>IF($R369="","",IF($T369&lt;0,"⚠"&amp;INDEX('입력_구리근무자명단'!$A367:$ZZ367,1,$E$2+3),TEXT($T369,"yyyy-mm-dd")))</f>
        <v/>
      </c>
      <c r="AB369">
        <f>AB368+IF($R369="",0,1)</f>
        <v/>
      </c>
      <c r="AC369">
        <f>IF($R369="","",$AB369)</f>
        <v/>
      </c>
    </row>
    <row r="370">
      <c r="A370">
        <f>IFERROR(INDEX($O$6:$O$1505,MATCH(365,$AC$6:$AC$1505,0)),"")</f>
        <v/>
      </c>
      <c r="B370">
        <f>IF(ISNUMBER($A370),INDEX($P$6:$P$1505,$A370-3),"")</f>
        <v/>
      </c>
      <c r="C370">
        <f>IF(ISNUMBER($A370),INDEX($Q$6:$Q$1505,$A370-3),"")</f>
        <v/>
      </c>
      <c r="D370">
        <f>IF(ISNUMBER($A370),INDEX($R$6:$R$1505,$A370-3),"")</f>
        <v/>
      </c>
      <c r="E370">
        <f>IF(ISNUMBER($A370),$G$2,"")</f>
        <v/>
      </c>
      <c r="F370">
        <f>IF(ISNUMBER($A370),INDEX($Z$6:$Z$1505,$A370-3),"")</f>
        <v/>
      </c>
      <c r="G370">
        <f>IF(ISNUMBER($A370),INDEX($AA$6:$AA$1505,$A370-3),"")</f>
        <v/>
      </c>
      <c r="H370">
        <f>IF(ISNUMBER($A370),INDEX($U$6:$U$1505,$A370-3),"")</f>
        <v/>
      </c>
      <c r="I370">
        <f>IF(ISNUMBER($A370),INDEX($V$6:$V$1505,$A370-3),"")</f>
        <v/>
      </c>
      <c r="J370">
        <f>IF(ISNUMBER($A370),INDEX($W$6:$W$1505,$A370-3),"")</f>
        <v/>
      </c>
      <c r="K370">
        <f>IF(ISNUMBER($A370),INDEX($X$6:$X$1505,$A370-3),"")</f>
        <v/>
      </c>
      <c r="L370">
        <f>IF(ISNUMBER($A370),INDEX($Y$6:$Y$1505,$A370-3),"")</f>
        <v/>
      </c>
      <c r="O370">
        <f>368</f>
        <v/>
      </c>
      <c r="P370">
        <f>IF(TRIM('입력_구리근무자명단'!$A368&amp;"")&lt;&gt;"",TRIM('입력_구리근무자명단'!$A368&amp;""),P369)</f>
        <v/>
      </c>
      <c r="Q370">
        <f>'입력_구리근무자명단'!$B368&amp;""</f>
        <v/>
      </c>
      <c r="R370">
        <f>IF($E$2="","",TRIM(INDEX('입력_구리근무자명단'!$A368:$ZZ368,1,$E$2+IF($G$2="확정",1,0))&amp;""))</f>
        <v/>
      </c>
      <c r="S370">
        <f>IF($R370="","",IF(INDEX('입력_구리근무자명단'!$A368:$ZZ368,1,$E$2+2)&amp;""="",급여기준월,IF(ISNUMBER(INDEX('입력_구리근무자명단'!$A368:$ZZ368,1,$E$2+2)),INDEX('입력_구리근무자명단'!$A368:$ZZ368,1,$E$2+2),IFERROR(DATE(VALUE(LEFT(INDEX('입력_구리근무자명단'!$A368:$ZZ368,1,$E$2+2),4)),VALUE(MID(INDEX('입력_구리근무자명단'!$A368:$ZZ368,1,$E$2+2),6,2)),VALUE(MID(INDEX('입력_구리근무자명단'!$A368:$ZZ368,1,$E$2+2),9,2))),-1))))</f>
        <v/>
      </c>
      <c r="T370">
        <f>IF($R370="","",IF(INDEX('입력_구리근무자명단'!$A368:$ZZ368,1,$E$2+3)&amp;""="",EOMONTH(급여기준월,0),IF(ISNUMBER(INDEX('입력_구리근무자명단'!$A368:$ZZ368,1,$E$2+3)),INDEX('입력_구리근무자명단'!$A368:$ZZ368,1,$E$2+3),IFERROR(DATE(VALUE(LEFT(INDEX('입력_구리근무자명단'!$A368:$ZZ368,1,$E$2+3),4)),VALUE(MID(INDEX('입력_구리근무자명단'!$A368:$ZZ368,1,$E$2+3),6,2)),VALUE(MID(INDEX('입력_구리근무자명단'!$A368:$ZZ368,1,$E$2+3),9,2))),-1))))</f>
        <v/>
      </c>
      <c r="U370">
        <f>IF($R370="","",IF(OR($S370&lt;0,$T370&lt;0),0,MAX(0,MIN($T370,EOMONTH(급여기준월,0))-MAX($S370,급여기준월)+1)))</f>
        <v/>
      </c>
      <c r="V370">
        <f>IF($R370="","",TRIM(INDEX('입력_구리근무자명단'!$A368:$ZZ368,1,$E$2+5)&amp;""))</f>
        <v/>
      </c>
      <c r="W370">
        <f>IF(ISNUMBER(SEARCH("구리독자",$V370)),"구리독자","")</f>
        <v/>
      </c>
      <c r="X370">
        <f>IF($R370="","",$R370&amp;"|"&amp;IF(OR($Q370="인턴",ISNUMBER(SEARCH("수련교육부",$P370))),"인턴",$P370))</f>
        <v/>
      </c>
      <c r="Y370">
        <f>IF($R370="","",IF(COUNTIF(명단표[이름|과],$X370)=1,"명단 일치",IF(AND(COUNTIF(명단표[이름|과],$X370)=0,COUNTIF(명단표[이름],$R370)=1),"명단 일치(이름만, 과 다름)",IF(COUNTIF(명단표[이름],$R370)=0,IF(COUNTIF(기본자료표[이름],$R370)&gt;0,"명단에 없음(기본자료에는 있음)","명단에 없음"),"동명이인 확인"))))</f>
        <v/>
      </c>
      <c r="Z370">
        <f>IF($R370="","",IF($S370&lt;0,"⚠"&amp;INDEX('입력_구리근무자명단'!$A368:$ZZ368,1,$E$2+2),TEXT($S370,"yyyy-mm-dd")))</f>
        <v/>
      </c>
      <c r="AA370">
        <f>IF($R370="","",IF($T370&lt;0,"⚠"&amp;INDEX('입력_구리근무자명단'!$A368:$ZZ368,1,$E$2+3),TEXT($T370,"yyyy-mm-dd")))</f>
        <v/>
      </c>
      <c r="AB370">
        <f>AB369+IF($R370="",0,1)</f>
        <v/>
      </c>
      <c r="AC370">
        <f>IF($R370="","",$AB370)</f>
        <v/>
      </c>
    </row>
    <row r="371">
      <c r="A371">
        <f>IFERROR(INDEX($O$6:$O$1505,MATCH(366,$AC$6:$AC$1505,0)),"")</f>
        <v/>
      </c>
      <c r="B371">
        <f>IF(ISNUMBER($A371),INDEX($P$6:$P$1505,$A371-3),"")</f>
        <v/>
      </c>
      <c r="C371">
        <f>IF(ISNUMBER($A371),INDEX($Q$6:$Q$1505,$A371-3),"")</f>
        <v/>
      </c>
      <c r="D371">
        <f>IF(ISNUMBER($A371),INDEX($R$6:$R$1505,$A371-3),"")</f>
        <v/>
      </c>
      <c r="E371">
        <f>IF(ISNUMBER($A371),$G$2,"")</f>
        <v/>
      </c>
      <c r="F371">
        <f>IF(ISNUMBER($A371),INDEX($Z$6:$Z$1505,$A371-3),"")</f>
        <v/>
      </c>
      <c r="G371">
        <f>IF(ISNUMBER($A371),INDEX($AA$6:$AA$1505,$A371-3),"")</f>
        <v/>
      </c>
      <c r="H371">
        <f>IF(ISNUMBER($A371),INDEX($U$6:$U$1505,$A371-3),"")</f>
        <v/>
      </c>
      <c r="I371">
        <f>IF(ISNUMBER($A371),INDEX($V$6:$V$1505,$A371-3),"")</f>
        <v/>
      </c>
      <c r="J371">
        <f>IF(ISNUMBER($A371),INDEX($W$6:$W$1505,$A371-3),"")</f>
        <v/>
      </c>
      <c r="K371">
        <f>IF(ISNUMBER($A371),INDEX($X$6:$X$1505,$A371-3),"")</f>
        <v/>
      </c>
      <c r="L371">
        <f>IF(ISNUMBER($A371),INDEX($Y$6:$Y$1505,$A371-3),"")</f>
        <v/>
      </c>
      <c r="O371">
        <f>369</f>
        <v/>
      </c>
      <c r="P371">
        <f>IF(TRIM('입력_구리근무자명단'!$A369&amp;"")&lt;&gt;"",TRIM('입력_구리근무자명단'!$A369&amp;""),P370)</f>
        <v/>
      </c>
      <c r="Q371">
        <f>'입력_구리근무자명단'!$B369&amp;""</f>
        <v/>
      </c>
      <c r="R371">
        <f>IF($E$2="","",TRIM(INDEX('입력_구리근무자명단'!$A369:$ZZ369,1,$E$2+IF($G$2="확정",1,0))&amp;""))</f>
        <v/>
      </c>
      <c r="S371">
        <f>IF($R371="","",IF(INDEX('입력_구리근무자명단'!$A369:$ZZ369,1,$E$2+2)&amp;""="",급여기준월,IF(ISNUMBER(INDEX('입력_구리근무자명단'!$A369:$ZZ369,1,$E$2+2)),INDEX('입력_구리근무자명단'!$A369:$ZZ369,1,$E$2+2),IFERROR(DATE(VALUE(LEFT(INDEX('입력_구리근무자명단'!$A369:$ZZ369,1,$E$2+2),4)),VALUE(MID(INDEX('입력_구리근무자명단'!$A369:$ZZ369,1,$E$2+2),6,2)),VALUE(MID(INDEX('입력_구리근무자명단'!$A369:$ZZ369,1,$E$2+2),9,2))),-1))))</f>
        <v/>
      </c>
      <c r="T371">
        <f>IF($R371="","",IF(INDEX('입력_구리근무자명단'!$A369:$ZZ369,1,$E$2+3)&amp;""="",EOMONTH(급여기준월,0),IF(ISNUMBER(INDEX('입력_구리근무자명단'!$A369:$ZZ369,1,$E$2+3)),INDEX('입력_구리근무자명단'!$A369:$ZZ369,1,$E$2+3),IFERROR(DATE(VALUE(LEFT(INDEX('입력_구리근무자명단'!$A369:$ZZ369,1,$E$2+3),4)),VALUE(MID(INDEX('입력_구리근무자명단'!$A369:$ZZ369,1,$E$2+3),6,2)),VALUE(MID(INDEX('입력_구리근무자명단'!$A369:$ZZ369,1,$E$2+3),9,2))),-1))))</f>
        <v/>
      </c>
      <c r="U371">
        <f>IF($R371="","",IF(OR($S371&lt;0,$T371&lt;0),0,MAX(0,MIN($T371,EOMONTH(급여기준월,0))-MAX($S371,급여기준월)+1)))</f>
        <v/>
      </c>
      <c r="V371">
        <f>IF($R371="","",TRIM(INDEX('입력_구리근무자명단'!$A369:$ZZ369,1,$E$2+5)&amp;""))</f>
        <v/>
      </c>
      <c r="W371">
        <f>IF(ISNUMBER(SEARCH("구리독자",$V371)),"구리독자","")</f>
        <v/>
      </c>
      <c r="X371">
        <f>IF($R371="","",$R371&amp;"|"&amp;IF(OR($Q371="인턴",ISNUMBER(SEARCH("수련교육부",$P371))),"인턴",$P371))</f>
        <v/>
      </c>
      <c r="Y371">
        <f>IF($R371="","",IF(COUNTIF(명단표[이름|과],$X371)=1,"명단 일치",IF(AND(COUNTIF(명단표[이름|과],$X371)=0,COUNTIF(명단표[이름],$R371)=1),"명단 일치(이름만, 과 다름)",IF(COUNTIF(명단표[이름],$R371)=0,IF(COUNTIF(기본자료표[이름],$R371)&gt;0,"명단에 없음(기본자료에는 있음)","명단에 없음"),"동명이인 확인"))))</f>
        <v/>
      </c>
      <c r="Z371">
        <f>IF($R371="","",IF($S371&lt;0,"⚠"&amp;INDEX('입력_구리근무자명단'!$A369:$ZZ369,1,$E$2+2),TEXT($S371,"yyyy-mm-dd")))</f>
        <v/>
      </c>
      <c r="AA371">
        <f>IF($R371="","",IF($T371&lt;0,"⚠"&amp;INDEX('입력_구리근무자명단'!$A369:$ZZ369,1,$E$2+3),TEXT($T371,"yyyy-mm-dd")))</f>
        <v/>
      </c>
      <c r="AB371">
        <f>AB370+IF($R371="",0,1)</f>
        <v/>
      </c>
      <c r="AC371">
        <f>IF($R371="","",$AB371)</f>
        <v/>
      </c>
    </row>
    <row r="372">
      <c r="A372">
        <f>IFERROR(INDEX($O$6:$O$1505,MATCH(367,$AC$6:$AC$1505,0)),"")</f>
        <v/>
      </c>
      <c r="B372">
        <f>IF(ISNUMBER($A372),INDEX($P$6:$P$1505,$A372-3),"")</f>
        <v/>
      </c>
      <c r="C372">
        <f>IF(ISNUMBER($A372),INDEX($Q$6:$Q$1505,$A372-3),"")</f>
        <v/>
      </c>
      <c r="D372">
        <f>IF(ISNUMBER($A372),INDEX($R$6:$R$1505,$A372-3),"")</f>
        <v/>
      </c>
      <c r="E372">
        <f>IF(ISNUMBER($A372),$G$2,"")</f>
        <v/>
      </c>
      <c r="F372">
        <f>IF(ISNUMBER($A372),INDEX($Z$6:$Z$1505,$A372-3),"")</f>
        <v/>
      </c>
      <c r="G372">
        <f>IF(ISNUMBER($A372),INDEX($AA$6:$AA$1505,$A372-3),"")</f>
        <v/>
      </c>
      <c r="H372">
        <f>IF(ISNUMBER($A372),INDEX($U$6:$U$1505,$A372-3),"")</f>
        <v/>
      </c>
      <c r="I372">
        <f>IF(ISNUMBER($A372),INDEX($V$6:$V$1505,$A372-3),"")</f>
        <v/>
      </c>
      <c r="J372">
        <f>IF(ISNUMBER($A372),INDEX($W$6:$W$1505,$A372-3),"")</f>
        <v/>
      </c>
      <c r="K372">
        <f>IF(ISNUMBER($A372),INDEX($X$6:$X$1505,$A372-3),"")</f>
        <v/>
      </c>
      <c r="L372">
        <f>IF(ISNUMBER($A372),INDEX($Y$6:$Y$1505,$A372-3),"")</f>
        <v/>
      </c>
      <c r="O372">
        <f>370</f>
        <v/>
      </c>
      <c r="P372">
        <f>IF(TRIM('입력_구리근무자명단'!$A370&amp;"")&lt;&gt;"",TRIM('입력_구리근무자명단'!$A370&amp;""),P371)</f>
        <v/>
      </c>
      <c r="Q372">
        <f>'입력_구리근무자명단'!$B370&amp;""</f>
        <v/>
      </c>
      <c r="R372">
        <f>IF($E$2="","",TRIM(INDEX('입력_구리근무자명단'!$A370:$ZZ370,1,$E$2+IF($G$2="확정",1,0))&amp;""))</f>
        <v/>
      </c>
      <c r="S372">
        <f>IF($R372="","",IF(INDEX('입력_구리근무자명단'!$A370:$ZZ370,1,$E$2+2)&amp;""="",급여기준월,IF(ISNUMBER(INDEX('입력_구리근무자명단'!$A370:$ZZ370,1,$E$2+2)),INDEX('입력_구리근무자명단'!$A370:$ZZ370,1,$E$2+2),IFERROR(DATE(VALUE(LEFT(INDEX('입력_구리근무자명단'!$A370:$ZZ370,1,$E$2+2),4)),VALUE(MID(INDEX('입력_구리근무자명단'!$A370:$ZZ370,1,$E$2+2),6,2)),VALUE(MID(INDEX('입력_구리근무자명단'!$A370:$ZZ370,1,$E$2+2),9,2))),-1))))</f>
        <v/>
      </c>
      <c r="T372">
        <f>IF($R372="","",IF(INDEX('입력_구리근무자명단'!$A370:$ZZ370,1,$E$2+3)&amp;""="",EOMONTH(급여기준월,0),IF(ISNUMBER(INDEX('입력_구리근무자명단'!$A370:$ZZ370,1,$E$2+3)),INDEX('입력_구리근무자명단'!$A370:$ZZ370,1,$E$2+3),IFERROR(DATE(VALUE(LEFT(INDEX('입력_구리근무자명단'!$A370:$ZZ370,1,$E$2+3),4)),VALUE(MID(INDEX('입력_구리근무자명단'!$A370:$ZZ370,1,$E$2+3),6,2)),VALUE(MID(INDEX('입력_구리근무자명단'!$A370:$ZZ370,1,$E$2+3),9,2))),-1))))</f>
        <v/>
      </c>
      <c r="U372">
        <f>IF($R372="","",IF(OR($S372&lt;0,$T372&lt;0),0,MAX(0,MIN($T372,EOMONTH(급여기준월,0))-MAX($S372,급여기준월)+1)))</f>
        <v/>
      </c>
      <c r="V372">
        <f>IF($R372="","",TRIM(INDEX('입력_구리근무자명단'!$A370:$ZZ370,1,$E$2+5)&amp;""))</f>
        <v/>
      </c>
      <c r="W372">
        <f>IF(ISNUMBER(SEARCH("구리독자",$V372)),"구리독자","")</f>
        <v/>
      </c>
      <c r="X372">
        <f>IF($R372="","",$R372&amp;"|"&amp;IF(OR($Q372="인턴",ISNUMBER(SEARCH("수련교육부",$P372))),"인턴",$P372))</f>
        <v/>
      </c>
      <c r="Y372">
        <f>IF($R372="","",IF(COUNTIF(명단표[이름|과],$X372)=1,"명단 일치",IF(AND(COUNTIF(명단표[이름|과],$X372)=0,COUNTIF(명단표[이름],$R372)=1),"명단 일치(이름만, 과 다름)",IF(COUNTIF(명단표[이름],$R372)=0,IF(COUNTIF(기본자료표[이름],$R372)&gt;0,"명단에 없음(기본자료에는 있음)","명단에 없음"),"동명이인 확인"))))</f>
        <v/>
      </c>
      <c r="Z372">
        <f>IF($R372="","",IF($S372&lt;0,"⚠"&amp;INDEX('입력_구리근무자명단'!$A370:$ZZ370,1,$E$2+2),TEXT($S372,"yyyy-mm-dd")))</f>
        <v/>
      </c>
      <c r="AA372">
        <f>IF($R372="","",IF($T372&lt;0,"⚠"&amp;INDEX('입력_구리근무자명단'!$A370:$ZZ370,1,$E$2+3),TEXT($T372,"yyyy-mm-dd")))</f>
        <v/>
      </c>
      <c r="AB372">
        <f>AB371+IF($R372="",0,1)</f>
        <v/>
      </c>
      <c r="AC372">
        <f>IF($R372="","",$AB372)</f>
        <v/>
      </c>
    </row>
    <row r="373">
      <c r="A373">
        <f>IFERROR(INDEX($O$6:$O$1505,MATCH(368,$AC$6:$AC$1505,0)),"")</f>
        <v/>
      </c>
      <c r="B373">
        <f>IF(ISNUMBER($A373),INDEX($P$6:$P$1505,$A373-3),"")</f>
        <v/>
      </c>
      <c r="C373">
        <f>IF(ISNUMBER($A373),INDEX($Q$6:$Q$1505,$A373-3),"")</f>
        <v/>
      </c>
      <c r="D373">
        <f>IF(ISNUMBER($A373),INDEX($R$6:$R$1505,$A373-3),"")</f>
        <v/>
      </c>
      <c r="E373">
        <f>IF(ISNUMBER($A373),$G$2,"")</f>
        <v/>
      </c>
      <c r="F373">
        <f>IF(ISNUMBER($A373),INDEX($Z$6:$Z$1505,$A373-3),"")</f>
        <v/>
      </c>
      <c r="G373">
        <f>IF(ISNUMBER($A373),INDEX($AA$6:$AA$1505,$A373-3),"")</f>
        <v/>
      </c>
      <c r="H373">
        <f>IF(ISNUMBER($A373),INDEX($U$6:$U$1505,$A373-3),"")</f>
        <v/>
      </c>
      <c r="I373">
        <f>IF(ISNUMBER($A373),INDEX($V$6:$V$1505,$A373-3),"")</f>
        <v/>
      </c>
      <c r="J373">
        <f>IF(ISNUMBER($A373),INDEX($W$6:$W$1505,$A373-3),"")</f>
        <v/>
      </c>
      <c r="K373">
        <f>IF(ISNUMBER($A373),INDEX($X$6:$X$1505,$A373-3),"")</f>
        <v/>
      </c>
      <c r="L373">
        <f>IF(ISNUMBER($A373),INDEX($Y$6:$Y$1505,$A373-3),"")</f>
        <v/>
      </c>
      <c r="O373">
        <f>371</f>
        <v/>
      </c>
      <c r="P373">
        <f>IF(TRIM('입력_구리근무자명단'!$A371&amp;"")&lt;&gt;"",TRIM('입력_구리근무자명단'!$A371&amp;""),P372)</f>
        <v/>
      </c>
      <c r="Q373">
        <f>'입력_구리근무자명단'!$B371&amp;""</f>
        <v/>
      </c>
      <c r="R373">
        <f>IF($E$2="","",TRIM(INDEX('입력_구리근무자명단'!$A371:$ZZ371,1,$E$2+IF($G$2="확정",1,0))&amp;""))</f>
        <v/>
      </c>
      <c r="S373">
        <f>IF($R373="","",IF(INDEX('입력_구리근무자명단'!$A371:$ZZ371,1,$E$2+2)&amp;""="",급여기준월,IF(ISNUMBER(INDEX('입력_구리근무자명단'!$A371:$ZZ371,1,$E$2+2)),INDEX('입력_구리근무자명단'!$A371:$ZZ371,1,$E$2+2),IFERROR(DATE(VALUE(LEFT(INDEX('입력_구리근무자명단'!$A371:$ZZ371,1,$E$2+2),4)),VALUE(MID(INDEX('입력_구리근무자명단'!$A371:$ZZ371,1,$E$2+2),6,2)),VALUE(MID(INDEX('입력_구리근무자명단'!$A371:$ZZ371,1,$E$2+2),9,2))),-1))))</f>
        <v/>
      </c>
      <c r="T373">
        <f>IF($R373="","",IF(INDEX('입력_구리근무자명단'!$A371:$ZZ371,1,$E$2+3)&amp;""="",EOMONTH(급여기준월,0),IF(ISNUMBER(INDEX('입력_구리근무자명단'!$A371:$ZZ371,1,$E$2+3)),INDEX('입력_구리근무자명단'!$A371:$ZZ371,1,$E$2+3),IFERROR(DATE(VALUE(LEFT(INDEX('입력_구리근무자명단'!$A371:$ZZ371,1,$E$2+3),4)),VALUE(MID(INDEX('입력_구리근무자명단'!$A371:$ZZ371,1,$E$2+3),6,2)),VALUE(MID(INDEX('입력_구리근무자명단'!$A371:$ZZ371,1,$E$2+3),9,2))),-1))))</f>
        <v/>
      </c>
      <c r="U373">
        <f>IF($R373="","",IF(OR($S373&lt;0,$T373&lt;0),0,MAX(0,MIN($T373,EOMONTH(급여기준월,0))-MAX($S373,급여기준월)+1)))</f>
        <v/>
      </c>
      <c r="V373">
        <f>IF($R373="","",TRIM(INDEX('입력_구리근무자명단'!$A371:$ZZ371,1,$E$2+5)&amp;""))</f>
        <v/>
      </c>
      <c r="W373">
        <f>IF(ISNUMBER(SEARCH("구리독자",$V373)),"구리독자","")</f>
        <v/>
      </c>
      <c r="X373">
        <f>IF($R373="","",$R373&amp;"|"&amp;IF(OR($Q373="인턴",ISNUMBER(SEARCH("수련교육부",$P373))),"인턴",$P373))</f>
        <v/>
      </c>
      <c r="Y373">
        <f>IF($R373="","",IF(COUNTIF(명단표[이름|과],$X373)=1,"명단 일치",IF(AND(COUNTIF(명단표[이름|과],$X373)=0,COUNTIF(명단표[이름],$R373)=1),"명단 일치(이름만, 과 다름)",IF(COUNTIF(명단표[이름],$R373)=0,IF(COUNTIF(기본자료표[이름],$R373)&gt;0,"명단에 없음(기본자료에는 있음)","명단에 없음"),"동명이인 확인"))))</f>
        <v/>
      </c>
      <c r="Z373">
        <f>IF($R373="","",IF($S373&lt;0,"⚠"&amp;INDEX('입력_구리근무자명단'!$A371:$ZZ371,1,$E$2+2),TEXT($S373,"yyyy-mm-dd")))</f>
        <v/>
      </c>
      <c r="AA373">
        <f>IF($R373="","",IF($T373&lt;0,"⚠"&amp;INDEX('입력_구리근무자명단'!$A371:$ZZ371,1,$E$2+3),TEXT($T373,"yyyy-mm-dd")))</f>
        <v/>
      </c>
      <c r="AB373">
        <f>AB372+IF($R373="",0,1)</f>
        <v/>
      </c>
      <c r="AC373">
        <f>IF($R373="","",$AB373)</f>
        <v/>
      </c>
    </row>
    <row r="374">
      <c r="A374">
        <f>IFERROR(INDEX($O$6:$O$1505,MATCH(369,$AC$6:$AC$1505,0)),"")</f>
        <v/>
      </c>
      <c r="B374">
        <f>IF(ISNUMBER($A374),INDEX($P$6:$P$1505,$A374-3),"")</f>
        <v/>
      </c>
      <c r="C374">
        <f>IF(ISNUMBER($A374),INDEX($Q$6:$Q$1505,$A374-3),"")</f>
        <v/>
      </c>
      <c r="D374">
        <f>IF(ISNUMBER($A374),INDEX($R$6:$R$1505,$A374-3),"")</f>
        <v/>
      </c>
      <c r="E374">
        <f>IF(ISNUMBER($A374),$G$2,"")</f>
        <v/>
      </c>
      <c r="F374">
        <f>IF(ISNUMBER($A374),INDEX($Z$6:$Z$1505,$A374-3),"")</f>
        <v/>
      </c>
      <c r="G374">
        <f>IF(ISNUMBER($A374),INDEX($AA$6:$AA$1505,$A374-3),"")</f>
        <v/>
      </c>
      <c r="H374">
        <f>IF(ISNUMBER($A374),INDEX($U$6:$U$1505,$A374-3),"")</f>
        <v/>
      </c>
      <c r="I374">
        <f>IF(ISNUMBER($A374),INDEX($V$6:$V$1505,$A374-3),"")</f>
        <v/>
      </c>
      <c r="J374">
        <f>IF(ISNUMBER($A374),INDEX($W$6:$W$1505,$A374-3),"")</f>
        <v/>
      </c>
      <c r="K374">
        <f>IF(ISNUMBER($A374),INDEX($X$6:$X$1505,$A374-3),"")</f>
        <v/>
      </c>
      <c r="L374">
        <f>IF(ISNUMBER($A374),INDEX($Y$6:$Y$1505,$A374-3),"")</f>
        <v/>
      </c>
      <c r="O374">
        <f>372</f>
        <v/>
      </c>
      <c r="P374">
        <f>IF(TRIM('입력_구리근무자명단'!$A372&amp;"")&lt;&gt;"",TRIM('입력_구리근무자명단'!$A372&amp;""),P373)</f>
        <v/>
      </c>
      <c r="Q374">
        <f>'입력_구리근무자명단'!$B372&amp;""</f>
        <v/>
      </c>
      <c r="R374">
        <f>IF($E$2="","",TRIM(INDEX('입력_구리근무자명단'!$A372:$ZZ372,1,$E$2+IF($G$2="확정",1,0))&amp;""))</f>
        <v/>
      </c>
      <c r="S374">
        <f>IF($R374="","",IF(INDEX('입력_구리근무자명단'!$A372:$ZZ372,1,$E$2+2)&amp;""="",급여기준월,IF(ISNUMBER(INDEX('입력_구리근무자명단'!$A372:$ZZ372,1,$E$2+2)),INDEX('입력_구리근무자명단'!$A372:$ZZ372,1,$E$2+2),IFERROR(DATE(VALUE(LEFT(INDEX('입력_구리근무자명단'!$A372:$ZZ372,1,$E$2+2),4)),VALUE(MID(INDEX('입력_구리근무자명단'!$A372:$ZZ372,1,$E$2+2),6,2)),VALUE(MID(INDEX('입력_구리근무자명단'!$A372:$ZZ372,1,$E$2+2),9,2))),-1))))</f>
        <v/>
      </c>
      <c r="T374">
        <f>IF($R374="","",IF(INDEX('입력_구리근무자명단'!$A372:$ZZ372,1,$E$2+3)&amp;""="",EOMONTH(급여기준월,0),IF(ISNUMBER(INDEX('입력_구리근무자명단'!$A372:$ZZ372,1,$E$2+3)),INDEX('입력_구리근무자명단'!$A372:$ZZ372,1,$E$2+3),IFERROR(DATE(VALUE(LEFT(INDEX('입력_구리근무자명단'!$A372:$ZZ372,1,$E$2+3),4)),VALUE(MID(INDEX('입력_구리근무자명단'!$A372:$ZZ372,1,$E$2+3),6,2)),VALUE(MID(INDEX('입력_구리근무자명단'!$A372:$ZZ372,1,$E$2+3),9,2))),-1))))</f>
        <v/>
      </c>
      <c r="U374">
        <f>IF($R374="","",IF(OR($S374&lt;0,$T374&lt;0),0,MAX(0,MIN($T374,EOMONTH(급여기준월,0))-MAX($S374,급여기준월)+1)))</f>
        <v/>
      </c>
      <c r="V374">
        <f>IF($R374="","",TRIM(INDEX('입력_구리근무자명단'!$A372:$ZZ372,1,$E$2+5)&amp;""))</f>
        <v/>
      </c>
      <c r="W374">
        <f>IF(ISNUMBER(SEARCH("구리독자",$V374)),"구리독자","")</f>
        <v/>
      </c>
      <c r="X374">
        <f>IF($R374="","",$R374&amp;"|"&amp;IF(OR($Q374="인턴",ISNUMBER(SEARCH("수련교육부",$P374))),"인턴",$P374))</f>
        <v/>
      </c>
      <c r="Y374">
        <f>IF($R374="","",IF(COUNTIF(명단표[이름|과],$X374)=1,"명단 일치",IF(AND(COUNTIF(명단표[이름|과],$X374)=0,COUNTIF(명단표[이름],$R374)=1),"명단 일치(이름만, 과 다름)",IF(COUNTIF(명단표[이름],$R374)=0,IF(COUNTIF(기본자료표[이름],$R374)&gt;0,"명단에 없음(기본자료에는 있음)","명단에 없음"),"동명이인 확인"))))</f>
        <v/>
      </c>
      <c r="Z374">
        <f>IF($R374="","",IF($S374&lt;0,"⚠"&amp;INDEX('입력_구리근무자명단'!$A372:$ZZ372,1,$E$2+2),TEXT($S374,"yyyy-mm-dd")))</f>
        <v/>
      </c>
      <c r="AA374">
        <f>IF($R374="","",IF($T374&lt;0,"⚠"&amp;INDEX('입력_구리근무자명단'!$A372:$ZZ372,1,$E$2+3),TEXT($T374,"yyyy-mm-dd")))</f>
        <v/>
      </c>
      <c r="AB374">
        <f>AB373+IF($R374="",0,1)</f>
        <v/>
      </c>
      <c r="AC374">
        <f>IF($R374="","",$AB374)</f>
        <v/>
      </c>
    </row>
    <row r="375">
      <c r="A375">
        <f>IFERROR(INDEX($O$6:$O$1505,MATCH(370,$AC$6:$AC$1505,0)),"")</f>
        <v/>
      </c>
      <c r="B375">
        <f>IF(ISNUMBER($A375),INDEX($P$6:$P$1505,$A375-3),"")</f>
        <v/>
      </c>
      <c r="C375">
        <f>IF(ISNUMBER($A375),INDEX($Q$6:$Q$1505,$A375-3),"")</f>
        <v/>
      </c>
      <c r="D375">
        <f>IF(ISNUMBER($A375),INDEX($R$6:$R$1505,$A375-3),"")</f>
        <v/>
      </c>
      <c r="E375">
        <f>IF(ISNUMBER($A375),$G$2,"")</f>
        <v/>
      </c>
      <c r="F375">
        <f>IF(ISNUMBER($A375),INDEX($Z$6:$Z$1505,$A375-3),"")</f>
        <v/>
      </c>
      <c r="G375">
        <f>IF(ISNUMBER($A375),INDEX($AA$6:$AA$1505,$A375-3),"")</f>
        <v/>
      </c>
      <c r="H375">
        <f>IF(ISNUMBER($A375),INDEX($U$6:$U$1505,$A375-3),"")</f>
        <v/>
      </c>
      <c r="I375">
        <f>IF(ISNUMBER($A375),INDEX($V$6:$V$1505,$A375-3),"")</f>
        <v/>
      </c>
      <c r="J375">
        <f>IF(ISNUMBER($A375),INDEX($W$6:$W$1505,$A375-3),"")</f>
        <v/>
      </c>
      <c r="K375">
        <f>IF(ISNUMBER($A375),INDEX($X$6:$X$1505,$A375-3),"")</f>
        <v/>
      </c>
      <c r="L375">
        <f>IF(ISNUMBER($A375),INDEX($Y$6:$Y$1505,$A375-3),"")</f>
        <v/>
      </c>
      <c r="O375">
        <f>373</f>
        <v/>
      </c>
      <c r="P375">
        <f>IF(TRIM('입력_구리근무자명단'!$A373&amp;"")&lt;&gt;"",TRIM('입력_구리근무자명단'!$A373&amp;""),P374)</f>
        <v/>
      </c>
      <c r="Q375">
        <f>'입력_구리근무자명단'!$B373&amp;""</f>
        <v/>
      </c>
      <c r="R375">
        <f>IF($E$2="","",TRIM(INDEX('입력_구리근무자명단'!$A373:$ZZ373,1,$E$2+IF($G$2="확정",1,0))&amp;""))</f>
        <v/>
      </c>
      <c r="S375">
        <f>IF($R375="","",IF(INDEX('입력_구리근무자명단'!$A373:$ZZ373,1,$E$2+2)&amp;""="",급여기준월,IF(ISNUMBER(INDEX('입력_구리근무자명단'!$A373:$ZZ373,1,$E$2+2)),INDEX('입력_구리근무자명단'!$A373:$ZZ373,1,$E$2+2),IFERROR(DATE(VALUE(LEFT(INDEX('입력_구리근무자명단'!$A373:$ZZ373,1,$E$2+2),4)),VALUE(MID(INDEX('입력_구리근무자명단'!$A373:$ZZ373,1,$E$2+2),6,2)),VALUE(MID(INDEX('입력_구리근무자명단'!$A373:$ZZ373,1,$E$2+2),9,2))),-1))))</f>
        <v/>
      </c>
      <c r="T375">
        <f>IF($R375="","",IF(INDEX('입력_구리근무자명단'!$A373:$ZZ373,1,$E$2+3)&amp;""="",EOMONTH(급여기준월,0),IF(ISNUMBER(INDEX('입력_구리근무자명단'!$A373:$ZZ373,1,$E$2+3)),INDEX('입력_구리근무자명단'!$A373:$ZZ373,1,$E$2+3),IFERROR(DATE(VALUE(LEFT(INDEX('입력_구리근무자명단'!$A373:$ZZ373,1,$E$2+3),4)),VALUE(MID(INDEX('입력_구리근무자명단'!$A373:$ZZ373,1,$E$2+3),6,2)),VALUE(MID(INDEX('입력_구리근무자명단'!$A373:$ZZ373,1,$E$2+3),9,2))),-1))))</f>
        <v/>
      </c>
      <c r="U375">
        <f>IF($R375="","",IF(OR($S375&lt;0,$T375&lt;0),0,MAX(0,MIN($T375,EOMONTH(급여기준월,0))-MAX($S375,급여기준월)+1)))</f>
        <v/>
      </c>
      <c r="V375">
        <f>IF($R375="","",TRIM(INDEX('입력_구리근무자명단'!$A373:$ZZ373,1,$E$2+5)&amp;""))</f>
        <v/>
      </c>
      <c r="W375">
        <f>IF(ISNUMBER(SEARCH("구리독자",$V375)),"구리독자","")</f>
        <v/>
      </c>
      <c r="X375">
        <f>IF($R375="","",$R375&amp;"|"&amp;IF(OR($Q375="인턴",ISNUMBER(SEARCH("수련교육부",$P375))),"인턴",$P375))</f>
        <v/>
      </c>
      <c r="Y375">
        <f>IF($R375="","",IF(COUNTIF(명단표[이름|과],$X375)=1,"명단 일치",IF(AND(COUNTIF(명단표[이름|과],$X375)=0,COUNTIF(명단표[이름],$R375)=1),"명단 일치(이름만, 과 다름)",IF(COUNTIF(명단표[이름],$R375)=0,IF(COUNTIF(기본자료표[이름],$R375)&gt;0,"명단에 없음(기본자료에는 있음)","명단에 없음"),"동명이인 확인"))))</f>
        <v/>
      </c>
      <c r="Z375">
        <f>IF($R375="","",IF($S375&lt;0,"⚠"&amp;INDEX('입력_구리근무자명단'!$A373:$ZZ373,1,$E$2+2),TEXT($S375,"yyyy-mm-dd")))</f>
        <v/>
      </c>
      <c r="AA375">
        <f>IF($R375="","",IF($T375&lt;0,"⚠"&amp;INDEX('입력_구리근무자명단'!$A373:$ZZ373,1,$E$2+3),TEXT($T375,"yyyy-mm-dd")))</f>
        <v/>
      </c>
      <c r="AB375">
        <f>AB374+IF($R375="",0,1)</f>
        <v/>
      </c>
      <c r="AC375">
        <f>IF($R375="","",$AB375)</f>
        <v/>
      </c>
    </row>
    <row r="376">
      <c r="A376">
        <f>IFERROR(INDEX($O$6:$O$1505,MATCH(371,$AC$6:$AC$1505,0)),"")</f>
        <v/>
      </c>
      <c r="B376">
        <f>IF(ISNUMBER($A376),INDEX($P$6:$P$1505,$A376-3),"")</f>
        <v/>
      </c>
      <c r="C376">
        <f>IF(ISNUMBER($A376),INDEX($Q$6:$Q$1505,$A376-3),"")</f>
        <v/>
      </c>
      <c r="D376">
        <f>IF(ISNUMBER($A376),INDEX($R$6:$R$1505,$A376-3),"")</f>
        <v/>
      </c>
      <c r="E376">
        <f>IF(ISNUMBER($A376),$G$2,"")</f>
        <v/>
      </c>
      <c r="F376">
        <f>IF(ISNUMBER($A376),INDEX($Z$6:$Z$1505,$A376-3),"")</f>
        <v/>
      </c>
      <c r="G376">
        <f>IF(ISNUMBER($A376),INDEX($AA$6:$AA$1505,$A376-3),"")</f>
        <v/>
      </c>
      <c r="H376">
        <f>IF(ISNUMBER($A376),INDEX($U$6:$U$1505,$A376-3),"")</f>
        <v/>
      </c>
      <c r="I376">
        <f>IF(ISNUMBER($A376),INDEX($V$6:$V$1505,$A376-3),"")</f>
        <v/>
      </c>
      <c r="J376">
        <f>IF(ISNUMBER($A376),INDEX($W$6:$W$1505,$A376-3),"")</f>
        <v/>
      </c>
      <c r="K376">
        <f>IF(ISNUMBER($A376),INDEX($X$6:$X$1505,$A376-3),"")</f>
        <v/>
      </c>
      <c r="L376">
        <f>IF(ISNUMBER($A376),INDEX($Y$6:$Y$1505,$A376-3),"")</f>
        <v/>
      </c>
      <c r="O376">
        <f>374</f>
        <v/>
      </c>
      <c r="P376">
        <f>IF(TRIM('입력_구리근무자명단'!$A374&amp;"")&lt;&gt;"",TRIM('입력_구리근무자명단'!$A374&amp;""),P375)</f>
        <v/>
      </c>
      <c r="Q376">
        <f>'입력_구리근무자명단'!$B374&amp;""</f>
        <v/>
      </c>
      <c r="R376">
        <f>IF($E$2="","",TRIM(INDEX('입력_구리근무자명단'!$A374:$ZZ374,1,$E$2+IF($G$2="확정",1,0))&amp;""))</f>
        <v/>
      </c>
      <c r="S376">
        <f>IF($R376="","",IF(INDEX('입력_구리근무자명단'!$A374:$ZZ374,1,$E$2+2)&amp;""="",급여기준월,IF(ISNUMBER(INDEX('입력_구리근무자명단'!$A374:$ZZ374,1,$E$2+2)),INDEX('입력_구리근무자명단'!$A374:$ZZ374,1,$E$2+2),IFERROR(DATE(VALUE(LEFT(INDEX('입력_구리근무자명단'!$A374:$ZZ374,1,$E$2+2),4)),VALUE(MID(INDEX('입력_구리근무자명단'!$A374:$ZZ374,1,$E$2+2),6,2)),VALUE(MID(INDEX('입력_구리근무자명단'!$A374:$ZZ374,1,$E$2+2),9,2))),-1))))</f>
        <v/>
      </c>
      <c r="T376">
        <f>IF($R376="","",IF(INDEX('입력_구리근무자명단'!$A374:$ZZ374,1,$E$2+3)&amp;""="",EOMONTH(급여기준월,0),IF(ISNUMBER(INDEX('입력_구리근무자명단'!$A374:$ZZ374,1,$E$2+3)),INDEX('입력_구리근무자명단'!$A374:$ZZ374,1,$E$2+3),IFERROR(DATE(VALUE(LEFT(INDEX('입력_구리근무자명단'!$A374:$ZZ374,1,$E$2+3),4)),VALUE(MID(INDEX('입력_구리근무자명단'!$A374:$ZZ374,1,$E$2+3),6,2)),VALUE(MID(INDEX('입력_구리근무자명단'!$A374:$ZZ374,1,$E$2+3),9,2))),-1))))</f>
        <v/>
      </c>
      <c r="U376">
        <f>IF($R376="","",IF(OR($S376&lt;0,$T376&lt;0),0,MAX(0,MIN($T376,EOMONTH(급여기준월,0))-MAX($S376,급여기준월)+1)))</f>
        <v/>
      </c>
      <c r="V376">
        <f>IF($R376="","",TRIM(INDEX('입력_구리근무자명단'!$A374:$ZZ374,1,$E$2+5)&amp;""))</f>
        <v/>
      </c>
      <c r="W376">
        <f>IF(ISNUMBER(SEARCH("구리독자",$V376)),"구리독자","")</f>
        <v/>
      </c>
      <c r="X376">
        <f>IF($R376="","",$R376&amp;"|"&amp;IF(OR($Q376="인턴",ISNUMBER(SEARCH("수련교육부",$P376))),"인턴",$P376))</f>
        <v/>
      </c>
      <c r="Y376">
        <f>IF($R376="","",IF(COUNTIF(명단표[이름|과],$X376)=1,"명단 일치",IF(AND(COUNTIF(명단표[이름|과],$X376)=0,COUNTIF(명단표[이름],$R376)=1),"명단 일치(이름만, 과 다름)",IF(COUNTIF(명단표[이름],$R376)=0,IF(COUNTIF(기본자료표[이름],$R376)&gt;0,"명단에 없음(기본자료에는 있음)","명단에 없음"),"동명이인 확인"))))</f>
        <v/>
      </c>
      <c r="Z376">
        <f>IF($R376="","",IF($S376&lt;0,"⚠"&amp;INDEX('입력_구리근무자명단'!$A374:$ZZ374,1,$E$2+2),TEXT($S376,"yyyy-mm-dd")))</f>
        <v/>
      </c>
      <c r="AA376">
        <f>IF($R376="","",IF($T376&lt;0,"⚠"&amp;INDEX('입력_구리근무자명단'!$A374:$ZZ374,1,$E$2+3),TEXT($T376,"yyyy-mm-dd")))</f>
        <v/>
      </c>
      <c r="AB376">
        <f>AB375+IF($R376="",0,1)</f>
        <v/>
      </c>
      <c r="AC376">
        <f>IF($R376="","",$AB376)</f>
        <v/>
      </c>
    </row>
    <row r="377">
      <c r="A377">
        <f>IFERROR(INDEX($O$6:$O$1505,MATCH(372,$AC$6:$AC$1505,0)),"")</f>
        <v/>
      </c>
      <c r="B377">
        <f>IF(ISNUMBER($A377),INDEX($P$6:$P$1505,$A377-3),"")</f>
        <v/>
      </c>
      <c r="C377">
        <f>IF(ISNUMBER($A377),INDEX($Q$6:$Q$1505,$A377-3),"")</f>
        <v/>
      </c>
      <c r="D377">
        <f>IF(ISNUMBER($A377),INDEX($R$6:$R$1505,$A377-3),"")</f>
        <v/>
      </c>
      <c r="E377">
        <f>IF(ISNUMBER($A377),$G$2,"")</f>
        <v/>
      </c>
      <c r="F377">
        <f>IF(ISNUMBER($A377),INDEX($Z$6:$Z$1505,$A377-3),"")</f>
        <v/>
      </c>
      <c r="G377">
        <f>IF(ISNUMBER($A377),INDEX($AA$6:$AA$1505,$A377-3),"")</f>
        <v/>
      </c>
      <c r="H377">
        <f>IF(ISNUMBER($A377),INDEX($U$6:$U$1505,$A377-3),"")</f>
        <v/>
      </c>
      <c r="I377">
        <f>IF(ISNUMBER($A377),INDEX($V$6:$V$1505,$A377-3),"")</f>
        <v/>
      </c>
      <c r="J377">
        <f>IF(ISNUMBER($A377),INDEX($W$6:$W$1505,$A377-3),"")</f>
        <v/>
      </c>
      <c r="K377">
        <f>IF(ISNUMBER($A377),INDEX($X$6:$X$1505,$A377-3),"")</f>
        <v/>
      </c>
      <c r="L377">
        <f>IF(ISNUMBER($A377),INDEX($Y$6:$Y$1505,$A377-3),"")</f>
        <v/>
      </c>
      <c r="O377">
        <f>375</f>
        <v/>
      </c>
      <c r="P377">
        <f>IF(TRIM('입력_구리근무자명단'!$A375&amp;"")&lt;&gt;"",TRIM('입력_구리근무자명단'!$A375&amp;""),P376)</f>
        <v/>
      </c>
      <c r="Q377">
        <f>'입력_구리근무자명단'!$B375&amp;""</f>
        <v/>
      </c>
      <c r="R377">
        <f>IF($E$2="","",TRIM(INDEX('입력_구리근무자명단'!$A375:$ZZ375,1,$E$2+IF($G$2="확정",1,0))&amp;""))</f>
        <v/>
      </c>
      <c r="S377">
        <f>IF($R377="","",IF(INDEX('입력_구리근무자명단'!$A375:$ZZ375,1,$E$2+2)&amp;""="",급여기준월,IF(ISNUMBER(INDEX('입력_구리근무자명단'!$A375:$ZZ375,1,$E$2+2)),INDEX('입력_구리근무자명단'!$A375:$ZZ375,1,$E$2+2),IFERROR(DATE(VALUE(LEFT(INDEX('입력_구리근무자명단'!$A375:$ZZ375,1,$E$2+2),4)),VALUE(MID(INDEX('입력_구리근무자명단'!$A375:$ZZ375,1,$E$2+2),6,2)),VALUE(MID(INDEX('입력_구리근무자명단'!$A375:$ZZ375,1,$E$2+2),9,2))),-1))))</f>
        <v/>
      </c>
      <c r="T377">
        <f>IF($R377="","",IF(INDEX('입력_구리근무자명단'!$A375:$ZZ375,1,$E$2+3)&amp;""="",EOMONTH(급여기준월,0),IF(ISNUMBER(INDEX('입력_구리근무자명단'!$A375:$ZZ375,1,$E$2+3)),INDEX('입력_구리근무자명단'!$A375:$ZZ375,1,$E$2+3),IFERROR(DATE(VALUE(LEFT(INDEX('입력_구리근무자명단'!$A375:$ZZ375,1,$E$2+3),4)),VALUE(MID(INDEX('입력_구리근무자명단'!$A375:$ZZ375,1,$E$2+3),6,2)),VALUE(MID(INDEX('입력_구리근무자명단'!$A375:$ZZ375,1,$E$2+3),9,2))),-1))))</f>
        <v/>
      </c>
      <c r="U377">
        <f>IF($R377="","",IF(OR($S377&lt;0,$T377&lt;0),0,MAX(0,MIN($T377,EOMONTH(급여기준월,0))-MAX($S377,급여기준월)+1)))</f>
        <v/>
      </c>
      <c r="V377">
        <f>IF($R377="","",TRIM(INDEX('입력_구리근무자명단'!$A375:$ZZ375,1,$E$2+5)&amp;""))</f>
        <v/>
      </c>
      <c r="W377">
        <f>IF(ISNUMBER(SEARCH("구리독자",$V377)),"구리독자","")</f>
        <v/>
      </c>
      <c r="X377">
        <f>IF($R377="","",$R377&amp;"|"&amp;IF(OR($Q377="인턴",ISNUMBER(SEARCH("수련교육부",$P377))),"인턴",$P377))</f>
        <v/>
      </c>
      <c r="Y377">
        <f>IF($R377="","",IF(COUNTIF(명단표[이름|과],$X377)=1,"명단 일치",IF(AND(COUNTIF(명단표[이름|과],$X377)=0,COUNTIF(명단표[이름],$R377)=1),"명단 일치(이름만, 과 다름)",IF(COUNTIF(명단표[이름],$R377)=0,IF(COUNTIF(기본자료표[이름],$R377)&gt;0,"명단에 없음(기본자료에는 있음)","명단에 없음"),"동명이인 확인"))))</f>
        <v/>
      </c>
      <c r="Z377">
        <f>IF($R377="","",IF($S377&lt;0,"⚠"&amp;INDEX('입력_구리근무자명단'!$A375:$ZZ375,1,$E$2+2),TEXT($S377,"yyyy-mm-dd")))</f>
        <v/>
      </c>
      <c r="AA377">
        <f>IF($R377="","",IF($T377&lt;0,"⚠"&amp;INDEX('입력_구리근무자명단'!$A375:$ZZ375,1,$E$2+3),TEXT($T377,"yyyy-mm-dd")))</f>
        <v/>
      </c>
      <c r="AB377">
        <f>AB376+IF($R377="",0,1)</f>
        <v/>
      </c>
      <c r="AC377">
        <f>IF($R377="","",$AB377)</f>
        <v/>
      </c>
    </row>
    <row r="378">
      <c r="A378">
        <f>IFERROR(INDEX($O$6:$O$1505,MATCH(373,$AC$6:$AC$1505,0)),"")</f>
        <v/>
      </c>
      <c r="B378">
        <f>IF(ISNUMBER($A378),INDEX($P$6:$P$1505,$A378-3),"")</f>
        <v/>
      </c>
      <c r="C378">
        <f>IF(ISNUMBER($A378),INDEX($Q$6:$Q$1505,$A378-3),"")</f>
        <v/>
      </c>
      <c r="D378">
        <f>IF(ISNUMBER($A378),INDEX($R$6:$R$1505,$A378-3),"")</f>
        <v/>
      </c>
      <c r="E378">
        <f>IF(ISNUMBER($A378),$G$2,"")</f>
        <v/>
      </c>
      <c r="F378">
        <f>IF(ISNUMBER($A378),INDEX($Z$6:$Z$1505,$A378-3),"")</f>
        <v/>
      </c>
      <c r="G378">
        <f>IF(ISNUMBER($A378),INDEX($AA$6:$AA$1505,$A378-3),"")</f>
        <v/>
      </c>
      <c r="H378">
        <f>IF(ISNUMBER($A378),INDEX($U$6:$U$1505,$A378-3),"")</f>
        <v/>
      </c>
      <c r="I378">
        <f>IF(ISNUMBER($A378),INDEX($V$6:$V$1505,$A378-3),"")</f>
        <v/>
      </c>
      <c r="J378">
        <f>IF(ISNUMBER($A378),INDEX($W$6:$W$1505,$A378-3),"")</f>
        <v/>
      </c>
      <c r="K378">
        <f>IF(ISNUMBER($A378),INDEX($X$6:$X$1505,$A378-3),"")</f>
        <v/>
      </c>
      <c r="L378">
        <f>IF(ISNUMBER($A378),INDEX($Y$6:$Y$1505,$A378-3),"")</f>
        <v/>
      </c>
      <c r="O378">
        <f>376</f>
        <v/>
      </c>
      <c r="P378">
        <f>IF(TRIM('입력_구리근무자명단'!$A376&amp;"")&lt;&gt;"",TRIM('입력_구리근무자명단'!$A376&amp;""),P377)</f>
        <v/>
      </c>
      <c r="Q378">
        <f>'입력_구리근무자명단'!$B376&amp;""</f>
        <v/>
      </c>
      <c r="R378">
        <f>IF($E$2="","",TRIM(INDEX('입력_구리근무자명단'!$A376:$ZZ376,1,$E$2+IF($G$2="확정",1,0))&amp;""))</f>
        <v/>
      </c>
      <c r="S378">
        <f>IF($R378="","",IF(INDEX('입력_구리근무자명단'!$A376:$ZZ376,1,$E$2+2)&amp;""="",급여기준월,IF(ISNUMBER(INDEX('입력_구리근무자명단'!$A376:$ZZ376,1,$E$2+2)),INDEX('입력_구리근무자명단'!$A376:$ZZ376,1,$E$2+2),IFERROR(DATE(VALUE(LEFT(INDEX('입력_구리근무자명단'!$A376:$ZZ376,1,$E$2+2),4)),VALUE(MID(INDEX('입력_구리근무자명단'!$A376:$ZZ376,1,$E$2+2),6,2)),VALUE(MID(INDEX('입력_구리근무자명단'!$A376:$ZZ376,1,$E$2+2),9,2))),-1))))</f>
        <v/>
      </c>
      <c r="T378">
        <f>IF($R378="","",IF(INDEX('입력_구리근무자명단'!$A376:$ZZ376,1,$E$2+3)&amp;""="",EOMONTH(급여기준월,0),IF(ISNUMBER(INDEX('입력_구리근무자명단'!$A376:$ZZ376,1,$E$2+3)),INDEX('입력_구리근무자명단'!$A376:$ZZ376,1,$E$2+3),IFERROR(DATE(VALUE(LEFT(INDEX('입력_구리근무자명단'!$A376:$ZZ376,1,$E$2+3),4)),VALUE(MID(INDEX('입력_구리근무자명단'!$A376:$ZZ376,1,$E$2+3),6,2)),VALUE(MID(INDEX('입력_구리근무자명단'!$A376:$ZZ376,1,$E$2+3),9,2))),-1))))</f>
        <v/>
      </c>
      <c r="U378">
        <f>IF($R378="","",IF(OR($S378&lt;0,$T378&lt;0),0,MAX(0,MIN($T378,EOMONTH(급여기준월,0))-MAX($S378,급여기준월)+1)))</f>
        <v/>
      </c>
      <c r="V378">
        <f>IF($R378="","",TRIM(INDEX('입력_구리근무자명단'!$A376:$ZZ376,1,$E$2+5)&amp;""))</f>
        <v/>
      </c>
      <c r="W378">
        <f>IF(ISNUMBER(SEARCH("구리독자",$V378)),"구리독자","")</f>
        <v/>
      </c>
      <c r="X378">
        <f>IF($R378="","",$R378&amp;"|"&amp;IF(OR($Q378="인턴",ISNUMBER(SEARCH("수련교육부",$P378))),"인턴",$P378))</f>
        <v/>
      </c>
      <c r="Y378">
        <f>IF($R378="","",IF(COUNTIF(명단표[이름|과],$X378)=1,"명단 일치",IF(AND(COUNTIF(명단표[이름|과],$X378)=0,COUNTIF(명단표[이름],$R378)=1),"명단 일치(이름만, 과 다름)",IF(COUNTIF(명단표[이름],$R378)=0,IF(COUNTIF(기본자료표[이름],$R378)&gt;0,"명단에 없음(기본자료에는 있음)","명단에 없음"),"동명이인 확인"))))</f>
        <v/>
      </c>
      <c r="Z378">
        <f>IF($R378="","",IF($S378&lt;0,"⚠"&amp;INDEX('입력_구리근무자명단'!$A376:$ZZ376,1,$E$2+2),TEXT($S378,"yyyy-mm-dd")))</f>
        <v/>
      </c>
      <c r="AA378">
        <f>IF($R378="","",IF($T378&lt;0,"⚠"&amp;INDEX('입력_구리근무자명단'!$A376:$ZZ376,1,$E$2+3),TEXT($T378,"yyyy-mm-dd")))</f>
        <v/>
      </c>
      <c r="AB378">
        <f>AB377+IF($R378="",0,1)</f>
        <v/>
      </c>
      <c r="AC378">
        <f>IF($R378="","",$AB378)</f>
        <v/>
      </c>
    </row>
    <row r="379">
      <c r="A379">
        <f>IFERROR(INDEX($O$6:$O$1505,MATCH(374,$AC$6:$AC$1505,0)),"")</f>
        <v/>
      </c>
      <c r="B379">
        <f>IF(ISNUMBER($A379),INDEX($P$6:$P$1505,$A379-3),"")</f>
        <v/>
      </c>
      <c r="C379">
        <f>IF(ISNUMBER($A379),INDEX($Q$6:$Q$1505,$A379-3),"")</f>
        <v/>
      </c>
      <c r="D379">
        <f>IF(ISNUMBER($A379),INDEX($R$6:$R$1505,$A379-3),"")</f>
        <v/>
      </c>
      <c r="E379">
        <f>IF(ISNUMBER($A379),$G$2,"")</f>
        <v/>
      </c>
      <c r="F379">
        <f>IF(ISNUMBER($A379),INDEX($Z$6:$Z$1505,$A379-3),"")</f>
        <v/>
      </c>
      <c r="G379">
        <f>IF(ISNUMBER($A379),INDEX($AA$6:$AA$1505,$A379-3),"")</f>
        <v/>
      </c>
      <c r="H379">
        <f>IF(ISNUMBER($A379),INDEX($U$6:$U$1505,$A379-3),"")</f>
        <v/>
      </c>
      <c r="I379">
        <f>IF(ISNUMBER($A379),INDEX($V$6:$V$1505,$A379-3),"")</f>
        <v/>
      </c>
      <c r="J379">
        <f>IF(ISNUMBER($A379),INDEX($W$6:$W$1505,$A379-3),"")</f>
        <v/>
      </c>
      <c r="K379">
        <f>IF(ISNUMBER($A379),INDEX($X$6:$X$1505,$A379-3),"")</f>
        <v/>
      </c>
      <c r="L379">
        <f>IF(ISNUMBER($A379),INDEX($Y$6:$Y$1505,$A379-3),"")</f>
        <v/>
      </c>
      <c r="O379">
        <f>377</f>
        <v/>
      </c>
      <c r="P379">
        <f>IF(TRIM('입력_구리근무자명단'!$A377&amp;"")&lt;&gt;"",TRIM('입력_구리근무자명단'!$A377&amp;""),P378)</f>
        <v/>
      </c>
      <c r="Q379">
        <f>'입력_구리근무자명단'!$B377&amp;""</f>
        <v/>
      </c>
      <c r="R379">
        <f>IF($E$2="","",TRIM(INDEX('입력_구리근무자명단'!$A377:$ZZ377,1,$E$2+IF($G$2="확정",1,0))&amp;""))</f>
        <v/>
      </c>
      <c r="S379">
        <f>IF($R379="","",IF(INDEX('입력_구리근무자명단'!$A377:$ZZ377,1,$E$2+2)&amp;""="",급여기준월,IF(ISNUMBER(INDEX('입력_구리근무자명단'!$A377:$ZZ377,1,$E$2+2)),INDEX('입력_구리근무자명단'!$A377:$ZZ377,1,$E$2+2),IFERROR(DATE(VALUE(LEFT(INDEX('입력_구리근무자명단'!$A377:$ZZ377,1,$E$2+2),4)),VALUE(MID(INDEX('입력_구리근무자명단'!$A377:$ZZ377,1,$E$2+2),6,2)),VALUE(MID(INDEX('입력_구리근무자명단'!$A377:$ZZ377,1,$E$2+2),9,2))),-1))))</f>
        <v/>
      </c>
      <c r="T379">
        <f>IF($R379="","",IF(INDEX('입력_구리근무자명단'!$A377:$ZZ377,1,$E$2+3)&amp;""="",EOMONTH(급여기준월,0),IF(ISNUMBER(INDEX('입력_구리근무자명단'!$A377:$ZZ377,1,$E$2+3)),INDEX('입력_구리근무자명단'!$A377:$ZZ377,1,$E$2+3),IFERROR(DATE(VALUE(LEFT(INDEX('입력_구리근무자명단'!$A377:$ZZ377,1,$E$2+3),4)),VALUE(MID(INDEX('입력_구리근무자명단'!$A377:$ZZ377,1,$E$2+3),6,2)),VALUE(MID(INDEX('입력_구리근무자명단'!$A377:$ZZ377,1,$E$2+3),9,2))),-1))))</f>
        <v/>
      </c>
      <c r="U379">
        <f>IF($R379="","",IF(OR($S379&lt;0,$T379&lt;0),0,MAX(0,MIN($T379,EOMONTH(급여기준월,0))-MAX($S379,급여기준월)+1)))</f>
        <v/>
      </c>
      <c r="V379">
        <f>IF($R379="","",TRIM(INDEX('입력_구리근무자명단'!$A377:$ZZ377,1,$E$2+5)&amp;""))</f>
        <v/>
      </c>
      <c r="W379">
        <f>IF(ISNUMBER(SEARCH("구리독자",$V379)),"구리독자","")</f>
        <v/>
      </c>
      <c r="X379">
        <f>IF($R379="","",$R379&amp;"|"&amp;IF(OR($Q379="인턴",ISNUMBER(SEARCH("수련교육부",$P379))),"인턴",$P379))</f>
        <v/>
      </c>
      <c r="Y379">
        <f>IF($R379="","",IF(COUNTIF(명단표[이름|과],$X379)=1,"명단 일치",IF(AND(COUNTIF(명단표[이름|과],$X379)=0,COUNTIF(명단표[이름],$R379)=1),"명단 일치(이름만, 과 다름)",IF(COUNTIF(명단표[이름],$R379)=0,IF(COUNTIF(기본자료표[이름],$R379)&gt;0,"명단에 없음(기본자료에는 있음)","명단에 없음"),"동명이인 확인"))))</f>
        <v/>
      </c>
      <c r="Z379">
        <f>IF($R379="","",IF($S379&lt;0,"⚠"&amp;INDEX('입력_구리근무자명단'!$A377:$ZZ377,1,$E$2+2),TEXT($S379,"yyyy-mm-dd")))</f>
        <v/>
      </c>
      <c r="AA379">
        <f>IF($R379="","",IF($T379&lt;0,"⚠"&amp;INDEX('입력_구리근무자명단'!$A377:$ZZ377,1,$E$2+3),TEXT($T379,"yyyy-mm-dd")))</f>
        <v/>
      </c>
      <c r="AB379">
        <f>AB378+IF($R379="",0,1)</f>
        <v/>
      </c>
      <c r="AC379">
        <f>IF($R379="","",$AB379)</f>
        <v/>
      </c>
    </row>
    <row r="380">
      <c r="A380">
        <f>IFERROR(INDEX($O$6:$O$1505,MATCH(375,$AC$6:$AC$1505,0)),"")</f>
        <v/>
      </c>
      <c r="B380">
        <f>IF(ISNUMBER($A380),INDEX($P$6:$P$1505,$A380-3),"")</f>
        <v/>
      </c>
      <c r="C380">
        <f>IF(ISNUMBER($A380),INDEX($Q$6:$Q$1505,$A380-3),"")</f>
        <v/>
      </c>
      <c r="D380">
        <f>IF(ISNUMBER($A380),INDEX($R$6:$R$1505,$A380-3),"")</f>
        <v/>
      </c>
      <c r="E380">
        <f>IF(ISNUMBER($A380),$G$2,"")</f>
        <v/>
      </c>
      <c r="F380">
        <f>IF(ISNUMBER($A380),INDEX($Z$6:$Z$1505,$A380-3),"")</f>
        <v/>
      </c>
      <c r="G380">
        <f>IF(ISNUMBER($A380),INDEX($AA$6:$AA$1505,$A380-3),"")</f>
        <v/>
      </c>
      <c r="H380">
        <f>IF(ISNUMBER($A380),INDEX($U$6:$U$1505,$A380-3),"")</f>
        <v/>
      </c>
      <c r="I380">
        <f>IF(ISNUMBER($A380),INDEX($V$6:$V$1505,$A380-3),"")</f>
        <v/>
      </c>
      <c r="J380">
        <f>IF(ISNUMBER($A380),INDEX($W$6:$W$1505,$A380-3),"")</f>
        <v/>
      </c>
      <c r="K380">
        <f>IF(ISNUMBER($A380),INDEX($X$6:$X$1505,$A380-3),"")</f>
        <v/>
      </c>
      <c r="L380">
        <f>IF(ISNUMBER($A380),INDEX($Y$6:$Y$1505,$A380-3),"")</f>
        <v/>
      </c>
      <c r="O380">
        <f>378</f>
        <v/>
      </c>
      <c r="P380">
        <f>IF(TRIM('입력_구리근무자명단'!$A378&amp;"")&lt;&gt;"",TRIM('입력_구리근무자명단'!$A378&amp;""),P379)</f>
        <v/>
      </c>
      <c r="Q380">
        <f>'입력_구리근무자명단'!$B378&amp;""</f>
        <v/>
      </c>
      <c r="R380">
        <f>IF($E$2="","",TRIM(INDEX('입력_구리근무자명단'!$A378:$ZZ378,1,$E$2+IF($G$2="확정",1,0))&amp;""))</f>
        <v/>
      </c>
      <c r="S380">
        <f>IF($R380="","",IF(INDEX('입력_구리근무자명단'!$A378:$ZZ378,1,$E$2+2)&amp;""="",급여기준월,IF(ISNUMBER(INDEX('입력_구리근무자명단'!$A378:$ZZ378,1,$E$2+2)),INDEX('입력_구리근무자명단'!$A378:$ZZ378,1,$E$2+2),IFERROR(DATE(VALUE(LEFT(INDEX('입력_구리근무자명단'!$A378:$ZZ378,1,$E$2+2),4)),VALUE(MID(INDEX('입력_구리근무자명단'!$A378:$ZZ378,1,$E$2+2),6,2)),VALUE(MID(INDEX('입력_구리근무자명단'!$A378:$ZZ378,1,$E$2+2),9,2))),-1))))</f>
        <v/>
      </c>
      <c r="T380">
        <f>IF($R380="","",IF(INDEX('입력_구리근무자명단'!$A378:$ZZ378,1,$E$2+3)&amp;""="",EOMONTH(급여기준월,0),IF(ISNUMBER(INDEX('입력_구리근무자명단'!$A378:$ZZ378,1,$E$2+3)),INDEX('입력_구리근무자명단'!$A378:$ZZ378,1,$E$2+3),IFERROR(DATE(VALUE(LEFT(INDEX('입력_구리근무자명단'!$A378:$ZZ378,1,$E$2+3),4)),VALUE(MID(INDEX('입력_구리근무자명단'!$A378:$ZZ378,1,$E$2+3),6,2)),VALUE(MID(INDEX('입력_구리근무자명단'!$A378:$ZZ378,1,$E$2+3),9,2))),-1))))</f>
        <v/>
      </c>
      <c r="U380">
        <f>IF($R380="","",IF(OR($S380&lt;0,$T380&lt;0),0,MAX(0,MIN($T380,EOMONTH(급여기준월,0))-MAX($S380,급여기준월)+1)))</f>
        <v/>
      </c>
      <c r="V380">
        <f>IF($R380="","",TRIM(INDEX('입력_구리근무자명단'!$A378:$ZZ378,1,$E$2+5)&amp;""))</f>
        <v/>
      </c>
      <c r="W380">
        <f>IF(ISNUMBER(SEARCH("구리독자",$V380)),"구리독자","")</f>
        <v/>
      </c>
      <c r="X380">
        <f>IF($R380="","",$R380&amp;"|"&amp;IF(OR($Q380="인턴",ISNUMBER(SEARCH("수련교육부",$P380))),"인턴",$P380))</f>
        <v/>
      </c>
      <c r="Y380">
        <f>IF($R380="","",IF(COUNTIF(명단표[이름|과],$X380)=1,"명단 일치",IF(AND(COUNTIF(명단표[이름|과],$X380)=0,COUNTIF(명단표[이름],$R380)=1),"명단 일치(이름만, 과 다름)",IF(COUNTIF(명단표[이름],$R380)=0,IF(COUNTIF(기본자료표[이름],$R380)&gt;0,"명단에 없음(기본자료에는 있음)","명단에 없음"),"동명이인 확인"))))</f>
        <v/>
      </c>
      <c r="Z380">
        <f>IF($R380="","",IF($S380&lt;0,"⚠"&amp;INDEX('입력_구리근무자명단'!$A378:$ZZ378,1,$E$2+2),TEXT($S380,"yyyy-mm-dd")))</f>
        <v/>
      </c>
      <c r="AA380">
        <f>IF($R380="","",IF($T380&lt;0,"⚠"&amp;INDEX('입력_구리근무자명단'!$A378:$ZZ378,1,$E$2+3),TEXT($T380,"yyyy-mm-dd")))</f>
        <v/>
      </c>
      <c r="AB380">
        <f>AB379+IF($R380="",0,1)</f>
        <v/>
      </c>
      <c r="AC380">
        <f>IF($R380="","",$AB380)</f>
        <v/>
      </c>
    </row>
    <row r="381">
      <c r="A381">
        <f>IFERROR(INDEX($O$6:$O$1505,MATCH(376,$AC$6:$AC$1505,0)),"")</f>
        <v/>
      </c>
      <c r="B381">
        <f>IF(ISNUMBER($A381),INDEX($P$6:$P$1505,$A381-3),"")</f>
        <v/>
      </c>
      <c r="C381">
        <f>IF(ISNUMBER($A381),INDEX($Q$6:$Q$1505,$A381-3),"")</f>
        <v/>
      </c>
      <c r="D381">
        <f>IF(ISNUMBER($A381),INDEX($R$6:$R$1505,$A381-3),"")</f>
        <v/>
      </c>
      <c r="E381">
        <f>IF(ISNUMBER($A381),$G$2,"")</f>
        <v/>
      </c>
      <c r="F381">
        <f>IF(ISNUMBER($A381),INDEX($Z$6:$Z$1505,$A381-3),"")</f>
        <v/>
      </c>
      <c r="G381">
        <f>IF(ISNUMBER($A381),INDEX($AA$6:$AA$1505,$A381-3),"")</f>
        <v/>
      </c>
      <c r="H381">
        <f>IF(ISNUMBER($A381),INDEX($U$6:$U$1505,$A381-3),"")</f>
        <v/>
      </c>
      <c r="I381">
        <f>IF(ISNUMBER($A381),INDEX($V$6:$V$1505,$A381-3),"")</f>
        <v/>
      </c>
      <c r="J381">
        <f>IF(ISNUMBER($A381),INDEX($W$6:$W$1505,$A381-3),"")</f>
        <v/>
      </c>
      <c r="K381">
        <f>IF(ISNUMBER($A381),INDEX($X$6:$X$1505,$A381-3),"")</f>
        <v/>
      </c>
      <c r="L381">
        <f>IF(ISNUMBER($A381),INDEX($Y$6:$Y$1505,$A381-3),"")</f>
        <v/>
      </c>
      <c r="O381">
        <f>379</f>
        <v/>
      </c>
      <c r="P381">
        <f>IF(TRIM('입력_구리근무자명단'!$A379&amp;"")&lt;&gt;"",TRIM('입력_구리근무자명단'!$A379&amp;""),P380)</f>
        <v/>
      </c>
      <c r="Q381">
        <f>'입력_구리근무자명단'!$B379&amp;""</f>
        <v/>
      </c>
      <c r="R381">
        <f>IF($E$2="","",TRIM(INDEX('입력_구리근무자명단'!$A379:$ZZ379,1,$E$2+IF($G$2="확정",1,0))&amp;""))</f>
        <v/>
      </c>
      <c r="S381">
        <f>IF($R381="","",IF(INDEX('입력_구리근무자명단'!$A379:$ZZ379,1,$E$2+2)&amp;""="",급여기준월,IF(ISNUMBER(INDEX('입력_구리근무자명단'!$A379:$ZZ379,1,$E$2+2)),INDEX('입력_구리근무자명단'!$A379:$ZZ379,1,$E$2+2),IFERROR(DATE(VALUE(LEFT(INDEX('입력_구리근무자명단'!$A379:$ZZ379,1,$E$2+2),4)),VALUE(MID(INDEX('입력_구리근무자명단'!$A379:$ZZ379,1,$E$2+2),6,2)),VALUE(MID(INDEX('입력_구리근무자명단'!$A379:$ZZ379,1,$E$2+2),9,2))),-1))))</f>
        <v/>
      </c>
      <c r="T381">
        <f>IF($R381="","",IF(INDEX('입력_구리근무자명단'!$A379:$ZZ379,1,$E$2+3)&amp;""="",EOMONTH(급여기준월,0),IF(ISNUMBER(INDEX('입력_구리근무자명단'!$A379:$ZZ379,1,$E$2+3)),INDEX('입력_구리근무자명단'!$A379:$ZZ379,1,$E$2+3),IFERROR(DATE(VALUE(LEFT(INDEX('입력_구리근무자명단'!$A379:$ZZ379,1,$E$2+3),4)),VALUE(MID(INDEX('입력_구리근무자명단'!$A379:$ZZ379,1,$E$2+3),6,2)),VALUE(MID(INDEX('입력_구리근무자명단'!$A379:$ZZ379,1,$E$2+3),9,2))),-1))))</f>
        <v/>
      </c>
      <c r="U381">
        <f>IF($R381="","",IF(OR($S381&lt;0,$T381&lt;0),0,MAX(0,MIN($T381,EOMONTH(급여기준월,0))-MAX($S381,급여기준월)+1)))</f>
        <v/>
      </c>
      <c r="V381">
        <f>IF($R381="","",TRIM(INDEX('입력_구리근무자명단'!$A379:$ZZ379,1,$E$2+5)&amp;""))</f>
        <v/>
      </c>
      <c r="W381">
        <f>IF(ISNUMBER(SEARCH("구리독자",$V381)),"구리독자","")</f>
        <v/>
      </c>
      <c r="X381">
        <f>IF($R381="","",$R381&amp;"|"&amp;IF(OR($Q381="인턴",ISNUMBER(SEARCH("수련교육부",$P381))),"인턴",$P381))</f>
        <v/>
      </c>
      <c r="Y381">
        <f>IF($R381="","",IF(COUNTIF(명단표[이름|과],$X381)=1,"명단 일치",IF(AND(COUNTIF(명단표[이름|과],$X381)=0,COUNTIF(명단표[이름],$R381)=1),"명단 일치(이름만, 과 다름)",IF(COUNTIF(명단표[이름],$R381)=0,IF(COUNTIF(기본자료표[이름],$R381)&gt;0,"명단에 없음(기본자료에는 있음)","명단에 없음"),"동명이인 확인"))))</f>
        <v/>
      </c>
      <c r="Z381">
        <f>IF($R381="","",IF($S381&lt;0,"⚠"&amp;INDEX('입력_구리근무자명단'!$A379:$ZZ379,1,$E$2+2),TEXT($S381,"yyyy-mm-dd")))</f>
        <v/>
      </c>
      <c r="AA381">
        <f>IF($R381="","",IF($T381&lt;0,"⚠"&amp;INDEX('입력_구리근무자명단'!$A379:$ZZ379,1,$E$2+3),TEXT($T381,"yyyy-mm-dd")))</f>
        <v/>
      </c>
      <c r="AB381">
        <f>AB380+IF($R381="",0,1)</f>
        <v/>
      </c>
      <c r="AC381">
        <f>IF($R381="","",$AB381)</f>
        <v/>
      </c>
    </row>
    <row r="382">
      <c r="A382">
        <f>IFERROR(INDEX($O$6:$O$1505,MATCH(377,$AC$6:$AC$1505,0)),"")</f>
        <v/>
      </c>
      <c r="B382">
        <f>IF(ISNUMBER($A382),INDEX($P$6:$P$1505,$A382-3),"")</f>
        <v/>
      </c>
      <c r="C382">
        <f>IF(ISNUMBER($A382),INDEX($Q$6:$Q$1505,$A382-3),"")</f>
        <v/>
      </c>
      <c r="D382">
        <f>IF(ISNUMBER($A382),INDEX($R$6:$R$1505,$A382-3),"")</f>
        <v/>
      </c>
      <c r="E382">
        <f>IF(ISNUMBER($A382),$G$2,"")</f>
        <v/>
      </c>
      <c r="F382">
        <f>IF(ISNUMBER($A382),INDEX($Z$6:$Z$1505,$A382-3),"")</f>
        <v/>
      </c>
      <c r="G382">
        <f>IF(ISNUMBER($A382),INDEX($AA$6:$AA$1505,$A382-3),"")</f>
        <v/>
      </c>
      <c r="H382">
        <f>IF(ISNUMBER($A382),INDEX($U$6:$U$1505,$A382-3),"")</f>
        <v/>
      </c>
      <c r="I382">
        <f>IF(ISNUMBER($A382),INDEX($V$6:$V$1505,$A382-3),"")</f>
        <v/>
      </c>
      <c r="J382">
        <f>IF(ISNUMBER($A382),INDEX($W$6:$W$1505,$A382-3),"")</f>
        <v/>
      </c>
      <c r="K382">
        <f>IF(ISNUMBER($A382),INDEX($X$6:$X$1505,$A382-3),"")</f>
        <v/>
      </c>
      <c r="L382">
        <f>IF(ISNUMBER($A382),INDEX($Y$6:$Y$1505,$A382-3),"")</f>
        <v/>
      </c>
      <c r="O382">
        <f>380</f>
        <v/>
      </c>
      <c r="P382">
        <f>IF(TRIM('입력_구리근무자명단'!$A380&amp;"")&lt;&gt;"",TRIM('입력_구리근무자명단'!$A380&amp;""),P381)</f>
        <v/>
      </c>
      <c r="Q382">
        <f>'입력_구리근무자명단'!$B380&amp;""</f>
        <v/>
      </c>
      <c r="R382">
        <f>IF($E$2="","",TRIM(INDEX('입력_구리근무자명단'!$A380:$ZZ380,1,$E$2+IF($G$2="확정",1,0))&amp;""))</f>
        <v/>
      </c>
      <c r="S382">
        <f>IF($R382="","",IF(INDEX('입력_구리근무자명단'!$A380:$ZZ380,1,$E$2+2)&amp;""="",급여기준월,IF(ISNUMBER(INDEX('입력_구리근무자명단'!$A380:$ZZ380,1,$E$2+2)),INDEX('입력_구리근무자명단'!$A380:$ZZ380,1,$E$2+2),IFERROR(DATE(VALUE(LEFT(INDEX('입력_구리근무자명단'!$A380:$ZZ380,1,$E$2+2),4)),VALUE(MID(INDEX('입력_구리근무자명단'!$A380:$ZZ380,1,$E$2+2),6,2)),VALUE(MID(INDEX('입력_구리근무자명단'!$A380:$ZZ380,1,$E$2+2),9,2))),-1))))</f>
        <v/>
      </c>
      <c r="T382">
        <f>IF($R382="","",IF(INDEX('입력_구리근무자명단'!$A380:$ZZ380,1,$E$2+3)&amp;""="",EOMONTH(급여기준월,0),IF(ISNUMBER(INDEX('입력_구리근무자명단'!$A380:$ZZ380,1,$E$2+3)),INDEX('입력_구리근무자명단'!$A380:$ZZ380,1,$E$2+3),IFERROR(DATE(VALUE(LEFT(INDEX('입력_구리근무자명단'!$A380:$ZZ380,1,$E$2+3),4)),VALUE(MID(INDEX('입력_구리근무자명단'!$A380:$ZZ380,1,$E$2+3),6,2)),VALUE(MID(INDEX('입력_구리근무자명단'!$A380:$ZZ380,1,$E$2+3),9,2))),-1))))</f>
        <v/>
      </c>
      <c r="U382">
        <f>IF($R382="","",IF(OR($S382&lt;0,$T382&lt;0),0,MAX(0,MIN($T382,EOMONTH(급여기준월,0))-MAX($S382,급여기준월)+1)))</f>
        <v/>
      </c>
      <c r="V382">
        <f>IF($R382="","",TRIM(INDEX('입력_구리근무자명단'!$A380:$ZZ380,1,$E$2+5)&amp;""))</f>
        <v/>
      </c>
      <c r="W382">
        <f>IF(ISNUMBER(SEARCH("구리독자",$V382)),"구리독자","")</f>
        <v/>
      </c>
      <c r="X382">
        <f>IF($R382="","",$R382&amp;"|"&amp;IF(OR($Q382="인턴",ISNUMBER(SEARCH("수련교육부",$P382))),"인턴",$P382))</f>
        <v/>
      </c>
      <c r="Y382">
        <f>IF($R382="","",IF(COUNTIF(명단표[이름|과],$X382)=1,"명단 일치",IF(AND(COUNTIF(명단표[이름|과],$X382)=0,COUNTIF(명단표[이름],$R382)=1),"명단 일치(이름만, 과 다름)",IF(COUNTIF(명단표[이름],$R382)=0,IF(COUNTIF(기본자료표[이름],$R382)&gt;0,"명단에 없음(기본자료에는 있음)","명단에 없음"),"동명이인 확인"))))</f>
        <v/>
      </c>
      <c r="Z382">
        <f>IF($R382="","",IF($S382&lt;0,"⚠"&amp;INDEX('입력_구리근무자명단'!$A380:$ZZ380,1,$E$2+2),TEXT($S382,"yyyy-mm-dd")))</f>
        <v/>
      </c>
      <c r="AA382">
        <f>IF($R382="","",IF($T382&lt;0,"⚠"&amp;INDEX('입력_구리근무자명단'!$A380:$ZZ380,1,$E$2+3),TEXT($T382,"yyyy-mm-dd")))</f>
        <v/>
      </c>
      <c r="AB382">
        <f>AB381+IF($R382="",0,1)</f>
        <v/>
      </c>
      <c r="AC382">
        <f>IF($R382="","",$AB382)</f>
        <v/>
      </c>
    </row>
    <row r="383">
      <c r="A383">
        <f>IFERROR(INDEX($O$6:$O$1505,MATCH(378,$AC$6:$AC$1505,0)),"")</f>
        <v/>
      </c>
      <c r="B383">
        <f>IF(ISNUMBER($A383),INDEX($P$6:$P$1505,$A383-3),"")</f>
        <v/>
      </c>
      <c r="C383">
        <f>IF(ISNUMBER($A383),INDEX($Q$6:$Q$1505,$A383-3),"")</f>
        <v/>
      </c>
      <c r="D383">
        <f>IF(ISNUMBER($A383),INDEX($R$6:$R$1505,$A383-3),"")</f>
        <v/>
      </c>
      <c r="E383">
        <f>IF(ISNUMBER($A383),$G$2,"")</f>
        <v/>
      </c>
      <c r="F383">
        <f>IF(ISNUMBER($A383),INDEX($Z$6:$Z$1505,$A383-3),"")</f>
        <v/>
      </c>
      <c r="G383">
        <f>IF(ISNUMBER($A383),INDEX($AA$6:$AA$1505,$A383-3),"")</f>
        <v/>
      </c>
      <c r="H383">
        <f>IF(ISNUMBER($A383),INDEX($U$6:$U$1505,$A383-3),"")</f>
        <v/>
      </c>
      <c r="I383">
        <f>IF(ISNUMBER($A383),INDEX($V$6:$V$1505,$A383-3),"")</f>
        <v/>
      </c>
      <c r="J383">
        <f>IF(ISNUMBER($A383),INDEX($W$6:$W$1505,$A383-3),"")</f>
        <v/>
      </c>
      <c r="K383">
        <f>IF(ISNUMBER($A383),INDEX($X$6:$X$1505,$A383-3),"")</f>
        <v/>
      </c>
      <c r="L383">
        <f>IF(ISNUMBER($A383),INDEX($Y$6:$Y$1505,$A383-3),"")</f>
        <v/>
      </c>
      <c r="O383">
        <f>381</f>
        <v/>
      </c>
      <c r="P383">
        <f>IF(TRIM('입력_구리근무자명단'!$A381&amp;"")&lt;&gt;"",TRIM('입력_구리근무자명단'!$A381&amp;""),P382)</f>
        <v/>
      </c>
      <c r="Q383">
        <f>'입력_구리근무자명단'!$B381&amp;""</f>
        <v/>
      </c>
      <c r="R383">
        <f>IF($E$2="","",TRIM(INDEX('입력_구리근무자명단'!$A381:$ZZ381,1,$E$2+IF($G$2="확정",1,0))&amp;""))</f>
        <v/>
      </c>
      <c r="S383">
        <f>IF($R383="","",IF(INDEX('입력_구리근무자명단'!$A381:$ZZ381,1,$E$2+2)&amp;""="",급여기준월,IF(ISNUMBER(INDEX('입력_구리근무자명단'!$A381:$ZZ381,1,$E$2+2)),INDEX('입력_구리근무자명단'!$A381:$ZZ381,1,$E$2+2),IFERROR(DATE(VALUE(LEFT(INDEX('입력_구리근무자명단'!$A381:$ZZ381,1,$E$2+2),4)),VALUE(MID(INDEX('입력_구리근무자명단'!$A381:$ZZ381,1,$E$2+2),6,2)),VALUE(MID(INDEX('입력_구리근무자명단'!$A381:$ZZ381,1,$E$2+2),9,2))),-1))))</f>
        <v/>
      </c>
      <c r="T383">
        <f>IF($R383="","",IF(INDEX('입력_구리근무자명단'!$A381:$ZZ381,1,$E$2+3)&amp;""="",EOMONTH(급여기준월,0),IF(ISNUMBER(INDEX('입력_구리근무자명단'!$A381:$ZZ381,1,$E$2+3)),INDEX('입력_구리근무자명단'!$A381:$ZZ381,1,$E$2+3),IFERROR(DATE(VALUE(LEFT(INDEX('입력_구리근무자명단'!$A381:$ZZ381,1,$E$2+3),4)),VALUE(MID(INDEX('입력_구리근무자명단'!$A381:$ZZ381,1,$E$2+3),6,2)),VALUE(MID(INDEX('입력_구리근무자명단'!$A381:$ZZ381,1,$E$2+3),9,2))),-1))))</f>
        <v/>
      </c>
      <c r="U383">
        <f>IF($R383="","",IF(OR($S383&lt;0,$T383&lt;0),0,MAX(0,MIN($T383,EOMONTH(급여기준월,0))-MAX($S383,급여기준월)+1)))</f>
        <v/>
      </c>
      <c r="V383">
        <f>IF($R383="","",TRIM(INDEX('입력_구리근무자명단'!$A381:$ZZ381,1,$E$2+5)&amp;""))</f>
        <v/>
      </c>
      <c r="W383">
        <f>IF(ISNUMBER(SEARCH("구리독자",$V383)),"구리독자","")</f>
        <v/>
      </c>
      <c r="X383">
        <f>IF($R383="","",$R383&amp;"|"&amp;IF(OR($Q383="인턴",ISNUMBER(SEARCH("수련교육부",$P383))),"인턴",$P383))</f>
        <v/>
      </c>
      <c r="Y383">
        <f>IF($R383="","",IF(COUNTIF(명단표[이름|과],$X383)=1,"명단 일치",IF(AND(COUNTIF(명단표[이름|과],$X383)=0,COUNTIF(명단표[이름],$R383)=1),"명단 일치(이름만, 과 다름)",IF(COUNTIF(명단표[이름],$R383)=0,IF(COUNTIF(기본자료표[이름],$R383)&gt;0,"명단에 없음(기본자료에는 있음)","명단에 없음"),"동명이인 확인"))))</f>
        <v/>
      </c>
      <c r="Z383">
        <f>IF($R383="","",IF($S383&lt;0,"⚠"&amp;INDEX('입력_구리근무자명단'!$A381:$ZZ381,1,$E$2+2),TEXT($S383,"yyyy-mm-dd")))</f>
        <v/>
      </c>
      <c r="AA383">
        <f>IF($R383="","",IF($T383&lt;0,"⚠"&amp;INDEX('입력_구리근무자명단'!$A381:$ZZ381,1,$E$2+3),TEXT($T383,"yyyy-mm-dd")))</f>
        <v/>
      </c>
      <c r="AB383">
        <f>AB382+IF($R383="",0,1)</f>
        <v/>
      </c>
      <c r="AC383">
        <f>IF($R383="","",$AB383)</f>
        <v/>
      </c>
    </row>
    <row r="384">
      <c r="A384">
        <f>IFERROR(INDEX($O$6:$O$1505,MATCH(379,$AC$6:$AC$1505,0)),"")</f>
        <v/>
      </c>
      <c r="B384">
        <f>IF(ISNUMBER($A384),INDEX($P$6:$P$1505,$A384-3),"")</f>
        <v/>
      </c>
      <c r="C384">
        <f>IF(ISNUMBER($A384),INDEX($Q$6:$Q$1505,$A384-3),"")</f>
        <v/>
      </c>
      <c r="D384">
        <f>IF(ISNUMBER($A384),INDEX($R$6:$R$1505,$A384-3),"")</f>
        <v/>
      </c>
      <c r="E384">
        <f>IF(ISNUMBER($A384),$G$2,"")</f>
        <v/>
      </c>
      <c r="F384">
        <f>IF(ISNUMBER($A384),INDEX($Z$6:$Z$1505,$A384-3),"")</f>
        <v/>
      </c>
      <c r="G384">
        <f>IF(ISNUMBER($A384),INDEX($AA$6:$AA$1505,$A384-3),"")</f>
        <v/>
      </c>
      <c r="H384">
        <f>IF(ISNUMBER($A384),INDEX($U$6:$U$1505,$A384-3),"")</f>
        <v/>
      </c>
      <c r="I384">
        <f>IF(ISNUMBER($A384),INDEX($V$6:$V$1505,$A384-3),"")</f>
        <v/>
      </c>
      <c r="J384">
        <f>IF(ISNUMBER($A384),INDEX($W$6:$W$1505,$A384-3),"")</f>
        <v/>
      </c>
      <c r="K384">
        <f>IF(ISNUMBER($A384),INDEX($X$6:$X$1505,$A384-3),"")</f>
        <v/>
      </c>
      <c r="L384">
        <f>IF(ISNUMBER($A384),INDEX($Y$6:$Y$1505,$A384-3),"")</f>
        <v/>
      </c>
      <c r="O384">
        <f>382</f>
        <v/>
      </c>
      <c r="P384">
        <f>IF(TRIM('입력_구리근무자명단'!$A382&amp;"")&lt;&gt;"",TRIM('입력_구리근무자명단'!$A382&amp;""),P383)</f>
        <v/>
      </c>
      <c r="Q384">
        <f>'입력_구리근무자명단'!$B382&amp;""</f>
        <v/>
      </c>
      <c r="R384">
        <f>IF($E$2="","",TRIM(INDEX('입력_구리근무자명단'!$A382:$ZZ382,1,$E$2+IF($G$2="확정",1,0))&amp;""))</f>
        <v/>
      </c>
      <c r="S384">
        <f>IF($R384="","",IF(INDEX('입력_구리근무자명단'!$A382:$ZZ382,1,$E$2+2)&amp;""="",급여기준월,IF(ISNUMBER(INDEX('입력_구리근무자명단'!$A382:$ZZ382,1,$E$2+2)),INDEX('입력_구리근무자명단'!$A382:$ZZ382,1,$E$2+2),IFERROR(DATE(VALUE(LEFT(INDEX('입력_구리근무자명단'!$A382:$ZZ382,1,$E$2+2),4)),VALUE(MID(INDEX('입력_구리근무자명단'!$A382:$ZZ382,1,$E$2+2),6,2)),VALUE(MID(INDEX('입력_구리근무자명단'!$A382:$ZZ382,1,$E$2+2),9,2))),-1))))</f>
        <v/>
      </c>
      <c r="T384">
        <f>IF($R384="","",IF(INDEX('입력_구리근무자명단'!$A382:$ZZ382,1,$E$2+3)&amp;""="",EOMONTH(급여기준월,0),IF(ISNUMBER(INDEX('입력_구리근무자명단'!$A382:$ZZ382,1,$E$2+3)),INDEX('입력_구리근무자명단'!$A382:$ZZ382,1,$E$2+3),IFERROR(DATE(VALUE(LEFT(INDEX('입력_구리근무자명단'!$A382:$ZZ382,1,$E$2+3),4)),VALUE(MID(INDEX('입력_구리근무자명단'!$A382:$ZZ382,1,$E$2+3),6,2)),VALUE(MID(INDEX('입력_구리근무자명단'!$A382:$ZZ382,1,$E$2+3),9,2))),-1))))</f>
        <v/>
      </c>
      <c r="U384">
        <f>IF($R384="","",IF(OR($S384&lt;0,$T384&lt;0),0,MAX(0,MIN($T384,EOMONTH(급여기준월,0))-MAX($S384,급여기준월)+1)))</f>
        <v/>
      </c>
      <c r="V384">
        <f>IF($R384="","",TRIM(INDEX('입력_구리근무자명단'!$A382:$ZZ382,1,$E$2+5)&amp;""))</f>
        <v/>
      </c>
      <c r="W384">
        <f>IF(ISNUMBER(SEARCH("구리독자",$V384)),"구리독자","")</f>
        <v/>
      </c>
      <c r="X384">
        <f>IF($R384="","",$R384&amp;"|"&amp;IF(OR($Q384="인턴",ISNUMBER(SEARCH("수련교육부",$P384))),"인턴",$P384))</f>
        <v/>
      </c>
      <c r="Y384">
        <f>IF($R384="","",IF(COUNTIF(명단표[이름|과],$X384)=1,"명단 일치",IF(AND(COUNTIF(명단표[이름|과],$X384)=0,COUNTIF(명단표[이름],$R384)=1),"명단 일치(이름만, 과 다름)",IF(COUNTIF(명단표[이름],$R384)=0,IF(COUNTIF(기본자료표[이름],$R384)&gt;0,"명단에 없음(기본자료에는 있음)","명단에 없음"),"동명이인 확인"))))</f>
        <v/>
      </c>
      <c r="Z384">
        <f>IF($R384="","",IF($S384&lt;0,"⚠"&amp;INDEX('입력_구리근무자명단'!$A382:$ZZ382,1,$E$2+2),TEXT($S384,"yyyy-mm-dd")))</f>
        <v/>
      </c>
      <c r="AA384">
        <f>IF($R384="","",IF($T384&lt;0,"⚠"&amp;INDEX('입력_구리근무자명단'!$A382:$ZZ382,1,$E$2+3),TEXT($T384,"yyyy-mm-dd")))</f>
        <v/>
      </c>
      <c r="AB384">
        <f>AB383+IF($R384="",0,1)</f>
        <v/>
      </c>
      <c r="AC384">
        <f>IF($R384="","",$AB384)</f>
        <v/>
      </c>
    </row>
    <row r="385">
      <c r="A385">
        <f>IFERROR(INDEX($O$6:$O$1505,MATCH(380,$AC$6:$AC$1505,0)),"")</f>
        <v/>
      </c>
      <c r="B385">
        <f>IF(ISNUMBER($A385),INDEX($P$6:$P$1505,$A385-3),"")</f>
        <v/>
      </c>
      <c r="C385">
        <f>IF(ISNUMBER($A385),INDEX($Q$6:$Q$1505,$A385-3),"")</f>
        <v/>
      </c>
      <c r="D385">
        <f>IF(ISNUMBER($A385),INDEX($R$6:$R$1505,$A385-3),"")</f>
        <v/>
      </c>
      <c r="E385">
        <f>IF(ISNUMBER($A385),$G$2,"")</f>
        <v/>
      </c>
      <c r="F385">
        <f>IF(ISNUMBER($A385),INDEX($Z$6:$Z$1505,$A385-3),"")</f>
        <v/>
      </c>
      <c r="G385">
        <f>IF(ISNUMBER($A385),INDEX($AA$6:$AA$1505,$A385-3),"")</f>
        <v/>
      </c>
      <c r="H385">
        <f>IF(ISNUMBER($A385),INDEX($U$6:$U$1505,$A385-3),"")</f>
        <v/>
      </c>
      <c r="I385">
        <f>IF(ISNUMBER($A385),INDEX($V$6:$V$1505,$A385-3),"")</f>
        <v/>
      </c>
      <c r="J385">
        <f>IF(ISNUMBER($A385),INDEX($W$6:$W$1505,$A385-3),"")</f>
        <v/>
      </c>
      <c r="K385">
        <f>IF(ISNUMBER($A385),INDEX($X$6:$X$1505,$A385-3),"")</f>
        <v/>
      </c>
      <c r="L385">
        <f>IF(ISNUMBER($A385),INDEX($Y$6:$Y$1505,$A385-3),"")</f>
        <v/>
      </c>
      <c r="O385">
        <f>383</f>
        <v/>
      </c>
      <c r="P385">
        <f>IF(TRIM('입력_구리근무자명단'!$A383&amp;"")&lt;&gt;"",TRIM('입력_구리근무자명단'!$A383&amp;""),P384)</f>
        <v/>
      </c>
      <c r="Q385">
        <f>'입력_구리근무자명단'!$B383&amp;""</f>
        <v/>
      </c>
      <c r="R385">
        <f>IF($E$2="","",TRIM(INDEX('입력_구리근무자명단'!$A383:$ZZ383,1,$E$2+IF($G$2="확정",1,0))&amp;""))</f>
        <v/>
      </c>
      <c r="S385">
        <f>IF($R385="","",IF(INDEX('입력_구리근무자명단'!$A383:$ZZ383,1,$E$2+2)&amp;""="",급여기준월,IF(ISNUMBER(INDEX('입력_구리근무자명단'!$A383:$ZZ383,1,$E$2+2)),INDEX('입력_구리근무자명단'!$A383:$ZZ383,1,$E$2+2),IFERROR(DATE(VALUE(LEFT(INDEX('입력_구리근무자명단'!$A383:$ZZ383,1,$E$2+2),4)),VALUE(MID(INDEX('입력_구리근무자명단'!$A383:$ZZ383,1,$E$2+2),6,2)),VALUE(MID(INDEX('입력_구리근무자명단'!$A383:$ZZ383,1,$E$2+2),9,2))),-1))))</f>
        <v/>
      </c>
      <c r="T385">
        <f>IF($R385="","",IF(INDEX('입력_구리근무자명단'!$A383:$ZZ383,1,$E$2+3)&amp;""="",EOMONTH(급여기준월,0),IF(ISNUMBER(INDEX('입력_구리근무자명단'!$A383:$ZZ383,1,$E$2+3)),INDEX('입력_구리근무자명단'!$A383:$ZZ383,1,$E$2+3),IFERROR(DATE(VALUE(LEFT(INDEX('입력_구리근무자명단'!$A383:$ZZ383,1,$E$2+3),4)),VALUE(MID(INDEX('입력_구리근무자명단'!$A383:$ZZ383,1,$E$2+3),6,2)),VALUE(MID(INDEX('입력_구리근무자명단'!$A383:$ZZ383,1,$E$2+3),9,2))),-1))))</f>
        <v/>
      </c>
      <c r="U385">
        <f>IF($R385="","",IF(OR($S385&lt;0,$T385&lt;0),0,MAX(0,MIN($T385,EOMONTH(급여기준월,0))-MAX($S385,급여기준월)+1)))</f>
        <v/>
      </c>
      <c r="V385">
        <f>IF($R385="","",TRIM(INDEX('입력_구리근무자명단'!$A383:$ZZ383,1,$E$2+5)&amp;""))</f>
        <v/>
      </c>
      <c r="W385">
        <f>IF(ISNUMBER(SEARCH("구리독자",$V385)),"구리독자","")</f>
        <v/>
      </c>
      <c r="X385">
        <f>IF($R385="","",$R385&amp;"|"&amp;IF(OR($Q385="인턴",ISNUMBER(SEARCH("수련교육부",$P385))),"인턴",$P385))</f>
        <v/>
      </c>
      <c r="Y385">
        <f>IF($R385="","",IF(COUNTIF(명단표[이름|과],$X385)=1,"명단 일치",IF(AND(COUNTIF(명단표[이름|과],$X385)=0,COUNTIF(명단표[이름],$R385)=1),"명단 일치(이름만, 과 다름)",IF(COUNTIF(명단표[이름],$R385)=0,IF(COUNTIF(기본자료표[이름],$R385)&gt;0,"명단에 없음(기본자료에는 있음)","명단에 없음"),"동명이인 확인"))))</f>
        <v/>
      </c>
      <c r="Z385">
        <f>IF($R385="","",IF($S385&lt;0,"⚠"&amp;INDEX('입력_구리근무자명단'!$A383:$ZZ383,1,$E$2+2),TEXT($S385,"yyyy-mm-dd")))</f>
        <v/>
      </c>
      <c r="AA385">
        <f>IF($R385="","",IF($T385&lt;0,"⚠"&amp;INDEX('입력_구리근무자명단'!$A383:$ZZ383,1,$E$2+3),TEXT($T385,"yyyy-mm-dd")))</f>
        <v/>
      </c>
      <c r="AB385">
        <f>AB384+IF($R385="",0,1)</f>
        <v/>
      </c>
      <c r="AC385">
        <f>IF($R385="","",$AB385)</f>
        <v/>
      </c>
    </row>
    <row r="386">
      <c r="A386">
        <f>IFERROR(INDEX($O$6:$O$1505,MATCH(381,$AC$6:$AC$1505,0)),"")</f>
        <v/>
      </c>
      <c r="B386">
        <f>IF(ISNUMBER($A386),INDEX($P$6:$P$1505,$A386-3),"")</f>
        <v/>
      </c>
      <c r="C386">
        <f>IF(ISNUMBER($A386),INDEX($Q$6:$Q$1505,$A386-3),"")</f>
        <v/>
      </c>
      <c r="D386">
        <f>IF(ISNUMBER($A386),INDEX($R$6:$R$1505,$A386-3),"")</f>
        <v/>
      </c>
      <c r="E386">
        <f>IF(ISNUMBER($A386),$G$2,"")</f>
        <v/>
      </c>
      <c r="F386">
        <f>IF(ISNUMBER($A386),INDEX($Z$6:$Z$1505,$A386-3),"")</f>
        <v/>
      </c>
      <c r="G386">
        <f>IF(ISNUMBER($A386),INDEX($AA$6:$AA$1505,$A386-3),"")</f>
        <v/>
      </c>
      <c r="H386">
        <f>IF(ISNUMBER($A386),INDEX($U$6:$U$1505,$A386-3),"")</f>
        <v/>
      </c>
      <c r="I386">
        <f>IF(ISNUMBER($A386),INDEX($V$6:$V$1505,$A386-3),"")</f>
        <v/>
      </c>
      <c r="J386">
        <f>IF(ISNUMBER($A386),INDEX($W$6:$W$1505,$A386-3),"")</f>
        <v/>
      </c>
      <c r="K386">
        <f>IF(ISNUMBER($A386),INDEX($X$6:$X$1505,$A386-3),"")</f>
        <v/>
      </c>
      <c r="L386">
        <f>IF(ISNUMBER($A386),INDEX($Y$6:$Y$1505,$A386-3),"")</f>
        <v/>
      </c>
      <c r="O386">
        <f>384</f>
        <v/>
      </c>
      <c r="P386">
        <f>IF(TRIM('입력_구리근무자명단'!$A384&amp;"")&lt;&gt;"",TRIM('입력_구리근무자명단'!$A384&amp;""),P385)</f>
        <v/>
      </c>
      <c r="Q386">
        <f>'입력_구리근무자명단'!$B384&amp;""</f>
        <v/>
      </c>
      <c r="R386">
        <f>IF($E$2="","",TRIM(INDEX('입력_구리근무자명단'!$A384:$ZZ384,1,$E$2+IF($G$2="확정",1,0))&amp;""))</f>
        <v/>
      </c>
      <c r="S386">
        <f>IF($R386="","",IF(INDEX('입력_구리근무자명단'!$A384:$ZZ384,1,$E$2+2)&amp;""="",급여기준월,IF(ISNUMBER(INDEX('입력_구리근무자명단'!$A384:$ZZ384,1,$E$2+2)),INDEX('입력_구리근무자명단'!$A384:$ZZ384,1,$E$2+2),IFERROR(DATE(VALUE(LEFT(INDEX('입력_구리근무자명단'!$A384:$ZZ384,1,$E$2+2),4)),VALUE(MID(INDEX('입력_구리근무자명단'!$A384:$ZZ384,1,$E$2+2),6,2)),VALUE(MID(INDEX('입력_구리근무자명단'!$A384:$ZZ384,1,$E$2+2),9,2))),-1))))</f>
        <v/>
      </c>
      <c r="T386">
        <f>IF($R386="","",IF(INDEX('입력_구리근무자명단'!$A384:$ZZ384,1,$E$2+3)&amp;""="",EOMONTH(급여기준월,0),IF(ISNUMBER(INDEX('입력_구리근무자명단'!$A384:$ZZ384,1,$E$2+3)),INDEX('입력_구리근무자명단'!$A384:$ZZ384,1,$E$2+3),IFERROR(DATE(VALUE(LEFT(INDEX('입력_구리근무자명단'!$A384:$ZZ384,1,$E$2+3),4)),VALUE(MID(INDEX('입력_구리근무자명단'!$A384:$ZZ384,1,$E$2+3),6,2)),VALUE(MID(INDEX('입력_구리근무자명단'!$A384:$ZZ384,1,$E$2+3),9,2))),-1))))</f>
        <v/>
      </c>
      <c r="U386">
        <f>IF($R386="","",IF(OR($S386&lt;0,$T386&lt;0),0,MAX(0,MIN($T386,EOMONTH(급여기준월,0))-MAX($S386,급여기준월)+1)))</f>
        <v/>
      </c>
      <c r="V386">
        <f>IF($R386="","",TRIM(INDEX('입력_구리근무자명단'!$A384:$ZZ384,1,$E$2+5)&amp;""))</f>
        <v/>
      </c>
      <c r="W386">
        <f>IF(ISNUMBER(SEARCH("구리독자",$V386)),"구리독자","")</f>
        <v/>
      </c>
      <c r="X386">
        <f>IF($R386="","",$R386&amp;"|"&amp;IF(OR($Q386="인턴",ISNUMBER(SEARCH("수련교육부",$P386))),"인턴",$P386))</f>
        <v/>
      </c>
      <c r="Y386">
        <f>IF($R386="","",IF(COUNTIF(명단표[이름|과],$X386)=1,"명단 일치",IF(AND(COUNTIF(명단표[이름|과],$X386)=0,COUNTIF(명단표[이름],$R386)=1),"명단 일치(이름만, 과 다름)",IF(COUNTIF(명단표[이름],$R386)=0,IF(COUNTIF(기본자료표[이름],$R386)&gt;0,"명단에 없음(기본자료에는 있음)","명단에 없음"),"동명이인 확인"))))</f>
        <v/>
      </c>
      <c r="Z386">
        <f>IF($R386="","",IF($S386&lt;0,"⚠"&amp;INDEX('입력_구리근무자명단'!$A384:$ZZ384,1,$E$2+2),TEXT($S386,"yyyy-mm-dd")))</f>
        <v/>
      </c>
      <c r="AA386">
        <f>IF($R386="","",IF($T386&lt;0,"⚠"&amp;INDEX('입력_구리근무자명단'!$A384:$ZZ384,1,$E$2+3),TEXT($T386,"yyyy-mm-dd")))</f>
        <v/>
      </c>
      <c r="AB386">
        <f>AB385+IF($R386="",0,1)</f>
        <v/>
      </c>
      <c r="AC386">
        <f>IF($R386="","",$AB386)</f>
        <v/>
      </c>
    </row>
    <row r="387">
      <c r="A387">
        <f>IFERROR(INDEX($O$6:$O$1505,MATCH(382,$AC$6:$AC$1505,0)),"")</f>
        <v/>
      </c>
      <c r="B387">
        <f>IF(ISNUMBER($A387),INDEX($P$6:$P$1505,$A387-3),"")</f>
        <v/>
      </c>
      <c r="C387">
        <f>IF(ISNUMBER($A387),INDEX($Q$6:$Q$1505,$A387-3),"")</f>
        <v/>
      </c>
      <c r="D387">
        <f>IF(ISNUMBER($A387),INDEX($R$6:$R$1505,$A387-3),"")</f>
        <v/>
      </c>
      <c r="E387">
        <f>IF(ISNUMBER($A387),$G$2,"")</f>
        <v/>
      </c>
      <c r="F387">
        <f>IF(ISNUMBER($A387),INDEX($Z$6:$Z$1505,$A387-3),"")</f>
        <v/>
      </c>
      <c r="G387">
        <f>IF(ISNUMBER($A387),INDEX($AA$6:$AA$1505,$A387-3),"")</f>
        <v/>
      </c>
      <c r="H387">
        <f>IF(ISNUMBER($A387),INDEX($U$6:$U$1505,$A387-3),"")</f>
        <v/>
      </c>
      <c r="I387">
        <f>IF(ISNUMBER($A387),INDEX($V$6:$V$1505,$A387-3),"")</f>
        <v/>
      </c>
      <c r="J387">
        <f>IF(ISNUMBER($A387),INDEX($W$6:$W$1505,$A387-3),"")</f>
        <v/>
      </c>
      <c r="K387">
        <f>IF(ISNUMBER($A387),INDEX($X$6:$X$1505,$A387-3),"")</f>
        <v/>
      </c>
      <c r="L387">
        <f>IF(ISNUMBER($A387),INDEX($Y$6:$Y$1505,$A387-3),"")</f>
        <v/>
      </c>
      <c r="O387">
        <f>385</f>
        <v/>
      </c>
      <c r="P387">
        <f>IF(TRIM('입력_구리근무자명단'!$A385&amp;"")&lt;&gt;"",TRIM('입력_구리근무자명단'!$A385&amp;""),P386)</f>
        <v/>
      </c>
      <c r="Q387">
        <f>'입력_구리근무자명단'!$B385&amp;""</f>
        <v/>
      </c>
      <c r="R387">
        <f>IF($E$2="","",TRIM(INDEX('입력_구리근무자명단'!$A385:$ZZ385,1,$E$2+IF($G$2="확정",1,0))&amp;""))</f>
        <v/>
      </c>
      <c r="S387">
        <f>IF($R387="","",IF(INDEX('입력_구리근무자명단'!$A385:$ZZ385,1,$E$2+2)&amp;""="",급여기준월,IF(ISNUMBER(INDEX('입력_구리근무자명단'!$A385:$ZZ385,1,$E$2+2)),INDEX('입력_구리근무자명단'!$A385:$ZZ385,1,$E$2+2),IFERROR(DATE(VALUE(LEFT(INDEX('입력_구리근무자명단'!$A385:$ZZ385,1,$E$2+2),4)),VALUE(MID(INDEX('입력_구리근무자명단'!$A385:$ZZ385,1,$E$2+2),6,2)),VALUE(MID(INDEX('입력_구리근무자명단'!$A385:$ZZ385,1,$E$2+2),9,2))),-1))))</f>
        <v/>
      </c>
      <c r="T387">
        <f>IF($R387="","",IF(INDEX('입력_구리근무자명단'!$A385:$ZZ385,1,$E$2+3)&amp;""="",EOMONTH(급여기준월,0),IF(ISNUMBER(INDEX('입력_구리근무자명단'!$A385:$ZZ385,1,$E$2+3)),INDEX('입력_구리근무자명단'!$A385:$ZZ385,1,$E$2+3),IFERROR(DATE(VALUE(LEFT(INDEX('입력_구리근무자명단'!$A385:$ZZ385,1,$E$2+3),4)),VALUE(MID(INDEX('입력_구리근무자명단'!$A385:$ZZ385,1,$E$2+3),6,2)),VALUE(MID(INDEX('입력_구리근무자명단'!$A385:$ZZ385,1,$E$2+3),9,2))),-1))))</f>
        <v/>
      </c>
      <c r="U387">
        <f>IF($R387="","",IF(OR($S387&lt;0,$T387&lt;0),0,MAX(0,MIN($T387,EOMONTH(급여기준월,0))-MAX($S387,급여기준월)+1)))</f>
        <v/>
      </c>
      <c r="V387">
        <f>IF($R387="","",TRIM(INDEX('입력_구리근무자명단'!$A385:$ZZ385,1,$E$2+5)&amp;""))</f>
        <v/>
      </c>
      <c r="W387">
        <f>IF(ISNUMBER(SEARCH("구리독자",$V387)),"구리독자","")</f>
        <v/>
      </c>
      <c r="X387">
        <f>IF($R387="","",$R387&amp;"|"&amp;IF(OR($Q387="인턴",ISNUMBER(SEARCH("수련교육부",$P387))),"인턴",$P387))</f>
        <v/>
      </c>
      <c r="Y387">
        <f>IF($R387="","",IF(COUNTIF(명단표[이름|과],$X387)=1,"명단 일치",IF(AND(COUNTIF(명단표[이름|과],$X387)=0,COUNTIF(명단표[이름],$R387)=1),"명단 일치(이름만, 과 다름)",IF(COUNTIF(명단표[이름],$R387)=0,IF(COUNTIF(기본자료표[이름],$R387)&gt;0,"명단에 없음(기본자료에는 있음)","명단에 없음"),"동명이인 확인"))))</f>
        <v/>
      </c>
      <c r="Z387">
        <f>IF($R387="","",IF($S387&lt;0,"⚠"&amp;INDEX('입력_구리근무자명단'!$A385:$ZZ385,1,$E$2+2),TEXT($S387,"yyyy-mm-dd")))</f>
        <v/>
      </c>
      <c r="AA387">
        <f>IF($R387="","",IF($T387&lt;0,"⚠"&amp;INDEX('입력_구리근무자명단'!$A385:$ZZ385,1,$E$2+3),TEXT($T387,"yyyy-mm-dd")))</f>
        <v/>
      </c>
      <c r="AB387">
        <f>AB386+IF($R387="",0,1)</f>
        <v/>
      </c>
      <c r="AC387">
        <f>IF($R387="","",$AB387)</f>
        <v/>
      </c>
    </row>
    <row r="388">
      <c r="A388">
        <f>IFERROR(INDEX($O$6:$O$1505,MATCH(383,$AC$6:$AC$1505,0)),"")</f>
        <v/>
      </c>
      <c r="B388">
        <f>IF(ISNUMBER($A388),INDEX($P$6:$P$1505,$A388-3),"")</f>
        <v/>
      </c>
      <c r="C388">
        <f>IF(ISNUMBER($A388),INDEX($Q$6:$Q$1505,$A388-3),"")</f>
        <v/>
      </c>
      <c r="D388">
        <f>IF(ISNUMBER($A388),INDEX($R$6:$R$1505,$A388-3),"")</f>
        <v/>
      </c>
      <c r="E388">
        <f>IF(ISNUMBER($A388),$G$2,"")</f>
        <v/>
      </c>
      <c r="F388">
        <f>IF(ISNUMBER($A388),INDEX($Z$6:$Z$1505,$A388-3),"")</f>
        <v/>
      </c>
      <c r="G388">
        <f>IF(ISNUMBER($A388),INDEX($AA$6:$AA$1505,$A388-3),"")</f>
        <v/>
      </c>
      <c r="H388">
        <f>IF(ISNUMBER($A388),INDEX($U$6:$U$1505,$A388-3),"")</f>
        <v/>
      </c>
      <c r="I388">
        <f>IF(ISNUMBER($A388),INDEX($V$6:$V$1505,$A388-3),"")</f>
        <v/>
      </c>
      <c r="J388">
        <f>IF(ISNUMBER($A388),INDEX($W$6:$W$1505,$A388-3),"")</f>
        <v/>
      </c>
      <c r="K388">
        <f>IF(ISNUMBER($A388),INDEX($X$6:$X$1505,$A388-3),"")</f>
        <v/>
      </c>
      <c r="L388">
        <f>IF(ISNUMBER($A388),INDEX($Y$6:$Y$1505,$A388-3),"")</f>
        <v/>
      </c>
      <c r="O388">
        <f>386</f>
        <v/>
      </c>
      <c r="P388">
        <f>IF(TRIM('입력_구리근무자명단'!$A386&amp;"")&lt;&gt;"",TRIM('입력_구리근무자명단'!$A386&amp;""),P387)</f>
        <v/>
      </c>
      <c r="Q388">
        <f>'입력_구리근무자명단'!$B386&amp;""</f>
        <v/>
      </c>
      <c r="R388">
        <f>IF($E$2="","",TRIM(INDEX('입력_구리근무자명단'!$A386:$ZZ386,1,$E$2+IF($G$2="확정",1,0))&amp;""))</f>
        <v/>
      </c>
      <c r="S388">
        <f>IF($R388="","",IF(INDEX('입력_구리근무자명단'!$A386:$ZZ386,1,$E$2+2)&amp;""="",급여기준월,IF(ISNUMBER(INDEX('입력_구리근무자명단'!$A386:$ZZ386,1,$E$2+2)),INDEX('입력_구리근무자명단'!$A386:$ZZ386,1,$E$2+2),IFERROR(DATE(VALUE(LEFT(INDEX('입력_구리근무자명단'!$A386:$ZZ386,1,$E$2+2),4)),VALUE(MID(INDEX('입력_구리근무자명단'!$A386:$ZZ386,1,$E$2+2),6,2)),VALUE(MID(INDEX('입력_구리근무자명단'!$A386:$ZZ386,1,$E$2+2),9,2))),-1))))</f>
        <v/>
      </c>
      <c r="T388">
        <f>IF($R388="","",IF(INDEX('입력_구리근무자명단'!$A386:$ZZ386,1,$E$2+3)&amp;""="",EOMONTH(급여기준월,0),IF(ISNUMBER(INDEX('입력_구리근무자명단'!$A386:$ZZ386,1,$E$2+3)),INDEX('입력_구리근무자명단'!$A386:$ZZ386,1,$E$2+3),IFERROR(DATE(VALUE(LEFT(INDEX('입력_구리근무자명단'!$A386:$ZZ386,1,$E$2+3),4)),VALUE(MID(INDEX('입력_구리근무자명단'!$A386:$ZZ386,1,$E$2+3),6,2)),VALUE(MID(INDEX('입력_구리근무자명단'!$A386:$ZZ386,1,$E$2+3),9,2))),-1))))</f>
        <v/>
      </c>
      <c r="U388">
        <f>IF($R388="","",IF(OR($S388&lt;0,$T388&lt;0),0,MAX(0,MIN($T388,EOMONTH(급여기준월,0))-MAX($S388,급여기준월)+1)))</f>
        <v/>
      </c>
      <c r="V388">
        <f>IF($R388="","",TRIM(INDEX('입력_구리근무자명단'!$A386:$ZZ386,1,$E$2+5)&amp;""))</f>
        <v/>
      </c>
      <c r="W388">
        <f>IF(ISNUMBER(SEARCH("구리독자",$V388)),"구리독자","")</f>
        <v/>
      </c>
      <c r="X388">
        <f>IF($R388="","",$R388&amp;"|"&amp;IF(OR($Q388="인턴",ISNUMBER(SEARCH("수련교육부",$P388))),"인턴",$P388))</f>
        <v/>
      </c>
      <c r="Y388">
        <f>IF($R388="","",IF(COUNTIF(명단표[이름|과],$X388)=1,"명단 일치",IF(AND(COUNTIF(명단표[이름|과],$X388)=0,COUNTIF(명단표[이름],$R388)=1),"명단 일치(이름만, 과 다름)",IF(COUNTIF(명단표[이름],$R388)=0,IF(COUNTIF(기본자료표[이름],$R388)&gt;0,"명단에 없음(기본자료에는 있음)","명단에 없음"),"동명이인 확인"))))</f>
        <v/>
      </c>
      <c r="Z388">
        <f>IF($R388="","",IF($S388&lt;0,"⚠"&amp;INDEX('입력_구리근무자명단'!$A386:$ZZ386,1,$E$2+2),TEXT($S388,"yyyy-mm-dd")))</f>
        <v/>
      </c>
      <c r="AA388">
        <f>IF($R388="","",IF($T388&lt;0,"⚠"&amp;INDEX('입력_구리근무자명단'!$A386:$ZZ386,1,$E$2+3),TEXT($T388,"yyyy-mm-dd")))</f>
        <v/>
      </c>
      <c r="AB388">
        <f>AB387+IF($R388="",0,1)</f>
        <v/>
      </c>
      <c r="AC388">
        <f>IF($R388="","",$AB388)</f>
        <v/>
      </c>
    </row>
    <row r="389">
      <c r="A389">
        <f>IFERROR(INDEX($O$6:$O$1505,MATCH(384,$AC$6:$AC$1505,0)),"")</f>
        <v/>
      </c>
      <c r="B389">
        <f>IF(ISNUMBER($A389),INDEX($P$6:$P$1505,$A389-3),"")</f>
        <v/>
      </c>
      <c r="C389">
        <f>IF(ISNUMBER($A389),INDEX($Q$6:$Q$1505,$A389-3),"")</f>
        <v/>
      </c>
      <c r="D389">
        <f>IF(ISNUMBER($A389),INDEX($R$6:$R$1505,$A389-3),"")</f>
        <v/>
      </c>
      <c r="E389">
        <f>IF(ISNUMBER($A389),$G$2,"")</f>
        <v/>
      </c>
      <c r="F389">
        <f>IF(ISNUMBER($A389),INDEX($Z$6:$Z$1505,$A389-3),"")</f>
        <v/>
      </c>
      <c r="G389">
        <f>IF(ISNUMBER($A389),INDEX($AA$6:$AA$1505,$A389-3),"")</f>
        <v/>
      </c>
      <c r="H389">
        <f>IF(ISNUMBER($A389),INDEX($U$6:$U$1505,$A389-3),"")</f>
        <v/>
      </c>
      <c r="I389">
        <f>IF(ISNUMBER($A389),INDEX($V$6:$V$1505,$A389-3),"")</f>
        <v/>
      </c>
      <c r="J389">
        <f>IF(ISNUMBER($A389),INDEX($W$6:$W$1505,$A389-3),"")</f>
        <v/>
      </c>
      <c r="K389">
        <f>IF(ISNUMBER($A389),INDEX($X$6:$X$1505,$A389-3),"")</f>
        <v/>
      </c>
      <c r="L389">
        <f>IF(ISNUMBER($A389),INDEX($Y$6:$Y$1505,$A389-3),"")</f>
        <v/>
      </c>
      <c r="O389">
        <f>387</f>
        <v/>
      </c>
      <c r="P389">
        <f>IF(TRIM('입력_구리근무자명단'!$A387&amp;"")&lt;&gt;"",TRIM('입력_구리근무자명단'!$A387&amp;""),P388)</f>
        <v/>
      </c>
      <c r="Q389">
        <f>'입력_구리근무자명단'!$B387&amp;""</f>
        <v/>
      </c>
      <c r="R389">
        <f>IF($E$2="","",TRIM(INDEX('입력_구리근무자명단'!$A387:$ZZ387,1,$E$2+IF($G$2="확정",1,0))&amp;""))</f>
        <v/>
      </c>
      <c r="S389">
        <f>IF($R389="","",IF(INDEX('입력_구리근무자명단'!$A387:$ZZ387,1,$E$2+2)&amp;""="",급여기준월,IF(ISNUMBER(INDEX('입력_구리근무자명단'!$A387:$ZZ387,1,$E$2+2)),INDEX('입력_구리근무자명단'!$A387:$ZZ387,1,$E$2+2),IFERROR(DATE(VALUE(LEFT(INDEX('입력_구리근무자명단'!$A387:$ZZ387,1,$E$2+2),4)),VALUE(MID(INDEX('입력_구리근무자명단'!$A387:$ZZ387,1,$E$2+2),6,2)),VALUE(MID(INDEX('입력_구리근무자명단'!$A387:$ZZ387,1,$E$2+2),9,2))),-1))))</f>
        <v/>
      </c>
      <c r="T389">
        <f>IF($R389="","",IF(INDEX('입력_구리근무자명단'!$A387:$ZZ387,1,$E$2+3)&amp;""="",EOMONTH(급여기준월,0),IF(ISNUMBER(INDEX('입력_구리근무자명단'!$A387:$ZZ387,1,$E$2+3)),INDEX('입력_구리근무자명단'!$A387:$ZZ387,1,$E$2+3),IFERROR(DATE(VALUE(LEFT(INDEX('입력_구리근무자명단'!$A387:$ZZ387,1,$E$2+3),4)),VALUE(MID(INDEX('입력_구리근무자명단'!$A387:$ZZ387,1,$E$2+3),6,2)),VALUE(MID(INDEX('입력_구리근무자명단'!$A387:$ZZ387,1,$E$2+3),9,2))),-1))))</f>
        <v/>
      </c>
      <c r="U389">
        <f>IF($R389="","",IF(OR($S389&lt;0,$T389&lt;0),0,MAX(0,MIN($T389,EOMONTH(급여기준월,0))-MAX($S389,급여기준월)+1)))</f>
        <v/>
      </c>
      <c r="V389">
        <f>IF($R389="","",TRIM(INDEX('입력_구리근무자명단'!$A387:$ZZ387,1,$E$2+5)&amp;""))</f>
        <v/>
      </c>
      <c r="W389">
        <f>IF(ISNUMBER(SEARCH("구리독자",$V389)),"구리독자","")</f>
        <v/>
      </c>
      <c r="X389">
        <f>IF($R389="","",$R389&amp;"|"&amp;IF(OR($Q389="인턴",ISNUMBER(SEARCH("수련교육부",$P389))),"인턴",$P389))</f>
        <v/>
      </c>
      <c r="Y389">
        <f>IF($R389="","",IF(COUNTIF(명단표[이름|과],$X389)=1,"명단 일치",IF(AND(COUNTIF(명단표[이름|과],$X389)=0,COUNTIF(명단표[이름],$R389)=1),"명단 일치(이름만, 과 다름)",IF(COUNTIF(명단표[이름],$R389)=0,IF(COUNTIF(기본자료표[이름],$R389)&gt;0,"명단에 없음(기본자료에는 있음)","명단에 없음"),"동명이인 확인"))))</f>
        <v/>
      </c>
      <c r="Z389">
        <f>IF($R389="","",IF($S389&lt;0,"⚠"&amp;INDEX('입력_구리근무자명단'!$A387:$ZZ387,1,$E$2+2),TEXT($S389,"yyyy-mm-dd")))</f>
        <v/>
      </c>
      <c r="AA389">
        <f>IF($R389="","",IF($T389&lt;0,"⚠"&amp;INDEX('입력_구리근무자명단'!$A387:$ZZ387,1,$E$2+3),TEXT($T389,"yyyy-mm-dd")))</f>
        <v/>
      </c>
      <c r="AB389">
        <f>AB388+IF($R389="",0,1)</f>
        <v/>
      </c>
      <c r="AC389">
        <f>IF($R389="","",$AB389)</f>
        <v/>
      </c>
    </row>
    <row r="390">
      <c r="A390">
        <f>IFERROR(INDEX($O$6:$O$1505,MATCH(385,$AC$6:$AC$1505,0)),"")</f>
        <v/>
      </c>
      <c r="B390">
        <f>IF(ISNUMBER($A390),INDEX($P$6:$P$1505,$A390-3),"")</f>
        <v/>
      </c>
      <c r="C390">
        <f>IF(ISNUMBER($A390),INDEX($Q$6:$Q$1505,$A390-3),"")</f>
        <v/>
      </c>
      <c r="D390">
        <f>IF(ISNUMBER($A390),INDEX($R$6:$R$1505,$A390-3),"")</f>
        <v/>
      </c>
      <c r="E390">
        <f>IF(ISNUMBER($A390),$G$2,"")</f>
        <v/>
      </c>
      <c r="F390">
        <f>IF(ISNUMBER($A390),INDEX($Z$6:$Z$1505,$A390-3),"")</f>
        <v/>
      </c>
      <c r="G390">
        <f>IF(ISNUMBER($A390),INDEX($AA$6:$AA$1505,$A390-3),"")</f>
        <v/>
      </c>
      <c r="H390">
        <f>IF(ISNUMBER($A390),INDEX($U$6:$U$1505,$A390-3),"")</f>
        <v/>
      </c>
      <c r="I390">
        <f>IF(ISNUMBER($A390),INDEX($V$6:$V$1505,$A390-3),"")</f>
        <v/>
      </c>
      <c r="J390">
        <f>IF(ISNUMBER($A390),INDEX($W$6:$W$1505,$A390-3),"")</f>
        <v/>
      </c>
      <c r="K390">
        <f>IF(ISNUMBER($A390),INDEX($X$6:$X$1505,$A390-3),"")</f>
        <v/>
      </c>
      <c r="L390">
        <f>IF(ISNUMBER($A390),INDEX($Y$6:$Y$1505,$A390-3),"")</f>
        <v/>
      </c>
      <c r="O390">
        <f>388</f>
        <v/>
      </c>
      <c r="P390">
        <f>IF(TRIM('입력_구리근무자명단'!$A388&amp;"")&lt;&gt;"",TRIM('입력_구리근무자명단'!$A388&amp;""),P389)</f>
        <v/>
      </c>
      <c r="Q390">
        <f>'입력_구리근무자명단'!$B388&amp;""</f>
        <v/>
      </c>
      <c r="R390">
        <f>IF($E$2="","",TRIM(INDEX('입력_구리근무자명단'!$A388:$ZZ388,1,$E$2+IF($G$2="확정",1,0))&amp;""))</f>
        <v/>
      </c>
      <c r="S390">
        <f>IF($R390="","",IF(INDEX('입력_구리근무자명단'!$A388:$ZZ388,1,$E$2+2)&amp;""="",급여기준월,IF(ISNUMBER(INDEX('입력_구리근무자명단'!$A388:$ZZ388,1,$E$2+2)),INDEX('입력_구리근무자명단'!$A388:$ZZ388,1,$E$2+2),IFERROR(DATE(VALUE(LEFT(INDEX('입력_구리근무자명단'!$A388:$ZZ388,1,$E$2+2),4)),VALUE(MID(INDEX('입력_구리근무자명단'!$A388:$ZZ388,1,$E$2+2),6,2)),VALUE(MID(INDEX('입력_구리근무자명단'!$A388:$ZZ388,1,$E$2+2),9,2))),-1))))</f>
        <v/>
      </c>
      <c r="T390">
        <f>IF($R390="","",IF(INDEX('입력_구리근무자명단'!$A388:$ZZ388,1,$E$2+3)&amp;""="",EOMONTH(급여기준월,0),IF(ISNUMBER(INDEX('입력_구리근무자명단'!$A388:$ZZ388,1,$E$2+3)),INDEX('입력_구리근무자명단'!$A388:$ZZ388,1,$E$2+3),IFERROR(DATE(VALUE(LEFT(INDEX('입력_구리근무자명단'!$A388:$ZZ388,1,$E$2+3),4)),VALUE(MID(INDEX('입력_구리근무자명단'!$A388:$ZZ388,1,$E$2+3),6,2)),VALUE(MID(INDEX('입력_구리근무자명단'!$A388:$ZZ388,1,$E$2+3),9,2))),-1))))</f>
        <v/>
      </c>
      <c r="U390">
        <f>IF($R390="","",IF(OR($S390&lt;0,$T390&lt;0),0,MAX(0,MIN($T390,EOMONTH(급여기준월,0))-MAX($S390,급여기준월)+1)))</f>
        <v/>
      </c>
      <c r="V390">
        <f>IF($R390="","",TRIM(INDEX('입력_구리근무자명단'!$A388:$ZZ388,1,$E$2+5)&amp;""))</f>
        <v/>
      </c>
      <c r="W390">
        <f>IF(ISNUMBER(SEARCH("구리독자",$V390)),"구리독자","")</f>
        <v/>
      </c>
      <c r="X390">
        <f>IF($R390="","",$R390&amp;"|"&amp;IF(OR($Q390="인턴",ISNUMBER(SEARCH("수련교육부",$P390))),"인턴",$P390))</f>
        <v/>
      </c>
      <c r="Y390">
        <f>IF($R390="","",IF(COUNTIF(명단표[이름|과],$X390)=1,"명단 일치",IF(AND(COUNTIF(명단표[이름|과],$X390)=0,COUNTIF(명단표[이름],$R390)=1),"명단 일치(이름만, 과 다름)",IF(COUNTIF(명단표[이름],$R390)=0,IF(COUNTIF(기본자료표[이름],$R390)&gt;0,"명단에 없음(기본자료에는 있음)","명단에 없음"),"동명이인 확인"))))</f>
        <v/>
      </c>
      <c r="Z390">
        <f>IF($R390="","",IF($S390&lt;0,"⚠"&amp;INDEX('입력_구리근무자명단'!$A388:$ZZ388,1,$E$2+2),TEXT($S390,"yyyy-mm-dd")))</f>
        <v/>
      </c>
      <c r="AA390">
        <f>IF($R390="","",IF($T390&lt;0,"⚠"&amp;INDEX('입력_구리근무자명단'!$A388:$ZZ388,1,$E$2+3),TEXT($T390,"yyyy-mm-dd")))</f>
        <v/>
      </c>
      <c r="AB390">
        <f>AB389+IF($R390="",0,1)</f>
        <v/>
      </c>
      <c r="AC390">
        <f>IF($R390="","",$AB390)</f>
        <v/>
      </c>
    </row>
    <row r="391">
      <c r="A391">
        <f>IFERROR(INDEX($O$6:$O$1505,MATCH(386,$AC$6:$AC$1505,0)),"")</f>
        <v/>
      </c>
      <c r="B391">
        <f>IF(ISNUMBER($A391),INDEX($P$6:$P$1505,$A391-3),"")</f>
        <v/>
      </c>
      <c r="C391">
        <f>IF(ISNUMBER($A391),INDEX($Q$6:$Q$1505,$A391-3),"")</f>
        <v/>
      </c>
      <c r="D391">
        <f>IF(ISNUMBER($A391),INDEX($R$6:$R$1505,$A391-3),"")</f>
        <v/>
      </c>
      <c r="E391">
        <f>IF(ISNUMBER($A391),$G$2,"")</f>
        <v/>
      </c>
      <c r="F391">
        <f>IF(ISNUMBER($A391),INDEX($Z$6:$Z$1505,$A391-3),"")</f>
        <v/>
      </c>
      <c r="G391">
        <f>IF(ISNUMBER($A391),INDEX($AA$6:$AA$1505,$A391-3),"")</f>
        <v/>
      </c>
      <c r="H391">
        <f>IF(ISNUMBER($A391),INDEX($U$6:$U$1505,$A391-3),"")</f>
        <v/>
      </c>
      <c r="I391">
        <f>IF(ISNUMBER($A391),INDEX($V$6:$V$1505,$A391-3),"")</f>
        <v/>
      </c>
      <c r="J391">
        <f>IF(ISNUMBER($A391),INDEX($W$6:$W$1505,$A391-3),"")</f>
        <v/>
      </c>
      <c r="K391">
        <f>IF(ISNUMBER($A391),INDEX($X$6:$X$1505,$A391-3),"")</f>
        <v/>
      </c>
      <c r="L391">
        <f>IF(ISNUMBER($A391),INDEX($Y$6:$Y$1505,$A391-3),"")</f>
        <v/>
      </c>
      <c r="O391">
        <f>389</f>
        <v/>
      </c>
      <c r="P391">
        <f>IF(TRIM('입력_구리근무자명단'!$A389&amp;"")&lt;&gt;"",TRIM('입력_구리근무자명단'!$A389&amp;""),P390)</f>
        <v/>
      </c>
      <c r="Q391">
        <f>'입력_구리근무자명단'!$B389&amp;""</f>
        <v/>
      </c>
      <c r="R391">
        <f>IF($E$2="","",TRIM(INDEX('입력_구리근무자명단'!$A389:$ZZ389,1,$E$2+IF($G$2="확정",1,0))&amp;""))</f>
        <v/>
      </c>
      <c r="S391">
        <f>IF($R391="","",IF(INDEX('입력_구리근무자명단'!$A389:$ZZ389,1,$E$2+2)&amp;""="",급여기준월,IF(ISNUMBER(INDEX('입력_구리근무자명단'!$A389:$ZZ389,1,$E$2+2)),INDEX('입력_구리근무자명단'!$A389:$ZZ389,1,$E$2+2),IFERROR(DATE(VALUE(LEFT(INDEX('입력_구리근무자명단'!$A389:$ZZ389,1,$E$2+2),4)),VALUE(MID(INDEX('입력_구리근무자명단'!$A389:$ZZ389,1,$E$2+2),6,2)),VALUE(MID(INDEX('입력_구리근무자명단'!$A389:$ZZ389,1,$E$2+2),9,2))),-1))))</f>
        <v/>
      </c>
      <c r="T391">
        <f>IF($R391="","",IF(INDEX('입력_구리근무자명단'!$A389:$ZZ389,1,$E$2+3)&amp;""="",EOMONTH(급여기준월,0),IF(ISNUMBER(INDEX('입력_구리근무자명단'!$A389:$ZZ389,1,$E$2+3)),INDEX('입력_구리근무자명단'!$A389:$ZZ389,1,$E$2+3),IFERROR(DATE(VALUE(LEFT(INDEX('입력_구리근무자명단'!$A389:$ZZ389,1,$E$2+3),4)),VALUE(MID(INDEX('입력_구리근무자명단'!$A389:$ZZ389,1,$E$2+3),6,2)),VALUE(MID(INDEX('입력_구리근무자명단'!$A389:$ZZ389,1,$E$2+3),9,2))),-1))))</f>
        <v/>
      </c>
      <c r="U391">
        <f>IF($R391="","",IF(OR($S391&lt;0,$T391&lt;0),0,MAX(0,MIN($T391,EOMONTH(급여기준월,0))-MAX($S391,급여기준월)+1)))</f>
        <v/>
      </c>
      <c r="V391">
        <f>IF($R391="","",TRIM(INDEX('입력_구리근무자명단'!$A389:$ZZ389,1,$E$2+5)&amp;""))</f>
        <v/>
      </c>
      <c r="W391">
        <f>IF(ISNUMBER(SEARCH("구리독자",$V391)),"구리독자","")</f>
        <v/>
      </c>
      <c r="X391">
        <f>IF($R391="","",$R391&amp;"|"&amp;IF(OR($Q391="인턴",ISNUMBER(SEARCH("수련교육부",$P391))),"인턴",$P391))</f>
        <v/>
      </c>
      <c r="Y391">
        <f>IF($R391="","",IF(COUNTIF(명단표[이름|과],$X391)=1,"명단 일치",IF(AND(COUNTIF(명단표[이름|과],$X391)=0,COUNTIF(명단표[이름],$R391)=1),"명단 일치(이름만, 과 다름)",IF(COUNTIF(명단표[이름],$R391)=0,IF(COUNTIF(기본자료표[이름],$R391)&gt;0,"명단에 없음(기본자료에는 있음)","명단에 없음"),"동명이인 확인"))))</f>
        <v/>
      </c>
      <c r="Z391">
        <f>IF($R391="","",IF($S391&lt;0,"⚠"&amp;INDEX('입력_구리근무자명단'!$A389:$ZZ389,1,$E$2+2),TEXT($S391,"yyyy-mm-dd")))</f>
        <v/>
      </c>
      <c r="AA391">
        <f>IF($R391="","",IF($T391&lt;0,"⚠"&amp;INDEX('입력_구리근무자명단'!$A389:$ZZ389,1,$E$2+3),TEXT($T391,"yyyy-mm-dd")))</f>
        <v/>
      </c>
      <c r="AB391">
        <f>AB390+IF($R391="",0,1)</f>
        <v/>
      </c>
      <c r="AC391">
        <f>IF($R391="","",$AB391)</f>
        <v/>
      </c>
    </row>
    <row r="392">
      <c r="A392">
        <f>IFERROR(INDEX($O$6:$O$1505,MATCH(387,$AC$6:$AC$1505,0)),"")</f>
        <v/>
      </c>
      <c r="B392">
        <f>IF(ISNUMBER($A392),INDEX($P$6:$P$1505,$A392-3),"")</f>
        <v/>
      </c>
      <c r="C392">
        <f>IF(ISNUMBER($A392),INDEX($Q$6:$Q$1505,$A392-3),"")</f>
        <v/>
      </c>
      <c r="D392">
        <f>IF(ISNUMBER($A392),INDEX($R$6:$R$1505,$A392-3),"")</f>
        <v/>
      </c>
      <c r="E392">
        <f>IF(ISNUMBER($A392),$G$2,"")</f>
        <v/>
      </c>
      <c r="F392">
        <f>IF(ISNUMBER($A392),INDEX($Z$6:$Z$1505,$A392-3),"")</f>
        <v/>
      </c>
      <c r="G392">
        <f>IF(ISNUMBER($A392),INDEX($AA$6:$AA$1505,$A392-3),"")</f>
        <v/>
      </c>
      <c r="H392">
        <f>IF(ISNUMBER($A392),INDEX($U$6:$U$1505,$A392-3),"")</f>
        <v/>
      </c>
      <c r="I392">
        <f>IF(ISNUMBER($A392),INDEX($V$6:$V$1505,$A392-3),"")</f>
        <v/>
      </c>
      <c r="J392">
        <f>IF(ISNUMBER($A392),INDEX($W$6:$W$1505,$A392-3),"")</f>
        <v/>
      </c>
      <c r="K392">
        <f>IF(ISNUMBER($A392),INDEX($X$6:$X$1505,$A392-3),"")</f>
        <v/>
      </c>
      <c r="L392">
        <f>IF(ISNUMBER($A392),INDEX($Y$6:$Y$1505,$A392-3),"")</f>
        <v/>
      </c>
      <c r="O392">
        <f>390</f>
        <v/>
      </c>
      <c r="P392">
        <f>IF(TRIM('입력_구리근무자명단'!$A390&amp;"")&lt;&gt;"",TRIM('입력_구리근무자명단'!$A390&amp;""),P391)</f>
        <v/>
      </c>
      <c r="Q392">
        <f>'입력_구리근무자명단'!$B390&amp;""</f>
        <v/>
      </c>
      <c r="R392">
        <f>IF($E$2="","",TRIM(INDEX('입력_구리근무자명단'!$A390:$ZZ390,1,$E$2+IF($G$2="확정",1,0))&amp;""))</f>
        <v/>
      </c>
      <c r="S392">
        <f>IF($R392="","",IF(INDEX('입력_구리근무자명단'!$A390:$ZZ390,1,$E$2+2)&amp;""="",급여기준월,IF(ISNUMBER(INDEX('입력_구리근무자명단'!$A390:$ZZ390,1,$E$2+2)),INDEX('입력_구리근무자명단'!$A390:$ZZ390,1,$E$2+2),IFERROR(DATE(VALUE(LEFT(INDEX('입력_구리근무자명단'!$A390:$ZZ390,1,$E$2+2),4)),VALUE(MID(INDEX('입력_구리근무자명단'!$A390:$ZZ390,1,$E$2+2),6,2)),VALUE(MID(INDEX('입력_구리근무자명단'!$A390:$ZZ390,1,$E$2+2),9,2))),-1))))</f>
        <v/>
      </c>
      <c r="T392">
        <f>IF($R392="","",IF(INDEX('입력_구리근무자명단'!$A390:$ZZ390,1,$E$2+3)&amp;""="",EOMONTH(급여기준월,0),IF(ISNUMBER(INDEX('입력_구리근무자명단'!$A390:$ZZ390,1,$E$2+3)),INDEX('입력_구리근무자명단'!$A390:$ZZ390,1,$E$2+3),IFERROR(DATE(VALUE(LEFT(INDEX('입력_구리근무자명단'!$A390:$ZZ390,1,$E$2+3),4)),VALUE(MID(INDEX('입력_구리근무자명단'!$A390:$ZZ390,1,$E$2+3),6,2)),VALUE(MID(INDEX('입력_구리근무자명단'!$A390:$ZZ390,1,$E$2+3),9,2))),-1))))</f>
        <v/>
      </c>
      <c r="U392">
        <f>IF($R392="","",IF(OR($S392&lt;0,$T392&lt;0),0,MAX(0,MIN($T392,EOMONTH(급여기준월,0))-MAX($S392,급여기준월)+1)))</f>
        <v/>
      </c>
      <c r="V392">
        <f>IF($R392="","",TRIM(INDEX('입력_구리근무자명단'!$A390:$ZZ390,1,$E$2+5)&amp;""))</f>
        <v/>
      </c>
      <c r="W392">
        <f>IF(ISNUMBER(SEARCH("구리독자",$V392)),"구리독자","")</f>
        <v/>
      </c>
      <c r="X392">
        <f>IF($R392="","",$R392&amp;"|"&amp;IF(OR($Q392="인턴",ISNUMBER(SEARCH("수련교육부",$P392))),"인턴",$P392))</f>
        <v/>
      </c>
      <c r="Y392">
        <f>IF($R392="","",IF(COUNTIF(명단표[이름|과],$X392)=1,"명단 일치",IF(AND(COUNTIF(명단표[이름|과],$X392)=0,COUNTIF(명단표[이름],$R392)=1),"명단 일치(이름만, 과 다름)",IF(COUNTIF(명단표[이름],$R392)=0,IF(COUNTIF(기본자료표[이름],$R392)&gt;0,"명단에 없음(기본자료에는 있음)","명단에 없음"),"동명이인 확인"))))</f>
        <v/>
      </c>
      <c r="Z392">
        <f>IF($R392="","",IF($S392&lt;0,"⚠"&amp;INDEX('입력_구리근무자명단'!$A390:$ZZ390,1,$E$2+2),TEXT($S392,"yyyy-mm-dd")))</f>
        <v/>
      </c>
      <c r="AA392">
        <f>IF($R392="","",IF($T392&lt;0,"⚠"&amp;INDEX('입력_구리근무자명단'!$A390:$ZZ390,1,$E$2+3),TEXT($T392,"yyyy-mm-dd")))</f>
        <v/>
      </c>
      <c r="AB392">
        <f>AB391+IF($R392="",0,1)</f>
        <v/>
      </c>
      <c r="AC392">
        <f>IF($R392="","",$AB392)</f>
        <v/>
      </c>
    </row>
    <row r="393">
      <c r="A393">
        <f>IFERROR(INDEX($O$6:$O$1505,MATCH(388,$AC$6:$AC$1505,0)),"")</f>
        <v/>
      </c>
      <c r="B393">
        <f>IF(ISNUMBER($A393),INDEX($P$6:$P$1505,$A393-3),"")</f>
        <v/>
      </c>
      <c r="C393">
        <f>IF(ISNUMBER($A393),INDEX($Q$6:$Q$1505,$A393-3),"")</f>
        <v/>
      </c>
      <c r="D393">
        <f>IF(ISNUMBER($A393),INDEX($R$6:$R$1505,$A393-3),"")</f>
        <v/>
      </c>
      <c r="E393">
        <f>IF(ISNUMBER($A393),$G$2,"")</f>
        <v/>
      </c>
      <c r="F393">
        <f>IF(ISNUMBER($A393),INDEX($Z$6:$Z$1505,$A393-3),"")</f>
        <v/>
      </c>
      <c r="G393">
        <f>IF(ISNUMBER($A393),INDEX($AA$6:$AA$1505,$A393-3),"")</f>
        <v/>
      </c>
      <c r="H393">
        <f>IF(ISNUMBER($A393),INDEX($U$6:$U$1505,$A393-3),"")</f>
        <v/>
      </c>
      <c r="I393">
        <f>IF(ISNUMBER($A393),INDEX($V$6:$V$1505,$A393-3),"")</f>
        <v/>
      </c>
      <c r="J393">
        <f>IF(ISNUMBER($A393),INDEX($W$6:$W$1505,$A393-3),"")</f>
        <v/>
      </c>
      <c r="K393">
        <f>IF(ISNUMBER($A393),INDEX($X$6:$X$1505,$A393-3),"")</f>
        <v/>
      </c>
      <c r="L393">
        <f>IF(ISNUMBER($A393),INDEX($Y$6:$Y$1505,$A393-3),"")</f>
        <v/>
      </c>
      <c r="O393">
        <f>391</f>
        <v/>
      </c>
      <c r="P393">
        <f>IF(TRIM('입력_구리근무자명단'!$A391&amp;"")&lt;&gt;"",TRIM('입력_구리근무자명단'!$A391&amp;""),P392)</f>
        <v/>
      </c>
      <c r="Q393">
        <f>'입력_구리근무자명단'!$B391&amp;""</f>
        <v/>
      </c>
      <c r="R393">
        <f>IF($E$2="","",TRIM(INDEX('입력_구리근무자명단'!$A391:$ZZ391,1,$E$2+IF($G$2="확정",1,0))&amp;""))</f>
        <v/>
      </c>
      <c r="S393">
        <f>IF($R393="","",IF(INDEX('입력_구리근무자명단'!$A391:$ZZ391,1,$E$2+2)&amp;""="",급여기준월,IF(ISNUMBER(INDEX('입력_구리근무자명단'!$A391:$ZZ391,1,$E$2+2)),INDEX('입력_구리근무자명단'!$A391:$ZZ391,1,$E$2+2),IFERROR(DATE(VALUE(LEFT(INDEX('입력_구리근무자명단'!$A391:$ZZ391,1,$E$2+2),4)),VALUE(MID(INDEX('입력_구리근무자명단'!$A391:$ZZ391,1,$E$2+2),6,2)),VALUE(MID(INDEX('입력_구리근무자명단'!$A391:$ZZ391,1,$E$2+2),9,2))),-1))))</f>
        <v/>
      </c>
      <c r="T393">
        <f>IF($R393="","",IF(INDEX('입력_구리근무자명단'!$A391:$ZZ391,1,$E$2+3)&amp;""="",EOMONTH(급여기준월,0),IF(ISNUMBER(INDEX('입력_구리근무자명단'!$A391:$ZZ391,1,$E$2+3)),INDEX('입력_구리근무자명단'!$A391:$ZZ391,1,$E$2+3),IFERROR(DATE(VALUE(LEFT(INDEX('입력_구리근무자명단'!$A391:$ZZ391,1,$E$2+3),4)),VALUE(MID(INDEX('입력_구리근무자명단'!$A391:$ZZ391,1,$E$2+3),6,2)),VALUE(MID(INDEX('입력_구리근무자명단'!$A391:$ZZ391,1,$E$2+3),9,2))),-1))))</f>
        <v/>
      </c>
      <c r="U393">
        <f>IF($R393="","",IF(OR($S393&lt;0,$T393&lt;0),0,MAX(0,MIN($T393,EOMONTH(급여기준월,0))-MAX($S393,급여기준월)+1)))</f>
        <v/>
      </c>
      <c r="V393">
        <f>IF($R393="","",TRIM(INDEX('입력_구리근무자명단'!$A391:$ZZ391,1,$E$2+5)&amp;""))</f>
        <v/>
      </c>
      <c r="W393">
        <f>IF(ISNUMBER(SEARCH("구리독자",$V393)),"구리독자","")</f>
        <v/>
      </c>
      <c r="X393">
        <f>IF($R393="","",$R393&amp;"|"&amp;IF(OR($Q393="인턴",ISNUMBER(SEARCH("수련교육부",$P393))),"인턴",$P393))</f>
        <v/>
      </c>
      <c r="Y393">
        <f>IF($R393="","",IF(COUNTIF(명단표[이름|과],$X393)=1,"명단 일치",IF(AND(COUNTIF(명단표[이름|과],$X393)=0,COUNTIF(명단표[이름],$R393)=1),"명단 일치(이름만, 과 다름)",IF(COUNTIF(명단표[이름],$R393)=0,IF(COUNTIF(기본자료표[이름],$R393)&gt;0,"명단에 없음(기본자료에는 있음)","명단에 없음"),"동명이인 확인"))))</f>
        <v/>
      </c>
      <c r="Z393">
        <f>IF($R393="","",IF($S393&lt;0,"⚠"&amp;INDEX('입력_구리근무자명단'!$A391:$ZZ391,1,$E$2+2),TEXT($S393,"yyyy-mm-dd")))</f>
        <v/>
      </c>
      <c r="AA393">
        <f>IF($R393="","",IF($T393&lt;0,"⚠"&amp;INDEX('입력_구리근무자명단'!$A391:$ZZ391,1,$E$2+3),TEXT($T393,"yyyy-mm-dd")))</f>
        <v/>
      </c>
      <c r="AB393">
        <f>AB392+IF($R393="",0,1)</f>
        <v/>
      </c>
      <c r="AC393">
        <f>IF($R393="","",$AB393)</f>
        <v/>
      </c>
    </row>
    <row r="394">
      <c r="A394">
        <f>IFERROR(INDEX($O$6:$O$1505,MATCH(389,$AC$6:$AC$1505,0)),"")</f>
        <v/>
      </c>
      <c r="B394">
        <f>IF(ISNUMBER($A394),INDEX($P$6:$P$1505,$A394-3),"")</f>
        <v/>
      </c>
      <c r="C394">
        <f>IF(ISNUMBER($A394),INDEX($Q$6:$Q$1505,$A394-3),"")</f>
        <v/>
      </c>
      <c r="D394">
        <f>IF(ISNUMBER($A394),INDEX($R$6:$R$1505,$A394-3),"")</f>
        <v/>
      </c>
      <c r="E394">
        <f>IF(ISNUMBER($A394),$G$2,"")</f>
        <v/>
      </c>
      <c r="F394">
        <f>IF(ISNUMBER($A394),INDEX($Z$6:$Z$1505,$A394-3),"")</f>
        <v/>
      </c>
      <c r="G394">
        <f>IF(ISNUMBER($A394),INDEX($AA$6:$AA$1505,$A394-3),"")</f>
        <v/>
      </c>
      <c r="H394">
        <f>IF(ISNUMBER($A394),INDEX($U$6:$U$1505,$A394-3),"")</f>
        <v/>
      </c>
      <c r="I394">
        <f>IF(ISNUMBER($A394),INDEX($V$6:$V$1505,$A394-3),"")</f>
        <v/>
      </c>
      <c r="J394">
        <f>IF(ISNUMBER($A394),INDEX($W$6:$W$1505,$A394-3),"")</f>
        <v/>
      </c>
      <c r="K394">
        <f>IF(ISNUMBER($A394),INDEX($X$6:$X$1505,$A394-3),"")</f>
        <v/>
      </c>
      <c r="L394">
        <f>IF(ISNUMBER($A394),INDEX($Y$6:$Y$1505,$A394-3),"")</f>
        <v/>
      </c>
      <c r="O394">
        <f>392</f>
        <v/>
      </c>
      <c r="P394">
        <f>IF(TRIM('입력_구리근무자명단'!$A392&amp;"")&lt;&gt;"",TRIM('입력_구리근무자명단'!$A392&amp;""),P393)</f>
        <v/>
      </c>
      <c r="Q394">
        <f>'입력_구리근무자명단'!$B392&amp;""</f>
        <v/>
      </c>
      <c r="R394">
        <f>IF($E$2="","",TRIM(INDEX('입력_구리근무자명단'!$A392:$ZZ392,1,$E$2+IF($G$2="확정",1,0))&amp;""))</f>
        <v/>
      </c>
      <c r="S394">
        <f>IF($R394="","",IF(INDEX('입력_구리근무자명단'!$A392:$ZZ392,1,$E$2+2)&amp;""="",급여기준월,IF(ISNUMBER(INDEX('입력_구리근무자명단'!$A392:$ZZ392,1,$E$2+2)),INDEX('입력_구리근무자명단'!$A392:$ZZ392,1,$E$2+2),IFERROR(DATE(VALUE(LEFT(INDEX('입력_구리근무자명단'!$A392:$ZZ392,1,$E$2+2),4)),VALUE(MID(INDEX('입력_구리근무자명단'!$A392:$ZZ392,1,$E$2+2),6,2)),VALUE(MID(INDEX('입력_구리근무자명단'!$A392:$ZZ392,1,$E$2+2),9,2))),-1))))</f>
        <v/>
      </c>
      <c r="T394">
        <f>IF($R394="","",IF(INDEX('입력_구리근무자명단'!$A392:$ZZ392,1,$E$2+3)&amp;""="",EOMONTH(급여기준월,0),IF(ISNUMBER(INDEX('입력_구리근무자명단'!$A392:$ZZ392,1,$E$2+3)),INDEX('입력_구리근무자명단'!$A392:$ZZ392,1,$E$2+3),IFERROR(DATE(VALUE(LEFT(INDEX('입력_구리근무자명단'!$A392:$ZZ392,1,$E$2+3),4)),VALUE(MID(INDEX('입력_구리근무자명단'!$A392:$ZZ392,1,$E$2+3),6,2)),VALUE(MID(INDEX('입력_구리근무자명단'!$A392:$ZZ392,1,$E$2+3),9,2))),-1))))</f>
        <v/>
      </c>
      <c r="U394">
        <f>IF($R394="","",IF(OR($S394&lt;0,$T394&lt;0),0,MAX(0,MIN($T394,EOMONTH(급여기준월,0))-MAX($S394,급여기준월)+1)))</f>
        <v/>
      </c>
      <c r="V394">
        <f>IF($R394="","",TRIM(INDEX('입력_구리근무자명단'!$A392:$ZZ392,1,$E$2+5)&amp;""))</f>
        <v/>
      </c>
      <c r="W394">
        <f>IF(ISNUMBER(SEARCH("구리독자",$V394)),"구리독자","")</f>
        <v/>
      </c>
      <c r="X394">
        <f>IF($R394="","",$R394&amp;"|"&amp;IF(OR($Q394="인턴",ISNUMBER(SEARCH("수련교육부",$P394))),"인턴",$P394))</f>
        <v/>
      </c>
      <c r="Y394">
        <f>IF($R394="","",IF(COUNTIF(명단표[이름|과],$X394)=1,"명단 일치",IF(AND(COUNTIF(명단표[이름|과],$X394)=0,COUNTIF(명단표[이름],$R394)=1),"명단 일치(이름만, 과 다름)",IF(COUNTIF(명단표[이름],$R394)=0,IF(COUNTIF(기본자료표[이름],$R394)&gt;0,"명단에 없음(기본자료에는 있음)","명단에 없음"),"동명이인 확인"))))</f>
        <v/>
      </c>
      <c r="Z394">
        <f>IF($R394="","",IF($S394&lt;0,"⚠"&amp;INDEX('입력_구리근무자명단'!$A392:$ZZ392,1,$E$2+2),TEXT($S394,"yyyy-mm-dd")))</f>
        <v/>
      </c>
      <c r="AA394">
        <f>IF($R394="","",IF($T394&lt;0,"⚠"&amp;INDEX('입력_구리근무자명단'!$A392:$ZZ392,1,$E$2+3),TEXT($T394,"yyyy-mm-dd")))</f>
        <v/>
      </c>
      <c r="AB394">
        <f>AB393+IF($R394="",0,1)</f>
        <v/>
      </c>
      <c r="AC394">
        <f>IF($R394="","",$AB394)</f>
        <v/>
      </c>
    </row>
    <row r="395">
      <c r="A395">
        <f>IFERROR(INDEX($O$6:$O$1505,MATCH(390,$AC$6:$AC$1505,0)),"")</f>
        <v/>
      </c>
      <c r="B395">
        <f>IF(ISNUMBER($A395),INDEX($P$6:$P$1505,$A395-3),"")</f>
        <v/>
      </c>
      <c r="C395">
        <f>IF(ISNUMBER($A395),INDEX($Q$6:$Q$1505,$A395-3),"")</f>
        <v/>
      </c>
      <c r="D395">
        <f>IF(ISNUMBER($A395),INDEX($R$6:$R$1505,$A395-3),"")</f>
        <v/>
      </c>
      <c r="E395">
        <f>IF(ISNUMBER($A395),$G$2,"")</f>
        <v/>
      </c>
      <c r="F395">
        <f>IF(ISNUMBER($A395),INDEX($Z$6:$Z$1505,$A395-3),"")</f>
        <v/>
      </c>
      <c r="G395">
        <f>IF(ISNUMBER($A395),INDEX($AA$6:$AA$1505,$A395-3),"")</f>
        <v/>
      </c>
      <c r="H395">
        <f>IF(ISNUMBER($A395),INDEX($U$6:$U$1505,$A395-3),"")</f>
        <v/>
      </c>
      <c r="I395">
        <f>IF(ISNUMBER($A395),INDEX($V$6:$V$1505,$A395-3),"")</f>
        <v/>
      </c>
      <c r="J395">
        <f>IF(ISNUMBER($A395),INDEX($W$6:$W$1505,$A395-3),"")</f>
        <v/>
      </c>
      <c r="K395">
        <f>IF(ISNUMBER($A395),INDEX($X$6:$X$1505,$A395-3),"")</f>
        <v/>
      </c>
      <c r="L395">
        <f>IF(ISNUMBER($A395),INDEX($Y$6:$Y$1505,$A395-3),"")</f>
        <v/>
      </c>
      <c r="O395">
        <f>393</f>
        <v/>
      </c>
      <c r="P395">
        <f>IF(TRIM('입력_구리근무자명단'!$A393&amp;"")&lt;&gt;"",TRIM('입력_구리근무자명단'!$A393&amp;""),P394)</f>
        <v/>
      </c>
      <c r="Q395">
        <f>'입력_구리근무자명단'!$B393&amp;""</f>
        <v/>
      </c>
      <c r="R395">
        <f>IF($E$2="","",TRIM(INDEX('입력_구리근무자명단'!$A393:$ZZ393,1,$E$2+IF($G$2="확정",1,0))&amp;""))</f>
        <v/>
      </c>
      <c r="S395">
        <f>IF($R395="","",IF(INDEX('입력_구리근무자명단'!$A393:$ZZ393,1,$E$2+2)&amp;""="",급여기준월,IF(ISNUMBER(INDEX('입력_구리근무자명단'!$A393:$ZZ393,1,$E$2+2)),INDEX('입력_구리근무자명단'!$A393:$ZZ393,1,$E$2+2),IFERROR(DATE(VALUE(LEFT(INDEX('입력_구리근무자명단'!$A393:$ZZ393,1,$E$2+2),4)),VALUE(MID(INDEX('입력_구리근무자명단'!$A393:$ZZ393,1,$E$2+2),6,2)),VALUE(MID(INDEX('입력_구리근무자명단'!$A393:$ZZ393,1,$E$2+2),9,2))),-1))))</f>
        <v/>
      </c>
      <c r="T395">
        <f>IF($R395="","",IF(INDEX('입력_구리근무자명단'!$A393:$ZZ393,1,$E$2+3)&amp;""="",EOMONTH(급여기준월,0),IF(ISNUMBER(INDEX('입력_구리근무자명단'!$A393:$ZZ393,1,$E$2+3)),INDEX('입력_구리근무자명단'!$A393:$ZZ393,1,$E$2+3),IFERROR(DATE(VALUE(LEFT(INDEX('입력_구리근무자명단'!$A393:$ZZ393,1,$E$2+3),4)),VALUE(MID(INDEX('입력_구리근무자명단'!$A393:$ZZ393,1,$E$2+3),6,2)),VALUE(MID(INDEX('입력_구리근무자명단'!$A393:$ZZ393,1,$E$2+3),9,2))),-1))))</f>
        <v/>
      </c>
      <c r="U395">
        <f>IF($R395="","",IF(OR($S395&lt;0,$T395&lt;0),0,MAX(0,MIN($T395,EOMONTH(급여기준월,0))-MAX($S395,급여기준월)+1)))</f>
        <v/>
      </c>
      <c r="V395">
        <f>IF($R395="","",TRIM(INDEX('입력_구리근무자명단'!$A393:$ZZ393,1,$E$2+5)&amp;""))</f>
        <v/>
      </c>
      <c r="W395">
        <f>IF(ISNUMBER(SEARCH("구리독자",$V395)),"구리독자","")</f>
        <v/>
      </c>
      <c r="X395">
        <f>IF($R395="","",$R395&amp;"|"&amp;IF(OR($Q395="인턴",ISNUMBER(SEARCH("수련교육부",$P395))),"인턴",$P395))</f>
        <v/>
      </c>
      <c r="Y395">
        <f>IF($R395="","",IF(COUNTIF(명단표[이름|과],$X395)=1,"명단 일치",IF(AND(COUNTIF(명단표[이름|과],$X395)=0,COUNTIF(명단표[이름],$R395)=1),"명단 일치(이름만, 과 다름)",IF(COUNTIF(명단표[이름],$R395)=0,IF(COUNTIF(기본자료표[이름],$R395)&gt;0,"명단에 없음(기본자료에는 있음)","명단에 없음"),"동명이인 확인"))))</f>
        <v/>
      </c>
      <c r="Z395">
        <f>IF($R395="","",IF($S395&lt;0,"⚠"&amp;INDEX('입력_구리근무자명단'!$A393:$ZZ393,1,$E$2+2),TEXT($S395,"yyyy-mm-dd")))</f>
        <v/>
      </c>
      <c r="AA395">
        <f>IF($R395="","",IF($T395&lt;0,"⚠"&amp;INDEX('입력_구리근무자명단'!$A393:$ZZ393,1,$E$2+3),TEXT($T395,"yyyy-mm-dd")))</f>
        <v/>
      </c>
      <c r="AB395">
        <f>AB394+IF($R395="",0,1)</f>
        <v/>
      </c>
      <c r="AC395">
        <f>IF($R395="","",$AB395)</f>
        <v/>
      </c>
    </row>
    <row r="396">
      <c r="A396">
        <f>IFERROR(INDEX($O$6:$O$1505,MATCH(391,$AC$6:$AC$1505,0)),"")</f>
        <v/>
      </c>
      <c r="B396">
        <f>IF(ISNUMBER($A396),INDEX($P$6:$P$1505,$A396-3),"")</f>
        <v/>
      </c>
      <c r="C396">
        <f>IF(ISNUMBER($A396),INDEX($Q$6:$Q$1505,$A396-3),"")</f>
        <v/>
      </c>
      <c r="D396">
        <f>IF(ISNUMBER($A396),INDEX($R$6:$R$1505,$A396-3),"")</f>
        <v/>
      </c>
      <c r="E396">
        <f>IF(ISNUMBER($A396),$G$2,"")</f>
        <v/>
      </c>
      <c r="F396">
        <f>IF(ISNUMBER($A396),INDEX($Z$6:$Z$1505,$A396-3),"")</f>
        <v/>
      </c>
      <c r="G396">
        <f>IF(ISNUMBER($A396),INDEX($AA$6:$AA$1505,$A396-3),"")</f>
        <v/>
      </c>
      <c r="H396">
        <f>IF(ISNUMBER($A396),INDEX($U$6:$U$1505,$A396-3),"")</f>
        <v/>
      </c>
      <c r="I396">
        <f>IF(ISNUMBER($A396),INDEX($V$6:$V$1505,$A396-3),"")</f>
        <v/>
      </c>
      <c r="J396">
        <f>IF(ISNUMBER($A396),INDEX($W$6:$W$1505,$A396-3),"")</f>
        <v/>
      </c>
      <c r="K396">
        <f>IF(ISNUMBER($A396),INDEX($X$6:$X$1505,$A396-3),"")</f>
        <v/>
      </c>
      <c r="L396">
        <f>IF(ISNUMBER($A396),INDEX($Y$6:$Y$1505,$A396-3),"")</f>
        <v/>
      </c>
      <c r="O396">
        <f>394</f>
        <v/>
      </c>
      <c r="P396">
        <f>IF(TRIM('입력_구리근무자명단'!$A394&amp;"")&lt;&gt;"",TRIM('입력_구리근무자명단'!$A394&amp;""),P395)</f>
        <v/>
      </c>
      <c r="Q396">
        <f>'입력_구리근무자명단'!$B394&amp;""</f>
        <v/>
      </c>
      <c r="R396">
        <f>IF($E$2="","",TRIM(INDEX('입력_구리근무자명단'!$A394:$ZZ394,1,$E$2+IF($G$2="확정",1,0))&amp;""))</f>
        <v/>
      </c>
      <c r="S396">
        <f>IF($R396="","",IF(INDEX('입력_구리근무자명단'!$A394:$ZZ394,1,$E$2+2)&amp;""="",급여기준월,IF(ISNUMBER(INDEX('입력_구리근무자명단'!$A394:$ZZ394,1,$E$2+2)),INDEX('입력_구리근무자명단'!$A394:$ZZ394,1,$E$2+2),IFERROR(DATE(VALUE(LEFT(INDEX('입력_구리근무자명단'!$A394:$ZZ394,1,$E$2+2),4)),VALUE(MID(INDEX('입력_구리근무자명단'!$A394:$ZZ394,1,$E$2+2),6,2)),VALUE(MID(INDEX('입력_구리근무자명단'!$A394:$ZZ394,1,$E$2+2),9,2))),-1))))</f>
        <v/>
      </c>
      <c r="T396">
        <f>IF($R396="","",IF(INDEX('입력_구리근무자명단'!$A394:$ZZ394,1,$E$2+3)&amp;""="",EOMONTH(급여기준월,0),IF(ISNUMBER(INDEX('입력_구리근무자명단'!$A394:$ZZ394,1,$E$2+3)),INDEX('입력_구리근무자명단'!$A394:$ZZ394,1,$E$2+3),IFERROR(DATE(VALUE(LEFT(INDEX('입력_구리근무자명단'!$A394:$ZZ394,1,$E$2+3),4)),VALUE(MID(INDEX('입력_구리근무자명단'!$A394:$ZZ394,1,$E$2+3),6,2)),VALUE(MID(INDEX('입력_구리근무자명단'!$A394:$ZZ394,1,$E$2+3),9,2))),-1))))</f>
        <v/>
      </c>
      <c r="U396">
        <f>IF($R396="","",IF(OR($S396&lt;0,$T396&lt;0),0,MAX(0,MIN($T396,EOMONTH(급여기준월,0))-MAX($S396,급여기준월)+1)))</f>
        <v/>
      </c>
      <c r="V396">
        <f>IF($R396="","",TRIM(INDEX('입력_구리근무자명단'!$A394:$ZZ394,1,$E$2+5)&amp;""))</f>
        <v/>
      </c>
      <c r="W396">
        <f>IF(ISNUMBER(SEARCH("구리독자",$V396)),"구리독자","")</f>
        <v/>
      </c>
      <c r="X396">
        <f>IF($R396="","",$R396&amp;"|"&amp;IF(OR($Q396="인턴",ISNUMBER(SEARCH("수련교육부",$P396))),"인턴",$P396))</f>
        <v/>
      </c>
      <c r="Y396">
        <f>IF($R396="","",IF(COUNTIF(명단표[이름|과],$X396)=1,"명단 일치",IF(AND(COUNTIF(명단표[이름|과],$X396)=0,COUNTIF(명단표[이름],$R396)=1),"명단 일치(이름만, 과 다름)",IF(COUNTIF(명단표[이름],$R396)=0,IF(COUNTIF(기본자료표[이름],$R396)&gt;0,"명단에 없음(기본자료에는 있음)","명단에 없음"),"동명이인 확인"))))</f>
        <v/>
      </c>
      <c r="Z396">
        <f>IF($R396="","",IF($S396&lt;0,"⚠"&amp;INDEX('입력_구리근무자명단'!$A394:$ZZ394,1,$E$2+2),TEXT($S396,"yyyy-mm-dd")))</f>
        <v/>
      </c>
      <c r="AA396">
        <f>IF($R396="","",IF($T396&lt;0,"⚠"&amp;INDEX('입력_구리근무자명단'!$A394:$ZZ394,1,$E$2+3),TEXT($T396,"yyyy-mm-dd")))</f>
        <v/>
      </c>
      <c r="AB396">
        <f>AB395+IF($R396="",0,1)</f>
        <v/>
      </c>
      <c r="AC396">
        <f>IF($R396="","",$AB396)</f>
        <v/>
      </c>
    </row>
    <row r="397">
      <c r="A397">
        <f>IFERROR(INDEX($O$6:$O$1505,MATCH(392,$AC$6:$AC$1505,0)),"")</f>
        <v/>
      </c>
      <c r="B397">
        <f>IF(ISNUMBER($A397),INDEX($P$6:$P$1505,$A397-3),"")</f>
        <v/>
      </c>
      <c r="C397">
        <f>IF(ISNUMBER($A397),INDEX($Q$6:$Q$1505,$A397-3),"")</f>
        <v/>
      </c>
      <c r="D397">
        <f>IF(ISNUMBER($A397),INDEX($R$6:$R$1505,$A397-3),"")</f>
        <v/>
      </c>
      <c r="E397">
        <f>IF(ISNUMBER($A397),$G$2,"")</f>
        <v/>
      </c>
      <c r="F397">
        <f>IF(ISNUMBER($A397),INDEX($Z$6:$Z$1505,$A397-3),"")</f>
        <v/>
      </c>
      <c r="G397">
        <f>IF(ISNUMBER($A397),INDEX($AA$6:$AA$1505,$A397-3),"")</f>
        <v/>
      </c>
      <c r="H397">
        <f>IF(ISNUMBER($A397),INDEX($U$6:$U$1505,$A397-3),"")</f>
        <v/>
      </c>
      <c r="I397">
        <f>IF(ISNUMBER($A397),INDEX($V$6:$V$1505,$A397-3),"")</f>
        <v/>
      </c>
      <c r="J397">
        <f>IF(ISNUMBER($A397),INDEX($W$6:$W$1505,$A397-3),"")</f>
        <v/>
      </c>
      <c r="K397">
        <f>IF(ISNUMBER($A397),INDEX($X$6:$X$1505,$A397-3),"")</f>
        <v/>
      </c>
      <c r="L397">
        <f>IF(ISNUMBER($A397),INDEX($Y$6:$Y$1505,$A397-3),"")</f>
        <v/>
      </c>
      <c r="O397">
        <f>395</f>
        <v/>
      </c>
      <c r="P397">
        <f>IF(TRIM('입력_구리근무자명단'!$A395&amp;"")&lt;&gt;"",TRIM('입력_구리근무자명단'!$A395&amp;""),P396)</f>
        <v/>
      </c>
      <c r="Q397">
        <f>'입력_구리근무자명단'!$B395&amp;""</f>
        <v/>
      </c>
      <c r="R397">
        <f>IF($E$2="","",TRIM(INDEX('입력_구리근무자명단'!$A395:$ZZ395,1,$E$2+IF($G$2="확정",1,0))&amp;""))</f>
        <v/>
      </c>
      <c r="S397">
        <f>IF($R397="","",IF(INDEX('입력_구리근무자명단'!$A395:$ZZ395,1,$E$2+2)&amp;""="",급여기준월,IF(ISNUMBER(INDEX('입력_구리근무자명단'!$A395:$ZZ395,1,$E$2+2)),INDEX('입력_구리근무자명단'!$A395:$ZZ395,1,$E$2+2),IFERROR(DATE(VALUE(LEFT(INDEX('입력_구리근무자명단'!$A395:$ZZ395,1,$E$2+2),4)),VALUE(MID(INDEX('입력_구리근무자명단'!$A395:$ZZ395,1,$E$2+2),6,2)),VALUE(MID(INDEX('입력_구리근무자명단'!$A395:$ZZ395,1,$E$2+2),9,2))),-1))))</f>
        <v/>
      </c>
      <c r="T397">
        <f>IF($R397="","",IF(INDEX('입력_구리근무자명단'!$A395:$ZZ395,1,$E$2+3)&amp;""="",EOMONTH(급여기준월,0),IF(ISNUMBER(INDEX('입력_구리근무자명단'!$A395:$ZZ395,1,$E$2+3)),INDEX('입력_구리근무자명단'!$A395:$ZZ395,1,$E$2+3),IFERROR(DATE(VALUE(LEFT(INDEX('입력_구리근무자명단'!$A395:$ZZ395,1,$E$2+3),4)),VALUE(MID(INDEX('입력_구리근무자명단'!$A395:$ZZ395,1,$E$2+3),6,2)),VALUE(MID(INDEX('입력_구리근무자명단'!$A395:$ZZ395,1,$E$2+3),9,2))),-1))))</f>
        <v/>
      </c>
      <c r="U397">
        <f>IF($R397="","",IF(OR($S397&lt;0,$T397&lt;0),0,MAX(0,MIN($T397,EOMONTH(급여기준월,0))-MAX($S397,급여기준월)+1)))</f>
        <v/>
      </c>
      <c r="V397">
        <f>IF($R397="","",TRIM(INDEX('입력_구리근무자명단'!$A395:$ZZ395,1,$E$2+5)&amp;""))</f>
        <v/>
      </c>
      <c r="W397">
        <f>IF(ISNUMBER(SEARCH("구리독자",$V397)),"구리독자","")</f>
        <v/>
      </c>
      <c r="X397">
        <f>IF($R397="","",$R397&amp;"|"&amp;IF(OR($Q397="인턴",ISNUMBER(SEARCH("수련교육부",$P397))),"인턴",$P397))</f>
        <v/>
      </c>
      <c r="Y397">
        <f>IF($R397="","",IF(COUNTIF(명단표[이름|과],$X397)=1,"명단 일치",IF(AND(COUNTIF(명단표[이름|과],$X397)=0,COUNTIF(명단표[이름],$R397)=1),"명단 일치(이름만, 과 다름)",IF(COUNTIF(명단표[이름],$R397)=0,IF(COUNTIF(기본자료표[이름],$R397)&gt;0,"명단에 없음(기본자료에는 있음)","명단에 없음"),"동명이인 확인"))))</f>
        <v/>
      </c>
      <c r="Z397">
        <f>IF($R397="","",IF($S397&lt;0,"⚠"&amp;INDEX('입력_구리근무자명단'!$A395:$ZZ395,1,$E$2+2),TEXT($S397,"yyyy-mm-dd")))</f>
        <v/>
      </c>
      <c r="AA397">
        <f>IF($R397="","",IF($T397&lt;0,"⚠"&amp;INDEX('입력_구리근무자명단'!$A395:$ZZ395,1,$E$2+3),TEXT($T397,"yyyy-mm-dd")))</f>
        <v/>
      </c>
      <c r="AB397">
        <f>AB396+IF($R397="",0,1)</f>
        <v/>
      </c>
      <c r="AC397">
        <f>IF($R397="","",$AB397)</f>
        <v/>
      </c>
    </row>
    <row r="398">
      <c r="A398">
        <f>IFERROR(INDEX($O$6:$O$1505,MATCH(393,$AC$6:$AC$1505,0)),"")</f>
        <v/>
      </c>
      <c r="B398">
        <f>IF(ISNUMBER($A398),INDEX($P$6:$P$1505,$A398-3),"")</f>
        <v/>
      </c>
      <c r="C398">
        <f>IF(ISNUMBER($A398),INDEX($Q$6:$Q$1505,$A398-3),"")</f>
        <v/>
      </c>
      <c r="D398">
        <f>IF(ISNUMBER($A398),INDEX($R$6:$R$1505,$A398-3),"")</f>
        <v/>
      </c>
      <c r="E398">
        <f>IF(ISNUMBER($A398),$G$2,"")</f>
        <v/>
      </c>
      <c r="F398">
        <f>IF(ISNUMBER($A398),INDEX($Z$6:$Z$1505,$A398-3),"")</f>
        <v/>
      </c>
      <c r="G398">
        <f>IF(ISNUMBER($A398),INDEX($AA$6:$AA$1505,$A398-3),"")</f>
        <v/>
      </c>
      <c r="H398">
        <f>IF(ISNUMBER($A398),INDEX($U$6:$U$1505,$A398-3),"")</f>
        <v/>
      </c>
      <c r="I398">
        <f>IF(ISNUMBER($A398),INDEX($V$6:$V$1505,$A398-3),"")</f>
        <v/>
      </c>
      <c r="J398">
        <f>IF(ISNUMBER($A398),INDEX($W$6:$W$1505,$A398-3),"")</f>
        <v/>
      </c>
      <c r="K398">
        <f>IF(ISNUMBER($A398),INDEX($X$6:$X$1505,$A398-3),"")</f>
        <v/>
      </c>
      <c r="L398">
        <f>IF(ISNUMBER($A398),INDEX($Y$6:$Y$1505,$A398-3),"")</f>
        <v/>
      </c>
      <c r="O398">
        <f>396</f>
        <v/>
      </c>
      <c r="P398">
        <f>IF(TRIM('입력_구리근무자명단'!$A396&amp;"")&lt;&gt;"",TRIM('입력_구리근무자명단'!$A396&amp;""),P397)</f>
        <v/>
      </c>
      <c r="Q398">
        <f>'입력_구리근무자명단'!$B396&amp;""</f>
        <v/>
      </c>
      <c r="R398">
        <f>IF($E$2="","",TRIM(INDEX('입력_구리근무자명단'!$A396:$ZZ396,1,$E$2+IF($G$2="확정",1,0))&amp;""))</f>
        <v/>
      </c>
      <c r="S398">
        <f>IF($R398="","",IF(INDEX('입력_구리근무자명단'!$A396:$ZZ396,1,$E$2+2)&amp;""="",급여기준월,IF(ISNUMBER(INDEX('입력_구리근무자명단'!$A396:$ZZ396,1,$E$2+2)),INDEX('입력_구리근무자명단'!$A396:$ZZ396,1,$E$2+2),IFERROR(DATE(VALUE(LEFT(INDEX('입력_구리근무자명단'!$A396:$ZZ396,1,$E$2+2),4)),VALUE(MID(INDEX('입력_구리근무자명단'!$A396:$ZZ396,1,$E$2+2),6,2)),VALUE(MID(INDEX('입력_구리근무자명단'!$A396:$ZZ396,1,$E$2+2),9,2))),-1))))</f>
        <v/>
      </c>
      <c r="T398">
        <f>IF($R398="","",IF(INDEX('입력_구리근무자명단'!$A396:$ZZ396,1,$E$2+3)&amp;""="",EOMONTH(급여기준월,0),IF(ISNUMBER(INDEX('입력_구리근무자명단'!$A396:$ZZ396,1,$E$2+3)),INDEX('입력_구리근무자명단'!$A396:$ZZ396,1,$E$2+3),IFERROR(DATE(VALUE(LEFT(INDEX('입력_구리근무자명단'!$A396:$ZZ396,1,$E$2+3),4)),VALUE(MID(INDEX('입력_구리근무자명단'!$A396:$ZZ396,1,$E$2+3),6,2)),VALUE(MID(INDEX('입력_구리근무자명단'!$A396:$ZZ396,1,$E$2+3),9,2))),-1))))</f>
        <v/>
      </c>
      <c r="U398">
        <f>IF($R398="","",IF(OR($S398&lt;0,$T398&lt;0),0,MAX(0,MIN($T398,EOMONTH(급여기준월,0))-MAX($S398,급여기준월)+1)))</f>
        <v/>
      </c>
      <c r="V398">
        <f>IF($R398="","",TRIM(INDEX('입력_구리근무자명단'!$A396:$ZZ396,1,$E$2+5)&amp;""))</f>
        <v/>
      </c>
      <c r="W398">
        <f>IF(ISNUMBER(SEARCH("구리독자",$V398)),"구리독자","")</f>
        <v/>
      </c>
      <c r="X398">
        <f>IF($R398="","",$R398&amp;"|"&amp;IF(OR($Q398="인턴",ISNUMBER(SEARCH("수련교육부",$P398))),"인턴",$P398))</f>
        <v/>
      </c>
      <c r="Y398">
        <f>IF($R398="","",IF(COUNTIF(명단표[이름|과],$X398)=1,"명단 일치",IF(AND(COUNTIF(명단표[이름|과],$X398)=0,COUNTIF(명단표[이름],$R398)=1),"명단 일치(이름만, 과 다름)",IF(COUNTIF(명단표[이름],$R398)=0,IF(COUNTIF(기본자료표[이름],$R398)&gt;0,"명단에 없음(기본자료에는 있음)","명단에 없음"),"동명이인 확인"))))</f>
        <v/>
      </c>
      <c r="Z398">
        <f>IF($R398="","",IF($S398&lt;0,"⚠"&amp;INDEX('입력_구리근무자명단'!$A396:$ZZ396,1,$E$2+2),TEXT($S398,"yyyy-mm-dd")))</f>
        <v/>
      </c>
      <c r="AA398">
        <f>IF($R398="","",IF($T398&lt;0,"⚠"&amp;INDEX('입력_구리근무자명단'!$A396:$ZZ396,1,$E$2+3),TEXT($T398,"yyyy-mm-dd")))</f>
        <v/>
      </c>
      <c r="AB398">
        <f>AB397+IF($R398="",0,1)</f>
        <v/>
      </c>
      <c r="AC398">
        <f>IF($R398="","",$AB398)</f>
        <v/>
      </c>
    </row>
    <row r="399">
      <c r="A399">
        <f>IFERROR(INDEX($O$6:$O$1505,MATCH(394,$AC$6:$AC$1505,0)),"")</f>
        <v/>
      </c>
      <c r="B399">
        <f>IF(ISNUMBER($A399),INDEX($P$6:$P$1505,$A399-3),"")</f>
        <v/>
      </c>
      <c r="C399">
        <f>IF(ISNUMBER($A399),INDEX($Q$6:$Q$1505,$A399-3),"")</f>
        <v/>
      </c>
      <c r="D399">
        <f>IF(ISNUMBER($A399),INDEX($R$6:$R$1505,$A399-3),"")</f>
        <v/>
      </c>
      <c r="E399">
        <f>IF(ISNUMBER($A399),$G$2,"")</f>
        <v/>
      </c>
      <c r="F399">
        <f>IF(ISNUMBER($A399),INDEX($Z$6:$Z$1505,$A399-3),"")</f>
        <v/>
      </c>
      <c r="G399">
        <f>IF(ISNUMBER($A399),INDEX($AA$6:$AA$1505,$A399-3),"")</f>
        <v/>
      </c>
      <c r="H399">
        <f>IF(ISNUMBER($A399),INDEX($U$6:$U$1505,$A399-3),"")</f>
        <v/>
      </c>
      <c r="I399">
        <f>IF(ISNUMBER($A399),INDEX($V$6:$V$1505,$A399-3),"")</f>
        <v/>
      </c>
      <c r="J399">
        <f>IF(ISNUMBER($A399),INDEX($W$6:$W$1505,$A399-3),"")</f>
        <v/>
      </c>
      <c r="K399">
        <f>IF(ISNUMBER($A399),INDEX($X$6:$X$1505,$A399-3),"")</f>
        <v/>
      </c>
      <c r="L399">
        <f>IF(ISNUMBER($A399),INDEX($Y$6:$Y$1505,$A399-3),"")</f>
        <v/>
      </c>
      <c r="O399">
        <f>397</f>
        <v/>
      </c>
      <c r="P399">
        <f>IF(TRIM('입력_구리근무자명단'!$A397&amp;"")&lt;&gt;"",TRIM('입력_구리근무자명단'!$A397&amp;""),P398)</f>
        <v/>
      </c>
      <c r="Q399">
        <f>'입력_구리근무자명단'!$B397&amp;""</f>
        <v/>
      </c>
      <c r="R399">
        <f>IF($E$2="","",TRIM(INDEX('입력_구리근무자명단'!$A397:$ZZ397,1,$E$2+IF($G$2="확정",1,0))&amp;""))</f>
        <v/>
      </c>
      <c r="S399">
        <f>IF($R399="","",IF(INDEX('입력_구리근무자명단'!$A397:$ZZ397,1,$E$2+2)&amp;""="",급여기준월,IF(ISNUMBER(INDEX('입력_구리근무자명단'!$A397:$ZZ397,1,$E$2+2)),INDEX('입력_구리근무자명단'!$A397:$ZZ397,1,$E$2+2),IFERROR(DATE(VALUE(LEFT(INDEX('입력_구리근무자명단'!$A397:$ZZ397,1,$E$2+2),4)),VALUE(MID(INDEX('입력_구리근무자명단'!$A397:$ZZ397,1,$E$2+2),6,2)),VALUE(MID(INDEX('입력_구리근무자명단'!$A397:$ZZ397,1,$E$2+2),9,2))),-1))))</f>
        <v/>
      </c>
      <c r="T399">
        <f>IF($R399="","",IF(INDEX('입력_구리근무자명단'!$A397:$ZZ397,1,$E$2+3)&amp;""="",EOMONTH(급여기준월,0),IF(ISNUMBER(INDEX('입력_구리근무자명단'!$A397:$ZZ397,1,$E$2+3)),INDEX('입력_구리근무자명단'!$A397:$ZZ397,1,$E$2+3),IFERROR(DATE(VALUE(LEFT(INDEX('입력_구리근무자명단'!$A397:$ZZ397,1,$E$2+3),4)),VALUE(MID(INDEX('입력_구리근무자명단'!$A397:$ZZ397,1,$E$2+3),6,2)),VALUE(MID(INDEX('입력_구리근무자명단'!$A397:$ZZ397,1,$E$2+3),9,2))),-1))))</f>
        <v/>
      </c>
      <c r="U399">
        <f>IF($R399="","",IF(OR($S399&lt;0,$T399&lt;0),0,MAX(0,MIN($T399,EOMONTH(급여기준월,0))-MAX($S399,급여기준월)+1)))</f>
        <v/>
      </c>
      <c r="V399">
        <f>IF($R399="","",TRIM(INDEX('입력_구리근무자명단'!$A397:$ZZ397,1,$E$2+5)&amp;""))</f>
        <v/>
      </c>
      <c r="W399">
        <f>IF(ISNUMBER(SEARCH("구리독자",$V399)),"구리독자","")</f>
        <v/>
      </c>
      <c r="X399">
        <f>IF($R399="","",$R399&amp;"|"&amp;IF(OR($Q399="인턴",ISNUMBER(SEARCH("수련교육부",$P399))),"인턴",$P399))</f>
        <v/>
      </c>
      <c r="Y399">
        <f>IF($R399="","",IF(COUNTIF(명단표[이름|과],$X399)=1,"명단 일치",IF(AND(COUNTIF(명단표[이름|과],$X399)=0,COUNTIF(명단표[이름],$R399)=1),"명단 일치(이름만, 과 다름)",IF(COUNTIF(명단표[이름],$R399)=0,IF(COUNTIF(기본자료표[이름],$R399)&gt;0,"명단에 없음(기본자료에는 있음)","명단에 없음"),"동명이인 확인"))))</f>
        <v/>
      </c>
      <c r="Z399">
        <f>IF($R399="","",IF($S399&lt;0,"⚠"&amp;INDEX('입력_구리근무자명단'!$A397:$ZZ397,1,$E$2+2),TEXT($S399,"yyyy-mm-dd")))</f>
        <v/>
      </c>
      <c r="AA399">
        <f>IF($R399="","",IF($T399&lt;0,"⚠"&amp;INDEX('입력_구리근무자명단'!$A397:$ZZ397,1,$E$2+3),TEXT($T399,"yyyy-mm-dd")))</f>
        <v/>
      </c>
      <c r="AB399">
        <f>AB398+IF($R399="",0,1)</f>
        <v/>
      </c>
      <c r="AC399">
        <f>IF($R399="","",$AB399)</f>
        <v/>
      </c>
    </row>
    <row r="400">
      <c r="A400">
        <f>IFERROR(INDEX($O$6:$O$1505,MATCH(395,$AC$6:$AC$1505,0)),"")</f>
        <v/>
      </c>
      <c r="B400">
        <f>IF(ISNUMBER($A400),INDEX($P$6:$P$1505,$A400-3),"")</f>
        <v/>
      </c>
      <c r="C400">
        <f>IF(ISNUMBER($A400),INDEX($Q$6:$Q$1505,$A400-3),"")</f>
        <v/>
      </c>
      <c r="D400">
        <f>IF(ISNUMBER($A400),INDEX($R$6:$R$1505,$A400-3),"")</f>
        <v/>
      </c>
      <c r="E400">
        <f>IF(ISNUMBER($A400),$G$2,"")</f>
        <v/>
      </c>
      <c r="F400">
        <f>IF(ISNUMBER($A400),INDEX($Z$6:$Z$1505,$A400-3),"")</f>
        <v/>
      </c>
      <c r="G400">
        <f>IF(ISNUMBER($A400),INDEX($AA$6:$AA$1505,$A400-3),"")</f>
        <v/>
      </c>
      <c r="H400">
        <f>IF(ISNUMBER($A400),INDEX($U$6:$U$1505,$A400-3),"")</f>
        <v/>
      </c>
      <c r="I400">
        <f>IF(ISNUMBER($A400),INDEX($V$6:$V$1505,$A400-3),"")</f>
        <v/>
      </c>
      <c r="J400">
        <f>IF(ISNUMBER($A400),INDEX($W$6:$W$1505,$A400-3),"")</f>
        <v/>
      </c>
      <c r="K400">
        <f>IF(ISNUMBER($A400),INDEX($X$6:$X$1505,$A400-3),"")</f>
        <v/>
      </c>
      <c r="L400">
        <f>IF(ISNUMBER($A400),INDEX($Y$6:$Y$1505,$A400-3),"")</f>
        <v/>
      </c>
      <c r="O400">
        <f>398</f>
        <v/>
      </c>
      <c r="P400">
        <f>IF(TRIM('입력_구리근무자명단'!$A398&amp;"")&lt;&gt;"",TRIM('입력_구리근무자명단'!$A398&amp;""),P399)</f>
        <v/>
      </c>
      <c r="Q400">
        <f>'입력_구리근무자명단'!$B398&amp;""</f>
        <v/>
      </c>
      <c r="R400">
        <f>IF($E$2="","",TRIM(INDEX('입력_구리근무자명단'!$A398:$ZZ398,1,$E$2+IF($G$2="확정",1,0))&amp;""))</f>
        <v/>
      </c>
      <c r="S400">
        <f>IF($R400="","",IF(INDEX('입력_구리근무자명단'!$A398:$ZZ398,1,$E$2+2)&amp;""="",급여기준월,IF(ISNUMBER(INDEX('입력_구리근무자명단'!$A398:$ZZ398,1,$E$2+2)),INDEX('입력_구리근무자명단'!$A398:$ZZ398,1,$E$2+2),IFERROR(DATE(VALUE(LEFT(INDEX('입력_구리근무자명단'!$A398:$ZZ398,1,$E$2+2),4)),VALUE(MID(INDEX('입력_구리근무자명단'!$A398:$ZZ398,1,$E$2+2),6,2)),VALUE(MID(INDEX('입력_구리근무자명단'!$A398:$ZZ398,1,$E$2+2),9,2))),-1))))</f>
        <v/>
      </c>
      <c r="T400">
        <f>IF($R400="","",IF(INDEX('입력_구리근무자명단'!$A398:$ZZ398,1,$E$2+3)&amp;""="",EOMONTH(급여기준월,0),IF(ISNUMBER(INDEX('입력_구리근무자명단'!$A398:$ZZ398,1,$E$2+3)),INDEX('입력_구리근무자명단'!$A398:$ZZ398,1,$E$2+3),IFERROR(DATE(VALUE(LEFT(INDEX('입력_구리근무자명단'!$A398:$ZZ398,1,$E$2+3),4)),VALUE(MID(INDEX('입력_구리근무자명단'!$A398:$ZZ398,1,$E$2+3),6,2)),VALUE(MID(INDEX('입력_구리근무자명단'!$A398:$ZZ398,1,$E$2+3),9,2))),-1))))</f>
        <v/>
      </c>
      <c r="U400">
        <f>IF($R400="","",IF(OR($S400&lt;0,$T400&lt;0),0,MAX(0,MIN($T400,EOMONTH(급여기준월,0))-MAX($S400,급여기준월)+1)))</f>
        <v/>
      </c>
      <c r="V400">
        <f>IF($R400="","",TRIM(INDEX('입력_구리근무자명단'!$A398:$ZZ398,1,$E$2+5)&amp;""))</f>
        <v/>
      </c>
      <c r="W400">
        <f>IF(ISNUMBER(SEARCH("구리독자",$V400)),"구리독자","")</f>
        <v/>
      </c>
      <c r="X400">
        <f>IF($R400="","",$R400&amp;"|"&amp;IF(OR($Q400="인턴",ISNUMBER(SEARCH("수련교육부",$P400))),"인턴",$P400))</f>
        <v/>
      </c>
      <c r="Y400">
        <f>IF($R400="","",IF(COUNTIF(명단표[이름|과],$X400)=1,"명단 일치",IF(AND(COUNTIF(명단표[이름|과],$X400)=0,COUNTIF(명단표[이름],$R400)=1),"명단 일치(이름만, 과 다름)",IF(COUNTIF(명단표[이름],$R400)=0,IF(COUNTIF(기본자료표[이름],$R400)&gt;0,"명단에 없음(기본자료에는 있음)","명단에 없음"),"동명이인 확인"))))</f>
        <v/>
      </c>
      <c r="Z400">
        <f>IF($R400="","",IF($S400&lt;0,"⚠"&amp;INDEX('입력_구리근무자명단'!$A398:$ZZ398,1,$E$2+2),TEXT($S400,"yyyy-mm-dd")))</f>
        <v/>
      </c>
      <c r="AA400">
        <f>IF($R400="","",IF($T400&lt;0,"⚠"&amp;INDEX('입력_구리근무자명단'!$A398:$ZZ398,1,$E$2+3),TEXT($T400,"yyyy-mm-dd")))</f>
        <v/>
      </c>
      <c r="AB400">
        <f>AB399+IF($R400="",0,1)</f>
        <v/>
      </c>
      <c r="AC400">
        <f>IF($R400="","",$AB400)</f>
        <v/>
      </c>
    </row>
    <row r="401">
      <c r="A401">
        <f>IFERROR(INDEX($O$6:$O$1505,MATCH(396,$AC$6:$AC$1505,0)),"")</f>
        <v/>
      </c>
      <c r="B401">
        <f>IF(ISNUMBER($A401),INDEX($P$6:$P$1505,$A401-3),"")</f>
        <v/>
      </c>
      <c r="C401">
        <f>IF(ISNUMBER($A401),INDEX($Q$6:$Q$1505,$A401-3),"")</f>
        <v/>
      </c>
      <c r="D401">
        <f>IF(ISNUMBER($A401),INDEX($R$6:$R$1505,$A401-3),"")</f>
        <v/>
      </c>
      <c r="E401">
        <f>IF(ISNUMBER($A401),$G$2,"")</f>
        <v/>
      </c>
      <c r="F401">
        <f>IF(ISNUMBER($A401),INDEX($Z$6:$Z$1505,$A401-3),"")</f>
        <v/>
      </c>
      <c r="G401">
        <f>IF(ISNUMBER($A401),INDEX($AA$6:$AA$1505,$A401-3),"")</f>
        <v/>
      </c>
      <c r="H401">
        <f>IF(ISNUMBER($A401),INDEX($U$6:$U$1505,$A401-3),"")</f>
        <v/>
      </c>
      <c r="I401">
        <f>IF(ISNUMBER($A401),INDEX($V$6:$V$1505,$A401-3),"")</f>
        <v/>
      </c>
      <c r="J401">
        <f>IF(ISNUMBER($A401),INDEX($W$6:$W$1505,$A401-3),"")</f>
        <v/>
      </c>
      <c r="K401">
        <f>IF(ISNUMBER($A401),INDEX($X$6:$X$1505,$A401-3),"")</f>
        <v/>
      </c>
      <c r="L401">
        <f>IF(ISNUMBER($A401),INDEX($Y$6:$Y$1505,$A401-3),"")</f>
        <v/>
      </c>
      <c r="O401">
        <f>399</f>
        <v/>
      </c>
      <c r="P401">
        <f>IF(TRIM('입력_구리근무자명단'!$A399&amp;"")&lt;&gt;"",TRIM('입력_구리근무자명단'!$A399&amp;""),P400)</f>
        <v/>
      </c>
      <c r="Q401">
        <f>'입력_구리근무자명단'!$B399&amp;""</f>
        <v/>
      </c>
      <c r="R401">
        <f>IF($E$2="","",TRIM(INDEX('입력_구리근무자명단'!$A399:$ZZ399,1,$E$2+IF($G$2="확정",1,0))&amp;""))</f>
        <v/>
      </c>
      <c r="S401">
        <f>IF($R401="","",IF(INDEX('입력_구리근무자명단'!$A399:$ZZ399,1,$E$2+2)&amp;""="",급여기준월,IF(ISNUMBER(INDEX('입력_구리근무자명단'!$A399:$ZZ399,1,$E$2+2)),INDEX('입력_구리근무자명단'!$A399:$ZZ399,1,$E$2+2),IFERROR(DATE(VALUE(LEFT(INDEX('입력_구리근무자명단'!$A399:$ZZ399,1,$E$2+2),4)),VALUE(MID(INDEX('입력_구리근무자명단'!$A399:$ZZ399,1,$E$2+2),6,2)),VALUE(MID(INDEX('입력_구리근무자명단'!$A399:$ZZ399,1,$E$2+2),9,2))),-1))))</f>
        <v/>
      </c>
      <c r="T401">
        <f>IF($R401="","",IF(INDEX('입력_구리근무자명단'!$A399:$ZZ399,1,$E$2+3)&amp;""="",EOMONTH(급여기준월,0),IF(ISNUMBER(INDEX('입력_구리근무자명단'!$A399:$ZZ399,1,$E$2+3)),INDEX('입력_구리근무자명단'!$A399:$ZZ399,1,$E$2+3),IFERROR(DATE(VALUE(LEFT(INDEX('입력_구리근무자명단'!$A399:$ZZ399,1,$E$2+3),4)),VALUE(MID(INDEX('입력_구리근무자명단'!$A399:$ZZ399,1,$E$2+3),6,2)),VALUE(MID(INDEX('입력_구리근무자명단'!$A399:$ZZ399,1,$E$2+3),9,2))),-1))))</f>
        <v/>
      </c>
      <c r="U401">
        <f>IF($R401="","",IF(OR($S401&lt;0,$T401&lt;0),0,MAX(0,MIN($T401,EOMONTH(급여기준월,0))-MAX($S401,급여기준월)+1)))</f>
        <v/>
      </c>
      <c r="V401">
        <f>IF($R401="","",TRIM(INDEX('입력_구리근무자명단'!$A399:$ZZ399,1,$E$2+5)&amp;""))</f>
        <v/>
      </c>
      <c r="W401">
        <f>IF(ISNUMBER(SEARCH("구리독자",$V401)),"구리독자","")</f>
        <v/>
      </c>
      <c r="X401">
        <f>IF($R401="","",$R401&amp;"|"&amp;IF(OR($Q401="인턴",ISNUMBER(SEARCH("수련교육부",$P401))),"인턴",$P401))</f>
        <v/>
      </c>
      <c r="Y401">
        <f>IF($R401="","",IF(COUNTIF(명단표[이름|과],$X401)=1,"명단 일치",IF(AND(COUNTIF(명단표[이름|과],$X401)=0,COUNTIF(명단표[이름],$R401)=1),"명단 일치(이름만, 과 다름)",IF(COUNTIF(명단표[이름],$R401)=0,IF(COUNTIF(기본자료표[이름],$R401)&gt;0,"명단에 없음(기본자료에는 있음)","명단에 없음"),"동명이인 확인"))))</f>
        <v/>
      </c>
      <c r="Z401">
        <f>IF($R401="","",IF($S401&lt;0,"⚠"&amp;INDEX('입력_구리근무자명단'!$A399:$ZZ399,1,$E$2+2),TEXT($S401,"yyyy-mm-dd")))</f>
        <v/>
      </c>
      <c r="AA401">
        <f>IF($R401="","",IF($T401&lt;0,"⚠"&amp;INDEX('입력_구리근무자명단'!$A399:$ZZ399,1,$E$2+3),TEXT($T401,"yyyy-mm-dd")))</f>
        <v/>
      </c>
      <c r="AB401">
        <f>AB400+IF($R401="",0,1)</f>
        <v/>
      </c>
      <c r="AC401">
        <f>IF($R401="","",$AB401)</f>
        <v/>
      </c>
    </row>
    <row r="402">
      <c r="A402">
        <f>IFERROR(INDEX($O$6:$O$1505,MATCH(397,$AC$6:$AC$1505,0)),"")</f>
        <v/>
      </c>
      <c r="B402">
        <f>IF(ISNUMBER($A402),INDEX($P$6:$P$1505,$A402-3),"")</f>
        <v/>
      </c>
      <c r="C402">
        <f>IF(ISNUMBER($A402),INDEX($Q$6:$Q$1505,$A402-3),"")</f>
        <v/>
      </c>
      <c r="D402">
        <f>IF(ISNUMBER($A402),INDEX($R$6:$R$1505,$A402-3),"")</f>
        <v/>
      </c>
      <c r="E402">
        <f>IF(ISNUMBER($A402),$G$2,"")</f>
        <v/>
      </c>
      <c r="F402">
        <f>IF(ISNUMBER($A402),INDEX($Z$6:$Z$1505,$A402-3),"")</f>
        <v/>
      </c>
      <c r="G402">
        <f>IF(ISNUMBER($A402),INDEX($AA$6:$AA$1505,$A402-3),"")</f>
        <v/>
      </c>
      <c r="H402">
        <f>IF(ISNUMBER($A402),INDEX($U$6:$U$1505,$A402-3),"")</f>
        <v/>
      </c>
      <c r="I402">
        <f>IF(ISNUMBER($A402),INDEX($V$6:$V$1505,$A402-3),"")</f>
        <v/>
      </c>
      <c r="J402">
        <f>IF(ISNUMBER($A402),INDEX($W$6:$W$1505,$A402-3),"")</f>
        <v/>
      </c>
      <c r="K402">
        <f>IF(ISNUMBER($A402),INDEX($X$6:$X$1505,$A402-3),"")</f>
        <v/>
      </c>
      <c r="L402">
        <f>IF(ISNUMBER($A402),INDEX($Y$6:$Y$1505,$A402-3),"")</f>
        <v/>
      </c>
      <c r="O402">
        <f>400</f>
        <v/>
      </c>
      <c r="P402">
        <f>IF(TRIM('입력_구리근무자명단'!$A400&amp;"")&lt;&gt;"",TRIM('입력_구리근무자명단'!$A400&amp;""),P401)</f>
        <v/>
      </c>
      <c r="Q402">
        <f>'입력_구리근무자명단'!$B400&amp;""</f>
        <v/>
      </c>
      <c r="R402">
        <f>IF($E$2="","",TRIM(INDEX('입력_구리근무자명단'!$A400:$ZZ400,1,$E$2+IF($G$2="확정",1,0))&amp;""))</f>
        <v/>
      </c>
      <c r="S402">
        <f>IF($R402="","",IF(INDEX('입력_구리근무자명단'!$A400:$ZZ400,1,$E$2+2)&amp;""="",급여기준월,IF(ISNUMBER(INDEX('입력_구리근무자명단'!$A400:$ZZ400,1,$E$2+2)),INDEX('입력_구리근무자명단'!$A400:$ZZ400,1,$E$2+2),IFERROR(DATE(VALUE(LEFT(INDEX('입력_구리근무자명단'!$A400:$ZZ400,1,$E$2+2),4)),VALUE(MID(INDEX('입력_구리근무자명단'!$A400:$ZZ400,1,$E$2+2),6,2)),VALUE(MID(INDEX('입력_구리근무자명단'!$A400:$ZZ400,1,$E$2+2),9,2))),-1))))</f>
        <v/>
      </c>
      <c r="T402">
        <f>IF($R402="","",IF(INDEX('입력_구리근무자명단'!$A400:$ZZ400,1,$E$2+3)&amp;""="",EOMONTH(급여기준월,0),IF(ISNUMBER(INDEX('입력_구리근무자명단'!$A400:$ZZ400,1,$E$2+3)),INDEX('입력_구리근무자명단'!$A400:$ZZ400,1,$E$2+3),IFERROR(DATE(VALUE(LEFT(INDEX('입력_구리근무자명단'!$A400:$ZZ400,1,$E$2+3),4)),VALUE(MID(INDEX('입력_구리근무자명단'!$A400:$ZZ400,1,$E$2+3),6,2)),VALUE(MID(INDEX('입력_구리근무자명단'!$A400:$ZZ400,1,$E$2+3),9,2))),-1))))</f>
        <v/>
      </c>
      <c r="U402">
        <f>IF($R402="","",IF(OR($S402&lt;0,$T402&lt;0),0,MAX(0,MIN($T402,EOMONTH(급여기준월,0))-MAX($S402,급여기준월)+1)))</f>
        <v/>
      </c>
      <c r="V402">
        <f>IF($R402="","",TRIM(INDEX('입력_구리근무자명단'!$A400:$ZZ400,1,$E$2+5)&amp;""))</f>
        <v/>
      </c>
      <c r="W402">
        <f>IF(ISNUMBER(SEARCH("구리독자",$V402)),"구리독자","")</f>
        <v/>
      </c>
      <c r="X402">
        <f>IF($R402="","",$R402&amp;"|"&amp;IF(OR($Q402="인턴",ISNUMBER(SEARCH("수련교육부",$P402))),"인턴",$P402))</f>
        <v/>
      </c>
      <c r="Y402">
        <f>IF($R402="","",IF(COUNTIF(명단표[이름|과],$X402)=1,"명단 일치",IF(AND(COUNTIF(명단표[이름|과],$X402)=0,COUNTIF(명단표[이름],$R402)=1),"명단 일치(이름만, 과 다름)",IF(COUNTIF(명단표[이름],$R402)=0,IF(COUNTIF(기본자료표[이름],$R402)&gt;0,"명단에 없음(기본자료에는 있음)","명단에 없음"),"동명이인 확인"))))</f>
        <v/>
      </c>
      <c r="Z402">
        <f>IF($R402="","",IF($S402&lt;0,"⚠"&amp;INDEX('입력_구리근무자명단'!$A400:$ZZ400,1,$E$2+2),TEXT($S402,"yyyy-mm-dd")))</f>
        <v/>
      </c>
      <c r="AA402">
        <f>IF($R402="","",IF($T402&lt;0,"⚠"&amp;INDEX('입력_구리근무자명단'!$A400:$ZZ400,1,$E$2+3),TEXT($T402,"yyyy-mm-dd")))</f>
        <v/>
      </c>
      <c r="AB402">
        <f>AB401+IF($R402="",0,1)</f>
        <v/>
      </c>
      <c r="AC402">
        <f>IF($R402="","",$AB402)</f>
        <v/>
      </c>
    </row>
    <row r="403">
      <c r="A403">
        <f>IFERROR(INDEX($O$6:$O$1505,MATCH(398,$AC$6:$AC$1505,0)),"")</f>
        <v/>
      </c>
      <c r="B403">
        <f>IF(ISNUMBER($A403),INDEX($P$6:$P$1505,$A403-3),"")</f>
        <v/>
      </c>
      <c r="C403">
        <f>IF(ISNUMBER($A403),INDEX($Q$6:$Q$1505,$A403-3),"")</f>
        <v/>
      </c>
      <c r="D403">
        <f>IF(ISNUMBER($A403),INDEX($R$6:$R$1505,$A403-3),"")</f>
        <v/>
      </c>
      <c r="E403">
        <f>IF(ISNUMBER($A403),$G$2,"")</f>
        <v/>
      </c>
      <c r="F403">
        <f>IF(ISNUMBER($A403),INDEX($Z$6:$Z$1505,$A403-3),"")</f>
        <v/>
      </c>
      <c r="G403">
        <f>IF(ISNUMBER($A403),INDEX($AA$6:$AA$1505,$A403-3),"")</f>
        <v/>
      </c>
      <c r="H403">
        <f>IF(ISNUMBER($A403),INDEX($U$6:$U$1505,$A403-3),"")</f>
        <v/>
      </c>
      <c r="I403">
        <f>IF(ISNUMBER($A403),INDEX($V$6:$V$1505,$A403-3),"")</f>
        <v/>
      </c>
      <c r="J403">
        <f>IF(ISNUMBER($A403),INDEX($W$6:$W$1505,$A403-3),"")</f>
        <v/>
      </c>
      <c r="K403">
        <f>IF(ISNUMBER($A403),INDEX($X$6:$X$1505,$A403-3),"")</f>
        <v/>
      </c>
      <c r="L403">
        <f>IF(ISNUMBER($A403),INDEX($Y$6:$Y$1505,$A403-3),"")</f>
        <v/>
      </c>
      <c r="O403">
        <f>401</f>
        <v/>
      </c>
      <c r="P403">
        <f>IF(TRIM('입력_구리근무자명단'!$A401&amp;"")&lt;&gt;"",TRIM('입력_구리근무자명단'!$A401&amp;""),P402)</f>
        <v/>
      </c>
      <c r="Q403">
        <f>'입력_구리근무자명단'!$B401&amp;""</f>
        <v/>
      </c>
      <c r="R403">
        <f>IF($E$2="","",TRIM(INDEX('입력_구리근무자명단'!$A401:$ZZ401,1,$E$2+IF($G$2="확정",1,0))&amp;""))</f>
        <v/>
      </c>
      <c r="S403">
        <f>IF($R403="","",IF(INDEX('입력_구리근무자명단'!$A401:$ZZ401,1,$E$2+2)&amp;""="",급여기준월,IF(ISNUMBER(INDEX('입력_구리근무자명단'!$A401:$ZZ401,1,$E$2+2)),INDEX('입력_구리근무자명단'!$A401:$ZZ401,1,$E$2+2),IFERROR(DATE(VALUE(LEFT(INDEX('입력_구리근무자명단'!$A401:$ZZ401,1,$E$2+2),4)),VALUE(MID(INDEX('입력_구리근무자명단'!$A401:$ZZ401,1,$E$2+2),6,2)),VALUE(MID(INDEX('입력_구리근무자명단'!$A401:$ZZ401,1,$E$2+2),9,2))),-1))))</f>
        <v/>
      </c>
      <c r="T403">
        <f>IF($R403="","",IF(INDEX('입력_구리근무자명단'!$A401:$ZZ401,1,$E$2+3)&amp;""="",EOMONTH(급여기준월,0),IF(ISNUMBER(INDEX('입력_구리근무자명단'!$A401:$ZZ401,1,$E$2+3)),INDEX('입력_구리근무자명단'!$A401:$ZZ401,1,$E$2+3),IFERROR(DATE(VALUE(LEFT(INDEX('입력_구리근무자명단'!$A401:$ZZ401,1,$E$2+3),4)),VALUE(MID(INDEX('입력_구리근무자명단'!$A401:$ZZ401,1,$E$2+3),6,2)),VALUE(MID(INDEX('입력_구리근무자명단'!$A401:$ZZ401,1,$E$2+3),9,2))),-1))))</f>
        <v/>
      </c>
      <c r="U403">
        <f>IF($R403="","",IF(OR($S403&lt;0,$T403&lt;0),0,MAX(0,MIN($T403,EOMONTH(급여기준월,0))-MAX($S403,급여기준월)+1)))</f>
        <v/>
      </c>
      <c r="V403">
        <f>IF($R403="","",TRIM(INDEX('입력_구리근무자명단'!$A401:$ZZ401,1,$E$2+5)&amp;""))</f>
        <v/>
      </c>
      <c r="W403">
        <f>IF(ISNUMBER(SEARCH("구리독자",$V403)),"구리독자","")</f>
        <v/>
      </c>
      <c r="X403">
        <f>IF($R403="","",$R403&amp;"|"&amp;IF(OR($Q403="인턴",ISNUMBER(SEARCH("수련교육부",$P403))),"인턴",$P403))</f>
        <v/>
      </c>
      <c r="Y403">
        <f>IF($R403="","",IF(COUNTIF(명단표[이름|과],$X403)=1,"명단 일치",IF(AND(COUNTIF(명단표[이름|과],$X403)=0,COUNTIF(명단표[이름],$R403)=1),"명단 일치(이름만, 과 다름)",IF(COUNTIF(명단표[이름],$R403)=0,IF(COUNTIF(기본자료표[이름],$R403)&gt;0,"명단에 없음(기본자료에는 있음)","명단에 없음"),"동명이인 확인"))))</f>
        <v/>
      </c>
      <c r="Z403">
        <f>IF($R403="","",IF($S403&lt;0,"⚠"&amp;INDEX('입력_구리근무자명단'!$A401:$ZZ401,1,$E$2+2),TEXT($S403,"yyyy-mm-dd")))</f>
        <v/>
      </c>
      <c r="AA403">
        <f>IF($R403="","",IF($T403&lt;0,"⚠"&amp;INDEX('입력_구리근무자명단'!$A401:$ZZ401,1,$E$2+3),TEXT($T403,"yyyy-mm-dd")))</f>
        <v/>
      </c>
      <c r="AB403">
        <f>AB402+IF($R403="",0,1)</f>
        <v/>
      </c>
      <c r="AC403">
        <f>IF($R403="","",$AB403)</f>
        <v/>
      </c>
    </row>
    <row r="404">
      <c r="A404">
        <f>IFERROR(INDEX($O$6:$O$1505,MATCH(399,$AC$6:$AC$1505,0)),"")</f>
        <v/>
      </c>
      <c r="B404">
        <f>IF(ISNUMBER($A404),INDEX($P$6:$P$1505,$A404-3),"")</f>
        <v/>
      </c>
      <c r="C404">
        <f>IF(ISNUMBER($A404),INDEX($Q$6:$Q$1505,$A404-3),"")</f>
        <v/>
      </c>
      <c r="D404">
        <f>IF(ISNUMBER($A404),INDEX($R$6:$R$1505,$A404-3),"")</f>
        <v/>
      </c>
      <c r="E404">
        <f>IF(ISNUMBER($A404),$G$2,"")</f>
        <v/>
      </c>
      <c r="F404">
        <f>IF(ISNUMBER($A404),INDEX($Z$6:$Z$1505,$A404-3),"")</f>
        <v/>
      </c>
      <c r="G404">
        <f>IF(ISNUMBER($A404),INDEX($AA$6:$AA$1505,$A404-3),"")</f>
        <v/>
      </c>
      <c r="H404">
        <f>IF(ISNUMBER($A404),INDEX($U$6:$U$1505,$A404-3),"")</f>
        <v/>
      </c>
      <c r="I404">
        <f>IF(ISNUMBER($A404),INDEX($V$6:$V$1505,$A404-3),"")</f>
        <v/>
      </c>
      <c r="J404">
        <f>IF(ISNUMBER($A404),INDEX($W$6:$W$1505,$A404-3),"")</f>
        <v/>
      </c>
      <c r="K404">
        <f>IF(ISNUMBER($A404),INDEX($X$6:$X$1505,$A404-3),"")</f>
        <v/>
      </c>
      <c r="L404">
        <f>IF(ISNUMBER($A404),INDEX($Y$6:$Y$1505,$A404-3),"")</f>
        <v/>
      </c>
      <c r="O404">
        <f>402</f>
        <v/>
      </c>
      <c r="P404">
        <f>IF(TRIM('입력_구리근무자명단'!$A402&amp;"")&lt;&gt;"",TRIM('입력_구리근무자명단'!$A402&amp;""),P403)</f>
        <v/>
      </c>
      <c r="Q404">
        <f>'입력_구리근무자명단'!$B402&amp;""</f>
        <v/>
      </c>
      <c r="R404">
        <f>IF($E$2="","",TRIM(INDEX('입력_구리근무자명단'!$A402:$ZZ402,1,$E$2+IF($G$2="확정",1,0))&amp;""))</f>
        <v/>
      </c>
      <c r="S404">
        <f>IF($R404="","",IF(INDEX('입력_구리근무자명단'!$A402:$ZZ402,1,$E$2+2)&amp;""="",급여기준월,IF(ISNUMBER(INDEX('입력_구리근무자명단'!$A402:$ZZ402,1,$E$2+2)),INDEX('입력_구리근무자명단'!$A402:$ZZ402,1,$E$2+2),IFERROR(DATE(VALUE(LEFT(INDEX('입력_구리근무자명단'!$A402:$ZZ402,1,$E$2+2),4)),VALUE(MID(INDEX('입력_구리근무자명단'!$A402:$ZZ402,1,$E$2+2),6,2)),VALUE(MID(INDEX('입력_구리근무자명단'!$A402:$ZZ402,1,$E$2+2),9,2))),-1))))</f>
        <v/>
      </c>
      <c r="T404">
        <f>IF($R404="","",IF(INDEX('입력_구리근무자명단'!$A402:$ZZ402,1,$E$2+3)&amp;""="",EOMONTH(급여기준월,0),IF(ISNUMBER(INDEX('입력_구리근무자명단'!$A402:$ZZ402,1,$E$2+3)),INDEX('입력_구리근무자명단'!$A402:$ZZ402,1,$E$2+3),IFERROR(DATE(VALUE(LEFT(INDEX('입력_구리근무자명단'!$A402:$ZZ402,1,$E$2+3),4)),VALUE(MID(INDEX('입력_구리근무자명단'!$A402:$ZZ402,1,$E$2+3),6,2)),VALUE(MID(INDEX('입력_구리근무자명단'!$A402:$ZZ402,1,$E$2+3),9,2))),-1))))</f>
        <v/>
      </c>
      <c r="U404">
        <f>IF($R404="","",IF(OR($S404&lt;0,$T404&lt;0),0,MAX(0,MIN($T404,EOMONTH(급여기준월,0))-MAX($S404,급여기준월)+1)))</f>
        <v/>
      </c>
      <c r="V404">
        <f>IF($R404="","",TRIM(INDEX('입력_구리근무자명단'!$A402:$ZZ402,1,$E$2+5)&amp;""))</f>
        <v/>
      </c>
      <c r="W404">
        <f>IF(ISNUMBER(SEARCH("구리독자",$V404)),"구리독자","")</f>
        <v/>
      </c>
      <c r="X404">
        <f>IF($R404="","",$R404&amp;"|"&amp;IF(OR($Q404="인턴",ISNUMBER(SEARCH("수련교육부",$P404))),"인턴",$P404))</f>
        <v/>
      </c>
      <c r="Y404">
        <f>IF($R404="","",IF(COUNTIF(명단표[이름|과],$X404)=1,"명단 일치",IF(AND(COUNTIF(명단표[이름|과],$X404)=0,COUNTIF(명단표[이름],$R404)=1),"명단 일치(이름만, 과 다름)",IF(COUNTIF(명단표[이름],$R404)=0,IF(COUNTIF(기본자료표[이름],$R404)&gt;0,"명단에 없음(기본자료에는 있음)","명단에 없음"),"동명이인 확인"))))</f>
        <v/>
      </c>
      <c r="Z404">
        <f>IF($R404="","",IF($S404&lt;0,"⚠"&amp;INDEX('입력_구리근무자명단'!$A402:$ZZ402,1,$E$2+2),TEXT($S404,"yyyy-mm-dd")))</f>
        <v/>
      </c>
      <c r="AA404">
        <f>IF($R404="","",IF($T404&lt;0,"⚠"&amp;INDEX('입력_구리근무자명단'!$A402:$ZZ402,1,$E$2+3),TEXT($T404,"yyyy-mm-dd")))</f>
        <v/>
      </c>
      <c r="AB404">
        <f>AB403+IF($R404="",0,1)</f>
        <v/>
      </c>
      <c r="AC404">
        <f>IF($R404="","",$AB404)</f>
        <v/>
      </c>
    </row>
    <row r="405">
      <c r="A405">
        <f>IFERROR(INDEX($O$6:$O$1505,MATCH(400,$AC$6:$AC$1505,0)),"")</f>
        <v/>
      </c>
      <c r="B405">
        <f>IF(ISNUMBER($A405),INDEX($P$6:$P$1505,$A405-3),"")</f>
        <v/>
      </c>
      <c r="C405">
        <f>IF(ISNUMBER($A405),INDEX($Q$6:$Q$1505,$A405-3),"")</f>
        <v/>
      </c>
      <c r="D405">
        <f>IF(ISNUMBER($A405),INDEX($R$6:$R$1505,$A405-3),"")</f>
        <v/>
      </c>
      <c r="E405">
        <f>IF(ISNUMBER($A405),$G$2,"")</f>
        <v/>
      </c>
      <c r="F405">
        <f>IF(ISNUMBER($A405),INDEX($Z$6:$Z$1505,$A405-3),"")</f>
        <v/>
      </c>
      <c r="G405">
        <f>IF(ISNUMBER($A405),INDEX($AA$6:$AA$1505,$A405-3),"")</f>
        <v/>
      </c>
      <c r="H405">
        <f>IF(ISNUMBER($A405),INDEX($U$6:$U$1505,$A405-3),"")</f>
        <v/>
      </c>
      <c r="I405">
        <f>IF(ISNUMBER($A405),INDEX($V$6:$V$1505,$A405-3),"")</f>
        <v/>
      </c>
      <c r="J405">
        <f>IF(ISNUMBER($A405),INDEX($W$6:$W$1505,$A405-3),"")</f>
        <v/>
      </c>
      <c r="K405">
        <f>IF(ISNUMBER($A405),INDEX($X$6:$X$1505,$A405-3),"")</f>
        <v/>
      </c>
      <c r="L405">
        <f>IF(ISNUMBER($A405),INDEX($Y$6:$Y$1505,$A405-3),"")</f>
        <v/>
      </c>
      <c r="O405">
        <f>403</f>
        <v/>
      </c>
      <c r="P405">
        <f>IF(TRIM('입력_구리근무자명단'!$A403&amp;"")&lt;&gt;"",TRIM('입력_구리근무자명단'!$A403&amp;""),P404)</f>
        <v/>
      </c>
      <c r="Q405">
        <f>'입력_구리근무자명단'!$B403&amp;""</f>
        <v/>
      </c>
      <c r="R405">
        <f>IF($E$2="","",TRIM(INDEX('입력_구리근무자명단'!$A403:$ZZ403,1,$E$2+IF($G$2="확정",1,0))&amp;""))</f>
        <v/>
      </c>
      <c r="S405">
        <f>IF($R405="","",IF(INDEX('입력_구리근무자명단'!$A403:$ZZ403,1,$E$2+2)&amp;""="",급여기준월,IF(ISNUMBER(INDEX('입력_구리근무자명단'!$A403:$ZZ403,1,$E$2+2)),INDEX('입력_구리근무자명단'!$A403:$ZZ403,1,$E$2+2),IFERROR(DATE(VALUE(LEFT(INDEX('입력_구리근무자명단'!$A403:$ZZ403,1,$E$2+2),4)),VALUE(MID(INDEX('입력_구리근무자명단'!$A403:$ZZ403,1,$E$2+2),6,2)),VALUE(MID(INDEX('입력_구리근무자명단'!$A403:$ZZ403,1,$E$2+2),9,2))),-1))))</f>
        <v/>
      </c>
      <c r="T405">
        <f>IF($R405="","",IF(INDEX('입력_구리근무자명단'!$A403:$ZZ403,1,$E$2+3)&amp;""="",EOMONTH(급여기준월,0),IF(ISNUMBER(INDEX('입력_구리근무자명단'!$A403:$ZZ403,1,$E$2+3)),INDEX('입력_구리근무자명단'!$A403:$ZZ403,1,$E$2+3),IFERROR(DATE(VALUE(LEFT(INDEX('입력_구리근무자명단'!$A403:$ZZ403,1,$E$2+3),4)),VALUE(MID(INDEX('입력_구리근무자명단'!$A403:$ZZ403,1,$E$2+3),6,2)),VALUE(MID(INDEX('입력_구리근무자명단'!$A403:$ZZ403,1,$E$2+3),9,2))),-1))))</f>
        <v/>
      </c>
      <c r="U405">
        <f>IF($R405="","",IF(OR($S405&lt;0,$T405&lt;0),0,MAX(0,MIN($T405,EOMONTH(급여기준월,0))-MAX($S405,급여기준월)+1)))</f>
        <v/>
      </c>
      <c r="V405">
        <f>IF($R405="","",TRIM(INDEX('입력_구리근무자명단'!$A403:$ZZ403,1,$E$2+5)&amp;""))</f>
        <v/>
      </c>
      <c r="W405">
        <f>IF(ISNUMBER(SEARCH("구리독자",$V405)),"구리독자","")</f>
        <v/>
      </c>
      <c r="X405">
        <f>IF($R405="","",$R405&amp;"|"&amp;IF(OR($Q405="인턴",ISNUMBER(SEARCH("수련교육부",$P405))),"인턴",$P405))</f>
        <v/>
      </c>
      <c r="Y405">
        <f>IF($R405="","",IF(COUNTIF(명단표[이름|과],$X405)=1,"명단 일치",IF(AND(COUNTIF(명단표[이름|과],$X405)=0,COUNTIF(명단표[이름],$R405)=1),"명단 일치(이름만, 과 다름)",IF(COUNTIF(명단표[이름],$R405)=0,IF(COUNTIF(기본자료표[이름],$R405)&gt;0,"명단에 없음(기본자료에는 있음)","명단에 없음"),"동명이인 확인"))))</f>
        <v/>
      </c>
      <c r="Z405">
        <f>IF($R405="","",IF($S405&lt;0,"⚠"&amp;INDEX('입력_구리근무자명단'!$A403:$ZZ403,1,$E$2+2),TEXT($S405,"yyyy-mm-dd")))</f>
        <v/>
      </c>
      <c r="AA405">
        <f>IF($R405="","",IF($T405&lt;0,"⚠"&amp;INDEX('입력_구리근무자명단'!$A403:$ZZ403,1,$E$2+3),TEXT($T405,"yyyy-mm-dd")))</f>
        <v/>
      </c>
      <c r="AB405">
        <f>AB404+IF($R405="",0,1)</f>
        <v/>
      </c>
      <c r="AC405">
        <f>IF($R405="","",$AB405)</f>
        <v/>
      </c>
    </row>
    <row r="406">
      <c r="A406">
        <f>IFERROR(INDEX($O$6:$O$1505,MATCH(401,$AC$6:$AC$1505,0)),"")</f>
        <v/>
      </c>
      <c r="B406">
        <f>IF(ISNUMBER($A406),INDEX($P$6:$P$1505,$A406-3),"")</f>
        <v/>
      </c>
      <c r="C406">
        <f>IF(ISNUMBER($A406),INDEX($Q$6:$Q$1505,$A406-3),"")</f>
        <v/>
      </c>
      <c r="D406">
        <f>IF(ISNUMBER($A406),INDEX($R$6:$R$1505,$A406-3),"")</f>
        <v/>
      </c>
      <c r="E406">
        <f>IF(ISNUMBER($A406),$G$2,"")</f>
        <v/>
      </c>
      <c r="F406">
        <f>IF(ISNUMBER($A406),INDEX($Z$6:$Z$1505,$A406-3),"")</f>
        <v/>
      </c>
      <c r="G406">
        <f>IF(ISNUMBER($A406),INDEX($AA$6:$AA$1505,$A406-3),"")</f>
        <v/>
      </c>
      <c r="H406">
        <f>IF(ISNUMBER($A406),INDEX($U$6:$U$1505,$A406-3),"")</f>
        <v/>
      </c>
      <c r="I406">
        <f>IF(ISNUMBER($A406),INDEX($V$6:$V$1505,$A406-3),"")</f>
        <v/>
      </c>
      <c r="J406">
        <f>IF(ISNUMBER($A406),INDEX($W$6:$W$1505,$A406-3),"")</f>
        <v/>
      </c>
      <c r="K406">
        <f>IF(ISNUMBER($A406),INDEX($X$6:$X$1505,$A406-3),"")</f>
        <v/>
      </c>
      <c r="L406">
        <f>IF(ISNUMBER($A406),INDEX($Y$6:$Y$1505,$A406-3),"")</f>
        <v/>
      </c>
      <c r="O406">
        <f>404</f>
        <v/>
      </c>
      <c r="P406">
        <f>IF(TRIM('입력_구리근무자명단'!$A404&amp;"")&lt;&gt;"",TRIM('입력_구리근무자명단'!$A404&amp;""),P405)</f>
        <v/>
      </c>
      <c r="Q406">
        <f>'입력_구리근무자명단'!$B404&amp;""</f>
        <v/>
      </c>
      <c r="R406">
        <f>IF($E$2="","",TRIM(INDEX('입력_구리근무자명단'!$A404:$ZZ404,1,$E$2+IF($G$2="확정",1,0))&amp;""))</f>
        <v/>
      </c>
      <c r="S406">
        <f>IF($R406="","",IF(INDEX('입력_구리근무자명단'!$A404:$ZZ404,1,$E$2+2)&amp;""="",급여기준월,IF(ISNUMBER(INDEX('입력_구리근무자명단'!$A404:$ZZ404,1,$E$2+2)),INDEX('입력_구리근무자명단'!$A404:$ZZ404,1,$E$2+2),IFERROR(DATE(VALUE(LEFT(INDEX('입력_구리근무자명단'!$A404:$ZZ404,1,$E$2+2),4)),VALUE(MID(INDEX('입력_구리근무자명단'!$A404:$ZZ404,1,$E$2+2),6,2)),VALUE(MID(INDEX('입력_구리근무자명단'!$A404:$ZZ404,1,$E$2+2),9,2))),-1))))</f>
        <v/>
      </c>
      <c r="T406">
        <f>IF($R406="","",IF(INDEX('입력_구리근무자명단'!$A404:$ZZ404,1,$E$2+3)&amp;""="",EOMONTH(급여기준월,0),IF(ISNUMBER(INDEX('입력_구리근무자명단'!$A404:$ZZ404,1,$E$2+3)),INDEX('입력_구리근무자명단'!$A404:$ZZ404,1,$E$2+3),IFERROR(DATE(VALUE(LEFT(INDEX('입력_구리근무자명단'!$A404:$ZZ404,1,$E$2+3),4)),VALUE(MID(INDEX('입력_구리근무자명단'!$A404:$ZZ404,1,$E$2+3),6,2)),VALUE(MID(INDEX('입력_구리근무자명단'!$A404:$ZZ404,1,$E$2+3),9,2))),-1))))</f>
        <v/>
      </c>
      <c r="U406">
        <f>IF($R406="","",IF(OR($S406&lt;0,$T406&lt;0),0,MAX(0,MIN($T406,EOMONTH(급여기준월,0))-MAX($S406,급여기준월)+1)))</f>
        <v/>
      </c>
      <c r="V406">
        <f>IF($R406="","",TRIM(INDEX('입력_구리근무자명단'!$A404:$ZZ404,1,$E$2+5)&amp;""))</f>
        <v/>
      </c>
      <c r="W406">
        <f>IF(ISNUMBER(SEARCH("구리독자",$V406)),"구리독자","")</f>
        <v/>
      </c>
      <c r="X406">
        <f>IF($R406="","",$R406&amp;"|"&amp;IF(OR($Q406="인턴",ISNUMBER(SEARCH("수련교육부",$P406))),"인턴",$P406))</f>
        <v/>
      </c>
      <c r="Y406">
        <f>IF($R406="","",IF(COUNTIF(명단표[이름|과],$X406)=1,"명단 일치",IF(AND(COUNTIF(명단표[이름|과],$X406)=0,COUNTIF(명단표[이름],$R406)=1),"명단 일치(이름만, 과 다름)",IF(COUNTIF(명단표[이름],$R406)=0,IF(COUNTIF(기본자료표[이름],$R406)&gt;0,"명단에 없음(기본자료에는 있음)","명단에 없음"),"동명이인 확인"))))</f>
        <v/>
      </c>
      <c r="Z406">
        <f>IF($R406="","",IF($S406&lt;0,"⚠"&amp;INDEX('입력_구리근무자명단'!$A404:$ZZ404,1,$E$2+2),TEXT($S406,"yyyy-mm-dd")))</f>
        <v/>
      </c>
      <c r="AA406">
        <f>IF($R406="","",IF($T406&lt;0,"⚠"&amp;INDEX('입력_구리근무자명단'!$A404:$ZZ404,1,$E$2+3),TEXT($T406,"yyyy-mm-dd")))</f>
        <v/>
      </c>
      <c r="AB406">
        <f>AB405+IF($R406="",0,1)</f>
        <v/>
      </c>
      <c r="AC406">
        <f>IF($R406="","",$AB406)</f>
        <v/>
      </c>
    </row>
    <row r="407">
      <c r="A407">
        <f>IFERROR(INDEX($O$6:$O$1505,MATCH(402,$AC$6:$AC$1505,0)),"")</f>
        <v/>
      </c>
      <c r="B407">
        <f>IF(ISNUMBER($A407),INDEX($P$6:$P$1505,$A407-3),"")</f>
        <v/>
      </c>
      <c r="C407">
        <f>IF(ISNUMBER($A407),INDEX($Q$6:$Q$1505,$A407-3),"")</f>
        <v/>
      </c>
      <c r="D407">
        <f>IF(ISNUMBER($A407),INDEX($R$6:$R$1505,$A407-3),"")</f>
        <v/>
      </c>
      <c r="E407">
        <f>IF(ISNUMBER($A407),$G$2,"")</f>
        <v/>
      </c>
      <c r="F407">
        <f>IF(ISNUMBER($A407),INDEX($Z$6:$Z$1505,$A407-3),"")</f>
        <v/>
      </c>
      <c r="G407">
        <f>IF(ISNUMBER($A407),INDEX($AA$6:$AA$1505,$A407-3),"")</f>
        <v/>
      </c>
      <c r="H407">
        <f>IF(ISNUMBER($A407),INDEX($U$6:$U$1505,$A407-3),"")</f>
        <v/>
      </c>
      <c r="I407">
        <f>IF(ISNUMBER($A407),INDEX($V$6:$V$1505,$A407-3),"")</f>
        <v/>
      </c>
      <c r="J407">
        <f>IF(ISNUMBER($A407),INDEX($W$6:$W$1505,$A407-3),"")</f>
        <v/>
      </c>
      <c r="K407">
        <f>IF(ISNUMBER($A407),INDEX($X$6:$X$1505,$A407-3),"")</f>
        <v/>
      </c>
      <c r="L407">
        <f>IF(ISNUMBER($A407),INDEX($Y$6:$Y$1505,$A407-3),"")</f>
        <v/>
      </c>
      <c r="O407">
        <f>405</f>
        <v/>
      </c>
      <c r="P407">
        <f>IF(TRIM('입력_구리근무자명단'!$A405&amp;"")&lt;&gt;"",TRIM('입력_구리근무자명단'!$A405&amp;""),P406)</f>
        <v/>
      </c>
      <c r="Q407">
        <f>'입력_구리근무자명단'!$B405&amp;""</f>
        <v/>
      </c>
      <c r="R407">
        <f>IF($E$2="","",TRIM(INDEX('입력_구리근무자명단'!$A405:$ZZ405,1,$E$2+IF($G$2="확정",1,0))&amp;""))</f>
        <v/>
      </c>
      <c r="S407">
        <f>IF($R407="","",IF(INDEX('입력_구리근무자명단'!$A405:$ZZ405,1,$E$2+2)&amp;""="",급여기준월,IF(ISNUMBER(INDEX('입력_구리근무자명단'!$A405:$ZZ405,1,$E$2+2)),INDEX('입력_구리근무자명단'!$A405:$ZZ405,1,$E$2+2),IFERROR(DATE(VALUE(LEFT(INDEX('입력_구리근무자명단'!$A405:$ZZ405,1,$E$2+2),4)),VALUE(MID(INDEX('입력_구리근무자명단'!$A405:$ZZ405,1,$E$2+2),6,2)),VALUE(MID(INDEX('입력_구리근무자명단'!$A405:$ZZ405,1,$E$2+2),9,2))),-1))))</f>
        <v/>
      </c>
      <c r="T407">
        <f>IF($R407="","",IF(INDEX('입력_구리근무자명단'!$A405:$ZZ405,1,$E$2+3)&amp;""="",EOMONTH(급여기준월,0),IF(ISNUMBER(INDEX('입력_구리근무자명단'!$A405:$ZZ405,1,$E$2+3)),INDEX('입력_구리근무자명단'!$A405:$ZZ405,1,$E$2+3),IFERROR(DATE(VALUE(LEFT(INDEX('입력_구리근무자명단'!$A405:$ZZ405,1,$E$2+3),4)),VALUE(MID(INDEX('입력_구리근무자명단'!$A405:$ZZ405,1,$E$2+3),6,2)),VALUE(MID(INDEX('입력_구리근무자명단'!$A405:$ZZ405,1,$E$2+3),9,2))),-1))))</f>
        <v/>
      </c>
      <c r="U407">
        <f>IF($R407="","",IF(OR($S407&lt;0,$T407&lt;0),0,MAX(0,MIN($T407,EOMONTH(급여기준월,0))-MAX($S407,급여기준월)+1)))</f>
        <v/>
      </c>
      <c r="V407">
        <f>IF($R407="","",TRIM(INDEX('입력_구리근무자명단'!$A405:$ZZ405,1,$E$2+5)&amp;""))</f>
        <v/>
      </c>
      <c r="W407">
        <f>IF(ISNUMBER(SEARCH("구리독자",$V407)),"구리독자","")</f>
        <v/>
      </c>
      <c r="X407">
        <f>IF($R407="","",$R407&amp;"|"&amp;IF(OR($Q407="인턴",ISNUMBER(SEARCH("수련교육부",$P407))),"인턴",$P407))</f>
        <v/>
      </c>
      <c r="Y407">
        <f>IF($R407="","",IF(COUNTIF(명단표[이름|과],$X407)=1,"명단 일치",IF(AND(COUNTIF(명단표[이름|과],$X407)=0,COUNTIF(명단표[이름],$R407)=1),"명단 일치(이름만, 과 다름)",IF(COUNTIF(명단표[이름],$R407)=0,IF(COUNTIF(기본자료표[이름],$R407)&gt;0,"명단에 없음(기본자료에는 있음)","명단에 없음"),"동명이인 확인"))))</f>
        <v/>
      </c>
      <c r="Z407">
        <f>IF($R407="","",IF($S407&lt;0,"⚠"&amp;INDEX('입력_구리근무자명단'!$A405:$ZZ405,1,$E$2+2),TEXT($S407,"yyyy-mm-dd")))</f>
        <v/>
      </c>
      <c r="AA407">
        <f>IF($R407="","",IF($T407&lt;0,"⚠"&amp;INDEX('입력_구리근무자명단'!$A405:$ZZ405,1,$E$2+3),TEXT($T407,"yyyy-mm-dd")))</f>
        <v/>
      </c>
      <c r="AB407">
        <f>AB406+IF($R407="",0,1)</f>
        <v/>
      </c>
      <c r="AC407">
        <f>IF($R407="","",$AB407)</f>
        <v/>
      </c>
    </row>
    <row r="408">
      <c r="A408">
        <f>IFERROR(INDEX($O$6:$O$1505,MATCH(403,$AC$6:$AC$1505,0)),"")</f>
        <v/>
      </c>
      <c r="B408">
        <f>IF(ISNUMBER($A408),INDEX($P$6:$P$1505,$A408-3),"")</f>
        <v/>
      </c>
      <c r="C408">
        <f>IF(ISNUMBER($A408),INDEX($Q$6:$Q$1505,$A408-3),"")</f>
        <v/>
      </c>
      <c r="D408">
        <f>IF(ISNUMBER($A408),INDEX($R$6:$R$1505,$A408-3),"")</f>
        <v/>
      </c>
      <c r="E408">
        <f>IF(ISNUMBER($A408),$G$2,"")</f>
        <v/>
      </c>
      <c r="F408">
        <f>IF(ISNUMBER($A408),INDEX($Z$6:$Z$1505,$A408-3),"")</f>
        <v/>
      </c>
      <c r="G408">
        <f>IF(ISNUMBER($A408),INDEX($AA$6:$AA$1505,$A408-3),"")</f>
        <v/>
      </c>
      <c r="H408">
        <f>IF(ISNUMBER($A408),INDEX($U$6:$U$1505,$A408-3),"")</f>
        <v/>
      </c>
      <c r="I408">
        <f>IF(ISNUMBER($A408),INDEX($V$6:$V$1505,$A408-3),"")</f>
        <v/>
      </c>
      <c r="J408">
        <f>IF(ISNUMBER($A408),INDEX($W$6:$W$1505,$A408-3),"")</f>
        <v/>
      </c>
      <c r="K408">
        <f>IF(ISNUMBER($A408),INDEX($X$6:$X$1505,$A408-3),"")</f>
        <v/>
      </c>
      <c r="L408">
        <f>IF(ISNUMBER($A408),INDEX($Y$6:$Y$1505,$A408-3),"")</f>
        <v/>
      </c>
      <c r="O408">
        <f>406</f>
        <v/>
      </c>
      <c r="P408">
        <f>IF(TRIM('입력_구리근무자명단'!$A406&amp;"")&lt;&gt;"",TRIM('입력_구리근무자명단'!$A406&amp;""),P407)</f>
        <v/>
      </c>
      <c r="Q408">
        <f>'입력_구리근무자명단'!$B406&amp;""</f>
        <v/>
      </c>
      <c r="R408">
        <f>IF($E$2="","",TRIM(INDEX('입력_구리근무자명단'!$A406:$ZZ406,1,$E$2+IF($G$2="확정",1,0))&amp;""))</f>
        <v/>
      </c>
      <c r="S408">
        <f>IF($R408="","",IF(INDEX('입력_구리근무자명단'!$A406:$ZZ406,1,$E$2+2)&amp;""="",급여기준월,IF(ISNUMBER(INDEX('입력_구리근무자명단'!$A406:$ZZ406,1,$E$2+2)),INDEX('입력_구리근무자명단'!$A406:$ZZ406,1,$E$2+2),IFERROR(DATE(VALUE(LEFT(INDEX('입력_구리근무자명단'!$A406:$ZZ406,1,$E$2+2),4)),VALUE(MID(INDEX('입력_구리근무자명단'!$A406:$ZZ406,1,$E$2+2),6,2)),VALUE(MID(INDEX('입력_구리근무자명단'!$A406:$ZZ406,1,$E$2+2),9,2))),-1))))</f>
        <v/>
      </c>
      <c r="T408">
        <f>IF($R408="","",IF(INDEX('입력_구리근무자명단'!$A406:$ZZ406,1,$E$2+3)&amp;""="",EOMONTH(급여기준월,0),IF(ISNUMBER(INDEX('입력_구리근무자명단'!$A406:$ZZ406,1,$E$2+3)),INDEX('입력_구리근무자명단'!$A406:$ZZ406,1,$E$2+3),IFERROR(DATE(VALUE(LEFT(INDEX('입력_구리근무자명단'!$A406:$ZZ406,1,$E$2+3),4)),VALUE(MID(INDEX('입력_구리근무자명단'!$A406:$ZZ406,1,$E$2+3),6,2)),VALUE(MID(INDEX('입력_구리근무자명단'!$A406:$ZZ406,1,$E$2+3),9,2))),-1))))</f>
        <v/>
      </c>
      <c r="U408">
        <f>IF($R408="","",IF(OR($S408&lt;0,$T408&lt;0),0,MAX(0,MIN($T408,EOMONTH(급여기준월,0))-MAX($S408,급여기준월)+1)))</f>
        <v/>
      </c>
      <c r="V408">
        <f>IF($R408="","",TRIM(INDEX('입력_구리근무자명단'!$A406:$ZZ406,1,$E$2+5)&amp;""))</f>
        <v/>
      </c>
      <c r="W408">
        <f>IF(ISNUMBER(SEARCH("구리독자",$V408)),"구리독자","")</f>
        <v/>
      </c>
      <c r="X408">
        <f>IF($R408="","",$R408&amp;"|"&amp;IF(OR($Q408="인턴",ISNUMBER(SEARCH("수련교육부",$P408))),"인턴",$P408))</f>
        <v/>
      </c>
      <c r="Y408">
        <f>IF($R408="","",IF(COUNTIF(명단표[이름|과],$X408)=1,"명단 일치",IF(AND(COUNTIF(명단표[이름|과],$X408)=0,COUNTIF(명단표[이름],$R408)=1),"명단 일치(이름만, 과 다름)",IF(COUNTIF(명단표[이름],$R408)=0,IF(COUNTIF(기본자료표[이름],$R408)&gt;0,"명단에 없음(기본자료에는 있음)","명단에 없음"),"동명이인 확인"))))</f>
        <v/>
      </c>
      <c r="Z408">
        <f>IF($R408="","",IF($S408&lt;0,"⚠"&amp;INDEX('입력_구리근무자명단'!$A406:$ZZ406,1,$E$2+2),TEXT($S408,"yyyy-mm-dd")))</f>
        <v/>
      </c>
      <c r="AA408">
        <f>IF($R408="","",IF($T408&lt;0,"⚠"&amp;INDEX('입력_구리근무자명단'!$A406:$ZZ406,1,$E$2+3),TEXT($T408,"yyyy-mm-dd")))</f>
        <v/>
      </c>
      <c r="AB408">
        <f>AB407+IF($R408="",0,1)</f>
        <v/>
      </c>
      <c r="AC408">
        <f>IF($R408="","",$AB408)</f>
        <v/>
      </c>
    </row>
    <row r="409">
      <c r="A409">
        <f>IFERROR(INDEX($O$6:$O$1505,MATCH(404,$AC$6:$AC$1505,0)),"")</f>
        <v/>
      </c>
      <c r="B409">
        <f>IF(ISNUMBER($A409),INDEX($P$6:$P$1505,$A409-3),"")</f>
        <v/>
      </c>
      <c r="C409">
        <f>IF(ISNUMBER($A409),INDEX($Q$6:$Q$1505,$A409-3),"")</f>
        <v/>
      </c>
      <c r="D409">
        <f>IF(ISNUMBER($A409),INDEX($R$6:$R$1505,$A409-3),"")</f>
        <v/>
      </c>
      <c r="E409">
        <f>IF(ISNUMBER($A409),$G$2,"")</f>
        <v/>
      </c>
      <c r="F409">
        <f>IF(ISNUMBER($A409),INDEX($Z$6:$Z$1505,$A409-3),"")</f>
        <v/>
      </c>
      <c r="G409">
        <f>IF(ISNUMBER($A409),INDEX($AA$6:$AA$1505,$A409-3),"")</f>
        <v/>
      </c>
      <c r="H409">
        <f>IF(ISNUMBER($A409),INDEX($U$6:$U$1505,$A409-3),"")</f>
        <v/>
      </c>
      <c r="I409">
        <f>IF(ISNUMBER($A409),INDEX($V$6:$V$1505,$A409-3),"")</f>
        <v/>
      </c>
      <c r="J409">
        <f>IF(ISNUMBER($A409),INDEX($W$6:$W$1505,$A409-3),"")</f>
        <v/>
      </c>
      <c r="K409">
        <f>IF(ISNUMBER($A409),INDEX($X$6:$X$1505,$A409-3),"")</f>
        <v/>
      </c>
      <c r="L409">
        <f>IF(ISNUMBER($A409),INDEX($Y$6:$Y$1505,$A409-3),"")</f>
        <v/>
      </c>
      <c r="O409">
        <f>407</f>
        <v/>
      </c>
      <c r="P409">
        <f>IF(TRIM('입력_구리근무자명단'!$A407&amp;"")&lt;&gt;"",TRIM('입력_구리근무자명단'!$A407&amp;""),P408)</f>
        <v/>
      </c>
      <c r="Q409">
        <f>'입력_구리근무자명단'!$B407&amp;""</f>
        <v/>
      </c>
      <c r="R409">
        <f>IF($E$2="","",TRIM(INDEX('입력_구리근무자명단'!$A407:$ZZ407,1,$E$2+IF($G$2="확정",1,0))&amp;""))</f>
        <v/>
      </c>
      <c r="S409">
        <f>IF($R409="","",IF(INDEX('입력_구리근무자명단'!$A407:$ZZ407,1,$E$2+2)&amp;""="",급여기준월,IF(ISNUMBER(INDEX('입력_구리근무자명단'!$A407:$ZZ407,1,$E$2+2)),INDEX('입력_구리근무자명단'!$A407:$ZZ407,1,$E$2+2),IFERROR(DATE(VALUE(LEFT(INDEX('입력_구리근무자명단'!$A407:$ZZ407,1,$E$2+2),4)),VALUE(MID(INDEX('입력_구리근무자명단'!$A407:$ZZ407,1,$E$2+2),6,2)),VALUE(MID(INDEX('입력_구리근무자명단'!$A407:$ZZ407,1,$E$2+2),9,2))),-1))))</f>
        <v/>
      </c>
      <c r="T409">
        <f>IF($R409="","",IF(INDEX('입력_구리근무자명단'!$A407:$ZZ407,1,$E$2+3)&amp;""="",EOMONTH(급여기준월,0),IF(ISNUMBER(INDEX('입력_구리근무자명단'!$A407:$ZZ407,1,$E$2+3)),INDEX('입력_구리근무자명단'!$A407:$ZZ407,1,$E$2+3),IFERROR(DATE(VALUE(LEFT(INDEX('입력_구리근무자명단'!$A407:$ZZ407,1,$E$2+3),4)),VALUE(MID(INDEX('입력_구리근무자명단'!$A407:$ZZ407,1,$E$2+3),6,2)),VALUE(MID(INDEX('입력_구리근무자명단'!$A407:$ZZ407,1,$E$2+3),9,2))),-1))))</f>
        <v/>
      </c>
      <c r="U409">
        <f>IF($R409="","",IF(OR($S409&lt;0,$T409&lt;0),0,MAX(0,MIN($T409,EOMONTH(급여기준월,0))-MAX($S409,급여기준월)+1)))</f>
        <v/>
      </c>
      <c r="V409">
        <f>IF($R409="","",TRIM(INDEX('입력_구리근무자명단'!$A407:$ZZ407,1,$E$2+5)&amp;""))</f>
        <v/>
      </c>
      <c r="W409">
        <f>IF(ISNUMBER(SEARCH("구리독자",$V409)),"구리독자","")</f>
        <v/>
      </c>
      <c r="X409">
        <f>IF($R409="","",$R409&amp;"|"&amp;IF(OR($Q409="인턴",ISNUMBER(SEARCH("수련교육부",$P409))),"인턴",$P409))</f>
        <v/>
      </c>
      <c r="Y409">
        <f>IF($R409="","",IF(COUNTIF(명단표[이름|과],$X409)=1,"명단 일치",IF(AND(COUNTIF(명단표[이름|과],$X409)=0,COUNTIF(명단표[이름],$R409)=1),"명단 일치(이름만, 과 다름)",IF(COUNTIF(명단표[이름],$R409)=0,IF(COUNTIF(기본자료표[이름],$R409)&gt;0,"명단에 없음(기본자료에는 있음)","명단에 없음"),"동명이인 확인"))))</f>
        <v/>
      </c>
      <c r="Z409">
        <f>IF($R409="","",IF($S409&lt;0,"⚠"&amp;INDEX('입력_구리근무자명단'!$A407:$ZZ407,1,$E$2+2),TEXT($S409,"yyyy-mm-dd")))</f>
        <v/>
      </c>
      <c r="AA409">
        <f>IF($R409="","",IF($T409&lt;0,"⚠"&amp;INDEX('입력_구리근무자명단'!$A407:$ZZ407,1,$E$2+3),TEXT($T409,"yyyy-mm-dd")))</f>
        <v/>
      </c>
      <c r="AB409">
        <f>AB408+IF($R409="",0,1)</f>
        <v/>
      </c>
      <c r="AC409">
        <f>IF($R409="","",$AB409)</f>
        <v/>
      </c>
    </row>
    <row r="410">
      <c r="A410">
        <f>IFERROR(INDEX($O$6:$O$1505,MATCH(405,$AC$6:$AC$1505,0)),"")</f>
        <v/>
      </c>
      <c r="B410">
        <f>IF(ISNUMBER($A410),INDEX($P$6:$P$1505,$A410-3),"")</f>
        <v/>
      </c>
      <c r="C410">
        <f>IF(ISNUMBER($A410),INDEX($Q$6:$Q$1505,$A410-3),"")</f>
        <v/>
      </c>
      <c r="D410">
        <f>IF(ISNUMBER($A410),INDEX($R$6:$R$1505,$A410-3),"")</f>
        <v/>
      </c>
      <c r="E410">
        <f>IF(ISNUMBER($A410),$G$2,"")</f>
        <v/>
      </c>
      <c r="F410">
        <f>IF(ISNUMBER($A410),INDEX($Z$6:$Z$1505,$A410-3),"")</f>
        <v/>
      </c>
      <c r="G410">
        <f>IF(ISNUMBER($A410),INDEX($AA$6:$AA$1505,$A410-3),"")</f>
        <v/>
      </c>
      <c r="H410">
        <f>IF(ISNUMBER($A410),INDEX($U$6:$U$1505,$A410-3),"")</f>
        <v/>
      </c>
      <c r="I410">
        <f>IF(ISNUMBER($A410),INDEX($V$6:$V$1505,$A410-3),"")</f>
        <v/>
      </c>
      <c r="J410">
        <f>IF(ISNUMBER($A410),INDEX($W$6:$W$1505,$A410-3),"")</f>
        <v/>
      </c>
      <c r="K410">
        <f>IF(ISNUMBER($A410),INDEX($X$6:$X$1505,$A410-3),"")</f>
        <v/>
      </c>
      <c r="L410">
        <f>IF(ISNUMBER($A410),INDEX($Y$6:$Y$1505,$A410-3),"")</f>
        <v/>
      </c>
      <c r="O410">
        <f>408</f>
        <v/>
      </c>
      <c r="P410">
        <f>IF(TRIM('입력_구리근무자명단'!$A408&amp;"")&lt;&gt;"",TRIM('입력_구리근무자명단'!$A408&amp;""),P409)</f>
        <v/>
      </c>
      <c r="Q410">
        <f>'입력_구리근무자명단'!$B408&amp;""</f>
        <v/>
      </c>
      <c r="R410">
        <f>IF($E$2="","",TRIM(INDEX('입력_구리근무자명단'!$A408:$ZZ408,1,$E$2+IF($G$2="확정",1,0))&amp;""))</f>
        <v/>
      </c>
      <c r="S410">
        <f>IF($R410="","",IF(INDEX('입력_구리근무자명단'!$A408:$ZZ408,1,$E$2+2)&amp;""="",급여기준월,IF(ISNUMBER(INDEX('입력_구리근무자명단'!$A408:$ZZ408,1,$E$2+2)),INDEX('입력_구리근무자명단'!$A408:$ZZ408,1,$E$2+2),IFERROR(DATE(VALUE(LEFT(INDEX('입력_구리근무자명단'!$A408:$ZZ408,1,$E$2+2),4)),VALUE(MID(INDEX('입력_구리근무자명단'!$A408:$ZZ408,1,$E$2+2),6,2)),VALUE(MID(INDEX('입력_구리근무자명단'!$A408:$ZZ408,1,$E$2+2),9,2))),-1))))</f>
        <v/>
      </c>
      <c r="T410">
        <f>IF($R410="","",IF(INDEX('입력_구리근무자명단'!$A408:$ZZ408,1,$E$2+3)&amp;""="",EOMONTH(급여기준월,0),IF(ISNUMBER(INDEX('입력_구리근무자명단'!$A408:$ZZ408,1,$E$2+3)),INDEX('입력_구리근무자명단'!$A408:$ZZ408,1,$E$2+3),IFERROR(DATE(VALUE(LEFT(INDEX('입력_구리근무자명단'!$A408:$ZZ408,1,$E$2+3),4)),VALUE(MID(INDEX('입력_구리근무자명단'!$A408:$ZZ408,1,$E$2+3),6,2)),VALUE(MID(INDEX('입력_구리근무자명단'!$A408:$ZZ408,1,$E$2+3),9,2))),-1))))</f>
        <v/>
      </c>
      <c r="U410">
        <f>IF($R410="","",IF(OR($S410&lt;0,$T410&lt;0),0,MAX(0,MIN($T410,EOMONTH(급여기준월,0))-MAX($S410,급여기준월)+1)))</f>
        <v/>
      </c>
      <c r="V410">
        <f>IF($R410="","",TRIM(INDEX('입력_구리근무자명단'!$A408:$ZZ408,1,$E$2+5)&amp;""))</f>
        <v/>
      </c>
      <c r="W410">
        <f>IF(ISNUMBER(SEARCH("구리독자",$V410)),"구리독자","")</f>
        <v/>
      </c>
      <c r="X410">
        <f>IF($R410="","",$R410&amp;"|"&amp;IF(OR($Q410="인턴",ISNUMBER(SEARCH("수련교육부",$P410))),"인턴",$P410))</f>
        <v/>
      </c>
      <c r="Y410">
        <f>IF($R410="","",IF(COUNTIF(명단표[이름|과],$X410)=1,"명단 일치",IF(AND(COUNTIF(명단표[이름|과],$X410)=0,COUNTIF(명단표[이름],$R410)=1),"명단 일치(이름만, 과 다름)",IF(COUNTIF(명단표[이름],$R410)=0,IF(COUNTIF(기본자료표[이름],$R410)&gt;0,"명단에 없음(기본자료에는 있음)","명단에 없음"),"동명이인 확인"))))</f>
        <v/>
      </c>
      <c r="Z410">
        <f>IF($R410="","",IF($S410&lt;0,"⚠"&amp;INDEX('입력_구리근무자명단'!$A408:$ZZ408,1,$E$2+2),TEXT($S410,"yyyy-mm-dd")))</f>
        <v/>
      </c>
      <c r="AA410">
        <f>IF($R410="","",IF($T410&lt;0,"⚠"&amp;INDEX('입력_구리근무자명단'!$A408:$ZZ408,1,$E$2+3),TEXT($T410,"yyyy-mm-dd")))</f>
        <v/>
      </c>
      <c r="AB410">
        <f>AB409+IF($R410="",0,1)</f>
        <v/>
      </c>
      <c r="AC410">
        <f>IF($R410="","",$AB410)</f>
        <v/>
      </c>
    </row>
    <row r="411">
      <c r="A411">
        <f>IFERROR(INDEX($O$6:$O$1505,MATCH(406,$AC$6:$AC$1505,0)),"")</f>
        <v/>
      </c>
      <c r="B411">
        <f>IF(ISNUMBER($A411),INDEX($P$6:$P$1505,$A411-3),"")</f>
        <v/>
      </c>
      <c r="C411">
        <f>IF(ISNUMBER($A411),INDEX($Q$6:$Q$1505,$A411-3),"")</f>
        <v/>
      </c>
      <c r="D411">
        <f>IF(ISNUMBER($A411),INDEX($R$6:$R$1505,$A411-3),"")</f>
        <v/>
      </c>
      <c r="E411">
        <f>IF(ISNUMBER($A411),$G$2,"")</f>
        <v/>
      </c>
      <c r="F411">
        <f>IF(ISNUMBER($A411),INDEX($Z$6:$Z$1505,$A411-3),"")</f>
        <v/>
      </c>
      <c r="G411">
        <f>IF(ISNUMBER($A411),INDEX($AA$6:$AA$1505,$A411-3),"")</f>
        <v/>
      </c>
      <c r="H411">
        <f>IF(ISNUMBER($A411),INDEX($U$6:$U$1505,$A411-3),"")</f>
        <v/>
      </c>
      <c r="I411">
        <f>IF(ISNUMBER($A411),INDEX($V$6:$V$1505,$A411-3),"")</f>
        <v/>
      </c>
      <c r="J411">
        <f>IF(ISNUMBER($A411),INDEX($W$6:$W$1505,$A411-3),"")</f>
        <v/>
      </c>
      <c r="K411">
        <f>IF(ISNUMBER($A411),INDEX($X$6:$X$1505,$A411-3),"")</f>
        <v/>
      </c>
      <c r="L411">
        <f>IF(ISNUMBER($A411),INDEX($Y$6:$Y$1505,$A411-3),"")</f>
        <v/>
      </c>
      <c r="O411">
        <f>409</f>
        <v/>
      </c>
      <c r="P411">
        <f>IF(TRIM('입력_구리근무자명단'!$A409&amp;"")&lt;&gt;"",TRIM('입력_구리근무자명단'!$A409&amp;""),P410)</f>
        <v/>
      </c>
      <c r="Q411">
        <f>'입력_구리근무자명단'!$B409&amp;""</f>
        <v/>
      </c>
      <c r="R411">
        <f>IF($E$2="","",TRIM(INDEX('입력_구리근무자명단'!$A409:$ZZ409,1,$E$2+IF($G$2="확정",1,0))&amp;""))</f>
        <v/>
      </c>
      <c r="S411">
        <f>IF($R411="","",IF(INDEX('입력_구리근무자명단'!$A409:$ZZ409,1,$E$2+2)&amp;""="",급여기준월,IF(ISNUMBER(INDEX('입력_구리근무자명단'!$A409:$ZZ409,1,$E$2+2)),INDEX('입력_구리근무자명단'!$A409:$ZZ409,1,$E$2+2),IFERROR(DATE(VALUE(LEFT(INDEX('입력_구리근무자명단'!$A409:$ZZ409,1,$E$2+2),4)),VALUE(MID(INDEX('입력_구리근무자명단'!$A409:$ZZ409,1,$E$2+2),6,2)),VALUE(MID(INDEX('입력_구리근무자명단'!$A409:$ZZ409,1,$E$2+2),9,2))),-1))))</f>
        <v/>
      </c>
      <c r="T411">
        <f>IF($R411="","",IF(INDEX('입력_구리근무자명단'!$A409:$ZZ409,1,$E$2+3)&amp;""="",EOMONTH(급여기준월,0),IF(ISNUMBER(INDEX('입력_구리근무자명단'!$A409:$ZZ409,1,$E$2+3)),INDEX('입력_구리근무자명단'!$A409:$ZZ409,1,$E$2+3),IFERROR(DATE(VALUE(LEFT(INDEX('입력_구리근무자명단'!$A409:$ZZ409,1,$E$2+3),4)),VALUE(MID(INDEX('입력_구리근무자명단'!$A409:$ZZ409,1,$E$2+3),6,2)),VALUE(MID(INDEX('입력_구리근무자명단'!$A409:$ZZ409,1,$E$2+3),9,2))),-1))))</f>
        <v/>
      </c>
      <c r="U411">
        <f>IF($R411="","",IF(OR($S411&lt;0,$T411&lt;0),0,MAX(0,MIN($T411,EOMONTH(급여기준월,0))-MAX($S411,급여기준월)+1)))</f>
        <v/>
      </c>
      <c r="V411">
        <f>IF($R411="","",TRIM(INDEX('입력_구리근무자명단'!$A409:$ZZ409,1,$E$2+5)&amp;""))</f>
        <v/>
      </c>
      <c r="W411">
        <f>IF(ISNUMBER(SEARCH("구리독자",$V411)),"구리독자","")</f>
        <v/>
      </c>
      <c r="X411">
        <f>IF($R411="","",$R411&amp;"|"&amp;IF(OR($Q411="인턴",ISNUMBER(SEARCH("수련교육부",$P411))),"인턴",$P411))</f>
        <v/>
      </c>
      <c r="Y411">
        <f>IF($R411="","",IF(COUNTIF(명단표[이름|과],$X411)=1,"명단 일치",IF(AND(COUNTIF(명단표[이름|과],$X411)=0,COUNTIF(명단표[이름],$R411)=1),"명단 일치(이름만, 과 다름)",IF(COUNTIF(명단표[이름],$R411)=0,IF(COUNTIF(기본자료표[이름],$R411)&gt;0,"명단에 없음(기본자료에는 있음)","명단에 없음"),"동명이인 확인"))))</f>
        <v/>
      </c>
      <c r="Z411">
        <f>IF($R411="","",IF($S411&lt;0,"⚠"&amp;INDEX('입력_구리근무자명단'!$A409:$ZZ409,1,$E$2+2),TEXT($S411,"yyyy-mm-dd")))</f>
        <v/>
      </c>
      <c r="AA411">
        <f>IF($R411="","",IF($T411&lt;0,"⚠"&amp;INDEX('입력_구리근무자명단'!$A409:$ZZ409,1,$E$2+3),TEXT($T411,"yyyy-mm-dd")))</f>
        <v/>
      </c>
      <c r="AB411">
        <f>AB410+IF($R411="",0,1)</f>
        <v/>
      </c>
      <c r="AC411">
        <f>IF($R411="","",$AB411)</f>
        <v/>
      </c>
    </row>
    <row r="412">
      <c r="A412">
        <f>IFERROR(INDEX($O$6:$O$1505,MATCH(407,$AC$6:$AC$1505,0)),"")</f>
        <v/>
      </c>
      <c r="B412">
        <f>IF(ISNUMBER($A412),INDEX($P$6:$P$1505,$A412-3),"")</f>
        <v/>
      </c>
      <c r="C412">
        <f>IF(ISNUMBER($A412),INDEX($Q$6:$Q$1505,$A412-3),"")</f>
        <v/>
      </c>
      <c r="D412">
        <f>IF(ISNUMBER($A412),INDEX($R$6:$R$1505,$A412-3),"")</f>
        <v/>
      </c>
      <c r="E412">
        <f>IF(ISNUMBER($A412),$G$2,"")</f>
        <v/>
      </c>
      <c r="F412">
        <f>IF(ISNUMBER($A412),INDEX($Z$6:$Z$1505,$A412-3),"")</f>
        <v/>
      </c>
      <c r="G412">
        <f>IF(ISNUMBER($A412),INDEX($AA$6:$AA$1505,$A412-3),"")</f>
        <v/>
      </c>
      <c r="H412">
        <f>IF(ISNUMBER($A412),INDEX($U$6:$U$1505,$A412-3),"")</f>
        <v/>
      </c>
      <c r="I412">
        <f>IF(ISNUMBER($A412),INDEX($V$6:$V$1505,$A412-3),"")</f>
        <v/>
      </c>
      <c r="J412">
        <f>IF(ISNUMBER($A412),INDEX($W$6:$W$1505,$A412-3),"")</f>
        <v/>
      </c>
      <c r="K412">
        <f>IF(ISNUMBER($A412),INDEX($X$6:$X$1505,$A412-3),"")</f>
        <v/>
      </c>
      <c r="L412">
        <f>IF(ISNUMBER($A412),INDEX($Y$6:$Y$1505,$A412-3),"")</f>
        <v/>
      </c>
      <c r="O412">
        <f>410</f>
        <v/>
      </c>
      <c r="P412">
        <f>IF(TRIM('입력_구리근무자명단'!$A410&amp;"")&lt;&gt;"",TRIM('입력_구리근무자명단'!$A410&amp;""),P411)</f>
        <v/>
      </c>
      <c r="Q412">
        <f>'입력_구리근무자명단'!$B410&amp;""</f>
        <v/>
      </c>
      <c r="R412">
        <f>IF($E$2="","",TRIM(INDEX('입력_구리근무자명단'!$A410:$ZZ410,1,$E$2+IF($G$2="확정",1,0))&amp;""))</f>
        <v/>
      </c>
      <c r="S412">
        <f>IF($R412="","",IF(INDEX('입력_구리근무자명단'!$A410:$ZZ410,1,$E$2+2)&amp;""="",급여기준월,IF(ISNUMBER(INDEX('입력_구리근무자명단'!$A410:$ZZ410,1,$E$2+2)),INDEX('입력_구리근무자명단'!$A410:$ZZ410,1,$E$2+2),IFERROR(DATE(VALUE(LEFT(INDEX('입력_구리근무자명단'!$A410:$ZZ410,1,$E$2+2),4)),VALUE(MID(INDEX('입력_구리근무자명단'!$A410:$ZZ410,1,$E$2+2),6,2)),VALUE(MID(INDEX('입력_구리근무자명단'!$A410:$ZZ410,1,$E$2+2),9,2))),-1))))</f>
        <v/>
      </c>
      <c r="T412">
        <f>IF($R412="","",IF(INDEX('입력_구리근무자명단'!$A410:$ZZ410,1,$E$2+3)&amp;""="",EOMONTH(급여기준월,0),IF(ISNUMBER(INDEX('입력_구리근무자명단'!$A410:$ZZ410,1,$E$2+3)),INDEX('입력_구리근무자명단'!$A410:$ZZ410,1,$E$2+3),IFERROR(DATE(VALUE(LEFT(INDEX('입력_구리근무자명단'!$A410:$ZZ410,1,$E$2+3),4)),VALUE(MID(INDEX('입력_구리근무자명단'!$A410:$ZZ410,1,$E$2+3),6,2)),VALUE(MID(INDEX('입력_구리근무자명단'!$A410:$ZZ410,1,$E$2+3),9,2))),-1))))</f>
        <v/>
      </c>
      <c r="U412">
        <f>IF($R412="","",IF(OR($S412&lt;0,$T412&lt;0),0,MAX(0,MIN($T412,EOMONTH(급여기준월,0))-MAX($S412,급여기준월)+1)))</f>
        <v/>
      </c>
      <c r="V412">
        <f>IF($R412="","",TRIM(INDEX('입력_구리근무자명단'!$A410:$ZZ410,1,$E$2+5)&amp;""))</f>
        <v/>
      </c>
      <c r="W412">
        <f>IF(ISNUMBER(SEARCH("구리독자",$V412)),"구리독자","")</f>
        <v/>
      </c>
      <c r="X412">
        <f>IF($R412="","",$R412&amp;"|"&amp;IF(OR($Q412="인턴",ISNUMBER(SEARCH("수련교육부",$P412))),"인턴",$P412))</f>
        <v/>
      </c>
      <c r="Y412">
        <f>IF($R412="","",IF(COUNTIF(명단표[이름|과],$X412)=1,"명단 일치",IF(AND(COUNTIF(명단표[이름|과],$X412)=0,COUNTIF(명단표[이름],$R412)=1),"명단 일치(이름만, 과 다름)",IF(COUNTIF(명단표[이름],$R412)=0,IF(COUNTIF(기본자료표[이름],$R412)&gt;0,"명단에 없음(기본자료에는 있음)","명단에 없음"),"동명이인 확인"))))</f>
        <v/>
      </c>
      <c r="Z412">
        <f>IF($R412="","",IF($S412&lt;0,"⚠"&amp;INDEX('입력_구리근무자명단'!$A410:$ZZ410,1,$E$2+2),TEXT($S412,"yyyy-mm-dd")))</f>
        <v/>
      </c>
      <c r="AA412">
        <f>IF($R412="","",IF($T412&lt;0,"⚠"&amp;INDEX('입력_구리근무자명단'!$A410:$ZZ410,1,$E$2+3),TEXT($T412,"yyyy-mm-dd")))</f>
        <v/>
      </c>
      <c r="AB412">
        <f>AB411+IF($R412="",0,1)</f>
        <v/>
      </c>
      <c r="AC412">
        <f>IF($R412="","",$AB412)</f>
        <v/>
      </c>
    </row>
    <row r="413">
      <c r="A413">
        <f>IFERROR(INDEX($O$6:$O$1505,MATCH(408,$AC$6:$AC$1505,0)),"")</f>
        <v/>
      </c>
      <c r="B413">
        <f>IF(ISNUMBER($A413),INDEX($P$6:$P$1505,$A413-3),"")</f>
        <v/>
      </c>
      <c r="C413">
        <f>IF(ISNUMBER($A413),INDEX($Q$6:$Q$1505,$A413-3),"")</f>
        <v/>
      </c>
      <c r="D413">
        <f>IF(ISNUMBER($A413),INDEX($R$6:$R$1505,$A413-3),"")</f>
        <v/>
      </c>
      <c r="E413">
        <f>IF(ISNUMBER($A413),$G$2,"")</f>
        <v/>
      </c>
      <c r="F413">
        <f>IF(ISNUMBER($A413),INDEX($Z$6:$Z$1505,$A413-3),"")</f>
        <v/>
      </c>
      <c r="G413">
        <f>IF(ISNUMBER($A413),INDEX($AA$6:$AA$1505,$A413-3),"")</f>
        <v/>
      </c>
      <c r="H413">
        <f>IF(ISNUMBER($A413),INDEX($U$6:$U$1505,$A413-3),"")</f>
        <v/>
      </c>
      <c r="I413">
        <f>IF(ISNUMBER($A413),INDEX($V$6:$V$1505,$A413-3),"")</f>
        <v/>
      </c>
      <c r="J413">
        <f>IF(ISNUMBER($A413),INDEX($W$6:$W$1505,$A413-3),"")</f>
        <v/>
      </c>
      <c r="K413">
        <f>IF(ISNUMBER($A413),INDEX($X$6:$X$1505,$A413-3),"")</f>
        <v/>
      </c>
      <c r="L413">
        <f>IF(ISNUMBER($A413),INDEX($Y$6:$Y$1505,$A413-3),"")</f>
        <v/>
      </c>
      <c r="O413">
        <f>411</f>
        <v/>
      </c>
      <c r="P413">
        <f>IF(TRIM('입력_구리근무자명단'!$A411&amp;"")&lt;&gt;"",TRIM('입력_구리근무자명단'!$A411&amp;""),P412)</f>
        <v/>
      </c>
      <c r="Q413">
        <f>'입력_구리근무자명단'!$B411&amp;""</f>
        <v/>
      </c>
      <c r="R413">
        <f>IF($E$2="","",TRIM(INDEX('입력_구리근무자명단'!$A411:$ZZ411,1,$E$2+IF($G$2="확정",1,0))&amp;""))</f>
        <v/>
      </c>
      <c r="S413">
        <f>IF($R413="","",IF(INDEX('입력_구리근무자명단'!$A411:$ZZ411,1,$E$2+2)&amp;""="",급여기준월,IF(ISNUMBER(INDEX('입력_구리근무자명단'!$A411:$ZZ411,1,$E$2+2)),INDEX('입력_구리근무자명단'!$A411:$ZZ411,1,$E$2+2),IFERROR(DATE(VALUE(LEFT(INDEX('입력_구리근무자명단'!$A411:$ZZ411,1,$E$2+2),4)),VALUE(MID(INDEX('입력_구리근무자명단'!$A411:$ZZ411,1,$E$2+2),6,2)),VALUE(MID(INDEX('입력_구리근무자명단'!$A411:$ZZ411,1,$E$2+2),9,2))),-1))))</f>
        <v/>
      </c>
      <c r="T413">
        <f>IF($R413="","",IF(INDEX('입력_구리근무자명단'!$A411:$ZZ411,1,$E$2+3)&amp;""="",EOMONTH(급여기준월,0),IF(ISNUMBER(INDEX('입력_구리근무자명단'!$A411:$ZZ411,1,$E$2+3)),INDEX('입력_구리근무자명단'!$A411:$ZZ411,1,$E$2+3),IFERROR(DATE(VALUE(LEFT(INDEX('입력_구리근무자명단'!$A411:$ZZ411,1,$E$2+3),4)),VALUE(MID(INDEX('입력_구리근무자명단'!$A411:$ZZ411,1,$E$2+3),6,2)),VALUE(MID(INDEX('입력_구리근무자명단'!$A411:$ZZ411,1,$E$2+3),9,2))),-1))))</f>
        <v/>
      </c>
      <c r="U413">
        <f>IF($R413="","",IF(OR($S413&lt;0,$T413&lt;0),0,MAX(0,MIN($T413,EOMONTH(급여기준월,0))-MAX($S413,급여기준월)+1)))</f>
        <v/>
      </c>
      <c r="V413">
        <f>IF($R413="","",TRIM(INDEX('입력_구리근무자명단'!$A411:$ZZ411,1,$E$2+5)&amp;""))</f>
        <v/>
      </c>
      <c r="W413">
        <f>IF(ISNUMBER(SEARCH("구리독자",$V413)),"구리독자","")</f>
        <v/>
      </c>
      <c r="X413">
        <f>IF($R413="","",$R413&amp;"|"&amp;IF(OR($Q413="인턴",ISNUMBER(SEARCH("수련교육부",$P413))),"인턴",$P413))</f>
        <v/>
      </c>
      <c r="Y413">
        <f>IF($R413="","",IF(COUNTIF(명단표[이름|과],$X413)=1,"명단 일치",IF(AND(COUNTIF(명단표[이름|과],$X413)=0,COUNTIF(명단표[이름],$R413)=1),"명단 일치(이름만, 과 다름)",IF(COUNTIF(명단표[이름],$R413)=0,IF(COUNTIF(기본자료표[이름],$R413)&gt;0,"명단에 없음(기본자료에는 있음)","명단에 없음"),"동명이인 확인"))))</f>
        <v/>
      </c>
      <c r="Z413">
        <f>IF($R413="","",IF($S413&lt;0,"⚠"&amp;INDEX('입력_구리근무자명단'!$A411:$ZZ411,1,$E$2+2),TEXT($S413,"yyyy-mm-dd")))</f>
        <v/>
      </c>
      <c r="AA413">
        <f>IF($R413="","",IF($T413&lt;0,"⚠"&amp;INDEX('입력_구리근무자명단'!$A411:$ZZ411,1,$E$2+3),TEXT($T413,"yyyy-mm-dd")))</f>
        <v/>
      </c>
      <c r="AB413">
        <f>AB412+IF($R413="",0,1)</f>
        <v/>
      </c>
      <c r="AC413">
        <f>IF($R413="","",$AB413)</f>
        <v/>
      </c>
    </row>
    <row r="414">
      <c r="A414">
        <f>IFERROR(INDEX($O$6:$O$1505,MATCH(409,$AC$6:$AC$1505,0)),"")</f>
        <v/>
      </c>
      <c r="B414">
        <f>IF(ISNUMBER($A414),INDEX($P$6:$P$1505,$A414-3),"")</f>
        <v/>
      </c>
      <c r="C414">
        <f>IF(ISNUMBER($A414),INDEX($Q$6:$Q$1505,$A414-3),"")</f>
        <v/>
      </c>
      <c r="D414">
        <f>IF(ISNUMBER($A414),INDEX($R$6:$R$1505,$A414-3),"")</f>
        <v/>
      </c>
      <c r="E414">
        <f>IF(ISNUMBER($A414),$G$2,"")</f>
        <v/>
      </c>
      <c r="F414">
        <f>IF(ISNUMBER($A414),INDEX($Z$6:$Z$1505,$A414-3),"")</f>
        <v/>
      </c>
      <c r="G414">
        <f>IF(ISNUMBER($A414),INDEX($AA$6:$AA$1505,$A414-3),"")</f>
        <v/>
      </c>
      <c r="H414">
        <f>IF(ISNUMBER($A414),INDEX($U$6:$U$1505,$A414-3),"")</f>
        <v/>
      </c>
      <c r="I414">
        <f>IF(ISNUMBER($A414),INDEX($V$6:$V$1505,$A414-3),"")</f>
        <v/>
      </c>
      <c r="J414">
        <f>IF(ISNUMBER($A414),INDEX($W$6:$W$1505,$A414-3),"")</f>
        <v/>
      </c>
      <c r="K414">
        <f>IF(ISNUMBER($A414),INDEX($X$6:$X$1505,$A414-3),"")</f>
        <v/>
      </c>
      <c r="L414">
        <f>IF(ISNUMBER($A414),INDEX($Y$6:$Y$1505,$A414-3),"")</f>
        <v/>
      </c>
      <c r="O414">
        <f>412</f>
        <v/>
      </c>
      <c r="P414">
        <f>IF(TRIM('입력_구리근무자명단'!$A412&amp;"")&lt;&gt;"",TRIM('입력_구리근무자명단'!$A412&amp;""),P413)</f>
        <v/>
      </c>
      <c r="Q414">
        <f>'입력_구리근무자명단'!$B412&amp;""</f>
        <v/>
      </c>
      <c r="R414">
        <f>IF($E$2="","",TRIM(INDEX('입력_구리근무자명단'!$A412:$ZZ412,1,$E$2+IF($G$2="확정",1,0))&amp;""))</f>
        <v/>
      </c>
      <c r="S414">
        <f>IF($R414="","",IF(INDEX('입력_구리근무자명단'!$A412:$ZZ412,1,$E$2+2)&amp;""="",급여기준월,IF(ISNUMBER(INDEX('입력_구리근무자명단'!$A412:$ZZ412,1,$E$2+2)),INDEX('입력_구리근무자명단'!$A412:$ZZ412,1,$E$2+2),IFERROR(DATE(VALUE(LEFT(INDEX('입력_구리근무자명단'!$A412:$ZZ412,1,$E$2+2),4)),VALUE(MID(INDEX('입력_구리근무자명단'!$A412:$ZZ412,1,$E$2+2),6,2)),VALUE(MID(INDEX('입력_구리근무자명단'!$A412:$ZZ412,1,$E$2+2),9,2))),-1))))</f>
        <v/>
      </c>
      <c r="T414">
        <f>IF($R414="","",IF(INDEX('입력_구리근무자명단'!$A412:$ZZ412,1,$E$2+3)&amp;""="",EOMONTH(급여기준월,0),IF(ISNUMBER(INDEX('입력_구리근무자명단'!$A412:$ZZ412,1,$E$2+3)),INDEX('입력_구리근무자명단'!$A412:$ZZ412,1,$E$2+3),IFERROR(DATE(VALUE(LEFT(INDEX('입력_구리근무자명단'!$A412:$ZZ412,1,$E$2+3),4)),VALUE(MID(INDEX('입력_구리근무자명단'!$A412:$ZZ412,1,$E$2+3),6,2)),VALUE(MID(INDEX('입력_구리근무자명단'!$A412:$ZZ412,1,$E$2+3),9,2))),-1))))</f>
        <v/>
      </c>
      <c r="U414">
        <f>IF($R414="","",IF(OR($S414&lt;0,$T414&lt;0),0,MAX(0,MIN($T414,EOMONTH(급여기준월,0))-MAX($S414,급여기준월)+1)))</f>
        <v/>
      </c>
      <c r="V414">
        <f>IF($R414="","",TRIM(INDEX('입력_구리근무자명단'!$A412:$ZZ412,1,$E$2+5)&amp;""))</f>
        <v/>
      </c>
      <c r="W414">
        <f>IF(ISNUMBER(SEARCH("구리독자",$V414)),"구리독자","")</f>
        <v/>
      </c>
      <c r="X414">
        <f>IF($R414="","",$R414&amp;"|"&amp;IF(OR($Q414="인턴",ISNUMBER(SEARCH("수련교육부",$P414))),"인턴",$P414))</f>
        <v/>
      </c>
      <c r="Y414">
        <f>IF($R414="","",IF(COUNTIF(명단표[이름|과],$X414)=1,"명단 일치",IF(AND(COUNTIF(명단표[이름|과],$X414)=0,COUNTIF(명단표[이름],$R414)=1),"명단 일치(이름만, 과 다름)",IF(COUNTIF(명단표[이름],$R414)=0,IF(COUNTIF(기본자료표[이름],$R414)&gt;0,"명단에 없음(기본자료에는 있음)","명단에 없음"),"동명이인 확인"))))</f>
        <v/>
      </c>
      <c r="Z414">
        <f>IF($R414="","",IF($S414&lt;0,"⚠"&amp;INDEX('입력_구리근무자명단'!$A412:$ZZ412,1,$E$2+2),TEXT($S414,"yyyy-mm-dd")))</f>
        <v/>
      </c>
      <c r="AA414">
        <f>IF($R414="","",IF($T414&lt;0,"⚠"&amp;INDEX('입력_구리근무자명단'!$A412:$ZZ412,1,$E$2+3),TEXT($T414,"yyyy-mm-dd")))</f>
        <v/>
      </c>
      <c r="AB414">
        <f>AB413+IF($R414="",0,1)</f>
        <v/>
      </c>
      <c r="AC414">
        <f>IF($R414="","",$AB414)</f>
        <v/>
      </c>
    </row>
    <row r="415">
      <c r="A415">
        <f>IFERROR(INDEX($O$6:$O$1505,MATCH(410,$AC$6:$AC$1505,0)),"")</f>
        <v/>
      </c>
      <c r="B415">
        <f>IF(ISNUMBER($A415),INDEX($P$6:$P$1505,$A415-3),"")</f>
        <v/>
      </c>
      <c r="C415">
        <f>IF(ISNUMBER($A415),INDEX($Q$6:$Q$1505,$A415-3),"")</f>
        <v/>
      </c>
      <c r="D415">
        <f>IF(ISNUMBER($A415),INDEX($R$6:$R$1505,$A415-3),"")</f>
        <v/>
      </c>
      <c r="E415">
        <f>IF(ISNUMBER($A415),$G$2,"")</f>
        <v/>
      </c>
      <c r="F415">
        <f>IF(ISNUMBER($A415),INDEX($Z$6:$Z$1505,$A415-3),"")</f>
        <v/>
      </c>
      <c r="G415">
        <f>IF(ISNUMBER($A415),INDEX($AA$6:$AA$1505,$A415-3),"")</f>
        <v/>
      </c>
      <c r="H415">
        <f>IF(ISNUMBER($A415),INDEX($U$6:$U$1505,$A415-3),"")</f>
        <v/>
      </c>
      <c r="I415">
        <f>IF(ISNUMBER($A415),INDEX($V$6:$V$1505,$A415-3),"")</f>
        <v/>
      </c>
      <c r="J415">
        <f>IF(ISNUMBER($A415),INDEX($W$6:$W$1505,$A415-3),"")</f>
        <v/>
      </c>
      <c r="K415">
        <f>IF(ISNUMBER($A415),INDEX($X$6:$X$1505,$A415-3),"")</f>
        <v/>
      </c>
      <c r="L415">
        <f>IF(ISNUMBER($A415),INDEX($Y$6:$Y$1505,$A415-3),"")</f>
        <v/>
      </c>
      <c r="O415">
        <f>413</f>
        <v/>
      </c>
      <c r="P415">
        <f>IF(TRIM('입력_구리근무자명단'!$A413&amp;"")&lt;&gt;"",TRIM('입력_구리근무자명단'!$A413&amp;""),P414)</f>
        <v/>
      </c>
      <c r="Q415">
        <f>'입력_구리근무자명단'!$B413&amp;""</f>
        <v/>
      </c>
      <c r="R415">
        <f>IF($E$2="","",TRIM(INDEX('입력_구리근무자명단'!$A413:$ZZ413,1,$E$2+IF($G$2="확정",1,0))&amp;""))</f>
        <v/>
      </c>
      <c r="S415">
        <f>IF($R415="","",IF(INDEX('입력_구리근무자명단'!$A413:$ZZ413,1,$E$2+2)&amp;""="",급여기준월,IF(ISNUMBER(INDEX('입력_구리근무자명단'!$A413:$ZZ413,1,$E$2+2)),INDEX('입력_구리근무자명단'!$A413:$ZZ413,1,$E$2+2),IFERROR(DATE(VALUE(LEFT(INDEX('입력_구리근무자명단'!$A413:$ZZ413,1,$E$2+2),4)),VALUE(MID(INDEX('입력_구리근무자명단'!$A413:$ZZ413,1,$E$2+2),6,2)),VALUE(MID(INDEX('입력_구리근무자명단'!$A413:$ZZ413,1,$E$2+2),9,2))),-1))))</f>
        <v/>
      </c>
      <c r="T415">
        <f>IF($R415="","",IF(INDEX('입력_구리근무자명단'!$A413:$ZZ413,1,$E$2+3)&amp;""="",EOMONTH(급여기준월,0),IF(ISNUMBER(INDEX('입력_구리근무자명단'!$A413:$ZZ413,1,$E$2+3)),INDEX('입력_구리근무자명단'!$A413:$ZZ413,1,$E$2+3),IFERROR(DATE(VALUE(LEFT(INDEX('입력_구리근무자명단'!$A413:$ZZ413,1,$E$2+3),4)),VALUE(MID(INDEX('입력_구리근무자명단'!$A413:$ZZ413,1,$E$2+3),6,2)),VALUE(MID(INDEX('입력_구리근무자명단'!$A413:$ZZ413,1,$E$2+3),9,2))),-1))))</f>
        <v/>
      </c>
      <c r="U415">
        <f>IF($R415="","",IF(OR($S415&lt;0,$T415&lt;0),0,MAX(0,MIN($T415,EOMONTH(급여기준월,0))-MAX($S415,급여기준월)+1)))</f>
        <v/>
      </c>
      <c r="V415">
        <f>IF($R415="","",TRIM(INDEX('입력_구리근무자명단'!$A413:$ZZ413,1,$E$2+5)&amp;""))</f>
        <v/>
      </c>
      <c r="W415">
        <f>IF(ISNUMBER(SEARCH("구리독자",$V415)),"구리독자","")</f>
        <v/>
      </c>
      <c r="X415">
        <f>IF($R415="","",$R415&amp;"|"&amp;IF(OR($Q415="인턴",ISNUMBER(SEARCH("수련교육부",$P415))),"인턴",$P415))</f>
        <v/>
      </c>
      <c r="Y415">
        <f>IF($R415="","",IF(COUNTIF(명단표[이름|과],$X415)=1,"명단 일치",IF(AND(COUNTIF(명단표[이름|과],$X415)=0,COUNTIF(명단표[이름],$R415)=1),"명단 일치(이름만, 과 다름)",IF(COUNTIF(명단표[이름],$R415)=0,IF(COUNTIF(기본자료표[이름],$R415)&gt;0,"명단에 없음(기본자료에는 있음)","명단에 없음"),"동명이인 확인"))))</f>
        <v/>
      </c>
      <c r="Z415">
        <f>IF($R415="","",IF($S415&lt;0,"⚠"&amp;INDEX('입력_구리근무자명단'!$A413:$ZZ413,1,$E$2+2),TEXT($S415,"yyyy-mm-dd")))</f>
        <v/>
      </c>
      <c r="AA415">
        <f>IF($R415="","",IF($T415&lt;0,"⚠"&amp;INDEX('입력_구리근무자명단'!$A413:$ZZ413,1,$E$2+3),TEXT($T415,"yyyy-mm-dd")))</f>
        <v/>
      </c>
      <c r="AB415">
        <f>AB414+IF($R415="",0,1)</f>
        <v/>
      </c>
      <c r="AC415">
        <f>IF($R415="","",$AB415)</f>
        <v/>
      </c>
    </row>
    <row r="416">
      <c r="A416">
        <f>IFERROR(INDEX($O$6:$O$1505,MATCH(411,$AC$6:$AC$1505,0)),"")</f>
        <v/>
      </c>
      <c r="B416">
        <f>IF(ISNUMBER($A416),INDEX($P$6:$P$1505,$A416-3),"")</f>
        <v/>
      </c>
      <c r="C416">
        <f>IF(ISNUMBER($A416),INDEX($Q$6:$Q$1505,$A416-3),"")</f>
        <v/>
      </c>
      <c r="D416">
        <f>IF(ISNUMBER($A416),INDEX($R$6:$R$1505,$A416-3),"")</f>
        <v/>
      </c>
      <c r="E416">
        <f>IF(ISNUMBER($A416),$G$2,"")</f>
        <v/>
      </c>
      <c r="F416">
        <f>IF(ISNUMBER($A416),INDEX($Z$6:$Z$1505,$A416-3),"")</f>
        <v/>
      </c>
      <c r="G416">
        <f>IF(ISNUMBER($A416),INDEX($AA$6:$AA$1505,$A416-3),"")</f>
        <v/>
      </c>
      <c r="H416">
        <f>IF(ISNUMBER($A416),INDEX($U$6:$U$1505,$A416-3),"")</f>
        <v/>
      </c>
      <c r="I416">
        <f>IF(ISNUMBER($A416),INDEX($V$6:$V$1505,$A416-3),"")</f>
        <v/>
      </c>
      <c r="J416">
        <f>IF(ISNUMBER($A416),INDEX($W$6:$W$1505,$A416-3),"")</f>
        <v/>
      </c>
      <c r="K416">
        <f>IF(ISNUMBER($A416),INDEX($X$6:$X$1505,$A416-3),"")</f>
        <v/>
      </c>
      <c r="L416">
        <f>IF(ISNUMBER($A416),INDEX($Y$6:$Y$1505,$A416-3),"")</f>
        <v/>
      </c>
      <c r="O416">
        <f>414</f>
        <v/>
      </c>
      <c r="P416">
        <f>IF(TRIM('입력_구리근무자명단'!$A414&amp;"")&lt;&gt;"",TRIM('입력_구리근무자명단'!$A414&amp;""),P415)</f>
        <v/>
      </c>
      <c r="Q416">
        <f>'입력_구리근무자명단'!$B414&amp;""</f>
        <v/>
      </c>
      <c r="R416">
        <f>IF($E$2="","",TRIM(INDEX('입력_구리근무자명단'!$A414:$ZZ414,1,$E$2+IF($G$2="확정",1,0))&amp;""))</f>
        <v/>
      </c>
      <c r="S416">
        <f>IF($R416="","",IF(INDEX('입력_구리근무자명단'!$A414:$ZZ414,1,$E$2+2)&amp;""="",급여기준월,IF(ISNUMBER(INDEX('입력_구리근무자명단'!$A414:$ZZ414,1,$E$2+2)),INDEX('입력_구리근무자명단'!$A414:$ZZ414,1,$E$2+2),IFERROR(DATE(VALUE(LEFT(INDEX('입력_구리근무자명단'!$A414:$ZZ414,1,$E$2+2),4)),VALUE(MID(INDEX('입력_구리근무자명단'!$A414:$ZZ414,1,$E$2+2),6,2)),VALUE(MID(INDEX('입력_구리근무자명단'!$A414:$ZZ414,1,$E$2+2),9,2))),-1))))</f>
        <v/>
      </c>
      <c r="T416">
        <f>IF($R416="","",IF(INDEX('입력_구리근무자명단'!$A414:$ZZ414,1,$E$2+3)&amp;""="",EOMONTH(급여기준월,0),IF(ISNUMBER(INDEX('입력_구리근무자명단'!$A414:$ZZ414,1,$E$2+3)),INDEX('입력_구리근무자명단'!$A414:$ZZ414,1,$E$2+3),IFERROR(DATE(VALUE(LEFT(INDEX('입력_구리근무자명단'!$A414:$ZZ414,1,$E$2+3),4)),VALUE(MID(INDEX('입력_구리근무자명단'!$A414:$ZZ414,1,$E$2+3),6,2)),VALUE(MID(INDEX('입력_구리근무자명단'!$A414:$ZZ414,1,$E$2+3),9,2))),-1))))</f>
        <v/>
      </c>
      <c r="U416">
        <f>IF($R416="","",IF(OR($S416&lt;0,$T416&lt;0),0,MAX(0,MIN($T416,EOMONTH(급여기준월,0))-MAX($S416,급여기준월)+1)))</f>
        <v/>
      </c>
      <c r="V416">
        <f>IF($R416="","",TRIM(INDEX('입력_구리근무자명단'!$A414:$ZZ414,1,$E$2+5)&amp;""))</f>
        <v/>
      </c>
      <c r="W416">
        <f>IF(ISNUMBER(SEARCH("구리독자",$V416)),"구리독자","")</f>
        <v/>
      </c>
      <c r="X416">
        <f>IF($R416="","",$R416&amp;"|"&amp;IF(OR($Q416="인턴",ISNUMBER(SEARCH("수련교육부",$P416))),"인턴",$P416))</f>
        <v/>
      </c>
      <c r="Y416">
        <f>IF($R416="","",IF(COUNTIF(명단표[이름|과],$X416)=1,"명단 일치",IF(AND(COUNTIF(명단표[이름|과],$X416)=0,COUNTIF(명단표[이름],$R416)=1),"명단 일치(이름만, 과 다름)",IF(COUNTIF(명단표[이름],$R416)=0,IF(COUNTIF(기본자료표[이름],$R416)&gt;0,"명단에 없음(기본자료에는 있음)","명단에 없음"),"동명이인 확인"))))</f>
        <v/>
      </c>
      <c r="Z416">
        <f>IF($R416="","",IF($S416&lt;0,"⚠"&amp;INDEX('입력_구리근무자명단'!$A414:$ZZ414,1,$E$2+2),TEXT($S416,"yyyy-mm-dd")))</f>
        <v/>
      </c>
      <c r="AA416">
        <f>IF($R416="","",IF($T416&lt;0,"⚠"&amp;INDEX('입력_구리근무자명단'!$A414:$ZZ414,1,$E$2+3),TEXT($T416,"yyyy-mm-dd")))</f>
        <v/>
      </c>
      <c r="AB416">
        <f>AB415+IF($R416="",0,1)</f>
        <v/>
      </c>
      <c r="AC416">
        <f>IF($R416="","",$AB416)</f>
        <v/>
      </c>
    </row>
    <row r="417">
      <c r="A417">
        <f>IFERROR(INDEX($O$6:$O$1505,MATCH(412,$AC$6:$AC$1505,0)),"")</f>
        <v/>
      </c>
      <c r="B417">
        <f>IF(ISNUMBER($A417),INDEX($P$6:$P$1505,$A417-3),"")</f>
        <v/>
      </c>
      <c r="C417">
        <f>IF(ISNUMBER($A417),INDEX($Q$6:$Q$1505,$A417-3),"")</f>
        <v/>
      </c>
      <c r="D417">
        <f>IF(ISNUMBER($A417),INDEX($R$6:$R$1505,$A417-3),"")</f>
        <v/>
      </c>
      <c r="E417">
        <f>IF(ISNUMBER($A417),$G$2,"")</f>
        <v/>
      </c>
      <c r="F417">
        <f>IF(ISNUMBER($A417),INDEX($Z$6:$Z$1505,$A417-3),"")</f>
        <v/>
      </c>
      <c r="G417">
        <f>IF(ISNUMBER($A417),INDEX($AA$6:$AA$1505,$A417-3),"")</f>
        <v/>
      </c>
      <c r="H417">
        <f>IF(ISNUMBER($A417),INDEX($U$6:$U$1505,$A417-3),"")</f>
        <v/>
      </c>
      <c r="I417">
        <f>IF(ISNUMBER($A417),INDEX($V$6:$V$1505,$A417-3),"")</f>
        <v/>
      </c>
      <c r="J417">
        <f>IF(ISNUMBER($A417),INDEX($W$6:$W$1505,$A417-3),"")</f>
        <v/>
      </c>
      <c r="K417">
        <f>IF(ISNUMBER($A417),INDEX($X$6:$X$1505,$A417-3),"")</f>
        <v/>
      </c>
      <c r="L417">
        <f>IF(ISNUMBER($A417),INDEX($Y$6:$Y$1505,$A417-3),"")</f>
        <v/>
      </c>
      <c r="O417">
        <f>415</f>
        <v/>
      </c>
      <c r="P417">
        <f>IF(TRIM('입력_구리근무자명단'!$A415&amp;"")&lt;&gt;"",TRIM('입력_구리근무자명단'!$A415&amp;""),P416)</f>
        <v/>
      </c>
      <c r="Q417">
        <f>'입력_구리근무자명단'!$B415&amp;""</f>
        <v/>
      </c>
      <c r="R417">
        <f>IF($E$2="","",TRIM(INDEX('입력_구리근무자명단'!$A415:$ZZ415,1,$E$2+IF($G$2="확정",1,0))&amp;""))</f>
        <v/>
      </c>
      <c r="S417">
        <f>IF($R417="","",IF(INDEX('입력_구리근무자명단'!$A415:$ZZ415,1,$E$2+2)&amp;""="",급여기준월,IF(ISNUMBER(INDEX('입력_구리근무자명단'!$A415:$ZZ415,1,$E$2+2)),INDEX('입력_구리근무자명단'!$A415:$ZZ415,1,$E$2+2),IFERROR(DATE(VALUE(LEFT(INDEX('입력_구리근무자명단'!$A415:$ZZ415,1,$E$2+2),4)),VALUE(MID(INDEX('입력_구리근무자명단'!$A415:$ZZ415,1,$E$2+2),6,2)),VALUE(MID(INDEX('입력_구리근무자명단'!$A415:$ZZ415,1,$E$2+2),9,2))),-1))))</f>
        <v/>
      </c>
      <c r="T417">
        <f>IF($R417="","",IF(INDEX('입력_구리근무자명단'!$A415:$ZZ415,1,$E$2+3)&amp;""="",EOMONTH(급여기준월,0),IF(ISNUMBER(INDEX('입력_구리근무자명단'!$A415:$ZZ415,1,$E$2+3)),INDEX('입력_구리근무자명단'!$A415:$ZZ415,1,$E$2+3),IFERROR(DATE(VALUE(LEFT(INDEX('입력_구리근무자명단'!$A415:$ZZ415,1,$E$2+3),4)),VALUE(MID(INDEX('입력_구리근무자명단'!$A415:$ZZ415,1,$E$2+3),6,2)),VALUE(MID(INDEX('입력_구리근무자명단'!$A415:$ZZ415,1,$E$2+3),9,2))),-1))))</f>
        <v/>
      </c>
      <c r="U417">
        <f>IF($R417="","",IF(OR($S417&lt;0,$T417&lt;0),0,MAX(0,MIN($T417,EOMONTH(급여기준월,0))-MAX($S417,급여기준월)+1)))</f>
        <v/>
      </c>
      <c r="V417">
        <f>IF($R417="","",TRIM(INDEX('입력_구리근무자명단'!$A415:$ZZ415,1,$E$2+5)&amp;""))</f>
        <v/>
      </c>
      <c r="W417">
        <f>IF(ISNUMBER(SEARCH("구리독자",$V417)),"구리독자","")</f>
        <v/>
      </c>
      <c r="X417">
        <f>IF($R417="","",$R417&amp;"|"&amp;IF(OR($Q417="인턴",ISNUMBER(SEARCH("수련교육부",$P417))),"인턴",$P417))</f>
        <v/>
      </c>
      <c r="Y417">
        <f>IF($R417="","",IF(COUNTIF(명단표[이름|과],$X417)=1,"명단 일치",IF(AND(COUNTIF(명단표[이름|과],$X417)=0,COUNTIF(명단표[이름],$R417)=1),"명단 일치(이름만, 과 다름)",IF(COUNTIF(명단표[이름],$R417)=0,IF(COUNTIF(기본자료표[이름],$R417)&gt;0,"명단에 없음(기본자료에는 있음)","명단에 없음"),"동명이인 확인"))))</f>
        <v/>
      </c>
      <c r="Z417">
        <f>IF($R417="","",IF($S417&lt;0,"⚠"&amp;INDEX('입력_구리근무자명단'!$A415:$ZZ415,1,$E$2+2),TEXT($S417,"yyyy-mm-dd")))</f>
        <v/>
      </c>
      <c r="AA417">
        <f>IF($R417="","",IF($T417&lt;0,"⚠"&amp;INDEX('입력_구리근무자명단'!$A415:$ZZ415,1,$E$2+3),TEXT($T417,"yyyy-mm-dd")))</f>
        <v/>
      </c>
      <c r="AB417">
        <f>AB416+IF($R417="",0,1)</f>
        <v/>
      </c>
      <c r="AC417">
        <f>IF($R417="","",$AB417)</f>
        <v/>
      </c>
    </row>
    <row r="418">
      <c r="A418">
        <f>IFERROR(INDEX($O$6:$O$1505,MATCH(413,$AC$6:$AC$1505,0)),"")</f>
        <v/>
      </c>
      <c r="B418">
        <f>IF(ISNUMBER($A418),INDEX($P$6:$P$1505,$A418-3),"")</f>
        <v/>
      </c>
      <c r="C418">
        <f>IF(ISNUMBER($A418),INDEX($Q$6:$Q$1505,$A418-3),"")</f>
        <v/>
      </c>
      <c r="D418">
        <f>IF(ISNUMBER($A418),INDEX($R$6:$R$1505,$A418-3),"")</f>
        <v/>
      </c>
      <c r="E418">
        <f>IF(ISNUMBER($A418),$G$2,"")</f>
        <v/>
      </c>
      <c r="F418">
        <f>IF(ISNUMBER($A418),INDEX($Z$6:$Z$1505,$A418-3),"")</f>
        <v/>
      </c>
      <c r="G418">
        <f>IF(ISNUMBER($A418),INDEX($AA$6:$AA$1505,$A418-3),"")</f>
        <v/>
      </c>
      <c r="H418">
        <f>IF(ISNUMBER($A418),INDEX($U$6:$U$1505,$A418-3),"")</f>
        <v/>
      </c>
      <c r="I418">
        <f>IF(ISNUMBER($A418),INDEX($V$6:$V$1505,$A418-3),"")</f>
        <v/>
      </c>
      <c r="J418">
        <f>IF(ISNUMBER($A418),INDEX($W$6:$W$1505,$A418-3),"")</f>
        <v/>
      </c>
      <c r="K418">
        <f>IF(ISNUMBER($A418),INDEX($X$6:$X$1505,$A418-3),"")</f>
        <v/>
      </c>
      <c r="L418">
        <f>IF(ISNUMBER($A418),INDEX($Y$6:$Y$1505,$A418-3),"")</f>
        <v/>
      </c>
      <c r="O418">
        <f>416</f>
        <v/>
      </c>
      <c r="P418">
        <f>IF(TRIM('입력_구리근무자명단'!$A416&amp;"")&lt;&gt;"",TRIM('입력_구리근무자명단'!$A416&amp;""),P417)</f>
        <v/>
      </c>
      <c r="Q418">
        <f>'입력_구리근무자명단'!$B416&amp;""</f>
        <v/>
      </c>
      <c r="R418">
        <f>IF($E$2="","",TRIM(INDEX('입력_구리근무자명단'!$A416:$ZZ416,1,$E$2+IF($G$2="확정",1,0))&amp;""))</f>
        <v/>
      </c>
      <c r="S418">
        <f>IF($R418="","",IF(INDEX('입력_구리근무자명단'!$A416:$ZZ416,1,$E$2+2)&amp;""="",급여기준월,IF(ISNUMBER(INDEX('입력_구리근무자명단'!$A416:$ZZ416,1,$E$2+2)),INDEX('입력_구리근무자명단'!$A416:$ZZ416,1,$E$2+2),IFERROR(DATE(VALUE(LEFT(INDEX('입력_구리근무자명단'!$A416:$ZZ416,1,$E$2+2),4)),VALUE(MID(INDEX('입력_구리근무자명단'!$A416:$ZZ416,1,$E$2+2),6,2)),VALUE(MID(INDEX('입력_구리근무자명단'!$A416:$ZZ416,1,$E$2+2),9,2))),-1))))</f>
        <v/>
      </c>
      <c r="T418">
        <f>IF($R418="","",IF(INDEX('입력_구리근무자명단'!$A416:$ZZ416,1,$E$2+3)&amp;""="",EOMONTH(급여기준월,0),IF(ISNUMBER(INDEX('입력_구리근무자명단'!$A416:$ZZ416,1,$E$2+3)),INDEX('입력_구리근무자명단'!$A416:$ZZ416,1,$E$2+3),IFERROR(DATE(VALUE(LEFT(INDEX('입력_구리근무자명단'!$A416:$ZZ416,1,$E$2+3),4)),VALUE(MID(INDEX('입력_구리근무자명단'!$A416:$ZZ416,1,$E$2+3),6,2)),VALUE(MID(INDEX('입력_구리근무자명단'!$A416:$ZZ416,1,$E$2+3),9,2))),-1))))</f>
        <v/>
      </c>
      <c r="U418">
        <f>IF($R418="","",IF(OR($S418&lt;0,$T418&lt;0),0,MAX(0,MIN($T418,EOMONTH(급여기준월,0))-MAX($S418,급여기준월)+1)))</f>
        <v/>
      </c>
      <c r="V418">
        <f>IF($R418="","",TRIM(INDEX('입력_구리근무자명단'!$A416:$ZZ416,1,$E$2+5)&amp;""))</f>
        <v/>
      </c>
      <c r="W418">
        <f>IF(ISNUMBER(SEARCH("구리독자",$V418)),"구리독자","")</f>
        <v/>
      </c>
      <c r="X418">
        <f>IF($R418="","",$R418&amp;"|"&amp;IF(OR($Q418="인턴",ISNUMBER(SEARCH("수련교육부",$P418))),"인턴",$P418))</f>
        <v/>
      </c>
      <c r="Y418">
        <f>IF($R418="","",IF(COUNTIF(명단표[이름|과],$X418)=1,"명단 일치",IF(AND(COUNTIF(명단표[이름|과],$X418)=0,COUNTIF(명단표[이름],$R418)=1),"명단 일치(이름만, 과 다름)",IF(COUNTIF(명단표[이름],$R418)=0,IF(COUNTIF(기본자료표[이름],$R418)&gt;0,"명단에 없음(기본자료에는 있음)","명단에 없음"),"동명이인 확인"))))</f>
        <v/>
      </c>
      <c r="Z418">
        <f>IF($R418="","",IF($S418&lt;0,"⚠"&amp;INDEX('입력_구리근무자명단'!$A416:$ZZ416,1,$E$2+2),TEXT($S418,"yyyy-mm-dd")))</f>
        <v/>
      </c>
      <c r="AA418">
        <f>IF($R418="","",IF($T418&lt;0,"⚠"&amp;INDEX('입력_구리근무자명단'!$A416:$ZZ416,1,$E$2+3),TEXT($T418,"yyyy-mm-dd")))</f>
        <v/>
      </c>
      <c r="AB418">
        <f>AB417+IF($R418="",0,1)</f>
        <v/>
      </c>
      <c r="AC418">
        <f>IF($R418="","",$AB418)</f>
        <v/>
      </c>
    </row>
    <row r="419">
      <c r="A419">
        <f>IFERROR(INDEX($O$6:$O$1505,MATCH(414,$AC$6:$AC$1505,0)),"")</f>
        <v/>
      </c>
      <c r="B419">
        <f>IF(ISNUMBER($A419),INDEX($P$6:$P$1505,$A419-3),"")</f>
        <v/>
      </c>
      <c r="C419">
        <f>IF(ISNUMBER($A419),INDEX($Q$6:$Q$1505,$A419-3),"")</f>
        <v/>
      </c>
      <c r="D419">
        <f>IF(ISNUMBER($A419),INDEX($R$6:$R$1505,$A419-3),"")</f>
        <v/>
      </c>
      <c r="E419">
        <f>IF(ISNUMBER($A419),$G$2,"")</f>
        <v/>
      </c>
      <c r="F419">
        <f>IF(ISNUMBER($A419),INDEX($Z$6:$Z$1505,$A419-3),"")</f>
        <v/>
      </c>
      <c r="G419">
        <f>IF(ISNUMBER($A419),INDEX($AA$6:$AA$1505,$A419-3),"")</f>
        <v/>
      </c>
      <c r="H419">
        <f>IF(ISNUMBER($A419),INDEX($U$6:$U$1505,$A419-3),"")</f>
        <v/>
      </c>
      <c r="I419">
        <f>IF(ISNUMBER($A419),INDEX($V$6:$V$1505,$A419-3),"")</f>
        <v/>
      </c>
      <c r="J419">
        <f>IF(ISNUMBER($A419),INDEX($W$6:$W$1505,$A419-3),"")</f>
        <v/>
      </c>
      <c r="K419">
        <f>IF(ISNUMBER($A419),INDEX($X$6:$X$1505,$A419-3),"")</f>
        <v/>
      </c>
      <c r="L419">
        <f>IF(ISNUMBER($A419),INDEX($Y$6:$Y$1505,$A419-3),"")</f>
        <v/>
      </c>
      <c r="O419">
        <f>417</f>
        <v/>
      </c>
      <c r="P419">
        <f>IF(TRIM('입력_구리근무자명단'!$A417&amp;"")&lt;&gt;"",TRIM('입력_구리근무자명단'!$A417&amp;""),P418)</f>
        <v/>
      </c>
      <c r="Q419">
        <f>'입력_구리근무자명단'!$B417&amp;""</f>
        <v/>
      </c>
      <c r="R419">
        <f>IF($E$2="","",TRIM(INDEX('입력_구리근무자명단'!$A417:$ZZ417,1,$E$2+IF($G$2="확정",1,0))&amp;""))</f>
        <v/>
      </c>
      <c r="S419">
        <f>IF($R419="","",IF(INDEX('입력_구리근무자명단'!$A417:$ZZ417,1,$E$2+2)&amp;""="",급여기준월,IF(ISNUMBER(INDEX('입력_구리근무자명단'!$A417:$ZZ417,1,$E$2+2)),INDEX('입력_구리근무자명단'!$A417:$ZZ417,1,$E$2+2),IFERROR(DATE(VALUE(LEFT(INDEX('입력_구리근무자명단'!$A417:$ZZ417,1,$E$2+2),4)),VALUE(MID(INDEX('입력_구리근무자명단'!$A417:$ZZ417,1,$E$2+2),6,2)),VALUE(MID(INDEX('입력_구리근무자명단'!$A417:$ZZ417,1,$E$2+2),9,2))),-1))))</f>
        <v/>
      </c>
      <c r="T419">
        <f>IF($R419="","",IF(INDEX('입력_구리근무자명단'!$A417:$ZZ417,1,$E$2+3)&amp;""="",EOMONTH(급여기준월,0),IF(ISNUMBER(INDEX('입력_구리근무자명단'!$A417:$ZZ417,1,$E$2+3)),INDEX('입력_구리근무자명단'!$A417:$ZZ417,1,$E$2+3),IFERROR(DATE(VALUE(LEFT(INDEX('입력_구리근무자명단'!$A417:$ZZ417,1,$E$2+3),4)),VALUE(MID(INDEX('입력_구리근무자명단'!$A417:$ZZ417,1,$E$2+3),6,2)),VALUE(MID(INDEX('입력_구리근무자명단'!$A417:$ZZ417,1,$E$2+3),9,2))),-1))))</f>
        <v/>
      </c>
      <c r="U419">
        <f>IF($R419="","",IF(OR($S419&lt;0,$T419&lt;0),0,MAX(0,MIN($T419,EOMONTH(급여기준월,0))-MAX($S419,급여기준월)+1)))</f>
        <v/>
      </c>
      <c r="V419">
        <f>IF($R419="","",TRIM(INDEX('입력_구리근무자명단'!$A417:$ZZ417,1,$E$2+5)&amp;""))</f>
        <v/>
      </c>
      <c r="W419">
        <f>IF(ISNUMBER(SEARCH("구리독자",$V419)),"구리독자","")</f>
        <v/>
      </c>
      <c r="X419">
        <f>IF($R419="","",$R419&amp;"|"&amp;IF(OR($Q419="인턴",ISNUMBER(SEARCH("수련교육부",$P419))),"인턴",$P419))</f>
        <v/>
      </c>
      <c r="Y419">
        <f>IF($R419="","",IF(COUNTIF(명단표[이름|과],$X419)=1,"명단 일치",IF(AND(COUNTIF(명단표[이름|과],$X419)=0,COUNTIF(명단표[이름],$R419)=1),"명단 일치(이름만, 과 다름)",IF(COUNTIF(명단표[이름],$R419)=0,IF(COUNTIF(기본자료표[이름],$R419)&gt;0,"명단에 없음(기본자료에는 있음)","명단에 없음"),"동명이인 확인"))))</f>
        <v/>
      </c>
      <c r="Z419">
        <f>IF($R419="","",IF($S419&lt;0,"⚠"&amp;INDEX('입력_구리근무자명단'!$A417:$ZZ417,1,$E$2+2),TEXT($S419,"yyyy-mm-dd")))</f>
        <v/>
      </c>
      <c r="AA419">
        <f>IF($R419="","",IF($T419&lt;0,"⚠"&amp;INDEX('입력_구리근무자명단'!$A417:$ZZ417,1,$E$2+3),TEXT($T419,"yyyy-mm-dd")))</f>
        <v/>
      </c>
      <c r="AB419">
        <f>AB418+IF($R419="",0,1)</f>
        <v/>
      </c>
      <c r="AC419">
        <f>IF($R419="","",$AB419)</f>
        <v/>
      </c>
    </row>
    <row r="420">
      <c r="A420">
        <f>IFERROR(INDEX($O$6:$O$1505,MATCH(415,$AC$6:$AC$1505,0)),"")</f>
        <v/>
      </c>
      <c r="B420">
        <f>IF(ISNUMBER($A420),INDEX($P$6:$P$1505,$A420-3),"")</f>
        <v/>
      </c>
      <c r="C420">
        <f>IF(ISNUMBER($A420),INDEX($Q$6:$Q$1505,$A420-3),"")</f>
        <v/>
      </c>
      <c r="D420">
        <f>IF(ISNUMBER($A420),INDEX($R$6:$R$1505,$A420-3),"")</f>
        <v/>
      </c>
      <c r="E420">
        <f>IF(ISNUMBER($A420),$G$2,"")</f>
        <v/>
      </c>
      <c r="F420">
        <f>IF(ISNUMBER($A420),INDEX($Z$6:$Z$1505,$A420-3),"")</f>
        <v/>
      </c>
      <c r="G420">
        <f>IF(ISNUMBER($A420),INDEX($AA$6:$AA$1505,$A420-3),"")</f>
        <v/>
      </c>
      <c r="H420">
        <f>IF(ISNUMBER($A420),INDEX($U$6:$U$1505,$A420-3),"")</f>
        <v/>
      </c>
      <c r="I420">
        <f>IF(ISNUMBER($A420),INDEX($V$6:$V$1505,$A420-3),"")</f>
        <v/>
      </c>
      <c r="J420">
        <f>IF(ISNUMBER($A420),INDEX($W$6:$W$1505,$A420-3),"")</f>
        <v/>
      </c>
      <c r="K420">
        <f>IF(ISNUMBER($A420),INDEX($X$6:$X$1505,$A420-3),"")</f>
        <v/>
      </c>
      <c r="L420">
        <f>IF(ISNUMBER($A420),INDEX($Y$6:$Y$1505,$A420-3),"")</f>
        <v/>
      </c>
      <c r="O420">
        <f>418</f>
        <v/>
      </c>
      <c r="P420">
        <f>IF(TRIM('입력_구리근무자명단'!$A418&amp;"")&lt;&gt;"",TRIM('입력_구리근무자명단'!$A418&amp;""),P419)</f>
        <v/>
      </c>
      <c r="Q420">
        <f>'입력_구리근무자명단'!$B418&amp;""</f>
        <v/>
      </c>
      <c r="R420">
        <f>IF($E$2="","",TRIM(INDEX('입력_구리근무자명단'!$A418:$ZZ418,1,$E$2+IF($G$2="확정",1,0))&amp;""))</f>
        <v/>
      </c>
      <c r="S420">
        <f>IF($R420="","",IF(INDEX('입력_구리근무자명단'!$A418:$ZZ418,1,$E$2+2)&amp;""="",급여기준월,IF(ISNUMBER(INDEX('입력_구리근무자명단'!$A418:$ZZ418,1,$E$2+2)),INDEX('입력_구리근무자명단'!$A418:$ZZ418,1,$E$2+2),IFERROR(DATE(VALUE(LEFT(INDEX('입력_구리근무자명단'!$A418:$ZZ418,1,$E$2+2),4)),VALUE(MID(INDEX('입력_구리근무자명단'!$A418:$ZZ418,1,$E$2+2),6,2)),VALUE(MID(INDEX('입력_구리근무자명단'!$A418:$ZZ418,1,$E$2+2),9,2))),-1))))</f>
        <v/>
      </c>
      <c r="T420">
        <f>IF($R420="","",IF(INDEX('입력_구리근무자명단'!$A418:$ZZ418,1,$E$2+3)&amp;""="",EOMONTH(급여기준월,0),IF(ISNUMBER(INDEX('입력_구리근무자명단'!$A418:$ZZ418,1,$E$2+3)),INDEX('입력_구리근무자명단'!$A418:$ZZ418,1,$E$2+3),IFERROR(DATE(VALUE(LEFT(INDEX('입력_구리근무자명단'!$A418:$ZZ418,1,$E$2+3),4)),VALUE(MID(INDEX('입력_구리근무자명단'!$A418:$ZZ418,1,$E$2+3),6,2)),VALUE(MID(INDEX('입력_구리근무자명단'!$A418:$ZZ418,1,$E$2+3),9,2))),-1))))</f>
        <v/>
      </c>
      <c r="U420">
        <f>IF($R420="","",IF(OR($S420&lt;0,$T420&lt;0),0,MAX(0,MIN($T420,EOMONTH(급여기준월,0))-MAX($S420,급여기준월)+1)))</f>
        <v/>
      </c>
      <c r="V420">
        <f>IF($R420="","",TRIM(INDEX('입력_구리근무자명단'!$A418:$ZZ418,1,$E$2+5)&amp;""))</f>
        <v/>
      </c>
      <c r="W420">
        <f>IF(ISNUMBER(SEARCH("구리독자",$V420)),"구리독자","")</f>
        <v/>
      </c>
      <c r="X420">
        <f>IF($R420="","",$R420&amp;"|"&amp;IF(OR($Q420="인턴",ISNUMBER(SEARCH("수련교육부",$P420))),"인턴",$P420))</f>
        <v/>
      </c>
      <c r="Y420">
        <f>IF($R420="","",IF(COUNTIF(명단표[이름|과],$X420)=1,"명단 일치",IF(AND(COUNTIF(명단표[이름|과],$X420)=0,COUNTIF(명단표[이름],$R420)=1),"명단 일치(이름만, 과 다름)",IF(COUNTIF(명단표[이름],$R420)=0,IF(COUNTIF(기본자료표[이름],$R420)&gt;0,"명단에 없음(기본자료에는 있음)","명단에 없음"),"동명이인 확인"))))</f>
        <v/>
      </c>
      <c r="Z420">
        <f>IF($R420="","",IF($S420&lt;0,"⚠"&amp;INDEX('입력_구리근무자명단'!$A418:$ZZ418,1,$E$2+2),TEXT($S420,"yyyy-mm-dd")))</f>
        <v/>
      </c>
      <c r="AA420">
        <f>IF($R420="","",IF($T420&lt;0,"⚠"&amp;INDEX('입력_구리근무자명단'!$A418:$ZZ418,1,$E$2+3),TEXT($T420,"yyyy-mm-dd")))</f>
        <v/>
      </c>
      <c r="AB420">
        <f>AB419+IF($R420="",0,1)</f>
        <v/>
      </c>
      <c r="AC420">
        <f>IF($R420="","",$AB420)</f>
        <v/>
      </c>
    </row>
    <row r="421">
      <c r="A421">
        <f>IFERROR(INDEX($O$6:$O$1505,MATCH(416,$AC$6:$AC$1505,0)),"")</f>
        <v/>
      </c>
      <c r="B421">
        <f>IF(ISNUMBER($A421),INDEX($P$6:$P$1505,$A421-3),"")</f>
        <v/>
      </c>
      <c r="C421">
        <f>IF(ISNUMBER($A421),INDEX($Q$6:$Q$1505,$A421-3),"")</f>
        <v/>
      </c>
      <c r="D421">
        <f>IF(ISNUMBER($A421),INDEX($R$6:$R$1505,$A421-3),"")</f>
        <v/>
      </c>
      <c r="E421">
        <f>IF(ISNUMBER($A421),$G$2,"")</f>
        <v/>
      </c>
      <c r="F421">
        <f>IF(ISNUMBER($A421),INDEX($Z$6:$Z$1505,$A421-3),"")</f>
        <v/>
      </c>
      <c r="G421">
        <f>IF(ISNUMBER($A421),INDEX($AA$6:$AA$1505,$A421-3),"")</f>
        <v/>
      </c>
      <c r="H421">
        <f>IF(ISNUMBER($A421),INDEX($U$6:$U$1505,$A421-3),"")</f>
        <v/>
      </c>
      <c r="I421">
        <f>IF(ISNUMBER($A421),INDEX($V$6:$V$1505,$A421-3),"")</f>
        <v/>
      </c>
      <c r="J421">
        <f>IF(ISNUMBER($A421),INDEX($W$6:$W$1505,$A421-3),"")</f>
        <v/>
      </c>
      <c r="K421">
        <f>IF(ISNUMBER($A421),INDEX($X$6:$X$1505,$A421-3),"")</f>
        <v/>
      </c>
      <c r="L421">
        <f>IF(ISNUMBER($A421),INDEX($Y$6:$Y$1505,$A421-3),"")</f>
        <v/>
      </c>
      <c r="O421">
        <f>419</f>
        <v/>
      </c>
      <c r="P421">
        <f>IF(TRIM('입력_구리근무자명단'!$A419&amp;"")&lt;&gt;"",TRIM('입력_구리근무자명단'!$A419&amp;""),P420)</f>
        <v/>
      </c>
      <c r="Q421">
        <f>'입력_구리근무자명단'!$B419&amp;""</f>
        <v/>
      </c>
      <c r="R421">
        <f>IF($E$2="","",TRIM(INDEX('입력_구리근무자명단'!$A419:$ZZ419,1,$E$2+IF($G$2="확정",1,0))&amp;""))</f>
        <v/>
      </c>
      <c r="S421">
        <f>IF($R421="","",IF(INDEX('입력_구리근무자명단'!$A419:$ZZ419,1,$E$2+2)&amp;""="",급여기준월,IF(ISNUMBER(INDEX('입력_구리근무자명단'!$A419:$ZZ419,1,$E$2+2)),INDEX('입력_구리근무자명단'!$A419:$ZZ419,1,$E$2+2),IFERROR(DATE(VALUE(LEFT(INDEX('입력_구리근무자명단'!$A419:$ZZ419,1,$E$2+2),4)),VALUE(MID(INDEX('입력_구리근무자명단'!$A419:$ZZ419,1,$E$2+2),6,2)),VALUE(MID(INDEX('입력_구리근무자명단'!$A419:$ZZ419,1,$E$2+2),9,2))),-1))))</f>
        <v/>
      </c>
      <c r="T421">
        <f>IF($R421="","",IF(INDEX('입력_구리근무자명단'!$A419:$ZZ419,1,$E$2+3)&amp;""="",EOMONTH(급여기준월,0),IF(ISNUMBER(INDEX('입력_구리근무자명단'!$A419:$ZZ419,1,$E$2+3)),INDEX('입력_구리근무자명단'!$A419:$ZZ419,1,$E$2+3),IFERROR(DATE(VALUE(LEFT(INDEX('입력_구리근무자명단'!$A419:$ZZ419,1,$E$2+3),4)),VALUE(MID(INDEX('입력_구리근무자명단'!$A419:$ZZ419,1,$E$2+3),6,2)),VALUE(MID(INDEX('입력_구리근무자명단'!$A419:$ZZ419,1,$E$2+3),9,2))),-1))))</f>
        <v/>
      </c>
      <c r="U421">
        <f>IF($R421="","",IF(OR($S421&lt;0,$T421&lt;0),0,MAX(0,MIN($T421,EOMONTH(급여기준월,0))-MAX($S421,급여기준월)+1)))</f>
        <v/>
      </c>
      <c r="V421">
        <f>IF($R421="","",TRIM(INDEX('입력_구리근무자명단'!$A419:$ZZ419,1,$E$2+5)&amp;""))</f>
        <v/>
      </c>
      <c r="W421">
        <f>IF(ISNUMBER(SEARCH("구리독자",$V421)),"구리독자","")</f>
        <v/>
      </c>
      <c r="X421">
        <f>IF($R421="","",$R421&amp;"|"&amp;IF(OR($Q421="인턴",ISNUMBER(SEARCH("수련교육부",$P421))),"인턴",$P421))</f>
        <v/>
      </c>
      <c r="Y421">
        <f>IF($R421="","",IF(COUNTIF(명단표[이름|과],$X421)=1,"명단 일치",IF(AND(COUNTIF(명단표[이름|과],$X421)=0,COUNTIF(명단표[이름],$R421)=1),"명단 일치(이름만, 과 다름)",IF(COUNTIF(명단표[이름],$R421)=0,IF(COUNTIF(기본자료표[이름],$R421)&gt;0,"명단에 없음(기본자료에는 있음)","명단에 없음"),"동명이인 확인"))))</f>
        <v/>
      </c>
      <c r="Z421">
        <f>IF($R421="","",IF($S421&lt;0,"⚠"&amp;INDEX('입력_구리근무자명단'!$A419:$ZZ419,1,$E$2+2),TEXT($S421,"yyyy-mm-dd")))</f>
        <v/>
      </c>
      <c r="AA421">
        <f>IF($R421="","",IF($T421&lt;0,"⚠"&amp;INDEX('입력_구리근무자명단'!$A419:$ZZ419,1,$E$2+3),TEXT($T421,"yyyy-mm-dd")))</f>
        <v/>
      </c>
      <c r="AB421">
        <f>AB420+IF($R421="",0,1)</f>
        <v/>
      </c>
      <c r="AC421">
        <f>IF($R421="","",$AB421)</f>
        <v/>
      </c>
    </row>
    <row r="422">
      <c r="A422">
        <f>IFERROR(INDEX($O$6:$O$1505,MATCH(417,$AC$6:$AC$1505,0)),"")</f>
        <v/>
      </c>
      <c r="B422">
        <f>IF(ISNUMBER($A422),INDEX($P$6:$P$1505,$A422-3),"")</f>
        <v/>
      </c>
      <c r="C422">
        <f>IF(ISNUMBER($A422),INDEX($Q$6:$Q$1505,$A422-3),"")</f>
        <v/>
      </c>
      <c r="D422">
        <f>IF(ISNUMBER($A422),INDEX($R$6:$R$1505,$A422-3),"")</f>
        <v/>
      </c>
      <c r="E422">
        <f>IF(ISNUMBER($A422),$G$2,"")</f>
        <v/>
      </c>
      <c r="F422">
        <f>IF(ISNUMBER($A422),INDEX($Z$6:$Z$1505,$A422-3),"")</f>
        <v/>
      </c>
      <c r="G422">
        <f>IF(ISNUMBER($A422),INDEX($AA$6:$AA$1505,$A422-3),"")</f>
        <v/>
      </c>
      <c r="H422">
        <f>IF(ISNUMBER($A422),INDEX($U$6:$U$1505,$A422-3),"")</f>
        <v/>
      </c>
      <c r="I422">
        <f>IF(ISNUMBER($A422),INDEX($V$6:$V$1505,$A422-3),"")</f>
        <v/>
      </c>
      <c r="J422">
        <f>IF(ISNUMBER($A422),INDEX($W$6:$W$1505,$A422-3),"")</f>
        <v/>
      </c>
      <c r="K422">
        <f>IF(ISNUMBER($A422),INDEX($X$6:$X$1505,$A422-3),"")</f>
        <v/>
      </c>
      <c r="L422">
        <f>IF(ISNUMBER($A422),INDEX($Y$6:$Y$1505,$A422-3),"")</f>
        <v/>
      </c>
      <c r="O422">
        <f>420</f>
        <v/>
      </c>
      <c r="P422">
        <f>IF(TRIM('입력_구리근무자명단'!$A420&amp;"")&lt;&gt;"",TRIM('입력_구리근무자명단'!$A420&amp;""),P421)</f>
        <v/>
      </c>
      <c r="Q422">
        <f>'입력_구리근무자명단'!$B420&amp;""</f>
        <v/>
      </c>
      <c r="R422">
        <f>IF($E$2="","",TRIM(INDEX('입력_구리근무자명단'!$A420:$ZZ420,1,$E$2+IF($G$2="확정",1,0))&amp;""))</f>
        <v/>
      </c>
      <c r="S422">
        <f>IF($R422="","",IF(INDEX('입력_구리근무자명단'!$A420:$ZZ420,1,$E$2+2)&amp;""="",급여기준월,IF(ISNUMBER(INDEX('입력_구리근무자명단'!$A420:$ZZ420,1,$E$2+2)),INDEX('입력_구리근무자명단'!$A420:$ZZ420,1,$E$2+2),IFERROR(DATE(VALUE(LEFT(INDEX('입력_구리근무자명단'!$A420:$ZZ420,1,$E$2+2),4)),VALUE(MID(INDEX('입력_구리근무자명단'!$A420:$ZZ420,1,$E$2+2),6,2)),VALUE(MID(INDEX('입력_구리근무자명단'!$A420:$ZZ420,1,$E$2+2),9,2))),-1))))</f>
        <v/>
      </c>
      <c r="T422">
        <f>IF($R422="","",IF(INDEX('입력_구리근무자명단'!$A420:$ZZ420,1,$E$2+3)&amp;""="",EOMONTH(급여기준월,0),IF(ISNUMBER(INDEX('입력_구리근무자명단'!$A420:$ZZ420,1,$E$2+3)),INDEX('입력_구리근무자명단'!$A420:$ZZ420,1,$E$2+3),IFERROR(DATE(VALUE(LEFT(INDEX('입력_구리근무자명단'!$A420:$ZZ420,1,$E$2+3),4)),VALUE(MID(INDEX('입력_구리근무자명단'!$A420:$ZZ420,1,$E$2+3),6,2)),VALUE(MID(INDEX('입력_구리근무자명단'!$A420:$ZZ420,1,$E$2+3),9,2))),-1))))</f>
        <v/>
      </c>
      <c r="U422">
        <f>IF($R422="","",IF(OR($S422&lt;0,$T422&lt;0),0,MAX(0,MIN($T422,EOMONTH(급여기준월,0))-MAX($S422,급여기준월)+1)))</f>
        <v/>
      </c>
      <c r="V422">
        <f>IF($R422="","",TRIM(INDEX('입력_구리근무자명단'!$A420:$ZZ420,1,$E$2+5)&amp;""))</f>
        <v/>
      </c>
      <c r="W422">
        <f>IF(ISNUMBER(SEARCH("구리독자",$V422)),"구리독자","")</f>
        <v/>
      </c>
      <c r="X422">
        <f>IF($R422="","",$R422&amp;"|"&amp;IF(OR($Q422="인턴",ISNUMBER(SEARCH("수련교육부",$P422))),"인턴",$P422))</f>
        <v/>
      </c>
      <c r="Y422">
        <f>IF($R422="","",IF(COUNTIF(명단표[이름|과],$X422)=1,"명단 일치",IF(AND(COUNTIF(명단표[이름|과],$X422)=0,COUNTIF(명단표[이름],$R422)=1),"명단 일치(이름만, 과 다름)",IF(COUNTIF(명단표[이름],$R422)=0,IF(COUNTIF(기본자료표[이름],$R422)&gt;0,"명단에 없음(기본자료에는 있음)","명단에 없음"),"동명이인 확인"))))</f>
        <v/>
      </c>
      <c r="Z422">
        <f>IF($R422="","",IF($S422&lt;0,"⚠"&amp;INDEX('입력_구리근무자명단'!$A420:$ZZ420,1,$E$2+2),TEXT($S422,"yyyy-mm-dd")))</f>
        <v/>
      </c>
      <c r="AA422">
        <f>IF($R422="","",IF($T422&lt;0,"⚠"&amp;INDEX('입력_구리근무자명단'!$A420:$ZZ420,1,$E$2+3),TEXT($T422,"yyyy-mm-dd")))</f>
        <v/>
      </c>
      <c r="AB422">
        <f>AB421+IF($R422="",0,1)</f>
        <v/>
      </c>
      <c r="AC422">
        <f>IF($R422="","",$AB422)</f>
        <v/>
      </c>
    </row>
    <row r="423">
      <c r="A423">
        <f>IFERROR(INDEX($O$6:$O$1505,MATCH(418,$AC$6:$AC$1505,0)),"")</f>
        <v/>
      </c>
      <c r="B423">
        <f>IF(ISNUMBER($A423),INDEX($P$6:$P$1505,$A423-3),"")</f>
        <v/>
      </c>
      <c r="C423">
        <f>IF(ISNUMBER($A423),INDEX($Q$6:$Q$1505,$A423-3),"")</f>
        <v/>
      </c>
      <c r="D423">
        <f>IF(ISNUMBER($A423),INDEX($R$6:$R$1505,$A423-3),"")</f>
        <v/>
      </c>
      <c r="E423">
        <f>IF(ISNUMBER($A423),$G$2,"")</f>
        <v/>
      </c>
      <c r="F423">
        <f>IF(ISNUMBER($A423),INDEX($Z$6:$Z$1505,$A423-3),"")</f>
        <v/>
      </c>
      <c r="G423">
        <f>IF(ISNUMBER($A423),INDEX($AA$6:$AA$1505,$A423-3),"")</f>
        <v/>
      </c>
      <c r="H423">
        <f>IF(ISNUMBER($A423),INDEX($U$6:$U$1505,$A423-3),"")</f>
        <v/>
      </c>
      <c r="I423">
        <f>IF(ISNUMBER($A423),INDEX($V$6:$V$1505,$A423-3),"")</f>
        <v/>
      </c>
      <c r="J423">
        <f>IF(ISNUMBER($A423),INDEX($W$6:$W$1505,$A423-3),"")</f>
        <v/>
      </c>
      <c r="K423">
        <f>IF(ISNUMBER($A423),INDEX($X$6:$X$1505,$A423-3),"")</f>
        <v/>
      </c>
      <c r="L423">
        <f>IF(ISNUMBER($A423),INDEX($Y$6:$Y$1505,$A423-3),"")</f>
        <v/>
      </c>
      <c r="O423">
        <f>421</f>
        <v/>
      </c>
      <c r="P423">
        <f>IF(TRIM('입력_구리근무자명단'!$A421&amp;"")&lt;&gt;"",TRIM('입력_구리근무자명단'!$A421&amp;""),P422)</f>
        <v/>
      </c>
      <c r="Q423">
        <f>'입력_구리근무자명단'!$B421&amp;""</f>
        <v/>
      </c>
      <c r="R423">
        <f>IF($E$2="","",TRIM(INDEX('입력_구리근무자명단'!$A421:$ZZ421,1,$E$2+IF($G$2="확정",1,0))&amp;""))</f>
        <v/>
      </c>
      <c r="S423">
        <f>IF($R423="","",IF(INDEX('입력_구리근무자명단'!$A421:$ZZ421,1,$E$2+2)&amp;""="",급여기준월,IF(ISNUMBER(INDEX('입력_구리근무자명단'!$A421:$ZZ421,1,$E$2+2)),INDEX('입력_구리근무자명단'!$A421:$ZZ421,1,$E$2+2),IFERROR(DATE(VALUE(LEFT(INDEX('입력_구리근무자명단'!$A421:$ZZ421,1,$E$2+2),4)),VALUE(MID(INDEX('입력_구리근무자명단'!$A421:$ZZ421,1,$E$2+2),6,2)),VALUE(MID(INDEX('입력_구리근무자명단'!$A421:$ZZ421,1,$E$2+2),9,2))),-1))))</f>
        <v/>
      </c>
      <c r="T423">
        <f>IF($R423="","",IF(INDEX('입력_구리근무자명단'!$A421:$ZZ421,1,$E$2+3)&amp;""="",EOMONTH(급여기준월,0),IF(ISNUMBER(INDEX('입력_구리근무자명단'!$A421:$ZZ421,1,$E$2+3)),INDEX('입력_구리근무자명단'!$A421:$ZZ421,1,$E$2+3),IFERROR(DATE(VALUE(LEFT(INDEX('입력_구리근무자명단'!$A421:$ZZ421,1,$E$2+3),4)),VALUE(MID(INDEX('입력_구리근무자명단'!$A421:$ZZ421,1,$E$2+3),6,2)),VALUE(MID(INDEX('입력_구리근무자명단'!$A421:$ZZ421,1,$E$2+3),9,2))),-1))))</f>
        <v/>
      </c>
      <c r="U423">
        <f>IF($R423="","",IF(OR($S423&lt;0,$T423&lt;0),0,MAX(0,MIN($T423,EOMONTH(급여기준월,0))-MAX($S423,급여기준월)+1)))</f>
        <v/>
      </c>
      <c r="V423">
        <f>IF($R423="","",TRIM(INDEX('입력_구리근무자명단'!$A421:$ZZ421,1,$E$2+5)&amp;""))</f>
        <v/>
      </c>
      <c r="W423">
        <f>IF(ISNUMBER(SEARCH("구리독자",$V423)),"구리독자","")</f>
        <v/>
      </c>
      <c r="X423">
        <f>IF($R423="","",$R423&amp;"|"&amp;IF(OR($Q423="인턴",ISNUMBER(SEARCH("수련교육부",$P423))),"인턴",$P423))</f>
        <v/>
      </c>
      <c r="Y423">
        <f>IF($R423="","",IF(COUNTIF(명단표[이름|과],$X423)=1,"명단 일치",IF(AND(COUNTIF(명단표[이름|과],$X423)=0,COUNTIF(명단표[이름],$R423)=1),"명단 일치(이름만, 과 다름)",IF(COUNTIF(명단표[이름],$R423)=0,IF(COUNTIF(기본자료표[이름],$R423)&gt;0,"명단에 없음(기본자료에는 있음)","명단에 없음"),"동명이인 확인"))))</f>
        <v/>
      </c>
      <c r="Z423">
        <f>IF($R423="","",IF($S423&lt;0,"⚠"&amp;INDEX('입력_구리근무자명단'!$A421:$ZZ421,1,$E$2+2),TEXT($S423,"yyyy-mm-dd")))</f>
        <v/>
      </c>
      <c r="AA423">
        <f>IF($R423="","",IF($T423&lt;0,"⚠"&amp;INDEX('입력_구리근무자명단'!$A421:$ZZ421,1,$E$2+3),TEXT($T423,"yyyy-mm-dd")))</f>
        <v/>
      </c>
      <c r="AB423">
        <f>AB422+IF($R423="",0,1)</f>
        <v/>
      </c>
      <c r="AC423">
        <f>IF($R423="","",$AB423)</f>
        <v/>
      </c>
    </row>
    <row r="424">
      <c r="A424">
        <f>IFERROR(INDEX($O$6:$O$1505,MATCH(419,$AC$6:$AC$1505,0)),"")</f>
        <v/>
      </c>
      <c r="B424">
        <f>IF(ISNUMBER($A424),INDEX($P$6:$P$1505,$A424-3),"")</f>
        <v/>
      </c>
      <c r="C424">
        <f>IF(ISNUMBER($A424),INDEX($Q$6:$Q$1505,$A424-3),"")</f>
        <v/>
      </c>
      <c r="D424">
        <f>IF(ISNUMBER($A424),INDEX($R$6:$R$1505,$A424-3),"")</f>
        <v/>
      </c>
      <c r="E424">
        <f>IF(ISNUMBER($A424),$G$2,"")</f>
        <v/>
      </c>
      <c r="F424">
        <f>IF(ISNUMBER($A424),INDEX($Z$6:$Z$1505,$A424-3),"")</f>
        <v/>
      </c>
      <c r="G424">
        <f>IF(ISNUMBER($A424),INDEX($AA$6:$AA$1505,$A424-3),"")</f>
        <v/>
      </c>
      <c r="H424">
        <f>IF(ISNUMBER($A424),INDEX($U$6:$U$1505,$A424-3),"")</f>
        <v/>
      </c>
      <c r="I424">
        <f>IF(ISNUMBER($A424),INDEX($V$6:$V$1505,$A424-3),"")</f>
        <v/>
      </c>
      <c r="J424">
        <f>IF(ISNUMBER($A424),INDEX($W$6:$W$1505,$A424-3),"")</f>
        <v/>
      </c>
      <c r="K424">
        <f>IF(ISNUMBER($A424),INDEX($X$6:$X$1505,$A424-3),"")</f>
        <v/>
      </c>
      <c r="L424">
        <f>IF(ISNUMBER($A424),INDEX($Y$6:$Y$1505,$A424-3),"")</f>
        <v/>
      </c>
      <c r="O424">
        <f>422</f>
        <v/>
      </c>
      <c r="P424">
        <f>IF(TRIM('입력_구리근무자명단'!$A422&amp;"")&lt;&gt;"",TRIM('입력_구리근무자명단'!$A422&amp;""),P423)</f>
        <v/>
      </c>
      <c r="Q424">
        <f>'입력_구리근무자명단'!$B422&amp;""</f>
        <v/>
      </c>
      <c r="R424">
        <f>IF($E$2="","",TRIM(INDEX('입력_구리근무자명단'!$A422:$ZZ422,1,$E$2+IF($G$2="확정",1,0))&amp;""))</f>
        <v/>
      </c>
      <c r="S424">
        <f>IF($R424="","",IF(INDEX('입력_구리근무자명단'!$A422:$ZZ422,1,$E$2+2)&amp;""="",급여기준월,IF(ISNUMBER(INDEX('입력_구리근무자명단'!$A422:$ZZ422,1,$E$2+2)),INDEX('입력_구리근무자명단'!$A422:$ZZ422,1,$E$2+2),IFERROR(DATE(VALUE(LEFT(INDEX('입력_구리근무자명단'!$A422:$ZZ422,1,$E$2+2),4)),VALUE(MID(INDEX('입력_구리근무자명단'!$A422:$ZZ422,1,$E$2+2),6,2)),VALUE(MID(INDEX('입력_구리근무자명단'!$A422:$ZZ422,1,$E$2+2),9,2))),-1))))</f>
        <v/>
      </c>
      <c r="T424">
        <f>IF($R424="","",IF(INDEX('입력_구리근무자명단'!$A422:$ZZ422,1,$E$2+3)&amp;""="",EOMONTH(급여기준월,0),IF(ISNUMBER(INDEX('입력_구리근무자명단'!$A422:$ZZ422,1,$E$2+3)),INDEX('입력_구리근무자명단'!$A422:$ZZ422,1,$E$2+3),IFERROR(DATE(VALUE(LEFT(INDEX('입력_구리근무자명단'!$A422:$ZZ422,1,$E$2+3),4)),VALUE(MID(INDEX('입력_구리근무자명단'!$A422:$ZZ422,1,$E$2+3),6,2)),VALUE(MID(INDEX('입력_구리근무자명단'!$A422:$ZZ422,1,$E$2+3),9,2))),-1))))</f>
        <v/>
      </c>
      <c r="U424">
        <f>IF($R424="","",IF(OR($S424&lt;0,$T424&lt;0),0,MAX(0,MIN($T424,EOMONTH(급여기준월,0))-MAX($S424,급여기준월)+1)))</f>
        <v/>
      </c>
      <c r="V424">
        <f>IF($R424="","",TRIM(INDEX('입력_구리근무자명단'!$A422:$ZZ422,1,$E$2+5)&amp;""))</f>
        <v/>
      </c>
      <c r="W424">
        <f>IF(ISNUMBER(SEARCH("구리독자",$V424)),"구리독자","")</f>
        <v/>
      </c>
      <c r="X424">
        <f>IF($R424="","",$R424&amp;"|"&amp;IF(OR($Q424="인턴",ISNUMBER(SEARCH("수련교육부",$P424))),"인턴",$P424))</f>
        <v/>
      </c>
      <c r="Y424">
        <f>IF($R424="","",IF(COUNTIF(명단표[이름|과],$X424)=1,"명단 일치",IF(AND(COUNTIF(명단표[이름|과],$X424)=0,COUNTIF(명단표[이름],$R424)=1),"명단 일치(이름만, 과 다름)",IF(COUNTIF(명단표[이름],$R424)=0,IF(COUNTIF(기본자료표[이름],$R424)&gt;0,"명단에 없음(기본자료에는 있음)","명단에 없음"),"동명이인 확인"))))</f>
        <v/>
      </c>
      <c r="Z424">
        <f>IF($R424="","",IF($S424&lt;0,"⚠"&amp;INDEX('입력_구리근무자명단'!$A422:$ZZ422,1,$E$2+2),TEXT($S424,"yyyy-mm-dd")))</f>
        <v/>
      </c>
      <c r="AA424">
        <f>IF($R424="","",IF($T424&lt;0,"⚠"&amp;INDEX('입력_구리근무자명단'!$A422:$ZZ422,1,$E$2+3),TEXT($T424,"yyyy-mm-dd")))</f>
        <v/>
      </c>
      <c r="AB424">
        <f>AB423+IF($R424="",0,1)</f>
        <v/>
      </c>
      <c r="AC424">
        <f>IF($R424="","",$AB424)</f>
        <v/>
      </c>
    </row>
    <row r="425">
      <c r="A425">
        <f>IFERROR(INDEX($O$6:$O$1505,MATCH(420,$AC$6:$AC$1505,0)),"")</f>
        <v/>
      </c>
      <c r="B425">
        <f>IF(ISNUMBER($A425),INDEX($P$6:$P$1505,$A425-3),"")</f>
        <v/>
      </c>
      <c r="C425">
        <f>IF(ISNUMBER($A425),INDEX($Q$6:$Q$1505,$A425-3),"")</f>
        <v/>
      </c>
      <c r="D425">
        <f>IF(ISNUMBER($A425),INDEX($R$6:$R$1505,$A425-3),"")</f>
        <v/>
      </c>
      <c r="E425">
        <f>IF(ISNUMBER($A425),$G$2,"")</f>
        <v/>
      </c>
      <c r="F425">
        <f>IF(ISNUMBER($A425),INDEX($Z$6:$Z$1505,$A425-3),"")</f>
        <v/>
      </c>
      <c r="G425">
        <f>IF(ISNUMBER($A425),INDEX($AA$6:$AA$1505,$A425-3),"")</f>
        <v/>
      </c>
      <c r="H425">
        <f>IF(ISNUMBER($A425),INDEX($U$6:$U$1505,$A425-3),"")</f>
        <v/>
      </c>
      <c r="I425">
        <f>IF(ISNUMBER($A425),INDEX($V$6:$V$1505,$A425-3),"")</f>
        <v/>
      </c>
      <c r="J425">
        <f>IF(ISNUMBER($A425),INDEX($W$6:$W$1505,$A425-3),"")</f>
        <v/>
      </c>
      <c r="K425">
        <f>IF(ISNUMBER($A425),INDEX($X$6:$X$1505,$A425-3),"")</f>
        <v/>
      </c>
      <c r="L425">
        <f>IF(ISNUMBER($A425),INDEX($Y$6:$Y$1505,$A425-3),"")</f>
        <v/>
      </c>
      <c r="O425">
        <f>423</f>
        <v/>
      </c>
      <c r="P425">
        <f>IF(TRIM('입력_구리근무자명단'!$A423&amp;"")&lt;&gt;"",TRIM('입력_구리근무자명단'!$A423&amp;""),P424)</f>
        <v/>
      </c>
      <c r="Q425">
        <f>'입력_구리근무자명단'!$B423&amp;""</f>
        <v/>
      </c>
      <c r="R425">
        <f>IF($E$2="","",TRIM(INDEX('입력_구리근무자명단'!$A423:$ZZ423,1,$E$2+IF($G$2="확정",1,0))&amp;""))</f>
        <v/>
      </c>
      <c r="S425">
        <f>IF($R425="","",IF(INDEX('입력_구리근무자명단'!$A423:$ZZ423,1,$E$2+2)&amp;""="",급여기준월,IF(ISNUMBER(INDEX('입력_구리근무자명단'!$A423:$ZZ423,1,$E$2+2)),INDEX('입력_구리근무자명단'!$A423:$ZZ423,1,$E$2+2),IFERROR(DATE(VALUE(LEFT(INDEX('입력_구리근무자명단'!$A423:$ZZ423,1,$E$2+2),4)),VALUE(MID(INDEX('입력_구리근무자명단'!$A423:$ZZ423,1,$E$2+2),6,2)),VALUE(MID(INDEX('입력_구리근무자명단'!$A423:$ZZ423,1,$E$2+2),9,2))),-1))))</f>
        <v/>
      </c>
      <c r="T425">
        <f>IF($R425="","",IF(INDEX('입력_구리근무자명단'!$A423:$ZZ423,1,$E$2+3)&amp;""="",EOMONTH(급여기준월,0),IF(ISNUMBER(INDEX('입력_구리근무자명단'!$A423:$ZZ423,1,$E$2+3)),INDEX('입력_구리근무자명단'!$A423:$ZZ423,1,$E$2+3),IFERROR(DATE(VALUE(LEFT(INDEX('입력_구리근무자명단'!$A423:$ZZ423,1,$E$2+3),4)),VALUE(MID(INDEX('입력_구리근무자명단'!$A423:$ZZ423,1,$E$2+3),6,2)),VALUE(MID(INDEX('입력_구리근무자명단'!$A423:$ZZ423,1,$E$2+3),9,2))),-1))))</f>
        <v/>
      </c>
      <c r="U425">
        <f>IF($R425="","",IF(OR($S425&lt;0,$T425&lt;0),0,MAX(0,MIN($T425,EOMONTH(급여기준월,0))-MAX($S425,급여기준월)+1)))</f>
        <v/>
      </c>
      <c r="V425">
        <f>IF($R425="","",TRIM(INDEX('입력_구리근무자명단'!$A423:$ZZ423,1,$E$2+5)&amp;""))</f>
        <v/>
      </c>
      <c r="W425">
        <f>IF(ISNUMBER(SEARCH("구리독자",$V425)),"구리독자","")</f>
        <v/>
      </c>
      <c r="X425">
        <f>IF($R425="","",$R425&amp;"|"&amp;IF(OR($Q425="인턴",ISNUMBER(SEARCH("수련교육부",$P425))),"인턴",$P425))</f>
        <v/>
      </c>
      <c r="Y425">
        <f>IF($R425="","",IF(COUNTIF(명단표[이름|과],$X425)=1,"명단 일치",IF(AND(COUNTIF(명단표[이름|과],$X425)=0,COUNTIF(명단표[이름],$R425)=1),"명단 일치(이름만, 과 다름)",IF(COUNTIF(명단표[이름],$R425)=0,IF(COUNTIF(기본자료표[이름],$R425)&gt;0,"명단에 없음(기본자료에는 있음)","명단에 없음"),"동명이인 확인"))))</f>
        <v/>
      </c>
      <c r="Z425">
        <f>IF($R425="","",IF($S425&lt;0,"⚠"&amp;INDEX('입력_구리근무자명단'!$A423:$ZZ423,1,$E$2+2),TEXT($S425,"yyyy-mm-dd")))</f>
        <v/>
      </c>
      <c r="AA425">
        <f>IF($R425="","",IF($T425&lt;0,"⚠"&amp;INDEX('입력_구리근무자명단'!$A423:$ZZ423,1,$E$2+3),TEXT($T425,"yyyy-mm-dd")))</f>
        <v/>
      </c>
      <c r="AB425">
        <f>AB424+IF($R425="",0,1)</f>
        <v/>
      </c>
      <c r="AC425">
        <f>IF($R425="","",$AB425)</f>
        <v/>
      </c>
    </row>
    <row r="426">
      <c r="A426">
        <f>IFERROR(INDEX($O$6:$O$1505,MATCH(421,$AC$6:$AC$1505,0)),"")</f>
        <v/>
      </c>
      <c r="B426">
        <f>IF(ISNUMBER($A426),INDEX($P$6:$P$1505,$A426-3),"")</f>
        <v/>
      </c>
      <c r="C426">
        <f>IF(ISNUMBER($A426),INDEX($Q$6:$Q$1505,$A426-3),"")</f>
        <v/>
      </c>
      <c r="D426">
        <f>IF(ISNUMBER($A426),INDEX($R$6:$R$1505,$A426-3),"")</f>
        <v/>
      </c>
      <c r="E426">
        <f>IF(ISNUMBER($A426),$G$2,"")</f>
        <v/>
      </c>
      <c r="F426">
        <f>IF(ISNUMBER($A426),INDEX($Z$6:$Z$1505,$A426-3),"")</f>
        <v/>
      </c>
      <c r="G426">
        <f>IF(ISNUMBER($A426),INDEX($AA$6:$AA$1505,$A426-3),"")</f>
        <v/>
      </c>
      <c r="H426">
        <f>IF(ISNUMBER($A426),INDEX($U$6:$U$1505,$A426-3),"")</f>
        <v/>
      </c>
      <c r="I426">
        <f>IF(ISNUMBER($A426),INDEX($V$6:$V$1505,$A426-3),"")</f>
        <v/>
      </c>
      <c r="J426">
        <f>IF(ISNUMBER($A426),INDEX($W$6:$W$1505,$A426-3),"")</f>
        <v/>
      </c>
      <c r="K426">
        <f>IF(ISNUMBER($A426),INDEX($X$6:$X$1505,$A426-3),"")</f>
        <v/>
      </c>
      <c r="L426">
        <f>IF(ISNUMBER($A426),INDEX($Y$6:$Y$1505,$A426-3),"")</f>
        <v/>
      </c>
      <c r="O426">
        <f>424</f>
        <v/>
      </c>
      <c r="P426">
        <f>IF(TRIM('입력_구리근무자명단'!$A424&amp;"")&lt;&gt;"",TRIM('입력_구리근무자명단'!$A424&amp;""),P425)</f>
        <v/>
      </c>
      <c r="Q426">
        <f>'입력_구리근무자명단'!$B424&amp;""</f>
        <v/>
      </c>
      <c r="R426">
        <f>IF($E$2="","",TRIM(INDEX('입력_구리근무자명단'!$A424:$ZZ424,1,$E$2+IF($G$2="확정",1,0))&amp;""))</f>
        <v/>
      </c>
      <c r="S426">
        <f>IF($R426="","",IF(INDEX('입력_구리근무자명단'!$A424:$ZZ424,1,$E$2+2)&amp;""="",급여기준월,IF(ISNUMBER(INDEX('입력_구리근무자명단'!$A424:$ZZ424,1,$E$2+2)),INDEX('입력_구리근무자명단'!$A424:$ZZ424,1,$E$2+2),IFERROR(DATE(VALUE(LEFT(INDEX('입력_구리근무자명단'!$A424:$ZZ424,1,$E$2+2),4)),VALUE(MID(INDEX('입력_구리근무자명단'!$A424:$ZZ424,1,$E$2+2),6,2)),VALUE(MID(INDEX('입력_구리근무자명단'!$A424:$ZZ424,1,$E$2+2),9,2))),-1))))</f>
        <v/>
      </c>
      <c r="T426">
        <f>IF($R426="","",IF(INDEX('입력_구리근무자명단'!$A424:$ZZ424,1,$E$2+3)&amp;""="",EOMONTH(급여기준월,0),IF(ISNUMBER(INDEX('입력_구리근무자명단'!$A424:$ZZ424,1,$E$2+3)),INDEX('입력_구리근무자명단'!$A424:$ZZ424,1,$E$2+3),IFERROR(DATE(VALUE(LEFT(INDEX('입력_구리근무자명단'!$A424:$ZZ424,1,$E$2+3),4)),VALUE(MID(INDEX('입력_구리근무자명단'!$A424:$ZZ424,1,$E$2+3),6,2)),VALUE(MID(INDEX('입력_구리근무자명단'!$A424:$ZZ424,1,$E$2+3),9,2))),-1))))</f>
        <v/>
      </c>
      <c r="U426">
        <f>IF($R426="","",IF(OR($S426&lt;0,$T426&lt;0),0,MAX(0,MIN($T426,EOMONTH(급여기준월,0))-MAX($S426,급여기준월)+1)))</f>
        <v/>
      </c>
      <c r="V426">
        <f>IF($R426="","",TRIM(INDEX('입력_구리근무자명단'!$A424:$ZZ424,1,$E$2+5)&amp;""))</f>
        <v/>
      </c>
      <c r="W426">
        <f>IF(ISNUMBER(SEARCH("구리독자",$V426)),"구리독자","")</f>
        <v/>
      </c>
      <c r="X426">
        <f>IF($R426="","",$R426&amp;"|"&amp;IF(OR($Q426="인턴",ISNUMBER(SEARCH("수련교육부",$P426))),"인턴",$P426))</f>
        <v/>
      </c>
      <c r="Y426">
        <f>IF($R426="","",IF(COUNTIF(명단표[이름|과],$X426)=1,"명단 일치",IF(AND(COUNTIF(명단표[이름|과],$X426)=0,COUNTIF(명단표[이름],$R426)=1),"명단 일치(이름만, 과 다름)",IF(COUNTIF(명단표[이름],$R426)=0,IF(COUNTIF(기본자료표[이름],$R426)&gt;0,"명단에 없음(기본자료에는 있음)","명단에 없음"),"동명이인 확인"))))</f>
        <v/>
      </c>
      <c r="Z426">
        <f>IF($R426="","",IF($S426&lt;0,"⚠"&amp;INDEX('입력_구리근무자명단'!$A424:$ZZ424,1,$E$2+2),TEXT($S426,"yyyy-mm-dd")))</f>
        <v/>
      </c>
      <c r="AA426">
        <f>IF($R426="","",IF($T426&lt;0,"⚠"&amp;INDEX('입력_구리근무자명단'!$A424:$ZZ424,1,$E$2+3),TEXT($T426,"yyyy-mm-dd")))</f>
        <v/>
      </c>
      <c r="AB426">
        <f>AB425+IF($R426="",0,1)</f>
        <v/>
      </c>
      <c r="AC426">
        <f>IF($R426="","",$AB426)</f>
        <v/>
      </c>
    </row>
    <row r="427">
      <c r="A427">
        <f>IFERROR(INDEX($O$6:$O$1505,MATCH(422,$AC$6:$AC$1505,0)),"")</f>
        <v/>
      </c>
      <c r="B427">
        <f>IF(ISNUMBER($A427),INDEX($P$6:$P$1505,$A427-3),"")</f>
        <v/>
      </c>
      <c r="C427">
        <f>IF(ISNUMBER($A427),INDEX($Q$6:$Q$1505,$A427-3),"")</f>
        <v/>
      </c>
      <c r="D427">
        <f>IF(ISNUMBER($A427),INDEX($R$6:$R$1505,$A427-3),"")</f>
        <v/>
      </c>
      <c r="E427">
        <f>IF(ISNUMBER($A427),$G$2,"")</f>
        <v/>
      </c>
      <c r="F427">
        <f>IF(ISNUMBER($A427),INDEX($Z$6:$Z$1505,$A427-3),"")</f>
        <v/>
      </c>
      <c r="G427">
        <f>IF(ISNUMBER($A427),INDEX($AA$6:$AA$1505,$A427-3),"")</f>
        <v/>
      </c>
      <c r="H427">
        <f>IF(ISNUMBER($A427),INDEX($U$6:$U$1505,$A427-3),"")</f>
        <v/>
      </c>
      <c r="I427">
        <f>IF(ISNUMBER($A427),INDEX($V$6:$V$1505,$A427-3),"")</f>
        <v/>
      </c>
      <c r="J427">
        <f>IF(ISNUMBER($A427),INDEX($W$6:$W$1505,$A427-3),"")</f>
        <v/>
      </c>
      <c r="K427">
        <f>IF(ISNUMBER($A427),INDEX($X$6:$X$1505,$A427-3),"")</f>
        <v/>
      </c>
      <c r="L427">
        <f>IF(ISNUMBER($A427),INDEX($Y$6:$Y$1505,$A427-3),"")</f>
        <v/>
      </c>
      <c r="O427">
        <f>425</f>
        <v/>
      </c>
      <c r="P427">
        <f>IF(TRIM('입력_구리근무자명단'!$A425&amp;"")&lt;&gt;"",TRIM('입력_구리근무자명단'!$A425&amp;""),P426)</f>
        <v/>
      </c>
      <c r="Q427">
        <f>'입력_구리근무자명단'!$B425&amp;""</f>
        <v/>
      </c>
      <c r="R427">
        <f>IF($E$2="","",TRIM(INDEX('입력_구리근무자명단'!$A425:$ZZ425,1,$E$2+IF($G$2="확정",1,0))&amp;""))</f>
        <v/>
      </c>
      <c r="S427">
        <f>IF($R427="","",IF(INDEX('입력_구리근무자명단'!$A425:$ZZ425,1,$E$2+2)&amp;""="",급여기준월,IF(ISNUMBER(INDEX('입력_구리근무자명단'!$A425:$ZZ425,1,$E$2+2)),INDEX('입력_구리근무자명단'!$A425:$ZZ425,1,$E$2+2),IFERROR(DATE(VALUE(LEFT(INDEX('입력_구리근무자명단'!$A425:$ZZ425,1,$E$2+2),4)),VALUE(MID(INDEX('입력_구리근무자명단'!$A425:$ZZ425,1,$E$2+2),6,2)),VALUE(MID(INDEX('입력_구리근무자명단'!$A425:$ZZ425,1,$E$2+2),9,2))),-1))))</f>
        <v/>
      </c>
      <c r="T427">
        <f>IF($R427="","",IF(INDEX('입력_구리근무자명단'!$A425:$ZZ425,1,$E$2+3)&amp;""="",EOMONTH(급여기준월,0),IF(ISNUMBER(INDEX('입력_구리근무자명단'!$A425:$ZZ425,1,$E$2+3)),INDEX('입력_구리근무자명단'!$A425:$ZZ425,1,$E$2+3),IFERROR(DATE(VALUE(LEFT(INDEX('입력_구리근무자명단'!$A425:$ZZ425,1,$E$2+3),4)),VALUE(MID(INDEX('입력_구리근무자명단'!$A425:$ZZ425,1,$E$2+3),6,2)),VALUE(MID(INDEX('입력_구리근무자명단'!$A425:$ZZ425,1,$E$2+3),9,2))),-1))))</f>
        <v/>
      </c>
      <c r="U427">
        <f>IF($R427="","",IF(OR($S427&lt;0,$T427&lt;0),0,MAX(0,MIN($T427,EOMONTH(급여기준월,0))-MAX($S427,급여기준월)+1)))</f>
        <v/>
      </c>
      <c r="V427">
        <f>IF($R427="","",TRIM(INDEX('입력_구리근무자명단'!$A425:$ZZ425,1,$E$2+5)&amp;""))</f>
        <v/>
      </c>
      <c r="W427">
        <f>IF(ISNUMBER(SEARCH("구리독자",$V427)),"구리독자","")</f>
        <v/>
      </c>
      <c r="X427">
        <f>IF($R427="","",$R427&amp;"|"&amp;IF(OR($Q427="인턴",ISNUMBER(SEARCH("수련교육부",$P427))),"인턴",$P427))</f>
        <v/>
      </c>
      <c r="Y427">
        <f>IF($R427="","",IF(COUNTIF(명단표[이름|과],$X427)=1,"명단 일치",IF(AND(COUNTIF(명단표[이름|과],$X427)=0,COUNTIF(명단표[이름],$R427)=1),"명단 일치(이름만, 과 다름)",IF(COUNTIF(명단표[이름],$R427)=0,IF(COUNTIF(기본자료표[이름],$R427)&gt;0,"명단에 없음(기본자료에는 있음)","명단에 없음"),"동명이인 확인"))))</f>
        <v/>
      </c>
      <c r="Z427">
        <f>IF($R427="","",IF($S427&lt;0,"⚠"&amp;INDEX('입력_구리근무자명단'!$A425:$ZZ425,1,$E$2+2),TEXT($S427,"yyyy-mm-dd")))</f>
        <v/>
      </c>
      <c r="AA427">
        <f>IF($R427="","",IF($T427&lt;0,"⚠"&amp;INDEX('입력_구리근무자명단'!$A425:$ZZ425,1,$E$2+3),TEXT($T427,"yyyy-mm-dd")))</f>
        <v/>
      </c>
      <c r="AB427">
        <f>AB426+IF($R427="",0,1)</f>
        <v/>
      </c>
      <c r="AC427">
        <f>IF($R427="","",$AB427)</f>
        <v/>
      </c>
    </row>
    <row r="428">
      <c r="A428">
        <f>IFERROR(INDEX($O$6:$O$1505,MATCH(423,$AC$6:$AC$1505,0)),"")</f>
        <v/>
      </c>
      <c r="B428">
        <f>IF(ISNUMBER($A428),INDEX($P$6:$P$1505,$A428-3),"")</f>
        <v/>
      </c>
      <c r="C428">
        <f>IF(ISNUMBER($A428),INDEX($Q$6:$Q$1505,$A428-3),"")</f>
        <v/>
      </c>
      <c r="D428">
        <f>IF(ISNUMBER($A428),INDEX($R$6:$R$1505,$A428-3),"")</f>
        <v/>
      </c>
      <c r="E428">
        <f>IF(ISNUMBER($A428),$G$2,"")</f>
        <v/>
      </c>
      <c r="F428">
        <f>IF(ISNUMBER($A428),INDEX($Z$6:$Z$1505,$A428-3),"")</f>
        <v/>
      </c>
      <c r="G428">
        <f>IF(ISNUMBER($A428),INDEX($AA$6:$AA$1505,$A428-3),"")</f>
        <v/>
      </c>
      <c r="H428">
        <f>IF(ISNUMBER($A428),INDEX($U$6:$U$1505,$A428-3),"")</f>
        <v/>
      </c>
      <c r="I428">
        <f>IF(ISNUMBER($A428),INDEX($V$6:$V$1505,$A428-3),"")</f>
        <v/>
      </c>
      <c r="J428">
        <f>IF(ISNUMBER($A428),INDEX($W$6:$W$1505,$A428-3),"")</f>
        <v/>
      </c>
      <c r="K428">
        <f>IF(ISNUMBER($A428),INDEX($X$6:$X$1505,$A428-3),"")</f>
        <v/>
      </c>
      <c r="L428">
        <f>IF(ISNUMBER($A428),INDEX($Y$6:$Y$1505,$A428-3),"")</f>
        <v/>
      </c>
      <c r="O428">
        <f>426</f>
        <v/>
      </c>
      <c r="P428">
        <f>IF(TRIM('입력_구리근무자명단'!$A426&amp;"")&lt;&gt;"",TRIM('입력_구리근무자명단'!$A426&amp;""),P427)</f>
        <v/>
      </c>
      <c r="Q428">
        <f>'입력_구리근무자명단'!$B426&amp;""</f>
        <v/>
      </c>
      <c r="R428">
        <f>IF($E$2="","",TRIM(INDEX('입력_구리근무자명단'!$A426:$ZZ426,1,$E$2+IF($G$2="확정",1,0))&amp;""))</f>
        <v/>
      </c>
      <c r="S428">
        <f>IF($R428="","",IF(INDEX('입력_구리근무자명단'!$A426:$ZZ426,1,$E$2+2)&amp;""="",급여기준월,IF(ISNUMBER(INDEX('입력_구리근무자명단'!$A426:$ZZ426,1,$E$2+2)),INDEX('입력_구리근무자명단'!$A426:$ZZ426,1,$E$2+2),IFERROR(DATE(VALUE(LEFT(INDEX('입력_구리근무자명단'!$A426:$ZZ426,1,$E$2+2),4)),VALUE(MID(INDEX('입력_구리근무자명단'!$A426:$ZZ426,1,$E$2+2),6,2)),VALUE(MID(INDEX('입력_구리근무자명단'!$A426:$ZZ426,1,$E$2+2),9,2))),-1))))</f>
        <v/>
      </c>
      <c r="T428">
        <f>IF($R428="","",IF(INDEX('입력_구리근무자명단'!$A426:$ZZ426,1,$E$2+3)&amp;""="",EOMONTH(급여기준월,0),IF(ISNUMBER(INDEX('입력_구리근무자명단'!$A426:$ZZ426,1,$E$2+3)),INDEX('입력_구리근무자명단'!$A426:$ZZ426,1,$E$2+3),IFERROR(DATE(VALUE(LEFT(INDEX('입력_구리근무자명단'!$A426:$ZZ426,1,$E$2+3),4)),VALUE(MID(INDEX('입력_구리근무자명단'!$A426:$ZZ426,1,$E$2+3),6,2)),VALUE(MID(INDEX('입력_구리근무자명단'!$A426:$ZZ426,1,$E$2+3),9,2))),-1))))</f>
        <v/>
      </c>
      <c r="U428">
        <f>IF($R428="","",IF(OR($S428&lt;0,$T428&lt;0),0,MAX(0,MIN($T428,EOMONTH(급여기준월,0))-MAX($S428,급여기준월)+1)))</f>
        <v/>
      </c>
      <c r="V428">
        <f>IF($R428="","",TRIM(INDEX('입력_구리근무자명단'!$A426:$ZZ426,1,$E$2+5)&amp;""))</f>
        <v/>
      </c>
      <c r="W428">
        <f>IF(ISNUMBER(SEARCH("구리독자",$V428)),"구리독자","")</f>
        <v/>
      </c>
      <c r="X428">
        <f>IF($R428="","",$R428&amp;"|"&amp;IF(OR($Q428="인턴",ISNUMBER(SEARCH("수련교육부",$P428))),"인턴",$P428))</f>
        <v/>
      </c>
      <c r="Y428">
        <f>IF($R428="","",IF(COUNTIF(명단표[이름|과],$X428)=1,"명단 일치",IF(AND(COUNTIF(명단표[이름|과],$X428)=0,COUNTIF(명단표[이름],$R428)=1),"명단 일치(이름만, 과 다름)",IF(COUNTIF(명단표[이름],$R428)=0,IF(COUNTIF(기본자료표[이름],$R428)&gt;0,"명단에 없음(기본자료에는 있음)","명단에 없음"),"동명이인 확인"))))</f>
        <v/>
      </c>
      <c r="Z428">
        <f>IF($R428="","",IF($S428&lt;0,"⚠"&amp;INDEX('입력_구리근무자명단'!$A426:$ZZ426,1,$E$2+2),TEXT($S428,"yyyy-mm-dd")))</f>
        <v/>
      </c>
      <c r="AA428">
        <f>IF($R428="","",IF($T428&lt;0,"⚠"&amp;INDEX('입력_구리근무자명단'!$A426:$ZZ426,1,$E$2+3),TEXT($T428,"yyyy-mm-dd")))</f>
        <v/>
      </c>
      <c r="AB428">
        <f>AB427+IF($R428="",0,1)</f>
        <v/>
      </c>
      <c r="AC428">
        <f>IF($R428="","",$AB428)</f>
        <v/>
      </c>
    </row>
    <row r="429">
      <c r="A429">
        <f>IFERROR(INDEX($O$6:$O$1505,MATCH(424,$AC$6:$AC$1505,0)),"")</f>
        <v/>
      </c>
      <c r="B429">
        <f>IF(ISNUMBER($A429),INDEX($P$6:$P$1505,$A429-3),"")</f>
        <v/>
      </c>
      <c r="C429">
        <f>IF(ISNUMBER($A429),INDEX($Q$6:$Q$1505,$A429-3),"")</f>
        <v/>
      </c>
      <c r="D429">
        <f>IF(ISNUMBER($A429),INDEX($R$6:$R$1505,$A429-3),"")</f>
        <v/>
      </c>
      <c r="E429">
        <f>IF(ISNUMBER($A429),$G$2,"")</f>
        <v/>
      </c>
      <c r="F429">
        <f>IF(ISNUMBER($A429),INDEX($Z$6:$Z$1505,$A429-3),"")</f>
        <v/>
      </c>
      <c r="G429">
        <f>IF(ISNUMBER($A429),INDEX($AA$6:$AA$1505,$A429-3),"")</f>
        <v/>
      </c>
      <c r="H429">
        <f>IF(ISNUMBER($A429),INDEX($U$6:$U$1505,$A429-3),"")</f>
        <v/>
      </c>
      <c r="I429">
        <f>IF(ISNUMBER($A429),INDEX($V$6:$V$1505,$A429-3),"")</f>
        <v/>
      </c>
      <c r="J429">
        <f>IF(ISNUMBER($A429),INDEX($W$6:$W$1505,$A429-3),"")</f>
        <v/>
      </c>
      <c r="K429">
        <f>IF(ISNUMBER($A429),INDEX($X$6:$X$1505,$A429-3),"")</f>
        <v/>
      </c>
      <c r="L429">
        <f>IF(ISNUMBER($A429),INDEX($Y$6:$Y$1505,$A429-3),"")</f>
        <v/>
      </c>
      <c r="O429">
        <f>427</f>
        <v/>
      </c>
      <c r="P429">
        <f>IF(TRIM('입력_구리근무자명단'!$A427&amp;"")&lt;&gt;"",TRIM('입력_구리근무자명단'!$A427&amp;""),P428)</f>
        <v/>
      </c>
      <c r="Q429">
        <f>'입력_구리근무자명단'!$B427&amp;""</f>
        <v/>
      </c>
      <c r="R429">
        <f>IF($E$2="","",TRIM(INDEX('입력_구리근무자명단'!$A427:$ZZ427,1,$E$2+IF($G$2="확정",1,0))&amp;""))</f>
        <v/>
      </c>
      <c r="S429">
        <f>IF($R429="","",IF(INDEX('입력_구리근무자명단'!$A427:$ZZ427,1,$E$2+2)&amp;""="",급여기준월,IF(ISNUMBER(INDEX('입력_구리근무자명단'!$A427:$ZZ427,1,$E$2+2)),INDEX('입력_구리근무자명단'!$A427:$ZZ427,1,$E$2+2),IFERROR(DATE(VALUE(LEFT(INDEX('입력_구리근무자명단'!$A427:$ZZ427,1,$E$2+2),4)),VALUE(MID(INDEX('입력_구리근무자명단'!$A427:$ZZ427,1,$E$2+2),6,2)),VALUE(MID(INDEX('입력_구리근무자명단'!$A427:$ZZ427,1,$E$2+2),9,2))),-1))))</f>
        <v/>
      </c>
      <c r="T429">
        <f>IF($R429="","",IF(INDEX('입력_구리근무자명단'!$A427:$ZZ427,1,$E$2+3)&amp;""="",EOMONTH(급여기준월,0),IF(ISNUMBER(INDEX('입력_구리근무자명단'!$A427:$ZZ427,1,$E$2+3)),INDEX('입력_구리근무자명단'!$A427:$ZZ427,1,$E$2+3),IFERROR(DATE(VALUE(LEFT(INDEX('입력_구리근무자명단'!$A427:$ZZ427,1,$E$2+3),4)),VALUE(MID(INDEX('입력_구리근무자명단'!$A427:$ZZ427,1,$E$2+3),6,2)),VALUE(MID(INDEX('입력_구리근무자명단'!$A427:$ZZ427,1,$E$2+3),9,2))),-1))))</f>
        <v/>
      </c>
      <c r="U429">
        <f>IF($R429="","",IF(OR($S429&lt;0,$T429&lt;0),0,MAX(0,MIN($T429,EOMONTH(급여기준월,0))-MAX($S429,급여기준월)+1)))</f>
        <v/>
      </c>
      <c r="V429">
        <f>IF($R429="","",TRIM(INDEX('입력_구리근무자명단'!$A427:$ZZ427,1,$E$2+5)&amp;""))</f>
        <v/>
      </c>
      <c r="W429">
        <f>IF(ISNUMBER(SEARCH("구리독자",$V429)),"구리독자","")</f>
        <v/>
      </c>
      <c r="X429">
        <f>IF($R429="","",$R429&amp;"|"&amp;IF(OR($Q429="인턴",ISNUMBER(SEARCH("수련교육부",$P429))),"인턴",$P429))</f>
        <v/>
      </c>
      <c r="Y429">
        <f>IF($R429="","",IF(COUNTIF(명단표[이름|과],$X429)=1,"명단 일치",IF(AND(COUNTIF(명단표[이름|과],$X429)=0,COUNTIF(명단표[이름],$R429)=1),"명단 일치(이름만, 과 다름)",IF(COUNTIF(명단표[이름],$R429)=0,IF(COUNTIF(기본자료표[이름],$R429)&gt;0,"명단에 없음(기본자료에는 있음)","명단에 없음"),"동명이인 확인"))))</f>
        <v/>
      </c>
      <c r="Z429">
        <f>IF($R429="","",IF($S429&lt;0,"⚠"&amp;INDEX('입력_구리근무자명단'!$A427:$ZZ427,1,$E$2+2),TEXT($S429,"yyyy-mm-dd")))</f>
        <v/>
      </c>
      <c r="AA429">
        <f>IF($R429="","",IF($T429&lt;0,"⚠"&amp;INDEX('입력_구리근무자명단'!$A427:$ZZ427,1,$E$2+3),TEXT($T429,"yyyy-mm-dd")))</f>
        <v/>
      </c>
      <c r="AB429">
        <f>AB428+IF($R429="",0,1)</f>
        <v/>
      </c>
      <c r="AC429">
        <f>IF($R429="","",$AB429)</f>
        <v/>
      </c>
    </row>
    <row r="430">
      <c r="A430">
        <f>IFERROR(INDEX($O$6:$O$1505,MATCH(425,$AC$6:$AC$1505,0)),"")</f>
        <v/>
      </c>
      <c r="B430">
        <f>IF(ISNUMBER($A430),INDEX($P$6:$P$1505,$A430-3),"")</f>
        <v/>
      </c>
      <c r="C430">
        <f>IF(ISNUMBER($A430),INDEX($Q$6:$Q$1505,$A430-3),"")</f>
        <v/>
      </c>
      <c r="D430">
        <f>IF(ISNUMBER($A430),INDEX($R$6:$R$1505,$A430-3),"")</f>
        <v/>
      </c>
      <c r="E430">
        <f>IF(ISNUMBER($A430),$G$2,"")</f>
        <v/>
      </c>
      <c r="F430">
        <f>IF(ISNUMBER($A430),INDEX($Z$6:$Z$1505,$A430-3),"")</f>
        <v/>
      </c>
      <c r="G430">
        <f>IF(ISNUMBER($A430),INDEX($AA$6:$AA$1505,$A430-3),"")</f>
        <v/>
      </c>
      <c r="H430">
        <f>IF(ISNUMBER($A430),INDEX($U$6:$U$1505,$A430-3),"")</f>
        <v/>
      </c>
      <c r="I430">
        <f>IF(ISNUMBER($A430),INDEX($V$6:$V$1505,$A430-3),"")</f>
        <v/>
      </c>
      <c r="J430">
        <f>IF(ISNUMBER($A430),INDEX($W$6:$W$1505,$A430-3),"")</f>
        <v/>
      </c>
      <c r="K430">
        <f>IF(ISNUMBER($A430),INDEX($X$6:$X$1505,$A430-3),"")</f>
        <v/>
      </c>
      <c r="L430">
        <f>IF(ISNUMBER($A430),INDEX($Y$6:$Y$1505,$A430-3),"")</f>
        <v/>
      </c>
      <c r="O430">
        <f>428</f>
        <v/>
      </c>
      <c r="P430">
        <f>IF(TRIM('입력_구리근무자명단'!$A428&amp;"")&lt;&gt;"",TRIM('입력_구리근무자명단'!$A428&amp;""),P429)</f>
        <v/>
      </c>
      <c r="Q430">
        <f>'입력_구리근무자명단'!$B428&amp;""</f>
        <v/>
      </c>
      <c r="R430">
        <f>IF($E$2="","",TRIM(INDEX('입력_구리근무자명단'!$A428:$ZZ428,1,$E$2+IF($G$2="확정",1,0))&amp;""))</f>
        <v/>
      </c>
      <c r="S430">
        <f>IF($R430="","",IF(INDEX('입력_구리근무자명단'!$A428:$ZZ428,1,$E$2+2)&amp;""="",급여기준월,IF(ISNUMBER(INDEX('입력_구리근무자명단'!$A428:$ZZ428,1,$E$2+2)),INDEX('입력_구리근무자명단'!$A428:$ZZ428,1,$E$2+2),IFERROR(DATE(VALUE(LEFT(INDEX('입력_구리근무자명단'!$A428:$ZZ428,1,$E$2+2),4)),VALUE(MID(INDEX('입력_구리근무자명단'!$A428:$ZZ428,1,$E$2+2),6,2)),VALUE(MID(INDEX('입력_구리근무자명단'!$A428:$ZZ428,1,$E$2+2),9,2))),-1))))</f>
        <v/>
      </c>
      <c r="T430">
        <f>IF($R430="","",IF(INDEX('입력_구리근무자명단'!$A428:$ZZ428,1,$E$2+3)&amp;""="",EOMONTH(급여기준월,0),IF(ISNUMBER(INDEX('입력_구리근무자명단'!$A428:$ZZ428,1,$E$2+3)),INDEX('입력_구리근무자명단'!$A428:$ZZ428,1,$E$2+3),IFERROR(DATE(VALUE(LEFT(INDEX('입력_구리근무자명단'!$A428:$ZZ428,1,$E$2+3),4)),VALUE(MID(INDEX('입력_구리근무자명단'!$A428:$ZZ428,1,$E$2+3),6,2)),VALUE(MID(INDEX('입력_구리근무자명단'!$A428:$ZZ428,1,$E$2+3),9,2))),-1))))</f>
        <v/>
      </c>
      <c r="U430">
        <f>IF($R430="","",IF(OR($S430&lt;0,$T430&lt;0),0,MAX(0,MIN($T430,EOMONTH(급여기준월,0))-MAX($S430,급여기준월)+1)))</f>
        <v/>
      </c>
      <c r="V430">
        <f>IF($R430="","",TRIM(INDEX('입력_구리근무자명단'!$A428:$ZZ428,1,$E$2+5)&amp;""))</f>
        <v/>
      </c>
      <c r="W430">
        <f>IF(ISNUMBER(SEARCH("구리독자",$V430)),"구리독자","")</f>
        <v/>
      </c>
      <c r="X430">
        <f>IF($R430="","",$R430&amp;"|"&amp;IF(OR($Q430="인턴",ISNUMBER(SEARCH("수련교육부",$P430))),"인턴",$P430))</f>
        <v/>
      </c>
      <c r="Y430">
        <f>IF($R430="","",IF(COUNTIF(명단표[이름|과],$X430)=1,"명단 일치",IF(AND(COUNTIF(명단표[이름|과],$X430)=0,COUNTIF(명단표[이름],$R430)=1),"명단 일치(이름만, 과 다름)",IF(COUNTIF(명단표[이름],$R430)=0,IF(COUNTIF(기본자료표[이름],$R430)&gt;0,"명단에 없음(기본자료에는 있음)","명단에 없음"),"동명이인 확인"))))</f>
        <v/>
      </c>
      <c r="Z430">
        <f>IF($R430="","",IF($S430&lt;0,"⚠"&amp;INDEX('입력_구리근무자명단'!$A428:$ZZ428,1,$E$2+2),TEXT($S430,"yyyy-mm-dd")))</f>
        <v/>
      </c>
      <c r="AA430">
        <f>IF($R430="","",IF($T430&lt;0,"⚠"&amp;INDEX('입력_구리근무자명단'!$A428:$ZZ428,1,$E$2+3),TEXT($T430,"yyyy-mm-dd")))</f>
        <v/>
      </c>
      <c r="AB430">
        <f>AB429+IF($R430="",0,1)</f>
        <v/>
      </c>
      <c r="AC430">
        <f>IF($R430="","",$AB430)</f>
        <v/>
      </c>
    </row>
    <row r="431">
      <c r="A431">
        <f>IFERROR(INDEX($O$6:$O$1505,MATCH(426,$AC$6:$AC$1505,0)),"")</f>
        <v/>
      </c>
      <c r="B431">
        <f>IF(ISNUMBER($A431),INDEX($P$6:$P$1505,$A431-3),"")</f>
        <v/>
      </c>
      <c r="C431">
        <f>IF(ISNUMBER($A431),INDEX($Q$6:$Q$1505,$A431-3),"")</f>
        <v/>
      </c>
      <c r="D431">
        <f>IF(ISNUMBER($A431),INDEX($R$6:$R$1505,$A431-3),"")</f>
        <v/>
      </c>
      <c r="E431">
        <f>IF(ISNUMBER($A431),$G$2,"")</f>
        <v/>
      </c>
      <c r="F431">
        <f>IF(ISNUMBER($A431),INDEX($Z$6:$Z$1505,$A431-3),"")</f>
        <v/>
      </c>
      <c r="G431">
        <f>IF(ISNUMBER($A431),INDEX($AA$6:$AA$1505,$A431-3),"")</f>
        <v/>
      </c>
      <c r="H431">
        <f>IF(ISNUMBER($A431),INDEX($U$6:$U$1505,$A431-3),"")</f>
        <v/>
      </c>
      <c r="I431">
        <f>IF(ISNUMBER($A431),INDEX($V$6:$V$1505,$A431-3),"")</f>
        <v/>
      </c>
      <c r="J431">
        <f>IF(ISNUMBER($A431),INDEX($W$6:$W$1505,$A431-3),"")</f>
        <v/>
      </c>
      <c r="K431">
        <f>IF(ISNUMBER($A431),INDEX($X$6:$X$1505,$A431-3),"")</f>
        <v/>
      </c>
      <c r="L431">
        <f>IF(ISNUMBER($A431),INDEX($Y$6:$Y$1505,$A431-3),"")</f>
        <v/>
      </c>
      <c r="O431">
        <f>429</f>
        <v/>
      </c>
      <c r="P431">
        <f>IF(TRIM('입력_구리근무자명단'!$A429&amp;"")&lt;&gt;"",TRIM('입력_구리근무자명단'!$A429&amp;""),P430)</f>
        <v/>
      </c>
      <c r="Q431">
        <f>'입력_구리근무자명단'!$B429&amp;""</f>
        <v/>
      </c>
      <c r="R431">
        <f>IF($E$2="","",TRIM(INDEX('입력_구리근무자명단'!$A429:$ZZ429,1,$E$2+IF($G$2="확정",1,0))&amp;""))</f>
        <v/>
      </c>
      <c r="S431">
        <f>IF($R431="","",IF(INDEX('입력_구리근무자명단'!$A429:$ZZ429,1,$E$2+2)&amp;""="",급여기준월,IF(ISNUMBER(INDEX('입력_구리근무자명단'!$A429:$ZZ429,1,$E$2+2)),INDEX('입력_구리근무자명단'!$A429:$ZZ429,1,$E$2+2),IFERROR(DATE(VALUE(LEFT(INDEX('입력_구리근무자명단'!$A429:$ZZ429,1,$E$2+2),4)),VALUE(MID(INDEX('입력_구리근무자명단'!$A429:$ZZ429,1,$E$2+2),6,2)),VALUE(MID(INDEX('입력_구리근무자명단'!$A429:$ZZ429,1,$E$2+2),9,2))),-1))))</f>
        <v/>
      </c>
      <c r="T431">
        <f>IF($R431="","",IF(INDEX('입력_구리근무자명단'!$A429:$ZZ429,1,$E$2+3)&amp;""="",EOMONTH(급여기준월,0),IF(ISNUMBER(INDEX('입력_구리근무자명단'!$A429:$ZZ429,1,$E$2+3)),INDEX('입력_구리근무자명단'!$A429:$ZZ429,1,$E$2+3),IFERROR(DATE(VALUE(LEFT(INDEX('입력_구리근무자명단'!$A429:$ZZ429,1,$E$2+3),4)),VALUE(MID(INDEX('입력_구리근무자명단'!$A429:$ZZ429,1,$E$2+3),6,2)),VALUE(MID(INDEX('입력_구리근무자명단'!$A429:$ZZ429,1,$E$2+3),9,2))),-1))))</f>
        <v/>
      </c>
      <c r="U431">
        <f>IF($R431="","",IF(OR($S431&lt;0,$T431&lt;0),0,MAX(0,MIN($T431,EOMONTH(급여기준월,0))-MAX($S431,급여기준월)+1)))</f>
        <v/>
      </c>
      <c r="V431">
        <f>IF($R431="","",TRIM(INDEX('입력_구리근무자명단'!$A429:$ZZ429,1,$E$2+5)&amp;""))</f>
        <v/>
      </c>
      <c r="W431">
        <f>IF(ISNUMBER(SEARCH("구리독자",$V431)),"구리독자","")</f>
        <v/>
      </c>
      <c r="X431">
        <f>IF($R431="","",$R431&amp;"|"&amp;IF(OR($Q431="인턴",ISNUMBER(SEARCH("수련교육부",$P431))),"인턴",$P431))</f>
        <v/>
      </c>
      <c r="Y431">
        <f>IF($R431="","",IF(COUNTIF(명단표[이름|과],$X431)=1,"명단 일치",IF(AND(COUNTIF(명단표[이름|과],$X431)=0,COUNTIF(명단표[이름],$R431)=1),"명단 일치(이름만, 과 다름)",IF(COUNTIF(명단표[이름],$R431)=0,IF(COUNTIF(기본자료표[이름],$R431)&gt;0,"명단에 없음(기본자료에는 있음)","명단에 없음"),"동명이인 확인"))))</f>
        <v/>
      </c>
      <c r="Z431">
        <f>IF($R431="","",IF($S431&lt;0,"⚠"&amp;INDEX('입력_구리근무자명단'!$A429:$ZZ429,1,$E$2+2),TEXT($S431,"yyyy-mm-dd")))</f>
        <v/>
      </c>
      <c r="AA431">
        <f>IF($R431="","",IF($T431&lt;0,"⚠"&amp;INDEX('입력_구리근무자명단'!$A429:$ZZ429,1,$E$2+3),TEXT($T431,"yyyy-mm-dd")))</f>
        <v/>
      </c>
      <c r="AB431">
        <f>AB430+IF($R431="",0,1)</f>
        <v/>
      </c>
      <c r="AC431">
        <f>IF($R431="","",$AB431)</f>
        <v/>
      </c>
    </row>
    <row r="432">
      <c r="A432">
        <f>IFERROR(INDEX($O$6:$O$1505,MATCH(427,$AC$6:$AC$1505,0)),"")</f>
        <v/>
      </c>
      <c r="B432">
        <f>IF(ISNUMBER($A432),INDEX($P$6:$P$1505,$A432-3),"")</f>
        <v/>
      </c>
      <c r="C432">
        <f>IF(ISNUMBER($A432),INDEX($Q$6:$Q$1505,$A432-3),"")</f>
        <v/>
      </c>
      <c r="D432">
        <f>IF(ISNUMBER($A432),INDEX($R$6:$R$1505,$A432-3),"")</f>
        <v/>
      </c>
      <c r="E432">
        <f>IF(ISNUMBER($A432),$G$2,"")</f>
        <v/>
      </c>
      <c r="F432">
        <f>IF(ISNUMBER($A432),INDEX($Z$6:$Z$1505,$A432-3),"")</f>
        <v/>
      </c>
      <c r="G432">
        <f>IF(ISNUMBER($A432),INDEX($AA$6:$AA$1505,$A432-3),"")</f>
        <v/>
      </c>
      <c r="H432">
        <f>IF(ISNUMBER($A432),INDEX($U$6:$U$1505,$A432-3),"")</f>
        <v/>
      </c>
      <c r="I432">
        <f>IF(ISNUMBER($A432),INDEX($V$6:$V$1505,$A432-3),"")</f>
        <v/>
      </c>
      <c r="J432">
        <f>IF(ISNUMBER($A432),INDEX($W$6:$W$1505,$A432-3),"")</f>
        <v/>
      </c>
      <c r="K432">
        <f>IF(ISNUMBER($A432),INDEX($X$6:$X$1505,$A432-3),"")</f>
        <v/>
      </c>
      <c r="L432">
        <f>IF(ISNUMBER($A432),INDEX($Y$6:$Y$1505,$A432-3),"")</f>
        <v/>
      </c>
      <c r="O432">
        <f>430</f>
        <v/>
      </c>
      <c r="P432">
        <f>IF(TRIM('입력_구리근무자명단'!$A430&amp;"")&lt;&gt;"",TRIM('입력_구리근무자명단'!$A430&amp;""),P431)</f>
        <v/>
      </c>
      <c r="Q432">
        <f>'입력_구리근무자명단'!$B430&amp;""</f>
        <v/>
      </c>
      <c r="R432">
        <f>IF($E$2="","",TRIM(INDEX('입력_구리근무자명단'!$A430:$ZZ430,1,$E$2+IF($G$2="확정",1,0))&amp;""))</f>
        <v/>
      </c>
      <c r="S432">
        <f>IF($R432="","",IF(INDEX('입력_구리근무자명단'!$A430:$ZZ430,1,$E$2+2)&amp;""="",급여기준월,IF(ISNUMBER(INDEX('입력_구리근무자명단'!$A430:$ZZ430,1,$E$2+2)),INDEX('입력_구리근무자명단'!$A430:$ZZ430,1,$E$2+2),IFERROR(DATE(VALUE(LEFT(INDEX('입력_구리근무자명단'!$A430:$ZZ430,1,$E$2+2),4)),VALUE(MID(INDEX('입력_구리근무자명단'!$A430:$ZZ430,1,$E$2+2),6,2)),VALUE(MID(INDEX('입력_구리근무자명단'!$A430:$ZZ430,1,$E$2+2),9,2))),-1))))</f>
        <v/>
      </c>
      <c r="T432">
        <f>IF($R432="","",IF(INDEX('입력_구리근무자명단'!$A430:$ZZ430,1,$E$2+3)&amp;""="",EOMONTH(급여기준월,0),IF(ISNUMBER(INDEX('입력_구리근무자명단'!$A430:$ZZ430,1,$E$2+3)),INDEX('입력_구리근무자명단'!$A430:$ZZ430,1,$E$2+3),IFERROR(DATE(VALUE(LEFT(INDEX('입력_구리근무자명단'!$A430:$ZZ430,1,$E$2+3),4)),VALUE(MID(INDEX('입력_구리근무자명단'!$A430:$ZZ430,1,$E$2+3),6,2)),VALUE(MID(INDEX('입력_구리근무자명단'!$A430:$ZZ430,1,$E$2+3),9,2))),-1))))</f>
        <v/>
      </c>
      <c r="U432">
        <f>IF($R432="","",IF(OR($S432&lt;0,$T432&lt;0),0,MAX(0,MIN($T432,EOMONTH(급여기준월,0))-MAX($S432,급여기준월)+1)))</f>
        <v/>
      </c>
      <c r="V432">
        <f>IF($R432="","",TRIM(INDEX('입력_구리근무자명단'!$A430:$ZZ430,1,$E$2+5)&amp;""))</f>
        <v/>
      </c>
      <c r="W432">
        <f>IF(ISNUMBER(SEARCH("구리독자",$V432)),"구리독자","")</f>
        <v/>
      </c>
      <c r="X432">
        <f>IF($R432="","",$R432&amp;"|"&amp;IF(OR($Q432="인턴",ISNUMBER(SEARCH("수련교육부",$P432))),"인턴",$P432))</f>
        <v/>
      </c>
      <c r="Y432">
        <f>IF($R432="","",IF(COUNTIF(명단표[이름|과],$X432)=1,"명단 일치",IF(AND(COUNTIF(명단표[이름|과],$X432)=0,COUNTIF(명단표[이름],$R432)=1),"명단 일치(이름만, 과 다름)",IF(COUNTIF(명단표[이름],$R432)=0,IF(COUNTIF(기본자료표[이름],$R432)&gt;0,"명단에 없음(기본자료에는 있음)","명단에 없음"),"동명이인 확인"))))</f>
        <v/>
      </c>
      <c r="Z432">
        <f>IF($R432="","",IF($S432&lt;0,"⚠"&amp;INDEX('입력_구리근무자명단'!$A430:$ZZ430,1,$E$2+2),TEXT($S432,"yyyy-mm-dd")))</f>
        <v/>
      </c>
      <c r="AA432">
        <f>IF($R432="","",IF($T432&lt;0,"⚠"&amp;INDEX('입력_구리근무자명단'!$A430:$ZZ430,1,$E$2+3),TEXT($T432,"yyyy-mm-dd")))</f>
        <v/>
      </c>
      <c r="AB432">
        <f>AB431+IF($R432="",0,1)</f>
        <v/>
      </c>
      <c r="AC432">
        <f>IF($R432="","",$AB432)</f>
        <v/>
      </c>
    </row>
    <row r="433">
      <c r="A433">
        <f>IFERROR(INDEX($O$6:$O$1505,MATCH(428,$AC$6:$AC$1505,0)),"")</f>
        <v/>
      </c>
      <c r="B433">
        <f>IF(ISNUMBER($A433),INDEX($P$6:$P$1505,$A433-3),"")</f>
        <v/>
      </c>
      <c r="C433">
        <f>IF(ISNUMBER($A433),INDEX($Q$6:$Q$1505,$A433-3),"")</f>
        <v/>
      </c>
      <c r="D433">
        <f>IF(ISNUMBER($A433),INDEX($R$6:$R$1505,$A433-3),"")</f>
        <v/>
      </c>
      <c r="E433">
        <f>IF(ISNUMBER($A433),$G$2,"")</f>
        <v/>
      </c>
      <c r="F433">
        <f>IF(ISNUMBER($A433),INDEX($Z$6:$Z$1505,$A433-3),"")</f>
        <v/>
      </c>
      <c r="G433">
        <f>IF(ISNUMBER($A433),INDEX($AA$6:$AA$1505,$A433-3),"")</f>
        <v/>
      </c>
      <c r="H433">
        <f>IF(ISNUMBER($A433),INDEX($U$6:$U$1505,$A433-3),"")</f>
        <v/>
      </c>
      <c r="I433">
        <f>IF(ISNUMBER($A433),INDEX($V$6:$V$1505,$A433-3),"")</f>
        <v/>
      </c>
      <c r="J433">
        <f>IF(ISNUMBER($A433),INDEX($W$6:$W$1505,$A433-3),"")</f>
        <v/>
      </c>
      <c r="K433">
        <f>IF(ISNUMBER($A433),INDEX($X$6:$X$1505,$A433-3),"")</f>
        <v/>
      </c>
      <c r="L433">
        <f>IF(ISNUMBER($A433),INDEX($Y$6:$Y$1505,$A433-3),"")</f>
        <v/>
      </c>
      <c r="O433">
        <f>431</f>
        <v/>
      </c>
      <c r="P433">
        <f>IF(TRIM('입력_구리근무자명단'!$A431&amp;"")&lt;&gt;"",TRIM('입력_구리근무자명단'!$A431&amp;""),P432)</f>
        <v/>
      </c>
      <c r="Q433">
        <f>'입력_구리근무자명단'!$B431&amp;""</f>
        <v/>
      </c>
      <c r="R433">
        <f>IF($E$2="","",TRIM(INDEX('입력_구리근무자명단'!$A431:$ZZ431,1,$E$2+IF($G$2="확정",1,0))&amp;""))</f>
        <v/>
      </c>
      <c r="S433">
        <f>IF($R433="","",IF(INDEX('입력_구리근무자명단'!$A431:$ZZ431,1,$E$2+2)&amp;""="",급여기준월,IF(ISNUMBER(INDEX('입력_구리근무자명단'!$A431:$ZZ431,1,$E$2+2)),INDEX('입력_구리근무자명단'!$A431:$ZZ431,1,$E$2+2),IFERROR(DATE(VALUE(LEFT(INDEX('입력_구리근무자명단'!$A431:$ZZ431,1,$E$2+2),4)),VALUE(MID(INDEX('입력_구리근무자명단'!$A431:$ZZ431,1,$E$2+2),6,2)),VALUE(MID(INDEX('입력_구리근무자명단'!$A431:$ZZ431,1,$E$2+2),9,2))),-1))))</f>
        <v/>
      </c>
      <c r="T433">
        <f>IF($R433="","",IF(INDEX('입력_구리근무자명단'!$A431:$ZZ431,1,$E$2+3)&amp;""="",EOMONTH(급여기준월,0),IF(ISNUMBER(INDEX('입력_구리근무자명단'!$A431:$ZZ431,1,$E$2+3)),INDEX('입력_구리근무자명단'!$A431:$ZZ431,1,$E$2+3),IFERROR(DATE(VALUE(LEFT(INDEX('입력_구리근무자명단'!$A431:$ZZ431,1,$E$2+3),4)),VALUE(MID(INDEX('입력_구리근무자명단'!$A431:$ZZ431,1,$E$2+3),6,2)),VALUE(MID(INDEX('입력_구리근무자명단'!$A431:$ZZ431,1,$E$2+3),9,2))),-1))))</f>
        <v/>
      </c>
      <c r="U433">
        <f>IF($R433="","",IF(OR($S433&lt;0,$T433&lt;0),0,MAX(0,MIN($T433,EOMONTH(급여기준월,0))-MAX($S433,급여기준월)+1)))</f>
        <v/>
      </c>
      <c r="V433">
        <f>IF($R433="","",TRIM(INDEX('입력_구리근무자명단'!$A431:$ZZ431,1,$E$2+5)&amp;""))</f>
        <v/>
      </c>
      <c r="W433">
        <f>IF(ISNUMBER(SEARCH("구리독자",$V433)),"구리독자","")</f>
        <v/>
      </c>
      <c r="X433">
        <f>IF($R433="","",$R433&amp;"|"&amp;IF(OR($Q433="인턴",ISNUMBER(SEARCH("수련교육부",$P433))),"인턴",$P433))</f>
        <v/>
      </c>
      <c r="Y433">
        <f>IF($R433="","",IF(COUNTIF(명단표[이름|과],$X433)=1,"명단 일치",IF(AND(COUNTIF(명단표[이름|과],$X433)=0,COUNTIF(명단표[이름],$R433)=1),"명단 일치(이름만, 과 다름)",IF(COUNTIF(명단표[이름],$R433)=0,IF(COUNTIF(기본자료표[이름],$R433)&gt;0,"명단에 없음(기본자료에는 있음)","명단에 없음"),"동명이인 확인"))))</f>
        <v/>
      </c>
      <c r="Z433">
        <f>IF($R433="","",IF($S433&lt;0,"⚠"&amp;INDEX('입력_구리근무자명단'!$A431:$ZZ431,1,$E$2+2),TEXT($S433,"yyyy-mm-dd")))</f>
        <v/>
      </c>
      <c r="AA433">
        <f>IF($R433="","",IF($T433&lt;0,"⚠"&amp;INDEX('입력_구리근무자명단'!$A431:$ZZ431,1,$E$2+3),TEXT($T433,"yyyy-mm-dd")))</f>
        <v/>
      </c>
      <c r="AB433">
        <f>AB432+IF($R433="",0,1)</f>
        <v/>
      </c>
      <c r="AC433">
        <f>IF($R433="","",$AB433)</f>
        <v/>
      </c>
    </row>
    <row r="434">
      <c r="A434">
        <f>IFERROR(INDEX($O$6:$O$1505,MATCH(429,$AC$6:$AC$1505,0)),"")</f>
        <v/>
      </c>
      <c r="B434">
        <f>IF(ISNUMBER($A434),INDEX($P$6:$P$1505,$A434-3),"")</f>
        <v/>
      </c>
      <c r="C434">
        <f>IF(ISNUMBER($A434),INDEX($Q$6:$Q$1505,$A434-3),"")</f>
        <v/>
      </c>
      <c r="D434">
        <f>IF(ISNUMBER($A434),INDEX($R$6:$R$1505,$A434-3),"")</f>
        <v/>
      </c>
      <c r="E434">
        <f>IF(ISNUMBER($A434),$G$2,"")</f>
        <v/>
      </c>
      <c r="F434">
        <f>IF(ISNUMBER($A434),INDEX($Z$6:$Z$1505,$A434-3),"")</f>
        <v/>
      </c>
      <c r="G434">
        <f>IF(ISNUMBER($A434),INDEX($AA$6:$AA$1505,$A434-3),"")</f>
        <v/>
      </c>
      <c r="H434">
        <f>IF(ISNUMBER($A434),INDEX($U$6:$U$1505,$A434-3),"")</f>
        <v/>
      </c>
      <c r="I434">
        <f>IF(ISNUMBER($A434),INDEX($V$6:$V$1505,$A434-3),"")</f>
        <v/>
      </c>
      <c r="J434">
        <f>IF(ISNUMBER($A434),INDEX($W$6:$W$1505,$A434-3),"")</f>
        <v/>
      </c>
      <c r="K434">
        <f>IF(ISNUMBER($A434),INDEX($X$6:$X$1505,$A434-3),"")</f>
        <v/>
      </c>
      <c r="L434">
        <f>IF(ISNUMBER($A434),INDEX($Y$6:$Y$1505,$A434-3),"")</f>
        <v/>
      </c>
      <c r="O434">
        <f>432</f>
        <v/>
      </c>
      <c r="P434">
        <f>IF(TRIM('입력_구리근무자명단'!$A432&amp;"")&lt;&gt;"",TRIM('입력_구리근무자명단'!$A432&amp;""),P433)</f>
        <v/>
      </c>
      <c r="Q434">
        <f>'입력_구리근무자명단'!$B432&amp;""</f>
        <v/>
      </c>
      <c r="R434">
        <f>IF($E$2="","",TRIM(INDEX('입력_구리근무자명단'!$A432:$ZZ432,1,$E$2+IF($G$2="확정",1,0))&amp;""))</f>
        <v/>
      </c>
      <c r="S434">
        <f>IF($R434="","",IF(INDEX('입력_구리근무자명단'!$A432:$ZZ432,1,$E$2+2)&amp;""="",급여기준월,IF(ISNUMBER(INDEX('입력_구리근무자명단'!$A432:$ZZ432,1,$E$2+2)),INDEX('입력_구리근무자명단'!$A432:$ZZ432,1,$E$2+2),IFERROR(DATE(VALUE(LEFT(INDEX('입력_구리근무자명단'!$A432:$ZZ432,1,$E$2+2),4)),VALUE(MID(INDEX('입력_구리근무자명단'!$A432:$ZZ432,1,$E$2+2),6,2)),VALUE(MID(INDEX('입력_구리근무자명단'!$A432:$ZZ432,1,$E$2+2),9,2))),-1))))</f>
        <v/>
      </c>
      <c r="T434">
        <f>IF($R434="","",IF(INDEX('입력_구리근무자명단'!$A432:$ZZ432,1,$E$2+3)&amp;""="",EOMONTH(급여기준월,0),IF(ISNUMBER(INDEX('입력_구리근무자명단'!$A432:$ZZ432,1,$E$2+3)),INDEX('입력_구리근무자명단'!$A432:$ZZ432,1,$E$2+3),IFERROR(DATE(VALUE(LEFT(INDEX('입력_구리근무자명단'!$A432:$ZZ432,1,$E$2+3),4)),VALUE(MID(INDEX('입력_구리근무자명단'!$A432:$ZZ432,1,$E$2+3),6,2)),VALUE(MID(INDEX('입력_구리근무자명단'!$A432:$ZZ432,1,$E$2+3),9,2))),-1))))</f>
        <v/>
      </c>
      <c r="U434">
        <f>IF($R434="","",IF(OR($S434&lt;0,$T434&lt;0),0,MAX(0,MIN($T434,EOMONTH(급여기준월,0))-MAX($S434,급여기준월)+1)))</f>
        <v/>
      </c>
      <c r="V434">
        <f>IF($R434="","",TRIM(INDEX('입력_구리근무자명단'!$A432:$ZZ432,1,$E$2+5)&amp;""))</f>
        <v/>
      </c>
      <c r="W434">
        <f>IF(ISNUMBER(SEARCH("구리독자",$V434)),"구리독자","")</f>
        <v/>
      </c>
      <c r="X434">
        <f>IF($R434="","",$R434&amp;"|"&amp;IF(OR($Q434="인턴",ISNUMBER(SEARCH("수련교육부",$P434))),"인턴",$P434))</f>
        <v/>
      </c>
      <c r="Y434">
        <f>IF($R434="","",IF(COUNTIF(명단표[이름|과],$X434)=1,"명단 일치",IF(AND(COUNTIF(명단표[이름|과],$X434)=0,COUNTIF(명단표[이름],$R434)=1),"명단 일치(이름만, 과 다름)",IF(COUNTIF(명단표[이름],$R434)=0,IF(COUNTIF(기본자료표[이름],$R434)&gt;0,"명단에 없음(기본자료에는 있음)","명단에 없음"),"동명이인 확인"))))</f>
        <v/>
      </c>
      <c r="Z434">
        <f>IF($R434="","",IF($S434&lt;0,"⚠"&amp;INDEX('입력_구리근무자명단'!$A432:$ZZ432,1,$E$2+2),TEXT($S434,"yyyy-mm-dd")))</f>
        <v/>
      </c>
      <c r="AA434">
        <f>IF($R434="","",IF($T434&lt;0,"⚠"&amp;INDEX('입력_구리근무자명단'!$A432:$ZZ432,1,$E$2+3),TEXT($T434,"yyyy-mm-dd")))</f>
        <v/>
      </c>
      <c r="AB434">
        <f>AB433+IF($R434="",0,1)</f>
        <v/>
      </c>
      <c r="AC434">
        <f>IF($R434="","",$AB434)</f>
        <v/>
      </c>
    </row>
    <row r="435">
      <c r="A435">
        <f>IFERROR(INDEX($O$6:$O$1505,MATCH(430,$AC$6:$AC$1505,0)),"")</f>
        <v/>
      </c>
      <c r="B435">
        <f>IF(ISNUMBER($A435),INDEX($P$6:$P$1505,$A435-3),"")</f>
        <v/>
      </c>
      <c r="C435">
        <f>IF(ISNUMBER($A435),INDEX($Q$6:$Q$1505,$A435-3),"")</f>
        <v/>
      </c>
      <c r="D435">
        <f>IF(ISNUMBER($A435),INDEX($R$6:$R$1505,$A435-3),"")</f>
        <v/>
      </c>
      <c r="E435">
        <f>IF(ISNUMBER($A435),$G$2,"")</f>
        <v/>
      </c>
      <c r="F435">
        <f>IF(ISNUMBER($A435),INDEX($Z$6:$Z$1505,$A435-3),"")</f>
        <v/>
      </c>
      <c r="G435">
        <f>IF(ISNUMBER($A435),INDEX($AA$6:$AA$1505,$A435-3),"")</f>
        <v/>
      </c>
      <c r="H435">
        <f>IF(ISNUMBER($A435),INDEX($U$6:$U$1505,$A435-3),"")</f>
        <v/>
      </c>
      <c r="I435">
        <f>IF(ISNUMBER($A435),INDEX($V$6:$V$1505,$A435-3),"")</f>
        <v/>
      </c>
      <c r="J435">
        <f>IF(ISNUMBER($A435),INDEX($W$6:$W$1505,$A435-3),"")</f>
        <v/>
      </c>
      <c r="K435">
        <f>IF(ISNUMBER($A435),INDEX($X$6:$X$1505,$A435-3),"")</f>
        <v/>
      </c>
      <c r="L435">
        <f>IF(ISNUMBER($A435),INDEX($Y$6:$Y$1505,$A435-3),"")</f>
        <v/>
      </c>
      <c r="O435">
        <f>433</f>
        <v/>
      </c>
      <c r="P435">
        <f>IF(TRIM('입력_구리근무자명단'!$A433&amp;"")&lt;&gt;"",TRIM('입력_구리근무자명단'!$A433&amp;""),P434)</f>
        <v/>
      </c>
      <c r="Q435">
        <f>'입력_구리근무자명단'!$B433&amp;""</f>
        <v/>
      </c>
      <c r="R435">
        <f>IF($E$2="","",TRIM(INDEX('입력_구리근무자명단'!$A433:$ZZ433,1,$E$2+IF($G$2="확정",1,0))&amp;""))</f>
        <v/>
      </c>
      <c r="S435">
        <f>IF($R435="","",IF(INDEX('입력_구리근무자명단'!$A433:$ZZ433,1,$E$2+2)&amp;""="",급여기준월,IF(ISNUMBER(INDEX('입력_구리근무자명단'!$A433:$ZZ433,1,$E$2+2)),INDEX('입력_구리근무자명단'!$A433:$ZZ433,1,$E$2+2),IFERROR(DATE(VALUE(LEFT(INDEX('입력_구리근무자명단'!$A433:$ZZ433,1,$E$2+2),4)),VALUE(MID(INDEX('입력_구리근무자명단'!$A433:$ZZ433,1,$E$2+2),6,2)),VALUE(MID(INDEX('입력_구리근무자명단'!$A433:$ZZ433,1,$E$2+2),9,2))),-1))))</f>
        <v/>
      </c>
      <c r="T435">
        <f>IF($R435="","",IF(INDEX('입력_구리근무자명단'!$A433:$ZZ433,1,$E$2+3)&amp;""="",EOMONTH(급여기준월,0),IF(ISNUMBER(INDEX('입력_구리근무자명단'!$A433:$ZZ433,1,$E$2+3)),INDEX('입력_구리근무자명단'!$A433:$ZZ433,1,$E$2+3),IFERROR(DATE(VALUE(LEFT(INDEX('입력_구리근무자명단'!$A433:$ZZ433,1,$E$2+3),4)),VALUE(MID(INDEX('입력_구리근무자명단'!$A433:$ZZ433,1,$E$2+3),6,2)),VALUE(MID(INDEX('입력_구리근무자명단'!$A433:$ZZ433,1,$E$2+3),9,2))),-1))))</f>
        <v/>
      </c>
      <c r="U435">
        <f>IF($R435="","",IF(OR($S435&lt;0,$T435&lt;0),0,MAX(0,MIN($T435,EOMONTH(급여기준월,0))-MAX($S435,급여기준월)+1)))</f>
        <v/>
      </c>
      <c r="V435">
        <f>IF($R435="","",TRIM(INDEX('입력_구리근무자명단'!$A433:$ZZ433,1,$E$2+5)&amp;""))</f>
        <v/>
      </c>
      <c r="W435">
        <f>IF(ISNUMBER(SEARCH("구리독자",$V435)),"구리독자","")</f>
        <v/>
      </c>
      <c r="X435">
        <f>IF($R435="","",$R435&amp;"|"&amp;IF(OR($Q435="인턴",ISNUMBER(SEARCH("수련교육부",$P435))),"인턴",$P435))</f>
        <v/>
      </c>
      <c r="Y435">
        <f>IF($R435="","",IF(COUNTIF(명단표[이름|과],$X435)=1,"명단 일치",IF(AND(COUNTIF(명단표[이름|과],$X435)=0,COUNTIF(명단표[이름],$R435)=1),"명단 일치(이름만, 과 다름)",IF(COUNTIF(명단표[이름],$R435)=0,IF(COUNTIF(기본자료표[이름],$R435)&gt;0,"명단에 없음(기본자료에는 있음)","명단에 없음"),"동명이인 확인"))))</f>
        <v/>
      </c>
      <c r="Z435">
        <f>IF($R435="","",IF($S435&lt;0,"⚠"&amp;INDEX('입력_구리근무자명단'!$A433:$ZZ433,1,$E$2+2),TEXT($S435,"yyyy-mm-dd")))</f>
        <v/>
      </c>
      <c r="AA435">
        <f>IF($R435="","",IF($T435&lt;0,"⚠"&amp;INDEX('입력_구리근무자명단'!$A433:$ZZ433,1,$E$2+3),TEXT($T435,"yyyy-mm-dd")))</f>
        <v/>
      </c>
      <c r="AB435">
        <f>AB434+IF($R435="",0,1)</f>
        <v/>
      </c>
      <c r="AC435">
        <f>IF($R435="","",$AB435)</f>
        <v/>
      </c>
    </row>
    <row r="436">
      <c r="A436">
        <f>IFERROR(INDEX($O$6:$O$1505,MATCH(431,$AC$6:$AC$1505,0)),"")</f>
        <v/>
      </c>
      <c r="B436">
        <f>IF(ISNUMBER($A436),INDEX($P$6:$P$1505,$A436-3),"")</f>
        <v/>
      </c>
      <c r="C436">
        <f>IF(ISNUMBER($A436),INDEX($Q$6:$Q$1505,$A436-3),"")</f>
        <v/>
      </c>
      <c r="D436">
        <f>IF(ISNUMBER($A436),INDEX($R$6:$R$1505,$A436-3),"")</f>
        <v/>
      </c>
      <c r="E436">
        <f>IF(ISNUMBER($A436),$G$2,"")</f>
        <v/>
      </c>
      <c r="F436">
        <f>IF(ISNUMBER($A436),INDEX($Z$6:$Z$1505,$A436-3),"")</f>
        <v/>
      </c>
      <c r="G436">
        <f>IF(ISNUMBER($A436),INDEX($AA$6:$AA$1505,$A436-3),"")</f>
        <v/>
      </c>
      <c r="H436">
        <f>IF(ISNUMBER($A436),INDEX($U$6:$U$1505,$A436-3),"")</f>
        <v/>
      </c>
      <c r="I436">
        <f>IF(ISNUMBER($A436),INDEX($V$6:$V$1505,$A436-3),"")</f>
        <v/>
      </c>
      <c r="J436">
        <f>IF(ISNUMBER($A436),INDEX($W$6:$W$1505,$A436-3),"")</f>
        <v/>
      </c>
      <c r="K436">
        <f>IF(ISNUMBER($A436),INDEX($X$6:$X$1505,$A436-3),"")</f>
        <v/>
      </c>
      <c r="L436">
        <f>IF(ISNUMBER($A436),INDEX($Y$6:$Y$1505,$A436-3),"")</f>
        <v/>
      </c>
      <c r="O436">
        <f>434</f>
        <v/>
      </c>
      <c r="P436">
        <f>IF(TRIM('입력_구리근무자명단'!$A434&amp;"")&lt;&gt;"",TRIM('입력_구리근무자명단'!$A434&amp;""),P435)</f>
        <v/>
      </c>
      <c r="Q436">
        <f>'입력_구리근무자명단'!$B434&amp;""</f>
        <v/>
      </c>
      <c r="R436">
        <f>IF($E$2="","",TRIM(INDEX('입력_구리근무자명단'!$A434:$ZZ434,1,$E$2+IF($G$2="확정",1,0))&amp;""))</f>
        <v/>
      </c>
      <c r="S436">
        <f>IF($R436="","",IF(INDEX('입력_구리근무자명단'!$A434:$ZZ434,1,$E$2+2)&amp;""="",급여기준월,IF(ISNUMBER(INDEX('입력_구리근무자명단'!$A434:$ZZ434,1,$E$2+2)),INDEX('입력_구리근무자명단'!$A434:$ZZ434,1,$E$2+2),IFERROR(DATE(VALUE(LEFT(INDEX('입력_구리근무자명단'!$A434:$ZZ434,1,$E$2+2),4)),VALUE(MID(INDEX('입력_구리근무자명단'!$A434:$ZZ434,1,$E$2+2),6,2)),VALUE(MID(INDEX('입력_구리근무자명단'!$A434:$ZZ434,1,$E$2+2),9,2))),-1))))</f>
        <v/>
      </c>
      <c r="T436">
        <f>IF($R436="","",IF(INDEX('입력_구리근무자명단'!$A434:$ZZ434,1,$E$2+3)&amp;""="",EOMONTH(급여기준월,0),IF(ISNUMBER(INDEX('입력_구리근무자명단'!$A434:$ZZ434,1,$E$2+3)),INDEX('입력_구리근무자명단'!$A434:$ZZ434,1,$E$2+3),IFERROR(DATE(VALUE(LEFT(INDEX('입력_구리근무자명단'!$A434:$ZZ434,1,$E$2+3),4)),VALUE(MID(INDEX('입력_구리근무자명단'!$A434:$ZZ434,1,$E$2+3),6,2)),VALUE(MID(INDEX('입력_구리근무자명단'!$A434:$ZZ434,1,$E$2+3),9,2))),-1))))</f>
        <v/>
      </c>
      <c r="U436">
        <f>IF($R436="","",IF(OR($S436&lt;0,$T436&lt;0),0,MAX(0,MIN($T436,EOMONTH(급여기준월,0))-MAX($S436,급여기준월)+1)))</f>
        <v/>
      </c>
      <c r="V436">
        <f>IF($R436="","",TRIM(INDEX('입력_구리근무자명단'!$A434:$ZZ434,1,$E$2+5)&amp;""))</f>
        <v/>
      </c>
      <c r="W436">
        <f>IF(ISNUMBER(SEARCH("구리독자",$V436)),"구리독자","")</f>
        <v/>
      </c>
      <c r="X436">
        <f>IF($R436="","",$R436&amp;"|"&amp;IF(OR($Q436="인턴",ISNUMBER(SEARCH("수련교육부",$P436))),"인턴",$P436))</f>
        <v/>
      </c>
      <c r="Y436">
        <f>IF($R436="","",IF(COUNTIF(명단표[이름|과],$X436)=1,"명단 일치",IF(AND(COUNTIF(명단표[이름|과],$X436)=0,COUNTIF(명단표[이름],$R436)=1),"명단 일치(이름만, 과 다름)",IF(COUNTIF(명단표[이름],$R436)=0,IF(COUNTIF(기본자료표[이름],$R436)&gt;0,"명단에 없음(기본자료에는 있음)","명단에 없음"),"동명이인 확인"))))</f>
        <v/>
      </c>
      <c r="Z436">
        <f>IF($R436="","",IF($S436&lt;0,"⚠"&amp;INDEX('입력_구리근무자명단'!$A434:$ZZ434,1,$E$2+2),TEXT($S436,"yyyy-mm-dd")))</f>
        <v/>
      </c>
      <c r="AA436">
        <f>IF($R436="","",IF($T436&lt;0,"⚠"&amp;INDEX('입력_구리근무자명단'!$A434:$ZZ434,1,$E$2+3),TEXT($T436,"yyyy-mm-dd")))</f>
        <v/>
      </c>
      <c r="AB436">
        <f>AB435+IF($R436="",0,1)</f>
        <v/>
      </c>
      <c r="AC436">
        <f>IF($R436="","",$AB436)</f>
        <v/>
      </c>
    </row>
    <row r="437">
      <c r="A437">
        <f>IFERROR(INDEX($O$6:$O$1505,MATCH(432,$AC$6:$AC$1505,0)),"")</f>
        <v/>
      </c>
      <c r="B437">
        <f>IF(ISNUMBER($A437),INDEX($P$6:$P$1505,$A437-3),"")</f>
        <v/>
      </c>
      <c r="C437">
        <f>IF(ISNUMBER($A437),INDEX($Q$6:$Q$1505,$A437-3),"")</f>
        <v/>
      </c>
      <c r="D437">
        <f>IF(ISNUMBER($A437),INDEX($R$6:$R$1505,$A437-3),"")</f>
        <v/>
      </c>
      <c r="E437">
        <f>IF(ISNUMBER($A437),$G$2,"")</f>
        <v/>
      </c>
      <c r="F437">
        <f>IF(ISNUMBER($A437),INDEX($Z$6:$Z$1505,$A437-3),"")</f>
        <v/>
      </c>
      <c r="G437">
        <f>IF(ISNUMBER($A437),INDEX($AA$6:$AA$1505,$A437-3),"")</f>
        <v/>
      </c>
      <c r="H437">
        <f>IF(ISNUMBER($A437),INDEX($U$6:$U$1505,$A437-3),"")</f>
        <v/>
      </c>
      <c r="I437">
        <f>IF(ISNUMBER($A437),INDEX($V$6:$V$1505,$A437-3),"")</f>
        <v/>
      </c>
      <c r="J437">
        <f>IF(ISNUMBER($A437),INDEX($W$6:$W$1505,$A437-3),"")</f>
        <v/>
      </c>
      <c r="K437">
        <f>IF(ISNUMBER($A437),INDEX($X$6:$X$1505,$A437-3),"")</f>
        <v/>
      </c>
      <c r="L437">
        <f>IF(ISNUMBER($A437),INDEX($Y$6:$Y$1505,$A437-3),"")</f>
        <v/>
      </c>
      <c r="O437">
        <f>435</f>
        <v/>
      </c>
      <c r="P437">
        <f>IF(TRIM('입력_구리근무자명단'!$A435&amp;"")&lt;&gt;"",TRIM('입력_구리근무자명단'!$A435&amp;""),P436)</f>
        <v/>
      </c>
      <c r="Q437">
        <f>'입력_구리근무자명단'!$B435&amp;""</f>
        <v/>
      </c>
      <c r="R437">
        <f>IF($E$2="","",TRIM(INDEX('입력_구리근무자명단'!$A435:$ZZ435,1,$E$2+IF($G$2="확정",1,0))&amp;""))</f>
        <v/>
      </c>
      <c r="S437">
        <f>IF($R437="","",IF(INDEX('입력_구리근무자명단'!$A435:$ZZ435,1,$E$2+2)&amp;""="",급여기준월,IF(ISNUMBER(INDEX('입력_구리근무자명단'!$A435:$ZZ435,1,$E$2+2)),INDEX('입력_구리근무자명단'!$A435:$ZZ435,1,$E$2+2),IFERROR(DATE(VALUE(LEFT(INDEX('입력_구리근무자명단'!$A435:$ZZ435,1,$E$2+2),4)),VALUE(MID(INDEX('입력_구리근무자명단'!$A435:$ZZ435,1,$E$2+2),6,2)),VALUE(MID(INDEX('입력_구리근무자명단'!$A435:$ZZ435,1,$E$2+2),9,2))),-1))))</f>
        <v/>
      </c>
      <c r="T437">
        <f>IF($R437="","",IF(INDEX('입력_구리근무자명단'!$A435:$ZZ435,1,$E$2+3)&amp;""="",EOMONTH(급여기준월,0),IF(ISNUMBER(INDEX('입력_구리근무자명단'!$A435:$ZZ435,1,$E$2+3)),INDEX('입력_구리근무자명단'!$A435:$ZZ435,1,$E$2+3),IFERROR(DATE(VALUE(LEFT(INDEX('입력_구리근무자명단'!$A435:$ZZ435,1,$E$2+3),4)),VALUE(MID(INDEX('입력_구리근무자명단'!$A435:$ZZ435,1,$E$2+3),6,2)),VALUE(MID(INDEX('입력_구리근무자명단'!$A435:$ZZ435,1,$E$2+3),9,2))),-1))))</f>
        <v/>
      </c>
      <c r="U437">
        <f>IF($R437="","",IF(OR($S437&lt;0,$T437&lt;0),0,MAX(0,MIN($T437,EOMONTH(급여기준월,0))-MAX($S437,급여기준월)+1)))</f>
        <v/>
      </c>
      <c r="V437">
        <f>IF($R437="","",TRIM(INDEX('입력_구리근무자명단'!$A435:$ZZ435,1,$E$2+5)&amp;""))</f>
        <v/>
      </c>
      <c r="W437">
        <f>IF(ISNUMBER(SEARCH("구리독자",$V437)),"구리독자","")</f>
        <v/>
      </c>
      <c r="X437">
        <f>IF($R437="","",$R437&amp;"|"&amp;IF(OR($Q437="인턴",ISNUMBER(SEARCH("수련교육부",$P437))),"인턴",$P437))</f>
        <v/>
      </c>
      <c r="Y437">
        <f>IF($R437="","",IF(COUNTIF(명단표[이름|과],$X437)=1,"명단 일치",IF(AND(COUNTIF(명단표[이름|과],$X437)=0,COUNTIF(명단표[이름],$R437)=1),"명단 일치(이름만, 과 다름)",IF(COUNTIF(명단표[이름],$R437)=0,IF(COUNTIF(기본자료표[이름],$R437)&gt;0,"명단에 없음(기본자료에는 있음)","명단에 없음"),"동명이인 확인"))))</f>
        <v/>
      </c>
      <c r="Z437">
        <f>IF($R437="","",IF($S437&lt;0,"⚠"&amp;INDEX('입력_구리근무자명단'!$A435:$ZZ435,1,$E$2+2),TEXT($S437,"yyyy-mm-dd")))</f>
        <v/>
      </c>
      <c r="AA437">
        <f>IF($R437="","",IF($T437&lt;0,"⚠"&amp;INDEX('입력_구리근무자명단'!$A435:$ZZ435,1,$E$2+3),TEXT($T437,"yyyy-mm-dd")))</f>
        <v/>
      </c>
      <c r="AB437">
        <f>AB436+IF($R437="",0,1)</f>
        <v/>
      </c>
      <c r="AC437">
        <f>IF($R437="","",$AB437)</f>
        <v/>
      </c>
    </row>
    <row r="438">
      <c r="A438">
        <f>IFERROR(INDEX($O$6:$O$1505,MATCH(433,$AC$6:$AC$1505,0)),"")</f>
        <v/>
      </c>
      <c r="B438">
        <f>IF(ISNUMBER($A438),INDEX($P$6:$P$1505,$A438-3),"")</f>
        <v/>
      </c>
      <c r="C438">
        <f>IF(ISNUMBER($A438),INDEX($Q$6:$Q$1505,$A438-3),"")</f>
        <v/>
      </c>
      <c r="D438">
        <f>IF(ISNUMBER($A438),INDEX($R$6:$R$1505,$A438-3),"")</f>
        <v/>
      </c>
      <c r="E438">
        <f>IF(ISNUMBER($A438),$G$2,"")</f>
        <v/>
      </c>
      <c r="F438">
        <f>IF(ISNUMBER($A438),INDEX($Z$6:$Z$1505,$A438-3),"")</f>
        <v/>
      </c>
      <c r="G438">
        <f>IF(ISNUMBER($A438),INDEX($AA$6:$AA$1505,$A438-3),"")</f>
        <v/>
      </c>
      <c r="H438">
        <f>IF(ISNUMBER($A438),INDEX($U$6:$U$1505,$A438-3),"")</f>
        <v/>
      </c>
      <c r="I438">
        <f>IF(ISNUMBER($A438),INDEX($V$6:$V$1505,$A438-3),"")</f>
        <v/>
      </c>
      <c r="J438">
        <f>IF(ISNUMBER($A438),INDEX($W$6:$W$1505,$A438-3),"")</f>
        <v/>
      </c>
      <c r="K438">
        <f>IF(ISNUMBER($A438),INDEX($X$6:$X$1505,$A438-3),"")</f>
        <v/>
      </c>
      <c r="L438">
        <f>IF(ISNUMBER($A438),INDEX($Y$6:$Y$1505,$A438-3),"")</f>
        <v/>
      </c>
      <c r="O438">
        <f>436</f>
        <v/>
      </c>
      <c r="P438">
        <f>IF(TRIM('입력_구리근무자명단'!$A436&amp;"")&lt;&gt;"",TRIM('입력_구리근무자명단'!$A436&amp;""),P437)</f>
        <v/>
      </c>
      <c r="Q438">
        <f>'입력_구리근무자명단'!$B436&amp;""</f>
        <v/>
      </c>
      <c r="R438">
        <f>IF($E$2="","",TRIM(INDEX('입력_구리근무자명단'!$A436:$ZZ436,1,$E$2+IF($G$2="확정",1,0))&amp;""))</f>
        <v/>
      </c>
      <c r="S438">
        <f>IF($R438="","",IF(INDEX('입력_구리근무자명단'!$A436:$ZZ436,1,$E$2+2)&amp;""="",급여기준월,IF(ISNUMBER(INDEX('입력_구리근무자명단'!$A436:$ZZ436,1,$E$2+2)),INDEX('입력_구리근무자명단'!$A436:$ZZ436,1,$E$2+2),IFERROR(DATE(VALUE(LEFT(INDEX('입력_구리근무자명단'!$A436:$ZZ436,1,$E$2+2),4)),VALUE(MID(INDEX('입력_구리근무자명단'!$A436:$ZZ436,1,$E$2+2),6,2)),VALUE(MID(INDEX('입력_구리근무자명단'!$A436:$ZZ436,1,$E$2+2),9,2))),-1))))</f>
        <v/>
      </c>
      <c r="T438">
        <f>IF($R438="","",IF(INDEX('입력_구리근무자명단'!$A436:$ZZ436,1,$E$2+3)&amp;""="",EOMONTH(급여기준월,0),IF(ISNUMBER(INDEX('입력_구리근무자명단'!$A436:$ZZ436,1,$E$2+3)),INDEX('입력_구리근무자명단'!$A436:$ZZ436,1,$E$2+3),IFERROR(DATE(VALUE(LEFT(INDEX('입력_구리근무자명단'!$A436:$ZZ436,1,$E$2+3),4)),VALUE(MID(INDEX('입력_구리근무자명단'!$A436:$ZZ436,1,$E$2+3),6,2)),VALUE(MID(INDEX('입력_구리근무자명단'!$A436:$ZZ436,1,$E$2+3),9,2))),-1))))</f>
        <v/>
      </c>
      <c r="U438">
        <f>IF($R438="","",IF(OR($S438&lt;0,$T438&lt;0),0,MAX(0,MIN($T438,EOMONTH(급여기준월,0))-MAX($S438,급여기준월)+1)))</f>
        <v/>
      </c>
      <c r="V438">
        <f>IF($R438="","",TRIM(INDEX('입력_구리근무자명단'!$A436:$ZZ436,1,$E$2+5)&amp;""))</f>
        <v/>
      </c>
      <c r="W438">
        <f>IF(ISNUMBER(SEARCH("구리독자",$V438)),"구리독자","")</f>
        <v/>
      </c>
      <c r="X438">
        <f>IF($R438="","",$R438&amp;"|"&amp;IF(OR($Q438="인턴",ISNUMBER(SEARCH("수련교육부",$P438))),"인턴",$P438))</f>
        <v/>
      </c>
      <c r="Y438">
        <f>IF($R438="","",IF(COUNTIF(명단표[이름|과],$X438)=1,"명단 일치",IF(AND(COUNTIF(명단표[이름|과],$X438)=0,COUNTIF(명단표[이름],$R438)=1),"명단 일치(이름만, 과 다름)",IF(COUNTIF(명단표[이름],$R438)=0,IF(COUNTIF(기본자료표[이름],$R438)&gt;0,"명단에 없음(기본자료에는 있음)","명단에 없음"),"동명이인 확인"))))</f>
        <v/>
      </c>
      <c r="Z438">
        <f>IF($R438="","",IF($S438&lt;0,"⚠"&amp;INDEX('입력_구리근무자명단'!$A436:$ZZ436,1,$E$2+2),TEXT($S438,"yyyy-mm-dd")))</f>
        <v/>
      </c>
      <c r="AA438">
        <f>IF($R438="","",IF($T438&lt;0,"⚠"&amp;INDEX('입력_구리근무자명단'!$A436:$ZZ436,1,$E$2+3),TEXT($T438,"yyyy-mm-dd")))</f>
        <v/>
      </c>
      <c r="AB438">
        <f>AB437+IF($R438="",0,1)</f>
        <v/>
      </c>
      <c r="AC438">
        <f>IF($R438="","",$AB438)</f>
        <v/>
      </c>
    </row>
    <row r="439">
      <c r="A439">
        <f>IFERROR(INDEX($O$6:$O$1505,MATCH(434,$AC$6:$AC$1505,0)),"")</f>
        <v/>
      </c>
      <c r="B439">
        <f>IF(ISNUMBER($A439),INDEX($P$6:$P$1505,$A439-3),"")</f>
        <v/>
      </c>
      <c r="C439">
        <f>IF(ISNUMBER($A439),INDEX($Q$6:$Q$1505,$A439-3),"")</f>
        <v/>
      </c>
      <c r="D439">
        <f>IF(ISNUMBER($A439),INDEX($R$6:$R$1505,$A439-3),"")</f>
        <v/>
      </c>
      <c r="E439">
        <f>IF(ISNUMBER($A439),$G$2,"")</f>
        <v/>
      </c>
      <c r="F439">
        <f>IF(ISNUMBER($A439),INDEX($Z$6:$Z$1505,$A439-3),"")</f>
        <v/>
      </c>
      <c r="G439">
        <f>IF(ISNUMBER($A439),INDEX($AA$6:$AA$1505,$A439-3),"")</f>
        <v/>
      </c>
      <c r="H439">
        <f>IF(ISNUMBER($A439),INDEX($U$6:$U$1505,$A439-3),"")</f>
        <v/>
      </c>
      <c r="I439">
        <f>IF(ISNUMBER($A439),INDEX($V$6:$V$1505,$A439-3),"")</f>
        <v/>
      </c>
      <c r="J439">
        <f>IF(ISNUMBER($A439),INDEX($W$6:$W$1505,$A439-3),"")</f>
        <v/>
      </c>
      <c r="K439">
        <f>IF(ISNUMBER($A439),INDEX($X$6:$X$1505,$A439-3),"")</f>
        <v/>
      </c>
      <c r="L439">
        <f>IF(ISNUMBER($A439),INDEX($Y$6:$Y$1505,$A439-3),"")</f>
        <v/>
      </c>
      <c r="O439">
        <f>437</f>
        <v/>
      </c>
      <c r="P439">
        <f>IF(TRIM('입력_구리근무자명단'!$A437&amp;"")&lt;&gt;"",TRIM('입력_구리근무자명단'!$A437&amp;""),P438)</f>
        <v/>
      </c>
      <c r="Q439">
        <f>'입력_구리근무자명단'!$B437&amp;""</f>
        <v/>
      </c>
      <c r="R439">
        <f>IF($E$2="","",TRIM(INDEX('입력_구리근무자명단'!$A437:$ZZ437,1,$E$2+IF($G$2="확정",1,0))&amp;""))</f>
        <v/>
      </c>
      <c r="S439">
        <f>IF($R439="","",IF(INDEX('입력_구리근무자명단'!$A437:$ZZ437,1,$E$2+2)&amp;""="",급여기준월,IF(ISNUMBER(INDEX('입력_구리근무자명단'!$A437:$ZZ437,1,$E$2+2)),INDEX('입력_구리근무자명단'!$A437:$ZZ437,1,$E$2+2),IFERROR(DATE(VALUE(LEFT(INDEX('입력_구리근무자명단'!$A437:$ZZ437,1,$E$2+2),4)),VALUE(MID(INDEX('입력_구리근무자명단'!$A437:$ZZ437,1,$E$2+2),6,2)),VALUE(MID(INDEX('입력_구리근무자명단'!$A437:$ZZ437,1,$E$2+2),9,2))),-1))))</f>
        <v/>
      </c>
      <c r="T439">
        <f>IF($R439="","",IF(INDEX('입력_구리근무자명단'!$A437:$ZZ437,1,$E$2+3)&amp;""="",EOMONTH(급여기준월,0),IF(ISNUMBER(INDEX('입력_구리근무자명단'!$A437:$ZZ437,1,$E$2+3)),INDEX('입력_구리근무자명단'!$A437:$ZZ437,1,$E$2+3),IFERROR(DATE(VALUE(LEFT(INDEX('입력_구리근무자명단'!$A437:$ZZ437,1,$E$2+3),4)),VALUE(MID(INDEX('입력_구리근무자명단'!$A437:$ZZ437,1,$E$2+3),6,2)),VALUE(MID(INDEX('입력_구리근무자명단'!$A437:$ZZ437,1,$E$2+3),9,2))),-1))))</f>
        <v/>
      </c>
      <c r="U439">
        <f>IF($R439="","",IF(OR($S439&lt;0,$T439&lt;0),0,MAX(0,MIN($T439,EOMONTH(급여기준월,0))-MAX($S439,급여기준월)+1)))</f>
        <v/>
      </c>
      <c r="V439">
        <f>IF($R439="","",TRIM(INDEX('입력_구리근무자명단'!$A437:$ZZ437,1,$E$2+5)&amp;""))</f>
        <v/>
      </c>
      <c r="W439">
        <f>IF(ISNUMBER(SEARCH("구리독자",$V439)),"구리독자","")</f>
        <v/>
      </c>
      <c r="X439">
        <f>IF($R439="","",$R439&amp;"|"&amp;IF(OR($Q439="인턴",ISNUMBER(SEARCH("수련교육부",$P439))),"인턴",$P439))</f>
        <v/>
      </c>
      <c r="Y439">
        <f>IF($R439="","",IF(COUNTIF(명단표[이름|과],$X439)=1,"명단 일치",IF(AND(COUNTIF(명단표[이름|과],$X439)=0,COUNTIF(명단표[이름],$R439)=1),"명단 일치(이름만, 과 다름)",IF(COUNTIF(명단표[이름],$R439)=0,IF(COUNTIF(기본자료표[이름],$R439)&gt;0,"명단에 없음(기본자료에는 있음)","명단에 없음"),"동명이인 확인"))))</f>
        <v/>
      </c>
      <c r="Z439">
        <f>IF($R439="","",IF($S439&lt;0,"⚠"&amp;INDEX('입력_구리근무자명단'!$A437:$ZZ437,1,$E$2+2),TEXT($S439,"yyyy-mm-dd")))</f>
        <v/>
      </c>
      <c r="AA439">
        <f>IF($R439="","",IF($T439&lt;0,"⚠"&amp;INDEX('입력_구리근무자명단'!$A437:$ZZ437,1,$E$2+3),TEXT($T439,"yyyy-mm-dd")))</f>
        <v/>
      </c>
      <c r="AB439">
        <f>AB438+IF($R439="",0,1)</f>
        <v/>
      </c>
      <c r="AC439">
        <f>IF($R439="","",$AB439)</f>
        <v/>
      </c>
    </row>
    <row r="440">
      <c r="A440">
        <f>IFERROR(INDEX($O$6:$O$1505,MATCH(435,$AC$6:$AC$1505,0)),"")</f>
        <v/>
      </c>
      <c r="B440">
        <f>IF(ISNUMBER($A440),INDEX($P$6:$P$1505,$A440-3),"")</f>
        <v/>
      </c>
      <c r="C440">
        <f>IF(ISNUMBER($A440),INDEX($Q$6:$Q$1505,$A440-3),"")</f>
        <v/>
      </c>
      <c r="D440">
        <f>IF(ISNUMBER($A440),INDEX($R$6:$R$1505,$A440-3),"")</f>
        <v/>
      </c>
      <c r="E440">
        <f>IF(ISNUMBER($A440),$G$2,"")</f>
        <v/>
      </c>
      <c r="F440">
        <f>IF(ISNUMBER($A440),INDEX($Z$6:$Z$1505,$A440-3),"")</f>
        <v/>
      </c>
      <c r="G440">
        <f>IF(ISNUMBER($A440),INDEX($AA$6:$AA$1505,$A440-3),"")</f>
        <v/>
      </c>
      <c r="H440">
        <f>IF(ISNUMBER($A440),INDEX($U$6:$U$1505,$A440-3),"")</f>
        <v/>
      </c>
      <c r="I440">
        <f>IF(ISNUMBER($A440),INDEX($V$6:$V$1505,$A440-3),"")</f>
        <v/>
      </c>
      <c r="J440">
        <f>IF(ISNUMBER($A440),INDEX($W$6:$W$1505,$A440-3),"")</f>
        <v/>
      </c>
      <c r="K440">
        <f>IF(ISNUMBER($A440),INDEX($X$6:$X$1505,$A440-3),"")</f>
        <v/>
      </c>
      <c r="L440">
        <f>IF(ISNUMBER($A440),INDEX($Y$6:$Y$1505,$A440-3),"")</f>
        <v/>
      </c>
      <c r="O440">
        <f>438</f>
        <v/>
      </c>
      <c r="P440">
        <f>IF(TRIM('입력_구리근무자명단'!$A438&amp;"")&lt;&gt;"",TRIM('입력_구리근무자명단'!$A438&amp;""),P439)</f>
        <v/>
      </c>
      <c r="Q440">
        <f>'입력_구리근무자명단'!$B438&amp;""</f>
        <v/>
      </c>
      <c r="R440">
        <f>IF($E$2="","",TRIM(INDEX('입력_구리근무자명단'!$A438:$ZZ438,1,$E$2+IF($G$2="확정",1,0))&amp;""))</f>
        <v/>
      </c>
      <c r="S440">
        <f>IF($R440="","",IF(INDEX('입력_구리근무자명단'!$A438:$ZZ438,1,$E$2+2)&amp;""="",급여기준월,IF(ISNUMBER(INDEX('입력_구리근무자명단'!$A438:$ZZ438,1,$E$2+2)),INDEX('입력_구리근무자명단'!$A438:$ZZ438,1,$E$2+2),IFERROR(DATE(VALUE(LEFT(INDEX('입력_구리근무자명단'!$A438:$ZZ438,1,$E$2+2),4)),VALUE(MID(INDEX('입력_구리근무자명단'!$A438:$ZZ438,1,$E$2+2),6,2)),VALUE(MID(INDEX('입력_구리근무자명단'!$A438:$ZZ438,1,$E$2+2),9,2))),-1))))</f>
        <v/>
      </c>
      <c r="T440">
        <f>IF($R440="","",IF(INDEX('입력_구리근무자명단'!$A438:$ZZ438,1,$E$2+3)&amp;""="",EOMONTH(급여기준월,0),IF(ISNUMBER(INDEX('입력_구리근무자명단'!$A438:$ZZ438,1,$E$2+3)),INDEX('입력_구리근무자명단'!$A438:$ZZ438,1,$E$2+3),IFERROR(DATE(VALUE(LEFT(INDEX('입력_구리근무자명단'!$A438:$ZZ438,1,$E$2+3),4)),VALUE(MID(INDEX('입력_구리근무자명단'!$A438:$ZZ438,1,$E$2+3),6,2)),VALUE(MID(INDEX('입력_구리근무자명단'!$A438:$ZZ438,1,$E$2+3),9,2))),-1))))</f>
        <v/>
      </c>
      <c r="U440">
        <f>IF($R440="","",IF(OR($S440&lt;0,$T440&lt;0),0,MAX(0,MIN($T440,EOMONTH(급여기준월,0))-MAX($S440,급여기준월)+1)))</f>
        <v/>
      </c>
      <c r="V440">
        <f>IF($R440="","",TRIM(INDEX('입력_구리근무자명단'!$A438:$ZZ438,1,$E$2+5)&amp;""))</f>
        <v/>
      </c>
      <c r="W440">
        <f>IF(ISNUMBER(SEARCH("구리독자",$V440)),"구리독자","")</f>
        <v/>
      </c>
      <c r="X440">
        <f>IF($R440="","",$R440&amp;"|"&amp;IF(OR($Q440="인턴",ISNUMBER(SEARCH("수련교육부",$P440))),"인턴",$P440))</f>
        <v/>
      </c>
      <c r="Y440">
        <f>IF($R440="","",IF(COUNTIF(명단표[이름|과],$X440)=1,"명단 일치",IF(AND(COUNTIF(명단표[이름|과],$X440)=0,COUNTIF(명단표[이름],$R440)=1),"명단 일치(이름만, 과 다름)",IF(COUNTIF(명단표[이름],$R440)=0,IF(COUNTIF(기본자료표[이름],$R440)&gt;0,"명단에 없음(기본자료에는 있음)","명단에 없음"),"동명이인 확인"))))</f>
        <v/>
      </c>
      <c r="Z440">
        <f>IF($R440="","",IF($S440&lt;0,"⚠"&amp;INDEX('입력_구리근무자명단'!$A438:$ZZ438,1,$E$2+2),TEXT($S440,"yyyy-mm-dd")))</f>
        <v/>
      </c>
      <c r="AA440">
        <f>IF($R440="","",IF($T440&lt;0,"⚠"&amp;INDEX('입력_구리근무자명단'!$A438:$ZZ438,1,$E$2+3),TEXT($T440,"yyyy-mm-dd")))</f>
        <v/>
      </c>
      <c r="AB440">
        <f>AB439+IF($R440="",0,1)</f>
        <v/>
      </c>
      <c r="AC440">
        <f>IF($R440="","",$AB440)</f>
        <v/>
      </c>
    </row>
    <row r="441">
      <c r="A441">
        <f>IFERROR(INDEX($O$6:$O$1505,MATCH(436,$AC$6:$AC$1505,0)),"")</f>
        <v/>
      </c>
      <c r="B441">
        <f>IF(ISNUMBER($A441),INDEX($P$6:$P$1505,$A441-3),"")</f>
        <v/>
      </c>
      <c r="C441">
        <f>IF(ISNUMBER($A441),INDEX($Q$6:$Q$1505,$A441-3),"")</f>
        <v/>
      </c>
      <c r="D441">
        <f>IF(ISNUMBER($A441),INDEX($R$6:$R$1505,$A441-3),"")</f>
        <v/>
      </c>
      <c r="E441">
        <f>IF(ISNUMBER($A441),$G$2,"")</f>
        <v/>
      </c>
      <c r="F441">
        <f>IF(ISNUMBER($A441),INDEX($Z$6:$Z$1505,$A441-3),"")</f>
        <v/>
      </c>
      <c r="G441">
        <f>IF(ISNUMBER($A441),INDEX($AA$6:$AA$1505,$A441-3),"")</f>
        <v/>
      </c>
      <c r="H441">
        <f>IF(ISNUMBER($A441),INDEX($U$6:$U$1505,$A441-3),"")</f>
        <v/>
      </c>
      <c r="I441">
        <f>IF(ISNUMBER($A441),INDEX($V$6:$V$1505,$A441-3),"")</f>
        <v/>
      </c>
      <c r="J441">
        <f>IF(ISNUMBER($A441),INDEX($W$6:$W$1505,$A441-3),"")</f>
        <v/>
      </c>
      <c r="K441">
        <f>IF(ISNUMBER($A441),INDEX($X$6:$X$1505,$A441-3),"")</f>
        <v/>
      </c>
      <c r="L441">
        <f>IF(ISNUMBER($A441),INDEX($Y$6:$Y$1505,$A441-3),"")</f>
        <v/>
      </c>
      <c r="O441">
        <f>439</f>
        <v/>
      </c>
      <c r="P441">
        <f>IF(TRIM('입력_구리근무자명단'!$A439&amp;"")&lt;&gt;"",TRIM('입력_구리근무자명단'!$A439&amp;""),P440)</f>
        <v/>
      </c>
      <c r="Q441">
        <f>'입력_구리근무자명단'!$B439&amp;""</f>
        <v/>
      </c>
      <c r="R441">
        <f>IF($E$2="","",TRIM(INDEX('입력_구리근무자명단'!$A439:$ZZ439,1,$E$2+IF($G$2="확정",1,0))&amp;""))</f>
        <v/>
      </c>
      <c r="S441">
        <f>IF($R441="","",IF(INDEX('입력_구리근무자명단'!$A439:$ZZ439,1,$E$2+2)&amp;""="",급여기준월,IF(ISNUMBER(INDEX('입력_구리근무자명단'!$A439:$ZZ439,1,$E$2+2)),INDEX('입력_구리근무자명단'!$A439:$ZZ439,1,$E$2+2),IFERROR(DATE(VALUE(LEFT(INDEX('입력_구리근무자명단'!$A439:$ZZ439,1,$E$2+2),4)),VALUE(MID(INDEX('입력_구리근무자명단'!$A439:$ZZ439,1,$E$2+2),6,2)),VALUE(MID(INDEX('입력_구리근무자명단'!$A439:$ZZ439,1,$E$2+2),9,2))),-1))))</f>
        <v/>
      </c>
      <c r="T441">
        <f>IF($R441="","",IF(INDEX('입력_구리근무자명단'!$A439:$ZZ439,1,$E$2+3)&amp;""="",EOMONTH(급여기준월,0),IF(ISNUMBER(INDEX('입력_구리근무자명단'!$A439:$ZZ439,1,$E$2+3)),INDEX('입력_구리근무자명단'!$A439:$ZZ439,1,$E$2+3),IFERROR(DATE(VALUE(LEFT(INDEX('입력_구리근무자명단'!$A439:$ZZ439,1,$E$2+3),4)),VALUE(MID(INDEX('입력_구리근무자명단'!$A439:$ZZ439,1,$E$2+3),6,2)),VALUE(MID(INDEX('입력_구리근무자명단'!$A439:$ZZ439,1,$E$2+3),9,2))),-1))))</f>
        <v/>
      </c>
      <c r="U441">
        <f>IF($R441="","",IF(OR($S441&lt;0,$T441&lt;0),0,MAX(0,MIN($T441,EOMONTH(급여기준월,0))-MAX($S441,급여기준월)+1)))</f>
        <v/>
      </c>
      <c r="V441">
        <f>IF($R441="","",TRIM(INDEX('입력_구리근무자명단'!$A439:$ZZ439,1,$E$2+5)&amp;""))</f>
        <v/>
      </c>
      <c r="W441">
        <f>IF(ISNUMBER(SEARCH("구리독자",$V441)),"구리독자","")</f>
        <v/>
      </c>
      <c r="X441">
        <f>IF($R441="","",$R441&amp;"|"&amp;IF(OR($Q441="인턴",ISNUMBER(SEARCH("수련교육부",$P441))),"인턴",$P441))</f>
        <v/>
      </c>
      <c r="Y441">
        <f>IF($R441="","",IF(COUNTIF(명단표[이름|과],$X441)=1,"명단 일치",IF(AND(COUNTIF(명단표[이름|과],$X441)=0,COUNTIF(명단표[이름],$R441)=1),"명단 일치(이름만, 과 다름)",IF(COUNTIF(명단표[이름],$R441)=0,IF(COUNTIF(기본자료표[이름],$R441)&gt;0,"명단에 없음(기본자료에는 있음)","명단에 없음"),"동명이인 확인"))))</f>
        <v/>
      </c>
      <c r="Z441">
        <f>IF($R441="","",IF($S441&lt;0,"⚠"&amp;INDEX('입력_구리근무자명단'!$A439:$ZZ439,1,$E$2+2),TEXT($S441,"yyyy-mm-dd")))</f>
        <v/>
      </c>
      <c r="AA441">
        <f>IF($R441="","",IF($T441&lt;0,"⚠"&amp;INDEX('입력_구리근무자명단'!$A439:$ZZ439,1,$E$2+3),TEXT($T441,"yyyy-mm-dd")))</f>
        <v/>
      </c>
      <c r="AB441">
        <f>AB440+IF($R441="",0,1)</f>
        <v/>
      </c>
      <c r="AC441">
        <f>IF($R441="","",$AB441)</f>
        <v/>
      </c>
    </row>
    <row r="442">
      <c r="A442">
        <f>IFERROR(INDEX($O$6:$O$1505,MATCH(437,$AC$6:$AC$1505,0)),"")</f>
        <v/>
      </c>
      <c r="B442">
        <f>IF(ISNUMBER($A442),INDEX($P$6:$P$1505,$A442-3),"")</f>
        <v/>
      </c>
      <c r="C442">
        <f>IF(ISNUMBER($A442),INDEX($Q$6:$Q$1505,$A442-3),"")</f>
        <v/>
      </c>
      <c r="D442">
        <f>IF(ISNUMBER($A442),INDEX($R$6:$R$1505,$A442-3),"")</f>
        <v/>
      </c>
      <c r="E442">
        <f>IF(ISNUMBER($A442),$G$2,"")</f>
        <v/>
      </c>
      <c r="F442">
        <f>IF(ISNUMBER($A442),INDEX($Z$6:$Z$1505,$A442-3),"")</f>
        <v/>
      </c>
      <c r="G442">
        <f>IF(ISNUMBER($A442),INDEX($AA$6:$AA$1505,$A442-3),"")</f>
        <v/>
      </c>
      <c r="H442">
        <f>IF(ISNUMBER($A442),INDEX($U$6:$U$1505,$A442-3),"")</f>
        <v/>
      </c>
      <c r="I442">
        <f>IF(ISNUMBER($A442),INDEX($V$6:$V$1505,$A442-3),"")</f>
        <v/>
      </c>
      <c r="J442">
        <f>IF(ISNUMBER($A442),INDEX($W$6:$W$1505,$A442-3),"")</f>
        <v/>
      </c>
      <c r="K442">
        <f>IF(ISNUMBER($A442),INDEX($X$6:$X$1505,$A442-3),"")</f>
        <v/>
      </c>
      <c r="L442">
        <f>IF(ISNUMBER($A442),INDEX($Y$6:$Y$1505,$A442-3),"")</f>
        <v/>
      </c>
      <c r="O442">
        <f>440</f>
        <v/>
      </c>
      <c r="P442">
        <f>IF(TRIM('입력_구리근무자명단'!$A440&amp;"")&lt;&gt;"",TRIM('입력_구리근무자명단'!$A440&amp;""),P441)</f>
        <v/>
      </c>
      <c r="Q442">
        <f>'입력_구리근무자명단'!$B440&amp;""</f>
        <v/>
      </c>
      <c r="R442">
        <f>IF($E$2="","",TRIM(INDEX('입력_구리근무자명단'!$A440:$ZZ440,1,$E$2+IF($G$2="확정",1,0))&amp;""))</f>
        <v/>
      </c>
      <c r="S442">
        <f>IF($R442="","",IF(INDEX('입력_구리근무자명단'!$A440:$ZZ440,1,$E$2+2)&amp;""="",급여기준월,IF(ISNUMBER(INDEX('입력_구리근무자명단'!$A440:$ZZ440,1,$E$2+2)),INDEX('입력_구리근무자명단'!$A440:$ZZ440,1,$E$2+2),IFERROR(DATE(VALUE(LEFT(INDEX('입력_구리근무자명단'!$A440:$ZZ440,1,$E$2+2),4)),VALUE(MID(INDEX('입력_구리근무자명단'!$A440:$ZZ440,1,$E$2+2),6,2)),VALUE(MID(INDEX('입력_구리근무자명단'!$A440:$ZZ440,1,$E$2+2),9,2))),-1))))</f>
        <v/>
      </c>
      <c r="T442">
        <f>IF($R442="","",IF(INDEX('입력_구리근무자명단'!$A440:$ZZ440,1,$E$2+3)&amp;""="",EOMONTH(급여기준월,0),IF(ISNUMBER(INDEX('입력_구리근무자명단'!$A440:$ZZ440,1,$E$2+3)),INDEX('입력_구리근무자명단'!$A440:$ZZ440,1,$E$2+3),IFERROR(DATE(VALUE(LEFT(INDEX('입력_구리근무자명단'!$A440:$ZZ440,1,$E$2+3),4)),VALUE(MID(INDEX('입력_구리근무자명단'!$A440:$ZZ440,1,$E$2+3),6,2)),VALUE(MID(INDEX('입력_구리근무자명단'!$A440:$ZZ440,1,$E$2+3),9,2))),-1))))</f>
        <v/>
      </c>
      <c r="U442">
        <f>IF($R442="","",IF(OR($S442&lt;0,$T442&lt;0),0,MAX(0,MIN($T442,EOMONTH(급여기준월,0))-MAX($S442,급여기준월)+1)))</f>
        <v/>
      </c>
      <c r="V442">
        <f>IF($R442="","",TRIM(INDEX('입력_구리근무자명단'!$A440:$ZZ440,1,$E$2+5)&amp;""))</f>
        <v/>
      </c>
      <c r="W442">
        <f>IF(ISNUMBER(SEARCH("구리독자",$V442)),"구리독자","")</f>
        <v/>
      </c>
      <c r="X442">
        <f>IF($R442="","",$R442&amp;"|"&amp;IF(OR($Q442="인턴",ISNUMBER(SEARCH("수련교육부",$P442))),"인턴",$P442))</f>
        <v/>
      </c>
      <c r="Y442">
        <f>IF($R442="","",IF(COUNTIF(명단표[이름|과],$X442)=1,"명단 일치",IF(AND(COUNTIF(명단표[이름|과],$X442)=0,COUNTIF(명단표[이름],$R442)=1),"명단 일치(이름만, 과 다름)",IF(COUNTIF(명단표[이름],$R442)=0,IF(COUNTIF(기본자료표[이름],$R442)&gt;0,"명단에 없음(기본자료에는 있음)","명단에 없음"),"동명이인 확인"))))</f>
        <v/>
      </c>
      <c r="Z442">
        <f>IF($R442="","",IF($S442&lt;0,"⚠"&amp;INDEX('입력_구리근무자명단'!$A440:$ZZ440,1,$E$2+2),TEXT($S442,"yyyy-mm-dd")))</f>
        <v/>
      </c>
      <c r="AA442">
        <f>IF($R442="","",IF($T442&lt;0,"⚠"&amp;INDEX('입력_구리근무자명단'!$A440:$ZZ440,1,$E$2+3),TEXT($T442,"yyyy-mm-dd")))</f>
        <v/>
      </c>
      <c r="AB442">
        <f>AB441+IF($R442="",0,1)</f>
        <v/>
      </c>
      <c r="AC442">
        <f>IF($R442="","",$AB442)</f>
        <v/>
      </c>
    </row>
    <row r="443">
      <c r="A443">
        <f>IFERROR(INDEX($O$6:$O$1505,MATCH(438,$AC$6:$AC$1505,0)),"")</f>
        <v/>
      </c>
      <c r="B443">
        <f>IF(ISNUMBER($A443),INDEX($P$6:$P$1505,$A443-3),"")</f>
        <v/>
      </c>
      <c r="C443">
        <f>IF(ISNUMBER($A443),INDEX($Q$6:$Q$1505,$A443-3),"")</f>
        <v/>
      </c>
      <c r="D443">
        <f>IF(ISNUMBER($A443),INDEX($R$6:$R$1505,$A443-3),"")</f>
        <v/>
      </c>
      <c r="E443">
        <f>IF(ISNUMBER($A443),$G$2,"")</f>
        <v/>
      </c>
      <c r="F443">
        <f>IF(ISNUMBER($A443),INDEX($Z$6:$Z$1505,$A443-3),"")</f>
        <v/>
      </c>
      <c r="G443">
        <f>IF(ISNUMBER($A443),INDEX($AA$6:$AA$1505,$A443-3),"")</f>
        <v/>
      </c>
      <c r="H443">
        <f>IF(ISNUMBER($A443),INDEX($U$6:$U$1505,$A443-3),"")</f>
        <v/>
      </c>
      <c r="I443">
        <f>IF(ISNUMBER($A443),INDEX($V$6:$V$1505,$A443-3),"")</f>
        <v/>
      </c>
      <c r="J443">
        <f>IF(ISNUMBER($A443),INDEX($W$6:$W$1505,$A443-3),"")</f>
        <v/>
      </c>
      <c r="K443">
        <f>IF(ISNUMBER($A443),INDEX($X$6:$X$1505,$A443-3),"")</f>
        <v/>
      </c>
      <c r="L443">
        <f>IF(ISNUMBER($A443),INDEX($Y$6:$Y$1505,$A443-3),"")</f>
        <v/>
      </c>
      <c r="O443">
        <f>441</f>
        <v/>
      </c>
      <c r="P443">
        <f>IF(TRIM('입력_구리근무자명단'!$A441&amp;"")&lt;&gt;"",TRIM('입력_구리근무자명단'!$A441&amp;""),P442)</f>
        <v/>
      </c>
      <c r="Q443">
        <f>'입력_구리근무자명단'!$B441&amp;""</f>
        <v/>
      </c>
      <c r="R443">
        <f>IF($E$2="","",TRIM(INDEX('입력_구리근무자명단'!$A441:$ZZ441,1,$E$2+IF($G$2="확정",1,0))&amp;""))</f>
        <v/>
      </c>
      <c r="S443">
        <f>IF($R443="","",IF(INDEX('입력_구리근무자명단'!$A441:$ZZ441,1,$E$2+2)&amp;""="",급여기준월,IF(ISNUMBER(INDEX('입력_구리근무자명단'!$A441:$ZZ441,1,$E$2+2)),INDEX('입력_구리근무자명단'!$A441:$ZZ441,1,$E$2+2),IFERROR(DATE(VALUE(LEFT(INDEX('입력_구리근무자명단'!$A441:$ZZ441,1,$E$2+2),4)),VALUE(MID(INDEX('입력_구리근무자명단'!$A441:$ZZ441,1,$E$2+2),6,2)),VALUE(MID(INDEX('입력_구리근무자명단'!$A441:$ZZ441,1,$E$2+2),9,2))),-1))))</f>
        <v/>
      </c>
      <c r="T443">
        <f>IF($R443="","",IF(INDEX('입력_구리근무자명단'!$A441:$ZZ441,1,$E$2+3)&amp;""="",EOMONTH(급여기준월,0),IF(ISNUMBER(INDEX('입력_구리근무자명단'!$A441:$ZZ441,1,$E$2+3)),INDEX('입력_구리근무자명단'!$A441:$ZZ441,1,$E$2+3),IFERROR(DATE(VALUE(LEFT(INDEX('입력_구리근무자명단'!$A441:$ZZ441,1,$E$2+3),4)),VALUE(MID(INDEX('입력_구리근무자명단'!$A441:$ZZ441,1,$E$2+3),6,2)),VALUE(MID(INDEX('입력_구리근무자명단'!$A441:$ZZ441,1,$E$2+3),9,2))),-1))))</f>
        <v/>
      </c>
      <c r="U443">
        <f>IF($R443="","",IF(OR($S443&lt;0,$T443&lt;0),0,MAX(0,MIN($T443,EOMONTH(급여기준월,0))-MAX($S443,급여기준월)+1)))</f>
        <v/>
      </c>
      <c r="V443">
        <f>IF($R443="","",TRIM(INDEX('입력_구리근무자명단'!$A441:$ZZ441,1,$E$2+5)&amp;""))</f>
        <v/>
      </c>
      <c r="W443">
        <f>IF(ISNUMBER(SEARCH("구리독자",$V443)),"구리독자","")</f>
        <v/>
      </c>
      <c r="X443">
        <f>IF($R443="","",$R443&amp;"|"&amp;IF(OR($Q443="인턴",ISNUMBER(SEARCH("수련교육부",$P443))),"인턴",$P443))</f>
        <v/>
      </c>
      <c r="Y443">
        <f>IF($R443="","",IF(COUNTIF(명단표[이름|과],$X443)=1,"명단 일치",IF(AND(COUNTIF(명단표[이름|과],$X443)=0,COUNTIF(명단표[이름],$R443)=1),"명단 일치(이름만, 과 다름)",IF(COUNTIF(명단표[이름],$R443)=0,IF(COUNTIF(기본자료표[이름],$R443)&gt;0,"명단에 없음(기본자료에는 있음)","명단에 없음"),"동명이인 확인"))))</f>
        <v/>
      </c>
      <c r="Z443">
        <f>IF($R443="","",IF($S443&lt;0,"⚠"&amp;INDEX('입력_구리근무자명단'!$A441:$ZZ441,1,$E$2+2),TEXT($S443,"yyyy-mm-dd")))</f>
        <v/>
      </c>
      <c r="AA443">
        <f>IF($R443="","",IF($T443&lt;0,"⚠"&amp;INDEX('입력_구리근무자명단'!$A441:$ZZ441,1,$E$2+3),TEXT($T443,"yyyy-mm-dd")))</f>
        <v/>
      </c>
      <c r="AB443">
        <f>AB442+IF($R443="",0,1)</f>
        <v/>
      </c>
      <c r="AC443">
        <f>IF($R443="","",$AB443)</f>
        <v/>
      </c>
    </row>
    <row r="444">
      <c r="A444">
        <f>IFERROR(INDEX($O$6:$O$1505,MATCH(439,$AC$6:$AC$1505,0)),"")</f>
        <v/>
      </c>
      <c r="B444">
        <f>IF(ISNUMBER($A444),INDEX($P$6:$P$1505,$A444-3),"")</f>
        <v/>
      </c>
      <c r="C444">
        <f>IF(ISNUMBER($A444),INDEX($Q$6:$Q$1505,$A444-3),"")</f>
        <v/>
      </c>
      <c r="D444">
        <f>IF(ISNUMBER($A444),INDEX($R$6:$R$1505,$A444-3),"")</f>
        <v/>
      </c>
      <c r="E444">
        <f>IF(ISNUMBER($A444),$G$2,"")</f>
        <v/>
      </c>
      <c r="F444">
        <f>IF(ISNUMBER($A444),INDEX($Z$6:$Z$1505,$A444-3),"")</f>
        <v/>
      </c>
      <c r="G444">
        <f>IF(ISNUMBER($A444),INDEX($AA$6:$AA$1505,$A444-3),"")</f>
        <v/>
      </c>
      <c r="H444">
        <f>IF(ISNUMBER($A444),INDEX($U$6:$U$1505,$A444-3),"")</f>
        <v/>
      </c>
      <c r="I444">
        <f>IF(ISNUMBER($A444),INDEX($V$6:$V$1505,$A444-3),"")</f>
        <v/>
      </c>
      <c r="J444">
        <f>IF(ISNUMBER($A444),INDEX($W$6:$W$1505,$A444-3),"")</f>
        <v/>
      </c>
      <c r="K444">
        <f>IF(ISNUMBER($A444),INDEX($X$6:$X$1505,$A444-3),"")</f>
        <v/>
      </c>
      <c r="L444">
        <f>IF(ISNUMBER($A444),INDEX($Y$6:$Y$1505,$A444-3),"")</f>
        <v/>
      </c>
      <c r="O444">
        <f>442</f>
        <v/>
      </c>
      <c r="P444">
        <f>IF(TRIM('입력_구리근무자명단'!$A442&amp;"")&lt;&gt;"",TRIM('입력_구리근무자명단'!$A442&amp;""),P443)</f>
        <v/>
      </c>
      <c r="Q444">
        <f>'입력_구리근무자명단'!$B442&amp;""</f>
        <v/>
      </c>
      <c r="R444">
        <f>IF($E$2="","",TRIM(INDEX('입력_구리근무자명단'!$A442:$ZZ442,1,$E$2+IF($G$2="확정",1,0))&amp;""))</f>
        <v/>
      </c>
      <c r="S444">
        <f>IF($R444="","",IF(INDEX('입력_구리근무자명단'!$A442:$ZZ442,1,$E$2+2)&amp;""="",급여기준월,IF(ISNUMBER(INDEX('입력_구리근무자명단'!$A442:$ZZ442,1,$E$2+2)),INDEX('입력_구리근무자명단'!$A442:$ZZ442,1,$E$2+2),IFERROR(DATE(VALUE(LEFT(INDEX('입력_구리근무자명단'!$A442:$ZZ442,1,$E$2+2),4)),VALUE(MID(INDEX('입력_구리근무자명단'!$A442:$ZZ442,1,$E$2+2),6,2)),VALUE(MID(INDEX('입력_구리근무자명단'!$A442:$ZZ442,1,$E$2+2),9,2))),-1))))</f>
        <v/>
      </c>
      <c r="T444">
        <f>IF($R444="","",IF(INDEX('입력_구리근무자명단'!$A442:$ZZ442,1,$E$2+3)&amp;""="",EOMONTH(급여기준월,0),IF(ISNUMBER(INDEX('입력_구리근무자명단'!$A442:$ZZ442,1,$E$2+3)),INDEX('입력_구리근무자명단'!$A442:$ZZ442,1,$E$2+3),IFERROR(DATE(VALUE(LEFT(INDEX('입력_구리근무자명단'!$A442:$ZZ442,1,$E$2+3),4)),VALUE(MID(INDEX('입력_구리근무자명단'!$A442:$ZZ442,1,$E$2+3),6,2)),VALUE(MID(INDEX('입력_구리근무자명단'!$A442:$ZZ442,1,$E$2+3),9,2))),-1))))</f>
        <v/>
      </c>
      <c r="U444">
        <f>IF($R444="","",IF(OR($S444&lt;0,$T444&lt;0),0,MAX(0,MIN($T444,EOMONTH(급여기준월,0))-MAX($S444,급여기준월)+1)))</f>
        <v/>
      </c>
      <c r="V444">
        <f>IF($R444="","",TRIM(INDEX('입력_구리근무자명단'!$A442:$ZZ442,1,$E$2+5)&amp;""))</f>
        <v/>
      </c>
      <c r="W444">
        <f>IF(ISNUMBER(SEARCH("구리독자",$V444)),"구리독자","")</f>
        <v/>
      </c>
      <c r="X444">
        <f>IF($R444="","",$R444&amp;"|"&amp;IF(OR($Q444="인턴",ISNUMBER(SEARCH("수련교육부",$P444))),"인턴",$P444))</f>
        <v/>
      </c>
      <c r="Y444">
        <f>IF($R444="","",IF(COUNTIF(명단표[이름|과],$X444)=1,"명단 일치",IF(AND(COUNTIF(명단표[이름|과],$X444)=0,COUNTIF(명단표[이름],$R444)=1),"명단 일치(이름만, 과 다름)",IF(COUNTIF(명단표[이름],$R444)=0,IF(COUNTIF(기본자료표[이름],$R444)&gt;0,"명단에 없음(기본자료에는 있음)","명단에 없음"),"동명이인 확인"))))</f>
        <v/>
      </c>
      <c r="Z444">
        <f>IF($R444="","",IF($S444&lt;0,"⚠"&amp;INDEX('입력_구리근무자명단'!$A442:$ZZ442,1,$E$2+2),TEXT($S444,"yyyy-mm-dd")))</f>
        <v/>
      </c>
      <c r="AA444">
        <f>IF($R444="","",IF($T444&lt;0,"⚠"&amp;INDEX('입력_구리근무자명단'!$A442:$ZZ442,1,$E$2+3),TEXT($T444,"yyyy-mm-dd")))</f>
        <v/>
      </c>
      <c r="AB444">
        <f>AB443+IF($R444="",0,1)</f>
        <v/>
      </c>
      <c r="AC444">
        <f>IF($R444="","",$AB444)</f>
        <v/>
      </c>
    </row>
    <row r="445">
      <c r="A445">
        <f>IFERROR(INDEX($O$6:$O$1505,MATCH(440,$AC$6:$AC$1505,0)),"")</f>
        <v/>
      </c>
      <c r="B445">
        <f>IF(ISNUMBER($A445),INDEX($P$6:$P$1505,$A445-3),"")</f>
        <v/>
      </c>
      <c r="C445">
        <f>IF(ISNUMBER($A445),INDEX($Q$6:$Q$1505,$A445-3),"")</f>
        <v/>
      </c>
      <c r="D445">
        <f>IF(ISNUMBER($A445),INDEX($R$6:$R$1505,$A445-3),"")</f>
        <v/>
      </c>
      <c r="E445">
        <f>IF(ISNUMBER($A445),$G$2,"")</f>
        <v/>
      </c>
      <c r="F445">
        <f>IF(ISNUMBER($A445),INDEX($Z$6:$Z$1505,$A445-3),"")</f>
        <v/>
      </c>
      <c r="G445">
        <f>IF(ISNUMBER($A445),INDEX($AA$6:$AA$1505,$A445-3),"")</f>
        <v/>
      </c>
      <c r="H445">
        <f>IF(ISNUMBER($A445),INDEX($U$6:$U$1505,$A445-3),"")</f>
        <v/>
      </c>
      <c r="I445">
        <f>IF(ISNUMBER($A445),INDEX($V$6:$V$1505,$A445-3),"")</f>
        <v/>
      </c>
      <c r="J445">
        <f>IF(ISNUMBER($A445),INDEX($W$6:$W$1505,$A445-3),"")</f>
        <v/>
      </c>
      <c r="K445">
        <f>IF(ISNUMBER($A445),INDEX($X$6:$X$1505,$A445-3),"")</f>
        <v/>
      </c>
      <c r="L445">
        <f>IF(ISNUMBER($A445),INDEX($Y$6:$Y$1505,$A445-3),"")</f>
        <v/>
      </c>
      <c r="O445">
        <f>443</f>
        <v/>
      </c>
      <c r="P445">
        <f>IF(TRIM('입력_구리근무자명단'!$A443&amp;"")&lt;&gt;"",TRIM('입력_구리근무자명단'!$A443&amp;""),P444)</f>
        <v/>
      </c>
      <c r="Q445">
        <f>'입력_구리근무자명단'!$B443&amp;""</f>
        <v/>
      </c>
      <c r="R445">
        <f>IF($E$2="","",TRIM(INDEX('입력_구리근무자명단'!$A443:$ZZ443,1,$E$2+IF($G$2="확정",1,0))&amp;""))</f>
        <v/>
      </c>
      <c r="S445">
        <f>IF($R445="","",IF(INDEX('입력_구리근무자명단'!$A443:$ZZ443,1,$E$2+2)&amp;""="",급여기준월,IF(ISNUMBER(INDEX('입력_구리근무자명단'!$A443:$ZZ443,1,$E$2+2)),INDEX('입력_구리근무자명단'!$A443:$ZZ443,1,$E$2+2),IFERROR(DATE(VALUE(LEFT(INDEX('입력_구리근무자명단'!$A443:$ZZ443,1,$E$2+2),4)),VALUE(MID(INDEX('입력_구리근무자명단'!$A443:$ZZ443,1,$E$2+2),6,2)),VALUE(MID(INDEX('입력_구리근무자명단'!$A443:$ZZ443,1,$E$2+2),9,2))),-1))))</f>
        <v/>
      </c>
      <c r="T445">
        <f>IF($R445="","",IF(INDEX('입력_구리근무자명단'!$A443:$ZZ443,1,$E$2+3)&amp;""="",EOMONTH(급여기준월,0),IF(ISNUMBER(INDEX('입력_구리근무자명단'!$A443:$ZZ443,1,$E$2+3)),INDEX('입력_구리근무자명단'!$A443:$ZZ443,1,$E$2+3),IFERROR(DATE(VALUE(LEFT(INDEX('입력_구리근무자명단'!$A443:$ZZ443,1,$E$2+3),4)),VALUE(MID(INDEX('입력_구리근무자명단'!$A443:$ZZ443,1,$E$2+3),6,2)),VALUE(MID(INDEX('입력_구리근무자명단'!$A443:$ZZ443,1,$E$2+3),9,2))),-1))))</f>
        <v/>
      </c>
      <c r="U445">
        <f>IF($R445="","",IF(OR($S445&lt;0,$T445&lt;0),0,MAX(0,MIN($T445,EOMONTH(급여기준월,0))-MAX($S445,급여기준월)+1)))</f>
        <v/>
      </c>
      <c r="V445">
        <f>IF($R445="","",TRIM(INDEX('입력_구리근무자명단'!$A443:$ZZ443,1,$E$2+5)&amp;""))</f>
        <v/>
      </c>
      <c r="W445">
        <f>IF(ISNUMBER(SEARCH("구리독자",$V445)),"구리독자","")</f>
        <v/>
      </c>
      <c r="X445">
        <f>IF($R445="","",$R445&amp;"|"&amp;IF(OR($Q445="인턴",ISNUMBER(SEARCH("수련교육부",$P445))),"인턴",$P445))</f>
        <v/>
      </c>
      <c r="Y445">
        <f>IF($R445="","",IF(COUNTIF(명단표[이름|과],$X445)=1,"명단 일치",IF(AND(COUNTIF(명단표[이름|과],$X445)=0,COUNTIF(명단표[이름],$R445)=1),"명단 일치(이름만, 과 다름)",IF(COUNTIF(명단표[이름],$R445)=0,IF(COUNTIF(기본자료표[이름],$R445)&gt;0,"명단에 없음(기본자료에는 있음)","명단에 없음"),"동명이인 확인"))))</f>
        <v/>
      </c>
      <c r="Z445">
        <f>IF($R445="","",IF($S445&lt;0,"⚠"&amp;INDEX('입력_구리근무자명단'!$A443:$ZZ443,1,$E$2+2),TEXT($S445,"yyyy-mm-dd")))</f>
        <v/>
      </c>
      <c r="AA445">
        <f>IF($R445="","",IF($T445&lt;0,"⚠"&amp;INDEX('입력_구리근무자명단'!$A443:$ZZ443,1,$E$2+3),TEXT($T445,"yyyy-mm-dd")))</f>
        <v/>
      </c>
      <c r="AB445">
        <f>AB444+IF($R445="",0,1)</f>
        <v/>
      </c>
      <c r="AC445">
        <f>IF($R445="","",$AB445)</f>
        <v/>
      </c>
    </row>
    <row r="446">
      <c r="A446">
        <f>IFERROR(INDEX($O$6:$O$1505,MATCH(441,$AC$6:$AC$1505,0)),"")</f>
        <v/>
      </c>
      <c r="B446">
        <f>IF(ISNUMBER($A446),INDEX($P$6:$P$1505,$A446-3),"")</f>
        <v/>
      </c>
      <c r="C446">
        <f>IF(ISNUMBER($A446),INDEX($Q$6:$Q$1505,$A446-3),"")</f>
        <v/>
      </c>
      <c r="D446">
        <f>IF(ISNUMBER($A446),INDEX($R$6:$R$1505,$A446-3),"")</f>
        <v/>
      </c>
      <c r="E446">
        <f>IF(ISNUMBER($A446),$G$2,"")</f>
        <v/>
      </c>
      <c r="F446">
        <f>IF(ISNUMBER($A446),INDEX($Z$6:$Z$1505,$A446-3),"")</f>
        <v/>
      </c>
      <c r="G446">
        <f>IF(ISNUMBER($A446),INDEX($AA$6:$AA$1505,$A446-3),"")</f>
        <v/>
      </c>
      <c r="H446">
        <f>IF(ISNUMBER($A446),INDEX($U$6:$U$1505,$A446-3),"")</f>
        <v/>
      </c>
      <c r="I446">
        <f>IF(ISNUMBER($A446),INDEX($V$6:$V$1505,$A446-3),"")</f>
        <v/>
      </c>
      <c r="J446">
        <f>IF(ISNUMBER($A446),INDEX($W$6:$W$1505,$A446-3),"")</f>
        <v/>
      </c>
      <c r="K446">
        <f>IF(ISNUMBER($A446),INDEX($X$6:$X$1505,$A446-3),"")</f>
        <v/>
      </c>
      <c r="L446">
        <f>IF(ISNUMBER($A446),INDEX($Y$6:$Y$1505,$A446-3),"")</f>
        <v/>
      </c>
      <c r="O446">
        <f>444</f>
        <v/>
      </c>
      <c r="P446">
        <f>IF(TRIM('입력_구리근무자명단'!$A444&amp;"")&lt;&gt;"",TRIM('입력_구리근무자명단'!$A444&amp;""),P445)</f>
        <v/>
      </c>
      <c r="Q446">
        <f>'입력_구리근무자명단'!$B444&amp;""</f>
        <v/>
      </c>
      <c r="R446">
        <f>IF($E$2="","",TRIM(INDEX('입력_구리근무자명단'!$A444:$ZZ444,1,$E$2+IF($G$2="확정",1,0))&amp;""))</f>
        <v/>
      </c>
      <c r="S446">
        <f>IF($R446="","",IF(INDEX('입력_구리근무자명단'!$A444:$ZZ444,1,$E$2+2)&amp;""="",급여기준월,IF(ISNUMBER(INDEX('입력_구리근무자명단'!$A444:$ZZ444,1,$E$2+2)),INDEX('입력_구리근무자명단'!$A444:$ZZ444,1,$E$2+2),IFERROR(DATE(VALUE(LEFT(INDEX('입력_구리근무자명단'!$A444:$ZZ444,1,$E$2+2),4)),VALUE(MID(INDEX('입력_구리근무자명단'!$A444:$ZZ444,1,$E$2+2),6,2)),VALUE(MID(INDEX('입력_구리근무자명단'!$A444:$ZZ444,1,$E$2+2),9,2))),-1))))</f>
        <v/>
      </c>
      <c r="T446">
        <f>IF($R446="","",IF(INDEX('입력_구리근무자명단'!$A444:$ZZ444,1,$E$2+3)&amp;""="",EOMONTH(급여기준월,0),IF(ISNUMBER(INDEX('입력_구리근무자명단'!$A444:$ZZ444,1,$E$2+3)),INDEX('입력_구리근무자명단'!$A444:$ZZ444,1,$E$2+3),IFERROR(DATE(VALUE(LEFT(INDEX('입력_구리근무자명단'!$A444:$ZZ444,1,$E$2+3),4)),VALUE(MID(INDEX('입력_구리근무자명단'!$A444:$ZZ444,1,$E$2+3),6,2)),VALUE(MID(INDEX('입력_구리근무자명단'!$A444:$ZZ444,1,$E$2+3),9,2))),-1))))</f>
        <v/>
      </c>
      <c r="U446">
        <f>IF($R446="","",IF(OR($S446&lt;0,$T446&lt;0),0,MAX(0,MIN($T446,EOMONTH(급여기준월,0))-MAX($S446,급여기준월)+1)))</f>
        <v/>
      </c>
      <c r="V446">
        <f>IF($R446="","",TRIM(INDEX('입력_구리근무자명단'!$A444:$ZZ444,1,$E$2+5)&amp;""))</f>
        <v/>
      </c>
      <c r="W446">
        <f>IF(ISNUMBER(SEARCH("구리독자",$V446)),"구리독자","")</f>
        <v/>
      </c>
      <c r="X446">
        <f>IF($R446="","",$R446&amp;"|"&amp;IF(OR($Q446="인턴",ISNUMBER(SEARCH("수련교육부",$P446))),"인턴",$P446))</f>
        <v/>
      </c>
      <c r="Y446">
        <f>IF($R446="","",IF(COUNTIF(명단표[이름|과],$X446)=1,"명단 일치",IF(AND(COUNTIF(명단표[이름|과],$X446)=0,COUNTIF(명단표[이름],$R446)=1),"명단 일치(이름만, 과 다름)",IF(COUNTIF(명단표[이름],$R446)=0,IF(COUNTIF(기본자료표[이름],$R446)&gt;0,"명단에 없음(기본자료에는 있음)","명단에 없음"),"동명이인 확인"))))</f>
        <v/>
      </c>
      <c r="Z446">
        <f>IF($R446="","",IF($S446&lt;0,"⚠"&amp;INDEX('입력_구리근무자명단'!$A444:$ZZ444,1,$E$2+2),TEXT($S446,"yyyy-mm-dd")))</f>
        <v/>
      </c>
      <c r="AA446">
        <f>IF($R446="","",IF($T446&lt;0,"⚠"&amp;INDEX('입력_구리근무자명단'!$A444:$ZZ444,1,$E$2+3),TEXT($T446,"yyyy-mm-dd")))</f>
        <v/>
      </c>
      <c r="AB446">
        <f>AB445+IF($R446="",0,1)</f>
        <v/>
      </c>
      <c r="AC446">
        <f>IF($R446="","",$AB446)</f>
        <v/>
      </c>
    </row>
    <row r="447">
      <c r="A447">
        <f>IFERROR(INDEX($O$6:$O$1505,MATCH(442,$AC$6:$AC$1505,0)),"")</f>
        <v/>
      </c>
      <c r="B447">
        <f>IF(ISNUMBER($A447),INDEX($P$6:$P$1505,$A447-3),"")</f>
        <v/>
      </c>
      <c r="C447">
        <f>IF(ISNUMBER($A447),INDEX($Q$6:$Q$1505,$A447-3),"")</f>
        <v/>
      </c>
      <c r="D447">
        <f>IF(ISNUMBER($A447),INDEX($R$6:$R$1505,$A447-3),"")</f>
        <v/>
      </c>
      <c r="E447">
        <f>IF(ISNUMBER($A447),$G$2,"")</f>
        <v/>
      </c>
      <c r="F447">
        <f>IF(ISNUMBER($A447),INDEX($Z$6:$Z$1505,$A447-3),"")</f>
        <v/>
      </c>
      <c r="G447">
        <f>IF(ISNUMBER($A447),INDEX($AA$6:$AA$1505,$A447-3),"")</f>
        <v/>
      </c>
      <c r="H447">
        <f>IF(ISNUMBER($A447),INDEX($U$6:$U$1505,$A447-3),"")</f>
        <v/>
      </c>
      <c r="I447">
        <f>IF(ISNUMBER($A447),INDEX($V$6:$V$1505,$A447-3),"")</f>
        <v/>
      </c>
      <c r="J447">
        <f>IF(ISNUMBER($A447),INDEX($W$6:$W$1505,$A447-3),"")</f>
        <v/>
      </c>
      <c r="K447">
        <f>IF(ISNUMBER($A447),INDEX($X$6:$X$1505,$A447-3),"")</f>
        <v/>
      </c>
      <c r="L447">
        <f>IF(ISNUMBER($A447),INDEX($Y$6:$Y$1505,$A447-3),"")</f>
        <v/>
      </c>
      <c r="O447">
        <f>445</f>
        <v/>
      </c>
      <c r="P447">
        <f>IF(TRIM('입력_구리근무자명단'!$A445&amp;"")&lt;&gt;"",TRIM('입력_구리근무자명단'!$A445&amp;""),P446)</f>
        <v/>
      </c>
      <c r="Q447">
        <f>'입력_구리근무자명단'!$B445&amp;""</f>
        <v/>
      </c>
      <c r="R447">
        <f>IF($E$2="","",TRIM(INDEX('입력_구리근무자명단'!$A445:$ZZ445,1,$E$2+IF($G$2="확정",1,0))&amp;""))</f>
        <v/>
      </c>
      <c r="S447">
        <f>IF($R447="","",IF(INDEX('입력_구리근무자명단'!$A445:$ZZ445,1,$E$2+2)&amp;""="",급여기준월,IF(ISNUMBER(INDEX('입력_구리근무자명단'!$A445:$ZZ445,1,$E$2+2)),INDEX('입력_구리근무자명단'!$A445:$ZZ445,1,$E$2+2),IFERROR(DATE(VALUE(LEFT(INDEX('입력_구리근무자명단'!$A445:$ZZ445,1,$E$2+2),4)),VALUE(MID(INDEX('입력_구리근무자명단'!$A445:$ZZ445,1,$E$2+2),6,2)),VALUE(MID(INDEX('입력_구리근무자명단'!$A445:$ZZ445,1,$E$2+2),9,2))),-1))))</f>
        <v/>
      </c>
      <c r="T447">
        <f>IF($R447="","",IF(INDEX('입력_구리근무자명단'!$A445:$ZZ445,1,$E$2+3)&amp;""="",EOMONTH(급여기준월,0),IF(ISNUMBER(INDEX('입력_구리근무자명단'!$A445:$ZZ445,1,$E$2+3)),INDEX('입력_구리근무자명단'!$A445:$ZZ445,1,$E$2+3),IFERROR(DATE(VALUE(LEFT(INDEX('입력_구리근무자명단'!$A445:$ZZ445,1,$E$2+3),4)),VALUE(MID(INDEX('입력_구리근무자명단'!$A445:$ZZ445,1,$E$2+3),6,2)),VALUE(MID(INDEX('입력_구리근무자명단'!$A445:$ZZ445,1,$E$2+3),9,2))),-1))))</f>
        <v/>
      </c>
      <c r="U447">
        <f>IF($R447="","",IF(OR($S447&lt;0,$T447&lt;0),0,MAX(0,MIN($T447,EOMONTH(급여기준월,0))-MAX($S447,급여기준월)+1)))</f>
        <v/>
      </c>
      <c r="V447">
        <f>IF($R447="","",TRIM(INDEX('입력_구리근무자명단'!$A445:$ZZ445,1,$E$2+5)&amp;""))</f>
        <v/>
      </c>
      <c r="W447">
        <f>IF(ISNUMBER(SEARCH("구리독자",$V447)),"구리독자","")</f>
        <v/>
      </c>
      <c r="X447">
        <f>IF($R447="","",$R447&amp;"|"&amp;IF(OR($Q447="인턴",ISNUMBER(SEARCH("수련교육부",$P447))),"인턴",$P447))</f>
        <v/>
      </c>
      <c r="Y447">
        <f>IF($R447="","",IF(COUNTIF(명단표[이름|과],$X447)=1,"명단 일치",IF(AND(COUNTIF(명단표[이름|과],$X447)=0,COUNTIF(명단표[이름],$R447)=1),"명단 일치(이름만, 과 다름)",IF(COUNTIF(명단표[이름],$R447)=0,IF(COUNTIF(기본자료표[이름],$R447)&gt;0,"명단에 없음(기본자료에는 있음)","명단에 없음"),"동명이인 확인"))))</f>
        <v/>
      </c>
      <c r="Z447">
        <f>IF($R447="","",IF($S447&lt;0,"⚠"&amp;INDEX('입력_구리근무자명단'!$A445:$ZZ445,1,$E$2+2),TEXT($S447,"yyyy-mm-dd")))</f>
        <v/>
      </c>
      <c r="AA447">
        <f>IF($R447="","",IF($T447&lt;0,"⚠"&amp;INDEX('입력_구리근무자명단'!$A445:$ZZ445,1,$E$2+3),TEXT($T447,"yyyy-mm-dd")))</f>
        <v/>
      </c>
      <c r="AB447">
        <f>AB446+IF($R447="",0,1)</f>
        <v/>
      </c>
      <c r="AC447">
        <f>IF($R447="","",$AB447)</f>
        <v/>
      </c>
    </row>
    <row r="448">
      <c r="A448">
        <f>IFERROR(INDEX($O$6:$O$1505,MATCH(443,$AC$6:$AC$1505,0)),"")</f>
        <v/>
      </c>
      <c r="B448">
        <f>IF(ISNUMBER($A448),INDEX($P$6:$P$1505,$A448-3),"")</f>
        <v/>
      </c>
      <c r="C448">
        <f>IF(ISNUMBER($A448),INDEX($Q$6:$Q$1505,$A448-3),"")</f>
        <v/>
      </c>
      <c r="D448">
        <f>IF(ISNUMBER($A448),INDEX($R$6:$R$1505,$A448-3),"")</f>
        <v/>
      </c>
      <c r="E448">
        <f>IF(ISNUMBER($A448),$G$2,"")</f>
        <v/>
      </c>
      <c r="F448">
        <f>IF(ISNUMBER($A448),INDEX($Z$6:$Z$1505,$A448-3),"")</f>
        <v/>
      </c>
      <c r="G448">
        <f>IF(ISNUMBER($A448),INDEX($AA$6:$AA$1505,$A448-3),"")</f>
        <v/>
      </c>
      <c r="H448">
        <f>IF(ISNUMBER($A448),INDEX($U$6:$U$1505,$A448-3),"")</f>
        <v/>
      </c>
      <c r="I448">
        <f>IF(ISNUMBER($A448),INDEX($V$6:$V$1505,$A448-3),"")</f>
        <v/>
      </c>
      <c r="J448">
        <f>IF(ISNUMBER($A448),INDEX($W$6:$W$1505,$A448-3),"")</f>
        <v/>
      </c>
      <c r="K448">
        <f>IF(ISNUMBER($A448),INDEX($X$6:$X$1505,$A448-3),"")</f>
        <v/>
      </c>
      <c r="L448">
        <f>IF(ISNUMBER($A448),INDEX($Y$6:$Y$1505,$A448-3),"")</f>
        <v/>
      </c>
      <c r="O448">
        <f>446</f>
        <v/>
      </c>
      <c r="P448">
        <f>IF(TRIM('입력_구리근무자명단'!$A446&amp;"")&lt;&gt;"",TRIM('입력_구리근무자명단'!$A446&amp;""),P447)</f>
        <v/>
      </c>
      <c r="Q448">
        <f>'입력_구리근무자명단'!$B446&amp;""</f>
        <v/>
      </c>
      <c r="R448">
        <f>IF($E$2="","",TRIM(INDEX('입력_구리근무자명단'!$A446:$ZZ446,1,$E$2+IF($G$2="확정",1,0))&amp;""))</f>
        <v/>
      </c>
      <c r="S448">
        <f>IF($R448="","",IF(INDEX('입력_구리근무자명단'!$A446:$ZZ446,1,$E$2+2)&amp;""="",급여기준월,IF(ISNUMBER(INDEX('입력_구리근무자명단'!$A446:$ZZ446,1,$E$2+2)),INDEX('입력_구리근무자명단'!$A446:$ZZ446,1,$E$2+2),IFERROR(DATE(VALUE(LEFT(INDEX('입력_구리근무자명단'!$A446:$ZZ446,1,$E$2+2),4)),VALUE(MID(INDEX('입력_구리근무자명단'!$A446:$ZZ446,1,$E$2+2),6,2)),VALUE(MID(INDEX('입력_구리근무자명단'!$A446:$ZZ446,1,$E$2+2),9,2))),-1))))</f>
        <v/>
      </c>
      <c r="T448">
        <f>IF($R448="","",IF(INDEX('입력_구리근무자명단'!$A446:$ZZ446,1,$E$2+3)&amp;""="",EOMONTH(급여기준월,0),IF(ISNUMBER(INDEX('입력_구리근무자명단'!$A446:$ZZ446,1,$E$2+3)),INDEX('입력_구리근무자명단'!$A446:$ZZ446,1,$E$2+3),IFERROR(DATE(VALUE(LEFT(INDEX('입력_구리근무자명단'!$A446:$ZZ446,1,$E$2+3),4)),VALUE(MID(INDEX('입력_구리근무자명단'!$A446:$ZZ446,1,$E$2+3),6,2)),VALUE(MID(INDEX('입력_구리근무자명단'!$A446:$ZZ446,1,$E$2+3),9,2))),-1))))</f>
        <v/>
      </c>
      <c r="U448">
        <f>IF($R448="","",IF(OR($S448&lt;0,$T448&lt;0),0,MAX(0,MIN($T448,EOMONTH(급여기준월,0))-MAX($S448,급여기준월)+1)))</f>
        <v/>
      </c>
      <c r="V448">
        <f>IF($R448="","",TRIM(INDEX('입력_구리근무자명단'!$A446:$ZZ446,1,$E$2+5)&amp;""))</f>
        <v/>
      </c>
      <c r="W448">
        <f>IF(ISNUMBER(SEARCH("구리독자",$V448)),"구리독자","")</f>
        <v/>
      </c>
      <c r="X448">
        <f>IF($R448="","",$R448&amp;"|"&amp;IF(OR($Q448="인턴",ISNUMBER(SEARCH("수련교육부",$P448))),"인턴",$P448))</f>
        <v/>
      </c>
      <c r="Y448">
        <f>IF($R448="","",IF(COUNTIF(명단표[이름|과],$X448)=1,"명단 일치",IF(AND(COUNTIF(명단표[이름|과],$X448)=0,COUNTIF(명단표[이름],$R448)=1),"명단 일치(이름만, 과 다름)",IF(COUNTIF(명단표[이름],$R448)=0,IF(COUNTIF(기본자료표[이름],$R448)&gt;0,"명단에 없음(기본자료에는 있음)","명단에 없음"),"동명이인 확인"))))</f>
        <v/>
      </c>
      <c r="Z448">
        <f>IF($R448="","",IF($S448&lt;0,"⚠"&amp;INDEX('입력_구리근무자명단'!$A446:$ZZ446,1,$E$2+2),TEXT($S448,"yyyy-mm-dd")))</f>
        <v/>
      </c>
      <c r="AA448">
        <f>IF($R448="","",IF($T448&lt;0,"⚠"&amp;INDEX('입력_구리근무자명단'!$A446:$ZZ446,1,$E$2+3),TEXT($T448,"yyyy-mm-dd")))</f>
        <v/>
      </c>
      <c r="AB448">
        <f>AB447+IF($R448="",0,1)</f>
        <v/>
      </c>
      <c r="AC448">
        <f>IF($R448="","",$AB448)</f>
        <v/>
      </c>
    </row>
    <row r="449">
      <c r="A449">
        <f>IFERROR(INDEX($O$6:$O$1505,MATCH(444,$AC$6:$AC$1505,0)),"")</f>
        <v/>
      </c>
      <c r="B449">
        <f>IF(ISNUMBER($A449),INDEX($P$6:$P$1505,$A449-3),"")</f>
        <v/>
      </c>
      <c r="C449">
        <f>IF(ISNUMBER($A449),INDEX($Q$6:$Q$1505,$A449-3),"")</f>
        <v/>
      </c>
      <c r="D449">
        <f>IF(ISNUMBER($A449),INDEX($R$6:$R$1505,$A449-3),"")</f>
        <v/>
      </c>
      <c r="E449">
        <f>IF(ISNUMBER($A449),$G$2,"")</f>
        <v/>
      </c>
      <c r="F449">
        <f>IF(ISNUMBER($A449),INDEX($Z$6:$Z$1505,$A449-3),"")</f>
        <v/>
      </c>
      <c r="G449">
        <f>IF(ISNUMBER($A449),INDEX($AA$6:$AA$1505,$A449-3),"")</f>
        <v/>
      </c>
      <c r="H449">
        <f>IF(ISNUMBER($A449),INDEX($U$6:$U$1505,$A449-3),"")</f>
        <v/>
      </c>
      <c r="I449">
        <f>IF(ISNUMBER($A449),INDEX($V$6:$V$1505,$A449-3),"")</f>
        <v/>
      </c>
      <c r="J449">
        <f>IF(ISNUMBER($A449),INDEX($W$6:$W$1505,$A449-3),"")</f>
        <v/>
      </c>
      <c r="K449">
        <f>IF(ISNUMBER($A449),INDEX($X$6:$X$1505,$A449-3),"")</f>
        <v/>
      </c>
      <c r="L449">
        <f>IF(ISNUMBER($A449),INDEX($Y$6:$Y$1505,$A449-3),"")</f>
        <v/>
      </c>
      <c r="O449">
        <f>447</f>
        <v/>
      </c>
      <c r="P449">
        <f>IF(TRIM('입력_구리근무자명단'!$A447&amp;"")&lt;&gt;"",TRIM('입력_구리근무자명단'!$A447&amp;""),P448)</f>
        <v/>
      </c>
      <c r="Q449">
        <f>'입력_구리근무자명단'!$B447&amp;""</f>
        <v/>
      </c>
      <c r="R449">
        <f>IF($E$2="","",TRIM(INDEX('입력_구리근무자명단'!$A447:$ZZ447,1,$E$2+IF($G$2="확정",1,0))&amp;""))</f>
        <v/>
      </c>
      <c r="S449">
        <f>IF($R449="","",IF(INDEX('입력_구리근무자명단'!$A447:$ZZ447,1,$E$2+2)&amp;""="",급여기준월,IF(ISNUMBER(INDEX('입력_구리근무자명단'!$A447:$ZZ447,1,$E$2+2)),INDEX('입력_구리근무자명단'!$A447:$ZZ447,1,$E$2+2),IFERROR(DATE(VALUE(LEFT(INDEX('입력_구리근무자명단'!$A447:$ZZ447,1,$E$2+2),4)),VALUE(MID(INDEX('입력_구리근무자명단'!$A447:$ZZ447,1,$E$2+2),6,2)),VALUE(MID(INDEX('입력_구리근무자명단'!$A447:$ZZ447,1,$E$2+2),9,2))),-1))))</f>
        <v/>
      </c>
      <c r="T449">
        <f>IF($R449="","",IF(INDEX('입력_구리근무자명단'!$A447:$ZZ447,1,$E$2+3)&amp;""="",EOMONTH(급여기준월,0),IF(ISNUMBER(INDEX('입력_구리근무자명단'!$A447:$ZZ447,1,$E$2+3)),INDEX('입력_구리근무자명단'!$A447:$ZZ447,1,$E$2+3),IFERROR(DATE(VALUE(LEFT(INDEX('입력_구리근무자명단'!$A447:$ZZ447,1,$E$2+3),4)),VALUE(MID(INDEX('입력_구리근무자명단'!$A447:$ZZ447,1,$E$2+3),6,2)),VALUE(MID(INDEX('입력_구리근무자명단'!$A447:$ZZ447,1,$E$2+3),9,2))),-1))))</f>
        <v/>
      </c>
      <c r="U449">
        <f>IF($R449="","",IF(OR($S449&lt;0,$T449&lt;0),0,MAX(0,MIN($T449,EOMONTH(급여기준월,0))-MAX($S449,급여기준월)+1)))</f>
        <v/>
      </c>
      <c r="V449">
        <f>IF($R449="","",TRIM(INDEX('입력_구리근무자명단'!$A447:$ZZ447,1,$E$2+5)&amp;""))</f>
        <v/>
      </c>
      <c r="W449">
        <f>IF(ISNUMBER(SEARCH("구리독자",$V449)),"구리독자","")</f>
        <v/>
      </c>
      <c r="X449">
        <f>IF($R449="","",$R449&amp;"|"&amp;IF(OR($Q449="인턴",ISNUMBER(SEARCH("수련교육부",$P449))),"인턴",$P449))</f>
        <v/>
      </c>
      <c r="Y449">
        <f>IF($R449="","",IF(COUNTIF(명단표[이름|과],$X449)=1,"명단 일치",IF(AND(COUNTIF(명단표[이름|과],$X449)=0,COUNTIF(명단표[이름],$R449)=1),"명단 일치(이름만, 과 다름)",IF(COUNTIF(명단표[이름],$R449)=0,IF(COUNTIF(기본자료표[이름],$R449)&gt;0,"명단에 없음(기본자료에는 있음)","명단에 없음"),"동명이인 확인"))))</f>
        <v/>
      </c>
      <c r="Z449">
        <f>IF($R449="","",IF($S449&lt;0,"⚠"&amp;INDEX('입력_구리근무자명단'!$A447:$ZZ447,1,$E$2+2),TEXT($S449,"yyyy-mm-dd")))</f>
        <v/>
      </c>
      <c r="AA449">
        <f>IF($R449="","",IF($T449&lt;0,"⚠"&amp;INDEX('입력_구리근무자명단'!$A447:$ZZ447,1,$E$2+3),TEXT($T449,"yyyy-mm-dd")))</f>
        <v/>
      </c>
      <c r="AB449">
        <f>AB448+IF($R449="",0,1)</f>
        <v/>
      </c>
      <c r="AC449">
        <f>IF($R449="","",$AB449)</f>
        <v/>
      </c>
    </row>
    <row r="450">
      <c r="A450">
        <f>IFERROR(INDEX($O$6:$O$1505,MATCH(445,$AC$6:$AC$1505,0)),"")</f>
        <v/>
      </c>
      <c r="B450">
        <f>IF(ISNUMBER($A450),INDEX($P$6:$P$1505,$A450-3),"")</f>
        <v/>
      </c>
      <c r="C450">
        <f>IF(ISNUMBER($A450),INDEX($Q$6:$Q$1505,$A450-3),"")</f>
        <v/>
      </c>
      <c r="D450">
        <f>IF(ISNUMBER($A450),INDEX($R$6:$R$1505,$A450-3),"")</f>
        <v/>
      </c>
      <c r="E450">
        <f>IF(ISNUMBER($A450),$G$2,"")</f>
        <v/>
      </c>
      <c r="F450">
        <f>IF(ISNUMBER($A450),INDEX($Z$6:$Z$1505,$A450-3),"")</f>
        <v/>
      </c>
      <c r="G450">
        <f>IF(ISNUMBER($A450),INDEX($AA$6:$AA$1505,$A450-3),"")</f>
        <v/>
      </c>
      <c r="H450">
        <f>IF(ISNUMBER($A450),INDEX($U$6:$U$1505,$A450-3),"")</f>
        <v/>
      </c>
      <c r="I450">
        <f>IF(ISNUMBER($A450),INDEX($V$6:$V$1505,$A450-3),"")</f>
        <v/>
      </c>
      <c r="J450">
        <f>IF(ISNUMBER($A450),INDEX($W$6:$W$1505,$A450-3),"")</f>
        <v/>
      </c>
      <c r="K450">
        <f>IF(ISNUMBER($A450),INDEX($X$6:$X$1505,$A450-3),"")</f>
        <v/>
      </c>
      <c r="L450">
        <f>IF(ISNUMBER($A450),INDEX($Y$6:$Y$1505,$A450-3),"")</f>
        <v/>
      </c>
      <c r="O450">
        <f>448</f>
        <v/>
      </c>
      <c r="P450">
        <f>IF(TRIM('입력_구리근무자명단'!$A448&amp;"")&lt;&gt;"",TRIM('입력_구리근무자명단'!$A448&amp;""),P449)</f>
        <v/>
      </c>
      <c r="Q450">
        <f>'입력_구리근무자명단'!$B448&amp;""</f>
        <v/>
      </c>
      <c r="R450">
        <f>IF($E$2="","",TRIM(INDEX('입력_구리근무자명단'!$A448:$ZZ448,1,$E$2+IF($G$2="확정",1,0))&amp;""))</f>
        <v/>
      </c>
      <c r="S450">
        <f>IF($R450="","",IF(INDEX('입력_구리근무자명단'!$A448:$ZZ448,1,$E$2+2)&amp;""="",급여기준월,IF(ISNUMBER(INDEX('입력_구리근무자명단'!$A448:$ZZ448,1,$E$2+2)),INDEX('입력_구리근무자명단'!$A448:$ZZ448,1,$E$2+2),IFERROR(DATE(VALUE(LEFT(INDEX('입력_구리근무자명단'!$A448:$ZZ448,1,$E$2+2),4)),VALUE(MID(INDEX('입력_구리근무자명단'!$A448:$ZZ448,1,$E$2+2),6,2)),VALUE(MID(INDEX('입력_구리근무자명단'!$A448:$ZZ448,1,$E$2+2),9,2))),-1))))</f>
        <v/>
      </c>
      <c r="T450">
        <f>IF($R450="","",IF(INDEX('입력_구리근무자명단'!$A448:$ZZ448,1,$E$2+3)&amp;""="",EOMONTH(급여기준월,0),IF(ISNUMBER(INDEX('입력_구리근무자명단'!$A448:$ZZ448,1,$E$2+3)),INDEX('입력_구리근무자명단'!$A448:$ZZ448,1,$E$2+3),IFERROR(DATE(VALUE(LEFT(INDEX('입력_구리근무자명단'!$A448:$ZZ448,1,$E$2+3),4)),VALUE(MID(INDEX('입력_구리근무자명단'!$A448:$ZZ448,1,$E$2+3),6,2)),VALUE(MID(INDEX('입력_구리근무자명단'!$A448:$ZZ448,1,$E$2+3),9,2))),-1))))</f>
        <v/>
      </c>
      <c r="U450">
        <f>IF($R450="","",IF(OR($S450&lt;0,$T450&lt;0),0,MAX(0,MIN($T450,EOMONTH(급여기준월,0))-MAX($S450,급여기준월)+1)))</f>
        <v/>
      </c>
      <c r="V450">
        <f>IF($R450="","",TRIM(INDEX('입력_구리근무자명단'!$A448:$ZZ448,1,$E$2+5)&amp;""))</f>
        <v/>
      </c>
      <c r="W450">
        <f>IF(ISNUMBER(SEARCH("구리독자",$V450)),"구리독자","")</f>
        <v/>
      </c>
      <c r="X450">
        <f>IF($R450="","",$R450&amp;"|"&amp;IF(OR($Q450="인턴",ISNUMBER(SEARCH("수련교육부",$P450))),"인턴",$P450))</f>
        <v/>
      </c>
      <c r="Y450">
        <f>IF($R450="","",IF(COUNTIF(명단표[이름|과],$X450)=1,"명단 일치",IF(AND(COUNTIF(명단표[이름|과],$X450)=0,COUNTIF(명단표[이름],$R450)=1),"명단 일치(이름만, 과 다름)",IF(COUNTIF(명단표[이름],$R450)=0,IF(COUNTIF(기본자료표[이름],$R450)&gt;0,"명단에 없음(기본자료에는 있음)","명단에 없음"),"동명이인 확인"))))</f>
        <v/>
      </c>
      <c r="Z450">
        <f>IF($R450="","",IF($S450&lt;0,"⚠"&amp;INDEX('입력_구리근무자명단'!$A448:$ZZ448,1,$E$2+2),TEXT($S450,"yyyy-mm-dd")))</f>
        <v/>
      </c>
      <c r="AA450">
        <f>IF($R450="","",IF($T450&lt;0,"⚠"&amp;INDEX('입력_구리근무자명단'!$A448:$ZZ448,1,$E$2+3),TEXT($T450,"yyyy-mm-dd")))</f>
        <v/>
      </c>
      <c r="AB450">
        <f>AB449+IF($R450="",0,1)</f>
        <v/>
      </c>
      <c r="AC450">
        <f>IF($R450="","",$AB450)</f>
        <v/>
      </c>
    </row>
    <row r="451">
      <c r="A451">
        <f>IFERROR(INDEX($O$6:$O$1505,MATCH(446,$AC$6:$AC$1505,0)),"")</f>
        <v/>
      </c>
      <c r="B451">
        <f>IF(ISNUMBER($A451),INDEX($P$6:$P$1505,$A451-3),"")</f>
        <v/>
      </c>
      <c r="C451">
        <f>IF(ISNUMBER($A451),INDEX($Q$6:$Q$1505,$A451-3),"")</f>
        <v/>
      </c>
      <c r="D451">
        <f>IF(ISNUMBER($A451),INDEX($R$6:$R$1505,$A451-3),"")</f>
        <v/>
      </c>
      <c r="E451">
        <f>IF(ISNUMBER($A451),$G$2,"")</f>
        <v/>
      </c>
      <c r="F451">
        <f>IF(ISNUMBER($A451),INDEX($Z$6:$Z$1505,$A451-3),"")</f>
        <v/>
      </c>
      <c r="G451">
        <f>IF(ISNUMBER($A451),INDEX($AA$6:$AA$1505,$A451-3),"")</f>
        <v/>
      </c>
      <c r="H451">
        <f>IF(ISNUMBER($A451),INDEX($U$6:$U$1505,$A451-3),"")</f>
        <v/>
      </c>
      <c r="I451">
        <f>IF(ISNUMBER($A451),INDEX($V$6:$V$1505,$A451-3),"")</f>
        <v/>
      </c>
      <c r="J451">
        <f>IF(ISNUMBER($A451),INDEX($W$6:$W$1505,$A451-3),"")</f>
        <v/>
      </c>
      <c r="K451">
        <f>IF(ISNUMBER($A451),INDEX($X$6:$X$1505,$A451-3),"")</f>
        <v/>
      </c>
      <c r="L451">
        <f>IF(ISNUMBER($A451),INDEX($Y$6:$Y$1505,$A451-3),"")</f>
        <v/>
      </c>
      <c r="O451">
        <f>449</f>
        <v/>
      </c>
      <c r="P451">
        <f>IF(TRIM('입력_구리근무자명단'!$A449&amp;"")&lt;&gt;"",TRIM('입력_구리근무자명단'!$A449&amp;""),P450)</f>
        <v/>
      </c>
      <c r="Q451">
        <f>'입력_구리근무자명단'!$B449&amp;""</f>
        <v/>
      </c>
      <c r="R451">
        <f>IF($E$2="","",TRIM(INDEX('입력_구리근무자명단'!$A449:$ZZ449,1,$E$2+IF($G$2="확정",1,0))&amp;""))</f>
        <v/>
      </c>
      <c r="S451">
        <f>IF($R451="","",IF(INDEX('입력_구리근무자명단'!$A449:$ZZ449,1,$E$2+2)&amp;""="",급여기준월,IF(ISNUMBER(INDEX('입력_구리근무자명단'!$A449:$ZZ449,1,$E$2+2)),INDEX('입력_구리근무자명단'!$A449:$ZZ449,1,$E$2+2),IFERROR(DATE(VALUE(LEFT(INDEX('입력_구리근무자명단'!$A449:$ZZ449,1,$E$2+2),4)),VALUE(MID(INDEX('입력_구리근무자명단'!$A449:$ZZ449,1,$E$2+2),6,2)),VALUE(MID(INDEX('입력_구리근무자명단'!$A449:$ZZ449,1,$E$2+2),9,2))),-1))))</f>
        <v/>
      </c>
      <c r="T451">
        <f>IF($R451="","",IF(INDEX('입력_구리근무자명단'!$A449:$ZZ449,1,$E$2+3)&amp;""="",EOMONTH(급여기준월,0),IF(ISNUMBER(INDEX('입력_구리근무자명단'!$A449:$ZZ449,1,$E$2+3)),INDEX('입력_구리근무자명단'!$A449:$ZZ449,1,$E$2+3),IFERROR(DATE(VALUE(LEFT(INDEX('입력_구리근무자명단'!$A449:$ZZ449,1,$E$2+3),4)),VALUE(MID(INDEX('입력_구리근무자명단'!$A449:$ZZ449,1,$E$2+3),6,2)),VALUE(MID(INDEX('입력_구리근무자명단'!$A449:$ZZ449,1,$E$2+3),9,2))),-1))))</f>
        <v/>
      </c>
      <c r="U451">
        <f>IF($R451="","",IF(OR($S451&lt;0,$T451&lt;0),0,MAX(0,MIN($T451,EOMONTH(급여기준월,0))-MAX($S451,급여기준월)+1)))</f>
        <v/>
      </c>
      <c r="V451">
        <f>IF($R451="","",TRIM(INDEX('입력_구리근무자명단'!$A449:$ZZ449,1,$E$2+5)&amp;""))</f>
        <v/>
      </c>
      <c r="W451">
        <f>IF(ISNUMBER(SEARCH("구리독자",$V451)),"구리독자","")</f>
        <v/>
      </c>
      <c r="X451">
        <f>IF($R451="","",$R451&amp;"|"&amp;IF(OR($Q451="인턴",ISNUMBER(SEARCH("수련교육부",$P451))),"인턴",$P451))</f>
        <v/>
      </c>
      <c r="Y451">
        <f>IF($R451="","",IF(COUNTIF(명단표[이름|과],$X451)=1,"명단 일치",IF(AND(COUNTIF(명단표[이름|과],$X451)=0,COUNTIF(명단표[이름],$R451)=1),"명단 일치(이름만, 과 다름)",IF(COUNTIF(명단표[이름],$R451)=0,IF(COUNTIF(기본자료표[이름],$R451)&gt;0,"명단에 없음(기본자료에는 있음)","명단에 없음"),"동명이인 확인"))))</f>
        <v/>
      </c>
      <c r="Z451">
        <f>IF($R451="","",IF($S451&lt;0,"⚠"&amp;INDEX('입력_구리근무자명단'!$A449:$ZZ449,1,$E$2+2),TEXT($S451,"yyyy-mm-dd")))</f>
        <v/>
      </c>
      <c r="AA451">
        <f>IF($R451="","",IF($T451&lt;0,"⚠"&amp;INDEX('입력_구리근무자명단'!$A449:$ZZ449,1,$E$2+3),TEXT($T451,"yyyy-mm-dd")))</f>
        <v/>
      </c>
      <c r="AB451">
        <f>AB450+IF($R451="",0,1)</f>
        <v/>
      </c>
      <c r="AC451">
        <f>IF($R451="","",$AB451)</f>
        <v/>
      </c>
    </row>
    <row r="452">
      <c r="A452">
        <f>IFERROR(INDEX($O$6:$O$1505,MATCH(447,$AC$6:$AC$1505,0)),"")</f>
        <v/>
      </c>
      <c r="B452">
        <f>IF(ISNUMBER($A452),INDEX($P$6:$P$1505,$A452-3),"")</f>
        <v/>
      </c>
      <c r="C452">
        <f>IF(ISNUMBER($A452),INDEX($Q$6:$Q$1505,$A452-3),"")</f>
        <v/>
      </c>
      <c r="D452">
        <f>IF(ISNUMBER($A452),INDEX($R$6:$R$1505,$A452-3),"")</f>
        <v/>
      </c>
      <c r="E452">
        <f>IF(ISNUMBER($A452),$G$2,"")</f>
        <v/>
      </c>
      <c r="F452">
        <f>IF(ISNUMBER($A452),INDEX($Z$6:$Z$1505,$A452-3),"")</f>
        <v/>
      </c>
      <c r="G452">
        <f>IF(ISNUMBER($A452),INDEX($AA$6:$AA$1505,$A452-3),"")</f>
        <v/>
      </c>
      <c r="H452">
        <f>IF(ISNUMBER($A452),INDEX($U$6:$U$1505,$A452-3),"")</f>
        <v/>
      </c>
      <c r="I452">
        <f>IF(ISNUMBER($A452),INDEX($V$6:$V$1505,$A452-3),"")</f>
        <v/>
      </c>
      <c r="J452">
        <f>IF(ISNUMBER($A452),INDEX($W$6:$W$1505,$A452-3),"")</f>
        <v/>
      </c>
      <c r="K452">
        <f>IF(ISNUMBER($A452),INDEX($X$6:$X$1505,$A452-3),"")</f>
        <v/>
      </c>
      <c r="L452">
        <f>IF(ISNUMBER($A452),INDEX($Y$6:$Y$1505,$A452-3),"")</f>
        <v/>
      </c>
      <c r="O452">
        <f>450</f>
        <v/>
      </c>
      <c r="P452">
        <f>IF(TRIM('입력_구리근무자명단'!$A450&amp;"")&lt;&gt;"",TRIM('입력_구리근무자명단'!$A450&amp;""),P451)</f>
        <v/>
      </c>
      <c r="Q452">
        <f>'입력_구리근무자명단'!$B450&amp;""</f>
        <v/>
      </c>
      <c r="R452">
        <f>IF($E$2="","",TRIM(INDEX('입력_구리근무자명단'!$A450:$ZZ450,1,$E$2+IF($G$2="확정",1,0))&amp;""))</f>
        <v/>
      </c>
      <c r="S452">
        <f>IF($R452="","",IF(INDEX('입력_구리근무자명단'!$A450:$ZZ450,1,$E$2+2)&amp;""="",급여기준월,IF(ISNUMBER(INDEX('입력_구리근무자명단'!$A450:$ZZ450,1,$E$2+2)),INDEX('입력_구리근무자명단'!$A450:$ZZ450,1,$E$2+2),IFERROR(DATE(VALUE(LEFT(INDEX('입력_구리근무자명단'!$A450:$ZZ450,1,$E$2+2),4)),VALUE(MID(INDEX('입력_구리근무자명단'!$A450:$ZZ450,1,$E$2+2),6,2)),VALUE(MID(INDEX('입력_구리근무자명단'!$A450:$ZZ450,1,$E$2+2),9,2))),-1))))</f>
        <v/>
      </c>
      <c r="T452">
        <f>IF($R452="","",IF(INDEX('입력_구리근무자명단'!$A450:$ZZ450,1,$E$2+3)&amp;""="",EOMONTH(급여기준월,0),IF(ISNUMBER(INDEX('입력_구리근무자명단'!$A450:$ZZ450,1,$E$2+3)),INDEX('입력_구리근무자명단'!$A450:$ZZ450,1,$E$2+3),IFERROR(DATE(VALUE(LEFT(INDEX('입력_구리근무자명단'!$A450:$ZZ450,1,$E$2+3),4)),VALUE(MID(INDEX('입력_구리근무자명단'!$A450:$ZZ450,1,$E$2+3),6,2)),VALUE(MID(INDEX('입력_구리근무자명단'!$A450:$ZZ450,1,$E$2+3),9,2))),-1))))</f>
        <v/>
      </c>
      <c r="U452">
        <f>IF($R452="","",IF(OR($S452&lt;0,$T452&lt;0),0,MAX(0,MIN($T452,EOMONTH(급여기준월,0))-MAX($S452,급여기준월)+1)))</f>
        <v/>
      </c>
      <c r="V452">
        <f>IF($R452="","",TRIM(INDEX('입력_구리근무자명단'!$A450:$ZZ450,1,$E$2+5)&amp;""))</f>
        <v/>
      </c>
      <c r="W452">
        <f>IF(ISNUMBER(SEARCH("구리독자",$V452)),"구리독자","")</f>
        <v/>
      </c>
      <c r="X452">
        <f>IF($R452="","",$R452&amp;"|"&amp;IF(OR($Q452="인턴",ISNUMBER(SEARCH("수련교육부",$P452))),"인턴",$P452))</f>
        <v/>
      </c>
      <c r="Y452">
        <f>IF($R452="","",IF(COUNTIF(명단표[이름|과],$X452)=1,"명단 일치",IF(AND(COUNTIF(명단표[이름|과],$X452)=0,COUNTIF(명단표[이름],$R452)=1),"명단 일치(이름만, 과 다름)",IF(COUNTIF(명단표[이름],$R452)=0,IF(COUNTIF(기본자료표[이름],$R452)&gt;0,"명단에 없음(기본자료에는 있음)","명단에 없음"),"동명이인 확인"))))</f>
        <v/>
      </c>
      <c r="Z452">
        <f>IF($R452="","",IF($S452&lt;0,"⚠"&amp;INDEX('입력_구리근무자명단'!$A450:$ZZ450,1,$E$2+2),TEXT($S452,"yyyy-mm-dd")))</f>
        <v/>
      </c>
      <c r="AA452">
        <f>IF($R452="","",IF($T452&lt;0,"⚠"&amp;INDEX('입력_구리근무자명단'!$A450:$ZZ450,1,$E$2+3),TEXT($T452,"yyyy-mm-dd")))</f>
        <v/>
      </c>
      <c r="AB452">
        <f>AB451+IF($R452="",0,1)</f>
        <v/>
      </c>
      <c r="AC452">
        <f>IF($R452="","",$AB452)</f>
        <v/>
      </c>
    </row>
    <row r="453">
      <c r="A453">
        <f>IFERROR(INDEX($O$6:$O$1505,MATCH(448,$AC$6:$AC$1505,0)),"")</f>
        <v/>
      </c>
      <c r="B453">
        <f>IF(ISNUMBER($A453),INDEX($P$6:$P$1505,$A453-3),"")</f>
        <v/>
      </c>
      <c r="C453">
        <f>IF(ISNUMBER($A453),INDEX($Q$6:$Q$1505,$A453-3),"")</f>
        <v/>
      </c>
      <c r="D453">
        <f>IF(ISNUMBER($A453),INDEX($R$6:$R$1505,$A453-3),"")</f>
        <v/>
      </c>
      <c r="E453">
        <f>IF(ISNUMBER($A453),$G$2,"")</f>
        <v/>
      </c>
      <c r="F453">
        <f>IF(ISNUMBER($A453),INDEX($Z$6:$Z$1505,$A453-3),"")</f>
        <v/>
      </c>
      <c r="G453">
        <f>IF(ISNUMBER($A453),INDEX($AA$6:$AA$1505,$A453-3),"")</f>
        <v/>
      </c>
      <c r="H453">
        <f>IF(ISNUMBER($A453),INDEX($U$6:$U$1505,$A453-3),"")</f>
        <v/>
      </c>
      <c r="I453">
        <f>IF(ISNUMBER($A453),INDEX($V$6:$V$1505,$A453-3),"")</f>
        <v/>
      </c>
      <c r="J453">
        <f>IF(ISNUMBER($A453),INDEX($W$6:$W$1505,$A453-3),"")</f>
        <v/>
      </c>
      <c r="K453">
        <f>IF(ISNUMBER($A453),INDEX($X$6:$X$1505,$A453-3),"")</f>
        <v/>
      </c>
      <c r="L453">
        <f>IF(ISNUMBER($A453),INDEX($Y$6:$Y$1505,$A453-3),"")</f>
        <v/>
      </c>
      <c r="O453">
        <f>451</f>
        <v/>
      </c>
      <c r="P453">
        <f>IF(TRIM('입력_구리근무자명단'!$A451&amp;"")&lt;&gt;"",TRIM('입력_구리근무자명단'!$A451&amp;""),P452)</f>
        <v/>
      </c>
      <c r="Q453">
        <f>'입력_구리근무자명단'!$B451&amp;""</f>
        <v/>
      </c>
      <c r="R453">
        <f>IF($E$2="","",TRIM(INDEX('입력_구리근무자명단'!$A451:$ZZ451,1,$E$2+IF($G$2="확정",1,0))&amp;""))</f>
        <v/>
      </c>
      <c r="S453">
        <f>IF($R453="","",IF(INDEX('입력_구리근무자명단'!$A451:$ZZ451,1,$E$2+2)&amp;""="",급여기준월,IF(ISNUMBER(INDEX('입력_구리근무자명단'!$A451:$ZZ451,1,$E$2+2)),INDEX('입력_구리근무자명단'!$A451:$ZZ451,1,$E$2+2),IFERROR(DATE(VALUE(LEFT(INDEX('입력_구리근무자명단'!$A451:$ZZ451,1,$E$2+2),4)),VALUE(MID(INDEX('입력_구리근무자명단'!$A451:$ZZ451,1,$E$2+2),6,2)),VALUE(MID(INDEX('입력_구리근무자명단'!$A451:$ZZ451,1,$E$2+2),9,2))),-1))))</f>
        <v/>
      </c>
      <c r="T453">
        <f>IF($R453="","",IF(INDEX('입력_구리근무자명단'!$A451:$ZZ451,1,$E$2+3)&amp;""="",EOMONTH(급여기준월,0),IF(ISNUMBER(INDEX('입력_구리근무자명단'!$A451:$ZZ451,1,$E$2+3)),INDEX('입력_구리근무자명단'!$A451:$ZZ451,1,$E$2+3),IFERROR(DATE(VALUE(LEFT(INDEX('입력_구리근무자명단'!$A451:$ZZ451,1,$E$2+3),4)),VALUE(MID(INDEX('입력_구리근무자명단'!$A451:$ZZ451,1,$E$2+3),6,2)),VALUE(MID(INDEX('입력_구리근무자명단'!$A451:$ZZ451,1,$E$2+3),9,2))),-1))))</f>
        <v/>
      </c>
      <c r="U453">
        <f>IF($R453="","",IF(OR($S453&lt;0,$T453&lt;0),0,MAX(0,MIN($T453,EOMONTH(급여기준월,0))-MAX($S453,급여기준월)+1)))</f>
        <v/>
      </c>
      <c r="V453">
        <f>IF($R453="","",TRIM(INDEX('입력_구리근무자명단'!$A451:$ZZ451,1,$E$2+5)&amp;""))</f>
        <v/>
      </c>
      <c r="W453">
        <f>IF(ISNUMBER(SEARCH("구리독자",$V453)),"구리독자","")</f>
        <v/>
      </c>
      <c r="X453">
        <f>IF($R453="","",$R453&amp;"|"&amp;IF(OR($Q453="인턴",ISNUMBER(SEARCH("수련교육부",$P453))),"인턴",$P453))</f>
        <v/>
      </c>
      <c r="Y453">
        <f>IF($R453="","",IF(COUNTIF(명단표[이름|과],$X453)=1,"명단 일치",IF(AND(COUNTIF(명단표[이름|과],$X453)=0,COUNTIF(명단표[이름],$R453)=1),"명단 일치(이름만, 과 다름)",IF(COUNTIF(명단표[이름],$R453)=0,IF(COUNTIF(기본자료표[이름],$R453)&gt;0,"명단에 없음(기본자료에는 있음)","명단에 없음"),"동명이인 확인"))))</f>
        <v/>
      </c>
      <c r="Z453">
        <f>IF($R453="","",IF($S453&lt;0,"⚠"&amp;INDEX('입력_구리근무자명단'!$A451:$ZZ451,1,$E$2+2),TEXT($S453,"yyyy-mm-dd")))</f>
        <v/>
      </c>
      <c r="AA453">
        <f>IF($R453="","",IF($T453&lt;0,"⚠"&amp;INDEX('입력_구리근무자명단'!$A451:$ZZ451,1,$E$2+3),TEXT($T453,"yyyy-mm-dd")))</f>
        <v/>
      </c>
      <c r="AB453">
        <f>AB452+IF($R453="",0,1)</f>
        <v/>
      </c>
      <c r="AC453">
        <f>IF($R453="","",$AB453)</f>
        <v/>
      </c>
    </row>
    <row r="454">
      <c r="A454">
        <f>IFERROR(INDEX($O$6:$O$1505,MATCH(449,$AC$6:$AC$1505,0)),"")</f>
        <v/>
      </c>
      <c r="B454">
        <f>IF(ISNUMBER($A454),INDEX($P$6:$P$1505,$A454-3),"")</f>
        <v/>
      </c>
      <c r="C454">
        <f>IF(ISNUMBER($A454),INDEX($Q$6:$Q$1505,$A454-3),"")</f>
        <v/>
      </c>
      <c r="D454">
        <f>IF(ISNUMBER($A454),INDEX($R$6:$R$1505,$A454-3),"")</f>
        <v/>
      </c>
      <c r="E454">
        <f>IF(ISNUMBER($A454),$G$2,"")</f>
        <v/>
      </c>
      <c r="F454">
        <f>IF(ISNUMBER($A454),INDEX($Z$6:$Z$1505,$A454-3),"")</f>
        <v/>
      </c>
      <c r="G454">
        <f>IF(ISNUMBER($A454),INDEX($AA$6:$AA$1505,$A454-3),"")</f>
        <v/>
      </c>
      <c r="H454">
        <f>IF(ISNUMBER($A454),INDEX($U$6:$U$1505,$A454-3),"")</f>
        <v/>
      </c>
      <c r="I454">
        <f>IF(ISNUMBER($A454),INDEX($V$6:$V$1505,$A454-3),"")</f>
        <v/>
      </c>
      <c r="J454">
        <f>IF(ISNUMBER($A454),INDEX($W$6:$W$1505,$A454-3),"")</f>
        <v/>
      </c>
      <c r="K454">
        <f>IF(ISNUMBER($A454),INDEX($X$6:$X$1505,$A454-3),"")</f>
        <v/>
      </c>
      <c r="L454">
        <f>IF(ISNUMBER($A454),INDEX($Y$6:$Y$1505,$A454-3),"")</f>
        <v/>
      </c>
      <c r="O454">
        <f>452</f>
        <v/>
      </c>
      <c r="P454">
        <f>IF(TRIM('입력_구리근무자명단'!$A452&amp;"")&lt;&gt;"",TRIM('입력_구리근무자명단'!$A452&amp;""),P453)</f>
        <v/>
      </c>
      <c r="Q454">
        <f>'입력_구리근무자명단'!$B452&amp;""</f>
        <v/>
      </c>
      <c r="R454">
        <f>IF($E$2="","",TRIM(INDEX('입력_구리근무자명단'!$A452:$ZZ452,1,$E$2+IF($G$2="확정",1,0))&amp;""))</f>
        <v/>
      </c>
      <c r="S454">
        <f>IF($R454="","",IF(INDEX('입력_구리근무자명단'!$A452:$ZZ452,1,$E$2+2)&amp;""="",급여기준월,IF(ISNUMBER(INDEX('입력_구리근무자명단'!$A452:$ZZ452,1,$E$2+2)),INDEX('입력_구리근무자명단'!$A452:$ZZ452,1,$E$2+2),IFERROR(DATE(VALUE(LEFT(INDEX('입력_구리근무자명단'!$A452:$ZZ452,1,$E$2+2),4)),VALUE(MID(INDEX('입력_구리근무자명단'!$A452:$ZZ452,1,$E$2+2),6,2)),VALUE(MID(INDEX('입력_구리근무자명단'!$A452:$ZZ452,1,$E$2+2),9,2))),-1))))</f>
        <v/>
      </c>
      <c r="T454">
        <f>IF($R454="","",IF(INDEX('입력_구리근무자명단'!$A452:$ZZ452,1,$E$2+3)&amp;""="",EOMONTH(급여기준월,0),IF(ISNUMBER(INDEX('입력_구리근무자명단'!$A452:$ZZ452,1,$E$2+3)),INDEX('입력_구리근무자명단'!$A452:$ZZ452,1,$E$2+3),IFERROR(DATE(VALUE(LEFT(INDEX('입력_구리근무자명단'!$A452:$ZZ452,1,$E$2+3),4)),VALUE(MID(INDEX('입력_구리근무자명단'!$A452:$ZZ452,1,$E$2+3),6,2)),VALUE(MID(INDEX('입력_구리근무자명단'!$A452:$ZZ452,1,$E$2+3),9,2))),-1))))</f>
        <v/>
      </c>
      <c r="U454">
        <f>IF($R454="","",IF(OR($S454&lt;0,$T454&lt;0),0,MAX(0,MIN($T454,EOMONTH(급여기준월,0))-MAX($S454,급여기준월)+1)))</f>
        <v/>
      </c>
      <c r="V454">
        <f>IF($R454="","",TRIM(INDEX('입력_구리근무자명단'!$A452:$ZZ452,1,$E$2+5)&amp;""))</f>
        <v/>
      </c>
      <c r="W454">
        <f>IF(ISNUMBER(SEARCH("구리독자",$V454)),"구리독자","")</f>
        <v/>
      </c>
      <c r="X454">
        <f>IF($R454="","",$R454&amp;"|"&amp;IF(OR($Q454="인턴",ISNUMBER(SEARCH("수련교육부",$P454))),"인턴",$P454))</f>
        <v/>
      </c>
      <c r="Y454">
        <f>IF($R454="","",IF(COUNTIF(명단표[이름|과],$X454)=1,"명단 일치",IF(AND(COUNTIF(명단표[이름|과],$X454)=0,COUNTIF(명단표[이름],$R454)=1),"명단 일치(이름만, 과 다름)",IF(COUNTIF(명단표[이름],$R454)=0,IF(COUNTIF(기본자료표[이름],$R454)&gt;0,"명단에 없음(기본자료에는 있음)","명단에 없음"),"동명이인 확인"))))</f>
        <v/>
      </c>
      <c r="Z454">
        <f>IF($R454="","",IF($S454&lt;0,"⚠"&amp;INDEX('입력_구리근무자명단'!$A452:$ZZ452,1,$E$2+2),TEXT($S454,"yyyy-mm-dd")))</f>
        <v/>
      </c>
      <c r="AA454">
        <f>IF($R454="","",IF($T454&lt;0,"⚠"&amp;INDEX('입력_구리근무자명단'!$A452:$ZZ452,1,$E$2+3),TEXT($T454,"yyyy-mm-dd")))</f>
        <v/>
      </c>
      <c r="AB454">
        <f>AB453+IF($R454="",0,1)</f>
        <v/>
      </c>
      <c r="AC454">
        <f>IF($R454="","",$AB454)</f>
        <v/>
      </c>
    </row>
    <row r="455">
      <c r="A455">
        <f>IFERROR(INDEX($O$6:$O$1505,MATCH(450,$AC$6:$AC$1505,0)),"")</f>
        <v/>
      </c>
      <c r="B455">
        <f>IF(ISNUMBER($A455),INDEX($P$6:$P$1505,$A455-3),"")</f>
        <v/>
      </c>
      <c r="C455">
        <f>IF(ISNUMBER($A455),INDEX($Q$6:$Q$1505,$A455-3),"")</f>
        <v/>
      </c>
      <c r="D455">
        <f>IF(ISNUMBER($A455),INDEX($R$6:$R$1505,$A455-3),"")</f>
        <v/>
      </c>
      <c r="E455">
        <f>IF(ISNUMBER($A455),$G$2,"")</f>
        <v/>
      </c>
      <c r="F455">
        <f>IF(ISNUMBER($A455),INDEX($Z$6:$Z$1505,$A455-3),"")</f>
        <v/>
      </c>
      <c r="G455">
        <f>IF(ISNUMBER($A455),INDEX($AA$6:$AA$1505,$A455-3),"")</f>
        <v/>
      </c>
      <c r="H455">
        <f>IF(ISNUMBER($A455),INDEX($U$6:$U$1505,$A455-3),"")</f>
        <v/>
      </c>
      <c r="I455">
        <f>IF(ISNUMBER($A455),INDEX($V$6:$V$1505,$A455-3),"")</f>
        <v/>
      </c>
      <c r="J455">
        <f>IF(ISNUMBER($A455),INDEX($W$6:$W$1505,$A455-3),"")</f>
        <v/>
      </c>
      <c r="K455">
        <f>IF(ISNUMBER($A455),INDEX($X$6:$X$1505,$A455-3),"")</f>
        <v/>
      </c>
      <c r="L455">
        <f>IF(ISNUMBER($A455),INDEX($Y$6:$Y$1505,$A455-3),"")</f>
        <v/>
      </c>
      <c r="O455">
        <f>453</f>
        <v/>
      </c>
      <c r="P455">
        <f>IF(TRIM('입력_구리근무자명단'!$A453&amp;"")&lt;&gt;"",TRIM('입력_구리근무자명단'!$A453&amp;""),P454)</f>
        <v/>
      </c>
      <c r="Q455">
        <f>'입력_구리근무자명단'!$B453&amp;""</f>
        <v/>
      </c>
      <c r="R455">
        <f>IF($E$2="","",TRIM(INDEX('입력_구리근무자명단'!$A453:$ZZ453,1,$E$2+IF($G$2="확정",1,0))&amp;""))</f>
        <v/>
      </c>
      <c r="S455">
        <f>IF($R455="","",IF(INDEX('입력_구리근무자명단'!$A453:$ZZ453,1,$E$2+2)&amp;""="",급여기준월,IF(ISNUMBER(INDEX('입력_구리근무자명단'!$A453:$ZZ453,1,$E$2+2)),INDEX('입력_구리근무자명단'!$A453:$ZZ453,1,$E$2+2),IFERROR(DATE(VALUE(LEFT(INDEX('입력_구리근무자명단'!$A453:$ZZ453,1,$E$2+2),4)),VALUE(MID(INDEX('입력_구리근무자명단'!$A453:$ZZ453,1,$E$2+2),6,2)),VALUE(MID(INDEX('입력_구리근무자명단'!$A453:$ZZ453,1,$E$2+2),9,2))),-1))))</f>
        <v/>
      </c>
      <c r="T455">
        <f>IF($R455="","",IF(INDEX('입력_구리근무자명단'!$A453:$ZZ453,1,$E$2+3)&amp;""="",EOMONTH(급여기준월,0),IF(ISNUMBER(INDEX('입력_구리근무자명단'!$A453:$ZZ453,1,$E$2+3)),INDEX('입력_구리근무자명단'!$A453:$ZZ453,1,$E$2+3),IFERROR(DATE(VALUE(LEFT(INDEX('입력_구리근무자명단'!$A453:$ZZ453,1,$E$2+3),4)),VALUE(MID(INDEX('입력_구리근무자명단'!$A453:$ZZ453,1,$E$2+3),6,2)),VALUE(MID(INDEX('입력_구리근무자명단'!$A453:$ZZ453,1,$E$2+3),9,2))),-1))))</f>
        <v/>
      </c>
      <c r="U455">
        <f>IF($R455="","",IF(OR($S455&lt;0,$T455&lt;0),0,MAX(0,MIN($T455,EOMONTH(급여기준월,0))-MAX($S455,급여기준월)+1)))</f>
        <v/>
      </c>
      <c r="V455">
        <f>IF($R455="","",TRIM(INDEX('입력_구리근무자명단'!$A453:$ZZ453,1,$E$2+5)&amp;""))</f>
        <v/>
      </c>
      <c r="W455">
        <f>IF(ISNUMBER(SEARCH("구리독자",$V455)),"구리독자","")</f>
        <v/>
      </c>
      <c r="X455">
        <f>IF($R455="","",$R455&amp;"|"&amp;IF(OR($Q455="인턴",ISNUMBER(SEARCH("수련교육부",$P455))),"인턴",$P455))</f>
        <v/>
      </c>
      <c r="Y455">
        <f>IF($R455="","",IF(COUNTIF(명단표[이름|과],$X455)=1,"명단 일치",IF(AND(COUNTIF(명단표[이름|과],$X455)=0,COUNTIF(명단표[이름],$R455)=1),"명단 일치(이름만, 과 다름)",IF(COUNTIF(명단표[이름],$R455)=0,IF(COUNTIF(기본자료표[이름],$R455)&gt;0,"명단에 없음(기본자료에는 있음)","명단에 없음"),"동명이인 확인"))))</f>
        <v/>
      </c>
      <c r="Z455">
        <f>IF($R455="","",IF($S455&lt;0,"⚠"&amp;INDEX('입력_구리근무자명단'!$A453:$ZZ453,1,$E$2+2),TEXT($S455,"yyyy-mm-dd")))</f>
        <v/>
      </c>
      <c r="AA455">
        <f>IF($R455="","",IF($T455&lt;0,"⚠"&amp;INDEX('입력_구리근무자명단'!$A453:$ZZ453,1,$E$2+3),TEXT($T455,"yyyy-mm-dd")))</f>
        <v/>
      </c>
      <c r="AB455">
        <f>AB454+IF($R455="",0,1)</f>
        <v/>
      </c>
      <c r="AC455">
        <f>IF($R455="","",$AB455)</f>
        <v/>
      </c>
    </row>
    <row r="456">
      <c r="A456">
        <f>IFERROR(INDEX($O$6:$O$1505,MATCH(451,$AC$6:$AC$1505,0)),"")</f>
        <v/>
      </c>
      <c r="B456">
        <f>IF(ISNUMBER($A456),INDEX($P$6:$P$1505,$A456-3),"")</f>
        <v/>
      </c>
      <c r="C456">
        <f>IF(ISNUMBER($A456),INDEX($Q$6:$Q$1505,$A456-3),"")</f>
        <v/>
      </c>
      <c r="D456">
        <f>IF(ISNUMBER($A456),INDEX($R$6:$R$1505,$A456-3),"")</f>
        <v/>
      </c>
      <c r="E456">
        <f>IF(ISNUMBER($A456),$G$2,"")</f>
        <v/>
      </c>
      <c r="F456">
        <f>IF(ISNUMBER($A456),INDEX($Z$6:$Z$1505,$A456-3),"")</f>
        <v/>
      </c>
      <c r="G456">
        <f>IF(ISNUMBER($A456),INDEX($AA$6:$AA$1505,$A456-3),"")</f>
        <v/>
      </c>
      <c r="H456">
        <f>IF(ISNUMBER($A456),INDEX($U$6:$U$1505,$A456-3),"")</f>
        <v/>
      </c>
      <c r="I456">
        <f>IF(ISNUMBER($A456),INDEX($V$6:$V$1505,$A456-3),"")</f>
        <v/>
      </c>
      <c r="J456">
        <f>IF(ISNUMBER($A456),INDEX($W$6:$W$1505,$A456-3),"")</f>
        <v/>
      </c>
      <c r="K456">
        <f>IF(ISNUMBER($A456),INDEX($X$6:$X$1505,$A456-3),"")</f>
        <v/>
      </c>
      <c r="L456">
        <f>IF(ISNUMBER($A456),INDEX($Y$6:$Y$1505,$A456-3),"")</f>
        <v/>
      </c>
      <c r="O456">
        <f>454</f>
        <v/>
      </c>
      <c r="P456">
        <f>IF(TRIM('입력_구리근무자명단'!$A454&amp;"")&lt;&gt;"",TRIM('입력_구리근무자명단'!$A454&amp;""),P455)</f>
        <v/>
      </c>
      <c r="Q456">
        <f>'입력_구리근무자명단'!$B454&amp;""</f>
        <v/>
      </c>
      <c r="R456">
        <f>IF($E$2="","",TRIM(INDEX('입력_구리근무자명단'!$A454:$ZZ454,1,$E$2+IF($G$2="확정",1,0))&amp;""))</f>
        <v/>
      </c>
      <c r="S456">
        <f>IF($R456="","",IF(INDEX('입력_구리근무자명단'!$A454:$ZZ454,1,$E$2+2)&amp;""="",급여기준월,IF(ISNUMBER(INDEX('입력_구리근무자명단'!$A454:$ZZ454,1,$E$2+2)),INDEX('입력_구리근무자명단'!$A454:$ZZ454,1,$E$2+2),IFERROR(DATE(VALUE(LEFT(INDEX('입력_구리근무자명단'!$A454:$ZZ454,1,$E$2+2),4)),VALUE(MID(INDEX('입력_구리근무자명단'!$A454:$ZZ454,1,$E$2+2),6,2)),VALUE(MID(INDEX('입력_구리근무자명단'!$A454:$ZZ454,1,$E$2+2),9,2))),-1))))</f>
        <v/>
      </c>
      <c r="T456">
        <f>IF($R456="","",IF(INDEX('입력_구리근무자명단'!$A454:$ZZ454,1,$E$2+3)&amp;""="",EOMONTH(급여기준월,0),IF(ISNUMBER(INDEX('입력_구리근무자명단'!$A454:$ZZ454,1,$E$2+3)),INDEX('입력_구리근무자명단'!$A454:$ZZ454,1,$E$2+3),IFERROR(DATE(VALUE(LEFT(INDEX('입력_구리근무자명단'!$A454:$ZZ454,1,$E$2+3),4)),VALUE(MID(INDEX('입력_구리근무자명단'!$A454:$ZZ454,1,$E$2+3),6,2)),VALUE(MID(INDEX('입력_구리근무자명단'!$A454:$ZZ454,1,$E$2+3),9,2))),-1))))</f>
        <v/>
      </c>
      <c r="U456">
        <f>IF($R456="","",IF(OR($S456&lt;0,$T456&lt;0),0,MAX(0,MIN($T456,EOMONTH(급여기준월,0))-MAX($S456,급여기준월)+1)))</f>
        <v/>
      </c>
      <c r="V456">
        <f>IF($R456="","",TRIM(INDEX('입력_구리근무자명단'!$A454:$ZZ454,1,$E$2+5)&amp;""))</f>
        <v/>
      </c>
      <c r="W456">
        <f>IF(ISNUMBER(SEARCH("구리독자",$V456)),"구리독자","")</f>
        <v/>
      </c>
      <c r="X456">
        <f>IF($R456="","",$R456&amp;"|"&amp;IF(OR($Q456="인턴",ISNUMBER(SEARCH("수련교육부",$P456))),"인턴",$P456))</f>
        <v/>
      </c>
      <c r="Y456">
        <f>IF($R456="","",IF(COUNTIF(명단표[이름|과],$X456)=1,"명단 일치",IF(AND(COUNTIF(명단표[이름|과],$X456)=0,COUNTIF(명단표[이름],$R456)=1),"명단 일치(이름만, 과 다름)",IF(COUNTIF(명단표[이름],$R456)=0,IF(COUNTIF(기본자료표[이름],$R456)&gt;0,"명단에 없음(기본자료에는 있음)","명단에 없음"),"동명이인 확인"))))</f>
        <v/>
      </c>
      <c r="Z456">
        <f>IF($R456="","",IF($S456&lt;0,"⚠"&amp;INDEX('입력_구리근무자명단'!$A454:$ZZ454,1,$E$2+2),TEXT($S456,"yyyy-mm-dd")))</f>
        <v/>
      </c>
      <c r="AA456">
        <f>IF($R456="","",IF($T456&lt;0,"⚠"&amp;INDEX('입력_구리근무자명단'!$A454:$ZZ454,1,$E$2+3),TEXT($T456,"yyyy-mm-dd")))</f>
        <v/>
      </c>
      <c r="AB456">
        <f>AB455+IF($R456="",0,1)</f>
        <v/>
      </c>
      <c r="AC456">
        <f>IF($R456="","",$AB456)</f>
        <v/>
      </c>
    </row>
    <row r="457">
      <c r="A457">
        <f>IFERROR(INDEX($O$6:$O$1505,MATCH(452,$AC$6:$AC$1505,0)),"")</f>
        <v/>
      </c>
      <c r="B457">
        <f>IF(ISNUMBER($A457),INDEX($P$6:$P$1505,$A457-3),"")</f>
        <v/>
      </c>
      <c r="C457">
        <f>IF(ISNUMBER($A457),INDEX($Q$6:$Q$1505,$A457-3),"")</f>
        <v/>
      </c>
      <c r="D457">
        <f>IF(ISNUMBER($A457),INDEX($R$6:$R$1505,$A457-3),"")</f>
        <v/>
      </c>
      <c r="E457">
        <f>IF(ISNUMBER($A457),$G$2,"")</f>
        <v/>
      </c>
      <c r="F457">
        <f>IF(ISNUMBER($A457),INDEX($Z$6:$Z$1505,$A457-3),"")</f>
        <v/>
      </c>
      <c r="G457">
        <f>IF(ISNUMBER($A457),INDEX($AA$6:$AA$1505,$A457-3),"")</f>
        <v/>
      </c>
      <c r="H457">
        <f>IF(ISNUMBER($A457),INDEX($U$6:$U$1505,$A457-3),"")</f>
        <v/>
      </c>
      <c r="I457">
        <f>IF(ISNUMBER($A457),INDEX($V$6:$V$1505,$A457-3),"")</f>
        <v/>
      </c>
      <c r="J457">
        <f>IF(ISNUMBER($A457),INDEX($W$6:$W$1505,$A457-3),"")</f>
        <v/>
      </c>
      <c r="K457">
        <f>IF(ISNUMBER($A457),INDEX($X$6:$X$1505,$A457-3),"")</f>
        <v/>
      </c>
      <c r="L457">
        <f>IF(ISNUMBER($A457),INDEX($Y$6:$Y$1505,$A457-3),"")</f>
        <v/>
      </c>
      <c r="O457">
        <f>455</f>
        <v/>
      </c>
      <c r="P457">
        <f>IF(TRIM('입력_구리근무자명단'!$A455&amp;"")&lt;&gt;"",TRIM('입력_구리근무자명단'!$A455&amp;""),P456)</f>
        <v/>
      </c>
      <c r="Q457">
        <f>'입력_구리근무자명단'!$B455&amp;""</f>
        <v/>
      </c>
      <c r="R457">
        <f>IF($E$2="","",TRIM(INDEX('입력_구리근무자명단'!$A455:$ZZ455,1,$E$2+IF($G$2="확정",1,0))&amp;""))</f>
        <v/>
      </c>
      <c r="S457">
        <f>IF($R457="","",IF(INDEX('입력_구리근무자명단'!$A455:$ZZ455,1,$E$2+2)&amp;""="",급여기준월,IF(ISNUMBER(INDEX('입력_구리근무자명단'!$A455:$ZZ455,1,$E$2+2)),INDEX('입력_구리근무자명단'!$A455:$ZZ455,1,$E$2+2),IFERROR(DATE(VALUE(LEFT(INDEX('입력_구리근무자명단'!$A455:$ZZ455,1,$E$2+2),4)),VALUE(MID(INDEX('입력_구리근무자명단'!$A455:$ZZ455,1,$E$2+2),6,2)),VALUE(MID(INDEX('입력_구리근무자명단'!$A455:$ZZ455,1,$E$2+2),9,2))),-1))))</f>
        <v/>
      </c>
      <c r="T457">
        <f>IF($R457="","",IF(INDEX('입력_구리근무자명단'!$A455:$ZZ455,1,$E$2+3)&amp;""="",EOMONTH(급여기준월,0),IF(ISNUMBER(INDEX('입력_구리근무자명단'!$A455:$ZZ455,1,$E$2+3)),INDEX('입력_구리근무자명단'!$A455:$ZZ455,1,$E$2+3),IFERROR(DATE(VALUE(LEFT(INDEX('입력_구리근무자명단'!$A455:$ZZ455,1,$E$2+3),4)),VALUE(MID(INDEX('입력_구리근무자명단'!$A455:$ZZ455,1,$E$2+3),6,2)),VALUE(MID(INDEX('입력_구리근무자명단'!$A455:$ZZ455,1,$E$2+3),9,2))),-1))))</f>
        <v/>
      </c>
      <c r="U457">
        <f>IF($R457="","",IF(OR($S457&lt;0,$T457&lt;0),0,MAX(0,MIN($T457,EOMONTH(급여기준월,0))-MAX($S457,급여기준월)+1)))</f>
        <v/>
      </c>
      <c r="V457">
        <f>IF($R457="","",TRIM(INDEX('입력_구리근무자명단'!$A455:$ZZ455,1,$E$2+5)&amp;""))</f>
        <v/>
      </c>
      <c r="W457">
        <f>IF(ISNUMBER(SEARCH("구리독자",$V457)),"구리독자","")</f>
        <v/>
      </c>
      <c r="X457">
        <f>IF($R457="","",$R457&amp;"|"&amp;IF(OR($Q457="인턴",ISNUMBER(SEARCH("수련교육부",$P457))),"인턴",$P457))</f>
        <v/>
      </c>
      <c r="Y457">
        <f>IF($R457="","",IF(COUNTIF(명단표[이름|과],$X457)=1,"명단 일치",IF(AND(COUNTIF(명단표[이름|과],$X457)=0,COUNTIF(명단표[이름],$R457)=1),"명단 일치(이름만, 과 다름)",IF(COUNTIF(명단표[이름],$R457)=0,IF(COUNTIF(기본자료표[이름],$R457)&gt;0,"명단에 없음(기본자료에는 있음)","명단에 없음"),"동명이인 확인"))))</f>
        <v/>
      </c>
      <c r="Z457">
        <f>IF($R457="","",IF($S457&lt;0,"⚠"&amp;INDEX('입력_구리근무자명단'!$A455:$ZZ455,1,$E$2+2),TEXT($S457,"yyyy-mm-dd")))</f>
        <v/>
      </c>
      <c r="AA457">
        <f>IF($R457="","",IF($T457&lt;0,"⚠"&amp;INDEX('입력_구리근무자명단'!$A455:$ZZ455,1,$E$2+3),TEXT($T457,"yyyy-mm-dd")))</f>
        <v/>
      </c>
      <c r="AB457">
        <f>AB456+IF($R457="",0,1)</f>
        <v/>
      </c>
      <c r="AC457">
        <f>IF($R457="","",$AB457)</f>
        <v/>
      </c>
    </row>
    <row r="458">
      <c r="A458">
        <f>IFERROR(INDEX($O$6:$O$1505,MATCH(453,$AC$6:$AC$1505,0)),"")</f>
        <v/>
      </c>
      <c r="B458">
        <f>IF(ISNUMBER($A458),INDEX($P$6:$P$1505,$A458-3),"")</f>
        <v/>
      </c>
      <c r="C458">
        <f>IF(ISNUMBER($A458),INDEX($Q$6:$Q$1505,$A458-3),"")</f>
        <v/>
      </c>
      <c r="D458">
        <f>IF(ISNUMBER($A458),INDEX($R$6:$R$1505,$A458-3),"")</f>
        <v/>
      </c>
      <c r="E458">
        <f>IF(ISNUMBER($A458),$G$2,"")</f>
        <v/>
      </c>
      <c r="F458">
        <f>IF(ISNUMBER($A458),INDEX($Z$6:$Z$1505,$A458-3),"")</f>
        <v/>
      </c>
      <c r="G458">
        <f>IF(ISNUMBER($A458),INDEX($AA$6:$AA$1505,$A458-3),"")</f>
        <v/>
      </c>
      <c r="H458">
        <f>IF(ISNUMBER($A458),INDEX($U$6:$U$1505,$A458-3),"")</f>
        <v/>
      </c>
      <c r="I458">
        <f>IF(ISNUMBER($A458),INDEX($V$6:$V$1505,$A458-3),"")</f>
        <v/>
      </c>
      <c r="J458">
        <f>IF(ISNUMBER($A458),INDEX($W$6:$W$1505,$A458-3),"")</f>
        <v/>
      </c>
      <c r="K458">
        <f>IF(ISNUMBER($A458),INDEX($X$6:$X$1505,$A458-3),"")</f>
        <v/>
      </c>
      <c r="L458">
        <f>IF(ISNUMBER($A458),INDEX($Y$6:$Y$1505,$A458-3),"")</f>
        <v/>
      </c>
      <c r="O458">
        <f>456</f>
        <v/>
      </c>
      <c r="P458">
        <f>IF(TRIM('입력_구리근무자명단'!$A456&amp;"")&lt;&gt;"",TRIM('입력_구리근무자명단'!$A456&amp;""),P457)</f>
        <v/>
      </c>
      <c r="Q458">
        <f>'입력_구리근무자명단'!$B456&amp;""</f>
        <v/>
      </c>
      <c r="R458">
        <f>IF($E$2="","",TRIM(INDEX('입력_구리근무자명단'!$A456:$ZZ456,1,$E$2+IF($G$2="확정",1,0))&amp;""))</f>
        <v/>
      </c>
      <c r="S458">
        <f>IF($R458="","",IF(INDEX('입력_구리근무자명단'!$A456:$ZZ456,1,$E$2+2)&amp;""="",급여기준월,IF(ISNUMBER(INDEX('입력_구리근무자명단'!$A456:$ZZ456,1,$E$2+2)),INDEX('입력_구리근무자명단'!$A456:$ZZ456,1,$E$2+2),IFERROR(DATE(VALUE(LEFT(INDEX('입력_구리근무자명단'!$A456:$ZZ456,1,$E$2+2),4)),VALUE(MID(INDEX('입력_구리근무자명단'!$A456:$ZZ456,1,$E$2+2),6,2)),VALUE(MID(INDEX('입력_구리근무자명단'!$A456:$ZZ456,1,$E$2+2),9,2))),-1))))</f>
        <v/>
      </c>
      <c r="T458">
        <f>IF($R458="","",IF(INDEX('입력_구리근무자명단'!$A456:$ZZ456,1,$E$2+3)&amp;""="",EOMONTH(급여기준월,0),IF(ISNUMBER(INDEX('입력_구리근무자명단'!$A456:$ZZ456,1,$E$2+3)),INDEX('입력_구리근무자명단'!$A456:$ZZ456,1,$E$2+3),IFERROR(DATE(VALUE(LEFT(INDEX('입력_구리근무자명단'!$A456:$ZZ456,1,$E$2+3),4)),VALUE(MID(INDEX('입력_구리근무자명단'!$A456:$ZZ456,1,$E$2+3),6,2)),VALUE(MID(INDEX('입력_구리근무자명단'!$A456:$ZZ456,1,$E$2+3),9,2))),-1))))</f>
        <v/>
      </c>
      <c r="U458">
        <f>IF($R458="","",IF(OR($S458&lt;0,$T458&lt;0),0,MAX(0,MIN($T458,EOMONTH(급여기준월,0))-MAX($S458,급여기준월)+1)))</f>
        <v/>
      </c>
      <c r="V458">
        <f>IF($R458="","",TRIM(INDEX('입력_구리근무자명단'!$A456:$ZZ456,1,$E$2+5)&amp;""))</f>
        <v/>
      </c>
      <c r="W458">
        <f>IF(ISNUMBER(SEARCH("구리독자",$V458)),"구리독자","")</f>
        <v/>
      </c>
      <c r="X458">
        <f>IF($R458="","",$R458&amp;"|"&amp;IF(OR($Q458="인턴",ISNUMBER(SEARCH("수련교육부",$P458))),"인턴",$P458))</f>
        <v/>
      </c>
      <c r="Y458">
        <f>IF($R458="","",IF(COUNTIF(명단표[이름|과],$X458)=1,"명단 일치",IF(AND(COUNTIF(명단표[이름|과],$X458)=0,COUNTIF(명단표[이름],$R458)=1),"명단 일치(이름만, 과 다름)",IF(COUNTIF(명단표[이름],$R458)=0,IF(COUNTIF(기본자료표[이름],$R458)&gt;0,"명단에 없음(기본자료에는 있음)","명단에 없음"),"동명이인 확인"))))</f>
        <v/>
      </c>
      <c r="Z458">
        <f>IF($R458="","",IF($S458&lt;0,"⚠"&amp;INDEX('입력_구리근무자명단'!$A456:$ZZ456,1,$E$2+2),TEXT($S458,"yyyy-mm-dd")))</f>
        <v/>
      </c>
      <c r="AA458">
        <f>IF($R458="","",IF($T458&lt;0,"⚠"&amp;INDEX('입력_구리근무자명단'!$A456:$ZZ456,1,$E$2+3),TEXT($T458,"yyyy-mm-dd")))</f>
        <v/>
      </c>
      <c r="AB458">
        <f>AB457+IF($R458="",0,1)</f>
        <v/>
      </c>
      <c r="AC458">
        <f>IF($R458="","",$AB458)</f>
        <v/>
      </c>
    </row>
    <row r="459">
      <c r="A459">
        <f>IFERROR(INDEX($O$6:$O$1505,MATCH(454,$AC$6:$AC$1505,0)),"")</f>
        <v/>
      </c>
      <c r="B459">
        <f>IF(ISNUMBER($A459),INDEX($P$6:$P$1505,$A459-3),"")</f>
        <v/>
      </c>
      <c r="C459">
        <f>IF(ISNUMBER($A459),INDEX($Q$6:$Q$1505,$A459-3),"")</f>
        <v/>
      </c>
      <c r="D459">
        <f>IF(ISNUMBER($A459),INDEX($R$6:$R$1505,$A459-3),"")</f>
        <v/>
      </c>
      <c r="E459">
        <f>IF(ISNUMBER($A459),$G$2,"")</f>
        <v/>
      </c>
      <c r="F459">
        <f>IF(ISNUMBER($A459),INDEX($Z$6:$Z$1505,$A459-3),"")</f>
        <v/>
      </c>
      <c r="G459">
        <f>IF(ISNUMBER($A459),INDEX($AA$6:$AA$1505,$A459-3),"")</f>
        <v/>
      </c>
      <c r="H459">
        <f>IF(ISNUMBER($A459),INDEX($U$6:$U$1505,$A459-3),"")</f>
        <v/>
      </c>
      <c r="I459">
        <f>IF(ISNUMBER($A459),INDEX($V$6:$V$1505,$A459-3),"")</f>
        <v/>
      </c>
      <c r="J459">
        <f>IF(ISNUMBER($A459),INDEX($W$6:$W$1505,$A459-3),"")</f>
        <v/>
      </c>
      <c r="K459">
        <f>IF(ISNUMBER($A459),INDEX($X$6:$X$1505,$A459-3),"")</f>
        <v/>
      </c>
      <c r="L459">
        <f>IF(ISNUMBER($A459),INDEX($Y$6:$Y$1505,$A459-3),"")</f>
        <v/>
      </c>
      <c r="O459">
        <f>457</f>
        <v/>
      </c>
      <c r="P459">
        <f>IF(TRIM('입력_구리근무자명단'!$A457&amp;"")&lt;&gt;"",TRIM('입력_구리근무자명단'!$A457&amp;""),P458)</f>
        <v/>
      </c>
      <c r="Q459">
        <f>'입력_구리근무자명단'!$B457&amp;""</f>
        <v/>
      </c>
      <c r="R459">
        <f>IF($E$2="","",TRIM(INDEX('입력_구리근무자명단'!$A457:$ZZ457,1,$E$2+IF($G$2="확정",1,0))&amp;""))</f>
        <v/>
      </c>
      <c r="S459">
        <f>IF($R459="","",IF(INDEX('입력_구리근무자명단'!$A457:$ZZ457,1,$E$2+2)&amp;""="",급여기준월,IF(ISNUMBER(INDEX('입력_구리근무자명단'!$A457:$ZZ457,1,$E$2+2)),INDEX('입력_구리근무자명단'!$A457:$ZZ457,1,$E$2+2),IFERROR(DATE(VALUE(LEFT(INDEX('입력_구리근무자명단'!$A457:$ZZ457,1,$E$2+2),4)),VALUE(MID(INDEX('입력_구리근무자명단'!$A457:$ZZ457,1,$E$2+2),6,2)),VALUE(MID(INDEX('입력_구리근무자명단'!$A457:$ZZ457,1,$E$2+2),9,2))),-1))))</f>
        <v/>
      </c>
      <c r="T459">
        <f>IF($R459="","",IF(INDEX('입력_구리근무자명단'!$A457:$ZZ457,1,$E$2+3)&amp;""="",EOMONTH(급여기준월,0),IF(ISNUMBER(INDEX('입력_구리근무자명단'!$A457:$ZZ457,1,$E$2+3)),INDEX('입력_구리근무자명단'!$A457:$ZZ457,1,$E$2+3),IFERROR(DATE(VALUE(LEFT(INDEX('입력_구리근무자명단'!$A457:$ZZ457,1,$E$2+3),4)),VALUE(MID(INDEX('입력_구리근무자명단'!$A457:$ZZ457,1,$E$2+3),6,2)),VALUE(MID(INDEX('입력_구리근무자명단'!$A457:$ZZ457,1,$E$2+3),9,2))),-1))))</f>
        <v/>
      </c>
      <c r="U459">
        <f>IF($R459="","",IF(OR($S459&lt;0,$T459&lt;0),0,MAX(0,MIN($T459,EOMONTH(급여기준월,0))-MAX($S459,급여기준월)+1)))</f>
        <v/>
      </c>
      <c r="V459">
        <f>IF($R459="","",TRIM(INDEX('입력_구리근무자명단'!$A457:$ZZ457,1,$E$2+5)&amp;""))</f>
        <v/>
      </c>
      <c r="W459">
        <f>IF(ISNUMBER(SEARCH("구리독자",$V459)),"구리독자","")</f>
        <v/>
      </c>
      <c r="X459">
        <f>IF($R459="","",$R459&amp;"|"&amp;IF(OR($Q459="인턴",ISNUMBER(SEARCH("수련교육부",$P459))),"인턴",$P459))</f>
        <v/>
      </c>
      <c r="Y459">
        <f>IF($R459="","",IF(COUNTIF(명단표[이름|과],$X459)=1,"명단 일치",IF(AND(COUNTIF(명단표[이름|과],$X459)=0,COUNTIF(명단표[이름],$R459)=1),"명단 일치(이름만, 과 다름)",IF(COUNTIF(명단표[이름],$R459)=0,IF(COUNTIF(기본자료표[이름],$R459)&gt;0,"명단에 없음(기본자료에는 있음)","명단에 없음"),"동명이인 확인"))))</f>
        <v/>
      </c>
      <c r="Z459">
        <f>IF($R459="","",IF($S459&lt;0,"⚠"&amp;INDEX('입력_구리근무자명단'!$A457:$ZZ457,1,$E$2+2),TEXT($S459,"yyyy-mm-dd")))</f>
        <v/>
      </c>
      <c r="AA459">
        <f>IF($R459="","",IF($T459&lt;0,"⚠"&amp;INDEX('입력_구리근무자명단'!$A457:$ZZ457,1,$E$2+3),TEXT($T459,"yyyy-mm-dd")))</f>
        <v/>
      </c>
      <c r="AB459">
        <f>AB458+IF($R459="",0,1)</f>
        <v/>
      </c>
      <c r="AC459">
        <f>IF($R459="","",$AB459)</f>
        <v/>
      </c>
    </row>
    <row r="460">
      <c r="A460">
        <f>IFERROR(INDEX($O$6:$O$1505,MATCH(455,$AC$6:$AC$1505,0)),"")</f>
        <v/>
      </c>
      <c r="B460">
        <f>IF(ISNUMBER($A460),INDEX($P$6:$P$1505,$A460-3),"")</f>
        <v/>
      </c>
      <c r="C460">
        <f>IF(ISNUMBER($A460),INDEX($Q$6:$Q$1505,$A460-3),"")</f>
        <v/>
      </c>
      <c r="D460">
        <f>IF(ISNUMBER($A460),INDEX($R$6:$R$1505,$A460-3),"")</f>
        <v/>
      </c>
      <c r="E460">
        <f>IF(ISNUMBER($A460),$G$2,"")</f>
        <v/>
      </c>
      <c r="F460">
        <f>IF(ISNUMBER($A460),INDEX($Z$6:$Z$1505,$A460-3),"")</f>
        <v/>
      </c>
      <c r="G460">
        <f>IF(ISNUMBER($A460),INDEX($AA$6:$AA$1505,$A460-3),"")</f>
        <v/>
      </c>
      <c r="H460">
        <f>IF(ISNUMBER($A460),INDEX($U$6:$U$1505,$A460-3),"")</f>
        <v/>
      </c>
      <c r="I460">
        <f>IF(ISNUMBER($A460),INDEX($V$6:$V$1505,$A460-3),"")</f>
        <v/>
      </c>
      <c r="J460">
        <f>IF(ISNUMBER($A460),INDEX($W$6:$W$1505,$A460-3),"")</f>
        <v/>
      </c>
      <c r="K460">
        <f>IF(ISNUMBER($A460),INDEX($X$6:$X$1505,$A460-3),"")</f>
        <v/>
      </c>
      <c r="L460">
        <f>IF(ISNUMBER($A460),INDEX($Y$6:$Y$1505,$A460-3),"")</f>
        <v/>
      </c>
      <c r="O460">
        <f>458</f>
        <v/>
      </c>
      <c r="P460">
        <f>IF(TRIM('입력_구리근무자명단'!$A458&amp;"")&lt;&gt;"",TRIM('입력_구리근무자명단'!$A458&amp;""),P459)</f>
        <v/>
      </c>
      <c r="Q460">
        <f>'입력_구리근무자명단'!$B458&amp;""</f>
        <v/>
      </c>
      <c r="R460">
        <f>IF($E$2="","",TRIM(INDEX('입력_구리근무자명단'!$A458:$ZZ458,1,$E$2+IF($G$2="확정",1,0))&amp;""))</f>
        <v/>
      </c>
      <c r="S460">
        <f>IF($R460="","",IF(INDEX('입력_구리근무자명단'!$A458:$ZZ458,1,$E$2+2)&amp;""="",급여기준월,IF(ISNUMBER(INDEX('입력_구리근무자명단'!$A458:$ZZ458,1,$E$2+2)),INDEX('입력_구리근무자명단'!$A458:$ZZ458,1,$E$2+2),IFERROR(DATE(VALUE(LEFT(INDEX('입력_구리근무자명단'!$A458:$ZZ458,1,$E$2+2),4)),VALUE(MID(INDEX('입력_구리근무자명단'!$A458:$ZZ458,1,$E$2+2),6,2)),VALUE(MID(INDEX('입력_구리근무자명단'!$A458:$ZZ458,1,$E$2+2),9,2))),-1))))</f>
        <v/>
      </c>
      <c r="T460">
        <f>IF($R460="","",IF(INDEX('입력_구리근무자명단'!$A458:$ZZ458,1,$E$2+3)&amp;""="",EOMONTH(급여기준월,0),IF(ISNUMBER(INDEX('입력_구리근무자명단'!$A458:$ZZ458,1,$E$2+3)),INDEX('입력_구리근무자명단'!$A458:$ZZ458,1,$E$2+3),IFERROR(DATE(VALUE(LEFT(INDEX('입력_구리근무자명단'!$A458:$ZZ458,1,$E$2+3),4)),VALUE(MID(INDEX('입력_구리근무자명단'!$A458:$ZZ458,1,$E$2+3),6,2)),VALUE(MID(INDEX('입력_구리근무자명단'!$A458:$ZZ458,1,$E$2+3),9,2))),-1))))</f>
        <v/>
      </c>
      <c r="U460">
        <f>IF($R460="","",IF(OR($S460&lt;0,$T460&lt;0),0,MAX(0,MIN($T460,EOMONTH(급여기준월,0))-MAX($S460,급여기준월)+1)))</f>
        <v/>
      </c>
      <c r="V460">
        <f>IF($R460="","",TRIM(INDEX('입력_구리근무자명단'!$A458:$ZZ458,1,$E$2+5)&amp;""))</f>
        <v/>
      </c>
      <c r="W460">
        <f>IF(ISNUMBER(SEARCH("구리독자",$V460)),"구리독자","")</f>
        <v/>
      </c>
      <c r="X460">
        <f>IF($R460="","",$R460&amp;"|"&amp;IF(OR($Q460="인턴",ISNUMBER(SEARCH("수련교육부",$P460))),"인턴",$P460))</f>
        <v/>
      </c>
      <c r="Y460">
        <f>IF($R460="","",IF(COUNTIF(명단표[이름|과],$X460)=1,"명단 일치",IF(AND(COUNTIF(명단표[이름|과],$X460)=0,COUNTIF(명단표[이름],$R460)=1),"명단 일치(이름만, 과 다름)",IF(COUNTIF(명단표[이름],$R460)=0,IF(COUNTIF(기본자료표[이름],$R460)&gt;0,"명단에 없음(기본자료에는 있음)","명단에 없음"),"동명이인 확인"))))</f>
        <v/>
      </c>
      <c r="Z460">
        <f>IF($R460="","",IF($S460&lt;0,"⚠"&amp;INDEX('입력_구리근무자명단'!$A458:$ZZ458,1,$E$2+2),TEXT($S460,"yyyy-mm-dd")))</f>
        <v/>
      </c>
      <c r="AA460">
        <f>IF($R460="","",IF($T460&lt;0,"⚠"&amp;INDEX('입력_구리근무자명단'!$A458:$ZZ458,1,$E$2+3),TEXT($T460,"yyyy-mm-dd")))</f>
        <v/>
      </c>
      <c r="AB460">
        <f>AB459+IF($R460="",0,1)</f>
        <v/>
      </c>
      <c r="AC460">
        <f>IF($R460="","",$AB460)</f>
        <v/>
      </c>
    </row>
    <row r="461">
      <c r="A461">
        <f>IFERROR(INDEX($O$6:$O$1505,MATCH(456,$AC$6:$AC$1505,0)),"")</f>
        <v/>
      </c>
      <c r="B461">
        <f>IF(ISNUMBER($A461),INDEX($P$6:$P$1505,$A461-3),"")</f>
        <v/>
      </c>
      <c r="C461">
        <f>IF(ISNUMBER($A461),INDEX($Q$6:$Q$1505,$A461-3),"")</f>
        <v/>
      </c>
      <c r="D461">
        <f>IF(ISNUMBER($A461),INDEX($R$6:$R$1505,$A461-3),"")</f>
        <v/>
      </c>
      <c r="E461">
        <f>IF(ISNUMBER($A461),$G$2,"")</f>
        <v/>
      </c>
      <c r="F461">
        <f>IF(ISNUMBER($A461),INDEX($Z$6:$Z$1505,$A461-3),"")</f>
        <v/>
      </c>
      <c r="G461">
        <f>IF(ISNUMBER($A461),INDEX($AA$6:$AA$1505,$A461-3),"")</f>
        <v/>
      </c>
      <c r="H461">
        <f>IF(ISNUMBER($A461),INDEX($U$6:$U$1505,$A461-3),"")</f>
        <v/>
      </c>
      <c r="I461">
        <f>IF(ISNUMBER($A461),INDEX($V$6:$V$1505,$A461-3),"")</f>
        <v/>
      </c>
      <c r="J461">
        <f>IF(ISNUMBER($A461),INDEX($W$6:$W$1505,$A461-3),"")</f>
        <v/>
      </c>
      <c r="K461">
        <f>IF(ISNUMBER($A461),INDEX($X$6:$X$1505,$A461-3),"")</f>
        <v/>
      </c>
      <c r="L461">
        <f>IF(ISNUMBER($A461),INDEX($Y$6:$Y$1505,$A461-3),"")</f>
        <v/>
      </c>
      <c r="O461">
        <f>459</f>
        <v/>
      </c>
      <c r="P461">
        <f>IF(TRIM('입력_구리근무자명단'!$A459&amp;"")&lt;&gt;"",TRIM('입력_구리근무자명단'!$A459&amp;""),P460)</f>
        <v/>
      </c>
      <c r="Q461">
        <f>'입력_구리근무자명단'!$B459&amp;""</f>
        <v/>
      </c>
      <c r="R461">
        <f>IF($E$2="","",TRIM(INDEX('입력_구리근무자명단'!$A459:$ZZ459,1,$E$2+IF($G$2="확정",1,0))&amp;""))</f>
        <v/>
      </c>
      <c r="S461">
        <f>IF($R461="","",IF(INDEX('입력_구리근무자명단'!$A459:$ZZ459,1,$E$2+2)&amp;""="",급여기준월,IF(ISNUMBER(INDEX('입력_구리근무자명단'!$A459:$ZZ459,1,$E$2+2)),INDEX('입력_구리근무자명단'!$A459:$ZZ459,1,$E$2+2),IFERROR(DATE(VALUE(LEFT(INDEX('입력_구리근무자명단'!$A459:$ZZ459,1,$E$2+2),4)),VALUE(MID(INDEX('입력_구리근무자명단'!$A459:$ZZ459,1,$E$2+2),6,2)),VALUE(MID(INDEX('입력_구리근무자명단'!$A459:$ZZ459,1,$E$2+2),9,2))),-1))))</f>
        <v/>
      </c>
      <c r="T461">
        <f>IF($R461="","",IF(INDEX('입력_구리근무자명단'!$A459:$ZZ459,1,$E$2+3)&amp;""="",EOMONTH(급여기준월,0),IF(ISNUMBER(INDEX('입력_구리근무자명단'!$A459:$ZZ459,1,$E$2+3)),INDEX('입력_구리근무자명단'!$A459:$ZZ459,1,$E$2+3),IFERROR(DATE(VALUE(LEFT(INDEX('입력_구리근무자명단'!$A459:$ZZ459,1,$E$2+3),4)),VALUE(MID(INDEX('입력_구리근무자명단'!$A459:$ZZ459,1,$E$2+3),6,2)),VALUE(MID(INDEX('입력_구리근무자명단'!$A459:$ZZ459,1,$E$2+3),9,2))),-1))))</f>
        <v/>
      </c>
      <c r="U461">
        <f>IF($R461="","",IF(OR($S461&lt;0,$T461&lt;0),0,MAX(0,MIN($T461,EOMONTH(급여기준월,0))-MAX($S461,급여기준월)+1)))</f>
        <v/>
      </c>
      <c r="V461">
        <f>IF($R461="","",TRIM(INDEX('입력_구리근무자명단'!$A459:$ZZ459,1,$E$2+5)&amp;""))</f>
        <v/>
      </c>
      <c r="W461">
        <f>IF(ISNUMBER(SEARCH("구리독자",$V461)),"구리독자","")</f>
        <v/>
      </c>
      <c r="X461">
        <f>IF($R461="","",$R461&amp;"|"&amp;IF(OR($Q461="인턴",ISNUMBER(SEARCH("수련교육부",$P461))),"인턴",$P461))</f>
        <v/>
      </c>
      <c r="Y461">
        <f>IF($R461="","",IF(COUNTIF(명단표[이름|과],$X461)=1,"명단 일치",IF(AND(COUNTIF(명단표[이름|과],$X461)=0,COUNTIF(명단표[이름],$R461)=1),"명단 일치(이름만, 과 다름)",IF(COUNTIF(명단표[이름],$R461)=0,IF(COUNTIF(기본자료표[이름],$R461)&gt;0,"명단에 없음(기본자료에는 있음)","명단에 없음"),"동명이인 확인"))))</f>
        <v/>
      </c>
      <c r="Z461">
        <f>IF($R461="","",IF($S461&lt;0,"⚠"&amp;INDEX('입력_구리근무자명단'!$A459:$ZZ459,1,$E$2+2),TEXT($S461,"yyyy-mm-dd")))</f>
        <v/>
      </c>
      <c r="AA461">
        <f>IF($R461="","",IF($T461&lt;0,"⚠"&amp;INDEX('입력_구리근무자명단'!$A459:$ZZ459,1,$E$2+3),TEXT($T461,"yyyy-mm-dd")))</f>
        <v/>
      </c>
      <c r="AB461">
        <f>AB460+IF($R461="",0,1)</f>
        <v/>
      </c>
      <c r="AC461">
        <f>IF($R461="","",$AB461)</f>
        <v/>
      </c>
    </row>
    <row r="462">
      <c r="A462">
        <f>IFERROR(INDEX($O$6:$O$1505,MATCH(457,$AC$6:$AC$1505,0)),"")</f>
        <v/>
      </c>
      <c r="B462">
        <f>IF(ISNUMBER($A462),INDEX($P$6:$P$1505,$A462-3),"")</f>
        <v/>
      </c>
      <c r="C462">
        <f>IF(ISNUMBER($A462),INDEX($Q$6:$Q$1505,$A462-3),"")</f>
        <v/>
      </c>
      <c r="D462">
        <f>IF(ISNUMBER($A462),INDEX($R$6:$R$1505,$A462-3),"")</f>
        <v/>
      </c>
      <c r="E462">
        <f>IF(ISNUMBER($A462),$G$2,"")</f>
        <v/>
      </c>
      <c r="F462">
        <f>IF(ISNUMBER($A462),INDEX($Z$6:$Z$1505,$A462-3),"")</f>
        <v/>
      </c>
      <c r="G462">
        <f>IF(ISNUMBER($A462),INDEX($AA$6:$AA$1505,$A462-3),"")</f>
        <v/>
      </c>
      <c r="H462">
        <f>IF(ISNUMBER($A462),INDEX($U$6:$U$1505,$A462-3),"")</f>
        <v/>
      </c>
      <c r="I462">
        <f>IF(ISNUMBER($A462),INDEX($V$6:$V$1505,$A462-3),"")</f>
        <v/>
      </c>
      <c r="J462">
        <f>IF(ISNUMBER($A462),INDEX($W$6:$W$1505,$A462-3),"")</f>
        <v/>
      </c>
      <c r="K462">
        <f>IF(ISNUMBER($A462),INDEX($X$6:$X$1505,$A462-3),"")</f>
        <v/>
      </c>
      <c r="L462">
        <f>IF(ISNUMBER($A462),INDEX($Y$6:$Y$1505,$A462-3),"")</f>
        <v/>
      </c>
      <c r="O462">
        <f>460</f>
        <v/>
      </c>
      <c r="P462">
        <f>IF(TRIM('입력_구리근무자명단'!$A460&amp;"")&lt;&gt;"",TRIM('입력_구리근무자명단'!$A460&amp;""),P461)</f>
        <v/>
      </c>
      <c r="Q462">
        <f>'입력_구리근무자명단'!$B460&amp;""</f>
        <v/>
      </c>
      <c r="R462">
        <f>IF($E$2="","",TRIM(INDEX('입력_구리근무자명단'!$A460:$ZZ460,1,$E$2+IF($G$2="확정",1,0))&amp;""))</f>
        <v/>
      </c>
      <c r="S462">
        <f>IF($R462="","",IF(INDEX('입력_구리근무자명단'!$A460:$ZZ460,1,$E$2+2)&amp;""="",급여기준월,IF(ISNUMBER(INDEX('입력_구리근무자명단'!$A460:$ZZ460,1,$E$2+2)),INDEX('입력_구리근무자명단'!$A460:$ZZ460,1,$E$2+2),IFERROR(DATE(VALUE(LEFT(INDEX('입력_구리근무자명단'!$A460:$ZZ460,1,$E$2+2),4)),VALUE(MID(INDEX('입력_구리근무자명단'!$A460:$ZZ460,1,$E$2+2),6,2)),VALUE(MID(INDEX('입력_구리근무자명단'!$A460:$ZZ460,1,$E$2+2),9,2))),-1))))</f>
        <v/>
      </c>
      <c r="T462">
        <f>IF($R462="","",IF(INDEX('입력_구리근무자명단'!$A460:$ZZ460,1,$E$2+3)&amp;""="",EOMONTH(급여기준월,0),IF(ISNUMBER(INDEX('입력_구리근무자명단'!$A460:$ZZ460,1,$E$2+3)),INDEX('입력_구리근무자명단'!$A460:$ZZ460,1,$E$2+3),IFERROR(DATE(VALUE(LEFT(INDEX('입력_구리근무자명단'!$A460:$ZZ460,1,$E$2+3),4)),VALUE(MID(INDEX('입력_구리근무자명단'!$A460:$ZZ460,1,$E$2+3),6,2)),VALUE(MID(INDEX('입력_구리근무자명단'!$A460:$ZZ460,1,$E$2+3),9,2))),-1))))</f>
        <v/>
      </c>
      <c r="U462">
        <f>IF($R462="","",IF(OR($S462&lt;0,$T462&lt;0),0,MAX(0,MIN($T462,EOMONTH(급여기준월,0))-MAX($S462,급여기준월)+1)))</f>
        <v/>
      </c>
      <c r="V462">
        <f>IF($R462="","",TRIM(INDEX('입력_구리근무자명단'!$A460:$ZZ460,1,$E$2+5)&amp;""))</f>
        <v/>
      </c>
      <c r="W462">
        <f>IF(ISNUMBER(SEARCH("구리독자",$V462)),"구리독자","")</f>
        <v/>
      </c>
      <c r="X462">
        <f>IF($R462="","",$R462&amp;"|"&amp;IF(OR($Q462="인턴",ISNUMBER(SEARCH("수련교육부",$P462))),"인턴",$P462))</f>
        <v/>
      </c>
      <c r="Y462">
        <f>IF($R462="","",IF(COUNTIF(명단표[이름|과],$X462)=1,"명단 일치",IF(AND(COUNTIF(명단표[이름|과],$X462)=0,COUNTIF(명단표[이름],$R462)=1),"명단 일치(이름만, 과 다름)",IF(COUNTIF(명단표[이름],$R462)=0,IF(COUNTIF(기본자료표[이름],$R462)&gt;0,"명단에 없음(기본자료에는 있음)","명단에 없음"),"동명이인 확인"))))</f>
        <v/>
      </c>
      <c r="Z462">
        <f>IF($R462="","",IF($S462&lt;0,"⚠"&amp;INDEX('입력_구리근무자명단'!$A460:$ZZ460,1,$E$2+2),TEXT($S462,"yyyy-mm-dd")))</f>
        <v/>
      </c>
      <c r="AA462">
        <f>IF($R462="","",IF($T462&lt;0,"⚠"&amp;INDEX('입력_구리근무자명단'!$A460:$ZZ460,1,$E$2+3),TEXT($T462,"yyyy-mm-dd")))</f>
        <v/>
      </c>
      <c r="AB462">
        <f>AB461+IF($R462="",0,1)</f>
        <v/>
      </c>
      <c r="AC462">
        <f>IF($R462="","",$AB462)</f>
        <v/>
      </c>
    </row>
    <row r="463">
      <c r="A463">
        <f>IFERROR(INDEX($O$6:$O$1505,MATCH(458,$AC$6:$AC$1505,0)),"")</f>
        <v/>
      </c>
      <c r="B463">
        <f>IF(ISNUMBER($A463),INDEX($P$6:$P$1505,$A463-3),"")</f>
        <v/>
      </c>
      <c r="C463">
        <f>IF(ISNUMBER($A463),INDEX($Q$6:$Q$1505,$A463-3),"")</f>
        <v/>
      </c>
      <c r="D463">
        <f>IF(ISNUMBER($A463),INDEX($R$6:$R$1505,$A463-3),"")</f>
        <v/>
      </c>
      <c r="E463">
        <f>IF(ISNUMBER($A463),$G$2,"")</f>
        <v/>
      </c>
      <c r="F463">
        <f>IF(ISNUMBER($A463),INDEX($Z$6:$Z$1505,$A463-3),"")</f>
        <v/>
      </c>
      <c r="G463">
        <f>IF(ISNUMBER($A463),INDEX($AA$6:$AA$1505,$A463-3),"")</f>
        <v/>
      </c>
      <c r="H463">
        <f>IF(ISNUMBER($A463),INDEX($U$6:$U$1505,$A463-3),"")</f>
        <v/>
      </c>
      <c r="I463">
        <f>IF(ISNUMBER($A463),INDEX($V$6:$V$1505,$A463-3),"")</f>
        <v/>
      </c>
      <c r="J463">
        <f>IF(ISNUMBER($A463),INDEX($W$6:$W$1505,$A463-3),"")</f>
        <v/>
      </c>
      <c r="K463">
        <f>IF(ISNUMBER($A463),INDEX($X$6:$X$1505,$A463-3),"")</f>
        <v/>
      </c>
      <c r="L463">
        <f>IF(ISNUMBER($A463),INDEX($Y$6:$Y$1505,$A463-3),"")</f>
        <v/>
      </c>
      <c r="O463">
        <f>461</f>
        <v/>
      </c>
      <c r="P463">
        <f>IF(TRIM('입력_구리근무자명단'!$A461&amp;"")&lt;&gt;"",TRIM('입력_구리근무자명단'!$A461&amp;""),P462)</f>
        <v/>
      </c>
      <c r="Q463">
        <f>'입력_구리근무자명단'!$B461&amp;""</f>
        <v/>
      </c>
      <c r="R463">
        <f>IF($E$2="","",TRIM(INDEX('입력_구리근무자명단'!$A461:$ZZ461,1,$E$2+IF($G$2="확정",1,0))&amp;""))</f>
        <v/>
      </c>
      <c r="S463">
        <f>IF($R463="","",IF(INDEX('입력_구리근무자명단'!$A461:$ZZ461,1,$E$2+2)&amp;""="",급여기준월,IF(ISNUMBER(INDEX('입력_구리근무자명단'!$A461:$ZZ461,1,$E$2+2)),INDEX('입력_구리근무자명단'!$A461:$ZZ461,1,$E$2+2),IFERROR(DATE(VALUE(LEFT(INDEX('입력_구리근무자명단'!$A461:$ZZ461,1,$E$2+2),4)),VALUE(MID(INDEX('입력_구리근무자명단'!$A461:$ZZ461,1,$E$2+2),6,2)),VALUE(MID(INDEX('입력_구리근무자명단'!$A461:$ZZ461,1,$E$2+2),9,2))),-1))))</f>
        <v/>
      </c>
      <c r="T463">
        <f>IF($R463="","",IF(INDEX('입력_구리근무자명단'!$A461:$ZZ461,1,$E$2+3)&amp;""="",EOMONTH(급여기준월,0),IF(ISNUMBER(INDEX('입력_구리근무자명단'!$A461:$ZZ461,1,$E$2+3)),INDEX('입력_구리근무자명단'!$A461:$ZZ461,1,$E$2+3),IFERROR(DATE(VALUE(LEFT(INDEX('입력_구리근무자명단'!$A461:$ZZ461,1,$E$2+3),4)),VALUE(MID(INDEX('입력_구리근무자명단'!$A461:$ZZ461,1,$E$2+3),6,2)),VALUE(MID(INDEX('입력_구리근무자명단'!$A461:$ZZ461,1,$E$2+3),9,2))),-1))))</f>
        <v/>
      </c>
      <c r="U463">
        <f>IF($R463="","",IF(OR($S463&lt;0,$T463&lt;0),0,MAX(0,MIN($T463,EOMONTH(급여기준월,0))-MAX($S463,급여기준월)+1)))</f>
        <v/>
      </c>
      <c r="V463">
        <f>IF($R463="","",TRIM(INDEX('입력_구리근무자명단'!$A461:$ZZ461,1,$E$2+5)&amp;""))</f>
        <v/>
      </c>
      <c r="W463">
        <f>IF(ISNUMBER(SEARCH("구리독자",$V463)),"구리독자","")</f>
        <v/>
      </c>
      <c r="X463">
        <f>IF($R463="","",$R463&amp;"|"&amp;IF(OR($Q463="인턴",ISNUMBER(SEARCH("수련교육부",$P463))),"인턴",$P463))</f>
        <v/>
      </c>
      <c r="Y463">
        <f>IF($R463="","",IF(COUNTIF(명단표[이름|과],$X463)=1,"명단 일치",IF(AND(COUNTIF(명단표[이름|과],$X463)=0,COUNTIF(명단표[이름],$R463)=1),"명단 일치(이름만, 과 다름)",IF(COUNTIF(명단표[이름],$R463)=0,IF(COUNTIF(기본자료표[이름],$R463)&gt;0,"명단에 없음(기본자료에는 있음)","명단에 없음"),"동명이인 확인"))))</f>
        <v/>
      </c>
      <c r="Z463">
        <f>IF($R463="","",IF($S463&lt;0,"⚠"&amp;INDEX('입력_구리근무자명단'!$A461:$ZZ461,1,$E$2+2),TEXT($S463,"yyyy-mm-dd")))</f>
        <v/>
      </c>
      <c r="AA463">
        <f>IF($R463="","",IF($T463&lt;0,"⚠"&amp;INDEX('입력_구리근무자명단'!$A461:$ZZ461,1,$E$2+3),TEXT($T463,"yyyy-mm-dd")))</f>
        <v/>
      </c>
      <c r="AB463">
        <f>AB462+IF($R463="",0,1)</f>
        <v/>
      </c>
      <c r="AC463">
        <f>IF($R463="","",$AB463)</f>
        <v/>
      </c>
    </row>
    <row r="464">
      <c r="A464">
        <f>IFERROR(INDEX($O$6:$O$1505,MATCH(459,$AC$6:$AC$1505,0)),"")</f>
        <v/>
      </c>
      <c r="B464">
        <f>IF(ISNUMBER($A464),INDEX($P$6:$P$1505,$A464-3),"")</f>
        <v/>
      </c>
      <c r="C464">
        <f>IF(ISNUMBER($A464),INDEX($Q$6:$Q$1505,$A464-3),"")</f>
        <v/>
      </c>
      <c r="D464">
        <f>IF(ISNUMBER($A464),INDEX($R$6:$R$1505,$A464-3),"")</f>
        <v/>
      </c>
      <c r="E464">
        <f>IF(ISNUMBER($A464),$G$2,"")</f>
        <v/>
      </c>
      <c r="F464">
        <f>IF(ISNUMBER($A464),INDEX($Z$6:$Z$1505,$A464-3),"")</f>
        <v/>
      </c>
      <c r="G464">
        <f>IF(ISNUMBER($A464),INDEX($AA$6:$AA$1505,$A464-3),"")</f>
        <v/>
      </c>
      <c r="H464">
        <f>IF(ISNUMBER($A464),INDEX($U$6:$U$1505,$A464-3),"")</f>
        <v/>
      </c>
      <c r="I464">
        <f>IF(ISNUMBER($A464),INDEX($V$6:$V$1505,$A464-3),"")</f>
        <v/>
      </c>
      <c r="J464">
        <f>IF(ISNUMBER($A464),INDEX($W$6:$W$1505,$A464-3),"")</f>
        <v/>
      </c>
      <c r="K464">
        <f>IF(ISNUMBER($A464),INDEX($X$6:$X$1505,$A464-3),"")</f>
        <v/>
      </c>
      <c r="L464">
        <f>IF(ISNUMBER($A464),INDEX($Y$6:$Y$1505,$A464-3),"")</f>
        <v/>
      </c>
      <c r="O464">
        <f>462</f>
        <v/>
      </c>
      <c r="P464">
        <f>IF(TRIM('입력_구리근무자명단'!$A462&amp;"")&lt;&gt;"",TRIM('입력_구리근무자명단'!$A462&amp;""),P463)</f>
        <v/>
      </c>
      <c r="Q464">
        <f>'입력_구리근무자명단'!$B462&amp;""</f>
        <v/>
      </c>
      <c r="R464">
        <f>IF($E$2="","",TRIM(INDEX('입력_구리근무자명단'!$A462:$ZZ462,1,$E$2+IF($G$2="확정",1,0))&amp;""))</f>
        <v/>
      </c>
      <c r="S464">
        <f>IF($R464="","",IF(INDEX('입력_구리근무자명단'!$A462:$ZZ462,1,$E$2+2)&amp;""="",급여기준월,IF(ISNUMBER(INDEX('입력_구리근무자명단'!$A462:$ZZ462,1,$E$2+2)),INDEX('입력_구리근무자명단'!$A462:$ZZ462,1,$E$2+2),IFERROR(DATE(VALUE(LEFT(INDEX('입력_구리근무자명단'!$A462:$ZZ462,1,$E$2+2),4)),VALUE(MID(INDEX('입력_구리근무자명단'!$A462:$ZZ462,1,$E$2+2),6,2)),VALUE(MID(INDEX('입력_구리근무자명단'!$A462:$ZZ462,1,$E$2+2),9,2))),-1))))</f>
        <v/>
      </c>
      <c r="T464">
        <f>IF($R464="","",IF(INDEX('입력_구리근무자명단'!$A462:$ZZ462,1,$E$2+3)&amp;""="",EOMONTH(급여기준월,0),IF(ISNUMBER(INDEX('입력_구리근무자명단'!$A462:$ZZ462,1,$E$2+3)),INDEX('입력_구리근무자명단'!$A462:$ZZ462,1,$E$2+3),IFERROR(DATE(VALUE(LEFT(INDEX('입력_구리근무자명단'!$A462:$ZZ462,1,$E$2+3),4)),VALUE(MID(INDEX('입력_구리근무자명단'!$A462:$ZZ462,1,$E$2+3),6,2)),VALUE(MID(INDEX('입력_구리근무자명단'!$A462:$ZZ462,1,$E$2+3),9,2))),-1))))</f>
        <v/>
      </c>
      <c r="U464">
        <f>IF($R464="","",IF(OR($S464&lt;0,$T464&lt;0),0,MAX(0,MIN($T464,EOMONTH(급여기준월,0))-MAX($S464,급여기준월)+1)))</f>
        <v/>
      </c>
      <c r="V464">
        <f>IF($R464="","",TRIM(INDEX('입력_구리근무자명단'!$A462:$ZZ462,1,$E$2+5)&amp;""))</f>
        <v/>
      </c>
      <c r="W464">
        <f>IF(ISNUMBER(SEARCH("구리독자",$V464)),"구리독자","")</f>
        <v/>
      </c>
      <c r="X464">
        <f>IF($R464="","",$R464&amp;"|"&amp;IF(OR($Q464="인턴",ISNUMBER(SEARCH("수련교육부",$P464))),"인턴",$P464))</f>
        <v/>
      </c>
      <c r="Y464">
        <f>IF($R464="","",IF(COUNTIF(명단표[이름|과],$X464)=1,"명단 일치",IF(AND(COUNTIF(명단표[이름|과],$X464)=0,COUNTIF(명단표[이름],$R464)=1),"명단 일치(이름만, 과 다름)",IF(COUNTIF(명단표[이름],$R464)=0,IF(COUNTIF(기본자료표[이름],$R464)&gt;0,"명단에 없음(기본자료에는 있음)","명단에 없음"),"동명이인 확인"))))</f>
        <v/>
      </c>
      <c r="Z464">
        <f>IF($R464="","",IF($S464&lt;0,"⚠"&amp;INDEX('입력_구리근무자명단'!$A462:$ZZ462,1,$E$2+2),TEXT($S464,"yyyy-mm-dd")))</f>
        <v/>
      </c>
      <c r="AA464">
        <f>IF($R464="","",IF($T464&lt;0,"⚠"&amp;INDEX('입력_구리근무자명단'!$A462:$ZZ462,1,$E$2+3),TEXT($T464,"yyyy-mm-dd")))</f>
        <v/>
      </c>
      <c r="AB464">
        <f>AB463+IF($R464="",0,1)</f>
        <v/>
      </c>
      <c r="AC464">
        <f>IF($R464="","",$AB464)</f>
        <v/>
      </c>
    </row>
    <row r="465">
      <c r="A465">
        <f>IFERROR(INDEX($O$6:$O$1505,MATCH(460,$AC$6:$AC$1505,0)),"")</f>
        <v/>
      </c>
      <c r="B465">
        <f>IF(ISNUMBER($A465),INDEX($P$6:$P$1505,$A465-3),"")</f>
        <v/>
      </c>
      <c r="C465">
        <f>IF(ISNUMBER($A465),INDEX($Q$6:$Q$1505,$A465-3),"")</f>
        <v/>
      </c>
      <c r="D465">
        <f>IF(ISNUMBER($A465),INDEX($R$6:$R$1505,$A465-3),"")</f>
        <v/>
      </c>
      <c r="E465">
        <f>IF(ISNUMBER($A465),$G$2,"")</f>
        <v/>
      </c>
      <c r="F465">
        <f>IF(ISNUMBER($A465),INDEX($Z$6:$Z$1505,$A465-3),"")</f>
        <v/>
      </c>
      <c r="G465">
        <f>IF(ISNUMBER($A465),INDEX($AA$6:$AA$1505,$A465-3),"")</f>
        <v/>
      </c>
      <c r="H465">
        <f>IF(ISNUMBER($A465),INDEX($U$6:$U$1505,$A465-3),"")</f>
        <v/>
      </c>
      <c r="I465">
        <f>IF(ISNUMBER($A465),INDEX($V$6:$V$1505,$A465-3),"")</f>
        <v/>
      </c>
      <c r="J465">
        <f>IF(ISNUMBER($A465),INDEX($W$6:$W$1505,$A465-3),"")</f>
        <v/>
      </c>
      <c r="K465">
        <f>IF(ISNUMBER($A465),INDEX($X$6:$X$1505,$A465-3),"")</f>
        <v/>
      </c>
      <c r="L465">
        <f>IF(ISNUMBER($A465),INDEX($Y$6:$Y$1505,$A465-3),"")</f>
        <v/>
      </c>
      <c r="O465">
        <f>463</f>
        <v/>
      </c>
      <c r="P465">
        <f>IF(TRIM('입력_구리근무자명단'!$A463&amp;"")&lt;&gt;"",TRIM('입력_구리근무자명단'!$A463&amp;""),P464)</f>
        <v/>
      </c>
      <c r="Q465">
        <f>'입력_구리근무자명단'!$B463&amp;""</f>
        <v/>
      </c>
      <c r="R465">
        <f>IF($E$2="","",TRIM(INDEX('입력_구리근무자명단'!$A463:$ZZ463,1,$E$2+IF($G$2="확정",1,0))&amp;""))</f>
        <v/>
      </c>
      <c r="S465">
        <f>IF($R465="","",IF(INDEX('입력_구리근무자명단'!$A463:$ZZ463,1,$E$2+2)&amp;""="",급여기준월,IF(ISNUMBER(INDEX('입력_구리근무자명단'!$A463:$ZZ463,1,$E$2+2)),INDEX('입력_구리근무자명단'!$A463:$ZZ463,1,$E$2+2),IFERROR(DATE(VALUE(LEFT(INDEX('입력_구리근무자명단'!$A463:$ZZ463,1,$E$2+2),4)),VALUE(MID(INDEX('입력_구리근무자명단'!$A463:$ZZ463,1,$E$2+2),6,2)),VALUE(MID(INDEX('입력_구리근무자명단'!$A463:$ZZ463,1,$E$2+2),9,2))),-1))))</f>
        <v/>
      </c>
      <c r="T465">
        <f>IF($R465="","",IF(INDEX('입력_구리근무자명단'!$A463:$ZZ463,1,$E$2+3)&amp;""="",EOMONTH(급여기준월,0),IF(ISNUMBER(INDEX('입력_구리근무자명단'!$A463:$ZZ463,1,$E$2+3)),INDEX('입력_구리근무자명단'!$A463:$ZZ463,1,$E$2+3),IFERROR(DATE(VALUE(LEFT(INDEX('입력_구리근무자명단'!$A463:$ZZ463,1,$E$2+3),4)),VALUE(MID(INDEX('입력_구리근무자명단'!$A463:$ZZ463,1,$E$2+3),6,2)),VALUE(MID(INDEX('입력_구리근무자명단'!$A463:$ZZ463,1,$E$2+3),9,2))),-1))))</f>
        <v/>
      </c>
      <c r="U465">
        <f>IF($R465="","",IF(OR($S465&lt;0,$T465&lt;0),0,MAX(0,MIN($T465,EOMONTH(급여기준월,0))-MAX($S465,급여기준월)+1)))</f>
        <v/>
      </c>
      <c r="V465">
        <f>IF($R465="","",TRIM(INDEX('입력_구리근무자명단'!$A463:$ZZ463,1,$E$2+5)&amp;""))</f>
        <v/>
      </c>
      <c r="W465">
        <f>IF(ISNUMBER(SEARCH("구리독자",$V465)),"구리독자","")</f>
        <v/>
      </c>
      <c r="X465">
        <f>IF($R465="","",$R465&amp;"|"&amp;IF(OR($Q465="인턴",ISNUMBER(SEARCH("수련교육부",$P465))),"인턴",$P465))</f>
        <v/>
      </c>
      <c r="Y465">
        <f>IF($R465="","",IF(COUNTIF(명단표[이름|과],$X465)=1,"명단 일치",IF(AND(COUNTIF(명단표[이름|과],$X465)=0,COUNTIF(명단표[이름],$R465)=1),"명단 일치(이름만, 과 다름)",IF(COUNTIF(명단표[이름],$R465)=0,IF(COUNTIF(기본자료표[이름],$R465)&gt;0,"명단에 없음(기본자료에는 있음)","명단에 없음"),"동명이인 확인"))))</f>
        <v/>
      </c>
      <c r="Z465">
        <f>IF($R465="","",IF($S465&lt;0,"⚠"&amp;INDEX('입력_구리근무자명단'!$A463:$ZZ463,1,$E$2+2),TEXT($S465,"yyyy-mm-dd")))</f>
        <v/>
      </c>
      <c r="AA465">
        <f>IF($R465="","",IF($T465&lt;0,"⚠"&amp;INDEX('입력_구리근무자명단'!$A463:$ZZ463,1,$E$2+3),TEXT($T465,"yyyy-mm-dd")))</f>
        <v/>
      </c>
      <c r="AB465">
        <f>AB464+IF($R465="",0,1)</f>
        <v/>
      </c>
      <c r="AC465">
        <f>IF($R465="","",$AB465)</f>
        <v/>
      </c>
    </row>
    <row r="466">
      <c r="A466">
        <f>IFERROR(INDEX($O$6:$O$1505,MATCH(461,$AC$6:$AC$1505,0)),"")</f>
        <v/>
      </c>
      <c r="B466">
        <f>IF(ISNUMBER($A466),INDEX($P$6:$P$1505,$A466-3),"")</f>
        <v/>
      </c>
      <c r="C466">
        <f>IF(ISNUMBER($A466),INDEX($Q$6:$Q$1505,$A466-3),"")</f>
        <v/>
      </c>
      <c r="D466">
        <f>IF(ISNUMBER($A466),INDEX($R$6:$R$1505,$A466-3),"")</f>
        <v/>
      </c>
      <c r="E466">
        <f>IF(ISNUMBER($A466),$G$2,"")</f>
        <v/>
      </c>
      <c r="F466">
        <f>IF(ISNUMBER($A466),INDEX($Z$6:$Z$1505,$A466-3),"")</f>
        <v/>
      </c>
      <c r="G466">
        <f>IF(ISNUMBER($A466),INDEX($AA$6:$AA$1505,$A466-3),"")</f>
        <v/>
      </c>
      <c r="H466">
        <f>IF(ISNUMBER($A466),INDEX($U$6:$U$1505,$A466-3),"")</f>
        <v/>
      </c>
      <c r="I466">
        <f>IF(ISNUMBER($A466),INDEX($V$6:$V$1505,$A466-3),"")</f>
        <v/>
      </c>
      <c r="J466">
        <f>IF(ISNUMBER($A466),INDEX($W$6:$W$1505,$A466-3),"")</f>
        <v/>
      </c>
      <c r="K466">
        <f>IF(ISNUMBER($A466),INDEX($X$6:$X$1505,$A466-3),"")</f>
        <v/>
      </c>
      <c r="L466">
        <f>IF(ISNUMBER($A466),INDEX($Y$6:$Y$1505,$A466-3),"")</f>
        <v/>
      </c>
      <c r="O466">
        <f>464</f>
        <v/>
      </c>
      <c r="P466">
        <f>IF(TRIM('입력_구리근무자명단'!$A464&amp;"")&lt;&gt;"",TRIM('입력_구리근무자명단'!$A464&amp;""),P465)</f>
        <v/>
      </c>
      <c r="Q466">
        <f>'입력_구리근무자명단'!$B464&amp;""</f>
        <v/>
      </c>
      <c r="R466">
        <f>IF($E$2="","",TRIM(INDEX('입력_구리근무자명단'!$A464:$ZZ464,1,$E$2+IF($G$2="확정",1,0))&amp;""))</f>
        <v/>
      </c>
      <c r="S466">
        <f>IF($R466="","",IF(INDEX('입력_구리근무자명단'!$A464:$ZZ464,1,$E$2+2)&amp;""="",급여기준월,IF(ISNUMBER(INDEX('입력_구리근무자명단'!$A464:$ZZ464,1,$E$2+2)),INDEX('입력_구리근무자명단'!$A464:$ZZ464,1,$E$2+2),IFERROR(DATE(VALUE(LEFT(INDEX('입력_구리근무자명단'!$A464:$ZZ464,1,$E$2+2),4)),VALUE(MID(INDEX('입력_구리근무자명단'!$A464:$ZZ464,1,$E$2+2),6,2)),VALUE(MID(INDEX('입력_구리근무자명단'!$A464:$ZZ464,1,$E$2+2),9,2))),-1))))</f>
        <v/>
      </c>
      <c r="T466">
        <f>IF($R466="","",IF(INDEX('입력_구리근무자명단'!$A464:$ZZ464,1,$E$2+3)&amp;""="",EOMONTH(급여기준월,0),IF(ISNUMBER(INDEX('입력_구리근무자명단'!$A464:$ZZ464,1,$E$2+3)),INDEX('입력_구리근무자명단'!$A464:$ZZ464,1,$E$2+3),IFERROR(DATE(VALUE(LEFT(INDEX('입력_구리근무자명단'!$A464:$ZZ464,1,$E$2+3),4)),VALUE(MID(INDEX('입력_구리근무자명단'!$A464:$ZZ464,1,$E$2+3),6,2)),VALUE(MID(INDEX('입력_구리근무자명단'!$A464:$ZZ464,1,$E$2+3),9,2))),-1))))</f>
        <v/>
      </c>
      <c r="U466">
        <f>IF($R466="","",IF(OR($S466&lt;0,$T466&lt;0),0,MAX(0,MIN($T466,EOMONTH(급여기준월,0))-MAX($S466,급여기준월)+1)))</f>
        <v/>
      </c>
      <c r="V466">
        <f>IF($R466="","",TRIM(INDEX('입력_구리근무자명단'!$A464:$ZZ464,1,$E$2+5)&amp;""))</f>
        <v/>
      </c>
      <c r="W466">
        <f>IF(ISNUMBER(SEARCH("구리독자",$V466)),"구리독자","")</f>
        <v/>
      </c>
      <c r="X466">
        <f>IF($R466="","",$R466&amp;"|"&amp;IF(OR($Q466="인턴",ISNUMBER(SEARCH("수련교육부",$P466))),"인턴",$P466))</f>
        <v/>
      </c>
      <c r="Y466">
        <f>IF($R466="","",IF(COUNTIF(명단표[이름|과],$X466)=1,"명단 일치",IF(AND(COUNTIF(명단표[이름|과],$X466)=0,COUNTIF(명단표[이름],$R466)=1),"명단 일치(이름만, 과 다름)",IF(COUNTIF(명단표[이름],$R466)=0,IF(COUNTIF(기본자료표[이름],$R466)&gt;0,"명단에 없음(기본자료에는 있음)","명단에 없음"),"동명이인 확인"))))</f>
        <v/>
      </c>
      <c r="Z466">
        <f>IF($R466="","",IF($S466&lt;0,"⚠"&amp;INDEX('입력_구리근무자명단'!$A464:$ZZ464,1,$E$2+2),TEXT($S466,"yyyy-mm-dd")))</f>
        <v/>
      </c>
      <c r="AA466">
        <f>IF($R466="","",IF($T466&lt;0,"⚠"&amp;INDEX('입력_구리근무자명단'!$A464:$ZZ464,1,$E$2+3),TEXT($T466,"yyyy-mm-dd")))</f>
        <v/>
      </c>
      <c r="AB466">
        <f>AB465+IF($R466="",0,1)</f>
        <v/>
      </c>
      <c r="AC466">
        <f>IF($R466="","",$AB466)</f>
        <v/>
      </c>
    </row>
    <row r="467">
      <c r="A467">
        <f>IFERROR(INDEX($O$6:$O$1505,MATCH(462,$AC$6:$AC$1505,0)),"")</f>
        <v/>
      </c>
      <c r="B467">
        <f>IF(ISNUMBER($A467),INDEX($P$6:$P$1505,$A467-3),"")</f>
        <v/>
      </c>
      <c r="C467">
        <f>IF(ISNUMBER($A467),INDEX($Q$6:$Q$1505,$A467-3),"")</f>
        <v/>
      </c>
      <c r="D467">
        <f>IF(ISNUMBER($A467),INDEX($R$6:$R$1505,$A467-3),"")</f>
        <v/>
      </c>
      <c r="E467">
        <f>IF(ISNUMBER($A467),$G$2,"")</f>
        <v/>
      </c>
      <c r="F467">
        <f>IF(ISNUMBER($A467),INDEX($Z$6:$Z$1505,$A467-3),"")</f>
        <v/>
      </c>
      <c r="G467">
        <f>IF(ISNUMBER($A467),INDEX($AA$6:$AA$1505,$A467-3),"")</f>
        <v/>
      </c>
      <c r="H467">
        <f>IF(ISNUMBER($A467),INDEX($U$6:$U$1505,$A467-3),"")</f>
        <v/>
      </c>
      <c r="I467">
        <f>IF(ISNUMBER($A467),INDEX($V$6:$V$1505,$A467-3),"")</f>
        <v/>
      </c>
      <c r="J467">
        <f>IF(ISNUMBER($A467),INDEX($W$6:$W$1505,$A467-3),"")</f>
        <v/>
      </c>
      <c r="K467">
        <f>IF(ISNUMBER($A467),INDEX($X$6:$X$1505,$A467-3),"")</f>
        <v/>
      </c>
      <c r="L467">
        <f>IF(ISNUMBER($A467),INDEX($Y$6:$Y$1505,$A467-3),"")</f>
        <v/>
      </c>
      <c r="O467">
        <f>465</f>
        <v/>
      </c>
      <c r="P467">
        <f>IF(TRIM('입력_구리근무자명단'!$A465&amp;"")&lt;&gt;"",TRIM('입력_구리근무자명단'!$A465&amp;""),P466)</f>
        <v/>
      </c>
      <c r="Q467">
        <f>'입력_구리근무자명단'!$B465&amp;""</f>
        <v/>
      </c>
      <c r="R467">
        <f>IF($E$2="","",TRIM(INDEX('입력_구리근무자명단'!$A465:$ZZ465,1,$E$2+IF($G$2="확정",1,0))&amp;""))</f>
        <v/>
      </c>
      <c r="S467">
        <f>IF($R467="","",IF(INDEX('입력_구리근무자명단'!$A465:$ZZ465,1,$E$2+2)&amp;""="",급여기준월,IF(ISNUMBER(INDEX('입력_구리근무자명단'!$A465:$ZZ465,1,$E$2+2)),INDEX('입력_구리근무자명단'!$A465:$ZZ465,1,$E$2+2),IFERROR(DATE(VALUE(LEFT(INDEX('입력_구리근무자명단'!$A465:$ZZ465,1,$E$2+2),4)),VALUE(MID(INDEX('입력_구리근무자명단'!$A465:$ZZ465,1,$E$2+2),6,2)),VALUE(MID(INDEX('입력_구리근무자명단'!$A465:$ZZ465,1,$E$2+2),9,2))),-1))))</f>
        <v/>
      </c>
      <c r="T467">
        <f>IF($R467="","",IF(INDEX('입력_구리근무자명단'!$A465:$ZZ465,1,$E$2+3)&amp;""="",EOMONTH(급여기준월,0),IF(ISNUMBER(INDEX('입력_구리근무자명단'!$A465:$ZZ465,1,$E$2+3)),INDEX('입력_구리근무자명단'!$A465:$ZZ465,1,$E$2+3),IFERROR(DATE(VALUE(LEFT(INDEX('입력_구리근무자명단'!$A465:$ZZ465,1,$E$2+3),4)),VALUE(MID(INDEX('입력_구리근무자명단'!$A465:$ZZ465,1,$E$2+3),6,2)),VALUE(MID(INDEX('입력_구리근무자명단'!$A465:$ZZ465,1,$E$2+3),9,2))),-1))))</f>
        <v/>
      </c>
      <c r="U467">
        <f>IF($R467="","",IF(OR($S467&lt;0,$T467&lt;0),0,MAX(0,MIN($T467,EOMONTH(급여기준월,0))-MAX($S467,급여기준월)+1)))</f>
        <v/>
      </c>
      <c r="V467">
        <f>IF($R467="","",TRIM(INDEX('입력_구리근무자명단'!$A465:$ZZ465,1,$E$2+5)&amp;""))</f>
        <v/>
      </c>
      <c r="W467">
        <f>IF(ISNUMBER(SEARCH("구리독자",$V467)),"구리독자","")</f>
        <v/>
      </c>
      <c r="X467">
        <f>IF($R467="","",$R467&amp;"|"&amp;IF(OR($Q467="인턴",ISNUMBER(SEARCH("수련교육부",$P467))),"인턴",$P467))</f>
        <v/>
      </c>
      <c r="Y467">
        <f>IF($R467="","",IF(COUNTIF(명단표[이름|과],$X467)=1,"명단 일치",IF(AND(COUNTIF(명단표[이름|과],$X467)=0,COUNTIF(명단표[이름],$R467)=1),"명단 일치(이름만, 과 다름)",IF(COUNTIF(명단표[이름],$R467)=0,IF(COUNTIF(기본자료표[이름],$R467)&gt;0,"명단에 없음(기본자료에는 있음)","명단에 없음"),"동명이인 확인"))))</f>
        <v/>
      </c>
      <c r="Z467">
        <f>IF($R467="","",IF($S467&lt;0,"⚠"&amp;INDEX('입력_구리근무자명단'!$A465:$ZZ465,1,$E$2+2),TEXT($S467,"yyyy-mm-dd")))</f>
        <v/>
      </c>
      <c r="AA467">
        <f>IF($R467="","",IF($T467&lt;0,"⚠"&amp;INDEX('입력_구리근무자명단'!$A465:$ZZ465,1,$E$2+3),TEXT($T467,"yyyy-mm-dd")))</f>
        <v/>
      </c>
      <c r="AB467">
        <f>AB466+IF($R467="",0,1)</f>
        <v/>
      </c>
      <c r="AC467">
        <f>IF($R467="","",$AB467)</f>
        <v/>
      </c>
    </row>
    <row r="468">
      <c r="A468">
        <f>IFERROR(INDEX($O$6:$O$1505,MATCH(463,$AC$6:$AC$1505,0)),"")</f>
        <v/>
      </c>
      <c r="B468">
        <f>IF(ISNUMBER($A468),INDEX($P$6:$P$1505,$A468-3),"")</f>
        <v/>
      </c>
      <c r="C468">
        <f>IF(ISNUMBER($A468),INDEX($Q$6:$Q$1505,$A468-3),"")</f>
        <v/>
      </c>
      <c r="D468">
        <f>IF(ISNUMBER($A468),INDEX($R$6:$R$1505,$A468-3),"")</f>
        <v/>
      </c>
      <c r="E468">
        <f>IF(ISNUMBER($A468),$G$2,"")</f>
        <v/>
      </c>
      <c r="F468">
        <f>IF(ISNUMBER($A468),INDEX($Z$6:$Z$1505,$A468-3),"")</f>
        <v/>
      </c>
      <c r="G468">
        <f>IF(ISNUMBER($A468),INDEX($AA$6:$AA$1505,$A468-3),"")</f>
        <v/>
      </c>
      <c r="H468">
        <f>IF(ISNUMBER($A468),INDEX($U$6:$U$1505,$A468-3),"")</f>
        <v/>
      </c>
      <c r="I468">
        <f>IF(ISNUMBER($A468),INDEX($V$6:$V$1505,$A468-3),"")</f>
        <v/>
      </c>
      <c r="J468">
        <f>IF(ISNUMBER($A468),INDEX($W$6:$W$1505,$A468-3),"")</f>
        <v/>
      </c>
      <c r="K468">
        <f>IF(ISNUMBER($A468),INDEX($X$6:$X$1505,$A468-3),"")</f>
        <v/>
      </c>
      <c r="L468">
        <f>IF(ISNUMBER($A468),INDEX($Y$6:$Y$1505,$A468-3),"")</f>
        <v/>
      </c>
      <c r="O468">
        <f>466</f>
        <v/>
      </c>
      <c r="P468">
        <f>IF(TRIM('입력_구리근무자명단'!$A466&amp;"")&lt;&gt;"",TRIM('입력_구리근무자명단'!$A466&amp;""),P467)</f>
        <v/>
      </c>
      <c r="Q468">
        <f>'입력_구리근무자명단'!$B466&amp;""</f>
        <v/>
      </c>
      <c r="R468">
        <f>IF($E$2="","",TRIM(INDEX('입력_구리근무자명단'!$A466:$ZZ466,1,$E$2+IF($G$2="확정",1,0))&amp;""))</f>
        <v/>
      </c>
      <c r="S468">
        <f>IF($R468="","",IF(INDEX('입력_구리근무자명단'!$A466:$ZZ466,1,$E$2+2)&amp;""="",급여기준월,IF(ISNUMBER(INDEX('입력_구리근무자명단'!$A466:$ZZ466,1,$E$2+2)),INDEX('입력_구리근무자명단'!$A466:$ZZ466,1,$E$2+2),IFERROR(DATE(VALUE(LEFT(INDEX('입력_구리근무자명단'!$A466:$ZZ466,1,$E$2+2),4)),VALUE(MID(INDEX('입력_구리근무자명단'!$A466:$ZZ466,1,$E$2+2),6,2)),VALUE(MID(INDEX('입력_구리근무자명단'!$A466:$ZZ466,1,$E$2+2),9,2))),-1))))</f>
        <v/>
      </c>
      <c r="T468">
        <f>IF($R468="","",IF(INDEX('입력_구리근무자명단'!$A466:$ZZ466,1,$E$2+3)&amp;""="",EOMONTH(급여기준월,0),IF(ISNUMBER(INDEX('입력_구리근무자명단'!$A466:$ZZ466,1,$E$2+3)),INDEX('입력_구리근무자명단'!$A466:$ZZ466,1,$E$2+3),IFERROR(DATE(VALUE(LEFT(INDEX('입력_구리근무자명단'!$A466:$ZZ466,1,$E$2+3),4)),VALUE(MID(INDEX('입력_구리근무자명단'!$A466:$ZZ466,1,$E$2+3),6,2)),VALUE(MID(INDEX('입력_구리근무자명단'!$A466:$ZZ466,1,$E$2+3),9,2))),-1))))</f>
        <v/>
      </c>
      <c r="U468">
        <f>IF($R468="","",IF(OR($S468&lt;0,$T468&lt;0),0,MAX(0,MIN($T468,EOMONTH(급여기준월,0))-MAX($S468,급여기준월)+1)))</f>
        <v/>
      </c>
      <c r="V468">
        <f>IF($R468="","",TRIM(INDEX('입력_구리근무자명단'!$A466:$ZZ466,1,$E$2+5)&amp;""))</f>
        <v/>
      </c>
      <c r="W468">
        <f>IF(ISNUMBER(SEARCH("구리독자",$V468)),"구리독자","")</f>
        <v/>
      </c>
      <c r="X468">
        <f>IF($R468="","",$R468&amp;"|"&amp;IF(OR($Q468="인턴",ISNUMBER(SEARCH("수련교육부",$P468))),"인턴",$P468))</f>
        <v/>
      </c>
      <c r="Y468">
        <f>IF($R468="","",IF(COUNTIF(명단표[이름|과],$X468)=1,"명단 일치",IF(AND(COUNTIF(명단표[이름|과],$X468)=0,COUNTIF(명단표[이름],$R468)=1),"명단 일치(이름만, 과 다름)",IF(COUNTIF(명단표[이름],$R468)=0,IF(COUNTIF(기본자료표[이름],$R468)&gt;0,"명단에 없음(기본자료에는 있음)","명단에 없음"),"동명이인 확인"))))</f>
        <v/>
      </c>
      <c r="Z468">
        <f>IF($R468="","",IF($S468&lt;0,"⚠"&amp;INDEX('입력_구리근무자명단'!$A466:$ZZ466,1,$E$2+2),TEXT($S468,"yyyy-mm-dd")))</f>
        <v/>
      </c>
      <c r="AA468">
        <f>IF($R468="","",IF($T468&lt;0,"⚠"&amp;INDEX('입력_구리근무자명단'!$A466:$ZZ466,1,$E$2+3),TEXT($T468,"yyyy-mm-dd")))</f>
        <v/>
      </c>
      <c r="AB468">
        <f>AB467+IF($R468="",0,1)</f>
        <v/>
      </c>
      <c r="AC468">
        <f>IF($R468="","",$AB468)</f>
        <v/>
      </c>
    </row>
    <row r="469">
      <c r="A469">
        <f>IFERROR(INDEX($O$6:$O$1505,MATCH(464,$AC$6:$AC$1505,0)),"")</f>
        <v/>
      </c>
      <c r="B469">
        <f>IF(ISNUMBER($A469),INDEX($P$6:$P$1505,$A469-3),"")</f>
        <v/>
      </c>
      <c r="C469">
        <f>IF(ISNUMBER($A469),INDEX($Q$6:$Q$1505,$A469-3),"")</f>
        <v/>
      </c>
      <c r="D469">
        <f>IF(ISNUMBER($A469),INDEX($R$6:$R$1505,$A469-3),"")</f>
        <v/>
      </c>
      <c r="E469">
        <f>IF(ISNUMBER($A469),$G$2,"")</f>
        <v/>
      </c>
      <c r="F469">
        <f>IF(ISNUMBER($A469),INDEX($Z$6:$Z$1505,$A469-3),"")</f>
        <v/>
      </c>
      <c r="G469">
        <f>IF(ISNUMBER($A469),INDEX($AA$6:$AA$1505,$A469-3),"")</f>
        <v/>
      </c>
      <c r="H469">
        <f>IF(ISNUMBER($A469),INDEX($U$6:$U$1505,$A469-3),"")</f>
        <v/>
      </c>
      <c r="I469">
        <f>IF(ISNUMBER($A469),INDEX($V$6:$V$1505,$A469-3),"")</f>
        <v/>
      </c>
      <c r="J469">
        <f>IF(ISNUMBER($A469),INDEX($W$6:$W$1505,$A469-3),"")</f>
        <v/>
      </c>
      <c r="K469">
        <f>IF(ISNUMBER($A469),INDEX($X$6:$X$1505,$A469-3),"")</f>
        <v/>
      </c>
      <c r="L469">
        <f>IF(ISNUMBER($A469),INDEX($Y$6:$Y$1505,$A469-3),"")</f>
        <v/>
      </c>
      <c r="O469">
        <f>467</f>
        <v/>
      </c>
      <c r="P469">
        <f>IF(TRIM('입력_구리근무자명단'!$A467&amp;"")&lt;&gt;"",TRIM('입력_구리근무자명단'!$A467&amp;""),P468)</f>
        <v/>
      </c>
      <c r="Q469">
        <f>'입력_구리근무자명단'!$B467&amp;""</f>
        <v/>
      </c>
      <c r="R469">
        <f>IF($E$2="","",TRIM(INDEX('입력_구리근무자명단'!$A467:$ZZ467,1,$E$2+IF($G$2="확정",1,0))&amp;""))</f>
        <v/>
      </c>
      <c r="S469">
        <f>IF($R469="","",IF(INDEX('입력_구리근무자명단'!$A467:$ZZ467,1,$E$2+2)&amp;""="",급여기준월,IF(ISNUMBER(INDEX('입력_구리근무자명단'!$A467:$ZZ467,1,$E$2+2)),INDEX('입력_구리근무자명단'!$A467:$ZZ467,1,$E$2+2),IFERROR(DATE(VALUE(LEFT(INDEX('입력_구리근무자명단'!$A467:$ZZ467,1,$E$2+2),4)),VALUE(MID(INDEX('입력_구리근무자명단'!$A467:$ZZ467,1,$E$2+2),6,2)),VALUE(MID(INDEX('입력_구리근무자명단'!$A467:$ZZ467,1,$E$2+2),9,2))),-1))))</f>
        <v/>
      </c>
      <c r="T469">
        <f>IF($R469="","",IF(INDEX('입력_구리근무자명단'!$A467:$ZZ467,1,$E$2+3)&amp;""="",EOMONTH(급여기준월,0),IF(ISNUMBER(INDEX('입력_구리근무자명단'!$A467:$ZZ467,1,$E$2+3)),INDEX('입력_구리근무자명단'!$A467:$ZZ467,1,$E$2+3),IFERROR(DATE(VALUE(LEFT(INDEX('입력_구리근무자명단'!$A467:$ZZ467,1,$E$2+3),4)),VALUE(MID(INDEX('입력_구리근무자명단'!$A467:$ZZ467,1,$E$2+3),6,2)),VALUE(MID(INDEX('입력_구리근무자명단'!$A467:$ZZ467,1,$E$2+3),9,2))),-1))))</f>
        <v/>
      </c>
      <c r="U469">
        <f>IF($R469="","",IF(OR($S469&lt;0,$T469&lt;0),0,MAX(0,MIN($T469,EOMONTH(급여기준월,0))-MAX($S469,급여기준월)+1)))</f>
        <v/>
      </c>
      <c r="V469">
        <f>IF($R469="","",TRIM(INDEX('입력_구리근무자명단'!$A467:$ZZ467,1,$E$2+5)&amp;""))</f>
        <v/>
      </c>
      <c r="W469">
        <f>IF(ISNUMBER(SEARCH("구리독자",$V469)),"구리독자","")</f>
        <v/>
      </c>
      <c r="X469">
        <f>IF($R469="","",$R469&amp;"|"&amp;IF(OR($Q469="인턴",ISNUMBER(SEARCH("수련교육부",$P469))),"인턴",$P469))</f>
        <v/>
      </c>
      <c r="Y469">
        <f>IF($R469="","",IF(COUNTIF(명단표[이름|과],$X469)=1,"명단 일치",IF(AND(COUNTIF(명단표[이름|과],$X469)=0,COUNTIF(명단표[이름],$R469)=1),"명단 일치(이름만, 과 다름)",IF(COUNTIF(명단표[이름],$R469)=0,IF(COUNTIF(기본자료표[이름],$R469)&gt;0,"명단에 없음(기본자료에는 있음)","명단에 없음"),"동명이인 확인"))))</f>
        <v/>
      </c>
      <c r="Z469">
        <f>IF($R469="","",IF($S469&lt;0,"⚠"&amp;INDEX('입력_구리근무자명단'!$A467:$ZZ467,1,$E$2+2),TEXT($S469,"yyyy-mm-dd")))</f>
        <v/>
      </c>
      <c r="AA469">
        <f>IF($R469="","",IF($T469&lt;0,"⚠"&amp;INDEX('입력_구리근무자명단'!$A467:$ZZ467,1,$E$2+3),TEXT($T469,"yyyy-mm-dd")))</f>
        <v/>
      </c>
      <c r="AB469">
        <f>AB468+IF($R469="",0,1)</f>
        <v/>
      </c>
      <c r="AC469">
        <f>IF($R469="","",$AB469)</f>
        <v/>
      </c>
    </row>
    <row r="470">
      <c r="A470">
        <f>IFERROR(INDEX($O$6:$O$1505,MATCH(465,$AC$6:$AC$1505,0)),"")</f>
        <v/>
      </c>
      <c r="B470">
        <f>IF(ISNUMBER($A470),INDEX($P$6:$P$1505,$A470-3),"")</f>
        <v/>
      </c>
      <c r="C470">
        <f>IF(ISNUMBER($A470),INDEX($Q$6:$Q$1505,$A470-3),"")</f>
        <v/>
      </c>
      <c r="D470">
        <f>IF(ISNUMBER($A470),INDEX($R$6:$R$1505,$A470-3),"")</f>
        <v/>
      </c>
      <c r="E470">
        <f>IF(ISNUMBER($A470),$G$2,"")</f>
        <v/>
      </c>
      <c r="F470">
        <f>IF(ISNUMBER($A470),INDEX($Z$6:$Z$1505,$A470-3),"")</f>
        <v/>
      </c>
      <c r="G470">
        <f>IF(ISNUMBER($A470),INDEX($AA$6:$AA$1505,$A470-3),"")</f>
        <v/>
      </c>
      <c r="H470">
        <f>IF(ISNUMBER($A470),INDEX($U$6:$U$1505,$A470-3),"")</f>
        <v/>
      </c>
      <c r="I470">
        <f>IF(ISNUMBER($A470),INDEX($V$6:$V$1505,$A470-3),"")</f>
        <v/>
      </c>
      <c r="J470">
        <f>IF(ISNUMBER($A470),INDEX($W$6:$W$1505,$A470-3),"")</f>
        <v/>
      </c>
      <c r="K470">
        <f>IF(ISNUMBER($A470),INDEX($X$6:$X$1505,$A470-3),"")</f>
        <v/>
      </c>
      <c r="L470">
        <f>IF(ISNUMBER($A470),INDEX($Y$6:$Y$1505,$A470-3),"")</f>
        <v/>
      </c>
      <c r="O470">
        <f>468</f>
        <v/>
      </c>
      <c r="P470">
        <f>IF(TRIM('입력_구리근무자명단'!$A468&amp;"")&lt;&gt;"",TRIM('입력_구리근무자명단'!$A468&amp;""),P469)</f>
        <v/>
      </c>
      <c r="Q470">
        <f>'입력_구리근무자명단'!$B468&amp;""</f>
        <v/>
      </c>
      <c r="R470">
        <f>IF($E$2="","",TRIM(INDEX('입력_구리근무자명단'!$A468:$ZZ468,1,$E$2+IF($G$2="확정",1,0))&amp;""))</f>
        <v/>
      </c>
      <c r="S470">
        <f>IF($R470="","",IF(INDEX('입력_구리근무자명단'!$A468:$ZZ468,1,$E$2+2)&amp;""="",급여기준월,IF(ISNUMBER(INDEX('입력_구리근무자명단'!$A468:$ZZ468,1,$E$2+2)),INDEX('입력_구리근무자명단'!$A468:$ZZ468,1,$E$2+2),IFERROR(DATE(VALUE(LEFT(INDEX('입력_구리근무자명단'!$A468:$ZZ468,1,$E$2+2),4)),VALUE(MID(INDEX('입력_구리근무자명단'!$A468:$ZZ468,1,$E$2+2),6,2)),VALUE(MID(INDEX('입력_구리근무자명단'!$A468:$ZZ468,1,$E$2+2),9,2))),-1))))</f>
        <v/>
      </c>
      <c r="T470">
        <f>IF($R470="","",IF(INDEX('입력_구리근무자명단'!$A468:$ZZ468,1,$E$2+3)&amp;""="",EOMONTH(급여기준월,0),IF(ISNUMBER(INDEX('입력_구리근무자명단'!$A468:$ZZ468,1,$E$2+3)),INDEX('입력_구리근무자명단'!$A468:$ZZ468,1,$E$2+3),IFERROR(DATE(VALUE(LEFT(INDEX('입력_구리근무자명단'!$A468:$ZZ468,1,$E$2+3),4)),VALUE(MID(INDEX('입력_구리근무자명단'!$A468:$ZZ468,1,$E$2+3),6,2)),VALUE(MID(INDEX('입력_구리근무자명단'!$A468:$ZZ468,1,$E$2+3),9,2))),-1))))</f>
        <v/>
      </c>
      <c r="U470">
        <f>IF($R470="","",IF(OR($S470&lt;0,$T470&lt;0),0,MAX(0,MIN($T470,EOMONTH(급여기준월,0))-MAX($S470,급여기준월)+1)))</f>
        <v/>
      </c>
      <c r="V470">
        <f>IF($R470="","",TRIM(INDEX('입력_구리근무자명단'!$A468:$ZZ468,1,$E$2+5)&amp;""))</f>
        <v/>
      </c>
      <c r="W470">
        <f>IF(ISNUMBER(SEARCH("구리독자",$V470)),"구리독자","")</f>
        <v/>
      </c>
      <c r="X470">
        <f>IF($R470="","",$R470&amp;"|"&amp;IF(OR($Q470="인턴",ISNUMBER(SEARCH("수련교육부",$P470))),"인턴",$P470))</f>
        <v/>
      </c>
      <c r="Y470">
        <f>IF($R470="","",IF(COUNTIF(명단표[이름|과],$X470)=1,"명단 일치",IF(AND(COUNTIF(명단표[이름|과],$X470)=0,COUNTIF(명단표[이름],$R470)=1),"명단 일치(이름만, 과 다름)",IF(COUNTIF(명단표[이름],$R470)=0,IF(COUNTIF(기본자료표[이름],$R470)&gt;0,"명단에 없음(기본자료에는 있음)","명단에 없음"),"동명이인 확인"))))</f>
        <v/>
      </c>
      <c r="Z470">
        <f>IF($R470="","",IF($S470&lt;0,"⚠"&amp;INDEX('입력_구리근무자명단'!$A468:$ZZ468,1,$E$2+2),TEXT($S470,"yyyy-mm-dd")))</f>
        <v/>
      </c>
      <c r="AA470">
        <f>IF($R470="","",IF($T470&lt;0,"⚠"&amp;INDEX('입력_구리근무자명단'!$A468:$ZZ468,1,$E$2+3),TEXT($T470,"yyyy-mm-dd")))</f>
        <v/>
      </c>
      <c r="AB470">
        <f>AB469+IF($R470="",0,1)</f>
        <v/>
      </c>
      <c r="AC470">
        <f>IF($R470="","",$AB470)</f>
        <v/>
      </c>
    </row>
    <row r="471">
      <c r="A471">
        <f>IFERROR(INDEX($O$6:$O$1505,MATCH(466,$AC$6:$AC$1505,0)),"")</f>
        <v/>
      </c>
      <c r="B471">
        <f>IF(ISNUMBER($A471),INDEX($P$6:$P$1505,$A471-3),"")</f>
        <v/>
      </c>
      <c r="C471">
        <f>IF(ISNUMBER($A471),INDEX($Q$6:$Q$1505,$A471-3),"")</f>
        <v/>
      </c>
      <c r="D471">
        <f>IF(ISNUMBER($A471),INDEX($R$6:$R$1505,$A471-3),"")</f>
        <v/>
      </c>
      <c r="E471">
        <f>IF(ISNUMBER($A471),$G$2,"")</f>
        <v/>
      </c>
      <c r="F471">
        <f>IF(ISNUMBER($A471),INDEX($Z$6:$Z$1505,$A471-3),"")</f>
        <v/>
      </c>
      <c r="G471">
        <f>IF(ISNUMBER($A471),INDEX($AA$6:$AA$1505,$A471-3),"")</f>
        <v/>
      </c>
      <c r="H471">
        <f>IF(ISNUMBER($A471),INDEX($U$6:$U$1505,$A471-3),"")</f>
        <v/>
      </c>
      <c r="I471">
        <f>IF(ISNUMBER($A471),INDEX($V$6:$V$1505,$A471-3),"")</f>
        <v/>
      </c>
      <c r="J471">
        <f>IF(ISNUMBER($A471),INDEX($W$6:$W$1505,$A471-3),"")</f>
        <v/>
      </c>
      <c r="K471">
        <f>IF(ISNUMBER($A471),INDEX($X$6:$X$1505,$A471-3),"")</f>
        <v/>
      </c>
      <c r="L471">
        <f>IF(ISNUMBER($A471),INDEX($Y$6:$Y$1505,$A471-3),"")</f>
        <v/>
      </c>
      <c r="O471">
        <f>469</f>
        <v/>
      </c>
      <c r="P471">
        <f>IF(TRIM('입력_구리근무자명단'!$A469&amp;"")&lt;&gt;"",TRIM('입력_구리근무자명단'!$A469&amp;""),P470)</f>
        <v/>
      </c>
      <c r="Q471">
        <f>'입력_구리근무자명단'!$B469&amp;""</f>
        <v/>
      </c>
      <c r="R471">
        <f>IF($E$2="","",TRIM(INDEX('입력_구리근무자명단'!$A469:$ZZ469,1,$E$2+IF($G$2="확정",1,0))&amp;""))</f>
        <v/>
      </c>
      <c r="S471">
        <f>IF($R471="","",IF(INDEX('입력_구리근무자명단'!$A469:$ZZ469,1,$E$2+2)&amp;""="",급여기준월,IF(ISNUMBER(INDEX('입력_구리근무자명단'!$A469:$ZZ469,1,$E$2+2)),INDEX('입력_구리근무자명단'!$A469:$ZZ469,1,$E$2+2),IFERROR(DATE(VALUE(LEFT(INDEX('입력_구리근무자명단'!$A469:$ZZ469,1,$E$2+2),4)),VALUE(MID(INDEX('입력_구리근무자명단'!$A469:$ZZ469,1,$E$2+2),6,2)),VALUE(MID(INDEX('입력_구리근무자명단'!$A469:$ZZ469,1,$E$2+2),9,2))),-1))))</f>
        <v/>
      </c>
      <c r="T471">
        <f>IF($R471="","",IF(INDEX('입력_구리근무자명단'!$A469:$ZZ469,1,$E$2+3)&amp;""="",EOMONTH(급여기준월,0),IF(ISNUMBER(INDEX('입력_구리근무자명단'!$A469:$ZZ469,1,$E$2+3)),INDEX('입력_구리근무자명단'!$A469:$ZZ469,1,$E$2+3),IFERROR(DATE(VALUE(LEFT(INDEX('입력_구리근무자명단'!$A469:$ZZ469,1,$E$2+3),4)),VALUE(MID(INDEX('입력_구리근무자명단'!$A469:$ZZ469,1,$E$2+3),6,2)),VALUE(MID(INDEX('입력_구리근무자명단'!$A469:$ZZ469,1,$E$2+3),9,2))),-1))))</f>
        <v/>
      </c>
      <c r="U471">
        <f>IF($R471="","",IF(OR($S471&lt;0,$T471&lt;0),0,MAX(0,MIN($T471,EOMONTH(급여기준월,0))-MAX($S471,급여기준월)+1)))</f>
        <v/>
      </c>
      <c r="V471">
        <f>IF($R471="","",TRIM(INDEX('입력_구리근무자명단'!$A469:$ZZ469,1,$E$2+5)&amp;""))</f>
        <v/>
      </c>
      <c r="W471">
        <f>IF(ISNUMBER(SEARCH("구리독자",$V471)),"구리독자","")</f>
        <v/>
      </c>
      <c r="X471">
        <f>IF($R471="","",$R471&amp;"|"&amp;IF(OR($Q471="인턴",ISNUMBER(SEARCH("수련교육부",$P471))),"인턴",$P471))</f>
        <v/>
      </c>
      <c r="Y471">
        <f>IF($R471="","",IF(COUNTIF(명단표[이름|과],$X471)=1,"명단 일치",IF(AND(COUNTIF(명단표[이름|과],$X471)=0,COUNTIF(명단표[이름],$R471)=1),"명단 일치(이름만, 과 다름)",IF(COUNTIF(명단표[이름],$R471)=0,IF(COUNTIF(기본자료표[이름],$R471)&gt;0,"명단에 없음(기본자료에는 있음)","명단에 없음"),"동명이인 확인"))))</f>
        <v/>
      </c>
      <c r="Z471">
        <f>IF($R471="","",IF($S471&lt;0,"⚠"&amp;INDEX('입력_구리근무자명단'!$A469:$ZZ469,1,$E$2+2),TEXT($S471,"yyyy-mm-dd")))</f>
        <v/>
      </c>
      <c r="AA471">
        <f>IF($R471="","",IF($T471&lt;0,"⚠"&amp;INDEX('입력_구리근무자명단'!$A469:$ZZ469,1,$E$2+3),TEXT($T471,"yyyy-mm-dd")))</f>
        <v/>
      </c>
      <c r="AB471">
        <f>AB470+IF($R471="",0,1)</f>
        <v/>
      </c>
      <c r="AC471">
        <f>IF($R471="","",$AB471)</f>
        <v/>
      </c>
    </row>
    <row r="472">
      <c r="A472">
        <f>IFERROR(INDEX($O$6:$O$1505,MATCH(467,$AC$6:$AC$1505,0)),"")</f>
        <v/>
      </c>
      <c r="B472">
        <f>IF(ISNUMBER($A472),INDEX($P$6:$P$1505,$A472-3),"")</f>
        <v/>
      </c>
      <c r="C472">
        <f>IF(ISNUMBER($A472),INDEX($Q$6:$Q$1505,$A472-3),"")</f>
        <v/>
      </c>
      <c r="D472">
        <f>IF(ISNUMBER($A472),INDEX($R$6:$R$1505,$A472-3),"")</f>
        <v/>
      </c>
      <c r="E472">
        <f>IF(ISNUMBER($A472),$G$2,"")</f>
        <v/>
      </c>
      <c r="F472">
        <f>IF(ISNUMBER($A472),INDEX($Z$6:$Z$1505,$A472-3),"")</f>
        <v/>
      </c>
      <c r="G472">
        <f>IF(ISNUMBER($A472),INDEX($AA$6:$AA$1505,$A472-3),"")</f>
        <v/>
      </c>
      <c r="H472">
        <f>IF(ISNUMBER($A472),INDEX($U$6:$U$1505,$A472-3),"")</f>
        <v/>
      </c>
      <c r="I472">
        <f>IF(ISNUMBER($A472),INDEX($V$6:$V$1505,$A472-3),"")</f>
        <v/>
      </c>
      <c r="J472">
        <f>IF(ISNUMBER($A472),INDEX($W$6:$W$1505,$A472-3),"")</f>
        <v/>
      </c>
      <c r="K472">
        <f>IF(ISNUMBER($A472),INDEX($X$6:$X$1505,$A472-3),"")</f>
        <v/>
      </c>
      <c r="L472">
        <f>IF(ISNUMBER($A472),INDEX($Y$6:$Y$1505,$A472-3),"")</f>
        <v/>
      </c>
      <c r="O472">
        <f>470</f>
        <v/>
      </c>
      <c r="P472">
        <f>IF(TRIM('입력_구리근무자명단'!$A470&amp;"")&lt;&gt;"",TRIM('입력_구리근무자명단'!$A470&amp;""),P471)</f>
        <v/>
      </c>
      <c r="Q472">
        <f>'입력_구리근무자명단'!$B470&amp;""</f>
        <v/>
      </c>
      <c r="R472">
        <f>IF($E$2="","",TRIM(INDEX('입력_구리근무자명단'!$A470:$ZZ470,1,$E$2+IF($G$2="확정",1,0))&amp;""))</f>
        <v/>
      </c>
      <c r="S472">
        <f>IF($R472="","",IF(INDEX('입력_구리근무자명단'!$A470:$ZZ470,1,$E$2+2)&amp;""="",급여기준월,IF(ISNUMBER(INDEX('입력_구리근무자명단'!$A470:$ZZ470,1,$E$2+2)),INDEX('입력_구리근무자명단'!$A470:$ZZ470,1,$E$2+2),IFERROR(DATE(VALUE(LEFT(INDEX('입력_구리근무자명단'!$A470:$ZZ470,1,$E$2+2),4)),VALUE(MID(INDEX('입력_구리근무자명단'!$A470:$ZZ470,1,$E$2+2),6,2)),VALUE(MID(INDEX('입력_구리근무자명단'!$A470:$ZZ470,1,$E$2+2),9,2))),-1))))</f>
        <v/>
      </c>
      <c r="T472">
        <f>IF($R472="","",IF(INDEX('입력_구리근무자명단'!$A470:$ZZ470,1,$E$2+3)&amp;""="",EOMONTH(급여기준월,0),IF(ISNUMBER(INDEX('입력_구리근무자명단'!$A470:$ZZ470,1,$E$2+3)),INDEX('입력_구리근무자명단'!$A470:$ZZ470,1,$E$2+3),IFERROR(DATE(VALUE(LEFT(INDEX('입력_구리근무자명단'!$A470:$ZZ470,1,$E$2+3),4)),VALUE(MID(INDEX('입력_구리근무자명단'!$A470:$ZZ470,1,$E$2+3),6,2)),VALUE(MID(INDEX('입력_구리근무자명단'!$A470:$ZZ470,1,$E$2+3),9,2))),-1))))</f>
        <v/>
      </c>
      <c r="U472">
        <f>IF($R472="","",IF(OR($S472&lt;0,$T472&lt;0),0,MAX(0,MIN($T472,EOMONTH(급여기준월,0))-MAX($S472,급여기준월)+1)))</f>
        <v/>
      </c>
      <c r="V472">
        <f>IF($R472="","",TRIM(INDEX('입력_구리근무자명단'!$A470:$ZZ470,1,$E$2+5)&amp;""))</f>
        <v/>
      </c>
      <c r="W472">
        <f>IF(ISNUMBER(SEARCH("구리독자",$V472)),"구리독자","")</f>
        <v/>
      </c>
      <c r="X472">
        <f>IF($R472="","",$R472&amp;"|"&amp;IF(OR($Q472="인턴",ISNUMBER(SEARCH("수련교육부",$P472))),"인턴",$P472))</f>
        <v/>
      </c>
      <c r="Y472">
        <f>IF($R472="","",IF(COUNTIF(명단표[이름|과],$X472)=1,"명단 일치",IF(AND(COUNTIF(명단표[이름|과],$X472)=0,COUNTIF(명단표[이름],$R472)=1),"명단 일치(이름만, 과 다름)",IF(COUNTIF(명단표[이름],$R472)=0,IF(COUNTIF(기본자료표[이름],$R472)&gt;0,"명단에 없음(기본자료에는 있음)","명단에 없음"),"동명이인 확인"))))</f>
        <v/>
      </c>
      <c r="Z472">
        <f>IF($R472="","",IF($S472&lt;0,"⚠"&amp;INDEX('입력_구리근무자명단'!$A470:$ZZ470,1,$E$2+2),TEXT($S472,"yyyy-mm-dd")))</f>
        <v/>
      </c>
      <c r="AA472">
        <f>IF($R472="","",IF($T472&lt;0,"⚠"&amp;INDEX('입력_구리근무자명단'!$A470:$ZZ470,1,$E$2+3),TEXT($T472,"yyyy-mm-dd")))</f>
        <v/>
      </c>
      <c r="AB472">
        <f>AB471+IF($R472="",0,1)</f>
        <v/>
      </c>
      <c r="AC472">
        <f>IF($R472="","",$AB472)</f>
        <v/>
      </c>
    </row>
    <row r="473">
      <c r="A473">
        <f>IFERROR(INDEX($O$6:$O$1505,MATCH(468,$AC$6:$AC$1505,0)),"")</f>
        <v/>
      </c>
      <c r="B473">
        <f>IF(ISNUMBER($A473),INDEX($P$6:$P$1505,$A473-3),"")</f>
        <v/>
      </c>
      <c r="C473">
        <f>IF(ISNUMBER($A473),INDEX($Q$6:$Q$1505,$A473-3),"")</f>
        <v/>
      </c>
      <c r="D473">
        <f>IF(ISNUMBER($A473),INDEX($R$6:$R$1505,$A473-3),"")</f>
        <v/>
      </c>
      <c r="E473">
        <f>IF(ISNUMBER($A473),$G$2,"")</f>
        <v/>
      </c>
      <c r="F473">
        <f>IF(ISNUMBER($A473),INDEX($Z$6:$Z$1505,$A473-3),"")</f>
        <v/>
      </c>
      <c r="G473">
        <f>IF(ISNUMBER($A473),INDEX($AA$6:$AA$1505,$A473-3),"")</f>
        <v/>
      </c>
      <c r="H473">
        <f>IF(ISNUMBER($A473),INDEX($U$6:$U$1505,$A473-3),"")</f>
        <v/>
      </c>
      <c r="I473">
        <f>IF(ISNUMBER($A473),INDEX($V$6:$V$1505,$A473-3),"")</f>
        <v/>
      </c>
      <c r="J473">
        <f>IF(ISNUMBER($A473),INDEX($W$6:$W$1505,$A473-3),"")</f>
        <v/>
      </c>
      <c r="K473">
        <f>IF(ISNUMBER($A473),INDEX($X$6:$X$1505,$A473-3),"")</f>
        <v/>
      </c>
      <c r="L473">
        <f>IF(ISNUMBER($A473),INDEX($Y$6:$Y$1505,$A473-3),"")</f>
        <v/>
      </c>
      <c r="O473">
        <f>471</f>
        <v/>
      </c>
      <c r="P473">
        <f>IF(TRIM('입력_구리근무자명단'!$A471&amp;"")&lt;&gt;"",TRIM('입력_구리근무자명단'!$A471&amp;""),P472)</f>
        <v/>
      </c>
      <c r="Q473">
        <f>'입력_구리근무자명단'!$B471&amp;""</f>
        <v/>
      </c>
      <c r="R473">
        <f>IF($E$2="","",TRIM(INDEX('입력_구리근무자명단'!$A471:$ZZ471,1,$E$2+IF($G$2="확정",1,0))&amp;""))</f>
        <v/>
      </c>
      <c r="S473">
        <f>IF($R473="","",IF(INDEX('입력_구리근무자명단'!$A471:$ZZ471,1,$E$2+2)&amp;""="",급여기준월,IF(ISNUMBER(INDEX('입력_구리근무자명단'!$A471:$ZZ471,1,$E$2+2)),INDEX('입력_구리근무자명단'!$A471:$ZZ471,1,$E$2+2),IFERROR(DATE(VALUE(LEFT(INDEX('입력_구리근무자명단'!$A471:$ZZ471,1,$E$2+2),4)),VALUE(MID(INDEX('입력_구리근무자명단'!$A471:$ZZ471,1,$E$2+2),6,2)),VALUE(MID(INDEX('입력_구리근무자명단'!$A471:$ZZ471,1,$E$2+2),9,2))),-1))))</f>
        <v/>
      </c>
      <c r="T473">
        <f>IF($R473="","",IF(INDEX('입력_구리근무자명단'!$A471:$ZZ471,1,$E$2+3)&amp;""="",EOMONTH(급여기준월,0),IF(ISNUMBER(INDEX('입력_구리근무자명단'!$A471:$ZZ471,1,$E$2+3)),INDEX('입력_구리근무자명단'!$A471:$ZZ471,1,$E$2+3),IFERROR(DATE(VALUE(LEFT(INDEX('입력_구리근무자명단'!$A471:$ZZ471,1,$E$2+3),4)),VALUE(MID(INDEX('입력_구리근무자명단'!$A471:$ZZ471,1,$E$2+3),6,2)),VALUE(MID(INDEX('입력_구리근무자명단'!$A471:$ZZ471,1,$E$2+3),9,2))),-1))))</f>
        <v/>
      </c>
      <c r="U473">
        <f>IF($R473="","",IF(OR($S473&lt;0,$T473&lt;0),0,MAX(0,MIN($T473,EOMONTH(급여기준월,0))-MAX($S473,급여기준월)+1)))</f>
        <v/>
      </c>
      <c r="V473">
        <f>IF($R473="","",TRIM(INDEX('입력_구리근무자명단'!$A471:$ZZ471,1,$E$2+5)&amp;""))</f>
        <v/>
      </c>
      <c r="W473">
        <f>IF(ISNUMBER(SEARCH("구리독자",$V473)),"구리독자","")</f>
        <v/>
      </c>
      <c r="X473">
        <f>IF($R473="","",$R473&amp;"|"&amp;IF(OR($Q473="인턴",ISNUMBER(SEARCH("수련교육부",$P473))),"인턴",$P473))</f>
        <v/>
      </c>
      <c r="Y473">
        <f>IF($R473="","",IF(COUNTIF(명단표[이름|과],$X473)=1,"명단 일치",IF(AND(COUNTIF(명단표[이름|과],$X473)=0,COUNTIF(명단표[이름],$R473)=1),"명단 일치(이름만, 과 다름)",IF(COUNTIF(명단표[이름],$R473)=0,IF(COUNTIF(기본자료표[이름],$R473)&gt;0,"명단에 없음(기본자료에는 있음)","명단에 없음"),"동명이인 확인"))))</f>
        <v/>
      </c>
      <c r="Z473">
        <f>IF($R473="","",IF($S473&lt;0,"⚠"&amp;INDEX('입력_구리근무자명단'!$A471:$ZZ471,1,$E$2+2),TEXT($S473,"yyyy-mm-dd")))</f>
        <v/>
      </c>
      <c r="AA473">
        <f>IF($R473="","",IF($T473&lt;0,"⚠"&amp;INDEX('입력_구리근무자명단'!$A471:$ZZ471,1,$E$2+3),TEXT($T473,"yyyy-mm-dd")))</f>
        <v/>
      </c>
      <c r="AB473">
        <f>AB472+IF($R473="",0,1)</f>
        <v/>
      </c>
      <c r="AC473">
        <f>IF($R473="","",$AB473)</f>
        <v/>
      </c>
    </row>
    <row r="474">
      <c r="A474">
        <f>IFERROR(INDEX($O$6:$O$1505,MATCH(469,$AC$6:$AC$1505,0)),"")</f>
        <v/>
      </c>
      <c r="B474">
        <f>IF(ISNUMBER($A474),INDEX($P$6:$P$1505,$A474-3),"")</f>
        <v/>
      </c>
      <c r="C474">
        <f>IF(ISNUMBER($A474),INDEX($Q$6:$Q$1505,$A474-3),"")</f>
        <v/>
      </c>
      <c r="D474">
        <f>IF(ISNUMBER($A474),INDEX($R$6:$R$1505,$A474-3),"")</f>
        <v/>
      </c>
      <c r="E474">
        <f>IF(ISNUMBER($A474),$G$2,"")</f>
        <v/>
      </c>
      <c r="F474">
        <f>IF(ISNUMBER($A474),INDEX($Z$6:$Z$1505,$A474-3),"")</f>
        <v/>
      </c>
      <c r="G474">
        <f>IF(ISNUMBER($A474),INDEX($AA$6:$AA$1505,$A474-3),"")</f>
        <v/>
      </c>
      <c r="H474">
        <f>IF(ISNUMBER($A474),INDEX($U$6:$U$1505,$A474-3),"")</f>
        <v/>
      </c>
      <c r="I474">
        <f>IF(ISNUMBER($A474),INDEX($V$6:$V$1505,$A474-3),"")</f>
        <v/>
      </c>
      <c r="J474">
        <f>IF(ISNUMBER($A474),INDEX($W$6:$W$1505,$A474-3),"")</f>
        <v/>
      </c>
      <c r="K474">
        <f>IF(ISNUMBER($A474),INDEX($X$6:$X$1505,$A474-3),"")</f>
        <v/>
      </c>
      <c r="L474">
        <f>IF(ISNUMBER($A474),INDEX($Y$6:$Y$1505,$A474-3),"")</f>
        <v/>
      </c>
      <c r="O474">
        <f>472</f>
        <v/>
      </c>
      <c r="P474">
        <f>IF(TRIM('입력_구리근무자명단'!$A472&amp;"")&lt;&gt;"",TRIM('입력_구리근무자명단'!$A472&amp;""),P473)</f>
        <v/>
      </c>
      <c r="Q474">
        <f>'입력_구리근무자명단'!$B472&amp;""</f>
        <v/>
      </c>
      <c r="R474">
        <f>IF($E$2="","",TRIM(INDEX('입력_구리근무자명단'!$A472:$ZZ472,1,$E$2+IF($G$2="확정",1,0))&amp;""))</f>
        <v/>
      </c>
      <c r="S474">
        <f>IF($R474="","",IF(INDEX('입력_구리근무자명단'!$A472:$ZZ472,1,$E$2+2)&amp;""="",급여기준월,IF(ISNUMBER(INDEX('입력_구리근무자명단'!$A472:$ZZ472,1,$E$2+2)),INDEX('입력_구리근무자명단'!$A472:$ZZ472,1,$E$2+2),IFERROR(DATE(VALUE(LEFT(INDEX('입력_구리근무자명단'!$A472:$ZZ472,1,$E$2+2),4)),VALUE(MID(INDEX('입력_구리근무자명단'!$A472:$ZZ472,1,$E$2+2),6,2)),VALUE(MID(INDEX('입력_구리근무자명단'!$A472:$ZZ472,1,$E$2+2),9,2))),-1))))</f>
        <v/>
      </c>
      <c r="T474">
        <f>IF($R474="","",IF(INDEX('입력_구리근무자명단'!$A472:$ZZ472,1,$E$2+3)&amp;""="",EOMONTH(급여기준월,0),IF(ISNUMBER(INDEX('입력_구리근무자명단'!$A472:$ZZ472,1,$E$2+3)),INDEX('입력_구리근무자명단'!$A472:$ZZ472,1,$E$2+3),IFERROR(DATE(VALUE(LEFT(INDEX('입력_구리근무자명단'!$A472:$ZZ472,1,$E$2+3),4)),VALUE(MID(INDEX('입력_구리근무자명단'!$A472:$ZZ472,1,$E$2+3),6,2)),VALUE(MID(INDEX('입력_구리근무자명단'!$A472:$ZZ472,1,$E$2+3),9,2))),-1))))</f>
        <v/>
      </c>
      <c r="U474">
        <f>IF($R474="","",IF(OR($S474&lt;0,$T474&lt;0),0,MAX(0,MIN($T474,EOMONTH(급여기준월,0))-MAX($S474,급여기준월)+1)))</f>
        <v/>
      </c>
      <c r="V474">
        <f>IF($R474="","",TRIM(INDEX('입력_구리근무자명단'!$A472:$ZZ472,1,$E$2+5)&amp;""))</f>
        <v/>
      </c>
      <c r="W474">
        <f>IF(ISNUMBER(SEARCH("구리독자",$V474)),"구리독자","")</f>
        <v/>
      </c>
      <c r="X474">
        <f>IF($R474="","",$R474&amp;"|"&amp;IF(OR($Q474="인턴",ISNUMBER(SEARCH("수련교육부",$P474))),"인턴",$P474))</f>
        <v/>
      </c>
      <c r="Y474">
        <f>IF($R474="","",IF(COUNTIF(명단표[이름|과],$X474)=1,"명단 일치",IF(AND(COUNTIF(명단표[이름|과],$X474)=0,COUNTIF(명단표[이름],$R474)=1),"명단 일치(이름만, 과 다름)",IF(COUNTIF(명단표[이름],$R474)=0,IF(COUNTIF(기본자료표[이름],$R474)&gt;0,"명단에 없음(기본자료에는 있음)","명단에 없음"),"동명이인 확인"))))</f>
        <v/>
      </c>
      <c r="Z474">
        <f>IF($R474="","",IF($S474&lt;0,"⚠"&amp;INDEX('입력_구리근무자명단'!$A472:$ZZ472,1,$E$2+2),TEXT($S474,"yyyy-mm-dd")))</f>
        <v/>
      </c>
      <c r="AA474">
        <f>IF($R474="","",IF($T474&lt;0,"⚠"&amp;INDEX('입력_구리근무자명단'!$A472:$ZZ472,1,$E$2+3),TEXT($T474,"yyyy-mm-dd")))</f>
        <v/>
      </c>
      <c r="AB474">
        <f>AB473+IF($R474="",0,1)</f>
        <v/>
      </c>
      <c r="AC474">
        <f>IF($R474="","",$AB474)</f>
        <v/>
      </c>
    </row>
    <row r="475">
      <c r="A475">
        <f>IFERROR(INDEX($O$6:$O$1505,MATCH(470,$AC$6:$AC$1505,0)),"")</f>
        <v/>
      </c>
      <c r="B475">
        <f>IF(ISNUMBER($A475),INDEX($P$6:$P$1505,$A475-3),"")</f>
        <v/>
      </c>
      <c r="C475">
        <f>IF(ISNUMBER($A475),INDEX($Q$6:$Q$1505,$A475-3),"")</f>
        <v/>
      </c>
      <c r="D475">
        <f>IF(ISNUMBER($A475),INDEX($R$6:$R$1505,$A475-3),"")</f>
        <v/>
      </c>
      <c r="E475">
        <f>IF(ISNUMBER($A475),$G$2,"")</f>
        <v/>
      </c>
      <c r="F475">
        <f>IF(ISNUMBER($A475),INDEX($Z$6:$Z$1505,$A475-3),"")</f>
        <v/>
      </c>
      <c r="G475">
        <f>IF(ISNUMBER($A475),INDEX($AA$6:$AA$1505,$A475-3),"")</f>
        <v/>
      </c>
      <c r="H475">
        <f>IF(ISNUMBER($A475),INDEX($U$6:$U$1505,$A475-3),"")</f>
        <v/>
      </c>
      <c r="I475">
        <f>IF(ISNUMBER($A475),INDEX($V$6:$V$1505,$A475-3),"")</f>
        <v/>
      </c>
      <c r="J475">
        <f>IF(ISNUMBER($A475),INDEX($W$6:$W$1505,$A475-3),"")</f>
        <v/>
      </c>
      <c r="K475">
        <f>IF(ISNUMBER($A475),INDEX($X$6:$X$1505,$A475-3),"")</f>
        <v/>
      </c>
      <c r="L475">
        <f>IF(ISNUMBER($A475),INDEX($Y$6:$Y$1505,$A475-3),"")</f>
        <v/>
      </c>
      <c r="O475">
        <f>473</f>
        <v/>
      </c>
      <c r="P475">
        <f>IF(TRIM('입력_구리근무자명단'!$A473&amp;"")&lt;&gt;"",TRIM('입력_구리근무자명단'!$A473&amp;""),P474)</f>
        <v/>
      </c>
      <c r="Q475">
        <f>'입력_구리근무자명단'!$B473&amp;""</f>
        <v/>
      </c>
      <c r="R475">
        <f>IF($E$2="","",TRIM(INDEX('입력_구리근무자명단'!$A473:$ZZ473,1,$E$2+IF($G$2="확정",1,0))&amp;""))</f>
        <v/>
      </c>
      <c r="S475">
        <f>IF($R475="","",IF(INDEX('입력_구리근무자명단'!$A473:$ZZ473,1,$E$2+2)&amp;""="",급여기준월,IF(ISNUMBER(INDEX('입력_구리근무자명단'!$A473:$ZZ473,1,$E$2+2)),INDEX('입력_구리근무자명단'!$A473:$ZZ473,1,$E$2+2),IFERROR(DATE(VALUE(LEFT(INDEX('입력_구리근무자명단'!$A473:$ZZ473,1,$E$2+2),4)),VALUE(MID(INDEX('입력_구리근무자명단'!$A473:$ZZ473,1,$E$2+2),6,2)),VALUE(MID(INDEX('입력_구리근무자명단'!$A473:$ZZ473,1,$E$2+2),9,2))),-1))))</f>
        <v/>
      </c>
      <c r="T475">
        <f>IF($R475="","",IF(INDEX('입력_구리근무자명단'!$A473:$ZZ473,1,$E$2+3)&amp;""="",EOMONTH(급여기준월,0),IF(ISNUMBER(INDEX('입력_구리근무자명단'!$A473:$ZZ473,1,$E$2+3)),INDEX('입력_구리근무자명단'!$A473:$ZZ473,1,$E$2+3),IFERROR(DATE(VALUE(LEFT(INDEX('입력_구리근무자명단'!$A473:$ZZ473,1,$E$2+3),4)),VALUE(MID(INDEX('입력_구리근무자명단'!$A473:$ZZ473,1,$E$2+3),6,2)),VALUE(MID(INDEX('입력_구리근무자명단'!$A473:$ZZ473,1,$E$2+3),9,2))),-1))))</f>
        <v/>
      </c>
      <c r="U475">
        <f>IF($R475="","",IF(OR($S475&lt;0,$T475&lt;0),0,MAX(0,MIN($T475,EOMONTH(급여기준월,0))-MAX($S475,급여기준월)+1)))</f>
        <v/>
      </c>
      <c r="V475">
        <f>IF($R475="","",TRIM(INDEX('입력_구리근무자명단'!$A473:$ZZ473,1,$E$2+5)&amp;""))</f>
        <v/>
      </c>
      <c r="W475">
        <f>IF(ISNUMBER(SEARCH("구리독자",$V475)),"구리독자","")</f>
        <v/>
      </c>
      <c r="X475">
        <f>IF($R475="","",$R475&amp;"|"&amp;IF(OR($Q475="인턴",ISNUMBER(SEARCH("수련교육부",$P475))),"인턴",$P475))</f>
        <v/>
      </c>
      <c r="Y475">
        <f>IF($R475="","",IF(COUNTIF(명단표[이름|과],$X475)=1,"명단 일치",IF(AND(COUNTIF(명단표[이름|과],$X475)=0,COUNTIF(명단표[이름],$R475)=1),"명단 일치(이름만, 과 다름)",IF(COUNTIF(명단표[이름],$R475)=0,IF(COUNTIF(기본자료표[이름],$R475)&gt;0,"명단에 없음(기본자료에는 있음)","명단에 없음"),"동명이인 확인"))))</f>
        <v/>
      </c>
      <c r="Z475">
        <f>IF($R475="","",IF($S475&lt;0,"⚠"&amp;INDEX('입력_구리근무자명단'!$A473:$ZZ473,1,$E$2+2),TEXT($S475,"yyyy-mm-dd")))</f>
        <v/>
      </c>
      <c r="AA475">
        <f>IF($R475="","",IF($T475&lt;0,"⚠"&amp;INDEX('입력_구리근무자명단'!$A473:$ZZ473,1,$E$2+3),TEXT($T475,"yyyy-mm-dd")))</f>
        <v/>
      </c>
      <c r="AB475">
        <f>AB474+IF($R475="",0,1)</f>
        <v/>
      </c>
      <c r="AC475">
        <f>IF($R475="","",$AB475)</f>
        <v/>
      </c>
    </row>
    <row r="476">
      <c r="A476">
        <f>IFERROR(INDEX($O$6:$O$1505,MATCH(471,$AC$6:$AC$1505,0)),"")</f>
        <v/>
      </c>
      <c r="B476">
        <f>IF(ISNUMBER($A476),INDEX($P$6:$P$1505,$A476-3),"")</f>
        <v/>
      </c>
      <c r="C476">
        <f>IF(ISNUMBER($A476),INDEX($Q$6:$Q$1505,$A476-3),"")</f>
        <v/>
      </c>
      <c r="D476">
        <f>IF(ISNUMBER($A476),INDEX($R$6:$R$1505,$A476-3),"")</f>
        <v/>
      </c>
      <c r="E476">
        <f>IF(ISNUMBER($A476),$G$2,"")</f>
        <v/>
      </c>
      <c r="F476">
        <f>IF(ISNUMBER($A476),INDEX($Z$6:$Z$1505,$A476-3),"")</f>
        <v/>
      </c>
      <c r="G476">
        <f>IF(ISNUMBER($A476),INDEX($AA$6:$AA$1505,$A476-3),"")</f>
        <v/>
      </c>
      <c r="H476">
        <f>IF(ISNUMBER($A476),INDEX($U$6:$U$1505,$A476-3),"")</f>
        <v/>
      </c>
      <c r="I476">
        <f>IF(ISNUMBER($A476),INDEX($V$6:$V$1505,$A476-3),"")</f>
        <v/>
      </c>
      <c r="J476">
        <f>IF(ISNUMBER($A476),INDEX($W$6:$W$1505,$A476-3),"")</f>
        <v/>
      </c>
      <c r="K476">
        <f>IF(ISNUMBER($A476),INDEX($X$6:$X$1505,$A476-3),"")</f>
        <v/>
      </c>
      <c r="L476">
        <f>IF(ISNUMBER($A476),INDEX($Y$6:$Y$1505,$A476-3),"")</f>
        <v/>
      </c>
      <c r="O476">
        <f>474</f>
        <v/>
      </c>
      <c r="P476">
        <f>IF(TRIM('입력_구리근무자명단'!$A474&amp;"")&lt;&gt;"",TRIM('입력_구리근무자명단'!$A474&amp;""),P475)</f>
        <v/>
      </c>
      <c r="Q476">
        <f>'입력_구리근무자명단'!$B474&amp;""</f>
        <v/>
      </c>
      <c r="R476">
        <f>IF($E$2="","",TRIM(INDEX('입력_구리근무자명단'!$A474:$ZZ474,1,$E$2+IF($G$2="확정",1,0))&amp;""))</f>
        <v/>
      </c>
      <c r="S476">
        <f>IF($R476="","",IF(INDEX('입력_구리근무자명단'!$A474:$ZZ474,1,$E$2+2)&amp;""="",급여기준월,IF(ISNUMBER(INDEX('입력_구리근무자명단'!$A474:$ZZ474,1,$E$2+2)),INDEX('입력_구리근무자명단'!$A474:$ZZ474,1,$E$2+2),IFERROR(DATE(VALUE(LEFT(INDEX('입력_구리근무자명단'!$A474:$ZZ474,1,$E$2+2),4)),VALUE(MID(INDEX('입력_구리근무자명단'!$A474:$ZZ474,1,$E$2+2),6,2)),VALUE(MID(INDEX('입력_구리근무자명단'!$A474:$ZZ474,1,$E$2+2),9,2))),-1))))</f>
        <v/>
      </c>
      <c r="T476">
        <f>IF($R476="","",IF(INDEX('입력_구리근무자명단'!$A474:$ZZ474,1,$E$2+3)&amp;""="",EOMONTH(급여기준월,0),IF(ISNUMBER(INDEX('입력_구리근무자명단'!$A474:$ZZ474,1,$E$2+3)),INDEX('입력_구리근무자명단'!$A474:$ZZ474,1,$E$2+3),IFERROR(DATE(VALUE(LEFT(INDEX('입력_구리근무자명단'!$A474:$ZZ474,1,$E$2+3),4)),VALUE(MID(INDEX('입력_구리근무자명단'!$A474:$ZZ474,1,$E$2+3),6,2)),VALUE(MID(INDEX('입력_구리근무자명단'!$A474:$ZZ474,1,$E$2+3),9,2))),-1))))</f>
        <v/>
      </c>
      <c r="U476">
        <f>IF($R476="","",IF(OR($S476&lt;0,$T476&lt;0),0,MAX(0,MIN($T476,EOMONTH(급여기준월,0))-MAX($S476,급여기준월)+1)))</f>
        <v/>
      </c>
      <c r="V476">
        <f>IF($R476="","",TRIM(INDEX('입력_구리근무자명단'!$A474:$ZZ474,1,$E$2+5)&amp;""))</f>
        <v/>
      </c>
      <c r="W476">
        <f>IF(ISNUMBER(SEARCH("구리독자",$V476)),"구리독자","")</f>
        <v/>
      </c>
      <c r="X476">
        <f>IF($R476="","",$R476&amp;"|"&amp;IF(OR($Q476="인턴",ISNUMBER(SEARCH("수련교육부",$P476))),"인턴",$P476))</f>
        <v/>
      </c>
      <c r="Y476">
        <f>IF($R476="","",IF(COUNTIF(명단표[이름|과],$X476)=1,"명단 일치",IF(AND(COUNTIF(명단표[이름|과],$X476)=0,COUNTIF(명단표[이름],$R476)=1),"명단 일치(이름만, 과 다름)",IF(COUNTIF(명단표[이름],$R476)=0,IF(COUNTIF(기본자료표[이름],$R476)&gt;0,"명단에 없음(기본자료에는 있음)","명단에 없음"),"동명이인 확인"))))</f>
        <v/>
      </c>
      <c r="Z476">
        <f>IF($R476="","",IF($S476&lt;0,"⚠"&amp;INDEX('입력_구리근무자명단'!$A474:$ZZ474,1,$E$2+2),TEXT($S476,"yyyy-mm-dd")))</f>
        <v/>
      </c>
      <c r="AA476">
        <f>IF($R476="","",IF($T476&lt;0,"⚠"&amp;INDEX('입력_구리근무자명단'!$A474:$ZZ474,1,$E$2+3),TEXT($T476,"yyyy-mm-dd")))</f>
        <v/>
      </c>
      <c r="AB476">
        <f>AB475+IF($R476="",0,1)</f>
        <v/>
      </c>
      <c r="AC476">
        <f>IF($R476="","",$AB476)</f>
        <v/>
      </c>
    </row>
    <row r="477">
      <c r="A477">
        <f>IFERROR(INDEX($O$6:$O$1505,MATCH(472,$AC$6:$AC$1505,0)),"")</f>
        <v/>
      </c>
      <c r="B477">
        <f>IF(ISNUMBER($A477),INDEX($P$6:$P$1505,$A477-3),"")</f>
        <v/>
      </c>
      <c r="C477">
        <f>IF(ISNUMBER($A477),INDEX($Q$6:$Q$1505,$A477-3),"")</f>
        <v/>
      </c>
      <c r="D477">
        <f>IF(ISNUMBER($A477),INDEX($R$6:$R$1505,$A477-3),"")</f>
        <v/>
      </c>
      <c r="E477">
        <f>IF(ISNUMBER($A477),$G$2,"")</f>
        <v/>
      </c>
      <c r="F477">
        <f>IF(ISNUMBER($A477),INDEX($Z$6:$Z$1505,$A477-3),"")</f>
        <v/>
      </c>
      <c r="G477">
        <f>IF(ISNUMBER($A477),INDEX($AA$6:$AA$1505,$A477-3),"")</f>
        <v/>
      </c>
      <c r="H477">
        <f>IF(ISNUMBER($A477),INDEX($U$6:$U$1505,$A477-3),"")</f>
        <v/>
      </c>
      <c r="I477">
        <f>IF(ISNUMBER($A477),INDEX($V$6:$V$1505,$A477-3),"")</f>
        <v/>
      </c>
      <c r="J477">
        <f>IF(ISNUMBER($A477),INDEX($W$6:$W$1505,$A477-3),"")</f>
        <v/>
      </c>
      <c r="K477">
        <f>IF(ISNUMBER($A477),INDEX($X$6:$X$1505,$A477-3),"")</f>
        <v/>
      </c>
      <c r="L477">
        <f>IF(ISNUMBER($A477),INDEX($Y$6:$Y$1505,$A477-3),"")</f>
        <v/>
      </c>
      <c r="O477">
        <f>475</f>
        <v/>
      </c>
      <c r="P477">
        <f>IF(TRIM('입력_구리근무자명단'!$A475&amp;"")&lt;&gt;"",TRIM('입력_구리근무자명단'!$A475&amp;""),P476)</f>
        <v/>
      </c>
      <c r="Q477">
        <f>'입력_구리근무자명단'!$B475&amp;""</f>
        <v/>
      </c>
      <c r="R477">
        <f>IF($E$2="","",TRIM(INDEX('입력_구리근무자명단'!$A475:$ZZ475,1,$E$2+IF($G$2="확정",1,0))&amp;""))</f>
        <v/>
      </c>
      <c r="S477">
        <f>IF($R477="","",IF(INDEX('입력_구리근무자명단'!$A475:$ZZ475,1,$E$2+2)&amp;""="",급여기준월,IF(ISNUMBER(INDEX('입력_구리근무자명단'!$A475:$ZZ475,1,$E$2+2)),INDEX('입력_구리근무자명단'!$A475:$ZZ475,1,$E$2+2),IFERROR(DATE(VALUE(LEFT(INDEX('입력_구리근무자명단'!$A475:$ZZ475,1,$E$2+2),4)),VALUE(MID(INDEX('입력_구리근무자명단'!$A475:$ZZ475,1,$E$2+2),6,2)),VALUE(MID(INDEX('입력_구리근무자명단'!$A475:$ZZ475,1,$E$2+2),9,2))),-1))))</f>
        <v/>
      </c>
      <c r="T477">
        <f>IF($R477="","",IF(INDEX('입력_구리근무자명단'!$A475:$ZZ475,1,$E$2+3)&amp;""="",EOMONTH(급여기준월,0),IF(ISNUMBER(INDEX('입력_구리근무자명단'!$A475:$ZZ475,1,$E$2+3)),INDEX('입력_구리근무자명단'!$A475:$ZZ475,1,$E$2+3),IFERROR(DATE(VALUE(LEFT(INDEX('입력_구리근무자명단'!$A475:$ZZ475,1,$E$2+3),4)),VALUE(MID(INDEX('입력_구리근무자명단'!$A475:$ZZ475,1,$E$2+3),6,2)),VALUE(MID(INDEX('입력_구리근무자명단'!$A475:$ZZ475,1,$E$2+3),9,2))),-1))))</f>
        <v/>
      </c>
      <c r="U477">
        <f>IF($R477="","",IF(OR($S477&lt;0,$T477&lt;0),0,MAX(0,MIN($T477,EOMONTH(급여기준월,0))-MAX($S477,급여기준월)+1)))</f>
        <v/>
      </c>
      <c r="V477">
        <f>IF($R477="","",TRIM(INDEX('입력_구리근무자명단'!$A475:$ZZ475,1,$E$2+5)&amp;""))</f>
        <v/>
      </c>
      <c r="W477">
        <f>IF(ISNUMBER(SEARCH("구리독자",$V477)),"구리독자","")</f>
        <v/>
      </c>
      <c r="X477">
        <f>IF($R477="","",$R477&amp;"|"&amp;IF(OR($Q477="인턴",ISNUMBER(SEARCH("수련교육부",$P477))),"인턴",$P477))</f>
        <v/>
      </c>
      <c r="Y477">
        <f>IF($R477="","",IF(COUNTIF(명단표[이름|과],$X477)=1,"명단 일치",IF(AND(COUNTIF(명단표[이름|과],$X477)=0,COUNTIF(명단표[이름],$R477)=1),"명단 일치(이름만, 과 다름)",IF(COUNTIF(명단표[이름],$R477)=0,IF(COUNTIF(기본자료표[이름],$R477)&gt;0,"명단에 없음(기본자료에는 있음)","명단에 없음"),"동명이인 확인"))))</f>
        <v/>
      </c>
      <c r="Z477">
        <f>IF($R477="","",IF($S477&lt;0,"⚠"&amp;INDEX('입력_구리근무자명단'!$A475:$ZZ475,1,$E$2+2),TEXT($S477,"yyyy-mm-dd")))</f>
        <v/>
      </c>
      <c r="AA477">
        <f>IF($R477="","",IF($T477&lt;0,"⚠"&amp;INDEX('입력_구리근무자명단'!$A475:$ZZ475,1,$E$2+3),TEXT($T477,"yyyy-mm-dd")))</f>
        <v/>
      </c>
      <c r="AB477">
        <f>AB476+IF($R477="",0,1)</f>
        <v/>
      </c>
      <c r="AC477">
        <f>IF($R477="","",$AB477)</f>
        <v/>
      </c>
    </row>
    <row r="478">
      <c r="A478">
        <f>IFERROR(INDEX($O$6:$O$1505,MATCH(473,$AC$6:$AC$1505,0)),"")</f>
        <v/>
      </c>
      <c r="B478">
        <f>IF(ISNUMBER($A478),INDEX($P$6:$P$1505,$A478-3),"")</f>
        <v/>
      </c>
      <c r="C478">
        <f>IF(ISNUMBER($A478),INDEX($Q$6:$Q$1505,$A478-3),"")</f>
        <v/>
      </c>
      <c r="D478">
        <f>IF(ISNUMBER($A478),INDEX($R$6:$R$1505,$A478-3),"")</f>
        <v/>
      </c>
      <c r="E478">
        <f>IF(ISNUMBER($A478),$G$2,"")</f>
        <v/>
      </c>
      <c r="F478">
        <f>IF(ISNUMBER($A478),INDEX($Z$6:$Z$1505,$A478-3),"")</f>
        <v/>
      </c>
      <c r="G478">
        <f>IF(ISNUMBER($A478),INDEX($AA$6:$AA$1505,$A478-3),"")</f>
        <v/>
      </c>
      <c r="H478">
        <f>IF(ISNUMBER($A478),INDEX($U$6:$U$1505,$A478-3),"")</f>
        <v/>
      </c>
      <c r="I478">
        <f>IF(ISNUMBER($A478),INDEX($V$6:$V$1505,$A478-3),"")</f>
        <v/>
      </c>
      <c r="J478">
        <f>IF(ISNUMBER($A478),INDEX($W$6:$W$1505,$A478-3),"")</f>
        <v/>
      </c>
      <c r="K478">
        <f>IF(ISNUMBER($A478),INDEX($X$6:$X$1505,$A478-3),"")</f>
        <v/>
      </c>
      <c r="L478">
        <f>IF(ISNUMBER($A478),INDEX($Y$6:$Y$1505,$A478-3),"")</f>
        <v/>
      </c>
      <c r="O478">
        <f>476</f>
        <v/>
      </c>
      <c r="P478">
        <f>IF(TRIM('입력_구리근무자명단'!$A476&amp;"")&lt;&gt;"",TRIM('입력_구리근무자명단'!$A476&amp;""),P477)</f>
        <v/>
      </c>
      <c r="Q478">
        <f>'입력_구리근무자명단'!$B476&amp;""</f>
        <v/>
      </c>
      <c r="R478">
        <f>IF($E$2="","",TRIM(INDEX('입력_구리근무자명단'!$A476:$ZZ476,1,$E$2+IF($G$2="확정",1,0))&amp;""))</f>
        <v/>
      </c>
      <c r="S478">
        <f>IF($R478="","",IF(INDEX('입력_구리근무자명단'!$A476:$ZZ476,1,$E$2+2)&amp;""="",급여기준월,IF(ISNUMBER(INDEX('입력_구리근무자명단'!$A476:$ZZ476,1,$E$2+2)),INDEX('입력_구리근무자명단'!$A476:$ZZ476,1,$E$2+2),IFERROR(DATE(VALUE(LEFT(INDEX('입력_구리근무자명단'!$A476:$ZZ476,1,$E$2+2),4)),VALUE(MID(INDEX('입력_구리근무자명단'!$A476:$ZZ476,1,$E$2+2),6,2)),VALUE(MID(INDEX('입력_구리근무자명단'!$A476:$ZZ476,1,$E$2+2),9,2))),-1))))</f>
        <v/>
      </c>
      <c r="T478">
        <f>IF($R478="","",IF(INDEX('입력_구리근무자명단'!$A476:$ZZ476,1,$E$2+3)&amp;""="",EOMONTH(급여기준월,0),IF(ISNUMBER(INDEX('입력_구리근무자명단'!$A476:$ZZ476,1,$E$2+3)),INDEX('입력_구리근무자명단'!$A476:$ZZ476,1,$E$2+3),IFERROR(DATE(VALUE(LEFT(INDEX('입력_구리근무자명단'!$A476:$ZZ476,1,$E$2+3),4)),VALUE(MID(INDEX('입력_구리근무자명단'!$A476:$ZZ476,1,$E$2+3),6,2)),VALUE(MID(INDEX('입력_구리근무자명단'!$A476:$ZZ476,1,$E$2+3),9,2))),-1))))</f>
        <v/>
      </c>
      <c r="U478">
        <f>IF($R478="","",IF(OR($S478&lt;0,$T478&lt;0),0,MAX(0,MIN($T478,EOMONTH(급여기준월,0))-MAX($S478,급여기준월)+1)))</f>
        <v/>
      </c>
      <c r="V478">
        <f>IF($R478="","",TRIM(INDEX('입력_구리근무자명단'!$A476:$ZZ476,1,$E$2+5)&amp;""))</f>
        <v/>
      </c>
      <c r="W478">
        <f>IF(ISNUMBER(SEARCH("구리독자",$V478)),"구리독자","")</f>
        <v/>
      </c>
      <c r="X478">
        <f>IF($R478="","",$R478&amp;"|"&amp;IF(OR($Q478="인턴",ISNUMBER(SEARCH("수련교육부",$P478))),"인턴",$P478))</f>
        <v/>
      </c>
      <c r="Y478">
        <f>IF($R478="","",IF(COUNTIF(명단표[이름|과],$X478)=1,"명단 일치",IF(AND(COUNTIF(명단표[이름|과],$X478)=0,COUNTIF(명단표[이름],$R478)=1),"명단 일치(이름만, 과 다름)",IF(COUNTIF(명단표[이름],$R478)=0,IF(COUNTIF(기본자료표[이름],$R478)&gt;0,"명단에 없음(기본자료에는 있음)","명단에 없음"),"동명이인 확인"))))</f>
        <v/>
      </c>
      <c r="Z478">
        <f>IF($R478="","",IF($S478&lt;0,"⚠"&amp;INDEX('입력_구리근무자명단'!$A476:$ZZ476,1,$E$2+2),TEXT($S478,"yyyy-mm-dd")))</f>
        <v/>
      </c>
      <c r="AA478">
        <f>IF($R478="","",IF($T478&lt;0,"⚠"&amp;INDEX('입력_구리근무자명단'!$A476:$ZZ476,1,$E$2+3),TEXT($T478,"yyyy-mm-dd")))</f>
        <v/>
      </c>
      <c r="AB478">
        <f>AB477+IF($R478="",0,1)</f>
        <v/>
      </c>
      <c r="AC478">
        <f>IF($R478="","",$AB478)</f>
        <v/>
      </c>
    </row>
    <row r="479">
      <c r="A479">
        <f>IFERROR(INDEX($O$6:$O$1505,MATCH(474,$AC$6:$AC$1505,0)),"")</f>
        <v/>
      </c>
      <c r="B479">
        <f>IF(ISNUMBER($A479),INDEX($P$6:$P$1505,$A479-3),"")</f>
        <v/>
      </c>
      <c r="C479">
        <f>IF(ISNUMBER($A479),INDEX($Q$6:$Q$1505,$A479-3),"")</f>
        <v/>
      </c>
      <c r="D479">
        <f>IF(ISNUMBER($A479),INDEX($R$6:$R$1505,$A479-3),"")</f>
        <v/>
      </c>
      <c r="E479">
        <f>IF(ISNUMBER($A479),$G$2,"")</f>
        <v/>
      </c>
      <c r="F479">
        <f>IF(ISNUMBER($A479),INDEX($Z$6:$Z$1505,$A479-3),"")</f>
        <v/>
      </c>
      <c r="G479">
        <f>IF(ISNUMBER($A479),INDEX($AA$6:$AA$1505,$A479-3),"")</f>
        <v/>
      </c>
      <c r="H479">
        <f>IF(ISNUMBER($A479),INDEX($U$6:$U$1505,$A479-3),"")</f>
        <v/>
      </c>
      <c r="I479">
        <f>IF(ISNUMBER($A479),INDEX($V$6:$V$1505,$A479-3),"")</f>
        <v/>
      </c>
      <c r="J479">
        <f>IF(ISNUMBER($A479),INDEX($W$6:$W$1505,$A479-3),"")</f>
        <v/>
      </c>
      <c r="K479">
        <f>IF(ISNUMBER($A479),INDEX($X$6:$X$1505,$A479-3),"")</f>
        <v/>
      </c>
      <c r="L479">
        <f>IF(ISNUMBER($A479),INDEX($Y$6:$Y$1505,$A479-3),"")</f>
        <v/>
      </c>
      <c r="O479">
        <f>477</f>
        <v/>
      </c>
      <c r="P479">
        <f>IF(TRIM('입력_구리근무자명단'!$A477&amp;"")&lt;&gt;"",TRIM('입력_구리근무자명단'!$A477&amp;""),P478)</f>
        <v/>
      </c>
      <c r="Q479">
        <f>'입력_구리근무자명단'!$B477&amp;""</f>
        <v/>
      </c>
      <c r="R479">
        <f>IF($E$2="","",TRIM(INDEX('입력_구리근무자명단'!$A477:$ZZ477,1,$E$2+IF($G$2="확정",1,0))&amp;""))</f>
        <v/>
      </c>
      <c r="S479">
        <f>IF($R479="","",IF(INDEX('입력_구리근무자명단'!$A477:$ZZ477,1,$E$2+2)&amp;""="",급여기준월,IF(ISNUMBER(INDEX('입력_구리근무자명단'!$A477:$ZZ477,1,$E$2+2)),INDEX('입력_구리근무자명단'!$A477:$ZZ477,1,$E$2+2),IFERROR(DATE(VALUE(LEFT(INDEX('입력_구리근무자명단'!$A477:$ZZ477,1,$E$2+2),4)),VALUE(MID(INDEX('입력_구리근무자명단'!$A477:$ZZ477,1,$E$2+2),6,2)),VALUE(MID(INDEX('입력_구리근무자명단'!$A477:$ZZ477,1,$E$2+2),9,2))),-1))))</f>
        <v/>
      </c>
      <c r="T479">
        <f>IF($R479="","",IF(INDEX('입력_구리근무자명단'!$A477:$ZZ477,1,$E$2+3)&amp;""="",EOMONTH(급여기준월,0),IF(ISNUMBER(INDEX('입력_구리근무자명단'!$A477:$ZZ477,1,$E$2+3)),INDEX('입력_구리근무자명단'!$A477:$ZZ477,1,$E$2+3),IFERROR(DATE(VALUE(LEFT(INDEX('입력_구리근무자명단'!$A477:$ZZ477,1,$E$2+3),4)),VALUE(MID(INDEX('입력_구리근무자명단'!$A477:$ZZ477,1,$E$2+3),6,2)),VALUE(MID(INDEX('입력_구리근무자명단'!$A477:$ZZ477,1,$E$2+3),9,2))),-1))))</f>
        <v/>
      </c>
      <c r="U479">
        <f>IF($R479="","",IF(OR($S479&lt;0,$T479&lt;0),0,MAX(0,MIN($T479,EOMONTH(급여기준월,0))-MAX($S479,급여기준월)+1)))</f>
        <v/>
      </c>
      <c r="V479">
        <f>IF($R479="","",TRIM(INDEX('입력_구리근무자명단'!$A477:$ZZ477,1,$E$2+5)&amp;""))</f>
        <v/>
      </c>
      <c r="W479">
        <f>IF(ISNUMBER(SEARCH("구리독자",$V479)),"구리독자","")</f>
        <v/>
      </c>
      <c r="X479">
        <f>IF($R479="","",$R479&amp;"|"&amp;IF(OR($Q479="인턴",ISNUMBER(SEARCH("수련교육부",$P479))),"인턴",$P479))</f>
        <v/>
      </c>
      <c r="Y479">
        <f>IF($R479="","",IF(COUNTIF(명단표[이름|과],$X479)=1,"명단 일치",IF(AND(COUNTIF(명단표[이름|과],$X479)=0,COUNTIF(명단표[이름],$R479)=1),"명단 일치(이름만, 과 다름)",IF(COUNTIF(명단표[이름],$R479)=0,IF(COUNTIF(기본자료표[이름],$R479)&gt;0,"명단에 없음(기본자료에는 있음)","명단에 없음"),"동명이인 확인"))))</f>
        <v/>
      </c>
      <c r="Z479">
        <f>IF($R479="","",IF($S479&lt;0,"⚠"&amp;INDEX('입력_구리근무자명단'!$A477:$ZZ477,1,$E$2+2),TEXT($S479,"yyyy-mm-dd")))</f>
        <v/>
      </c>
      <c r="AA479">
        <f>IF($R479="","",IF($T479&lt;0,"⚠"&amp;INDEX('입력_구리근무자명단'!$A477:$ZZ477,1,$E$2+3),TEXT($T479,"yyyy-mm-dd")))</f>
        <v/>
      </c>
      <c r="AB479">
        <f>AB478+IF($R479="",0,1)</f>
        <v/>
      </c>
      <c r="AC479">
        <f>IF($R479="","",$AB479)</f>
        <v/>
      </c>
    </row>
    <row r="480">
      <c r="A480">
        <f>IFERROR(INDEX($O$6:$O$1505,MATCH(475,$AC$6:$AC$1505,0)),"")</f>
        <v/>
      </c>
      <c r="B480">
        <f>IF(ISNUMBER($A480),INDEX($P$6:$P$1505,$A480-3),"")</f>
        <v/>
      </c>
      <c r="C480">
        <f>IF(ISNUMBER($A480),INDEX($Q$6:$Q$1505,$A480-3),"")</f>
        <v/>
      </c>
      <c r="D480">
        <f>IF(ISNUMBER($A480),INDEX($R$6:$R$1505,$A480-3),"")</f>
        <v/>
      </c>
      <c r="E480">
        <f>IF(ISNUMBER($A480),$G$2,"")</f>
        <v/>
      </c>
      <c r="F480">
        <f>IF(ISNUMBER($A480),INDEX($Z$6:$Z$1505,$A480-3),"")</f>
        <v/>
      </c>
      <c r="G480">
        <f>IF(ISNUMBER($A480),INDEX($AA$6:$AA$1505,$A480-3),"")</f>
        <v/>
      </c>
      <c r="H480">
        <f>IF(ISNUMBER($A480),INDEX($U$6:$U$1505,$A480-3),"")</f>
        <v/>
      </c>
      <c r="I480">
        <f>IF(ISNUMBER($A480),INDEX($V$6:$V$1505,$A480-3),"")</f>
        <v/>
      </c>
      <c r="J480">
        <f>IF(ISNUMBER($A480),INDEX($W$6:$W$1505,$A480-3),"")</f>
        <v/>
      </c>
      <c r="K480">
        <f>IF(ISNUMBER($A480),INDEX($X$6:$X$1505,$A480-3),"")</f>
        <v/>
      </c>
      <c r="L480">
        <f>IF(ISNUMBER($A480),INDEX($Y$6:$Y$1505,$A480-3),"")</f>
        <v/>
      </c>
      <c r="O480">
        <f>478</f>
        <v/>
      </c>
      <c r="P480">
        <f>IF(TRIM('입력_구리근무자명단'!$A478&amp;"")&lt;&gt;"",TRIM('입력_구리근무자명단'!$A478&amp;""),P479)</f>
        <v/>
      </c>
      <c r="Q480">
        <f>'입력_구리근무자명단'!$B478&amp;""</f>
        <v/>
      </c>
      <c r="R480">
        <f>IF($E$2="","",TRIM(INDEX('입력_구리근무자명단'!$A478:$ZZ478,1,$E$2+IF($G$2="확정",1,0))&amp;""))</f>
        <v/>
      </c>
      <c r="S480">
        <f>IF($R480="","",IF(INDEX('입력_구리근무자명단'!$A478:$ZZ478,1,$E$2+2)&amp;""="",급여기준월,IF(ISNUMBER(INDEX('입력_구리근무자명단'!$A478:$ZZ478,1,$E$2+2)),INDEX('입력_구리근무자명단'!$A478:$ZZ478,1,$E$2+2),IFERROR(DATE(VALUE(LEFT(INDEX('입력_구리근무자명단'!$A478:$ZZ478,1,$E$2+2),4)),VALUE(MID(INDEX('입력_구리근무자명단'!$A478:$ZZ478,1,$E$2+2),6,2)),VALUE(MID(INDEX('입력_구리근무자명단'!$A478:$ZZ478,1,$E$2+2),9,2))),-1))))</f>
        <v/>
      </c>
      <c r="T480">
        <f>IF($R480="","",IF(INDEX('입력_구리근무자명단'!$A478:$ZZ478,1,$E$2+3)&amp;""="",EOMONTH(급여기준월,0),IF(ISNUMBER(INDEX('입력_구리근무자명단'!$A478:$ZZ478,1,$E$2+3)),INDEX('입력_구리근무자명단'!$A478:$ZZ478,1,$E$2+3),IFERROR(DATE(VALUE(LEFT(INDEX('입력_구리근무자명단'!$A478:$ZZ478,1,$E$2+3),4)),VALUE(MID(INDEX('입력_구리근무자명단'!$A478:$ZZ478,1,$E$2+3),6,2)),VALUE(MID(INDEX('입력_구리근무자명단'!$A478:$ZZ478,1,$E$2+3),9,2))),-1))))</f>
        <v/>
      </c>
      <c r="U480">
        <f>IF($R480="","",IF(OR($S480&lt;0,$T480&lt;0),0,MAX(0,MIN($T480,EOMONTH(급여기준월,0))-MAX($S480,급여기준월)+1)))</f>
        <v/>
      </c>
      <c r="V480">
        <f>IF($R480="","",TRIM(INDEX('입력_구리근무자명단'!$A478:$ZZ478,1,$E$2+5)&amp;""))</f>
        <v/>
      </c>
      <c r="W480">
        <f>IF(ISNUMBER(SEARCH("구리독자",$V480)),"구리독자","")</f>
        <v/>
      </c>
      <c r="X480">
        <f>IF($R480="","",$R480&amp;"|"&amp;IF(OR($Q480="인턴",ISNUMBER(SEARCH("수련교육부",$P480))),"인턴",$P480))</f>
        <v/>
      </c>
      <c r="Y480">
        <f>IF($R480="","",IF(COUNTIF(명단표[이름|과],$X480)=1,"명단 일치",IF(AND(COUNTIF(명단표[이름|과],$X480)=0,COUNTIF(명단표[이름],$R480)=1),"명단 일치(이름만, 과 다름)",IF(COUNTIF(명단표[이름],$R480)=0,IF(COUNTIF(기본자료표[이름],$R480)&gt;0,"명단에 없음(기본자료에는 있음)","명단에 없음"),"동명이인 확인"))))</f>
        <v/>
      </c>
      <c r="Z480">
        <f>IF($R480="","",IF($S480&lt;0,"⚠"&amp;INDEX('입력_구리근무자명단'!$A478:$ZZ478,1,$E$2+2),TEXT($S480,"yyyy-mm-dd")))</f>
        <v/>
      </c>
      <c r="AA480">
        <f>IF($R480="","",IF($T480&lt;0,"⚠"&amp;INDEX('입력_구리근무자명단'!$A478:$ZZ478,1,$E$2+3),TEXT($T480,"yyyy-mm-dd")))</f>
        <v/>
      </c>
      <c r="AB480">
        <f>AB479+IF($R480="",0,1)</f>
        <v/>
      </c>
      <c r="AC480">
        <f>IF($R480="","",$AB480)</f>
        <v/>
      </c>
    </row>
    <row r="481">
      <c r="A481">
        <f>IFERROR(INDEX($O$6:$O$1505,MATCH(476,$AC$6:$AC$1505,0)),"")</f>
        <v/>
      </c>
      <c r="B481">
        <f>IF(ISNUMBER($A481),INDEX($P$6:$P$1505,$A481-3),"")</f>
        <v/>
      </c>
      <c r="C481">
        <f>IF(ISNUMBER($A481),INDEX($Q$6:$Q$1505,$A481-3),"")</f>
        <v/>
      </c>
      <c r="D481">
        <f>IF(ISNUMBER($A481),INDEX($R$6:$R$1505,$A481-3),"")</f>
        <v/>
      </c>
      <c r="E481">
        <f>IF(ISNUMBER($A481),$G$2,"")</f>
        <v/>
      </c>
      <c r="F481">
        <f>IF(ISNUMBER($A481),INDEX($Z$6:$Z$1505,$A481-3),"")</f>
        <v/>
      </c>
      <c r="G481">
        <f>IF(ISNUMBER($A481),INDEX($AA$6:$AA$1505,$A481-3),"")</f>
        <v/>
      </c>
      <c r="H481">
        <f>IF(ISNUMBER($A481),INDEX($U$6:$U$1505,$A481-3),"")</f>
        <v/>
      </c>
      <c r="I481">
        <f>IF(ISNUMBER($A481),INDEX($V$6:$V$1505,$A481-3),"")</f>
        <v/>
      </c>
      <c r="J481">
        <f>IF(ISNUMBER($A481),INDEX($W$6:$W$1505,$A481-3),"")</f>
        <v/>
      </c>
      <c r="K481">
        <f>IF(ISNUMBER($A481),INDEX($X$6:$X$1505,$A481-3),"")</f>
        <v/>
      </c>
      <c r="L481">
        <f>IF(ISNUMBER($A481),INDEX($Y$6:$Y$1505,$A481-3),"")</f>
        <v/>
      </c>
      <c r="O481">
        <f>479</f>
        <v/>
      </c>
      <c r="P481">
        <f>IF(TRIM('입력_구리근무자명단'!$A479&amp;"")&lt;&gt;"",TRIM('입력_구리근무자명단'!$A479&amp;""),P480)</f>
        <v/>
      </c>
      <c r="Q481">
        <f>'입력_구리근무자명단'!$B479&amp;""</f>
        <v/>
      </c>
      <c r="R481">
        <f>IF($E$2="","",TRIM(INDEX('입력_구리근무자명단'!$A479:$ZZ479,1,$E$2+IF($G$2="확정",1,0))&amp;""))</f>
        <v/>
      </c>
      <c r="S481">
        <f>IF($R481="","",IF(INDEX('입력_구리근무자명단'!$A479:$ZZ479,1,$E$2+2)&amp;""="",급여기준월,IF(ISNUMBER(INDEX('입력_구리근무자명단'!$A479:$ZZ479,1,$E$2+2)),INDEX('입력_구리근무자명단'!$A479:$ZZ479,1,$E$2+2),IFERROR(DATE(VALUE(LEFT(INDEX('입력_구리근무자명단'!$A479:$ZZ479,1,$E$2+2),4)),VALUE(MID(INDEX('입력_구리근무자명단'!$A479:$ZZ479,1,$E$2+2),6,2)),VALUE(MID(INDEX('입력_구리근무자명단'!$A479:$ZZ479,1,$E$2+2),9,2))),-1))))</f>
        <v/>
      </c>
      <c r="T481">
        <f>IF($R481="","",IF(INDEX('입력_구리근무자명단'!$A479:$ZZ479,1,$E$2+3)&amp;""="",EOMONTH(급여기준월,0),IF(ISNUMBER(INDEX('입력_구리근무자명단'!$A479:$ZZ479,1,$E$2+3)),INDEX('입력_구리근무자명단'!$A479:$ZZ479,1,$E$2+3),IFERROR(DATE(VALUE(LEFT(INDEX('입력_구리근무자명단'!$A479:$ZZ479,1,$E$2+3),4)),VALUE(MID(INDEX('입력_구리근무자명단'!$A479:$ZZ479,1,$E$2+3),6,2)),VALUE(MID(INDEX('입력_구리근무자명단'!$A479:$ZZ479,1,$E$2+3),9,2))),-1))))</f>
        <v/>
      </c>
      <c r="U481">
        <f>IF($R481="","",IF(OR($S481&lt;0,$T481&lt;0),0,MAX(0,MIN($T481,EOMONTH(급여기준월,0))-MAX($S481,급여기준월)+1)))</f>
        <v/>
      </c>
      <c r="V481">
        <f>IF($R481="","",TRIM(INDEX('입력_구리근무자명단'!$A479:$ZZ479,1,$E$2+5)&amp;""))</f>
        <v/>
      </c>
      <c r="W481">
        <f>IF(ISNUMBER(SEARCH("구리독자",$V481)),"구리독자","")</f>
        <v/>
      </c>
      <c r="X481">
        <f>IF($R481="","",$R481&amp;"|"&amp;IF(OR($Q481="인턴",ISNUMBER(SEARCH("수련교육부",$P481))),"인턴",$P481))</f>
        <v/>
      </c>
      <c r="Y481">
        <f>IF($R481="","",IF(COUNTIF(명단표[이름|과],$X481)=1,"명단 일치",IF(AND(COUNTIF(명단표[이름|과],$X481)=0,COUNTIF(명단표[이름],$R481)=1),"명단 일치(이름만, 과 다름)",IF(COUNTIF(명단표[이름],$R481)=0,IF(COUNTIF(기본자료표[이름],$R481)&gt;0,"명단에 없음(기본자료에는 있음)","명단에 없음"),"동명이인 확인"))))</f>
        <v/>
      </c>
      <c r="Z481">
        <f>IF($R481="","",IF($S481&lt;0,"⚠"&amp;INDEX('입력_구리근무자명단'!$A479:$ZZ479,1,$E$2+2),TEXT($S481,"yyyy-mm-dd")))</f>
        <v/>
      </c>
      <c r="AA481">
        <f>IF($R481="","",IF($T481&lt;0,"⚠"&amp;INDEX('입력_구리근무자명단'!$A479:$ZZ479,1,$E$2+3),TEXT($T481,"yyyy-mm-dd")))</f>
        <v/>
      </c>
      <c r="AB481">
        <f>AB480+IF($R481="",0,1)</f>
        <v/>
      </c>
      <c r="AC481">
        <f>IF($R481="","",$AB481)</f>
        <v/>
      </c>
    </row>
    <row r="482">
      <c r="A482">
        <f>IFERROR(INDEX($O$6:$O$1505,MATCH(477,$AC$6:$AC$1505,0)),"")</f>
        <v/>
      </c>
      <c r="B482">
        <f>IF(ISNUMBER($A482),INDEX($P$6:$P$1505,$A482-3),"")</f>
        <v/>
      </c>
      <c r="C482">
        <f>IF(ISNUMBER($A482),INDEX($Q$6:$Q$1505,$A482-3),"")</f>
        <v/>
      </c>
      <c r="D482">
        <f>IF(ISNUMBER($A482),INDEX($R$6:$R$1505,$A482-3),"")</f>
        <v/>
      </c>
      <c r="E482">
        <f>IF(ISNUMBER($A482),$G$2,"")</f>
        <v/>
      </c>
      <c r="F482">
        <f>IF(ISNUMBER($A482),INDEX($Z$6:$Z$1505,$A482-3),"")</f>
        <v/>
      </c>
      <c r="G482">
        <f>IF(ISNUMBER($A482),INDEX($AA$6:$AA$1505,$A482-3),"")</f>
        <v/>
      </c>
      <c r="H482">
        <f>IF(ISNUMBER($A482),INDEX($U$6:$U$1505,$A482-3),"")</f>
        <v/>
      </c>
      <c r="I482">
        <f>IF(ISNUMBER($A482),INDEX($V$6:$V$1505,$A482-3),"")</f>
        <v/>
      </c>
      <c r="J482">
        <f>IF(ISNUMBER($A482),INDEX($W$6:$W$1505,$A482-3),"")</f>
        <v/>
      </c>
      <c r="K482">
        <f>IF(ISNUMBER($A482),INDEX($X$6:$X$1505,$A482-3),"")</f>
        <v/>
      </c>
      <c r="L482">
        <f>IF(ISNUMBER($A482),INDEX($Y$6:$Y$1505,$A482-3),"")</f>
        <v/>
      </c>
      <c r="O482">
        <f>480</f>
        <v/>
      </c>
      <c r="P482">
        <f>IF(TRIM('입력_구리근무자명단'!$A480&amp;"")&lt;&gt;"",TRIM('입력_구리근무자명단'!$A480&amp;""),P481)</f>
        <v/>
      </c>
      <c r="Q482">
        <f>'입력_구리근무자명단'!$B480&amp;""</f>
        <v/>
      </c>
      <c r="R482">
        <f>IF($E$2="","",TRIM(INDEX('입력_구리근무자명단'!$A480:$ZZ480,1,$E$2+IF($G$2="확정",1,0))&amp;""))</f>
        <v/>
      </c>
      <c r="S482">
        <f>IF($R482="","",IF(INDEX('입력_구리근무자명단'!$A480:$ZZ480,1,$E$2+2)&amp;""="",급여기준월,IF(ISNUMBER(INDEX('입력_구리근무자명단'!$A480:$ZZ480,1,$E$2+2)),INDEX('입력_구리근무자명단'!$A480:$ZZ480,1,$E$2+2),IFERROR(DATE(VALUE(LEFT(INDEX('입력_구리근무자명단'!$A480:$ZZ480,1,$E$2+2),4)),VALUE(MID(INDEX('입력_구리근무자명단'!$A480:$ZZ480,1,$E$2+2),6,2)),VALUE(MID(INDEX('입력_구리근무자명단'!$A480:$ZZ480,1,$E$2+2),9,2))),-1))))</f>
        <v/>
      </c>
      <c r="T482">
        <f>IF($R482="","",IF(INDEX('입력_구리근무자명단'!$A480:$ZZ480,1,$E$2+3)&amp;""="",EOMONTH(급여기준월,0),IF(ISNUMBER(INDEX('입력_구리근무자명단'!$A480:$ZZ480,1,$E$2+3)),INDEX('입력_구리근무자명단'!$A480:$ZZ480,1,$E$2+3),IFERROR(DATE(VALUE(LEFT(INDEX('입력_구리근무자명단'!$A480:$ZZ480,1,$E$2+3),4)),VALUE(MID(INDEX('입력_구리근무자명단'!$A480:$ZZ480,1,$E$2+3),6,2)),VALUE(MID(INDEX('입력_구리근무자명단'!$A480:$ZZ480,1,$E$2+3),9,2))),-1))))</f>
        <v/>
      </c>
      <c r="U482">
        <f>IF($R482="","",IF(OR($S482&lt;0,$T482&lt;0),0,MAX(0,MIN($T482,EOMONTH(급여기준월,0))-MAX($S482,급여기준월)+1)))</f>
        <v/>
      </c>
      <c r="V482">
        <f>IF($R482="","",TRIM(INDEX('입력_구리근무자명단'!$A480:$ZZ480,1,$E$2+5)&amp;""))</f>
        <v/>
      </c>
      <c r="W482">
        <f>IF(ISNUMBER(SEARCH("구리독자",$V482)),"구리독자","")</f>
        <v/>
      </c>
      <c r="X482">
        <f>IF($R482="","",$R482&amp;"|"&amp;IF(OR($Q482="인턴",ISNUMBER(SEARCH("수련교육부",$P482))),"인턴",$P482))</f>
        <v/>
      </c>
      <c r="Y482">
        <f>IF($R482="","",IF(COUNTIF(명단표[이름|과],$X482)=1,"명단 일치",IF(AND(COUNTIF(명단표[이름|과],$X482)=0,COUNTIF(명단표[이름],$R482)=1),"명단 일치(이름만, 과 다름)",IF(COUNTIF(명단표[이름],$R482)=0,IF(COUNTIF(기본자료표[이름],$R482)&gt;0,"명단에 없음(기본자료에는 있음)","명단에 없음"),"동명이인 확인"))))</f>
        <v/>
      </c>
      <c r="Z482">
        <f>IF($R482="","",IF($S482&lt;0,"⚠"&amp;INDEX('입력_구리근무자명단'!$A480:$ZZ480,1,$E$2+2),TEXT($S482,"yyyy-mm-dd")))</f>
        <v/>
      </c>
      <c r="AA482">
        <f>IF($R482="","",IF($T482&lt;0,"⚠"&amp;INDEX('입력_구리근무자명단'!$A480:$ZZ480,1,$E$2+3),TEXT($T482,"yyyy-mm-dd")))</f>
        <v/>
      </c>
      <c r="AB482">
        <f>AB481+IF($R482="",0,1)</f>
        <v/>
      </c>
      <c r="AC482">
        <f>IF($R482="","",$AB482)</f>
        <v/>
      </c>
    </row>
    <row r="483">
      <c r="A483">
        <f>IFERROR(INDEX($O$6:$O$1505,MATCH(478,$AC$6:$AC$1505,0)),"")</f>
        <v/>
      </c>
      <c r="B483">
        <f>IF(ISNUMBER($A483),INDEX($P$6:$P$1505,$A483-3),"")</f>
        <v/>
      </c>
      <c r="C483">
        <f>IF(ISNUMBER($A483),INDEX($Q$6:$Q$1505,$A483-3),"")</f>
        <v/>
      </c>
      <c r="D483">
        <f>IF(ISNUMBER($A483),INDEX($R$6:$R$1505,$A483-3),"")</f>
        <v/>
      </c>
      <c r="E483">
        <f>IF(ISNUMBER($A483),$G$2,"")</f>
        <v/>
      </c>
      <c r="F483">
        <f>IF(ISNUMBER($A483),INDEX($Z$6:$Z$1505,$A483-3),"")</f>
        <v/>
      </c>
      <c r="G483">
        <f>IF(ISNUMBER($A483),INDEX($AA$6:$AA$1505,$A483-3),"")</f>
        <v/>
      </c>
      <c r="H483">
        <f>IF(ISNUMBER($A483),INDEX($U$6:$U$1505,$A483-3),"")</f>
        <v/>
      </c>
      <c r="I483">
        <f>IF(ISNUMBER($A483),INDEX($V$6:$V$1505,$A483-3),"")</f>
        <v/>
      </c>
      <c r="J483">
        <f>IF(ISNUMBER($A483),INDEX($W$6:$W$1505,$A483-3),"")</f>
        <v/>
      </c>
      <c r="K483">
        <f>IF(ISNUMBER($A483),INDEX($X$6:$X$1505,$A483-3),"")</f>
        <v/>
      </c>
      <c r="L483">
        <f>IF(ISNUMBER($A483),INDEX($Y$6:$Y$1505,$A483-3),"")</f>
        <v/>
      </c>
      <c r="O483">
        <f>481</f>
        <v/>
      </c>
      <c r="P483">
        <f>IF(TRIM('입력_구리근무자명단'!$A481&amp;"")&lt;&gt;"",TRIM('입력_구리근무자명단'!$A481&amp;""),P482)</f>
        <v/>
      </c>
      <c r="Q483">
        <f>'입력_구리근무자명단'!$B481&amp;""</f>
        <v/>
      </c>
      <c r="R483">
        <f>IF($E$2="","",TRIM(INDEX('입력_구리근무자명단'!$A481:$ZZ481,1,$E$2+IF($G$2="확정",1,0))&amp;""))</f>
        <v/>
      </c>
      <c r="S483">
        <f>IF($R483="","",IF(INDEX('입력_구리근무자명단'!$A481:$ZZ481,1,$E$2+2)&amp;""="",급여기준월,IF(ISNUMBER(INDEX('입력_구리근무자명단'!$A481:$ZZ481,1,$E$2+2)),INDEX('입력_구리근무자명단'!$A481:$ZZ481,1,$E$2+2),IFERROR(DATE(VALUE(LEFT(INDEX('입력_구리근무자명단'!$A481:$ZZ481,1,$E$2+2),4)),VALUE(MID(INDEX('입력_구리근무자명단'!$A481:$ZZ481,1,$E$2+2),6,2)),VALUE(MID(INDEX('입력_구리근무자명단'!$A481:$ZZ481,1,$E$2+2),9,2))),-1))))</f>
        <v/>
      </c>
      <c r="T483">
        <f>IF($R483="","",IF(INDEX('입력_구리근무자명단'!$A481:$ZZ481,1,$E$2+3)&amp;""="",EOMONTH(급여기준월,0),IF(ISNUMBER(INDEX('입력_구리근무자명단'!$A481:$ZZ481,1,$E$2+3)),INDEX('입력_구리근무자명단'!$A481:$ZZ481,1,$E$2+3),IFERROR(DATE(VALUE(LEFT(INDEX('입력_구리근무자명단'!$A481:$ZZ481,1,$E$2+3),4)),VALUE(MID(INDEX('입력_구리근무자명단'!$A481:$ZZ481,1,$E$2+3),6,2)),VALUE(MID(INDEX('입력_구리근무자명단'!$A481:$ZZ481,1,$E$2+3),9,2))),-1))))</f>
        <v/>
      </c>
      <c r="U483">
        <f>IF($R483="","",IF(OR($S483&lt;0,$T483&lt;0),0,MAX(0,MIN($T483,EOMONTH(급여기준월,0))-MAX($S483,급여기준월)+1)))</f>
        <v/>
      </c>
      <c r="V483">
        <f>IF($R483="","",TRIM(INDEX('입력_구리근무자명단'!$A481:$ZZ481,1,$E$2+5)&amp;""))</f>
        <v/>
      </c>
      <c r="W483">
        <f>IF(ISNUMBER(SEARCH("구리독자",$V483)),"구리독자","")</f>
        <v/>
      </c>
      <c r="X483">
        <f>IF($R483="","",$R483&amp;"|"&amp;IF(OR($Q483="인턴",ISNUMBER(SEARCH("수련교육부",$P483))),"인턴",$P483))</f>
        <v/>
      </c>
      <c r="Y483">
        <f>IF($R483="","",IF(COUNTIF(명단표[이름|과],$X483)=1,"명단 일치",IF(AND(COUNTIF(명단표[이름|과],$X483)=0,COUNTIF(명단표[이름],$R483)=1),"명단 일치(이름만, 과 다름)",IF(COUNTIF(명단표[이름],$R483)=0,IF(COUNTIF(기본자료표[이름],$R483)&gt;0,"명단에 없음(기본자료에는 있음)","명단에 없음"),"동명이인 확인"))))</f>
        <v/>
      </c>
      <c r="Z483">
        <f>IF($R483="","",IF($S483&lt;0,"⚠"&amp;INDEX('입력_구리근무자명단'!$A481:$ZZ481,1,$E$2+2),TEXT($S483,"yyyy-mm-dd")))</f>
        <v/>
      </c>
      <c r="AA483">
        <f>IF($R483="","",IF($T483&lt;0,"⚠"&amp;INDEX('입력_구리근무자명단'!$A481:$ZZ481,1,$E$2+3),TEXT($T483,"yyyy-mm-dd")))</f>
        <v/>
      </c>
      <c r="AB483">
        <f>AB482+IF($R483="",0,1)</f>
        <v/>
      </c>
      <c r="AC483">
        <f>IF($R483="","",$AB483)</f>
        <v/>
      </c>
    </row>
    <row r="484">
      <c r="A484">
        <f>IFERROR(INDEX($O$6:$O$1505,MATCH(479,$AC$6:$AC$1505,0)),"")</f>
        <v/>
      </c>
      <c r="B484">
        <f>IF(ISNUMBER($A484),INDEX($P$6:$P$1505,$A484-3),"")</f>
        <v/>
      </c>
      <c r="C484">
        <f>IF(ISNUMBER($A484),INDEX($Q$6:$Q$1505,$A484-3),"")</f>
        <v/>
      </c>
      <c r="D484">
        <f>IF(ISNUMBER($A484),INDEX($R$6:$R$1505,$A484-3),"")</f>
        <v/>
      </c>
      <c r="E484">
        <f>IF(ISNUMBER($A484),$G$2,"")</f>
        <v/>
      </c>
      <c r="F484">
        <f>IF(ISNUMBER($A484),INDEX($Z$6:$Z$1505,$A484-3),"")</f>
        <v/>
      </c>
      <c r="G484">
        <f>IF(ISNUMBER($A484),INDEX($AA$6:$AA$1505,$A484-3),"")</f>
        <v/>
      </c>
      <c r="H484">
        <f>IF(ISNUMBER($A484),INDEX($U$6:$U$1505,$A484-3),"")</f>
        <v/>
      </c>
      <c r="I484">
        <f>IF(ISNUMBER($A484),INDEX($V$6:$V$1505,$A484-3),"")</f>
        <v/>
      </c>
      <c r="J484">
        <f>IF(ISNUMBER($A484),INDEX($W$6:$W$1505,$A484-3),"")</f>
        <v/>
      </c>
      <c r="K484">
        <f>IF(ISNUMBER($A484),INDEX($X$6:$X$1505,$A484-3),"")</f>
        <v/>
      </c>
      <c r="L484">
        <f>IF(ISNUMBER($A484),INDEX($Y$6:$Y$1505,$A484-3),"")</f>
        <v/>
      </c>
      <c r="O484">
        <f>482</f>
        <v/>
      </c>
      <c r="P484">
        <f>IF(TRIM('입력_구리근무자명단'!$A482&amp;"")&lt;&gt;"",TRIM('입력_구리근무자명단'!$A482&amp;""),P483)</f>
        <v/>
      </c>
      <c r="Q484">
        <f>'입력_구리근무자명단'!$B482&amp;""</f>
        <v/>
      </c>
      <c r="R484">
        <f>IF($E$2="","",TRIM(INDEX('입력_구리근무자명단'!$A482:$ZZ482,1,$E$2+IF($G$2="확정",1,0))&amp;""))</f>
        <v/>
      </c>
      <c r="S484">
        <f>IF($R484="","",IF(INDEX('입력_구리근무자명단'!$A482:$ZZ482,1,$E$2+2)&amp;""="",급여기준월,IF(ISNUMBER(INDEX('입력_구리근무자명단'!$A482:$ZZ482,1,$E$2+2)),INDEX('입력_구리근무자명단'!$A482:$ZZ482,1,$E$2+2),IFERROR(DATE(VALUE(LEFT(INDEX('입력_구리근무자명단'!$A482:$ZZ482,1,$E$2+2),4)),VALUE(MID(INDEX('입력_구리근무자명단'!$A482:$ZZ482,1,$E$2+2),6,2)),VALUE(MID(INDEX('입력_구리근무자명단'!$A482:$ZZ482,1,$E$2+2),9,2))),-1))))</f>
        <v/>
      </c>
      <c r="T484">
        <f>IF($R484="","",IF(INDEX('입력_구리근무자명단'!$A482:$ZZ482,1,$E$2+3)&amp;""="",EOMONTH(급여기준월,0),IF(ISNUMBER(INDEX('입력_구리근무자명단'!$A482:$ZZ482,1,$E$2+3)),INDEX('입력_구리근무자명단'!$A482:$ZZ482,1,$E$2+3),IFERROR(DATE(VALUE(LEFT(INDEX('입력_구리근무자명단'!$A482:$ZZ482,1,$E$2+3),4)),VALUE(MID(INDEX('입력_구리근무자명단'!$A482:$ZZ482,1,$E$2+3),6,2)),VALUE(MID(INDEX('입력_구리근무자명단'!$A482:$ZZ482,1,$E$2+3),9,2))),-1))))</f>
        <v/>
      </c>
      <c r="U484">
        <f>IF($R484="","",IF(OR($S484&lt;0,$T484&lt;0),0,MAX(0,MIN($T484,EOMONTH(급여기준월,0))-MAX($S484,급여기준월)+1)))</f>
        <v/>
      </c>
      <c r="V484">
        <f>IF($R484="","",TRIM(INDEX('입력_구리근무자명단'!$A482:$ZZ482,1,$E$2+5)&amp;""))</f>
        <v/>
      </c>
      <c r="W484">
        <f>IF(ISNUMBER(SEARCH("구리독자",$V484)),"구리독자","")</f>
        <v/>
      </c>
      <c r="X484">
        <f>IF($R484="","",$R484&amp;"|"&amp;IF(OR($Q484="인턴",ISNUMBER(SEARCH("수련교육부",$P484))),"인턴",$P484))</f>
        <v/>
      </c>
      <c r="Y484">
        <f>IF($R484="","",IF(COUNTIF(명단표[이름|과],$X484)=1,"명단 일치",IF(AND(COUNTIF(명단표[이름|과],$X484)=0,COUNTIF(명단표[이름],$R484)=1),"명단 일치(이름만, 과 다름)",IF(COUNTIF(명단표[이름],$R484)=0,IF(COUNTIF(기본자료표[이름],$R484)&gt;0,"명단에 없음(기본자료에는 있음)","명단에 없음"),"동명이인 확인"))))</f>
        <v/>
      </c>
      <c r="Z484">
        <f>IF($R484="","",IF($S484&lt;0,"⚠"&amp;INDEX('입력_구리근무자명단'!$A482:$ZZ482,1,$E$2+2),TEXT($S484,"yyyy-mm-dd")))</f>
        <v/>
      </c>
      <c r="AA484">
        <f>IF($R484="","",IF($T484&lt;0,"⚠"&amp;INDEX('입력_구리근무자명단'!$A482:$ZZ482,1,$E$2+3),TEXT($T484,"yyyy-mm-dd")))</f>
        <v/>
      </c>
      <c r="AB484">
        <f>AB483+IF($R484="",0,1)</f>
        <v/>
      </c>
      <c r="AC484">
        <f>IF($R484="","",$AB484)</f>
        <v/>
      </c>
    </row>
    <row r="485">
      <c r="A485">
        <f>IFERROR(INDEX($O$6:$O$1505,MATCH(480,$AC$6:$AC$1505,0)),"")</f>
        <v/>
      </c>
      <c r="B485">
        <f>IF(ISNUMBER($A485),INDEX($P$6:$P$1505,$A485-3),"")</f>
        <v/>
      </c>
      <c r="C485">
        <f>IF(ISNUMBER($A485),INDEX($Q$6:$Q$1505,$A485-3),"")</f>
        <v/>
      </c>
      <c r="D485">
        <f>IF(ISNUMBER($A485),INDEX($R$6:$R$1505,$A485-3),"")</f>
        <v/>
      </c>
      <c r="E485">
        <f>IF(ISNUMBER($A485),$G$2,"")</f>
        <v/>
      </c>
      <c r="F485">
        <f>IF(ISNUMBER($A485),INDEX($Z$6:$Z$1505,$A485-3),"")</f>
        <v/>
      </c>
      <c r="G485">
        <f>IF(ISNUMBER($A485),INDEX($AA$6:$AA$1505,$A485-3),"")</f>
        <v/>
      </c>
      <c r="H485">
        <f>IF(ISNUMBER($A485),INDEX($U$6:$U$1505,$A485-3),"")</f>
        <v/>
      </c>
      <c r="I485">
        <f>IF(ISNUMBER($A485),INDEX($V$6:$V$1505,$A485-3),"")</f>
        <v/>
      </c>
      <c r="J485">
        <f>IF(ISNUMBER($A485),INDEX($W$6:$W$1505,$A485-3),"")</f>
        <v/>
      </c>
      <c r="K485">
        <f>IF(ISNUMBER($A485),INDEX($X$6:$X$1505,$A485-3),"")</f>
        <v/>
      </c>
      <c r="L485">
        <f>IF(ISNUMBER($A485),INDEX($Y$6:$Y$1505,$A485-3),"")</f>
        <v/>
      </c>
      <c r="O485">
        <f>483</f>
        <v/>
      </c>
      <c r="P485">
        <f>IF(TRIM('입력_구리근무자명단'!$A483&amp;"")&lt;&gt;"",TRIM('입력_구리근무자명단'!$A483&amp;""),P484)</f>
        <v/>
      </c>
      <c r="Q485">
        <f>'입력_구리근무자명단'!$B483&amp;""</f>
        <v/>
      </c>
      <c r="R485">
        <f>IF($E$2="","",TRIM(INDEX('입력_구리근무자명단'!$A483:$ZZ483,1,$E$2+IF($G$2="확정",1,0))&amp;""))</f>
        <v/>
      </c>
      <c r="S485">
        <f>IF($R485="","",IF(INDEX('입력_구리근무자명단'!$A483:$ZZ483,1,$E$2+2)&amp;""="",급여기준월,IF(ISNUMBER(INDEX('입력_구리근무자명단'!$A483:$ZZ483,1,$E$2+2)),INDEX('입력_구리근무자명단'!$A483:$ZZ483,1,$E$2+2),IFERROR(DATE(VALUE(LEFT(INDEX('입력_구리근무자명단'!$A483:$ZZ483,1,$E$2+2),4)),VALUE(MID(INDEX('입력_구리근무자명단'!$A483:$ZZ483,1,$E$2+2),6,2)),VALUE(MID(INDEX('입력_구리근무자명단'!$A483:$ZZ483,1,$E$2+2),9,2))),-1))))</f>
        <v/>
      </c>
      <c r="T485">
        <f>IF($R485="","",IF(INDEX('입력_구리근무자명단'!$A483:$ZZ483,1,$E$2+3)&amp;""="",EOMONTH(급여기준월,0),IF(ISNUMBER(INDEX('입력_구리근무자명단'!$A483:$ZZ483,1,$E$2+3)),INDEX('입력_구리근무자명단'!$A483:$ZZ483,1,$E$2+3),IFERROR(DATE(VALUE(LEFT(INDEX('입력_구리근무자명단'!$A483:$ZZ483,1,$E$2+3),4)),VALUE(MID(INDEX('입력_구리근무자명단'!$A483:$ZZ483,1,$E$2+3),6,2)),VALUE(MID(INDEX('입력_구리근무자명단'!$A483:$ZZ483,1,$E$2+3),9,2))),-1))))</f>
        <v/>
      </c>
      <c r="U485">
        <f>IF($R485="","",IF(OR($S485&lt;0,$T485&lt;0),0,MAX(0,MIN($T485,EOMONTH(급여기준월,0))-MAX($S485,급여기준월)+1)))</f>
        <v/>
      </c>
      <c r="V485">
        <f>IF($R485="","",TRIM(INDEX('입력_구리근무자명단'!$A483:$ZZ483,1,$E$2+5)&amp;""))</f>
        <v/>
      </c>
      <c r="W485">
        <f>IF(ISNUMBER(SEARCH("구리독자",$V485)),"구리독자","")</f>
        <v/>
      </c>
      <c r="X485">
        <f>IF($R485="","",$R485&amp;"|"&amp;IF(OR($Q485="인턴",ISNUMBER(SEARCH("수련교육부",$P485))),"인턴",$P485))</f>
        <v/>
      </c>
      <c r="Y485">
        <f>IF($R485="","",IF(COUNTIF(명단표[이름|과],$X485)=1,"명단 일치",IF(AND(COUNTIF(명단표[이름|과],$X485)=0,COUNTIF(명단표[이름],$R485)=1),"명단 일치(이름만, 과 다름)",IF(COUNTIF(명단표[이름],$R485)=0,IF(COUNTIF(기본자료표[이름],$R485)&gt;0,"명단에 없음(기본자료에는 있음)","명단에 없음"),"동명이인 확인"))))</f>
        <v/>
      </c>
      <c r="Z485">
        <f>IF($R485="","",IF($S485&lt;0,"⚠"&amp;INDEX('입력_구리근무자명단'!$A483:$ZZ483,1,$E$2+2),TEXT($S485,"yyyy-mm-dd")))</f>
        <v/>
      </c>
      <c r="AA485">
        <f>IF($R485="","",IF($T485&lt;0,"⚠"&amp;INDEX('입력_구리근무자명단'!$A483:$ZZ483,1,$E$2+3),TEXT($T485,"yyyy-mm-dd")))</f>
        <v/>
      </c>
      <c r="AB485">
        <f>AB484+IF($R485="",0,1)</f>
        <v/>
      </c>
      <c r="AC485">
        <f>IF($R485="","",$AB485)</f>
        <v/>
      </c>
    </row>
    <row r="486">
      <c r="A486">
        <f>IFERROR(INDEX($O$6:$O$1505,MATCH(481,$AC$6:$AC$1505,0)),"")</f>
        <v/>
      </c>
      <c r="B486">
        <f>IF(ISNUMBER($A486),INDEX($P$6:$P$1505,$A486-3),"")</f>
        <v/>
      </c>
      <c r="C486">
        <f>IF(ISNUMBER($A486),INDEX($Q$6:$Q$1505,$A486-3),"")</f>
        <v/>
      </c>
      <c r="D486">
        <f>IF(ISNUMBER($A486),INDEX($R$6:$R$1505,$A486-3),"")</f>
        <v/>
      </c>
      <c r="E486">
        <f>IF(ISNUMBER($A486),$G$2,"")</f>
        <v/>
      </c>
      <c r="F486">
        <f>IF(ISNUMBER($A486),INDEX($Z$6:$Z$1505,$A486-3),"")</f>
        <v/>
      </c>
      <c r="G486">
        <f>IF(ISNUMBER($A486),INDEX($AA$6:$AA$1505,$A486-3),"")</f>
        <v/>
      </c>
      <c r="H486">
        <f>IF(ISNUMBER($A486),INDEX($U$6:$U$1505,$A486-3),"")</f>
        <v/>
      </c>
      <c r="I486">
        <f>IF(ISNUMBER($A486),INDEX($V$6:$V$1505,$A486-3),"")</f>
        <v/>
      </c>
      <c r="J486">
        <f>IF(ISNUMBER($A486),INDEX($W$6:$W$1505,$A486-3),"")</f>
        <v/>
      </c>
      <c r="K486">
        <f>IF(ISNUMBER($A486),INDEX($X$6:$X$1505,$A486-3),"")</f>
        <v/>
      </c>
      <c r="L486">
        <f>IF(ISNUMBER($A486),INDEX($Y$6:$Y$1505,$A486-3),"")</f>
        <v/>
      </c>
      <c r="O486">
        <f>484</f>
        <v/>
      </c>
      <c r="P486">
        <f>IF(TRIM('입력_구리근무자명단'!$A484&amp;"")&lt;&gt;"",TRIM('입력_구리근무자명단'!$A484&amp;""),P485)</f>
        <v/>
      </c>
      <c r="Q486">
        <f>'입력_구리근무자명단'!$B484&amp;""</f>
        <v/>
      </c>
      <c r="R486">
        <f>IF($E$2="","",TRIM(INDEX('입력_구리근무자명단'!$A484:$ZZ484,1,$E$2+IF($G$2="확정",1,0))&amp;""))</f>
        <v/>
      </c>
      <c r="S486">
        <f>IF($R486="","",IF(INDEX('입력_구리근무자명단'!$A484:$ZZ484,1,$E$2+2)&amp;""="",급여기준월,IF(ISNUMBER(INDEX('입력_구리근무자명단'!$A484:$ZZ484,1,$E$2+2)),INDEX('입력_구리근무자명단'!$A484:$ZZ484,1,$E$2+2),IFERROR(DATE(VALUE(LEFT(INDEX('입력_구리근무자명단'!$A484:$ZZ484,1,$E$2+2),4)),VALUE(MID(INDEX('입력_구리근무자명단'!$A484:$ZZ484,1,$E$2+2),6,2)),VALUE(MID(INDEX('입력_구리근무자명단'!$A484:$ZZ484,1,$E$2+2),9,2))),-1))))</f>
        <v/>
      </c>
      <c r="T486">
        <f>IF($R486="","",IF(INDEX('입력_구리근무자명단'!$A484:$ZZ484,1,$E$2+3)&amp;""="",EOMONTH(급여기준월,0),IF(ISNUMBER(INDEX('입력_구리근무자명단'!$A484:$ZZ484,1,$E$2+3)),INDEX('입력_구리근무자명단'!$A484:$ZZ484,1,$E$2+3),IFERROR(DATE(VALUE(LEFT(INDEX('입력_구리근무자명단'!$A484:$ZZ484,1,$E$2+3),4)),VALUE(MID(INDEX('입력_구리근무자명단'!$A484:$ZZ484,1,$E$2+3),6,2)),VALUE(MID(INDEX('입력_구리근무자명단'!$A484:$ZZ484,1,$E$2+3),9,2))),-1))))</f>
        <v/>
      </c>
      <c r="U486">
        <f>IF($R486="","",IF(OR($S486&lt;0,$T486&lt;0),0,MAX(0,MIN($T486,EOMONTH(급여기준월,0))-MAX($S486,급여기준월)+1)))</f>
        <v/>
      </c>
      <c r="V486">
        <f>IF($R486="","",TRIM(INDEX('입력_구리근무자명단'!$A484:$ZZ484,1,$E$2+5)&amp;""))</f>
        <v/>
      </c>
      <c r="W486">
        <f>IF(ISNUMBER(SEARCH("구리독자",$V486)),"구리독자","")</f>
        <v/>
      </c>
      <c r="X486">
        <f>IF($R486="","",$R486&amp;"|"&amp;IF(OR($Q486="인턴",ISNUMBER(SEARCH("수련교육부",$P486))),"인턴",$P486))</f>
        <v/>
      </c>
      <c r="Y486">
        <f>IF($R486="","",IF(COUNTIF(명단표[이름|과],$X486)=1,"명단 일치",IF(AND(COUNTIF(명단표[이름|과],$X486)=0,COUNTIF(명단표[이름],$R486)=1),"명단 일치(이름만, 과 다름)",IF(COUNTIF(명단표[이름],$R486)=0,IF(COUNTIF(기본자료표[이름],$R486)&gt;0,"명단에 없음(기본자료에는 있음)","명단에 없음"),"동명이인 확인"))))</f>
        <v/>
      </c>
      <c r="Z486">
        <f>IF($R486="","",IF($S486&lt;0,"⚠"&amp;INDEX('입력_구리근무자명단'!$A484:$ZZ484,1,$E$2+2),TEXT($S486,"yyyy-mm-dd")))</f>
        <v/>
      </c>
      <c r="AA486">
        <f>IF($R486="","",IF($T486&lt;0,"⚠"&amp;INDEX('입력_구리근무자명단'!$A484:$ZZ484,1,$E$2+3),TEXT($T486,"yyyy-mm-dd")))</f>
        <v/>
      </c>
      <c r="AB486">
        <f>AB485+IF($R486="",0,1)</f>
        <v/>
      </c>
      <c r="AC486">
        <f>IF($R486="","",$AB486)</f>
        <v/>
      </c>
    </row>
    <row r="487">
      <c r="A487">
        <f>IFERROR(INDEX($O$6:$O$1505,MATCH(482,$AC$6:$AC$1505,0)),"")</f>
        <v/>
      </c>
      <c r="B487">
        <f>IF(ISNUMBER($A487),INDEX($P$6:$P$1505,$A487-3),"")</f>
        <v/>
      </c>
      <c r="C487">
        <f>IF(ISNUMBER($A487),INDEX($Q$6:$Q$1505,$A487-3),"")</f>
        <v/>
      </c>
      <c r="D487">
        <f>IF(ISNUMBER($A487),INDEX($R$6:$R$1505,$A487-3),"")</f>
        <v/>
      </c>
      <c r="E487">
        <f>IF(ISNUMBER($A487),$G$2,"")</f>
        <v/>
      </c>
      <c r="F487">
        <f>IF(ISNUMBER($A487),INDEX($Z$6:$Z$1505,$A487-3),"")</f>
        <v/>
      </c>
      <c r="G487">
        <f>IF(ISNUMBER($A487),INDEX($AA$6:$AA$1505,$A487-3),"")</f>
        <v/>
      </c>
      <c r="H487">
        <f>IF(ISNUMBER($A487),INDEX($U$6:$U$1505,$A487-3),"")</f>
        <v/>
      </c>
      <c r="I487">
        <f>IF(ISNUMBER($A487),INDEX($V$6:$V$1505,$A487-3),"")</f>
        <v/>
      </c>
      <c r="J487">
        <f>IF(ISNUMBER($A487),INDEX($W$6:$W$1505,$A487-3),"")</f>
        <v/>
      </c>
      <c r="K487">
        <f>IF(ISNUMBER($A487),INDEX($X$6:$X$1505,$A487-3),"")</f>
        <v/>
      </c>
      <c r="L487">
        <f>IF(ISNUMBER($A487),INDEX($Y$6:$Y$1505,$A487-3),"")</f>
        <v/>
      </c>
      <c r="O487">
        <f>485</f>
        <v/>
      </c>
      <c r="P487">
        <f>IF(TRIM('입력_구리근무자명단'!$A485&amp;"")&lt;&gt;"",TRIM('입력_구리근무자명단'!$A485&amp;""),P486)</f>
        <v/>
      </c>
      <c r="Q487">
        <f>'입력_구리근무자명단'!$B485&amp;""</f>
        <v/>
      </c>
      <c r="R487">
        <f>IF($E$2="","",TRIM(INDEX('입력_구리근무자명단'!$A485:$ZZ485,1,$E$2+IF($G$2="확정",1,0))&amp;""))</f>
        <v/>
      </c>
      <c r="S487">
        <f>IF($R487="","",IF(INDEX('입력_구리근무자명단'!$A485:$ZZ485,1,$E$2+2)&amp;""="",급여기준월,IF(ISNUMBER(INDEX('입력_구리근무자명단'!$A485:$ZZ485,1,$E$2+2)),INDEX('입력_구리근무자명단'!$A485:$ZZ485,1,$E$2+2),IFERROR(DATE(VALUE(LEFT(INDEX('입력_구리근무자명단'!$A485:$ZZ485,1,$E$2+2),4)),VALUE(MID(INDEX('입력_구리근무자명단'!$A485:$ZZ485,1,$E$2+2),6,2)),VALUE(MID(INDEX('입력_구리근무자명단'!$A485:$ZZ485,1,$E$2+2),9,2))),-1))))</f>
        <v/>
      </c>
      <c r="T487">
        <f>IF($R487="","",IF(INDEX('입력_구리근무자명단'!$A485:$ZZ485,1,$E$2+3)&amp;""="",EOMONTH(급여기준월,0),IF(ISNUMBER(INDEX('입력_구리근무자명단'!$A485:$ZZ485,1,$E$2+3)),INDEX('입력_구리근무자명단'!$A485:$ZZ485,1,$E$2+3),IFERROR(DATE(VALUE(LEFT(INDEX('입력_구리근무자명단'!$A485:$ZZ485,1,$E$2+3),4)),VALUE(MID(INDEX('입력_구리근무자명단'!$A485:$ZZ485,1,$E$2+3),6,2)),VALUE(MID(INDEX('입력_구리근무자명단'!$A485:$ZZ485,1,$E$2+3),9,2))),-1))))</f>
        <v/>
      </c>
      <c r="U487">
        <f>IF($R487="","",IF(OR($S487&lt;0,$T487&lt;0),0,MAX(0,MIN($T487,EOMONTH(급여기준월,0))-MAX($S487,급여기준월)+1)))</f>
        <v/>
      </c>
      <c r="V487">
        <f>IF($R487="","",TRIM(INDEX('입력_구리근무자명단'!$A485:$ZZ485,1,$E$2+5)&amp;""))</f>
        <v/>
      </c>
      <c r="W487">
        <f>IF(ISNUMBER(SEARCH("구리독자",$V487)),"구리독자","")</f>
        <v/>
      </c>
      <c r="X487">
        <f>IF($R487="","",$R487&amp;"|"&amp;IF(OR($Q487="인턴",ISNUMBER(SEARCH("수련교육부",$P487))),"인턴",$P487))</f>
        <v/>
      </c>
      <c r="Y487">
        <f>IF($R487="","",IF(COUNTIF(명단표[이름|과],$X487)=1,"명단 일치",IF(AND(COUNTIF(명단표[이름|과],$X487)=0,COUNTIF(명단표[이름],$R487)=1),"명단 일치(이름만, 과 다름)",IF(COUNTIF(명단표[이름],$R487)=0,IF(COUNTIF(기본자료표[이름],$R487)&gt;0,"명단에 없음(기본자료에는 있음)","명단에 없음"),"동명이인 확인"))))</f>
        <v/>
      </c>
      <c r="Z487">
        <f>IF($R487="","",IF($S487&lt;0,"⚠"&amp;INDEX('입력_구리근무자명단'!$A485:$ZZ485,1,$E$2+2),TEXT($S487,"yyyy-mm-dd")))</f>
        <v/>
      </c>
      <c r="AA487">
        <f>IF($R487="","",IF($T487&lt;0,"⚠"&amp;INDEX('입력_구리근무자명단'!$A485:$ZZ485,1,$E$2+3),TEXT($T487,"yyyy-mm-dd")))</f>
        <v/>
      </c>
      <c r="AB487">
        <f>AB486+IF($R487="",0,1)</f>
        <v/>
      </c>
      <c r="AC487">
        <f>IF($R487="","",$AB487)</f>
        <v/>
      </c>
    </row>
    <row r="488">
      <c r="A488">
        <f>IFERROR(INDEX($O$6:$O$1505,MATCH(483,$AC$6:$AC$1505,0)),"")</f>
        <v/>
      </c>
      <c r="B488">
        <f>IF(ISNUMBER($A488),INDEX($P$6:$P$1505,$A488-3),"")</f>
        <v/>
      </c>
      <c r="C488">
        <f>IF(ISNUMBER($A488),INDEX($Q$6:$Q$1505,$A488-3),"")</f>
        <v/>
      </c>
      <c r="D488">
        <f>IF(ISNUMBER($A488),INDEX($R$6:$R$1505,$A488-3),"")</f>
        <v/>
      </c>
      <c r="E488">
        <f>IF(ISNUMBER($A488),$G$2,"")</f>
        <v/>
      </c>
      <c r="F488">
        <f>IF(ISNUMBER($A488),INDEX($Z$6:$Z$1505,$A488-3),"")</f>
        <v/>
      </c>
      <c r="G488">
        <f>IF(ISNUMBER($A488),INDEX($AA$6:$AA$1505,$A488-3),"")</f>
        <v/>
      </c>
      <c r="H488">
        <f>IF(ISNUMBER($A488),INDEX($U$6:$U$1505,$A488-3),"")</f>
        <v/>
      </c>
      <c r="I488">
        <f>IF(ISNUMBER($A488),INDEX($V$6:$V$1505,$A488-3),"")</f>
        <v/>
      </c>
      <c r="J488">
        <f>IF(ISNUMBER($A488),INDEX($W$6:$W$1505,$A488-3),"")</f>
        <v/>
      </c>
      <c r="K488">
        <f>IF(ISNUMBER($A488),INDEX($X$6:$X$1505,$A488-3),"")</f>
        <v/>
      </c>
      <c r="L488">
        <f>IF(ISNUMBER($A488),INDEX($Y$6:$Y$1505,$A488-3),"")</f>
        <v/>
      </c>
      <c r="O488">
        <f>486</f>
        <v/>
      </c>
      <c r="P488">
        <f>IF(TRIM('입력_구리근무자명단'!$A486&amp;"")&lt;&gt;"",TRIM('입력_구리근무자명단'!$A486&amp;""),P487)</f>
        <v/>
      </c>
      <c r="Q488">
        <f>'입력_구리근무자명단'!$B486&amp;""</f>
        <v/>
      </c>
      <c r="R488">
        <f>IF($E$2="","",TRIM(INDEX('입력_구리근무자명단'!$A486:$ZZ486,1,$E$2+IF($G$2="확정",1,0))&amp;""))</f>
        <v/>
      </c>
      <c r="S488">
        <f>IF($R488="","",IF(INDEX('입력_구리근무자명단'!$A486:$ZZ486,1,$E$2+2)&amp;""="",급여기준월,IF(ISNUMBER(INDEX('입력_구리근무자명단'!$A486:$ZZ486,1,$E$2+2)),INDEX('입력_구리근무자명단'!$A486:$ZZ486,1,$E$2+2),IFERROR(DATE(VALUE(LEFT(INDEX('입력_구리근무자명단'!$A486:$ZZ486,1,$E$2+2),4)),VALUE(MID(INDEX('입력_구리근무자명단'!$A486:$ZZ486,1,$E$2+2),6,2)),VALUE(MID(INDEX('입력_구리근무자명단'!$A486:$ZZ486,1,$E$2+2),9,2))),-1))))</f>
        <v/>
      </c>
      <c r="T488">
        <f>IF($R488="","",IF(INDEX('입력_구리근무자명단'!$A486:$ZZ486,1,$E$2+3)&amp;""="",EOMONTH(급여기준월,0),IF(ISNUMBER(INDEX('입력_구리근무자명단'!$A486:$ZZ486,1,$E$2+3)),INDEX('입력_구리근무자명단'!$A486:$ZZ486,1,$E$2+3),IFERROR(DATE(VALUE(LEFT(INDEX('입력_구리근무자명단'!$A486:$ZZ486,1,$E$2+3),4)),VALUE(MID(INDEX('입력_구리근무자명단'!$A486:$ZZ486,1,$E$2+3),6,2)),VALUE(MID(INDEX('입력_구리근무자명단'!$A486:$ZZ486,1,$E$2+3),9,2))),-1))))</f>
        <v/>
      </c>
      <c r="U488">
        <f>IF($R488="","",IF(OR($S488&lt;0,$T488&lt;0),0,MAX(0,MIN($T488,EOMONTH(급여기준월,0))-MAX($S488,급여기준월)+1)))</f>
        <v/>
      </c>
      <c r="V488">
        <f>IF($R488="","",TRIM(INDEX('입력_구리근무자명단'!$A486:$ZZ486,1,$E$2+5)&amp;""))</f>
        <v/>
      </c>
      <c r="W488">
        <f>IF(ISNUMBER(SEARCH("구리독자",$V488)),"구리독자","")</f>
        <v/>
      </c>
      <c r="X488">
        <f>IF($R488="","",$R488&amp;"|"&amp;IF(OR($Q488="인턴",ISNUMBER(SEARCH("수련교육부",$P488))),"인턴",$P488))</f>
        <v/>
      </c>
      <c r="Y488">
        <f>IF($R488="","",IF(COUNTIF(명단표[이름|과],$X488)=1,"명단 일치",IF(AND(COUNTIF(명단표[이름|과],$X488)=0,COUNTIF(명단표[이름],$R488)=1),"명단 일치(이름만, 과 다름)",IF(COUNTIF(명단표[이름],$R488)=0,IF(COUNTIF(기본자료표[이름],$R488)&gt;0,"명단에 없음(기본자료에는 있음)","명단에 없음"),"동명이인 확인"))))</f>
        <v/>
      </c>
      <c r="Z488">
        <f>IF($R488="","",IF($S488&lt;0,"⚠"&amp;INDEX('입력_구리근무자명단'!$A486:$ZZ486,1,$E$2+2),TEXT($S488,"yyyy-mm-dd")))</f>
        <v/>
      </c>
      <c r="AA488">
        <f>IF($R488="","",IF($T488&lt;0,"⚠"&amp;INDEX('입력_구리근무자명단'!$A486:$ZZ486,1,$E$2+3),TEXT($T488,"yyyy-mm-dd")))</f>
        <v/>
      </c>
      <c r="AB488">
        <f>AB487+IF($R488="",0,1)</f>
        <v/>
      </c>
      <c r="AC488">
        <f>IF($R488="","",$AB488)</f>
        <v/>
      </c>
    </row>
    <row r="489">
      <c r="A489">
        <f>IFERROR(INDEX($O$6:$O$1505,MATCH(484,$AC$6:$AC$1505,0)),"")</f>
        <v/>
      </c>
      <c r="B489">
        <f>IF(ISNUMBER($A489),INDEX($P$6:$P$1505,$A489-3),"")</f>
        <v/>
      </c>
      <c r="C489">
        <f>IF(ISNUMBER($A489),INDEX($Q$6:$Q$1505,$A489-3),"")</f>
        <v/>
      </c>
      <c r="D489">
        <f>IF(ISNUMBER($A489),INDEX($R$6:$R$1505,$A489-3),"")</f>
        <v/>
      </c>
      <c r="E489">
        <f>IF(ISNUMBER($A489),$G$2,"")</f>
        <v/>
      </c>
      <c r="F489">
        <f>IF(ISNUMBER($A489),INDEX($Z$6:$Z$1505,$A489-3),"")</f>
        <v/>
      </c>
      <c r="G489">
        <f>IF(ISNUMBER($A489),INDEX($AA$6:$AA$1505,$A489-3),"")</f>
        <v/>
      </c>
      <c r="H489">
        <f>IF(ISNUMBER($A489),INDEX($U$6:$U$1505,$A489-3),"")</f>
        <v/>
      </c>
      <c r="I489">
        <f>IF(ISNUMBER($A489),INDEX($V$6:$V$1505,$A489-3),"")</f>
        <v/>
      </c>
      <c r="J489">
        <f>IF(ISNUMBER($A489),INDEX($W$6:$W$1505,$A489-3),"")</f>
        <v/>
      </c>
      <c r="K489">
        <f>IF(ISNUMBER($A489),INDEX($X$6:$X$1505,$A489-3),"")</f>
        <v/>
      </c>
      <c r="L489">
        <f>IF(ISNUMBER($A489),INDEX($Y$6:$Y$1505,$A489-3),"")</f>
        <v/>
      </c>
      <c r="O489">
        <f>487</f>
        <v/>
      </c>
      <c r="P489">
        <f>IF(TRIM('입력_구리근무자명단'!$A487&amp;"")&lt;&gt;"",TRIM('입력_구리근무자명단'!$A487&amp;""),P488)</f>
        <v/>
      </c>
      <c r="Q489">
        <f>'입력_구리근무자명단'!$B487&amp;""</f>
        <v/>
      </c>
      <c r="R489">
        <f>IF($E$2="","",TRIM(INDEX('입력_구리근무자명단'!$A487:$ZZ487,1,$E$2+IF($G$2="확정",1,0))&amp;""))</f>
        <v/>
      </c>
      <c r="S489">
        <f>IF($R489="","",IF(INDEX('입력_구리근무자명단'!$A487:$ZZ487,1,$E$2+2)&amp;""="",급여기준월,IF(ISNUMBER(INDEX('입력_구리근무자명단'!$A487:$ZZ487,1,$E$2+2)),INDEX('입력_구리근무자명단'!$A487:$ZZ487,1,$E$2+2),IFERROR(DATE(VALUE(LEFT(INDEX('입력_구리근무자명단'!$A487:$ZZ487,1,$E$2+2),4)),VALUE(MID(INDEX('입력_구리근무자명단'!$A487:$ZZ487,1,$E$2+2),6,2)),VALUE(MID(INDEX('입력_구리근무자명단'!$A487:$ZZ487,1,$E$2+2),9,2))),-1))))</f>
        <v/>
      </c>
      <c r="T489">
        <f>IF($R489="","",IF(INDEX('입력_구리근무자명단'!$A487:$ZZ487,1,$E$2+3)&amp;""="",EOMONTH(급여기준월,0),IF(ISNUMBER(INDEX('입력_구리근무자명단'!$A487:$ZZ487,1,$E$2+3)),INDEX('입력_구리근무자명단'!$A487:$ZZ487,1,$E$2+3),IFERROR(DATE(VALUE(LEFT(INDEX('입력_구리근무자명단'!$A487:$ZZ487,1,$E$2+3),4)),VALUE(MID(INDEX('입력_구리근무자명단'!$A487:$ZZ487,1,$E$2+3),6,2)),VALUE(MID(INDEX('입력_구리근무자명단'!$A487:$ZZ487,1,$E$2+3),9,2))),-1))))</f>
        <v/>
      </c>
      <c r="U489">
        <f>IF($R489="","",IF(OR($S489&lt;0,$T489&lt;0),0,MAX(0,MIN($T489,EOMONTH(급여기준월,0))-MAX($S489,급여기준월)+1)))</f>
        <v/>
      </c>
      <c r="V489">
        <f>IF($R489="","",TRIM(INDEX('입력_구리근무자명단'!$A487:$ZZ487,1,$E$2+5)&amp;""))</f>
        <v/>
      </c>
      <c r="W489">
        <f>IF(ISNUMBER(SEARCH("구리독자",$V489)),"구리독자","")</f>
        <v/>
      </c>
      <c r="X489">
        <f>IF($R489="","",$R489&amp;"|"&amp;IF(OR($Q489="인턴",ISNUMBER(SEARCH("수련교육부",$P489))),"인턴",$P489))</f>
        <v/>
      </c>
      <c r="Y489">
        <f>IF($R489="","",IF(COUNTIF(명단표[이름|과],$X489)=1,"명단 일치",IF(AND(COUNTIF(명단표[이름|과],$X489)=0,COUNTIF(명단표[이름],$R489)=1),"명단 일치(이름만, 과 다름)",IF(COUNTIF(명단표[이름],$R489)=0,IF(COUNTIF(기본자료표[이름],$R489)&gt;0,"명단에 없음(기본자료에는 있음)","명단에 없음"),"동명이인 확인"))))</f>
        <v/>
      </c>
      <c r="Z489">
        <f>IF($R489="","",IF($S489&lt;0,"⚠"&amp;INDEX('입력_구리근무자명단'!$A487:$ZZ487,1,$E$2+2),TEXT($S489,"yyyy-mm-dd")))</f>
        <v/>
      </c>
      <c r="AA489">
        <f>IF($R489="","",IF($T489&lt;0,"⚠"&amp;INDEX('입력_구리근무자명단'!$A487:$ZZ487,1,$E$2+3),TEXT($T489,"yyyy-mm-dd")))</f>
        <v/>
      </c>
      <c r="AB489">
        <f>AB488+IF($R489="",0,1)</f>
        <v/>
      </c>
      <c r="AC489">
        <f>IF($R489="","",$AB489)</f>
        <v/>
      </c>
    </row>
    <row r="490">
      <c r="A490">
        <f>IFERROR(INDEX($O$6:$O$1505,MATCH(485,$AC$6:$AC$1505,0)),"")</f>
        <v/>
      </c>
      <c r="B490">
        <f>IF(ISNUMBER($A490),INDEX($P$6:$P$1505,$A490-3),"")</f>
        <v/>
      </c>
      <c r="C490">
        <f>IF(ISNUMBER($A490),INDEX($Q$6:$Q$1505,$A490-3),"")</f>
        <v/>
      </c>
      <c r="D490">
        <f>IF(ISNUMBER($A490),INDEX($R$6:$R$1505,$A490-3),"")</f>
        <v/>
      </c>
      <c r="E490">
        <f>IF(ISNUMBER($A490),$G$2,"")</f>
        <v/>
      </c>
      <c r="F490">
        <f>IF(ISNUMBER($A490),INDEX($Z$6:$Z$1505,$A490-3),"")</f>
        <v/>
      </c>
      <c r="G490">
        <f>IF(ISNUMBER($A490),INDEX($AA$6:$AA$1505,$A490-3),"")</f>
        <v/>
      </c>
      <c r="H490">
        <f>IF(ISNUMBER($A490),INDEX($U$6:$U$1505,$A490-3),"")</f>
        <v/>
      </c>
      <c r="I490">
        <f>IF(ISNUMBER($A490),INDEX($V$6:$V$1505,$A490-3),"")</f>
        <v/>
      </c>
      <c r="J490">
        <f>IF(ISNUMBER($A490),INDEX($W$6:$W$1505,$A490-3),"")</f>
        <v/>
      </c>
      <c r="K490">
        <f>IF(ISNUMBER($A490),INDEX($X$6:$X$1505,$A490-3),"")</f>
        <v/>
      </c>
      <c r="L490">
        <f>IF(ISNUMBER($A490),INDEX($Y$6:$Y$1505,$A490-3),"")</f>
        <v/>
      </c>
      <c r="O490">
        <f>488</f>
        <v/>
      </c>
      <c r="P490">
        <f>IF(TRIM('입력_구리근무자명단'!$A488&amp;"")&lt;&gt;"",TRIM('입력_구리근무자명단'!$A488&amp;""),P489)</f>
        <v/>
      </c>
      <c r="Q490">
        <f>'입력_구리근무자명단'!$B488&amp;""</f>
        <v/>
      </c>
      <c r="R490">
        <f>IF($E$2="","",TRIM(INDEX('입력_구리근무자명단'!$A488:$ZZ488,1,$E$2+IF($G$2="확정",1,0))&amp;""))</f>
        <v/>
      </c>
      <c r="S490">
        <f>IF($R490="","",IF(INDEX('입력_구리근무자명단'!$A488:$ZZ488,1,$E$2+2)&amp;""="",급여기준월,IF(ISNUMBER(INDEX('입력_구리근무자명단'!$A488:$ZZ488,1,$E$2+2)),INDEX('입력_구리근무자명단'!$A488:$ZZ488,1,$E$2+2),IFERROR(DATE(VALUE(LEFT(INDEX('입력_구리근무자명단'!$A488:$ZZ488,1,$E$2+2),4)),VALUE(MID(INDEX('입력_구리근무자명단'!$A488:$ZZ488,1,$E$2+2),6,2)),VALUE(MID(INDEX('입력_구리근무자명단'!$A488:$ZZ488,1,$E$2+2),9,2))),-1))))</f>
        <v/>
      </c>
      <c r="T490">
        <f>IF($R490="","",IF(INDEX('입력_구리근무자명단'!$A488:$ZZ488,1,$E$2+3)&amp;""="",EOMONTH(급여기준월,0),IF(ISNUMBER(INDEX('입력_구리근무자명단'!$A488:$ZZ488,1,$E$2+3)),INDEX('입력_구리근무자명단'!$A488:$ZZ488,1,$E$2+3),IFERROR(DATE(VALUE(LEFT(INDEX('입력_구리근무자명단'!$A488:$ZZ488,1,$E$2+3),4)),VALUE(MID(INDEX('입력_구리근무자명단'!$A488:$ZZ488,1,$E$2+3),6,2)),VALUE(MID(INDEX('입력_구리근무자명단'!$A488:$ZZ488,1,$E$2+3),9,2))),-1))))</f>
        <v/>
      </c>
      <c r="U490">
        <f>IF($R490="","",IF(OR($S490&lt;0,$T490&lt;0),0,MAX(0,MIN($T490,EOMONTH(급여기준월,0))-MAX($S490,급여기준월)+1)))</f>
        <v/>
      </c>
      <c r="V490">
        <f>IF($R490="","",TRIM(INDEX('입력_구리근무자명단'!$A488:$ZZ488,1,$E$2+5)&amp;""))</f>
        <v/>
      </c>
      <c r="W490">
        <f>IF(ISNUMBER(SEARCH("구리독자",$V490)),"구리독자","")</f>
        <v/>
      </c>
      <c r="X490">
        <f>IF($R490="","",$R490&amp;"|"&amp;IF(OR($Q490="인턴",ISNUMBER(SEARCH("수련교육부",$P490))),"인턴",$P490))</f>
        <v/>
      </c>
      <c r="Y490">
        <f>IF($R490="","",IF(COUNTIF(명단표[이름|과],$X490)=1,"명단 일치",IF(AND(COUNTIF(명단표[이름|과],$X490)=0,COUNTIF(명단표[이름],$R490)=1),"명단 일치(이름만, 과 다름)",IF(COUNTIF(명단표[이름],$R490)=0,IF(COUNTIF(기본자료표[이름],$R490)&gt;0,"명단에 없음(기본자료에는 있음)","명단에 없음"),"동명이인 확인"))))</f>
        <v/>
      </c>
      <c r="Z490">
        <f>IF($R490="","",IF($S490&lt;0,"⚠"&amp;INDEX('입력_구리근무자명단'!$A488:$ZZ488,1,$E$2+2),TEXT($S490,"yyyy-mm-dd")))</f>
        <v/>
      </c>
      <c r="AA490">
        <f>IF($R490="","",IF($T490&lt;0,"⚠"&amp;INDEX('입력_구리근무자명단'!$A488:$ZZ488,1,$E$2+3),TEXT($T490,"yyyy-mm-dd")))</f>
        <v/>
      </c>
      <c r="AB490">
        <f>AB489+IF($R490="",0,1)</f>
        <v/>
      </c>
      <c r="AC490">
        <f>IF($R490="","",$AB490)</f>
        <v/>
      </c>
    </row>
    <row r="491">
      <c r="A491">
        <f>IFERROR(INDEX($O$6:$O$1505,MATCH(486,$AC$6:$AC$1505,0)),"")</f>
        <v/>
      </c>
      <c r="B491">
        <f>IF(ISNUMBER($A491),INDEX($P$6:$P$1505,$A491-3),"")</f>
        <v/>
      </c>
      <c r="C491">
        <f>IF(ISNUMBER($A491),INDEX($Q$6:$Q$1505,$A491-3),"")</f>
        <v/>
      </c>
      <c r="D491">
        <f>IF(ISNUMBER($A491),INDEX($R$6:$R$1505,$A491-3),"")</f>
        <v/>
      </c>
      <c r="E491">
        <f>IF(ISNUMBER($A491),$G$2,"")</f>
        <v/>
      </c>
      <c r="F491">
        <f>IF(ISNUMBER($A491),INDEX($Z$6:$Z$1505,$A491-3),"")</f>
        <v/>
      </c>
      <c r="G491">
        <f>IF(ISNUMBER($A491),INDEX($AA$6:$AA$1505,$A491-3),"")</f>
        <v/>
      </c>
      <c r="H491">
        <f>IF(ISNUMBER($A491),INDEX($U$6:$U$1505,$A491-3),"")</f>
        <v/>
      </c>
      <c r="I491">
        <f>IF(ISNUMBER($A491),INDEX($V$6:$V$1505,$A491-3),"")</f>
        <v/>
      </c>
      <c r="J491">
        <f>IF(ISNUMBER($A491),INDEX($W$6:$W$1505,$A491-3),"")</f>
        <v/>
      </c>
      <c r="K491">
        <f>IF(ISNUMBER($A491),INDEX($X$6:$X$1505,$A491-3),"")</f>
        <v/>
      </c>
      <c r="L491">
        <f>IF(ISNUMBER($A491),INDEX($Y$6:$Y$1505,$A491-3),"")</f>
        <v/>
      </c>
      <c r="O491">
        <f>489</f>
        <v/>
      </c>
      <c r="P491">
        <f>IF(TRIM('입력_구리근무자명단'!$A489&amp;"")&lt;&gt;"",TRIM('입력_구리근무자명단'!$A489&amp;""),P490)</f>
        <v/>
      </c>
      <c r="Q491">
        <f>'입력_구리근무자명단'!$B489&amp;""</f>
        <v/>
      </c>
      <c r="R491">
        <f>IF($E$2="","",TRIM(INDEX('입력_구리근무자명단'!$A489:$ZZ489,1,$E$2+IF($G$2="확정",1,0))&amp;""))</f>
        <v/>
      </c>
      <c r="S491">
        <f>IF($R491="","",IF(INDEX('입력_구리근무자명단'!$A489:$ZZ489,1,$E$2+2)&amp;""="",급여기준월,IF(ISNUMBER(INDEX('입력_구리근무자명단'!$A489:$ZZ489,1,$E$2+2)),INDEX('입력_구리근무자명단'!$A489:$ZZ489,1,$E$2+2),IFERROR(DATE(VALUE(LEFT(INDEX('입력_구리근무자명단'!$A489:$ZZ489,1,$E$2+2),4)),VALUE(MID(INDEX('입력_구리근무자명단'!$A489:$ZZ489,1,$E$2+2),6,2)),VALUE(MID(INDEX('입력_구리근무자명단'!$A489:$ZZ489,1,$E$2+2),9,2))),-1))))</f>
        <v/>
      </c>
      <c r="T491">
        <f>IF($R491="","",IF(INDEX('입력_구리근무자명단'!$A489:$ZZ489,1,$E$2+3)&amp;""="",EOMONTH(급여기준월,0),IF(ISNUMBER(INDEX('입력_구리근무자명단'!$A489:$ZZ489,1,$E$2+3)),INDEX('입력_구리근무자명단'!$A489:$ZZ489,1,$E$2+3),IFERROR(DATE(VALUE(LEFT(INDEX('입력_구리근무자명단'!$A489:$ZZ489,1,$E$2+3),4)),VALUE(MID(INDEX('입력_구리근무자명단'!$A489:$ZZ489,1,$E$2+3),6,2)),VALUE(MID(INDEX('입력_구리근무자명단'!$A489:$ZZ489,1,$E$2+3),9,2))),-1))))</f>
        <v/>
      </c>
      <c r="U491">
        <f>IF($R491="","",IF(OR($S491&lt;0,$T491&lt;0),0,MAX(0,MIN($T491,EOMONTH(급여기준월,0))-MAX($S491,급여기준월)+1)))</f>
        <v/>
      </c>
      <c r="V491">
        <f>IF($R491="","",TRIM(INDEX('입력_구리근무자명단'!$A489:$ZZ489,1,$E$2+5)&amp;""))</f>
        <v/>
      </c>
      <c r="W491">
        <f>IF(ISNUMBER(SEARCH("구리독자",$V491)),"구리독자","")</f>
        <v/>
      </c>
      <c r="X491">
        <f>IF($R491="","",$R491&amp;"|"&amp;IF(OR($Q491="인턴",ISNUMBER(SEARCH("수련교육부",$P491))),"인턴",$P491))</f>
        <v/>
      </c>
      <c r="Y491">
        <f>IF($R491="","",IF(COUNTIF(명단표[이름|과],$X491)=1,"명단 일치",IF(AND(COUNTIF(명단표[이름|과],$X491)=0,COUNTIF(명단표[이름],$R491)=1),"명단 일치(이름만, 과 다름)",IF(COUNTIF(명단표[이름],$R491)=0,IF(COUNTIF(기본자료표[이름],$R491)&gt;0,"명단에 없음(기본자료에는 있음)","명단에 없음"),"동명이인 확인"))))</f>
        <v/>
      </c>
      <c r="Z491">
        <f>IF($R491="","",IF($S491&lt;0,"⚠"&amp;INDEX('입력_구리근무자명단'!$A489:$ZZ489,1,$E$2+2),TEXT($S491,"yyyy-mm-dd")))</f>
        <v/>
      </c>
      <c r="AA491">
        <f>IF($R491="","",IF($T491&lt;0,"⚠"&amp;INDEX('입력_구리근무자명단'!$A489:$ZZ489,1,$E$2+3),TEXT($T491,"yyyy-mm-dd")))</f>
        <v/>
      </c>
      <c r="AB491">
        <f>AB490+IF($R491="",0,1)</f>
        <v/>
      </c>
      <c r="AC491">
        <f>IF($R491="","",$AB491)</f>
        <v/>
      </c>
    </row>
    <row r="492">
      <c r="A492">
        <f>IFERROR(INDEX($O$6:$O$1505,MATCH(487,$AC$6:$AC$1505,0)),"")</f>
        <v/>
      </c>
      <c r="B492">
        <f>IF(ISNUMBER($A492),INDEX($P$6:$P$1505,$A492-3),"")</f>
        <v/>
      </c>
      <c r="C492">
        <f>IF(ISNUMBER($A492),INDEX($Q$6:$Q$1505,$A492-3),"")</f>
        <v/>
      </c>
      <c r="D492">
        <f>IF(ISNUMBER($A492),INDEX($R$6:$R$1505,$A492-3),"")</f>
        <v/>
      </c>
      <c r="E492">
        <f>IF(ISNUMBER($A492),$G$2,"")</f>
        <v/>
      </c>
      <c r="F492">
        <f>IF(ISNUMBER($A492),INDEX($Z$6:$Z$1505,$A492-3),"")</f>
        <v/>
      </c>
      <c r="G492">
        <f>IF(ISNUMBER($A492),INDEX($AA$6:$AA$1505,$A492-3),"")</f>
        <v/>
      </c>
      <c r="H492">
        <f>IF(ISNUMBER($A492),INDEX($U$6:$U$1505,$A492-3),"")</f>
        <v/>
      </c>
      <c r="I492">
        <f>IF(ISNUMBER($A492),INDEX($V$6:$V$1505,$A492-3),"")</f>
        <v/>
      </c>
      <c r="J492">
        <f>IF(ISNUMBER($A492),INDEX($W$6:$W$1505,$A492-3),"")</f>
        <v/>
      </c>
      <c r="K492">
        <f>IF(ISNUMBER($A492),INDEX($X$6:$X$1505,$A492-3),"")</f>
        <v/>
      </c>
      <c r="L492">
        <f>IF(ISNUMBER($A492),INDEX($Y$6:$Y$1505,$A492-3),"")</f>
        <v/>
      </c>
      <c r="O492">
        <f>490</f>
        <v/>
      </c>
      <c r="P492">
        <f>IF(TRIM('입력_구리근무자명단'!$A490&amp;"")&lt;&gt;"",TRIM('입력_구리근무자명단'!$A490&amp;""),P491)</f>
        <v/>
      </c>
      <c r="Q492">
        <f>'입력_구리근무자명단'!$B490&amp;""</f>
        <v/>
      </c>
      <c r="R492">
        <f>IF($E$2="","",TRIM(INDEX('입력_구리근무자명단'!$A490:$ZZ490,1,$E$2+IF($G$2="확정",1,0))&amp;""))</f>
        <v/>
      </c>
      <c r="S492">
        <f>IF($R492="","",IF(INDEX('입력_구리근무자명단'!$A490:$ZZ490,1,$E$2+2)&amp;""="",급여기준월,IF(ISNUMBER(INDEX('입력_구리근무자명단'!$A490:$ZZ490,1,$E$2+2)),INDEX('입력_구리근무자명단'!$A490:$ZZ490,1,$E$2+2),IFERROR(DATE(VALUE(LEFT(INDEX('입력_구리근무자명단'!$A490:$ZZ490,1,$E$2+2),4)),VALUE(MID(INDEX('입력_구리근무자명단'!$A490:$ZZ490,1,$E$2+2),6,2)),VALUE(MID(INDEX('입력_구리근무자명단'!$A490:$ZZ490,1,$E$2+2),9,2))),-1))))</f>
        <v/>
      </c>
      <c r="T492">
        <f>IF($R492="","",IF(INDEX('입력_구리근무자명단'!$A490:$ZZ490,1,$E$2+3)&amp;""="",EOMONTH(급여기준월,0),IF(ISNUMBER(INDEX('입력_구리근무자명단'!$A490:$ZZ490,1,$E$2+3)),INDEX('입력_구리근무자명단'!$A490:$ZZ490,1,$E$2+3),IFERROR(DATE(VALUE(LEFT(INDEX('입력_구리근무자명단'!$A490:$ZZ490,1,$E$2+3),4)),VALUE(MID(INDEX('입력_구리근무자명단'!$A490:$ZZ490,1,$E$2+3),6,2)),VALUE(MID(INDEX('입력_구리근무자명단'!$A490:$ZZ490,1,$E$2+3),9,2))),-1))))</f>
        <v/>
      </c>
      <c r="U492">
        <f>IF($R492="","",IF(OR($S492&lt;0,$T492&lt;0),0,MAX(0,MIN($T492,EOMONTH(급여기준월,0))-MAX($S492,급여기준월)+1)))</f>
        <v/>
      </c>
      <c r="V492">
        <f>IF($R492="","",TRIM(INDEX('입력_구리근무자명단'!$A490:$ZZ490,1,$E$2+5)&amp;""))</f>
        <v/>
      </c>
      <c r="W492">
        <f>IF(ISNUMBER(SEARCH("구리독자",$V492)),"구리독자","")</f>
        <v/>
      </c>
      <c r="X492">
        <f>IF($R492="","",$R492&amp;"|"&amp;IF(OR($Q492="인턴",ISNUMBER(SEARCH("수련교육부",$P492))),"인턴",$P492))</f>
        <v/>
      </c>
      <c r="Y492">
        <f>IF($R492="","",IF(COUNTIF(명단표[이름|과],$X492)=1,"명단 일치",IF(AND(COUNTIF(명단표[이름|과],$X492)=0,COUNTIF(명단표[이름],$R492)=1),"명단 일치(이름만, 과 다름)",IF(COUNTIF(명단표[이름],$R492)=0,IF(COUNTIF(기본자료표[이름],$R492)&gt;0,"명단에 없음(기본자료에는 있음)","명단에 없음"),"동명이인 확인"))))</f>
        <v/>
      </c>
      <c r="Z492">
        <f>IF($R492="","",IF($S492&lt;0,"⚠"&amp;INDEX('입력_구리근무자명단'!$A490:$ZZ490,1,$E$2+2),TEXT($S492,"yyyy-mm-dd")))</f>
        <v/>
      </c>
      <c r="AA492">
        <f>IF($R492="","",IF($T492&lt;0,"⚠"&amp;INDEX('입력_구리근무자명단'!$A490:$ZZ490,1,$E$2+3),TEXT($T492,"yyyy-mm-dd")))</f>
        <v/>
      </c>
      <c r="AB492">
        <f>AB491+IF($R492="",0,1)</f>
        <v/>
      </c>
      <c r="AC492">
        <f>IF($R492="","",$AB492)</f>
        <v/>
      </c>
    </row>
    <row r="493">
      <c r="A493">
        <f>IFERROR(INDEX($O$6:$O$1505,MATCH(488,$AC$6:$AC$1505,0)),"")</f>
        <v/>
      </c>
      <c r="B493">
        <f>IF(ISNUMBER($A493),INDEX($P$6:$P$1505,$A493-3),"")</f>
        <v/>
      </c>
      <c r="C493">
        <f>IF(ISNUMBER($A493),INDEX($Q$6:$Q$1505,$A493-3),"")</f>
        <v/>
      </c>
      <c r="D493">
        <f>IF(ISNUMBER($A493),INDEX($R$6:$R$1505,$A493-3),"")</f>
        <v/>
      </c>
      <c r="E493">
        <f>IF(ISNUMBER($A493),$G$2,"")</f>
        <v/>
      </c>
      <c r="F493">
        <f>IF(ISNUMBER($A493),INDEX($Z$6:$Z$1505,$A493-3),"")</f>
        <v/>
      </c>
      <c r="G493">
        <f>IF(ISNUMBER($A493),INDEX($AA$6:$AA$1505,$A493-3),"")</f>
        <v/>
      </c>
      <c r="H493">
        <f>IF(ISNUMBER($A493),INDEX($U$6:$U$1505,$A493-3),"")</f>
        <v/>
      </c>
      <c r="I493">
        <f>IF(ISNUMBER($A493),INDEX($V$6:$V$1505,$A493-3),"")</f>
        <v/>
      </c>
      <c r="J493">
        <f>IF(ISNUMBER($A493),INDEX($W$6:$W$1505,$A493-3),"")</f>
        <v/>
      </c>
      <c r="K493">
        <f>IF(ISNUMBER($A493),INDEX($X$6:$X$1505,$A493-3),"")</f>
        <v/>
      </c>
      <c r="L493">
        <f>IF(ISNUMBER($A493),INDEX($Y$6:$Y$1505,$A493-3),"")</f>
        <v/>
      </c>
      <c r="O493">
        <f>491</f>
        <v/>
      </c>
      <c r="P493">
        <f>IF(TRIM('입력_구리근무자명단'!$A491&amp;"")&lt;&gt;"",TRIM('입력_구리근무자명단'!$A491&amp;""),P492)</f>
        <v/>
      </c>
      <c r="Q493">
        <f>'입력_구리근무자명단'!$B491&amp;""</f>
        <v/>
      </c>
      <c r="R493">
        <f>IF($E$2="","",TRIM(INDEX('입력_구리근무자명단'!$A491:$ZZ491,1,$E$2+IF($G$2="확정",1,0))&amp;""))</f>
        <v/>
      </c>
      <c r="S493">
        <f>IF($R493="","",IF(INDEX('입력_구리근무자명단'!$A491:$ZZ491,1,$E$2+2)&amp;""="",급여기준월,IF(ISNUMBER(INDEX('입력_구리근무자명단'!$A491:$ZZ491,1,$E$2+2)),INDEX('입력_구리근무자명단'!$A491:$ZZ491,1,$E$2+2),IFERROR(DATE(VALUE(LEFT(INDEX('입력_구리근무자명단'!$A491:$ZZ491,1,$E$2+2),4)),VALUE(MID(INDEX('입력_구리근무자명단'!$A491:$ZZ491,1,$E$2+2),6,2)),VALUE(MID(INDEX('입력_구리근무자명단'!$A491:$ZZ491,1,$E$2+2),9,2))),-1))))</f>
        <v/>
      </c>
      <c r="T493">
        <f>IF($R493="","",IF(INDEX('입력_구리근무자명단'!$A491:$ZZ491,1,$E$2+3)&amp;""="",EOMONTH(급여기준월,0),IF(ISNUMBER(INDEX('입력_구리근무자명단'!$A491:$ZZ491,1,$E$2+3)),INDEX('입력_구리근무자명단'!$A491:$ZZ491,1,$E$2+3),IFERROR(DATE(VALUE(LEFT(INDEX('입력_구리근무자명단'!$A491:$ZZ491,1,$E$2+3),4)),VALUE(MID(INDEX('입력_구리근무자명단'!$A491:$ZZ491,1,$E$2+3),6,2)),VALUE(MID(INDEX('입력_구리근무자명단'!$A491:$ZZ491,1,$E$2+3),9,2))),-1))))</f>
        <v/>
      </c>
      <c r="U493">
        <f>IF($R493="","",IF(OR($S493&lt;0,$T493&lt;0),0,MAX(0,MIN($T493,EOMONTH(급여기준월,0))-MAX($S493,급여기준월)+1)))</f>
        <v/>
      </c>
      <c r="V493">
        <f>IF($R493="","",TRIM(INDEX('입력_구리근무자명단'!$A491:$ZZ491,1,$E$2+5)&amp;""))</f>
        <v/>
      </c>
      <c r="W493">
        <f>IF(ISNUMBER(SEARCH("구리독자",$V493)),"구리독자","")</f>
        <v/>
      </c>
      <c r="X493">
        <f>IF($R493="","",$R493&amp;"|"&amp;IF(OR($Q493="인턴",ISNUMBER(SEARCH("수련교육부",$P493))),"인턴",$P493))</f>
        <v/>
      </c>
      <c r="Y493">
        <f>IF($R493="","",IF(COUNTIF(명단표[이름|과],$X493)=1,"명단 일치",IF(AND(COUNTIF(명단표[이름|과],$X493)=0,COUNTIF(명단표[이름],$R493)=1),"명단 일치(이름만, 과 다름)",IF(COUNTIF(명단표[이름],$R493)=0,IF(COUNTIF(기본자료표[이름],$R493)&gt;0,"명단에 없음(기본자료에는 있음)","명단에 없음"),"동명이인 확인"))))</f>
        <v/>
      </c>
      <c r="Z493">
        <f>IF($R493="","",IF($S493&lt;0,"⚠"&amp;INDEX('입력_구리근무자명단'!$A491:$ZZ491,1,$E$2+2),TEXT($S493,"yyyy-mm-dd")))</f>
        <v/>
      </c>
      <c r="AA493">
        <f>IF($R493="","",IF($T493&lt;0,"⚠"&amp;INDEX('입력_구리근무자명단'!$A491:$ZZ491,1,$E$2+3),TEXT($T493,"yyyy-mm-dd")))</f>
        <v/>
      </c>
      <c r="AB493">
        <f>AB492+IF($R493="",0,1)</f>
        <v/>
      </c>
      <c r="AC493">
        <f>IF($R493="","",$AB493)</f>
        <v/>
      </c>
    </row>
    <row r="494">
      <c r="A494">
        <f>IFERROR(INDEX($O$6:$O$1505,MATCH(489,$AC$6:$AC$1505,0)),"")</f>
        <v/>
      </c>
      <c r="B494">
        <f>IF(ISNUMBER($A494),INDEX($P$6:$P$1505,$A494-3),"")</f>
        <v/>
      </c>
      <c r="C494">
        <f>IF(ISNUMBER($A494),INDEX($Q$6:$Q$1505,$A494-3),"")</f>
        <v/>
      </c>
      <c r="D494">
        <f>IF(ISNUMBER($A494),INDEX($R$6:$R$1505,$A494-3),"")</f>
        <v/>
      </c>
      <c r="E494">
        <f>IF(ISNUMBER($A494),$G$2,"")</f>
        <v/>
      </c>
      <c r="F494">
        <f>IF(ISNUMBER($A494),INDEX($Z$6:$Z$1505,$A494-3),"")</f>
        <v/>
      </c>
      <c r="G494">
        <f>IF(ISNUMBER($A494),INDEX($AA$6:$AA$1505,$A494-3),"")</f>
        <v/>
      </c>
      <c r="H494">
        <f>IF(ISNUMBER($A494),INDEX($U$6:$U$1505,$A494-3),"")</f>
        <v/>
      </c>
      <c r="I494">
        <f>IF(ISNUMBER($A494),INDEX($V$6:$V$1505,$A494-3),"")</f>
        <v/>
      </c>
      <c r="J494">
        <f>IF(ISNUMBER($A494),INDEX($W$6:$W$1505,$A494-3),"")</f>
        <v/>
      </c>
      <c r="K494">
        <f>IF(ISNUMBER($A494),INDEX($X$6:$X$1505,$A494-3),"")</f>
        <v/>
      </c>
      <c r="L494">
        <f>IF(ISNUMBER($A494),INDEX($Y$6:$Y$1505,$A494-3),"")</f>
        <v/>
      </c>
      <c r="O494">
        <f>492</f>
        <v/>
      </c>
      <c r="P494">
        <f>IF(TRIM('입력_구리근무자명단'!$A492&amp;"")&lt;&gt;"",TRIM('입력_구리근무자명단'!$A492&amp;""),P493)</f>
        <v/>
      </c>
      <c r="Q494">
        <f>'입력_구리근무자명단'!$B492&amp;""</f>
        <v/>
      </c>
      <c r="R494">
        <f>IF($E$2="","",TRIM(INDEX('입력_구리근무자명단'!$A492:$ZZ492,1,$E$2+IF($G$2="확정",1,0))&amp;""))</f>
        <v/>
      </c>
      <c r="S494">
        <f>IF($R494="","",IF(INDEX('입력_구리근무자명단'!$A492:$ZZ492,1,$E$2+2)&amp;""="",급여기준월,IF(ISNUMBER(INDEX('입력_구리근무자명단'!$A492:$ZZ492,1,$E$2+2)),INDEX('입력_구리근무자명단'!$A492:$ZZ492,1,$E$2+2),IFERROR(DATE(VALUE(LEFT(INDEX('입력_구리근무자명단'!$A492:$ZZ492,1,$E$2+2),4)),VALUE(MID(INDEX('입력_구리근무자명단'!$A492:$ZZ492,1,$E$2+2),6,2)),VALUE(MID(INDEX('입력_구리근무자명단'!$A492:$ZZ492,1,$E$2+2),9,2))),-1))))</f>
        <v/>
      </c>
      <c r="T494">
        <f>IF($R494="","",IF(INDEX('입력_구리근무자명단'!$A492:$ZZ492,1,$E$2+3)&amp;""="",EOMONTH(급여기준월,0),IF(ISNUMBER(INDEX('입력_구리근무자명단'!$A492:$ZZ492,1,$E$2+3)),INDEX('입력_구리근무자명단'!$A492:$ZZ492,1,$E$2+3),IFERROR(DATE(VALUE(LEFT(INDEX('입력_구리근무자명단'!$A492:$ZZ492,1,$E$2+3),4)),VALUE(MID(INDEX('입력_구리근무자명단'!$A492:$ZZ492,1,$E$2+3),6,2)),VALUE(MID(INDEX('입력_구리근무자명단'!$A492:$ZZ492,1,$E$2+3),9,2))),-1))))</f>
        <v/>
      </c>
      <c r="U494">
        <f>IF($R494="","",IF(OR($S494&lt;0,$T494&lt;0),0,MAX(0,MIN($T494,EOMONTH(급여기준월,0))-MAX($S494,급여기준월)+1)))</f>
        <v/>
      </c>
      <c r="V494">
        <f>IF($R494="","",TRIM(INDEX('입력_구리근무자명단'!$A492:$ZZ492,1,$E$2+5)&amp;""))</f>
        <v/>
      </c>
      <c r="W494">
        <f>IF(ISNUMBER(SEARCH("구리독자",$V494)),"구리독자","")</f>
        <v/>
      </c>
      <c r="X494">
        <f>IF($R494="","",$R494&amp;"|"&amp;IF(OR($Q494="인턴",ISNUMBER(SEARCH("수련교육부",$P494))),"인턴",$P494))</f>
        <v/>
      </c>
      <c r="Y494">
        <f>IF($R494="","",IF(COUNTIF(명단표[이름|과],$X494)=1,"명단 일치",IF(AND(COUNTIF(명단표[이름|과],$X494)=0,COUNTIF(명단표[이름],$R494)=1),"명단 일치(이름만, 과 다름)",IF(COUNTIF(명단표[이름],$R494)=0,IF(COUNTIF(기본자료표[이름],$R494)&gt;0,"명단에 없음(기본자료에는 있음)","명단에 없음"),"동명이인 확인"))))</f>
        <v/>
      </c>
      <c r="Z494">
        <f>IF($R494="","",IF($S494&lt;0,"⚠"&amp;INDEX('입력_구리근무자명단'!$A492:$ZZ492,1,$E$2+2),TEXT($S494,"yyyy-mm-dd")))</f>
        <v/>
      </c>
      <c r="AA494">
        <f>IF($R494="","",IF($T494&lt;0,"⚠"&amp;INDEX('입력_구리근무자명단'!$A492:$ZZ492,1,$E$2+3),TEXT($T494,"yyyy-mm-dd")))</f>
        <v/>
      </c>
      <c r="AB494">
        <f>AB493+IF($R494="",0,1)</f>
        <v/>
      </c>
      <c r="AC494">
        <f>IF($R494="","",$AB494)</f>
        <v/>
      </c>
    </row>
    <row r="495">
      <c r="A495">
        <f>IFERROR(INDEX($O$6:$O$1505,MATCH(490,$AC$6:$AC$1505,0)),"")</f>
        <v/>
      </c>
      <c r="B495">
        <f>IF(ISNUMBER($A495),INDEX($P$6:$P$1505,$A495-3),"")</f>
        <v/>
      </c>
      <c r="C495">
        <f>IF(ISNUMBER($A495),INDEX($Q$6:$Q$1505,$A495-3),"")</f>
        <v/>
      </c>
      <c r="D495">
        <f>IF(ISNUMBER($A495),INDEX($R$6:$R$1505,$A495-3),"")</f>
        <v/>
      </c>
      <c r="E495">
        <f>IF(ISNUMBER($A495),$G$2,"")</f>
        <v/>
      </c>
      <c r="F495">
        <f>IF(ISNUMBER($A495),INDEX($Z$6:$Z$1505,$A495-3),"")</f>
        <v/>
      </c>
      <c r="G495">
        <f>IF(ISNUMBER($A495),INDEX($AA$6:$AA$1505,$A495-3),"")</f>
        <v/>
      </c>
      <c r="H495">
        <f>IF(ISNUMBER($A495),INDEX($U$6:$U$1505,$A495-3),"")</f>
        <v/>
      </c>
      <c r="I495">
        <f>IF(ISNUMBER($A495),INDEX($V$6:$V$1505,$A495-3),"")</f>
        <v/>
      </c>
      <c r="J495">
        <f>IF(ISNUMBER($A495),INDEX($W$6:$W$1505,$A495-3),"")</f>
        <v/>
      </c>
      <c r="K495">
        <f>IF(ISNUMBER($A495),INDEX($X$6:$X$1505,$A495-3),"")</f>
        <v/>
      </c>
      <c r="L495">
        <f>IF(ISNUMBER($A495),INDEX($Y$6:$Y$1505,$A495-3),"")</f>
        <v/>
      </c>
      <c r="O495">
        <f>493</f>
        <v/>
      </c>
      <c r="P495">
        <f>IF(TRIM('입력_구리근무자명단'!$A493&amp;"")&lt;&gt;"",TRIM('입력_구리근무자명단'!$A493&amp;""),P494)</f>
        <v/>
      </c>
      <c r="Q495">
        <f>'입력_구리근무자명단'!$B493&amp;""</f>
        <v/>
      </c>
      <c r="R495">
        <f>IF($E$2="","",TRIM(INDEX('입력_구리근무자명단'!$A493:$ZZ493,1,$E$2+IF($G$2="확정",1,0))&amp;""))</f>
        <v/>
      </c>
      <c r="S495">
        <f>IF($R495="","",IF(INDEX('입력_구리근무자명단'!$A493:$ZZ493,1,$E$2+2)&amp;""="",급여기준월,IF(ISNUMBER(INDEX('입력_구리근무자명단'!$A493:$ZZ493,1,$E$2+2)),INDEX('입력_구리근무자명단'!$A493:$ZZ493,1,$E$2+2),IFERROR(DATE(VALUE(LEFT(INDEX('입력_구리근무자명단'!$A493:$ZZ493,1,$E$2+2),4)),VALUE(MID(INDEX('입력_구리근무자명단'!$A493:$ZZ493,1,$E$2+2),6,2)),VALUE(MID(INDEX('입력_구리근무자명단'!$A493:$ZZ493,1,$E$2+2),9,2))),-1))))</f>
        <v/>
      </c>
      <c r="T495">
        <f>IF($R495="","",IF(INDEX('입력_구리근무자명단'!$A493:$ZZ493,1,$E$2+3)&amp;""="",EOMONTH(급여기준월,0),IF(ISNUMBER(INDEX('입력_구리근무자명단'!$A493:$ZZ493,1,$E$2+3)),INDEX('입력_구리근무자명단'!$A493:$ZZ493,1,$E$2+3),IFERROR(DATE(VALUE(LEFT(INDEX('입력_구리근무자명단'!$A493:$ZZ493,1,$E$2+3),4)),VALUE(MID(INDEX('입력_구리근무자명단'!$A493:$ZZ493,1,$E$2+3),6,2)),VALUE(MID(INDEX('입력_구리근무자명단'!$A493:$ZZ493,1,$E$2+3),9,2))),-1))))</f>
        <v/>
      </c>
      <c r="U495">
        <f>IF($R495="","",IF(OR($S495&lt;0,$T495&lt;0),0,MAX(0,MIN($T495,EOMONTH(급여기준월,0))-MAX($S495,급여기준월)+1)))</f>
        <v/>
      </c>
      <c r="V495">
        <f>IF($R495="","",TRIM(INDEX('입력_구리근무자명단'!$A493:$ZZ493,1,$E$2+5)&amp;""))</f>
        <v/>
      </c>
      <c r="W495">
        <f>IF(ISNUMBER(SEARCH("구리독자",$V495)),"구리독자","")</f>
        <v/>
      </c>
      <c r="X495">
        <f>IF($R495="","",$R495&amp;"|"&amp;IF(OR($Q495="인턴",ISNUMBER(SEARCH("수련교육부",$P495))),"인턴",$P495))</f>
        <v/>
      </c>
      <c r="Y495">
        <f>IF($R495="","",IF(COUNTIF(명단표[이름|과],$X495)=1,"명단 일치",IF(AND(COUNTIF(명단표[이름|과],$X495)=0,COUNTIF(명단표[이름],$R495)=1),"명단 일치(이름만, 과 다름)",IF(COUNTIF(명단표[이름],$R495)=0,IF(COUNTIF(기본자료표[이름],$R495)&gt;0,"명단에 없음(기본자료에는 있음)","명단에 없음"),"동명이인 확인"))))</f>
        <v/>
      </c>
      <c r="Z495">
        <f>IF($R495="","",IF($S495&lt;0,"⚠"&amp;INDEX('입력_구리근무자명단'!$A493:$ZZ493,1,$E$2+2),TEXT($S495,"yyyy-mm-dd")))</f>
        <v/>
      </c>
      <c r="AA495">
        <f>IF($R495="","",IF($T495&lt;0,"⚠"&amp;INDEX('입력_구리근무자명단'!$A493:$ZZ493,1,$E$2+3),TEXT($T495,"yyyy-mm-dd")))</f>
        <v/>
      </c>
      <c r="AB495">
        <f>AB494+IF($R495="",0,1)</f>
        <v/>
      </c>
      <c r="AC495">
        <f>IF($R495="","",$AB495)</f>
        <v/>
      </c>
    </row>
    <row r="496">
      <c r="A496">
        <f>IFERROR(INDEX($O$6:$O$1505,MATCH(491,$AC$6:$AC$1505,0)),"")</f>
        <v/>
      </c>
      <c r="B496">
        <f>IF(ISNUMBER($A496),INDEX($P$6:$P$1505,$A496-3),"")</f>
        <v/>
      </c>
      <c r="C496">
        <f>IF(ISNUMBER($A496),INDEX($Q$6:$Q$1505,$A496-3),"")</f>
        <v/>
      </c>
      <c r="D496">
        <f>IF(ISNUMBER($A496),INDEX($R$6:$R$1505,$A496-3),"")</f>
        <v/>
      </c>
      <c r="E496">
        <f>IF(ISNUMBER($A496),$G$2,"")</f>
        <v/>
      </c>
      <c r="F496">
        <f>IF(ISNUMBER($A496),INDEX($Z$6:$Z$1505,$A496-3),"")</f>
        <v/>
      </c>
      <c r="G496">
        <f>IF(ISNUMBER($A496),INDEX($AA$6:$AA$1505,$A496-3),"")</f>
        <v/>
      </c>
      <c r="H496">
        <f>IF(ISNUMBER($A496),INDEX($U$6:$U$1505,$A496-3),"")</f>
        <v/>
      </c>
      <c r="I496">
        <f>IF(ISNUMBER($A496),INDEX($V$6:$V$1505,$A496-3),"")</f>
        <v/>
      </c>
      <c r="J496">
        <f>IF(ISNUMBER($A496),INDEX($W$6:$W$1505,$A496-3),"")</f>
        <v/>
      </c>
      <c r="K496">
        <f>IF(ISNUMBER($A496),INDEX($X$6:$X$1505,$A496-3),"")</f>
        <v/>
      </c>
      <c r="L496">
        <f>IF(ISNUMBER($A496),INDEX($Y$6:$Y$1505,$A496-3),"")</f>
        <v/>
      </c>
      <c r="O496">
        <f>494</f>
        <v/>
      </c>
      <c r="P496">
        <f>IF(TRIM('입력_구리근무자명단'!$A494&amp;"")&lt;&gt;"",TRIM('입력_구리근무자명단'!$A494&amp;""),P495)</f>
        <v/>
      </c>
      <c r="Q496">
        <f>'입력_구리근무자명단'!$B494&amp;""</f>
        <v/>
      </c>
      <c r="R496">
        <f>IF($E$2="","",TRIM(INDEX('입력_구리근무자명단'!$A494:$ZZ494,1,$E$2+IF($G$2="확정",1,0))&amp;""))</f>
        <v/>
      </c>
      <c r="S496">
        <f>IF($R496="","",IF(INDEX('입력_구리근무자명단'!$A494:$ZZ494,1,$E$2+2)&amp;""="",급여기준월,IF(ISNUMBER(INDEX('입력_구리근무자명단'!$A494:$ZZ494,1,$E$2+2)),INDEX('입력_구리근무자명단'!$A494:$ZZ494,1,$E$2+2),IFERROR(DATE(VALUE(LEFT(INDEX('입력_구리근무자명단'!$A494:$ZZ494,1,$E$2+2),4)),VALUE(MID(INDEX('입력_구리근무자명단'!$A494:$ZZ494,1,$E$2+2),6,2)),VALUE(MID(INDEX('입력_구리근무자명단'!$A494:$ZZ494,1,$E$2+2),9,2))),-1))))</f>
        <v/>
      </c>
      <c r="T496">
        <f>IF($R496="","",IF(INDEX('입력_구리근무자명단'!$A494:$ZZ494,1,$E$2+3)&amp;""="",EOMONTH(급여기준월,0),IF(ISNUMBER(INDEX('입력_구리근무자명단'!$A494:$ZZ494,1,$E$2+3)),INDEX('입력_구리근무자명단'!$A494:$ZZ494,1,$E$2+3),IFERROR(DATE(VALUE(LEFT(INDEX('입력_구리근무자명단'!$A494:$ZZ494,1,$E$2+3),4)),VALUE(MID(INDEX('입력_구리근무자명단'!$A494:$ZZ494,1,$E$2+3),6,2)),VALUE(MID(INDEX('입력_구리근무자명단'!$A494:$ZZ494,1,$E$2+3),9,2))),-1))))</f>
        <v/>
      </c>
      <c r="U496">
        <f>IF($R496="","",IF(OR($S496&lt;0,$T496&lt;0),0,MAX(0,MIN($T496,EOMONTH(급여기준월,0))-MAX($S496,급여기준월)+1)))</f>
        <v/>
      </c>
      <c r="V496">
        <f>IF($R496="","",TRIM(INDEX('입력_구리근무자명단'!$A494:$ZZ494,1,$E$2+5)&amp;""))</f>
        <v/>
      </c>
      <c r="W496">
        <f>IF(ISNUMBER(SEARCH("구리독자",$V496)),"구리독자","")</f>
        <v/>
      </c>
      <c r="X496">
        <f>IF($R496="","",$R496&amp;"|"&amp;IF(OR($Q496="인턴",ISNUMBER(SEARCH("수련교육부",$P496))),"인턴",$P496))</f>
        <v/>
      </c>
      <c r="Y496">
        <f>IF($R496="","",IF(COUNTIF(명단표[이름|과],$X496)=1,"명단 일치",IF(AND(COUNTIF(명단표[이름|과],$X496)=0,COUNTIF(명단표[이름],$R496)=1),"명단 일치(이름만, 과 다름)",IF(COUNTIF(명단표[이름],$R496)=0,IF(COUNTIF(기본자료표[이름],$R496)&gt;0,"명단에 없음(기본자료에는 있음)","명단에 없음"),"동명이인 확인"))))</f>
        <v/>
      </c>
      <c r="Z496">
        <f>IF($R496="","",IF($S496&lt;0,"⚠"&amp;INDEX('입력_구리근무자명단'!$A494:$ZZ494,1,$E$2+2),TEXT($S496,"yyyy-mm-dd")))</f>
        <v/>
      </c>
      <c r="AA496">
        <f>IF($R496="","",IF($T496&lt;0,"⚠"&amp;INDEX('입력_구리근무자명단'!$A494:$ZZ494,1,$E$2+3),TEXT($T496,"yyyy-mm-dd")))</f>
        <v/>
      </c>
      <c r="AB496">
        <f>AB495+IF($R496="",0,1)</f>
        <v/>
      </c>
      <c r="AC496">
        <f>IF($R496="","",$AB496)</f>
        <v/>
      </c>
    </row>
    <row r="497">
      <c r="A497">
        <f>IFERROR(INDEX($O$6:$O$1505,MATCH(492,$AC$6:$AC$1505,0)),"")</f>
        <v/>
      </c>
      <c r="B497">
        <f>IF(ISNUMBER($A497),INDEX($P$6:$P$1505,$A497-3),"")</f>
        <v/>
      </c>
      <c r="C497">
        <f>IF(ISNUMBER($A497),INDEX($Q$6:$Q$1505,$A497-3),"")</f>
        <v/>
      </c>
      <c r="D497">
        <f>IF(ISNUMBER($A497),INDEX($R$6:$R$1505,$A497-3),"")</f>
        <v/>
      </c>
      <c r="E497">
        <f>IF(ISNUMBER($A497),$G$2,"")</f>
        <v/>
      </c>
      <c r="F497">
        <f>IF(ISNUMBER($A497),INDEX($Z$6:$Z$1505,$A497-3),"")</f>
        <v/>
      </c>
      <c r="G497">
        <f>IF(ISNUMBER($A497),INDEX($AA$6:$AA$1505,$A497-3),"")</f>
        <v/>
      </c>
      <c r="H497">
        <f>IF(ISNUMBER($A497),INDEX($U$6:$U$1505,$A497-3),"")</f>
        <v/>
      </c>
      <c r="I497">
        <f>IF(ISNUMBER($A497),INDEX($V$6:$V$1505,$A497-3),"")</f>
        <v/>
      </c>
      <c r="J497">
        <f>IF(ISNUMBER($A497),INDEX($W$6:$W$1505,$A497-3),"")</f>
        <v/>
      </c>
      <c r="K497">
        <f>IF(ISNUMBER($A497),INDEX($X$6:$X$1505,$A497-3),"")</f>
        <v/>
      </c>
      <c r="L497">
        <f>IF(ISNUMBER($A497),INDEX($Y$6:$Y$1505,$A497-3),"")</f>
        <v/>
      </c>
      <c r="O497">
        <f>495</f>
        <v/>
      </c>
      <c r="P497">
        <f>IF(TRIM('입력_구리근무자명단'!$A495&amp;"")&lt;&gt;"",TRIM('입력_구리근무자명단'!$A495&amp;""),P496)</f>
        <v/>
      </c>
      <c r="Q497">
        <f>'입력_구리근무자명단'!$B495&amp;""</f>
        <v/>
      </c>
      <c r="R497">
        <f>IF($E$2="","",TRIM(INDEX('입력_구리근무자명단'!$A495:$ZZ495,1,$E$2+IF($G$2="확정",1,0))&amp;""))</f>
        <v/>
      </c>
      <c r="S497">
        <f>IF($R497="","",IF(INDEX('입력_구리근무자명단'!$A495:$ZZ495,1,$E$2+2)&amp;""="",급여기준월,IF(ISNUMBER(INDEX('입력_구리근무자명단'!$A495:$ZZ495,1,$E$2+2)),INDEX('입력_구리근무자명단'!$A495:$ZZ495,1,$E$2+2),IFERROR(DATE(VALUE(LEFT(INDEX('입력_구리근무자명단'!$A495:$ZZ495,1,$E$2+2),4)),VALUE(MID(INDEX('입력_구리근무자명단'!$A495:$ZZ495,1,$E$2+2),6,2)),VALUE(MID(INDEX('입력_구리근무자명단'!$A495:$ZZ495,1,$E$2+2),9,2))),-1))))</f>
        <v/>
      </c>
      <c r="T497">
        <f>IF($R497="","",IF(INDEX('입력_구리근무자명단'!$A495:$ZZ495,1,$E$2+3)&amp;""="",EOMONTH(급여기준월,0),IF(ISNUMBER(INDEX('입력_구리근무자명단'!$A495:$ZZ495,1,$E$2+3)),INDEX('입력_구리근무자명단'!$A495:$ZZ495,1,$E$2+3),IFERROR(DATE(VALUE(LEFT(INDEX('입력_구리근무자명단'!$A495:$ZZ495,1,$E$2+3),4)),VALUE(MID(INDEX('입력_구리근무자명단'!$A495:$ZZ495,1,$E$2+3),6,2)),VALUE(MID(INDEX('입력_구리근무자명단'!$A495:$ZZ495,1,$E$2+3),9,2))),-1))))</f>
        <v/>
      </c>
      <c r="U497">
        <f>IF($R497="","",IF(OR($S497&lt;0,$T497&lt;0),0,MAX(0,MIN($T497,EOMONTH(급여기준월,0))-MAX($S497,급여기준월)+1)))</f>
        <v/>
      </c>
      <c r="V497">
        <f>IF($R497="","",TRIM(INDEX('입력_구리근무자명단'!$A495:$ZZ495,1,$E$2+5)&amp;""))</f>
        <v/>
      </c>
      <c r="W497">
        <f>IF(ISNUMBER(SEARCH("구리독자",$V497)),"구리독자","")</f>
        <v/>
      </c>
      <c r="X497">
        <f>IF($R497="","",$R497&amp;"|"&amp;IF(OR($Q497="인턴",ISNUMBER(SEARCH("수련교육부",$P497))),"인턴",$P497))</f>
        <v/>
      </c>
      <c r="Y497">
        <f>IF($R497="","",IF(COUNTIF(명단표[이름|과],$X497)=1,"명단 일치",IF(AND(COUNTIF(명단표[이름|과],$X497)=0,COUNTIF(명단표[이름],$R497)=1),"명단 일치(이름만, 과 다름)",IF(COUNTIF(명단표[이름],$R497)=0,IF(COUNTIF(기본자료표[이름],$R497)&gt;0,"명단에 없음(기본자료에는 있음)","명단에 없음"),"동명이인 확인"))))</f>
        <v/>
      </c>
      <c r="Z497">
        <f>IF($R497="","",IF($S497&lt;0,"⚠"&amp;INDEX('입력_구리근무자명단'!$A495:$ZZ495,1,$E$2+2),TEXT($S497,"yyyy-mm-dd")))</f>
        <v/>
      </c>
      <c r="AA497">
        <f>IF($R497="","",IF($T497&lt;0,"⚠"&amp;INDEX('입력_구리근무자명단'!$A495:$ZZ495,1,$E$2+3),TEXT($T497,"yyyy-mm-dd")))</f>
        <v/>
      </c>
      <c r="AB497">
        <f>AB496+IF($R497="",0,1)</f>
        <v/>
      </c>
      <c r="AC497">
        <f>IF($R497="","",$AB497)</f>
        <v/>
      </c>
    </row>
    <row r="498">
      <c r="A498">
        <f>IFERROR(INDEX($O$6:$O$1505,MATCH(493,$AC$6:$AC$1505,0)),"")</f>
        <v/>
      </c>
      <c r="B498">
        <f>IF(ISNUMBER($A498),INDEX($P$6:$P$1505,$A498-3),"")</f>
        <v/>
      </c>
      <c r="C498">
        <f>IF(ISNUMBER($A498),INDEX($Q$6:$Q$1505,$A498-3),"")</f>
        <v/>
      </c>
      <c r="D498">
        <f>IF(ISNUMBER($A498),INDEX($R$6:$R$1505,$A498-3),"")</f>
        <v/>
      </c>
      <c r="E498">
        <f>IF(ISNUMBER($A498),$G$2,"")</f>
        <v/>
      </c>
      <c r="F498">
        <f>IF(ISNUMBER($A498),INDEX($Z$6:$Z$1505,$A498-3),"")</f>
        <v/>
      </c>
      <c r="G498">
        <f>IF(ISNUMBER($A498),INDEX($AA$6:$AA$1505,$A498-3),"")</f>
        <v/>
      </c>
      <c r="H498">
        <f>IF(ISNUMBER($A498),INDEX($U$6:$U$1505,$A498-3),"")</f>
        <v/>
      </c>
      <c r="I498">
        <f>IF(ISNUMBER($A498),INDEX($V$6:$V$1505,$A498-3),"")</f>
        <v/>
      </c>
      <c r="J498">
        <f>IF(ISNUMBER($A498),INDEX($W$6:$W$1505,$A498-3),"")</f>
        <v/>
      </c>
      <c r="K498">
        <f>IF(ISNUMBER($A498),INDEX($X$6:$X$1505,$A498-3),"")</f>
        <v/>
      </c>
      <c r="L498">
        <f>IF(ISNUMBER($A498),INDEX($Y$6:$Y$1505,$A498-3),"")</f>
        <v/>
      </c>
      <c r="O498">
        <f>496</f>
        <v/>
      </c>
      <c r="P498">
        <f>IF(TRIM('입력_구리근무자명단'!$A496&amp;"")&lt;&gt;"",TRIM('입력_구리근무자명단'!$A496&amp;""),P497)</f>
        <v/>
      </c>
      <c r="Q498">
        <f>'입력_구리근무자명단'!$B496&amp;""</f>
        <v/>
      </c>
      <c r="R498">
        <f>IF($E$2="","",TRIM(INDEX('입력_구리근무자명단'!$A496:$ZZ496,1,$E$2+IF($G$2="확정",1,0))&amp;""))</f>
        <v/>
      </c>
      <c r="S498">
        <f>IF($R498="","",IF(INDEX('입력_구리근무자명단'!$A496:$ZZ496,1,$E$2+2)&amp;""="",급여기준월,IF(ISNUMBER(INDEX('입력_구리근무자명단'!$A496:$ZZ496,1,$E$2+2)),INDEX('입력_구리근무자명단'!$A496:$ZZ496,1,$E$2+2),IFERROR(DATE(VALUE(LEFT(INDEX('입력_구리근무자명단'!$A496:$ZZ496,1,$E$2+2),4)),VALUE(MID(INDEX('입력_구리근무자명단'!$A496:$ZZ496,1,$E$2+2),6,2)),VALUE(MID(INDEX('입력_구리근무자명단'!$A496:$ZZ496,1,$E$2+2),9,2))),-1))))</f>
        <v/>
      </c>
      <c r="T498">
        <f>IF($R498="","",IF(INDEX('입력_구리근무자명단'!$A496:$ZZ496,1,$E$2+3)&amp;""="",EOMONTH(급여기준월,0),IF(ISNUMBER(INDEX('입력_구리근무자명단'!$A496:$ZZ496,1,$E$2+3)),INDEX('입력_구리근무자명단'!$A496:$ZZ496,1,$E$2+3),IFERROR(DATE(VALUE(LEFT(INDEX('입력_구리근무자명단'!$A496:$ZZ496,1,$E$2+3),4)),VALUE(MID(INDEX('입력_구리근무자명단'!$A496:$ZZ496,1,$E$2+3),6,2)),VALUE(MID(INDEX('입력_구리근무자명단'!$A496:$ZZ496,1,$E$2+3),9,2))),-1))))</f>
        <v/>
      </c>
      <c r="U498">
        <f>IF($R498="","",IF(OR($S498&lt;0,$T498&lt;0),0,MAX(0,MIN($T498,EOMONTH(급여기준월,0))-MAX($S498,급여기준월)+1)))</f>
        <v/>
      </c>
      <c r="V498">
        <f>IF($R498="","",TRIM(INDEX('입력_구리근무자명단'!$A496:$ZZ496,1,$E$2+5)&amp;""))</f>
        <v/>
      </c>
      <c r="W498">
        <f>IF(ISNUMBER(SEARCH("구리독자",$V498)),"구리독자","")</f>
        <v/>
      </c>
      <c r="X498">
        <f>IF($R498="","",$R498&amp;"|"&amp;IF(OR($Q498="인턴",ISNUMBER(SEARCH("수련교육부",$P498))),"인턴",$P498))</f>
        <v/>
      </c>
      <c r="Y498">
        <f>IF($R498="","",IF(COUNTIF(명단표[이름|과],$X498)=1,"명단 일치",IF(AND(COUNTIF(명단표[이름|과],$X498)=0,COUNTIF(명단표[이름],$R498)=1),"명단 일치(이름만, 과 다름)",IF(COUNTIF(명단표[이름],$R498)=0,IF(COUNTIF(기본자료표[이름],$R498)&gt;0,"명단에 없음(기본자료에는 있음)","명단에 없음"),"동명이인 확인"))))</f>
        <v/>
      </c>
      <c r="Z498">
        <f>IF($R498="","",IF($S498&lt;0,"⚠"&amp;INDEX('입력_구리근무자명단'!$A496:$ZZ496,1,$E$2+2),TEXT($S498,"yyyy-mm-dd")))</f>
        <v/>
      </c>
      <c r="AA498">
        <f>IF($R498="","",IF($T498&lt;0,"⚠"&amp;INDEX('입력_구리근무자명단'!$A496:$ZZ496,1,$E$2+3),TEXT($T498,"yyyy-mm-dd")))</f>
        <v/>
      </c>
      <c r="AB498">
        <f>AB497+IF($R498="",0,1)</f>
        <v/>
      </c>
      <c r="AC498">
        <f>IF($R498="","",$AB498)</f>
        <v/>
      </c>
    </row>
    <row r="499">
      <c r="A499">
        <f>IFERROR(INDEX($O$6:$O$1505,MATCH(494,$AC$6:$AC$1505,0)),"")</f>
        <v/>
      </c>
      <c r="B499">
        <f>IF(ISNUMBER($A499),INDEX($P$6:$P$1505,$A499-3),"")</f>
        <v/>
      </c>
      <c r="C499">
        <f>IF(ISNUMBER($A499),INDEX($Q$6:$Q$1505,$A499-3),"")</f>
        <v/>
      </c>
      <c r="D499">
        <f>IF(ISNUMBER($A499),INDEX($R$6:$R$1505,$A499-3),"")</f>
        <v/>
      </c>
      <c r="E499">
        <f>IF(ISNUMBER($A499),$G$2,"")</f>
        <v/>
      </c>
      <c r="F499">
        <f>IF(ISNUMBER($A499),INDEX($Z$6:$Z$1505,$A499-3),"")</f>
        <v/>
      </c>
      <c r="G499">
        <f>IF(ISNUMBER($A499),INDEX($AA$6:$AA$1505,$A499-3),"")</f>
        <v/>
      </c>
      <c r="H499">
        <f>IF(ISNUMBER($A499),INDEX($U$6:$U$1505,$A499-3),"")</f>
        <v/>
      </c>
      <c r="I499">
        <f>IF(ISNUMBER($A499),INDEX($V$6:$V$1505,$A499-3),"")</f>
        <v/>
      </c>
      <c r="J499">
        <f>IF(ISNUMBER($A499),INDEX($W$6:$W$1505,$A499-3),"")</f>
        <v/>
      </c>
      <c r="K499">
        <f>IF(ISNUMBER($A499),INDEX($X$6:$X$1505,$A499-3),"")</f>
        <v/>
      </c>
      <c r="L499">
        <f>IF(ISNUMBER($A499),INDEX($Y$6:$Y$1505,$A499-3),"")</f>
        <v/>
      </c>
      <c r="O499">
        <f>497</f>
        <v/>
      </c>
      <c r="P499">
        <f>IF(TRIM('입력_구리근무자명단'!$A497&amp;"")&lt;&gt;"",TRIM('입력_구리근무자명단'!$A497&amp;""),P498)</f>
        <v/>
      </c>
      <c r="Q499">
        <f>'입력_구리근무자명단'!$B497&amp;""</f>
        <v/>
      </c>
      <c r="R499">
        <f>IF($E$2="","",TRIM(INDEX('입력_구리근무자명단'!$A497:$ZZ497,1,$E$2+IF($G$2="확정",1,0))&amp;""))</f>
        <v/>
      </c>
      <c r="S499">
        <f>IF($R499="","",IF(INDEX('입력_구리근무자명단'!$A497:$ZZ497,1,$E$2+2)&amp;""="",급여기준월,IF(ISNUMBER(INDEX('입력_구리근무자명단'!$A497:$ZZ497,1,$E$2+2)),INDEX('입력_구리근무자명단'!$A497:$ZZ497,1,$E$2+2),IFERROR(DATE(VALUE(LEFT(INDEX('입력_구리근무자명단'!$A497:$ZZ497,1,$E$2+2),4)),VALUE(MID(INDEX('입력_구리근무자명단'!$A497:$ZZ497,1,$E$2+2),6,2)),VALUE(MID(INDEX('입력_구리근무자명단'!$A497:$ZZ497,1,$E$2+2),9,2))),-1))))</f>
        <v/>
      </c>
      <c r="T499">
        <f>IF($R499="","",IF(INDEX('입력_구리근무자명단'!$A497:$ZZ497,1,$E$2+3)&amp;""="",EOMONTH(급여기준월,0),IF(ISNUMBER(INDEX('입력_구리근무자명단'!$A497:$ZZ497,1,$E$2+3)),INDEX('입력_구리근무자명단'!$A497:$ZZ497,1,$E$2+3),IFERROR(DATE(VALUE(LEFT(INDEX('입력_구리근무자명단'!$A497:$ZZ497,1,$E$2+3),4)),VALUE(MID(INDEX('입력_구리근무자명단'!$A497:$ZZ497,1,$E$2+3),6,2)),VALUE(MID(INDEX('입력_구리근무자명단'!$A497:$ZZ497,1,$E$2+3),9,2))),-1))))</f>
        <v/>
      </c>
      <c r="U499">
        <f>IF($R499="","",IF(OR($S499&lt;0,$T499&lt;0),0,MAX(0,MIN($T499,EOMONTH(급여기준월,0))-MAX($S499,급여기준월)+1)))</f>
        <v/>
      </c>
      <c r="V499">
        <f>IF($R499="","",TRIM(INDEX('입력_구리근무자명단'!$A497:$ZZ497,1,$E$2+5)&amp;""))</f>
        <v/>
      </c>
      <c r="W499">
        <f>IF(ISNUMBER(SEARCH("구리독자",$V499)),"구리독자","")</f>
        <v/>
      </c>
      <c r="X499">
        <f>IF($R499="","",$R499&amp;"|"&amp;IF(OR($Q499="인턴",ISNUMBER(SEARCH("수련교육부",$P499))),"인턴",$P499))</f>
        <v/>
      </c>
      <c r="Y499">
        <f>IF($R499="","",IF(COUNTIF(명단표[이름|과],$X499)=1,"명단 일치",IF(AND(COUNTIF(명단표[이름|과],$X499)=0,COUNTIF(명단표[이름],$R499)=1),"명단 일치(이름만, 과 다름)",IF(COUNTIF(명단표[이름],$R499)=0,IF(COUNTIF(기본자료표[이름],$R499)&gt;0,"명단에 없음(기본자료에는 있음)","명단에 없음"),"동명이인 확인"))))</f>
        <v/>
      </c>
      <c r="Z499">
        <f>IF($R499="","",IF($S499&lt;0,"⚠"&amp;INDEX('입력_구리근무자명단'!$A497:$ZZ497,1,$E$2+2),TEXT($S499,"yyyy-mm-dd")))</f>
        <v/>
      </c>
      <c r="AA499">
        <f>IF($R499="","",IF($T499&lt;0,"⚠"&amp;INDEX('입력_구리근무자명단'!$A497:$ZZ497,1,$E$2+3),TEXT($T499,"yyyy-mm-dd")))</f>
        <v/>
      </c>
      <c r="AB499">
        <f>AB498+IF($R499="",0,1)</f>
        <v/>
      </c>
      <c r="AC499">
        <f>IF($R499="","",$AB499)</f>
        <v/>
      </c>
    </row>
    <row r="500">
      <c r="A500">
        <f>IFERROR(INDEX($O$6:$O$1505,MATCH(495,$AC$6:$AC$1505,0)),"")</f>
        <v/>
      </c>
      <c r="B500">
        <f>IF(ISNUMBER($A500),INDEX($P$6:$P$1505,$A500-3),"")</f>
        <v/>
      </c>
      <c r="C500">
        <f>IF(ISNUMBER($A500),INDEX($Q$6:$Q$1505,$A500-3),"")</f>
        <v/>
      </c>
      <c r="D500">
        <f>IF(ISNUMBER($A500),INDEX($R$6:$R$1505,$A500-3),"")</f>
        <v/>
      </c>
      <c r="E500">
        <f>IF(ISNUMBER($A500),$G$2,"")</f>
        <v/>
      </c>
      <c r="F500">
        <f>IF(ISNUMBER($A500),INDEX($Z$6:$Z$1505,$A500-3),"")</f>
        <v/>
      </c>
      <c r="G500">
        <f>IF(ISNUMBER($A500),INDEX($AA$6:$AA$1505,$A500-3),"")</f>
        <v/>
      </c>
      <c r="H500">
        <f>IF(ISNUMBER($A500),INDEX($U$6:$U$1505,$A500-3),"")</f>
        <v/>
      </c>
      <c r="I500">
        <f>IF(ISNUMBER($A500),INDEX($V$6:$V$1505,$A500-3),"")</f>
        <v/>
      </c>
      <c r="J500">
        <f>IF(ISNUMBER($A500),INDEX($W$6:$W$1505,$A500-3),"")</f>
        <v/>
      </c>
      <c r="K500">
        <f>IF(ISNUMBER($A500),INDEX($X$6:$X$1505,$A500-3),"")</f>
        <v/>
      </c>
      <c r="L500">
        <f>IF(ISNUMBER($A500),INDEX($Y$6:$Y$1505,$A500-3),"")</f>
        <v/>
      </c>
      <c r="O500">
        <f>498</f>
        <v/>
      </c>
      <c r="P500">
        <f>IF(TRIM('입력_구리근무자명단'!$A498&amp;"")&lt;&gt;"",TRIM('입력_구리근무자명단'!$A498&amp;""),P499)</f>
        <v/>
      </c>
      <c r="Q500">
        <f>'입력_구리근무자명단'!$B498&amp;""</f>
        <v/>
      </c>
      <c r="R500">
        <f>IF($E$2="","",TRIM(INDEX('입력_구리근무자명단'!$A498:$ZZ498,1,$E$2+IF($G$2="확정",1,0))&amp;""))</f>
        <v/>
      </c>
      <c r="S500">
        <f>IF($R500="","",IF(INDEX('입력_구리근무자명단'!$A498:$ZZ498,1,$E$2+2)&amp;""="",급여기준월,IF(ISNUMBER(INDEX('입력_구리근무자명단'!$A498:$ZZ498,1,$E$2+2)),INDEX('입력_구리근무자명단'!$A498:$ZZ498,1,$E$2+2),IFERROR(DATE(VALUE(LEFT(INDEX('입력_구리근무자명단'!$A498:$ZZ498,1,$E$2+2),4)),VALUE(MID(INDEX('입력_구리근무자명단'!$A498:$ZZ498,1,$E$2+2),6,2)),VALUE(MID(INDEX('입력_구리근무자명단'!$A498:$ZZ498,1,$E$2+2),9,2))),-1))))</f>
        <v/>
      </c>
      <c r="T500">
        <f>IF($R500="","",IF(INDEX('입력_구리근무자명단'!$A498:$ZZ498,1,$E$2+3)&amp;""="",EOMONTH(급여기준월,0),IF(ISNUMBER(INDEX('입력_구리근무자명단'!$A498:$ZZ498,1,$E$2+3)),INDEX('입력_구리근무자명단'!$A498:$ZZ498,1,$E$2+3),IFERROR(DATE(VALUE(LEFT(INDEX('입력_구리근무자명단'!$A498:$ZZ498,1,$E$2+3),4)),VALUE(MID(INDEX('입력_구리근무자명단'!$A498:$ZZ498,1,$E$2+3),6,2)),VALUE(MID(INDEX('입력_구리근무자명단'!$A498:$ZZ498,1,$E$2+3),9,2))),-1))))</f>
        <v/>
      </c>
      <c r="U500">
        <f>IF($R500="","",IF(OR($S500&lt;0,$T500&lt;0),0,MAX(0,MIN($T500,EOMONTH(급여기준월,0))-MAX($S500,급여기준월)+1)))</f>
        <v/>
      </c>
      <c r="V500">
        <f>IF($R500="","",TRIM(INDEX('입력_구리근무자명단'!$A498:$ZZ498,1,$E$2+5)&amp;""))</f>
        <v/>
      </c>
      <c r="W500">
        <f>IF(ISNUMBER(SEARCH("구리독자",$V500)),"구리독자","")</f>
        <v/>
      </c>
      <c r="X500">
        <f>IF($R500="","",$R500&amp;"|"&amp;IF(OR($Q500="인턴",ISNUMBER(SEARCH("수련교육부",$P500))),"인턴",$P500))</f>
        <v/>
      </c>
      <c r="Y500">
        <f>IF($R500="","",IF(COUNTIF(명단표[이름|과],$X500)=1,"명단 일치",IF(AND(COUNTIF(명단표[이름|과],$X500)=0,COUNTIF(명단표[이름],$R500)=1),"명단 일치(이름만, 과 다름)",IF(COUNTIF(명단표[이름],$R500)=0,IF(COUNTIF(기본자료표[이름],$R500)&gt;0,"명단에 없음(기본자료에는 있음)","명단에 없음"),"동명이인 확인"))))</f>
        <v/>
      </c>
      <c r="Z500">
        <f>IF($R500="","",IF($S500&lt;0,"⚠"&amp;INDEX('입력_구리근무자명단'!$A498:$ZZ498,1,$E$2+2),TEXT($S500,"yyyy-mm-dd")))</f>
        <v/>
      </c>
      <c r="AA500">
        <f>IF($R500="","",IF($T500&lt;0,"⚠"&amp;INDEX('입력_구리근무자명단'!$A498:$ZZ498,1,$E$2+3),TEXT($T500,"yyyy-mm-dd")))</f>
        <v/>
      </c>
      <c r="AB500">
        <f>AB499+IF($R500="",0,1)</f>
        <v/>
      </c>
      <c r="AC500">
        <f>IF($R500="","",$AB500)</f>
        <v/>
      </c>
    </row>
    <row r="501">
      <c r="A501">
        <f>IFERROR(INDEX($O$6:$O$1505,MATCH(496,$AC$6:$AC$1505,0)),"")</f>
        <v/>
      </c>
      <c r="B501">
        <f>IF(ISNUMBER($A501),INDEX($P$6:$P$1505,$A501-3),"")</f>
        <v/>
      </c>
      <c r="C501">
        <f>IF(ISNUMBER($A501),INDEX($Q$6:$Q$1505,$A501-3),"")</f>
        <v/>
      </c>
      <c r="D501">
        <f>IF(ISNUMBER($A501),INDEX($R$6:$R$1505,$A501-3),"")</f>
        <v/>
      </c>
      <c r="E501">
        <f>IF(ISNUMBER($A501),$G$2,"")</f>
        <v/>
      </c>
      <c r="F501">
        <f>IF(ISNUMBER($A501),INDEX($Z$6:$Z$1505,$A501-3),"")</f>
        <v/>
      </c>
      <c r="G501">
        <f>IF(ISNUMBER($A501),INDEX($AA$6:$AA$1505,$A501-3),"")</f>
        <v/>
      </c>
      <c r="H501">
        <f>IF(ISNUMBER($A501),INDEX($U$6:$U$1505,$A501-3),"")</f>
        <v/>
      </c>
      <c r="I501">
        <f>IF(ISNUMBER($A501),INDEX($V$6:$V$1505,$A501-3),"")</f>
        <v/>
      </c>
      <c r="J501">
        <f>IF(ISNUMBER($A501),INDEX($W$6:$W$1505,$A501-3),"")</f>
        <v/>
      </c>
      <c r="K501">
        <f>IF(ISNUMBER($A501),INDEX($X$6:$X$1505,$A501-3),"")</f>
        <v/>
      </c>
      <c r="L501">
        <f>IF(ISNUMBER($A501),INDEX($Y$6:$Y$1505,$A501-3),"")</f>
        <v/>
      </c>
      <c r="O501">
        <f>499</f>
        <v/>
      </c>
      <c r="P501">
        <f>IF(TRIM('입력_구리근무자명단'!$A499&amp;"")&lt;&gt;"",TRIM('입력_구리근무자명단'!$A499&amp;""),P500)</f>
        <v/>
      </c>
      <c r="Q501">
        <f>'입력_구리근무자명단'!$B499&amp;""</f>
        <v/>
      </c>
      <c r="R501">
        <f>IF($E$2="","",TRIM(INDEX('입력_구리근무자명단'!$A499:$ZZ499,1,$E$2+IF($G$2="확정",1,0))&amp;""))</f>
        <v/>
      </c>
      <c r="S501">
        <f>IF($R501="","",IF(INDEX('입력_구리근무자명단'!$A499:$ZZ499,1,$E$2+2)&amp;""="",급여기준월,IF(ISNUMBER(INDEX('입력_구리근무자명단'!$A499:$ZZ499,1,$E$2+2)),INDEX('입력_구리근무자명단'!$A499:$ZZ499,1,$E$2+2),IFERROR(DATE(VALUE(LEFT(INDEX('입력_구리근무자명단'!$A499:$ZZ499,1,$E$2+2),4)),VALUE(MID(INDEX('입력_구리근무자명단'!$A499:$ZZ499,1,$E$2+2),6,2)),VALUE(MID(INDEX('입력_구리근무자명단'!$A499:$ZZ499,1,$E$2+2),9,2))),-1))))</f>
        <v/>
      </c>
      <c r="T501">
        <f>IF($R501="","",IF(INDEX('입력_구리근무자명단'!$A499:$ZZ499,1,$E$2+3)&amp;""="",EOMONTH(급여기준월,0),IF(ISNUMBER(INDEX('입력_구리근무자명단'!$A499:$ZZ499,1,$E$2+3)),INDEX('입력_구리근무자명단'!$A499:$ZZ499,1,$E$2+3),IFERROR(DATE(VALUE(LEFT(INDEX('입력_구리근무자명단'!$A499:$ZZ499,1,$E$2+3),4)),VALUE(MID(INDEX('입력_구리근무자명단'!$A499:$ZZ499,1,$E$2+3),6,2)),VALUE(MID(INDEX('입력_구리근무자명단'!$A499:$ZZ499,1,$E$2+3),9,2))),-1))))</f>
        <v/>
      </c>
      <c r="U501">
        <f>IF($R501="","",IF(OR($S501&lt;0,$T501&lt;0),0,MAX(0,MIN($T501,EOMONTH(급여기준월,0))-MAX($S501,급여기준월)+1)))</f>
        <v/>
      </c>
      <c r="V501">
        <f>IF($R501="","",TRIM(INDEX('입력_구리근무자명단'!$A499:$ZZ499,1,$E$2+5)&amp;""))</f>
        <v/>
      </c>
      <c r="W501">
        <f>IF(ISNUMBER(SEARCH("구리독자",$V501)),"구리독자","")</f>
        <v/>
      </c>
      <c r="X501">
        <f>IF($R501="","",$R501&amp;"|"&amp;IF(OR($Q501="인턴",ISNUMBER(SEARCH("수련교육부",$P501))),"인턴",$P501))</f>
        <v/>
      </c>
      <c r="Y501">
        <f>IF($R501="","",IF(COUNTIF(명단표[이름|과],$X501)=1,"명단 일치",IF(AND(COUNTIF(명단표[이름|과],$X501)=0,COUNTIF(명단표[이름],$R501)=1),"명단 일치(이름만, 과 다름)",IF(COUNTIF(명단표[이름],$R501)=0,IF(COUNTIF(기본자료표[이름],$R501)&gt;0,"명단에 없음(기본자료에는 있음)","명단에 없음"),"동명이인 확인"))))</f>
        <v/>
      </c>
      <c r="Z501">
        <f>IF($R501="","",IF($S501&lt;0,"⚠"&amp;INDEX('입력_구리근무자명단'!$A499:$ZZ499,1,$E$2+2),TEXT($S501,"yyyy-mm-dd")))</f>
        <v/>
      </c>
      <c r="AA501">
        <f>IF($R501="","",IF($T501&lt;0,"⚠"&amp;INDEX('입력_구리근무자명단'!$A499:$ZZ499,1,$E$2+3),TEXT($T501,"yyyy-mm-dd")))</f>
        <v/>
      </c>
      <c r="AB501">
        <f>AB500+IF($R501="",0,1)</f>
        <v/>
      </c>
      <c r="AC501">
        <f>IF($R501="","",$AB501)</f>
        <v/>
      </c>
    </row>
    <row r="502">
      <c r="A502">
        <f>IFERROR(INDEX($O$6:$O$1505,MATCH(497,$AC$6:$AC$1505,0)),"")</f>
        <v/>
      </c>
      <c r="B502">
        <f>IF(ISNUMBER($A502),INDEX($P$6:$P$1505,$A502-3),"")</f>
        <v/>
      </c>
      <c r="C502">
        <f>IF(ISNUMBER($A502),INDEX($Q$6:$Q$1505,$A502-3),"")</f>
        <v/>
      </c>
      <c r="D502">
        <f>IF(ISNUMBER($A502),INDEX($R$6:$R$1505,$A502-3),"")</f>
        <v/>
      </c>
      <c r="E502">
        <f>IF(ISNUMBER($A502),$G$2,"")</f>
        <v/>
      </c>
      <c r="F502">
        <f>IF(ISNUMBER($A502),INDEX($Z$6:$Z$1505,$A502-3),"")</f>
        <v/>
      </c>
      <c r="G502">
        <f>IF(ISNUMBER($A502),INDEX($AA$6:$AA$1505,$A502-3),"")</f>
        <v/>
      </c>
      <c r="H502">
        <f>IF(ISNUMBER($A502),INDEX($U$6:$U$1505,$A502-3),"")</f>
        <v/>
      </c>
      <c r="I502">
        <f>IF(ISNUMBER($A502),INDEX($V$6:$V$1505,$A502-3),"")</f>
        <v/>
      </c>
      <c r="J502">
        <f>IF(ISNUMBER($A502),INDEX($W$6:$W$1505,$A502-3),"")</f>
        <v/>
      </c>
      <c r="K502">
        <f>IF(ISNUMBER($A502),INDEX($X$6:$X$1505,$A502-3),"")</f>
        <v/>
      </c>
      <c r="L502">
        <f>IF(ISNUMBER($A502),INDEX($Y$6:$Y$1505,$A502-3),"")</f>
        <v/>
      </c>
      <c r="O502">
        <f>500</f>
        <v/>
      </c>
      <c r="P502">
        <f>IF(TRIM('입력_구리근무자명단'!$A500&amp;"")&lt;&gt;"",TRIM('입력_구리근무자명단'!$A500&amp;""),P501)</f>
        <v/>
      </c>
      <c r="Q502">
        <f>'입력_구리근무자명단'!$B500&amp;""</f>
        <v/>
      </c>
      <c r="R502">
        <f>IF($E$2="","",TRIM(INDEX('입력_구리근무자명단'!$A500:$ZZ500,1,$E$2+IF($G$2="확정",1,0))&amp;""))</f>
        <v/>
      </c>
      <c r="S502">
        <f>IF($R502="","",IF(INDEX('입력_구리근무자명단'!$A500:$ZZ500,1,$E$2+2)&amp;""="",급여기준월,IF(ISNUMBER(INDEX('입력_구리근무자명단'!$A500:$ZZ500,1,$E$2+2)),INDEX('입력_구리근무자명단'!$A500:$ZZ500,1,$E$2+2),IFERROR(DATE(VALUE(LEFT(INDEX('입력_구리근무자명단'!$A500:$ZZ500,1,$E$2+2),4)),VALUE(MID(INDEX('입력_구리근무자명단'!$A500:$ZZ500,1,$E$2+2),6,2)),VALUE(MID(INDEX('입력_구리근무자명단'!$A500:$ZZ500,1,$E$2+2),9,2))),-1))))</f>
        <v/>
      </c>
      <c r="T502">
        <f>IF($R502="","",IF(INDEX('입력_구리근무자명단'!$A500:$ZZ500,1,$E$2+3)&amp;""="",EOMONTH(급여기준월,0),IF(ISNUMBER(INDEX('입력_구리근무자명단'!$A500:$ZZ500,1,$E$2+3)),INDEX('입력_구리근무자명단'!$A500:$ZZ500,1,$E$2+3),IFERROR(DATE(VALUE(LEFT(INDEX('입력_구리근무자명단'!$A500:$ZZ500,1,$E$2+3),4)),VALUE(MID(INDEX('입력_구리근무자명단'!$A500:$ZZ500,1,$E$2+3),6,2)),VALUE(MID(INDEX('입력_구리근무자명단'!$A500:$ZZ500,1,$E$2+3),9,2))),-1))))</f>
        <v/>
      </c>
      <c r="U502">
        <f>IF($R502="","",IF(OR($S502&lt;0,$T502&lt;0),0,MAX(0,MIN($T502,EOMONTH(급여기준월,0))-MAX($S502,급여기준월)+1)))</f>
        <v/>
      </c>
      <c r="V502">
        <f>IF($R502="","",TRIM(INDEX('입력_구리근무자명단'!$A500:$ZZ500,1,$E$2+5)&amp;""))</f>
        <v/>
      </c>
      <c r="W502">
        <f>IF(ISNUMBER(SEARCH("구리독자",$V502)),"구리독자","")</f>
        <v/>
      </c>
      <c r="X502">
        <f>IF($R502="","",$R502&amp;"|"&amp;IF(OR($Q502="인턴",ISNUMBER(SEARCH("수련교육부",$P502))),"인턴",$P502))</f>
        <v/>
      </c>
      <c r="Y502">
        <f>IF($R502="","",IF(COUNTIF(명단표[이름|과],$X502)=1,"명단 일치",IF(AND(COUNTIF(명단표[이름|과],$X502)=0,COUNTIF(명단표[이름],$R502)=1),"명단 일치(이름만, 과 다름)",IF(COUNTIF(명단표[이름],$R502)=0,IF(COUNTIF(기본자료표[이름],$R502)&gt;0,"명단에 없음(기본자료에는 있음)","명단에 없음"),"동명이인 확인"))))</f>
        <v/>
      </c>
      <c r="Z502">
        <f>IF($R502="","",IF($S502&lt;0,"⚠"&amp;INDEX('입력_구리근무자명단'!$A500:$ZZ500,1,$E$2+2),TEXT($S502,"yyyy-mm-dd")))</f>
        <v/>
      </c>
      <c r="AA502">
        <f>IF($R502="","",IF($T502&lt;0,"⚠"&amp;INDEX('입력_구리근무자명단'!$A500:$ZZ500,1,$E$2+3),TEXT($T502,"yyyy-mm-dd")))</f>
        <v/>
      </c>
      <c r="AB502">
        <f>AB501+IF($R502="",0,1)</f>
        <v/>
      </c>
      <c r="AC502">
        <f>IF($R502="","",$AB502)</f>
        <v/>
      </c>
    </row>
    <row r="503">
      <c r="A503">
        <f>IFERROR(INDEX($O$6:$O$1505,MATCH(498,$AC$6:$AC$1505,0)),"")</f>
        <v/>
      </c>
      <c r="B503">
        <f>IF(ISNUMBER($A503),INDEX($P$6:$P$1505,$A503-3),"")</f>
        <v/>
      </c>
      <c r="C503">
        <f>IF(ISNUMBER($A503),INDEX($Q$6:$Q$1505,$A503-3),"")</f>
        <v/>
      </c>
      <c r="D503">
        <f>IF(ISNUMBER($A503),INDEX($R$6:$R$1505,$A503-3),"")</f>
        <v/>
      </c>
      <c r="E503">
        <f>IF(ISNUMBER($A503),$G$2,"")</f>
        <v/>
      </c>
      <c r="F503">
        <f>IF(ISNUMBER($A503),INDEX($Z$6:$Z$1505,$A503-3),"")</f>
        <v/>
      </c>
      <c r="G503">
        <f>IF(ISNUMBER($A503),INDEX($AA$6:$AA$1505,$A503-3),"")</f>
        <v/>
      </c>
      <c r="H503">
        <f>IF(ISNUMBER($A503),INDEX($U$6:$U$1505,$A503-3),"")</f>
        <v/>
      </c>
      <c r="I503">
        <f>IF(ISNUMBER($A503),INDEX($V$6:$V$1505,$A503-3),"")</f>
        <v/>
      </c>
      <c r="J503">
        <f>IF(ISNUMBER($A503),INDEX($W$6:$W$1505,$A503-3),"")</f>
        <v/>
      </c>
      <c r="K503">
        <f>IF(ISNUMBER($A503),INDEX($X$6:$X$1505,$A503-3),"")</f>
        <v/>
      </c>
      <c r="L503">
        <f>IF(ISNUMBER($A503),INDEX($Y$6:$Y$1505,$A503-3),"")</f>
        <v/>
      </c>
      <c r="O503">
        <f>501</f>
        <v/>
      </c>
      <c r="P503">
        <f>IF(TRIM('입력_구리근무자명단'!$A501&amp;"")&lt;&gt;"",TRIM('입력_구리근무자명단'!$A501&amp;""),P502)</f>
        <v/>
      </c>
      <c r="Q503">
        <f>'입력_구리근무자명단'!$B501&amp;""</f>
        <v/>
      </c>
      <c r="R503">
        <f>IF($E$2="","",TRIM(INDEX('입력_구리근무자명단'!$A501:$ZZ501,1,$E$2+IF($G$2="확정",1,0))&amp;""))</f>
        <v/>
      </c>
      <c r="S503">
        <f>IF($R503="","",IF(INDEX('입력_구리근무자명단'!$A501:$ZZ501,1,$E$2+2)&amp;""="",급여기준월,IF(ISNUMBER(INDEX('입력_구리근무자명단'!$A501:$ZZ501,1,$E$2+2)),INDEX('입력_구리근무자명단'!$A501:$ZZ501,1,$E$2+2),IFERROR(DATE(VALUE(LEFT(INDEX('입력_구리근무자명단'!$A501:$ZZ501,1,$E$2+2),4)),VALUE(MID(INDEX('입력_구리근무자명단'!$A501:$ZZ501,1,$E$2+2),6,2)),VALUE(MID(INDEX('입력_구리근무자명단'!$A501:$ZZ501,1,$E$2+2),9,2))),-1))))</f>
        <v/>
      </c>
      <c r="T503">
        <f>IF($R503="","",IF(INDEX('입력_구리근무자명단'!$A501:$ZZ501,1,$E$2+3)&amp;""="",EOMONTH(급여기준월,0),IF(ISNUMBER(INDEX('입력_구리근무자명단'!$A501:$ZZ501,1,$E$2+3)),INDEX('입력_구리근무자명단'!$A501:$ZZ501,1,$E$2+3),IFERROR(DATE(VALUE(LEFT(INDEX('입력_구리근무자명단'!$A501:$ZZ501,1,$E$2+3),4)),VALUE(MID(INDEX('입력_구리근무자명단'!$A501:$ZZ501,1,$E$2+3),6,2)),VALUE(MID(INDEX('입력_구리근무자명단'!$A501:$ZZ501,1,$E$2+3),9,2))),-1))))</f>
        <v/>
      </c>
      <c r="U503">
        <f>IF($R503="","",IF(OR($S503&lt;0,$T503&lt;0),0,MAX(0,MIN($T503,EOMONTH(급여기준월,0))-MAX($S503,급여기준월)+1)))</f>
        <v/>
      </c>
      <c r="V503">
        <f>IF($R503="","",TRIM(INDEX('입력_구리근무자명단'!$A501:$ZZ501,1,$E$2+5)&amp;""))</f>
        <v/>
      </c>
      <c r="W503">
        <f>IF(ISNUMBER(SEARCH("구리독자",$V503)),"구리독자","")</f>
        <v/>
      </c>
      <c r="X503">
        <f>IF($R503="","",$R503&amp;"|"&amp;IF(OR($Q503="인턴",ISNUMBER(SEARCH("수련교육부",$P503))),"인턴",$P503))</f>
        <v/>
      </c>
      <c r="Y503">
        <f>IF($R503="","",IF(COUNTIF(명단표[이름|과],$X503)=1,"명단 일치",IF(AND(COUNTIF(명단표[이름|과],$X503)=0,COUNTIF(명단표[이름],$R503)=1),"명단 일치(이름만, 과 다름)",IF(COUNTIF(명단표[이름],$R503)=0,IF(COUNTIF(기본자료표[이름],$R503)&gt;0,"명단에 없음(기본자료에는 있음)","명단에 없음"),"동명이인 확인"))))</f>
        <v/>
      </c>
      <c r="Z503">
        <f>IF($R503="","",IF($S503&lt;0,"⚠"&amp;INDEX('입력_구리근무자명단'!$A501:$ZZ501,1,$E$2+2),TEXT($S503,"yyyy-mm-dd")))</f>
        <v/>
      </c>
      <c r="AA503">
        <f>IF($R503="","",IF($T503&lt;0,"⚠"&amp;INDEX('입력_구리근무자명단'!$A501:$ZZ501,1,$E$2+3),TEXT($T503,"yyyy-mm-dd")))</f>
        <v/>
      </c>
      <c r="AB503">
        <f>AB502+IF($R503="",0,1)</f>
        <v/>
      </c>
      <c r="AC503">
        <f>IF($R503="","",$AB503)</f>
        <v/>
      </c>
    </row>
    <row r="504">
      <c r="A504">
        <f>IFERROR(INDEX($O$6:$O$1505,MATCH(499,$AC$6:$AC$1505,0)),"")</f>
        <v/>
      </c>
      <c r="B504">
        <f>IF(ISNUMBER($A504),INDEX($P$6:$P$1505,$A504-3),"")</f>
        <v/>
      </c>
      <c r="C504">
        <f>IF(ISNUMBER($A504),INDEX($Q$6:$Q$1505,$A504-3),"")</f>
        <v/>
      </c>
      <c r="D504">
        <f>IF(ISNUMBER($A504),INDEX($R$6:$R$1505,$A504-3),"")</f>
        <v/>
      </c>
      <c r="E504">
        <f>IF(ISNUMBER($A504),$G$2,"")</f>
        <v/>
      </c>
      <c r="F504">
        <f>IF(ISNUMBER($A504),INDEX($Z$6:$Z$1505,$A504-3),"")</f>
        <v/>
      </c>
      <c r="G504">
        <f>IF(ISNUMBER($A504),INDEX($AA$6:$AA$1505,$A504-3),"")</f>
        <v/>
      </c>
      <c r="H504">
        <f>IF(ISNUMBER($A504),INDEX($U$6:$U$1505,$A504-3),"")</f>
        <v/>
      </c>
      <c r="I504">
        <f>IF(ISNUMBER($A504),INDEX($V$6:$V$1505,$A504-3),"")</f>
        <v/>
      </c>
      <c r="J504">
        <f>IF(ISNUMBER($A504),INDEX($W$6:$W$1505,$A504-3),"")</f>
        <v/>
      </c>
      <c r="K504">
        <f>IF(ISNUMBER($A504),INDEX($X$6:$X$1505,$A504-3),"")</f>
        <v/>
      </c>
      <c r="L504">
        <f>IF(ISNUMBER($A504),INDEX($Y$6:$Y$1505,$A504-3),"")</f>
        <v/>
      </c>
      <c r="O504">
        <f>502</f>
        <v/>
      </c>
      <c r="P504">
        <f>IF(TRIM('입력_구리근무자명단'!$A502&amp;"")&lt;&gt;"",TRIM('입력_구리근무자명단'!$A502&amp;""),P503)</f>
        <v/>
      </c>
      <c r="Q504">
        <f>'입력_구리근무자명단'!$B502&amp;""</f>
        <v/>
      </c>
      <c r="R504">
        <f>IF($E$2="","",TRIM(INDEX('입력_구리근무자명단'!$A502:$ZZ502,1,$E$2+IF($G$2="확정",1,0))&amp;""))</f>
        <v/>
      </c>
      <c r="S504">
        <f>IF($R504="","",IF(INDEX('입력_구리근무자명단'!$A502:$ZZ502,1,$E$2+2)&amp;""="",급여기준월,IF(ISNUMBER(INDEX('입력_구리근무자명단'!$A502:$ZZ502,1,$E$2+2)),INDEX('입력_구리근무자명단'!$A502:$ZZ502,1,$E$2+2),IFERROR(DATE(VALUE(LEFT(INDEX('입력_구리근무자명단'!$A502:$ZZ502,1,$E$2+2),4)),VALUE(MID(INDEX('입력_구리근무자명단'!$A502:$ZZ502,1,$E$2+2),6,2)),VALUE(MID(INDEX('입력_구리근무자명단'!$A502:$ZZ502,1,$E$2+2),9,2))),-1))))</f>
        <v/>
      </c>
      <c r="T504">
        <f>IF($R504="","",IF(INDEX('입력_구리근무자명단'!$A502:$ZZ502,1,$E$2+3)&amp;""="",EOMONTH(급여기준월,0),IF(ISNUMBER(INDEX('입력_구리근무자명단'!$A502:$ZZ502,1,$E$2+3)),INDEX('입력_구리근무자명단'!$A502:$ZZ502,1,$E$2+3),IFERROR(DATE(VALUE(LEFT(INDEX('입력_구리근무자명단'!$A502:$ZZ502,1,$E$2+3),4)),VALUE(MID(INDEX('입력_구리근무자명단'!$A502:$ZZ502,1,$E$2+3),6,2)),VALUE(MID(INDEX('입력_구리근무자명단'!$A502:$ZZ502,1,$E$2+3),9,2))),-1))))</f>
        <v/>
      </c>
      <c r="U504">
        <f>IF($R504="","",IF(OR($S504&lt;0,$T504&lt;0),0,MAX(0,MIN($T504,EOMONTH(급여기준월,0))-MAX($S504,급여기준월)+1)))</f>
        <v/>
      </c>
      <c r="V504">
        <f>IF($R504="","",TRIM(INDEX('입력_구리근무자명단'!$A502:$ZZ502,1,$E$2+5)&amp;""))</f>
        <v/>
      </c>
      <c r="W504">
        <f>IF(ISNUMBER(SEARCH("구리독자",$V504)),"구리독자","")</f>
        <v/>
      </c>
      <c r="X504">
        <f>IF($R504="","",$R504&amp;"|"&amp;IF(OR($Q504="인턴",ISNUMBER(SEARCH("수련교육부",$P504))),"인턴",$P504))</f>
        <v/>
      </c>
      <c r="Y504">
        <f>IF($R504="","",IF(COUNTIF(명단표[이름|과],$X504)=1,"명단 일치",IF(AND(COUNTIF(명단표[이름|과],$X504)=0,COUNTIF(명단표[이름],$R504)=1),"명단 일치(이름만, 과 다름)",IF(COUNTIF(명단표[이름],$R504)=0,IF(COUNTIF(기본자료표[이름],$R504)&gt;0,"명단에 없음(기본자료에는 있음)","명단에 없음"),"동명이인 확인"))))</f>
        <v/>
      </c>
      <c r="Z504">
        <f>IF($R504="","",IF($S504&lt;0,"⚠"&amp;INDEX('입력_구리근무자명단'!$A502:$ZZ502,1,$E$2+2),TEXT($S504,"yyyy-mm-dd")))</f>
        <v/>
      </c>
      <c r="AA504">
        <f>IF($R504="","",IF($T504&lt;0,"⚠"&amp;INDEX('입력_구리근무자명단'!$A502:$ZZ502,1,$E$2+3),TEXT($T504,"yyyy-mm-dd")))</f>
        <v/>
      </c>
      <c r="AB504">
        <f>AB503+IF($R504="",0,1)</f>
        <v/>
      </c>
      <c r="AC504">
        <f>IF($R504="","",$AB504)</f>
        <v/>
      </c>
    </row>
    <row r="505">
      <c r="A505">
        <f>IFERROR(INDEX($O$6:$O$1505,MATCH(500,$AC$6:$AC$1505,0)),"")</f>
        <v/>
      </c>
      <c r="B505">
        <f>IF(ISNUMBER($A505),INDEX($P$6:$P$1505,$A505-3),"")</f>
        <v/>
      </c>
      <c r="C505">
        <f>IF(ISNUMBER($A505),INDEX($Q$6:$Q$1505,$A505-3),"")</f>
        <v/>
      </c>
      <c r="D505">
        <f>IF(ISNUMBER($A505),INDEX($R$6:$R$1505,$A505-3),"")</f>
        <v/>
      </c>
      <c r="E505">
        <f>IF(ISNUMBER($A505),$G$2,"")</f>
        <v/>
      </c>
      <c r="F505">
        <f>IF(ISNUMBER($A505),INDEX($Z$6:$Z$1505,$A505-3),"")</f>
        <v/>
      </c>
      <c r="G505">
        <f>IF(ISNUMBER($A505),INDEX($AA$6:$AA$1505,$A505-3),"")</f>
        <v/>
      </c>
      <c r="H505">
        <f>IF(ISNUMBER($A505),INDEX($U$6:$U$1505,$A505-3),"")</f>
        <v/>
      </c>
      <c r="I505">
        <f>IF(ISNUMBER($A505),INDEX($V$6:$V$1505,$A505-3),"")</f>
        <v/>
      </c>
      <c r="J505">
        <f>IF(ISNUMBER($A505),INDEX($W$6:$W$1505,$A505-3),"")</f>
        <v/>
      </c>
      <c r="K505">
        <f>IF(ISNUMBER($A505),INDEX($X$6:$X$1505,$A505-3),"")</f>
        <v/>
      </c>
      <c r="L505">
        <f>IF(ISNUMBER($A505),INDEX($Y$6:$Y$1505,$A505-3),"")</f>
        <v/>
      </c>
      <c r="O505">
        <f>503</f>
        <v/>
      </c>
      <c r="P505">
        <f>IF(TRIM('입력_구리근무자명단'!$A503&amp;"")&lt;&gt;"",TRIM('입력_구리근무자명단'!$A503&amp;""),P504)</f>
        <v/>
      </c>
      <c r="Q505">
        <f>'입력_구리근무자명단'!$B503&amp;""</f>
        <v/>
      </c>
      <c r="R505">
        <f>IF($E$2="","",TRIM(INDEX('입력_구리근무자명단'!$A503:$ZZ503,1,$E$2+IF($G$2="확정",1,0))&amp;""))</f>
        <v/>
      </c>
      <c r="S505">
        <f>IF($R505="","",IF(INDEX('입력_구리근무자명단'!$A503:$ZZ503,1,$E$2+2)&amp;""="",급여기준월,IF(ISNUMBER(INDEX('입력_구리근무자명단'!$A503:$ZZ503,1,$E$2+2)),INDEX('입력_구리근무자명단'!$A503:$ZZ503,1,$E$2+2),IFERROR(DATE(VALUE(LEFT(INDEX('입력_구리근무자명단'!$A503:$ZZ503,1,$E$2+2),4)),VALUE(MID(INDEX('입력_구리근무자명단'!$A503:$ZZ503,1,$E$2+2),6,2)),VALUE(MID(INDEX('입력_구리근무자명단'!$A503:$ZZ503,1,$E$2+2),9,2))),-1))))</f>
        <v/>
      </c>
      <c r="T505">
        <f>IF($R505="","",IF(INDEX('입력_구리근무자명단'!$A503:$ZZ503,1,$E$2+3)&amp;""="",EOMONTH(급여기준월,0),IF(ISNUMBER(INDEX('입력_구리근무자명단'!$A503:$ZZ503,1,$E$2+3)),INDEX('입력_구리근무자명단'!$A503:$ZZ503,1,$E$2+3),IFERROR(DATE(VALUE(LEFT(INDEX('입력_구리근무자명단'!$A503:$ZZ503,1,$E$2+3),4)),VALUE(MID(INDEX('입력_구리근무자명단'!$A503:$ZZ503,1,$E$2+3),6,2)),VALUE(MID(INDEX('입력_구리근무자명단'!$A503:$ZZ503,1,$E$2+3),9,2))),-1))))</f>
        <v/>
      </c>
      <c r="U505">
        <f>IF($R505="","",IF(OR($S505&lt;0,$T505&lt;0),0,MAX(0,MIN($T505,EOMONTH(급여기준월,0))-MAX($S505,급여기준월)+1)))</f>
        <v/>
      </c>
      <c r="V505">
        <f>IF($R505="","",TRIM(INDEX('입력_구리근무자명단'!$A503:$ZZ503,1,$E$2+5)&amp;""))</f>
        <v/>
      </c>
      <c r="W505">
        <f>IF(ISNUMBER(SEARCH("구리독자",$V505)),"구리독자","")</f>
        <v/>
      </c>
      <c r="X505">
        <f>IF($R505="","",$R505&amp;"|"&amp;IF(OR($Q505="인턴",ISNUMBER(SEARCH("수련교육부",$P505))),"인턴",$P505))</f>
        <v/>
      </c>
      <c r="Y505">
        <f>IF($R505="","",IF(COUNTIF(명단표[이름|과],$X505)=1,"명단 일치",IF(AND(COUNTIF(명단표[이름|과],$X505)=0,COUNTIF(명단표[이름],$R505)=1),"명단 일치(이름만, 과 다름)",IF(COUNTIF(명단표[이름],$R505)=0,IF(COUNTIF(기본자료표[이름],$R505)&gt;0,"명단에 없음(기본자료에는 있음)","명단에 없음"),"동명이인 확인"))))</f>
        <v/>
      </c>
      <c r="Z505">
        <f>IF($R505="","",IF($S505&lt;0,"⚠"&amp;INDEX('입력_구리근무자명단'!$A503:$ZZ503,1,$E$2+2),TEXT($S505,"yyyy-mm-dd")))</f>
        <v/>
      </c>
      <c r="AA505">
        <f>IF($R505="","",IF($T505&lt;0,"⚠"&amp;INDEX('입력_구리근무자명단'!$A503:$ZZ503,1,$E$2+3),TEXT($T505,"yyyy-mm-dd")))</f>
        <v/>
      </c>
      <c r="AB505">
        <f>AB504+IF($R505="",0,1)</f>
        <v/>
      </c>
      <c r="AC505">
        <f>IF($R505="","",$AB505)</f>
        <v/>
      </c>
    </row>
    <row r="506">
      <c r="O506">
        <f>504</f>
        <v/>
      </c>
      <c r="P506">
        <f>IF(TRIM('입력_구리근무자명단'!$A504&amp;"")&lt;&gt;"",TRIM('입력_구리근무자명단'!$A504&amp;""),P505)</f>
        <v/>
      </c>
      <c r="Q506">
        <f>'입력_구리근무자명단'!$B504&amp;""</f>
        <v/>
      </c>
      <c r="R506">
        <f>IF($E$2="","",TRIM(INDEX('입력_구리근무자명단'!$A504:$ZZ504,1,$E$2+IF($G$2="확정",1,0))&amp;""))</f>
        <v/>
      </c>
      <c r="S506">
        <f>IF($R506="","",IF(INDEX('입력_구리근무자명단'!$A504:$ZZ504,1,$E$2+2)&amp;""="",급여기준월,IF(ISNUMBER(INDEX('입력_구리근무자명단'!$A504:$ZZ504,1,$E$2+2)),INDEX('입력_구리근무자명단'!$A504:$ZZ504,1,$E$2+2),IFERROR(DATE(VALUE(LEFT(INDEX('입력_구리근무자명단'!$A504:$ZZ504,1,$E$2+2),4)),VALUE(MID(INDEX('입력_구리근무자명단'!$A504:$ZZ504,1,$E$2+2),6,2)),VALUE(MID(INDEX('입력_구리근무자명단'!$A504:$ZZ504,1,$E$2+2),9,2))),-1))))</f>
        <v/>
      </c>
      <c r="T506">
        <f>IF($R506="","",IF(INDEX('입력_구리근무자명단'!$A504:$ZZ504,1,$E$2+3)&amp;""="",EOMONTH(급여기준월,0),IF(ISNUMBER(INDEX('입력_구리근무자명단'!$A504:$ZZ504,1,$E$2+3)),INDEX('입력_구리근무자명단'!$A504:$ZZ504,1,$E$2+3),IFERROR(DATE(VALUE(LEFT(INDEX('입력_구리근무자명단'!$A504:$ZZ504,1,$E$2+3),4)),VALUE(MID(INDEX('입력_구리근무자명단'!$A504:$ZZ504,1,$E$2+3),6,2)),VALUE(MID(INDEX('입력_구리근무자명단'!$A504:$ZZ504,1,$E$2+3),9,2))),-1))))</f>
        <v/>
      </c>
      <c r="U506">
        <f>IF($R506="","",IF(OR($S506&lt;0,$T506&lt;0),0,MAX(0,MIN($T506,EOMONTH(급여기준월,0))-MAX($S506,급여기준월)+1)))</f>
        <v/>
      </c>
      <c r="V506">
        <f>IF($R506="","",TRIM(INDEX('입력_구리근무자명단'!$A504:$ZZ504,1,$E$2+5)&amp;""))</f>
        <v/>
      </c>
      <c r="W506">
        <f>IF(ISNUMBER(SEARCH("구리독자",$V506)),"구리독자","")</f>
        <v/>
      </c>
      <c r="X506">
        <f>IF($R506="","",$R506&amp;"|"&amp;IF(OR($Q506="인턴",ISNUMBER(SEARCH("수련교육부",$P506))),"인턴",$P506))</f>
        <v/>
      </c>
      <c r="Y506">
        <f>IF($R506="","",IF(COUNTIF(명단표[이름|과],$X506)=1,"명단 일치",IF(AND(COUNTIF(명단표[이름|과],$X506)=0,COUNTIF(명단표[이름],$R506)=1),"명단 일치(이름만, 과 다름)",IF(COUNTIF(명단표[이름],$R506)=0,IF(COUNTIF(기본자료표[이름],$R506)&gt;0,"명단에 없음(기본자료에는 있음)","명단에 없음"),"동명이인 확인"))))</f>
        <v/>
      </c>
      <c r="Z506">
        <f>IF($R506="","",IF($S506&lt;0,"⚠"&amp;INDEX('입력_구리근무자명단'!$A504:$ZZ504,1,$E$2+2),TEXT($S506,"yyyy-mm-dd")))</f>
        <v/>
      </c>
      <c r="AA506">
        <f>IF($R506="","",IF($T506&lt;0,"⚠"&amp;INDEX('입력_구리근무자명단'!$A504:$ZZ504,1,$E$2+3),TEXT($T506,"yyyy-mm-dd")))</f>
        <v/>
      </c>
      <c r="AB506">
        <f>AB505+IF($R506="",0,1)</f>
        <v/>
      </c>
      <c r="AC506">
        <f>IF($R506="","",$AB506)</f>
        <v/>
      </c>
    </row>
    <row r="507">
      <c r="O507">
        <f>505</f>
        <v/>
      </c>
      <c r="P507">
        <f>IF(TRIM('입력_구리근무자명단'!$A505&amp;"")&lt;&gt;"",TRIM('입력_구리근무자명단'!$A505&amp;""),P506)</f>
        <v/>
      </c>
      <c r="Q507">
        <f>'입력_구리근무자명단'!$B505&amp;""</f>
        <v/>
      </c>
      <c r="R507">
        <f>IF($E$2="","",TRIM(INDEX('입력_구리근무자명단'!$A505:$ZZ505,1,$E$2+IF($G$2="확정",1,0))&amp;""))</f>
        <v/>
      </c>
      <c r="S507">
        <f>IF($R507="","",IF(INDEX('입력_구리근무자명단'!$A505:$ZZ505,1,$E$2+2)&amp;""="",급여기준월,IF(ISNUMBER(INDEX('입력_구리근무자명단'!$A505:$ZZ505,1,$E$2+2)),INDEX('입력_구리근무자명단'!$A505:$ZZ505,1,$E$2+2),IFERROR(DATE(VALUE(LEFT(INDEX('입력_구리근무자명단'!$A505:$ZZ505,1,$E$2+2),4)),VALUE(MID(INDEX('입력_구리근무자명단'!$A505:$ZZ505,1,$E$2+2),6,2)),VALUE(MID(INDEX('입력_구리근무자명단'!$A505:$ZZ505,1,$E$2+2),9,2))),-1))))</f>
        <v/>
      </c>
      <c r="T507">
        <f>IF($R507="","",IF(INDEX('입력_구리근무자명단'!$A505:$ZZ505,1,$E$2+3)&amp;""="",EOMONTH(급여기준월,0),IF(ISNUMBER(INDEX('입력_구리근무자명단'!$A505:$ZZ505,1,$E$2+3)),INDEX('입력_구리근무자명단'!$A505:$ZZ505,1,$E$2+3),IFERROR(DATE(VALUE(LEFT(INDEX('입력_구리근무자명단'!$A505:$ZZ505,1,$E$2+3),4)),VALUE(MID(INDEX('입력_구리근무자명단'!$A505:$ZZ505,1,$E$2+3),6,2)),VALUE(MID(INDEX('입력_구리근무자명단'!$A505:$ZZ505,1,$E$2+3),9,2))),-1))))</f>
        <v/>
      </c>
      <c r="U507">
        <f>IF($R507="","",IF(OR($S507&lt;0,$T507&lt;0),0,MAX(0,MIN($T507,EOMONTH(급여기준월,0))-MAX($S507,급여기준월)+1)))</f>
        <v/>
      </c>
      <c r="V507">
        <f>IF($R507="","",TRIM(INDEX('입력_구리근무자명단'!$A505:$ZZ505,1,$E$2+5)&amp;""))</f>
        <v/>
      </c>
      <c r="W507">
        <f>IF(ISNUMBER(SEARCH("구리독자",$V507)),"구리독자","")</f>
        <v/>
      </c>
      <c r="X507">
        <f>IF($R507="","",$R507&amp;"|"&amp;IF(OR($Q507="인턴",ISNUMBER(SEARCH("수련교육부",$P507))),"인턴",$P507))</f>
        <v/>
      </c>
      <c r="Y507">
        <f>IF($R507="","",IF(COUNTIF(명단표[이름|과],$X507)=1,"명단 일치",IF(AND(COUNTIF(명단표[이름|과],$X507)=0,COUNTIF(명단표[이름],$R507)=1),"명단 일치(이름만, 과 다름)",IF(COUNTIF(명단표[이름],$R507)=0,IF(COUNTIF(기본자료표[이름],$R507)&gt;0,"명단에 없음(기본자료에는 있음)","명단에 없음"),"동명이인 확인"))))</f>
        <v/>
      </c>
      <c r="Z507">
        <f>IF($R507="","",IF($S507&lt;0,"⚠"&amp;INDEX('입력_구리근무자명단'!$A505:$ZZ505,1,$E$2+2),TEXT($S507,"yyyy-mm-dd")))</f>
        <v/>
      </c>
      <c r="AA507">
        <f>IF($R507="","",IF($T507&lt;0,"⚠"&amp;INDEX('입력_구리근무자명단'!$A505:$ZZ505,1,$E$2+3),TEXT($T507,"yyyy-mm-dd")))</f>
        <v/>
      </c>
      <c r="AB507">
        <f>AB506+IF($R507="",0,1)</f>
        <v/>
      </c>
      <c r="AC507">
        <f>IF($R507="","",$AB507)</f>
        <v/>
      </c>
    </row>
    <row r="508">
      <c r="O508">
        <f>506</f>
        <v/>
      </c>
      <c r="P508">
        <f>IF(TRIM('입력_구리근무자명단'!$A506&amp;"")&lt;&gt;"",TRIM('입력_구리근무자명단'!$A506&amp;""),P507)</f>
        <v/>
      </c>
      <c r="Q508">
        <f>'입력_구리근무자명단'!$B506&amp;""</f>
        <v/>
      </c>
      <c r="R508">
        <f>IF($E$2="","",TRIM(INDEX('입력_구리근무자명단'!$A506:$ZZ506,1,$E$2+IF($G$2="확정",1,0))&amp;""))</f>
        <v/>
      </c>
      <c r="S508">
        <f>IF($R508="","",IF(INDEX('입력_구리근무자명단'!$A506:$ZZ506,1,$E$2+2)&amp;""="",급여기준월,IF(ISNUMBER(INDEX('입력_구리근무자명단'!$A506:$ZZ506,1,$E$2+2)),INDEX('입력_구리근무자명단'!$A506:$ZZ506,1,$E$2+2),IFERROR(DATE(VALUE(LEFT(INDEX('입력_구리근무자명단'!$A506:$ZZ506,1,$E$2+2),4)),VALUE(MID(INDEX('입력_구리근무자명단'!$A506:$ZZ506,1,$E$2+2),6,2)),VALUE(MID(INDEX('입력_구리근무자명단'!$A506:$ZZ506,1,$E$2+2),9,2))),-1))))</f>
        <v/>
      </c>
      <c r="T508">
        <f>IF($R508="","",IF(INDEX('입력_구리근무자명단'!$A506:$ZZ506,1,$E$2+3)&amp;""="",EOMONTH(급여기준월,0),IF(ISNUMBER(INDEX('입력_구리근무자명단'!$A506:$ZZ506,1,$E$2+3)),INDEX('입력_구리근무자명단'!$A506:$ZZ506,1,$E$2+3),IFERROR(DATE(VALUE(LEFT(INDEX('입력_구리근무자명단'!$A506:$ZZ506,1,$E$2+3),4)),VALUE(MID(INDEX('입력_구리근무자명단'!$A506:$ZZ506,1,$E$2+3),6,2)),VALUE(MID(INDEX('입력_구리근무자명단'!$A506:$ZZ506,1,$E$2+3),9,2))),-1))))</f>
        <v/>
      </c>
      <c r="U508">
        <f>IF($R508="","",IF(OR($S508&lt;0,$T508&lt;0),0,MAX(0,MIN($T508,EOMONTH(급여기준월,0))-MAX($S508,급여기준월)+1)))</f>
        <v/>
      </c>
      <c r="V508">
        <f>IF($R508="","",TRIM(INDEX('입력_구리근무자명단'!$A506:$ZZ506,1,$E$2+5)&amp;""))</f>
        <v/>
      </c>
      <c r="W508">
        <f>IF(ISNUMBER(SEARCH("구리독자",$V508)),"구리독자","")</f>
        <v/>
      </c>
      <c r="X508">
        <f>IF($R508="","",$R508&amp;"|"&amp;IF(OR($Q508="인턴",ISNUMBER(SEARCH("수련교육부",$P508))),"인턴",$P508))</f>
        <v/>
      </c>
      <c r="Y508">
        <f>IF($R508="","",IF(COUNTIF(명단표[이름|과],$X508)=1,"명단 일치",IF(AND(COUNTIF(명단표[이름|과],$X508)=0,COUNTIF(명단표[이름],$R508)=1),"명단 일치(이름만, 과 다름)",IF(COUNTIF(명단표[이름],$R508)=0,IF(COUNTIF(기본자료표[이름],$R508)&gt;0,"명단에 없음(기본자료에는 있음)","명단에 없음"),"동명이인 확인"))))</f>
        <v/>
      </c>
      <c r="Z508">
        <f>IF($R508="","",IF($S508&lt;0,"⚠"&amp;INDEX('입력_구리근무자명단'!$A506:$ZZ506,1,$E$2+2),TEXT($S508,"yyyy-mm-dd")))</f>
        <v/>
      </c>
      <c r="AA508">
        <f>IF($R508="","",IF($T508&lt;0,"⚠"&amp;INDEX('입력_구리근무자명단'!$A506:$ZZ506,1,$E$2+3),TEXT($T508,"yyyy-mm-dd")))</f>
        <v/>
      </c>
      <c r="AB508">
        <f>AB507+IF($R508="",0,1)</f>
        <v/>
      </c>
      <c r="AC508">
        <f>IF($R508="","",$AB508)</f>
        <v/>
      </c>
    </row>
    <row r="509">
      <c r="O509">
        <f>507</f>
        <v/>
      </c>
      <c r="P509">
        <f>IF(TRIM('입력_구리근무자명단'!$A507&amp;"")&lt;&gt;"",TRIM('입력_구리근무자명단'!$A507&amp;""),P508)</f>
        <v/>
      </c>
      <c r="Q509">
        <f>'입력_구리근무자명단'!$B507&amp;""</f>
        <v/>
      </c>
      <c r="R509">
        <f>IF($E$2="","",TRIM(INDEX('입력_구리근무자명단'!$A507:$ZZ507,1,$E$2+IF($G$2="확정",1,0))&amp;""))</f>
        <v/>
      </c>
      <c r="S509">
        <f>IF($R509="","",IF(INDEX('입력_구리근무자명단'!$A507:$ZZ507,1,$E$2+2)&amp;""="",급여기준월,IF(ISNUMBER(INDEX('입력_구리근무자명단'!$A507:$ZZ507,1,$E$2+2)),INDEX('입력_구리근무자명단'!$A507:$ZZ507,1,$E$2+2),IFERROR(DATE(VALUE(LEFT(INDEX('입력_구리근무자명단'!$A507:$ZZ507,1,$E$2+2),4)),VALUE(MID(INDEX('입력_구리근무자명단'!$A507:$ZZ507,1,$E$2+2),6,2)),VALUE(MID(INDEX('입력_구리근무자명단'!$A507:$ZZ507,1,$E$2+2),9,2))),-1))))</f>
        <v/>
      </c>
      <c r="T509">
        <f>IF($R509="","",IF(INDEX('입력_구리근무자명단'!$A507:$ZZ507,1,$E$2+3)&amp;""="",EOMONTH(급여기준월,0),IF(ISNUMBER(INDEX('입력_구리근무자명단'!$A507:$ZZ507,1,$E$2+3)),INDEX('입력_구리근무자명단'!$A507:$ZZ507,1,$E$2+3),IFERROR(DATE(VALUE(LEFT(INDEX('입력_구리근무자명단'!$A507:$ZZ507,1,$E$2+3),4)),VALUE(MID(INDEX('입력_구리근무자명단'!$A507:$ZZ507,1,$E$2+3),6,2)),VALUE(MID(INDEX('입력_구리근무자명단'!$A507:$ZZ507,1,$E$2+3),9,2))),-1))))</f>
        <v/>
      </c>
      <c r="U509">
        <f>IF($R509="","",IF(OR($S509&lt;0,$T509&lt;0),0,MAX(0,MIN($T509,EOMONTH(급여기준월,0))-MAX($S509,급여기준월)+1)))</f>
        <v/>
      </c>
      <c r="V509">
        <f>IF($R509="","",TRIM(INDEX('입력_구리근무자명단'!$A507:$ZZ507,1,$E$2+5)&amp;""))</f>
        <v/>
      </c>
      <c r="W509">
        <f>IF(ISNUMBER(SEARCH("구리독자",$V509)),"구리독자","")</f>
        <v/>
      </c>
      <c r="X509">
        <f>IF($R509="","",$R509&amp;"|"&amp;IF(OR($Q509="인턴",ISNUMBER(SEARCH("수련교육부",$P509))),"인턴",$P509))</f>
        <v/>
      </c>
      <c r="Y509">
        <f>IF($R509="","",IF(COUNTIF(명단표[이름|과],$X509)=1,"명단 일치",IF(AND(COUNTIF(명단표[이름|과],$X509)=0,COUNTIF(명단표[이름],$R509)=1),"명단 일치(이름만, 과 다름)",IF(COUNTIF(명단표[이름],$R509)=0,IF(COUNTIF(기본자료표[이름],$R509)&gt;0,"명단에 없음(기본자료에는 있음)","명단에 없음"),"동명이인 확인"))))</f>
        <v/>
      </c>
      <c r="Z509">
        <f>IF($R509="","",IF($S509&lt;0,"⚠"&amp;INDEX('입력_구리근무자명단'!$A507:$ZZ507,1,$E$2+2),TEXT($S509,"yyyy-mm-dd")))</f>
        <v/>
      </c>
      <c r="AA509">
        <f>IF($R509="","",IF($T509&lt;0,"⚠"&amp;INDEX('입력_구리근무자명단'!$A507:$ZZ507,1,$E$2+3),TEXT($T509,"yyyy-mm-dd")))</f>
        <v/>
      </c>
      <c r="AB509">
        <f>AB508+IF($R509="",0,1)</f>
        <v/>
      </c>
      <c r="AC509">
        <f>IF($R509="","",$AB509)</f>
        <v/>
      </c>
    </row>
    <row r="510">
      <c r="O510">
        <f>508</f>
        <v/>
      </c>
      <c r="P510">
        <f>IF(TRIM('입력_구리근무자명단'!$A508&amp;"")&lt;&gt;"",TRIM('입력_구리근무자명단'!$A508&amp;""),P509)</f>
        <v/>
      </c>
      <c r="Q510">
        <f>'입력_구리근무자명단'!$B508&amp;""</f>
        <v/>
      </c>
      <c r="R510">
        <f>IF($E$2="","",TRIM(INDEX('입력_구리근무자명단'!$A508:$ZZ508,1,$E$2+IF($G$2="확정",1,0))&amp;""))</f>
        <v/>
      </c>
      <c r="S510">
        <f>IF($R510="","",IF(INDEX('입력_구리근무자명단'!$A508:$ZZ508,1,$E$2+2)&amp;""="",급여기준월,IF(ISNUMBER(INDEX('입력_구리근무자명단'!$A508:$ZZ508,1,$E$2+2)),INDEX('입력_구리근무자명단'!$A508:$ZZ508,1,$E$2+2),IFERROR(DATE(VALUE(LEFT(INDEX('입력_구리근무자명단'!$A508:$ZZ508,1,$E$2+2),4)),VALUE(MID(INDEX('입력_구리근무자명단'!$A508:$ZZ508,1,$E$2+2),6,2)),VALUE(MID(INDEX('입력_구리근무자명단'!$A508:$ZZ508,1,$E$2+2),9,2))),-1))))</f>
        <v/>
      </c>
      <c r="T510">
        <f>IF($R510="","",IF(INDEX('입력_구리근무자명단'!$A508:$ZZ508,1,$E$2+3)&amp;""="",EOMONTH(급여기준월,0),IF(ISNUMBER(INDEX('입력_구리근무자명단'!$A508:$ZZ508,1,$E$2+3)),INDEX('입력_구리근무자명단'!$A508:$ZZ508,1,$E$2+3),IFERROR(DATE(VALUE(LEFT(INDEX('입력_구리근무자명단'!$A508:$ZZ508,1,$E$2+3),4)),VALUE(MID(INDEX('입력_구리근무자명단'!$A508:$ZZ508,1,$E$2+3),6,2)),VALUE(MID(INDEX('입력_구리근무자명단'!$A508:$ZZ508,1,$E$2+3),9,2))),-1))))</f>
        <v/>
      </c>
      <c r="U510">
        <f>IF($R510="","",IF(OR($S510&lt;0,$T510&lt;0),0,MAX(0,MIN($T510,EOMONTH(급여기준월,0))-MAX($S510,급여기준월)+1)))</f>
        <v/>
      </c>
      <c r="V510">
        <f>IF($R510="","",TRIM(INDEX('입력_구리근무자명단'!$A508:$ZZ508,1,$E$2+5)&amp;""))</f>
        <v/>
      </c>
      <c r="W510">
        <f>IF(ISNUMBER(SEARCH("구리독자",$V510)),"구리독자","")</f>
        <v/>
      </c>
      <c r="X510">
        <f>IF($R510="","",$R510&amp;"|"&amp;IF(OR($Q510="인턴",ISNUMBER(SEARCH("수련교육부",$P510))),"인턴",$P510))</f>
        <v/>
      </c>
      <c r="Y510">
        <f>IF($R510="","",IF(COUNTIF(명단표[이름|과],$X510)=1,"명단 일치",IF(AND(COUNTIF(명단표[이름|과],$X510)=0,COUNTIF(명단표[이름],$R510)=1),"명단 일치(이름만, 과 다름)",IF(COUNTIF(명단표[이름],$R510)=0,IF(COUNTIF(기본자료표[이름],$R510)&gt;0,"명단에 없음(기본자료에는 있음)","명단에 없음"),"동명이인 확인"))))</f>
        <v/>
      </c>
      <c r="Z510">
        <f>IF($R510="","",IF($S510&lt;0,"⚠"&amp;INDEX('입력_구리근무자명단'!$A508:$ZZ508,1,$E$2+2),TEXT($S510,"yyyy-mm-dd")))</f>
        <v/>
      </c>
      <c r="AA510">
        <f>IF($R510="","",IF($T510&lt;0,"⚠"&amp;INDEX('입력_구리근무자명단'!$A508:$ZZ508,1,$E$2+3),TEXT($T510,"yyyy-mm-dd")))</f>
        <v/>
      </c>
      <c r="AB510">
        <f>AB509+IF($R510="",0,1)</f>
        <v/>
      </c>
      <c r="AC510">
        <f>IF($R510="","",$AB510)</f>
        <v/>
      </c>
    </row>
    <row r="511">
      <c r="O511">
        <f>509</f>
        <v/>
      </c>
      <c r="P511">
        <f>IF(TRIM('입력_구리근무자명단'!$A509&amp;"")&lt;&gt;"",TRIM('입력_구리근무자명단'!$A509&amp;""),P510)</f>
        <v/>
      </c>
      <c r="Q511">
        <f>'입력_구리근무자명단'!$B509&amp;""</f>
        <v/>
      </c>
      <c r="R511">
        <f>IF($E$2="","",TRIM(INDEX('입력_구리근무자명단'!$A509:$ZZ509,1,$E$2+IF($G$2="확정",1,0))&amp;""))</f>
        <v/>
      </c>
      <c r="S511">
        <f>IF($R511="","",IF(INDEX('입력_구리근무자명단'!$A509:$ZZ509,1,$E$2+2)&amp;""="",급여기준월,IF(ISNUMBER(INDEX('입력_구리근무자명단'!$A509:$ZZ509,1,$E$2+2)),INDEX('입력_구리근무자명단'!$A509:$ZZ509,1,$E$2+2),IFERROR(DATE(VALUE(LEFT(INDEX('입력_구리근무자명단'!$A509:$ZZ509,1,$E$2+2),4)),VALUE(MID(INDEX('입력_구리근무자명단'!$A509:$ZZ509,1,$E$2+2),6,2)),VALUE(MID(INDEX('입력_구리근무자명단'!$A509:$ZZ509,1,$E$2+2),9,2))),-1))))</f>
        <v/>
      </c>
      <c r="T511">
        <f>IF($R511="","",IF(INDEX('입력_구리근무자명단'!$A509:$ZZ509,1,$E$2+3)&amp;""="",EOMONTH(급여기준월,0),IF(ISNUMBER(INDEX('입력_구리근무자명단'!$A509:$ZZ509,1,$E$2+3)),INDEX('입력_구리근무자명단'!$A509:$ZZ509,1,$E$2+3),IFERROR(DATE(VALUE(LEFT(INDEX('입력_구리근무자명단'!$A509:$ZZ509,1,$E$2+3),4)),VALUE(MID(INDEX('입력_구리근무자명단'!$A509:$ZZ509,1,$E$2+3),6,2)),VALUE(MID(INDEX('입력_구리근무자명단'!$A509:$ZZ509,1,$E$2+3),9,2))),-1))))</f>
        <v/>
      </c>
      <c r="U511">
        <f>IF($R511="","",IF(OR($S511&lt;0,$T511&lt;0),0,MAX(0,MIN($T511,EOMONTH(급여기준월,0))-MAX($S511,급여기준월)+1)))</f>
        <v/>
      </c>
      <c r="V511">
        <f>IF($R511="","",TRIM(INDEX('입력_구리근무자명단'!$A509:$ZZ509,1,$E$2+5)&amp;""))</f>
        <v/>
      </c>
      <c r="W511">
        <f>IF(ISNUMBER(SEARCH("구리독자",$V511)),"구리독자","")</f>
        <v/>
      </c>
      <c r="X511">
        <f>IF($R511="","",$R511&amp;"|"&amp;IF(OR($Q511="인턴",ISNUMBER(SEARCH("수련교육부",$P511))),"인턴",$P511))</f>
        <v/>
      </c>
      <c r="Y511">
        <f>IF($R511="","",IF(COUNTIF(명단표[이름|과],$X511)=1,"명단 일치",IF(AND(COUNTIF(명단표[이름|과],$X511)=0,COUNTIF(명단표[이름],$R511)=1),"명단 일치(이름만, 과 다름)",IF(COUNTIF(명단표[이름],$R511)=0,IF(COUNTIF(기본자료표[이름],$R511)&gt;0,"명단에 없음(기본자료에는 있음)","명단에 없음"),"동명이인 확인"))))</f>
        <v/>
      </c>
      <c r="Z511">
        <f>IF($R511="","",IF($S511&lt;0,"⚠"&amp;INDEX('입력_구리근무자명단'!$A509:$ZZ509,1,$E$2+2),TEXT($S511,"yyyy-mm-dd")))</f>
        <v/>
      </c>
      <c r="AA511">
        <f>IF($R511="","",IF($T511&lt;0,"⚠"&amp;INDEX('입력_구리근무자명단'!$A509:$ZZ509,1,$E$2+3),TEXT($T511,"yyyy-mm-dd")))</f>
        <v/>
      </c>
      <c r="AB511">
        <f>AB510+IF($R511="",0,1)</f>
        <v/>
      </c>
      <c r="AC511">
        <f>IF($R511="","",$AB511)</f>
        <v/>
      </c>
    </row>
    <row r="512">
      <c r="O512">
        <f>510</f>
        <v/>
      </c>
      <c r="P512">
        <f>IF(TRIM('입력_구리근무자명단'!$A510&amp;"")&lt;&gt;"",TRIM('입력_구리근무자명단'!$A510&amp;""),P511)</f>
        <v/>
      </c>
      <c r="Q512">
        <f>'입력_구리근무자명단'!$B510&amp;""</f>
        <v/>
      </c>
      <c r="R512">
        <f>IF($E$2="","",TRIM(INDEX('입력_구리근무자명단'!$A510:$ZZ510,1,$E$2+IF($G$2="확정",1,0))&amp;""))</f>
        <v/>
      </c>
      <c r="S512">
        <f>IF($R512="","",IF(INDEX('입력_구리근무자명단'!$A510:$ZZ510,1,$E$2+2)&amp;""="",급여기준월,IF(ISNUMBER(INDEX('입력_구리근무자명단'!$A510:$ZZ510,1,$E$2+2)),INDEX('입력_구리근무자명단'!$A510:$ZZ510,1,$E$2+2),IFERROR(DATE(VALUE(LEFT(INDEX('입력_구리근무자명단'!$A510:$ZZ510,1,$E$2+2),4)),VALUE(MID(INDEX('입력_구리근무자명단'!$A510:$ZZ510,1,$E$2+2),6,2)),VALUE(MID(INDEX('입력_구리근무자명단'!$A510:$ZZ510,1,$E$2+2),9,2))),-1))))</f>
        <v/>
      </c>
      <c r="T512">
        <f>IF($R512="","",IF(INDEX('입력_구리근무자명단'!$A510:$ZZ510,1,$E$2+3)&amp;""="",EOMONTH(급여기준월,0),IF(ISNUMBER(INDEX('입력_구리근무자명단'!$A510:$ZZ510,1,$E$2+3)),INDEX('입력_구리근무자명단'!$A510:$ZZ510,1,$E$2+3),IFERROR(DATE(VALUE(LEFT(INDEX('입력_구리근무자명단'!$A510:$ZZ510,1,$E$2+3),4)),VALUE(MID(INDEX('입력_구리근무자명단'!$A510:$ZZ510,1,$E$2+3),6,2)),VALUE(MID(INDEX('입력_구리근무자명단'!$A510:$ZZ510,1,$E$2+3),9,2))),-1))))</f>
        <v/>
      </c>
      <c r="U512">
        <f>IF($R512="","",IF(OR($S512&lt;0,$T512&lt;0),0,MAX(0,MIN($T512,EOMONTH(급여기준월,0))-MAX($S512,급여기준월)+1)))</f>
        <v/>
      </c>
      <c r="V512">
        <f>IF($R512="","",TRIM(INDEX('입력_구리근무자명단'!$A510:$ZZ510,1,$E$2+5)&amp;""))</f>
        <v/>
      </c>
      <c r="W512">
        <f>IF(ISNUMBER(SEARCH("구리독자",$V512)),"구리독자","")</f>
        <v/>
      </c>
      <c r="X512">
        <f>IF($R512="","",$R512&amp;"|"&amp;IF(OR($Q512="인턴",ISNUMBER(SEARCH("수련교육부",$P512))),"인턴",$P512))</f>
        <v/>
      </c>
      <c r="Y512">
        <f>IF($R512="","",IF(COUNTIF(명단표[이름|과],$X512)=1,"명단 일치",IF(AND(COUNTIF(명단표[이름|과],$X512)=0,COUNTIF(명단표[이름],$R512)=1),"명단 일치(이름만, 과 다름)",IF(COUNTIF(명단표[이름],$R512)=0,IF(COUNTIF(기본자료표[이름],$R512)&gt;0,"명단에 없음(기본자료에는 있음)","명단에 없음"),"동명이인 확인"))))</f>
        <v/>
      </c>
      <c r="Z512">
        <f>IF($R512="","",IF($S512&lt;0,"⚠"&amp;INDEX('입력_구리근무자명단'!$A510:$ZZ510,1,$E$2+2),TEXT($S512,"yyyy-mm-dd")))</f>
        <v/>
      </c>
      <c r="AA512">
        <f>IF($R512="","",IF($T512&lt;0,"⚠"&amp;INDEX('입력_구리근무자명단'!$A510:$ZZ510,1,$E$2+3),TEXT($T512,"yyyy-mm-dd")))</f>
        <v/>
      </c>
      <c r="AB512">
        <f>AB511+IF($R512="",0,1)</f>
        <v/>
      </c>
      <c r="AC512">
        <f>IF($R512="","",$AB512)</f>
        <v/>
      </c>
    </row>
    <row r="513">
      <c r="O513">
        <f>511</f>
        <v/>
      </c>
      <c r="P513">
        <f>IF(TRIM('입력_구리근무자명단'!$A511&amp;"")&lt;&gt;"",TRIM('입력_구리근무자명단'!$A511&amp;""),P512)</f>
        <v/>
      </c>
      <c r="Q513">
        <f>'입력_구리근무자명단'!$B511&amp;""</f>
        <v/>
      </c>
      <c r="R513">
        <f>IF($E$2="","",TRIM(INDEX('입력_구리근무자명단'!$A511:$ZZ511,1,$E$2+IF($G$2="확정",1,0))&amp;""))</f>
        <v/>
      </c>
      <c r="S513">
        <f>IF($R513="","",IF(INDEX('입력_구리근무자명단'!$A511:$ZZ511,1,$E$2+2)&amp;""="",급여기준월,IF(ISNUMBER(INDEX('입력_구리근무자명단'!$A511:$ZZ511,1,$E$2+2)),INDEX('입력_구리근무자명단'!$A511:$ZZ511,1,$E$2+2),IFERROR(DATE(VALUE(LEFT(INDEX('입력_구리근무자명단'!$A511:$ZZ511,1,$E$2+2),4)),VALUE(MID(INDEX('입력_구리근무자명단'!$A511:$ZZ511,1,$E$2+2),6,2)),VALUE(MID(INDEX('입력_구리근무자명단'!$A511:$ZZ511,1,$E$2+2),9,2))),-1))))</f>
        <v/>
      </c>
      <c r="T513">
        <f>IF($R513="","",IF(INDEX('입력_구리근무자명단'!$A511:$ZZ511,1,$E$2+3)&amp;""="",EOMONTH(급여기준월,0),IF(ISNUMBER(INDEX('입력_구리근무자명단'!$A511:$ZZ511,1,$E$2+3)),INDEX('입력_구리근무자명단'!$A511:$ZZ511,1,$E$2+3),IFERROR(DATE(VALUE(LEFT(INDEX('입력_구리근무자명단'!$A511:$ZZ511,1,$E$2+3),4)),VALUE(MID(INDEX('입력_구리근무자명단'!$A511:$ZZ511,1,$E$2+3),6,2)),VALUE(MID(INDEX('입력_구리근무자명단'!$A511:$ZZ511,1,$E$2+3),9,2))),-1))))</f>
        <v/>
      </c>
      <c r="U513">
        <f>IF($R513="","",IF(OR($S513&lt;0,$T513&lt;0),0,MAX(0,MIN($T513,EOMONTH(급여기준월,0))-MAX($S513,급여기준월)+1)))</f>
        <v/>
      </c>
      <c r="V513">
        <f>IF($R513="","",TRIM(INDEX('입력_구리근무자명단'!$A511:$ZZ511,1,$E$2+5)&amp;""))</f>
        <v/>
      </c>
      <c r="W513">
        <f>IF(ISNUMBER(SEARCH("구리독자",$V513)),"구리독자","")</f>
        <v/>
      </c>
      <c r="X513">
        <f>IF($R513="","",$R513&amp;"|"&amp;IF(OR($Q513="인턴",ISNUMBER(SEARCH("수련교육부",$P513))),"인턴",$P513))</f>
        <v/>
      </c>
      <c r="Y513">
        <f>IF($R513="","",IF(COUNTIF(명단표[이름|과],$X513)=1,"명단 일치",IF(AND(COUNTIF(명단표[이름|과],$X513)=0,COUNTIF(명단표[이름],$R513)=1),"명단 일치(이름만, 과 다름)",IF(COUNTIF(명단표[이름],$R513)=0,IF(COUNTIF(기본자료표[이름],$R513)&gt;0,"명단에 없음(기본자료에는 있음)","명단에 없음"),"동명이인 확인"))))</f>
        <v/>
      </c>
      <c r="Z513">
        <f>IF($R513="","",IF($S513&lt;0,"⚠"&amp;INDEX('입력_구리근무자명단'!$A511:$ZZ511,1,$E$2+2),TEXT($S513,"yyyy-mm-dd")))</f>
        <v/>
      </c>
      <c r="AA513">
        <f>IF($R513="","",IF($T513&lt;0,"⚠"&amp;INDEX('입력_구리근무자명단'!$A511:$ZZ511,1,$E$2+3),TEXT($T513,"yyyy-mm-dd")))</f>
        <v/>
      </c>
      <c r="AB513">
        <f>AB512+IF($R513="",0,1)</f>
        <v/>
      </c>
      <c r="AC513">
        <f>IF($R513="","",$AB513)</f>
        <v/>
      </c>
    </row>
    <row r="514">
      <c r="O514">
        <f>512</f>
        <v/>
      </c>
      <c r="P514">
        <f>IF(TRIM('입력_구리근무자명단'!$A512&amp;"")&lt;&gt;"",TRIM('입력_구리근무자명단'!$A512&amp;""),P513)</f>
        <v/>
      </c>
      <c r="Q514">
        <f>'입력_구리근무자명단'!$B512&amp;""</f>
        <v/>
      </c>
      <c r="R514">
        <f>IF($E$2="","",TRIM(INDEX('입력_구리근무자명단'!$A512:$ZZ512,1,$E$2+IF($G$2="확정",1,0))&amp;""))</f>
        <v/>
      </c>
      <c r="S514">
        <f>IF($R514="","",IF(INDEX('입력_구리근무자명단'!$A512:$ZZ512,1,$E$2+2)&amp;""="",급여기준월,IF(ISNUMBER(INDEX('입력_구리근무자명단'!$A512:$ZZ512,1,$E$2+2)),INDEX('입력_구리근무자명단'!$A512:$ZZ512,1,$E$2+2),IFERROR(DATE(VALUE(LEFT(INDEX('입력_구리근무자명단'!$A512:$ZZ512,1,$E$2+2),4)),VALUE(MID(INDEX('입력_구리근무자명단'!$A512:$ZZ512,1,$E$2+2),6,2)),VALUE(MID(INDEX('입력_구리근무자명단'!$A512:$ZZ512,1,$E$2+2),9,2))),-1))))</f>
        <v/>
      </c>
      <c r="T514">
        <f>IF($R514="","",IF(INDEX('입력_구리근무자명단'!$A512:$ZZ512,1,$E$2+3)&amp;""="",EOMONTH(급여기준월,0),IF(ISNUMBER(INDEX('입력_구리근무자명단'!$A512:$ZZ512,1,$E$2+3)),INDEX('입력_구리근무자명단'!$A512:$ZZ512,1,$E$2+3),IFERROR(DATE(VALUE(LEFT(INDEX('입력_구리근무자명단'!$A512:$ZZ512,1,$E$2+3),4)),VALUE(MID(INDEX('입력_구리근무자명단'!$A512:$ZZ512,1,$E$2+3),6,2)),VALUE(MID(INDEX('입력_구리근무자명단'!$A512:$ZZ512,1,$E$2+3),9,2))),-1))))</f>
        <v/>
      </c>
      <c r="U514">
        <f>IF($R514="","",IF(OR($S514&lt;0,$T514&lt;0),0,MAX(0,MIN($T514,EOMONTH(급여기준월,0))-MAX($S514,급여기준월)+1)))</f>
        <v/>
      </c>
      <c r="V514">
        <f>IF($R514="","",TRIM(INDEX('입력_구리근무자명단'!$A512:$ZZ512,1,$E$2+5)&amp;""))</f>
        <v/>
      </c>
      <c r="W514">
        <f>IF(ISNUMBER(SEARCH("구리독자",$V514)),"구리독자","")</f>
        <v/>
      </c>
      <c r="X514">
        <f>IF($R514="","",$R514&amp;"|"&amp;IF(OR($Q514="인턴",ISNUMBER(SEARCH("수련교육부",$P514))),"인턴",$P514))</f>
        <v/>
      </c>
      <c r="Y514">
        <f>IF($R514="","",IF(COUNTIF(명단표[이름|과],$X514)=1,"명단 일치",IF(AND(COUNTIF(명단표[이름|과],$X514)=0,COUNTIF(명단표[이름],$R514)=1),"명단 일치(이름만, 과 다름)",IF(COUNTIF(명단표[이름],$R514)=0,IF(COUNTIF(기본자료표[이름],$R514)&gt;0,"명단에 없음(기본자료에는 있음)","명단에 없음"),"동명이인 확인"))))</f>
        <v/>
      </c>
      <c r="Z514">
        <f>IF($R514="","",IF($S514&lt;0,"⚠"&amp;INDEX('입력_구리근무자명단'!$A512:$ZZ512,1,$E$2+2),TEXT($S514,"yyyy-mm-dd")))</f>
        <v/>
      </c>
      <c r="AA514">
        <f>IF($R514="","",IF($T514&lt;0,"⚠"&amp;INDEX('입력_구리근무자명단'!$A512:$ZZ512,1,$E$2+3),TEXT($T514,"yyyy-mm-dd")))</f>
        <v/>
      </c>
      <c r="AB514">
        <f>AB513+IF($R514="",0,1)</f>
        <v/>
      </c>
      <c r="AC514">
        <f>IF($R514="","",$AB514)</f>
        <v/>
      </c>
    </row>
    <row r="515">
      <c r="O515">
        <f>513</f>
        <v/>
      </c>
      <c r="P515">
        <f>IF(TRIM('입력_구리근무자명단'!$A513&amp;"")&lt;&gt;"",TRIM('입력_구리근무자명단'!$A513&amp;""),P514)</f>
        <v/>
      </c>
      <c r="Q515">
        <f>'입력_구리근무자명단'!$B513&amp;""</f>
        <v/>
      </c>
      <c r="R515">
        <f>IF($E$2="","",TRIM(INDEX('입력_구리근무자명단'!$A513:$ZZ513,1,$E$2+IF($G$2="확정",1,0))&amp;""))</f>
        <v/>
      </c>
      <c r="S515">
        <f>IF($R515="","",IF(INDEX('입력_구리근무자명단'!$A513:$ZZ513,1,$E$2+2)&amp;""="",급여기준월,IF(ISNUMBER(INDEX('입력_구리근무자명단'!$A513:$ZZ513,1,$E$2+2)),INDEX('입력_구리근무자명단'!$A513:$ZZ513,1,$E$2+2),IFERROR(DATE(VALUE(LEFT(INDEX('입력_구리근무자명단'!$A513:$ZZ513,1,$E$2+2),4)),VALUE(MID(INDEX('입력_구리근무자명단'!$A513:$ZZ513,1,$E$2+2),6,2)),VALUE(MID(INDEX('입력_구리근무자명단'!$A513:$ZZ513,1,$E$2+2),9,2))),-1))))</f>
        <v/>
      </c>
      <c r="T515">
        <f>IF($R515="","",IF(INDEX('입력_구리근무자명단'!$A513:$ZZ513,1,$E$2+3)&amp;""="",EOMONTH(급여기준월,0),IF(ISNUMBER(INDEX('입력_구리근무자명단'!$A513:$ZZ513,1,$E$2+3)),INDEX('입력_구리근무자명단'!$A513:$ZZ513,1,$E$2+3),IFERROR(DATE(VALUE(LEFT(INDEX('입력_구리근무자명단'!$A513:$ZZ513,1,$E$2+3),4)),VALUE(MID(INDEX('입력_구리근무자명단'!$A513:$ZZ513,1,$E$2+3),6,2)),VALUE(MID(INDEX('입력_구리근무자명단'!$A513:$ZZ513,1,$E$2+3),9,2))),-1))))</f>
        <v/>
      </c>
      <c r="U515">
        <f>IF($R515="","",IF(OR($S515&lt;0,$T515&lt;0),0,MAX(0,MIN($T515,EOMONTH(급여기준월,0))-MAX($S515,급여기준월)+1)))</f>
        <v/>
      </c>
      <c r="V515">
        <f>IF($R515="","",TRIM(INDEX('입력_구리근무자명단'!$A513:$ZZ513,1,$E$2+5)&amp;""))</f>
        <v/>
      </c>
      <c r="W515">
        <f>IF(ISNUMBER(SEARCH("구리독자",$V515)),"구리독자","")</f>
        <v/>
      </c>
      <c r="X515">
        <f>IF($R515="","",$R515&amp;"|"&amp;IF(OR($Q515="인턴",ISNUMBER(SEARCH("수련교육부",$P515))),"인턴",$P515))</f>
        <v/>
      </c>
      <c r="Y515">
        <f>IF($R515="","",IF(COUNTIF(명단표[이름|과],$X515)=1,"명단 일치",IF(AND(COUNTIF(명단표[이름|과],$X515)=0,COUNTIF(명단표[이름],$R515)=1),"명단 일치(이름만, 과 다름)",IF(COUNTIF(명단표[이름],$R515)=0,IF(COUNTIF(기본자료표[이름],$R515)&gt;0,"명단에 없음(기본자료에는 있음)","명단에 없음"),"동명이인 확인"))))</f>
        <v/>
      </c>
      <c r="Z515">
        <f>IF($R515="","",IF($S515&lt;0,"⚠"&amp;INDEX('입력_구리근무자명단'!$A513:$ZZ513,1,$E$2+2),TEXT($S515,"yyyy-mm-dd")))</f>
        <v/>
      </c>
      <c r="AA515">
        <f>IF($R515="","",IF($T515&lt;0,"⚠"&amp;INDEX('입력_구리근무자명단'!$A513:$ZZ513,1,$E$2+3),TEXT($T515,"yyyy-mm-dd")))</f>
        <v/>
      </c>
      <c r="AB515">
        <f>AB514+IF($R515="",0,1)</f>
        <v/>
      </c>
      <c r="AC515">
        <f>IF($R515="","",$AB515)</f>
        <v/>
      </c>
    </row>
    <row r="516">
      <c r="O516">
        <f>514</f>
        <v/>
      </c>
      <c r="P516">
        <f>IF(TRIM('입력_구리근무자명단'!$A514&amp;"")&lt;&gt;"",TRIM('입력_구리근무자명단'!$A514&amp;""),P515)</f>
        <v/>
      </c>
      <c r="Q516">
        <f>'입력_구리근무자명단'!$B514&amp;""</f>
        <v/>
      </c>
      <c r="R516">
        <f>IF($E$2="","",TRIM(INDEX('입력_구리근무자명단'!$A514:$ZZ514,1,$E$2+IF($G$2="확정",1,0))&amp;""))</f>
        <v/>
      </c>
      <c r="S516">
        <f>IF($R516="","",IF(INDEX('입력_구리근무자명단'!$A514:$ZZ514,1,$E$2+2)&amp;""="",급여기준월,IF(ISNUMBER(INDEX('입력_구리근무자명단'!$A514:$ZZ514,1,$E$2+2)),INDEX('입력_구리근무자명단'!$A514:$ZZ514,1,$E$2+2),IFERROR(DATE(VALUE(LEFT(INDEX('입력_구리근무자명단'!$A514:$ZZ514,1,$E$2+2),4)),VALUE(MID(INDEX('입력_구리근무자명단'!$A514:$ZZ514,1,$E$2+2),6,2)),VALUE(MID(INDEX('입력_구리근무자명단'!$A514:$ZZ514,1,$E$2+2),9,2))),-1))))</f>
        <v/>
      </c>
      <c r="T516">
        <f>IF($R516="","",IF(INDEX('입력_구리근무자명단'!$A514:$ZZ514,1,$E$2+3)&amp;""="",EOMONTH(급여기준월,0),IF(ISNUMBER(INDEX('입력_구리근무자명단'!$A514:$ZZ514,1,$E$2+3)),INDEX('입력_구리근무자명단'!$A514:$ZZ514,1,$E$2+3),IFERROR(DATE(VALUE(LEFT(INDEX('입력_구리근무자명단'!$A514:$ZZ514,1,$E$2+3),4)),VALUE(MID(INDEX('입력_구리근무자명단'!$A514:$ZZ514,1,$E$2+3),6,2)),VALUE(MID(INDEX('입력_구리근무자명단'!$A514:$ZZ514,1,$E$2+3),9,2))),-1))))</f>
        <v/>
      </c>
      <c r="U516">
        <f>IF($R516="","",IF(OR($S516&lt;0,$T516&lt;0),0,MAX(0,MIN($T516,EOMONTH(급여기준월,0))-MAX($S516,급여기준월)+1)))</f>
        <v/>
      </c>
      <c r="V516">
        <f>IF($R516="","",TRIM(INDEX('입력_구리근무자명단'!$A514:$ZZ514,1,$E$2+5)&amp;""))</f>
        <v/>
      </c>
      <c r="W516">
        <f>IF(ISNUMBER(SEARCH("구리독자",$V516)),"구리독자","")</f>
        <v/>
      </c>
      <c r="X516">
        <f>IF($R516="","",$R516&amp;"|"&amp;IF(OR($Q516="인턴",ISNUMBER(SEARCH("수련교육부",$P516))),"인턴",$P516))</f>
        <v/>
      </c>
      <c r="Y516">
        <f>IF($R516="","",IF(COUNTIF(명단표[이름|과],$X516)=1,"명단 일치",IF(AND(COUNTIF(명단표[이름|과],$X516)=0,COUNTIF(명단표[이름],$R516)=1),"명단 일치(이름만, 과 다름)",IF(COUNTIF(명단표[이름],$R516)=0,IF(COUNTIF(기본자료표[이름],$R516)&gt;0,"명단에 없음(기본자료에는 있음)","명단에 없음"),"동명이인 확인"))))</f>
        <v/>
      </c>
      <c r="Z516">
        <f>IF($R516="","",IF($S516&lt;0,"⚠"&amp;INDEX('입력_구리근무자명단'!$A514:$ZZ514,1,$E$2+2),TEXT($S516,"yyyy-mm-dd")))</f>
        <v/>
      </c>
      <c r="AA516">
        <f>IF($R516="","",IF($T516&lt;0,"⚠"&amp;INDEX('입력_구리근무자명단'!$A514:$ZZ514,1,$E$2+3),TEXT($T516,"yyyy-mm-dd")))</f>
        <v/>
      </c>
      <c r="AB516">
        <f>AB515+IF($R516="",0,1)</f>
        <v/>
      </c>
      <c r="AC516">
        <f>IF($R516="","",$AB516)</f>
        <v/>
      </c>
    </row>
    <row r="517">
      <c r="O517">
        <f>515</f>
        <v/>
      </c>
      <c r="P517">
        <f>IF(TRIM('입력_구리근무자명단'!$A515&amp;"")&lt;&gt;"",TRIM('입력_구리근무자명단'!$A515&amp;""),P516)</f>
        <v/>
      </c>
      <c r="Q517">
        <f>'입력_구리근무자명단'!$B515&amp;""</f>
        <v/>
      </c>
      <c r="R517">
        <f>IF($E$2="","",TRIM(INDEX('입력_구리근무자명단'!$A515:$ZZ515,1,$E$2+IF($G$2="확정",1,0))&amp;""))</f>
        <v/>
      </c>
      <c r="S517">
        <f>IF($R517="","",IF(INDEX('입력_구리근무자명단'!$A515:$ZZ515,1,$E$2+2)&amp;""="",급여기준월,IF(ISNUMBER(INDEX('입력_구리근무자명단'!$A515:$ZZ515,1,$E$2+2)),INDEX('입력_구리근무자명단'!$A515:$ZZ515,1,$E$2+2),IFERROR(DATE(VALUE(LEFT(INDEX('입력_구리근무자명단'!$A515:$ZZ515,1,$E$2+2),4)),VALUE(MID(INDEX('입력_구리근무자명단'!$A515:$ZZ515,1,$E$2+2),6,2)),VALUE(MID(INDEX('입력_구리근무자명단'!$A515:$ZZ515,1,$E$2+2),9,2))),-1))))</f>
        <v/>
      </c>
      <c r="T517">
        <f>IF($R517="","",IF(INDEX('입력_구리근무자명단'!$A515:$ZZ515,1,$E$2+3)&amp;""="",EOMONTH(급여기준월,0),IF(ISNUMBER(INDEX('입력_구리근무자명단'!$A515:$ZZ515,1,$E$2+3)),INDEX('입력_구리근무자명단'!$A515:$ZZ515,1,$E$2+3),IFERROR(DATE(VALUE(LEFT(INDEX('입력_구리근무자명단'!$A515:$ZZ515,1,$E$2+3),4)),VALUE(MID(INDEX('입력_구리근무자명단'!$A515:$ZZ515,1,$E$2+3),6,2)),VALUE(MID(INDEX('입력_구리근무자명단'!$A515:$ZZ515,1,$E$2+3),9,2))),-1))))</f>
        <v/>
      </c>
      <c r="U517">
        <f>IF($R517="","",IF(OR($S517&lt;0,$T517&lt;0),0,MAX(0,MIN($T517,EOMONTH(급여기준월,0))-MAX($S517,급여기준월)+1)))</f>
        <v/>
      </c>
      <c r="V517">
        <f>IF($R517="","",TRIM(INDEX('입력_구리근무자명단'!$A515:$ZZ515,1,$E$2+5)&amp;""))</f>
        <v/>
      </c>
      <c r="W517">
        <f>IF(ISNUMBER(SEARCH("구리독자",$V517)),"구리독자","")</f>
        <v/>
      </c>
      <c r="X517">
        <f>IF($R517="","",$R517&amp;"|"&amp;IF(OR($Q517="인턴",ISNUMBER(SEARCH("수련교육부",$P517))),"인턴",$P517))</f>
        <v/>
      </c>
      <c r="Y517">
        <f>IF($R517="","",IF(COUNTIF(명단표[이름|과],$X517)=1,"명단 일치",IF(AND(COUNTIF(명단표[이름|과],$X517)=0,COUNTIF(명단표[이름],$R517)=1),"명단 일치(이름만, 과 다름)",IF(COUNTIF(명단표[이름],$R517)=0,IF(COUNTIF(기본자료표[이름],$R517)&gt;0,"명단에 없음(기본자료에는 있음)","명단에 없음"),"동명이인 확인"))))</f>
        <v/>
      </c>
      <c r="Z517">
        <f>IF($R517="","",IF($S517&lt;0,"⚠"&amp;INDEX('입력_구리근무자명단'!$A515:$ZZ515,1,$E$2+2),TEXT($S517,"yyyy-mm-dd")))</f>
        <v/>
      </c>
      <c r="AA517">
        <f>IF($R517="","",IF($T517&lt;0,"⚠"&amp;INDEX('입력_구리근무자명단'!$A515:$ZZ515,1,$E$2+3),TEXT($T517,"yyyy-mm-dd")))</f>
        <v/>
      </c>
      <c r="AB517">
        <f>AB516+IF($R517="",0,1)</f>
        <v/>
      </c>
      <c r="AC517">
        <f>IF($R517="","",$AB517)</f>
        <v/>
      </c>
    </row>
    <row r="518">
      <c r="O518">
        <f>516</f>
        <v/>
      </c>
      <c r="P518">
        <f>IF(TRIM('입력_구리근무자명단'!$A516&amp;"")&lt;&gt;"",TRIM('입력_구리근무자명단'!$A516&amp;""),P517)</f>
        <v/>
      </c>
      <c r="Q518">
        <f>'입력_구리근무자명단'!$B516&amp;""</f>
        <v/>
      </c>
      <c r="R518">
        <f>IF($E$2="","",TRIM(INDEX('입력_구리근무자명단'!$A516:$ZZ516,1,$E$2+IF($G$2="확정",1,0))&amp;""))</f>
        <v/>
      </c>
      <c r="S518">
        <f>IF($R518="","",IF(INDEX('입력_구리근무자명단'!$A516:$ZZ516,1,$E$2+2)&amp;""="",급여기준월,IF(ISNUMBER(INDEX('입력_구리근무자명단'!$A516:$ZZ516,1,$E$2+2)),INDEX('입력_구리근무자명단'!$A516:$ZZ516,1,$E$2+2),IFERROR(DATE(VALUE(LEFT(INDEX('입력_구리근무자명단'!$A516:$ZZ516,1,$E$2+2),4)),VALUE(MID(INDEX('입력_구리근무자명단'!$A516:$ZZ516,1,$E$2+2),6,2)),VALUE(MID(INDEX('입력_구리근무자명단'!$A516:$ZZ516,1,$E$2+2),9,2))),-1))))</f>
        <v/>
      </c>
      <c r="T518">
        <f>IF($R518="","",IF(INDEX('입력_구리근무자명단'!$A516:$ZZ516,1,$E$2+3)&amp;""="",EOMONTH(급여기준월,0),IF(ISNUMBER(INDEX('입력_구리근무자명단'!$A516:$ZZ516,1,$E$2+3)),INDEX('입력_구리근무자명단'!$A516:$ZZ516,1,$E$2+3),IFERROR(DATE(VALUE(LEFT(INDEX('입력_구리근무자명단'!$A516:$ZZ516,1,$E$2+3),4)),VALUE(MID(INDEX('입력_구리근무자명단'!$A516:$ZZ516,1,$E$2+3),6,2)),VALUE(MID(INDEX('입력_구리근무자명단'!$A516:$ZZ516,1,$E$2+3),9,2))),-1))))</f>
        <v/>
      </c>
      <c r="U518">
        <f>IF($R518="","",IF(OR($S518&lt;0,$T518&lt;0),0,MAX(0,MIN($T518,EOMONTH(급여기준월,0))-MAX($S518,급여기준월)+1)))</f>
        <v/>
      </c>
      <c r="V518">
        <f>IF($R518="","",TRIM(INDEX('입력_구리근무자명단'!$A516:$ZZ516,1,$E$2+5)&amp;""))</f>
        <v/>
      </c>
      <c r="W518">
        <f>IF(ISNUMBER(SEARCH("구리독자",$V518)),"구리독자","")</f>
        <v/>
      </c>
      <c r="X518">
        <f>IF($R518="","",$R518&amp;"|"&amp;IF(OR($Q518="인턴",ISNUMBER(SEARCH("수련교육부",$P518))),"인턴",$P518))</f>
        <v/>
      </c>
      <c r="Y518">
        <f>IF($R518="","",IF(COUNTIF(명단표[이름|과],$X518)=1,"명단 일치",IF(AND(COUNTIF(명단표[이름|과],$X518)=0,COUNTIF(명단표[이름],$R518)=1),"명단 일치(이름만, 과 다름)",IF(COUNTIF(명단표[이름],$R518)=0,IF(COUNTIF(기본자료표[이름],$R518)&gt;0,"명단에 없음(기본자료에는 있음)","명단에 없음"),"동명이인 확인"))))</f>
        <v/>
      </c>
      <c r="Z518">
        <f>IF($R518="","",IF($S518&lt;0,"⚠"&amp;INDEX('입력_구리근무자명단'!$A516:$ZZ516,1,$E$2+2),TEXT($S518,"yyyy-mm-dd")))</f>
        <v/>
      </c>
      <c r="AA518">
        <f>IF($R518="","",IF($T518&lt;0,"⚠"&amp;INDEX('입력_구리근무자명단'!$A516:$ZZ516,1,$E$2+3),TEXT($T518,"yyyy-mm-dd")))</f>
        <v/>
      </c>
      <c r="AB518">
        <f>AB517+IF($R518="",0,1)</f>
        <v/>
      </c>
      <c r="AC518">
        <f>IF($R518="","",$AB518)</f>
        <v/>
      </c>
    </row>
    <row r="519">
      <c r="O519">
        <f>517</f>
        <v/>
      </c>
      <c r="P519">
        <f>IF(TRIM('입력_구리근무자명단'!$A517&amp;"")&lt;&gt;"",TRIM('입력_구리근무자명단'!$A517&amp;""),P518)</f>
        <v/>
      </c>
      <c r="Q519">
        <f>'입력_구리근무자명단'!$B517&amp;""</f>
        <v/>
      </c>
      <c r="R519">
        <f>IF($E$2="","",TRIM(INDEX('입력_구리근무자명단'!$A517:$ZZ517,1,$E$2+IF($G$2="확정",1,0))&amp;""))</f>
        <v/>
      </c>
      <c r="S519">
        <f>IF($R519="","",IF(INDEX('입력_구리근무자명단'!$A517:$ZZ517,1,$E$2+2)&amp;""="",급여기준월,IF(ISNUMBER(INDEX('입력_구리근무자명단'!$A517:$ZZ517,1,$E$2+2)),INDEX('입력_구리근무자명단'!$A517:$ZZ517,1,$E$2+2),IFERROR(DATE(VALUE(LEFT(INDEX('입력_구리근무자명단'!$A517:$ZZ517,1,$E$2+2),4)),VALUE(MID(INDEX('입력_구리근무자명단'!$A517:$ZZ517,1,$E$2+2),6,2)),VALUE(MID(INDEX('입력_구리근무자명단'!$A517:$ZZ517,1,$E$2+2),9,2))),-1))))</f>
        <v/>
      </c>
      <c r="T519">
        <f>IF($R519="","",IF(INDEX('입력_구리근무자명단'!$A517:$ZZ517,1,$E$2+3)&amp;""="",EOMONTH(급여기준월,0),IF(ISNUMBER(INDEX('입력_구리근무자명단'!$A517:$ZZ517,1,$E$2+3)),INDEX('입력_구리근무자명단'!$A517:$ZZ517,1,$E$2+3),IFERROR(DATE(VALUE(LEFT(INDEX('입력_구리근무자명단'!$A517:$ZZ517,1,$E$2+3),4)),VALUE(MID(INDEX('입력_구리근무자명단'!$A517:$ZZ517,1,$E$2+3),6,2)),VALUE(MID(INDEX('입력_구리근무자명단'!$A517:$ZZ517,1,$E$2+3),9,2))),-1))))</f>
        <v/>
      </c>
      <c r="U519">
        <f>IF($R519="","",IF(OR($S519&lt;0,$T519&lt;0),0,MAX(0,MIN($T519,EOMONTH(급여기준월,0))-MAX($S519,급여기준월)+1)))</f>
        <v/>
      </c>
      <c r="V519">
        <f>IF($R519="","",TRIM(INDEX('입력_구리근무자명단'!$A517:$ZZ517,1,$E$2+5)&amp;""))</f>
        <v/>
      </c>
      <c r="W519">
        <f>IF(ISNUMBER(SEARCH("구리독자",$V519)),"구리독자","")</f>
        <v/>
      </c>
      <c r="X519">
        <f>IF($R519="","",$R519&amp;"|"&amp;IF(OR($Q519="인턴",ISNUMBER(SEARCH("수련교육부",$P519))),"인턴",$P519))</f>
        <v/>
      </c>
      <c r="Y519">
        <f>IF($R519="","",IF(COUNTIF(명단표[이름|과],$X519)=1,"명단 일치",IF(AND(COUNTIF(명단표[이름|과],$X519)=0,COUNTIF(명단표[이름],$R519)=1),"명단 일치(이름만, 과 다름)",IF(COUNTIF(명단표[이름],$R519)=0,IF(COUNTIF(기본자료표[이름],$R519)&gt;0,"명단에 없음(기본자료에는 있음)","명단에 없음"),"동명이인 확인"))))</f>
        <v/>
      </c>
      <c r="Z519">
        <f>IF($R519="","",IF($S519&lt;0,"⚠"&amp;INDEX('입력_구리근무자명단'!$A517:$ZZ517,1,$E$2+2),TEXT($S519,"yyyy-mm-dd")))</f>
        <v/>
      </c>
      <c r="AA519">
        <f>IF($R519="","",IF($T519&lt;0,"⚠"&amp;INDEX('입력_구리근무자명단'!$A517:$ZZ517,1,$E$2+3),TEXT($T519,"yyyy-mm-dd")))</f>
        <v/>
      </c>
      <c r="AB519">
        <f>AB518+IF($R519="",0,1)</f>
        <v/>
      </c>
      <c r="AC519">
        <f>IF($R519="","",$AB519)</f>
        <v/>
      </c>
    </row>
    <row r="520">
      <c r="O520">
        <f>518</f>
        <v/>
      </c>
      <c r="P520">
        <f>IF(TRIM('입력_구리근무자명단'!$A518&amp;"")&lt;&gt;"",TRIM('입력_구리근무자명단'!$A518&amp;""),P519)</f>
        <v/>
      </c>
      <c r="Q520">
        <f>'입력_구리근무자명단'!$B518&amp;""</f>
        <v/>
      </c>
      <c r="R520">
        <f>IF($E$2="","",TRIM(INDEX('입력_구리근무자명단'!$A518:$ZZ518,1,$E$2+IF($G$2="확정",1,0))&amp;""))</f>
        <v/>
      </c>
      <c r="S520">
        <f>IF($R520="","",IF(INDEX('입력_구리근무자명단'!$A518:$ZZ518,1,$E$2+2)&amp;""="",급여기준월,IF(ISNUMBER(INDEX('입력_구리근무자명단'!$A518:$ZZ518,1,$E$2+2)),INDEX('입력_구리근무자명단'!$A518:$ZZ518,1,$E$2+2),IFERROR(DATE(VALUE(LEFT(INDEX('입력_구리근무자명단'!$A518:$ZZ518,1,$E$2+2),4)),VALUE(MID(INDEX('입력_구리근무자명단'!$A518:$ZZ518,1,$E$2+2),6,2)),VALUE(MID(INDEX('입력_구리근무자명단'!$A518:$ZZ518,1,$E$2+2),9,2))),-1))))</f>
        <v/>
      </c>
      <c r="T520">
        <f>IF($R520="","",IF(INDEX('입력_구리근무자명단'!$A518:$ZZ518,1,$E$2+3)&amp;""="",EOMONTH(급여기준월,0),IF(ISNUMBER(INDEX('입력_구리근무자명단'!$A518:$ZZ518,1,$E$2+3)),INDEX('입력_구리근무자명단'!$A518:$ZZ518,1,$E$2+3),IFERROR(DATE(VALUE(LEFT(INDEX('입력_구리근무자명단'!$A518:$ZZ518,1,$E$2+3),4)),VALUE(MID(INDEX('입력_구리근무자명단'!$A518:$ZZ518,1,$E$2+3),6,2)),VALUE(MID(INDEX('입력_구리근무자명단'!$A518:$ZZ518,1,$E$2+3),9,2))),-1))))</f>
        <v/>
      </c>
      <c r="U520">
        <f>IF($R520="","",IF(OR($S520&lt;0,$T520&lt;0),0,MAX(0,MIN($T520,EOMONTH(급여기준월,0))-MAX($S520,급여기준월)+1)))</f>
        <v/>
      </c>
      <c r="V520">
        <f>IF($R520="","",TRIM(INDEX('입력_구리근무자명단'!$A518:$ZZ518,1,$E$2+5)&amp;""))</f>
        <v/>
      </c>
      <c r="W520">
        <f>IF(ISNUMBER(SEARCH("구리독자",$V520)),"구리독자","")</f>
        <v/>
      </c>
      <c r="X520">
        <f>IF($R520="","",$R520&amp;"|"&amp;IF(OR($Q520="인턴",ISNUMBER(SEARCH("수련교육부",$P520))),"인턴",$P520))</f>
        <v/>
      </c>
      <c r="Y520">
        <f>IF($R520="","",IF(COUNTIF(명단표[이름|과],$X520)=1,"명단 일치",IF(AND(COUNTIF(명단표[이름|과],$X520)=0,COUNTIF(명단표[이름],$R520)=1),"명단 일치(이름만, 과 다름)",IF(COUNTIF(명단표[이름],$R520)=0,IF(COUNTIF(기본자료표[이름],$R520)&gt;0,"명단에 없음(기본자료에는 있음)","명단에 없음"),"동명이인 확인"))))</f>
        <v/>
      </c>
      <c r="Z520">
        <f>IF($R520="","",IF($S520&lt;0,"⚠"&amp;INDEX('입력_구리근무자명단'!$A518:$ZZ518,1,$E$2+2),TEXT($S520,"yyyy-mm-dd")))</f>
        <v/>
      </c>
      <c r="AA520">
        <f>IF($R520="","",IF($T520&lt;0,"⚠"&amp;INDEX('입력_구리근무자명단'!$A518:$ZZ518,1,$E$2+3),TEXT($T520,"yyyy-mm-dd")))</f>
        <v/>
      </c>
      <c r="AB520">
        <f>AB519+IF($R520="",0,1)</f>
        <v/>
      </c>
      <c r="AC520">
        <f>IF($R520="","",$AB520)</f>
        <v/>
      </c>
    </row>
    <row r="521">
      <c r="O521">
        <f>519</f>
        <v/>
      </c>
      <c r="P521">
        <f>IF(TRIM('입력_구리근무자명단'!$A519&amp;"")&lt;&gt;"",TRIM('입력_구리근무자명단'!$A519&amp;""),P520)</f>
        <v/>
      </c>
      <c r="Q521">
        <f>'입력_구리근무자명단'!$B519&amp;""</f>
        <v/>
      </c>
      <c r="R521">
        <f>IF($E$2="","",TRIM(INDEX('입력_구리근무자명단'!$A519:$ZZ519,1,$E$2+IF($G$2="확정",1,0))&amp;""))</f>
        <v/>
      </c>
      <c r="S521">
        <f>IF($R521="","",IF(INDEX('입력_구리근무자명단'!$A519:$ZZ519,1,$E$2+2)&amp;""="",급여기준월,IF(ISNUMBER(INDEX('입력_구리근무자명단'!$A519:$ZZ519,1,$E$2+2)),INDEX('입력_구리근무자명단'!$A519:$ZZ519,1,$E$2+2),IFERROR(DATE(VALUE(LEFT(INDEX('입력_구리근무자명단'!$A519:$ZZ519,1,$E$2+2),4)),VALUE(MID(INDEX('입력_구리근무자명단'!$A519:$ZZ519,1,$E$2+2),6,2)),VALUE(MID(INDEX('입력_구리근무자명단'!$A519:$ZZ519,1,$E$2+2),9,2))),-1))))</f>
        <v/>
      </c>
      <c r="T521">
        <f>IF($R521="","",IF(INDEX('입력_구리근무자명단'!$A519:$ZZ519,1,$E$2+3)&amp;""="",EOMONTH(급여기준월,0),IF(ISNUMBER(INDEX('입력_구리근무자명단'!$A519:$ZZ519,1,$E$2+3)),INDEX('입력_구리근무자명단'!$A519:$ZZ519,1,$E$2+3),IFERROR(DATE(VALUE(LEFT(INDEX('입력_구리근무자명단'!$A519:$ZZ519,1,$E$2+3),4)),VALUE(MID(INDEX('입력_구리근무자명단'!$A519:$ZZ519,1,$E$2+3),6,2)),VALUE(MID(INDEX('입력_구리근무자명단'!$A519:$ZZ519,1,$E$2+3),9,2))),-1))))</f>
        <v/>
      </c>
      <c r="U521">
        <f>IF($R521="","",IF(OR($S521&lt;0,$T521&lt;0),0,MAX(0,MIN($T521,EOMONTH(급여기준월,0))-MAX($S521,급여기준월)+1)))</f>
        <v/>
      </c>
      <c r="V521">
        <f>IF($R521="","",TRIM(INDEX('입력_구리근무자명단'!$A519:$ZZ519,1,$E$2+5)&amp;""))</f>
        <v/>
      </c>
      <c r="W521">
        <f>IF(ISNUMBER(SEARCH("구리독자",$V521)),"구리독자","")</f>
        <v/>
      </c>
      <c r="X521">
        <f>IF($R521="","",$R521&amp;"|"&amp;IF(OR($Q521="인턴",ISNUMBER(SEARCH("수련교육부",$P521))),"인턴",$P521))</f>
        <v/>
      </c>
      <c r="Y521">
        <f>IF($R521="","",IF(COUNTIF(명단표[이름|과],$X521)=1,"명단 일치",IF(AND(COUNTIF(명단표[이름|과],$X521)=0,COUNTIF(명단표[이름],$R521)=1),"명단 일치(이름만, 과 다름)",IF(COUNTIF(명단표[이름],$R521)=0,IF(COUNTIF(기본자료표[이름],$R521)&gt;0,"명단에 없음(기본자료에는 있음)","명단에 없음"),"동명이인 확인"))))</f>
        <v/>
      </c>
      <c r="Z521">
        <f>IF($R521="","",IF($S521&lt;0,"⚠"&amp;INDEX('입력_구리근무자명단'!$A519:$ZZ519,1,$E$2+2),TEXT($S521,"yyyy-mm-dd")))</f>
        <v/>
      </c>
      <c r="AA521">
        <f>IF($R521="","",IF($T521&lt;0,"⚠"&amp;INDEX('입력_구리근무자명단'!$A519:$ZZ519,1,$E$2+3),TEXT($T521,"yyyy-mm-dd")))</f>
        <v/>
      </c>
      <c r="AB521">
        <f>AB520+IF($R521="",0,1)</f>
        <v/>
      </c>
      <c r="AC521">
        <f>IF($R521="","",$AB521)</f>
        <v/>
      </c>
    </row>
    <row r="522">
      <c r="O522">
        <f>520</f>
        <v/>
      </c>
      <c r="P522">
        <f>IF(TRIM('입력_구리근무자명단'!$A520&amp;"")&lt;&gt;"",TRIM('입력_구리근무자명단'!$A520&amp;""),P521)</f>
        <v/>
      </c>
      <c r="Q522">
        <f>'입력_구리근무자명단'!$B520&amp;""</f>
        <v/>
      </c>
      <c r="R522">
        <f>IF($E$2="","",TRIM(INDEX('입력_구리근무자명단'!$A520:$ZZ520,1,$E$2+IF($G$2="확정",1,0))&amp;""))</f>
        <v/>
      </c>
      <c r="S522">
        <f>IF($R522="","",IF(INDEX('입력_구리근무자명단'!$A520:$ZZ520,1,$E$2+2)&amp;""="",급여기준월,IF(ISNUMBER(INDEX('입력_구리근무자명단'!$A520:$ZZ520,1,$E$2+2)),INDEX('입력_구리근무자명단'!$A520:$ZZ520,1,$E$2+2),IFERROR(DATE(VALUE(LEFT(INDEX('입력_구리근무자명단'!$A520:$ZZ520,1,$E$2+2),4)),VALUE(MID(INDEX('입력_구리근무자명단'!$A520:$ZZ520,1,$E$2+2),6,2)),VALUE(MID(INDEX('입력_구리근무자명단'!$A520:$ZZ520,1,$E$2+2),9,2))),-1))))</f>
        <v/>
      </c>
      <c r="T522">
        <f>IF($R522="","",IF(INDEX('입력_구리근무자명단'!$A520:$ZZ520,1,$E$2+3)&amp;""="",EOMONTH(급여기준월,0),IF(ISNUMBER(INDEX('입력_구리근무자명단'!$A520:$ZZ520,1,$E$2+3)),INDEX('입력_구리근무자명단'!$A520:$ZZ520,1,$E$2+3),IFERROR(DATE(VALUE(LEFT(INDEX('입력_구리근무자명단'!$A520:$ZZ520,1,$E$2+3),4)),VALUE(MID(INDEX('입력_구리근무자명단'!$A520:$ZZ520,1,$E$2+3),6,2)),VALUE(MID(INDEX('입력_구리근무자명단'!$A520:$ZZ520,1,$E$2+3),9,2))),-1))))</f>
        <v/>
      </c>
      <c r="U522">
        <f>IF($R522="","",IF(OR($S522&lt;0,$T522&lt;0),0,MAX(0,MIN($T522,EOMONTH(급여기준월,0))-MAX($S522,급여기준월)+1)))</f>
        <v/>
      </c>
      <c r="V522">
        <f>IF($R522="","",TRIM(INDEX('입력_구리근무자명단'!$A520:$ZZ520,1,$E$2+5)&amp;""))</f>
        <v/>
      </c>
      <c r="W522">
        <f>IF(ISNUMBER(SEARCH("구리독자",$V522)),"구리독자","")</f>
        <v/>
      </c>
      <c r="X522">
        <f>IF($R522="","",$R522&amp;"|"&amp;IF(OR($Q522="인턴",ISNUMBER(SEARCH("수련교육부",$P522))),"인턴",$P522))</f>
        <v/>
      </c>
      <c r="Y522">
        <f>IF($R522="","",IF(COUNTIF(명단표[이름|과],$X522)=1,"명단 일치",IF(AND(COUNTIF(명단표[이름|과],$X522)=0,COUNTIF(명단표[이름],$R522)=1),"명단 일치(이름만, 과 다름)",IF(COUNTIF(명단표[이름],$R522)=0,IF(COUNTIF(기본자료표[이름],$R522)&gt;0,"명단에 없음(기본자료에는 있음)","명단에 없음"),"동명이인 확인"))))</f>
        <v/>
      </c>
      <c r="Z522">
        <f>IF($R522="","",IF($S522&lt;0,"⚠"&amp;INDEX('입력_구리근무자명단'!$A520:$ZZ520,1,$E$2+2),TEXT($S522,"yyyy-mm-dd")))</f>
        <v/>
      </c>
      <c r="AA522">
        <f>IF($R522="","",IF($T522&lt;0,"⚠"&amp;INDEX('입력_구리근무자명단'!$A520:$ZZ520,1,$E$2+3),TEXT($T522,"yyyy-mm-dd")))</f>
        <v/>
      </c>
      <c r="AB522">
        <f>AB521+IF($R522="",0,1)</f>
        <v/>
      </c>
      <c r="AC522">
        <f>IF($R522="","",$AB522)</f>
        <v/>
      </c>
    </row>
    <row r="523">
      <c r="O523">
        <f>521</f>
        <v/>
      </c>
      <c r="P523">
        <f>IF(TRIM('입력_구리근무자명단'!$A521&amp;"")&lt;&gt;"",TRIM('입력_구리근무자명단'!$A521&amp;""),P522)</f>
        <v/>
      </c>
      <c r="Q523">
        <f>'입력_구리근무자명단'!$B521&amp;""</f>
        <v/>
      </c>
      <c r="R523">
        <f>IF($E$2="","",TRIM(INDEX('입력_구리근무자명단'!$A521:$ZZ521,1,$E$2+IF($G$2="확정",1,0))&amp;""))</f>
        <v/>
      </c>
      <c r="S523">
        <f>IF($R523="","",IF(INDEX('입력_구리근무자명단'!$A521:$ZZ521,1,$E$2+2)&amp;""="",급여기준월,IF(ISNUMBER(INDEX('입력_구리근무자명단'!$A521:$ZZ521,1,$E$2+2)),INDEX('입력_구리근무자명단'!$A521:$ZZ521,1,$E$2+2),IFERROR(DATE(VALUE(LEFT(INDEX('입력_구리근무자명단'!$A521:$ZZ521,1,$E$2+2),4)),VALUE(MID(INDEX('입력_구리근무자명단'!$A521:$ZZ521,1,$E$2+2),6,2)),VALUE(MID(INDEX('입력_구리근무자명단'!$A521:$ZZ521,1,$E$2+2),9,2))),-1))))</f>
        <v/>
      </c>
      <c r="T523">
        <f>IF($R523="","",IF(INDEX('입력_구리근무자명단'!$A521:$ZZ521,1,$E$2+3)&amp;""="",EOMONTH(급여기준월,0),IF(ISNUMBER(INDEX('입력_구리근무자명단'!$A521:$ZZ521,1,$E$2+3)),INDEX('입력_구리근무자명단'!$A521:$ZZ521,1,$E$2+3),IFERROR(DATE(VALUE(LEFT(INDEX('입력_구리근무자명단'!$A521:$ZZ521,1,$E$2+3),4)),VALUE(MID(INDEX('입력_구리근무자명단'!$A521:$ZZ521,1,$E$2+3),6,2)),VALUE(MID(INDEX('입력_구리근무자명단'!$A521:$ZZ521,1,$E$2+3),9,2))),-1))))</f>
        <v/>
      </c>
      <c r="U523">
        <f>IF($R523="","",IF(OR($S523&lt;0,$T523&lt;0),0,MAX(0,MIN($T523,EOMONTH(급여기준월,0))-MAX($S523,급여기준월)+1)))</f>
        <v/>
      </c>
      <c r="V523">
        <f>IF($R523="","",TRIM(INDEX('입력_구리근무자명단'!$A521:$ZZ521,1,$E$2+5)&amp;""))</f>
        <v/>
      </c>
      <c r="W523">
        <f>IF(ISNUMBER(SEARCH("구리독자",$V523)),"구리독자","")</f>
        <v/>
      </c>
      <c r="X523">
        <f>IF($R523="","",$R523&amp;"|"&amp;IF(OR($Q523="인턴",ISNUMBER(SEARCH("수련교육부",$P523))),"인턴",$P523))</f>
        <v/>
      </c>
      <c r="Y523">
        <f>IF($R523="","",IF(COUNTIF(명단표[이름|과],$X523)=1,"명단 일치",IF(AND(COUNTIF(명단표[이름|과],$X523)=0,COUNTIF(명단표[이름],$R523)=1),"명단 일치(이름만, 과 다름)",IF(COUNTIF(명단표[이름],$R523)=0,IF(COUNTIF(기본자료표[이름],$R523)&gt;0,"명단에 없음(기본자료에는 있음)","명단에 없음"),"동명이인 확인"))))</f>
        <v/>
      </c>
      <c r="Z523">
        <f>IF($R523="","",IF($S523&lt;0,"⚠"&amp;INDEX('입력_구리근무자명단'!$A521:$ZZ521,1,$E$2+2),TEXT($S523,"yyyy-mm-dd")))</f>
        <v/>
      </c>
      <c r="AA523">
        <f>IF($R523="","",IF($T523&lt;0,"⚠"&amp;INDEX('입력_구리근무자명단'!$A521:$ZZ521,1,$E$2+3),TEXT($T523,"yyyy-mm-dd")))</f>
        <v/>
      </c>
      <c r="AB523">
        <f>AB522+IF($R523="",0,1)</f>
        <v/>
      </c>
      <c r="AC523">
        <f>IF($R523="","",$AB523)</f>
        <v/>
      </c>
    </row>
    <row r="524">
      <c r="O524">
        <f>522</f>
        <v/>
      </c>
      <c r="P524">
        <f>IF(TRIM('입력_구리근무자명단'!$A522&amp;"")&lt;&gt;"",TRIM('입력_구리근무자명단'!$A522&amp;""),P523)</f>
        <v/>
      </c>
      <c r="Q524">
        <f>'입력_구리근무자명단'!$B522&amp;""</f>
        <v/>
      </c>
      <c r="R524">
        <f>IF($E$2="","",TRIM(INDEX('입력_구리근무자명단'!$A522:$ZZ522,1,$E$2+IF($G$2="확정",1,0))&amp;""))</f>
        <v/>
      </c>
      <c r="S524">
        <f>IF($R524="","",IF(INDEX('입력_구리근무자명단'!$A522:$ZZ522,1,$E$2+2)&amp;""="",급여기준월,IF(ISNUMBER(INDEX('입력_구리근무자명단'!$A522:$ZZ522,1,$E$2+2)),INDEX('입력_구리근무자명단'!$A522:$ZZ522,1,$E$2+2),IFERROR(DATE(VALUE(LEFT(INDEX('입력_구리근무자명단'!$A522:$ZZ522,1,$E$2+2),4)),VALUE(MID(INDEX('입력_구리근무자명단'!$A522:$ZZ522,1,$E$2+2),6,2)),VALUE(MID(INDEX('입력_구리근무자명단'!$A522:$ZZ522,1,$E$2+2),9,2))),-1))))</f>
        <v/>
      </c>
      <c r="T524">
        <f>IF($R524="","",IF(INDEX('입력_구리근무자명단'!$A522:$ZZ522,1,$E$2+3)&amp;""="",EOMONTH(급여기준월,0),IF(ISNUMBER(INDEX('입력_구리근무자명단'!$A522:$ZZ522,1,$E$2+3)),INDEX('입력_구리근무자명단'!$A522:$ZZ522,1,$E$2+3),IFERROR(DATE(VALUE(LEFT(INDEX('입력_구리근무자명단'!$A522:$ZZ522,1,$E$2+3),4)),VALUE(MID(INDEX('입력_구리근무자명단'!$A522:$ZZ522,1,$E$2+3),6,2)),VALUE(MID(INDEX('입력_구리근무자명단'!$A522:$ZZ522,1,$E$2+3),9,2))),-1))))</f>
        <v/>
      </c>
      <c r="U524">
        <f>IF($R524="","",IF(OR($S524&lt;0,$T524&lt;0),0,MAX(0,MIN($T524,EOMONTH(급여기준월,0))-MAX($S524,급여기준월)+1)))</f>
        <v/>
      </c>
      <c r="V524">
        <f>IF($R524="","",TRIM(INDEX('입력_구리근무자명단'!$A522:$ZZ522,1,$E$2+5)&amp;""))</f>
        <v/>
      </c>
      <c r="W524">
        <f>IF(ISNUMBER(SEARCH("구리독자",$V524)),"구리독자","")</f>
        <v/>
      </c>
      <c r="X524">
        <f>IF($R524="","",$R524&amp;"|"&amp;IF(OR($Q524="인턴",ISNUMBER(SEARCH("수련교육부",$P524))),"인턴",$P524))</f>
        <v/>
      </c>
      <c r="Y524">
        <f>IF($R524="","",IF(COUNTIF(명단표[이름|과],$X524)=1,"명단 일치",IF(AND(COUNTIF(명단표[이름|과],$X524)=0,COUNTIF(명단표[이름],$R524)=1),"명단 일치(이름만, 과 다름)",IF(COUNTIF(명단표[이름],$R524)=0,IF(COUNTIF(기본자료표[이름],$R524)&gt;0,"명단에 없음(기본자료에는 있음)","명단에 없음"),"동명이인 확인"))))</f>
        <v/>
      </c>
      <c r="Z524">
        <f>IF($R524="","",IF($S524&lt;0,"⚠"&amp;INDEX('입력_구리근무자명단'!$A522:$ZZ522,1,$E$2+2),TEXT($S524,"yyyy-mm-dd")))</f>
        <v/>
      </c>
      <c r="AA524">
        <f>IF($R524="","",IF($T524&lt;0,"⚠"&amp;INDEX('입력_구리근무자명단'!$A522:$ZZ522,1,$E$2+3),TEXT($T524,"yyyy-mm-dd")))</f>
        <v/>
      </c>
      <c r="AB524">
        <f>AB523+IF($R524="",0,1)</f>
        <v/>
      </c>
      <c r="AC524">
        <f>IF($R524="","",$AB524)</f>
        <v/>
      </c>
    </row>
    <row r="525">
      <c r="O525">
        <f>523</f>
        <v/>
      </c>
      <c r="P525">
        <f>IF(TRIM('입력_구리근무자명단'!$A523&amp;"")&lt;&gt;"",TRIM('입력_구리근무자명단'!$A523&amp;""),P524)</f>
        <v/>
      </c>
      <c r="Q525">
        <f>'입력_구리근무자명단'!$B523&amp;""</f>
        <v/>
      </c>
      <c r="R525">
        <f>IF($E$2="","",TRIM(INDEX('입력_구리근무자명단'!$A523:$ZZ523,1,$E$2+IF($G$2="확정",1,0))&amp;""))</f>
        <v/>
      </c>
      <c r="S525">
        <f>IF($R525="","",IF(INDEX('입력_구리근무자명단'!$A523:$ZZ523,1,$E$2+2)&amp;""="",급여기준월,IF(ISNUMBER(INDEX('입력_구리근무자명단'!$A523:$ZZ523,1,$E$2+2)),INDEX('입력_구리근무자명단'!$A523:$ZZ523,1,$E$2+2),IFERROR(DATE(VALUE(LEFT(INDEX('입력_구리근무자명단'!$A523:$ZZ523,1,$E$2+2),4)),VALUE(MID(INDEX('입력_구리근무자명단'!$A523:$ZZ523,1,$E$2+2),6,2)),VALUE(MID(INDEX('입력_구리근무자명단'!$A523:$ZZ523,1,$E$2+2),9,2))),-1))))</f>
        <v/>
      </c>
      <c r="T525">
        <f>IF($R525="","",IF(INDEX('입력_구리근무자명단'!$A523:$ZZ523,1,$E$2+3)&amp;""="",EOMONTH(급여기준월,0),IF(ISNUMBER(INDEX('입력_구리근무자명단'!$A523:$ZZ523,1,$E$2+3)),INDEX('입력_구리근무자명단'!$A523:$ZZ523,1,$E$2+3),IFERROR(DATE(VALUE(LEFT(INDEX('입력_구리근무자명단'!$A523:$ZZ523,1,$E$2+3),4)),VALUE(MID(INDEX('입력_구리근무자명단'!$A523:$ZZ523,1,$E$2+3),6,2)),VALUE(MID(INDEX('입력_구리근무자명단'!$A523:$ZZ523,1,$E$2+3),9,2))),-1))))</f>
        <v/>
      </c>
      <c r="U525">
        <f>IF($R525="","",IF(OR($S525&lt;0,$T525&lt;0),0,MAX(0,MIN($T525,EOMONTH(급여기준월,0))-MAX($S525,급여기준월)+1)))</f>
        <v/>
      </c>
      <c r="V525">
        <f>IF($R525="","",TRIM(INDEX('입력_구리근무자명단'!$A523:$ZZ523,1,$E$2+5)&amp;""))</f>
        <v/>
      </c>
      <c r="W525">
        <f>IF(ISNUMBER(SEARCH("구리독자",$V525)),"구리독자","")</f>
        <v/>
      </c>
      <c r="X525">
        <f>IF($R525="","",$R525&amp;"|"&amp;IF(OR($Q525="인턴",ISNUMBER(SEARCH("수련교육부",$P525))),"인턴",$P525))</f>
        <v/>
      </c>
      <c r="Y525">
        <f>IF($R525="","",IF(COUNTIF(명단표[이름|과],$X525)=1,"명단 일치",IF(AND(COUNTIF(명단표[이름|과],$X525)=0,COUNTIF(명단표[이름],$R525)=1),"명단 일치(이름만, 과 다름)",IF(COUNTIF(명단표[이름],$R525)=0,IF(COUNTIF(기본자료표[이름],$R525)&gt;0,"명단에 없음(기본자료에는 있음)","명단에 없음"),"동명이인 확인"))))</f>
        <v/>
      </c>
      <c r="Z525">
        <f>IF($R525="","",IF($S525&lt;0,"⚠"&amp;INDEX('입력_구리근무자명단'!$A523:$ZZ523,1,$E$2+2),TEXT($S525,"yyyy-mm-dd")))</f>
        <v/>
      </c>
      <c r="AA525">
        <f>IF($R525="","",IF($T525&lt;0,"⚠"&amp;INDEX('입력_구리근무자명단'!$A523:$ZZ523,1,$E$2+3),TEXT($T525,"yyyy-mm-dd")))</f>
        <v/>
      </c>
      <c r="AB525">
        <f>AB524+IF($R525="",0,1)</f>
        <v/>
      </c>
      <c r="AC525">
        <f>IF($R525="","",$AB525)</f>
        <v/>
      </c>
    </row>
    <row r="526">
      <c r="O526">
        <f>524</f>
        <v/>
      </c>
      <c r="P526">
        <f>IF(TRIM('입력_구리근무자명단'!$A524&amp;"")&lt;&gt;"",TRIM('입력_구리근무자명단'!$A524&amp;""),P525)</f>
        <v/>
      </c>
      <c r="Q526">
        <f>'입력_구리근무자명단'!$B524&amp;""</f>
        <v/>
      </c>
      <c r="R526">
        <f>IF($E$2="","",TRIM(INDEX('입력_구리근무자명단'!$A524:$ZZ524,1,$E$2+IF($G$2="확정",1,0))&amp;""))</f>
        <v/>
      </c>
      <c r="S526">
        <f>IF($R526="","",IF(INDEX('입력_구리근무자명단'!$A524:$ZZ524,1,$E$2+2)&amp;""="",급여기준월,IF(ISNUMBER(INDEX('입력_구리근무자명단'!$A524:$ZZ524,1,$E$2+2)),INDEX('입력_구리근무자명단'!$A524:$ZZ524,1,$E$2+2),IFERROR(DATE(VALUE(LEFT(INDEX('입력_구리근무자명단'!$A524:$ZZ524,1,$E$2+2),4)),VALUE(MID(INDEX('입력_구리근무자명단'!$A524:$ZZ524,1,$E$2+2),6,2)),VALUE(MID(INDEX('입력_구리근무자명단'!$A524:$ZZ524,1,$E$2+2),9,2))),-1))))</f>
        <v/>
      </c>
      <c r="T526">
        <f>IF($R526="","",IF(INDEX('입력_구리근무자명단'!$A524:$ZZ524,1,$E$2+3)&amp;""="",EOMONTH(급여기준월,0),IF(ISNUMBER(INDEX('입력_구리근무자명단'!$A524:$ZZ524,1,$E$2+3)),INDEX('입력_구리근무자명단'!$A524:$ZZ524,1,$E$2+3),IFERROR(DATE(VALUE(LEFT(INDEX('입력_구리근무자명단'!$A524:$ZZ524,1,$E$2+3),4)),VALUE(MID(INDEX('입력_구리근무자명단'!$A524:$ZZ524,1,$E$2+3),6,2)),VALUE(MID(INDEX('입력_구리근무자명단'!$A524:$ZZ524,1,$E$2+3),9,2))),-1))))</f>
        <v/>
      </c>
      <c r="U526">
        <f>IF($R526="","",IF(OR($S526&lt;0,$T526&lt;0),0,MAX(0,MIN($T526,EOMONTH(급여기준월,0))-MAX($S526,급여기준월)+1)))</f>
        <v/>
      </c>
      <c r="V526">
        <f>IF($R526="","",TRIM(INDEX('입력_구리근무자명단'!$A524:$ZZ524,1,$E$2+5)&amp;""))</f>
        <v/>
      </c>
      <c r="W526">
        <f>IF(ISNUMBER(SEARCH("구리독자",$V526)),"구리독자","")</f>
        <v/>
      </c>
      <c r="X526">
        <f>IF($R526="","",$R526&amp;"|"&amp;IF(OR($Q526="인턴",ISNUMBER(SEARCH("수련교육부",$P526))),"인턴",$P526))</f>
        <v/>
      </c>
      <c r="Y526">
        <f>IF($R526="","",IF(COUNTIF(명단표[이름|과],$X526)=1,"명단 일치",IF(AND(COUNTIF(명단표[이름|과],$X526)=0,COUNTIF(명단표[이름],$R526)=1),"명단 일치(이름만, 과 다름)",IF(COUNTIF(명단표[이름],$R526)=0,IF(COUNTIF(기본자료표[이름],$R526)&gt;0,"명단에 없음(기본자료에는 있음)","명단에 없음"),"동명이인 확인"))))</f>
        <v/>
      </c>
      <c r="Z526">
        <f>IF($R526="","",IF($S526&lt;0,"⚠"&amp;INDEX('입력_구리근무자명단'!$A524:$ZZ524,1,$E$2+2),TEXT($S526,"yyyy-mm-dd")))</f>
        <v/>
      </c>
      <c r="AA526">
        <f>IF($R526="","",IF($T526&lt;0,"⚠"&amp;INDEX('입력_구리근무자명단'!$A524:$ZZ524,1,$E$2+3),TEXT($T526,"yyyy-mm-dd")))</f>
        <v/>
      </c>
      <c r="AB526">
        <f>AB525+IF($R526="",0,1)</f>
        <v/>
      </c>
      <c r="AC526">
        <f>IF($R526="","",$AB526)</f>
        <v/>
      </c>
    </row>
    <row r="527">
      <c r="O527">
        <f>525</f>
        <v/>
      </c>
      <c r="P527">
        <f>IF(TRIM('입력_구리근무자명단'!$A525&amp;"")&lt;&gt;"",TRIM('입력_구리근무자명단'!$A525&amp;""),P526)</f>
        <v/>
      </c>
      <c r="Q527">
        <f>'입력_구리근무자명단'!$B525&amp;""</f>
        <v/>
      </c>
      <c r="R527">
        <f>IF($E$2="","",TRIM(INDEX('입력_구리근무자명단'!$A525:$ZZ525,1,$E$2+IF($G$2="확정",1,0))&amp;""))</f>
        <v/>
      </c>
      <c r="S527">
        <f>IF($R527="","",IF(INDEX('입력_구리근무자명단'!$A525:$ZZ525,1,$E$2+2)&amp;""="",급여기준월,IF(ISNUMBER(INDEX('입력_구리근무자명단'!$A525:$ZZ525,1,$E$2+2)),INDEX('입력_구리근무자명단'!$A525:$ZZ525,1,$E$2+2),IFERROR(DATE(VALUE(LEFT(INDEX('입력_구리근무자명단'!$A525:$ZZ525,1,$E$2+2),4)),VALUE(MID(INDEX('입력_구리근무자명단'!$A525:$ZZ525,1,$E$2+2),6,2)),VALUE(MID(INDEX('입력_구리근무자명단'!$A525:$ZZ525,1,$E$2+2),9,2))),-1))))</f>
        <v/>
      </c>
      <c r="T527">
        <f>IF($R527="","",IF(INDEX('입력_구리근무자명단'!$A525:$ZZ525,1,$E$2+3)&amp;""="",EOMONTH(급여기준월,0),IF(ISNUMBER(INDEX('입력_구리근무자명단'!$A525:$ZZ525,1,$E$2+3)),INDEX('입력_구리근무자명단'!$A525:$ZZ525,1,$E$2+3),IFERROR(DATE(VALUE(LEFT(INDEX('입력_구리근무자명단'!$A525:$ZZ525,1,$E$2+3),4)),VALUE(MID(INDEX('입력_구리근무자명단'!$A525:$ZZ525,1,$E$2+3),6,2)),VALUE(MID(INDEX('입력_구리근무자명단'!$A525:$ZZ525,1,$E$2+3),9,2))),-1))))</f>
        <v/>
      </c>
      <c r="U527">
        <f>IF($R527="","",IF(OR($S527&lt;0,$T527&lt;0),0,MAX(0,MIN($T527,EOMONTH(급여기준월,0))-MAX($S527,급여기준월)+1)))</f>
        <v/>
      </c>
      <c r="V527">
        <f>IF($R527="","",TRIM(INDEX('입력_구리근무자명단'!$A525:$ZZ525,1,$E$2+5)&amp;""))</f>
        <v/>
      </c>
      <c r="W527">
        <f>IF(ISNUMBER(SEARCH("구리독자",$V527)),"구리독자","")</f>
        <v/>
      </c>
      <c r="X527">
        <f>IF($R527="","",$R527&amp;"|"&amp;IF(OR($Q527="인턴",ISNUMBER(SEARCH("수련교육부",$P527))),"인턴",$P527))</f>
        <v/>
      </c>
      <c r="Y527">
        <f>IF($R527="","",IF(COUNTIF(명단표[이름|과],$X527)=1,"명단 일치",IF(AND(COUNTIF(명단표[이름|과],$X527)=0,COUNTIF(명단표[이름],$R527)=1),"명단 일치(이름만, 과 다름)",IF(COUNTIF(명단표[이름],$R527)=0,IF(COUNTIF(기본자료표[이름],$R527)&gt;0,"명단에 없음(기본자료에는 있음)","명단에 없음"),"동명이인 확인"))))</f>
        <v/>
      </c>
      <c r="Z527">
        <f>IF($R527="","",IF($S527&lt;0,"⚠"&amp;INDEX('입력_구리근무자명단'!$A525:$ZZ525,1,$E$2+2),TEXT($S527,"yyyy-mm-dd")))</f>
        <v/>
      </c>
      <c r="AA527">
        <f>IF($R527="","",IF($T527&lt;0,"⚠"&amp;INDEX('입력_구리근무자명단'!$A525:$ZZ525,1,$E$2+3),TEXT($T527,"yyyy-mm-dd")))</f>
        <v/>
      </c>
      <c r="AB527">
        <f>AB526+IF($R527="",0,1)</f>
        <v/>
      </c>
      <c r="AC527">
        <f>IF($R527="","",$AB527)</f>
        <v/>
      </c>
    </row>
    <row r="528">
      <c r="O528">
        <f>526</f>
        <v/>
      </c>
      <c r="P528">
        <f>IF(TRIM('입력_구리근무자명단'!$A526&amp;"")&lt;&gt;"",TRIM('입력_구리근무자명단'!$A526&amp;""),P527)</f>
        <v/>
      </c>
      <c r="Q528">
        <f>'입력_구리근무자명단'!$B526&amp;""</f>
        <v/>
      </c>
      <c r="R528">
        <f>IF($E$2="","",TRIM(INDEX('입력_구리근무자명단'!$A526:$ZZ526,1,$E$2+IF($G$2="확정",1,0))&amp;""))</f>
        <v/>
      </c>
      <c r="S528">
        <f>IF($R528="","",IF(INDEX('입력_구리근무자명단'!$A526:$ZZ526,1,$E$2+2)&amp;""="",급여기준월,IF(ISNUMBER(INDEX('입력_구리근무자명단'!$A526:$ZZ526,1,$E$2+2)),INDEX('입력_구리근무자명단'!$A526:$ZZ526,1,$E$2+2),IFERROR(DATE(VALUE(LEFT(INDEX('입력_구리근무자명단'!$A526:$ZZ526,1,$E$2+2),4)),VALUE(MID(INDEX('입력_구리근무자명단'!$A526:$ZZ526,1,$E$2+2),6,2)),VALUE(MID(INDEX('입력_구리근무자명단'!$A526:$ZZ526,1,$E$2+2),9,2))),-1))))</f>
        <v/>
      </c>
      <c r="T528">
        <f>IF($R528="","",IF(INDEX('입력_구리근무자명단'!$A526:$ZZ526,1,$E$2+3)&amp;""="",EOMONTH(급여기준월,0),IF(ISNUMBER(INDEX('입력_구리근무자명단'!$A526:$ZZ526,1,$E$2+3)),INDEX('입력_구리근무자명단'!$A526:$ZZ526,1,$E$2+3),IFERROR(DATE(VALUE(LEFT(INDEX('입력_구리근무자명단'!$A526:$ZZ526,1,$E$2+3),4)),VALUE(MID(INDEX('입력_구리근무자명단'!$A526:$ZZ526,1,$E$2+3),6,2)),VALUE(MID(INDEX('입력_구리근무자명단'!$A526:$ZZ526,1,$E$2+3),9,2))),-1))))</f>
        <v/>
      </c>
      <c r="U528">
        <f>IF($R528="","",IF(OR($S528&lt;0,$T528&lt;0),0,MAX(0,MIN($T528,EOMONTH(급여기준월,0))-MAX($S528,급여기준월)+1)))</f>
        <v/>
      </c>
      <c r="V528">
        <f>IF($R528="","",TRIM(INDEX('입력_구리근무자명단'!$A526:$ZZ526,1,$E$2+5)&amp;""))</f>
        <v/>
      </c>
      <c r="W528">
        <f>IF(ISNUMBER(SEARCH("구리독자",$V528)),"구리독자","")</f>
        <v/>
      </c>
      <c r="X528">
        <f>IF($R528="","",$R528&amp;"|"&amp;IF(OR($Q528="인턴",ISNUMBER(SEARCH("수련교육부",$P528))),"인턴",$P528))</f>
        <v/>
      </c>
      <c r="Y528">
        <f>IF($R528="","",IF(COUNTIF(명단표[이름|과],$X528)=1,"명단 일치",IF(AND(COUNTIF(명단표[이름|과],$X528)=0,COUNTIF(명단표[이름],$R528)=1),"명단 일치(이름만, 과 다름)",IF(COUNTIF(명단표[이름],$R528)=0,IF(COUNTIF(기본자료표[이름],$R528)&gt;0,"명단에 없음(기본자료에는 있음)","명단에 없음"),"동명이인 확인"))))</f>
        <v/>
      </c>
      <c r="Z528">
        <f>IF($R528="","",IF($S528&lt;0,"⚠"&amp;INDEX('입력_구리근무자명단'!$A526:$ZZ526,1,$E$2+2),TEXT($S528,"yyyy-mm-dd")))</f>
        <v/>
      </c>
      <c r="AA528">
        <f>IF($R528="","",IF($T528&lt;0,"⚠"&amp;INDEX('입력_구리근무자명단'!$A526:$ZZ526,1,$E$2+3),TEXT($T528,"yyyy-mm-dd")))</f>
        <v/>
      </c>
      <c r="AB528">
        <f>AB527+IF($R528="",0,1)</f>
        <v/>
      </c>
      <c r="AC528">
        <f>IF($R528="","",$AB528)</f>
        <v/>
      </c>
    </row>
    <row r="529">
      <c r="O529">
        <f>527</f>
        <v/>
      </c>
      <c r="P529">
        <f>IF(TRIM('입력_구리근무자명단'!$A527&amp;"")&lt;&gt;"",TRIM('입력_구리근무자명단'!$A527&amp;""),P528)</f>
        <v/>
      </c>
      <c r="Q529">
        <f>'입력_구리근무자명단'!$B527&amp;""</f>
        <v/>
      </c>
      <c r="R529">
        <f>IF($E$2="","",TRIM(INDEX('입력_구리근무자명단'!$A527:$ZZ527,1,$E$2+IF($G$2="확정",1,0))&amp;""))</f>
        <v/>
      </c>
      <c r="S529">
        <f>IF($R529="","",IF(INDEX('입력_구리근무자명단'!$A527:$ZZ527,1,$E$2+2)&amp;""="",급여기준월,IF(ISNUMBER(INDEX('입력_구리근무자명단'!$A527:$ZZ527,1,$E$2+2)),INDEX('입력_구리근무자명단'!$A527:$ZZ527,1,$E$2+2),IFERROR(DATE(VALUE(LEFT(INDEX('입력_구리근무자명단'!$A527:$ZZ527,1,$E$2+2),4)),VALUE(MID(INDEX('입력_구리근무자명단'!$A527:$ZZ527,1,$E$2+2),6,2)),VALUE(MID(INDEX('입력_구리근무자명단'!$A527:$ZZ527,1,$E$2+2),9,2))),-1))))</f>
        <v/>
      </c>
      <c r="T529">
        <f>IF($R529="","",IF(INDEX('입력_구리근무자명단'!$A527:$ZZ527,1,$E$2+3)&amp;""="",EOMONTH(급여기준월,0),IF(ISNUMBER(INDEX('입력_구리근무자명단'!$A527:$ZZ527,1,$E$2+3)),INDEX('입력_구리근무자명단'!$A527:$ZZ527,1,$E$2+3),IFERROR(DATE(VALUE(LEFT(INDEX('입력_구리근무자명단'!$A527:$ZZ527,1,$E$2+3),4)),VALUE(MID(INDEX('입력_구리근무자명단'!$A527:$ZZ527,1,$E$2+3),6,2)),VALUE(MID(INDEX('입력_구리근무자명단'!$A527:$ZZ527,1,$E$2+3),9,2))),-1))))</f>
        <v/>
      </c>
      <c r="U529">
        <f>IF($R529="","",IF(OR($S529&lt;0,$T529&lt;0),0,MAX(0,MIN($T529,EOMONTH(급여기준월,0))-MAX($S529,급여기준월)+1)))</f>
        <v/>
      </c>
      <c r="V529">
        <f>IF($R529="","",TRIM(INDEX('입력_구리근무자명단'!$A527:$ZZ527,1,$E$2+5)&amp;""))</f>
        <v/>
      </c>
      <c r="W529">
        <f>IF(ISNUMBER(SEARCH("구리독자",$V529)),"구리독자","")</f>
        <v/>
      </c>
      <c r="X529">
        <f>IF($R529="","",$R529&amp;"|"&amp;IF(OR($Q529="인턴",ISNUMBER(SEARCH("수련교육부",$P529))),"인턴",$P529))</f>
        <v/>
      </c>
      <c r="Y529">
        <f>IF($R529="","",IF(COUNTIF(명단표[이름|과],$X529)=1,"명단 일치",IF(AND(COUNTIF(명단표[이름|과],$X529)=0,COUNTIF(명단표[이름],$R529)=1),"명단 일치(이름만, 과 다름)",IF(COUNTIF(명단표[이름],$R529)=0,IF(COUNTIF(기본자료표[이름],$R529)&gt;0,"명단에 없음(기본자료에는 있음)","명단에 없음"),"동명이인 확인"))))</f>
        <v/>
      </c>
      <c r="Z529">
        <f>IF($R529="","",IF($S529&lt;0,"⚠"&amp;INDEX('입력_구리근무자명단'!$A527:$ZZ527,1,$E$2+2),TEXT($S529,"yyyy-mm-dd")))</f>
        <v/>
      </c>
      <c r="AA529">
        <f>IF($R529="","",IF($T529&lt;0,"⚠"&amp;INDEX('입력_구리근무자명단'!$A527:$ZZ527,1,$E$2+3),TEXT($T529,"yyyy-mm-dd")))</f>
        <v/>
      </c>
      <c r="AB529">
        <f>AB528+IF($R529="",0,1)</f>
        <v/>
      </c>
      <c r="AC529">
        <f>IF($R529="","",$AB529)</f>
        <v/>
      </c>
    </row>
    <row r="530">
      <c r="O530">
        <f>528</f>
        <v/>
      </c>
      <c r="P530">
        <f>IF(TRIM('입력_구리근무자명단'!$A528&amp;"")&lt;&gt;"",TRIM('입력_구리근무자명단'!$A528&amp;""),P529)</f>
        <v/>
      </c>
      <c r="Q530">
        <f>'입력_구리근무자명단'!$B528&amp;""</f>
        <v/>
      </c>
      <c r="R530">
        <f>IF($E$2="","",TRIM(INDEX('입력_구리근무자명단'!$A528:$ZZ528,1,$E$2+IF($G$2="확정",1,0))&amp;""))</f>
        <v/>
      </c>
      <c r="S530">
        <f>IF($R530="","",IF(INDEX('입력_구리근무자명단'!$A528:$ZZ528,1,$E$2+2)&amp;""="",급여기준월,IF(ISNUMBER(INDEX('입력_구리근무자명단'!$A528:$ZZ528,1,$E$2+2)),INDEX('입력_구리근무자명단'!$A528:$ZZ528,1,$E$2+2),IFERROR(DATE(VALUE(LEFT(INDEX('입력_구리근무자명단'!$A528:$ZZ528,1,$E$2+2),4)),VALUE(MID(INDEX('입력_구리근무자명단'!$A528:$ZZ528,1,$E$2+2),6,2)),VALUE(MID(INDEX('입력_구리근무자명단'!$A528:$ZZ528,1,$E$2+2),9,2))),-1))))</f>
        <v/>
      </c>
      <c r="T530">
        <f>IF($R530="","",IF(INDEX('입력_구리근무자명단'!$A528:$ZZ528,1,$E$2+3)&amp;""="",EOMONTH(급여기준월,0),IF(ISNUMBER(INDEX('입력_구리근무자명단'!$A528:$ZZ528,1,$E$2+3)),INDEX('입력_구리근무자명단'!$A528:$ZZ528,1,$E$2+3),IFERROR(DATE(VALUE(LEFT(INDEX('입력_구리근무자명단'!$A528:$ZZ528,1,$E$2+3),4)),VALUE(MID(INDEX('입력_구리근무자명단'!$A528:$ZZ528,1,$E$2+3),6,2)),VALUE(MID(INDEX('입력_구리근무자명단'!$A528:$ZZ528,1,$E$2+3),9,2))),-1))))</f>
        <v/>
      </c>
      <c r="U530">
        <f>IF($R530="","",IF(OR($S530&lt;0,$T530&lt;0),0,MAX(0,MIN($T530,EOMONTH(급여기준월,0))-MAX($S530,급여기준월)+1)))</f>
        <v/>
      </c>
      <c r="V530">
        <f>IF($R530="","",TRIM(INDEX('입력_구리근무자명단'!$A528:$ZZ528,1,$E$2+5)&amp;""))</f>
        <v/>
      </c>
      <c r="W530">
        <f>IF(ISNUMBER(SEARCH("구리독자",$V530)),"구리독자","")</f>
        <v/>
      </c>
      <c r="X530">
        <f>IF($R530="","",$R530&amp;"|"&amp;IF(OR($Q530="인턴",ISNUMBER(SEARCH("수련교육부",$P530))),"인턴",$P530))</f>
        <v/>
      </c>
      <c r="Y530">
        <f>IF($R530="","",IF(COUNTIF(명단표[이름|과],$X530)=1,"명단 일치",IF(AND(COUNTIF(명단표[이름|과],$X530)=0,COUNTIF(명단표[이름],$R530)=1),"명단 일치(이름만, 과 다름)",IF(COUNTIF(명단표[이름],$R530)=0,IF(COUNTIF(기본자료표[이름],$R530)&gt;0,"명단에 없음(기본자료에는 있음)","명단에 없음"),"동명이인 확인"))))</f>
        <v/>
      </c>
      <c r="Z530">
        <f>IF($R530="","",IF($S530&lt;0,"⚠"&amp;INDEX('입력_구리근무자명단'!$A528:$ZZ528,1,$E$2+2),TEXT($S530,"yyyy-mm-dd")))</f>
        <v/>
      </c>
      <c r="AA530">
        <f>IF($R530="","",IF($T530&lt;0,"⚠"&amp;INDEX('입력_구리근무자명단'!$A528:$ZZ528,1,$E$2+3),TEXT($T530,"yyyy-mm-dd")))</f>
        <v/>
      </c>
      <c r="AB530">
        <f>AB529+IF($R530="",0,1)</f>
        <v/>
      </c>
      <c r="AC530">
        <f>IF($R530="","",$AB530)</f>
        <v/>
      </c>
    </row>
    <row r="531">
      <c r="O531">
        <f>529</f>
        <v/>
      </c>
      <c r="P531">
        <f>IF(TRIM('입력_구리근무자명단'!$A529&amp;"")&lt;&gt;"",TRIM('입력_구리근무자명단'!$A529&amp;""),P530)</f>
        <v/>
      </c>
      <c r="Q531">
        <f>'입력_구리근무자명단'!$B529&amp;""</f>
        <v/>
      </c>
      <c r="R531">
        <f>IF($E$2="","",TRIM(INDEX('입력_구리근무자명단'!$A529:$ZZ529,1,$E$2+IF($G$2="확정",1,0))&amp;""))</f>
        <v/>
      </c>
      <c r="S531">
        <f>IF($R531="","",IF(INDEX('입력_구리근무자명단'!$A529:$ZZ529,1,$E$2+2)&amp;""="",급여기준월,IF(ISNUMBER(INDEX('입력_구리근무자명단'!$A529:$ZZ529,1,$E$2+2)),INDEX('입력_구리근무자명단'!$A529:$ZZ529,1,$E$2+2),IFERROR(DATE(VALUE(LEFT(INDEX('입력_구리근무자명단'!$A529:$ZZ529,1,$E$2+2),4)),VALUE(MID(INDEX('입력_구리근무자명단'!$A529:$ZZ529,1,$E$2+2),6,2)),VALUE(MID(INDEX('입력_구리근무자명단'!$A529:$ZZ529,1,$E$2+2),9,2))),-1))))</f>
        <v/>
      </c>
      <c r="T531">
        <f>IF($R531="","",IF(INDEX('입력_구리근무자명단'!$A529:$ZZ529,1,$E$2+3)&amp;""="",EOMONTH(급여기준월,0),IF(ISNUMBER(INDEX('입력_구리근무자명단'!$A529:$ZZ529,1,$E$2+3)),INDEX('입력_구리근무자명단'!$A529:$ZZ529,1,$E$2+3),IFERROR(DATE(VALUE(LEFT(INDEX('입력_구리근무자명단'!$A529:$ZZ529,1,$E$2+3),4)),VALUE(MID(INDEX('입력_구리근무자명단'!$A529:$ZZ529,1,$E$2+3),6,2)),VALUE(MID(INDEX('입력_구리근무자명단'!$A529:$ZZ529,1,$E$2+3),9,2))),-1))))</f>
        <v/>
      </c>
      <c r="U531">
        <f>IF($R531="","",IF(OR($S531&lt;0,$T531&lt;0),0,MAX(0,MIN($T531,EOMONTH(급여기준월,0))-MAX($S531,급여기준월)+1)))</f>
        <v/>
      </c>
      <c r="V531">
        <f>IF($R531="","",TRIM(INDEX('입력_구리근무자명단'!$A529:$ZZ529,1,$E$2+5)&amp;""))</f>
        <v/>
      </c>
      <c r="W531">
        <f>IF(ISNUMBER(SEARCH("구리독자",$V531)),"구리독자","")</f>
        <v/>
      </c>
      <c r="X531">
        <f>IF($R531="","",$R531&amp;"|"&amp;IF(OR($Q531="인턴",ISNUMBER(SEARCH("수련교육부",$P531))),"인턴",$P531))</f>
        <v/>
      </c>
      <c r="Y531">
        <f>IF($R531="","",IF(COUNTIF(명단표[이름|과],$X531)=1,"명단 일치",IF(AND(COUNTIF(명단표[이름|과],$X531)=0,COUNTIF(명단표[이름],$R531)=1),"명단 일치(이름만, 과 다름)",IF(COUNTIF(명단표[이름],$R531)=0,IF(COUNTIF(기본자료표[이름],$R531)&gt;0,"명단에 없음(기본자료에는 있음)","명단에 없음"),"동명이인 확인"))))</f>
        <v/>
      </c>
      <c r="Z531">
        <f>IF($R531="","",IF($S531&lt;0,"⚠"&amp;INDEX('입력_구리근무자명단'!$A529:$ZZ529,1,$E$2+2),TEXT($S531,"yyyy-mm-dd")))</f>
        <v/>
      </c>
      <c r="AA531">
        <f>IF($R531="","",IF($T531&lt;0,"⚠"&amp;INDEX('입력_구리근무자명단'!$A529:$ZZ529,1,$E$2+3),TEXT($T531,"yyyy-mm-dd")))</f>
        <v/>
      </c>
      <c r="AB531">
        <f>AB530+IF($R531="",0,1)</f>
        <v/>
      </c>
      <c r="AC531">
        <f>IF($R531="","",$AB531)</f>
        <v/>
      </c>
    </row>
    <row r="532">
      <c r="O532">
        <f>530</f>
        <v/>
      </c>
      <c r="P532">
        <f>IF(TRIM('입력_구리근무자명단'!$A530&amp;"")&lt;&gt;"",TRIM('입력_구리근무자명단'!$A530&amp;""),P531)</f>
        <v/>
      </c>
      <c r="Q532">
        <f>'입력_구리근무자명단'!$B530&amp;""</f>
        <v/>
      </c>
      <c r="R532">
        <f>IF($E$2="","",TRIM(INDEX('입력_구리근무자명단'!$A530:$ZZ530,1,$E$2+IF($G$2="확정",1,0))&amp;""))</f>
        <v/>
      </c>
      <c r="S532">
        <f>IF($R532="","",IF(INDEX('입력_구리근무자명단'!$A530:$ZZ530,1,$E$2+2)&amp;""="",급여기준월,IF(ISNUMBER(INDEX('입력_구리근무자명단'!$A530:$ZZ530,1,$E$2+2)),INDEX('입력_구리근무자명단'!$A530:$ZZ530,1,$E$2+2),IFERROR(DATE(VALUE(LEFT(INDEX('입력_구리근무자명단'!$A530:$ZZ530,1,$E$2+2),4)),VALUE(MID(INDEX('입력_구리근무자명단'!$A530:$ZZ530,1,$E$2+2),6,2)),VALUE(MID(INDEX('입력_구리근무자명단'!$A530:$ZZ530,1,$E$2+2),9,2))),-1))))</f>
        <v/>
      </c>
      <c r="T532">
        <f>IF($R532="","",IF(INDEX('입력_구리근무자명단'!$A530:$ZZ530,1,$E$2+3)&amp;""="",EOMONTH(급여기준월,0),IF(ISNUMBER(INDEX('입력_구리근무자명단'!$A530:$ZZ530,1,$E$2+3)),INDEX('입력_구리근무자명단'!$A530:$ZZ530,1,$E$2+3),IFERROR(DATE(VALUE(LEFT(INDEX('입력_구리근무자명단'!$A530:$ZZ530,1,$E$2+3),4)),VALUE(MID(INDEX('입력_구리근무자명단'!$A530:$ZZ530,1,$E$2+3),6,2)),VALUE(MID(INDEX('입력_구리근무자명단'!$A530:$ZZ530,1,$E$2+3),9,2))),-1))))</f>
        <v/>
      </c>
      <c r="U532">
        <f>IF($R532="","",IF(OR($S532&lt;0,$T532&lt;0),0,MAX(0,MIN($T532,EOMONTH(급여기준월,0))-MAX($S532,급여기준월)+1)))</f>
        <v/>
      </c>
      <c r="V532">
        <f>IF($R532="","",TRIM(INDEX('입력_구리근무자명단'!$A530:$ZZ530,1,$E$2+5)&amp;""))</f>
        <v/>
      </c>
      <c r="W532">
        <f>IF(ISNUMBER(SEARCH("구리독자",$V532)),"구리독자","")</f>
        <v/>
      </c>
      <c r="X532">
        <f>IF($R532="","",$R532&amp;"|"&amp;IF(OR($Q532="인턴",ISNUMBER(SEARCH("수련교육부",$P532))),"인턴",$P532))</f>
        <v/>
      </c>
      <c r="Y532">
        <f>IF($R532="","",IF(COUNTIF(명단표[이름|과],$X532)=1,"명단 일치",IF(AND(COUNTIF(명단표[이름|과],$X532)=0,COUNTIF(명단표[이름],$R532)=1),"명단 일치(이름만, 과 다름)",IF(COUNTIF(명단표[이름],$R532)=0,IF(COUNTIF(기본자료표[이름],$R532)&gt;0,"명단에 없음(기본자료에는 있음)","명단에 없음"),"동명이인 확인"))))</f>
        <v/>
      </c>
      <c r="Z532">
        <f>IF($R532="","",IF($S532&lt;0,"⚠"&amp;INDEX('입력_구리근무자명단'!$A530:$ZZ530,1,$E$2+2),TEXT($S532,"yyyy-mm-dd")))</f>
        <v/>
      </c>
      <c r="AA532">
        <f>IF($R532="","",IF($T532&lt;0,"⚠"&amp;INDEX('입력_구리근무자명단'!$A530:$ZZ530,1,$E$2+3),TEXT($T532,"yyyy-mm-dd")))</f>
        <v/>
      </c>
      <c r="AB532">
        <f>AB531+IF($R532="",0,1)</f>
        <v/>
      </c>
      <c r="AC532">
        <f>IF($R532="","",$AB532)</f>
        <v/>
      </c>
    </row>
    <row r="533">
      <c r="O533">
        <f>531</f>
        <v/>
      </c>
      <c r="P533">
        <f>IF(TRIM('입력_구리근무자명단'!$A531&amp;"")&lt;&gt;"",TRIM('입력_구리근무자명단'!$A531&amp;""),P532)</f>
        <v/>
      </c>
      <c r="Q533">
        <f>'입력_구리근무자명단'!$B531&amp;""</f>
        <v/>
      </c>
      <c r="R533">
        <f>IF($E$2="","",TRIM(INDEX('입력_구리근무자명단'!$A531:$ZZ531,1,$E$2+IF($G$2="확정",1,0))&amp;""))</f>
        <v/>
      </c>
      <c r="S533">
        <f>IF($R533="","",IF(INDEX('입력_구리근무자명단'!$A531:$ZZ531,1,$E$2+2)&amp;""="",급여기준월,IF(ISNUMBER(INDEX('입력_구리근무자명단'!$A531:$ZZ531,1,$E$2+2)),INDEX('입력_구리근무자명단'!$A531:$ZZ531,1,$E$2+2),IFERROR(DATE(VALUE(LEFT(INDEX('입력_구리근무자명단'!$A531:$ZZ531,1,$E$2+2),4)),VALUE(MID(INDEX('입력_구리근무자명단'!$A531:$ZZ531,1,$E$2+2),6,2)),VALUE(MID(INDEX('입력_구리근무자명단'!$A531:$ZZ531,1,$E$2+2),9,2))),-1))))</f>
        <v/>
      </c>
      <c r="T533">
        <f>IF($R533="","",IF(INDEX('입력_구리근무자명단'!$A531:$ZZ531,1,$E$2+3)&amp;""="",EOMONTH(급여기준월,0),IF(ISNUMBER(INDEX('입력_구리근무자명단'!$A531:$ZZ531,1,$E$2+3)),INDEX('입력_구리근무자명단'!$A531:$ZZ531,1,$E$2+3),IFERROR(DATE(VALUE(LEFT(INDEX('입력_구리근무자명단'!$A531:$ZZ531,1,$E$2+3),4)),VALUE(MID(INDEX('입력_구리근무자명단'!$A531:$ZZ531,1,$E$2+3),6,2)),VALUE(MID(INDEX('입력_구리근무자명단'!$A531:$ZZ531,1,$E$2+3),9,2))),-1))))</f>
        <v/>
      </c>
      <c r="U533">
        <f>IF($R533="","",IF(OR($S533&lt;0,$T533&lt;0),0,MAX(0,MIN($T533,EOMONTH(급여기준월,0))-MAX($S533,급여기준월)+1)))</f>
        <v/>
      </c>
      <c r="V533">
        <f>IF($R533="","",TRIM(INDEX('입력_구리근무자명단'!$A531:$ZZ531,1,$E$2+5)&amp;""))</f>
        <v/>
      </c>
      <c r="W533">
        <f>IF(ISNUMBER(SEARCH("구리독자",$V533)),"구리독자","")</f>
        <v/>
      </c>
      <c r="X533">
        <f>IF($R533="","",$R533&amp;"|"&amp;IF(OR($Q533="인턴",ISNUMBER(SEARCH("수련교육부",$P533))),"인턴",$P533))</f>
        <v/>
      </c>
      <c r="Y533">
        <f>IF($R533="","",IF(COUNTIF(명단표[이름|과],$X533)=1,"명단 일치",IF(AND(COUNTIF(명단표[이름|과],$X533)=0,COUNTIF(명단표[이름],$R533)=1),"명단 일치(이름만, 과 다름)",IF(COUNTIF(명단표[이름],$R533)=0,IF(COUNTIF(기본자료표[이름],$R533)&gt;0,"명단에 없음(기본자료에는 있음)","명단에 없음"),"동명이인 확인"))))</f>
        <v/>
      </c>
      <c r="Z533">
        <f>IF($R533="","",IF($S533&lt;0,"⚠"&amp;INDEX('입력_구리근무자명단'!$A531:$ZZ531,1,$E$2+2),TEXT($S533,"yyyy-mm-dd")))</f>
        <v/>
      </c>
      <c r="AA533">
        <f>IF($R533="","",IF($T533&lt;0,"⚠"&amp;INDEX('입력_구리근무자명단'!$A531:$ZZ531,1,$E$2+3),TEXT($T533,"yyyy-mm-dd")))</f>
        <v/>
      </c>
      <c r="AB533">
        <f>AB532+IF($R533="",0,1)</f>
        <v/>
      </c>
      <c r="AC533">
        <f>IF($R533="","",$AB533)</f>
        <v/>
      </c>
    </row>
    <row r="534">
      <c r="O534">
        <f>532</f>
        <v/>
      </c>
      <c r="P534">
        <f>IF(TRIM('입력_구리근무자명단'!$A532&amp;"")&lt;&gt;"",TRIM('입력_구리근무자명단'!$A532&amp;""),P533)</f>
        <v/>
      </c>
      <c r="Q534">
        <f>'입력_구리근무자명단'!$B532&amp;""</f>
        <v/>
      </c>
      <c r="R534">
        <f>IF($E$2="","",TRIM(INDEX('입력_구리근무자명단'!$A532:$ZZ532,1,$E$2+IF($G$2="확정",1,0))&amp;""))</f>
        <v/>
      </c>
      <c r="S534">
        <f>IF($R534="","",IF(INDEX('입력_구리근무자명단'!$A532:$ZZ532,1,$E$2+2)&amp;""="",급여기준월,IF(ISNUMBER(INDEX('입력_구리근무자명단'!$A532:$ZZ532,1,$E$2+2)),INDEX('입력_구리근무자명단'!$A532:$ZZ532,1,$E$2+2),IFERROR(DATE(VALUE(LEFT(INDEX('입력_구리근무자명단'!$A532:$ZZ532,1,$E$2+2),4)),VALUE(MID(INDEX('입력_구리근무자명단'!$A532:$ZZ532,1,$E$2+2),6,2)),VALUE(MID(INDEX('입력_구리근무자명단'!$A532:$ZZ532,1,$E$2+2),9,2))),-1))))</f>
        <v/>
      </c>
      <c r="T534">
        <f>IF($R534="","",IF(INDEX('입력_구리근무자명단'!$A532:$ZZ532,1,$E$2+3)&amp;""="",EOMONTH(급여기준월,0),IF(ISNUMBER(INDEX('입력_구리근무자명단'!$A532:$ZZ532,1,$E$2+3)),INDEX('입력_구리근무자명단'!$A532:$ZZ532,1,$E$2+3),IFERROR(DATE(VALUE(LEFT(INDEX('입력_구리근무자명단'!$A532:$ZZ532,1,$E$2+3),4)),VALUE(MID(INDEX('입력_구리근무자명단'!$A532:$ZZ532,1,$E$2+3),6,2)),VALUE(MID(INDEX('입력_구리근무자명단'!$A532:$ZZ532,1,$E$2+3),9,2))),-1))))</f>
        <v/>
      </c>
      <c r="U534">
        <f>IF($R534="","",IF(OR($S534&lt;0,$T534&lt;0),0,MAX(0,MIN($T534,EOMONTH(급여기준월,0))-MAX($S534,급여기준월)+1)))</f>
        <v/>
      </c>
      <c r="V534">
        <f>IF($R534="","",TRIM(INDEX('입력_구리근무자명단'!$A532:$ZZ532,1,$E$2+5)&amp;""))</f>
        <v/>
      </c>
      <c r="W534">
        <f>IF(ISNUMBER(SEARCH("구리독자",$V534)),"구리독자","")</f>
        <v/>
      </c>
      <c r="X534">
        <f>IF($R534="","",$R534&amp;"|"&amp;IF(OR($Q534="인턴",ISNUMBER(SEARCH("수련교육부",$P534))),"인턴",$P534))</f>
        <v/>
      </c>
      <c r="Y534">
        <f>IF($R534="","",IF(COUNTIF(명단표[이름|과],$X534)=1,"명단 일치",IF(AND(COUNTIF(명단표[이름|과],$X534)=0,COUNTIF(명단표[이름],$R534)=1),"명단 일치(이름만, 과 다름)",IF(COUNTIF(명단표[이름],$R534)=0,IF(COUNTIF(기본자료표[이름],$R534)&gt;0,"명단에 없음(기본자료에는 있음)","명단에 없음"),"동명이인 확인"))))</f>
        <v/>
      </c>
      <c r="Z534">
        <f>IF($R534="","",IF($S534&lt;0,"⚠"&amp;INDEX('입력_구리근무자명단'!$A532:$ZZ532,1,$E$2+2),TEXT($S534,"yyyy-mm-dd")))</f>
        <v/>
      </c>
      <c r="AA534">
        <f>IF($R534="","",IF($T534&lt;0,"⚠"&amp;INDEX('입력_구리근무자명단'!$A532:$ZZ532,1,$E$2+3),TEXT($T534,"yyyy-mm-dd")))</f>
        <v/>
      </c>
      <c r="AB534">
        <f>AB533+IF($R534="",0,1)</f>
        <v/>
      </c>
      <c r="AC534">
        <f>IF($R534="","",$AB534)</f>
        <v/>
      </c>
    </row>
    <row r="535">
      <c r="O535">
        <f>533</f>
        <v/>
      </c>
      <c r="P535">
        <f>IF(TRIM('입력_구리근무자명단'!$A533&amp;"")&lt;&gt;"",TRIM('입력_구리근무자명단'!$A533&amp;""),P534)</f>
        <v/>
      </c>
      <c r="Q535">
        <f>'입력_구리근무자명단'!$B533&amp;""</f>
        <v/>
      </c>
      <c r="R535">
        <f>IF($E$2="","",TRIM(INDEX('입력_구리근무자명단'!$A533:$ZZ533,1,$E$2+IF($G$2="확정",1,0))&amp;""))</f>
        <v/>
      </c>
      <c r="S535">
        <f>IF($R535="","",IF(INDEX('입력_구리근무자명단'!$A533:$ZZ533,1,$E$2+2)&amp;""="",급여기준월,IF(ISNUMBER(INDEX('입력_구리근무자명단'!$A533:$ZZ533,1,$E$2+2)),INDEX('입력_구리근무자명단'!$A533:$ZZ533,1,$E$2+2),IFERROR(DATE(VALUE(LEFT(INDEX('입력_구리근무자명단'!$A533:$ZZ533,1,$E$2+2),4)),VALUE(MID(INDEX('입력_구리근무자명단'!$A533:$ZZ533,1,$E$2+2),6,2)),VALUE(MID(INDEX('입력_구리근무자명단'!$A533:$ZZ533,1,$E$2+2),9,2))),-1))))</f>
        <v/>
      </c>
      <c r="T535">
        <f>IF($R535="","",IF(INDEX('입력_구리근무자명단'!$A533:$ZZ533,1,$E$2+3)&amp;""="",EOMONTH(급여기준월,0),IF(ISNUMBER(INDEX('입력_구리근무자명단'!$A533:$ZZ533,1,$E$2+3)),INDEX('입력_구리근무자명단'!$A533:$ZZ533,1,$E$2+3),IFERROR(DATE(VALUE(LEFT(INDEX('입력_구리근무자명단'!$A533:$ZZ533,1,$E$2+3),4)),VALUE(MID(INDEX('입력_구리근무자명단'!$A533:$ZZ533,1,$E$2+3),6,2)),VALUE(MID(INDEX('입력_구리근무자명단'!$A533:$ZZ533,1,$E$2+3),9,2))),-1))))</f>
        <v/>
      </c>
      <c r="U535">
        <f>IF($R535="","",IF(OR($S535&lt;0,$T535&lt;0),0,MAX(0,MIN($T535,EOMONTH(급여기준월,0))-MAX($S535,급여기준월)+1)))</f>
        <v/>
      </c>
      <c r="V535">
        <f>IF($R535="","",TRIM(INDEX('입력_구리근무자명단'!$A533:$ZZ533,1,$E$2+5)&amp;""))</f>
        <v/>
      </c>
      <c r="W535">
        <f>IF(ISNUMBER(SEARCH("구리독자",$V535)),"구리독자","")</f>
        <v/>
      </c>
      <c r="X535">
        <f>IF($R535="","",$R535&amp;"|"&amp;IF(OR($Q535="인턴",ISNUMBER(SEARCH("수련교육부",$P535))),"인턴",$P535))</f>
        <v/>
      </c>
      <c r="Y535">
        <f>IF($R535="","",IF(COUNTIF(명단표[이름|과],$X535)=1,"명단 일치",IF(AND(COUNTIF(명단표[이름|과],$X535)=0,COUNTIF(명단표[이름],$R535)=1),"명단 일치(이름만, 과 다름)",IF(COUNTIF(명단표[이름],$R535)=0,IF(COUNTIF(기본자료표[이름],$R535)&gt;0,"명단에 없음(기본자료에는 있음)","명단에 없음"),"동명이인 확인"))))</f>
        <v/>
      </c>
      <c r="Z535">
        <f>IF($R535="","",IF($S535&lt;0,"⚠"&amp;INDEX('입력_구리근무자명단'!$A533:$ZZ533,1,$E$2+2),TEXT($S535,"yyyy-mm-dd")))</f>
        <v/>
      </c>
      <c r="AA535">
        <f>IF($R535="","",IF($T535&lt;0,"⚠"&amp;INDEX('입력_구리근무자명단'!$A533:$ZZ533,1,$E$2+3),TEXT($T535,"yyyy-mm-dd")))</f>
        <v/>
      </c>
      <c r="AB535">
        <f>AB534+IF($R535="",0,1)</f>
        <v/>
      </c>
      <c r="AC535">
        <f>IF($R535="","",$AB535)</f>
        <v/>
      </c>
    </row>
    <row r="536">
      <c r="O536">
        <f>534</f>
        <v/>
      </c>
      <c r="P536">
        <f>IF(TRIM('입력_구리근무자명단'!$A534&amp;"")&lt;&gt;"",TRIM('입력_구리근무자명단'!$A534&amp;""),P535)</f>
        <v/>
      </c>
      <c r="Q536">
        <f>'입력_구리근무자명단'!$B534&amp;""</f>
        <v/>
      </c>
      <c r="R536">
        <f>IF($E$2="","",TRIM(INDEX('입력_구리근무자명단'!$A534:$ZZ534,1,$E$2+IF($G$2="확정",1,0))&amp;""))</f>
        <v/>
      </c>
      <c r="S536">
        <f>IF($R536="","",IF(INDEX('입력_구리근무자명단'!$A534:$ZZ534,1,$E$2+2)&amp;""="",급여기준월,IF(ISNUMBER(INDEX('입력_구리근무자명단'!$A534:$ZZ534,1,$E$2+2)),INDEX('입력_구리근무자명단'!$A534:$ZZ534,1,$E$2+2),IFERROR(DATE(VALUE(LEFT(INDEX('입력_구리근무자명단'!$A534:$ZZ534,1,$E$2+2),4)),VALUE(MID(INDEX('입력_구리근무자명단'!$A534:$ZZ534,1,$E$2+2),6,2)),VALUE(MID(INDEX('입력_구리근무자명단'!$A534:$ZZ534,1,$E$2+2),9,2))),-1))))</f>
        <v/>
      </c>
      <c r="T536">
        <f>IF($R536="","",IF(INDEX('입력_구리근무자명단'!$A534:$ZZ534,1,$E$2+3)&amp;""="",EOMONTH(급여기준월,0),IF(ISNUMBER(INDEX('입력_구리근무자명단'!$A534:$ZZ534,1,$E$2+3)),INDEX('입력_구리근무자명단'!$A534:$ZZ534,1,$E$2+3),IFERROR(DATE(VALUE(LEFT(INDEX('입력_구리근무자명단'!$A534:$ZZ534,1,$E$2+3),4)),VALUE(MID(INDEX('입력_구리근무자명단'!$A534:$ZZ534,1,$E$2+3),6,2)),VALUE(MID(INDEX('입력_구리근무자명단'!$A534:$ZZ534,1,$E$2+3),9,2))),-1))))</f>
        <v/>
      </c>
      <c r="U536">
        <f>IF($R536="","",IF(OR($S536&lt;0,$T536&lt;0),0,MAX(0,MIN($T536,EOMONTH(급여기준월,0))-MAX($S536,급여기준월)+1)))</f>
        <v/>
      </c>
      <c r="V536">
        <f>IF($R536="","",TRIM(INDEX('입력_구리근무자명단'!$A534:$ZZ534,1,$E$2+5)&amp;""))</f>
        <v/>
      </c>
      <c r="W536">
        <f>IF(ISNUMBER(SEARCH("구리독자",$V536)),"구리독자","")</f>
        <v/>
      </c>
      <c r="X536">
        <f>IF($R536="","",$R536&amp;"|"&amp;IF(OR($Q536="인턴",ISNUMBER(SEARCH("수련교육부",$P536))),"인턴",$P536))</f>
        <v/>
      </c>
      <c r="Y536">
        <f>IF($R536="","",IF(COUNTIF(명단표[이름|과],$X536)=1,"명단 일치",IF(AND(COUNTIF(명단표[이름|과],$X536)=0,COUNTIF(명단표[이름],$R536)=1),"명단 일치(이름만, 과 다름)",IF(COUNTIF(명단표[이름],$R536)=0,IF(COUNTIF(기본자료표[이름],$R536)&gt;0,"명단에 없음(기본자료에는 있음)","명단에 없음"),"동명이인 확인"))))</f>
        <v/>
      </c>
      <c r="Z536">
        <f>IF($R536="","",IF($S536&lt;0,"⚠"&amp;INDEX('입력_구리근무자명단'!$A534:$ZZ534,1,$E$2+2),TEXT($S536,"yyyy-mm-dd")))</f>
        <v/>
      </c>
      <c r="AA536">
        <f>IF($R536="","",IF($T536&lt;0,"⚠"&amp;INDEX('입력_구리근무자명단'!$A534:$ZZ534,1,$E$2+3),TEXT($T536,"yyyy-mm-dd")))</f>
        <v/>
      </c>
      <c r="AB536">
        <f>AB535+IF($R536="",0,1)</f>
        <v/>
      </c>
      <c r="AC536">
        <f>IF($R536="","",$AB536)</f>
        <v/>
      </c>
    </row>
    <row r="537">
      <c r="O537">
        <f>535</f>
        <v/>
      </c>
      <c r="P537">
        <f>IF(TRIM('입력_구리근무자명단'!$A535&amp;"")&lt;&gt;"",TRIM('입력_구리근무자명단'!$A535&amp;""),P536)</f>
        <v/>
      </c>
      <c r="Q537">
        <f>'입력_구리근무자명단'!$B535&amp;""</f>
        <v/>
      </c>
      <c r="R537">
        <f>IF($E$2="","",TRIM(INDEX('입력_구리근무자명단'!$A535:$ZZ535,1,$E$2+IF($G$2="확정",1,0))&amp;""))</f>
        <v/>
      </c>
      <c r="S537">
        <f>IF($R537="","",IF(INDEX('입력_구리근무자명단'!$A535:$ZZ535,1,$E$2+2)&amp;""="",급여기준월,IF(ISNUMBER(INDEX('입력_구리근무자명단'!$A535:$ZZ535,1,$E$2+2)),INDEX('입력_구리근무자명단'!$A535:$ZZ535,1,$E$2+2),IFERROR(DATE(VALUE(LEFT(INDEX('입력_구리근무자명단'!$A535:$ZZ535,1,$E$2+2),4)),VALUE(MID(INDEX('입력_구리근무자명단'!$A535:$ZZ535,1,$E$2+2),6,2)),VALUE(MID(INDEX('입력_구리근무자명단'!$A535:$ZZ535,1,$E$2+2),9,2))),-1))))</f>
        <v/>
      </c>
      <c r="T537">
        <f>IF($R537="","",IF(INDEX('입력_구리근무자명단'!$A535:$ZZ535,1,$E$2+3)&amp;""="",EOMONTH(급여기준월,0),IF(ISNUMBER(INDEX('입력_구리근무자명단'!$A535:$ZZ535,1,$E$2+3)),INDEX('입력_구리근무자명단'!$A535:$ZZ535,1,$E$2+3),IFERROR(DATE(VALUE(LEFT(INDEX('입력_구리근무자명단'!$A535:$ZZ535,1,$E$2+3),4)),VALUE(MID(INDEX('입력_구리근무자명단'!$A535:$ZZ535,1,$E$2+3),6,2)),VALUE(MID(INDEX('입력_구리근무자명단'!$A535:$ZZ535,1,$E$2+3),9,2))),-1))))</f>
        <v/>
      </c>
      <c r="U537">
        <f>IF($R537="","",IF(OR($S537&lt;0,$T537&lt;0),0,MAX(0,MIN($T537,EOMONTH(급여기준월,0))-MAX($S537,급여기준월)+1)))</f>
        <v/>
      </c>
      <c r="V537">
        <f>IF($R537="","",TRIM(INDEX('입력_구리근무자명단'!$A535:$ZZ535,1,$E$2+5)&amp;""))</f>
        <v/>
      </c>
      <c r="W537">
        <f>IF(ISNUMBER(SEARCH("구리독자",$V537)),"구리독자","")</f>
        <v/>
      </c>
      <c r="X537">
        <f>IF($R537="","",$R537&amp;"|"&amp;IF(OR($Q537="인턴",ISNUMBER(SEARCH("수련교육부",$P537))),"인턴",$P537))</f>
        <v/>
      </c>
      <c r="Y537">
        <f>IF($R537="","",IF(COUNTIF(명단표[이름|과],$X537)=1,"명단 일치",IF(AND(COUNTIF(명단표[이름|과],$X537)=0,COUNTIF(명단표[이름],$R537)=1),"명단 일치(이름만, 과 다름)",IF(COUNTIF(명단표[이름],$R537)=0,IF(COUNTIF(기본자료표[이름],$R537)&gt;0,"명단에 없음(기본자료에는 있음)","명단에 없음"),"동명이인 확인"))))</f>
        <v/>
      </c>
      <c r="Z537">
        <f>IF($R537="","",IF($S537&lt;0,"⚠"&amp;INDEX('입력_구리근무자명단'!$A535:$ZZ535,1,$E$2+2),TEXT($S537,"yyyy-mm-dd")))</f>
        <v/>
      </c>
      <c r="AA537">
        <f>IF($R537="","",IF($T537&lt;0,"⚠"&amp;INDEX('입력_구리근무자명단'!$A535:$ZZ535,1,$E$2+3),TEXT($T537,"yyyy-mm-dd")))</f>
        <v/>
      </c>
      <c r="AB537">
        <f>AB536+IF($R537="",0,1)</f>
        <v/>
      </c>
      <c r="AC537">
        <f>IF($R537="","",$AB537)</f>
        <v/>
      </c>
    </row>
    <row r="538">
      <c r="O538">
        <f>536</f>
        <v/>
      </c>
      <c r="P538">
        <f>IF(TRIM('입력_구리근무자명단'!$A536&amp;"")&lt;&gt;"",TRIM('입력_구리근무자명단'!$A536&amp;""),P537)</f>
        <v/>
      </c>
      <c r="Q538">
        <f>'입력_구리근무자명단'!$B536&amp;""</f>
        <v/>
      </c>
      <c r="R538">
        <f>IF($E$2="","",TRIM(INDEX('입력_구리근무자명단'!$A536:$ZZ536,1,$E$2+IF($G$2="확정",1,0))&amp;""))</f>
        <v/>
      </c>
      <c r="S538">
        <f>IF($R538="","",IF(INDEX('입력_구리근무자명단'!$A536:$ZZ536,1,$E$2+2)&amp;""="",급여기준월,IF(ISNUMBER(INDEX('입력_구리근무자명단'!$A536:$ZZ536,1,$E$2+2)),INDEX('입력_구리근무자명단'!$A536:$ZZ536,1,$E$2+2),IFERROR(DATE(VALUE(LEFT(INDEX('입력_구리근무자명단'!$A536:$ZZ536,1,$E$2+2),4)),VALUE(MID(INDEX('입력_구리근무자명단'!$A536:$ZZ536,1,$E$2+2),6,2)),VALUE(MID(INDEX('입력_구리근무자명단'!$A536:$ZZ536,1,$E$2+2),9,2))),-1))))</f>
        <v/>
      </c>
      <c r="T538">
        <f>IF($R538="","",IF(INDEX('입력_구리근무자명단'!$A536:$ZZ536,1,$E$2+3)&amp;""="",EOMONTH(급여기준월,0),IF(ISNUMBER(INDEX('입력_구리근무자명단'!$A536:$ZZ536,1,$E$2+3)),INDEX('입력_구리근무자명단'!$A536:$ZZ536,1,$E$2+3),IFERROR(DATE(VALUE(LEFT(INDEX('입력_구리근무자명단'!$A536:$ZZ536,1,$E$2+3),4)),VALUE(MID(INDEX('입력_구리근무자명단'!$A536:$ZZ536,1,$E$2+3),6,2)),VALUE(MID(INDEX('입력_구리근무자명단'!$A536:$ZZ536,1,$E$2+3),9,2))),-1))))</f>
        <v/>
      </c>
      <c r="U538">
        <f>IF($R538="","",IF(OR($S538&lt;0,$T538&lt;0),0,MAX(0,MIN($T538,EOMONTH(급여기준월,0))-MAX($S538,급여기준월)+1)))</f>
        <v/>
      </c>
      <c r="V538">
        <f>IF($R538="","",TRIM(INDEX('입력_구리근무자명단'!$A536:$ZZ536,1,$E$2+5)&amp;""))</f>
        <v/>
      </c>
      <c r="W538">
        <f>IF(ISNUMBER(SEARCH("구리독자",$V538)),"구리독자","")</f>
        <v/>
      </c>
      <c r="X538">
        <f>IF($R538="","",$R538&amp;"|"&amp;IF(OR($Q538="인턴",ISNUMBER(SEARCH("수련교육부",$P538))),"인턴",$P538))</f>
        <v/>
      </c>
      <c r="Y538">
        <f>IF($R538="","",IF(COUNTIF(명단표[이름|과],$X538)=1,"명단 일치",IF(AND(COUNTIF(명단표[이름|과],$X538)=0,COUNTIF(명단표[이름],$R538)=1),"명단 일치(이름만, 과 다름)",IF(COUNTIF(명단표[이름],$R538)=0,IF(COUNTIF(기본자료표[이름],$R538)&gt;0,"명단에 없음(기본자료에는 있음)","명단에 없음"),"동명이인 확인"))))</f>
        <v/>
      </c>
      <c r="Z538">
        <f>IF($R538="","",IF($S538&lt;0,"⚠"&amp;INDEX('입력_구리근무자명단'!$A536:$ZZ536,1,$E$2+2),TEXT($S538,"yyyy-mm-dd")))</f>
        <v/>
      </c>
      <c r="AA538">
        <f>IF($R538="","",IF($T538&lt;0,"⚠"&amp;INDEX('입력_구리근무자명단'!$A536:$ZZ536,1,$E$2+3),TEXT($T538,"yyyy-mm-dd")))</f>
        <v/>
      </c>
      <c r="AB538">
        <f>AB537+IF($R538="",0,1)</f>
        <v/>
      </c>
      <c r="AC538">
        <f>IF($R538="","",$AB538)</f>
        <v/>
      </c>
    </row>
    <row r="539">
      <c r="O539">
        <f>537</f>
        <v/>
      </c>
      <c r="P539">
        <f>IF(TRIM('입력_구리근무자명단'!$A537&amp;"")&lt;&gt;"",TRIM('입력_구리근무자명단'!$A537&amp;""),P538)</f>
        <v/>
      </c>
      <c r="Q539">
        <f>'입력_구리근무자명단'!$B537&amp;""</f>
        <v/>
      </c>
      <c r="R539">
        <f>IF($E$2="","",TRIM(INDEX('입력_구리근무자명단'!$A537:$ZZ537,1,$E$2+IF($G$2="확정",1,0))&amp;""))</f>
        <v/>
      </c>
      <c r="S539">
        <f>IF($R539="","",IF(INDEX('입력_구리근무자명단'!$A537:$ZZ537,1,$E$2+2)&amp;""="",급여기준월,IF(ISNUMBER(INDEX('입력_구리근무자명단'!$A537:$ZZ537,1,$E$2+2)),INDEX('입력_구리근무자명단'!$A537:$ZZ537,1,$E$2+2),IFERROR(DATE(VALUE(LEFT(INDEX('입력_구리근무자명단'!$A537:$ZZ537,1,$E$2+2),4)),VALUE(MID(INDEX('입력_구리근무자명단'!$A537:$ZZ537,1,$E$2+2),6,2)),VALUE(MID(INDEX('입력_구리근무자명단'!$A537:$ZZ537,1,$E$2+2),9,2))),-1))))</f>
        <v/>
      </c>
      <c r="T539">
        <f>IF($R539="","",IF(INDEX('입력_구리근무자명단'!$A537:$ZZ537,1,$E$2+3)&amp;""="",EOMONTH(급여기준월,0),IF(ISNUMBER(INDEX('입력_구리근무자명단'!$A537:$ZZ537,1,$E$2+3)),INDEX('입력_구리근무자명단'!$A537:$ZZ537,1,$E$2+3),IFERROR(DATE(VALUE(LEFT(INDEX('입력_구리근무자명단'!$A537:$ZZ537,1,$E$2+3),4)),VALUE(MID(INDEX('입력_구리근무자명단'!$A537:$ZZ537,1,$E$2+3),6,2)),VALUE(MID(INDEX('입력_구리근무자명단'!$A537:$ZZ537,1,$E$2+3),9,2))),-1))))</f>
        <v/>
      </c>
      <c r="U539">
        <f>IF($R539="","",IF(OR($S539&lt;0,$T539&lt;0),0,MAX(0,MIN($T539,EOMONTH(급여기준월,0))-MAX($S539,급여기준월)+1)))</f>
        <v/>
      </c>
      <c r="V539">
        <f>IF($R539="","",TRIM(INDEX('입력_구리근무자명단'!$A537:$ZZ537,1,$E$2+5)&amp;""))</f>
        <v/>
      </c>
      <c r="W539">
        <f>IF(ISNUMBER(SEARCH("구리독자",$V539)),"구리독자","")</f>
        <v/>
      </c>
      <c r="X539">
        <f>IF($R539="","",$R539&amp;"|"&amp;IF(OR($Q539="인턴",ISNUMBER(SEARCH("수련교육부",$P539))),"인턴",$P539))</f>
        <v/>
      </c>
      <c r="Y539">
        <f>IF($R539="","",IF(COUNTIF(명단표[이름|과],$X539)=1,"명단 일치",IF(AND(COUNTIF(명단표[이름|과],$X539)=0,COUNTIF(명단표[이름],$R539)=1),"명단 일치(이름만, 과 다름)",IF(COUNTIF(명단표[이름],$R539)=0,IF(COUNTIF(기본자료표[이름],$R539)&gt;0,"명단에 없음(기본자료에는 있음)","명단에 없음"),"동명이인 확인"))))</f>
        <v/>
      </c>
      <c r="Z539">
        <f>IF($R539="","",IF($S539&lt;0,"⚠"&amp;INDEX('입력_구리근무자명단'!$A537:$ZZ537,1,$E$2+2),TEXT($S539,"yyyy-mm-dd")))</f>
        <v/>
      </c>
      <c r="AA539">
        <f>IF($R539="","",IF($T539&lt;0,"⚠"&amp;INDEX('입력_구리근무자명단'!$A537:$ZZ537,1,$E$2+3),TEXT($T539,"yyyy-mm-dd")))</f>
        <v/>
      </c>
      <c r="AB539">
        <f>AB538+IF($R539="",0,1)</f>
        <v/>
      </c>
      <c r="AC539">
        <f>IF($R539="","",$AB539)</f>
        <v/>
      </c>
    </row>
    <row r="540">
      <c r="O540">
        <f>538</f>
        <v/>
      </c>
      <c r="P540">
        <f>IF(TRIM('입력_구리근무자명단'!$A538&amp;"")&lt;&gt;"",TRIM('입력_구리근무자명단'!$A538&amp;""),P539)</f>
        <v/>
      </c>
      <c r="Q540">
        <f>'입력_구리근무자명단'!$B538&amp;""</f>
        <v/>
      </c>
      <c r="R540">
        <f>IF($E$2="","",TRIM(INDEX('입력_구리근무자명단'!$A538:$ZZ538,1,$E$2+IF($G$2="확정",1,0))&amp;""))</f>
        <v/>
      </c>
      <c r="S540">
        <f>IF($R540="","",IF(INDEX('입력_구리근무자명단'!$A538:$ZZ538,1,$E$2+2)&amp;""="",급여기준월,IF(ISNUMBER(INDEX('입력_구리근무자명단'!$A538:$ZZ538,1,$E$2+2)),INDEX('입력_구리근무자명단'!$A538:$ZZ538,1,$E$2+2),IFERROR(DATE(VALUE(LEFT(INDEX('입력_구리근무자명단'!$A538:$ZZ538,1,$E$2+2),4)),VALUE(MID(INDEX('입력_구리근무자명단'!$A538:$ZZ538,1,$E$2+2),6,2)),VALUE(MID(INDEX('입력_구리근무자명단'!$A538:$ZZ538,1,$E$2+2),9,2))),-1))))</f>
        <v/>
      </c>
      <c r="T540">
        <f>IF($R540="","",IF(INDEX('입력_구리근무자명단'!$A538:$ZZ538,1,$E$2+3)&amp;""="",EOMONTH(급여기준월,0),IF(ISNUMBER(INDEX('입력_구리근무자명단'!$A538:$ZZ538,1,$E$2+3)),INDEX('입력_구리근무자명단'!$A538:$ZZ538,1,$E$2+3),IFERROR(DATE(VALUE(LEFT(INDEX('입력_구리근무자명단'!$A538:$ZZ538,1,$E$2+3),4)),VALUE(MID(INDEX('입력_구리근무자명단'!$A538:$ZZ538,1,$E$2+3),6,2)),VALUE(MID(INDEX('입력_구리근무자명단'!$A538:$ZZ538,1,$E$2+3),9,2))),-1))))</f>
        <v/>
      </c>
      <c r="U540">
        <f>IF($R540="","",IF(OR($S540&lt;0,$T540&lt;0),0,MAX(0,MIN($T540,EOMONTH(급여기준월,0))-MAX($S540,급여기준월)+1)))</f>
        <v/>
      </c>
      <c r="V540">
        <f>IF($R540="","",TRIM(INDEX('입력_구리근무자명단'!$A538:$ZZ538,1,$E$2+5)&amp;""))</f>
        <v/>
      </c>
      <c r="W540">
        <f>IF(ISNUMBER(SEARCH("구리독자",$V540)),"구리독자","")</f>
        <v/>
      </c>
      <c r="X540">
        <f>IF($R540="","",$R540&amp;"|"&amp;IF(OR($Q540="인턴",ISNUMBER(SEARCH("수련교육부",$P540))),"인턴",$P540))</f>
        <v/>
      </c>
      <c r="Y540">
        <f>IF($R540="","",IF(COUNTIF(명단표[이름|과],$X540)=1,"명단 일치",IF(AND(COUNTIF(명단표[이름|과],$X540)=0,COUNTIF(명단표[이름],$R540)=1),"명단 일치(이름만, 과 다름)",IF(COUNTIF(명단표[이름],$R540)=0,IF(COUNTIF(기본자료표[이름],$R540)&gt;0,"명단에 없음(기본자료에는 있음)","명단에 없음"),"동명이인 확인"))))</f>
        <v/>
      </c>
      <c r="Z540">
        <f>IF($R540="","",IF($S540&lt;0,"⚠"&amp;INDEX('입력_구리근무자명단'!$A538:$ZZ538,1,$E$2+2),TEXT($S540,"yyyy-mm-dd")))</f>
        <v/>
      </c>
      <c r="AA540">
        <f>IF($R540="","",IF($T540&lt;0,"⚠"&amp;INDEX('입력_구리근무자명단'!$A538:$ZZ538,1,$E$2+3),TEXT($T540,"yyyy-mm-dd")))</f>
        <v/>
      </c>
      <c r="AB540">
        <f>AB539+IF($R540="",0,1)</f>
        <v/>
      </c>
      <c r="AC540">
        <f>IF($R540="","",$AB540)</f>
        <v/>
      </c>
    </row>
    <row r="541">
      <c r="O541">
        <f>539</f>
        <v/>
      </c>
      <c r="P541">
        <f>IF(TRIM('입력_구리근무자명단'!$A539&amp;"")&lt;&gt;"",TRIM('입력_구리근무자명단'!$A539&amp;""),P540)</f>
        <v/>
      </c>
      <c r="Q541">
        <f>'입력_구리근무자명단'!$B539&amp;""</f>
        <v/>
      </c>
      <c r="R541">
        <f>IF($E$2="","",TRIM(INDEX('입력_구리근무자명단'!$A539:$ZZ539,1,$E$2+IF($G$2="확정",1,0))&amp;""))</f>
        <v/>
      </c>
      <c r="S541">
        <f>IF($R541="","",IF(INDEX('입력_구리근무자명단'!$A539:$ZZ539,1,$E$2+2)&amp;""="",급여기준월,IF(ISNUMBER(INDEX('입력_구리근무자명단'!$A539:$ZZ539,1,$E$2+2)),INDEX('입력_구리근무자명단'!$A539:$ZZ539,1,$E$2+2),IFERROR(DATE(VALUE(LEFT(INDEX('입력_구리근무자명단'!$A539:$ZZ539,1,$E$2+2),4)),VALUE(MID(INDEX('입력_구리근무자명단'!$A539:$ZZ539,1,$E$2+2),6,2)),VALUE(MID(INDEX('입력_구리근무자명단'!$A539:$ZZ539,1,$E$2+2),9,2))),-1))))</f>
        <v/>
      </c>
      <c r="T541">
        <f>IF($R541="","",IF(INDEX('입력_구리근무자명단'!$A539:$ZZ539,1,$E$2+3)&amp;""="",EOMONTH(급여기준월,0),IF(ISNUMBER(INDEX('입력_구리근무자명단'!$A539:$ZZ539,1,$E$2+3)),INDEX('입력_구리근무자명단'!$A539:$ZZ539,1,$E$2+3),IFERROR(DATE(VALUE(LEFT(INDEX('입력_구리근무자명단'!$A539:$ZZ539,1,$E$2+3),4)),VALUE(MID(INDEX('입력_구리근무자명단'!$A539:$ZZ539,1,$E$2+3),6,2)),VALUE(MID(INDEX('입력_구리근무자명단'!$A539:$ZZ539,1,$E$2+3),9,2))),-1))))</f>
        <v/>
      </c>
      <c r="U541">
        <f>IF($R541="","",IF(OR($S541&lt;0,$T541&lt;0),0,MAX(0,MIN($T541,EOMONTH(급여기준월,0))-MAX($S541,급여기준월)+1)))</f>
        <v/>
      </c>
      <c r="V541">
        <f>IF($R541="","",TRIM(INDEX('입력_구리근무자명단'!$A539:$ZZ539,1,$E$2+5)&amp;""))</f>
        <v/>
      </c>
      <c r="W541">
        <f>IF(ISNUMBER(SEARCH("구리독자",$V541)),"구리독자","")</f>
        <v/>
      </c>
      <c r="X541">
        <f>IF($R541="","",$R541&amp;"|"&amp;IF(OR($Q541="인턴",ISNUMBER(SEARCH("수련교육부",$P541))),"인턴",$P541))</f>
        <v/>
      </c>
      <c r="Y541">
        <f>IF($R541="","",IF(COUNTIF(명단표[이름|과],$X541)=1,"명단 일치",IF(AND(COUNTIF(명단표[이름|과],$X541)=0,COUNTIF(명단표[이름],$R541)=1),"명단 일치(이름만, 과 다름)",IF(COUNTIF(명단표[이름],$R541)=0,IF(COUNTIF(기본자료표[이름],$R541)&gt;0,"명단에 없음(기본자료에는 있음)","명단에 없음"),"동명이인 확인"))))</f>
        <v/>
      </c>
      <c r="Z541">
        <f>IF($R541="","",IF($S541&lt;0,"⚠"&amp;INDEX('입력_구리근무자명단'!$A539:$ZZ539,1,$E$2+2),TEXT($S541,"yyyy-mm-dd")))</f>
        <v/>
      </c>
      <c r="AA541">
        <f>IF($R541="","",IF($T541&lt;0,"⚠"&amp;INDEX('입력_구리근무자명단'!$A539:$ZZ539,1,$E$2+3),TEXT($T541,"yyyy-mm-dd")))</f>
        <v/>
      </c>
      <c r="AB541">
        <f>AB540+IF($R541="",0,1)</f>
        <v/>
      </c>
      <c r="AC541">
        <f>IF($R541="","",$AB541)</f>
        <v/>
      </c>
    </row>
    <row r="542">
      <c r="O542">
        <f>540</f>
        <v/>
      </c>
      <c r="P542">
        <f>IF(TRIM('입력_구리근무자명단'!$A540&amp;"")&lt;&gt;"",TRIM('입력_구리근무자명단'!$A540&amp;""),P541)</f>
        <v/>
      </c>
      <c r="Q542">
        <f>'입력_구리근무자명단'!$B540&amp;""</f>
        <v/>
      </c>
      <c r="R542">
        <f>IF($E$2="","",TRIM(INDEX('입력_구리근무자명단'!$A540:$ZZ540,1,$E$2+IF($G$2="확정",1,0))&amp;""))</f>
        <v/>
      </c>
      <c r="S542">
        <f>IF($R542="","",IF(INDEX('입력_구리근무자명단'!$A540:$ZZ540,1,$E$2+2)&amp;""="",급여기준월,IF(ISNUMBER(INDEX('입력_구리근무자명단'!$A540:$ZZ540,1,$E$2+2)),INDEX('입력_구리근무자명단'!$A540:$ZZ540,1,$E$2+2),IFERROR(DATE(VALUE(LEFT(INDEX('입력_구리근무자명단'!$A540:$ZZ540,1,$E$2+2),4)),VALUE(MID(INDEX('입력_구리근무자명단'!$A540:$ZZ540,1,$E$2+2),6,2)),VALUE(MID(INDEX('입력_구리근무자명단'!$A540:$ZZ540,1,$E$2+2),9,2))),-1))))</f>
        <v/>
      </c>
      <c r="T542">
        <f>IF($R542="","",IF(INDEX('입력_구리근무자명단'!$A540:$ZZ540,1,$E$2+3)&amp;""="",EOMONTH(급여기준월,0),IF(ISNUMBER(INDEX('입력_구리근무자명단'!$A540:$ZZ540,1,$E$2+3)),INDEX('입력_구리근무자명단'!$A540:$ZZ540,1,$E$2+3),IFERROR(DATE(VALUE(LEFT(INDEX('입력_구리근무자명단'!$A540:$ZZ540,1,$E$2+3),4)),VALUE(MID(INDEX('입력_구리근무자명단'!$A540:$ZZ540,1,$E$2+3),6,2)),VALUE(MID(INDEX('입력_구리근무자명단'!$A540:$ZZ540,1,$E$2+3),9,2))),-1))))</f>
        <v/>
      </c>
      <c r="U542">
        <f>IF($R542="","",IF(OR($S542&lt;0,$T542&lt;0),0,MAX(0,MIN($T542,EOMONTH(급여기준월,0))-MAX($S542,급여기준월)+1)))</f>
        <v/>
      </c>
      <c r="V542">
        <f>IF($R542="","",TRIM(INDEX('입력_구리근무자명단'!$A540:$ZZ540,1,$E$2+5)&amp;""))</f>
        <v/>
      </c>
      <c r="W542">
        <f>IF(ISNUMBER(SEARCH("구리독자",$V542)),"구리독자","")</f>
        <v/>
      </c>
      <c r="X542">
        <f>IF($R542="","",$R542&amp;"|"&amp;IF(OR($Q542="인턴",ISNUMBER(SEARCH("수련교육부",$P542))),"인턴",$P542))</f>
        <v/>
      </c>
      <c r="Y542">
        <f>IF($R542="","",IF(COUNTIF(명단표[이름|과],$X542)=1,"명단 일치",IF(AND(COUNTIF(명단표[이름|과],$X542)=0,COUNTIF(명단표[이름],$R542)=1),"명단 일치(이름만, 과 다름)",IF(COUNTIF(명단표[이름],$R542)=0,IF(COUNTIF(기본자료표[이름],$R542)&gt;0,"명단에 없음(기본자료에는 있음)","명단에 없음"),"동명이인 확인"))))</f>
        <v/>
      </c>
      <c r="Z542">
        <f>IF($R542="","",IF($S542&lt;0,"⚠"&amp;INDEX('입력_구리근무자명단'!$A540:$ZZ540,1,$E$2+2),TEXT($S542,"yyyy-mm-dd")))</f>
        <v/>
      </c>
      <c r="AA542">
        <f>IF($R542="","",IF($T542&lt;0,"⚠"&amp;INDEX('입력_구리근무자명단'!$A540:$ZZ540,1,$E$2+3),TEXT($T542,"yyyy-mm-dd")))</f>
        <v/>
      </c>
      <c r="AB542">
        <f>AB541+IF($R542="",0,1)</f>
        <v/>
      </c>
      <c r="AC542">
        <f>IF($R542="","",$AB542)</f>
        <v/>
      </c>
    </row>
    <row r="543">
      <c r="O543">
        <f>541</f>
        <v/>
      </c>
      <c r="P543">
        <f>IF(TRIM('입력_구리근무자명단'!$A541&amp;"")&lt;&gt;"",TRIM('입력_구리근무자명단'!$A541&amp;""),P542)</f>
        <v/>
      </c>
      <c r="Q543">
        <f>'입력_구리근무자명단'!$B541&amp;""</f>
        <v/>
      </c>
      <c r="R543">
        <f>IF($E$2="","",TRIM(INDEX('입력_구리근무자명단'!$A541:$ZZ541,1,$E$2+IF($G$2="확정",1,0))&amp;""))</f>
        <v/>
      </c>
      <c r="S543">
        <f>IF($R543="","",IF(INDEX('입력_구리근무자명단'!$A541:$ZZ541,1,$E$2+2)&amp;""="",급여기준월,IF(ISNUMBER(INDEX('입력_구리근무자명단'!$A541:$ZZ541,1,$E$2+2)),INDEX('입력_구리근무자명단'!$A541:$ZZ541,1,$E$2+2),IFERROR(DATE(VALUE(LEFT(INDEX('입력_구리근무자명단'!$A541:$ZZ541,1,$E$2+2),4)),VALUE(MID(INDEX('입력_구리근무자명단'!$A541:$ZZ541,1,$E$2+2),6,2)),VALUE(MID(INDEX('입력_구리근무자명단'!$A541:$ZZ541,1,$E$2+2),9,2))),-1))))</f>
        <v/>
      </c>
      <c r="T543">
        <f>IF($R543="","",IF(INDEX('입력_구리근무자명단'!$A541:$ZZ541,1,$E$2+3)&amp;""="",EOMONTH(급여기준월,0),IF(ISNUMBER(INDEX('입력_구리근무자명단'!$A541:$ZZ541,1,$E$2+3)),INDEX('입력_구리근무자명단'!$A541:$ZZ541,1,$E$2+3),IFERROR(DATE(VALUE(LEFT(INDEX('입력_구리근무자명단'!$A541:$ZZ541,1,$E$2+3),4)),VALUE(MID(INDEX('입력_구리근무자명단'!$A541:$ZZ541,1,$E$2+3),6,2)),VALUE(MID(INDEX('입력_구리근무자명단'!$A541:$ZZ541,1,$E$2+3),9,2))),-1))))</f>
        <v/>
      </c>
      <c r="U543">
        <f>IF($R543="","",IF(OR($S543&lt;0,$T543&lt;0),0,MAX(0,MIN($T543,EOMONTH(급여기준월,0))-MAX($S543,급여기준월)+1)))</f>
        <v/>
      </c>
      <c r="V543">
        <f>IF($R543="","",TRIM(INDEX('입력_구리근무자명단'!$A541:$ZZ541,1,$E$2+5)&amp;""))</f>
        <v/>
      </c>
      <c r="W543">
        <f>IF(ISNUMBER(SEARCH("구리독자",$V543)),"구리독자","")</f>
        <v/>
      </c>
      <c r="X543">
        <f>IF($R543="","",$R543&amp;"|"&amp;IF(OR($Q543="인턴",ISNUMBER(SEARCH("수련교육부",$P543))),"인턴",$P543))</f>
        <v/>
      </c>
      <c r="Y543">
        <f>IF($R543="","",IF(COUNTIF(명단표[이름|과],$X543)=1,"명단 일치",IF(AND(COUNTIF(명단표[이름|과],$X543)=0,COUNTIF(명단표[이름],$R543)=1),"명단 일치(이름만, 과 다름)",IF(COUNTIF(명단표[이름],$R543)=0,IF(COUNTIF(기본자료표[이름],$R543)&gt;0,"명단에 없음(기본자료에는 있음)","명단에 없음"),"동명이인 확인"))))</f>
        <v/>
      </c>
      <c r="Z543">
        <f>IF($R543="","",IF($S543&lt;0,"⚠"&amp;INDEX('입력_구리근무자명단'!$A541:$ZZ541,1,$E$2+2),TEXT($S543,"yyyy-mm-dd")))</f>
        <v/>
      </c>
      <c r="AA543">
        <f>IF($R543="","",IF($T543&lt;0,"⚠"&amp;INDEX('입력_구리근무자명단'!$A541:$ZZ541,1,$E$2+3),TEXT($T543,"yyyy-mm-dd")))</f>
        <v/>
      </c>
      <c r="AB543">
        <f>AB542+IF($R543="",0,1)</f>
        <v/>
      </c>
      <c r="AC543">
        <f>IF($R543="","",$AB543)</f>
        <v/>
      </c>
    </row>
    <row r="544">
      <c r="O544">
        <f>542</f>
        <v/>
      </c>
      <c r="P544">
        <f>IF(TRIM('입력_구리근무자명단'!$A542&amp;"")&lt;&gt;"",TRIM('입력_구리근무자명단'!$A542&amp;""),P543)</f>
        <v/>
      </c>
      <c r="Q544">
        <f>'입력_구리근무자명단'!$B542&amp;""</f>
        <v/>
      </c>
      <c r="R544">
        <f>IF($E$2="","",TRIM(INDEX('입력_구리근무자명단'!$A542:$ZZ542,1,$E$2+IF($G$2="확정",1,0))&amp;""))</f>
        <v/>
      </c>
      <c r="S544">
        <f>IF($R544="","",IF(INDEX('입력_구리근무자명단'!$A542:$ZZ542,1,$E$2+2)&amp;""="",급여기준월,IF(ISNUMBER(INDEX('입력_구리근무자명단'!$A542:$ZZ542,1,$E$2+2)),INDEX('입력_구리근무자명단'!$A542:$ZZ542,1,$E$2+2),IFERROR(DATE(VALUE(LEFT(INDEX('입력_구리근무자명단'!$A542:$ZZ542,1,$E$2+2),4)),VALUE(MID(INDEX('입력_구리근무자명단'!$A542:$ZZ542,1,$E$2+2),6,2)),VALUE(MID(INDEX('입력_구리근무자명단'!$A542:$ZZ542,1,$E$2+2),9,2))),-1))))</f>
        <v/>
      </c>
      <c r="T544">
        <f>IF($R544="","",IF(INDEX('입력_구리근무자명단'!$A542:$ZZ542,1,$E$2+3)&amp;""="",EOMONTH(급여기준월,0),IF(ISNUMBER(INDEX('입력_구리근무자명단'!$A542:$ZZ542,1,$E$2+3)),INDEX('입력_구리근무자명단'!$A542:$ZZ542,1,$E$2+3),IFERROR(DATE(VALUE(LEFT(INDEX('입력_구리근무자명단'!$A542:$ZZ542,1,$E$2+3),4)),VALUE(MID(INDEX('입력_구리근무자명단'!$A542:$ZZ542,1,$E$2+3),6,2)),VALUE(MID(INDEX('입력_구리근무자명단'!$A542:$ZZ542,1,$E$2+3),9,2))),-1))))</f>
        <v/>
      </c>
      <c r="U544">
        <f>IF($R544="","",IF(OR($S544&lt;0,$T544&lt;0),0,MAX(0,MIN($T544,EOMONTH(급여기준월,0))-MAX($S544,급여기준월)+1)))</f>
        <v/>
      </c>
      <c r="V544">
        <f>IF($R544="","",TRIM(INDEX('입력_구리근무자명단'!$A542:$ZZ542,1,$E$2+5)&amp;""))</f>
        <v/>
      </c>
      <c r="W544">
        <f>IF(ISNUMBER(SEARCH("구리독자",$V544)),"구리독자","")</f>
        <v/>
      </c>
      <c r="X544">
        <f>IF($R544="","",$R544&amp;"|"&amp;IF(OR($Q544="인턴",ISNUMBER(SEARCH("수련교육부",$P544))),"인턴",$P544))</f>
        <v/>
      </c>
      <c r="Y544">
        <f>IF($R544="","",IF(COUNTIF(명단표[이름|과],$X544)=1,"명단 일치",IF(AND(COUNTIF(명단표[이름|과],$X544)=0,COUNTIF(명단표[이름],$R544)=1),"명단 일치(이름만, 과 다름)",IF(COUNTIF(명단표[이름],$R544)=0,IF(COUNTIF(기본자료표[이름],$R544)&gt;0,"명단에 없음(기본자료에는 있음)","명단에 없음"),"동명이인 확인"))))</f>
        <v/>
      </c>
      <c r="Z544">
        <f>IF($R544="","",IF($S544&lt;0,"⚠"&amp;INDEX('입력_구리근무자명단'!$A542:$ZZ542,1,$E$2+2),TEXT($S544,"yyyy-mm-dd")))</f>
        <v/>
      </c>
      <c r="AA544">
        <f>IF($R544="","",IF($T544&lt;0,"⚠"&amp;INDEX('입력_구리근무자명단'!$A542:$ZZ542,1,$E$2+3),TEXT($T544,"yyyy-mm-dd")))</f>
        <v/>
      </c>
      <c r="AB544">
        <f>AB543+IF($R544="",0,1)</f>
        <v/>
      </c>
      <c r="AC544">
        <f>IF($R544="","",$AB544)</f>
        <v/>
      </c>
    </row>
    <row r="545">
      <c r="O545">
        <f>543</f>
        <v/>
      </c>
      <c r="P545">
        <f>IF(TRIM('입력_구리근무자명단'!$A543&amp;"")&lt;&gt;"",TRIM('입력_구리근무자명단'!$A543&amp;""),P544)</f>
        <v/>
      </c>
      <c r="Q545">
        <f>'입력_구리근무자명단'!$B543&amp;""</f>
        <v/>
      </c>
      <c r="R545">
        <f>IF($E$2="","",TRIM(INDEX('입력_구리근무자명단'!$A543:$ZZ543,1,$E$2+IF($G$2="확정",1,0))&amp;""))</f>
        <v/>
      </c>
      <c r="S545">
        <f>IF($R545="","",IF(INDEX('입력_구리근무자명단'!$A543:$ZZ543,1,$E$2+2)&amp;""="",급여기준월,IF(ISNUMBER(INDEX('입력_구리근무자명단'!$A543:$ZZ543,1,$E$2+2)),INDEX('입력_구리근무자명단'!$A543:$ZZ543,1,$E$2+2),IFERROR(DATE(VALUE(LEFT(INDEX('입력_구리근무자명단'!$A543:$ZZ543,1,$E$2+2),4)),VALUE(MID(INDEX('입력_구리근무자명단'!$A543:$ZZ543,1,$E$2+2),6,2)),VALUE(MID(INDEX('입력_구리근무자명단'!$A543:$ZZ543,1,$E$2+2),9,2))),-1))))</f>
        <v/>
      </c>
      <c r="T545">
        <f>IF($R545="","",IF(INDEX('입력_구리근무자명단'!$A543:$ZZ543,1,$E$2+3)&amp;""="",EOMONTH(급여기준월,0),IF(ISNUMBER(INDEX('입력_구리근무자명단'!$A543:$ZZ543,1,$E$2+3)),INDEX('입력_구리근무자명단'!$A543:$ZZ543,1,$E$2+3),IFERROR(DATE(VALUE(LEFT(INDEX('입력_구리근무자명단'!$A543:$ZZ543,1,$E$2+3),4)),VALUE(MID(INDEX('입력_구리근무자명단'!$A543:$ZZ543,1,$E$2+3),6,2)),VALUE(MID(INDEX('입력_구리근무자명단'!$A543:$ZZ543,1,$E$2+3),9,2))),-1))))</f>
        <v/>
      </c>
      <c r="U545">
        <f>IF($R545="","",IF(OR($S545&lt;0,$T545&lt;0),0,MAX(0,MIN($T545,EOMONTH(급여기준월,0))-MAX($S545,급여기준월)+1)))</f>
        <v/>
      </c>
      <c r="V545">
        <f>IF($R545="","",TRIM(INDEX('입력_구리근무자명단'!$A543:$ZZ543,1,$E$2+5)&amp;""))</f>
        <v/>
      </c>
      <c r="W545">
        <f>IF(ISNUMBER(SEARCH("구리독자",$V545)),"구리독자","")</f>
        <v/>
      </c>
      <c r="X545">
        <f>IF($R545="","",$R545&amp;"|"&amp;IF(OR($Q545="인턴",ISNUMBER(SEARCH("수련교육부",$P545))),"인턴",$P545))</f>
        <v/>
      </c>
      <c r="Y545">
        <f>IF($R545="","",IF(COUNTIF(명단표[이름|과],$X545)=1,"명단 일치",IF(AND(COUNTIF(명단표[이름|과],$X545)=0,COUNTIF(명단표[이름],$R545)=1),"명단 일치(이름만, 과 다름)",IF(COUNTIF(명단표[이름],$R545)=0,IF(COUNTIF(기본자료표[이름],$R545)&gt;0,"명단에 없음(기본자료에는 있음)","명단에 없음"),"동명이인 확인"))))</f>
        <v/>
      </c>
      <c r="Z545">
        <f>IF($R545="","",IF($S545&lt;0,"⚠"&amp;INDEX('입력_구리근무자명단'!$A543:$ZZ543,1,$E$2+2),TEXT($S545,"yyyy-mm-dd")))</f>
        <v/>
      </c>
      <c r="AA545">
        <f>IF($R545="","",IF($T545&lt;0,"⚠"&amp;INDEX('입력_구리근무자명단'!$A543:$ZZ543,1,$E$2+3),TEXT($T545,"yyyy-mm-dd")))</f>
        <v/>
      </c>
      <c r="AB545">
        <f>AB544+IF($R545="",0,1)</f>
        <v/>
      </c>
      <c r="AC545">
        <f>IF($R545="","",$AB545)</f>
        <v/>
      </c>
    </row>
    <row r="546">
      <c r="O546">
        <f>544</f>
        <v/>
      </c>
      <c r="P546">
        <f>IF(TRIM('입력_구리근무자명단'!$A544&amp;"")&lt;&gt;"",TRIM('입력_구리근무자명단'!$A544&amp;""),P545)</f>
        <v/>
      </c>
      <c r="Q546">
        <f>'입력_구리근무자명단'!$B544&amp;""</f>
        <v/>
      </c>
      <c r="R546">
        <f>IF($E$2="","",TRIM(INDEX('입력_구리근무자명단'!$A544:$ZZ544,1,$E$2+IF($G$2="확정",1,0))&amp;""))</f>
        <v/>
      </c>
      <c r="S546">
        <f>IF($R546="","",IF(INDEX('입력_구리근무자명단'!$A544:$ZZ544,1,$E$2+2)&amp;""="",급여기준월,IF(ISNUMBER(INDEX('입력_구리근무자명단'!$A544:$ZZ544,1,$E$2+2)),INDEX('입력_구리근무자명단'!$A544:$ZZ544,1,$E$2+2),IFERROR(DATE(VALUE(LEFT(INDEX('입력_구리근무자명단'!$A544:$ZZ544,1,$E$2+2),4)),VALUE(MID(INDEX('입력_구리근무자명단'!$A544:$ZZ544,1,$E$2+2),6,2)),VALUE(MID(INDEX('입력_구리근무자명단'!$A544:$ZZ544,1,$E$2+2),9,2))),-1))))</f>
        <v/>
      </c>
      <c r="T546">
        <f>IF($R546="","",IF(INDEX('입력_구리근무자명단'!$A544:$ZZ544,1,$E$2+3)&amp;""="",EOMONTH(급여기준월,0),IF(ISNUMBER(INDEX('입력_구리근무자명단'!$A544:$ZZ544,1,$E$2+3)),INDEX('입력_구리근무자명단'!$A544:$ZZ544,1,$E$2+3),IFERROR(DATE(VALUE(LEFT(INDEX('입력_구리근무자명단'!$A544:$ZZ544,1,$E$2+3),4)),VALUE(MID(INDEX('입력_구리근무자명단'!$A544:$ZZ544,1,$E$2+3),6,2)),VALUE(MID(INDEX('입력_구리근무자명단'!$A544:$ZZ544,1,$E$2+3),9,2))),-1))))</f>
        <v/>
      </c>
      <c r="U546">
        <f>IF($R546="","",IF(OR($S546&lt;0,$T546&lt;0),0,MAX(0,MIN($T546,EOMONTH(급여기준월,0))-MAX($S546,급여기준월)+1)))</f>
        <v/>
      </c>
      <c r="V546">
        <f>IF($R546="","",TRIM(INDEX('입력_구리근무자명단'!$A544:$ZZ544,1,$E$2+5)&amp;""))</f>
        <v/>
      </c>
      <c r="W546">
        <f>IF(ISNUMBER(SEARCH("구리독자",$V546)),"구리독자","")</f>
        <v/>
      </c>
      <c r="X546">
        <f>IF($R546="","",$R546&amp;"|"&amp;IF(OR($Q546="인턴",ISNUMBER(SEARCH("수련교육부",$P546))),"인턴",$P546))</f>
        <v/>
      </c>
      <c r="Y546">
        <f>IF($R546="","",IF(COUNTIF(명단표[이름|과],$X546)=1,"명단 일치",IF(AND(COUNTIF(명단표[이름|과],$X546)=0,COUNTIF(명단표[이름],$R546)=1),"명단 일치(이름만, 과 다름)",IF(COUNTIF(명단표[이름],$R546)=0,IF(COUNTIF(기본자료표[이름],$R546)&gt;0,"명단에 없음(기본자료에는 있음)","명단에 없음"),"동명이인 확인"))))</f>
        <v/>
      </c>
      <c r="Z546">
        <f>IF($R546="","",IF($S546&lt;0,"⚠"&amp;INDEX('입력_구리근무자명단'!$A544:$ZZ544,1,$E$2+2),TEXT($S546,"yyyy-mm-dd")))</f>
        <v/>
      </c>
      <c r="AA546">
        <f>IF($R546="","",IF($T546&lt;0,"⚠"&amp;INDEX('입력_구리근무자명단'!$A544:$ZZ544,1,$E$2+3),TEXT($T546,"yyyy-mm-dd")))</f>
        <v/>
      </c>
      <c r="AB546">
        <f>AB545+IF($R546="",0,1)</f>
        <v/>
      </c>
      <c r="AC546">
        <f>IF($R546="","",$AB546)</f>
        <v/>
      </c>
    </row>
    <row r="547">
      <c r="O547">
        <f>545</f>
        <v/>
      </c>
      <c r="P547">
        <f>IF(TRIM('입력_구리근무자명단'!$A545&amp;"")&lt;&gt;"",TRIM('입력_구리근무자명단'!$A545&amp;""),P546)</f>
        <v/>
      </c>
      <c r="Q547">
        <f>'입력_구리근무자명단'!$B545&amp;""</f>
        <v/>
      </c>
      <c r="R547">
        <f>IF($E$2="","",TRIM(INDEX('입력_구리근무자명단'!$A545:$ZZ545,1,$E$2+IF($G$2="확정",1,0))&amp;""))</f>
        <v/>
      </c>
      <c r="S547">
        <f>IF($R547="","",IF(INDEX('입력_구리근무자명단'!$A545:$ZZ545,1,$E$2+2)&amp;""="",급여기준월,IF(ISNUMBER(INDEX('입력_구리근무자명단'!$A545:$ZZ545,1,$E$2+2)),INDEX('입력_구리근무자명단'!$A545:$ZZ545,1,$E$2+2),IFERROR(DATE(VALUE(LEFT(INDEX('입력_구리근무자명단'!$A545:$ZZ545,1,$E$2+2),4)),VALUE(MID(INDEX('입력_구리근무자명단'!$A545:$ZZ545,1,$E$2+2),6,2)),VALUE(MID(INDEX('입력_구리근무자명단'!$A545:$ZZ545,1,$E$2+2),9,2))),-1))))</f>
        <v/>
      </c>
      <c r="T547">
        <f>IF($R547="","",IF(INDEX('입력_구리근무자명단'!$A545:$ZZ545,1,$E$2+3)&amp;""="",EOMONTH(급여기준월,0),IF(ISNUMBER(INDEX('입력_구리근무자명단'!$A545:$ZZ545,1,$E$2+3)),INDEX('입력_구리근무자명단'!$A545:$ZZ545,1,$E$2+3),IFERROR(DATE(VALUE(LEFT(INDEX('입력_구리근무자명단'!$A545:$ZZ545,1,$E$2+3),4)),VALUE(MID(INDEX('입력_구리근무자명단'!$A545:$ZZ545,1,$E$2+3),6,2)),VALUE(MID(INDEX('입력_구리근무자명단'!$A545:$ZZ545,1,$E$2+3),9,2))),-1))))</f>
        <v/>
      </c>
      <c r="U547">
        <f>IF($R547="","",IF(OR($S547&lt;0,$T547&lt;0),0,MAX(0,MIN($T547,EOMONTH(급여기준월,0))-MAX($S547,급여기준월)+1)))</f>
        <v/>
      </c>
      <c r="V547">
        <f>IF($R547="","",TRIM(INDEX('입력_구리근무자명단'!$A545:$ZZ545,1,$E$2+5)&amp;""))</f>
        <v/>
      </c>
      <c r="W547">
        <f>IF(ISNUMBER(SEARCH("구리독자",$V547)),"구리독자","")</f>
        <v/>
      </c>
      <c r="X547">
        <f>IF($R547="","",$R547&amp;"|"&amp;IF(OR($Q547="인턴",ISNUMBER(SEARCH("수련교육부",$P547))),"인턴",$P547))</f>
        <v/>
      </c>
      <c r="Y547">
        <f>IF($R547="","",IF(COUNTIF(명단표[이름|과],$X547)=1,"명단 일치",IF(AND(COUNTIF(명단표[이름|과],$X547)=0,COUNTIF(명단표[이름],$R547)=1),"명단 일치(이름만, 과 다름)",IF(COUNTIF(명단표[이름],$R547)=0,IF(COUNTIF(기본자료표[이름],$R547)&gt;0,"명단에 없음(기본자료에는 있음)","명단에 없음"),"동명이인 확인"))))</f>
        <v/>
      </c>
      <c r="Z547">
        <f>IF($R547="","",IF($S547&lt;0,"⚠"&amp;INDEX('입력_구리근무자명단'!$A545:$ZZ545,1,$E$2+2),TEXT($S547,"yyyy-mm-dd")))</f>
        <v/>
      </c>
      <c r="AA547">
        <f>IF($R547="","",IF($T547&lt;0,"⚠"&amp;INDEX('입력_구리근무자명단'!$A545:$ZZ545,1,$E$2+3),TEXT($T547,"yyyy-mm-dd")))</f>
        <v/>
      </c>
      <c r="AB547">
        <f>AB546+IF($R547="",0,1)</f>
        <v/>
      </c>
      <c r="AC547">
        <f>IF($R547="","",$AB547)</f>
        <v/>
      </c>
    </row>
    <row r="548">
      <c r="O548">
        <f>546</f>
        <v/>
      </c>
      <c r="P548">
        <f>IF(TRIM('입력_구리근무자명단'!$A546&amp;"")&lt;&gt;"",TRIM('입력_구리근무자명단'!$A546&amp;""),P547)</f>
        <v/>
      </c>
      <c r="Q548">
        <f>'입력_구리근무자명단'!$B546&amp;""</f>
        <v/>
      </c>
      <c r="R548">
        <f>IF($E$2="","",TRIM(INDEX('입력_구리근무자명단'!$A546:$ZZ546,1,$E$2+IF($G$2="확정",1,0))&amp;""))</f>
        <v/>
      </c>
      <c r="S548">
        <f>IF($R548="","",IF(INDEX('입력_구리근무자명단'!$A546:$ZZ546,1,$E$2+2)&amp;""="",급여기준월,IF(ISNUMBER(INDEX('입력_구리근무자명단'!$A546:$ZZ546,1,$E$2+2)),INDEX('입력_구리근무자명단'!$A546:$ZZ546,1,$E$2+2),IFERROR(DATE(VALUE(LEFT(INDEX('입력_구리근무자명단'!$A546:$ZZ546,1,$E$2+2),4)),VALUE(MID(INDEX('입력_구리근무자명단'!$A546:$ZZ546,1,$E$2+2),6,2)),VALUE(MID(INDEX('입력_구리근무자명단'!$A546:$ZZ546,1,$E$2+2),9,2))),-1))))</f>
        <v/>
      </c>
      <c r="T548">
        <f>IF($R548="","",IF(INDEX('입력_구리근무자명단'!$A546:$ZZ546,1,$E$2+3)&amp;""="",EOMONTH(급여기준월,0),IF(ISNUMBER(INDEX('입력_구리근무자명단'!$A546:$ZZ546,1,$E$2+3)),INDEX('입력_구리근무자명단'!$A546:$ZZ546,1,$E$2+3),IFERROR(DATE(VALUE(LEFT(INDEX('입력_구리근무자명단'!$A546:$ZZ546,1,$E$2+3),4)),VALUE(MID(INDEX('입력_구리근무자명단'!$A546:$ZZ546,1,$E$2+3),6,2)),VALUE(MID(INDEX('입력_구리근무자명단'!$A546:$ZZ546,1,$E$2+3),9,2))),-1))))</f>
        <v/>
      </c>
      <c r="U548">
        <f>IF($R548="","",IF(OR($S548&lt;0,$T548&lt;0),0,MAX(0,MIN($T548,EOMONTH(급여기준월,0))-MAX($S548,급여기준월)+1)))</f>
        <v/>
      </c>
      <c r="V548">
        <f>IF($R548="","",TRIM(INDEX('입력_구리근무자명단'!$A546:$ZZ546,1,$E$2+5)&amp;""))</f>
        <v/>
      </c>
      <c r="W548">
        <f>IF(ISNUMBER(SEARCH("구리독자",$V548)),"구리독자","")</f>
        <v/>
      </c>
      <c r="X548">
        <f>IF($R548="","",$R548&amp;"|"&amp;IF(OR($Q548="인턴",ISNUMBER(SEARCH("수련교육부",$P548))),"인턴",$P548))</f>
        <v/>
      </c>
      <c r="Y548">
        <f>IF($R548="","",IF(COUNTIF(명단표[이름|과],$X548)=1,"명단 일치",IF(AND(COUNTIF(명단표[이름|과],$X548)=0,COUNTIF(명단표[이름],$R548)=1),"명단 일치(이름만, 과 다름)",IF(COUNTIF(명단표[이름],$R548)=0,IF(COUNTIF(기본자료표[이름],$R548)&gt;0,"명단에 없음(기본자료에는 있음)","명단에 없음"),"동명이인 확인"))))</f>
        <v/>
      </c>
      <c r="Z548">
        <f>IF($R548="","",IF($S548&lt;0,"⚠"&amp;INDEX('입력_구리근무자명단'!$A546:$ZZ546,1,$E$2+2),TEXT($S548,"yyyy-mm-dd")))</f>
        <v/>
      </c>
      <c r="AA548">
        <f>IF($R548="","",IF($T548&lt;0,"⚠"&amp;INDEX('입력_구리근무자명단'!$A546:$ZZ546,1,$E$2+3),TEXT($T548,"yyyy-mm-dd")))</f>
        <v/>
      </c>
      <c r="AB548">
        <f>AB547+IF($R548="",0,1)</f>
        <v/>
      </c>
      <c r="AC548">
        <f>IF($R548="","",$AB548)</f>
        <v/>
      </c>
    </row>
    <row r="549">
      <c r="O549">
        <f>547</f>
        <v/>
      </c>
      <c r="P549">
        <f>IF(TRIM('입력_구리근무자명단'!$A547&amp;"")&lt;&gt;"",TRIM('입력_구리근무자명단'!$A547&amp;""),P548)</f>
        <v/>
      </c>
      <c r="Q549">
        <f>'입력_구리근무자명단'!$B547&amp;""</f>
        <v/>
      </c>
      <c r="R549">
        <f>IF($E$2="","",TRIM(INDEX('입력_구리근무자명단'!$A547:$ZZ547,1,$E$2+IF($G$2="확정",1,0))&amp;""))</f>
        <v/>
      </c>
      <c r="S549">
        <f>IF($R549="","",IF(INDEX('입력_구리근무자명단'!$A547:$ZZ547,1,$E$2+2)&amp;""="",급여기준월,IF(ISNUMBER(INDEX('입력_구리근무자명단'!$A547:$ZZ547,1,$E$2+2)),INDEX('입력_구리근무자명단'!$A547:$ZZ547,1,$E$2+2),IFERROR(DATE(VALUE(LEFT(INDEX('입력_구리근무자명단'!$A547:$ZZ547,1,$E$2+2),4)),VALUE(MID(INDEX('입력_구리근무자명단'!$A547:$ZZ547,1,$E$2+2),6,2)),VALUE(MID(INDEX('입력_구리근무자명단'!$A547:$ZZ547,1,$E$2+2),9,2))),-1))))</f>
        <v/>
      </c>
      <c r="T549">
        <f>IF($R549="","",IF(INDEX('입력_구리근무자명단'!$A547:$ZZ547,1,$E$2+3)&amp;""="",EOMONTH(급여기준월,0),IF(ISNUMBER(INDEX('입력_구리근무자명단'!$A547:$ZZ547,1,$E$2+3)),INDEX('입력_구리근무자명단'!$A547:$ZZ547,1,$E$2+3),IFERROR(DATE(VALUE(LEFT(INDEX('입력_구리근무자명단'!$A547:$ZZ547,1,$E$2+3),4)),VALUE(MID(INDEX('입력_구리근무자명단'!$A547:$ZZ547,1,$E$2+3),6,2)),VALUE(MID(INDEX('입력_구리근무자명단'!$A547:$ZZ547,1,$E$2+3),9,2))),-1))))</f>
        <v/>
      </c>
      <c r="U549">
        <f>IF($R549="","",IF(OR($S549&lt;0,$T549&lt;0),0,MAX(0,MIN($T549,EOMONTH(급여기준월,0))-MAX($S549,급여기준월)+1)))</f>
        <v/>
      </c>
      <c r="V549">
        <f>IF($R549="","",TRIM(INDEX('입력_구리근무자명단'!$A547:$ZZ547,1,$E$2+5)&amp;""))</f>
        <v/>
      </c>
      <c r="W549">
        <f>IF(ISNUMBER(SEARCH("구리독자",$V549)),"구리독자","")</f>
        <v/>
      </c>
      <c r="X549">
        <f>IF($R549="","",$R549&amp;"|"&amp;IF(OR($Q549="인턴",ISNUMBER(SEARCH("수련교육부",$P549))),"인턴",$P549))</f>
        <v/>
      </c>
      <c r="Y549">
        <f>IF($R549="","",IF(COUNTIF(명단표[이름|과],$X549)=1,"명단 일치",IF(AND(COUNTIF(명단표[이름|과],$X549)=0,COUNTIF(명단표[이름],$R549)=1),"명단 일치(이름만, 과 다름)",IF(COUNTIF(명단표[이름],$R549)=0,IF(COUNTIF(기본자료표[이름],$R549)&gt;0,"명단에 없음(기본자료에는 있음)","명단에 없음"),"동명이인 확인"))))</f>
        <v/>
      </c>
      <c r="Z549">
        <f>IF($R549="","",IF($S549&lt;0,"⚠"&amp;INDEX('입력_구리근무자명단'!$A547:$ZZ547,1,$E$2+2),TEXT($S549,"yyyy-mm-dd")))</f>
        <v/>
      </c>
      <c r="AA549">
        <f>IF($R549="","",IF($T549&lt;0,"⚠"&amp;INDEX('입력_구리근무자명단'!$A547:$ZZ547,1,$E$2+3),TEXT($T549,"yyyy-mm-dd")))</f>
        <v/>
      </c>
      <c r="AB549">
        <f>AB548+IF($R549="",0,1)</f>
        <v/>
      </c>
      <c r="AC549">
        <f>IF($R549="","",$AB549)</f>
        <v/>
      </c>
    </row>
    <row r="550">
      <c r="O550">
        <f>548</f>
        <v/>
      </c>
      <c r="P550">
        <f>IF(TRIM('입력_구리근무자명단'!$A548&amp;"")&lt;&gt;"",TRIM('입력_구리근무자명단'!$A548&amp;""),P549)</f>
        <v/>
      </c>
      <c r="Q550">
        <f>'입력_구리근무자명단'!$B548&amp;""</f>
        <v/>
      </c>
      <c r="R550">
        <f>IF($E$2="","",TRIM(INDEX('입력_구리근무자명단'!$A548:$ZZ548,1,$E$2+IF($G$2="확정",1,0))&amp;""))</f>
        <v/>
      </c>
      <c r="S550">
        <f>IF($R550="","",IF(INDEX('입력_구리근무자명단'!$A548:$ZZ548,1,$E$2+2)&amp;""="",급여기준월,IF(ISNUMBER(INDEX('입력_구리근무자명단'!$A548:$ZZ548,1,$E$2+2)),INDEX('입력_구리근무자명단'!$A548:$ZZ548,1,$E$2+2),IFERROR(DATE(VALUE(LEFT(INDEX('입력_구리근무자명단'!$A548:$ZZ548,1,$E$2+2),4)),VALUE(MID(INDEX('입력_구리근무자명단'!$A548:$ZZ548,1,$E$2+2),6,2)),VALUE(MID(INDEX('입력_구리근무자명단'!$A548:$ZZ548,1,$E$2+2),9,2))),-1))))</f>
        <v/>
      </c>
      <c r="T550">
        <f>IF($R550="","",IF(INDEX('입력_구리근무자명단'!$A548:$ZZ548,1,$E$2+3)&amp;""="",EOMONTH(급여기준월,0),IF(ISNUMBER(INDEX('입력_구리근무자명단'!$A548:$ZZ548,1,$E$2+3)),INDEX('입력_구리근무자명단'!$A548:$ZZ548,1,$E$2+3),IFERROR(DATE(VALUE(LEFT(INDEX('입력_구리근무자명단'!$A548:$ZZ548,1,$E$2+3),4)),VALUE(MID(INDEX('입력_구리근무자명단'!$A548:$ZZ548,1,$E$2+3),6,2)),VALUE(MID(INDEX('입력_구리근무자명단'!$A548:$ZZ548,1,$E$2+3),9,2))),-1))))</f>
        <v/>
      </c>
      <c r="U550">
        <f>IF($R550="","",IF(OR($S550&lt;0,$T550&lt;0),0,MAX(0,MIN($T550,EOMONTH(급여기준월,0))-MAX($S550,급여기준월)+1)))</f>
        <v/>
      </c>
      <c r="V550">
        <f>IF($R550="","",TRIM(INDEX('입력_구리근무자명단'!$A548:$ZZ548,1,$E$2+5)&amp;""))</f>
        <v/>
      </c>
      <c r="W550">
        <f>IF(ISNUMBER(SEARCH("구리독자",$V550)),"구리독자","")</f>
        <v/>
      </c>
      <c r="X550">
        <f>IF($R550="","",$R550&amp;"|"&amp;IF(OR($Q550="인턴",ISNUMBER(SEARCH("수련교육부",$P550))),"인턴",$P550))</f>
        <v/>
      </c>
      <c r="Y550">
        <f>IF($R550="","",IF(COUNTIF(명단표[이름|과],$X550)=1,"명단 일치",IF(AND(COUNTIF(명단표[이름|과],$X550)=0,COUNTIF(명단표[이름],$R550)=1),"명단 일치(이름만, 과 다름)",IF(COUNTIF(명단표[이름],$R550)=0,IF(COUNTIF(기본자료표[이름],$R550)&gt;0,"명단에 없음(기본자료에는 있음)","명단에 없음"),"동명이인 확인"))))</f>
        <v/>
      </c>
      <c r="Z550">
        <f>IF($R550="","",IF($S550&lt;0,"⚠"&amp;INDEX('입력_구리근무자명단'!$A548:$ZZ548,1,$E$2+2),TEXT($S550,"yyyy-mm-dd")))</f>
        <v/>
      </c>
      <c r="AA550">
        <f>IF($R550="","",IF($T550&lt;0,"⚠"&amp;INDEX('입력_구리근무자명단'!$A548:$ZZ548,1,$E$2+3),TEXT($T550,"yyyy-mm-dd")))</f>
        <v/>
      </c>
      <c r="AB550">
        <f>AB549+IF($R550="",0,1)</f>
        <v/>
      </c>
      <c r="AC550">
        <f>IF($R550="","",$AB550)</f>
        <v/>
      </c>
    </row>
    <row r="551">
      <c r="O551">
        <f>549</f>
        <v/>
      </c>
      <c r="P551">
        <f>IF(TRIM('입력_구리근무자명단'!$A549&amp;"")&lt;&gt;"",TRIM('입력_구리근무자명단'!$A549&amp;""),P550)</f>
        <v/>
      </c>
      <c r="Q551">
        <f>'입력_구리근무자명단'!$B549&amp;""</f>
        <v/>
      </c>
      <c r="R551">
        <f>IF($E$2="","",TRIM(INDEX('입력_구리근무자명단'!$A549:$ZZ549,1,$E$2+IF($G$2="확정",1,0))&amp;""))</f>
        <v/>
      </c>
      <c r="S551">
        <f>IF($R551="","",IF(INDEX('입력_구리근무자명단'!$A549:$ZZ549,1,$E$2+2)&amp;""="",급여기준월,IF(ISNUMBER(INDEX('입력_구리근무자명단'!$A549:$ZZ549,1,$E$2+2)),INDEX('입력_구리근무자명단'!$A549:$ZZ549,1,$E$2+2),IFERROR(DATE(VALUE(LEFT(INDEX('입력_구리근무자명단'!$A549:$ZZ549,1,$E$2+2),4)),VALUE(MID(INDEX('입력_구리근무자명단'!$A549:$ZZ549,1,$E$2+2),6,2)),VALUE(MID(INDEX('입력_구리근무자명단'!$A549:$ZZ549,1,$E$2+2),9,2))),-1))))</f>
        <v/>
      </c>
      <c r="T551">
        <f>IF($R551="","",IF(INDEX('입력_구리근무자명단'!$A549:$ZZ549,1,$E$2+3)&amp;""="",EOMONTH(급여기준월,0),IF(ISNUMBER(INDEX('입력_구리근무자명단'!$A549:$ZZ549,1,$E$2+3)),INDEX('입력_구리근무자명단'!$A549:$ZZ549,1,$E$2+3),IFERROR(DATE(VALUE(LEFT(INDEX('입력_구리근무자명단'!$A549:$ZZ549,1,$E$2+3),4)),VALUE(MID(INDEX('입력_구리근무자명단'!$A549:$ZZ549,1,$E$2+3),6,2)),VALUE(MID(INDEX('입력_구리근무자명단'!$A549:$ZZ549,1,$E$2+3),9,2))),-1))))</f>
        <v/>
      </c>
      <c r="U551">
        <f>IF($R551="","",IF(OR($S551&lt;0,$T551&lt;0),0,MAX(0,MIN($T551,EOMONTH(급여기준월,0))-MAX($S551,급여기준월)+1)))</f>
        <v/>
      </c>
      <c r="V551">
        <f>IF($R551="","",TRIM(INDEX('입력_구리근무자명단'!$A549:$ZZ549,1,$E$2+5)&amp;""))</f>
        <v/>
      </c>
      <c r="W551">
        <f>IF(ISNUMBER(SEARCH("구리독자",$V551)),"구리독자","")</f>
        <v/>
      </c>
      <c r="X551">
        <f>IF($R551="","",$R551&amp;"|"&amp;IF(OR($Q551="인턴",ISNUMBER(SEARCH("수련교육부",$P551))),"인턴",$P551))</f>
        <v/>
      </c>
      <c r="Y551">
        <f>IF($R551="","",IF(COUNTIF(명단표[이름|과],$X551)=1,"명단 일치",IF(AND(COUNTIF(명단표[이름|과],$X551)=0,COUNTIF(명단표[이름],$R551)=1),"명단 일치(이름만, 과 다름)",IF(COUNTIF(명단표[이름],$R551)=0,IF(COUNTIF(기본자료표[이름],$R551)&gt;0,"명단에 없음(기본자료에는 있음)","명단에 없음"),"동명이인 확인"))))</f>
        <v/>
      </c>
      <c r="Z551">
        <f>IF($R551="","",IF($S551&lt;0,"⚠"&amp;INDEX('입력_구리근무자명단'!$A549:$ZZ549,1,$E$2+2),TEXT($S551,"yyyy-mm-dd")))</f>
        <v/>
      </c>
      <c r="AA551">
        <f>IF($R551="","",IF($T551&lt;0,"⚠"&amp;INDEX('입력_구리근무자명단'!$A549:$ZZ549,1,$E$2+3),TEXT($T551,"yyyy-mm-dd")))</f>
        <v/>
      </c>
      <c r="AB551">
        <f>AB550+IF($R551="",0,1)</f>
        <v/>
      </c>
      <c r="AC551">
        <f>IF($R551="","",$AB551)</f>
        <v/>
      </c>
    </row>
    <row r="552">
      <c r="O552">
        <f>550</f>
        <v/>
      </c>
      <c r="P552">
        <f>IF(TRIM('입력_구리근무자명단'!$A550&amp;"")&lt;&gt;"",TRIM('입력_구리근무자명단'!$A550&amp;""),P551)</f>
        <v/>
      </c>
      <c r="Q552">
        <f>'입력_구리근무자명단'!$B550&amp;""</f>
        <v/>
      </c>
      <c r="R552">
        <f>IF($E$2="","",TRIM(INDEX('입력_구리근무자명단'!$A550:$ZZ550,1,$E$2+IF($G$2="확정",1,0))&amp;""))</f>
        <v/>
      </c>
      <c r="S552">
        <f>IF($R552="","",IF(INDEX('입력_구리근무자명단'!$A550:$ZZ550,1,$E$2+2)&amp;""="",급여기준월,IF(ISNUMBER(INDEX('입력_구리근무자명단'!$A550:$ZZ550,1,$E$2+2)),INDEX('입력_구리근무자명단'!$A550:$ZZ550,1,$E$2+2),IFERROR(DATE(VALUE(LEFT(INDEX('입력_구리근무자명단'!$A550:$ZZ550,1,$E$2+2),4)),VALUE(MID(INDEX('입력_구리근무자명단'!$A550:$ZZ550,1,$E$2+2),6,2)),VALUE(MID(INDEX('입력_구리근무자명단'!$A550:$ZZ550,1,$E$2+2),9,2))),-1))))</f>
        <v/>
      </c>
      <c r="T552">
        <f>IF($R552="","",IF(INDEX('입력_구리근무자명단'!$A550:$ZZ550,1,$E$2+3)&amp;""="",EOMONTH(급여기준월,0),IF(ISNUMBER(INDEX('입력_구리근무자명단'!$A550:$ZZ550,1,$E$2+3)),INDEX('입력_구리근무자명단'!$A550:$ZZ550,1,$E$2+3),IFERROR(DATE(VALUE(LEFT(INDEX('입력_구리근무자명단'!$A550:$ZZ550,1,$E$2+3),4)),VALUE(MID(INDEX('입력_구리근무자명단'!$A550:$ZZ550,1,$E$2+3),6,2)),VALUE(MID(INDEX('입력_구리근무자명단'!$A550:$ZZ550,1,$E$2+3),9,2))),-1))))</f>
        <v/>
      </c>
      <c r="U552">
        <f>IF($R552="","",IF(OR($S552&lt;0,$T552&lt;0),0,MAX(0,MIN($T552,EOMONTH(급여기준월,0))-MAX($S552,급여기준월)+1)))</f>
        <v/>
      </c>
      <c r="V552">
        <f>IF($R552="","",TRIM(INDEX('입력_구리근무자명단'!$A550:$ZZ550,1,$E$2+5)&amp;""))</f>
        <v/>
      </c>
      <c r="W552">
        <f>IF(ISNUMBER(SEARCH("구리독자",$V552)),"구리독자","")</f>
        <v/>
      </c>
      <c r="X552">
        <f>IF($R552="","",$R552&amp;"|"&amp;IF(OR($Q552="인턴",ISNUMBER(SEARCH("수련교육부",$P552))),"인턴",$P552))</f>
        <v/>
      </c>
      <c r="Y552">
        <f>IF($R552="","",IF(COUNTIF(명단표[이름|과],$X552)=1,"명단 일치",IF(AND(COUNTIF(명단표[이름|과],$X552)=0,COUNTIF(명단표[이름],$R552)=1),"명단 일치(이름만, 과 다름)",IF(COUNTIF(명단표[이름],$R552)=0,IF(COUNTIF(기본자료표[이름],$R552)&gt;0,"명단에 없음(기본자료에는 있음)","명단에 없음"),"동명이인 확인"))))</f>
        <v/>
      </c>
      <c r="Z552">
        <f>IF($R552="","",IF($S552&lt;0,"⚠"&amp;INDEX('입력_구리근무자명단'!$A550:$ZZ550,1,$E$2+2),TEXT($S552,"yyyy-mm-dd")))</f>
        <v/>
      </c>
      <c r="AA552">
        <f>IF($R552="","",IF($T552&lt;0,"⚠"&amp;INDEX('입력_구리근무자명단'!$A550:$ZZ550,1,$E$2+3),TEXT($T552,"yyyy-mm-dd")))</f>
        <v/>
      </c>
      <c r="AB552">
        <f>AB551+IF($R552="",0,1)</f>
        <v/>
      </c>
      <c r="AC552">
        <f>IF($R552="","",$AB552)</f>
        <v/>
      </c>
    </row>
    <row r="553">
      <c r="O553">
        <f>551</f>
        <v/>
      </c>
      <c r="P553">
        <f>IF(TRIM('입력_구리근무자명단'!$A551&amp;"")&lt;&gt;"",TRIM('입력_구리근무자명단'!$A551&amp;""),P552)</f>
        <v/>
      </c>
      <c r="Q553">
        <f>'입력_구리근무자명단'!$B551&amp;""</f>
        <v/>
      </c>
      <c r="R553">
        <f>IF($E$2="","",TRIM(INDEX('입력_구리근무자명단'!$A551:$ZZ551,1,$E$2+IF($G$2="확정",1,0))&amp;""))</f>
        <v/>
      </c>
      <c r="S553">
        <f>IF($R553="","",IF(INDEX('입력_구리근무자명단'!$A551:$ZZ551,1,$E$2+2)&amp;""="",급여기준월,IF(ISNUMBER(INDEX('입력_구리근무자명단'!$A551:$ZZ551,1,$E$2+2)),INDEX('입력_구리근무자명단'!$A551:$ZZ551,1,$E$2+2),IFERROR(DATE(VALUE(LEFT(INDEX('입력_구리근무자명단'!$A551:$ZZ551,1,$E$2+2),4)),VALUE(MID(INDEX('입력_구리근무자명단'!$A551:$ZZ551,1,$E$2+2),6,2)),VALUE(MID(INDEX('입력_구리근무자명단'!$A551:$ZZ551,1,$E$2+2),9,2))),-1))))</f>
        <v/>
      </c>
      <c r="T553">
        <f>IF($R553="","",IF(INDEX('입력_구리근무자명단'!$A551:$ZZ551,1,$E$2+3)&amp;""="",EOMONTH(급여기준월,0),IF(ISNUMBER(INDEX('입력_구리근무자명단'!$A551:$ZZ551,1,$E$2+3)),INDEX('입력_구리근무자명단'!$A551:$ZZ551,1,$E$2+3),IFERROR(DATE(VALUE(LEFT(INDEX('입력_구리근무자명단'!$A551:$ZZ551,1,$E$2+3),4)),VALUE(MID(INDEX('입력_구리근무자명단'!$A551:$ZZ551,1,$E$2+3),6,2)),VALUE(MID(INDEX('입력_구리근무자명단'!$A551:$ZZ551,1,$E$2+3),9,2))),-1))))</f>
        <v/>
      </c>
      <c r="U553">
        <f>IF($R553="","",IF(OR($S553&lt;0,$T553&lt;0),0,MAX(0,MIN($T553,EOMONTH(급여기준월,0))-MAX($S553,급여기준월)+1)))</f>
        <v/>
      </c>
      <c r="V553">
        <f>IF($R553="","",TRIM(INDEX('입력_구리근무자명단'!$A551:$ZZ551,1,$E$2+5)&amp;""))</f>
        <v/>
      </c>
      <c r="W553">
        <f>IF(ISNUMBER(SEARCH("구리독자",$V553)),"구리독자","")</f>
        <v/>
      </c>
      <c r="X553">
        <f>IF($R553="","",$R553&amp;"|"&amp;IF(OR($Q553="인턴",ISNUMBER(SEARCH("수련교육부",$P553))),"인턴",$P553))</f>
        <v/>
      </c>
      <c r="Y553">
        <f>IF($R553="","",IF(COUNTIF(명단표[이름|과],$X553)=1,"명단 일치",IF(AND(COUNTIF(명단표[이름|과],$X553)=0,COUNTIF(명단표[이름],$R553)=1),"명단 일치(이름만, 과 다름)",IF(COUNTIF(명단표[이름],$R553)=0,IF(COUNTIF(기본자료표[이름],$R553)&gt;0,"명단에 없음(기본자료에는 있음)","명단에 없음"),"동명이인 확인"))))</f>
        <v/>
      </c>
      <c r="Z553">
        <f>IF($R553="","",IF($S553&lt;0,"⚠"&amp;INDEX('입력_구리근무자명단'!$A551:$ZZ551,1,$E$2+2),TEXT($S553,"yyyy-mm-dd")))</f>
        <v/>
      </c>
      <c r="AA553">
        <f>IF($R553="","",IF($T553&lt;0,"⚠"&amp;INDEX('입력_구리근무자명단'!$A551:$ZZ551,1,$E$2+3),TEXT($T553,"yyyy-mm-dd")))</f>
        <v/>
      </c>
      <c r="AB553">
        <f>AB552+IF($R553="",0,1)</f>
        <v/>
      </c>
      <c r="AC553">
        <f>IF($R553="","",$AB553)</f>
        <v/>
      </c>
    </row>
    <row r="554">
      <c r="O554">
        <f>552</f>
        <v/>
      </c>
      <c r="P554">
        <f>IF(TRIM('입력_구리근무자명단'!$A552&amp;"")&lt;&gt;"",TRIM('입력_구리근무자명단'!$A552&amp;""),P553)</f>
        <v/>
      </c>
      <c r="Q554">
        <f>'입력_구리근무자명단'!$B552&amp;""</f>
        <v/>
      </c>
      <c r="R554">
        <f>IF($E$2="","",TRIM(INDEX('입력_구리근무자명단'!$A552:$ZZ552,1,$E$2+IF($G$2="확정",1,0))&amp;""))</f>
        <v/>
      </c>
      <c r="S554">
        <f>IF($R554="","",IF(INDEX('입력_구리근무자명단'!$A552:$ZZ552,1,$E$2+2)&amp;""="",급여기준월,IF(ISNUMBER(INDEX('입력_구리근무자명단'!$A552:$ZZ552,1,$E$2+2)),INDEX('입력_구리근무자명단'!$A552:$ZZ552,1,$E$2+2),IFERROR(DATE(VALUE(LEFT(INDEX('입력_구리근무자명단'!$A552:$ZZ552,1,$E$2+2),4)),VALUE(MID(INDEX('입력_구리근무자명단'!$A552:$ZZ552,1,$E$2+2),6,2)),VALUE(MID(INDEX('입력_구리근무자명단'!$A552:$ZZ552,1,$E$2+2),9,2))),-1))))</f>
        <v/>
      </c>
      <c r="T554">
        <f>IF($R554="","",IF(INDEX('입력_구리근무자명단'!$A552:$ZZ552,1,$E$2+3)&amp;""="",EOMONTH(급여기준월,0),IF(ISNUMBER(INDEX('입력_구리근무자명단'!$A552:$ZZ552,1,$E$2+3)),INDEX('입력_구리근무자명단'!$A552:$ZZ552,1,$E$2+3),IFERROR(DATE(VALUE(LEFT(INDEX('입력_구리근무자명단'!$A552:$ZZ552,1,$E$2+3),4)),VALUE(MID(INDEX('입력_구리근무자명단'!$A552:$ZZ552,1,$E$2+3),6,2)),VALUE(MID(INDEX('입력_구리근무자명단'!$A552:$ZZ552,1,$E$2+3),9,2))),-1))))</f>
        <v/>
      </c>
      <c r="U554">
        <f>IF($R554="","",IF(OR($S554&lt;0,$T554&lt;0),0,MAX(0,MIN($T554,EOMONTH(급여기준월,0))-MAX($S554,급여기준월)+1)))</f>
        <v/>
      </c>
      <c r="V554">
        <f>IF($R554="","",TRIM(INDEX('입력_구리근무자명단'!$A552:$ZZ552,1,$E$2+5)&amp;""))</f>
        <v/>
      </c>
      <c r="W554">
        <f>IF(ISNUMBER(SEARCH("구리독자",$V554)),"구리독자","")</f>
        <v/>
      </c>
      <c r="X554">
        <f>IF($R554="","",$R554&amp;"|"&amp;IF(OR($Q554="인턴",ISNUMBER(SEARCH("수련교육부",$P554))),"인턴",$P554))</f>
        <v/>
      </c>
      <c r="Y554">
        <f>IF($R554="","",IF(COUNTIF(명단표[이름|과],$X554)=1,"명단 일치",IF(AND(COUNTIF(명단표[이름|과],$X554)=0,COUNTIF(명단표[이름],$R554)=1),"명단 일치(이름만, 과 다름)",IF(COUNTIF(명단표[이름],$R554)=0,IF(COUNTIF(기본자료표[이름],$R554)&gt;0,"명단에 없음(기본자료에는 있음)","명단에 없음"),"동명이인 확인"))))</f>
        <v/>
      </c>
      <c r="Z554">
        <f>IF($R554="","",IF($S554&lt;0,"⚠"&amp;INDEX('입력_구리근무자명단'!$A552:$ZZ552,1,$E$2+2),TEXT($S554,"yyyy-mm-dd")))</f>
        <v/>
      </c>
      <c r="AA554">
        <f>IF($R554="","",IF($T554&lt;0,"⚠"&amp;INDEX('입력_구리근무자명단'!$A552:$ZZ552,1,$E$2+3),TEXT($T554,"yyyy-mm-dd")))</f>
        <v/>
      </c>
      <c r="AB554">
        <f>AB553+IF($R554="",0,1)</f>
        <v/>
      </c>
      <c r="AC554">
        <f>IF($R554="","",$AB554)</f>
        <v/>
      </c>
    </row>
    <row r="555">
      <c r="O555">
        <f>553</f>
        <v/>
      </c>
      <c r="P555">
        <f>IF(TRIM('입력_구리근무자명단'!$A553&amp;"")&lt;&gt;"",TRIM('입력_구리근무자명단'!$A553&amp;""),P554)</f>
        <v/>
      </c>
      <c r="Q555">
        <f>'입력_구리근무자명단'!$B553&amp;""</f>
        <v/>
      </c>
      <c r="R555">
        <f>IF($E$2="","",TRIM(INDEX('입력_구리근무자명단'!$A553:$ZZ553,1,$E$2+IF($G$2="확정",1,0))&amp;""))</f>
        <v/>
      </c>
      <c r="S555">
        <f>IF($R555="","",IF(INDEX('입력_구리근무자명단'!$A553:$ZZ553,1,$E$2+2)&amp;""="",급여기준월,IF(ISNUMBER(INDEX('입력_구리근무자명단'!$A553:$ZZ553,1,$E$2+2)),INDEX('입력_구리근무자명단'!$A553:$ZZ553,1,$E$2+2),IFERROR(DATE(VALUE(LEFT(INDEX('입력_구리근무자명단'!$A553:$ZZ553,1,$E$2+2),4)),VALUE(MID(INDEX('입력_구리근무자명단'!$A553:$ZZ553,1,$E$2+2),6,2)),VALUE(MID(INDEX('입력_구리근무자명단'!$A553:$ZZ553,1,$E$2+2),9,2))),-1))))</f>
        <v/>
      </c>
      <c r="T555">
        <f>IF($R555="","",IF(INDEX('입력_구리근무자명단'!$A553:$ZZ553,1,$E$2+3)&amp;""="",EOMONTH(급여기준월,0),IF(ISNUMBER(INDEX('입력_구리근무자명단'!$A553:$ZZ553,1,$E$2+3)),INDEX('입력_구리근무자명단'!$A553:$ZZ553,1,$E$2+3),IFERROR(DATE(VALUE(LEFT(INDEX('입력_구리근무자명단'!$A553:$ZZ553,1,$E$2+3),4)),VALUE(MID(INDEX('입력_구리근무자명단'!$A553:$ZZ553,1,$E$2+3),6,2)),VALUE(MID(INDEX('입력_구리근무자명단'!$A553:$ZZ553,1,$E$2+3),9,2))),-1))))</f>
        <v/>
      </c>
      <c r="U555">
        <f>IF($R555="","",IF(OR($S555&lt;0,$T555&lt;0),0,MAX(0,MIN($T555,EOMONTH(급여기준월,0))-MAX($S555,급여기준월)+1)))</f>
        <v/>
      </c>
      <c r="V555">
        <f>IF($R555="","",TRIM(INDEX('입력_구리근무자명단'!$A553:$ZZ553,1,$E$2+5)&amp;""))</f>
        <v/>
      </c>
      <c r="W555">
        <f>IF(ISNUMBER(SEARCH("구리독자",$V555)),"구리독자","")</f>
        <v/>
      </c>
      <c r="X555">
        <f>IF($R555="","",$R555&amp;"|"&amp;IF(OR($Q555="인턴",ISNUMBER(SEARCH("수련교육부",$P555))),"인턴",$P555))</f>
        <v/>
      </c>
      <c r="Y555">
        <f>IF($R555="","",IF(COUNTIF(명단표[이름|과],$X555)=1,"명단 일치",IF(AND(COUNTIF(명단표[이름|과],$X555)=0,COUNTIF(명단표[이름],$R555)=1),"명단 일치(이름만, 과 다름)",IF(COUNTIF(명단표[이름],$R555)=0,IF(COUNTIF(기본자료표[이름],$R555)&gt;0,"명단에 없음(기본자료에는 있음)","명단에 없음"),"동명이인 확인"))))</f>
        <v/>
      </c>
      <c r="Z555">
        <f>IF($R555="","",IF($S555&lt;0,"⚠"&amp;INDEX('입력_구리근무자명단'!$A553:$ZZ553,1,$E$2+2),TEXT($S555,"yyyy-mm-dd")))</f>
        <v/>
      </c>
      <c r="AA555">
        <f>IF($R555="","",IF($T555&lt;0,"⚠"&amp;INDEX('입력_구리근무자명단'!$A553:$ZZ553,1,$E$2+3),TEXT($T555,"yyyy-mm-dd")))</f>
        <v/>
      </c>
      <c r="AB555">
        <f>AB554+IF($R555="",0,1)</f>
        <v/>
      </c>
      <c r="AC555">
        <f>IF($R555="","",$AB555)</f>
        <v/>
      </c>
    </row>
    <row r="556">
      <c r="O556">
        <f>554</f>
        <v/>
      </c>
      <c r="P556">
        <f>IF(TRIM('입력_구리근무자명단'!$A554&amp;"")&lt;&gt;"",TRIM('입력_구리근무자명단'!$A554&amp;""),P555)</f>
        <v/>
      </c>
      <c r="Q556">
        <f>'입력_구리근무자명단'!$B554&amp;""</f>
        <v/>
      </c>
      <c r="R556">
        <f>IF($E$2="","",TRIM(INDEX('입력_구리근무자명단'!$A554:$ZZ554,1,$E$2+IF($G$2="확정",1,0))&amp;""))</f>
        <v/>
      </c>
      <c r="S556">
        <f>IF($R556="","",IF(INDEX('입력_구리근무자명단'!$A554:$ZZ554,1,$E$2+2)&amp;""="",급여기준월,IF(ISNUMBER(INDEX('입력_구리근무자명단'!$A554:$ZZ554,1,$E$2+2)),INDEX('입력_구리근무자명단'!$A554:$ZZ554,1,$E$2+2),IFERROR(DATE(VALUE(LEFT(INDEX('입력_구리근무자명단'!$A554:$ZZ554,1,$E$2+2),4)),VALUE(MID(INDEX('입력_구리근무자명단'!$A554:$ZZ554,1,$E$2+2),6,2)),VALUE(MID(INDEX('입력_구리근무자명단'!$A554:$ZZ554,1,$E$2+2),9,2))),-1))))</f>
        <v/>
      </c>
      <c r="T556">
        <f>IF($R556="","",IF(INDEX('입력_구리근무자명단'!$A554:$ZZ554,1,$E$2+3)&amp;""="",EOMONTH(급여기준월,0),IF(ISNUMBER(INDEX('입력_구리근무자명단'!$A554:$ZZ554,1,$E$2+3)),INDEX('입력_구리근무자명단'!$A554:$ZZ554,1,$E$2+3),IFERROR(DATE(VALUE(LEFT(INDEX('입력_구리근무자명단'!$A554:$ZZ554,1,$E$2+3),4)),VALUE(MID(INDEX('입력_구리근무자명단'!$A554:$ZZ554,1,$E$2+3),6,2)),VALUE(MID(INDEX('입력_구리근무자명단'!$A554:$ZZ554,1,$E$2+3),9,2))),-1))))</f>
        <v/>
      </c>
      <c r="U556">
        <f>IF($R556="","",IF(OR($S556&lt;0,$T556&lt;0),0,MAX(0,MIN($T556,EOMONTH(급여기준월,0))-MAX($S556,급여기준월)+1)))</f>
        <v/>
      </c>
      <c r="V556">
        <f>IF($R556="","",TRIM(INDEX('입력_구리근무자명단'!$A554:$ZZ554,1,$E$2+5)&amp;""))</f>
        <v/>
      </c>
      <c r="W556">
        <f>IF(ISNUMBER(SEARCH("구리독자",$V556)),"구리독자","")</f>
        <v/>
      </c>
      <c r="X556">
        <f>IF($R556="","",$R556&amp;"|"&amp;IF(OR($Q556="인턴",ISNUMBER(SEARCH("수련교육부",$P556))),"인턴",$P556))</f>
        <v/>
      </c>
      <c r="Y556">
        <f>IF($R556="","",IF(COUNTIF(명단표[이름|과],$X556)=1,"명단 일치",IF(AND(COUNTIF(명단표[이름|과],$X556)=0,COUNTIF(명단표[이름],$R556)=1),"명단 일치(이름만, 과 다름)",IF(COUNTIF(명단표[이름],$R556)=0,IF(COUNTIF(기본자료표[이름],$R556)&gt;0,"명단에 없음(기본자료에는 있음)","명단에 없음"),"동명이인 확인"))))</f>
        <v/>
      </c>
      <c r="Z556">
        <f>IF($R556="","",IF($S556&lt;0,"⚠"&amp;INDEX('입력_구리근무자명단'!$A554:$ZZ554,1,$E$2+2),TEXT($S556,"yyyy-mm-dd")))</f>
        <v/>
      </c>
      <c r="AA556">
        <f>IF($R556="","",IF($T556&lt;0,"⚠"&amp;INDEX('입력_구리근무자명단'!$A554:$ZZ554,1,$E$2+3),TEXT($T556,"yyyy-mm-dd")))</f>
        <v/>
      </c>
      <c r="AB556">
        <f>AB555+IF($R556="",0,1)</f>
        <v/>
      </c>
      <c r="AC556">
        <f>IF($R556="","",$AB556)</f>
        <v/>
      </c>
    </row>
    <row r="557">
      <c r="O557">
        <f>555</f>
        <v/>
      </c>
      <c r="P557">
        <f>IF(TRIM('입력_구리근무자명단'!$A555&amp;"")&lt;&gt;"",TRIM('입력_구리근무자명단'!$A555&amp;""),P556)</f>
        <v/>
      </c>
      <c r="Q557">
        <f>'입력_구리근무자명단'!$B555&amp;""</f>
        <v/>
      </c>
      <c r="R557">
        <f>IF($E$2="","",TRIM(INDEX('입력_구리근무자명단'!$A555:$ZZ555,1,$E$2+IF($G$2="확정",1,0))&amp;""))</f>
        <v/>
      </c>
      <c r="S557">
        <f>IF($R557="","",IF(INDEX('입력_구리근무자명단'!$A555:$ZZ555,1,$E$2+2)&amp;""="",급여기준월,IF(ISNUMBER(INDEX('입력_구리근무자명단'!$A555:$ZZ555,1,$E$2+2)),INDEX('입력_구리근무자명단'!$A555:$ZZ555,1,$E$2+2),IFERROR(DATE(VALUE(LEFT(INDEX('입력_구리근무자명단'!$A555:$ZZ555,1,$E$2+2),4)),VALUE(MID(INDEX('입력_구리근무자명단'!$A555:$ZZ555,1,$E$2+2),6,2)),VALUE(MID(INDEX('입력_구리근무자명단'!$A555:$ZZ555,1,$E$2+2),9,2))),-1))))</f>
        <v/>
      </c>
      <c r="T557">
        <f>IF($R557="","",IF(INDEX('입력_구리근무자명단'!$A555:$ZZ555,1,$E$2+3)&amp;""="",EOMONTH(급여기준월,0),IF(ISNUMBER(INDEX('입력_구리근무자명단'!$A555:$ZZ555,1,$E$2+3)),INDEX('입력_구리근무자명단'!$A555:$ZZ555,1,$E$2+3),IFERROR(DATE(VALUE(LEFT(INDEX('입력_구리근무자명단'!$A555:$ZZ555,1,$E$2+3),4)),VALUE(MID(INDEX('입력_구리근무자명단'!$A555:$ZZ555,1,$E$2+3),6,2)),VALUE(MID(INDEX('입력_구리근무자명단'!$A555:$ZZ555,1,$E$2+3),9,2))),-1))))</f>
        <v/>
      </c>
      <c r="U557">
        <f>IF($R557="","",IF(OR($S557&lt;0,$T557&lt;0),0,MAX(0,MIN($T557,EOMONTH(급여기준월,0))-MAX($S557,급여기준월)+1)))</f>
        <v/>
      </c>
      <c r="V557">
        <f>IF($R557="","",TRIM(INDEX('입력_구리근무자명단'!$A555:$ZZ555,1,$E$2+5)&amp;""))</f>
        <v/>
      </c>
      <c r="W557">
        <f>IF(ISNUMBER(SEARCH("구리독자",$V557)),"구리독자","")</f>
        <v/>
      </c>
      <c r="X557">
        <f>IF($R557="","",$R557&amp;"|"&amp;IF(OR($Q557="인턴",ISNUMBER(SEARCH("수련교육부",$P557))),"인턴",$P557))</f>
        <v/>
      </c>
      <c r="Y557">
        <f>IF($R557="","",IF(COUNTIF(명단표[이름|과],$X557)=1,"명단 일치",IF(AND(COUNTIF(명단표[이름|과],$X557)=0,COUNTIF(명단표[이름],$R557)=1),"명단 일치(이름만, 과 다름)",IF(COUNTIF(명단표[이름],$R557)=0,IF(COUNTIF(기본자료표[이름],$R557)&gt;0,"명단에 없음(기본자료에는 있음)","명단에 없음"),"동명이인 확인"))))</f>
        <v/>
      </c>
      <c r="Z557">
        <f>IF($R557="","",IF($S557&lt;0,"⚠"&amp;INDEX('입력_구리근무자명단'!$A555:$ZZ555,1,$E$2+2),TEXT($S557,"yyyy-mm-dd")))</f>
        <v/>
      </c>
      <c r="AA557">
        <f>IF($R557="","",IF($T557&lt;0,"⚠"&amp;INDEX('입력_구리근무자명단'!$A555:$ZZ555,1,$E$2+3),TEXT($T557,"yyyy-mm-dd")))</f>
        <v/>
      </c>
      <c r="AB557">
        <f>AB556+IF($R557="",0,1)</f>
        <v/>
      </c>
      <c r="AC557">
        <f>IF($R557="","",$AB557)</f>
        <v/>
      </c>
    </row>
    <row r="558">
      <c r="O558">
        <f>556</f>
        <v/>
      </c>
      <c r="P558">
        <f>IF(TRIM('입력_구리근무자명단'!$A556&amp;"")&lt;&gt;"",TRIM('입력_구리근무자명단'!$A556&amp;""),P557)</f>
        <v/>
      </c>
      <c r="Q558">
        <f>'입력_구리근무자명단'!$B556&amp;""</f>
        <v/>
      </c>
      <c r="R558">
        <f>IF($E$2="","",TRIM(INDEX('입력_구리근무자명단'!$A556:$ZZ556,1,$E$2+IF($G$2="확정",1,0))&amp;""))</f>
        <v/>
      </c>
      <c r="S558">
        <f>IF($R558="","",IF(INDEX('입력_구리근무자명단'!$A556:$ZZ556,1,$E$2+2)&amp;""="",급여기준월,IF(ISNUMBER(INDEX('입력_구리근무자명단'!$A556:$ZZ556,1,$E$2+2)),INDEX('입력_구리근무자명단'!$A556:$ZZ556,1,$E$2+2),IFERROR(DATE(VALUE(LEFT(INDEX('입력_구리근무자명단'!$A556:$ZZ556,1,$E$2+2),4)),VALUE(MID(INDEX('입력_구리근무자명단'!$A556:$ZZ556,1,$E$2+2),6,2)),VALUE(MID(INDEX('입력_구리근무자명단'!$A556:$ZZ556,1,$E$2+2),9,2))),-1))))</f>
        <v/>
      </c>
      <c r="T558">
        <f>IF($R558="","",IF(INDEX('입력_구리근무자명단'!$A556:$ZZ556,1,$E$2+3)&amp;""="",EOMONTH(급여기준월,0),IF(ISNUMBER(INDEX('입력_구리근무자명단'!$A556:$ZZ556,1,$E$2+3)),INDEX('입력_구리근무자명단'!$A556:$ZZ556,1,$E$2+3),IFERROR(DATE(VALUE(LEFT(INDEX('입력_구리근무자명단'!$A556:$ZZ556,1,$E$2+3),4)),VALUE(MID(INDEX('입력_구리근무자명단'!$A556:$ZZ556,1,$E$2+3),6,2)),VALUE(MID(INDEX('입력_구리근무자명단'!$A556:$ZZ556,1,$E$2+3),9,2))),-1))))</f>
        <v/>
      </c>
      <c r="U558">
        <f>IF($R558="","",IF(OR($S558&lt;0,$T558&lt;0),0,MAX(0,MIN($T558,EOMONTH(급여기준월,0))-MAX($S558,급여기준월)+1)))</f>
        <v/>
      </c>
      <c r="V558">
        <f>IF($R558="","",TRIM(INDEX('입력_구리근무자명단'!$A556:$ZZ556,1,$E$2+5)&amp;""))</f>
        <v/>
      </c>
      <c r="W558">
        <f>IF(ISNUMBER(SEARCH("구리독자",$V558)),"구리독자","")</f>
        <v/>
      </c>
      <c r="X558">
        <f>IF($R558="","",$R558&amp;"|"&amp;IF(OR($Q558="인턴",ISNUMBER(SEARCH("수련교육부",$P558))),"인턴",$P558))</f>
        <v/>
      </c>
      <c r="Y558">
        <f>IF($R558="","",IF(COUNTIF(명단표[이름|과],$X558)=1,"명단 일치",IF(AND(COUNTIF(명단표[이름|과],$X558)=0,COUNTIF(명단표[이름],$R558)=1),"명단 일치(이름만, 과 다름)",IF(COUNTIF(명단표[이름],$R558)=0,IF(COUNTIF(기본자료표[이름],$R558)&gt;0,"명단에 없음(기본자료에는 있음)","명단에 없음"),"동명이인 확인"))))</f>
        <v/>
      </c>
      <c r="Z558">
        <f>IF($R558="","",IF($S558&lt;0,"⚠"&amp;INDEX('입력_구리근무자명단'!$A556:$ZZ556,1,$E$2+2),TEXT($S558,"yyyy-mm-dd")))</f>
        <v/>
      </c>
      <c r="AA558">
        <f>IF($R558="","",IF($T558&lt;0,"⚠"&amp;INDEX('입력_구리근무자명단'!$A556:$ZZ556,1,$E$2+3),TEXT($T558,"yyyy-mm-dd")))</f>
        <v/>
      </c>
      <c r="AB558">
        <f>AB557+IF($R558="",0,1)</f>
        <v/>
      </c>
      <c r="AC558">
        <f>IF($R558="","",$AB558)</f>
        <v/>
      </c>
    </row>
    <row r="559">
      <c r="O559">
        <f>557</f>
        <v/>
      </c>
      <c r="P559">
        <f>IF(TRIM('입력_구리근무자명단'!$A557&amp;"")&lt;&gt;"",TRIM('입력_구리근무자명단'!$A557&amp;""),P558)</f>
        <v/>
      </c>
      <c r="Q559">
        <f>'입력_구리근무자명단'!$B557&amp;""</f>
        <v/>
      </c>
      <c r="R559">
        <f>IF($E$2="","",TRIM(INDEX('입력_구리근무자명단'!$A557:$ZZ557,1,$E$2+IF($G$2="확정",1,0))&amp;""))</f>
        <v/>
      </c>
      <c r="S559">
        <f>IF($R559="","",IF(INDEX('입력_구리근무자명단'!$A557:$ZZ557,1,$E$2+2)&amp;""="",급여기준월,IF(ISNUMBER(INDEX('입력_구리근무자명단'!$A557:$ZZ557,1,$E$2+2)),INDEX('입력_구리근무자명단'!$A557:$ZZ557,1,$E$2+2),IFERROR(DATE(VALUE(LEFT(INDEX('입력_구리근무자명단'!$A557:$ZZ557,1,$E$2+2),4)),VALUE(MID(INDEX('입력_구리근무자명단'!$A557:$ZZ557,1,$E$2+2),6,2)),VALUE(MID(INDEX('입력_구리근무자명단'!$A557:$ZZ557,1,$E$2+2),9,2))),-1))))</f>
        <v/>
      </c>
      <c r="T559">
        <f>IF($R559="","",IF(INDEX('입력_구리근무자명단'!$A557:$ZZ557,1,$E$2+3)&amp;""="",EOMONTH(급여기준월,0),IF(ISNUMBER(INDEX('입력_구리근무자명단'!$A557:$ZZ557,1,$E$2+3)),INDEX('입력_구리근무자명단'!$A557:$ZZ557,1,$E$2+3),IFERROR(DATE(VALUE(LEFT(INDEX('입력_구리근무자명단'!$A557:$ZZ557,1,$E$2+3),4)),VALUE(MID(INDEX('입력_구리근무자명단'!$A557:$ZZ557,1,$E$2+3),6,2)),VALUE(MID(INDEX('입력_구리근무자명단'!$A557:$ZZ557,1,$E$2+3),9,2))),-1))))</f>
        <v/>
      </c>
      <c r="U559">
        <f>IF($R559="","",IF(OR($S559&lt;0,$T559&lt;0),0,MAX(0,MIN($T559,EOMONTH(급여기준월,0))-MAX($S559,급여기준월)+1)))</f>
        <v/>
      </c>
      <c r="V559">
        <f>IF($R559="","",TRIM(INDEX('입력_구리근무자명단'!$A557:$ZZ557,1,$E$2+5)&amp;""))</f>
        <v/>
      </c>
      <c r="W559">
        <f>IF(ISNUMBER(SEARCH("구리독자",$V559)),"구리독자","")</f>
        <v/>
      </c>
      <c r="X559">
        <f>IF($R559="","",$R559&amp;"|"&amp;IF(OR($Q559="인턴",ISNUMBER(SEARCH("수련교육부",$P559))),"인턴",$P559))</f>
        <v/>
      </c>
      <c r="Y559">
        <f>IF($R559="","",IF(COUNTIF(명단표[이름|과],$X559)=1,"명단 일치",IF(AND(COUNTIF(명단표[이름|과],$X559)=0,COUNTIF(명단표[이름],$R559)=1),"명단 일치(이름만, 과 다름)",IF(COUNTIF(명단표[이름],$R559)=0,IF(COUNTIF(기본자료표[이름],$R559)&gt;0,"명단에 없음(기본자료에는 있음)","명단에 없음"),"동명이인 확인"))))</f>
        <v/>
      </c>
      <c r="Z559">
        <f>IF($R559="","",IF($S559&lt;0,"⚠"&amp;INDEX('입력_구리근무자명단'!$A557:$ZZ557,1,$E$2+2),TEXT($S559,"yyyy-mm-dd")))</f>
        <v/>
      </c>
      <c r="AA559">
        <f>IF($R559="","",IF($T559&lt;0,"⚠"&amp;INDEX('입력_구리근무자명단'!$A557:$ZZ557,1,$E$2+3),TEXT($T559,"yyyy-mm-dd")))</f>
        <v/>
      </c>
      <c r="AB559">
        <f>AB558+IF($R559="",0,1)</f>
        <v/>
      </c>
      <c r="AC559">
        <f>IF($R559="","",$AB559)</f>
        <v/>
      </c>
    </row>
    <row r="560">
      <c r="O560">
        <f>558</f>
        <v/>
      </c>
      <c r="P560">
        <f>IF(TRIM('입력_구리근무자명단'!$A558&amp;"")&lt;&gt;"",TRIM('입력_구리근무자명단'!$A558&amp;""),P559)</f>
        <v/>
      </c>
      <c r="Q560">
        <f>'입력_구리근무자명단'!$B558&amp;""</f>
        <v/>
      </c>
      <c r="R560">
        <f>IF($E$2="","",TRIM(INDEX('입력_구리근무자명단'!$A558:$ZZ558,1,$E$2+IF($G$2="확정",1,0))&amp;""))</f>
        <v/>
      </c>
      <c r="S560">
        <f>IF($R560="","",IF(INDEX('입력_구리근무자명단'!$A558:$ZZ558,1,$E$2+2)&amp;""="",급여기준월,IF(ISNUMBER(INDEX('입력_구리근무자명단'!$A558:$ZZ558,1,$E$2+2)),INDEX('입력_구리근무자명단'!$A558:$ZZ558,1,$E$2+2),IFERROR(DATE(VALUE(LEFT(INDEX('입력_구리근무자명단'!$A558:$ZZ558,1,$E$2+2),4)),VALUE(MID(INDEX('입력_구리근무자명단'!$A558:$ZZ558,1,$E$2+2),6,2)),VALUE(MID(INDEX('입력_구리근무자명단'!$A558:$ZZ558,1,$E$2+2),9,2))),-1))))</f>
        <v/>
      </c>
      <c r="T560">
        <f>IF($R560="","",IF(INDEX('입력_구리근무자명단'!$A558:$ZZ558,1,$E$2+3)&amp;""="",EOMONTH(급여기준월,0),IF(ISNUMBER(INDEX('입력_구리근무자명단'!$A558:$ZZ558,1,$E$2+3)),INDEX('입력_구리근무자명단'!$A558:$ZZ558,1,$E$2+3),IFERROR(DATE(VALUE(LEFT(INDEX('입력_구리근무자명단'!$A558:$ZZ558,1,$E$2+3),4)),VALUE(MID(INDEX('입력_구리근무자명단'!$A558:$ZZ558,1,$E$2+3),6,2)),VALUE(MID(INDEX('입력_구리근무자명단'!$A558:$ZZ558,1,$E$2+3),9,2))),-1))))</f>
        <v/>
      </c>
      <c r="U560">
        <f>IF($R560="","",IF(OR($S560&lt;0,$T560&lt;0),0,MAX(0,MIN($T560,EOMONTH(급여기준월,0))-MAX($S560,급여기준월)+1)))</f>
        <v/>
      </c>
      <c r="V560">
        <f>IF($R560="","",TRIM(INDEX('입력_구리근무자명단'!$A558:$ZZ558,1,$E$2+5)&amp;""))</f>
        <v/>
      </c>
      <c r="W560">
        <f>IF(ISNUMBER(SEARCH("구리독자",$V560)),"구리독자","")</f>
        <v/>
      </c>
      <c r="X560">
        <f>IF($R560="","",$R560&amp;"|"&amp;IF(OR($Q560="인턴",ISNUMBER(SEARCH("수련교육부",$P560))),"인턴",$P560))</f>
        <v/>
      </c>
      <c r="Y560">
        <f>IF($R560="","",IF(COUNTIF(명단표[이름|과],$X560)=1,"명단 일치",IF(AND(COUNTIF(명단표[이름|과],$X560)=0,COUNTIF(명단표[이름],$R560)=1),"명단 일치(이름만, 과 다름)",IF(COUNTIF(명단표[이름],$R560)=0,IF(COUNTIF(기본자료표[이름],$R560)&gt;0,"명단에 없음(기본자료에는 있음)","명단에 없음"),"동명이인 확인"))))</f>
        <v/>
      </c>
      <c r="Z560">
        <f>IF($R560="","",IF($S560&lt;0,"⚠"&amp;INDEX('입력_구리근무자명단'!$A558:$ZZ558,1,$E$2+2),TEXT($S560,"yyyy-mm-dd")))</f>
        <v/>
      </c>
      <c r="AA560">
        <f>IF($R560="","",IF($T560&lt;0,"⚠"&amp;INDEX('입력_구리근무자명단'!$A558:$ZZ558,1,$E$2+3),TEXT($T560,"yyyy-mm-dd")))</f>
        <v/>
      </c>
      <c r="AB560">
        <f>AB559+IF($R560="",0,1)</f>
        <v/>
      </c>
      <c r="AC560">
        <f>IF($R560="","",$AB560)</f>
        <v/>
      </c>
    </row>
    <row r="561">
      <c r="O561">
        <f>559</f>
        <v/>
      </c>
      <c r="P561">
        <f>IF(TRIM('입력_구리근무자명단'!$A559&amp;"")&lt;&gt;"",TRIM('입력_구리근무자명단'!$A559&amp;""),P560)</f>
        <v/>
      </c>
      <c r="Q561">
        <f>'입력_구리근무자명단'!$B559&amp;""</f>
        <v/>
      </c>
      <c r="R561">
        <f>IF($E$2="","",TRIM(INDEX('입력_구리근무자명단'!$A559:$ZZ559,1,$E$2+IF($G$2="확정",1,0))&amp;""))</f>
        <v/>
      </c>
      <c r="S561">
        <f>IF($R561="","",IF(INDEX('입력_구리근무자명단'!$A559:$ZZ559,1,$E$2+2)&amp;""="",급여기준월,IF(ISNUMBER(INDEX('입력_구리근무자명단'!$A559:$ZZ559,1,$E$2+2)),INDEX('입력_구리근무자명단'!$A559:$ZZ559,1,$E$2+2),IFERROR(DATE(VALUE(LEFT(INDEX('입력_구리근무자명단'!$A559:$ZZ559,1,$E$2+2),4)),VALUE(MID(INDEX('입력_구리근무자명단'!$A559:$ZZ559,1,$E$2+2),6,2)),VALUE(MID(INDEX('입력_구리근무자명단'!$A559:$ZZ559,1,$E$2+2),9,2))),-1))))</f>
        <v/>
      </c>
      <c r="T561">
        <f>IF($R561="","",IF(INDEX('입력_구리근무자명단'!$A559:$ZZ559,1,$E$2+3)&amp;""="",EOMONTH(급여기준월,0),IF(ISNUMBER(INDEX('입력_구리근무자명단'!$A559:$ZZ559,1,$E$2+3)),INDEX('입력_구리근무자명단'!$A559:$ZZ559,1,$E$2+3),IFERROR(DATE(VALUE(LEFT(INDEX('입력_구리근무자명단'!$A559:$ZZ559,1,$E$2+3),4)),VALUE(MID(INDEX('입력_구리근무자명단'!$A559:$ZZ559,1,$E$2+3),6,2)),VALUE(MID(INDEX('입력_구리근무자명단'!$A559:$ZZ559,1,$E$2+3),9,2))),-1))))</f>
        <v/>
      </c>
      <c r="U561">
        <f>IF($R561="","",IF(OR($S561&lt;0,$T561&lt;0),0,MAX(0,MIN($T561,EOMONTH(급여기준월,0))-MAX($S561,급여기준월)+1)))</f>
        <v/>
      </c>
      <c r="V561">
        <f>IF($R561="","",TRIM(INDEX('입력_구리근무자명단'!$A559:$ZZ559,1,$E$2+5)&amp;""))</f>
        <v/>
      </c>
      <c r="W561">
        <f>IF(ISNUMBER(SEARCH("구리독자",$V561)),"구리독자","")</f>
        <v/>
      </c>
      <c r="X561">
        <f>IF($R561="","",$R561&amp;"|"&amp;IF(OR($Q561="인턴",ISNUMBER(SEARCH("수련교육부",$P561))),"인턴",$P561))</f>
        <v/>
      </c>
      <c r="Y561">
        <f>IF($R561="","",IF(COUNTIF(명단표[이름|과],$X561)=1,"명단 일치",IF(AND(COUNTIF(명단표[이름|과],$X561)=0,COUNTIF(명단표[이름],$R561)=1),"명단 일치(이름만, 과 다름)",IF(COUNTIF(명단표[이름],$R561)=0,IF(COUNTIF(기본자료표[이름],$R561)&gt;0,"명단에 없음(기본자료에는 있음)","명단에 없음"),"동명이인 확인"))))</f>
        <v/>
      </c>
      <c r="Z561">
        <f>IF($R561="","",IF($S561&lt;0,"⚠"&amp;INDEX('입력_구리근무자명단'!$A559:$ZZ559,1,$E$2+2),TEXT($S561,"yyyy-mm-dd")))</f>
        <v/>
      </c>
      <c r="AA561">
        <f>IF($R561="","",IF($T561&lt;0,"⚠"&amp;INDEX('입력_구리근무자명단'!$A559:$ZZ559,1,$E$2+3),TEXT($T561,"yyyy-mm-dd")))</f>
        <v/>
      </c>
      <c r="AB561">
        <f>AB560+IF($R561="",0,1)</f>
        <v/>
      </c>
      <c r="AC561">
        <f>IF($R561="","",$AB561)</f>
        <v/>
      </c>
    </row>
    <row r="562">
      <c r="O562">
        <f>560</f>
        <v/>
      </c>
      <c r="P562">
        <f>IF(TRIM('입력_구리근무자명단'!$A560&amp;"")&lt;&gt;"",TRIM('입력_구리근무자명단'!$A560&amp;""),P561)</f>
        <v/>
      </c>
      <c r="Q562">
        <f>'입력_구리근무자명단'!$B560&amp;""</f>
        <v/>
      </c>
      <c r="R562">
        <f>IF($E$2="","",TRIM(INDEX('입력_구리근무자명단'!$A560:$ZZ560,1,$E$2+IF($G$2="확정",1,0))&amp;""))</f>
        <v/>
      </c>
      <c r="S562">
        <f>IF($R562="","",IF(INDEX('입력_구리근무자명단'!$A560:$ZZ560,1,$E$2+2)&amp;""="",급여기준월,IF(ISNUMBER(INDEX('입력_구리근무자명단'!$A560:$ZZ560,1,$E$2+2)),INDEX('입력_구리근무자명단'!$A560:$ZZ560,1,$E$2+2),IFERROR(DATE(VALUE(LEFT(INDEX('입력_구리근무자명단'!$A560:$ZZ560,1,$E$2+2),4)),VALUE(MID(INDEX('입력_구리근무자명단'!$A560:$ZZ560,1,$E$2+2),6,2)),VALUE(MID(INDEX('입력_구리근무자명단'!$A560:$ZZ560,1,$E$2+2),9,2))),-1))))</f>
        <v/>
      </c>
      <c r="T562">
        <f>IF($R562="","",IF(INDEX('입력_구리근무자명단'!$A560:$ZZ560,1,$E$2+3)&amp;""="",EOMONTH(급여기준월,0),IF(ISNUMBER(INDEX('입력_구리근무자명단'!$A560:$ZZ560,1,$E$2+3)),INDEX('입력_구리근무자명단'!$A560:$ZZ560,1,$E$2+3),IFERROR(DATE(VALUE(LEFT(INDEX('입력_구리근무자명단'!$A560:$ZZ560,1,$E$2+3),4)),VALUE(MID(INDEX('입력_구리근무자명단'!$A560:$ZZ560,1,$E$2+3),6,2)),VALUE(MID(INDEX('입력_구리근무자명단'!$A560:$ZZ560,1,$E$2+3),9,2))),-1))))</f>
        <v/>
      </c>
      <c r="U562">
        <f>IF($R562="","",IF(OR($S562&lt;0,$T562&lt;0),0,MAX(0,MIN($T562,EOMONTH(급여기준월,0))-MAX($S562,급여기준월)+1)))</f>
        <v/>
      </c>
      <c r="V562">
        <f>IF($R562="","",TRIM(INDEX('입력_구리근무자명단'!$A560:$ZZ560,1,$E$2+5)&amp;""))</f>
        <v/>
      </c>
      <c r="W562">
        <f>IF(ISNUMBER(SEARCH("구리독자",$V562)),"구리독자","")</f>
        <v/>
      </c>
      <c r="X562">
        <f>IF($R562="","",$R562&amp;"|"&amp;IF(OR($Q562="인턴",ISNUMBER(SEARCH("수련교육부",$P562))),"인턴",$P562))</f>
        <v/>
      </c>
      <c r="Y562">
        <f>IF($R562="","",IF(COUNTIF(명단표[이름|과],$X562)=1,"명단 일치",IF(AND(COUNTIF(명단표[이름|과],$X562)=0,COUNTIF(명단표[이름],$R562)=1),"명단 일치(이름만, 과 다름)",IF(COUNTIF(명단표[이름],$R562)=0,IF(COUNTIF(기본자료표[이름],$R562)&gt;0,"명단에 없음(기본자료에는 있음)","명단에 없음"),"동명이인 확인"))))</f>
        <v/>
      </c>
      <c r="Z562">
        <f>IF($R562="","",IF($S562&lt;0,"⚠"&amp;INDEX('입력_구리근무자명단'!$A560:$ZZ560,1,$E$2+2),TEXT($S562,"yyyy-mm-dd")))</f>
        <v/>
      </c>
      <c r="AA562">
        <f>IF($R562="","",IF($T562&lt;0,"⚠"&amp;INDEX('입력_구리근무자명단'!$A560:$ZZ560,1,$E$2+3),TEXT($T562,"yyyy-mm-dd")))</f>
        <v/>
      </c>
      <c r="AB562">
        <f>AB561+IF($R562="",0,1)</f>
        <v/>
      </c>
      <c r="AC562">
        <f>IF($R562="","",$AB562)</f>
        <v/>
      </c>
    </row>
    <row r="563">
      <c r="O563">
        <f>561</f>
        <v/>
      </c>
      <c r="P563">
        <f>IF(TRIM('입력_구리근무자명단'!$A561&amp;"")&lt;&gt;"",TRIM('입력_구리근무자명단'!$A561&amp;""),P562)</f>
        <v/>
      </c>
      <c r="Q563">
        <f>'입력_구리근무자명단'!$B561&amp;""</f>
        <v/>
      </c>
      <c r="R563">
        <f>IF($E$2="","",TRIM(INDEX('입력_구리근무자명단'!$A561:$ZZ561,1,$E$2+IF($G$2="확정",1,0))&amp;""))</f>
        <v/>
      </c>
      <c r="S563">
        <f>IF($R563="","",IF(INDEX('입력_구리근무자명단'!$A561:$ZZ561,1,$E$2+2)&amp;""="",급여기준월,IF(ISNUMBER(INDEX('입력_구리근무자명단'!$A561:$ZZ561,1,$E$2+2)),INDEX('입력_구리근무자명단'!$A561:$ZZ561,1,$E$2+2),IFERROR(DATE(VALUE(LEFT(INDEX('입력_구리근무자명단'!$A561:$ZZ561,1,$E$2+2),4)),VALUE(MID(INDEX('입력_구리근무자명단'!$A561:$ZZ561,1,$E$2+2),6,2)),VALUE(MID(INDEX('입력_구리근무자명단'!$A561:$ZZ561,1,$E$2+2),9,2))),-1))))</f>
        <v/>
      </c>
      <c r="T563">
        <f>IF($R563="","",IF(INDEX('입력_구리근무자명단'!$A561:$ZZ561,1,$E$2+3)&amp;""="",EOMONTH(급여기준월,0),IF(ISNUMBER(INDEX('입력_구리근무자명단'!$A561:$ZZ561,1,$E$2+3)),INDEX('입력_구리근무자명단'!$A561:$ZZ561,1,$E$2+3),IFERROR(DATE(VALUE(LEFT(INDEX('입력_구리근무자명단'!$A561:$ZZ561,1,$E$2+3),4)),VALUE(MID(INDEX('입력_구리근무자명단'!$A561:$ZZ561,1,$E$2+3),6,2)),VALUE(MID(INDEX('입력_구리근무자명단'!$A561:$ZZ561,1,$E$2+3),9,2))),-1))))</f>
        <v/>
      </c>
      <c r="U563">
        <f>IF($R563="","",IF(OR($S563&lt;0,$T563&lt;0),0,MAX(0,MIN($T563,EOMONTH(급여기준월,0))-MAX($S563,급여기준월)+1)))</f>
        <v/>
      </c>
      <c r="V563">
        <f>IF($R563="","",TRIM(INDEX('입력_구리근무자명단'!$A561:$ZZ561,1,$E$2+5)&amp;""))</f>
        <v/>
      </c>
      <c r="W563">
        <f>IF(ISNUMBER(SEARCH("구리독자",$V563)),"구리독자","")</f>
        <v/>
      </c>
      <c r="X563">
        <f>IF($R563="","",$R563&amp;"|"&amp;IF(OR($Q563="인턴",ISNUMBER(SEARCH("수련교육부",$P563))),"인턴",$P563))</f>
        <v/>
      </c>
      <c r="Y563">
        <f>IF($R563="","",IF(COUNTIF(명단표[이름|과],$X563)=1,"명단 일치",IF(AND(COUNTIF(명단표[이름|과],$X563)=0,COUNTIF(명단표[이름],$R563)=1),"명단 일치(이름만, 과 다름)",IF(COUNTIF(명단표[이름],$R563)=0,IF(COUNTIF(기본자료표[이름],$R563)&gt;0,"명단에 없음(기본자료에는 있음)","명단에 없음"),"동명이인 확인"))))</f>
        <v/>
      </c>
      <c r="Z563">
        <f>IF($R563="","",IF($S563&lt;0,"⚠"&amp;INDEX('입력_구리근무자명단'!$A561:$ZZ561,1,$E$2+2),TEXT($S563,"yyyy-mm-dd")))</f>
        <v/>
      </c>
      <c r="AA563">
        <f>IF($R563="","",IF($T563&lt;0,"⚠"&amp;INDEX('입력_구리근무자명단'!$A561:$ZZ561,1,$E$2+3),TEXT($T563,"yyyy-mm-dd")))</f>
        <v/>
      </c>
      <c r="AB563">
        <f>AB562+IF($R563="",0,1)</f>
        <v/>
      </c>
      <c r="AC563">
        <f>IF($R563="","",$AB563)</f>
        <v/>
      </c>
    </row>
    <row r="564">
      <c r="O564">
        <f>562</f>
        <v/>
      </c>
      <c r="P564">
        <f>IF(TRIM('입력_구리근무자명단'!$A562&amp;"")&lt;&gt;"",TRIM('입력_구리근무자명단'!$A562&amp;""),P563)</f>
        <v/>
      </c>
      <c r="Q564">
        <f>'입력_구리근무자명단'!$B562&amp;""</f>
        <v/>
      </c>
      <c r="R564">
        <f>IF($E$2="","",TRIM(INDEX('입력_구리근무자명단'!$A562:$ZZ562,1,$E$2+IF($G$2="확정",1,0))&amp;""))</f>
        <v/>
      </c>
      <c r="S564">
        <f>IF($R564="","",IF(INDEX('입력_구리근무자명단'!$A562:$ZZ562,1,$E$2+2)&amp;""="",급여기준월,IF(ISNUMBER(INDEX('입력_구리근무자명단'!$A562:$ZZ562,1,$E$2+2)),INDEX('입력_구리근무자명단'!$A562:$ZZ562,1,$E$2+2),IFERROR(DATE(VALUE(LEFT(INDEX('입력_구리근무자명단'!$A562:$ZZ562,1,$E$2+2),4)),VALUE(MID(INDEX('입력_구리근무자명단'!$A562:$ZZ562,1,$E$2+2),6,2)),VALUE(MID(INDEX('입력_구리근무자명단'!$A562:$ZZ562,1,$E$2+2),9,2))),-1))))</f>
        <v/>
      </c>
      <c r="T564">
        <f>IF($R564="","",IF(INDEX('입력_구리근무자명단'!$A562:$ZZ562,1,$E$2+3)&amp;""="",EOMONTH(급여기준월,0),IF(ISNUMBER(INDEX('입력_구리근무자명단'!$A562:$ZZ562,1,$E$2+3)),INDEX('입력_구리근무자명단'!$A562:$ZZ562,1,$E$2+3),IFERROR(DATE(VALUE(LEFT(INDEX('입력_구리근무자명단'!$A562:$ZZ562,1,$E$2+3),4)),VALUE(MID(INDEX('입력_구리근무자명단'!$A562:$ZZ562,1,$E$2+3),6,2)),VALUE(MID(INDEX('입력_구리근무자명단'!$A562:$ZZ562,1,$E$2+3),9,2))),-1))))</f>
        <v/>
      </c>
      <c r="U564">
        <f>IF($R564="","",IF(OR($S564&lt;0,$T564&lt;0),0,MAX(0,MIN($T564,EOMONTH(급여기준월,0))-MAX($S564,급여기준월)+1)))</f>
        <v/>
      </c>
      <c r="V564">
        <f>IF($R564="","",TRIM(INDEX('입력_구리근무자명단'!$A562:$ZZ562,1,$E$2+5)&amp;""))</f>
        <v/>
      </c>
      <c r="W564">
        <f>IF(ISNUMBER(SEARCH("구리독자",$V564)),"구리독자","")</f>
        <v/>
      </c>
      <c r="X564">
        <f>IF($R564="","",$R564&amp;"|"&amp;IF(OR($Q564="인턴",ISNUMBER(SEARCH("수련교육부",$P564))),"인턴",$P564))</f>
        <v/>
      </c>
      <c r="Y564">
        <f>IF($R564="","",IF(COUNTIF(명단표[이름|과],$X564)=1,"명단 일치",IF(AND(COUNTIF(명단표[이름|과],$X564)=0,COUNTIF(명단표[이름],$R564)=1),"명단 일치(이름만, 과 다름)",IF(COUNTIF(명단표[이름],$R564)=0,IF(COUNTIF(기본자료표[이름],$R564)&gt;0,"명단에 없음(기본자료에는 있음)","명단에 없음"),"동명이인 확인"))))</f>
        <v/>
      </c>
      <c r="Z564">
        <f>IF($R564="","",IF($S564&lt;0,"⚠"&amp;INDEX('입력_구리근무자명단'!$A562:$ZZ562,1,$E$2+2),TEXT($S564,"yyyy-mm-dd")))</f>
        <v/>
      </c>
      <c r="AA564">
        <f>IF($R564="","",IF($T564&lt;0,"⚠"&amp;INDEX('입력_구리근무자명단'!$A562:$ZZ562,1,$E$2+3),TEXT($T564,"yyyy-mm-dd")))</f>
        <v/>
      </c>
      <c r="AB564">
        <f>AB563+IF($R564="",0,1)</f>
        <v/>
      </c>
      <c r="AC564">
        <f>IF($R564="","",$AB564)</f>
        <v/>
      </c>
    </row>
    <row r="565">
      <c r="O565">
        <f>563</f>
        <v/>
      </c>
      <c r="P565">
        <f>IF(TRIM('입력_구리근무자명단'!$A563&amp;"")&lt;&gt;"",TRIM('입력_구리근무자명단'!$A563&amp;""),P564)</f>
        <v/>
      </c>
      <c r="Q565">
        <f>'입력_구리근무자명단'!$B563&amp;""</f>
        <v/>
      </c>
      <c r="R565">
        <f>IF($E$2="","",TRIM(INDEX('입력_구리근무자명단'!$A563:$ZZ563,1,$E$2+IF($G$2="확정",1,0))&amp;""))</f>
        <v/>
      </c>
      <c r="S565">
        <f>IF($R565="","",IF(INDEX('입력_구리근무자명단'!$A563:$ZZ563,1,$E$2+2)&amp;""="",급여기준월,IF(ISNUMBER(INDEX('입력_구리근무자명단'!$A563:$ZZ563,1,$E$2+2)),INDEX('입력_구리근무자명단'!$A563:$ZZ563,1,$E$2+2),IFERROR(DATE(VALUE(LEFT(INDEX('입력_구리근무자명단'!$A563:$ZZ563,1,$E$2+2),4)),VALUE(MID(INDEX('입력_구리근무자명단'!$A563:$ZZ563,1,$E$2+2),6,2)),VALUE(MID(INDEX('입력_구리근무자명단'!$A563:$ZZ563,1,$E$2+2),9,2))),-1))))</f>
        <v/>
      </c>
      <c r="T565">
        <f>IF($R565="","",IF(INDEX('입력_구리근무자명단'!$A563:$ZZ563,1,$E$2+3)&amp;""="",EOMONTH(급여기준월,0),IF(ISNUMBER(INDEX('입력_구리근무자명단'!$A563:$ZZ563,1,$E$2+3)),INDEX('입력_구리근무자명단'!$A563:$ZZ563,1,$E$2+3),IFERROR(DATE(VALUE(LEFT(INDEX('입력_구리근무자명단'!$A563:$ZZ563,1,$E$2+3),4)),VALUE(MID(INDEX('입력_구리근무자명단'!$A563:$ZZ563,1,$E$2+3),6,2)),VALUE(MID(INDEX('입력_구리근무자명단'!$A563:$ZZ563,1,$E$2+3),9,2))),-1))))</f>
        <v/>
      </c>
      <c r="U565">
        <f>IF($R565="","",IF(OR($S565&lt;0,$T565&lt;0),0,MAX(0,MIN($T565,EOMONTH(급여기준월,0))-MAX($S565,급여기준월)+1)))</f>
        <v/>
      </c>
      <c r="V565">
        <f>IF($R565="","",TRIM(INDEX('입력_구리근무자명단'!$A563:$ZZ563,1,$E$2+5)&amp;""))</f>
        <v/>
      </c>
      <c r="W565">
        <f>IF(ISNUMBER(SEARCH("구리독자",$V565)),"구리독자","")</f>
        <v/>
      </c>
      <c r="X565">
        <f>IF($R565="","",$R565&amp;"|"&amp;IF(OR($Q565="인턴",ISNUMBER(SEARCH("수련교육부",$P565))),"인턴",$P565))</f>
        <v/>
      </c>
      <c r="Y565">
        <f>IF($R565="","",IF(COUNTIF(명단표[이름|과],$X565)=1,"명단 일치",IF(AND(COUNTIF(명단표[이름|과],$X565)=0,COUNTIF(명단표[이름],$R565)=1),"명단 일치(이름만, 과 다름)",IF(COUNTIF(명단표[이름],$R565)=0,IF(COUNTIF(기본자료표[이름],$R565)&gt;0,"명단에 없음(기본자료에는 있음)","명단에 없음"),"동명이인 확인"))))</f>
        <v/>
      </c>
      <c r="Z565">
        <f>IF($R565="","",IF($S565&lt;0,"⚠"&amp;INDEX('입력_구리근무자명단'!$A563:$ZZ563,1,$E$2+2),TEXT($S565,"yyyy-mm-dd")))</f>
        <v/>
      </c>
      <c r="AA565">
        <f>IF($R565="","",IF($T565&lt;0,"⚠"&amp;INDEX('입력_구리근무자명단'!$A563:$ZZ563,1,$E$2+3),TEXT($T565,"yyyy-mm-dd")))</f>
        <v/>
      </c>
      <c r="AB565">
        <f>AB564+IF($R565="",0,1)</f>
        <v/>
      </c>
      <c r="AC565">
        <f>IF($R565="","",$AB565)</f>
        <v/>
      </c>
    </row>
    <row r="566">
      <c r="O566">
        <f>564</f>
        <v/>
      </c>
      <c r="P566">
        <f>IF(TRIM('입력_구리근무자명단'!$A564&amp;"")&lt;&gt;"",TRIM('입력_구리근무자명단'!$A564&amp;""),P565)</f>
        <v/>
      </c>
      <c r="Q566">
        <f>'입력_구리근무자명단'!$B564&amp;""</f>
        <v/>
      </c>
      <c r="R566">
        <f>IF($E$2="","",TRIM(INDEX('입력_구리근무자명단'!$A564:$ZZ564,1,$E$2+IF($G$2="확정",1,0))&amp;""))</f>
        <v/>
      </c>
      <c r="S566">
        <f>IF($R566="","",IF(INDEX('입력_구리근무자명단'!$A564:$ZZ564,1,$E$2+2)&amp;""="",급여기준월,IF(ISNUMBER(INDEX('입력_구리근무자명단'!$A564:$ZZ564,1,$E$2+2)),INDEX('입력_구리근무자명단'!$A564:$ZZ564,1,$E$2+2),IFERROR(DATE(VALUE(LEFT(INDEX('입력_구리근무자명단'!$A564:$ZZ564,1,$E$2+2),4)),VALUE(MID(INDEX('입력_구리근무자명단'!$A564:$ZZ564,1,$E$2+2),6,2)),VALUE(MID(INDEX('입력_구리근무자명단'!$A564:$ZZ564,1,$E$2+2),9,2))),-1))))</f>
        <v/>
      </c>
      <c r="T566">
        <f>IF($R566="","",IF(INDEX('입력_구리근무자명단'!$A564:$ZZ564,1,$E$2+3)&amp;""="",EOMONTH(급여기준월,0),IF(ISNUMBER(INDEX('입력_구리근무자명단'!$A564:$ZZ564,1,$E$2+3)),INDEX('입력_구리근무자명단'!$A564:$ZZ564,1,$E$2+3),IFERROR(DATE(VALUE(LEFT(INDEX('입력_구리근무자명단'!$A564:$ZZ564,1,$E$2+3),4)),VALUE(MID(INDEX('입력_구리근무자명단'!$A564:$ZZ564,1,$E$2+3),6,2)),VALUE(MID(INDEX('입력_구리근무자명단'!$A564:$ZZ564,1,$E$2+3),9,2))),-1))))</f>
        <v/>
      </c>
      <c r="U566">
        <f>IF($R566="","",IF(OR($S566&lt;0,$T566&lt;0),0,MAX(0,MIN($T566,EOMONTH(급여기준월,0))-MAX($S566,급여기준월)+1)))</f>
        <v/>
      </c>
      <c r="V566">
        <f>IF($R566="","",TRIM(INDEX('입력_구리근무자명단'!$A564:$ZZ564,1,$E$2+5)&amp;""))</f>
        <v/>
      </c>
      <c r="W566">
        <f>IF(ISNUMBER(SEARCH("구리독자",$V566)),"구리독자","")</f>
        <v/>
      </c>
      <c r="X566">
        <f>IF($R566="","",$R566&amp;"|"&amp;IF(OR($Q566="인턴",ISNUMBER(SEARCH("수련교육부",$P566))),"인턴",$P566))</f>
        <v/>
      </c>
      <c r="Y566">
        <f>IF($R566="","",IF(COUNTIF(명단표[이름|과],$X566)=1,"명단 일치",IF(AND(COUNTIF(명단표[이름|과],$X566)=0,COUNTIF(명단표[이름],$R566)=1),"명단 일치(이름만, 과 다름)",IF(COUNTIF(명단표[이름],$R566)=0,IF(COUNTIF(기본자료표[이름],$R566)&gt;0,"명단에 없음(기본자료에는 있음)","명단에 없음"),"동명이인 확인"))))</f>
        <v/>
      </c>
      <c r="Z566">
        <f>IF($R566="","",IF($S566&lt;0,"⚠"&amp;INDEX('입력_구리근무자명단'!$A564:$ZZ564,1,$E$2+2),TEXT($S566,"yyyy-mm-dd")))</f>
        <v/>
      </c>
      <c r="AA566">
        <f>IF($R566="","",IF($T566&lt;0,"⚠"&amp;INDEX('입력_구리근무자명단'!$A564:$ZZ564,1,$E$2+3),TEXT($T566,"yyyy-mm-dd")))</f>
        <v/>
      </c>
      <c r="AB566">
        <f>AB565+IF($R566="",0,1)</f>
        <v/>
      </c>
      <c r="AC566">
        <f>IF($R566="","",$AB566)</f>
        <v/>
      </c>
    </row>
    <row r="567">
      <c r="O567">
        <f>565</f>
        <v/>
      </c>
      <c r="P567">
        <f>IF(TRIM('입력_구리근무자명단'!$A565&amp;"")&lt;&gt;"",TRIM('입력_구리근무자명단'!$A565&amp;""),P566)</f>
        <v/>
      </c>
      <c r="Q567">
        <f>'입력_구리근무자명단'!$B565&amp;""</f>
        <v/>
      </c>
      <c r="R567">
        <f>IF($E$2="","",TRIM(INDEX('입력_구리근무자명단'!$A565:$ZZ565,1,$E$2+IF($G$2="확정",1,0))&amp;""))</f>
        <v/>
      </c>
      <c r="S567">
        <f>IF($R567="","",IF(INDEX('입력_구리근무자명단'!$A565:$ZZ565,1,$E$2+2)&amp;""="",급여기준월,IF(ISNUMBER(INDEX('입력_구리근무자명단'!$A565:$ZZ565,1,$E$2+2)),INDEX('입력_구리근무자명단'!$A565:$ZZ565,1,$E$2+2),IFERROR(DATE(VALUE(LEFT(INDEX('입력_구리근무자명단'!$A565:$ZZ565,1,$E$2+2),4)),VALUE(MID(INDEX('입력_구리근무자명단'!$A565:$ZZ565,1,$E$2+2),6,2)),VALUE(MID(INDEX('입력_구리근무자명단'!$A565:$ZZ565,1,$E$2+2),9,2))),-1))))</f>
        <v/>
      </c>
      <c r="T567">
        <f>IF($R567="","",IF(INDEX('입력_구리근무자명단'!$A565:$ZZ565,1,$E$2+3)&amp;""="",EOMONTH(급여기준월,0),IF(ISNUMBER(INDEX('입력_구리근무자명단'!$A565:$ZZ565,1,$E$2+3)),INDEX('입력_구리근무자명단'!$A565:$ZZ565,1,$E$2+3),IFERROR(DATE(VALUE(LEFT(INDEX('입력_구리근무자명단'!$A565:$ZZ565,1,$E$2+3),4)),VALUE(MID(INDEX('입력_구리근무자명단'!$A565:$ZZ565,1,$E$2+3),6,2)),VALUE(MID(INDEX('입력_구리근무자명단'!$A565:$ZZ565,1,$E$2+3),9,2))),-1))))</f>
        <v/>
      </c>
      <c r="U567">
        <f>IF($R567="","",IF(OR($S567&lt;0,$T567&lt;0),0,MAX(0,MIN($T567,EOMONTH(급여기준월,0))-MAX($S567,급여기준월)+1)))</f>
        <v/>
      </c>
      <c r="V567">
        <f>IF($R567="","",TRIM(INDEX('입력_구리근무자명단'!$A565:$ZZ565,1,$E$2+5)&amp;""))</f>
        <v/>
      </c>
      <c r="W567">
        <f>IF(ISNUMBER(SEARCH("구리독자",$V567)),"구리독자","")</f>
        <v/>
      </c>
      <c r="X567">
        <f>IF($R567="","",$R567&amp;"|"&amp;IF(OR($Q567="인턴",ISNUMBER(SEARCH("수련교육부",$P567))),"인턴",$P567))</f>
        <v/>
      </c>
      <c r="Y567">
        <f>IF($R567="","",IF(COUNTIF(명단표[이름|과],$X567)=1,"명단 일치",IF(AND(COUNTIF(명단표[이름|과],$X567)=0,COUNTIF(명단표[이름],$R567)=1),"명단 일치(이름만, 과 다름)",IF(COUNTIF(명단표[이름],$R567)=0,IF(COUNTIF(기본자료표[이름],$R567)&gt;0,"명단에 없음(기본자료에는 있음)","명단에 없음"),"동명이인 확인"))))</f>
        <v/>
      </c>
      <c r="Z567">
        <f>IF($R567="","",IF($S567&lt;0,"⚠"&amp;INDEX('입력_구리근무자명단'!$A565:$ZZ565,1,$E$2+2),TEXT($S567,"yyyy-mm-dd")))</f>
        <v/>
      </c>
      <c r="AA567">
        <f>IF($R567="","",IF($T567&lt;0,"⚠"&amp;INDEX('입력_구리근무자명단'!$A565:$ZZ565,1,$E$2+3),TEXT($T567,"yyyy-mm-dd")))</f>
        <v/>
      </c>
      <c r="AB567">
        <f>AB566+IF($R567="",0,1)</f>
        <v/>
      </c>
      <c r="AC567">
        <f>IF($R567="","",$AB567)</f>
        <v/>
      </c>
    </row>
    <row r="568">
      <c r="O568">
        <f>566</f>
        <v/>
      </c>
      <c r="P568">
        <f>IF(TRIM('입력_구리근무자명단'!$A566&amp;"")&lt;&gt;"",TRIM('입력_구리근무자명단'!$A566&amp;""),P567)</f>
        <v/>
      </c>
      <c r="Q568">
        <f>'입력_구리근무자명단'!$B566&amp;""</f>
        <v/>
      </c>
      <c r="R568">
        <f>IF($E$2="","",TRIM(INDEX('입력_구리근무자명단'!$A566:$ZZ566,1,$E$2+IF($G$2="확정",1,0))&amp;""))</f>
        <v/>
      </c>
      <c r="S568">
        <f>IF($R568="","",IF(INDEX('입력_구리근무자명단'!$A566:$ZZ566,1,$E$2+2)&amp;""="",급여기준월,IF(ISNUMBER(INDEX('입력_구리근무자명단'!$A566:$ZZ566,1,$E$2+2)),INDEX('입력_구리근무자명단'!$A566:$ZZ566,1,$E$2+2),IFERROR(DATE(VALUE(LEFT(INDEX('입력_구리근무자명단'!$A566:$ZZ566,1,$E$2+2),4)),VALUE(MID(INDEX('입력_구리근무자명단'!$A566:$ZZ566,1,$E$2+2),6,2)),VALUE(MID(INDEX('입력_구리근무자명단'!$A566:$ZZ566,1,$E$2+2),9,2))),-1))))</f>
        <v/>
      </c>
      <c r="T568">
        <f>IF($R568="","",IF(INDEX('입력_구리근무자명단'!$A566:$ZZ566,1,$E$2+3)&amp;""="",EOMONTH(급여기준월,0),IF(ISNUMBER(INDEX('입력_구리근무자명단'!$A566:$ZZ566,1,$E$2+3)),INDEX('입력_구리근무자명단'!$A566:$ZZ566,1,$E$2+3),IFERROR(DATE(VALUE(LEFT(INDEX('입력_구리근무자명단'!$A566:$ZZ566,1,$E$2+3),4)),VALUE(MID(INDEX('입력_구리근무자명단'!$A566:$ZZ566,1,$E$2+3),6,2)),VALUE(MID(INDEX('입력_구리근무자명단'!$A566:$ZZ566,1,$E$2+3),9,2))),-1))))</f>
        <v/>
      </c>
      <c r="U568">
        <f>IF($R568="","",IF(OR($S568&lt;0,$T568&lt;0),0,MAX(0,MIN($T568,EOMONTH(급여기준월,0))-MAX($S568,급여기준월)+1)))</f>
        <v/>
      </c>
      <c r="V568">
        <f>IF($R568="","",TRIM(INDEX('입력_구리근무자명단'!$A566:$ZZ566,1,$E$2+5)&amp;""))</f>
        <v/>
      </c>
      <c r="W568">
        <f>IF(ISNUMBER(SEARCH("구리독자",$V568)),"구리독자","")</f>
        <v/>
      </c>
      <c r="X568">
        <f>IF($R568="","",$R568&amp;"|"&amp;IF(OR($Q568="인턴",ISNUMBER(SEARCH("수련교육부",$P568))),"인턴",$P568))</f>
        <v/>
      </c>
      <c r="Y568">
        <f>IF($R568="","",IF(COUNTIF(명단표[이름|과],$X568)=1,"명단 일치",IF(AND(COUNTIF(명단표[이름|과],$X568)=0,COUNTIF(명단표[이름],$R568)=1),"명단 일치(이름만, 과 다름)",IF(COUNTIF(명단표[이름],$R568)=0,IF(COUNTIF(기본자료표[이름],$R568)&gt;0,"명단에 없음(기본자료에는 있음)","명단에 없음"),"동명이인 확인"))))</f>
        <v/>
      </c>
      <c r="Z568">
        <f>IF($R568="","",IF($S568&lt;0,"⚠"&amp;INDEX('입력_구리근무자명단'!$A566:$ZZ566,1,$E$2+2),TEXT($S568,"yyyy-mm-dd")))</f>
        <v/>
      </c>
      <c r="AA568">
        <f>IF($R568="","",IF($T568&lt;0,"⚠"&amp;INDEX('입력_구리근무자명단'!$A566:$ZZ566,1,$E$2+3),TEXT($T568,"yyyy-mm-dd")))</f>
        <v/>
      </c>
      <c r="AB568">
        <f>AB567+IF($R568="",0,1)</f>
        <v/>
      </c>
      <c r="AC568">
        <f>IF($R568="","",$AB568)</f>
        <v/>
      </c>
    </row>
    <row r="569">
      <c r="O569">
        <f>567</f>
        <v/>
      </c>
      <c r="P569">
        <f>IF(TRIM('입력_구리근무자명단'!$A567&amp;"")&lt;&gt;"",TRIM('입력_구리근무자명단'!$A567&amp;""),P568)</f>
        <v/>
      </c>
      <c r="Q569">
        <f>'입력_구리근무자명단'!$B567&amp;""</f>
        <v/>
      </c>
      <c r="R569">
        <f>IF($E$2="","",TRIM(INDEX('입력_구리근무자명단'!$A567:$ZZ567,1,$E$2+IF($G$2="확정",1,0))&amp;""))</f>
        <v/>
      </c>
      <c r="S569">
        <f>IF($R569="","",IF(INDEX('입력_구리근무자명단'!$A567:$ZZ567,1,$E$2+2)&amp;""="",급여기준월,IF(ISNUMBER(INDEX('입력_구리근무자명단'!$A567:$ZZ567,1,$E$2+2)),INDEX('입력_구리근무자명단'!$A567:$ZZ567,1,$E$2+2),IFERROR(DATE(VALUE(LEFT(INDEX('입력_구리근무자명단'!$A567:$ZZ567,1,$E$2+2),4)),VALUE(MID(INDEX('입력_구리근무자명단'!$A567:$ZZ567,1,$E$2+2),6,2)),VALUE(MID(INDEX('입력_구리근무자명단'!$A567:$ZZ567,1,$E$2+2),9,2))),-1))))</f>
        <v/>
      </c>
      <c r="T569">
        <f>IF($R569="","",IF(INDEX('입력_구리근무자명단'!$A567:$ZZ567,1,$E$2+3)&amp;""="",EOMONTH(급여기준월,0),IF(ISNUMBER(INDEX('입력_구리근무자명단'!$A567:$ZZ567,1,$E$2+3)),INDEX('입력_구리근무자명단'!$A567:$ZZ567,1,$E$2+3),IFERROR(DATE(VALUE(LEFT(INDEX('입력_구리근무자명단'!$A567:$ZZ567,1,$E$2+3),4)),VALUE(MID(INDEX('입력_구리근무자명단'!$A567:$ZZ567,1,$E$2+3),6,2)),VALUE(MID(INDEX('입력_구리근무자명단'!$A567:$ZZ567,1,$E$2+3),9,2))),-1))))</f>
        <v/>
      </c>
      <c r="U569">
        <f>IF($R569="","",IF(OR($S569&lt;0,$T569&lt;0),0,MAX(0,MIN($T569,EOMONTH(급여기준월,0))-MAX($S569,급여기준월)+1)))</f>
        <v/>
      </c>
      <c r="V569">
        <f>IF($R569="","",TRIM(INDEX('입력_구리근무자명단'!$A567:$ZZ567,1,$E$2+5)&amp;""))</f>
        <v/>
      </c>
      <c r="W569">
        <f>IF(ISNUMBER(SEARCH("구리독자",$V569)),"구리독자","")</f>
        <v/>
      </c>
      <c r="X569">
        <f>IF($R569="","",$R569&amp;"|"&amp;IF(OR($Q569="인턴",ISNUMBER(SEARCH("수련교육부",$P569))),"인턴",$P569))</f>
        <v/>
      </c>
      <c r="Y569">
        <f>IF($R569="","",IF(COUNTIF(명단표[이름|과],$X569)=1,"명단 일치",IF(AND(COUNTIF(명단표[이름|과],$X569)=0,COUNTIF(명단표[이름],$R569)=1),"명단 일치(이름만, 과 다름)",IF(COUNTIF(명단표[이름],$R569)=0,IF(COUNTIF(기본자료표[이름],$R569)&gt;0,"명단에 없음(기본자료에는 있음)","명단에 없음"),"동명이인 확인"))))</f>
        <v/>
      </c>
      <c r="Z569">
        <f>IF($R569="","",IF($S569&lt;0,"⚠"&amp;INDEX('입력_구리근무자명단'!$A567:$ZZ567,1,$E$2+2),TEXT($S569,"yyyy-mm-dd")))</f>
        <v/>
      </c>
      <c r="AA569">
        <f>IF($R569="","",IF($T569&lt;0,"⚠"&amp;INDEX('입력_구리근무자명단'!$A567:$ZZ567,1,$E$2+3),TEXT($T569,"yyyy-mm-dd")))</f>
        <v/>
      </c>
      <c r="AB569">
        <f>AB568+IF($R569="",0,1)</f>
        <v/>
      </c>
      <c r="AC569">
        <f>IF($R569="","",$AB569)</f>
        <v/>
      </c>
    </row>
    <row r="570">
      <c r="O570">
        <f>568</f>
        <v/>
      </c>
      <c r="P570">
        <f>IF(TRIM('입력_구리근무자명단'!$A568&amp;"")&lt;&gt;"",TRIM('입력_구리근무자명단'!$A568&amp;""),P569)</f>
        <v/>
      </c>
      <c r="Q570">
        <f>'입력_구리근무자명단'!$B568&amp;""</f>
        <v/>
      </c>
      <c r="R570">
        <f>IF($E$2="","",TRIM(INDEX('입력_구리근무자명단'!$A568:$ZZ568,1,$E$2+IF($G$2="확정",1,0))&amp;""))</f>
        <v/>
      </c>
      <c r="S570">
        <f>IF($R570="","",IF(INDEX('입력_구리근무자명단'!$A568:$ZZ568,1,$E$2+2)&amp;""="",급여기준월,IF(ISNUMBER(INDEX('입력_구리근무자명단'!$A568:$ZZ568,1,$E$2+2)),INDEX('입력_구리근무자명단'!$A568:$ZZ568,1,$E$2+2),IFERROR(DATE(VALUE(LEFT(INDEX('입력_구리근무자명단'!$A568:$ZZ568,1,$E$2+2),4)),VALUE(MID(INDEX('입력_구리근무자명단'!$A568:$ZZ568,1,$E$2+2),6,2)),VALUE(MID(INDEX('입력_구리근무자명단'!$A568:$ZZ568,1,$E$2+2),9,2))),-1))))</f>
        <v/>
      </c>
      <c r="T570">
        <f>IF($R570="","",IF(INDEX('입력_구리근무자명단'!$A568:$ZZ568,1,$E$2+3)&amp;""="",EOMONTH(급여기준월,0),IF(ISNUMBER(INDEX('입력_구리근무자명단'!$A568:$ZZ568,1,$E$2+3)),INDEX('입력_구리근무자명단'!$A568:$ZZ568,1,$E$2+3),IFERROR(DATE(VALUE(LEFT(INDEX('입력_구리근무자명단'!$A568:$ZZ568,1,$E$2+3),4)),VALUE(MID(INDEX('입력_구리근무자명단'!$A568:$ZZ568,1,$E$2+3),6,2)),VALUE(MID(INDEX('입력_구리근무자명단'!$A568:$ZZ568,1,$E$2+3),9,2))),-1))))</f>
        <v/>
      </c>
      <c r="U570">
        <f>IF($R570="","",IF(OR($S570&lt;0,$T570&lt;0),0,MAX(0,MIN($T570,EOMONTH(급여기준월,0))-MAX($S570,급여기준월)+1)))</f>
        <v/>
      </c>
      <c r="V570">
        <f>IF($R570="","",TRIM(INDEX('입력_구리근무자명단'!$A568:$ZZ568,1,$E$2+5)&amp;""))</f>
        <v/>
      </c>
      <c r="W570">
        <f>IF(ISNUMBER(SEARCH("구리독자",$V570)),"구리독자","")</f>
        <v/>
      </c>
      <c r="X570">
        <f>IF($R570="","",$R570&amp;"|"&amp;IF(OR($Q570="인턴",ISNUMBER(SEARCH("수련교육부",$P570))),"인턴",$P570))</f>
        <v/>
      </c>
      <c r="Y570">
        <f>IF($R570="","",IF(COUNTIF(명단표[이름|과],$X570)=1,"명단 일치",IF(AND(COUNTIF(명단표[이름|과],$X570)=0,COUNTIF(명단표[이름],$R570)=1),"명단 일치(이름만, 과 다름)",IF(COUNTIF(명단표[이름],$R570)=0,IF(COUNTIF(기본자료표[이름],$R570)&gt;0,"명단에 없음(기본자료에는 있음)","명단에 없음"),"동명이인 확인"))))</f>
        <v/>
      </c>
      <c r="Z570">
        <f>IF($R570="","",IF($S570&lt;0,"⚠"&amp;INDEX('입력_구리근무자명단'!$A568:$ZZ568,1,$E$2+2),TEXT($S570,"yyyy-mm-dd")))</f>
        <v/>
      </c>
      <c r="AA570">
        <f>IF($R570="","",IF($T570&lt;0,"⚠"&amp;INDEX('입력_구리근무자명단'!$A568:$ZZ568,1,$E$2+3),TEXT($T570,"yyyy-mm-dd")))</f>
        <v/>
      </c>
      <c r="AB570">
        <f>AB569+IF($R570="",0,1)</f>
        <v/>
      </c>
      <c r="AC570">
        <f>IF($R570="","",$AB570)</f>
        <v/>
      </c>
    </row>
    <row r="571">
      <c r="O571">
        <f>569</f>
        <v/>
      </c>
      <c r="P571">
        <f>IF(TRIM('입력_구리근무자명단'!$A569&amp;"")&lt;&gt;"",TRIM('입력_구리근무자명단'!$A569&amp;""),P570)</f>
        <v/>
      </c>
      <c r="Q571">
        <f>'입력_구리근무자명단'!$B569&amp;""</f>
        <v/>
      </c>
      <c r="R571">
        <f>IF($E$2="","",TRIM(INDEX('입력_구리근무자명단'!$A569:$ZZ569,1,$E$2+IF($G$2="확정",1,0))&amp;""))</f>
        <v/>
      </c>
      <c r="S571">
        <f>IF($R571="","",IF(INDEX('입력_구리근무자명단'!$A569:$ZZ569,1,$E$2+2)&amp;""="",급여기준월,IF(ISNUMBER(INDEX('입력_구리근무자명단'!$A569:$ZZ569,1,$E$2+2)),INDEX('입력_구리근무자명단'!$A569:$ZZ569,1,$E$2+2),IFERROR(DATE(VALUE(LEFT(INDEX('입력_구리근무자명단'!$A569:$ZZ569,1,$E$2+2),4)),VALUE(MID(INDEX('입력_구리근무자명단'!$A569:$ZZ569,1,$E$2+2),6,2)),VALUE(MID(INDEX('입력_구리근무자명단'!$A569:$ZZ569,1,$E$2+2),9,2))),-1))))</f>
        <v/>
      </c>
      <c r="T571">
        <f>IF($R571="","",IF(INDEX('입력_구리근무자명단'!$A569:$ZZ569,1,$E$2+3)&amp;""="",EOMONTH(급여기준월,0),IF(ISNUMBER(INDEX('입력_구리근무자명단'!$A569:$ZZ569,1,$E$2+3)),INDEX('입력_구리근무자명단'!$A569:$ZZ569,1,$E$2+3),IFERROR(DATE(VALUE(LEFT(INDEX('입력_구리근무자명단'!$A569:$ZZ569,1,$E$2+3),4)),VALUE(MID(INDEX('입력_구리근무자명단'!$A569:$ZZ569,1,$E$2+3),6,2)),VALUE(MID(INDEX('입력_구리근무자명단'!$A569:$ZZ569,1,$E$2+3),9,2))),-1))))</f>
        <v/>
      </c>
      <c r="U571">
        <f>IF($R571="","",IF(OR($S571&lt;0,$T571&lt;0),0,MAX(0,MIN($T571,EOMONTH(급여기준월,0))-MAX($S571,급여기준월)+1)))</f>
        <v/>
      </c>
      <c r="V571">
        <f>IF($R571="","",TRIM(INDEX('입력_구리근무자명단'!$A569:$ZZ569,1,$E$2+5)&amp;""))</f>
        <v/>
      </c>
      <c r="W571">
        <f>IF(ISNUMBER(SEARCH("구리독자",$V571)),"구리독자","")</f>
        <v/>
      </c>
      <c r="X571">
        <f>IF($R571="","",$R571&amp;"|"&amp;IF(OR($Q571="인턴",ISNUMBER(SEARCH("수련교육부",$P571))),"인턴",$P571))</f>
        <v/>
      </c>
      <c r="Y571">
        <f>IF($R571="","",IF(COUNTIF(명단표[이름|과],$X571)=1,"명단 일치",IF(AND(COUNTIF(명단표[이름|과],$X571)=0,COUNTIF(명단표[이름],$R571)=1),"명단 일치(이름만, 과 다름)",IF(COUNTIF(명단표[이름],$R571)=0,IF(COUNTIF(기본자료표[이름],$R571)&gt;0,"명단에 없음(기본자료에는 있음)","명단에 없음"),"동명이인 확인"))))</f>
        <v/>
      </c>
      <c r="Z571">
        <f>IF($R571="","",IF($S571&lt;0,"⚠"&amp;INDEX('입력_구리근무자명단'!$A569:$ZZ569,1,$E$2+2),TEXT($S571,"yyyy-mm-dd")))</f>
        <v/>
      </c>
      <c r="AA571">
        <f>IF($R571="","",IF($T571&lt;0,"⚠"&amp;INDEX('입력_구리근무자명단'!$A569:$ZZ569,1,$E$2+3),TEXT($T571,"yyyy-mm-dd")))</f>
        <v/>
      </c>
      <c r="AB571">
        <f>AB570+IF($R571="",0,1)</f>
        <v/>
      </c>
      <c r="AC571">
        <f>IF($R571="","",$AB571)</f>
        <v/>
      </c>
    </row>
    <row r="572">
      <c r="O572">
        <f>570</f>
        <v/>
      </c>
      <c r="P572">
        <f>IF(TRIM('입력_구리근무자명단'!$A570&amp;"")&lt;&gt;"",TRIM('입력_구리근무자명단'!$A570&amp;""),P571)</f>
        <v/>
      </c>
      <c r="Q572">
        <f>'입력_구리근무자명단'!$B570&amp;""</f>
        <v/>
      </c>
      <c r="R572">
        <f>IF($E$2="","",TRIM(INDEX('입력_구리근무자명단'!$A570:$ZZ570,1,$E$2+IF($G$2="확정",1,0))&amp;""))</f>
        <v/>
      </c>
      <c r="S572">
        <f>IF($R572="","",IF(INDEX('입력_구리근무자명단'!$A570:$ZZ570,1,$E$2+2)&amp;""="",급여기준월,IF(ISNUMBER(INDEX('입력_구리근무자명단'!$A570:$ZZ570,1,$E$2+2)),INDEX('입력_구리근무자명단'!$A570:$ZZ570,1,$E$2+2),IFERROR(DATE(VALUE(LEFT(INDEX('입력_구리근무자명단'!$A570:$ZZ570,1,$E$2+2),4)),VALUE(MID(INDEX('입력_구리근무자명단'!$A570:$ZZ570,1,$E$2+2),6,2)),VALUE(MID(INDEX('입력_구리근무자명단'!$A570:$ZZ570,1,$E$2+2),9,2))),-1))))</f>
        <v/>
      </c>
      <c r="T572">
        <f>IF($R572="","",IF(INDEX('입력_구리근무자명단'!$A570:$ZZ570,1,$E$2+3)&amp;""="",EOMONTH(급여기준월,0),IF(ISNUMBER(INDEX('입력_구리근무자명단'!$A570:$ZZ570,1,$E$2+3)),INDEX('입력_구리근무자명단'!$A570:$ZZ570,1,$E$2+3),IFERROR(DATE(VALUE(LEFT(INDEX('입력_구리근무자명단'!$A570:$ZZ570,1,$E$2+3),4)),VALUE(MID(INDEX('입력_구리근무자명단'!$A570:$ZZ570,1,$E$2+3),6,2)),VALUE(MID(INDEX('입력_구리근무자명단'!$A570:$ZZ570,1,$E$2+3),9,2))),-1))))</f>
        <v/>
      </c>
      <c r="U572">
        <f>IF($R572="","",IF(OR($S572&lt;0,$T572&lt;0),0,MAX(0,MIN($T572,EOMONTH(급여기준월,0))-MAX($S572,급여기준월)+1)))</f>
        <v/>
      </c>
      <c r="V572">
        <f>IF($R572="","",TRIM(INDEX('입력_구리근무자명단'!$A570:$ZZ570,1,$E$2+5)&amp;""))</f>
        <v/>
      </c>
      <c r="W572">
        <f>IF(ISNUMBER(SEARCH("구리독자",$V572)),"구리독자","")</f>
        <v/>
      </c>
      <c r="X572">
        <f>IF($R572="","",$R572&amp;"|"&amp;IF(OR($Q572="인턴",ISNUMBER(SEARCH("수련교육부",$P572))),"인턴",$P572))</f>
        <v/>
      </c>
      <c r="Y572">
        <f>IF($R572="","",IF(COUNTIF(명단표[이름|과],$X572)=1,"명단 일치",IF(AND(COUNTIF(명단표[이름|과],$X572)=0,COUNTIF(명단표[이름],$R572)=1),"명단 일치(이름만, 과 다름)",IF(COUNTIF(명단표[이름],$R572)=0,IF(COUNTIF(기본자료표[이름],$R572)&gt;0,"명단에 없음(기본자료에는 있음)","명단에 없음"),"동명이인 확인"))))</f>
        <v/>
      </c>
      <c r="Z572">
        <f>IF($R572="","",IF($S572&lt;0,"⚠"&amp;INDEX('입력_구리근무자명단'!$A570:$ZZ570,1,$E$2+2),TEXT($S572,"yyyy-mm-dd")))</f>
        <v/>
      </c>
      <c r="AA572">
        <f>IF($R572="","",IF($T572&lt;0,"⚠"&amp;INDEX('입력_구리근무자명단'!$A570:$ZZ570,1,$E$2+3),TEXT($T572,"yyyy-mm-dd")))</f>
        <v/>
      </c>
      <c r="AB572">
        <f>AB571+IF($R572="",0,1)</f>
        <v/>
      </c>
      <c r="AC572">
        <f>IF($R572="","",$AB572)</f>
        <v/>
      </c>
    </row>
    <row r="573">
      <c r="O573">
        <f>571</f>
        <v/>
      </c>
      <c r="P573">
        <f>IF(TRIM('입력_구리근무자명단'!$A571&amp;"")&lt;&gt;"",TRIM('입력_구리근무자명단'!$A571&amp;""),P572)</f>
        <v/>
      </c>
      <c r="Q573">
        <f>'입력_구리근무자명단'!$B571&amp;""</f>
        <v/>
      </c>
      <c r="R573">
        <f>IF($E$2="","",TRIM(INDEX('입력_구리근무자명단'!$A571:$ZZ571,1,$E$2+IF($G$2="확정",1,0))&amp;""))</f>
        <v/>
      </c>
      <c r="S573">
        <f>IF($R573="","",IF(INDEX('입력_구리근무자명단'!$A571:$ZZ571,1,$E$2+2)&amp;""="",급여기준월,IF(ISNUMBER(INDEX('입력_구리근무자명단'!$A571:$ZZ571,1,$E$2+2)),INDEX('입력_구리근무자명단'!$A571:$ZZ571,1,$E$2+2),IFERROR(DATE(VALUE(LEFT(INDEX('입력_구리근무자명단'!$A571:$ZZ571,1,$E$2+2),4)),VALUE(MID(INDEX('입력_구리근무자명단'!$A571:$ZZ571,1,$E$2+2),6,2)),VALUE(MID(INDEX('입력_구리근무자명단'!$A571:$ZZ571,1,$E$2+2),9,2))),-1))))</f>
        <v/>
      </c>
      <c r="T573">
        <f>IF($R573="","",IF(INDEX('입력_구리근무자명단'!$A571:$ZZ571,1,$E$2+3)&amp;""="",EOMONTH(급여기준월,0),IF(ISNUMBER(INDEX('입력_구리근무자명단'!$A571:$ZZ571,1,$E$2+3)),INDEX('입력_구리근무자명단'!$A571:$ZZ571,1,$E$2+3),IFERROR(DATE(VALUE(LEFT(INDEX('입력_구리근무자명단'!$A571:$ZZ571,1,$E$2+3),4)),VALUE(MID(INDEX('입력_구리근무자명단'!$A571:$ZZ571,1,$E$2+3),6,2)),VALUE(MID(INDEX('입력_구리근무자명단'!$A571:$ZZ571,1,$E$2+3),9,2))),-1))))</f>
        <v/>
      </c>
      <c r="U573">
        <f>IF($R573="","",IF(OR($S573&lt;0,$T573&lt;0),0,MAX(0,MIN($T573,EOMONTH(급여기준월,0))-MAX($S573,급여기준월)+1)))</f>
        <v/>
      </c>
      <c r="V573">
        <f>IF($R573="","",TRIM(INDEX('입력_구리근무자명단'!$A571:$ZZ571,1,$E$2+5)&amp;""))</f>
        <v/>
      </c>
      <c r="W573">
        <f>IF(ISNUMBER(SEARCH("구리독자",$V573)),"구리독자","")</f>
        <v/>
      </c>
      <c r="X573">
        <f>IF($R573="","",$R573&amp;"|"&amp;IF(OR($Q573="인턴",ISNUMBER(SEARCH("수련교육부",$P573))),"인턴",$P573))</f>
        <v/>
      </c>
      <c r="Y573">
        <f>IF($R573="","",IF(COUNTIF(명단표[이름|과],$X573)=1,"명단 일치",IF(AND(COUNTIF(명단표[이름|과],$X573)=0,COUNTIF(명단표[이름],$R573)=1),"명단 일치(이름만, 과 다름)",IF(COUNTIF(명단표[이름],$R573)=0,IF(COUNTIF(기본자료표[이름],$R573)&gt;0,"명단에 없음(기본자료에는 있음)","명단에 없음"),"동명이인 확인"))))</f>
        <v/>
      </c>
      <c r="Z573">
        <f>IF($R573="","",IF($S573&lt;0,"⚠"&amp;INDEX('입력_구리근무자명단'!$A571:$ZZ571,1,$E$2+2),TEXT($S573,"yyyy-mm-dd")))</f>
        <v/>
      </c>
      <c r="AA573">
        <f>IF($R573="","",IF($T573&lt;0,"⚠"&amp;INDEX('입력_구리근무자명단'!$A571:$ZZ571,1,$E$2+3),TEXT($T573,"yyyy-mm-dd")))</f>
        <v/>
      </c>
      <c r="AB573">
        <f>AB572+IF($R573="",0,1)</f>
        <v/>
      </c>
      <c r="AC573">
        <f>IF($R573="","",$AB573)</f>
        <v/>
      </c>
    </row>
    <row r="574">
      <c r="O574">
        <f>572</f>
        <v/>
      </c>
      <c r="P574">
        <f>IF(TRIM('입력_구리근무자명단'!$A572&amp;"")&lt;&gt;"",TRIM('입력_구리근무자명단'!$A572&amp;""),P573)</f>
        <v/>
      </c>
      <c r="Q574">
        <f>'입력_구리근무자명단'!$B572&amp;""</f>
        <v/>
      </c>
      <c r="R574">
        <f>IF($E$2="","",TRIM(INDEX('입력_구리근무자명단'!$A572:$ZZ572,1,$E$2+IF($G$2="확정",1,0))&amp;""))</f>
        <v/>
      </c>
      <c r="S574">
        <f>IF($R574="","",IF(INDEX('입력_구리근무자명단'!$A572:$ZZ572,1,$E$2+2)&amp;""="",급여기준월,IF(ISNUMBER(INDEX('입력_구리근무자명단'!$A572:$ZZ572,1,$E$2+2)),INDEX('입력_구리근무자명단'!$A572:$ZZ572,1,$E$2+2),IFERROR(DATE(VALUE(LEFT(INDEX('입력_구리근무자명단'!$A572:$ZZ572,1,$E$2+2),4)),VALUE(MID(INDEX('입력_구리근무자명단'!$A572:$ZZ572,1,$E$2+2),6,2)),VALUE(MID(INDEX('입력_구리근무자명단'!$A572:$ZZ572,1,$E$2+2),9,2))),-1))))</f>
        <v/>
      </c>
      <c r="T574">
        <f>IF($R574="","",IF(INDEX('입력_구리근무자명단'!$A572:$ZZ572,1,$E$2+3)&amp;""="",EOMONTH(급여기준월,0),IF(ISNUMBER(INDEX('입력_구리근무자명단'!$A572:$ZZ572,1,$E$2+3)),INDEX('입력_구리근무자명단'!$A572:$ZZ572,1,$E$2+3),IFERROR(DATE(VALUE(LEFT(INDEX('입력_구리근무자명단'!$A572:$ZZ572,1,$E$2+3),4)),VALUE(MID(INDEX('입력_구리근무자명단'!$A572:$ZZ572,1,$E$2+3),6,2)),VALUE(MID(INDEX('입력_구리근무자명단'!$A572:$ZZ572,1,$E$2+3),9,2))),-1))))</f>
        <v/>
      </c>
      <c r="U574">
        <f>IF($R574="","",IF(OR($S574&lt;0,$T574&lt;0),0,MAX(0,MIN($T574,EOMONTH(급여기준월,0))-MAX($S574,급여기준월)+1)))</f>
        <v/>
      </c>
      <c r="V574">
        <f>IF($R574="","",TRIM(INDEX('입력_구리근무자명단'!$A572:$ZZ572,1,$E$2+5)&amp;""))</f>
        <v/>
      </c>
      <c r="W574">
        <f>IF(ISNUMBER(SEARCH("구리독자",$V574)),"구리독자","")</f>
        <v/>
      </c>
      <c r="X574">
        <f>IF($R574="","",$R574&amp;"|"&amp;IF(OR($Q574="인턴",ISNUMBER(SEARCH("수련교육부",$P574))),"인턴",$P574))</f>
        <v/>
      </c>
      <c r="Y574">
        <f>IF($R574="","",IF(COUNTIF(명단표[이름|과],$X574)=1,"명단 일치",IF(AND(COUNTIF(명단표[이름|과],$X574)=0,COUNTIF(명단표[이름],$R574)=1),"명단 일치(이름만, 과 다름)",IF(COUNTIF(명단표[이름],$R574)=0,IF(COUNTIF(기본자료표[이름],$R574)&gt;0,"명단에 없음(기본자료에는 있음)","명단에 없음"),"동명이인 확인"))))</f>
        <v/>
      </c>
      <c r="Z574">
        <f>IF($R574="","",IF($S574&lt;0,"⚠"&amp;INDEX('입력_구리근무자명단'!$A572:$ZZ572,1,$E$2+2),TEXT($S574,"yyyy-mm-dd")))</f>
        <v/>
      </c>
      <c r="AA574">
        <f>IF($R574="","",IF($T574&lt;0,"⚠"&amp;INDEX('입력_구리근무자명단'!$A572:$ZZ572,1,$E$2+3),TEXT($T574,"yyyy-mm-dd")))</f>
        <v/>
      </c>
      <c r="AB574">
        <f>AB573+IF($R574="",0,1)</f>
        <v/>
      </c>
      <c r="AC574">
        <f>IF($R574="","",$AB574)</f>
        <v/>
      </c>
    </row>
    <row r="575">
      <c r="O575">
        <f>573</f>
        <v/>
      </c>
      <c r="P575">
        <f>IF(TRIM('입력_구리근무자명단'!$A573&amp;"")&lt;&gt;"",TRIM('입력_구리근무자명단'!$A573&amp;""),P574)</f>
        <v/>
      </c>
      <c r="Q575">
        <f>'입력_구리근무자명단'!$B573&amp;""</f>
        <v/>
      </c>
      <c r="R575">
        <f>IF($E$2="","",TRIM(INDEX('입력_구리근무자명단'!$A573:$ZZ573,1,$E$2+IF($G$2="확정",1,0))&amp;""))</f>
        <v/>
      </c>
      <c r="S575">
        <f>IF($R575="","",IF(INDEX('입력_구리근무자명단'!$A573:$ZZ573,1,$E$2+2)&amp;""="",급여기준월,IF(ISNUMBER(INDEX('입력_구리근무자명단'!$A573:$ZZ573,1,$E$2+2)),INDEX('입력_구리근무자명단'!$A573:$ZZ573,1,$E$2+2),IFERROR(DATE(VALUE(LEFT(INDEX('입력_구리근무자명단'!$A573:$ZZ573,1,$E$2+2),4)),VALUE(MID(INDEX('입력_구리근무자명단'!$A573:$ZZ573,1,$E$2+2),6,2)),VALUE(MID(INDEX('입력_구리근무자명단'!$A573:$ZZ573,1,$E$2+2),9,2))),-1))))</f>
        <v/>
      </c>
      <c r="T575">
        <f>IF($R575="","",IF(INDEX('입력_구리근무자명단'!$A573:$ZZ573,1,$E$2+3)&amp;""="",EOMONTH(급여기준월,0),IF(ISNUMBER(INDEX('입력_구리근무자명단'!$A573:$ZZ573,1,$E$2+3)),INDEX('입력_구리근무자명단'!$A573:$ZZ573,1,$E$2+3),IFERROR(DATE(VALUE(LEFT(INDEX('입력_구리근무자명단'!$A573:$ZZ573,1,$E$2+3),4)),VALUE(MID(INDEX('입력_구리근무자명단'!$A573:$ZZ573,1,$E$2+3),6,2)),VALUE(MID(INDEX('입력_구리근무자명단'!$A573:$ZZ573,1,$E$2+3),9,2))),-1))))</f>
        <v/>
      </c>
      <c r="U575">
        <f>IF($R575="","",IF(OR($S575&lt;0,$T575&lt;0),0,MAX(0,MIN($T575,EOMONTH(급여기준월,0))-MAX($S575,급여기준월)+1)))</f>
        <v/>
      </c>
      <c r="V575">
        <f>IF($R575="","",TRIM(INDEX('입력_구리근무자명단'!$A573:$ZZ573,1,$E$2+5)&amp;""))</f>
        <v/>
      </c>
      <c r="W575">
        <f>IF(ISNUMBER(SEARCH("구리독자",$V575)),"구리독자","")</f>
        <v/>
      </c>
      <c r="X575">
        <f>IF($R575="","",$R575&amp;"|"&amp;IF(OR($Q575="인턴",ISNUMBER(SEARCH("수련교육부",$P575))),"인턴",$P575))</f>
        <v/>
      </c>
      <c r="Y575">
        <f>IF($R575="","",IF(COUNTIF(명단표[이름|과],$X575)=1,"명단 일치",IF(AND(COUNTIF(명단표[이름|과],$X575)=0,COUNTIF(명단표[이름],$R575)=1),"명단 일치(이름만, 과 다름)",IF(COUNTIF(명단표[이름],$R575)=0,IF(COUNTIF(기본자료표[이름],$R575)&gt;0,"명단에 없음(기본자료에는 있음)","명단에 없음"),"동명이인 확인"))))</f>
        <v/>
      </c>
      <c r="Z575">
        <f>IF($R575="","",IF($S575&lt;0,"⚠"&amp;INDEX('입력_구리근무자명단'!$A573:$ZZ573,1,$E$2+2),TEXT($S575,"yyyy-mm-dd")))</f>
        <v/>
      </c>
      <c r="AA575">
        <f>IF($R575="","",IF($T575&lt;0,"⚠"&amp;INDEX('입력_구리근무자명단'!$A573:$ZZ573,1,$E$2+3),TEXT($T575,"yyyy-mm-dd")))</f>
        <v/>
      </c>
      <c r="AB575">
        <f>AB574+IF($R575="",0,1)</f>
        <v/>
      </c>
      <c r="AC575">
        <f>IF($R575="","",$AB575)</f>
        <v/>
      </c>
    </row>
    <row r="576">
      <c r="O576">
        <f>574</f>
        <v/>
      </c>
      <c r="P576">
        <f>IF(TRIM('입력_구리근무자명단'!$A574&amp;"")&lt;&gt;"",TRIM('입력_구리근무자명단'!$A574&amp;""),P575)</f>
        <v/>
      </c>
      <c r="Q576">
        <f>'입력_구리근무자명단'!$B574&amp;""</f>
        <v/>
      </c>
      <c r="R576">
        <f>IF($E$2="","",TRIM(INDEX('입력_구리근무자명단'!$A574:$ZZ574,1,$E$2+IF($G$2="확정",1,0))&amp;""))</f>
        <v/>
      </c>
      <c r="S576">
        <f>IF($R576="","",IF(INDEX('입력_구리근무자명단'!$A574:$ZZ574,1,$E$2+2)&amp;""="",급여기준월,IF(ISNUMBER(INDEX('입력_구리근무자명단'!$A574:$ZZ574,1,$E$2+2)),INDEX('입력_구리근무자명단'!$A574:$ZZ574,1,$E$2+2),IFERROR(DATE(VALUE(LEFT(INDEX('입력_구리근무자명단'!$A574:$ZZ574,1,$E$2+2),4)),VALUE(MID(INDEX('입력_구리근무자명단'!$A574:$ZZ574,1,$E$2+2),6,2)),VALUE(MID(INDEX('입력_구리근무자명단'!$A574:$ZZ574,1,$E$2+2),9,2))),-1))))</f>
        <v/>
      </c>
      <c r="T576">
        <f>IF($R576="","",IF(INDEX('입력_구리근무자명단'!$A574:$ZZ574,1,$E$2+3)&amp;""="",EOMONTH(급여기준월,0),IF(ISNUMBER(INDEX('입력_구리근무자명단'!$A574:$ZZ574,1,$E$2+3)),INDEX('입력_구리근무자명단'!$A574:$ZZ574,1,$E$2+3),IFERROR(DATE(VALUE(LEFT(INDEX('입력_구리근무자명단'!$A574:$ZZ574,1,$E$2+3),4)),VALUE(MID(INDEX('입력_구리근무자명단'!$A574:$ZZ574,1,$E$2+3),6,2)),VALUE(MID(INDEX('입력_구리근무자명단'!$A574:$ZZ574,1,$E$2+3),9,2))),-1))))</f>
        <v/>
      </c>
      <c r="U576">
        <f>IF($R576="","",IF(OR($S576&lt;0,$T576&lt;0),0,MAX(0,MIN($T576,EOMONTH(급여기준월,0))-MAX($S576,급여기준월)+1)))</f>
        <v/>
      </c>
      <c r="V576">
        <f>IF($R576="","",TRIM(INDEX('입력_구리근무자명단'!$A574:$ZZ574,1,$E$2+5)&amp;""))</f>
        <v/>
      </c>
      <c r="W576">
        <f>IF(ISNUMBER(SEARCH("구리독자",$V576)),"구리독자","")</f>
        <v/>
      </c>
      <c r="X576">
        <f>IF($R576="","",$R576&amp;"|"&amp;IF(OR($Q576="인턴",ISNUMBER(SEARCH("수련교육부",$P576))),"인턴",$P576))</f>
        <v/>
      </c>
      <c r="Y576">
        <f>IF($R576="","",IF(COUNTIF(명단표[이름|과],$X576)=1,"명단 일치",IF(AND(COUNTIF(명단표[이름|과],$X576)=0,COUNTIF(명단표[이름],$R576)=1),"명단 일치(이름만, 과 다름)",IF(COUNTIF(명단표[이름],$R576)=0,IF(COUNTIF(기본자료표[이름],$R576)&gt;0,"명단에 없음(기본자료에는 있음)","명단에 없음"),"동명이인 확인"))))</f>
        <v/>
      </c>
      <c r="Z576">
        <f>IF($R576="","",IF($S576&lt;0,"⚠"&amp;INDEX('입력_구리근무자명단'!$A574:$ZZ574,1,$E$2+2),TEXT($S576,"yyyy-mm-dd")))</f>
        <v/>
      </c>
      <c r="AA576">
        <f>IF($R576="","",IF($T576&lt;0,"⚠"&amp;INDEX('입력_구리근무자명단'!$A574:$ZZ574,1,$E$2+3),TEXT($T576,"yyyy-mm-dd")))</f>
        <v/>
      </c>
      <c r="AB576">
        <f>AB575+IF($R576="",0,1)</f>
        <v/>
      </c>
      <c r="AC576">
        <f>IF($R576="","",$AB576)</f>
        <v/>
      </c>
    </row>
    <row r="577">
      <c r="O577">
        <f>575</f>
        <v/>
      </c>
      <c r="P577">
        <f>IF(TRIM('입력_구리근무자명단'!$A575&amp;"")&lt;&gt;"",TRIM('입력_구리근무자명단'!$A575&amp;""),P576)</f>
        <v/>
      </c>
      <c r="Q577">
        <f>'입력_구리근무자명단'!$B575&amp;""</f>
        <v/>
      </c>
      <c r="R577">
        <f>IF($E$2="","",TRIM(INDEX('입력_구리근무자명단'!$A575:$ZZ575,1,$E$2+IF($G$2="확정",1,0))&amp;""))</f>
        <v/>
      </c>
      <c r="S577">
        <f>IF($R577="","",IF(INDEX('입력_구리근무자명단'!$A575:$ZZ575,1,$E$2+2)&amp;""="",급여기준월,IF(ISNUMBER(INDEX('입력_구리근무자명단'!$A575:$ZZ575,1,$E$2+2)),INDEX('입력_구리근무자명단'!$A575:$ZZ575,1,$E$2+2),IFERROR(DATE(VALUE(LEFT(INDEX('입력_구리근무자명단'!$A575:$ZZ575,1,$E$2+2),4)),VALUE(MID(INDEX('입력_구리근무자명단'!$A575:$ZZ575,1,$E$2+2),6,2)),VALUE(MID(INDEX('입력_구리근무자명단'!$A575:$ZZ575,1,$E$2+2),9,2))),-1))))</f>
        <v/>
      </c>
      <c r="T577">
        <f>IF($R577="","",IF(INDEX('입력_구리근무자명단'!$A575:$ZZ575,1,$E$2+3)&amp;""="",EOMONTH(급여기준월,0),IF(ISNUMBER(INDEX('입력_구리근무자명단'!$A575:$ZZ575,1,$E$2+3)),INDEX('입력_구리근무자명단'!$A575:$ZZ575,1,$E$2+3),IFERROR(DATE(VALUE(LEFT(INDEX('입력_구리근무자명단'!$A575:$ZZ575,1,$E$2+3),4)),VALUE(MID(INDEX('입력_구리근무자명단'!$A575:$ZZ575,1,$E$2+3),6,2)),VALUE(MID(INDEX('입력_구리근무자명단'!$A575:$ZZ575,1,$E$2+3),9,2))),-1))))</f>
        <v/>
      </c>
      <c r="U577">
        <f>IF($R577="","",IF(OR($S577&lt;0,$T577&lt;0),0,MAX(0,MIN($T577,EOMONTH(급여기준월,0))-MAX($S577,급여기준월)+1)))</f>
        <v/>
      </c>
      <c r="V577">
        <f>IF($R577="","",TRIM(INDEX('입력_구리근무자명단'!$A575:$ZZ575,1,$E$2+5)&amp;""))</f>
        <v/>
      </c>
      <c r="W577">
        <f>IF(ISNUMBER(SEARCH("구리독자",$V577)),"구리독자","")</f>
        <v/>
      </c>
      <c r="X577">
        <f>IF($R577="","",$R577&amp;"|"&amp;IF(OR($Q577="인턴",ISNUMBER(SEARCH("수련교육부",$P577))),"인턴",$P577))</f>
        <v/>
      </c>
      <c r="Y577">
        <f>IF($R577="","",IF(COUNTIF(명단표[이름|과],$X577)=1,"명단 일치",IF(AND(COUNTIF(명단표[이름|과],$X577)=0,COUNTIF(명단표[이름],$R577)=1),"명단 일치(이름만, 과 다름)",IF(COUNTIF(명단표[이름],$R577)=0,IF(COUNTIF(기본자료표[이름],$R577)&gt;0,"명단에 없음(기본자료에는 있음)","명단에 없음"),"동명이인 확인"))))</f>
        <v/>
      </c>
      <c r="Z577">
        <f>IF($R577="","",IF($S577&lt;0,"⚠"&amp;INDEX('입력_구리근무자명단'!$A575:$ZZ575,1,$E$2+2),TEXT($S577,"yyyy-mm-dd")))</f>
        <v/>
      </c>
      <c r="AA577">
        <f>IF($R577="","",IF($T577&lt;0,"⚠"&amp;INDEX('입력_구리근무자명단'!$A575:$ZZ575,1,$E$2+3),TEXT($T577,"yyyy-mm-dd")))</f>
        <v/>
      </c>
      <c r="AB577">
        <f>AB576+IF($R577="",0,1)</f>
        <v/>
      </c>
      <c r="AC577">
        <f>IF($R577="","",$AB577)</f>
        <v/>
      </c>
    </row>
    <row r="578">
      <c r="O578">
        <f>576</f>
        <v/>
      </c>
      <c r="P578">
        <f>IF(TRIM('입력_구리근무자명단'!$A576&amp;"")&lt;&gt;"",TRIM('입력_구리근무자명단'!$A576&amp;""),P577)</f>
        <v/>
      </c>
      <c r="Q578">
        <f>'입력_구리근무자명단'!$B576&amp;""</f>
        <v/>
      </c>
      <c r="R578">
        <f>IF($E$2="","",TRIM(INDEX('입력_구리근무자명단'!$A576:$ZZ576,1,$E$2+IF($G$2="확정",1,0))&amp;""))</f>
        <v/>
      </c>
      <c r="S578">
        <f>IF($R578="","",IF(INDEX('입력_구리근무자명단'!$A576:$ZZ576,1,$E$2+2)&amp;""="",급여기준월,IF(ISNUMBER(INDEX('입력_구리근무자명단'!$A576:$ZZ576,1,$E$2+2)),INDEX('입력_구리근무자명단'!$A576:$ZZ576,1,$E$2+2),IFERROR(DATE(VALUE(LEFT(INDEX('입력_구리근무자명단'!$A576:$ZZ576,1,$E$2+2),4)),VALUE(MID(INDEX('입력_구리근무자명단'!$A576:$ZZ576,1,$E$2+2),6,2)),VALUE(MID(INDEX('입력_구리근무자명단'!$A576:$ZZ576,1,$E$2+2),9,2))),-1))))</f>
        <v/>
      </c>
      <c r="T578">
        <f>IF($R578="","",IF(INDEX('입력_구리근무자명단'!$A576:$ZZ576,1,$E$2+3)&amp;""="",EOMONTH(급여기준월,0),IF(ISNUMBER(INDEX('입력_구리근무자명단'!$A576:$ZZ576,1,$E$2+3)),INDEX('입력_구리근무자명단'!$A576:$ZZ576,1,$E$2+3),IFERROR(DATE(VALUE(LEFT(INDEX('입력_구리근무자명단'!$A576:$ZZ576,1,$E$2+3),4)),VALUE(MID(INDEX('입력_구리근무자명단'!$A576:$ZZ576,1,$E$2+3),6,2)),VALUE(MID(INDEX('입력_구리근무자명단'!$A576:$ZZ576,1,$E$2+3),9,2))),-1))))</f>
        <v/>
      </c>
      <c r="U578">
        <f>IF($R578="","",IF(OR($S578&lt;0,$T578&lt;0),0,MAX(0,MIN($T578,EOMONTH(급여기준월,0))-MAX($S578,급여기준월)+1)))</f>
        <v/>
      </c>
      <c r="V578">
        <f>IF($R578="","",TRIM(INDEX('입력_구리근무자명단'!$A576:$ZZ576,1,$E$2+5)&amp;""))</f>
        <v/>
      </c>
      <c r="W578">
        <f>IF(ISNUMBER(SEARCH("구리독자",$V578)),"구리독자","")</f>
        <v/>
      </c>
      <c r="X578">
        <f>IF($R578="","",$R578&amp;"|"&amp;IF(OR($Q578="인턴",ISNUMBER(SEARCH("수련교육부",$P578))),"인턴",$P578))</f>
        <v/>
      </c>
      <c r="Y578">
        <f>IF($R578="","",IF(COUNTIF(명단표[이름|과],$X578)=1,"명단 일치",IF(AND(COUNTIF(명단표[이름|과],$X578)=0,COUNTIF(명단표[이름],$R578)=1),"명단 일치(이름만, 과 다름)",IF(COUNTIF(명단표[이름],$R578)=0,IF(COUNTIF(기본자료표[이름],$R578)&gt;0,"명단에 없음(기본자료에는 있음)","명단에 없음"),"동명이인 확인"))))</f>
        <v/>
      </c>
      <c r="Z578">
        <f>IF($R578="","",IF($S578&lt;0,"⚠"&amp;INDEX('입력_구리근무자명단'!$A576:$ZZ576,1,$E$2+2),TEXT($S578,"yyyy-mm-dd")))</f>
        <v/>
      </c>
      <c r="AA578">
        <f>IF($R578="","",IF($T578&lt;0,"⚠"&amp;INDEX('입력_구리근무자명단'!$A576:$ZZ576,1,$E$2+3),TEXT($T578,"yyyy-mm-dd")))</f>
        <v/>
      </c>
      <c r="AB578">
        <f>AB577+IF($R578="",0,1)</f>
        <v/>
      </c>
      <c r="AC578">
        <f>IF($R578="","",$AB578)</f>
        <v/>
      </c>
    </row>
    <row r="579">
      <c r="O579">
        <f>577</f>
        <v/>
      </c>
      <c r="P579">
        <f>IF(TRIM('입력_구리근무자명단'!$A577&amp;"")&lt;&gt;"",TRIM('입력_구리근무자명단'!$A577&amp;""),P578)</f>
        <v/>
      </c>
      <c r="Q579">
        <f>'입력_구리근무자명단'!$B577&amp;""</f>
        <v/>
      </c>
      <c r="R579">
        <f>IF($E$2="","",TRIM(INDEX('입력_구리근무자명단'!$A577:$ZZ577,1,$E$2+IF($G$2="확정",1,0))&amp;""))</f>
        <v/>
      </c>
      <c r="S579">
        <f>IF($R579="","",IF(INDEX('입력_구리근무자명단'!$A577:$ZZ577,1,$E$2+2)&amp;""="",급여기준월,IF(ISNUMBER(INDEX('입력_구리근무자명단'!$A577:$ZZ577,1,$E$2+2)),INDEX('입력_구리근무자명단'!$A577:$ZZ577,1,$E$2+2),IFERROR(DATE(VALUE(LEFT(INDEX('입력_구리근무자명단'!$A577:$ZZ577,1,$E$2+2),4)),VALUE(MID(INDEX('입력_구리근무자명단'!$A577:$ZZ577,1,$E$2+2),6,2)),VALUE(MID(INDEX('입력_구리근무자명단'!$A577:$ZZ577,1,$E$2+2),9,2))),-1))))</f>
        <v/>
      </c>
      <c r="T579">
        <f>IF($R579="","",IF(INDEX('입력_구리근무자명단'!$A577:$ZZ577,1,$E$2+3)&amp;""="",EOMONTH(급여기준월,0),IF(ISNUMBER(INDEX('입력_구리근무자명단'!$A577:$ZZ577,1,$E$2+3)),INDEX('입력_구리근무자명단'!$A577:$ZZ577,1,$E$2+3),IFERROR(DATE(VALUE(LEFT(INDEX('입력_구리근무자명단'!$A577:$ZZ577,1,$E$2+3),4)),VALUE(MID(INDEX('입력_구리근무자명단'!$A577:$ZZ577,1,$E$2+3),6,2)),VALUE(MID(INDEX('입력_구리근무자명단'!$A577:$ZZ577,1,$E$2+3),9,2))),-1))))</f>
        <v/>
      </c>
      <c r="U579">
        <f>IF($R579="","",IF(OR($S579&lt;0,$T579&lt;0),0,MAX(0,MIN($T579,EOMONTH(급여기준월,0))-MAX($S579,급여기준월)+1)))</f>
        <v/>
      </c>
      <c r="V579">
        <f>IF($R579="","",TRIM(INDEX('입력_구리근무자명단'!$A577:$ZZ577,1,$E$2+5)&amp;""))</f>
        <v/>
      </c>
      <c r="W579">
        <f>IF(ISNUMBER(SEARCH("구리독자",$V579)),"구리독자","")</f>
        <v/>
      </c>
      <c r="X579">
        <f>IF($R579="","",$R579&amp;"|"&amp;IF(OR($Q579="인턴",ISNUMBER(SEARCH("수련교육부",$P579))),"인턴",$P579))</f>
        <v/>
      </c>
      <c r="Y579">
        <f>IF($R579="","",IF(COUNTIF(명단표[이름|과],$X579)=1,"명단 일치",IF(AND(COUNTIF(명단표[이름|과],$X579)=0,COUNTIF(명단표[이름],$R579)=1),"명단 일치(이름만, 과 다름)",IF(COUNTIF(명단표[이름],$R579)=0,IF(COUNTIF(기본자료표[이름],$R579)&gt;0,"명단에 없음(기본자료에는 있음)","명단에 없음"),"동명이인 확인"))))</f>
        <v/>
      </c>
      <c r="Z579">
        <f>IF($R579="","",IF($S579&lt;0,"⚠"&amp;INDEX('입력_구리근무자명단'!$A577:$ZZ577,1,$E$2+2),TEXT($S579,"yyyy-mm-dd")))</f>
        <v/>
      </c>
      <c r="AA579">
        <f>IF($R579="","",IF($T579&lt;0,"⚠"&amp;INDEX('입력_구리근무자명단'!$A577:$ZZ577,1,$E$2+3),TEXT($T579,"yyyy-mm-dd")))</f>
        <v/>
      </c>
      <c r="AB579">
        <f>AB578+IF($R579="",0,1)</f>
        <v/>
      </c>
      <c r="AC579">
        <f>IF($R579="","",$AB579)</f>
        <v/>
      </c>
    </row>
    <row r="580">
      <c r="O580">
        <f>578</f>
        <v/>
      </c>
      <c r="P580">
        <f>IF(TRIM('입력_구리근무자명단'!$A578&amp;"")&lt;&gt;"",TRIM('입력_구리근무자명단'!$A578&amp;""),P579)</f>
        <v/>
      </c>
      <c r="Q580">
        <f>'입력_구리근무자명단'!$B578&amp;""</f>
        <v/>
      </c>
      <c r="R580">
        <f>IF($E$2="","",TRIM(INDEX('입력_구리근무자명단'!$A578:$ZZ578,1,$E$2+IF($G$2="확정",1,0))&amp;""))</f>
        <v/>
      </c>
      <c r="S580">
        <f>IF($R580="","",IF(INDEX('입력_구리근무자명단'!$A578:$ZZ578,1,$E$2+2)&amp;""="",급여기준월,IF(ISNUMBER(INDEX('입력_구리근무자명단'!$A578:$ZZ578,1,$E$2+2)),INDEX('입력_구리근무자명단'!$A578:$ZZ578,1,$E$2+2),IFERROR(DATE(VALUE(LEFT(INDEX('입력_구리근무자명단'!$A578:$ZZ578,1,$E$2+2),4)),VALUE(MID(INDEX('입력_구리근무자명단'!$A578:$ZZ578,1,$E$2+2),6,2)),VALUE(MID(INDEX('입력_구리근무자명단'!$A578:$ZZ578,1,$E$2+2),9,2))),-1))))</f>
        <v/>
      </c>
      <c r="T580">
        <f>IF($R580="","",IF(INDEX('입력_구리근무자명단'!$A578:$ZZ578,1,$E$2+3)&amp;""="",EOMONTH(급여기준월,0),IF(ISNUMBER(INDEX('입력_구리근무자명단'!$A578:$ZZ578,1,$E$2+3)),INDEX('입력_구리근무자명단'!$A578:$ZZ578,1,$E$2+3),IFERROR(DATE(VALUE(LEFT(INDEX('입력_구리근무자명단'!$A578:$ZZ578,1,$E$2+3),4)),VALUE(MID(INDEX('입력_구리근무자명단'!$A578:$ZZ578,1,$E$2+3),6,2)),VALUE(MID(INDEX('입력_구리근무자명단'!$A578:$ZZ578,1,$E$2+3),9,2))),-1))))</f>
        <v/>
      </c>
      <c r="U580">
        <f>IF($R580="","",IF(OR($S580&lt;0,$T580&lt;0),0,MAX(0,MIN($T580,EOMONTH(급여기준월,0))-MAX($S580,급여기준월)+1)))</f>
        <v/>
      </c>
      <c r="V580">
        <f>IF($R580="","",TRIM(INDEX('입력_구리근무자명단'!$A578:$ZZ578,1,$E$2+5)&amp;""))</f>
        <v/>
      </c>
      <c r="W580">
        <f>IF(ISNUMBER(SEARCH("구리독자",$V580)),"구리독자","")</f>
        <v/>
      </c>
      <c r="X580">
        <f>IF($R580="","",$R580&amp;"|"&amp;IF(OR($Q580="인턴",ISNUMBER(SEARCH("수련교육부",$P580))),"인턴",$P580))</f>
        <v/>
      </c>
      <c r="Y580">
        <f>IF($R580="","",IF(COUNTIF(명단표[이름|과],$X580)=1,"명단 일치",IF(AND(COUNTIF(명단표[이름|과],$X580)=0,COUNTIF(명단표[이름],$R580)=1),"명단 일치(이름만, 과 다름)",IF(COUNTIF(명단표[이름],$R580)=0,IF(COUNTIF(기본자료표[이름],$R580)&gt;0,"명단에 없음(기본자료에는 있음)","명단에 없음"),"동명이인 확인"))))</f>
        <v/>
      </c>
      <c r="Z580">
        <f>IF($R580="","",IF($S580&lt;0,"⚠"&amp;INDEX('입력_구리근무자명단'!$A578:$ZZ578,1,$E$2+2),TEXT($S580,"yyyy-mm-dd")))</f>
        <v/>
      </c>
      <c r="AA580">
        <f>IF($R580="","",IF($T580&lt;0,"⚠"&amp;INDEX('입력_구리근무자명단'!$A578:$ZZ578,1,$E$2+3),TEXT($T580,"yyyy-mm-dd")))</f>
        <v/>
      </c>
      <c r="AB580">
        <f>AB579+IF($R580="",0,1)</f>
        <v/>
      </c>
      <c r="AC580">
        <f>IF($R580="","",$AB580)</f>
        <v/>
      </c>
    </row>
    <row r="581">
      <c r="O581">
        <f>579</f>
        <v/>
      </c>
      <c r="P581">
        <f>IF(TRIM('입력_구리근무자명단'!$A579&amp;"")&lt;&gt;"",TRIM('입력_구리근무자명단'!$A579&amp;""),P580)</f>
        <v/>
      </c>
      <c r="Q581">
        <f>'입력_구리근무자명단'!$B579&amp;""</f>
        <v/>
      </c>
      <c r="R581">
        <f>IF($E$2="","",TRIM(INDEX('입력_구리근무자명단'!$A579:$ZZ579,1,$E$2+IF($G$2="확정",1,0))&amp;""))</f>
        <v/>
      </c>
      <c r="S581">
        <f>IF($R581="","",IF(INDEX('입력_구리근무자명단'!$A579:$ZZ579,1,$E$2+2)&amp;""="",급여기준월,IF(ISNUMBER(INDEX('입력_구리근무자명단'!$A579:$ZZ579,1,$E$2+2)),INDEX('입력_구리근무자명단'!$A579:$ZZ579,1,$E$2+2),IFERROR(DATE(VALUE(LEFT(INDEX('입력_구리근무자명단'!$A579:$ZZ579,1,$E$2+2),4)),VALUE(MID(INDEX('입력_구리근무자명단'!$A579:$ZZ579,1,$E$2+2),6,2)),VALUE(MID(INDEX('입력_구리근무자명단'!$A579:$ZZ579,1,$E$2+2),9,2))),-1))))</f>
        <v/>
      </c>
      <c r="T581">
        <f>IF($R581="","",IF(INDEX('입력_구리근무자명단'!$A579:$ZZ579,1,$E$2+3)&amp;""="",EOMONTH(급여기준월,0),IF(ISNUMBER(INDEX('입력_구리근무자명단'!$A579:$ZZ579,1,$E$2+3)),INDEX('입력_구리근무자명단'!$A579:$ZZ579,1,$E$2+3),IFERROR(DATE(VALUE(LEFT(INDEX('입력_구리근무자명단'!$A579:$ZZ579,1,$E$2+3),4)),VALUE(MID(INDEX('입력_구리근무자명단'!$A579:$ZZ579,1,$E$2+3),6,2)),VALUE(MID(INDEX('입력_구리근무자명단'!$A579:$ZZ579,1,$E$2+3),9,2))),-1))))</f>
        <v/>
      </c>
      <c r="U581">
        <f>IF($R581="","",IF(OR($S581&lt;0,$T581&lt;0),0,MAX(0,MIN($T581,EOMONTH(급여기준월,0))-MAX($S581,급여기준월)+1)))</f>
        <v/>
      </c>
      <c r="V581">
        <f>IF($R581="","",TRIM(INDEX('입력_구리근무자명단'!$A579:$ZZ579,1,$E$2+5)&amp;""))</f>
        <v/>
      </c>
      <c r="W581">
        <f>IF(ISNUMBER(SEARCH("구리독자",$V581)),"구리독자","")</f>
        <v/>
      </c>
      <c r="X581">
        <f>IF($R581="","",$R581&amp;"|"&amp;IF(OR($Q581="인턴",ISNUMBER(SEARCH("수련교육부",$P581))),"인턴",$P581))</f>
        <v/>
      </c>
      <c r="Y581">
        <f>IF($R581="","",IF(COUNTIF(명단표[이름|과],$X581)=1,"명단 일치",IF(AND(COUNTIF(명단표[이름|과],$X581)=0,COUNTIF(명단표[이름],$R581)=1),"명단 일치(이름만, 과 다름)",IF(COUNTIF(명단표[이름],$R581)=0,IF(COUNTIF(기본자료표[이름],$R581)&gt;0,"명단에 없음(기본자료에는 있음)","명단에 없음"),"동명이인 확인"))))</f>
        <v/>
      </c>
      <c r="Z581">
        <f>IF($R581="","",IF($S581&lt;0,"⚠"&amp;INDEX('입력_구리근무자명단'!$A579:$ZZ579,1,$E$2+2),TEXT($S581,"yyyy-mm-dd")))</f>
        <v/>
      </c>
      <c r="AA581">
        <f>IF($R581="","",IF($T581&lt;0,"⚠"&amp;INDEX('입력_구리근무자명단'!$A579:$ZZ579,1,$E$2+3),TEXT($T581,"yyyy-mm-dd")))</f>
        <v/>
      </c>
      <c r="AB581">
        <f>AB580+IF($R581="",0,1)</f>
        <v/>
      </c>
      <c r="AC581">
        <f>IF($R581="","",$AB581)</f>
        <v/>
      </c>
    </row>
    <row r="582">
      <c r="O582">
        <f>580</f>
        <v/>
      </c>
      <c r="P582">
        <f>IF(TRIM('입력_구리근무자명단'!$A580&amp;"")&lt;&gt;"",TRIM('입력_구리근무자명단'!$A580&amp;""),P581)</f>
        <v/>
      </c>
      <c r="Q582">
        <f>'입력_구리근무자명단'!$B580&amp;""</f>
        <v/>
      </c>
      <c r="R582">
        <f>IF($E$2="","",TRIM(INDEX('입력_구리근무자명단'!$A580:$ZZ580,1,$E$2+IF($G$2="확정",1,0))&amp;""))</f>
        <v/>
      </c>
      <c r="S582">
        <f>IF($R582="","",IF(INDEX('입력_구리근무자명단'!$A580:$ZZ580,1,$E$2+2)&amp;""="",급여기준월,IF(ISNUMBER(INDEX('입력_구리근무자명단'!$A580:$ZZ580,1,$E$2+2)),INDEX('입력_구리근무자명단'!$A580:$ZZ580,1,$E$2+2),IFERROR(DATE(VALUE(LEFT(INDEX('입력_구리근무자명단'!$A580:$ZZ580,1,$E$2+2),4)),VALUE(MID(INDEX('입력_구리근무자명단'!$A580:$ZZ580,1,$E$2+2),6,2)),VALUE(MID(INDEX('입력_구리근무자명단'!$A580:$ZZ580,1,$E$2+2),9,2))),-1))))</f>
        <v/>
      </c>
      <c r="T582">
        <f>IF($R582="","",IF(INDEX('입력_구리근무자명단'!$A580:$ZZ580,1,$E$2+3)&amp;""="",EOMONTH(급여기준월,0),IF(ISNUMBER(INDEX('입력_구리근무자명단'!$A580:$ZZ580,1,$E$2+3)),INDEX('입력_구리근무자명단'!$A580:$ZZ580,1,$E$2+3),IFERROR(DATE(VALUE(LEFT(INDEX('입력_구리근무자명단'!$A580:$ZZ580,1,$E$2+3),4)),VALUE(MID(INDEX('입력_구리근무자명단'!$A580:$ZZ580,1,$E$2+3),6,2)),VALUE(MID(INDEX('입력_구리근무자명단'!$A580:$ZZ580,1,$E$2+3),9,2))),-1))))</f>
        <v/>
      </c>
      <c r="U582">
        <f>IF($R582="","",IF(OR($S582&lt;0,$T582&lt;0),0,MAX(0,MIN($T582,EOMONTH(급여기준월,0))-MAX($S582,급여기준월)+1)))</f>
        <v/>
      </c>
      <c r="V582">
        <f>IF($R582="","",TRIM(INDEX('입력_구리근무자명단'!$A580:$ZZ580,1,$E$2+5)&amp;""))</f>
        <v/>
      </c>
      <c r="W582">
        <f>IF(ISNUMBER(SEARCH("구리독자",$V582)),"구리독자","")</f>
        <v/>
      </c>
      <c r="X582">
        <f>IF($R582="","",$R582&amp;"|"&amp;IF(OR($Q582="인턴",ISNUMBER(SEARCH("수련교육부",$P582))),"인턴",$P582))</f>
        <v/>
      </c>
      <c r="Y582">
        <f>IF($R582="","",IF(COUNTIF(명단표[이름|과],$X582)=1,"명단 일치",IF(AND(COUNTIF(명단표[이름|과],$X582)=0,COUNTIF(명단표[이름],$R582)=1),"명단 일치(이름만, 과 다름)",IF(COUNTIF(명단표[이름],$R582)=0,IF(COUNTIF(기본자료표[이름],$R582)&gt;0,"명단에 없음(기본자료에는 있음)","명단에 없음"),"동명이인 확인"))))</f>
        <v/>
      </c>
      <c r="Z582">
        <f>IF($R582="","",IF($S582&lt;0,"⚠"&amp;INDEX('입력_구리근무자명단'!$A580:$ZZ580,1,$E$2+2),TEXT($S582,"yyyy-mm-dd")))</f>
        <v/>
      </c>
      <c r="AA582">
        <f>IF($R582="","",IF($T582&lt;0,"⚠"&amp;INDEX('입력_구리근무자명단'!$A580:$ZZ580,1,$E$2+3),TEXT($T582,"yyyy-mm-dd")))</f>
        <v/>
      </c>
      <c r="AB582">
        <f>AB581+IF($R582="",0,1)</f>
        <v/>
      </c>
      <c r="AC582">
        <f>IF($R582="","",$AB582)</f>
        <v/>
      </c>
    </row>
    <row r="583">
      <c r="O583">
        <f>581</f>
        <v/>
      </c>
      <c r="P583">
        <f>IF(TRIM('입력_구리근무자명단'!$A581&amp;"")&lt;&gt;"",TRIM('입력_구리근무자명단'!$A581&amp;""),P582)</f>
        <v/>
      </c>
      <c r="Q583">
        <f>'입력_구리근무자명단'!$B581&amp;""</f>
        <v/>
      </c>
      <c r="R583">
        <f>IF($E$2="","",TRIM(INDEX('입력_구리근무자명단'!$A581:$ZZ581,1,$E$2+IF($G$2="확정",1,0))&amp;""))</f>
        <v/>
      </c>
      <c r="S583">
        <f>IF($R583="","",IF(INDEX('입력_구리근무자명단'!$A581:$ZZ581,1,$E$2+2)&amp;""="",급여기준월,IF(ISNUMBER(INDEX('입력_구리근무자명단'!$A581:$ZZ581,1,$E$2+2)),INDEX('입력_구리근무자명단'!$A581:$ZZ581,1,$E$2+2),IFERROR(DATE(VALUE(LEFT(INDEX('입력_구리근무자명단'!$A581:$ZZ581,1,$E$2+2),4)),VALUE(MID(INDEX('입력_구리근무자명단'!$A581:$ZZ581,1,$E$2+2),6,2)),VALUE(MID(INDEX('입력_구리근무자명단'!$A581:$ZZ581,1,$E$2+2),9,2))),-1))))</f>
        <v/>
      </c>
      <c r="T583">
        <f>IF($R583="","",IF(INDEX('입력_구리근무자명단'!$A581:$ZZ581,1,$E$2+3)&amp;""="",EOMONTH(급여기준월,0),IF(ISNUMBER(INDEX('입력_구리근무자명단'!$A581:$ZZ581,1,$E$2+3)),INDEX('입력_구리근무자명단'!$A581:$ZZ581,1,$E$2+3),IFERROR(DATE(VALUE(LEFT(INDEX('입력_구리근무자명단'!$A581:$ZZ581,1,$E$2+3),4)),VALUE(MID(INDEX('입력_구리근무자명단'!$A581:$ZZ581,1,$E$2+3),6,2)),VALUE(MID(INDEX('입력_구리근무자명단'!$A581:$ZZ581,1,$E$2+3),9,2))),-1))))</f>
        <v/>
      </c>
      <c r="U583">
        <f>IF($R583="","",IF(OR($S583&lt;0,$T583&lt;0),0,MAX(0,MIN($T583,EOMONTH(급여기준월,0))-MAX($S583,급여기준월)+1)))</f>
        <v/>
      </c>
      <c r="V583">
        <f>IF($R583="","",TRIM(INDEX('입력_구리근무자명단'!$A581:$ZZ581,1,$E$2+5)&amp;""))</f>
        <v/>
      </c>
      <c r="W583">
        <f>IF(ISNUMBER(SEARCH("구리독자",$V583)),"구리독자","")</f>
        <v/>
      </c>
      <c r="X583">
        <f>IF($R583="","",$R583&amp;"|"&amp;IF(OR($Q583="인턴",ISNUMBER(SEARCH("수련교육부",$P583))),"인턴",$P583))</f>
        <v/>
      </c>
      <c r="Y583">
        <f>IF($R583="","",IF(COUNTIF(명단표[이름|과],$X583)=1,"명단 일치",IF(AND(COUNTIF(명단표[이름|과],$X583)=0,COUNTIF(명단표[이름],$R583)=1),"명단 일치(이름만, 과 다름)",IF(COUNTIF(명단표[이름],$R583)=0,IF(COUNTIF(기본자료표[이름],$R583)&gt;0,"명단에 없음(기본자료에는 있음)","명단에 없음"),"동명이인 확인"))))</f>
        <v/>
      </c>
      <c r="Z583">
        <f>IF($R583="","",IF($S583&lt;0,"⚠"&amp;INDEX('입력_구리근무자명단'!$A581:$ZZ581,1,$E$2+2),TEXT($S583,"yyyy-mm-dd")))</f>
        <v/>
      </c>
      <c r="AA583">
        <f>IF($R583="","",IF($T583&lt;0,"⚠"&amp;INDEX('입력_구리근무자명단'!$A581:$ZZ581,1,$E$2+3),TEXT($T583,"yyyy-mm-dd")))</f>
        <v/>
      </c>
      <c r="AB583">
        <f>AB582+IF($R583="",0,1)</f>
        <v/>
      </c>
      <c r="AC583">
        <f>IF($R583="","",$AB583)</f>
        <v/>
      </c>
    </row>
    <row r="584">
      <c r="O584">
        <f>582</f>
        <v/>
      </c>
      <c r="P584">
        <f>IF(TRIM('입력_구리근무자명단'!$A582&amp;"")&lt;&gt;"",TRIM('입력_구리근무자명단'!$A582&amp;""),P583)</f>
        <v/>
      </c>
      <c r="Q584">
        <f>'입력_구리근무자명단'!$B582&amp;""</f>
        <v/>
      </c>
      <c r="R584">
        <f>IF($E$2="","",TRIM(INDEX('입력_구리근무자명단'!$A582:$ZZ582,1,$E$2+IF($G$2="확정",1,0))&amp;""))</f>
        <v/>
      </c>
      <c r="S584">
        <f>IF($R584="","",IF(INDEX('입력_구리근무자명단'!$A582:$ZZ582,1,$E$2+2)&amp;""="",급여기준월,IF(ISNUMBER(INDEX('입력_구리근무자명단'!$A582:$ZZ582,1,$E$2+2)),INDEX('입력_구리근무자명단'!$A582:$ZZ582,1,$E$2+2),IFERROR(DATE(VALUE(LEFT(INDEX('입력_구리근무자명단'!$A582:$ZZ582,1,$E$2+2),4)),VALUE(MID(INDEX('입력_구리근무자명단'!$A582:$ZZ582,1,$E$2+2),6,2)),VALUE(MID(INDEX('입력_구리근무자명단'!$A582:$ZZ582,1,$E$2+2),9,2))),-1))))</f>
        <v/>
      </c>
      <c r="T584">
        <f>IF($R584="","",IF(INDEX('입력_구리근무자명단'!$A582:$ZZ582,1,$E$2+3)&amp;""="",EOMONTH(급여기준월,0),IF(ISNUMBER(INDEX('입력_구리근무자명단'!$A582:$ZZ582,1,$E$2+3)),INDEX('입력_구리근무자명단'!$A582:$ZZ582,1,$E$2+3),IFERROR(DATE(VALUE(LEFT(INDEX('입력_구리근무자명단'!$A582:$ZZ582,1,$E$2+3),4)),VALUE(MID(INDEX('입력_구리근무자명단'!$A582:$ZZ582,1,$E$2+3),6,2)),VALUE(MID(INDEX('입력_구리근무자명단'!$A582:$ZZ582,1,$E$2+3),9,2))),-1))))</f>
        <v/>
      </c>
      <c r="U584">
        <f>IF($R584="","",IF(OR($S584&lt;0,$T584&lt;0),0,MAX(0,MIN($T584,EOMONTH(급여기준월,0))-MAX($S584,급여기준월)+1)))</f>
        <v/>
      </c>
      <c r="V584">
        <f>IF($R584="","",TRIM(INDEX('입력_구리근무자명단'!$A582:$ZZ582,1,$E$2+5)&amp;""))</f>
        <v/>
      </c>
      <c r="W584">
        <f>IF(ISNUMBER(SEARCH("구리독자",$V584)),"구리독자","")</f>
        <v/>
      </c>
      <c r="X584">
        <f>IF($R584="","",$R584&amp;"|"&amp;IF(OR($Q584="인턴",ISNUMBER(SEARCH("수련교육부",$P584))),"인턴",$P584))</f>
        <v/>
      </c>
      <c r="Y584">
        <f>IF($R584="","",IF(COUNTIF(명단표[이름|과],$X584)=1,"명단 일치",IF(AND(COUNTIF(명단표[이름|과],$X584)=0,COUNTIF(명단표[이름],$R584)=1),"명단 일치(이름만, 과 다름)",IF(COUNTIF(명단표[이름],$R584)=0,IF(COUNTIF(기본자료표[이름],$R584)&gt;0,"명단에 없음(기본자료에는 있음)","명단에 없음"),"동명이인 확인"))))</f>
        <v/>
      </c>
      <c r="Z584">
        <f>IF($R584="","",IF($S584&lt;0,"⚠"&amp;INDEX('입력_구리근무자명단'!$A582:$ZZ582,1,$E$2+2),TEXT($S584,"yyyy-mm-dd")))</f>
        <v/>
      </c>
      <c r="AA584">
        <f>IF($R584="","",IF($T584&lt;0,"⚠"&amp;INDEX('입력_구리근무자명단'!$A582:$ZZ582,1,$E$2+3),TEXT($T584,"yyyy-mm-dd")))</f>
        <v/>
      </c>
      <c r="AB584">
        <f>AB583+IF($R584="",0,1)</f>
        <v/>
      </c>
      <c r="AC584">
        <f>IF($R584="","",$AB584)</f>
        <v/>
      </c>
    </row>
    <row r="585">
      <c r="O585">
        <f>583</f>
        <v/>
      </c>
      <c r="P585">
        <f>IF(TRIM('입력_구리근무자명단'!$A583&amp;"")&lt;&gt;"",TRIM('입력_구리근무자명단'!$A583&amp;""),P584)</f>
        <v/>
      </c>
      <c r="Q585">
        <f>'입력_구리근무자명단'!$B583&amp;""</f>
        <v/>
      </c>
      <c r="R585">
        <f>IF($E$2="","",TRIM(INDEX('입력_구리근무자명단'!$A583:$ZZ583,1,$E$2+IF($G$2="확정",1,0))&amp;""))</f>
        <v/>
      </c>
      <c r="S585">
        <f>IF($R585="","",IF(INDEX('입력_구리근무자명단'!$A583:$ZZ583,1,$E$2+2)&amp;""="",급여기준월,IF(ISNUMBER(INDEX('입력_구리근무자명단'!$A583:$ZZ583,1,$E$2+2)),INDEX('입력_구리근무자명단'!$A583:$ZZ583,1,$E$2+2),IFERROR(DATE(VALUE(LEFT(INDEX('입력_구리근무자명단'!$A583:$ZZ583,1,$E$2+2),4)),VALUE(MID(INDEX('입력_구리근무자명단'!$A583:$ZZ583,1,$E$2+2),6,2)),VALUE(MID(INDEX('입력_구리근무자명단'!$A583:$ZZ583,1,$E$2+2),9,2))),-1))))</f>
        <v/>
      </c>
      <c r="T585">
        <f>IF($R585="","",IF(INDEX('입력_구리근무자명단'!$A583:$ZZ583,1,$E$2+3)&amp;""="",EOMONTH(급여기준월,0),IF(ISNUMBER(INDEX('입력_구리근무자명단'!$A583:$ZZ583,1,$E$2+3)),INDEX('입력_구리근무자명단'!$A583:$ZZ583,1,$E$2+3),IFERROR(DATE(VALUE(LEFT(INDEX('입력_구리근무자명단'!$A583:$ZZ583,1,$E$2+3),4)),VALUE(MID(INDEX('입력_구리근무자명단'!$A583:$ZZ583,1,$E$2+3),6,2)),VALUE(MID(INDEX('입력_구리근무자명단'!$A583:$ZZ583,1,$E$2+3),9,2))),-1))))</f>
        <v/>
      </c>
      <c r="U585">
        <f>IF($R585="","",IF(OR($S585&lt;0,$T585&lt;0),0,MAX(0,MIN($T585,EOMONTH(급여기준월,0))-MAX($S585,급여기준월)+1)))</f>
        <v/>
      </c>
      <c r="V585">
        <f>IF($R585="","",TRIM(INDEX('입력_구리근무자명단'!$A583:$ZZ583,1,$E$2+5)&amp;""))</f>
        <v/>
      </c>
      <c r="W585">
        <f>IF(ISNUMBER(SEARCH("구리독자",$V585)),"구리독자","")</f>
        <v/>
      </c>
      <c r="X585">
        <f>IF($R585="","",$R585&amp;"|"&amp;IF(OR($Q585="인턴",ISNUMBER(SEARCH("수련교육부",$P585))),"인턴",$P585))</f>
        <v/>
      </c>
      <c r="Y585">
        <f>IF($R585="","",IF(COUNTIF(명단표[이름|과],$X585)=1,"명단 일치",IF(AND(COUNTIF(명단표[이름|과],$X585)=0,COUNTIF(명단표[이름],$R585)=1),"명단 일치(이름만, 과 다름)",IF(COUNTIF(명단표[이름],$R585)=0,IF(COUNTIF(기본자료표[이름],$R585)&gt;0,"명단에 없음(기본자료에는 있음)","명단에 없음"),"동명이인 확인"))))</f>
        <v/>
      </c>
      <c r="Z585">
        <f>IF($R585="","",IF($S585&lt;0,"⚠"&amp;INDEX('입력_구리근무자명단'!$A583:$ZZ583,1,$E$2+2),TEXT($S585,"yyyy-mm-dd")))</f>
        <v/>
      </c>
      <c r="AA585">
        <f>IF($R585="","",IF($T585&lt;0,"⚠"&amp;INDEX('입력_구리근무자명단'!$A583:$ZZ583,1,$E$2+3),TEXT($T585,"yyyy-mm-dd")))</f>
        <v/>
      </c>
      <c r="AB585">
        <f>AB584+IF($R585="",0,1)</f>
        <v/>
      </c>
      <c r="AC585">
        <f>IF($R585="","",$AB585)</f>
        <v/>
      </c>
    </row>
    <row r="586">
      <c r="O586">
        <f>584</f>
        <v/>
      </c>
      <c r="P586">
        <f>IF(TRIM('입력_구리근무자명단'!$A584&amp;"")&lt;&gt;"",TRIM('입력_구리근무자명단'!$A584&amp;""),P585)</f>
        <v/>
      </c>
      <c r="Q586">
        <f>'입력_구리근무자명단'!$B584&amp;""</f>
        <v/>
      </c>
      <c r="R586">
        <f>IF($E$2="","",TRIM(INDEX('입력_구리근무자명단'!$A584:$ZZ584,1,$E$2+IF($G$2="확정",1,0))&amp;""))</f>
        <v/>
      </c>
      <c r="S586">
        <f>IF($R586="","",IF(INDEX('입력_구리근무자명단'!$A584:$ZZ584,1,$E$2+2)&amp;""="",급여기준월,IF(ISNUMBER(INDEX('입력_구리근무자명단'!$A584:$ZZ584,1,$E$2+2)),INDEX('입력_구리근무자명단'!$A584:$ZZ584,1,$E$2+2),IFERROR(DATE(VALUE(LEFT(INDEX('입력_구리근무자명단'!$A584:$ZZ584,1,$E$2+2),4)),VALUE(MID(INDEX('입력_구리근무자명단'!$A584:$ZZ584,1,$E$2+2),6,2)),VALUE(MID(INDEX('입력_구리근무자명단'!$A584:$ZZ584,1,$E$2+2),9,2))),-1))))</f>
        <v/>
      </c>
      <c r="T586">
        <f>IF($R586="","",IF(INDEX('입력_구리근무자명단'!$A584:$ZZ584,1,$E$2+3)&amp;""="",EOMONTH(급여기준월,0),IF(ISNUMBER(INDEX('입력_구리근무자명단'!$A584:$ZZ584,1,$E$2+3)),INDEX('입력_구리근무자명단'!$A584:$ZZ584,1,$E$2+3),IFERROR(DATE(VALUE(LEFT(INDEX('입력_구리근무자명단'!$A584:$ZZ584,1,$E$2+3),4)),VALUE(MID(INDEX('입력_구리근무자명단'!$A584:$ZZ584,1,$E$2+3),6,2)),VALUE(MID(INDEX('입력_구리근무자명단'!$A584:$ZZ584,1,$E$2+3),9,2))),-1))))</f>
        <v/>
      </c>
      <c r="U586">
        <f>IF($R586="","",IF(OR($S586&lt;0,$T586&lt;0),0,MAX(0,MIN($T586,EOMONTH(급여기준월,0))-MAX($S586,급여기준월)+1)))</f>
        <v/>
      </c>
      <c r="V586">
        <f>IF($R586="","",TRIM(INDEX('입력_구리근무자명단'!$A584:$ZZ584,1,$E$2+5)&amp;""))</f>
        <v/>
      </c>
      <c r="W586">
        <f>IF(ISNUMBER(SEARCH("구리독자",$V586)),"구리독자","")</f>
        <v/>
      </c>
      <c r="X586">
        <f>IF($R586="","",$R586&amp;"|"&amp;IF(OR($Q586="인턴",ISNUMBER(SEARCH("수련교육부",$P586))),"인턴",$P586))</f>
        <v/>
      </c>
      <c r="Y586">
        <f>IF($R586="","",IF(COUNTIF(명단표[이름|과],$X586)=1,"명단 일치",IF(AND(COUNTIF(명단표[이름|과],$X586)=0,COUNTIF(명단표[이름],$R586)=1),"명단 일치(이름만, 과 다름)",IF(COUNTIF(명단표[이름],$R586)=0,IF(COUNTIF(기본자료표[이름],$R586)&gt;0,"명단에 없음(기본자료에는 있음)","명단에 없음"),"동명이인 확인"))))</f>
        <v/>
      </c>
      <c r="Z586">
        <f>IF($R586="","",IF($S586&lt;0,"⚠"&amp;INDEX('입력_구리근무자명단'!$A584:$ZZ584,1,$E$2+2),TEXT($S586,"yyyy-mm-dd")))</f>
        <v/>
      </c>
      <c r="AA586">
        <f>IF($R586="","",IF($T586&lt;0,"⚠"&amp;INDEX('입력_구리근무자명단'!$A584:$ZZ584,1,$E$2+3),TEXT($T586,"yyyy-mm-dd")))</f>
        <v/>
      </c>
      <c r="AB586">
        <f>AB585+IF($R586="",0,1)</f>
        <v/>
      </c>
      <c r="AC586">
        <f>IF($R586="","",$AB586)</f>
        <v/>
      </c>
    </row>
    <row r="587">
      <c r="O587">
        <f>585</f>
        <v/>
      </c>
      <c r="P587">
        <f>IF(TRIM('입력_구리근무자명단'!$A585&amp;"")&lt;&gt;"",TRIM('입력_구리근무자명단'!$A585&amp;""),P586)</f>
        <v/>
      </c>
      <c r="Q587">
        <f>'입력_구리근무자명단'!$B585&amp;""</f>
        <v/>
      </c>
      <c r="R587">
        <f>IF($E$2="","",TRIM(INDEX('입력_구리근무자명단'!$A585:$ZZ585,1,$E$2+IF($G$2="확정",1,0))&amp;""))</f>
        <v/>
      </c>
      <c r="S587">
        <f>IF($R587="","",IF(INDEX('입력_구리근무자명단'!$A585:$ZZ585,1,$E$2+2)&amp;""="",급여기준월,IF(ISNUMBER(INDEX('입력_구리근무자명단'!$A585:$ZZ585,1,$E$2+2)),INDEX('입력_구리근무자명단'!$A585:$ZZ585,1,$E$2+2),IFERROR(DATE(VALUE(LEFT(INDEX('입력_구리근무자명단'!$A585:$ZZ585,1,$E$2+2),4)),VALUE(MID(INDEX('입력_구리근무자명단'!$A585:$ZZ585,1,$E$2+2),6,2)),VALUE(MID(INDEX('입력_구리근무자명단'!$A585:$ZZ585,1,$E$2+2),9,2))),-1))))</f>
        <v/>
      </c>
      <c r="T587">
        <f>IF($R587="","",IF(INDEX('입력_구리근무자명단'!$A585:$ZZ585,1,$E$2+3)&amp;""="",EOMONTH(급여기준월,0),IF(ISNUMBER(INDEX('입력_구리근무자명단'!$A585:$ZZ585,1,$E$2+3)),INDEX('입력_구리근무자명단'!$A585:$ZZ585,1,$E$2+3),IFERROR(DATE(VALUE(LEFT(INDEX('입력_구리근무자명단'!$A585:$ZZ585,1,$E$2+3),4)),VALUE(MID(INDEX('입력_구리근무자명단'!$A585:$ZZ585,1,$E$2+3),6,2)),VALUE(MID(INDEX('입력_구리근무자명단'!$A585:$ZZ585,1,$E$2+3),9,2))),-1))))</f>
        <v/>
      </c>
      <c r="U587">
        <f>IF($R587="","",IF(OR($S587&lt;0,$T587&lt;0),0,MAX(0,MIN($T587,EOMONTH(급여기준월,0))-MAX($S587,급여기준월)+1)))</f>
        <v/>
      </c>
      <c r="V587">
        <f>IF($R587="","",TRIM(INDEX('입력_구리근무자명단'!$A585:$ZZ585,1,$E$2+5)&amp;""))</f>
        <v/>
      </c>
      <c r="W587">
        <f>IF(ISNUMBER(SEARCH("구리독자",$V587)),"구리독자","")</f>
        <v/>
      </c>
      <c r="X587">
        <f>IF($R587="","",$R587&amp;"|"&amp;IF(OR($Q587="인턴",ISNUMBER(SEARCH("수련교육부",$P587))),"인턴",$P587))</f>
        <v/>
      </c>
      <c r="Y587">
        <f>IF($R587="","",IF(COUNTIF(명단표[이름|과],$X587)=1,"명단 일치",IF(AND(COUNTIF(명단표[이름|과],$X587)=0,COUNTIF(명단표[이름],$R587)=1),"명단 일치(이름만, 과 다름)",IF(COUNTIF(명단표[이름],$R587)=0,IF(COUNTIF(기본자료표[이름],$R587)&gt;0,"명단에 없음(기본자료에는 있음)","명단에 없음"),"동명이인 확인"))))</f>
        <v/>
      </c>
      <c r="Z587">
        <f>IF($R587="","",IF($S587&lt;0,"⚠"&amp;INDEX('입력_구리근무자명단'!$A585:$ZZ585,1,$E$2+2),TEXT($S587,"yyyy-mm-dd")))</f>
        <v/>
      </c>
      <c r="AA587">
        <f>IF($R587="","",IF($T587&lt;0,"⚠"&amp;INDEX('입력_구리근무자명단'!$A585:$ZZ585,1,$E$2+3),TEXT($T587,"yyyy-mm-dd")))</f>
        <v/>
      </c>
      <c r="AB587">
        <f>AB586+IF($R587="",0,1)</f>
        <v/>
      </c>
      <c r="AC587">
        <f>IF($R587="","",$AB587)</f>
        <v/>
      </c>
    </row>
    <row r="588">
      <c r="O588">
        <f>586</f>
        <v/>
      </c>
      <c r="P588">
        <f>IF(TRIM('입력_구리근무자명단'!$A586&amp;"")&lt;&gt;"",TRIM('입력_구리근무자명단'!$A586&amp;""),P587)</f>
        <v/>
      </c>
      <c r="Q588">
        <f>'입력_구리근무자명단'!$B586&amp;""</f>
        <v/>
      </c>
      <c r="R588">
        <f>IF($E$2="","",TRIM(INDEX('입력_구리근무자명단'!$A586:$ZZ586,1,$E$2+IF($G$2="확정",1,0))&amp;""))</f>
        <v/>
      </c>
      <c r="S588">
        <f>IF($R588="","",IF(INDEX('입력_구리근무자명단'!$A586:$ZZ586,1,$E$2+2)&amp;""="",급여기준월,IF(ISNUMBER(INDEX('입력_구리근무자명단'!$A586:$ZZ586,1,$E$2+2)),INDEX('입력_구리근무자명단'!$A586:$ZZ586,1,$E$2+2),IFERROR(DATE(VALUE(LEFT(INDEX('입력_구리근무자명단'!$A586:$ZZ586,1,$E$2+2),4)),VALUE(MID(INDEX('입력_구리근무자명단'!$A586:$ZZ586,1,$E$2+2),6,2)),VALUE(MID(INDEX('입력_구리근무자명단'!$A586:$ZZ586,1,$E$2+2),9,2))),-1))))</f>
        <v/>
      </c>
      <c r="T588">
        <f>IF($R588="","",IF(INDEX('입력_구리근무자명단'!$A586:$ZZ586,1,$E$2+3)&amp;""="",EOMONTH(급여기준월,0),IF(ISNUMBER(INDEX('입력_구리근무자명단'!$A586:$ZZ586,1,$E$2+3)),INDEX('입력_구리근무자명단'!$A586:$ZZ586,1,$E$2+3),IFERROR(DATE(VALUE(LEFT(INDEX('입력_구리근무자명단'!$A586:$ZZ586,1,$E$2+3),4)),VALUE(MID(INDEX('입력_구리근무자명단'!$A586:$ZZ586,1,$E$2+3),6,2)),VALUE(MID(INDEX('입력_구리근무자명단'!$A586:$ZZ586,1,$E$2+3),9,2))),-1))))</f>
        <v/>
      </c>
      <c r="U588">
        <f>IF($R588="","",IF(OR($S588&lt;0,$T588&lt;0),0,MAX(0,MIN($T588,EOMONTH(급여기준월,0))-MAX($S588,급여기준월)+1)))</f>
        <v/>
      </c>
      <c r="V588">
        <f>IF($R588="","",TRIM(INDEX('입력_구리근무자명단'!$A586:$ZZ586,1,$E$2+5)&amp;""))</f>
        <v/>
      </c>
      <c r="W588">
        <f>IF(ISNUMBER(SEARCH("구리독자",$V588)),"구리독자","")</f>
        <v/>
      </c>
      <c r="X588">
        <f>IF($R588="","",$R588&amp;"|"&amp;IF(OR($Q588="인턴",ISNUMBER(SEARCH("수련교육부",$P588))),"인턴",$P588))</f>
        <v/>
      </c>
      <c r="Y588">
        <f>IF($R588="","",IF(COUNTIF(명단표[이름|과],$X588)=1,"명단 일치",IF(AND(COUNTIF(명단표[이름|과],$X588)=0,COUNTIF(명단표[이름],$R588)=1),"명단 일치(이름만, 과 다름)",IF(COUNTIF(명단표[이름],$R588)=0,IF(COUNTIF(기본자료표[이름],$R588)&gt;0,"명단에 없음(기본자료에는 있음)","명단에 없음"),"동명이인 확인"))))</f>
        <v/>
      </c>
      <c r="Z588">
        <f>IF($R588="","",IF($S588&lt;0,"⚠"&amp;INDEX('입력_구리근무자명단'!$A586:$ZZ586,1,$E$2+2),TEXT($S588,"yyyy-mm-dd")))</f>
        <v/>
      </c>
      <c r="AA588">
        <f>IF($R588="","",IF($T588&lt;0,"⚠"&amp;INDEX('입력_구리근무자명단'!$A586:$ZZ586,1,$E$2+3),TEXT($T588,"yyyy-mm-dd")))</f>
        <v/>
      </c>
      <c r="AB588">
        <f>AB587+IF($R588="",0,1)</f>
        <v/>
      </c>
      <c r="AC588">
        <f>IF($R588="","",$AB588)</f>
        <v/>
      </c>
    </row>
    <row r="589">
      <c r="O589">
        <f>587</f>
        <v/>
      </c>
      <c r="P589">
        <f>IF(TRIM('입력_구리근무자명단'!$A587&amp;"")&lt;&gt;"",TRIM('입력_구리근무자명단'!$A587&amp;""),P588)</f>
        <v/>
      </c>
      <c r="Q589">
        <f>'입력_구리근무자명단'!$B587&amp;""</f>
        <v/>
      </c>
      <c r="R589">
        <f>IF($E$2="","",TRIM(INDEX('입력_구리근무자명단'!$A587:$ZZ587,1,$E$2+IF($G$2="확정",1,0))&amp;""))</f>
        <v/>
      </c>
      <c r="S589">
        <f>IF($R589="","",IF(INDEX('입력_구리근무자명단'!$A587:$ZZ587,1,$E$2+2)&amp;""="",급여기준월,IF(ISNUMBER(INDEX('입력_구리근무자명단'!$A587:$ZZ587,1,$E$2+2)),INDEX('입력_구리근무자명단'!$A587:$ZZ587,1,$E$2+2),IFERROR(DATE(VALUE(LEFT(INDEX('입력_구리근무자명단'!$A587:$ZZ587,1,$E$2+2),4)),VALUE(MID(INDEX('입력_구리근무자명단'!$A587:$ZZ587,1,$E$2+2),6,2)),VALUE(MID(INDEX('입력_구리근무자명단'!$A587:$ZZ587,1,$E$2+2),9,2))),-1))))</f>
        <v/>
      </c>
      <c r="T589">
        <f>IF($R589="","",IF(INDEX('입력_구리근무자명단'!$A587:$ZZ587,1,$E$2+3)&amp;""="",EOMONTH(급여기준월,0),IF(ISNUMBER(INDEX('입력_구리근무자명단'!$A587:$ZZ587,1,$E$2+3)),INDEX('입력_구리근무자명단'!$A587:$ZZ587,1,$E$2+3),IFERROR(DATE(VALUE(LEFT(INDEX('입력_구리근무자명단'!$A587:$ZZ587,1,$E$2+3),4)),VALUE(MID(INDEX('입력_구리근무자명단'!$A587:$ZZ587,1,$E$2+3),6,2)),VALUE(MID(INDEX('입력_구리근무자명단'!$A587:$ZZ587,1,$E$2+3),9,2))),-1))))</f>
        <v/>
      </c>
      <c r="U589">
        <f>IF($R589="","",IF(OR($S589&lt;0,$T589&lt;0),0,MAX(0,MIN($T589,EOMONTH(급여기준월,0))-MAX($S589,급여기준월)+1)))</f>
        <v/>
      </c>
      <c r="V589">
        <f>IF($R589="","",TRIM(INDEX('입력_구리근무자명단'!$A587:$ZZ587,1,$E$2+5)&amp;""))</f>
        <v/>
      </c>
      <c r="W589">
        <f>IF(ISNUMBER(SEARCH("구리독자",$V589)),"구리독자","")</f>
        <v/>
      </c>
      <c r="X589">
        <f>IF($R589="","",$R589&amp;"|"&amp;IF(OR($Q589="인턴",ISNUMBER(SEARCH("수련교육부",$P589))),"인턴",$P589))</f>
        <v/>
      </c>
      <c r="Y589">
        <f>IF($R589="","",IF(COUNTIF(명단표[이름|과],$X589)=1,"명단 일치",IF(AND(COUNTIF(명단표[이름|과],$X589)=0,COUNTIF(명단표[이름],$R589)=1),"명단 일치(이름만, 과 다름)",IF(COUNTIF(명단표[이름],$R589)=0,IF(COUNTIF(기본자료표[이름],$R589)&gt;0,"명단에 없음(기본자료에는 있음)","명단에 없음"),"동명이인 확인"))))</f>
        <v/>
      </c>
      <c r="Z589">
        <f>IF($R589="","",IF($S589&lt;0,"⚠"&amp;INDEX('입력_구리근무자명단'!$A587:$ZZ587,1,$E$2+2),TEXT($S589,"yyyy-mm-dd")))</f>
        <v/>
      </c>
      <c r="AA589">
        <f>IF($R589="","",IF($T589&lt;0,"⚠"&amp;INDEX('입력_구리근무자명단'!$A587:$ZZ587,1,$E$2+3),TEXT($T589,"yyyy-mm-dd")))</f>
        <v/>
      </c>
      <c r="AB589">
        <f>AB588+IF($R589="",0,1)</f>
        <v/>
      </c>
      <c r="AC589">
        <f>IF($R589="","",$AB589)</f>
        <v/>
      </c>
    </row>
    <row r="590">
      <c r="O590">
        <f>588</f>
        <v/>
      </c>
      <c r="P590">
        <f>IF(TRIM('입력_구리근무자명단'!$A588&amp;"")&lt;&gt;"",TRIM('입력_구리근무자명단'!$A588&amp;""),P589)</f>
        <v/>
      </c>
      <c r="Q590">
        <f>'입력_구리근무자명단'!$B588&amp;""</f>
        <v/>
      </c>
      <c r="R590">
        <f>IF($E$2="","",TRIM(INDEX('입력_구리근무자명단'!$A588:$ZZ588,1,$E$2+IF($G$2="확정",1,0))&amp;""))</f>
        <v/>
      </c>
      <c r="S590">
        <f>IF($R590="","",IF(INDEX('입력_구리근무자명단'!$A588:$ZZ588,1,$E$2+2)&amp;""="",급여기준월,IF(ISNUMBER(INDEX('입력_구리근무자명단'!$A588:$ZZ588,1,$E$2+2)),INDEX('입력_구리근무자명단'!$A588:$ZZ588,1,$E$2+2),IFERROR(DATE(VALUE(LEFT(INDEX('입력_구리근무자명단'!$A588:$ZZ588,1,$E$2+2),4)),VALUE(MID(INDEX('입력_구리근무자명단'!$A588:$ZZ588,1,$E$2+2),6,2)),VALUE(MID(INDEX('입력_구리근무자명단'!$A588:$ZZ588,1,$E$2+2),9,2))),-1))))</f>
        <v/>
      </c>
      <c r="T590">
        <f>IF($R590="","",IF(INDEX('입력_구리근무자명단'!$A588:$ZZ588,1,$E$2+3)&amp;""="",EOMONTH(급여기준월,0),IF(ISNUMBER(INDEX('입력_구리근무자명단'!$A588:$ZZ588,1,$E$2+3)),INDEX('입력_구리근무자명단'!$A588:$ZZ588,1,$E$2+3),IFERROR(DATE(VALUE(LEFT(INDEX('입력_구리근무자명단'!$A588:$ZZ588,1,$E$2+3),4)),VALUE(MID(INDEX('입력_구리근무자명단'!$A588:$ZZ588,1,$E$2+3),6,2)),VALUE(MID(INDEX('입력_구리근무자명단'!$A588:$ZZ588,1,$E$2+3),9,2))),-1))))</f>
        <v/>
      </c>
      <c r="U590">
        <f>IF($R590="","",IF(OR($S590&lt;0,$T590&lt;0),0,MAX(0,MIN($T590,EOMONTH(급여기준월,0))-MAX($S590,급여기준월)+1)))</f>
        <v/>
      </c>
      <c r="V590">
        <f>IF($R590="","",TRIM(INDEX('입력_구리근무자명단'!$A588:$ZZ588,1,$E$2+5)&amp;""))</f>
        <v/>
      </c>
      <c r="W590">
        <f>IF(ISNUMBER(SEARCH("구리독자",$V590)),"구리독자","")</f>
        <v/>
      </c>
      <c r="X590">
        <f>IF($R590="","",$R590&amp;"|"&amp;IF(OR($Q590="인턴",ISNUMBER(SEARCH("수련교육부",$P590))),"인턴",$P590))</f>
        <v/>
      </c>
      <c r="Y590">
        <f>IF($R590="","",IF(COUNTIF(명단표[이름|과],$X590)=1,"명단 일치",IF(AND(COUNTIF(명단표[이름|과],$X590)=0,COUNTIF(명단표[이름],$R590)=1),"명단 일치(이름만, 과 다름)",IF(COUNTIF(명단표[이름],$R590)=0,IF(COUNTIF(기본자료표[이름],$R590)&gt;0,"명단에 없음(기본자료에는 있음)","명단에 없음"),"동명이인 확인"))))</f>
        <v/>
      </c>
      <c r="Z590">
        <f>IF($R590="","",IF($S590&lt;0,"⚠"&amp;INDEX('입력_구리근무자명단'!$A588:$ZZ588,1,$E$2+2),TEXT($S590,"yyyy-mm-dd")))</f>
        <v/>
      </c>
      <c r="AA590">
        <f>IF($R590="","",IF($T590&lt;0,"⚠"&amp;INDEX('입력_구리근무자명단'!$A588:$ZZ588,1,$E$2+3),TEXT($T590,"yyyy-mm-dd")))</f>
        <v/>
      </c>
      <c r="AB590">
        <f>AB589+IF($R590="",0,1)</f>
        <v/>
      </c>
      <c r="AC590">
        <f>IF($R590="","",$AB590)</f>
        <v/>
      </c>
    </row>
    <row r="591">
      <c r="O591">
        <f>589</f>
        <v/>
      </c>
      <c r="P591">
        <f>IF(TRIM('입력_구리근무자명단'!$A589&amp;"")&lt;&gt;"",TRIM('입력_구리근무자명단'!$A589&amp;""),P590)</f>
        <v/>
      </c>
      <c r="Q591">
        <f>'입력_구리근무자명단'!$B589&amp;""</f>
        <v/>
      </c>
      <c r="R591">
        <f>IF($E$2="","",TRIM(INDEX('입력_구리근무자명단'!$A589:$ZZ589,1,$E$2+IF($G$2="확정",1,0))&amp;""))</f>
        <v/>
      </c>
      <c r="S591">
        <f>IF($R591="","",IF(INDEX('입력_구리근무자명단'!$A589:$ZZ589,1,$E$2+2)&amp;""="",급여기준월,IF(ISNUMBER(INDEX('입력_구리근무자명단'!$A589:$ZZ589,1,$E$2+2)),INDEX('입력_구리근무자명단'!$A589:$ZZ589,1,$E$2+2),IFERROR(DATE(VALUE(LEFT(INDEX('입력_구리근무자명단'!$A589:$ZZ589,1,$E$2+2),4)),VALUE(MID(INDEX('입력_구리근무자명단'!$A589:$ZZ589,1,$E$2+2),6,2)),VALUE(MID(INDEX('입력_구리근무자명단'!$A589:$ZZ589,1,$E$2+2),9,2))),-1))))</f>
        <v/>
      </c>
      <c r="T591">
        <f>IF($R591="","",IF(INDEX('입력_구리근무자명단'!$A589:$ZZ589,1,$E$2+3)&amp;""="",EOMONTH(급여기준월,0),IF(ISNUMBER(INDEX('입력_구리근무자명단'!$A589:$ZZ589,1,$E$2+3)),INDEX('입력_구리근무자명단'!$A589:$ZZ589,1,$E$2+3),IFERROR(DATE(VALUE(LEFT(INDEX('입력_구리근무자명단'!$A589:$ZZ589,1,$E$2+3),4)),VALUE(MID(INDEX('입력_구리근무자명단'!$A589:$ZZ589,1,$E$2+3),6,2)),VALUE(MID(INDEX('입력_구리근무자명단'!$A589:$ZZ589,1,$E$2+3),9,2))),-1))))</f>
        <v/>
      </c>
      <c r="U591">
        <f>IF($R591="","",IF(OR($S591&lt;0,$T591&lt;0),0,MAX(0,MIN($T591,EOMONTH(급여기준월,0))-MAX($S591,급여기준월)+1)))</f>
        <v/>
      </c>
      <c r="V591">
        <f>IF($R591="","",TRIM(INDEX('입력_구리근무자명단'!$A589:$ZZ589,1,$E$2+5)&amp;""))</f>
        <v/>
      </c>
      <c r="W591">
        <f>IF(ISNUMBER(SEARCH("구리독자",$V591)),"구리독자","")</f>
        <v/>
      </c>
      <c r="X591">
        <f>IF($R591="","",$R591&amp;"|"&amp;IF(OR($Q591="인턴",ISNUMBER(SEARCH("수련교육부",$P591))),"인턴",$P591))</f>
        <v/>
      </c>
      <c r="Y591">
        <f>IF($R591="","",IF(COUNTIF(명단표[이름|과],$X591)=1,"명단 일치",IF(AND(COUNTIF(명단표[이름|과],$X591)=0,COUNTIF(명단표[이름],$R591)=1),"명단 일치(이름만, 과 다름)",IF(COUNTIF(명단표[이름],$R591)=0,IF(COUNTIF(기본자료표[이름],$R591)&gt;0,"명단에 없음(기본자료에는 있음)","명단에 없음"),"동명이인 확인"))))</f>
        <v/>
      </c>
      <c r="Z591">
        <f>IF($R591="","",IF($S591&lt;0,"⚠"&amp;INDEX('입력_구리근무자명단'!$A589:$ZZ589,1,$E$2+2),TEXT($S591,"yyyy-mm-dd")))</f>
        <v/>
      </c>
      <c r="AA591">
        <f>IF($R591="","",IF($T591&lt;0,"⚠"&amp;INDEX('입력_구리근무자명단'!$A589:$ZZ589,1,$E$2+3),TEXT($T591,"yyyy-mm-dd")))</f>
        <v/>
      </c>
      <c r="AB591">
        <f>AB590+IF($R591="",0,1)</f>
        <v/>
      </c>
      <c r="AC591">
        <f>IF($R591="","",$AB591)</f>
        <v/>
      </c>
    </row>
    <row r="592">
      <c r="O592">
        <f>590</f>
        <v/>
      </c>
      <c r="P592">
        <f>IF(TRIM('입력_구리근무자명단'!$A590&amp;"")&lt;&gt;"",TRIM('입력_구리근무자명단'!$A590&amp;""),P591)</f>
        <v/>
      </c>
      <c r="Q592">
        <f>'입력_구리근무자명단'!$B590&amp;""</f>
        <v/>
      </c>
      <c r="R592">
        <f>IF($E$2="","",TRIM(INDEX('입력_구리근무자명단'!$A590:$ZZ590,1,$E$2+IF($G$2="확정",1,0))&amp;""))</f>
        <v/>
      </c>
      <c r="S592">
        <f>IF($R592="","",IF(INDEX('입력_구리근무자명단'!$A590:$ZZ590,1,$E$2+2)&amp;""="",급여기준월,IF(ISNUMBER(INDEX('입력_구리근무자명단'!$A590:$ZZ590,1,$E$2+2)),INDEX('입력_구리근무자명단'!$A590:$ZZ590,1,$E$2+2),IFERROR(DATE(VALUE(LEFT(INDEX('입력_구리근무자명단'!$A590:$ZZ590,1,$E$2+2),4)),VALUE(MID(INDEX('입력_구리근무자명단'!$A590:$ZZ590,1,$E$2+2),6,2)),VALUE(MID(INDEX('입력_구리근무자명단'!$A590:$ZZ590,1,$E$2+2),9,2))),-1))))</f>
        <v/>
      </c>
      <c r="T592">
        <f>IF($R592="","",IF(INDEX('입력_구리근무자명단'!$A590:$ZZ590,1,$E$2+3)&amp;""="",EOMONTH(급여기준월,0),IF(ISNUMBER(INDEX('입력_구리근무자명단'!$A590:$ZZ590,1,$E$2+3)),INDEX('입력_구리근무자명단'!$A590:$ZZ590,1,$E$2+3),IFERROR(DATE(VALUE(LEFT(INDEX('입력_구리근무자명단'!$A590:$ZZ590,1,$E$2+3),4)),VALUE(MID(INDEX('입력_구리근무자명단'!$A590:$ZZ590,1,$E$2+3),6,2)),VALUE(MID(INDEX('입력_구리근무자명단'!$A590:$ZZ590,1,$E$2+3),9,2))),-1))))</f>
        <v/>
      </c>
      <c r="U592">
        <f>IF($R592="","",IF(OR($S592&lt;0,$T592&lt;0),0,MAX(0,MIN($T592,EOMONTH(급여기준월,0))-MAX($S592,급여기준월)+1)))</f>
        <v/>
      </c>
      <c r="V592">
        <f>IF($R592="","",TRIM(INDEX('입력_구리근무자명단'!$A590:$ZZ590,1,$E$2+5)&amp;""))</f>
        <v/>
      </c>
      <c r="W592">
        <f>IF(ISNUMBER(SEARCH("구리독자",$V592)),"구리독자","")</f>
        <v/>
      </c>
      <c r="X592">
        <f>IF($R592="","",$R592&amp;"|"&amp;IF(OR($Q592="인턴",ISNUMBER(SEARCH("수련교육부",$P592))),"인턴",$P592))</f>
        <v/>
      </c>
      <c r="Y592">
        <f>IF($R592="","",IF(COUNTIF(명단표[이름|과],$X592)=1,"명단 일치",IF(AND(COUNTIF(명단표[이름|과],$X592)=0,COUNTIF(명단표[이름],$R592)=1),"명단 일치(이름만, 과 다름)",IF(COUNTIF(명단표[이름],$R592)=0,IF(COUNTIF(기본자료표[이름],$R592)&gt;0,"명단에 없음(기본자료에는 있음)","명단에 없음"),"동명이인 확인"))))</f>
        <v/>
      </c>
      <c r="Z592">
        <f>IF($R592="","",IF($S592&lt;0,"⚠"&amp;INDEX('입력_구리근무자명단'!$A590:$ZZ590,1,$E$2+2),TEXT($S592,"yyyy-mm-dd")))</f>
        <v/>
      </c>
      <c r="AA592">
        <f>IF($R592="","",IF($T592&lt;0,"⚠"&amp;INDEX('입력_구리근무자명단'!$A590:$ZZ590,1,$E$2+3),TEXT($T592,"yyyy-mm-dd")))</f>
        <v/>
      </c>
      <c r="AB592">
        <f>AB591+IF($R592="",0,1)</f>
        <v/>
      </c>
      <c r="AC592">
        <f>IF($R592="","",$AB592)</f>
        <v/>
      </c>
    </row>
    <row r="593">
      <c r="O593">
        <f>591</f>
        <v/>
      </c>
      <c r="P593">
        <f>IF(TRIM('입력_구리근무자명단'!$A591&amp;"")&lt;&gt;"",TRIM('입력_구리근무자명단'!$A591&amp;""),P592)</f>
        <v/>
      </c>
      <c r="Q593">
        <f>'입력_구리근무자명단'!$B591&amp;""</f>
        <v/>
      </c>
      <c r="R593">
        <f>IF($E$2="","",TRIM(INDEX('입력_구리근무자명단'!$A591:$ZZ591,1,$E$2+IF($G$2="확정",1,0))&amp;""))</f>
        <v/>
      </c>
      <c r="S593">
        <f>IF($R593="","",IF(INDEX('입력_구리근무자명단'!$A591:$ZZ591,1,$E$2+2)&amp;""="",급여기준월,IF(ISNUMBER(INDEX('입력_구리근무자명단'!$A591:$ZZ591,1,$E$2+2)),INDEX('입력_구리근무자명단'!$A591:$ZZ591,1,$E$2+2),IFERROR(DATE(VALUE(LEFT(INDEX('입력_구리근무자명단'!$A591:$ZZ591,1,$E$2+2),4)),VALUE(MID(INDEX('입력_구리근무자명단'!$A591:$ZZ591,1,$E$2+2),6,2)),VALUE(MID(INDEX('입력_구리근무자명단'!$A591:$ZZ591,1,$E$2+2),9,2))),-1))))</f>
        <v/>
      </c>
      <c r="T593">
        <f>IF($R593="","",IF(INDEX('입력_구리근무자명단'!$A591:$ZZ591,1,$E$2+3)&amp;""="",EOMONTH(급여기준월,0),IF(ISNUMBER(INDEX('입력_구리근무자명단'!$A591:$ZZ591,1,$E$2+3)),INDEX('입력_구리근무자명단'!$A591:$ZZ591,1,$E$2+3),IFERROR(DATE(VALUE(LEFT(INDEX('입력_구리근무자명단'!$A591:$ZZ591,1,$E$2+3),4)),VALUE(MID(INDEX('입력_구리근무자명단'!$A591:$ZZ591,1,$E$2+3),6,2)),VALUE(MID(INDEX('입력_구리근무자명단'!$A591:$ZZ591,1,$E$2+3),9,2))),-1))))</f>
        <v/>
      </c>
      <c r="U593">
        <f>IF($R593="","",IF(OR($S593&lt;0,$T593&lt;0),0,MAX(0,MIN($T593,EOMONTH(급여기준월,0))-MAX($S593,급여기준월)+1)))</f>
        <v/>
      </c>
      <c r="V593">
        <f>IF($R593="","",TRIM(INDEX('입력_구리근무자명단'!$A591:$ZZ591,1,$E$2+5)&amp;""))</f>
        <v/>
      </c>
      <c r="W593">
        <f>IF(ISNUMBER(SEARCH("구리독자",$V593)),"구리독자","")</f>
        <v/>
      </c>
      <c r="X593">
        <f>IF($R593="","",$R593&amp;"|"&amp;IF(OR($Q593="인턴",ISNUMBER(SEARCH("수련교육부",$P593))),"인턴",$P593))</f>
        <v/>
      </c>
      <c r="Y593">
        <f>IF($R593="","",IF(COUNTIF(명단표[이름|과],$X593)=1,"명단 일치",IF(AND(COUNTIF(명단표[이름|과],$X593)=0,COUNTIF(명단표[이름],$R593)=1),"명단 일치(이름만, 과 다름)",IF(COUNTIF(명단표[이름],$R593)=0,IF(COUNTIF(기본자료표[이름],$R593)&gt;0,"명단에 없음(기본자료에는 있음)","명단에 없음"),"동명이인 확인"))))</f>
        <v/>
      </c>
      <c r="Z593">
        <f>IF($R593="","",IF($S593&lt;0,"⚠"&amp;INDEX('입력_구리근무자명단'!$A591:$ZZ591,1,$E$2+2),TEXT($S593,"yyyy-mm-dd")))</f>
        <v/>
      </c>
      <c r="AA593">
        <f>IF($R593="","",IF($T593&lt;0,"⚠"&amp;INDEX('입력_구리근무자명단'!$A591:$ZZ591,1,$E$2+3),TEXT($T593,"yyyy-mm-dd")))</f>
        <v/>
      </c>
      <c r="AB593">
        <f>AB592+IF($R593="",0,1)</f>
        <v/>
      </c>
      <c r="AC593">
        <f>IF($R593="","",$AB593)</f>
        <v/>
      </c>
    </row>
    <row r="594">
      <c r="O594">
        <f>592</f>
        <v/>
      </c>
      <c r="P594">
        <f>IF(TRIM('입력_구리근무자명단'!$A592&amp;"")&lt;&gt;"",TRIM('입력_구리근무자명단'!$A592&amp;""),P593)</f>
        <v/>
      </c>
      <c r="Q594">
        <f>'입력_구리근무자명단'!$B592&amp;""</f>
        <v/>
      </c>
      <c r="R594">
        <f>IF($E$2="","",TRIM(INDEX('입력_구리근무자명단'!$A592:$ZZ592,1,$E$2+IF($G$2="확정",1,0))&amp;""))</f>
        <v/>
      </c>
      <c r="S594">
        <f>IF($R594="","",IF(INDEX('입력_구리근무자명단'!$A592:$ZZ592,1,$E$2+2)&amp;""="",급여기준월,IF(ISNUMBER(INDEX('입력_구리근무자명단'!$A592:$ZZ592,1,$E$2+2)),INDEX('입력_구리근무자명단'!$A592:$ZZ592,1,$E$2+2),IFERROR(DATE(VALUE(LEFT(INDEX('입력_구리근무자명단'!$A592:$ZZ592,1,$E$2+2),4)),VALUE(MID(INDEX('입력_구리근무자명단'!$A592:$ZZ592,1,$E$2+2),6,2)),VALUE(MID(INDEX('입력_구리근무자명단'!$A592:$ZZ592,1,$E$2+2),9,2))),-1))))</f>
        <v/>
      </c>
      <c r="T594">
        <f>IF($R594="","",IF(INDEX('입력_구리근무자명단'!$A592:$ZZ592,1,$E$2+3)&amp;""="",EOMONTH(급여기준월,0),IF(ISNUMBER(INDEX('입력_구리근무자명단'!$A592:$ZZ592,1,$E$2+3)),INDEX('입력_구리근무자명단'!$A592:$ZZ592,1,$E$2+3),IFERROR(DATE(VALUE(LEFT(INDEX('입력_구리근무자명단'!$A592:$ZZ592,1,$E$2+3),4)),VALUE(MID(INDEX('입력_구리근무자명단'!$A592:$ZZ592,1,$E$2+3),6,2)),VALUE(MID(INDEX('입력_구리근무자명단'!$A592:$ZZ592,1,$E$2+3),9,2))),-1))))</f>
        <v/>
      </c>
      <c r="U594">
        <f>IF($R594="","",IF(OR($S594&lt;0,$T594&lt;0),0,MAX(0,MIN($T594,EOMONTH(급여기준월,0))-MAX($S594,급여기준월)+1)))</f>
        <v/>
      </c>
      <c r="V594">
        <f>IF($R594="","",TRIM(INDEX('입력_구리근무자명단'!$A592:$ZZ592,1,$E$2+5)&amp;""))</f>
        <v/>
      </c>
      <c r="W594">
        <f>IF(ISNUMBER(SEARCH("구리독자",$V594)),"구리독자","")</f>
        <v/>
      </c>
      <c r="X594">
        <f>IF($R594="","",$R594&amp;"|"&amp;IF(OR($Q594="인턴",ISNUMBER(SEARCH("수련교육부",$P594))),"인턴",$P594))</f>
        <v/>
      </c>
      <c r="Y594">
        <f>IF($R594="","",IF(COUNTIF(명단표[이름|과],$X594)=1,"명단 일치",IF(AND(COUNTIF(명단표[이름|과],$X594)=0,COUNTIF(명단표[이름],$R594)=1),"명단 일치(이름만, 과 다름)",IF(COUNTIF(명단표[이름],$R594)=0,IF(COUNTIF(기본자료표[이름],$R594)&gt;0,"명단에 없음(기본자료에는 있음)","명단에 없음"),"동명이인 확인"))))</f>
        <v/>
      </c>
      <c r="Z594">
        <f>IF($R594="","",IF($S594&lt;0,"⚠"&amp;INDEX('입력_구리근무자명단'!$A592:$ZZ592,1,$E$2+2),TEXT($S594,"yyyy-mm-dd")))</f>
        <v/>
      </c>
      <c r="AA594">
        <f>IF($R594="","",IF($T594&lt;0,"⚠"&amp;INDEX('입력_구리근무자명단'!$A592:$ZZ592,1,$E$2+3),TEXT($T594,"yyyy-mm-dd")))</f>
        <v/>
      </c>
      <c r="AB594">
        <f>AB593+IF($R594="",0,1)</f>
        <v/>
      </c>
      <c r="AC594">
        <f>IF($R594="","",$AB594)</f>
        <v/>
      </c>
    </row>
    <row r="595">
      <c r="O595">
        <f>593</f>
        <v/>
      </c>
      <c r="P595">
        <f>IF(TRIM('입력_구리근무자명단'!$A593&amp;"")&lt;&gt;"",TRIM('입력_구리근무자명단'!$A593&amp;""),P594)</f>
        <v/>
      </c>
      <c r="Q595">
        <f>'입력_구리근무자명단'!$B593&amp;""</f>
        <v/>
      </c>
      <c r="R595">
        <f>IF($E$2="","",TRIM(INDEX('입력_구리근무자명단'!$A593:$ZZ593,1,$E$2+IF($G$2="확정",1,0))&amp;""))</f>
        <v/>
      </c>
      <c r="S595">
        <f>IF($R595="","",IF(INDEX('입력_구리근무자명단'!$A593:$ZZ593,1,$E$2+2)&amp;""="",급여기준월,IF(ISNUMBER(INDEX('입력_구리근무자명단'!$A593:$ZZ593,1,$E$2+2)),INDEX('입력_구리근무자명단'!$A593:$ZZ593,1,$E$2+2),IFERROR(DATE(VALUE(LEFT(INDEX('입력_구리근무자명단'!$A593:$ZZ593,1,$E$2+2),4)),VALUE(MID(INDEX('입력_구리근무자명단'!$A593:$ZZ593,1,$E$2+2),6,2)),VALUE(MID(INDEX('입력_구리근무자명단'!$A593:$ZZ593,1,$E$2+2),9,2))),-1))))</f>
        <v/>
      </c>
      <c r="T595">
        <f>IF($R595="","",IF(INDEX('입력_구리근무자명단'!$A593:$ZZ593,1,$E$2+3)&amp;""="",EOMONTH(급여기준월,0),IF(ISNUMBER(INDEX('입력_구리근무자명단'!$A593:$ZZ593,1,$E$2+3)),INDEX('입력_구리근무자명단'!$A593:$ZZ593,1,$E$2+3),IFERROR(DATE(VALUE(LEFT(INDEX('입력_구리근무자명단'!$A593:$ZZ593,1,$E$2+3),4)),VALUE(MID(INDEX('입력_구리근무자명단'!$A593:$ZZ593,1,$E$2+3),6,2)),VALUE(MID(INDEX('입력_구리근무자명단'!$A593:$ZZ593,1,$E$2+3),9,2))),-1))))</f>
        <v/>
      </c>
      <c r="U595">
        <f>IF($R595="","",IF(OR($S595&lt;0,$T595&lt;0),0,MAX(0,MIN($T595,EOMONTH(급여기준월,0))-MAX($S595,급여기준월)+1)))</f>
        <v/>
      </c>
      <c r="V595">
        <f>IF($R595="","",TRIM(INDEX('입력_구리근무자명단'!$A593:$ZZ593,1,$E$2+5)&amp;""))</f>
        <v/>
      </c>
      <c r="W595">
        <f>IF(ISNUMBER(SEARCH("구리독자",$V595)),"구리독자","")</f>
        <v/>
      </c>
      <c r="X595">
        <f>IF($R595="","",$R595&amp;"|"&amp;IF(OR($Q595="인턴",ISNUMBER(SEARCH("수련교육부",$P595))),"인턴",$P595))</f>
        <v/>
      </c>
      <c r="Y595">
        <f>IF($R595="","",IF(COUNTIF(명단표[이름|과],$X595)=1,"명단 일치",IF(AND(COUNTIF(명단표[이름|과],$X595)=0,COUNTIF(명단표[이름],$R595)=1),"명단 일치(이름만, 과 다름)",IF(COUNTIF(명단표[이름],$R595)=0,IF(COUNTIF(기본자료표[이름],$R595)&gt;0,"명단에 없음(기본자료에는 있음)","명단에 없음"),"동명이인 확인"))))</f>
        <v/>
      </c>
      <c r="Z595">
        <f>IF($R595="","",IF($S595&lt;0,"⚠"&amp;INDEX('입력_구리근무자명단'!$A593:$ZZ593,1,$E$2+2),TEXT($S595,"yyyy-mm-dd")))</f>
        <v/>
      </c>
      <c r="AA595">
        <f>IF($R595="","",IF($T595&lt;0,"⚠"&amp;INDEX('입력_구리근무자명단'!$A593:$ZZ593,1,$E$2+3),TEXT($T595,"yyyy-mm-dd")))</f>
        <v/>
      </c>
      <c r="AB595">
        <f>AB594+IF($R595="",0,1)</f>
        <v/>
      </c>
      <c r="AC595">
        <f>IF($R595="","",$AB595)</f>
        <v/>
      </c>
    </row>
    <row r="596">
      <c r="O596">
        <f>594</f>
        <v/>
      </c>
      <c r="P596">
        <f>IF(TRIM('입력_구리근무자명단'!$A594&amp;"")&lt;&gt;"",TRIM('입력_구리근무자명단'!$A594&amp;""),P595)</f>
        <v/>
      </c>
      <c r="Q596">
        <f>'입력_구리근무자명단'!$B594&amp;""</f>
        <v/>
      </c>
      <c r="R596">
        <f>IF($E$2="","",TRIM(INDEX('입력_구리근무자명단'!$A594:$ZZ594,1,$E$2+IF($G$2="확정",1,0))&amp;""))</f>
        <v/>
      </c>
      <c r="S596">
        <f>IF($R596="","",IF(INDEX('입력_구리근무자명단'!$A594:$ZZ594,1,$E$2+2)&amp;""="",급여기준월,IF(ISNUMBER(INDEX('입력_구리근무자명단'!$A594:$ZZ594,1,$E$2+2)),INDEX('입력_구리근무자명단'!$A594:$ZZ594,1,$E$2+2),IFERROR(DATE(VALUE(LEFT(INDEX('입력_구리근무자명단'!$A594:$ZZ594,1,$E$2+2),4)),VALUE(MID(INDEX('입력_구리근무자명단'!$A594:$ZZ594,1,$E$2+2),6,2)),VALUE(MID(INDEX('입력_구리근무자명단'!$A594:$ZZ594,1,$E$2+2),9,2))),-1))))</f>
        <v/>
      </c>
      <c r="T596">
        <f>IF($R596="","",IF(INDEX('입력_구리근무자명단'!$A594:$ZZ594,1,$E$2+3)&amp;""="",EOMONTH(급여기준월,0),IF(ISNUMBER(INDEX('입력_구리근무자명단'!$A594:$ZZ594,1,$E$2+3)),INDEX('입력_구리근무자명단'!$A594:$ZZ594,1,$E$2+3),IFERROR(DATE(VALUE(LEFT(INDEX('입력_구리근무자명단'!$A594:$ZZ594,1,$E$2+3),4)),VALUE(MID(INDEX('입력_구리근무자명단'!$A594:$ZZ594,1,$E$2+3),6,2)),VALUE(MID(INDEX('입력_구리근무자명단'!$A594:$ZZ594,1,$E$2+3),9,2))),-1))))</f>
        <v/>
      </c>
      <c r="U596">
        <f>IF($R596="","",IF(OR($S596&lt;0,$T596&lt;0),0,MAX(0,MIN($T596,EOMONTH(급여기준월,0))-MAX($S596,급여기준월)+1)))</f>
        <v/>
      </c>
      <c r="V596">
        <f>IF($R596="","",TRIM(INDEX('입력_구리근무자명단'!$A594:$ZZ594,1,$E$2+5)&amp;""))</f>
        <v/>
      </c>
      <c r="W596">
        <f>IF(ISNUMBER(SEARCH("구리독자",$V596)),"구리독자","")</f>
        <v/>
      </c>
      <c r="X596">
        <f>IF($R596="","",$R596&amp;"|"&amp;IF(OR($Q596="인턴",ISNUMBER(SEARCH("수련교육부",$P596))),"인턴",$P596))</f>
        <v/>
      </c>
      <c r="Y596">
        <f>IF($R596="","",IF(COUNTIF(명단표[이름|과],$X596)=1,"명단 일치",IF(AND(COUNTIF(명단표[이름|과],$X596)=0,COUNTIF(명단표[이름],$R596)=1),"명단 일치(이름만, 과 다름)",IF(COUNTIF(명단표[이름],$R596)=0,IF(COUNTIF(기본자료표[이름],$R596)&gt;0,"명단에 없음(기본자료에는 있음)","명단에 없음"),"동명이인 확인"))))</f>
        <v/>
      </c>
      <c r="Z596">
        <f>IF($R596="","",IF($S596&lt;0,"⚠"&amp;INDEX('입력_구리근무자명단'!$A594:$ZZ594,1,$E$2+2),TEXT($S596,"yyyy-mm-dd")))</f>
        <v/>
      </c>
      <c r="AA596">
        <f>IF($R596="","",IF($T596&lt;0,"⚠"&amp;INDEX('입력_구리근무자명단'!$A594:$ZZ594,1,$E$2+3),TEXT($T596,"yyyy-mm-dd")))</f>
        <v/>
      </c>
      <c r="AB596">
        <f>AB595+IF($R596="",0,1)</f>
        <v/>
      </c>
      <c r="AC596">
        <f>IF($R596="","",$AB596)</f>
        <v/>
      </c>
    </row>
    <row r="597">
      <c r="O597">
        <f>595</f>
        <v/>
      </c>
      <c r="P597">
        <f>IF(TRIM('입력_구리근무자명단'!$A595&amp;"")&lt;&gt;"",TRIM('입력_구리근무자명단'!$A595&amp;""),P596)</f>
        <v/>
      </c>
      <c r="Q597">
        <f>'입력_구리근무자명단'!$B595&amp;""</f>
        <v/>
      </c>
      <c r="R597">
        <f>IF($E$2="","",TRIM(INDEX('입력_구리근무자명단'!$A595:$ZZ595,1,$E$2+IF($G$2="확정",1,0))&amp;""))</f>
        <v/>
      </c>
      <c r="S597">
        <f>IF($R597="","",IF(INDEX('입력_구리근무자명단'!$A595:$ZZ595,1,$E$2+2)&amp;""="",급여기준월,IF(ISNUMBER(INDEX('입력_구리근무자명단'!$A595:$ZZ595,1,$E$2+2)),INDEX('입력_구리근무자명단'!$A595:$ZZ595,1,$E$2+2),IFERROR(DATE(VALUE(LEFT(INDEX('입력_구리근무자명단'!$A595:$ZZ595,1,$E$2+2),4)),VALUE(MID(INDEX('입력_구리근무자명단'!$A595:$ZZ595,1,$E$2+2),6,2)),VALUE(MID(INDEX('입력_구리근무자명단'!$A595:$ZZ595,1,$E$2+2),9,2))),-1))))</f>
        <v/>
      </c>
      <c r="T597">
        <f>IF($R597="","",IF(INDEX('입력_구리근무자명단'!$A595:$ZZ595,1,$E$2+3)&amp;""="",EOMONTH(급여기준월,0),IF(ISNUMBER(INDEX('입력_구리근무자명단'!$A595:$ZZ595,1,$E$2+3)),INDEX('입력_구리근무자명단'!$A595:$ZZ595,1,$E$2+3),IFERROR(DATE(VALUE(LEFT(INDEX('입력_구리근무자명단'!$A595:$ZZ595,1,$E$2+3),4)),VALUE(MID(INDEX('입력_구리근무자명단'!$A595:$ZZ595,1,$E$2+3),6,2)),VALUE(MID(INDEX('입력_구리근무자명단'!$A595:$ZZ595,1,$E$2+3),9,2))),-1))))</f>
        <v/>
      </c>
      <c r="U597">
        <f>IF($R597="","",IF(OR($S597&lt;0,$T597&lt;0),0,MAX(0,MIN($T597,EOMONTH(급여기준월,0))-MAX($S597,급여기준월)+1)))</f>
        <v/>
      </c>
      <c r="V597">
        <f>IF($R597="","",TRIM(INDEX('입력_구리근무자명단'!$A595:$ZZ595,1,$E$2+5)&amp;""))</f>
        <v/>
      </c>
      <c r="W597">
        <f>IF(ISNUMBER(SEARCH("구리독자",$V597)),"구리독자","")</f>
        <v/>
      </c>
      <c r="X597">
        <f>IF($R597="","",$R597&amp;"|"&amp;IF(OR($Q597="인턴",ISNUMBER(SEARCH("수련교육부",$P597))),"인턴",$P597))</f>
        <v/>
      </c>
      <c r="Y597">
        <f>IF($R597="","",IF(COUNTIF(명단표[이름|과],$X597)=1,"명단 일치",IF(AND(COUNTIF(명단표[이름|과],$X597)=0,COUNTIF(명단표[이름],$R597)=1),"명단 일치(이름만, 과 다름)",IF(COUNTIF(명단표[이름],$R597)=0,IF(COUNTIF(기본자료표[이름],$R597)&gt;0,"명단에 없음(기본자료에는 있음)","명단에 없음"),"동명이인 확인"))))</f>
        <v/>
      </c>
      <c r="Z597">
        <f>IF($R597="","",IF($S597&lt;0,"⚠"&amp;INDEX('입력_구리근무자명단'!$A595:$ZZ595,1,$E$2+2),TEXT($S597,"yyyy-mm-dd")))</f>
        <v/>
      </c>
      <c r="AA597">
        <f>IF($R597="","",IF($T597&lt;0,"⚠"&amp;INDEX('입력_구리근무자명단'!$A595:$ZZ595,1,$E$2+3),TEXT($T597,"yyyy-mm-dd")))</f>
        <v/>
      </c>
      <c r="AB597">
        <f>AB596+IF($R597="",0,1)</f>
        <v/>
      </c>
      <c r="AC597">
        <f>IF($R597="","",$AB597)</f>
        <v/>
      </c>
    </row>
    <row r="598">
      <c r="O598">
        <f>596</f>
        <v/>
      </c>
      <c r="P598">
        <f>IF(TRIM('입력_구리근무자명단'!$A596&amp;"")&lt;&gt;"",TRIM('입력_구리근무자명단'!$A596&amp;""),P597)</f>
        <v/>
      </c>
      <c r="Q598">
        <f>'입력_구리근무자명단'!$B596&amp;""</f>
        <v/>
      </c>
      <c r="R598">
        <f>IF($E$2="","",TRIM(INDEX('입력_구리근무자명단'!$A596:$ZZ596,1,$E$2+IF($G$2="확정",1,0))&amp;""))</f>
        <v/>
      </c>
      <c r="S598">
        <f>IF($R598="","",IF(INDEX('입력_구리근무자명단'!$A596:$ZZ596,1,$E$2+2)&amp;""="",급여기준월,IF(ISNUMBER(INDEX('입력_구리근무자명단'!$A596:$ZZ596,1,$E$2+2)),INDEX('입력_구리근무자명단'!$A596:$ZZ596,1,$E$2+2),IFERROR(DATE(VALUE(LEFT(INDEX('입력_구리근무자명단'!$A596:$ZZ596,1,$E$2+2),4)),VALUE(MID(INDEX('입력_구리근무자명단'!$A596:$ZZ596,1,$E$2+2),6,2)),VALUE(MID(INDEX('입력_구리근무자명단'!$A596:$ZZ596,1,$E$2+2),9,2))),-1))))</f>
        <v/>
      </c>
      <c r="T598">
        <f>IF($R598="","",IF(INDEX('입력_구리근무자명단'!$A596:$ZZ596,1,$E$2+3)&amp;""="",EOMONTH(급여기준월,0),IF(ISNUMBER(INDEX('입력_구리근무자명단'!$A596:$ZZ596,1,$E$2+3)),INDEX('입력_구리근무자명단'!$A596:$ZZ596,1,$E$2+3),IFERROR(DATE(VALUE(LEFT(INDEX('입력_구리근무자명단'!$A596:$ZZ596,1,$E$2+3),4)),VALUE(MID(INDEX('입력_구리근무자명단'!$A596:$ZZ596,1,$E$2+3),6,2)),VALUE(MID(INDEX('입력_구리근무자명단'!$A596:$ZZ596,1,$E$2+3),9,2))),-1))))</f>
        <v/>
      </c>
      <c r="U598">
        <f>IF($R598="","",IF(OR($S598&lt;0,$T598&lt;0),0,MAX(0,MIN($T598,EOMONTH(급여기준월,0))-MAX($S598,급여기준월)+1)))</f>
        <v/>
      </c>
      <c r="V598">
        <f>IF($R598="","",TRIM(INDEX('입력_구리근무자명단'!$A596:$ZZ596,1,$E$2+5)&amp;""))</f>
        <v/>
      </c>
      <c r="W598">
        <f>IF(ISNUMBER(SEARCH("구리독자",$V598)),"구리독자","")</f>
        <v/>
      </c>
      <c r="X598">
        <f>IF($R598="","",$R598&amp;"|"&amp;IF(OR($Q598="인턴",ISNUMBER(SEARCH("수련교육부",$P598))),"인턴",$P598))</f>
        <v/>
      </c>
      <c r="Y598">
        <f>IF($R598="","",IF(COUNTIF(명단표[이름|과],$X598)=1,"명단 일치",IF(AND(COUNTIF(명단표[이름|과],$X598)=0,COUNTIF(명단표[이름],$R598)=1),"명단 일치(이름만, 과 다름)",IF(COUNTIF(명단표[이름],$R598)=0,IF(COUNTIF(기본자료표[이름],$R598)&gt;0,"명단에 없음(기본자료에는 있음)","명단에 없음"),"동명이인 확인"))))</f>
        <v/>
      </c>
      <c r="Z598">
        <f>IF($R598="","",IF($S598&lt;0,"⚠"&amp;INDEX('입력_구리근무자명단'!$A596:$ZZ596,1,$E$2+2),TEXT($S598,"yyyy-mm-dd")))</f>
        <v/>
      </c>
      <c r="AA598">
        <f>IF($R598="","",IF($T598&lt;0,"⚠"&amp;INDEX('입력_구리근무자명단'!$A596:$ZZ596,1,$E$2+3),TEXT($T598,"yyyy-mm-dd")))</f>
        <v/>
      </c>
      <c r="AB598">
        <f>AB597+IF($R598="",0,1)</f>
        <v/>
      </c>
      <c r="AC598">
        <f>IF($R598="","",$AB598)</f>
        <v/>
      </c>
    </row>
    <row r="599">
      <c r="O599">
        <f>597</f>
        <v/>
      </c>
      <c r="P599">
        <f>IF(TRIM('입력_구리근무자명단'!$A597&amp;"")&lt;&gt;"",TRIM('입력_구리근무자명단'!$A597&amp;""),P598)</f>
        <v/>
      </c>
      <c r="Q599">
        <f>'입력_구리근무자명단'!$B597&amp;""</f>
        <v/>
      </c>
      <c r="R599">
        <f>IF($E$2="","",TRIM(INDEX('입력_구리근무자명단'!$A597:$ZZ597,1,$E$2+IF($G$2="확정",1,0))&amp;""))</f>
        <v/>
      </c>
      <c r="S599">
        <f>IF($R599="","",IF(INDEX('입력_구리근무자명단'!$A597:$ZZ597,1,$E$2+2)&amp;""="",급여기준월,IF(ISNUMBER(INDEX('입력_구리근무자명단'!$A597:$ZZ597,1,$E$2+2)),INDEX('입력_구리근무자명단'!$A597:$ZZ597,1,$E$2+2),IFERROR(DATE(VALUE(LEFT(INDEX('입력_구리근무자명단'!$A597:$ZZ597,1,$E$2+2),4)),VALUE(MID(INDEX('입력_구리근무자명단'!$A597:$ZZ597,1,$E$2+2),6,2)),VALUE(MID(INDEX('입력_구리근무자명단'!$A597:$ZZ597,1,$E$2+2),9,2))),-1))))</f>
        <v/>
      </c>
      <c r="T599">
        <f>IF($R599="","",IF(INDEX('입력_구리근무자명단'!$A597:$ZZ597,1,$E$2+3)&amp;""="",EOMONTH(급여기준월,0),IF(ISNUMBER(INDEX('입력_구리근무자명단'!$A597:$ZZ597,1,$E$2+3)),INDEX('입력_구리근무자명단'!$A597:$ZZ597,1,$E$2+3),IFERROR(DATE(VALUE(LEFT(INDEX('입력_구리근무자명단'!$A597:$ZZ597,1,$E$2+3),4)),VALUE(MID(INDEX('입력_구리근무자명단'!$A597:$ZZ597,1,$E$2+3),6,2)),VALUE(MID(INDEX('입력_구리근무자명단'!$A597:$ZZ597,1,$E$2+3),9,2))),-1))))</f>
        <v/>
      </c>
      <c r="U599">
        <f>IF($R599="","",IF(OR($S599&lt;0,$T599&lt;0),0,MAX(0,MIN($T599,EOMONTH(급여기준월,0))-MAX($S599,급여기준월)+1)))</f>
        <v/>
      </c>
      <c r="V599">
        <f>IF($R599="","",TRIM(INDEX('입력_구리근무자명단'!$A597:$ZZ597,1,$E$2+5)&amp;""))</f>
        <v/>
      </c>
      <c r="W599">
        <f>IF(ISNUMBER(SEARCH("구리독자",$V599)),"구리독자","")</f>
        <v/>
      </c>
      <c r="X599">
        <f>IF($R599="","",$R599&amp;"|"&amp;IF(OR($Q599="인턴",ISNUMBER(SEARCH("수련교육부",$P599))),"인턴",$P599))</f>
        <v/>
      </c>
      <c r="Y599">
        <f>IF($R599="","",IF(COUNTIF(명단표[이름|과],$X599)=1,"명단 일치",IF(AND(COUNTIF(명단표[이름|과],$X599)=0,COUNTIF(명단표[이름],$R599)=1),"명단 일치(이름만, 과 다름)",IF(COUNTIF(명단표[이름],$R599)=0,IF(COUNTIF(기본자료표[이름],$R599)&gt;0,"명단에 없음(기본자료에는 있음)","명단에 없음"),"동명이인 확인"))))</f>
        <v/>
      </c>
      <c r="Z599">
        <f>IF($R599="","",IF($S599&lt;0,"⚠"&amp;INDEX('입력_구리근무자명단'!$A597:$ZZ597,1,$E$2+2),TEXT($S599,"yyyy-mm-dd")))</f>
        <v/>
      </c>
      <c r="AA599">
        <f>IF($R599="","",IF($T599&lt;0,"⚠"&amp;INDEX('입력_구리근무자명단'!$A597:$ZZ597,1,$E$2+3),TEXT($T599,"yyyy-mm-dd")))</f>
        <v/>
      </c>
      <c r="AB599">
        <f>AB598+IF($R599="",0,1)</f>
        <v/>
      </c>
      <c r="AC599">
        <f>IF($R599="","",$AB599)</f>
        <v/>
      </c>
    </row>
    <row r="600">
      <c r="O600">
        <f>598</f>
        <v/>
      </c>
      <c r="P600">
        <f>IF(TRIM('입력_구리근무자명단'!$A598&amp;"")&lt;&gt;"",TRIM('입력_구리근무자명단'!$A598&amp;""),P599)</f>
        <v/>
      </c>
      <c r="Q600">
        <f>'입력_구리근무자명단'!$B598&amp;""</f>
        <v/>
      </c>
      <c r="R600">
        <f>IF($E$2="","",TRIM(INDEX('입력_구리근무자명단'!$A598:$ZZ598,1,$E$2+IF($G$2="확정",1,0))&amp;""))</f>
        <v/>
      </c>
      <c r="S600">
        <f>IF($R600="","",IF(INDEX('입력_구리근무자명단'!$A598:$ZZ598,1,$E$2+2)&amp;""="",급여기준월,IF(ISNUMBER(INDEX('입력_구리근무자명단'!$A598:$ZZ598,1,$E$2+2)),INDEX('입력_구리근무자명단'!$A598:$ZZ598,1,$E$2+2),IFERROR(DATE(VALUE(LEFT(INDEX('입력_구리근무자명단'!$A598:$ZZ598,1,$E$2+2),4)),VALUE(MID(INDEX('입력_구리근무자명단'!$A598:$ZZ598,1,$E$2+2),6,2)),VALUE(MID(INDEX('입력_구리근무자명단'!$A598:$ZZ598,1,$E$2+2),9,2))),-1))))</f>
        <v/>
      </c>
      <c r="T600">
        <f>IF($R600="","",IF(INDEX('입력_구리근무자명단'!$A598:$ZZ598,1,$E$2+3)&amp;""="",EOMONTH(급여기준월,0),IF(ISNUMBER(INDEX('입력_구리근무자명단'!$A598:$ZZ598,1,$E$2+3)),INDEX('입력_구리근무자명단'!$A598:$ZZ598,1,$E$2+3),IFERROR(DATE(VALUE(LEFT(INDEX('입력_구리근무자명단'!$A598:$ZZ598,1,$E$2+3),4)),VALUE(MID(INDEX('입력_구리근무자명단'!$A598:$ZZ598,1,$E$2+3),6,2)),VALUE(MID(INDEX('입력_구리근무자명단'!$A598:$ZZ598,1,$E$2+3),9,2))),-1))))</f>
        <v/>
      </c>
      <c r="U600">
        <f>IF($R600="","",IF(OR($S600&lt;0,$T600&lt;0),0,MAX(0,MIN($T600,EOMONTH(급여기준월,0))-MAX($S600,급여기준월)+1)))</f>
        <v/>
      </c>
      <c r="V600">
        <f>IF($R600="","",TRIM(INDEX('입력_구리근무자명단'!$A598:$ZZ598,1,$E$2+5)&amp;""))</f>
        <v/>
      </c>
      <c r="W600">
        <f>IF(ISNUMBER(SEARCH("구리독자",$V600)),"구리독자","")</f>
        <v/>
      </c>
      <c r="X600">
        <f>IF($R600="","",$R600&amp;"|"&amp;IF(OR($Q600="인턴",ISNUMBER(SEARCH("수련교육부",$P600))),"인턴",$P600))</f>
        <v/>
      </c>
      <c r="Y600">
        <f>IF($R600="","",IF(COUNTIF(명단표[이름|과],$X600)=1,"명단 일치",IF(AND(COUNTIF(명단표[이름|과],$X600)=0,COUNTIF(명단표[이름],$R600)=1),"명단 일치(이름만, 과 다름)",IF(COUNTIF(명단표[이름],$R600)=0,IF(COUNTIF(기본자료표[이름],$R600)&gt;0,"명단에 없음(기본자료에는 있음)","명단에 없음"),"동명이인 확인"))))</f>
        <v/>
      </c>
      <c r="Z600">
        <f>IF($R600="","",IF($S600&lt;0,"⚠"&amp;INDEX('입력_구리근무자명단'!$A598:$ZZ598,1,$E$2+2),TEXT($S600,"yyyy-mm-dd")))</f>
        <v/>
      </c>
      <c r="AA600">
        <f>IF($R600="","",IF($T600&lt;0,"⚠"&amp;INDEX('입력_구리근무자명단'!$A598:$ZZ598,1,$E$2+3),TEXT($T600,"yyyy-mm-dd")))</f>
        <v/>
      </c>
      <c r="AB600">
        <f>AB599+IF($R600="",0,1)</f>
        <v/>
      </c>
      <c r="AC600">
        <f>IF($R600="","",$AB600)</f>
        <v/>
      </c>
    </row>
    <row r="601">
      <c r="O601">
        <f>599</f>
        <v/>
      </c>
      <c r="P601">
        <f>IF(TRIM('입력_구리근무자명단'!$A599&amp;"")&lt;&gt;"",TRIM('입력_구리근무자명단'!$A599&amp;""),P600)</f>
        <v/>
      </c>
      <c r="Q601">
        <f>'입력_구리근무자명단'!$B599&amp;""</f>
        <v/>
      </c>
      <c r="R601">
        <f>IF($E$2="","",TRIM(INDEX('입력_구리근무자명단'!$A599:$ZZ599,1,$E$2+IF($G$2="확정",1,0))&amp;""))</f>
        <v/>
      </c>
      <c r="S601">
        <f>IF($R601="","",IF(INDEX('입력_구리근무자명단'!$A599:$ZZ599,1,$E$2+2)&amp;""="",급여기준월,IF(ISNUMBER(INDEX('입력_구리근무자명단'!$A599:$ZZ599,1,$E$2+2)),INDEX('입력_구리근무자명단'!$A599:$ZZ599,1,$E$2+2),IFERROR(DATE(VALUE(LEFT(INDEX('입력_구리근무자명단'!$A599:$ZZ599,1,$E$2+2),4)),VALUE(MID(INDEX('입력_구리근무자명단'!$A599:$ZZ599,1,$E$2+2),6,2)),VALUE(MID(INDEX('입력_구리근무자명단'!$A599:$ZZ599,1,$E$2+2),9,2))),-1))))</f>
        <v/>
      </c>
      <c r="T601">
        <f>IF($R601="","",IF(INDEX('입력_구리근무자명단'!$A599:$ZZ599,1,$E$2+3)&amp;""="",EOMONTH(급여기준월,0),IF(ISNUMBER(INDEX('입력_구리근무자명단'!$A599:$ZZ599,1,$E$2+3)),INDEX('입력_구리근무자명단'!$A599:$ZZ599,1,$E$2+3),IFERROR(DATE(VALUE(LEFT(INDEX('입력_구리근무자명단'!$A599:$ZZ599,1,$E$2+3),4)),VALUE(MID(INDEX('입력_구리근무자명단'!$A599:$ZZ599,1,$E$2+3),6,2)),VALUE(MID(INDEX('입력_구리근무자명단'!$A599:$ZZ599,1,$E$2+3),9,2))),-1))))</f>
        <v/>
      </c>
      <c r="U601">
        <f>IF($R601="","",IF(OR($S601&lt;0,$T601&lt;0),0,MAX(0,MIN($T601,EOMONTH(급여기준월,0))-MAX($S601,급여기준월)+1)))</f>
        <v/>
      </c>
      <c r="V601">
        <f>IF($R601="","",TRIM(INDEX('입력_구리근무자명단'!$A599:$ZZ599,1,$E$2+5)&amp;""))</f>
        <v/>
      </c>
      <c r="W601">
        <f>IF(ISNUMBER(SEARCH("구리독자",$V601)),"구리독자","")</f>
        <v/>
      </c>
      <c r="X601">
        <f>IF($R601="","",$R601&amp;"|"&amp;IF(OR($Q601="인턴",ISNUMBER(SEARCH("수련교육부",$P601))),"인턴",$P601))</f>
        <v/>
      </c>
      <c r="Y601">
        <f>IF($R601="","",IF(COUNTIF(명단표[이름|과],$X601)=1,"명단 일치",IF(AND(COUNTIF(명단표[이름|과],$X601)=0,COUNTIF(명단표[이름],$R601)=1),"명단 일치(이름만, 과 다름)",IF(COUNTIF(명단표[이름],$R601)=0,IF(COUNTIF(기본자료표[이름],$R601)&gt;0,"명단에 없음(기본자료에는 있음)","명단에 없음"),"동명이인 확인"))))</f>
        <v/>
      </c>
      <c r="Z601">
        <f>IF($R601="","",IF($S601&lt;0,"⚠"&amp;INDEX('입력_구리근무자명단'!$A599:$ZZ599,1,$E$2+2),TEXT($S601,"yyyy-mm-dd")))</f>
        <v/>
      </c>
      <c r="AA601">
        <f>IF($R601="","",IF($T601&lt;0,"⚠"&amp;INDEX('입력_구리근무자명단'!$A599:$ZZ599,1,$E$2+3),TEXT($T601,"yyyy-mm-dd")))</f>
        <v/>
      </c>
      <c r="AB601">
        <f>AB600+IF($R601="",0,1)</f>
        <v/>
      </c>
      <c r="AC601">
        <f>IF($R601="","",$AB601)</f>
        <v/>
      </c>
    </row>
    <row r="602">
      <c r="O602">
        <f>600</f>
        <v/>
      </c>
      <c r="P602">
        <f>IF(TRIM('입력_구리근무자명단'!$A600&amp;"")&lt;&gt;"",TRIM('입력_구리근무자명단'!$A600&amp;""),P601)</f>
        <v/>
      </c>
      <c r="Q602">
        <f>'입력_구리근무자명단'!$B600&amp;""</f>
        <v/>
      </c>
      <c r="R602">
        <f>IF($E$2="","",TRIM(INDEX('입력_구리근무자명단'!$A600:$ZZ600,1,$E$2+IF($G$2="확정",1,0))&amp;""))</f>
        <v/>
      </c>
      <c r="S602">
        <f>IF($R602="","",IF(INDEX('입력_구리근무자명단'!$A600:$ZZ600,1,$E$2+2)&amp;""="",급여기준월,IF(ISNUMBER(INDEX('입력_구리근무자명단'!$A600:$ZZ600,1,$E$2+2)),INDEX('입력_구리근무자명단'!$A600:$ZZ600,1,$E$2+2),IFERROR(DATE(VALUE(LEFT(INDEX('입력_구리근무자명단'!$A600:$ZZ600,1,$E$2+2),4)),VALUE(MID(INDEX('입력_구리근무자명단'!$A600:$ZZ600,1,$E$2+2),6,2)),VALUE(MID(INDEX('입력_구리근무자명단'!$A600:$ZZ600,1,$E$2+2),9,2))),-1))))</f>
        <v/>
      </c>
      <c r="T602">
        <f>IF($R602="","",IF(INDEX('입력_구리근무자명단'!$A600:$ZZ600,1,$E$2+3)&amp;""="",EOMONTH(급여기준월,0),IF(ISNUMBER(INDEX('입력_구리근무자명단'!$A600:$ZZ600,1,$E$2+3)),INDEX('입력_구리근무자명단'!$A600:$ZZ600,1,$E$2+3),IFERROR(DATE(VALUE(LEFT(INDEX('입력_구리근무자명단'!$A600:$ZZ600,1,$E$2+3),4)),VALUE(MID(INDEX('입력_구리근무자명단'!$A600:$ZZ600,1,$E$2+3),6,2)),VALUE(MID(INDEX('입력_구리근무자명단'!$A600:$ZZ600,1,$E$2+3),9,2))),-1))))</f>
        <v/>
      </c>
      <c r="U602">
        <f>IF($R602="","",IF(OR($S602&lt;0,$T602&lt;0),0,MAX(0,MIN($T602,EOMONTH(급여기준월,0))-MAX($S602,급여기준월)+1)))</f>
        <v/>
      </c>
      <c r="V602">
        <f>IF($R602="","",TRIM(INDEX('입력_구리근무자명단'!$A600:$ZZ600,1,$E$2+5)&amp;""))</f>
        <v/>
      </c>
      <c r="W602">
        <f>IF(ISNUMBER(SEARCH("구리독자",$V602)),"구리독자","")</f>
        <v/>
      </c>
      <c r="X602">
        <f>IF($R602="","",$R602&amp;"|"&amp;IF(OR($Q602="인턴",ISNUMBER(SEARCH("수련교육부",$P602))),"인턴",$P602))</f>
        <v/>
      </c>
      <c r="Y602">
        <f>IF($R602="","",IF(COUNTIF(명단표[이름|과],$X602)=1,"명단 일치",IF(AND(COUNTIF(명단표[이름|과],$X602)=0,COUNTIF(명단표[이름],$R602)=1),"명단 일치(이름만, 과 다름)",IF(COUNTIF(명단표[이름],$R602)=0,IF(COUNTIF(기본자료표[이름],$R602)&gt;0,"명단에 없음(기본자료에는 있음)","명단에 없음"),"동명이인 확인"))))</f>
        <v/>
      </c>
      <c r="Z602">
        <f>IF($R602="","",IF($S602&lt;0,"⚠"&amp;INDEX('입력_구리근무자명단'!$A600:$ZZ600,1,$E$2+2),TEXT($S602,"yyyy-mm-dd")))</f>
        <v/>
      </c>
      <c r="AA602">
        <f>IF($R602="","",IF($T602&lt;0,"⚠"&amp;INDEX('입력_구리근무자명단'!$A600:$ZZ600,1,$E$2+3),TEXT($T602,"yyyy-mm-dd")))</f>
        <v/>
      </c>
      <c r="AB602">
        <f>AB601+IF($R602="",0,1)</f>
        <v/>
      </c>
      <c r="AC602">
        <f>IF($R602="","",$AB602)</f>
        <v/>
      </c>
    </row>
    <row r="603">
      <c r="O603">
        <f>601</f>
        <v/>
      </c>
      <c r="P603">
        <f>IF(TRIM('입력_구리근무자명단'!$A601&amp;"")&lt;&gt;"",TRIM('입력_구리근무자명단'!$A601&amp;""),P602)</f>
        <v/>
      </c>
      <c r="Q603">
        <f>'입력_구리근무자명단'!$B601&amp;""</f>
        <v/>
      </c>
      <c r="R603">
        <f>IF($E$2="","",TRIM(INDEX('입력_구리근무자명단'!$A601:$ZZ601,1,$E$2+IF($G$2="확정",1,0))&amp;""))</f>
        <v/>
      </c>
      <c r="S603">
        <f>IF($R603="","",IF(INDEX('입력_구리근무자명단'!$A601:$ZZ601,1,$E$2+2)&amp;""="",급여기준월,IF(ISNUMBER(INDEX('입력_구리근무자명단'!$A601:$ZZ601,1,$E$2+2)),INDEX('입력_구리근무자명단'!$A601:$ZZ601,1,$E$2+2),IFERROR(DATE(VALUE(LEFT(INDEX('입력_구리근무자명단'!$A601:$ZZ601,1,$E$2+2),4)),VALUE(MID(INDEX('입력_구리근무자명단'!$A601:$ZZ601,1,$E$2+2),6,2)),VALUE(MID(INDEX('입력_구리근무자명단'!$A601:$ZZ601,1,$E$2+2),9,2))),-1))))</f>
        <v/>
      </c>
      <c r="T603">
        <f>IF($R603="","",IF(INDEX('입력_구리근무자명단'!$A601:$ZZ601,1,$E$2+3)&amp;""="",EOMONTH(급여기준월,0),IF(ISNUMBER(INDEX('입력_구리근무자명단'!$A601:$ZZ601,1,$E$2+3)),INDEX('입력_구리근무자명단'!$A601:$ZZ601,1,$E$2+3),IFERROR(DATE(VALUE(LEFT(INDEX('입력_구리근무자명단'!$A601:$ZZ601,1,$E$2+3),4)),VALUE(MID(INDEX('입력_구리근무자명단'!$A601:$ZZ601,1,$E$2+3),6,2)),VALUE(MID(INDEX('입력_구리근무자명단'!$A601:$ZZ601,1,$E$2+3),9,2))),-1))))</f>
        <v/>
      </c>
      <c r="U603">
        <f>IF($R603="","",IF(OR($S603&lt;0,$T603&lt;0),0,MAX(0,MIN($T603,EOMONTH(급여기준월,0))-MAX($S603,급여기준월)+1)))</f>
        <v/>
      </c>
      <c r="V603">
        <f>IF($R603="","",TRIM(INDEX('입력_구리근무자명단'!$A601:$ZZ601,1,$E$2+5)&amp;""))</f>
        <v/>
      </c>
      <c r="W603">
        <f>IF(ISNUMBER(SEARCH("구리독자",$V603)),"구리독자","")</f>
        <v/>
      </c>
      <c r="X603">
        <f>IF($R603="","",$R603&amp;"|"&amp;IF(OR($Q603="인턴",ISNUMBER(SEARCH("수련교육부",$P603))),"인턴",$P603))</f>
        <v/>
      </c>
      <c r="Y603">
        <f>IF($R603="","",IF(COUNTIF(명단표[이름|과],$X603)=1,"명단 일치",IF(AND(COUNTIF(명단표[이름|과],$X603)=0,COUNTIF(명단표[이름],$R603)=1),"명단 일치(이름만, 과 다름)",IF(COUNTIF(명단표[이름],$R603)=0,IF(COUNTIF(기본자료표[이름],$R603)&gt;0,"명단에 없음(기본자료에는 있음)","명단에 없음"),"동명이인 확인"))))</f>
        <v/>
      </c>
      <c r="Z603">
        <f>IF($R603="","",IF($S603&lt;0,"⚠"&amp;INDEX('입력_구리근무자명단'!$A601:$ZZ601,1,$E$2+2),TEXT($S603,"yyyy-mm-dd")))</f>
        <v/>
      </c>
      <c r="AA603">
        <f>IF($R603="","",IF($T603&lt;0,"⚠"&amp;INDEX('입력_구리근무자명단'!$A601:$ZZ601,1,$E$2+3),TEXT($T603,"yyyy-mm-dd")))</f>
        <v/>
      </c>
      <c r="AB603">
        <f>AB602+IF($R603="",0,1)</f>
        <v/>
      </c>
      <c r="AC603">
        <f>IF($R603="","",$AB603)</f>
        <v/>
      </c>
    </row>
    <row r="604">
      <c r="O604">
        <f>602</f>
        <v/>
      </c>
      <c r="P604">
        <f>IF(TRIM('입력_구리근무자명단'!$A602&amp;"")&lt;&gt;"",TRIM('입력_구리근무자명단'!$A602&amp;""),P603)</f>
        <v/>
      </c>
      <c r="Q604">
        <f>'입력_구리근무자명단'!$B602&amp;""</f>
        <v/>
      </c>
      <c r="R604">
        <f>IF($E$2="","",TRIM(INDEX('입력_구리근무자명단'!$A602:$ZZ602,1,$E$2+IF($G$2="확정",1,0))&amp;""))</f>
        <v/>
      </c>
      <c r="S604">
        <f>IF($R604="","",IF(INDEX('입력_구리근무자명단'!$A602:$ZZ602,1,$E$2+2)&amp;""="",급여기준월,IF(ISNUMBER(INDEX('입력_구리근무자명단'!$A602:$ZZ602,1,$E$2+2)),INDEX('입력_구리근무자명단'!$A602:$ZZ602,1,$E$2+2),IFERROR(DATE(VALUE(LEFT(INDEX('입력_구리근무자명단'!$A602:$ZZ602,1,$E$2+2),4)),VALUE(MID(INDEX('입력_구리근무자명단'!$A602:$ZZ602,1,$E$2+2),6,2)),VALUE(MID(INDEX('입력_구리근무자명단'!$A602:$ZZ602,1,$E$2+2),9,2))),-1))))</f>
        <v/>
      </c>
      <c r="T604">
        <f>IF($R604="","",IF(INDEX('입력_구리근무자명단'!$A602:$ZZ602,1,$E$2+3)&amp;""="",EOMONTH(급여기준월,0),IF(ISNUMBER(INDEX('입력_구리근무자명단'!$A602:$ZZ602,1,$E$2+3)),INDEX('입력_구리근무자명단'!$A602:$ZZ602,1,$E$2+3),IFERROR(DATE(VALUE(LEFT(INDEX('입력_구리근무자명단'!$A602:$ZZ602,1,$E$2+3),4)),VALUE(MID(INDEX('입력_구리근무자명단'!$A602:$ZZ602,1,$E$2+3),6,2)),VALUE(MID(INDEX('입력_구리근무자명단'!$A602:$ZZ602,1,$E$2+3),9,2))),-1))))</f>
        <v/>
      </c>
      <c r="U604">
        <f>IF($R604="","",IF(OR($S604&lt;0,$T604&lt;0),0,MAX(0,MIN($T604,EOMONTH(급여기준월,0))-MAX($S604,급여기준월)+1)))</f>
        <v/>
      </c>
      <c r="V604">
        <f>IF($R604="","",TRIM(INDEX('입력_구리근무자명단'!$A602:$ZZ602,1,$E$2+5)&amp;""))</f>
        <v/>
      </c>
      <c r="W604">
        <f>IF(ISNUMBER(SEARCH("구리독자",$V604)),"구리독자","")</f>
        <v/>
      </c>
      <c r="X604">
        <f>IF($R604="","",$R604&amp;"|"&amp;IF(OR($Q604="인턴",ISNUMBER(SEARCH("수련교육부",$P604))),"인턴",$P604))</f>
        <v/>
      </c>
      <c r="Y604">
        <f>IF($R604="","",IF(COUNTIF(명단표[이름|과],$X604)=1,"명단 일치",IF(AND(COUNTIF(명단표[이름|과],$X604)=0,COUNTIF(명단표[이름],$R604)=1),"명단 일치(이름만, 과 다름)",IF(COUNTIF(명단표[이름],$R604)=0,IF(COUNTIF(기본자료표[이름],$R604)&gt;0,"명단에 없음(기본자료에는 있음)","명단에 없음"),"동명이인 확인"))))</f>
        <v/>
      </c>
      <c r="Z604">
        <f>IF($R604="","",IF($S604&lt;0,"⚠"&amp;INDEX('입력_구리근무자명단'!$A602:$ZZ602,1,$E$2+2),TEXT($S604,"yyyy-mm-dd")))</f>
        <v/>
      </c>
      <c r="AA604">
        <f>IF($R604="","",IF($T604&lt;0,"⚠"&amp;INDEX('입력_구리근무자명단'!$A602:$ZZ602,1,$E$2+3),TEXT($T604,"yyyy-mm-dd")))</f>
        <v/>
      </c>
      <c r="AB604">
        <f>AB603+IF($R604="",0,1)</f>
        <v/>
      </c>
      <c r="AC604">
        <f>IF($R604="","",$AB604)</f>
        <v/>
      </c>
    </row>
    <row r="605">
      <c r="O605">
        <f>603</f>
        <v/>
      </c>
      <c r="P605">
        <f>IF(TRIM('입력_구리근무자명단'!$A603&amp;"")&lt;&gt;"",TRIM('입력_구리근무자명단'!$A603&amp;""),P604)</f>
        <v/>
      </c>
      <c r="Q605">
        <f>'입력_구리근무자명단'!$B603&amp;""</f>
        <v/>
      </c>
      <c r="R605">
        <f>IF($E$2="","",TRIM(INDEX('입력_구리근무자명단'!$A603:$ZZ603,1,$E$2+IF($G$2="확정",1,0))&amp;""))</f>
        <v/>
      </c>
      <c r="S605">
        <f>IF($R605="","",IF(INDEX('입력_구리근무자명단'!$A603:$ZZ603,1,$E$2+2)&amp;""="",급여기준월,IF(ISNUMBER(INDEX('입력_구리근무자명단'!$A603:$ZZ603,1,$E$2+2)),INDEX('입력_구리근무자명단'!$A603:$ZZ603,1,$E$2+2),IFERROR(DATE(VALUE(LEFT(INDEX('입력_구리근무자명단'!$A603:$ZZ603,1,$E$2+2),4)),VALUE(MID(INDEX('입력_구리근무자명단'!$A603:$ZZ603,1,$E$2+2),6,2)),VALUE(MID(INDEX('입력_구리근무자명단'!$A603:$ZZ603,1,$E$2+2),9,2))),-1))))</f>
        <v/>
      </c>
      <c r="T605">
        <f>IF($R605="","",IF(INDEX('입력_구리근무자명단'!$A603:$ZZ603,1,$E$2+3)&amp;""="",EOMONTH(급여기준월,0),IF(ISNUMBER(INDEX('입력_구리근무자명단'!$A603:$ZZ603,1,$E$2+3)),INDEX('입력_구리근무자명단'!$A603:$ZZ603,1,$E$2+3),IFERROR(DATE(VALUE(LEFT(INDEX('입력_구리근무자명단'!$A603:$ZZ603,1,$E$2+3),4)),VALUE(MID(INDEX('입력_구리근무자명단'!$A603:$ZZ603,1,$E$2+3),6,2)),VALUE(MID(INDEX('입력_구리근무자명단'!$A603:$ZZ603,1,$E$2+3),9,2))),-1))))</f>
        <v/>
      </c>
      <c r="U605">
        <f>IF($R605="","",IF(OR($S605&lt;0,$T605&lt;0),0,MAX(0,MIN($T605,EOMONTH(급여기준월,0))-MAX($S605,급여기준월)+1)))</f>
        <v/>
      </c>
      <c r="V605">
        <f>IF($R605="","",TRIM(INDEX('입력_구리근무자명단'!$A603:$ZZ603,1,$E$2+5)&amp;""))</f>
        <v/>
      </c>
      <c r="W605">
        <f>IF(ISNUMBER(SEARCH("구리독자",$V605)),"구리독자","")</f>
        <v/>
      </c>
      <c r="X605">
        <f>IF($R605="","",$R605&amp;"|"&amp;IF(OR($Q605="인턴",ISNUMBER(SEARCH("수련교육부",$P605))),"인턴",$P605))</f>
        <v/>
      </c>
      <c r="Y605">
        <f>IF($R605="","",IF(COUNTIF(명단표[이름|과],$X605)=1,"명단 일치",IF(AND(COUNTIF(명단표[이름|과],$X605)=0,COUNTIF(명단표[이름],$R605)=1),"명단 일치(이름만, 과 다름)",IF(COUNTIF(명단표[이름],$R605)=0,IF(COUNTIF(기본자료표[이름],$R605)&gt;0,"명단에 없음(기본자료에는 있음)","명단에 없음"),"동명이인 확인"))))</f>
        <v/>
      </c>
      <c r="Z605">
        <f>IF($R605="","",IF($S605&lt;0,"⚠"&amp;INDEX('입력_구리근무자명단'!$A603:$ZZ603,1,$E$2+2),TEXT($S605,"yyyy-mm-dd")))</f>
        <v/>
      </c>
      <c r="AA605">
        <f>IF($R605="","",IF($T605&lt;0,"⚠"&amp;INDEX('입력_구리근무자명단'!$A603:$ZZ603,1,$E$2+3),TEXT($T605,"yyyy-mm-dd")))</f>
        <v/>
      </c>
      <c r="AB605">
        <f>AB604+IF($R605="",0,1)</f>
        <v/>
      </c>
      <c r="AC605">
        <f>IF($R605="","",$AB605)</f>
        <v/>
      </c>
    </row>
    <row r="606">
      <c r="O606">
        <f>604</f>
        <v/>
      </c>
      <c r="P606">
        <f>IF(TRIM('입력_구리근무자명단'!$A604&amp;"")&lt;&gt;"",TRIM('입력_구리근무자명단'!$A604&amp;""),P605)</f>
        <v/>
      </c>
      <c r="Q606">
        <f>'입력_구리근무자명단'!$B604&amp;""</f>
        <v/>
      </c>
      <c r="R606">
        <f>IF($E$2="","",TRIM(INDEX('입력_구리근무자명단'!$A604:$ZZ604,1,$E$2+IF($G$2="확정",1,0))&amp;""))</f>
        <v/>
      </c>
      <c r="S606">
        <f>IF($R606="","",IF(INDEX('입력_구리근무자명단'!$A604:$ZZ604,1,$E$2+2)&amp;""="",급여기준월,IF(ISNUMBER(INDEX('입력_구리근무자명단'!$A604:$ZZ604,1,$E$2+2)),INDEX('입력_구리근무자명단'!$A604:$ZZ604,1,$E$2+2),IFERROR(DATE(VALUE(LEFT(INDEX('입력_구리근무자명단'!$A604:$ZZ604,1,$E$2+2),4)),VALUE(MID(INDEX('입력_구리근무자명단'!$A604:$ZZ604,1,$E$2+2),6,2)),VALUE(MID(INDEX('입력_구리근무자명단'!$A604:$ZZ604,1,$E$2+2),9,2))),-1))))</f>
        <v/>
      </c>
      <c r="T606">
        <f>IF($R606="","",IF(INDEX('입력_구리근무자명단'!$A604:$ZZ604,1,$E$2+3)&amp;""="",EOMONTH(급여기준월,0),IF(ISNUMBER(INDEX('입력_구리근무자명단'!$A604:$ZZ604,1,$E$2+3)),INDEX('입력_구리근무자명단'!$A604:$ZZ604,1,$E$2+3),IFERROR(DATE(VALUE(LEFT(INDEX('입력_구리근무자명단'!$A604:$ZZ604,1,$E$2+3),4)),VALUE(MID(INDEX('입력_구리근무자명단'!$A604:$ZZ604,1,$E$2+3),6,2)),VALUE(MID(INDEX('입력_구리근무자명단'!$A604:$ZZ604,1,$E$2+3),9,2))),-1))))</f>
        <v/>
      </c>
      <c r="U606">
        <f>IF($R606="","",IF(OR($S606&lt;0,$T606&lt;0),0,MAX(0,MIN($T606,EOMONTH(급여기준월,0))-MAX($S606,급여기준월)+1)))</f>
        <v/>
      </c>
      <c r="V606">
        <f>IF($R606="","",TRIM(INDEX('입력_구리근무자명단'!$A604:$ZZ604,1,$E$2+5)&amp;""))</f>
        <v/>
      </c>
      <c r="W606">
        <f>IF(ISNUMBER(SEARCH("구리독자",$V606)),"구리독자","")</f>
        <v/>
      </c>
      <c r="X606">
        <f>IF($R606="","",$R606&amp;"|"&amp;IF(OR($Q606="인턴",ISNUMBER(SEARCH("수련교육부",$P606))),"인턴",$P606))</f>
        <v/>
      </c>
      <c r="Y606">
        <f>IF($R606="","",IF(COUNTIF(명단표[이름|과],$X606)=1,"명단 일치",IF(AND(COUNTIF(명단표[이름|과],$X606)=0,COUNTIF(명단표[이름],$R606)=1),"명단 일치(이름만, 과 다름)",IF(COUNTIF(명단표[이름],$R606)=0,IF(COUNTIF(기본자료표[이름],$R606)&gt;0,"명단에 없음(기본자료에는 있음)","명단에 없음"),"동명이인 확인"))))</f>
        <v/>
      </c>
      <c r="Z606">
        <f>IF($R606="","",IF($S606&lt;0,"⚠"&amp;INDEX('입력_구리근무자명단'!$A604:$ZZ604,1,$E$2+2),TEXT($S606,"yyyy-mm-dd")))</f>
        <v/>
      </c>
      <c r="AA606">
        <f>IF($R606="","",IF($T606&lt;0,"⚠"&amp;INDEX('입력_구리근무자명단'!$A604:$ZZ604,1,$E$2+3),TEXT($T606,"yyyy-mm-dd")))</f>
        <v/>
      </c>
      <c r="AB606">
        <f>AB605+IF($R606="",0,1)</f>
        <v/>
      </c>
      <c r="AC606">
        <f>IF($R606="","",$AB606)</f>
        <v/>
      </c>
    </row>
    <row r="607">
      <c r="O607">
        <f>605</f>
        <v/>
      </c>
      <c r="P607">
        <f>IF(TRIM('입력_구리근무자명단'!$A605&amp;"")&lt;&gt;"",TRIM('입력_구리근무자명단'!$A605&amp;""),P606)</f>
        <v/>
      </c>
      <c r="Q607">
        <f>'입력_구리근무자명단'!$B605&amp;""</f>
        <v/>
      </c>
      <c r="R607">
        <f>IF($E$2="","",TRIM(INDEX('입력_구리근무자명단'!$A605:$ZZ605,1,$E$2+IF($G$2="확정",1,0))&amp;""))</f>
        <v/>
      </c>
      <c r="S607">
        <f>IF($R607="","",IF(INDEX('입력_구리근무자명단'!$A605:$ZZ605,1,$E$2+2)&amp;""="",급여기준월,IF(ISNUMBER(INDEX('입력_구리근무자명단'!$A605:$ZZ605,1,$E$2+2)),INDEX('입력_구리근무자명단'!$A605:$ZZ605,1,$E$2+2),IFERROR(DATE(VALUE(LEFT(INDEX('입력_구리근무자명단'!$A605:$ZZ605,1,$E$2+2),4)),VALUE(MID(INDEX('입력_구리근무자명단'!$A605:$ZZ605,1,$E$2+2),6,2)),VALUE(MID(INDEX('입력_구리근무자명단'!$A605:$ZZ605,1,$E$2+2),9,2))),-1))))</f>
        <v/>
      </c>
      <c r="T607">
        <f>IF($R607="","",IF(INDEX('입력_구리근무자명단'!$A605:$ZZ605,1,$E$2+3)&amp;""="",EOMONTH(급여기준월,0),IF(ISNUMBER(INDEX('입력_구리근무자명단'!$A605:$ZZ605,1,$E$2+3)),INDEX('입력_구리근무자명단'!$A605:$ZZ605,1,$E$2+3),IFERROR(DATE(VALUE(LEFT(INDEX('입력_구리근무자명단'!$A605:$ZZ605,1,$E$2+3),4)),VALUE(MID(INDEX('입력_구리근무자명단'!$A605:$ZZ605,1,$E$2+3),6,2)),VALUE(MID(INDEX('입력_구리근무자명단'!$A605:$ZZ605,1,$E$2+3),9,2))),-1))))</f>
        <v/>
      </c>
      <c r="U607">
        <f>IF($R607="","",IF(OR($S607&lt;0,$T607&lt;0),0,MAX(0,MIN($T607,EOMONTH(급여기준월,0))-MAX($S607,급여기준월)+1)))</f>
        <v/>
      </c>
      <c r="V607">
        <f>IF($R607="","",TRIM(INDEX('입력_구리근무자명단'!$A605:$ZZ605,1,$E$2+5)&amp;""))</f>
        <v/>
      </c>
      <c r="W607">
        <f>IF(ISNUMBER(SEARCH("구리독자",$V607)),"구리독자","")</f>
        <v/>
      </c>
      <c r="X607">
        <f>IF($R607="","",$R607&amp;"|"&amp;IF(OR($Q607="인턴",ISNUMBER(SEARCH("수련교육부",$P607))),"인턴",$P607))</f>
        <v/>
      </c>
      <c r="Y607">
        <f>IF($R607="","",IF(COUNTIF(명단표[이름|과],$X607)=1,"명단 일치",IF(AND(COUNTIF(명단표[이름|과],$X607)=0,COUNTIF(명단표[이름],$R607)=1),"명단 일치(이름만, 과 다름)",IF(COUNTIF(명단표[이름],$R607)=0,IF(COUNTIF(기본자료표[이름],$R607)&gt;0,"명단에 없음(기본자료에는 있음)","명단에 없음"),"동명이인 확인"))))</f>
        <v/>
      </c>
      <c r="Z607">
        <f>IF($R607="","",IF($S607&lt;0,"⚠"&amp;INDEX('입력_구리근무자명단'!$A605:$ZZ605,1,$E$2+2),TEXT($S607,"yyyy-mm-dd")))</f>
        <v/>
      </c>
      <c r="AA607">
        <f>IF($R607="","",IF($T607&lt;0,"⚠"&amp;INDEX('입력_구리근무자명단'!$A605:$ZZ605,1,$E$2+3),TEXT($T607,"yyyy-mm-dd")))</f>
        <v/>
      </c>
      <c r="AB607">
        <f>AB606+IF($R607="",0,1)</f>
        <v/>
      </c>
      <c r="AC607">
        <f>IF($R607="","",$AB607)</f>
        <v/>
      </c>
    </row>
    <row r="608">
      <c r="O608">
        <f>606</f>
        <v/>
      </c>
      <c r="P608">
        <f>IF(TRIM('입력_구리근무자명단'!$A606&amp;"")&lt;&gt;"",TRIM('입력_구리근무자명단'!$A606&amp;""),P607)</f>
        <v/>
      </c>
      <c r="Q608">
        <f>'입력_구리근무자명단'!$B606&amp;""</f>
        <v/>
      </c>
      <c r="R608">
        <f>IF($E$2="","",TRIM(INDEX('입력_구리근무자명단'!$A606:$ZZ606,1,$E$2+IF($G$2="확정",1,0))&amp;""))</f>
        <v/>
      </c>
      <c r="S608">
        <f>IF($R608="","",IF(INDEX('입력_구리근무자명단'!$A606:$ZZ606,1,$E$2+2)&amp;""="",급여기준월,IF(ISNUMBER(INDEX('입력_구리근무자명단'!$A606:$ZZ606,1,$E$2+2)),INDEX('입력_구리근무자명단'!$A606:$ZZ606,1,$E$2+2),IFERROR(DATE(VALUE(LEFT(INDEX('입력_구리근무자명단'!$A606:$ZZ606,1,$E$2+2),4)),VALUE(MID(INDEX('입력_구리근무자명단'!$A606:$ZZ606,1,$E$2+2),6,2)),VALUE(MID(INDEX('입력_구리근무자명단'!$A606:$ZZ606,1,$E$2+2),9,2))),-1))))</f>
        <v/>
      </c>
      <c r="T608">
        <f>IF($R608="","",IF(INDEX('입력_구리근무자명단'!$A606:$ZZ606,1,$E$2+3)&amp;""="",EOMONTH(급여기준월,0),IF(ISNUMBER(INDEX('입력_구리근무자명단'!$A606:$ZZ606,1,$E$2+3)),INDEX('입력_구리근무자명단'!$A606:$ZZ606,1,$E$2+3),IFERROR(DATE(VALUE(LEFT(INDEX('입력_구리근무자명단'!$A606:$ZZ606,1,$E$2+3),4)),VALUE(MID(INDEX('입력_구리근무자명단'!$A606:$ZZ606,1,$E$2+3),6,2)),VALUE(MID(INDEX('입력_구리근무자명단'!$A606:$ZZ606,1,$E$2+3),9,2))),-1))))</f>
        <v/>
      </c>
      <c r="U608">
        <f>IF($R608="","",IF(OR($S608&lt;0,$T608&lt;0),0,MAX(0,MIN($T608,EOMONTH(급여기준월,0))-MAX($S608,급여기준월)+1)))</f>
        <v/>
      </c>
      <c r="V608">
        <f>IF($R608="","",TRIM(INDEX('입력_구리근무자명단'!$A606:$ZZ606,1,$E$2+5)&amp;""))</f>
        <v/>
      </c>
      <c r="W608">
        <f>IF(ISNUMBER(SEARCH("구리독자",$V608)),"구리독자","")</f>
        <v/>
      </c>
      <c r="X608">
        <f>IF($R608="","",$R608&amp;"|"&amp;IF(OR($Q608="인턴",ISNUMBER(SEARCH("수련교육부",$P608))),"인턴",$P608))</f>
        <v/>
      </c>
      <c r="Y608">
        <f>IF($R608="","",IF(COUNTIF(명단표[이름|과],$X608)=1,"명단 일치",IF(AND(COUNTIF(명단표[이름|과],$X608)=0,COUNTIF(명단표[이름],$R608)=1),"명단 일치(이름만, 과 다름)",IF(COUNTIF(명단표[이름],$R608)=0,IF(COUNTIF(기본자료표[이름],$R608)&gt;0,"명단에 없음(기본자료에는 있음)","명단에 없음"),"동명이인 확인"))))</f>
        <v/>
      </c>
      <c r="Z608">
        <f>IF($R608="","",IF($S608&lt;0,"⚠"&amp;INDEX('입력_구리근무자명단'!$A606:$ZZ606,1,$E$2+2),TEXT($S608,"yyyy-mm-dd")))</f>
        <v/>
      </c>
      <c r="AA608">
        <f>IF($R608="","",IF($T608&lt;0,"⚠"&amp;INDEX('입력_구리근무자명단'!$A606:$ZZ606,1,$E$2+3),TEXT($T608,"yyyy-mm-dd")))</f>
        <v/>
      </c>
      <c r="AB608">
        <f>AB607+IF($R608="",0,1)</f>
        <v/>
      </c>
      <c r="AC608">
        <f>IF($R608="","",$AB608)</f>
        <v/>
      </c>
    </row>
    <row r="609">
      <c r="O609">
        <f>607</f>
        <v/>
      </c>
      <c r="P609">
        <f>IF(TRIM('입력_구리근무자명단'!$A607&amp;"")&lt;&gt;"",TRIM('입력_구리근무자명단'!$A607&amp;""),P608)</f>
        <v/>
      </c>
      <c r="Q609">
        <f>'입력_구리근무자명단'!$B607&amp;""</f>
        <v/>
      </c>
      <c r="R609">
        <f>IF($E$2="","",TRIM(INDEX('입력_구리근무자명단'!$A607:$ZZ607,1,$E$2+IF($G$2="확정",1,0))&amp;""))</f>
        <v/>
      </c>
      <c r="S609">
        <f>IF($R609="","",IF(INDEX('입력_구리근무자명단'!$A607:$ZZ607,1,$E$2+2)&amp;""="",급여기준월,IF(ISNUMBER(INDEX('입력_구리근무자명단'!$A607:$ZZ607,1,$E$2+2)),INDEX('입력_구리근무자명단'!$A607:$ZZ607,1,$E$2+2),IFERROR(DATE(VALUE(LEFT(INDEX('입력_구리근무자명단'!$A607:$ZZ607,1,$E$2+2),4)),VALUE(MID(INDEX('입력_구리근무자명단'!$A607:$ZZ607,1,$E$2+2),6,2)),VALUE(MID(INDEX('입력_구리근무자명단'!$A607:$ZZ607,1,$E$2+2),9,2))),-1))))</f>
        <v/>
      </c>
      <c r="T609">
        <f>IF($R609="","",IF(INDEX('입력_구리근무자명단'!$A607:$ZZ607,1,$E$2+3)&amp;""="",EOMONTH(급여기준월,0),IF(ISNUMBER(INDEX('입력_구리근무자명단'!$A607:$ZZ607,1,$E$2+3)),INDEX('입력_구리근무자명단'!$A607:$ZZ607,1,$E$2+3),IFERROR(DATE(VALUE(LEFT(INDEX('입력_구리근무자명단'!$A607:$ZZ607,1,$E$2+3),4)),VALUE(MID(INDEX('입력_구리근무자명단'!$A607:$ZZ607,1,$E$2+3),6,2)),VALUE(MID(INDEX('입력_구리근무자명단'!$A607:$ZZ607,1,$E$2+3),9,2))),-1))))</f>
        <v/>
      </c>
      <c r="U609">
        <f>IF($R609="","",IF(OR($S609&lt;0,$T609&lt;0),0,MAX(0,MIN($T609,EOMONTH(급여기준월,0))-MAX($S609,급여기준월)+1)))</f>
        <v/>
      </c>
      <c r="V609">
        <f>IF($R609="","",TRIM(INDEX('입력_구리근무자명단'!$A607:$ZZ607,1,$E$2+5)&amp;""))</f>
        <v/>
      </c>
      <c r="W609">
        <f>IF(ISNUMBER(SEARCH("구리독자",$V609)),"구리독자","")</f>
        <v/>
      </c>
      <c r="X609">
        <f>IF($R609="","",$R609&amp;"|"&amp;IF(OR($Q609="인턴",ISNUMBER(SEARCH("수련교육부",$P609))),"인턴",$P609))</f>
        <v/>
      </c>
      <c r="Y609">
        <f>IF($R609="","",IF(COUNTIF(명단표[이름|과],$X609)=1,"명단 일치",IF(AND(COUNTIF(명단표[이름|과],$X609)=0,COUNTIF(명단표[이름],$R609)=1),"명단 일치(이름만, 과 다름)",IF(COUNTIF(명단표[이름],$R609)=0,IF(COUNTIF(기본자료표[이름],$R609)&gt;0,"명단에 없음(기본자료에는 있음)","명단에 없음"),"동명이인 확인"))))</f>
        <v/>
      </c>
      <c r="Z609">
        <f>IF($R609="","",IF($S609&lt;0,"⚠"&amp;INDEX('입력_구리근무자명단'!$A607:$ZZ607,1,$E$2+2),TEXT($S609,"yyyy-mm-dd")))</f>
        <v/>
      </c>
      <c r="AA609">
        <f>IF($R609="","",IF($T609&lt;0,"⚠"&amp;INDEX('입력_구리근무자명단'!$A607:$ZZ607,1,$E$2+3),TEXT($T609,"yyyy-mm-dd")))</f>
        <v/>
      </c>
      <c r="AB609">
        <f>AB608+IF($R609="",0,1)</f>
        <v/>
      </c>
      <c r="AC609">
        <f>IF($R609="","",$AB609)</f>
        <v/>
      </c>
    </row>
    <row r="610">
      <c r="O610">
        <f>608</f>
        <v/>
      </c>
      <c r="P610">
        <f>IF(TRIM('입력_구리근무자명단'!$A608&amp;"")&lt;&gt;"",TRIM('입력_구리근무자명단'!$A608&amp;""),P609)</f>
        <v/>
      </c>
      <c r="Q610">
        <f>'입력_구리근무자명단'!$B608&amp;""</f>
        <v/>
      </c>
      <c r="R610">
        <f>IF($E$2="","",TRIM(INDEX('입력_구리근무자명단'!$A608:$ZZ608,1,$E$2+IF($G$2="확정",1,0))&amp;""))</f>
        <v/>
      </c>
      <c r="S610">
        <f>IF($R610="","",IF(INDEX('입력_구리근무자명단'!$A608:$ZZ608,1,$E$2+2)&amp;""="",급여기준월,IF(ISNUMBER(INDEX('입력_구리근무자명단'!$A608:$ZZ608,1,$E$2+2)),INDEX('입력_구리근무자명단'!$A608:$ZZ608,1,$E$2+2),IFERROR(DATE(VALUE(LEFT(INDEX('입력_구리근무자명단'!$A608:$ZZ608,1,$E$2+2),4)),VALUE(MID(INDEX('입력_구리근무자명단'!$A608:$ZZ608,1,$E$2+2),6,2)),VALUE(MID(INDEX('입력_구리근무자명단'!$A608:$ZZ608,1,$E$2+2),9,2))),-1))))</f>
        <v/>
      </c>
      <c r="T610">
        <f>IF($R610="","",IF(INDEX('입력_구리근무자명단'!$A608:$ZZ608,1,$E$2+3)&amp;""="",EOMONTH(급여기준월,0),IF(ISNUMBER(INDEX('입력_구리근무자명단'!$A608:$ZZ608,1,$E$2+3)),INDEX('입력_구리근무자명단'!$A608:$ZZ608,1,$E$2+3),IFERROR(DATE(VALUE(LEFT(INDEX('입력_구리근무자명단'!$A608:$ZZ608,1,$E$2+3),4)),VALUE(MID(INDEX('입력_구리근무자명단'!$A608:$ZZ608,1,$E$2+3),6,2)),VALUE(MID(INDEX('입력_구리근무자명단'!$A608:$ZZ608,1,$E$2+3),9,2))),-1))))</f>
        <v/>
      </c>
      <c r="U610">
        <f>IF($R610="","",IF(OR($S610&lt;0,$T610&lt;0),0,MAX(0,MIN($T610,EOMONTH(급여기준월,0))-MAX($S610,급여기준월)+1)))</f>
        <v/>
      </c>
      <c r="V610">
        <f>IF($R610="","",TRIM(INDEX('입력_구리근무자명단'!$A608:$ZZ608,1,$E$2+5)&amp;""))</f>
        <v/>
      </c>
      <c r="W610">
        <f>IF(ISNUMBER(SEARCH("구리독자",$V610)),"구리독자","")</f>
        <v/>
      </c>
      <c r="X610">
        <f>IF($R610="","",$R610&amp;"|"&amp;IF(OR($Q610="인턴",ISNUMBER(SEARCH("수련교육부",$P610))),"인턴",$P610))</f>
        <v/>
      </c>
      <c r="Y610">
        <f>IF($R610="","",IF(COUNTIF(명단표[이름|과],$X610)=1,"명단 일치",IF(AND(COUNTIF(명단표[이름|과],$X610)=0,COUNTIF(명단표[이름],$R610)=1),"명단 일치(이름만, 과 다름)",IF(COUNTIF(명단표[이름],$R610)=0,IF(COUNTIF(기본자료표[이름],$R610)&gt;0,"명단에 없음(기본자료에는 있음)","명단에 없음"),"동명이인 확인"))))</f>
        <v/>
      </c>
      <c r="Z610">
        <f>IF($R610="","",IF($S610&lt;0,"⚠"&amp;INDEX('입력_구리근무자명단'!$A608:$ZZ608,1,$E$2+2),TEXT($S610,"yyyy-mm-dd")))</f>
        <v/>
      </c>
      <c r="AA610">
        <f>IF($R610="","",IF($T610&lt;0,"⚠"&amp;INDEX('입력_구리근무자명단'!$A608:$ZZ608,1,$E$2+3),TEXT($T610,"yyyy-mm-dd")))</f>
        <v/>
      </c>
      <c r="AB610">
        <f>AB609+IF($R610="",0,1)</f>
        <v/>
      </c>
      <c r="AC610">
        <f>IF($R610="","",$AB610)</f>
        <v/>
      </c>
    </row>
    <row r="611">
      <c r="O611">
        <f>609</f>
        <v/>
      </c>
      <c r="P611">
        <f>IF(TRIM('입력_구리근무자명단'!$A609&amp;"")&lt;&gt;"",TRIM('입력_구리근무자명단'!$A609&amp;""),P610)</f>
        <v/>
      </c>
      <c r="Q611">
        <f>'입력_구리근무자명단'!$B609&amp;""</f>
        <v/>
      </c>
      <c r="R611">
        <f>IF($E$2="","",TRIM(INDEX('입력_구리근무자명단'!$A609:$ZZ609,1,$E$2+IF($G$2="확정",1,0))&amp;""))</f>
        <v/>
      </c>
      <c r="S611">
        <f>IF($R611="","",IF(INDEX('입력_구리근무자명단'!$A609:$ZZ609,1,$E$2+2)&amp;""="",급여기준월,IF(ISNUMBER(INDEX('입력_구리근무자명단'!$A609:$ZZ609,1,$E$2+2)),INDEX('입력_구리근무자명단'!$A609:$ZZ609,1,$E$2+2),IFERROR(DATE(VALUE(LEFT(INDEX('입력_구리근무자명단'!$A609:$ZZ609,1,$E$2+2),4)),VALUE(MID(INDEX('입력_구리근무자명단'!$A609:$ZZ609,1,$E$2+2),6,2)),VALUE(MID(INDEX('입력_구리근무자명단'!$A609:$ZZ609,1,$E$2+2),9,2))),-1))))</f>
        <v/>
      </c>
      <c r="T611">
        <f>IF($R611="","",IF(INDEX('입력_구리근무자명단'!$A609:$ZZ609,1,$E$2+3)&amp;""="",EOMONTH(급여기준월,0),IF(ISNUMBER(INDEX('입력_구리근무자명단'!$A609:$ZZ609,1,$E$2+3)),INDEX('입력_구리근무자명단'!$A609:$ZZ609,1,$E$2+3),IFERROR(DATE(VALUE(LEFT(INDEX('입력_구리근무자명단'!$A609:$ZZ609,1,$E$2+3),4)),VALUE(MID(INDEX('입력_구리근무자명단'!$A609:$ZZ609,1,$E$2+3),6,2)),VALUE(MID(INDEX('입력_구리근무자명단'!$A609:$ZZ609,1,$E$2+3),9,2))),-1))))</f>
        <v/>
      </c>
      <c r="U611">
        <f>IF($R611="","",IF(OR($S611&lt;0,$T611&lt;0),0,MAX(0,MIN($T611,EOMONTH(급여기준월,0))-MAX($S611,급여기준월)+1)))</f>
        <v/>
      </c>
      <c r="V611">
        <f>IF($R611="","",TRIM(INDEX('입력_구리근무자명단'!$A609:$ZZ609,1,$E$2+5)&amp;""))</f>
        <v/>
      </c>
      <c r="W611">
        <f>IF(ISNUMBER(SEARCH("구리독자",$V611)),"구리독자","")</f>
        <v/>
      </c>
      <c r="X611">
        <f>IF($R611="","",$R611&amp;"|"&amp;IF(OR($Q611="인턴",ISNUMBER(SEARCH("수련교육부",$P611))),"인턴",$P611))</f>
        <v/>
      </c>
      <c r="Y611">
        <f>IF($R611="","",IF(COUNTIF(명단표[이름|과],$X611)=1,"명단 일치",IF(AND(COUNTIF(명단표[이름|과],$X611)=0,COUNTIF(명단표[이름],$R611)=1),"명단 일치(이름만, 과 다름)",IF(COUNTIF(명단표[이름],$R611)=0,IF(COUNTIF(기본자료표[이름],$R611)&gt;0,"명단에 없음(기본자료에는 있음)","명단에 없음"),"동명이인 확인"))))</f>
        <v/>
      </c>
      <c r="Z611">
        <f>IF($R611="","",IF($S611&lt;0,"⚠"&amp;INDEX('입력_구리근무자명단'!$A609:$ZZ609,1,$E$2+2),TEXT($S611,"yyyy-mm-dd")))</f>
        <v/>
      </c>
      <c r="AA611">
        <f>IF($R611="","",IF($T611&lt;0,"⚠"&amp;INDEX('입력_구리근무자명단'!$A609:$ZZ609,1,$E$2+3),TEXT($T611,"yyyy-mm-dd")))</f>
        <v/>
      </c>
      <c r="AB611">
        <f>AB610+IF($R611="",0,1)</f>
        <v/>
      </c>
      <c r="AC611">
        <f>IF($R611="","",$AB611)</f>
        <v/>
      </c>
    </row>
    <row r="612">
      <c r="O612">
        <f>610</f>
        <v/>
      </c>
      <c r="P612">
        <f>IF(TRIM('입력_구리근무자명단'!$A610&amp;"")&lt;&gt;"",TRIM('입력_구리근무자명단'!$A610&amp;""),P611)</f>
        <v/>
      </c>
      <c r="Q612">
        <f>'입력_구리근무자명단'!$B610&amp;""</f>
        <v/>
      </c>
      <c r="R612">
        <f>IF($E$2="","",TRIM(INDEX('입력_구리근무자명단'!$A610:$ZZ610,1,$E$2+IF($G$2="확정",1,0))&amp;""))</f>
        <v/>
      </c>
      <c r="S612">
        <f>IF($R612="","",IF(INDEX('입력_구리근무자명단'!$A610:$ZZ610,1,$E$2+2)&amp;""="",급여기준월,IF(ISNUMBER(INDEX('입력_구리근무자명단'!$A610:$ZZ610,1,$E$2+2)),INDEX('입력_구리근무자명단'!$A610:$ZZ610,1,$E$2+2),IFERROR(DATE(VALUE(LEFT(INDEX('입력_구리근무자명단'!$A610:$ZZ610,1,$E$2+2),4)),VALUE(MID(INDEX('입력_구리근무자명단'!$A610:$ZZ610,1,$E$2+2),6,2)),VALUE(MID(INDEX('입력_구리근무자명단'!$A610:$ZZ610,1,$E$2+2),9,2))),-1))))</f>
        <v/>
      </c>
      <c r="T612">
        <f>IF($R612="","",IF(INDEX('입력_구리근무자명단'!$A610:$ZZ610,1,$E$2+3)&amp;""="",EOMONTH(급여기준월,0),IF(ISNUMBER(INDEX('입력_구리근무자명단'!$A610:$ZZ610,1,$E$2+3)),INDEX('입력_구리근무자명단'!$A610:$ZZ610,1,$E$2+3),IFERROR(DATE(VALUE(LEFT(INDEX('입력_구리근무자명단'!$A610:$ZZ610,1,$E$2+3),4)),VALUE(MID(INDEX('입력_구리근무자명단'!$A610:$ZZ610,1,$E$2+3),6,2)),VALUE(MID(INDEX('입력_구리근무자명단'!$A610:$ZZ610,1,$E$2+3),9,2))),-1))))</f>
        <v/>
      </c>
      <c r="U612">
        <f>IF($R612="","",IF(OR($S612&lt;0,$T612&lt;0),0,MAX(0,MIN($T612,EOMONTH(급여기준월,0))-MAX($S612,급여기준월)+1)))</f>
        <v/>
      </c>
      <c r="V612">
        <f>IF($R612="","",TRIM(INDEX('입력_구리근무자명단'!$A610:$ZZ610,1,$E$2+5)&amp;""))</f>
        <v/>
      </c>
      <c r="W612">
        <f>IF(ISNUMBER(SEARCH("구리독자",$V612)),"구리독자","")</f>
        <v/>
      </c>
      <c r="X612">
        <f>IF($R612="","",$R612&amp;"|"&amp;IF(OR($Q612="인턴",ISNUMBER(SEARCH("수련교육부",$P612))),"인턴",$P612))</f>
        <v/>
      </c>
      <c r="Y612">
        <f>IF($R612="","",IF(COUNTIF(명단표[이름|과],$X612)=1,"명단 일치",IF(AND(COUNTIF(명단표[이름|과],$X612)=0,COUNTIF(명단표[이름],$R612)=1),"명단 일치(이름만, 과 다름)",IF(COUNTIF(명단표[이름],$R612)=0,IF(COUNTIF(기본자료표[이름],$R612)&gt;0,"명단에 없음(기본자료에는 있음)","명단에 없음"),"동명이인 확인"))))</f>
        <v/>
      </c>
      <c r="Z612">
        <f>IF($R612="","",IF($S612&lt;0,"⚠"&amp;INDEX('입력_구리근무자명단'!$A610:$ZZ610,1,$E$2+2),TEXT($S612,"yyyy-mm-dd")))</f>
        <v/>
      </c>
      <c r="AA612">
        <f>IF($R612="","",IF($T612&lt;0,"⚠"&amp;INDEX('입력_구리근무자명단'!$A610:$ZZ610,1,$E$2+3),TEXT($T612,"yyyy-mm-dd")))</f>
        <v/>
      </c>
      <c r="AB612">
        <f>AB611+IF($R612="",0,1)</f>
        <v/>
      </c>
      <c r="AC612">
        <f>IF($R612="","",$AB612)</f>
        <v/>
      </c>
    </row>
    <row r="613">
      <c r="O613">
        <f>611</f>
        <v/>
      </c>
      <c r="P613">
        <f>IF(TRIM('입력_구리근무자명단'!$A611&amp;"")&lt;&gt;"",TRIM('입력_구리근무자명단'!$A611&amp;""),P612)</f>
        <v/>
      </c>
      <c r="Q613">
        <f>'입력_구리근무자명단'!$B611&amp;""</f>
        <v/>
      </c>
      <c r="R613">
        <f>IF($E$2="","",TRIM(INDEX('입력_구리근무자명단'!$A611:$ZZ611,1,$E$2+IF($G$2="확정",1,0))&amp;""))</f>
        <v/>
      </c>
      <c r="S613">
        <f>IF($R613="","",IF(INDEX('입력_구리근무자명단'!$A611:$ZZ611,1,$E$2+2)&amp;""="",급여기준월,IF(ISNUMBER(INDEX('입력_구리근무자명단'!$A611:$ZZ611,1,$E$2+2)),INDEX('입력_구리근무자명단'!$A611:$ZZ611,1,$E$2+2),IFERROR(DATE(VALUE(LEFT(INDEX('입력_구리근무자명단'!$A611:$ZZ611,1,$E$2+2),4)),VALUE(MID(INDEX('입력_구리근무자명단'!$A611:$ZZ611,1,$E$2+2),6,2)),VALUE(MID(INDEX('입력_구리근무자명단'!$A611:$ZZ611,1,$E$2+2),9,2))),-1))))</f>
        <v/>
      </c>
      <c r="T613">
        <f>IF($R613="","",IF(INDEX('입력_구리근무자명단'!$A611:$ZZ611,1,$E$2+3)&amp;""="",EOMONTH(급여기준월,0),IF(ISNUMBER(INDEX('입력_구리근무자명단'!$A611:$ZZ611,1,$E$2+3)),INDEX('입력_구리근무자명단'!$A611:$ZZ611,1,$E$2+3),IFERROR(DATE(VALUE(LEFT(INDEX('입력_구리근무자명단'!$A611:$ZZ611,1,$E$2+3),4)),VALUE(MID(INDEX('입력_구리근무자명단'!$A611:$ZZ611,1,$E$2+3),6,2)),VALUE(MID(INDEX('입력_구리근무자명단'!$A611:$ZZ611,1,$E$2+3),9,2))),-1))))</f>
        <v/>
      </c>
      <c r="U613">
        <f>IF($R613="","",IF(OR($S613&lt;0,$T613&lt;0),0,MAX(0,MIN($T613,EOMONTH(급여기준월,0))-MAX($S613,급여기준월)+1)))</f>
        <v/>
      </c>
      <c r="V613">
        <f>IF($R613="","",TRIM(INDEX('입력_구리근무자명단'!$A611:$ZZ611,1,$E$2+5)&amp;""))</f>
        <v/>
      </c>
      <c r="W613">
        <f>IF(ISNUMBER(SEARCH("구리독자",$V613)),"구리독자","")</f>
        <v/>
      </c>
      <c r="X613">
        <f>IF($R613="","",$R613&amp;"|"&amp;IF(OR($Q613="인턴",ISNUMBER(SEARCH("수련교육부",$P613))),"인턴",$P613))</f>
        <v/>
      </c>
      <c r="Y613">
        <f>IF($R613="","",IF(COUNTIF(명단표[이름|과],$X613)=1,"명단 일치",IF(AND(COUNTIF(명단표[이름|과],$X613)=0,COUNTIF(명단표[이름],$R613)=1),"명단 일치(이름만, 과 다름)",IF(COUNTIF(명단표[이름],$R613)=0,IF(COUNTIF(기본자료표[이름],$R613)&gt;0,"명단에 없음(기본자료에는 있음)","명단에 없음"),"동명이인 확인"))))</f>
        <v/>
      </c>
      <c r="Z613">
        <f>IF($R613="","",IF($S613&lt;0,"⚠"&amp;INDEX('입력_구리근무자명단'!$A611:$ZZ611,1,$E$2+2),TEXT($S613,"yyyy-mm-dd")))</f>
        <v/>
      </c>
      <c r="AA613">
        <f>IF($R613="","",IF($T613&lt;0,"⚠"&amp;INDEX('입력_구리근무자명단'!$A611:$ZZ611,1,$E$2+3),TEXT($T613,"yyyy-mm-dd")))</f>
        <v/>
      </c>
      <c r="AB613">
        <f>AB612+IF($R613="",0,1)</f>
        <v/>
      </c>
      <c r="AC613">
        <f>IF($R613="","",$AB613)</f>
        <v/>
      </c>
    </row>
    <row r="614">
      <c r="O614">
        <f>612</f>
        <v/>
      </c>
      <c r="P614">
        <f>IF(TRIM('입력_구리근무자명단'!$A612&amp;"")&lt;&gt;"",TRIM('입력_구리근무자명단'!$A612&amp;""),P613)</f>
        <v/>
      </c>
      <c r="Q614">
        <f>'입력_구리근무자명단'!$B612&amp;""</f>
        <v/>
      </c>
      <c r="R614">
        <f>IF($E$2="","",TRIM(INDEX('입력_구리근무자명단'!$A612:$ZZ612,1,$E$2+IF($G$2="확정",1,0))&amp;""))</f>
        <v/>
      </c>
      <c r="S614">
        <f>IF($R614="","",IF(INDEX('입력_구리근무자명단'!$A612:$ZZ612,1,$E$2+2)&amp;""="",급여기준월,IF(ISNUMBER(INDEX('입력_구리근무자명단'!$A612:$ZZ612,1,$E$2+2)),INDEX('입력_구리근무자명단'!$A612:$ZZ612,1,$E$2+2),IFERROR(DATE(VALUE(LEFT(INDEX('입력_구리근무자명단'!$A612:$ZZ612,1,$E$2+2),4)),VALUE(MID(INDEX('입력_구리근무자명단'!$A612:$ZZ612,1,$E$2+2),6,2)),VALUE(MID(INDEX('입력_구리근무자명단'!$A612:$ZZ612,1,$E$2+2),9,2))),-1))))</f>
        <v/>
      </c>
      <c r="T614">
        <f>IF($R614="","",IF(INDEX('입력_구리근무자명단'!$A612:$ZZ612,1,$E$2+3)&amp;""="",EOMONTH(급여기준월,0),IF(ISNUMBER(INDEX('입력_구리근무자명단'!$A612:$ZZ612,1,$E$2+3)),INDEX('입력_구리근무자명단'!$A612:$ZZ612,1,$E$2+3),IFERROR(DATE(VALUE(LEFT(INDEX('입력_구리근무자명단'!$A612:$ZZ612,1,$E$2+3),4)),VALUE(MID(INDEX('입력_구리근무자명단'!$A612:$ZZ612,1,$E$2+3),6,2)),VALUE(MID(INDEX('입력_구리근무자명단'!$A612:$ZZ612,1,$E$2+3),9,2))),-1))))</f>
        <v/>
      </c>
      <c r="U614">
        <f>IF($R614="","",IF(OR($S614&lt;0,$T614&lt;0),0,MAX(0,MIN($T614,EOMONTH(급여기준월,0))-MAX($S614,급여기준월)+1)))</f>
        <v/>
      </c>
      <c r="V614">
        <f>IF($R614="","",TRIM(INDEX('입력_구리근무자명단'!$A612:$ZZ612,1,$E$2+5)&amp;""))</f>
        <v/>
      </c>
      <c r="W614">
        <f>IF(ISNUMBER(SEARCH("구리독자",$V614)),"구리독자","")</f>
        <v/>
      </c>
      <c r="X614">
        <f>IF($R614="","",$R614&amp;"|"&amp;IF(OR($Q614="인턴",ISNUMBER(SEARCH("수련교육부",$P614))),"인턴",$P614))</f>
        <v/>
      </c>
      <c r="Y614">
        <f>IF($R614="","",IF(COUNTIF(명단표[이름|과],$X614)=1,"명단 일치",IF(AND(COUNTIF(명단표[이름|과],$X614)=0,COUNTIF(명단표[이름],$R614)=1),"명단 일치(이름만, 과 다름)",IF(COUNTIF(명단표[이름],$R614)=0,IF(COUNTIF(기본자료표[이름],$R614)&gt;0,"명단에 없음(기본자료에는 있음)","명단에 없음"),"동명이인 확인"))))</f>
        <v/>
      </c>
      <c r="Z614">
        <f>IF($R614="","",IF($S614&lt;0,"⚠"&amp;INDEX('입력_구리근무자명단'!$A612:$ZZ612,1,$E$2+2),TEXT($S614,"yyyy-mm-dd")))</f>
        <v/>
      </c>
      <c r="AA614">
        <f>IF($R614="","",IF($T614&lt;0,"⚠"&amp;INDEX('입력_구리근무자명단'!$A612:$ZZ612,1,$E$2+3),TEXT($T614,"yyyy-mm-dd")))</f>
        <v/>
      </c>
      <c r="AB614">
        <f>AB613+IF($R614="",0,1)</f>
        <v/>
      </c>
      <c r="AC614">
        <f>IF($R614="","",$AB614)</f>
        <v/>
      </c>
    </row>
    <row r="615">
      <c r="O615">
        <f>613</f>
        <v/>
      </c>
      <c r="P615">
        <f>IF(TRIM('입력_구리근무자명단'!$A613&amp;"")&lt;&gt;"",TRIM('입력_구리근무자명단'!$A613&amp;""),P614)</f>
        <v/>
      </c>
      <c r="Q615">
        <f>'입력_구리근무자명단'!$B613&amp;""</f>
        <v/>
      </c>
      <c r="R615">
        <f>IF($E$2="","",TRIM(INDEX('입력_구리근무자명단'!$A613:$ZZ613,1,$E$2+IF($G$2="확정",1,0))&amp;""))</f>
        <v/>
      </c>
      <c r="S615">
        <f>IF($R615="","",IF(INDEX('입력_구리근무자명단'!$A613:$ZZ613,1,$E$2+2)&amp;""="",급여기준월,IF(ISNUMBER(INDEX('입력_구리근무자명단'!$A613:$ZZ613,1,$E$2+2)),INDEX('입력_구리근무자명단'!$A613:$ZZ613,1,$E$2+2),IFERROR(DATE(VALUE(LEFT(INDEX('입력_구리근무자명단'!$A613:$ZZ613,1,$E$2+2),4)),VALUE(MID(INDEX('입력_구리근무자명단'!$A613:$ZZ613,1,$E$2+2),6,2)),VALUE(MID(INDEX('입력_구리근무자명단'!$A613:$ZZ613,1,$E$2+2),9,2))),-1))))</f>
        <v/>
      </c>
      <c r="T615">
        <f>IF($R615="","",IF(INDEX('입력_구리근무자명단'!$A613:$ZZ613,1,$E$2+3)&amp;""="",EOMONTH(급여기준월,0),IF(ISNUMBER(INDEX('입력_구리근무자명단'!$A613:$ZZ613,1,$E$2+3)),INDEX('입력_구리근무자명단'!$A613:$ZZ613,1,$E$2+3),IFERROR(DATE(VALUE(LEFT(INDEX('입력_구리근무자명단'!$A613:$ZZ613,1,$E$2+3),4)),VALUE(MID(INDEX('입력_구리근무자명단'!$A613:$ZZ613,1,$E$2+3),6,2)),VALUE(MID(INDEX('입력_구리근무자명단'!$A613:$ZZ613,1,$E$2+3),9,2))),-1))))</f>
        <v/>
      </c>
      <c r="U615">
        <f>IF($R615="","",IF(OR($S615&lt;0,$T615&lt;0),0,MAX(0,MIN($T615,EOMONTH(급여기준월,0))-MAX($S615,급여기준월)+1)))</f>
        <v/>
      </c>
      <c r="V615">
        <f>IF($R615="","",TRIM(INDEX('입력_구리근무자명단'!$A613:$ZZ613,1,$E$2+5)&amp;""))</f>
        <v/>
      </c>
      <c r="W615">
        <f>IF(ISNUMBER(SEARCH("구리독자",$V615)),"구리독자","")</f>
        <v/>
      </c>
      <c r="X615">
        <f>IF($R615="","",$R615&amp;"|"&amp;IF(OR($Q615="인턴",ISNUMBER(SEARCH("수련교육부",$P615))),"인턴",$P615))</f>
        <v/>
      </c>
      <c r="Y615">
        <f>IF($R615="","",IF(COUNTIF(명단표[이름|과],$X615)=1,"명단 일치",IF(AND(COUNTIF(명단표[이름|과],$X615)=0,COUNTIF(명단표[이름],$R615)=1),"명단 일치(이름만, 과 다름)",IF(COUNTIF(명단표[이름],$R615)=0,IF(COUNTIF(기본자료표[이름],$R615)&gt;0,"명단에 없음(기본자료에는 있음)","명단에 없음"),"동명이인 확인"))))</f>
        <v/>
      </c>
      <c r="Z615">
        <f>IF($R615="","",IF($S615&lt;0,"⚠"&amp;INDEX('입력_구리근무자명단'!$A613:$ZZ613,1,$E$2+2),TEXT($S615,"yyyy-mm-dd")))</f>
        <v/>
      </c>
      <c r="AA615">
        <f>IF($R615="","",IF($T615&lt;0,"⚠"&amp;INDEX('입력_구리근무자명단'!$A613:$ZZ613,1,$E$2+3),TEXT($T615,"yyyy-mm-dd")))</f>
        <v/>
      </c>
      <c r="AB615">
        <f>AB614+IF($R615="",0,1)</f>
        <v/>
      </c>
      <c r="AC615">
        <f>IF($R615="","",$AB615)</f>
        <v/>
      </c>
    </row>
    <row r="616">
      <c r="O616">
        <f>614</f>
        <v/>
      </c>
      <c r="P616">
        <f>IF(TRIM('입력_구리근무자명단'!$A614&amp;"")&lt;&gt;"",TRIM('입력_구리근무자명단'!$A614&amp;""),P615)</f>
        <v/>
      </c>
      <c r="Q616">
        <f>'입력_구리근무자명단'!$B614&amp;""</f>
        <v/>
      </c>
      <c r="R616">
        <f>IF($E$2="","",TRIM(INDEX('입력_구리근무자명단'!$A614:$ZZ614,1,$E$2+IF($G$2="확정",1,0))&amp;""))</f>
        <v/>
      </c>
      <c r="S616">
        <f>IF($R616="","",IF(INDEX('입력_구리근무자명단'!$A614:$ZZ614,1,$E$2+2)&amp;""="",급여기준월,IF(ISNUMBER(INDEX('입력_구리근무자명단'!$A614:$ZZ614,1,$E$2+2)),INDEX('입력_구리근무자명단'!$A614:$ZZ614,1,$E$2+2),IFERROR(DATE(VALUE(LEFT(INDEX('입력_구리근무자명단'!$A614:$ZZ614,1,$E$2+2),4)),VALUE(MID(INDEX('입력_구리근무자명단'!$A614:$ZZ614,1,$E$2+2),6,2)),VALUE(MID(INDEX('입력_구리근무자명단'!$A614:$ZZ614,1,$E$2+2),9,2))),-1))))</f>
        <v/>
      </c>
      <c r="T616">
        <f>IF($R616="","",IF(INDEX('입력_구리근무자명단'!$A614:$ZZ614,1,$E$2+3)&amp;""="",EOMONTH(급여기준월,0),IF(ISNUMBER(INDEX('입력_구리근무자명단'!$A614:$ZZ614,1,$E$2+3)),INDEX('입력_구리근무자명단'!$A614:$ZZ614,1,$E$2+3),IFERROR(DATE(VALUE(LEFT(INDEX('입력_구리근무자명단'!$A614:$ZZ614,1,$E$2+3),4)),VALUE(MID(INDEX('입력_구리근무자명단'!$A614:$ZZ614,1,$E$2+3),6,2)),VALUE(MID(INDEX('입력_구리근무자명단'!$A614:$ZZ614,1,$E$2+3),9,2))),-1))))</f>
        <v/>
      </c>
      <c r="U616">
        <f>IF($R616="","",IF(OR($S616&lt;0,$T616&lt;0),0,MAX(0,MIN($T616,EOMONTH(급여기준월,0))-MAX($S616,급여기준월)+1)))</f>
        <v/>
      </c>
      <c r="V616">
        <f>IF($R616="","",TRIM(INDEX('입력_구리근무자명단'!$A614:$ZZ614,1,$E$2+5)&amp;""))</f>
        <v/>
      </c>
      <c r="W616">
        <f>IF(ISNUMBER(SEARCH("구리독자",$V616)),"구리독자","")</f>
        <v/>
      </c>
      <c r="X616">
        <f>IF($R616="","",$R616&amp;"|"&amp;IF(OR($Q616="인턴",ISNUMBER(SEARCH("수련교육부",$P616))),"인턴",$P616))</f>
        <v/>
      </c>
      <c r="Y616">
        <f>IF($R616="","",IF(COUNTIF(명단표[이름|과],$X616)=1,"명단 일치",IF(AND(COUNTIF(명단표[이름|과],$X616)=0,COUNTIF(명단표[이름],$R616)=1),"명단 일치(이름만, 과 다름)",IF(COUNTIF(명단표[이름],$R616)=0,IF(COUNTIF(기본자료표[이름],$R616)&gt;0,"명단에 없음(기본자료에는 있음)","명단에 없음"),"동명이인 확인"))))</f>
        <v/>
      </c>
      <c r="Z616">
        <f>IF($R616="","",IF($S616&lt;0,"⚠"&amp;INDEX('입력_구리근무자명단'!$A614:$ZZ614,1,$E$2+2),TEXT($S616,"yyyy-mm-dd")))</f>
        <v/>
      </c>
      <c r="AA616">
        <f>IF($R616="","",IF($T616&lt;0,"⚠"&amp;INDEX('입력_구리근무자명단'!$A614:$ZZ614,1,$E$2+3),TEXT($T616,"yyyy-mm-dd")))</f>
        <v/>
      </c>
      <c r="AB616">
        <f>AB615+IF($R616="",0,1)</f>
        <v/>
      </c>
      <c r="AC616">
        <f>IF($R616="","",$AB616)</f>
        <v/>
      </c>
    </row>
    <row r="617">
      <c r="O617">
        <f>615</f>
        <v/>
      </c>
      <c r="P617">
        <f>IF(TRIM('입력_구리근무자명단'!$A615&amp;"")&lt;&gt;"",TRIM('입력_구리근무자명단'!$A615&amp;""),P616)</f>
        <v/>
      </c>
      <c r="Q617">
        <f>'입력_구리근무자명단'!$B615&amp;""</f>
        <v/>
      </c>
      <c r="R617">
        <f>IF($E$2="","",TRIM(INDEX('입력_구리근무자명단'!$A615:$ZZ615,1,$E$2+IF($G$2="확정",1,0))&amp;""))</f>
        <v/>
      </c>
      <c r="S617">
        <f>IF($R617="","",IF(INDEX('입력_구리근무자명단'!$A615:$ZZ615,1,$E$2+2)&amp;""="",급여기준월,IF(ISNUMBER(INDEX('입력_구리근무자명단'!$A615:$ZZ615,1,$E$2+2)),INDEX('입력_구리근무자명단'!$A615:$ZZ615,1,$E$2+2),IFERROR(DATE(VALUE(LEFT(INDEX('입력_구리근무자명단'!$A615:$ZZ615,1,$E$2+2),4)),VALUE(MID(INDEX('입력_구리근무자명단'!$A615:$ZZ615,1,$E$2+2),6,2)),VALUE(MID(INDEX('입력_구리근무자명단'!$A615:$ZZ615,1,$E$2+2),9,2))),-1))))</f>
        <v/>
      </c>
      <c r="T617">
        <f>IF($R617="","",IF(INDEX('입력_구리근무자명단'!$A615:$ZZ615,1,$E$2+3)&amp;""="",EOMONTH(급여기준월,0),IF(ISNUMBER(INDEX('입력_구리근무자명단'!$A615:$ZZ615,1,$E$2+3)),INDEX('입력_구리근무자명단'!$A615:$ZZ615,1,$E$2+3),IFERROR(DATE(VALUE(LEFT(INDEX('입력_구리근무자명단'!$A615:$ZZ615,1,$E$2+3),4)),VALUE(MID(INDEX('입력_구리근무자명단'!$A615:$ZZ615,1,$E$2+3),6,2)),VALUE(MID(INDEX('입력_구리근무자명단'!$A615:$ZZ615,1,$E$2+3),9,2))),-1))))</f>
        <v/>
      </c>
      <c r="U617">
        <f>IF($R617="","",IF(OR($S617&lt;0,$T617&lt;0),0,MAX(0,MIN($T617,EOMONTH(급여기준월,0))-MAX($S617,급여기준월)+1)))</f>
        <v/>
      </c>
      <c r="V617">
        <f>IF($R617="","",TRIM(INDEX('입력_구리근무자명단'!$A615:$ZZ615,1,$E$2+5)&amp;""))</f>
        <v/>
      </c>
      <c r="W617">
        <f>IF(ISNUMBER(SEARCH("구리독자",$V617)),"구리독자","")</f>
        <v/>
      </c>
      <c r="X617">
        <f>IF($R617="","",$R617&amp;"|"&amp;IF(OR($Q617="인턴",ISNUMBER(SEARCH("수련교육부",$P617))),"인턴",$P617))</f>
        <v/>
      </c>
      <c r="Y617">
        <f>IF($R617="","",IF(COUNTIF(명단표[이름|과],$X617)=1,"명단 일치",IF(AND(COUNTIF(명단표[이름|과],$X617)=0,COUNTIF(명단표[이름],$R617)=1),"명단 일치(이름만, 과 다름)",IF(COUNTIF(명단표[이름],$R617)=0,IF(COUNTIF(기본자료표[이름],$R617)&gt;0,"명단에 없음(기본자료에는 있음)","명단에 없음"),"동명이인 확인"))))</f>
        <v/>
      </c>
      <c r="Z617">
        <f>IF($R617="","",IF($S617&lt;0,"⚠"&amp;INDEX('입력_구리근무자명단'!$A615:$ZZ615,1,$E$2+2),TEXT($S617,"yyyy-mm-dd")))</f>
        <v/>
      </c>
      <c r="AA617">
        <f>IF($R617="","",IF($T617&lt;0,"⚠"&amp;INDEX('입력_구리근무자명단'!$A615:$ZZ615,1,$E$2+3),TEXT($T617,"yyyy-mm-dd")))</f>
        <v/>
      </c>
      <c r="AB617">
        <f>AB616+IF($R617="",0,1)</f>
        <v/>
      </c>
      <c r="AC617">
        <f>IF($R617="","",$AB617)</f>
        <v/>
      </c>
    </row>
    <row r="618">
      <c r="O618">
        <f>616</f>
        <v/>
      </c>
      <c r="P618">
        <f>IF(TRIM('입력_구리근무자명단'!$A616&amp;"")&lt;&gt;"",TRIM('입력_구리근무자명단'!$A616&amp;""),P617)</f>
        <v/>
      </c>
      <c r="Q618">
        <f>'입력_구리근무자명단'!$B616&amp;""</f>
        <v/>
      </c>
      <c r="R618">
        <f>IF($E$2="","",TRIM(INDEX('입력_구리근무자명단'!$A616:$ZZ616,1,$E$2+IF($G$2="확정",1,0))&amp;""))</f>
        <v/>
      </c>
      <c r="S618">
        <f>IF($R618="","",IF(INDEX('입력_구리근무자명단'!$A616:$ZZ616,1,$E$2+2)&amp;""="",급여기준월,IF(ISNUMBER(INDEX('입력_구리근무자명단'!$A616:$ZZ616,1,$E$2+2)),INDEX('입력_구리근무자명단'!$A616:$ZZ616,1,$E$2+2),IFERROR(DATE(VALUE(LEFT(INDEX('입력_구리근무자명단'!$A616:$ZZ616,1,$E$2+2),4)),VALUE(MID(INDEX('입력_구리근무자명단'!$A616:$ZZ616,1,$E$2+2),6,2)),VALUE(MID(INDEX('입력_구리근무자명단'!$A616:$ZZ616,1,$E$2+2),9,2))),-1))))</f>
        <v/>
      </c>
      <c r="T618">
        <f>IF($R618="","",IF(INDEX('입력_구리근무자명단'!$A616:$ZZ616,1,$E$2+3)&amp;""="",EOMONTH(급여기준월,0),IF(ISNUMBER(INDEX('입력_구리근무자명단'!$A616:$ZZ616,1,$E$2+3)),INDEX('입력_구리근무자명단'!$A616:$ZZ616,1,$E$2+3),IFERROR(DATE(VALUE(LEFT(INDEX('입력_구리근무자명단'!$A616:$ZZ616,1,$E$2+3),4)),VALUE(MID(INDEX('입력_구리근무자명단'!$A616:$ZZ616,1,$E$2+3),6,2)),VALUE(MID(INDEX('입력_구리근무자명단'!$A616:$ZZ616,1,$E$2+3),9,2))),-1))))</f>
        <v/>
      </c>
      <c r="U618">
        <f>IF($R618="","",IF(OR($S618&lt;0,$T618&lt;0),0,MAX(0,MIN($T618,EOMONTH(급여기준월,0))-MAX($S618,급여기준월)+1)))</f>
        <v/>
      </c>
      <c r="V618">
        <f>IF($R618="","",TRIM(INDEX('입력_구리근무자명단'!$A616:$ZZ616,1,$E$2+5)&amp;""))</f>
        <v/>
      </c>
      <c r="W618">
        <f>IF(ISNUMBER(SEARCH("구리독자",$V618)),"구리독자","")</f>
        <v/>
      </c>
      <c r="X618">
        <f>IF($R618="","",$R618&amp;"|"&amp;IF(OR($Q618="인턴",ISNUMBER(SEARCH("수련교육부",$P618))),"인턴",$P618))</f>
        <v/>
      </c>
      <c r="Y618">
        <f>IF($R618="","",IF(COUNTIF(명단표[이름|과],$X618)=1,"명단 일치",IF(AND(COUNTIF(명단표[이름|과],$X618)=0,COUNTIF(명단표[이름],$R618)=1),"명단 일치(이름만, 과 다름)",IF(COUNTIF(명단표[이름],$R618)=0,IF(COUNTIF(기본자료표[이름],$R618)&gt;0,"명단에 없음(기본자료에는 있음)","명단에 없음"),"동명이인 확인"))))</f>
        <v/>
      </c>
      <c r="Z618">
        <f>IF($R618="","",IF($S618&lt;0,"⚠"&amp;INDEX('입력_구리근무자명단'!$A616:$ZZ616,1,$E$2+2),TEXT($S618,"yyyy-mm-dd")))</f>
        <v/>
      </c>
      <c r="AA618">
        <f>IF($R618="","",IF($T618&lt;0,"⚠"&amp;INDEX('입력_구리근무자명단'!$A616:$ZZ616,1,$E$2+3),TEXT($T618,"yyyy-mm-dd")))</f>
        <v/>
      </c>
      <c r="AB618">
        <f>AB617+IF($R618="",0,1)</f>
        <v/>
      </c>
      <c r="AC618">
        <f>IF($R618="","",$AB618)</f>
        <v/>
      </c>
    </row>
    <row r="619">
      <c r="O619">
        <f>617</f>
        <v/>
      </c>
      <c r="P619">
        <f>IF(TRIM('입력_구리근무자명단'!$A617&amp;"")&lt;&gt;"",TRIM('입력_구리근무자명단'!$A617&amp;""),P618)</f>
        <v/>
      </c>
      <c r="Q619">
        <f>'입력_구리근무자명단'!$B617&amp;""</f>
        <v/>
      </c>
      <c r="R619">
        <f>IF($E$2="","",TRIM(INDEX('입력_구리근무자명단'!$A617:$ZZ617,1,$E$2+IF($G$2="확정",1,0))&amp;""))</f>
        <v/>
      </c>
      <c r="S619">
        <f>IF($R619="","",IF(INDEX('입력_구리근무자명단'!$A617:$ZZ617,1,$E$2+2)&amp;""="",급여기준월,IF(ISNUMBER(INDEX('입력_구리근무자명단'!$A617:$ZZ617,1,$E$2+2)),INDEX('입력_구리근무자명단'!$A617:$ZZ617,1,$E$2+2),IFERROR(DATE(VALUE(LEFT(INDEX('입력_구리근무자명단'!$A617:$ZZ617,1,$E$2+2),4)),VALUE(MID(INDEX('입력_구리근무자명단'!$A617:$ZZ617,1,$E$2+2),6,2)),VALUE(MID(INDEX('입력_구리근무자명단'!$A617:$ZZ617,1,$E$2+2),9,2))),-1))))</f>
        <v/>
      </c>
      <c r="T619">
        <f>IF($R619="","",IF(INDEX('입력_구리근무자명단'!$A617:$ZZ617,1,$E$2+3)&amp;""="",EOMONTH(급여기준월,0),IF(ISNUMBER(INDEX('입력_구리근무자명단'!$A617:$ZZ617,1,$E$2+3)),INDEX('입력_구리근무자명단'!$A617:$ZZ617,1,$E$2+3),IFERROR(DATE(VALUE(LEFT(INDEX('입력_구리근무자명단'!$A617:$ZZ617,1,$E$2+3),4)),VALUE(MID(INDEX('입력_구리근무자명단'!$A617:$ZZ617,1,$E$2+3),6,2)),VALUE(MID(INDEX('입력_구리근무자명단'!$A617:$ZZ617,1,$E$2+3),9,2))),-1))))</f>
        <v/>
      </c>
      <c r="U619">
        <f>IF($R619="","",IF(OR($S619&lt;0,$T619&lt;0),0,MAX(0,MIN($T619,EOMONTH(급여기준월,0))-MAX($S619,급여기준월)+1)))</f>
        <v/>
      </c>
      <c r="V619">
        <f>IF($R619="","",TRIM(INDEX('입력_구리근무자명단'!$A617:$ZZ617,1,$E$2+5)&amp;""))</f>
        <v/>
      </c>
      <c r="W619">
        <f>IF(ISNUMBER(SEARCH("구리독자",$V619)),"구리독자","")</f>
        <v/>
      </c>
      <c r="X619">
        <f>IF($R619="","",$R619&amp;"|"&amp;IF(OR($Q619="인턴",ISNUMBER(SEARCH("수련교육부",$P619))),"인턴",$P619))</f>
        <v/>
      </c>
      <c r="Y619">
        <f>IF($R619="","",IF(COUNTIF(명단표[이름|과],$X619)=1,"명단 일치",IF(AND(COUNTIF(명단표[이름|과],$X619)=0,COUNTIF(명단표[이름],$R619)=1),"명단 일치(이름만, 과 다름)",IF(COUNTIF(명단표[이름],$R619)=0,IF(COUNTIF(기본자료표[이름],$R619)&gt;0,"명단에 없음(기본자료에는 있음)","명단에 없음"),"동명이인 확인"))))</f>
        <v/>
      </c>
      <c r="Z619">
        <f>IF($R619="","",IF($S619&lt;0,"⚠"&amp;INDEX('입력_구리근무자명단'!$A617:$ZZ617,1,$E$2+2),TEXT($S619,"yyyy-mm-dd")))</f>
        <v/>
      </c>
      <c r="AA619">
        <f>IF($R619="","",IF($T619&lt;0,"⚠"&amp;INDEX('입력_구리근무자명단'!$A617:$ZZ617,1,$E$2+3),TEXT($T619,"yyyy-mm-dd")))</f>
        <v/>
      </c>
      <c r="AB619">
        <f>AB618+IF($R619="",0,1)</f>
        <v/>
      </c>
      <c r="AC619">
        <f>IF($R619="","",$AB619)</f>
        <v/>
      </c>
    </row>
    <row r="620">
      <c r="O620">
        <f>618</f>
        <v/>
      </c>
      <c r="P620">
        <f>IF(TRIM('입력_구리근무자명단'!$A618&amp;"")&lt;&gt;"",TRIM('입력_구리근무자명단'!$A618&amp;""),P619)</f>
        <v/>
      </c>
      <c r="Q620">
        <f>'입력_구리근무자명단'!$B618&amp;""</f>
        <v/>
      </c>
      <c r="R620">
        <f>IF($E$2="","",TRIM(INDEX('입력_구리근무자명단'!$A618:$ZZ618,1,$E$2+IF($G$2="확정",1,0))&amp;""))</f>
        <v/>
      </c>
      <c r="S620">
        <f>IF($R620="","",IF(INDEX('입력_구리근무자명단'!$A618:$ZZ618,1,$E$2+2)&amp;""="",급여기준월,IF(ISNUMBER(INDEX('입력_구리근무자명단'!$A618:$ZZ618,1,$E$2+2)),INDEX('입력_구리근무자명단'!$A618:$ZZ618,1,$E$2+2),IFERROR(DATE(VALUE(LEFT(INDEX('입력_구리근무자명단'!$A618:$ZZ618,1,$E$2+2),4)),VALUE(MID(INDEX('입력_구리근무자명단'!$A618:$ZZ618,1,$E$2+2),6,2)),VALUE(MID(INDEX('입력_구리근무자명단'!$A618:$ZZ618,1,$E$2+2),9,2))),-1))))</f>
        <v/>
      </c>
      <c r="T620">
        <f>IF($R620="","",IF(INDEX('입력_구리근무자명단'!$A618:$ZZ618,1,$E$2+3)&amp;""="",EOMONTH(급여기준월,0),IF(ISNUMBER(INDEX('입력_구리근무자명단'!$A618:$ZZ618,1,$E$2+3)),INDEX('입력_구리근무자명단'!$A618:$ZZ618,1,$E$2+3),IFERROR(DATE(VALUE(LEFT(INDEX('입력_구리근무자명단'!$A618:$ZZ618,1,$E$2+3),4)),VALUE(MID(INDEX('입력_구리근무자명단'!$A618:$ZZ618,1,$E$2+3),6,2)),VALUE(MID(INDEX('입력_구리근무자명단'!$A618:$ZZ618,1,$E$2+3),9,2))),-1))))</f>
        <v/>
      </c>
      <c r="U620">
        <f>IF($R620="","",IF(OR($S620&lt;0,$T620&lt;0),0,MAX(0,MIN($T620,EOMONTH(급여기준월,0))-MAX($S620,급여기준월)+1)))</f>
        <v/>
      </c>
      <c r="V620">
        <f>IF($R620="","",TRIM(INDEX('입력_구리근무자명단'!$A618:$ZZ618,1,$E$2+5)&amp;""))</f>
        <v/>
      </c>
      <c r="W620">
        <f>IF(ISNUMBER(SEARCH("구리독자",$V620)),"구리독자","")</f>
        <v/>
      </c>
      <c r="X620">
        <f>IF($R620="","",$R620&amp;"|"&amp;IF(OR($Q620="인턴",ISNUMBER(SEARCH("수련교육부",$P620))),"인턴",$P620))</f>
        <v/>
      </c>
      <c r="Y620">
        <f>IF($R620="","",IF(COUNTIF(명단표[이름|과],$X620)=1,"명단 일치",IF(AND(COUNTIF(명단표[이름|과],$X620)=0,COUNTIF(명단표[이름],$R620)=1),"명단 일치(이름만, 과 다름)",IF(COUNTIF(명단표[이름],$R620)=0,IF(COUNTIF(기본자료표[이름],$R620)&gt;0,"명단에 없음(기본자료에는 있음)","명단에 없음"),"동명이인 확인"))))</f>
        <v/>
      </c>
      <c r="Z620">
        <f>IF($R620="","",IF($S620&lt;0,"⚠"&amp;INDEX('입력_구리근무자명단'!$A618:$ZZ618,1,$E$2+2),TEXT($S620,"yyyy-mm-dd")))</f>
        <v/>
      </c>
      <c r="AA620">
        <f>IF($R620="","",IF($T620&lt;0,"⚠"&amp;INDEX('입력_구리근무자명단'!$A618:$ZZ618,1,$E$2+3),TEXT($T620,"yyyy-mm-dd")))</f>
        <v/>
      </c>
      <c r="AB620">
        <f>AB619+IF($R620="",0,1)</f>
        <v/>
      </c>
      <c r="AC620">
        <f>IF($R620="","",$AB620)</f>
        <v/>
      </c>
    </row>
    <row r="621">
      <c r="O621">
        <f>619</f>
        <v/>
      </c>
      <c r="P621">
        <f>IF(TRIM('입력_구리근무자명단'!$A619&amp;"")&lt;&gt;"",TRIM('입력_구리근무자명단'!$A619&amp;""),P620)</f>
        <v/>
      </c>
      <c r="Q621">
        <f>'입력_구리근무자명단'!$B619&amp;""</f>
        <v/>
      </c>
      <c r="R621">
        <f>IF($E$2="","",TRIM(INDEX('입력_구리근무자명단'!$A619:$ZZ619,1,$E$2+IF($G$2="확정",1,0))&amp;""))</f>
        <v/>
      </c>
      <c r="S621">
        <f>IF($R621="","",IF(INDEX('입력_구리근무자명단'!$A619:$ZZ619,1,$E$2+2)&amp;""="",급여기준월,IF(ISNUMBER(INDEX('입력_구리근무자명단'!$A619:$ZZ619,1,$E$2+2)),INDEX('입력_구리근무자명단'!$A619:$ZZ619,1,$E$2+2),IFERROR(DATE(VALUE(LEFT(INDEX('입력_구리근무자명단'!$A619:$ZZ619,1,$E$2+2),4)),VALUE(MID(INDEX('입력_구리근무자명단'!$A619:$ZZ619,1,$E$2+2),6,2)),VALUE(MID(INDEX('입력_구리근무자명단'!$A619:$ZZ619,1,$E$2+2),9,2))),-1))))</f>
        <v/>
      </c>
      <c r="T621">
        <f>IF($R621="","",IF(INDEX('입력_구리근무자명단'!$A619:$ZZ619,1,$E$2+3)&amp;""="",EOMONTH(급여기준월,0),IF(ISNUMBER(INDEX('입력_구리근무자명단'!$A619:$ZZ619,1,$E$2+3)),INDEX('입력_구리근무자명단'!$A619:$ZZ619,1,$E$2+3),IFERROR(DATE(VALUE(LEFT(INDEX('입력_구리근무자명단'!$A619:$ZZ619,1,$E$2+3),4)),VALUE(MID(INDEX('입력_구리근무자명단'!$A619:$ZZ619,1,$E$2+3),6,2)),VALUE(MID(INDEX('입력_구리근무자명단'!$A619:$ZZ619,1,$E$2+3),9,2))),-1))))</f>
        <v/>
      </c>
      <c r="U621">
        <f>IF($R621="","",IF(OR($S621&lt;0,$T621&lt;0),0,MAX(0,MIN($T621,EOMONTH(급여기준월,0))-MAX($S621,급여기준월)+1)))</f>
        <v/>
      </c>
      <c r="V621">
        <f>IF($R621="","",TRIM(INDEX('입력_구리근무자명단'!$A619:$ZZ619,1,$E$2+5)&amp;""))</f>
        <v/>
      </c>
      <c r="W621">
        <f>IF(ISNUMBER(SEARCH("구리독자",$V621)),"구리독자","")</f>
        <v/>
      </c>
      <c r="X621">
        <f>IF($R621="","",$R621&amp;"|"&amp;IF(OR($Q621="인턴",ISNUMBER(SEARCH("수련교육부",$P621))),"인턴",$P621))</f>
        <v/>
      </c>
      <c r="Y621">
        <f>IF($R621="","",IF(COUNTIF(명단표[이름|과],$X621)=1,"명단 일치",IF(AND(COUNTIF(명단표[이름|과],$X621)=0,COUNTIF(명단표[이름],$R621)=1),"명단 일치(이름만, 과 다름)",IF(COUNTIF(명단표[이름],$R621)=0,IF(COUNTIF(기본자료표[이름],$R621)&gt;0,"명단에 없음(기본자료에는 있음)","명단에 없음"),"동명이인 확인"))))</f>
        <v/>
      </c>
      <c r="Z621">
        <f>IF($R621="","",IF($S621&lt;0,"⚠"&amp;INDEX('입력_구리근무자명단'!$A619:$ZZ619,1,$E$2+2),TEXT($S621,"yyyy-mm-dd")))</f>
        <v/>
      </c>
      <c r="AA621">
        <f>IF($R621="","",IF($T621&lt;0,"⚠"&amp;INDEX('입력_구리근무자명단'!$A619:$ZZ619,1,$E$2+3),TEXT($T621,"yyyy-mm-dd")))</f>
        <v/>
      </c>
      <c r="AB621">
        <f>AB620+IF($R621="",0,1)</f>
        <v/>
      </c>
      <c r="AC621">
        <f>IF($R621="","",$AB621)</f>
        <v/>
      </c>
    </row>
    <row r="622">
      <c r="O622">
        <f>620</f>
        <v/>
      </c>
      <c r="P622">
        <f>IF(TRIM('입력_구리근무자명단'!$A620&amp;"")&lt;&gt;"",TRIM('입력_구리근무자명단'!$A620&amp;""),P621)</f>
        <v/>
      </c>
      <c r="Q622">
        <f>'입력_구리근무자명단'!$B620&amp;""</f>
        <v/>
      </c>
      <c r="R622">
        <f>IF($E$2="","",TRIM(INDEX('입력_구리근무자명단'!$A620:$ZZ620,1,$E$2+IF($G$2="확정",1,0))&amp;""))</f>
        <v/>
      </c>
      <c r="S622">
        <f>IF($R622="","",IF(INDEX('입력_구리근무자명단'!$A620:$ZZ620,1,$E$2+2)&amp;""="",급여기준월,IF(ISNUMBER(INDEX('입력_구리근무자명단'!$A620:$ZZ620,1,$E$2+2)),INDEX('입력_구리근무자명단'!$A620:$ZZ620,1,$E$2+2),IFERROR(DATE(VALUE(LEFT(INDEX('입력_구리근무자명단'!$A620:$ZZ620,1,$E$2+2),4)),VALUE(MID(INDEX('입력_구리근무자명단'!$A620:$ZZ620,1,$E$2+2),6,2)),VALUE(MID(INDEX('입력_구리근무자명단'!$A620:$ZZ620,1,$E$2+2),9,2))),-1))))</f>
        <v/>
      </c>
      <c r="T622">
        <f>IF($R622="","",IF(INDEX('입력_구리근무자명단'!$A620:$ZZ620,1,$E$2+3)&amp;""="",EOMONTH(급여기준월,0),IF(ISNUMBER(INDEX('입력_구리근무자명단'!$A620:$ZZ620,1,$E$2+3)),INDEX('입력_구리근무자명단'!$A620:$ZZ620,1,$E$2+3),IFERROR(DATE(VALUE(LEFT(INDEX('입력_구리근무자명단'!$A620:$ZZ620,1,$E$2+3),4)),VALUE(MID(INDEX('입력_구리근무자명단'!$A620:$ZZ620,1,$E$2+3),6,2)),VALUE(MID(INDEX('입력_구리근무자명단'!$A620:$ZZ620,1,$E$2+3),9,2))),-1))))</f>
        <v/>
      </c>
      <c r="U622">
        <f>IF($R622="","",IF(OR($S622&lt;0,$T622&lt;0),0,MAX(0,MIN($T622,EOMONTH(급여기준월,0))-MAX($S622,급여기준월)+1)))</f>
        <v/>
      </c>
      <c r="V622">
        <f>IF($R622="","",TRIM(INDEX('입력_구리근무자명단'!$A620:$ZZ620,1,$E$2+5)&amp;""))</f>
        <v/>
      </c>
      <c r="W622">
        <f>IF(ISNUMBER(SEARCH("구리독자",$V622)),"구리독자","")</f>
        <v/>
      </c>
      <c r="X622">
        <f>IF($R622="","",$R622&amp;"|"&amp;IF(OR($Q622="인턴",ISNUMBER(SEARCH("수련교육부",$P622))),"인턴",$P622))</f>
        <v/>
      </c>
      <c r="Y622">
        <f>IF($R622="","",IF(COUNTIF(명단표[이름|과],$X622)=1,"명단 일치",IF(AND(COUNTIF(명단표[이름|과],$X622)=0,COUNTIF(명단표[이름],$R622)=1),"명단 일치(이름만, 과 다름)",IF(COUNTIF(명단표[이름],$R622)=0,IF(COUNTIF(기본자료표[이름],$R622)&gt;0,"명단에 없음(기본자료에는 있음)","명단에 없음"),"동명이인 확인"))))</f>
        <v/>
      </c>
      <c r="Z622">
        <f>IF($R622="","",IF($S622&lt;0,"⚠"&amp;INDEX('입력_구리근무자명단'!$A620:$ZZ620,1,$E$2+2),TEXT($S622,"yyyy-mm-dd")))</f>
        <v/>
      </c>
      <c r="AA622">
        <f>IF($R622="","",IF($T622&lt;0,"⚠"&amp;INDEX('입력_구리근무자명단'!$A620:$ZZ620,1,$E$2+3),TEXT($T622,"yyyy-mm-dd")))</f>
        <v/>
      </c>
      <c r="AB622">
        <f>AB621+IF($R622="",0,1)</f>
        <v/>
      </c>
      <c r="AC622">
        <f>IF($R622="","",$AB622)</f>
        <v/>
      </c>
    </row>
    <row r="623">
      <c r="O623">
        <f>621</f>
        <v/>
      </c>
      <c r="P623">
        <f>IF(TRIM('입력_구리근무자명단'!$A621&amp;"")&lt;&gt;"",TRIM('입력_구리근무자명단'!$A621&amp;""),P622)</f>
        <v/>
      </c>
      <c r="Q623">
        <f>'입력_구리근무자명단'!$B621&amp;""</f>
        <v/>
      </c>
      <c r="R623">
        <f>IF($E$2="","",TRIM(INDEX('입력_구리근무자명단'!$A621:$ZZ621,1,$E$2+IF($G$2="확정",1,0))&amp;""))</f>
        <v/>
      </c>
      <c r="S623">
        <f>IF($R623="","",IF(INDEX('입력_구리근무자명단'!$A621:$ZZ621,1,$E$2+2)&amp;""="",급여기준월,IF(ISNUMBER(INDEX('입력_구리근무자명단'!$A621:$ZZ621,1,$E$2+2)),INDEX('입력_구리근무자명단'!$A621:$ZZ621,1,$E$2+2),IFERROR(DATE(VALUE(LEFT(INDEX('입력_구리근무자명단'!$A621:$ZZ621,1,$E$2+2),4)),VALUE(MID(INDEX('입력_구리근무자명단'!$A621:$ZZ621,1,$E$2+2),6,2)),VALUE(MID(INDEX('입력_구리근무자명단'!$A621:$ZZ621,1,$E$2+2),9,2))),-1))))</f>
        <v/>
      </c>
      <c r="T623">
        <f>IF($R623="","",IF(INDEX('입력_구리근무자명단'!$A621:$ZZ621,1,$E$2+3)&amp;""="",EOMONTH(급여기준월,0),IF(ISNUMBER(INDEX('입력_구리근무자명단'!$A621:$ZZ621,1,$E$2+3)),INDEX('입력_구리근무자명단'!$A621:$ZZ621,1,$E$2+3),IFERROR(DATE(VALUE(LEFT(INDEX('입력_구리근무자명단'!$A621:$ZZ621,1,$E$2+3),4)),VALUE(MID(INDEX('입력_구리근무자명단'!$A621:$ZZ621,1,$E$2+3),6,2)),VALUE(MID(INDEX('입력_구리근무자명단'!$A621:$ZZ621,1,$E$2+3),9,2))),-1))))</f>
        <v/>
      </c>
      <c r="U623">
        <f>IF($R623="","",IF(OR($S623&lt;0,$T623&lt;0),0,MAX(0,MIN($T623,EOMONTH(급여기준월,0))-MAX($S623,급여기준월)+1)))</f>
        <v/>
      </c>
      <c r="V623">
        <f>IF($R623="","",TRIM(INDEX('입력_구리근무자명단'!$A621:$ZZ621,1,$E$2+5)&amp;""))</f>
        <v/>
      </c>
      <c r="W623">
        <f>IF(ISNUMBER(SEARCH("구리독자",$V623)),"구리독자","")</f>
        <v/>
      </c>
      <c r="X623">
        <f>IF($R623="","",$R623&amp;"|"&amp;IF(OR($Q623="인턴",ISNUMBER(SEARCH("수련교육부",$P623))),"인턴",$P623))</f>
        <v/>
      </c>
      <c r="Y623">
        <f>IF($R623="","",IF(COUNTIF(명단표[이름|과],$X623)=1,"명단 일치",IF(AND(COUNTIF(명단표[이름|과],$X623)=0,COUNTIF(명단표[이름],$R623)=1),"명단 일치(이름만, 과 다름)",IF(COUNTIF(명단표[이름],$R623)=0,IF(COUNTIF(기본자료표[이름],$R623)&gt;0,"명단에 없음(기본자료에는 있음)","명단에 없음"),"동명이인 확인"))))</f>
        <v/>
      </c>
      <c r="Z623">
        <f>IF($R623="","",IF($S623&lt;0,"⚠"&amp;INDEX('입력_구리근무자명단'!$A621:$ZZ621,1,$E$2+2),TEXT($S623,"yyyy-mm-dd")))</f>
        <v/>
      </c>
      <c r="AA623">
        <f>IF($R623="","",IF($T623&lt;0,"⚠"&amp;INDEX('입력_구리근무자명단'!$A621:$ZZ621,1,$E$2+3),TEXT($T623,"yyyy-mm-dd")))</f>
        <v/>
      </c>
      <c r="AB623">
        <f>AB622+IF($R623="",0,1)</f>
        <v/>
      </c>
      <c r="AC623">
        <f>IF($R623="","",$AB623)</f>
        <v/>
      </c>
    </row>
    <row r="624">
      <c r="O624">
        <f>622</f>
        <v/>
      </c>
      <c r="P624">
        <f>IF(TRIM('입력_구리근무자명단'!$A622&amp;"")&lt;&gt;"",TRIM('입력_구리근무자명단'!$A622&amp;""),P623)</f>
        <v/>
      </c>
      <c r="Q624">
        <f>'입력_구리근무자명단'!$B622&amp;""</f>
        <v/>
      </c>
      <c r="R624">
        <f>IF($E$2="","",TRIM(INDEX('입력_구리근무자명단'!$A622:$ZZ622,1,$E$2+IF($G$2="확정",1,0))&amp;""))</f>
        <v/>
      </c>
      <c r="S624">
        <f>IF($R624="","",IF(INDEX('입력_구리근무자명단'!$A622:$ZZ622,1,$E$2+2)&amp;""="",급여기준월,IF(ISNUMBER(INDEX('입력_구리근무자명단'!$A622:$ZZ622,1,$E$2+2)),INDEX('입력_구리근무자명단'!$A622:$ZZ622,1,$E$2+2),IFERROR(DATE(VALUE(LEFT(INDEX('입력_구리근무자명단'!$A622:$ZZ622,1,$E$2+2),4)),VALUE(MID(INDEX('입력_구리근무자명단'!$A622:$ZZ622,1,$E$2+2),6,2)),VALUE(MID(INDEX('입력_구리근무자명단'!$A622:$ZZ622,1,$E$2+2),9,2))),-1))))</f>
        <v/>
      </c>
      <c r="T624">
        <f>IF($R624="","",IF(INDEX('입력_구리근무자명단'!$A622:$ZZ622,1,$E$2+3)&amp;""="",EOMONTH(급여기준월,0),IF(ISNUMBER(INDEX('입력_구리근무자명단'!$A622:$ZZ622,1,$E$2+3)),INDEX('입력_구리근무자명단'!$A622:$ZZ622,1,$E$2+3),IFERROR(DATE(VALUE(LEFT(INDEX('입력_구리근무자명단'!$A622:$ZZ622,1,$E$2+3),4)),VALUE(MID(INDEX('입력_구리근무자명단'!$A622:$ZZ622,1,$E$2+3),6,2)),VALUE(MID(INDEX('입력_구리근무자명단'!$A622:$ZZ622,1,$E$2+3),9,2))),-1))))</f>
        <v/>
      </c>
      <c r="U624">
        <f>IF($R624="","",IF(OR($S624&lt;0,$T624&lt;0),0,MAX(0,MIN($T624,EOMONTH(급여기준월,0))-MAX($S624,급여기준월)+1)))</f>
        <v/>
      </c>
      <c r="V624">
        <f>IF($R624="","",TRIM(INDEX('입력_구리근무자명단'!$A622:$ZZ622,1,$E$2+5)&amp;""))</f>
        <v/>
      </c>
      <c r="W624">
        <f>IF(ISNUMBER(SEARCH("구리독자",$V624)),"구리독자","")</f>
        <v/>
      </c>
      <c r="X624">
        <f>IF($R624="","",$R624&amp;"|"&amp;IF(OR($Q624="인턴",ISNUMBER(SEARCH("수련교육부",$P624))),"인턴",$P624))</f>
        <v/>
      </c>
      <c r="Y624">
        <f>IF($R624="","",IF(COUNTIF(명단표[이름|과],$X624)=1,"명단 일치",IF(AND(COUNTIF(명단표[이름|과],$X624)=0,COUNTIF(명단표[이름],$R624)=1),"명단 일치(이름만, 과 다름)",IF(COUNTIF(명단표[이름],$R624)=0,IF(COUNTIF(기본자료표[이름],$R624)&gt;0,"명단에 없음(기본자료에는 있음)","명단에 없음"),"동명이인 확인"))))</f>
        <v/>
      </c>
      <c r="Z624">
        <f>IF($R624="","",IF($S624&lt;0,"⚠"&amp;INDEX('입력_구리근무자명단'!$A622:$ZZ622,1,$E$2+2),TEXT($S624,"yyyy-mm-dd")))</f>
        <v/>
      </c>
      <c r="AA624">
        <f>IF($R624="","",IF($T624&lt;0,"⚠"&amp;INDEX('입력_구리근무자명단'!$A622:$ZZ622,1,$E$2+3),TEXT($T624,"yyyy-mm-dd")))</f>
        <v/>
      </c>
      <c r="AB624">
        <f>AB623+IF($R624="",0,1)</f>
        <v/>
      </c>
      <c r="AC624">
        <f>IF($R624="","",$AB624)</f>
        <v/>
      </c>
    </row>
    <row r="625">
      <c r="O625">
        <f>623</f>
        <v/>
      </c>
      <c r="P625">
        <f>IF(TRIM('입력_구리근무자명단'!$A623&amp;"")&lt;&gt;"",TRIM('입력_구리근무자명단'!$A623&amp;""),P624)</f>
        <v/>
      </c>
      <c r="Q625">
        <f>'입력_구리근무자명단'!$B623&amp;""</f>
        <v/>
      </c>
      <c r="R625">
        <f>IF($E$2="","",TRIM(INDEX('입력_구리근무자명단'!$A623:$ZZ623,1,$E$2+IF($G$2="확정",1,0))&amp;""))</f>
        <v/>
      </c>
      <c r="S625">
        <f>IF($R625="","",IF(INDEX('입력_구리근무자명단'!$A623:$ZZ623,1,$E$2+2)&amp;""="",급여기준월,IF(ISNUMBER(INDEX('입력_구리근무자명단'!$A623:$ZZ623,1,$E$2+2)),INDEX('입력_구리근무자명단'!$A623:$ZZ623,1,$E$2+2),IFERROR(DATE(VALUE(LEFT(INDEX('입력_구리근무자명단'!$A623:$ZZ623,1,$E$2+2),4)),VALUE(MID(INDEX('입력_구리근무자명단'!$A623:$ZZ623,1,$E$2+2),6,2)),VALUE(MID(INDEX('입력_구리근무자명단'!$A623:$ZZ623,1,$E$2+2),9,2))),-1))))</f>
        <v/>
      </c>
      <c r="T625">
        <f>IF($R625="","",IF(INDEX('입력_구리근무자명단'!$A623:$ZZ623,1,$E$2+3)&amp;""="",EOMONTH(급여기준월,0),IF(ISNUMBER(INDEX('입력_구리근무자명단'!$A623:$ZZ623,1,$E$2+3)),INDEX('입력_구리근무자명단'!$A623:$ZZ623,1,$E$2+3),IFERROR(DATE(VALUE(LEFT(INDEX('입력_구리근무자명단'!$A623:$ZZ623,1,$E$2+3),4)),VALUE(MID(INDEX('입력_구리근무자명단'!$A623:$ZZ623,1,$E$2+3),6,2)),VALUE(MID(INDEX('입력_구리근무자명단'!$A623:$ZZ623,1,$E$2+3),9,2))),-1))))</f>
        <v/>
      </c>
      <c r="U625">
        <f>IF($R625="","",IF(OR($S625&lt;0,$T625&lt;0),0,MAX(0,MIN($T625,EOMONTH(급여기준월,0))-MAX($S625,급여기준월)+1)))</f>
        <v/>
      </c>
      <c r="V625">
        <f>IF($R625="","",TRIM(INDEX('입력_구리근무자명단'!$A623:$ZZ623,1,$E$2+5)&amp;""))</f>
        <v/>
      </c>
      <c r="W625">
        <f>IF(ISNUMBER(SEARCH("구리독자",$V625)),"구리독자","")</f>
        <v/>
      </c>
      <c r="X625">
        <f>IF($R625="","",$R625&amp;"|"&amp;IF(OR($Q625="인턴",ISNUMBER(SEARCH("수련교육부",$P625))),"인턴",$P625))</f>
        <v/>
      </c>
      <c r="Y625">
        <f>IF($R625="","",IF(COUNTIF(명단표[이름|과],$X625)=1,"명단 일치",IF(AND(COUNTIF(명단표[이름|과],$X625)=0,COUNTIF(명단표[이름],$R625)=1),"명단 일치(이름만, 과 다름)",IF(COUNTIF(명단표[이름],$R625)=0,IF(COUNTIF(기본자료표[이름],$R625)&gt;0,"명단에 없음(기본자료에는 있음)","명단에 없음"),"동명이인 확인"))))</f>
        <v/>
      </c>
      <c r="Z625">
        <f>IF($R625="","",IF($S625&lt;0,"⚠"&amp;INDEX('입력_구리근무자명단'!$A623:$ZZ623,1,$E$2+2),TEXT($S625,"yyyy-mm-dd")))</f>
        <v/>
      </c>
      <c r="AA625">
        <f>IF($R625="","",IF($T625&lt;0,"⚠"&amp;INDEX('입력_구리근무자명단'!$A623:$ZZ623,1,$E$2+3),TEXT($T625,"yyyy-mm-dd")))</f>
        <v/>
      </c>
      <c r="AB625">
        <f>AB624+IF($R625="",0,1)</f>
        <v/>
      </c>
      <c r="AC625">
        <f>IF($R625="","",$AB625)</f>
        <v/>
      </c>
    </row>
    <row r="626">
      <c r="O626">
        <f>624</f>
        <v/>
      </c>
      <c r="P626">
        <f>IF(TRIM('입력_구리근무자명단'!$A624&amp;"")&lt;&gt;"",TRIM('입력_구리근무자명단'!$A624&amp;""),P625)</f>
        <v/>
      </c>
      <c r="Q626">
        <f>'입력_구리근무자명단'!$B624&amp;""</f>
        <v/>
      </c>
      <c r="R626">
        <f>IF($E$2="","",TRIM(INDEX('입력_구리근무자명단'!$A624:$ZZ624,1,$E$2+IF($G$2="확정",1,0))&amp;""))</f>
        <v/>
      </c>
      <c r="S626">
        <f>IF($R626="","",IF(INDEX('입력_구리근무자명단'!$A624:$ZZ624,1,$E$2+2)&amp;""="",급여기준월,IF(ISNUMBER(INDEX('입력_구리근무자명단'!$A624:$ZZ624,1,$E$2+2)),INDEX('입력_구리근무자명단'!$A624:$ZZ624,1,$E$2+2),IFERROR(DATE(VALUE(LEFT(INDEX('입력_구리근무자명단'!$A624:$ZZ624,1,$E$2+2),4)),VALUE(MID(INDEX('입력_구리근무자명단'!$A624:$ZZ624,1,$E$2+2),6,2)),VALUE(MID(INDEX('입력_구리근무자명단'!$A624:$ZZ624,1,$E$2+2),9,2))),-1))))</f>
        <v/>
      </c>
      <c r="T626">
        <f>IF($R626="","",IF(INDEX('입력_구리근무자명단'!$A624:$ZZ624,1,$E$2+3)&amp;""="",EOMONTH(급여기준월,0),IF(ISNUMBER(INDEX('입력_구리근무자명단'!$A624:$ZZ624,1,$E$2+3)),INDEX('입력_구리근무자명단'!$A624:$ZZ624,1,$E$2+3),IFERROR(DATE(VALUE(LEFT(INDEX('입력_구리근무자명단'!$A624:$ZZ624,1,$E$2+3),4)),VALUE(MID(INDEX('입력_구리근무자명단'!$A624:$ZZ624,1,$E$2+3),6,2)),VALUE(MID(INDEX('입력_구리근무자명단'!$A624:$ZZ624,1,$E$2+3),9,2))),-1))))</f>
        <v/>
      </c>
      <c r="U626">
        <f>IF($R626="","",IF(OR($S626&lt;0,$T626&lt;0),0,MAX(0,MIN($T626,EOMONTH(급여기준월,0))-MAX($S626,급여기준월)+1)))</f>
        <v/>
      </c>
      <c r="V626">
        <f>IF($R626="","",TRIM(INDEX('입력_구리근무자명단'!$A624:$ZZ624,1,$E$2+5)&amp;""))</f>
        <v/>
      </c>
      <c r="W626">
        <f>IF(ISNUMBER(SEARCH("구리독자",$V626)),"구리독자","")</f>
        <v/>
      </c>
      <c r="X626">
        <f>IF($R626="","",$R626&amp;"|"&amp;IF(OR($Q626="인턴",ISNUMBER(SEARCH("수련교육부",$P626))),"인턴",$P626))</f>
        <v/>
      </c>
      <c r="Y626">
        <f>IF($R626="","",IF(COUNTIF(명단표[이름|과],$X626)=1,"명단 일치",IF(AND(COUNTIF(명단표[이름|과],$X626)=0,COUNTIF(명단표[이름],$R626)=1),"명단 일치(이름만, 과 다름)",IF(COUNTIF(명단표[이름],$R626)=0,IF(COUNTIF(기본자료표[이름],$R626)&gt;0,"명단에 없음(기본자료에는 있음)","명단에 없음"),"동명이인 확인"))))</f>
        <v/>
      </c>
      <c r="Z626">
        <f>IF($R626="","",IF($S626&lt;0,"⚠"&amp;INDEX('입력_구리근무자명단'!$A624:$ZZ624,1,$E$2+2),TEXT($S626,"yyyy-mm-dd")))</f>
        <v/>
      </c>
      <c r="AA626">
        <f>IF($R626="","",IF($T626&lt;0,"⚠"&amp;INDEX('입력_구리근무자명단'!$A624:$ZZ624,1,$E$2+3),TEXT($T626,"yyyy-mm-dd")))</f>
        <v/>
      </c>
      <c r="AB626">
        <f>AB625+IF($R626="",0,1)</f>
        <v/>
      </c>
      <c r="AC626">
        <f>IF($R626="","",$AB626)</f>
        <v/>
      </c>
    </row>
    <row r="627">
      <c r="O627">
        <f>625</f>
        <v/>
      </c>
      <c r="P627">
        <f>IF(TRIM('입력_구리근무자명단'!$A625&amp;"")&lt;&gt;"",TRIM('입력_구리근무자명단'!$A625&amp;""),P626)</f>
        <v/>
      </c>
      <c r="Q627">
        <f>'입력_구리근무자명단'!$B625&amp;""</f>
        <v/>
      </c>
      <c r="R627">
        <f>IF($E$2="","",TRIM(INDEX('입력_구리근무자명단'!$A625:$ZZ625,1,$E$2+IF($G$2="확정",1,0))&amp;""))</f>
        <v/>
      </c>
      <c r="S627">
        <f>IF($R627="","",IF(INDEX('입력_구리근무자명단'!$A625:$ZZ625,1,$E$2+2)&amp;""="",급여기준월,IF(ISNUMBER(INDEX('입력_구리근무자명단'!$A625:$ZZ625,1,$E$2+2)),INDEX('입력_구리근무자명단'!$A625:$ZZ625,1,$E$2+2),IFERROR(DATE(VALUE(LEFT(INDEX('입력_구리근무자명단'!$A625:$ZZ625,1,$E$2+2),4)),VALUE(MID(INDEX('입력_구리근무자명단'!$A625:$ZZ625,1,$E$2+2),6,2)),VALUE(MID(INDEX('입력_구리근무자명단'!$A625:$ZZ625,1,$E$2+2),9,2))),-1))))</f>
        <v/>
      </c>
      <c r="T627">
        <f>IF($R627="","",IF(INDEX('입력_구리근무자명단'!$A625:$ZZ625,1,$E$2+3)&amp;""="",EOMONTH(급여기준월,0),IF(ISNUMBER(INDEX('입력_구리근무자명단'!$A625:$ZZ625,1,$E$2+3)),INDEX('입력_구리근무자명단'!$A625:$ZZ625,1,$E$2+3),IFERROR(DATE(VALUE(LEFT(INDEX('입력_구리근무자명단'!$A625:$ZZ625,1,$E$2+3),4)),VALUE(MID(INDEX('입력_구리근무자명단'!$A625:$ZZ625,1,$E$2+3),6,2)),VALUE(MID(INDEX('입력_구리근무자명단'!$A625:$ZZ625,1,$E$2+3),9,2))),-1))))</f>
        <v/>
      </c>
      <c r="U627">
        <f>IF($R627="","",IF(OR($S627&lt;0,$T627&lt;0),0,MAX(0,MIN($T627,EOMONTH(급여기준월,0))-MAX($S627,급여기준월)+1)))</f>
        <v/>
      </c>
      <c r="V627">
        <f>IF($R627="","",TRIM(INDEX('입력_구리근무자명단'!$A625:$ZZ625,1,$E$2+5)&amp;""))</f>
        <v/>
      </c>
      <c r="W627">
        <f>IF(ISNUMBER(SEARCH("구리독자",$V627)),"구리독자","")</f>
        <v/>
      </c>
      <c r="X627">
        <f>IF($R627="","",$R627&amp;"|"&amp;IF(OR($Q627="인턴",ISNUMBER(SEARCH("수련교육부",$P627))),"인턴",$P627))</f>
        <v/>
      </c>
      <c r="Y627">
        <f>IF($R627="","",IF(COUNTIF(명단표[이름|과],$X627)=1,"명단 일치",IF(AND(COUNTIF(명단표[이름|과],$X627)=0,COUNTIF(명단표[이름],$R627)=1),"명단 일치(이름만, 과 다름)",IF(COUNTIF(명단표[이름],$R627)=0,IF(COUNTIF(기본자료표[이름],$R627)&gt;0,"명단에 없음(기본자료에는 있음)","명단에 없음"),"동명이인 확인"))))</f>
        <v/>
      </c>
      <c r="Z627">
        <f>IF($R627="","",IF($S627&lt;0,"⚠"&amp;INDEX('입력_구리근무자명단'!$A625:$ZZ625,1,$E$2+2),TEXT($S627,"yyyy-mm-dd")))</f>
        <v/>
      </c>
      <c r="AA627">
        <f>IF($R627="","",IF($T627&lt;0,"⚠"&amp;INDEX('입력_구리근무자명단'!$A625:$ZZ625,1,$E$2+3),TEXT($T627,"yyyy-mm-dd")))</f>
        <v/>
      </c>
      <c r="AB627">
        <f>AB626+IF($R627="",0,1)</f>
        <v/>
      </c>
      <c r="AC627">
        <f>IF($R627="","",$AB627)</f>
        <v/>
      </c>
    </row>
    <row r="628">
      <c r="O628">
        <f>626</f>
        <v/>
      </c>
      <c r="P628">
        <f>IF(TRIM('입력_구리근무자명단'!$A626&amp;"")&lt;&gt;"",TRIM('입력_구리근무자명단'!$A626&amp;""),P627)</f>
        <v/>
      </c>
      <c r="Q628">
        <f>'입력_구리근무자명단'!$B626&amp;""</f>
        <v/>
      </c>
      <c r="R628">
        <f>IF($E$2="","",TRIM(INDEX('입력_구리근무자명단'!$A626:$ZZ626,1,$E$2+IF($G$2="확정",1,0))&amp;""))</f>
        <v/>
      </c>
      <c r="S628">
        <f>IF($R628="","",IF(INDEX('입력_구리근무자명단'!$A626:$ZZ626,1,$E$2+2)&amp;""="",급여기준월,IF(ISNUMBER(INDEX('입력_구리근무자명단'!$A626:$ZZ626,1,$E$2+2)),INDEX('입력_구리근무자명단'!$A626:$ZZ626,1,$E$2+2),IFERROR(DATE(VALUE(LEFT(INDEX('입력_구리근무자명단'!$A626:$ZZ626,1,$E$2+2),4)),VALUE(MID(INDEX('입력_구리근무자명단'!$A626:$ZZ626,1,$E$2+2),6,2)),VALUE(MID(INDEX('입력_구리근무자명단'!$A626:$ZZ626,1,$E$2+2),9,2))),-1))))</f>
        <v/>
      </c>
      <c r="T628">
        <f>IF($R628="","",IF(INDEX('입력_구리근무자명단'!$A626:$ZZ626,1,$E$2+3)&amp;""="",EOMONTH(급여기준월,0),IF(ISNUMBER(INDEX('입력_구리근무자명단'!$A626:$ZZ626,1,$E$2+3)),INDEX('입력_구리근무자명단'!$A626:$ZZ626,1,$E$2+3),IFERROR(DATE(VALUE(LEFT(INDEX('입력_구리근무자명단'!$A626:$ZZ626,1,$E$2+3),4)),VALUE(MID(INDEX('입력_구리근무자명단'!$A626:$ZZ626,1,$E$2+3),6,2)),VALUE(MID(INDEX('입력_구리근무자명단'!$A626:$ZZ626,1,$E$2+3),9,2))),-1))))</f>
        <v/>
      </c>
      <c r="U628">
        <f>IF($R628="","",IF(OR($S628&lt;0,$T628&lt;0),0,MAX(0,MIN($T628,EOMONTH(급여기준월,0))-MAX($S628,급여기준월)+1)))</f>
        <v/>
      </c>
      <c r="V628">
        <f>IF($R628="","",TRIM(INDEX('입력_구리근무자명단'!$A626:$ZZ626,1,$E$2+5)&amp;""))</f>
        <v/>
      </c>
      <c r="W628">
        <f>IF(ISNUMBER(SEARCH("구리독자",$V628)),"구리독자","")</f>
        <v/>
      </c>
      <c r="X628">
        <f>IF($R628="","",$R628&amp;"|"&amp;IF(OR($Q628="인턴",ISNUMBER(SEARCH("수련교육부",$P628))),"인턴",$P628))</f>
        <v/>
      </c>
      <c r="Y628">
        <f>IF($R628="","",IF(COUNTIF(명단표[이름|과],$X628)=1,"명단 일치",IF(AND(COUNTIF(명단표[이름|과],$X628)=0,COUNTIF(명단표[이름],$R628)=1),"명단 일치(이름만, 과 다름)",IF(COUNTIF(명단표[이름],$R628)=0,IF(COUNTIF(기본자료표[이름],$R628)&gt;0,"명단에 없음(기본자료에는 있음)","명단에 없음"),"동명이인 확인"))))</f>
        <v/>
      </c>
      <c r="Z628">
        <f>IF($R628="","",IF($S628&lt;0,"⚠"&amp;INDEX('입력_구리근무자명단'!$A626:$ZZ626,1,$E$2+2),TEXT($S628,"yyyy-mm-dd")))</f>
        <v/>
      </c>
      <c r="AA628">
        <f>IF($R628="","",IF($T628&lt;0,"⚠"&amp;INDEX('입력_구리근무자명단'!$A626:$ZZ626,1,$E$2+3),TEXT($T628,"yyyy-mm-dd")))</f>
        <v/>
      </c>
      <c r="AB628">
        <f>AB627+IF($R628="",0,1)</f>
        <v/>
      </c>
      <c r="AC628">
        <f>IF($R628="","",$AB628)</f>
        <v/>
      </c>
    </row>
    <row r="629">
      <c r="O629">
        <f>627</f>
        <v/>
      </c>
      <c r="P629">
        <f>IF(TRIM('입력_구리근무자명단'!$A627&amp;"")&lt;&gt;"",TRIM('입력_구리근무자명단'!$A627&amp;""),P628)</f>
        <v/>
      </c>
      <c r="Q629">
        <f>'입력_구리근무자명단'!$B627&amp;""</f>
        <v/>
      </c>
      <c r="R629">
        <f>IF($E$2="","",TRIM(INDEX('입력_구리근무자명단'!$A627:$ZZ627,1,$E$2+IF($G$2="확정",1,0))&amp;""))</f>
        <v/>
      </c>
      <c r="S629">
        <f>IF($R629="","",IF(INDEX('입력_구리근무자명단'!$A627:$ZZ627,1,$E$2+2)&amp;""="",급여기준월,IF(ISNUMBER(INDEX('입력_구리근무자명단'!$A627:$ZZ627,1,$E$2+2)),INDEX('입력_구리근무자명단'!$A627:$ZZ627,1,$E$2+2),IFERROR(DATE(VALUE(LEFT(INDEX('입력_구리근무자명단'!$A627:$ZZ627,1,$E$2+2),4)),VALUE(MID(INDEX('입력_구리근무자명단'!$A627:$ZZ627,1,$E$2+2),6,2)),VALUE(MID(INDEX('입력_구리근무자명단'!$A627:$ZZ627,1,$E$2+2),9,2))),-1))))</f>
        <v/>
      </c>
      <c r="T629">
        <f>IF($R629="","",IF(INDEX('입력_구리근무자명단'!$A627:$ZZ627,1,$E$2+3)&amp;""="",EOMONTH(급여기준월,0),IF(ISNUMBER(INDEX('입력_구리근무자명단'!$A627:$ZZ627,1,$E$2+3)),INDEX('입력_구리근무자명단'!$A627:$ZZ627,1,$E$2+3),IFERROR(DATE(VALUE(LEFT(INDEX('입력_구리근무자명단'!$A627:$ZZ627,1,$E$2+3),4)),VALUE(MID(INDEX('입력_구리근무자명단'!$A627:$ZZ627,1,$E$2+3),6,2)),VALUE(MID(INDEX('입력_구리근무자명단'!$A627:$ZZ627,1,$E$2+3),9,2))),-1))))</f>
        <v/>
      </c>
      <c r="U629">
        <f>IF($R629="","",IF(OR($S629&lt;0,$T629&lt;0),0,MAX(0,MIN($T629,EOMONTH(급여기준월,0))-MAX($S629,급여기준월)+1)))</f>
        <v/>
      </c>
      <c r="V629">
        <f>IF($R629="","",TRIM(INDEX('입력_구리근무자명단'!$A627:$ZZ627,1,$E$2+5)&amp;""))</f>
        <v/>
      </c>
      <c r="W629">
        <f>IF(ISNUMBER(SEARCH("구리독자",$V629)),"구리독자","")</f>
        <v/>
      </c>
      <c r="X629">
        <f>IF($R629="","",$R629&amp;"|"&amp;IF(OR($Q629="인턴",ISNUMBER(SEARCH("수련교육부",$P629))),"인턴",$P629))</f>
        <v/>
      </c>
      <c r="Y629">
        <f>IF($R629="","",IF(COUNTIF(명단표[이름|과],$X629)=1,"명단 일치",IF(AND(COUNTIF(명단표[이름|과],$X629)=0,COUNTIF(명단표[이름],$R629)=1),"명단 일치(이름만, 과 다름)",IF(COUNTIF(명단표[이름],$R629)=0,IF(COUNTIF(기본자료표[이름],$R629)&gt;0,"명단에 없음(기본자료에는 있음)","명단에 없음"),"동명이인 확인"))))</f>
        <v/>
      </c>
      <c r="Z629">
        <f>IF($R629="","",IF($S629&lt;0,"⚠"&amp;INDEX('입력_구리근무자명단'!$A627:$ZZ627,1,$E$2+2),TEXT($S629,"yyyy-mm-dd")))</f>
        <v/>
      </c>
      <c r="AA629">
        <f>IF($R629="","",IF($T629&lt;0,"⚠"&amp;INDEX('입력_구리근무자명단'!$A627:$ZZ627,1,$E$2+3),TEXT($T629,"yyyy-mm-dd")))</f>
        <v/>
      </c>
      <c r="AB629">
        <f>AB628+IF($R629="",0,1)</f>
        <v/>
      </c>
      <c r="AC629">
        <f>IF($R629="","",$AB629)</f>
        <v/>
      </c>
    </row>
    <row r="630">
      <c r="O630">
        <f>628</f>
        <v/>
      </c>
      <c r="P630">
        <f>IF(TRIM('입력_구리근무자명단'!$A628&amp;"")&lt;&gt;"",TRIM('입력_구리근무자명단'!$A628&amp;""),P629)</f>
        <v/>
      </c>
      <c r="Q630">
        <f>'입력_구리근무자명단'!$B628&amp;""</f>
        <v/>
      </c>
      <c r="R630">
        <f>IF($E$2="","",TRIM(INDEX('입력_구리근무자명단'!$A628:$ZZ628,1,$E$2+IF($G$2="확정",1,0))&amp;""))</f>
        <v/>
      </c>
      <c r="S630">
        <f>IF($R630="","",IF(INDEX('입력_구리근무자명단'!$A628:$ZZ628,1,$E$2+2)&amp;""="",급여기준월,IF(ISNUMBER(INDEX('입력_구리근무자명단'!$A628:$ZZ628,1,$E$2+2)),INDEX('입력_구리근무자명단'!$A628:$ZZ628,1,$E$2+2),IFERROR(DATE(VALUE(LEFT(INDEX('입력_구리근무자명단'!$A628:$ZZ628,1,$E$2+2),4)),VALUE(MID(INDEX('입력_구리근무자명단'!$A628:$ZZ628,1,$E$2+2),6,2)),VALUE(MID(INDEX('입력_구리근무자명단'!$A628:$ZZ628,1,$E$2+2),9,2))),-1))))</f>
        <v/>
      </c>
      <c r="T630">
        <f>IF($R630="","",IF(INDEX('입력_구리근무자명단'!$A628:$ZZ628,1,$E$2+3)&amp;""="",EOMONTH(급여기준월,0),IF(ISNUMBER(INDEX('입력_구리근무자명단'!$A628:$ZZ628,1,$E$2+3)),INDEX('입력_구리근무자명단'!$A628:$ZZ628,1,$E$2+3),IFERROR(DATE(VALUE(LEFT(INDEX('입력_구리근무자명단'!$A628:$ZZ628,1,$E$2+3),4)),VALUE(MID(INDEX('입력_구리근무자명단'!$A628:$ZZ628,1,$E$2+3),6,2)),VALUE(MID(INDEX('입력_구리근무자명단'!$A628:$ZZ628,1,$E$2+3),9,2))),-1))))</f>
        <v/>
      </c>
      <c r="U630">
        <f>IF($R630="","",IF(OR($S630&lt;0,$T630&lt;0),0,MAX(0,MIN($T630,EOMONTH(급여기준월,0))-MAX($S630,급여기준월)+1)))</f>
        <v/>
      </c>
      <c r="V630">
        <f>IF($R630="","",TRIM(INDEX('입력_구리근무자명단'!$A628:$ZZ628,1,$E$2+5)&amp;""))</f>
        <v/>
      </c>
      <c r="W630">
        <f>IF(ISNUMBER(SEARCH("구리독자",$V630)),"구리독자","")</f>
        <v/>
      </c>
      <c r="X630">
        <f>IF($R630="","",$R630&amp;"|"&amp;IF(OR($Q630="인턴",ISNUMBER(SEARCH("수련교육부",$P630))),"인턴",$P630))</f>
        <v/>
      </c>
      <c r="Y630">
        <f>IF($R630="","",IF(COUNTIF(명단표[이름|과],$X630)=1,"명단 일치",IF(AND(COUNTIF(명단표[이름|과],$X630)=0,COUNTIF(명단표[이름],$R630)=1),"명단 일치(이름만, 과 다름)",IF(COUNTIF(명단표[이름],$R630)=0,IF(COUNTIF(기본자료표[이름],$R630)&gt;0,"명단에 없음(기본자료에는 있음)","명단에 없음"),"동명이인 확인"))))</f>
        <v/>
      </c>
      <c r="Z630">
        <f>IF($R630="","",IF($S630&lt;0,"⚠"&amp;INDEX('입력_구리근무자명단'!$A628:$ZZ628,1,$E$2+2),TEXT($S630,"yyyy-mm-dd")))</f>
        <v/>
      </c>
      <c r="AA630">
        <f>IF($R630="","",IF($T630&lt;0,"⚠"&amp;INDEX('입력_구리근무자명단'!$A628:$ZZ628,1,$E$2+3),TEXT($T630,"yyyy-mm-dd")))</f>
        <v/>
      </c>
      <c r="AB630">
        <f>AB629+IF($R630="",0,1)</f>
        <v/>
      </c>
      <c r="AC630">
        <f>IF($R630="","",$AB630)</f>
        <v/>
      </c>
    </row>
    <row r="631">
      <c r="O631">
        <f>629</f>
        <v/>
      </c>
      <c r="P631">
        <f>IF(TRIM('입력_구리근무자명단'!$A629&amp;"")&lt;&gt;"",TRIM('입력_구리근무자명단'!$A629&amp;""),P630)</f>
        <v/>
      </c>
      <c r="Q631">
        <f>'입력_구리근무자명단'!$B629&amp;""</f>
        <v/>
      </c>
      <c r="R631">
        <f>IF($E$2="","",TRIM(INDEX('입력_구리근무자명단'!$A629:$ZZ629,1,$E$2+IF($G$2="확정",1,0))&amp;""))</f>
        <v/>
      </c>
      <c r="S631">
        <f>IF($R631="","",IF(INDEX('입력_구리근무자명단'!$A629:$ZZ629,1,$E$2+2)&amp;""="",급여기준월,IF(ISNUMBER(INDEX('입력_구리근무자명단'!$A629:$ZZ629,1,$E$2+2)),INDEX('입력_구리근무자명단'!$A629:$ZZ629,1,$E$2+2),IFERROR(DATE(VALUE(LEFT(INDEX('입력_구리근무자명단'!$A629:$ZZ629,1,$E$2+2),4)),VALUE(MID(INDEX('입력_구리근무자명단'!$A629:$ZZ629,1,$E$2+2),6,2)),VALUE(MID(INDEX('입력_구리근무자명단'!$A629:$ZZ629,1,$E$2+2),9,2))),-1))))</f>
        <v/>
      </c>
      <c r="T631">
        <f>IF($R631="","",IF(INDEX('입력_구리근무자명단'!$A629:$ZZ629,1,$E$2+3)&amp;""="",EOMONTH(급여기준월,0),IF(ISNUMBER(INDEX('입력_구리근무자명단'!$A629:$ZZ629,1,$E$2+3)),INDEX('입력_구리근무자명단'!$A629:$ZZ629,1,$E$2+3),IFERROR(DATE(VALUE(LEFT(INDEX('입력_구리근무자명단'!$A629:$ZZ629,1,$E$2+3),4)),VALUE(MID(INDEX('입력_구리근무자명단'!$A629:$ZZ629,1,$E$2+3),6,2)),VALUE(MID(INDEX('입력_구리근무자명단'!$A629:$ZZ629,1,$E$2+3),9,2))),-1))))</f>
        <v/>
      </c>
      <c r="U631">
        <f>IF($R631="","",IF(OR($S631&lt;0,$T631&lt;0),0,MAX(0,MIN($T631,EOMONTH(급여기준월,0))-MAX($S631,급여기준월)+1)))</f>
        <v/>
      </c>
      <c r="V631">
        <f>IF($R631="","",TRIM(INDEX('입력_구리근무자명단'!$A629:$ZZ629,1,$E$2+5)&amp;""))</f>
        <v/>
      </c>
      <c r="W631">
        <f>IF(ISNUMBER(SEARCH("구리독자",$V631)),"구리독자","")</f>
        <v/>
      </c>
      <c r="X631">
        <f>IF($R631="","",$R631&amp;"|"&amp;IF(OR($Q631="인턴",ISNUMBER(SEARCH("수련교육부",$P631))),"인턴",$P631))</f>
        <v/>
      </c>
      <c r="Y631">
        <f>IF($R631="","",IF(COUNTIF(명단표[이름|과],$X631)=1,"명단 일치",IF(AND(COUNTIF(명단표[이름|과],$X631)=0,COUNTIF(명단표[이름],$R631)=1),"명단 일치(이름만, 과 다름)",IF(COUNTIF(명단표[이름],$R631)=0,IF(COUNTIF(기본자료표[이름],$R631)&gt;0,"명단에 없음(기본자료에는 있음)","명단에 없음"),"동명이인 확인"))))</f>
        <v/>
      </c>
      <c r="Z631">
        <f>IF($R631="","",IF($S631&lt;0,"⚠"&amp;INDEX('입력_구리근무자명단'!$A629:$ZZ629,1,$E$2+2),TEXT($S631,"yyyy-mm-dd")))</f>
        <v/>
      </c>
      <c r="AA631">
        <f>IF($R631="","",IF($T631&lt;0,"⚠"&amp;INDEX('입력_구리근무자명단'!$A629:$ZZ629,1,$E$2+3),TEXT($T631,"yyyy-mm-dd")))</f>
        <v/>
      </c>
      <c r="AB631">
        <f>AB630+IF($R631="",0,1)</f>
        <v/>
      </c>
      <c r="AC631">
        <f>IF($R631="","",$AB631)</f>
        <v/>
      </c>
    </row>
    <row r="632">
      <c r="O632">
        <f>630</f>
        <v/>
      </c>
      <c r="P632">
        <f>IF(TRIM('입력_구리근무자명단'!$A630&amp;"")&lt;&gt;"",TRIM('입력_구리근무자명단'!$A630&amp;""),P631)</f>
        <v/>
      </c>
      <c r="Q632">
        <f>'입력_구리근무자명단'!$B630&amp;""</f>
        <v/>
      </c>
      <c r="R632">
        <f>IF($E$2="","",TRIM(INDEX('입력_구리근무자명단'!$A630:$ZZ630,1,$E$2+IF($G$2="확정",1,0))&amp;""))</f>
        <v/>
      </c>
      <c r="S632">
        <f>IF($R632="","",IF(INDEX('입력_구리근무자명단'!$A630:$ZZ630,1,$E$2+2)&amp;""="",급여기준월,IF(ISNUMBER(INDEX('입력_구리근무자명단'!$A630:$ZZ630,1,$E$2+2)),INDEX('입력_구리근무자명단'!$A630:$ZZ630,1,$E$2+2),IFERROR(DATE(VALUE(LEFT(INDEX('입력_구리근무자명단'!$A630:$ZZ630,1,$E$2+2),4)),VALUE(MID(INDEX('입력_구리근무자명단'!$A630:$ZZ630,1,$E$2+2),6,2)),VALUE(MID(INDEX('입력_구리근무자명단'!$A630:$ZZ630,1,$E$2+2),9,2))),-1))))</f>
        <v/>
      </c>
      <c r="T632">
        <f>IF($R632="","",IF(INDEX('입력_구리근무자명단'!$A630:$ZZ630,1,$E$2+3)&amp;""="",EOMONTH(급여기준월,0),IF(ISNUMBER(INDEX('입력_구리근무자명단'!$A630:$ZZ630,1,$E$2+3)),INDEX('입력_구리근무자명단'!$A630:$ZZ630,1,$E$2+3),IFERROR(DATE(VALUE(LEFT(INDEX('입력_구리근무자명단'!$A630:$ZZ630,1,$E$2+3),4)),VALUE(MID(INDEX('입력_구리근무자명단'!$A630:$ZZ630,1,$E$2+3),6,2)),VALUE(MID(INDEX('입력_구리근무자명단'!$A630:$ZZ630,1,$E$2+3),9,2))),-1))))</f>
        <v/>
      </c>
      <c r="U632">
        <f>IF($R632="","",IF(OR($S632&lt;0,$T632&lt;0),0,MAX(0,MIN($T632,EOMONTH(급여기준월,0))-MAX($S632,급여기준월)+1)))</f>
        <v/>
      </c>
      <c r="V632">
        <f>IF($R632="","",TRIM(INDEX('입력_구리근무자명단'!$A630:$ZZ630,1,$E$2+5)&amp;""))</f>
        <v/>
      </c>
      <c r="W632">
        <f>IF(ISNUMBER(SEARCH("구리독자",$V632)),"구리독자","")</f>
        <v/>
      </c>
      <c r="X632">
        <f>IF($R632="","",$R632&amp;"|"&amp;IF(OR($Q632="인턴",ISNUMBER(SEARCH("수련교육부",$P632))),"인턴",$P632))</f>
        <v/>
      </c>
      <c r="Y632">
        <f>IF($R632="","",IF(COUNTIF(명단표[이름|과],$X632)=1,"명단 일치",IF(AND(COUNTIF(명단표[이름|과],$X632)=0,COUNTIF(명단표[이름],$R632)=1),"명단 일치(이름만, 과 다름)",IF(COUNTIF(명단표[이름],$R632)=0,IF(COUNTIF(기본자료표[이름],$R632)&gt;0,"명단에 없음(기본자료에는 있음)","명단에 없음"),"동명이인 확인"))))</f>
        <v/>
      </c>
      <c r="Z632">
        <f>IF($R632="","",IF($S632&lt;0,"⚠"&amp;INDEX('입력_구리근무자명단'!$A630:$ZZ630,1,$E$2+2),TEXT($S632,"yyyy-mm-dd")))</f>
        <v/>
      </c>
      <c r="AA632">
        <f>IF($R632="","",IF($T632&lt;0,"⚠"&amp;INDEX('입력_구리근무자명단'!$A630:$ZZ630,1,$E$2+3),TEXT($T632,"yyyy-mm-dd")))</f>
        <v/>
      </c>
      <c r="AB632">
        <f>AB631+IF($R632="",0,1)</f>
        <v/>
      </c>
      <c r="AC632">
        <f>IF($R632="","",$AB632)</f>
        <v/>
      </c>
    </row>
    <row r="633">
      <c r="O633">
        <f>631</f>
        <v/>
      </c>
      <c r="P633">
        <f>IF(TRIM('입력_구리근무자명단'!$A631&amp;"")&lt;&gt;"",TRIM('입력_구리근무자명단'!$A631&amp;""),P632)</f>
        <v/>
      </c>
      <c r="Q633">
        <f>'입력_구리근무자명단'!$B631&amp;""</f>
        <v/>
      </c>
      <c r="R633">
        <f>IF($E$2="","",TRIM(INDEX('입력_구리근무자명단'!$A631:$ZZ631,1,$E$2+IF($G$2="확정",1,0))&amp;""))</f>
        <v/>
      </c>
      <c r="S633">
        <f>IF($R633="","",IF(INDEX('입력_구리근무자명단'!$A631:$ZZ631,1,$E$2+2)&amp;""="",급여기준월,IF(ISNUMBER(INDEX('입력_구리근무자명단'!$A631:$ZZ631,1,$E$2+2)),INDEX('입력_구리근무자명단'!$A631:$ZZ631,1,$E$2+2),IFERROR(DATE(VALUE(LEFT(INDEX('입력_구리근무자명단'!$A631:$ZZ631,1,$E$2+2),4)),VALUE(MID(INDEX('입력_구리근무자명단'!$A631:$ZZ631,1,$E$2+2),6,2)),VALUE(MID(INDEX('입력_구리근무자명단'!$A631:$ZZ631,1,$E$2+2),9,2))),-1))))</f>
        <v/>
      </c>
      <c r="T633">
        <f>IF($R633="","",IF(INDEX('입력_구리근무자명단'!$A631:$ZZ631,1,$E$2+3)&amp;""="",EOMONTH(급여기준월,0),IF(ISNUMBER(INDEX('입력_구리근무자명단'!$A631:$ZZ631,1,$E$2+3)),INDEX('입력_구리근무자명단'!$A631:$ZZ631,1,$E$2+3),IFERROR(DATE(VALUE(LEFT(INDEX('입력_구리근무자명단'!$A631:$ZZ631,1,$E$2+3),4)),VALUE(MID(INDEX('입력_구리근무자명단'!$A631:$ZZ631,1,$E$2+3),6,2)),VALUE(MID(INDEX('입력_구리근무자명단'!$A631:$ZZ631,1,$E$2+3),9,2))),-1))))</f>
        <v/>
      </c>
      <c r="U633">
        <f>IF($R633="","",IF(OR($S633&lt;0,$T633&lt;0),0,MAX(0,MIN($T633,EOMONTH(급여기준월,0))-MAX($S633,급여기준월)+1)))</f>
        <v/>
      </c>
      <c r="V633">
        <f>IF($R633="","",TRIM(INDEX('입력_구리근무자명단'!$A631:$ZZ631,1,$E$2+5)&amp;""))</f>
        <v/>
      </c>
      <c r="W633">
        <f>IF(ISNUMBER(SEARCH("구리독자",$V633)),"구리독자","")</f>
        <v/>
      </c>
      <c r="X633">
        <f>IF($R633="","",$R633&amp;"|"&amp;IF(OR($Q633="인턴",ISNUMBER(SEARCH("수련교육부",$P633))),"인턴",$P633))</f>
        <v/>
      </c>
      <c r="Y633">
        <f>IF($R633="","",IF(COUNTIF(명단표[이름|과],$X633)=1,"명단 일치",IF(AND(COUNTIF(명단표[이름|과],$X633)=0,COUNTIF(명단표[이름],$R633)=1),"명단 일치(이름만, 과 다름)",IF(COUNTIF(명단표[이름],$R633)=0,IF(COUNTIF(기본자료표[이름],$R633)&gt;0,"명단에 없음(기본자료에는 있음)","명단에 없음"),"동명이인 확인"))))</f>
        <v/>
      </c>
      <c r="Z633">
        <f>IF($R633="","",IF($S633&lt;0,"⚠"&amp;INDEX('입력_구리근무자명단'!$A631:$ZZ631,1,$E$2+2),TEXT($S633,"yyyy-mm-dd")))</f>
        <v/>
      </c>
      <c r="AA633">
        <f>IF($R633="","",IF($T633&lt;0,"⚠"&amp;INDEX('입력_구리근무자명단'!$A631:$ZZ631,1,$E$2+3),TEXT($T633,"yyyy-mm-dd")))</f>
        <v/>
      </c>
      <c r="AB633">
        <f>AB632+IF($R633="",0,1)</f>
        <v/>
      </c>
      <c r="AC633">
        <f>IF($R633="","",$AB633)</f>
        <v/>
      </c>
    </row>
    <row r="634">
      <c r="O634">
        <f>632</f>
        <v/>
      </c>
      <c r="P634">
        <f>IF(TRIM('입력_구리근무자명단'!$A632&amp;"")&lt;&gt;"",TRIM('입력_구리근무자명단'!$A632&amp;""),P633)</f>
        <v/>
      </c>
      <c r="Q634">
        <f>'입력_구리근무자명단'!$B632&amp;""</f>
        <v/>
      </c>
      <c r="R634">
        <f>IF($E$2="","",TRIM(INDEX('입력_구리근무자명단'!$A632:$ZZ632,1,$E$2+IF($G$2="확정",1,0))&amp;""))</f>
        <v/>
      </c>
      <c r="S634">
        <f>IF($R634="","",IF(INDEX('입력_구리근무자명단'!$A632:$ZZ632,1,$E$2+2)&amp;""="",급여기준월,IF(ISNUMBER(INDEX('입력_구리근무자명단'!$A632:$ZZ632,1,$E$2+2)),INDEX('입력_구리근무자명단'!$A632:$ZZ632,1,$E$2+2),IFERROR(DATE(VALUE(LEFT(INDEX('입력_구리근무자명단'!$A632:$ZZ632,1,$E$2+2),4)),VALUE(MID(INDEX('입력_구리근무자명단'!$A632:$ZZ632,1,$E$2+2),6,2)),VALUE(MID(INDEX('입력_구리근무자명단'!$A632:$ZZ632,1,$E$2+2),9,2))),-1))))</f>
        <v/>
      </c>
      <c r="T634">
        <f>IF($R634="","",IF(INDEX('입력_구리근무자명단'!$A632:$ZZ632,1,$E$2+3)&amp;""="",EOMONTH(급여기준월,0),IF(ISNUMBER(INDEX('입력_구리근무자명단'!$A632:$ZZ632,1,$E$2+3)),INDEX('입력_구리근무자명단'!$A632:$ZZ632,1,$E$2+3),IFERROR(DATE(VALUE(LEFT(INDEX('입력_구리근무자명단'!$A632:$ZZ632,1,$E$2+3),4)),VALUE(MID(INDEX('입력_구리근무자명단'!$A632:$ZZ632,1,$E$2+3),6,2)),VALUE(MID(INDEX('입력_구리근무자명단'!$A632:$ZZ632,1,$E$2+3),9,2))),-1))))</f>
        <v/>
      </c>
      <c r="U634">
        <f>IF($R634="","",IF(OR($S634&lt;0,$T634&lt;0),0,MAX(0,MIN($T634,EOMONTH(급여기준월,0))-MAX($S634,급여기준월)+1)))</f>
        <v/>
      </c>
      <c r="V634">
        <f>IF($R634="","",TRIM(INDEX('입력_구리근무자명단'!$A632:$ZZ632,1,$E$2+5)&amp;""))</f>
        <v/>
      </c>
      <c r="W634">
        <f>IF(ISNUMBER(SEARCH("구리독자",$V634)),"구리독자","")</f>
        <v/>
      </c>
      <c r="X634">
        <f>IF($R634="","",$R634&amp;"|"&amp;IF(OR($Q634="인턴",ISNUMBER(SEARCH("수련교육부",$P634))),"인턴",$P634))</f>
        <v/>
      </c>
      <c r="Y634">
        <f>IF($R634="","",IF(COUNTIF(명단표[이름|과],$X634)=1,"명단 일치",IF(AND(COUNTIF(명단표[이름|과],$X634)=0,COUNTIF(명단표[이름],$R634)=1),"명단 일치(이름만, 과 다름)",IF(COUNTIF(명단표[이름],$R634)=0,IF(COUNTIF(기본자료표[이름],$R634)&gt;0,"명단에 없음(기본자료에는 있음)","명단에 없음"),"동명이인 확인"))))</f>
        <v/>
      </c>
      <c r="Z634">
        <f>IF($R634="","",IF($S634&lt;0,"⚠"&amp;INDEX('입력_구리근무자명단'!$A632:$ZZ632,1,$E$2+2),TEXT($S634,"yyyy-mm-dd")))</f>
        <v/>
      </c>
      <c r="AA634">
        <f>IF($R634="","",IF($T634&lt;0,"⚠"&amp;INDEX('입력_구리근무자명단'!$A632:$ZZ632,1,$E$2+3),TEXT($T634,"yyyy-mm-dd")))</f>
        <v/>
      </c>
      <c r="AB634">
        <f>AB633+IF($R634="",0,1)</f>
        <v/>
      </c>
      <c r="AC634">
        <f>IF($R634="","",$AB634)</f>
        <v/>
      </c>
    </row>
    <row r="635">
      <c r="O635">
        <f>633</f>
        <v/>
      </c>
      <c r="P635">
        <f>IF(TRIM('입력_구리근무자명단'!$A633&amp;"")&lt;&gt;"",TRIM('입력_구리근무자명단'!$A633&amp;""),P634)</f>
        <v/>
      </c>
      <c r="Q635">
        <f>'입력_구리근무자명단'!$B633&amp;""</f>
        <v/>
      </c>
      <c r="R635">
        <f>IF($E$2="","",TRIM(INDEX('입력_구리근무자명단'!$A633:$ZZ633,1,$E$2+IF($G$2="확정",1,0))&amp;""))</f>
        <v/>
      </c>
      <c r="S635">
        <f>IF($R635="","",IF(INDEX('입력_구리근무자명단'!$A633:$ZZ633,1,$E$2+2)&amp;""="",급여기준월,IF(ISNUMBER(INDEX('입력_구리근무자명단'!$A633:$ZZ633,1,$E$2+2)),INDEX('입력_구리근무자명단'!$A633:$ZZ633,1,$E$2+2),IFERROR(DATE(VALUE(LEFT(INDEX('입력_구리근무자명단'!$A633:$ZZ633,1,$E$2+2),4)),VALUE(MID(INDEX('입력_구리근무자명단'!$A633:$ZZ633,1,$E$2+2),6,2)),VALUE(MID(INDEX('입력_구리근무자명단'!$A633:$ZZ633,1,$E$2+2),9,2))),-1))))</f>
        <v/>
      </c>
      <c r="T635">
        <f>IF($R635="","",IF(INDEX('입력_구리근무자명단'!$A633:$ZZ633,1,$E$2+3)&amp;""="",EOMONTH(급여기준월,0),IF(ISNUMBER(INDEX('입력_구리근무자명단'!$A633:$ZZ633,1,$E$2+3)),INDEX('입력_구리근무자명단'!$A633:$ZZ633,1,$E$2+3),IFERROR(DATE(VALUE(LEFT(INDEX('입력_구리근무자명단'!$A633:$ZZ633,1,$E$2+3),4)),VALUE(MID(INDEX('입력_구리근무자명단'!$A633:$ZZ633,1,$E$2+3),6,2)),VALUE(MID(INDEX('입력_구리근무자명단'!$A633:$ZZ633,1,$E$2+3),9,2))),-1))))</f>
        <v/>
      </c>
      <c r="U635">
        <f>IF($R635="","",IF(OR($S635&lt;0,$T635&lt;0),0,MAX(0,MIN($T635,EOMONTH(급여기준월,0))-MAX($S635,급여기준월)+1)))</f>
        <v/>
      </c>
      <c r="V635">
        <f>IF($R635="","",TRIM(INDEX('입력_구리근무자명단'!$A633:$ZZ633,1,$E$2+5)&amp;""))</f>
        <v/>
      </c>
      <c r="W635">
        <f>IF(ISNUMBER(SEARCH("구리독자",$V635)),"구리독자","")</f>
        <v/>
      </c>
      <c r="X635">
        <f>IF($R635="","",$R635&amp;"|"&amp;IF(OR($Q635="인턴",ISNUMBER(SEARCH("수련교육부",$P635))),"인턴",$P635))</f>
        <v/>
      </c>
      <c r="Y635">
        <f>IF($R635="","",IF(COUNTIF(명단표[이름|과],$X635)=1,"명단 일치",IF(AND(COUNTIF(명단표[이름|과],$X635)=0,COUNTIF(명단표[이름],$R635)=1),"명단 일치(이름만, 과 다름)",IF(COUNTIF(명단표[이름],$R635)=0,IF(COUNTIF(기본자료표[이름],$R635)&gt;0,"명단에 없음(기본자료에는 있음)","명단에 없음"),"동명이인 확인"))))</f>
        <v/>
      </c>
      <c r="Z635">
        <f>IF($R635="","",IF($S635&lt;0,"⚠"&amp;INDEX('입력_구리근무자명단'!$A633:$ZZ633,1,$E$2+2),TEXT($S635,"yyyy-mm-dd")))</f>
        <v/>
      </c>
      <c r="AA635">
        <f>IF($R635="","",IF($T635&lt;0,"⚠"&amp;INDEX('입력_구리근무자명단'!$A633:$ZZ633,1,$E$2+3),TEXT($T635,"yyyy-mm-dd")))</f>
        <v/>
      </c>
      <c r="AB635">
        <f>AB634+IF($R635="",0,1)</f>
        <v/>
      </c>
      <c r="AC635">
        <f>IF($R635="","",$AB635)</f>
        <v/>
      </c>
    </row>
    <row r="636">
      <c r="O636">
        <f>634</f>
        <v/>
      </c>
      <c r="P636">
        <f>IF(TRIM('입력_구리근무자명단'!$A634&amp;"")&lt;&gt;"",TRIM('입력_구리근무자명단'!$A634&amp;""),P635)</f>
        <v/>
      </c>
      <c r="Q636">
        <f>'입력_구리근무자명단'!$B634&amp;""</f>
        <v/>
      </c>
      <c r="R636">
        <f>IF($E$2="","",TRIM(INDEX('입력_구리근무자명단'!$A634:$ZZ634,1,$E$2+IF($G$2="확정",1,0))&amp;""))</f>
        <v/>
      </c>
      <c r="S636">
        <f>IF($R636="","",IF(INDEX('입력_구리근무자명단'!$A634:$ZZ634,1,$E$2+2)&amp;""="",급여기준월,IF(ISNUMBER(INDEX('입력_구리근무자명단'!$A634:$ZZ634,1,$E$2+2)),INDEX('입력_구리근무자명단'!$A634:$ZZ634,1,$E$2+2),IFERROR(DATE(VALUE(LEFT(INDEX('입력_구리근무자명단'!$A634:$ZZ634,1,$E$2+2),4)),VALUE(MID(INDEX('입력_구리근무자명단'!$A634:$ZZ634,1,$E$2+2),6,2)),VALUE(MID(INDEX('입력_구리근무자명단'!$A634:$ZZ634,1,$E$2+2),9,2))),-1))))</f>
        <v/>
      </c>
      <c r="T636">
        <f>IF($R636="","",IF(INDEX('입력_구리근무자명단'!$A634:$ZZ634,1,$E$2+3)&amp;""="",EOMONTH(급여기준월,0),IF(ISNUMBER(INDEX('입력_구리근무자명단'!$A634:$ZZ634,1,$E$2+3)),INDEX('입력_구리근무자명단'!$A634:$ZZ634,1,$E$2+3),IFERROR(DATE(VALUE(LEFT(INDEX('입력_구리근무자명단'!$A634:$ZZ634,1,$E$2+3),4)),VALUE(MID(INDEX('입력_구리근무자명단'!$A634:$ZZ634,1,$E$2+3),6,2)),VALUE(MID(INDEX('입력_구리근무자명단'!$A634:$ZZ634,1,$E$2+3),9,2))),-1))))</f>
        <v/>
      </c>
      <c r="U636">
        <f>IF($R636="","",IF(OR($S636&lt;0,$T636&lt;0),0,MAX(0,MIN($T636,EOMONTH(급여기준월,0))-MAX($S636,급여기준월)+1)))</f>
        <v/>
      </c>
      <c r="V636">
        <f>IF($R636="","",TRIM(INDEX('입력_구리근무자명단'!$A634:$ZZ634,1,$E$2+5)&amp;""))</f>
        <v/>
      </c>
      <c r="W636">
        <f>IF(ISNUMBER(SEARCH("구리독자",$V636)),"구리독자","")</f>
        <v/>
      </c>
      <c r="X636">
        <f>IF($R636="","",$R636&amp;"|"&amp;IF(OR($Q636="인턴",ISNUMBER(SEARCH("수련교육부",$P636))),"인턴",$P636))</f>
        <v/>
      </c>
      <c r="Y636">
        <f>IF($R636="","",IF(COUNTIF(명단표[이름|과],$X636)=1,"명단 일치",IF(AND(COUNTIF(명단표[이름|과],$X636)=0,COUNTIF(명단표[이름],$R636)=1),"명단 일치(이름만, 과 다름)",IF(COUNTIF(명단표[이름],$R636)=0,IF(COUNTIF(기본자료표[이름],$R636)&gt;0,"명단에 없음(기본자료에는 있음)","명단에 없음"),"동명이인 확인"))))</f>
        <v/>
      </c>
      <c r="Z636">
        <f>IF($R636="","",IF($S636&lt;0,"⚠"&amp;INDEX('입력_구리근무자명단'!$A634:$ZZ634,1,$E$2+2),TEXT($S636,"yyyy-mm-dd")))</f>
        <v/>
      </c>
      <c r="AA636">
        <f>IF($R636="","",IF($T636&lt;0,"⚠"&amp;INDEX('입력_구리근무자명단'!$A634:$ZZ634,1,$E$2+3),TEXT($T636,"yyyy-mm-dd")))</f>
        <v/>
      </c>
      <c r="AB636">
        <f>AB635+IF($R636="",0,1)</f>
        <v/>
      </c>
      <c r="AC636">
        <f>IF($R636="","",$AB636)</f>
        <v/>
      </c>
    </row>
    <row r="637">
      <c r="O637">
        <f>635</f>
        <v/>
      </c>
      <c r="P637">
        <f>IF(TRIM('입력_구리근무자명단'!$A635&amp;"")&lt;&gt;"",TRIM('입력_구리근무자명단'!$A635&amp;""),P636)</f>
        <v/>
      </c>
      <c r="Q637">
        <f>'입력_구리근무자명단'!$B635&amp;""</f>
        <v/>
      </c>
      <c r="R637">
        <f>IF($E$2="","",TRIM(INDEX('입력_구리근무자명단'!$A635:$ZZ635,1,$E$2+IF($G$2="확정",1,0))&amp;""))</f>
        <v/>
      </c>
      <c r="S637">
        <f>IF($R637="","",IF(INDEX('입력_구리근무자명단'!$A635:$ZZ635,1,$E$2+2)&amp;""="",급여기준월,IF(ISNUMBER(INDEX('입력_구리근무자명단'!$A635:$ZZ635,1,$E$2+2)),INDEX('입력_구리근무자명단'!$A635:$ZZ635,1,$E$2+2),IFERROR(DATE(VALUE(LEFT(INDEX('입력_구리근무자명단'!$A635:$ZZ635,1,$E$2+2),4)),VALUE(MID(INDEX('입력_구리근무자명단'!$A635:$ZZ635,1,$E$2+2),6,2)),VALUE(MID(INDEX('입력_구리근무자명단'!$A635:$ZZ635,1,$E$2+2),9,2))),-1))))</f>
        <v/>
      </c>
      <c r="T637">
        <f>IF($R637="","",IF(INDEX('입력_구리근무자명단'!$A635:$ZZ635,1,$E$2+3)&amp;""="",EOMONTH(급여기준월,0),IF(ISNUMBER(INDEX('입력_구리근무자명단'!$A635:$ZZ635,1,$E$2+3)),INDEX('입력_구리근무자명단'!$A635:$ZZ635,1,$E$2+3),IFERROR(DATE(VALUE(LEFT(INDEX('입력_구리근무자명단'!$A635:$ZZ635,1,$E$2+3),4)),VALUE(MID(INDEX('입력_구리근무자명단'!$A635:$ZZ635,1,$E$2+3),6,2)),VALUE(MID(INDEX('입력_구리근무자명단'!$A635:$ZZ635,1,$E$2+3),9,2))),-1))))</f>
        <v/>
      </c>
      <c r="U637">
        <f>IF($R637="","",IF(OR($S637&lt;0,$T637&lt;0),0,MAX(0,MIN($T637,EOMONTH(급여기준월,0))-MAX($S637,급여기준월)+1)))</f>
        <v/>
      </c>
      <c r="V637">
        <f>IF($R637="","",TRIM(INDEX('입력_구리근무자명단'!$A635:$ZZ635,1,$E$2+5)&amp;""))</f>
        <v/>
      </c>
      <c r="W637">
        <f>IF(ISNUMBER(SEARCH("구리독자",$V637)),"구리독자","")</f>
        <v/>
      </c>
      <c r="X637">
        <f>IF($R637="","",$R637&amp;"|"&amp;IF(OR($Q637="인턴",ISNUMBER(SEARCH("수련교육부",$P637))),"인턴",$P637))</f>
        <v/>
      </c>
      <c r="Y637">
        <f>IF($R637="","",IF(COUNTIF(명단표[이름|과],$X637)=1,"명단 일치",IF(AND(COUNTIF(명단표[이름|과],$X637)=0,COUNTIF(명단표[이름],$R637)=1),"명단 일치(이름만, 과 다름)",IF(COUNTIF(명단표[이름],$R637)=0,IF(COUNTIF(기본자료표[이름],$R637)&gt;0,"명단에 없음(기본자료에는 있음)","명단에 없음"),"동명이인 확인"))))</f>
        <v/>
      </c>
      <c r="Z637">
        <f>IF($R637="","",IF($S637&lt;0,"⚠"&amp;INDEX('입력_구리근무자명단'!$A635:$ZZ635,1,$E$2+2),TEXT($S637,"yyyy-mm-dd")))</f>
        <v/>
      </c>
      <c r="AA637">
        <f>IF($R637="","",IF($T637&lt;0,"⚠"&amp;INDEX('입력_구리근무자명단'!$A635:$ZZ635,1,$E$2+3),TEXT($T637,"yyyy-mm-dd")))</f>
        <v/>
      </c>
      <c r="AB637">
        <f>AB636+IF($R637="",0,1)</f>
        <v/>
      </c>
      <c r="AC637">
        <f>IF($R637="","",$AB637)</f>
        <v/>
      </c>
    </row>
    <row r="638">
      <c r="O638">
        <f>636</f>
        <v/>
      </c>
      <c r="P638">
        <f>IF(TRIM('입력_구리근무자명단'!$A636&amp;"")&lt;&gt;"",TRIM('입력_구리근무자명단'!$A636&amp;""),P637)</f>
        <v/>
      </c>
      <c r="Q638">
        <f>'입력_구리근무자명단'!$B636&amp;""</f>
        <v/>
      </c>
      <c r="R638">
        <f>IF($E$2="","",TRIM(INDEX('입력_구리근무자명단'!$A636:$ZZ636,1,$E$2+IF($G$2="확정",1,0))&amp;""))</f>
        <v/>
      </c>
      <c r="S638">
        <f>IF($R638="","",IF(INDEX('입력_구리근무자명단'!$A636:$ZZ636,1,$E$2+2)&amp;""="",급여기준월,IF(ISNUMBER(INDEX('입력_구리근무자명단'!$A636:$ZZ636,1,$E$2+2)),INDEX('입력_구리근무자명단'!$A636:$ZZ636,1,$E$2+2),IFERROR(DATE(VALUE(LEFT(INDEX('입력_구리근무자명단'!$A636:$ZZ636,1,$E$2+2),4)),VALUE(MID(INDEX('입력_구리근무자명단'!$A636:$ZZ636,1,$E$2+2),6,2)),VALUE(MID(INDEX('입력_구리근무자명단'!$A636:$ZZ636,1,$E$2+2),9,2))),-1))))</f>
        <v/>
      </c>
      <c r="T638">
        <f>IF($R638="","",IF(INDEX('입력_구리근무자명단'!$A636:$ZZ636,1,$E$2+3)&amp;""="",EOMONTH(급여기준월,0),IF(ISNUMBER(INDEX('입력_구리근무자명단'!$A636:$ZZ636,1,$E$2+3)),INDEX('입력_구리근무자명단'!$A636:$ZZ636,1,$E$2+3),IFERROR(DATE(VALUE(LEFT(INDEX('입력_구리근무자명단'!$A636:$ZZ636,1,$E$2+3),4)),VALUE(MID(INDEX('입력_구리근무자명단'!$A636:$ZZ636,1,$E$2+3),6,2)),VALUE(MID(INDEX('입력_구리근무자명단'!$A636:$ZZ636,1,$E$2+3),9,2))),-1))))</f>
        <v/>
      </c>
      <c r="U638">
        <f>IF($R638="","",IF(OR($S638&lt;0,$T638&lt;0),0,MAX(0,MIN($T638,EOMONTH(급여기준월,0))-MAX($S638,급여기준월)+1)))</f>
        <v/>
      </c>
      <c r="V638">
        <f>IF($R638="","",TRIM(INDEX('입력_구리근무자명단'!$A636:$ZZ636,1,$E$2+5)&amp;""))</f>
        <v/>
      </c>
      <c r="W638">
        <f>IF(ISNUMBER(SEARCH("구리독자",$V638)),"구리독자","")</f>
        <v/>
      </c>
      <c r="X638">
        <f>IF($R638="","",$R638&amp;"|"&amp;IF(OR($Q638="인턴",ISNUMBER(SEARCH("수련교육부",$P638))),"인턴",$P638))</f>
        <v/>
      </c>
      <c r="Y638">
        <f>IF($R638="","",IF(COUNTIF(명단표[이름|과],$X638)=1,"명단 일치",IF(AND(COUNTIF(명단표[이름|과],$X638)=0,COUNTIF(명단표[이름],$R638)=1),"명단 일치(이름만, 과 다름)",IF(COUNTIF(명단표[이름],$R638)=0,IF(COUNTIF(기본자료표[이름],$R638)&gt;0,"명단에 없음(기본자료에는 있음)","명단에 없음"),"동명이인 확인"))))</f>
        <v/>
      </c>
      <c r="Z638">
        <f>IF($R638="","",IF($S638&lt;0,"⚠"&amp;INDEX('입력_구리근무자명단'!$A636:$ZZ636,1,$E$2+2),TEXT($S638,"yyyy-mm-dd")))</f>
        <v/>
      </c>
      <c r="AA638">
        <f>IF($R638="","",IF($T638&lt;0,"⚠"&amp;INDEX('입력_구리근무자명단'!$A636:$ZZ636,1,$E$2+3),TEXT($T638,"yyyy-mm-dd")))</f>
        <v/>
      </c>
      <c r="AB638">
        <f>AB637+IF($R638="",0,1)</f>
        <v/>
      </c>
      <c r="AC638">
        <f>IF($R638="","",$AB638)</f>
        <v/>
      </c>
    </row>
    <row r="639">
      <c r="O639">
        <f>637</f>
        <v/>
      </c>
      <c r="P639">
        <f>IF(TRIM('입력_구리근무자명단'!$A637&amp;"")&lt;&gt;"",TRIM('입력_구리근무자명단'!$A637&amp;""),P638)</f>
        <v/>
      </c>
      <c r="Q639">
        <f>'입력_구리근무자명단'!$B637&amp;""</f>
        <v/>
      </c>
      <c r="R639">
        <f>IF($E$2="","",TRIM(INDEX('입력_구리근무자명단'!$A637:$ZZ637,1,$E$2+IF($G$2="확정",1,0))&amp;""))</f>
        <v/>
      </c>
      <c r="S639">
        <f>IF($R639="","",IF(INDEX('입력_구리근무자명단'!$A637:$ZZ637,1,$E$2+2)&amp;""="",급여기준월,IF(ISNUMBER(INDEX('입력_구리근무자명단'!$A637:$ZZ637,1,$E$2+2)),INDEX('입력_구리근무자명단'!$A637:$ZZ637,1,$E$2+2),IFERROR(DATE(VALUE(LEFT(INDEX('입력_구리근무자명단'!$A637:$ZZ637,1,$E$2+2),4)),VALUE(MID(INDEX('입력_구리근무자명단'!$A637:$ZZ637,1,$E$2+2),6,2)),VALUE(MID(INDEX('입력_구리근무자명단'!$A637:$ZZ637,1,$E$2+2),9,2))),-1))))</f>
        <v/>
      </c>
      <c r="T639">
        <f>IF($R639="","",IF(INDEX('입력_구리근무자명단'!$A637:$ZZ637,1,$E$2+3)&amp;""="",EOMONTH(급여기준월,0),IF(ISNUMBER(INDEX('입력_구리근무자명단'!$A637:$ZZ637,1,$E$2+3)),INDEX('입력_구리근무자명단'!$A637:$ZZ637,1,$E$2+3),IFERROR(DATE(VALUE(LEFT(INDEX('입력_구리근무자명단'!$A637:$ZZ637,1,$E$2+3),4)),VALUE(MID(INDEX('입력_구리근무자명단'!$A637:$ZZ637,1,$E$2+3),6,2)),VALUE(MID(INDEX('입력_구리근무자명단'!$A637:$ZZ637,1,$E$2+3),9,2))),-1))))</f>
        <v/>
      </c>
      <c r="U639">
        <f>IF($R639="","",IF(OR($S639&lt;0,$T639&lt;0),0,MAX(0,MIN($T639,EOMONTH(급여기준월,0))-MAX($S639,급여기준월)+1)))</f>
        <v/>
      </c>
      <c r="V639">
        <f>IF($R639="","",TRIM(INDEX('입력_구리근무자명단'!$A637:$ZZ637,1,$E$2+5)&amp;""))</f>
        <v/>
      </c>
      <c r="W639">
        <f>IF(ISNUMBER(SEARCH("구리독자",$V639)),"구리독자","")</f>
        <v/>
      </c>
      <c r="X639">
        <f>IF($R639="","",$R639&amp;"|"&amp;IF(OR($Q639="인턴",ISNUMBER(SEARCH("수련교육부",$P639))),"인턴",$P639))</f>
        <v/>
      </c>
      <c r="Y639">
        <f>IF($R639="","",IF(COUNTIF(명단표[이름|과],$X639)=1,"명단 일치",IF(AND(COUNTIF(명단표[이름|과],$X639)=0,COUNTIF(명단표[이름],$R639)=1),"명단 일치(이름만, 과 다름)",IF(COUNTIF(명단표[이름],$R639)=0,IF(COUNTIF(기본자료표[이름],$R639)&gt;0,"명단에 없음(기본자료에는 있음)","명단에 없음"),"동명이인 확인"))))</f>
        <v/>
      </c>
      <c r="Z639">
        <f>IF($R639="","",IF($S639&lt;0,"⚠"&amp;INDEX('입력_구리근무자명단'!$A637:$ZZ637,1,$E$2+2),TEXT($S639,"yyyy-mm-dd")))</f>
        <v/>
      </c>
      <c r="AA639">
        <f>IF($R639="","",IF($T639&lt;0,"⚠"&amp;INDEX('입력_구리근무자명단'!$A637:$ZZ637,1,$E$2+3),TEXT($T639,"yyyy-mm-dd")))</f>
        <v/>
      </c>
      <c r="AB639">
        <f>AB638+IF($R639="",0,1)</f>
        <v/>
      </c>
      <c r="AC639">
        <f>IF($R639="","",$AB639)</f>
        <v/>
      </c>
    </row>
    <row r="640">
      <c r="O640">
        <f>638</f>
        <v/>
      </c>
      <c r="P640">
        <f>IF(TRIM('입력_구리근무자명단'!$A638&amp;"")&lt;&gt;"",TRIM('입력_구리근무자명단'!$A638&amp;""),P639)</f>
        <v/>
      </c>
      <c r="Q640">
        <f>'입력_구리근무자명단'!$B638&amp;""</f>
        <v/>
      </c>
      <c r="R640">
        <f>IF($E$2="","",TRIM(INDEX('입력_구리근무자명단'!$A638:$ZZ638,1,$E$2+IF($G$2="확정",1,0))&amp;""))</f>
        <v/>
      </c>
      <c r="S640">
        <f>IF($R640="","",IF(INDEX('입력_구리근무자명단'!$A638:$ZZ638,1,$E$2+2)&amp;""="",급여기준월,IF(ISNUMBER(INDEX('입력_구리근무자명단'!$A638:$ZZ638,1,$E$2+2)),INDEX('입력_구리근무자명단'!$A638:$ZZ638,1,$E$2+2),IFERROR(DATE(VALUE(LEFT(INDEX('입력_구리근무자명단'!$A638:$ZZ638,1,$E$2+2),4)),VALUE(MID(INDEX('입력_구리근무자명단'!$A638:$ZZ638,1,$E$2+2),6,2)),VALUE(MID(INDEX('입력_구리근무자명단'!$A638:$ZZ638,1,$E$2+2),9,2))),-1))))</f>
        <v/>
      </c>
      <c r="T640">
        <f>IF($R640="","",IF(INDEX('입력_구리근무자명단'!$A638:$ZZ638,1,$E$2+3)&amp;""="",EOMONTH(급여기준월,0),IF(ISNUMBER(INDEX('입력_구리근무자명단'!$A638:$ZZ638,1,$E$2+3)),INDEX('입력_구리근무자명단'!$A638:$ZZ638,1,$E$2+3),IFERROR(DATE(VALUE(LEFT(INDEX('입력_구리근무자명단'!$A638:$ZZ638,1,$E$2+3),4)),VALUE(MID(INDEX('입력_구리근무자명단'!$A638:$ZZ638,1,$E$2+3),6,2)),VALUE(MID(INDEX('입력_구리근무자명단'!$A638:$ZZ638,1,$E$2+3),9,2))),-1))))</f>
        <v/>
      </c>
      <c r="U640">
        <f>IF($R640="","",IF(OR($S640&lt;0,$T640&lt;0),0,MAX(0,MIN($T640,EOMONTH(급여기준월,0))-MAX($S640,급여기준월)+1)))</f>
        <v/>
      </c>
      <c r="V640">
        <f>IF($R640="","",TRIM(INDEX('입력_구리근무자명단'!$A638:$ZZ638,1,$E$2+5)&amp;""))</f>
        <v/>
      </c>
      <c r="W640">
        <f>IF(ISNUMBER(SEARCH("구리독자",$V640)),"구리독자","")</f>
        <v/>
      </c>
      <c r="X640">
        <f>IF($R640="","",$R640&amp;"|"&amp;IF(OR($Q640="인턴",ISNUMBER(SEARCH("수련교육부",$P640))),"인턴",$P640))</f>
        <v/>
      </c>
      <c r="Y640">
        <f>IF($R640="","",IF(COUNTIF(명단표[이름|과],$X640)=1,"명단 일치",IF(AND(COUNTIF(명단표[이름|과],$X640)=0,COUNTIF(명단표[이름],$R640)=1),"명단 일치(이름만, 과 다름)",IF(COUNTIF(명단표[이름],$R640)=0,IF(COUNTIF(기본자료표[이름],$R640)&gt;0,"명단에 없음(기본자료에는 있음)","명단에 없음"),"동명이인 확인"))))</f>
        <v/>
      </c>
      <c r="Z640">
        <f>IF($R640="","",IF($S640&lt;0,"⚠"&amp;INDEX('입력_구리근무자명단'!$A638:$ZZ638,1,$E$2+2),TEXT($S640,"yyyy-mm-dd")))</f>
        <v/>
      </c>
      <c r="AA640">
        <f>IF($R640="","",IF($T640&lt;0,"⚠"&amp;INDEX('입력_구리근무자명단'!$A638:$ZZ638,1,$E$2+3),TEXT($T640,"yyyy-mm-dd")))</f>
        <v/>
      </c>
      <c r="AB640">
        <f>AB639+IF($R640="",0,1)</f>
        <v/>
      </c>
      <c r="AC640">
        <f>IF($R640="","",$AB640)</f>
        <v/>
      </c>
    </row>
    <row r="641">
      <c r="O641">
        <f>639</f>
        <v/>
      </c>
      <c r="P641">
        <f>IF(TRIM('입력_구리근무자명단'!$A639&amp;"")&lt;&gt;"",TRIM('입력_구리근무자명단'!$A639&amp;""),P640)</f>
        <v/>
      </c>
      <c r="Q641">
        <f>'입력_구리근무자명단'!$B639&amp;""</f>
        <v/>
      </c>
      <c r="R641">
        <f>IF($E$2="","",TRIM(INDEX('입력_구리근무자명단'!$A639:$ZZ639,1,$E$2+IF($G$2="확정",1,0))&amp;""))</f>
        <v/>
      </c>
      <c r="S641">
        <f>IF($R641="","",IF(INDEX('입력_구리근무자명단'!$A639:$ZZ639,1,$E$2+2)&amp;""="",급여기준월,IF(ISNUMBER(INDEX('입력_구리근무자명단'!$A639:$ZZ639,1,$E$2+2)),INDEX('입력_구리근무자명단'!$A639:$ZZ639,1,$E$2+2),IFERROR(DATE(VALUE(LEFT(INDEX('입력_구리근무자명단'!$A639:$ZZ639,1,$E$2+2),4)),VALUE(MID(INDEX('입력_구리근무자명단'!$A639:$ZZ639,1,$E$2+2),6,2)),VALUE(MID(INDEX('입력_구리근무자명단'!$A639:$ZZ639,1,$E$2+2),9,2))),-1))))</f>
        <v/>
      </c>
      <c r="T641">
        <f>IF($R641="","",IF(INDEX('입력_구리근무자명단'!$A639:$ZZ639,1,$E$2+3)&amp;""="",EOMONTH(급여기준월,0),IF(ISNUMBER(INDEX('입력_구리근무자명단'!$A639:$ZZ639,1,$E$2+3)),INDEX('입력_구리근무자명단'!$A639:$ZZ639,1,$E$2+3),IFERROR(DATE(VALUE(LEFT(INDEX('입력_구리근무자명단'!$A639:$ZZ639,1,$E$2+3),4)),VALUE(MID(INDEX('입력_구리근무자명단'!$A639:$ZZ639,1,$E$2+3),6,2)),VALUE(MID(INDEX('입력_구리근무자명단'!$A639:$ZZ639,1,$E$2+3),9,2))),-1))))</f>
        <v/>
      </c>
      <c r="U641">
        <f>IF($R641="","",IF(OR($S641&lt;0,$T641&lt;0),0,MAX(0,MIN($T641,EOMONTH(급여기준월,0))-MAX($S641,급여기준월)+1)))</f>
        <v/>
      </c>
      <c r="V641">
        <f>IF($R641="","",TRIM(INDEX('입력_구리근무자명단'!$A639:$ZZ639,1,$E$2+5)&amp;""))</f>
        <v/>
      </c>
      <c r="W641">
        <f>IF(ISNUMBER(SEARCH("구리독자",$V641)),"구리독자","")</f>
        <v/>
      </c>
      <c r="X641">
        <f>IF($R641="","",$R641&amp;"|"&amp;IF(OR($Q641="인턴",ISNUMBER(SEARCH("수련교육부",$P641))),"인턴",$P641))</f>
        <v/>
      </c>
      <c r="Y641">
        <f>IF($R641="","",IF(COUNTIF(명단표[이름|과],$X641)=1,"명단 일치",IF(AND(COUNTIF(명단표[이름|과],$X641)=0,COUNTIF(명단표[이름],$R641)=1),"명단 일치(이름만, 과 다름)",IF(COUNTIF(명단표[이름],$R641)=0,IF(COUNTIF(기본자료표[이름],$R641)&gt;0,"명단에 없음(기본자료에는 있음)","명단에 없음"),"동명이인 확인"))))</f>
        <v/>
      </c>
      <c r="Z641">
        <f>IF($R641="","",IF($S641&lt;0,"⚠"&amp;INDEX('입력_구리근무자명단'!$A639:$ZZ639,1,$E$2+2),TEXT($S641,"yyyy-mm-dd")))</f>
        <v/>
      </c>
      <c r="AA641">
        <f>IF($R641="","",IF($T641&lt;0,"⚠"&amp;INDEX('입력_구리근무자명단'!$A639:$ZZ639,1,$E$2+3),TEXT($T641,"yyyy-mm-dd")))</f>
        <v/>
      </c>
      <c r="AB641">
        <f>AB640+IF($R641="",0,1)</f>
        <v/>
      </c>
      <c r="AC641">
        <f>IF($R641="","",$AB641)</f>
        <v/>
      </c>
    </row>
    <row r="642">
      <c r="O642">
        <f>640</f>
        <v/>
      </c>
      <c r="P642">
        <f>IF(TRIM('입력_구리근무자명단'!$A640&amp;"")&lt;&gt;"",TRIM('입력_구리근무자명단'!$A640&amp;""),P641)</f>
        <v/>
      </c>
      <c r="Q642">
        <f>'입력_구리근무자명단'!$B640&amp;""</f>
        <v/>
      </c>
      <c r="R642">
        <f>IF($E$2="","",TRIM(INDEX('입력_구리근무자명단'!$A640:$ZZ640,1,$E$2+IF($G$2="확정",1,0))&amp;""))</f>
        <v/>
      </c>
      <c r="S642">
        <f>IF($R642="","",IF(INDEX('입력_구리근무자명단'!$A640:$ZZ640,1,$E$2+2)&amp;""="",급여기준월,IF(ISNUMBER(INDEX('입력_구리근무자명단'!$A640:$ZZ640,1,$E$2+2)),INDEX('입력_구리근무자명단'!$A640:$ZZ640,1,$E$2+2),IFERROR(DATE(VALUE(LEFT(INDEX('입력_구리근무자명단'!$A640:$ZZ640,1,$E$2+2),4)),VALUE(MID(INDEX('입력_구리근무자명단'!$A640:$ZZ640,1,$E$2+2),6,2)),VALUE(MID(INDEX('입력_구리근무자명단'!$A640:$ZZ640,1,$E$2+2),9,2))),-1))))</f>
        <v/>
      </c>
      <c r="T642">
        <f>IF($R642="","",IF(INDEX('입력_구리근무자명단'!$A640:$ZZ640,1,$E$2+3)&amp;""="",EOMONTH(급여기준월,0),IF(ISNUMBER(INDEX('입력_구리근무자명단'!$A640:$ZZ640,1,$E$2+3)),INDEX('입력_구리근무자명단'!$A640:$ZZ640,1,$E$2+3),IFERROR(DATE(VALUE(LEFT(INDEX('입력_구리근무자명단'!$A640:$ZZ640,1,$E$2+3),4)),VALUE(MID(INDEX('입력_구리근무자명단'!$A640:$ZZ640,1,$E$2+3),6,2)),VALUE(MID(INDEX('입력_구리근무자명단'!$A640:$ZZ640,1,$E$2+3),9,2))),-1))))</f>
        <v/>
      </c>
      <c r="U642">
        <f>IF($R642="","",IF(OR($S642&lt;0,$T642&lt;0),0,MAX(0,MIN($T642,EOMONTH(급여기준월,0))-MAX($S642,급여기준월)+1)))</f>
        <v/>
      </c>
      <c r="V642">
        <f>IF($R642="","",TRIM(INDEX('입력_구리근무자명단'!$A640:$ZZ640,1,$E$2+5)&amp;""))</f>
        <v/>
      </c>
      <c r="W642">
        <f>IF(ISNUMBER(SEARCH("구리독자",$V642)),"구리독자","")</f>
        <v/>
      </c>
      <c r="X642">
        <f>IF($R642="","",$R642&amp;"|"&amp;IF(OR($Q642="인턴",ISNUMBER(SEARCH("수련교육부",$P642))),"인턴",$P642))</f>
        <v/>
      </c>
      <c r="Y642">
        <f>IF($R642="","",IF(COUNTIF(명단표[이름|과],$X642)=1,"명단 일치",IF(AND(COUNTIF(명단표[이름|과],$X642)=0,COUNTIF(명단표[이름],$R642)=1),"명단 일치(이름만, 과 다름)",IF(COUNTIF(명단표[이름],$R642)=0,IF(COUNTIF(기본자료표[이름],$R642)&gt;0,"명단에 없음(기본자료에는 있음)","명단에 없음"),"동명이인 확인"))))</f>
        <v/>
      </c>
      <c r="Z642">
        <f>IF($R642="","",IF($S642&lt;0,"⚠"&amp;INDEX('입력_구리근무자명단'!$A640:$ZZ640,1,$E$2+2),TEXT($S642,"yyyy-mm-dd")))</f>
        <v/>
      </c>
      <c r="AA642">
        <f>IF($R642="","",IF($T642&lt;0,"⚠"&amp;INDEX('입력_구리근무자명단'!$A640:$ZZ640,1,$E$2+3),TEXT($T642,"yyyy-mm-dd")))</f>
        <v/>
      </c>
      <c r="AB642">
        <f>AB641+IF($R642="",0,1)</f>
        <v/>
      </c>
      <c r="AC642">
        <f>IF($R642="","",$AB642)</f>
        <v/>
      </c>
    </row>
    <row r="643">
      <c r="O643">
        <f>641</f>
        <v/>
      </c>
      <c r="P643">
        <f>IF(TRIM('입력_구리근무자명단'!$A641&amp;"")&lt;&gt;"",TRIM('입력_구리근무자명단'!$A641&amp;""),P642)</f>
        <v/>
      </c>
      <c r="Q643">
        <f>'입력_구리근무자명단'!$B641&amp;""</f>
        <v/>
      </c>
      <c r="R643">
        <f>IF($E$2="","",TRIM(INDEX('입력_구리근무자명단'!$A641:$ZZ641,1,$E$2+IF($G$2="확정",1,0))&amp;""))</f>
        <v/>
      </c>
      <c r="S643">
        <f>IF($R643="","",IF(INDEX('입력_구리근무자명단'!$A641:$ZZ641,1,$E$2+2)&amp;""="",급여기준월,IF(ISNUMBER(INDEX('입력_구리근무자명단'!$A641:$ZZ641,1,$E$2+2)),INDEX('입력_구리근무자명단'!$A641:$ZZ641,1,$E$2+2),IFERROR(DATE(VALUE(LEFT(INDEX('입력_구리근무자명단'!$A641:$ZZ641,1,$E$2+2),4)),VALUE(MID(INDEX('입력_구리근무자명단'!$A641:$ZZ641,1,$E$2+2),6,2)),VALUE(MID(INDEX('입력_구리근무자명단'!$A641:$ZZ641,1,$E$2+2),9,2))),-1))))</f>
        <v/>
      </c>
      <c r="T643">
        <f>IF($R643="","",IF(INDEX('입력_구리근무자명단'!$A641:$ZZ641,1,$E$2+3)&amp;""="",EOMONTH(급여기준월,0),IF(ISNUMBER(INDEX('입력_구리근무자명단'!$A641:$ZZ641,1,$E$2+3)),INDEX('입력_구리근무자명단'!$A641:$ZZ641,1,$E$2+3),IFERROR(DATE(VALUE(LEFT(INDEX('입력_구리근무자명단'!$A641:$ZZ641,1,$E$2+3),4)),VALUE(MID(INDEX('입력_구리근무자명단'!$A641:$ZZ641,1,$E$2+3),6,2)),VALUE(MID(INDEX('입력_구리근무자명단'!$A641:$ZZ641,1,$E$2+3),9,2))),-1))))</f>
        <v/>
      </c>
      <c r="U643">
        <f>IF($R643="","",IF(OR($S643&lt;0,$T643&lt;0),0,MAX(0,MIN($T643,EOMONTH(급여기준월,0))-MAX($S643,급여기준월)+1)))</f>
        <v/>
      </c>
      <c r="V643">
        <f>IF($R643="","",TRIM(INDEX('입력_구리근무자명단'!$A641:$ZZ641,1,$E$2+5)&amp;""))</f>
        <v/>
      </c>
      <c r="W643">
        <f>IF(ISNUMBER(SEARCH("구리독자",$V643)),"구리독자","")</f>
        <v/>
      </c>
      <c r="X643">
        <f>IF($R643="","",$R643&amp;"|"&amp;IF(OR($Q643="인턴",ISNUMBER(SEARCH("수련교육부",$P643))),"인턴",$P643))</f>
        <v/>
      </c>
      <c r="Y643">
        <f>IF($R643="","",IF(COUNTIF(명단표[이름|과],$X643)=1,"명단 일치",IF(AND(COUNTIF(명단표[이름|과],$X643)=0,COUNTIF(명단표[이름],$R643)=1),"명단 일치(이름만, 과 다름)",IF(COUNTIF(명단표[이름],$R643)=0,IF(COUNTIF(기본자료표[이름],$R643)&gt;0,"명단에 없음(기본자료에는 있음)","명단에 없음"),"동명이인 확인"))))</f>
        <v/>
      </c>
      <c r="Z643">
        <f>IF($R643="","",IF($S643&lt;0,"⚠"&amp;INDEX('입력_구리근무자명단'!$A641:$ZZ641,1,$E$2+2),TEXT($S643,"yyyy-mm-dd")))</f>
        <v/>
      </c>
      <c r="AA643">
        <f>IF($R643="","",IF($T643&lt;0,"⚠"&amp;INDEX('입력_구리근무자명단'!$A641:$ZZ641,1,$E$2+3),TEXT($T643,"yyyy-mm-dd")))</f>
        <v/>
      </c>
      <c r="AB643">
        <f>AB642+IF($R643="",0,1)</f>
        <v/>
      </c>
      <c r="AC643">
        <f>IF($R643="","",$AB643)</f>
        <v/>
      </c>
    </row>
    <row r="644">
      <c r="O644">
        <f>642</f>
        <v/>
      </c>
      <c r="P644">
        <f>IF(TRIM('입력_구리근무자명단'!$A642&amp;"")&lt;&gt;"",TRIM('입력_구리근무자명단'!$A642&amp;""),P643)</f>
        <v/>
      </c>
      <c r="Q644">
        <f>'입력_구리근무자명단'!$B642&amp;""</f>
        <v/>
      </c>
      <c r="R644">
        <f>IF($E$2="","",TRIM(INDEX('입력_구리근무자명단'!$A642:$ZZ642,1,$E$2+IF($G$2="확정",1,0))&amp;""))</f>
        <v/>
      </c>
      <c r="S644">
        <f>IF($R644="","",IF(INDEX('입력_구리근무자명단'!$A642:$ZZ642,1,$E$2+2)&amp;""="",급여기준월,IF(ISNUMBER(INDEX('입력_구리근무자명단'!$A642:$ZZ642,1,$E$2+2)),INDEX('입력_구리근무자명단'!$A642:$ZZ642,1,$E$2+2),IFERROR(DATE(VALUE(LEFT(INDEX('입력_구리근무자명단'!$A642:$ZZ642,1,$E$2+2),4)),VALUE(MID(INDEX('입력_구리근무자명단'!$A642:$ZZ642,1,$E$2+2),6,2)),VALUE(MID(INDEX('입력_구리근무자명단'!$A642:$ZZ642,1,$E$2+2),9,2))),-1))))</f>
        <v/>
      </c>
      <c r="T644">
        <f>IF($R644="","",IF(INDEX('입력_구리근무자명단'!$A642:$ZZ642,1,$E$2+3)&amp;""="",EOMONTH(급여기준월,0),IF(ISNUMBER(INDEX('입력_구리근무자명단'!$A642:$ZZ642,1,$E$2+3)),INDEX('입력_구리근무자명단'!$A642:$ZZ642,1,$E$2+3),IFERROR(DATE(VALUE(LEFT(INDEX('입력_구리근무자명단'!$A642:$ZZ642,1,$E$2+3),4)),VALUE(MID(INDEX('입력_구리근무자명단'!$A642:$ZZ642,1,$E$2+3),6,2)),VALUE(MID(INDEX('입력_구리근무자명단'!$A642:$ZZ642,1,$E$2+3),9,2))),-1))))</f>
        <v/>
      </c>
      <c r="U644">
        <f>IF($R644="","",IF(OR($S644&lt;0,$T644&lt;0),0,MAX(0,MIN($T644,EOMONTH(급여기준월,0))-MAX($S644,급여기준월)+1)))</f>
        <v/>
      </c>
      <c r="V644">
        <f>IF($R644="","",TRIM(INDEX('입력_구리근무자명단'!$A642:$ZZ642,1,$E$2+5)&amp;""))</f>
        <v/>
      </c>
      <c r="W644">
        <f>IF(ISNUMBER(SEARCH("구리독자",$V644)),"구리독자","")</f>
        <v/>
      </c>
      <c r="X644">
        <f>IF($R644="","",$R644&amp;"|"&amp;IF(OR($Q644="인턴",ISNUMBER(SEARCH("수련교육부",$P644))),"인턴",$P644))</f>
        <v/>
      </c>
      <c r="Y644">
        <f>IF($R644="","",IF(COUNTIF(명단표[이름|과],$X644)=1,"명단 일치",IF(AND(COUNTIF(명단표[이름|과],$X644)=0,COUNTIF(명단표[이름],$R644)=1),"명단 일치(이름만, 과 다름)",IF(COUNTIF(명단표[이름],$R644)=0,IF(COUNTIF(기본자료표[이름],$R644)&gt;0,"명단에 없음(기본자료에는 있음)","명단에 없음"),"동명이인 확인"))))</f>
        <v/>
      </c>
      <c r="Z644">
        <f>IF($R644="","",IF($S644&lt;0,"⚠"&amp;INDEX('입력_구리근무자명단'!$A642:$ZZ642,1,$E$2+2),TEXT($S644,"yyyy-mm-dd")))</f>
        <v/>
      </c>
      <c r="AA644">
        <f>IF($R644="","",IF($T644&lt;0,"⚠"&amp;INDEX('입력_구리근무자명단'!$A642:$ZZ642,1,$E$2+3),TEXT($T644,"yyyy-mm-dd")))</f>
        <v/>
      </c>
      <c r="AB644">
        <f>AB643+IF($R644="",0,1)</f>
        <v/>
      </c>
      <c r="AC644">
        <f>IF($R644="","",$AB644)</f>
        <v/>
      </c>
    </row>
    <row r="645">
      <c r="O645">
        <f>643</f>
        <v/>
      </c>
      <c r="P645">
        <f>IF(TRIM('입력_구리근무자명단'!$A643&amp;"")&lt;&gt;"",TRIM('입력_구리근무자명단'!$A643&amp;""),P644)</f>
        <v/>
      </c>
      <c r="Q645">
        <f>'입력_구리근무자명단'!$B643&amp;""</f>
        <v/>
      </c>
      <c r="R645">
        <f>IF($E$2="","",TRIM(INDEX('입력_구리근무자명단'!$A643:$ZZ643,1,$E$2+IF($G$2="확정",1,0))&amp;""))</f>
        <v/>
      </c>
      <c r="S645">
        <f>IF($R645="","",IF(INDEX('입력_구리근무자명단'!$A643:$ZZ643,1,$E$2+2)&amp;""="",급여기준월,IF(ISNUMBER(INDEX('입력_구리근무자명단'!$A643:$ZZ643,1,$E$2+2)),INDEX('입력_구리근무자명단'!$A643:$ZZ643,1,$E$2+2),IFERROR(DATE(VALUE(LEFT(INDEX('입력_구리근무자명단'!$A643:$ZZ643,1,$E$2+2),4)),VALUE(MID(INDEX('입력_구리근무자명단'!$A643:$ZZ643,1,$E$2+2),6,2)),VALUE(MID(INDEX('입력_구리근무자명단'!$A643:$ZZ643,1,$E$2+2),9,2))),-1))))</f>
        <v/>
      </c>
      <c r="T645">
        <f>IF($R645="","",IF(INDEX('입력_구리근무자명단'!$A643:$ZZ643,1,$E$2+3)&amp;""="",EOMONTH(급여기준월,0),IF(ISNUMBER(INDEX('입력_구리근무자명단'!$A643:$ZZ643,1,$E$2+3)),INDEX('입력_구리근무자명단'!$A643:$ZZ643,1,$E$2+3),IFERROR(DATE(VALUE(LEFT(INDEX('입력_구리근무자명단'!$A643:$ZZ643,1,$E$2+3),4)),VALUE(MID(INDEX('입력_구리근무자명단'!$A643:$ZZ643,1,$E$2+3),6,2)),VALUE(MID(INDEX('입력_구리근무자명단'!$A643:$ZZ643,1,$E$2+3),9,2))),-1))))</f>
        <v/>
      </c>
      <c r="U645">
        <f>IF($R645="","",IF(OR($S645&lt;0,$T645&lt;0),0,MAX(0,MIN($T645,EOMONTH(급여기준월,0))-MAX($S645,급여기준월)+1)))</f>
        <v/>
      </c>
      <c r="V645">
        <f>IF($R645="","",TRIM(INDEX('입력_구리근무자명단'!$A643:$ZZ643,1,$E$2+5)&amp;""))</f>
        <v/>
      </c>
      <c r="W645">
        <f>IF(ISNUMBER(SEARCH("구리독자",$V645)),"구리독자","")</f>
        <v/>
      </c>
      <c r="X645">
        <f>IF($R645="","",$R645&amp;"|"&amp;IF(OR($Q645="인턴",ISNUMBER(SEARCH("수련교육부",$P645))),"인턴",$P645))</f>
        <v/>
      </c>
      <c r="Y645">
        <f>IF($R645="","",IF(COUNTIF(명단표[이름|과],$X645)=1,"명단 일치",IF(AND(COUNTIF(명단표[이름|과],$X645)=0,COUNTIF(명단표[이름],$R645)=1),"명단 일치(이름만, 과 다름)",IF(COUNTIF(명단표[이름],$R645)=0,IF(COUNTIF(기본자료표[이름],$R645)&gt;0,"명단에 없음(기본자료에는 있음)","명단에 없음"),"동명이인 확인"))))</f>
        <v/>
      </c>
      <c r="Z645">
        <f>IF($R645="","",IF($S645&lt;0,"⚠"&amp;INDEX('입력_구리근무자명단'!$A643:$ZZ643,1,$E$2+2),TEXT($S645,"yyyy-mm-dd")))</f>
        <v/>
      </c>
      <c r="AA645">
        <f>IF($R645="","",IF($T645&lt;0,"⚠"&amp;INDEX('입력_구리근무자명단'!$A643:$ZZ643,1,$E$2+3),TEXT($T645,"yyyy-mm-dd")))</f>
        <v/>
      </c>
      <c r="AB645">
        <f>AB644+IF($R645="",0,1)</f>
        <v/>
      </c>
      <c r="AC645">
        <f>IF($R645="","",$AB645)</f>
        <v/>
      </c>
    </row>
    <row r="646">
      <c r="O646">
        <f>644</f>
        <v/>
      </c>
      <c r="P646">
        <f>IF(TRIM('입력_구리근무자명단'!$A644&amp;"")&lt;&gt;"",TRIM('입력_구리근무자명단'!$A644&amp;""),P645)</f>
        <v/>
      </c>
      <c r="Q646">
        <f>'입력_구리근무자명단'!$B644&amp;""</f>
        <v/>
      </c>
      <c r="R646">
        <f>IF($E$2="","",TRIM(INDEX('입력_구리근무자명단'!$A644:$ZZ644,1,$E$2+IF($G$2="확정",1,0))&amp;""))</f>
        <v/>
      </c>
      <c r="S646">
        <f>IF($R646="","",IF(INDEX('입력_구리근무자명단'!$A644:$ZZ644,1,$E$2+2)&amp;""="",급여기준월,IF(ISNUMBER(INDEX('입력_구리근무자명단'!$A644:$ZZ644,1,$E$2+2)),INDEX('입력_구리근무자명단'!$A644:$ZZ644,1,$E$2+2),IFERROR(DATE(VALUE(LEFT(INDEX('입력_구리근무자명단'!$A644:$ZZ644,1,$E$2+2),4)),VALUE(MID(INDEX('입력_구리근무자명단'!$A644:$ZZ644,1,$E$2+2),6,2)),VALUE(MID(INDEX('입력_구리근무자명단'!$A644:$ZZ644,1,$E$2+2),9,2))),-1))))</f>
        <v/>
      </c>
      <c r="T646">
        <f>IF($R646="","",IF(INDEX('입력_구리근무자명단'!$A644:$ZZ644,1,$E$2+3)&amp;""="",EOMONTH(급여기준월,0),IF(ISNUMBER(INDEX('입력_구리근무자명단'!$A644:$ZZ644,1,$E$2+3)),INDEX('입력_구리근무자명단'!$A644:$ZZ644,1,$E$2+3),IFERROR(DATE(VALUE(LEFT(INDEX('입력_구리근무자명단'!$A644:$ZZ644,1,$E$2+3),4)),VALUE(MID(INDEX('입력_구리근무자명단'!$A644:$ZZ644,1,$E$2+3),6,2)),VALUE(MID(INDEX('입력_구리근무자명단'!$A644:$ZZ644,1,$E$2+3),9,2))),-1))))</f>
        <v/>
      </c>
      <c r="U646">
        <f>IF($R646="","",IF(OR($S646&lt;0,$T646&lt;0),0,MAX(0,MIN($T646,EOMONTH(급여기준월,0))-MAX($S646,급여기준월)+1)))</f>
        <v/>
      </c>
      <c r="V646">
        <f>IF($R646="","",TRIM(INDEX('입력_구리근무자명단'!$A644:$ZZ644,1,$E$2+5)&amp;""))</f>
        <v/>
      </c>
      <c r="W646">
        <f>IF(ISNUMBER(SEARCH("구리독자",$V646)),"구리독자","")</f>
        <v/>
      </c>
      <c r="X646">
        <f>IF($R646="","",$R646&amp;"|"&amp;IF(OR($Q646="인턴",ISNUMBER(SEARCH("수련교육부",$P646))),"인턴",$P646))</f>
        <v/>
      </c>
      <c r="Y646">
        <f>IF($R646="","",IF(COUNTIF(명단표[이름|과],$X646)=1,"명단 일치",IF(AND(COUNTIF(명단표[이름|과],$X646)=0,COUNTIF(명단표[이름],$R646)=1),"명단 일치(이름만, 과 다름)",IF(COUNTIF(명단표[이름],$R646)=0,IF(COUNTIF(기본자료표[이름],$R646)&gt;0,"명단에 없음(기본자료에는 있음)","명단에 없음"),"동명이인 확인"))))</f>
        <v/>
      </c>
      <c r="Z646">
        <f>IF($R646="","",IF($S646&lt;0,"⚠"&amp;INDEX('입력_구리근무자명단'!$A644:$ZZ644,1,$E$2+2),TEXT($S646,"yyyy-mm-dd")))</f>
        <v/>
      </c>
      <c r="AA646">
        <f>IF($R646="","",IF($T646&lt;0,"⚠"&amp;INDEX('입력_구리근무자명단'!$A644:$ZZ644,1,$E$2+3),TEXT($T646,"yyyy-mm-dd")))</f>
        <v/>
      </c>
      <c r="AB646">
        <f>AB645+IF($R646="",0,1)</f>
        <v/>
      </c>
      <c r="AC646">
        <f>IF($R646="","",$AB646)</f>
        <v/>
      </c>
    </row>
    <row r="647">
      <c r="O647">
        <f>645</f>
        <v/>
      </c>
      <c r="P647">
        <f>IF(TRIM('입력_구리근무자명단'!$A645&amp;"")&lt;&gt;"",TRIM('입력_구리근무자명단'!$A645&amp;""),P646)</f>
        <v/>
      </c>
      <c r="Q647">
        <f>'입력_구리근무자명단'!$B645&amp;""</f>
        <v/>
      </c>
      <c r="R647">
        <f>IF($E$2="","",TRIM(INDEX('입력_구리근무자명단'!$A645:$ZZ645,1,$E$2+IF($G$2="확정",1,0))&amp;""))</f>
        <v/>
      </c>
      <c r="S647">
        <f>IF($R647="","",IF(INDEX('입력_구리근무자명단'!$A645:$ZZ645,1,$E$2+2)&amp;""="",급여기준월,IF(ISNUMBER(INDEX('입력_구리근무자명단'!$A645:$ZZ645,1,$E$2+2)),INDEX('입력_구리근무자명단'!$A645:$ZZ645,1,$E$2+2),IFERROR(DATE(VALUE(LEFT(INDEX('입력_구리근무자명단'!$A645:$ZZ645,1,$E$2+2),4)),VALUE(MID(INDEX('입력_구리근무자명단'!$A645:$ZZ645,1,$E$2+2),6,2)),VALUE(MID(INDEX('입력_구리근무자명단'!$A645:$ZZ645,1,$E$2+2),9,2))),-1))))</f>
        <v/>
      </c>
      <c r="T647">
        <f>IF($R647="","",IF(INDEX('입력_구리근무자명단'!$A645:$ZZ645,1,$E$2+3)&amp;""="",EOMONTH(급여기준월,0),IF(ISNUMBER(INDEX('입력_구리근무자명단'!$A645:$ZZ645,1,$E$2+3)),INDEX('입력_구리근무자명단'!$A645:$ZZ645,1,$E$2+3),IFERROR(DATE(VALUE(LEFT(INDEX('입력_구리근무자명단'!$A645:$ZZ645,1,$E$2+3),4)),VALUE(MID(INDEX('입력_구리근무자명단'!$A645:$ZZ645,1,$E$2+3),6,2)),VALUE(MID(INDEX('입력_구리근무자명단'!$A645:$ZZ645,1,$E$2+3),9,2))),-1))))</f>
        <v/>
      </c>
      <c r="U647">
        <f>IF($R647="","",IF(OR($S647&lt;0,$T647&lt;0),0,MAX(0,MIN($T647,EOMONTH(급여기준월,0))-MAX($S647,급여기준월)+1)))</f>
        <v/>
      </c>
      <c r="V647">
        <f>IF($R647="","",TRIM(INDEX('입력_구리근무자명단'!$A645:$ZZ645,1,$E$2+5)&amp;""))</f>
        <v/>
      </c>
      <c r="W647">
        <f>IF(ISNUMBER(SEARCH("구리독자",$V647)),"구리독자","")</f>
        <v/>
      </c>
      <c r="X647">
        <f>IF($R647="","",$R647&amp;"|"&amp;IF(OR($Q647="인턴",ISNUMBER(SEARCH("수련교육부",$P647))),"인턴",$P647))</f>
        <v/>
      </c>
      <c r="Y647">
        <f>IF($R647="","",IF(COUNTIF(명단표[이름|과],$X647)=1,"명단 일치",IF(AND(COUNTIF(명단표[이름|과],$X647)=0,COUNTIF(명단표[이름],$R647)=1),"명단 일치(이름만, 과 다름)",IF(COUNTIF(명단표[이름],$R647)=0,IF(COUNTIF(기본자료표[이름],$R647)&gt;0,"명단에 없음(기본자료에는 있음)","명단에 없음"),"동명이인 확인"))))</f>
        <v/>
      </c>
      <c r="Z647">
        <f>IF($R647="","",IF($S647&lt;0,"⚠"&amp;INDEX('입력_구리근무자명단'!$A645:$ZZ645,1,$E$2+2),TEXT($S647,"yyyy-mm-dd")))</f>
        <v/>
      </c>
      <c r="AA647">
        <f>IF($R647="","",IF($T647&lt;0,"⚠"&amp;INDEX('입력_구리근무자명단'!$A645:$ZZ645,1,$E$2+3),TEXT($T647,"yyyy-mm-dd")))</f>
        <v/>
      </c>
      <c r="AB647">
        <f>AB646+IF($R647="",0,1)</f>
        <v/>
      </c>
      <c r="AC647">
        <f>IF($R647="","",$AB647)</f>
        <v/>
      </c>
    </row>
    <row r="648">
      <c r="O648">
        <f>646</f>
        <v/>
      </c>
      <c r="P648">
        <f>IF(TRIM('입력_구리근무자명단'!$A646&amp;"")&lt;&gt;"",TRIM('입력_구리근무자명단'!$A646&amp;""),P647)</f>
        <v/>
      </c>
      <c r="Q648">
        <f>'입력_구리근무자명단'!$B646&amp;""</f>
        <v/>
      </c>
      <c r="R648">
        <f>IF($E$2="","",TRIM(INDEX('입력_구리근무자명단'!$A646:$ZZ646,1,$E$2+IF($G$2="확정",1,0))&amp;""))</f>
        <v/>
      </c>
      <c r="S648">
        <f>IF($R648="","",IF(INDEX('입력_구리근무자명단'!$A646:$ZZ646,1,$E$2+2)&amp;""="",급여기준월,IF(ISNUMBER(INDEX('입력_구리근무자명단'!$A646:$ZZ646,1,$E$2+2)),INDEX('입력_구리근무자명단'!$A646:$ZZ646,1,$E$2+2),IFERROR(DATE(VALUE(LEFT(INDEX('입력_구리근무자명단'!$A646:$ZZ646,1,$E$2+2),4)),VALUE(MID(INDEX('입력_구리근무자명단'!$A646:$ZZ646,1,$E$2+2),6,2)),VALUE(MID(INDEX('입력_구리근무자명단'!$A646:$ZZ646,1,$E$2+2),9,2))),-1))))</f>
        <v/>
      </c>
      <c r="T648">
        <f>IF($R648="","",IF(INDEX('입력_구리근무자명단'!$A646:$ZZ646,1,$E$2+3)&amp;""="",EOMONTH(급여기준월,0),IF(ISNUMBER(INDEX('입력_구리근무자명단'!$A646:$ZZ646,1,$E$2+3)),INDEX('입력_구리근무자명단'!$A646:$ZZ646,1,$E$2+3),IFERROR(DATE(VALUE(LEFT(INDEX('입력_구리근무자명단'!$A646:$ZZ646,1,$E$2+3),4)),VALUE(MID(INDEX('입력_구리근무자명단'!$A646:$ZZ646,1,$E$2+3),6,2)),VALUE(MID(INDEX('입력_구리근무자명단'!$A646:$ZZ646,1,$E$2+3),9,2))),-1))))</f>
        <v/>
      </c>
      <c r="U648">
        <f>IF($R648="","",IF(OR($S648&lt;0,$T648&lt;0),0,MAX(0,MIN($T648,EOMONTH(급여기준월,0))-MAX($S648,급여기준월)+1)))</f>
        <v/>
      </c>
      <c r="V648">
        <f>IF($R648="","",TRIM(INDEX('입력_구리근무자명단'!$A646:$ZZ646,1,$E$2+5)&amp;""))</f>
        <v/>
      </c>
      <c r="W648">
        <f>IF(ISNUMBER(SEARCH("구리독자",$V648)),"구리독자","")</f>
        <v/>
      </c>
      <c r="X648">
        <f>IF($R648="","",$R648&amp;"|"&amp;IF(OR($Q648="인턴",ISNUMBER(SEARCH("수련교육부",$P648))),"인턴",$P648))</f>
        <v/>
      </c>
      <c r="Y648">
        <f>IF($R648="","",IF(COUNTIF(명단표[이름|과],$X648)=1,"명단 일치",IF(AND(COUNTIF(명단표[이름|과],$X648)=0,COUNTIF(명단표[이름],$R648)=1),"명단 일치(이름만, 과 다름)",IF(COUNTIF(명단표[이름],$R648)=0,IF(COUNTIF(기본자료표[이름],$R648)&gt;0,"명단에 없음(기본자료에는 있음)","명단에 없음"),"동명이인 확인"))))</f>
        <v/>
      </c>
      <c r="Z648">
        <f>IF($R648="","",IF($S648&lt;0,"⚠"&amp;INDEX('입력_구리근무자명단'!$A646:$ZZ646,1,$E$2+2),TEXT($S648,"yyyy-mm-dd")))</f>
        <v/>
      </c>
      <c r="AA648">
        <f>IF($R648="","",IF($T648&lt;0,"⚠"&amp;INDEX('입력_구리근무자명단'!$A646:$ZZ646,1,$E$2+3),TEXT($T648,"yyyy-mm-dd")))</f>
        <v/>
      </c>
      <c r="AB648">
        <f>AB647+IF($R648="",0,1)</f>
        <v/>
      </c>
      <c r="AC648">
        <f>IF($R648="","",$AB648)</f>
        <v/>
      </c>
    </row>
    <row r="649">
      <c r="O649">
        <f>647</f>
        <v/>
      </c>
      <c r="P649">
        <f>IF(TRIM('입력_구리근무자명단'!$A647&amp;"")&lt;&gt;"",TRIM('입력_구리근무자명단'!$A647&amp;""),P648)</f>
        <v/>
      </c>
      <c r="Q649">
        <f>'입력_구리근무자명단'!$B647&amp;""</f>
        <v/>
      </c>
      <c r="R649">
        <f>IF($E$2="","",TRIM(INDEX('입력_구리근무자명단'!$A647:$ZZ647,1,$E$2+IF($G$2="확정",1,0))&amp;""))</f>
        <v/>
      </c>
      <c r="S649">
        <f>IF($R649="","",IF(INDEX('입력_구리근무자명단'!$A647:$ZZ647,1,$E$2+2)&amp;""="",급여기준월,IF(ISNUMBER(INDEX('입력_구리근무자명단'!$A647:$ZZ647,1,$E$2+2)),INDEX('입력_구리근무자명단'!$A647:$ZZ647,1,$E$2+2),IFERROR(DATE(VALUE(LEFT(INDEX('입력_구리근무자명단'!$A647:$ZZ647,1,$E$2+2),4)),VALUE(MID(INDEX('입력_구리근무자명단'!$A647:$ZZ647,1,$E$2+2),6,2)),VALUE(MID(INDEX('입력_구리근무자명단'!$A647:$ZZ647,1,$E$2+2),9,2))),-1))))</f>
        <v/>
      </c>
      <c r="T649">
        <f>IF($R649="","",IF(INDEX('입력_구리근무자명단'!$A647:$ZZ647,1,$E$2+3)&amp;""="",EOMONTH(급여기준월,0),IF(ISNUMBER(INDEX('입력_구리근무자명단'!$A647:$ZZ647,1,$E$2+3)),INDEX('입력_구리근무자명단'!$A647:$ZZ647,1,$E$2+3),IFERROR(DATE(VALUE(LEFT(INDEX('입력_구리근무자명단'!$A647:$ZZ647,1,$E$2+3),4)),VALUE(MID(INDEX('입력_구리근무자명단'!$A647:$ZZ647,1,$E$2+3),6,2)),VALUE(MID(INDEX('입력_구리근무자명단'!$A647:$ZZ647,1,$E$2+3),9,2))),-1))))</f>
        <v/>
      </c>
      <c r="U649">
        <f>IF($R649="","",IF(OR($S649&lt;0,$T649&lt;0),0,MAX(0,MIN($T649,EOMONTH(급여기준월,0))-MAX($S649,급여기준월)+1)))</f>
        <v/>
      </c>
      <c r="V649">
        <f>IF($R649="","",TRIM(INDEX('입력_구리근무자명단'!$A647:$ZZ647,1,$E$2+5)&amp;""))</f>
        <v/>
      </c>
      <c r="W649">
        <f>IF(ISNUMBER(SEARCH("구리독자",$V649)),"구리독자","")</f>
        <v/>
      </c>
      <c r="X649">
        <f>IF($R649="","",$R649&amp;"|"&amp;IF(OR($Q649="인턴",ISNUMBER(SEARCH("수련교육부",$P649))),"인턴",$P649))</f>
        <v/>
      </c>
      <c r="Y649">
        <f>IF($R649="","",IF(COUNTIF(명단표[이름|과],$X649)=1,"명단 일치",IF(AND(COUNTIF(명단표[이름|과],$X649)=0,COUNTIF(명단표[이름],$R649)=1),"명단 일치(이름만, 과 다름)",IF(COUNTIF(명단표[이름],$R649)=0,IF(COUNTIF(기본자료표[이름],$R649)&gt;0,"명단에 없음(기본자료에는 있음)","명단에 없음"),"동명이인 확인"))))</f>
        <v/>
      </c>
      <c r="Z649">
        <f>IF($R649="","",IF($S649&lt;0,"⚠"&amp;INDEX('입력_구리근무자명단'!$A647:$ZZ647,1,$E$2+2),TEXT($S649,"yyyy-mm-dd")))</f>
        <v/>
      </c>
      <c r="AA649">
        <f>IF($R649="","",IF($T649&lt;0,"⚠"&amp;INDEX('입력_구리근무자명단'!$A647:$ZZ647,1,$E$2+3),TEXT($T649,"yyyy-mm-dd")))</f>
        <v/>
      </c>
      <c r="AB649">
        <f>AB648+IF($R649="",0,1)</f>
        <v/>
      </c>
      <c r="AC649">
        <f>IF($R649="","",$AB649)</f>
        <v/>
      </c>
    </row>
    <row r="650">
      <c r="O650">
        <f>648</f>
        <v/>
      </c>
      <c r="P650">
        <f>IF(TRIM('입력_구리근무자명단'!$A648&amp;"")&lt;&gt;"",TRIM('입력_구리근무자명단'!$A648&amp;""),P649)</f>
        <v/>
      </c>
      <c r="Q650">
        <f>'입력_구리근무자명단'!$B648&amp;""</f>
        <v/>
      </c>
      <c r="R650">
        <f>IF($E$2="","",TRIM(INDEX('입력_구리근무자명단'!$A648:$ZZ648,1,$E$2+IF($G$2="확정",1,0))&amp;""))</f>
        <v/>
      </c>
      <c r="S650">
        <f>IF($R650="","",IF(INDEX('입력_구리근무자명단'!$A648:$ZZ648,1,$E$2+2)&amp;""="",급여기준월,IF(ISNUMBER(INDEX('입력_구리근무자명단'!$A648:$ZZ648,1,$E$2+2)),INDEX('입력_구리근무자명단'!$A648:$ZZ648,1,$E$2+2),IFERROR(DATE(VALUE(LEFT(INDEX('입력_구리근무자명단'!$A648:$ZZ648,1,$E$2+2),4)),VALUE(MID(INDEX('입력_구리근무자명단'!$A648:$ZZ648,1,$E$2+2),6,2)),VALUE(MID(INDEX('입력_구리근무자명단'!$A648:$ZZ648,1,$E$2+2),9,2))),-1))))</f>
        <v/>
      </c>
      <c r="T650">
        <f>IF($R650="","",IF(INDEX('입력_구리근무자명단'!$A648:$ZZ648,1,$E$2+3)&amp;""="",EOMONTH(급여기준월,0),IF(ISNUMBER(INDEX('입력_구리근무자명단'!$A648:$ZZ648,1,$E$2+3)),INDEX('입력_구리근무자명단'!$A648:$ZZ648,1,$E$2+3),IFERROR(DATE(VALUE(LEFT(INDEX('입력_구리근무자명단'!$A648:$ZZ648,1,$E$2+3),4)),VALUE(MID(INDEX('입력_구리근무자명단'!$A648:$ZZ648,1,$E$2+3),6,2)),VALUE(MID(INDEX('입력_구리근무자명단'!$A648:$ZZ648,1,$E$2+3),9,2))),-1))))</f>
        <v/>
      </c>
      <c r="U650">
        <f>IF($R650="","",IF(OR($S650&lt;0,$T650&lt;0),0,MAX(0,MIN($T650,EOMONTH(급여기준월,0))-MAX($S650,급여기준월)+1)))</f>
        <v/>
      </c>
      <c r="V650">
        <f>IF($R650="","",TRIM(INDEX('입력_구리근무자명단'!$A648:$ZZ648,1,$E$2+5)&amp;""))</f>
        <v/>
      </c>
      <c r="W650">
        <f>IF(ISNUMBER(SEARCH("구리독자",$V650)),"구리독자","")</f>
        <v/>
      </c>
      <c r="X650">
        <f>IF($R650="","",$R650&amp;"|"&amp;IF(OR($Q650="인턴",ISNUMBER(SEARCH("수련교육부",$P650))),"인턴",$P650))</f>
        <v/>
      </c>
      <c r="Y650">
        <f>IF($R650="","",IF(COUNTIF(명단표[이름|과],$X650)=1,"명단 일치",IF(AND(COUNTIF(명단표[이름|과],$X650)=0,COUNTIF(명단표[이름],$R650)=1),"명단 일치(이름만, 과 다름)",IF(COUNTIF(명단표[이름],$R650)=0,IF(COUNTIF(기본자료표[이름],$R650)&gt;0,"명단에 없음(기본자료에는 있음)","명단에 없음"),"동명이인 확인"))))</f>
        <v/>
      </c>
      <c r="Z650">
        <f>IF($R650="","",IF($S650&lt;0,"⚠"&amp;INDEX('입력_구리근무자명단'!$A648:$ZZ648,1,$E$2+2),TEXT($S650,"yyyy-mm-dd")))</f>
        <v/>
      </c>
      <c r="AA650">
        <f>IF($R650="","",IF($T650&lt;0,"⚠"&amp;INDEX('입력_구리근무자명단'!$A648:$ZZ648,1,$E$2+3),TEXT($T650,"yyyy-mm-dd")))</f>
        <v/>
      </c>
      <c r="AB650">
        <f>AB649+IF($R650="",0,1)</f>
        <v/>
      </c>
      <c r="AC650">
        <f>IF($R650="","",$AB650)</f>
        <v/>
      </c>
    </row>
    <row r="651">
      <c r="O651">
        <f>649</f>
        <v/>
      </c>
      <c r="P651">
        <f>IF(TRIM('입력_구리근무자명단'!$A649&amp;"")&lt;&gt;"",TRIM('입력_구리근무자명단'!$A649&amp;""),P650)</f>
        <v/>
      </c>
      <c r="Q651">
        <f>'입력_구리근무자명단'!$B649&amp;""</f>
        <v/>
      </c>
      <c r="R651">
        <f>IF($E$2="","",TRIM(INDEX('입력_구리근무자명단'!$A649:$ZZ649,1,$E$2+IF($G$2="확정",1,0))&amp;""))</f>
        <v/>
      </c>
      <c r="S651">
        <f>IF($R651="","",IF(INDEX('입력_구리근무자명단'!$A649:$ZZ649,1,$E$2+2)&amp;""="",급여기준월,IF(ISNUMBER(INDEX('입력_구리근무자명단'!$A649:$ZZ649,1,$E$2+2)),INDEX('입력_구리근무자명단'!$A649:$ZZ649,1,$E$2+2),IFERROR(DATE(VALUE(LEFT(INDEX('입력_구리근무자명단'!$A649:$ZZ649,1,$E$2+2),4)),VALUE(MID(INDEX('입력_구리근무자명단'!$A649:$ZZ649,1,$E$2+2),6,2)),VALUE(MID(INDEX('입력_구리근무자명단'!$A649:$ZZ649,1,$E$2+2),9,2))),-1))))</f>
        <v/>
      </c>
      <c r="T651">
        <f>IF($R651="","",IF(INDEX('입력_구리근무자명단'!$A649:$ZZ649,1,$E$2+3)&amp;""="",EOMONTH(급여기준월,0),IF(ISNUMBER(INDEX('입력_구리근무자명단'!$A649:$ZZ649,1,$E$2+3)),INDEX('입력_구리근무자명단'!$A649:$ZZ649,1,$E$2+3),IFERROR(DATE(VALUE(LEFT(INDEX('입력_구리근무자명단'!$A649:$ZZ649,1,$E$2+3),4)),VALUE(MID(INDEX('입력_구리근무자명단'!$A649:$ZZ649,1,$E$2+3),6,2)),VALUE(MID(INDEX('입력_구리근무자명단'!$A649:$ZZ649,1,$E$2+3),9,2))),-1))))</f>
        <v/>
      </c>
      <c r="U651">
        <f>IF($R651="","",IF(OR($S651&lt;0,$T651&lt;0),0,MAX(0,MIN($T651,EOMONTH(급여기준월,0))-MAX($S651,급여기준월)+1)))</f>
        <v/>
      </c>
      <c r="V651">
        <f>IF($R651="","",TRIM(INDEX('입력_구리근무자명단'!$A649:$ZZ649,1,$E$2+5)&amp;""))</f>
        <v/>
      </c>
      <c r="W651">
        <f>IF(ISNUMBER(SEARCH("구리독자",$V651)),"구리독자","")</f>
        <v/>
      </c>
      <c r="X651">
        <f>IF($R651="","",$R651&amp;"|"&amp;IF(OR($Q651="인턴",ISNUMBER(SEARCH("수련교육부",$P651))),"인턴",$P651))</f>
        <v/>
      </c>
      <c r="Y651">
        <f>IF($R651="","",IF(COUNTIF(명단표[이름|과],$X651)=1,"명단 일치",IF(AND(COUNTIF(명단표[이름|과],$X651)=0,COUNTIF(명단표[이름],$R651)=1),"명단 일치(이름만, 과 다름)",IF(COUNTIF(명단표[이름],$R651)=0,IF(COUNTIF(기본자료표[이름],$R651)&gt;0,"명단에 없음(기본자료에는 있음)","명단에 없음"),"동명이인 확인"))))</f>
        <v/>
      </c>
      <c r="Z651">
        <f>IF($R651="","",IF($S651&lt;0,"⚠"&amp;INDEX('입력_구리근무자명단'!$A649:$ZZ649,1,$E$2+2),TEXT($S651,"yyyy-mm-dd")))</f>
        <v/>
      </c>
      <c r="AA651">
        <f>IF($R651="","",IF($T651&lt;0,"⚠"&amp;INDEX('입력_구리근무자명단'!$A649:$ZZ649,1,$E$2+3),TEXT($T651,"yyyy-mm-dd")))</f>
        <v/>
      </c>
      <c r="AB651">
        <f>AB650+IF($R651="",0,1)</f>
        <v/>
      </c>
      <c r="AC651">
        <f>IF($R651="","",$AB651)</f>
        <v/>
      </c>
    </row>
    <row r="652">
      <c r="O652">
        <f>650</f>
        <v/>
      </c>
      <c r="P652">
        <f>IF(TRIM('입력_구리근무자명단'!$A650&amp;"")&lt;&gt;"",TRIM('입력_구리근무자명단'!$A650&amp;""),P651)</f>
        <v/>
      </c>
      <c r="Q652">
        <f>'입력_구리근무자명단'!$B650&amp;""</f>
        <v/>
      </c>
      <c r="R652">
        <f>IF($E$2="","",TRIM(INDEX('입력_구리근무자명단'!$A650:$ZZ650,1,$E$2+IF($G$2="확정",1,0))&amp;""))</f>
        <v/>
      </c>
      <c r="S652">
        <f>IF($R652="","",IF(INDEX('입력_구리근무자명단'!$A650:$ZZ650,1,$E$2+2)&amp;""="",급여기준월,IF(ISNUMBER(INDEX('입력_구리근무자명단'!$A650:$ZZ650,1,$E$2+2)),INDEX('입력_구리근무자명단'!$A650:$ZZ650,1,$E$2+2),IFERROR(DATE(VALUE(LEFT(INDEX('입력_구리근무자명단'!$A650:$ZZ650,1,$E$2+2),4)),VALUE(MID(INDEX('입력_구리근무자명단'!$A650:$ZZ650,1,$E$2+2),6,2)),VALUE(MID(INDEX('입력_구리근무자명단'!$A650:$ZZ650,1,$E$2+2),9,2))),-1))))</f>
        <v/>
      </c>
      <c r="T652">
        <f>IF($R652="","",IF(INDEX('입력_구리근무자명단'!$A650:$ZZ650,1,$E$2+3)&amp;""="",EOMONTH(급여기준월,0),IF(ISNUMBER(INDEX('입력_구리근무자명단'!$A650:$ZZ650,1,$E$2+3)),INDEX('입력_구리근무자명단'!$A650:$ZZ650,1,$E$2+3),IFERROR(DATE(VALUE(LEFT(INDEX('입력_구리근무자명단'!$A650:$ZZ650,1,$E$2+3),4)),VALUE(MID(INDEX('입력_구리근무자명단'!$A650:$ZZ650,1,$E$2+3),6,2)),VALUE(MID(INDEX('입력_구리근무자명단'!$A650:$ZZ650,1,$E$2+3),9,2))),-1))))</f>
        <v/>
      </c>
      <c r="U652">
        <f>IF($R652="","",IF(OR($S652&lt;0,$T652&lt;0),0,MAX(0,MIN($T652,EOMONTH(급여기준월,0))-MAX($S652,급여기준월)+1)))</f>
        <v/>
      </c>
      <c r="V652">
        <f>IF($R652="","",TRIM(INDEX('입력_구리근무자명단'!$A650:$ZZ650,1,$E$2+5)&amp;""))</f>
        <v/>
      </c>
      <c r="W652">
        <f>IF(ISNUMBER(SEARCH("구리독자",$V652)),"구리독자","")</f>
        <v/>
      </c>
      <c r="X652">
        <f>IF($R652="","",$R652&amp;"|"&amp;IF(OR($Q652="인턴",ISNUMBER(SEARCH("수련교육부",$P652))),"인턴",$P652))</f>
        <v/>
      </c>
      <c r="Y652">
        <f>IF($R652="","",IF(COUNTIF(명단표[이름|과],$X652)=1,"명단 일치",IF(AND(COUNTIF(명단표[이름|과],$X652)=0,COUNTIF(명단표[이름],$R652)=1),"명단 일치(이름만, 과 다름)",IF(COUNTIF(명단표[이름],$R652)=0,IF(COUNTIF(기본자료표[이름],$R652)&gt;0,"명단에 없음(기본자료에는 있음)","명단에 없음"),"동명이인 확인"))))</f>
        <v/>
      </c>
      <c r="Z652">
        <f>IF($R652="","",IF($S652&lt;0,"⚠"&amp;INDEX('입력_구리근무자명단'!$A650:$ZZ650,1,$E$2+2),TEXT($S652,"yyyy-mm-dd")))</f>
        <v/>
      </c>
      <c r="AA652">
        <f>IF($R652="","",IF($T652&lt;0,"⚠"&amp;INDEX('입력_구리근무자명단'!$A650:$ZZ650,1,$E$2+3),TEXT($T652,"yyyy-mm-dd")))</f>
        <v/>
      </c>
      <c r="AB652">
        <f>AB651+IF($R652="",0,1)</f>
        <v/>
      </c>
      <c r="AC652">
        <f>IF($R652="","",$AB652)</f>
        <v/>
      </c>
    </row>
    <row r="653">
      <c r="O653">
        <f>651</f>
        <v/>
      </c>
      <c r="P653">
        <f>IF(TRIM('입력_구리근무자명단'!$A651&amp;"")&lt;&gt;"",TRIM('입력_구리근무자명단'!$A651&amp;""),P652)</f>
        <v/>
      </c>
      <c r="Q653">
        <f>'입력_구리근무자명단'!$B651&amp;""</f>
        <v/>
      </c>
      <c r="R653">
        <f>IF($E$2="","",TRIM(INDEX('입력_구리근무자명단'!$A651:$ZZ651,1,$E$2+IF($G$2="확정",1,0))&amp;""))</f>
        <v/>
      </c>
      <c r="S653">
        <f>IF($R653="","",IF(INDEX('입력_구리근무자명단'!$A651:$ZZ651,1,$E$2+2)&amp;""="",급여기준월,IF(ISNUMBER(INDEX('입력_구리근무자명단'!$A651:$ZZ651,1,$E$2+2)),INDEX('입력_구리근무자명단'!$A651:$ZZ651,1,$E$2+2),IFERROR(DATE(VALUE(LEFT(INDEX('입력_구리근무자명단'!$A651:$ZZ651,1,$E$2+2),4)),VALUE(MID(INDEX('입력_구리근무자명단'!$A651:$ZZ651,1,$E$2+2),6,2)),VALUE(MID(INDEX('입력_구리근무자명단'!$A651:$ZZ651,1,$E$2+2),9,2))),-1))))</f>
        <v/>
      </c>
      <c r="T653">
        <f>IF($R653="","",IF(INDEX('입력_구리근무자명단'!$A651:$ZZ651,1,$E$2+3)&amp;""="",EOMONTH(급여기준월,0),IF(ISNUMBER(INDEX('입력_구리근무자명단'!$A651:$ZZ651,1,$E$2+3)),INDEX('입력_구리근무자명단'!$A651:$ZZ651,1,$E$2+3),IFERROR(DATE(VALUE(LEFT(INDEX('입력_구리근무자명단'!$A651:$ZZ651,1,$E$2+3),4)),VALUE(MID(INDEX('입력_구리근무자명단'!$A651:$ZZ651,1,$E$2+3),6,2)),VALUE(MID(INDEX('입력_구리근무자명단'!$A651:$ZZ651,1,$E$2+3),9,2))),-1))))</f>
        <v/>
      </c>
      <c r="U653">
        <f>IF($R653="","",IF(OR($S653&lt;0,$T653&lt;0),0,MAX(0,MIN($T653,EOMONTH(급여기준월,0))-MAX($S653,급여기준월)+1)))</f>
        <v/>
      </c>
      <c r="V653">
        <f>IF($R653="","",TRIM(INDEX('입력_구리근무자명단'!$A651:$ZZ651,1,$E$2+5)&amp;""))</f>
        <v/>
      </c>
      <c r="W653">
        <f>IF(ISNUMBER(SEARCH("구리독자",$V653)),"구리독자","")</f>
        <v/>
      </c>
      <c r="X653">
        <f>IF($R653="","",$R653&amp;"|"&amp;IF(OR($Q653="인턴",ISNUMBER(SEARCH("수련교육부",$P653))),"인턴",$P653))</f>
        <v/>
      </c>
      <c r="Y653">
        <f>IF($R653="","",IF(COUNTIF(명단표[이름|과],$X653)=1,"명단 일치",IF(AND(COUNTIF(명단표[이름|과],$X653)=0,COUNTIF(명단표[이름],$R653)=1),"명단 일치(이름만, 과 다름)",IF(COUNTIF(명단표[이름],$R653)=0,IF(COUNTIF(기본자료표[이름],$R653)&gt;0,"명단에 없음(기본자료에는 있음)","명단에 없음"),"동명이인 확인"))))</f>
        <v/>
      </c>
      <c r="Z653">
        <f>IF($R653="","",IF($S653&lt;0,"⚠"&amp;INDEX('입력_구리근무자명단'!$A651:$ZZ651,1,$E$2+2),TEXT($S653,"yyyy-mm-dd")))</f>
        <v/>
      </c>
      <c r="AA653">
        <f>IF($R653="","",IF($T653&lt;0,"⚠"&amp;INDEX('입력_구리근무자명단'!$A651:$ZZ651,1,$E$2+3),TEXT($T653,"yyyy-mm-dd")))</f>
        <v/>
      </c>
      <c r="AB653">
        <f>AB652+IF($R653="",0,1)</f>
        <v/>
      </c>
      <c r="AC653">
        <f>IF($R653="","",$AB653)</f>
        <v/>
      </c>
    </row>
    <row r="654">
      <c r="O654">
        <f>652</f>
        <v/>
      </c>
      <c r="P654">
        <f>IF(TRIM('입력_구리근무자명단'!$A652&amp;"")&lt;&gt;"",TRIM('입력_구리근무자명단'!$A652&amp;""),P653)</f>
        <v/>
      </c>
      <c r="Q654">
        <f>'입력_구리근무자명단'!$B652&amp;""</f>
        <v/>
      </c>
      <c r="R654">
        <f>IF($E$2="","",TRIM(INDEX('입력_구리근무자명단'!$A652:$ZZ652,1,$E$2+IF($G$2="확정",1,0))&amp;""))</f>
        <v/>
      </c>
      <c r="S654">
        <f>IF($R654="","",IF(INDEX('입력_구리근무자명단'!$A652:$ZZ652,1,$E$2+2)&amp;""="",급여기준월,IF(ISNUMBER(INDEX('입력_구리근무자명단'!$A652:$ZZ652,1,$E$2+2)),INDEX('입력_구리근무자명단'!$A652:$ZZ652,1,$E$2+2),IFERROR(DATE(VALUE(LEFT(INDEX('입력_구리근무자명단'!$A652:$ZZ652,1,$E$2+2),4)),VALUE(MID(INDEX('입력_구리근무자명단'!$A652:$ZZ652,1,$E$2+2),6,2)),VALUE(MID(INDEX('입력_구리근무자명단'!$A652:$ZZ652,1,$E$2+2),9,2))),-1))))</f>
        <v/>
      </c>
      <c r="T654">
        <f>IF($R654="","",IF(INDEX('입력_구리근무자명단'!$A652:$ZZ652,1,$E$2+3)&amp;""="",EOMONTH(급여기준월,0),IF(ISNUMBER(INDEX('입력_구리근무자명단'!$A652:$ZZ652,1,$E$2+3)),INDEX('입력_구리근무자명단'!$A652:$ZZ652,1,$E$2+3),IFERROR(DATE(VALUE(LEFT(INDEX('입력_구리근무자명단'!$A652:$ZZ652,1,$E$2+3),4)),VALUE(MID(INDEX('입력_구리근무자명단'!$A652:$ZZ652,1,$E$2+3),6,2)),VALUE(MID(INDEX('입력_구리근무자명단'!$A652:$ZZ652,1,$E$2+3),9,2))),-1))))</f>
        <v/>
      </c>
      <c r="U654">
        <f>IF($R654="","",IF(OR($S654&lt;0,$T654&lt;0),0,MAX(0,MIN($T654,EOMONTH(급여기준월,0))-MAX($S654,급여기준월)+1)))</f>
        <v/>
      </c>
      <c r="V654">
        <f>IF($R654="","",TRIM(INDEX('입력_구리근무자명단'!$A652:$ZZ652,1,$E$2+5)&amp;""))</f>
        <v/>
      </c>
      <c r="W654">
        <f>IF(ISNUMBER(SEARCH("구리독자",$V654)),"구리독자","")</f>
        <v/>
      </c>
      <c r="X654">
        <f>IF($R654="","",$R654&amp;"|"&amp;IF(OR($Q654="인턴",ISNUMBER(SEARCH("수련교육부",$P654))),"인턴",$P654))</f>
        <v/>
      </c>
      <c r="Y654">
        <f>IF($R654="","",IF(COUNTIF(명단표[이름|과],$X654)=1,"명단 일치",IF(AND(COUNTIF(명단표[이름|과],$X654)=0,COUNTIF(명단표[이름],$R654)=1),"명단 일치(이름만, 과 다름)",IF(COUNTIF(명단표[이름],$R654)=0,IF(COUNTIF(기본자료표[이름],$R654)&gt;0,"명단에 없음(기본자료에는 있음)","명단에 없음"),"동명이인 확인"))))</f>
        <v/>
      </c>
      <c r="Z654">
        <f>IF($R654="","",IF($S654&lt;0,"⚠"&amp;INDEX('입력_구리근무자명단'!$A652:$ZZ652,1,$E$2+2),TEXT($S654,"yyyy-mm-dd")))</f>
        <v/>
      </c>
      <c r="AA654">
        <f>IF($R654="","",IF($T654&lt;0,"⚠"&amp;INDEX('입력_구리근무자명단'!$A652:$ZZ652,1,$E$2+3),TEXT($T654,"yyyy-mm-dd")))</f>
        <v/>
      </c>
      <c r="AB654">
        <f>AB653+IF($R654="",0,1)</f>
        <v/>
      </c>
      <c r="AC654">
        <f>IF($R654="","",$AB654)</f>
        <v/>
      </c>
    </row>
    <row r="655">
      <c r="O655">
        <f>653</f>
        <v/>
      </c>
      <c r="P655">
        <f>IF(TRIM('입력_구리근무자명단'!$A653&amp;"")&lt;&gt;"",TRIM('입력_구리근무자명단'!$A653&amp;""),P654)</f>
        <v/>
      </c>
      <c r="Q655">
        <f>'입력_구리근무자명단'!$B653&amp;""</f>
        <v/>
      </c>
      <c r="R655">
        <f>IF($E$2="","",TRIM(INDEX('입력_구리근무자명단'!$A653:$ZZ653,1,$E$2+IF($G$2="확정",1,0))&amp;""))</f>
        <v/>
      </c>
      <c r="S655">
        <f>IF($R655="","",IF(INDEX('입력_구리근무자명단'!$A653:$ZZ653,1,$E$2+2)&amp;""="",급여기준월,IF(ISNUMBER(INDEX('입력_구리근무자명단'!$A653:$ZZ653,1,$E$2+2)),INDEX('입력_구리근무자명단'!$A653:$ZZ653,1,$E$2+2),IFERROR(DATE(VALUE(LEFT(INDEX('입력_구리근무자명단'!$A653:$ZZ653,1,$E$2+2),4)),VALUE(MID(INDEX('입력_구리근무자명단'!$A653:$ZZ653,1,$E$2+2),6,2)),VALUE(MID(INDEX('입력_구리근무자명단'!$A653:$ZZ653,1,$E$2+2),9,2))),-1))))</f>
        <v/>
      </c>
      <c r="T655">
        <f>IF($R655="","",IF(INDEX('입력_구리근무자명단'!$A653:$ZZ653,1,$E$2+3)&amp;""="",EOMONTH(급여기준월,0),IF(ISNUMBER(INDEX('입력_구리근무자명단'!$A653:$ZZ653,1,$E$2+3)),INDEX('입력_구리근무자명단'!$A653:$ZZ653,1,$E$2+3),IFERROR(DATE(VALUE(LEFT(INDEX('입력_구리근무자명단'!$A653:$ZZ653,1,$E$2+3),4)),VALUE(MID(INDEX('입력_구리근무자명단'!$A653:$ZZ653,1,$E$2+3),6,2)),VALUE(MID(INDEX('입력_구리근무자명단'!$A653:$ZZ653,1,$E$2+3),9,2))),-1))))</f>
        <v/>
      </c>
      <c r="U655">
        <f>IF($R655="","",IF(OR($S655&lt;0,$T655&lt;0),0,MAX(0,MIN($T655,EOMONTH(급여기준월,0))-MAX($S655,급여기준월)+1)))</f>
        <v/>
      </c>
      <c r="V655">
        <f>IF($R655="","",TRIM(INDEX('입력_구리근무자명단'!$A653:$ZZ653,1,$E$2+5)&amp;""))</f>
        <v/>
      </c>
      <c r="W655">
        <f>IF(ISNUMBER(SEARCH("구리독자",$V655)),"구리독자","")</f>
        <v/>
      </c>
      <c r="X655">
        <f>IF($R655="","",$R655&amp;"|"&amp;IF(OR($Q655="인턴",ISNUMBER(SEARCH("수련교육부",$P655))),"인턴",$P655))</f>
        <v/>
      </c>
      <c r="Y655">
        <f>IF($R655="","",IF(COUNTIF(명단표[이름|과],$X655)=1,"명단 일치",IF(AND(COUNTIF(명단표[이름|과],$X655)=0,COUNTIF(명단표[이름],$R655)=1),"명단 일치(이름만, 과 다름)",IF(COUNTIF(명단표[이름],$R655)=0,IF(COUNTIF(기본자료표[이름],$R655)&gt;0,"명단에 없음(기본자료에는 있음)","명단에 없음"),"동명이인 확인"))))</f>
        <v/>
      </c>
      <c r="Z655">
        <f>IF($R655="","",IF($S655&lt;0,"⚠"&amp;INDEX('입력_구리근무자명단'!$A653:$ZZ653,1,$E$2+2),TEXT($S655,"yyyy-mm-dd")))</f>
        <v/>
      </c>
      <c r="AA655">
        <f>IF($R655="","",IF($T655&lt;0,"⚠"&amp;INDEX('입력_구리근무자명단'!$A653:$ZZ653,1,$E$2+3),TEXT($T655,"yyyy-mm-dd")))</f>
        <v/>
      </c>
      <c r="AB655">
        <f>AB654+IF($R655="",0,1)</f>
        <v/>
      </c>
      <c r="AC655">
        <f>IF($R655="","",$AB655)</f>
        <v/>
      </c>
    </row>
    <row r="656">
      <c r="O656">
        <f>654</f>
        <v/>
      </c>
      <c r="P656">
        <f>IF(TRIM('입력_구리근무자명단'!$A654&amp;"")&lt;&gt;"",TRIM('입력_구리근무자명단'!$A654&amp;""),P655)</f>
        <v/>
      </c>
      <c r="Q656">
        <f>'입력_구리근무자명단'!$B654&amp;""</f>
        <v/>
      </c>
      <c r="R656">
        <f>IF($E$2="","",TRIM(INDEX('입력_구리근무자명단'!$A654:$ZZ654,1,$E$2+IF($G$2="확정",1,0))&amp;""))</f>
        <v/>
      </c>
      <c r="S656">
        <f>IF($R656="","",IF(INDEX('입력_구리근무자명단'!$A654:$ZZ654,1,$E$2+2)&amp;""="",급여기준월,IF(ISNUMBER(INDEX('입력_구리근무자명단'!$A654:$ZZ654,1,$E$2+2)),INDEX('입력_구리근무자명단'!$A654:$ZZ654,1,$E$2+2),IFERROR(DATE(VALUE(LEFT(INDEX('입력_구리근무자명단'!$A654:$ZZ654,1,$E$2+2),4)),VALUE(MID(INDEX('입력_구리근무자명단'!$A654:$ZZ654,1,$E$2+2),6,2)),VALUE(MID(INDEX('입력_구리근무자명단'!$A654:$ZZ654,1,$E$2+2),9,2))),-1))))</f>
        <v/>
      </c>
      <c r="T656">
        <f>IF($R656="","",IF(INDEX('입력_구리근무자명단'!$A654:$ZZ654,1,$E$2+3)&amp;""="",EOMONTH(급여기준월,0),IF(ISNUMBER(INDEX('입력_구리근무자명단'!$A654:$ZZ654,1,$E$2+3)),INDEX('입력_구리근무자명단'!$A654:$ZZ654,1,$E$2+3),IFERROR(DATE(VALUE(LEFT(INDEX('입력_구리근무자명단'!$A654:$ZZ654,1,$E$2+3),4)),VALUE(MID(INDEX('입력_구리근무자명단'!$A654:$ZZ654,1,$E$2+3),6,2)),VALUE(MID(INDEX('입력_구리근무자명단'!$A654:$ZZ654,1,$E$2+3),9,2))),-1))))</f>
        <v/>
      </c>
      <c r="U656">
        <f>IF($R656="","",IF(OR($S656&lt;0,$T656&lt;0),0,MAX(0,MIN($T656,EOMONTH(급여기준월,0))-MAX($S656,급여기준월)+1)))</f>
        <v/>
      </c>
      <c r="V656">
        <f>IF($R656="","",TRIM(INDEX('입력_구리근무자명단'!$A654:$ZZ654,1,$E$2+5)&amp;""))</f>
        <v/>
      </c>
      <c r="W656">
        <f>IF(ISNUMBER(SEARCH("구리독자",$V656)),"구리독자","")</f>
        <v/>
      </c>
      <c r="X656">
        <f>IF($R656="","",$R656&amp;"|"&amp;IF(OR($Q656="인턴",ISNUMBER(SEARCH("수련교육부",$P656))),"인턴",$P656))</f>
        <v/>
      </c>
      <c r="Y656">
        <f>IF($R656="","",IF(COUNTIF(명단표[이름|과],$X656)=1,"명단 일치",IF(AND(COUNTIF(명단표[이름|과],$X656)=0,COUNTIF(명단표[이름],$R656)=1),"명단 일치(이름만, 과 다름)",IF(COUNTIF(명단표[이름],$R656)=0,IF(COUNTIF(기본자료표[이름],$R656)&gt;0,"명단에 없음(기본자료에는 있음)","명단에 없음"),"동명이인 확인"))))</f>
        <v/>
      </c>
      <c r="Z656">
        <f>IF($R656="","",IF($S656&lt;0,"⚠"&amp;INDEX('입력_구리근무자명단'!$A654:$ZZ654,1,$E$2+2),TEXT($S656,"yyyy-mm-dd")))</f>
        <v/>
      </c>
      <c r="AA656">
        <f>IF($R656="","",IF($T656&lt;0,"⚠"&amp;INDEX('입력_구리근무자명단'!$A654:$ZZ654,1,$E$2+3),TEXT($T656,"yyyy-mm-dd")))</f>
        <v/>
      </c>
      <c r="AB656">
        <f>AB655+IF($R656="",0,1)</f>
        <v/>
      </c>
      <c r="AC656">
        <f>IF($R656="","",$AB656)</f>
        <v/>
      </c>
    </row>
    <row r="657">
      <c r="O657">
        <f>655</f>
        <v/>
      </c>
      <c r="P657">
        <f>IF(TRIM('입력_구리근무자명단'!$A655&amp;"")&lt;&gt;"",TRIM('입력_구리근무자명단'!$A655&amp;""),P656)</f>
        <v/>
      </c>
      <c r="Q657">
        <f>'입력_구리근무자명단'!$B655&amp;""</f>
        <v/>
      </c>
      <c r="R657">
        <f>IF($E$2="","",TRIM(INDEX('입력_구리근무자명단'!$A655:$ZZ655,1,$E$2+IF($G$2="확정",1,0))&amp;""))</f>
        <v/>
      </c>
      <c r="S657">
        <f>IF($R657="","",IF(INDEX('입력_구리근무자명단'!$A655:$ZZ655,1,$E$2+2)&amp;""="",급여기준월,IF(ISNUMBER(INDEX('입력_구리근무자명단'!$A655:$ZZ655,1,$E$2+2)),INDEX('입력_구리근무자명단'!$A655:$ZZ655,1,$E$2+2),IFERROR(DATE(VALUE(LEFT(INDEX('입력_구리근무자명단'!$A655:$ZZ655,1,$E$2+2),4)),VALUE(MID(INDEX('입력_구리근무자명단'!$A655:$ZZ655,1,$E$2+2),6,2)),VALUE(MID(INDEX('입력_구리근무자명단'!$A655:$ZZ655,1,$E$2+2),9,2))),-1))))</f>
        <v/>
      </c>
      <c r="T657">
        <f>IF($R657="","",IF(INDEX('입력_구리근무자명단'!$A655:$ZZ655,1,$E$2+3)&amp;""="",EOMONTH(급여기준월,0),IF(ISNUMBER(INDEX('입력_구리근무자명단'!$A655:$ZZ655,1,$E$2+3)),INDEX('입력_구리근무자명단'!$A655:$ZZ655,1,$E$2+3),IFERROR(DATE(VALUE(LEFT(INDEX('입력_구리근무자명단'!$A655:$ZZ655,1,$E$2+3),4)),VALUE(MID(INDEX('입력_구리근무자명단'!$A655:$ZZ655,1,$E$2+3),6,2)),VALUE(MID(INDEX('입력_구리근무자명단'!$A655:$ZZ655,1,$E$2+3),9,2))),-1))))</f>
        <v/>
      </c>
      <c r="U657">
        <f>IF($R657="","",IF(OR($S657&lt;0,$T657&lt;0),0,MAX(0,MIN($T657,EOMONTH(급여기준월,0))-MAX($S657,급여기준월)+1)))</f>
        <v/>
      </c>
      <c r="V657">
        <f>IF($R657="","",TRIM(INDEX('입력_구리근무자명단'!$A655:$ZZ655,1,$E$2+5)&amp;""))</f>
        <v/>
      </c>
      <c r="W657">
        <f>IF(ISNUMBER(SEARCH("구리독자",$V657)),"구리독자","")</f>
        <v/>
      </c>
      <c r="X657">
        <f>IF($R657="","",$R657&amp;"|"&amp;IF(OR($Q657="인턴",ISNUMBER(SEARCH("수련교육부",$P657))),"인턴",$P657))</f>
        <v/>
      </c>
      <c r="Y657">
        <f>IF($R657="","",IF(COUNTIF(명단표[이름|과],$X657)=1,"명단 일치",IF(AND(COUNTIF(명단표[이름|과],$X657)=0,COUNTIF(명단표[이름],$R657)=1),"명단 일치(이름만, 과 다름)",IF(COUNTIF(명단표[이름],$R657)=0,IF(COUNTIF(기본자료표[이름],$R657)&gt;0,"명단에 없음(기본자료에는 있음)","명단에 없음"),"동명이인 확인"))))</f>
        <v/>
      </c>
      <c r="Z657">
        <f>IF($R657="","",IF($S657&lt;0,"⚠"&amp;INDEX('입력_구리근무자명단'!$A655:$ZZ655,1,$E$2+2),TEXT($S657,"yyyy-mm-dd")))</f>
        <v/>
      </c>
      <c r="AA657">
        <f>IF($R657="","",IF($T657&lt;0,"⚠"&amp;INDEX('입력_구리근무자명단'!$A655:$ZZ655,1,$E$2+3),TEXT($T657,"yyyy-mm-dd")))</f>
        <v/>
      </c>
      <c r="AB657">
        <f>AB656+IF($R657="",0,1)</f>
        <v/>
      </c>
      <c r="AC657">
        <f>IF($R657="","",$AB657)</f>
        <v/>
      </c>
    </row>
    <row r="658">
      <c r="O658">
        <f>656</f>
        <v/>
      </c>
      <c r="P658">
        <f>IF(TRIM('입력_구리근무자명단'!$A656&amp;"")&lt;&gt;"",TRIM('입력_구리근무자명단'!$A656&amp;""),P657)</f>
        <v/>
      </c>
      <c r="Q658">
        <f>'입력_구리근무자명단'!$B656&amp;""</f>
        <v/>
      </c>
      <c r="R658">
        <f>IF($E$2="","",TRIM(INDEX('입력_구리근무자명단'!$A656:$ZZ656,1,$E$2+IF($G$2="확정",1,0))&amp;""))</f>
        <v/>
      </c>
      <c r="S658">
        <f>IF($R658="","",IF(INDEX('입력_구리근무자명단'!$A656:$ZZ656,1,$E$2+2)&amp;""="",급여기준월,IF(ISNUMBER(INDEX('입력_구리근무자명단'!$A656:$ZZ656,1,$E$2+2)),INDEX('입력_구리근무자명단'!$A656:$ZZ656,1,$E$2+2),IFERROR(DATE(VALUE(LEFT(INDEX('입력_구리근무자명단'!$A656:$ZZ656,1,$E$2+2),4)),VALUE(MID(INDEX('입력_구리근무자명단'!$A656:$ZZ656,1,$E$2+2),6,2)),VALUE(MID(INDEX('입력_구리근무자명단'!$A656:$ZZ656,1,$E$2+2),9,2))),-1))))</f>
        <v/>
      </c>
      <c r="T658">
        <f>IF($R658="","",IF(INDEX('입력_구리근무자명단'!$A656:$ZZ656,1,$E$2+3)&amp;""="",EOMONTH(급여기준월,0),IF(ISNUMBER(INDEX('입력_구리근무자명단'!$A656:$ZZ656,1,$E$2+3)),INDEX('입력_구리근무자명단'!$A656:$ZZ656,1,$E$2+3),IFERROR(DATE(VALUE(LEFT(INDEX('입력_구리근무자명단'!$A656:$ZZ656,1,$E$2+3),4)),VALUE(MID(INDEX('입력_구리근무자명단'!$A656:$ZZ656,1,$E$2+3),6,2)),VALUE(MID(INDEX('입력_구리근무자명단'!$A656:$ZZ656,1,$E$2+3),9,2))),-1))))</f>
        <v/>
      </c>
      <c r="U658">
        <f>IF($R658="","",IF(OR($S658&lt;0,$T658&lt;0),0,MAX(0,MIN($T658,EOMONTH(급여기준월,0))-MAX($S658,급여기준월)+1)))</f>
        <v/>
      </c>
      <c r="V658">
        <f>IF($R658="","",TRIM(INDEX('입력_구리근무자명단'!$A656:$ZZ656,1,$E$2+5)&amp;""))</f>
        <v/>
      </c>
      <c r="W658">
        <f>IF(ISNUMBER(SEARCH("구리독자",$V658)),"구리독자","")</f>
        <v/>
      </c>
      <c r="X658">
        <f>IF($R658="","",$R658&amp;"|"&amp;IF(OR($Q658="인턴",ISNUMBER(SEARCH("수련교육부",$P658))),"인턴",$P658))</f>
        <v/>
      </c>
      <c r="Y658">
        <f>IF($R658="","",IF(COUNTIF(명단표[이름|과],$X658)=1,"명단 일치",IF(AND(COUNTIF(명단표[이름|과],$X658)=0,COUNTIF(명단표[이름],$R658)=1),"명단 일치(이름만, 과 다름)",IF(COUNTIF(명단표[이름],$R658)=0,IF(COUNTIF(기본자료표[이름],$R658)&gt;0,"명단에 없음(기본자료에는 있음)","명단에 없음"),"동명이인 확인"))))</f>
        <v/>
      </c>
      <c r="Z658">
        <f>IF($R658="","",IF($S658&lt;0,"⚠"&amp;INDEX('입력_구리근무자명단'!$A656:$ZZ656,1,$E$2+2),TEXT($S658,"yyyy-mm-dd")))</f>
        <v/>
      </c>
      <c r="AA658">
        <f>IF($R658="","",IF($T658&lt;0,"⚠"&amp;INDEX('입력_구리근무자명단'!$A656:$ZZ656,1,$E$2+3),TEXT($T658,"yyyy-mm-dd")))</f>
        <v/>
      </c>
      <c r="AB658">
        <f>AB657+IF($R658="",0,1)</f>
        <v/>
      </c>
      <c r="AC658">
        <f>IF($R658="","",$AB658)</f>
        <v/>
      </c>
    </row>
    <row r="659">
      <c r="O659">
        <f>657</f>
        <v/>
      </c>
      <c r="P659">
        <f>IF(TRIM('입력_구리근무자명단'!$A657&amp;"")&lt;&gt;"",TRIM('입력_구리근무자명단'!$A657&amp;""),P658)</f>
        <v/>
      </c>
      <c r="Q659">
        <f>'입력_구리근무자명단'!$B657&amp;""</f>
        <v/>
      </c>
      <c r="R659">
        <f>IF($E$2="","",TRIM(INDEX('입력_구리근무자명단'!$A657:$ZZ657,1,$E$2+IF($G$2="확정",1,0))&amp;""))</f>
        <v/>
      </c>
      <c r="S659">
        <f>IF($R659="","",IF(INDEX('입력_구리근무자명단'!$A657:$ZZ657,1,$E$2+2)&amp;""="",급여기준월,IF(ISNUMBER(INDEX('입력_구리근무자명단'!$A657:$ZZ657,1,$E$2+2)),INDEX('입력_구리근무자명단'!$A657:$ZZ657,1,$E$2+2),IFERROR(DATE(VALUE(LEFT(INDEX('입력_구리근무자명단'!$A657:$ZZ657,1,$E$2+2),4)),VALUE(MID(INDEX('입력_구리근무자명단'!$A657:$ZZ657,1,$E$2+2),6,2)),VALUE(MID(INDEX('입력_구리근무자명단'!$A657:$ZZ657,1,$E$2+2),9,2))),-1))))</f>
        <v/>
      </c>
      <c r="T659">
        <f>IF($R659="","",IF(INDEX('입력_구리근무자명단'!$A657:$ZZ657,1,$E$2+3)&amp;""="",EOMONTH(급여기준월,0),IF(ISNUMBER(INDEX('입력_구리근무자명단'!$A657:$ZZ657,1,$E$2+3)),INDEX('입력_구리근무자명단'!$A657:$ZZ657,1,$E$2+3),IFERROR(DATE(VALUE(LEFT(INDEX('입력_구리근무자명단'!$A657:$ZZ657,1,$E$2+3),4)),VALUE(MID(INDEX('입력_구리근무자명단'!$A657:$ZZ657,1,$E$2+3),6,2)),VALUE(MID(INDEX('입력_구리근무자명단'!$A657:$ZZ657,1,$E$2+3),9,2))),-1))))</f>
        <v/>
      </c>
      <c r="U659">
        <f>IF($R659="","",IF(OR($S659&lt;0,$T659&lt;0),0,MAX(0,MIN($T659,EOMONTH(급여기준월,0))-MAX($S659,급여기준월)+1)))</f>
        <v/>
      </c>
      <c r="V659">
        <f>IF($R659="","",TRIM(INDEX('입력_구리근무자명단'!$A657:$ZZ657,1,$E$2+5)&amp;""))</f>
        <v/>
      </c>
      <c r="W659">
        <f>IF(ISNUMBER(SEARCH("구리독자",$V659)),"구리독자","")</f>
        <v/>
      </c>
      <c r="X659">
        <f>IF($R659="","",$R659&amp;"|"&amp;IF(OR($Q659="인턴",ISNUMBER(SEARCH("수련교육부",$P659))),"인턴",$P659))</f>
        <v/>
      </c>
      <c r="Y659">
        <f>IF($R659="","",IF(COUNTIF(명단표[이름|과],$X659)=1,"명단 일치",IF(AND(COUNTIF(명단표[이름|과],$X659)=0,COUNTIF(명단표[이름],$R659)=1),"명단 일치(이름만, 과 다름)",IF(COUNTIF(명단표[이름],$R659)=0,IF(COUNTIF(기본자료표[이름],$R659)&gt;0,"명단에 없음(기본자료에는 있음)","명단에 없음"),"동명이인 확인"))))</f>
        <v/>
      </c>
      <c r="Z659">
        <f>IF($R659="","",IF($S659&lt;0,"⚠"&amp;INDEX('입력_구리근무자명단'!$A657:$ZZ657,1,$E$2+2),TEXT($S659,"yyyy-mm-dd")))</f>
        <v/>
      </c>
      <c r="AA659">
        <f>IF($R659="","",IF($T659&lt;0,"⚠"&amp;INDEX('입력_구리근무자명단'!$A657:$ZZ657,1,$E$2+3),TEXT($T659,"yyyy-mm-dd")))</f>
        <v/>
      </c>
      <c r="AB659">
        <f>AB658+IF($R659="",0,1)</f>
        <v/>
      </c>
      <c r="AC659">
        <f>IF($R659="","",$AB659)</f>
        <v/>
      </c>
    </row>
    <row r="660">
      <c r="O660">
        <f>658</f>
        <v/>
      </c>
      <c r="P660">
        <f>IF(TRIM('입력_구리근무자명단'!$A658&amp;"")&lt;&gt;"",TRIM('입력_구리근무자명단'!$A658&amp;""),P659)</f>
        <v/>
      </c>
      <c r="Q660">
        <f>'입력_구리근무자명단'!$B658&amp;""</f>
        <v/>
      </c>
      <c r="R660">
        <f>IF($E$2="","",TRIM(INDEX('입력_구리근무자명단'!$A658:$ZZ658,1,$E$2+IF($G$2="확정",1,0))&amp;""))</f>
        <v/>
      </c>
      <c r="S660">
        <f>IF($R660="","",IF(INDEX('입력_구리근무자명단'!$A658:$ZZ658,1,$E$2+2)&amp;""="",급여기준월,IF(ISNUMBER(INDEX('입력_구리근무자명단'!$A658:$ZZ658,1,$E$2+2)),INDEX('입력_구리근무자명단'!$A658:$ZZ658,1,$E$2+2),IFERROR(DATE(VALUE(LEFT(INDEX('입력_구리근무자명단'!$A658:$ZZ658,1,$E$2+2),4)),VALUE(MID(INDEX('입력_구리근무자명단'!$A658:$ZZ658,1,$E$2+2),6,2)),VALUE(MID(INDEX('입력_구리근무자명단'!$A658:$ZZ658,1,$E$2+2),9,2))),-1))))</f>
        <v/>
      </c>
      <c r="T660">
        <f>IF($R660="","",IF(INDEX('입력_구리근무자명단'!$A658:$ZZ658,1,$E$2+3)&amp;""="",EOMONTH(급여기준월,0),IF(ISNUMBER(INDEX('입력_구리근무자명단'!$A658:$ZZ658,1,$E$2+3)),INDEX('입력_구리근무자명단'!$A658:$ZZ658,1,$E$2+3),IFERROR(DATE(VALUE(LEFT(INDEX('입력_구리근무자명단'!$A658:$ZZ658,1,$E$2+3),4)),VALUE(MID(INDEX('입력_구리근무자명단'!$A658:$ZZ658,1,$E$2+3),6,2)),VALUE(MID(INDEX('입력_구리근무자명단'!$A658:$ZZ658,1,$E$2+3),9,2))),-1))))</f>
        <v/>
      </c>
      <c r="U660">
        <f>IF($R660="","",IF(OR($S660&lt;0,$T660&lt;0),0,MAX(0,MIN($T660,EOMONTH(급여기준월,0))-MAX($S660,급여기준월)+1)))</f>
        <v/>
      </c>
      <c r="V660">
        <f>IF($R660="","",TRIM(INDEX('입력_구리근무자명단'!$A658:$ZZ658,1,$E$2+5)&amp;""))</f>
        <v/>
      </c>
      <c r="W660">
        <f>IF(ISNUMBER(SEARCH("구리독자",$V660)),"구리독자","")</f>
        <v/>
      </c>
      <c r="X660">
        <f>IF($R660="","",$R660&amp;"|"&amp;IF(OR($Q660="인턴",ISNUMBER(SEARCH("수련교육부",$P660))),"인턴",$P660))</f>
        <v/>
      </c>
      <c r="Y660">
        <f>IF($R660="","",IF(COUNTIF(명단표[이름|과],$X660)=1,"명단 일치",IF(AND(COUNTIF(명단표[이름|과],$X660)=0,COUNTIF(명단표[이름],$R660)=1),"명단 일치(이름만, 과 다름)",IF(COUNTIF(명단표[이름],$R660)=0,IF(COUNTIF(기본자료표[이름],$R660)&gt;0,"명단에 없음(기본자료에는 있음)","명단에 없음"),"동명이인 확인"))))</f>
        <v/>
      </c>
      <c r="Z660">
        <f>IF($R660="","",IF($S660&lt;0,"⚠"&amp;INDEX('입력_구리근무자명단'!$A658:$ZZ658,1,$E$2+2),TEXT($S660,"yyyy-mm-dd")))</f>
        <v/>
      </c>
      <c r="AA660">
        <f>IF($R660="","",IF($T660&lt;0,"⚠"&amp;INDEX('입력_구리근무자명단'!$A658:$ZZ658,1,$E$2+3),TEXT($T660,"yyyy-mm-dd")))</f>
        <v/>
      </c>
      <c r="AB660">
        <f>AB659+IF($R660="",0,1)</f>
        <v/>
      </c>
      <c r="AC660">
        <f>IF($R660="","",$AB660)</f>
        <v/>
      </c>
    </row>
    <row r="661">
      <c r="O661">
        <f>659</f>
        <v/>
      </c>
      <c r="P661">
        <f>IF(TRIM('입력_구리근무자명단'!$A659&amp;"")&lt;&gt;"",TRIM('입력_구리근무자명단'!$A659&amp;""),P660)</f>
        <v/>
      </c>
      <c r="Q661">
        <f>'입력_구리근무자명단'!$B659&amp;""</f>
        <v/>
      </c>
      <c r="R661">
        <f>IF($E$2="","",TRIM(INDEX('입력_구리근무자명단'!$A659:$ZZ659,1,$E$2+IF($G$2="확정",1,0))&amp;""))</f>
        <v/>
      </c>
      <c r="S661">
        <f>IF($R661="","",IF(INDEX('입력_구리근무자명단'!$A659:$ZZ659,1,$E$2+2)&amp;""="",급여기준월,IF(ISNUMBER(INDEX('입력_구리근무자명단'!$A659:$ZZ659,1,$E$2+2)),INDEX('입력_구리근무자명단'!$A659:$ZZ659,1,$E$2+2),IFERROR(DATE(VALUE(LEFT(INDEX('입력_구리근무자명단'!$A659:$ZZ659,1,$E$2+2),4)),VALUE(MID(INDEX('입력_구리근무자명단'!$A659:$ZZ659,1,$E$2+2),6,2)),VALUE(MID(INDEX('입력_구리근무자명단'!$A659:$ZZ659,1,$E$2+2),9,2))),-1))))</f>
        <v/>
      </c>
      <c r="T661">
        <f>IF($R661="","",IF(INDEX('입력_구리근무자명단'!$A659:$ZZ659,1,$E$2+3)&amp;""="",EOMONTH(급여기준월,0),IF(ISNUMBER(INDEX('입력_구리근무자명단'!$A659:$ZZ659,1,$E$2+3)),INDEX('입력_구리근무자명단'!$A659:$ZZ659,1,$E$2+3),IFERROR(DATE(VALUE(LEFT(INDEX('입력_구리근무자명단'!$A659:$ZZ659,1,$E$2+3),4)),VALUE(MID(INDEX('입력_구리근무자명단'!$A659:$ZZ659,1,$E$2+3),6,2)),VALUE(MID(INDEX('입력_구리근무자명단'!$A659:$ZZ659,1,$E$2+3),9,2))),-1))))</f>
        <v/>
      </c>
      <c r="U661">
        <f>IF($R661="","",IF(OR($S661&lt;0,$T661&lt;0),0,MAX(0,MIN($T661,EOMONTH(급여기준월,0))-MAX($S661,급여기준월)+1)))</f>
        <v/>
      </c>
      <c r="V661">
        <f>IF($R661="","",TRIM(INDEX('입력_구리근무자명단'!$A659:$ZZ659,1,$E$2+5)&amp;""))</f>
        <v/>
      </c>
      <c r="W661">
        <f>IF(ISNUMBER(SEARCH("구리독자",$V661)),"구리독자","")</f>
        <v/>
      </c>
      <c r="X661">
        <f>IF($R661="","",$R661&amp;"|"&amp;IF(OR($Q661="인턴",ISNUMBER(SEARCH("수련교육부",$P661))),"인턴",$P661))</f>
        <v/>
      </c>
      <c r="Y661">
        <f>IF($R661="","",IF(COUNTIF(명단표[이름|과],$X661)=1,"명단 일치",IF(AND(COUNTIF(명단표[이름|과],$X661)=0,COUNTIF(명단표[이름],$R661)=1),"명단 일치(이름만, 과 다름)",IF(COUNTIF(명단표[이름],$R661)=0,IF(COUNTIF(기본자료표[이름],$R661)&gt;0,"명단에 없음(기본자료에는 있음)","명단에 없음"),"동명이인 확인"))))</f>
        <v/>
      </c>
      <c r="Z661">
        <f>IF($R661="","",IF($S661&lt;0,"⚠"&amp;INDEX('입력_구리근무자명단'!$A659:$ZZ659,1,$E$2+2),TEXT($S661,"yyyy-mm-dd")))</f>
        <v/>
      </c>
      <c r="AA661">
        <f>IF($R661="","",IF($T661&lt;0,"⚠"&amp;INDEX('입력_구리근무자명단'!$A659:$ZZ659,1,$E$2+3),TEXT($T661,"yyyy-mm-dd")))</f>
        <v/>
      </c>
      <c r="AB661">
        <f>AB660+IF($R661="",0,1)</f>
        <v/>
      </c>
      <c r="AC661">
        <f>IF($R661="","",$AB661)</f>
        <v/>
      </c>
    </row>
    <row r="662">
      <c r="O662">
        <f>660</f>
        <v/>
      </c>
      <c r="P662">
        <f>IF(TRIM('입력_구리근무자명단'!$A660&amp;"")&lt;&gt;"",TRIM('입력_구리근무자명단'!$A660&amp;""),P661)</f>
        <v/>
      </c>
      <c r="Q662">
        <f>'입력_구리근무자명단'!$B660&amp;""</f>
        <v/>
      </c>
      <c r="R662">
        <f>IF($E$2="","",TRIM(INDEX('입력_구리근무자명단'!$A660:$ZZ660,1,$E$2+IF($G$2="확정",1,0))&amp;""))</f>
        <v/>
      </c>
      <c r="S662">
        <f>IF($R662="","",IF(INDEX('입력_구리근무자명단'!$A660:$ZZ660,1,$E$2+2)&amp;""="",급여기준월,IF(ISNUMBER(INDEX('입력_구리근무자명단'!$A660:$ZZ660,1,$E$2+2)),INDEX('입력_구리근무자명단'!$A660:$ZZ660,1,$E$2+2),IFERROR(DATE(VALUE(LEFT(INDEX('입력_구리근무자명단'!$A660:$ZZ660,1,$E$2+2),4)),VALUE(MID(INDEX('입력_구리근무자명단'!$A660:$ZZ660,1,$E$2+2),6,2)),VALUE(MID(INDEX('입력_구리근무자명단'!$A660:$ZZ660,1,$E$2+2),9,2))),-1))))</f>
        <v/>
      </c>
      <c r="T662">
        <f>IF($R662="","",IF(INDEX('입력_구리근무자명단'!$A660:$ZZ660,1,$E$2+3)&amp;""="",EOMONTH(급여기준월,0),IF(ISNUMBER(INDEX('입력_구리근무자명단'!$A660:$ZZ660,1,$E$2+3)),INDEX('입력_구리근무자명단'!$A660:$ZZ660,1,$E$2+3),IFERROR(DATE(VALUE(LEFT(INDEX('입력_구리근무자명단'!$A660:$ZZ660,1,$E$2+3),4)),VALUE(MID(INDEX('입력_구리근무자명단'!$A660:$ZZ660,1,$E$2+3),6,2)),VALUE(MID(INDEX('입력_구리근무자명단'!$A660:$ZZ660,1,$E$2+3),9,2))),-1))))</f>
        <v/>
      </c>
      <c r="U662">
        <f>IF($R662="","",IF(OR($S662&lt;0,$T662&lt;0),0,MAX(0,MIN($T662,EOMONTH(급여기준월,0))-MAX($S662,급여기준월)+1)))</f>
        <v/>
      </c>
      <c r="V662">
        <f>IF($R662="","",TRIM(INDEX('입력_구리근무자명단'!$A660:$ZZ660,1,$E$2+5)&amp;""))</f>
        <v/>
      </c>
      <c r="W662">
        <f>IF(ISNUMBER(SEARCH("구리독자",$V662)),"구리독자","")</f>
        <v/>
      </c>
      <c r="X662">
        <f>IF($R662="","",$R662&amp;"|"&amp;IF(OR($Q662="인턴",ISNUMBER(SEARCH("수련교육부",$P662))),"인턴",$P662))</f>
        <v/>
      </c>
      <c r="Y662">
        <f>IF($R662="","",IF(COUNTIF(명단표[이름|과],$X662)=1,"명단 일치",IF(AND(COUNTIF(명단표[이름|과],$X662)=0,COUNTIF(명단표[이름],$R662)=1),"명단 일치(이름만, 과 다름)",IF(COUNTIF(명단표[이름],$R662)=0,IF(COUNTIF(기본자료표[이름],$R662)&gt;0,"명단에 없음(기본자료에는 있음)","명단에 없음"),"동명이인 확인"))))</f>
        <v/>
      </c>
      <c r="Z662">
        <f>IF($R662="","",IF($S662&lt;0,"⚠"&amp;INDEX('입력_구리근무자명단'!$A660:$ZZ660,1,$E$2+2),TEXT($S662,"yyyy-mm-dd")))</f>
        <v/>
      </c>
      <c r="AA662">
        <f>IF($R662="","",IF($T662&lt;0,"⚠"&amp;INDEX('입력_구리근무자명단'!$A660:$ZZ660,1,$E$2+3),TEXT($T662,"yyyy-mm-dd")))</f>
        <v/>
      </c>
      <c r="AB662">
        <f>AB661+IF($R662="",0,1)</f>
        <v/>
      </c>
      <c r="AC662">
        <f>IF($R662="","",$AB662)</f>
        <v/>
      </c>
    </row>
    <row r="663">
      <c r="O663">
        <f>661</f>
        <v/>
      </c>
      <c r="P663">
        <f>IF(TRIM('입력_구리근무자명단'!$A661&amp;"")&lt;&gt;"",TRIM('입력_구리근무자명단'!$A661&amp;""),P662)</f>
        <v/>
      </c>
      <c r="Q663">
        <f>'입력_구리근무자명단'!$B661&amp;""</f>
        <v/>
      </c>
      <c r="R663">
        <f>IF($E$2="","",TRIM(INDEX('입력_구리근무자명단'!$A661:$ZZ661,1,$E$2+IF($G$2="확정",1,0))&amp;""))</f>
        <v/>
      </c>
      <c r="S663">
        <f>IF($R663="","",IF(INDEX('입력_구리근무자명단'!$A661:$ZZ661,1,$E$2+2)&amp;""="",급여기준월,IF(ISNUMBER(INDEX('입력_구리근무자명단'!$A661:$ZZ661,1,$E$2+2)),INDEX('입력_구리근무자명단'!$A661:$ZZ661,1,$E$2+2),IFERROR(DATE(VALUE(LEFT(INDEX('입력_구리근무자명단'!$A661:$ZZ661,1,$E$2+2),4)),VALUE(MID(INDEX('입력_구리근무자명단'!$A661:$ZZ661,1,$E$2+2),6,2)),VALUE(MID(INDEX('입력_구리근무자명단'!$A661:$ZZ661,1,$E$2+2),9,2))),-1))))</f>
        <v/>
      </c>
      <c r="T663">
        <f>IF($R663="","",IF(INDEX('입력_구리근무자명단'!$A661:$ZZ661,1,$E$2+3)&amp;""="",EOMONTH(급여기준월,0),IF(ISNUMBER(INDEX('입력_구리근무자명단'!$A661:$ZZ661,1,$E$2+3)),INDEX('입력_구리근무자명단'!$A661:$ZZ661,1,$E$2+3),IFERROR(DATE(VALUE(LEFT(INDEX('입력_구리근무자명단'!$A661:$ZZ661,1,$E$2+3),4)),VALUE(MID(INDEX('입력_구리근무자명단'!$A661:$ZZ661,1,$E$2+3),6,2)),VALUE(MID(INDEX('입력_구리근무자명단'!$A661:$ZZ661,1,$E$2+3),9,2))),-1))))</f>
        <v/>
      </c>
      <c r="U663">
        <f>IF($R663="","",IF(OR($S663&lt;0,$T663&lt;0),0,MAX(0,MIN($T663,EOMONTH(급여기준월,0))-MAX($S663,급여기준월)+1)))</f>
        <v/>
      </c>
      <c r="V663">
        <f>IF($R663="","",TRIM(INDEX('입력_구리근무자명단'!$A661:$ZZ661,1,$E$2+5)&amp;""))</f>
        <v/>
      </c>
      <c r="W663">
        <f>IF(ISNUMBER(SEARCH("구리독자",$V663)),"구리독자","")</f>
        <v/>
      </c>
      <c r="X663">
        <f>IF($R663="","",$R663&amp;"|"&amp;IF(OR($Q663="인턴",ISNUMBER(SEARCH("수련교육부",$P663))),"인턴",$P663))</f>
        <v/>
      </c>
      <c r="Y663">
        <f>IF($R663="","",IF(COUNTIF(명단표[이름|과],$X663)=1,"명단 일치",IF(AND(COUNTIF(명단표[이름|과],$X663)=0,COUNTIF(명단표[이름],$R663)=1),"명단 일치(이름만, 과 다름)",IF(COUNTIF(명단표[이름],$R663)=0,IF(COUNTIF(기본자료표[이름],$R663)&gt;0,"명단에 없음(기본자료에는 있음)","명단에 없음"),"동명이인 확인"))))</f>
        <v/>
      </c>
      <c r="Z663">
        <f>IF($R663="","",IF($S663&lt;0,"⚠"&amp;INDEX('입력_구리근무자명단'!$A661:$ZZ661,1,$E$2+2),TEXT($S663,"yyyy-mm-dd")))</f>
        <v/>
      </c>
      <c r="AA663">
        <f>IF($R663="","",IF($T663&lt;0,"⚠"&amp;INDEX('입력_구리근무자명단'!$A661:$ZZ661,1,$E$2+3),TEXT($T663,"yyyy-mm-dd")))</f>
        <v/>
      </c>
      <c r="AB663">
        <f>AB662+IF($R663="",0,1)</f>
        <v/>
      </c>
      <c r="AC663">
        <f>IF($R663="","",$AB663)</f>
        <v/>
      </c>
    </row>
    <row r="664">
      <c r="O664">
        <f>662</f>
        <v/>
      </c>
      <c r="P664">
        <f>IF(TRIM('입력_구리근무자명단'!$A662&amp;"")&lt;&gt;"",TRIM('입력_구리근무자명단'!$A662&amp;""),P663)</f>
        <v/>
      </c>
      <c r="Q664">
        <f>'입력_구리근무자명단'!$B662&amp;""</f>
        <v/>
      </c>
      <c r="R664">
        <f>IF($E$2="","",TRIM(INDEX('입력_구리근무자명단'!$A662:$ZZ662,1,$E$2+IF($G$2="확정",1,0))&amp;""))</f>
        <v/>
      </c>
      <c r="S664">
        <f>IF($R664="","",IF(INDEX('입력_구리근무자명단'!$A662:$ZZ662,1,$E$2+2)&amp;""="",급여기준월,IF(ISNUMBER(INDEX('입력_구리근무자명단'!$A662:$ZZ662,1,$E$2+2)),INDEX('입력_구리근무자명단'!$A662:$ZZ662,1,$E$2+2),IFERROR(DATE(VALUE(LEFT(INDEX('입력_구리근무자명단'!$A662:$ZZ662,1,$E$2+2),4)),VALUE(MID(INDEX('입력_구리근무자명단'!$A662:$ZZ662,1,$E$2+2),6,2)),VALUE(MID(INDEX('입력_구리근무자명단'!$A662:$ZZ662,1,$E$2+2),9,2))),-1))))</f>
        <v/>
      </c>
      <c r="T664">
        <f>IF($R664="","",IF(INDEX('입력_구리근무자명단'!$A662:$ZZ662,1,$E$2+3)&amp;""="",EOMONTH(급여기준월,0),IF(ISNUMBER(INDEX('입력_구리근무자명단'!$A662:$ZZ662,1,$E$2+3)),INDEX('입력_구리근무자명단'!$A662:$ZZ662,1,$E$2+3),IFERROR(DATE(VALUE(LEFT(INDEX('입력_구리근무자명단'!$A662:$ZZ662,1,$E$2+3),4)),VALUE(MID(INDEX('입력_구리근무자명단'!$A662:$ZZ662,1,$E$2+3),6,2)),VALUE(MID(INDEX('입력_구리근무자명단'!$A662:$ZZ662,1,$E$2+3),9,2))),-1))))</f>
        <v/>
      </c>
      <c r="U664">
        <f>IF($R664="","",IF(OR($S664&lt;0,$T664&lt;0),0,MAX(0,MIN($T664,EOMONTH(급여기준월,0))-MAX($S664,급여기준월)+1)))</f>
        <v/>
      </c>
      <c r="V664">
        <f>IF($R664="","",TRIM(INDEX('입력_구리근무자명단'!$A662:$ZZ662,1,$E$2+5)&amp;""))</f>
        <v/>
      </c>
      <c r="W664">
        <f>IF(ISNUMBER(SEARCH("구리독자",$V664)),"구리독자","")</f>
        <v/>
      </c>
      <c r="X664">
        <f>IF($R664="","",$R664&amp;"|"&amp;IF(OR($Q664="인턴",ISNUMBER(SEARCH("수련교육부",$P664))),"인턴",$P664))</f>
        <v/>
      </c>
      <c r="Y664">
        <f>IF($R664="","",IF(COUNTIF(명단표[이름|과],$X664)=1,"명단 일치",IF(AND(COUNTIF(명단표[이름|과],$X664)=0,COUNTIF(명단표[이름],$R664)=1),"명단 일치(이름만, 과 다름)",IF(COUNTIF(명단표[이름],$R664)=0,IF(COUNTIF(기본자료표[이름],$R664)&gt;0,"명단에 없음(기본자료에는 있음)","명단에 없음"),"동명이인 확인"))))</f>
        <v/>
      </c>
      <c r="Z664">
        <f>IF($R664="","",IF($S664&lt;0,"⚠"&amp;INDEX('입력_구리근무자명단'!$A662:$ZZ662,1,$E$2+2),TEXT($S664,"yyyy-mm-dd")))</f>
        <v/>
      </c>
      <c r="AA664">
        <f>IF($R664="","",IF($T664&lt;0,"⚠"&amp;INDEX('입력_구리근무자명단'!$A662:$ZZ662,1,$E$2+3),TEXT($T664,"yyyy-mm-dd")))</f>
        <v/>
      </c>
      <c r="AB664">
        <f>AB663+IF($R664="",0,1)</f>
        <v/>
      </c>
      <c r="AC664">
        <f>IF($R664="","",$AB664)</f>
        <v/>
      </c>
    </row>
    <row r="665">
      <c r="O665">
        <f>663</f>
        <v/>
      </c>
      <c r="P665">
        <f>IF(TRIM('입력_구리근무자명단'!$A663&amp;"")&lt;&gt;"",TRIM('입력_구리근무자명단'!$A663&amp;""),P664)</f>
        <v/>
      </c>
      <c r="Q665">
        <f>'입력_구리근무자명단'!$B663&amp;""</f>
        <v/>
      </c>
      <c r="R665">
        <f>IF($E$2="","",TRIM(INDEX('입력_구리근무자명단'!$A663:$ZZ663,1,$E$2+IF($G$2="확정",1,0))&amp;""))</f>
        <v/>
      </c>
      <c r="S665">
        <f>IF($R665="","",IF(INDEX('입력_구리근무자명단'!$A663:$ZZ663,1,$E$2+2)&amp;""="",급여기준월,IF(ISNUMBER(INDEX('입력_구리근무자명단'!$A663:$ZZ663,1,$E$2+2)),INDEX('입력_구리근무자명단'!$A663:$ZZ663,1,$E$2+2),IFERROR(DATE(VALUE(LEFT(INDEX('입력_구리근무자명단'!$A663:$ZZ663,1,$E$2+2),4)),VALUE(MID(INDEX('입력_구리근무자명단'!$A663:$ZZ663,1,$E$2+2),6,2)),VALUE(MID(INDEX('입력_구리근무자명단'!$A663:$ZZ663,1,$E$2+2),9,2))),-1))))</f>
        <v/>
      </c>
      <c r="T665">
        <f>IF($R665="","",IF(INDEX('입력_구리근무자명단'!$A663:$ZZ663,1,$E$2+3)&amp;""="",EOMONTH(급여기준월,0),IF(ISNUMBER(INDEX('입력_구리근무자명단'!$A663:$ZZ663,1,$E$2+3)),INDEX('입력_구리근무자명단'!$A663:$ZZ663,1,$E$2+3),IFERROR(DATE(VALUE(LEFT(INDEX('입력_구리근무자명단'!$A663:$ZZ663,1,$E$2+3),4)),VALUE(MID(INDEX('입력_구리근무자명단'!$A663:$ZZ663,1,$E$2+3),6,2)),VALUE(MID(INDEX('입력_구리근무자명단'!$A663:$ZZ663,1,$E$2+3),9,2))),-1))))</f>
        <v/>
      </c>
      <c r="U665">
        <f>IF($R665="","",IF(OR($S665&lt;0,$T665&lt;0),0,MAX(0,MIN($T665,EOMONTH(급여기준월,0))-MAX($S665,급여기준월)+1)))</f>
        <v/>
      </c>
      <c r="V665">
        <f>IF($R665="","",TRIM(INDEX('입력_구리근무자명단'!$A663:$ZZ663,1,$E$2+5)&amp;""))</f>
        <v/>
      </c>
      <c r="W665">
        <f>IF(ISNUMBER(SEARCH("구리독자",$V665)),"구리독자","")</f>
        <v/>
      </c>
      <c r="X665">
        <f>IF($R665="","",$R665&amp;"|"&amp;IF(OR($Q665="인턴",ISNUMBER(SEARCH("수련교육부",$P665))),"인턴",$P665))</f>
        <v/>
      </c>
      <c r="Y665">
        <f>IF($R665="","",IF(COUNTIF(명단표[이름|과],$X665)=1,"명단 일치",IF(AND(COUNTIF(명단표[이름|과],$X665)=0,COUNTIF(명단표[이름],$R665)=1),"명단 일치(이름만, 과 다름)",IF(COUNTIF(명단표[이름],$R665)=0,IF(COUNTIF(기본자료표[이름],$R665)&gt;0,"명단에 없음(기본자료에는 있음)","명단에 없음"),"동명이인 확인"))))</f>
        <v/>
      </c>
      <c r="Z665">
        <f>IF($R665="","",IF($S665&lt;0,"⚠"&amp;INDEX('입력_구리근무자명단'!$A663:$ZZ663,1,$E$2+2),TEXT($S665,"yyyy-mm-dd")))</f>
        <v/>
      </c>
      <c r="AA665">
        <f>IF($R665="","",IF($T665&lt;0,"⚠"&amp;INDEX('입력_구리근무자명단'!$A663:$ZZ663,1,$E$2+3),TEXT($T665,"yyyy-mm-dd")))</f>
        <v/>
      </c>
      <c r="AB665">
        <f>AB664+IF($R665="",0,1)</f>
        <v/>
      </c>
      <c r="AC665">
        <f>IF($R665="","",$AB665)</f>
        <v/>
      </c>
    </row>
    <row r="666">
      <c r="O666">
        <f>664</f>
        <v/>
      </c>
      <c r="P666">
        <f>IF(TRIM('입력_구리근무자명단'!$A664&amp;"")&lt;&gt;"",TRIM('입력_구리근무자명단'!$A664&amp;""),P665)</f>
        <v/>
      </c>
      <c r="Q666">
        <f>'입력_구리근무자명단'!$B664&amp;""</f>
        <v/>
      </c>
      <c r="R666">
        <f>IF($E$2="","",TRIM(INDEX('입력_구리근무자명단'!$A664:$ZZ664,1,$E$2+IF($G$2="확정",1,0))&amp;""))</f>
        <v/>
      </c>
      <c r="S666">
        <f>IF($R666="","",IF(INDEX('입력_구리근무자명단'!$A664:$ZZ664,1,$E$2+2)&amp;""="",급여기준월,IF(ISNUMBER(INDEX('입력_구리근무자명단'!$A664:$ZZ664,1,$E$2+2)),INDEX('입력_구리근무자명단'!$A664:$ZZ664,1,$E$2+2),IFERROR(DATE(VALUE(LEFT(INDEX('입력_구리근무자명단'!$A664:$ZZ664,1,$E$2+2),4)),VALUE(MID(INDEX('입력_구리근무자명단'!$A664:$ZZ664,1,$E$2+2),6,2)),VALUE(MID(INDEX('입력_구리근무자명단'!$A664:$ZZ664,1,$E$2+2),9,2))),-1))))</f>
        <v/>
      </c>
      <c r="T666">
        <f>IF($R666="","",IF(INDEX('입력_구리근무자명단'!$A664:$ZZ664,1,$E$2+3)&amp;""="",EOMONTH(급여기준월,0),IF(ISNUMBER(INDEX('입력_구리근무자명단'!$A664:$ZZ664,1,$E$2+3)),INDEX('입력_구리근무자명단'!$A664:$ZZ664,1,$E$2+3),IFERROR(DATE(VALUE(LEFT(INDEX('입력_구리근무자명단'!$A664:$ZZ664,1,$E$2+3),4)),VALUE(MID(INDEX('입력_구리근무자명단'!$A664:$ZZ664,1,$E$2+3),6,2)),VALUE(MID(INDEX('입력_구리근무자명단'!$A664:$ZZ664,1,$E$2+3),9,2))),-1))))</f>
        <v/>
      </c>
      <c r="U666">
        <f>IF($R666="","",IF(OR($S666&lt;0,$T666&lt;0),0,MAX(0,MIN($T666,EOMONTH(급여기준월,0))-MAX($S666,급여기준월)+1)))</f>
        <v/>
      </c>
      <c r="V666">
        <f>IF($R666="","",TRIM(INDEX('입력_구리근무자명단'!$A664:$ZZ664,1,$E$2+5)&amp;""))</f>
        <v/>
      </c>
      <c r="W666">
        <f>IF(ISNUMBER(SEARCH("구리독자",$V666)),"구리독자","")</f>
        <v/>
      </c>
      <c r="X666">
        <f>IF($R666="","",$R666&amp;"|"&amp;IF(OR($Q666="인턴",ISNUMBER(SEARCH("수련교육부",$P666))),"인턴",$P666))</f>
        <v/>
      </c>
      <c r="Y666">
        <f>IF($R666="","",IF(COUNTIF(명단표[이름|과],$X666)=1,"명단 일치",IF(AND(COUNTIF(명단표[이름|과],$X666)=0,COUNTIF(명단표[이름],$R666)=1),"명단 일치(이름만, 과 다름)",IF(COUNTIF(명단표[이름],$R666)=0,IF(COUNTIF(기본자료표[이름],$R666)&gt;0,"명단에 없음(기본자료에는 있음)","명단에 없음"),"동명이인 확인"))))</f>
        <v/>
      </c>
      <c r="Z666">
        <f>IF($R666="","",IF($S666&lt;0,"⚠"&amp;INDEX('입력_구리근무자명단'!$A664:$ZZ664,1,$E$2+2),TEXT($S666,"yyyy-mm-dd")))</f>
        <v/>
      </c>
      <c r="AA666">
        <f>IF($R666="","",IF($T666&lt;0,"⚠"&amp;INDEX('입력_구리근무자명단'!$A664:$ZZ664,1,$E$2+3),TEXT($T666,"yyyy-mm-dd")))</f>
        <v/>
      </c>
      <c r="AB666">
        <f>AB665+IF($R666="",0,1)</f>
        <v/>
      </c>
      <c r="AC666">
        <f>IF($R666="","",$AB666)</f>
        <v/>
      </c>
    </row>
    <row r="667">
      <c r="O667">
        <f>665</f>
        <v/>
      </c>
      <c r="P667">
        <f>IF(TRIM('입력_구리근무자명단'!$A665&amp;"")&lt;&gt;"",TRIM('입력_구리근무자명단'!$A665&amp;""),P666)</f>
        <v/>
      </c>
      <c r="Q667">
        <f>'입력_구리근무자명단'!$B665&amp;""</f>
        <v/>
      </c>
      <c r="R667">
        <f>IF($E$2="","",TRIM(INDEX('입력_구리근무자명단'!$A665:$ZZ665,1,$E$2+IF($G$2="확정",1,0))&amp;""))</f>
        <v/>
      </c>
      <c r="S667">
        <f>IF($R667="","",IF(INDEX('입력_구리근무자명단'!$A665:$ZZ665,1,$E$2+2)&amp;""="",급여기준월,IF(ISNUMBER(INDEX('입력_구리근무자명단'!$A665:$ZZ665,1,$E$2+2)),INDEX('입력_구리근무자명단'!$A665:$ZZ665,1,$E$2+2),IFERROR(DATE(VALUE(LEFT(INDEX('입력_구리근무자명단'!$A665:$ZZ665,1,$E$2+2),4)),VALUE(MID(INDEX('입력_구리근무자명단'!$A665:$ZZ665,1,$E$2+2),6,2)),VALUE(MID(INDEX('입력_구리근무자명단'!$A665:$ZZ665,1,$E$2+2),9,2))),-1))))</f>
        <v/>
      </c>
      <c r="T667">
        <f>IF($R667="","",IF(INDEX('입력_구리근무자명단'!$A665:$ZZ665,1,$E$2+3)&amp;""="",EOMONTH(급여기준월,0),IF(ISNUMBER(INDEX('입력_구리근무자명단'!$A665:$ZZ665,1,$E$2+3)),INDEX('입력_구리근무자명단'!$A665:$ZZ665,1,$E$2+3),IFERROR(DATE(VALUE(LEFT(INDEX('입력_구리근무자명단'!$A665:$ZZ665,1,$E$2+3),4)),VALUE(MID(INDEX('입력_구리근무자명단'!$A665:$ZZ665,1,$E$2+3),6,2)),VALUE(MID(INDEX('입력_구리근무자명단'!$A665:$ZZ665,1,$E$2+3),9,2))),-1))))</f>
        <v/>
      </c>
      <c r="U667">
        <f>IF($R667="","",IF(OR($S667&lt;0,$T667&lt;0),0,MAX(0,MIN($T667,EOMONTH(급여기준월,0))-MAX($S667,급여기준월)+1)))</f>
        <v/>
      </c>
      <c r="V667">
        <f>IF($R667="","",TRIM(INDEX('입력_구리근무자명단'!$A665:$ZZ665,1,$E$2+5)&amp;""))</f>
        <v/>
      </c>
      <c r="W667">
        <f>IF(ISNUMBER(SEARCH("구리독자",$V667)),"구리독자","")</f>
        <v/>
      </c>
      <c r="X667">
        <f>IF($R667="","",$R667&amp;"|"&amp;IF(OR($Q667="인턴",ISNUMBER(SEARCH("수련교육부",$P667))),"인턴",$P667))</f>
        <v/>
      </c>
      <c r="Y667">
        <f>IF($R667="","",IF(COUNTIF(명단표[이름|과],$X667)=1,"명단 일치",IF(AND(COUNTIF(명단표[이름|과],$X667)=0,COUNTIF(명단표[이름],$R667)=1),"명단 일치(이름만, 과 다름)",IF(COUNTIF(명단표[이름],$R667)=0,IF(COUNTIF(기본자료표[이름],$R667)&gt;0,"명단에 없음(기본자료에는 있음)","명단에 없음"),"동명이인 확인"))))</f>
        <v/>
      </c>
      <c r="Z667">
        <f>IF($R667="","",IF($S667&lt;0,"⚠"&amp;INDEX('입력_구리근무자명단'!$A665:$ZZ665,1,$E$2+2),TEXT($S667,"yyyy-mm-dd")))</f>
        <v/>
      </c>
      <c r="AA667">
        <f>IF($R667="","",IF($T667&lt;0,"⚠"&amp;INDEX('입력_구리근무자명단'!$A665:$ZZ665,1,$E$2+3),TEXT($T667,"yyyy-mm-dd")))</f>
        <v/>
      </c>
      <c r="AB667">
        <f>AB666+IF($R667="",0,1)</f>
        <v/>
      </c>
      <c r="AC667">
        <f>IF($R667="","",$AB667)</f>
        <v/>
      </c>
    </row>
    <row r="668">
      <c r="O668">
        <f>666</f>
        <v/>
      </c>
      <c r="P668">
        <f>IF(TRIM('입력_구리근무자명단'!$A666&amp;"")&lt;&gt;"",TRIM('입력_구리근무자명단'!$A666&amp;""),P667)</f>
        <v/>
      </c>
      <c r="Q668">
        <f>'입력_구리근무자명단'!$B666&amp;""</f>
        <v/>
      </c>
      <c r="R668">
        <f>IF($E$2="","",TRIM(INDEX('입력_구리근무자명단'!$A666:$ZZ666,1,$E$2+IF($G$2="확정",1,0))&amp;""))</f>
        <v/>
      </c>
      <c r="S668">
        <f>IF($R668="","",IF(INDEX('입력_구리근무자명단'!$A666:$ZZ666,1,$E$2+2)&amp;""="",급여기준월,IF(ISNUMBER(INDEX('입력_구리근무자명단'!$A666:$ZZ666,1,$E$2+2)),INDEX('입력_구리근무자명단'!$A666:$ZZ666,1,$E$2+2),IFERROR(DATE(VALUE(LEFT(INDEX('입력_구리근무자명단'!$A666:$ZZ666,1,$E$2+2),4)),VALUE(MID(INDEX('입력_구리근무자명단'!$A666:$ZZ666,1,$E$2+2),6,2)),VALUE(MID(INDEX('입력_구리근무자명단'!$A666:$ZZ666,1,$E$2+2),9,2))),-1))))</f>
        <v/>
      </c>
      <c r="T668">
        <f>IF($R668="","",IF(INDEX('입력_구리근무자명단'!$A666:$ZZ666,1,$E$2+3)&amp;""="",EOMONTH(급여기준월,0),IF(ISNUMBER(INDEX('입력_구리근무자명단'!$A666:$ZZ666,1,$E$2+3)),INDEX('입력_구리근무자명단'!$A666:$ZZ666,1,$E$2+3),IFERROR(DATE(VALUE(LEFT(INDEX('입력_구리근무자명단'!$A666:$ZZ666,1,$E$2+3),4)),VALUE(MID(INDEX('입력_구리근무자명단'!$A666:$ZZ666,1,$E$2+3),6,2)),VALUE(MID(INDEX('입력_구리근무자명단'!$A666:$ZZ666,1,$E$2+3),9,2))),-1))))</f>
        <v/>
      </c>
      <c r="U668">
        <f>IF($R668="","",IF(OR($S668&lt;0,$T668&lt;0),0,MAX(0,MIN($T668,EOMONTH(급여기준월,0))-MAX($S668,급여기준월)+1)))</f>
        <v/>
      </c>
      <c r="V668">
        <f>IF($R668="","",TRIM(INDEX('입력_구리근무자명단'!$A666:$ZZ666,1,$E$2+5)&amp;""))</f>
        <v/>
      </c>
      <c r="W668">
        <f>IF(ISNUMBER(SEARCH("구리독자",$V668)),"구리독자","")</f>
        <v/>
      </c>
      <c r="X668">
        <f>IF($R668="","",$R668&amp;"|"&amp;IF(OR($Q668="인턴",ISNUMBER(SEARCH("수련교육부",$P668))),"인턴",$P668))</f>
        <v/>
      </c>
      <c r="Y668">
        <f>IF($R668="","",IF(COUNTIF(명단표[이름|과],$X668)=1,"명단 일치",IF(AND(COUNTIF(명단표[이름|과],$X668)=0,COUNTIF(명단표[이름],$R668)=1),"명단 일치(이름만, 과 다름)",IF(COUNTIF(명단표[이름],$R668)=0,IF(COUNTIF(기본자료표[이름],$R668)&gt;0,"명단에 없음(기본자료에는 있음)","명단에 없음"),"동명이인 확인"))))</f>
        <v/>
      </c>
      <c r="Z668">
        <f>IF($R668="","",IF($S668&lt;0,"⚠"&amp;INDEX('입력_구리근무자명단'!$A666:$ZZ666,1,$E$2+2),TEXT($S668,"yyyy-mm-dd")))</f>
        <v/>
      </c>
      <c r="AA668">
        <f>IF($R668="","",IF($T668&lt;0,"⚠"&amp;INDEX('입력_구리근무자명단'!$A666:$ZZ666,1,$E$2+3),TEXT($T668,"yyyy-mm-dd")))</f>
        <v/>
      </c>
      <c r="AB668">
        <f>AB667+IF($R668="",0,1)</f>
        <v/>
      </c>
      <c r="AC668">
        <f>IF($R668="","",$AB668)</f>
        <v/>
      </c>
    </row>
    <row r="669">
      <c r="O669">
        <f>667</f>
        <v/>
      </c>
      <c r="P669">
        <f>IF(TRIM('입력_구리근무자명단'!$A667&amp;"")&lt;&gt;"",TRIM('입력_구리근무자명단'!$A667&amp;""),P668)</f>
        <v/>
      </c>
      <c r="Q669">
        <f>'입력_구리근무자명단'!$B667&amp;""</f>
        <v/>
      </c>
      <c r="R669">
        <f>IF($E$2="","",TRIM(INDEX('입력_구리근무자명단'!$A667:$ZZ667,1,$E$2+IF($G$2="확정",1,0))&amp;""))</f>
        <v/>
      </c>
      <c r="S669">
        <f>IF($R669="","",IF(INDEX('입력_구리근무자명단'!$A667:$ZZ667,1,$E$2+2)&amp;""="",급여기준월,IF(ISNUMBER(INDEX('입력_구리근무자명단'!$A667:$ZZ667,1,$E$2+2)),INDEX('입력_구리근무자명단'!$A667:$ZZ667,1,$E$2+2),IFERROR(DATE(VALUE(LEFT(INDEX('입력_구리근무자명단'!$A667:$ZZ667,1,$E$2+2),4)),VALUE(MID(INDEX('입력_구리근무자명단'!$A667:$ZZ667,1,$E$2+2),6,2)),VALUE(MID(INDEX('입력_구리근무자명단'!$A667:$ZZ667,1,$E$2+2),9,2))),-1))))</f>
        <v/>
      </c>
      <c r="T669">
        <f>IF($R669="","",IF(INDEX('입력_구리근무자명단'!$A667:$ZZ667,1,$E$2+3)&amp;""="",EOMONTH(급여기준월,0),IF(ISNUMBER(INDEX('입력_구리근무자명단'!$A667:$ZZ667,1,$E$2+3)),INDEX('입력_구리근무자명단'!$A667:$ZZ667,1,$E$2+3),IFERROR(DATE(VALUE(LEFT(INDEX('입력_구리근무자명단'!$A667:$ZZ667,1,$E$2+3),4)),VALUE(MID(INDEX('입력_구리근무자명단'!$A667:$ZZ667,1,$E$2+3),6,2)),VALUE(MID(INDEX('입력_구리근무자명단'!$A667:$ZZ667,1,$E$2+3),9,2))),-1))))</f>
        <v/>
      </c>
      <c r="U669">
        <f>IF($R669="","",IF(OR($S669&lt;0,$T669&lt;0),0,MAX(0,MIN($T669,EOMONTH(급여기준월,0))-MAX($S669,급여기준월)+1)))</f>
        <v/>
      </c>
      <c r="V669">
        <f>IF($R669="","",TRIM(INDEX('입력_구리근무자명단'!$A667:$ZZ667,1,$E$2+5)&amp;""))</f>
        <v/>
      </c>
      <c r="W669">
        <f>IF(ISNUMBER(SEARCH("구리독자",$V669)),"구리독자","")</f>
        <v/>
      </c>
      <c r="X669">
        <f>IF($R669="","",$R669&amp;"|"&amp;IF(OR($Q669="인턴",ISNUMBER(SEARCH("수련교육부",$P669))),"인턴",$P669))</f>
        <v/>
      </c>
      <c r="Y669">
        <f>IF($R669="","",IF(COUNTIF(명단표[이름|과],$X669)=1,"명단 일치",IF(AND(COUNTIF(명단표[이름|과],$X669)=0,COUNTIF(명단표[이름],$R669)=1),"명단 일치(이름만, 과 다름)",IF(COUNTIF(명단표[이름],$R669)=0,IF(COUNTIF(기본자료표[이름],$R669)&gt;0,"명단에 없음(기본자료에는 있음)","명단에 없음"),"동명이인 확인"))))</f>
        <v/>
      </c>
      <c r="Z669">
        <f>IF($R669="","",IF($S669&lt;0,"⚠"&amp;INDEX('입력_구리근무자명단'!$A667:$ZZ667,1,$E$2+2),TEXT($S669,"yyyy-mm-dd")))</f>
        <v/>
      </c>
      <c r="AA669">
        <f>IF($R669="","",IF($T669&lt;0,"⚠"&amp;INDEX('입력_구리근무자명단'!$A667:$ZZ667,1,$E$2+3),TEXT($T669,"yyyy-mm-dd")))</f>
        <v/>
      </c>
      <c r="AB669">
        <f>AB668+IF($R669="",0,1)</f>
        <v/>
      </c>
      <c r="AC669">
        <f>IF($R669="","",$AB669)</f>
        <v/>
      </c>
    </row>
    <row r="670">
      <c r="O670">
        <f>668</f>
        <v/>
      </c>
      <c r="P670">
        <f>IF(TRIM('입력_구리근무자명단'!$A668&amp;"")&lt;&gt;"",TRIM('입력_구리근무자명단'!$A668&amp;""),P669)</f>
        <v/>
      </c>
      <c r="Q670">
        <f>'입력_구리근무자명단'!$B668&amp;""</f>
        <v/>
      </c>
      <c r="R670">
        <f>IF($E$2="","",TRIM(INDEX('입력_구리근무자명단'!$A668:$ZZ668,1,$E$2+IF($G$2="확정",1,0))&amp;""))</f>
        <v/>
      </c>
      <c r="S670">
        <f>IF($R670="","",IF(INDEX('입력_구리근무자명단'!$A668:$ZZ668,1,$E$2+2)&amp;""="",급여기준월,IF(ISNUMBER(INDEX('입력_구리근무자명단'!$A668:$ZZ668,1,$E$2+2)),INDEX('입력_구리근무자명단'!$A668:$ZZ668,1,$E$2+2),IFERROR(DATE(VALUE(LEFT(INDEX('입력_구리근무자명단'!$A668:$ZZ668,1,$E$2+2),4)),VALUE(MID(INDEX('입력_구리근무자명단'!$A668:$ZZ668,1,$E$2+2),6,2)),VALUE(MID(INDEX('입력_구리근무자명단'!$A668:$ZZ668,1,$E$2+2),9,2))),-1))))</f>
        <v/>
      </c>
      <c r="T670">
        <f>IF($R670="","",IF(INDEX('입력_구리근무자명단'!$A668:$ZZ668,1,$E$2+3)&amp;""="",EOMONTH(급여기준월,0),IF(ISNUMBER(INDEX('입력_구리근무자명단'!$A668:$ZZ668,1,$E$2+3)),INDEX('입력_구리근무자명단'!$A668:$ZZ668,1,$E$2+3),IFERROR(DATE(VALUE(LEFT(INDEX('입력_구리근무자명단'!$A668:$ZZ668,1,$E$2+3),4)),VALUE(MID(INDEX('입력_구리근무자명단'!$A668:$ZZ668,1,$E$2+3),6,2)),VALUE(MID(INDEX('입력_구리근무자명단'!$A668:$ZZ668,1,$E$2+3),9,2))),-1))))</f>
        <v/>
      </c>
      <c r="U670">
        <f>IF($R670="","",IF(OR($S670&lt;0,$T670&lt;0),0,MAX(0,MIN($T670,EOMONTH(급여기준월,0))-MAX($S670,급여기준월)+1)))</f>
        <v/>
      </c>
      <c r="V670">
        <f>IF($R670="","",TRIM(INDEX('입력_구리근무자명단'!$A668:$ZZ668,1,$E$2+5)&amp;""))</f>
        <v/>
      </c>
      <c r="W670">
        <f>IF(ISNUMBER(SEARCH("구리독자",$V670)),"구리독자","")</f>
        <v/>
      </c>
      <c r="X670">
        <f>IF($R670="","",$R670&amp;"|"&amp;IF(OR($Q670="인턴",ISNUMBER(SEARCH("수련교육부",$P670))),"인턴",$P670))</f>
        <v/>
      </c>
      <c r="Y670">
        <f>IF($R670="","",IF(COUNTIF(명단표[이름|과],$X670)=1,"명단 일치",IF(AND(COUNTIF(명단표[이름|과],$X670)=0,COUNTIF(명단표[이름],$R670)=1),"명단 일치(이름만, 과 다름)",IF(COUNTIF(명단표[이름],$R670)=0,IF(COUNTIF(기본자료표[이름],$R670)&gt;0,"명단에 없음(기본자료에는 있음)","명단에 없음"),"동명이인 확인"))))</f>
        <v/>
      </c>
      <c r="Z670">
        <f>IF($R670="","",IF($S670&lt;0,"⚠"&amp;INDEX('입력_구리근무자명단'!$A668:$ZZ668,1,$E$2+2),TEXT($S670,"yyyy-mm-dd")))</f>
        <v/>
      </c>
      <c r="AA670">
        <f>IF($R670="","",IF($T670&lt;0,"⚠"&amp;INDEX('입력_구리근무자명단'!$A668:$ZZ668,1,$E$2+3),TEXT($T670,"yyyy-mm-dd")))</f>
        <v/>
      </c>
      <c r="AB670">
        <f>AB669+IF($R670="",0,1)</f>
        <v/>
      </c>
      <c r="AC670">
        <f>IF($R670="","",$AB670)</f>
        <v/>
      </c>
    </row>
    <row r="671">
      <c r="O671">
        <f>669</f>
        <v/>
      </c>
      <c r="P671">
        <f>IF(TRIM('입력_구리근무자명단'!$A669&amp;"")&lt;&gt;"",TRIM('입력_구리근무자명단'!$A669&amp;""),P670)</f>
        <v/>
      </c>
      <c r="Q671">
        <f>'입력_구리근무자명단'!$B669&amp;""</f>
        <v/>
      </c>
      <c r="R671">
        <f>IF($E$2="","",TRIM(INDEX('입력_구리근무자명단'!$A669:$ZZ669,1,$E$2+IF($G$2="확정",1,0))&amp;""))</f>
        <v/>
      </c>
      <c r="S671">
        <f>IF($R671="","",IF(INDEX('입력_구리근무자명단'!$A669:$ZZ669,1,$E$2+2)&amp;""="",급여기준월,IF(ISNUMBER(INDEX('입력_구리근무자명단'!$A669:$ZZ669,1,$E$2+2)),INDEX('입력_구리근무자명단'!$A669:$ZZ669,1,$E$2+2),IFERROR(DATE(VALUE(LEFT(INDEX('입력_구리근무자명단'!$A669:$ZZ669,1,$E$2+2),4)),VALUE(MID(INDEX('입력_구리근무자명단'!$A669:$ZZ669,1,$E$2+2),6,2)),VALUE(MID(INDEX('입력_구리근무자명단'!$A669:$ZZ669,1,$E$2+2),9,2))),-1))))</f>
        <v/>
      </c>
      <c r="T671">
        <f>IF($R671="","",IF(INDEX('입력_구리근무자명단'!$A669:$ZZ669,1,$E$2+3)&amp;""="",EOMONTH(급여기준월,0),IF(ISNUMBER(INDEX('입력_구리근무자명단'!$A669:$ZZ669,1,$E$2+3)),INDEX('입력_구리근무자명단'!$A669:$ZZ669,1,$E$2+3),IFERROR(DATE(VALUE(LEFT(INDEX('입력_구리근무자명단'!$A669:$ZZ669,1,$E$2+3),4)),VALUE(MID(INDEX('입력_구리근무자명단'!$A669:$ZZ669,1,$E$2+3),6,2)),VALUE(MID(INDEX('입력_구리근무자명단'!$A669:$ZZ669,1,$E$2+3),9,2))),-1))))</f>
        <v/>
      </c>
      <c r="U671">
        <f>IF($R671="","",IF(OR($S671&lt;0,$T671&lt;0),0,MAX(0,MIN($T671,EOMONTH(급여기준월,0))-MAX($S671,급여기준월)+1)))</f>
        <v/>
      </c>
      <c r="V671">
        <f>IF($R671="","",TRIM(INDEX('입력_구리근무자명단'!$A669:$ZZ669,1,$E$2+5)&amp;""))</f>
        <v/>
      </c>
      <c r="W671">
        <f>IF(ISNUMBER(SEARCH("구리독자",$V671)),"구리독자","")</f>
        <v/>
      </c>
      <c r="X671">
        <f>IF($R671="","",$R671&amp;"|"&amp;IF(OR($Q671="인턴",ISNUMBER(SEARCH("수련교육부",$P671))),"인턴",$P671))</f>
        <v/>
      </c>
      <c r="Y671">
        <f>IF($R671="","",IF(COUNTIF(명단표[이름|과],$X671)=1,"명단 일치",IF(AND(COUNTIF(명단표[이름|과],$X671)=0,COUNTIF(명단표[이름],$R671)=1),"명단 일치(이름만, 과 다름)",IF(COUNTIF(명단표[이름],$R671)=0,IF(COUNTIF(기본자료표[이름],$R671)&gt;0,"명단에 없음(기본자료에는 있음)","명단에 없음"),"동명이인 확인"))))</f>
        <v/>
      </c>
      <c r="Z671">
        <f>IF($R671="","",IF($S671&lt;0,"⚠"&amp;INDEX('입력_구리근무자명단'!$A669:$ZZ669,1,$E$2+2),TEXT($S671,"yyyy-mm-dd")))</f>
        <v/>
      </c>
      <c r="AA671">
        <f>IF($R671="","",IF($T671&lt;0,"⚠"&amp;INDEX('입력_구리근무자명단'!$A669:$ZZ669,1,$E$2+3),TEXT($T671,"yyyy-mm-dd")))</f>
        <v/>
      </c>
      <c r="AB671">
        <f>AB670+IF($R671="",0,1)</f>
        <v/>
      </c>
      <c r="AC671">
        <f>IF($R671="","",$AB671)</f>
        <v/>
      </c>
    </row>
    <row r="672">
      <c r="O672">
        <f>670</f>
        <v/>
      </c>
      <c r="P672">
        <f>IF(TRIM('입력_구리근무자명단'!$A670&amp;"")&lt;&gt;"",TRIM('입력_구리근무자명단'!$A670&amp;""),P671)</f>
        <v/>
      </c>
      <c r="Q672">
        <f>'입력_구리근무자명단'!$B670&amp;""</f>
        <v/>
      </c>
      <c r="R672">
        <f>IF($E$2="","",TRIM(INDEX('입력_구리근무자명단'!$A670:$ZZ670,1,$E$2+IF($G$2="확정",1,0))&amp;""))</f>
        <v/>
      </c>
      <c r="S672">
        <f>IF($R672="","",IF(INDEX('입력_구리근무자명단'!$A670:$ZZ670,1,$E$2+2)&amp;""="",급여기준월,IF(ISNUMBER(INDEX('입력_구리근무자명단'!$A670:$ZZ670,1,$E$2+2)),INDEX('입력_구리근무자명단'!$A670:$ZZ670,1,$E$2+2),IFERROR(DATE(VALUE(LEFT(INDEX('입력_구리근무자명단'!$A670:$ZZ670,1,$E$2+2),4)),VALUE(MID(INDEX('입력_구리근무자명단'!$A670:$ZZ670,1,$E$2+2),6,2)),VALUE(MID(INDEX('입력_구리근무자명단'!$A670:$ZZ670,1,$E$2+2),9,2))),-1))))</f>
        <v/>
      </c>
      <c r="T672">
        <f>IF($R672="","",IF(INDEX('입력_구리근무자명단'!$A670:$ZZ670,1,$E$2+3)&amp;""="",EOMONTH(급여기준월,0),IF(ISNUMBER(INDEX('입력_구리근무자명단'!$A670:$ZZ670,1,$E$2+3)),INDEX('입력_구리근무자명단'!$A670:$ZZ670,1,$E$2+3),IFERROR(DATE(VALUE(LEFT(INDEX('입력_구리근무자명단'!$A670:$ZZ670,1,$E$2+3),4)),VALUE(MID(INDEX('입력_구리근무자명단'!$A670:$ZZ670,1,$E$2+3),6,2)),VALUE(MID(INDEX('입력_구리근무자명단'!$A670:$ZZ670,1,$E$2+3),9,2))),-1))))</f>
        <v/>
      </c>
      <c r="U672">
        <f>IF($R672="","",IF(OR($S672&lt;0,$T672&lt;0),0,MAX(0,MIN($T672,EOMONTH(급여기준월,0))-MAX($S672,급여기준월)+1)))</f>
        <v/>
      </c>
      <c r="V672">
        <f>IF($R672="","",TRIM(INDEX('입력_구리근무자명단'!$A670:$ZZ670,1,$E$2+5)&amp;""))</f>
        <v/>
      </c>
      <c r="W672">
        <f>IF(ISNUMBER(SEARCH("구리독자",$V672)),"구리독자","")</f>
        <v/>
      </c>
      <c r="X672">
        <f>IF($R672="","",$R672&amp;"|"&amp;IF(OR($Q672="인턴",ISNUMBER(SEARCH("수련교육부",$P672))),"인턴",$P672))</f>
        <v/>
      </c>
      <c r="Y672">
        <f>IF($R672="","",IF(COUNTIF(명단표[이름|과],$X672)=1,"명단 일치",IF(AND(COUNTIF(명단표[이름|과],$X672)=0,COUNTIF(명단표[이름],$R672)=1),"명단 일치(이름만, 과 다름)",IF(COUNTIF(명단표[이름],$R672)=0,IF(COUNTIF(기본자료표[이름],$R672)&gt;0,"명단에 없음(기본자료에는 있음)","명단에 없음"),"동명이인 확인"))))</f>
        <v/>
      </c>
      <c r="Z672">
        <f>IF($R672="","",IF($S672&lt;0,"⚠"&amp;INDEX('입력_구리근무자명단'!$A670:$ZZ670,1,$E$2+2),TEXT($S672,"yyyy-mm-dd")))</f>
        <v/>
      </c>
      <c r="AA672">
        <f>IF($R672="","",IF($T672&lt;0,"⚠"&amp;INDEX('입력_구리근무자명단'!$A670:$ZZ670,1,$E$2+3),TEXT($T672,"yyyy-mm-dd")))</f>
        <v/>
      </c>
      <c r="AB672">
        <f>AB671+IF($R672="",0,1)</f>
        <v/>
      </c>
      <c r="AC672">
        <f>IF($R672="","",$AB672)</f>
        <v/>
      </c>
    </row>
    <row r="673">
      <c r="O673">
        <f>671</f>
        <v/>
      </c>
      <c r="P673">
        <f>IF(TRIM('입력_구리근무자명단'!$A671&amp;"")&lt;&gt;"",TRIM('입력_구리근무자명단'!$A671&amp;""),P672)</f>
        <v/>
      </c>
      <c r="Q673">
        <f>'입력_구리근무자명단'!$B671&amp;""</f>
        <v/>
      </c>
      <c r="R673">
        <f>IF($E$2="","",TRIM(INDEX('입력_구리근무자명단'!$A671:$ZZ671,1,$E$2+IF($G$2="확정",1,0))&amp;""))</f>
        <v/>
      </c>
      <c r="S673">
        <f>IF($R673="","",IF(INDEX('입력_구리근무자명단'!$A671:$ZZ671,1,$E$2+2)&amp;""="",급여기준월,IF(ISNUMBER(INDEX('입력_구리근무자명단'!$A671:$ZZ671,1,$E$2+2)),INDEX('입력_구리근무자명단'!$A671:$ZZ671,1,$E$2+2),IFERROR(DATE(VALUE(LEFT(INDEX('입력_구리근무자명단'!$A671:$ZZ671,1,$E$2+2),4)),VALUE(MID(INDEX('입력_구리근무자명단'!$A671:$ZZ671,1,$E$2+2),6,2)),VALUE(MID(INDEX('입력_구리근무자명단'!$A671:$ZZ671,1,$E$2+2),9,2))),-1))))</f>
        <v/>
      </c>
      <c r="T673">
        <f>IF($R673="","",IF(INDEX('입력_구리근무자명단'!$A671:$ZZ671,1,$E$2+3)&amp;""="",EOMONTH(급여기준월,0),IF(ISNUMBER(INDEX('입력_구리근무자명단'!$A671:$ZZ671,1,$E$2+3)),INDEX('입력_구리근무자명단'!$A671:$ZZ671,1,$E$2+3),IFERROR(DATE(VALUE(LEFT(INDEX('입력_구리근무자명단'!$A671:$ZZ671,1,$E$2+3),4)),VALUE(MID(INDEX('입력_구리근무자명단'!$A671:$ZZ671,1,$E$2+3),6,2)),VALUE(MID(INDEX('입력_구리근무자명단'!$A671:$ZZ671,1,$E$2+3),9,2))),-1))))</f>
        <v/>
      </c>
      <c r="U673">
        <f>IF($R673="","",IF(OR($S673&lt;0,$T673&lt;0),0,MAX(0,MIN($T673,EOMONTH(급여기준월,0))-MAX($S673,급여기준월)+1)))</f>
        <v/>
      </c>
      <c r="V673">
        <f>IF($R673="","",TRIM(INDEX('입력_구리근무자명단'!$A671:$ZZ671,1,$E$2+5)&amp;""))</f>
        <v/>
      </c>
      <c r="W673">
        <f>IF(ISNUMBER(SEARCH("구리독자",$V673)),"구리독자","")</f>
        <v/>
      </c>
      <c r="X673">
        <f>IF($R673="","",$R673&amp;"|"&amp;IF(OR($Q673="인턴",ISNUMBER(SEARCH("수련교육부",$P673))),"인턴",$P673))</f>
        <v/>
      </c>
      <c r="Y673">
        <f>IF($R673="","",IF(COUNTIF(명단표[이름|과],$X673)=1,"명단 일치",IF(AND(COUNTIF(명단표[이름|과],$X673)=0,COUNTIF(명단표[이름],$R673)=1),"명단 일치(이름만, 과 다름)",IF(COUNTIF(명단표[이름],$R673)=0,IF(COUNTIF(기본자료표[이름],$R673)&gt;0,"명단에 없음(기본자료에는 있음)","명단에 없음"),"동명이인 확인"))))</f>
        <v/>
      </c>
      <c r="Z673">
        <f>IF($R673="","",IF($S673&lt;0,"⚠"&amp;INDEX('입력_구리근무자명단'!$A671:$ZZ671,1,$E$2+2),TEXT($S673,"yyyy-mm-dd")))</f>
        <v/>
      </c>
      <c r="AA673">
        <f>IF($R673="","",IF($T673&lt;0,"⚠"&amp;INDEX('입력_구리근무자명단'!$A671:$ZZ671,1,$E$2+3),TEXT($T673,"yyyy-mm-dd")))</f>
        <v/>
      </c>
      <c r="AB673">
        <f>AB672+IF($R673="",0,1)</f>
        <v/>
      </c>
      <c r="AC673">
        <f>IF($R673="","",$AB673)</f>
        <v/>
      </c>
    </row>
    <row r="674">
      <c r="O674">
        <f>672</f>
        <v/>
      </c>
      <c r="P674">
        <f>IF(TRIM('입력_구리근무자명단'!$A672&amp;"")&lt;&gt;"",TRIM('입력_구리근무자명단'!$A672&amp;""),P673)</f>
        <v/>
      </c>
      <c r="Q674">
        <f>'입력_구리근무자명단'!$B672&amp;""</f>
        <v/>
      </c>
      <c r="R674">
        <f>IF($E$2="","",TRIM(INDEX('입력_구리근무자명단'!$A672:$ZZ672,1,$E$2+IF($G$2="확정",1,0))&amp;""))</f>
        <v/>
      </c>
      <c r="S674">
        <f>IF($R674="","",IF(INDEX('입력_구리근무자명단'!$A672:$ZZ672,1,$E$2+2)&amp;""="",급여기준월,IF(ISNUMBER(INDEX('입력_구리근무자명단'!$A672:$ZZ672,1,$E$2+2)),INDEX('입력_구리근무자명단'!$A672:$ZZ672,1,$E$2+2),IFERROR(DATE(VALUE(LEFT(INDEX('입력_구리근무자명단'!$A672:$ZZ672,1,$E$2+2),4)),VALUE(MID(INDEX('입력_구리근무자명단'!$A672:$ZZ672,1,$E$2+2),6,2)),VALUE(MID(INDEX('입력_구리근무자명단'!$A672:$ZZ672,1,$E$2+2),9,2))),-1))))</f>
        <v/>
      </c>
      <c r="T674">
        <f>IF($R674="","",IF(INDEX('입력_구리근무자명단'!$A672:$ZZ672,1,$E$2+3)&amp;""="",EOMONTH(급여기준월,0),IF(ISNUMBER(INDEX('입력_구리근무자명단'!$A672:$ZZ672,1,$E$2+3)),INDEX('입력_구리근무자명단'!$A672:$ZZ672,1,$E$2+3),IFERROR(DATE(VALUE(LEFT(INDEX('입력_구리근무자명단'!$A672:$ZZ672,1,$E$2+3),4)),VALUE(MID(INDEX('입력_구리근무자명단'!$A672:$ZZ672,1,$E$2+3),6,2)),VALUE(MID(INDEX('입력_구리근무자명단'!$A672:$ZZ672,1,$E$2+3),9,2))),-1))))</f>
        <v/>
      </c>
      <c r="U674">
        <f>IF($R674="","",IF(OR($S674&lt;0,$T674&lt;0),0,MAX(0,MIN($T674,EOMONTH(급여기준월,0))-MAX($S674,급여기준월)+1)))</f>
        <v/>
      </c>
      <c r="V674">
        <f>IF($R674="","",TRIM(INDEX('입력_구리근무자명단'!$A672:$ZZ672,1,$E$2+5)&amp;""))</f>
        <v/>
      </c>
      <c r="W674">
        <f>IF(ISNUMBER(SEARCH("구리독자",$V674)),"구리독자","")</f>
        <v/>
      </c>
      <c r="X674">
        <f>IF($R674="","",$R674&amp;"|"&amp;IF(OR($Q674="인턴",ISNUMBER(SEARCH("수련교육부",$P674))),"인턴",$P674))</f>
        <v/>
      </c>
      <c r="Y674">
        <f>IF($R674="","",IF(COUNTIF(명단표[이름|과],$X674)=1,"명단 일치",IF(AND(COUNTIF(명단표[이름|과],$X674)=0,COUNTIF(명단표[이름],$R674)=1),"명단 일치(이름만, 과 다름)",IF(COUNTIF(명단표[이름],$R674)=0,IF(COUNTIF(기본자료표[이름],$R674)&gt;0,"명단에 없음(기본자료에는 있음)","명단에 없음"),"동명이인 확인"))))</f>
        <v/>
      </c>
      <c r="Z674">
        <f>IF($R674="","",IF($S674&lt;0,"⚠"&amp;INDEX('입력_구리근무자명단'!$A672:$ZZ672,1,$E$2+2),TEXT($S674,"yyyy-mm-dd")))</f>
        <v/>
      </c>
      <c r="AA674">
        <f>IF($R674="","",IF($T674&lt;0,"⚠"&amp;INDEX('입력_구리근무자명단'!$A672:$ZZ672,1,$E$2+3),TEXT($T674,"yyyy-mm-dd")))</f>
        <v/>
      </c>
      <c r="AB674">
        <f>AB673+IF($R674="",0,1)</f>
        <v/>
      </c>
      <c r="AC674">
        <f>IF($R674="","",$AB674)</f>
        <v/>
      </c>
    </row>
    <row r="675">
      <c r="O675">
        <f>673</f>
        <v/>
      </c>
      <c r="P675">
        <f>IF(TRIM('입력_구리근무자명단'!$A673&amp;"")&lt;&gt;"",TRIM('입력_구리근무자명단'!$A673&amp;""),P674)</f>
        <v/>
      </c>
      <c r="Q675">
        <f>'입력_구리근무자명단'!$B673&amp;""</f>
        <v/>
      </c>
      <c r="R675">
        <f>IF($E$2="","",TRIM(INDEX('입력_구리근무자명단'!$A673:$ZZ673,1,$E$2+IF($G$2="확정",1,0))&amp;""))</f>
        <v/>
      </c>
      <c r="S675">
        <f>IF($R675="","",IF(INDEX('입력_구리근무자명단'!$A673:$ZZ673,1,$E$2+2)&amp;""="",급여기준월,IF(ISNUMBER(INDEX('입력_구리근무자명단'!$A673:$ZZ673,1,$E$2+2)),INDEX('입력_구리근무자명단'!$A673:$ZZ673,1,$E$2+2),IFERROR(DATE(VALUE(LEFT(INDEX('입력_구리근무자명단'!$A673:$ZZ673,1,$E$2+2),4)),VALUE(MID(INDEX('입력_구리근무자명단'!$A673:$ZZ673,1,$E$2+2),6,2)),VALUE(MID(INDEX('입력_구리근무자명단'!$A673:$ZZ673,1,$E$2+2),9,2))),-1))))</f>
        <v/>
      </c>
      <c r="T675">
        <f>IF($R675="","",IF(INDEX('입력_구리근무자명단'!$A673:$ZZ673,1,$E$2+3)&amp;""="",EOMONTH(급여기준월,0),IF(ISNUMBER(INDEX('입력_구리근무자명단'!$A673:$ZZ673,1,$E$2+3)),INDEX('입력_구리근무자명단'!$A673:$ZZ673,1,$E$2+3),IFERROR(DATE(VALUE(LEFT(INDEX('입력_구리근무자명단'!$A673:$ZZ673,1,$E$2+3),4)),VALUE(MID(INDEX('입력_구리근무자명단'!$A673:$ZZ673,1,$E$2+3),6,2)),VALUE(MID(INDEX('입력_구리근무자명단'!$A673:$ZZ673,1,$E$2+3),9,2))),-1))))</f>
        <v/>
      </c>
      <c r="U675">
        <f>IF($R675="","",IF(OR($S675&lt;0,$T675&lt;0),0,MAX(0,MIN($T675,EOMONTH(급여기준월,0))-MAX($S675,급여기준월)+1)))</f>
        <v/>
      </c>
      <c r="V675">
        <f>IF($R675="","",TRIM(INDEX('입력_구리근무자명단'!$A673:$ZZ673,1,$E$2+5)&amp;""))</f>
        <v/>
      </c>
      <c r="W675">
        <f>IF(ISNUMBER(SEARCH("구리독자",$V675)),"구리독자","")</f>
        <v/>
      </c>
      <c r="X675">
        <f>IF($R675="","",$R675&amp;"|"&amp;IF(OR($Q675="인턴",ISNUMBER(SEARCH("수련교육부",$P675))),"인턴",$P675))</f>
        <v/>
      </c>
      <c r="Y675">
        <f>IF($R675="","",IF(COUNTIF(명단표[이름|과],$X675)=1,"명단 일치",IF(AND(COUNTIF(명단표[이름|과],$X675)=0,COUNTIF(명단표[이름],$R675)=1),"명단 일치(이름만, 과 다름)",IF(COUNTIF(명단표[이름],$R675)=0,IF(COUNTIF(기본자료표[이름],$R675)&gt;0,"명단에 없음(기본자료에는 있음)","명단에 없음"),"동명이인 확인"))))</f>
        <v/>
      </c>
      <c r="Z675">
        <f>IF($R675="","",IF($S675&lt;0,"⚠"&amp;INDEX('입력_구리근무자명단'!$A673:$ZZ673,1,$E$2+2),TEXT($S675,"yyyy-mm-dd")))</f>
        <v/>
      </c>
      <c r="AA675">
        <f>IF($R675="","",IF($T675&lt;0,"⚠"&amp;INDEX('입력_구리근무자명단'!$A673:$ZZ673,1,$E$2+3),TEXT($T675,"yyyy-mm-dd")))</f>
        <v/>
      </c>
      <c r="AB675">
        <f>AB674+IF($R675="",0,1)</f>
        <v/>
      </c>
      <c r="AC675">
        <f>IF($R675="","",$AB675)</f>
        <v/>
      </c>
    </row>
    <row r="676">
      <c r="O676">
        <f>674</f>
        <v/>
      </c>
      <c r="P676">
        <f>IF(TRIM('입력_구리근무자명단'!$A674&amp;"")&lt;&gt;"",TRIM('입력_구리근무자명단'!$A674&amp;""),P675)</f>
        <v/>
      </c>
      <c r="Q676">
        <f>'입력_구리근무자명단'!$B674&amp;""</f>
        <v/>
      </c>
      <c r="R676">
        <f>IF($E$2="","",TRIM(INDEX('입력_구리근무자명단'!$A674:$ZZ674,1,$E$2+IF($G$2="확정",1,0))&amp;""))</f>
        <v/>
      </c>
      <c r="S676">
        <f>IF($R676="","",IF(INDEX('입력_구리근무자명단'!$A674:$ZZ674,1,$E$2+2)&amp;""="",급여기준월,IF(ISNUMBER(INDEX('입력_구리근무자명단'!$A674:$ZZ674,1,$E$2+2)),INDEX('입력_구리근무자명단'!$A674:$ZZ674,1,$E$2+2),IFERROR(DATE(VALUE(LEFT(INDEX('입력_구리근무자명단'!$A674:$ZZ674,1,$E$2+2),4)),VALUE(MID(INDEX('입력_구리근무자명단'!$A674:$ZZ674,1,$E$2+2),6,2)),VALUE(MID(INDEX('입력_구리근무자명단'!$A674:$ZZ674,1,$E$2+2),9,2))),-1))))</f>
        <v/>
      </c>
      <c r="T676">
        <f>IF($R676="","",IF(INDEX('입력_구리근무자명단'!$A674:$ZZ674,1,$E$2+3)&amp;""="",EOMONTH(급여기준월,0),IF(ISNUMBER(INDEX('입력_구리근무자명단'!$A674:$ZZ674,1,$E$2+3)),INDEX('입력_구리근무자명단'!$A674:$ZZ674,1,$E$2+3),IFERROR(DATE(VALUE(LEFT(INDEX('입력_구리근무자명단'!$A674:$ZZ674,1,$E$2+3),4)),VALUE(MID(INDEX('입력_구리근무자명단'!$A674:$ZZ674,1,$E$2+3),6,2)),VALUE(MID(INDEX('입력_구리근무자명단'!$A674:$ZZ674,1,$E$2+3),9,2))),-1))))</f>
        <v/>
      </c>
      <c r="U676">
        <f>IF($R676="","",IF(OR($S676&lt;0,$T676&lt;0),0,MAX(0,MIN($T676,EOMONTH(급여기준월,0))-MAX($S676,급여기준월)+1)))</f>
        <v/>
      </c>
      <c r="V676">
        <f>IF($R676="","",TRIM(INDEX('입력_구리근무자명단'!$A674:$ZZ674,1,$E$2+5)&amp;""))</f>
        <v/>
      </c>
      <c r="W676">
        <f>IF(ISNUMBER(SEARCH("구리독자",$V676)),"구리독자","")</f>
        <v/>
      </c>
      <c r="X676">
        <f>IF($R676="","",$R676&amp;"|"&amp;IF(OR($Q676="인턴",ISNUMBER(SEARCH("수련교육부",$P676))),"인턴",$P676))</f>
        <v/>
      </c>
      <c r="Y676">
        <f>IF($R676="","",IF(COUNTIF(명단표[이름|과],$X676)=1,"명단 일치",IF(AND(COUNTIF(명단표[이름|과],$X676)=0,COUNTIF(명단표[이름],$R676)=1),"명단 일치(이름만, 과 다름)",IF(COUNTIF(명단표[이름],$R676)=0,IF(COUNTIF(기본자료표[이름],$R676)&gt;0,"명단에 없음(기본자료에는 있음)","명단에 없음"),"동명이인 확인"))))</f>
        <v/>
      </c>
      <c r="Z676">
        <f>IF($R676="","",IF($S676&lt;0,"⚠"&amp;INDEX('입력_구리근무자명단'!$A674:$ZZ674,1,$E$2+2),TEXT($S676,"yyyy-mm-dd")))</f>
        <v/>
      </c>
      <c r="AA676">
        <f>IF($R676="","",IF($T676&lt;0,"⚠"&amp;INDEX('입력_구리근무자명단'!$A674:$ZZ674,1,$E$2+3),TEXT($T676,"yyyy-mm-dd")))</f>
        <v/>
      </c>
      <c r="AB676">
        <f>AB675+IF($R676="",0,1)</f>
        <v/>
      </c>
      <c r="AC676">
        <f>IF($R676="","",$AB676)</f>
        <v/>
      </c>
    </row>
    <row r="677">
      <c r="O677">
        <f>675</f>
        <v/>
      </c>
      <c r="P677">
        <f>IF(TRIM('입력_구리근무자명단'!$A675&amp;"")&lt;&gt;"",TRIM('입력_구리근무자명단'!$A675&amp;""),P676)</f>
        <v/>
      </c>
      <c r="Q677">
        <f>'입력_구리근무자명단'!$B675&amp;""</f>
        <v/>
      </c>
      <c r="R677">
        <f>IF($E$2="","",TRIM(INDEX('입력_구리근무자명단'!$A675:$ZZ675,1,$E$2+IF($G$2="확정",1,0))&amp;""))</f>
        <v/>
      </c>
      <c r="S677">
        <f>IF($R677="","",IF(INDEX('입력_구리근무자명단'!$A675:$ZZ675,1,$E$2+2)&amp;""="",급여기준월,IF(ISNUMBER(INDEX('입력_구리근무자명단'!$A675:$ZZ675,1,$E$2+2)),INDEX('입력_구리근무자명단'!$A675:$ZZ675,1,$E$2+2),IFERROR(DATE(VALUE(LEFT(INDEX('입력_구리근무자명단'!$A675:$ZZ675,1,$E$2+2),4)),VALUE(MID(INDEX('입력_구리근무자명단'!$A675:$ZZ675,1,$E$2+2),6,2)),VALUE(MID(INDEX('입력_구리근무자명단'!$A675:$ZZ675,1,$E$2+2),9,2))),-1))))</f>
        <v/>
      </c>
      <c r="T677">
        <f>IF($R677="","",IF(INDEX('입력_구리근무자명단'!$A675:$ZZ675,1,$E$2+3)&amp;""="",EOMONTH(급여기준월,0),IF(ISNUMBER(INDEX('입력_구리근무자명단'!$A675:$ZZ675,1,$E$2+3)),INDEX('입력_구리근무자명단'!$A675:$ZZ675,1,$E$2+3),IFERROR(DATE(VALUE(LEFT(INDEX('입력_구리근무자명단'!$A675:$ZZ675,1,$E$2+3),4)),VALUE(MID(INDEX('입력_구리근무자명단'!$A675:$ZZ675,1,$E$2+3),6,2)),VALUE(MID(INDEX('입력_구리근무자명단'!$A675:$ZZ675,1,$E$2+3),9,2))),-1))))</f>
        <v/>
      </c>
      <c r="U677">
        <f>IF($R677="","",IF(OR($S677&lt;0,$T677&lt;0),0,MAX(0,MIN($T677,EOMONTH(급여기준월,0))-MAX($S677,급여기준월)+1)))</f>
        <v/>
      </c>
      <c r="V677">
        <f>IF($R677="","",TRIM(INDEX('입력_구리근무자명단'!$A675:$ZZ675,1,$E$2+5)&amp;""))</f>
        <v/>
      </c>
      <c r="W677">
        <f>IF(ISNUMBER(SEARCH("구리독자",$V677)),"구리독자","")</f>
        <v/>
      </c>
      <c r="X677">
        <f>IF($R677="","",$R677&amp;"|"&amp;IF(OR($Q677="인턴",ISNUMBER(SEARCH("수련교육부",$P677))),"인턴",$P677))</f>
        <v/>
      </c>
      <c r="Y677">
        <f>IF($R677="","",IF(COUNTIF(명단표[이름|과],$X677)=1,"명단 일치",IF(AND(COUNTIF(명단표[이름|과],$X677)=0,COUNTIF(명단표[이름],$R677)=1),"명단 일치(이름만, 과 다름)",IF(COUNTIF(명단표[이름],$R677)=0,IF(COUNTIF(기본자료표[이름],$R677)&gt;0,"명단에 없음(기본자료에는 있음)","명단에 없음"),"동명이인 확인"))))</f>
        <v/>
      </c>
      <c r="Z677">
        <f>IF($R677="","",IF($S677&lt;0,"⚠"&amp;INDEX('입력_구리근무자명단'!$A675:$ZZ675,1,$E$2+2),TEXT($S677,"yyyy-mm-dd")))</f>
        <v/>
      </c>
      <c r="AA677">
        <f>IF($R677="","",IF($T677&lt;0,"⚠"&amp;INDEX('입력_구리근무자명단'!$A675:$ZZ675,1,$E$2+3),TEXT($T677,"yyyy-mm-dd")))</f>
        <v/>
      </c>
      <c r="AB677">
        <f>AB676+IF($R677="",0,1)</f>
        <v/>
      </c>
      <c r="AC677">
        <f>IF($R677="","",$AB677)</f>
        <v/>
      </c>
    </row>
    <row r="678">
      <c r="O678">
        <f>676</f>
        <v/>
      </c>
      <c r="P678">
        <f>IF(TRIM('입력_구리근무자명단'!$A676&amp;"")&lt;&gt;"",TRIM('입력_구리근무자명단'!$A676&amp;""),P677)</f>
        <v/>
      </c>
      <c r="Q678">
        <f>'입력_구리근무자명단'!$B676&amp;""</f>
        <v/>
      </c>
      <c r="R678">
        <f>IF($E$2="","",TRIM(INDEX('입력_구리근무자명단'!$A676:$ZZ676,1,$E$2+IF($G$2="확정",1,0))&amp;""))</f>
        <v/>
      </c>
      <c r="S678">
        <f>IF($R678="","",IF(INDEX('입력_구리근무자명단'!$A676:$ZZ676,1,$E$2+2)&amp;""="",급여기준월,IF(ISNUMBER(INDEX('입력_구리근무자명단'!$A676:$ZZ676,1,$E$2+2)),INDEX('입력_구리근무자명단'!$A676:$ZZ676,1,$E$2+2),IFERROR(DATE(VALUE(LEFT(INDEX('입력_구리근무자명단'!$A676:$ZZ676,1,$E$2+2),4)),VALUE(MID(INDEX('입력_구리근무자명단'!$A676:$ZZ676,1,$E$2+2),6,2)),VALUE(MID(INDEX('입력_구리근무자명단'!$A676:$ZZ676,1,$E$2+2),9,2))),-1))))</f>
        <v/>
      </c>
      <c r="T678">
        <f>IF($R678="","",IF(INDEX('입력_구리근무자명단'!$A676:$ZZ676,1,$E$2+3)&amp;""="",EOMONTH(급여기준월,0),IF(ISNUMBER(INDEX('입력_구리근무자명단'!$A676:$ZZ676,1,$E$2+3)),INDEX('입력_구리근무자명단'!$A676:$ZZ676,1,$E$2+3),IFERROR(DATE(VALUE(LEFT(INDEX('입력_구리근무자명단'!$A676:$ZZ676,1,$E$2+3),4)),VALUE(MID(INDEX('입력_구리근무자명단'!$A676:$ZZ676,1,$E$2+3),6,2)),VALUE(MID(INDEX('입력_구리근무자명단'!$A676:$ZZ676,1,$E$2+3),9,2))),-1))))</f>
        <v/>
      </c>
      <c r="U678">
        <f>IF($R678="","",IF(OR($S678&lt;0,$T678&lt;0),0,MAX(0,MIN($T678,EOMONTH(급여기준월,0))-MAX($S678,급여기준월)+1)))</f>
        <v/>
      </c>
      <c r="V678">
        <f>IF($R678="","",TRIM(INDEX('입력_구리근무자명단'!$A676:$ZZ676,1,$E$2+5)&amp;""))</f>
        <v/>
      </c>
      <c r="W678">
        <f>IF(ISNUMBER(SEARCH("구리독자",$V678)),"구리독자","")</f>
        <v/>
      </c>
      <c r="X678">
        <f>IF($R678="","",$R678&amp;"|"&amp;IF(OR($Q678="인턴",ISNUMBER(SEARCH("수련교육부",$P678))),"인턴",$P678))</f>
        <v/>
      </c>
      <c r="Y678">
        <f>IF($R678="","",IF(COUNTIF(명단표[이름|과],$X678)=1,"명단 일치",IF(AND(COUNTIF(명단표[이름|과],$X678)=0,COUNTIF(명단표[이름],$R678)=1),"명단 일치(이름만, 과 다름)",IF(COUNTIF(명단표[이름],$R678)=0,IF(COUNTIF(기본자료표[이름],$R678)&gt;0,"명단에 없음(기본자료에는 있음)","명단에 없음"),"동명이인 확인"))))</f>
        <v/>
      </c>
      <c r="Z678">
        <f>IF($R678="","",IF($S678&lt;0,"⚠"&amp;INDEX('입력_구리근무자명단'!$A676:$ZZ676,1,$E$2+2),TEXT($S678,"yyyy-mm-dd")))</f>
        <v/>
      </c>
      <c r="AA678">
        <f>IF($R678="","",IF($T678&lt;0,"⚠"&amp;INDEX('입력_구리근무자명단'!$A676:$ZZ676,1,$E$2+3),TEXT($T678,"yyyy-mm-dd")))</f>
        <v/>
      </c>
      <c r="AB678">
        <f>AB677+IF($R678="",0,1)</f>
        <v/>
      </c>
      <c r="AC678">
        <f>IF($R678="","",$AB678)</f>
        <v/>
      </c>
    </row>
    <row r="679">
      <c r="O679">
        <f>677</f>
        <v/>
      </c>
      <c r="P679">
        <f>IF(TRIM('입력_구리근무자명단'!$A677&amp;"")&lt;&gt;"",TRIM('입력_구리근무자명단'!$A677&amp;""),P678)</f>
        <v/>
      </c>
      <c r="Q679">
        <f>'입력_구리근무자명단'!$B677&amp;""</f>
        <v/>
      </c>
      <c r="R679">
        <f>IF($E$2="","",TRIM(INDEX('입력_구리근무자명단'!$A677:$ZZ677,1,$E$2+IF($G$2="확정",1,0))&amp;""))</f>
        <v/>
      </c>
      <c r="S679">
        <f>IF($R679="","",IF(INDEX('입력_구리근무자명단'!$A677:$ZZ677,1,$E$2+2)&amp;""="",급여기준월,IF(ISNUMBER(INDEX('입력_구리근무자명단'!$A677:$ZZ677,1,$E$2+2)),INDEX('입력_구리근무자명단'!$A677:$ZZ677,1,$E$2+2),IFERROR(DATE(VALUE(LEFT(INDEX('입력_구리근무자명단'!$A677:$ZZ677,1,$E$2+2),4)),VALUE(MID(INDEX('입력_구리근무자명단'!$A677:$ZZ677,1,$E$2+2),6,2)),VALUE(MID(INDEX('입력_구리근무자명단'!$A677:$ZZ677,1,$E$2+2),9,2))),-1))))</f>
        <v/>
      </c>
      <c r="T679">
        <f>IF($R679="","",IF(INDEX('입력_구리근무자명단'!$A677:$ZZ677,1,$E$2+3)&amp;""="",EOMONTH(급여기준월,0),IF(ISNUMBER(INDEX('입력_구리근무자명단'!$A677:$ZZ677,1,$E$2+3)),INDEX('입력_구리근무자명단'!$A677:$ZZ677,1,$E$2+3),IFERROR(DATE(VALUE(LEFT(INDEX('입력_구리근무자명단'!$A677:$ZZ677,1,$E$2+3),4)),VALUE(MID(INDEX('입력_구리근무자명단'!$A677:$ZZ677,1,$E$2+3),6,2)),VALUE(MID(INDEX('입력_구리근무자명단'!$A677:$ZZ677,1,$E$2+3),9,2))),-1))))</f>
        <v/>
      </c>
      <c r="U679">
        <f>IF($R679="","",IF(OR($S679&lt;0,$T679&lt;0),0,MAX(0,MIN($T679,EOMONTH(급여기준월,0))-MAX($S679,급여기준월)+1)))</f>
        <v/>
      </c>
      <c r="V679">
        <f>IF($R679="","",TRIM(INDEX('입력_구리근무자명단'!$A677:$ZZ677,1,$E$2+5)&amp;""))</f>
        <v/>
      </c>
      <c r="W679">
        <f>IF(ISNUMBER(SEARCH("구리독자",$V679)),"구리독자","")</f>
        <v/>
      </c>
      <c r="X679">
        <f>IF($R679="","",$R679&amp;"|"&amp;IF(OR($Q679="인턴",ISNUMBER(SEARCH("수련교육부",$P679))),"인턴",$P679))</f>
        <v/>
      </c>
      <c r="Y679">
        <f>IF($R679="","",IF(COUNTIF(명단표[이름|과],$X679)=1,"명단 일치",IF(AND(COUNTIF(명단표[이름|과],$X679)=0,COUNTIF(명단표[이름],$R679)=1),"명단 일치(이름만, 과 다름)",IF(COUNTIF(명단표[이름],$R679)=0,IF(COUNTIF(기본자료표[이름],$R679)&gt;0,"명단에 없음(기본자료에는 있음)","명단에 없음"),"동명이인 확인"))))</f>
        <v/>
      </c>
      <c r="Z679">
        <f>IF($R679="","",IF($S679&lt;0,"⚠"&amp;INDEX('입력_구리근무자명단'!$A677:$ZZ677,1,$E$2+2),TEXT($S679,"yyyy-mm-dd")))</f>
        <v/>
      </c>
      <c r="AA679">
        <f>IF($R679="","",IF($T679&lt;0,"⚠"&amp;INDEX('입력_구리근무자명단'!$A677:$ZZ677,1,$E$2+3),TEXT($T679,"yyyy-mm-dd")))</f>
        <v/>
      </c>
      <c r="AB679">
        <f>AB678+IF($R679="",0,1)</f>
        <v/>
      </c>
      <c r="AC679">
        <f>IF($R679="","",$AB679)</f>
        <v/>
      </c>
    </row>
    <row r="680">
      <c r="O680">
        <f>678</f>
        <v/>
      </c>
      <c r="P680">
        <f>IF(TRIM('입력_구리근무자명단'!$A678&amp;"")&lt;&gt;"",TRIM('입력_구리근무자명단'!$A678&amp;""),P679)</f>
        <v/>
      </c>
      <c r="Q680">
        <f>'입력_구리근무자명단'!$B678&amp;""</f>
        <v/>
      </c>
      <c r="R680">
        <f>IF($E$2="","",TRIM(INDEX('입력_구리근무자명단'!$A678:$ZZ678,1,$E$2+IF($G$2="확정",1,0))&amp;""))</f>
        <v/>
      </c>
      <c r="S680">
        <f>IF($R680="","",IF(INDEX('입력_구리근무자명단'!$A678:$ZZ678,1,$E$2+2)&amp;""="",급여기준월,IF(ISNUMBER(INDEX('입력_구리근무자명단'!$A678:$ZZ678,1,$E$2+2)),INDEX('입력_구리근무자명단'!$A678:$ZZ678,1,$E$2+2),IFERROR(DATE(VALUE(LEFT(INDEX('입력_구리근무자명단'!$A678:$ZZ678,1,$E$2+2),4)),VALUE(MID(INDEX('입력_구리근무자명단'!$A678:$ZZ678,1,$E$2+2),6,2)),VALUE(MID(INDEX('입력_구리근무자명단'!$A678:$ZZ678,1,$E$2+2),9,2))),-1))))</f>
        <v/>
      </c>
      <c r="T680">
        <f>IF($R680="","",IF(INDEX('입력_구리근무자명단'!$A678:$ZZ678,1,$E$2+3)&amp;""="",EOMONTH(급여기준월,0),IF(ISNUMBER(INDEX('입력_구리근무자명단'!$A678:$ZZ678,1,$E$2+3)),INDEX('입력_구리근무자명단'!$A678:$ZZ678,1,$E$2+3),IFERROR(DATE(VALUE(LEFT(INDEX('입력_구리근무자명단'!$A678:$ZZ678,1,$E$2+3),4)),VALUE(MID(INDEX('입력_구리근무자명단'!$A678:$ZZ678,1,$E$2+3),6,2)),VALUE(MID(INDEX('입력_구리근무자명단'!$A678:$ZZ678,1,$E$2+3),9,2))),-1))))</f>
        <v/>
      </c>
      <c r="U680">
        <f>IF($R680="","",IF(OR($S680&lt;0,$T680&lt;0),0,MAX(0,MIN($T680,EOMONTH(급여기준월,0))-MAX($S680,급여기준월)+1)))</f>
        <v/>
      </c>
      <c r="V680">
        <f>IF($R680="","",TRIM(INDEX('입력_구리근무자명단'!$A678:$ZZ678,1,$E$2+5)&amp;""))</f>
        <v/>
      </c>
      <c r="W680">
        <f>IF(ISNUMBER(SEARCH("구리독자",$V680)),"구리독자","")</f>
        <v/>
      </c>
      <c r="X680">
        <f>IF($R680="","",$R680&amp;"|"&amp;IF(OR($Q680="인턴",ISNUMBER(SEARCH("수련교육부",$P680))),"인턴",$P680))</f>
        <v/>
      </c>
      <c r="Y680">
        <f>IF($R680="","",IF(COUNTIF(명단표[이름|과],$X680)=1,"명단 일치",IF(AND(COUNTIF(명단표[이름|과],$X680)=0,COUNTIF(명단표[이름],$R680)=1),"명단 일치(이름만, 과 다름)",IF(COUNTIF(명단표[이름],$R680)=0,IF(COUNTIF(기본자료표[이름],$R680)&gt;0,"명단에 없음(기본자료에는 있음)","명단에 없음"),"동명이인 확인"))))</f>
        <v/>
      </c>
      <c r="Z680">
        <f>IF($R680="","",IF($S680&lt;0,"⚠"&amp;INDEX('입력_구리근무자명단'!$A678:$ZZ678,1,$E$2+2),TEXT($S680,"yyyy-mm-dd")))</f>
        <v/>
      </c>
      <c r="AA680">
        <f>IF($R680="","",IF($T680&lt;0,"⚠"&amp;INDEX('입력_구리근무자명단'!$A678:$ZZ678,1,$E$2+3),TEXT($T680,"yyyy-mm-dd")))</f>
        <v/>
      </c>
      <c r="AB680">
        <f>AB679+IF($R680="",0,1)</f>
        <v/>
      </c>
      <c r="AC680">
        <f>IF($R680="","",$AB680)</f>
        <v/>
      </c>
    </row>
    <row r="681">
      <c r="O681">
        <f>679</f>
        <v/>
      </c>
      <c r="P681">
        <f>IF(TRIM('입력_구리근무자명단'!$A679&amp;"")&lt;&gt;"",TRIM('입력_구리근무자명단'!$A679&amp;""),P680)</f>
        <v/>
      </c>
      <c r="Q681">
        <f>'입력_구리근무자명단'!$B679&amp;""</f>
        <v/>
      </c>
      <c r="R681">
        <f>IF($E$2="","",TRIM(INDEX('입력_구리근무자명단'!$A679:$ZZ679,1,$E$2+IF($G$2="확정",1,0))&amp;""))</f>
        <v/>
      </c>
      <c r="S681">
        <f>IF($R681="","",IF(INDEX('입력_구리근무자명단'!$A679:$ZZ679,1,$E$2+2)&amp;""="",급여기준월,IF(ISNUMBER(INDEX('입력_구리근무자명단'!$A679:$ZZ679,1,$E$2+2)),INDEX('입력_구리근무자명단'!$A679:$ZZ679,1,$E$2+2),IFERROR(DATE(VALUE(LEFT(INDEX('입력_구리근무자명단'!$A679:$ZZ679,1,$E$2+2),4)),VALUE(MID(INDEX('입력_구리근무자명단'!$A679:$ZZ679,1,$E$2+2),6,2)),VALUE(MID(INDEX('입력_구리근무자명단'!$A679:$ZZ679,1,$E$2+2),9,2))),-1))))</f>
        <v/>
      </c>
      <c r="T681">
        <f>IF($R681="","",IF(INDEX('입력_구리근무자명단'!$A679:$ZZ679,1,$E$2+3)&amp;""="",EOMONTH(급여기준월,0),IF(ISNUMBER(INDEX('입력_구리근무자명단'!$A679:$ZZ679,1,$E$2+3)),INDEX('입력_구리근무자명단'!$A679:$ZZ679,1,$E$2+3),IFERROR(DATE(VALUE(LEFT(INDEX('입력_구리근무자명단'!$A679:$ZZ679,1,$E$2+3),4)),VALUE(MID(INDEX('입력_구리근무자명단'!$A679:$ZZ679,1,$E$2+3),6,2)),VALUE(MID(INDEX('입력_구리근무자명단'!$A679:$ZZ679,1,$E$2+3),9,2))),-1))))</f>
        <v/>
      </c>
      <c r="U681">
        <f>IF($R681="","",IF(OR($S681&lt;0,$T681&lt;0),0,MAX(0,MIN($T681,EOMONTH(급여기준월,0))-MAX($S681,급여기준월)+1)))</f>
        <v/>
      </c>
      <c r="V681">
        <f>IF($R681="","",TRIM(INDEX('입력_구리근무자명단'!$A679:$ZZ679,1,$E$2+5)&amp;""))</f>
        <v/>
      </c>
      <c r="W681">
        <f>IF(ISNUMBER(SEARCH("구리독자",$V681)),"구리독자","")</f>
        <v/>
      </c>
      <c r="X681">
        <f>IF($R681="","",$R681&amp;"|"&amp;IF(OR($Q681="인턴",ISNUMBER(SEARCH("수련교육부",$P681))),"인턴",$P681))</f>
        <v/>
      </c>
      <c r="Y681">
        <f>IF($R681="","",IF(COUNTIF(명단표[이름|과],$X681)=1,"명단 일치",IF(AND(COUNTIF(명단표[이름|과],$X681)=0,COUNTIF(명단표[이름],$R681)=1),"명단 일치(이름만, 과 다름)",IF(COUNTIF(명단표[이름],$R681)=0,IF(COUNTIF(기본자료표[이름],$R681)&gt;0,"명단에 없음(기본자료에는 있음)","명단에 없음"),"동명이인 확인"))))</f>
        <v/>
      </c>
      <c r="Z681">
        <f>IF($R681="","",IF($S681&lt;0,"⚠"&amp;INDEX('입력_구리근무자명단'!$A679:$ZZ679,1,$E$2+2),TEXT($S681,"yyyy-mm-dd")))</f>
        <v/>
      </c>
      <c r="AA681">
        <f>IF($R681="","",IF($T681&lt;0,"⚠"&amp;INDEX('입력_구리근무자명단'!$A679:$ZZ679,1,$E$2+3),TEXT($T681,"yyyy-mm-dd")))</f>
        <v/>
      </c>
      <c r="AB681">
        <f>AB680+IF($R681="",0,1)</f>
        <v/>
      </c>
      <c r="AC681">
        <f>IF($R681="","",$AB681)</f>
        <v/>
      </c>
    </row>
    <row r="682">
      <c r="O682">
        <f>680</f>
        <v/>
      </c>
      <c r="P682">
        <f>IF(TRIM('입력_구리근무자명단'!$A680&amp;"")&lt;&gt;"",TRIM('입력_구리근무자명단'!$A680&amp;""),P681)</f>
        <v/>
      </c>
      <c r="Q682">
        <f>'입력_구리근무자명단'!$B680&amp;""</f>
        <v/>
      </c>
      <c r="R682">
        <f>IF($E$2="","",TRIM(INDEX('입력_구리근무자명단'!$A680:$ZZ680,1,$E$2+IF($G$2="확정",1,0))&amp;""))</f>
        <v/>
      </c>
      <c r="S682">
        <f>IF($R682="","",IF(INDEX('입력_구리근무자명단'!$A680:$ZZ680,1,$E$2+2)&amp;""="",급여기준월,IF(ISNUMBER(INDEX('입력_구리근무자명단'!$A680:$ZZ680,1,$E$2+2)),INDEX('입력_구리근무자명단'!$A680:$ZZ680,1,$E$2+2),IFERROR(DATE(VALUE(LEFT(INDEX('입력_구리근무자명단'!$A680:$ZZ680,1,$E$2+2),4)),VALUE(MID(INDEX('입력_구리근무자명단'!$A680:$ZZ680,1,$E$2+2),6,2)),VALUE(MID(INDEX('입력_구리근무자명단'!$A680:$ZZ680,1,$E$2+2),9,2))),-1))))</f>
        <v/>
      </c>
      <c r="T682">
        <f>IF($R682="","",IF(INDEX('입력_구리근무자명단'!$A680:$ZZ680,1,$E$2+3)&amp;""="",EOMONTH(급여기준월,0),IF(ISNUMBER(INDEX('입력_구리근무자명단'!$A680:$ZZ680,1,$E$2+3)),INDEX('입력_구리근무자명단'!$A680:$ZZ680,1,$E$2+3),IFERROR(DATE(VALUE(LEFT(INDEX('입력_구리근무자명단'!$A680:$ZZ680,1,$E$2+3),4)),VALUE(MID(INDEX('입력_구리근무자명단'!$A680:$ZZ680,1,$E$2+3),6,2)),VALUE(MID(INDEX('입력_구리근무자명단'!$A680:$ZZ680,1,$E$2+3),9,2))),-1))))</f>
        <v/>
      </c>
      <c r="U682">
        <f>IF($R682="","",IF(OR($S682&lt;0,$T682&lt;0),0,MAX(0,MIN($T682,EOMONTH(급여기준월,0))-MAX($S682,급여기준월)+1)))</f>
        <v/>
      </c>
      <c r="V682">
        <f>IF($R682="","",TRIM(INDEX('입력_구리근무자명단'!$A680:$ZZ680,1,$E$2+5)&amp;""))</f>
        <v/>
      </c>
      <c r="W682">
        <f>IF(ISNUMBER(SEARCH("구리독자",$V682)),"구리독자","")</f>
        <v/>
      </c>
      <c r="X682">
        <f>IF($R682="","",$R682&amp;"|"&amp;IF(OR($Q682="인턴",ISNUMBER(SEARCH("수련교육부",$P682))),"인턴",$P682))</f>
        <v/>
      </c>
      <c r="Y682">
        <f>IF($R682="","",IF(COUNTIF(명단표[이름|과],$X682)=1,"명단 일치",IF(AND(COUNTIF(명단표[이름|과],$X682)=0,COUNTIF(명단표[이름],$R682)=1),"명단 일치(이름만, 과 다름)",IF(COUNTIF(명단표[이름],$R682)=0,IF(COUNTIF(기본자료표[이름],$R682)&gt;0,"명단에 없음(기본자료에는 있음)","명단에 없음"),"동명이인 확인"))))</f>
        <v/>
      </c>
      <c r="Z682">
        <f>IF($R682="","",IF($S682&lt;0,"⚠"&amp;INDEX('입력_구리근무자명단'!$A680:$ZZ680,1,$E$2+2),TEXT($S682,"yyyy-mm-dd")))</f>
        <v/>
      </c>
      <c r="AA682">
        <f>IF($R682="","",IF($T682&lt;0,"⚠"&amp;INDEX('입력_구리근무자명단'!$A680:$ZZ680,1,$E$2+3),TEXT($T682,"yyyy-mm-dd")))</f>
        <v/>
      </c>
      <c r="AB682">
        <f>AB681+IF($R682="",0,1)</f>
        <v/>
      </c>
      <c r="AC682">
        <f>IF($R682="","",$AB682)</f>
        <v/>
      </c>
    </row>
    <row r="683">
      <c r="O683">
        <f>681</f>
        <v/>
      </c>
      <c r="P683">
        <f>IF(TRIM('입력_구리근무자명단'!$A681&amp;"")&lt;&gt;"",TRIM('입력_구리근무자명단'!$A681&amp;""),P682)</f>
        <v/>
      </c>
      <c r="Q683">
        <f>'입력_구리근무자명단'!$B681&amp;""</f>
        <v/>
      </c>
      <c r="R683">
        <f>IF($E$2="","",TRIM(INDEX('입력_구리근무자명단'!$A681:$ZZ681,1,$E$2+IF($G$2="확정",1,0))&amp;""))</f>
        <v/>
      </c>
      <c r="S683">
        <f>IF($R683="","",IF(INDEX('입력_구리근무자명단'!$A681:$ZZ681,1,$E$2+2)&amp;""="",급여기준월,IF(ISNUMBER(INDEX('입력_구리근무자명단'!$A681:$ZZ681,1,$E$2+2)),INDEX('입력_구리근무자명단'!$A681:$ZZ681,1,$E$2+2),IFERROR(DATE(VALUE(LEFT(INDEX('입력_구리근무자명단'!$A681:$ZZ681,1,$E$2+2),4)),VALUE(MID(INDEX('입력_구리근무자명단'!$A681:$ZZ681,1,$E$2+2),6,2)),VALUE(MID(INDEX('입력_구리근무자명단'!$A681:$ZZ681,1,$E$2+2),9,2))),-1))))</f>
        <v/>
      </c>
      <c r="T683">
        <f>IF($R683="","",IF(INDEX('입력_구리근무자명단'!$A681:$ZZ681,1,$E$2+3)&amp;""="",EOMONTH(급여기준월,0),IF(ISNUMBER(INDEX('입력_구리근무자명단'!$A681:$ZZ681,1,$E$2+3)),INDEX('입력_구리근무자명단'!$A681:$ZZ681,1,$E$2+3),IFERROR(DATE(VALUE(LEFT(INDEX('입력_구리근무자명단'!$A681:$ZZ681,1,$E$2+3),4)),VALUE(MID(INDEX('입력_구리근무자명단'!$A681:$ZZ681,1,$E$2+3),6,2)),VALUE(MID(INDEX('입력_구리근무자명단'!$A681:$ZZ681,1,$E$2+3),9,2))),-1))))</f>
        <v/>
      </c>
      <c r="U683">
        <f>IF($R683="","",IF(OR($S683&lt;0,$T683&lt;0),0,MAX(0,MIN($T683,EOMONTH(급여기준월,0))-MAX($S683,급여기준월)+1)))</f>
        <v/>
      </c>
      <c r="V683">
        <f>IF($R683="","",TRIM(INDEX('입력_구리근무자명단'!$A681:$ZZ681,1,$E$2+5)&amp;""))</f>
        <v/>
      </c>
      <c r="W683">
        <f>IF(ISNUMBER(SEARCH("구리독자",$V683)),"구리독자","")</f>
        <v/>
      </c>
      <c r="X683">
        <f>IF($R683="","",$R683&amp;"|"&amp;IF(OR($Q683="인턴",ISNUMBER(SEARCH("수련교육부",$P683))),"인턴",$P683))</f>
        <v/>
      </c>
      <c r="Y683">
        <f>IF($R683="","",IF(COUNTIF(명단표[이름|과],$X683)=1,"명단 일치",IF(AND(COUNTIF(명단표[이름|과],$X683)=0,COUNTIF(명단표[이름],$R683)=1),"명단 일치(이름만, 과 다름)",IF(COUNTIF(명단표[이름],$R683)=0,IF(COUNTIF(기본자료표[이름],$R683)&gt;0,"명단에 없음(기본자료에는 있음)","명단에 없음"),"동명이인 확인"))))</f>
        <v/>
      </c>
      <c r="Z683">
        <f>IF($R683="","",IF($S683&lt;0,"⚠"&amp;INDEX('입력_구리근무자명단'!$A681:$ZZ681,1,$E$2+2),TEXT($S683,"yyyy-mm-dd")))</f>
        <v/>
      </c>
      <c r="AA683">
        <f>IF($R683="","",IF($T683&lt;0,"⚠"&amp;INDEX('입력_구리근무자명단'!$A681:$ZZ681,1,$E$2+3),TEXT($T683,"yyyy-mm-dd")))</f>
        <v/>
      </c>
      <c r="AB683">
        <f>AB682+IF($R683="",0,1)</f>
        <v/>
      </c>
      <c r="AC683">
        <f>IF($R683="","",$AB683)</f>
        <v/>
      </c>
    </row>
    <row r="684">
      <c r="O684">
        <f>682</f>
        <v/>
      </c>
      <c r="P684">
        <f>IF(TRIM('입력_구리근무자명단'!$A682&amp;"")&lt;&gt;"",TRIM('입력_구리근무자명단'!$A682&amp;""),P683)</f>
        <v/>
      </c>
      <c r="Q684">
        <f>'입력_구리근무자명단'!$B682&amp;""</f>
        <v/>
      </c>
      <c r="R684">
        <f>IF($E$2="","",TRIM(INDEX('입력_구리근무자명단'!$A682:$ZZ682,1,$E$2+IF($G$2="확정",1,0))&amp;""))</f>
        <v/>
      </c>
      <c r="S684">
        <f>IF($R684="","",IF(INDEX('입력_구리근무자명단'!$A682:$ZZ682,1,$E$2+2)&amp;""="",급여기준월,IF(ISNUMBER(INDEX('입력_구리근무자명단'!$A682:$ZZ682,1,$E$2+2)),INDEX('입력_구리근무자명단'!$A682:$ZZ682,1,$E$2+2),IFERROR(DATE(VALUE(LEFT(INDEX('입력_구리근무자명단'!$A682:$ZZ682,1,$E$2+2),4)),VALUE(MID(INDEX('입력_구리근무자명단'!$A682:$ZZ682,1,$E$2+2),6,2)),VALUE(MID(INDEX('입력_구리근무자명단'!$A682:$ZZ682,1,$E$2+2),9,2))),-1))))</f>
        <v/>
      </c>
      <c r="T684">
        <f>IF($R684="","",IF(INDEX('입력_구리근무자명단'!$A682:$ZZ682,1,$E$2+3)&amp;""="",EOMONTH(급여기준월,0),IF(ISNUMBER(INDEX('입력_구리근무자명단'!$A682:$ZZ682,1,$E$2+3)),INDEX('입력_구리근무자명단'!$A682:$ZZ682,1,$E$2+3),IFERROR(DATE(VALUE(LEFT(INDEX('입력_구리근무자명단'!$A682:$ZZ682,1,$E$2+3),4)),VALUE(MID(INDEX('입력_구리근무자명단'!$A682:$ZZ682,1,$E$2+3),6,2)),VALUE(MID(INDEX('입력_구리근무자명단'!$A682:$ZZ682,1,$E$2+3),9,2))),-1))))</f>
        <v/>
      </c>
      <c r="U684">
        <f>IF($R684="","",IF(OR($S684&lt;0,$T684&lt;0),0,MAX(0,MIN($T684,EOMONTH(급여기준월,0))-MAX($S684,급여기준월)+1)))</f>
        <v/>
      </c>
      <c r="V684">
        <f>IF($R684="","",TRIM(INDEX('입력_구리근무자명단'!$A682:$ZZ682,1,$E$2+5)&amp;""))</f>
        <v/>
      </c>
      <c r="W684">
        <f>IF(ISNUMBER(SEARCH("구리독자",$V684)),"구리독자","")</f>
        <v/>
      </c>
      <c r="X684">
        <f>IF($R684="","",$R684&amp;"|"&amp;IF(OR($Q684="인턴",ISNUMBER(SEARCH("수련교육부",$P684))),"인턴",$P684))</f>
        <v/>
      </c>
      <c r="Y684">
        <f>IF($R684="","",IF(COUNTIF(명단표[이름|과],$X684)=1,"명단 일치",IF(AND(COUNTIF(명단표[이름|과],$X684)=0,COUNTIF(명단표[이름],$R684)=1),"명단 일치(이름만, 과 다름)",IF(COUNTIF(명단표[이름],$R684)=0,IF(COUNTIF(기본자료표[이름],$R684)&gt;0,"명단에 없음(기본자료에는 있음)","명단에 없음"),"동명이인 확인"))))</f>
        <v/>
      </c>
      <c r="Z684">
        <f>IF($R684="","",IF($S684&lt;0,"⚠"&amp;INDEX('입력_구리근무자명단'!$A682:$ZZ682,1,$E$2+2),TEXT($S684,"yyyy-mm-dd")))</f>
        <v/>
      </c>
      <c r="AA684">
        <f>IF($R684="","",IF($T684&lt;0,"⚠"&amp;INDEX('입력_구리근무자명단'!$A682:$ZZ682,1,$E$2+3),TEXT($T684,"yyyy-mm-dd")))</f>
        <v/>
      </c>
      <c r="AB684">
        <f>AB683+IF($R684="",0,1)</f>
        <v/>
      </c>
      <c r="AC684">
        <f>IF($R684="","",$AB684)</f>
        <v/>
      </c>
    </row>
    <row r="685">
      <c r="O685">
        <f>683</f>
        <v/>
      </c>
      <c r="P685">
        <f>IF(TRIM('입력_구리근무자명단'!$A683&amp;"")&lt;&gt;"",TRIM('입력_구리근무자명단'!$A683&amp;""),P684)</f>
        <v/>
      </c>
      <c r="Q685">
        <f>'입력_구리근무자명단'!$B683&amp;""</f>
        <v/>
      </c>
      <c r="R685">
        <f>IF($E$2="","",TRIM(INDEX('입력_구리근무자명단'!$A683:$ZZ683,1,$E$2+IF($G$2="확정",1,0))&amp;""))</f>
        <v/>
      </c>
      <c r="S685">
        <f>IF($R685="","",IF(INDEX('입력_구리근무자명단'!$A683:$ZZ683,1,$E$2+2)&amp;""="",급여기준월,IF(ISNUMBER(INDEX('입력_구리근무자명단'!$A683:$ZZ683,1,$E$2+2)),INDEX('입력_구리근무자명단'!$A683:$ZZ683,1,$E$2+2),IFERROR(DATE(VALUE(LEFT(INDEX('입력_구리근무자명단'!$A683:$ZZ683,1,$E$2+2),4)),VALUE(MID(INDEX('입력_구리근무자명단'!$A683:$ZZ683,1,$E$2+2),6,2)),VALUE(MID(INDEX('입력_구리근무자명단'!$A683:$ZZ683,1,$E$2+2),9,2))),-1))))</f>
        <v/>
      </c>
      <c r="T685">
        <f>IF($R685="","",IF(INDEX('입력_구리근무자명단'!$A683:$ZZ683,1,$E$2+3)&amp;""="",EOMONTH(급여기준월,0),IF(ISNUMBER(INDEX('입력_구리근무자명단'!$A683:$ZZ683,1,$E$2+3)),INDEX('입력_구리근무자명단'!$A683:$ZZ683,1,$E$2+3),IFERROR(DATE(VALUE(LEFT(INDEX('입력_구리근무자명단'!$A683:$ZZ683,1,$E$2+3),4)),VALUE(MID(INDEX('입력_구리근무자명단'!$A683:$ZZ683,1,$E$2+3),6,2)),VALUE(MID(INDEX('입력_구리근무자명단'!$A683:$ZZ683,1,$E$2+3),9,2))),-1))))</f>
        <v/>
      </c>
      <c r="U685">
        <f>IF($R685="","",IF(OR($S685&lt;0,$T685&lt;0),0,MAX(0,MIN($T685,EOMONTH(급여기준월,0))-MAX($S685,급여기준월)+1)))</f>
        <v/>
      </c>
      <c r="V685">
        <f>IF($R685="","",TRIM(INDEX('입력_구리근무자명단'!$A683:$ZZ683,1,$E$2+5)&amp;""))</f>
        <v/>
      </c>
      <c r="W685">
        <f>IF(ISNUMBER(SEARCH("구리독자",$V685)),"구리독자","")</f>
        <v/>
      </c>
      <c r="X685">
        <f>IF($R685="","",$R685&amp;"|"&amp;IF(OR($Q685="인턴",ISNUMBER(SEARCH("수련교육부",$P685))),"인턴",$P685))</f>
        <v/>
      </c>
      <c r="Y685">
        <f>IF($R685="","",IF(COUNTIF(명단표[이름|과],$X685)=1,"명단 일치",IF(AND(COUNTIF(명단표[이름|과],$X685)=0,COUNTIF(명단표[이름],$R685)=1),"명단 일치(이름만, 과 다름)",IF(COUNTIF(명단표[이름],$R685)=0,IF(COUNTIF(기본자료표[이름],$R685)&gt;0,"명단에 없음(기본자료에는 있음)","명단에 없음"),"동명이인 확인"))))</f>
        <v/>
      </c>
      <c r="Z685">
        <f>IF($R685="","",IF($S685&lt;0,"⚠"&amp;INDEX('입력_구리근무자명단'!$A683:$ZZ683,1,$E$2+2),TEXT($S685,"yyyy-mm-dd")))</f>
        <v/>
      </c>
      <c r="AA685">
        <f>IF($R685="","",IF($T685&lt;0,"⚠"&amp;INDEX('입력_구리근무자명단'!$A683:$ZZ683,1,$E$2+3),TEXT($T685,"yyyy-mm-dd")))</f>
        <v/>
      </c>
      <c r="AB685">
        <f>AB684+IF($R685="",0,1)</f>
        <v/>
      </c>
      <c r="AC685">
        <f>IF($R685="","",$AB685)</f>
        <v/>
      </c>
    </row>
    <row r="686">
      <c r="O686">
        <f>684</f>
        <v/>
      </c>
      <c r="P686">
        <f>IF(TRIM('입력_구리근무자명단'!$A684&amp;"")&lt;&gt;"",TRIM('입력_구리근무자명단'!$A684&amp;""),P685)</f>
        <v/>
      </c>
      <c r="Q686">
        <f>'입력_구리근무자명단'!$B684&amp;""</f>
        <v/>
      </c>
      <c r="R686">
        <f>IF($E$2="","",TRIM(INDEX('입력_구리근무자명단'!$A684:$ZZ684,1,$E$2+IF($G$2="확정",1,0))&amp;""))</f>
        <v/>
      </c>
      <c r="S686">
        <f>IF($R686="","",IF(INDEX('입력_구리근무자명단'!$A684:$ZZ684,1,$E$2+2)&amp;""="",급여기준월,IF(ISNUMBER(INDEX('입력_구리근무자명단'!$A684:$ZZ684,1,$E$2+2)),INDEX('입력_구리근무자명단'!$A684:$ZZ684,1,$E$2+2),IFERROR(DATE(VALUE(LEFT(INDEX('입력_구리근무자명단'!$A684:$ZZ684,1,$E$2+2),4)),VALUE(MID(INDEX('입력_구리근무자명단'!$A684:$ZZ684,1,$E$2+2),6,2)),VALUE(MID(INDEX('입력_구리근무자명단'!$A684:$ZZ684,1,$E$2+2),9,2))),-1))))</f>
        <v/>
      </c>
      <c r="T686">
        <f>IF($R686="","",IF(INDEX('입력_구리근무자명단'!$A684:$ZZ684,1,$E$2+3)&amp;""="",EOMONTH(급여기준월,0),IF(ISNUMBER(INDEX('입력_구리근무자명단'!$A684:$ZZ684,1,$E$2+3)),INDEX('입력_구리근무자명단'!$A684:$ZZ684,1,$E$2+3),IFERROR(DATE(VALUE(LEFT(INDEX('입력_구리근무자명단'!$A684:$ZZ684,1,$E$2+3),4)),VALUE(MID(INDEX('입력_구리근무자명단'!$A684:$ZZ684,1,$E$2+3),6,2)),VALUE(MID(INDEX('입력_구리근무자명단'!$A684:$ZZ684,1,$E$2+3),9,2))),-1))))</f>
        <v/>
      </c>
      <c r="U686">
        <f>IF($R686="","",IF(OR($S686&lt;0,$T686&lt;0),0,MAX(0,MIN($T686,EOMONTH(급여기준월,0))-MAX($S686,급여기준월)+1)))</f>
        <v/>
      </c>
      <c r="V686">
        <f>IF($R686="","",TRIM(INDEX('입력_구리근무자명단'!$A684:$ZZ684,1,$E$2+5)&amp;""))</f>
        <v/>
      </c>
      <c r="W686">
        <f>IF(ISNUMBER(SEARCH("구리독자",$V686)),"구리독자","")</f>
        <v/>
      </c>
      <c r="X686">
        <f>IF($R686="","",$R686&amp;"|"&amp;IF(OR($Q686="인턴",ISNUMBER(SEARCH("수련교육부",$P686))),"인턴",$P686))</f>
        <v/>
      </c>
      <c r="Y686">
        <f>IF($R686="","",IF(COUNTIF(명단표[이름|과],$X686)=1,"명단 일치",IF(AND(COUNTIF(명단표[이름|과],$X686)=0,COUNTIF(명단표[이름],$R686)=1),"명단 일치(이름만, 과 다름)",IF(COUNTIF(명단표[이름],$R686)=0,IF(COUNTIF(기본자료표[이름],$R686)&gt;0,"명단에 없음(기본자료에는 있음)","명단에 없음"),"동명이인 확인"))))</f>
        <v/>
      </c>
      <c r="Z686">
        <f>IF($R686="","",IF($S686&lt;0,"⚠"&amp;INDEX('입력_구리근무자명단'!$A684:$ZZ684,1,$E$2+2),TEXT($S686,"yyyy-mm-dd")))</f>
        <v/>
      </c>
      <c r="AA686">
        <f>IF($R686="","",IF($T686&lt;0,"⚠"&amp;INDEX('입력_구리근무자명단'!$A684:$ZZ684,1,$E$2+3),TEXT($T686,"yyyy-mm-dd")))</f>
        <v/>
      </c>
      <c r="AB686">
        <f>AB685+IF($R686="",0,1)</f>
        <v/>
      </c>
      <c r="AC686">
        <f>IF($R686="","",$AB686)</f>
        <v/>
      </c>
    </row>
    <row r="687">
      <c r="O687">
        <f>685</f>
        <v/>
      </c>
      <c r="P687">
        <f>IF(TRIM('입력_구리근무자명단'!$A685&amp;"")&lt;&gt;"",TRIM('입력_구리근무자명단'!$A685&amp;""),P686)</f>
        <v/>
      </c>
      <c r="Q687">
        <f>'입력_구리근무자명단'!$B685&amp;""</f>
        <v/>
      </c>
      <c r="R687">
        <f>IF($E$2="","",TRIM(INDEX('입력_구리근무자명단'!$A685:$ZZ685,1,$E$2+IF($G$2="확정",1,0))&amp;""))</f>
        <v/>
      </c>
      <c r="S687">
        <f>IF($R687="","",IF(INDEX('입력_구리근무자명단'!$A685:$ZZ685,1,$E$2+2)&amp;""="",급여기준월,IF(ISNUMBER(INDEX('입력_구리근무자명단'!$A685:$ZZ685,1,$E$2+2)),INDEX('입력_구리근무자명단'!$A685:$ZZ685,1,$E$2+2),IFERROR(DATE(VALUE(LEFT(INDEX('입력_구리근무자명단'!$A685:$ZZ685,1,$E$2+2),4)),VALUE(MID(INDEX('입력_구리근무자명단'!$A685:$ZZ685,1,$E$2+2),6,2)),VALUE(MID(INDEX('입력_구리근무자명단'!$A685:$ZZ685,1,$E$2+2),9,2))),-1))))</f>
        <v/>
      </c>
      <c r="T687">
        <f>IF($R687="","",IF(INDEX('입력_구리근무자명단'!$A685:$ZZ685,1,$E$2+3)&amp;""="",EOMONTH(급여기준월,0),IF(ISNUMBER(INDEX('입력_구리근무자명단'!$A685:$ZZ685,1,$E$2+3)),INDEX('입력_구리근무자명단'!$A685:$ZZ685,1,$E$2+3),IFERROR(DATE(VALUE(LEFT(INDEX('입력_구리근무자명단'!$A685:$ZZ685,1,$E$2+3),4)),VALUE(MID(INDEX('입력_구리근무자명단'!$A685:$ZZ685,1,$E$2+3),6,2)),VALUE(MID(INDEX('입력_구리근무자명단'!$A685:$ZZ685,1,$E$2+3),9,2))),-1))))</f>
        <v/>
      </c>
      <c r="U687">
        <f>IF($R687="","",IF(OR($S687&lt;0,$T687&lt;0),0,MAX(0,MIN($T687,EOMONTH(급여기준월,0))-MAX($S687,급여기준월)+1)))</f>
        <v/>
      </c>
      <c r="V687">
        <f>IF($R687="","",TRIM(INDEX('입력_구리근무자명단'!$A685:$ZZ685,1,$E$2+5)&amp;""))</f>
        <v/>
      </c>
      <c r="W687">
        <f>IF(ISNUMBER(SEARCH("구리독자",$V687)),"구리독자","")</f>
        <v/>
      </c>
      <c r="X687">
        <f>IF($R687="","",$R687&amp;"|"&amp;IF(OR($Q687="인턴",ISNUMBER(SEARCH("수련교육부",$P687))),"인턴",$P687))</f>
        <v/>
      </c>
      <c r="Y687">
        <f>IF($R687="","",IF(COUNTIF(명단표[이름|과],$X687)=1,"명단 일치",IF(AND(COUNTIF(명단표[이름|과],$X687)=0,COUNTIF(명단표[이름],$R687)=1),"명단 일치(이름만, 과 다름)",IF(COUNTIF(명단표[이름],$R687)=0,IF(COUNTIF(기본자료표[이름],$R687)&gt;0,"명단에 없음(기본자료에는 있음)","명단에 없음"),"동명이인 확인"))))</f>
        <v/>
      </c>
      <c r="Z687">
        <f>IF($R687="","",IF($S687&lt;0,"⚠"&amp;INDEX('입력_구리근무자명단'!$A685:$ZZ685,1,$E$2+2),TEXT($S687,"yyyy-mm-dd")))</f>
        <v/>
      </c>
      <c r="AA687">
        <f>IF($R687="","",IF($T687&lt;0,"⚠"&amp;INDEX('입력_구리근무자명단'!$A685:$ZZ685,1,$E$2+3),TEXT($T687,"yyyy-mm-dd")))</f>
        <v/>
      </c>
      <c r="AB687">
        <f>AB686+IF($R687="",0,1)</f>
        <v/>
      </c>
      <c r="AC687">
        <f>IF($R687="","",$AB687)</f>
        <v/>
      </c>
    </row>
    <row r="688">
      <c r="O688">
        <f>686</f>
        <v/>
      </c>
      <c r="P688">
        <f>IF(TRIM('입력_구리근무자명단'!$A686&amp;"")&lt;&gt;"",TRIM('입력_구리근무자명단'!$A686&amp;""),P687)</f>
        <v/>
      </c>
      <c r="Q688">
        <f>'입력_구리근무자명단'!$B686&amp;""</f>
        <v/>
      </c>
      <c r="R688">
        <f>IF($E$2="","",TRIM(INDEX('입력_구리근무자명단'!$A686:$ZZ686,1,$E$2+IF($G$2="확정",1,0))&amp;""))</f>
        <v/>
      </c>
      <c r="S688">
        <f>IF($R688="","",IF(INDEX('입력_구리근무자명단'!$A686:$ZZ686,1,$E$2+2)&amp;""="",급여기준월,IF(ISNUMBER(INDEX('입력_구리근무자명단'!$A686:$ZZ686,1,$E$2+2)),INDEX('입력_구리근무자명단'!$A686:$ZZ686,1,$E$2+2),IFERROR(DATE(VALUE(LEFT(INDEX('입력_구리근무자명단'!$A686:$ZZ686,1,$E$2+2),4)),VALUE(MID(INDEX('입력_구리근무자명단'!$A686:$ZZ686,1,$E$2+2),6,2)),VALUE(MID(INDEX('입력_구리근무자명단'!$A686:$ZZ686,1,$E$2+2),9,2))),-1))))</f>
        <v/>
      </c>
      <c r="T688">
        <f>IF($R688="","",IF(INDEX('입력_구리근무자명단'!$A686:$ZZ686,1,$E$2+3)&amp;""="",EOMONTH(급여기준월,0),IF(ISNUMBER(INDEX('입력_구리근무자명단'!$A686:$ZZ686,1,$E$2+3)),INDEX('입력_구리근무자명단'!$A686:$ZZ686,1,$E$2+3),IFERROR(DATE(VALUE(LEFT(INDEX('입력_구리근무자명단'!$A686:$ZZ686,1,$E$2+3),4)),VALUE(MID(INDEX('입력_구리근무자명단'!$A686:$ZZ686,1,$E$2+3),6,2)),VALUE(MID(INDEX('입력_구리근무자명단'!$A686:$ZZ686,1,$E$2+3),9,2))),-1))))</f>
        <v/>
      </c>
      <c r="U688">
        <f>IF($R688="","",IF(OR($S688&lt;0,$T688&lt;0),0,MAX(0,MIN($T688,EOMONTH(급여기준월,0))-MAX($S688,급여기준월)+1)))</f>
        <v/>
      </c>
      <c r="V688">
        <f>IF($R688="","",TRIM(INDEX('입력_구리근무자명단'!$A686:$ZZ686,1,$E$2+5)&amp;""))</f>
        <v/>
      </c>
      <c r="W688">
        <f>IF(ISNUMBER(SEARCH("구리독자",$V688)),"구리독자","")</f>
        <v/>
      </c>
      <c r="X688">
        <f>IF($R688="","",$R688&amp;"|"&amp;IF(OR($Q688="인턴",ISNUMBER(SEARCH("수련교육부",$P688))),"인턴",$P688))</f>
        <v/>
      </c>
      <c r="Y688">
        <f>IF($R688="","",IF(COUNTIF(명단표[이름|과],$X688)=1,"명단 일치",IF(AND(COUNTIF(명단표[이름|과],$X688)=0,COUNTIF(명단표[이름],$R688)=1),"명단 일치(이름만, 과 다름)",IF(COUNTIF(명단표[이름],$R688)=0,IF(COUNTIF(기본자료표[이름],$R688)&gt;0,"명단에 없음(기본자료에는 있음)","명단에 없음"),"동명이인 확인"))))</f>
        <v/>
      </c>
      <c r="Z688">
        <f>IF($R688="","",IF($S688&lt;0,"⚠"&amp;INDEX('입력_구리근무자명단'!$A686:$ZZ686,1,$E$2+2),TEXT($S688,"yyyy-mm-dd")))</f>
        <v/>
      </c>
      <c r="AA688">
        <f>IF($R688="","",IF($T688&lt;0,"⚠"&amp;INDEX('입력_구리근무자명단'!$A686:$ZZ686,1,$E$2+3),TEXT($T688,"yyyy-mm-dd")))</f>
        <v/>
      </c>
      <c r="AB688">
        <f>AB687+IF($R688="",0,1)</f>
        <v/>
      </c>
      <c r="AC688">
        <f>IF($R688="","",$AB688)</f>
        <v/>
      </c>
    </row>
    <row r="689">
      <c r="O689">
        <f>687</f>
        <v/>
      </c>
      <c r="P689">
        <f>IF(TRIM('입력_구리근무자명단'!$A687&amp;"")&lt;&gt;"",TRIM('입력_구리근무자명단'!$A687&amp;""),P688)</f>
        <v/>
      </c>
      <c r="Q689">
        <f>'입력_구리근무자명단'!$B687&amp;""</f>
        <v/>
      </c>
      <c r="R689">
        <f>IF($E$2="","",TRIM(INDEX('입력_구리근무자명단'!$A687:$ZZ687,1,$E$2+IF($G$2="확정",1,0))&amp;""))</f>
        <v/>
      </c>
      <c r="S689">
        <f>IF($R689="","",IF(INDEX('입력_구리근무자명단'!$A687:$ZZ687,1,$E$2+2)&amp;""="",급여기준월,IF(ISNUMBER(INDEX('입력_구리근무자명단'!$A687:$ZZ687,1,$E$2+2)),INDEX('입력_구리근무자명단'!$A687:$ZZ687,1,$E$2+2),IFERROR(DATE(VALUE(LEFT(INDEX('입력_구리근무자명단'!$A687:$ZZ687,1,$E$2+2),4)),VALUE(MID(INDEX('입력_구리근무자명단'!$A687:$ZZ687,1,$E$2+2),6,2)),VALUE(MID(INDEX('입력_구리근무자명단'!$A687:$ZZ687,1,$E$2+2),9,2))),-1))))</f>
        <v/>
      </c>
      <c r="T689">
        <f>IF($R689="","",IF(INDEX('입력_구리근무자명단'!$A687:$ZZ687,1,$E$2+3)&amp;""="",EOMONTH(급여기준월,0),IF(ISNUMBER(INDEX('입력_구리근무자명단'!$A687:$ZZ687,1,$E$2+3)),INDEX('입력_구리근무자명단'!$A687:$ZZ687,1,$E$2+3),IFERROR(DATE(VALUE(LEFT(INDEX('입력_구리근무자명단'!$A687:$ZZ687,1,$E$2+3),4)),VALUE(MID(INDEX('입력_구리근무자명단'!$A687:$ZZ687,1,$E$2+3),6,2)),VALUE(MID(INDEX('입력_구리근무자명단'!$A687:$ZZ687,1,$E$2+3),9,2))),-1))))</f>
        <v/>
      </c>
      <c r="U689">
        <f>IF($R689="","",IF(OR($S689&lt;0,$T689&lt;0),0,MAX(0,MIN($T689,EOMONTH(급여기준월,0))-MAX($S689,급여기준월)+1)))</f>
        <v/>
      </c>
      <c r="V689">
        <f>IF($R689="","",TRIM(INDEX('입력_구리근무자명단'!$A687:$ZZ687,1,$E$2+5)&amp;""))</f>
        <v/>
      </c>
      <c r="W689">
        <f>IF(ISNUMBER(SEARCH("구리독자",$V689)),"구리독자","")</f>
        <v/>
      </c>
      <c r="X689">
        <f>IF($R689="","",$R689&amp;"|"&amp;IF(OR($Q689="인턴",ISNUMBER(SEARCH("수련교육부",$P689))),"인턴",$P689))</f>
        <v/>
      </c>
      <c r="Y689">
        <f>IF($R689="","",IF(COUNTIF(명단표[이름|과],$X689)=1,"명단 일치",IF(AND(COUNTIF(명단표[이름|과],$X689)=0,COUNTIF(명단표[이름],$R689)=1),"명단 일치(이름만, 과 다름)",IF(COUNTIF(명단표[이름],$R689)=0,IF(COUNTIF(기본자료표[이름],$R689)&gt;0,"명단에 없음(기본자료에는 있음)","명단에 없음"),"동명이인 확인"))))</f>
        <v/>
      </c>
      <c r="Z689">
        <f>IF($R689="","",IF($S689&lt;0,"⚠"&amp;INDEX('입력_구리근무자명단'!$A687:$ZZ687,1,$E$2+2),TEXT($S689,"yyyy-mm-dd")))</f>
        <v/>
      </c>
      <c r="AA689">
        <f>IF($R689="","",IF($T689&lt;0,"⚠"&amp;INDEX('입력_구리근무자명단'!$A687:$ZZ687,1,$E$2+3),TEXT($T689,"yyyy-mm-dd")))</f>
        <v/>
      </c>
      <c r="AB689">
        <f>AB688+IF($R689="",0,1)</f>
        <v/>
      </c>
      <c r="AC689">
        <f>IF($R689="","",$AB689)</f>
        <v/>
      </c>
    </row>
    <row r="690">
      <c r="O690">
        <f>688</f>
        <v/>
      </c>
      <c r="P690">
        <f>IF(TRIM('입력_구리근무자명단'!$A688&amp;"")&lt;&gt;"",TRIM('입력_구리근무자명단'!$A688&amp;""),P689)</f>
        <v/>
      </c>
      <c r="Q690">
        <f>'입력_구리근무자명단'!$B688&amp;""</f>
        <v/>
      </c>
      <c r="R690">
        <f>IF($E$2="","",TRIM(INDEX('입력_구리근무자명단'!$A688:$ZZ688,1,$E$2+IF($G$2="확정",1,0))&amp;""))</f>
        <v/>
      </c>
      <c r="S690">
        <f>IF($R690="","",IF(INDEX('입력_구리근무자명단'!$A688:$ZZ688,1,$E$2+2)&amp;""="",급여기준월,IF(ISNUMBER(INDEX('입력_구리근무자명단'!$A688:$ZZ688,1,$E$2+2)),INDEX('입력_구리근무자명단'!$A688:$ZZ688,1,$E$2+2),IFERROR(DATE(VALUE(LEFT(INDEX('입력_구리근무자명단'!$A688:$ZZ688,1,$E$2+2),4)),VALUE(MID(INDEX('입력_구리근무자명단'!$A688:$ZZ688,1,$E$2+2),6,2)),VALUE(MID(INDEX('입력_구리근무자명단'!$A688:$ZZ688,1,$E$2+2),9,2))),-1))))</f>
        <v/>
      </c>
      <c r="T690">
        <f>IF($R690="","",IF(INDEX('입력_구리근무자명단'!$A688:$ZZ688,1,$E$2+3)&amp;""="",EOMONTH(급여기준월,0),IF(ISNUMBER(INDEX('입력_구리근무자명단'!$A688:$ZZ688,1,$E$2+3)),INDEX('입력_구리근무자명단'!$A688:$ZZ688,1,$E$2+3),IFERROR(DATE(VALUE(LEFT(INDEX('입력_구리근무자명단'!$A688:$ZZ688,1,$E$2+3),4)),VALUE(MID(INDEX('입력_구리근무자명단'!$A688:$ZZ688,1,$E$2+3),6,2)),VALUE(MID(INDEX('입력_구리근무자명단'!$A688:$ZZ688,1,$E$2+3),9,2))),-1))))</f>
        <v/>
      </c>
      <c r="U690">
        <f>IF($R690="","",IF(OR($S690&lt;0,$T690&lt;0),0,MAX(0,MIN($T690,EOMONTH(급여기준월,0))-MAX($S690,급여기준월)+1)))</f>
        <v/>
      </c>
      <c r="V690">
        <f>IF($R690="","",TRIM(INDEX('입력_구리근무자명단'!$A688:$ZZ688,1,$E$2+5)&amp;""))</f>
        <v/>
      </c>
      <c r="W690">
        <f>IF(ISNUMBER(SEARCH("구리독자",$V690)),"구리독자","")</f>
        <v/>
      </c>
      <c r="X690">
        <f>IF($R690="","",$R690&amp;"|"&amp;IF(OR($Q690="인턴",ISNUMBER(SEARCH("수련교육부",$P690))),"인턴",$P690))</f>
        <v/>
      </c>
      <c r="Y690">
        <f>IF($R690="","",IF(COUNTIF(명단표[이름|과],$X690)=1,"명단 일치",IF(AND(COUNTIF(명단표[이름|과],$X690)=0,COUNTIF(명단표[이름],$R690)=1),"명단 일치(이름만, 과 다름)",IF(COUNTIF(명단표[이름],$R690)=0,IF(COUNTIF(기본자료표[이름],$R690)&gt;0,"명단에 없음(기본자료에는 있음)","명단에 없음"),"동명이인 확인"))))</f>
        <v/>
      </c>
      <c r="Z690">
        <f>IF($R690="","",IF($S690&lt;0,"⚠"&amp;INDEX('입력_구리근무자명단'!$A688:$ZZ688,1,$E$2+2),TEXT($S690,"yyyy-mm-dd")))</f>
        <v/>
      </c>
      <c r="AA690">
        <f>IF($R690="","",IF($T690&lt;0,"⚠"&amp;INDEX('입력_구리근무자명단'!$A688:$ZZ688,1,$E$2+3),TEXT($T690,"yyyy-mm-dd")))</f>
        <v/>
      </c>
      <c r="AB690">
        <f>AB689+IF($R690="",0,1)</f>
        <v/>
      </c>
      <c r="AC690">
        <f>IF($R690="","",$AB690)</f>
        <v/>
      </c>
    </row>
    <row r="691">
      <c r="O691">
        <f>689</f>
        <v/>
      </c>
      <c r="P691">
        <f>IF(TRIM('입력_구리근무자명단'!$A689&amp;"")&lt;&gt;"",TRIM('입력_구리근무자명단'!$A689&amp;""),P690)</f>
        <v/>
      </c>
      <c r="Q691">
        <f>'입력_구리근무자명단'!$B689&amp;""</f>
        <v/>
      </c>
      <c r="R691">
        <f>IF($E$2="","",TRIM(INDEX('입력_구리근무자명단'!$A689:$ZZ689,1,$E$2+IF($G$2="확정",1,0))&amp;""))</f>
        <v/>
      </c>
      <c r="S691">
        <f>IF($R691="","",IF(INDEX('입력_구리근무자명단'!$A689:$ZZ689,1,$E$2+2)&amp;""="",급여기준월,IF(ISNUMBER(INDEX('입력_구리근무자명단'!$A689:$ZZ689,1,$E$2+2)),INDEX('입력_구리근무자명단'!$A689:$ZZ689,1,$E$2+2),IFERROR(DATE(VALUE(LEFT(INDEX('입력_구리근무자명단'!$A689:$ZZ689,1,$E$2+2),4)),VALUE(MID(INDEX('입력_구리근무자명단'!$A689:$ZZ689,1,$E$2+2),6,2)),VALUE(MID(INDEX('입력_구리근무자명단'!$A689:$ZZ689,1,$E$2+2),9,2))),-1))))</f>
        <v/>
      </c>
      <c r="T691">
        <f>IF($R691="","",IF(INDEX('입력_구리근무자명단'!$A689:$ZZ689,1,$E$2+3)&amp;""="",EOMONTH(급여기준월,0),IF(ISNUMBER(INDEX('입력_구리근무자명단'!$A689:$ZZ689,1,$E$2+3)),INDEX('입력_구리근무자명단'!$A689:$ZZ689,1,$E$2+3),IFERROR(DATE(VALUE(LEFT(INDEX('입력_구리근무자명단'!$A689:$ZZ689,1,$E$2+3),4)),VALUE(MID(INDEX('입력_구리근무자명단'!$A689:$ZZ689,1,$E$2+3),6,2)),VALUE(MID(INDEX('입력_구리근무자명단'!$A689:$ZZ689,1,$E$2+3),9,2))),-1))))</f>
        <v/>
      </c>
      <c r="U691">
        <f>IF($R691="","",IF(OR($S691&lt;0,$T691&lt;0),0,MAX(0,MIN($T691,EOMONTH(급여기준월,0))-MAX($S691,급여기준월)+1)))</f>
        <v/>
      </c>
      <c r="V691">
        <f>IF($R691="","",TRIM(INDEX('입력_구리근무자명단'!$A689:$ZZ689,1,$E$2+5)&amp;""))</f>
        <v/>
      </c>
      <c r="W691">
        <f>IF(ISNUMBER(SEARCH("구리독자",$V691)),"구리독자","")</f>
        <v/>
      </c>
      <c r="X691">
        <f>IF($R691="","",$R691&amp;"|"&amp;IF(OR($Q691="인턴",ISNUMBER(SEARCH("수련교육부",$P691))),"인턴",$P691))</f>
        <v/>
      </c>
      <c r="Y691">
        <f>IF($R691="","",IF(COUNTIF(명단표[이름|과],$X691)=1,"명단 일치",IF(AND(COUNTIF(명단표[이름|과],$X691)=0,COUNTIF(명단표[이름],$R691)=1),"명단 일치(이름만, 과 다름)",IF(COUNTIF(명단표[이름],$R691)=0,IF(COUNTIF(기본자료표[이름],$R691)&gt;0,"명단에 없음(기본자료에는 있음)","명단에 없음"),"동명이인 확인"))))</f>
        <v/>
      </c>
      <c r="Z691">
        <f>IF($R691="","",IF($S691&lt;0,"⚠"&amp;INDEX('입력_구리근무자명단'!$A689:$ZZ689,1,$E$2+2),TEXT($S691,"yyyy-mm-dd")))</f>
        <v/>
      </c>
      <c r="AA691">
        <f>IF($R691="","",IF($T691&lt;0,"⚠"&amp;INDEX('입력_구리근무자명단'!$A689:$ZZ689,1,$E$2+3),TEXT($T691,"yyyy-mm-dd")))</f>
        <v/>
      </c>
      <c r="AB691">
        <f>AB690+IF($R691="",0,1)</f>
        <v/>
      </c>
      <c r="AC691">
        <f>IF($R691="","",$AB691)</f>
        <v/>
      </c>
    </row>
    <row r="692">
      <c r="O692">
        <f>690</f>
        <v/>
      </c>
      <c r="P692">
        <f>IF(TRIM('입력_구리근무자명단'!$A690&amp;"")&lt;&gt;"",TRIM('입력_구리근무자명단'!$A690&amp;""),P691)</f>
        <v/>
      </c>
      <c r="Q692">
        <f>'입력_구리근무자명단'!$B690&amp;""</f>
        <v/>
      </c>
      <c r="R692">
        <f>IF($E$2="","",TRIM(INDEX('입력_구리근무자명단'!$A690:$ZZ690,1,$E$2+IF($G$2="확정",1,0))&amp;""))</f>
        <v/>
      </c>
      <c r="S692">
        <f>IF($R692="","",IF(INDEX('입력_구리근무자명단'!$A690:$ZZ690,1,$E$2+2)&amp;""="",급여기준월,IF(ISNUMBER(INDEX('입력_구리근무자명단'!$A690:$ZZ690,1,$E$2+2)),INDEX('입력_구리근무자명단'!$A690:$ZZ690,1,$E$2+2),IFERROR(DATE(VALUE(LEFT(INDEX('입력_구리근무자명단'!$A690:$ZZ690,1,$E$2+2),4)),VALUE(MID(INDEX('입력_구리근무자명단'!$A690:$ZZ690,1,$E$2+2),6,2)),VALUE(MID(INDEX('입력_구리근무자명단'!$A690:$ZZ690,1,$E$2+2),9,2))),-1))))</f>
        <v/>
      </c>
      <c r="T692">
        <f>IF($R692="","",IF(INDEX('입력_구리근무자명단'!$A690:$ZZ690,1,$E$2+3)&amp;""="",EOMONTH(급여기준월,0),IF(ISNUMBER(INDEX('입력_구리근무자명단'!$A690:$ZZ690,1,$E$2+3)),INDEX('입력_구리근무자명단'!$A690:$ZZ690,1,$E$2+3),IFERROR(DATE(VALUE(LEFT(INDEX('입력_구리근무자명단'!$A690:$ZZ690,1,$E$2+3),4)),VALUE(MID(INDEX('입력_구리근무자명단'!$A690:$ZZ690,1,$E$2+3),6,2)),VALUE(MID(INDEX('입력_구리근무자명단'!$A690:$ZZ690,1,$E$2+3),9,2))),-1))))</f>
        <v/>
      </c>
      <c r="U692">
        <f>IF($R692="","",IF(OR($S692&lt;0,$T692&lt;0),0,MAX(0,MIN($T692,EOMONTH(급여기준월,0))-MAX($S692,급여기준월)+1)))</f>
        <v/>
      </c>
      <c r="V692">
        <f>IF($R692="","",TRIM(INDEX('입력_구리근무자명단'!$A690:$ZZ690,1,$E$2+5)&amp;""))</f>
        <v/>
      </c>
      <c r="W692">
        <f>IF(ISNUMBER(SEARCH("구리독자",$V692)),"구리독자","")</f>
        <v/>
      </c>
      <c r="X692">
        <f>IF($R692="","",$R692&amp;"|"&amp;IF(OR($Q692="인턴",ISNUMBER(SEARCH("수련교육부",$P692))),"인턴",$P692))</f>
        <v/>
      </c>
      <c r="Y692">
        <f>IF($R692="","",IF(COUNTIF(명단표[이름|과],$X692)=1,"명단 일치",IF(AND(COUNTIF(명단표[이름|과],$X692)=0,COUNTIF(명단표[이름],$R692)=1),"명단 일치(이름만, 과 다름)",IF(COUNTIF(명단표[이름],$R692)=0,IF(COUNTIF(기본자료표[이름],$R692)&gt;0,"명단에 없음(기본자료에는 있음)","명단에 없음"),"동명이인 확인"))))</f>
        <v/>
      </c>
      <c r="Z692">
        <f>IF($R692="","",IF($S692&lt;0,"⚠"&amp;INDEX('입력_구리근무자명단'!$A690:$ZZ690,1,$E$2+2),TEXT($S692,"yyyy-mm-dd")))</f>
        <v/>
      </c>
      <c r="AA692">
        <f>IF($R692="","",IF($T692&lt;0,"⚠"&amp;INDEX('입력_구리근무자명단'!$A690:$ZZ690,1,$E$2+3),TEXT($T692,"yyyy-mm-dd")))</f>
        <v/>
      </c>
      <c r="AB692">
        <f>AB691+IF($R692="",0,1)</f>
        <v/>
      </c>
      <c r="AC692">
        <f>IF($R692="","",$AB692)</f>
        <v/>
      </c>
    </row>
    <row r="693">
      <c r="O693">
        <f>691</f>
        <v/>
      </c>
      <c r="P693">
        <f>IF(TRIM('입력_구리근무자명단'!$A691&amp;"")&lt;&gt;"",TRIM('입력_구리근무자명단'!$A691&amp;""),P692)</f>
        <v/>
      </c>
      <c r="Q693">
        <f>'입력_구리근무자명단'!$B691&amp;""</f>
        <v/>
      </c>
      <c r="R693">
        <f>IF($E$2="","",TRIM(INDEX('입력_구리근무자명단'!$A691:$ZZ691,1,$E$2+IF($G$2="확정",1,0))&amp;""))</f>
        <v/>
      </c>
      <c r="S693">
        <f>IF($R693="","",IF(INDEX('입력_구리근무자명단'!$A691:$ZZ691,1,$E$2+2)&amp;""="",급여기준월,IF(ISNUMBER(INDEX('입력_구리근무자명단'!$A691:$ZZ691,1,$E$2+2)),INDEX('입력_구리근무자명단'!$A691:$ZZ691,1,$E$2+2),IFERROR(DATE(VALUE(LEFT(INDEX('입력_구리근무자명단'!$A691:$ZZ691,1,$E$2+2),4)),VALUE(MID(INDEX('입력_구리근무자명단'!$A691:$ZZ691,1,$E$2+2),6,2)),VALUE(MID(INDEX('입력_구리근무자명단'!$A691:$ZZ691,1,$E$2+2),9,2))),-1))))</f>
        <v/>
      </c>
      <c r="T693">
        <f>IF($R693="","",IF(INDEX('입력_구리근무자명단'!$A691:$ZZ691,1,$E$2+3)&amp;""="",EOMONTH(급여기준월,0),IF(ISNUMBER(INDEX('입력_구리근무자명단'!$A691:$ZZ691,1,$E$2+3)),INDEX('입력_구리근무자명단'!$A691:$ZZ691,1,$E$2+3),IFERROR(DATE(VALUE(LEFT(INDEX('입력_구리근무자명단'!$A691:$ZZ691,1,$E$2+3),4)),VALUE(MID(INDEX('입력_구리근무자명단'!$A691:$ZZ691,1,$E$2+3),6,2)),VALUE(MID(INDEX('입력_구리근무자명단'!$A691:$ZZ691,1,$E$2+3),9,2))),-1))))</f>
        <v/>
      </c>
      <c r="U693">
        <f>IF($R693="","",IF(OR($S693&lt;0,$T693&lt;0),0,MAX(0,MIN($T693,EOMONTH(급여기준월,0))-MAX($S693,급여기준월)+1)))</f>
        <v/>
      </c>
      <c r="V693">
        <f>IF($R693="","",TRIM(INDEX('입력_구리근무자명단'!$A691:$ZZ691,1,$E$2+5)&amp;""))</f>
        <v/>
      </c>
      <c r="W693">
        <f>IF(ISNUMBER(SEARCH("구리독자",$V693)),"구리독자","")</f>
        <v/>
      </c>
      <c r="X693">
        <f>IF($R693="","",$R693&amp;"|"&amp;IF(OR($Q693="인턴",ISNUMBER(SEARCH("수련교육부",$P693))),"인턴",$P693))</f>
        <v/>
      </c>
      <c r="Y693">
        <f>IF($R693="","",IF(COUNTIF(명단표[이름|과],$X693)=1,"명단 일치",IF(AND(COUNTIF(명단표[이름|과],$X693)=0,COUNTIF(명단표[이름],$R693)=1),"명단 일치(이름만, 과 다름)",IF(COUNTIF(명단표[이름],$R693)=0,IF(COUNTIF(기본자료표[이름],$R693)&gt;0,"명단에 없음(기본자료에는 있음)","명단에 없음"),"동명이인 확인"))))</f>
        <v/>
      </c>
      <c r="Z693">
        <f>IF($R693="","",IF($S693&lt;0,"⚠"&amp;INDEX('입력_구리근무자명단'!$A691:$ZZ691,1,$E$2+2),TEXT($S693,"yyyy-mm-dd")))</f>
        <v/>
      </c>
      <c r="AA693">
        <f>IF($R693="","",IF($T693&lt;0,"⚠"&amp;INDEX('입력_구리근무자명단'!$A691:$ZZ691,1,$E$2+3),TEXT($T693,"yyyy-mm-dd")))</f>
        <v/>
      </c>
      <c r="AB693">
        <f>AB692+IF($R693="",0,1)</f>
        <v/>
      </c>
      <c r="AC693">
        <f>IF($R693="","",$AB693)</f>
        <v/>
      </c>
    </row>
    <row r="694">
      <c r="O694">
        <f>692</f>
        <v/>
      </c>
      <c r="P694">
        <f>IF(TRIM('입력_구리근무자명단'!$A692&amp;"")&lt;&gt;"",TRIM('입력_구리근무자명단'!$A692&amp;""),P693)</f>
        <v/>
      </c>
      <c r="Q694">
        <f>'입력_구리근무자명단'!$B692&amp;""</f>
        <v/>
      </c>
      <c r="R694">
        <f>IF($E$2="","",TRIM(INDEX('입력_구리근무자명단'!$A692:$ZZ692,1,$E$2+IF($G$2="확정",1,0))&amp;""))</f>
        <v/>
      </c>
      <c r="S694">
        <f>IF($R694="","",IF(INDEX('입력_구리근무자명단'!$A692:$ZZ692,1,$E$2+2)&amp;""="",급여기준월,IF(ISNUMBER(INDEX('입력_구리근무자명단'!$A692:$ZZ692,1,$E$2+2)),INDEX('입력_구리근무자명단'!$A692:$ZZ692,1,$E$2+2),IFERROR(DATE(VALUE(LEFT(INDEX('입력_구리근무자명단'!$A692:$ZZ692,1,$E$2+2),4)),VALUE(MID(INDEX('입력_구리근무자명단'!$A692:$ZZ692,1,$E$2+2),6,2)),VALUE(MID(INDEX('입력_구리근무자명단'!$A692:$ZZ692,1,$E$2+2),9,2))),-1))))</f>
        <v/>
      </c>
      <c r="T694">
        <f>IF($R694="","",IF(INDEX('입력_구리근무자명단'!$A692:$ZZ692,1,$E$2+3)&amp;""="",EOMONTH(급여기준월,0),IF(ISNUMBER(INDEX('입력_구리근무자명단'!$A692:$ZZ692,1,$E$2+3)),INDEX('입력_구리근무자명단'!$A692:$ZZ692,1,$E$2+3),IFERROR(DATE(VALUE(LEFT(INDEX('입력_구리근무자명단'!$A692:$ZZ692,1,$E$2+3),4)),VALUE(MID(INDEX('입력_구리근무자명단'!$A692:$ZZ692,1,$E$2+3),6,2)),VALUE(MID(INDEX('입력_구리근무자명단'!$A692:$ZZ692,1,$E$2+3),9,2))),-1))))</f>
        <v/>
      </c>
      <c r="U694">
        <f>IF($R694="","",IF(OR($S694&lt;0,$T694&lt;0),0,MAX(0,MIN($T694,EOMONTH(급여기준월,0))-MAX($S694,급여기준월)+1)))</f>
        <v/>
      </c>
      <c r="V694">
        <f>IF($R694="","",TRIM(INDEX('입력_구리근무자명단'!$A692:$ZZ692,1,$E$2+5)&amp;""))</f>
        <v/>
      </c>
      <c r="W694">
        <f>IF(ISNUMBER(SEARCH("구리독자",$V694)),"구리독자","")</f>
        <v/>
      </c>
      <c r="X694">
        <f>IF($R694="","",$R694&amp;"|"&amp;IF(OR($Q694="인턴",ISNUMBER(SEARCH("수련교육부",$P694))),"인턴",$P694))</f>
        <v/>
      </c>
      <c r="Y694">
        <f>IF($R694="","",IF(COUNTIF(명단표[이름|과],$X694)=1,"명단 일치",IF(AND(COUNTIF(명단표[이름|과],$X694)=0,COUNTIF(명단표[이름],$R694)=1),"명단 일치(이름만, 과 다름)",IF(COUNTIF(명단표[이름],$R694)=0,IF(COUNTIF(기본자료표[이름],$R694)&gt;0,"명단에 없음(기본자료에는 있음)","명단에 없음"),"동명이인 확인"))))</f>
        <v/>
      </c>
      <c r="Z694">
        <f>IF($R694="","",IF($S694&lt;0,"⚠"&amp;INDEX('입력_구리근무자명단'!$A692:$ZZ692,1,$E$2+2),TEXT($S694,"yyyy-mm-dd")))</f>
        <v/>
      </c>
      <c r="AA694">
        <f>IF($R694="","",IF($T694&lt;0,"⚠"&amp;INDEX('입력_구리근무자명단'!$A692:$ZZ692,1,$E$2+3),TEXT($T694,"yyyy-mm-dd")))</f>
        <v/>
      </c>
      <c r="AB694">
        <f>AB693+IF($R694="",0,1)</f>
        <v/>
      </c>
      <c r="AC694">
        <f>IF($R694="","",$AB694)</f>
        <v/>
      </c>
    </row>
    <row r="695">
      <c r="O695">
        <f>693</f>
        <v/>
      </c>
      <c r="P695">
        <f>IF(TRIM('입력_구리근무자명단'!$A693&amp;"")&lt;&gt;"",TRIM('입력_구리근무자명단'!$A693&amp;""),P694)</f>
        <v/>
      </c>
      <c r="Q695">
        <f>'입력_구리근무자명단'!$B693&amp;""</f>
        <v/>
      </c>
      <c r="R695">
        <f>IF($E$2="","",TRIM(INDEX('입력_구리근무자명단'!$A693:$ZZ693,1,$E$2+IF($G$2="확정",1,0))&amp;""))</f>
        <v/>
      </c>
      <c r="S695">
        <f>IF($R695="","",IF(INDEX('입력_구리근무자명단'!$A693:$ZZ693,1,$E$2+2)&amp;""="",급여기준월,IF(ISNUMBER(INDEX('입력_구리근무자명단'!$A693:$ZZ693,1,$E$2+2)),INDEX('입력_구리근무자명단'!$A693:$ZZ693,1,$E$2+2),IFERROR(DATE(VALUE(LEFT(INDEX('입력_구리근무자명단'!$A693:$ZZ693,1,$E$2+2),4)),VALUE(MID(INDEX('입력_구리근무자명단'!$A693:$ZZ693,1,$E$2+2),6,2)),VALUE(MID(INDEX('입력_구리근무자명단'!$A693:$ZZ693,1,$E$2+2),9,2))),-1))))</f>
        <v/>
      </c>
      <c r="T695">
        <f>IF($R695="","",IF(INDEX('입력_구리근무자명단'!$A693:$ZZ693,1,$E$2+3)&amp;""="",EOMONTH(급여기준월,0),IF(ISNUMBER(INDEX('입력_구리근무자명단'!$A693:$ZZ693,1,$E$2+3)),INDEX('입력_구리근무자명단'!$A693:$ZZ693,1,$E$2+3),IFERROR(DATE(VALUE(LEFT(INDEX('입력_구리근무자명단'!$A693:$ZZ693,1,$E$2+3),4)),VALUE(MID(INDEX('입력_구리근무자명단'!$A693:$ZZ693,1,$E$2+3),6,2)),VALUE(MID(INDEX('입력_구리근무자명단'!$A693:$ZZ693,1,$E$2+3),9,2))),-1))))</f>
        <v/>
      </c>
      <c r="U695">
        <f>IF($R695="","",IF(OR($S695&lt;0,$T695&lt;0),0,MAX(0,MIN($T695,EOMONTH(급여기준월,0))-MAX($S695,급여기준월)+1)))</f>
        <v/>
      </c>
      <c r="V695">
        <f>IF($R695="","",TRIM(INDEX('입력_구리근무자명단'!$A693:$ZZ693,1,$E$2+5)&amp;""))</f>
        <v/>
      </c>
      <c r="W695">
        <f>IF(ISNUMBER(SEARCH("구리독자",$V695)),"구리독자","")</f>
        <v/>
      </c>
      <c r="X695">
        <f>IF($R695="","",$R695&amp;"|"&amp;IF(OR($Q695="인턴",ISNUMBER(SEARCH("수련교육부",$P695))),"인턴",$P695))</f>
        <v/>
      </c>
      <c r="Y695">
        <f>IF($R695="","",IF(COUNTIF(명단표[이름|과],$X695)=1,"명단 일치",IF(AND(COUNTIF(명단표[이름|과],$X695)=0,COUNTIF(명단표[이름],$R695)=1),"명단 일치(이름만, 과 다름)",IF(COUNTIF(명단표[이름],$R695)=0,IF(COUNTIF(기본자료표[이름],$R695)&gt;0,"명단에 없음(기본자료에는 있음)","명단에 없음"),"동명이인 확인"))))</f>
        <v/>
      </c>
      <c r="Z695">
        <f>IF($R695="","",IF($S695&lt;0,"⚠"&amp;INDEX('입력_구리근무자명단'!$A693:$ZZ693,1,$E$2+2),TEXT($S695,"yyyy-mm-dd")))</f>
        <v/>
      </c>
      <c r="AA695">
        <f>IF($R695="","",IF($T695&lt;0,"⚠"&amp;INDEX('입력_구리근무자명단'!$A693:$ZZ693,1,$E$2+3),TEXT($T695,"yyyy-mm-dd")))</f>
        <v/>
      </c>
      <c r="AB695">
        <f>AB694+IF($R695="",0,1)</f>
        <v/>
      </c>
      <c r="AC695">
        <f>IF($R695="","",$AB695)</f>
        <v/>
      </c>
    </row>
    <row r="696">
      <c r="O696">
        <f>694</f>
        <v/>
      </c>
      <c r="P696">
        <f>IF(TRIM('입력_구리근무자명단'!$A694&amp;"")&lt;&gt;"",TRIM('입력_구리근무자명단'!$A694&amp;""),P695)</f>
        <v/>
      </c>
      <c r="Q696">
        <f>'입력_구리근무자명단'!$B694&amp;""</f>
        <v/>
      </c>
      <c r="R696">
        <f>IF($E$2="","",TRIM(INDEX('입력_구리근무자명단'!$A694:$ZZ694,1,$E$2+IF($G$2="확정",1,0))&amp;""))</f>
        <v/>
      </c>
      <c r="S696">
        <f>IF($R696="","",IF(INDEX('입력_구리근무자명단'!$A694:$ZZ694,1,$E$2+2)&amp;""="",급여기준월,IF(ISNUMBER(INDEX('입력_구리근무자명단'!$A694:$ZZ694,1,$E$2+2)),INDEX('입력_구리근무자명단'!$A694:$ZZ694,1,$E$2+2),IFERROR(DATE(VALUE(LEFT(INDEX('입력_구리근무자명단'!$A694:$ZZ694,1,$E$2+2),4)),VALUE(MID(INDEX('입력_구리근무자명단'!$A694:$ZZ694,1,$E$2+2),6,2)),VALUE(MID(INDEX('입력_구리근무자명단'!$A694:$ZZ694,1,$E$2+2),9,2))),-1))))</f>
        <v/>
      </c>
      <c r="T696">
        <f>IF($R696="","",IF(INDEX('입력_구리근무자명단'!$A694:$ZZ694,1,$E$2+3)&amp;""="",EOMONTH(급여기준월,0),IF(ISNUMBER(INDEX('입력_구리근무자명단'!$A694:$ZZ694,1,$E$2+3)),INDEX('입력_구리근무자명단'!$A694:$ZZ694,1,$E$2+3),IFERROR(DATE(VALUE(LEFT(INDEX('입력_구리근무자명단'!$A694:$ZZ694,1,$E$2+3),4)),VALUE(MID(INDEX('입력_구리근무자명단'!$A694:$ZZ694,1,$E$2+3),6,2)),VALUE(MID(INDEX('입력_구리근무자명단'!$A694:$ZZ694,1,$E$2+3),9,2))),-1))))</f>
        <v/>
      </c>
      <c r="U696">
        <f>IF($R696="","",IF(OR($S696&lt;0,$T696&lt;0),0,MAX(0,MIN($T696,EOMONTH(급여기준월,0))-MAX($S696,급여기준월)+1)))</f>
        <v/>
      </c>
      <c r="V696">
        <f>IF($R696="","",TRIM(INDEX('입력_구리근무자명단'!$A694:$ZZ694,1,$E$2+5)&amp;""))</f>
        <v/>
      </c>
      <c r="W696">
        <f>IF(ISNUMBER(SEARCH("구리독자",$V696)),"구리독자","")</f>
        <v/>
      </c>
      <c r="X696">
        <f>IF($R696="","",$R696&amp;"|"&amp;IF(OR($Q696="인턴",ISNUMBER(SEARCH("수련교육부",$P696))),"인턴",$P696))</f>
        <v/>
      </c>
      <c r="Y696">
        <f>IF($R696="","",IF(COUNTIF(명단표[이름|과],$X696)=1,"명단 일치",IF(AND(COUNTIF(명단표[이름|과],$X696)=0,COUNTIF(명단표[이름],$R696)=1),"명단 일치(이름만, 과 다름)",IF(COUNTIF(명단표[이름],$R696)=0,IF(COUNTIF(기본자료표[이름],$R696)&gt;0,"명단에 없음(기본자료에는 있음)","명단에 없음"),"동명이인 확인"))))</f>
        <v/>
      </c>
      <c r="Z696">
        <f>IF($R696="","",IF($S696&lt;0,"⚠"&amp;INDEX('입력_구리근무자명단'!$A694:$ZZ694,1,$E$2+2),TEXT($S696,"yyyy-mm-dd")))</f>
        <v/>
      </c>
      <c r="AA696">
        <f>IF($R696="","",IF($T696&lt;0,"⚠"&amp;INDEX('입력_구리근무자명단'!$A694:$ZZ694,1,$E$2+3),TEXT($T696,"yyyy-mm-dd")))</f>
        <v/>
      </c>
      <c r="AB696">
        <f>AB695+IF($R696="",0,1)</f>
        <v/>
      </c>
      <c r="AC696">
        <f>IF($R696="","",$AB696)</f>
        <v/>
      </c>
    </row>
    <row r="697">
      <c r="O697">
        <f>695</f>
        <v/>
      </c>
      <c r="P697">
        <f>IF(TRIM('입력_구리근무자명단'!$A695&amp;"")&lt;&gt;"",TRIM('입력_구리근무자명단'!$A695&amp;""),P696)</f>
        <v/>
      </c>
      <c r="Q697">
        <f>'입력_구리근무자명단'!$B695&amp;""</f>
        <v/>
      </c>
      <c r="R697">
        <f>IF($E$2="","",TRIM(INDEX('입력_구리근무자명단'!$A695:$ZZ695,1,$E$2+IF($G$2="확정",1,0))&amp;""))</f>
        <v/>
      </c>
      <c r="S697">
        <f>IF($R697="","",IF(INDEX('입력_구리근무자명단'!$A695:$ZZ695,1,$E$2+2)&amp;""="",급여기준월,IF(ISNUMBER(INDEX('입력_구리근무자명단'!$A695:$ZZ695,1,$E$2+2)),INDEX('입력_구리근무자명단'!$A695:$ZZ695,1,$E$2+2),IFERROR(DATE(VALUE(LEFT(INDEX('입력_구리근무자명단'!$A695:$ZZ695,1,$E$2+2),4)),VALUE(MID(INDEX('입력_구리근무자명단'!$A695:$ZZ695,1,$E$2+2),6,2)),VALUE(MID(INDEX('입력_구리근무자명단'!$A695:$ZZ695,1,$E$2+2),9,2))),-1))))</f>
        <v/>
      </c>
      <c r="T697">
        <f>IF($R697="","",IF(INDEX('입력_구리근무자명단'!$A695:$ZZ695,1,$E$2+3)&amp;""="",EOMONTH(급여기준월,0),IF(ISNUMBER(INDEX('입력_구리근무자명단'!$A695:$ZZ695,1,$E$2+3)),INDEX('입력_구리근무자명단'!$A695:$ZZ695,1,$E$2+3),IFERROR(DATE(VALUE(LEFT(INDEX('입력_구리근무자명단'!$A695:$ZZ695,1,$E$2+3),4)),VALUE(MID(INDEX('입력_구리근무자명단'!$A695:$ZZ695,1,$E$2+3),6,2)),VALUE(MID(INDEX('입력_구리근무자명단'!$A695:$ZZ695,1,$E$2+3),9,2))),-1))))</f>
        <v/>
      </c>
      <c r="U697">
        <f>IF($R697="","",IF(OR($S697&lt;0,$T697&lt;0),0,MAX(0,MIN($T697,EOMONTH(급여기준월,0))-MAX($S697,급여기준월)+1)))</f>
        <v/>
      </c>
      <c r="V697">
        <f>IF($R697="","",TRIM(INDEX('입력_구리근무자명단'!$A695:$ZZ695,1,$E$2+5)&amp;""))</f>
        <v/>
      </c>
      <c r="W697">
        <f>IF(ISNUMBER(SEARCH("구리독자",$V697)),"구리독자","")</f>
        <v/>
      </c>
      <c r="X697">
        <f>IF($R697="","",$R697&amp;"|"&amp;IF(OR($Q697="인턴",ISNUMBER(SEARCH("수련교육부",$P697))),"인턴",$P697))</f>
        <v/>
      </c>
      <c r="Y697">
        <f>IF($R697="","",IF(COUNTIF(명단표[이름|과],$X697)=1,"명단 일치",IF(AND(COUNTIF(명단표[이름|과],$X697)=0,COUNTIF(명단표[이름],$R697)=1),"명단 일치(이름만, 과 다름)",IF(COUNTIF(명단표[이름],$R697)=0,IF(COUNTIF(기본자료표[이름],$R697)&gt;0,"명단에 없음(기본자료에는 있음)","명단에 없음"),"동명이인 확인"))))</f>
        <v/>
      </c>
      <c r="Z697">
        <f>IF($R697="","",IF($S697&lt;0,"⚠"&amp;INDEX('입력_구리근무자명단'!$A695:$ZZ695,1,$E$2+2),TEXT($S697,"yyyy-mm-dd")))</f>
        <v/>
      </c>
      <c r="AA697">
        <f>IF($R697="","",IF($T697&lt;0,"⚠"&amp;INDEX('입력_구리근무자명단'!$A695:$ZZ695,1,$E$2+3),TEXT($T697,"yyyy-mm-dd")))</f>
        <v/>
      </c>
      <c r="AB697">
        <f>AB696+IF($R697="",0,1)</f>
        <v/>
      </c>
      <c r="AC697">
        <f>IF($R697="","",$AB697)</f>
        <v/>
      </c>
    </row>
    <row r="698">
      <c r="O698">
        <f>696</f>
        <v/>
      </c>
      <c r="P698">
        <f>IF(TRIM('입력_구리근무자명단'!$A696&amp;"")&lt;&gt;"",TRIM('입력_구리근무자명단'!$A696&amp;""),P697)</f>
        <v/>
      </c>
      <c r="Q698">
        <f>'입력_구리근무자명단'!$B696&amp;""</f>
        <v/>
      </c>
      <c r="R698">
        <f>IF($E$2="","",TRIM(INDEX('입력_구리근무자명단'!$A696:$ZZ696,1,$E$2+IF($G$2="확정",1,0))&amp;""))</f>
        <v/>
      </c>
      <c r="S698">
        <f>IF($R698="","",IF(INDEX('입력_구리근무자명단'!$A696:$ZZ696,1,$E$2+2)&amp;""="",급여기준월,IF(ISNUMBER(INDEX('입력_구리근무자명단'!$A696:$ZZ696,1,$E$2+2)),INDEX('입력_구리근무자명단'!$A696:$ZZ696,1,$E$2+2),IFERROR(DATE(VALUE(LEFT(INDEX('입력_구리근무자명단'!$A696:$ZZ696,1,$E$2+2),4)),VALUE(MID(INDEX('입력_구리근무자명단'!$A696:$ZZ696,1,$E$2+2),6,2)),VALUE(MID(INDEX('입력_구리근무자명단'!$A696:$ZZ696,1,$E$2+2),9,2))),-1))))</f>
        <v/>
      </c>
      <c r="T698">
        <f>IF($R698="","",IF(INDEX('입력_구리근무자명단'!$A696:$ZZ696,1,$E$2+3)&amp;""="",EOMONTH(급여기준월,0),IF(ISNUMBER(INDEX('입력_구리근무자명단'!$A696:$ZZ696,1,$E$2+3)),INDEX('입력_구리근무자명단'!$A696:$ZZ696,1,$E$2+3),IFERROR(DATE(VALUE(LEFT(INDEX('입력_구리근무자명단'!$A696:$ZZ696,1,$E$2+3),4)),VALUE(MID(INDEX('입력_구리근무자명단'!$A696:$ZZ696,1,$E$2+3),6,2)),VALUE(MID(INDEX('입력_구리근무자명단'!$A696:$ZZ696,1,$E$2+3),9,2))),-1))))</f>
        <v/>
      </c>
      <c r="U698">
        <f>IF($R698="","",IF(OR($S698&lt;0,$T698&lt;0),0,MAX(0,MIN($T698,EOMONTH(급여기준월,0))-MAX($S698,급여기준월)+1)))</f>
        <v/>
      </c>
      <c r="V698">
        <f>IF($R698="","",TRIM(INDEX('입력_구리근무자명단'!$A696:$ZZ696,1,$E$2+5)&amp;""))</f>
        <v/>
      </c>
      <c r="W698">
        <f>IF(ISNUMBER(SEARCH("구리독자",$V698)),"구리독자","")</f>
        <v/>
      </c>
      <c r="X698">
        <f>IF($R698="","",$R698&amp;"|"&amp;IF(OR($Q698="인턴",ISNUMBER(SEARCH("수련교육부",$P698))),"인턴",$P698))</f>
        <v/>
      </c>
      <c r="Y698">
        <f>IF($R698="","",IF(COUNTIF(명단표[이름|과],$X698)=1,"명단 일치",IF(AND(COUNTIF(명단표[이름|과],$X698)=0,COUNTIF(명단표[이름],$R698)=1),"명단 일치(이름만, 과 다름)",IF(COUNTIF(명단표[이름],$R698)=0,IF(COUNTIF(기본자료표[이름],$R698)&gt;0,"명단에 없음(기본자료에는 있음)","명단에 없음"),"동명이인 확인"))))</f>
        <v/>
      </c>
      <c r="Z698">
        <f>IF($R698="","",IF($S698&lt;0,"⚠"&amp;INDEX('입력_구리근무자명단'!$A696:$ZZ696,1,$E$2+2),TEXT($S698,"yyyy-mm-dd")))</f>
        <v/>
      </c>
      <c r="AA698">
        <f>IF($R698="","",IF($T698&lt;0,"⚠"&amp;INDEX('입력_구리근무자명단'!$A696:$ZZ696,1,$E$2+3),TEXT($T698,"yyyy-mm-dd")))</f>
        <v/>
      </c>
      <c r="AB698">
        <f>AB697+IF($R698="",0,1)</f>
        <v/>
      </c>
      <c r="AC698">
        <f>IF($R698="","",$AB698)</f>
        <v/>
      </c>
    </row>
    <row r="699">
      <c r="O699">
        <f>697</f>
        <v/>
      </c>
      <c r="P699">
        <f>IF(TRIM('입력_구리근무자명단'!$A697&amp;"")&lt;&gt;"",TRIM('입력_구리근무자명단'!$A697&amp;""),P698)</f>
        <v/>
      </c>
      <c r="Q699">
        <f>'입력_구리근무자명단'!$B697&amp;""</f>
        <v/>
      </c>
      <c r="R699">
        <f>IF($E$2="","",TRIM(INDEX('입력_구리근무자명단'!$A697:$ZZ697,1,$E$2+IF($G$2="확정",1,0))&amp;""))</f>
        <v/>
      </c>
      <c r="S699">
        <f>IF($R699="","",IF(INDEX('입력_구리근무자명단'!$A697:$ZZ697,1,$E$2+2)&amp;""="",급여기준월,IF(ISNUMBER(INDEX('입력_구리근무자명단'!$A697:$ZZ697,1,$E$2+2)),INDEX('입력_구리근무자명단'!$A697:$ZZ697,1,$E$2+2),IFERROR(DATE(VALUE(LEFT(INDEX('입력_구리근무자명단'!$A697:$ZZ697,1,$E$2+2),4)),VALUE(MID(INDEX('입력_구리근무자명단'!$A697:$ZZ697,1,$E$2+2),6,2)),VALUE(MID(INDEX('입력_구리근무자명단'!$A697:$ZZ697,1,$E$2+2),9,2))),-1))))</f>
        <v/>
      </c>
      <c r="T699">
        <f>IF($R699="","",IF(INDEX('입력_구리근무자명단'!$A697:$ZZ697,1,$E$2+3)&amp;""="",EOMONTH(급여기준월,0),IF(ISNUMBER(INDEX('입력_구리근무자명단'!$A697:$ZZ697,1,$E$2+3)),INDEX('입력_구리근무자명단'!$A697:$ZZ697,1,$E$2+3),IFERROR(DATE(VALUE(LEFT(INDEX('입력_구리근무자명단'!$A697:$ZZ697,1,$E$2+3),4)),VALUE(MID(INDEX('입력_구리근무자명단'!$A697:$ZZ697,1,$E$2+3),6,2)),VALUE(MID(INDEX('입력_구리근무자명단'!$A697:$ZZ697,1,$E$2+3),9,2))),-1))))</f>
        <v/>
      </c>
      <c r="U699">
        <f>IF($R699="","",IF(OR($S699&lt;0,$T699&lt;0),0,MAX(0,MIN($T699,EOMONTH(급여기준월,0))-MAX($S699,급여기준월)+1)))</f>
        <v/>
      </c>
      <c r="V699">
        <f>IF($R699="","",TRIM(INDEX('입력_구리근무자명단'!$A697:$ZZ697,1,$E$2+5)&amp;""))</f>
        <v/>
      </c>
      <c r="W699">
        <f>IF(ISNUMBER(SEARCH("구리독자",$V699)),"구리독자","")</f>
        <v/>
      </c>
      <c r="X699">
        <f>IF($R699="","",$R699&amp;"|"&amp;IF(OR($Q699="인턴",ISNUMBER(SEARCH("수련교육부",$P699))),"인턴",$P699))</f>
        <v/>
      </c>
      <c r="Y699">
        <f>IF($R699="","",IF(COUNTIF(명단표[이름|과],$X699)=1,"명단 일치",IF(AND(COUNTIF(명단표[이름|과],$X699)=0,COUNTIF(명단표[이름],$R699)=1),"명단 일치(이름만, 과 다름)",IF(COUNTIF(명단표[이름],$R699)=0,IF(COUNTIF(기본자료표[이름],$R699)&gt;0,"명단에 없음(기본자료에는 있음)","명단에 없음"),"동명이인 확인"))))</f>
        <v/>
      </c>
      <c r="Z699">
        <f>IF($R699="","",IF($S699&lt;0,"⚠"&amp;INDEX('입력_구리근무자명단'!$A697:$ZZ697,1,$E$2+2),TEXT($S699,"yyyy-mm-dd")))</f>
        <v/>
      </c>
      <c r="AA699">
        <f>IF($R699="","",IF($T699&lt;0,"⚠"&amp;INDEX('입력_구리근무자명단'!$A697:$ZZ697,1,$E$2+3),TEXT($T699,"yyyy-mm-dd")))</f>
        <v/>
      </c>
      <c r="AB699">
        <f>AB698+IF($R699="",0,1)</f>
        <v/>
      </c>
      <c r="AC699">
        <f>IF($R699="","",$AB699)</f>
        <v/>
      </c>
    </row>
    <row r="700">
      <c r="O700">
        <f>698</f>
        <v/>
      </c>
      <c r="P700">
        <f>IF(TRIM('입력_구리근무자명단'!$A698&amp;"")&lt;&gt;"",TRIM('입력_구리근무자명단'!$A698&amp;""),P699)</f>
        <v/>
      </c>
      <c r="Q700">
        <f>'입력_구리근무자명단'!$B698&amp;""</f>
        <v/>
      </c>
      <c r="R700">
        <f>IF($E$2="","",TRIM(INDEX('입력_구리근무자명단'!$A698:$ZZ698,1,$E$2+IF($G$2="확정",1,0))&amp;""))</f>
        <v/>
      </c>
      <c r="S700">
        <f>IF($R700="","",IF(INDEX('입력_구리근무자명단'!$A698:$ZZ698,1,$E$2+2)&amp;""="",급여기준월,IF(ISNUMBER(INDEX('입력_구리근무자명단'!$A698:$ZZ698,1,$E$2+2)),INDEX('입력_구리근무자명단'!$A698:$ZZ698,1,$E$2+2),IFERROR(DATE(VALUE(LEFT(INDEX('입력_구리근무자명단'!$A698:$ZZ698,1,$E$2+2),4)),VALUE(MID(INDEX('입력_구리근무자명단'!$A698:$ZZ698,1,$E$2+2),6,2)),VALUE(MID(INDEX('입력_구리근무자명단'!$A698:$ZZ698,1,$E$2+2),9,2))),-1))))</f>
        <v/>
      </c>
      <c r="T700">
        <f>IF($R700="","",IF(INDEX('입력_구리근무자명단'!$A698:$ZZ698,1,$E$2+3)&amp;""="",EOMONTH(급여기준월,0),IF(ISNUMBER(INDEX('입력_구리근무자명단'!$A698:$ZZ698,1,$E$2+3)),INDEX('입력_구리근무자명단'!$A698:$ZZ698,1,$E$2+3),IFERROR(DATE(VALUE(LEFT(INDEX('입력_구리근무자명단'!$A698:$ZZ698,1,$E$2+3),4)),VALUE(MID(INDEX('입력_구리근무자명단'!$A698:$ZZ698,1,$E$2+3),6,2)),VALUE(MID(INDEX('입력_구리근무자명단'!$A698:$ZZ698,1,$E$2+3),9,2))),-1))))</f>
        <v/>
      </c>
      <c r="U700">
        <f>IF($R700="","",IF(OR($S700&lt;0,$T700&lt;0),0,MAX(0,MIN($T700,EOMONTH(급여기준월,0))-MAX($S700,급여기준월)+1)))</f>
        <v/>
      </c>
      <c r="V700">
        <f>IF($R700="","",TRIM(INDEX('입력_구리근무자명단'!$A698:$ZZ698,1,$E$2+5)&amp;""))</f>
        <v/>
      </c>
      <c r="W700">
        <f>IF(ISNUMBER(SEARCH("구리독자",$V700)),"구리독자","")</f>
        <v/>
      </c>
      <c r="X700">
        <f>IF($R700="","",$R700&amp;"|"&amp;IF(OR($Q700="인턴",ISNUMBER(SEARCH("수련교육부",$P700))),"인턴",$P700))</f>
        <v/>
      </c>
      <c r="Y700">
        <f>IF($R700="","",IF(COUNTIF(명단표[이름|과],$X700)=1,"명단 일치",IF(AND(COUNTIF(명단표[이름|과],$X700)=0,COUNTIF(명단표[이름],$R700)=1),"명단 일치(이름만, 과 다름)",IF(COUNTIF(명단표[이름],$R700)=0,IF(COUNTIF(기본자료표[이름],$R700)&gt;0,"명단에 없음(기본자료에는 있음)","명단에 없음"),"동명이인 확인"))))</f>
        <v/>
      </c>
      <c r="Z700">
        <f>IF($R700="","",IF($S700&lt;0,"⚠"&amp;INDEX('입력_구리근무자명단'!$A698:$ZZ698,1,$E$2+2),TEXT($S700,"yyyy-mm-dd")))</f>
        <v/>
      </c>
      <c r="AA700">
        <f>IF($R700="","",IF($T700&lt;0,"⚠"&amp;INDEX('입력_구리근무자명단'!$A698:$ZZ698,1,$E$2+3),TEXT($T700,"yyyy-mm-dd")))</f>
        <v/>
      </c>
      <c r="AB700">
        <f>AB699+IF($R700="",0,1)</f>
        <v/>
      </c>
      <c r="AC700">
        <f>IF($R700="","",$AB700)</f>
        <v/>
      </c>
    </row>
    <row r="701">
      <c r="O701">
        <f>699</f>
        <v/>
      </c>
      <c r="P701">
        <f>IF(TRIM('입력_구리근무자명단'!$A699&amp;"")&lt;&gt;"",TRIM('입력_구리근무자명단'!$A699&amp;""),P700)</f>
        <v/>
      </c>
      <c r="Q701">
        <f>'입력_구리근무자명단'!$B699&amp;""</f>
        <v/>
      </c>
      <c r="R701">
        <f>IF($E$2="","",TRIM(INDEX('입력_구리근무자명단'!$A699:$ZZ699,1,$E$2+IF($G$2="확정",1,0))&amp;""))</f>
        <v/>
      </c>
      <c r="S701">
        <f>IF($R701="","",IF(INDEX('입력_구리근무자명단'!$A699:$ZZ699,1,$E$2+2)&amp;""="",급여기준월,IF(ISNUMBER(INDEX('입력_구리근무자명단'!$A699:$ZZ699,1,$E$2+2)),INDEX('입력_구리근무자명단'!$A699:$ZZ699,1,$E$2+2),IFERROR(DATE(VALUE(LEFT(INDEX('입력_구리근무자명단'!$A699:$ZZ699,1,$E$2+2),4)),VALUE(MID(INDEX('입력_구리근무자명단'!$A699:$ZZ699,1,$E$2+2),6,2)),VALUE(MID(INDEX('입력_구리근무자명단'!$A699:$ZZ699,1,$E$2+2),9,2))),-1))))</f>
        <v/>
      </c>
      <c r="T701">
        <f>IF($R701="","",IF(INDEX('입력_구리근무자명단'!$A699:$ZZ699,1,$E$2+3)&amp;""="",EOMONTH(급여기준월,0),IF(ISNUMBER(INDEX('입력_구리근무자명단'!$A699:$ZZ699,1,$E$2+3)),INDEX('입력_구리근무자명단'!$A699:$ZZ699,1,$E$2+3),IFERROR(DATE(VALUE(LEFT(INDEX('입력_구리근무자명단'!$A699:$ZZ699,1,$E$2+3),4)),VALUE(MID(INDEX('입력_구리근무자명단'!$A699:$ZZ699,1,$E$2+3),6,2)),VALUE(MID(INDEX('입력_구리근무자명단'!$A699:$ZZ699,1,$E$2+3),9,2))),-1))))</f>
        <v/>
      </c>
      <c r="U701">
        <f>IF($R701="","",IF(OR($S701&lt;0,$T701&lt;0),0,MAX(0,MIN($T701,EOMONTH(급여기준월,0))-MAX($S701,급여기준월)+1)))</f>
        <v/>
      </c>
      <c r="V701">
        <f>IF($R701="","",TRIM(INDEX('입력_구리근무자명단'!$A699:$ZZ699,1,$E$2+5)&amp;""))</f>
        <v/>
      </c>
      <c r="W701">
        <f>IF(ISNUMBER(SEARCH("구리독자",$V701)),"구리독자","")</f>
        <v/>
      </c>
      <c r="X701">
        <f>IF($R701="","",$R701&amp;"|"&amp;IF(OR($Q701="인턴",ISNUMBER(SEARCH("수련교육부",$P701))),"인턴",$P701))</f>
        <v/>
      </c>
      <c r="Y701">
        <f>IF($R701="","",IF(COUNTIF(명단표[이름|과],$X701)=1,"명단 일치",IF(AND(COUNTIF(명단표[이름|과],$X701)=0,COUNTIF(명단표[이름],$R701)=1),"명단 일치(이름만, 과 다름)",IF(COUNTIF(명단표[이름],$R701)=0,IF(COUNTIF(기본자료표[이름],$R701)&gt;0,"명단에 없음(기본자료에는 있음)","명단에 없음"),"동명이인 확인"))))</f>
        <v/>
      </c>
      <c r="Z701">
        <f>IF($R701="","",IF($S701&lt;0,"⚠"&amp;INDEX('입력_구리근무자명단'!$A699:$ZZ699,1,$E$2+2),TEXT($S701,"yyyy-mm-dd")))</f>
        <v/>
      </c>
      <c r="AA701">
        <f>IF($R701="","",IF($T701&lt;0,"⚠"&amp;INDEX('입력_구리근무자명단'!$A699:$ZZ699,1,$E$2+3),TEXT($T701,"yyyy-mm-dd")))</f>
        <v/>
      </c>
      <c r="AB701">
        <f>AB700+IF($R701="",0,1)</f>
        <v/>
      </c>
      <c r="AC701">
        <f>IF($R701="","",$AB701)</f>
        <v/>
      </c>
    </row>
    <row r="702">
      <c r="O702">
        <f>700</f>
        <v/>
      </c>
      <c r="P702">
        <f>IF(TRIM('입력_구리근무자명단'!$A700&amp;"")&lt;&gt;"",TRIM('입력_구리근무자명단'!$A700&amp;""),P701)</f>
        <v/>
      </c>
      <c r="Q702">
        <f>'입력_구리근무자명단'!$B700&amp;""</f>
        <v/>
      </c>
      <c r="R702">
        <f>IF($E$2="","",TRIM(INDEX('입력_구리근무자명단'!$A700:$ZZ700,1,$E$2+IF($G$2="확정",1,0))&amp;""))</f>
        <v/>
      </c>
      <c r="S702">
        <f>IF($R702="","",IF(INDEX('입력_구리근무자명단'!$A700:$ZZ700,1,$E$2+2)&amp;""="",급여기준월,IF(ISNUMBER(INDEX('입력_구리근무자명단'!$A700:$ZZ700,1,$E$2+2)),INDEX('입력_구리근무자명단'!$A700:$ZZ700,1,$E$2+2),IFERROR(DATE(VALUE(LEFT(INDEX('입력_구리근무자명단'!$A700:$ZZ700,1,$E$2+2),4)),VALUE(MID(INDEX('입력_구리근무자명단'!$A700:$ZZ700,1,$E$2+2),6,2)),VALUE(MID(INDEX('입력_구리근무자명단'!$A700:$ZZ700,1,$E$2+2),9,2))),-1))))</f>
        <v/>
      </c>
      <c r="T702">
        <f>IF($R702="","",IF(INDEX('입력_구리근무자명단'!$A700:$ZZ700,1,$E$2+3)&amp;""="",EOMONTH(급여기준월,0),IF(ISNUMBER(INDEX('입력_구리근무자명단'!$A700:$ZZ700,1,$E$2+3)),INDEX('입력_구리근무자명단'!$A700:$ZZ700,1,$E$2+3),IFERROR(DATE(VALUE(LEFT(INDEX('입력_구리근무자명단'!$A700:$ZZ700,1,$E$2+3),4)),VALUE(MID(INDEX('입력_구리근무자명단'!$A700:$ZZ700,1,$E$2+3),6,2)),VALUE(MID(INDEX('입력_구리근무자명단'!$A700:$ZZ700,1,$E$2+3),9,2))),-1))))</f>
        <v/>
      </c>
      <c r="U702">
        <f>IF($R702="","",IF(OR($S702&lt;0,$T702&lt;0),0,MAX(0,MIN($T702,EOMONTH(급여기준월,0))-MAX($S702,급여기준월)+1)))</f>
        <v/>
      </c>
      <c r="V702">
        <f>IF($R702="","",TRIM(INDEX('입력_구리근무자명단'!$A700:$ZZ700,1,$E$2+5)&amp;""))</f>
        <v/>
      </c>
      <c r="W702">
        <f>IF(ISNUMBER(SEARCH("구리독자",$V702)),"구리독자","")</f>
        <v/>
      </c>
      <c r="X702">
        <f>IF($R702="","",$R702&amp;"|"&amp;IF(OR($Q702="인턴",ISNUMBER(SEARCH("수련교육부",$P702))),"인턴",$P702))</f>
        <v/>
      </c>
      <c r="Y702">
        <f>IF($R702="","",IF(COUNTIF(명단표[이름|과],$X702)=1,"명단 일치",IF(AND(COUNTIF(명단표[이름|과],$X702)=0,COUNTIF(명단표[이름],$R702)=1),"명단 일치(이름만, 과 다름)",IF(COUNTIF(명단표[이름],$R702)=0,IF(COUNTIF(기본자료표[이름],$R702)&gt;0,"명단에 없음(기본자료에는 있음)","명단에 없음"),"동명이인 확인"))))</f>
        <v/>
      </c>
      <c r="Z702">
        <f>IF($R702="","",IF($S702&lt;0,"⚠"&amp;INDEX('입력_구리근무자명단'!$A700:$ZZ700,1,$E$2+2),TEXT($S702,"yyyy-mm-dd")))</f>
        <v/>
      </c>
      <c r="AA702">
        <f>IF($R702="","",IF($T702&lt;0,"⚠"&amp;INDEX('입력_구리근무자명단'!$A700:$ZZ700,1,$E$2+3),TEXT($T702,"yyyy-mm-dd")))</f>
        <v/>
      </c>
      <c r="AB702">
        <f>AB701+IF($R702="",0,1)</f>
        <v/>
      </c>
      <c r="AC702">
        <f>IF($R702="","",$AB702)</f>
        <v/>
      </c>
    </row>
    <row r="703">
      <c r="O703">
        <f>701</f>
        <v/>
      </c>
      <c r="P703">
        <f>IF(TRIM('입력_구리근무자명단'!$A701&amp;"")&lt;&gt;"",TRIM('입력_구리근무자명단'!$A701&amp;""),P702)</f>
        <v/>
      </c>
      <c r="Q703">
        <f>'입력_구리근무자명단'!$B701&amp;""</f>
        <v/>
      </c>
      <c r="R703">
        <f>IF($E$2="","",TRIM(INDEX('입력_구리근무자명단'!$A701:$ZZ701,1,$E$2+IF($G$2="확정",1,0))&amp;""))</f>
        <v/>
      </c>
      <c r="S703">
        <f>IF($R703="","",IF(INDEX('입력_구리근무자명단'!$A701:$ZZ701,1,$E$2+2)&amp;""="",급여기준월,IF(ISNUMBER(INDEX('입력_구리근무자명단'!$A701:$ZZ701,1,$E$2+2)),INDEX('입력_구리근무자명단'!$A701:$ZZ701,1,$E$2+2),IFERROR(DATE(VALUE(LEFT(INDEX('입력_구리근무자명단'!$A701:$ZZ701,1,$E$2+2),4)),VALUE(MID(INDEX('입력_구리근무자명단'!$A701:$ZZ701,1,$E$2+2),6,2)),VALUE(MID(INDEX('입력_구리근무자명단'!$A701:$ZZ701,1,$E$2+2),9,2))),-1))))</f>
        <v/>
      </c>
      <c r="T703">
        <f>IF($R703="","",IF(INDEX('입력_구리근무자명단'!$A701:$ZZ701,1,$E$2+3)&amp;""="",EOMONTH(급여기준월,0),IF(ISNUMBER(INDEX('입력_구리근무자명단'!$A701:$ZZ701,1,$E$2+3)),INDEX('입력_구리근무자명단'!$A701:$ZZ701,1,$E$2+3),IFERROR(DATE(VALUE(LEFT(INDEX('입력_구리근무자명단'!$A701:$ZZ701,1,$E$2+3),4)),VALUE(MID(INDEX('입력_구리근무자명단'!$A701:$ZZ701,1,$E$2+3),6,2)),VALUE(MID(INDEX('입력_구리근무자명단'!$A701:$ZZ701,1,$E$2+3),9,2))),-1))))</f>
        <v/>
      </c>
      <c r="U703">
        <f>IF($R703="","",IF(OR($S703&lt;0,$T703&lt;0),0,MAX(0,MIN($T703,EOMONTH(급여기준월,0))-MAX($S703,급여기준월)+1)))</f>
        <v/>
      </c>
      <c r="V703">
        <f>IF($R703="","",TRIM(INDEX('입력_구리근무자명단'!$A701:$ZZ701,1,$E$2+5)&amp;""))</f>
        <v/>
      </c>
      <c r="W703">
        <f>IF(ISNUMBER(SEARCH("구리독자",$V703)),"구리독자","")</f>
        <v/>
      </c>
      <c r="X703">
        <f>IF($R703="","",$R703&amp;"|"&amp;IF(OR($Q703="인턴",ISNUMBER(SEARCH("수련교육부",$P703))),"인턴",$P703))</f>
        <v/>
      </c>
      <c r="Y703">
        <f>IF($R703="","",IF(COUNTIF(명단표[이름|과],$X703)=1,"명단 일치",IF(AND(COUNTIF(명단표[이름|과],$X703)=0,COUNTIF(명단표[이름],$R703)=1),"명단 일치(이름만, 과 다름)",IF(COUNTIF(명단표[이름],$R703)=0,IF(COUNTIF(기본자료표[이름],$R703)&gt;0,"명단에 없음(기본자료에는 있음)","명단에 없음"),"동명이인 확인"))))</f>
        <v/>
      </c>
      <c r="Z703">
        <f>IF($R703="","",IF($S703&lt;0,"⚠"&amp;INDEX('입력_구리근무자명단'!$A701:$ZZ701,1,$E$2+2),TEXT($S703,"yyyy-mm-dd")))</f>
        <v/>
      </c>
      <c r="AA703">
        <f>IF($R703="","",IF($T703&lt;0,"⚠"&amp;INDEX('입력_구리근무자명단'!$A701:$ZZ701,1,$E$2+3),TEXT($T703,"yyyy-mm-dd")))</f>
        <v/>
      </c>
      <c r="AB703">
        <f>AB702+IF($R703="",0,1)</f>
        <v/>
      </c>
      <c r="AC703">
        <f>IF($R703="","",$AB703)</f>
        <v/>
      </c>
    </row>
    <row r="704">
      <c r="O704">
        <f>702</f>
        <v/>
      </c>
      <c r="P704">
        <f>IF(TRIM('입력_구리근무자명단'!$A702&amp;"")&lt;&gt;"",TRIM('입력_구리근무자명단'!$A702&amp;""),P703)</f>
        <v/>
      </c>
      <c r="Q704">
        <f>'입력_구리근무자명단'!$B702&amp;""</f>
        <v/>
      </c>
      <c r="R704">
        <f>IF($E$2="","",TRIM(INDEX('입력_구리근무자명단'!$A702:$ZZ702,1,$E$2+IF($G$2="확정",1,0))&amp;""))</f>
        <v/>
      </c>
      <c r="S704">
        <f>IF($R704="","",IF(INDEX('입력_구리근무자명단'!$A702:$ZZ702,1,$E$2+2)&amp;""="",급여기준월,IF(ISNUMBER(INDEX('입력_구리근무자명단'!$A702:$ZZ702,1,$E$2+2)),INDEX('입력_구리근무자명단'!$A702:$ZZ702,1,$E$2+2),IFERROR(DATE(VALUE(LEFT(INDEX('입력_구리근무자명단'!$A702:$ZZ702,1,$E$2+2),4)),VALUE(MID(INDEX('입력_구리근무자명단'!$A702:$ZZ702,1,$E$2+2),6,2)),VALUE(MID(INDEX('입력_구리근무자명단'!$A702:$ZZ702,1,$E$2+2),9,2))),-1))))</f>
        <v/>
      </c>
      <c r="T704">
        <f>IF($R704="","",IF(INDEX('입력_구리근무자명단'!$A702:$ZZ702,1,$E$2+3)&amp;""="",EOMONTH(급여기준월,0),IF(ISNUMBER(INDEX('입력_구리근무자명단'!$A702:$ZZ702,1,$E$2+3)),INDEX('입력_구리근무자명단'!$A702:$ZZ702,1,$E$2+3),IFERROR(DATE(VALUE(LEFT(INDEX('입력_구리근무자명단'!$A702:$ZZ702,1,$E$2+3),4)),VALUE(MID(INDEX('입력_구리근무자명단'!$A702:$ZZ702,1,$E$2+3),6,2)),VALUE(MID(INDEX('입력_구리근무자명단'!$A702:$ZZ702,1,$E$2+3),9,2))),-1))))</f>
        <v/>
      </c>
      <c r="U704">
        <f>IF($R704="","",IF(OR($S704&lt;0,$T704&lt;0),0,MAX(0,MIN($T704,EOMONTH(급여기준월,0))-MAX($S704,급여기준월)+1)))</f>
        <v/>
      </c>
      <c r="V704">
        <f>IF($R704="","",TRIM(INDEX('입력_구리근무자명단'!$A702:$ZZ702,1,$E$2+5)&amp;""))</f>
        <v/>
      </c>
      <c r="W704">
        <f>IF(ISNUMBER(SEARCH("구리독자",$V704)),"구리독자","")</f>
        <v/>
      </c>
      <c r="X704">
        <f>IF($R704="","",$R704&amp;"|"&amp;IF(OR($Q704="인턴",ISNUMBER(SEARCH("수련교육부",$P704))),"인턴",$P704))</f>
        <v/>
      </c>
      <c r="Y704">
        <f>IF($R704="","",IF(COUNTIF(명단표[이름|과],$X704)=1,"명단 일치",IF(AND(COUNTIF(명단표[이름|과],$X704)=0,COUNTIF(명단표[이름],$R704)=1),"명단 일치(이름만, 과 다름)",IF(COUNTIF(명단표[이름],$R704)=0,IF(COUNTIF(기본자료표[이름],$R704)&gt;0,"명단에 없음(기본자료에는 있음)","명단에 없음"),"동명이인 확인"))))</f>
        <v/>
      </c>
      <c r="Z704">
        <f>IF($R704="","",IF($S704&lt;0,"⚠"&amp;INDEX('입력_구리근무자명단'!$A702:$ZZ702,1,$E$2+2),TEXT($S704,"yyyy-mm-dd")))</f>
        <v/>
      </c>
      <c r="AA704">
        <f>IF($R704="","",IF($T704&lt;0,"⚠"&amp;INDEX('입력_구리근무자명단'!$A702:$ZZ702,1,$E$2+3),TEXT($T704,"yyyy-mm-dd")))</f>
        <v/>
      </c>
      <c r="AB704">
        <f>AB703+IF($R704="",0,1)</f>
        <v/>
      </c>
      <c r="AC704">
        <f>IF($R704="","",$AB704)</f>
        <v/>
      </c>
    </row>
    <row r="705">
      <c r="O705">
        <f>703</f>
        <v/>
      </c>
      <c r="P705">
        <f>IF(TRIM('입력_구리근무자명단'!$A703&amp;"")&lt;&gt;"",TRIM('입력_구리근무자명단'!$A703&amp;""),P704)</f>
        <v/>
      </c>
      <c r="Q705">
        <f>'입력_구리근무자명단'!$B703&amp;""</f>
        <v/>
      </c>
      <c r="R705">
        <f>IF($E$2="","",TRIM(INDEX('입력_구리근무자명단'!$A703:$ZZ703,1,$E$2+IF($G$2="확정",1,0))&amp;""))</f>
        <v/>
      </c>
      <c r="S705">
        <f>IF($R705="","",IF(INDEX('입력_구리근무자명단'!$A703:$ZZ703,1,$E$2+2)&amp;""="",급여기준월,IF(ISNUMBER(INDEX('입력_구리근무자명단'!$A703:$ZZ703,1,$E$2+2)),INDEX('입력_구리근무자명단'!$A703:$ZZ703,1,$E$2+2),IFERROR(DATE(VALUE(LEFT(INDEX('입력_구리근무자명단'!$A703:$ZZ703,1,$E$2+2),4)),VALUE(MID(INDEX('입력_구리근무자명단'!$A703:$ZZ703,1,$E$2+2),6,2)),VALUE(MID(INDEX('입력_구리근무자명단'!$A703:$ZZ703,1,$E$2+2),9,2))),-1))))</f>
        <v/>
      </c>
      <c r="T705">
        <f>IF($R705="","",IF(INDEX('입력_구리근무자명단'!$A703:$ZZ703,1,$E$2+3)&amp;""="",EOMONTH(급여기준월,0),IF(ISNUMBER(INDEX('입력_구리근무자명단'!$A703:$ZZ703,1,$E$2+3)),INDEX('입력_구리근무자명단'!$A703:$ZZ703,1,$E$2+3),IFERROR(DATE(VALUE(LEFT(INDEX('입력_구리근무자명단'!$A703:$ZZ703,1,$E$2+3),4)),VALUE(MID(INDEX('입력_구리근무자명단'!$A703:$ZZ703,1,$E$2+3),6,2)),VALUE(MID(INDEX('입력_구리근무자명단'!$A703:$ZZ703,1,$E$2+3),9,2))),-1))))</f>
        <v/>
      </c>
      <c r="U705">
        <f>IF($R705="","",IF(OR($S705&lt;0,$T705&lt;0),0,MAX(0,MIN($T705,EOMONTH(급여기준월,0))-MAX($S705,급여기준월)+1)))</f>
        <v/>
      </c>
      <c r="V705">
        <f>IF($R705="","",TRIM(INDEX('입력_구리근무자명단'!$A703:$ZZ703,1,$E$2+5)&amp;""))</f>
        <v/>
      </c>
      <c r="W705">
        <f>IF(ISNUMBER(SEARCH("구리독자",$V705)),"구리독자","")</f>
        <v/>
      </c>
      <c r="X705">
        <f>IF($R705="","",$R705&amp;"|"&amp;IF(OR($Q705="인턴",ISNUMBER(SEARCH("수련교육부",$P705))),"인턴",$P705))</f>
        <v/>
      </c>
      <c r="Y705">
        <f>IF($R705="","",IF(COUNTIF(명단표[이름|과],$X705)=1,"명단 일치",IF(AND(COUNTIF(명단표[이름|과],$X705)=0,COUNTIF(명단표[이름],$R705)=1),"명단 일치(이름만, 과 다름)",IF(COUNTIF(명단표[이름],$R705)=0,IF(COUNTIF(기본자료표[이름],$R705)&gt;0,"명단에 없음(기본자료에는 있음)","명단에 없음"),"동명이인 확인"))))</f>
        <v/>
      </c>
      <c r="Z705">
        <f>IF($R705="","",IF($S705&lt;0,"⚠"&amp;INDEX('입력_구리근무자명단'!$A703:$ZZ703,1,$E$2+2),TEXT($S705,"yyyy-mm-dd")))</f>
        <v/>
      </c>
      <c r="AA705">
        <f>IF($R705="","",IF($T705&lt;0,"⚠"&amp;INDEX('입력_구리근무자명단'!$A703:$ZZ703,1,$E$2+3),TEXT($T705,"yyyy-mm-dd")))</f>
        <v/>
      </c>
      <c r="AB705">
        <f>AB704+IF($R705="",0,1)</f>
        <v/>
      </c>
      <c r="AC705">
        <f>IF($R705="","",$AB705)</f>
        <v/>
      </c>
    </row>
    <row r="706">
      <c r="O706">
        <f>704</f>
        <v/>
      </c>
      <c r="P706">
        <f>IF(TRIM('입력_구리근무자명단'!$A704&amp;"")&lt;&gt;"",TRIM('입력_구리근무자명단'!$A704&amp;""),P705)</f>
        <v/>
      </c>
      <c r="Q706">
        <f>'입력_구리근무자명단'!$B704&amp;""</f>
        <v/>
      </c>
      <c r="R706">
        <f>IF($E$2="","",TRIM(INDEX('입력_구리근무자명단'!$A704:$ZZ704,1,$E$2+IF($G$2="확정",1,0))&amp;""))</f>
        <v/>
      </c>
      <c r="S706">
        <f>IF($R706="","",IF(INDEX('입력_구리근무자명단'!$A704:$ZZ704,1,$E$2+2)&amp;""="",급여기준월,IF(ISNUMBER(INDEX('입력_구리근무자명단'!$A704:$ZZ704,1,$E$2+2)),INDEX('입력_구리근무자명단'!$A704:$ZZ704,1,$E$2+2),IFERROR(DATE(VALUE(LEFT(INDEX('입력_구리근무자명단'!$A704:$ZZ704,1,$E$2+2),4)),VALUE(MID(INDEX('입력_구리근무자명단'!$A704:$ZZ704,1,$E$2+2),6,2)),VALUE(MID(INDEX('입력_구리근무자명단'!$A704:$ZZ704,1,$E$2+2),9,2))),-1))))</f>
        <v/>
      </c>
      <c r="T706">
        <f>IF($R706="","",IF(INDEX('입력_구리근무자명단'!$A704:$ZZ704,1,$E$2+3)&amp;""="",EOMONTH(급여기준월,0),IF(ISNUMBER(INDEX('입력_구리근무자명단'!$A704:$ZZ704,1,$E$2+3)),INDEX('입력_구리근무자명단'!$A704:$ZZ704,1,$E$2+3),IFERROR(DATE(VALUE(LEFT(INDEX('입력_구리근무자명단'!$A704:$ZZ704,1,$E$2+3),4)),VALUE(MID(INDEX('입력_구리근무자명단'!$A704:$ZZ704,1,$E$2+3),6,2)),VALUE(MID(INDEX('입력_구리근무자명단'!$A704:$ZZ704,1,$E$2+3),9,2))),-1))))</f>
        <v/>
      </c>
      <c r="U706">
        <f>IF($R706="","",IF(OR($S706&lt;0,$T706&lt;0),0,MAX(0,MIN($T706,EOMONTH(급여기준월,0))-MAX($S706,급여기준월)+1)))</f>
        <v/>
      </c>
      <c r="V706">
        <f>IF($R706="","",TRIM(INDEX('입력_구리근무자명단'!$A704:$ZZ704,1,$E$2+5)&amp;""))</f>
        <v/>
      </c>
      <c r="W706">
        <f>IF(ISNUMBER(SEARCH("구리독자",$V706)),"구리독자","")</f>
        <v/>
      </c>
      <c r="X706">
        <f>IF($R706="","",$R706&amp;"|"&amp;IF(OR($Q706="인턴",ISNUMBER(SEARCH("수련교육부",$P706))),"인턴",$P706))</f>
        <v/>
      </c>
      <c r="Y706">
        <f>IF($R706="","",IF(COUNTIF(명단표[이름|과],$X706)=1,"명단 일치",IF(AND(COUNTIF(명단표[이름|과],$X706)=0,COUNTIF(명단표[이름],$R706)=1),"명단 일치(이름만, 과 다름)",IF(COUNTIF(명단표[이름],$R706)=0,IF(COUNTIF(기본자료표[이름],$R706)&gt;0,"명단에 없음(기본자료에는 있음)","명단에 없음"),"동명이인 확인"))))</f>
        <v/>
      </c>
      <c r="Z706">
        <f>IF($R706="","",IF($S706&lt;0,"⚠"&amp;INDEX('입력_구리근무자명단'!$A704:$ZZ704,1,$E$2+2),TEXT($S706,"yyyy-mm-dd")))</f>
        <v/>
      </c>
      <c r="AA706">
        <f>IF($R706="","",IF($T706&lt;0,"⚠"&amp;INDEX('입력_구리근무자명단'!$A704:$ZZ704,1,$E$2+3),TEXT($T706,"yyyy-mm-dd")))</f>
        <v/>
      </c>
      <c r="AB706">
        <f>AB705+IF($R706="",0,1)</f>
        <v/>
      </c>
      <c r="AC706">
        <f>IF($R706="","",$AB706)</f>
        <v/>
      </c>
    </row>
    <row r="707">
      <c r="O707">
        <f>705</f>
        <v/>
      </c>
      <c r="P707">
        <f>IF(TRIM('입력_구리근무자명단'!$A705&amp;"")&lt;&gt;"",TRIM('입력_구리근무자명단'!$A705&amp;""),P706)</f>
        <v/>
      </c>
      <c r="Q707">
        <f>'입력_구리근무자명단'!$B705&amp;""</f>
        <v/>
      </c>
      <c r="R707">
        <f>IF($E$2="","",TRIM(INDEX('입력_구리근무자명단'!$A705:$ZZ705,1,$E$2+IF($G$2="확정",1,0))&amp;""))</f>
        <v/>
      </c>
      <c r="S707">
        <f>IF($R707="","",IF(INDEX('입력_구리근무자명단'!$A705:$ZZ705,1,$E$2+2)&amp;""="",급여기준월,IF(ISNUMBER(INDEX('입력_구리근무자명단'!$A705:$ZZ705,1,$E$2+2)),INDEX('입력_구리근무자명단'!$A705:$ZZ705,1,$E$2+2),IFERROR(DATE(VALUE(LEFT(INDEX('입력_구리근무자명단'!$A705:$ZZ705,1,$E$2+2),4)),VALUE(MID(INDEX('입력_구리근무자명단'!$A705:$ZZ705,1,$E$2+2),6,2)),VALUE(MID(INDEX('입력_구리근무자명단'!$A705:$ZZ705,1,$E$2+2),9,2))),-1))))</f>
        <v/>
      </c>
      <c r="T707">
        <f>IF($R707="","",IF(INDEX('입력_구리근무자명단'!$A705:$ZZ705,1,$E$2+3)&amp;""="",EOMONTH(급여기준월,0),IF(ISNUMBER(INDEX('입력_구리근무자명단'!$A705:$ZZ705,1,$E$2+3)),INDEX('입력_구리근무자명단'!$A705:$ZZ705,1,$E$2+3),IFERROR(DATE(VALUE(LEFT(INDEX('입력_구리근무자명단'!$A705:$ZZ705,1,$E$2+3),4)),VALUE(MID(INDEX('입력_구리근무자명단'!$A705:$ZZ705,1,$E$2+3),6,2)),VALUE(MID(INDEX('입력_구리근무자명단'!$A705:$ZZ705,1,$E$2+3),9,2))),-1))))</f>
        <v/>
      </c>
      <c r="U707">
        <f>IF($R707="","",IF(OR($S707&lt;0,$T707&lt;0),0,MAX(0,MIN($T707,EOMONTH(급여기준월,0))-MAX($S707,급여기준월)+1)))</f>
        <v/>
      </c>
      <c r="V707">
        <f>IF($R707="","",TRIM(INDEX('입력_구리근무자명단'!$A705:$ZZ705,1,$E$2+5)&amp;""))</f>
        <v/>
      </c>
      <c r="W707">
        <f>IF(ISNUMBER(SEARCH("구리독자",$V707)),"구리독자","")</f>
        <v/>
      </c>
      <c r="X707">
        <f>IF($R707="","",$R707&amp;"|"&amp;IF(OR($Q707="인턴",ISNUMBER(SEARCH("수련교육부",$P707))),"인턴",$P707))</f>
        <v/>
      </c>
      <c r="Y707">
        <f>IF($R707="","",IF(COUNTIF(명단표[이름|과],$X707)=1,"명단 일치",IF(AND(COUNTIF(명단표[이름|과],$X707)=0,COUNTIF(명단표[이름],$R707)=1),"명단 일치(이름만, 과 다름)",IF(COUNTIF(명단표[이름],$R707)=0,IF(COUNTIF(기본자료표[이름],$R707)&gt;0,"명단에 없음(기본자료에는 있음)","명단에 없음"),"동명이인 확인"))))</f>
        <v/>
      </c>
      <c r="Z707">
        <f>IF($R707="","",IF($S707&lt;0,"⚠"&amp;INDEX('입력_구리근무자명단'!$A705:$ZZ705,1,$E$2+2),TEXT($S707,"yyyy-mm-dd")))</f>
        <v/>
      </c>
      <c r="AA707">
        <f>IF($R707="","",IF($T707&lt;0,"⚠"&amp;INDEX('입력_구리근무자명단'!$A705:$ZZ705,1,$E$2+3),TEXT($T707,"yyyy-mm-dd")))</f>
        <v/>
      </c>
      <c r="AB707">
        <f>AB706+IF($R707="",0,1)</f>
        <v/>
      </c>
      <c r="AC707">
        <f>IF($R707="","",$AB707)</f>
        <v/>
      </c>
    </row>
    <row r="708">
      <c r="O708">
        <f>706</f>
        <v/>
      </c>
      <c r="P708">
        <f>IF(TRIM('입력_구리근무자명단'!$A706&amp;"")&lt;&gt;"",TRIM('입력_구리근무자명단'!$A706&amp;""),P707)</f>
        <v/>
      </c>
      <c r="Q708">
        <f>'입력_구리근무자명단'!$B706&amp;""</f>
        <v/>
      </c>
      <c r="R708">
        <f>IF($E$2="","",TRIM(INDEX('입력_구리근무자명단'!$A706:$ZZ706,1,$E$2+IF($G$2="확정",1,0))&amp;""))</f>
        <v/>
      </c>
      <c r="S708">
        <f>IF($R708="","",IF(INDEX('입력_구리근무자명단'!$A706:$ZZ706,1,$E$2+2)&amp;""="",급여기준월,IF(ISNUMBER(INDEX('입력_구리근무자명단'!$A706:$ZZ706,1,$E$2+2)),INDEX('입력_구리근무자명단'!$A706:$ZZ706,1,$E$2+2),IFERROR(DATE(VALUE(LEFT(INDEX('입력_구리근무자명단'!$A706:$ZZ706,1,$E$2+2),4)),VALUE(MID(INDEX('입력_구리근무자명단'!$A706:$ZZ706,1,$E$2+2),6,2)),VALUE(MID(INDEX('입력_구리근무자명단'!$A706:$ZZ706,1,$E$2+2),9,2))),-1))))</f>
        <v/>
      </c>
      <c r="T708">
        <f>IF($R708="","",IF(INDEX('입력_구리근무자명단'!$A706:$ZZ706,1,$E$2+3)&amp;""="",EOMONTH(급여기준월,0),IF(ISNUMBER(INDEX('입력_구리근무자명단'!$A706:$ZZ706,1,$E$2+3)),INDEX('입력_구리근무자명단'!$A706:$ZZ706,1,$E$2+3),IFERROR(DATE(VALUE(LEFT(INDEX('입력_구리근무자명단'!$A706:$ZZ706,1,$E$2+3),4)),VALUE(MID(INDEX('입력_구리근무자명단'!$A706:$ZZ706,1,$E$2+3),6,2)),VALUE(MID(INDEX('입력_구리근무자명단'!$A706:$ZZ706,1,$E$2+3),9,2))),-1))))</f>
        <v/>
      </c>
      <c r="U708">
        <f>IF($R708="","",IF(OR($S708&lt;0,$T708&lt;0),0,MAX(0,MIN($T708,EOMONTH(급여기준월,0))-MAX($S708,급여기준월)+1)))</f>
        <v/>
      </c>
      <c r="V708">
        <f>IF($R708="","",TRIM(INDEX('입력_구리근무자명단'!$A706:$ZZ706,1,$E$2+5)&amp;""))</f>
        <v/>
      </c>
      <c r="W708">
        <f>IF(ISNUMBER(SEARCH("구리독자",$V708)),"구리독자","")</f>
        <v/>
      </c>
      <c r="X708">
        <f>IF($R708="","",$R708&amp;"|"&amp;IF(OR($Q708="인턴",ISNUMBER(SEARCH("수련교육부",$P708))),"인턴",$P708))</f>
        <v/>
      </c>
      <c r="Y708">
        <f>IF($R708="","",IF(COUNTIF(명단표[이름|과],$X708)=1,"명단 일치",IF(AND(COUNTIF(명단표[이름|과],$X708)=0,COUNTIF(명단표[이름],$R708)=1),"명단 일치(이름만, 과 다름)",IF(COUNTIF(명단표[이름],$R708)=0,IF(COUNTIF(기본자료표[이름],$R708)&gt;0,"명단에 없음(기본자료에는 있음)","명단에 없음"),"동명이인 확인"))))</f>
        <v/>
      </c>
      <c r="Z708">
        <f>IF($R708="","",IF($S708&lt;0,"⚠"&amp;INDEX('입력_구리근무자명단'!$A706:$ZZ706,1,$E$2+2),TEXT($S708,"yyyy-mm-dd")))</f>
        <v/>
      </c>
      <c r="AA708">
        <f>IF($R708="","",IF($T708&lt;0,"⚠"&amp;INDEX('입력_구리근무자명단'!$A706:$ZZ706,1,$E$2+3),TEXT($T708,"yyyy-mm-dd")))</f>
        <v/>
      </c>
      <c r="AB708">
        <f>AB707+IF($R708="",0,1)</f>
        <v/>
      </c>
      <c r="AC708">
        <f>IF($R708="","",$AB708)</f>
        <v/>
      </c>
    </row>
    <row r="709">
      <c r="O709">
        <f>707</f>
        <v/>
      </c>
      <c r="P709">
        <f>IF(TRIM('입력_구리근무자명단'!$A707&amp;"")&lt;&gt;"",TRIM('입력_구리근무자명단'!$A707&amp;""),P708)</f>
        <v/>
      </c>
      <c r="Q709">
        <f>'입력_구리근무자명단'!$B707&amp;""</f>
        <v/>
      </c>
      <c r="R709">
        <f>IF($E$2="","",TRIM(INDEX('입력_구리근무자명단'!$A707:$ZZ707,1,$E$2+IF($G$2="확정",1,0))&amp;""))</f>
        <v/>
      </c>
      <c r="S709">
        <f>IF($R709="","",IF(INDEX('입력_구리근무자명단'!$A707:$ZZ707,1,$E$2+2)&amp;""="",급여기준월,IF(ISNUMBER(INDEX('입력_구리근무자명단'!$A707:$ZZ707,1,$E$2+2)),INDEX('입력_구리근무자명단'!$A707:$ZZ707,1,$E$2+2),IFERROR(DATE(VALUE(LEFT(INDEX('입력_구리근무자명단'!$A707:$ZZ707,1,$E$2+2),4)),VALUE(MID(INDEX('입력_구리근무자명단'!$A707:$ZZ707,1,$E$2+2),6,2)),VALUE(MID(INDEX('입력_구리근무자명단'!$A707:$ZZ707,1,$E$2+2),9,2))),-1))))</f>
        <v/>
      </c>
      <c r="T709">
        <f>IF($R709="","",IF(INDEX('입력_구리근무자명단'!$A707:$ZZ707,1,$E$2+3)&amp;""="",EOMONTH(급여기준월,0),IF(ISNUMBER(INDEX('입력_구리근무자명단'!$A707:$ZZ707,1,$E$2+3)),INDEX('입력_구리근무자명단'!$A707:$ZZ707,1,$E$2+3),IFERROR(DATE(VALUE(LEFT(INDEX('입력_구리근무자명단'!$A707:$ZZ707,1,$E$2+3),4)),VALUE(MID(INDEX('입력_구리근무자명단'!$A707:$ZZ707,1,$E$2+3),6,2)),VALUE(MID(INDEX('입력_구리근무자명단'!$A707:$ZZ707,1,$E$2+3),9,2))),-1))))</f>
        <v/>
      </c>
      <c r="U709">
        <f>IF($R709="","",IF(OR($S709&lt;0,$T709&lt;0),0,MAX(0,MIN($T709,EOMONTH(급여기준월,0))-MAX($S709,급여기준월)+1)))</f>
        <v/>
      </c>
      <c r="V709">
        <f>IF($R709="","",TRIM(INDEX('입력_구리근무자명단'!$A707:$ZZ707,1,$E$2+5)&amp;""))</f>
        <v/>
      </c>
      <c r="W709">
        <f>IF(ISNUMBER(SEARCH("구리독자",$V709)),"구리독자","")</f>
        <v/>
      </c>
      <c r="X709">
        <f>IF($R709="","",$R709&amp;"|"&amp;IF(OR($Q709="인턴",ISNUMBER(SEARCH("수련교육부",$P709))),"인턴",$P709))</f>
        <v/>
      </c>
      <c r="Y709">
        <f>IF($R709="","",IF(COUNTIF(명단표[이름|과],$X709)=1,"명단 일치",IF(AND(COUNTIF(명단표[이름|과],$X709)=0,COUNTIF(명단표[이름],$R709)=1),"명단 일치(이름만, 과 다름)",IF(COUNTIF(명단표[이름],$R709)=0,IF(COUNTIF(기본자료표[이름],$R709)&gt;0,"명단에 없음(기본자료에는 있음)","명단에 없음"),"동명이인 확인"))))</f>
        <v/>
      </c>
      <c r="Z709">
        <f>IF($R709="","",IF($S709&lt;0,"⚠"&amp;INDEX('입력_구리근무자명단'!$A707:$ZZ707,1,$E$2+2),TEXT($S709,"yyyy-mm-dd")))</f>
        <v/>
      </c>
      <c r="AA709">
        <f>IF($R709="","",IF($T709&lt;0,"⚠"&amp;INDEX('입력_구리근무자명단'!$A707:$ZZ707,1,$E$2+3),TEXT($T709,"yyyy-mm-dd")))</f>
        <v/>
      </c>
      <c r="AB709">
        <f>AB708+IF($R709="",0,1)</f>
        <v/>
      </c>
      <c r="AC709">
        <f>IF($R709="","",$AB709)</f>
        <v/>
      </c>
    </row>
    <row r="710">
      <c r="O710">
        <f>708</f>
        <v/>
      </c>
      <c r="P710">
        <f>IF(TRIM('입력_구리근무자명단'!$A708&amp;"")&lt;&gt;"",TRIM('입력_구리근무자명단'!$A708&amp;""),P709)</f>
        <v/>
      </c>
      <c r="Q710">
        <f>'입력_구리근무자명단'!$B708&amp;""</f>
        <v/>
      </c>
      <c r="R710">
        <f>IF($E$2="","",TRIM(INDEX('입력_구리근무자명단'!$A708:$ZZ708,1,$E$2+IF($G$2="확정",1,0))&amp;""))</f>
        <v/>
      </c>
      <c r="S710">
        <f>IF($R710="","",IF(INDEX('입력_구리근무자명단'!$A708:$ZZ708,1,$E$2+2)&amp;""="",급여기준월,IF(ISNUMBER(INDEX('입력_구리근무자명단'!$A708:$ZZ708,1,$E$2+2)),INDEX('입력_구리근무자명단'!$A708:$ZZ708,1,$E$2+2),IFERROR(DATE(VALUE(LEFT(INDEX('입력_구리근무자명단'!$A708:$ZZ708,1,$E$2+2),4)),VALUE(MID(INDEX('입력_구리근무자명단'!$A708:$ZZ708,1,$E$2+2),6,2)),VALUE(MID(INDEX('입력_구리근무자명단'!$A708:$ZZ708,1,$E$2+2),9,2))),-1))))</f>
        <v/>
      </c>
      <c r="T710">
        <f>IF($R710="","",IF(INDEX('입력_구리근무자명단'!$A708:$ZZ708,1,$E$2+3)&amp;""="",EOMONTH(급여기준월,0),IF(ISNUMBER(INDEX('입력_구리근무자명단'!$A708:$ZZ708,1,$E$2+3)),INDEX('입력_구리근무자명단'!$A708:$ZZ708,1,$E$2+3),IFERROR(DATE(VALUE(LEFT(INDEX('입력_구리근무자명단'!$A708:$ZZ708,1,$E$2+3),4)),VALUE(MID(INDEX('입력_구리근무자명단'!$A708:$ZZ708,1,$E$2+3),6,2)),VALUE(MID(INDEX('입력_구리근무자명단'!$A708:$ZZ708,1,$E$2+3),9,2))),-1))))</f>
        <v/>
      </c>
      <c r="U710">
        <f>IF($R710="","",IF(OR($S710&lt;0,$T710&lt;0),0,MAX(0,MIN($T710,EOMONTH(급여기준월,0))-MAX($S710,급여기준월)+1)))</f>
        <v/>
      </c>
      <c r="V710">
        <f>IF($R710="","",TRIM(INDEX('입력_구리근무자명단'!$A708:$ZZ708,1,$E$2+5)&amp;""))</f>
        <v/>
      </c>
      <c r="W710">
        <f>IF(ISNUMBER(SEARCH("구리독자",$V710)),"구리독자","")</f>
        <v/>
      </c>
      <c r="X710">
        <f>IF($R710="","",$R710&amp;"|"&amp;IF(OR($Q710="인턴",ISNUMBER(SEARCH("수련교육부",$P710))),"인턴",$P710))</f>
        <v/>
      </c>
      <c r="Y710">
        <f>IF($R710="","",IF(COUNTIF(명단표[이름|과],$X710)=1,"명단 일치",IF(AND(COUNTIF(명단표[이름|과],$X710)=0,COUNTIF(명단표[이름],$R710)=1),"명단 일치(이름만, 과 다름)",IF(COUNTIF(명단표[이름],$R710)=0,IF(COUNTIF(기본자료표[이름],$R710)&gt;0,"명단에 없음(기본자료에는 있음)","명단에 없음"),"동명이인 확인"))))</f>
        <v/>
      </c>
      <c r="Z710">
        <f>IF($R710="","",IF($S710&lt;0,"⚠"&amp;INDEX('입력_구리근무자명단'!$A708:$ZZ708,1,$E$2+2),TEXT($S710,"yyyy-mm-dd")))</f>
        <v/>
      </c>
      <c r="AA710">
        <f>IF($R710="","",IF($T710&lt;0,"⚠"&amp;INDEX('입력_구리근무자명단'!$A708:$ZZ708,1,$E$2+3),TEXT($T710,"yyyy-mm-dd")))</f>
        <v/>
      </c>
      <c r="AB710">
        <f>AB709+IF($R710="",0,1)</f>
        <v/>
      </c>
      <c r="AC710">
        <f>IF($R710="","",$AB710)</f>
        <v/>
      </c>
    </row>
    <row r="711">
      <c r="O711">
        <f>709</f>
        <v/>
      </c>
      <c r="P711">
        <f>IF(TRIM('입력_구리근무자명단'!$A709&amp;"")&lt;&gt;"",TRIM('입력_구리근무자명단'!$A709&amp;""),P710)</f>
        <v/>
      </c>
      <c r="Q711">
        <f>'입력_구리근무자명단'!$B709&amp;""</f>
        <v/>
      </c>
      <c r="R711">
        <f>IF($E$2="","",TRIM(INDEX('입력_구리근무자명단'!$A709:$ZZ709,1,$E$2+IF($G$2="확정",1,0))&amp;""))</f>
        <v/>
      </c>
      <c r="S711">
        <f>IF($R711="","",IF(INDEX('입력_구리근무자명단'!$A709:$ZZ709,1,$E$2+2)&amp;""="",급여기준월,IF(ISNUMBER(INDEX('입력_구리근무자명단'!$A709:$ZZ709,1,$E$2+2)),INDEX('입력_구리근무자명단'!$A709:$ZZ709,1,$E$2+2),IFERROR(DATE(VALUE(LEFT(INDEX('입력_구리근무자명단'!$A709:$ZZ709,1,$E$2+2),4)),VALUE(MID(INDEX('입력_구리근무자명단'!$A709:$ZZ709,1,$E$2+2),6,2)),VALUE(MID(INDEX('입력_구리근무자명단'!$A709:$ZZ709,1,$E$2+2),9,2))),-1))))</f>
        <v/>
      </c>
      <c r="T711">
        <f>IF($R711="","",IF(INDEX('입력_구리근무자명단'!$A709:$ZZ709,1,$E$2+3)&amp;""="",EOMONTH(급여기준월,0),IF(ISNUMBER(INDEX('입력_구리근무자명단'!$A709:$ZZ709,1,$E$2+3)),INDEX('입력_구리근무자명단'!$A709:$ZZ709,1,$E$2+3),IFERROR(DATE(VALUE(LEFT(INDEX('입력_구리근무자명단'!$A709:$ZZ709,1,$E$2+3),4)),VALUE(MID(INDEX('입력_구리근무자명단'!$A709:$ZZ709,1,$E$2+3),6,2)),VALUE(MID(INDEX('입력_구리근무자명단'!$A709:$ZZ709,1,$E$2+3),9,2))),-1))))</f>
        <v/>
      </c>
      <c r="U711">
        <f>IF($R711="","",IF(OR($S711&lt;0,$T711&lt;0),0,MAX(0,MIN($T711,EOMONTH(급여기준월,0))-MAX($S711,급여기준월)+1)))</f>
        <v/>
      </c>
      <c r="V711">
        <f>IF($R711="","",TRIM(INDEX('입력_구리근무자명단'!$A709:$ZZ709,1,$E$2+5)&amp;""))</f>
        <v/>
      </c>
      <c r="W711">
        <f>IF(ISNUMBER(SEARCH("구리독자",$V711)),"구리독자","")</f>
        <v/>
      </c>
      <c r="X711">
        <f>IF($R711="","",$R711&amp;"|"&amp;IF(OR($Q711="인턴",ISNUMBER(SEARCH("수련교육부",$P711))),"인턴",$P711))</f>
        <v/>
      </c>
      <c r="Y711">
        <f>IF($R711="","",IF(COUNTIF(명단표[이름|과],$X711)=1,"명단 일치",IF(AND(COUNTIF(명단표[이름|과],$X711)=0,COUNTIF(명단표[이름],$R711)=1),"명단 일치(이름만, 과 다름)",IF(COUNTIF(명단표[이름],$R711)=0,IF(COUNTIF(기본자료표[이름],$R711)&gt;0,"명단에 없음(기본자료에는 있음)","명단에 없음"),"동명이인 확인"))))</f>
        <v/>
      </c>
      <c r="Z711">
        <f>IF($R711="","",IF($S711&lt;0,"⚠"&amp;INDEX('입력_구리근무자명단'!$A709:$ZZ709,1,$E$2+2),TEXT($S711,"yyyy-mm-dd")))</f>
        <v/>
      </c>
      <c r="AA711">
        <f>IF($R711="","",IF($T711&lt;0,"⚠"&amp;INDEX('입력_구리근무자명단'!$A709:$ZZ709,1,$E$2+3),TEXT($T711,"yyyy-mm-dd")))</f>
        <v/>
      </c>
      <c r="AB711">
        <f>AB710+IF($R711="",0,1)</f>
        <v/>
      </c>
      <c r="AC711">
        <f>IF($R711="","",$AB711)</f>
        <v/>
      </c>
    </row>
    <row r="712">
      <c r="O712">
        <f>710</f>
        <v/>
      </c>
      <c r="P712">
        <f>IF(TRIM('입력_구리근무자명단'!$A710&amp;"")&lt;&gt;"",TRIM('입력_구리근무자명단'!$A710&amp;""),P711)</f>
        <v/>
      </c>
      <c r="Q712">
        <f>'입력_구리근무자명단'!$B710&amp;""</f>
        <v/>
      </c>
      <c r="R712">
        <f>IF($E$2="","",TRIM(INDEX('입력_구리근무자명단'!$A710:$ZZ710,1,$E$2+IF($G$2="확정",1,0))&amp;""))</f>
        <v/>
      </c>
      <c r="S712">
        <f>IF($R712="","",IF(INDEX('입력_구리근무자명단'!$A710:$ZZ710,1,$E$2+2)&amp;""="",급여기준월,IF(ISNUMBER(INDEX('입력_구리근무자명단'!$A710:$ZZ710,1,$E$2+2)),INDEX('입력_구리근무자명단'!$A710:$ZZ710,1,$E$2+2),IFERROR(DATE(VALUE(LEFT(INDEX('입력_구리근무자명단'!$A710:$ZZ710,1,$E$2+2),4)),VALUE(MID(INDEX('입력_구리근무자명단'!$A710:$ZZ710,1,$E$2+2),6,2)),VALUE(MID(INDEX('입력_구리근무자명단'!$A710:$ZZ710,1,$E$2+2),9,2))),-1))))</f>
        <v/>
      </c>
      <c r="T712">
        <f>IF($R712="","",IF(INDEX('입력_구리근무자명단'!$A710:$ZZ710,1,$E$2+3)&amp;""="",EOMONTH(급여기준월,0),IF(ISNUMBER(INDEX('입력_구리근무자명단'!$A710:$ZZ710,1,$E$2+3)),INDEX('입력_구리근무자명단'!$A710:$ZZ710,1,$E$2+3),IFERROR(DATE(VALUE(LEFT(INDEX('입력_구리근무자명단'!$A710:$ZZ710,1,$E$2+3),4)),VALUE(MID(INDEX('입력_구리근무자명단'!$A710:$ZZ710,1,$E$2+3),6,2)),VALUE(MID(INDEX('입력_구리근무자명단'!$A710:$ZZ710,1,$E$2+3),9,2))),-1))))</f>
        <v/>
      </c>
      <c r="U712">
        <f>IF($R712="","",IF(OR($S712&lt;0,$T712&lt;0),0,MAX(0,MIN($T712,EOMONTH(급여기준월,0))-MAX($S712,급여기준월)+1)))</f>
        <v/>
      </c>
      <c r="V712">
        <f>IF($R712="","",TRIM(INDEX('입력_구리근무자명단'!$A710:$ZZ710,1,$E$2+5)&amp;""))</f>
        <v/>
      </c>
      <c r="W712">
        <f>IF(ISNUMBER(SEARCH("구리독자",$V712)),"구리독자","")</f>
        <v/>
      </c>
      <c r="X712">
        <f>IF($R712="","",$R712&amp;"|"&amp;IF(OR($Q712="인턴",ISNUMBER(SEARCH("수련교육부",$P712))),"인턴",$P712))</f>
        <v/>
      </c>
      <c r="Y712">
        <f>IF($R712="","",IF(COUNTIF(명단표[이름|과],$X712)=1,"명단 일치",IF(AND(COUNTIF(명단표[이름|과],$X712)=0,COUNTIF(명단표[이름],$R712)=1),"명단 일치(이름만, 과 다름)",IF(COUNTIF(명단표[이름],$R712)=0,IF(COUNTIF(기본자료표[이름],$R712)&gt;0,"명단에 없음(기본자료에는 있음)","명단에 없음"),"동명이인 확인"))))</f>
        <v/>
      </c>
      <c r="Z712">
        <f>IF($R712="","",IF($S712&lt;0,"⚠"&amp;INDEX('입력_구리근무자명단'!$A710:$ZZ710,1,$E$2+2),TEXT($S712,"yyyy-mm-dd")))</f>
        <v/>
      </c>
      <c r="AA712">
        <f>IF($R712="","",IF($T712&lt;0,"⚠"&amp;INDEX('입력_구리근무자명단'!$A710:$ZZ710,1,$E$2+3),TEXT($T712,"yyyy-mm-dd")))</f>
        <v/>
      </c>
      <c r="AB712">
        <f>AB711+IF($R712="",0,1)</f>
        <v/>
      </c>
      <c r="AC712">
        <f>IF($R712="","",$AB712)</f>
        <v/>
      </c>
    </row>
    <row r="713">
      <c r="O713">
        <f>711</f>
        <v/>
      </c>
      <c r="P713">
        <f>IF(TRIM('입력_구리근무자명단'!$A711&amp;"")&lt;&gt;"",TRIM('입력_구리근무자명단'!$A711&amp;""),P712)</f>
        <v/>
      </c>
      <c r="Q713">
        <f>'입력_구리근무자명단'!$B711&amp;""</f>
        <v/>
      </c>
      <c r="R713">
        <f>IF($E$2="","",TRIM(INDEX('입력_구리근무자명단'!$A711:$ZZ711,1,$E$2+IF($G$2="확정",1,0))&amp;""))</f>
        <v/>
      </c>
      <c r="S713">
        <f>IF($R713="","",IF(INDEX('입력_구리근무자명단'!$A711:$ZZ711,1,$E$2+2)&amp;""="",급여기준월,IF(ISNUMBER(INDEX('입력_구리근무자명단'!$A711:$ZZ711,1,$E$2+2)),INDEX('입력_구리근무자명단'!$A711:$ZZ711,1,$E$2+2),IFERROR(DATE(VALUE(LEFT(INDEX('입력_구리근무자명단'!$A711:$ZZ711,1,$E$2+2),4)),VALUE(MID(INDEX('입력_구리근무자명단'!$A711:$ZZ711,1,$E$2+2),6,2)),VALUE(MID(INDEX('입력_구리근무자명단'!$A711:$ZZ711,1,$E$2+2),9,2))),-1))))</f>
        <v/>
      </c>
      <c r="T713">
        <f>IF($R713="","",IF(INDEX('입력_구리근무자명단'!$A711:$ZZ711,1,$E$2+3)&amp;""="",EOMONTH(급여기준월,0),IF(ISNUMBER(INDEX('입력_구리근무자명단'!$A711:$ZZ711,1,$E$2+3)),INDEX('입력_구리근무자명단'!$A711:$ZZ711,1,$E$2+3),IFERROR(DATE(VALUE(LEFT(INDEX('입력_구리근무자명단'!$A711:$ZZ711,1,$E$2+3),4)),VALUE(MID(INDEX('입력_구리근무자명단'!$A711:$ZZ711,1,$E$2+3),6,2)),VALUE(MID(INDEX('입력_구리근무자명단'!$A711:$ZZ711,1,$E$2+3),9,2))),-1))))</f>
        <v/>
      </c>
      <c r="U713">
        <f>IF($R713="","",IF(OR($S713&lt;0,$T713&lt;0),0,MAX(0,MIN($T713,EOMONTH(급여기준월,0))-MAX($S713,급여기준월)+1)))</f>
        <v/>
      </c>
      <c r="V713">
        <f>IF($R713="","",TRIM(INDEX('입력_구리근무자명단'!$A711:$ZZ711,1,$E$2+5)&amp;""))</f>
        <v/>
      </c>
      <c r="W713">
        <f>IF(ISNUMBER(SEARCH("구리독자",$V713)),"구리독자","")</f>
        <v/>
      </c>
      <c r="X713">
        <f>IF($R713="","",$R713&amp;"|"&amp;IF(OR($Q713="인턴",ISNUMBER(SEARCH("수련교육부",$P713))),"인턴",$P713))</f>
        <v/>
      </c>
      <c r="Y713">
        <f>IF($R713="","",IF(COUNTIF(명단표[이름|과],$X713)=1,"명단 일치",IF(AND(COUNTIF(명단표[이름|과],$X713)=0,COUNTIF(명단표[이름],$R713)=1),"명단 일치(이름만, 과 다름)",IF(COUNTIF(명단표[이름],$R713)=0,IF(COUNTIF(기본자료표[이름],$R713)&gt;0,"명단에 없음(기본자료에는 있음)","명단에 없음"),"동명이인 확인"))))</f>
        <v/>
      </c>
      <c r="Z713">
        <f>IF($R713="","",IF($S713&lt;0,"⚠"&amp;INDEX('입력_구리근무자명단'!$A711:$ZZ711,1,$E$2+2),TEXT($S713,"yyyy-mm-dd")))</f>
        <v/>
      </c>
      <c r="AA713">
        <f>IF($R713="","",IF($T713&lt;0,"⚠"&amp;INDEX('입력_구리근무자명단'!$A711:$ZZ711,1,$E$2+3),TEXT($T713,"yyyy-mm-dd")))</f>
        <v/>
      </c>
      <c r="AB713">
        <f>AB712+IF($R713="",0,1)</f>
        <v/>
      </c>
      <c r="AC713">
        <f>IF($R713="","",$AB713)</f>
        <v/>
      </c>
    </row>
    <row r="714">
      <c r="O714">
        <f>712</f>
        <v/>
      </c>
      <c r="P714">
        <f>IF(TRIM('입력_구리근무자명단'!$A712&amp;"")&lt;&gt;"",TRIM('입력_구리근무자명단'!$A712&amp;""),P713)</f>
        <v/>
      </c>
      <c r="Q714">
        <f>'입력_구리근무자명단'!$B712&amp;""</f>
        <v/>
      </c>
      <c r="R714">
        <f>IF($E$2="","",TRIM(INDEX('입력_구리근무자명단'!$A712:$ZZ712,1,$E$2+IF($G$2="확정",1,0))&amp;""))</f>
        <v/>
      </c>
      <c r="S714">
        <f>IF($R714="","",IF(INDEX('입력_구리근무자명단'!$A712:$ZZ712,1,$E$2+2)&amp;""="",급여기준월,IF(ISNUMBER(INDEX('입력_구리근무자명단'!$A712:$ZZ712,1,$E$2+2)),INDEX('입력_구리근무자명단'!$A712:$ZZ712,1,$E$2+2),IFERROR(DATE(VALUE(LEFT(INDEX('입력_구리근무자명단'!$A712:$ZZ712,1,$E$2+2),4)),VALUE(MID(INDEX('입력_구리근무자명단'!$A712:$ZZ712,1,$E$2+2),6,2)),VALUE(MID(INDEX('입력_구리근무자명단'!$A712:$ZZ712,1,$E$2+2),9,2))),-1))))</f>
        <v/>
      </c>
      <c r="T714">
        <f>IF($R714="","",IF(INDEX('입력_구리근무자명단'!$A712:$ZZ712,1,$E$2+3)&amp;""="",EOMONTH(급여기준월,0),IF(ISNUMBER(INDEX('입력_구리근무자명단'!$A712:$ZZ712,1,$E$2+3)),INDEX('입력_구리근무자명단'!$A712:$ZZ712,1,$E$2+3),IFERROR(DATE(VALUE(LEFT(INDEX('입력_구리근무자명단'!$A712:$ZZ712,1,$E$2+3),4)),VALUE(MID(INDEX('입력_구리근무자명단'!$A712:$ZZ712,1,$E$2+3),6,2)),VALUE(MID(INDEX('입력_구리근무자명단'!$A712:$ZZ712,1,$E$2+3),9,2))),-1))))</f>
        <v/>
      </c>
      <c r="U714">
        <f>IF($R714="","",IF(OR($S714&lt;0,$T714&lt;0),0,MAX(0,MIN($T714,EOMONTH(급여기준월,0))-MAX($S714,급여기준월)+1)))</f>
        <v/>
      </c>
      <c r="V714">
        <f>IF($R714="","",TRIM(INDEX('입력_구리근무자명단'!$A712:$ZZ712,1,$E$2+5)&amp;""))</f>
        <v/>
      </c>
      <c r="W714">
        <f>IF(ISNUMBER(SEARCH("구리독자",$V714)),"구리독자","")</f>
        <v/>
      </c>
      <c r="X714">
        <f>IF($R714="","",$R714&amp;"|"&amp;IF(OR($Q714="인턴",ISNUMBER(SEARCH("수련교육부",$P714))),"인턴",$P714))</f>
        <v/>
      </c>
      <c r="Y714">
        <f>IF($R714="","",IF(COUNTIF(명단표[이름|과],$X714)=1,"명단 일치",IF(AND(COUNTIF(명단표[이름|과],$X714)=0,COUNTIF(명단표[이름],$R714)=1),"명단 일치(이름만, 과 다름)",IF(COUNTIF(명단표[이름],$R714)=0,IF(COUNTIF(기본자료표[이름],$R714)&gt;0,"명단에 없음(기본자료에는 있음)","명단에 없음"),"동명이인 확인"))))</f>
        <v/>
      </c>
      <c r="Z714">
        <f>IF($R714="","",IF($S714&lt;0,"⚠"&amp;INDEX('입력_구리근무자명단'!$A712:$ZZ712,1,$E$2+2),TEXT($S714,"yyyy-mm-dd")))</f>
        <v/>
      </c>
      <c r="AA714">
        <f>IF($R714="","",IF($T714&lt;0,"⚠"&amp;INDEX('입력_구리근무자명단'!$A712:$ZZ712,1,$E$2+3),TEXT($T714,"yyyy-mm-dd")))</f>
        <v/>
      </c>
      <c r="AB714">
        <f>AB713+IF($R714="",0,1)</f>
        <v/>
      </c>
      <c r="AC714">
        <f>IF($R714="","",$AB714)</f>
        <v/>
      </c>
    </row>
    <row r="715">
      <c r="O715">
        <f>713</f>
        <v/>
      </c>
      <c r="P715">
        <f>IF(TRIM('입력_구리근무자명단'!$A713&amp;"")&lt;&gt;"",TRIM('입력_구리근무자명단'!$A713&amp;""),P714)</f>
        <v/>
      </c>
      <c r="Q715">
        <f>'입력_구리근무자명단'!$B713&amp;""</f>
        <v/>
      </c>
      <c r="R715">
        <f>IF($E$2="","",TRIM(INDEX('입력_구리근무자명단'!$A713:$ZZ713,1,$E$2+IF($G$2="확정",1,0))&amp;""))</f>
        <v/>
      </c>
      <c r="S715">
        <f>IF($R715="","",IF(INDEX('입력_구리근무자명단'!$A713:$ZZ713,1,$E$2+2)&amp;""="",급여기준월,IF(ISNUMBER(INDEX('입력_구리근무자명단'!$A713:$ZZ713,1,$E$2+2)),INDEX('입력_구리근무자명단'!$A713:$ZZ713,1,$E$2+2),IFERROR(DATE(VALUE(LEFT(INDEX('입력_구리근무자명단'!$A713:$ZZ713,1,$E$2+2),4)),VALUE(MID(INDEX('입력_구리근무자명단'!$A713:$ZZ713,1,$E$2+2),6,2)),VALUE(MID(INDEX('입력_구리근무자명단'!$A713:$ZZ713,1,$E$2+2),9,2))),-1))))</f>
        <v/>
      </c>
      <c r="T715">
        <f>IF($R715="","",IF(INDEX('입력_구리근무자명단'!$A713:$ZZ713,1,$E$2+3)&amp;""="",EOMONTH(급여기준월,0),IF(ISNUMBER(INDEX('입력_구리근무자명단'!$A713:$ZZ713,1,$E$2+3)),INDEX('입력_구리근무자명단'!$A713:$ZZ713,1,$E$2+3),IFERROR(DATE(VALUE(LEFT(INDEX('입력_구리근무자명단'!$A713:$ZZ713,1,$E$2+3),4)),VALUE(MID(INDEX('입력_구리근무자명단'!$A713:$ZZ713,1,$E$2+3),6,2)),VALUE(MID(INDEX('입력_구리근무자명단'!$A713:$ZZ713,1,$E$2+3),9,2))),-1))))</f>
        <v/>
      </c>
      <c r="U715">
        <f>IF($R715="","",IF(OR($S715&lt;0,$T715&lt;0),0,MAX(0,MIN($T715,EOMONTH(급여기준월,0))-MAX($S715,급여기준월)+1)))</f>
        <v/>
      </c>
      <c r="V715">
        <f>IF($R715="","",TRIM(INDEX('입력_구리근무자명단'!$A713:$ZZ713,1,$E$2+5)&amp;""))</f>
        <v/>
      </c>
      <c r="W715">
        <f>IF(ISNUMBER(SEARCH("구리독자",$V715)),"구리독자","")</f>
        <v/>
      </c>
      <c r="X715">
        <f>IF($R715="","",$R715&amp;"|"&amp;IF(OR($Q715="인턴",ISNUMBER(SEARCH("수련교육부",$P715))),"인턴",$P715))</f>
        <v/>
      </c>
      <c r="Y715">
        <f>IF($R715="","",IF(COUNTIF(명단표[이름|과],$X715)=1,"명단 일치",IF(AND(COUNTIF(명단표[이름|과],$X715)=0,COUNTIF(명단표[이름],$R715)=1),"명단 일치(이름만, 과 다름)",IF(COUNTIF(명단표[이름],$R715)=0,IF(COUNTIF(기본자료표[이름],$R715)&gt;0,"명단에 없음(기본자료에는 있음)","명단에 없음"),"동명이인 확인"))))</f>
        <v/>
      </c>
      <c r="Z715">
        <f>IF($R715="","",IF($S715&lt;0,"⚠"&amp;INDEX('입력_구리근무자명단'!$A713:$ZZ713,1,$E$2+2),TEXT($S715,"yyyy-mm-dd")))</f>
        <v/>
      </c>
      <c r="AA715">
        <f>IF($R715="","",IF($T715&lt;0,"⚠"&amp;INDEX('입력_구리근무자명단'!$A713:$ZZ713,1,$E$2+3),TEXT($T715,"yyyy-mm-dd")))</f>
        <v/>
      </c>
      <c r="AB715">
        <f>AB714+IF($R715="",0,1)</f>
        <v/>
      </c>
      <c r="AC715">
        <f>IF($R715="","",$AB715)</f>
        <v/>
      </c>
    </row>
    <row r="716">
      <c r="O716">
        <f>714</f>
        <v/>
      </c>
      <c r="P716">
        <f>IF(TRIM('입력_구리근무자명단'!$A714&amp;"")&lt;&gt;"",TRIM('입력_구리근무자명단'!$A714&amp;""),P715)</f>
        <v/>
      </c>
      <c r="Q716">
        <f>'입력_구리근무자명단'!$B714&amp;""</f>
        <v/>
      </c>
      <c r="R716">
        <f>IF($E$2="","",TRIM(INDEX('입력_구리근무자명단'!$A714:$ZZ714,1,$E$2+IF($G$2="확정",1,0))&amp;""))</f>
        <v/>
      </c>
      <c r="S716">
        <f>IF($R716="","",IF(INDEX('입력_구리근무자명단'!$A714:$ZZ714,1,$E$2+2)&amp;""="",급여기준월,IF(ISNUMBER(INDEX('입력_구리근무자명단'!$A714:$ZZ714,1,$E$2+2)),INDEX('입력_구리근무자명단'!$A714:$ZZ714,1,$E$2+2),IFERROR(DATE(VALUE(LEFT(INDEX('입력_구리근무자명단'!$A714:$ZZ714,1,$E$2+2),4)),VALUE(MID(INDEX('입력_구리근무자명단'!$A714:$ZZ714,1,$E$2+2),6,2)),VALUE(MID(INDEX('입력_구리근무자명단'!$A714:$ZZ714,1,$E$2+2),9,2))),-1))))</f>
        <v/>
      </c>
      <c r="T716">
        <f>IF($R716="","",IF(INDEX('입력_구리근무자명단'!$A714:$ZZ714,1,$E$2+3)&amp;""="",EOMONTH(급여기준월,0),IF(ISNUMBER(INDEX('입력_구리근무자명단'!$A714:$ZZ714,1,$E$2+3)),INDEX('입력_구리근무자명단'!$A714:$ZZ714,1,$E$2+3),IFERROR(DATE(VALUE(LEFT(INDEX('입력_구리근무자명단'!$A714:$ZZ714,1,$E$2+3),4)),VALUE(MID(INDEX('입력_구리근무자명단'!$A714:$ZZ714,1,$E$2+3),6,2)),VALUE(MID(INDEX('입력_구리근무자명단'!$A714:$ZZ714,1,$E$2+3),9,2))),-1))))</f>
        <v/>
      </c>
      <c r="U716">
        <f>IF($R716="","",IF(OR($S716&lt;0,$T716&lt;0),0,MAX(0,MIN($T716,EOMONTH(급여기준월,0))-MAX($S716,급여기준월)+1)))</f>
        <v/>
      </c>
      <c r="V716">
        <f>IF($R716="","",TRIM(INDEX('입력_구리근무자명단'!$A714:$ZZ714,1,$E$2+5)&amp;""))</f>
        <v/>
      </c>
      <c r="W716">
        <f>IF(ISNUMBER(SEARCH("구리독자",$V716)),"구리독자","")</f>
        <v/>
      </c>
      <c r="X716">
        <f>IF($R716="","",$R716&amp;"|"&amp;IF(OR($Q716="인턴",ISNUMBER(SEARCH("수련교육부",$P716))),"인턴",$P716))</f>
        <v/>
      </c>
      <c r="Y716">
        <f>IF($R716="","",IF(COUNTIF(명단표[이름|과],$X716)=1,"명단 일치",IF(AND(COUNTIF(명단표[이름|과],$X716)=0,COUNTIF(명단표[이름],$R716)=1),"명단 일치(이름만, 과 다름)",IF(COUNTIF(명단표[이름],$R716)=0,IF(COUNTIF(기본자료표[이름],$R716)&gt;0,"명단에 없음(기본자료에는 있음)","명단에 없음"),"동명이인 확인"))))</f>
        <v/>
      </c>
      <c r="Z716">
        <f>IF($R716="","",IF($S716&lt;0,"⚠"&amp;INDEX('입력_구리근무자명단'!$A714:$ZZ714,1,$E$2+2),TEXT($S716,"yyyy-mm-dd")))</f>
        <v/>
      </c>
      <c r="AA716">
        <f>IF($R716="","",IF($T716&lt;0,"⚠"&amp;INDEX('입력_구리근무자명단'!$A714:$ZZ714,1,$E$2+3),TEXT($T716,"yyyy-mm-dd")))</f>
        <v/>
      </c>
      <c r="AB716">
        <f>AB715+IF($R716="",0,1)</f>
        <v/>
      </c>
      <c r="AC716">
        <f>IF($R716="","",$AB716)</f>
        <v/>
      </c>
    </row>
    <row r="717">
      <c r="O717">
        <f>715</f>
        <v/>
      </c>
      <c r="P717">
        <f>IF(TRIM('입력_구리근무자명단'!$A715&amp;"")&lt;&gt;"",TRIM('입력_구리근무자명단'!$A715&amp;""),P716)</f>
        <v/>
      </c>
      <c r="Q717">
        <f>'입력_구리근무자명단'!$B715&amp;""</f>
        <v/>
      </c>
      <c r="R717">
        <f>IF($E$2="","",TRIM(INDEX('입력_구리근무자명단'!$A715:$ZZ715,1,$E$2+IF($G$2="확정",1,0))&amp;""))</f>
        <v/>
      </c>
      <c r="S717">
        <f>IF($R717="","",IF(INDEX('입력_구리근무자명단'!$A715:$ZZ715,1,$E$2+2)&amp;""="",급여기준월,IF(ISNUMBER(INDEX('입력_구리근무자명단'!$A715:$ZZ715,1,$E$2+2)),INDEX('입력_구리근무자명단'!$A715:$ZZ715,1,$E$2+2),IFERROR(DATE(VALUE(LEFT(INDEX('입력_구리근무자명단'!$A715:$ZZ715,1,$E$2+2),4)),VALUE(MID(INDEX('입력_구리근무자명단'!$A715:$ZZ715,1,$E$2+2),6,2)),VALUE(MID(INDEX('입력_구리근무자명단'!$A715:$ZZ715,1,$E$2+2),9,2))),-1))))</f>
        <v/>
      </c>
      <c r="T717">
        <f>IF($R717="","",IF(INDEX('입력_구리근무자명단'!$A715:$ZZ715,1,$E$2+3)&amp;""="",EOMONTH(급여기준월,0),IF(ISNUMBER(INDEX('입력_구리근무자명단'!$A715:$ZZ715,1,$E$2+3)),INDEX('입력_구리근무자명단'!$A715:$ZZ715,1,$E$2+3),IFERROR(DATE(VALUE(LEFT(INDEX('입력_구리근무자명단'!$A715:$ZZ715,1,$E$2+3),4)),VALUE(MID(INDEX('입력_구리근무자명단'!$A715:$ZZ715,1,$E$2+3),6,2)),VALUE(MID(INDEX('입력_구리근무자명단'!$A715:$ZZ715,1,$E$2+3),9,2))),-1))))</f>
        <v/>
      </c>
      <c r="U717">
        <f>IF($R717="","",IF(OR($S717&lt;0,$T717&lt;0),0,MAX(0,MIN($T717,EOMONTH(급여기준월,0))-MAX($S717,급여기준월)+1)))</f>
        <v/>
      </c>
      <c r="V717">
        <f>IF($R717="","",TRIM(INDEX('입력_구리근무자명단'!$A715:$ZZ715,1,$E$2+5)&amp;""))</f>
        <v/>
      </c>
      <c r="W717">
        <f>IF(ISNUMBER(SEARCH("구리독자",$V717)),"구리독자","")</f>
        <v/>
      </c>
      <c r="X717">
        <f>IF($R717="","",$R717&amp;"|"&amp;IF(OR($Q717="인턴",ISNUMBER(SEARCH("수련교육부",$P717))),"인턴",$P717))</f>
        <v/>
      </c>
      <c r="Y717">
        <f>IF($R717="","",IF(COUNTIF(명단표[이름|과],$X717)=1,"명단 일치",IF(AND(COUNTIF(명단표[이름|과],$X717)=0,COUNTIF(명단표[이름],$R717)=1),"명단 일치(이름만, 과 다름)",IF(COUNTIF(명단표[이름],$R717)=0,IF(COUNTIF(기본자료표[이름],$R717)&gt;0,"명단에 없음(기본자료에는 있음)","명단에 없음"),"동명이인 확인"))))</f>
        <v/>
      </c>
      <c r="Z717">
        <f>IF($R717="","",IF($S717&lt;0,"⚠"&amp;INDEX('입력_구리근무자명단'!$A715:$ZZ715,1,$E$2+2),TEXT($S717,"yyyy-mm-dd")))</f>
        <v/>
      </c>
      <c r="AA717">
        <f>IF($R717="","",IF($T717&lt;0,"⚠"&amp;INDEX('입력_구리근무자명단'!$A715:$ZZ715,1,$E$2+3),TEXT($T717,"yyyy-mm-dd")))</f>
        <v/>
      </c>
      <c r="AB717">
        <f>AB716+IF($R717="",0,1)</f>
        <v/>
      </c>
      <c r="AC717">
        <f>IF($R717="","",$AB717)</f>
        <v/>
      </c>
    </row>
    <row r="718">
      <c r="O718">
        <f>716</f>
        <v/>
      </c>
      <c r="P718">
        <f>IF(TRIM('입력_구리근무자명단'!$A716&amp;"")&lt;&gt;"",TRIM('입력_구리근무자명단'!$A716&amp;""),P717)</f>
        <v/>
      </c>
      <c r="Q718">
        <f>'입력_구리근무자명단'!$B716&amp;""</f>
        <v/>
      </c>
      <c r="R718">
        <f>IF($E$2="","",TRIM(INDEX('입력_구리근무자명단'!$A716:$ZZ716,1,$E$2+IF($G$2="확정",1,0))&amp;""))</f>
        <v/>
      </c>
      <c r="S718">
        <f>IF($R718="","",IF(INDEX('입력_구리근무자명단'!$A716:$ZZ716,1,$E$2+2)&amp;""="",급여기준월,IF(ISNUMBER(INDEX('입력_구리근무자명단'!$A716:$ZZ716,1,$E$2+2)),INDEX('입력_구리근무자명단'!$A716:$ZZ716,1,$E$2+2),IFERROR(DATE(VALUE(LEFT(INDEX('입력_구리근무자명단'!$A716:$ZZ716,1,$E$2+2),4)),VALUE(MID(INDEX('입력_구리근무자명단'!$A716:$ZZ716,1,$E$2+2),6,2)),VALUE(MID(INDEX('입력_구리근무자명단'!$A716:$ZZ716,1,$E$2+2),9,2))),-1))))</f>
        <v/>
      </c>
      <c r="T718">
        <f>IF($R718="","",IF(INDEX('입력_구리근무자명단'!$A716:$ZZ716,1,$E$2+3)&amp;""="",EOMONTH(급여기준월,0),IF(ISNUMBER(INDEX('입력_구리근무자명단'!$A716:$ZZ716,1,$E$2+3)),INDEX('입력_구리근무자명단'!$A716:$ZZ716,1,$E$2+3),IFERROR(DATE(VALUE(LEFT(INDEX('입력_구리근무자명단'!$A716:$ZZ716,1,$E$2+3),4)),VALUE(MID(INDEX('입력_구리근무자명단'!$A716:$ZZ716,1,$E$2+3),6,2)),VALUE(MID(INDEX('입력_구리근무자명단'!$A716:$ZZ716,1,$E$2+3),9,2))),-1))))</f>
        <v/>
      </c>
      <c r="U718">
        <f>IF($R718="","",IF(OR($S718&lt;0,$T718&lt;0),0,MAX(0,MIN($T718,EOMONTH(급여기준월,0))-MAX($S718,급여기준월)+1)))</f>
        <v/>
      </c>
      <c r="V718">
        <f>IF($R718="","",TRIM(INDEX('입력_구리근무자명단'!$A716:$ZZ716,1,$E$2+5)&amp;""))</f>
        <v/>
      </c>
      <c r="W718">
        <f>IF(ISNUMBER(SEARCH("구리독자",$V718)),"구리독자","")</f>
        <v/>
      </c>
      <c r="X718">
        <f>IF($R718="","",$R718&amp;"|"&amp;IF(OR($Q718="인턴",ISNUMBER(SEARCH("수련교육부",$P718))),"인턴",$P718))</f>
        <v/>
      </c>
      <c r="Y718">
        <f>IF($R718="","",IF(COUNTIF(명단표[이름|과],$X718)=1,"명단 일치",IF(AND(COUNTIF(명단표[이름|과],$X718)=0,COUNTIF(명단표[이름],$R718)=1),"명단 일치(이름만, 과 다름)",IF(COUNTIF(명단표[이름],$R718)=0,IF(COUNTIF(기본자료표[이름],$R718)&gt;0,"명단에 없음(기본자료에는 있음)","명단에 없음"),"동명이인 확인"))))</f>
        <v/>
      </c>
      <c r="Z718">
        <f>IF($R718="","",IF($S718&lt;0,"⚠"&amp;INDEX('입력_구리근무자명단'!$A716:$ZZ716,1,$E$2+2),TEXT($S718,"yyyy-mm-dd")))</f>
        <v/>
      </c>
      <c r="AA718">
        <f>IF($R718="","",IF($T718&lt;0,"⚠"&amp;INDEX('입력_구리근무자명단'!$A716:$ZZ716,1,$E$2+3),TEXT($T718,"yyyy-mm-dd")))</f>
        <v/>
      </c>
      <c r="AB718">
        <f>AB717+IF($R718="",0,1)</f>
        <v/>
      </c>
      <c r="AC718">
        <f>IF($R718="","",$AB718)</f>
        <v/>
      </c>
    </row>
    <row r="719">
      <c r="O719">
        <f>717</f>
        <v/>
      </c>
      <c r="P719">
        <f>IF(TRIM('입력_구리근무자명단'!$A717&amp;"")&lt;&gt;"",TRIM('입력_구리근무자명단'!$A717&amp;""),P718)</f>
        <v/>
      </c>
      <c r="Q719">
        <f>'입력_구리근무자명단'!$B717&amp;""</f>
        <v/>
      </c>
      <c r="R719">
        <f>IF($E$2="","",TRIM(INDEX('입력_구리근무자명단'!$A717:$ZZ717,1,$E$2+IF($G$2="확정",1,0))&amp;""))</f>
        <v/>
      </c>
      <c r="S719">
        <f>IF($R719="","",IF(INDEX('입력_구리근무자명단'!$A717:$ZZ717,1,$E$2+2)&amp;""="",급여기준월,IF(ISNUMBER(INDEX('입력_구리근무자명단'!$A717:$ZZ717,1,$E$2+2)),INDEX('입력_구리근무자명단'!$A717:$ZZ717,1,$E$2+2),IFERROR(DATE(VALUE(LEFT(INDEX('입력_구리근무자명단'!$A717:$ZZ717,1,$E$2+2),4)),VALUE(MID(INDEX('입력_구리근무자명단'!$A717:$ZZ717,1,$E$2+2),6,2)),VALUE(MID(INDEX('입력_구리근무자명단'!$A717:$ZZ717,1,$E$2+2),9,2))),-1))))</f>
        <v/>
      </c>
      <c r="T719">
        <f>IF($R719="","",IF(INDEX('입력_구리근무자명단'!$A717:$ZZ717,1,$E$2+3)&amp;""="",EOMONTH(급여기준월,0),IF(ISNUMBER(INDEX('입력_구리근무자명단'!$A717:$ZZ717,1,$E$2+3)),INDEX('입력_구리근무자명단'!$A717:$ZZ717,1,$E$2+3),IFERROR(DATE(VALUE(LEFT(INDEX('입력_구리근무자명단'!$A717:$ZZ717,1,$E$2+3),4)),VALUE(MID(INDEX('입력_구리근무자명단'!$A717:$ZZ717,1,$E$2+3),6,2)),VALUE(MID(INDEX('입력_구리근무자명단'!$A717:$ZZ717,1,$E$2+3),9,2))),-1))))</f>
        <v/>
      </c>
      <c r="U719">
        <f>IF($R719="","",IF(OR($S719&lt;0,$T719&lt;0),0,MAX(0,MIN($T719,EOMONTH(급여기준월,0))-MAX($S719,급여기준월)+1)))</f>
        <v/>
      </c>
      <c r="V719">
        <f>IF($R719="","",TRIM(INDEX('입력_구리근무자명단'!$A717:$ZZ717,1,$E$2+5)&amp;""))</f>
        <v/>
      </c>
      <c r="W719">
        <f>IF(ISNUMBER(SEARCH("구리독자",$V719)),"구리독자","")</f>
        <v/>
      </c>
      <c r="X719">
        <f>IF($R719="","",$R719&amp;"|"&amp;IF(OR($Q719="인턴",ISNUMBER(SEARCH("수련교육부",$P719))),"인턴",$P719))</f>
        <v/>
      </c>
      <c r="Y719">
        <f>IF($R719="","",IF(COUNTIF(명단표[이름|과],$X719)=1,"명단 일치",IF(AND(COUNTIF(명단표[이름|과],$X719)=0,COUNTIF(명단표[이름],$R719)=1),"명단 일치(이름만, 과 다름)",IF(COUNTIF(명단표[이름],$R719)=0,IF(COUNTIF(기본자료표[이름],$R719)&gt;0,"명단에 없음(기본자료에는 있음)","명단에 없음"),"동명이인 확인"))))</f>
        <v/>
      </c>
      <c r="Z719">
        <f>IF($R719="","",IF($S719&lt;0,"⚠"&amp;INDEX('입력_구리근무자명단'!$A717:$ZZ717,1,$E$2+2),TEXT($S719,"yyyy-mm-dd")))</f>
        <v/>
      </c>
      <c r="AA719">
        <f>IF($R719="","",IF($T719&lt;0,"⚠"&amp;INDEX('입력_구리근무자명단'!$A717:$ZZ717,1,$E$2+3),TEXT($T719,"yyyy-mm-dd")))</f>
        <v/>
      </c>
      <c r="AB719">
        <f>AB718+IF($R719="",0,1)</f>
        <v/>
      </c>
      <c r="AC719">
        <f>IF($R719="","",$AB719)</f>
        <v/>
      </c>
    </row>
    <row r="720">
      <c r="O720">
        <f>718</f>
        <v/>
      </c>
      <c r="P720">
        <f>IF(TRIM('입력_구리근무자명단'!$A718&amp;"")&lt;&gt;"",TRIM('입력_구리근무자명단'!$A718&amp;""),P719)</f>
        <v/>
      </c>
      <c r="Q720">
        <f>'입력_구리근무자명단'!$B718&amp;""</f>
        <v/>
      </c>
      <c r="R720">
        <f>IF($E$2="","",TRIM(INDEX('입력_구리근무자명단'!$A718:$ZZ718,1,$E$2+IF($G$2="확정",1,0))&amp;""))</f>
        <v/>
      </c>
      <c r="S720">
        <f>IF($R720="","",IF(INDEX('입력_구리근무자명단'!$A718:$ZZ718,1,$E$2+2)&amp;""="",급여기준월,IF(ISNUMBER(INDEX('입력_구리근무자명단'!$A718:$ZZ718,1,$E$2+2)),INDEX('입력_구리근무자명단'!$A718:$ZZ718,1,$E$2+2),IFERROR(DATE(VALUE(LEFT(INDEX('입력_구리근무자명단'!$A718:$ZZ718,1,$E$2+2),4)),VALUE(MID(INDEX('입력_구리근무자명단'!$A718:$ZZ718,1,$E$2+2),6,2)),VALUE(MID(INDEX('입력_구리근무자명단'!$A718:$ZZ718,1,$E$2+2),9,2))),-1))))</f>
        <v/>
      </c>
      <c r="T720">
        <f>IF($R720="","",IF(INDEX('입력_구리근무자명단'!$A718:$ZZ718,1,$E$2+3)&amp;""="",EOMONTH(급여기준월,0),IF(ISNUMBER(INDEX('입력_구리근무자명단'!$A718:$ZZ718,1,$E$2+3)),INDEX('입력_구리근무자명단'!$A718:$ZZ718,1,$E$2+3),IFERROR(DATE(VALUE(LEFT(INDEX('입력_구리근무자명단'!$A718:$ZZ718,1,$E$2+3),4)),VALUE(MID(INDEX('입력_구리근무자명단'!$A718:$ZZ718,1,$E$2+3),6,2)),VALUE(MID(INDEX('입력_구리근무자명단'!$A718:$ZZ718,1,$E$2+3),9,2))),-1))))</f>
        <v/>
      </c>
      <c r="U720">
        <f>IF($R720="","",IF(OR($S720&lt;0,$T720&lt;0),0,MAX(0,MIN($T720,EOMONTH(급여기준월,0))-MAX($S720,급여기준월)+1)))</f>
        <v/>
      </c>
      <c r="V720">
        <f>IF($R720="","",TRIM(INDEX('입력_구리근무자명단'!$A718:$ZZ718,1,$E$2+5)&amp;""))</f>
        <v/>
      </c>
      <c r="W720">
        <f>IF(ISNUMBER(SEARCH("구리독자",$V720)),"구리독자","")</f>
        <v/>
      </c>
      <c r="X720">
        <f>IF($R720="","",$R720&amp;"|"&amp;IF(OR($Q720="인턴",ISNUMBER(SEARCH("수련교육부",$P720))),"인턴",$P720))</f>
        <v/>
      </c>
      <c r="Y720">
        <f>IF($R720="","",IF(COUNTIF(명단표[이름|과],$X720)=1,"명단 일치",IF(AND(COUNTIF(명단표[이름|과],$X720)=0,COUNTIF(명단표[이름],$R720)=1),"명단 일치(이름만, 과 다름)",IF(COUNTIF(명단표[이름],$R720)=0,IF(COUNTIF(기본자료표[이름],$R720)&gt;0,"명단에 없음(기본자료에는 있음)","명단에 없음"),"동명이인 확인"))))</f>
        <v/>
      </c>
      <c r="Z720">
        <f>IF($R720="","",IF($S720&lt;0,"⚠"&amp;INDEX('입력_구리근무자명단'!$A718:$ZZ718,1,$E$2+2),TEXT($S720,"yyyy-mm-dd")))</f>
        <v/>
      </c>
      <c r="AA720">
        <f>IF($R720="","",IF($T720&lt;0,"⚠"&amp;INDEX('입력_구리근무자명단'!$A718:$ZZ718,1,$E$2+3),TEXT($T720,"yyyy-mm-dd")))</f>
        <v/>
      </c>
      <c r="AB720">
        <f>AB719+IF($R720="",0,1)</f>
        <v/>
      </c>
      <c r="AC720">
        <f>IF($R720="","",$AB720)</f>
        <v/>
      </c>
    </row>
    <row r="721">
      <c r="O721">
        <f>719</f>
        <v/>
      </c>
      <c r="P721">
        <f>IF(TRIM('입력_구리근무자명단'!$A719&amp;"")&lt;&gt;"",TRIM('입력_구리근무자명단'!$A719&amp;""),P720)</f>
        <v/>
      </c>
      <c r="Q721">
        <f>'입력_구리근무자명단'!$B719&amp;""</f>
        <v/>
      </c>
      <c r="R721">
        <f>IF($E$2="","",TRIM(INDEX('입력_구리근무자명단'!$A719:$ZZ719,1,$E$2+IF($G$2="확정",1,0))&amp;""))</f>
        <v/>
      </c>
      <c r="S721">
        <f>IF($R721="","",IF(INDEX('입력_구리근무자명단'!$A719:$ZZ719,1,$E$2+2)&amp;""="",급여기준월,IF(ISNUMBER(INDEX('입력_구리근무자명단'!$A719:$ZZ719,1,$E$2+2)),INDEX('입력_구리근무자명단'!$A719:$ZZ719,1,$E$2+2),IFERROR(DATE(VALUE(LEFT(INDEX('입력_구리근무자명단'!$A719:$ZZ719,1,$E$2+2),4)),VALUE(MID(INDEX('입력_구리근무자명단'!$A719:$ZZ719,1,$E$2+2),6,2)),VALUE(MID(INDEX('입력_구리근무자명단'!$A719:$ZZ719,1,$E$2+2),9,2))),-1))))</f>
        <v/>
      </c>
      <c r="T721">
        <f>IF($R721="","",IF(INDEX('입력_구리근무자명단'!$A719:$ZZ719,1,$E$2+3)&amp;""="",EOMONTH(급여기준월,0),IF(ISNUMBER(INDEX('입력_구리근무자명단'!$A719:$ZZ719,1,$E$2+3)),INDEX('입력_구리근무자명단'!$A719:$ZZ719,1,$E$2+3),IFERROR(DATE(VALUE(LEFT(INDEX('입력_구리근무자명단'!$A719:$ZZ719,1,$E$2+3),4)),VALUE(MID(INDEX('입력_구리근무자명단'!$A719:$ZZ719,1,$E$2+3),6,2)),VALUE(MID(INDEX('입력_구리근무자명단'!$A719:$ZZ719,1,$E$2+3),9,2))),-1))))</f>
        <v/>
      </c>
      <c r="U721">
        <f>IF($R721="","",IF(OR($S721&lt;0,$T721&lt;0),0,MAX(0,MIN($T721,EOMONTH(급여기준월,0))-MAX($S721,급여기준월)+1)))</f>
        <v/>
      </c>
      <c r="V721">
        <f>IF($R721="","",TRIM(INDEX('입력_구리근무자명단'!$A719:$ZZ719,1,$E$2+5)&amp;""))</f>
        <v/>
      </c>
      <c r="W721">
        <f>IF(ISNUMBER(SEARCH("구리독자",$V721)),"구리독자","")</f>
        <v/>
      </c>
      <c r="X721">
        <f>IF($R721="","",$R721&amp;"|"&amp;IF(OR($Q721="인턴",ISNUMBER(SEARCH("수련교육부",$P721))),"인턴",$P721))</f>
        <v/>
      </c>
      <c r="Y721">
        <f>IF($R721="","",IF(COUNTIF(명단표[이름|과],$X721)=1,"명단 일치",IF(AND(COUNTIF(명단표[이름|과],$X721)=0,COUNTIF(명단표[이름],$R721)=1),"명단 일치(이름만, 과 다름)",IF(COUNTIF(명단표[이름],$R721)=0,IF(COUNTIF(기본자료표[이름],$R721)&gt;0,"명단에 없음(기본자료에는 있음)","명단에 없음"),"동명이인 확인"))))</f>
        <v/>
      </c>
      <c r="Z721">
        <f>IF($R721="","",IF($S721&lt;0,"⚠"&amp;INDEX('입력_구리근무자명단'!$A719:$ZZ719,1,$E$2+2),TEXT($S721,"yyyy-mm-dd")))</f>
        <v/>
      </c>
      <c r="AA721">
        <f>IF($R721="","",IF($T721&lt;0,"⚠"&amp;INDEX('입력_구리근무자명단'!$A719:$ZZ719,1,$E$2+3),TEXT($T721,"yyyy-mm-dd")))</f>
        <v/>
      </c>
      <c r="AB721">
        <f>AB720+IF($R721="",0,1)</f>
        <v/>
      </c>
      <c r="AC721">
        <f>IF($R721="","",$AB721)</f>
        <v/>
      </c>
    </row>
    <row r="722">
      <c r="O722">
        <f>720</f>
        <v/>
      </c>
      <c r="P722">
        <f>IF(TRIM('입력_구리근무자명단'!$A720&amp;"")&lt;&gt;"",TRIM('입력_구리근무자명단'!$A720&amp;""),P721)</f>
        <v/>
      </c>
      <c r="Q722">
        <f>'입력_구리근무자명단'!$B720&amp;""</f>
        <v/>
      </c>
      <c r="R722">
        <f>IF($E$2="","",TRIM(INDEX('입력_구리근무자명단'!$A720:$ZZ720,1,$E$2+IF($G$2="확정",1,0))&amp;""))</f>
        <v/>
      </c>
      <c r="S722">
        <f>IF($R722="","",IF(INDEX('입력_구리근무자명단'!$A720:$ZZ720,1,$E$2+2)&amp;""="",급여기준월,IF(ISNUMBER(INDEX('입력_구리근무자명단'!$A720:$ZZ720,1,$E$2+2)),INDEX('입력_구리근무자명단'!$A720:$ZZ720,1,$E$2+2),IFERROR(DATE(VALUE(LEFT(INDEX('입력_구리근무자명단'!$A720:$ZZ720,1,$E$2+2),4)),VALUE(MID(INDEX('입력_구리근무자명단'!$A720:$ZZ720,1,$E$2+2),6,2)),VALUE(MID(INDEX('입력_구리근무자명단'!$A720:$ZZ720,1,$E$2+2),9,2))),-1))))</f>
        <v/>
      </c>
      <c r="T722">
        <f>IF($R722="","",IF(INDEX('입력_구리근무자명단'!$A720:$ZZ720,1,$E$2+3)&amp;""="",EOMONTH(급여기준월,0),IF(ISNUMBER(INDEX('입력_구리근무자명단'!$A720:$ZZ720,1,$E$2+3)),INDEX('입력_구리근무자명단'!$A720:$ZZ720,1,$E$2+3),IFERROR(DATE(VALUE(LEFT(INDEX('입력_구리근무자명단'!$A720:$ZZ720,1,$E$2+3),4)),VALUE(MID(INDEX('입력_구리근무자명단'!$A720:$ZZ720,1,$E$2+3),6,2)),VALUE(MID(INDEX('입력_구리근무자명단'!$A720:$ZZ720,1,$E$2+3),9,2))),-1))))</f>
        <v/>
      </c>
      <c r="U722">
        <f>IF($R722="","",IF(OR($S722&lt;0,$T722&lt;0),0,MAX(0,MIN($T722,EOMONTH(급여기준월,0))-MAX($S722,급여기준월)+1)))</f>
        <v/>
      </c>
      <c r="V722">
        <f>IF($R722="","",TRIM(INDEX('입력_구리근무자명단'!$A720:$ZZ720,1,$E$2+5)&amp;""))</f>
        <v/>
      </c>
      <c r="W722">
        <f>IF(ISNUMBER(SEARCH("구리독자",$V722)),"구리독자","")</f>
        <v/>
      </c>
      <c r="X722">
        <f>IF($R722="","",$R722&amp;"|"&amp;IF(OR($Q722="인턴",ISNUMBER(SEARCH("수련교육부",$P722))),"인턴",$P722))</f>
        <v/>
      </c>
      <c r="Y722">
        <f>IF($R722="","",IF(COUNTIF(명단표[이름|과],$X722)=1,"명단 일치",IF(AND(COUNTIF(명단표[이름|과],$X722)=0,COUNTIF(명단표[이름],$R722)=1),"명단 일치(이름만, 과 다름)",IF(COUNTIF(명단표[이름],$R722)=0,IF(COUNTIF(기본자료표[이름],$R722)&gt;0,"명단에 없음(기본자료에는 있음)","명단에 없음"),"동명이인 확인"))))</f>
        <v/>
      </c>
      <c r="Z722">
        <f>IF($R722="","",IF($S722&lt;0,"⚠"&amp;INDEX('입력_구리근무자명단'!$A720:$ZZ720,1,$E$2+2),TEXT($S722,"yyyy-mm-dd")))</f>
        <v/>
      </c>
      <c r="AA722">
        <f>IF($R722="","",IF($T722&lt;0,"⚠"&amp;INDEX('입력_구리근무자명단'!$A720:$ZZ720,1,$E$2+3),TEXT($T722,"yyyy-mm-dd")))</f>
        <v/>
      </c>
      <c r="AB722">
        <f>AB721+IF($R722="",0,1)</f>
        <v/>
      </c>
      <c r="AC722">
        <f>IF($R722="","",$AB722)</f>
        <v/>
      </c>
    </row>
    <row r="723">
      <c r="O723">
        <f>721</f>
        <v/>
      </c>
      <c r="P723">
        <f>IF(TRIM('입력_구리근무자명단'!$A721&amp;"")&lt;&gt;"",TRIM('입력_구리근무자명단'!$A721&amp;""),P722)</f>
        <v/>
      </c>
      <c r="Q723">
        <f>'입력_구리근무자명단'!$B721&amp;""</f>
        <v/>
      </c>
      <c r="R723">
        <f>IF($E$2="","",TRIM(INDEX('입력_구리근무자명단'!$A721:$ZZ721,1,$E$2+IF($G$2="확정",1,0))&amp;""))</f>
        <v/>
      </c>
      <c r="S723">
        <f>IF($R723="","",IF(INDEX('입력_구리근무자명단'!$A721:$ZZ721,1,$E$2+2)&amp;""="",급여기준월,IF(ISNUMBER(INDEX('입력_구리근무자명단'!$A721:$ZZ721,1,$E$2+2)),INDEX('입력_구리근무자명단'!$A721:$ZZ721,1,$E$2+2),IFERROR(DATE(VALUE(LEFT(INDEX('입력_구리근무자명단'!$A721:$ZZ721,1,$E$2+2),4)),VALUE(MID(INDEX('입력_구리근무자명단'!$A721:$ZZ721,1,$E$2+2),6,2)),VALUE(MID(INDEX('입력_구리근무자명단'!$A721:$ZZ721,1,$E$2+2),9,2))),-1))))</f>
        <v/>
      </c>
      <c r="T723">
        <f>IF($R723="","",IF(INDEX('입력_구리근무자명단'!$A721:$ZZ721,1,$E$2+3)&amp;""="",EOMONTH(급여기준월,0),IF(ISNUMBER(INDEX('입력_구리근무자명단'!$A721:$ZZ721,1,$E$2+3)),INDEX('입력_구리근무자명단'!$A721:$ZZ721,1,$E$2+3),IFERROR(DATE(VALUE(LEFT(INDEX('입력_구리근무자명단'!$A721:$ZZ721,1,$E$2+3),4)),VALUE(MID(INDEX('입력_구리근무자명단'!$A721:$ZZ721,1,$E$2+3),6,2)),VALUE(MID(INDEX('입력_구리근무자명단'!$A721:$ZZ721,1,$E$2+3),9,2))),-1))))</f>
        <v/>
      </c>
      <c r="U723">
        <f>IF($R723="","",IF(OR($S723&lt;0,$T723&lt;0),0,MAX(0,MIN($T723,EOMONTH(급여기준월,0))-MAX($S723,급여기준월)+1)))</f>
        <v/>
      </c>
      <c r="V723">
        <f>IF($R723="","",TRIM(INDEX('입력_구리근무자명단'!$A721:$ZZ721,1,$E$2+5)&amp;""))</f>
        <v/>
      </c>
      <c r="W723">
        <f>IF(ISNUMBER(SEARCH("구리독자",$V723)),"구리독자","")</f>
        <v/>
      </c>
      <c r="X723">
        <f>IF($R723="","",$R723&amp;"|"&amp;IF(OR($Q723="인턴",ISNUMBER(SEARCH("수련교육부",$P723))),"인턴",$P723))</f>
        <v/>
      </c>
      <c r="Y723">
        <f>IF($R723="","",IF(COUNTIF(명단표[이름|과],$X723)=1,"명단 일치",IF(AND(COUNTIF(명단표[이름|과],$X723)=0,COUNTIF(명단표[이름],$R723)=1),"명단 일치(이름만, 과 다름)",IF(COUNTIF(명단표[이름],$R723)=0,IF(COUNTIF(기본자료표[이름],$R723)&gt;0,"명단에 없음(기본자료에는 있음)","명단에 없음"),"동명이인 확인"))))</f>
        <v/>
      </c>
      <c r="Z723">
        <f>IF($R723="","",IF($S723&lt;0,"⚠"&amp;INDEX('입력_구리근무자명단'!$A721:$ZZ721,1,$E$2+2),TEXT($S723,"yyyy-mm-dd")))</f>
        <v/>
      </c>
      <c r="AA723">
        <f>IF($R723="","",IF($T723&lt;0,"⚠"&amp;INDEX('입력_구리근무자명단'!$A721:$ZZ721,1,$E$2+3),TEXT($T723,"yyyy-mm-dd")))</f>
        <v/>
      </c>
      <c r="AB723">
        <f>AB722+IF($R723="",0,1)</f>
        <v/>
      </c>
      <c r="AC723">
        <f>IF($R723="","",$AB723)</f>
        <v/>
      </c>
    </row>
    <row r="724">
      <c r="O724">
        <f>722</f>
        <v/>
      </c>
      <c r="P724">
        <f>IF(TRIM('입력_구리근무자명단'!$A722&amp;"")&lt;&gt;"",TRIM('입력_구리근무자명단'!$A722&amp;""),P723)</f>
        <v/>
      </c>
      <c r="Q724">
        <f>'입력_구리근무자명단'!$B722&amp;""</f>
        <v/>
      </c>
      <c r="R724">
        <f>IF($E$2="","",TRIM(INDEX('입력_구리근무자명단'!$A722:$ZZ722,1,$E$2+IF($G$2="확정",1,0))&amp;""))</f>
        <v/>
      </c>
      <c r="S724">
        <f>IF($R724="","",IF(INDEX('입력_구리근무자명단'!$A722:$ZZ722,1,$E$2+2)&amp;""="",급여기준월,IF(ISNUMBER(INDEX('입력_구리근무자명단'!$A722:$ZZ722,1,$E$2+2)),INDEX('입력_구리근무자명단'!$A722:$ZZ722,1,$E$2+2),IFERROR(DATE(VALUE(LEFT(INDEX('입력_구리근무자명단'!$A722:$ZZ722,1,$E$2+2),4)),VALUE(MID(INDEX('입력_구리근무자명단'!$A722:$ZZ722,1,$E$2+2),6,2)),VALUE(MID(INDEX('입력_구리근무자명단'!$A722:$ZZ722,1,$E$2+2),9,2))),-1))))</f>
        <v/>
      </c>
      <c r="T724">
        <f>IF($R724="","",IF(INDEX('입력_구리근무자명단'!$A722:$ZZ722,1,$E$2+3)&amp;""="",EOMONTH(급여기준월,0),IF(ISNUMBER(INDEX('입력_구리근무자명단'!$A722:$ZZ722,1,$E$2+3)),INDEX('입력_구리근무자명단'!$A722:$ZZ722,1,$E$2+3),IFERROR(DATE(VALUE(LEFT(INDEX('입력_구리근무자명단'!$A722:$ZZ722,1,$E$2+3),4)),VALUE(MID(INDEX('입력_구리근무자명단'!$A722:$ZZ722,1,$E$2+3),6,2)),VALUE(MID(INDEX('입력_구리근무자명단'!$A722:$ZZ722,1,$E$2+3),9,2))),-1))))</f>
        <v/>
      </c>
      <c r="U724">
        <f>IF($R724="","",IF(OR($S724&lt;0,$T724&lt;0),0,MAX(0,MIN($T724,EOMONTH(급여기준월,0))-MAX($S724,급여기준월)+1)))</f>
        <v/>
      </c>
      <c r="V724">
        <f>IF($R724="","",TRIM(INDEX('입력_구리근무자명단'!$A722:$ZZ722,1,$E$2+5)&amp;""))</f>
        <v/>
      </c>
      <c r="W724">
        <f>IF(ISNUMBER(SEARCH("구리독자",$V724)),"구리독자","")</f>
        <v/>
      </c>
      <c r="X724">
        <f>IF($R724="","",$R724&amp;"|"&amp;IF(OR($Q724="인턴",ISNUMBER(SEARCH("수련교육부",$P724))),"인턴",$P724))</f>
        <v/>
      </c>
      <c r="Y724">
        <f>IF($R724="","",IF(COUNTIF(명단표[이름|과],$X724)=1,"명단 일치",IF(AND(COUNTIF(명단표[이름|과],$X724)=0,COUNTIF(명단표[이름],$R724)=1),"명단 일치(이름만, 과 다름)",IF(COUNTIF(명단표[이름],$R724)=0,IF(COUNTIF(기본자료표[이름],$R724)&gt;0,"명단에 없음(기본자료에는 있음)","명단에 없음"),"동명이인 확인"))))</f>
        <v/>
      </c>
      <c r="Z724">
        <f>IF($R724="","",IF($S724&lt;0,"⚠"&amp;INDEX('입력_구리근무자명단'!$A722:$ZZ722,1,$E$2+2),TEXT($S724,"yyyy-mm-dd")))</f>
        <v/>
      </c>
      <c r="AA724">
        <f>IF($R724="","",IF($T724&lt;0,"⚠"&amp;INDEX('입력_구리근무자명단'!$A722:$ZZ722,1,$E$2+3),TEXT($T724,"yyyy-mm-dd")))</f>
        <v/>
      </c>
      <c r="AB724">
        <f>AB723+IF($R724="",0,1)</f>
        <v/>
      </c>
      <c r="AC724">
        <f>IF($R724="","",$AB724)</f>
        <v/>
      </c>
    </row>
    <row r="725">
      <c r="O725">
        <f>723</f>
        <v/>
      </c>
      <c r="P725">
        <f>IF(TRIM('입력_구리근무자명단'!$A723&amp;"")&lt;&gt;"",TRIM('입력_구리근무자명단'!$A723&amp;""),P724)</f>
        <v/>
      </c>
      <c r="Q725">
        <f>'입력_구리근무자명단'!$B723&amp;""</f>
        <v/>
      </c>
      <c r="R725">
        <f>IF($E$2="","",TRIM(INDEX('입력_구리근무자명단'!$A723:$ZZ723,1,$E$2+IF($G$2="확정",1,0))&amp;""))</f>
        <v/>
      </c>
      <c r="S725">
        <f>IF($R725="","",IF(INDEX('입력_구리근무자명단'!$A723:$ZZ723,1,$E$2+2)&amp;""="",급여기준월,IF(ISNUMBER(INDEX('입력_구리근무자명단'!$A723:$ZZ723,1,$E$2+2)),INDEX('입력_구리근무자명단'!$A723:$ZZ723,1,$E$2+2),IFERROR(DATE(VALUE(LEFT(INDEX('입력_구리근무자명단'!$A723:$ZZ723,1,$E$2+2),4)),VALUE(MID(INDEX('입력_구리근무자명단'!$A723:$ZZ723,1,$E$2+2),6,2)),VALUE(MID(INDEX('입력_구리근무자명단'!$A723:$ZZ723,1,$E$2+2),9,2))),-1))))</f>
        <v/>
      </c>
      <c r="T725">
        <f>IF($R725="","",IF(INDEX('입력_구리근무자명단'!$A723:$ZZ723,1,$E$2+3)&amp;""="",EOMONTH(급여기준월,0),IF(ISNUMBER(INDEX('입력_구리근무자명단'!$A723:$ZZ723,1,$E$2+3)),INDEX('입력_구리근무자명단'!$A723:$ZZ723,1,$E$2+3),IFERROR(DATE(VALUE(LEFT(INDEX('입력_구리근무자명단'!$A723:$ZZ723,1,$E$2+3),4)),VALUE(MID(INDEX('입력_구리근무자명단'!$A723:$ZZ723,1,$E$2+3),6,2)),VALUE(MID(INDEX('입력_구리근무자명단'!$A723:$ZZ723,1,$E$2+3),9,2))),-1))))</f>
        <v/>
      </c>
      <c r="U725">
        <f>IF($R725="","",IF(OR($S725&lt;0,$T725&lt;0),0,MAX(0,MIN($T725,EOMONTH(급여기준월,0))-MAX($S725,급여기준월)+1)))</f>
        <v/>
      </c>
      <c r="V725">
        <f>IF($R725="","",TRIM(INDEX('입력_구리근무자명단'!$A723:$ZZ723,1,$E$2+5)&amp;""))</f>
        <v/>
      </c>
      <c r="W725">
        <f>IF(ISNUMBER(SEARCH("구리독자",$V725)),"구리독자","")</f>
        <v/>
      </c>
      <c r="X725">
        <f>IF($R725="","",$R725&amp;"|"&amp;IF(OR($Q725="인턴",ISNUMBER(SEARCH("수련교육부",$P725))),"인턴",$P725))</f>
        <v/>
      </c>
      <c r="Y725">
        <f>IF($R725="","",IF(COUNTIF(명단표[이름|과],$X725)=1,"명단 일치",IF(AND(COUNTIF(명단표[이름|과],$X725)=0,COUNTIF(명단표[이름],$R725)=1),"명단 일치(이름만, 과 다름)",IF(COUNTIF(명단표[이름],$R725)=0,IF(COUNTIF(기본자료표[이름],$R725)&gt;0,"명단에 없음(기본자료에는 있음)","명단에 없음"),"동명이인 확인"))))</f>
        <v/>
      </c>
      <c r="Z725">
        <f>IF($R725="","",IF($S725&lt;0,"⚠"&amp;INDEX('입력_구리근무자명단'!$A723:$ZZ723,1,$E$2+2),TEXT($S725,"yyyy-mm-dd")))</f>
        <v/>
      </c>
      <c r="AA725">
        <f>IF($R725="","",IF($T725&lt;0,"⚠"&amp;INDEX('입력_구리근무자명단'!$A723:$ZZ723,1,$E$2+3),TEXT($T725,"yyyy-mm-dd")))</f>
        <v/>
      </c>
      <c r="AB725">
        <f>AB724+IF($R725="",0,1)</f>
        <v/>
      </c>
      <c r="AC725">
        <f>IF($R725="","",$AB725)</f>
        <v/>
      </c>
    </row>
    <row r="726">
      <c r="O726">
        <f>724</f>
        <v/>
      </c>
      <c r="P726">
        <f>IF(TRIM('입력_구리근무자명단'!$A724&amp;"")&lt;&gt;"",TRIM('입력_구리근무자명단'!$A724&amp;""),P725)</f>
        <v/>
      </c>
      <c r="Q726">
        <f>'입력_구리근무자명단'!$B724&amp;""</f>
        <v/>
      </c>
      <c r="R726">
        <f>IF($E$2="","",TRIM(INDEX('입력_구리근무자명단'!$A724:$ZZ724,1,$E$2+IF($G$2="확정",1,0))&amp;""))</f>
        <v/>
      </c>
      <c r="S726">
        <f>IF($R726="","",IF(INDEX('입력_구리근무자명단'!$A724:$ZZ724,1,$E$2+2)&amp;""="",급여기준월,IF(ISNUMBER(INDEX('입력_구리근무자명단'!$A724:$ZZ724,1,$E$2+2)),INDEX('입력_구리근무자명단'!$A724:$ZZ724,1,$E$2+2),IFERROR(DATE(VALUE(LEFT(INDEX('입력_구리근무자명단'!$A724:$ZZ724,1,$E$2+2),4)),VALUE(MID(INDEX('입력_구리근무자명단'!$A724:$ZZ724,1,$E$2+2),6,2)),VALUE(MID(INDEX('입력_구리근무자명단'!$A724:$ZZ724,1,$E$2+2),9,2))),-1))))</f>
        <v/>
      </c>
      <c r="T726">
        <f>IF($R726="","",IF(INDEX('입력_구리근무자명단'!$A724:$ZZ724,1,$E$2+3)&amp;""="",EOMONTH(급여기준월,0),IF(ISNUMBER(INDEX('입력_구리근무자명단'!$A724:$ZZ724,1,$E$2+3)),INDEX('입력_구리근무자명단'!$A724:$ZZ724,1,$E$2+3),IFERROR(DATE(VALUE(LEFT(INDEX('입력_구리근무자명단'!$A724:$ZZ724,1,$E$2+3),4)),VALUE(MID(INDEX('입력_구리근무자명단'!$A724:$ZZ724,1,$E$2+3),6,2)),VALUE(MID(INDEX('입력_구리근무자명단'!$A724:$ZZ724,1,$E$2+3),9,2))),-1))))</f>
        <v/>
      </c>
      <c r="U726">
        <f>IF($R726="","",IF(OR($S726&lt;0,$T726&lt;0),0,MAX(0,MIN($T726,EOMONTH(급여기준월,0))-MAX($S726,급여기준월)+1)))</f>
        <v/>
      </c>
      <c r="V726">
        <f>IF($R726="","",TRIM(INDEX('입력_구리근무자명단'!$A724:$ZZ724,1,$E$2+5)&amp;""))</f>
        <v/>
      </c>
      <c r="W726">
        <f>IF(ISNUMBER(SEARCH("구리독자",$V726)),"구리독자","")</f>
        <v/>
      </c>
      <c r="X726">
        <f>IF($R726="","",$R726&amp;"|"&amp;IF(OR($Q726="인턴",ISNUMBER(SEARCH("수련교육부",$P726))),"인턴",$P726))</f>
        <v/>
      </c>
      <c r="Y726">
        <f>IF($R726="","",IF(COUNTIF(명단표[이름|과],$X726)=1,"명단 일치",IF(AND(COUNTIF(명단표[이름|과],$X726)=0,COUNTIF(명단표[이름],$R726)=1),"명단 일치(이름만, 과 다름)",IF(COUNTIF(명단표[이름],$R726)=0,IF(COUNTIF(기본자료표[이름],$R726)&gt;0,"명단에 없음(기본자료에는 있음)","명단에 없음"),"동명이인 확인"))))</f>
        <v/>
      </c>
      <c r="Z726">
        <f>IF($R726="","",IF($S726&lt;0,"⚠"&amp;INDEX('입력_구리근무자명단'!$A724:$ZZ724,1,$E$2+2),TEXT($S726,"yyyy-mm-dd")))</f>
        <v/>
      </c>
      <c r="AA726">
        <f>IF($R726="","",IF($T726&lt;0,"⚠"&amp;INDEX('입력_구리근무자명단'!$A724:$ZZ724,1,$E$2+3),TEXT($T726,"yyyy-mm-dd")))</f>
        <v/>
      </c>
      <c r="AB726">
        <f>AB725+IF($R726="",0,1)</f>
        <v/>
      </c>
      <c r="AC726">
        <f>IF($R726="","",$AB726)</f>
        <v/>
      </c>
    </row>
    <row r="727">
      <c r="O727">
        <f>725</f>
        <v/>
      </c>
      <c r="P727">
        <f>IF(TRIM('입력_구리근무자명단'!$A725&amp;"")&lt;&gt;"",TRIM('입력_구리근무자명단'!$A725&amp;""),P726)</f>
        <v/>
      </c>
      <c r="Q727">
        <f>'입력_구리근무자명단'!$B725&amp;""</f>
        <v/>
      </c>
      <c r="R727">
        <f>IF($E$2="","",TRIM(INDEX('입력_구리근무자명단'!$A725:$ZZ725,1,$E$2+IF($G$2="확정",1,0))&amp;""))</f>
        <v/>
      </c>
      <c r="S727">
        <f>IF($R727="","",IF(INDEX('입력_구리근무자명단'!$A725:$ZZ725,1,$E$2+2)&amp;""="",급여기준월,IF(ISNUMBER(INDEX('입력_구리근무자명단'!$A725:$ZZ725,1,$E$2+2)),INDEX('입력_구리근무자명단'!$A725:$ZZ725,1,$E$2+2),IFERROR(DATE(VALUE(LEFT(INDEX('입력_구리근무자명단'!$A725:$ZZ725,1,$E$2+2),4)),VALUE(MID(INDEX('입력_구리근무자명단'!$A725:$ZZ725,1,$E$2+2),6,2)),VALUE(MID(INDEX('입력_구리근무자명단'!$A725:$ZZ725,1,$E$2+2),9,2))),-1))))</f>
        <v/>
      </c>
      <c r="T727">
        <f>IF($R727="","",IF(INDEX('입력_구리근무자명단'!$A725:$ZZ725,1,$E$2+3)&amp;""="",EOMONTH(급여기준월,0),IF(ISNUMBER(INDEX('입력_구리근무자명단'!$A725:$ZZ725,1,$E$2+3)),INDEX('입력_구리근무자명단'!$A725:$ZZ725,1,$E$2+3),IFERROR(DATE(VALUE(LEFT(INDEX('입력_구리근무자명단'!$A725:$ZZ725,1,$E$2+3),4)),VALUE(MID(INDEX('입력_구리근무자명단'!$A725:$ZZ725,1,$E$2+3),6,2)),VALUE(MID(INDEX('입력_구리근무자명단'!$A725:$ZZ725,1,$E$2+3),9,2))),-1))))</f>
        <v/>
      </c>
      <c r="U727">
        <f>IF($R727="","",IF(OR($S727&lt;0,$T727&lt;0),0,MAX(0,MIN($T727,EOMONTH(급여기준월,0))-MAX($S727,급여기준월)+1)))</f>
        <v/>
      </c>
      <c r="V727">
        <f>IF($R727="","",TRIM(INDEX('입력_구리근무자명단'!$A725:$ZZ725,1,$E$2+5)&amp;""))</f>
        <v/>
      </c>
      <c r="W727">
        <f>IF(ISNUMBER(SEARCH("구리독자",$V727)),"구리독자","")</f>
        <v/>
      </c>
      <c r="X727">
        <f>IF($R727="","",$R727&amp;"|"&amp;IF(OR($Q727="인턴",ISNUMBER(SEARCH("수련교육부",$P727))),"인턴",$P727))</f>
        <v/>
      </c>
      <c r="Y727">
        <f>IF($R727="","",IF(COUNTIF(명단표[이름|과],$X727)=1,"명단 일치",IF(AND(COUNTIF(명단표[이름|과],$X727)=0,COUNTIF(명단표[이름],$R727)=1),"명단 일치(이름만, 과 다름)",IF(COUNTIF(명단표[이름],$R727)=0,IF(COUNTIF(기본자료표[이름],$R727)&gt;0,"명단에 없음(기본자료에는 있음)","명단에 없음"),"동명이인 확인"))))</f>
        <v/>
      </c>
      <c r="Z727">
        <f>IF($R727="","",IF($S727&lt;0,"⚠"&amp;INDEX('입력_구리근무자명단'!$A725:$ZZ725,1,$E$2+2),TEXT($S727,"yyyy-mm-dd")))</f>
        <v/>
      </c>
      <c r="AA727">
        <f>IF($R727="","",IF($T727&lt;0,"⚠"&amp;INDEX('입력_구리근무자명단'!$A725:$ZZ725,1,$E$2+3),TEXT($T727,"yyyy-mm-dd")))</f>
        <v/>
      </c>
      <c r="AB727">
        <f>AB726+IF($R727="",0,1)</f>
        <v/>
      </c>
      <c r="AC727">
        <f>IF($R727="","",$AB727)</f>
        <v/>
      </c>
    </row>
    <row r="728">
      <c r="O728">
        <f>726</f>
        <v/>
      </c>
      <c r="P728">
        <f>IF(TRIM('입력_구리근무자명단'!$A726&amp;"")&lt;&gt;"",TRIM('입력_구리근무자명단'!$A726&amp;""),P727)</f>
        <v/>
      </c>
      <c r="Q728">
        <f>'입력_구리근무자명단'!$B726&amp;""</f>
        <v/>
      </c>
      <c r="R728">
        <f>IF($E$2="","",TRIM(INDEX('입력_구리근무자명단'!$A726:$ZZ726,1,$E$2+IF($G$2="확정",1,0))&amp;""))</f>
        <v/>
      </c>
      <c r="S728">
        <f>IF($R728="","",IF(INDEX('입력_구리근무자명단'!$A726:$ZZ726,1,$E$2+2)&amp;""="",급여기준월,IF(ISNUMBER(INDEX('입력_구리근무자명단'!$A726:$ZZ726,1,$E$2+2)),INDEX('입력_구리근무자명단'!$A726:$ZZ726,1,$E$2+2),IFERROR(DATE(VALUE(LEFT(INDEX('입력_구리근무자명단'!$A726:$ZZ726,1,$E$2+2),4)),VALUE(MID(INDEX('입력_구리근무자명단'!$A726:$ZZ726,1,$E$2+2),6,2)),VALUE(MID(INDEX('입력_구리근무자명단'!$A726:$ZZ726,1,$E$2+2),9,2))),-1))))</f>
        <v/>
      </c>
      <c r="T728">
        <f>IF($R728="","",IF(INDEX('입력_구리근무자명단'!$A726:$ZZ726,1,$E$2+3)&amp;""="",EOMONTH(급여기준월,0),IF(ISNUMBER(INDEX('입력_구리근무자명단'!$A726:$ZZ726,1,$E$2+3)),INDEX('입력_구리근무자명단'!$A726:$ZZ726,1,$E$2+3),IFERROR(DATE(VALUE(LEFT(INDEX('입력_구리근무자명단'!$A726:$ZZ726,1,$E$2+3),4)),VALUE(MID(INDEX('입력_구리근무자명단'!$A726:$ZZ726,1,$E$2+3),6,2)),VALUE(MID(INDEX('입력_구리근무자명단'!$A726:$ZZ726,1,$E$2+3),9,2))),-1))))</f>
        <v/>
      </c>
      <c r="U728">
        <f>IF($R728="","",IF(OR($S728&lt;0,$T728&lt;0),0,MAX(0,MIN($T728,EOMONTH(급여기준월,0))-MAX($S728,급여기준월)+1)))</f>
        <v/>
      </c>
      <c r="V728">
        <f>IF($R728="","",TRIM(INDEX('입력_구리근무자명단'!$A726:$ZZ726,1,$E$2+5)&amp;""))</f>
        <v/>
      </c>
      <c r="W728">
        <f>IF(ISNUMBER(SEARCH("구리독자",$V728)),"구리독자","")</f>
        <v/>
      </c>
      <c r="X728">
        <f>IF($R728="","",$R728&amp;"|"&amp;IF(OR($Q728="인턴",ISNUMBER(SEARCH("수련교육부",$P728))),"인턴",$P728))</f>
        <v/>
      </c>
      <c r="Y728">
        <f>IF($R728="","",IF(COUNTIF(명단표[이름|과],$X728)=1,"명단 일치",IF(AND(COUNTIF(명단표[이름|과],$X728)=0,COUNTIF(명단표[이름],$R728)=1),"명단 일치(이름만, 과 다름)",IF(COUNTIF(명단표[이름],$R728)=0,IF(COUNTIF(기본자료표[이름],$R728)&gt;0,"명단에 없음(기본자료에는 있음)","명단에 없음"),"동명이인 확인"))))</f>
        <v/>
      </c>
      <c r="Z728">
        <f>IF($R728="","",IF($S728&lt;0,"⚠"&amp;INDEX('입력_구리근무자명단'!$A726:$ZZ726,1,$E$2+2),TEXT($S728,"yyyy-mm-dd")))</f>
        <v/>
      </c>
      <c r="AA728">
        <f>IF($R728="","",IF($T728&lt;0,"⚠"&amp;INDEX('입력_구리근무자명단'!$A726:$ZZ726,1,$E$2+3),TEXT($T728,"yyyy-mm-dd")))</f>
        <v/>
      </c>
      <c r="AB728">
        <f>AB727+IF($R728="",0,1)</f>
        <v/>
      </c>
      <c r="AC728">
        <f>IF($R728="","",$AB728)</f>
        <v/>
      </c>
    </row>
    <row r="729">
      <c r="O729">
        <f>727</f>
        <v/>
      </c>
      <c r="P729">
        <f>IF(TRIM('입력_구리근무자명단'!$A727&amp;"")&lt;&gt;"",TRIM('입력_구리근무자명단'!$A727&amp;""),P728)</f>
        <v/>
      </c>
      <c r="Q729">
        <f>'입력_구리근무자명단'!$B727&amp;""</f>
        <v/>
      </c>
      <c r="R729">
        <f>IF($E$2="","",TRIM(INDEX('입력_구리근무자명단'!$A727:$ZZ727,1,$E$2+IF($G$2="확정",1,0))&amp;""))</f>
        <v/>
      </c>
      <c r="S729">
        <f>IF($R729="","",IF(INDEX('입력_구리근무자명단'!$A727:$ZZ727,1,$E$2+2)&amp;""="",급여기준월,IF(ISNUMBER(INDEX('입력_구리근무자명단'!$A727:$ZZ727,1,$E$2+2)),INDEX('입력_구리근무자명단'!$A727:$ZZ727,1,$E$2+2),IFERROR(DATE(VALUE(LEFT(INDEX('입력_구리근무자명단'!$A727:$ZZ727,1,$E$2+2),4)),VALUE(MID(INDEX('입력_구리근무자명단'!$A727:$ZZ727,1,$E$2+2),6,2)),VALUE(MID(INDEX('입력_구리근무자명단'!$A727:$ZZ727,1,$E$2+2),9,2))),-1))))</f>
        <v/>
      </c>
      <c r="T729">
        <f>IF($R729="","",IF(INDEX('입력_구리근무자명단'!$A727:$ZZ727,1,$E$2+3)&amp;""="",EOMONTH(급여기준월,0),IF(ISNUMBER(INDEX('입력_구리근무자명단'!$A727:$ZZ727,1,$E$2+3)),INDEX('입력_구리근무자명단'!$A727:$ZZ727,1,$E$2+3),IFERROR(DATE(VALUE(LEFT(INDEX('입력_구리근무자명단'!$A727:$ZZ727,1,$E$2+3),4)),VALUE(MID(INDEX('입력_구리근무자명단'!$A727:$ZZ727,1,$E$2+3),6,2)),VALUE(MID(INDEX('입력_구리근무자명단'!$A727:$ZZ727,1,$E$2+3),9,2))),-1))))</f>
        <v/>
      </c>
      <c r="U729">
        <f>IF($R729="","",IF(OR($S729&lt;0,$T729&lt;0),0,MAX(0,MIN($T729,EOMONTH(급여기준월,0))-MAX($S729,급여기준월)+1)))</f>
        <v/>
      </c>
      <c r="V729">
        <f>IF($R729="","",TRIM(INDEX('입력_구리근무자명단'!$A727:$ZZ727,1,$E$2+5)&amp;""))</f>
        <v/>
      </c>
      <c r="W729">
        <f>IF(ISNUMBER(SEARCH("구리독자",$V729)),"구리독자","")</f>
        <v/>
      </c>
      <c r="X729">
        <f>IF($R729="","",$R729&amp;"|"&amp;IF(OR($Q729="인턴",ISNUMBER(SEARCH("수련교육부",$P729))),"인턴",$P729))</f>
        <v/>
      </c>
      <c r="Y729">
        <f>IF($R729="","",IF(COUNTIF(명단표[이름|과],$X729)=1,"명단 일치",IF(AND(COUNTIF(명단표[이름|과],$X729)=0,COUNTIF(명단표[이름],$R729)=1),"명단 일치(이름만, 과 다름)",IF(COUNTIF(명단표[이름],$R729)=0,IF(COUNTIF(기본자료표[이름],$R729)&gt;0,"명단에 없음(기본자료에는 있음)","명단에 없음"),"동명이인 확인"))))</f>
        <v/>
      </c>
      <c r="Z729">
        <f>IF($R729="","",IF($S729&lt;0,"⚠"&amp;INDEX('입력_구리근무자명단'!$A727:$ZZ727,1,$E$2+2),TEXT($S729,"yyyy-mm-dd")))</f>
        <v/>
      </c>
      <c r="AA729">
        <f>IF($R729="","",IF($T729&lt;0,"⚠"&amp;INDEX('입력_구리근무자명단'!$A727:$ZZ727,1,$E$2+3),TEXT($T729,"yyyy-mm-dd")))</f>
        <v/>
      </c>
      <c r="AB729">
        <f>AB728+IF($R729="",0,1)</f>
        <v/>
      </c>
      <c r="AC729">
        <f>IF($R729="","",$AB729)</f>
        <v/>
      </c>
    </row>
    <row r="730">
      <c r="O730">
        <f>728</f>
        <v/>
      </c>
      <c r="P730">
        <f>IF(TRIM('입력_구리근무자명단'!$A728&amp;"")&lt;&gt;"",TRIM('입력_구리근무자명단'!$A728&amp;""),P729)</f>
        <v/>
      </c>
      <c r="Q730">
        <f>'입력_구리근무자명단'!$B728&amp;""</f>
        <v/>
      </c>
      <c r="R730">
        <f>IF($E$2="","",TRIM(INDEX('입력_구리근무자명단'!$A728:$ZZ728,1,$E$2+IF($G$2="확정",1,0))&amp;""))</f>
        <v/>
      </c>
      <c r="S730">
        <f>IF($R730="","",IF(INDEX('입력_구리근무자명단'!$A728:$ZZ728,1,$E$2+2)&amp;""="",급여기준월,IF(ISNUMBER(INDEX('입력_구리근무자명단'!$A728:$ZZ728,1,$E$2+2)),INDEX('입력_구리근무자명단'!$A728:$ZZ728,1,$E$2+2),IFERROR(DATE(VALUE(LEFT(INDEX('입력_구리근무자명단'!$A728:$ZZ728,1,$E$2+2),4)),VALUE(MID(INDEX('입력_구리근무자명단'!$A728:$ZZ728,1,$E$2+2),6,2)),VALUE(MID(INDEX('입력_구리근무자명단'!$A728:$ZZ728,1,$E$2+2),9,2))),-1))))</f>
        <v/>
      </c>
      <c r="T730">
        <f>IF($R730="","",IF(INDEX('입력_구리근무자명단'!$A728:$ZZ728,1,$E$2+3)&amp;""="",EOMONTH(급여기준월,0),IF(ISNUMBER(INDEX('입력_구리근무자명단'!$A728:$ZZ728,1,$E$2+3)),INDEX('입력_구리근무자명단'!$A728:$ZZ728,1,$E$2+3),IFERROR(DATE(VALUE(LEFT(INDEX('입력_구리근무자명단'!$A728:$ZZ728,1,$E$2+3),4)),VALUE(MID(INDEX('입력_구리근무자명단'!$A728:$ZZ728,1,$E$2+3),6,2)),VALUE(MID(INDEX('입력_구리근무자명단'!$A728:$ZZ728,1,$E$2+3),9,2))),-1))))</f>
        <v/>
      </c>
      <c r="U730">
        <f>IF($R730="","",IF(OR($S730&lt;0,$T730&lt;0),0,MAX(0,MIN($T730,EOMONTH(급여기준월,0))-MAX($S730,급여기준월)+1)))</f>
        <v/>
      </c>
      <c r="V730">
        <f>IF($R730="","",TRIM(INDEX('입력_구리근무자명단'!$A728:$ZZ728,1,$E$2+5)&amp;""))</f>
        <v/>
      </c>
      <c r="W730">
        <f>IF(ISNUMBER(SEARCH("구리독자",$V730)),"구리독자","")</f>
        <v/>
      </c>
      <c r="X730">
        <f>IF($R730="","",$R730&amp;"|"&amp;IF(OR($Q730="인턴",ISNUMBER(SEARCH("수련교육부",$P730))),"인턴",$P730))</f>
        <v/>
      </c>
      <c r="Y730">
        <f>IF($R730="","",IF(COUNTIF(명단표[이름|과],$X730)=1,"명단 일치",IF(AND(COUNTIF(명단표[이름|과],$X730)=0,COUNTIF(명단표[이름],$R730)=1),"명단 일치(이름만, 과 다름)",IF(COUNTIF(명단표[이름],$R730)=0,IF(COUNTIF(기본자료표[이름],$R730)&gt;0,"명단에 없음(기본자료에는 있음)","명단에 없음"),"동명이인 확인"))))</f>
        <v/>
      </c>
      <c r="Z730">
        <f>IF($R730="","",IF($S730&lt;0,"⚠"&amp;INDEX('입력_구리근무자명단'!$A728:$ZZ728,1,$E$2+2),TEXT($S730,"yyyy-mm-dd")))</f>
        <v/>
      </c>
      <c r="AA730">
        <f>IF($R730="","",IF($T730&lt;0,"⚠"&amp;INDEX('입력_구리근무자명단'!$A728:$ZZ728,1,$E$2+3),TEXT($T730,"yyyy-mm-dd")))</f>
        <v/>
      </c>
      <c r="AB730">
        <f>AB729+IF($R730="",0,1)</f>
        <v/>
      </c>
      <c r="AC730">
        <f>IF($R730="","",$AB730)</f>
        <v/>
      </c>
    </row>
    <row r="731">
      <c r="O731">
        <f>729</f>
        <v/>
      </c>
      <c r="P731">
        <f>IF(TRIM('입력_구리근무자명단'!$A729&amp;"")&lt;&gt;"",TRIM('입력_구리근무자명단'!$A729&amp;""),P730)</f>
        <v/>
      </c>
      <c r="Q731">
        <f>'입력_구리근무자명단'!$B729&amp;""</f>
        <v/>
      </c>
      <c r="R731">
        <f>IF($E$2="","",TRIM(INDEX('입력_구리근무자명단'!$A729:$ZZ729,1,$E$2+IF($G$2="확정",1,0))&amp;""))</f>
        <v/>
      </c>
      <c r="S731">
        <f>IF($R731="","",IF(INDEX('입력_구리근무자명단'!$A729:$ZZ729,1,$E$2+2)&amp;""="",급여기준월,IF(ISNUMBER(INDEX('입력_구리근무자명단'!$A729:$ZZ729,1,$E$2+2)),INDEX('입력_구리근무자명단'!$A729:$ZZ729,1,$E$2+2),IFERROR(DATE(VALUE(LEFT(INDEX('입력_구리근무자명단'!$A729:$ZZ729,1,$E$2+2),4)),VALUE(MID(INDEX('입력_구리근무자명단'!$A729:$ZZ729,1,$E$2+2),6,2)),VALUE(MID(INDEX('입력_구리근무자명단'!$A729:$ZZ729,1,$E$2+2),9,2))),-1))))</f>
        <v/>
      </c>
      <c r="T731">
        <f>IF($R731="","",IF(INDEX('입력_구리근무자명단'!$A729:$ZZ729,1,$E$2+3)&amp;""="",EOMONTH(급여기준월,0),IF(ISNUMBER(INDEX('입력_구리근무자명단'!$A729:$ZZ729,1,$E$2+3)),INDEX('입력_구리근무자명단'!$A729:$ZZ729,1,$E$2+3),IFERROR(DATE(VALUE(LEFT(INDEX('입력_구리근무자명단'!$A729:$ZZ729,1,$E$2+3),4)),VALUE(MID(INDEX('입력_구리근무자명단'!$A729:$ZZ729,1,$E$2+3),6,2)),VALUE(MID(INDEX('입력_구리근무자명단'!$A729:$ZZ729,1,$E$2+3),9,2))),-1))))</f>
        <v/>
      </c>
      <c r="U731">
        <f>IF($R731="","",IF(OR($S731&lt;0,$T731&lt;0),0,MAX(0,MIN($T731,EOMONTH(급여기준월,0))-MAX($S731,급여기준월)+1)))</f>
        <v/>
      </c>
      <c r="V731">
        <f>IF($R731="","",TRIM(INDEX('입력_구리근무자명단'!$A729:$ZZ729,1,$E$2+5)&amp;""))</f>
        <v/>
      </c>
      <c r="W731">
        <f>IF(ISNUMBER(SEARCH("구리독자",$V731)),"구리독자","")</f>
        <v/>
      </c>
      <c r="X731">
        <f>IF($R731="","",$R731&amp;"|"&amp;IF(OR($Q731="인턴",ISNUMBER(SEARCH("수련교육부",$P731))),"인턴",$P731))</f>
        <v/>
      </c>
      <c r="Y731">
        <f>IF($R731="","",IF(COUNTIF(명단표[이름|과],$X731)=1,"명단 일치",IF(AND(COUNTIF(명단표[이름|과],$X731)=0,COUNTIF(명단표[이름],$R731)=1),"명단 일치(이름만, 과 다름)",IF(COUNTIF(명단표[이름],$R731)=0,IF(COUNTIF(기본자료표[이름],$R731)&gt;0,"명단에 없음(기본자료에는 있음)","명단에 없음"),"동명이인 확인"))))</f>
        <v/>
      </c>
      <c r="Z731">
        <f>IF($R731="","",IF($S731&lt;0,"⚠"&amp;INDEX('입력_구리근무자명단'!$A729:$ZZ729,1,$E$2+2),TEXT($S731,"yyyy-mm-dd")))</f>
        <v/>
      </c>
      <c r="AA731">
        <f>IF($R731="","",IF($T731&lt;0,"⚠"&amp;INDEX('입력_구리근무자명단'!$A729:$ZZ729,1,$E$2+3),TEXT($T731,"yyyy-mm-dd")))</f>
        <v/>
      </c>
      <c r="AB731">
        <f>AB730+IF($R731="",0,1)</f>
        <v/>
      </c>
      <c r="AC731">
        <f>IF($R731="","",$AB731)</f>
        <v/>
      </c>
    </row>
    <row r="732">
      <c r="O732">
        <f>730</f>
        <v/>
      </c>
      <c r="P732">
        <f>IF(TRIM('입력_구리근무자명단'!$A730&amp;"")&lt;&gt;"",TRIM('입력_구리근무자명단'!$A730&amp;""),P731)</f>
        <v/>
      </c>
      <c r="Q732">
        <f>'입력_구리근무자명단'!$B730&amp;""</f>
        <v/>
      </c>
      <c r="R732">
        <f>IF($E$2="","",TRIM(INDEX('입력_구리근무자명단'!$A730:$ZZ730,1,$E$2+IF($G$2="확정",1,0))&amp;""))</f>
        <v/>
      </c>
      <c r="S732">
        <f>IF($R732="","",IF(INDEX('입력_구리근무자명단'!$A730:$ZZ730,1,$E$2+2)&amp;""="",급여기준월,IF(ISNUMBER(INDEX('입력_구리근무자명단'!$A730:$ZZ730,1,$E$2+2)),INDEX('입력_구리근무자명단'!$A730:$ZZ730,1,$E$2+2),IFERROR(DATE(VALUE(LEFT(INDEX('입력_구리근무자명단'!$A730:$ZZ730,1,$E$2+2),4)),VALUE(MID(INDEX('입력_구리근무자명단'!$A730:$ZZ730,1,$E$2+2),6,2)),VALUE(MID(INDEX('입력_구리근무자명단'!$A730:$ZZ730,1,$E$2+2),9,2))),-1))))</f>
        <v/>
      </c>
      <c r="T732">
        <f>IF($R732="","",IF(INDEX('입력_구리근무자명단'!$A730:$ZZ730,1,$E$2+3)&amp;""="",EOMONTH(급여기준월,0),IF(ISNUMBER(INDEX('입력_구리근무자명단'!$A730:$ZZ730,1,$E$2+3)),INDEX('입력_구리근무자명단'!$A730:$ZZ730,1,$E$2+3),IFERROR(DATE(VALUE(LEFT(INDEX('입력_구리근무자명단'!$A730:$ZZ730,1,$E$2+3),4)),VALUE(MID(INDEX('입력_구리근무자명단'!$A730:$ZZ730,1,$E$2+3),6,2)),VALUE(MID(INDEX('입력_구리근무자명단'!$A730:$ZZ730,1,$E$2+3),9,2))),-1))))</f>
        <v/>
      </c>
      <c r="U732">
        <f>IF($R732="","",IF(OR($S732&lt;0,$T732&lt;0),0,MAX(0,MIN($T732,EOMONTH(급여기준월,0))-MAX($S732,급여기준월)+1)))</f>
        <v/>
      </c>
      <c r="V732">
        <f>IF($R732="","",TRIM(INDEX('입력_구리근무자명단'!$A730:$ZZ730,1,$E$2+5)&amp;""))</f>
        <v/>
      </c>
      <c r="W732">
        <f>IF(ISNUMBER(SEARCH("구리독자",$V732)),"구리독자","")</f>
        <v/>
      </c>
      <c r="X732">
        <f>IF($R732="","",$R732&amp;"|"&amp;IF(OR($Q732="인턴",ISNUMBER(SEARCH("수련교육부",$P732))),"인턴",$P732))</f>
        <v/>
      </c>
      <c r="Y732">
        <f>IF($R732="","",IF(COUNTIF(명단표[이름|과],$X732)=1,"명단 일치",IF(AND(COUNTIF(명단표[이름|과],$X732)=0,COUNTIF(명단표[이름],$R732)=1),"명단 일치(이름만, 과 다름)",IF(COUNTIF(명단표[이름],$R732)=0,IF(COUNTIF(기본자료표[이름],$R732)&gt;0,"명단에 없음(기본자료에는 있음)","명단에 없음"),"동명이인 확인"))))</f>
        <v/>
      </c>
      <c r="Z732">
        <f>IF($R732="","",IF($S732&lt;0,"⚠"&amp;INDEX('입력_구리근무자명단'!$A730:$ZZ730,1,$E$2+2),TEXT($S732,"yyyy-mm-dd")))</f>
        <v/>
      </c>
      <c r="AA732">
        <f>IF($R732="","",IF($T732&lt;0,"⚠"&amp;INDEX('입력_구리근무자명단'!$A730:$ZZ730,1,$E$2+3),TEXT($T732,"yyyy-mm-dd")))</f>
        <v/>
      </c>
      <c r="AB732">
        <f>AB731+IF($R732="",0,1)</f>
        <v/>
      </c>
      <c r="AC732">
        <f>IF($R732="","",$AB732)</f>
        <v/>
      </c>
    </row>
    <row r="733">
      <c r="O733">
        <f>731</f>
        <v/>
      </c>
      <c r="P733">
        <f>IF(TRIM('입력_구리근무자명단'!$A731&amp;"")&lt;&gt;"",TRIM('입력_구리근무자명단'!$A731&amp;""),P732)</f>
        <v/>
      </c>
      <c r="Q733">
        <f>'입력_구리근무자명단'!$B731&amp;""</f>
        <v/>
      </c>
      <c r="R733">
        <f>IF($E$2="","",TRIM(INDEX('입력_구리근무자명단'!$A731:$ZZ731,1,$E$2+IF($G$2="확정",1,0))&amp;""))</f>
        <v/>
      </c>
      <c r="S733">
        <f>IF($R733="","",IF(INDEX('입력_구리근무자명단'!$A731:$ZZ731,1,$E$2+2)&amp;""="",급여기준월,IF(ISNUMBER(INDEX('입력_구리근무자명단'!$A731:$ZZ731,1,$E$2+2)),INDEX('입력_구리근무자명단'!$A731:$ZZ731,1,$E$2+2),IFERROR(DATE(VALUE(LEFT(INDEX('입력_구리근무자명단'!$A731:$ZZ731,1,$E$2+2),4)),VALUE(MID(INDEX('입력_구리근무자명단'!$A731:$ZZ731,1,$E$2+2),6,2)),VALUE(MID(INDEX('입력_구리근무자명단'!$A731:$ZZ731,1,$E$2+2),9,2))),-1))))</f>
        <v/>
      </c>
      <c r="T733">
        <f>IF($R733="","",IF(INDEX('입력_구리근무자명단'!$A731:$ZZ731,1,$E$2+3)&amp;""="",EOMONTH(급여기준월,0),IF(ISNUMBER(INDEX('입력_구리근무자명단'!$A731:$ZZ731,1,$E$2+3)),INDEX('입력_구리근무자명단'!$A731:$ZZ731,1,$E$2+3),IFERROR(DATE(VALUE(LEFT(INDEX('입력_구리근무자명단'!$A731:$ZZ731,1,$E$2+3),4)),VALUE(MID(INDEX('입력_구리근무자명단'!$A731:$ZZ731,1,$E$2+3),6,2)),VALUE(MID(INDEX('입력_구리근무자명단'!$A731:$ZZ731,1,$E$2+3),9,2))),-1))))</f>
        <v/>
      </c>
      <c r="U733">
        <f>IF($R733="","",IF(OR($S733&lt;0,$T733&lt;0),0,MAX(0,MIN($T733,EOMONTH(급여기준월,0))-MAX($S733,급여기준월)+1)))</f>
        <v/>
      </c>
      <c r="V733">
        <f>IF($R733="","",TRIM(INDEX('입력_구리근무자명단'!$A731:$ZZ731,1,$E$2+5)&amp;""))</f>
        <v/>
      </c>
      <c r="W733">
        <f>IF(ISNUMBER(SEARCH("구리독자",$V733)),"구리독자","")</f>
        <v/>
      </c>
      <c r="X733">
        <f>IF($R733="","",$R733&amp;"|"&amp;IF(OR($Q733="인턴",ISNUMBER(SEARCH("수련교육부",$P733))),"인턴",$P733))</f>
        <v/>
      </c>
      <c r="Y733">
        <f>IF($R733="","",IF(COUNTIF(명단표[이름|과],$X733)=1,"명단 일치",IF(AND(COUNTIF(명단표[이름|과],$X733)=0,COUNTIF(명단표[이름],$R733)=1),"명단 일치(이름만, 과 다름)",IF(COUNTIF(명단표[이름],$R733)=0,IF(COUNTIF(기본자료표[이름],$R733)&gt;0,"명단에 없음(기본자료에는 있음)","명단에 없음"),"동명이인 확인"))))</f>
        <v/>
      </c>
      <c r="Z733">
        <f>IF($R733="","",IF($S733&lt;0,"⚠"&amp;INDEX('입력_구리근무자명단'!$A731:$ZZ731,1,$E$2+2),TEXT($S733,"yyyy-mm-dd")))</f>
        <v/>
      </c>
      <c r="AA733">
        <f>IF($R733="","",IF($T733&lt;0,"⚠"&amp;INDEX('입력_구리근무자명단'!$A731:$ZZ731,1,$E$2+3),TEXT($T733,"yyyy-mm-dd")))</f>
        <v/>
      </c>
      <c r="AB733">
        <f>AB732+IF($R733="",0,1)</f>
        <v/>
      </c>
      <c r="AC733">
        <f>IF($R733="","",$AB733)</f>
        <v/>
      </c>
    </row>
    <row r="734">
      <c r="O734">
        <f>732</f>
        <v/>
      </c>
      <c r="P734">
        <f>IF(TRIM('입력_구리근무자명단'!$A732&amp;"")&lt;&gt;"",TRIM('입력_구리근무자명단'!$A732&amp;""),P733)</f>
        <v/>
      </c>
      <c r="Q734">
        <f>'입력_구리근무자명단'!$B732&amp;""</f>
        <v/>
      </c>
      <c r="R734">
        <f>IF($E$2="","",TRIM(INDEX('입력_구리근무자명단'!$A732:$ZZ732,1,$E$2+IF($G$2="확정",1,0))&amp;""))</f>
        <v/>
      </c>
      <c r="S734">
        <f>IF($R734="","",IF(INDEX('입력_구리근무자명단'!$A732:$ZZ732,1,$E$2+2)&amp;""="",급여기준월,IF(ISNUMBER(INDEX('입력_구리근무자명단'!$A732:$ZZ732,1,$E$2+2)),INDEX('입력_구리근무자명단'!$A732:$ZZ732,1,$E$2+2),IFERROR(DATE(VALUE(LEFT(INDEX('입력_구리근무자명단'!$A732:$ZZ732,1,$E$2+2),4)),VALUE(MID(INDEX('입력_구리근무자명단'!$A732:$ZZ732,1,$E$2+2),6,2)),VALUE(MID(INDEX('입력_구리근무자명단'!$A732:$ZZ732,1,$E$2+2),9,2))),-1))))</f>
        <v/>
      </c>
      <c r="T734">
        <f>IF($R734="","",IF(INDEX('입력_구리근무자명단'!$A732:$ZZ732,1,$E$2+3)&amp;""="",EOMONTH(급여기준월,0),IF(ISNUMBER(INDEX('입력_구리근무자명단'!$A732:$ZZ732,1,$E$2+3)),INDEX('입력_구리근무자명단'!$A732:$ZZ732,1,$E$2+3),IFERROR(DATE(VALUE(LEFT(INDEX('입력_구리근무자명단'!$A732:$ZZ732,1,$E$2+3),4)),VALUE(MID(INDEX('입력_구리근무자명단'!$A732:$ZZ732,1,$E$2+3),6,2)),VALUE(MID(INDEX('입력_구리근무자명단'!$A732:$ZZ732,1,$E$2+3),9,2))),-1))))</f>
        <v/>
      </c>
      <c r="U734">
        <f>IF($R734="","",IF(OR($S734&lt;0,$T734&lt;0),0,MAX(0,MIN($T734,EOMONTH(급여기준월,0))-MAX($S734,급여기준월)+1)))</f>
        <v/>
      </c>
      <c r="V734">
        <f>IF($R734="","",TRIM(INDEX('입력_구리근무자명단'!$A732:$ZZ732,1,$E$2+5)&amp;""))</f>
        <v/>
      </c>
      <c r="W734">
        <f>IF(ISNUMBER(SEARCH("구리독자",$V734)),"구리독자","")</f>
        <v/>
      </c>
      <c r="X734">
        <f>IF($R734="","",$R734&amp;"|"&amp;IF(OR($Q734="인턴",ISNUMBER(SEARCH("수련교육부",$P734))),"인턴",$P734))</f>
        <v/>
      </c>
      <c r="Y734">
        <f>IF($R734="","",IF(COUNTIF(명단표[이름|과],$X734)=1,"명단 일치",IF(AND(COUNTIF(명단표[이름|과],$X734)=0,COUNTIF(명단표[이름],$R734)=1),"명단 일치(이름만, 과 다름)",IF(COUNTIF(명단표[이름],$R734)=0,IF(COUNTIF(기본자료표[이름],$R734)&gt;0,"명단에 없음(기본자료에는 있음)","명단에 없음"),"동명이인 확인"))))</f>
        <v/>
      </c>
      <c r="Z734">
        <f>IF($R734="","",IF($S734&lt;0,"⚠"&amp;INDEX('입력_구리근무자명단'!$A732:$ZZ732,1,$E$2+2),TEXT($S734,"yyyy-mm-dd")))</f>
        <v/>
      </c>
      <c r="AA734">
        <f>IF($R734="","",IF($T734&lt;0,"⚠"&amp;INDEX('입력_구리근무자명단'!$A732:$ZZ732,1,$E$2+3),TEXT($T734,"yyyy-mm-dd")))</f>
        <v/>
      </c>
      <c r="AB734">
        <f>AB733+IF($R734="",0,1)</f>
        <v/>
      </c>
      <c r="AC734">
        <f>IF($R734="","",$AB734)</f>
        <v/>
      </c>
    </row>
    <row r="735">
      <c r="O735">
        <f>733</f>
        <v/>
      </c>
      <c r="P735">
        <f>IF(TRIM('입력_구리근무자명단'!$A733&amp;"")&lt;&gt;"",TRIM('입력_구리근무자명단'!$A733&amp;""),P734)</f>
        <v/>
      </c>
      <c r="Q735">
        <f>'입력_구리근무자명단'!$B733&amp;""</f>
        <v/>
      </c>
      <c r="R735">
        <f>IF($E$2="","",TRIM(INDEX('입력_구리근무자명단'!$A733:$ZZ733,1,$E$2+IF($G$2="확정",1,0))&amp;""))</f>
        <v/>
      </c>
      <c r="S735">
        <f>IF($R735="","",IF(INDEX('입력_구리근무자명단'!$A733:$ZZ733,1,$E$2+2)&amp;""="",급여기준월,IF(ISNUMBER(INDEX('입력_구리근무자명단'!$A733:$ZZ733,1,$E$2+2)),INDEX('입력_구리근무자명단'!$A733:$ZZ733,1,$E$2+2),IFERROR(DATE(VALUE(LEFT(INDEX('입력_구리근무자명단'!$A733:$ZZ733,1,$E$2+2),4)),VALUE(MID(INDEX('입력_구리근무자명단'!$A733:$ZZ733,1,$E$2+2),6,2)),VALUE(MID(INDEX('입력_구리근무자명단'!$A733:$ZZ733,1,$E$2+2),9,2))),-1))))</f>
        <v/>
      </c>
      <c r="T735">
        <f>IF($R735="","",IF(INDEX('입력_구리근무자명단'!$A733:$ZZ733,1,$E$2+3)&amp;""="",EOMONTH(급여기준월,0),IF(ISNUMBER(INDEX('입력_구리근무자명단'!$A733:$ZZ733,1,$E$2+3)),INDEX('입력_구리근무자명단'!$A733:$ZZ733,1,$E$2+3),IFERROR(DATE(VALUE(LEFT(INDEX('입력_구리근무자명단'!$A733:$ZZ733,1,$E$2+3),4)),VALUE(MID(INDEX('입력_구리근무자명단'!$A733:$ZZ733,1,$E$2+3),6,2)),VALUE(MID(INDEX('입력_구리근무자명단'!$A733:$ZZ733,1,$E$2+3),9,2))),-1))))</f>
        <v/>
      </c>
      <c r="U735">
        <f>IF($R735="","",IF(OR($S735&lt;0,$T735&lt;0),0,MAX(0,MIN($T735,EOMONTH(급여기준월,0))-MAX($S735,급여기준월)+1)))</f>
        <v/>
      </c>
      <c r="V735">
        <f>IF($R735="","",TRIM(INDEX('입력_구리근무자명단'!$A733:$ZZ733,1,$E$2+5)&amp;""))</f>
        <v/>
      </c>
      <c r="W735">
        <f>IF(ISNUMBER(SEARCH("구리독자",$V735)),"구리독자","")</f>
        <v/>
      </c>
      <c r="X735">
        <f>IF($R735="","",$R735&amp;"|"&amp;IF(OR($Q735="인턴",ISNUMBER(SEARCH("수련교육부",$P735))),"인턴",$P735))</f>
        <v/>
      </c>
      <c r="Y735">
        <f>IF($R735="","",IF(COUNTIF(명단표[이름|과],$X735)=1,"명단 일치",IF(AND(COUNTIF(명단표[이름|과],$X735)=0,COUNTIF(명단표[이름],$R735)=1),"명단 일치(이름만, 과 다름)",IF(COUNTIF(명단표[이름],$R735)=0,IF(COUNTIF(기본자료표[이름],$R735)&gt;0,"명단에 없음(기본자료에는 있음)","명단에 없음"),"동명이인 확인"))))</f>
        <v/>
      </c>
      <c r="Z735">
        <f>IF($R735="","",IF($S735&lt;0,"⚠"&amp;INDEX('입력_구리근무자명단'!$A733:$ZZ733,1,$E$2+2),TEXT($S735,"yyyy-mm-dd")))</f>
        <v/>
      </c>
      <c r="AA735">
        <f>IF($R735="","",IF($T735&lt;0,"⚠"&amp;INDEX('입력_구리근무자명단'!$A733:$ZZ733,1,$E$2+3),TEXT($T735,"yyyy-mm-dd")))</f>
        <v/>
      </c>
      <c r="AB735">
        <f>AB734+IF($R735="",0,1)</f>
        <v/>
      </c>
      <c r="AC735">
        <f>IF($R735="","",$AB735)</f>
        <v/>
      </c>
    </row>
    <row r="736">
      <c r="O736">
        <f>734</f>
        <v/>
      </c>
      <c r="P736">
        <f>IF(TRIM('입력_구리근무자명단'!$A734&amp;"")&lt;&gt;"",TRIM('입력_구리근무자명단'!$A734&amp;""),P735)</f>
        <v/>
      </c>
      <c r="Q736">
        <f>'입력_구리근무자명단'!$B734&amp;""</f>
        <v/>
      </c>
      <c r="R736">
        <f>IF($E$2="","",TRIM(INDEX('입력_구리근무자명단'!$A734:$ZZ734,1,$E$2+IF($G$2="확정",1,0))&amp;""))</f>
        <v/>
      </c>
      <c r="S736">
        <f>IF($R736="","",IF(INDEX('입력_구리근무자명단'!$A734:$ZZ734,1,$E$2+2)&amp;""="",급여기준월,IF(ISNUMBER(INDEX('입력_구리근무자명단'!$A734:$ZZ734,1,$E$2+2)),INDEX('입력_구리근무자명단'!$A734:$ZZ734,1,$E$2+2),IFERROR(DATE(VALUE(LEFT(INDEX('입력_구리근무자명단'!$A734:$ZZ734,1,$E$2+2),4)),VALUE(MID(INDEX('입력_구리근무자명단'!$A734:$ZZ734,1,$E$2+2),6,2)),VALUE(MID(INDEX('입력_구리근무자명단'!$A734:$ZZ734,1,$E$2+2),9,2))),-1))))</f>
        <v/>
      </c>
      <c r="T736">
        <f>IF($R736="","",IF(INDEX('입력_구리근무자명단'!$A734:$ZZ734,1,$E$2+3)&amp;""="",EOMONTH(급여기준월,0),IF(ISNUMBER(INDEX('입력_구리근무자명단'!$A734:$ZZ734,1,$E$2+3)),INDEX('입력_구리근무자명단'!$A734:$ZZ734,1,$E$2+3),IFERROR(DATE(VALUE(LEFT(INDEX('입력_구리근무자명단'!$A734:$ZZ734,1,$E$2+3),4)),VALUE(MID(INDEX('입력_구리근무자명단'!$A734:$ZZ734,1,$E$2+3),6,2)),VALUE(MID(INDEX('입력_구리근무자명단'!$A734:$ZZ734,1,$E$2+3),9,2))),-1))))</f>
        <v/>
      </c>
      <c r="U736">
        <f>IF($R736="","",IF(OR($S736&lt;0,$T736&lt;0),0,MAX(0,MIN($T736,EOMONTH(급여기준월,0))-MAX($S736,급여기준월)+1)))</f>
        <v/>
      </c>
      <c r="V736">
        <f>IF($R736="","",TRIM(INDEX('입력_구리근무자명단'!$A734:$ZZ734,1,$E$2+5)&amp;""))</f>
        <v/>
      </c>
      <c r="W736">
        <f>IF(ISNUMBER(SEARCH("구리독자",$V736)),"구리독자","")</f>
        <v/>
      </c>
      <c r="X736">
        <f>IF($R736="","",$R736&amp;"|"&amp;IF(OR($Q736="인턴",ISNUMBER(SEARCH("수련교육부",$P736))),"인턴",$P736))</f>
        <v/>
      </c>
      <c r="Y736">
        <f>IF($R736="","",IF(COUNTIF(명단표[이름|과],$X736)=1,"명단 일치",IF(AND(COUNTIF(명단표[이름|과],$X736)=0,COUNTIF(명단표[이름],$R736)=1),"명단 일치(이름만, 과 다름)",IF(COUNTIF(명단표[이름],$R736)=0,IF(COUNTIF(기본자료표[이름],$R736)&gt;0,"명단에 없음(기본자료에는 있음)","명단에 없음"),"동명이인 확인"))))</f>
        <v/>
      </c>
      <c r="Z736">
        <f>IF($R736="","",IF($S736&lt;0,"⚠"&amp;INDEX('입력_구리근무자명단'!$A734:$ZZ734,1,$E$2+2),TEXT($S736,"yyyy-mm-dd")))</f>
        <v/>
      </c>
      <c r="AA736">
        <f>IF($R736="","",IF($T736&lt;0,"⚠"&amp;INDEX('입력_구리근무자명단'!$A734:$ZZ734,1,$E$2+3),TEXT($T736,"yyyy-mm-dd")))</f>
        <v/>
      </c>
      <c r="AB736">
        <f>AB735+IF($R736="",0,1)</f>
        <v/>
      </c>
      <c r="AC736">
        <f>IF($R736="","",$AB736)</f>
        <v/>
      </c>
    </row>
    <row r="737">
      <c r="O737">
        <f>735</f>
        <v/>
      </c>
      <c r="P737">
        <f>IF(TRIM('입력_구리근무자명단'!$A735&amp;"")&lt;&gt;"",TRIM('입력_구리근무자명단'!$A735&amp;""),P736)</f>
        <v/>
      </c>
      <c r="Q737">
        <f>'입력_구리근무자명단'!$B735&amp;""</f>
        <v/>
      </c>
      <c r="R737">
        <f>IF($E$2="","",TRIM(INDEX('입력_구리근무자명단'!$A735:$ZZ735,1,$E$2+IF($G$2="확정",1,0))&amp;""))</f>
        <v/>
      </c>
      <c r="S737">
        <f>IF($R737="","",IF(INDEX('입력_구리근무자명단'!$A735:$ZZ735,1,$E$2+2)&amp;""="",급여기준월,IF(ISNUMBER(INDEX('입력_구리근무자명단'!$A735:$ZZ735,1,$E$2+2)),INDEX('입력_구리근무자명단'!$A735:$ZZ735,1,$E$2+2),IFERROR(DATE(VALUE(LEFT(INDEX('입력_구리근무자명단'!$A735:$ZZ735,1,$E$2+2),4)),VALUE(MID(INDEX('입력_구리근무자명단'!$A735:$ZZ735,1,$E$2+2),6,2)),VALUE(MID(INDEX('입력_구리근무자명단'!$A735:$ZZ735,1,$E$2+2),9,2))),-1))))</f>
        <v/>
      </c>
      <c r="T737">
        <f>IF($R737="","",IF(INDEX('입력_구리근무자명단'!$A735:$ZZ735,1,$E$2+3)&amp;""="",EOMONTH(급여기준월,0),IF(ISNUMBER(INDEX('입력_구리근무자명단'!$A735:$ZZ735,1,$E$2+3)),INDEX('입력_구리근무자명단'!$A735:$ZZ735,1,$E$2+3),IFERROR(DATE(VALUE(LEFT(INDEX('입력_구리근무자명단'!$A735:$ZZ735,1,$E$2+3),4)),VALUE(MID(INDEX('입력_구리근무자명단'!$A735:$ZZ735,1,$E$2+3),6,2)),VALUE(MID(INDEX('입력_구리근무자명단'!$A735:$ZZ735,1,$E$2+3),9,2))),-1))))</f>
        <v/>
      </c>
      <c r="U737">
        <f>IF($R737="","",IF(OR($S737&lt;0,$T737&lt;0),0,MAX(0,MIN($T737,EOMONTH(급여기준월,0))-MAX($S737,급여기준월)+1)))</f>
        <v/>
      </c>
      <c r="V737">
        <f>IF($R737="","",TRIM(INDEX('입력_구리근무자명단'!$A735:$ZZ735,1,$E$2+5)&amp;""))</f>
        <v/>
      </c>
      <c r="W737">
        <f>IF(ISNUMBER(SEARCH("구리독자",$V737)),"구리독자","")</f>
        <v/>
      </c>
      <c r="X737">
        <f>IF($R737="","",$R737&amp;"|"&amp;IF(OR($Q737="인턴",ISNUMBER(SEARCH("수련교육부",$P737))),"인턴",$P737))</f>
        <v/>
      </c>
      <c r="Y737">
        <f>IF($R737="","",IF(COUNTIF(명단표[이름|과],$X737)=1,"명단 일치",IF(AND(COUNTIF(명단표[이름|과],$X737)=0,COUNTIF(명단표[이름],$R737)=1),"명단 일치(이름만, 과 다름)",IF(COUNTIF(명단표[이름],$R737)=0,IF(COUNTIF(기본자료표[이름],$R737)&gt;0,"명단에 없음(기본자료에는 있음)","명단에 없음"),"동명이인 확인"))))</f>
        <v/>
      </c>
      <c r="Z737">
        <f>IF($R737="","",IF($S737&lt;0,"⚠"&amp;INDEX('입력_구리근무자명단'!$A735:$ZZ735,1,$E$2+2),TEXT($S737,"yyyy-mm-dd")))</f>
        <v/>
      </c>
      <c r="AA737">
        <f>IF($R737="","",IF($T737&lt;0,"⚠"&amp;INDEX('입력_구리근무자명단'!$A735:$ZZ735,1,$E$2+3),TEXT($T737,"yyyy-mm-dd")))</f>
        <v/>
      </c>
      <c r="AB737">
        <f>AB736+IF($R737="",0,1)</f>
        <v/>
      </c>
      <c r="AC737">
        <f>IF($R737="","",$AB737)</f>
        <v/>
      </c>
    </row>
    <row r="738">
      <c r="O738">
        <f>736</f>
        <v/>
      </c>
      <c r="P738">
        <f>IF(TRIM('입력_구리근무자명단'!$A736&amp;"")&lt;&gt;"",TRIM('입력_구리근무자명단'!$A736&amp;""),P737)</f>
        <v/>
      </c>
      <c r="Q738">
        <f>'입력_구리근무자명단'!$B736&amp;""</f>
        <v/>
      </c>
      <c r="R738">
        <f>IF($E$2="","",TRIM(INDEX('입력_구리근무자명단'!$A736:$ZZ736,1,$E$2+IF($G$2="확정",1,0))&amp;""))</f>
        <v/>
      </c>
      <c r="S738">
        <f>IF($R738="","",IF(INDEX('입력_구리근무자명단'!$A736:$ZZ736,1,$E$2+2)&amp;""="",급여기준월,IF(ISNUMBER(INDEX('입력_구리근무자명단'!$A736:$ZZ736,1,$E$2+2)),INDEX('입력_구리근무자명단'!$A736:$ZZ736,1,$E$2+2),IFERROR(DATE(VALUE(LEFT(INDEX('입력_구리근무자명단'!$A736:$ZZ736,1,$E$2+2),4)),VALUE(MID(INDEX('입력_구리근무자명단'!$A736:$ZZ736,1,$E$2+2),6,2)),VALUE(MID(INDEX('입력_구리근무자명단'!$A736:$ZZ736,1,$E$2+2),9,2))),-1))))</f>
        <v/>
      </c>
      <c r="T738">
        <f>IF($R738="","",IF(INDEX('입력_구리근무자명단'!$A736:$ZZ736,1,$E$2+3)&amp;""="",EOMONTH(급여기준월,0),IF(ISNUMBER(INDEX('입력_구리근무자명단'!$A736:$ZZ736,1,$E$2+3)),INDEX('입력_구리근무자명단'!$A736:$ZZ736,1,$E$2+3),IFERROR(DATE(VALUE(LEFT(INDEX('입력_구리근무자명단'!$A736:$ZZ736,1,$E$2+3),4)),VALUE(MID(INDEX('입력_구리근무자명단'!$A736:$ZZ736,1,$E$2+3),6,2)),VALUE(MID(INDEX('입력_구리근무자명단'!$A736:$ZZ736,1,$E$2+3),9,2))),-1))))</f>
        <v/>
      </c>
      <c r="U738">
        <f>IF($R738="","",IF(OR($S738&lt;0,$T738&lt;0),0,MAX(0,MIN($T738,EOMONTH(급여기준월,0))-MAX($S738,급여기준월)+1)))</f>
        <v/>
      </c>
      <c r="V738">
        <f>IF($R738="","",TRIM(INDEX('입력_구리근무자명단'!$A736:$ZZ736,1,$E$2+5)&amp;""))</f>
        <v/>
      </c>
      <c r="W738">
        <f>IF(ISNUMBER(SEARCH("구리독자",$V738)),"구리독자","")</f>
        <v/>
      </c>
      <c r="X738">
        <f>IF($R738="","",$R738&amp;"|"&amp;IF(OR($Q738="인턴",ISNUMBER(SEARCH("수련교육부",$P738))),"인턴",$P738))</f>
        <v/>
      </c>
      <c r="Y738">
        <f>IF($R738="","",IF(COUNTIF(명단표[이름|과],$X738)=1,"명단 일치",IF(AND(COUNTIF(명단표[이름|과],$X738)=0,COUNTIF(명단표[이름],$R738)=1),"명단 일치(이름만, 과 다름)",IF(COUNTIF(명단표[이름],$R738)=0,IF(COUNTIF(기본자료표[이름],$R738)&gt;0,"명단에 없음(기본자료에는 있음)","명단에 없음"),"동명이인 확인"))))</f>
        <v/>
      </c>
      <c r="Z738">
        <f>IF($R738="","",IF($S738&lt;0,"⚠"&amp;INDEX('입력_구리근무자명단'!$A736:$ZZ736,1,$E$2+2),TEXT($S738,"yyyy-mm-dd")))</f>
        <v/>
      </c>
      <c r="AA738">
        <f>IF($R738="","",IF($T738&lt;0,"⚠"&amp;INDEX('입력_구리근무자명단'!$A736:$ZZ736,1,$E$2+3),TEXT($T738,"yyyy-mm-dd")))</f>
        <v/>
      </c>
      <c r="AB738">
        <f>AB737+IF($R738="",0,1)</f>
        <v/>
      </c>
      <c r="AC738">
        <f>IF($R738="","",$AB738)</f>
        <v/>
      </c>
    </row>
    <row r="739">
      <c r="O739">
        <f>737</f>
        <v/>
      </c>
      <c r="P739">
        <f>IF(TRIM('입력_구리근무자명단'!$A737&amp;"")&lt;&gt;"",TRIM('입력_구리근무자명단'!$A737&amp;""),P738)</f>
        <v/>
      </c>
      <c r="Q739">
        <f>'입력_구리근무자명단'!$B737&amp;""</f>
        <v/>
      </c>
      <c r="R739">
        <f>IF($E$2="","",TRIM(INDEX('입력_구리근무자명단'!$A737:$ZZ737,1,$E$2+IF($G$2="확정",1,0))&amp;""))</f>
        <v/>
      </c>
      <c r="S739">
        <f>IF($R739="","",IF(INDEX('입력_구리근무자명단'!$A737:$ZZ737,1,$E$2+2)&amp;""="",급여기준월,IF(ISNUMBER(INDEX('입력_구리근무자명단'!$A737:$ZZ737,1,$E$2+2)),INDEX('입력_구리근무자명단'!$A737:$ZZ737,1,$E$2+2),IFERROR(DATE(VALUE(LEFT(INDEX('입력_구리근무자명단'!$A737:$ZZ737,1,$E$2+2),4)),VALUE(MID(INDEX('입력_구리근무자명단'!$A737:$ZZ737,1,$E$2+2),6,2)),VALUE(MID(INDEX('입력_구리근무자명단'!$A737:$ZZ737,1,$E$2+2),9,2))),-1))))</f>
        <v/>
      </c>
      <c r="T739">
        <f>IF($R739="","",IF(INDEX('입력_구리근무자명단'!$A737:$ZZ737,1,$E$2+3)&amp;""="",EOMONTH(급여기준월,0),IF(ISNUMBER(INDEX('입력_구리근무자명단'!$A737:$ZZ737,1,$E$2+3)),INDEX('입력_구리근무자명단'!$A737:$ZZ737,1,$E$2+3),IFERROR(DATE(VALUE(LEFT(INDEX('입력_구리근무자명단'!$A737:$ZZ737,1,$E$2+3),4)),VALUE(MID(INDEX('입력_구리근무자명단'!$A737:$ZZ737,1,$E$2+3),6,2)),VALUE(MID(INDEX('입력_구리근무자명단'!$A737:$ZZ737,1,$E$2+3),9,2))),-1))))</f>
        <v/>
      </c>
      <c r="U739">
        <f>IF($R739="","",IF(OR($S739&lt;0,$T739&lt;0),0,MAX(0,MIN($T739,EOMONTH(급여기준월,0))-MAX($S739,급여기준월)+1)))</f>
        <v/>
      </c>
      <c r="V739">
        <f>IF($R739="","",TRIM(INDEX('입력_구리근무자명단'!$A737:$ZZ737,1,$E$2+5)&amp;""))</f>
        <v/>
      </c>
      <c r="W739">
        <f>IF(ISNUMBER(SEARCH("구리독자",$V739)),"구리독자","")</f>
        <v/>
      </c>
      <c r="X739">
        <f>IF($R739="","",$R739&amp;"|"&amp;IF(OR($Q739="인턴",ISNUMBER(SEARCH("수련교육부",$P739))),"인턴",$P739))</f>
        <v/>
      </c>
      <c r="Y739">
        <f>IF($R739="","",IF(COUNTIF(명단표[이름|과],$X739)=1,"명단 일치",IF(AND(COUNTIF(명단표[이름|과],$X739)=0,COUNTIF(명단표[이름],$R739)=1),"명단 일치(이름만, 과 다름)",IF(COUNTIF(명단표[이름],$R739)=0,IF(COUNTIF(기본자료표[이름],$R739)&gt;0,"명단에 없음(기본자료에는 있음)","명단에 없음"),"동명이인 확인"))))</f>
        <v/>
      </c>
      <c r="Z739">
        <f>IF($R739="","",IF($S739&lt;0,"⚠"&amp;INDEX('입력_구리근무자명단'!$A737:$ZZ737,1,$E$2+2),TEXT($S739,"yyyy-mm-dd")))</f>
        <v/>
      </c>
      <c r="AA739">
        <f>IF($R739="","",IF($T739&lt;0,"⚠"&amp;INDEX('입력_구리근무자명단'!$A737:$ZZ737,1,$E$2+3),TEXT($T739,"yyyy-mm-dd")))</f>
        <v/>
      </c>
      <c r="AB739">
        <f>AB738+IF($R739="",0,1)</f>
        <v/>
      </c>
      <c r="AC739">
        <f>IF($R739="","",$AB739)</f>
        <v/>
      </c>
    </row>
    <row r="740">
      <c r="O740">
        <f>738</f>
        <v/>
      </c>
      <c r="P740">
        <f>IF(TRIM('입력_구리근무자명단'!$A738&amp;"")&lt;&gt;"",TRIM('입력_구리근무자명단'!$A738&amp;""),P739)</f>
        <v/>
      </c>
      <c r="Q740">
        <f>'입력_구리근무자명단'!$B738&amp;""</f>
        <v/>
      </c>
      <c r="R740">
        <f>IF($E$2="","",TRIM(INDEX('입력_구리근무자명단'!$A738:$ZZ738,1,$E$2+IF($G$2="확정",1,0))&amp;""))</f>
        <v/>
      </c>
      <c r="S740">
        <f>IF($R740="","",IF(INDEX('입력_구리근무자명단'!$A738:$ZZ738,1,$E$2+2)&amp;""="",급여기준월,IF(ISNUMBER(INDEX('입력_구리근무자명단'!$A738:$ZZ738,1,$E$2+2)),INDEX('입력_구리근무자명단'!$A738:$ZZ738,1,$E$2+2),IFERROR(DATE(VALUE(LEFT(INDEX('입력_구리근무자명단'!$A738:$ZZ738,1,$E$2+2),4)),VALUE(MID(INDEX('입력_구리근무자명단'!$A738:$ZZ738,1,$E$2+2),6,2)),VALUE(MID(INDEX('입력_구리근무자명단'!$A738:$ZZ738,1,$E$2+2),9,2))),-1))))</f>
        <v/>
      </c>
      <c r="T740">
        <f>IF($R740="","",IF(INDEX('입력_구리근무자명단'!$A738:$ZZ738,1,$E$2+3)&amp;""="",EOMONTH(급여기준월,0),IF(ISNUMBER(INDEX('입력_구리근무자명단'!$A738:$ZZ738,1,$E$2+3)),INDEX('입력_구리근무자명단'!$A738:$ZZ738,1,$E$2+3),IFERROR(DATE(VALUE(LEFT(INDEX('입력_구리근무자명단'!$A738:$ZZ738,1,$E$2+3),4)),VALUE(MID(INDEX('입력_구리근무자명단'!$A738:$ZZ738,1,$E$2+3),6,2)),VALUE(MID(INDEX('입력_구리근무자명단'!$A738:$ZZ738,1,$E$2+3),9,2))),-1))))</f>
        <v/>
      </c>
      <c r="U740">
        <f>IF($R740="","",IF(OR($S740&lt;0,$T740&lt;0),0,MAX(0,MIN($T740,EOMONTH(급여기준월,0))-MAX($S740,급여기준월)+1)))</f>
        <v/>
      </c>
      <c r="V740">
        <f>IF($R740="","",TRIM(INDEX('입력_구리근무자명단'!$A738:$ZZ738,1,$E$2+5)&amp;""))</f>
        <v/>
      </c>
      <c r="W740">
        <f>IF(ISNUMBER(SEARCH("구리독자",$V740)),"구리독자","")</f>
        <v/>
      </c>
      <c r="X740">
        <f>IF($R740="","",$R740&amp;"|"&amp;IF(OR($Q740="인턴",ISNUMBER(SEARCH("수련교육부",$P740))),"인턴",$P740))</f>
        <v/>
      </c>
      <c r="Y740">
        <f>IF($R740="","",IF(COUNTIF(명단표[이름|과],$X740)=1,"명단 일치",IF(AND(COUNTIF(명단표[이름|과],$X740)=0,COUNTIF(명단표[이름],$R740)=1),"명단 일치(이름만, 과 다름)",IF(COUNTIF(명단표[이름],$R740)=0,IF(COUNTIF(기본자료표[이름],$R740)&gt;0,"명단에 없음(기본자료에는 있음)","명단에 없음"),"동명이인 확인"))))</f>
        <v/>
      </c>
      <c r="Z740">
        <f>IF($R740="","",IF($S740&lt;0,"⚠"&amp;INDEX('입력_구리근무자명단'!$A738:$ZZ738,1,$E$2+2),TEXT($S740,"yyyy-mm-dd")))</f>
        <v/>
      </c>
      <c r="AA740">
        <f>IF($R740="","",IF($T740&lt;0,"⚠"&amp;INDEX('입력_구리근무자명단'!$A738:$ZZ738,1,$E$2+3),TEXT($T740,"yyyy-mm-dd")))</f>
        <v/>
      </c>
      <c r="AB740">
        <f>AB739+IF($R740="",0,1)</f>
        <v/>
      </c>
      <c r="AC740">
        <f>IF($R740="","",$AB740)</f>
        <v/>
      </c>
    </row>
    <row r="741">
      <c r="O741">
        <f>739</f>
        <v/>
      </c>
      <c r="P741">
        <f>IF(TRIM('입력_구리근무자명단'!$A739&amp;"")&lt;&gt;"",TRIM('입력_구리근무자명단'!$A739&amp;""),P740)</f>
        <v/>
      </c>
      <c r="Q741">
        <f>'입력_구리근무자명단'!$B739&amp;""</f>
        <v/>
      </c>
      <c r="R741">
        <f>IF($E$2="","",TRIM(INDEX('입력_구리근무자명단'!$A739:$ZZ739,1,$E$2+IF($G$2="확정",1,0))&amp;""))</f>
        <v/>
      </c>
      <c r="S741">
        <f>IF($R741="","",IF(INDEX('입력_구리근무자명단'!$A739:$ZZ739,1,$E$2+2)&amp;""="",급여기준월,IF(ISNUMBER(INDEX('입력_구리근무자명단'!$A739:$ZZ739,1,$E$2+2)),INDEX('입력_구리근무자명단'!$A739:$ZZ739,1,$E$2+2),IFERROR(DATE(VALUE(LEFT(INDEX('입력_구리근무자명단'!$A739:$ZZ739,1,$E$2+2),4)),VALUE(MID(INDEX('입력_구리근무자명단'!$A739:$ZZ739,1,$E$2+2),6,2)),VALUE(MID(INDEX('입력_구리근무자명단'!$A739:$ZZ739,1,$E$2+2),9,2))),-1))))</f>
        <v/>
      </c>
      <c r="T741">
        <f>IF($R741="","",IF(INDEX('입력_구리근무자명단'!$A739:$ZZ739,1,$E$2+3)&amp;""="",EOMONTH(급여기준월,0),IF(ISNUMBER(INDEX('입력_구리근무자명단'!$A739:$ZZ739,1,$E$2+3)),INDEX('입력_구리근무자명단'!$A739:$ZZ739,1,$E$2+3),IFERROR(DATE(VALUE(LEFT(INDEX('입력_구리근무자명단'!$A739:$ZZ739,1,$E$2+3),4)),VALUE(MID(INDEX('입력_구리근무자명단'!$A739:$ZZ739,1,$E$2+3),6,2)),VALUE(MID(INDEX('입력_구리근무자명단'!$A739:$ZZ739,1,$E$2+3),9,2))),-1))))</f>
        <v/>
      </c>
      <c r="U741">
        <f>IF($R741="","",IF(OR($S741&lt;0,$T741&lt;0),0,MAX(0,MIN($T741,EOMONTH(급여기준월,0))-MAX($S741,급여기준월)+1)))</f>
        <v/>
      </c>
      <c r="V741">
        <f>IF($R741="","",TRIM(INDEX('입력_구리근무자명단'!$A739:$ZZ739,1,$E$2+5)&amp;""))</f>
        <v/>
      </c>
      <c r="W741">
        <f>IF(ISNUMBER(SEARCH("구리독자",$V741)),"구리독자","")</f>
        <v/>
      </c>
      <c r="X741">
        <f>IF($R741="","",$R741&amp;"|"&amp;IF(OR($Q741="인턴",ISNUMBER(SEARCH("수련교육부",$P741))),"인턴",$P741))</f>
        <v/>
      </c>
      <c r="Y741">
        <f>IF($R741="","",IF(COUNTIF(명단표[이름|과],$X741)=1,"명단 일치",IF(AND(COUNTIF(명단표[이름|과],$X741)=0,COUNTIF(명단표[이름],$R741)=1),"명단 일치(이름만, 과 다름)",IF(COUNTIF(명단표[이름],$R741)=0,IF(COUNTIF(기본자료표[이름],$R741)&gt;0,"명단에 없음(기본자료에는 있음)","명단에 없음"),"동명이인 확인"))))</f>
        <v/>
      </c>
      <c r="Z741">
        <f>IF($R741="","",IF($S741&lt;0,"⚠"&amp;INDEX('입력_구리근무자명단'!$A739:$ZZ739,1,$E$2+2),TEXT($S741,"yyyy-mm-dd")))</f>
        <v/>
      </c>
      <c r="AA741">
        <f>IF($R741="","",IF($T741&lt;0,"⚠"&amp;INDEX('입력_구리근무자명단'!$A739:$ZZ739,1,$E$2+3),TEXT($T741,"yyyy-mm-dd")))</f>
        <v/>
      </c>
      <c r="AB741">
        <f>AB740+IF($R741="",0,1)</f>
        <v/>
      </c>
      <c r="AC741">
        <f>IF($R741="","",$AB741)</f>
        <v/>
      </c>
    </row>
    <row r="742">
      <c r="O742">
        <f>740</f>
        <v/>
      </c>
      <c r="P742">
        <f>IF(TRIM('입력_구리근무자명단'!$A740&amp;"")&lt;&gt;"",TRIM('입력_구리근무자명단'!$A740&amp;""),P741)</f>
        <v/>
      </c>
      <c r="Q742">
        <f>'입력_구리근무자명단'!$B740&amp;""</f>
        <v/>
      </c>
      <c r="R742">
        <f>IF($E$2="","",TRIM(INDEX('입력_구리근무자명단'!$A740:$ZZ740,1,$E$2+IF($G$2="확정",1,0))&amp;""))</f>
        <v/>
      </c>
      <c r="S742">
        <f>IF($R742="","",IF(INDEX('입력_구리근무자명단'!$A740:$ZZ740,1,$E$2+2)&amp;""="",급여기준월,IF(ISNUMBER(INDEX('입력_구리근무자명단'!$A740:$ZZ740,1,$E$2+2)),INDEX('입력_구리근무자명단'!$A740:$ZZ740,1,$E$2+2),IFERROR(DATE(VALUE(LEFT(INDEX('입력_구리근무자명단'!$A740:$ZZ740,1,$E$2+2),4)),VALUE(MID(INDEX('입력_구리근무자명단'!$A740:$ZZ740,1,$E$2+2),6,2)),VALUE(MID(INDEX('입력_구리근무자명단'!$A740:$ZZ740,1,$E$2+2),9,2))),-1))))</f>
        <v/>
      </c>
      <c r="T742">
        <f>IF($R742="","",IF(INDEX('입력_구리근무자명단'!$A740:$ZZ740,1,$E$2+3)&amp;""="",EOMONTH(급여기준월,0),IF(ISNUMBER(INDEX('입력_구리근무자명단'!$A740:$ZZ740,1,$E$2+3)),INDEX('입력_구리근무자명단'!$A740:$ZZ740,1,$E$2+3),IFERROR(DATE(VALUE(LEFT(INDEX('입력_구리근무자명단'!$A740:$ZZ740,1,$E$2+3),4)),VALUE(MID(INDEX('입력_구리근무자명단'!$A740:$ZZ740,1,$E$2+3),6,2)),VALUE(MID(INDEX('입력_구리근무자명단'!$A740:$ZZ740,1,$E$2+3),9,2))),-1))))</f>
        <v/>
      </c>
      <c r="U742">
        <f>IF($R742="","",IF(OR($S742&lt;0,$T742&lt;0),0,MAX(0,MIN($T742,EOMONTH(급여기준월,0))-MAX($S742,급여기준월)+1)))</f>
        <v/>
      </c>
      <c r="V742">
        <f>IF($R742="","",TRIM(INDEX('입력_구리근무자명단'!$A740:$ZZ740,1,$E$2+5)&amp;""))</f>
        <v/>
      </c>
      <c r="W742">
        <f>IF(ISNUMBER(SEARCH("구리독자",$V742)),"구리독자","")</f>
        <v/>
      </c>
      <c r="X742">
        <f>IF($R742="","",$R742&amp;"|"&amp;IF(OR($Q742="인턴",ISNUMBER(SEARCH("수련교육부",$P742))),"인턴",$P742))</f>
        <v/>
      </c>
      <c r="Y742">
        <f>IF($R742="","",IF(COUNTIF(명단표[이름|과],$X742)=1,"명단 일치",IF(AND(COUNTIF(명단표[이름|과],$X742)=0,COUNTIF(명단표[이름],$R742)=1),"명단 일치(이름만, 과 다름)",IF(COUNTIF(명단표[이름],$R742)=0,IF(COUNTIF(기본자료표[이름],$R742)&gt;0,"명단에 없음(기본자료에는 있음)","명단에 없음"),"동명이인 확인"))))</f>
        <v/>
      </c>
      <c r="Z742">
        <f>IF($R742="","",IF($S742&lt;0,"⚠"&amp;INDEX('입력_구리근무자명단'!$A740:$ZZ740,1,$E$2+2),TEXT($S742,"yyyy-mm-dd")))</f>
        <v/>
      </c>
      <c r="AA742">
        <f>IF($R742="","",IF($T742&lt;0,"⚠"&amp;INDEX('입력_구리근무자명단'!$A740:$ZZ740,1,$E$2+3),TEXT($T742,"yyyy-mm-dd")))</f>
        <v/>
      </c>
      <c r="AB742">
        <f>AB741+IF($R742="",0,1)</f>
        <v/>
      </c>
      <c r="AC742">
        <f>IF($R742="","",$AB742)</f>
        <v/>
      </c>
    </row>
    <row r="743">
      <c r="O743">
        <f>741</f>
        <v/>
      </c>
      <c r="P743">
        <f>IF(TRIM('입력_구리근무자명단'!$A741&amp;"")&lt;&gt;"",TRIM('입력_구리근무자명단'!$A741&amp;""),P742)</f>
        <v/>
      </c>
      <c r="Q743">
        <f>'입력_구리근무자명단'!$B741&amp;""</f>
        <v/>
      </c>
      <c r="R743">
        <f>IF($E$2="","",TRIM(INDEX('입력_구리근무자명단'!$A741:$ZZ741,1,$E$2+IF($G$2="확정",1,0))&amp;""))</f>
        <v/>
      </c>
      <c r="S743">
        <f>IF($R743="","",IF(INDEX('입력_구리근무자명단'!$A741:$ZZ741,1,$E$2+2)&amp;""="",급여기준월,IF(ISNUMBER(INDEX('입력_구리근무자명단'!$A741:$ZZ741,1,$E$2+2)),INDEX('입력_구리근무자명단'!$A741:$ZZ741,1,$E$2+2),IFERROR(DATE(VALUE(LEFT(INDEX('입력_구리근무자명단'!$A741:$ZZ741,1,$E$2+2),4)),VALUE(MID(INDEX('입력_구리근무자명단'!$A741:$ZZ741,1,$E$2+2),6,2)),VALUE(MID(INDEX('입력_구리근무자명단'!$A741:$ZZ741,1,$E$2+2),9,2))),-1))))</f>
        <v/>
      </c>
      <c r="T743">
        <f>IF($R743="","",IF(INDEX('입력_구리근무자명단'!$A741:$ZZ741,1,$E$2+3)&amp;""="",EOMONTH(급여기준월,0),IF(ISNUMBER(INDEX('입력_구리근무자명단'!$A741:$ZZ741,1,$E$2+3)),INDEX('입력_구리근무자명단'!$A741:$ZZ741,1,$E$2+3),IFERROR(DATE(VALUE(LEFT(INDEX('입력_구리근무자명단'!$A741:$ZZ741,1,$E$2+3),4)),VALUE(MID(INDEX('입력_구리근무자명단'!$A741:$ZZ741,1,$E$2+3),6,2)),VALUE(MID(INDEX('입력_구리근무자명단'!$A741:$ZZ741,1,$E$2+3),9,2))),-1))))</f>
        <v/>
      </c>
      <c r="U743">
        <f>IF($R743="","",IF(OR($S743&lt;0,$T743&lt;0),0,MAX(0,MIN($T743,EOMONTH(급여기준월,0))-MAX($S743,급여기준월)+1)))</f>
        <v/>
      </c>
      <c r="V743">
        <f>IF($R743="","",TRIM(INDEX('입력_구리근무자명단'!$A741:$ZZ741,1,$E$2+5)&amp;""))</f>
        <v/>
      </c>
      <c r="W743">
        <f>IF(ISNUMBER(SEARCH("구리독자",$V743)),"구리독자","")</f>
        <v/>
      </c>
      <c r="X743">
        <f>IF($R743="","",$R743&amp;"|"&amp;IF(OR($Q743="인턴",ISNUMBER(SEARCH("수련교육부",$P743))),"인턴",$P743))</f>
        <v/>
      </c>
      <c r="Y743">
        <f>IF($R743="","",IF(COUNTIF(명단표[이름|과],$X743)=1,"명단 일치",IF(AND(COUNTIF(명단표[이름|과],$X743)=0,COUNTIF(명단표[이름],$R743)=1),"명단 일치(이름만, 과 다름)",IF(COUNTIF(명단표[이름],$R743)=0,IF(COUNTIF(기본자료표[이름],$R743)&gt;0,"명단에 없음(기본자료에는 있음)","명단에 없음"),"동명이인 확인"))))</f>
        <v/>
      </c>
      <c r="Z743">
        <f>IF($R743="","",IF($S743&lt;0,"⚠"&amp;INDEX('입력_구리근무자명단'!$A741:$ZZ741,1,$E$2+2),TEXT($S743,"yyyy-mm-dd")))</f>
        <v/>
      </c>
      <c r="AA743">
        <f>IF($R743="","",IF($T743&lt;0,"⚠"&amp;INDEX('입력_구리근무자명단'!$A741:$ZZ741,1,$E$2+3),TEXT($T743,"yyyy-mm-dd")))</f>
        <v/>
      </c>
      <c r="AB743">
        <f>AB742+IF($R743="",0,1)</f>
        <v/>
      </c>
      <c r="AC743">
        <f>IF($R743="","",$AB743)</f>
        <v/>
      </c>
    </row>
    <row r="744">
      <c r="O744">
        <f>742</f>
        <v/>
      </c>
      <c r="P744">
        <f>IF(TRIM('입력_구리근무자명단'!$A742&amp;"")&lt;&gt;"",TRIM('입력_구리근무자명단'!$A742&amp;""),P743)</f>
        <v/>
      </c>
      <c r="Q744">
        <f>'입력_구리근무자명단'!$B742&amp;""</f>
        <v/>
      </c>
      <c r="R744">
        <f>IF($E$2="","",TRIM(INDEX('입력_구리근무자명단'!$A742:$ZZ742,1,$E$2+IF($G$2="확정",1,0))&amp;""))</f>
        <v/>
      </c>
      <c r="S744">
        <f>IF($R744="","",IF(INDEX('입력_구리근무자명단'!$A742:$ZZ742,1,$E$2+2)&amp;""="",급여기준월,IF(ISNUMBER(INDEX('입력_구리근무자명단'!$A742:$ZZ742,1,$E$2+2)),INDEX('입력_구리근무자명단'!$A742:$ZZ742,1,$E$2+2),IFERROR(DATE(VALUE(LEFT(INDEX('입력_구리근무자명단'!$A742:$ZZ742,1,$E$2+2),4)),VALUE(MID(INDEX('입력_구리근무자명단'!$A742:$ZZ742,1,$E$2+2),6,2)),VALUE(MID(INDEX('입력_구리근무자명단'!$A742:$ZZ742,1,$E$2+2),9,2))),-1))))</f>
        <v/>
      </c>
      <c r="T744">
        <f>IF($R744="","",IF(INDEX('입력_구리근무자명단'!$A742:$ZZ742,1,$E$2+3)&amp;""="",EOMONTH(급여기준월,0),IF(ISNUMBER(INDEX('입력_구리근무자명단'!$A742:$ZZ742,1,$E$2+3)),INDEX('입력_구리근무자명단'!$A742:$ZZ742,1,$E$2+3),IFERROR(DATE(VALUE(LEFT(INDEX('입력_구리근무자명단'!$A742:$ZZ742,1,$E$2+3),4)),VALUE(MID(INDEX('입력_구리근무자명단'!$A742:$ZZ742,1,$E$2+3),6,2)),VALUE(MID(INDEX('입력_구리근무자명단'!$A742:$ZZ742,1,$E$2+3),9,2))),-1))))</f>
        <v/>
      </c>
      <c r="U744">
        <f>IF($R744="","",IF(OR($S744&lt;0,$T744&lt;0),0,MAX(0,MIN($T744,EOMONTH(급여기준월,0))-MAX($S744,급여기준월)+1)))</f>
        <v/>
      </c>
      <c r="V744">
        <f>IF($R744="","",TRIM(INDEX('입력_구리근무자명단'!$A742:$ZZ742,1,$E$2+5)&amp;""))</f>
        <v/>
      </c>
      <c r="W744">
        <f>IF(ISNUMBER(SEARCH("구리독자",$V744)),"구리독자","")</f>
        <v/>
      </c>
      <c r="X744">
        <f>IF($R744="","",$R744&amp;"|"&amp;IF(OR($Q744="인턴",ISNUMBER(SEARCH("수련교육부",$P744))),"인턴",$P744))</f>
        <v/>
      </c>
      <c r="Y744">
        <f>IF($R744="","",IF(COUNTIF(명단표[이름|과],$X744)=1,"명단 일치",IF(AND(COUNTIF(명단표[이름|과],$X744)=0,COUNTIF(명단표[이름],$R744)=1),"명단 일치(이름만, 과 다름)",IF(COUNTIF(명단표[이름],$R744)=0,IF(COUNTIF(기본자료표[이름],$R744)&gt;0,"명단에 없음(기본자료에는 있음)","명단에 없음"),"동명이인 확인"))))</f>
        <v/>
      </c>
      <c r="Z744">
        <f>IF($R744="","",IF($S744&lt;0,"⚠"&amp;INDEX('입력_구리근무자명단'!$A742:$ZZ742,1,$E$2+2),TEXT($S744,"yyyy-mm-dd")))</f>
        <v/>
      </c>
      <c r="AA744">
        <f>IF($R744="","",IF($T744&lt;0,"⚠"&amp;INDEX('입력_구리근무자명단'!$A742:$ZZ742,1,$E$2+3),TEXT($T744,"yyyy-mm-dd")))</f>
        <v/>
      </c>
      <c r="AB744">
        <f>AB743+IF($R744="",0,1)</f>
        <v/>
      </c>
      <c r="AC744">
        <f>IF($R744="","",$AB744)</f>
        <v/>
      </c>
    </row>
    <row r="745">
      <c r="O745">
        <f>743</f>
        <v/>
      </c>
      <c r="P745">
        <f>IF(TRIM('입력_구리근무자명단'!$A743&amp;"")&lt;&gt;"",TRIM('입력_구리근무자명단'!$A743&amp;""),P744)</f>
        <v/>
      </c>
      <c r="Q745">
        <f>'입력_구리근무자명단'!$B743&amp;""</f>
        <v/>
      </c>
      <c r="R745">
        <f>IF($E$2="","",TRIM(INDEX('입력_구리근무자명단'!$A743:$ZZ743,1,$E$2+IF($G$2="확정",1,0))&amp;""))</f>
        <v/>
      </c>
      <c r="S745">
        <f>IF($R745="","",IF(INDEX('입력_구리근무자명단'!$A743:$ZZ743,1,$E$2+2)&amp;""="",급여기준월,IF(ISNUMBER(INDEX('입력_구리근무자명단'!$A743:$ZZ743,1,$E$2+2)),INDEX('입력_구리근무자명단'!$A743:$ZZ743,1,$E$2+2),IFERROR(DATE(VALUE(LEFT(INDEX('입력_구리근무자명단'!$A743:$ZZ743,1,$E$2+2),4)),VALUE(MID(INDEX('입력_구리근무자명단'!$A743:$ZZ743,1,$E$2+2),6,2)),VALUE(MID(INDEX('입력_구리근무자명단'!$A743:$ZZ743,1,$E$2+2),9,2))),-1))))</f>
        <v/>
      </c>
      <c r="T745">
        <f>IF($R745="","",IF(INDEX('입력_구리근무자명단'!$A743:$ZZ743,1,$E$2+3)&amp;""="",EOMONTH(급여기준월,0),IF(ISNUMBER(INDEX('입력_구리근무자명단'!$A743:$ZZ743,1,$E$2+3)),INDEX('입력_구리근무자명단'!$A743:$ZZ743,1,$E$2+3),IFERROR(DATE(VALUE(LEFT(INDEX('입력_구리근무자명단'!$A743:$ZZ743,1,$E$2+3),4)),VALUE(MID(INDEX('입력_구리근무자명단'!$A743:$ZZ743,1,$E$2+3),6,2)),VALUE(MID(INDEX('입력_구리근무자명단'!$A743:$ZZ743,1,$E$2+3),9,2))),-1))))</f>
        <v/>
      </c>
      <c r="U745">
        <f>IF($R745="","",IF(OR($S745&lt;0,$T745&lt;0),0,MAX(0,MIN($T745,EOMONTH(급여기준월,0))-MAX($S745,급여기준월)+1)))</f>
        <v/>
      </c>
      <c r="V745">
        <f>IF($R745="","",TRIM(INDEX('입력_구리근무자명단'!$A743:$ZZ743,1,$E$2+5)&amp;""))</f>
        <v/>
      </c>
      <c r="W745">
        <f>IF(ISNUMBER(SEARCH("구리독자",$V745)),"구리독자","")</f>
        <v/>
      </c>
      <c r="X745">
        <f>IF($R745="","",$R745&amp;"|"&amp;IF(OR($Q745="인턴",ISNUMBER(SEARCH("수련교육부",$P745))),"인턴",$P745))</f>
        <v/>
      </c>
      <c r="Y745">
        <f>IF($R745="","",IF(COUNTIF(명단표[이름|과],$X745)=1,"명단 일치",IF(AND(COUNTIF(명단표[이름|과],$X745)=0,COUNTIF(명단표[이름],$R745)=1),"명단 일치(이름만, 과 다름)",IF(COUNTIF(명단표[이름],$R745)=0,IF(COUNTIF(기본자료표[이름],$R745)&gt;0,"명단에 없음(기본자료에는 있음)","명단에 없음"),"동명이인 확인"))))</f>
        <v/>
      </c>
      <c r="Z745">
        <f>IF($R745="","",IF($S745&lt;0,"⚠"&amp;INDEX('입력_구리근무자명단'!$A743:$ZZ743,1,$E$2+2),TEXT($S745,"yyyy-mm-dd")))</f>
        <v/>
      </c>
      <c r="AA745">
        <f>IF($R745="","",IF($T745&lt;0,"⚠"&amp;INDEX('입력_구리근무자명단'!$A743:$ZZ743,1,$E$2+3),TEXT($T745,"yyyy-mm-dd")))</f>
        <v/>
      </c>
      <c r="AB745">
        <f>AB744+IF($R745="",0,1)</f>
        <v/>
      </c>
      <c r="AC745">
        <f>IF($R745="","",$AB745)</f>
        <v/>
      </c>
    </row>
    <row r="746">
      <c r="O746">
        <f>744</f>
        <v/>
      </c>
      <c r="P746">
        <f>IF(TRIM('입력_구리근무자명단'!$A744&amp;"")&lt;&gt;"",TRIM('입력_구리근무자명단'!$A744&amp;""),P745)</f>
        <v/>
      </c>
      <c r="Q746">
        <f>'입력_구리근무자명단'!$B744&amp;""</f>
        <v/>
      </c>
      <c r="R746">
        <f>IF($E$2="","",TRIM(INDEX('입력_구리근무자명단'!$A744:$ZZ744,1,$E$2+IF($G$2="확정",1,0))&amp;""))</f>
        <v/>
      </c>
      <c r="S746">
        <f>IF($R746="","",IF(INDEX('입력_구리근무자명단'!$A744:$ZZ744,1,$E$2+2)&amp;""="",급여기준월,IF(ISNUMBER(INDEX('입력_구리근무자명단'!$A744:$ZZ744,1,$E$2+2)),INDEX('입력_구리근무자명단'!$A744:$ZZ744,1,$E$2+2),IFERROR(DATE(VALUE(LEFT(INDEX('입력_구리근무자명단'!$A744:$ZZ744,1,$E$2+2),4)),VALUE(MID(INDEX('입력_구리근무자명단'!$A744:$ZZ744,1,$E$2+2),6,2)),VALUE(MID(INDEX('입력_구리근무자명단'!$A744:$ZZ744,1,$E$2+2),9,2))),-1))))</f>
        <v/>
      </c>
      <c r="T746">
        <f>IF($R746="","",IF(INDEX('입력_구리근무자명단'!$A744:$ZZ744,1,$E$2+3)&amp;""="",EOMONTH(급여기준월,0),IF(ISNUMBER(INDEX('입력_구리근무자명단'!$A744:$ZZ744,1,$E$2+3)),INDEX('입력_구리근무자명단'!$A744:$ZZ744,1,$E$2+3),IFERROR(DATE(VALUE(LEFT(INDEX('입력_구리근무자명단'!$A744:$ZZ744,1,$E$2+3),4)),VALUE(MID(INDEX('입력_구리근무자명단'!$A744:$ZZ744,1,$E$2+3),6,2)),VALUE(MID(INDEX('입력_구리근무자명단'!$A744:$ZZ744,1,$E$2+3),9,2))),-1))))</f>
        <v/>
      </c>
      <c r="U746">
        <f>IF($R746="","",IF(OR($S746&lt;0,$T746&lt;0),0,MAX(0,MIN($T746,EOMONTH(급여기준월,0))-MAX($S746,급여기준월)+1)))</f>
        <v/>
      </c>
      <c r="V746">
        <f>IF($R746="","",TRIM(INDEX('입력_구리근무자명단'!$A744:$ZZ744,1,$E$2+5)&amp;""))</f>
        <v/>
      </c>
      <c r="W746">
        <f>IF(ISNUMBER(SEARCH("구리독자",$V746)),"구리독자","")</f>
        <v/>
      </c>
      <c r="X746">
        <f>IF($R746="","",$R746&amp;"|"&amp;IF(OR($Q746="인턴",ISNUMBER(SEARCH("수련교육부",$P746))),"인턴",$P746))</f>
        <v/>
      </c>
      <c r="Y746">
        <f>IF($R746="","",IF(COUNTIF(명단표[이름|과],$X746)=1,"명단 일치",IF(AND(COUNTIF(명단표[이름|과],$X746)=0,COUNTIF(명단표[이름],$R746)=1),"명단 일치(이름만, 과 다름)",IF(COUNTIF(명단표[이름],$R746)=0,IF(COUNTIF(기본자료표[이름],$R746)&gt;0,"명단에 없음(기본자료에는 있음)","명단에 없음"),"동명이인 확인"))))</f>
        <v/>
      </c>
      <c r="Z746">
        <f>IF($R746="","",IF($S746&lt;0,"⚠"&amp;INDEX('입력_구리근무자명단'!$A744:$ZZ744,1,$E$2+2),TEXT($S746,"yyyy-mm-dd")))</f>
        <v/>
      </c>
      <c r="AA746">
        <f>IF($R746="","",IF($T746&lt;0,"⚠"&amp;INDEX('입력_구리근무자명단'!$A744:$ZZ744,1,$E$2+3),TEXT($T746,"yyyy-mm-dd")))</f>
        <v/>
      </c>
      <c r="AB746">
        <f>AB745+IF($R746="",0,1)</f>
        <v/>
      </c>
      <c r="AC746">
        <f>IF($R746="","",$AB746)</f>
        <v/>
      </c>
    </row>
    <row r="747">
      <c r="O747">
        <f>745</f>
        <v/>
      </c>
      <c r="P747">
        <f>IF(TRIM('입력_구리근무자명단'!$A745&amp;"")&lt;&gt;"",TRIM('입력_구리근무자명단'!$A745&amp;""),P746)</f>
        <v/>
      </c>
      <c r="Q747">
        <f>'입력_구리근무자명단'!$B745&amp;""</f>
        <v/>
      </c>
      <c r="R747">
        <f>IF($E$2="","",TRIM(INDEX('입력_구리근무자명단'!$A745:$ZZ745,1,$E$2+IF($G$2="확정",1,0))&amp;""))</f>
        <v/>
      </c>
      <c r="S747">
        <f>IF($R747="","",IF(INDEX('입력_구리근무자명단'!$A745:$ZZ745,1,$E$2+2)&amp;""="",급여기준월,IF(ISNUMBER(INDEX('입력_구리근무자명단'!$A745:$ZZ745,1,$E$2+2)),INDEX('입력_구리근무자명단'!$A745:$ZZ745,1,$E$2+2),IFERROR(DATE(VALUE(LEFT(INDEX('입력_구리근무자명단'!$A745:$ZZ745,1,$E$2+2),4)),VALUE(MID(INDEX('입력_구리근무자명단'!$A745:$ZZ745,1,$E$2+2),6,2)),VALUE(MID(INDEX('입력_구리근무자명단'!$A745:$ZZ745,1,$E$2+2),9,2))),-1))))</f>
        <v/>
      </c>
      <c r="T747">
        <f>IF($R747="","",IF(INDEX('입력_구리근무자명단'!$A745:$ZZ745,1,$E$2+3)&amp;""="",EOMONTH(급여기준월,0),IF(ISNUMBER(INDEX('입력_구리근무자명단'!$A745:$ZZ745,1,$E$2+3)),INDEX('입력_구리근무자명단'!$A745:$ZZ745,1,$E$2+3),IFERROR(DATE(VALUE(LEFT(INDEX('입력_구리근무자명단'!$A745:$ZZ745,1,$E$2+3),4)),VALUE(MID(INDEX('입력_구리근무자명단'!$A745:$ZZ745,1,$E$2+3),6,2)),VALUE(MID(INDEX('입력_구리근무자명단'!$A745:$ZZ745,1,$E$2+3),9,2))),-1))))</f>
        <v/>
      </c>
      <c r="U747">
        <f>IF($R747="","",IF(OR($S747&lt;0,$T747&lt;0),0,MAX(0,MIN($T747,EOMONTH(급여기준월,0))-MAX($S747,급여기준월)+1)))</f>
        <v/>
      </c>
      <c r="V747">
        <f>IF($R747="","",TRIM(INDEX('입력_구리근무자명단'!$A745:$ZZ745,1,$E$2+5)&amp;""))</f>
        <v/>
      </c>
      <c r="W747">
        <f>IF(ISNUMBER(SEARCH("구리독자",$V747)),"구리독자","")</f>
        <v/>
      </c>
      <c r="X747">
        <f>IF($R747="","",$R747&amp;"|"&amp;IF(OR($Q747="인턴",ISNUMBER(SEARCH("수련교육부",$P747))),"인턴",$P747))</f>
        <v/>
      </c>
      <c r="Y747">
        <f>IF($R747="","",IF(COUNTIF(명단표[이름|과],$X747)=1,"명단 일치",IF(AND(COUNTIF(명단표[이름|과],$X747)=0,COUNTIF(명단표[이름],$R747)=1),"명단 일치(이름만, 과 다름)",IF(COUNTIF(명단표[이름],$R747)=0,IF(COUNTIF(기본자료표[이름],$R747)&gt;0,"명단에 없음(기본자료에는 있음)","명단에 없음"),"동명이인 확인"))))</f>
        <v/>
      </c>
      <c r="Z747">
        <f>IF($R747="","",IF($S747&lt;0,"⚠"&amp;INDEX('입력_구리근무자명단'!$A745:$ZZ745,1,$E$2+2),TEXT($S747,"yyyy-mm-dd")))</f>
        <v/>
      </c>
      <c r="AA747">
        <f>IF($R747="","",IF($T747&lt;0,"⚠"&amp;INDEX('입력_구리근무자명단'!$A745:$ZZ745,1,$E$2+3),TEXT($T747,"yyyy-mm-dd")))</f>
        <v/>
      </c>
      <c r="AB747">
        <f>AB746+IF($R747="",0,1)</f>
        <v/>
      </c>
      <c r="AC747">
        <f>IF($R747="","",$AB747)</f>
        <v/>
      </c>
    </row>
    <row r="748">
      <c r="O748">
        <f>746</f>
        <v/>
      </c>
      <c r="P748">
        <f>IF(TRIM('입력_구리근무자명단'!$A746&amp;"")&lt;&gt;"",TRIM('입력_구리근무자명단'!$A746&amp;""),P747)</f>
        <v/>
      </c>
      <c r="Q748">
        <f>'입력_구리근무자명단'!$B746&amp;""</f>
        <v/>
      </c>
      <c r="R748">
        <f>IF($E$2="","",TRIM(INDEX('입력_구리근무자명단'!$A746:$ZZ746,1,$E$2+IF($G$2="확정",1,0))&amp;""))</f>
        <v/>
      </c>
      <c r="S748">
        <f>IF($R748="","",IF(INDEX('입력_구리근무자명단'!$A746:$ZZ746,1,$E$2+2)&amp;""="",급여기준월,IF(ISNUMBER(INDEX('입력_구리근무자명단'!$A746:$ZZ746,1,$E$2+2)),INDEX('입력_구리근무자명단'!$A746:$ZZ746,1,$E$2+2),IFERROR(DATE(VALUE(LEFT(INDEX('입력_구리근무자명단'!$A746:$ZZ746,1,$E$2+2),4)),VALUE(MID(INDEX('입력_구리근무자명단'!$A746:$ZZ746,1,$E$2+2),6,2)),VALUE(MID(INDEX('입력_구리근무자명단'!$A746:$ZZ746,1,$E$2+2),9,2))),-1))))</f>
        <v/>
      </c>
      <c r="T748">
        <f>IF($R748="","",IF(INDEX('입력_구리근무자명단'!$A746:$ZZ746,1,$E$2+3)&amp;""="",EOMONTH(급여기준월,0),IF(ISNUMBER(INDEX('입력_구리근무자명단'!$A746:$ZZ746,1,$E$2+3)),INDEX('입력_구리근무자명단'!$A746:$ZZ746,1,$E$2+3),IFERROR(DATE(VALUE(LEFT(INDEX('입력_구리근무자명단'!$A746:$ZZ746,1,$E$2+3),4)),VALUE(MID(INDEX('입력_구리근무자명단'!$A746:$ZZ746,1,$E$2+3),6,2)),VALUE(MID(INDEX('입력_구리근무자명단'!$A746:$ZZ746,1,$E$2+3),9,2))),-1))))</f>
        <v/>
      </c>
      <c r="U748">
        <f>IF($R748="","",IF(OR($S748&lt;0,$T748&lt;0),0,MAX(0,MIN($T748,EOMONTH(급여기준월,0))-MAX($S748,급여기준월)+1)))</f>
        <v/>
      </c>
      <c r="V748">
        <f>IF($R748="","",TRIM(INDEX('입력_구리근무자명단'!$A746:$ZZ746,1,$E$2+5)&amp;""))</f>
        <v/>
      </c>
      <c r="W748">
        <f>IF(ISNUMBER(SEARCH("구리독자",$V748)),"구리독자","")</f>
        <v/>
      </c>
      <c r="X748">
        <f>IF($R748="","",$R748&amp;"|"&amp;IF(OR($Q748="인턴",ISNUMBER(SEARCH("수련교육부",$P748))),"인턴",$P748))</f>
        <v/>
      </c>
      <c r="Y748">
        <f>IF($R748="","",IF(COUNTIF(명단표[이름|과],$X748)=1,"명단 일치",IF(AND(COUNTIF(명단표[이름|과],$X748)=0,COUNTIF(명단표[이름],$R748)=1),"명단 일치(이름만, 과 다름)",IF(COUNTIF(명단표[이름],$R748)=0,IF(COUNTIF(기본자료표[이름],$R748)&gt;0,"명단에 없음(기본자료에는 있음)","명단에 없음"),"동명이인 확인"))))</f>
        <v/>
      </c>
      <c r="Z748">
        <f>IF($R748="","",IF($S748&lt;0,"⚠"&amp;INDEX('입력_구리근무자명단'!$A746:$ZZ746,1,$E$2+2),TEXT($S748,"yyyy-mm-dd")))</f>
        <v/>
      </c>
      <c r="AA748">
        <f>IF($R748="","",IF($T748&lt;0,"⚠"&amp;INDEX('입력_구리근무자명단'!$A746:$ZZ746,1,$E$2+3),TEXT($T748,"yyyy-mm-dd")))</f>
        <v/>
      </c>
      <c r="AB748">
        <f>AB747+IF($R748="",0,1)</f>
        <v/>
      </c>
      <c r="AC748">
        <f>IF($R748="","",$AB748)</f>
        <v/>
      </c>
    </row>
    <row r="749">
      <c r="O749">
        <f>747</f>
        <v/>
      </c>
      <c r="P749">
        <f>IF(TRIM('입력_구리근무자명단'!$A747&amp;"")&lt;&gt;"",TRIM('입력_구리근무자명단'!$A747&amp;""),P748)</f>
        <v/>
      </c>
      <c r="Q749">
        <f>'입력_구리근무자명단'!$B747&amp;""</f>
        <v/>
      </c>
      <c r="R749">
        <f>IF($E$2="","",TRIM(INDEX('입력_구리근무자명단'!$A747:$ZZ747,1,$E$2+IF($G$2="확정",1,0))&amp;""))</f>
        <v/>
      </c>
      <c r="S749">
        <f>IF($R749="","",IF(INDEX('입력_구리근무자명단'!$A747:$ZZ747,1,$E$2+2)&amp;""="",급여기준월,IF(ISNUMBER(INDEX('입력_구리근무자명단'!$A747:$ZZ747,1,$E$2+2)),INDEX('입력_구리근무자명단'!$A747:$ZZ747,1,$E$2+2),IFERROR(DATE(VALUE(LEFT(INDEX('입력_구리근무자명단'!$A747:$ZZ747,1,$E$2+2),4)),VALUE(MID(INDEX('입력_구리근무자명단'!$A747:$ZZ747,1,$E$2+2),6,2)),VALUE(MID(INDEX('입력_구리근무자명단'!$A747:$ZZ747,1,$E$2+2),9,2))),-1))))</f>
        <v/>
      </c>
      <c r="T749">
        <f>IF($R749="","",IF(INDEX('입력_구리근무자명단'!$A747:$ZZ747,1,$E$2+3)&amp;""="",EOMONTH(급여기준월,0),IF(ISNUMBER(INDEX('입력_구리근무자명단'!$A747:$ZZ747,1,$E$2+3)),INDEX('입력_구리근무자명단'!$A747:$ZZ747,1,$E$2+3),IFERROR(DATE(VALUE(LEFT(INDEX('입력_구리근무자명단'!$A747:$ZZ747,1,$E$2+3),4)),VALUE(MID(INDEX('입력_구리근무자명단'!$A747:$ZZ747,1,$E$2+3),6,2)),VALUE(MID(INDEX('입력_구리근무자명단'!$A747:$ZZ747,1,$E$2+3),9,2))),-1))))</f>
        <v/>
      </c>
      <c r="U749">
        <f>IF($R749="","",IF(OR($S749&lt;0,$T749&lt;0),0,MAX(0,MIN($T749,EOMONTH(급여기준월,0))-MAX($S749,급여기준월)+1)))</f>
        <v/>
      </c>
      <c r="V749">
        <f>IF($R749="","",TRIM(INDEX('입력_구리근무자명단'!$A747:$ZZ747,1,$E$2+5)&amp;""))</f>
        <v/>
      </c>
      <c r="W749">
        <f>IF(ISNUMBER(SEARCH("구리독자",$V749)),"구리독자","")</f>
        <v/>
      </c>
      <c r="X749">
        <f>IF($R749="","",$R749&amp;"|"&amp;IF(OR($Q749="인턴",ISNUMBER(SEARCH("수련교육부",$P749))),"인턴",$P749))</f>
        <v/>
      </c>
      <c r="Y749">
        <f>IF($R749="","",IF(COUNTIF(명단표[이름|과],$X749)=1,"명단 일치",IF(AND(COUNTIF(명단표[이름|과],$X749)=0,COUNTIF(명단표[이름],$R749)=1),"명단 일치(이름만, 과 다름)",IF(COUNTIF(명단표[이름],$R749)=0,IF(COUNTIF(기본자료표[이름],$R749)&gt;0,"명단에 없음(기본자료에는 있음)","명단에 없음"),"동명이인 확인"))))</f>
        <v/>
      </c>
      <c r="Z749">
        <f>IF($R749="","",IF($S749&lt;0,"⚠"&amp;INDEX('입력_구리근무자명단'!$A747:$ZZ747,1,$E$2+2),TEXT($S749,"yyyy-mm-dd")))</f>
        <v/>
      </c>
      <c r="AA749">
        <f>IF($R749="","",IF($T749&lt;0,"⚠"&amp;INDEX('입력_구리근무자명단'!$A747:$ZZ747,1,$E$2+3),TEXT($T749,"yyyy-mm-dd")))</f>
        <v/>
      </c>
      <c r="AB749">
        <f>AB748+IF($R749="",0,1)</f>
        <v/>
      </c>
      <c r="AC749">
        <f>IF($R749="","",$AB749)</f>
        <v/>
      </c>
    </row>
    <row r="750">
      <c r="O750">
        <f>748</f>
        <v/>
      </c>
      <c r="P750">
        <f>IF(TRIM('입력_구리근무자명단'!$A748&amp;"")&lt;&gt;"",TRIM('입력_구리근무자명단'!$A748&amp;""),P749)</f>
        <v/>
      </c>
      <c r="Q750">
        <f>'입력_구리근무자명단'!$B748&amp;""</f>
        <v/>
      </c>
      <c r="R750">
        <f>IF($E$2="","",TRIM(INDEX('입력_구리근무자명단'!$A748:$ZZ748,1,$E$2+IF($G$2="확정",1,0))&amp;""))</f>
        <v/>
      </c>
      <c r="S750">
        <f>IF($R750="","",IF(INDEX('입력_구리근무자명단'!$A748:$ZZ748,1,$E$2+2)&amp;""="",급여기준월,IF(ISNUMBER(INDEX('입력_구리근무자명단'!$A748:$ZZ748,1,$E$2+2)),INDEX('입력_구리근무자명단'!$A748:$ZZ748,1,$E$2+2),IFERROR(DATE(VALUE(LEFT(INDEX('입력_구리근무자명단'!$A748:$ZZ748,1,$E$2+2),4)),VALUE(MID(INDEX('입력_구리근무자명단'!$A748:$ZZ748,1,$E$2+2),6,2)),VALUE(MID(INDEX('입력_구리근무자명단'!$A748:$ZZ748,1,$E$2+2),9,2))),-1))))</f>
        <v/>
      </c>
      <c r="T750">
        <f>IF($R750="","",IF(INDEX('입력_구리근무자명단'!$A748:$ZZ748,1,$E$2+3)&amp;""="",EOMONTH(급여기준월,0),IF(ISNUMBER(INDEX('입력_구리근무자명단'!$A748:$ZZ748,1,$E$2+3)),INDEX('입력_구리근무자명단'!$A748:$ZZ748,1,$E$2+3),IFERROR(DATE(VALUE(LEFT(INDEX('입력_구리근무자명단'!$A748:$ZZ748,1,$E$2+3),4)),VALUE(MID(INDEX('입력_구리근무자명단'!$A748:$ZZ748,1,$E$2+3),6,2)),VALUE(MID(INDEX('입력_구리근무자명단'!$A748:$ZZ748,1,$E$2+3),9,2))),-1))))</f>
        <v/>
      </c>
      <c r="U750">
        <f>IF($R750="","",IF(OR($S750&lt;0,$T750&lt;0),0,MAX(0,MIN($T750,EOMONTH(급여기준월,0))-MAX($S750,급여기준월)+1)))</f>
        <v/>
      </c>
      <c r="V750">
        <f>IF($R750="","",TRIM(INDEX('입력_구리근무자명단'!$A748:$ZZ748,1,$E$2+5)&amp;""))</f>
        <v/>
      </c>
      <c r="W750">
        <f>IF(ISNUMBER(SEARCH("구리독자",$V750)),"구리독자","")</f>
        <v/>
      </c>
      <c r="X750">
        <f>IF($R750="","",$R750&amp;"|"&amp;IF(OR($Q750="인턴",ISNUMBER(SEARCH("수련교육부",$P750))),"인턴",$P750))</f>
        <v/>
      </c>
      <c r="Y750">
        <f>IF($R750="","",IF(COUNTIF(명단표[이름|과],$X750)=1,"명단 일치",IF(AND(COUNTIF(명단표[이름|과],$X750)=0,COUNTIF(명단표[이름],$R750)=1),"명단 일치(이름만, 과 다름)",IF(COUNTIF(명단표[이름],$R750)=0,IF(COUNTIF(기본자료표[이름],$R750)&gt;0,"명단에 없음(기본자료에는 있음)","명단에 없음"),"동명이인 확인"))))</f>
        <v/>
      </c>
      <c r="Z750">
        <f>IF($R750="","",IF($S750&lt;0,"⚠"&amp;INDEX('입력_구리근무자명단'!$A748:$ZZ748,1,$E$2+2),TEXT($S750,"yyyy-mm-dd")))</f>
        <v/>
      </c>
      <c r="AA750">
        <f>IF($R750="","",IF($T750&lt;0,"⚠"&amp;INDEX('입력_구리근무자명단'!$A748:$ZZ748,1,$E$2+3),TEXT($T750,"yyyy-mm-dd")))</f>
        <v/>
      </c>
      <c r="AB750">
        <f>AB749+IF($R750="",0,1)</f>
        <v/>
      </c>
      <c r="AC750">
        <f>IF($R750="","",$AB750)</f>
        <v/>
      </c>
    </row>
    <row r="751">
      <c r="O751">
        <f>749</f>
        <v/>
      </c>
      <c r="P751">
        <f>IF(TRIM('입력_구리근무자명단'!$A749&amp;"")&lt;&gt;"",TRIM('입력_구리근무자명단'!$A749&amp;""),P750)</f>
        <v/>
      </c>
      <c r="Q751">
        <f>'입력_구리근무자명단'!$B749&amp;""</f>
        <v/>
      </c>
      <c r="R751">
        <f>IF($E$2="","",TRIM(INDEX('입력_구리근무자명단'!$A749:$ZZ749,1,$E$2+IF($G$2="확정",1,0))&amp;""))</f>
        <v/>
      </c>
      <c r="S751">
        <f>IF($R751="","",IF(INDEX('입력_구리근무자명단'!$A749:$ZZ749,1,$E$2+2)&amp;""="",급여기준월,IF(ISNUMBER(INDEX('입력_구리근무자명단'!$A749:$ZZ749,1,$E$2+2)),INDEX('입력_구리근무자명단'!$A749:$ZZ749,1,$E$2+2),IFERROR(DATE(VALUE(LEFT(INDEX('입력_구리근무자명단'!$A749:$ZZ749,1,$E$2+2),4)),VALUE(MID(INDEX('입력_구리근무자명단'!$A749:$ZZ749,1,$E$2+2),6,2)),VALUE(MID(INDEX('입력_구리근무자명단'!$A749:$ZZ749,1,$E$2+2),9,2))),-1))))</f>
        <v/>
      </c>
      <c r="T751">
        <f>IF($R751="","",IF(INDEX('입력_구리근무자명단'!$A749:$ZZ749,1,$E$2+3)&amp;""="",EOMONTH(급여기준월,0),IF(ISNUMBER(INDEX('입력_구리근무자명단'!$A749:$ZZ749,1,$E$2+3)),INDEX('입력_구리근무자명단'!$A749:$ZZ749,1,$E$2+3),IFERROR(DATE(VALUE(LEFT(INDEX('입력_구리근무자명단'!$A749:$ZZ749,1,$E$2+3),4)),VALUE(MID(INDEX('입력_구리근무자명단'!$A749:$ZZ749,1,$E$2+3),6,2)),VALUE(MID(INDEX('입력_구리근무자명단'!$A749:$ZZ749,1,$E$2+3),9,2))),-1))))</f>
        <v/>
      </c>
      <c r="U751">
        <f>IF($R751="","",IF(OR($S751&lt;0,$T751&lt;0),0,MAX(0,MIN($T751,EOMONTH(급여기준월,0))-MAX($S751,급여기준월)+1)))</f>
        <v/>
      </c>
      <c r="V751">
        <f>IF($R751="","",TRIM(INDEX('입력_구리근무자명단'!$A749:$ZZ749,1,$E$2+5)&amp;""))</f>
        <v/>
      </c>
      <c r="W751">
        <f>IF(ISNUMBER(SEARCH("구리독자",$V751)),"구리독자","")</f>
        <v/>
      </c>
      <c r="X751">
        <f>IF($R751="","",$R751&amp;"|"&amp;IF(OR($Q751="인턴",ISNUMBER(SEARCH("수련교육부",$P751))),"인턴",$P751))</f>
        <v/>
      </c>
      <c r="Y751">
        <f>IF($R751="","",IF(COUNTIF(명단표[이름|과],$X751)=1,"명단 일치",IF(AND(COUNTIF(명단표[이름|과],$X751)=0,COUNTIF(명단표[이름],$R751)=1),"명단 일치(이름만, 과 다름)",IF(COUNTIF(명단표[이름],$R751)=0,IF(COUNTIF(기본자료표[이름],$R751)&gt;0,"명단에 없음(기본자료에는 있음)","명단에 없음"),"동명이인 확인"))))</f>
        <v/>
      </c>
      <c r="Z751">
        <f>IF($R751="","",IF($S751&lt;0,"⚠"&amp;INDEX('입력_구리근무자명단'!$A749:$ZZ749,1,$E$2+2),TEXT($S751,"yyyy-mm-dd")))</f>
        <v/>
      </c>
      <c r="AA751">
        <f>IF($R751="","",IF($T751&lt;0,"⚠"&amp;INDEX('입력_구리근무자명단'!$A749:$ZZ749,1,$E$2+3),TEXT($T751,"yyyy-mm-dd")))</f>
        <v/>
      </c>
      <c r="AB751">
        <f>AB750+IF($R751="",0,1)</f>
        <v/>
      </c>
      <c r="AC751">
        <f>IF($R751="","",$AB751)</f>
        <v/>
      </c>
    </row>
    <row r="752">
      <c r="O752">
        <f>750</f>
        <v/>
      </c>
      <c r="P752">
        <f>IF(TRIM('입력_구리근무자명단'!$A750&amp;"")&lt;&gt;"",TRIM('입력_구리근무자명단'!$A750&amp;""),P751)</f>
        <v/>
      </c>
      <c r="Q752">
        <f>'입력_구리근무자명단'!$B750&amp;""</f>
        <v/>
      </c>
      <c r="R752">
        <f>IF($E$2="","",TRIM(INDEX('입력_구리근무자명단'!$A750:$ZZ750,1,$E$2+IF($G$2="확정",1,0))&amp;""))</f>
        <v/>
      </c>
      <c r="S752">
        <f>IF($R752="","",IF(INDEX('입력_구리근무자명단'!$A750:$ZZ750,1,$E$2+2)&amp;""="",급여기준월,IF(ISNUMBER(INDEX('입력_구리근무자명단'!$A750:$ZZ750,1,$E$2+2)),INDEX('입력_구리근무자명단'!$A750:$ZZ750,1,$E$2+2),IFERROR(DATE(VALUE(LEFT(INDEX('입력_구리근무자명단'!$A750:$ZZ750,1,$E$2+2),4)),VALUE(MID(INDEX('입력_구리근무자명단'!$A750:$ZZ750,1,$E$2+2),6,2)),VALUE(MID(INDEX('입력_구리근무자명단'!$A750:$ZZ750,1,$E$2+2),9,2))),-1))))</f>
        <v/>
      </c>
      <c r="T752">
        <f>IF($R752="","",IF(INDEX('입력_구리근무자명단'!$A750:$ZZ750,1,$E$2+3)&amp;""="",EOMONTH(급여기준월,0),IF(ISNUMBER(INDEX('입력_구리근무자명단'!$A750:$ZZ750,1,$E$2+3)),INDEX('입력_구리근무자명단'!$A750:$ZZ750,1,$E$2+3),IFERROR(DATE(VALUE(LEFT(INDEX('입력_구리근무자명단'!$A750:$ZZ750,1,$E$2+3),4)),VALUE(MID(INDEX('입력_구리근무자명단'!$A750:$ZZ750,1,$E$2+3),6,2)),VALUE(MID(INDEX('입력_구리근무자명단'!$A750:$ZZ750,1,$E$2+3),9,2))),-1))))</f>
        <v/>
      </c>
      <c r="U752">
        <f>IF($R752="","",IF(OR($S752&lt;0,$T752&lt;0),0,MAX(0,MIN($T752,EOMONTH(급여기준월,0))-MAX($S752,급여기준월)+1)))</f>
        <v/>
      </c>
      <c r="V752">
        <f>IF($R752="","",TRIM(INDEX('입력_구리근무자명단'!$A750:$ZZ750,1,$E$2+5)&amp;""))</f>
        <v/>
      </c>
      <c r="W752">
        <f>IF(ISNUMBER(SEARCH("구리독자",$V752)),"구리독자","")</f>
        <v/>
      </c>
      <c r="X752">
        <f>IF($R752="","",$R752&amp;"|"&amp;IF(OR($Q752="인턴",ISNUMBER(SEARCH("수련교육부",$P752))),"인턴",$P752))</f>
        <v/>
      </c>
      <c r="Y752">
        <f>IF($R752="","",IF(COUNTIF(명단표[이름|과],$X752)=1,"명단 일치",IF(AND(COUNTIF(명단표[이름|과],$X752)=0,COUNTIF(명단표[이름],$R752)=1),"명단 일치(이름만, 과 다름)",IF(COUNTIF(명단표[이름],$R752)=0,IF(COUNTIF(기본자료표[이름],$R752)&gt;0,"명단에 없음(기본자료에는 있음)","명단에 없음"),"동명이인 확인"))))</f>
        <v/>
      </c>
      <c r="Z752">
        <f>IF($R752="","",IF($S752&lt;0,"⚠"&amp;INDEX('입력_구리근무자명단'!$A750:$ZZ750,1,$E$2+2),TEXT($S752,"yyyy-mm-dd")))</f>
        <v/>
      </c>
      <c r="AA752">
        <f>IF($R752="","",IF($T752&lt;0,"⚠"&amp;INDEX('입력_구리근무자명단'!$A750:$ZZ750,1,$E$2+3),TEXT($T752,"yyyy-mm-dd")))</f>
        <v/>
      </c>
      <c r="AB752">
        <f>AB751+IF($R752="",0,1)</f>
        <v/>
      </c>
      <c r="AC752">
        <f>IF($R752="","",$AB752)</f>
        <v/>
      </c>
    </row>
    <row r="753">
      <c r="O753">
        <f>751</f>
        <v/>
      </c>
      <c r="P753">
        <f>IF(TRIM('입력_구리근무자명단'!$A751&amp;"")&lt;&gt;"",TRIM('입력_구리근무자명단'!$A751&amp;""),P752)</f>
        <v/>
      </c>
      <c r="Q753">
        <f>'입력_구리근무자명단'!$B751&amp;""</f>
        <v/>
      </c>
      <c r="R753">
        <f>IF($E$2="","",TRIM(INDEX('입력_구리근무자명단'!$A751:$ZZ751,1,$E$2+IF($G$2="확정",1,0))&amp;""))</f>
        <v/>
      </c>
      <c r="S753">
        <f>IF($R753="","",IF(INDEX('입력_구리근무자명단'!$A751:$ZZ751,1,$E$2+2)&amp;""="",급여기준월,IF(ISNUMBER(INDEX('입력_구리근무자명단'!$A751:$ZZ751,1,$E$2+2)),INDEX('입력_구리근무자명단'!$A751:$ZZ751,1,$E$2+2),IFERROR(DATE(VALUE(LEFT(INDEX('입력_구리근무자명단'!$A751:$ZZ751,1,$E$2+2),4)),VALUE(MID(INDEX('입력_구리근무자명단'!$A751:$ZZ751,1,$E$2+2),6,2)),VALUE(MID(INDEX('입력_구리근무자명단'!$A751:$ZZ751,1,$E$2+2),9,2))),-1))))</f>
        <v/>
      </c>
      <c r="T753">
        <f>IF($R753="","",IF(INDEX('입력_구리근무자명단'!$A751:$ZZ751,1,$E$2+3)&amp;""="",EOMONTH(급여기준월,0),IF(ISNUMBER(INDEX('입력_구리근무자명단'!$A751:$ZZ751,1,$E$2+3)),INDEX('입력_구리근무자명단'!$A751:$ZZ751,1,$E$2+3),IFERROR(DATE(VALUE(LEFT(INDEX('입력_구리근무자명단'!$A751:$ZZ751,1,$E$2+3),4)),VALUE(MID(INDEX('입력_구리근무자명단'!$A751:$ZZ751,1,$E$2+3),6,2)),VALUE(MID(INDEX('입력_구리근무자명단'!$A751:$ZZ751,1,$E$2+3),9,2))),-1))))</f>
        <v/>
      </c>
      <c r="U753">
        <f>IF($R753="","",IF(OR($S753&lt;0,$T753&lt;0),0,MAX(0,MIN($T753,EOMONTH(급여기준월,0))-MAX($S753,급여기준월)+1)))</f>
        <v/>
      </c>
      <c r="V753">
        <f>IF($R753="","",TRIM(INDEX('입력_구리근무자명단'!$A751:$ZZ751,1,$E$2+5)&amp;""))</f>
        <v/>
      </c>
      <c r="W753">
        <f>IF(ISNUMBER(SEARCH("구리독자",$V753)),"구리독자","")</f>
        <v/>
      </c>
      <c r="X753">
        <f>IF($R753="","",$R753&amp;"|"&amp;IF(OR($Q753="인턴",ISNUMBER(SEARCH("수련교육부",$P753))),"인턴",$P753))</f>
        <v/>
      </c>
      <c r="Y753">
        <f>IF($R753="","",IF(COUNTIF(명단표[이름|과],$X753)=1,"명단 일치",IF(AND(COUNTIF(명단표[이름|과],$X753)=0,COUNTIF(명단표[이름],$R753)=1),"명단 일치(이름만, 과 다름)",IF(COUNTIF(명단표[이름],$R753)=0,IF(COUNTIF(기본자료표[이름],$R753)&gt;0,"명단에 없음(기본자료에는 있음)","명단에 없음"),"동명이인 확인"))))</f>
        <v/>
      </c>
      <c r="Z753">
        <f>IF($R753="","",IF($S753&lt;0,"⚠"&amp;INDEX('입력_구리근무자명단'!$A751:$ZZ751,1,$E$2+2),TEXT($S753,"yyyy-mm-dd")))</f>
        <v/>
      </c>
      <c r="AA753">
        <f>IF($R753="","",IF($T753&lt;0,"⚠"&amp;INDEX('입력_구리근무자명단'!$A751:$ZZ751,1,$E$2+3),TEXT($T753,"yyyy-mm-dd")))</f>
        <v/>
      </c>
      <c r="AB753">
        <f>AB752+IF($R753="",0,1)</f>
        <v/>
      </c>
      <c r="AC753">
        <f>IF($R753="","",$AB753)</f>
        <v/>
      </c>
    </row>
    <row r="754">
      <c r="O754">
        <f>752</f>
        <v/>
      </c>
      <c r="P754">
        <f>IF(TRIM('입력_구리근무자명단'!$A752&amp;"")&lt;&gt;"",TRIM('입력_구리근무자명단'!$A752&amp;""),P753)</f>
        <v/>
      </c>
      <c r="Q754">
        <f>'입력_구리근무자명단'!$B752&amp;""</f>
        <v/>
      </c>
      <c r="R754">
        <f>IF($E$2="","",TRIM(INDEX('입력_구리근무자명단'!$A752:$ZZ752,1,$E$2+IF($G$2="확정",1,0))&amp;""))</f>
        <v/>
      </c>
      <c r="S754">
        <f>IF($R754="","",IF(INDEX('입력_구리근무자명단'!$A752:$ZZ752,1,$E$2+2)&amp;""="",급여기준월,IF(ISNUMBER(INDEX('입력_구리근무자명단'!$A752:$ZZ752,1,$E$2+2)),INDEX('입력_구리근무자명단'!$A752:$ZZ752,1,$E$2+2),IFERROR(DATE(VALUE(LEFT(INDEX('입력_구리근무자명단'!$A752:$ZZ752,1,$E$2+2),4)),VALUE(MID(INDEX('입력_구리근무자명단'!$A752:$ZZ752,1,$E$2+2),6,2)),VALUE(MID(INDEX('입력_구리근무자명단'!$A752:$ZZ752,1,$E$2+2),9,2))),-1))))</f>
        <v/>
      </c>
      <c r="T754">
        <f>IF($R754="","",IF(INDEX('입력_구리근무자명단'!$A752:$ZZ752,1,$E$2+3)&amp;""="",EOMONTH(급여기준월,0),IF(ISNUMBER(INDEX('입력_구리근무자명단'!$A752:$ZZ752,1,$E$2+3)),INDEX('입력_구리근무자명단'!$A752:$ZZ752,1,$E$2+3),IFERROR(DATE(VALUE(LEFT(INDEX('입력_구리근무자명단'!$A752:$ZZ752,1,$E$2+3),4)),VALUE(MID(INDEX('입력_구리근무자명단'!$A752:$ZZ752,1,$E$2+3),6,2)),VALUE(MID(INDEX('입력_구리근무자명단'!$A752:$ZZ752,1,$E$2+3),9,2))),-1))))</f>
        <v/>
      </c>
      <c r="U754">
        <f>IF($R754="","",IF(OR($S754&lt;0,$T754&lt;0),0,MAX(0,MIN($T754,EOMONTH(급여기준월,0))-MAX($S754,급여기준월)+1)))</f>
        <v/>
      </c>
      <c r="V754">
        <f>IF($R754="","",TRIM(INDEX('입력_구리근무자명단'!$A752:$ZZ752,1,$E$2+5)&amp;""))</f>
        <v/>
      </c>
      <c r="W754">
        <f>IF(ISNUMBER(SEARCH("구리독자",$V754)),"구리독자","")</f>
        <v/>
      </c>
      <c r="X754">
        <f>IF($R754="","",$R754&amp;"|"&amp;IF(OR($Q754="인턴",ISNUMBER(SEARCH("수련교육부",$P754))),"인턴",$P754))</f>
        <v/>
      </c>
      <c r="Y754">
        <f>IF($R754="","",IF(COUNTIF(명단표[이름|과],$X754)=1,"명단 일치",IF(AND(COUNTIF(명단표[이름|과],$X754)=0,COUNTIF(명단표[이름],$R754)=1),"명단 일치(이름만, 과 다름)",IF(COUNTIF(명단표[이름],$R754)=0,IF(COUNTIF(기본자료표[이름],$R754)&gt;0,"명단에 없음(기본자료에는 있음)","명단에 없음"),"동명이인 확인"))))</f>
        <v/>
      </c>
      <c r="Z754">
        <f>IF($R754="","",IF($S754&lt;0,"⚠"&amp;INDEX('입력_구리근무자명단'!$A752:$ZZ752,1,$E$2+2),TEXT($S754,"yyyy-mm-dd")))</f>
        <v/>
      </c>
      <c r="AA754">
        <f>IF($R754="","",IF($T754&lt;0,"⚠"&amp;INDEX('입력_구리근무자명단'!$A752:$ZZ752,1,$E$2+3),TEXT($T754,"yyyy-mm-dd")))</f>
        <v/>
      </c>
      <c r="AB754">
        <f>AB753+IF($R754="",0,1)</f>
        <v/>
      </c>
      <c r="AC754">
        <f>IF($R754="","",$AB754)</f>
        <v/>
      </c>
    </row>
    <row r="755">
      <c r="O755">
        <f>753</f>
        <v/>
      </c>
      <c r="P755">
        <f>IF(TRIM('입력_구리근무자명단'!$A753&amp;"")&lt;&gt;"",TRIM('입력_구리근무자명단'!$A753&amp;""),P754)</f>
        <v/>
      </c>
      <c r="Q755">
        <f>'입력_구리근무자명단'!$B753&amp;""</f>
        <v/>
      </c>
      <c r="R755">
        <f>IF($E$2="","",TRIM(INDEX('입력_구리근무자명단'!$A753:$ZZ753,1,$E$2+IF($G$2="확정",1,0))&amp;""))</f>
        <v/>
      </c>
      <c r="S755">
        <f>IF($R755="","",IF(INDEX('입력_구리근무자명단'!$A753:$ZZ753,1,$E$2+2)&amp;""="",급여기준월,IF(ISNUMBER(INDEX('입력_구리근무자명단'!$A753:$ZZ753,1,$E$2+2)),INDEX('입력_구리근무자명단'!$A753:$ZZ753,1,$E$2+2),IFERROR(DATE(VALUE(LEFT(INDEX('입력_구리근무자명단'!$A753:$ZZ753,1,$E$2+2),4)),VALUE(MID(INDEX('입력_구리근무자명단'!$A753:$ZZ753,1,$E$2+2),6,2)),VALUE(MID(INDEX('입력_구리근무자명단'!$A753:$ZZ753,1,$E$2+2),9,2))),-1))))</f>
        <v/>
      </c>
      <c r="T755">
        <f>IF($R755="","",IF(INDEX('입력_구리근무자명단'!$A753:$ZZ753,1,$E$2+3)&amp;""="",EOMONTH(급여기준월,0),IF(ISNUMBER(INDEX('입력_구리근무자명단'!$A753:$ZZ753,1,$E$2+3)),INDEX('입력_구리근무자명단'!$A753:$ZZ753,1,$E$2+3),IFERROR(DATE(VALUE(LEFT(INDEX('입력_구리근무자명단'!$A753:$ZZ753,1,$E$2+3),4)),VALUE(MID(INDEX('입력_구리근무자명단'!$A753:$ZZ753,1,$E$2+3),6,2)),VALUE(MID(INDEX('입력_구리근무자명단'!$A753:$ZZ753,1,$E$2+3),9,2))),-1))))</f>
        <v/>
      </c>
      <c r="U755">
        <f>IF($R755="","",IF(OR($S755&lt;0,$T755&lt;0),0,MAX(0,MIN($T755,EOMONTH(급여기준월,0))-MAX($S755,급여기준월)+1)))</f>
        <v/>
      </c>
      <c r="V755">
        <f>IF($R755="","",TRIM(INDEX('입력_구리근무자명단'!$A753:$ZZ753,1,$E$2+5)&amp;""))</f>
        <v/>
      </c>
      <c r="W755">
        <f>IF(ISNUMBER(SEARCH("구리독자",$V755)),"구리독자","")</f>
        <v/>
      </c>
      <c r="X755">
        <f>IF($R755="","",$R755&amp;"|"&amp;IF(OR($Q755="인턴",ISNUMBER(SEARCH("수련교육부",$P755))),"인턴",$P755))</f>
        <v/>
      </c>
      <c r="Y755">
        <f>IF($R755="","",IF(COUNTIF(명단표[이름|과],$X755)=1,"명단 일치",IF(AND(COUNTIF(명단표[이름|과],$X755)=0,COUNTIF(명단표[이름],$R755)=1),"명단 일치(이름만, 과 다름)",IF(COUNTIF(명단표[이름],$R755)=0,IF(COUNTIF(기본자료표[이름],$R755)&gt;0,"명단에 없음(기본자료에는 있음)","명단에 없음"),"동명이인 확인"))))</f>
        <v/>
      </c>
      <c r="Z755">
        <f>IF($R755="","",IF($S755&lt;0,"⚠"&amp;INDEX('입력_구리근무자명단'!$A753:$ZZ753,1,$E$2+2),TEXT($S755,"yyyy-mm-dd")))</f>
        <v/>
      </c>
      <c r="AA755">
        <f>IF($R755="","",IF($T755&lt;0,"⚠"&amp;INDEX('입력_구리근무자명단'!$A753:$ZZ753,1,$E$2+3),TEXT($T755,"yyyy-mm-dd")))</f>
        <v/>
      </c>
      <c r="AB755">
        <f>AB754+IF($R755="",0,1)</f>
        <v/>
      </c>
      <c r="AC755">
        <f>IF($R755="","",$AB755)</f>
        <v/>
      </c>
    </row>
    <row r="756">
      <c r="O756">
        <f>754</f>
        <v/>
      </c>
      <c r="P756">
        <f>IF(TRIM('입력_구리근무자명단'!$A754&amp;"")&lt;&gt;"",TRIM('입력_구리근무자명단'!$A754&amp;""),P755)</f>
        <v/>
      </c>
      <c r="Q756">
        <f>'입력_구리근무자명단'!$B754&amp;""</f>
        <v/>
      </c>
      <c r="R756">
        <f>IF($E$2="","",TRIM(INDEX('입력_구리근무자명단'!$A754:$ZZ754,1,$E$2+IF($G$2="확정",1,0))&amp;""))</f>
        <v/>
      </c>
      <c r="S756">
        <f>IF($R756="","",IF(INDEX('입력_구리근무자명단'!$A754:$ZZ754,1,$E$2+2)&amp;""="",급여기준월,IF(ISNUMBER(INDEX('입력_구리근무자명단'!$A754:$ZZ754,1,$E$2+2)),INDEX('입력_구리근무자명단'!$A754:$ZZ754,1,$E$2+2),IFERROR(DATE(VALUE(LEFT(INDEX('입력_구리근무자명단'!$A754:$ZZ754,1,$E$2+2),4)),VALUE(MID(INDEX('입력_구리근무자명단'!$A754:$ZZ754,1,$E$2+2),6,2)),VALUE(MID(INDEX('입력_구리근무자명단'!$A754:$ZZ754,1,$E$2+2),9,2))),-1))))</f>
        <v/>
      </c>
      <c r="T756">
        <f>IF($R756="","",IF(INDEX('입력_구리근무자명단'!$A754:$ZZ754,1,$E$2+3)&amp;""="",EOMONTH(급여기준월,0),IF(ISNUMBER(INDEX('입력_구리근무자명단'!$A754:$ZZ754,1,$E$2+3)),INDEX('입력_구리근무자명단'!$A754:$ZZ754,1,$E$2+3),IFERROR(DATE(VALUE(LEFT(INDEX('입력_구리근무자명단'!$A754:$ZZ754,1,$E$2+3),4)),VALUE(MID(INDEX('입력_구리근무자명단'!$A754:$ZZ754,1,$E$2+3),6,2)),VALUE(MID(INDEX('입력_구리근무자명단'!$A754:$ZZ754,1,$E$2+3),9,2))),-1))))</f>
        <v/>
      </c>
      <c r="U756">
        <f>IF($R756="","",IF(OR($S756&lt;0,$T756&lt;0),0,MAX(0,MIN($T756,EOMONTH(급여기준월,0))-MAX($S756,급여기준월)+1)))</f>
        <v/>
      </c>
      <c r="V756">
        <f>IF($R756="","",TRIM(INDEX('입력_구리근무자명단'!$A754:$ZZ754,1,$E$2+5)&amp;""))</f>
        <v/>
      </c>
      <c r="W756">
        <f>IF(ISNUMBER(SEARCH("구리독자",$V756)),"구리독자","")</f>
        <v/>
      </c>
      <c r="X756">
        <f>IF($R756="","",$R756&amp;"|"&amp;IF(OR($Q756="인턴",ISNUMBER(SEARCH("수련교육부",$P756))),"인턴",$P756))</f>
        <v/>
      </c>
      <c r="Y756">
        <f>IF($R756="","",IF(COUNTIF(명단표[이름|과],$X756)=1,"명단 일치",IF(AND(COUNTIF(명단표[이름|과],$X756)=0,COUNTIF(명단표[이름],$R756)=1),"명단 일치(이름만, 과 다름)",IF(COUNTIF(명단표[이름],$R756)=0,IF(COUNTIF(기본자료표[이름],$R756)&gt;0,"명단에 없음(기본자료에는 있음)","명단에 없음"),"동명이인 확인"))))</f>
        <v/>
      </c>
      <c r="Z756">
        <f>IF($R756="","",IF($S756&lt;0,"⚠"&amp;INDEX('입력_구리근무자명단'!$A754:$ZZ754,1,$E$2+2),TEXT($S756,"yyyy-mm-dd")))</f>
        <v/>
      </c>
      <c r="AA756">
        <f>IF($R756="","",IF($T756&lt;0,"⚠"&amp;INDEX('입력_구리근무자명단'!$A754:$ZZ754,1,$E$2+3),TEXT($T756,"yyyy-mm-dd")))</f>
        <v/>
      </c>
      <c r="AB756">
        <f>AB755+IF($R756="",0,1)</f>
        <v/>
      </c>
      <c r="AC756">
        <f>IF($R756="","",$AB756)</f>
        <v/>
      </c>
    </row>
    <row r="757">
      <c r="O757">
        <f>755</f>
        <v/>
      </c>
      <c r="P757">
        <f>IF(TRIM('입력_구리근무자명단'!$A755&amp;"")&lt;&gt;"",TRIM('입력_구리근무자명단'!$A755&amp;""),P756)</f>
        <v/>
      </c>
      <c r="Q757">
        <f>'입력_구리근무자명단'!$B755&amp;""</f>
        <v/>
      </c>
      <c r="R757">
        <f>IF($E$2="","",TRIM(INDEX('입력_구리근무자명단'!$A755:$ZZ755,1,$E$2+IF($G$2="확정",1,0))&amp;""))</f>
        <v/>
      </c>
      <c r="S757">
        <f>IF($R757="","",IF(INDEX('입력_구리근무자명단'!$A755:$ZZ755,1,$E$2+2)&amp;""="",급여기준월,IF(ISNUMBER(INDEX('입력_구리근무자명단'!$A755:$ZZ755,1,$E$2+2)),INDEX('입력_구리근무자명단'!$A755:$ZZ755,1,$E$2+2),IFERROR(DATE(VALUE(LEFT(INDEX('입력_구리근무자명단'!$A755:$ZZ755,1,$E$2+2),4)),VALUE(MID(INDEX('입력_구리근무자명단'!$A755:$ZZ755,1,$E$2+2),6,2)),VALUE(MID(INDEX('입력_구리근무자명단'!$A755:$ZZ755,1,$E$2+2),9,2))),-1))))</f>
        <v/>
      </c>
      <c r="T757">
        <f>IF($R757="","",IF(INDEX('입력_구리근무자명단'!$A755:$ZZ755,1,$E$2+3)&amp;""="",EOMONTH(급여기준월,0),IF(ISNUMBER(INDEX('입력_구리근무자명단'!$A755:$ZZ755,1,$E$2+3)),INDEX('입력_구리근무자명단'!$A755:$ZZ755,1,$E$2+3),IFERROR(DATE(VALUE(LEFT(INDEX('입력_구리근무자명단'!$A755:$ZZ755,1,$E$2+3),4)),VALUE(MID(INDEX('입력_구리근무자명단'!$A755:$ZZ755,1,$E$2+3),6,2)),VALUE(MID(INDEX('입력_구리근무자명단'!$A755:$ZZ755,1,$E$2+3),9,2))),-1))))</f>
        <v/>
      </c>
      <c r="U757">
        <f>IF($R757="","",IF(OR($S757&lt;0,$T757&lt;0),0,MAX(0,MIN($T757,EOMONTH(급여기준월,0))-MAX($S757,급여기준월)+1)))</f>
        <v/>
      </c>
      <c r="V757">
        <f>IF($R757="","",TRIM(INDEX('입력_구리근무자명단'!$A755:$ZZ755,1,$E$2+5)&amp;""))</f>
        <v/>
      </c>
      <c r="W757">
        <f>IF(ISNUMBER(SEARCH("구리독자",$V757)),"구리독자","")</f>
        <v/>
      </c>
      <c r="X757">
        <f>IF($R757="","",$R757&amp;"|"&amp;IF(OR($Q757="인턴",ISNUMBER(SEARCH("수련교육부",$P757))),"인턴",$P757))</f>
        <v/>
      </c>
      <c r="Y757">
        <f>IF($R757="","",IF(COUNTIF(명단표[이름|과],$X757)=1,"명단 일치",IF(AND(COUNTIF(명단표[이름|과],$X757)=0,COUNTIF(명단표[이름],$R757)=1),"명단 일치(이름만, 과 다름)",IF(COUNTIF(명단표[이름],$R757)=0,IF(COUNTIF(기본자료표[이름],$R757)&gt;0,"명단에 없음(기본자료에는 있음)","명단에 없음"),"동명이인 확인"))))</f>
        <v/>
      </c>
      <c r="Z757">
        <f>IF($R757="","",IF($S757&lt;0,"⚠"&amp;INDEX('입력_구리근무자명단'!$A755:$ZZ755,1,$E$2+2),TEXT($S757,"yyyy-mm-dd")))</f>
        <v/>
      </c>
      <c r="AA757">
        <f>IF($R757="","",IF($T757&lt;0,"⚠"&amp;INDEX('입력_구리근무자명단'!$A755:$ZZ755,1,$E$2+3),TEXT($T757,"yyyy-mm-dd")))</f>
        <v/>
      </c>
      <c r="AB757">
        <f>AB756+IF($R757="",0,1)</f>
        <v/>
      </c>
      <c r="AC757">
        <f>IF($R757="","",$AB757)</f>
        <v/>
      </c>
    </row>
    <row r="758">
      <c r="O758">
        <f>756</f>
        <v/>
      </c>
      <c r="P758">
        <f>IF(TRIM('입력_구리근무자명단'!$A756&amp;"")&lt;&gt;"",TRIM('입력_구리근무자명단'!$A756&amp;""),P757)</f>
        <v/>
      </c>
      <c r="Q758">
        <f>'입력_구리근무자명단'!$B756&amp;""</f>
        <v/>
      </c>
      <c r="R758">
        <f>IF($E$2="","",TRIM(INDEX('입력_구리근무자명단'!$A756:$ZZ756,1,$E$2+IF($G$2="확정",1,0))&amp;""))</f>
        <v/>
      </c>
      <c r="S758">
        <f>IF($R758="","",IF(INDEX('입력_구리근무자명단'!$A756:$ZZ756,1,$E$2+2)&amp;""="",급여기준월,IF(ISNUMBER(INDEX('입력_구리근무자명단'!$A756:$ZZ756,1,$E$2+2)),INDEX('입력_구리근무자명단'!$A756:$ZZ756,1,$E$2+2),IFERROR(DATE(VALUE(LEFT(INDEX('입력_구리근무자명단'!$A756:$ZZ756,1,$E$2+2),4)),VALUE(MID(INDEX('입력_구리근무자명단'!$A756:$ZZ756,1,$E$2+2),6,2)),VALUE(MID(INDEX('입력_구리근무자명단'!$A756:$ZZ756,1,$E$2+2),9,2))),-1))))</f>
        <v/>
      </c>
      <c r="T758">
        <f>IF($R758="","",IF(INDEX('입력_구리근무자명단'!$A756:$ZZ756,1,$E$2+3)&amp;""="",EOMONTH(급여기준월,0),IF(ISNUMBER(INDEX('입력_구리근무자명단'!$A756:$ZZ756,1,$E$2+3)),INDEX('입력_구리근무자명단'!$A756:$ZZ756,1,$E$2+3),IFERROR(DATE(VALUE(LEFT(INDEX('입력_구리근무자명단'!$A756:$ZZ756,1,$E$2+3),4)),VALUE(MID(INDEX('입력_구리근무자명단'!$A756:$ZZ756,1,$E$2+3),6,2)),VALUE(MID(INDEX('입력_구리근무자명단'!$A756:$ZZ756,1,$E$2+3),9,2))),-1))))</f>
        <v/>
      </c>
      <c r="U758">
        <f>IF($R758="","",IF(OR($S758&lt;0,$T758&lt;0),0,MAX(0,MIN($T758,EOMONTH(급여기준월,0))-MAX($S758,급여기준월)+1)))</f>
        <v/>
      </c>
      <c r="V758">
        <f>IF($R758="","",TRIM(INDEX('입력_구리근무자명단'!$A756:$ZZ756,1,$E$2+5)&amp;""))</f>
        <v/>
      </c>
      <c r="W758">
        <f>IF(ISNUMBER(SEARCH("구리독자",$V758)),"구리독자","")</f>
        <v/>
      </c>
      <c r="X758">
        <f>IF($R758="","",$R758&amp;"|"&amp;IF(OR($Q758="인턴",ISNUMBER(SEARCH("수련교육부",$P758))),"인턴",$P758))</f>
        <v/>
      </c>
      <c r="Y758">
        <f>IF($R758="","",IF(COUNTIF(명단표[이름|과],$X758)=1,"명단 일치",IF(AND(COUNTIF(명단표[이름|과],$X758)=0,COUNTIF(명단표[이름],$R758)=1),"명단 일치(이름만, 과 다름)",IF(COUNTIF(명단표[이름],$R758)=0,IF(COUNTIF(기본자료표[이름],$R758)&gt;0,"명단에 없음(기본자료에는 있음)","명단에 없음"),"동명이인 확인"))))</f>
        <v/>
      </c>
      <c r="Z758">
        <f>IF($R758="","",IF($S758&lt;0,"⚠"&amp;INDEX('입력_구리근무자명단'!$A756:$ZZ756,1,$E$2+2),TEXT($S758,"yyyy-mm-dd")))</f>
        <v/>
      </c>
      <c r="AA758">
        <f>IF($R758="","",IF($T758&lt;0,"⚠"&amp;INDEX('입력_구리근무자명단'!$A756:$ZZ756,1,$E$2+3),TEXT($T758,"yyyy-mm-dd")))</f>
        <v/>
      </c>
      <c r="AB758">
        <f>AB757+IF($R758="",0,1)</f>
        <v/>
      </c>
      <c r="AC758">
        <f>IF($R758="","",$AB758)</f>
        <v/>
      </c>
    </row>
    <row r="759">
      <c r="O759">
        <f>757</f>
        <v/>
      </c>
      <c r="P759">
        <f>IF(TRIM('입력_구리근무자명단'!$A757&amp;"")&lt;&gt;"",TRIM('입력_구리근무자명단'!$A757&amp;""),P758)</f>
        <v/>
      </c>
      <c r="Q759">
        <f>'입력_구리근무자명단'!$B757&amp;""</f>
        <v/>
      </c>
      <c r="R759">
        <f>IF($E$2="","",TRIM(INDEX('입력_구리근무자명단'!$A757:$ZZ757,1,$E$2+IF($G$2="확정",1,0))&amp;""))</f>
        <v/>
      </c>
      <c r="S759">
        <f>IF($R759="","",IF(INDEX('입력_구리근무자명단'!$A757:$ZZ757,1,$E$2+2)&amp;""="",급여기준월,IF(ISNUMBER(INDEX('입력_구리근무자명단'!$A757:$ZZ757,1,$E$2+2)),INDEX('입력_구리근무자명단'!$A757:$ZZ757,1,$E$2+2),IFERROR(DATE(VALUE(LEFT(INDEX('입력_구리근무자명단'!$A757:$ZZ757,1,$E$2+2),4)),VALUE(MID(INDEX('입력_구리근무자명단'!$A757:$ZZ757,1,$E$2+2),6,2)),VALUE(MID(INDEX('입력_구리근무자명단'!$A757:$ZZ757,1,$E$2+2),9,2))),-1))))</f>
        <v/>
      </c>
      <c r="T759">
        <f>IF($R759="","",IF(INDEX('입력_구리근무자명단'!$A757:$ZZ757,1,$E$2+3)&amp;""="",EOMONTH(급여기준월,0),IF(ISNUMBER(INDEX('입력_구리근무자명단'!$A757:$ZZ757,1,$E$2+3)),INDEX('입력_구리근무자명단'!$A757:$ZZ757,1,$E$2+3),IFERROR(DATE(VALUE(LEFT(INDEX('입력_구리근무자명단'!$A757:$ZZ757,1,$E$2+3),4)),VALUE(MID(INDEX('입력_구리근무자명단'!$A757:$ZZ757,1,$E$2+3),6,2)),VALUE(MID(INDEX('입력_구리근무자명단'!$A757:$ZZ757,1,$E$2+3),9,2))),-1))))</f>
        <v/>
      </c>
      <c r="U759">
        <f>IF($R759="","",IF(OR($S759&lt;0,$T759&lt;0),0,MAX(0,MIN($T759,EOMONTH(급여기준월,0))-MAX($S759,급여기준월)+1)))</f>
        <v/>
      </c>
      <c r="V759">
        <f>IF($R759="","",TRIM(INDEX('입력_구리근무자명단'!$A757:$ZZ757,1,$E$2+5)&amp;""))</f>
        <v/>
      </c>
      <c r="W759">
        <f>IF(ISNUMBER(SEARCH("구리독자",$V759)),"구리독자","")</f>
        <v/>
      </c>
      <c r="X759">
        <f>IF($R759="","",$R759&amp;"|"&amp;IF(OR($Q759="인턴",ISNUMBER(SEARCH("수련교육부",$P759))),"인턴",$P759))</f>
        <v/>
      </c>
      <c r="Y759">
        <f>IF($R759="","",IF(COUNTIF(명단표[이름|과],$X759)=1,"명단 일치",IF(AND(COUNTIF(명단표[이름|과],$X759)=0,COUNTIF(명단표[이름],$R759)=1),"명단 일치(이름만, 과 다름)",IF(COUNTIF(명단표[이름],$R759)=0,IF(COUNTIF(기본자료표[이름],$R759)&gt;0,"명단에 없음(기본자료에는 있음)","명단에 없음"),"동명이인 확인"))))</f>
        <v/>
      </c>
      <c r="Z759">
        <f>IF($R759="","",IF($S759&lt;0,"⚠"&amp;INDEX('입력_구리근무자명단'!$A757:$ZZ757,1,$E$2+2),TEXT($S759,"yyyy-mm-dd")))</f>
        <v/>
      </c>
      <c r="AA759">
        <f>IF($R759="","",IF($T759&lt;0,"⚠"&amp;INDEX('입력_구리근무자명단'!$A757:$ZZ757,1,$E$2+3),TEXT($T759,"yyyy-mm-dd")))</f>
        <v/>
      </c>
      <c r="AB759">
        <f>AB758+IF($R759="",0,1)</f>
        <v/>
      </c>
      <c r="AC759">
        <f>IF($R759="","",$AB759)</f>
        <v/>
      </c>
    </row>
    <row r="760">
      <c r="O760">
        <f>758</f>
        <v/>
      </c>
      <c r="P760">
        <f>IF(TRIM('입력_구리근무자명단'!$A758&amp;"")&lt;&gt;"",TRIM('입력_구리근무자명단'!$A758&amp;""),P759)</f>
        <v/>
      </c>
      <c r="Q760">
        <f>'입력_구리근무자명단'!$B758&amp;""</f>
        <v/>
      </c>
      <c r="R760">
        <f>IF($E$2="","",TRIM(INDEX('입력_구리근무자명단'!$A758:$ZZ758,1,$E$2+IF($G$2="확정",1,0))&amp;""))</f>
        <v/>
      </c>
      <c r="S760">
        <f>IF($R760="","",IF(INDEX('입력_구리근무자명단'!$A758:$ZZ758,1,$E$2+2)&amp;""="",급여기준월,IF(ISNUMBER(INDEX('입력_구리근무자명단'!$A758:$ZZ758,1,$E$2+2)),INDEX('입력_구리근무자명단'!$A758:$ZZ758,1,$E$2+2),IFERROR(DATE(VALUE(LEFT(INDEX('입력_구리근무자명단'!$A758:$ZZ758,1,$E$2+2),4)),VALUE(MID(INDEX('입력_구리근무자명단'!$A758:$ZZ758,1,$E$2+2),6,2)),VALUE(MID(INDEX('입력_구리근무자명단'!$A758:$ZZ758,1,$E$2+2),9,2))),-1))))</f>
        <v/>
      </c>
      <c r="T760">
        <f>IF($R760="","",IF(INDEX('입력_구리근무자명단'!$A758:$ZZ758,1,$E$2+3)&amp;""="",EOMONTH(급여기준월,0),IF(ISNUMBER(INDEX('입력_구리근무자명단'!$A758:$ZZ758,1,$E$2+3)),INDEX('입력_구리근무자명단'!$A758:$ZZ758,1,$E$2+3),IFERROR(DATE(VALUE(LEFT(INDEX('입력_구리근무자명단'!$A758:$ZZ758,1,$E$2+3),4)),VALUE(MID(INDEX('입력_구리근무자명단'!$A758:$ZZ758,1,$E$2+3),6,2)),VALUE(MID(INDEX('입력_구리근무자명단'!$A758:$ZZ758,1,$E$2+3),9,2))),-1))))</f>
        <v/>
      </c>
      <c r="U760">
        <f>IF($R760="","",IF(OR($S760&lt;0,$T760&lt;0),0,MAX(0,MIN($T760,EOMONTH(급여기준월,0))-MAX($S760,급여기준월)+1)))</f>
        <v/>
      </c>
      <c r="V760">
        <f>IF($R760="","",TRIM(INDEX('입력_구리근무자명단'!$A758:$ZZ758,1,$E$2+5)&amp;""))</f>
        <v/>
      </c>
      <c r="W760">
        <f>IF(ISNUMBER(SEARCH("구리독자",$V760)),"구리독자","")</f>
        <v/>
      </c>
      <c r="X760">
        <f>IF($R760="","",$R760&amp;"|"&amp;IF(OR($Q760="인턴",ISNUMBER(SEARCH("수련교육부",$P760))),"인턴",$P760))</f>
        <v/>
      </c>
      <c r="Y760">
        <f>IF($R760="","",IF(COUNTIF(명단표[이름|과],$X760)=1,"명단 일치",IF(AND(COUNTIF(명단표[이름|과],$X760)=0,COUNTIF(명단표[이름],$R760)=1),"명단 일치(이름만, 과 다름)",IF(COUNTIF(명단표[이름],$R760)=0,IF(COUNTIF(기본자료표[이름],$R760)&gt;0,"명단에 없음(기본자료에는 있음)","명단에 없음"),"동명이인 확인"))))</f>
        <v/>
      </c>
      <c r="Z760">
        <f>IF($R760="","",IF($S760&lt;0,"⚠"&amp;INDEX('입력_구리근무자명단'!$A758:$ZZ758,1,$E$2+2),TEXT($S760,"yyyy-mm-dd")))</f>
        <v/>
      </c>
      <c r="AA760">
        <f>IF($R760="","",IF($T760&lt;0,"⚠"&amp;INDEX('입력_구리근무자명단'!$A758:$ZZ758,1,$E$2+3),TEXT($T760,"yyyy-mm-dd")))</f>
        <v/>
      </c>
      <c r="AB760">
        <f>AB759+IF($R760="",0,1)</f>
        <v/>
      </c>
      <c r="AC760">
        <f>IF($R760="","",$AB760)</f>
        <v/>
      </c>
    </row>
    <row r="761">
      <c r="O761">
        <f>759</f>
        <v/>
      </c>
      <c r="P761">
        <f>IF(TRIM('입력_구리근무자명단'!$A759&amp;"")&lt;&gt;"",TRIM('입력_구리근무자명단'!$A759&amp;""),P760)</f>
        <v/>
      </c>
      <c r="Q761">
        <f>'입력_구리근무자명단'!$B759&amp;""</f>
        <v/>
      </c>
      <c r="R761">
        <f>IF($E$2="","",TRIM(INDEX('입력_구리근무자명단'!$A759:$ZZ759,1,$E$2+IF($G$2="확정",1,0))&amp;""))</f>
        <v/>
      </c>
      <c r="S761">
        <f>IF($R761="","",IF(INDEX('입력_구리근무자명단'!$A759:$ZZ759,1,$E$2+2)&amp;""="",급여기준월,IF(ISNUMBER(INDEX('입력_구리근무자명단'!$A759:$ZZ759,1,$E$2+2)),INDEX('입력_구리근무자명단'!$A759:$ZZ759,1,$E$2+2),IFERROR(DATE(VALUE(LEFT(INDEX('입력_구리근무자명단'!$A759:$ZZ759,1,$E$2+2),4)),VALUE(MID(INDEX('입력_구리근무자명단'!$A759:$ZZ759,1,$E$2+2),6,2)),VALUE(MID(INDEX('입력_구리근무자명단'!$A759:$ZZ759,1,$E$2+2),9,2))),-1))))</f>
        <v/>
      </c>
      <c r="T761">
        <f>IF($R761="","",IF(INDEX('입력_구리근무자명단'!$A759:$ZZ759,1,$E$2+3)&amp;""="",EOMONTH(급여기준월,0),IF(ISNUMBER(INDEX('입력_구리근무자명단'!$A759:$ZZ759,1,$E$2+3)),INDEX('입력_구리근무자명단'!$A759:$ZZ759,1,$E$2+3),IFERROR(DATE(VALUE(LEFT(INDEX('입력_구리근무자명단'!$A759:$ZZ759,1,$E$2+3),4)),VALUE(MID(INDEX('입력_구리근무자명단'!$A759:$ZZ759,1,$E$2+3),6,2)),VALUE(MID(INDEX('입력_구리근무자명단'!$A759:$ZZ759,1,$E$2+3),9,2))),-1))))</f>
        <v/>
      </c>
      <c r="U761">
        <f>IF($R761="","",IF(OR($S761&lt;0,$T761&lt;0),0,MAX(0,MIN($T761,EOMONTH(급여기준월,0))-MAX($S761,급여기준월)+1)))</f>
        <v/>
      </c>
      <c r="V761">
        <f>IF($R761="","",TRIM(INDEX('입력_구리근무자명단'!$A759:$ZZ759,1,$E$2+5)&amp;""))</f>
        <v/>
      </c>
      <c r="W761">
        <f>IF(ISNUMBER(SEARCH("구리독자",$V761)),"구리독자","")</f>
        <v/>
      </c>
      <c r="X761">
        <f>IF($R761="","",$R761&amp;"|"&amp;IF(OR($Q761="인턴",ISNUMBER(SEARCH("수련교육부",$P761))),"인턴",$P761))</f>
        <v/>
      </c>
      <c r="Y761">
        <f>IF($R761="","",IF(COUNTIF(명단표[이름|과],$X761)=1,"명단 일치",IF(AND(COUNTIF(명단표[이름|과],$X761)=0,COUNTIF(명단표[이름],$R761)=1),"명단 일치(이름만, 과 다름)",IF(COUNTIF(명단표[이름],$R761)=0,IF(COUNTIF(기본자료표[이름],$R761)&gt;0,"명단에 없음(기본자료에는 있음)","명단에 없음"),"동명이인 확인"))))</f>
        <v/>
      </c>
      <c r="Z761">
        <f>IF($R761="","",IF($S761&lt;0,"⚠"&amp;INDEX('입력_구리근무자명단'!$A759:$ZZ759,1,$E$2+2),TEXT($S761,"yyyy-mm-dd")))</f>
        <v/>
      </c>
      <c r="AA761">
        <f>IF($R761="","",IF($T761&lt;0,"⚠"&amp;INDEX('입력_구리근무자명단'!$A759:$ZZ759,1,$E$2+3),TEXT($T761,"yyyy-mm-dd")))</f>
        <v/>
      </c>
      <c r="AB761">
        <f>AB760+IF($R761="",0,1)</f>
        <v/>
      </c>
      <c r="AC761">
        <f>IF($R761="","",$AB761)</f>
        <v/>
      </c>
    </row>
    <row r="762">
      <c r="O762">
        <f>760</f>
        <v/>
      </c>
      <c r="P762">
        <f>IF(TRIM('입력_구리근무자명단'!$A760&amp;"")&lt;&gt;"",TRIM('입력_구리근무자명단'!$A760&amp;""),P761)</f>
        <v/>
      </c>
      <c r="Q762">
        <f>'입력_구리근무자명단'!$B760&amp;""</f>
        <v/>
      </c>
      <c r="R762">
        <f>IF($E$2="","",TRIM(INDEX('입력_구리근무자명단'!$A760:$ZZ760,1,$E$2+IF($G$2="확정",1,0))&amp;""))</f>
        <v/>
      </c>
      <c r="S762">
        <f>IF($R762="","",IF(INDEX('입력_구리근무자명단'!$A760:$ZZ760,1,$E$2+2)&amp;""="",급여기준월,IF(ISNUMBER(INDEX('입력_구리근무자명단'!$A760:$ZZ760,1,$E$2+2)),INDEX('입력_구리근무자명단'!$A760:$ZZ760,1,$E$2+2),IFERROR(DATE(VALUE(LEFT(INDEX('입력_구리근무자명단'!$A760:$ZZ760,1,$E$2+2),4)),VALUE(MID(INDEX('입력_구리근무자명단'!$A760:$ZZ760,1,$E$2+2),6,2)),VALUE(MID(INDEX('입력_구리근무자명단'!$A760:$ZZ760,1,$E$2+2),9,2))),-1))))</f>
        <v/>
      </c>
      <c r="T762">
        <f>IF($R762="","",IF(INDEX('입력_구리근무자명단'!$A760:$ZZ760,1,$E$2+3)&amp;""="",EOMONTH(급여기준월,0),IF(ISNUMBER(INDEX('입력_구리근무자명단'!$A760:$ZZ760,1,$E$2+3)),INDEX('입력_구리근무자명단'!$A760:$ZZ760,1,$E$2+3),IFERROR(DATE(VALUE(LEFT(INDEX('입력_구리근무자명단'!$A760:$ZZ760,1,$E$2+3),4)),VALUE(MID(INDEX('입력_구리근무자명단'!$A760:$ZZ760,1,$E$2+3),6,2)),VALUE(MID(INDEX('입력_구리근무자명단'!$A760:$ZZ760,1,$E$2+3),9,2))),-1))))</f>
        <v/>
      </c>
      <c r="U762">
        <f>IF($R762="","",IF(OR($S762&lt;0,$T762&lt;0),0,MAX(0,MIN($T762,EOMONTH(급여기준월,0))-MAX($S762,급여기준월)+1)))</f>
        <v/>
      </c>
      <c r="V762">
        <f>IF($R762="","",TRIM(INDEX('입력_구리근무자명단'!$A760:$ZZ760,1,$E$2+5)&amp;""))</f>
        <v/>
      </c>
      <c r="W762">
        <f>IF(ISNUMBER(SEARCH("구리독자",$V762)),"구리독자","")</f>
        <v/>
      </c>
      <c r="X762">
        <f>IF($R762="","",$R762&amp;"|"&amp;IF(OR($Q762="인턴",ISNUMBER(SEARCH("수련교육부",$P762))),"인턴",$P762))</f>
        <v/>
      </c>
      <c r="Y762">
        <f>IF($R762="","",IF(COUNTIF(명단표[이름|과],$X762)=1,"명단 일치",IF(AND(COUNTIF(명단표[이름|과],$X762)=0,COUNTIF(명단표[이름],$R762)=1),"명단 일치(이름만, 과 다름)",IF(COUNTIF(명단표[이름],$R762)=0,IF(COUNTIF(기본자료표[이름],$R762)&gt;0,"명단에 없음(기본자료에는 있음)","명단에 없음"),"동명이인 확인"))))</f>
        <v/>
      </c>
      <c r="Z762">
        <f>IF($R762="","",IF($S762&lt;0,"⚠"&amp;INDEX('입력_구리근무자명단'!$A760:$ZZ760,1,$E$2+2),TEXT($S762,"yyyy-mm-dd")))</f>
        <v/>
      </c>
      <c r="AA762">
        <f>IF($R762="","",IF($T762&lt;0,"⚠"&amp;INDEX('입력_구리근무자명단'!$A760:$ZZ760,1,$E$2+3),TEXT($T762,"yyyy-mm-dd")))</f>
        <v/>
      </c>
      <c r="AB762">
        <f>AB761+IF($R762="",0,1)</f>
        <v/>
      </c>
      <c r="AC762">
        <f>IF($R762="","",$AB762)</f>
        <v/>
      </c>
    </row>
    <row r="763">
      <c r="O763">
        <f>761</f>
        <v/>
      </c>
      <c r="P763">
        <f>IF(TRIM('입력_구리근무자명단'!$A761&amp;"")&lt;&gt;"",TRIM('입력_구리근무자명단'!$A761&amp;""),P762)</f>
        <v/>
      </c>
      <c r="Q763">
        <f>'입력_구리근무자명단'!$B761&amp;""</f>
        <v/>
      </c>
      <c r="R763">
        <f>IF($E$2="","",TRIM(INDEX('입력_구리근무자명단'!$A761:$ZZ761,1,$E$2+IF($G$2="확정",1,0))&amp;""))</f>
        <v/>
      </c>
      <c r="S763">
        <f>IF($R763="","",IF(INDEX('입력_구리근무자명단'!$A761:$ZZ761,1,$E$2+2)&amp;""="",급여기준월,IF(ISNUMBER(INDEX('입력_구리근무자명단'!$A761:$ZZ761,1,$E$2+2)),INDEX('입력_구리근무자명단'!$A761:$ZZ761,1,$E$2+2),IFERROR(DATE(VALUE(LEFT(INDEX('입력_구리근무자명단'!$A761:$ZZ761,1,$E$2+2),4)),VALUE(MID(INDEX('입력_구리근무자명단'!$A761:$ZZ761,1,$E$2+2),6,2)),VALUE(MID(INDEX('입력_구리근무자명단'!$A761:$ZZ761,1,$E$2+2),9,2))),-1))))</f>
        <v/>
      </c>
      <c r="T763">
        <f>IF($R763="","",IF(INDEX('입력_구리근무자명단'!$A761:$ZZ761,1,$E$2+3)&amp;""="",EOMONTH(급여기준월,0),IF(ISNUMBER(INDEX('입력_구리근무자명단'!$A761:$ZZ761,1,$E$2+3)),INDEX('입력_구리근무자명단'!$A761:$ZZ761,1,$E$2+3),IFERROR(DATE(VALUE(LEFT(INDEX('입력_구리근무자명단'!$A761:$ZZ761,1,$E$2+3),4)),VALUE(MID(INDEX('입력_구리근무자명단'!$A761:$ZZ761,1,$E$2+3),6,2)),VALUE(MID(INDEX('입력_구리근무자명단'!$A761:$ZZ761,1,$E$2+3),9,2))),-1))))</f>
        <v/>
      </c>
      <c r="U763">
        <f>IF($R763="","",IF(OR($S763&lt;0,$T763&lt;0),0,MAX(0,MIN($T763,EOMONTH(급여기준월,0))-MAX($S763,급여기준월)+1)))</f>
        <v/>
      </c>
      <c r="V763">
        <f>IF($R763="","",TRIM(INDEX('입력_구리근무자명단'!$A761:$ZZ761,1,$E$2+5)&amp;""))</f>
        <v/>
      </c>
      <c r="W763">
        <f>IF(ISNUMBER(SEARCH("구리독자",$V763)),"구리독자","")</f>
        <v/>
      </c>
      <c r="X763">
        <f>IF($R763="","",$R763&amp;"|"&amp;IF(OR($Q763="인턴",ISNUMBER(SEARCH("수련교육부",$P763))),"인턴",$P763))</f>
        <v/>
      </c>
      <c r="Y763">
        <f>IF($R763="","",IF(COUNTIF(명단표[이름|과],$X763)=1,"명단 일치",IF(AND(COUNTIF(명단표[이름|과],$X763)=0,COUNTIF(명단표[이름],$R763)=1),"명단 일치(이름만, 과 다름)",IF(COUNTIF(명단표[이름],$R763)=0,IF(COUNTIF(기본자료표[이름],$R763)&gt;0,"명단에 없음(기본자료에는 있음)","명단에 없음"),"동명이인 확인"))))</f>
        <v/>
      </c>
      <c r="Z763">
        <f>IF($R763="","",IF($S763&lt;0,"⚠"&amp;INDEX('입력_구리근무자명단'!$A761:$ZZ761,1,$E$2+2),TEXT($S763,"yyyy-mm-dd")))</f>
        <v/>
      </c>
      <c r="AA763">
        <f>IF($R763="","",IF($T763&lt;0,"⚠"&amp;INDEX('입력_구리근무자명단'!$A761:$ZZ761,1,$E$2+3),TEXT($T763,"yyyy-mm-dd")))</f>
        <v/>
      </c>
      <c r="AB763">
        <f>AB762+IF($R763="",0,1)</f>
        <v/>
      </c>
      <c r="AC763">
        <f>IF($R763="","",$AB763)</f>
        <v/>
      </c>
    </row>
    <row r="764">
      <c r="O764">
        <f>762</f>
        <v/>
      </c>
      <c r="P764">
        <f>IF(TRIM('입력_구리근무자명단'!$A762&amp;"")&lt;&gt;"",TRIM('입력_구리근무자명단'!$A762&amp;""),P763)</f>
        <v/>
      </c>
      <c r="Q764">
        <f>'입력_구리근무자명단'!$B762&amp;""</f>
        <v/>
      </c>
      <c r="R764">
        <f>IF($E$2="","",TRIM(INDEX('입력_구리근무자명단'!$A762:$ZZ762,1,$E$2+IF($G$2="확정",1,0))&amp;""))</f>
        <v/>
      </c>
      <c r="S764">
        <f>IF($R764="","",IF(INDEX('입력_구리근무자명단'!$A762:$ZZ762,1,$E$2+2)&amp;""="",급여기준월,IF(ISNUMBER(INDEX('입력_구리근무자명단'!$A762:$ZZ762,1,$E$2+2)),INDEX('입력_구리근무자명단'!$A762:$ZZ762,1,$E$2+2),IFERROR(DATE(VALUE(LEFT(INDEX('입력_구리근무자명단'!$A762:$ZZ762,1,$E$2+2),4)),VALUE(MID(INDEX('입력_구리근무자명단'!$A762:$ZZ762,1,$E$2+2),6,2)),VALUE(MID(INDEX('입력_구리근무자명단'!$A762:$ZZ762,1,$E$2+2),9,2))),-1))))</f>
        <v/>
      </c>
      <c r="T764">
        <f>IF($R764="","",IF(INDEX('입력_구리근무자명단'!$A762:$ZZ762,1,$E$2+3)&amp;""="",EOMONTH(급여기준월,0),IF(ISNUMBER(INDEX('입력_구리근무자명단'!$A762:$ZZ762,1,$E$2+3)),INDEX('입력_구리근무자명단'!$A762:$ZZ762,1,$E$2+3),IFERROR(DATE(VALUE(LEFT(INDEX('입력_구리근무자명단'!$A762:$ZZ762,1,$E$2+3),4)),VALUE(MID(INDEX('입력_구리근무자명단'!$A762:$ZZ762,1,$E$2+3),6,2)),VALUE(MID(INDEX('입력_구리근무자명단'!$A762:$ZZ762,1,$E$2+3),9,2))),-1))))</f>
        <v/>
      </c>
      <c r="U764">
        <f>IF($R764="","",IF(OR($S764&lt;0,$T764&lt;0),0,MAX(0,MIN($T764,EOMONTH(급여기준월,0))-MAX($S764,급여기준월)+1)))</f>
        <v/>
      </c>
      <c r="V764">
        <f>IF($R764="","",TRIM(INDEX('입력_구리근무자명단'!$A762:$ZZ762,1,$E$2+5)&amp;""))</f>
        <v/>
      </c>
      <c r="W764">
        <f>IF(ISNUMBER(SEARCH("구리독자",$V764)),"구리독자","")</f>
        <v/>
      </c>
      <c r="X764">
        <f>IF($R764="","",$R764&amp;"|"&amp;IF(OR($Q764="인턴",ISNUMBER(SEARCH("수련교육부",$P764))),"인턴",$P764))</f>
        <v/>
      </c>
      <c r="Y764">
        <f>IF($R764="","",IF(COUNTIF(명단표[이름|과],$X764)=1,"명단 일치",IF(AND(COUNTIF(명단표[이름|과],$X764)=0,COUNTIF(명단표[이름],$R764)=1),"명단 일치(이름만, 과 다름)",IF(COUNTIF(명단표[이름],$R764)=0,IF(COUNTIF(기본자료표[이름],$R764)&gt;0,"명단에 없음(기본자료에는 있음)","명단에 없음"),"동명이인 확인"))))</f>
        <v/>
      </c>
      <c r="Z764">
        <f>IF($R764="","",IF($S764&lt;0,"⚠"&amp;INDEX('입력_구리근무자명단'!$A762:$ZZ762,1,$E$2+2),TEXT($S764,"yyyy-mm-dd")))</f>
        <v/>
      </c>
      <c r="AA764">
        <f>IF($R764="","",IF($T764&lt;0,"⚠"&amp;INDEX('입력_구리근무자명단'!$A762:$ZZ762,1,$E$2+3),TEXT($T764,"yyyy-mm-dd")))</f>
        <v/>
      </c>
      <c r="AB764">
        <f>AB763+IF($R764="",0,1)</f>
        <v/>
      </c>
      <c r="AC764">
        <f>IF($R764="","",$AB764)</f>
        <v/>
      </c>
    </row>
    <row r="765">
      <c r="O765">
        <f>763</f>
        <v/>
      </c>
      <c r="P765">
        <f>IF(TRIM('입력_구리근무자명단'!$A763&amp;"")&lt;&gt;"",TRIM('입력_구리근무자명단'!$A763&amp;""),P764)</f>
        <v/>
      </c>
      <c r="Q765">
        <f>'입력_구리근무자명단'!$B763&amp;""</f>
        <v/>
      </c>
      <c r="R765">
        <f>IF($E$2="","",TRIM(INDEX('입력_구리근무자명단'!$A763:$ZZ763,1,$E$2+IF($G$2="확정",1,0))&amp;""))</f>
        <v/>
      </c>
      <c r="S765">
        <f>IF($R765="","",IF(INDEX('입력_구리근무자명단'!$A763:$ZZ763,1,$E$2+2)&amp;""="",급여기준월,IF(ISNUMBER(INDEX('입력_구리근무자명단'!$A763:$ZZ763,1,$E$2+2)),INDEX('입력_구리근무자명단'!$A763:$ZZ763,1,$E$2+2),IFERROR(DATE(VALUE(LEFT(INDEX('입력_구리근무자명단'!$A763:$ZZ763,1,$E$2+2),4)),VALUE(MID(INDEX('입력_구리근무자명단'!$A763:$ZZ763,1,$E$2+2),6,2)),VALUE(MID(INDEX('입력_구리근무자명단'!$A763:$ZZ763,1,$E$2+2),9,2))),-1))))</f>
        <v/>
      </c>
      <c r="T765">
        <f>IF($R765="","",IF(INDEX('입력_구리근무자명단'!$A763:$ZZ763,1,$E$2+3)&amp;""="",EOMONTH(급여기준월,0),IF(ISNUMBER(INDEX('입력_구리근무자명단'!$A763:$ZZ763,1,$E$2+3)),INDEX('입력_구리근무자명단'!$A763:$ZZ763,1,$E$2+3),IFERROR(DATE(VALUE(LEFT(INDEX('입력_구리근무자명단'!$A763:$ZZ763,1,$E$2+3),4)),VALUE(MID(INDEX('입력_구리근무자명단'!$A763:$ZZ763,1,$E$2+3),6,2)),VALUE(MID(INDEX('입력_구리근무자명단'!$A763:$ZZ763,1,$E$2+3),9,2))),-1))))</f>
        <v/>
      </c>
      <c r="U765">
        <f>IF($R765="","",IF(OR($S765&lt;0,$T765&lt;0),0,MAX(0,MIN($T765,EOMONTH(급여기준월,0))-MAX($S765,급여기준월)+1)))</f>
        <v/>
      </c>
      <c r="V765">
        <f>IF($R765="","",TRIM(INDEX('입력_구리근무자명단'!$A763:$ZZ763,1,$E$2+5)&amp;""))</f>
        <v/>
      </c>
      <c r="W765">
        <f>IF(ISNUMBER(SEARCH("구리독자",$V765)),"구리독자","")</f>
        <v/>
      </c>
      <c r="X765">
        <f>IF($R765="","",$R765&amp;"|"&amp;IF(OR($Q765="인턴",ISNUMBER(SEARCH("수련교육부",$P765))),"인턴",$P765))</f>
        <v/>
      </c>
      <c r="Y765">
        <f>IF($R765="","",IF(COUNTIF(명단표[이름|과],$X765)=1,"명단 일치",IF(AND(COUNTIF(명단표[이름|과],$X765)=0,COUNTIF(명단표[이름],$R765)=1),"명단 일치(이름만, 과 다름)",IF(COUNTIF(명단표[이름],$R765)=0,IF(COUNTIF(기본자료표[이름],$R765)&gt;0,"명단에 없음(기본자료에는 있음)","명단에 없음"),"동명이인 확인"))))</f>
        <v/>
      </c>
      <c r="Z765">
        <f>IF($R765="","",IF($S765&lt;0,"⚠"&amp;INDEX('입력_구리근무자명단'!$A763:$ZZ763,1,$E$2+2),TEXT($S765,"yyyy-mm-dd")))</f>
        <v/>
      </c>
      <c r="AA765">
        <f>IF($R765="","",IF($T765&lt;0,"⚠"&amp;INDEX('입력_구리근무자명단'!$A763:$ZZ763,1,$E$2+3),TEXT($T765,"yyyy-mm-dd")))</f>
        <v/>
      </c>
      <c r="AB765">
        <f>AB764+IF($R765="",0,1)</f>
        <v/>
      </c>
      <c r="AC765">
        <f>IF($R765="","",$AB765)</f>
        <v/>
      </c>
    </row>
    <row r="766">
      <c r="O766">
        <f>764</f>
        <v/>
      </c>
      <c r="P766">
        <f>IF(TRIM('입력_구리근무자명단'!$A764&amp;"")&lt;&gt;"",TRIM('입력_구리근무자명단'!$A764&amp;""),P765)</f>
        <v/>
      </c>
      <c r="Q766">
        <f>'입력_구리근무자명단'!$B764&amp;""</f>
        <v/>
      </c>
      <c r="R766">
        <f>IF($E$2="","",TRIM(INDEX('입력_구리근무자명단'!$A764:$ZZ764,1,$E$2+IF($G$2="확정",1,0))&amp;""))</f>
        <v/>
      </c>
      <c r="S766">
        <f>IF($R766="","",IF(INDEX('입력_구리근무자명단'!$A764:$ZZ764,1,$E$2+2)&amp;""="",급여기준월,IF(ISNUMBER(INDEX('입력_구리근무자명단'!$A764:$ZZ764,1,$E$2+2)),INDEX('입력_구리근무자명단'!$A764:$ZZ764,1,$E$2+2),IFERROR(DATE(VALUE(LEFT(INDEX('입력_구리근무자명단'!$A764:$ZZ764,1,$E$2+2),4)),VALUE(MID(INDEX('입력_구리근무자명단'!$A764:$ZZ764,1,$E$2+2),6,2)),VALUE(MID(INDEX('입력_구리근무자명단'!$A764:$ZZ764,1,$E$2+2),9,2))),-1))))</f>
        <v/>
      </c>
      <c r="T766">
        <f>IF($R766="","",IF(INDEX('입력_구리근무자명단'!$A764:$ZZ764,1,$E$2+3)&amp;""="",EOMONTH(급여기준월,0),IF(ISNUMBER(INDEX('입력_구리근무자명단'!$A764:$ZZ764,1,$E$2+3)),INDEX('입력_구리근무자명단'!$A764:$ZZ764,1,$E$2+3),IFERROR(DATE(VALUE(LEFT(INDEX('입력_구리근무자명단'!$A764:$ZZ764,1,$E$2+3),4)),VALUE(MID(INDEX('입력_구리근무자명단'!$A764:$ZZ764,1,$E$2+3),6,2)),VALUE(MID(INDEX('입력_구리근무자명단'!$A764:$ZZ764,1,$E$2+3),9,2))),-1))))</f>
        <v/>
      </c>
      <c r="U766">
        <f>IF($R766="","",IF(OR($S766&lt;0,$T766&lt;0),0,MAX(0,MIN($T766,EOMONTH(급여기준월,0))-MAX($S766,급여기준월)+1)))</f>
        <v/>
      </c>
      <c r="V766">
        <f>IF($R766="","",TRIM(INDEX('입력_구리근무자명단'!$A764:$ZZ764,1,$E$2+5)&amp;""))</f>
        <v/>
      </c>
      <c r="W766">
        <f>IF(ISNUMBER(SEARCH("구리독자",$V766)),"구리독자","")</f>
        <v/>
      </c>
      <c r="X766">
        <f>IF($R766="","",$R766&amp;"|"&amp;IF(OR($Q766="인턴",ISNUMBER(SEARCH("수련교육부",$P766))),"인턴",$P766))</f>
        <v/>
      </c>
      <c r="Y766">
        <f>IF($R766="","",IF(COUNTIF(명단표[이름|과],$X766)=1,"명단 일치",IF(AND(COUNTIF(명단표[이름|과],$X766)=0,COUNTIF(명단표[이름],$R766)=1),"명단 일치(이름만, 과 다름)",IF(COUNTIF(명단표[이름],$R766)=0,IF(COUNTIF(기본자료표[이름],$R766)&gt;0,"명단에 없음(기본자료에는 있음)","명단에 없음"),"동명이인 확인"))))</f>
        <v/>
      </c>
      <c r="Z766">
        <f>IF($R766="","",IF($S766&lt;0,"⚠"&amp;INDEX('입력_구리근무자명단'!$A764:$ZZ764,1,$E$2+2),TEXT($S766,"yyyy-mm-dd")))</f>
        <v/>
      </c>
      <c r="AA766">
        <f>IF($R766="","",IF($T766&lt;0,"⚠"&amp;INDEX('입력_구리근무자명단'!$A764:$ZZ764,1,$E$2+3),TEXT($T766,"yyyy-mm-dd")))</f>
        <v/>
      </c>
      <c r="AB766">
        <f>AB765+IF($R766="",0,1)</f>
        <v/>
      </c>
      <c r="AC766">
        <f>IF($R766="","",$AB766)</f>
        <v/>
      </c>
    </row>
    <row r="767">
      <c r="O767">
        <f>765</f>
        <v/>
      </c>
      <c r="P767">
        <f>IF(TRIM('입력_구리근무자명단'!$A765&amp;"")&lt;&gt;"",TRIM('입력_구리근무자명단'!$A765&amp;""),P766)</f>
        <v/>
      </c>
      <c r="Q767">
        <f>'입력_구리근무자명단'!$B765&amp;""</f>
        <v/>
      </c>
      <c r="R767">
        <f>IF($E$2="","",TRIM(INDEX('입력_구리근무자명단'!$A765:$ZZ765,1,$E$2+IF($G$2="확정",1,0))&amp;""))</f>
        <v/>
      </c>
      <c r="S767">
        <f>IF($R767="","",IF(INDEX('입력_구리근무자명단'!$A765:$ZZ765,1,$E$2+2)&amp;""="",급여기준월,IF(ISNUMBER(INDEX('입력_구리근무자명단'!$A765:$ZZ765,1,$E$2+2)),INDEX('입력_구리근무자명단'!$A765:$ZZ765,1,$E$2+2),IFERROR(DATE(VALUE(LEFT(INDEX('입력_구리근무자명단'!$A765:$ZZ765,1,$E$2+2),4)),VALUE(MID(INDEX('입력_구리근무자명단'!$A765:$ZZ765,1,$E$2+2),6,2)),VALUE(MID(INDEX('입력_구리근무자명단'!$A765:$ZZ765,1,$E$2+2),9,2))),-1))))</f>
        <v/>
      </c>
      <c r="T767">
        <f>IF($R767="","",IF(INDEX('입력_구리근무자명단'!$A765:$ZZ765,1,$E$2+3)&amp;""="",EOMONTH(급여기준월,0),IF(ISNUMBER(INDEX('입력_구리근무자명단'!$A765:$ZZ765,1,$E$2+3)),INDEX('입력_구리근무자명단'!$A765:$ZZ765,1,$E$2+3),IFERROR(DATE(VALUE(LEFT(INDEX('입력_구리근무자명단'!$A765:$ZZ765,1,$E$2+3),4)),VALUE(MID(INDEX('입력_구리근무자명단'!$A765:$ZZ765,1,$E$2+3),6,2)),VALUE(MID(INDEX('입력_구리근무자명단'!$A765:$ZZ765,1,$E$2+3),9,2))),-1))))</f>
        <v/>
      </c>
      <c r="U767">
        <f>IF($R767="","",IF(OR($S767&lt;0,$T767&lt;0),0,MAX(0,MIN($T767,EOMONTH(급여기준월,0))-MAX($S767,급여기준월)+1)))</f>
        <v/>
      </c>
      <c r="V767">
        <f>IF($R767="","",TRIM(INDEX('입력_구리근무자명단'!$A765:$ZZ765,1,$E$2+5)&amp;""))</f>
        <v/>
      </c>
      <c r="W767">
        <f>IF(ISNUMBER(SEARCH("구리독자",$V767)),"구리독자","")</f>
        <v/>
      </c>
      <c r="X767">
        <f>IF($R767="","",$R767&amp;"|"&amp;IF(OR($Q767="인턴",ISNUMBER(SEARCH("수련교육부",$P767))),"인턴",$P767))</f>
        <v/>
      </c>
      <c r="Y767">
        <f>IF($R767="","",IF(COUNTIF(명단표[이름|과],$X767)=1,"명단 일치",IF(AND(COUNTIF(명단표[이름|과],$X767)=0,COUNTIF(명단표[이름],$R767)=1),"명단 일치(이름만, 과 다름)",IF(COUNTIF(명단표[이름],$R767)=0,IF(COUNTIF(기본자료표[이름],$R767)&gt;0,"명단에 없음(기본자료에는 있음)","명단에 없음"),"동명이인 확인"))))</f>
        <v/>
      </c>
      <c r="Z767">
        <f>IF($R767="","",IF($S767&lt;0,"⚠"&amp;INDEX('입력_구리근무자명단'!$A765:$ZZ765,1,$E$2+2),TEXT($S767,"yyyy-mm-dd")))</f>
        <v/>
      </c>
      <c r="AA767">
        <f>IF($R767="","",IF($T767&lt;0,"⚠"&amp;INDEX('입력_구리근무자명단'!$A765:$ZZ765,1,$E$2+3),TEXT($T767,"yyyy-mm-dd")))</f>
        <v/>
      </c>
      <c r="AB767">
        <f>AB766+IF($R767="",0,1)</f>
        <v/>
      </c>
      <c r="AC767">
        <f>IF($R767="","",$AB767)</f>
        <v/>
      </c>
    </row>
    <row r="768">
      <c r="O768">
        <f>766</f>
        <v/>
      </c>
      <c r="P768">
        <f>IF(TRIM('입력_구리근무자명단'!$A766&amp;"")&lt;&gt;"",TRIM('입력_구리근무자명단'!$A766&amp;""),P767)</f>
        <v/>
      </c>
      <c r="Q768">
        <f>'입력_구리근무자명단'!$B766&amp;""</f>
        <v/>
      </c>
      <c r="R768">
        <f>IF($E$2="","",TRIM(INDEX('입력_구리근무자명단'!$A766:$ZZ766,1,$E$2+IF($G$2="확정",1,0))&amp;""))</f>
        <v/>
      </c>
      <c r="S768">
        <f>IF($R768="","",IF(INDEX('입력_구리근무자명단'!$A766:$ZZ766,1,$E$2+2)&amp;""="",급여기준월,IF(ISNUMBER(INDEX('입력_구리근무자명단'!$A766:$ZZ766,1,$E$2+2)),INDEX('입력_구리근무자명단'!$A766:$ZZ766,1,$E$2+2),IFERROR(DATE(VALUE(LEFT(INDEX('입력_구리근무자명단'!$A766:$ZZ766,1,$E$2+2),4)),VALUE(MID(INDEX('입력_구리근무자명단'!$A766:$ZZ766,1,$E$2+2),6,2)),VALUE(MID(INDEX('입력_구리근무자명단'!$A766:$ZZ766,1,$E$2+2),9,2))),-1))))</f>
        <v/>
      </c>
      <c r="T768">
        <f>IF($R768="","",IF(INDEX('입력_구리근무자명단'!$A766:$ZZ766,1,$E$2+3)&amp;""="",EOMONTH(급여기준월,0),IF(ISNUMBER(INDEX('입력_구리근무자명단'!$A766:$ZZ766,1,$E$2+3)),INDEX('입력_구리근무자명단'!$A766:$ZZ766,1,$E$2+3),IFERROR(DATE(VALUE(LEFT(INDEX('입력_구리근무자명단'!$A766:$ZZ766,1,$E$2+3),4)),VALUE(MID(INDEX('입력_구리근무자명단'!$A766:$ZZ766,1,$E$2+3),6,2)),VALUE(MID(INDEX('입력_구리근무자명단'!$A766:$ZZ766,1,$E$2+3),9,2))),-1))))</f>
        <v/>
      </c>
      <c r="U768">
        <f>IF($R768="","",IF(OR($S768&lt;0,$T768&lt;0),0,MAX(0,MIN($T768,EOMONTH(급여기준월,0))-MAX($S768,급여기준월)+1)))</f>
        <v/>
      </c>
      <c r="V768">
        <f>IF($R768="","",TRIM(INDEX('입력_구리근무자명단'!$A766:$ZZ766,1,$E$2+5)&amp;""))</f>
        <v/>
      </c>
      <c r="W768">
        <f>IF(ISNUMBER(SEARCH("구리독자",$V768)),"구리독자","")</f>
        <v/>
      </c>
      <c r="X768">
        <f>IF($R768="","",$R768&amp;"|"&amp;IF(OR($Q768="인턴",ISNUMBER(SEARCH("수련교육부",$P768))),"인턴",$P768))</f>
        <v/>
      </c>
      <c r="Y768">
        <f>IF($R768="","",IF(COUNTIF(명단표[이름|과],$X768)=1,"명단 일치",IF(AND(COUNTIF(명단표[이름|과],$X768)=0,COUNTIF(명단표[이름],$R768)=1),"명단 일치(이름만, 과 다름)",IF(COUNTIF(명단표[이름],$R768)=0,IF(COUNTIF(기본자료표[이름],$R768)&gt;0,"명단에 없음(기본자료에는 있음)","명단에 없음"),"동명이인 확인"))))</f>
        <v/>
      </c>
      <c r="Z768">
        <f>IF($R768="","",IF($S768&lt;0,"⚠"&amp;INDEX('입력_구리근무자명단'!$A766:$ZZ766,1,$E$2+2),TEXT($S768,"yyyy-mm-dd")))</f>
        <v/>
      </c>
      <c r="AA768">
        <f>IF($R768="","",IF($T768&lt;0,"⚠"&amp;INDEX('입력_구리근무자명단'!$A766:$ZZ766,1,$E$2+3),TEXT($T768,"yyyy-mm-dd")))</f>
        <v/>
      </c>
      <c r="AB768">
        <f>AB767+IF($R768="",0,1)</f>
        <v/>
      </c>
      <c r="AC768">
        <f>IF($R768="","",$AB768)</f>
        <v/>
      </c>
    </row>
    <row r="769">
      <c r="O769">
        <f>767</f>
        <v/>
      </c>
      <c r="P769">
        <f>IF(TRIM('입력_구리근무자명단'!$A767&amp;"")&lt;&gt;"",TRIM('입력_구리근무자명단'!$A767&amp;""),P768)</f>
        <v/>
      </c>
      <c r="Q769">
        <f>'입력_구리근무자명단'!$B767&amp;""</f>
        <v/>
      </c>
      <c r="R769">
        <f>IF($E$2="","",TRIM(INDEX('입력_구리근무자명단'!$A767:$ZZ767,1,$E$2+IF($G$2="확정",1,0))&amp;""))</f>
        <v/>
      </c>
      <c r="S769">
        <f>IF($R769="","",IF(INDEX('입력_구리근무자명단'!$A767:$ZZ767,1,$E$2+2)&amp;""="",급여기준월,IF(ISNUMBER(INDEX('입력_구리근무자명단'!$A767:$ZZ767,1,$E$2+2)),INDEX('입력_구리근무자명단'!$A767:$ZZ767,1,$E$2+2),IFERROR(DATE(VALUE(LEFT(INDEX('입력_구리근무자명단'!$A767:$ZZ767,1,$E$2+2),4)),VALUE(MID(INDEX('입력_구리근무자명단'!$A767:$ZZ767,1,$E$2+2),6,2)),VALUE(MID(INDEX('입력_구리근무자명단'!$A767:$ZZ767,1,$E$2+2),9,2))),-1))))</f>
        <v/>
      </c>
      <c r="T769">
        <f>IF($R769="","",IF(INDEX('입력_구리근무자명단'!$A767:$ZZ767,1,$E$2+3)&amp;""="",EOMONTH(급여기준월,0),IF(ISNUMBER(INDEX('입력_구리근무자명단'!$A767:$ZZ767,1,$E$2+3)),INDEX('입력_구리근무자명단'!$A767:$ZZ767,1,$E$2+3),IFERROR(DATE(VALUE(LEFT(INDEX('입력_구리근무자명단'!$A767:$ZZ767,1,$E$2+3),4)),VALUE(MID(INDEX('입력_구리근무자명단'!$A767:$ZZ767,1,$E$2+3),6,2)),VALUE(MID(INDEX('입력_구리근무자명단'!$A767:$ZZ767,1,$E$2+3),9,2))),-1))))</f>
        <v/>
      </c>
      <c r="U769">
        <f>IF($R769="","",IF(OR($S769&lt;0,$T769&lt;0),0,MAX(0,MIN($T769,EOMONTH(급여기준월,0))-MAX($S769,급여기준월)+1)))</f>
        <v/>
      </c>
      <c r="V769">
        <f>IF($R769="","",TRIM(INDEX('입력_구리근무자명단'!$A767:$ZZ767,1,$E$2+5)&amp;""))</f>
        <v/>
      </c>
      <c r="W769">
        <f>IF(ISNUMBER(SEARCH("구리독자",$V769)),"구리독자","")</f>
        <v/>
      </c>
      <c r="X769">
        <f>IF($R769="","",$R769&amp;"|"&amp;IF(OR($Q769="인턴",ISNUMBER(SEARCH("수련교육부",$P769))),"인턴",$P769))</f>
        <v/>
      </c>
      <c r="Y769">
        <f>IF($R769="","",IF(COUNTIF(명단표[이름|과],$X769)=1,"명단 일치",IF(AND(COUNTIF(명단표[이름|과],$X769)=0,COUNTIF(명단표[이름],$R769)=1),"명단 일치(이름만, 과 다름)",IF(COUNTIF(명단표[이름],$R769)=0,IF(COUNTIF(기본자료표[이름],$R769)&gt;0,"명단에 없음(기본자료에는 있음)","명단에 없음"),"동명이인 확인"))))</f>
        <v/>
      </c>
      <c r="Z769">
        <f>IF($R769="","",IF($S769&lt;0,"⚠"&amp;INDEX('입력_구리근무자명단'!$A767:$ZZ767,1,$E$2+2),TEXT($S769,"yyyy-mm-dd")))</f>
        <v/>
      </c>
      <c r="AA769">
        <f>IF($R769="","",IF($T769&lt;0,"⚠"&amp;INDEX('입력_구리근무자명단'!$A767:$ZZ767,1,$E$2+3),TEXT($T769,"yyyy-mm-dd")))</f>
        <v/>
      </c>
      <c r="AB769">
        <f>AB768+IF($R769="",0,1)</f>
        <v/>
      </c>
      <c r="AC769">
        <f>IF($R769="","",$AB769)</f>
        <v/>
      </c>
    </row>
    <row r="770">
      <c r="O770">
        <f>768</f>
        <v/>
      </c>
      <c r="P770">
        <f>IF(TRIM('입력_구리근무자명단'!$A768&amp;"")&lt;&gt;"",TRIM('입력_구리근무자명단'!$A768&amp;""),P769)</f>
        <v/>
      </c>
      <c r="Q770">
        <f>'입력_구리근무자명단'!$B768&amp;""</f>
        <v/>
      </c>
      <c r="R770">
        <f>IF($E$2="","",TRIM(INDEX('입력_구리근무자명단'!$A768:$ZZ768,1,$E$2+IF($G$2="확정",1,0))&amp;""))</f>
        <v/>
      </c>
      <c r="S770">
        <f>IF($R770="","",IF(INDEX('입력_구리근무자명단'!$A768:$ZZ768,1,$E$2+2)&amp;""="",급여기준월,IF(ISNUMBER(INDEX('입력_구리근무자명단'!$A768:$ZZ768,1,$E$2+2)),INDEX('입력_구리근무자명단'!$A768:$ZZ768,1,$E$2+2),IFERROR(DATE(VALUE(LEFT(INDEX('입력_구리근무자명단'!$A768:$ZZ768,1,$E$2+2),4)),VALUE(MID(INDEX('입력_구리근무자명단'!$A768:$ZZ768,1,$E$2+2),6,2)),VALUE(MID(INDEX('입력_구리근무자명단'!$A768:$ZZ768,1,$E$2+2),9,2))),-1))))</f>
        <v/>
      </c>
      <c r="T770">
        <f>IF($R770="","",IF(INDEX('입력_구리근무자명단'!$A768:$ZZ768,1,$E$2+3)&amp;""="",EOMONTH(급여기준월,0),IF(ISNUMBER(INDEX('입력_구리근무자명단'!$A768:$ZZ768,1,$E$2+3)),INDEX('입력_구리근무자명단'!$A768:$ZZ768,1,$E$2+3),IFERROR(DATE(VALUE(LEFT(INDEX('입력_구리근무자명단'!$A768:$ZZ768,1,$E$2+3),4)),VALUE(MID(INDEX('입력_구리근무자명단'!$A768:$ZZ768,1,$E$2+3),6,2)),VALUE(MID(INDEX('입력_구리근무자명단'!$A768:$ZZ768,1,$E$2+3),9,2))),-1))))</f>
        <v/>
      </c>
      <c r="U770">
        <f>IF($R770="","",IF(OR($S770&lt;0,$T770&lt;0),0,MAX(0,MIN($T770,EOMONTH(급여기준월,0))-MAX($S770,급여기준월)+1)))</f>
        <v/>
      </c>
      <c r="V770">
        <f>IF($R770="","",TRIM(INDEX('입력_구리근무자명단'!$A768:$ZZ768,1,$E$2+5)&amp;""))</f>
        <v/>
      </c>
      <c r="W770">
        <f>IF(ISNUMBER(SEARCH("구리독자",$V770)),"구리독자","")</f>
        <v/>
      </c>
      <c r="X770">
        <f>IF($R770="","",$R770&amp;"|"&amp;IF(OR($Q770="인턴",ISNUMBER(SEARCH("수련교육부",$P770))),"인턴",$P770))</f>
        <v/>
      </c>
      <c r="Y770">
        <f>IF($R770="","",IF(COUNTIF(명단표[이름|과],$X770)=1,"명단 일치",IF(AND(COUNTIF(명단표[이름|과],$X770)=0,COUNTIF(명단표[이름],$R770)=1),"명단 일치(이름만, 과 다름)",IF(COUNTIF(명단표[이름],$R770)=0,IF(COUNTIF(기본자료표[이름],$R770)&gt;0,"명단에 없음(기본자료에는 있음)","명단에 없음"),"동명이인 확인"))))</f>
        <v/>
      </c>
      <c r="Z770">
        <f>IF($R770="","",IF($S770&lt;0,"⚠"&amp;INDEX('입력_구리근무자명단'!$A768:$ZZ768,1,$E$2+2),TEXT($S770,"yyyy-mm-dd")))</f>
        <v/>
      </c>
      <c r="AA770">
        <f>IF($R770="","",IF($T770&lt;0,"⚠"&amp;INDEX('입력_구리근무자명단'!$A768:$ZZ768,1,$E$2+3),TEXT($T770,"yyyy-mm-dd")))</f>
        <v/>
      </c>
      <c r="AB770">
        <f>AB769+IF($R770="",0,1)</f>
        <v/>
      </c>
      <c r="AC770">
        <f>IF($R770="","",$AB770)</f>
        <v/>
      </c>
    </row>
    <row r="771">
      <c r="O771">
        <f>769</f>
        <v/>
      </c>
      <c r="P771">
        <f>IF(TRIM('입력_구리근무자명단'!$A769&amp;"")&lt;&gt;"",TRIM('입력_구리근무자명단'!$A769&amp;""),P770)</f>
        <v/>
      </c>
      <c r="Q771">
        <f>'입력_구리근무자명단'!$B769&amp;""</f>
        <v/>
      </c>
      <c r="R771">
        <f>IF($E$2="","",TRIM(INDEX('입력_구리근무자명단'!$A769:$ZZ769,1,$E$2+IF($G$2="확정",1,0))&amp;""))</f>
        <v/>
      </c>
      <c r="S771">
        <f>IF($R771="","",IF(INDEX('입력_구리근무자명단'!$A769:$ZZ769,1,$E$2+2)&amp;""="",급여기준월,IF(ISNUMBER(INDEX('입력_구리근무자명단'!$A769:$ZZ769,1,$E$2+2)),INDEX('입력_구리근무자명단'!$A769:$ZZ769,1,$E$2+2),IFERROR(DATE(VALUE(LEFT(INDEX('입력_구리근무자명단'!$A769:$ZZ769,1,$E$2+2),4)),VALUE(MID(INDEX('입력_구리근무자명단'!$A769:$ZZ769,1,$E$2+2),6,2)),VALUE(MID(INDEX('입력_구리근무자명단'!$A769:$ZZ769,1,$E$2+2),9,2))),-1))))</f>
        <v/>
      </c>
      <c r="T771">
        <f>IF($R771="","",IF(INDEX('입력_구리근무자명단'!$A769:$ZZ769,1,$E$2+3)&amp;""="",EOMONTH(급여기준월,0),IF(ISNUMBER(INDEX('입력_구리근무자명단'!$A769:$ZZ769,1,$E$2+3)),INDEX('입력_구리근무자명단'!$A769:$ZZ769,1,$E$2+3),IFERROR(DATE(VALUE(LEFT(INDEX('입력_구리근무자명단'!$A769:$ZZ769,1,$E$2+3),4)),VALUE(MID(INDEX('입력_구리근무자명단'!$A769:$ZZ769,1,$E$2+3),6,2)),VALUE(MID(INDEX('입력_구리근무자명단'!$A769:$ZZ769,1,$E$2+3),9,2))),-1))))</f>
        <v/>
      </c>
      <c r="U771">
        <f>IF($R771="","",IF(OR($S771&lt;0,$T771&lt;0),0,MAX(0,MIN($T771,EOMONTH(급여기준월,0))-MAX($S771,급여기준월)+1)))</f>
        <v/>
      </c>
      <c r="V771">
        <f>IF($R771="","",TRIM(INDEX('입력_구리근무자명단'!$A769:$ZZ769,1,$E$2+5)&amp;""))</f>
        <v/>
      </c>
      <c r="W771">
        <f>IF(ISNUMBER(SEARCH("구리독자",$V771)),"구리독자","")</f>
        <v/>
      </c>
      <c r="X771">
        <f>IF($R771="","",$R771&amp;"|"&amp;IF(OR($Q771="인턴",ISNUMBER(SEARCH("수련교육부",$P771))),"인턴",$P771))</f>
        <v/>
      </c>
      <c r="Y771">
        <f>IF($R771="","",IF(COUNTIF(명단표[이름|과],$X771)=1,"명단 일치",IF(AND(COUNTIF(명단표[이름|과],$X771)=0,COUNTIF(명단표[이름],$R771)=1),"명단 일치(이름만, 과 다름)",IF(COUNTIF(명단표[이름],$R771)=0,IF(COUNTIF(기본자료표[이름],$R771)&gt;0,"명단에 없음(기본자료에는 있음)","명단에 없음"),"동명이인 확인"))))</f>
        <v/>
      </c>
      <c r="Z771">
        <f>IF($R771="","",IF($S771&lt;0,"⚠"&amp;INDEX('입력_구리근무자명단'!$A769:$ZZ769,1,$E$2+2),TEXT($S771,"yyyy-mm-dd")))</f>
        <v/>
      </c>
      <c r="AA771">
        <f>IF($R771="","",IF($T771&lt;0,"⚠"&amp;INDEX('입력_구리근무자명단'!$A769:$ZZ769,1,$E$2+3),TEXT($T771,"yyyy-mm-dd")))</f>
        <v/>
      </c>
      <c r="AB771">
        <f>AB770+IF($R771="",0,1)</f>
        <v/>
      </c>
      <c r="AC771">
        <f>IF($R771="","",$AB771)</f>
        <v/>
      </c>
    </row>
    <row r="772">
      <c r="O772">
        <f>770</f>
        <v/>
      </c>
      <c r="P772">
        <f>IF(TRIM('입력_구리근무자명단'!$A770&amp;"")&lt;&gt;"",TRIM('입력_구리근무자명단'!$A770&amp;""),P771)</f>
        <v/>
      </c>
      <c r="Q772">
        <f>'입력_구리근무자명단'!$B770&amp;""</f>
        <v/>
      </c>
      <c r="R772">
        <f>IF($E$2="","",TRIM(INDEX('입력_구리근무자명단'!$A770:$ZZ770,1,$E$2+IF($G$2="확정",1,0))&amp;""))</f>
        <v/>
      </c>
      <c r="S772">
        <f>IF($R772="","",IF(INDEX('입력_구리근무자명단'!$A770:$ZZ770,1,$E$2+2)&amp;""="",급여기준월,IF(ISNUMBER(INDEX('입력_구리근무자명단'!$A770:$ZZ770,1,$E$2+2)),INDEX('입력_구리근무자명단'!$A770:$ZZ770,1,$E$2+2),IFERROR(DATE(VALUE(LEFT(INDEX('입력_구리근무자명단'!$A770:$ZZ770,1,$E$2+2),4)),VALUE(MID(INDEX('입력_구리근무자명단'!$A770:$ZZ770,1,$E$2+2),6,2)),VALUE(MID(INDEX('입력_구리근무자명단'!$A770:$ZZ770,1,$E$2+2),9,2))),-1))))</f>
        <v/>
      </c>
      <c r="T772">
        <f>IF($R772="","",IF(INDEX('입력_구리근무자명단'!$A770:$ZZ770,1,$E$2+3)&amp;""="",EOMONTH(급여기준월,0),IF(ISNUMBER(INDEX('입력_구리근무자명단'!$A770:$ZZ770,1,$E$2+3)),INDEX('입력_구리근무자명단'!$A770:$ZZ770,1,$E$2+3),IFERROR(DATE(VALUE(LEFT(INDEX('입력_구리근무자명단'!$A770:$ZZ770,1,$E$2+3),4)),VALUE(MID(INDEX('입력_구리근무자명단'!$A770:$ZZ770,1,$E$2+3),6,2)),VALUE(MID(INDEX('입력_구리근무자명단'!$A770:$ZZ770,1,$E$2+3),9,2))),-1))))</f>
        <v/>
      </c>
      <c r="U772">
        <f>IF($R772="","",IF(OR($S772&lt;0,$T772&lt;0),0,MAX(0,MIN($T772,EOMONTH(급여기준월,0))-MAX($S772,급여기준월)+1)))</f>
        <v/>
      </c>
      <c r="V772">
        <f>IF($R772="","",TRIM(INDEX('입력_구리근무자명단'!$A770:$ZZ770,1,$E$2+5)&amp;""))</f>
        <v/>
      </c>
      <c r="W772">
        <f>IF(ISNUMBER(SEARCH("구리독자",$V772)),"구리독자","")</f>
        <v/>
      </c>
      <c r="X772">
        <f>IF($R772="","",$R772&amp;"|"&amp;IF(OR($Q772="인턴",ISNUMBER(SEARCH("수련교육부",$P772))),"인턴",$P772))</f>
        <v/>
      </c>
      <c r="Y772">
        <f>IF($R772="","",IF(COUNTIF(명단표[이름|과],$X772)=1,"명단 일치",IF(AND(COUNTIF(명단표[이름|과],$X772)=0,COUNTIF(명단표[이름],$R772)=1),"명단 일치(이름만, 과 다름)",IF(COUNTIF(명단표[이름],$R772)=0,IF(COUNTIF(기본자료표[이름],$R772)&gt;0,"명단에 없음(기본자료에는 있음)","명단에 없음"),"동명이인 확인"))))</f>
        <v/>
      </c>
      <c r="Z772">
        <f>IF($R772="","",IF($S772&lt;0,"⚠"&amp;INDEX('입력_구리근무자명단'!$A770:$ZZ770,1,$E$2+2),TEXT($S772,"yyyy-mm-dd")))</f>
        <v/>
      </c>
      <c r="AA772">
        <f>IF($R772="","",IF($T772&lt;0,"⚠"&amp;INDEX('입력_구리근무자명단'!$A770:$ZZ770,1,$E$2+3),TEXT($T772,"yyyy-mm-dd")))</f>
        <v/>
      </c>
      <c r="AB772">
        <f>AB771+IF($R772="",0,1)</f>
        <v/>
      </c>
      <c r="AC772">
        <f>IF($R772="","",$AB772)</f>
        <v/>
      </c>
    </row>
    <row r="773">
      <c r="O773">
        <f>771</f>
        <v/>
      </c>
      <c r="P773">
        <f>IF(TRIM('입력_구리근무자명단'!$A771&amp;"")&lt;&gt;"",TRIM('입력_구리근무자명단'!$A771&amp;""),P772)</f>
        <v/>
      </c>
      <c r="Q773">
        <f>'입력_구리근무자명단'!$B771&amp;""</f>
        <v/>
      </c>
      <c r="R773">
        <f>IF($E$2="","",TRIM(INDEX('입력_구리근무자명단'!$A771:$ZZ771,1,$E$2+IF($G$2="확정",1,0))&amp;""))</f>
        <v/>
      </c>
      <c r="S773">
        <f>IF($R773="","",IF(INDEX('입력_구리근무자명단'!$A771:$ZZ771,1,$E$2+2)&amp;""="",급여기준월,IF(ISNUMBER(INDEX('입력_구리근무자명단'!$A771:$ZZ771,1,$E$2+2)),INDEX('입력_구리근무자명단'!$A771:$ZZ771,1,$E$2+2),IFERROR(DATE(VALUE(LEFT(INDEX('입력_구리근무자명단'!$A771:$ZZ771,1,$E$2+2),4)),VALUE(MID(INDEX('입력_구리근무자명단'!$A771:$ZZ771,1,$E$2+2),6,2)),VALUE(MID(INDEX('입력_구리근무자명단'!$A771:$ZZ771,1,$E$2+2),9,2))),-1))))</f>
        <v/>
      </c>
      <c r="T773">
        <f>IF($R773="","",IF(INDEX('입력_구리근무자명단'!$A771:$ZZ771,1,$E$2+3)&amp;""="",EOMONTH(급여기준월,0),IF(ISNUMBER(INDEX('입력_구리근무자명단'!$A771:$ZZ771,1,$E$2+3)),INDEX('입력_구리근무자명단'!$A771:$ZZ771,1,$E$2+3),IFERROR(DATE(VALUE(LEFT(INDEX('입력_구리근무자명단'!$A771:$ZZ771,1,$E$2+3),4)),VALUE(MID(INDEX('입력_구리근무자명단'!$A771:$ZZ771,1,$E$2+3),6,2)),VALUE(MID(INDEX('입력_구리근무자명단'!$A771:$ZZ771,1,$E$2+3),9,2))),-1))))</f>
        <v/>
      </c>
      <c r="U773">
        <f>IF($R773="","",IF(OR($S773&lt;0,$T773&lt;0),0,MAX(0,MIN($T773,EOMONTH(급여기준월,0))-MAX($S773,급여기준월)+1)))</f>
        <v/>
      </c>
      <c r="V773">
        <f>IF($R773="","",TRIM(INDEX('입력_구리근무자명단'!$A771:$ZZ771,1,$E$2+5)&amp;""))</f>
        <v/>
      </c>
      <c r="W773">
        <f>IF(ISNUMBER(SEARCH("구리독자",$V773)),"구리독자","")</f>
        <v/>
      </c>
      <c r="X773">
        <f>IF($R773="","",$R773&amp;"|"&amp;IF(OR($Q773="인턴",ISNUMBER(SEARCH("수련교육부",$P773))),"인턴",$P773))</f>
        <v/>
      </c>
      <c r="Y773">
        <f>IF($R773="","",IF(COUNTIF(명단표[이름|과],$X773)=1,"명단 일치",IF(AND(COUNTIF(명단표[이름|과],$X773)=0,COUNTIF(명단표[이름],$R773)=1),"명단 일치(이름만, 과 다름)",IF(COUNTIF(명단표[이름],$R773)=0,IF(COUNTIF(기본자료표[이름],$R773)&gt;0,"명단에 없음(기본자료에는 있음)","명단에 없음"),"동명이인 확인"))))</f>
        <v/>
      </c>
      <c r="Z773">
        <f>IF($R773="","",IF($S773&lt;0,"⚠"&amp;INDEX('입력_구리근무자명단'!$A771:$ZZ771,1,$E$2+2),TEXT($S773,"yyyy-mm-dd")))</f>
        <v/>
      </c>
      <c r="AA773">
        <f>IF($R773="","",IF($T773&lt;0,"⚠"&amp;INDEX('입력_구리근무자명단'!$A771:$ZZ771,1,$E$2+3),TEXT($T773,"yyyy-mm-dd")))</f>
        <v/>
      </c>
      <c r="AB773">
        <f>AB772+IF($R773="",0,1)</f>
        <v/>
      </c>
      <c r="AC773">
        <f>IF($R773="","",$AB773)</f>
        <v/>
      </c>
    </row>
    <row r="774">
      <c r="O774">
        <f>772</f>
        <v/>
      </c>
      <c r="P774">
        <f>IF(TRIM('입력_구리근무자명단'!$A772&amp;"")&lt;&gt;"",TRIM('입력_구리근무자명단'!$A772&amp;""),P773)</f>
        <v/>
      </c>
      <c r="Q774">
        <f>'입력_구리근무자명단'!$B772&amp;""</f>
        <v/>
      </c>
      <c r="R774">
        <f>IF($E$2="","",TRIM(INDEX('입력_구리근무자명단'!$A772:$ZZ772,1,$E$2+IF($G$2="확정",1,0))&amp;""))</f>
        <v/>
      </c>
      <c r="S774">
        <f>IF($R774="","",IF(INDEX('입력_구리근무자명단'!$A772:$ZZ772,1,$E$2+2)&amp;""="",급여기준월,IF(ISNUMBER(INDEX('입력_구리근무자명단'!$A772:$ZZ772,1,$E$2+2)),INDEX('입력_구리근무자명단'!$A772:$ZZ772,1,$E$2+2),IFERROR(DATE(VALUE(LEFT(INDEX('입력_구리근무자명단'!$A772:$ZZ772,1,$E$2+2),4)),VALUE(MID(INDEX('입력_구리근무자명단'!$A772:$ZZ772,1,$E$2+2),6,2)),VALUE(MID(INDEX('입력_구리근무자명단'!$A772:$ZZ772,1,$E$2+2),9,2))),-1))))</f>
        <v/>
      </c>
      <c r="T774">
        <f>IF($R774="","",IF(INDEX('입력_구리근무자명단'!$A772:$ZZ772,1,$E$2+3)&amp;""="",EOMONTH(급여기준월,0),IF(ISNUMBER(INDEX('입력_구리근무자명단'!$A772:$ZZ772,1,$E$2+3)),INDEX('입력_구리근무자명단'!$A772:$ZZ772,1,$E$2+3),IFERROR(DATE(VALUE(LEFT(INDEX('입력_구리근무자명단'!$A772:$ZZ772,1,$E$2+3),4)),VALUE(MID(INDEX('입력_구리근무자명단'!$A772:$ZZ772,1,$E$2+3),6,2)),VALUE(MID(INDEX('입력_구리근무자명단'!$A772:$ZZ772,1,$E$2+3),9,2))),-1))))</f>
        <v/>
      </c>
      <c r="U774">
        <f>IF($R774="","",IF(OR($S774&lt;0,$T774&lt;0),0,MAX(0,MIN($T774,EOMONTH(급여기준월,0))-MAX($S774,급여기준월)+1)))</f>
        <v/>
      </c>
      <c r="V774">
        <f>IF($R774="","",TRIM(INDEX('입력_구리근무자명단'!$A772:$ZZ772,1,$E$2+5)&amp;""))</f>
        <v/>
      </c>
      <c r="W774">
        <f>IF(ISNUMBER(SEARCH("구리독자",$V774)),"구리독자","")</f>
        <v/>
      </c>
      <c r="X774">
        <f>IF($R774="","",$R774&amp;"|"&amp;IF(OR($Q774="인턴",ISNUMBER(SEARCH("수련교육부",$P774))),"인턴",$P774))</f>
        <v/>
      </c>
      <c r="Y774">
        <f>IF($R774="","",IF(COUNTIF(명단표[이름|과],$X774)=1,"명단 일치",IF(AND(COUNTIF(명단표[이름|과],$X774)=0,COUNTIF(명단표[이름],$R774)=1),"명단 일치(이름만, 과 다름)",IF(COUNTIF(명단표[이름],$R774)=0,IF(COUNTIF(기본자료표[이름],$R774)&gt;0,"명단에 없음(기본자료에는 있음)","명단에 없음"),"동명이인 확인"))))</f>
        <v/>
      </c>
      <c r="Z774">
        <f>IF($R774="","",IF($S774&lt;0,"⚠"&amp;INDEX('입력_구리근무자명단'!$A772:$ZZ772,1,$E$2+2),TEXT($S774,"yyyy-mm-dd")))</f>
        <v/>
      </c>
      <c r="AA774">
        <f>IF($R774="","",IF($T774&lt;0,"⚠"&amp;INDEX('입력_구리근무자명단'!$A772:$ZZ772,1,$E$2+3),TEXT($T774,"yyyy-mm-dd")))</f>
        <v/>
      </c>
      <c r="AB774">
        <f>AB773+IF($R774="",0,1)</f>
        <v/>
      </c>
      <c r="AC774">
        <f>IF($R774="","",$AB774)</f>
        <v/>
      </c>
    </row>
    <row r="775">
      <c r="O775">
        <f>773</f>
        <v/>
      </c>
      <c r="P775">
        <f>IF(TRIM('입력_구리근무자명단'!$A773&amp;"")&lt;&gt;"",TRIM('입력_구리근무자명단'!$A773&amp;""),P774)</f>
        <v/>
      </c>
      <c r="Q775">
        <f>'입력_구리근무자명단'!$B773&amp;""</f>
        <v/>
      </c>
      <c r="R775">
        <f>IF($E$2="","",TRIM(INDEX('입력_구리근무자명단'!$A773:$ZZ773,1,$E$2+IF($G$2="확정",1,0))&amp;""))</f>
        <v/>
      </c>
      <c r="S775">
        <f>IF($R775="","",IF(INDEX('입력_구리근무자명단'!$A773:$ZZ773,1,$E$2+2)&amp;""="",급여기준월,IF(ISNUMBER(INDEX('입력_구리근무자명단'!$A773:$ZZ773,1,$E$2+2)),INDEX('입력_구리근무자명단'!$A773:$ZZ773,1,$E$2+2),IFERROR(DATE(VALUE(LEFT(INDEX('입력_구리근무자명단'!$A773:$ZZ773,1,$E$2+2),4)),VALUE(MID(INDEX('입력_구리근무자명단'!$A773:$ZZ773,1,$E$2+2),6,2)),VALUE(MID(INDEX('입력_구리근무자명단'!$A773:$ZZ773,1,$E$2+2),9,2))),-1))))</f>
        <v/>
      </c>
      <c r="T775">
        <f>IF($R775="","",IF(INDEX('입력_구리근무자명단'!$A773:$ZZ773,1,$E$2+3)&amp;""="",EOMONTH(급여기준월,0),IF(ISNUMBER(INDEX('입력_구리근무자명단'!$A773:$ZZ773,1,$E$2+3)),INDEX('입력_구리근무자명단'!$A773:$ZZ773,1,$E$2+3),IFERROR(DATE(VALUE(LEFT(INDEX('입력_구리근무자명단'!$A773:$ZZ773,1,$E$2+3),4)),VALUE(MID(INDEX('입력_구리근무자명단'!$A773:$ZZ773,1,$E$2+3),6,2)),VALUE(MID(INDEX('입력_구리근무자명단'!$A773:$ZZ773,1,$E$2+3),9,2))),-1))))</f>
        <v/>
      </c>
      <c r="U775">
        <f>IF($R775="","",IF(OR($S775&lt;0,$T775&lt;0),0,MAX(0,MIN($T775,EOMONTH(급여기준월,0))-MAX($S775,급여기준월)+1)))</f>
        <v/>
      </c>
      <c r="V775">
        <f>IF($R775="","",TRIM(INDEX('입력_구리근무자명단'!$A773:$ZZ773,1,$E$2+5)&amp;""))</f>
        <v/>
      </c>
      <c r="W775">
        <f>IF(ISNUMBER(SEARCH("구리독자",$V775)),"구리독자","")</f>
        <v/>
      </c>
      <c r="X775">
        <f>IF($R775="","",$R775&amp;"|"&amp;IF(OR($Q775="인턴",ISNUMBER(SEARCH("수련교육부",$P775))),"인턴",$P775))</f>
        <v/>
      </c>
      <c r="Y775">
        <f>IF($R775="","",IF(COUNTIF(명단표[이름|과],$X775)=1,"명단 일치",IF(AND(COUNTIF(명단표[이름|과],$X775)=0,COUNTIF(명단표[이름],$R775)=1),"명단 일치(이름만, 과 다름)",IF(COUNTIF(명단표[이름],$R775)=0,IF(COUNTIF(기본자료표[이름],$R775)&gt;0,"명단에 없음(기본자료에는 있음)","명단에 없음"),"동명이인 확인"))))</f>
        <v/>
      </c>
      <c r="Z775">
        <f>IF($R775="","",IF($S775&lt;0,"⚠"&amp;INDEX('입력_구리근무자명단'!$A773:$ZZ773,1,$E$2+2),TEXT($S775,"yyyy-mm-dd")))</f>
        <v/>
      </c>
      <c r="AA775">
        <f>IF($R775="","",IF($T775&lt;0,"⚠"&amp;INDEX('입력_구리근무자명단'!$A773:$ZZ773,1,$E$2+3),TEXT($T775,"yyyy-mm-dd")))</f>
        <v/>
      </c>
      <c r="AB775">
        <f>AB774+IF($R775="",0,1)</f>
        <v/>
      </c>
      <c r="AC775">
        <f>IF($R775="","",$AB775)</f>
        <v/>
      </c>
    </row>
    <row r="776">
      <c r="O776">
        <f>774</f>
        <v/>
      </c>
      <c r="P776">
        <f>IF(TRIM('입력_구리근무자명단'!$A774&amp;"")&lt;&gt;"",TRIM('입력_구리근무자명단'!$A774&amp;""),P775)</f>
        <v/>
      </c>
      <c r="Q776">
        <f>'입력_구리근무자명단'!$B774&amp;""</f>
        <v/>
      </c>
      <c r="R776">
        <f>IF($E$2="","",TRIM(INDEX('입력_구리근무자명단'!$A774:$ZZ774,1,$E$2+IF($G$2="확정",1,0))&amp;""))</f>
        <v/>
      </c>
      <c r="S776">
        <f>IF($R776="","",IF(INDEX('입력_구리근무자명단'!$A774:$ZZ774,1,$E$2+2)&amp;""="",급여기준월,IF(ISNUMBER(INDEX('입력_구리근무자명단'!$A774:$ZZ774,1,$E$2+2)),INDEX('입력_구리근무자명단'!$A774:$ZZ774,1,$E$2+2),IFERROR(DATE(VALUE(LEFT(INDEX('입력_구리근무자명단'!$A774:$ZZ774,1,$E$2+2),4)),VALUE(MID(INDEX('입력_구리근무자명단'!$A774:$ZZ774,1,$E$2+2),6,2)),VALUE(MID(INDEX('입력_구리근무자명단'!$A774:$ZZ774,1,$E$2+2),9,2))),-1))))</f>
        <v/>
      </c>
      <c r="T776">
        <f>IF($R776="","",IF(INDEX('입력_구리근무자명단'!$A774:$ZZ774,1,$E$2+3)&amp;""="",EOMONTH(급여기준월,0),IF(ISNUMBER(INDEX('입력_구리근무자명단'!$A774:$ZZ774,1,$E$2+3)),INDEX('입력_구리근무자명단'!$A774:$ZZ774,1,$E$2+3),IFERROR(DATE(VALUE(LEFT(INDEX('입력_구리근무자명단'!$A774:$ZZ774,1,$E$2+3),4)),VALUE(MID(INDEX('입력_구리근무자명단'!$A774:$ZZ774,1,$E$2+3),6,2)),VALUE(MID(INDEX('입력_구리근무자명단'!$A774:$ZZ774,1,$E$2+3),9,2))),-1))))</f>
        <v/>
      </c>
      <c r="U776">
        <f>IF($R776="","",IF(OR($S776&lt;0,$T776&lt;0),0,MAX(0,MIN($T776,EOMONTH(급여기준월,0))-MAX($S776,급여기준월)+1)))</f>
        <v/>
      </c>
      <c r="V776">
        <f>IF($R776="","",TRIM(INDEX('입력_구리근무자명단'!$A774:$ZZ774,1,$E$2+5)&amp;""))</f>
        <v/>
      </c>
      <c r="W776">
        <f>IF(ISNUMBER(SEARCH("구리독자",$V776)),"구리독자","")</f>
        <v/>
      </c>
      <c r="X776">
        <f>IF($R776="","",$R776&amp;"|"&amp;IF(OR($Q776="인턴",ISNUMBER(SEARCH("수련교육부",$P776))),"인턴",$P776))</f>
        <v/>
      </c>
      <c r="Y776">
        <f>IF($R776="","",IF(COUNTIF(명단표[이름|과],$X776)=1,"명단 일치",IF(AND(COUNTIF(명단표[이름|과],$X776)=0,COUNTIF(명단표[이름],$R776)=1),"명단 일치(이름만, 과 다름)",IF(COUNTIF(명단표[이름],$R776)=0,IF(COUNTIF(기본자료표[이름],$R776)&gt;0,"명단에 없음(기본자료에는 있음)","명단에 없음"),"동명이인 확인"))))</f>
        <v/>
      </c>
      <c r="Z776">
        <f>IF($R776="","",IF($S776&lt;0,"⚠"&amp;INDEX('입력_구리근무자명단'!$A774:$ZZ774,1,$E$2+2),TEXT($S776,"yyyy-mm-dd")))</f>
        <v/>
      </c>
      <c r="AA776">
        <f>IF($R776="","",IF($T776&lt;0,"⚠"&amp;INDEX('입력_구리근무자명단'!$A774:$ZZ774,1,$E$2+3),TEXT($T776,"yyyy-mm-dd")))</f>
        <v/>
      </c>
      <c r="AB776">
        <f>AB775+IF($R776="",0,1)</f>
        <v/>
      </c>
      <c r="AC776">
        <f>IF($R776="","",$AB776)</f>
        <v/>
      </c>
    </row>
    <row r="777">
      <c r="O777">
        <f>775</f>
        <v/>
      </c>
      <c r="P777">
        <f>IF(TRIM('입력_구리근무자명단'!$A775&amp;"")&lt;&gt;"",TRIM('입력_구리근무자명단'!$A775&amp;""),P776)</f>
        <v/>
      </c>
      <c r="Q777">
        <f>'입력_구리근무자명단'!$B775&amp;""</f>
        <v/>
      </c>
      <c r="R777">
        <f>IF($E$2="","",TRIM(INDEX('입력_구리근무자명단'!$A775:$ZZ775,1,$E$2+IF($G$2="확정",1,0))&amp;""))</f>
        <v/>
      </c>
      <c r="S777">
        <f>IF($R777="","",IF(INDEX('입력_구리근무자명단'!$A775:$ZZ775,1,$E$2+2)&amp;""="",급여기준월,IF(ISNUMBER(INDEX('입력_구리근무자명단'!$A775:$ZZ775,1,$E$2+2)),INDEX('입력_구리근무자명단'!$A775:$ZZ775,1,$E$2+2),IFERROR(DATE(VALUE(LEFT(INDEX('입력_구리근무자명단'!$A775:$ZZ775,1,$E$2+2),4)),VALUE(MID(INDEX('입력_구리근무자명단'!$A775:$ZZ775,1,$E$2+2),6,2)),VALUE(MID(INDEX('입력_구리근무자명단'!$A775:$ZZ775,1,$E$2+2),9,2))),-1))))</f>
        <v/>
      </c>
      <c r="T777">
        <f>IF($R777="","",IF(INDEX('입력_구리근무자명단'!$A775:$ZZ775,1,$E$2+3)&amp;""="",EOMONTH(급여기준월,0),IF(ISNUMBER(INDEX('입력_구리근무자명단'!$A775:$ZZ775,1,$E$2+3)),INDEX('입력_구리근무자명단'!$A775:$ZZ775,1,$E$2+3),IFERROR(DATE(VALUE(LEFT(INDEX('입력_구리근무자명단'!$A775:$ZZ775,1,$E$2+3),4)),VALUE(MID(INDEX('입력_구리근무자명단'!$A775:$ZZ775,1,$E$2+3),6,2)),VALUE(MID(INDEX('입력_구리근무자명단'!$A775:$ZZ775,1,$E$2+3),9,2))),-1))))</f>
        <v/>
      </c>
      <c r="U777">
        <f>IF($R777="","",IF(OR($S777&lt;0,$T777&lt;0),0,MAX(0,MIN($T777,EOMONTH(급여기준월,0))-MAX($S777,급여기준월)+1)))</f>
        <v/>
      </c>
      <c r="V777">
        <f>IF($R777="","",TRIM(INDEX('입력_구리근무자명단'!$A775:$ZZ775,1,$E$2+5)&amp;""))</f>
        <v/>
      </c>
      <c r="W777">
        <f>IF(ISNUMBER(SEARCH("구리독자",$V777)),"구리독자","")</f>
        <v/>
      </c>
      <c r="X777">
        <f>IF($R777="","",$R777&amp;"|"&amp;IF(OR($Q777="인턴",ISNUMBER(SEARCH("수련교육부",$P777))),"인턴",$P777))</f>
        <v/>
      </c>
      <c r="Y777">
        <f>IF($R777="","",IF(COUNTIF(명단표[이름|과],$X777)=1,"명단 일치",IF(AND(COUNTIF(명단표[이름|과],$X777)=0,COUNTIF(명단표[이름],$R777)=1),"명단 일치(이름만, 과 다름)",IF(COUNTIF(명단표[이름],$R777)=0,IF(COUNTIF(기본자료표[이름],$R777)&gt;0,"명단에 없음(기본자료에는 있음)","명단에 없음"),"동명이인 확인"))))</f>
        <v/>
      </c>
      <c r="Z777">
        <f>IF($R777="","",IF($S777&lt;0,"⚠"&amp;INDEX('입력_구리근무자명단'!$A775:$ZZ775,1,$E$2+2),TEXT($S777,"yyyy-mm-dd")))</f>
        <v/>
      </c>
      <c r="AA777">
        <f>IF($R777="","",IF($T777&lt;0,"⚠"&amp;INDEX('입력_구리근무자명단'!$A775:$ZZ775,1,$E$2+3),TEXT($T777,"yyyy-mm-dd")))</f>
        <v/>
      </c>
      <c r="AB777">
        <f>AB776+IF($R777="",0,1)</f>
        <v/>
      </c>
      <c r="AC777">
        <f>IF($R777="","",$AB777)</f>
        <v/>
      </c>
    </row>
    <row r="778">
      <c r="O778">
        <f>776</f>
        <v/>
      </c>
      <c r="P778">
        <f>IF(TRIM('입력_구리근무자명단'!$A776&amp;"")&lt;&gt;"",TRIM('입력_구리근무자명단'!$A776&amp;""),P777)</f>
        <v/>
      </c>
      <c r="Q778">
        <f>'입력_구리근무자명단'!$B776&amp;""</f>
        <v/>
      </c>
      <c r="R778">
        <f>IF($E$2="","",TRIM(INDEX('입력_구리근무자명단'!$A776:$ZZ776,1,$E$2+IF($G$2="확정",1,0))&amp;""))</f>
        <v/>
      </c>
      <c r="S778">
        <f>IF($R778="","",IF(INDEX('입력_구리근무자명단'!$A776:$ZZ776,1,$E$2+2)&amp;""="",급여기준월,IF(ISNUMBER(INDEX('입력_구리근무자명단'!$A776:$ZZ776,1,$E$2+2)),INDEX('입력_구리근무자명단'!$A776:$ZZ776,1,$E$2+2),IFERROR(DATE(VALUE(LEFT(INDEX('입력_구리근무자명단'!$A776:$ZZ776,1,$E$2+2),4)),VALUE(MID(INDEX('입력_구리근무자명단'!$A776:$ZZ776,1,$E$2+2),6,2)),VALUE(MID(INDEX('입력_구리근무자명단'!$A776:$ZZ776,1,$E$2+2),9,2))),-1))))</f>
        <v/>
      </c>
      <c r="T778">
        <f>IF($R778="","",IF(INDEX('입력_구리근무자명단'!$A776:$ZZ776,1,$E$2+3)&amp;""="",EOMONTH(급여기준월,0),IF(ISNUMBER(INDEX('입력_구리근무자명단'!$A776:$ZZ776,1,$E$2+3)),INDEX('입력_구리근무자명단'!$A776:$ZZ776,1,$E$2+3),IFERROR(DATE(VALUE(LEFT(INDEX('입력_구리근무자명단'!$A776:$ZZ776,1,$E$2+3),4)),VALUE(MID(INDEX('입력_구리근무자명단'!$A776:$ZZ776,1,$E$2+3),6,2)),VALUE(MID(INDEX('입력_구리근무자명단'!$A776:$ZZ776,1,$E$2+3),9,2))),-1))))</f>
        <v/>
      </c>
      <c r="U778">
        <f>IF($R778="","",IF(OR($S778&lt;0,$T778&lt;0),0,MAX(0,MIN($T778,EOMONTH(급여기준월,0))-MAX($S778,급여기준월)+1)))</f>
        <v/>
      </c>
      <c r="V778">
        <f>IF($R778="","",TRIM(INDEX('입력_구리근무자명단'!$A776:$ZZ776,1,$E$2+5)&amp;""))</f>
        <v/>
      </c>
      <c r="W778">
        <f>IF(ISNUMBER(SEARCH("구리독자",$V778)),"구리독자","")</f>
        <v/>
      </c>
      <c r="X778">
        <f>IF($R778="","",$R778&amp;"|"&amp;IF(OR($Q778="인턴",ISNUMBER(SEARCH("수련교육부",$P778))),"인턴",$P778))</f>
        <v/>
      </c>
      <c r="Y778">
        <f>IF($R778="","",IF(COUNTIF(명단표[이름|과],$X778)=1,"명단 일치",IF(AND(COUNTIF(명단표[이름|과],$X778)=0,COUNTIF(명단표[이름],$R778)=1),"명단 일치(이름만, 과 다름)",IF(COUNTIF(명단표[이름],$R778)=0,IF(COUNTIF(기본자료표[이름],$R778)&gt;0,"명단에 없음(기본자료에는 있음)","명단에 없음"),"동명이인 확인"))))</f>
        <v/>
      </c>
      <c r="Z778">
        <f>IF($R778="","",IF($S778&lt;0,"⚠"&amp;INDEX('입력_구리근무자명단'!$A776:$ZZ776,1,$E$2+2),TEXT($S778,"yyyy-mm-dd")))</f>
        <v/>
      </c>
      <c r="AA778">
        <f>IF($R778="","",IF($T778&lt;0,"⚠"&amp;INDEX('입력_구리근무자명단'!$A776:$ZZ776,1,$E$2+3),TEXT($T778,"yyyy-mm-dd")))</f>
        <v/>
      </c>
      <c r="AB778">
        <f>AB777+IF($R778="",0,1)</f>
        <v/>
      </c>
      <c r="AC778">
        <f>IF($R778="","",$AB778)</f>
        <v/>
      </c>
    </row>
    <row r="779">
      <c r="O779">
        <f>777</f>
        <v/>
      </c>
      <c r="P779">
        <f>IF(TRIM('입력_구리근무자명단'!$A777&amp;"")&lt;&gt;"",TRIM('입력_구리근무자명단'!$A777&amp;""),P778)</f>
        <v/>
      </c>
      <c r="Q779">
        <f>'입력_구리근무자명단'!$B777&amp;""</f>
        <v/>
      </c>
      <c r="R779">
        <f>IF($E$2="","",TRIM(INDEX('입력_구리근무자명단'!$A777:$ZZ777,1,$E$2+IF($G$2="확정",1,0))&amp;""))</f>
        <v/>
      </c>
      <c r="S779">
        <f>IF($R779="","",IF(INDEX('입력_구리근무자명단'!$A777:$ZZ777,1,$E$2+2)&amp;""="",급여기준월,IF(ISNUMBER(INDEX('입력_구리근무자명단'!$A777:$ZZ777,1,$E$2+2)),INDEX('입력_구리근무자명단'!$A777:$ZZ777,1,$E$2+2),IFERROR(DATE(VALUE(LEFT(INDEX('입력_구리근무자명단'!$A777:$ZZ777,1,$E$2+2),4)),VALUE(MID(INDEX('입력_구리근무자명단'!$A777:$ZZ777,1,$E$2+2),6,2)),VALUE(MID(INDEX('입력_구리근무자명단'!$A777:$ZZ777,1,$E$2+2),9,2))),-1))))</f>
        <v/>
      </c>
      <c r="T779">
        <f>IF($R779="","",IF(INDEX('입력_구리근무자명단'!$A777:$ZZ777,1,$E$2+3)&amp;""="",EOMONTH(급여기준월,0),IF(ISNUMBER(INDEX('입력_구리근무자명단'!$A777:$ZZ777,1,$E$2+3)),INDEX('입력_구리근무자명단'!$A777:$ZZ777,1,$E$2+3),IFERROR(DATE(VALUE(LEFT(INDEX('입력_구리근무자명단'!$A777:$ZZ777,1,$E$2+3),4)),VALUE(MID(INDEX('입력_구리근무자명단'!$A777:$ZZ777,1,$E$2+3),6,2)),VALUE(MID(INDEX('입력_구리근무자명단'!$A777:$ZZ777,1,$E$2+3),9,2))),-1))))</f>
        <v/>
      </c>
      <c r="U779">
        <f>IF($R779="","",IF(OR($S779&lt;0,$T779&lt;0),0,MAX(0,MIN($T779,EOMONTH(급여기준월,0))-MAX($S779,급여기준월)+1)))</f>
        <v/>
      </c>
      <c r="V779">
        <f>IF($R779="","",TRIM(INDEX('입력_구리근무자명단'!$A777:$ZZ777,1,$E$2+5)&amp;""))</f>
        <v/>
      </c>
      <c r="W779">
        <f>IF(ISNUMBER(SEARCH("구리독자",$V779)),"구리독자","")</f>
        <v/>
      </c>
      <c r="X779">
        <f>IF($R779="","",$R779&amp;"|"&amp;IF(OR($Q779="인턴",ISNUMBER(SEARCH("수련교육부",$P779))),"인턴",$P779))</f>
        <v/>
      </c>
      <c r="Y779">
        <f>IF($R779="","",IF(COUNTIF(명단표[이름|과],$X779)=1,"명단 일치",IF(AND(COUNTIF(명단표[이름|과],$X779)=0,COUNTIF(명단표[이름],$R779)=1),"명단 일치(이름만, 과 다름)",IF(COUNTIF(명단표[이름],$R779)=0,IF(COUNTIF(기본자료표[이름],$R779)&gt;0,"명단에 없음(기본자료에는 있음)","명단에 없음"),"동명이인 확인"))))</f>
        <v/>
      </c>
      <c r="Z779">
        <f>IF($R779="","",IF($S779&lt;0,"⚠"&amp;INDEX('입력_구리근무자명단'!$A777:$ZZ777,1,$E$2+2),TEXT($S779,"yyyy-mm-dd")))</f>
        <v/>
      </c>
      <c r="AA779">
        <f>IF($R779="","",IF($T779&lt;0,"⚠"&amp;INDEX('입력_구리근무자명단'!$A777:$ZZ777,1,$E$2+3),TEXT($T779,"yyyy-mm-dd")))</f>
        <v/>
      </c>
      <c r="AB779">
        <f>AB778+IF($R779="",0,1)</f>
        <v/>
      </c>
      <c r="AC779">
        <f>IF($R779="","",$AB779)</f>
        <v/>
      </c>
    </row>
    <row r="780">
      <c r="O780">
        <f>778</f>
        <v/>
      </c>
      <c r="P780">
        <f>IF(TRIM('입력_구리근무자명단'!$A778&amp;"")&lt;&gt;"",TRIM('입력_구리근무자명단'!$A778&amp;""),P779)</f>
        <v/>
      </c>
      <c r="Q780">
        <f>'입력_구리근무자명단'!$B778&amp;""</f>
        <v/>
      </c>
      <c r="R780">
        <f>IF($E$2="","",TRIM(INDEX('입력_구리근무자명단'!$A778:$ZZ778,1,$E$2+IF($G$2="확정",1,0))&amp;""))</f>
        <v/>
      </c>
      <c r="S780">
        <f>IF($R780="","",IF(INDEX('입력_구리근무자명단'!$A778:$ZZ778,1,$E$2+2)&amp;""="",급여기준월,IF(ISNUMBER(INDEX('입력_구리근무자명단'!$A778:$ZZ778,1,$E$2+2)),INDEX('입력_구리근무자명단'!$A778:$ZZ778,1,$E$2+2),IFERROR(DATE(VALUE(LEFT(INDEX('입력_구리근무자명단'!$A778:$ZZ778,1,$E$2+2),4)),VALUE(MID(INDEX('입력_구리근무자명단'!$A778:$ZZ778,1,$E$2+2),6,2)),VALUE(MID(INDEX('입력_구리근무자명단'!$A778:$ZZ778,1,$E$2+2),9,2))),-1))))</f>
        <v/>
      </c>
      <c r="T780">
        <f>IF($R780="","",IF(INDEX('입력_구리근무자명단'!$A778:$ZZ778,1,$E$2+3)&amp;""="",EOMONTH(급여기준월,0),IF(ISNUMBER(INDEX('입력_구리근무자명단'!$A778:$ZZ778,1,$E$2+3)),INDEX('입력_구리근무자명단'!$A778:$ZZ778,1,$E$2+3),IFERROR(DATE(VALUE(LEFT(INDEX('입력_구리근무자명단'!$A778:$ZZ778,1,$E$2+3),4)),VALUE(MID(INDEX('입력_구리근무자명단'!$A778:$ZZ778,1,$E$2+3),6,2)),VALUE(MID(INDEX('입력_구리근무자명단'!$A778:$ZZ778,1,$E$2+3),9,2))),-1))))</f>
        <v/>
      </c>
      <c r="U780">
        <f>IF($R780="","",IF(OR($S780&lt;0,$T780&lt;0),0,MAX(0,MIN($T780,EOMONTH(급여기준월,0))-MAX($S780,급여기준월)+1)))</f>
        <v/>
      </c>
      <c r="V780">
        <f>IF($R780="","",TRIM(INDEX('입력_구리근무자명단'!$A778:$ZZ778,1,$E$2+5)&amp;""))</f>
        <v/>
      </c>
      <c r="W780">
        <f>IF(ISNUMBER(SEARCH("구리독자",$V780)),"구리독자","")</f>
        <v/>
      </c>
      <c r="X780">
        <f>IF($R780="","",$R780&amp;"|"&amp;IF(OR($Q780="인턴",ISNUMBER(SEARCH("수련교육부",$P780))),"인턴",$P780))</f>
        <v/>
      </c>
      <c r="Y780">
        <f>IF($R780="","",IF(COUNTIF(명단표[이름|과],$X780)=1,"명단 일치",IF(AND(COUNTIF(명단표[이름|과],$X780)=0,COUNTIF(명단표[이름],$R780)=1),"명단 일치(이름만, 과 다름)",IF(COUNTIF(명단표[이름],$R780)=0,IF(COUNTIF(기본자료표[이름],$R780)&gt;0,"명단에 없음(기본자료에는 있음)","명단에 없음"),"동명이인 확인"))))</f>
        <v/>
      </c>
      <c r="Z780">
        <f>IF($R780="","",IF($S780&lt;0,"⚠"&amp;INDEX('입력_구리근무자명단'!$A778:$ZZ778,1,$E$2+2),TEXT($S780,"yyyy-mm-dd")))</f>
        <v/>
      </c>
      <c r="AA780">
        <f>IF($R780="","",IF($T780&lt;0,"⚠"&amp;INDEX('입력_구리근무자명단'!$A778:$ZZ778,1,$E$2+3),TEXT($T780,"yyyy-mm-dd")))</f>
        <v/>
      </c>
      <c r="AB780">
        <f>AB779+IF($R780="",0,1)</f>
        <v/>
      </c>
      <c r="AC780">
        <f>IF($R780="","",$AB780)</f>
        <v/>
      </c>
    </row>
    <row r="781">
      <c r="O781">
        <f>779</f>
        <v/>
      </c>
      <c r="P781">
        <f>IF(TRIM('입력_구리근무자명단'!$A779&amp;"")&lt;&gt;"",TRIM('입력_구리근무자명단'!$A779&amp;""),P780)</f>
        <v/>
      </c>
      <c r="Q781">
        <f>'입력_구리근무자명단'!$B779&amp;""</f>
        <v/>
      </c>
      <c r="R781">
        <f>IF($E$2="","",TRIM(INDEX('입력_구리근무자명단'!$A779:$ZZ779,1,$E$2+IF($G$2="확정",1,0))&amp;""))</f>
        <v/>
      </c>
      <c r="S781">
        <f>IF($R781="","",IF(INDEX('입력_구리근무자명단'!$A779:$ZZ779,1,$E$2+2)&amp;""="",급여기준월,IF(ISNUMBER(INDEX('입력_구리근무자명단'!$A779:$ZZ779,1,$E$2+2)),INDEX('입력_구리근무자명단'!$A779:$ZZ779,1,$E$2+2),IFERROR(DATE(VALUE(LEFT(INDEX('입력_구리근무자명단'!$A779:$ZZ779,1,$E$2+2),4)),VALUE(MID(INDEX('입력_구리근무자명단'!$A779:$ZZ779,1,$E$2+2),6,2)),VALUE(MID(INDEX('입력_구리근무자명단'!$A779:$ZZ779,1,$E$2+2),9,2))),-1))))</f>
        <v/>
      </c>
      <c r="T781">
        <f>IF($R781="","",IF(INDEX('입력_구리근무자명단'!$A779:$ZZ779,1,$E$2+3)&amp;""="",EOMONTH(급여기준월,0),IF(ISNUMBER(INDEX('입력_구리근무자명단'!$A779:$ZZ779,1,$E$2+3)),INDEX('입력_구리근무자명단'!$A779:$ZZ779,1,$E$2+3),IFERROR(DATE(VALUE(LEFT(INDEX('입력_구리근무자명단'!$A779:$ZZ779,1,$E$2+3),4)),VALUE(MID(INDEX('입력_구리근무자명단'!$A779:$ZZ779,1,$E$2+3),6,2)),VALUE(MID(INDEX('입력_구리근무자명단'!$A779:$ZZ779,1,$E$2+3),9,2))),-1))))</f>
        <v/>
      </c>
      <c r="U781">
        <f>IF($R781="","",IF(OR($S781&lt;0,$T781&lt;0),0,MAX(0,MIN($T781,EOMONTH(급여기준월,0))-MAX($S781,급여기준월)+1)))</f>
        <v/>
      </c>
      <c r="V781">
        <f>IF($R781="","",TRIM(INDEX('입력_구리근무자명단'!$A779:$ZZ779,1,$E$2+5)&amp;""))</f>
        <v/>
      </c>
      <c r="W781">
        <f>IF(ISNUMBER(SEARCH("구리독자",$V781)),"구리독자","")</f>
        <v/>
      </c>
      <c r="X781">
        <f>IF($R781="","",$R781&amp;"|"&amp;IF(OR($Q781="인턴",ISNUMBER(SEARCH("수련교육부",$P781))),"인턴",$P781))</f>
        <v/>
      </c>
      <c r="Y781">
        <f>IF($R781="","",IF(COUNTIF(명단표[이름|과],$X781)=1,"명단 일치",IF(AND(COUNTIF(명단표[이름|과],$X781)=0,COUNTIF(명단표[이름],$R781)=1),"명단 일치(이름만, 과 다름)",IF(COUNTIF(명단표[이름],$R781)=0,IF(COUNTIF(기본자료표[이름],$R781)&gt;0,"명단에 없음(기본자료에는 있음)","명단에 없음"),"동명이인 확인"))))</f>
        <v/>
      </c>
      <c r="Z781">
        <f>IF($R781="","",IF($S781&lt;0,"⚠"&amp;INDEX('입력_구리근무자명단'!$A779:$ZZ779,1,$E$2+2),TEXT($S781,"yyyy-mm-dd")))</f>
        <v/>
      </c>
      <c r="AA781">
        <f>IF($R781="","",IF($T781&lt;0,"⚠"&amp;INDEX('입력_구리근무자명단'!$A779:$ZZ779,1,$E$2+3),TEXT($T781,"yyyy-mm-dd")))</f>
        <v/>
      </c>
      <c r="AB781">
        <f>AB780+IF($R781="",0,1)</f>
        <v/>
      </c>
      <c r="AC781">
        <f>IF($R781="","",$AB781)</f>
        <v/>
      </c>
    </row>
    <row r="782">
      <c r="O782">
        <f>780</f>
        <v/>
      </c>
      <c r="P782">
        <f>IF(TRIM('입력_구리근무자명단'!$A780&amp;"")&lt;&gt;"",TRIM('입력_구리근무자명단'!$A780&amp;""),P781)</f>
        <v/>
      </c>
      <c r="Q782">
        <f>'입력_구리근무자명단'!$B780&amp;""</f>
        <v/>
      </c>
      <c r="R782">
        <f>IF($E$2="","",TRIM(INDEX('입력_구리근무자명단'!$A780:$ZZ780,1,$E$2+IF($G$2="확정",1,0))&amp;""))</f>
        <v/>
      </c>
      <c r="S782">
        <f>IF($R782="","",IF(INDEX('입력_구리근무자명단'!$A780:$ZZ780,1,$E$2+2)&amp;""="",급여기준월,IF(ISNUMBER(INDEX('입력_구리근무자명단'!$A780:$ZZ780,1,$E$2+2)),INDEX('입력_구리근무자명단'!$A780:$ZZ780,1,$E$2+2),IFERROR(DATE(VALUE(LEFT(INDEX('입력_구리근무자명단'!$A780:$ZZ780,1,$E$2+2),4)),VALUE(MID(INDEX('입력_구리근무자명단'!$A780:$ZZ780,1,$E$2+2),6,2)),VALUE(MID(INDEX('입력_구리근무자명단'!$A780:$ZZ780,1,$E$2+2),9,2))),-1))))</f>
        <v/>
      </c>
      <c r="T782">
        <f>IF($R782="","",IF(INDEX('입력_구리근무자명단'!$A780:$ZZ780,1,$E$2+3)&amp;""="",EOMONTH(급여기준월,0),IF(ISNUMBER(INDEX('입력_구리근무자명단'!$A780:$ZZ780,1,$E$2+3)),INDEX('입력_구리근무자명단'!$A780:$ZZ780,1,$E$2+3),IFERROR(DATE(VALUE(LEFT(INDEX('입력_구리근무자명단'!$A780:$ZZ780,1,$E$2+3),4)),VALUE(MID(INDEX('입력_구리근무자명단'!$A780:$ZZ780,1,$E$2+3),6,2)),VALUE(MID(INDEX('입력_구리근무자명단'!$A780:$ZZ780,1,$E$2+3),9,2))),-1))))</f>
        <v/>
      </c>
      <c r="U782">
        <f>IF($R782="","",IF(OR($S782&lt;0,$T782&lt;0),0,MAX(0,MIN($T782,EOMONTH(급여기준월,0))-MAX($S782,급여기준월)+1)))</f>
        <v/>
      </c>
      <c r="V782">
        <f>IF($R782="","",TRIM(INDEX('입력_구리근무자명단'!$A780:$ZZ780,1,$E$2+5)&amp;""))</f>
        <v/>
      </c>
      <c r="W782">
        <f>IF(ISNUMBER(SEARCH("구리독자",$V782)),"구리독자","")</f>
        <v/>
      </c>
      <c r="X782">
        <f>IF($R782="","",$R782&amp;"|"&amp;IF(OR($Q782="인턴",ISNUMBER(SEARCH("수련교육부",$P782))),"인턴",$P782))</f>
        <v/>
      </c>
      <c r="Y782">
        <f>IF($R782="","",IF(COUNTIF(명단표[이름|과],$X782)=1,"명단 일치",IF(AND(COUNTIF(명단표[이름|과],$X782)=0,COUNTIF(명단표[이름],$R782)=1),"명단 일치(이름만, 과 다름)",IF(COUNTIF(명단표[이름],$R782)=0,IF(COUNTIF(기본자료표[이름],$R782)&gt;0,"명단에 없음(기본자료에는 있음)","명단에 없음"),"동명이인 확인"))))</f>
        <v/>
      </c>
      <c r="Z782">
        <f>IF($R782="","",IF($S782&lt;0,"⚠"&amp;INDEX('입력_구리근무자명단'!$A780:$ZZ780,1,$E$2+2),TEXT($S782,"yyyy-mm-dd")))</f>
        <v/>
      </c>
      <c r="AA782">
        <f>IF($R782="","",IF($T782&lt;0,"⚠"&amp;INDEX('입력_구리근무자명단'!$A780:$ZZ780,1,$E$2+3),TEXT($T782,"yyyy-mm-dd")))</f>
        <v/>
      </c>
      <c r="AB782">
        <f>AB781+IF($R782="",0,1)</f>
        <v/>
      </c>
      <c r="AC782">
        <f>IF($R782="","",$AB782)</f>
        <v/>
      </c>
    </row>
    <row r="783">
      <c r="O783">
        <f>781</f>
        <v/>
      </c>
      <c r="P783">
        <f>IF(TRIM('입력_구리근무자명단'!$A781&amp;"")&lt;&gt;"",TRIM('입력_구리근무자명단'!$A781&amp;""),P782)</f>
        <v/>
      </c>
      <c r="Q783">
        <f>'입력_구리근무자명단'!$B781&amp;""</f>
        <v/>
      </c>
      <c r="R783">
        <f>IF($E$2="","",TRIM(INDEX('입력_구리근무자명단'!$A781:$ZZ781,1,$E$2+IF($G$2="확정",1,0))&amp;""))</f>
        <v/>
      </c>
      <c r="S783">
        <f>IF($R783="","",IF(INDEX('입력_구리근무자명단'!$A781:$ZZ781,1,$E$2+2)&amp;""="",급여기준월,IF(ISNUMBER(INDEX('입력_구리근무자명단'!$A781:$ZZ781,1,$E$2+2)),INDEX('입력_구리근무자명단'!$A781:$ZZ781,1,$E$2+2),IFERROR(DATE(VALUE(LEFT(INDEX('입력_구리근무자명단'!$A781:$ZZ781,1,$E$2+2),4)),VALUE(MID(INDEX('입력_구리근무자명단'!$A781:$ZZ781,1,$E$2+2),6,2)),VALUE(MID(INDEX('입력_구리근무자명단'!$A781:$ZZ781,1,$E$2+2),9,2))),-1))))</f>
        <v/>
      </c>
      <c r="T783">
        <f>IF($R783="","",IF(INDEX('입력_구리근무자명단'!$A781:$ZZ781,1,$E$2+3)&amp;""="",EOMONTH(급여기준월,0),IF(ISNUMBER(INDEX('입력_구리근무자명단'!$A781:$ZZ781,1,$E$2+3)),INDEX('입력_구리근무자명단'!$A781:$ZZ781,1,$E$2+3),IFERROR(DATE(VALUE(LEFT(INDEX('입력_구리근무자명단'!$A781:$ZZ781,1,$E$2+3),4)),VALUE(MID(INDEX('입력_구리근무자명단'!$A781:$ZZ781,1,$E$2+3),6,2)),VALUE(MID(INDEX('입력_구리근무자명단'!$A781:$ZZ781,1,$E$2+3),9,2))),-1))))</f>
        <v/>
      </c>
      <c r="U783">
        <f>IF($R783="","",IF(OR($S783&lt;0,$T783&lt;0),0,MAX(0,MIN($T783,EOMONTH(급여기준월,0))-MAX($S783,급여기준월)+1)))</f>
        <v/>
      </c>
      <c r="V783">
        <f>IF($R783="","",TRIM(INDEX('입력_구리근무자명단'!$A781:$ZZ781,1,$E$2+5)&amp;""))</f>
        <v/>
      </c>
      <c r="W783">
        <f>IF(ISNUMBER(SEARCH("구리독자",$V783)),"구리독자","")</f>
        <v/>
      </c>
      <c r="X783">
        <f>IF($R783="","",$R783&amp;"|"&amp;IF(OR($Q783="인턴",ISNUMBER(SEARCH("수련교육부",$P783))),"인턴",$P783))</f>
        <v/>
      </c>
      <c r="Y783">
        <f>IF($R783="","",IF(COUNTIF(명단표[이름|과],$X783)=1,"명단 일치",IF(AND(COUNTIF(명단표[이름|과],$X783)=0,COUNTIF(명단표[이름],$R783)=1),"명단 일치(이름만, 과 다름)",IF(COUNTIF(명단표[이름],$R783)=0,IF(COUNTIF(기본자료표[이름],$R783)&gt;0,"명단에 없음(기본자료에는 있음)","명단에 없음"),"동명이인 확인"))))</f>
        <v/>
      </c>
      <c r="Z783">
        <f>IF($R783="","",IF($S783&lt;0,"⚠"&amp;INDEX('입력_구리근무자명단'!$A781:$ZZ781,1,$E$2+2),TEXT($S783,"yyyy-mm-dd")))</f>
        <v/>
      </c>
      <c r="AA783">
        <f>IF($R783="","",IF($T783&lt;0,"⚠"&amp;INDEX('입력_구리근무자명단'!$A781:$ZZ781,1,$E$2+3),TEXT($T783,"yyyy-mm-dd")))</f>
        <v/>
      </c>
      <c r="AB783">
        <f>AB782+IF($R783="",0,1)</f>
        <v/>
      </c>
      <c r="AC783">
        <f>IF($R783="","",$AB783)</f>
        <v/>
      </c>
    </row>
    <row r="784">
      <c r="O784">
        <f>782</f>
        <v/>
      </c>
      <c r="P784">
        <f>IF(TRIM('입력_구리근무자명단'!$A782&amp;"")&lt;&gt;"",TRIM('입력_구리근무자명단'!$A782&amp;""),P783)</f>
        <v/>
      </c>
      <c r="Q784">
        <f>'입력_구리근무자명단'!$B782&amp;""</f>
        <v/>
      </c>
      <c r="R784">
        <f>IF($E$2="","",TRIM(INDEX('입력_구리근무자명단'!$A782:$ZZ782,1,$E$2+IF($G$2="확정",1,0))&amp;""))</f>
        <v/>
      </c>
      <c r="S784">
        <f>IF($R784="","",IF(INDEX('입력_구리근무자명단'!$A782:$ZZ782,1,$E$2+2)&amp;""="",급여기준월,IF(ISNUMBER(INDEX('입력_구리근무자명단'!$A782:$ZZ782,1,$E$2+2)),INDEX('입력_구리근무자명단'!$A782:$ZZ782,1,$E$2+2),IFERROR(DATE(VALUE(LEFT(INDEX('입력_구리근무자명단'!$A782:$ZZ782,1,$E$2+2),4)),VALUE(MID(INDEX('입력_구리근무자명단'!$A782:$ZZ782,1,$E$2+2),6,2)),VALUE(MID(INDEX('입력_구리근무자명단'!$A782:$ZZ782,1,$E$2+2),9,2))),-1))))</f>
        <v/>
      </c>
      <c r="T784">
        <f>IF($R784="","",IF(INDEX('입력_구리근무자명단'!$A782:$ZZ782,1,$E$2+3)&amp;""="",EOMONTH(급여기준월,0),IF(ISNUMBER(INDEX('입력_구리근무자명단'!$A782:$ZZ782,1,$E$2+3)),INDEX('입력_구리근무자명단'!$A782:$ZZ782,1,$E$2+3),IFERROR(DATE(VALUE(LEFT(INDEX('입력_구리근무자명단'!$A782:$ZZ782,1,$E$2+3),4)),VALUE(MID(INDEX('입력_구리근무자명단'!$A782:$ZZ782,1,$E$2+3),6,2)),VALUE(MID(INDEX('입력_구리근무자명단'!$A782:$ZZ782,1,$E$2+3),9,2))),-1))))</f>
        <v/>
      </c>
      <c r="U784">
        <f>IF($R784="","",IF(OR($S784&lt;0,$T784&lt;0),0,MAX(0,MIN($T784,EOMONTH(급여기준월,0))-MAX($S784,급여기준월)+1)))</f>
        <v/>
      </c>
      <c r="V784">
        <f>IF($R784="","",TRIM(INDEX('입력_구리근무자명단'!$A782:$ZZ782,1,$E$2+5)&amp;""))</f>
        <v/>
      </c>
      <c r="W784">
        <f>IF(ISNUMBER(SEARCH("구리독자",$V784)),"구리독자","")</f>
        <v/>
      </c>
      <c r="X784">
        <f>IF($R784="","",$R784&amp;"|"&amp;IF(OR($Q784="인턴",ISNUMBER(SEARCH("수련교육부",$P784))),"인턴",$P784))</f>
        <v/>
      </c>
      <c r="Y784">
        <f>IF($R784="","",IF(COUNTIF(명단표[이름|과],$X784)=1,"명단 일치",IF(AND(COUNTIF(명단표[이름|과],$X784)=0,COUNTIF(명단표[이름],$R784)=1),"명단 일치(이름만, 과 다름)",IF(COUNTIF(명단표[이름],$R784)=0,IF(COUNTIF(기본자료표[이름],$R784)&gt;0,"명단에 없음(기본자료에는 있음)","명단에 없음"),"동명이인 확인"))))</f>
        <v/>
      </c>
      <c r="Z784">
        <f>IF($R784="","",IF($S784&lt;0,"⚠"&amp;INDEX('입력_구리근무자명단'!$A782:$ZZ782,1,$E$2+2),TEXT($S784,"yyyy-mm-dd")))</f>
        <v/>
      </c>
      <c r="AA784">
        <f>IF($R784="","",IF($T784&lt;0,"⚠"&amp;INDEX('입력_구리근무자명단'!$A782:$ZZ782,1,$E$2+3),TEXT($T784,"yyyy-mm-dd")))</f>
        <v/>
      </c>
      <c r="AB784">
        <f>AB783+IF($R784="",0,1)</f>
        <v/>
      </c>
      <c r="AC784">
        <f>IF($R784="","",$AB784)</f>
        <v/>
      </c>
    </row>
    <row r="785">
      <c r="O785">
        <f>783</f>
        <v/>
      </c>
      <c r="P785">
        <f>IF(TRIM('입력_구리근무자명단'!$A783&amp;"")&lt;&gt;"",TRIM('입력_구리근무자명단'!$A783&amp;""),P784)</f>
        <v/>
      </c>
      <c r="Q785">
        <f>'입력_구리근무자명단'!$B783&amp;""</f>
        <v/>
      </c>
      <c r="R785">
        <f>IF($E$2="","",TRIM(INDEX('입력_구리근무자명단'!$A783:$ZZ783,1,$E$2+IF($G$2="확정",1,0))&amp;""))</f>
        <v/>
      </c>
      <c r="S785">
        <f>IF($R785="","",IF(INDEX('입력_구리근무자명단'!$A783:$ZZ783,1,$E$2+2)&amp;""="",급여기준월,IF(ISNUMBER(INDEX('입력_구리근무자명단'!$A783:$ZZ783,1,$E$2+2)),INDEX('입력_구리근무자명단'!$A783:$ZZ783,1,$E$2+2),IFERROR(DATE(VALUE(LEFT(INDEX('입력_구리근무자명단'!$A783:$ZZ783,1,$E$2+2),4)),VALUE(MID(INDEX('입력_구리근무자명단'!$A783:$ZZ783,1,$E$2+2),6,2)),VALUE(MID(INDEX('입력_구리근무자명단'!$A783:$ZZ783,1,$E$2+2),9,2))),-1))))</f>
        <v/>
      </c>
      <c r="T785">
        <f>IF($R785="","",IF(INDEX('입력_구리근무자명단'!$A783:$ZZ783,1,$E$2+3)&amp;""="",EOMONTH(급여기준월,0),IF(ISNUMBER(INDEX('입력_구리근무자명단'!$A783:$ZZ783,1,$E$2+3)),INDEX('입력_구리근무자명단'!$A783:$ZZ783,1,$E$2+3),IFERROR(DATE(VALUE(LEFT(INDEX('입력_구리근무자명단'!$A783:$ZZ783,1,$E$2+3),4)),VALUE(MID(INDEX('입력_구리근무자명단'!$A783:$ZZ783,1,$E$2+3),6,2)),VALUE(MID(INDEX('입력_구리근무자명단'!$A783:$ZZ783,1,$E$2+3),9,2))),-1))))</f>
        <v/>
      </c>
      <c r="U785">
        <f>IF($R785="","",IF(OR($S785&lt;0,$T785&lt;0),0,MAX(0,MIN($T785,EOMONTH(급여기준월,0))-MAX($S785,급여기준월)+1)))</f>
        <v/>
      </c>
      <c r="V785">
        <f>IF($R785="","",TRIM(INDEX('입력_구리근무자명단'!$A783:$ZZ783,1,$E$2+5)&amp;""))</f>
        <v/>
      </c>
      <c r="W785">
        <f>IF(ISNUMBER(SEARCH("구리독자",$V785)),"구리독자","")</f>
        <v/>
      </c>
      <c r="X785">
        <f>IF($R785="","",$R785&amp;"|"&amp;IF(OR($Q785="인턴",ISNUMBER(SEARCH("수련교육부",$P785))),"인턴",$P785))</f>
        <v/>
      </c>
      <c r="Y785">
        <f>IF($R785="","",IF(COUNTIF(명단표[이름|과],$X785)=1,"명단 일치",IF(AND(COUNTIF(명단표[이름|과],$X785)=0,COUNTIF(명단표[이름],$R785)=1),"명단 일치(이름만, 과 다름)",IF(COUNTIF(명단표[이름],$R785)=0,IF(COUNTIF(기본자료표[이름],$R785)&gt;0,"명단에 없음(기본자료에는 있음)","명단에 없음"),"동명이인 확인"))))</f>
        <v/>
      </c>
      <c r="Z785">
        <f>IF($R785="","",IF($S785&lt;0,"⚠"&amp;INDEX('입력_구리근무자명단'!$A783:$ZZ783,1,$E$2+2),TEXT($S785,"yyyy-mm-dd")))</f>
        <v/>
      </c>
      <c r="AA785">
        <f>IF($R785="","",IF($T785&lt;0,"⚠"&amp;INDEX('입력_구리근무자명단'!$A783:$ZZ783,1,$E$2+3),TEXT($T785,"yyyy-mm-dd")))</f>
        <v/>
      </c>
      <c r="AB785">
        <f>AB784+IF($R785="",0,1)</f>
        <v/>
      </c>
      <c r="AC785">
        <f>IF($R785="","",$AB785)</f>
        <v/>
      </c>
    </row>
    <row r="786">
      <c r="O786">
        <f>784</f>
        <v/>
      </c>
      <c r="P786">
        <f>IF(TRIM('입력_구리근무자명단'!$A784&amp;"")&lt;&gt;"",TRIM('입력_구리근무자명단'!$A784&amp;""),P785)</f>
        <v/>
      </c>
      <c r="Q786">
        <f>'입력_구리근무자명단'!$B784&amp;""</f>
        <v/>
      </c>
      <c r="R786">
        <f>IF($E$2="","",TRIM(INDEX('입력_구리근무자명단'!$A784:$ZZ784,1,$E$2+IF($G$2="확정",1,0))&amp;""))</f>
        <v/>
      </c>
      <c r="S786">
        <f>IF($R786="","",IF(INDEX('입력_구리근무자명단'!$A784:$ZZ784,1,$E$2+2)&amp;""="",급여기준월,IF(ISNUMBER(INDEX('입력_구리근무자명단'!$A784:$ZZ784,1,$E$2+2)),INDEX('입력_구리근무자명단'!$A784:$ZZ784,1,$E$2+2),IFERROR(DATE(VALUE(LEFT(INDEX('입력_구리근무자명단'!$A784:$ZZ784,1,$E$2+2),4)),VALUE(MID(INDEX('입력_구리근무자명단'!$A784:$ZZ784,1,$E$2+2),6,2)),VALUE(MID(INDEX('입력_구리근무자명단'!$A784:$ZZ784,1,$E$2+2),9,2))),-1))))</f>
        <v/>
      </c>
      <c r="T786">
        <f>IF($R786="","",IF(INDEX('입력_구리근무자명단'!$A784:$ZZ784,1,$E$2+3)&amp;""="",EOMONTH(급여기준월,0),IF(ISNUMBER(INDEX('입력_구리근무자명단'!$A784:$ZZ784,1,$E$2+3)),INDEX('입력_구리근무자명단'!$A784:$ZZ784,1,$E$2+3),IFERROR(DATE(VALUE(LEFT(INDEX('입력_구리근무자명단'!$A784:$ZZ784,1,$E$2+3),4)),VALUE(MID(INDEX('입력_구리근무자명단'!$A784:$ZZ784,1,$E$2+3),6,2)),VALUE(MID(INDEX('입력_구리근무자명단'!$A784:$ZZ784,1,$E$2+3),9,2))),-1))))</f>
        <v/>
      </c>
      <c r="U786">
        <f>IF($R786="","",IF(OR($S786&lt;0,$T786&lt;0),0,MAX(0,MIN($T786,EOMONTH(급여기준월,0))-MAX($S786,급여기준월)+1)))</f>
        <v/>
      </c>
      <c r="V786">
        <f>IF($R786="","",TRIM(INDEX('입력_구리근무자명단'!$A784:$ZZ784,1,$E$2+5)&amp;""))</f>
        <v/>
      </c>
      <c r="W786">
        <f>IF(ISNUMBER(SEARCH("구리독자",$V786)),"구리독자","")</f>
        <v/>
      </c>
      <c r="X786">
        <f>IF($R786="","",$R786&amp;"|"&amp;IF(OR($Q786="인턴",ISNUMBER(SEARCH("수련교육부",$P786))),"인턴",$P786))</f>
        <v/>
      </c>
      <c r="Y786">
        <f>IF($R786="","",IF(COUNTIF(명단표[이름|과],$X786)=1,"명단 일치",IF(AND(COUNTIF(명단표[이름|과],$X786)=0,COUNTIF(명단표[이름],$R786)=1),"명단 일치(이름만, 과 다름)",IF(COUNTIF(명단표[이름],$R786)=0,IF(COUNTIF(기본자료표[이름],$R786)&gt;0,"명단에 없음(기본자료에는 있음)","명단에 없음"),"동명이인 확인"))))</f>
        <v/>
      </c>
      <c r="Z786">
        <f>IF($R786="","",IF($S786&lt;0,"⚠"&amp;INDEX('입력_구리근무자명단'!$A784:$ZZ784,1,$E$2+2),TEXT($S786,"yyyy-mm-dd")))</f>
        <v/>
      </c>
      <c r="AA786">
        <f>IF($R786="","",IF($T786&lt;0,"⚠"&amp;INDEX('입력_구리근무자명단'!$A784:$ZZ784,1,$E$2+3),TEXT($T786,"yyyy-mm-dd")))</f>
        <v/>
      </c>
      <c r="AB786">
        <f>AB785+IF($R786="",0,1)</f>
        <v/>
      </c>
      <c r="AC786">
        <f>IF($R786="","",$AB786)</f>
        <v/>
      </c>
    </row>
    <row r="787">
      <c r="O787">
        <f>785</f>
        <v/>
      </c>
      <c r="P787">
        <f>IF(TRIM('입력_구리근무자명단'!$A785&amp;"")&lt;&gt;"",TRIM('입력_구리근무자명단'!$A785&amp;""),P786)</f>
        <v/>
      </c>
      <c r="Q787">
        <f>'입력_구리근무자명단'!$B785&amp;""</f>
        <v/>
      </c>
      <c r="R787">
        <f>IF($E$2="","",TRIM(INDEX('입력_구리근무자명단'!$A785:$ZZ785,1,$E$2+IF($G$2="확정",1,0))&amp;""))</f>
        <v/>
      </c>
      <c r="S787">
        <f>IF($R787="","",IF(INDEX('입력_구리근무자명단'!$A785:$ZZ785,1,$E$2+2)&amp;""="",급여기준월,IF(ISNUMBER(INDEX('입력_구리근무자명단'!$A785:$ZZ785,1,$E$2+2)),INDEX('입력_구리근무자명단'!$A785:$ZZ785,1,$E$2+2),IFERROR(DATE(VALUE(LEFT(INDEX('입력_구리근무자명단'!$A785:$ZZ785,1,$E$2+2),4)),VALUE(MID(INDEX('입력_구리근무자명단'!$A785:$ZZ785,1,$E$2+2),6,2)),VALUE(MID(INDEX('입력_구리근무자명단'!$A785:$ZZ785,1,$E$2+2),9,2))),-1))))</f>
        <v/>
      </c>
      <c r="T787">
        <f>IF($R787="","",IF(INDEX('입력_구리근무자명단'!$A785:$ZZ785,1,$E$2+3)&amp;""="",EOMONTH(급여기준월,0),IF(ISNUMBER(INDEX('입력_구리근무자명단'!$A785:$ZZ785,1,$E$2+3)),INDEX('입력_구리근무자명단'!$A785:$ZZ785,1,$E$2+3),IFERROR(DATE(VALUE(LEFT(INDEX('입력_구리근무자명단'!$A785:$ZZ785,1,$E$2+3),4)),VALUE(MID(INDEX('입력_구리근무자명단'!$A785:$ZZ785,1,$E$2+3),6,2)),VALUE(MID(INDEX('입력_구리근무자명단'!$A785:$ZZ785,1,$E$2+3),9,2))),-1))))</f>
        <v/>
      </c>
      <c r="U787">
        <f>IF($R787="","",IF(OR($S787&lt;0,$T787&lt;0),0,MAX(0,MIN($T787,EOMONTH(급여기준월,0))-MAX($S787,급여기준월)+1)))</f>
        <v/>
      </c>
      <c r="V787">
        <f>IF($R787="","",TRIM(INDEX('입력_구리근무자명단'!$A785:$ZZ785,1,$E$2+5)&amp;""))</f>
        <v/>
      </c>
      <c r="W787">
        <f>IF(ISNUMBER(SEARCH("구리독자",$V787)),"구리독자","")</f>
        <v/>
      </c>
      <c r="X787">
        <f>IF($R787="","",$R787&amp;"|"&amp;IF(OR($Q787="인턴",ISNUMBER(SEARCH("수련교육부",$P787))),"인턴",$P787))</f>
        <v/>
      </c>
      <c r="Y787">
        <f>IF($R787="","",IF(COUNTIF(명단표[이름|과],$X787)=1,"명단 일치",IF(AND(COUNTIF(명단표[이름|과],$X787)=0,COUNTIF(명단표[이름],$R787)=1),"명단 일치(이름만, 과 다름)",IF(COUNTIF(명단표[이름],$R787)=0,IF(COUNTIF(기본자료표[이름],$R787)&gt;0,"명단에 없음(기본자료에는 있음)","명단에 없음"),"동명이인 확인"))))</f>
        <v/>
      </c>
      <c r="Z787">
        <f>IF($R787="","",IF($S787&lt;0,"⚠"&amp;INDEX('입력_구리근무자명단'!$A785:$ZZ785,1,$E$2+2),TEXT($S787,"yyyy-mm-dd")))</f>
        <v/>
      </c>
      <c r="AA787">
        <f>IF($R787="","",IF($T787&lt;0,"⚠"&amp;INDEX('입력_구리근무자명단'!$A785:$ZZ785,1,$E$2+3),TEXT($T787,"yyyy-mm-dd")))</f>
        <v/>
      </c>
      <c r="AB787">
        <f>AB786+IF($R787="",0,1)</f>
        <v/>
      </c>
      <c r="AC787">
        <f>IF($R787="","",$AB787)</f>
        <v/>
      </c>
    </row>
    <row r="788">
      <c r="O788">
        <f>786</f>
        <v/>
      </c>
      <c r="P788">
        <f>IF(TRIM('입력_구리근무자명단'!$A786&amp;"")&lt;&gt;"",TRIM('입력_구리근무자명단'!$A786&amp;""),P787)</f>
        <v/>
      </c>
      <c r="Q788">
        <f>'입력_구리근무자명단'!$B786&amp;""</f>
        <v/>
      </c>
      <c r="R788">
        <f>IF($E$2="","",TRIM(INDEX('입력_구리근무자명단'!$A786:$ZZ786,1,$E$2+IF($G$2="확정",1,0))&amp;""))</f>
        <v/>
      </c>
      <c r="S788">
        <f>IF($R788="","",IF(INDEX('입력_구리근무자명단'!$A786:$ZZ786,1,$E$2+2)&amp;""="",급여기준월,IF(ISNUMBER(INDEX('입력_구리근무자명단'!$A786:$ZZ786,1,$E$2+2)),INDEX('입력_구리근무자명단'!$A786:$ZZ786,1,$E$2+2),IFERROR(DATE(VALUE(LEFT(INDEX('입력_구리근무자명단'!$A786:$ZZ786,1,$E$2+2),4)),VALUE(MID(INDEX('입력_구리근무자명단'!$A786:$ZZ786,1,$E$2+2),6,2)),VALUE(MID(INDEX('입력_구리근무자명단'!$A786:$ZZ786,1,$E$2+2),9,2))),-1))))</f>
        <v/>
      </c>
      <c r="T788">
        <f>IF($R788="","",IF(INDEX('입력_구리근무자명단'!$A786:$ZZ786,1,$E$2+3)&amp;""="",EOMONTH(급여기준월,0),IF(ISNUMBER(INDEX('입력_구리근무자명단'!$A786:$ZZ786,1,$E$2+3)),INDEX('입력_구리근무자명단'!$A786:$ZZ786,1,$E$2+3),IFERROR(DATE(VALUE(LEFT(INDEX('입력_구리근무자명단'!$A786:$ZZ786,1,$E$2+3),4)),VALUE(MID(INDEX('입력_구리근무자명단'!$A786:$ZZ786,1,$E$2+3),6,2)),VALUE(MID(INDEX('입력_구리근무자명단'!$A786:$ZZ786,1,$E$2+3),9,2))),-1))))</f>
        <v/>
      </c>
      <c r="U788">
        <f>IF($R788="","",IF(OR($S788&lt;0,$T788&lt;0),0,MAX(0,MIN($T788,EOMONTH(급여기준월,0))-MAX($S788,급여기준월)+1)))</f>
        <v/>
      </c>
      <c r="V788">
        <f>IF($R788="","",TRIM(INDEX('입력_구리근무자명단'!$A786:$ZZ786,1,$E$2+5)&amp;""))</f>
        <v/>
      </c>
      <c r="W788">
        <f>IF(ISNUMBER(SEARCH("구리독자",$V788)),"구리독자","")</f>
        <v/>
      </c>
      <c r="X788">
        <f>IF($R788="","",$R788&amp;"|"&amp;IF(OR($Q788="인턴",ISNUMBER(SEARCH("수련교육부",$P788))),"인턴",$P788))</f>
        <v/>
      </c>
      <c r="Y788">
        <f>IF($R788="","",IF(COUNTIF(명단표[이름|과],$X788)=1,"명단 일치",IF(AND(COUNTIF(명단표[이름|과],$X788)=0,COUNTIF(명단표[이름],$R788)=1),"명단 일치(이름만, 과 다름)",IF(COUNTIF(명단표[이름],$R788)=0,IF(COUNTIF(기본자료표[이름],$R788)&gt;0,"명단에 없음(기본자료에는 있음)","명단에 없음"),"동명이인 확인"))))</f>
        <v/>
      </c>
      <c r="Z788">
        <f>IF($R788="","",IF($S788&lt;0,"⚠"&amp;INDEX('입력_구리근무자명단'!$A786:$ZZ786,1,$E$2+2),TEXT($S788,"yyyy-mm-dd")))</f>
        <v/>
      </c>
      <c r="AA788">
        <f>IF($R788="","",IF($T788&lt;0,"⚠"&amp;INDEX('입력_구리근무자명단'!$A786:$ZZ786,1,$E$2+3),TEXT($T788,"yyyy-mm-dd")))</f>
        <v/>
      </c>
      <c r="AB788">
        <f>AB787+IF($R788="",0,1)</f>
        <v/>
      </c>
      <c r="AC788">
        <f>IF($R788="","",$AB788)</f>
        <v/>
      </c>
    </row>
    <row r="789">
      <c r="O789">
        <f>787</f>
        <v/>
      </c>
      <c r="P789">
        <f>IF(TRIM('입력_구리근무자명단'!$A787&amp;"")&lt;&gt;"",TRIM('입력_구리근무자명단'!$A787&amp;""),P788)</f>
        <v/>
      </c>
      <c r="Q789">
        <f>'입력_구리근무자명단'!$B787&amp;""</f>
        <v/>
      </c>
      <c r="R789">
        <f>IF($E$2="","",TRIM(INDEX('입력_구리근무자명단'!$A787:$ZZ787,1,$E$2+IF($G$2="확정",1,0))&amp;""))</f>
        <v/>
      </c>
      <c r="S789">
        <f>IF($R789="","",IF(INDEX('입력_구리근무자명단'!$A787:$ZZ787,1,$E$2+2)&amp;""="",급여기준월,IF(ISNUMBER(INDEX('입력_구리근무자명단'!$A787:$ZZ787,1,$E$2+2)),INDEX('입력_구리근무자명단'!$A787:$ZZ787,1,$E$2+2),IFERROR(DATE(VALUE(LEFT(INDEX('입력_구리근무자명단'!$A787:$ZZ787,1,$E$2+2),4)),VALUE(MID(INDEX('입력_구리근무자명단'!$A787:$ZZ787,1,$E$2+2),6,2)),VALUE(MID(INDEX('입력_구리근무자명단'!$A787:$ZZ787,1,$E$2+2),9,2))),-1))))</f>
        <v/>
      </c>
      <c r="T789">
        <f>IF($R789="","",IF(INDEX('입력_구리근무자명단'!$A787:$ZZ787,1,$E$2+3)&amp;""="",EOMONTH(급여기준월,0),IF(ISNUMBER(INDEX('입력_구리근무자명단'!$A787:$ZZ787,1,$E$2+3)),INDEX('입력_구리근무자명단'!$A787:$ZZ787,1,$E$2+3),IFERROR(DATE(VALUE(LEFT(INDEX('입력_구리근무자명단'!$A787:$ZZ787,1,$E$2+3),4)),VALUE(MID(INDEX('입력_구리근무자명단'!$A787:$ZZ787,1,$E$2+3),6,2)),VALUE(MID(INDEX('입력_구리근무자명단'!$A787:$ZZ787,1,$E$2+3),9,2))),-1))))</f>
        <v/>
      </c>
      <c r="U789">
        <f>IF($R789="","",IF(OR($S789&lt;0,$T789&lt;0),0,MAX(0,MIN($T789,EOMONTH(급여기준월,0))-MAX($S789,급여기준월)+1)))</f>
        <v/>
      </c>
      <c r="V789">
        <f>IF($R789="","",TRIM(INDEX('입력_구리근무자명단'!$A787:$ZZ787,1,$E$2+5)&amp;""))</f>
        <v/>
      </c>
      <c r="W789">
        <f>IF(ISNUMBER(SEARCH("구리독자",$V789)),"구리독자","")</f>
        <v/>
      </c>
      <c r="X789">
        <f>IF($R789="","",$R789&amp;"|"&amp;IF(OR($Q789="인턴",ISNUMBER(SEARCH("수련교육부",$P789))),"인턴",$P789))</f>
        <v/>
      </c>
      <c r="Y789">
        <f>IF($R789="","",IF(COUNTIF(명단표[이름|과],$X789)=1,"명단 일치",IF(AND(COUNTIF(명단표[이름|과],$X789)=0,COUNTIF(명단표[이름],$R789)=1),"명단 일치(이름만, 과 다름)",IF(COUNTIF(명단표[이름],$R789)=0,IF(COUNTIF(기본자료표[이름],$R789)&gt;0,"명단에 없음(기본자료에는 있음)","명단에 없음"),"동명이인 확인"))))</f>
        <v/>
      </c>
      <c r="Z789">
        <f>IF($R789="","",IF($S789&lt;0,"⚠"&amp;INDEX('입력_구리근무자명단'!$A787:$ZZ787,1,$E$2+2),TEXT($S789,"yyyy-mm-dd")))</f>
        <v/>
      </c>
      <c r="AA789">
        <f>IF($R789="","",IF($T789&lt;0,"⚠"&amp;INDEX('입력_구리근무자명단'!$A787:$ZZ787,1,$E$2+3),TEXT($T789,"yyyy-mm-dd")))</f>
        <v/>
      </c>
      <c r="AB789">
        <f>AB788+IF($R789="",0,1)</f>
        <v/>
      </c>
      <c r="AC789">
        <f>IF($R789="","",$AB789)</f>
        <v/>
      </c>
    </row>
    <row r="790">
      <c r="O790">
        <f>788</f>
        <v/>
      </c>
      <c r="P790">
        <f>IF(TRIM('입력_구리근무자명단'!$A788&amp;"")&lt;&gt;"",TRIM('입력_구리근무자명단'!$A788&amp;""),P789)</f>
        <v/>
      </c>
      <c r="Q790">
        <f>'입력_구리근무자명단'!$B788&amp;""</f>
        <v/>
      </c>
      <c r="R790">
        <f>IF($E$2="","",TRIM(INDEX('입력_구리근무자명단'!$A788:$ZZ788,1,$E$2+IF($G$2="확정",1,0))&amp;""))</f>
        <v/>
      </c>
      <c r="S790">
        <f>IF($R790="","",IF(INDEX('입력_구리근무자명단'!$A788:$ZZ788,1,$E$2+2)&amp;""="",급여기준월,IF(ISNUMBER(INDEX('입력_구리근무자명단'!$A788:$ZZ788,1,$E$2+2)),INDEX('입력_구리근무자명단'!$A788:$ZZ788,1,$E$2+2),IFERROR(DATE(VALUE(LEFT(INDEX('입력_구리근무자명단'!$A788:$ZZ788,1,$E$2+2),4)),VALUE(MID(INDEX('입력_구리근무자명단'!$A788:$ZZ788,1,$E$2+2),6,2)),VALUE(MID(INDEX('입력_구리근무자명단'!$A788:$ZZ788,1,$E$2+2),9,2))),-1))))</f>
        <v/>
      </c>
      <c r="T790">
        <f>IF($R790="","",IF(INDEX('입력_구리근무자명단'!$A788:$ZZ788,1,$E$2+3)&amp;""="",EOMONTH(급여기준월,0),IF(ISNUMBER(INDEX('입력_구리근무자명단'!$A788:$ZZ788,1,$E$2+3)),INDEX('입력_구리근무자명단'!$A788:$ZZ788,1,$E$2+3),IFERROR(DATE(VALUE(LEFT(INDEX('입력_구리근무자명단'!$A788:$ZZ788,1,$E$2+3),4)),VALUE(MID(INDEX('입력_구리근무자명단'!$A788:$ZZ788,1,$E$2+3),6,2)),VALUE(MID(INDEX('입력_구리근무자명단'!$A788:$ZZ788,1,$E$2+3),9,2))),-1))))</f>
        <v/>
      </c>
      <c r="U790">
        <f>IF($R790="","",IF(OR($S790&lt;0,$T790&lt;0),0,MAX(0,MIN($T790,EOMONTH(급여기준월,0))-MAX($S790,급여기준월)+1)))</f>
        <v/>
      </c>
      <c r="V790">
        <f>IF($R790="","",TRIM(INDEX('입력_구리근무자명단'!$A788:$ZZ788,1,$E$2+5)&amp;""))</f>
        <v/>
      </c>
      <c r="W790">
        <f>IF(ISNUMBER(SEARCH("구리독자",$V790)),"구리독자","")</f>
        <v/>
      </c>
      <c r="X790">
        <f>IF($R790="","",$R790&amp;"|"&amp;IF(OR($Q790="인턴",ISNUMBER(SEARCH("수련교육부",$P790))),"인턴",$P790))</f>
        <v/>
      </c>
      <c r="Y790">
        <f>IF($R790="","",IF(COUNTIF(명단표[이름|과],$X790)=1,"명단 일치",IF(AND(COUNTIF(명단표[이름|과],$X790)=0,COUNTIF(명단표[이름],$R790)=1),"명단 일치(이름만, 과 다름)",IF(COUNTIF(명단표[이름],$R790)=0,IF(COUNTIF(기본자료표[이름],$R790)&gt;0,"명단에 없음(기본자료에는 있음)","명단에 없음"),"동명이인 확인"))))</f>
        <v/>
      </c>
      <c r="Z790">
        <f>IF($R790="","",IF($S790&lt;0,"⚠"&amp;INDEX('입력_구리근무자명단'!$A788:$ZZ788,1,$E$2+2),TEXT($S790,"yyyy-mm-dd")))</f>
        <v/>
      </c>
      <c r="AA790">
        <f>IF($R790="","",IF($T790&lt;0,"⚠"&amp;INDEX('입력_구리근무자명단'!$A788:$ZZ788,1,$E$2+3),TEXT($T790,"yyyy-mm-dd")))</f>
        <v/>
      </c>
      <c r="AB790">
        <f>AB789+IF($R790="",0,1)</f>
        <v/>
      </c>
      <c r="AC790">
        <f>IF($R790="","",$AB790)</f>
        <v/>
      </c>
    </row>
    <row r="791">
      <c r="O791">
        <f>789</f>
        <v/>
      </c>
      <c r="P791">
        <f>IF(TRIM('입력_구리근무자명단'!$A789&amp;"")&lt;&gt;"",TRIM('입력_구리근무자명단'!$A789&amp;""),P790)</f>
        <v/>
      </c>
      <c r="Q791">
        <f>'입력_구리근무자명단'!$B789&amp;""</f>
        <v/>
      </c>
      <c r="R791">
        <f>IF($E$2="","",TRIM(INDEX('입력_구리근무자명단'!$A789:$ZZ789,1,$E$2+IF($G$2="확정",1,0))&amp;""))</f>
        <v/>
      </c>
      <c r="S791">
        <f>IF($R791="","",IF(INDEX('입력_구리근무자명단'!$A789:$ZZ789,1,$E$2+2)&amp;""="",급여기준월,IF(ISNUMBER(INDEX('입력_구리근무자명단'!$A789:$ZZ789,1,$E$2+2)),INDEX('입력_구리근무자명단'!$A789:$ZZ789,1,$E$2+2),IFERROR(DATE(VALUE(LEFT(INDEX('입력_구리근무자명단'!$A789:$ZZ789,1,$E$2+2),4)),VALUE(MID(INDEX('입력_구리근무자명단'!$A789:$ZZ789,1,$E$2+2),6,2)),VALUE(MID(INDEX('입력_구리근무자명단'!$A789:$ZZ789,1,$E$2+2),9,2))),-1))))</f>
        <v/>
      </c>
      <c r="T791">
        <f>IF($R791="","",IF(INDEX('입력_구리근무자명단'!$A789:$ZZ789,1,$E$2+3)&amp;""="",EOMONTH(급여기준월,0),IF(ISNUMBER(INDEX('입력_구리근무자명단'!$A789:$ZZ789,1,$E$2+3)),INDEX('입력_구리근무자명단'!$A789:$ZZ789,1,$E$2+3),IFERROR(DATE(VALUE(LEFT(INDEX('입력_구리근무자명단'!$A789:$ZZ789,1,$E$2+3),4)),VALUE(MID(INDEX('입력_구리근무자명단'!$A789:$ZZ789,1,$E$2+3),6,2)),VALUE(MID(INDEX('입력_구리근무자명단'!$A789:$ZZ789,1,$E$2+3),9,2))),-1))))</f>
        <v/>
      </c>
      <c r="U791">
        <f>IF($R791="","",IF(OR($S791&lt;0,$T791&lt;0),0,MAX(0,MIN($T791,EOMONTH(급여기준월,0))-MAX($S791,급여기준월)+1)))</f>
        <v/>
      </c>
      <c r="V791">
        <f>IF($R791="","",TRIM(INDEX('입력_구리근무자명단'!$A789:$ZZ789,1,$E$2+5)&amp;""))</f>
        <v/>
      </c>
      <c r="W791">
        <f>IF(ISNUMBER(SEARCH("구리독자",$V791)),"구리독자","")</f>
        <v/>
      </c>
      <c r="X791">
        <f>IF($R791="","",$R791&amp;"|"&amp;IF(OR($Q791="인턴",ISNUMBER(SEARCH("수련교육부",$P791))),"인턴",$P791))</f>
        <v/>
      </c>
      <c r="Y791">
        <f>IF($R791="","",IF(COUNTIF(명단표[이름|과],$X791)=1,"명단 일치",IF(AND(COUNTIF(명단표[이름|과],$X791)=0,COUNTIF(명단표[이름],$R791)=1),"명단 일치(이름만, 과 다름)",IF(COUNTIF(명단표[이름],$R791)=0,IF(COUNTIF(기본자료표[이름],$R791)&gt;0,"명단에 없음(기본자료에는 있음)","명단에 없음"),"동명이인 확인"))))</f>
        <v/>
      </c>
      <c r="Z791">
        <f>IF($R791="","",IF($S791&lt;0,"⚠"&amp;INDEX('입력_구리근무자명단'!$A789:$ZZ789,1,$E$2+2),TEXT($S791,"yyyy-mm-dd")))</f>
        <v/>
      </c>
      <c r="AA791">
        <f>IF($R791="","",IF($T791&lt;0,"⚠"&amp;INDEX('입력_구리근무자명단'!$A789:$ZZ789,1,$E$2+3),TEXT($T791,"yyyy-mm-dd")))</f>
        <v/>
      </c>
      <c r="AB791">
        <f>AB790+IF($R791="",0,1)</f>
        <v/>
      </c>
      <c r="AC791">
        <f>IF($R791="","",$AB791)</f>
        <v/>
      </c>
    </row>
    <row r="792">
      <c r="O792">
        <f>790</f>
        <v/>
      </c>
      <c r="P792">
        <f>IF(TRIM('입력_구리근무자명단'!$A790&amp;"")&lt;&gt;"",TRIM('입력_구리근무자명단'!$A790&amp;""),P791)</f>
        <v/>
      </c>
      <c r="Q792">
        <f>'입력_구리근무자명단'!$B790&amp;""</f>
        <v/>
      </c>
      <c r="R792">
        <f>IF($E$2="","",TRIM(INDEX('입력_구리근무자명단'!$A790:$ZZ790,1,$E$2+IF($G$2="확정",1,0))&amp;""))</f>
        <v/>
      </c>
      <c r="S792">
        <f>IF($R792="","",IF(INDEX('입력_구리근무자명단'!$A790:$ZZ790,1,$E$2+2)&amp;""="",급여기준월,IF(ISNUMBER(INDEX('입력_구리근무자명단'!$A790:$ZZ790,1,$E$2+2)),INDEX('입력_구리근무자명단'!$A790:$ZZ790,1,$E$2+2),IFERROR(DATE(VALUE(LEFT(INDEX('입력_구리근무자명단'!$A790:$ZZ790,1,$E$2+2),4)),VALUE(MID(INDEX('입력_구리근무자명단'!$A790:$ZZ790,1,$E$2+2),6,2)),VALUE(MID(INDEX('입력_구리근무자명단'!$A790:$ZZ790,1,$E$2+2),9,2))),-1))))</f>
        <v/>
      </c>
      <c r="T792">
        <f>IF($R792="","",IF(INDEX('입력_구리근무자명단'!$A790:$ZZ790,1,$E$2+3)&amp;""="",EOMONTH(급여기준월,0),IF(ISNUMBER(INDEX('입력_구리근무자명단'!$A790:$ZZ790,1,$E$2+3)),INDEX('입력_구리근무자명단'!$A790:$ZZ790,1,$E$2+3),IFERROR(DATE(VALUE(LEFT(INDEX('입력_구리근무자명단'!$A790:$ZZ790,1,$E$2+3),4)),VALUE(MID(INDEX('입력_구리근무자명단'!$A790:$ZZ790,1,$E$2+3),6,2)),VALUE(MID(INDEX('입력_구리근무자명단'!$A790:$ZZ790,1,$E$2+3),9,2))),-1))))</f>
        <v/>
      </c>
      <c r="U792">
        <f>IF($R792="","",IF(OR($S792&lt;0,$T792&lt;0),0,MAX(0,MIN($T792,EOMONTH(급여기준월,0))-MAX($S792,급여기준월)+1)))</f>
        <v/>
      </c>
      <c r="V792">
        <f>IF($R792="","",TRIM(INDEX('입력_구리근무자명단'!$A790:$ZZ790,1,$E$2+5)&amp;""))</f>
        <v/>
      </c>
      <c r="W792">
        <f>IF(ISNUMBER(SEARCH("구리독자",$V792)),"구리독자","")</f>
        <v/>
      </c>
      <c r="X792">
        <f>IF($R792="","",$R792&amp;"|"&amp;IF(OR($Q792="인턴",ISNUMBER(SEARCH("수련교육부",$P792))),"인턴",$P792))</f>
        <v/>
      </c>
      <c r="Y792">
        <f>IF($R792="","",IF(COUNTIF(명단표[이름|과],$X792)=1,"명단 일치",IF(AND(COUNTIF(명단표[이름|과],$X792)=0,COUNTIF(명단표[이름],$R792)=1),"명단 일치(이름만, 과 다름)",IF(COUNTIF(명단표[이름],$R792)=0,IF(COUNTIF(기본자료표[이름],$R792)&gt;0,"명단에 없음(기본자료에는 있음)","명단에 없음"),"동명이인 확인"))))</f>
        <v/>
      </c>
      <c r="Z792">
        <f>IF($R792="","",IF($S792&lt;0,"⚠"&amp;INDEX('입력_구리근무자명단'!$A790:$ZZ790,1,$E$2+2),TEXT($S792,"yyyy-mm-dd")))</f>
        <v/>
      </c>
      <c r="AA792">
        <f>IF($R792="","",IF($T792&lt;0,"⚠"&amp;INDEX('입력_구리근무자명단'!$A790:$ZZ790,1,$E$2+3),TEXT($T792,"yyyy-mm-dd")))</f>
        <v/>
      </c>
      <c r="AB792">
        <f>AB791+IF($R792="",0,1)</f>
        <v/>
      </c>
      <c r="AC792">
        <f>IF($R792="","",$AB792)</f>
        <v/>
      </c>
    </row>
    <row r="793">
      <c r="O793">
        <f>791</f>
        <v/>
      </c>
      <c r="P793">
        <f>IF(TRIM('입력_구리근무자명단'!$A791&amp;"")&lt;&gt;"",TRIM('입력_구리근무자명단'!$A791&amp;""),P792)</f>
        <v/>
      </c>
      <c r="Q793">
        <f>'입력_구리근무자명단'!$B791&amp;""</f>
        <v/>
      </c>
      <c r="R793">
        <f>IF($E$2="","",TRIM(INDEX('입력_구리근무자명단'!$A791:$ZZ791,1,$E$2+IF($G$2="확정",1,0))&amp;""))</f>
        <v/>
      </c>
      <c r="S793">
        <f>IF($R793="","",IF(INDEX('입력_구리근무자명단'!$A791:$ZZ791,1,$E$2+2)&amp;""="",급여기준월,IF(ISNUMBER(INDEX('입력_구리근무자명단'!$A791:$ZZ791,1,$E$2+2)),INDEX('입력_구리근무자명단'!$A791:$ZZ791,1,$E$2+2),IFERROR(DATE(VALUE(LEFT(INDEX('입력_구리근무자명단'!$A791:$ZZ791,1,$E$2+2),4)),VALUE(MID(INDEX('입력_구리근무자명단'!$A791:$ZZ791,1,$E$2+2),6,2)),VALUE(MID(INDEX('입력_구리근무자명단'!$A791:$ZZ791,1,$E$2+2),9,2))),-1))))</f>
        <v/>
      </c>
      <c r="T793">
        <f>IF($R793="","",IF(INDEX('입력_구리근무자명단'!$A791:$ZZ791,1,$E$2+3)&amp;""="",EOMONTH(급여기준월,0),IF(ISNUMBER(INDEX('입력_구리근무자명단'!$A791:$ZZ791,1,$E$2+3)),INDEX('입력_구리근무자명단'!$A791:$ZZ791,1,$E$2+3),IFERROR(DATE(VALUE(LEFT(INDEX('입력_구리근무자명단'!$A791:$ZZ791,1,$E$2+3),4)),VALUE(MID(INDEX('입력_구리근무자명단'!$A791:$ZZ791,1,$E$2+3),6,2)),VALUE(MID(INDEX('입력_구리근무자명단'!$A791:$ZZ791,1,$E$2+3),9,2))),-1))))</f>
        <v/>
      </c>
      <c r="U793">
        <f>IF($R793="","",IF(OR($S793&lt;0,$T793&lt;0),0,MAX(0,MIN($T793,EOMONTH(급여기준월,0))-MAX($S793,급여기준월)+1)))</f>
        <v/>
      </c>
      <c r="V793">
        <f>IF($R793="","",TRIM(INDEX('입력_구리근무자명단'!$A791:$ZZ791,1,$E$2+5)&amp;""))</f>
        <v/>
      </c>
      <c r="W793">
        <f>IF(ISNUMBER(SEARCH("구리독자",$V793)),"구리독자","")</f>
        <v/>
      </c>
      <c r="X793">
        <f>IF($R793="","",$R793&amp;"|"&amp;IF(OR($Q793="인턴",ISNUMBER(SEARCH("수련교육부",$P793))),"인턴",$P793))</f>
        <v/>
      </c>
      <c r="Y793">
        <f>IF($R793="","",IF(COUNTIF(명단표[이름|과],$X793)=1,"명단 일치",IF(AND(COUNTIF(명단표[이름|과],$X793)=0,COUNTIF(명단표[이름],$R793)=1),"명단 일치(이름만, 과 다름)",IF(COUNTIF(명단표[이름],$R793)=0,IF(COUNTIF(기본자료표[이름],$R793)&gt;0,"명단에 없음(기본자료에는 있음)","명단에 없음"),"동명이인 확인"))))</f>
        <v/>
      </c>
      <c r="Z793">
        <f>IF($R793="","",IF($S793&lt;0,"⚠"&amp;INDEX('입력_구리근무자명단'!$A791:$ZZ791,1,$E$2+2),TEXT($S793,"yyyy-mm-dd")))</f>
        <v/>
      </c>
      <c r="AA793">
        <f>IF($R793="","",IF($T793&lt;0,"⚠"&amp;INDEX('입력_구리근무자명단'!$A791:$ZZ791,1,$E$2+3),TEXT($T793,"yyyy-mm-dd")))</f>
        <v/>
      </c>
      <c r="AB793">
        <f>AB792+IF($R793="",0,1)</f>
        <v/>
      </c>
      <c r="AC793">
        <f>IF($R793="","",$AB793)</f>
        <v/>
      </c>
    </row>
    <row r="794">
      <c r="O794">
        <f>792</f>
        <v/>
      </c>
      <c r="P794">
        <f>IF(TRIM('입력_구리근무자명단'!$A792&amp;"")&lt;&gt;"",TRIM('입력_구리근무자명단'!$A792&amp;""),P793)</f>
        <v/>
      </c>
      <c r="Q794">
        <f>'입력_구리근무자명단'!$B792&amp;""</f>
        <v/>
      </c>
      <c r="R794">
        <f>IF($E$2="","",TRIM(INDEX('입력_구리근무자명단'!$A792:$ZZ792,1,$E$2+IF($G$2="확정",1,0))&amp;""))</f>
        <v/>
      </c>
      <c r="S794">
        <f>IF($R794="","",IF(INDEX('입력_구리근무자명단'!$A792:$ZZ792,1,$E$2+2)&amp;""="",급여기준월,IF(ISNUMBER(INDEX('입력_구리근무자명단'!$A792:$ZZ792,1,$E$2+2)),INDEX('입력_구리근무자명단'!$A792:$ZZ792,1,$E$2+2),IFERROR(DATE(VALUE(LEFT(INDEX('입력_구리근무자명단'!$A792:$ZZ792,1,$E$2+2),4)),VALUE(MID(INDEX('입력_구리근무자명단'!$A792:$ZZ792,1,$E$2+2),6,2)),VALUE(MID(INDEX('입력_구리근무자명단'!$A792:$ZZ792,1,$E$2+2),9,2))),-1))))</f>
        <v/>
      </c>
      <c r="T794">
        <f>IF($R794="","",IF(INDEX('입력_구리근무자명단'!$A792:$ZZ792,1,$E$2+3)&amp;""="",EOMONTH(급여기준월,0),IF(ISNUMBER(INDEX('입력_구리근무자명단'!$A792:$ZZ792,1,$E$2+3)),INDEX('입력_구리근무자명단'!$A792:$ZZ792,1,$E$2+3),IFERROR(DATE(VALUE(LEFT(INDEX('입력_구리근무자명단'!$A792:$ZZ792,1,$E$2+3),4)),VALUE(MID(INDEX('입력_구리근무자명단'!$A792:$ZZ792,1,$E$2+3),6,2)),VALUE(MID(INDEX('입력_구리근무자명단'!$A792:$ZZ792,1,$E$2+3),9,2))),-1))))</f>
        <v/>
      </c>
      <c r="U794">
        <f>IF($R794="","",IF(OR($S794&lt;0,$T794&lt;0),0,MAX(0,MIN($T794,EOMONTH(급여기준월,0))-MAX($S794,급여기준월)+1)))</f>
        <v/>
      </c>
      <c r="V794">
        <f>IF($R794="","",TRIM(INDEX('입력_구리근무자명단'!$A792:$ZZ792,1,$E$2+5)&amp;""))</f>
        <v/>
      </c>
      <c r="W794">
        <f>IF(ISNUMBER(SEARCH("구리독자",$V794)),"구리독자","")</f>
        <v/>
      </c>
      <c r="X794">
        <f>IF($R794="","",$R794&amp;"|"&amp;IF(OR($Q794="인턴",ISNUMBER(SEARCH("수련교육부",$P794))),"인턴",$P794))</f>
        <v/>
      </c>
      <c r="Y794">
        <f>IF($R794="","",IF(COUNTIF(명단표[이름|과],$X794)=1,"명단 일치",IF(AND(COUNTIF(명단표[이름|과],$X794)=0,COUNTIF(명단표[이름],$R794)=1),"명단 일치(이름만, 과 다름)",IF(COUNTIF(명단표[이름],$R794)=0,IF(COUNTIF(기본자료표[이름],$R794)&gt;0,"명단에 없음(기본자료에는 있음)","명단에 없음"),"동명이인 확인"))))</f>
        <v/>
      </c>
      <c r="Z794">
        <f>IF($R794="","",IF($S794&lt;0,"⚠"&amp;INDEX('입력_구리근무자명단'!$A792:$ZZ792,1,$E$2+2),TEXT($S794,"yyyy-mm-dd")))</f>
        <v/>
      </c>
      <c r="AA794">
        <f>IF($R794="","",IF($T794&lt;0,"⚠"&amp;INDEX('입력_구리근무자명단'!$A792:$ZZ792,1,$E$2+3),TEXT($T794,"yyyy-mm-dd")))</f>
        <v/>
      </c>
      <c r="AB794">
        <f>AB793+IF($R794="",0,1)</f>
        <v/>
      </c>
      <c r="AC794">
        <f>IF($R794="","",$AB794)</f>
        <v/>
      </c>
    </row>
    <row r="795">
      <c r="O795">
        <f>793</f>
        <v/>
      </c>
      <c r="P795">
        <f>IF(TRIM('입력_구리근무자명단'!$A793&amp;"")&lt;&gt;"",TRIM('입력_구리근무자명단'!$A793&amp;""),P794)</f>
        <v/>
      </c>
      <c r="Q795">
        <f>'입력_구리근무자명단'!$B793&amp;""</f>
        <v/>
      </c>
      <c r="R795">
        <f>IF($E$2="","",TRIM(INDEX('입력_구리근무자명단'!$A793:$ZZ793,1,$E$2+IF($G$2="확정",1,0))&amp;""))</f>
        <v/>
      </c>
      <c r="S795">
        <f>IF($R795="","",IF(INDEX('입력_구리근무자명단'!$A793:$ZZ793,1,$E$2+2)&amp;""="",급여기준월,IF(ISNUMBER(INDEX('입력_구리근무자명단'!$A793:$ZZ793,1,$E$2+2)),INDEX('입력_구리근무자명단'!$A793:$ZZ793,1,$E$2+2),IFERROR(DATE(VALUE(LEFT(INDEX('입력_구리근무자명단'!$A793:$ZZ793,1,$E$2+2),4)),VALUE(MID(INDEX('입력_구리근무자명단'!$A793:$ZZ793,1,$E$2+2),6,2)),VALUE(MID(INDEX('입력_구리근무자명단'!$A793:$ZZ793,1,$E$2+2),9,2))),-1))))</f>
        <v/>
      </c>
      <c r="T795">
        <f>IF($R795="","",IF(INDEX('입력_구리근무자명단'!$A793:$ZZ793,1,$E$2+3)&amp;""="",EOMONTH(급여기준월,0),IF(ISNUMBER(INDEX('입력_구리근무자명단'!$A793:$ZZ793,1,$E$2+3)),INDEX('입력_구리근무자명단'!$A793:$ZZ793,1,$E$2+3),IFERROR(DATE(VALUE(LEFT(INDEX('입력_구리근무자명단'!$A793:$ZZ793,1,$E$2+3),4)),VALUE(MID(INDEX('입력_구리근무자명단'!$A793:$ZZ793,1,$E$2+3),6,2)),VALUE(MID(INDEX('입력_구리근무자명단'!$A793:$ZZ793,1,$E$2+3),9,2))),-1))))</f>
        <v/>
      </c>
      <c r="U795">
        <f>IF($R795="","",IF(OR($S795&lt;0,$T795&lt;0),0,MAX(0,MIN($T795,EOMONTH(급여기준월,0))-MAX($S795,급여기준월)+1)))</f>
        <v/>
      </c>
      <c r="V795">
        <f>IF($R795="","",TRIM(INDEX('입력_구리근무자명단'!$A793:$ZZ793,1,$E$2+5)&amp;""))</f>
        <v/>
      </c>
      <c r="W795">
        <f>IF(ISNUMBER(SEARCH("구리독자",$V795)),"구리독자","")</f>
        <v/>
      </c>
      <c r="X795">
        <f>IF($R795="","",$R795&amp;"|"&amp;IF(OR($Q795="인턴",ISNUMBER(SEARCH("수련교육부",$P795))),"인턴",$P795))</f>
        <v/>
      </c>
      <c r="Y795">
        <f>IF($R795="","",IF(COUNTIF(명단표[이름|과],$X795)=1,"명단 일치",IF(AND(COUNTIF(명단표[이름|과],$X795)=0,COUNTIF(명단표[이름],$R795)=1),"명단 일치(이름만, 과 다름)",IF(COUNTIF(명단표[이름],$R795)=0,IF(COUNTIF(기본자료표[이름],$R795)&gt;0,"명단에 없음(기본자료에는 있음)","명단에 없음"),"동명이인 확인"))))</f>
        <v/>
      </c>
      <c r="Z795">
        <f>IF($R795="","",IF($S795&lt;0,"⚠"&amp;INDEX('입력_구리근무자명단'!$A793:$ZZ793,1,$E$2+2),TEXT($S795,"yyyy-mm-dd")))</f>
        <v/>
      </c>
      <c r="AA795">
        <f>IF($R795="","",IF($T795&lt;0,"⚠"&amp;INDEX('입력_구리근무자명단'!$A793:$ZZ793,1,$E$2+3),TEXT($T795,"yyyy-mm-dd")))</f>
        <v/>
      </c>
      <c r="AB795">
        <f>AB794+IF($R795="",0,1)</f>
        <v/>
      </c>
      <c r="AC795">
        <f>IF($R795="","",$AB795)</f>
        <v/>
      </c>
    </row>
    <row r="796">
      <c r="O796">
        <f>794</f>
        <v/>
      </c>
      <c r="P796">
        <f>IF(TRIM('입력_구리근무자명단'!$A794&amp;"")&lt;&gt;"",TRIM('입력_구리근무자명단'!$A794&amp;""),P795)</f>
        <v/>
      </c>
      <c r="Q796">
        <f>'입력_구리근무자명단'!$B794&amp;""</f>
        <v/>
      </c>
      <c r="R796">
        <f>IF($E$2="","",TRIM(INDEX('입력_구리근무자명단'!$A794:$ZZ794,1,$E$2+IF($G$2="확정",1,0))&amp;""))</f>
        <v/>
      </c>
      <c r="S796">
        <f>IF($R796="","",IF(INDEX('입력_구리근무자명단'!$A794:$ZZ794,1,$E$2+2)&amp;""="",급여기준월,IF(ISNUMBER(INDEX('입력_구리근무자명단'!$A794:$ZZ794,1,$E$2+2)),INDEX('입력_구리근무자명단'!$A794:$ZZ794,1,$E$2+2),IFERROR(DATE(VALUE(LEFT(INDEX('입력_구리근무자명단'!$A794:$ZZ794,1,$E$2+2),4)),VALUE(MID(INDEX('입력_구리근무자명단'!$A794:$ZZ794,1,$E$2+2),6,2)),VALUE(MID(INDEX('입력_구리근무자명단'!$A794:$ZZ794,1,$E$2+2),9,2))),-1))))</f>
        <v/>
      </c>
      <c r="T796">
        <f>IF($R796="","",IF(INDEX('입력_구리근무자명단'!$A794:$ZZ794,1,$E$2+3)&amp;""="",EOMONTH(급여기준월,0),IF(ISNUMBER(INDEX('입력_구리근무자명단'!$A794:$ZZ794,1,$E$2+3)),INDEX('입력_구리근무자명단'!$A794:$ZZ794,1,$E$2+3),IFERROR(DATE(VALUE(LEFT(INDEX('입력_구리근무자명단'!$A794:$ZZ794,1,$E$2+3),4)),VALUE(MID(INDEX('입력_구리근무자명단'!$A794:$ZZ794,1,$E$2+3),6,2)),VALUE(MID(INDEX('입력_구리근무자명단'!$A794:$ZZ794,1,$E$2+3),9,2))),-1))))</f>
        <v/>
      </c>
      <c r="U796">
        <f>IF($R796="","",IF(OR($S796&lt;0,$T796&lt;0),0,MAX(0,MIN($T796,EOMONTH(급여기준월,0))-MAX($S796,급여기준월)+1)))</f>
        <v/>
      </c>
      <c r="V796">
        <f>IF($R796="","",TRIM(INDEX('입력_구리근무자명단'!$A794:$ZZ794,1,$E$2+5)&amp;""))</f>
        <v/>
      </c>
      <c r="W796">
        <f>IF(ISNUMBER(SEARCH("구리독자",$V796)),"구리독자","")</f>
        <v/>
      </c>
      <c r="X796">
        <f>IF($R796="","",$R796&amp;"|"&amp;IF(OR($Q796="인턴",ISNUMBER(SEARCH("수련교육부",$P796))),"인턴",$P796))</f>
        <v/>
      </c>
      <c r="Y796">
        <f>IF($R796="","",IF(COUNTIF(명단표[이름|과],$X796)=1,"명단 일치",IF(AND(COUNTIF(명단표[이름|과],$X796)=0,COUNTIF(명단표[이름],$R796)=1),"명단 일치(이름만, 과 다름)",IF(COUNTIF(명단표[이름],$R796)=0,IF(COUNTIF(기본자료표[이름],$R796)&gt;0,"명단에 없음(기본자료에는 있음)","명단에 없음"),"동명이인 확인"))))</f>
        <v/>
      </c>
      <c r="Z796">
        <f>IF($R796="","",IF($S796&lt;0,"⚠"&amp;INDEX('입력_구리근무자명단'!$A794:$ZZ794,1,$E$2+2),TEXT($S796,"yyyy-mm-dd")))</f>
        <v/>
      </c>
      <c r="AA796">
        <f>IF($R796="","",IF($T796&lt;0,"⚠"&amp;INDEX('입력_구리근무자명단'!$A794:$ZZ794,1,$E$2+3),TEXT($T796,"yyyy-mm-dd")))</f>
        <v/>
      </c>
      <c r="AB796">
        <f>AB795+IF($R796="",0,1)</f>
        <v/>
      </c>
      <c r="AC796">
        <f>IF($R796="","",$AB796)</f>
        <v/>
      </c>
    </row>
    <row r="797">
      <c r="O797">
        <f>795</f>
        <v/>
      </c>
      <c r="P797">
        <f>IF(TRIM('입력_구리근무자명단'!$A795&amp;"")&lt;&gt;"",TRIM('입력_구리근무자명단'!$A795&amp;""),P796)</f>
        <v/>
      </c>
      <c r="Q797">
        <f>'입력_구리근무자명단'!$B795&amp;""</f>
        <v/>
      </c>
      <c r="R797">
        <f>IF($E$2="","",TRIM(INDEX('입력_구리근무자명단'!$A795:$ZZ795,1,$E$2+IF($G$2="확정",1,0))&amp;""))</f>
        <v/>
      </c>
      <c r="S797">
        <f>IF($R797="","",IF(INDEX('입력_구리근무자명단'!$A795:$ZZ795,1,$E$2+2)&amp;""="",급여기준월,IF(ISNUMBER(INDEX('입력_구리근무자명단'!$A795:$ZZ795,1,$E$2+2)),INDEX('입력_구리근무자명단'!$A795:$ZZ795,1,$E$2+2),IFERROR(DATE(VALUE(LEFT(INDEX('입력_구리근무자명단'!$A795:$ZZ795,1,$E$2+2),4)),VALUE(MID(INDEX('입력_구리근무자명단'!$A795:$ZZ795,1,$E$2+2),6,2)),VALUE(MID(INDEX('입력_구리근무자명단'!$A795:$ZZ795,1,$E$2+2),9,2))),-1))))</f>
        <v/>
      </c>
      <c r="T797">
        <f>IF($R797="","",IF(INDEX('입력_구리근무자명단'!$A795:$ZZ795,1,$E$2+3)&amp;""="",EOMONTH(급여기준월,0),IF(ISNUMBER(INDEX('입력_구리근무자명단'!$A795:$ZZ795,1,$E$2+3)),INDEX('입력_구리근무자명단'!$A795:$ZZ795,1,$E$2+3),IFERROR(DATE(VALUE(LEFT(INDEX('입력_구리근무자명단'!$A795:$ZZ795,1,$E$2+3),4)),VALUE(MID(INDEX('입력_구리근무자명단'!$A795:$ZZ795,1,$E$2+3),6,2)),VALUE(MID(INDEX('입력_구리근무자명단'!$A795:$ZZ795,1,$E$2+3),9,2))),-1))))</f>
        <v/>
      </c>
      <c r="U797">
        <f>IF($R797="","",IF(OR($S797&lt;0,$T797&lt;0),0,MAX(0,MIN($T797,EOMONTH(급여기준월,0))-MAX($S797,급여기준월)+1)))</f>
        <v/>
      </c>
      <c r="V797">
        <f>IF($R797="","",TRIM(INDEX('입력_구리근무자명단'!$A795:$ZZ795,1,$E$2+5)&amp;""))</f>
        <v/>
      </c>
      <c r="W797">
        <f>IF(ISNUMBER(SEARCH("구리독자",$V797)),"구리독자","")</f>
        <v/>
      </c>
      <c r="X797">
        <f>IF($R797="","",$R797&amp;"|"&amp;IF(OR($Q797="인턴",ISNUMBER(SEARCH("수련교육부",$P797))),"인턴",$P797))</f>
        <v/>
      </c>
      <c r="Y797">
        <f>IF($R797="","",IF(COUNTIF(명단표[이름|과],$X797)=1,"명단 일치",IF(AND(COUNTIF(명단표[이름|과],$X797)=0,COUNTIF(명단표[이름],$R797)=1),"명단 일치(이름만, 과 다름)",IF(COUNTIF(명단표[이름],$R797)=0,IF(COUNTIF(기본자료표[이름],$R797)&gt;0,"명단에 없음(기본자료에는 있음)","명단에 없음"),"동명이인 확인"))))</f>
        <v/>
      </c>
      <c r="Z797">
        <f>IF($R797="","",IF($S797&lt;0,"⚠"&amp;INDEX('입력_구리근무자명단'!$A795:$ZZ795,1,$E$2+2),TEXT($S797,"yyyy-mm-dd")))</f>
        <v/>
      </c>
      <c r="AA797">
        <f>IF($R797="","",IF($T797&lt;0,"⚠"&amp;INDEX('입력_구리근무자명단'!$A795:$ZZ795,1,$E$2+3),TEXT($T797,"yyyy-mm-dd")))</f>
        <v/>
      </c>
      <c r="AB797">
        <f>AB796+IF($R797="",0,1)</f>
        <v/>
      </c>
      <c r="AC797">
        <f>IF($R797="","",$AB797)</f>
        <v/>
      </c>
    </row>
    <row r="798">
      <c r="O798">
        <f>796</f>
        <v/>
      </c>
      <c r="P798">
        <f>IF(TRIM('입력_구리근무자명단'!$A796&amp;"")&lt;&gt;"",TRIM('입력_구리근무자명단'!$A796&amp;""),P797)</f>
        <v/>
      </c>
      <c r="Q798">
        <f>'입력_구리근무자명단'!$B796&amp;""</f>
        <v/>
      </c>
      <c r="R798">
        <f>IF($E$2="","",TRIM(INDEX('입력_구리근무자명단'!$A796:$ZZ796,1,$E$2+IF($G$2="확정",1,0))&amp;""))</f>
        <v/>
      </c>
      <c r="S798">
        <f>IF($R798="","",IF(INDEX('입력_구리근무자명단'!$A796:$ZZ796,1,$E$2+2)&amp;""="",급여기준월,IF(ISNUMBER(INDEX('입력_구리근무자명단'!$A796:$ZZ796,1,$E$2+2)),INDEX('입력_구리근무자명단'!$A796:$ZZ796,1,$E$2+2),IFERROR(DATE(VALUE(LEFT(INDEX('입력_구리근무자명단'!$A796:$ZZ796,1,$E$2+2),4)),VALUE(MID(INDEX('입력_구리근무자명단'!$A796:$ZZ796,1,$E$2+2),6,2)),VALUE(MID(INDEX('입력_구리근무자명단'!$A796:$ZZ796,1,$E$2+2),9,2))),-1))))</f>
        <v/>
      </c>
      <c r="T798">
        <f>IF($R798="","",IF(INDEX('입력_구리근무자명단'!$A796:$ZZ796,1,$E$2+3)&amp;""="",EOMONTH(급여기준월,0),IF(ISNUMBER(INDEX('입력_구리근무자명단'!$A796:$ZZ796,1,$E$2+3)),INDEX('입력_구리근무자명단'!$A796:$ZZ796,1,$E$2+3),IFERROR(DATE(VALUE(LEFT(INDEX('입력_구리근무자명단'!$A796:$ZZ796,1,$E$2+3),4)),VALUE(MID(INDEX('입력_구리근무자명단'!$A796:$ZZ796,1,$E$2+3),6,2)),VALUE(MID(INDEX('입력_구리근무자명단'!$A796:$ZZ796,1,$E$2+3),9,2))),-1))))</f>
        <v/>
      </c>
      <c r="U798">
        <f>IF($R798="","",IF(OR($S798&lt;0,$T798&lt;0),0,MAX(0,MIN($T798,EOMONTH(급여기준월,0))-MAX($S798,급여기준월)+1)))</f>
        <v/>
      </c>
      <c r="V798">
        <f>IF($R798="","",TRIM(INDEX('입력_구리근무자명단'!$A796:$ZZ796,1,$E$2+5)&amp;""))</f>
        <v/>
      </c>
      <c r="W798">
        <f>IF(ISNUMBER(SEARCH("구리독자",$V798)),"구리독자","")</f>
        <v/>
      </c>
      <c r="X798">
        <f>IF($R798="","",$R798&amp;"|"&amp;IF(OR($Q798="인턴",ISNUMBER(SEARCH("수련교육부",$P798))),"인턴",$P798))</f>
        <v/>
      </c>
      <c r="Y798">
        <f>IF($R798="","",IF(COUNTIF(명단표[이름|과],$X798)=1,"명단 일치",IF(AND(COUNTIF(명단표[이름|과],$X798)=0,COUNTIF(명단표[이름],$R798)=1),"명단 일치(이름만, 과 다름)",IF(COUNTIF(명단표[이름],$R798)=0,IF(COUNTIF(기본자료표[이름],$R798)&gt;0,"명단에 없음(기본자료에는 있음)","명단에 없음"),"동명이인 확인"))))</f>
        <v/>
      </c>
      <c r="Z798">
        <f>IF($R798="","",IF($S798&lt;0,"⚠"&amp;INDEX('입력_구리근무자명단'!$A796:$ZZ796,1,$E$2+2),TEXT($S798,"yyyy-mm-dd")))</f>
        <v/>
      </c>
      <c r="AA798">
        <f>IF($R798="","",IF($T798&lt;0,"⚠"&amp;INDEX('입력_구리근무자명단'!$A796:$ZZ796,1,$E$2+3),TEXT($T798,"yyyy-mm-dd")))</f>
        <v/>
      </c>
      <c r="AB798">
        <f>AB797+IF($R798="",0,1)</f>
        <v/>
      </c>
      <c r="AC798">
        <f>IF($R798="","",$AB798)</f>
        <v/>
      </c>
    </row>
    <row r="799">
      <c r="O799">
        <f>797</f>
        <v/>
      </c>
      <c r="P799">
        <f>IF(TRIM('입력_구리근무자명단'!$A797&amp;"")&lt;&gt;"",TRIM('입력_구리근무자명단'!$A797&amp;""),P798)</f>
        <v/>
      </c>
      <c r="Q799">
        <f>'입력_구리근무자명단'!$B797&amp;""</f>
        <v/>
      </c>
      <c r="R799">
        <f>IF($E$2="","",TRIM(INDEX('입력_구리근무자명단'!$A797:$ZZ797,1,$E$2+IF($G$2="확정",1,0))&amp;""))</f>
        <v/>
      </c>
      <c r="S799">
        <f>IF($R799="","",IF(INDEX('입력_구리근무자명단'!$A797:$ZZ797,1,$E$2+2)&amp;""="",급여기준월,IF(ISNUMBER(INDEX('입력_구리근무자명단'!$A797:$ZZ797,1,$E$2+2)),INDEX('입력_구리근무자명단'!$A797:$ZZ797,1,$E$2+2),IFERROR(DATE(VALUE(LEFT(INDEX('입력_구리근무자명단'!$A797:$ZZ797,1,$E$2+2),4)),VALUE(MID(INDEX('입력_구리근무자명단'!$A797:$ZZ797,1,$E$2+2),6,2)),VALUE(MID(INDEX('입력_구리근무자명단'!$A797:$ZZ797,1,$E$2+2),9,2))),-1))))</f>
        <v/>
      </c>
      <c r="T799">
        <f>IF($R799="","",IF(INDEX('입력_구리근무자명단'!$A797:$ZZ797,1,$E$2+3)&amp;""="",EOMONTH(급여기준월,0),IF(ISNUMBER(INDEX('입력_구리근무자명단'!$A797:$ZZ797,1,$E$2+3)),INDEX('입력_구리근무자명단'!$A797:$ZZ797,1,$E$2+3),IFERROR(DATE(VALUE(LEFT(INDEX('입력_구리근무자명단'!$A797:$ZZ797,1,$E$2+3),4)),VALUE(MID(INDEX('입력_구리근무자명단'!$A797:$ZZ797,1,$E$2+3),6,2)),VALUE(MID(INDEX('입력_구리근무자명단'!$A797:$ZZ797,1,$E$2+3),9,2))),-1))))</f>
        <v/>
      </c>
      <c r="U799">
        <f>IF($R799="","",IF(OR($S799&lt;0,$T799&lt;0),0,MAX(0,MIN($T799,EOMONTH(급여기준월,0))-MAX($S799,급여기준월)+1)))</f>
        <v/>
      </c>
      <c r="V799">
        <f>IF($R799="","",TRIM(INDEX('입력_구리근무자명단'!$A797:$ZZ797,1,$E$2+5)&amp;""))</f>
        <v/>
      </c>
      <c r="W799">
        <f>IF(ISNUMBER(SEARCH("구리독자",$V799)),"구리독자","")</f>
        <v/>
      </c>
      <c r="X799">
        <f>IF($R799="","",$R799&amp;"|"&amp;IF(OR($Q799="인턴",ISNUMBER(SEARCH("수련교육부",$P799))),"인턴",$P799))</f>
        <v/>
      </c>
      <c r="Y799">
        <f>IF($R799="","",IF(COUNTIF(명단표[이름|과],$X799)=1,"명단 일치",IF(AND(COUNTIF(명단표[이름|과],$X799)=0,COUNTIF(명단표[이름],$R799)=1),"명단 일치(이름만, 과 다름)",IF(COUNTIF(명단표[이름],$R799)=0,IF(COUNTIF(기본자료표[이름],$R799)&gt;0,"명단에 없음(기본자료에는 있음)","명단에 없음"),"동명이인 확인"))))</f>
        <v/>
      </c>
      <c r="Z799">
        <f>IF($R799="","",IF($S799&lt;0,"⚠"&amp;INDEX('입력_구리근무자명단'!$A797:$ZZ797,1,$E$2+2),TEXT($S799,"yyyy-mm-dd")))</f>
        <v/>
      </c>
      <c r="AA799">
        <f>IF($R799="","",IF($T799&lt;0,"⚠"&amp;INDEX('입력_구리근무자명단'!$A797:$ZZ797,1,$E$2+3),TEXT($T799,"yyyy-mm-dd")))</f>
        <v/>
      </c>
      <c r="AB799">
        <f>AB798+IF($R799="",0,1)</f>
        <v/>
      </c>
      <c r="AC799">
        <f>IF($R799="","",$AB799)</f>
        <v/>
      </c>
    </row>
    <row r="800">
      <c r="O800">
        <f>798</f>
        <v/>
      </c>
      <c r="P800">
        <f>IF(TRIM('입력_구리근무자명단'!$A798&amp;"")&lt;&gt;"",TRIM('입력_구리근무자명단'!$A798&amp;""),P799)</f>
        <v/>
      </c>
      <c r="Q800">
        <f>'입력_구리근무자명단'!$B798&amp;""</f>
        <v/>
      </c>
      <c r="R800">
        <f>IF($E$2="","",TRIM(INDEX('입력_구리근무자명단'!$A798:$ZZ798,1,$E$2+IF($G$2="확정",1,0))&amp;""))</f>
        <v/>
      </c>
      <c r="S800">
        <f>IF($R800="","",IF(INDEX('입력_구리근무자명단'!$A798:$ZZ798,1,$E$2+2)&amp;""="",급여기준월,IF(ISNUMBER(INDEX('입력_구리근무자명단'!$A798:$ZZ798,1,$E$2+2)),INDEX('입력_구리근무자명단'!$A798:$ZZ798,1,$E$2+2),IFERROR(DATE(VALUE(LEFT(INDEX('입력_구리근무자명단'!$A798:$ZZ798,1,$E$2+2),4)),VALUE(MID(INDEX('입력_구리근무자명단'!$A798:$ZZ798,1,$E$2+2),6,2)),VALUE(MID(INDEX('입력_구리근무자명단'!$A798:$ZZ798,1,$E$2+2),9,2))),-1))))</f>
        <v/>
      </c>
      <c r="T800">
        <f>IF($R800="","",IF(INDEX('입력_구리근무자명단'!$A798:$ZZ798,1,$E$2+3)&amp;""="",EOMONTH(급여기준월,0),IF(ISNUMBER(INDEX('입력_구리근무자명단'!$A798:$ZZ798,1,$E$2+3)),INDEX('입력_구리근무자명단'!$A798:$ZZ798,1,$E$2+3),IFERROR(DATE(VALUE(LEFT(INDEX('입력_구리근무자명단'!$A798:$ZZ798,1,$E$2+3),4)),VALUE(MID(INDEX('입력_구리근무자명단'!$A798:$ZZ798,1,$E$2+3),6,2)),VALUE(MID(INDEX('입력_구리근무자명단'!$A798:$ZZ798,1,$E$2+3),9,2))),-1))))</f>
        <v/>
      </c>
      <c r="U800">
        <f>IF($R800="","",IF(OR($S800&lt;0,$T800&lt;0),0,MAX(0,MIN($T800,EOMONTH(급여기준월,0))-MAX($S800,급여기준월)+1)))</f>
        <v/>
      </c>
      <c r="V800">
        <f>IF($R800="","",TRIM(INDEX('입력_구리근무자명단'!$A798:$ZZ798,1,$E$2+5)&amp;""))</f>
        <v/>
      </c>
      <c r="W800">
        <f>IF(ISNUMBER(SEARCH("구리독자",$V800)),"구리독자","")</f>
        <v/>
      </c>
      <c r="X800">
        <f>IF($R800="","",$R800&amp;"|"&amp;IF(OR($Q800="인턴",ISNUMBER(SEARCH("수련교육부",$P800))),"인턴",$P800))</f>
        <v/>
      </c>
      <c r="Y800">
        <f>IF($R800="","",IF(COUNTIF(명단표[이름|과],$X800)=1,"명단 일치",IF(AND(COUNTIF(명단표[이름|과],$X800)=0,COUNTIF(명단표[이름],$R800)=1),"명단 일치(이름만, 과 다름)",IF(COUNTIF(명단표[이름],$R800)=0,IF(COUNTIF(기본자료표[이름],$R800)&gt;0,"명단에 없음(기본자료에는 있음)","명단에 없음"),"동명이인 확인"))))</f>
        <v/>
      </c>
      <c r="Z800">
        <f>IF($R800="","",IF($S800&lt;0,"⚠"&amp;INDEX('입력_구리근무자명단'!$A798:$ZZ798,1,$E$2+2),TEXT($S800,"yyyy-mm-dd")))</f>
        <v/>
      </c>
      <c r="AA800">
        <f>IF($R800="","",IF($T800&lt;0,"⚠"&amp;INDEX('입력_구리근무자명단'!$A798:$ZZ798,1,$E$2+3),TEXT($T800,"yyyy-mm-dd")))</f>
        <v/>
      </c>
      <c r="AB800">
        <f>AB799+IF($R800="",0,1)</f>
        <v/>
      </c>
      <c r="AC800">
        <f>IF($R800="","",$AB800)</f>
        <v/>
      </c>
    </row>
    <row r="801">
      <c r="O801">
        <f>799</f>
        <v/>
      </c>
      <c r="P801">
        <f>IF(TRIM('입력_구리근무자명단'!$A799&amp;"")&lt;&gt;"",TRIM('입력_구리근무자명단'!$A799&amp;""),P800)</f>
        <v/>
      </c>
      <c r="Q801">
        <f>'입력_구리근무자명단'!$B799&amp;""</f>
        <v/>
      </c>
      <c r="R801">
        <f>IF($E$2="","",TRIM(INDEX('입력_구리근무자명단'!$A799:$ZZ799,1,$E$2+IF($G$2="확정",1,0))&amp;""))</f>
        <v/>
      </c>
      <c r="S801">
        <f>IF($R801="","",IF(INDEX('입력_구리근무자명단'!$A799:$ZZ799,1,$E$2+2)&amp;""="",급여기준월,IF(ISNUMBER(INDEX('입력_구리근무자명단'!$A799:$ZZ799,1,$E$2+2)),INDEX('입력_구리근무자명단'!$A799:$ZZ799,1,$E$2+2),IFERROR(DATE(VALUE(LEFT(INDEX('입력_구리근무자명단'!$A799:$ZZ799,1,$E$2+2),4)),VALUE(MID(INDEX('입력_구리근무자명단'!$A799:$ZZ799,1,$E$2+2),6,2)),VALUE(MID(INDEX('입력_구리근무자명단'!$A799:$ZZ799,1,$E$2+2),9,2))),-1))))</f>
        <v/>
      </c>
      <c r="T801">
        <f>IF($R801="","",IF(INDEX('입력_구리근무자명단'!$A799:$ZZ799,1,$E$2+3)&amp;""="",EOMONTH(급여기준월,0),IF(ISNUMBER(INDEX('입력_구리근무자명단'!$A799:$ZZ799,1,$E$2+3)),INDEX('입력_구리근무자명단'!$A799:$ZZ799,1,$E$2+3),IFERROR(DATE(VALUE(LEFT(INDEX('입력_구리근무자명단'!$A799:$ZZ799,1,$E$2+3),4)),VALUE(MID(INDEX('입력_구리근무자명단'!$A799:$ZZ799,1,$E$2+3),6,2)),VALUE(MID(INDEX('입력_구리근무자명단'!$A799:$ZZ799,1,$E$2+3),9,2))),-1))))</f>
        <v/>
      </c>
      <c r="U801">
        <f>IF($R801="","",IF(OR($S801&lt;0,$T801&lt;0),0,MAX(0,MIN($T801,EOMONTH(급여기준월,0))-MAX($S801,급여기준월)+1)))</f>
        <v/>
      </c>
      <c r="V801">
        <f>IF($R801="","",TRIM(INDEX('입력_구리근무자명단'!$A799:$ZZ799,1,$E$2+5)&amp;""))</f>
        <v/>
      </c>
      <c r="W801">
        <f>IF(ISNUMBER(SEARCH("구리독자",$V801)),"구리독자","")</f>
        <v/>
      </c>
      <c r="X801">
        <f>IF($R801="","",$R801&amp;"|"&amp;IF(OR($Q801="인턴",ISNUMBER(SEARCH("수련교육부",$P801))),"인턴",$P801))</f>
        <v/>
      </c>
      <c r="Y801">
        <f>IF($R801="","",IF(COUNTIF(명단표[이름|과],$X801)=1,"명단 일치",IF(AND(COUNTIF(명단표[이름|과],$X801)=0,COUNTIF(명단표[이름],$R801)=1),"명단 일치(이름만, 과 다름)",IF(COUNTIF(명단표[이름],$R801)=0,IF(COUNTIF(기본자료표[이름],$R801)&gt;0,"명단에 없음(기본자료에는 있음)","명단에 없음"),"동명이인 확인"))))</f>
        <v/>
      </c>
      <c r="Z801">
        <f>IF($R801="","",IF($S801&lt;0,"⚠"&amp;INDEX('입력_구리근무자명단'!$A799:$ZZ799,1,$E$2+2),TEXT($S801,"yyyy-mm-dd")))</f>
        <v/>
      </c>
      <c r="AA801">
        <f>IF($R801="","",IF($T801&lt;0,"⚠"&amp;INDEX('입력_구리근무자명단'!$A799:$ZZ799,1,$E$2+3),TEXT($T801,"yyyy-mm-dd")))</f>
        <v/>
      </c>
      <c r="AB801">
        <f>AB800+IF($R801="",0,1)</f>
        <v/>
      </c>
      <c r="AC801">
        <f>IF($R801="","",$AB801)</f>
        <v/>
      </c>
    </row>
    <row r="802">
      <c r="O802">
        <f>800</f>
        <v/>
      </c>
      <c r="P802">
        <f>IF(TRIM('입력_구리근무자명단'!$A800&amp;"")&lt;&gt;"",TRIM('입력_구리근무자명단'!$A800&amp;""),P801)</f>
        <v/>
      </c>
      <c r="Q802">
        <f>'입력_구리근무자명단'!$B800&amp;""</f>
        <v/>
      </c>
      <c r="R802">
        <f>IF($E$2="","",TRIM(INDEX('입력_구리근무자명단'!$A800:$ZZ800,1,$E$2+IF($G$2="확정",1,0))&amp;""))</f>
        <v/>
      </c>
      <c r="S802">
        <f>IF($R802="","",IF(INDEX('입력_구리근무자명단'!$A800:$ZZ800,1,$E$2+2)&amp;""="",급여기준월,IF(ISNUMBER(INDEX('입력_구리근무자명단'!$A800:$ZZ800,1,$E$2+2)),INDEX('입력_구리근무자명단'!$A800:$ZZ800,1,$E$2+2),IFERROR(DATE(VALUE(LEFT(INDEX('입력_구리근무자명단'!$A800:$ZZ800,1,$E$2+2),4)),VALUE(MID(INDEX('입력_구리근무자명단'!$A800:$ZZ800,1,$E$2+2),6,2)),VALUE(MID(INDEX('입력_구리근무자명단'!$A800:$ZZ800,1,$E$2+2),9,2))),-1))))</f>
        <v/>
      </c>
      <c r="T802">
        <f>IF($R802="","",IF(INDEX('입력_구리근무자명단'!$A800:$ZZ800,1,$E$2+3)&amp;""="",EOMONTH(급여기준월,0),IF(ISNUMBER(INDEX('입력_구리근무자명단'!$A800:$ZZ800,1,$E$2+3)),INDEX('입력_구리근무자명단'!$A800:$ZZ800,1,$E$2+3),IFERROR(DATE(VALUE(LEFT(INDEX('입력_구리근무자명단'!$A800:$ZZ800,1,$E$2+3),4)),VALUE(MID(INDEX('입력_구리근무자명단'!$A800:$ZZ800,1,$E$2+3),6,2)),VALUE(MID(INDEX('입력_구리근무자명단'!$A800:$ZZ800,1,$E$2+3),9,2))),-1))))</f>
        <v/>
      </c>
      <c r="U802">
        <f>IF($R802="","",IF(OR($S802&lt;0,$T802&lt;0),0,MAX(0,MIN($T802,EOMONTH(급여기준월,0))-MAX($S802,급여기준월)+1)))</f>
        <v/>
      </c>
      <c r="V802">
        <f>IF($R802="","",TRIM(INDEX('입력_구리근무자명단'!$A800:$ZZ800,1,$E$2+5)&amp;""))</f>
        <v/>
      </c>
      <c r="W802">
        <f>IF(ISNUMBER(SEARCH("구리독자",$V802)),"구리독자","")</f>
        <v/>
      </c>
      <c r="X802">
        <f>IF($R802="","",$R802&amp;"|"&amp;IF(OR($Q802="인턴",ISNUMBER(SEARCH("수련교육부",$P802))),"인턴",$P802))</f>
        <v/>
      </c>
      <c r="Y802">
        <f>IF($R802="","",IF(COUNTIF(명단표[이름|과],$X802)=1,"명단 일치",IF(AND(COUNTIF(명단표[이름|과],$X802)=0,COUNTIF(명단표[이름],$R802)=1),"명단 일치(이름만, 과 다름)",IF(COUNTIF(명단표[이름],$R802)=0,IF(COUNTIF(기본자료표[이름],$R802)&gt;0,"명단에 없음(기본자료에는 있음)","명단에 없음"),"동명이인 확인"))))</f>
        <v/>
      </c>
      <c r="Z802">
        <f>IF($R802="","",IF($S802&lt;0,"⚠"&amp;INDEX('입력_구리근무자명단'!$A800:$ZZ800,1,$E$2+2),TEXT($S802,"yyyy-mm-dd")))</f>
        <v/>
      </c>
      <c r="AA802">
        <f>IF($R802="","",IF($T802&lt;0,"⚠"&amp;INDEX('입력_구리근무자명단'!$A800:$ZZ800,1,$E$2+3),TEXT($T802,"yyyy-mm-dd")))</f>
        <v/>
      </c>
      <c r="AB802">
        <f>AB801+IF($R802="",0,1)</f>
        <v/>
      </c>
      <c r="AC802">
        <f>IF($R802="","",$AB802)</f>
        <v/>
      </c>
    </row>
    <row r="803">
      <c r="O803">
        <f>801</f>
        <v/>
      </c>
      <c r="P803">
        <f>IF(TRIM('입력_구리근무자명단'!$A801&amp;"")&lt;&gt;"",TRIM('입력_구리근무자명단'!$A801&amp;""),P802)</f>
        <v/>
      </c>
      <c r="Q803">
        <f>'입력_구리근무자명단'!$B801&amp;""</f>
        <v/>
      </c>
      <c r="R803">
        <f>IF($E$2="","",TRIM(INDEX('입력_구리근무자명단'!$A801:$ZZ801,1,$E$2+IF($G$2="확정",1,0))&amp;""))</f>
        <v/>
      </c>
      <c r="S803">
        <f>IF($R803="","",IF(INDEX('입력_구리근무자명단'!$A801:$ZZ801,1,$E$2+2)&amp;""="",급여기준월,IF(ISNUMBER(INDEX('입력_구리근무자명단'!$A801:$ZZ801,1,$E$2+2)),INDEX('입력_구리근무자명단'!$A801:$ZZ801,1,$E$2+2),IFERROR(DATE(VALUE(LEFT(INDEX('입력_구리근무자명단'!$A801:$ZZ801,1,$E$2+2),4)),VALUE(MID(INDEX('입력_구리근무자명단'!$A801:$ZZ801,1,$E$2+2),6,2)),VALUE(MID(INDEX('입력_구리근무자명단'!$A801:$ZZ801,1,$E$2+2),9,2))),-1))))</f>
        <v/>
      </c>
      <c r="T803">
        <f>IF($R803="","",IF(INDEX('입력_구리근무자명단'!$A801:$ZZ801,1,$E$2+3)&amp;""="",EOMONTH(급여기준월,0),IF(ISNUMBER(INDEX('입력_구리근무자명단'!$A801:$ZZ801,1,$E$2+3)),INDEX('입력_구리근무자명단'!$A801:$ZZ801,1,$E$2+3),IFERROR(DATE(VALUE(LEFT(INDEX('입력_구리근무자명단'!$A801:$ZZ801,1,$E$2+3),4)),VALUE(MID(INDEX('입력_구리근무자명단'!$A801:$ZZ801,1,$E$2+3),6,2)),VALUE(MID(INDEX('입력_구리근무자명단'!$A801:$ZZ801,1,$E$2+3),9,2))),-1))))</f>
        <v/>
      </c>
      <c r="U803">
        <f>IF($R803="","",IF(OR($S803&lt;0,$T803&lt;0),0,MAX(0,MIN($T803,EOMONTH(급여기준월,0))-MAX($S803,급여기준월)+1)))</f>
        <v/>
      </c>
      <c r="V803">
        <f>IF($R803="","",TRIM(INDEX('입력_구리근무자명단'!$A801:$ZZ801,1,$E$2+5)&amp;""))</f>
        <v/>
      </c>
      <c r="W803">
        <f>IF(ISNUMBER(SEARCH("구리독자",$V803)),"구리독자","")</f>
        <v/>
      </c>
      <c r="X803">
        <f>IF($R803="","",$R803&amp;"|"&amp;IF(OR($Q803="인턴",ISNUMBER(SEARCH("수련교육부",$P803))),"인턴",$P803))</f>
        <v/>
      </c>
      <c r="Y803">
        <f>IF($R803="","",IF(COUNTIF(명단표[이름|과],$X803)=1,"명단 일치",IF(AND(COUNTIF(명단표[이름|과],$X803)=0,COUNTIF(명단표[이름],$R803)=1),"명단 일치(이름만, 과 다름)",IF(COUNTIF(명단표[이름],$R803)=0,IF(COUNTIF(기본자료표[이름],$R803)&gt;0,"명단에 없음(기본자료에는 있음)","명단에 없음"),"동명이인 확인"))))</f>
        <v/>
      </c>
      <c r="Z803">
        <f>IF($R803="","",IF($S803&lt;0,"⚠"&amp;INDEX('입력_구리근무자명단'!$A801:$ZZ801,1,$E$2+2),TEXT($S803,"yyyy-mm-dd")))</f>
        <v/>
      </c>
      <c r="AA803">
        <f>IF($R803="","",IF($T803&lt;0,"⚠"&amp;INDEX('입력_구리근무자명단'!$A801:$ZZ801,1,$E$2+3),TEXT($T803,"yyyy-mm-dd")))</f>
        <v/>
      </c>
      <c r="AB803">
        <f>AB802+IF($R803="",0,1)</f>
        <v/>
      </c>
      <c r="AC803">
        <f>IF($R803="","",$AB803)</f>
        <v/>
      </c>
    </row>
    <row r="804">
      <c r="O804">
        <f>802</f>
        <v/>
      </c>
      <c r="P804">
        <f>IF(TRIM('입력_구리근무자명단'!$A802&amp;"")&lt;&gt;"",TRIM('입력_구리근무자명단'!$A802&amp;""),P803)</f>
        <v/>
      </c>
      <c r="Q804">
        <f>'입력_구리근무자명단'!$B802&amp;""</f>
        <v/>
      </c>
      <c r="R804">
        <f>IF($E$2="","",TRIM(INDEX('입력_구리근무자명단'!$A802:$ZZ802,1,$E$2+IF($G$2="확정",1,0))&amp;""))</f>
        <v/>
      </c>
      <c r="S804">
        <f>IF($R804="","",IF(INDEX('입력_구리근무자명단'!$A802:$ZZ802,1,$E$2+2)&amp;""="",급여기준월,IF(ISNUMBER(INDEX('입력_구리근무자명단'!$A802:$ZZ802,1,$E$2+2)),INDEX('입력_구리근무자명단'!$A802:$ZZ802,1,$E$2+2),IFERROR(DATE(VALUE(LEFT(INDEX('입력_구리근무자명단'!$A802:$ZZ802,1,$E$2+2),4)),VALUE(MID(INDEX('입력_구리근무자명단'!$A802:$ZZ802,1,$E$2+2),6,2)),VALUE(MID(INDEX('입력_구리근무자명단'!$A802:$ZZ802,1,$E$2+2),9,2))),-1))))</f>
        <v/>
      </c>
      <c r="T804">
        <f>IF($R804="","",IF(INDEX('입력_구리근무자명단'!$A802:$ZZ802,1,$E$2+3)&amp;""="",EOMONTH(급여기준월,0),IF(ISNUMBER(INDEX('입력_구리근무자명단'!$A802:$ZZ802,1,$E$2+3)),INDEX('입력_구리근무자명단'!$A802:$ZZ802,1,$E$2+3),IFERROR(DATE(VALUE(LEFT(INDEX('입력_구리근무자명단'!$A802:$ZZ802,1,$E$2+3),4)),VALUE(MID(INDEX('입력_구리근무자명단'!$A802:$ZZ802,1,$E$2+3),6,2)),VALUE(MID(INDEX('입력_구리근무자명단'!$A802:$ZZ802,1,$E$2+3),9,2))),-1))))</f>
        <v/>
      </c>
      <c r="U804">
        <f>IF($R804="","",IF(OR($S804&lt;0,$T804&lt;0),0,MAX(0,MIN($T804,EOMONTH(급여기준월,0))-MAX($S804,급여기준월)+1)))</f>
        <v/>
      </c>
      <c r="V804">
        <f>IF($R804="","",TRIM(INDEX('입력_구리근무자명단'!$A802:$ZZ802,1,$E$2+5)&amp;""))</f>
        <v/>
      </c>
      <c r="W804">
        <f>IF(ISNUMBER(SEARCH("구리독자",$V804)),"구리독자","")</f>
        <v/>
      </c>
      <c r="X804">
        <f>IF($R804="","",$R804&amp;"|"&amp;IF(OR($Q804="인턴",ISNUMBER(SEARCH("수련교육부",$P804))),"인턴",$P804))</f>
        <v/>
      </c>
      <c r="Y804">
        <f>IF($R804="","",IF(COUNTIF(명단표[이름|과],$X804)=1,"명단 일치",IF(AND(COUNTIF(명단표[이름|과],$X804)=0,COUNTIF(명단표[이름],$R804)=1),"명단 일치(이름만, 과 다름)",IF(COUNTIF(명단표[이름],$R804)=0,IF(COUNTIF(기본자료표[이름],$R804)&gt;0,"명단에 없음(기본자료에는 있음)","명단에 없음"),"동명이인 확인"))))</f>
        <v/>
      </c>
      <c r="Z804">
        <f>IF($R804="","",IF($S804&lt;0,"⚠"&amp;INDEX('입력_구리근무자명단'!$A802:$ZZ802,1,$E$2+2),TEXT($S804,"yyyy-mm-dd")))</f>
        <v/>
      </c>
      <c r="AA804">
        <f>IF($R804="","",IF($T804&lt;0,"⚠"&amp;INDEX('입력_구리근무자명단'!$A802:$ZZ802,1,$E$2+3),TEXT($T804,"yyyy-mm-dd")))</f>
        <v/>
      </c>
      <c r="AB804">
        <f>AB803+IF($R804="",0,1)</f>
        <v/>
      </c>
      <c r="AC804">
        <f>IF($R804="","",$AB804)</f>
        <v/>
      </c>
    </row>
    <row r="805">
      <c r="O805">
        <f>803</f>
        <v/>
      </c>
      <c r="P805">
        <f>IF(TRIM('입력_구리근무자명단'!$A803&amp;"")&lt;&gt;"",TRIM('입력_구리근무자명단'!$A803&amp;""),P804)</f>
        <v/>
      </c>
      <c r="Q805">
        <f>'입력_구리근무자명단'!$B803&amp;""</f>
        <v/>
      </c>
      <c r="R805">
        <f>IF($E$2="","",TRIM(INDEX('입력_구리근무자명단'!$A803:$ZZ803,1,$E$2+IF($G$2="확정",1,0))&amp;""))</f>
        <v/>
      </c>
      <c r="S805">
        <f>IF($R805="","",IF(INDEX('입력_구리근무자명단'!$A803:$ZZ803,1,$E$2+2)&amp;""="",급여기준월,IF(ISNUMBER(INDEX('입력_구리근무자명단'!$A803:$ZZ803,1,$E$2+2)),INDEX('입력_구리근무자명단'!$A803:$ZZ803,1,$E$2+2),IFERROR(DATE(VALUE(LEFT(INDEX('입력_구리근무자명단'!$A803:$ZZ803,1,$E$2+2),4)),VALUE(MID(INDEX('입력_구리근무자명단'!$A803:$ZZ803,1,$E$2+2),6,2)),VALUE(MID(INDEX('입력_구리근무자명단'!$A803:$ZZ803,1,$E$2+2),9,2))),-1))))</f>
        <v/>
      </c>
      <c r="T805">
        <f>IF($R805="","",IF(INDEX('입력_구리근무자명단'!$A803:$ZZ803,1,$E$2+3)&amp;""="",EOMONTH(급여기준월,0),IF(ISNUMBER(INDEX('입력_구리근무자명단'!$A803:$ZZ803,1,$E$2+3)),INDEX('입력_구리근무자명단'!$A803:$ZZ803,1,$E$2+3),IFERROR(DATE(VALUE(LEFT(INDEX('입력_구리근무자명단'!$A803:$ZZ803,1,$E$2+3),4)),VALUE(MID(INDEX('입력_구리근무자명단'!$A803:$ZZ803,1,$E$2+3),6,2)),VALUE(MID(INDEX('입력_구리근무자명단'!$A803:$ZZ803,1,$E$2+3),9,2))),-1))))</f>
        <v/>
      </c>
      <c r="U805">
        <f>IF($R805="","",IF(OR($S805&lt;0,$T805&lt;0),0,MAX(0,MIN($T805,EOMONTH(급여기준월,0))-MAX($S805,급여기준월)+1)))</f>
        <v/>
      </c>
      <c r="V805">
        <f>IF($R805="","",TRIM(INDEX('입력_구리근무자명단'!$A803:$ZZ803,1,$E$2+5)&amp;""))</f>
        <v/>
      </c>
      <c r="W805">
        <f>IF(ISNUMBER(SEARCH("구리독자",$V805)),"구리독자","")</f>
        <v/>
      </c>
      <c r="X805">
        <f>IF($R805="","",$R805&amp;"|"&amp;IF(OR($Q805="인턴",ISNUMBER(SEARCH("수련교육부",$P805))),"인턴",$P805))</f>
        <v/>
      </c>
      <c r="Y805">
        <f>IF($R805="","",IF(COUNTIF(명단표[이름|과],$X805)=1,"명단 일치",IF(AND(COUNTIF(명단표[이름|과],$X805)=0,COUNTIF(명단표[이름],$R805)=1),"명단 일치(이름만, 과 다름)",IF(COUNTIF(명단표[이름],$R805)=0,IF(COUNTIF(기본자료표[이름],$R805)&gt;0,"명단에 없음(기본자료에는 있음)","명단에 없음"),"동명이인 확인"))))</f>
        <v/>
      </c>
      <c r="Z805">
        <f>IF($R805="","",IF($S805&lt;0,"⚠"&amp;INDEX('입력_구리근무자명단'!$A803:$ZZ803,1,$E$2+2),TEXT($S805,"yyyy-mm-dd")))</f>
        <v/>
      </c>
      <c r="AA805">
        <f>IF($R805="","",IF($T805&lt;0,"⚠"&amp;INDEX('입력_구리근무자명단'!$A803:$ZZ803,1,$E$2+3),TEXT($T805,"yyyy-mm-dd")))</f>
        <v/>
      </c>
      <c r="AB805">
        <f>AB804+IF($R805="",0,1)</f>
        <v/>
      </c>
      <c r="AC805">
        <f>IF($R805="","",$AB805)</f>
        <v/>
      </c>
    </row>
    <row r="806">
      <c r="O806">
        <f>804</f>
        <v/>
      </c>
      <c r="P806">
        <f>IF(TRIM('입력_구리근무자명단'!$A804&amp;"")&lt;&gt;"",TRIM('입력_구리근무자명단'!$A804&amp;""),P805)</f>
        <v/>
      </c>
      <c r="Q806">
        <f>'입력_구리근무자명단'!$B804&amp;""</f>
        <v/>
      </c>
      <c r="R806">
        <f>IF($E$2="","",TRIM(INDEX('입력_구리근무자명단'!$A804:$ZZ804,1,$E$2+IF($G$2="확정",1,0))&amp;""))</f>
        <v/>
      </c>
      <c r="S806">
        <f>IF($R806="","",IF(INDEX('입력_구리근무자명단'!$A804:$ZZ804,1,$E$2+2)&amp;""="",급여기준월,IF(ISNUMBER(INDEX('입력_구리근무자명단'!$A804:$ZZ804,1,$E$2+2)),INDEX('입력_구리근무자명단'!$A804:$ZZ804,1,$E$2+2),IFERROR(DATE(VALUE(LEFT(INDEX('입력_구리근무자명단'!$A804:$ZZ804,1,$E$2+2),4)),VALUE(MID(INDEX('입력_구리근무자명단'!$A804:$ZZ804,1,$E$2+2),6,2)),VALUE(MID(INDEX('입력_구리근무자명단'!$A804:$ZZ804,1,$E$2+2),9,2))),-1))))</f>
        <v/>
      </c>
      <c r="T806">
        <f>IF($R806="","",IF(INDEX('입력_구리근무자명단'!$A804:$ZZ804,1,$E$2+3)&amp;""="",EOMONTH(급여기준월,0),IF(ISNUMBER(INDEX('입력_구리근무자명단'!$A804:$ZZ804,1,$E$2+3)),INDEX('입력_구리근무자명단'!$A804:$ZZ804,1,$E$2+3),IFERROR(DATE(VALUE(LEFT(INDEX('입력_구리근무자명단'!$A804:$ZZ804,1,$E$2+3),4)),VALUE(MID(INDEX('입력_구리근무자명단'!$A804:$ZZ804,1,$E$2+3),6,2)),VALUE(MID(INDEX('입력_구리근무자명단'!$A804:$ZZ804,1,$E$2+3),9,2))),-1))))</f>
        <v/>
      </c>
      <c r="U806">
        <f>IF($R806="","",IF(OR($S806&lt;0,$T806&lt;0),0,MAX(0,MIN($T806,EOMONTH(급여기준월,0))-MAX($S806,급여기준월)+1)))</f>
        <v/>
      </c>
      <c r="V806">
        <f>IF($R806="","",TRIM(INDEX('입력_구리근무자명단'!$A804:$ZZ804,1,$E$2+5)&amp;""))</f>
        <v/>
      </c>
      <c r="W806">
        <f>IF(ISNUMBER(SEARCH("구리독자",$V806)),"구리독자","")</f>
        <v/>
      </c>
      <c r="X806">
        <f>IF($R806="","",$R806&amp;"|"&amp;IF(OR($Q806="인턴",ISNUMBER(SEARCH("수련교육부",$P806))),"인턴",$P806))</f>
        <v/>
      </c>
      <c r="Y806">
        <f>IF($R806="","",IF(COUNTIF(명단표[이름|과],$X806)=1,"명단 일치",IF(AND(COUNTIF(명단표[이름|과],$X806)=0,COUNTIF(명단표[이름],$R806)=1),"명단 일치(이름만, 과 다름)",IF(COUNTIF(명단표[이름],$R806)=0,IF(COUNTIF(기본자료표[이름],$R806)&gt;0,"명단에 없음(기본자료에는 있음)","명단에 없음"),"동명이인 확인"))))</f>
        <v/>
      </c>
      <c r="Z806">
        <f>IF($R806="","",IF($S806&lt;0,"⚠"&amp;INDEX('입력_구리근무자명단'!$A804:$ZZ804,1,$E$2+2),TEXT($S806,"yyyy-mm-dd")))</f>
        <v/>
      </c>
      <c r="AA806">
        <f>IF($R806="","",IF($T806&lt;0,"⚠"&amp;INDEX('입력_구리근무자명단'!$A804:$ZZ804,1,$E$2+3),TEXT($T806,"yyyy-mm-dd")))</f>
        <v/>
      </c>
      <c r="AB806">
        <f>AB805+IF($R806="",0,1)</f>
        <v/>
      </c>
      <c r="AC806">
        <f>IF($R806="","",$AB806)</f>
        <v/>
      </c>
    </row>
    <row r="807">
      <c r="O807">
        <f>805</f>
        <v/>
      </c>
      <c r="P807">
        <f>IF(TRIM('입력_구리근무자명단'!$A805&amp;"")&lt;&gt;"",TRIM('입력_구리근무자명단'!$A805&amp;""),P806)</f>
        <v/>
      </c>
      <c r="Q807">
        <f>'입력_구리근무자명단'!$B805&amp;""</f>
        <v/>
      </c>
      <c r="R807">
        <f>IF($E$2="","",TRIM(INDEX('입력_구리근무자명단'!$A805:$ZZ805,1,$E$2+IF($G$2="확정",1,0))&amp;""))</f>
        <v/>
      </c>
      <c r="S807">
        <f>IF($R807="","",IF(INDEX('입력_구리근무자명단'!$A805:$ZZ805,1,$E$2+2)&amp;""="",급여기준월,IF(ISNUMBER(INDEX('입력_구리근무자명단'!$A805:$ZZ805,1,$E$2+2)),INDEX('입력_구리근무자명단'!$A805:$ZZ805,1,$E$2+2),IFERROR(DATE(VALUE(LEFT(INDEX('입력_구리근무자명단'!$A805:$ZZ805,1,$E$2+2),4)),VALUE(MID(INDEX('입력_구리근무자명단'!$A805:$ZZ805,1,$E$2+2),6,2)),VALUE(MID(INDEX('입력_구리근무자명단'!$A805:$ZZ805,1,$E$2+2),9,2))),-1))))</f>
        <v/>
      </c>
      <c r="T807">
        <f>IF($R807="","",IF(INDEX('입력_구리근무자명단'!$A805:$ZZ805,1,$E$2+3)&amp;""="",EOMONTH(급여기준월,0),IF(ISNUMBER(INDEX('입력_구리근무자명단'!$A805:$ZZ805,1,$E$2+3)),INDEX('입력_구리근무자명단'!$A805:$ZZ805,1,$E$2+3),IFERROR(DATE(VALUE(LEFT(INDEX('입력_구리근무자명단'!$A805:$ZZ805,1,$E$2+3),4)),VALUE(MID(INDEX('입력_구리근무자명단'!$A805:$ZZ805,1,$E$2+3),6,2)),VALUE(MID(INDEX('입력_구리근무자명단'!$A805:$ZZ805,1,$E$2+3),9,2))),-1))))</f>
        <v/>
      </c>
      <c r="U807">
        <f>IF($R807="","",IF(OR($S807&lt;0,$T807&lt;0),0,MAX(0,MIN($T807,EOMONTH(급여기준월,0))-MAX($S807,급여기준월)+1)))</f>
        <v/>
      </c>
      <c r="V807">
        <f>IF($R807="","",TRIM(INDEX('입력_구리근무자명단'!$A805:$ZZ805,1,$E$2+5)&amp;""))</f>
        <v/>
      </c>
      <c r="W807">
        <f>IF(ISNUMBER(SEARCH("구리독자",$V807)),"구리독자","")</f>
        <v/>
      </c>
      <c r="X807">
        <f>IF($R807="","",$R807&amp;"|"&amp;IF(OR($Q807="인턴",ISNUMBER(SEARCH("수련교육부",$P807))),"인턴",$P807))</f>
        <v/>
      </c>
      <c r="Y807">
        <f>IF($R807="","",IF(COUNTIF(명단표[이름|과],$X807)=1,"명단 일치",IF(AND(COUNTIF(명단표[이름|과],$X807)=0,COUNTIF(명단표[이름],$R807)=1),"명단 일치(이름만, 과 다름)",IF(COUNTIF(명단표[이름],$R807)=0,IF(COUNTIF(기본자료표[이름],$R807)&gt;0,"명단에 없음(기본자료에는 있음)","명단에 없음"),"동명이인 확인"))))</f>
        <v/>
      </c>
      <c r="Z807">
        <f>IF($R807="","",IF($S807&lt;0,"⚠"&amp;INDEX('입력_구리근무자명단'!$A805:$ZZ805,1,$E$2+2),TEXT($S807,"yyyy-mm-dd")))</f>
        <v/>
      </c>
      <c r="AA807">
        <f>IF($R807="","",IF($T807&lt;0,"⚠"&amp;INDEX('입력_구리근무자명단'!$A805:$ZZ805,1,$E$2+3),TEXT($T807,"yyyy-mm-dd")))</f>
        <v/>
      </c>
      <c r="AB807">
        <f>AB806+IF($R807="",0,1)</f>
        <v/>
      </c>
      <c r="AC807">
        <f>IF($R807="","",$AB807)</f>
        <v/>
      </c>
    </row>
    <row r="808">
      <c r="O808">
        <f>806</f>
        <v/>
      </c>
      <c r="P808">
        <f>IF(TRIM('입력_구리근무자명단'!$A806&amp;"")&lt;&gt;"",TRIM('입력_구리근무자명단'!$A806&amp;""),P807)</f>
        <v/>
      </c>
      <c r="Q808">
        <f>'입력_구리근무자명단'!$B806&amp;""</f>
        <v/>
      </c>
      <c r="R808">
        <f>IF($E$2="","",TRIM(INDEX('입력_구리근무자명단'!$A806:$ZZ806,1,$E$2+IF($G$2="확정",1,0))&amp;""))</f>
        <v/>
      </c>
      <c r="S808">
        <f>IF($R808="","",IF(INDEX('입력_구리근무자명단'!$A806:$ZZ806,1,$E$2+2)&amp;""="",급여기준월,IF(ISNUMBER(INDEX('입력_구리근무자명단'!$A806:$ZZ806,1,$E$2+2)),INDEX('입력_구리근무자명단'!$A806:$ZZ806,1,$E$2+2),IFERROR(DATE(VALUE(LEFT(INDEX('입력_구리근무자명단'!$A806:$ZZ806,1,$E$2+2),4)),VALUE(MID(INDEX('입력_구리근무자명단'!$A806:$ZZ806,1,$E$2+2),6,2)),VALUE(MID(INDEX('입력_구리근무자명단'!$A806:$ZZ806,1,$E$2+2),9,2))),-1))))</f>
        <v/>
      </c>
      <c r="T808">
        <f>IF($R808="","",IF(INDEX('입력_구리근무자명단'!$A806:$ZZ806,1,$E$2+3)&amp;""="",EOMONTH(급여기준월,0),IF(ISNUMBER(INDEX('입력_구리근무자명단'!$A806:$ZZ806,1,$E$2+3)),INDEX('입력_구리근무자명단'!$A806:$ZZ806,1,$E$2+3),IFERROR(DATE(VALUE(LEFT(INDEX('입력_구리근무자명단'!$A806:$ZZ806,1,$E$2+3),4)),VALUE(MID(INDEX('입력_구리근무자명단'!$A806:$ZZ806,1,$E$2+3),6,2)),VALUE(MID(INDEX('입력_구리근무자명단'!$A806:$ZZ806,1,$E$2+3),9,2))),-1))))</f>
        <v/>
      </c>
      <c r="U808">
        <f>IF($R808="","",IF(OR($S808&lt;0,$T808&lt;0),0,MAX(0,MIN($T808,EOMONTH(급여기준월,0))-MAX($S808,급여기준월)+1)))</f>
        <v/>
      </c>
      <c r="V808">
        <f>IF($R808="","",TRIM(INDEX('입력_구리근무자명단'!$A806:$ZZ806,1,$E$2+5)&amp;""))</f>
        <v/>
      </c>
      <c r="W808">
        <f>IF(ISNUMBER(SEARCH("구리독자",$V808)),"구리독자","")</f>
        <v/>
      </c>
      <c r="X808">
        <f>IF($R808="","",$R808&amp;"|"&amp;IF(OR($Q808="인턴",ISNUMBER(SEARCH("수련교육부",$P808))),"인턴",$P808))</f>
        <v/>
      </c>
      <c r="Y808">
        <f>IF($R808="","",IF(COUNTIF(명단표[이름|과],$X808)=1,"명단 일치",IF(AND(COUNTIF(명단표[이름|과],$X808)=0,COUNTIF(명단표[이름],$R808)=1),"명단 일치(이름만, 과 다름)",IF(COUNTIF(명단표[이름],$R808)=0,IF(COUNTIF(기본자료표[이름],$R808)&gt;0,"명단에 없음(기본자료에는 있음)","명단에 없음"),"동명이인 확인"))))</f>
        <v/>
      </c>
      <c r="Z808">
        <f>IF($R808="","",IF($S808&lt;0,"⚠"&amp;INDEX('입력_구리근무자명단'!$A806:$ZZ806,1,$E$2+2),TEXT($S808,"yyyy-mm-dd")))</f>
        <v/>
      </c>
      <c r="AA808">
        <f>IF($R808="","",IF($T808&lt;0,"⚠"&amp;INDEX('입력_구리근무자명단'!$A806:$ZZ806,1,$E$2+3),TEXT($T808,"yyyy-mm-dd")))</f>
        <v/>
      </c>
      <c r="AB808">
        <f>AB807+IF($R808="",0,1)</f>
        <v/>
      </c>
      <c r="AC808">
        <f>IF($R808="","",$AB808)</f>
        <v/>
      </c>
    </row>
    <row r="809">
      <c r="O809">
        <f>807</f>
        <v/>
      </c>
      <c r="P809">
        <f>IF(TRIM('입력_구리근무자명단'!$A807&amp;"")&lt;&gt;"",TRIM('입력_구리근무자명단'!$A807&amp;""),P808)</f>
        <v/>
      </c>
      <c r="Q809">
        <f>'입력_구리근무자명단'!$B807&amp;""</f>
        <v/>
      </c>
      <c r="R809">
        <f>IF($E$2="","",TRIM(INDEX('입력_구리근무자명단'!$A807:$ZZ807,1,$E$2+IF($G$2="확정",1,0))&amp;""))</f>
        <v/>
      </c>
      <c r="S809">
        <f>IF($R809="","",IF(INDEX('입력_구리근무자명단'!$A807:$ZZ807,1,$E$2+2)&amp;""="",급여기준월,IF(ISNUMBER(INDEX('입력_구리근무자명단'!$A807:$ZZ807,1,$E$2+2)),INDEX('입력_구리근무자명단'!$A807:$ZZ807,1,$E$2+2),IFERROR(DATE(VALUE(LEFT(INDEX('입력_구리근무자명단'!$A807:$ZZ807,1,$E$2+2),4)),VALUE(MID(INDEX('입력_구리근무자명단'!$A807:$ZZ807,1,$E$2+2),6,2)),VALUE(MID(INDEX('입력_구리근무자명단'!$A807:$ZZ807,1,$E$2+2),9,2))),-1))))</f>
        <v/>
      </c>
      <c r="T809">
        <f>IF($R809="","",IF(INDEX('입력_구리근무자명단'!$A807:$ZZ807,1,$E$2+3)&amp;""="",EOMONTH(급여기준월,0),IF(ISNUMBER(INDEX('입력_구리근무자명단'!$A807:$ZZ807,1,$E$2+3)),INDEX('입력_구리근무자명단'!$A807:$ZZ807,1,$E$2+3),IFERROR(DATE(VALUE(LEFT(INDEX('입력_구리근무자명단'!$A807:$ZZ807,1,$E$2+3),4)),VALUE(MID(INDEX('입력_구리근무자명단'!$A807:$ZZ807,1,$E$2+3),6,2)),VALUE(MID(INDEX('입력_구리근무자명단'!$A807:$ZZ807,1,$E$2+3),9,2))),-1))))</f>
        <v/>
      </c>
      <c r="U809">
        <f>IF($R809="","",IF(OR($S809&lt;0,$T809&lt;0),0,MAX(0,MIN($T809,EOMONTH(급여기준월,0))-MAX($S809,급여기준월)+1)))</f>
        <v/>
      </c>
      <c r="V809">
        <f>IF($R809="","",TRIM(INDEX('입력_구리근무자명단'!$A807:$ZZ807,1,$E$2+5)&amp;""))</f>
        <v/>
      </c>
      <c r="W809">
        <f>IF(ISNUMBER(SEARCH("구리독자",$V809)),"구리독자","")</f>
        <v/>
      </c>
      <c r="X809">
        <f>IF($R809="","",$R809&amp;"|"&amp;IF(OR($Q809="인턴",ISNUMBER(SEARCH("수련교육부",$P809))),"인턴",$P809))</f>
        <v/>
      </c>
      <c r="Y809">
        <f>IF($R809="","",IF(COUNTIF(명단표[이름|과],$X809)=1,"명단 일치",IF(AND(COUNTIF(명단표[이름|과],$X809)=0,COUNTIF(명단표[이름],$R809)=1),"명단 일치(이름만, 과 다름)",IF(COUNTIF(명단표[이름],$R809)=0,IF(COUNTIF(기본자료표[이름],$R809)&gt;0,"명단에 없음(기본자료에는 있음)","명단에 없음"),"동명이인 확인"))))</f>
        <v/>
      </c>
      <c r="Z809">
        <f>IF($R809="","",IF($S809&lt;0,"⚠"&amp;INDEX('입력_구리근무자명단'!$A807:$ZZ807,1,$E$2+2),TEXT($S809,"yyyy-mm-dd")))</f>
        <v/>
      </c>
      <c r="AA809">
        <f>IF($R809="","",IF($T809&lt;0,"⚠"&amp;INDEX('입력_구리근무자명단'!$A807:$ZZ807,1,$E$2+3),TEXT($T809,"yyyy-mm-dd")))</f>
        <v/>
      </c>
      <c r="AB809">
        <f>AB808+IF($R809="",0,1)</f>
        <v/>
      </c>
      <c r="AC809">
        <f>IF($R809="","",$AB809)</f>
        <v/>
      </c>
    </row>
    <row r="810">
      <c r="O810">
        <f>808</f>
        <v/>
      </c>
      <c r="P810">
        <f>IF(TRIM('입력_구리근무자명단'!$A808&amp;"")&lt;&gt;"",TRIM('입력_구리근무자명단'!$A808&amp;""),P809)</f>
        <v/>
      </c>
      <c r="Q810">
        <f>'입력_구리근무자명단'!$B808&amp;""</f>
        <v/>
      </c>
      <c r="R810">
        <f>IF($E$2="","",TRIM(INDEX('입력_구리근무자명단'!$A808:$ZZ808,1,$E$2+IF($G$2="확정",1,0))&amp;""))</f>
        <v/>
      </c>
      <c r="S810">
        <f>IF($R810="","",IF(INDEX('입력_구리근무자명단'!$A808:$ZZ808,1,$E$2+2)&amp;""="",급여기준월,IF(ISNUMBER(INDEX('입력_구리근무자명단'!$A808:$ZZ808,1,$E$2+2)),INDEX('입력_구리근무자명단'!$A808:$ZZ808,1,$E$2+2),IFERROR(DATE(VALUE(LEFT(INDEX('입력_구리근무자명단'!$A808:$ZZ808,1,$E$2+2),4)),VALUE(MID(INDEX('입력_구리근무자명단'!$A808:$ZZ808,1,$E$2+2),6,2)),VALUE(MID(INDEX('입력_구리근무자명단'!$A808:$ZZ808,1,$E$2+2),9,2))),-1))))</f>
        <v/>
      </c>
      <c r="T810">
        <f>IF($R810="","",IF(INDEX('입력_구리근무자명단'!$A808:$ZZ808,1,$E$2+3)&amp;""="",EOMONTH(급여기준월,0),IF(ISNUMBER(INDEX('입력_구리근무자명단'!$A808:$ZZ808,1,$E$2+3)),INDEX('입력_구리근무자명단'!$A808:$ZZ808,1,$E$2+3),IFERROR(DATE(VALUE(LEFT(INDEX('입력_구리근무자명단'!$A808:$ZZ808,1,$E$2+3),4)),VALUE(MID(INDEX('입력_구리근무자명단'!$A808:$ZZ808,1,$E$2+3),6,2)),VALUE(MID(INDEX('입력_구리근무자명단'!$A808:$ZZ808,1,$E$2+3),9,2))),-1))))</f>
        <v/>
      </c>
      <c r="U810">
        <f>IF($R810="","",IF(OR($S810&lt;0,$T810&lt;0),0,MAX(0,MIN($T810,EOMONTH(급여기준월,0))-MAX($S810,급여기준월)+1)))</f>
        <v/>
      </c>
      <c r="V810">
        <f>IF($R810="","",TRIM(INDEX('입력_구리근무자명단'!$A808:$ZZ808,1,$E$2+5)&amp;""))</f>
        <v/>
      </c>
      <c r="W810">
        <f>IF(ISNUMBER(SEARCH("구리독자",$V810)),"구리독자","")</f>
        <v/>
      </c>
      <c r="X810">
        <f>IF($R810="","",$R810&amp;"|"&amp;IF(OR($Q810="인턴",ISNUMBER(SEARCH("수련교육부",$P810))),"인턴",$P810))</f>
        <v/>
      </c>
      <c r="Y810">
        <f>IF($R810="","",IF(COUNTIF(명단표[이름|과],$X810)=1,"명단 일치",IF(AND(COUNTIF(명단표[이름|과],$X810)=0,COUNTIF(명단표[이름],$R810)=1),"명단 일치(이름만, 과 다름)",IF(COUNTIF(명단표[이름],$R810)=0,IF(COUNTIF(기본자료표[이름],$R810)&gt;0,"명단에 없음(기본자료에는 있음)","명단에 없음"),"동명이인 확인"))))</f>
        <v/>
      </c>
      <c r="Z810">
        <f>IF($R810="","",IF($S810&lt;0,"⚠"&amp;INDEX('입력_구리근무자명단'!$A808:$ZZ808,1,$E$2+2),TEXT($S810,"yyyy-mm-dd")))</f>
        <v/>
      </c>
      <c r="AA810">
        <f>IF($R810="","",IF($T810&lt;0,"⚠"&amp;INDEX('입력_구리근무자명단'!$A808:$ZZ808,1,$E$2+3),TEXT($T810,"yyyy-mm-dd")))</f>
        <v/>
      </c>
      <c r="AB810">
        <f>AB809+IF($R810="",0,1)</f>
        <v/>
      </c>
      <c r="AC810">
        <f>IF($R810="","",$AB810)</f>
        <v/>
      </c>
    </row>
    <row r="811">
      <c r="O811">
        <f>809</f>
        <v/>
      </c>
      <c r="P811">
        <f>IF(TRIM('입력_구리근무자명단'!$A809&amp;"")&lt;&gt;"",TRIM('입력_구리근무자명단'!$A809&amp;""),P810)</f>
        <v/>
      </c>
      <c r="Q811">
        <f>'입력_구리근무자명단'!$B809&amp;""</f>
        <v/>
      </c>
      <c r="R811">
        <f>IF($E$2="","",TRIM(INDEX('입력_구리근무자명단'!$A809:$ZZ809,1,$E$2+IF($G$2="확정",1,0))&amp;""))</f>
        <v/>
      </c>
      <c r="S811">
        <f>IF($R811="","",IF(INDEX('입력_구리근무자명단'!$A809:$ZZ809,1,$E$2+2)&amp;""="",급여기준월,IF(ISNUMBER(INDEX('입력_구리근무자명단'!$A809:$ZZ809,1,$E$2+2)),INDEX('입력_구리근무자명단'!$A809:$ZZ809,1,$E$2+2),IFERROR(DATE(VALUE(LEFT(INDEX('입력_구리근무자명단'!$A809:$ZZ809,1,$E$2+2),4)),VALUE(MID(INDEX('입력_구리근무자명단'!$A809:$ZZ809,1,$E$2+2),6,2)),VALUE(MID(INDEX('입력_구리근무자명단'!$A809:$ZZ809,1,$E$2+2),9,2))),-1))))</f>
        <v/>
      </c>
      <c r="T811">
        <f>IF($R811="","",IF(INDEX('입력_구리근무자명단'!$A809:$ZZ809,1,$E$2+3)&amp;""="",EOMONTH(급여기준월,0),IF(ISNUMBER(INDEX('입력_구리근무자명단'!$A809:$ZZ809,1,$E$2+3)),INDEX('입력_구리근무자명단'!$A809:$ZZ809,1,$E$2+3),IFERROR(DATE(VALUE(LEFT(INDEX('입력_구리근무자명단'!$A809:$ZZ809,1,$E$2+3),4)),VALUE(MID(INDEX('입력_구리근무자명단'!$A809:$ZZ809,1,$E$2+3),6,2)),VALUE(MID(INDEX('입력_구리근무자명단'!$A809:$ZZ809,1,$E$2+3),9,2))),-1))))</f>
        <v/>
      </c>
      <c r="U811">
        <f>IF($R811="","",IF(OR($S811&lt;0,$T811&lt;0),0,MAX(0,MIN($T811,EOMONTH(급여기준월,0))-MAX($S811,급여기준월)+1)))</f>
        <v/>
      </c>
      <c r="V811">
        <f>IF($R811="","",TRIM(INDEX('입력_구리근무자명단'!$A809:$ZZ809,1,$E$2+5)&amp;""))</f>
        <v/>
      </c>
      <c r="W811">
        <f>IF(ISNUMBER(SEARCH("구리독자",$V811)),"구리독자","")</f>
        <v/>
      </c>
      <c r="X811">
        <f>IF($R811="","",$R811&amp;"|"&amp;IF(OR($Q811="인턴",ISNUMBER(SEARCH("수련교육부",$P811))),"인턴",$P811))</f>
        <v/>
      </c>
      <c r="Y811">
        <f>IF($R811="","",IF(COUNTIF(명단표[이름|과],$X811)=1,"명단 일치",IF(AND(COUNTIF(명단표[이름|과],$X811)=0,COUNTIF(명단표[이름],$R811)=1),"명단 일치(이름만, 과 다름)",IF(COUNTIF(명단표[이름],$R811)=0,IF(COUNTIF(기본자료표[이름],$R811)&gt;0,"명단에 없음(기본자료에는 있음)","명단에 없음"),"동명이인 확인"))))</f>
        <v/>
      </c>
      <c r="Z811">
        <f>IF($R811="","",IF($S811&lt;0,"⚠"&amp;INDEX('입력_구리근무자명단'!$A809:$ZZ809,1,$E$2+2),TEXT($S811,"yyyy-mm-dd")))</f>
        <v/>
      </c>
      <c r="AA811">
        <f>IF($R811="","",IF($T811&lt;0,"⚠"&amp;INDEX('입력_구리근무자명단'!$A809:$ZZ809,1,$E$2+3),TEXT($T811,"yyyy-mm-dd")))</f>
        <v/>
      </c>
      <c r="AB811">
        <f>AB810+IF($R811="",0,1)</f>
        <v/>
      </c>
      <c r="AC811">
        <f>IF($R811="","",$AB811)</f>
        <v/>
      </c>
    </row>
    <row r="812">
      <c r="O812">
        <f>810</f>
        <v/>
      </c>
      <c r="P812">
        <f>IF(TRIM('입력_구리근무자명단'!$A810&amp;"")&lt;&gt;"",TRIM('입력_구리근무자명단'!$A810&amp;""),P811)</f>
        <v/>
      </c>
      <c r="Q812">
        <f>'입력_구리근무자명단'!$B810&amp;""</f>
        <v/>
      </c>
      <c r="R812">
        <f>IF($E$2="","",TRIM(INDEX('입력_구리근무자명단'!$A810:$ZZ810,1,$E$2+IF($G$2="확정",1,0))&amp;""))</f>
        <v/>
      </c>
      <c r="S812">
        <f>IF($R812="","",IF(INDEX('입력_구리근무자명단'!$A810:$ZZ810,1,$E$2+2)&amp;""="",급여기준월,IF(ISNUMBER(INDEX('입력_구리근무자명단'!$A810:$ZZ810,1,$E$2+2)),INDEX('입력_구리근무자명단'!$A810:$ZZ810,1,$E$2+2),IFERROR(DATE(VALUE(LEFT(INDEX('입력_구리근무자명단'!$A810:$ZZ810,1,$E$2+2),4)),VALUE(MID(INDEX('입력_구리근무자명단'!$A810:$ZZ810,1,$E$2+2),6,2)),VALUE(MID(INDEX('입력_구리근무자명단'!$A810:$ZZ810,1,$E$2+2),9,2))),-1))))</f>
        <v/>
      </c>
      <c r="T812">
        <f>IF($R812="","",IF(INDEX('입력_구리근무자명단'!$A810:$ZZ810,1,$E$2+3)&amp;""="",EOMONTH(급여기준월,0),IF(ISNUMBER(INDEX('입력_구리근무자명단'!$A810:$ZZ810,1,$E$2+3)),INDEX('입력_구리근무자명단'!$A810:$ZZ810,1,$E$2+3),IFERROR(DATE(VALUE(LEFT(INDEX('입력_구리근무자명단'!$A810:$ZZ810,1,$E$2+3),4)),VALUE(MID(INDEX('입력_구리근무자명단'!$A810:$ZZ810,1,$E$2+3),6,2)),VALUE(MID(INDEX('입력_구리근무자명단'!$A810:$ZZ810,1,$E$2+3),9,2))),-1))))</f>
        <v/>
      </c>
      <c r="U812">
        <f>IF($R812="","",IF(OR($S812&lt;0,$T812&lt;0),0,MAX(0,MIN($T812,EOMONTH(급여기준월,0))-MAX($S812,급여기준월)+1)))</f>
        <v/>
      </c>
      <c r="V812">
        <f>IF($R812="","",TRIM(INDEX('입력_구리근무자명단'!$A810:$ZZ810,1,$E$2+5)&amp;""))</f>
        <v/>
      </c>
      <c r="W812">
        <f>IF(ISNUMBER(SEARCH("구리독자",$V812)),"구리독자","")</f>
        <v/>
      </c>
      <c r="X812">
        <f>IF($R812="","",$R812&amp;"|"&amp;IF(OR($Q812="인턴",ISNUMBER(SEARCH("수련교육부",$P812))),"인턴",$P812))</f>
        <v/>
      </c>
      <c r="Y812">
        <f>IF($R812="","",IF(COUNTIF(명단표[이름|과],$X812)=1,"명단 일치",IF(AND(COUNTIF(명단표[이름|과],$X812)=0,COUNTIF(명단표[이름],$R812)=1),"명단 일치(이름만, 과 다름)",IF(COUNTIF(명단표[이름],$R812)=0,IF(COUNTIF(기본자료표[이름],$R812)&gt;0,"명단에 없음(기본자료에는 있음)","명단에 없음"),"동명이인 확인"))))</f>
        <v/>
      </c>
      <c r="Z812">
        <f>IF($R812="","",IF($S812&lt;0,"⚠"&amp;INDEX('입력_구리근무자명단'!$A810:$ZZ810,1,$E$2+2),TEXT($S812,"yyyy-mm-dd")))</f>
        <v/>
      </c>
      <c r="AA812">
        <f>IF($R812="","",IF($T812&lt;0,"⚠"&amp;INDEX('입력_구리근무자명단'!$A810:$ZZ810,1,$E$2+3),TEXT($T812,"yyyy-mm-dd")))</f>
        <v/>
      </c>
      <c r="AB812">
        <f>AB811+IF($R812="",0,1)</f>
        <v/>
      </c>
      <c r="AC812">
        <f>IF($R812="","",$AB812)</f>
        <v/>
      </c>
    </row>
    <row r="813">
      <c r="O813">
        <f>811</f>
        <v/>
      </c>
      <c r="P813">
        <f>IF(TRIM('입력_구리근무자명단'!$A811&amp;"")&lt;&gt;"",TRIM('입력_구리근무자명단'!$A811&amp;""),P812)</f>
        <v/>
      </c>
      <c r="Q813">
        <f>'입력_구리근무자명단'!$B811&amp;""</f>
        <v/>
      </c>
      <c r="R813">
        <f>IF($E$2="","",TRIM(INDEX('입력_구리근무자명단'!$A811:$ZZ811,1,$E$2+IF($G$2="확정",1,0))&amp;""))</f>
        <v/>
      </c>
      <c r="S813">
        <f>IF($R813="","",IF(INDEX('입력_구리근무자명단'!$A811:$ZZ811,1,$E$2+2)&amp;""="",급여기준월,IF(ISNUMBER(INDEX('입력_구리근무자명단'!$A811:$ZZ811,1,$E$2+2)),INDEX('입력_구리근무자명단'!$A811:$ZZ811,1,$E$2+2),IFERROR(DATE(VALUE(LEFT(INDEX('입력_구리근무자명단'!$A811:$ZZ811,1,$E$2+2),4)),VALUE(MID(INDEX('입력_구리근무자명단'!$A811:$ZZ811,1,$E$2+2),6,2)),VALUE(MID(INDEX('입력_구리근무자명단'!$A811:$ZZ811,1,$E$2+2),9,2))),-1))))</f>
        <v/>
      </c>
      <c r="T813">
        <f>IF($R813="","",IF(INDEX('입력_구리근무자명단'!$A811:$ZZ811,1,$E$2+3)&amp;""="",EOMONTH(급여기준월,0),IF(ISNUMBER(INDEX('입력_구리근무자명단'!$A811:$ZZ811,1,$E$2+3)),INDEX('입력_구리근무자명단'!$A811:$ZZ811,1,$E$2+3),IFERROR(DATE(VALUE(LEFT(INDEX('입력_구리근무자명단'!$A811:$ZZ811,1,$E$2+3),4)),VALUE(MID(INDEX('입력_구리근무자명단'!$A811:$ZZ811,1,$E$2+3),6,2)),VALUE(MID(INDEX('입력_구리근무자명단'!$A811:$ZZ811,1,$E$2+3),9,2))),-1))))</f>
        <v/>
      </c>
      <c r="U813">
        <f>IF($R813="","",IF(OR($S813&lt;0,$T813&lt;0),0,MAX(0,MIN($T813,EOMONTH(급여기준월,0))-MAX($S813,급여기준월)+1)))</f>
        <v/>
      </c>
      <c r="V813">
        <f>IF($R813="","",TRIM(INDEX('입력_구리근무자명단'!$A811:$ZZ811,1,$E$2+5)&amp;""))</f>
        <v/>
      </c>
      <c r="W813">
        <f>IF(ISNUMBER(SEARCH("구리독자",$V813)),"구리독자","")</f>
        <v/>
      </c>
      <c r="X813">
        <f>IF($R813="","",$R813&amp;"|"&amp;IF(OR($Q813="인턴",ISNUMBER(SEARCH("수련교육부",$P813))),"인턴",$P813))</f>
        <v/>
      </c>
      <c r="Y813">
        <f>IF($R813="","",IF(COUNTIF(명단표[이름|과],$X813)=1,"명단 일치",IF(AND(COUNTIF(명단표[이름|과],$X813)=0,COUNTIF(명단표[이름],$R813)=1),"명단 일치(이름만, 과 다름)",IF(COUNTIF(명단표[이름],$R813)=0,IF(COUNTIF(기본자료표[이름],$R813)&gt;0,"명단에 없음(기본자료에는 있음)","명단에 없음"),"동명이인 확인"))))</f>
        <v/>
      </c>
      <c r="Z813">
        <f>IF($R813="","",IF($S813&lt;0,"⚠"&amp;INDEX('입력_구리근무자명단'!$A811:$ZZ811,1,$E$2+2),TEXT($S813,"yyyy-mm-dd")))</f>
        <v/>
      </c>
      <c r="AA813">
        <f>IF($R813="","",IF($T813&lt;0,"⚠"&amp;INDEX('입력_구리근무자명단'!$A811:$ZZ811,1,$E$2+3),TEXT($T813,"yyyy-mm-dd")))</f>
        <v/>
      </c>
      <c r="AB813">
        <f>AB812+IF($R813="",0,1)</f>
        <v/>
      </c>
      <c r="AC813">
        <f>IF($R813="","",$AB813)</f>
        <v/>
      </c>
    </row>
    <row r="814">
      <c r="O814">
        <f>812</f>
        <v/>
      </c>
      <c r="P814">
        <f>IF(TRIM('입력_구리근무자명단'!$A812&amp;"")&lt;&gt;"",TRIM('입력_구리근무자명단'!$A812&amp;""),P813)</f>
        <v/>
      </c>
      <c r="Q814">
        <f>'입력_구리근무자명단'!$B812&amp;""</f>
        <v/>
      </c>
      <c r="R814">
        <f>IF($E$2="","",TRIM(INDEX('입력_구리근무자명단'!$A812:$ZZ812,1,$E$2+IF($G$2="확정",1,0))&amp;""))</f>
        <v/>
      </c>
      <c r="S814">
        <f>IF($R814="","",IF(INDEX('입력_구리근무자명단'!$A812:$ZZ812,1,$E$2+2)&amp;""="",급여기준월,IF(ISNUMBER(INDEX('입력_구리근무자명단'!$A812:$ZZ812,1,$E$2+2)),INDEX('입력_구리근무자명단'!$A812:$ZZ812,1,$E$2+2),IFERROR(DATE(VALUE(LEFT(INDEX('입력_구리근무자명단'!$A812:$ZZ812,1,$E$2+2),4)),VALUE(MID(INDEX('입력_구리근무자명단'!$A812:$ZZ812,1,$E$2+2),6,2)),VALUE(MID(INDEX('입력_구리근무자명단'!$A812:$ZZ812,1,$E$2+2),9,2))),-1))))</f>
        <v/>
      </c>
      <c r="T814">
        <f>IF($R814="","",IF(INDEX('입력_구리근무자명단'!$A812:$ZZ812,1,$E$2+3)&amp;""="",EOMONTH(급여기준월,0),IF(ISNUMBER(INDEX('입력_구리근무자명단'!$A812:$ZZ812,1,$E$2+3)),INDEX('입력_구리근무자명단'!$A812:$ZZ812,1,$E$2+3),IFERROR(DATE(VALUE(LEFT(INDEX('입력_구리근무자명단'!$A812:$ZZ812,1,$E$2+3),4)),VALUE(MID(INDEX('입력_구리근무자명단'!$A812:$ZZ812,1,$E$2+3),6,2)),VALUE(MID(INDEX('입력_구리근무자명단'!$A812:$ZZ812,1,$E$2+3),9,2))),-1))))</f>
        <v/>
      </c>
      <c r="U814">
        <f>IF($R814="","",IF(OR($S814&lt;0,$T814&lt;0),0,MAX(0,MIN($T814,EOMONTH(급여기준월,0))-MAX($S814,급여기준월)+1)))</f>
        <v/>
      </c>
      <c r="V814">
        <f>IF($R814="","",TRIM(INDEX('입력_구리근무자명단'!$A812:$ZZ812,1,$E$2+5)&amp;""))</f>
        <v/>
      </c>
      <c r="W814">
        <f>IF(ISNUMBER(SEARCH("구리독자",$V814)),"구리독자","")</f>
        <v/>
      </c>
      <c r="X814">
        <f>IF($R814="","",$R814&amp;"|"&amp;IF(OR($Q814="인턴",ISNUMBER(SEARCH("수련교육부",$P814))),"인턴",$P814))</f>
        <v/>
      </c>
      <c r="Y814">
        <f>IF($R814="","",IF(COUNTIF(명단표[이름|과],$X814)=1,"명단 일치",IF(AND(COUNTIF(명단표[이름|과],$X814)=0,COUNTIF(명단표[이름],$R814)=1),"명단 일치(이름만, 과 다름)",IF(COUNTIF(명단표[이름],$R814)=0,IF(COUNTIF(기본자료표[이름],$R814)&gt;0,"명단에 없음(기본자료에는 있음)","명단에 없음"),"동명이인 확인"))))</f>
        <v/>
      </c>
      <c r="Z814">
        <f>IF($R814="","",IF($S814&lt;0,"⚠"&amp;INDEX('입력_구리근무자명단'!$A812:$ZZ812,1,$E$2+2),TEXT($S814,"yyyy-mm-dd")))</f>
        <v/>
      </c>
      <c r="AA814">
        <f>IF($R814="","",IF($T814&lt;0,"⚠"&amp;INDEX('입력_구리근무자명단'!$A812:$ZZ812,1,$E$2+3),TEXT($T814,"yyyy-mm-dd")))</f>
        <v/>
      </c>
      <c r="AB814">
        <f>AB813+IF($R814="",0,1)</f>
        <v/>
      </c>
      <c r="AC814">
        <f>IF($R814="","",$AB814)</f>
        <v/>
      </c>
    </row>
    <row r="815">
      <c r="O815">
        <f>813</f>
        <v/>
      </c>
      <c r="P815">
        <f>IF(TRIM('입력_구리근무자명단'!$A813&amp;"")&lt;&gt;"",TRIM('입력_구리근무자명단'!$A813&amp;""),P814)</f>
        <v/>
      </c>
      <c r="Q815">
        <f>'입력_구리근무자명단'!$B813&amp;""</f>
        <v/>
      </c>
      <c r="R815">
        <f>IF($E$2="","",TRIM(INDEX('입력_구리근무자명단'!$A813:$ZZ813,1,$E$2+IF($G$2="확정",1,0))&amp;""))</f>
        <v/>
      </c>
      <c r="S815">
        <f>IF($R815="","",IF(INDEX('입력_구리근무자명단'!$A813:$ZZ813,1,$E$2+2)&amp;""="",급여기준월,IF(ISNUMBER(INDEX('입력_구리근무자명단'!$A813:$ZZ813,1,$E$2+2)),INDEX('입력_구리근무자명단'!$A813:$ZZ813,1,$E$2+2),IFERROR(DATE(VALUE(LEFT(INDEX('입력_구리근무자명단'!$A813:$ZZ813,1,$E$2+2),4)),VALUE(MID(INDEX('입력_구리근무자명단'!$A813:$ZZ813,1,$E$2+2),6,2)),VALUE(MID(INDEX('입력_구리근무자명단'!$A813:$ZZ813,1,$E$2+2),9,2))),-1))))</f>
        <v/>
      </c>
      <c r="T815">
        <f>IF($R815="","",IF(INDEX('입력_구리근무자명단'!$A813:$ZZ813,1,$E$2+3)&amp;""="",EOMONTH(급여기준월,0),IF(ISNUMBER(INDEX('입력_구리근무자명단'!$A813:$ZZ813,1,$E$2+3)),INDEX('입력_구리근무자명단'!$A813:$ZZ813,1,$E$2+3),IFERROR(DATE(VALUE(LEFT(INDEX('입력_구리근무자명단'!$A813:$ZZ813,1,$E$2+3),4)),VALUE(MID(INDEX('입력_구리근무자명단'!$A813:$ZZ813,1,$E$2+3),6,2)),VALUE(MID(INDEX('입력_구리근무자명단'!$A813:$ZZ813,1,$E$2+3),9,2))),-1))))</f>
        <v/>
      </c>
      <c r="U815">
        <f>IF($R815="","",IF(OR($S815&lt;0,$T815&lt;0),0,MAX(0,MIN($T815,EOMONTH(급여기준월,0))-MAX($S815,급여기준월)+1)))</f>
        <v/>
      </c>
      <c r="V815">
        <f>IF($R815="","",TRIM(INDEX('입력_구리근무자명단'!$A813:$ZZ813,1,$E$2+5)&amp;""))</f>
        <v/>
      </c>
      <c r="W815">
        <f>IF(ISNUMBER(SEARCH("구리독자",$V815)),"구리독자","")</f>
        <v/>
      </c>
      <c r="X815">
        <f>IF($R815="","",$R815&amp;"|"&amp;IF(OR($Q815="인턴",ISNUMBER(SEARCH("수련교육부",$P815))),"인턴",$P815))</f>
        <v/>
      </c>
      <c r="Y815">
        <f>IF($R815="","",IF(COUNTIF(명단표[이름|과],$X815)=1,"명단 일치",IF(AND(COUNTIF(명단표[이름|과],$X815)=0,COUNTIF(명단표[이름],$R815)=1),"명단 일치(이름만, 과 다름)",IF(COUNTIF(명단표[이름],$R815)=0,IF(COUNTIF(기본자료표[이름],$R815)&gt;0,"명단에 없음(기본자료에는 있음)","명단에 없음"),"동명이인 확인"))))</f>
        <v/>
      </c>
      <c r="Z815">
        <f>IF($R815="","",IF($S815&lt;0,"⚠"&amp;INDEX('입력_구리근무자명단'!$A813:$ZZ813,1,$E$2+2),TEXT($S815,"yyyy-mm-dd")))</f>
        <v/>
      </c>
      <c r="AA815">
        <f>IF($R815="","",IF($T815&lt;0,"⚠"&amp;INDEX('입력_구리근무자명단'!$A813:$ZZ813,1,$E$2+3),TEXT($T815,"yyyy-mm-dd")))</f>
        <v/>
      </c>
      <c r="AB815">
        <f>AB814+IF($R815="",0,1)</f>
        <v/>
      </c>
      <c r="AC815">
        <f>IF($R815="","",$AB815)</f>
        <v/>
      </c>
    </row>
    <row r="816">
      <c r="O816">
        <f>814</f>
        <v/>
      </c>
      <c r="P816">
        <f>IF(TRIM('입력_구리근무자명단'!$A814&amp;"")&lt;&gt;"",TRIM('입력_구리근무자명단'!$A814&amp;""),P815)</f>
        <v/>
      </c>
      <c r="Q816">
        <f>'입력_구리근무자명단'!$B814&amp;""</f>
        <v/>
      </c>
      <c r="R816">
        <f>IF($E$2="","",TRIM(INDEX('입력_구리근무자명단'!$A814:$ZZ814,1,$E$2+IF($G$2="확정",1,0))&amp;""))</f>
        <v/>
      </c>
      <c r="S816">
        <f>IF($R816="","",IF(INDEX('입력_구리근무자명단'!$A814:$ZZ814,1,$E$2+2)&amp;""="",급여기준월,IF(ISNUMBER(INDEX('입력_구리근무자명단'!$A814:$ZZ814,1,$E$2+2)),INDEX('입력_구리근무자명단'!$A814:$ZZ814,1,$E$2+2),IFERROR(DATE(VALUE(LEFT(INDEX('입력_구리근무자명단'!$A814:$ZZ814,1,$E$2+2),4)),VALUE(MID(INDEX('입력_구리근무자명단'!$A814:$ZZ814,1,$E$2+2),6,2)),VALUE(MID(INDEX('입력_구리근무자명단'!$A814:$ZZ814,1,$E$2+2),9,2))),-1))))</f>
        <v/>
      </c>
      <c r="T816">
        <f>IF($R816="","",IF(INDEX('입력_구리근무자명단'!$A814:$ZZ814,1,$E$2+3)&amp;""="",EOMONTH(급여기준월,0),IF(ISNUMBER(INDEX('입력_구리근무자명단'!$A814:$ZZ814,1,$E$2+3)),INDEX('입력_구리근무자명단'!$A814:$ZZ814,1,$E$2+3),IFERROR(DATE(VALUE(LEFT(INDEX('입력_구리근무자명단'!$A814:$ZZ814,1,$E$2+3),4)),VALUE(MID(INDEX('입력_구리근무자명단'!$A814:$ZZ814,1,$E$2+3),6,2)),VALUE(MID(INDEX('입력_구리근무자명단'!$A814:$ZZ814,1,$E$2+3),9,2))),-1))))</f>
        <v/>
      </c>
      <c r="U816">
        <f>IF($R816="","",IF(OR($S816&lt;0,$T816&lt;0),0,MAX(0,MIN($T816,EOMONTH(급여기준월,0))-MAX($S816,급여기준월)+1)))</f>
        <v/>
      </c>
      <c r="V816">
        <f>IF($R816="","",TRIM(INDEX('입력_구리근무자명단'!$A814:$ZZ814,1,$E$2+5)&amp;""))</f>
        <v/>
      </c>
      <c r="W816">
        <f>IF(ISNUMBER(SEARCH("구리독자",$V816)),"구리독자","")</f>
        <v/>
      </c>
      <c r="X816">
        <f>IF($R816="","",$R816&amp;"|"&amp;IF(OR($Q816="인턴",ISNUMBER(SEARCH("수련교육부",$P816))),"인턴",$P816))</f>
        <v/>
      </c>
      <c r="Y816">
        <f>IF($R816="","",IF(COUNTIF(명단표[이름|과],$X816)=1,"명단 일치",IF(AND(COUNTIF(명단표[이름|과],$X816)=0,COUNTIF(명단표[이름],$R816)=1),"명단 일치(이름만, 과 다름)",IF(COUNTIF(명단표[이름],$R816)=0,IF(COUNTIF(기본자료표[이름],$R816)&gt;0,"명단에 없음(기본자료에는 있음)","명단에 없음"),"동명이인 확인"))))</f>
        <v/>
      </c>
      <c r="Z816">
        <f>IF($R816="","",IF($S816&lt;0,"⚠"&amp;INDEX('입력_구리근무자명단'!$A814:$ZZ814,1,$E$2+2),TEXT($S816,"yyyy-mm-dd")))</f>
        <v/>
      </c>
      <c r="AA816">
        <f>IF($R816="","",IF($T816&lt;0,"⚠"&amp;INDEX('입력_구리근무자명단'!$A814:$ZZ814,1,$E$2+3),TEXT($T816,"yyyy-mm-dd")))</f>
        <v/>
      </c>
      <c r="AB816">
        <f>AB815+IF($R816="",0,1)</f>
        <v/>
      </c>
      <c r="AC816">
        <f>IF($R816="","",$AB816)</f>
        <v/>
      </c>
    </row>
    <row r="817">
      <c r="O817">
        <f>815</f>
        <v/>
      </c>
      <c r="P817">
        <f>IF(TRIM('입력_구리근무자명단'!$A815&amp;"")&lt;&gt;"",TRIM('입력_구리근무자명단'!$A815&amp;""),P816)</f>
        <v/>
      </c>
      <c r="Q817">
        <f>'입력_구리근무자명단'!$B815&amp;""</f>
        <v/>
      </c>
      <c r="R817">
        <f>IF($E$2="","",TRIM(INDEX('입력_구리근무자명단'!$A815:$ZZ815,1,$E$2+IF($G$2="확정",1,0))&amp;""))</f>
        <v/>
      </c>
      <c r="S817">
        <f>IF($R817="","",IF(INDEX('입력_구리근무자명단'!$A815:$ZZ815,1,$E$2+2)&amp;""="",급여기준월,IF(ISNUMBER(INDEX('입력_구리근무자명단'!$A815:$ZZ815,1,$E$2+2)),INDEX('입력_구리근무자명단'!$A815:$ZZ815,1,$E$2+2),IFERROR(DATE(VALUE(LEFT(INDEX('입력_구리근무자명단'!$A815:$ZZ815,1,$E$2+2),4)),VALUE(MID(INDEX('입력_구리근무자명단'!$A815:$ZZ815,1,$E$2+2),6,2)),VALUE(MID(INDEX('입력_구리근무자명단'!$A815:$ZZ815,1,$E$2+2),9,2))),-1))))</f>
        <v/>
      </c>
      <c r="T817">
        <f>IF($R817="","",IF(INDEX('입력_구리근무자명단'!$A815:$ZZ815,1,$E$2+3)&amp;""="",EOMONTH(급여기준월,0),IF(ISNUMBER(INDEX('입력_구리근무자명단'!$A815:$ZZ815,1,$E$2+3)),INDEX('입력_구리근무자명단'!$A815:$ZZ815,1,$E$2+3),IFERROR(DATE(VALUE(LEFT(INDEX('입력_구리근무자명단'!$A815:$ZZ815,1,$E$2+3),4)),VALUE(MID(INDEX('입력_구리근무자명단'!$A815:$ZZ815,1,$E$2+3),6,2)),VALUE(MID(INDEX('입력_구리근무자명단'!$A815:$ZZ815,1,$E$2+3),9,2))),-1))))</f>
        <v/>
      </c>
      <c r="U817">
        <f>IF($R817="","",IF(OR($S817&lt;0,$T817&lt;0),0,MAX(0,MIN($T817,EOMONTH(급여기준월,0))-MAX($S817,급여기준월)+1)))</f>
        <v/>
      </c>
      <c r="V817">
        <f>IF($R817="","",TRIM(INDEX('입력_구리근무자명단'!$A815:$ZZ815,1,$E$2+5)&amp;""))</f>
        <v/>
      </c>
      <c r="W817">
        <f>IF(ISNUMBER(SEARCH("구리독자",$V817)),"구리독자","")</f>
        <v/>
      </c>
      <c r="X817">
        <f>IF($R817="","",$R817&amp;"|"&amp;IF(OR($Q817="인턴",ISNUMBER(SEARCH("수련교육부",$P817))),"인턴",$P817))</f>
        <v/>
      </c>
      <c r="Y817">
        <f>IF($R817="","",IF(COUNTIF(명단표[이름|과],$X817)=1,"명단 일치",IF(AND(COUNTIF(명단표[이름|과],$X817)=0,COUNTIF(명단표[이름],$R817)=1),"명단 일치(이름만, 과 다름)",IF(COUNTIF(명단표[이름],$R817)=0,IF(COUNTIF(기본자료표[이름],$R817)&gt;0,"명단에 없음(기본자료에는 있음)","명단에 없음"),"동명이인 확인"))))</f>
        <v/>
      </c>
      <c r="Z817">
        <f>IF($R817="","",IF($S817&lt;0,"⚠"&amp;INDEX('입력_구리근무자명단'!$A815:$ZZ815,1,$E$2+2),TEXT($S817,"yyyy-mm-dd")))</f>
        <v/>
      </c>
      <c r="AA817">
        <f>IF($R817="","",IF($T817&lt;0,"⚠"&amp;INDEX('입력_구리근무자명단'!$A815:$ZZ815,1,$E$2+3),TEXT($T817,"yyyy-mm-dd")))</f>
        <v/>
      </c>
      <c r="AB817">
        <f>AB816+IF($R817="",0,1)</f>
        <v/>
      </c>
      <c r="AC817">
        <f>IF($R817="","",$AB817)</f>
        <v/>
      </c>
    </row>
    <row r="818">
      <c r="O818">
        <f>816</f>
        <v/>
      </c>
      <c r="P818">
        <f>IF(TRIM('입력_구리근무자명단'!$A816&amp;"")&lt;&gt;"",TRIM('입력_구리근무자명단'!$A816&amp;""),P817)</f>
        <v/>
      </c>
      <c r="Q818">
        <f>'입력_구리근무자명단'!$B816&amp;""</f>
        <v/>
      </c>
      <c r="R818">
        <f>IF($E$2="","",TRIM(INDEX('입력_구리근무자명단'!$A816:$ZZ816,1,$E$2+IF($G$2="확정",1,0))&amp;""))</f>
        <v/>
      </c>
      <c r="S818">
        <f>IF($R818="","",IF(INDEX('입력_구리근무자명단'!$A816:$ZZ816,1,$E$2+2)&amp;""="",급여기준월,IF(ISNUMBER(INDEX('입력_구리근무자명단'!$A816:$ZZ816,1,$E$2+2)),INDEX('입력_구리근무자명단'!$A816:$ZZ816,1,$E$2+2),IFERROR(DATE(VALUE(LEFT(INDEX('입력_구리근무자명단'!$A816:$ZZ816,1,$E$2+2),4)),VALUE(MID(INDEX('입력_구리근무자명단'!$A816:$ZZ816,1,$E$2+2),6,2)),VALUE(MID(INDEX('입력_구리근무자명단'!$A816:$ZZ816,1,$E$2+2),9,2))),-1))))</f>
        <v/>
      </c>
      <c r="T818">
        <f>IF($R818="","",IF(INDEX('입력_구리근무자명단'!$A816:$ZZ816,1,$E$2+3)&amp;""="",EOMONTH(급여기준월,0),IF(ISNUMBER(INDEX('입력_구리근무자명단'!$A816:$ZZ816,1,$E$2+3)),INDEX('입력_구리근무자명단'!$A816:$ZZ816,1,$E$2+3),IFERROR(DATE(VALUE(LEFT(INDEX('입력_구리근무자명단'!$A816:$ZZ816,1,$E$2+3),4)),VALUE(MID(INDEX('입력_구리근무자명단'!$A816:$ZZ816,1,$E$2+3),6,2)),VALUE(MID(INDEX('입력_구리근무자명단'!$A816:$ZZ816,1,$E$2+3),9,2))),-1))))</f>
        <v/>
      </c>
      <c r="U818">
        <f>IF($R818="","",IF(OR($S818&lt;0,$T818&lt;0),0,MAX(0,MIN($T818,EOMONTH(급여기준월,0))-MAX($S818,급여기준월)+1)))</f>
        <v/>
      </c>
      <c r="V818">
        <f>IF($R818="","",TRIM(INDEX('입력_구리근무자명단'!$A816:$ZZ816,1,$E$2+5)&amp;""))</f>
        <v/>
      </c>
      <c r="W818">
        <f>IF(ISNUMBER(SEARCH("구리독자",$V818)),"구리독자","")</f>
        <v/>
      </c>
      <c r="X818">
        <f>IF($R818="","",$R818&amp;"|"&amp;IF(OR($Q818="인턴",ISNUMBER(SEARCH("수련교육부",$P818))),"인턴",$P818))</f>
        <v/>
      </c>
      <c r="Y818">
        <f>IF($R818="","",IF(COUNTIF(명단표[이름|과],$X818)=1,"명단 일치",IF(AND(COUNTIF(명단표[이름|과],$X818)=0,COUNTIF(명단표[이름],$R818)=1),"명단 일치(이름만, 과 다름)",IF(COUNTIF(명단표[이름],$R818)=0,IF(COUNTIF(기본자료표[이름],$R818)&gt;0,"명단에 없음(기본자료에는 있음)","명단에 없음"),"동명이인 확인"))))</f>
        <v/>
      </c>
      <c r="Z818">
        <f>IF($R818="","",IF($S818&lt;0,"⚠"&amp;INDEX('입력_구리근무자명단'!$A816:$ZZ816,1,$E$2+2),TEXT($S818,"yyyy-mm-dd")))</f>
        <v/>
      </c>
      <c r="AA818">
        <f>IF($R818="","",IF($T818&lt;0,"⚠"&amp;INDEX('입력_구리근무자명단'!$A816:$ZZ816,1,$E$2+3),TEXT($T818,"yyyy-mm-dd")))</f>
        <v/>
      </c>
      <c r="AB818">
        <f>AB817+IF($R818="",0,1)</f>
        <v/>
      </c>
      <c r="AC818">
        <f>IF($R818="","",$AB818)</f>
        <v/>
      </c>
    </row>
    <row r="819">
      <c r="O819">
        <f>817</f>
        <v/>
      </c>
      <c r="P819">
        <f>IF(TRIM('입력_구리근무자명단'!$A817&amp;"")&lt;&gt;"",TRIM('입력_구리근무자명단'!$A817&amp;""),P818)</f>
        <v/>
      </c>
      <c r="Q819">
        <f>'입력_구리근무자명단'!$B817&amp;""</f>
        <v/>
      </c>
      <c r="R819">
        <f>IF($E$2="","",TRIM(INDEX('입력_구리근무자명단'!$A817:$ZZ817,1,$E$2+IF($G$2="확정",1,0))&amp;""))</f>
        <v/>
      </c>
      <c r="S819">
        <f>IF($R819="","",IF(INDEX('입력_구리근무자명단'!$A817:$ZZ817,1,$E$2+2)&amp;""="",급여기준월,IF(ISNUMBER(INDEX('입력_구리근무자명단'!$A817:$ZZ817,1,$E$2+2)),INDEX('입력_구리근무자명단'!$A817:$ZZ817,1,$E$2+2),IFERROR(DATE(VALUE(LEFT(INDEX('입력_구리근무자명단'!$A817:$ZZ817,1,$E$2+2),4)),VALUE(MID(INDEX('입력_구리근무자명단'!$A817:$ZZ817,1,$E$2+2),6,2)),VALUE(MID(INDEX('입력_구리근무자명단'!$A817:$ZZ817,1,$E$2+2),9,2))),-1))))</f>
        <v/>
      </c>
      <c r="T819">
        <f>IF($R819="","",IF(INDEX('입력_구리근무자명단'!$A817:$ZZ817,1,$E$2+3)&amp;""="",EOMONTH(급여기준월,0),IF(ISNUMBER(INDEX('입력_구리근무자명단'!$A817:$ZZ817,1,$E$2+3)),INDEX('입력_구리근무자명단'!$A817:$ZZ817,1,$E$2+3),IFERROR(DATE(VALUE(LEFT(INDEX('입력_구리근무자명단'!$A817:$ZZ817,1,$E$2+3),4)),VALUE(MID(INDEX('입력_구리근무자명단'!$A817:$ZZ817,1,$E$2+3),6,2)),VALUE(MID(INDEX('입력_구리근무자명단'!$A817:$ZZ817,1,$E$2+3),9,2))),-1))))</f>
        <v/>
      </c>
      <c r="U819">
        <f>IF($R819="","",IF(OR($S819&lt;0,$T819&lt;0),0,MAX(0,MIN($T819,EOMONTH(급여기준월,0))-MAX($S819,급여기준월)+1)))</f>
        <v/>
      </c>
      <c r="V819">
        <f>IF($R819="","",TRIM(INDEX('입력_구리근무자명단'!$A817:$ZZ817,1,$E$2+5)&amp;""))</f>
        <v/>
      </c>
      <c r="W819">
        <f>IF(ISNUMBER(SEARCH("구리독자",$V819)),"구리독자","")</f>
        <v/>
      </c>
      <c r="X819">
        <f>IF($R819="","",$R819&amp;"|"&amp;IF(OR($Q819="인턴",ISNUMBER(SEARCH("수련교육부",$P819))),"인턴",$P819))</f>
        <v/>
      </c>
      <c r="Y819">
        <f>IF($R819="","",IF(COUNTIF(명단표[이름|과],$X819)=1,"명단 일치",IF(AND(COUNTIF(명단표[이름|과],$X819)=0,COUNTIF(명단표[이름],$R819)=1),"명단 일치(이름만, 과 다름)",IF(COUNTIF(명단표[이름],$R819)=0,IF(COUNTIF(기본자료표[이름],$R819)&gt;0,"명단에 없음(기본자료에는 있음)","명단에 없음"),"동명이인 확인"))))</f>
        <v/>
      </c>
      <c r="Z819">
        <f>IF($R819="","",IF($S819&lt;0,"⚠"&amp;INDEX('입력_구리근무자명단'!$A817:$ZZ817,1,$E$2+2),TEXT($S819,"yyyy-mm-dd")))</f>
        <v/>
      </c>
      <c r="AA819">
        <f>IF($R819="","",IF($T819&lt;0,"⚠"&amp;INDEX('입력_구리근무자명단'!$A817:$ZZ817,1,$E$2+3),TEXT($T819,"yyyy-mm-dd")))</f>
        <v/>
      </c>
      <c r="AB819">
        <f>AB818+IF($R819="",0,1)</f>
        <v/>
      </c>
      <c r="AC819">
        <f>IF($R819="","",$AB819)</f>
        <v/>
      </c>
    </row>
    <row r="820">
      <c r="O820">
        <f>818</f>
        <v/>
      </c>
      <c r="P820">
        <f>IF(TRIM('입력_구리근무자명단'!$A818&amp;"")&lt;&gt;"",TRIM('입력_구리근무자명단'!$A818&amp;""),P819)</f>
        <v/>
      </c>
      <c r="Q820">
        <f>'입력_구리근무자명단'!$B818&amp;""</f>
        <v/>
      </c>
      <c r="R820">
        <f>IF($E$2="","",TRIM(INDEX('입력_구리근무자명단'!$A818:$ZZ818,1,$E$2+IF($G$2="확정",1,0))&amp;""))</f>
        <v/>
      </c>
      <c r="S820">
        <f>IF($R820="","",IF(INDEX('입력_구리근무자명단'!$A818:$ZZ818,1,$E$2+2)&amp;""="",급여기준월,IF(ISNUMBER(INDEX('입력_구리근무자명단'!$A818:$ZZ818,1,$E$2+2)),INDEX('입력_구리근무자명단'!$A818:$ZZ818,1,$E$2+2),IFERROR(DATE(VALUE(LEFT(INDEX('입력_구리근무자명단'!$A818:$ZZ818,1,$E$2+2),4)),VALUE(MID(INDEX('입력_구리근무자명단'!$A818:$ZZ818,1,$E$2+2),6,2)),VALUE(MID(INDEX('입력_구리근무자명단'!$A818:$ZZ818,1,$E$2+2),9,2))),-1))))</f>
        <v/>
      </c>
      <c r="T820">
        <f>IF($R820="","",IF(INDEX('입력_구리근무자명단'!$A818:$ZZ818,1,$E$2+3)&amp;""="",EOMONTH(급여기준월,0),IF(ISNUMBER(INDEX('입력_구리근무자명단'!$A818:$ZZ818,1,$E$2+3)),INDEX('입력_구리근무자명단'!$A818:$ZZ818,1,$E$2+3),IFERROR(DATE(VALUE(LEFT(INDEX('입력_구리근무자명단'!$A818:$ZZ818,1,$E$2+3),4)),VALUE(MID(INDEX('입력_구리근무자명단'!$A818:$ZZ818,1,$E$2+3),6,2)),VALUE(MID(INDEX('입력_구리근무자명단'!$A818:$ZZ818,1,$E$2+3),9,2))),-1))))</f>
        <v/>
      </c>
      <c r="U820">
        <f>IF($R820="","",IF(OR($S820&lt;0,$T820&lt;0),0,MAX(0,MIN($T820,EOMONTH(급여기준월,0))-MAX($S820,급여기준월)+1)))</f>
        <v/>
      </c>
      <c r="V820">
        <f>IF($R820="","",TRIM(INDEX('입력_구리근무자명단'!$A818:$ZZ818,1,$E$2+5)&amp;""))</f>
        <v/>
      </c>
      <c r="W820">
        <f>IF(ISNUMBER(SEARCH("구리독자",$V820)),"구리독자","")</f>
        <v/>
      </c>
      <c r="X820">
        <f>IF($R820="","",$R820&amp;"|"&amp;IF(OR($Q820="인턴",ISNUMBER(SEARCH("수련교육부",$P820))),"인턴",$P820))</f>
        <v/>
      </c>
      <c r="Y820">
        <f>IF($R820="","",IF(COUNTIF(명단표[이름|과],$X820)=1,"명단 일치",IF(AND(COUNTIF(명단표[이름|과],$X820)=0,COUNTIF(명단표[이름],$R820)=1),"명단 일치(이름만, 과 다름)",IF(COUNTIF(명단표[이름],$R820)=0,IF(COUNTIF(기본자료표[이름],$R820)&gt;0,"명단에 없음(기본자료에는 있음)","명단에 없음"),"동명이인 확인"))))</f>
        <v/>
      </c>
      <c r="Z820">
        <f>IF($R820="","",IF($S820&lt;0,"⚠"&amp;INDEX('입력_구리근무자명단'!$A818:$ZZ818,1,$E$2+2),TEXT($S820,"yyyy-mm-dd")))</f>
        <v/>
      </c>
      <c r="AA820">
        <f>IF($R820="","",IF($T820&lt;0,"⚠"&amp;INDEX('입력_구리근무자명단'!$A818:$ZZ818,1,$E$2+3),TEXT($T820,"yyyy-mm-dd")))</f>
        <v/>
      </c>
      <c r="AB820">
        <f>AB819+IF($R820="",0,1)</f>
        <v/>
      </c>
      <c r="AC820">
        <f>IF($R820="","",$AB820)</f>
        <v/>
      </c>
    </row>
    <row r="821">
      <c r="O821">
        <f>819</f>
        <v/>
      </c>
      <c r="P821">
        <f>IF(TRIM('입력_구리근무자명단'!$A819&amp;"")&lt;&gt;"",TRIM('입력_구리근무자명단'!$A819&amp;""),P820)</f>
        <v/>
      </c>
      <c r="Q821">
        <f>'입력_구리근무자명단'!$B819&amp;""</f>
        <v/>
      </c>
      <c r="R821">
        <f>IF($E$2="","",TRIM(INDEX('입력_구리근무자명단'!$A819:$ZZ819,1,$E$2+IF($G$2="확정",1,0))&amp;""))</f>
        <v/>
      </c>
      <c r="S821">
        <f>IF($R821="","",IF(INDEX('입력_구리근무자명단'!$A819:$ZZ819,1,$E$2+2)&amp;""="",급여기준월,IF(ISNUMBER(INDEX('입력_구리근무자명단'!$A819:$ZZ819,1,$E$2+2)),INDEX('입력_구리근무자명단'!$A819:$ZZ819,1,$E$2+2),IFERROR(DATE(VALUE(LEFT(INDEX('입력_구리근무자명단'!$A819:$ZZ819,1,$E$2+2),4)),VALUE(MID(INDEX('입력_구리근무자명단'!$A819:$ZZ819,1,$E$2+2),6,2)),VALUE(MID(INDEX('입력_구리근무자명단'!$A819:$ZZ819,1,$E$2+2),9,2))),-1))))</f>
        <v/>
      </c>
      <c r="T821">
        <f>IF($R821="","",IF(INDEX('입력_구리근무자명단'!$A819:$ZZ819,1,$E$2+3)&amp;""="",EOMONTH(급여기준월,0),IF(ISNUMBER(INDEX('입력_구리근무자명단'!$A819:$ZZ819,1,$E$2+3)),INDEX('입력_구리근무자명단'!$A819:$ZZ819,1,$E$2+3),IFERROR(DATE(VALUE(LEFT(INDEX('입력_구리근무자명단'!$A819:$ZZ819,1,$E$2+3),4)),VALUE(MID(INDEX('입력_구리근무자명단'!$A819:$ZZ819,1,$E$2+3),6,2)),VALUE(MID(INDEX('입력_구리근무자명단'!$A819:$ZZ819,1,$E$2+3),9,2))),-1))))</f>
        <v/>
      </c>
      <c r="U821">
        <f>IF($R821="","",IF(OR($S821&lt;0,$T821&lt;0),0,MAX(0,MIN($T821,EOMONTH(급여기준월,0))-MAX($S821,급여기준월)+1)))</f>
        <v/>
      </c>
      <c r="V821">
        <f>IF($R821="","",TRIM(INDEX('입력_구리근무자명단'!$A819:$ZZ819,1,$E$2+5)&amp;""))</f>
        <v/>
      </c>
      <c r="W821">
        <f>IF(ISNUMBER(SEARCH("구리독자",$V821)),"구리독자","")</f>
        <v/>
      </c>
      <c r="X821">
        <f>IF($R821="","",$R821&amp;"|"&amp;IF(OR($Q821="인턴",ISNUMBER(SEARCH("수련교육부",$P821))),"인턴",$P821))</f>
        <v/>
      </c>
      <c r="Y821">
        <f>IF($R821="","",IF(COUNTIF(명단표[이름|과],$X821)=1,"명단 일치",IF(AND(COUNTIF(명단표[이름|과],$X821)=0,COUNTIF(명단표[이름],$R821)=1),"명단 일치(이름만, 과 다름)",IF(COUNTIF(명단표[이름],$R821)=0,IF(COUNTIF(기본자료표[이름],$R821)&gt;0,"명단에 없음(기본자료에는 있음)","명단에 없음"),"동명이인 확인"))))</f>
        <v/>
      </c>
      <c r="Z821">
        <f>IF($R821="","",IF($S821&lt;0,"⚠"&amp;INDEX('입력_구리근무자명단'!$A819:$ZZ819,1,$E$2+2),TEXT($S821,"yyyy-mm-dd")))</f>
        <v/>
      </c>
      <c r="AA821">
        <f>IF($R821="","",IF($T821&lt;0,"⚠"&amp;INDEX('입력_구리근무자명단'!$A819:$ZZ819,1,$E$2+3),TEXT($T821,"yyyy-mm-dd")))</f>
        <v/>
      </c>
      <c r="AB821">
        <f>AB820+IF($R821="",0,1)</f>
        <v/>
      </c>
      <c r="AC821">
        <f>IF($R821="","",$AB821)</f>
        <v/>
      </c>
    </row>
    <row r="822">
      <c r="O822">
        <f>820</f>
        <v/>
      </c>
      <c r="P822">
        <f>IF(TRIM('입력_구리근무자명단'!$A820&amp;"")&lt;&gt;"",TRIM('입력_구리근무자명단'!$A820&amp;""),P821)</f>
        <v/>
      </c>
      <c r="Q822">
        <f>'입력_구리근무자명단'!$B820&amp;""</f>
        <v/>
      </c>
      <c r="R822">
        <f>IF($E$2="","",TRIM(INDEX('입력_구리근무자명단'!$A820:$ZZ820,1,$E$2+IF($G$2="확정",1,0))&amp;""))</f>
        <v/>
      </c>
      <c r="S822">
        <f>IF($R822="","",IF(INDEX('입력_구리근무자명단'!$A820:$ZZ820,1,$E$2+2)&amp;""="",급여기준월,IF(ISNUMBER(INDEX('입력_구리근무자명단'!$A820:$ZZ820,1,$E$2+2)),INDEX('입력_구리근무자명단'!$A820:$ZZ820,1,$E$2+2),IFERROR(DATE(VALUE(LEFT(INDEX('입력_구리근무자명단'!$A820:$ZZ820,1,$E$2+2),4)),VALUE(MID(INDEX('입력_구리근무자명단'!$A820:$ZZ820,1,$E$2+2),6,2)),VALUE(MID(INDEX('입력_구리근무자명단'!$A820:$ZZ820,1,$E$2+2),9,2))),-1))))</f>
        <v/>
      </c>
      <c r="T822">
        <f>IF($R822="","",IF(INDEX('입력_구리근무자명단'!$A820:$ZZ820,1,$E$2+3)&amp;""="",EOMONTH(급여기준월,0),IF(ISNUMBER(INDEX('입력_구리근무자명단'!$A820:$ZZ820,1,$E$2+3)),INDEX('입력_구리근무자명단'!$A820:$ZZ820,1,$E$2+3),IFERROR(DATE(VALUE(LEFT(INDEX('입력_구리근무자명단'!$A820:$ZZ820,1,$E$2+3),4)),VALUE(MID(INDEX('입력_구리근무자명단'!$A820:$ZZ820,1,$E$2+3),6,2)),VALUE(MID(INDEX('입력_구리근무자명단'!$A820:$ZZ820,1,$E$2+3),9,2))),-1))))</f>
        <v/>
      </c>
      <c r="U822">
        <f>IF($R822="","",IF(OR($S822&lt;0,$T822&lt;0),0,MAX(0,MIN($T822,EOMONTH(급여기준월,0))-MAX($S822,급여기준월)+1)))</f>
        <v/>
      </c>
      <c r="V822">
        <f>IF($R822="","",TRIM(INDEX('입력_구리근무자명단'!$A820:$ZZ820,1,$E$2+5)&amp;""))</f>
        <v/>
      </c>
      <c r="W822">
        <f>IF(ISNUMBER(SEARCH("구리독자",$V822)),"구리독자","")</f>
        <v/>
      </c>
      <c r="X822">
        <f>IF($R822="","",$R822&amp;"|"&amp;IF(OR($Q822="인턴",ISNUMBER(SEARCH("수련교육부",$P822))),"인턴",$P822))</f>
        <v/>
      </c>
      <c r="Y822">
        <f>IF($R822="","",IF(COUNTIF(명단표[이름|과],$X822)=1,"명단 일치",IF(AND(COUNTIF(명단표[이름|과],$X822)=0,COUNTIF(명단표[이름],$R822)=1),"명단 일치(이름만, 과 다름)",IF(COUNTIF(명단표[이름],$R822)=0,IF(COUNTIF(기본자료표[이름],$R822)&gt;0,"명단에 없음(기본자료에는 있음)","명단에 없음"),"동명이인 확인"))))</f>
        <v/>
      </c>
      <c r="Z822">
        <f>IF($R822="","",IF($S822&lt;0,"⚠"&amp;INDEX('입력_구리근무자명단'!$A820:$ZZ820,1,$E$2+2),TEXT($S822,"yyyy-mm-dd")))</f>
        <v/>
      </c>
      <c r="AA822">
        <f>IF($R822="","",IF($T822&lt;0,"⚠"&amp;INDEX('입력_구리근무자명단'!$A820:$ZZ820,1,$E$2+3),TEXT($T822,"yyyy-mm-dd")))</f>
        <v/>
      </c>
      <c r="AB822">
        <f>AB821+IF($R822="",0,1)</f>
        <v/>
      </c>
      <c r="AC822">
        <f>IF($R822="","",$AB822)</f>
        <v/>
      </c>
    </row>
    <row r="823">
      <c r="O823">
        <f>821</f>
        <v/>
      </c>
      <c r="P823">
        <f>IF(TRIM('입력_구리근무자명단'!$A821&amp;"")&lt;&gt;"",TRIM('입력_구리근무자명단'!$A821&amp;""),P822)</f>
        <v/>
      </c>
      <c r="Q823">
        <f>'입력_구리근무자명단'!$B821&amp;""</f>
        <v/>
      </c>
      <c r="R823">
        <f>IF($E$2="","",TRIM(INDEX('입력_구리근무자명단'!$A821:$ZZ821,1,$E$2+IF($G$2="확정",1,0))&amp;""))</f>
        <v/>
      </c>
      <c r="S823">
        <f>IF($R823="","",IF(INDEX('입력_구리근무자명단'!$A821:$ZZ821,1,$E$2+2)&amp;""="",급여기준월,IF(ISNUMBER(INDEX('입력_구리근무자명단'!$A821:$ZZ821,1,$E$2+2)),INDEX('입력_구리근무자명단'!$A821:$ZZ821,1,$E$2+2),IFERROR(DATE(VALUE(LEFT(INDEX('입력_구리근무자명단'!$A821:$ZZ821,1,$E$2+2),4)),VALUE(MID(INDEX('입력_구리근무자명단'!$A821:$ZZ821,1,$E$2+2),6,2)),VALUE(MID(INDEX('입력_구리근무자명단'!$A821:$ZZ821,1,$E$2+2),9,2))),-1))))</f>
        <v/>
      </c>
      <c r="T823">
        <f>IF($R823="","",IF(INDEX('입력_구리근무자명단'!$A821:$ZZ821,1,$E$2+3)&amp;""="",EOMONTH(급여기준월,0),IF(ISNUMBER(INDEX('입력_구리근무자명단'!$A821:$ZZ821,1,$E$2+3)),INDEX('입력_구리근무자명단'!$A821:$ZZ821,1,$E$2+3),IFERROR(DATE(VALUE(LEFT(INDEX('입력_구리근무자명단'!$A821:$ZZ821,1,$E$2+3),4)),VALUE(MID(INDEX('입력_구리근무자명단'!$A821:$ZZ821,1,$E$2+3),6,2)),VALUE(MID(INDEX('입력_구리근무자명단'!$A821:$ZZ821,1,$E$2+3),9,2))),-1))))</f>
        <v/>
      </c>
      <c r="U823">
        <f>IF($R823="","",IF(OR($S823&lt;0,$T823&lt;0),0,MAX(0,MIN($T823,EOMONTH(급여기준월,0))-MAX($S823,급여기준월)+1)))</f>
        <v/>
      </c>
      <c r="V823">
        <f>IF($R823="","",TRIM(INDEX('입력_구리근무자명단'!$A821:$ZZ821,1,$E$2+5)&amp;""))</f>
        <v/>
      </c>
      <c r="W823">
        <f>IF(ISNUMBER(SEARCH("구리독자",$V823)),"구리독자","")</f>
        <v/>
      </c>
      <c r="X823">
        <f>IF($R823="","",$R823&amp;"|"&amp;IF(OR($Q823="인턴",ISNUMBER(SEARCH("수련교육부",$P823))),"인턴",$P823))</f>
        <v/>
      </c>
      <c r="Y823">
        <f>IF($R823="","",IF(COUNTIF(명단표[이름|과],$X823)=1,"명단 일치",IF(AND(COUNTIF(명단표[이름|과],$X823)=0,COUNTIF(명단표[이름],$R823)=1),"명단 일치(이름만, 과 다름)",IF(COUNTIF(명단표[이름],$R823)=0,IF(COUNTIF(기본자료표[이름],$R823)&gt;0,"명단에 없음(기본자료에는 있음)","명단에 없음"),"동명이인 확인"))))</f>
        <v/>
      </c>
      <c r="Z823">
        <f>IF($R823="","",IF($S823&lt;0,"⚠"&amp;INDEX('입력_구리근무자명단'!$A821:$ZZ821,1,$E$2+2),TEXT($S823,"yyyy-mm-dd")))</f>
        <v/>
      </c>
      <c r="AA823">
        <f>IF($R823="","",IF($T823&lt;0,"⚠"&amp;INDEX('입력_구리근무자명단'!$A821:$ZZ821,1,$E$2+3),TEXT($T823,"yyyy-mm-dd")))</f>
        <v/>
      </c>
      <c r="AB823">
        <f>AB822+IF($R823="",0,1)</f>
        <v/>
      </c>
      <c r="AC823">
        <f>IF($R823="","",$AB823)</f>
        <v/>
      </c>
    </row>
    <row r="824">
      <c r="O824">
        <f>822</f>
        <v/>
      </c>
      <c r="P824">
        <f>IF(TRIM('입력_구리근무자명단'!$A822&amp;"")&lt;&gt;"",TRIM('입력_구리근무자명단'!$A822&amp;""),P823)</f>
        <v/>
      </c>
      <c r="Q824">
        <f>'입력_구리근무자명단'!$B822&amp;""</f>
        <v/>
      </c>
      <c r="R824">
        <f>IF($E$2="","",TRIM(INDEX('입력_구리근무자명단'!$A822:$ZZ822,1,$E$2+IF($G$2="확정",1,0))&amp;""))</f>
        <v/>
      </c>
      <c r="S824">
        <f>IF($R824="","",IF(INDEX('입력_구리근무자명단'!$A822:$ZZ822,1,$E$2+2)&amp;""="",급여기준월,IF(ISNUMBER(INDEX('입력_구리근무자명단'!$A822:$ZZ822,1,$E$2+2)),INDEX('입력_구리근무자명단'!$A822:$ZZ822,1,$E$2+2),IFERROR(DATE(VALUE(LEFT(INDEX('입력_구리근무자명단'!$A822:$ZZ822,1,$E$2+2),4)),VALUE(MID(INDEX('입력_구리근무자명단'!$A822:$ZZ822,1,$E$2+2),6,2)),VALUE(MID(INDEX('입력_구리근무자명단'!$A822:$ZZ822,1,$E$2+2),9,2))),-1))))</f>
        <v/>
      </c>
      <c r="T824">
        <f>IF($R824="","",IF(INDEX('입력_구리근무자명단'!$A822:$ZZ822,1,$E$2+3)&amp;""="",EOMONTH(급여기준월,0),IF(ISNUMBER(INDEX('입력_구리근무자명단'!$A822:$ZZ822,1,$E$2+3)),INDEX('입력_구리근무자명단'!$A822:$ZZ822,1,$E$2+3),IFERROR(DATE(VALUE(LEFT(INDEX('입력_구리근무자명단'!$A822:$ZZ822,1,$E$2+3),4)),VALUE(MID(INDEX('입력_구리근무자명단'!$A822:$ZZ822,1,$E$2+3),6,2)),VALUE(MID(INDEX('입력_구리근무자명단'!$A822:$ZZ822,1,$E$2+3),9,2))),-1))))</f>
        <v/>
      </c>
      <c r="U824">
        <f>IF($R824="","",IF(OR($S824&lt;0,$T824&lt;0),0,MAX(0,MIN($T824,EOMONTH(급여기준월,0))-MAX($S824,급여기준월)+1)))</f>
        <v/>
      </c>
      <c r="V824">
        <f>IF($R824="","",TRIM(INDEX('입력_구리근무자명단'!$A822:$ZZ822,1,$E$2+5)&amp;""))</f>
        <v/>
      </c>
      <c r="W824">
        <f>IF(ISNUMBER(SEARCH("구리독자",$V824)),"구리독자","")</f>
        <v/>
      </c>
      <c r="X824">
        <f>IF($R824="","",$R824&amp;"|"&amp;IF(OR($Q824="인턴",ISNUMBER(SEARCH("수련교육부",$P824))),"인턴",$P824))</f>
        <v/>
      </c>
      <c r="Y824">
        <f>IF($R824="","",IF(COUNTIF(명단표[이름|과],$X824)=1,"명단 일치",IF(AND(COUNTIF(명단표[이름|과],$X824)=0,COUNTIF(명단표[이름],$R824)=1),"명단 일치(이름만, 과 다름)",IF(COUNTIF(명단표[이름],$R824)=0,IF(COUNTIF(기본자료표[이름],$R824)&gt;0,"명단에 없음(기본자료에는 있음)","명단에 없음"),"동명이인 확인"))))</f>
        <v/>
      </c>
      <c r="Z824">
        <f>IF($R824="","",IF($S824&lt;0,"⚠"&amp;INDEX('입력_구리근무자명단'!$A822:$ZZ822,1,$E$2+2),TEXT($S824,"yyyy-mm-dd")))</f>
        <v/>
      </c>
      <c r="AA824">
        <f>IF($R824="","",IF($T824&lt;0,"⚠"&amp;INDEX('입력_구리근무자명단'!$A822:$ZZ822,1,$E$2+3),TEXT($T824,"yyyy-mm-dd")))</f>
        <v/>
      </c>
      <c r="AB824">
        <f>AB823+IF($R824="",0,1)</f>
        <v/>
      </c>
      <c r="AC824">
        <f>IF($R824="","",$AB824)</f>
        <v/>
      </c>
    </row>
    <row r="825">
      <c r="O825">
        <f>823</f>
        <v/>
      </c>
      <c r="P825">
        <f>IF(TRIM('입력_구리근무자명단'!$A823&amp;"")&lt;&gt;"",TRIM('입력_구리근무자명단'!$A823&amp;""),P824)</f>
        <v/>
      </c>
      <c r="Q825">
        <f>'입력_구리근무자명단'!$B823&amp;""</f>
        <v/>
      </c>
      <c r="R825">
        <f>IF($E$2="","",TRIM(INDEX('입력_구리근무자명단'!$A823:$ZZ823,1,$E$2+IF($G$2="확정",1,0))&amp;""))</f>
        <v/>
      </c>
      <c r="S825">
        <f>IF($R825="","",IF(INDEX('입력_구리근무자명단'!$A823:$ZZ823,1,$E$2+2)&amp;""="",급여기준월,IF(ISNUMBER(INDEX('입력_구리근무자명단'!$A823:$ZZ823,1,$E$2+2)),INDEX('입력_구리근무자명단'!$A823:$ZZ823,1,$E$2+2),IFERROR(DATE(VALUE(LEFT(INDEX('입력_구리근무자명단'!$A823:$ZZ823,1,$E$2+2),4)),VALUE(MID(INDEX('입력_구리근무자명단'!$A823:$ZZ823,1,$E$2+2),6,2)),VALUE(MID(INDEX('입력_구리근무자명단'!$A823:$ZZ823,1,$E$2+2),9,2))),-1))))</f>
        <v/>
      </c>
      <c r="T825">
        <f>IF($R825="","",IF(INDEX('입력_구리근무자명단'!$A823:$ZZ823,1,$E$2+3)&amp;""="",EOMONTH(급여기준월,0),IF(ISNUMBER(INDEX('입력_구리근무자명단'!$A823:$ZZ823,1,$E$2+3)),INDEX('입력_구리근무자명단'!$A823:$ZZ823,1,$E$2+3),IFERROR(DATE(VALUE(LEFT(INDEX('입력_구리근무자명단'!$A823:$ZZ823,1,$E$2+3),4)),VALUE(MID(INDEX('입력_구리근무자명단'!$A823:$ZZ823,1,$E$2+3),6,2)),VALUE(MID(INDEX('입력_구리근무자명단'!$A823:$ZZ823,1,$E$2+3),9,2))),-1))))</f>
        <v/>
      </c>
      <c r="U825">
        <f>IF($R825="","",IF(OR($S825&lt;0,$T825&lt;0),0,MAX(0,MIN($T825,EOMONTH(급여기준월,0))-MAX($S825,급여기준월)+1)))</f>
        <v/>
      </c>
      <c r="V825">
        <f>IF($R825="","",TRIM(INDEX('입력_구리근무자명단'!$A823:$ZZ823,1,$E$2+5)&amp;""))</f>
        <v/>
      </c>
      <c r="W825">
        <f>IF(ISNUMBER(SEARCH("구리독자",$V825)),"구리독자","")</f>
        <v/>
      </c>
      <c r="X825">
        <f>IF($R825="","",$R825&amp;"|"&amp;IF(OR($Q825="인턴",ISNUMBER(SEARCH("수련교육부",$P825))),"인턴",$P825))</f>
        <v/>
      </c>
      <c r="Y825">
        <f>IF($R825="","",IF(COUNTIF(명단표[이름|과],$X825)=1,"명단 일치",IF(AND(COUNTIF(명단표[이름|과],$X825)=0,COUNTIF(명단표[이름],$R825)=1),"명단 일치(이름만, 과 다름)",IF(COUNTIF(명단표[이름],$R825)=0,IF(COUNTIF(기본자료표[이름],$R825)&gt;0,"명단에 없음(기본자료에는 있음)","명단에 없음"),"동명이인 확인"))))</f>
        <v/>
      </c>
      <c r="Z825">
        <f>IF($R825="","",IF($S825&lt;0,"⚠"&amp;INDEX('입력_구리근무자명단'!$A823:$ZZ823,1,$E$2+2),TEXT($S825,"yyyy-mm-dd")))</f>
        <v/>
      </c>
      <c r="AA825">
        <f>IF($R825="","",IF($T825&lt;0,"⚠"&amp;INDEX('입력_구리근무자명단'!$A823:$ZZ823,1,$E$2+3),TEXT($T825,"yyyy-mm-dd")))</f>
        <v/>
      </c>
      <c r="AB825">
        <f>AB824+IF($R825="",0,1)</f>
        <v/>
      </c>
      <c r="AC825">
        <f>IF($R825="","",$AB825)</f>
        <v/>
      </c>
    </row>
    <row r="826">
      <c r="O826">
        <f>824</f>
        <v/>
      </c>
      <c r="P826">
        <f>IF(TRIM('입력_구리근무자명단'!$A824&amp;"")&lt;&gt;"",TRIM('입력_구리근무자명단'!$A824&amp;""),P825)</f>
        <v/>
      </c>
      <c r="Q826">
        <f>'입력_구리근무자명단'!$B824&amp;""</f>
        <v/>
      </c>
      <c r="R826">
        <f>IF($E$2="","",TRIM(INDEX('입력_구리근무자명단'!$A824:$ZZ824,1,$E$2+IF($G$2="확정",1,0))&amp;""))</f>
        <v/>
      </c>
      <c r="S826">
        <f>IF($R826="","",IF(INDEX('입력_구리근무자명단'!$A824:$ZZ824,1,$E$2+2)&amp;""="",급여기준월,IF(ISNUMBER(INDEX('입력_구리근무자명단'!$A824:$ZZ824,1,$E$2+2)),INDEX('입력_구리근무자명단'!$A824:$ZZ824,1,$E$2+2),IFERROR(DATE(VALUE(LEFT(INDEX('입력_구리근무자명단'!$A824:$ZZ824,1,$E$2+2),4)),VALUE(MID(INDEX('입력_구리근무자명단'!$A824:$ZZ824,1,$E$2+2),6,2)),VALUE(MID(INDEX('입력_구리근무자명단'!$A824:$ZZ824,1,$E$2+2),9,2))),-1))))</f>
        <v/>
      </c>
      <c r="T826">
        <f>IF($R826="","",IF(INDEX('입력_구리근무자명단'!$A824:$ZZ824,1,$E$2+3)&amp;""="",EOMONTH(급여기준월,0),IF(ISNUMBER(INDEX('입력_구리근무자명단'!$A824:$ZZ824,1,$E$2+3)),INDEX('입력_구리근무자명단'!$A824:$ZZ824,1,$E$2+3),IFERROR(DATE(VALUE(LEFT(INDEX('입력_구리근무자명단'!$A824:$ZZ824,1,$E$2+3),4)),VALUE(MID(INDEX('입력_구리근무자명단'!$A824:$ZZ824,1,$E$2+3),6,2)),VALUE(MID(INDEX('입력_구리근무자명단'!$A824:$ZZ824,1,$E$2+3),9,2))),-1))))</f>
        <v/>
      </c>
      <c r="U826">
        <f>IF($R826="","",IF(OR($S826&lt;0,$T826&lt;0),0,MAX(0,MIN($T826,EOMONTH(급여기준월,0))-MAX($S826,급여기준월)+1)))</f>
        <v/>
      </c>
      <c r="V826">
        <f>IF($R826="","",TRIM(INDEX('입력_구리근무자명단'!$A824:$ZZ824,1,$E$2+5)&amp;""))</f>
        <v/>
      </c>
      <c r="W826">
        <f>IF(ISNUMBER(SEARCH("구리독자",$V826)),"구리독자","")</f>
        <v/>
      </c>
      <c r="X826">
        <f>IF($R826="","",$R826&amp;"|"&amp;IF(OR($Q826="인턴",ISNUMBER(SEARCH("수련교육부",$P826))),"인턴",$P826))</f>
        <v/>
      </c>
      <c r="Y826">
        <f>IF($R826="","",IF(COUNTIF(명단표[이름|과],$X826)=1,"명단 일치",IF(AND(COUNTIF(명단표[이름|과],$X826)=0,COUNTIF(명단표[이름],$R826)=1),"명단 일치(이름만, 과 다름)",IF(COUNTIF(명단표[이름],$R826)=0,IF(COUNTIF(기본자료표[이름],$R826)&gt;0,"명단에 없음(기본자료에는 있음)","명단에 없음"),"동명이인 확인"))))</f>
        <v/>
      </c>
      <c r="Z826">
        <f>IF($R826="","",IF($S826&lt;0,"⚠"&amp;INDEX('입력_구리근무자명단'!$A824:$ZZ824,1,$E$2+2),TEXT($S826,"yyyy-mm-dd")))</f>
        <v/>
      </c>
      <c r="AA826">
        <f>IF($R826="","",IF($T826&lt;0,"⚠"&amp;INDEX('입력_구리근무자명단'!$A824:$ZZ824,1,$E$2+3),TEXT($T826,"yyyy-mm-dd")))</f>
        <v/>
      </c>
      <c r="AB826">
        <f>AB825+IF($R826="",0,1)</f>
        <v/>
      </c>
      <c r="AC826">
        <f>IF($R826="","",$AB826)</f>
        <v/>
      </c>
    </row>
    <row r="827">
      <c r="O827">
        <f>825</f>
        <v/>
      </c>
      <c r="P827">
        <f>IF(TRIM('입력_구리근무자명단'!$A825&amp;"")&lt;&gt;"",TRIM('입력_구리근무자명단'!$A825&amp;""),P826)</f>
        <v/>
      </c>
      <c r="Q827">
        <f>'입력_구리근무자명단'!$B825&amp;""</f>
        <v/>
      </c>
      <c r="R827">
        <f>IF($E$2="","",TRIM(INDEX('입력_구리근무자명단'!$A825:$ZZ825,1,$E$2+IF($G$2="확정",1,0))&amp;""))</f>
        <v/>
      </c>
      <c r="S827">
        <f>IF($R827="","",IF(INDEX('입력_구리근무자명단'!$A825:$ZZ825,1,$E$2+2)&amp;""="",급여기준월,IF(ISNUMBER(INDEX('입력_구리근무자명단'!$A825:$ZZ825,1,$E$2+2)),INDEX('입력_구리근무자명단'!$A825:$ZZ825,1,$E$2+2),IFERROR(DATE(VALUE(LEFT(INDEX('입력_구리근무자명단'!$A825:$ZZ825,1,$E$2+2),4)),VALUE(MID(INDEX('입력_구리근무자명단'!$A825:$ZZ825,1,$E$2+2),6,2)),VALUE(MID(INDEX('입력_구리근무자명단'!$A825:$ZZ825,1,$E$2+2),9,2))),-1))))</f>
        <v/>
      </c>
      <c r="T827">
        <f>IF($R827="","",IF(INDEX('입력_구리근무자명단'!$A825:$ZZ825,1,$E$2+3)&amp;""="",EOMONTH(급여기준월,0),IF(ISNUMBER(INDEX('입력_구리근무자명단'!$A825:$ZZ825,1,$E$2+3)),INDEX('입력_구리근무자명단'!$A825:$ZZ825,1,$E$2+3),IFERROR(DATE(VALUE(LEFT(INDEX('입력_구리근무자명단'!$A825:$ZZ825,1,$E$2+3),4)),VALUE(MID(INDEX('입력_구리근무자명단'!$A825:$ZZ825,1,$E$2+3),6,2)),VALUE(MID(INDEX('입력_구리근무자명단'!$A825:$ZZ825,1,$E$2+3),9,2))),-1))))</f>
        <v/>
      </c>
      <c r="U827">
        <f>IF($R827="","",IF(OR($S827&lt;0,$T827&lt;0),0,MAX(0,MIN($T827,EOMONTH(급여기준월,0))-MAX($S827,급여기준월)+1)))</f>
        <v/>
      </c>
      <c r="V827">
        <f>IF($R827="","",TRIM(INDEX('입력_구리근무자명단'!$A825:$ZZ825,1,$E$2+5)&amp;""))</f>
        <v/>
      </c>
      <c r="W827">
        <f>IF(ISNUMBER(SEARCH("구리독자",$V827)),"구리독자","")</f>
        <v/>
      </c>
      <c r="X827">
        <f>IF($R827="","",$R827&amp;"|"&amp;IF(OR($Q827="인턴",ISNUMBER(SEARCH("수련교육부",$P827))),"인턴",$P827))</f>
        <v/>
      </c>
      <c r="Y827">
        <f>IF($R827="","",IF(COUNTIF(명단표[이름|과],$X827)=1,"명단 일치",IF(AND(COUNTIF(명단표[이름|과],$X827)=0,COUNTIF(명단표[이름],$R827)=1),"명단 일치(이름만, 과 다름)",IF(COUNTIF(명단표[이름],$R827)=0,IF(COUNTIF(기본자료표[이름],$R827)&gt;0,"명단에 없음(기본자료에는 있음)","명단에 없음"),"동명이인 확인"))))</f>
        <v/>
      </c>
      <c r="Z827">
        <f>IF($R827="","",IF($S827&lt;0,"⚠"&amp;INDEX('입력_구리근무자명단'!$A825:$ZZ825,1,$E$2+2),TEXT($S827,"yyyy-mm-dd")))</f>
        <v/>
      </c>
      <c r="AA827">
        <f>IF($R827="","",IF($T827&lt;0,"⚠"&amp;INDEX('입력_구리근무자명단'!$A825:$ZZ825,1,$E$2+3),TEXT($T827,"yyyy-mm-dd")))</f>
        <v/>
      </c>
      <c r="AB827">
        <f>AB826+IF($R827="",0,1)</f>
        <v/>
      </c>
      <c r="AC827">
        <f>IF($R827="","",$AB827)</f>
        <v/>
      </c>
    </row>
    <row r="828">
      <c r="O828">
        <f>826</f>
        <v/>
      </c>
      <c r="P828">
        <f>IF(TRIM('입력_구리근무자명단'!$A826&amp;"")&lt;&gt;"",TRIM('입력_구리근무자명단'!$A826&amp;""),P827)</f>
        <v/>
      </c>
      <c r="Q828">
        <f>'입력_구리근무자명단'!$B826&amp;""</f>
        <v/>
      </c>
      <c r="R828">
        <f>IF($E$2="","",TRIM(INDEX('입력_구리근무자명단'!$A826:$ZZ826,1,$E$2+IF($G$2="확정",1,0))&amp;""))</f>
        <v/>
      </c>
      <c r="S828">
        <f>IF($R828="","",IF(INDEX('입력_구리근무자명단'!$A826:$ZZ826,1,$E$2+2)&amp;""="",급여기준월,IF(ISNUMBER(INDEX('입력_구리근무자명단'!$A826:$ZZ826,1,$E$2+2)),INDEX('입력_구리근무자명단'!$A826:$ZZ826,1,$E$2+2),IFERROR(DATE(VALUE(LEFT(INDEX('입력_구리근무자명단'!$A826:$ZZ826,1,$E$2+2),4)),VALUE(MID(INDEX('입력_구리근무자명단'!$A826:$ZZ826,1,$E$2+2),6,2)),VALUE(MID(INDEX('입력_구리근무자명단'!$A826:$ZZ826,1,$E$2+2),9,2))),-1))))</f>
        <v/>
      </c>
      <c r="T828">
        <f>IF($R828="","",IF(INDEX('입력_구리근무자명단'!$A826:$ZZ826,1,$E$2+3)&amp;""="",EOMONTH(급여기준월,0),IF(ISNUMBER(INDEX('입력_구리근무자명단'!$A826:$ZZ826,1,$E$2+3)),INDEX('입력_구리근무자명단'!$A826:$ZZ826,1,$E$2+3),IFERROR(DATE(VALUE(LEFT(INDEX('입력_구리근무자명단'!$A826:$ZZ826,1,$E$2+3),4)),VALUE(MID(INDEX('입력_구리근무자명단'!$A826:$ZZ826,1,$E$2+3),6,2)),VALUE(MID(INDEX('입력_구리근무자명단'!$A826:$ZZ826,1,$E$2+3),9,2))),-1))))</f>
        <v/>
      </c>
      <c r="U828">
        <f>IF($R828="","",IF(OR($S828&lt;0,$T828&lt;0),0,MAX(0,MIN($T828,EOMONTH(급여기준월,0))-MAX($S828,급여기준월)+1)))</f>
        <v/>
      </c>
      <c r="V828">
        <f>IF($R828="","",TRIM(INDEX('입력_구리근무자명단'!$A826:$ZZ826,1,$E$2+5)&amp;""))</f>
        <v/>
      </c>
      <c r="W828">
        <f>IF(ISNUMBER(SEARCH("구리독자",$V828)),"구리독자","")</f>
        <v/>
      </c>
      <c r="X828">
        <f>IF($R828="","",$R828&amp;"|"&amp;IF(OR($Q828="인턴",ISNUMBER(SEARCH("수련교육부",$P828))),"인턴",$P828))</f>
        <v/>
      </c>
      <c r="Y828">
        <f>IF($R828="","",IF(COUNTIF(명단표[이름|과],$X828)=1,"명단 일치",IF(AND(COUNTIF(명단표[이름|과],$X828)=0,COUNTIF(명단표[이름],$R828)=1),"명단 일치(이름만, 과 다름)",IF(COUNTIF(명단표[이름],$R828)=0,IF(COUNTIF(기본자료표[이름],$R828)&gt;0,"명단에 없음(기본자료에는 있음)","명단에 없음"),"동명이인 확인"))))</f>
        <v/>
      </c>
      <c r="Z828">
        <f>IF($R828="","",IF($S828&lt;0,"⚠"&amp;INDEX('입력_구리근무자명단'!$A826:$ZZ826,1,$E$2+2),TEXT($S828,"yyyy-mm-dd")))</f>
        <v/>
      </c>
      <c r="AA828">
        <f>IF($R828="","",IF($T828&lt;0,"⚠"&amp;INDEX('입력_구리근무자명단'!$A826:$ZZ826,1,$E$2+3),TEXT($T828,"yyyy-mm-dd")))</f>
        <v/>
      </c>
      <c r="AB828">
        <f>AB827+IF($R828="",0,1)</f>
        <v/>
      </c>
      <c r="AC828">
        <f>IF($R828="","",$AB828)</f>
        <v/>
      </c>
    </row>
    <row r="829">
      <c r="O829">
        <f>827</f>
        <v/>
      </c>
      <c r="P829">
        <f>IF(TRIM('입력_구리근무자명단'!$A827&amp;"")&lt;&gt;"",TRIM('입력_구리근무자명단'!$A827&amp;""),P828)</f>
        <v/>
      </c>
      <c r="Q829">
        <f>'입력_구리근무자명단'!$B827&amp;""</f>
        <v/>
      </c>
      <c r="R829">
        <f>IF($E$2="","",TRIM(INDEX('입력_구리근무자명단'!$A827:$ZZ827,1,$E$2+IF($G$2="확정",1,0))&amp;""))</f>
        <v/>
      </c>
      <c r="S829">
        <f>IF($R829="","",IF(INDEX('입력_구리근무자명단'!$A827:$ZZ827,1,$E$2+2)&amp;""="",급여기준월,IF(ISNUMBER(INDEX('입력_구리근무자명단'!$A827:$ZZ827,1,$E$2+2)),INDEX('입력_구리근무자명단'!$A827:$ZZ827,1,$E$2+2),IFERROR(DATE(VALUE(LEFT(INDEX('입력_구리근무자명단'!$A827:$ZZ827,1,$E$2+2),4)),VALUE(MID(INDEX('입력_구리근무자명단'!$A827:$ZZ827,1,$E$2+2),6,2)),VALUE(MID(INDEX('입력_구리근무자명단'!$A827:$ZZ827,1,$E$2+2),9,2))),-1))))</f>
        <v/>
      </c>
      <c r="T829">
        <f>IF($R829="","",IF(INDEX('입력_구리근무자명단'!$A827:$ZZ827,1,$E$2+3)&amp;""="",EOMONTH(급여기준월,0),IF(ISNUMBER(INDEX('입력_구리근무자명단'!$A827:$ZZ827,1,$E$2+3)),INDEX('입력_구리근무자명단'!$A827:$ZZ827,1,$E$2+3),IFERROR(DATE(VALUE(LEFT(INDEX('입력_구리근무자명단'!$A827:$ZZ827,1,$E$2+3),4)),VALUE(MID(INDEX('입력_구리근무자명단'!$A827:$ZZ827,1,$E$2+3),6,2)),VALUE(MID(INDEX('입력_구리근무자명단'!$A827:$ZZ827,1,$E$2+3),9,2))),-1))))</f>
        <v/>
      </c>
      <c r="U829">
        <f>IF($R829="","",IF(OR($S829&lt;0,$T829&lt;0),0,MAX(0,MIN($T829,EOMONTH(급여기준월,0))-MAX($S829,급여기준월)+1)))</f>
        <v/>
      </c>
      <c r="V829">
        <f>IF($R829="","",TRIM(INDEX('입력_구리근무자명단'!$A827:$ZZ827,1,$E$2+5)&amp;""))</f>
        <v/>
      </c>
      <c r="W829">
        <f>IF(ISNUMBER(SEARCH("구리독자",$V829)),"구리독자","")</f>
        <v/>
      </c>
      <c r="X829">
        <f>IF($R829="","",$R829&amp;"|"&amp;IF(OR($Q829="인턴",ISNUMBER(SEARCH("수련교육부",$P829))),"인턴",$P829))</f>
        <v/>
      </c>
      <c r="Y829">
        <f>IF($R829="","",IF(COUNTIF(명단표[이름|과],$X829)=1,"명단 일치",IF(AND(COUNTIF(명단표[이름|과],$X829)=0,COUNTIF(명단표[이름],$R829)=1),"명단 일치(이름만, 과 다름)",IF(COUNTIF(명단표[이름],$R829)=0,IF(COUNTIF(기본자료표[이름],$R829)&gt;0,"명단에 없음(기본자료에는 있음)","명단에 없음"),"동명이인 확인"))))</f>
        <v/>
      </c>
      <c r="Z829">
        <f>IF($R829="","",IF($S829&lt;0,"⚠"&amp;INDEX('입력_구리근무자명단'!$A827:$ZZ827,1,$E$2+2),TEXT($S829,"yyyy-mm-dd")))</f>
        <v/>
      </c>
      <c r="AA829">
        <f>IF($R829="","",IF($T829&lt;0,"⚠"&amp;INDEX('입력_구리근무자명단'!$A827:$ZZ827,1,$E$2+3),TEXT($T829,"yyyy-mm-dd")))</f>
        <v/>
      </c>
      <c r="AB829">
        <f>AB828+IF($R829="",0,1)</f>
        <v/>
      </c>
      <c r="AC829">
        <f>IF($R829="","",$AB829)</f>
        <v/>
      </c>
    </row>
    <row r="830">
      <c r="O830">
        <f>828</f>
        <v/>
      </c>
      <c r="P830">
        <f>IF(TRIM('입력_구리근무자명단'!$A828&amp;"")&lt;&gt;"",TRIM('입력_구리근무자명단'!$A828&amp;""),P829)</f>
        <v/>
      </c>
      <c r="Q830">
        <f>'입력_구리근무자명단'!$B828&amp;""</f>
        <v/>
      </c>
      <c r="R830">
        <f>IF($E$2="","",TRIM(INDEX('입력_구리근무자명단'!$A828:$ZZ828,1,$E$2+IF($G$2="확정",1,0))&amp;""))</f>
        <v/>
      </c>
      <c r="S830">
        <f>IF($R830="","",IF(INDEX('입력_구리근무자명단'!$A828:$ZZ828,1,$E$2+2)&amp;""="",급여기준월,IF(ISNUMBER(INDEX('입력_구리근무자명단'!$A828:$ZZ828,1,$E$2+2)),INDEX('입력_구리근무자명단'!$A828:$ZZ828,1,$E$2+2),IFERROR(DATE(VALUE(LEFT(INDEX('입력_구리근무자명단'!$A828:$ZZ828,1,$E$2+2),4)),VALUE(MID(INDEX('입력_구리근무자명단'!$A828:$ZZ828,1,$E$2+2),6,2)),VALUE(MID(INDEX('입력_구리근무자명단'!$A828:$ZZ828,1,$E$2+2),9,2))),-1))))</f>
        <v/>
      </c>
      <c r="T830">
        <f>IF($R830="","",IF(INDEX('입력_구리근무자명단'!$A828:$ZZ828,1,$E$2+3)&amp;""="",EOMONTH(급여기준월,0),IF(ISNUMBER(INDEX('입력_구리근무자명단'!$A828:$ZZ828,1,$E$2+3)),INDEX('입력_구리근무자명단'!$A828:$ZZ828,1,$E$2+3),IFERROR(DATE(VALUE(LEFT(INDEX('입력_구리근무자명단'!$A828:$ZZ828,1,$E$2+3),4)),VALUE(MID(INDEX('입력_구리근무자명단'!$A828:$ZZ828,1,$E$2+3),6,2)),VALUE(MID(INDEX('입력_구리근무자명단'!$A828:$ZZ828,1,$E$2+3),9,2))),-1))))</f>
        <v/>
      </c>
      <c r="U830">
        <f>IF($R830="","",IF(OR($S830&lt;0,$T830&lt;0),0,MAX(0,MIN($T830,EOMONTH(급여기준월,0))-MAX($S830,급여기준월)+1)))</f>
        <v/>
      </c>
      <c r="V830">
        <f>IF($R830="","",TRIM(INDEX('입력_구리근무자명단'!$A828:$ZZ828,1,$E$2+5)&amp;""))</f>
        <v/>
      </c>
      <c r="W830">
        <f>IF(ISNUMBER(SEARCH("구리독자",$V830)),"구리독자","")</f>
        <v/>
      </c>
      <c r="X830">
        <f>IF($R830="","",$R830&amp;"|"&amp;IF(OR($Q830="인턴",ISNUMBER(SEARCH("수련교육부",$P830))),"인턴",$P830))</f>
        <v/>
      </c>
      <c r="Y830">
        <f>IF($R830="","",IF(COUNTIF(명단표[이름|과],$X830)=1,"명단 일치",IF(AND(COUNTIF(명단표[이름|과],$X830)=0,COUNTIF(명단표[이름],$R830)=1),"명단 일치(이름만, 과 다름)",IF(COUNTIF(명단표[이름],$R830)=0,IF(COUNTIF(기본자료표[이름],$R830)&gt;0,"명단에 없음(기본자료에는 있음)","명단에 없음"),"동명이인 확인"))))</f>
        <v/>
      </c>
      <c r="Z830">
        <f>IF($R830="","",IF($S830&lt;0,"⚠"&amp;INDEX('입력_구리근무자명단'!$A828:$ZZ828,1,$E$2+2),TEXT($S830,"yyyy-mm-dd")))</f>
        <v/>
      </c>
      <c r="AA830">
        <f>IF($R830="","",IF($T830&lt;0,"⚠"&amp;INDEX('입력_구리근무자명단'!$A828:$ZZ828,1,$E$2+3),TEXT($T830,"yyyy-mm-dd")))</f>
        <v/>
      </c>
      <c r="AB830">
        <f>AB829+IF($R830="",0,1)</f>
        <v/>
      </c>
      <c r="AC830">
        <f>IF($R830="","",$AB830)</f>
        <v/>
      </c>
    </row>
    <row r="831">
      <c r="O831">
        <f>829</f>
        <v/>
      </c>
      <c r="P831">
        <f>IF(TRIM('입력_구리근무자명단'!$A829&amp;"")&lt;&gt;"",TRIM('입력_구리근무자명단'!$A829&amp;""),P830)</f>
        <v/>
      </c>
      <c r="Q831">
        <f>'입력_구리근무자명단'!$B829&amp;""</f>
        <v/>
      </c>
      <c r="R831">
        <f>IF($E$2="","",TRIM(INDEX('입력_구리근무자명단'!$A829:$ZZ829,1,$E$2+IF($G$2="확정",1,0))&amp;""))</f>
        <v/>
      </c>
      <c r="S831">
        <f>IF($R831="","",IF(INDEX('입력_구리근무자명단'!$A829:$ZZ829,1,$E$2+2)&amp;""="",급여기준월,IF(ISNUMBER(INDEX('입력_구리근무자명단'!$A829:$ZZ829,1,$E$2+2)),INDEX('입력_구리근무자명단'!$A829:$ZZ829,1,$E$2+2),IFERROR(DATE(VALUE(LEFT(INDEX('입력_구리근무자명단'!$A829:$ZZ829,1,$E$2+2),4)),VALUE(MID(INDEX('입력_구리근무자명단'!$A829:$ZZ829,1,$E$2+2),6,2)),VALUE(MID(INDEX('입력_구리근무자명단'!$A829:$ZZ829,1,$E$2+2),9,2))),-1))))</f>
        <v/>
      </c>
      <c r="T831">
        <f>IF($R831="","",IF(INDEX('입력_구리근무자명단'!$A829:$ZZ829,1,$E$2+3)&amp;""="",EOMONTH(급여기준월,0),IF(ISNUMBER(INDEX('입력_구리근무자명단'!$A829:$ZZ829,1,$E$2+3)),INDEX('입력_구리근무자명단'!$A829:$ZZ829,1,$E$2+3),IFERROR(DATE(VALUE(LEFT(INDEX('입력_구리근무자명단'!$A829:$ZZ829,1,$E$2+3),4)),VALUE(MID(INDEX('입력_구리근무자명단'!$A829:$ZZ829,1,$E$2+3),6,2)),VALUE(MID(INDEX('입력_구리근무자명단'!$A829:$ZZ829,1,$E$2+3),9,2))),-1))))</f>
        <v/>
      </c>
      <c r="U831">
        <f>IF($R831="","",IF(OR($S831&lt;0,$T831&lt;0),0,MAX(0,MIN($T831,EOMONTH(급여기준월,0))-MAX($S831,급여기준월)+1)))</f>
        <v/>
      </c>
      <c r="V831">
        <f>IF($R831="","",TRIM(INDEX('입력_구리근무자명단'!$A829:$ZZ829,1,$E$2+5)&amp;""))</f>
        <v/>
      </c>
      <c r="W831">
        <f>IF(ISNUMBER(SEARCH("구리독자",$V831)),"구리독자","")</f>
        <v/>
      </c>
      <c r="X831">
        <f>IF($R831="","",$R831&amp;"|"&amp;IF(OR($Q831="인턴",ISNUMBER(SEARCH("수련교육부",$P831))),"인턴",$P831))</f>
        <v/>
      </c>
      <c r="Y831">
        <f>IF($R831="","",IF(COUNTIF(명단표[이름|과],$X831)=1,"명단 일치",IF(AND(COUNTIF(명단표[이름|과],$X831)=0,COUNTIF(명단표[이름],$R831)=1),"명단 일치(이름만, 과 다름)",IF(COUNTIF(명단표[이름],$R831)=0,IF(COUNTIF(기본자료표[이름],$R831)&gt;0,"명단에 없음(기본자료에는 있음)","명단에 없음"),"동명이인 확인"))))</f>
        <v/>
      </c>
      <c r="Z831">
        <f>IF($R831="","",IF($S831&lt;0,"⚠"&amp;INDEX('입력_구리근무자명단'!$A829:$ZZ829,1,$E$2+2),TEXT($S831,"yyyy-mm-dd")))</f>
        <v/>
      </c>
      <c r="AA831">
        <f>IF($R831="","",IF($T831&lt;0,"⚠"&amp;INDEX('입력_구리근무자명단'!$A829:$ZZ829,1,$E$2+3),TEXT($T831,"yyyy-mm-dd")))</f>
        <v/>
      </c>
      <c r="AB831">
        <f>AB830+IF($R831="",0,1)</f>
        <v/>
      </c>
      <c r="AC831">
        <f>IF($R831="","",$AB831)</f>
        <v/>
      </c>
    </row>
    <row r="832">
      <c r="O832">
        <f>830</f>
        <v/>
      </c>
      <c r="P832">
        <f>IF(TRIM('입력_구리근무자명단'!$A830&amp;"")&lt;&gt;"",TRIM('입력_구리근무자명단'!$A830&amp;""),P831)</f>
        <v/>
      </c>
      <c r="Q832">
        <f>'입력_구리근무자명단'!$B830&amp;""</f>
        <v/>
      </c>
      <c r="R832">
        <f>IF($E$2="","",TRIM(INDEX('입력_구리근무자명단'!$A830:$ZZ830,1,$E$2+IF($G$2="확정",1,0))&amp;""))</f>
        <v/>
      </c>
      <c r="S832">
        <f>IF($R832="","",IF(INDEX('입력_구리근무자명단'!$A830:$ZZ830,1,$E$2+2)&amp;""="",급여기준월,IF(ISNUMBER(INDEX('입력_구리근무자명단'!$A830:$ZZ830,1,$E$2+2)),INDEX('입력_구리근무자명단'!$A830:$ZZ830,1,$E$2+2),IFERROR(DATE(VALUE(LEFT(INDEX('입력_구리근무자명단'!$A830:$ZZ830,1,$E$2+2),4)),VALUE(MID(INDEX('입력_구리근무자명단'!$A830:$ZZ830,1,$E$2+2),6,2)),VALUE(MID(INDEX('입력_구리근무자명단'!$A830:$ZZ830,1,$E$2+2),9,2))),-1))))</f>
        <v/>
      </c>
      <c r="T832">
        <f>IF($R832="","",IF(INDEX('입력_구리근무자명단'!$A830:$ZZ830,1,$E$2+3)&amp;""="",EOMONTH(급여기준월,0),IF(ISNUMBER(INDEX('입력_구리근무자명단'!$A830:$ZZ830,1,$E$2+3)),INDEX('입력_구리근무자명단'!$A830:$ZZ830,1,$E$2+3),IFERROR(DATE(VALUE(LEFT(INDEX('입력_구리근무자명단'!$A830:$ZZ830,1,$E$2+3),4)),VALUE(MID(INDEX('입력_구리근무자명단'!$A830:$ZZ830,1,$E$2+3),6,2)),VALUE(MID(INDEX('입력_구리근무자명단'!$A830:$ZZ830,1,$E$2+3),9,2))),-1))))</f>
        <v/>
      </c>
      <c r="U832">
        <f>IF($R832="","",IF(OR($S832&lt;0,$T832&lt;0),0,MAX(0,MIN($T832,EOMONTH(급여기준월,0))-MAX($S832,급여기준월)+1)))</f>
        <v/>
      </c>
      <c r="V832">
        <f>IF($R832="","",TRIM(INDEX('입력_구리근무자명단'!$A830:$ZZ830,1,$E$2+5)&amp;""))</f>
        <v/>
      </c>
      <c r="W832">
        <f>IF(ISNUMBER(SEARCH("구리독자",$V832)),"구리독자","")</f>
        <v/>
      </c>
      <c r="X832">
        <f>IF($R832="","",$R832&amp;"|"&amp;IF(OR($Q832="인턴",ISNUMBER(SEARCH("수련교육부",$P832))),"인턴",$P832))</f>
        <v/>
      </c>
      <c r="Y832">
        <f>IF($R832="","",IF(COUNTIF(명단표[이름|과],$X832)=1,"명단 일치",IF(AND(COUNTIF(명단표[이름|과],$X832)=0,COUNTIF(명단표[이름],$R832)=1),"명단 일치(이름만, 과 다름)",IF(COUNTIF(명단표[이름],$R832)=0,IF(COUNTIF(기본자료표[이름],$R832)&gt;0,"명단에 없음(기본자료에는 있음)","명단에 없음"),"동명이인 확인"))))</f>
        <v/>
      </c>
      <c r="Z832">
        <f>IF($R832="","",IF($S832&lt;0,"⚠"&amp;INDEX('입력_구리근무자명단'!$A830:$ZZ830,1,$E$2+2),TEXT($S832,"yyyy-mm-dd")))</f>
        <v/>
      </c>
      <c r="AA832">
        <f>IF($R832="","",IF($T832&lt;0,"⚠"&amp;INDEX('입력_구리근무자명단'!$A830:$ZZ830,1,$E$2+3),TEXT($T832,"yyyy-mm-dd")))</f>
        <v/>
      </c>
      <c r="AB832">
        <f>AB831+IF($R832="",0,1)</f>
        <v/>
      </c>
      <c r="AC832">
        <f>IF($R832="","",$AB832)</f>
        <v/>
      </c>
    </row>
    <row r="833">
      <c r="O833">
        <f>831</f>
        <v/>
      </c>
      <c r="P833">
        <f>IF(TRIM('입력_구리근무자명단'!$A831&amp;"")&lt;&gt;"",TRIM('입력_구리근무자명단'!$A831&amp;""),P832)</f>
        <v/>
      </c>
      <c r="Q833">
        <f>'입력_구리근무자명단'!$B831&amp;""</f>
        <v/>
      </c>
      <c r="R833">
        <f>IF($E$2="","",TRIM(INDEX('입력_구리근무자명단'!$A831:$ZZ831,1,$E$2+IF($G$2="확정",1,0))&amp;""))</f>
        <v/>
      </c>
      <c r="S833">
        <f>IF($R833="","",IF(INDEX('입력_구리근무자명단'!$A831:$ZZ831,1,$E$2+2)&amp;""="",급여기준월,IF(ISNUMBER(INDEX('입력_구리근무자명단'!$A831:$ZZ831,1,$E$2+2)),INDEX('입력_구리근무자명단'!$A831:$ZZ831,1,$E$2+2),IFERROR(DATE(VALUE(LEFT(INDEX('입력_구리근무자명단'!$A831:$ZZ831,1,$E$2+2),4)),VALUE(MID(INDEX('입력_구리근무자명단'!$A831:$ZZ831,1,$E$2+2),6,2)),VALUE(MID(INDEX('입력_구리근무자명단'!$A831:$ZZ831,1,$E$2+2),9,2))),-1))))</f>
        <v/>
      </c>
      <c r="T833">
        <f>IF($R833="","",IF(INDEX('입력_구리근무자명단'!$A831:$ZZ831,1,$E$2+3)&amp;""="",EOMONTH(급여기준월,0),IF(ISNUMBER(INDEX('입력_구리근무자명단'!$A831:$ZZ831,1,$E$2+3)),INDEX('입력_구리근무자명단'!$A831:$ZZ831,1,$E$2+3),IFERROR(DATE(VALUE(LEFT(INDEX('입력_구리근무자명단'!$A831:$ZZ831,1,$E$2+3),4)),VALUE(MID(INDEX('입력_구리근무자명단'!$A831:$ZZ831,1,$E$2+3),6,2)),VALUE(MID(INDEX('입력_구리근무자명단'!$A831:$ZZ831,1,$E$2+3),9,2))),-1))))</f>
        <v/>
      </c>
      <c r="U833">
        <f>IF($R833="","",IF(OR($S833&lt;0,$T833&lt;0),0,MAX(0,MIN($T833,EOMONTH(급여기준월,0))-MAX($S833,급여기준월)+1)))</f>
        <v/>
      </c>
      <c r="V833">
        <f>IF($R833="","",TRIM(INDEX('입력_구리근무자명단'!$A831:$ZZ831,1,$E$2+5)&amp;""))</f>
        <v/>
      </c>
      <c r="W833">
        <f>IF(ISNUMBER(SEARCH("구리독자",$V833)),"구리독자","")</f>
        <v/>
      </c>
      <c r="X833">
        <f>IF($R833="","",$R833&amp;"|"&amp;IF(OR($Q833="인턴",ISNUMBER(SEARCH("수련교육부",$P833))),"인턴",$P833))</f>
        <v/>
      </c>
      <c r="Y833">
        <f>IF($R833="","",IF(COUNTIF(명단표[이름|과],$X833)=1,"명단 일치",IF(AND(COUNTIF(명단표[이름|과],$X833)=0,COUNTIF(명단표[이름],$R833)=1),"명단 일치(이름만, 과 다름)",IF(COUNTIF(명단표[이름],$R833)=0,IF(COUNTIF(기본자료표[이름],$R833)&gt;0,"명단에 없음(기본자료에는 있음)","명단에 없음"),"동명이인 확인"))))</f>
        <v/>
      </c>
      <c r="Z833">
        <f>IF($R833="","",IF($S833&lt;0,"⚠"&amp;INDEX('입력_구리근무자명단'!$A831:$ZZ831,1,$E$2+2),TEXT($S833,"yyyy-mm-dd")))</f>
        <v/>
      </c>
      <c r="AA833">
        <f>IF($R833="","",IF($T833&lt;0,"⚠"&amp;INDEX('입력_구리근무자명단'!$A831:$ZZ831,1,$E$2+3),TEXT($T833,"yyyy-mm-dd")))</f>
        <v/>
      </c>
      <c r="AB833">
        <f>AB832+IF($R833="",0,1)</f>
        <v/>
      </c>
      <c r="AC833">
        <f>IF($R833="","",$AB833)</f>
        <v/>
      </c>
    </row>
    <row r="834">
      <c r="O834">
        <f>832</f>
        <v/>
      </c>
      <c r="P834">
        <f>IF(TRIM('입력_구리근무자명단'!$A832&amp;"")&lt;&gt;"",TRIM('입력_구리근무자명단'!$A832&amp;""),P833)</f>
        <v/>
      </c>
      <c r="Q834">
        <f>'입력_구리근무자명단'!$B832&amp;""</f>
        <v/>
      </c>
      <c r="R834">
        <f>IF($E$2="","",TRIM(INDEX('입력_구리근무자명단'!$A832:$ZZ832,1,$E$2+IF($G$2="확정",1,0))&amp;""))</f>
        <v/>
      </c>
      <c r="S834">
        <f>IF($R834="","",IF(INDEX('입력_구리근무자명단'!$A832:$ZZ832,1,$E$2+2)&amp;""="",급여기준월,IF(ISNUMBER(INDEX('입력_구리근무자명단'!$A832:$ZZ832,1,$E$2+2)),INDEX('입력_구리근무자명단'!$A832:$ZZ832,1,$E$2+2),IFERROR(DATE(VALUE(LEFT(INDEX('입력_구리근무자명단'!$A832:$ZZ832,1,$E$2+2),4)),VALUE(MID(INDEX('입력_구리근무자명단'!$A832:$ZZ832,1,$E$2+2),6,2)),VALUE(MID(INDEX('입력_구리근무자명단'!$A832:$ZZ832,1,$E$2+2),9,2))),-1))))</f>
        <v/>
      </c>
      <c r="T834">
        <f>IF($R834="","",IF(INDEX('입력_구리근무자명단'!$A832:$ZZ832,1,$E$2+3)&amp;""="",EOMONTH(급여기준월,0),IF(ISNUMBER(INDEX('입력_구리근무자명단'!$A832:$ZZ832,1,$E$2+3)),INDEX('입력_구리근무자명단'!$A832:$ZZ832,1,$E$2+3),IFERROR(DATE(VALUE(LEFT(INDEX('입력_구리근무자명단'!$A832:$ZZ832,1,$E$2+3),4)),VALUE(MID(INDEX('입력_구리근무자명단'!$A832:$ZZ832,1,$E$2+3),6,2)),VALUE(MID(INDEX('입력_구리근무자명단'!$A832:$ZZ832,1,$E$2+3),9,2))),-1))))</f>
        <v/>
      </c>
      <c r="U834">
        <f>IF($R834="","",IF(OR($S834&lt;0,$T834&lt;0),0,MAX(0,MIN($T834,EOMONTH(급여기준월,0))-MAX($S834,급여기준월)+1)))</f>
        <v/>
      </c>
      <c r="V834">
        <f>IF($R834="","",TRIM(INDEX('입력_구리근무자명단'!$A832:$ZZ832,1,$E$2+5)&amp;""))</f>
        <v/>
      </c>
      <c r="W834">
        <f>IF(ISNUMBER(SEARCH("구리독자",$V834)),"구리독자","")</f>
        <v/>
      </c>
      <c r="X834">
        <f>IF($R834="","",$R834&amp;"|"&amp;IF(OR($Q834="인턴",ISNUMBER(SEARCH("수련교육부",$P834))),"인턴",$P834))</f>
        <v/>
      </c>
      <c r="Y834">
        <f>IF($R834="","",IF(COUNTIF(명단표[이름|과],$X834)=1,"명단 일치",IF(AND(COUNTIF(명단표[이름|과],$X834)=0,COUNTIF(명단표[이름],$R834)=1),"명단 일치(이름만, 과 다름)",IF(COUNTIF(명단표[이름],$R834)=0,IF(COUNTIF(기본자료표[이름],$R834)&gt;0,"명단에 없음(기본자료에는 있음)","명단에 없음"),"동명이인 확인"))))</f>
        <v/>
      </c>
      <c r="Z834">
        <f>IF($R834="","",IF($S834&lt;0,"⚠"&amp;INDEX('입력_구리근무자명단'!$A832:$ZZ832,1,$E$2+2),TEXT($S834,"yyyy-mm-dd")))</f>
        <v/>
      </c>
      <c r="AA834">
        <f>IF($R834="","",IF($T834&lt;0,"⚠"&amp;INDEX('입력_구리근무자명단'!$A832:$ZZ832,1,$E$2+3),TEXT($T834,"yyyy-mm-dd")))</f>
        <v/>
      </c>
      <c r="AB834">
        <f>AB833+IF($R834="",0,1)</f>
        <v/>
      </c>
      <c r="AC834">
        <f>IF($R834="","",$AB834)</f>
        <v/>
      </c>
    </row>
    <row r="835">
      <c r="O835">
        <f>833</f>
        <v/>
      </c>
      <c r="P835">
        <f>IF(TRIM('입력_구리근무자명단'!$A833&amp;"")&lt;&gt;"",TRIM('입력_구리근무자명단'!$A833&amp;""),P834)</f>
        <v/>
      </c>
      <c r="Q835">
        <f>'입력_구리근무자명단'!$B833&amp;""</f>
        <v/>
      </c>
      <c r="R835">
        <f>IF($E$2="","",TRIM(INDEX('입력_구리근무자명단'!$A833:$ZZ833,1,$E$2+IF($G$2="확정",1,0))&amp;""))</f>
        <v/>
      </c>
      <c r="S835">
        <f>IF($R835="","",IF(INDEX('입력_구리근무자명단'!$A833:$ZZ833,1,$E$2+2)&amp;""="",급여기준월,IF(ISNUMBER(INDEX('입력_구리근무자명단'!$A833:$ZZ833,1,$E$2+2)),INDEX('입력_구리근무자명단'!$A833:$ZZ833,1,$E$2+2),IFERROR(DATE(VALUE(LEFT(INDEX('입력_구리근무자명단'!$A833:$ZZ833,1,$E$2+2),4)),VALUE(MID(INDEX('입력_구리근무자명단'!$A833:$ZZ833,1,$E$2+2),6,2)),VALUE(MID(INDEX('입력_구리근무자명단'!$A833:$ZZ833,1,$E$2+2),9,2))),-1))))</f>
        <v/>
      </c>
      <c r="T835">
        <f>IF($R835="","",IF(INDEX('입력_구리근무자명단'!$A833:$ZZ833,1,$E$2+3)&amp;""="",EOMONTH(급여기준월,0),IF(ISNUMBER(INDEX('입력_구리근무자명단'!$A833:$ZZ833,1,$E$2+3)),INDEX('입력_구리근무자명단'!$A833:$ZZ833,1,$E$2+3),IFERROR(DATE(VALUE(LEFT(INDEX('입력_구리근무자명단'!$A833:$ZZ833,1,$E$2+3),4)),VALUE(MID(INDEX('입력_구리근무자명단'!$A833:$ZZ833,1,$E$2+3),6,2)),VALUE(MID(INDEX('입력_구리근무자명단'!$A833:$ZZ833,1,$E$2+3),9,2))),-1))))</f>
        <v/>
      </c>
      <c r="U835">
        <f>IF($R835="","",IF(OR($S835&lt;0,$T835&lt;0),0,MAX(0,MIN($T835,EOMONTH(급여기준월,0))-MAX($S835,급여기준월)+1)))</f>
        <v/>
      </c>
      <c r="V835">
        <f>IF($R835="","",TRIM(INDEX('입력_구리근무자명단'!$A833:$ZZ833,1,$E$2+5)&amp;""))</f>
        <v/>
      </c>
      <c r="W835">
        <f>IF(ISNUMBER(SEARCH("구리독자",$V835)),"구리독자","")</f>
        <v/>
      </c>
      <c r="X835">
        <f>IF($R835="","",$R835&amp;"|"&amp;IF(OR($Q835="인턴",ISNUMBER(SEARCH("수련교육부",$P835))),"인턴",$P835))</f>
        <v/>
      </c>
      <c r="Y835">
        <f>IF($R835="","",IF(COUNTIF(명단표[이름|과],$X835)=1,"명단 일치",IF(AND(COUNTIF(명단표[이름|과],$X835)=0,COUNTIF(명단표[이름],$R835)=1),"명단 일치(이름만, 과 다름)",IF(COUNTIF(명단표[이름],$R835)=0,IF(COUNTIF(기본자료표[이름],$R835)&gt;0,"명단에 없음(기본자료에는 있음)","명단에 없음"),"동명이인 확인"))))</f>
        <v/>
      </c>
      <c r="Z835">
        <f>IF($R835="","",IF($S835&lt;0,"⚠"&amp;INDEX('입력_구리근무자명단'!$A833:$ZZ833,1,$E$2+2),TEXT($S835,"yyyy-mm-dd")))</f>
        <v/>
      </c>
      <c r="AA835">
        <f>IF($R835="","",IF($T835&lt;0,"⚠"&amp;INDEX('입력_구리근무자명단'!$A833:$ZZ833,1,$E$2+3),TEXT($T835,"yyyy-mm-dd")))</f>
        <v/>
      </c>
      <c r="AB835">
        <f>AB834+IF($R835="",0,1)</f>
        <v/>
      </c>
      <c r="AC835">
        <f>IF($R835="","",$AB835)</f>
        <v/>
      </c>
    </row>
    <row r="836">
      <c r="O836">
        <f>834</f>
        <v/>
      </c>
      <c r="P836">
        <f>IF(TRIM('입력_구리근무자명단'!$A834&amp;"")&lt;&gt;"",TRIM('입력_구리근무자명단'!$A834&amp;""),P835)</f>
        <v/>
      </c>
      <c r="Q836">
        <f>'입력_구리근무자명단'!$B834&amp;""</f>
        <v/>
      </c>
      <c r="R836">
        <f>IF($E$2="","",TRIM(INDEX('입력_구리근무자명단'!$A834:$ZZ834,1,$E$2+IF($G$2="확정",1,0))&amp;""))</f>
        <v/>
      </c>
      <c r="S836">
        <f>IF($R836="","",IF(INDEX('입력_구리근무자명단'!$A834:$ZZ834,1,$E$2+2)&amp;""="",급여기준월,IF(ISNUMBER(INDEX('입력_구리근무자명단'!$A834:$ZZ834,1,$E$2+2)),INDEX('입력_구리근무자명단'!$A834:$ZZ834,1,$E$2+2),IFERROR(DATE(VALUE(LEFT(INDEX('입력_구리근무자명단'!$A834:$ZZ834,1,$E$2+2),4)),VALUE(MID(INDEX('입력_구리근무자명단'!$A834:$ZZ834,1,$E$2+2),6,2)),VALUE(MID(INDEX('입력_구리근무자명단'!$A834:$ZZ834,1,$E$2+2),9,2))),-1))))</f>
        <v/>
      </c>
      <c r="T836">
        <f>IF($R836="","",IF(INDEX('입력_구리근무자명단'!$A834:$ZZ834,1,$E$2+3)&amp;""="",EOMONTH(급여기준월,0),IF(ISNUMBER(INDEX('입력_구리근무자명단'!$A834:$ZZ834,1,$E$2+3)),INDEX('입력_구리근무자명단'!$A834:$ZZ834,1,$E$2+3),IFERROR(DATE(VALUE(LEFT(INDEX('입력_구리근무자명단'!$A834:$ZZ834,1,$E$2+3),4)),VALUE(MID(INDEX('입력_구리근무자명단'!$A834:$ZZ834,1,$E$2+3),6,2)),VALUE(MID(INDEX('입력_구리근무자명단'!$A834:$ZZ834,1,$E$2+3),9,2))),-1))))</f>
        <v/>
      </c>
      <c r="U836">
        <f>IF($R836="","",IF(OR($S836&lt;0,$T836&lt;0),0,MAX(0,MIN($T836,EOMONTH(급여기준월,0))-MAX($S836,급여기준월)+1)))</f>
        <v/>
      </c>
      <c r="V836">
        <f>IF($R836="","",TRIM(INDEX('입력_구리근무자명단'!$A834:$ZZ834,1,$E$2+5)&amp;""))</f>
        <v/>
      </c>
      <c r="W836">
        <f>IF(ISNUMBER(SEARCH("구리독자",$V836)),"구리독자","")</f>
        <v/>
      </c>
      <c r="X836">
        <f>IF($R836="","",$R836&amp;"|"&amp;IF(OR($Q836="인턴",ISNUMBER(SEARCH("수련교육부",$P836))),"인턴",$P836))</f>
        <v/>
      </c>
      <c r="Y836">
        <f>IF($R836="","",IF(COUNTIF(명단표[이름|과],$X836)=1,"명단 일치",IF(AND(COUNTIF(명단표[이름|과],$X836)=0,COUNTIF(명단표[이름],$R836)=1),"명단 일치(이름만, 과 다름)",IF(COUNTIF(명단표[이름],$R836)=0,IF(COUNTIF(기본자료표[이름],$R836)&gt;0,"명단에 없음(기본자료에는 있음)","명단에 없음"),"동명이인 확인"))))</f>
        <v/>
      </c>
      <c r="Z836">
        <f>IF($R836="","",IF($S836&lt;0,"⚠"&amp;INDEX('입력_구리근무자명단'!$A834:$ZZ834,1,$E$2+2),TEXT($S836,"yyyy-mm-dd")))</f>
        <v/>
      </c>
      <c r="AA836">
        <f>IF($R836="","",IF($T836&lt;0,"⚠"&amp;INDEX('입력_구리근무자명단'!$A834:$ZZ834,1,$E$2+3),TEXT($T836,"yyyy-mm-dd")))</f>
        <v/>
      </c>
      <c r="AB836">
        <f>AB835+IF($R836="",0,1)</f>
        <v/>
      </c>
      <c r="AC836">
        <f>IF($R836="","",$AB836)</f>
        <v/>
      </c>
    </row>
    <row r="837">
      <c r="O837">
        <f>835</f>
        <v/>
      </c>
      <c r="P837">
        <f>IF(TRIM('입력_구리근무자명단'!$A835&amp;"")&lt;&gt;"",TRIM('입력_구리근무자명단'!$A835&amp;""),P836)</f>
        <v/>
      </c>
      <c r="Q837">
        <f>'입력_구리근무자명단'!$B835&amp;""</f>
        <v/>
      </c>
      <c r="R837">
        <f>IF($E$2="","",TRIM(INDEX('입력_구리근무자명단'!$A835:$ZZ835,1,$E$2+IF($G$2="확정",1,0))&amp;""))</f>
        <v/>
      </c>
      <c r="S837">
        <f>IF($R837="","",IF(INDEX('입력_구리근무자명단'!$A835:$ZZ835,1,$E$2+2)&amp;""="",급여기준월,IF(ISNUMBER(INDEX('입력_구리근무자명단'!$A835:$ZZ835,1,$E$2+2)),INDEX('입력_구리근무자명단'!$A835:$ZZ835,1,$E$2+2),IFERROR(DATE(VALUE(LEFT(INDEX('입력_구리근무자명단'!$A835:$ZZ835,1,$E$2+2),4)),VALUE(MID(INDEX('입력_구리근무자명단'!$A835:$ZZ835,1,$E$2+2),6,2)),VALUE(MID(INDEX('입력_구리근무자명단'!$A835:$ZZ835,1,$E$2+2),9,2))),-1))))</f>
        <v/>
      </c>
      <c r="T837">
        <f>IF($R837="","",IF(INDEX('입력_구리근무자명단'!$A835:$ZZ835,1,$E$2+3)&amp;""="",EOMONTH(급여기준월,0),IF(ISNUMBER(INDEX('입력_구리근무자명단'!$A835:$ZZ835,1,$E$2+3)),INDEX('입력_구리근무자명단'!$A835:$ZZ835,1,$E$2+3),IFERROR(DATE(VALUE(LEFT(INDEX('입력_구리근무자명단'!$A835:$ZZ835,1,$E$2+3),4)),VALUE(MID(INDEX('입력_구리근무자명단'!$A835:$ZZ835,1,$E$2+3),6,2)),VALUE(MID(INDEX('입력_구리근무자명단'!$A835:$ZZ835,1,$E$2+3),9,2))),-1))))</f>
        <v/>
      </c>
      <c r="U837">
        <f>IF($R837="","",IF(OR($S837&lt;0,$T837&lt;0),0,MAX(0,MIN($T837,EOMONTH(급여기준월,0))-MAX($S837,급여기준월)+1)))</f>
        <v/>
      </c>
      <c r="V837">
        <f>IF($R837="","",TRIM(INDEX('입력_구리근무자명단'!$A835:$ZZ835,1,$E$2+5)&amp;""))</f>
        <v/>
      </c>
      <c r="W837">
        <f>IF(ISNUMBER(SEARCH("구리독자",$V837)),"구리독자","")</f>
        <v/>
      </c>
      <c r="X837">
        <f>IF($R837="","",$R837&amp;"|"&amp;IF(OR($Q837="인턴",ISNUMBER(SEARCH("수련교육부",$P837))),"인턴",$P837))</f>
        <v/>
      </c>
      <c r="Y837">
        <f>IF($R837="","",IF(COUNTIF(명단표[이름|과],$X837)=1,"명단 일치",IF(AND(COUNTIF(명단표[이름|과],$X837)=0,COUNTIF(명단표[이름],$R837)=1),"명단 일치(이름만, 과 다름)",IF(COUNTIF(명단표[이름],$R837)=0,IF(COUNTIF(기본자료표[이름],$R837)&gt;0,"명단에 없음(기본자료에는 있음)","명단에 없음"),"동명이인 확인"))))</f>
        <v/>
      </c>
      <c r="Z837">
        <f>IF($R837="","",IF($S837&lt;0,"⚠"&amp;INDEX('입력_구리근무자명단'!$A835:$ZZ835,1,$E$2+2),TEXT($S837,"yyyy-mm-dd")))</f>
        <v/>
      </c>
      <c r="AA837">
        <f>IF($R837="","",IF($T837&lt;0,"⚠"&amp;INDEX('입력_구리근무자명단'!$A835:$ZZ835,1,$E$2+3),TEXT($T837,"yyyy-mm-dd")))</f>
        <v/>
      </c>
      <c r="AB837">
        <f>AB836+IF($R837="",0,1)</f>
        <v/>
      </c>
      <c r="AC837">
        <f>IF($R837="","",$AB837)</f>
        <v/>
      </c>
    </row>
    <row r="838">
      <c r="O838">
        <f>836</f>
        <v/>
      </c>
      <c r="P838">
        <f>IF(TRIM('입력_구리근무자명단'!$A836&amp;"")&lt;&gt;"",TRIM('입력_구리근무자명단'!$A836&amp;""),P837)</f>
        <v/>
      </c>
      <c r="Q838">
        <f>'입력_구리근무자명단'!$B836&amp;""</f>
        <v/>
      </c>
      <c r="R838">
        <f>IF($E$2="","",TRIM(INDEX('입력_구리근무자명단'!$A836:$ZZ836,1,$E$2+IF($G$2="확정",1,0))&amp;""))</f>
        <v/>
      </c>
      <c r="S838">
        <f>IF($R838="","",IF(INDEX('입력_구리근무자명단'!$A836:$ZZ836,1,$E$2+2)&amp;""="",급여기준월,IF(ISNUMBER(INDEX('입력_구리근무자명단'!$A836:$ZZ836,1,$E$2+2)),INDEX('입력_구리근무자명단'!$A836:$ZZ836,1,$E$2+2),IFERROR(DATE(VALUE(LEFT(INDEX('입력_구리근무자명단'!$A836:$ZZ836,1,$E$2+2),4)),VALUE(MID(INDEX('입력_구리근무자명단'!$A836:$ZZ836,1,$E$2+2),6,2)),VALUE(MID(INDEX('입력_구리근무자명단'!$A836:$ZZ836,1,$E$2+2),9,2))),-1))))</f>
        <v/>
      </c>
      <c r="T838">
        <f>IF($R838="","",IF(INDEX('입력_구리근무자명단'!$A836:$ZZ836,1,$E$2+3)&amp;""="",EOMONTH(급여기준월,0),IF(ISNUMBER(INDEX('입력_구리근무자명단'!$A836:$ZZ836,1,$E$2+3)),INDEX('입력_구리근무자명단'!$A836:$ZZ836,1,$E$2+3),IFERROR(DATE(VALUE(LEFT(INDEX('입력_구리근무자명단'!$A836:$ZZ836,1,$E$2+3),4)),VALUE(MID(INDEX('입력_구리근무자명단'!$A836:$ZZ836,1,$E$2+3),6,2)),VALUE(MID(INDEX('입력_구리근무자명단'!$A836:$ZZ836,1,$E$2+3),9,2))),-1))))</f>
        <v/>
      </c>
      <c r="U838">
        <f>IF($R838="","",IF(OR($S838&lt;0,$T838&lt;0),0,MAX(0,MIN($T838,EOMONTH(급여기준월,0))-MAX($S838,급여기준월)+1)))</f>
        <v/>
      </c>
      <c r="V838">
        <f>IF($R838="","",TRIM(INDEX('입력_구리근무자명단'!$A836:$ZZ836,1,$E$2+5)&amp;""))</f>
        <v/>
      </c>
      <c r="W838">
        <f>IF(ISNUMBER(SEARCH("구리독자",$V838)),"구리독자","")</f>
        <v/>
      </c>
      <c r="X838">
        <f>IF($R838="","",$R838&amp;"|"&amp;IF(OR($Q838="인턴",ISNUMBER(SEARCH("수련교육부",$P838))),"인턴",$P838))</f>
        <v/>
      </c>
      <c r="Y838">
        <f>IF($R838="","",IF(COUNTIF(명단표[이름|과],$X838)=1,"명단 일치",IF(AND(COUNTIF(명단표[이름|과],$X838)=0,COUNTIF(명단표[이름],$R838)=1),"명단 일치(이름만, 과 다름)",IF(COUNTIF(명단표[이름],$R838)=0,IF(COUNTIF(기본자료표[이름],$R838)&gt;0,"명단에 없음(기본자료에는 있음)","명단에 없음"),"동명이인 확인"))))</f>
        <v/>
      </c>
      <c r="Z838">
        <f>IF($R838="","",IF($S838&lt;0,"⚠"&amp;INDEX('입력_구리근무자명단'!$A836:$ZZ836,1,$E$2+2),TEXT($S838,"yyyy-mm-dd")))</f>
        <v/>
      </c>
      <c r="AA838">
        <f>IF($R838="","",IF($T838&lt;0,"⚠"&amp;INDEX('입력_구리근무자명단'!$A836:$ZZ836,1,$E$2+3),TEXT($T838,"yyyy-mm-dd")))</f>
        <v/>
      </c>
      <c r="AB838">
        <f>AB837+IF($R838="",0,1)</f>
        <v/>
      </c>
      <c r="AC838">
        <f>IF($R838="","",$AB838)</f>
        <v/>
      </c>
    </row>
    <row r="839">
      <c r="O839">
        <f>837</f>
        <v/>
      </c>
      <c r="P839">
        <f>IF(TRIM('입력_구리근무자명단'!$A837&amp;"")&lt;&gt;"",TRIM('입력_구리근무자명단'!$A837&amp;""),P838)</f>
        <v/>
      </c>
      <c r="Q839">
        <f>'입력_구리근무자명단'!$B837&amp;""</f>
        <v/>
      </c>
      <c r="R839">
        <f>IF($E$2="","",TRIM(INDEX('입력_구리근무자명단'!$A837:$ZZ837,1,$E$2+IF($G$2="확정",1,0))&amp;""))</f>
        <v/>
      </c>
      <c r="S839">
        <f>IF($R839="","",IF(INDEX('입력_구리근무자명단'!$A837:$ZZ837,1,$E$2+2)&amp;""="",급여기준월,IF(ISNUMBER(INDEX('입력_구리근무자명단'!$A837:$ZZ837,1,$E$2+2)),INDEX('입력_구리근무자명단'!$A837:$ZZ837,1,$E$2+2),IFERROR(DATE(VALUE(LEFT(INDEX('입력_구리근무자명단'!$A837:$ZZ837,1,$E$2+2),4)),VALUE(MID(INDEX('입력_구리근무자명단'!$A837:$ZZ837,1,$E$2+2),6,2)),VALUE(MID(INDEX('입력_구리근무자명단'!$A837:$ZZ837,1,$E$2+2),9,2))),-1))))</f>
        <v/>
      </c>
      <c r="T839">
        <f>IF($R839="","",IF(INDEX('입력_구리근무자명단'!$A837:$ZZ837,1,$E$2+3)&amp;""="",EOMONTH(급여기준월,0),IF(ISNUMBER(INDEX('입력_구리근무자명단'!$A837:$ZZ837,1,$E$2+3)),INDEX('입력_구리근무자명단'!$A837:$ZZ837,1,$E$2+3),IFERROR(DATE(VALUE(LEFT(INDEX('입력_구리근무자명단'!$A837:$ZZ837,1,$E$2+3),4)),VALUE(MID(INDEX('입력_구리근무자명단'!$A837:$ZZ837,1,$E$2+3),6,2)),VALUE(MID(INDEX('입력_구리근무자명단'!$A837:$ZZ837,1,$E$2+3),9,2))),-1))))</f>
        <v/>
      </c>
      <c r="U839">
        <f>IF($R839="","",IF(OR($S839&lt;0,$T839&lt;0),0,MAX(0,MIN($T839,EOMONTH(급여기준월,0))-MAX($S839,급여기준월)+1)))</f>
        <v/>
      </c>
      <c r="V839">
        <f>IF($R839="","",TRIM(INDEX('입력_구리근무자명단'!$A837:$ZZ837,1,$E$2+5)&amp;""))</f>
        <v/>
      </c>
      <c r="W839">
        <f>IF(ISNUMBER(SEARCH("구리독자",$V839)),"구리독자","")</f>
        <v/>
      </c>
      <c r="X839">
        <f>IF($R839="","",$R839&amp;"|"&amp;IF(OR($Q839="인턴",ISNUMBER(SEARCH("수련교육부",$P839))),"인턴",$P839))</f>
        <v/>
      </c>
      <c r="Y839">
        <f>IF($R839="","",IF(COUNTIF(명단표[이름|과],$X839)=1,"명단 일치",IF(AND(COUNTIF(명단표[이름|과],$X839)=0,COUNTIF(명단표[이름],$R839)=1),"명단 일치(이름만, 과 다름)",IF(COUNTIF(명단표[이름],$R839)=0,IF(COUNTIF(기본자료표[이름],$R839)&gt;0,"명단에 없음(기본자료에는 있음)","명단에 없음"),"동명이인 확인"))))</f>
        <v/>
      </c>
      <c r="Z839">
        <f>IF($R839="","",IF($S839&lt;0,"⚠"&amp;INDEX('입력_구리근무자명단'!$A837:$ZZ837,1,$E$2+2),TEXT($S839,"yyyy-mm-dd")))</f>
        <v/>
      </c>
      <c r="AA839">
        <f>IF($R839="","",IF($T839&lt;0,"⚠"&amp;INDEX('입력_구리근무자명단'!$A837:$ZZ837,1,$E$2+3),TEXT($T839,"yyyy-mm-dd")))</f>
        <v/>
      </c>
      <c r="AB839">
        <f>AB838+IF($R839="",0,1)</f>
        <v/>
      </c>
      <c r="AC839">
        <f>IF($R839="","",$AB839)</f>
        <v/>
      </c>
    </row>
    <row r="840">
      <c r="O840">
        <f>838</f>
        <v/>
      </c>
      <c r="P840">
        <f>IF(TRIM('입력_구리근무자명단'!$A838&amp;"")&lt;&gt;"",TRIM('입력_구리근무자명단'!$A838&amp;""),P839)</f>
        <v/>
      </c>
      <c r="Q840">
        <f>'입력_구리근무자명단'!$B838&amp;""</f>
        <v/>
      </c>
      <c r="R840">
        <f>IF($E$2="","",TRIM(INDEX('입력_구리근무자명단'!$A838:$ZZ838,1,$E$2+IF($G$2="확정",1,0))&amp;""))</f>
        <v/>
      </c>
      <c r="S840">
        <f>IF($R840="","",IF(INDEX('입력_구리근무자명단'!$A838:$ZZ838,1,$E$2+2)&amp;""="",급여기준월,IF(ISNUMBER(INDEX('입력_구리근무자명단'!$A838:$ZZ838,1,$E$2+2)),INDEX('입력_구리근무자명단'!$A838:$ZZ838,1,$E$2+2),IFERROR(DATE(VALUE(LEFT(INDEX('입력_구리근무자명단'!$A838:$ZZ838,1,$E$2+2),4)),VALUE(MID(INDEX('입력_구리근무자명단'!$A838:$ZZ838,1,$E$2+2),6,2)),VALUE(MID(INDEX('입력_구리근무자명단'!$A838:$ZZ838,1,$E$2+2),9,2))),-1))))</f>
        <v/>
      </c>
      <c r="T840">
        <f>IF($R840="","",IF(INDEX('입력_구리근무자명단'!$A838:$ZZ838,1,$E$2+3)&amp;""="",EOMONTH(급여기준월,0),IF(ISNUMBER(INDEX('입력_구리근무자명단'!$A838:$ZZ838,1,$E$2+3)),INDEX('입력_구리근무자명단'!$A838:$ZZ838,1,$E$2+3),IFERROR(DATE(VALUE(LEFT(INDEX('입력_구리근무자명단'!$A838:$ZZ838,1,$E$2+3),4)),VALUE(MID(INDEX('입력_구리근무자명단'!$A838:$ZZ838,1,$E$2+3),6,2)),VALUE(MID(INDEX('입력_구리근무자명단'!$A838:$ZZ838,1,$E$2+3),9,2))),-1))))</f>
        <v/>
      </c>
      <c r="U840">
        <f>IF($R840="","",IF(OR($S840&lt;0,$T840&lt;0),0,MAX(0,MIN($T840,EOMONTH(급여기준월,0))-MAX($S840,급여기준월)+1)))</f>
        <v/>
      </c>
      <c r="V840">
        <f>IF($R840="","",TRIM(INDEX('입력_구리근무자명단'!$A838:$ZZ838,1,$E$2+5)&amp;""))</f>
        <v/>
      </c>
      <c r="W840">
        <f>IF(ISNUMBER(SEARCH("구리독자",$V840)),"구리독자","")</f>
        <v/>
      </c>
      <c r="X840">
        <f>IF($R840="","",$R840&amp;"|"&amp;IF(OR($Q840="인턴",ISNUMBER(SEARCH("수련교육부",$P840))),"인턴",$P840))</f>
        <v/>
      </c>
      <c r="Y840">
        <f>IF($R840="","",IF(COUNTIF(명단표[이름|과],$X840)=1,"명단 일치",IF(AND(COUNTIF(명단표[이름|과],$X840)=0,COUNTIF(명단표[이름],$R840)=1),"명단 일치(이름만, 과 다름)",IF(COUNTIF(명단표[이름],$R840)=0,IF(COUNTIF(기본자료표[이름],$R840)&gt;0,"명단에 없음(기본자료에는 있음)","명단에 없음"),"동명이인 확인"))))</f>
        <v/>
      </c>
      <c r="Z840">
        <f>IF($R840="","",IF($S840&lt;0,"⚠"&amp;INDEX('입력_구리근무자명단'!$A838:$ZZ838,1,$E$2+2),TEXT($S840,"yyyy-mm-dd")))</f>
        <v/>
      </c>
      <c r="AA840">
        <f>IF($R840="","",IF($T840&lt;0,"⚠"&amp;INDEX('입력_구리근무자명단'!$A838:$ZZ838,1,$E$2+3),TEXT($T840,"yyyy-mm-dd")))</f>
        <v/>
      </c>
      <c r="AB840">
        <f>AB839+IF($R840="",0,1)</f>
        <v/>
      </c>
      <c r="AC840">
        <f>IF($R840="","",$AB840)</f>
        <v/>
      </c>
    </row>
    <row r="841">
      <c r="O841">
        <f>839</f>
        <v/>
      </c>
      <c r="P841">
        <f>IF(TRIM('입력_구리근무자명단'!$A839&amp;"")&lt;&gt;"",TRIM('입력_구리근무자명단'!$A839&amp;""),P840)</f>
        <v/>
      </c>
      <c r="Q841">
        <f>'입력_구리근무자명단'!$B839&amp;""</f>
        <v/>
      </c>
      <c r="R841">
        <f>IF($E$2="","",TRIM(INDEX('입력_구리근무자명단'!$A839:$ZZ839,1,$E$2+IF($G$2="확정",1,0))&amp;""))</f>
        <v/>
      </c>
      <c r="S841">
        <f>IF($R841="","",IF(INDEX('입력_구리근무자명단'!$A839:$ZZ839,1,$E$2+2)&amp;""="",급여기준월,IF(ISNUMBER(INDEX('입력_구리근무자명단'!$A839:$ZZ839,1,$E$2+2)),INDEX('입력_구리근무자명단'!$A839:$ZZ839,1,$E$2+2),IFERROR(DATE(VALUE(LEFT(INDEX('입력_구리근무자명단'!$A839:$ZZ839,1,$E$2+2),4)),VALUE(MID(INDEX('입력_구리근무자명단'!$A839:$ZZ839,1,$E$2+2),6,2)),VALUE(MID(INDEX('입력_구리근무자명단'!$A839:$ZZ839,1,$E$2+2),9,2))),-1))))</f>
        <v/>
      </c>
      <c r="T841">
        <f>IF($R841="","",IF(INDEX('입력_구리근무자명단'!$A839:$ZZ839,1,$E$2+3)&amp;""="",EOMONTH(급여기준월,0),IF(ISNUMBER(INDEX('입력_구리근무자명단'!$A839:$ZZ839,1,$E$2+3)),INDEX('입력_구리근무자명단'!$A839:$ZZ839,1,$E$2+3),IFERROR(DATE(VALUE(LEFT(INDEX('입력_구리근무자명단'!$A839:$ZZ839,1,$E$2+3),4)),VALUE(MID(INDEX('입력_구리근무자명단'!$A839:$ZZ839,1,$E$2+3),6,2)),VALUE(MID(INDEX('입력_구리근무자명단'!$A839:$ZZ839,1,$E$2+3),9,2))),-1))))</f>
        <v/>
      </c>
      <c r="U841">
        <f>IF($R841="","",IF(OR($S841&lt;0,$T841&lt;0),0,MAX(0,MIN($T841,EOMONTH(급여기준월,0))-MAX($S841,급여기준월)+1)))</f>
        <v/>
      </c>
      <c r="V841">
        <f>IF($R841="","",TRIM(INDEX('입력_구리근무자명단'!$A839:$ZZ839,1,$E$2+5)&amp;""))</f>
        <v/>
      </c>
      <c r="W841">
        <f>IF(ISNUMBER(SEARCH("구리독자",$V841)),"구리독자","")</f>
        <v/>
      </c>
      <c r="X841">
        <f>IF($R841="","",$R841&amp;"|"&amp;IF(OR($Q841="인턴",ISNUMBER(SEARCH("수련교육부",$P841))),"인턴",$P841))</f>
        <v/>
      </c>
      <c r="Y841">
        <f>IF($R841="","",IF(COUNTIF(명단표[이름|과],$X841)=1,"명단 일치",IF(AND(COUNTIF(명단표[이름|과],$X841)=0,COUNTIF(명단표[이름],$R841)=1),"명단 일치(이름만, 과 다름)",IF(COUNTIF(명단표[이름],$R841)=0,IF(COUNTIF(기본자료표[이름],$R841)&gt;0,"명단에 없음(기본자료에는 있음)","명단에 없음"),"동명이인 확인"))))</f>
        <v/>
      </c>
      <c r="Z841">
        <f>IF($R841="","",IF($S841&lt;0,"⚠"&amp;INDEX('입력_구리근무자명단'!$A839:$ZZ839,1,$E$2+2),TEXT($S841,"yyyy-mm-dd")))</f>
        <v/>
      </c>
      <c r="AA841">
        <f>IF($R841="","",IF($T841&lt;0,"⚠"&amp;INDEX('입력_구리근무자명단'!$A839:$ZZ839,1,$E$2+3),TEXT($T841,"yyyy-mm-dd")))</f>
        <v/>
      </c>
      <c r="AB841">
        <f>AB840+IF($R841="",0,1)</f>
        <v/>
      </c>
      <c r="AC841">
        <f>IF($R841="","",$AB841)</f>
        <v/>
      </c>
    </row>
    <row r="842">
      <c r="O842">
        <f>840</f>
        <v/>
      </c>
      <c r="P842">
        <f>IF(TRIM('입력_구리근무자명단'!$A840&amp;"")&lt;&gt;"",TRIM('입력_구리근무자명단'!$A840&amp;""),P841)</f>
        <v/>
      </c>
      <c r="Q842">
        <f>'입력_구리근무자명단'!$B840&amp;""</f>
        <v/>
      </c>
      <c r="R842">
        <f>IF($E$2="","",TRIM(INDEX('입력_구리근무자명단'!$A840:$ZZ840,1,$E$2+IF($G$2="확정",1,0))&amp;""))</f>
        <v/>
      </c>
      <c r="S842">
        <f>IF($R842="","",IF(INDEX('입력_구리근무자명단'!$A840:$ZZ840,1,$E$2+2)&amp;""="",급여기준월,IF(ISNUMBER(INDEX('입력_구리근무자명단'!$A840:$ZZ840,1,$E$2+2)),INDEX('입력_구리근무자명단'!$A840:$ZZ840,1,$E$2+2),IFERROR(DATE(VALUE(LEFT(INDEX('입력_구리근무자명단'!$A840:$ZZ840,1,$E$2+2),4)),VALUE(MID(INDEX('입력_구리근무자명단'!$A840:$ZZ840,1,$E$2+2),6,2)),VALUE(MID(INDEX('입력_구리근무자명단'!$A840:$ZZ840,1,$E$2+2),9,2))),-1))))</f>
        <v/>
      </c>
      <c r="T842">
        <f>IF($R842="","",IF(INDEX('입력_구리근무자명단'!$A840:$ZZ840,1,$E$2+3)&amp;""="",EOMONTH(급여기준월,0),IF(ISNUMBER(INDEX('입력_구리근무자명단'!$A840:$ZZ840,1,$E$2+3)),INDEX('입력_구리근무자명단'!$A840:$ZZ840,1,$E$2+3),IFERROR(DATE(VALUE(LEFT(INDEX('입력_구리근무자명단'!$A840:$ZZ840,1,$E$2+3),4)),VALUE(MID(INDEX('입력_구리근무자명단'!$A840:$ZZ840,1,$E$2+3),6,2)),VALUE(MID(INDEX('입력_구리근무자명단'!$A840:$ZZ840,1,$E$2+3),9,2))),-1))))</f>
        <v/>
      </c>
      <c r="U842">
        <f>IF($R842="","",IF(OR($S842&lt;0,$T842&lt;0),0,MAX(0,MIN($T842,EOMONTH(급여기준월,0))-MAX($S842,급여기준월)+1)))</f>
        <v/>
      </c>
      <c r="V842">
        <f>IF($R842="","",TRIM(INDEX('입력_구리근무자명단'!$A840:$ZZ840,1,$E$2+5)&amp;""))</f>
        <v/>
      </c>
      <c r="W842">
        <f>IF(ISNUMBER(SEARCH("구리독자",$V842)),"구리독자","")</f>
        <v/>
      </c>
      <c r="X842">
        <f>IF($R842="","",$R842&amp;"|"&amp;IF(OR($Q842="인턴",ISNUMBER(SEARCH("수련교육부",$P842))),"인턴",$P842))</f>
        <v/>
      </c>
      <c r="Y842">
        <f>IF($R842="","",IF(COUNTIF(명단표[이름|과],$X842)=1,"명단 일치",IF(AND(COUNTIF(명단표[이름|과],$X842)=0,COUNTIF(명단표[이름],$R842)=1),"명단 일치(이름만, 과 다름)",IF(COUNTIF(명단표[이름],$R842)=0,IF(COUNTIF(기본자료표[이름],$R842)&gt;0,"명단에 없음(기본자료에는 있음)","명단에 없음"),"동명이인 확인"))))</f>
        <v/>
      </c>
      <c r="Z842">
        <f>IF($R842="","",IF($S842&lt;0,"⚠"&amp;INDEX('입력_구리근무자명단'!$A840:$ZZ840,1,$E$2+2),TEXT($S842,"yyyy-mm-dd")))</f>
        <v/>
      </c>
      <c r="AA842">
        <f>IF($R842="","",IF($T842&lt;0,"⚠"&amp;INDEX('입력_구리근무자명단'!$A840:$ZZ840,1,$E$2+3),TEXT($T842,"yyyy-mm-dd")))</f>
        <v/>
      </c>
      <c r="AB842">
        <f>AB841+IF($R842="",0,1)</f>
        <v/>
      </c>
      <c r="AC842">
        <f>IF($R842="","",$AB842)</f>
        <v/>
      </c>
    </row>
    <row r="843">
      <c r="O843">
        <f>841</f>
        <v/>
      </c>
      <c r="P843">
        <f>IF(TRIM('입력_구리근무자명단'!$A841&amp;"")&lt;&gt;"",TRIM('입력_구리근무자명단'!$A841&amp;""),P842)</f>
        <v/>
      </c>
      <c r="Q843">
        <f>'입력_구리근무자명단'!$B841&amp;""</f>
        <v/>
      </c>
      <c r="R843">
        <f>IF($E$2="","",TRIM(INDEX('입력_구리근무자명단'!$A841:$ZZ841,1,$E$2+IF($G$2="확정",1,0))&amp;""))</f>
        <v/>
      </c>
      <c r="S843">
        <f>IF($R843="","",IF(INDEX('입력_구리근무자명단'!$A841:$ZZ841,1,$E$2+2)&amp;""="",급여기준월,IF(ISNUMBER(INDEX('입력_구리근무자명단'!$A841:$ZZ841,1,$E$2+2)),INDEX('입력_구리근무자명단'!$A841:$ZZ841,1,$E$2+2),IFERROR(DATE(VALUE(LEFT(INDEX('입력_구리근무자명단'!$A841:$ZZ841,1,$E$2+2),4)),VALUE(MID(INDEX('입력_구리근무자명단'!$A841:$ZZ841,1,$E$2+2),6,2)),VALUE(MID(INDEX('입력_구리근무자명단'!$A841:$ZZ841,1,$E$2+2),9,2))),-1))))</f>
        <v/>
      </c>
      <c r="T843">
        <f>IF($R843="","",IF(INDEX('입력_구리근무자명단'!$A841:$ZZ841,1,$E$2+3)&amp;""="",EOMONTH(급여기준월,0),IF(ISNUMBER(INDEX('입력_구리근무자명단'!$A841:$ZZ841,1,$E$2+3)),INDEX('입력_구리근무자명단'!$A841:$ZZ841,1,$E$2+3),IFERROR(DATE(VALUE(LEFT(INDEX('입력_구리근무자명단'!$A841:$ZZ841,1,$E$2+3),4)),VALUE(MID(INDEX('입력_구리근무자명단'!$A841:$ZZ841,1,$E$2+3),6,2)),VALUE(MID(INDEX('입력_구리근무자명단'!$A841:$ZZ841,1,$E$2+3),9,2))),-1))))</f>
        <v/>
      </c>
      <c r="U843">
        <f>IF($R843="","",IF(OR($S843&lt;0,$T843&lt;0),0,MAX(0,MIN($T843,EOMONTH(급여기준월,0))-MAX($S843,급여기준월)+1)))</f>
        <v/>
      </c>
      <c r="V843">
        <f>IF($R843="","",TRIM(INDEX('입력_구리근무자명단'!$A841:$ZZ841,1,$E$2+5)&amp;""))</f>
        <v/>
      </c>
      <c r="W843">
        <f>IF(ISNUMBER(SEARCH("구리독자",$V843)),"구리독자","")</f>
        <v/>
      </c>
      <c r="X843">
        <f>IF($R843="","",$R843&amp;"|"&amp;IF(OR($Q843="인턴",ISNUMBER(SEARCH("수련교육부",$P843))),"인턴",$P843))</f>
        <v/>
      </c>
      <c r="Y843">
        <f>IF($R843="","",IF(COUNTIF(명단표[이름|과],$X843)=1,"명단 일치",IF(AND(COUNTIF(명단표[이름|과],$X843)=0,COUNTIF(명단표[이름],$R843)=1),"명단 일치(이름만, 과 다름)",IF(COUNTIF(명단표[이름],$R843)=0,IF(COUNTIF(기본자료표[이름],$R843)&gt;0,"명단에 없음(기본자료에는 있음)","명단에 없음"),"동명이인 확인"))))</f>
        <v/>
      </c>
      <c r="Z843">
        <f>IF($R843="","",IF($S843&lt;0,"⚠"&amp;INDEX('입력_구리근무자명단'!$A841:$ZZ841,1,$E$2+2),TEXT($S843,"yyyy-mm-dd")))</f>
        <v/>
      </c>
      <c r="AA843">
        <f>IF($R843="","",IF($T843&lt;0,"⚠"&amp;INDEX('입력_구리근무자명단'!$A841:$ZZ841,1,$E$2+3),TEXT($T843,"yyyy-mm-dd")))</f>
        <v/>
      </c>
      <c r="AB843">
        <f>AB842+IF($R843="",0,1)</f>
        <v/>
      </c>
      <c r="AC843">
        <f>IF($R843="","",$AB843)</f>
        <v/>
      </c>
    </row>
    <row r="844">
      <c r="O844">
        <f>842</f>
        <v/>
      </c>
      <c r="P844">
        <f>IF(TRIM('입력_구리근무자명단'!$A842&amp;"")&lt;&gt;"",TRIM('입력_구리근무자명단'!$A842&amp;""),P843)</f>
        <v/>
      </c>
      <c r="Q844">
        <f>'입력_구리근무자명단'!$B842&amp;""</f>
        <v/>
      </c>
      <c r="R844">
        <f>IF($E$2="","",TRIM(INDEX('입력_구리근무자명단'!$A842:$ZZ842,1,$E$2+IF($G$2="확정",1,0))&amp;""))</f>
        <v/>
      </c>
      <c r="S844">
        <f>IF($R844="","",IF(INDEX('입력_구리근무자명단'!$A842:$ZZ842,1,$E$2+2)&amp;""="",급여기준월,IF(ISNUMBER(INDEX('입력_구리근무자명단'!$A842:$ZZ842,1,$E$2+2)),INDEX('입력_구리근무자명단'!$A842:$ZZ842,1,$E$2+2),IFERROR(DATE(VALUE(LEFT(INDEX('입력_구리근무자명단'!$A842:$ZZ842,1,$E$2+2),4)),VALUE(MID(INDEX('입력_구리근무자명단'!$A842:$ZZ842,1,$E$2+2),6,2)),VALUE(MID(INDEX('입력_구리근무자명단'!$A842:$ZZ842,1,$E$2+2),9,2))),-1))))</f>
        <v/>
      </c>
      <c r="T844">
        <f>IF($R844="","",IF(INDEX('입력_구리근무자명단'!$A842:$ZZ842,1,$E$2+3)&amp;""="",EOMONTH(급여기준월,0),IF(ISNUMBER(INDEX('입력_구리근무자명단'!$A842:$ZZ842,1,$E$2+3)),INDEX('입력_구리근무자명단'!$A842:$ZZ842,1,$E$2+3),IFERROR(DATE(VALUE(LEFT(INDEX('입력_구리근무자명단'!$A842:$ZZ842,1,$E$2+3),4)),VALUE(MID(INDEX('입력_구리근무자명단'!$A842:$ZZ842,1,$E$2+3),6,2)),VALUE(MID(INDEX('입력_구리근무자명단'!$A842:$ZZ842,1,$E$2+3),9,2))),-1))))</f>
        <v/>
      </c>
      <c r="U844">
        <f>IF($R844="","",IF(OR($S844&lt;0,$T844&lt;0),0,MAX(0,MIN($T844,EOMONTH(급여기준월,0))-MAX($S844,급여기준월)+1)))</f>
        <v/>
      </c>
      <c r="V844">
        <f>IF($R844="","",TRIM(INDEX('입력_구리근무자명단'!$A842:$ZZ842,1,$E$2+5)&amp;""))</f>
        <v/>
      </c>
      <c r="W844">
        <f>IF(ISNUMBER(SEARCH("구리독자",$V844)),"구리독자","")</f>
        <v/>
      </c>
      <c r="X844">
        <f>IF($R844="","",$R844&amp;"|"&amp;IF(OR($Q844="인턴",ISNUMBER(SEARCH("수련교육부",$P844))),"인턴",$P844))</f>
        <v/>
      </c>
      <c r="Y844">
        <f>IF($R844="","",IF(COUNTIF(명단표[이름|과],$X844)=1,"명단 일치",IF(AND(COUNTIF(명단표[이름|과],$X844)=0,COUNTIF(명단표[이름],$R844)=1),"명단 일치(이름만, 과 다름)",IF(COUNTIF(명단표[이름],$R844)=0,IF(COUNTIF(기본자료표[이름],$R844)&gt;0,"명단에 없음(기본자료에는 있음)","명단에 없음"),"동명이인 확인"))))</f>
        <v/>
      </c>
      <c r="Z844">
        <f>IF($R844="","",IF($S844&lt;0,"⚠"&amp;INDEX('입력_구리근무자명단'!$A842:$ZZ842,1,$E$2+2),TEXT($S844,"yyyy-mm-dd")))</f>
        <v/>
      </c>
      <c r="AA844">
        <f>IF($R844="","",IF($T844&lt;0,"⚠"&amp;INDEX('입력_구리근무자명단'!$A842:$ZZ842,1,$E$2+3),TEXT($T844,"yyyy-mm-dd")))</f>
        <v/>
      </c>
      <c r="AB844">
        <f>AB843+IF($R844="",0,1)</f>
        <v/>
      </c>
      <c r="AC844">
        <f>IF($R844="","",$AB844)</f>
        <v/>
      </c>
    </row>
    <row r="845">
      <c r="O845">
        <f>843</f>
        <v/>
      </c>
      <c r="P845">
        <f>IF(TRIM('입력_구리근무자명단'!$A843&amp;"")&lt;&gt;"",TRIM('입력_구리근무자명단'!$A843&amp;""),P844)</f>
        <v/>
      </c>
      <c r="Q845">
        <f>'입력_구리근무자명단'!$B843&amp;""</f>
        <v/>
      </c>
      <c r="R845">
        <f>IF($E$2="","",TRIM(INDEX('입력_구리근무자명단'!$A843:$ZZ843,1,$E$2+IF($G$2="확정",1,0))&amp;""))</f>
        <v/>
      </c>
      <c r="S845">
        <f>IF($R845="","",IF(INDEX('입력_구리근무자명단'!$A843:$ZZ843,1,$E$2+2)&amp;""="",급여기준월,IF(ISNUMBER(INDEX('입력_구리근무자명단'!$A843:$ZZ843,1,$E$2+2)),INDEX('입력_구리근무자명단'!$A843:$ZZ843,1,$E$2+2),IFERROR(DATE(VALUE(LEFT(INDEX('입력_구리근무자명단'!$A843:$ZZ843,1,$E$2+2),4)),VALUE(MID(INDEX('입력_구리근무자명단'!$A843:$ZZ843,1,$E$2+2),6,2)),VALUE(MID(INDEX('입력_구리근무자명단'!$A843:$ZZ843,1,$E$2+2),9,2))),-1))))</f>
        <v/>
      </c>
      <c r="T845">
        <f>IF($R845="","",IF(INDEX('입력_구리근무자명단'!$A843:$ZZ843,1,$E$2+3)&amp;""="",EOMONTH(급여기준월,0),IF(ISNUMBER(INDEX('입력_구리근무자명단'!$A843:$ZZ843,1,$E$2+3)),INDEX('입력_구리근무자명단'!$A843:$ZZ843,1,$E$2+3),IFERROR(DATE(VALUE(LEFT(INDEX('입력_구리근무자명단'!$A843:$ZZ843,1,$E$2+3),4)),VALUE(MID(INDEX('입력_구리근무자명단'!$A843:$ZZ843,1,$E$2+3),6,2)),VALUE(MID(INDEX('입력_구리근무자명단'!$A843:$ZZ843,1,$E$2+3),9,2))),-1))))</f>
        <v/>
      </c>
      <c r="U845">
        <f>IF($R845="","",IF(OR($S845&lt;0,$T845&lt;0),0,MAX(0,MIN($T845,EOMONTH(급여기준월,0))-MAX($S845,급여기준월)+1)))</f>
        <v/>
      </c>
      <c r="V845">
        <f>IF($R845="","",TRIM(INDEX('입력_구리근무자명단'!$A843:$ZZ843,1,$E$2+5)&amp;""))</f>
        <v/>
      </c>
      <c r="W845">
        <f>IF(ISNUMBER(SEARCH("구리독자",$V845)),"구리독자","")</f>
        <v/>
      </c>
      <c r="X845">
        <f>IF($R845="","",$R845&amp;"|"&amp;IF(OR($Q845="인턴",ISNUMBER(SEARCH("수련교육부",$P845))),"인턴",$P845))</f>
        <v/>
      </c>
      <c r="Y845">
        <f>IF($R845="","",IF(COUNTIF(명단표[이름|과],$X845)=1,"명단 일치",IF(AND(COUNTIF(명단표[이름|과],$X845)=0,COUNTIF(명단표[이름],$R845)=1),"명단 일치(이름만, 과 다름)",IF(COUNTIF(명단표[이름],$R845)=0,IF(COUNTIF(기본자료표[이름],$R845)&gt;0,"명단에 없음(기본자료에는 있음)","명단에 없음"),"동명이인 확인"))))</f>
        <v/>
      </c>
      <c r="Z845">
        <f>IF($R845="","",IF($S845&lt;0,"⚠"&amp;INDEX('입력_구리근무자명단'!$A843:$ZZ843,1,$E$2+2),TEXT($S845,"yyyy-mm-dd")))</f>
        <v/>
      </c>
      <c r="AA845">
        <f>IF($R845="","",IF($T845&lt;0,"⚠"&amp;INDEX('입력_구리근무자명단'!$A843:$ZZ843,1,$E$2+3),TEXT($T845,"yyyy-mm-dd")))</f>
        <v/>
      </c>
      <c r="AB845">
        <f>AB844+IF($R845="",0,1)</f>
        <v/>
      </c>
      <c r="AC845">
        <f>IF($R845="","",$AB845)</f>
        <v/>
      </c>
    </row>
    <row r="846">
      <c r="O846">
        <f>844</f>
        <v/>
      </c>
      <c r="P846">
        <f>IF(TRIM('입력_구리근무자명단'!$A844&amp;"")&lt;&gt;"",TRIM('입력_구리근무자명단'!$A844&amp;""),P845)</f>
        <v/>
      </c>
      <c r="Q846">
        <f>'입력_구리근무자명단'!$B844&amp;""</f>
        <v/>
      </c>
      <c r="R846">
        <f>IF($E$2="","",TRIM(INDEX('입력_구리근무자명단'!$A844:$ZZ844,1,$E$2+IF($G$2="확정",1,0))&amp;""))</f>
        <v/>
      </c>
      <c r="S846">
        <f>IF($R846="","",IF(INDEX('입력_구리근무자명단'!$A844:$ZZ844,1,$E$2+2)&amp;""="",급여기준월,IF(ISNUMBER(INDEX('입력_구리근무자명단'!$A844:$ZZ844,1,$E$2+2)),INDEX('입력_구리근무자명단'!$A844:$ZZ844,1,$E$2+2),IFERROR(DATE(VALUE(LEFT(INDEX('입력_구리근무자명단'!$A844:$ZZ844,1,$E$2+2),4)),VALUE(MID(INDEX('입력_구리근무자명단'!$A844:$ZZ844,1,$E$2+2),6,2)),VALUE(MID(INDEX('입력_구리근무자명단'!$A844:$ZZ844,1,$E$2+2),9,2))),-1))))</f>
        <v/>
      </c>
      <c r="T846">
        <f>IF($R846="","",IF(INDEX('입력_구리근무자명단'!$A844:$ZZ844,1,$E$2+3)&amp;""="",EOMONTH(급여기준월,0),IF(ISNUMBER(INDEX('입력_구리근무자명단'!$A844:$ZZ844,1,$E$2+3)),INDEX('입력_구리근무자명단'!$A844:$ZZ844,1,$E$2+3),IFERROR(DATE(VALUE(LEFT(INDEX('입력_구리근무자명단'!$A844:$ZZ844,1,$E$2+3),4)),VALUE(MID(INDEX('입력_구리근무자명단'!$A844:$ZZ844,1,$E$2+3),6,2)),VALUE(MID(INDEX('입력_구리근무자명단'!$A844:$ZZ844,1,$E$2+3),9,2))),-1))))</f>
        <v/>
      </c>
      <c r="U846">
        <f>IF($R846="","",IF(OR($S846&lt;0,$T846&lt;0),0,MAX(0,MIN($T846,EOMONTH(급여기준월,0))-MAX($S846,급여기준월)+1)))</f>
        <v/>
      </c>
      <c r="V846">
        <f>IF($R846="","",TRIM(INDEX('입력_구리근무자명단'!$A844:$ZZ844,1,$E$2+5)&amp;""))</f>
        <v/>
      </c>
      <c r="W846">
        <f>IF(ISNUMBER(SEARCH("구리독자",$V846)),"구리독자","")</f>
        <v/>
      </c>
      <c r="X846">
        <f>IF($R846="","",$R846&amp;"|"&amp;IF(OR($Q846="인턴",ISNUMBER(SEARCH("수련교육부",$P846))),"인턴",$P846))</f>
        <v/>
      </c>
      <c r="Y846">
        <f>IF($R846="","",IF(COUNTIF(명단표[이름|과],$X846)=1,"명단 일치",IF(AND(COUNTIF(명단표[이름|과],$X846)=0,COUNTIF(명단표[이름],$R846)=1),"명단 일치(이름만, 과 다름)",IF(COUNTIF(명단표[이름],$R846)=0,IF(COUNTIF(기본자료표[이름],$R846)&gt;0,"명단에 없음(기본자료에는 있음)","명단에 없음"),"동명이인 확인"))))</f>
        <v/>
      </c>
      <c r="Z846">
        <f>IF($R846="","",IF($S846&lt;0,"⚠"&amp;INDEX('입력_구리근무자명단'!$A844:$ZZ844,1,$E$2+2),TEXT($S846,"yyyy-mm-dd")))</f>
        <v/>
      </c>
      <c r="AA846">
        <f>IF($R846="","",IF($T846&lt;0,"⚠"&amp;INDEX('입력_구리근무자명단'!$A844:$ZZ844,1,$E$2+3),TEXT($T846,"yyyy-mm-dd")))</f>
        <v/>
      </c>
      <c r="AB846">
        <f>AB845+IF($R846="",0,1)</f>
        <v/>
      </c>
      <c r="AC846">
        <f>IF($R846="","",$AB846)</f>
        <v/>
      </c>
    </row>
    <row r="847">
      <c r="O847">
        <f>845</f>
        <v/>
      </c>
      <c r="P847">
        <f>IF(TRIM('입력_구리근무자명단'!$A845&amp;"")&lt;&gt;"",TRIM('입력_구리근무자명단'!$A845&amp;""),P846)</f>
        <v/>
      </c>
      <c r="Q847">
        <f>'입력_구리근무자명단'!$B845&amp;""</f>
        <v/>
      </c>
      <c r="R847">
        <f>IF($E$2="","",TRIM(INDEX('입력_구리근무자명단'!$A845:$ZZ845,1,$E$2+IF($G$2="확정",1,0))&amp;""))</f>
        <v/>
      </c>
      <c r="S847">
        <f>IF($R847="","",IF(INDEX('입력_구리근무자명단'!$A845:$ZZ845,1,$E$2+2)&amp;""="",급여기준월,IF(ISNUMBER(INDEX('입력_구리근무자명단'!$A845:$ZZ845,1,$E$2+2)),INDEX('입력_구리근무자명단'!$A845:$ZZ845,1,$E$2+2),IFERROR(DATE(VALUE(LEFT(INDEX('입력_구리근무자명단'!$A845:$ZZ845,1,$E$2+2),4)),VALUE(MID(INDEX('입력_구리근무자명단'!$A845:$ZZ845,1,$E$2+2),6,2)),VALUE(MID(INDEX('입력_구리근무자명단'!$A845:$ZZ845,1,$E$2+2),9,2))),-1))))</f>
        <v/>
      </c>
      <c r="T847">
        <f>IF($R847="","",IF(INDEX('입력_구리근무자명단'!$A845:$ZZ845,1,$E$2+3)&amp;""="",EOMONTH(급여기준월,0),IF(ISNUMBER(INDEX('입력_구리근무자명단'!$A845:$ZZ845,1,$E$2+3)),INDEX('입력_구리근무자명단'!$A845:$ZZ845,1,$E$2+3),IFERROR(DATE(VALUE(LEFT(INDEX('입력_구리근무자명단'!$A845:$ZZ845,1,$E$2+3),4)),VALUE(MID(INDEX('입력_구리근무자명단'!$A845:$ZZ845,1,$E$2+3),6,2)),VALUE(MID(INDEX('입력_구리근무자명단'!$A845:$ZZ845,1,$E$2+3),9,2))),-1))))</f>
        <v/>
      </c>
      <c r="U847">
        <f>IF($R847="","",IF(OR($S847&lt;0,$T847&lt;0),0,MAX(0,MIN($T847,EOMONTH(급여기준월,0))-MAX($S847,급여기준월)+1)))</f>
        <v/>
      </c>
      <c r="V847">
        <f>IF($R847="","",TRIM(INDEX('입력_구리근무자명단'!$A845:$ZZ845,1,$E$2+5)&amp;""))</f>
        <v/>
      </c>
      <c r="W847">
        <f>IF(ISNUMBER(SEARCH("구리독자",$V847)),"구리독자","")</f>
        <v/>
      </c>
      <c r="X847">
        <f>IF($R847="","",$R847&amp;"|"&amp;IF(OR($Q847="인턴",ISNUMBER(SEARCH("수련교육부",$P847))),"인턴",$P847))</f>
        <v/>
      </c>
      <c r="Y847">
        <f>IF($R847="","",IF(COUNTIF(명단표[이름|과],$X847)=1,"명단 일치",IF(AND(COUNTIF(명단표[이름|과],$X847)=0,COUNTIF(명단표[이름],$R847)=1),"명단 일치(이름만, 과 다름)",IF(COUNTIF(명단표[이름],$R847)=0,IF(COUNTIF(기본자료표[이름],$R847)&gt;0,"명단에 없음(기본자료에는 있음)","명단에 없음"),"동명이인 확인"))))</f>
        <v/>
      </c>
      <c r="Z847">
        <f>IF($R847="","",IF($S847&lt;0,"⚠"&amp;INDEX('입력_구리근무자명단'!$A845:$ZZ845,1,$E$2+2),TEXT($S847,"yyyy-mm-dd")))</f>
        <v/>
      </c>
      <c r="AA847">
        <f>IF($R847="","",IF($T847&lt;0,"⚠"&amp;INDEX('입력_구리근무자명단'!$A845:$ZZ845,1,$E$2+3),TEXT($T847,"yyyy-mm-dd")))</f>
        <v/>
      </c>
      <c r="AB847">
        <f>AB846+IF($R847="",0,1)</f>
        <v/>
      </c>
      <c r="AC847">
        <f>IF($R847="","",$AB847)</f>
        <v/>
      </c>
    </row>
    <row r="848">
      <c r="O848">
        <f>846</f>
        <v/>
      </c>
      <c r="P848">
        <f>IF(TRIM('입력_구리근무자명단'!$A846&amp;"")&lt;&gt;"",TRIM('입력_구리근무자명단'!$A846&amp;""),P847)</f>
        <v/>
      </c>
      <c r="Q848">
        <f>'입력_구리근무자명단'!$B846&amp;""</f>
        <v/>
      </c>
      <c r="R848">
        <f>IF($E$2="","",TRIM(INDEX('입력_구리근무자명단'!$A846:$ZZ846,1,$E$2+IF($G$2="확정",1,0))&amp;""))</f>
        <v/>
      </c>
      <c r="S848">
        <f>IF($R848="","",IF(INDEX('입력_구리근무자명단'!$A846:$ZZ846,1,$E$2+2)&amp;""="",급여기준월,IF(ISNUMBER(INDEX('입력_구리근무자명단'!$A846:$ZZ846,1,$E$2+2)),INDEX('입력_구리근무자명단'!$A846:$ZZ846,1,$E$2+2),IFERROR(DATE(VALUE(LEFT(INDEX('입력_구리근무자명단'!$A846:$ZZ846,1,$E$2+2),4)),VALUE(MID(INDEX('입력_구리근무자명단'!$A846:$ZZ846,1,$E$2+2),6,2)),VALUE(MID(INDEX('입력_구리근무자명단'!$A846:$ZZ846,1,$E$2+2),9,2))),-1))))</f>
        <v/>
      </c>
      <c r="T848">
        <f>IF($R848="","",IF(INDEX('입력_구리근무자명단'!$A846:$ZZ846,1,$E$2+3)&amp;""="",EOMONTH(급여기준월,0),IF(ISNUMBER(INDEX('입력_구리근무자명단'!$A846:$ZZ846,1,$E$2+3)),INDEX('입력_구리근무자명단'!$A846:$ZZ846,1,$E$2+3),IFERROR(DATE(VALUE(LEFT(INDEX('입력_구리근무자명단'!$A846:$ZZ846,1,$E$2+3),4)),VALUE(MID(INDEX('입력_구리근무자명단'!$A846:$ZZ846,1,$E$2+3),6,2)),VALUE(MID(INDEX('입력_구리근무자명단'!$A846:$ZZ846,1,$E$2+3),9,2))),-1))))</f>
        <v/>
      </c>
      <c r="U848">
        <f>IF($R848="","",IF(OR($S848&lt;0,$T848&lt;0),0,MAX(0,MIN($T848,EOMONTH(급여기준월,0))-MAX($S848,급여기준월)+1)))</f>
        <v/>
      </c>
      <c r="V848">
        <f>IF($R848="","",TRIM(INDEX('입력_구리근무자명단'!$A846:$ZZ846,1,$E$2+5)&amp;""))</f>
        <v/>
      </c>
      <c r="W848">
        <f>IF(ISNUMBER(SEARCH("구리독자",$V848)),"구리독자","")</f>
        <v/>
      </c>
      <c r="X848">
        <f>IF($R848="","",$R848&amp;"|"&amp;IF(OR($Q848="인턴",ISNUMBER(SEARCH("수련교육부",$P848))),"인턴",$P848))</f>
        <v/>
      </c>
      <c r="Y848">
        <f>IF($R848="","",IF(COUNTIF(명단표[이름|과],$X848)=1,"명단 일치",IF(AND(COUNTIF(명단표[이름|과],$X848)=0,COUNTIF(명단표[이름],$R848)=1),"명단 일치(이름만, 과 다름)",IF(COUNTIF(명단표[이름],$R848)=0,IF(COUNTIF(기본자료표[이름],$R848)&gt;0,"명단에 없음(기본자료에는 있음)","명단에 없음"),"동명이인 확인"))))</f>
        <v/>
      </c>
      <c r="Z848">
        <f>IF($R848="","",IF($S848&lt;0,"⚠"&amp;INDEX('입력_구리근무자명단'!$A846:$ZZ846,1,$E$2+2),TEXT($S848,"yyyy-mm-dd")))</f>
        <v/>
      </c>
      <c r="AA848">
        <f>IF($R848="","",IF($T848&lt;0,"⚠"&amp;INDEX('입력_구리근무자명단'!$A846:$ZZ846,1,$E$2+3),TEXT($T848,"yyyy-mm-dd")))</f>
        <v/>
      </c>
      <c r="AB848">
        <f>AB847+IF($R848="",0,1)</f>
        <v/>
      </c>
      <c r="AC848">
        <f>IF($R848="","",$AB848)</f>
        <v/>
      </c>
    </row>
    <row r="849">
      <c r="O849">
        <f>847</f>
        <v/>
      </c>
      <c r="P849">
        <f>IF(TRIM('입력_구리근무자명단'!$A847&amp;"")&lt;&gt;"",TRIM('입력_구리근무자명단'!$A847&amp;""),P848)</f>
        <v/>
      </c>
      <c r="Q849">
        <f>'입력_구리근무자명단'!$B847&amp;""</f>
        <v/>
      </c>
      <c r="R849">
        <f>IF($E$2="","",TRIM(INDEX('입력_구리근무자명단'!$A847:$ZZ847,1,$E$2+IF($G$2="확정",1,0))&amp;""))</f>
        <v/>
      </c>
      <c r="S849">
        <f>IF($R849="","",IF(INDEX('입력_구리근무자명단'!$A847:$ZZ847,1,$E$2+2)&amp;""="",급여기준월,IF(ISNUMBER(INDEX('입력_구리근무자명단'!$A847:$ZZ847,1,$E$2+2)),INDEX('입력_구리근무자명단'!$A847:$ZZ847,1,$E$2+2),IFERROR(DATE(VALUE(LEFT(INDEX('입력_구리근무자명단'!$A847:$ZZ847,1,$E$2+2),4)),VALUE(MID(INDEX('입력_구리근무자명단'!$A847:$ZZ847,1,$E$2+2),6,2)),VALUE(MID(INDEX('입력_구리근무자명단'!$A847:$ZZ847,1,$E$2+2),9,2))),-1))))</f>
        <v/>
      </c>
      <c r="T849">
        <f>IF($R849="","",IF(INDEX('입력_구리근무자명단'!$A847:$ZZ847,1,$E$2+3)&amp;""="",EOMONTH(급여기준월,0),IF(ISNUMBER(INDEX('입력_구리근무자명단'!$A847:$ZZ847,1,$E$2+3)),INDEX('입력_구리근무자명단'!$A847:$ZZ847,1,$E$2+3),IFERROR(DATE(VALUE(LEFT(INDEX('입력_구리근무자명단'!$A847:$ZZ847,1,$E$2+3),4)),VALUE(MID(INDEX('입력_구리근무자명단'!$A847:$ZZ847,1,$E$2+3),6,2)),VALUE(MID(INDEX('입력_구리근무자명단'!$A847:$ZZ847,1,$E$2+3),9,2))),-1))))</f>
        <v/>
      </c>
      <c r="U849">
        <f>IF($R849="","",IF(OR($S849&lt;0,$T849&lt;0),0,MAX(0,MIN($T849,EOMONTH(급여기준월,0))-MAX($S849,급여기준월)+1)))</f>
        <v/>
      </c>
      <c r="V849">
        <f>IF($R849="","",TRIM(INDEX('입력_구리근무자명단'!$A847:$ZZ847,1,$E$2+5)&amp;""))</f>
        <v/>
      </c>
      <c r="W849">
        <f>IF(ISNUMBER(SEARCH("구리독자",$V849)),"구리독자","")</f>
        <v/>
      </c>
      <c r="X849">
        <f>IF($R849="","",$R849&amp;"|"&amp;IF(OR($Q849="인턴",ISNUMBER(SEARCH("수련교육부",$P849))),"인턴",$P849))</f>
        <v/>
      </c>
      <c r="Y849">
        <f>IF($R849="","",IF(COUNTIF(명단표[이름|과],$X849)=1,"명단 일치",IF(AND(COUNTIF(명단표[이름|과],$X849)=0,COUNTIF(명단표[이름],$R849)=1),"명단 일치(이름만, 과 다름)",IF(COUNTIF(명단표[이름],$R849)=0,IF(COUNTIF(기본자료표[이름],$R849)&gt;0,"명단에 없음(기본자료에는 있음)","명단에 없음"),"동명이인 확인"))))</f>
        <v/>
      </c>
      <c r="Z849">
        <f>IF($R849="","",IF($S849&lt;0,"⚠"&amp;INDEX('입력_구리근무자명단'!$A847:$ZZ847,1,$E$2+2),TEXT($S849,"yyyy-mm-dd")))</f>
        <v/>
      </c>
      <c r="AA849">
        <f>IF($R849="","",IF($T849&lt;0,"⚠"&amp;INDEX('입력_구리근무자명단'!$A847:$ZZ847,1,$E$2+3),TEXT($T849,"yyyy-mm-dd")))</f>
        <v/>
      </c>
      <c r="AB849">
        <f>AB848+IF($R849="",0,1)</f>
        <v/>
      </c>
      <c r="AC849">
        <f>IF($R849="","",$AB849)</f>
        <v/>
      </c>
    </row>
    <row r="850">
      <c r="O850">
        <f>848</f>
        <v/>
      </c>
      <c r="P850">
        <f>IF(TRIM('입력_구리근무자명단'!$A848&amp;"")&lt;&gt;"",TRIM('입력_구리근무자명단'!$A848&amp;""),P849)</f>
        <v/>
      </c>
      <c r="Q850">
        <f>'입력_구리근무자명단'!$B848&amp;""</f>
        <v/>
      </c>
      <c r="R850">
        <f>IF($E$2="","",TRIM(INDEX('입력_구리근무자명단'!$A848:$ZZ848,1,$E$2+IF($G$2="확정",1,0))&amp;""))</f>
        <v/>
      </c>
      <c r="S850">
        <f>IF($R850="","",IF(INDEX('입력_구리근무자명단'!$A848:$ZZ848,1,$E$2+2)&amp;""="",급여기준월,IF(ISNUMBER(INDEX('입력_구리근무자명단'!$A848:$ZZ848,1,$E$2+2)),INDEX('입력_구리근무자명단'!$A848:$ZZ848,1,$E$2+2),IFERROR(DATE(VALUE(LEFT(INDEX('입력_구리근무자명단'!$A848:$ZZ848,1,$E$2+2),4)),VALUE(MID(INDEX('입력_구리근무자명단'!$A848:$ZZ848,1,$E$2+2),6,2)),VALUE(MID(INDEX('입력_구리근무자명단'!$A848:$ZZ848,1,$E$2+2),9,2))),-1))))</f>
        <v/>
      </c>
      <c r="T850">
        <f>IF($R850="","",IF(INDEX('입력_구리근무자명단'!$A848:$ZZ848,1,$E$2+3)&amp;""="",EOMONTH(급여기준월,0),IF(ISNUMBER(INDEX('입력_구리근무자명단'!$A848:$ZZ848,1,$E$2+3)),INDEX('입력_구리근무자명단'!$A848:$ZZ848,1,$E$2+3),IFERROR(DATE(VALUE(LEFT(INDEX('입력_구리근무자명단'!$A848:$ZZ848,1,$E$2+3),4)),VALUE(MID(INDEX('입력_구리근무자명단'!$A848:$ZZ848,1,$E$2+3),6,2)),VALUE(MID(INDEX('입력_구리근무자명단'!$A848:$ZZ848,1,$E$2+3),9,2))),-1))))</f>
        <v/>
      </c>
      <c r="U850">
        <f>IF($R850="","",IF(OR($S850&lt;0,$T850&lt;0),0,MAX(0,MIN($T850,EOMONTH(급여기준월,0))-MAX($S850,급여기준월)+1)))</f>
        <v/>
      </c>
      <c r="V850">
        <f>IF($R850="","",TRIM(INDEX('입력_구리근무자명단'!$A848:$ZZ848,1,$E$2+5)&amp;""))</f>
        <v/>
      </c>
      <c r="W850">
        <f>IF(ISNUMBER(SEARCH("구리독자",$V850)),"구리독자","")</f>
        <v/>
      </c>
      <c r="X850">
        <f>IF($R850="","",$R850&amp;"|"&amp;IF(OR($Q850="인턴",ISNUMBER(SEARCH("수련교육부",$P850))),"인턴",$P850))</f>
        <v/>
      </c>
      <c r="Y850">
        <f>IF($R850="","",IF(COUNTIF(명단표[이름|과],$X850)=1,"명단 일치",IF(AND(COUNTIF(명단표[이름|과],$X850)=0,COUNTIF(명단표[이름],$R850)=1),"명단 일치(이름만, 과 다름)",IF(COUNTIF(명단표[이름],$R850)=0,IF(COUNTIF(기본자료표[이름],$R850)&gt;0,"명단에 없음(기본자료에는 있음)","명단에 없음"),"동명이인 확인"))))</f>
        <v/>
      </c>
      <c r="Z850">
        <f>IF($R850="","",IF($S850&lt;0,"⚠"&amp;INDEX('입력_구리근무자명단'!$A848:$ZZ848,1,$E$2+2),TEXT($S850,"yyyy-mm-dd")))</f>
        <v/>
      </c>
      <c r="AA850">
        <f>IF($R850="","",IF($T850&lt;0,"⚠"&amp;INDEX('입력_구리근무자명단'!$A848:$ZZ848,1,$E$2+3),TEXT($T850,"yyyy-mm-dd")))</f>
        <v/>
      </c>
      <c r="AB850">
        <f>AB849+IF($R850="",0,1)</f>
        <v/>
      </c>
      <c r="AC850">
        <f>IF($R850="","",$AB850)</f>
        <v/>
      </c>
    </row>
    <row r="851">
      <c r="O851">
        <f>849</f>
        <v/>
      </c>
      <c r="P851">
        <f>IF(TRIM('입력_구리근무자명단'!$A849&amp;"")&lt;&gt;"",TRIM('입력_구리근무자명단'!$A849&amp;""),P850)</f>
        <v/>
      </c>
      <c r="Q851">
        <f>'입력_구리근무자명단'!$B849&amp;""</f>
        <v/>
      </c>
      <c r="R851">
        <f>IF($E$2="","",TRIM(INDEX('입력_구리근무자명단'!$A849:$ZZ849,1,$E$2+IF($G$2="확정",1,0))&amp;""))</f>
        <v/>
      </c>
      <c r="S851">
        <f>IF($R851="","",IF(INDEX('입력_구리근무자명단'!$A849:$ZZ849,1,$E$2+2)&amp;""="",급여기준월,IF(ISNUMBER(INDEX('입력_구리근무자명단'!$A849:$ZZ849,1,$E$2+2)),INDEX('입력_구리근무자명단'!$A849:$ZZ849,1,$E$2+2),IFERROR(DATE(VALUE(LEFT(INDEX('입력_구리근무자명단'!$A849:$ZZ849,1,$E$2+2),4)),VALUE(MID(INDEX('입력_구리근무자명단'!$A849:$ZZ849,1,$E$2+2),6,2)),VALUE(MID(INDEX('입력_구리근무자명단'!$A849:$ZZ849,1,$E$2+2),9,2))),-1))))</f>
        <v/>
      </c>
      <c r="T851">
        <f>IF($R851="","",IF(INDEX('입력_구리근무자명단'!$A849:$ZZ849,1,$E$2+3)&amp;""="",EOMONTH(급여기준월,0),IF(ISNUMBER(INDEX('입력_구리근무자명단'!$A849:$ZZ849,1,$E$2+3)),INDEX('입력_구리근무자명단'!$A849:$ZZ849,1,$E$2+3),IFERROR(DATE(VALUE(LEFT(INDEX('입력_구리근무자명단'!$A849:$ZZ849,1,$E$2+3),4)),VALUE(MID(INDEX('입력_구리근무자명단'!$A849:$ZZ849,1,$E$2+3),6,2)),VALUE(MID(INDEX('입력_구리근무자명단'!$A849:$ZZ849,1,$E$2+3),9,2))),-1))))</f>
        <v/>
      </c>
      <c r="U851">
        <f>IF($R851="","",IF(OR($S851&lt;0,$T851&lt;0),0,MAX(0,MIN($T851,EOMONTH(급여기준월,0))-MAX($S851,급여기준월)+1)))</f>
        <v/>
      </c>
      <c r="V851">
        <f>IF($R851="","",TRIM(INDEX('입력_구리근무자명단'!$A849:$ZZ849,1,$E$2+5)&amp;""))</f>
        <v/>
      </c>
      <c r="W851">
        <f>IF(ISNUMBER(SEARCH("구리독자",$V851)),"구리독자","")</f>
        <v/>
      </c>
      <c r="X851">
        <f>IF($R851="","",$R851&amp;"|"&amp;IF(OR($Q851="인턴",ISNUMBER(SEARCH("수련교육부",$P851))),"인턴",$P851))</f>
        <v/>
      </c>
      <c r="Y851">
        <f>IF($R851="","",IF(COUNTIF(명단표[이름|과],$X851)=1,"명단 일치",IF(AND(COUNTIF(명단표[이름|과],$X851)=0,COUNTIF(명단표[이름],$R851)=1),"명단 일치(이름만, 과 다름)",IF(COUNTIF(명단표[이름],$R851)=0,IF(COUNTIF(기본자료표[이름],$R851)&gt;0,"명단에 없음(기본자료에는 있음)","명단에 없음"),"동명이인 확인"))))</f>
        <v/>
      </c>
      <c r="Z851">
        <f>IF($R851="","",IF($S851&lt;0,"⚠"&amp;INDEX('입력_구리근무자명단'!$A849:$ZZ849,1,$E$2+2),TEXT($S851,"yyyy-mm-dd")))</f>
        <v/>
      </c>
      <c r="AA851">
        <f>IF($R851="","",IF($T851&lt;0,"⚠"&amp;INDEX('입력_구리근무자명단'!$A849:$ZZ849,1,$E$2+3),TEXT($T851,"yyyy-mm-dd")))</f>
        <v/>
      </c>
      <c r="AB851">
        <f>AB850+IF($R851="",0,1)</f>
        <v/>
      </c>
      <c r="AC851">
        <f>IF($R851="","",$AB851)</f>
        <v/>
      </c>
    </row>
    <row r="852">
      <c r="O852">
        <f>850</f>
        <v/>
      </c>
      <c r="P852">
        <f>IF(TRIM('입력_구리근무자명단'!$A850&amp;"")&lt;&gt;"",TRIM('입력_구리근무자명단'!$A850&amp;""),P851)</f>
        <v/>
      </c>
      <c r="Q852">
        <f>'입력_구리근무자명단'!$B850&amp;""</f>
        <v/>
      </c>
      <c r="R852">
        <f>IF($E$2="","",TRIM(INDEX('입력_구리근무자명단'!$A850:$ZZ850,1,$E$2+IF($G$2="확정",1,0))&amp;""))</f>
        <v/>
      </c>
      <c r="S852">
        <f>IF($R852="","",IF(INDEX('입력_구리근무자명단'!$A850:$ZZ850,1,$E$2+2)&amp;""="",급여기준월,IF(ISNUMBER(INDEX('입력_구리근무자명단'!$A850:$ZZ850,1,$E$2+2)),INDEX('입력_구리근무자명단'!$A850:$ZZ850,1,$E$2+2),IFERROR(DATE(VALUE(LEFT(INDEX('입력_구리근무자명단'!$A850:$ZZ850,1,$E$2+2),4)),VALUE(MID(INDEX('입력_구리근무자명단'!$A850:$ZZ850,1,$E$2+2),6,2)),VALUE(MID(INDEX('입력_구리근무자명단'!$A850:$ZZ850,1,$E$2+2),9,2))),-1))))</f>
        <v/>
      </c>
      <c r="T852">
        <f>IF($R852="","",IF(INDEX('입력_구리근무자명단'!$A850:$ZZ850,1,$E$2+3)&amp;""="",EOMONTH(급여기준월,0),IF(ISNUMBER(INDEX('입력_구리근무자명단'!$A850:$ZZ850,1,$E$2+3)),INDEX('입력_구리근무자명단'!$A850:$ZZ850,1,$E$2+3),IFERROR(DATE(VALUE(LEFT(INDEX('입력_구리근무자명단'!$A850:$ZZ850,1,$E$2+3),4)),VALUE(MID(INDEX('입력_구리근무자명단'!$A850:$ZZ850,1,$E$2+3),6,2)),VALUE(MID(INDEX('입력_구리근무자명단'!$A850:$ZZ850,1,$E$2+3),9,2))),-1))))</f>
        <v/>
      </c>
      <c r="U852">
        <f>IF($R852="","",IF(OR($S852&lt;0,$T852&lt;0),0,MAX(0,MIN($T852,EOMONTH(급여기준월,0))-MAX($S852,급여기준월)+1)))</f>
        <v/>
      </c>
      <c r="V852">
        <f>IF($R852="","",TRIM(INDEX('입력_구리근무자명단'!$A850:$ZZ850,1,$E$2+5)&amp;""))</f>
        <v/>
      </c>
      <c r="W852">
        <f>IF(ISNUMBER(SEARCH("구리독자",$V852)),"구리독자","")</f>
        <v/>
      </c>
      <c r="X852">
        <f>IF($R852="","",$R852&amp;"|"&amp;IF(OR($Q852="인턴",ISNUMBER(SEARCH("수련교육부",$P852))),"인턴",$P852))</f>
        <v/>
      </c>
      <c r="Y852">
        <f>IF($R852="","",IF(COUNTIF(명단표[이름|과],$X852)=1,"명단 일치",IF(AND(COUNTIF(명단표[이름|과],$X852)=0,COUNTIF(명단표[이름],$R852)=1),"명단 일치(이름만, 과 다름)",IF(COUNTIF(명단표[이름],$R852)=0,IF(COUNTIF(기본자료표[이름],$R852)&gt;0,"명단에 없음(기본자료에는 있음)","명단에 없음"),"동명이인 확인"))))</f>
        <v/>
      </c>
      <c r="Z852">
        <f>IF($R852="","",IF($S852&lt;0,"⚠"&amp;INDEX('입력_구리근무자명단'!$A850:$ZZ850,1,$E$2+2),TEXT($S852,"yyyy-mm-dd")))</f>
        <v/>
      </c>
      <c r="AA852">
        <f>IF($R852="","",IF($T852&lt;0,"⚠"&amp;INDEX('입력_구리근무자명단'!$A850:$ZZ850,1,$E$2+3),TEXT($T852,"yyyy-mm-dd")))</f>
        <v/>
      </c>
      <c r="AB852">
        <f>AB851+IF($R852="",0,1)</f>
        <v/>
      </c>
      <c r="AC852">
        <f>IF($R852="","",$AB852)</f>
        <v/>
      </c>
    </row>
    <row r="853">
      <c r="O853">
        <f>851</f>
        <v/>
      </c>
      <c r="P853">
        <f>IF(TRIM('입력_구리근무자명단'!$A851&amp;"")&lt;&gt;"",TRIM('입력_구리근무자명단'!$A851&amp;""),P852)</f>
        <v/>
      </c>
      <c r="Q853">
        <f>'입력_구리근무자명단'!$B851&amp;""</f>
        <v/>
      </c>
      <c r="R853">
        <f>IF($E$2="","",TRIM(INDEX('입력_구리근무자명단'!$A851:$ZZ851,1,$E$2+IF($G$2="확정",1,0))&amp;""))</f>
        <v/>
      </c>
      <c r="S853">
        <f>IF($R853="","",IF(INDEX('입력_구리근무자명단'!$A851:$ZZ851,1,$E$2+2)&amp;""="",급여기준월,IF(ISNUMBER(INDEX('입력_구리근무자명단'!$A851:$ZZ851,1,$E$2+2)),INDEX('입력_구리근무자명단'!$A851:$ZZ851,1,$E$2+2),IFERROR(DATE(VALUE(LEFT(INDEX('입력_구리근무자명단'!$A851:$ZZ851,1,$E$2+2),4)),VALUE(MID(INDEX('입력_구리근무자명단'!$A851:$ZZ851,1,$E$2+2),6,2)),VALUE(MID(INDEX('입력_구리근무자명단'!$A851:$ZZ851,1,$E$2+2),9,2))),-1))))</f>
        <v/>
      </c>
      <c r="T853">
        <f>IF($R853="","",IF(INDEX('입력_구리근무자명단'!$A851:$ZZ851,1,$E$2+3)&amp;""="",EOMONTH(급여기준월,0),IF(ISNUMBER(INDEX('입력_구리근무자명단'!$A851:$ZZ851,1,$E$2+3)),INDEX('입력_구리근무자명단'!$A851:$ZZ851,1,$E$2+3),IFERROR(DATE(VALUE(LEFT(INDEX('입력_구리근무자명단'!$A851:$ZZ851,1,$E$2+3),4)),VALUE(MID(INDEX('입력_구리근무자명단'!$A851:$ZZ851,1,$E$2+3),6,2)),VALUE(MID(INDEX('입력_구리근무자명단'!$A851:$ZZ851,1,$E$2+3),9,2))),-1))))</f>
        <v/>
      </c>
      <c r="U853">
        <f>IF($R853="","",IF(OR($S853&lt;0,$T853&lt;0),0,MAX(0,MIN($T853,EOMONTH(급여기준월,0))-MAX($S853,급여기준월)+1)))</f>
        <v/>
      </c>
      <c r="V853">
        <f>IF($R853="","",TRIM(INDEX('입력_구리근무자명단'!$A851:$ZZ851,1,$E$2+5)&amp;""))</f>
        <v/>
      </c>
      <c r="W853">
        <f>IF(ISNUMBER(SEARCH("구리독자",$V853)),"구리독자","")</f>
        <v/>
      </c>
      <c r="X853">
        <f>IF($R853="","",$R853&amp;"|"&amp;IF(OR($Q853="인턴",ISNUMBER(SEARCH("수련교육부",$P853))),"인턴",$P853))</f>
        <v/>
      </c>
      <c r="Y853">
        <f>IF($R853="","",IF(COUNTIF(명단표[이름|과],$X853)=1,"명단 일치",IF(AND(COUNTIF(명단표[이름|과],$X853)=0,COUNTIF(명단표[이름],$R853)=1),"명단 일치(이름만, 과 다름)",IF(COUNTIF(명단표[이름],$R853)=0,IF(COUNTIF(기본자료표[이름],$R853)&gt;0,"명단에 없음(기본자료에는 있음)","명단에 없음"),"동명이인 확인"))))</f>
        <v/>
      </c>
      <c r="Z853">
        <f>IF($R853="","",IF($S853&lt;0,"⚠"&amp;INDEX('입력_구리근무자명단'!$A851:$ZZ851,1,$E$2+2),TEXT($S853,"yyyy-mm-dd")))</f>
        <v/>
      </c>
      <c r="AA853">
        <f>IF($R853="","",IF($T853&lt;0,"⚠"&amp;INDEX('입력_구리근무자명단'!$A851:$ZZ851,1,$E$2+3),TEXT($T853,"yyyy-mm-dd")))</f>
        <v/>
      </c>
      <c r="AB853">
        <f>AB852+IF($R853="",0,1)</f>
        <v/>
      </c>
      <c r="AC853">
        <f>IF($R853="","",$AB853)</f>
        <v/>
      </c>
    </row>
    <row r="854">
      <c r="O854">
        <f>852</f>
        <v/>
      </c>
      <c r="P854">
        <f>IF(TRIM('입력_구리근무자명단'!$A852&amp;"")&lt;&gt;"",TRIM('입력_구리근무자명단'!$A852&amp;""),P853)</f>
        <v/>
      </c>
      <c r="Q854">
        <f>'입력_구리근무자명단'!$B852&amp;""</f>
        <v/>
      </c>
      <c r="R854">
        <f>IF($E$2="","",TRIM(INDEX('입력_구리근무자명단'!$A852:$ZZ852,1,$E$2+IF($G$2="확정",1,0))&amp;""))</f>
        <v/>
      </c>
      <c r="S854">
        <f>IF($R854="","",IF(INDEX('입력_구리근무자명단'!$A852:$ZZ852,1,$E$2+2)&amp;""="",급여기준월,IF(ISNUMBER(INDEX('입력_구리근무자명단'!$A852:$ZZ852,1,$E$2+2)),INDEX('입력_구리근무자명단'!$A852:$ZZ852,1,$E$2+2),IFERROR(DATE(VALUE(LEFT(INDEX('입력_구리근무자명단'!$A852:$ZZ852,1,$E$2+2),4)),VALUE(MID(INDEX('입력_구리근무자명단'!$A852:$ZZ852,1,$E$2+2),6,2)),VALUE(MID(INDEX('입력_구리근무자명단'!$A852:$ZZ852,1,$E$2+2),9,2))),-1))))</f>
        <v/>
      </c>
      <c r="T854">
        <f>IF($R854="","",IF(INDEX('입력_구리근무자명단'!$A852:$ZZ852,1,$E$2+3)&amp;""="",EOMONTH(급여기준월,0),IF(ISNUMBER(INDEX('입력_구리근무자명단'!$A852:$ZZ852,1,$E$2+3)),INDEX('입력_구리근무자명단'!$A852:$ZZ852,1,$E$2+3),IFERROR(DATE(VALUE(LEFT(INDEX('입력_구리근무자명단'!$A852:$ZZ852,1,$E$2+3),4)),VALUE(MID(INDEX('입력_구리근무자명단'!$A852:$ZZ852,1,$E$2+3),6,2)),VALUE(MID(INDEX('입력_구리근무자명단'!$A852:$ZZ852,1,$E$2+3),9,2))),-1))))</f>
        <v/>
      </c>
      <c r="U854">
        <f>IF($R854="","",IF(OR($S854&lt;0,$T854&lt;0),0,MAX(0,MIN($T854,EOMONTH(급여기준월,0))-MAX($S854,급여기준월)+1)))</f>
        <v/>
      </c>
      <c r="V854">
        <f>IF($R854="","",TRIM(INDEX('입력_구리근무자명단'!$A852:$ZZ852,1,$E$2+5)&amp;""))</f>
        <v/>
      </c>
      <c r="W854">
        <f>IF(ISNUMBER(SEARCH("구리독자",$V854)),"구리독자","")</f>
        <v/>
      </c>
      <c r="X854">
        <f>IF($R854="","",$R854&amp;"|"&amp;IF(OR($Q854="인턴",ISNUMBER(SEARCH("수련교육부",$P854))),"인턴",$P854))</f>
        <v/>
      </c>
      <c r="Y854">
        <f>IF($R854="","",IF(COUNTIF(명단표[이름|과],$X854)=1,"명단 일치",IF(AND(COUNTIF(명단표[이름|과],$X854)=0,COUNTIF(명단표[이름],$R854)=1),"명단 일치(이름만, 과 다름)",IF(COUNTIF(명단표[이름],$R854)=0,IF(COUNTIF(기본자료표[이름],$R854)&gt;0,"명단에 없음(기본자료에는 있음)","명단에 없음"),"동명이인 확인"))))</f>
        <v/>
      </c>
      <c r="Z854">
        <f>IF($R854="","",IF($S854&lt;0,"⚠"&amp;INDEX('입력_구리근무자명단'!$A852:$ZZ852,1,$E$2+2),TEXT($S854,"yyyy-mm-dd")))</f>
        <v/>
      </c>
      <c r="AA854">
        <f>IF($R854="","",IF($T854&lt;0,"⚠"&amp;INDEX('입력_구리근무자명단'!$A852:$ZZ852,1,$E$2+3),TEXT($T854,"yyyy-mm-dd")))</f>
        <v/>
      </c>
      <c r="AB854">
        <f>AB853+IF($R854="",0,1)</f>
        <v/>
      </c>
      <c r="AC854">
        <f>IF($R854="","",$AB854)</f>
        <v/>
      </c>
    </row>
    <row r="855">
      <c r="O855">
        <f>853</f>
        <v/>
      </c>
      <c r="P855">
        <f>IF(TRIM('입력_구리근무자명단'!$A853&amp;"")&lt;&gt;"",TRIM('입력_구리근무자명단'!$A853&amp;""),P854)</f>
        <v/>
      </c>
      <c r="Q855">
        <f>'입력_구리근무자명단'!$B853&amp;""</f>
        <v/>
      </c>
      <c r="R855">
        <f>IF($E$2="","",TRIM(INDEX('입력_구리근무자명단'!$A853:$ZZ853,1,$E$2+IF($G$2="확정",1,0))&amp;""))</f>
        <v/>
      </c>
      <c r="S855">
        <f>IF($R855="","",IF(INDEX('입력_구리근무자명단'!$A853:$ZZ853,1,$E$2+2)&amp;""="",급여기준월,IF(ISNUMBER(INDEX('입력_구리근무자명단'!$A853:$ZZ853,1,$E$2+2)),INDEX('입력_구리근무자명단'!$A853:$ZZ853,1,$E$2+2),IFERROR(DATE(VALUE(LEFT(INDEX('입력_구리근무자명단'!$A853:$ZZ853,1,$E$2+2),4)),VALUE(MID(INDEX('입력_구리근무자명단'!$A853:$ZZ853,1,$E$2+2),6,2)),VALUE(MID(INDEX('입력_구리근무자명단'!$A853:$ZZ853,1,$E$2+2),9,2))),-1))))</f>
        <v/>
      </c>
      <c r="T855">
        <f>IF($R855="","",IF(INDEX('입력_구리근무자명단'!$A853:$ZZ853,1,$E$2+3)&amp;""="",EOMONTH(급여기준월,0),IF(ISNUMBER(INDEX('입력_구리근무자명단'!$A853:$ZZ853,1,$E$2+3)),INDEX('입력_구리근무자명단'!$A853:$ZZ853,1,$E$2+3),IFERROR(DATE(VALUE(LEFT(INDEX('입력_구리근무자명단'!$A853:$ZZ853,1,$E$2+3),4)),VALUE(MID(INDEX('입력_구리근무자명단'!$A853:$ZZ853,1,$E$2+3),6,2)),VALUE(MID(INDEX('입력_구리근무자명단'!$A853:$ZZ853,1,$E$2+3),9,2))),-1))))</f>
        <v/>
      </c>
      <c r="U855">
        <f>IF($R855="","",IF(OR($S855&lt;0,$T855&lt;0),0,MAX(0,MIN($T855,EOMONTH(급여기준월,0))-MAX($S855,급여기준월)+1)))</f>
        <v/>
      </c>
      <c r="V855">
        <f>IF($R855="","",TRIM(INDEX('입력_구리근무자명단'!$A853:$ZZ853,1,$E$2+5)&amp;""))</f>
        <v/>
      </c>
      <c r="W855">
        <f>IF(ISNUMBER(SEARCH("구리독자",$V855)),"구리독자","")</f>
        <v/>
      </c>
      <c r="X855">
        <f>IF($R855="","",$R855&amp;"|"&amp;IF(OR($Q855="인턴",ISNUMBER(SEARCH("수련교육부",$P855))),"인턴",$P855))</f>
        <v/>
      </c>
      <c r="Y855">
        <f>IF($R855="","",IF(COUNTIF(명단표[이름|과],$X855)=1,"명단 일치",IF(AND(COUNTIF(명단표[이름|과],$X855)=0,COUNTIF(명단표[이름],$R855)=1),"명단 일치(이름만, 과 다름)",IF(COUNTIF(명단표[이름],$R855)=0,IF(COUNTIF(기본자료표[이름],$R855)&gt;0,"명단에 없음(기본자료에는 있음)","명단에 없음"),"동명이인 확인"))))</f>
        <v/>
      </c>
      <c r="Z855">
        <f>IF($R855="","",IF($S855&lt;0,"⚠"&amp;INDEX('입력_구리근무자명단'!$A853:$ZZ853,1,$E$2+2),TEXT($S855,"yyyy-mm-dd")))</f>
        <v/>
      </c>
      <c r="AA855">
        <f>IF($R855="","",IF($T855&lt;0,"⚠"&amp;INDEX('입력_구리근무자명단'!$A853:$ZZ853,1,$E$2+3),TEXT($T855,"yyyy-mm-dd")))</f>
        <v/>
      </c>
      <c r="AB855">
        <f>AB854+IF($R855="",0,1)</f>
        <v/>
      </c>
      <c r="AC855">
        <f>IF($R855="","",$AB855)</f>
        <v/>
      </c>
    </row>
    <row r="856">
      <c r="O856">
        <f>854</f>
        <v/>
      </c>
      <c r="P856">
        <f>IF(TRIM('입력_구리근무자명단'!$A854&amp;"")&lt;&gt;"",TRIM('입력_구리근무자명단'!$A854&amp;""),P855)</f>
        <v/>
      </c>
      <c r="Q856">
        <f>'입력_구리근무자명단'!$B854&amp;""</f>
        <v/>
      </c>
      <c r="R856">
        <f>IF($E$2="","",TRIM(INDEX('입력_구리근무자명단'!$A854:$ZZ854,1,$E$2+IF($G$2="확정",1,0))&amp;""))</f>
        <v/>
      </c>
      <c r="S856">
        <f>IF($R856="","",IF(INDEX('입력_구리근무자명단'!$A854:$ZZ854,1,$E$2+2)&amp;""="",급여기준월,IF(ISNUMBER(INDEX('입력_구리근무자명단'!$A854:$ZZ854,1,$E$2+2)),INDEX('입력_구리근무자명단'!$A854:$ZZ854,1,$E$2+2),IFERROR(DATE(VALUE(LEFT(INDEX('입력_구리근무자명단'!$A854:$ZZ854,1,$E$2+2),4)),VALUE(MID(INDEX('입력_구리근무자명단'!$A854:$ZZ854,1,$E$2+2),6,2)),VALUE(MID(INDEX('입력_구리근무자명단'!$A854:$ZZ854,1,$E$2+2),9,2))),-1))))</f>
        <v/>
      </c>
      <c r="T856">
        <f>IF($R856="","",IF(INDEX('입력_구리근무자명단'!$A854:$ZZ854,1,$E$2+3)&amp;""="",EOMONTH(급여기준월,0),IF(ISNUMBER(INDEX('입력_구리근무자명단'!$A854:$ZZ854,1,$E$2+3)),INDEX('입력_구리근무자명단'!$A854:$ZZ854,1,$E$2+3),IFERROR(DATE(VALUE(LEFT(INDEX('입력_구리근무자명단'!$A854:$ZZ854,1,$E$2+3),4)),VALUE(MID(INDEX('입력_구리근무자명단'!$A854:$ZZ854,1,$E$2+3),6,2)),VALUE(MID(INDEX('입력_구리근무자명단'!$A854:$ZZ854,1,$E$2+3),9,2))),-1))))</f>
        <v/>
      </c>
      <c r="U856">
        <f>IF($R856="","",IF(OR($S856&lt;0,$T856&lt;0),0,MAX(0,MIN($T856,EOMONTH(급여기준월,0))-MAX($S856,급여기준월)+1)))</f>
        <v/>
      </c>
      <c r="V856">
        <f>IF($R856="","",TRIM(INDEX('입력_구리근무자명단'!$A854:$ZZ854,1,$E$2+5)&amp;""))</f>
        <v/>
      </c>
      <c r="W856">
        <f>IF(ISNUMBER(SEARCH("구리독자",$V856)),"구리독자","")</f>
        <v/>
      </c>
      <c r="X856">
        <f>IF($R856="","",$R856&amp;"|"&amp;IF(OR($Q856="인턴",ISNUMBER(SEARCH("수련교육부",$P856))),"인턴",$P856))</f>
        <v/>
      </c>
      <c r="Y856">
        <f>IF($R856="","",IF(COUNTIF(명단표[이름|과],$X856)=1,"명단 일치",IF(AND(COUNTIF(명단표[이름|과],$X856)=0,COUNTIF(명단표[이름],$R856)=1),"명단 일치(이름만, 과 다름)",IF(COUNTIF(명단표[이름],$R856)=0,IF(COUNTIF(기본자료표[이름],$R856)&gt;0,"명단에 없음(기본자료에는 있음)","명단에 없음"),"동명이인 확인"))))</f>
        <v/>
      </c>
      <c r="Z856">
        <f>IF($R856="","",IF($S856&lt;0,"⚠"&amp;INDEX('입력_구리근무자명단'!$A854:$ZZ854,1,$E$2+2),TEXT($S856,"yyyy-mm-dd")))</f>
        <v/>
      </c>
      <c r="AA856">
        <f>IF($R856="","",IF($T856&lt;0,"⚠"&amp;INDEX('입력_구리근무자명단'!$A854:$ZZ854,1,$E$2+3),TEXT($T856,"yyyy-mm-dd")))</f>
        <v/>
      </c>
      <c r="AB856">
        <f>AB855+IF($R856="",0,1)</f>
        <v/>
      </c>
      <c r="AC856">
        <f>IF($R856="","",$AB856)</f>
        <v/>
      </c>
    </row>
    <row r="857">
      <c r="O857">
        <f>855</f>
        <v/>
      </c>
      <c r="P857">
        <f>IF(TRIM('입력_구리근무자명단'!$A855&amp;"")&lt;&gt;"",TRIM('입력_구리근무자명단'!$A855&amp;""),P856)</f>
        <v/>
      </c>
      <c r="Q857">
        <f>'입력_구리근무자명단'!$B855&amp;""</f>
        <v/>
      </c>
      <c r="R857">
        <f>IF($E$2="","",TRIM(INDEX('입력_구리근무자명단'!$A855:$ZZ855,1,$E$2+IF($G$2="확정",1,0))&amp;""))</f>
        <v/>
      </c>
      <c r="S857">
        <f>IF($R857="","",IF(INDEX('입력_구리근무자명단'!$A855:$ZZ855,1,$E$2+2)&amp;""="",급여기준월,IF(ISNUMBER(INDEX('입력_구리근무자명단'!$A855:$ZZ855,1,$E$2+2)),INDEX('입력_구리근무자명단'!$A855:$ZZ855,1,$E$2+2),IFERROR(DATE(VALUE(LEFT(INDEX('입력_구리근무자명단'!$A855:$ZZ855,1,$E$2+2),4)),VALUE(MID(INDEX('입력_구리근무자명단'!$A855:$ZZ855,1,$E$2+2),6,2)),VALUE(MID(INDEX('입력_구리근무자명단'!$A855:$ZZ855,1,$E$2+2),9,2))),-1))))</f>
        <v/>
      </c>
      <c r="T857">
        <f>IF($R857="","",IF(INDEX('입력_구리근무자명단'!$A855:$ZZ855,1,$E$2+3)&amp;""="",EOMONTH(급여기준월,0),IF(ISNUMBER(INDEX('입력_구리근무자명단'!$A855:$ZZ855,1,$E$2+3)),INDEX('입력_구리근무자명단'!$A855:$ZZ855,1,$E$2+3),IFERROR(DATE(VALUE(LEFT(INDEX('입력_구리근무자명단'!$A855:$ZZ855,1,$E$2+3),4)),VALUE(MID(INDEX('입력_구리근무자명단'!$A855:$ZZ855,1,$E$2+3),6,2)),VALUE(MID(INDEX('입력_구리근무자명단'!$A855:$ZZ855,1,$E$2+3),9,2))),-1))))</f>
        <v/>
      </c>
      <c r="U857">
        <f>IF($R857="","",IF(OR($S857&lt;0,$T857&lt;0),0,MAX(0,MIN($T857,EOMONTH(급여기준월,0))-MAX($S857,급여기준월)+1)))</f>
        <v/>
      </c>
      <c r="V857">
        <f>IF($R857="","",TRIM(INDEX('입력_구리근무자명단'!$A855:$ZZ855,1,$E$2+5)&amp;""))</f>
        <v/>
      </c>
      <c r="W857">
        <f>IF(ISNUMBER(SEARCH("구리독자",$V857)),"구리독자","")</f>
        <v/>
      </c>
      <c r="X857">
        <f>IF($R857="","",$R857&amp;"|"&amp;IF(OR($Q857="인턴",ISNUMBER(SEARCH("수련교육부",$P857))),"인턴",$P857))</f>
        <v/>
      </c>
      <c r="Y857">
        <f>IF($R857="","",IF(COUNTIF(명단표[이름|과],$X857)=1,"명단 일치",IF(AND(COUNTIF(명단표[이름|과],$X857)=0,COUNTIF(명단표[이름],$R857)=1),"명단 일치(이름만, 과 다름)",IF(COUNTIF(명단표[이름],$R857)=0,IF(COUNTIF(기본자료표[이름],$R857)&gt;0,"명단에 없음(기본자료에는 있음)","명단에 없음"),"동명이인 확인"))))</f>
        <v/>
      </c>
      <c r="Z857">
        <f>IF($R857="","",IF($S857&lt;0,"⚠"&amp;INDEX('입력_구리근무자명단'!$A855:$ZZ855,1,$E$2+2),TEXT($S857,"yyyy-mm-dd")))</f>
        <v/>
      </c>
      <c r="AA857">
        <f>IF($R857="","",IF($T857&lt;0,"⚠"&amp;INDEX('입력_구리근무자명단'!$A855:$ZZ855,1,$E$2+3),TEXT($T857,"yyyy-mm-dd")))</f>
        <v/>
      </c>
      <c r="AB857">
        <f>AB856+IF($R857="",0,1)</f>
        <v/>
      </c>
      <c r="AC857">
        <f>IF($R857="","",$AB857)</f>
        <v/>
      </c>
    </row>
    <row r="858">
      <c r="O858">
        <f>856</f>
        <v/>
      </c>
      <c r="P858">
        <f>IF(TRIM('입력_구리근무자명단'!$A856&amp;"")&lt;&gt;"",TRIM('입력_구리근무자명단'!$A856&amp;""),P857)</f>
        <v/>
      </c>
      <c r="Q858">
        <f>'입력_구리근무자명단'!$B856&amp;""</f>
        <v/>
      </c>
      <c r="R858">
        <f>IF($E$2="","",TRIM(INDEX('입력_구리근무자명단'!$A856:$ZZ856,1,$E$2+IF($G$2="확정",1,0))&amp;""))</f>
        <v/>
      </c>
      <c r="S858">
        <f>IF($R858="","",IF(INDEX('입력_구리근무자명단'!$A856:$ZZ856,1,$E$2+2)&amp;""="",급여기준월,IF(ISNUMBER(INDEX('입력_구리근무자명단'!$A856:$ZZ856,1,$E$2+2)),INDEX('입력_구리근무자명단'!$A856:$ZZ856,1,$E$2+2),IFERROR(DATE(VALUE(LEFT(INDEX('입력_구리근무자명단'!$A856:$ZZ856,1,$E$2+2),4)),VALUE(MID(INDEX('입력_구리근무자명단'!$A856:$ZZ856,1,$E$2+2),6,2)),VALUE(MID(INDEX('입력_구리근무자명단'!$A856:$ZZ856,1,$E$2+2),9,2))),-1))))</f>
        <v/>
      </c>
      <c r="T858">
        <f>IF($R858="","",IF(INDEX('입력_구리근무자명단'!$A856:$ZZ856,1,$E$2+3)&amp;""="",EOMONTH(급여기준월,0),IF(ISNUMBER(INDEX('입력_구리근무자명단'!$A856:$ZZ856,1,$E$2+3)),INDEX('입력_구리근무자명단'!$A856:$ZZ856,1,$E$2+3),IFERROR(DATE(VALUE(LEFT(INDEX('입력_구리근무자명단'!$A856:$ZZ856,1,$E$2+3),4)),VALUE(MID(INDEX('입력_구리근무자명단'!$A856:$ZZ856,1,$E$2+3),6,2)),VALUE(MID(INDEX('입력_구리근무자명단'!$A856:$ZZ856,1,$E$2+3),9,2))),-1))))</f>
        <v/>
      </c>
      <c r="U858">
        <f>IF($R858="","",IF(OR($S858&lt;0,$T858&lt;0),0,MAX(0,MIN($T858,EOMONTH(급여기준월,0))-MAX($S858,급여기준월)+1)))</f>
        <v/>
      </c>
      <c r="V858">
        <f>IF($R858="","",TRIM(INDEX('입력_구리근무자명단'!$A856:$ZZ856,1,$E$2+5)&amp;""))</f>
        <v/>
      </c>
      <c r="W858">
        <f>IF(ISNUMBER(SEARCH("구리독자",$V858)),"구리독자","")</f>
        <v/>
      </c>
      <c r="X858">
        <f>IF($R858="","",$R858&amp;"|"&amp;IF(OR($Q858="인턴",ISNUMBER(SEARCH("수련교육부",$P858))),"인턴",$P858))</f>
        <v/>
      </c>
      <c r="Y858">
        <f>IF($R858="","",IF(COUNTIF(명단표[이름|과],$X858)=1,"명단 일치",IF(AND(COUNTIF(명단표[이름|과],$X858)=0,COUNTIF(명단표[이름],$R858)=1),"명단 일치(이름만, 과 다름)",IF(COUNTIF(명단표[이름],$R858)=0,IF(COUNTIF(기본자료표[이름],$R858)&gt;0,"명단에 없음(기본자료에는 있음)","명단에 없음"),"동명이인 확인"))))</f>
        <v/>
      </c>
      <c r="Z858">
        <f>IF($R858="","",IF($S858&lt;0,"⚠"&amp;INDEX('입력_구리근무자명단'!$A856:$ZZ856,1,$E$2+2),TEXT($S858,"yyyy-mm-dd")))</f>
        <v/>
      </c>
      <c r="AA858">
        <f>IF($R858="","",IF($T858&lt;0,"⚠"&amp;INDEX('입력_구리근무자명단'!$A856:$ZZ856,1,$E$2+3),TEXT($T858,"yyyy-mm-dd")))</f>
        <v/>
      </c>
      <c r="AB858">
        <f>AB857+IF($R858="",0,1)</f>
        <v/>
      </c>
      <c r="AC858">
        <f>IF($R858="","",$AB858)</f>
        <v/>
      </c>
    </row>
    <row r="859">
      <c r="O859">
        <f>857</f>
        <v/>
      </c>
      <c r="P859">
        <f>IF(TRIM('입력_구리근무자명단'!$A857&amp;"")&lt;&gt;"",TRIM('입력_구리근무자명단'!$A857&amp;""),P858)</f>
        <v/>
      </c>
      <c r="Q859">
        <f>'입력_구리근무자명단'!$B857&amp;""</f>
        <v/>
      </c>
      <c r="R859">
        <f>IF($E$2="","",TRIM(INDEX('입력_구리근무자명단'!$A857:$ZZ857,1,$E$2+IF($G$2="확정",1,0))&amp;""))</f>
        <v/>
      </c>
      <c r="S859">
        <f>IF($R859="","",IF(INDEX('입력_구리근무자명단'!$A857:$ZZ857,1,$E$2+2)&amp;""="",급여기준월,IF(ISNUMBER(INDEX('입력_구리근무자명단'!$A857:$ZZ857,1,$E$2+2)),INDEX('입력_구리근무자명단'!$A857:$ZZ857,1,$E$2+2),IFERROR(DATE(VALUE(LEFT(INDEX('입력_구리근무자명단'!$A857:$ZZ857,1,$E$2+2),4)),VALUE(MID(INDEX('입력_구리근무자명단'!$A857:$ZZ857,1,$E$2+2),6,2)),VALUE(MID(INDEX('입력_구리근무자명단'!$A857:$ZZ857,1,$E$2+2),9,2))),-1))))</f>
        <v/>
      </c>
      <c r="T859">
        <f>IF($R859="","",IF(INDEX('입력_구리근무자명단'!$A857:$ZZ857,1,$E$2+3)&amp;""="",EOMONTH(급여기준월,0),IF(ISNUMBER(INDEX('입력_구리근무자명단'!$A857:$ZZ857,1,$E$2+3)),INDEX('입력_구리근무자명단'!$A857:$ZZ857,1,$E$2+3),IFERROR(DATE(VALUE(LEFT(INDEX('입력_구리근무자명단'!$A857:$ZZ857,1,$E$2+3),4)),VALUE(MID(INDEX('입력_구리근무자명단'!$A857:$ZZ857,1,$E$2+3),6,2)),VALUE(MID(INDEX('입력_구리근무자명단'!$A857:$ZZ857,1,$E$2+3),9,2))),-1))))</f>
        <v/>
      </c>
      <c r="U859">
        <f>IF($R859="","",IF(OR($S859&lt;0,$T859&lt;0),0,MAX(0,MIN($T859,EOMONTH(급여기준월,0))-MAX($S859,급여기준월)+1)))</f>
        <v/>
      </c>
      <c r="V859">
        <f>IF($R859="","",TRIM(INDEX('입력_구리근무자명단'!$A857:$ZZ857,1,$E$2+5)&amp;""))</f>
        <v/>
      </c>
      <c r="W859">
        <f>IF(ISNUMBER(SEARCH("구리독자",$V859)),"구리독자","")</f>
        <v/>
      </c>
      <c r="X859">
        <f>IF($R859="","",$R859&amp;"|"&amp;IF(OR($Q859="인턴",ISNUMBER(SEARCH("수련교육부",$P859))),"인턴",$P859))</f>
        <v/>
      </c>
      <c r="Y859">
        <f>IF($R859="","",IF(COUNTIF(명단표[이름|과],$X859)=1,"명단 일치",IF(AND(COUNTIF(명단표[이름|과],$X859)=0,COUNTIF(명단표[이름],$R859)=1),"명단 일치(이름만, 과 다름)",IF(COUNTIF(명단표[이름],$R859)=0,IF(COUNTIF(기본자료표[이름],$R859)&gt;0,"명단에 없음(기본자료에는 있음)","명단에 없음"),"동명이인 확인"))))</f>
        <v/>
      </c>
      <c r="Z859">
        <f>IF($R859="","",IF($S859&lt;0,"⚠"&amp;INDEX('입력_구리근무자명단'!$A857:$ZZ857,1,$E$2+2),TEXT($S859,"yyyy-mm-dd")))</f>
        <v/>
      </c>
      <c r="AA859">
        <f>IF($R859="","",IF($T859&lt;0,"⚠"&amp;INDEX('입력_구리근무자명단'!$A857:$ZZ857,1,$E$2+3),TEXT($T859,"yyyy-mm-dd")))</f>
        <v/>
      </c>
      <c r="AB859">
        <f>AB858+IF($R859="",0,1)</f>
        <v/>
      </c>
      <c r="AC859">
        <f>IF($R859="","",$AB859)</f>
        <v/>
      </c>
    </row>
    <row r="860">
      <c r="O860">
        <f>858</f>
        <v/>
      </c>
      <c r="P860">
        <f>IF(TRIM('입력_구리근무자명단'!$A858&amp;"")&lt;&gt;"",TRIM('입력_구리근무자명단'!$A858&amp;""),P859)</f>
        <v/>
      </c>
      <c r="Q860">
        <f>'입력_구리근무자명단'!$B858&amp;""</f>
        <v/>
      </c>
      <c r="R860">
        <f>IF($E$2="","",TRIM(INDEX('입력_구리근무자명단'!$A858:$ZZ858,1,$E$2+IF($G$2="확정",1,0))&amp;""))</f>
        <v/>
      </c>
      <c r="S860">
        <f>IF($R860="","",IF(INDEX('입력_구리근무자명단'!$A858:$ZZ858,1,$E$2+2)&amp;""="",급여기준월,IF(ISNUMBER(INDEX('입력_구리근무자명단'!$A858:$ZZ858,1,$E$2+2)),INDEX('입력_구리근무자명단'!$A858:$ZZ858,1,$E$2+2),IFERROR(DATE(VALUE(LEFT(INDEX('입력_구리근무자명단'!$A858:$ZZ858,1,$E$2+2),4)),VALUE(MID(INDEX('입력_구리근무자명단'!$A858:$ZZ858,1,$E$2+2),6,2)),VALUE(MID(INDEX('입력_구리근무자명단'!$A858:$ZZ858,1,$E$2+2),9,2))),-1))))</f>
        <v/>
      </c>
      <c r="T860">
        <f>IF($R860="","",IF(INDEX('입력_구리근무자명단'!$A858:$ZZ858,1,$E$2+3)&amp;""="",EOMONTH(급여기준월,0),IF(ISNUMBER(INDEX('입력_구리근무자명단'!$A858:$ZZ858,1,$E$2+3)),INDEX('입력_구리근무자명단'!$A858:$ZZ858,1,$E$2+3),IFERROR(DATE(VALUE(LEFT(INDEX('입력_구리근무자명단'!$A858:$ZZ858,1,$E$2+3),4)),VALUE(MID(INDEX('입력_구리근무자명단'!$A858:$ZZ858,1,$E$2+3),6,2)),VALUE(MID(INDEX('입력_구리근무자명단'!$A858:$ZZ858,1,$E$2+3),9,2))),-1))))</f>
        <v/>
      </c>
      <c r="U860">
        <f>IF($R860="","",IF(OR($S860&lt;0,$T860&lt;0),0,MAX(0,MIN($T860,EOMONTH(급여기준월,0))-MAX($S860,급여기준월)+1)))</f>
        <v/>
      </c>
      <c r="V860">
        <f>IF($R860="","",TRIM(INDEX('입력_구리근무자명단'!$A858:$ZZ858,1,$E$2+5)&amp;""))</f>
        <v/>
      </c>
      <c r="W860">
        <f>IF(ISNUMBER(SEARCH("구리독자",$V860)),"구리독자","")</f>
        <v/>
      </c>
      <c r="X860">
        <f>IF($R860="","",$R860&amp;"|"&amp;IF(OR($Q860="인턴",ISNUMBER(SEARCH("수련교육부",$P860))),"인턴",$P860))</f>
        <v/>
      </c>
      <c r="Y860">
        <f>IF($R860="","",IF(COUNTIF(명단표[이름|과],$X860)=1,"명단 일치",IF(AND(COUNTIF(명단표[이름|과],$X860)=0,COUNTIF(명단표[이름],$R860)=1),"명단 일치(이름만, 과 다름)",IF(COUNTIF(명단표[이름],$R860)=0,IF(COUNTIF(기본자료표[이름],$R860)&gt;0,"명단에 없음(기본자료에는 있음)","명단에 없음"),"동명이인 확인"))))</f>
        <v/>
      </c>
      <c r="Z860">
        <f>IF($R860="","",IF($S860&lt;0,"⚠"&amp;INDEX('입력_구리근무자명단'!$A858:$ZZ858,1,$E$2+2),TEXT($S860,"yyyy-mm-dd")))</f>
        <v/>
      </c>
      <c r="AA860">
        <f>IF($R860="","",IF($T860&lt;0,"⚠"&amp;INDEX('입력_구리근무자명단'!$A858:$ZZ858,1,$E$2+3),TEXT($T860,"yyyy-mm-dd")))</f>
        <v/>
      </c>
      <c r="AB860">
        <f>AB859+IF($R860="",0,1)</f>
        <v/>
      </c>
      <c r="AC860">
        <f>IF($R860="","",$AB860)</f>
        <v/>
      </c>
    </row>
    <row r="861">
      <c r="O861">
        <f>859</f>
        <v/>
      </c>
      <c r="P861">
        <f>IF(TRIM('입력_구리근무자명단'!$A859&amp;"")&lt;&gt;"",TRIM('입력_구리근무자명단'!$A859&amp;""),P860)</f>
        <v/>
      </c>
      <c r="Q861">
        <f>'입력_구리근무자명단'!$B859&amp;""</f>
        <v/>
      </c>
      <c r="R861">
        <f>IF($E$2="","",TRIM(INDEX('입력_구리근무자명단'!$A859:$ZZ859,1,$E$2+IF($G$2="확정",1,0))&amp;""))</f>
        <v/>
      </c>
      <c r="S861">
        <f>IF($R861="","",IF(INDEX('입력_구리근무자명단'!$A859:$ZZ859,1,$E$2+2)&amp;""="",급여기준월,IF(ISNUMBER(INDEX('입력_구리근무자명단'!$A859:$ZZ859,1,$E$2+2)),INDEX('입력_구리근무자명단'!$A859:$ZZ859,1,$E$2+2),IFERROR(DATE(VALUE(LEFT(INDEX('입력_구리근무자명단'!$A859:$ZZ859,1,$E$2+2),4)),VALUE(MID(INDEX('입력_구리근무자명단'!$A859:$ZZ859,1,$E$2+2),6,2)),VALUE(MID(INDEX('입력_구리근무자명단'!$A859:$ZZ859,1,$E$2+2),9,2))),-1))))</f>
        <v/>
      </c>
      <c r="T861">
        <f>IF($R861="","",IF(INDEX('입력_구리근무자명단'!$A859:$ZZ859,1,$E$2+3)&amp;""="",EOMONTH(급여기준월,0),IF(ISNUMBER(INDEX('입력_구리근무자명단'!$A859:$ZZ859,1,$E$2+3)),INDEX('입력_구리근무자명단'!$A859:$ZZ859,1,$E$2+3),IFERROR(DATE(VALUE(LEFT(INDEX('입력_구리근무자명단'!$A859:$ZZ859,1,$E$2+3),4)),VALUE(MID(INDEX('입력_구리근무자명단'!$A859:$ZZ859,1,$E$2+3),6,2)),VALUE(MID(INDEX('입력_구리근무자명단'!$A859:$ZZ859,1,$E$2+3),9,2))),-1))))</f>
        <v/>
      </c>
      <c r="U861">
        <f>IF($R861="","",IF(OR($S861&lt;0,$T861&lt;0),0,MAX(0,MIN($T861,EOMONTH(급여기준월,0))-MAX($S861,급여기준월)+1)))</f>
        <v/>
      </c>
      <c r="V861">
        <f>IF($R861="","",TRIM(INDEX('입력_구리근무자명단'!$A859:$ZZ859,1,$E$2+5)&amp;""))</f>
        <v/>
      </c>
      <c r="W861">
        <f>IF(ISNUMBER(SEARCH("구리독자",$V861)),"구리독자","")</f>
        <v/>
      </c>
      <c r="X861">
        <f>IF($R861="","",$R861&amp;"|"&amp;IF(OR($Q861="인턴",ISNUMBER(SEARCH("수련교육부",$P861))),"인턴",$P861))</f>
        <v/>
      </c>
      <c r="Y861">
        <f>IF($R861="","",IF(COUNTIF(명단표[이름|과],$X861)=1,"명단 일치",IF(AND(COUNTIF(명단표[이름|과],$X861)=0,COUNTIF(명단표[이름],$R861)=1),"명단 일치(이름만, 과 다름)",IF(COUNTIF(명단표[이름],$R861)=0,IF(COUNTIF(기본자료표[이름],$R861)&gt;0,"명단에 없음(기본자료에는 있음)","명단에 없음"),"동명이인 확인"))))</f>
        <v/>
      </c>
      <c r="Z861">
        <f>IF($R861="","",IF($S861&lt;0,"⚠"&amp;INDEX('입력_구리근무자명단'!$A859:$ZZ859,1,$E$2+2),TEXT($S861,"yyyy-mm-dd")))</f>
        <v/>
      </c>
      <c r="AA861">
        <f>IF($R861="","",IF($T861&lt;0,"⚠"&amp;INDEX('입력_구리근무자명단'!$A859:$ZZ859,1,$E$2+3),TEXT($T861,"yyyy-mm-dd")))</f>
        <v/>
      </c>
      <c r="AB861">
        <f>AB860+IF($R861="",0,1)</f>
        <v/>
      </c>
      <c r="AC861">
        <f>IF($R861="","",$AB861)</f>
        <v/>
      </c>
    </row>
    <row r="862">
      <c r="O862">
        <f>860</f>
        <v/>
      </c>
      <c r="P862">
        <f>IF(TRIM('입력_구리근무자명단'!$A860&amp;"")&lt;&gt;"",TRIM('입력_구리근무자명단'!$A860&amp;""),P861)</f>
        <v/>
      </c>
      <c r="Q862">
        <f>'입력_구리근무자명단'!$B860&amp;""</f>
        <v/>
      </c>
      <c r="R862">
        <f>IF($E$2="","",TRIM(INDEX('입력_구리근무자명단'!$A860:$ZZ860,1,$E$2+IF($G$2="확정",1,0))&amp;""))</f>
        <v/>
      </c>
      <c r="S862">
        <f>IF($R862="","",IF(INDEX('입력_구리근무자명단'!$A860:$ZZ860,1,$E$2+2)&amp;""="",급여기준월,IF(ISNUMBER(INDEX('입력_구리근무자명단'!$A860:$ZZ860,1,$E$2+2)),INDEX('입력_구리근무자명단'!$A860:$ZZ860,1,$E$2+2),IFERROR(DATE(VALUE(LEFT(INDEX('입력_구리근무자명단'!$A860:$ZZ860,1,$E$2+2),4)),VALUE(MID(INDEX('입력_구리근무자명단'!$A860:$ZZ860,1,$E$2+2),6,2)),VALUE(MID(INDEX('입력_구리근무자명단'!$A860:$ZZ860,1,$E$2+2),9,2))),-1))))</f>
        <v/>
      </c>
      <c r="T862">
        <f>IF($R862="","",IF(INDEX('입력_구리근무자명단'!$A860:$ZZ860,1,$E$2+3)&amp;""="",EOMONTH(급여기준월,0),IF(ISNUMBER(INDEX('입력_구리근무자명단'!$A860:$ZZ860,1,$E$2+3)),INDEX('입력_구리근무자명단'!$A860:$ZZ860,1,$E$2+3),IFERROR(DATE(VALUE(LEFT(INDEX('입력_구리근무자명단'!$A860:$ZZ860,1,$E$2+3),4)),VALUE(MID(INDEX('입력_구리근무자명단'!$A860:$ZZ860,1,$E$2+3),6,2)),VALUE(MID(INDEX('입력_구리근무자명단'!$A860:$ZZ860,1,$E$2+3),9,2))),-1))))</f>
        <v/>
      </c>
      <c r="U862">
        <f>IF($R862="","",IF(OR($S862&lt;0,$T862&lt;0),0,MAX(0,MIN($T862,EOMONTH(급여기준월,0))-MAX($S862,급여기준월)+1)))</f>
        <v/>
      </c>
      <c r="V862">
        <f>IF($R862="","",TRIM(INDEX('입력_구리근무자명단'!$A860:$ZZ860,1,$E$2+5)&amp;""))</f>
        <v/>
      </c>
      <c r="W862">
        <f>IF(ISNUMBER(SEARCH("구리독자",$V862)),"구리독자","")</f>
        <v/>
      </c>
      <c r="X862">
        <f>IF($R862="","",$R862&amp;"|"&amp;IF(OR($Q862="인턴",ISNUMBER(SEARCH("수련교육부",$P862))),"인턴",$P862))</f>
        <v/>
      </c>
      <c r="Y862">
        <f>IF($R862="","",IF(COUNTIF(명단표[이름|과],$X862)=1,"명단 일치",IF(AND(COUNTIF(명단표[이름|과],$X862)=0,COUNTIF(명단표[이름],$R862)=1),"명단 일치(이름만, 과 다름)",IF(COUNTIF(명단표[이름],$R862)=0,IF(COUNTIF(기본자료표[이름],$R862)&gt;0,"명단에 없음(기본자료에는 있음)","명단에 없음"),"동명이인 확인"))))</f>
        <v/>
      </c>
      <c r="Z862">
        <f>IF($R862="","",IF($S862&lt;0,"⚠"&amp;INDEX('입력_구리근무자명단'!$A860:$ZZ860,1,$E$2+2),TEXT($S862,"yyyy-mm-dd")))</f>
        <v/>
      </c>
      <c r="AA862">
        <f>IF($R862="","",IF($T862&lt;0,"⚠"&amp;INDEX('입력_구리근무자명단'!$A860:$ZZ860,1,$E$2+3),TEXT($T862,"yyyy-mm-dd")))</f>
        <v/>
      </c>
      <c r="AB862">
        <f>AB861+IF($R862="",0,1)</f>
        <v/>
      </c>
      <c r="AC862">
        <f>IF($R862="","",$AB862)</f>
        <v/>
      </c>
    </row>
    <row r="863">
      <c r="O863">
        <f>861</f>
        <v/>
      </c>
      <c r="P863">
        <f>IF(TRIM('입력_구리근무자명단'!$A861&amp;"")&lt;&gt;"",TRIM('입력_구리근무자명단'!$A861&amp;""),P862)</f>
        <v/>
      </c>
      <c r="Q863">
        <f>'입력_구리근무자명단'!$B861&amp;""</f>
        <v/>
      </c>
      <c r="R863">
        <f>IF($E$2="","",TRIM(INDEX('입력_구리근무자명단'!$A861:$ZZ861,1,$E$2+IF($G$2="확정",1,0))&amp;""))</f>
        <v/>
      </c>
      <c r="S863">
        <f>IF($R863="","",IF(INDEX('입력_구리근무자명단'!$A861:$ZZ861,1,$E$2+2)&amp;""="",급여기준월,IF(ISNUMBER(INDEX('입력_구리근무자명단'!$A861:$ZZ861,1,$E$2+2)),INDEX('입력_구리근무자명단'!$A861:$ZZ861,1,$E$2+2),IFERROR(DATE(VALUE(LEFT(INDEX('입력_구리근무자명단'!$A861:$ZZ861,1,$E$2+2),4)),VALUE(MID(INDEX('입력_구리근무자명단'!$A861:$ZZ861,1,$E$2+2),6,2)),VALUE(MID(INDEX('입력_구리근무자명단'!$A861:$ZZ861,1,$E$2+2),9,2))),-1))))</f>
        <v/>
      </c>
      <c r="T863">
        <f>IF($R863="","",IF(INDEX('입력_구리근무자명단'!$A861:$ZZ861,1,$E$2+3)&amp;""="",EOMONTH(급여기준월,0),IF(ISNUMBER(INDEX('입력_구리근무자명단'!$A861:$ZZ861,1,$E$2+3)),INDEX('입력_구리근무자명단'!$A861:$ZZ861,1,$E$2+3),IFERROR(DATE(VALUE(LEFT(INDEX('입력_구리근무자명단'!$A861:$ZZ861,1,$E$2+3),4)),VALUE(MID(INDEX('입력_구리근무자명단'!$A861:$ZZ861,1,$E$2+3),6,2)),VALUE(MID(INDEX('입력_구리근무자명단'!$A861:$ZZ861,1,$E$2+3),9,2))),-1))))</f>
        <v/>
      </c>
      <c r="U863">
        <f>IF($R863="","",IF(OR($S863&lt;0,$T863&lt;0),0,MAX(0,MIN($T863,EOMONTH(급여기준월,0))-MAX($S863,급여기준월)+1)))</f>
        <v/>
      </c>
      <c r="V863">
        <f>IF($R863="","",TRIM(INDEX('입력_구리근무자명단'!$A861:$ZZ861,1,$E$2+5)&amp;""))</f>
        <v/>
      </c>
      <c r="W863">
        <f>IF(ISNUMBER(SEARCH("구리독자",$V863)),"구리독자","")</f>
        <v/>
      </c>
      <c r="X863">
        <f>IF($R863="","",$R863&amp;"|"&amp;IF(OR($Q863="인턴",ISNUMBER(SEARCH("수련교육부",$P863))),"인턴",$P863))</f>
        <v/>
      </c>
      <c r="Y863">
        <f>IF($R863="","",IF(COUNTIF(명단표[이름|과],$X863)=1,"명단 일치",IF(AND(COUNTIF(명단표[이름|과],$X863)=0,COUNTIF(명단표[이름],$R863)=1),"명단 일치(이름만, 과 다름)",IF(COUNTIF(명단표[이름],$R863)=0,IF(COUNTIF(기본자료표[이름],$R863)&gt;0,"명단에 없음(기본자료에는 있음)","명단에 없음"),"동명이인 확인"))))</f>
        <v/>
      </c>
      <c r="Z863">
        <f>IF($R863="","",IF($S863&lt;0,"⚠"&amp;INDEX('입력_구리근무자명단'!$A861:$ZZ861,1,$E$2+2),TEXT($S863,"yyyy-mm-dd")))</f>
        <v/>
      </c>
      <c r="AA863">
        <f>IF($R863="","",IF($T863&lt;0,"⚠"&amp;INDEX('입력_구리근무자명단'!$A861:$ZZ861,1,$E$2+3),TEXT($T863,"yyyy-mm-dd")))</f>
        <v/>
      </c>
      <c r="AB863">
        <f>AB862+IF($R863="",0,1)</f>
        <v/>
      </c>
      <c r="AC863">
        <f>IF($R863="","",$AB863)</f>
        <v/>
      </c>
    </row>
    <row r="864">
      <c r="O864">
        <f>862</f>
        <v/>
      </c>
      <c r="P864">
        <f>IF(TRIM('입력_구리근무자명단'!$A862&amp;"")&lt;&gt;"",TRIM('입력_구리근무자명단'!$A862&amp;""),P863)</f>
        <v/>
      </c>
      <c r="Q864">
        <f>'입력_구리근무자명단'!$B862&amp;""</f>
        <v/>
      </c>
      <c r="R864">
        <f>IF($E$2="","",TRIM(INDEX('입력_구리근무자명단'!$A862:$ZZ862,1,$E$2+IF($G$2="확정",1,0))&amp;""))</f>
        <v/>
      </c>
      <c r="S864">
        <f>IF($R864="","",IF(INDEX('입력_구리근무자명단'!$A862:$ZZ862,1,$E$2+2)&amp;""="",급여기준월,IF(ISNUMBER(INDEX('입력_구리근무자명단'!$A862:$ZZ862,1,$E$2+2)),INDEX('입력_구리근무자명단'!$A862:$ZZ862,1,$E$2+2),IFERROR(DATE(VALUE(LEFT(INDEX('입력_구리근무자명단'!$A862:$ZZ862,1,$E$2+2),4)),VALUE(MID(INDEX('입력_구리근무자명단'!$A862:$ZZ862,1,$E$2+2),6,2)),VALUE(MID(INDEX('입력_구리근무자명단'!$A862:$ZZ862,1,$E$2+2),9,2))),-1))))</f>
        <v/>
      </c>
      <c r="T864">
        <f>IF($R864="","",IF(INDEX('입력_구리근무자명단'!$A862:$ZZ862,1,$E$2+3)&amp;""="",EOMONTH(급여기준월,0),IF(ISNUMBER(INDEX('입력_구리근무자명단'!$A862:$ZZ862,1,$E$2+3)),INDEX('입력_구리근무자명단'!$A862:$ZZ862,1,$E$2+3),IFERROR(DATE(VALUE(LEFT(INDEX('입력_구리근무자명단'!$A862:$ZZ862,1,$E$2+3),4)),VALUE(MID(INDEX('입력_구리근무자명단'!$A862:$ZZ862,1,$E$2+3),6,2)),VALUE(MID(INDEX('입력_구리근무자명단'!$A862:$ZZ862,1,$E$2+3),9,2))),-1))))</f>
        <v/>
      </c>
      <c r="U864">
        <f>IF($R864="","",IF(OR($S864&lt;0,$T864&lt;0),0,MAX(0,MIN($T864,EOMONTH(급여기준월,0))-MAX($S864,급여기준월)+1)))</f>
        <v/>
      </c>
      <c r="V864">
        <f>IF($R864="","",TRIM(INDEX('입력_구리근무자명단'!$A862:$ZZ862,1,$E$2+5)&amp;""))</f>
        <v/>
      </c>
      <c r="W864">
        <f>IF(ISNUMBER(SEARCH("구리독자",$V864)),"구리독자","")</f>
        <v/>
      </c>
      <c r="X864">
        <f>IF($R864="","",$R864&amp;"|"&amp;IF(OR($Q864="인턴",ISNUMBER(SEARCH("수련교육부",$P864))),"인턴",$P864))</f>
        <v/>
      </c>
      <c r="Y864">
        <f>IF($R864="","",IF(COUNTIF(명단표[이름|과],$X864)=1,"명단 일치",IF(AND(COUNTIF(명단표[이름|과],$X864)=0,COUNTIF(명단표[이름],$R864)=1),"명단 일치(이름만, 과 다름)",IF(COUNTIF(명단표[이름],$R864)=0,IF(COUNTIF(기본자료표[이름],$R864)&gt;0,"명단에 없음(기본자료에는 있음)","명단에 없음"),"동명이인 확인"))))</f>
        <v/>
      </c>
      <c r="Z864">
        <f>IF($R864="","",IF($S864&lt;0,"⚠"&amp;INDEX('입력_구리근무자명단'!$A862:$ZZ862,1,$E$2+2),TEXT($S864,"yyyy-mm-dd")))</f>
        <v/>
      </c>
      <c r="AA864">
        <f>IF($R864="","",IF($T864&lt;0,"⚠"&amp;INDEX('입력_구리근무자명단'!$A862:$ZZ862,1,$E$2+3),TEXT($T864,"yyyy-mm-dd")))</f>
        <v/>
      </c>
      <c r="AB864">
        <f>AB863+IF($R864="",0,1)</f>
        <v/>
      </c>
      <c r="AC864">
        <f>IF($R864="","",$AB864)</f>
        <v/>
      </c>
    </row>
    <row r="865">
      <c r="O865">
        <f>863</f>
        <v/>
      </c>
      <c r="P865">
        <f>IF(TRIM('입력_구리근무자명단'!$A863&amp;"")&lt;&gt;"",TRIM('입력_구리근무자명단'!$A863&amp;""),P864)</f>
        <v/>
      </c>
      <c r="Q865">
        <f>'입력_구리근무자명단'!$B863&amp;""</f>
        <v/>
      </c>
      <c r="R865">
        <f>IF($E$2="","",TRIM(INDEX('입력_구리근무자명단'!$A863:$ZZ863,1,$E$2+IF($G$2="확정",1,0))&amp;""))</f>
        <v/>
      </c>
      <c r="S865">
        <f>IF($R865="","",IF(INDEX('입력_구리근무자명단'!$A863:$ZZ863,1,$E$2+2)&amp;""="",급여기준월,IF(ISNUMBER(INDEX('입력_구리근무자명단'!$A863:$ZZ863,1,$E$2+2)),INDEX('입력_구리근무자명단'!$A863:$ZZ863,1,$E$2+2),IFERROR(DATE(VALUE(LEFT(INDEX('입력_구리근무자명단'!$A863:$ZZ863,1,$E$2+2),4)),VALUE(MID(INDEX('입력_구리근무자명단'!$A863:$ZZ863,1,$E$2+2),6,2)),VALUE(MID(INDEX('입력_구리근무자명단'!$A863:$ZZ863,1,$E$2+2),9,2))),-1))))</f>
        <v/>
      </c>
      <c r="T865">
        <f>IF($R865="","",IF(INDEX('입력_구리근무자명단'!$A863:$ZZ863,1,$E$2+3)&amp;""="",EOMONTH(급여기준월,0),IF(ISNUMBER(INDEX('입력_구리근무자명단'!$A863:$ZZ863,1,$E$2+3)),INDEX('입력_구리근무자명단'!$A863:$ZZ863,1,$E$2+3),IFERROR(DATE(VALUE(LEFT(INDEX('입력_구리근무자명단'!$A863:$ZZ863,1,$E$2+3),4)),VALUE(MID(INDEX('입력_구리근무자명단'!$A863:$ZZ863,1,$E$2+3),6,2)),VALUE(MID(INDEX('입력_구리근무자명단'!$A863:$ZZ863,1,$E$2+3),9,2))),-1))))</f>
        <v/>
      </c>
      <c r="U865">
        <f>IF($R865="","",IF(OR($S865&lt;0,$T865&lt;0),0,MAX(0,MIN($T865,EOMONTH(급여기준월,0))-MAX($S865,급여기준월)+1)))</f>
        <v/>
      </c>
      <c r="V865">
        <f>IF($R865="","",TRIM(INDEX('입력_구리근무자명단'!$A863:$ZZ863,1,$E$2+5)&amp;""))</f>
        <v/>
      </c>
      <c r="W865">
        <f>IF(ISNUMBER(SEARCH("구리독자",$V865)),"구리독자","")</f>
        <v/>
      </c>
      <c r="X865">
        <f>IF($R865="","",$R865&amp;"|"&amp;IF(OR($Q865="인턴",ISNUMBER(SEARCH("수련교육부",$P865))),"인턴",$P865))</f>
        <v/>
      </c>
      <c r="Y865">
        <f>IF($R865="","",IF(COUNTIF(명단표[이름|과],$X865)=1,"명단 일치",IF(AND(COUNTIF(명단표[이름|과],$X865)=0,COUNTIF(명단표[이름],$R865)=1),"명단 일치(이름만, 과 다름)",IF(COUNTIF(명단표[이름],$R865)=0,IF(COUNTIF(기본자료표[이름],$R865)&gt;0,"명단에 없음(기본자료에는 있음)","명단에 없음"),"동명이인 확인"))))</f>
        <v/>
      </c>
      <c r="Z865">
        <f>IF($R865="","",IF($S865&lt;0,"⚠"&amp;INDEX('입력_구리근무자명단'!$A863:$ZZ863,1,$E$2+2),TEXT($S865,"yyyy-mm-dd")))</f>
        <v/>
      </c>
      <c r="AA865">
        <f>IF($R865="","",IF($T865&lt;0,"⚠"&amp;INDEX('입력_구리근무자명단'!$A863:$ZZ863,1,$E$2+3),TEXT($T865,"yyyy-mm-dd")))</f>
        <v/>
      </c>
      <c r="AB865">
        <f>AB864+IF($R865="",0,1)</f>
        <v/>
      </c>
      <c r="AC865">
        <f>IF($R865="","",$AB865)</f>
        <v/>
      </c>
    </row>
    <row r="866">
      <c r="O866">
        <f>864</f>
        <v/>
      </c>
      <c r="P866">
        <f>IF(TRIM('입력_구리근무자명단'!$A864&amp;"")&lt;&gt;"",TRIM('입력_구리근무자명단'!$A864&amp;""),P865)</f>
        <v/>
      </c>
      <c r="Q866">
        <f>'입력_구리근무자명단'!$B864&amp;""</f>
        <v/>
      </c>
      <c r="R866">
        <f>IF($E$2="","",TRIM(INDEX('입력_구리근무자명단'!$A864:$ZZ864,1,$E$2+IF($G$2="확정",1,0))&amp;""))</f>
        <v/>
      </c>
      <c r="S866">
        <f>IF($R866="","",IF(INDEX('입력_구리근무자명단'!$A864:$ZZ864,1,$E$2+2)&amp;""="",급여기준월,IF(ISNUMBER(INDEX('입력_구리근무자명단'!$A864:$ZZ864,1,$E$2+2)),INDEX('입력_구리근무자명단'!$A864:$ZZ864,1,$E$2+2),IFERROR(DATE(VALUE(LEFT(INDEX('입력_구리근무자명단'!$A864:$ZZ864,1,$E$2+2),4)),VALUE(MID(INDEX('입력_구리근무자명단'!$A864:$ZZ864,1,$E$2+2),6,2)),VALUE(MID(INDEX('입력_구리근무자명단'!$A864:$ZZ864,1,$E$2+2),9,2))),-1))))</f>
        <v/>
      </c>
      <c r="T866">
        <f>IF($R866="","",IF(INDEX('입력_구리근무자명단'!$A864:$ZZ864,1,$E$2+3)&amp;""="",EOMONTH(급여기준월,0),IF(ISNUMBER(INDEX('입력_구리근무자명단'!$A864:$ZZ864,1,$E$2+3)),INDEX('입력_구리근무자명단'!$A864:$ZZ864,1,$E$2+3),IFERROR(DATE(VALUE(LEFT(INDEX('입력_구리근무자명단'!$A864:$ZZ864,1,$E$2+3),4)),VALUE(MID(INDEX('입력_구리근무자명단'!$A864:$ZZ864,1,$E$2+3),6,2)),VALUE(MID(INDEX('입력_구리근무자명단'!$A864:$ZZ864,1,$E$2+3),9,2))),-1))))</f>
        <v/>
      </c>
      <c r="U866">
        <f>IF($R866="","",IF(OR($S866&lt;0,$T866&lt;0),0,MAX(0,MIN($T866,EOMONTH(급여기준월,0))-MAX($S866,급여기준월)+1)))</f>
        <v/>
      </c>
      <c r="V866">
        <f>IF($R866="","",TRIM(INDEX('입력_구리근무자명단'!$A864:$ZZ864,1,$E$2+5)&amp;""))</f>
        <v/>
      </c>
      <c r="W866">
        <f>IF(ISNUMBER(SEARCH("구리독자",$V866)),"구리독자","")</f>
        <v/>
      </c>
      <c r="X866">
        <f>IF($R866="","",$R866&amp;"|"&amp;IF(OR($Q866="인턴",ISNUMBER(SEARCH("수련교육부",$P866))),"인턴",$P866))</f>
        <v/>
      </c>
      <c r="Y866">
        <f>IF($R866="","",IF(COUNTIF(명단표[이름|과],$X866)=1,"명단 일치",IF(AND(COUNTIF(명단표[이름|과],$X866)=0,COUNTIF(명단표[이름],$R866)=1),"명단 일치(이름만, 과 다름)",IF(COUNTIF(명단표[이름],$R866)=0,IF(COUNTIF(기본자료표[이름],$R866)&gt;0,"명단에 없음(기본자료에는 있음)","명단에 없음"),"동명이인 확인"))))</f>
        <v/>
      </c>
      <c r="Z866">
        <f>IF($R866="","",IF($S866&lt;0,"⚠"&amp;INDEX('입력_구리근무자명단'!$A864:$ZZ864,1,$E$2+2),TEXT($S866,"yyyy-mm-dd")))</f>
        <v/>
      </c>
      <c r="AA866">
        <f>IF($R866="","",IF($T866&lt;0,"⚠"&amp;INDEX('입력_구리근무자명단'!$A864:$ZZ864,1,$E$2+3),TEXT($T866,"yyyy-mm-dd")))</f>
        <v/>
      </c>
      <c r="AB866">
        <f>AB865+IF($R866="",0,1)</f>
        <v/>
      </c>
      <c r="AC866">
        <f>IF($R866="","",$AB866)</f>
        <v/>
      </c>
    </row>
    <row r="867">
      <c r="O867">
        <f>865</f>
        <v/>
      </c>
      <c r="P867">
        <f>IF(TRIM('입력_구리근무자명단'!$A865&amp;"")&lt;&gt;"",TRIM('입력_구리근무자명단'!$A865&amp;""),P866)</f>
        <v/>
      </c>
      <c r="Q867">
        <f>'입력_구리근무자명단'!$B865&amp;""</f>
        <v/>
      </c>
      <c r="R867">
        <f>IF($E$2="","",TRIM(INDEX('입력_구리근무자명단'!$A865:$ZZ865,1,$E$2+IF($G$2="확정",1,0))&amp;""))</f>
        <v/>
      </c>
      <c r="S867">
        <f>IF($R867="","",IF(INDEX('입력_구리근무자명단'!$A865:$ZZ865,1,$E$2+2)&amp;""="",급여기준월,IF(ISNUMBER(INDEX('입력_구리근무자명단'!$A865:$ZZ865,1,$E$2+2)),INDEX('입력_구리근무자명단'!$A865:$ZZ865,1,$E$2+2),IFERROR(DATE(VALUE(LEFT(INDEX('입력_구리근무자명단'!$A865:$ZZ865,1,$E$2+2),4)),VALUE(MID(INDEX('입력_구리근무자명단'!$A865:$ZZ865,1,$E$2+2),6,2)),VALUE(MID(INDEX('입력_구리근무자명단'!$A865:$ZZ865,1,$E$2+2),9,2))),-1))))</f>
        <v/>
      </c>
      <c r="T867">
        <f>IF($R867="","",IF(INDEX('입력_구리근무자명단'!$A865:$ZZ865,1,$E$2+3)&amp;""="",EOMONTH(급여기준월,0),IF(ISNUMBER(INDEX('입력_구리근무자명단'!$A865:$ZZ865,1,$E$2+3)),INDEX('입력_구리근무자명단'!$A865:$ZZ865,1,$E$2+3),IFERROR(DATE(VALUE(LEFT(INDEX('입력_구리근무자명단'!$A865:$ZZ865,1,$E$2+3),4)),VALUE(MID(INDEX('입력_구리근무자명단'!$A865:$ZZ865,1,$E$2+3),6,2)),VALUE(MID(INDEX('입력_구리근무자명단'!$A865:$ZZ865,1,$E$2+3),9,2))),-1))))</f>
        <v/>
      </c>
      <c r="U867">
        <f>IF($R867="","",IF(OR($S867&lt;0,$T867&lt;0),0,MAX(0,MIN($T867,EOMONTH(급여기준월,0))-MAX($S867,급여기준월)+1)))</f>
        <v/>
      </c>
      <c r="V867">
        <f>IF($R867="","",TRIM(INDEX('입력_구리근무자명단'!$A865:$ZZ865,1,$E$2+5)&amp;""))</f>
        <v/>
      </c>
      <c r="W867">
        <f>IF(ISNUMBER(SEARCH("구리독자",$V867)),"구리독자","")</f>
        <v/>
      </c>
      <c r="X867">
        <f>IF($R867="","",$R867&amp;"|"&amp;IF(OR($Q867="인턴",ISNUMBER(SEARCH("수련교육부",$P867))),"인턴",$P867))</f>
        <v/>
      </c>
      <c r="Y867">
        <f>IF($R867="","",IF(COUNTIF(명단표[이름|과],$X867)=1,"명단 일치",IF(AND(COUNTIF(명단표[이름|과],$X867)=0,COUNTIF(명단표[이름],$R867)=1),"명단 일치(이름만, 과 다름)",IF(COUNTIF(명단표[이름],$R867)=0,IF(COUNTIF(기본자료표[이름],$R867)&gt;0,"명단에 없음(기본자료에는 있음)","명단에 없음"),"동명이인 확인"))))</f>
        <v/>
      </c>
      <c r="Z867">
        <f>IF($R867="","",IF($S867&lt;0,"⚠"&amp;INDEX('입력_구리근무자명단'!$A865:$ZZ865,1,$E$2+2),TEXT($S867,"yyyy-mm-dd")))</f>
        <v/>
      </c>
      <c r="AA867">
        <f>IF($R867="","",IF($T867&lt;0,"⚠"&amp;INDEX('입력_구리근무자명단'!$A865:$ZZ865,1,$E$2+3),TEXT($T867,"yyyy-mm-dd")))</f>
        <v/>
      </c>
      <c r="AB867">
        <f>AB866+IF($R867="",0,1)</f>
        <v/>
      </c>
      <c r="AC867">
        <f>IF($R867="","",$AB867)</f>
        <v/>
      </c>
    </row>
    <row r="868">
      <c r="O868">
        <f>866</f>
        <v/>
      </c>
      <c r="P868">
        <f>IF(TRIM('입력_구리근무자명단'!$A866&amp;"")&lt;&gt;"",TRIM('입력_구리근무자명단'!$A866&amp;""),P867)</f>
        <v/>
      </c>
      <c r="Q868">
        <f>'입력_구리근무자명단'!$B866&amp;""</f>
        <v/>
      </c>
      <c r="R868">
        <f>IF($E$2="","",TRIM(INDEX('입력_구리근무자명단'!$A866:$ZZ866,1,$E$2+IF($G$2="확정",1,0))&amp;""))</f>
        <v/>
      </c>
      <c r="S868">
        <f>IF($R868="","",IF(INDEX('입력_구리근무자명단'!$A866:$ZZ866,1,$E$2+2)&amp;""="",급여기준월,IF(ISNUMBER(INDEX('입력_구리근무자명단'!$A866:$ZZ866,1,$E$2+2)),INDEX('입력_구리근무자명단'!$A866:$ZZ866,1,$E$2+2),IFERROR(DATE(VALUE(LEFT(INDEX('입력_구리근무자명단'!$A866:$ZZ866,1,$E$2+2),4)),VALUE(MID(INDEX('입력_구리근무자명단'!$A866:$ZZ866,1,$E$2+2),6,2)),VALUE(MID(INDEX('입력_구리근무자명단'!$A866:$ZZ866,1,$E$2+2),9,2))),-1))))</f>
        <v/>
      </c>
      <c r="T868">
        <f>IF($R868="","",IF(INDEX('입력_구리근무자명단'!$A866:$ZZ866,1,$E$2+3)&amp;""="",EOMONTH(급여기준월,0),IF(ISNUMBER(INDEX('입력_구리근무자명단'!$A866:$ZZ866,1,$E$2+3)),INDEX('입력_구리근무자명단'!$A866:$ZZ866,1,$E$2+3),IFERROR(DATE(VALUE(LEFT(INDEX('입력_구리근무자명단'!$A866:$ZZ866,1,$E$2+3),4)),VALUE(MID(INDEX('입력_구리근무자명단'!$A866:$ZZ866,1,$E$2+3),6,2)),VALUE(MID(INDEX('입력_구리근무자명단'!$A866:$ZZ866,1,$E$2+3),9,2))),-1))))</f>
        <v/>
      </c>
      <c r="U868">
        <f>IF($R868="","",IF(OR($S868&lt;0,$T868&lt;0),0,MAX(0,MIN($T868,EOMONTH(급여기준월,0))-MAX($S868,급여기준월)+1)))</f>
        <v/>
      </c>
      <c r="V868">
        <f>IF($R868="","",TRIM(INDEX('입력_구리근무자명단'!$A866:$ZZ866,1,$E$2+5)&amp;""))</f>
        <v/>
      </c>
      <c r="W868">
        <f>IF(ISNUMBER(SEARCH("구리독자",$V868)),"구리독자","")</f>
        <v/>
      </c>
      <c r="X868">
        <f>IF($R868="","",$R868&amp;"|"&amp;IF(OR($Q868="인턴",ISNUMBER(SEARCH("수련교육부",$P868))),"인턴",$P868))</f>
        <v/>
      </c>
      <c r="Y868">
        <f>IF($R868="","",IF(COUNTIF(명단표[이름|과],$X868)=1,"명단 일치",IF(AND(COUNTIF(명단표[이름|과],$X868)=0,COUNTIF(명단표[이름],$R868)=1),"명단 일치(이름만, 과 다름)",IF(COUNTIF(명단표[이름],$R868)=0,IF(COUNTIF(기본자료표[이름],$R868)&gt;0,"명단에 없음(기본자료에는 있음)","명단에 없음"),"동명이인 확인"))))</f>
        <v/>
      </c>
      <c r="Z868">
        <f>IF($R868="","",IF($S868&lt;0,"⚠"&amp;INDEX('입력_구리근무자명단'!$A866:$ZZ866,1,$E$2+2),TEXT($S868,"yyyy-mm-dd")))</f>
        <v/>
      </c>
      <c r="AA868">
        <f>IF($R868="","",IF($T868&lt;0,"⚠"&amp;INDEX('입력_구리근무자명단'!$A866:$ZZ866,1,$E$2+3),TEXT($T868,"yyyy-mm-dd")))</f>
        <v/>
      </c>
      <c r="AB868">
        <f>AB867+IF($R868="",0,1)</f>
        <v/>
      </c>
      <c r="AC868">
        <f>IF($R868="","",$AB868)</f>
        <v/>
      </c>
    </row>
    <row r="869">
      <c r="O869">
        <f>867</f>
        <v/>
      </c>
      <c r="P869">
        <f>IF(TRIM('입력_구리근무자명단'!$A867&amp;"")&lt;&gt;"",TRIM('입력_구리근무자명단'!$A867&amp;""),P868)</f>
        <v/>
      </c>
      <c r="Q869">
        <f>'입력_구리근무자명단'!$B867&amp;""</f>
        <v/>
      </c>
      <c r="R869">
        <f>IF($E$2="","",TRIM(INDEX('입력_구리근무자명단'!$A867:$ZZ867,1,$E$2+IF($G$2="확정",1,0))&amp;""))</f>
        <v/>
      </c>
      <c r="S869">
        <f>IF($R869="","",IF(INDEX('입력_구리근무자명단'!$A867:$ZZ867,1,$E$2+2)&amp;""="",급여기준월,IF(ISNUMBER(INDEX('입력_구리근무자명단'!$A867:$ZZ867,1,$E$2+2)),INDEX('입력_구리근무자명단'!$A867:$ZZ867,1,$E$2+2),IFERROR(DATE(VALUE(LEFT(INDEX('입력_구리근무자명단'!$A867:$ZZ867,1,$E$2+2),4)),VALUE(MID(INDEX('입력_구리근무자명단'!$A867:$ZZ867,1,$E$2+2),6,2)),VALUE(MID(INDEX('입력_구리근무자명단'!$A867:$ZZ867,1,$E$2+2),9,2))),-1))))</f>
        <v/>
      </c>
      <c r="T869">
        <f>IF($R869="","",IF(INDEX('입력_구리근무자명단'!$A867:$ZZ867,1,$E$2+3)&amp;""="",EOMONTH(급여기준월,0),IF(ISNUMBER(INDEX('입력_구리근무자명단'!$A867:$ZZ867,1,$E$2+3)),INDEX('입력_구리근무자명단'!$A867:$ZZ867,1,$E$2+3),IFERROR(DATE(VALUE(LEFT(INDEX('입력_구리근무자명단'!$A867:$ZZ867,1,$E$2+3),4)),VALUE(MID(INDEX('입력_구리근무자명단'!$A867:$ZZ867,1,$E$2+3),6,2)),VALUE(MID(INDEX('입력_구리근무자명단'!$A867:$ZZ867,1,$E$2+3),9,2))),-1))))</f>
        <v/>
      </c>
      <c r="U869">
        <f>IF($R869="","",IF(OR($S869&lt;0,$T869&lt;0),0,MAX(0,MIN($T869,EOMONTH(급여기준월,0))-MAX($S869,급여기준월)+1)))</f>
        <v/>
      </c>
      <c r="V869">
        <f>IF($R869="","",TRIM(INDEX('입력_구리근무자명단'!$A867:$ZZ867,1,$E$2+5)&amp;""))</f>
        <v/>
      </c>
      <c r="W869">
        <f>IF(ISNUMBER(SEARCH("구리독자",$V869)),"구리독자","")</f>
        <v/>
      </c>
      <c r="X869">
        <f>IF($R869="","",$R869&amp;"|"&amp;IF(OR($Q869="인턴",ISNUMBER(SEARCH("수련교육부",$P869))),"인턴",$P869))</f>
        <v/>
      </c>
      <c r="Y869">
        <f>IF($R869="","",IF(COUNTIF(명단표[이름|과],$X869)=1,"명단 일치",IF(AND(COUNTIF(명단표[이름|과],$X869)=0,COUNTIF(명단표[이름],$R869)=1),"명단 일치(이름만, 과 다름)",IF(COUNTIF(명단표[이름],$R869)=0,IF(COUNTIF(기본자료표[이름],$R869)&gt;0,"명단에 없음(기본자료에는 있음)","명단에 없음"),"동명이인 확인"))))</f>
        <v/>
      </c>
      <c r="Z869">
        <f>IF($R869="","",IF($S869&lt;0,"⚠"&amp;INDEX('입력_구리근무자명단'!$A867:$ZZ867,1,$E$2+2),TEXT($S869,"yyyy-mm-dd")))</f>
        <v/>
      </c>
      <c r="AA869">
        <f>IF($R869="","",IF($T869&lt;0,"⚠"&amp;INDEX('입력_구리근무자명단'!$A867:$ZZ867,1,$E$2+3),TEXT($T869,"yyyy-mm-dd")))</f>
        <v/>
      </c>
      <c r="AB869">
        <f>AB868+IF($R869="",0,1)</f>
        <v/>
      </c>
      <c r="AC869">
        <f>IF($R869="","",$AB869)</f>
        <v/>
      </c>
    </row>
    <row r="870">
      <c r="O870">
        <f>868</f>
        <v/>
      </c>
      <c r="P870">
        <f>IF(TRIM('입력_구리근무자명단'!$A868&amp;"")&lt;&gt;"",TRIM('입력_구리근무자명단'!$A868&amp;""),P869)</f>
        <v/>
      </c>
      <c r="Q870">
        <f>'입력_구리근무자명단'!$B868&amp;""</f>
        <v/>
      </c>
      <c r="R870">
        <f>IF($E$2="","",TRIM(INDEX('입력_구리근무자명단'!$A868:$ZZ868,1,$E$2+IF($G$2="확정",1,0))&amp;""))</f>
        <v/>
      </c>
      <c r="S870">
        <f>IF($R870="","",IF(INDEX('입력_구리근무자명단'!$A868:$ZZ868,1,$E$2+2)&amp;""="",급여기준월,IF(ISNUMBER(INDEX('입력_구리근무자명단'!$A868:$ZZ868,1,$E$2+2)),INDEX('입력_구리근무자명단'!$A868:$ZZ868,1,$E$2+2),IFERROR(DATE(VALUE(LEFT(INDEX('입력_구리근무자명단'!$A868:$ZZ868,1,$E$2+2),4)),VALUE(MID(INDEX('입력_구리근무자명단'!$A868:$ZZ868,1,$E$2+2),6,2)),VALUE(MID(INDEX('입력_구리근무자명단'!$A868:$ZZ868,1,$E$2+2),9,2))),-1))))</f>
        <v/>
      </c>
      <c r="T870">
        <f>IF($R870="","",IF(INDEX('입력_구리근무자명단'!$A868:$ZZ868,1,$E$2+3)&amp;""="",EOMONTH(급여기준월,0),IF(ISNUMBER(INDEX('입력_구리근무자명단'!$A868:$ZZ868,1,$E$2+3)),INDEX('입력_구리근무자명단'!$A868:$ZZ868,1,$E$2+3),IFERROR(DATE(VALUE(LEFT(INDEX('입력_구리근무자명단'!$A868:$ZZ868,1,$E$2+3),4)),VALUE(MID(INDEX('입력_구리근무자명단'!$A868:$ZZ868,1,$E$2+3),6,2)),VALUE(MID(INDEX('입력_구리근무자명단'!$A868:$ZZ868,1,$E$2+3),9,2))),-1))))</f>
        <v/>
      </c>
      <c r="U870">
        <f>IF($R870="","",IF(OR($S870&lt;0,$T870&lt;0),0,MAX(0,MIN($T870,EOMONTH(급여기준월,0))-MAX($S870,급여기준월)+1)))</f>
        <v/>
      </c>
      <c r="V870">
        <f>IF($R870="","",TRIM(INDEX('입력_구리근무자명단'!$A868:$ZZ868,1,$E$2+5)&amp;""))</f>
        <v/>
      </c>
      <c r="W870">
        <f>IF(ISNUMBER(SEARCH("구리독자",$V870)),"구리독자","")</f>
        <v/>
      </c>
      <c r="X870">
        <f>IF($R870="","",$R870&amp;"|"&amp;IF(OR($Q870="인턴",ISNUMBER(SEARCH("수련교육부",$P870))),"인턴",$P870))</f>
        <v/>
      </c>
      <c r="Y870">
        <f>IF($R870="","",IF(COUNTIF(명단표[이름|과],$X870)=1,"명단 일치",IF(AND(COUNTIF(명단표[이름|과],$X870)=0,COUNTIF(명단표[이름],$R870)=1),"명단 일치(이름만, 과 다름)",IF(COUNTIF(명단표[이름],$R870)=0,IF(COUNTIF(기본자료표[이름],$R870)&gt;0,"명단에 없음(기본자료에는 있음)","명단에 없음"),"동명이인 확인"))))</f>
        <v/>
      </c>
      <c r="Z870">
        <f>IF($R870="","",IF($S870&lt;0,"⚠"&amp;INDEX('입력_구리근무자명단'!$A868:$ZZ868,1,$E$2+2),TEXT($S870,"yyyy-mm-dd")))</f>
        <v/>
      </c>
      <c r="AA870">
        <f>IF($R870="","",IF($T870&lt;0,"⚠"&amp;INDEX('입력_구리근무자명단'!$A868:$ZZ868,1,$E$2+3),TEXT($T870,"yyyy-mm-dd")))</f>
        <v/>
      </c>
      <c r="AB870">
        <f>AB869+IF($R870="",0,1)</f>
        <v/>
      </c>
      <c r="AC870">
        <f>IF($R870="","",$AB870)</f>
        <v/>
      </c>
    </row>
    <row r="871">
      <c r="O871">
        <f>869</f>
        <v/>
      </c>
      <c r="P871">
        <f>IF(TRIM('입력_구리근무자명단'!$A869&amp;"")&lt;&gt;"",TRIM('입력_구리근무자명단'!$A869&amp;""),P870)</f>
        <v/>
      </c>
      <c r="Q871">
        <f>'입력_구리근무자명단'!$B869&amp;""</f>
        <v/>
      </c>
      <c r="R871">
        <f>IF($E$2="","",TRIM(INDEX('입력_구리근무자명단'!$A869:$ZZ869,1,$E$2+IF($G$2="확정",1,0))&amp;""))</f>
        <v/>
      </c>
      <c r="S871">
        <f>IF($R871="","",IF(INDEX('입력_구리근무자명단'!$A869:$ZZ869,1,$E$2+2)&amp;""="",급여기준월,IF(ISNUMBER(INDEX('입력_구리근무자명단'!$A869:$ZZ869,1,$E$2+2)),INDEX('입력_구리근무자명단'!$A869:$ZZ869,1,$E$2+2),IFERROR(DATE(VALUE(LEFT(INDEX('입력_구리근무자명단'!$A869:$ZZ869,1,$E$2+2),4)),VALUE(MID(INDEX('입력_구리근무자명단'!$A869:$ZZ869,1,$E$2+2),6,2)),VALUE(MID(INDEX('입력_구리근무자명단'!$A869:$ZZ869,1,$E$2+2),9,2))),-1))))</f>
        <v/>
      </c>
      <c r="T871">
        <f>IF($R871="","",IF(INDEX('입력_구리근무자명단'!$A869:$ZZ869,1,$E$2+3)&amp;""="",EOMONTH(급여기준월,0),IF(ISNUMBER(INDEX('입력_구리근무자명단'!$A869:$ZZ869,1,$E$2+3)),INDEX('입력_구리근무자명단'!$A869:$ZZ869,1,$E$2+3),IFERROR(DATE(VALUE(LEFT(INDEX('입력_구리근무자명단'!$A869:$ZZ869,1,$E$2+3),4)),VALUE(MID(INDEX('입력_구리근무자명단'!$A869:$ZZ869,1,$E$2+3),6,2)),VALUE(MID(INDEX('입력_구리근무자명단'!$A869:$ZZ869,1,$E$2+3),9,2))),-1))))</f>
        <v/>
      </c>
      <c r="U871">
        <f>IF($R871="","",IF(OR($S871&lt;0,$T871&lt;0),0,MAX(0,MIN($T871,EOMONTH(급여기준월,0))-MAX($S871,급여기준월)+1)))</f>
        <v/>
      </c>
      <c r="V871">
        <f>IF($R871="","",TRIM(INDEX('입력_구리근무자명단'!$A869:$ZZ869,1,$E$2+5)&amp;""))</f>
        <v/>
      </c>
      <c r="W871">
        <f>IF(ISNUMBER(SEARCH("구리독자",$V871)),"구리독자","")</f>
        <v/>
      </c>
      <c r="X871">
        <f>IF($R871="","",$R871&amp;"|"&amp;IF(OR($Q871="인턴",ISNUMBER(SEARCH("수련교육부",$P871))),"인턴",$P871))</f>
        <v/>
      </c>
      <c r="Y871">
        <f>IF($R871="","",IF(COUNTIF(명단표[이름|과],$X871)=1,"명단 일치",IF(AND(COUNTIF(명단표[이름|과],$X871)=0,COUNTIF(명단표[이름],$R871)=1),"명단 일치(이름만, 과 다름)",IF(COUNTIF(명단표[이름],$R871)=0,IF(COUNTIF(기본자료표[이름],$R871)&gt;0,"명단에 없음(기본자료에는 있음)","명단에 없음"),"동명이인 확인"))))</f>
        <v/>
      </c>
      <c r="Z871">
        <f>IF($R871="","",IF($S871&lt;0,"⚠"&amp;INDEX('입력_구리근무자명단'!$A869:$ZZ869,1,$E$2+2),TEXT($S871,"yyyy-mm-dd")))</f>
        <v/>
      </c>
      <c r="AA871">
        <f>IF($R871="","",IF($T871&lt;0,"⚠"&amp;INDEX('입력_구리근무자명단'!$A869:$ZZ869,1,$E$2+3),TEXT($T871,"yyyy-mm-dd")))</f>
        <v/>
      </c>
      <c r="AB871">
        <f>AB870+IF($R871="",0,1)</f>
        <v/>
      </c>
      <c r="AC871">
        <f>IF($R871="","",$AB871)</f>
        <v/>
      </c>
    </row>
    <row r="872">
      <c r="O872">
        <f>870</f>
        <v/>
      </c>
      <c r="P872">
        <f>IF(TRIM('입력_구리근무자명단'!$A870&amp;"")&lt;&gt;"",TRIM('입력_구리근무자명단'!$A870&amp;""),P871)</f>
        <v/>
      </c>
      <c r="Q872">
        <f>'입력_구리근무자명단'!$B870&amp;""</f>
        <v/>
      </c>
      <c r="R872">
        <f>IF($E$2="","",TRIM(INDEX('입력_구리근무자명단'!$A870:$ZZ870,1,$E$2+IF($G$2="확정",1,0))&amp;""))</f>
        <v/>
      </c>
      <c r="S872">
        <f>IF($R872="","",IF(INDEX('입력_구리근무자명단'!$A870:$ZZ870,1,$E$2+2)&amp;""="",급여기준월,IF(ISNUMBER(INDEX('입력_구리근무자명단'!$A870:$ZZ870,1,$E$2+2)),INDEX('입력_구리근무자명단'!$A870:$ZZ870,1,$E$2+2),IFERROR(DATE(VALUE(LEFT(INDEX('입력_구리근무자명단'!$A870:$ZZ870,1,$E$2+2),4)),VALUE(MID(INDEX('입력_구리근무자명단'!$A870:$ZZ870,1,$E$2+2),6,2)),VALUE(MID(INDEX('입력_구리근무자명단'!$A870:$ZZ870,1,$E$2+2),9,2))),-1))))</f>
        <v/>
      </c>
      <c r="T872">
        <f>IF($R872="","",IF(INDEX('입력_구리근무자명단'!$A870:$ZZ870,1,$E$2+3)&amp;""="",EOMONTH(급여기준월,0),IF(ISNUMBER(INDEX('입력_구리근무자명단'!$A870:$ZZ870,1,$E$2+3)),INDEX('입력_구리근무자명단'!$A870:$ZZ870,1,$E$2+3),IFERROR(DATE(VALUE(LEFT(INDEX('입력_구리근무자명단'!$A870:$ZZ870,1,$E$2+3),4)),VALUE(MID(INDEX('입력_구리근무자명단'!$A870:$ZZ870,1,$E$2+3),6,2)),VALUE(MID(INDEX('입력_구리근무자명단'!$A870:$ZZ870,1,$E$2+3),9,2))),-1))))</f>
        <v/>
      </c>
      <c r="U872">
        <f>IF($R872="","",IF(OR($S872&lt;0,$T872&lt;0),0,MAX(0,MIN($T872,EOMONTH(급여기준월,0))-MAX($S872,급여기준월)+1)))</f>
        <v/>
      </c>
      <c r="V872">
        <f>IF($R872="","",TRIM(INDEX('입력_구리근무자명단'!$A870:$ZZ870,1,$E$2+5)&amp;""))</f>
        <v/>
      </c>
      <c r="W872">
        <f>IF(ISNUMBER(SEARCH("구리독자",$V872)),"구리독자","")</f>
        <v/>
      </c>
      <c r="X872">
        <f>IF($R872="","",$R872&amp;"|"&amp;IF(OR($Q872="인턴",ISNUMBER(SEARCH("수련교육부",$P872))),"인턴",$P872))</f>
        <v/>
      </c>
      <c r="Y872">
        <f>IF($R872="","",IF(COUNTIF(명단표[이름|과],$X872)=1,"명단 일치",IF(AND(COUNTIF(명단표[이름|과],$X872)=0,COUNTIF(명단표[이름],$R872)=1),"명단 일치(이름만, 과 다름)",IF(COUNTIF(명단표[이름],$R872)=0,IF(COUNTIF(기본자료표[이름],$R872)&gt;0,"명단에 없음(기본자료에는 있음)","명단에 없음"),"동명이인 확인"))))</f>
        <v/>
      </c>
      <c r="Z872">
        <f>IF($R872="","",IF($S872&lt;0,"⚠"&amp;INDEX('입력_구리근무자명단'!$A870:$ZZ870,1,$E$2+2),TEXT($S872,"yyyy-mm-dd")))</f>
        <v/>
      </c>
      <c r="AA872">
        <f>IF($R872="","",IF($T872&lt;0,"⚠"&amp;INDEX('입력_구리근무자명단'!$A870:$ZZ870,1,$E$2+3),TEXT($T872,"yyyy-mm-dd")))</f>
        <v/>
      </c>
      <c r="AB872">
        <f>AB871+IF($R872="",0,1)</f>
        <v/>
      </c>
      <c r="AC872">
        <f>IF($R872="","",$AB872)</f>
        <v/>
      </c>
    </row>
    <row r="873">
      <c r="O873">
        <f>871</f>
        <v/>
      </c>
      <c r="P873">
        <f>IF(TRIM('입력_구리근무자명단'!$A871&amp;"")&lt;&gt;"",TRIM('입력_구리근무자명단'!$A871&amp;""),P872)</f>
        <v/>
      </c>
      <c r="Q873">
        <f>'입력_구리근무자명단'!$B871&amp;""</f>
        <v/>
      </c>
      <c r="R873">
        <f>IF($E$2="","",TRIM(INDEX('입력_구리근무자명단'!$A871:$ZZ871,1,$E$2+IF($G$2="확정",1,0))&amp;""))</f>
        <v/>
      </c>
      <c r="S873">
        <f>IF($R873="","",IF(INDEX('입력_구리근무자명단'!$A871:$ZZ871,1,$E$2+2)&amp;""="",급여기준월,IF(ISNUMBER(INDEX('입력_구리근무자명단'!$A871:$ZZ871,1,$E$2+2)),INDEX('입력_구리근무자명단'!$A871:$ZZ871,1,$E$2+2),IFERROR(DATE(VALUE(LEFT(INDEX('입력_구리근무자명단'!$A871:$ZZ871,1,$E$2+2),4)),VALUE(MID(INDEX('입력_구리근무자명단'!$A871:$ZZ871,1,$E$2+2),6,2)),VALUE(MID(INDEX('입력_구리근무자명단'!$A871:$ZZ871,1,$E$2+2),9,2))),-1))))</f>
        <v/>
      </c>
      <c r="T873">
        <f>IF($R873="","",IF(INDEX('입력_구리근무자명단'!$A871:$ZZ871,1,$E$2+3)&amp;""="",EOMONTH(급여기준월,0),IF(ISNUMBER(INDEX('입력_구리근무자명단'!$A871:$ZZ871,1,$E$2+3)),INDEX('입력_구리근무자명단'!$A871:$ZZ871,1,$E$2+3),IFERROR(DATE(VALUE(LEFT(INDEX('입력_구리근무자명단'!$A871:$ZZ871,1,$E$2+3),4)),VALUE(MID(INDEX('입력_구리근무자명단'!$A871:$ZZ871,1,$E$2+3),6,2)),VALUE(MID(INDEX('입력_구리근무자명단'!$A871:$ZZ871,1,$E$2+3),9,2))),-1))))</f>
        <v/>
      </c>
      <c r="U873">
        <f>IF($R873="","",IF(OR($S873&lt;0,$T873&lt;0),0,MAX(0,MIN($T873,EOMONTH(급여기준월,0))-MAX($S873,급여기준월)+1)))</f>
        <v/>
      </c>
      <c r="V873">
        <f>IF($R873="","",TRIM(INDEX('입력_구리근무자명단'!$A871:$ZZ871,1,$E$2+5)&amp;""))</f>
        <v/>
      </c>
      <c r="W873">
        <f>IF(ISNUMBER(SEARCH("구리독자",$V873)),"구리독자","")</f>
        <v/>
      </c>
      <c r="X873">
        <f>IF($R873="","",$R873&amp;"|"&amp;IF(OR($Q873="인턴",ISNUMBER(SEARCH("수련교육부",$P873))),"인턴",$P873))</f>
        <v/>
      </c>
      <c r="Y873">
        <f>IF($R873="","",IF(COUNTIF(명단표[이름|과],$X873)=1,"명단 일치",IF(AND(COUNTIF(명단표[이름|과],$X873)=0,COUNTIF(명단표[이름],$R873)=1),"명단 일치(이름만, 과 다름)",IF(COUNTIF(명단표[이름],$R873)=0,IF(COUNTIF(기본자료표[이름],$R873)&gt;0,"명단에 없음(기본자료에는 있음)","명단에 없음"),"동명이인 확인"))))</f>
        <v/>
      </c>
      <c r="Z873">
        <f>IF($R873="","",IF($S873&lt;0,"⚠"&amp;INDEX('입력_구리근무자명단'!$A871:$ZZ871,1,$E$2+2),TEXT($S873,"yyyy-mm-dd")))</f>
        <v/>
      </c>
      <c r="AA873">
        <f>IF($R873="","",IF($T873&lt;0,"⚠"&amp;INDEX('입력_구리근무자명단'!$A871:$ZZ871,1,$E$2+3),TEXT($T873,"yyyy-mm-dd")))</f>
        <v/>
      </c>
      <c r="AB873">
        <f>AB872+IF($R873="",0,1)</f>
        <v/>
      </c>
      <c r="AC873">
        <f>IF($R873="","",$AB873)</f>
        <v/>
      </c>
    </row>
    <row r="874">
      <c r="O874">
        <f>872</f>
        <v/>
      </c>
      <c r="P874">
        <f>IF(TRIM('입력_구리근무자명단'!$A872&amp;"")&lt;&gt;"",TRIM('입력_구리근무자명단'!$A872&amp;""),P873)</f>
        <v/>
      </c>
      <c r="Q874">
        <f>'입력_구리근무자명단'!$B872&amp;""</f>
        <v/>
      </c>
      <c r="R874">
        <f>IF($E$2="","",TRIM(INDEX('입력_구리근무자명단'!$A872:$ZZ872,1,$E$2+IF($G$2="확정",1,0))&amp;""))</f>
        <v/>
      </c>
      <c r="S874">
        <f>IF($R874="","",IF(INDEX('입력_구리근무자명단'!$A872:$ZZ872,1,$E$2+2)&amp;""="",급여기준월,IF(ISNUMBER(INDEX('입력_구리근무자명단'!$A872:$ZZ872,1,$E$2+2)),INDEX('입력_구리근무자명단'!$A872:$ZZ872,1,$E$2+2),IFERROR(DATE(VALUE(LEFT(INDEX('입력_구리근무자명단'!$A872:$ZZ872,1,$E$2+2),4)),VALUE(MID(INDEX('입력_구리근무자명단'!$A872:$ZZ872,1,$E$2+2),6,2)),VALUE(MID(INDEX('입력_구리근무자명단'!$A872:$ZZ872,1,$E$2+2),9,2))),-1))))</f>
        <v/>
      </c>
      <c r="T874">
        <f>IF($R874="","",IF(INDEX('입력_구리근무자명단'!$A872:$ZZ872,1,$E$2+3)&amp;""="",EOMONTH(급여기준월,0),IF(ISNUMBER(INDEX('입력_구리근무자명단'!$A872:$ZZ872,1,$E$2+3)),INDEX('입력_구리근무자명단'!$A872:$ZZ872,1,$E$2+3),IFERROR(DATE(VALUE(LEFT(INDEX('입력_구리근무자명단'!$A872:$ZZ872,1,$E$2+3),4)),VALUE(MID(INDEX('입력_구리근무자명단'!$A872:$ZZ872,1,$E$2+3),6,2)),VALUE(MID(INDEX('입력_구리근무자명단'!$A872:$ZZ872,1,$E$2+3),9,2))),-1))))</f>
        <v/>
      </c>
      <c r="U874">
        <f>IF($R874="","",IF(OR($S874&lt;0,$T874&lt;0),0,MAX(0,MIN($T874,EOMONTH(급여기준월,0))-MAX($S874,급여기준월)+1)))</f>
        <v/>
      </c>
      <c r="V874">
        <f>IF($R874="","",TRIM(INDEX('입력_구리근무자명단'!$A872:$ZZ872,1,$E$2+5)&amp;""))</f>
        <v/>
      </c>
      <c r="W874">
        <f>IF(ISNUMBER(SEARCH("구리독자",$V874)),"구리독자","")</f>
        <v/>
      </c>
      <c r="X874">
        <f>IF($R874="","",$R874&amp;"|"&amp;IF(OR($Q874="인턴",ISNUMBER(SEARCH("수련교육부",$P874))),"인턴",$P874))</f>
        <v/>
      </c>
      <c r="Y874">
        <f>IF($R874="","",IF(COUNTIF(명단표[이름|과],$X874)=1,"명단 일치",IF(AND(COUNTIF(명단표[이름|과],$X874)=0,COUNTIF(명단표[이름],$R874)=1),"명단 일치(이름만, 과 다름)",IF(COUNTIF(명단표[이름],$R874)=0,IF(COUNTIF(기본자료표[이름],$R874)&gt;0,"명단에 없음(기본자료에는 있음)","명단에 없음"),"동명이인 확인"))))</f>
        <v/>
      </c>
      <c r="Z874">
        <f>IF($R874="","",IF($S874&lt;0,"⚠"&amp;INDEX('입력_구리근무자명단'!$A872:$ZZ872,1,$E$2+2),TEXT($S874,"yyyy-mm-dd")))</f>
        <v/>
      </c>
      <c r="AA874">
        <f>IF($R874="","",IF($T874&lt;0,"⚠"&amp;INDEX('입력_구리근무자명단'!$A872:$ZZ872,1,$E$2+3),TEXT($T874,"yyyy-mm-dd")))</f>
        <v/>
      </c>
      <c r="AB874">
        <f>AB873+IF($R874="",0,1)</f>
        <v/>
      </c>
      <c r="AC874">
        <f>IF($R874="","",$AB874)</f>
        <v/>
      </c>
    </row>
    <row r="875">
      <c r="O875">
        <f>873</f>
        <v/>
      </c>
      <c r="P875">
        <f>IF(TRIM('입력_구리근무자명단'!$A873&amp;"")&lt;&gt;"",TRIM('입력_구리근무자명단'!$A873&amp;""),P874)</f>
        <v/>
      </c>
      <c r="Q875">
        <f>'입력_구리근무자명단'!$B873&amp;""</f>
        <v/>
      </c>
      <c r="R875">
        <f>IF($E$2="","",TRIM(INDEX('입력_구리근무자명단'!$A873:$ZZ873,1,$E$2+IF($G$2="확정",1,0))&amp;""))</f>
        <v/>
      </c>
      <c r="S875">
        <f>IF($R875="","",IF(INDEX('입력_구리근무자명단'!$A873:$ZZ873,1,$E$2+2)&amp;""="",급여기준월,IF(ISNUMBER(INDEX('입력_구리근무자명단'!$A873:$ZZ873,1,$E$2+2)),INDEX('입력_구리근무자명단'!$A873:$ZZ873,1,$E$2+2),IFERROR(DATE(VALUE(LEFT(INDEX('입력_구리근무자명단'!$A873:$ZZ873,1,$E$2+2),4)),VALUE(MID(INDEX('입력_구리근무자명단'!$A873:$ZZ873,1,$E$2+2),6,2)),VALUE(MID(INDEX('입력_구리근무자명단'!$A873:$ZZ873,1,$E$2+2),9,2))),-1))))</f>
        <v/>
      </c>
      <c r="T875">
        <f>IF($R875="","",IF(INDEX('입력_구리근무자명단'!$A873:$ZZ873,1,$E$2+3)&amp;""="",EOMONTH(급여기준월,0),IF(ISNUMBER(INDEX('입력_구리근무자명단'!$A873:$ZZ873,1,$E$2+3)),INDEX('입력_구리근무자명단'!$A873:$ZZ873,1,$E$2+3),IFERROR(DATE(VALUE(LEFT(INDEX('입력_구리근무자명단'!$A873:$ZZ873,1,$E$2+3),4)),VALUE(MID(INDEX('입력_구리근무자명단'!$A873:$ZZ873,1,$E$2+3),6,2)),VALUE(MID(INDEX('입력_구리근무자명단'!$A873:$ZZ873,1,$E$2+3),9,2))),-1))))</f>
        <v/>
      </c>
      <c r="U875">
        <f>IF($R875="","",IF(OR($S875&lt;0,$T875&lt;0),0,MAX(0,MIN($T875,EOMONTH(급여기준월,0))-MAX($S875,급여기준월)+1)))</f>
        <v/>
      </c>
      <c r="V875">
        <f>IF($R875="","",TRIM(INDEX('입력_구리근무자명단'!$A873:$ZZ873,1,$E$2+5)&amp;""))</f>
        <v/>
      </c>
      <c r="W875">
        <f>IF(ISNUMBER(SEARCH("구리독자",$V875)),"구리독자","")</f>
        <v/>
      </c>
      <c r="X875">
        <f>IF($R875="","",$R875&amp;"|"&amp;IF(OR($Q875="인턴",ISNUMBER(SEARCH("수련교육부",$P875))),"인턴",$P875))</f>
        <v/>
      </c>
      <c r="Y875">
        <f>IF($R875="","",IF(COUNTIF(명단표[이름|과],$X875)=1,"명단 일치",IF(AND(COUNTIF(명단표[이름|과],$X875)=0,COUNTIF(명단표[이름],$R875)=1),"명단 일치(이름만, 과 다름)",IF(COUNTIF(명단표[이름],$R875)=0,IF(COUNTIF(기본자료표[이름],$R875)&gt;0,"명단에 없음(기본자료에는 있음)","명단에 없음"),"동명이인 확인"))))</f>
        <v/>
      </c>
      <c r="Z875">
        <f>IF($R875="","",IF($S875&lt;0,"⚠"&amp;INDEX('입력_구리근무자명단'!$A873:$ZZ873,1,$E$2+2),TEXT($S875,"yyyy-mm-dd")))</f>
        <v/>
      </c>
      <c r="AA875">
        <f>IF($R875="","",IF($T875&lt;0,"⚠"&amp;INDEX('입력_구리근무자명단'!$A873:$ZZ873,1,$E$2+3),TEXT($T875,"yyyy-mm-dd")))</f>
        <v/>
      </c>
      <c r="AB875">
        <f>AB874+IF($R875="",0,1)</f>
        <v/>
      </c>
      <c r="AC875">
        <f>IF($R875="","",$AB875)</f>
        <v/>
      </c>
    </row>
    <row r="876">
      <c r="O876">
        <f>874</f>
        <v/>
      </c>
      <c r="P876">
        <f>IF(TRIM('입력_구리근무자명단'!$A874&amp;"")&lt;&gt;"",TRIM('입력_구리근무자명단'!$A874&amp;""),P875)</f>
        <v/>
      </c>
      <c r="Q876">
        <f>'입력_구리근무자명단'!$B874&amp;""</f>
        <v/>
      </c>
      <c r="R876">
        <f>IF($E$2="","",TRIM(INDEX('입력_구리근무자명단'!$A874:$ZZ874,1,$E$2+IF($G$2="확정",1,0))&amp;""))</f>
        <v/>
      </c>
      <c r="S876">
        <f>IF($R876="","",IF(INDEX('입력_구리근무자명단'!$A874:$ZZ874,1,$E$2+2)&amp;""="",급여기준월,IF(ISNUMBER(INDEX('입력_구리근무자명단'!$A874:$ZZ874,1,$E$2+2)),INDEX('입력_구리근무자명단'!$A874:$ZZ874,1,$E$2+2),IFERROR(DATE(VALUE(LEFT(INDEX('입력_구리근무자명단'!$A874:$ZZ874,1,$E$2+2),4)),VALUE(MID(INDEX('입력_구리근무자명단'!$A874:$ZZ874,1,$E$2+2),6,2)),VALUE(MID(INDEX('입력_구리근무자명단'!$A874:$ZZ874,1,$E$2+2),9,2))),-1))))</f>
        <v/>
      </c>
      <c r="T876">
        <f>IF($R876="","",IF(INDEX('입력_구리근무자명단'!$A874:$ZZ874,1,$E$2+3)&amp;""="",EOMONTH(급여기준월,0),IF(ISNUMBER(INDEX('입력_구리근무자명단'!$A874:$ZZ874,1,$E$2+3)),INDEX('입력_구리근무자명단'!$A874:$ZZ874,1,$E$2+3),IFERROR(DATE(VALUE(LEFT(INDEX('입력_구리근무자명단'!$A874:$ZZ874,1,$E$2+3),4)),VALUE(MID(INDEX('입력_구리근무자명단'!$A874:$ZZ874,1,$E$2+3),6,2)),VALUE(MID(INDEX('입력_구리근무자명단'!$A874:$ZZ874,1,$E$2+3),9,2))),-1))))</f>
        <v/>
      </c>
      <c r="U876">
        <f>IF($R876="","",IF(OR($S876&lt;0,$T876&lt;0),0,MAX(0,MIN($T876,EOMONTH(급여기준월,0))-MAX($S876,급여기준월)+1)))</f>
        <v/>
      </c>
      <c r="V876">
        <f>IF($R876="","",TRIM(INDEX('입력_구리근무자명단'!$A874:$ZZ874,1,$E$2+5)&amp;""))</f>
        <v/>
      </c>
      <c r="W876">
        <f>IF(ISNUMBER(SEARCH("구리독자",$V876)),"구리독자","")</f>
        <v/>
      </c>
      <c r="X876">
        <f>IF($R876="","",$R876&amp;"|"&amp;IF(OR($Q876="인턴",ISNUMBER(SEARCH("수련교육부",$P876))),"인턴",$P876))</f>
        <v/>
      </c>
      <c r="Y876">
        <f>IF($R876="","",IF(COUNTIF(명단표[이름|과],$X876)=1,"명단 일치",IF(AND(COUNTIF(명단표[이름|과],$X876)=0,COUNTIF(명단표[이름],$R876)=1),"명단 일치(이름만, 과 다름)",IF(COUNTIF(명단표[이름],$R876)=0,IF(COUNTIF(기본자료표[이름],$R876)&gt;0,"명단에 없음(기본자료에는 있음)","명단에 없음"),"동명이인 확인"))))</f>
        <v/>
      </c>
      <c r="Z876">
        <f>IF($R876="","",IF($S876&lt;0,"⚠"&amp;INDEX('입력_구리근무자명단'!$A874:$ZZ874,1,$E$2+2),TEXT($S876,"yyyy-mm-dd")))</f>
        <v/>
      </c>
      <c r="AA876">
        <f>IF($R876="","",IF($T876&lt;0,"⚠"&amp;INDEX('입력_구리근무자명단'!$A874:$ZZ874,1,$E$2+3),TEXT($T876,"yyyy-mm-dd")))</f>
        <v/>
      </c>
      <c r="AB876">
        <f>AB875+IF($R876="",0,1)</f>
        <v/>
      </c>
      <c r="AC876">
        <f>IF($R876="","",$AB876)</f>
        <v/>
      </c>
    </row>
    <row r="877">
      <c r="O877">
        <f>875</f>
        <v/>
      </c>
      <c r="P877">
        <f>IF(TRIM('입력_구리근무자명단'!$A875&amp;"")&lt;&gt;"",TRIM('입력_구리근무자명단'!$A875&amp;""),P876)</f>
        <v/>
      </c>
      <c r="Q877">
        <f>'입력_구리근무자명단'!$B875&amp;""</f>
        <v/>
      </c>
      <c r="R877">
        <f>IF($E$2="","",TRIM(INDEX('입력_구리근무자명단'!$A875:$ZZ875,1,$E$2+IF($G$2="확정",1,0))&amp;""))</f>
        <v/>
      </c>
      <c r="S877">
        <f>IF($R877="","",IF(INDEX('입력_구리근무자명단'!$A875:$ZZ875,1,$E$2+2)&amp;""="",급여기준월,IF(ISNUMBER(INDEX('입력_구리근무자명단'!$A875:$ZZ875,1,$E$2+2)),INDEX('입력_구리근무자명단'!$A875:$ZZ875,1,$E$2+2),IFERROR(DATE(VALUE(LEFT(INDEX('입력_구리근무자명단'!$A875:$ZZ875,1,$E$2+2),4)),VALUE(MID(INDEX('입력_구리근무자명단'!$A875:$ZZ875,1,$E$2+2),6,2)),VALUE(MID(INDEX('입력_구리근무자명단'!$A875:$ZZ875,1,$E$2+2),9,2))),-1))))</f>
        <v/>
      </c>
      <c r="T877">
        <f>IF($R877="","",IF(INDEX('입력_구리근무자명단'!$A875:$ZZ875,1,$E$2+3)&amp;""="",EOMONTH(급여기준월,0),IF(ISNUMBER(INDEX('입력_구리근무자명단'!$A875:$ZZ875,1,$E$2+3)),INDEX('입력_구리근무자명단'!$A875:$ZZ875,1,$E$2+3),IFERROR(DATE(VALUE(LEFT(INDEX('입력_구리근무자명단'!$A875:$ZZ875,1,$E$2+3),4)),VALUE(MID(INDEX('입력_구리근무자명단'!$A875:$ZZ875,1,$E$2+3),6,2)),VALUE(MID(INDEX('입력_구리근무자명단'!$A875:$ZZ875,1,$E$2+3),9,2))),-1))))</f>
        <v/>
      </c>
      <c r="U877">
        <f>IF($R877="","",IF(OR($S877&lt;0,$T877&lt;0),0,MAX(0,MIN($T877,EOMONTH(급여기준월,0))-MAX($S877,급여기준월)+1)))</f>
        <v/>
      </c>
      <c r="V877">
        <f>IF($R877="","",TRIM(INDEX('입력_구리근무자명단'!$A875:$ZZ875,1,$E$2+5)&amp;""))</f>
        <v/>
      </c>
      <c r="W877">
        <f>IF(ISNUMBER(SEARCH("구리독자",$V877)),"구리독자","")</f>
        <v/>
      </c>
      <c r="X877">
        <f>IF($R877="","",$R877&amp;"|"&amp;IF(OR($Q877="인턴",ISNUMBER(SEARCH("수련교육부",$P877))),"인턴",$P877))</f>
        <v/>
      </c>
      <c r="Y877">
        <f>IF($R877="","",IF(COUNTIF(명단표[이름|과],$X877)=1,"명단 일치",IF(AND(COUNTIF(명단표[이름|과],$X877)=0,COUNTIF(명단표[이름],$R877)=1),"명단 일치(이름만, 과 다름)",IF(COUNTIF(명단표[이름],$R877)=0,IF(COUNTIF(기본자료표[이름],$R877)&gt;0,"명단에 없음(기본자료에는 있음)","명단에 없음"),"동명이인 확인"))))</f>
        <v/>
      </c>
      <c r="Z877">
        <f>IF($R877="","",IF($S877&lt;0,"⚠"&amp;INDEX('입력_구리근무자명단'!$A875:$ZZ875,1,$E$2+2),TEXT($S877,"yyyy-mm-dd")))</f>
        <v/>
      </c>
      <c r="AA877">
        <f>IF($R877="","",IF($T877&lt;0,"⚠"&amp;INDEX('입력_구리근무자명단'!$A875:$ZZ875,1,$E$2+3),TEXT($T877,"yyyy-mm-dd")))</f>
        <v/>
      </c>
      <c r="AB877">
        <f>AB876+IF($R877="",0,1)</f>
        <v/>
      </c>
      <c r="AC877">
        <f>IF($R877="","",$AB877)</f>
        <v/>
      </c>
    </row>
    <row r="878">
      <c r="O878">
        <f>876</f>
        <v/>
      </c>
      <c r="P878">
        <f>IF(TRIM('입력_구리근무자명단'!$A876&amp;"")&lt;&gt;"",TRIM('입력_구리근무자명단'!$A876&amp;""),P877)</f>
        <v/>
      </c>
      <c r="Q878">
        <f>'입력_구리근무자명단'!$B876&amp;""</f>
        <v/>
      </c>
      <c r="R878">
        <f>IF($E$2="","",TRIM(INDEX('입력_구리근무자명단'!$A876:$ZZ876,1,$E$2+IF($G$2="확정",1,0))&amp;""))</f>
        <v/>
      </c>
      <c r="S878">
        <f>IF($R878="","",IF(INDEX('입력_구리근무자명단'!$A876:$ZZ876,1,$E$2+2)&amp;""="",급여기준월,IF(ISNUMBER(INDEX('입력_구리근무자명단'!$A876:$ZZ876,1,$E$2+2)),INDEX('입력_구리근무자명단'!$A876:$ZZ876,1,$E$2+2),IFERROR(DATE(VALUE(LEFT(INDEX('입력_구리근무자명단'!$A876:$ZZ876,1,$E$2+2),4)),VALUE(MID(INDEX('입력_구리근무자명단'!$A876:$ZZ876,1,$E$2+2),6,2)),VALUE(MID(INDEX('입력_구리근무자명단'!$A876:$ZZ876,1,$E$2+2),9,2))),-1))))</f>
        <v/>
      </c>
      <c r="T878">
        <f>IF($R878="","",IF(INDEX('입력_구리근무자명단'!$A876:$ZZ876,1,$E$2+3)&amp;""="",EOMONTH(급여기준월,0),IF(ISNUMBER(INDEX('입력_구리근무자명단'!$A876:$ZZ876,1,$E$2+3)),INDEX('입력_구리근무자명단'!$A876:$ZZ876,1,$E$2+3),IFERROR(DATE(VALUE(LEFT(INDEX('입력_구리근무자명단'!$A876:$ZZ876,1,$E$2+3),4)),VALUE(MID(INDEX('입력_구리근무자명단'!$A876:$ZZ876,1,$E$2+3),6,2)),VALUE(MID(INDEX('입력_구리근무자명단'!$A876:$ZZ876,1,$E$2+3),9,2))),-1))))</f>
        <v/>
      </c>
      <c r="U878">
        <f>IF($R878="","",IF(OR($S878&lt;0,$T878&lt;0),0,MAX(0,MIN($T878,EOMONTH(급여기준월,0))-MAX($S878,급여기준월)+1)))</f>
        <v/>
      </c>
      <c r="V878">
        <f>IF($R878="","",TRIM(INDEX('입력_구리근무자명단'!$A876:$ZZ876,1,$E$2+5)&amp;""))</f>
        <v/>
      </c>
      <c r="W878">
        <f>IF(ISNUMBER(SEARCH("구리독자",$V878)),"구리독자","")</f>
        <v/>
      </c>
      <c r="X878">
        <f>IF($R878="","",$R878&amp;"|"&amp;IF(OR($Q878="인턴",ISNUMBER(SEARCH("수련교육부",$P878))),"인턴",$P878))</f>
        <v/>
      </c>
      <c r="Y878">
        <f>IF($R878="","",IF(COUNTIF(명단표[이름|과],$X878)=1,"명단 일치",IF(AND(COUNTIF(명단표[이름|과],$X878)=0,COUNTIF(명단표[이름],$R878)=1),"명단 일치(이름만, 과 다름)",IF(COUNTIF(명단표[이름],$R878)=0,IF(COUNTIF(기본자료표[이름],$R878)&gt;0,"명단에 없음(기본자료에는 있음)","명단에 없음"),"동명이인 확인"))))</f>
        <v/>
      </c>
      <c r="Z878">
        <f>IF($R878="","",IF($S878&lt;0,"⚠"&amp;INDEX('입력_구리근무자명단'!$A876:$ZZ876,1,$E$2+2),TEXT($S878,"yyyy-mm-dd")))</f>
        <v/>
      </c>
      <c r="AA878">
        <f>IF($R878="","",IF($T878&lt;0,"⚠"&amp;INDEX('입력_구리근무자명단'!$A876:$ZZ876,1,$E$2+3),TEXT($T878,"yyyy-mm-dd")))</f>
        <v/>
      </c>
      <c r="AB878">
        <f>AB877+IF($R878="",0,1)</f>
        <v/>
      </c>
      <c r="AC878">
        <f>IF($R878="","",$AB878)</f>
        <v/>
      </c>
    </row>
    <row r="879">
      <c r="O879">
        <f>877</f>
        <v/>
      </c>
      <c r="P879">
        <f>IF(TRIM('입력_구리근무자명단'!$A877&amp;"")&lt;&gt;"",TRIM('입력_구리근무자명단'!$A877&amp;""),P878)</f>
        <v/>
      </c>
      <c r="Q879">
        <f>'입력_구리근무자명단'!$B877&amp;""</f>
        <v/>
      </c>
      <c r="R879">
        <f>IF($E$2="","",TRIM(INDEX('입력_구리근무자명단'!$A877:$ZZ877,1,$E$2+IF($G$2="확정",1,0))&amp;""))</f>
        <v/>
      </c>
      <c r="S879">
        <f>IF($R879="","",IF(INDEX('입력_구리근무자명단'!$A877:$ZZ877,1,$E$2+2)&amp;""="",급여기준월,IF(ISNUMBER(INDEX('입력_구리근무자명단'!$A877:$ZZ877,1,$E$2+2)),INDEX('입력_구리근무자명단'!$A877:$ZZ877,1,$E$2+2),IFERROR(DATE(VALUE(LEFT(INDEX('입력_구리근무자명단'!$A877:$ZZ877,1,$E$2+2),4)),VALUE(MID(INDEX('입력_구리근무자명단'!$A877:$ZZ877,1,$E$2+2),6,2)),VALUE(MID(INDEX('입력_구리근무자명단'!$A877:$ZZ877,1,$E$2+2),9,2))),-1))))</f>
        <v/>
      </c>
      <c r="T879">
        <f>IF($R879="","",IF(INDEX('입력_구리근무자명단'!$A877:$ZZ877,1,$E$2+3)&amp;""="",EOMONTH(급여기준월,0),IF(ISNUMBER(INDEX('입력_구리근무자명단'!$A877:$ZZ877,1,$E$2+3)),INDEX('입력_구리근무자명단'!$A877:$ZZ877,1,$E$2+3),IFERROR(DATE(VALUE(LEFT(INDEX('입력_구리근무자명단'!$A877:$ZZ877,1,$E$2+3),4)),VALUE(MID(INDEX('입력_구리근무자명단'!$A877:$ZZ877,1,$E$2+3),6,2)),VALUE(MID(INDEX('입력_구리근무자명단'!$A877:$ZZ877,1,$E$2+3),9,2))),-1))))</f>
        <v/>
      </c>
      <c r="U879">
        <f>IF($R879="","",IF(OR($S879&lt;0,$T879&lt;0),0,MAX(0,MIN($T879,EOMONTH(급여기준월,0))-MAX($S879,급여기준월)+1)))</f>
        <v/>
      </c>
      <c r="V879">
        <f>IF($R879="","",TRIM(INDEX('입력_구리근무자명단'!$A877:$ZZ877,1,$E$2+5)&amp;""))</f>
        <v/>
      </c>
      <c r="W879">
        <f>IF(ISNUMBER(SEARCH("구리독자",$V879)),"구리독자","")</f>
        <v/>
      </c>
      <c r="X879">
        <f>IF($R879="","",$R879&amp;"|"&amp;IF(OR($Q879="인턴",ISNUMBER(SEARCH("수련교육부",$P879))),"인턴",$P879))</f>
        <v/>
      </c>
      <c r="Y879">
        <f>IF($R879="","",IF(COUNTIF(명단표[이름|과],$X879)=1,"명단 일치",IF(AND(COUNTIF(명단표[이름|과],$X879)=0,COUNTIF(명단표[이름],$R879)=1),"명단 일치(이름만, 과 다름)",IF(COUNTIF(명단표[이름],$R879)=0,IF(COUNTIF(기본자료표[이름],$R879)&gt;0,"명단에 없음(기본자료에는 있음)","명단에 없음"),"동명이인 확인"))))</f>
        <v/>
      </c>
      <c r="Z879">
        <f>IF($R879="","",IF($S879&lt;0,"⚠"&amp;INDEX('입력_구리근무자명단'!$A877:$ZZ877,1,$E$2+2),TEXT($S879,"yyyy-mm-dd")))</f>
        <v/>
      </c>
      <c r="AA879">
        <f>IF($R879="","",IF($T879&lt;0,"⚠"&amp;INDEX('입력_구리근무자명단'!$A877:$ZZ877,1,$E$2+3),TEXT($T879,"yyyy-mm-dd")))</f>
        <v/>
      </c>
      <c r="AB879">
        <f>AB878+IF($R879="",0,1)</f>
        <v/>
      </c>
      <c r="AC879">
        <f>IF($R879="","",$AB879)</f>
        <v/>
      </c>
    </row>
    <row r="880">
      <c r="O880">
        <f>878</f>
        <v/>
      </c>
      <c r="P880">
        <f>IF(TRIM('입력_구리근무자명단'!$A878&amp;"")&lt;&gt;"",TRIM('입력_구리근무자명단'!$A878&amp;""),P879)</f>
        <v/>
      </c>
      <c r="Q880">
        <f>'입력_구리근무자명단'!$B878&amp;""</f>
        <v/>
      </c>
      <c r="R880">
        <f>IF($E$2="","",TRIM(INDEX('입력_구리근무자명단'!$A878:$ZZ878,1,$E$2+IF($G$2="확정",1,0))&amp;""))</f>
        <v/>
      </c>
      <c r="S880">
        <f>IF($R880="","",IF(INDEX('입력_구리근무자명단'!$A878:$ZZ878,1,$E$2+2)&amp;""="",급여기준월,IF(ISNUMBER(INDEX('입력_구리근무자명단'!$A878:$ZZ878,1,$E$2+2)),INDEX('입력_구리근무자명단'!$A878:$ZZ878,1,$E$2+2),IFERROR(DATE(VALUE(LEFT(INDEX('입력_구리근무자명단'!$A878:$ZZ878,1,$E$2+2),4)),VALUE(MID(INDEX('입력_구리근무자명단'!$A878:$ZZ878,1,$E$2+2),6,2)),VALUE(MID(INDEX('입력_구리근무자명단'!$A878:$ZZ878,1,$E$2+2),9,2))),-1))))</f>
        <v/>
      </c>
      <c r="T880">
        <f>IF($R880="","",IF(INDEX('입력_구리근무자명단'!$A878:$ZZ878,1,$E$2+3)&amp;""="",EOMONTH(급여기준월,0),IF(ISNUMBER(INDEX('입력_구리근무자명단'!$A878:$ZZ878,1,$E$2+3)),INDEX('입력_구리근무자명단'!$A878:$ZZ878,1,$E$2+3),IFERROR(DATE(VALUE(LEFT(INDEX('입력_구리근무자명단'!$A878:$ZZ878,1,$E$2+3),4)),VALUE(MID(INDEX('입력_구리근무자명단'!$A878:$ZZ878,1,$E$2+3),6,2)),VALUE(MID(INDEX('입력_구리근무자명단'!$A878:$ZZ878,1,$E$2+3),9,2))),-1))))</f>
        <v/>
      </c>
      <c r="U880">
        <f>IF($R880="","",IF(OR($S880&lt;0,$T880&lt;0),0,MAX(0,MIN($T880,EOMONTH(급여기준월,0))-MAX($S880,급여기준월)+1)))</f>
        <v/>
      </c>
      <c r="V880">
        <f>IF($R880="","",TRIM(INDEX('입력_구리근무자명단'!$A878:$ZZ878,1,$E$2+5)&amp;""))</f>
        <v/>
      </c>
      <c r="W880">
        <f>IF(ISNUMBER(SEARCH("구리독자",$V880)),"구리독자","")</f>
        <v/>
      </c>
      <c r="X880">
        <f>IF($R880="","",$R880&amp;"|"&amp;IF(OR($Q880="인턴",ISNUMBER(SEARCH("수련교육부",$P880))),"인턴",$P880))</f>
        <v/>
      </c>
      <c r="Y880">
        <f>IF($R880="","",IF(COUNTIF(명단표[이름|과],$X880)=1,"명단 일치",IF(AND(COUNTIF(명단표[이름|과],$X880)=0,COUNTIF(명단표[이름],$R880)=1),"명단 일치(이름만, 과 다름)",IF(COUNTIF(명단표[이름],$R880)=0,IF(COUNTIF(기본자료표[이름],$R880)&gt;0,"명단에 없음(기본자료에는 있음)","명단에 없음"),"동명이인 확인"))))</f>
        <v/>
      </c>
      <c r="Z880">
        <f>IF($R880="","",IF($S880&lt;0,"⚠"&amp;INDEX('입력_구리근무자명단'!$A878:$ZZ878,1,$E$2+2),TEXT($S880,"yyyy-mm-dd")))</f>
        <v/>
      </c>
      <c r="AA880">
        <f>IF($R880="","",IF($T880&lt;0,"⚠"&amp;INDEX('입력_구리근무자명단'!$A878:$ZZ878,1,$E$2+3),TEXT($T880,"yyyy-mm-dd")))</f>
        <v/>
      </c>
      <c r="AB880">
        <f>AB879+IF($R880="",0,1)</f>
        <v/>
      </c>
      <c r="AC880">
        <f>IF($R880="","",$AB880)</f>
        <v/>
      </c>
    </row>
    <row r="881">
      <c r="O881">
        <f>879</f>
        <v/>
      </c>
      <c r="P881">
        <f>IF(TRIM('입력_구리근무자명단'!$A879&amp;"")&lt;&gt;"",TRIM('입력_구리근무자명단'!$A879&amp;""),P880)</f>
        <v/>
      </c>
      <c r="Q881">
        <f>'입력_구리근무자명단'!$B879&amp;""</f>
        <v/>
      </c>
      <c r="R881">
        <f>IF($E$2="","",TRIM(INDEX('입력_구리근무자명단'!$A879:$ZZ879,1,$E$2+IF($G$2="확정",1,0))&amp;""))</f>
        <v/>
      </c>
      <c r="S881">
        <f>IF($R881="","",IF(INDEX('입력_구리근무자명단'!$A879:$ZZ879,1,$E$2+2)&amp;""="",급여기준월,IF(ISNUMBER(INDEX('입력_구리근무자명단'!$A879:$ZZ879,1,$E$2+2)),INDEX('입력_구리근무자명단'!$A879:$ZZ879,1,$E$2+2),IFERROR(DATE(VALUE(LEFT(INDEX('입력_구리근무자명단'!$A879:$ZZ879,1,$E$2+2),4)),VALUE(MID(INDEX('입력_구리근무자명단'!$A879:$ZZ879,1,$E$2+2),6,2)),VALUE(MID(INDEX('입력_구리근무자명단'!$A879:$ZZ879,1,$E$2+2),9,2))),-1))))</f>
        <v/>
      </c>
      <c r="T881">
        <f>IF($R881="","",IF(INDEX('입력_구리근무자명단'!$A879:$ZZ879,1,$E$2+3)&amp;""="",EOMONTH(급여기준월,0),IF(ISNUMBER(INDEX('입력_구리근무자명단'!$A879:$ZZ879,1,$E$2+3)),INDEX('입력_구리근무자명단'!$A879:$ZZ879,1,$E$2+3),IFERROR(DATE(VALUE(LEFT(INDEX('입력_구리근무자명단'!$A879:$ZZ879,1,$E$2+3),4)),VALUE(MID(INDEX('입력_구리근무자명단'!$A879:$ZZ879,1,$E$2+3),6,2)),VALUE(MID(INDEX('입력_구리근무자명단'!$A879:$ZZ879,1,$E$2+3),9,2))),-1))))</f>
        <v/>
      </c>
      <c r="U881">
        <f>IF($R881="","",IF(OR($S881&lt;0,$T881&lt;0),0,MAX(0,MIN($T881,EOMONTH(급여기준월,0))-MAX($S881,급여기준월)+1)))</f>
        <v/>
      </c>
      <c r="V881">
        <f>IF($R881="","",TRIM(INDEX('입력_구리근무자명단'!$A879:$ZZ879,1,$E$2+5)&amp;""))</f>
        <v/>
      </c>
      <c r="W881">
        <f>IF(ISNUMBER(SEARCH("구리독자",$V881)),"구리독자","")</f>
        <v/>
      </c>
      <c r="X881">
        <f>IF($R881="","",$R881&amp;"|"&amp;IF(OR($Q881="인턴",ISNUMBER(SEARCH("수련교육부",$P881))),"인턴",$P881))</f>
        <v/>
      </c>
      <c r="Y881">
        <f>IF($R881="","",IF(COUNTIF(명단표[이름|과],$X881)=1,"명단 일치",IF(AND(COUNTIF(명단표[이름|과],$X881)=0,COUNTIF(명단표[이름],$R881)=1),"명단 일치(이름만, 과 다름)",IF(COUNTIF(명단표[이름],$R881)=0,IF(COUNTIF(기본자료표[이름],$R881)&gt;0,"명단에 없음(기본자료에는 있음)","명단에 없음"),"동명이인 확인"))))</f>
        <v/>
      </c>
      <c r="Z881">
        <f>IF($R881="","",IF($S881&lt;0,"⚠"&amp;INDEX('입력_구리근무자명단'!$A879:$ZZ879,1,$E$2+2),TEXT($S881,"yyyy-mm-dd")))</f>
        <v/>
      </c>
      <c r="AA881">
        <f>IF($R881="","",IF($T881&lt;0,"⚠"&amp;INDEX('입력_구리근무자명단'!$A879:$ZZ879,1,$E$2+3),TEXT($T881,"yyyy-mm-dd")))</f>
        <v/>
      </c>
      <c r="AB881">
        <f>AB880+IF($R881="",0,1)</f>
        <v/>
      </c>
      <c r="AC881">
        <f>IF($R881="","",$AB881)</f>
        <v/>
      </c>
    </row>
    <row r="882">
      <c r="O882">
        <f>880</f>
        <v/>
      </c>
      <c r="P882">
        <f>IF(TRIM('입력_구리근무자명단'!$A880&amp;"")&lt;&gt;"",TRIM('입력_구리근무자명단'!$A880&amp;""),P881)</f>
        <v/>
      </c>
      <c r="Q882">
        <f>'입력_구리근무자명단'!$B880&amp;""</f>
        <v/>
      </c>
      <c r="R882">
        <f>IF($E$2="","",TRIM(INDEX('입력_구리근무자명단'!$A880:$ZZ880,1,$E$2+IF($G$2="확정",1,0))&amp;""))</f>
        <v/>
      </c>
      <c r="S882">
        <f>IF($R882="","",IF(INDEX('입력_구리근무자명단'!$A880:$ZZ880,1,$E$2+2)&amp;""="",급여기준월,IF(ISNUMBER(INDEX('입력_구리근무자명단'!$A880:$ZZ880,1,$E$2+2)),INDEX('입력_구리근무자명단'!$A880:$ZZ880,1,$E$2+2),IFERROR(DATE(VALUE(LEFT(INDEX('입력_구리근무자명단'!$A880:$ZZ880,1,$E$2+2),4)),VALUE(MID(INDEX('입력_구리근무자명단'!$A880:$ZZ880,1,$E$2+2),6,2)),VALUE(MID(INDEX('입력_구리근무자명단'!$A880:$ZZ880,1,$E$2+2),9,2))),-1))))</f>
        <v/>
      </c>
      <c r="T882">
        <f>IF($R882="","",IF(INDEX('입력_구리근무자명단'!$A880:$ZZ880,1,$E$2+3)&amp;""="",EOMONTH(급여기준월,0),IF(ISNUMBER(INDEX('입력_구리근무자명단'!$A880:$ZZ880,1,$E$2+3)),INDEX('입력_구리근무자명단'!$A880:$ZZ880,1,$E$2+3),IFERROR(DATE(VALUE(LEFT(INDEX('입력_구리근무자명단'!$A880:$ZZ880,1,$E$2+3),4)),VALUE(MID(INDEX('입력_구리근무자명단'!$A880:$ZZ880,1,$E$2+3),6,2)),VALUE(MID(INDEX('입력_구리근무자명단'!$A880:$ZZ880,1,$E$2+3),9,2))),-1))))</f>
        <v/>
      </c>
      <c r="U882">
        <f>IF($R882="","",IF(OR($S882&lt;0,$T882&lt;0),0,MAX(0,MIN($T882,EOMONTH(급여기준월,0))-MAX($S882,급여기준월)+1)))</f>
        <v/>
      </c>
      <c r="V882">
        <f>IF($R882="","",TRIM(INDEX('입력_구리근무자명단'!$A880:$ZZ880,1,$E$2+5)&amp;""))</f>
        <v/>
      </c>
      <c r="W882">
        <f>IF(ISNUMBER(SEARCH("구리독자",$V882)),"구리독자","")</f>
        <v/>
      </c>
      <c r="X882">
        <f>IF($R882="","",$R882&amp;"|"&amp;IF(OR($Q882="인턴",ISNUMBER(SEARCH("수련교육부",$P882))),"인턴",$P882))</f>
        <v/>
      </c>
      <c r="Y882">
        <f>IF($R882="","",IF(COUNTIF(명단표[이름|과],$X882)=1,"명단 일치",IF(AND(COUNTIF(명단표[이름|과],$X882)=0,COUNTIF(명단표[이름],$R882)=1),"명단 일치(이름만, 과 다름)",IF(COUNTIF(명단표[이름],$R882)=0,IF(COUNTIF(기본자료표[이름],$R882)&gt;0,"명단에 없음(기본자료에는 있음)","명단에 없음"),"동명이인 확인"))))</f>
        <v/>
      </c>
      <c r="Z882">
        <f>IF($R882="","",IF($S882&lt;0,"⚠"&amp;INDEX('입력_구리근무자명단'!$A880:$ZZ880,1,$E$2+2),TEXT($S882,"yyyy-mm-dd")))</f>
        <v/>
      </c>
      <c r="AA882">
        <f>IF($R882="","",IF($T882&lt;0,"⚠"&amp;INDEX('입력_구리근무자명단'!$A880:$ZZ880,1,$E$2+3),TEXT($T882,"yyyy-mm-dd")))</f>
        <v/>
      </c>
      <c r="AB882">
        <f>AB881+IF($R882="",0,1)</f>
        <v/>
      </c>
      <c r="AC882">
        <f>IF($R882="","",$AB882)</f>
        <v/>
      </c>
    </row>
    <row r="883">
      <c r="O883">
        <f>881</f>
        <v/>
      </c>
      <c r="P883">
        <f>IF(TRIM('입력_구리근무자명단'!$A881&amp;"")&lt;&gt;"",TRIM('입력_구리근무자명단'!$A881&amp;""),P882)</f>
        <v/>
      </c>
      <c r="Q883">
        <f>'입력_구리근무자명단'!$B881&amp;""</f>
        <v/>
      </c>
      <c r="R883">
        <f>IF($E$2="","",TRIM(INDEX('입력_구리근무자명단'!$A881:$ZZ881,1,$E$2+IF($G$2="확정",1,0))&amp;""))</f>
        <v/>
      </c>
      <c r="S883">
        <f>IF($R883="","",IF(INDEX('입력_구리근무자명단'!$A881:$ZZ881,1,$E$2+2)&amp;""="",급여기준월,IF(ISNUMBER(INDEX('입력_구리근무자명단'!$A881:$ZZ881,1,$E$2+2)),INDEX('입력_구리근무자명단'!$A881:$ZZ881,1,$E$2+2),IFERROR(DATE(VALUE(LEFT(INDEX('입력_구리근무자명단'!$A881:$ZZ881,1,$E$2+2),4)),VALUE(MID(INDEX('입력_구리근무자명단'!$A881:$ZZ881,1,$E$2+2),6,2)),VALUE(MID(INDEX('입력_구리근무자명단'!$A881:$ZZ881,1,$E$2+2),9,2))),-1))))</f>
        <v/>
      </c>
      <c r="T883">
        <f>IF($R883="","",IF(INDEX('입력_구리근무자명단'!$A881:$ZZ881,1,$E$2+3)&amp;""="",EOMONTH(급여기준월,0),IF(ISNUMBER(INDEX('입력_구리근무자명단'!$A881:$ZZ881,1,$E$2+3)),INDEX('입력_구리근무자명단'!$A881:$ZZ881,1,$E$2+3),IFERROR(DATE(VALUE(LEFT(INDEX('입력_구리근무자명단'!$A881:$ZZ881,1,$E$2+3),4)),VALUE(MID(INDEX('입력_구리근무자명단'!$A881:$ZZ881,1,$E$2+3),6,2)),VALUE(MID(INDEX('입력_구리근무자명단'!$A881:$ZZ881,1,$E$2+3),9,2))),-1))))</f>
        <v/>
      </c>
      <c r="U883">
        <f>IF($R883="","",IF(OR($S883&lt;0,$T883&lt;0),0,MAX(0,MIN($T883,EOMONTH(급여기준월,0))-MAX($S883,급여기준월)+1)))</f>
        <v/>
      </c>
      <c r="V883">
        <f>IF($R883="","",TRIM(INDEX('입력_구리근무자명단'!$A881:$ZZ881,1,$E$2+5)&amp;""))</f>
        <v/>
      </c>
      <c r="W883">
        <f>IF(ISNUMBER(SEARCH("구리독자",$V883)),"구리독자","")</f>
        <v/>
      </c>
      <c r="X883">
        <f>IF($R883="","",$R883&amp;"|"&amp;IF(OR($Q883="인턴",ISNUMBER(SEARCH("수련교육부",$P883))),"인턴",$P883))</f>
        <v/>
      </c>
      <c r="Y883">
        <f>IF($R883="","",IF(COUNTIF(명단표[이름|과],$X883)=1,"명단 일치",IF(AND(COUNTIF(명단표[이름|과],$X883)=0,COUNTIF(명단표[이름],$R883)=1),"명단 일치(이름만, 과 다름)",IF(COUNTIF(명단표[이름],$R883)=0,IF(COUNTIF(기본자료표[이름],$R883)&gt;0,"명단에 없음(기본자료에는 있음)","명단에 없음"),"동명이인 확인"))))</f>
        <v/>
      </c>
      <c r="Z883">
        <f>IF($R883="","",IF($S883&lt;0,"⚠"&amp;INDEX('입력_구리근무자명단'!$A881:$ZZ881,1,$E$2+2),TEXT($S883,"yyyy-mm-dd")))</f>
        <v/>
      </c>
      <c r="AA883">
        <f>IF($R883="","",IF($T883&lt;0,"⚠"&amp;INDEX('입력_구리근무자명단'!$A881:$ZZ881,1,$E$2+3),TEXT($T883,"yyyy-mm-dd")))</f>
        <v/>
      </c>
      <c r="AB883">
        <f>AB882+IF($R883="",0,1)</f>
        <v/>
      </c>
      <c r="AC883">
        <f>IF($R883="","",$AB883)</f>
        <v/>
      </c>
    </row>
    <row r="884">
      <c r="O884">
        <f>882</f>
        <v/>
      </c>
      <c r="P884">
        <f>IF(TRIM('입력_구리근무자명단'!$A882&amp;"")&lt;&gt;"",TRIM('입력_구리근무자명단'!$A882&amp;""),P883)</f>
        <v/>
      </c>
      <c r="Q884">
        <f>'입력_구리근무자명단'!$B882&amp;""</f>
        <v/>
      </c>
      <c r="R884">
        <f>IF($E$2="","",TRIM(INDEX('입력_구리근무자명단'!$A882:$ZZ882,1,$E$2+IF($G$2="확정",1,0))&amp;""))</f>
        <v/>
      </c>
      <c r="S884">
        <f>IF($R884="","",IF(INDEX('입력_구리근무자명단'!$A882:$ZZ882,1,$E$2+2)&amp;""="",급여기준월,IF(ISNUMBER(INDEX('입력_구리근무자명단'!$A882:$ZZ882,1,$E$2+2)),INDEX('입력_구리근무자명단'!$A882:$ZZ882,1,$E$2+2),IFERROR(DATE(VALUE(LEFT(INDEX('입력_구리근무자명단'!$A882:$ZZ882,1,$E$2+2),4)),VALUE(MID(INDEX('입력_구리근무자명단'!$A882:$ZZ882,1,$E$2+2),6,2)),VALUE(MID(INDEX('입력_구리근무자명단'!$A882:$ZZ882,1,$E$2+2),9,2))),-1))))</f>
        <v/>
      </c>
      <c r="T884">
        <f>IF($R884="","",IF(INDEX('입력_구리근무자명단'!$A882:$ZZ882,1,$E$2+3)&amp;""="",EOMONTH(급여기준월,0),IF(ISNUMBER(INDEX('입력_구리근무자명단'!$A882:$ZZ882,1,$E$2+3)),INDEX('입력_구리근무자명단'!$A882:$ZZ882,1,$E$2+3),IFERROR(DATE(VALUE(LEFT(INDEX('입력_구리근무자명단'!$A882:$ZZ882,1,$E$2+3),4)),VALUE(MID(INDEX('입력_구리근무자명단'!$A882:$ZZ882,1,$E$2+3),6,2)),VALUE(MID(INDEX('입력_구리근무자명단'!$A882:$ZZ882,1,$E$2+3),9,2))),-1))))</f>
        <v/>
      </c>
      <c r="U884">
        <f>IF($R884="","",IF(OR($S884&lt;0,$T884&lt;0),0,MAX(0,MIN($T884,EOMONTH(급여기준월,0))-MAX($S884,급여기준월)+1)))</f>
        <v/>
      </c>
      <c r="V884">
        <f>IF($R884="","",TRIM(INDEX('입력_구리근무자명단'!$A882:$ZZ882,1,$E$2+5)&amp;""))</f>
        <v/>
      </c>
      <c r="W884">
        <f>IF(ISNUMBER(SEARCH("구리독자",$V884)),"구리독자","")</f>
        <v/>
      </c>
      <c r="X884">
        <f>IF($R884="","",$R884&amp;"|"&amp;IF(OR($Q884="인턴",ISNUMBER(SEARCH("수련교육부",$P884))),"인턴",$P884))</f>
        <v/>
      </c>
      <c r="Y884">
        <f>IF($R884="","",IF(COUNTIF(명단표[이름|과],$X884)=1,"명단 일치",IF(AND(COUNTIF(명단표[이름|과],$X884)=0,COUNTIF(명단표[이름],$R884)=1),"명단 일치(이름만, 과 다름)",IF(COUNTIF(명단표[이름],$R884)=0,IF(COUNTIF(기본자료표[이름],$R884)&gt;0,"명단에 없음(기본자료에는 있음)","명단에 없음"),"동명이인 확인"))))</f>
        <v/>
      </c>
      <c r="Z884">
        <f>IF($R884="","",IF($S884&lt;0,"⚠"&amp;INDEX('입력_구리근무자명단'!$A882:$ZZ882,1,$E$2+2),TEXT($S884,"yyyy-mm-dd")))</f>
        <v/>
      </c>
      <c r="AA884">
        <f>IF($R884="","",IF($T884&lt;0,"⚠"&amp;INDEX('입력_구리근무자명단'!$A882:$ZZ882,1,$E$2+3),TEXT($T884,"yyyy-mm-dd")))</f>
        <v/>
      </c>
      <c r="AB884">
        <f>AB883+IF($R884="",0,1)</f>
        <v/>
      </c>
      <c r="AC884">
        <f>IF($R884="","",$AB884)</f>
        <v/>
      </c>
    </row>
    <row r="885">
      <c r="O885">
        <f>883</f>
        <v/>
      </c>
      <c r="P885">
        <f>IF(TRIM('입력_구리근무자명단'!$A883&amp;"")&lt;&gt;"",TRIM('입력_구리근무자명단'!$A883&amp;""),P884)</f>
        <v/>
      </c>
      <c r="Q885">
        <f>'입력_구리근무자명단'!$B883&amp;""</f>
        <v/>
      </c>
      <c r="R885">
        <f>IF($E$2="","",TRIM(INDEX('입력_구리근무자명단'!$A883:$ZZ883,1,$E$2+IF($G$2="확정",1,0))&amp;""))</f>
        <v/>
      </c>
      <c r="S885">
        <f>IF($R885="","",IF(INDEX('입력_구리근무자명단'!$A883:$ZZ883,1,$E$2+2)&amp;""="",급여기준월,IF(ISNUMBER(INDEX('입력_구리근무자명단'!$A883:$ZZ883,1,$E$2+2)),INDEX('입력_구리근무자명단'!$A883:$ZZ883,1,$E$2+2),IFERROR(DATE(VALUE(LEFT(INDEX('입력_구리근무자명단'!$A883:$ZZ883,1,$E$2+2),4)),VALUE(MID(INDEX('입력_구리근무자명단'!$A883:$ZZ883,1,$E$2+2),6,2)),VALUE(MID(INDEX('입력_구리근무자명단'!$A883:$ZZ883,1,$E$2+2),9,2))),-1))))</f>
        <v/>
      </c>
      <c r="T885">
        <f>IF($R885="","",IF(INDEX('입력_구리근무자명단'!$A883:$ZZ883,1,$E$2+3)&amp;""="",EOMONTH(급여기준월,0),IF(ISNUMBER(INDEX('입력_구리근무자명단'!$A883:$ZZ883,1,$E$2+3)),INDEX('입력_구리근무자명단'!$A883:$ZZ883,1,$E$2+3),IFERROR(DATE(VALUE(LEFT(INDEX('입력_구리근무자명단'!$A883:$ZZ883,1,$E$2+3),4)),VALUE(MID(INDEX('입력_구리근무자명단'!$A883:$ZZ883,1,$E$2+3),6,2)),VALUE(MID(INDEX('입력_구리근무자명단'!$A883:$ZZ883,1,$E$2+3),9,2))),-1))))</f>
        <v/>
      </c>
      <c r="U885">
        <f>IF($R885="","",IF(OR($S885&lt;0,$T885&lt;0),0,MAX(0,MIN($T885,EOMONTH(급여기준월,0))-MAX($S885,급여기준월)+1)))</f>
        <v/>
      </c>
      <c r="V885">
        <f>IF($R885="","",TRIM(INDEX('입력_구리근무자명단'!$A883:$ZZ883,1,$E$2+5)&amp;""))</f>
        <v/>
      </c>
      <c r="W885">
        <f>IF(ISNUMBER(SEARCH("구리독자",$V885)),"구리독자","")</f>
        <v/>
      </c>
      <c r="X885">
        <f>IF($R885="","",$R885&amp;"|"&amp;IF(OR($Q885="인턴",ISNUMBER(SEARCH("수련교육부",$P885))),"인턴",$P885))</f>
        <v/>
      </c>
      <c r="Y885">
        <f>IF($R885="","",IF(COUNTIF(명단표[이름|과],$X885)=1,"명단 일치",IF(AND(COUNTIF(명단표[이름|과],$X885)=0,COUNTIF(명단표[이름],$R885)=1),"명단 일치(이름만, 과 다름)",IF(COUNTIF(명단표[이름],$R885)=0,IF(COUNTIF(기본자료표[이름],$R885)&gt;0,"명단에 없음(기본자료에는 있음)","명단에 없음"),"동명이인 확인"))))</f>
        <v/>
      </c>
      <c r="Z885">
        <f>IF($R885="","",IF($S885&lt;0,"⚠"&amp;INDEX('입력_구리근무자명단'!$A883:$ZZ883,1,$E$2+2),TEXT($S885,"yyyy-mm-dd")))</f>
        <v/>
      </c>
      <c r="AA885">
        <f>IF($R885="","",IF($T885&lt;0,"⚠"&amp;INDEX('입력_구리근무자명단'!$A883:$ZZ883,1,$E$2+3),TEXT($T885,"yyyy-mm-dd")))</f>
        <v/>
      </c>
      <c r="AB885">
        <f>AB884+IF($R885="",0,1)</f>
        <v/>
      </c>
      <c r="AC885">
        <f>IF($R885="","",$AB885)</f>
        <v/>
      </c>
    </row>
    <row r="886">
      <c r="O886">
        <f>884</f>
        <v/>
      </c>
      <c r="P886">
        <f>IF(TRIM('입력_구리근무자명단'!$A884&amp;"")&lt;&gt;"",TRIM('입력_구리근무자명단'!$A884&amp;""),P885)</f>
        <v/>
      </c>
      <c r="Q886">
        <f>'입력_구리근무자명단'!$B884&amp;""</f>
        <v/>
      </c>
      <c r="R886">
        <f>IF($E$2="","",TRIM(INDEX('입력_구리근무자명단'!$A884:$ZZ884,1,$E$2+IF($G$2="확정",1,0))&amp;""))</f>
        <v/>
      </c>
      <c r="S886">
        <f>IF($R886="","",IF(INDEX('입력_구리근무자명단'!$A884:$ZZ884,1,$E$2+2)&amp;""="",급여기준월,IF(ISNUMBER(INDEX('입력_구리근무자명단'!$A884:$ZZ884,1,$E$2+2)),INDEX('입력_구리근무자명단'!$A884:$ZZ884,1,$E$2+2),IFERROR(DATE(VALUE(LEFT(INDEX('입력_구리근무자명단'!$A884:$ZZ884,1,$E$2+2),4)),VALUE(MID(INDEX('입력_구리근무자명단'!$A884:$ZZ884,1,$E$2+2),6,2)),VALUE(MID(INDEX('입력_구리근무자명단'!$A884:$ZZ884,1,$E$2+2),9,2))),-1))))</f>
        <v/>
      </c>
      <c r="T886">
        <f>IF($R886="","",IF(INDEX('입력_구리근무자명단'!$A884:$ZZ884,1,$E$2+3)&amp;""="",EOMONTH(급여기준월,0),IF(ISNUMBER(INDEX('입력_구리근무자명단'!$A884:$ZZ884,1,$E$2+3)),INDEX('입력_구리근무자명단'!$A884:$ZZ884,1,$E$2+3),IFERROR(DATE(VALUE(LEFT(INDEX('입력_구리근무자명단'!$A884:$ZZ884,1,$E$2+3),4)),VALUE(MID(INDEX('입력_구리근무자명단'!$A884:$ZZ884,1,$E$2+3),6,2)),VALUE(MID(INDEX('입력_구리근무자명단'!$A884:$ZZ884,1,$E$2+3),9,2))),-1))))</f>
        <v/>
      </c>
      <c r="U886">
        <f>IF($R886="","",IF(OR($S886&lt;0,$T886&lt;0),0,MAX(0,MIN($T886,EOMONTH(급여기준월,0))-MAX($S886,급여기준월)+1)))</f>
        <v/>
      </c>
      <c r="V886">
        <f>IF($R886="","",TRIM(INDEX('입력_구리근무자명단'!$A884:$ZZ884,1,$E$2+5)&amp;""))</f>
        <v/>
      </c>
      <c r="W886">
        <f>IF(ISNUMBER(SEARCH("구리독자",$V886)),"구리독자","")</f>
        <v/>
      </c>
      <c r="X886">
        <f>IF($R886="","",$R886&amp;"|"&amp;IF(OR($Q886="인턴",ISNUMBER(SEARCH("수련교육부",$P886))),"인턴",$P886))</f>
        <v/>
      </c>
      <c r="Y886">
        <f>IF($R886="","",IF(COUNTIF(명단표[이름|과],$X886)=1,"명단 일치",IF(AND(COUNTIF(명단표[이름|과],$X886)=0,COUNTIF(명단표[이름],$R886)=1),"명단 일치(이름만, 과 다름)",IF(COUNTIF(명단표[이름],$R886)=0,IF(COUNTIF(기본자료표[이름],$R886)&gt;0,"명단에 없음(기본자료에는 있음)","명단에 없음"),"동명이인 확인"))))</f>
        <v/>
      </c>
      <c r="Z886">
        <f>IF($R886="","",IF($S886&lt;0,"⚠"&amp;INDEX('입력_구리근무자명단'!$A884:$ZZ884,1,$E$2+2),TEXT($S886,"yyyy-mm-dd")))</f>
        <v/>
      </c>
      <c r="AA886">
        <f>IF($R886="","",IF($T886&lt;0,"⚠"&amp;INDEX('입력_구리근무자명단'!$A884:$ZZ884,1,$E$2+3),TEXT($T886,"yyyy-mm-dd")))</f>
        <v/>
      </c>
      <c r="AB886">
        <f>AB885+IF($R886="",0,1)</f>
        <v/>
      </c>
      <c r="AC886">
        <f>IF($R886="","",$AB886)</f>
        <v/>
      </c>
    </row>
    <row r="887">
      <c r="O887">
        <f>885</f>
        <v/>
      </c>
      <c r="P887">
        <f>IF(TRIM('입력_구리근무자명단'!$A885&amp;"")&lt;&gt;"",TRIM('입력_구리근무자명단'!$A885&amp;""),P886)</f>
        <v/>
      </c>
      <c r="Q887">
        <f>'입력_구리근무자명단'!$B885&amp;""</f>
        <v/>
      </c>
      <c r="R887">
        <f>IF($E$2="","",TRIM(INDEX('입력_구리근무자명단'!$A885:$ZZ885,1,$E$2+IF($G$2="확정",1,0))&amp;""))</f>
        <v/>
      </c>
      <c r="S887">
        <f>IF($R887="","",IF(INDEX('입력_구리근무자명단'!$A885:$ZZ885,1,$E$2+2)&amp;""="",급여기준월,IF(ISNUMBER(INDEX('입력_구리근무자명단'!$A885:$ZZ885,1,$E$2+2)),INDEX('입력_구리근무자명단'!$A885:$ZZ885,1,$E$2+2),IFERROR(DATE(VALUE(LEFT(INDEX('입력_구리근무자명단'!$A885:$ZZ885,1,$E$2+2),4)),VALUE(MID(INDEX('입력_구리근무자명단'!$A885:$ZZ885,1,$E$2+2),6,2)),VALUE(MID(INDEX('입력_구리근무자명단'!$A885:$ZZ885,1,$E$2+2),9,2))),-1))))</f>
        <v/>
      </c>
      <c r="T887">
        <f>IF($R887="","",IF(INDEX('입력_구리근무자명단'!$A885:$ZZ885,1,$E$2+3)&amp;""="",EOMONTH(급여기준월,0),IF(ISNUMBER(INDEX('입력_구리근무자명단'!$A885:$ZZ885,1,$E$2+3)),INDEX('입력_구리근무자명단'!$A885:$ZZ885,1,$E$2+3),IFERROR(DATE(VALUE(LEFT(INDEX('입력_구리근무자명단'!$A885:$ZZ885,1,$E$2+3),4)),VALUE(MID(INDEX('입력_구리근무자명단'!$A885:$ZZ885,1,$E$2+3),6,2)),VALUE(MID(INDEX('입력_구리근무자명단'!$A885:$ZZ885,1,$E$2+3),9,2))),-1))))</f>
        <v/>
      </c>
      <c r="U887">
        <f>IF($R887="","",IF(OR($S887&lt;0,$T887&lt;0),0,MAX(0,MIN($T887,EOMONTH(급여기준월,0))-MAX($S887,급여기준월)+1)))</f>
        <v/>
      </c>
      <c r="V887">
        <f>IF($R887="","",TRIM(INDEX('입력_구리근무자명단'!$A885:$ZZ885,1,$E$2+5)&amp;""))</f>
        <v/>
      </c>
      <c r="W887">
        <f>IF(ISNUMBER(SEARCH("구리독자",$V887)),"구리독자","")</f>
        <v/>
      </c>
      <c r="X887">
        <f>IF($R887="","",$R887&amp;"|"&amp;IF(OR($Q887="인턴",ISNUMBER(SEARCH("수련교육부",$P887))),"인턴",$P887))</f>
        <v/>
      </c>
      <c r="Y887">
        <f>IF($R887="","",IF(COUNTIF(명단표[이름|과],$X887)=1,"명단 일치",IF(AND(COUNTIF(명단표[이름|과],$X887)=0,COUNTIF(명단표[이름],$R887)=1),"명단 일치(이름만, 과 다름)",IF(COUNTIF(명단표[이름],$R887)=0,IF(COUNTIF(기본자료표[이름],$R887)&gt;0,"명단에 없음(기본자료에는 있음)","명단에 없음"),"동명이인 확인"))))</f>
        <v/>
      </c>
      <c r="Z887">
        <f>IF($R887="","",IF($S887&lt;0,"⚠"&amp;INDEX('입력_구리근무자명단'!$A885:$ZZ885,1,$E$2+2),TEXT($S887,"yyyy-mm-dd")))</f>
        <v/>
      </c>
      <c r="AA887">
        <f>IF($R887="","",IF($T887&lt;0,"⚠"&amp;INDEX('입력_구리근무자명단'!$A885:$ZZ885,1,$E$2+3),TEXT($T887,"yyyy-mm-dd")))</f>
        <v/>
      </c>
      <c r="AB887">
        <f>AB886+IF($R887="",0,1)</f>
        <v/>
      </c>
      <c r="AC887">
        <f>IF($R887="","",$AB887)</f>
        <v/>
      </c>
    </row>
    <row r="888">
      <c r="O888">
        <f>886</f>
        <v/>
      </c>
      <c r="P888">
        <f>IF(TRIM('입력_구리근무자명단'!$A886&amp;"")&lt;&gt;"",TRIM('입력_구리근무자명단'!$A886&amp;""),P887)</f>
        <v/>
      </c>
      <c r="Q888">
        <f>'입력_구리근무자명단'!$B886&amp;""</f>
        <v/>
      </c>
      <c r="R888">
        <f>IF($E$2="","",TRIM(INDEX('입력_구리근무자명단'!$A886:$ZZ886,1,$E$2+IF($G$2="확정",1,0))&amp;""))</f>
        <v/>
      </c>
      <c r="S888">
        <f>IF($R888="","",IF(INDEX('입력_구리근무자명단'!$A886:$ZZ886,1,$E$2+2)&amp;""="",급여기준월,IF(ISNUMBER(INDEX('입력_구리근무자명단'!$A886:$ZZ886,1,$E$2+2)),INDEX('입력_구리근무자명단'!$A886:$ZZ886,1,$E$2+2),IFERROR(DATE(VALUE(LEFT(INDEX('입력_구리근무자명단'!$A886:$ZZ886,1,$E$2+2),4)),VALUE(MID(INDEX('입력_구리근무자명단'!$A886:$ZZ886,1,$E$2+2),6,2)),VALUE(MID(INDEX('입력_구리근무자명단'!$A886:$ZZ886,1,$E$2+2),9,2))),-1))))</f>
        <v/>
      </c>
      <c r="T888">
        <f>IF($R888="","",IF(INDEX('입력_구리근무자명단'!$A886:$ZZ886,1,$E$2+3)&amp;""="",EOMONTH(급여기준월,0),IF(ISNUMBER(INDEX('입력_구리근무자명단'!$A886:$ZZ886,1,$E$2+3)),INDEX('입력_구리근무자명단'!$A886:$ZZ886,1,$E$2+3),IFERROR(DATE(VALUE(LEFT(INDEX('입력_구리근무자명단'!$A886:$ZZ886,1,$E$2+3),4)),VALUE(MID(INDEX('입력_구리근무자명단'!$A886:$ZZ886,1,$E$2+3),6,2)),VALUE(MID(INDEX('입력_구리근무자명단'!$A886:$ZZ886,1,$E$2+3),9,2))),-1))))</f>
        <v/>
      </c>
      <c r="U888">
        <f>IF($R888="","",IF(OR($S888&lt;0,$T888&lt;0),0,MAX(0,MIN($T888,EOMONTH(급여기준월,0))-MAX($S888,급여기준월)+1)))</f>
        <v/>
      </c>
      <c r="V888">
        <f>IF($R888="","",TRIM(INDEX('입력_구리근무자명단'!$A886:$ZZ886,1,$E$2+5)&amp;""))</f>
        <v/>
      </c>
      <c r="W888">
        <f>IF(ISNUMBER(SEARCH("구리독자",$V888)),"구리독자","")</f>
        <v/>
      </c>
      <c r="X888">
        <f>IF($R888="","",$R888&amp;"|"&amp;IF(OR($Q888="인턴",ISNUMBER(SEARCH("수련교육부",$P888))),"인턴",$P888))</f>
        <v/>
      </c>
      <c r="Y888">
        <f>IF($R888="","",IF(COUNTIF(명단표[이름|과],$X888)=1,"명단 일치",IF(AND(COUNTIF(명단표[이름|과],$X888)=0,COUNTIF(명단표[이름],$R888)=1),"명단 일치(이름만, 과 다름)",IF(COUNTIF(명단표[이름],$R888)=0,IF(COUNTIF(기본자료표[이름],$R888)&gt;0,"명단에 없음(기본자료에는 있음)","명단에 없음"),"동명이인 확인"))))</f>
        <v/>
      </c>
      <c r="Z888">
        <f>IF($R888="","",IF($S888&lt;0,"⚠"&amp;INDEX('입력_구리근무자명단'!$A886:$ZZ886,1,$E$2+2),TEXT($S888,"yyyy-mm-dd")))</f>
        <v/>
      </c>
      <c r="AA888">
        <f>IF($R888="","",IF($T888&lt;0,"⚠"&amp;INDEX('입력_구리근무자명단'!$A886:$ZZ886,1,$E$2+3),TEXT($T888,"yyyy-mm-dd")))</f>
        <v/>
      </c>
      <c r="AB888">
        <f>AB887+IF($R888="",0,1)</f>
        <v/>
      </c>
      <c r="AC888">
        <f>IF($R888="","",$AB888)</f>
        <v/>
      </c>
    </row>
    <row r="889">
      <c r="O889">
        <f>887</f>
        <v/>
      </c>
      <c r="P889">
        <f>IF(TRIM('입력_구리근무자명단'!$A887&amp;"")&lt;&gt;"",TRIM('입력_구리근무자명단'!$A887&amp;""),P888)</f>
        <v/>
      </c>
      <c r="Q889">
        <f>'입력_구리근무자명단'!$B887&amp;""</f>
        <v/>
      </c>
      <c r="R889">
        <f>IF($E$2="","",TRIM(INDEX('입력_구리근무자명단'!$A887:$ZZ887,1,$E$2+IF($G$2="확정",1,0))&amp;""))</f>
        <v/>
      </c>
      <c r="S889">
        <f>IF($R889="","",IF(INDEX('입력_구리근무자명단'!$A887:$ZZ887,1,$E$2+2)&amp;""="",급여기준월,IF(ISNUMBER(INDEX('입력_구리근무자명단'!$A887:$ZZ887,1,$E$2+2)),INDEX('입력_구리근무자명단'!$A887:$ZZ887,1,$E$2+2),IFERROR(DATE(VALUE(LEFT(INDEX('입력_구리근무자명단'!$A887:$ZZ887,1,$E$2+2),4)),VALUE(MID(INDEX('입력_구리근무자명단'!$A887:$ZZ887,1,$E$2+2),6,2)),VALUE(MID(INDEX('입력_구리근무자명단'!$A887:$ZZ887,1,$E$2+2),9,2))),-1))))</f>
        <v/>
      </c>
      <c r="T889">
        <f>IF($R889="","",IF(INDEX('입력_구리근무자명단'!$A887:$ZZ887,1,$E$2+3)&amp;""="",EOMONTH(급여기준월,0),IF(ISNUMBER(INDEX('입력_구리근무자명단'!$A887:$ZZ887,1,$E$2+3)),INDEX('입력_구리근무자명단'!$A887:$ZZ887,1,$E$2+3),IFERROR(DATE(VALUE(LEFT(INDEX('입력_구리근무자명단'!$A887:$ZZ887,1,$E$2+3),4)),VALUE(MID(INDEX('입력_구리근무자명단'!$A887:$ZZ887,1,$E$2+3),6,2)),VALUE(MID(INDEX('입력_구리근무자명단'!$A887:$ZZ887,1,$E$2+3),9,2))),-1))))</f>
        <v/>
      </c>
      <c r="U889">
        <f>IF($R889="","",IF(OR($S889&lt;0,$T889&lt;0),0,MAX(0,MIN($T889,EOMONTH(급여기준월,0))-MAX($S889,급여기준월)+1)))</f>
        <v/>
      </c>
      <c r="V889">
        <f>IF($R889="","",TRIM(INDEX('입력_구리근무자명단'!$A887:$ZZ887,1,$E$2+5)&amp;""))</f>
        <v/>
      </c>
      <c r="W889">
        <f>IF(ISNUMBER(SEARCH("구리독자",$V889)),"구리독자","")</f>
        <v/>
      </c>
      <c r="X889">
        <f>IF($R889="","",$R889&amp;"|"&amp;IF(OR($Q889="인턴",ISNUMBER(SEARCH("수련교육부",$P889))),"인턴",$P889))</f>
        <v/>
      </c>
      <c r="Y889">
        <f>IF($R889="","",IF(COUNTIF(명단표[이름|과],$X889)=1,"명단 일치",IF(AND(COUNTIF(명단표[이름|과],$X889)=0,COUNTIF(명단표[이름],$R889)=1),"명단 일치(이름만, 과 다름)",IF(COUNTIF(명단표[이름],$R889)=0,IF(COUNTIF(기본자료표[이름],$R889)&gt;0,"명단에 없음(기본자료에는 있음)","명단에 없음"),"동명이인 확인"))))</f>
        <v/>
      </c>
      <c r="Z889">
        <f>IF($R889="","",IF($S889&lt;0,"⚠"&amp;INDEX('입력_구리근무자명단'!$A887:$ZZ887,1,$E$2+2),TEXT($S889,"yyyy-mm-dd")))</f>
        <v/>
      </c>
      <c r="AA889">
        <f>IF($R889="","",IF($T889&lt;0,"⚠"&amp;INDEX('입력_구리근무자명단'!$A887:$ZZ887,1,$E$2+3),TEXT($T889,"yyyy-mm-dd")))</f>
        <v/>
      </c>
      <c r="AB889">
        <f>AB888+IF($R889="",0,1)</f>
        <v/>
      </c>
      <c r="AC889">
        <f>IF($R889="","",$AB889)</f>
        <v/>
      </c>
    </row>
    <row r="890">
      <c r="O890">
        <f>888</f>
        <v/>
      </c>
      <c r="P890">
        <f>IF(TRIM('입력_구리근무자명단'!$A888&amp;"")&lt;&gt;"",TRIM('입력_구리근무자명단'!$A888&amp;""),P889)</f>
        <v/>
      </c>
      <c r="Q890">
        <f>'입력_구리근무자명단'!$B888&amp;""</f>
        <v/>
      </c>
      <c r="R890">
        <f>IF($E$2="","",TRIM(INDEX('입력_구리근무자명단'!$A888:$ZZ888,1,$E$2+IF($G$2="확정",1,0))&amp;""))</f>
        <v/>
      </c>
      <c r="S890">
        <f>IF($R890="","",IF(INDEX('입력_구리근무자명단'!$A888:$ZZ888,1,$E$2+2)&amp;""="",급여기준월,IF(ISNUMBER(INDEX('입력_구리근무자명단'!$A888:$ZZ888,1,$E$2+2)),INDEX('입력_구리근무자명단'!$A888:$ZZ888,1,$E$2+2),IFERROR(DATE(VALUE(LEFT(INDEX('입력_구리근무자명단'!$A888:$ZZ888,1,$E$2+2),4)),VALUE(MID(INDEX('입력_구리근무자명단'!$A888:$ZZ888,1,$E$2+2),6,2)),VALUE(MID(INDEX('입력_구리근무자명단'!$A888:$ZZ888,1,$E$2+2),9,2))),-1))))</f>
        <v/>
      </c>
      <c r="T890">
        <f>IF($R890="","",IF(INDEX('입력_구리근무자명단'!$A888:$ZZ888,1,$E$2+3)&amp;""="",EOMONTH(급여기준월,0),IF(ISNUMBER(INDEX('입력_구리근무자명단'!$A888:$ZZ888,1,$E$2+3)),INDEX('입력_구리근무자명단'!$A888:$ZZ888,1,$E$2+3),IFERROR(DATE(VALUE(LEFT(INDEX('입력_구리근무자명단'!$A888:$ZZ888,1,$E$2+3),4)),VALUE(MID(INDEX('입력_구리근무자명단'!$A888:$ZZ888,1,$E$2+3),6,2)),VALUE(MID(INDEX('입력_구리근무자명단'!$A888:$ZZ888,1,$E$2+3),9,2))),-1))))</f>
        <v/>
      </c>
      <c r="U890">
        <f>IF($R890="","",IF(OR($S890&lt;0,$T890&lt;0),0,MAX(0,MIN($T890,EOMONTH(급여기준월,0))-MAX($S890,급여기준월)+1)))</f>
        <v/>
      </c>
      <c r="V890">
        <f>IF($R890="","",TRIM(INDEX('입력_구리근무자명단'!$A888:$ZZ888,1,$E$2+5)&amp;""))</f>
        <v/>
      </c>
      <c r="W890">
        <f>IF(ISNUMBER(SEARCH("구리독자",$V890)),"구리독자","")</f>
        <v/>
      </c>
      <c r="X890">
        <f>IF($R890="","",$R890&amp;"|"&amp;IF(OR($Q890="인턴",ISNUMBER(SEARCH("수련교육부",$P890))),"인턴",$P890))</f>
        <v/>
      </c>
      <c r="Y890">
        <f>IF($R890="","",IF(COUNTIF(명단표[이름|과],$X890)=1,"명단 일치",IF(AND(COUNTIF(명단표[이름|과],$X890)=0,COUNTIF(명단표[이름],$R890)=1),"명단 일치(이름만, 과 다름)",IF(COUNTIF(명단표[이름],$R890)=0,IF(COUNTIF(기본자료표[이름],$R890)&gt;0,"명단에 없음(기본자료에는 있음)","명단에 없음"),"동명이인 확인"))))</f>
        <v/>
      </c>
      <c r="Z890">
        <f>IF($R890="","",IF($S890&lt;0,"⚠"&amp;INDEX('입력_구리근무자명단'!$A888:$ZZ888,1,$E$2+2),TEXT($S890,"yyyy-mm-dd")))</f>
        <v/>
      </c>
      <c r="AA890">
        <f>IF($R890="","",IF($T890&lt;0,"⚠"&amp;INDEX('입력_구리근무자명단'!$A888:$ZZ888,1,$E$2+3),TEXT($T890,"yyyy-mm-dd")))</f>
        <v/>
      </c>
      <c r="AB890">
        <f>AB889+IF($R890="",0,1)</f>
        <v/>
      </c>
      <c r="AC890">
        <f>IF($R890="","",$AB890)</f>
        <v/>
      </c>
    </row>
    <row r="891">
      <c r="O891">
        <f>889</f>
        <v/>
      </c>
      <c r="P891">
        <f>IF(TRIM('입력_구리근무자명단'!$A889&amp;"")&lt;&gt;"",TRIM('입력_구리근무자명단'!$A889&amp;""),P890)</f>
        <v/>
      </c>
      <c r="Q891">
        <f>'입력_구리근무자명단'!$B889&amp;""</f>
        <v/>
      </c>
      <c r="R891">
        <f>IF($E$2="","",TRIM(INDEX('입력_구리근무자명단'!$A889:$ZZ889,1,$E$2+IF($G$2="확정",1,0))&amp;""))</f>
        <v/>
      </c>
      <c r="S891">
        <f>IF($R891="","",IF(INDEX('입력_구리근무자명단'!$A889:$ZZ889,1,$E$2+2)&amp;""="",급여기준월,IF(ISNUMBER(INDEX('입력_구리근무자명단'!$A889:$ZZ889,1,$E$2+2)),INDEX('입력_구리근무자명단'!$A889:$ZZ889,1,$E$2+2),IFERROR(DATE(VALUE(LEFT(INDEX('입력_구리근무자명단'!$A889:$ZZ889,1,$E$2+2),4)),VALUE(MID(INDEX('입력_구리근무자명단'!$A889:$ZZ889,1,$E$2+2),6,2)),VALUE(MID(INDEX('입력_구리근무자명단'!$A889:$ZZ889,1,$E$2+2),9,2))),-1))))</f>
        <v/>
      </c>
      <c r="T891">
        <f>IF($R891="","",IF(INDEX('입력_구리근무자명단'!$A889:$ZZ889,1,$E$2+3)&amp;""="",EOMONTH(급여기준월,0),IF(ISNUMBER(INDEX('입력_구리근무자명단'!$A889:$ZZ889,1,$E$2+3)),INDEX('입력_구리근무자명단'!$A889:$ZZ889,1,$E$2+3),IFERROR(DATE(VALUE(LEFT(INDEX('입력_구리근무자명단'!$A889:$ZZ889,1,$E$2+3),4)),VALUE(MID(INDEX('입력_구리근무자명단'!$A889:$ZZ889,1,$E$2+3),6,2)),VALUE(MID(INDEX('입력_구리근무자명단'!$A889:$ZZ889,1,$E$2+3),9,2))),-1))))</f>
        <v/>
      </c>
      <c r="U891">
        <f>IF($R891="","",IF(OR($S891&lt;0,$T891&lt;0),0,MAX(0,MIN($T891,EOMONTH(급여기준월,0))-MAX($S891,급여기준월)+1)))</f>
        <v/>
      </c>
      <c r="V891">
        <f>IF($R891="","",TRIM(INDEX('입력_구리근무자명단'!$A889:$ZZ889,1,$E$2+5)&amp;""))</f>
        <v/>
      </c>
      <c r="W891">
        <f>IF(ISNUMBER(SEARCH("구리독자",$V891)),"구리독자","")</f>
        <v/>
      </c>
      <c r="X891">
        <f>IF($R891="","",$R891&amp;"|"&amp;IF(OR($Q891="인턴",ISNUMBER(SEARCH("수련교육부",$P891))),"인턴",$P891))</f>
        <v/>
      </c>
      <c r="Y891">
        <f>IF($R891="","",IF(COUNTIF(명단표[이름|과],$X891)=1,"명단 일치",IF(AND(COUNTIF(명단표[이름|과],$X891)=0,COUNTIF(명단표[이름],$R891)=1),"명단 일치(이름만, 과 다름)",IF(COUNTIF(명단표[이름],$R891)=0,IF(COUNTIF(기본자료표[이름],$R891)&gt;0,"명단에 없음(기본자료에는 있음)","명단에 없음"),"동명이인 확인"))))</f>
        <v/>
      </c>
      <c r="Z891">
        <f>IF($R891="","",IF($S891&lt;0,"⚠"&amp;INDEX('입력_구리근무자명단'!$A889:$ZZ889,1,$E$2+2),TEXT($S891,"yyyy-mm-dd")))</f>
        <v/>
      </c>
      <c r="AA891">
        <f>IF($R891="","",IF($T891&lt;0,"⚠"&amp;INDEX('입력_구리근무자명단'!$A889:$ZZ889,1,$E$2+3),TEXT($T891,"yyyy-mm-dd")))</f>
        <v/>
      </c>
      <c r="AB891">
        <f>AB890+IF($R891="",0,1)</f>
        <v/>
      </c>
      <c r="AC891">
        <f>IF($R891="","",$AB891)</f>
        <v/>
      </c>
    </row>
    <row r="892">
      <c r="O892">
        <f>890</f>
        <v/>
      </c>
      <c r="P892">
        <f>IF(TRIM('입력_구리근무자명단'!$A890&amp;"")&lt;&gt;"",TRIM('입력_구리근무자명단'!$A890&amp;""),P891)</f>
        <v/>
      </c>
      <c r="Q892">
        <f>'입력_구리근무자명단'!$B890&amp;""</f>
        <v/>
      </c>
      <c r="R892">
        <f>IF($E$2="","",TRIM(INDEX('입력_구리근무자명단'!$A890:$ZZ890,1,$E$2+IF($G$2="확정",1,0))&amp;""))</f>
        <v/>
      </c>
      <c r="S892">
        <f>IF($R892="","",IF(INDEX('입력_구리근무자명단'!$A890:$ZZ890,1,$E$2+2)&amp;""="",급여기준월,IF(ISNUMBER(INDEX('입력_구리근무자명단'!$A890:$ZZ890,1,$E$2+2)),INDEX('입력_구리근무자명단'!$A890:$ZZ890,1,$E$2+2),IFERROR(DATE(VALUE(LEFT(INDEX('입력_구리근무자명단'!$A890:$ZZ890,1,$E$2+2),4)),VALUE(MID(INDEX('입력_구리근무자명단'!$A890:$ZZ890,1,$E$2+2),6,2)),VALUE(MID(INDEX('입력_구리근무자명단'!$A890:$ZZ890,1,$E$2+2),9,2))),-1))))</f>
        <v/>
      </c>
      <c r="T892">
        <f>IF($R892="","",IF(INDEX('입력_구리근무자명단'!$A890:$ZZ890,1,$E$2+3)&amp;""="",EOMONTH(급여기준월,0),IF(ISNUMBER(INDEX('입력_구리근무자명단'!$A890:$ZZ890,1,$E$2+3)),INDEX('입력_구리근무자명단'!$A890:$ZZ890,1,$E$2+3),IFERROR(DATE(VALUE(LEFT(INDEX('입력_구리근무자명단'!$A890:$ZZ890,1,$E$2+3),4)),VALUE(MID(INDEX('입력_구리근무자명단'!$A890:$ZZ890,1,$E$2+3),6,2)),VALUE(MID(INDEX('입력_구리근무자명단'!$A890:$ZZ890,1,$E$2+3),9,2))),-1))))</f>
        <v/>
      </c>
      <c r="U892">
        <f>IF($R892="","",IF(OR($S892&lt;0,$T892&lt;0),0,MAX(0,MIN($T892,EOMONTH(급여기준월,0))-MAX($S892,급여기준월)+1)))</f>
        <v/>
      </c>
      <c r="V892">
        <f>IF($R892="","",TRIM(INDEX('입력_구리근무자명단'!$A890:$ZZ890,1,$E$2+5)&amp;""))</f>
        <v/>
      </c>
      <c r="W892">
        <f>IF(ISNUMBER(SEARCH("구리독자",$V892)),"구리독자","")</f>
        <v/>
      </c>
      <c r="X892">
        <f>IF($R892="","",$R892&amp;"|"&amp;IF(OR($Q892="인턴",ISNUMBER(SEARCH("수련교육부",$P892))),"인턴",$P892))</f>
        <v/>
      </c>
      <c r="Y892">
        <f>IF($R892="","",IF(COUNTIF(명단표[이름|과],$X892)=1,"명단 일치",IF(AND(COUNTIF(명단표[이름|과],$X892)=0,COUNTIF(명단표[이름],$R892)=1),"명단 일치(이름만, 과 다름)",IF(COUNTIF(명단표[이름],$R892)=0,IF(COUNTIF(기본자료표[이름],$R892)&gt;0,"명단에 없음(기본자료에는 있음)","명단에 없음"),"동명이인 확인"))))</f>
        <v/>
      </c>
      <c r="Z892">
        <f>IF($R892="","",IF($S892&lt;0,"⚠"&amp;INDEX('입력_구리근무자명단'!$A890:$ZZ890,1,$E$2+2),TEXT($S892,"yyyy-mm-dd")))</f>
        <v/>
      </c>
      <c r="AA892">
        <f>IF($R892="","",IF($T892&lt;0,"⚠"&amp;INDEX('입력_구리근무자명단'!$A890:$ZZ890,1,$E$2+3),TEXT($T892,"yyyy-mm-dd")))</f>
        <v/>
      </c>
      <c r="AB892">
        <f>AB891+IF($R892="",0,1)</f>
        <v/>
      </c>
      <c r="AC892">
        <f>IF($R892="","",$AB892)</f>
        <v/>
      </c>
    </row>
    <row r="893">
      <c r="O893">
        <f>891</f>
        <v/>
      </c>
      <c r="P893">
        <f>IF(TRIM('입력_구리근무자명단'!$A891&amp;"")&lt;&gt;"",TRIM('입력_구리근무자명단'!$A891&amp;""),P892)</f>
        <v/>
      </c>
      <c r="Q893">
        <f>'입력_구리근무자명단'!$B891&amp;""</f>
        <v/>
      </c>
      <c r="R893">
        <f>IF($E$2="","",TRIM(INDEX('입력_구리근무자명단'!$A891:$ZZ891,1,$E$2+IF($G$2="확정",1,0))&amp;""))</f>
        <v/>
      </c>
      <c r="S893">
        <f>IF($R893="","",IF(INDEX('입력_구리근무자명단'!$A891:$ZZ891,1,$E$2+2)&amp;""="",급여기준월,IF(ISNUMBER(INDEX('입력_구리근무자명단'!$A891:$ZZ891,1,$E$2+2)),INDEX('입력_구리근무자명단'!$A891:$ZZ891,1,$E$2+2),IFERROR(DATE(VALUE(LEFT(INDEX('입력_구리근무자명단'!$A891:$ZZ891,1,$E$2+2),4)),VALUE(MID(INDEX('입력_구리근무자명단'!$A891:$ZZ891,1,$E$2+2),6,2)),VALUE(MID(INDEX('입력_구리근무자명단'!$A891:$ZZ891,1,$E$2+2),9,2))),-1))))</f>
        <v/>
      </c>
      <c r="T893">
        <f>IF($R893="","",IF(INDEX('입력_구리근무자명단'!$A891:$ZZ891,1,$E$2+3)&amp;""="",EOMONTH(급여기준월,0),IF(ISNUMBER(INDEX('입력_구리근무자명단'!$A891:$ZZ891,1,$E$2+3)),INDEX('입력_구리근무자명단'!$A891:$ZZ891,1,$E$2+3),IFERROR(DATE(VALUE(LEFT(INDEX('입력_구리근무자명단'!$A891:$ZZ891,1,$E$2+3),4)),VALUE(MID(INDEX('입력_구리근무자명단'!$A891:$ZZ891,1,$E$2+3),6,2)),VALUE(MID(INDEX('입력_구리근무자명단'!$A891:$ZZ891,1,$E$2+3),9,2))),-1))))</f>
        <v/>
      </c>
      <c r="U893">
        <f>IF($R893="","",IF(OR($S893&lt;0,$T893&lt;0),0,MAX(0,MIN($T893,EOMONTH(급여기준월,0))-MAX($S893,급여기준월)+1)))</f>
        <v/>
      </c>
      <c r="V893">
        <f>IF($R893="","",TRIM(INDEX('입력_구리근무자명단'!$A891:$ZZ891,1,$E$2+5)&amp;""))</f>
        <v/>
      </c>
      <c r="W893">
        <f>IF(ISNUMBER(SEARCH("구리독자",$V893)),"구리독자","")</f>
        <v/>
      </c>
      <c r="X893">
        <f>IF($R893="","",$R893&amp;"|"&amp;IF(OR($Q893="인턴",ISNUMBER(SEARCH("수련교육부",$P893))),"인턴",$P893))</f>
        <v/>
      </c>
      <c r="Y893">
        <f>IF($R893="","",IF(COUNTIF(명단표[이름|과],$X893)=1,"명단 일치",IF(AND(COUNTIF(명단표[이름|과],$X893)=0,COUNTIF(명단표[이름],$R893)=1),"명단 일치(이름만, 과 다름)",IF(COUNTIF(명단표[이름],$R893)=0,IF(COUNTIF(기본자료표[이름],$R893)&gt;0,"명단에 없음(기본자료에는 있음)","명단에 없음"),"동명이인 확인"))))</f>
        <v/>
      </c>
      <c r="Z893">
        <f>IF($R893="","",IF($S893&lt;0,"⚠"&amp;INDEX('입력_구리근무자명단'!$A891:$ZZ891,1,$E$2+2),TEXT($S893,"yyyy-mm-dd")))</f>
        <v/>
      </c>
      <c r="AA893">
        <f>IF($R893="","",IF($T893&lt;0,"⚠"&amp;INDEX('입력_구리근무자명단'!$A891:$ZZ891,1,$E$2+3),TEXT($T893,"yyyy-mm-dd")))</f>
        <v/>
      </c>
      <c r="AB893">
        <f>AB892+IF($R893="",0,1)</f>
        <v/>
      </c>
      <c r="AC893">
        <f>IF($R893="","",$AB893)</f>
        <v/>
      </c>
    </row>
    <row r="894">
      <c r="O894">
        <f>892</f>
        <v/>
      </c>
      <c r="P894">
        <f>IF(TRIM('입력_구리근무자명단'!$A892&amp;"")&lt;&gt;"",TRIM('입력_구리근무자명단'!$A892&amp;""),P893)</f>
        <v/>
      </c>
      <c r="Q894">
        <f>'입력_구리근무자명단'!$B892&amp;""</f>
        <v/>
      </c>
      <c r="R894">
        <f>IF($E$2="","",TRIM(INDEX('입력_구리근무자명단'!$A892:$ZZ892,1,$E$2+IF($G$2="확정",1,0))&amp;""))</f>
        <v/>
      </c>
      <c r="S894">
        <f>IF($R894="","",IF(INDEX('입력_구리근무자명단'!$A892:$ZZ892,1,$E$2+2)&amp;""="",급여기준월,IF(ISNUMBER(INDEX('입력_구리근무자명단'!$A892:$ZZ892,1,$E$2+2)),INDEX('입력_구리근무자명단'!$A892:$ZZ892,1,$E$2+2),IFERROR(DATE(VALUE(LEFT(INDEX('입력_구리근무자명단'!$A892:$ZZ892,1,$E$2+2),4)),VALUE(MID(INDEX('입력_구리근무자명단'!$A892:$ZZ892,1,$E$2+2),6,2)),VALUE(MID(INDEX('입력_구리근무자명단'!$A892:$ZZ892,1,$E$2+2),9,2))),-1))))</f>
        <v/>
      </c>
      <c r="T894">
        <f>IF($R894="","",IF(INDEX('입력_구리근무자명단'!$A892:$ZZ892,1,$E$2+3)&amp;""="",EOMONTH(급여기준월,0),IF(ISNUMBER(INDEX('입력_구리근무자명단'!$A892:$ZZ892,1,$E$2+3)),INDEX('입력_구리근무자명단'!$A892:$ZZ892,1,$E$2+3),IFERROR(DATE(VALUE(LEFT(INDEX('입력_구리근무자명단'!$A892:$ZZ892,1,$E$2+3),4)),VALUE(MID(INDEX('입력_구리근무자명단'!$A892:$ZZ892,1,$E$2+3),6,2)),VALUE(MID(INDEX('입력_구리근무자명단'!$A892:$ZZ892,1,$E$2+3),9,2))),-1))))</f>
        <v/>
      </c>
      <c r="U894">
        <f>IF($R894="","",IF(OR($S894&lt;0,$T894&lt;0),0,MAX(0,MIN($T894,EOMONTH(급여기준월,0))-MAX($S894,급여기준월)+1)))</f>
        <v/>
      </c>
      <c r="V894">
        <f>IF($R894="","",TRIM(INDEX('입력_구리근무자명단'!$A892:$ZZ892,1,$E$2+5)&amp;""))</f>
        <v/>
      </c>
      <c r="W894">
        <f>IF(ISNUMBER(SEARCH("구리독자",$V894)),"구리독자","")</f>
        <v/>
      </c>
      <c r="X894">
        <f>IF($R894="","",$R894&amp;"|"&amp;IF(OR($Q894="인턴",ISNUMBER(SEARCH("수련교육부",$P894))),"인턴",$P894))</f>
        <v/>
      </c>
      <c r="Y894">
        <f>IF($R894="","",IF(COUNTIF(명단표[이름|과],$X894)=1,"명단 일치",IF(AND(COUNTIF(명단표[이름|과],$X894)=0,COUNTIF(명단표[이름],$R894)=1),"명단 일치(이름만, 과 다름)",IF(COUNTIF(명단표[이름],$R894)=0,IF(COUNTIF(기본자료표[이름],$R894)&gt;0,"명단에 없음(기본자료에는 있음)","명단에 없음"),"동명이인 확인"))))</f>
        <v/>
      </c>
      <c r="Z894">
        <f>IF($R894="","",IF($S894&lt;0,"⚠"&amp;INDEX('입력_구리근무자명단'!$A892:$ZZ892,1,$E$2+2),TEXT($S894,"yyyy-mm-dd")))</f>
        <v/>
      </c>
      <c r="AA894">
        <f>IF($R894="","",IF($T894&lt;0,"⚠"&amp;INDEX('입력_구리근무자명단'!$A892:$ZZ892,1,$E$2+3),TEXT($T894,"yyyy-mm-dd")))</f>
        <v/>
      </c>
      <c r="AB894">
        <f>AB893+IF($R894="",0,1)</f>
        <v/>
      </c>
      <c r="AC894">
        <f>IF($R894="","",$AB894)</f>
        <v/>
      </c>
    </row>
    <row r="895">
      <c r="O895">
        <f>893</f>
        <v/>
      </c>
      <c r="P895">
        <f>IF(TRIM('입력_구리근무자명단'!$A893&amp;"")&lt;&gt;"",TRIM('입력_구리근무자명단'!$A893&amp;""),P894)</f>
        <v/>
      </c>
      <c r="Q895">
        <f>'입력_구리근무자명단'!$B893&amp;""</f>
        <v/>
      </c>
      <c r="R895">
        <f>IF($E$2="","",TRIM(INDEX('입력_구리근무자명단'!$A893:$ZZ893,1,$E$2+IF($G$2="확정",1,0))&amp;""))</f>
        <v/>
      </c>
      <c r="S895">
        <f>IF($R895="","",IF(INDEX('입력_구리근무자명단'!$A893:$ZZ893,1,$E$2+2)&amp;""="",급여기준월,IF(ISNUMBER(INDEX('입력_구리근무자명단'!$A893:$ZZ893,1,$E$2+2)),INDEX('입력_구리근무자명단'!$A893:$ZZ893,1,$E$2+2),IFERROR(DATE(VALUE(LEFT(INDEX('입력_구리근무자명단'!$A893:$ZZ893,1,$E$2+2),4)),VALUE(MID(INDEX('입력_구리근무자명단'!$A893:$ZZ893,1,$E$2+2),6,2)),VALUE(MID(INDEX('입력_구리근무자명단'!$A893:$ZZ893,1,$E$2+2),9,2))),-1))))</f>
        <v/>
      </c>
      <c r="T895">
        <f>IF($R895="","",IF(INDEX('입력_구리근무자명단'!$A893:$ZZ893,1,$E$2+3)&amp;""="",EOMONTH(급여기준월,0),IF(ISNUMBER(INDEX('입력_구리근무자명단'!$A893:$ZZ893,1,$E$2+3)),INDEX('입력_구리근무자명단'!$A893:$ZZ893,1,$E$2+3),IFERROR(DATE(VALUE(LEFT(INDEX('입력_구리근무자명단'!$A893:$ZZ893,1,$E$2+3),4)),VALUE(MID(INDEX('입력_구리근무자명단'!$A893:$ZZ893,1,$E$2+3),6,2)),VALUE(MID(INDEX('입력_구리근무자명단'!$A893:$ZZ893,1,$E$2+3),9,2))),-1))))</f>
        <v/>
      </c>
      <c r="U895">
        <f>IF($R895="","",IF(OR($S895&lt;0,$T895&lt;0),0,MAX(0,MIN($T895,EOMONTH(급여기준월,0))-MAX($S895,급여기준월)+1)))</f>
        <v/>
      </c>
      <c r="V895">
        <f>IF($R895="","",TRIM(INDEX('입력_구리근무자명단'!$A893:$ZZ893,1,$E$2+5)&amp;""))</f>
        <v/>
      </c>
      <c r="W895">
        <f>IF(ISNUMBER(SEARCH("구리독자",$V895)),"구리독자","")</f>
        <v/>
      </c>
      <c r="X895">
        <f>IF($R895="","",$R895&amp;"|"&amp;IF(OR($Q895="인턴",ISNUMBER(SEARCH("수련교육부",$P895))),"인턴",$P895))</f>
        <v/>
      </c>
      <c r="Y895">
        <f>IF($R895="","",IF(COUNTIF(명단표[이름|과],$X895)=1,"명단 일치",IF(AND(COUNTIF(명단표[이름|과],$X895)=0,COUNTIF(명단표[이름],$R895)=1),"명단 일치(이름만, 과 다름)",IF(COUNTIF(명단표[이름],$R895)=0,IF(COUNTIF(기본자료표[이름],$R895)&gt;0,"명단에 없음(기본자료에는 있음)","명단에 없음"),"동명이인 확인"))))</f>
        <v/>
      </c>
      <c r="Z895">
        <f>IF($R895="","",IF($S895&lt;0,"⚠"&amp;INDEX('입력_구리근무자명단'!$A893:$ZZ893,1,$E$2+2),TEXT($S895,"yyyy-mm-dd")))</f>
        <v/>
      </c>
      <c r="AA895">
        <f>IF($R895="","",IF($T895&lt;0,"⚠"&amp;INDEX('입력_구리근무자명단'!$A893:$ZZ893,1,$E$2+3),TEXT($T895,"yyyy-mm-dd")))</f>
        <v/>
      </c>
      <c r="AB895">
        <f>AB894+IF($R895="",0,1)</f>
        <v/>
      </c>
      <c r="AC895">
        <f>IF($R895="","",$AB895)</f>
        <v/>
      </c>
    </row>
    <row r="896">
      <c r="O896">
        <f>894</f>
        <v/>
      </c>
      <c r="P896">
        <f>IF(TRIM('입력_구리근무자명단'!$A894&amp;"")&lt;&gt;"",TRIM('입력_구리근무자명단'!$A894&amp;""),P895)</f>
        <v/>
      </c>
      <c r="Q896">
        <f>'입력_구리근무자명단'!$B894&amp;""</f>
        <v/>
      </c>
      <c r="R896">
        <f>IF($E$2="","",TRIM(INDEX('입력_구리근무자명단'!$A894:$ZZ894,1,$E$2+IF($G$2="확정",1,0))&amp;""))</f>
        <v/>
      </c>
      <c r="S896">
        <f>IF($R896="","",IF(INDEX('입력_구리근무자명단'!$A894:$ZZ894,1,$E$2+2)&amp;""="",급여기준월,IF(ISNUMBER(INDEX('입력_구리근무자명단'!$A894:$ZZ894,1,$E$2+2)),INDEX('입력_구리근무자명단'!$A894:$ZZ894,1,$E$2+2),IFERROR(DATE(VALUE(LEFT(INDEX('입력_구리근무자명단'!$A894:$ZZ894,1,$E$2+2),4)),VALUE(MID(INDEX('입력_구리근무자명단'!$A894:$ZZ894,1,$E$2+2),6,2)),VALUE(MID(INDEX('입력_구리근무자명단'!$A894:$ZZ894,1,$E$2+2),9,2))),-1))))</f>
        <v/>
      </c>
      <c r="T896">
        <f>IF($R896="","",IF(INDEX('입력_구리근무자명단'!$A894:$ZZ894,1,$E$2+3)&amp;""="",EOMONTH(급여기준월,0),IF(ISNUMBER(INDEX('입력_구리근무자명단'!$A894:$ZZ894,1,$E$2+3)),INDEX('입력_구리근무자명단'!$A894:$ZZ894,1,$E$2+3),IFERROR(DATE(VALUE(LEFT(INDEX('입력_구리근무자명단'!$A894:$ZZ894,1,$E$2+3),4)),VALUE(MID(INDEX('입력_구리근무자명단'!$A894:$ZZ894,1,$E$2+3),6,2)),VALUE(MID(INDEX('입력_구리근무자명단'!$A894:$ZZ894,1,$E$2+3),9,2))),-1))))</f>
        <v/>
      </c>
      <c r="U896">
        <f>IF($R896="","",IF(OR($S896&lt;0,$T896&lt;0),0,MAX(0,MIN($T896,EOMONTH(급여기준월,0))-MAX($S896,급여기준월)+1)))</f>
        <v/>
      </c>
      <c r="V896">
        <f>IF($R896="","",TRIM(INDEX('입력_구리근무자명단'!$A894:$ZZ894,1,$E$2+5)&amp;""))</f>
        <v/>
      </c>
      <c r="W896">
        <f>IF(ISNUMBER(SEARCH("구리독자",$V896)),"구리독자","")</f>
        <v/>
      </c>
      <c r="X896">
        <f>IF($R896="","",$R896&amp;"|"&amp;IF(OR($Q896="인턴",ISNUMBER(SEARCH("수련교육부",$P896))),"인턴",$P896))</f>
        <v/>
      </c>
      <c r="Y896">
        <f>IF($R896="","",IF(COUNTIF(명단표[이름|과],$X896)=1,"명단 일치",IF(AND(COUNTIF(명단표[이름|과],$X896)=0,COUNTIF(명단표[이름],$R896)=1),"명단 일치(이름만, 과 다름)",IF(COUNTIF(명단표[이름],$R896)=0,IF(COUNTIF(기본자료표[이름],$R896)&gt;0,"명단에 없음(기본자료에는 있음)","명단에 없음"),"동명이인 확인"))))</f>
        <v/>
      </c>
      <c r="Z896">
        <f>IF($R896="","",IF($S896&lt;0,"⚠"&amp;INDEX('입력_구리근무자명단'!$A894:$ZZ894,1,$E$2+2),TEXT($S896,"yyyy-mm-dd")))</f>
        <v/>
      </c>
      <c r="AA896">
        <f>IF($R896="","",IF($T896&lt;0,"⚠"&amp;INDEX('입력_구리근무자명단'!$A894:$ZZ894,1,$E$2+3),TEXT($T896,"yyyy-mm-dd")))</f>
        <v/>
      </c>
      <c r="AB896">
        <f>AB895+IF($R896="",0,1)</f>
        <v/>
      </c>
      <c r="AC896">
        <f>IF($R896="","",$AB896)</f>
        <v/>
      </c>
    </row>
    <row r="897">
      <c r="O897">
        <f>895</f>
        <v/>
      </c>
      <c r="P897">
        <f>IF(TRIM('입력_구리근무자명단'!$A895&amp;"")&lt;&gt;"",TRIM('입력_구리근무자명단'!$A895&amp;""),P896)</f>
        <v/>
      </c>
      <c r="Q897">
        <f>'입력_구리근무자명단'!$B895&amp;""</f>
        <v/>
      </c>
      <c r="R897">
        <f>IF($E$2="","",TRIM(INDEX('입력_구리근무자명단'!$A895:$ZZ895,1,$E$2+IF($G$2="확정",1,0))&amp;""))</f>
        <v/>
      </c>
      <c r="S897">
        <f>IF($R897="","",IF(INDEX('입력_구리근무자명단'!$A895:$ZZ895,1,$E$2+2)&amp;""="",급여기준월,IF(ISNUMBER(INDEX('입력_구리근무자명단'!$A895:$ZZ895,1,$E$2+2)),INDEX('입력_구리근무자명단'!$A895:$ZZ895,1,$E$2+2),IFERROR(DATE(VALUE(LEFT(INDEX('입력_구리근무자명단'!$A895:$ZZ895,1,$E$2+2),4)),VALUE(MID(INDEX('입력_구리근무자명단'!$A895:$ZZ895,1,$E$2+2),6,2)),VALUE(MID(INDEX('입력_구리근무자명단'!$A895:$ZZ895,1,$E$2+2),9,2))),-1))))</f>
        <v/>
      </c>
      <c r="T897">
        <f>IF($R897="","",IF(INDEX('입력_구리근무자명단'!$A895:$ZZ895,1,$E$2+3)&amp;""="",EOMONTH(급여기준월,0),IF(ISNUMBER(INDEX('입력_구리근무자명단'!$A895:$ZZ895,1,$E$2+3)),INDEX('입력_구리근무자명단'!$A895:$ZZ895,1,$E$2+3),IFERROR(DATE(VALUE(LEFT(INDEX('입력_구리근무자명단'!$A895:$ZZ895,1,$E$2+3),4)),VALUE(MID(INDEX('입력_구리근무자명단'!$A895:$ZZ895,1,$E$2+3),6,2)),VALUE(MID(INDEX('입력_구리근무자명단'!$A895:$ZZ895,1,$E$2+3),9,2))),-1))))</f>
        <v/>
      </c>
      <c r="U897">
        <f>IF($R897="","",IF(OR($S897&lt;0,$T897&lt;0),0,MAX(0,MIN($T897,EOMONTH(급여기준월,0))-MAX($S897,급여기준월)+1)))</f>
        <v/>
      </c>
      <c r="V897">
        <f>IF($R897="","",TRIM(INDEX('입력_구리근무자명단'!$A895:$ZZ895,1,$E$2+5)&amp;""))</f>
        <v/>
      </c>
      <c r="W897">
        <f>IF(ISNUMBER(SEARCH("구리독자",$V897)),"구리독자","")</f>
        <v/>
      </c>
      <c r="X897">
        <f>IF($R897="","",$R897&amp;"|"&amp;IF(OR($Q897="인턴",ISNUMBER(SEARCH("수련교육부",$P897))),"인턴",$P897))</f>
        <v/>
      </c>
      <c r="Y897">
        <f>IF($R897="","",IF(COUNTIF(명단표[이름|과],$X897)=1,"명단 일치",IF(AND(COUNTIF(명단표[이름|과],$X897)=0,COUNTIF(명단표[이름],$R897)=1),"명단 일치(이름만, 과 다름)",IF(COUNTIF(명단표[이름],$R897)=0,IF(COUNTIF(기본자료표[이름],$R897)&gt;0,"명단에 없음(기본자료에는 있음)","명단에 없음"),"동명이인 확인"))))</f>
        <v/>
      </c>
      <c r="Z897">
        <f>IF($R897="","",IF($S897&lt;0,"⚠"&amp;INDEX('입력_구리근무자명단'!$A895:$ZZ895,1,$E$2+2),TEXT($S897,"yyyy-mm-dd")))</f>
        <v/>
      </c>
      <c r="AA897">
        <f>IF($R897="","",IF($T897&lt;0,"⚠"&amp;INDEX('입력_구리근무자명단'!$A895:$ZZ895,1,$E$2+3),TEXT($T897,"yyyy-mm-dd")))</f>
        <v/>
      </c>
      <c r="AB897">
        <f>AB896+IF($R897="",0,1)</f>
        <v/>
      </c>
      <c r="AC897">
        <f>IF($R897="","",$AB897)</f>
        <v/>
      </c>
    </row>
    <row r="898">
      <c r="O898">
        <f>896</f>
        <v/>
      </c>
      <c r="P898">
        <f>IF(TRIM('입력_구리근무자명단'!$A896&amp;"")&lt;&gt;"",TRIM('입력_구리근무자명단'!$A896&amp;""),P897)</f>
        <v/>
      </c>
      <c r="Q898">
        <f>'입력_구리근무자명단'!$B896&amp;""</f>
        <v/>
      </c>
      <c r="R898">
        <f>IF($E$2="","",TRIM(INDEX('입력_구리근무자명단'!$A896:$ZZ896,1,$E$2+IF($G$2="확정",1,0))&amp;""))</f>
        <v/>
      </c>
      <c r="S898">
        <f>IF($R898="","",IF(INDEX('입력_구리근무자명단'!$A896:$ZZ896,1,$E$2+2)&amp;""="",급여기준월,IF(ISNUMBER(INDEX('입력_구리근무자명단'!$A896:$ZZ896,1,$E$2+2)),INDEX('입력_구리근무자명단'!$A896:$ZZ896,1,$E$2+2),IFERROR(DATE(VALUE(LEFT(INDEX('입력_구리근무자명단'!$A896:$ZZ896,1,$E$2+2),4)),VALUE(MID(INDEX('입력_구리근무자명단'!$A896:$ZZ896,1,$E$2+2),6,2)),VALUE(MID(INDEX('입력_구리근무자명단'!$A896:$ZZ896,1,$E$2+2),9,2))),-1))))</f>
        <v/>
      </c>
      <c r="T898">
        <f>IF($R898="","",IF(INDEX('입력_구리근무자명단'!$A896:$ZZ896,1,$E$2+3)&amp;""="",EOMONTH(급여기준월,0),IF(ISNUMBER(INDEX('입력_구리근무자명단'!$A896:$ZZ896,1,$E$2+3)),INDEX('입력_구리근무자명단'!$A896:$ZZ896,1,$E$2+3),IFERROR(DATE(VALUE(LEFT(INDEX('입력_구리근무자명단'!$A896:$ZZ896,1,$E$2+3),4)),VALUE(MID(INDEX('입력_구리근무자명단'!$A896:$ZZ896,1,$E$2+3),6,2)),VALUE(MID(INDEX('입력_구리근무자명단'!$A896:$ZZ896,1,$E$2+3),9,2))),-1))))</f>
        <v/>
      </c>
      <c r="U898">
        <f>IF($R898="","",IF(OR($S898&lt;0,$T898&lt;0),0,MAX(0,MIN($T898,EOMONTH(급여기준월,0))-MAX($S898,급여기준월)+1)))</f>
        <v/>
      </c>
      <c r="V898">
        <f>IF($R898="","",TRIM(INDEX('입력_구리근무자명단'!$A896:$ZZ896,1,$E$2+5)&amp;""))</f>
        <v/>
      </c>
      <c r="W898">
        <f>IF(ISNUMBER(SEARCH("구리독자",$V898)),"구리독자","")</f>
        <v/>
      </c>
      <c r="X898">
        <f>IF($R898="","",$R898&amp;"|"&amp;IF(OR($Q898="인턴",ISNUMBER(SEARCH("수련교육부",$P898))),"인턴",$P898))</f>
        <v/>
      </c>
      <c r="Y898">
        <f>IF($R898="","",IF(COUNTIF(명단표[이름|과],$X898)=1,"명단 일치",IF(AND(COUNTIF(명단표[이름|과],$X898)=0,COUNTIF(명단표[이름],$R898)=1),"명단 일치(이름만, 과 다름)",IF(COUNTIF(명단표[이름],$R898)=0,IF(COUNTIF(기본자료표[이름],$R898)&gt;0,"명단에 없음(기본자료에는 있음)","명단에 없음"),"동명이인 확인"))))</f>
        <v/>
      </c>
      <c r="Z898">
        <f>IF($R898="","",IF($S898&lt;0,"⚠"&amp;INDEX('입력_구리근무자명단'!$A896:$ZZ896,1,$E$2+2),TEXT($S898,"yyyy-mm-dd")))</f>
        <v/>
      </c>
      <c r="AA898">
        <f>IF($R898="","",IF($T898&lt;0,"⚠"&amp;INDEX('입력_구리근무자명단'!$A896:$ZZ896,1,$E$2+3),TEXT($T898,"yyyy-mm-dd")))</f>
        <v/>
      </c>
      <c r="AB898">
        <f>AB897+IF($R898="",0,1)</f>
        <v/>
      </c>
      <c r="AC898">
        <f>IF($R898="","",$AB898)</f>
        <v/>
      </c>
    </row>
    <row r="899">
      <c r="O899">
        <f>897</f>
        <v/>
      </c>
      <c r="P899">
        <f>IF(TRIM('입력_구리근무자명단'!$A897&amp;"")&lt;&gt;"",TRIM('입력_구리근무자명단'!$A897&amp;""),P898)</f>
        <v/>
      </c>
      <c r="Q899">
        <f>'입력_구리근무자명단'!$B897&amp;""</f>
        <v/>
      </c>
      <c r="R899">
        <f>IF($E$2="","",TRIM(INDEX('입력_구리근무자명단'!$A897:$ZZ897,1,$E$2+IF($G$2="확정",1,0))&amp;""))</f>
        <v/>
      </c>
      <c r="S899">
        <f>IF($R899="","",IF(INDEX('입력_구리근무자명단'!$A897:$ZZ897,1,$E$2+2)&amp;""="",급여기준월,IF(ISNUMBER(INDEX('입력_구리근무자명단'!$A897:$ZZ897,1,$E$2+2)),INDEX('입력_구리근무자명단'!$A897:$ZZ897,1,$E$2+2),IFERROR(DATE(VALUE(LEFT(INDEX('입력_구리근무자명단'!$A897:$ZZ897,1,$E$2+2),4)),VALUE(MID(INDEX('입력_구리근무자명단'!$A897:$ZZ897,1,$E$2+2),6,2)),VALUE(MID(INDEX('입력_구리근무자명단'!$A897:$ZZ897,1,$E$2+2),9,2))),-1))))</f>
        <v/>
      </c>
      <c r="T899">
        <f>IF($R899="","",IF(INDEX('입력_구리근무자명단'!$A897:$ZZ897,1,$E$2+3)&amp;""="",EOMONTH(급여기준월,0),IF(ISNUMBER(INDEX('입력_구리근무자명단'!$A897:$ZZ897,1,$E$2+3)),INDEX('입력_구리근무자명단'!$A897:$ZZ897,1,$E$2+3),IFERROR(DATE(VALUE(LEFT(INDEX('입력_구리근무자명단'!$A897:$ZZ897,1,$E$2+3),4)),VALUE(MID(INDEX('입력_구리근무자명단'!$A897:$ZZ897,1,$E$2+3),6,2)),VALUE(MID(INDEX('입력_구리근무자명단'!$A897:$ZZ897,1,$E$2+3),9,2))),-1))))</f>
        <v/>
      </c>
      <c r="U899">
        <f>IF($R899="","",IF(OR($S899&lt;0,$T899&lt;0),0,MAX(0,MIN($T899,EOMONTH(급여기준월,0))-MAX($S899,급여기준월)+1)))</f>
        <v/>
      </c>
      <c r="V899">
        <f>IF($R899="","",TRIM(INDEX('입력_구리근무자명단'!$A897:$ZZ897,1,$E$2+5)&amp;""))</f>
        <v/>
      </c>
      <c r="W899">
        <f>IF(ISNUMBER(SEARCH("구리독자",$V899)),"구리독자","")</f>
        <v/>
      </c>
      <c r="X899">
        <f>IF($R899="","",$R899&amp;"|"&amp;IF(OR($Q899="인턴",ISNUMBER(SEARCH("수련교육부",$P899))),"인턴",$P899))</f>
        <v/>
      </c>
      <c r="Y899">
        <f>IF($R899="","",IF(COUNTIF(명단표[이름|과],$X899)=1,"명단 일치",IF(AND(COUNTIF(명단표[이름|과],$X899)=0,COUNTIF(명단표[이름],$R899)=1),"명단 일치(이름만, 과 다름)",IF(COUNTIF(명단표[이름],$R899)=0,IF(COUNTIF(기본자료표[이름],$R899)&gt;0,"명단에 없음(기본자료에는 있음)","명단에 없음"),"동명이인 확인"))))</f>
        <v/>
      </c>
      <c r="Z899">
        <f>IF($R899="","",IF($S899&lt;0,"⚠"&amp;INDEX('입력_구리근무자명단'!$A897:$ZZ897,1,$E$2+2),TEXT($S899,"yyyy-mm-dd")))</f>
        <v/>
      </c>
      <c r="AA899">
        <f>IF($R899="","",IF($T899&lt;0,"⚠"&amp;INDEX('입력_구리근무자명단'!$A897:$ZZ897,1,$E$2+3),TEXT($T899,"yyyy-mm-dd")))</f>
        <v/>
      </c>
      <c r="AB899">
        <f>AB898+IF($R899="",0,1)</f>
        <v/>
      </c>
      <c r="AC899">
        <f>IF($R899="","",$AB899)</f>
        <v/>
      </c>
    </row>
    <row r="900">
      <c r="O900">
        <f>898</f>
        <v/>
      </c>
      <c r="P900">
        <f>IF(TRIM('입력_구리근무자명단'!$A898&amp;"")&lt;&gt;"",TRIM('입력_구리근무자명단'!$A898&amp;""),P899)</f>
        <v/>
      </c>
      <c r="Q900">
        <f>'입력_구리근무자명단'!$B898&amp;""</f>
        <v/>
      </c>
      <c r="R900">
        <f>IF($E$2="","",TRIM(INDEX('입력_구리근무자명단'!$A898:$ZZ898,1,$E$2+IF($G$2="확정",1,0))&amp;""))</f>
        <v/>
      </c>
      <c r="S900">
        <f>IF($R900="","",IF(INDEX('입력_구리근무자명단'!$A898:$ZZ898,1,$E$2+2)&amp;""="",급여기준월,IF(ISNUMBER(INDEX('입력_구리근무자명단'!$A898:$ZZ898,1,$E$2+2)),INDEX('입력_구리근무자명단'!$A898:$ZZ898,1,$E$2+2),IFERROR(DATE(VALUE(LEFT(INDEX('입력_구리근무자명단'!$A898:$ZZ898,1,$E$2+2),4)),VALUE(MID(INDEX('입력_구리근무자명단'!$A898:$ZZ898,1,$E$2+2),6,2)),VALUE(MID(INDEX('입력_구리근무자명단'!$A898:$ZZ898,1,$E$2+2),9,2))),-1))))</f>
        <v/>
      </c>
      <c r="T900">
        <f>IF($R900="","",IF(INDEX('입력_구리근무자명단'!$A898:$ZZ898,1,$E$2+3)&amp;""="",EOMONTH(급여기준월,0),IF(ISNUMBER(INDEX('입력_구리근무자명단'!$A898:$ZZ898,1,$E$2+3)),INDEX('입력_구리근무자명단'!$A898:$ZZ898,1,$E$2+3),IFERROR(DATE(VALUE(LEFT(INDEX('입력_구리근무자명단'!$A898:$ZZ898,1,$E$2+3),4)),VALUE(MID(INDEX('입력_구리근무자명단'!$A898:$ZZ898,1,$E$2+3),6,2)),VALUE(MID(INDEX('입력_구리근무자명단'!$A898:$ZZ898,1,$E$2+3),9,2))),-1))))</f>
        <v/>
      </c>
      <c r="U900">
        <f>IF($R900="","",IF(OR($S900&lt;0,$T900&lt;0),0,MAX(0,MIN($T900,EOMONTH(급여기준월,0))-MAX($S900,급여기준월)+1)))</f>
        <v/>
      </c>
      <c r="V900">
        <f>IF($R900="","",TRIM(INDEX('입력_구리근무자명단'!$A898:$ZZ898,1,$E$2+5)&amp;""))</f>
        <v/>
      </c>
      <c r="W900">
        <f>IF(ISNUMBER(SEARCH("구리독자",$V900)),"구리독자","")</f>
        <v/>
      </c>
      <c r="X900">
        <f>IF($R900="","",$R900&amp;"|"&amp;IF(OR($Q900="인턴",ISNUMBER(SEARCH("수련교육부",$P900))),"인턴",$P900))</f>
        <v/>
      </c>
      <c r="Y900">
        <f>IF($R900="","",IF(COUNTIF(명단표[이름|과],$X900)=1,"명단 일치",IF(AND(COUNTIF(명단표[이름|과],$X900)=0,COUNTIF(명단표[이름],$R900)=1),"명단 일치(이름만, 과 다름)",IF(COUNTIF(명단표[이름],$R900)=0,IF(COUNTIF(기본자료표[이름],$R900)&gt;0,"명단에 없음(기본자료에는 있음)","명단에 없음"),"동명이인 확인"))))</f>
        <v/>
      </c>
      <c r="Z900">
        <f>IF($R900="","",IF($S900&lt;0,"⚠"&amp;INDEX('입력_구리근무자명단'!$A898:$ZZ898,1,$E$2+2),TEXT($S900,"yyyy-mm-dd")))</f>
        <v/>
      </c>
      <c r="AA900">
        <f>IF($R900="","",IF($T900&lt;0,"⚠"&amp;INDEX('입력_구리근무자명단'!$A898:$ZZ898,1,$E$2+3),TEXT($T900,"yyyy-mm-dd")))</f>
        <v/>
      </c>
      <c r="AB900">
        <f>AB899+IF($R900="",0,1)</f>
        <v/>
      </c>
      <c r="AC900">
        <f>IF($R900="","",$AB900)</f>
        <v/>
      </c>
    </row>
    <row r="901">
      <c r="O901">
        <f>899</f>
        <v/>
      </c>
      <c r="P901">
        <f>IF(TRIM('입력_구리근무자명단'!$A899&amp;"")&lt;&gt;"",TRIM('입력_구리근무자명단'!$A899&amp;""),P900)</f>
        <v/>
      </c>
      <c r="Q901">
        <f>'입력_구리근무자명단'!$B899&amp;""</f>
        <v/>
      </c>
      <c r="R901">
        <f>IF($E$2="","",TRIM(INDEX('입력_구리근무자명단'!$A899:$ZZ899,1,$E$2+IF($G$2="확정",1,0))&amp;""))</f>
        <v/>
      </c>
      <c r="S901">
        <f>IF($R901="","",IF(INDEX('입력_구리근무자명단'!$A899:$ZZ899,1,$E$2+2)&amp;""="",급여기준월,IF(ISNUMBER(INDEX('입력_구리근무자명단'!$A899:$ZZ899,1,$E$2+2)),INDEX('입력_구리근무자명단'!$A899:$ZZ899,1,$E$2+2),IFERROR(DATE(VALUE(LEFT(INDEX('입력_구리근무자명단'!$A899:$ZZ899,1,$E$2+2),4)),VALUE(MID(INDEX('입력_구리근무자명단'!$A899:$ZZ899,1,$E$2+2),6,2)),VALUE(MID(INDEX('입력_구리근무자명단'!$A899:$ZZ899,1,$E$2+2),9,2))),-1))))</f>
        <v/>
      </c>
      <c r="T901">
        <f>IF($R901="","",IF(INDEX('입력_구리근무자명단'!$A899:$ZZ899,1,$E$2+3)&amp;""="",EOMONTH(급여기준월,0),IF(ISNUMBER(INDEX('입력_구리근무자명단'!$A899:$ZZ899,1,$E$2+3)),INDEX('입력_구리근무자명단'!$A899:$ZZ899,1,$E$2+3),IFERROR(DATE(VALUE(LEFT(INDEX('입력_구리근무자명단'!$A899:$ZZ899,1,$E$2+3),4)),VALUE(MID(INDEX('입력_구리근무자명단'!$A899:$ZZ899,1,$E$2+3),6,2)),VALUE(MID(INDEX('입력_구리근무자명단'!$A899:$ZZ899,1,$E$2+3),9,2))),-1))))</f>
        <v/>
      </c>
      <c r="U901">
        <f>IF($R901="","",IF(OR($S901&lt;0,$T901&lt;0),0,MAX(0,MIN($T901,EOMONTH(급여기준월,0))-MAX($S901,급여기준월)+1)))</f>
        <v/>
      </c>
      <c r="V901">
        <f>IF($R901="","",TRIM(INDEX('입력_구리근무자명단'!$A899:$ZZ899,1,$E$2+5)&amp;""))</f>
        <v/>
      </c>
      <c r="W901">
        <f>IF(ISNUMBER(SEARCH("구리독자",$V901)),"구리독자","")</f>
        <v/>
      </c>
      <c r="X901">
        <f>IF($R901="","",$R901&amp;"|"&amp;IF(OR($Q901="인턴",ISNUMBER(SEARCH("수련교육부",$P901))),"인턴",$P901))</f>
        <v/>
      </c>
      <c r="Y901">
        <f>IF($R901="","",IF(COUNTIF(명단표[이름|과],$X901)=1,"명단 일치",IF(AND(COUNTIF(명단표[이름|과],$X901)=0,COUNTIF(명단표[이름],$R901)=1),"명단 일치(이름만, 과 다름)",IF(COUNTIF(명단표[이름],$R901)=0,IF(COUNTIF(기본자료표[이름],$R901)&gt;0,"명단에 없음(기본자료에는 있음)","명단에 없음"),"동명이인 확인"))))</f>
        <v/>
      </c>
      <c r="Z901">
        <f>IF($R901="","",IF($S901&lt;0,"⚠"&amp;INDEX('입력_구리근무자명단'!$A899:$ZZ899,1,$E$2+2),TEXT($S901,"yyyy-mm-dd")))</f>
        <v/>
      </c>
      <c r="AA901">
        <f>IF($R901="","",IF($T901&lt;0,"⚠"&amp;INDEX('입력_구리근무자명단'!$A899:$ZZ899,1,$E$2+3),TEXT($T901,"yyyy-mm-dd")))</f>
        <v/>
      </c>
      <c r="AB901">
        <f>AB900+IF($R901="",0,1)</f>
        <v/>
      </c>
      <c r="AC901">
        <f>IF($R901="","",$AB901)</f>
        <v/>
      </c>
    </row>
    <row r="902">
      <c r="O902">
        <f>900</f>
        <v/>
      </c>
      <c r="P902">
        <f>IF(TRIM('입력_구리근무자명단'!$A900&amp;"")&lt;&gt;"",TRIM('입력_구리근무자명단'!$A900&amp;""),P901)</f>
        <v/>
      </c>
      <c r="Q902">
        <f>'입력_구리근무자명단'!$B900&amp;""</f>
        <v/>
      </c>
      <c r="R902">
        <f>IF($E$2="","",TRIM(INDEX('입력_구리근무자명단'!$A900:$ZZ900,1,$E$2+IF($G$2="확정",1,0))&amp;""))</f>
        <v/>
      </c>
      <c r="S902">
        <f>IF($R902="","",IF(INDEX('입력_구리근무자명단'!$A900:$ZZ900,1,$E$2+2)&amp;""="",급여기준월,IF(ISNUMBER(INDEX('입력_구리근무자명단'!$A900:$ZZ900,1,$E$2+2)),INDEX('입력_구리근무자명단'!$A900:$ZZ900,1,$E$2+2),IFERROR(DATE(VALUE(LEFT(INDEX('입력_구리근무자명단'!$A900:$ZZ900,1,$E$2+2),4)),VALUE(MID(INDEX('입력_구리근무자명단'!$A900:$ZZ900,1,$E$2+2),6,2)),VALUE(MID(INDEX('입력_구리근무자명단'!$A900:$ZZ900,1,$E$2+2),9,2))),-1))))</f>
        <v/>
      </c>
      <c r="T902">
        <f>IF($R902="","",IF(INDEX('입력_구리근무자명단'!$A900:$ZZ900,1,$E$2+3)&amp;""="",EOMONTH(급여기준월,0),IF(ISNUMBER(INDEX('입력_구리근무자명단'!$A900:$ZZ900,1,$E$2+3)),INDEX('입력_구리근무자명단'!$A900:$ZZ900,1,$E$2+3),IFERROR(DATE(VALUE(LEFT(INDEX('입력_구리근무자명단'!$A900:$ZZ900,1,$E$2+3),4)),VALUE(MID(INDEX('입력_구리근무자명단'!$A900:$ZZ900,1,$E$2+3),6,2)),VALUE(MID(INDEX('입력_구리근무자명단'!$A900:$ZZ900,1,$E$2+3),9,2))),-1))))</f>
        <v/>
      </c>
      <c r="U902">
        <f>IF($R902="","",IF(OR($S902&lt;0,$T902&lt;0),0,MAX(0,MIN($T902,EOMONTH(급여기준월,0))-MAX($S902,급여기준월)+1)))</f>
        <v/>
      </c>
      <c r="V902">
        <f>IF($R902="","",TRIM(INDEX('입력_구리근무자명단'!$A900:$ZZ900,1,$E$2+5)&amp;""))</f>
        <v/>
      </c>
      <c r="W902">
        <f>IF(ISNUMBER(SEARCH("구리독자",$V902)),"구리독자","")</f>
        <v/>
      </c>
      <c r="X902">
        <f>IF($R902="","",$R902&amp;"|"&amp;IF(OR($Q902="인턴",ISNUMBER(SEARCH("수련교육부",$P902))),"인턴",$P902))</f>
        <v/>
      </c>
      <c r="Y902">
        <f>IF($R902="","",IF(COUNTIF(명단표[이름|과],$X902)=1,"명단 일치",IF(AND(COUNTIF(명단표[이름|과],$X902)=0,COUNTIF(명단표[이름],$R902)=1),"명단 일치(이름만, 과 다름)",IF(COUNTIF(명단표[이름],$R902)=0,IF(COUNTIF(기본자료표[이름],$R902)&gt;0,"명단에 없음(기본자료에는 있음)","명단에 없음"),"동명이인 확인"))))</f>
        <v/>
      </c>
      <c r="Z902">
        <f>IF($R902="","",IF($S902&lt;0,"⚠"&amp;INDEX('입력_구리근무자명단'!$A900:$ZZ900,1,$E$2+2),TEXT($S902,"yyyy-mm-dd")))</f>
        <v/>
      </c>
      <c r="AA902">
        <f>IF($R902="","",IF($T902&lt;0,"⚠"&amp;INDEX('입력_구리근무자명단'!$A900:$ZZ900,1,$E$2+3),TEXT($T902,"yyyy-mm-dd")))</f>
        <v/>
      </c>
      <c r="AB902">
        <f>AB901+IF($R902="",0,1)</f>
        <v/>
      </c>
      <c r="AC902">
        <f>IF($R902="","",$AB902)</f>
        <v/>
      </c>
    </row>
    <row r="903">
      <c r="O903">
        <f>901</f>
        <v/>
      </c>
      <c r="P903">
        <f>IF(TRIM('입력_구리근무자명단'!$A901&amp;"")&lt;&gt;"",TRIM('입력_구리근무자명단'!$A901&amp;""),P902)</f>
        <v/>
      </c>
      <c r="Q903">
        <f>'입력_구리근무자명단'!$B901&amp;""</f>
        <v/>
      </c>
      <c r="R903">
        <f>IF($E$2="","",TRIM(INDEX('입력_구리근무자명단'!$A901:$ZZ901,1,$E$2+IF($G$2="확정",1,0))&amp;""))</f>
        <v/>
      </c>
      <c r="S903">
        <f>IF($R903="","",IF(INDEX('입력_구리근무자명단'!$A901:$ZZ901,1,$E$2+2)&amp;""="",급여기준월,IF(ISNUMBER(INDEX('입력_구리근무자명단'!$A901:$ZZ901,1,$E$2+2)),INDEX('입력_구리근무자명단'!$A901:$ZZ901,1,$E$2+2),IFERROR(DATE(VALUE(LEFT(INDEX('입력_구리근무자명단'!$A901:$ZZ901,1,$E$2+2),4)),VALUE(MID(INDEX('입력_구리근무자명단'!$A901:$ZZ901,1,$E$2+2),6,2)),VALUE(MID(INDEX('입력_구리근무자명단'!$A901:$ZZ901,1,$E$2+2),9,2))),-1))))</f>
        <v/>
      </c>
      <c r="T903">
        <f>IF($R903="","",IF(INDEX('입력_구리근무자명단'!$A901:$ZZ901,1,$E$2+3)&amp;""="",EOMONTH(급여기준월,0),IF(ISNUMBER(INDEX('입력_구리근무자명단'!$A901:$ZZ901,1,$E$2+3)),INDEX('입력_구리근무자명단'!$A901:$ZZ901,1,$E$2+3),IFERROR(DATE(VALUE(LEFT(INDEX('입력_구리근무자명단'!$A901:$ZZ901,1,$E$2+3),4)),VALUE(MID(INDEX('입력_구리근무자명단'!$A901:$ZZ901,1,$E$2+3),6,2)),VALUE(MID(INDEX('입력_구리근무자명단'!$A901:$ZZ901,1,$E$2+3),9,2))),-1))))</f>
        <v/>
      </c>
      <c r="U903">
        <f>IF($R903="","",IF(OR($S903&lt;0,$T903&lt;0),0,MAX(0,MIN($T903,EOMONTH(급여기준월,0))-MAX($S903,급여기준월)+1)))</f>
        <v/>
      </c>
      <c r="V903">
        <f>IF($R903="","",TRIM(INDEX('입력_구리근무자명단'!$A901:$ZZ901,1,$E$2+5)&amp;""))</f>
        <v/>
      </c>
      <c r="W903">
        <f>IF(ISNUMBER(SEARCH("구리독자",$V903)),"구리독자","")</f>
        <v/>
      </c>
      <c r="X903">
        <f>IF($R903="","",$R903&amp;"|"&amp;IF(OR($Q903="인턴",ISNUMBER(SEARCH("수련교육부",$P903))),"인턴",$P903))</f>
        <v/>
      </c>
      <c r="Y903">
        <f>IF($R903="","",IF(COUNTIF(명단표[이름|과],$X903)=1,"명단 일치",IF(AND(COUNTIF(명단표[이름|과],$X903)=0,COUNTIF(명단표[이름],$R903)=1),"명단 일치(이름만, 과 다름)",IF(COUNTIF(명단표[이름],$R903)=0,IF(COUNTIF(기본자료표[이름],$R903)&gt;0,"명단에 없음(기본자료에는 있음)","명단에 없음"),"동명이인 확인"))))</f>
        <v/>
      </c>
      <c r="Z903">
        <f>IF($R903="","",IF($S903&lt;0,"⚠"&amp;INDEX('입력_구리근무자명단'!$A901:$ZZ901,1,$E$2+2),TEXT($S903,"yyyy-mm-dd")))</f>
        <v/>
      </c>
      <c r="AA903">
        <f>IF($R903="","",IF($T903&lt;0,"⚠"&amp;INDEX('입력_구리근무자명단'!$A901:$ZZ901,1,$E$2+3),TEXT($T903,"yyyy-mm-dd")))</f>
        <v/>
      </c>
      <c r="AB903">
        <f>AB902+IF($R903="",0,1)</f>
        <v/>
      </c>
      <c r="AC903">
        <f>IF($R903="","",$AB903)</f>
        <v/>
      </c>
    </row>
    <row r="904">
      <c r="O904">
        <f>902</f>
        <v/>
      </c>
      <c r="P904">
        <f>IF(TRIM('입력_구리근무자명단'!$A902&amp;"")&lt;&gt;"",TRIM('입력_구리근무자명단'!$A902&amp;""),P903)</f>
        <v/>
      </c>
      <c r="Q904">
        <f>'입력_구리근무자명단'!$B902&amp;""</f>
        <v/>
      </c>
      <c r="R904">
        <f>IF($E$2="","",TRIM(INDEX('입력_구리근무자명단'!$A902:$ZZ902,1,$E$2+IF($G$2="확정",1,0))&amp;""))</f>
        <v/>
      </c>
      <c r="S904">
        <f>IF($R904="","",IF(INDEX('입력_구리근무자명단'!$A902:$ZZ902,1,$E$2+2)&amp;""="",급여기준월,IF(ISNUMBER(INDEX('입력_구리근무자명단'!$A902:$ZZ902,1,$E$2+2)),INDEX('입력_구리근무자명단'!$A902:$ZZ902,1,$E$2+2),IFERROR(DATE(VALUE(LEFT(INDEX('입력_구리근무자명단'!$A902:$ZZ902,1,$E$2+2),4)),VALUE(MID(INDEX('입력_구리근무자명단'!$A902:$ZZ902,1,$E$2+2),6,2)),VALUE(MID(INDEX('입력_구리근무자명단'!$A902:$ZZ902,1,$E$2+2),9,2))),-1))))</f>
        <v/>
      </c>
      <c r="T904">
        <f>IF($R904="","",IF(INDEX('입력_구리근무자명단'!$A902:$ZZ902,1,$E$2+3)&amp;""="",EOMONTH(급여기준월,0),IF(ISNUMBER(INDEX('입력_구리근무자명단'!$A902:$ZZ902,1,$E$2+3)),INDEX('입력_구리근무자명단'!$A902:$ZZ902,1,$E$2+3),IFERROR(DATE(VALUE(LEFT(INDEX('입력_구리근무자명단'!$A902:$ZZ902,1,$E$2+3),4)),VALUE(MID(INDEX('입력_구리근무자명단'!$A902:$ZZ902,1,$E$2+3),6,2)),VALUE(MID(INDEX('입력_구리근무자명단'!$A902:$ZZ902,1,$E$2+3),9,2))),-1))))</f>
        <v/>
      </c>
      <c r="U904">
        <f>IF($R904="","",IF(OR($S904&lt;0,$T904&lt;0),0,MAX(0,MIN($T904,EOMONTH(급여기준월,0))-MAX($S904,급여기준월)+1)))</f>
        <v/>
      </c>
      <c r="V904">
        <f>IF($R904="","",TRIM(INDEX('입력_구리근무자명단'!$A902:$ZZ902,1,$E$2+5)&amp;""))</f>
        <v/>
      </c>
      <c r="W904">
        <f>IF(ISNUMBER(SEARCH("구리독자",$V904)),"구리독자","")</f>
        <v/>
      </c>
      <c r="X904">
        <f>IF($R904="","",$R904&amp;"|"&amp;IF(OR($Q904="인턴",ISNUMBER(SEARCH("수련교육부",$P904))),"인턴",$P904))</f>
        <v/>
      </c>
      <c r="Y904">
        <f>IF($R904="","",IF(COUNTIF(명단표[이름|과],$X904)=1,"명단 일치",IF(AND(COUNTIF(명단표[이름|과],$X904)=0,COUNTIF(명단표[이름],$R904)=1),"명단 일치(이름만, 과 다름)",IF(COUNTIF(명단표[이름],$R904)=0,IF(COUNTIF(기본자료표[이름],$R904)&gt;0,"명단에 없음(기본자료에는 있음)","명단에 없음"),"동명이인 확인"))))</f>
        <v/>
      </c>
      <c r="Z904">
        <f>IF($R904="","",IF($S904&lt;0,"⚠"&amp;INDEX('입력_구리근무자명단'!$A902:$ZZ902,1,$E$2+2),TEXT($S904,"yyyy-mm-dd")))</f>
        <v/>
      </c>
      <c r="AA904">
        <f>IF($R904="","",IF($T904&lt;0,"⚠"&amp;INDEX('입력_구리근무자명단'!$A902:$ZZ902,1,$E$2+3),TEXT($T904,"yyyy-mm-dd")))</f>
        <v/>
      </c>
      <c r="AB904">
        <f>AB903+IF($R904="",0,1)</f>
        <v/>
      </c>
      <c r="AC904">
        <f>IF($R904="","",$AB904)</f>
        <v/>
      </c>
    </row>
    <row r="905">
      <c r="O905">
        <f>903</f>
        <v/>
      </c>
      <c r="P905">
        <f>IF(TRIM('입력_구리근무자명단'!$A903&amp;"")&lt;&gt;"",TRIM('입력_구리근무자명단'!$A903&amp;""),P904)</f>
        <v/>
      </c>
      <c r="Q905">
        <f>'입력_구리근무자명단'!$B903&amp;""</f>
        <v/>
      </c>
      <c r="R905">
        <f>IF($E$2="","",TRIM(INDEX('입력_구리근무자명단'!$A903:$ZZ903,1,$E$2+IF($G$2="확정",1,0))&amp;""))</f>
        <v/>
      </c>
      <c r="S905">
        <f>IF($R905="","",IF(INDEX('입력_구리근무자명단'!$A903:$ZZ903,1,$E$2+2)&amp;""="",급여기준월,IF(ISNUMBER(INDEX('입력_구리근무자명단'!$A903:$ZZ903,1,$E$2+2)),INDEX('입력_구리근무자명단'!$A903:$ZZ903,1,$E$2+2),IFERROR(DATE(VALUE(LEFT(INDEX('입력_구리근무자명단'!$A903:$ZZ903,1,$E$2+2),4)),VALUE(MID(INDEX('입력_구리근무자명단'!$A903:$ZZ903,1,$E$2+2),6,2)),VALUE(MID(INDEX('입력_구리근무자명단'!$A903:$ZZ903,1,$E$2+2),9,2))),-1))))</f>
        <v/>
      </c>
      <c r="T905">
        <f>IF($R905="","",IF(INDEX('입력_구리근무자명단'!$A903:$ZZ903,1,$E$2+3)&amp;""="",EOMONTH(급여기준월,0),IF(ISNUMBER(INDEX('입력_구리근무자명단'!$A903:$ZZ903,1,$E$2+3)),INDEX('입력_구리근무자명단'!$A903:$ZZ903,1,$E$2+3),IFERROR(DATE(VALUE(LEFT(INDEX('입력_구리근무자명단'!$A903:$ZZ903,1,$E$2+3),4)),VALUE(MID(INDEX('입력_구리근무자명단'!$A903:$ZZ903,1,$E$2+3),6,2)),VALUE(MID(INDEX('입력_구리근무자명단'!$A903:$ZZ903,1,$E$2+3),9,2))),-1))))</f>
        <v/>
      </c>
      <c r="U905">
        <f>IF($R905="","",IF(OR($S905&lt;0,$T905&lt;0),0,MAX(0,MIN($T905,EOMONTH(급여기준월,0))-MAX($S905,급여기준월)+1)))</f>
        <v/>
      </c>
      <c r="V905">
        <f>IF($R905="","",TRIM(INDEX('입력_구리근무자명단'!$A903:$ZZ903,1,$E$2+5)&amp;""))</f>
        <v/>
      </c>
      <c r="W905">
        <f>IF(ISNUMBER(SEARCH("구리독자",$V905)),"구리독자","")</f>
        <v/>
      </c>
      <c r="X905">
        <f>IF($R905="","",$R905&amp;"|"&amp;IF(OR($Q905="인턴",ISNUMBER(SEARCH("수련교육부",$P905))),"인턴",$P905))</f>
        <v/>
      </c>
      <c r="Y905">
        <f>IF($R905="","",IF(COUNTIF(명단표[이름|과],$X905)=1,"명단 일치",IF(AND(COUNTIF(명단표[이름|과],$X905)=0,COUNTIF(명단표[이름],$R905)=1),"명단 일치(이름만, 과 다름)",IF(COUNTIF(명단표[이름],$R905)=0,IF(COUNTIF(기본자료표[이름],$R905)&gt;0,"명단에 없음(기본자료에는 있음)","명단에 없음"),"동명이인 확인"))))</f>
        <v/>
      </c>
      <c r="Z905">
        <f>IF($R905="","",IF($S905&lt;0,"⚠"&amp;INDEX('입력_구리근무자명단'!$A903:$ZZ903,1,$E$2+2),TEXT($S905,"yyyy-mm-dd")))</f>
        <v/>
      </c>
      <c r="AA905">
        <f>IF($R905="","",IF($T905&lt;0,"⚠"&amp;INDEX('입력_구리근무자명단'!$A903:$ZZ903,1,$E$2+3),TEXT($T905,"yyyy-mm-dd")))</f>
        <v/>
      </c>
      <c r="AB905">
        <f>AB904+IF($R905="",0,1)</f>
        <v/>
      </c>
      <c r="AC905">
        <f>IF($R905="","",$AB905)</f>
        <v/>
      </c>
    </row>
    <row r="906">
      <c r="O906">
        <f>904</f>
        <v/>
      </c>
      <c r="P906">
        <f>IF(TRIM('입력_구리근무자명단'!$A904&amp;"")&lt;&gt;"",TRIM('입력_구리근무자명단'!$A904&amp;""),P905)</f>
        <v/>
      </c>
      <c r="Q906">
        <f>'입력_구리근무자명단'!$B904&amp;""</f>
        <v/>
      </c>
      <c r="R906">
        <f>IF($E$2="","",TRIM(INDEX('입력_구리근무자명단'!$A904:$ZZ904,1,$E$2+IF($G$2="확정",1,0))&amp;""))</f>
        <v/>
      </c>
      <c r="S906">
        <f>IF($R906="","",IF(INDEX('입력_구리근무자명단'!$A904:$ZZ904,1,$E$2+2)&amp;""="",급여기준월,IF(ISNUMBER(INDEX('입력_구리근무자명단'!$A904:$ZZ904,1,$E$2+2)),INDEX('입력_구리근무자명단'!$A904:$ZZ904,1,$E$2+2),IFERROR(DATE(VALUE(LEFT(INDEX('입력_구리근무자명단'!$A904:$ZZ904,1,$E$2+2),4)),VALUE(MID(INDEX('입력_구리근무자명단'!$A904:$ZZ904,1,$E$2+2),6,2)),VALUE(MID(INDEX('입력_구리근무자명단'!$A904:$ZZ904,1,$E$2+2),9,2))),-1))))</f>
        <v/>
      </c>
      <c r="T906">
        <f>IF($R906="","",IF(INDEX('입력_구리근무자명단'!$A904:$ZZ904,1,$E$2+3)&amp;""="",EOMONTH(급여기준월,0),IF(ISNUMBER(INDEX('입력_구리근무자명단'!$A904:$ZZ904,1,$E$2+3)),INDEX('입력_구리근무자명단'!$A904:$ZZ904,1,$E$2+3),IFERROR(DATE(VALUE(LEFT(INDEX('입력_구리근무자명단'!$A904:$ZZ904,1,$E$2+3),4)),VALUE(MID(INDEX('입력_구리근무자명단'!$A904:$ZZ904,1,$E$2+3),6,2)),VALUE(MID(INDEX('입력_구리근무자명단'!$A904:$ZZ904,1,$E$2+3),9,2))),-1))))</f>
        <v/>
      </c>
      <c r="U906">
        <f>IF($R906="","",IF(OR($S906&lt;0,$T906&lt;0),0,MAX(0,MIN($T906,EOMONTH(급여기준월,0))-MAX($S906,급여기준월)+1)))</f>
        <v/>
      </c>
      <c r="V906">
        <f>IF($R906="","",TRIM(INDEX('입력_구리근무자명단'!$A904:$ZZ904,1,$E$2+5)&amp;""))</f>
        <v/>
      </c>
      <c r="W906">
        <f>IF(ISNUMBER(SEARCH("구리독자",$V906)),"구리독자","")</f>
        <v/>
      </c>
      <c r="X906">
        <f>IF($R906="","",$R906&amp;"|"&amp;IF(OR($Q906="인턴",ISNUMBER(SEARCH("수련교육부",$P906))),"인턴",$P906))</f>
        <v/>
      </c>
      <c r="Y906">
        <f>IF($R906="","",IF(COUNTIF(명단표[이름|과],$X906)=1,"명단 일치",IF(AND(COUNTIF(명단표[이름|과],$X906)=0,COUNTIF(명단표[이름],$R906)=1),"명단 일치(이름만, 과 다름)",IF(COUNTIF(명단표[이름],$R906)=0,IF(COUNTIF(기본자료표[이름],$R906)&gt;0,"명단에 없음(기본자료에는 있음)","명단에 없음"),"동명이인 확인"))))</f>
        <v/>
      </c>
      <c r="Z906">
        <f>IF($R906="","",IF($S906&lt;0,"⚠"&amp;INDEX('입력_구리근무자명단'!$A904:$ZZ904,1,$E$2+2),TEXT($S906,"yyyy-mm-dd")))</f>
        <v/>
      </c>
      <c r="AA906">
        <f>IF($R906="","",IF($T906&lt;0,"⚠"&amp;INDEX('입력_구리근무자명단'!$A904:$ZZ904,1,$E$2+3),TEXT($T906,"yyyy-mm-dd")))</f>
        <v/>
      </c>
      <c r="AB906">
        <f>AB905+IF($R906="",0,1)</f>
        <v/>
      </c>
      <c r="AC906">
        <f>IF($R906="","",$AB906)</f>
        <v/>
      </c>
    </row>
    <row r="907">
      <c r="O907">
        <f>905</f>
        <v/>
      </c>
      <c r="P907">
        <f>IF(TRIM('입력_구리근무자명단'!$A905&amp;"")&lt;&gt;"",TRIM('입력_구리근무자명단'!$A905&amp;""),P906)</f>
        <v/>
      </c>
      <c r="Q907">
        <f>'입력_구리근무자명단'!$B905&amp;""</f>
        <v/>
      </c>
      <c r="R907">
        <f>IF($E$2="","",TRIM(INDEX('입력_구리근무자명단'!$A905:$ZZ905,1,$E$2+IF($G$2="확정",1,0))&amp;""))</f>
        <v/>
      </c>
      <c r="S907">
        <f>IF($R907="","",IF(INDEX('입력_구리근무자명단'!$A905:$ZZ905,1,$E$2+2)&amp;""="",급여기준월,IF(ISNUMBER(INDEX('입력_구리근무자명단'!$A905:$ZZ905,1,$E$2+2)),INDEX('입력_구리근무자명단'!$A905:$ZZ905,1,$E$2+2),IFERROR(DATE(VALUE(LEFT(INDEX('입력_구리근무자명단'!$A905:$ZZ905,1,$E$2+2),4)),VALUE(MID(INDEX('입력_구리근무자명단'!$A905:$ZZ905,1,$E$2+2),6,2)),VALUE(MID(INDEX('입력_구리근무자명단'!$A905:$ZZ905,1,$E$2+2),9,2))),-1))))</f>
        <v/>
      </c>
      <c r="T907">
        <f>IF($R907="","",IF(INDEX('입력_구리근무자명단'!$A905:$ZZ905,1,$E$2+3)&amp;""="",EOMONTH(급여기준월,0),IF(ISNUMBER(INDEX('입력_구리근무자명단'!$A905:$ZZ905,1,$E$2+3)),INDEX('입력_구리근무자명단'!$A905:$ZZ905,1,$E$2+3),IFERROR(DATE(VALUE(LEFT(INDEX('입력_구리근무자명단'!$A905:$ZZ905,1,$E$2+3),4)),VALUE(MID(INDEX('입력_구리근무자명단'!$A905:$ZZ905,1,$E$2+3),6,2)),VALUE(MID(INDEX('입력_구리근무자명단'!$A905:$ZZ905,1,$E$2+3),9,2))),-1))))</f>
        <v/>
      </c>
      <c r="U907">
        <f>IF($R907="","",IF(OR($S907&lt;0,$T907&lt;0),0,MAX(0,MIN($T907,EOMONTH(급여기준월,0))-MAX($S907,급여기준월)+1)))</f>
        <v/>
      </c>
      <c r="V907">
        <f>IF($R907="","",TRIM(INDEX('입력_구리근무자명단'!$A905:$ZZ905,1,$E$2+5)&amp;""))</f>
        <v/>
      </c>
      <c r="W907">
        <f>IF(ISNUMBER(SEARCH("구리독자",$V907)),"구리독자","")</f>
        <v/>
      </c>
      <c r="X907">
        <f>IF($R907="","",$R907&amp;"|"&amp;IF(OR($Q907="인턴",ISNUMBER(SEARCH("수련교육부",$P907))),"인턴",$P907))</f>
        <v/>
      </c>
      <c r="Y907">
        <f>IF($R907="","",IF(COUNTIF(명단표[이름|과],$X907)=1,"명단 일치",IF(AND(COUNTIF(명단표[이름|과],$X907)=0,COUNTIF(명단표[이름],$R907)=1),"명단 일치(이름만, 과 다름)",IF(COUNTIF(명단표[이름],$R907)=0,IF(COUNTIF(기본자료표[이름],$R907)&gt;0,"명단에 없음(기본자료에는 있음)","명단에 없음"),"동명이인 확인"))))</f>
        <v/>
      </c>
      <c r="Z907">
        <f>IF($R907="","",IF($S907&lt;0,"⚠"&amp;INDEX('입력_구리근무자명단'!$A905:$ZZ905,1,$E$2+2),TEXT($S907,"yyyy-mm-dd")))</f>
        <v/>
      </c>
      <c r="AA907">
        <f>IF($R907="","",IF($T907&lt;0,"⚠"&amp;INDEX('입력_구리근무자명단'!$A905:$ZZ905,1,$E$2+3),TEXT($T907,"yyyy-mm-dd")))</f>
        <v/>
      </c>
      <c r="AB907">
        <f>AB906+IF($R907="",0,1)</f>
        <v/>
      </c>
      <c r="AC907">
        <f>IF($R907="","",$AB907)</f>
        <v/>
      </c>
    </row>
    <row r="908">
      <c r="O908">
        <f>906</f>
        <v/>
      </c>
      <c r="P908">
        <f>IF(TRIM('입력_구리근무자명단'!$A906&amp;"")&lt;&gt;"",TRIM('입력_구리근무자명단'!$A906&amp;""),P907)</f>
        <v/>
      </c>
      <c r="Q908">
        <f>'입력_구리근무자명단'!$B906&amp;""</f>
        <v/>
      </c>
      <c r="R908">
        <f>IF($E$2="","",TRIM(INDEX('입력_구리근무자명단'!$A906:$ZZ906,1,$E$2+IF($G$2="확정",1,0))&amp;""))</f>
        <v/>
      </c>
      <c r="S908">
        <f>IF($R908="","",IF(INDEX('입력_구리근무자명단'!$A906:$ZZ906,1,$E$2+2)&amp;""="",급여기준월,IF(ISNUMBER(INDEX('입력_구리근무자명단'!$A906:$ZZ906,1,$E$2+2)),INDEX('입력_구리근무자명단'!$A906:$ZZ906,1,$E$2+2),IFERROR(DATE(VALUE(LEFT(INDEX('입력_구리근무자명단'!$A906:$ZZ906,1,$E$2+2),4)),VALUE(MID(INDEX('입력_구리근무자명단'!$A906:$ZZ906,1,$E$2+2),6,2)),VALUE(MID(INDEX('입력_구리근무자명단'!$A906:$ZZ906,1,$E$2+2),9,2))),-1))))</f>
        <v/>
      </c>
      <c r="T908">
        <f>IF($R908="","",IF(INDEX('입력_구리근무자명단'!$A906:$ZZ906,1,$E$2+3)&amp;""="",EOMONTH(급여기준월,0),IF(ISNUMBER(INDEX('입력_구리근무자명단'!$A906:$ZZ906,1,$E$2+3)),INDEX('입력_구리근무자명단'!$A906:$ZZ906,1,$E$2+3),IFERROR(DATE(VALUE(LEFT(INDEX('입력_구리근무자명단'!$A906:$ZZ906,1,$E$2+3),4)),VALUE(MID(INDEX('입력_구리근무자명단'!$A906:$ZZ906,1,$E$2+3),6,2)),VALUE(MID(INDEX('입력_구리근무자명단'!$A906:$ZZ906,1,$E$2+3),9,2))),-1))))</f>
        <v/>
      </c>
      <c r="U908">
        <f>IF($R908="","",IF(OR($S908&lt;0,$T908&lt;0),0,MAX(0,MIN($T908,EOMONTH(급여기준월,0))-MAX($S908,급여기준월)+1)))</f>
        <v/>
      </c>
      <c r="V908">
        <f>IF($R908="","",TRIM(INDEX('입력_구리근무자명단'!$A906:$ZZ906,1,$E$2+5)&amp;""))</f>
        <v/>
      </c>
      <c r="W908">
        <f>IF(ISNUMBER(SEARCH("구리독자",$V908)),"구리독자","")</f>
        <v/>
      </c>
      <c r="X908">
        <f>IF($R908="","",$R908&amp;"|"&amp;IF(OR($Q908="인턴",ISNUMBER(SEARCH("수련교육부",$P908))),"인턴",$P908))</f>
        <v/>
      </c>
      <c r="Y908">
        <f>IF($R908="","",IF(COUNTIF(명단표[이름|과],$X908)=1,"명단 일치",IF(AND(COUNTIF(명단표[이름|과],$X908)=0,COUNTIF(명단표[이름],$R908)=1),"명단 일치(이름만, 과 다름)",IF(COUNTIF(명단표[이름],$R908)=0,IF(COUNTIF(기본자료표[이름],$R908)&gt;0,"명단에 없음(기본자료에는 있음)","명단에 없음"),"동명이인 확인"))))</f>
        <v/>
      </c>
      <c r="Z908">
        <f>IF($R908="","",IF($S908&lt;0,"⚠"&amp;INDEX('입력_구리근무자명단'!$A906:$ZZ906,1,$E$2+2),TEXT($S908,"yyyy-mm-dd")))</f>
        <v/>
      </c>
      <c r="AA908">
        <f>IF($R908="","",IF($T908&lt;0,"⚠"&amp;INDEX('입력_구리근무자명단'!$A906:$ZZ906,1,$E$2+3),TEXT($T908,"yyyy-mm-dd")))</f>
        <v/>
      </c>
      <c r="AB908">
        <f>AB907+IF($R908="",0,1)</f>
        <v/>
      </c>
      <c r="AC908">
        <f>IF($R908="","",$AB908)</f>
        <v/>
      </c>
    </row>
    <row r="909">
      <c r="O909">
        <f>907</f>
        <v/>
      </c>
      <c r="P909">
        <f>IF(TRIM('입력_구리근무자명단'!$A907&amp;"")&lt;&gt;"",TRIM('입력_구리근무자명단'!$A907&amp;""),P908)</f>
        <v/>
      </c>
      <c r="Q909">
        <f>'입력_구리근무자명단'!$B907&amp;""</f>
        <v/>
      </c>
      <c r="R909">
        <f>IF($E$2="","",TRIM(INDEX('입력_구리근무자명단'!$A907:$ZZ907,1,$E$2+IF($G$2="확정",1,0))&amp;""))</f>
        <v/>
      </c>
      <c r="S909">
        <f>IF($R909="","",IF(INDEX('입력_구리근무자명단'!$A907:$ZZ907,1,$E$2+2)&amp;""="",급여기준월,IF(ISNUMBER(INDEX('입력_구리근무자명단'!$A907:$ZZ907,1,$E$2+2)),INDEX('입력_구리근무자명단'!$A907:$ZZ907,1,$E$2+2),IFERROR(DATE(VALUE(LEFT(INDEX('입력_구리근무자명단'!$A907:$ZZ907,1,$E$2+2),4)),VALUE(MID(INDEX('입력_구리근무자명단'!$A907:$ZZ907,1,$E$2+2),6,2)),VALUE(MID(INDEX('입력_구리근무자명단'!$A907:$ZZ907,1,$E$2+2),9,2))),-1))))</f>
        <v/>
      </c>
      <c r="T909">
        <f>IF($R909="","",IF(INDEX('입력_구리근무자명단'!$A907:$ZZ907,1,$E$2+3)&amp;""="",EOMONTH(급여기준월,0),IF(ISNUMBER(INDEX('입력_구리근무자명단'!$A907:$ZZ907,1,$E$2+3)),INDEX('입력_구리근무자명단'!$A907:$ZZ907,1,$E$2+3),IFERROR(DATE(VALUE(LEFT(INDEX('입력_구리근무자명단'!$A907:$ZZ907,1,$E$2+3),4)),VALUE(MID(INDEX('입력_구리근무자명단'!$A907:$ZZ907,1,$E$2+3),6,2)),VALUE(MID(INDEX('입력_구리근무자명단'!$A907:$ZZ907,1,$E$2+3),9,2))),-1))))</f>
        <v/>
      </c>
      <c r="U909">
        <f>IF($R909="","",IF(OR($S909&lt;0,$T909&lt;0),0,MAX(0,MIN($T909,EOMONTH(급여기준월,0))-MAX($S909,급여기준월)+1)))</f>
        <v/>
      </c>
      <c r="V909">
        <f>IF($R909="","",TRIM(INDEX('입력_구리근무자명단'!$A907:$ZZ907,1,$E$2+5)&amp;""))</f>
        <v/>
      </c>
      <c r="W909">
        <f>IF(ISNUMBER(SEARCH("구리독자",$V909)),"구리독자","")</f>
        <v/>
      </c>
      <c r="X909">
        <f>IF($R909="","",$R909&amp;"|"&amp;IF(OR($Q909="인턴",ISNUMBER(SEARCH("수련교육부",$P909))),"인턴",$P909))</f>
        <v/>
      </c>
      <c r="Y909">
        <f>IF($R909="","",IF(COUNTIF(명단표[이름|과],$X909)=1,"명단 일치",IF(AND(COUNTIF(명단표[이름|과],$X909)=0,COUNTIF(명단표[이름],$R909)=1),"명단 일치(이름만, 과 다름)",IF(COUNTIF(명단표[이름],$R909)=0,IF(COUNTIF(기본자료표[이름],$R909)&gt;0,"명단에 없음(기본자료에는 있음)","명단에 없음"),"동명이인 확인"))))</f>
        <v/>
      </c>
      <c r="Z909">
        <f>IF($R909="","",IF($S909&lt;0,"⚠"&amp;INDEX('입력_구리근무자명단'!$A907:$ZZ907,1,$E$2+2),TEXT($S909,"yyyy-mm-dd")))</f>
        <v/>
      </c>
      <c r="AA909">
        <f>IF($R909="","",IF($T909&lt;0,"⚠"&amp;INDEX('입력_구리근무자명단'!$A907:$ZZ907,1,$E$2+3),TEXT($T909,"yyyy-mm-dd")))</f>
        <v/>
      </c>
      <c r="AB909">
        <f>AB908+IF($R909="",0,1)</f>
        <v/>
      </c>
      <c r="AC909">
        <f>IF($R909="","",$AB909)</f>
        <v/>
      </c>
    </row>
    <row r="910">
      <c r="O910">
        <f>908</f>
        <v/>
      </c>
      <c r="P910">
        <f>IF(TRIM('입력_구리근무자명단'!$A908&amp;"")&lt;&gt;"",TRIM('입력_구리근무자명단'!$A908&amp;""),P909)</f>
        <v/>
      </c>
      <c r="Q910">
        <f>'입력_구리근무자명단'!$B908&amp;""</f>
        <v/>
      </c>
      <c r="R910">
        <f>IF($E$2="","",TRIM(INDEX('입력_구리근무자명단'!$A908:$ZZ908,1,$E$2+IF($G$2="확정",1,0))&amp;""))</f>
        <v/>
      </c>
      <c r="S910">
        <f>IF($R910="","",IF(INDEX('입력_구리근무자명단'!$A908:$ZZ908,1,$E$2+2)&amp;""="",급여기준월,IF(ISNUMBER(INDEX('입력_구리근무자명단'!$A908:$ZZ908,1,$E$2+2)),INDEX('입력_구리근무자명단'!$A908:$ZZ908,1,$E$2+2),IFERROR(DATE(VALUE(LEFT(INDEX('입력_구리근무자명단'!$A908:$ZZ908,1,$E$2+2),4)),VALUE(MID(INDEX('입력_구리근무자명단'!$A908:$ZZ908,1,$E$2+2),6,2)),VALUE(MID(INDEX('입력_구리근무자명단'!$A908:$ZZ908,1,$E$2+2),9,2))),-1))))</f>
        <v/>
      </c>
      <c r="T910">
        <f>IF($R910="","",IF(INDEX('입력_구리근무자명단'!$A908:$ZZ908,1,$E$2+3)&amp;""="",EOMONTH(급여기준월,0),IF(ISNUMBER(INDEX('입력_구리근무자명단'!$A908:$ZZ908,1,$E$2+3)),INDEX('입력_구리근무자명단'!$A908:$ZZ908,1,$E$2+3),IFERROR(DATE(VALUE(LEFT(INDEX('입력_구리근무자명단'!$A908:$ZZ908,1,$E$2+3),4)),VALUE(MID(INDEX('입력_구리근무자명단'!$A908:$ZZ908,1,$E$2+3),6,2)),VALUE(MID(INDEX('입력_구리근무자명단'!$A908:$ZZ908,1,$E$2+3),9,2))),-1))))</f>
        <v/>
      </c>
      <c r="U910">
        <f>IF($R910="","",IF(OR($S910&lt;0,$T910&lt;0),0,MAX(0,MIN($T910,EOMONTH(급여기준월,0))-MAX($S910,급여기준월)+1)))</f>
        <v/>
      </c>
      <c r="V910">
        <f>IF($R910="","",TRIM(INDEX('입력_구리근무자명단'!$A908:$ZZ908,1,$E$2+5)&amp;""))</f>
        <v/>
      </c>
      <c r="W910">
        <f>IF(ISNUMBER(SEARCH("구리독자",$V910)),"구리독자","")</f>
        <v/>
      </c>
      <c r="X910">
        <f>IF($R910="","",$R910&amp;"|"&amp;IF(OR($Q910="인턴",ISNUMBER(SEARCH("수련교육부",$P910))),"인턴",$P910))</f>
        <v/>
      </c>
      <c r="Y910">
        <f>IF($R910="","",IF(COUNTIF(명단표[이름|과],$X910)=1,"명단 일치",IF(AND(COUNTIF(명단표[이름|과],$X910)=0,COUNTIF(명단표[이름],$R910)=1),"명단 일치(이름만, 과 다름)",IF(COUNTIF(명단표[이름],$R910)=0,IF(COUNTIF(기본자료표[이름],$R910)&gt;0,"명단에 없음(기본자료에는 있음)","명단에 없음"),"동명이인 확인"))))</f>
        <v/>
      </c>
      <c r="Z910">
        <f>IF($R910="","",IF($S910&lt;0,"⚠"&amp;INDEX('입력_구리근무자명단'!$A908:$ZZ908,1,$E$2+2),TEXT($S910,"yyyy-mm-dd")))</f>
        <v/>
      </c>
      <c r="AA910">
        <f>IF($R910="","",IF($T910&lt;0,"⚠"&amp;INDEX('입력_구리근무자명단'!$A908:$ZZ908,1,$E$2+3),TEXT($T910,"yyyy-mm-dd")))</f>
        <v/>
      </c>
      <c r="AB910">
        <f>AB909+IF($R910="",0,1)</f>
        <v/>
      </c>
      <c r="AC910">
        <f>IF($R910="","",$AB910)</f>
        <v/>
      </c>
    </row>
    <row r="911">
      <c r="O911">
        <f>909</f>
        <v/>
      </c>
      <c r="P911">
        <f>IF(TRIM('입력_구리근무자명단'!$A909&amp;"")&lt;&gt;"",TRIM('입력_구리근무자명단'!$A909&amp;""),P910)</f>
        <v/>
      </c>
      <c r="Q911">
        <f>'입력_구리근무자명단'!$B909&amp;""</f>
        <v/>
      </c>
      <c r="R911">
        <f>IF($E$2="","",TRIM(INDEX('입력_구리근무자명단'!$A909:$ZZ909,1,$E$2+IF($G$2="확정",1,0))&amp;""))</f>
        <v/>
      </c>
      <c r="S911">
        <f>IF($R911="","",IF(INDEX('입력_구리근무자명단'!$A909:$ZZ909,1,$E$2+2)&amp;""="",급여기준월,IF(ISNUMBER(INDEX('입력_구리근무자명단'!$A909:$ZZ909,1,$E$2+2)),INDEX('입력_구리근무자명단'!$A909:$ZZ909,1,$E$2+2),IFERROR(DATE(VALUE(LEFT(INDEX('입력_구리근무자명단'!$A909:$ZZ909,1,$E$2+2),4)),VALUE(MID(INDEX('입력_구리근무자명단'!$A909:$ZZ909,1,$E$2+2),6,2)),VALUE(MID(INDEX('입력_구리근무자명단'!$A909:$ZZ909,1,$E$2+2),9,2))),-1))))</f>
        <v/>
      </c>
      <c r="T911">
        <f>IF($R911="","",IF(INDEX('입력_구리근무자명단'!$A909:$ZZ909,1,$E$2+3)&amp;""="",EOMONTH(급여기준월,0),IF(ISNUMBER(INDEX('입력_구리근무자명단'!$A909:$ZZ909,1,$E$2+3)),INDEX('입력_구리근무자명단'!$A909:$ZZ909,1,$E$2+3),IFERROR(DATE(VALUE(LEFT(INDEX('입력_구리근무자명단'!$A909:$ZZ909,1,$E$2+3),4)),VALUE(MID(INDEX('입력_구리근무자명단'!$A909:$ZZ909,1,$E$2+3),6,2)),VALUE(MID(INDEX('입력_구리근무자명단'!$A909:$ZZ909,1,$E$2+3),9,2))),-1))))</f>
        <v/>
      </c>
      <c r="U911">
        <f>IF($R911="","",IF(OR($S911&lt;0,$T911&lt;0),0,MAX(0,MIN($T911,EOMONTH(급여기준월,0))-MAX($S911,급여기준월)+1)))</f>
        <v/>
      </c>
      <c r="V911">
        <f>IF($R911="","",TRIM(INDEX('입력_구리근무자명단'!$A909:$ZZ909,1,$E$2+5)&amp;""))</f>
        <v/>
      </c>
      <c r="W911">
        <f>IF(ISNUMBER(SEARCH("구리독자",$V911)),"구리독자","")</f>
        <v/>
      </c>
      <c r="X911">
        <f>IF($R911="","",$R911&amp;"|"&amp;IF(OR($Q911="인턴",ISNUMBER(SEARCH("수련교육부",$P911))),"인턴",$P911))</f>
        <v/>
      </c>
      <c r="Y911">
        <f>IF($R911="","",IF(COUNTIF(명단표[이름|과],$X911)=1,"명단 일치",IF(AND(COUNTIF(명단표[이름|과],$X911)=0,COUNTIF(명단표[이름],$R911)=1),"명단 일치(이름만, 과 다름)",IF(COUNTIF(명단표[이름],$R911)=0,IF(COUNTIF(기본자료표[이름],$R911)&gt;0,"명단에 없음(기본자료에는 있음)","명단에 없음"),"동명이인 확인"))))</f>
        <v/>
      </c>
      <c r="Z911">
        <f>IF($R911="","",IF($S911&lt;0,"⚠"&amp;INDEX('입력_구리근무자명단'!$A909:$ZZ909,1,$E$2+2),TEXT($S911,"yyyy-mm-dd")))</f>
        <v/>
      </c>
      <c r="AA911">
        <f>IF($R911="","",IF($T911&lt;0,"⚠"&amp;INDEX('입력_구리근무자명단'!$A909:$ZZ909,1,$E$2+3),TEXT($T911,"yyyy-mm-dd")))</f>
        <v/>
      </c>
      <c r="AB911">
        <f>AB910+IF($R911="",0,1)</f>
        <v/>
      </c>
      <c r="AC911">
        <f>IF($R911="","",$AB911)</f>
        <v/>
      </c>
    </row>
    <row r="912">
      <c r="O912">
        <f>910</f>
        <v/>
      </c>
      <c r="P912">
        <f>IF(TRIM('입력_구리근무자명단'!$A910&amp;"")&lt;&gt;"",TRIM('입력_구리근무자명단'!$A910&amp;""),P911)</f>
        <v/>
      </c>
      <c r="Q912">
        <f>'입력_구리근무자명단'!$B910&amp;""</f>
        <v/>
      </c>
      <c r="R912">
        <f>IF($E$2="","",TRIM(INDEX('입력_구리근무자명단'!$A910:$ZZ910,1,$E$2+IF($G$2="확정",1,0))&amp;""))</f>
        <v/>
      </c>
      <c r="S912">
        <f>IF($R912="","",IF(INDEX('입력_구리근무자명단'!$A910:$ZZ910,1,$E$2+2)&amp;""="",급여기준월,IF(ISNUMBER(INDEX('입력_구리근무자명단'!$A910:$ZZ910,1,$E$2+2)),INDEX('입력_구리근무자명단'!$A910:$ZZ910,1,$E$2+2),IFERROR(DATE(VALUE(LEFT(INDEX('입력_구리근무자명단'!$A910:$ZZ910,1,$E$2+2),4)),VALUE(MID(INDEX('입력_구리근무자명단'!$A910:$ZZ910,1,$E$2+2),6,2)),VALUE(MID(INDEX('입력_구리근무자명단'!$A910:$ZZ910,1,$E$2+2),9,2))),-1))))</f>
        <v/>
      </c>
      <c r="T912">
        <f>IF($R912="","",IF(INDEX('입력_구리근무자명단'!$A910:$ZZ910,1,$E$2+3)&amp;""="",EOMONTH(급여기준월,0),IF(ISNUMBER(INDEX('입력_구리근무자명단'!$A910:$ZZ910,1,$E$2+3)),INDEX('입력_구리근무자명단'!$A910:$ZZ910,1,$E$2+3),IFERROR(DATE(VALUE(LEFT(INDEX('입력_구리근무자명단'!$A910:$ZZ910,1,$E$2+3),4)),VALUE(MID(INDEX('입력_구리근무자명단'!$A910:$ZZ910,1,$E$2+3),6,2)),VALUE(MID(INDEX('입력_구리근무자명단'!$A910:$ZZ910,1,$E$2+3),9,2))),-1))))</f>
        <v/>
      </c>
      <c r="U912">
        <f>IF($R912="","",IF(OR($S912&lt;0,$T912&lt;0),0,MAX(0,MIN($T912,EOMONTH(급여기준월,0))-MAX($S912,급여기준월)+1)))</f>
        <v/>
      </c>
      <c r="V912">
        <f>IF($R912="","",TRIM(INDEX('입력_구리근무자명단'!$A910:$ZZ910,1,$E$2+5)&amp;""))</f>
        <v/>
      </c>
      <c r="W912">
        <f>IF(ISNUMBER(SEARCH("구리독자",$V912)),"구리독자","")</f>
        <v/>
      </c>
      <c r="X912">
        <f>IF($R912="","",$R912&amp;"|"&amp;IF(OR($Q912="인턴",ISNUMBER(SEARCH("수련교육부",$P912))),"인턴",$P912))</f>
        <v/>
      </c>
      <c r="Y912">
        <f>IF($R912="","",IF(COUNTIF(명단표[이름|과],$X912)=1,"명단 일치",IF(AND(COUNTIF(명단표[이름|과],$X912)=0,COUNTIF(명단표[이름],$R912)=1),"명단 일치(이름만, 과 다름)",IF(COUNTIF(명단표[이름],$R912)=0,IF(COUNTIF(기본자료표[이름],$R912)&gt;0,"명단에 없음(기본자료에는 있음)","명단에 없음"),"동명이인 확인"))))</f>
        <v/>
      </c>
      <c r="Z912">
        <f>IF($R912="","",IF($S912&lt;0,"⚠"&amp;INDEX('입력_구리근무자명단'!$A910:$ZZ910,1,$E$2+2),TEXT($S912,"yyyy-mm-dd")))</f>
        <v/>
      </c>
      <c r="AA912">
        <f>IF($R912="","",IF($T912&lt;0,"⚠"&amp;INDEX('입력_구리근무자명단'!$A910:$ZZ910,1,$E$2+3),TEXT($T912,"yyyy-mm-dd")))</f>
        <v/>
      </c>
      <c r="AB912">
        <f>AB911+IF($R912="",0,1)</f>
        <v/>
      </c>
      <c r="AC912">
        <f>IF($R912="","",$AB912)</f>
        <v/>
      </c>
    </row>
    <row r="913">
      <c r="O913">
        <f>911</f>
        <v/>
      </c>
      <c r="P913">
        <f>IF(TRIM('입력_구리근무자명단'!$A911&amp;"")&lt;&gt;"",TRIM('입력_구리근무자명단'!$A911&amp;""),P912)</f>
        <v/>
      </c>
      <c r="Q913">
        <f>'입력_구리근무자명단'!$B911&amp;""</f>
        <v/>
      </c>
      <c r="R913">
        <f>IF($E$2="","",TRIM(INDEX('입력_구리근무자명단'!$A911:$ZZ911,1,$E$2+IF($G$2="확정",1,0))&amp;""))</f>
        <v/>
      </c>
      <c r="S913">
        <f>IF($R913="","",IF(INDEX('입력_구리근무자명단'!$A911:$ZZ911,1,$E$2+2)&amp;""="",급여기준월,IF(ISNUMBER(INDEX('입력_구리근무자명단'!$A911:$ZZ911,1,$E$2+2)),INDEX('입력_구리근무자명단'!$A911:$ZZ911,1,$E$2+2),IFERROR(DATE(VALUE(LEFT(INDEX('입력_구리근무자명단'!$A911:$ZZ911,1,$E$2+2),4)),VALUE(MID(INDEX('입력_구리근무자명단'!$A911:$ZZ911,1,$E$2+2),6,2)),VALUE(MID(INDEX('입력_구리근무자명단'!$A911:$ZZ911,1,$E$2+2),9,2))),-1))))</f>
        <v/>
      </c>
      <c r="T913">
        <f>IF($R913="","",IF(INDEX('입력_구리근무자명단'!$A911:$ZZ911,1,$E$2+3)&amp;""="",EOMONTH(급여기준월,0),IF(ISNUMBER(INDEX('입력_구리근무자명단'!$A911:$ZZ911,1,$E$2+3)),INDEX('입력_구리근무자명단'!$A911:$ZZ911,1,$E$2+3),IFERROR(DATE(VALUE(LEFT(INDEX('입력_구리근무자명단'!$A911:$ZZ911,1,$E$2+3),4)),VALUE(MID(INDEX('입력_구리근무자명단'!$A911:$ZZ911,1,$E$2+3),6,2)),VALUE(MID(INDEX('입력_구리근무자명단'!$A911:$ZZ911,1,$E$2+3),9,2))),-1))))</f>
        <v/>
      </c>
      <c r="U913">
        <f>IF($R913="","",IF(OR($S913&lt;0,$T913&lt;0),0,MAX(0,MIN($T913,EOMONTH(급여기준월,0))-MAX($S913,급여기준월)+1)))</f>
        <v/>
      </c>
      <c r="V913">
        <f>IF($R913="","",TRIM(INDEX('입력_구리근무자명단'!$A911:$ZZ911,1,$E$2+5)&amp;""))</f>
        <v/>
      </c>
      <c r="W913">
        <f>IF(ISNUMBER(SEARCH("구리독자",$V913)),"구리독자","")</f>
        <v/>
      </c>
      <c r="X913">
        <f>IF($R913="","",$R913&amp;"|"&amp;IF(OR($Q913="인턴",ISNUMBER(SEARCH("수련교육부",$P913))),"인턴",$P913))</f>
        <v/>
      </c>
      <c r="Y913">
        <f>IF($R913="","",IF(COUNTIF(명단표[이름|과],$X913)=1,"명단 일치",IF(AND(COUNTIF(명단표[이름|과],$X913)=0,COUNTIF(명단표[이름],$R913)=1),"명단 일치(이름만, 과 다름)",IF(COUNTIF(명단표[이름],$R913)=0,IF(COUNTIF(기본자료표[이름],$R913)&gt;0,"명단에 없음(기본자료에는 있음)","명단에 없음"),"동명이인 확인"))))</f>
        <v/>
      </c>
      <c r="Z913">
        <f>IF($R913="","",IF($S913&lt;0,"⚠"&amp;INDEX('입력_구리근무자명단'!$A911:$ZZ911,1,$E$2+2),TEXT($S913,"yyyy-mm-dd")))</f>
        <v/>
      </c>
      <c r="AA913">
        <f>IF($R913="","",IF($T913&lt;0,"⚠"&amp;INDEX('입력_구리근무자명단'!$A911:$ZZ911,1,$E$2+3),TEXT($T913,"yyyy-mm-dd")))</f>
        <v/>
      </c>
      <c r="AB913">
        <f>AB912+IF($R913="",0,1)</f>
        <v/>
      </c>
      <c r="AC913">
        <f>IF($R913="","",$AB913)</f>
        <v/>
      </c>
    </row>
    <row r="914">
      <c r="O914">
        <f>912</f>
        <v/>
      </c>
      <c r="P914">
        <f>IF(TRIM('입력_구리근무자명단'!$A912&amp;"")&lt;&gt;"",TRIM('입력_구리근무자명단'!$A912&amp;""),P913)</f>
        <v/>
      </c>
      <c r="Q914">
        <f>'입력_구리근무자명단'!$B912&amp;""</f>
        <v/>
      </c>
      <c r="R914">
        <f>IF($E$2="","",TRIM(INDEX('입력_구리근무자명단'!$A912:$ZZ912,1,$E$2+IF($G$2="확정",1,0))&amp;""))</f>
        <v/>
      </c>
      <c r="S914">
        <f>IF($R914="","",IF(INDEX('입력_구리근무자명단'!$A912:$ZZ912,1,$E$2+2)&amp;""="",급여기준월,IF(ISNUMBER(INDEX('입력_구리근무자명단'!$A912:$ZZ912,1,$E$2+2)),INDEX('입력_구리근무자명단'!$A912:$ZZ912,1,$E$2+2),IFERROR(DATE(VALUE(LEFT(INDEX('입력_구리근무자명단'!$A912:$ZZ912,1,$E$2+2),4)),VALUE(MID(INDEX('입력_구리근무자명단'!$A912:$ZZ912,1,$E$2+2),6,2)),VALUE(MID(INDEX('입력_구리근무자명단'!$A912:$ZZ912,1,$E$2+2),9,2))),-1))))</f>
        <v/>
      </c>
      <c r="T914">
        <f>IF($R914="","",IF(INDEX('입력_구리근무자명단'!$A912:$ZZ912,1,$E$2+3)&amp;""="",EOMONTH(급여기준월,0),IF(ISNUMBER(INDEX('입력_구리근무자명단'!$A912:$ZZ912,1,$E$2+3)),INDEX('입력_구리근무자명단'!$A912:$ZZ912,1,$E$2+3),IFERROR(DATE(VALUE(LEFT(INDEX('입력_구리근무자명단'!$A912:$ZZ912,1,$E$2+3),4)),VALUE(MID(INDEX('입력_구리근무자명단'!$A912:$ZZ912,1,$E$2+3),6,2)),VALUE(MID(INDEX('입력_구리근무자명단'!$A912:$ZZ912,1,$E$2+3),9,2))),-1))))</f>
        <v/>
      </c>
      <c r="U914">
        <f>IF($R914="","",IF(OR($S914&lt;0,$T914&lt;0),0,MAX(0,MIN($T914,EOMONTH(급여기준월,0))-MAX($S914,급여기준월)+1)))</f>
        <v/>
      </c>
      <c r="V914">
        <f>IF($R914="","",TRIM(INDEX('입력_구리근무자명단'!$A912:$ZZ912,1,$E$2+5)&amp;""))</f>
        <v/>
      </c>
      <c r="W914">
        <f>IF(ISNUMBER(SEARCH("구리독자",$V914)),"구리독자","")</f>
        <v/>
      </c>
      <c r="X914">
        <f>IF($R914="","",$R914&amp;"|"&amp;IF(OR($Q914="인턴",ISNUMBER(SEARCH("수련교육부",$P914))),"인턴",$P914))</f>
        <v/>
      </c>
      <c r="Y914">
        <f>IF($R914="","",IF(COUNTIF(명단표[이름|과],$X914)=1,"명단 일치",IF(AND(COUNTIF(명단표[이름|과],$X914)=0,COUNTIF(명단표[이름],$R914)=1),"명단 일치(이름만, 과 다름)",IF(COUNTIF(명단표[이름],$R914)=0,IF(COUNTIF(기본자료표[이름],$R914)&gt;0,"명단에 없음(기본자료에는 있음)","명단에 없음"),"동명이인 확인"))))</f>
        <v/>
      </c>
      <c r="Z914">
        <f>IF($R914="","",IF($S914&lt;0,"⚠"&amp;INDEX('입력_구리근무자명단'!$A912:$ZZ912,1,$E$2+2),TEXT($S914,"yyyy-mm-dd")))</f>
        <v/>
      </c>
      <c r="AA914">
        <f>IF($R914="","",IF($T914&lt;0,"⚠"&amp;INDEX('입력_구리근무자명단'!$A912:$ZZ912,1,$E$2+3),TEXT($T914,"yyyy-mm-dd")))</f>
        <v/>
      </c>
      <c r="AB914">
        <f>AB913+IF($R914="",0,1)</f>
        <v/>
      </c>
      <c r="AC914">
        <f>IF($R914="","",$AB914)</f>
        <v/>
      </c>
    </row>
    <row r="915">
      <c r="O915">
        <f>913</f>
        <v/>
      </c>
      <c r="P915">
        <f>IF(TRIM('입력_구리근무자명단'!$A913&amp;"")&lt;&gt;"",TRIM('입력_구리근무자명단'!$A913&amp;""),P914)</f>
        <v/>
      </c>
      <c r="Q915">
        <f>'입력_구리근무자명단'!$B913&amp;""</f>
        <v/>
      </c>
      <c r="R915">
        <f>IF($E$2="","",TRIM(INDEX('입력_구리근무자명단'!$A913:$ZZ913,1,$E$2+IF($G$2="확정",1,0))&amp;""))</f>
        <v/>
      </c>
      <c r="S915">
        <f>IF($R915="","",IF(INDEX('입력_구리근무자명단'!$A913:$ZZ913,1,$E$2+2)&amp;""="",급여기준월,IF(ISNUMBER(INDEX('입력_구리근무자명단'!$A913:$ZZ913,1,$E$2+2)),INDEX('입력_구리근무자명단'!$A913:$ZZ913,1,$E$2+2),IFERROR(DATE(VALUE(LEFT(INDEX('입력_구리근무자명단'!$A913:$ZZ913,1,$E$2+2),4)),VALUE(MID(INDEX('입력_구리근무자명단'!$A913:$ZZ913,1,$E$2+2),6,2)),VALUE(MID(INDEX('입력_구리근무자명단'!$A913:$ZZ913,1,$E$2+2),9,2))),-1))))</f>
        <v/>
      </c>
      <c r="T915">
        <f>IF($R915="","",IF(INDEX('입력_구리근무자명단'!$A913:$ZZ913,1,$E$2+3)&amp;""="",EOMONTH(급여기준월,0),IF(ISNUMBER(INDEX('입력_구리근무자명단'!$A913:$ZZ913,1,$E$2+3)),INDEX('입력_구리근무자명단'!$A913:$ZZ913,1,$E$2+3),IFERROR(DATE(VALUE(LEFT(INDEX('입력_구리근무자명단'!$A913:$ZZ913,1,$E$2+3),4)),VALUE(MID(INDEX('입력_구리근무자명단'!$A913:$ZZ913,1,$E$2+3),6,2)),VALUE(MID(INDEX('입력_구리근무자명단'!$A913:$ZZ913,1,$E$2+3),9,2))),-1))))</f>
        <v/>
      </c>
      <c r="U915">
        <f>IF($R915="","",IF(OR($S915&lt;0,$T915&lt;0),0,MAX(0,MIN($T915,EOMONTH(급여기준월,0))-MAX($S915,급여기준월)+1)))</f>
        <v/>
      </c>
      <c r="V915">
        <f>IF($R915="","",TRIM(INDEX('입력_구리근무자명단'!$A913:$ZZ913,1,$E$2+5)&amp;""))</f>
        <v/>
      </c>
      <c r="W915">
        <f>IF(ISNUMBER(SEARCH("구리독자",$V915)),"구리독자","")</f>
        <v/>
      </c>
      <c r="X915">
        <f>IF($R915="","",$R915&amp;"|"&amp;IF(OR($Q915="인턴",ISNUMBER(SEARCH("수련교육부",$P915))),"인턴",$P915))</f>
        <v/>
      </c>
      <c r="Y915">
        <f>IF($R915="","",IF(COUNTIF(명단표[이름|과],$X915)=1,"명단 일치",IF(AND(COUNTIF(명단표[이름|과],$X915)=0,COUNTIF(명단표[이름],$R915)=1),"명단 일치(이름만, 과 다름)",IF(COUNTIF(명단표[이름],$R915)=0,IF(COUNTIF(기본자료표[이름],$R915)&gt;0,"명단에 없음(기본자료에는 있음)","명단에 없음"),"동명이인 확인"))))</f>
        <v/>
      </c>
      <c r="Z915">
        <f>IF($R915="","",IF($S915&lt;0,"⚠"&amp;INDEX('입력_구리근무자명단'!$A913:$ZZ913,1,$E$2+2),TEXT($S915,"yyyy-mm-dd")))</f>
        <v/>
      </c>
      <c r="AA915">
        <f>IF($R915="","",IF($T915&lt;0,"⚠"&amp;INDEX('입력_구리근무자명단'!$A913:$ZZ913,1,$E$2+3),TEXT($T915,"yyyy-mm-dd")))</f>
        <v/>
      </c>
      <c r="AB915">
        <f>AB914+IF($R915="",0,1)</f>
        <v/>
      </c>
      <c r="AC915">
        <f>IF($R915="","",$AB915)</f>
        <v/>
      </c>
    </row>
    <row r="916">
      <c r="O916">
        <f>914</f>
        <v/>
      </c>
      <c r="P916">
        <f>IF(TRIM('입력_구리근무자명단'!$A914&amp;"")&lt;&gt;"",TRIM('입력_구리근무자명단'!$A914&amp;""),P915)</f>
        <v/>
      </c>
      <c r="Q916">
        <f>'입력_구리근무자명단'!$B914&amp;""</f>
        <v/>
      </c>
      <c r="R916">
        <f>IF($E$2="","",TRIM(INDEX('입력_구리근무자명단'!$A914:$ZZ914,1,$E$2+IF($G$2="확정",1,0))&amp;""))</f>
        <v/>
      </c>
      <c r="S916">
        <f>IF($R916="","",IF(INDEX('입력_구리근무자명단'!$A914:$ZZ914,1,$E$2+2)&amp;""="",급여기준월,IF(ISNUMBER(INDEX('입력_구리근무자명단'!$A914:$ZZ914,1,$E$2+2)),INDEX('입력_구리근무자명단'!$A914:$ZZ914,1,$E$2+2),IFERROR(DATE(VALUE(LEFT(INDEX('입력_구리근무자명단'!$A914:$ZZ914,1,$E$2+2),4)),VALUE(MID(INDEX('입력_구리근무자명단'!$A914:$ZZ914,1,$E$2+2),6,2)),VALUE(MID(INDEX('입력_구리근무자명단'!$A914:$ZZ914,1,$E$2+2),9,2))),-1))))</f>
        <v/>
      </c>
      <c r="T916">
        <f>IF($R916="","",IF(INDEX('입력_구리근무자명단'!$A914:$ZZ914,1,$E$2+3)&amp;""="",EOMONTH(급여기준월,0),IF(ISNUMBER(INDEX('입력_구리근무자명단'!$A914:$ZZ914,1,$E$2+3)),INDEX('입력_구리근무자명단'!$A914:$ZZ914,1,$E$2+3),IFERROR(DATE(VALUE(LEFT(INDEX('입력_구리근무자명단'!$A914:$ZZ914,1,$E$2+3),4)),VALUE(MID(INDEX('입력_구리근무자명단'!$A914:$ZZ914,1,$E$2+3),6,2)),VALUE(MID(INDEX('입력_구리근무자명단'!$A914:$ZZ914,1,$E$2+3),9,2))),-1))))</f>
        <v/>
      </c>
      <c r="U916">
        <f>IF($R916="","",IF(OR($S916&lt;0,$T916&lt;0),0,MAX(0,MIN($T916,EOMONTH(급여기준월,0))-MAX($S916,급여기준월)+1)))</f>
        <v/>
      </c>
      <c r="V916">
        <f>IF($R916="","",TRIM(INDEX('입력_구리근무자명단'!$A914:$ZZ914,1,$E$2+5)&amp;""))</f>
        <v/>
      </c>
      <c r="W916">
        <f>IF(ISNUMBER(SEARCH("구리독자",$V916)),"구리독자","")</f>
        <v/>
      </c>
      <c r="X916">
        <f>IF($R916="","",$R916&amp;"|"&amp;IF(OR($Q916="인턴",ISNUMBER(SEARCH("수련교육부",$P916))),"인턴",$P916))</f>
        <v/>
      </c>
      <c r="Y916">
        <f>IF($R916="","",IF(COUNTIF(명단표[이름|과],$X916)=1,"명단 일치",IF(AND(COUNTIF(명단표[이름|과],$X916)=0,COUNTIF(명단표[이름],$R916)=1),"명단 일치(이름만, 과 다름)",IF(COUNTIF(명단표[이름],$R916)=0,IF(COUNTIF(기본자료표[이름],$R916)&gt;0,"명단에 없음(기본자료에는 있음)","명단에 없음"),"동명이인 확인"))))</f>
        <v/>
      </c>
      <c r="Z916">
        <f>IF($R916="","",IF($S916&lt;0,"⚠"&amp;INDEX('입력_구리근무자명단'!$A914:$ZZ914,1,$E$2+2),TEXT($S916,"yyyy-mm-dd")))</f>
        <v/>
      </c>
      <c r="AA916">
        <f>IF($R916="","",IF($T916&lt;0,"⚠"&amp;INDEX('입력_구리근무자명단'!$A914:$ZZ914,1,$E$2+3),TEXT($T916,"yyyy-mm-dd")))</f>
        <v/>
      </c>
      <c r="AB916">
        <f>AB915+IF($R916="",0,1)</f>
        <v/>
      </c>
      <c r="AC916">
        <f>IF($R916="","",$AB916)</f>
        <v/>
      </c>
    </row>
    <row r="917">
      <c r="O917">
        <f>915</f>
        <v/>
      </c>
      <c r="P917">
        <f>IF(TRIM('입력_구리근무자명단'!$A915&amp;"")&lt;&gt;"",TRIM('입력_구리근무자명단'!$A915&amp;""),P916)</f>
        <v/>
      </c>
      <c r="Q917">
        <f>'입력_구리근무자명단'!$B915&amp;""</f>
        <v/>
      </c>
      <c r="R917">
        <f>IF($E$2="","",TRIM(INDEX('입력_구리근무자명단'!$A915:$ZZ915,1,$E$2+IF($G$2="확정",1,0))&amp;""))</f>
        <v/>
      </c>
      <c r="S917">
        <f>IF($R917="","",IF(INDEX('입력_구리근무자명단'!$A915:$ZZ915,1,$E$2+2)&amp;""="",급여기준월,IF(ISNUMBER(INDEX('입력_구리근무자명단'!$A915:$ZZ915,1,$E$2+2)),INDEX('입력_구리근무자명단'!$A915:$ZZ915,1,$E$2+2),IFERROR(DATE(VALUE(LEFT(INDEX('입력_구리근무자명단'!$A915:$ZZ915,1,$E$2+2),4)),VALUE(MID(INDEX('입력_구리근무자명단'!$A915:$ZZ915,1,$E$2+2),6,2)),VALUE(MID(INDEX('입력_구리근무자명단'!$A915:$ZZ915,1,$E$2+2),9,2))),-1))))</f>
        <v/>
      </c>
      <c r="T917">
        <f>IF($R917="","",IF(INDEX('입력_구리근무자명단'!$A915:$ZZ915,1,$E$2+3)&amp;""="",EOMONTH(급여기준월,0),IF(ISNUMBER(INDEX('입력_구리근무자명단'!$A915:$ZZ915,1,$E$2+3)),INDEX('입력_구리근무자명단'!$A915:$ZZ915,1,$E$2+3),IFERROR(DATE(VALUE(LEFT(INDEX('입력_구리근무자명단'!$A915:$ZZ915,1,$E$2+3),4)),VALUE(MID(INDEX('입력_구리근무자명단'!$A915:$ZZ915,1,$E$2+3),6,2)),VALUE(MID(INDEX('입력_구리근무자명단'!$A915:$ZZ915,1,$E$2+3),9,2))),-1))))</f>
        <v/>
      </c>
      <c r="U917">
        <f>IF($R917="","",IF(OR($S917&lt;0,$T917&lt;0),0,MAX(0,MIN($T917,EOMONTH(급여기준월,0))-MAX($S917,급여기준월)+1)))</f>
        <v/>
      </c>
      <c r="V917">
        <f>IF($R917="","",TRIM(INDEX('입력_구리근무자명단'!$A915:$ZZ915,1,$E$2+5)&amp;""))</f>
        <v/>
      </c>
      <c r="W917">
        <f>IF(ISNUMBER(SEARCH("구리독자",$V917)),"구리독자","")</f>
        <v/>
      </c>
      <c r="X917">
        <f>IF($R917="","",$R917&amp;"|"&amp;IF(OR($Q917="인턴",ISNUMBER(SEARCH("수련교육부",$P917))),"인턴",$P917))</f>
        <v/>
      </c>
      <c r="Y917">
        <f>IF($R917="","",IF(COUNTIF(명단표[이름|과],$X917)=1,"명단 일치",IF(AND(COUNTIF(명단표[이름|과],$X917)=0,COUNTIF(명단표[이름],$R917)=1),"명단 일치(이름만, 과 다름)",IF(COUNTIF(명단표[이름],$R917)=0,IF(COUNTIF(기본자료표[이름],$R917)&gt;0,"명단에 없음(기본자료에는 있음)","명단에 없음"),"동명이인 확인"))))</f>
        <v/>
      </c>
      <c r="Z917">
        <f>IF($R917="","",IF($S917&lt;0,"⚠"&amp;INDEX('입력_구리근무자명단'!$A915:$ZZ915,1,$E$2+2),TEXT($S917,"yyyy-mm-dd")))</f>
        <v/>
      </c>
      <c r="AA917">
        <f>IF($R917="","",IF($T917&lt;0,"⚠"&amp;INDEX('입력_구리근무자명단'!$A915:$ZZ915,1,$E$2+3),TEXT($T917,"yyyy-mm-dd")))</f>
        <v/>
      </c>
      <c r="AB917">
        <f>AB916+IF($R917="",0,1)</f>
        <v/>
      </c>
      <c r="AC917">
        <f>IF($R917="","",$AB917)</f>
        <v/>
      </c>
    </row>
    <row r="918">
      <c r="O918">
        <f>916</f>
        <v/>
      </c>
      <c r="P918">
        <f>IF(TRIM('입력_구리근무자명단'!$A916&amp;"")&lt;&gt;"",TRIM('입력_구리근무자명단'!$A916&amp;""),P917)</f>
        <v/>
      </c>
      <c r="Q918">
        <f>'입력_구리근무자명단'!$B916&amp;""</f>
        <v/>
      </c>
      <c r="R918">
        <f>IF($E$2="","",TRIM(INDEX('입력_구리근무자명단'!$A916:$ZZ916,1,$E$2+IF($G$2="확정",1,0))&amp;""))</f>
        <v/>
      </c>
      <c r="S918">
        <f>IF($R918="","",IF(INDEX('입력_구리근무자명단'!$A916:$ZZ916,1,$E$2+2)&amp;""="",급여기준월,IF(ISNUMBER(INDEX('입력_구리근무자명단'!$A916:$ZZ916,1,$E$2+2)),INDEX('입력_구리근무자명단'!$A916:$ZZ916,1,$E$2+2),IFERROR(DATE(VALUE(LEFT(INDEX('입력_구리근무자명단'!$A916:$ZZ916,1,$E$2+2),4)),VALUE(MID(INDEX('입력_구리근무자명단'!$A916:$ZZ916,1,$E$2+2),6,2)),VALUE(MID(INDEX('입력_구리근무자명단'!$A916:$ZZ916,1,$E$2+2),9,2))),-1))))</f>
        <v/>
      </c>
      <c r="T918">
        <f>IF($R918="","",IF(INDEX('입력_구리근무자명단'!$A916:$ZZ916,1,$E$2+3)&amp;""="",EOMONTH(급여기준월,0),IF(ISNUMBER(INDEX('입력_구리근무자명단'!$A916:$ZZ916,1,$E$2+3)),INDEX('입력_구리근무자명단'!$A916:$ZZ916,1,$E$2+3),IFERROR(DATE(VALUE(LEFT(INDEX('입력_구리근무자명단'!$A916:$ZZ916,1,$E$2+3),4)),VALUE(MID(INDEX('입력_구리근무자명단'!$A916:$ZZ916,1,$E$2+3),6,2)),VALUE(MID(INDEX('입력_구리근무자명단'!$A916:$ZZ916,1,$E$2+3),9,2))),-1))))</f>
        <v/>
      </c>
      <c r="U918">
        <f>IF($R918="","",IF(OR($S918&lt;0,$T918&lt;0),0,MAX(0,MIN($T918,EOMONTH(급여기준월,0))-MAX($S918,급여기준월)+1)))</f>
        <v/>
      </c>
      <c r="V918">
        <f>IF($R918="","",TRIM(INDEX('입력_구리근무자명단'!$A916:$ZZ916,1,$E$2+5)&amp;""))</f>
        <v/>
      </c>
      <c r="W918">
        <f>IF(ISNUMBER(SEARCH("구리독자",$V918)),"구리독자","")</f>
        <v/>
      </c>
      <c r="X918">
        <f>IF($R918="","",$R918&amp;"|"&amp;IF(OR($Q918="인턴",ISNUMBER(SEARCH("수련교육부",$P918))),"인턴",$P918))</f>
        <v/>
      </c>
      <c r="Y918">
        <f>IF($R918="","",IF(COUNTIF(명단표[이름|과],$X918)=1,"명단 일치",IF(AND(COUNTIF(명단표[이름|과],$X918)=0,COUNTIF(명단표[이름],$R918)=1),"명단 일치(이름만, 과 다름)",IF(COUNTIF(명단표[이름],$R918)=0,IF(COUNTIF(기본자료표[이름],$R918)&gt;0,"명단에 없음(기본자료에는 있음)","명단에 없음"),"동명이인 확인"))))</f>
        <v/>
      </c>
      <c r="Z918">
        <f>IF($R918="","",IF($S918&lt;0,"⚠"&amp;INDEX('입력_구리근무자명단'!$A916:$ZZ916,1,$E$2+2),TEXT($S918,"yyyy-mm-dd")))</f>
        <v/>
      </c>
      <c r="AA918">
        <f>IF($R918="","",IF($T918&lt;0,"⚠"&amp;INDEX('입력_구리근무자명단'!$A916:$ZZ916,1,$E$2+3),TEXT($T918,"yyyy-mm-dd")))</f>
        <v/>
      </c>
      <c r="AB918">
        <f>AB917+IF($R918="",0,1)</f>
        <v/>
      </c>
      <c r="AC918">
        <f>IF($R918="","",$AB918)</f>
        <v/>
      </c>
    </row>
    <row r="919">
      <c r="O919">
        <f>917</f>
        <v/>
      </c>
      <c r="P919">
        <f>IF(TRIM('입력_구리근무자명단'!$A917&amp;"")&lt;&gt;"",TRIM('입력_구리근무자명단'!$A917&amp;""),P918)</f>
        <v/>
      </c>
      <c r="Q919">
        <f>'입력_구리근무자명단'!$B917&amp;""</f>
        <v/>
      </c>
      <c r="R919">
        <f>IF($E$2="","",TRIM(INDEX('입력_구리근무자명단'!$A917:$ZZ917,1,$E$2+IF($G$2="확정",1,0))&amp;""))</f>
        <v/>
      </c>
      <c r="S919">
        <f>IF($R919="","",IF(INDEX('입력_구리근무자명단'!$A917:$ZZ917,1,$E$2+2)&amp;""="",급여기준월,IF(ISNUMBER(INDEX('입력_구리근무자명단'!$A917:$ZZ917,1,$E$2+2)),INDEX('입력_구리근무자명단'!$A917:$ZZ917,1,$E$2+2),IFERROR(DATE(VALUE(LEFT(INDEX('입력_구리근무자명단'!$A917:$ZZ917,1,$E$2+2),4)),VALUE(MID(INDEX('입력_구리근무자명단'!$A917:$ZZ917,1,$E$2+2),6,2)),VALUE(MID(INDEX('입력_구리근무자명단'!$A917:$ZZ917,1,$E$2+2),9,2))),-1))))</f>
        <v/>
      </c>
      <c r="T919">
        <f>IF($R919="","",IF(INDEX('입력_구리근무자명단'!$A917:$ZZ917,1,$E$2+3)&amp;""="",EOMONTH(급여기준월,0),IF(ISNUMBER(INDEX('입력_구리근무자명단'!$A917:$ZZ917,1,$E$2+3)),INDEX('입력_구리근무자명단'!$A917:$ZZ917,1,$E$2+3),IFERROR(DATE(VALUE(LEFT(INDEX('입력_구리근무자명단'!$A917:$ZZ917,1,$E$2+3),4)),VALUE(MID(INDEX('입력_구리근무자명단'!$A917:$ZZ917,1,$E$2+3),6,2)),VALUE(MID(INDEX('입력_구리근무자명단'!$A917:$ZZ917,1,$E$2+3),9,2))),-1))))</f>
        <v/>
      </c>
      <c r="U919">
        <f>IF($R919="","",IF(OR($S919&lt;0,$T919&lt;0),0,MAX(0,MIN($T919,EOMONTH(급여기준월,0))-MAX($S919,급여기준월)+1)))</f>
        <v/>
      </c>
      <c r="V919">
        <f>IF($R919="","",TRIM(INDEX('입력_구리근무자명단'!$A917:$ZZ917,1,$E$2+5)&amp;""))</f>
        <v/>
      </c>
      <c r="W919">
        <f>IF(ISNUMBER(SEARCH("구리독자",$V919)),"구리독자","")</f>
        <v/>
      </c>
      <c r="X919">
        <f>IF($R919="","",$R919&amp;"|"&amp;IF(OR($Q919="인턴",ISNUMBER(SEARCH("수련교육부",$P919))),"인턴",$P919))</f>
        <v/>
      </c>
      <c r="Y919">
        <f>IF($R919="","",IF(COUNTIF(명단표[이름|과],$X919)=1,"명단 일치",IF(AND(COUNTIF(명단표[이름|과],$X919)=0,COUNTIF(명단표[이름],$R919)=1),"명단 일치(이름만, 과 다름)",IF(COUNTIF(명단표[이름],$R919)=0,IF(COUNTIF(기본자료표[이름],$R919)&gt;0,"명단에 없음(기본자료에는 있음)","명단에 없음"),"동명이인 확인"))))</f>
        <v/>
      </c>
      <c r="Z919">
        <f>IF($R919="","",IF($S919&lt;0,"⚠"&amp;INDEX('입력_구리근무자명단'!$A917:$ZZ917,1,$E$2+2),TEXT($S919,"yyyy-mm-dd")))</f>
        <v/>
      </c>
      <c r="AA919">
        <f>IF($R919="","",IF($T919&lt;0,"⚠"&amp;INDEX('입력_구리근무자명단'!$A917:$ZZ917,1,$E$2+3),TEXT($T919,"yyyy-mm-dd")))</f>
        <v/>
      </c>
      <c r="AB919">
        <f>AB918+IF($R919="",0,1)</f>
        <v/>
      </c>
      <c r="AC919">
        <f>IF($R919="","",$AB919)</f>
        <v/>
      </c>
    </row>
    <row r="920">
      <c r="O920">
        <f>918</f>
        <v/>
      </c>
      <c r="P920">
        <f>IF(TRIM('입력_구리근무자명단'!$A918&amp;"")&lt;&gt;"",TRIM('입력_구리근무자명단'!$A918&amp;""),P919)</f>
        <v/>
      </c>
      <c r="Q920">
        <f>'입력_구리근무자명단'!$B918&amp;""</f>
        <v/>
      </c>
      <c r="R920">
        <f>IF($E$2="","",TRIM(INDEX('입력_구리근무자명단'!$A918:$ZZ918,1,$E$2+IF($G$2="확정",1,0))&amp;""))</f>
        <v/>
      </c>
      <c r="S920">
        <f>IF($R920="","",IF(INDEX('입력_구리근무자명단'!$A918:$ZZ918,1,$E$2+2)&amp;""="",급여기준월,IF(ISNUMBER(INDEX('입력_구리근무자명단'!$A918:$ZZ918,1,$E$2+2)),INDEX('입력_구리근무자명단'!$A918:$ZZ918,1,$E$2+2),IFERROR(DATE(VALUE(LEFT(INDEX('입력_구리근무자명단'!$A918:$ZZ918,1,$E$2+2),4)),VALUE(MID(INDEX('입력_구리근무자명단'!$A918:$ZZ918,1,$E$2+2),6,2)),VALUE(MID(INDEX('입력_구리근무자명단'!$A918:$ZZ918,1,$E$2+2),9,2))),-1))))</f>
        <v/>
      </c>
      <c r="T920">
        <f>IF($R920="","",IF(INDEX('입력_구리근무자명단'!$A918:$ZZ918,1,$E$2+3)&amp;""="",EOMONTH(급여기준월,0),IF(ISNUMBER(INDEX('입력_구리근무자명단'!$A918:$ZZ918,1,$E$2+3)),INDEX('입력_구리근무자명단'!$A918:$ZZ918,1,$E$2+3),IFERROR(DATE(VALUE(LEFT(INDEX('입력_구리근무자명단'!$A918:$ZZ918,1,$E$2+3),4)),VALUE(MID(INDEX('입력_구리근무자명단'!$A918:$ZZ918,1,$E$2+3),6,2)),VALUE(MID(INDEX('입력_구리근무자명단'!$A918:$ZZ918,1,$E$2+3),9,2))),-1))))</f>
        <v/>
      </c>
      <c r="U920">
        <f>IF($R920="","",IF(OR($S920&lt;0,$T920&lt;0),0,MAX(0,MIN($T920,EOMONTH(급여기준월,0))-MAX($S920,급여기준월)+1)))</f>
        <v/>
      </c>
      <c r="V920">
        <f>IF($R920="","",TRIM(INDEX('입력_구리근무자명단'!$A918:$ZZ918,1,$E$2+5)&amp;""))</f>
        <v/>
      </c>
      <c r="W920">
        <f>IF(ISNUMBER(SEARCH("구리독자",$V920)),"구리독자","")</f>
        <v/>
      </c>
      <c r="X920">
        <f>IF($R920="","",$R920&amp;"|"&amp;IF(OR($Q920="인턴",ISNUMBER(SEARCH("수련교육부",$P920))),"인턴",$P920))</f>
        <v/>
      </c>
      <c r="Y920">
        <f>IF($R920="","",IF(COUNTIF(명단표[이름|과],$X920)=1,"명단 일치",IF(AND(COUNTIF(명단표[이름|과],$X920)=0,COUNTIF(명단표[이름],$R920)=1),"명단 일치(이름만, 과 다름)",IF(COUNTIF(명단표[이름],$R920)=0,IF(COUNTIF(기본자료표[이름],$R920)&gt;0,"명단에 없음(기본자료에는 있음)","명단에 없음"),"동명이인 확인"))))</f>
        <v/>
      </c>
      <c r="Z920">
        <f>IF($R920="","",IF($S920&lt;0,"⚠"&amp;INDEX('입력_구리근무자명단'!$A918:$ZZ918,1,$E$2+2),TEXT($S920,"yyyy-mm-dd")))</f>
        <v/>
      </c>
      <c r="AA920">
        <f>IF($R920="","",IF($T920&lt;0,"⚠"&amp;INDEX('입력_구리근무자명단'!$A918:$ZZ918,1,$E$2+3),TEXT($T920,"yyyy-mm-dd")))</f>
        <v/>
      </c>
      <c r="AB920">
        <f>AB919+IF($R920="",0,1)</f>
        <v/>
      </c>
      <c r="AC920">
        <f>IF($R920="","",$AB920)</f>
        <v/>
      </c>
    </row>
    <row r="921">
      <c r="O921">
        <f>919</f>
        <v/>
      </c>
      <c r="P921">
        <f>IF(TRIM('입력_구리근무자명단'!$A919&amp;"")&lt;&gt;"",TRIM('입력_구리근무자명단'!$A919&amp;""),P920)</f>
        <v/>
      </c>
      <c r="Q921">
        <f>'입력_구리근무자명단'!$B919&amp;""</f>
        <v/>
      </c>
      <c r="R921">
        <f>IF($E$2="","",TRIM(INDEX('입력_구리근무자명단'!$A919:$ZZ919,1,$E$2+IF($G$2="확정",1,0))&amp;""))</f>
        <v/>
      </c>
      <c r="S921">
        <f>IF($R921="","",IF(INDEX('입력_구리근무자명단'!$A919:$ZZ919,1,$E$2+2)&amp;""="",급여기준월,IF(ISNUMBER(INDEX('입력_구리근무자명단'!$A919:$ZZ919,1,$E$2+2)),INDEX('입력_구리근무자명단'!$A919:$ZZ919,1,$E$2+2),IFERROR(DATE(VALUE(LEFT(INDEX('입력_구리근무자명단'!$A919:$ZZ919,1,$E$2+2),4)),VALUE(MID(INDEX('입력_구리근무자명단'!$A919:$ZZ919,1,$E$2+2),6,2)),VALUE(MID(INDEX('입력_구리근무자명단'!$A919:$ZZ919,1,$E$2+2),9,2))),-1))))</f>
        <v/>
      </c>
      <c r="T921">
        <f>IF($R921="","",IF(INDEX('입력_구리근무자명단'!$A919:$ZZ919,1,$E$2+3)&amp;""="",EOMONTH(급여기준월,0),IF(ISNUMBER(INDEX('입력_구리근무자명단'!$A919:$ZZ919,1,$E$2+3)),INDEX('입력_구리근무자명단'!$A919:$ZZ919,1,$E$2+3),IFERROR(DATE(VALUE(LEFT(INDEX('입력_구리근무자명단'!$A919:$ZZ919,1,$E$2+3),4)),VALUE(MID(INDEX('입력_구리근무자명단'!$A919:$ZZ919,1,$E$2+3),6,2)),VALUE(MID(INDEX('입력_구리근무자명단'!$A919:$ZZ919,1,$E$2+3),9,2))),-1))))</f>
        <v/>
      </c>
      <c r="U921">
        <f>IF($R921="","",IF(OR($S921&lt;0,$T921&lt;0),0,MAX(0,MIN($T921,EOMONTH(급여기준월,0))-MAX($S921,급여기준월)+1)))</f>
        <v/>
      </c>
      <c r="V921">
        <f>IF($R921="","",TRIM(INDEX('입력_구리근무자명단'!$A919:$ZZ919,1,$E$2+5)&amp;""))</f>
        <v/>
      </c>
      <c r="W921">
        <f>IF(ISNUMBER(SEARCH("구리독자",$V921)),"구리독자","")</f>
        <v/>
      </c>
      <c r="X921">
        <f>IF($R921="","",$R921&amp;"|"&amp;IF(OR($Q921="인턴",ISNUMBER(SEARCH("수련교육부",$P921))),"인턴",$P921))</f>
        <v/>
      </c>
      <c r="Y921">
        <f>IF($R921="","",IF(COUNTIF(명단표[이름|과],$X921)=1,"명단 일치",IF(AND(COUNTIF(명단표[이름|과],$X921)=0,COUNTIF(명단표[이름],$R921)=1),"명단 일치(이름만, 과 다름)",IF(COUNTIF(명단표[이름],$R921)=0,IF(COUNTIF(기본자료표[이름],$R921)&gt;0,"명단에 없음(기본자료에는 있음)","명단에 없음"),"동명이인 확인"))))</f>
        <v/>
      </c>
      <c r="Z921">
        <f>IF($R921="","",IF($S921&lt;0,"⚠"&amp;INDEX('입력_구리근무자명단'!$A919:$ZZ919,1,$E$2+2),TEXT($S921,"yyyy-mm-dd")))</f>
        <v/>
      </c>
      <c r="AA921">
        <f>IF($R921="","",IF($T921&lt;0,"⚠"&amp;INDEX('입력_구리근무자명단'!$A919:$ZZ919,1,$E$2+3),TEXT($T921,"yyyy-mm-dd")))</f>
        <v/>
      </c>
      <c r="AB921">
        <f>AB920+IF($R921="",0,1)</f>
        <v/>
      </c>
      <c r="AC921">
        <f>IF($R921="","",$AB921)</f>
        <v/>
      </c>
    </row>
    <row r="922">
      <c r="O922">
        <f>920</f>
        <v/>
      </c>
      <c r="P922">
        <f>IF(TRIM('입력_구리근무자명단'!$A920&amp;"")&lt;&gt;"",TRIM('입력_구리근무자명단'!$A920&amp;""),P921)</f>
        <v/>
      </c>
      <c r="Q922">
        <f>'입력_구리근무자명단'!$B920&amp;""</f>
        <v/>
      </c>
      <c r="R922">
        <f>IF($E$2="","",TRIM(INDEX('입력_구리근무자명단'!$A920:$ZZ920,1,$E$2+IF($G$2="확정",1,0))&amp;""))</f>
        <v/>
      </c>
      <c r="S922">
        <f>IF($R922="","",IF(INDEX('입력_구리근무자명단'!$A920:$ZZ920,1,$E$2+2)&amp;""="",급여기준월,IF(ISNUMBER(INDEX('입력_구리근무자명단'!$A920:$ZZ920,1,$E$2+2)),INDEX('입력_구리근무자명단'!$A920:$ZZ920,1,$E$2+2),IFERROR(DATE(VALUE(LEFT(INDEX('입력_구리근무자명단'!$A920:$ZZ920,1,$E$2+2),4)),VALUE(MID(INDEX('입력_구리근무자명단'!$A920:$ZZ920,1,$E$2+2),6,2)),VALUE(MID(INDEX('입력_구리근무자명단'!$A920:$ZZ920,1,$E$2+2),9,2))),-1))))</f>
        <v/>
      </c>
      <c r="T922">
        <f>IF($R922="","",IF(INDEX('입력_구리근무자명단'!$A920:$ZZ920,1,$E$2+3)&amp;""="",EOMONTH(급여기준월,0),IF(ISNUMBER(INDEX('입력_구리근무자명단'!$A920:$ZZ920,1,$E$2+3)),INDEX('입력_구리근무자명단'!$A920:$ZZ920,1,$E$2+3),IFERROR(DATE(VALUE(LEFT(INDEX('입력_구리근무자명단'!$A920:$ZZ920,1,$E$2+3),4)),VALUE(MID(INDEX('입력_구리근무자명단'!$A920:$ZZ920,1,$E$2+3),6,2)),VALUE(MID(INDEX('입력_구리근무자명단'!$A920:$ZZ920,1,$E$2+3),9,2))),-1))))</f>
        <v/>
      </c>
      <c r="U922">
        <f>IF($R922="","",IF(OR($S922&lt;0,$T922&lt;0),0,MAX(0,MIN($T922,EOMONTH(급여기준월,0))-MAX($S922,급여기준월)+1)))</f>
        <v/>
      </c>
      <c r="V922">
        <f>IF($R922="","",TRIM(INDEX('입력_구리근무자명단'!$A920:$ZZ920,1,$E$2+5)&amp;""))</f>
        <v/>
      </c>
      <c r="W922">
        <f>IF(ISNUMBER(SEARCH("구리독자",$V922)),"구리독자","")</f>
        <v/>
      </c>
      <c r="X922">
        <f>IF($R922="","",$R922&amp;"|"&amp;IF(OR($Q922="인턴",ISNUMBER(SEARCH("수련교육부",$P922))),"인턴",$P922))</f>
        <v/>
      </c>
      <c r="Y922">
        <f>IF($R922="","",IF(COUNTIF(명단표[이름|과],$X922)=1,"명단 일치",IF(AND(COUNTIF(명단표[이름|과],$X922)=0,COUNTIF(명단표[이름],$R922)=1),"명단 일치(이름만, 과 다름)",IF(COUNTIF(명단표[이름],$R922)=0,IF(COUNTIF(기본자료표[이름],$R922)&gt;0,"명단에 없음(기본자료에는 있음)","명단에 없음"),"동명이인 확인"))))</f>
        <v/>
      </c>
      <c r="Z922">
        <f>IF($R922="","",IF($S922&lt;0,"⚠"&amp;INDEX('입력_구리근무자명단'!$A920:$ZZ920,1,$E$2+2),TEXT($S922,"yyyy-mm-dd")))</f>
        <v/>
      </c>
      <c r="AA922">
        <f>IF($R922="","",IF($T922&lt;0,"⚠"&amp;INDEX('입력_구리근무자명단'!$A920:$ZZ920,1,$E$2+3),TEXT($T922,"yyyy-mm-dd")))</f>
        <v/>
      </c>
      <c r="AB922">
        <f>AB921+IF($R922="",0,1)</f>
        <v/>
      </c>
      <c r="AC922">
        <f>IF($R922="","",$AB922)</f>
        <v/>
      </c>
    </row>
    <row r="923">
      <c r="O923">
        <f>921</f>
        <v/>
      </c>
      <c r="P923">
        <f>IF(TRIM('입력_구리근무자명단'!$A921&amp;"")&lt;&gt;"",TRIM('입력_구리근무자명단'!$A921&amp;""),P922)</f>
        <v/>
      </c>
      <c r="Q923">
        <f>'입력_구리근무자명단'!$B921&amp;""</f>
        <v/>
      </c>
      <c r="R923">
        <f>IF($E$2="","",TRIM(INDEX('입력_구리근무자명단'!$A921:$ZZ921,1,$E$2+IF($G$2="확정",1,0))&amp;""))</f>
        <v/>
      </c>
      <c r="S923">
        <f>IF($R923="","",IF(INDEX('입력_구리근무자명단'!$A921:$ZZ921,1,$E$2+2)&amp;""="",급여기준월,IF(ISNUMBER(INDEX('입력_구리근무자명단'!$A921:$ZZ921,1,$E$2+2)),INDEX('입력_구리근무자명단'!$A921:$ZZ921,1,$E$2+2),IFERROR(DATE(VALUE(LEFT(INDEX('입력_구리근무자명단'!$A921:$ZZ921,1,$E$2+2),4)),VALUE(MID(INDEX('입력_구리근무자명단'!$A921:$ZZ921,1,$E$2+2),6,2)),VALUE(MID(INDEX('입력_구리근무자명단'!$A921:$ZZ921,1,$E$2+2),9,2))),-1))))</f>
        <v/>
      </c>
      <c r="T923">
        <f>IF($R923="","",IF(INDEX('입력_구리근무자명단'!$A921:$ZZ921,1,$E$2+3)&amp;""="",EOMONTH(급여기준월,0),IF(ISNUMBER(INDEX('입력_구리근무자명단'!$A921:$ZZ921,1,$E$2+3)),INDEX('입력_구리근무자명단'!$A921:$ZZ921,1,$E$2+3),IFERROR(DATE(VALUE(LEFT(INDEX('입력_구리근무자명단'!$A921:$ZZ921,1,$E$2+3),4)),VALUE(MID(INDEX('입력_구리근무자명단'!$A921:$ZZ921,1,$E$2+3),6,2)),VALUE(MID(INDEX('입력_구리근무자명단'!$A921:$ZZ921,1,$E$2+3),9,2))),-1))))</f>
        <v/>
      </c>
      <c r="U923">
        <f>IF($R923="","",IF(OR($S923&lt;0,$T923&lt;0),0,MAX(0,MIN($T923,EOMONTH(급여기준월,0))-MAX($S923,급여기준월)+1)))</f>
        <v/>
      </c>
      <c r="V923">
        <f>IF($R923="","",TRIM(INDEX('입력_구리근무자명단'!$A921:$ZZ921,1,$E$2+5)&amp;""))</f>
        <v/>
      </c>
      <c r="W923">
        <f>IF(ISNUMBER(SEARCH("구리독자",$V923)),"구리독자","")</f>
        <v/>
      </c>
      <c r="X923">
        <f>IF($R923="","",$R923&amp;"|"&amp;IF(OR($Q923="인턴",ISNUMBER(SEARCH("수련교육부",$P923))),"인턴",$P923))</f>
        <v/>
      </c>
      <c r="Y923">
        <f>IF($R923="","",IF(COUNTIF(명단표[이름|과],$X923)=1,"명단 일치",IF(AND(COUNTIF(명단표[이름|과],$X923)=0,COUNTIF(명단표[이름],$R923)=1),"명단 일치(이름만, 과 다름)",IF(COUNTIF(명단표[이름],$R923)=0,IF(COUNTIF(기본자료표[이름],$R923)&gt;0,"명단에 없음(기본자료에는 있음)","명단에 없음"),"동명이인 확인"))))</f>
        <v/>
      </c>
      <c r="Z923">
        <f>IF($R923="","",IF($S923&lt;0,"⚠"&amp;INDEX('입력_구리근무자명단'!$A921:$ZZ921,1,$E$2+2),TEXT($S923,"yyyy-mm-dd")))</f>
        <v/>
      </c>
      <c r="AA923">
        <f>IF($R923="","",IF($T923&lt;0,"⚠"&amp;INDEX('입력_구리근무자명단'!$A921:$ZZ921,1,$E$2+3),TEXT($T923,"yyyy-mm-dd")))</f>
        <v/>
      </c>
      <c r="AB923">
        <f>AB922+IF($R923="",0,1)</f>
        <v/>
      </c>
      <c r="AC923">
        <f>IF($R923="","",$AB923)</f>
        <v/>
      </c>
    </row>
    <row r="924">
      <c r="O924">
        <f>922</f>
        <v/>
      </c>
      <c r="P924">
        <f>IF(TRIM('입력_구리근무자명단'!$A922&amp;"")&lt;&gt;"",TRIM('입력_구리근무자명단'!$A922&amp;""),P923)</f>
        <v/>
      </c>
      <c r="Q924">
        <f>'입력_구리근무자명단'!$B922&amp;""</f>
        <v/>
      </c>
      <c r="R924">
        <f>IF($E$2="","",TRIM(INDEX('입력_구리근무자명단'!$A922:$ZZ922,1,$E$2+IF($G$2="확정",1,0))&amp;""))</f>
        <v/>
      </c>
      <c r="S924">
        <f>IF($R924="","",IF(INDEX('입력_구리근무자명단'!$A922:$ZZ922,1,$E$2+2)&amp;""="",급여기준월,IF(ISNUMBER(INDEX('입력_구리근무자명단'!$A922:$ZZ922,1,$E$2+2)),INDEX('입력_구리근무자명단'!$A922:$ZZ922,1,$E$2+2),IFERROR(DATE(VALUE(LEFT(INDEX('입력_구리근무자명단'!$A922:$ZZ922,1,$E$2+2),4)),VALUE(MID(INDEX('입력_구리근무자명단'!$A922:$ZZ922,1,$E$2+2),6,2)),VALUE(MID(INDEX('입력_구리근무자명단'!$A922:$ZZ922,1,$E$2+2),9,2))),-1))))</f>
        <v/>
      </c>
      <c r="T924">
        <f>IF($R924="","",IF(INDEX('입력_구리근무자명단'!$A922:$ZZ922,1,$E$2+3)&amp;""="",EOMONTH(급여기준월,0),IF(ISNUMBER(INDEX('입력_구리근무자명단'!$A922:$ZZ922,1,$E$2+3)),INDEX('입력_구리근무자명단'!$A922:$ZZ922,1,$E$2+3),IFERROR(DATE(VALUE(LEFT(INDEX('입력_구리근무자명단'!$A922:$ZZ922,1,$E$2+3),4)),VALUE(MID(INDEX('입력_구리근무자명단'!$A922:$ZZ922,1,$E$2+3),6,2)),VALUE(MID(INDEX('입력_구리근무자명단'!$A922:$ZZ922,1,$E$2+3),9,2))),-1))))</f>
        <v/>
      </c>
      <c r="U924">
        <f>IF($R924="","",IF(OR($S924&lt;0,$T924&lt;0),0,MAX(0,MIN($T924,EOMONTH(급여기준월,0))-MAX($S924,급여기준월)+1)))</f>
        <v/>
      </c>
      <c r="V924">
        <f>IF($R924="","",TRIM(INDEX('입력_구리근무자명단'!$A922:$ZZ922,1,$E$2+5)&amp;""))</f>
        <v/>
      </c>
      <c r="W924">
        <f>IF(ISNUMBER(SEARCH("구리독자",$V924)),"구리독자","")</f>
        <v/>
      </c>
      <c r="X924">
        <f>IF($R924="","",$R924&amp;"|"&amp;IF(OR($Q924="인턴",ISNUMBER(SEARCH("수련교육부",$P924))),"인턴",$P924))</f>
        <v/>
      </c>
      <c r="Y924">
        <f>IF($R924="","",IF(COUNTIF(명단표[이름|과],$X924)=1,"명단 일치",IF(AND(COUNTIF(명단표[이름|과],$X924)=0,COUNTIF(명단표[이름],$R924)=1),"명단 일치(이름만, 과 다름)",IF(COUNTIF(명단표[이름],$R924)=0,IF(COUNTIF(기본자료표[이름],$R924)&gt;0,"명단에 없음(기본자료에는 있음)","명단에 없음"),"동명이인 확인"))))</f>
        <v/>
      </c>
      <c r="Z924">
        <f>IF($R924="","",IF($S924&lt;0,"⚠"&amp;INDEX('입력_구리근무자명단'!$A922:$ZZ922,1,$E$2+2),TEXT($S924,"yyyy-mm-dd")))</f>
        <v/>
      </c>
      <c r="AA924">
        <f>IF($R924="","",IF($T924&lt;0,"⚠"&amp;INDEX('입력_구리근무자명단'!$A922:$ZZ922,1,$E$2+3),TEXT($T924,"yyyy-mm-dd")))</f>
        <v/>
      </c>
      <c r="AB924">
        <f>AB923+IF($R924="",0,1)</f>
        <v/>
      </c>
      <c r="AC924">
        <f>IF($R924="","",$AB924)</f>
        <v/>
      </c>
    </row>
    <row r="925">
      <c r="O925">
        <f>923</f>
        <v/>
      </c>
      <c r="P925">
        <f>IF(TRIM('입력_구리근무자명단'!$A923&amp;"")&lt;&gt;"",TRIM('입력_구리근무자명단'!$A923&amp;""),P924)</f>
        <v/>
      </c>
      <c r="Q925">
        <f>'입력_구리근무자명단'!$B923&amp;""</f>
        <v/>
      </c>
      <c r="R925">
        <f>IF($E$2="","",TRIM(INDEX('입력_구리근무자명단'!$A923:$ZZ923,1,$E$2+IF($G$2="확정",1,0))&amp;""))</f>
        <v/>
      </c>
      <c r="S925">
        <f>IF($R925="","",IF(INDEX('입력_구리근무자명단'!$A923:$ZZ923,1,$E$2+2)&amp;""="",급여기준월,IF(ISNUMBER(INDEX('입력_구리근무자명단'!$A923:$ZZ923,1,$E$2+2)),INDEX('입력_구리근무자명단'!$A923:$ZZ923,1,$E$2+2),IFERROR(DATE(VALUE(LEFT(INDEX('입력_구리근무자명단'!$A923:$ZZ923,1,$E$2+2),4)),VALUE(MID(INDEX('입력_구리근무자명단'!$A923:$ZZ923,1,$E$2+2),6,2)),VALUE(MID(INDEX('입력_구리근무자명단'!$A923:$ZZ923,1,$E$2+2),9,2))),-1))))</f>
        <v/>
      </c>
      <c r="T925">
        <f>IF($R925="","",IF(INDEX('입력_구리근무자명단'!$A923:$ZZ923,1,$E$2+3)&amp;""="",EOMONTH(급여기준월,0),IF(ISNUMBER(INDEX('입력_구리근무자명단'!$A923:$ZZ923,1,$E$2+3)),INDEX('입력_구리근무자명단'!$A923:$ZZ923,1,$E$2+3),IFERROR(DATE(VALUE(LEFT(INDEX('입력_구리근무자명단'!$A923:$ZZ923,1,$E$2+3),4)),VALUE(MID(INDEX('입력_구리근무자명단'!$A923:$ZZ923,1,$E$2+3),6,2)),VALUE(MID(INDEX('입력_구리근무자명단'!$A923:$ZZ923,1,$E$2+3),9,2))),-1))))</f>
        <v/>
      </c>
      <c r="U925">
        <f>IF($R925="","",IF(OR($S925&lt;0,$T925&lt;0),0,MAX(0,MIN($T925,EOMONTH(급여기준월,0))-MAX($S925,급여기준월)+1)))</f>
        <v/>
      </c>
      <c r="V925">
        <f>IF($R925="","",TRIM(INDEX('입력_구리근무자명단'!$A923:$ZZ923,1,$E$2+5)&amp;""))</f>
        <v/>
      </c>
      <c r="W925">
        <f>IF(ISNUMBER(SEARCH("구리독자",$V925)),"구리독자","")</f>
        <v/>
      </c>
      <c r="X925">
        <f>IF($R925="","",$R925&amp;"|"&amp;IF(OR($Q925="인턴",ISNUMBER(SEARCH("수련교육부",$P925))),"인턴",$P925))</f>
        <v/>
      </c>
      <c r="Y925">
        <f>IF($R925="","",IF(COUNTIF(명단표[이름|과],$X925)=1,"명단 일치",IF(AND(COUNTIF(명단표[이름|과],$X925)=0,COUNTIF(명단표[이름],$R925)=1),"명단 일치(이름만, 과 다름)",IF(COUNTIF(명단표[이름],$R925)=0,IF(COUNTIF(기본자료표[이름],$R925)&gt;0,"명단에 없음(기본자료에는 있음)","명단에 없음"),"동명이인 확인"))))</f>
        <v/>
      </c>
      <c r="Z925">
        <f>IF($R925="","",IF($S925&lt;0,"⚠"&amp;INDEX('입력_구리근무자명단'!$A923:$ZZ923,1,$E$2+2),TEXT($S925,"yyyy-mm-dd")))</f>
        <v/>
      </c>
      <c r="AA925">
        <f>IF($R925="","",IF($T925&lt;0,"⚠"&amp;INDEX('입력_구리근무자명단'!$A923:$ZZ923,1,$E$2+3),TEXT($T925,"yyyy-mm-dd")))</f>
        <v/>
      </c>
      <c r="AB925">
        <f>AB924+IF($R925="",0,1)</f>
        <v/>
      </c>
      <c r="AC925">
        <f>IF($R925="","",$AB925)</f>
        <v/>
      </c>
    </row>
    <row r="926">
      <c r="O926">
        <f>924</f>
        <v/>
      </c>
      <c r="P926">
        <f>IF(TRIM('입력_구리근무자명단'!$A924&amp;"")&lt;&gt;"",TRIM('입력_구리근무자명단'!$A924&amp;""),P925)</f>
        <v/>
      </c>
      <c r="Q926">
        <f>'입력_구리근무자명단'!$B924&amp;""</f>
        <v/>
      </c>
      <c r="R926">
        <f>IF($E$2="","",TRIM(INDEX('입력_구리근무자명단'!$A924:$ZZ924,1,$E$2+IF($G$2="확정",1,0))&amp;""))</f>
        <v/>
      </c>
      <c r="S926">
        <f>IF($R926="","",IF(INDEX('입력_구리근무자명단'!$A924:$ZZ924,1,$E$2+2)&amp;""="",급여기준월,IF(ISNUMBER(INDEX('입력_구리근무자명단'!$A924:$ZZ924,1,$E$2+2)),INDEX('입력_구리근무자명단'!$A924:$ZZ924,1,$E$2+2),IFERROR(DATE(VALUE(LEFT(INDEX('입력_구리근무자명단'!$A924:$ZZ924,1,$E$2+2),4)),VALUE(MID(INDEX('입력_구리근무자명단'!$A924:$ZZ924,1,$E$2+2),6,2)),VALUE(MID(INDEX('입력_구리근무자명단'!$A924:$ZZ924,1,$E$2+2),9,2))),-1))))</f>
        <v/>
      </c>
      <c r="T926">
        <f>IF($R926="","",IF(INDEX('입력_구리근무자명단'!$A924:$ZZ924,1,$E$2+3)&amp;""="",EOMONTH(급여기준월,0),IF(ISNUMBER(INDEX('입력_구리근무자명단'!$A924:$ZZ924,1,$E$2+3)),INDEX('입력_구리근무자명단'!$A924:$ZZ924,1,$E$2+3),IFERROR(DATE(VALUE(LEFT(INDEX('입력_구리근무자명단'!$A924:$ZZ924,1,$E$2+3),4)),VALUE(MID(INDEX('입력_구리근무자명단'!$A924:$ZZ924,1,$E$2+3),6,2)),VALUE(MID(INDEX('입력_구리근무자명단'!$A924:$ZZ924,1,$E$2+3),9,2))),-1))))</f>
        <v/>
      </c>
      <c r="U926">
        <f>IF($R926="","",IF(OR($S926&lt;0,$T926&lt;0),0,MAX(0,MIN($T926,EOMONTH(급여기준월,0))-MAX($S926,급여기준월)+1)))</f>
        <v/>
      </c>
      <c r="V926">
        <f>IF($R926="","",TRIM(INDEX('입력_구리근무자명단'!$A924:$ZZ924,1,$E$2+5)&amp;""))</f>
        <v/>
      </c>
      <c r="W926">
        <f>IF(ISNUMBER(SEARCH("구리독자",$V926)),"구리독자","")</f>
        <v/>
      </c>
      <c r="X926">
        <f>IF($R926="","",$R926&amp;"|"&amp;IF(OR($Q926="인턴",ISNUMBER(SEARCH("수련교육부",$P926))),"인턴",$P926))</f>
        <v/>
      </c>
      <c r="Y926">
        <f>IF($R926="","",IF(COUNTIF(명단표[이름|과],$X926)=1,"명단 일치",IF(AND(COUNTIF(명단표[이름|과],$X926)=0,COUNTIF(명단표[이름],$R926)=1),"명단 일치(이름만, 과 다름)",IF(COUNTIF(명단표[이름],$R926)=0,IF(COUNTIF(기본자료표[이름],$R926)&gt;0,"명단에 없음(기본자료에는 있음)","명단에 없음"),"동명이인 확인"))))</f>
        <v/>
      </c>
      <c r="Z926">
        <f>IF($R926="","",IF($S926&lt;0,"⚠"&amp;INDEX('입력_구리근무자명단'!$A924:$ZZ924,1,$E$2+2),TEXT($S926,"yyyy-mm-dd")))</f>
        <v/>
      </c>
      <c r="AA926">
        <f>IF($R926="","",IF($T926&lt;0,"⚠"&amp;INDEX('입력_구리근무자명단'!$A924:$ZZ924,1,$E$2+3),TEXT($T926,"yyyy-mm-dd")))</f>
        <v/>
      </c>
      <c r="AB926">
        <f>AB925+IF($R926="",0,1)</f>
        <v/>
      </c>
      <c r="AC926">
        <f>IF($R926="","",$AB926)</f>
        <v/>
      </c>
    </row>
    <row r="927">
      <c r="O927">
        <f>925</f>
        <v/>
      </c>
      <c r="P927">
        <f>IF(TRIM('입력_구리근무자명단'!$A925&amp;"")&lt;&gt;"",TRIM('입력_구리근무자명단'!$A925&amp;""),P926)</f>
        <v/>
      </c>
      <c r="Q927">
        <f>'입력_구리근무자명단'!$B925&amp;""</f>
        <v/>
      </c>
      <c r="R927">
        <f>IF($E$2="","",TRIM(INDEX('입력_구리근무자명단'!$A925:$ZZ925,1,$E$2+IF($G$2="확정",1,0))&amp;""))</f>
        <v/>
      </c>
      <c r="S927">
        <f>IF($R927="","",IF(INDEX('입력_구리근무자명단'!$A925:$ZZ925,1,$E$2+2)&amp;""="",급여기준월,IF(ISNUMBER(INDEX('입력_구리근무자명단'!$A925:$ZZ925,1,$E$2+2)),INDEX('입력_구리근무자명단'!$A925:$ZZ925,1,$E$2+2),IFERROR(DATE(VALUE(LEFT(INDEX('입력_구리근무자명단'!$A925:$ZZ925,1,$E$2+2),4)),VALUE(MID(INDEX('입력_구리근무자명단'!$A925:$ZZ925,1,$E$2+2),6,2)),VALUE(MID(INDEX('입력_구리근무자명단'!$A925:$ZZ925,1,$E$2+2),9,2))),-1))))</f>
        <v/>
      </c>
      <c r="T927">
        <f>IF($R927="","",IF(INDEX('입력_구리근무자명단'!$A925:$ZZ925,1,$E$2+3)&amp;""="",EOMONTH(급여기준월,0),IF(ISNUMBER(INDEX('입력_구리근무자명단'!$A925:$ZZ925,1,$E$2+3)),INDEX('입력_구리근무자명단'!$A925:$ZZ925,1,$E$2+3),IFERROR(DATE(VALUE(LEFT(INDEX('입력_구리근무자명단'!$A925:$ZZ925,1,$E$2+3),4)),VALUE(MID(INDEX('입력_구리근무자명단'!$A925:$ZZ925,1,$E$2+3),6,2)),VALUE(MID(INDEX('입력_구리근무자명단'!$A925:$ZZ925,1,$E$2+3),9,2))),-1))))</f>
        <v/>
      </c>
      <c r="U927">
        <f>IF($R927="","",IF(OR($S927&lt;0,$T927&lt;0),0,MAX(0,MIN($T927,EOMONTH(급여기준월,0))-MAX($S927,급여기준월)+1)))</f>
        <v/>
      </c>
      <c r="V927">
        <f>IF($R927="","",TRIM(INDEX('입력_구리근무자명단'!$A925:$ZZ925,1,$E$2+5)&amp;""))</f>
        <v/>
      </c>
      <c r="W927">
        <f>IF(ISNUMBER(SEARCH("구리독자",$V927)),"구리독자","")</f>
        <v/>
      </c>
      <c r="X927">
        <f>IF($R927="","",$R927&amp;"|"&amp;IF(OR($Q927="인턴",ISNUMBER(SEARCH("수련교육부",$P927))),"인턴",$P927))</f>
        <v/>
      </c>
      <c r="Y927">
        <f>IF($R927="","",IF(COUNTIF(명단표[이름|과],$X927)=1,"명단 일치",IF(AND(COUNTIF(명단표[이름|과],$X927)=0,COUNTIF(명단표[이름],$R927)=1),"명단 일치(이름만, 과 다름)",IF(COUNTIF(명단표[이름],$R927)=0,IF(COUNTIF(기본자료표[이름],$R927)&gt;0,"명단에 없음(기본자료에는 있음)","명단에 없음"),"동명이인 확인"))))</f>
        <v/>
      </c>
      <c r="Z927">
        <f>IF($R927="","",IF($S927&lt;0,"⚠"&amp;INDEX('입력_구리근무자명단'!$A925:$ZZ925,1,$E$2+2),TEXT($S927,"yyyy-mm-dd")))</f>
        <v/>
      </c>
      <c r="AA927">
        <f>IF($R927="","",IF($T927&lt;0,"⚠"&amp;INDEX('입력_구리근무자명단'!$A925:$ZZ925,1,$E$2+3),TEXT($T927,"yyyy-mm-dd")))</f>
        <v/>
      </c>
      <c r="AB927">
        <f>AB926+IF($R927="",0,1)</f>
        <v/>
      </c>
      <c r="AC927">
        <f>IF($R927="","",$AB927)</f>
        <v/>
      </c>
    </row>
    <row r="928">
      <c r="O928">
        <f>926</f>
        <v/>
      </c>
      <c r="P928">
        <f>IF(TRIM('입력_구리근무자명단'!$A926&amp;"")&lt;&gt;"",TRIM('입력_구리근무자명단'!$A926&amp;""),P927)</f>
        <v/>
      </c>
      <c r="Q928">
        <f>'입력_구리근무자명단'!$B926&amp;""</f>
        <v/>
      </c>
      <c r="R928">
        <f>IF($E$2="","",TRIM(INDEX('입력_구리근무자명단'!$A926:$ZZ926,1,$E$2+IF($G$2="확정",1,0))&amp;""))</f>
        <v/>
      </c>
      <c r="S928">
        <f>IF($R928="","",IF(INDEX('입력_구리근무자명단'!$A926:$ZZ926,1,$E$2+2)&amp;""="",급여기준월,IF(ISNUMBER(INDEX('입력_구리근무자명단'!$A926:$ZZ926,1,$E$2+2)),INDEX('입력_구리근무자명단'!$A926:$ZZ926,1,$E$2+2),IFERROR(DATE(VALUE(LEFT(INDEX('입력_구리근무자명단'!$A926:$ZZ926,1,$E$2+2),4)),VALUE(MID(INDEX('입력_구리근무자명단'!$A926:$ZZ926,1,$E$2+2),6,2)),VALUE(MID(INDEX('입력_구리근무자명단'!$A926:$ZZ926,1,$E$2+2),9,2))),-1))))</f>
        <v/>
      </c>
      <c r="T928">
        <f>IF($R928="","",IF(INDEX('입력_구리근무자명단'!$A926:$ZZ926,1,$E$2+3)&amp;""="",EOMONTH(급여기준월,0),IF(ISNUMBER(INDEX('입력_구리근무자명단'!$A926:$ZZ926,1,$E$2+3)),INDEX('입력_구리근무자명단'!$A926:$ZZ926,1,$E$2+3),IFERROR(DATE(VALUE(LEFT(INDEX('입력_구리근무자명단'!$A926:$ZZ926,1,$E$2+3),4)),VALUE(MID(INDEX('입력_구리근무자명단'!$A926:$ZZ926,1,$E$2+3),6,2)),VALUE(MID(INDEX('입력_구리근무자명단'!$A926:$ZZ926,1,$E$2+3),9,2))),-1))))</f>
        <v/>
      </c>
      <c r="U928">
        <f>IF($R928="","",IF(OR($S928&lt;0,$T928&lt;0),0,MAX(0,MIN($T928,EOMONTH(급여기준월,0))-MAX($S928,급여기준월)+1)))</f>
        <v/>
      </c>
      <c r="V928">
        <f>IF($R928="","",TRIM(INDEX('입력_구리근무자명단'!$A926:$ZZ926,1,$E$2+5)&amp;""))</f>
        <v/>
      </c>
      <c r="W928">
        <f>IF(ISNUMBER(SEARCH("구리독자",$V928)),"구리독자","")</f>
        <v/>
      </c>
      <c r="X928">
        <f>IF($R928="","",$R928&amp;"|"&amp;IF(OR($Q928="인턴",ISNUMBER(SEARCH("수련교육부",$P928))),"인턴",$P928))</f>
        <v/>
      </c>
      <c r="Y928">
        <f>IF($R928="","",IF(COUNTIF(명단표[이름|과],$X928)=1,"명단 일치",IF(AND(COUNTIF(명단표[이름|과],$X928)=0,COUNTIF(명단표[이름],$R928)=1),"명단 일치(이름만, 과 다름)",IF(COUNTIF(명단표[이름],$R928)=0,IF(COUNTIF(기본자료표[이름],$R928)&gt;0,"명단에 없음(기본자료에는 있음)","명단에 없음"),"동명이인 확인"))))</f>
        <v/>
      </c>
      <c r="Z928">
        <f>IF($R928="","",IF($S928&lt;0,"⚠"&amp;INDEX('입력_구리근무자명단'!$A926:$ZZ926,1,$E$2+2),TEXT($S928,"yyyy-mm-dd")))</f>
        <v/>
      </c>
      <c r="AA928">
        <f>IF($R928="","",IF($T928&lt;0,"⚠"&amp;INDEX('입력_구리근무자명단'!$A926:$ZZ926,1,$E$2+3),TEXT($T928,"yyyy-mm-dd")))</f>
        <v/>
      </c>
      <c r="AB928">
        <f>AB927+IF($R928="",0,1)</f>
        <v/>
      </c>
      <c r="AC928">
        <f>IF($R928="","",$AB928)</f>
        <v/>
      </c>
    </row>
    <row r="929">
      <c r="O929">
        <f>927</f>
        <v/>
      </c>
      <c r="P929">
        <f>IF(TRIM('입력_구리근무자명단'!$A927&amp;"")&lt;&gt;"",TRIM('입력_구리근무자명단'!$A927&amp;""),P928)</f>
        <v/>
      </c>
      <c r="Q929">
        <f>'입력_구리근무자명단'!$B927&amp;""</f>
        <v/>
      </c>
      <c r="R929">
        <f>IF($E$2="","",TRIM(INDEX('입력_구리근무자명단'!$A927:$ZZ927,1,$E$2+IF($G$2="확정",1,0))&amp;""))</f>
        <v/>
      </c>
      <c r="S929">
        <f>IF($R929="","",IF(INDEX('입력_구리근무자명단'!$A927:$ZZ927,1,$E$2+2)&amp;""="",급여기준월,IF(ISNUMBER(INDEX('입력_구리근무자명단'!$A927:$ZZ927,1,$E$2+2)),INDEX('입력_구리근무자명단'!$A927:$ZZ927,1,$E$2+2),IFERROR(DATE(VALUE(LEFT(INDEX('입력_구리근무자명단'!$A927:$ZZ927,1,$E$2+2),4)),VALUE(MID(INDEX('입력_구리근무자명단'!$A927:$ZZ927,1,$E$2+2),6,2)),VALUE(MID(INDEX('입력_구리근무자명단'!$A927:$ZZ927,1,$E$2+2),9,2))),-1))))</f>
        <v/>
      </c>
      <c r="T929">
        <f>IF($R929="","",IF(INDEX('입력_구리근무자명단'!$A927:$ZZ927,1,$E$2+3)&amp;""="",EOMONTH(급여기준월,0),IF(ISNUMBER(INDEX('입력_구리근무자명단'!$A927:$ZZ927,1,$E$2+3)),INDEX('입력_구리근무자명단'!$A927:$ZZ927,1,$E$2+3),IFERROR(DATE(VALUE(LEFT(INDEX('입력_구리근무자명단'!$A927:$ZZ927,1,$E$2+3),4)),VALUE(MID(INDEX('입력_구리근무자명단'!$A927:$ZZ927,1,$E$2+3),6,2)),VALUE(MID(INDEX('입력_구리근무자명단'!$A927:$ZZ927,1,$E$2+3),9,2))),-1))))</f>
        <v/>
      </c>
      <c r="U929">
        <f>IF($R929="","",IF(OR($S929&lt;0,$T929&lt;0),0,MAX(0,MIN($T929,EOMONTH(급여기준월,0))-MAX($S929,급여기준월)+1)))</f>
        <v/>
      </c>
      <c r="V929">
        <f>IF($R929="","",TRIM(INDEX('입력_구리근무자명단'!$A927:$ZZ927,1,$E$2+5)&amp;""))</f>
        <v/>
      </c>
      <c r="W929">
        <f>IF(ISNUMBER(SEARCH("구리독자",$V929)),"구리독자","")</f>
        <v/>
      </c>
      <c r="X929">
        <f>IF($R929="","",$R929&amp;"|"&amp;IF(OR($Q929="인턴",ISNUMBER(SEARCH("수련교육부",$P929))),"인턴",$P929))</f>
        <v/>
      </c>
      <c r="Y929">
        <f>IF($R929="","",IF(COUNTIF(명단표[이름|과],$X929)=1,"명단 일치",IF(AND(COUNTIF(명단표[이름|과],$X929)=0,COUNTIF(명단표[이름],$R929)=1),"명단 일치(이름만, 과 다름)",IF(COUNTIF(명단표[이름],$R929)=0,IF(COUNTIF(기본자료표[이름],$R929)&gt;0,"명단에 없음(기본자료에는 있음)","명단에 없음"),"동명이인 확인"))))</f>
        <v/>
      </c>
      <c r="Z929">
        <f>IF($R929="","",IF($S929&lt;0,"⚠"&amp;INDEX('입력_구리근무자명단'!$A927:$ZZ927,1,$E$2+2),TEXT($S929,"yyyy-mm-dd")))</f>
        <v/>
      </c>
      <c r="AA929">
        <f>IF($R929="","",IF($T929&lt;0,"⚠"&amp;INDEX('입력_구리근무자명단'!$A927:$ZZ927,1,$E$2+3),TEXT($T929,"yyyy-mm-dd")))</f>
        <v/>
      </c>
      <c r="AB929">
        <f>AB928+IF($R929="",0,1)</f>
        <v/>
      </c>
      <c r="AC929">
        <f>IF($R929="","",$AB929)</f>
        <v/>
      </c>
    </row>
    <row r="930">
      <c r="O930">
        <f>928</f>
        <v/>
      </c>
      <c r="P930">
        <f>IF(TRIM('입력_구리근무자명단'!$A928&amp;"")&lt;&gt;"",TRIM('입력_구리근무자명단'!$A928&amp;""),P929)</f>
        <v/>
      </c>
      <c r="Q930">
        <f>'입력_구리근무자명단'!$B928&amp;""</f>
        <v/>
      </c>
      <c r="R930">
        <f>IF($E$2="","",TRIM(INDEX('입력_구리근무자명단'!$A928:$ZZ928,1,$E$2+IF($G$2="확정",1,0))&amp;""))</f>
        <v/>
      </c>
      <c r="S930">
        <f>IF($R930="","",IF(INDEX('입력_구리근무자명단'!$A928:$ZZ928,1,$E$2+2)&amp;""="",급여기준월,IF(ISNUMBER(INDEX('입력_구리근무자명단'!$A928:$ZZ928,1,$E$2+2)),INDEX('입력_구리근무자명단'!$A928:$ZZ928,1,$E$2+2),IFERROR(DATE(VALUE(LEFT(INDEX('입력_구리근무자명단'!$A928:$ZZ928,1,$E$2+2),4)),VALUE(MID(INDEX('입력_구리근무자명단'!$A928:$ZZ928,1,$E$2+2),6,2)),VALUE(MID(INDEX('입력_구리근무자명단'!$A928:$ZZ928,1,$E$2+2),9,2))),-1))))</f>
        <v/>
      </c>
      <c r="T930">
        <f>IF($R930="","",IF(INDEX('입력_구리근무자명단'!$A928:$ZZ928,1,$E$2+3)&amp;""="",EOMONTH(급여기준월,0),IF(ISNUMBER(INDEX('입력_구리근무자명단'!$A928:$ZZ928,1,$E$2+3)),INDEX('입력_구리근무자명단'!$A928:$ZZ928,1,$E$2+3),IFERROR(DATE(VALUE(LEFT(INDEX('입력_구리근무자명단'!$A928:$ZZ928,1,$E$2+3),4)),VALUE(MID(INDEX('입력_구리근무자명단'!$A928:$ZZ928,1,$E$2+3),6,2)),VALUE(MID(INDEX('입력_구리근무자명단'!$A928:$ZZ928,1,$E$2+3),9,2))),-1))))</f>
        <v/>
      </c>
      <c r="U930">
        <f>IF($R930="","",IF(OR($S930&lt;0,$T930&lt;0),0,MAX(0,MIN($T930,EOMONTH(급여기준월,0))-MAX($S930,급여기준월)+1)))</f>
        <v/>
      </c>
      <c r="V930">
        <f>IF($R930="","",TRIM(INDEX('입력_구리근무자명단'!$A928:$ZZ928,1,$E$2+5)&amp;""))</f>
        <v/>
      </c>
      <c r="W930">
        <f>IF(ISNUMBER(SEARCH("구리독자",$V930)),"구리독자","")</f>
        <v/>
      </c>
      <c r="X930">
        <f>IF($R930="","",$R930&amp;"|"&amp;IF(OR($Q930="인턴",ISNUMBER(SEARCH("수련교육부",$P930))),"인턴",$P930))</f>
        <v/>
      </c>
      <c r="Y930">
        <f>IF($R930="","",IF(COUNTIF(명단표[이름|과],$X930)=1,"명단 일치",IF(AND(COUNTIF(명단표[이름|과],$X930)=0,COUNTIF(명단표[이름],$R930)=1),"명단 일치(이름만, 과 다름)",IF(COUNTIF(명단표[이름],$R930)=0,IF(COUNTIF(기본자료표[이름],$R930)&gt;0,"명단에 없음(기본자료에는 있음)","명단에 없음"),"동명이인 확인"))))</f>
        <v/>
      </c>
      <c r="Z930">
        <f>IF($R930="","",IF($S930&lt;0,"⚠"&amp;INDEX('입력_구리근무자명단'!$A928:$ZZ928,1,$E$2+2),TEXT($S930,"yyyy-mm-dd")))</f>
        <v/>
      </c>
      <c r="AA930">
        <f>IF($R930="","",IF($T930&lt;0,"⚠"&amp;INDEX('입력_구리근무자명단'!$A928:$ZZ928,1,$E$2+3),TEXT($T930,"yyyy-mm-dd")))</f>
        <v/>
      </c>
      <c r="AB930">
        <f>AB929+IF($R930="",0,1)</f>
        <v/>
      </c>
      <c r="AC930">
        <f>IF($R930="","",$AB930)</f>
        <v/>
      </c>
    </row>
    <row r="931">
      <c r="O931">
        <f>929</f>
        <v/>
      </c>
      <c r="P931">
        <f>IF(TRIM('입력_구리근무자명단'!$A929&amp;"")&lt;&gt;"",TRIM('입력_구리근무자명단'!$A929&amp;""),P930)</f>
        <v/>
      </c>
      <c r="Q931">
        <f>'입력_구리근무자명단'!$B929&amp;""</f>
        <v/>
      </c>
      <c r="R931">
        <f>IF($E$2="","",TRIM(INDEX('입력_구리근무자명단'!$A929:$ZZ929,1,$E$2+IF($G$2="확정",1,0))&amp;""))</f>
        <v/>
      </c>
      <c r="S931">
        <f>IF($R931="","",IF(INDEX('입력_구리근무자명단'!$A929:$ZZ929,1,$E$2+2)&amp;""="",급여기준월,IF(ISNUMBER(INDEX('입력_구리근무자명단'!$A929:$ZZ929,1,$E$2+2)),INDEX('입력_구리근무자명단'!$A929:$ZZ929,1,$E$2+2),IFERROR(DATE(VALUE(LEFT(INDEX('입력_구리근무자명단'!$A929:$ZZ929,1,$E$2+2),4)),VALUE(MID(INDEX('입력_구리근무자명단'!$A929:$ZZ929,1,$E$2+2),6,2)),VALUE(MID(INDEX('입력_구리근무자명단'!$A929:$ZZ929,1,$E$2+2),9,2))),-1))))</f>
        <v/>
      </c>
      <c r="T931">
        <f>IF($R931="","",IF(INDEX('입력_구리근무자명단'!$A929:$ZZ929,1,$E$2+3)&amp;""="",EOMONTH(급여기준월,0),IF(ISNUMBER(INDEX('입력_구리근무자명단'!$A929:$ZZ929,1,$E$2+3)),INDEX('입력_구리근무자명단'!$A929:$ZZ929,1,$E$2+3),IFERROR(DATE(VALUE(LEFT(INDEX('입력_구리근무자명단'!$A929:$ZZ929,1,$E$2+3),4)),VALUE(MID(INDEX('입력_구리근무자명단'!$A929:$ZZ929,1,$E$2+3),6,2)),VALUE(MID(INDEX('입력_구리근무자명단'!$A929:$ZZ929,1,$E$2+3),9,2))),-1))))</f>
        <v/>
      </c>
      <c r="U931">
        <f>IF($R931="","",IF(OR($S931&lt;0,$T931&lt;0),0,MAX(0,MIN($T931,EOMONTH(급여기준월,0))-MAX($S931,급여기준월)+1)))</f>
        <v/>
      </c>
      <c r="V931">
        <f>IF($R931="","",TRIM(INDEX('입력_구리근무자명단'!$A929:$ZZ929,1,$E$2+5)&amp;""))</f>
        <v/>
      </c>
      <c r="W931">
        <f>IF(ISNUMBER(SEARCH("구리독자",$V931)),"구리독자","")</f>
        <v/>
      </c>
      <c r="X931">
        <f>IF($R931="","",$R931&amp;"|"&amp;IF(OR($Q931="인턴",ISNUMBER(SEARCH("수련교육부",$P931))),"인턴",$P931))</f>
        <v/>
      </c>
      <c r="Y931">
        <f>IF($R931="","",IF(COUNTIF(명단표[이름|과],$X931)=1,"명단 일치",IF(AND(COUNTIF(명단표[이름|과],$X931)=0,COUNTIF(명단표[이름],$R931)=1),"명단 일치(이름만, 과 다름)",IF(COUNTIF(명단표[이름],$R931)=0,IF(COUNTIF(기본자료표[이름],$R931)&gt;0,"명단에 없음(기본자료에는 있음)","명단에 없음"),"동명이인 확인"))))</f>
        <v/>
      </c>
      <c r="Z931">
        <f>IF($R931="","",IF($S931&lt;0,"⚠"&amp;INDEX('입력_구리근무자명단'!$A929:$ZZ929,1,$E$2+2),TEXT($S931,"yyyy-mm-dd")))</f>
        <v/>
      </c>
      <c r="AA931">
        <f>IF($R931="","",IF($T931&lt;0,"⚠"&amp;INDEX('입력_구리근무자명단'!$A929:$ZZ929,1,$E$2+3),TEXT($T931,"yyyy-mm-dd")))</f>
        <v/>
      </c>
      <c r="AB931">
        <f>AB930+IF($R931="",0,1)</f>
        <v/>
      </c>
      <c r="AC931">
        <f>IF($R931="","",$AB931)</f>
        <v/>
      </c>
    </row>
    <row r="932">
      <c r="O932">
        <f>930</f>
        <v/>
      </c>
      <c r="P932">
        <f>IF(TRIM('입력_구리근무자명단'!$A930&amp;"")&lt;&gt;"",TRIM('입력_구리근무자명단'!$A930&amp;""),P931)</f>
        <v/>
      </c>
      <c r="Q932">
        <f>'입력_구리근무자명단'!$B930&amp;""</f>
        <v/>
      </c>
      <c r="R932">
        <f>IF($E$2="","",TRIM(INDEX('입력_구리근무자명단'!$A930:$ZZ930,1,$E$2+IF($G$2="확정",1,0))&amp;""))</f>
        <v/>
      </c>
      <c r="S932">
        <f>IF($R932="","",IF(INDEX('입력_구리근무자명단'!$A930:$ZZ930,1,$E$2+2)&amp;""="",급여기준월,IF(ISNUMBER(INDEX('입력_구리근무자명단'!$A930:$ZZ930,1,$E$2+2)),INDEX('입력_구리근무자명단'!$A930:$ZZ930,1,$E$2+2),IFERROR(DATE(VALUE(LEFT(INDEX('입력_구리근무자명단'!$A930:$ZZ930,1,$E$2+2),4)),VALUE(MID(INDEX('입력_구리근무자명단'!$A930:$ZZ930,1,$E$2+2),6,2)),VALUE(MID(INDEX('입력_구리근무자명단'!$A930:$ZZ930,1,$E$2+2),9,2))),-1))))</f>
        <v/>
      </c>
      <c r="T932">
        <f>IF($R932="","",IF(INDEX('입력_구리근무자명단'!$A930:$ZZ930,1,$E$2+3)&amp;""="",EOMONTH(급여기준월,0),IF(ISNUMBER(INDEX('입력_구리근무자명단'!$A930:$ZZ930,1,$E$2+3)),INDEX('입력_구리근무자명단'!$A930:$ZZ930,1,$E$2+3),IFERROR(DATE(VALUE(LEFT(INDEX('입력_구리근무자명단'!$A930:$ZZ930,1,$E$2+3),4)),VALUE(MID(INDEX('입력_구리근무자명단'!$A930:$ZZ930,1,$E$2+3),6,2)),VALUE(MID(INDEX('입력_구리근무자명단'!$A930:$ZZ930,1,$E$2+3),9,2))),-1))))</f>
        <v/>
      </c>
      <c r="U932">
        <f>IF($R932="","",IF(OR($S932&lt;0,$T932&lt;0),0,MAX(0,MIN($T932,EOMONTH(급여기준월,0))-MAX($S932,급여기준월)+1)))</f>
        <v/>
      </c>
      <c r="V932">
        <f>IF($R932="","",TRIM(INDEX('입력_구리근무자명단'!$A930:$ZZ930,1,$E$2+5)&amp;""))</f>
        <v/>
      </c>
      <c r="W932">
        <f>IF(ISNUMBER(SEARCH("구리독자",$V932)),"구리독자","")</f>
        <v/>
      </c>
      <c r="X932">
        <f>IF($R932="","",$R932&amp;"|"&amp;IF(OR($Q932="인턴",ISNUMBER(SEARCH("수련교육부",$P932))),"인턴",$P932))</f>
        <v/>
      </c>
      <c r="Y932">
        <f>IF($R932="","",IF(COUNTIF(명단표[이름|과],$X932)=1,"명단 일치",IF(AND(COUNTIF(명단표[이름|과],$X932)=0,COUNTIF(명단표[이름],$R932)=1),"명단 일치(이름만, 과 다름)",IF(COUNTIF(명단표[이름],$R932)=0,IF(COUNTIF(기본자료표[이름],$R932)&gt;0,"명단에 없음(기본자료에는 있음)","명단에 없음"),"동명이인 확인"))))</f>
        <v/>
      </c>
      <c r="Z932">
        <f>IF($R932="","",IF($S932&lt;0,"⚠"&amp;INDEX('입력_구리근무자명단'!$A930:$ZZ930,1,$E$2+2),TEXT($S932,"yyyy-mm-dd")))</f>
        <v/>
      </c>
      <c r="AA932">
        <f>IF($R932="","",IF($T932&lt;0,"⚠"&amp;INDEX('입력_구리근무자명단'!$A930:$ZZ930,1,$E$2+3),TEXT($T932,"yyyy-mm-dd")))</f>
        <v/>
      </c>
      <c r="AB932">
        <f>AB931+IF($R932="",0,1)</f>
        <v/>
      </c>
      <c r="AC932">
        <f>IF($R932="","",$AB932)</f>
        <v/>
      </c>
    </row>
    <row r="933">
      <c r="O933">
        <f>931</f>
        <v/>
      </c>
      <c r="P933">
        <f>IF(TRIM('입력_구리근무자명단'!$A931&amp;"")&lt;&gt;"",TRIM('입력_구리근무자명단'!$A931&amp;""),P932)</f>
        <v/>
      </c>
      <c r="Q933">
        <f>'입력_구리근무자명단'!$B931&amp;""</f>
        <v/>
      </c>
      <c r="R933">
        <f>IF($E$2="","",TRIM(INDEX('입력_구리근무자명단'!$A931:$ZZ931,1,$E$2+IF($G$2="확정",1,0))&amp;""))</f>
        <v/>
      </c>
      <c r="S933">
        <f>IF($R933="","",IF(INDEX('입력_구리근무자명단'!$A931:$ZZ931,1,$E$2+2)&amp;""="",급여기준월,IF(ISNUMBER(INDEX('입력_구리근무자명단'!$A931:$ZZ931,1,$E$2+2)),INDEX('입력_구리근무자명단'!$A931:$ZZ931,1,$E$2+2),IFERROR(DATE(VALUE(LEFT(INDEX('입력_구리근무자명단'!$A931:$ZZ931,1,$E$2+2),4)),VALUE(MID(INDEX('입력_구리근무자명단'!$A931:$ZZ931,1,$E$2+2),6,2)),VALUE(MID(INDEX('입력_구리근무자명단'!$A931:$ZZ931,1,$E$2+2),9,2))),-1))))</f>
        <v/>
      </c>
      <c r="T933">
        <f>IF($R933="","",IF(INDEX('입력_구리근무자명단'!$A931:$ZZ931,1,$E$2+3)&amp;""="",EOMONTH(급여기준월,0),IF(ISNUMBER(INDEX('입력_구리근무자명단'!$A931:$ZZ931,1,$E$2+3)),INDEX('입력_구리근무자명단'!$A931:$ZZ931,1,$E$2+3),IFERROR(DATE(VALUE(LEFT(INDEX('입력_구리근무자명단'!$A931:$ZZ931,1,$E$2+3),4)),VALUE(MID(INDEX('입력_구리근무자명단'!$A931:$ZZ931,1,$E$2+3),6,2)),VALUE(MID(INDEX('입력_구리근무자명단'!$A931:$ZZ931,1,$E$2+3),9,2))),-1))))</f>
        <v/>
      </c>
      <c r="U933">
        <f>IF($R933="","",IF(OR($S933&lt;0,$T933&lt;0),0,MAX(0,MIN($T933,EOMONTH(급여기준월,0))-MAX($S933,급여기준월)+1)))</f>
        <v/>
      </c>
      <c r="V933">
        <f>IF($R933="","",TRIM(INDEX('입력_구리근무자명단'!$A931:$ZZ931,1,$E$2+5)&amp;""))</f>
        <v/>
      </c>
      <c r="W933">
        <f>IF(ISNUMBER(SEARCH("구리독자",$V933)),"구리독자","")</f>
        <v/>
      </c>
      <c r="X933">
        <f>IF($R933="","",$R933&amp;"|"&amp;IF(OR($Q933="인턴",ISNUMBER(SEARCH("수련교육부",$P933))),"인턴",$P933))</f>
        <v/>
      </c>
      <c r="Y933">
        <f>IF($R933="","",IF(COUNTIF(명단표[이름|과],$X933)=1,"명단 일치",IF(AND(COUNTIF(명단표[이름|과],$X933)=0,COUNTIF(명단표[이름],$R933)=1),"명단 일치(이름만, 과 다름)",IF(COUNTIF(명단표[이름],$R933)=0,IF(COUNTIF(기본자료표[이름],$R933)&gt;0,"명단에 없음(기본자료에는 있음)","명단에 없음"),"동명이인 확인"))))</f>
        <v/>
      </c>
      <c r="Z933">
        <f>IF($R933="","",IF($S933&lt;0,"⚠"&amp;INDEX('입력_구리근무자명단'!$A931:$ZZ931,1,$E$2+2),TEXT($S933,"yyyy-mm-dd")))</f>
        <v/>
      </c>
      <c r="AA933">
        <f>IF($R933="","",IF($T933&lt;0,"⚠"&amp;INDEX('입력_구리근무자명단'!$A931:$ZZ931,1,$E$2+3),TEXT($T933,"yyyy-mm-dd")))</f>
        <v/>
      </c>
      <c r="AB933">
        <f>AB932+IF($R933="",0,1)</f>
        <v/>
      </c>
      <c r="AC933">
        <f>IF($R933="","",$AB933)</f>
        <v/>
      </c>
    </row>
    <row r="934">
      <c r="O934">
        <f>932</f>
        <v/>
      </c>
      <c r="P934">
        <f>IF(TRIM('입력_구리근무자명단'!$A932&amp;"")&lt;&gt;"",TRIM('입력_구리근무자명단'!$A932&amp;""),P933)</f>
        <v/>
      </c>
      <c r="Q934">
        <f>'입력_구리근무자명단'!$B932&amp;""</f>
        <v/>
      </c>
      <c r="R934">
        <f>IF($E$2="","",TRIM(INDEX('입력_구리근무자명단'!$A932:$ZZ932,1,$E$2+IF($G$2="확정",1,0))&amp;""))</f>
        <v/>
      </c>
      <c r="S934">
        <f>IF($R934="","",IF(INDEX('입력_구리근무자명단'!$A932:$ZZ932,1,$E$2+2)&amp;""="",급여기준월,IF(ISNUMBER(INDEX('입력_구리근무자명단'!$A932:$ZZ932,1,$E$2+2)),INDEX('입력_구리근무자명단'!$A932:$ZZ932,1,$E$2+2),IFERROR(DATE(VALUE(LEFT(INDEX('입력_구리근무자명단'!$A932:$ZZ932,1,$E$2+2),4)),VALUE(MID(INDEX('입력_구리근무자명단'!$A932:$ZZ932,1,$E$2+2),6,2)),VALUE(MID(INDEX('입력_구리근무자명단'!$A932:$ZZ932,1,$E$2+2),9,2))),-1))))</f>
        <v/>
      </c>
      <c r="T934">
        <f>IF($R934="","",IF(INDEX('입력_구리근무자명단'!$A932:$ZZ932,1,$E$2+3)&amp;""="",EOMONTH(급여기준월,0),IF(ISNUMBER(INDEX('입력_구리근무자명단'!$A932:$ZZ932,1,$E$2+3)),INDEX('입력_구리근무자명단'!$A932:$ZZ932,1,$E$2+3),IFERROR(DATE(VALUE(LEFT(INDEX('입력_구리근무자명단'!$A932:$ZZ932,1,$E$2+3),4)),VALUE(MID(INDEX('입력_구리근무자명단'!$A932:$ZZ932,1,$E$2+3),6,2)),VALUE(MID(INDEX('입력_구리근무자명단'!$A932:$ZZ932,1,$E$2+3),9,2))),-1))))</f>
        <v/>
      </c>
      <c r="U934">
        <f>IF($R934="","",IF(OR($S934&lt;0,$T934&lt;0),0,MAX(0,MIN($T934,EOMONTH(급여기준월,0))-MAX($S934,급여기준월)+1)))</f>
        <v/>
      </c>
      <c r="V934">
        <f>IF($R934="","",TRIM(INDEX('입력_구리근무자명단'!$A932:$ZZ932,1,$E$2+5)&amp;""))</f>
        <v/>
      </c>
      <c r="W934">
        <f>IF(ISNUMBER(SEARCH("구리독자",$V934)),"구리독자","")</f>
        <v/>
      </c>
      <c r="X934">
        <f>IF($R934="","",$R934&amp;"|"&amp;IF(OR($Q934="인턴",ISNUMBER(SEARCH("수련교육부",$P934))),"인턴",$P934))</f>
        <v/>
      </c>
      <c r="Y934">
        <f>IF($R934="","",IF(COUNTIF(명단표[이름|과],$X934)=1,"명단 일치",IF(AND(COUNTIF(명단표[이름|과],$X934)=0,COUNTIF(명단표[이름],$R934)=1),"명단 일치(이름만, 과 다름)",IF(COUNTIF(명단표[이름],$R934)=0,IF(COUNTIF(기본자료표[이름],$R934)&gt;0,"명단에 없음(기본자료에는 있음)","명단에 없음"),"동명이인 확인"))))</f>
        <v/>
      </c>
      <c r="Z934">
        <f>IF($R934="","",IF($S934&lt;0,"⚠"&amp;INDEX('입력_구리근무자명단'!$A932:$ZZ932,1,$E$2+2),TEXT($S934,"yyyy-mm-dd")))</f>
        <v/>
      </c>
      <c r="AA934">
        <f>IF($R934="","",IF($T934&lt;0,"⚠"&amp;INDEX('입력_구리근무자명단'!$A932:$ZZ932,1,$E$2+3),TEXT($T934,"yyyy-mm-dd")))</f>
        <v/>
      </c>
      <c r="AB934">
        <f>AB933+IF($R934="",0,1)</f>
        <v/>
      </c>
      <c r="AC934">
        <f>IF($R934="","",$AB934)</f>
        <v/>
      </c>
    </row>
    <row r="935">
      <c r="O935">
        <f>933</f>
        <v/>
      </c>
      <c r="P935">
        <f>IF(TRIM('입력_구리근무자명단'!$A933&amp;"")&lt;&gt;"",TRIM('입력_구리근무자명단'!$A933&amp;""),P934)</f>
        <v/>
      </c>
      <c r="Q935">
        <f>'입력_구리근무자명단'!$B933&amp;""</f>
        <v/>
      </c>
      <c r="R935">
        <f>IF($E$2="","",TRIM(INDEX('입력_구리근무자명단'!$A933:$ZZ933,1,$E$2+IF($G$2="확정",1,0))&amp;""))</f>
        <v/>
      </c>
      <c r="S935">
        <f>IF($R935="","",IF(INDEX('입력_구리근무자명단'!$A933:$ZZ933,1,$E$2+2)&amp;""="",급여기준월,IF(ISNUMBER(INDEX('입력_구리근무자명단'!$A933:$ZZ933,1,$E$2+2)),INDEX('입력_구리근무자명단'!$A933:$ZZ933,1,$E$2+2),IFERROR(DATE(VALUE(LEFT(INDEX('입력_구리근무자명단'!$A933:$ZZ933,1,$E$2+2),4)),VALUE(MID(INDEX('입력_구리근무자명단'!$A933:$ZZ933,1,$E$2+2),6,2)),VALUE(MID(INDEX('입력_구리근무자명단'!$A933:$ZZ933,1,$E$2+2),9,2))),-1))))</f>
        <v/>
      </c>
      <c r="T935">
        <f>IF($R935="","",IF(INDEX('입력_구리근무자명단'!$A933:$ZZ933,1,$E$2+3)&amp;""="",EOMONTH(급여기준월,0),IF(ISNUMBER(INDEX('입력_구리근무자명단'!$A933:$ZZ933,1,$E$2+3)),INDEX('입력_구리근무자명단'!$A933:$ZZ933,1,$E$2+3),IFERROR(DATE(VALUE(LEFT(INDEX('입력_구리근무자명단'!$A933:$ZZ933,1,$E$2+3),4)),VALUE(MID(INDEX('입력_구리근무자명단'!$A933:$ZZ933,1,$E$2+3),6,2)),VALUE(MID(INDEX('입력_구리근무자명단'!$A933:$ZZ933,1,$E$2+3),9,2))),-1))))</f>
        <v/>
      </c>
      <c r="U935">
        <f>IF($R935="","",IF(OR($S935&lt;0,$T935&lt;0),0,MAX(0,MIN($T935,EOMONTH(급여기준월,0))-MAX($S935,급여기준월)+1)))</f>
        <v/>
      </c>
      <c r="V935">
        <f>IF($R935="","",TRIM(INDEX('입력_구리근무자명단'!$A933:$ZZ933,1,$E$2+5)&amp;""))</f>
        <v/>
      </c>
      <c r="W935">
        <f>IF(ISNUMBER(SEARCH("구리독자",$V935)),"구리독자","")</f>
        <v/>
      </c>
      <c r="X935">
        <f>IF($R935="","",$R935&amp;"|"&amp;IF(OR($Q935="인턴",ISNUMBER(SEARCH("수련교육부",$P935))),"인턴",$P935))</f>
        <v/>
      </c>
      <c r="Y935">
        <f>IF($R935="","",IF(COUNTIF(명단표[이름|과],$X935)=1,"명단 일치",IF(AND(COUNTIF(명단표[이름|과],$X935)=0,COUNTIF(명단표[이름],$R935)=1),"명단 일치(이름만, 과 다름)",IF(COUNTIF(명단표[이름],$R935)=0,IF(COUNTIF(기본자료표[이름],$R935)&gt;0,"명단에 없음(기본자료에는 있음)","명단에 없음"),"동명이인 확인"))))</f>
        <v/>
      </c>
      <c r="Z935">
        <f>IF($R935="","",IF($S935&lt;0,"⚠"&amp;INDEX('입력_구리근무자명단'!$A933:$ZZ933,1,$E$2+2),TEXT($S935,"yyyy-mm-dd")))</f>
        <v/>
      </c>
      <c r="AA935">
        <f>IF($R935="","",IF($T935&lt;0,"⚠"&amp;INDEX('입력_구리근무자명단'!$A933:$ZZ933,1,$E$2+3),TEXT($T935,"yyyy-mm-dd")))</f>
        <v/>
      </c>
      <c r="AB935">
        <f>AB934+IF($R935="",0,1)</f>
        <v/>
      </c>
      <c r="AC935">
        <f>IF($R935="","",$AB935)</f>
        <v/>
      </c>
    </row>
    <row r="936">
      <c r="O936">
        <f>934</f>
        <v/>
      </c>
      <c r="P936">
        <f>IF(TRIM('입력_구리근무자명단'!$A934&amp;"")&lt;&gt;"",TRIM('입력_구리근무자명단'!$A934&amp;""),P935)</f>
        <v/>
      </c>
      <c r="Q936">
        <f>'입력_구리근무자명단'!$B934&amp;""</f>
        <v/>
      </c>
      <c r="R936">
        <f>IF($E$2="","",TRIM(INDEX('입력_구리근무자명단'!$A934:$ZZ934,1,$E$2+IF($G$2="확정",1,0))&amp;""))</f>
        <v/>
      </c>
      <c r="S936">
        <f>IF($R936="","",IF(INDEX('입력_구리근무자명단'!$A934:$ZZ934,1,$E$2+2)&amp;""="",급여기준월,IF(ISNUMBER(INDEX('입력_구리근무자명단'!$A934:$ZZ934,1,$E$2+2)),INDEX('입력_구리근무자명단'!$A934:$ZZ934,1,$E$2+2),IFERROR(DATE(VALUE(LEFT(INDEX('입력_구리근무자명단'!$A934:$ZZ934,1,$E$2+2),4)),VALUE(MID(INDEX('입력_구리근무자명단'!$A934:$ZZ934,1,$E$2+2),6,2)),VALUE(MID(INDEX('입력_구리근무자명단'!$A934:$ZZ934,1,$E$2+2),9,2))),-1))))</f>
        <v/>
      </c>
      <c r="T936">
        <f>IF($R936="","",IF(INDEX('입력_구리근무자명단'!$A934:$ZZ934,1,$E$2+3)&amp;""="",EOMONTH(급여기준월,0),IF(ISNUMBER(INDEX('입력_구리근무자명단'!$A934:$ZZ934,1,$E$2+3)),INDEX('입력_구리근무자명단'!$A934:$ZZ934,1,$E$2+3),IFERROR(DATE(VALUE(LEFT(INDEX('입력_구리근무자명단'!$A934:$ZZ934,1,$E$2+3),4)),VALUE(MID(INDEX('입력_구리근무자명단'!$A934:$ZZ934,1,$E$2+3),6,2)),VALUE(MID(INDEX('입력_구리근무자명단'!$A934:$ZZ934,1,$E$2+3),9,2))),-1))))</f>
        <v/>
      </c>
      <c r="U936">
        <f>IF($R936="","",IF(OR($S936&lt;0,$T936&lt;0),0,MAX(0,MIN($T936,EOMONTH(급여기준월,0))-MAX($S936,급여기준월)+1)))</f>
        <v/>
      </c>
      <c r="V936">
        <f>IF($R936="","",TRIM(INDEX('입력_구리근무자명단'!$A934:$ZZ934,1,$E$2+5)&amp;""))</f>
        <v/>
      </c>
      <c r="W936">
        <f>IF(ISNUMBER(SEARCH("구리독자",$V936)),"구리독자","")</f>
        <v/>
      </c>
      <c r="X936">
        <f>IF($R936="","",$R936&amp;"|"&amp;IF(OR($Q936="인턴",ISNUMBER(SEARCH("수련교육부",$P936))),"인턴",$P936))</f>
        <v/>
      </c>
      <c r="Y936">
        <f>IF($R936="","",IF(COUNTIF(명단표[이름|과],$X936)=1,"명단 일치",IF(AND(COUNTIF(명단표[이름|과],$X936)=0,COUNTIF(명단표[이름],$R936)=1),"명단 일치(이름만, 과 다름)",IF(COUNTIF(명단표[이름],$R936)=0,IF(COUNTIF(기본자료표[이름],$R936)&gt;0,"명단에 없음(기본자료에는 있음)","명단에 없음"),"동명이인 확인"))))</f>
        <v/>
      </c>
      <c r="Z936">
        <f>IF($R936="","",IF($S936&lt;0,"⚠"&amp;INDEX('입력_구리근무자명단'!$A934:$ZZ934,1,$E$2+2),TEXT($S936,"yyyy-mm-dd")))</f>
        <v/>
      </c>
      <c r="AA936">
        <f>IF($R936="","",IF($T936&lt;0,"⚠"&amp;INDEX('입력_구리근무자명단'!$A934:$ZZ934,1,$E$2+3),TEXT($T936,"yyyy-mm-dd")))</f>
        <v/>
      </c>
      <c r="AB936">
        <f>AB935+IF($R936="",0,1)</f>
        <v/>
      </c>
      <c r="AC936">
        <f>IF($R936="","",$AB936)</f>
        <v/>
      </c>
    </row>
    <row r="937">
      <c r="O937">
        <f>935</f>
        <v/>
      </c>
      <c r="P937">
        <f>IF(TRIM('입력_구리근무자명단'!$A935&amp;"")&lt;&gt;"",TRIM('입력_구리근무자명단'!$A935&amp;""),P936)</f>
        <v/>
      </c>
      <c r="Q937">
        <f>'입력_구리근무자명단'!$B935&amp;""</f>
        <v/>
      </c>
      <c r="R937">
        <f>IF($E$2="","",TRIM(INDEX('입력_구리근무자명단'!$A935:$ZZ935,1,$E$2+IF($G$2="확정",1,0))&amp;""))</f>
        <v/>
      </c>
      <c r="S937">
        <f>IF($R937="","",IF(INDEX('입력_구리근무자명단'!$A935:$ZZ935,1,$E$2+2)&amp;""="",급여기준월,IF(ISNUMBER(INDEX('입력_구리근무자명단'!$A935:$ZZ935,1,$E$2+2)),INDEX('입력_구리근무자명단'!$A935:$ZZ935,1,$E$2+2),IFERROR(DATE(VALUE(LEFT(INDEX('입력_구리근무자명단'!$A935:$ZZ935,1,$E$2+2),4)),VALUE(MID(INDEX('입력_구리근무자명단'!$A935:$ZZ935,1,$E$2+2),6,2)),VALUE(MID(INDEX('입력_구리근무자명단'!$A935:$ZZ935,1,$E$2+2),9,2))),-1))))</f>
        <v/>
      </c>
      <c r="T937">
        <f>IF($R937="","",IF(INDEX('입력_구리근무자명단'!$A935:$ZZ935,1,$E$2+3)&amp;""="",EOMONTH(급여기준월,0),IF(ISNUMBER(INDEX('입력_구리근무자명단'!$A935:$ZZ935,1,$E$2+3)),INDEX('입력_구리근무자명단'!$A935:$ZZ935,1,$E$2+3),IFERROR(DATE(VALUE(LEFT(INDEX('입력_구리근무자명단'!$A935:$ZZ935,1,$E$2+3),4)),VALUE(MID(INDEX('입력_구리근무자명단'!$A935:$ZZ935,1,$E$2+3),6,2)),VALUE(MID(INDEX('입력_구리근무자명단'!$A935:$ZZ935,1,$E$2+3),9,2))),-1))))</f>
        <v/>
      </c>
      <c r="U937">
        <f>IF($R937="","",IF(OR($S937&lt;0,$T937&lt;0),0,MAX(0,MIN($T937,EOMONTH(급여기준월,0))-MAX($S937,급여기준월)+1)))</f>
        <v/>
      </c>
      <c r="V937">
        <f>IF($R937="","",TRIM(INDEX('입력_구리근무자명단'!$A935:$ZZ935,1,$E$2+5)&amp;""))</f>
        <v/>
      </c>
      <c r="W937">
        <f>IF(ISNUMBER(SEARCH("구리독자",$V937)),"구리독자","")</f>
        <v/>
      </c>
      <c r="X937">
        <f>IF($R937="","",$R937&amp;"|"&amp;IF(OR($Q937="인턴",ISNUMBER(SEARCH("수련교육부",$P937))),"인턴",$P937))</f>
        <v/>
      </c>
      <c r="Y937">
        <f>IF($R937="","",IF(COUNTIF(명단표[이름|과],$X937)=1,"명단 일치",IF(AND(COUNTIF(명단표[이름|과],$X937)=0,COUNTIF(명단표[이름],$R937)=1),"명단 일치(이름만, 과 다름)",IF(COUNTIF(명단표[이름],$R937)=0,IF(COUNTIF(기본자료표[이름],$R937)&gt;0,"명단에 없음(기본자료에는 있음)","명단에 없음"),"동명이인 확인"))))</f>
        <v/>
      </c>
      <c r="Z937">
        <f>IF($R937="","",IF($S937&lt;0,"⚠"&amp;INDEX('입력_구리근무자명단'!$A935:$ZZ935,1,$E$2+2),TEXT($S937,"yyyy-mm-dd")))</f>
        <v/>
      </c>
      <c r="AA937">
        <f>IF($R937="","",IF($T937&lt;0,"⚠"&amp;INDEX('입력_구리근무자명단'!$A935:$ZZ935,1,$E$2+3),TEXT($T937,"yyyy-mm-dd")))</f>
        <v/>
      </c>
      <c r="AB937">
        <f>AB936+IF($R937="",0,1)</f>
        <v/>
      </c>
      <c r="AC937">
        <f>IF($R937="","",$AB937)</f>
        <v/>
      </c>
    </row>
    <row r="938">
      <c r="O938">
        <f>936</f>
        <v/>
      </c>
      <c r="P938">
        <f>IF(TRIM('입력_구리근무자명단'!$A936&amp;"")&lt;&gt;"",TRIM('입력_구리근무자명단'!$A936&amp;""),P937)</f>
        <v/>
      </c>
      <c r="Q938">
        <f>'입력_구리근무자명단'!$B936&amp;""</f>
        <v/>
      </c>
      <c r="R938">
        <f>IF($E$2="","",TRIM(INDEX('입력_구리근무자명단'!$A936:$ZZ936,1,$E$2+IF($G$2="확정",1,0))&amp;""))</f>
        <v/>
      </c>
      <c r="S938">
        <f>IF($R938="","",IF(INDEX('입력_구리근무자명단'!$A936:$ZZ936,1,$E$2+2)&amp;""="",급여기준월,IF(ISNUMBER(INDEX('입력_구리근무자명단'!$A936:$ZZ936,1,$E$2+2)),INDEX('입력_구리근무자명단'!$A936:$ZZ936,1,$E$2+2),IFERROR(DATE(VALUE(LEFT(INDEX('입력_구리근무자명단'!$A936:$ZZ936,1,$E$2+2),4)),VALUE(MID(INDEX('입력_구리근무자명단'!$A936:$ZZ936,1,$E$2+2),6,2)),VALUE(MID(INDEX('입력_구리근무자명단'!$A936:$ZZ936,1,$E$2+2),9,2))),-1))))</f>
        <v/>
      </c>
      <c r="T938">
        <f>IF($R938="","",IF(INDEX('입력_구리근무자명단'!$A936:$ZZ936,1,$E$2+3)&amp;""="",EOMONTH(급여기준월,0),IF(ISNUMBER(INDEX('입력_구리근무자명단'!$A936:$ZZ936,1,$E$2+3)),INDEX('입력_구리근무자명단'!$A936:$ZZ936,1,$E$2+3),IFERROR(DATE(VALUE(LEFT(INDEX('입력_구리근무자명단'!$A936:$ZZ936,1,$E$2+3),4)),VALUE(MID(INDEX('입력_구리근무자명단'!$A936:$ZZ936,1,$E$2+3),6,2)),VALUE(MID(INDEX('입력_구리근무자명단'!$A936:$ZZ936,1,$E$2+3),9,2))),-1))))</f>
        <v/>
      </c>
      <c r="U938">
        <f>IF($R938="","",IF(OR($S938&lt;0,$T938&lt;0),0,MAX(0,MIN($T938,EOMONTH(급여기준월,0))-MAX($S938,급여기준월)+1)))</f>
        <v/>
      </c>
      <c r="V938">
        <f>IF($R938="","",TRIM(INDEX('입력_구리근무자명단'!$A936:$ZZ936,1,$E$2+5)&amp;""))</f>
        <v/>
      </c>
      <c r="W938">
        <f>IF(ISNUMBER(SEARCH("구리독자",$V938)),"구리독자","")</f>
        <v/>
      </c>
      <c r="X938">
        <f>IF($R938="","",$R938&amp;"|"&amp;IF(OR($Q938="인턴",ISNUMBER(SEARCH("수련교육부",$P938))),"인턴",$P938))</f>
        <v/>
      </c>
      <c r="Y938">
        <f>IF($R938="","",IF(COUNTIF(명단표[이름|과],$X938)=1,"명단 일치",IF(AND(COUNTIF(명단표[이름|과],$X938)=0,COUNTIF(명단표[이름],$R938)=1),"명단 일치(이름만, 과 다름)",IF(COUNTIF(명단표[이름],$R938)=0,IF(COUNTIF(기본자료표[이름],$R938)&gt;0,"명단에 없음(기본자료에는 있음)","명단에 없음"),"동명이인 확인"))))</f>
        <v/>
      </c>
      <c r="Z938">
        <f>IF($R938="","",IF($S938&lt;0,"⚠"&amp;INDEX('입력_구리근무자명단'!$A936:$ZZ936,1,$E$2+2),TEXT($S938,"yyyy-mm-dd")))</f>
        <v/>
      </c>
      <c r="AA938">
        <f>IF($R938="","",IF($T938&lt;0,"⚠"&amp;INDEX('입력_구리근무자명단'!$A936:$ZZ936,1,$E$2+3),TEXT($T938,"yyyy-mm-dd")))</f>
        <v/>
      </c>
      <c r="AB938">
        <f>AB937+IF($R938="",0,1)</f>
        <v/>
      </c>
      <c r="AC938">
        <f>IF($R938="","",$AB938)</f>
        <v/>
      </c>
    </row>
    <row r="939">
      <c r="O939">
        <f>937</f>
        <v/>
      </c>
      <c r="P939">
        <f>IF(TRIM('입력_구리근무자명단'!$A937&amp;"")&lt;&gt;"",TRIM('입력_구리근무자명단'!$A937&amp;""),P938)</f>
        <v/>
      </c>
      <c r="Q939">
        <f>'입력_구리근무자명단'!$B937&amp;""</f>
        <v/>
      </c>
      <c r="R939">
        <f>IF($E$2="","",TRIM(INDEX('입력_구리근무자명단'!$A937:$ZZ937,1,$E$2+IF($G$2="확정",1,0))&amp;""))</f>
        <v/>
      </c>
      <c r="S939">
        <f>IF($R939="","",IF(INDEX('입력_구리근무자명단'!$A937:$ZZ937,1,$E$2+2)&amp;""="",급여기준월,IF(ISNUMBER(INDEX('입력_구리근무자명단'!$A937:$ZZ937,1,$E$2+2)),INDEX('입력_구리근무자명단'!$A937:$ZZ937,1,$E$2+2),IFERROR(DATE(VALUE(LEFT(INDEX('입력_구리근무자명단'!$A937:$ZZ937,1,$E$2+2),4)),VALUE(MID(INDEX('입력_구리근무자명단'!$A937:$ZZ937,1,$E$2+2),6,2)),VALUE(MID(INDEX('입력_구리근무자명단'!$A937:$ZZ937,1,$E$2+2),9,2))),-1))))</f>
        <v/>
      </c>
      <c r="T939">
        <f>IF($R939="","",IF(INDEX('입력_구리근무자명단'!$A937:$ZZ937,1,$E$2+3)&amp;""="",EOMONTH(급여기준월,0),IF(ISNUMBER(INDEX('입력_구리근무자명단'!$A937:$ZZ937,1,$E$2+3)),INDEX('입력_구리근무자명단'!$A937:$ZZ937,1,$E$2+3),IFERROR(DATE(VALUE(LEFT(INDEX('입력_구리근무자명단'!$A937:$ZZ937,1,$E$2+3),4)),VALUE(MID(INDEX('입력_구리근무자명단'!$A937:$ZZ937,1,$E$2+3),6,2)),VALUE(MID(INDEX('입력_구리근무자명단'!$A937:$ZZ937,1,$E$2+3),9,2))),-1))))</f>
        <v/>
      </c>
      <c r="U939">
        <f>IF($R939="","",IF(OR($S939&lt;0,$T939&lt;0),0,MAX(0,MIN($T939,EOMONTH(급여기준월,0))-MAX($S939,급여기준월)+1)))</f>
        <v/>
      </c>
      <c r="V939">
        <f>IF($R939="","",TRIM(INDEX('입력_구리근무자명단'!$A937:$ZZ937,1,$E$2+5)&amp;""))</f>
        <v/>
      </c>
      <c r="W939">
        <f>IF(ISNUMBER(SEARCH("구리독자",$V939)),"구리독자","")</f>
        <v/>
      </c>
      <c r="X939">
        <f>IF($R939="","",$R939&amp;"|"&amp;IF(OR($Q939="인턴",ISNUMBER(SEARCH("수련교육부",$P939))),"인턴",$P939))</f>
        <v/>
      </c>
      <c r="Y939">
        <f>IF($R939="","",IF(COUNTIF(명단표[이름|과],$X939)=1,"명단 일치",IF(AND(COUNTIF(명단표[이름|과],$X939)=0,COUNTIF(명단표[이름],$R939)=1),"명단 일치(이름만, 과 다름)",IF(COUNTIF(명단표[이름],$R939)=0,IF(COUNTIF(기본자료표[이름],$R939)&gt;0,"명단에 없음(기본자료에는 있음)","명단에 없음"),"동명이인 확인"))))</f>
        <v/>
      </c>
      <c r="Z939">
        <f>IF($R939="","",IF($S939&lt;0,"⚠"&amp;INDEX('입력_구리근무자명단'!$A937:$ZZ937,1,$E$2+2),TEXT($S939,"yyyy-mm-dd")))</f>
        <v/>
      </c>
      <c r="AA939">
        <f>IF($R939="","",IF($T939&lt;0,"⚠"&amp;INDEX('입력_구리근무자명단'!$A937:$ZZ937,1,$E$2+3),TEXT($T939,"yyyy-mm-dd")))</f>
        <v/>
      </c>
      <c r="AB939">
        <f>AB938+IF($R939="",0,1)</f>
        <v/>
      </c>
      <c r="AC939">
        <f>IF($R939="","",$AB939)</f>
        <v/>
      </c>
    </row>
    <row r="940">
      <c r="O940">
        <f>938</f>
        <v/>
      </c>
      <c r="P940">
        <f>IF(TRIM('입력_구리근무자명단'!$A938&amp;"")&lt;&gt;"",TRIM('입력_구리근무자명단'!$A938&amp;""),P939)</f>
        <v/>
      </c>
      <c r="Q940">
        <f>'입력_구리근무자명단'!$B938&amp;""</f>
        <v/>
      </c>
      <c r="R940">
        <f>IF($E$2="","",TRIM(INDEX('입력_구리근무자명단'!$A938:$ZZ938,1,$E$2+IF($G$2="확정",1,0))&amp;""))</f>
        <v/>
      </c>
      <c r="S940">
        <f>IF($R940="","",IF(INDEX('입력_구리근무자명단'!$A938:$ZZ938,1,$E$2+2)&amp;""="",급여기준월,IF(ISNUMBER(INDEX('입력_구리근무자명단'!$A938:$ZZ938,1,$E$2+2)),INDEX('입력_구리근무자명단'!$A938:$ZZ938,1,$E$2+2),IFERROR(DATE(VALUE(LEFT(INDEX('입력_구리근무자명단'!$A938:$ZZ938,1,$E$2+2),4)),VALUE(MID(INDEX('입력_구리근무자명단'!$A938:$ZZ938,1,$E$2+2),6,2)),VALUE(MID(INDEX('입력_구리근무자명단'!$A938:$ZZ938,1,$E$2+2),9,2))),-1))))</f>
        <v/>
      </c>
      <c r="T940">
        <f>IF($R940="","",IF(INDEX('입력_구리근무자명단'!$A938:$ZZ938,1,$E$2+3)&amp;""="",EOMONTH(급여기준월,0),IF(ISNUMBER(INDEX('입력_구리근무자명단'!$A938:$ZZ938,1,$E$2+3)),INDEX('입력_구리근무자명단'!$A938:$ZZ938,1,$E$2+3),IFERROR(DATE(VALUE(LEFT(INDEX('입력_구리근무자명단'!$A938:$ZZ938,1,$E$2+3),4)),VALUE(MID(INDEX('입력_구리근무자명단'!$A938:$ZZ938,1,$E$2+3),6,2)),VALUE(MID(INDEX('입력_구리근무자명단'!$A938:$ZZ938,1,$E$2+3),9,2))),-1))))</f>
        <v/>
      </c>
      <c r="U940">
        <f>IF($R940="","",IF(OR($S940&lt;0,$T940&lt;0),0,MAX(0,MIN($T940,EOMONTH(급여기준월,0))-MAX($S940,급여기준월)+1)))</f>
        <v/>
      </c>
      <c r="V940">
        <f>IF($R940="","",TRIM(INDEX('입력_구리근무자명단'!$A938:$ZZ938,1,$E$2+5)&amp;""))</f>
        <v/>
      </c>
      <c r="W940">
        <f>IF(ISNUMBER(SEARCH("구리독자",$V940)),"구리독자","")</f>
        <v/>
      </c>
      <c r="X940">
        <f>IF($R940="","",$R940&amp;"|"&amp;IF(OR($Q940="인턴",ISNUMBER(SEARCH("수련교육부",$P940))),"인턴",$P940))</f>
        <v/>
      </c>
      <c r="Y940">
        <f>IF($R940="","",IF(COUNTIF(명단표[이름|과],$X940)=1,"명단 일치",IF(AND(COUNTIF(명단표[이름|과],$X940)=0,COUNTIF(명단표[이름],$R940)=1),"명단 일치(이름만, 과 다름)",IF(COUNTIF(명단표[이름],$R940)=0,IF(COUNTIF(기본자료표[이름],$R940)&gt;0,"명단에 없음(기본자료에는 있음)","명단에 없음"),"동명이인 확인"))))</f>
        <v/>
      </c>
      <c r="Z940">
        <f>IF($R940="","",IF($S940&lt;0,"⚠"&amp;INDEX('입력_구리근무자명단'!$A938:$ZZ938,1,$E$2+2),TEXT($S940,"yyyy-mm-dd")))</f>
        <v/>
      </c>
      <c r="AA940">
        <f>IF($R940="","",IF($T940&lt;0,"⚠"&amp;INDEX('입력_구리근무자명단'!$A938:$ZZ938,1,$E$2+3),TEXT($T940,"yyyy-mm-dd")))</f>
        <v/>
      </c>
      <c r="AB940">
        <f>AB939+IF($R940="",0,1)</f>
        <v/>
      </c>
      <c r="AC940">
        <f>IF($R940="","",$AB940)</f>
        <v/>
      </c>
    </row>
    <row r="941">
      <c r="O941">
        <f>939</f>
        <v/>
      </c>
      <c r="P941">
        <f>IF(TRIM('입력_구리근무자명단'!$A939&amp;"")&lt;&gt;"",TRIM('입력_구리근무자명단'!$A939&amp;""),P940)</f>
        <v/>
      </c>
      <c r="Q941">
        <f>'입력_구리근무자명단'!$B939&amp;""</f>
        <v/>
      </c>
      <c r="R941">
        <f>IF($E$2="","",TRIM(INDEX('입력_구리근무자명단'!$A939:$ZZ939,1,$E$2+IF($G$2="확정",1,0))&amp;""))</f>
        <v/>
      </c>
      <c r="S941">
        <f>IF($R941="","",IF(INDEX('입력_구리근무자명단'!$A939:$ZZ939,1,$E$2+2)&amp;""="",급여기준월,IF(ISNUMBER(INDEX('입력_구리근무자명단'!$A939:$ZZ939,1,$E$2+2)),INDEX('입력_구리근무자명단'!$A939:$ZZ939,1,$E$2+2),IFERROR(DATE(VALUE(LEFT(INDEX('입력_구리근무자명단'!$A939:$ZZ939,1,$E$2+2),4)),VALUE(MID(INDEX('입력_구리근무자명단'!$A939:$ZZ939,1,$E$2+2),6,2)),VALUE(MID(INDEX('입력_구리근무자명단'!$A939:$ZZ939,1,$E$2+2),9,2))),-1))))</f>
        <v/>
      </c>
      <c r="T941">
        <f>IF($R941="","",IF(INDEX('입력_구리근무자명단'!$A939:$ZZ939,1,$E$2+3)&amp;""="",EOMONTH(급여기준월,0),IF(ISNUMBER(INDEX('입력_구리근무자명단'!$A939:$ZZ939,1,$E$2+3)),INDEX('입력_구리근무자명단'!$A939:$ZZ939,1,$E$2+3),IFERROR(DATE(VALUE(LEFT(INDEX('입력_구리근무자명단'!$A939:$ZZ939,1,$E$2+3),4)),VALUE(MID(INDEX('입력_구리근무자명단'!$A939:$ZZ939,1,$E$2+3),6,2)),VALUE(MID(INDEX('입력_구리근무자명단'!$A939:$ZZ939,1,$E$2+3),9,2))),-1))))</f>
        <v/>
      </c>
      <c r="U941">
        <f>IF($R941="","",IF(OR($S941&lt;0,$T941&lt;0),0,MAX(0,MIN($T941,EOMONTH(급여기준월,0))-MAX($S941,급여기준월)+1)))</f>
        <v/>
      </c>
      <c r="V941">
        <f>IF($R941="","",TRIM(INDEX('입력_구리근무자명단'!$A939:$ZZ939,1,$E$2+5)&amp;""))</f>
        <v/>
      </c>
      <c r="W941">
        <f>IF(ISNUMBER(SEARCH("구리독자",$V941)),"구리독자","")</f>
        <v/>
      </c>
      <c r="X941">
        <f>IF($R941="","",$R941&amp;"|"&amp;IF(OR($Q941="인턴",ISNUMBER(SEARCH("수련교육부",$P941))),"인턴",$P941))</f>
        <v/>
      </c>
      <c r="Y941">
        <f>IF($R941="","",IF(COUNTIF(명단표[이름|과],$X941)=1,"명단 일치",IF(AND(COUNTIF(명단표[이름|과],$X941)=0,COUNTIF(명단표[이름],$R941)=1),"명단 일치(이름만, 과 다름)",IF(COUNTIF(명단표[이름],$R941)=0,IF(COUNTIF(기본자료표[이름],$R941)&gt;0,"명단에 없음(기본자료에는 있음)","명단에 없음"),"동명이인 확인"))))</f>
        <v/>
      </c>
      <c r="Z941">
        <f>IF($R941="","",IF($S941&lt;0,"⚠"&amp;INDEX('입력_구리근무자명단'!$A939:$ZZ939,1,$E$2+2),TEXT($S941,"yyyy-mm-dd")))</f>
        <v/>
      </c>
      <c r="AA941">
        <f>IF($R941="","",IF($T941&lt;0,"⚠"&amp;INDEX('입력_구리근무자명단'!$A939:$ZZ939,1,$E$2+3),TEXT($T941,"yyyy-mm-dd")))</f>
        <v/>
      </c>
      <c r="AB941">
        <f>AB940+IF($R941="",0,1)</f>
        <v/>
      </c>
      <c r="AC941">
        <f>IF($R941="","",$AB941)</f>
        <v/>
      </c>
    </row>
    <row r="942">
      <c r="O942">
        <f>940</f>
        <v/>
      </c>
      <c r="P942">
        <f>IF(TRIM('입력_구리근무자명단'!$A940&amp;"")&lt;&gt;"",TRIM('입력_구리근무자명단'!$A940&amp;""),P941)</f>
        <v/>
      </c>
      <c r="Q942">
        <f>'입력_구리근무자명단'!$B940&amp;""</f>
        <v/>
      </c>
      <c r="R942">
        <f>IF($E$2="","",TRIM(INDEX('입력_구리근무자명단'!$A940:$ZZ940,1,$E$2+IF($G$2="확정",1,0))&amp;""))</f>
        <v/>
      </c>
      <c r="S942">
        <f>IF($R942="","",IF(INDEX('입력_구리근무자명단'!$A940:$ZZ940,1,$E$2+2)&amp;""="",급여기준월,IF(ISNUMBER(INDEX('입력_구리근무자명단'!$A940:$ZZ940,1,$E$2+2)),INDEX('입력_구리근무자명단'!$A940:$ZZ940,1,$E$2+2),IFERROR(DATE(VALUE(LEFT(INDEX('입력_구리근무자명단'!$A940:$ZZ940,1,$E$2+2),4)),VALUE(MID(INDEX('입력_구리근무자명단'!$A940:$ZZ940,1,$E$2+2),6,2)),VALUE(MID(INDEX('입력_구리근무자명단'!$A940:$ZZ940,1,$E$2+2),9,2))),-1))))</f>
        <v/>
      </c>
      <c r="T942">
        <f>IF($R942="","",IF(INDEX('입력_구리근무자명단'!$A940:$ZZ940,1,$E$2+3)&amp;""="",EOMONTH(급여기준월,0),IF(ISNUMBER(INDEX('입력_구리근무자명단'!$A940:$ZZ940,1,$E$2+3)),INDEX('입력_구리근무자명단'!$A940:$ZZ940,1,$E$2+3),IFERROR(DATE(VALUE(LEFT(INDEX('입력_구리근무자명단'!$A940:$ZZ940,1,$E$2+3),4)),VALUE(MID(INDEX('입력_구리근무자명단'!$A940:$ZZ940,1,$E$2+3),6,2)),VALUE(MID(INDEX('입력_구리근무자명단'!$A940:$ZZ940,1,$E$2+3),9,2))),-1))))</f>
        <v/>
      </c>
      <c r="U942">
        <f>IF($R942="","",IF(OR($S942&lt;0,$T942&lt;0),0,MAX(0,MIN($T942,EOMONTH(급여기준월,0))-MAX($S942,급여기준월)+1)))</f>
        <v/>
      </c>
      <c r="V942">
        <f>IF($R942="","",TRIM(INDEX('입력_구리근무자명단'!$A940:$ZZ940,1,$E$2+5)&amp;""))</f>
        <v/>
      </c>
      <c r="W942">
        <f>IF(ISNUMBER(SEARCH("구리독자",$V942)),"구리독자","")</f>
        <v/>
      </c>
      <c r="X942">
        <f>IF($R942="","",$R942&amp;"|"&amp;IF(OR($Q942="인턴",ISNUMBER(SEARCH("수련교육부",$P942))),"인턴",$P942))</f>
        <v/>
      </c>
      <c r="Y942">
        <f>IF($R942="","",IF(COUNTIF(명단표[이름|과],$X942)=1,"명단 일치",IF(AND(COUNTIF(명단표[이름|과],$X942)=0,COUNTIF(명단표[이름],$R942)=1),"명단 일치(이름만, 과 다름)",IF(COUNTIF(명단표[이름],$R942)=0,IF(COUNTIF(기본자료표[이름],$R942)&gt;0,"명단에 없음(기본자료에는 있음)","명단에 없음"),"동명이인 확인"))))</f>
        <v/>
      </c>
      <c r="Z942">
        <f>IF($R942="","",IF($S942&lt;0,"⚠"&amp;INDEX('입력_구리근무자명단'!$A940:$ZZ940,1,$E$2+2),TEXT($S942,"yyyy-mm-dd")))</f>
        <v/>
      </c>
      <c r="AA942">
        <f>IF($R942="","",IF($T942&lt;0,"⚠"&amp;INDEX('입력_구리근무자명단'!$A940:$ZZ940,1,$E$2+3),TEXT($T942,"yyyy-mm-dd")))</f>
        <v/>
      </c>
      <c r="AB942">
        <f>AB941+IF($R942="",0,1)</f>
        <v/>
      </c>
      <c r="AC942">
        <f>IF($R942="","",$AB942)</f>
        <v/>
      </c>
    </row>
    <row r="943">
      <c r="O943">
        <f>941</f>
        <v/>
      </c>
      <c r="P943">
        <f>IF(TRIM('입력_구리근무자명단'!$A941&amp;"")&lt;&gt;"",TRIM('입력_구리근무자명단'!$A941&amp;""),P942)</f>
        <v/>
      </c>
      <c r="Q943">
        <f>'입력_구리근무자명단'!$B941&amp;""</f>
        <v/>
      </c>
      <c r="R943">
        <f>IF($E$2="","",TRIM(INDEX('입력_구리근무자명단'!$A941:$ZZ941,1,$E$2+IF($G$2="확정",1,0))&amp;""))</f>
        <v/>
      </c>
      <c r="S943">
        <f>IF($R943="","",IF(INDEX('입력_구리근무자명단'!$A941:$ZZ941,1,$E$2+2)&amp;""="",급여기준월,IF(ISNUMBER(INDEX('입력_구리근무자명단'!$A941:$ZZ941,1,$E$2+2)),INDEX('입력_구리근무자명단'!$A941:$ZZ941,1,$E$2+2),IFERROR(DATE(VALUE(LEFT(INDEX('입력_구리근무자명단'!$A941:$ZZ941,1,$E$2+2),4)),VALUE(MID(INDEX('입력_구리근무자명단'!$A941:$ZZ941,1,$E$2+2),6,2)),VALUE(MID(INDEX('입력_구리근무자명단'!$A941:$ZZ941,1,$E$2+2),9,2))),-1))))</f>
        <v/>
      </c>
      <c r="T943">
        <f>IF($R943="","",IF(INDEX('입력_구리근무자명단'!$A941:$ZZ941,1,$E$2+3)&amp;""="",EOMONTH(급여기준월,0),IF(ISNUMBER(INDEX('입력_구리근무자명단'!$A941:$ZZ941,1,$E$2+3)),INDEX('입력_구리근무자명단'!$A941:$ZZ941,1,$E$2+3),IFERROR(DATE(VALUE(LEFT(INDEX('입력_구리근무자명단'!$A941:$ZZ941,1,$E$2+3),4)),VALUE(MID(INDEX('입력_구리근무자명단'!$A941:$ZZ941,1,$E$2+3),6,2)),VALUE(MID(INDEX('입력_구리근무자명단'!$A941:$ZZ941,1,$E$2+3),9,2))),-1))))</f>
        <v/>
      </c>
      <c r="U943">
        <f>IF($R943="","",IF(OR($S943&lt;0,$T943&lt;0),0,MAX(0,MIN($T943,EOMONTH(급여기준월,0))-MAX($S943,급여기준월)+1)))</f>
        <v/>
      </c>
      <c r="V943">
        <f>IF($R943="","",TRIM(INDEX('입력_구리근무자명단'!$A941:$ZZ941,1,$E$2+5)&amp;""))</f>
        <v/>
      </c>
      <c r="W943">
        <f>IF(ISNUMBER(SEARCH("구리독자",$V943)),"구리독자","")</f>
        <v/>
      </c>
      <c r="X943">
        <f>IF($R943="","",$R943&amp;"|"&amp;IF(OR($Q943="인턴",ISNUMBER(SEARCH("수련교육부",$P943))),"인턴",$P943))</f>
        <v/>
      </c>
      <c r="Y943">
        <f>IF($R943="","",IF(COUNTIF(명단표[이름|과],$X943)=1,"명단 일치",IF(AND(COUNTIF(명단표[이름|과],$X943)=0,COUNTIF(명단표[이름],$R943)=1),"명단 일치(이름만, 과 다름)",IF(COUNTIF(명단표[이름],$R943)=0,IF(COUNTIF(기본자료표[이름],$R943)&gt;0,"명단에 없음(기본자료에는 있음)","명단에 없음"),"동명이인 확인"))))</f>
        <v/>
      </c>
      <c r="Z943">
        <f>IF($R943="","",IF($S943&lt;0,"⚠"&amp;INDEX('입력_구리근무자명단'!$A941:$ZZ941,1,$E$2+2),TEXT($S943,"yyyy-mm-dd")))</f>
        <v/>
      </c>
      <c r="AA943">
        <f>IF($R943="","",IF($T943&lt;0,"⚠"&amp;INDEX('입력_구리근무자명단'!$A941:$ZZ941,1,$E$2+3),TEXT($T943,"yyyy-mm-dd")))</f>
        <v/>
      </c>
      <c r="AB943">
        <f>AB942+IF($R943="",0,1)</f>
        <v/>
      </c>
      <c r="AC943">
        <f>IF($R943="","",$AB943)</f>
        <v/>
      </c>
    </row>
    <row r="944">
      <c r="O944">
        <f>942</f>
        <v/>
      </c>
      <c r="P944">
        <f>IF(TRIM('입력_구리근무자명단'!$A942&amp;"")&lt;&gt;"",TRIM('입력_구리근무자명단'!$A942&amp;""),P943)</f>
        <v/>
      </c>
      <c r="Q944">
        <f>'입력_구리근무자명단'!$B942&amp;""</f>
        <v/>
      </c>
      <c r="R944">
        <f>IF($E$2="","",TRIM(INDEX('입력_구리근무자명단'!$A942:$ZZ942,1,$E$2+IF($G$2="확정",1,0))&amp;""))</f>
        <v/>
      </c>
      <c r="S944">
        <f>IF($R944="","",IF(INDEX('입력_구리근무자명단'!$A942:$ZZ942,1,$E$2+2)&amp;""="",급여기준월,IF(ISNUMBER(INDEX('입력_구리근무자명단'!$A942:$ZZ942,1,$E$2+2)),INDEX('입력_구리근무자명단'!$A942:$ZZ942,1,$E$2+2),IFERROR(DATE(VALUE(LEFT(INDEX('입력_구리근무자명단'!$A942:$ZZ942,1,$E$2+2),4)),VALUE(MID(INDEX('입력_구리근무자명단'!$A942:$ZZ942,1,$E$2+2),6,2)),VALUE(MID(INDEX('입력_구리근무자명단'!$A942:$ZZ942,1,$E$2+2),9,2))),-1))))</f>
        <v/>
      </c>
      <c r="T944">
        <f>IF($R944="","",IF(INDEX('입력_구리근무자명단'!$A942:$ZZ942,1,$E$2+3)&amp;""="",EOMONTH(급여기준월,0),IF(ISNUMBER(INDEX('입력_구리근무자명단'!$A942:$ZZ942,1,$E$2+3)),INDEX('입력_구리근무자명단'!$A942:$ZZ942,1,$E$2+3),IFERROR(DATE(VALUE(LEFT(INDEX('입력_구리근무자명단'!$A942:$ZZ942,1,$E$2+3),4)),VALUE(MID(INDEX('입력_구리근무자명단'!$A942:$ZZ942,1,$E$2+3),6,2)),VALUE(MID(INDEX('입력_구리근무자명단'!$A942:$ZZ942,1,$E$2+3),9,2))),-1))))</f>
        <v/>
      </c>
      <c r="U944">
        <f>IF($R944="","",IF(OR($S944&lt;0,$T944&lt;0),0,MAX(0,MIN($T944,EOMONTH(급여기준월,0))-MAX($S944,급여기준월)+1)))</f>
        <v/>
      </c>
      <c r="V944">
        <f>IF($R944="","",TRIM(INDEX('입력_구리근무자명단'!$A942:$ZZ942,1,$E$2+5)&amp;""))</f>
        <v/>
      </c>
      <c r="W944">
        <f>IF(ISNUMBER(SEARCH("구리독자",$V944)),"구리독자","")</f>
        <v/>
      </c>
      <c r="X944">
        <f>IF($R944="","",$R944&amp;"|"&amp;IF(OR($Q944="인턴",ISNUMBER(SEARCH("수련교육부",$P944))),"인턴",$P944))</f>
        <v/>
      </c>
      <c r="Y944">
        <f>IF($R944="","",IF(COUNTIF(명단표[이름|과],$X944)=1,"명단 일치",IF(AND(COUNTIF(명단표[이름|과],$X944)=0,COUNTIF(명단표[이름],$R944)=1),"명단 일치(이름만, 과 다름)",IF(COUNTIF(명단표[이름],$R944)=0,IF(COUNTIF(기본자료표[이름],$R944)&gt;0,"명단에 없음(기본자료에는 있음)","명단에 없음"),"동명이인 확인"))))</f>
        <v/>
      </c>
      <c r="Z944">
        <f>IF($R944="","",IF($S944&lt;0,"⚠"&amp;INDEX('입력_구리근무자명단'!$A942:$ZZ942,1,$E$2+2),TEXT($S944,"yyyy-mm-dd")))</f>
        <v/>
      </c>
      <c r="AA944">
        <f>IF($R944="","",IF($T944&lt;0,"⚠"&amp;INDEX('입력_구리근무자명단'!$A942:$ZZ942,1,$E$2+3),TEXT($T944,"yyyy-mm-dd")))</f>
        <v/>
      </c>
      <c r="AB944">
        <f>AB943+IF($R944="",0,1)</f>
        <v/>
      </c>
      <c r="AC944">
        <f>IF($R944="","",$AB944)</f>
        <v/>
      </c>
    </row>
    <row r="945">
      <c r="O945">
        <f>943</f>
        <v/>
      </c>
      <c r="P945">
        <f>IF(TRIM('입력_구리근무자명단'!$A943&amp;"")&lt;&gt;"",TRIM('입력_구리근무자명단'!$A943&amp;""),P944)</f>
        <v/>
      </c>
      <c r="Q945">
        <f>'입력_구리근무자명단'!$B943&amp;""</f>
        <v/>
      </c>
      <c r="R945">
        <f>IF($E$2="","",TRIM(INDEX('입력_구리근무자명단'!$A943:$ZZ943,1,$E$2+IF($G$2="확정",1,0))&amp;""))</f>
        <v/>
      </c>
      <c r="S945">
        <f>IF($R945="","",IF(INDEX('입력_구리근무자명단'!$A943:$ZZ943,1,$E$2+2)&amp;""="",급여기준월,IF(ISNUMBER(INDEX('입력_구리근무자명단'!$A943:$ZZ943,1,$E$2+2)),INDEX('입력_구리근무자명단'!$A943:$ZZ943,1,$E$2+2),IFERROR(DATE(VALUE(LEFT(INDEX('입력_구리근무자명단'!$A943:$ZZ943,1,$E$2+2),4)),VALUE(MID(INDEX('입력_구리근무자명단'!$A943:$ZZ943,1,$E$2+2),6,2)),VALUE(MID(INDEX('입력_구리근무자명단'!$A943:$ZZ943,1,$E$2+2),9,2))),-1))))</f>
        <v/>
      </c>
      <c r="T945">
        <f>IF($R945="","",IF(INDEX('입력_구리근무자명단'!$A943:$ZZ943,1,$E$2+3)&amp;""="",EOMONTH(급여기준월,0),IF(ISNUMBER(INDEX('입력_구리근무자명단'!$A943:$ZZ943,1,$E$2+3)),INDEX('입력_구리근무자명단'!$A943:$ZZ943,1,$E$2+3),IFERROR(DATE(VALUE(LEFT(INDEX('입력_구리근무자명단'!$A943:$ZZ943,1,$E$2+3),4)),VALUE(MID(INDEX('입력_구리근무자명단'!$A943:$ZZ943,1,$E$2+3),6,2)),VALUE(MID(INDEX('입력_구리근무자명단'!$A943:$ZZ943,1,$E$2+3),9,2))),-1))))</f>
        <v/>
      </c>
      <c r="U945">
        <f>IF($R945="","",IF(OR($S945&lt;0,$T945&lt;0),0,MAX(0,MIN($T945,EOMONTH(급여기준월,0))-MAX($S945,급여기준월)+1)))</f>
        <v/>
      </c>
      <c r="V945">
        <f>IF($R945="","",TRIM(INDEX('입력_구리근무자명단'!$A943:$ZZ943,1,$E$2+5)&amp;""))</f>
        <v/>
      </c>
      <c r="W945">
        <f>IF(ISNUMBER(SEARCH("구리독자",$V945)),"구리독자","")</f>
        <v/>
      </c>
      <c r="X945">
        <f>IF($R945="","",$R945&amp;"|"&amp;IF(OR($Q945="인턴",ISNUMBER(SEARCH("수련교육부",$P945))),"인턴",$P945))</f>
        <v/>
      </c>
      <c r="Y945">
        <f>IF($R945="","",IF(COUNTIF(명단표[이름|과],$X945)=1,"명단 일치",IF(AND(COUNTIF(명단표[이름|과],$X945)=0,COUNTIF(명단표[이름],$R945)=1),"명단 일치(이름만, 과 다름)",IF(COUNTIF(명단표[이름],$R945)=0,IF(COUNTIF(기본자료표[이름],$R945)&gt;0,"명단에 없음(기본자료에는 있음)","명단에 없음"),"동명이인 확인"))))</f>
        <v/>
      </c>
      <c r="Z945">
        <f>IF($R945="","",IF($S945&lt;0,"⚠"&amp;INDEX('입력_구리근무자명단'!$A943:$ZZ943,1,$E$2+2),TEXT($S945,"yyyy-mm-dd")))</f>
        <v/>
      </c>
      <c r="AA945">
        <f>IF($R945="","",IF($T945&lt;0,"⚠"&amp;INDEX('입력_구리근무자명단'!$A943:$ZZ943,1,$E$2+3),TEXT($T945,"yyyy-mm-dd")))</f>
        <v/>
      </c>
      <c r="AB945">
        <f>AB944+IF($R945="",0,1)</f>
        <v/>
      </c>
      <c r="AC945">
        <f>IF($R945="","",$AB945)</f>
        <v/>
      </c>
    </row>
    <row r="946">
      <c r="O946">
        <f>944</f>
        <v/>
      </c>
      <c r="P946">
        <f>IF(TRIM('입력_구리근무자명단'!$A944&amp;"")&lt;&gt;"",TRIM('입력_구리근무자명단'!$A944&amp;""),P945)</f>
        <v/>
      </c>
      <c r="Q946">
        <f>'입력_구리근무자명단'!$B944&amp;""</f>
        <v/>
      </c>
      <c r="R946">
        <f>IF($E$2="","",TRIM(INDEX('입력_구리근무자명단'!$A944:$ZZ944,1,$E$2+IF($G$2="확정",1,0))&amp;""))</f>
        <v/>
      </c>
      <c r="S946">
        <f>IF($R946="","",IF(INDEX('입력_구리근무자명단'!$A944:$ZZ944,1,$E$2+2)&amp;""="",급여기준월,IF(ISNUMBER(INDEX('입력_구리근무자명단'!$A944:$ZZ944,1,$E$2+2)),INDEX('입력_구리근무자명단'!$A944:$ZZ944,1,$E$2+2),IFERROR(DATE(VALUE(LEFT(INDEX('입력_구리근무자명단'!$A944:$ZZ944,1,$E$2+2),4)),VALUE(MID(INDEX('입력_구리근무자명단'!$A944:$ZZ944,1,$E$2+2),6,2)),VALUE(MID(INDEX('입력_구리근무자명단'!$A944:$ZZ944,1,$E$2+2),9,2))),-1))))</f>
        <v/>
      </c>
      <c r="T946">
        <f>IF($R946="","",IF(INDEX('입력_구리근무자명단'!$A944:$ZZ944,1,$E$2+3)&amp;""="",EOMONTH(급여기준월,0),IF(ISNUMBER(INDEX('입력_구리근무자명단'!$A944:$ZZ944,1,$E$2+3)),INDEX('입력_구리근무자명단'!$A944:$ZZ944,1,$E$2+3),IFERROR(DATE(VALUE(LEFT(INDEX('입력_구리근무자명단'!$A944:$ZZ944,1,$E$2+3),4)),VALUE(MID(INDEX('입력_구리근무자명단'!$A944:$ZZ944,1,$E$2+3),6,2)),VALUE(MID(INDEX('입력_구리근무자명단'!$A944:$ZZ944,1,$E$2+3),9,2))),-1))))</f>
        <v/>
      </c>
      <c r="U946">
        <f>IF($R946="","",IF(OR($S946&lt;0,$T946&lt;0),0,MAX(0,MIN($T946,EOMONTH(급여기준월,0))-MAX($S946,급여기준월)+1)))</f>
        <v/>
      </c>
      <c r="V946">
        <f>IF($R946="","",TRIM(INDEX('입력_구리근무자명단'!$A944:$ZZ944,1,$E$2+5)&amp;""))</f>
        <v/>
      </c>
      <c r="W946">
        <f>IF(ISNUMBER(SEARCH("구리독자",$V946)),"구리독자","")</f>
        <v/>
      </c>
      <c r="X946">
        <f>IF($R946="","",$R946&amp;"|"&amp;IF(OR($Q946="인턴",ISNUMBER(SEARCH("수련교육부",$P946))),"인턴",$P946))</f>
        <v/>
      </c>
      <c r="Y946">
        <f>IF($R946="","",IF(COUNTIF(명단표[이름|과],$X946)=1,"명단 일치",IF(AND(COUNTIF(명단표[이름|과],$X946)=0,COUNTIF(명단표[이름],$R946)=1),"명단 일치(이름만, 과 다름)",IF(COUNTIF(명단표[이름],$R946)=0,IF(COUNTIF(기본자료표[이름],$R946)&gt;0,"명단에 없음(기본자료에는 있음)","명단에 없음"),"동명이인 확인"))))</f>
        <v/>
      </c>
      <c r="Z946">
        <f>IF($R946="","",IF($S946&lt;0,"⚠"&amp;INDEX('입력_구리근무자명단'!$A944:$ZZ944,1,$E$2+2),TEXT($S946,"yyyy-mm-dd")))</f>
        <v/>
      </c>
      <c r="AA946">
        <f>IF($R946="","",IF($T946&lt;0,"⚠"&amp;INDEX('입력_구리근무자명단'!$A944:$ZZ944,1,$E$2+3),TEXT($T946,"yyyy-mm-dd")))</f>
        <v/>
      </c>
      <c r="AB946">
        <f>AB945+IF($R946="",0,1)</f>
        <v/>
      </c>
      <c r="AC946">
        <f>IF($R946="","",$AB946)</f>
        <v/>
      </c>
    </row>
    <row r="947">
      <c r="O947">
        <f>945</f>
        <v/>
      </c>
      <c r="P947">
        <f>IF(TRIM('입력_구리근무자명단'!$A945&amp;"")&lt;&gt;"",TRIM('입력_구리근무자명단'!$A945&amp;""),P946)</f>
        <v/>
      </c>
      <c r="Q947">
        <f>'입력_구리근무자명단'!$B945&amp;""</f>
        <v/>
      </c>
      <c r="R947">
        <f>IF($E$2="","",TRIM(INDEX('입력_구리근무자명단'!$A945:$ZZ945,1,$E$2+IF($G$2="확정",1,0))&amp;""))</f>
        <v/>
      </c>
      <c r="S947">
        <f>IF($R947="","",IF(INDEX('입력_구리근무자명단'!$A945:$ZZ945,1,$E$2+2)&amp;""="",급여기준월,IF(ISNUMBER(INDEX('입력_구리근무자명단'!$A945:$ZZ945,1,$E$2+2)),INDEX('입력_구리근무자명단'!$A945:$ZZ945,1,$E$2+2),IFERROR(DATE(VALUE(LEFT(INDEX('입력_구리근무자명단'!$A945:$ZZ945,1,$E$2+2),4)),VALUE(MID(INDEX('입력_구리근무자명단'!$A945:$ZZ945,1,$E$2+2),6,2)),VALUE(MID(INDEX('입력_구리근무자명단'!$A945:$ZZ945,1,$E$2+2),9,2))),-1))))</f>
        <v/>
      </c>
      <c r="T947">
        <f>IF($R947="","",IF(INDEX('입력_구리근무자명단'!$A945:$ZZ945,1,$E$2+3)&amp;""="",EOMONTH(급여기준월,0),IF(ISNUMBER(INDEX('입력_구리근무자명단'!$A945:$ZZ945,1,$E$2+3)),INDEX('입력_구리근무자명단'!$A945:$ZZ945,1,$E$2+3),IFERROR(DATE(VALUE(LEFT(INDEX('입력_구리근무자명단'!$A945:$ZZ945,1,$E$2+3),4)),VALUE(MID(INDEX('입력_구리근무자명단'!$A945:$ZZ945,1,$E$2+3),6,2)),VALUE(MID(INDEX('입력_구리근무자명단'!$A945:$ZZ945,1,$E$2+3),9,2))),-1))))</f>
        <v/>
      </c>
      <c r="U947">
        <f>IF($R947="","",IF(OR($S947&lt;0,$T947&lt;0),0,MAX(0,MIN($T947,EOMONTH(급여기준월,0))-MAX($S947,급여기준월)+1)))</f>
        <v/>
      </c>
      <c r="V947">
        <f>IF($R947="","",TRIM(INDEX('입력_구리근무자명단'!$A945:$ZZ945,1,$E$2+5)&amp;""))</f>
        <v/>
      </c>
      <c r="W947">
        <f>IF(ISNUMBER(SEARCH("구리독자",$V947)),"구리독자","")</f>
        <v/>
      </c>
      <c r="X947">
        <f>IF($R947="","",$R947&amp;"|"&amp;IF(OR($Q947="인턴",ISNUMBER(SEARCH("수련교육부",$P947))),"인턴",$P947))</f>
        <v/>
      </c>
      <c r="Y947">
        <f>IF($R947="","",IF(COUNTIF(명단표[이름|과],$X947)=1,"명단 일치",IF(AND(COUNTIF(명단표[이름|과],$X947)=0,COUNTIF(명단표[이름],$R947)=1),"명단 일치(이름만, 과 다름)",IF(COUNTIF(명단표[이름],$R947)=0,IF(COUNTIF(기본자료표[이름],$R947)&gt;0,"명단에 없음(기본자료에는 있음)","명단에 없음"),"동명이인 확인"))))</f>
        <v/>
      </c>
      <c r="Z947">
        <f>IF($R947="","",IF($S947&lt;0,"⚠"&amp;INDEX('입력_구리근무자명단'!$A945:$ZZ945,1,$E$2+2),TEXT($S947,"yyyy-mm-dd")))</f>
        <v/>
      </c>
      <c r="AA947">
        <f>IF($R947="","",IF($T947&lt;0,"⚠"&amp;INDEX('입력_구리근무자명단'!$A945:$ZZ945,1,$E$2+3),TEXT($T947,"yyyy-mm-dd")))</f>
        <v/>
      </c>
      <c r="AB947">
        <f>AB946+IF($R947="",0,1)</f>
        <v/>
      </c>
      <c r="AC947">
        <f>IF($R947="","",$AB947)</f>
        <v/>
      </c>
    </row>
    <row r="948">
      <c r="O948">
        <f>946</f>
        <v/>
      </c>
      <c r="P948">
        <f>IF(TRIM('입력_구리근무자명단'!$A946&amp;"")&lt;&gt;"",TRIM('입력_구리근무자명단'!$A946&amp;""),P947)</f>
        <v/>
      </c>
      <c r="Q948">
        <f>'입력_구리근무자명단'!$B946&amp;""</f>
        <v/>
      </c>
      <c r="R948">
        <f>IF($E$2="","",TRIM(INDEX('입력_구리근무자명단'!$A946:$ZZ946,1,$E$2+IF($G$2="확정",1,0))&amp;""))</f>
        <v/>
      </c>
      <c r="S948">
        <f>IF($R948="","",IF(INDEX('입력_구리근무자명단'!$A946:$ZZ946,1,$E$2+2)&amp;""="",급여기준월,IF(ISNUMBER(INDEX('입력_구리근무자명단'!$A946:$ZZ946,1,$E$2+2)),INDEX('입력_구리근무자명단'!$A946:$ZZ946,1,$E$2+2),IFERROR(DATE(VALUE(LEFT(INDEX('입력_구리근무자명단'!$A946:$ZZ946,1,$E$2+2),4)),VALUE(MID(INDEX('입력_구리근무자명단'!$A946:$ZZ946,1,$E$2+2),6,2)),VALUE(MID(INDEX('입력_구리근무자명단'!$A946:$ZZ946,1,$E$2+2),9,2))),-1))))</f>
        <v/>
      </c>
      <c r="T948">
        <f>IF($R948="","",IF(INDEX('입력_구리근무자명단'!$A946:$ZZ946,1,$E$2+3)&amp;""="",EOMONTH(급여기준월,0),IF(ISNUMBER(INDEX('입력_구리근무자명단'!$A946:$ZZ946,1,$E$2+3)),INDEX('입력_구리근무자명단'!$A946:$ZZ946,1,$E$2+3),IFERROR(DATE(VALUE(LEFT(INDEX('입력_구리근무자명단'!$A946:$ZZ946,1,$E$2+3),4)),VALUE(MID(INDEX('입력_구리근무자명단'!$A946:$ZZ946,1,$E$2+3),6,2)),VALUE(MID(INDEX('입력_구리근무자명단'!$A946:$ZZ946,1,$E$2+3),9,2))),-1))))</f>
        <v/>
      </c>
      <c r="U948">
        <f>IF($R948="","",IF(OR($S948&lt;0,$T948&lt;0),0,MAX(0,MIN($T948,EOMONTH(급여기준월,0))-MAX($S948,급여기준월)+1)))</f>
        <v/>
      </c>
      <c r="V948">
        <f>IF($R948="","",TRIM(INDEX('입력_구리근무자명단'!$A946:$ZZ946,1,$E$2+5)&amp;""))</f>
        <v/>
      </c>
      <c r="W948">
        <f>IF(ISNUMBER(SEARCH("구리독자",$V948)),"구리독자","")</f>
        <v/>
      </c>
      <c r="X948">
        <f>IF($R948="","",$R948&amp;"|"&amp;IF(OR($Q948="인턴",ISNUMBER(SEARCH("수련교육부",$P948))),"인턴",$P948))</f>
        <v/>
      </c>
      <c r="Y948">
        <f>IF($R948="","",IF(COUNTIF(명단표[이름|과],$X948)=1,"명단 일치",IF(AND(COUNTIF(명단표[이름|과],$X948)=0,COUNTIF(명단표[이름],$R948)=1),"명단 일치(이름만, 과 다름)",IF(COUNTIF(명단표[이름],$R948)=0,IF(COUNTIF(기본자료표[이름],$R948)&gt;0,"명단에 없음(기본자료에는 있음)","명단에 없음"),"동명이인 확인"))))</f>
        <v/>
      </c>
      <c r="Z948">
        <f>IF($R948="","",IF($S948&lt;0,"⚠"&amp;INDEX('입력_구리근무자명단'!$A946:$ZZ946,1,$E$2+2),TEXT($S948,"yyyy-mm-dd")))</f>
        <v/>
      </c>
      <c r="AA948">
        <f>IF($R948="","",IF($T948&lt;0,"⚠"&amp;INDEX('입력_구리근무자명단'!$A946:$ZZ946,1,$E$2+3),TEXT($T948,"yyyy-mm-dd")))</f>
        <v/>
      </c>
      <c r="AB948">
        <f>AB947+IF($R948="",0,1)</f>
        <v/>
      </c>
      <c r="AC948">
        <f>IF($R948="","",$AB948)</f>
        <v/>
      </c>
    </row>
    <row r="949">
      <c r="O949">
        <f>947</f>
        <v/>
      </c>
      <c r="P949">
        <f>IF(TRIM('입력_구리근무자명단'!$A947&amp;"")&lt;&gt;"",TRIM('입력_구리근무자명단'!$A947&amp;""),P948)</f>
        <v/>
      </c>
      <c r="Q949">
        <f>'입력_구리근무자명단'!$B947&amp;""</f>
        <v/>
      </c>
      <c r="R949">
        <f>IF($E$2="","",TRIM(INDEX('입력_구리근무자명단'!$A947:$ZZ947,1,$E$2+IF($G$2="확정",1,0))&amp;""))</f>
        <v/>
      </c>
      <c r="S949">
        <f>IF($R949="","",IF(INDEX('입력_구리근무자명단'!$A947:$ZZ947,1,$E$2+2)&amp;""="",급여기준월,IF(ISNUMBER(INDEX('입력_구리근무자명단'!$A947:$ZZ947,1,$E$2+2)),INDEX('입력_구리근무자명단'!$A947:$ZZ947,1,$E$2+2),IFERROR(DATE(VALUE(LEFT(INDEX('입력_구리근무자명단'!$A947:$ZZ947,1,$E$2+2),4)),VALUE(MID(INDEX('입력_구리근무자명단'!$A947:$ZZ947,1,$E$2+2),6,2)),VALUE(MID(INDEX('입력_구리근무자명단'!$A947:$ZZ947,1,$E$2+2),9,2))),-1))))</f>
        <v/>
      </c>
      <c r="T949">
        <f>IF($R949="","",IF(INDEX('입력_구리근무자명단'!$A947:$ZZ947,1,$E$2+3)&amp;""="",EOMONTH(급여기준월,0),IF(ISNUMBER(INDEX('입력_구리근무자명단'!$A947:$ZZ947,1,$E$2+3)),INDEX('입력_구리근무자명단'!$A947:$ZZ947,1,$E$2+3),IFERROR(DATE(VALUE(LEFT(INDEX('입력_구리근무자명단'!$A947:$ZZ947,1,$E$2+3),4)),VALUE(MID(INDEX('입력_구리근무자명단'!$A947:$ZZ947,1,$E$2+3),6,2)),VALUE(MID(INDEX('입력_구리근무자명단'!$A947:$ZZ947,1,$E$2+3),9,2))),-1))))</f>
        <v/>
      </c>
      <c r="U949">
        <f>IF($R949="","",IF(OR($S949&lt;0,$T949&lt;0),0,MAX(0,MIN($T949,EOMONTH(급여기준월,0))-MAX($S949,급여기준월)+1)))</f>
        <v/>
      </c>
      <c r="V949">
        <f>IF($R949="","",TRIM(INDEX('입력_구리근무자명단'!$A947:$ZZ947,1,$E$2+5)&amp;""))</f>
        <v/>
      </c>
      <c r="W949">
        <f>IF(ISNUMBER(SEARCH("구리독자",$V949)),"구리독자","")</f>
        <v/>
      </c>
      <c r="X949">
        <f>IF($R949="","",$R949&amp;"|"&amp;IF(OR($Q949="인턴",ISNUMBER(SEARCH("수련교육부",$P949))),"인턴",$P949))</f>
        <v/>
      </c>
      <c r="Y949">
        <f>IF($R949="","",IF(COUNTIF(명단표[이름|과],$X949)=1,"명단 일치",IF(AND(COUNTIF(명단표[이름|과],$X949)=0,COUNTIF(명단표[이름],$R949)=1),"명단 일치(이름만, 과 다름)",IF(COUNTIF(명단표[이름],$R949)=0,IF(COUNTIF(기본자료표[이름],$R949)&gt;0,"명단에 없음(기본자료에는 있음)","명단에 없음"),"동명이인 확인"))))</f>
        <v/>
      </c>
      <c r="Z949">
        <f>IF($R949="","",IF($S949&lt;0,"⚠"&amp;INDEX('입력_구리근무자명단'!$A947:$ZZ947,1,$E$2+2),TEXT($S949,"yyyy-mm-dd")))</f>
        <v/>
      </c>
      <c r="AA949">
        <f>IF($R949="","",IF($T949&lt;0,"⚠"&amp;INDEX('입력_구리근무자명단'!$A947:$ZZ947,1,$E$2+3),TEXT($T949,"yyyy-mm-dd")))</f>
        <v/>
      </c>
      <c r="AB949">
        <f>AB948+IF($R949="",0,1)</f>
        <v/>
      </c>
      <c r="AC949">
        <f>IF($R949="","",$AB949)</f>
        <v/>
      </c>
    </row>
    <row r="950">
      <c r="O950">
        <f>948</f>
        <v/>
      </c>
      <c r="P950">
        <f>IF(TRIM('입력_구리근무자명단'!$A948&amp;"")&lt;&gt;"",TRIM('입력_구리근무자명단'!$A948&amp;""),P949)</f>
        <v/>
      </c>
      <c r="Q950">
        <f>'입력_구리근무자명단'!$B948&amp;""</f>
        <v/>
      </c>
      <c r="R950">
        <f>IF($E$2="","",TRIM(INDEX('입력_구리근무자명단'!$A948:$ZZ948,1,$E$2+IF($G$2="확정",1,0))&amp;""))</f>
        <v/>
      </c>
      <c r="S950">
        <f>IF($R950="","",IF(INDEX('입력_구리근무자명단'!$A948:$ZZ948,1,$E$2+2)&amp;""="",급여기준월,IF(ISNUMBER(INDEX('입력_구리근무자명단'!$A948:$ZZ948,1,$E$2+2)),INDEX('입력_구리근무자명단'!$A948:$ZZ948,1,$E$2+2),IFERROR(DATE(VALUE(LEFT(INDEX('입력_구리근무자명단'!$A948:$ZZ948,1,$E$2+2),4)),VALUE(MID(INDEX('입력_구리근무자명단'!$A948:$ZZ948,1,$E$2+2),6,2)),VALUE(MID(INDEX('입력_구리근무자명단'!$A948:$ZZ948,1,$E$2+2),9,2))),-1))))</f>
        <v/>
      </c>
      <c r="T950">
        <f>IF($R950="","",IF(INDEX('입력_구리근무자명단'!$A948:$ZZ948,1,$E$2+3)&amp;""="",EOMONTH(급여기준월,0),IF(ISNUMBER(INDEX('입력_구리근무자명단'!$A948:$ZZ948,1,$E$2+3)),INDEX('입력_구리근무자명단'!$A948:$ZZ948,1,$E$2+3),IFERROR(DATE(VALUE(LEFT(INDEX('입력_구리근무자명단'!$A948:$ZZ948,1,$E$2+3),4)),VALUE(MID(INDEX('입력_구리근무자명단'!$A948:$ZZ948,1,$E$2+3),6,2)),VALUE(MID(INDEX('입력_구리근무자명단'!$A948:$ZZ948,1,$E$2+3),9,2))),-1))))</f>
        <v/>
      </c>
      <c r="U950">
        <f>IF($R950="","",IF(OR($S950&lt;0,$T950&lt;0),0,MAX(0,MIN($T950,EOMONTH(급여기준월,0))-MAX($S950,급여기준월)+1)))</f>
        <v/>
      </c>
      <c r="V950">
        <f>IF($R950="","",TRIM(INDEX('입력_구리근무자명단'!$A948:$ZZ948,1,$E$2+5)&amp;""))</f>
        <v/>
      </c>
      <c r="W950">
        <f>IF(ISNUMBER(SEARCH("구리독자",$V950)),"구리독자","")</f>
        <v/>
      </c>
      <c r="X950">
        <f>IF($R950="","",$R950&amp;"|"&amp;IF(OR($Q950="인턴",ISNUMBER(SEARCH("수련교육부",$P950))),"인턴",$P950))</f>
        <v/>
      </c>
      <c r="Y950">
        <f>IF($R950="","",IF(COUNTIF(명단표[이름|과],$X950)=1,"명단 일치",IF(AND(COUNTIF(명단표[이름|과],$X950)=0,COUNTIF(명단표[이름],$R950)=1),"명단 일치(이름만, 과 다름)",IF(COUNTIF(명단표[이름],$R950)=0,IF(COUNTIF(기본자료표[이름],$R950)&gt;0,"명단에 없음(기본자료에는 있음)","명단에 없음"),"동명이인 확인"))))</f>
        <v/>
      </c>
      <c r="Z950">
        <f>IF($R950="","",IF($S950&lt;0,"⚠"&amp;INDEX('입력_구리근무자명단'!$A948:$ZZ948,1,$E$2+2),TEXT($S950,"yyyy-mm-dd")))</f>
        <v/>
      </c>
      <c r="AA950">
        <f>IF($R950="","",IF($T950&lt;0,"⚠"&amp;INDEX('입력_구리근무자명단'!$A948:$ZZ948,1,$E$2+3),TEXT($T950,"yyyy-mm-dd")))</f>
        <v/>
      </c>
      <c r="AB950">
        <f>AB949+IF($R950="",0,1)</f>
        <v/>
      </c>
      <c r="AC950">
        <f>IF($R950="","",$AB950)</f>
        <v/>
      </c>
    </row>
    <row r="951">
      <c r="O951">
        <f>949</f>
        <v/>
      </c>
      <c r="P951">
        <f>IF(TRIM('입력_구리근무자명단'!$A949&amp;"")&lt;&gt;"",TRIM('입력_구리근무자명단'!$A949&amp;""),P950)</f>
        <v/>
      </c>
      <c r="Q951">
        <f>'입력_구리근무자명단'!$B949&amp;""</f>
        <v/>
      </c>
      <c r="R951">
        <f>IF($E$2="","",TRIM(INDEX('입력_구리근무자명단'!$A949:$ZZ949,1,$E$2+IF($G$2="확정",1,0))&amp;""))</f>
        <v/>
      </c>
      <c r="S951">
        <f>IF($R951="","",IF(INDEX('입력_구리근무자명단'!$A949:$ZZ949,1,$E$2+2)&amp;""="",급여기준월,IF(ISNUMBER(INDEX('입력_구리근무자명단'!$A949:$ZZ949,1,$E$2+2)),INDEX('입력_구리근무자명단'!$A949:$ZZ949,1,$E$2+2),IFERROR(DATE(VALUE(LEFT(INDEX('입력_구리근무자명단'!$A949:$ZZ949,1,$E$2+2),4)),VALUE(MID(INDEX('입력_구리근무자명단'!$A949:$ZZ949,1,$E$2+2),6,2)),VALUE(MID(INDEX('입력_구리근무자명단'!$A949:$ZZ949,1,$E$2+2),9,2))),-1))))</f>
        <v/>
      </c>
      <c r="T951">
        <f>IF($R951="","",IF(INDEX('입력_구리근무자명단'!$A949:$ZZ949,1,$E$2+3)&amp;""="",EOMONTH(급여기준월,0),IF(ISNUMBER(INDEX('입력_구리근무자명단'!$A949:$ZZ949,1,$E$2+3)),INDEX('입력_구리근무자명단'!$A949:$ZZ949,1,$E$2+3),IFERROR(DATE(VALUE(LEFT(INDEX('입력_구리근무자명단'!$A949:$ZZ949,1,$E$2+3),4)),VALUE(MID(INDEX('입력_구리근무자명단'!$A949:$ZZ949,1,$E$2+3),6,2)),VALUE(MID(INDEX('입력_구리근무자명단'!$A949:$ZZ949,1,$E$2+3),9,2))),-1))))</f>
        <v/>
      </c>
      <c r="U951">
        <f>IF($R951="","",IF(OR($S951&lt;0,$T951&lt;0),0,MAX(0,MIN($T951,EOMONTH(급여기준월,0))-MAX($S951,급여기준월)+1)))</f>
        <v/>
      </c>
      <c r="V951">
        <f>IF($R951="","",TRIM(INDEX('입력_구리근무자명단'!$A949:$ZZ949,1,$E$2+5)&amp;""))</f>
        <v/>
      </c>
      <c r="W951">
        <f>IF(ISNUMBER(SEARCH("구리독자",$V951)),"구리독자","")</f>
        <v/>
      </c>
      <c r="X951">
        <f>IF($R951="","",$R951&amp;"|"&amp;IF(OR($Q951="인턴",ISNUMBER(SEARCH("수련교육부",$P951))),"인턴",$P951))</f>
        <v/>
      </c>
      <c r="Y951">
        <f>IF($R951="","",IF(COUNTIF(명단표[이름|과],$X951)=1,"명단 일치",IF(AND(COUNTIF(명단표[이름|과],$X951)=0,COUNTIF(명단표[이름],$R951)=1),"명단 일치(이름만, 과 다름)",IF(COUNTIF(명단표[이름],$R951)=0,IF(COUNTIF(기본자료표[이름],$R951)&gt;0,"명단에 없음(기본자료에는 있음)","명단에 없음"),"동명이인 확인"))))</f>
        <v/>
      </c>
      <c r="Z951">
        <f>IF($R951="","",IF($S951&lt;0,"⚠"&amp;INDEX('입력_구리근무자명단'!$A949:$ZZ949,1,$E$2+2),TEXT($S951,"yyyy-mm-dd")))</f>
        <v/>
      </c>
      <c r="AA951">
        <f>IF($R951="","",IF($T951&lt;0,"⚠"&amp;INDEX('입력_구리근무자명단'!$A949:$ZZ949,1,$E$2+3),TEXT($T951,"yyyy-mm-dd")))</f>
        <v/>
      </c>
      <c r="AB951">
        <f>AB950+IF($R951="",0,1)</f>
        <v/>
      </c>
      <c r="AC951">
        <f>IF($R951="","",$AB951)</f>
        <v/>
      </c>
    </row>
    <row r="952">
      <c r="O952">
        <f>950</f>
        <v/>
      </c>
      <c r="P952">
        <f>IF(TRIM('입력_구리근무자명단'!$A950&amp;"")&lt;&gt;"",TRIM('입력_구리근무자명단'!$A950&amp;""),P951)</f>
        <v/>
      </c>
      <c r="Q952">
        <f>'입력_구리근무자명단'!$B950&amp;""</f>
        <v/>
      </c>
      <c r="R952">
        <f>IF($E$2="","",TRIM(INDEX('입력_구리근무자명단'!$A950:$ZZ950,1,$E$2+IF($G$2="확정",1,0))&amp;""))</f>
        <v/>
      </c>
      <c r="S952">
        <f>IF($R952="","",IF(INDEX('입력_구리근무자명단'!$A950:$ZZ950,1,$E$2+2)&amp;""="",급여기준월,IF(ISNUMBER(INDEX('입력_구리근무자명단'!$A950:$ZZ950,1,$E$2+2)),INDEX('입력_구리근무자명단'!$A950:$ZZ950,1,$E$2+2),IFERROR(DATE(VALUE(LEFT(INDEX('입력_구리근무자명단'!$A950:$ZZ950,1,$E$2+2),4)),VALUE(MID(INDEX('입력_구리근무자명단'!$A950:$ZZ950,1,$E$2+2),6,2)),VALUE(MID(INDEX('입력_구리근무자명단'!$A950:$ZZ950,1,$E$2+2),9,2))),-1))))</f>
        <v/>
      </c>
      <c r="T952">
        <f>IF($R952="","",IF(INDEX('입력_구리근무자명단'!$A950:$ZZ950,1,$E$2+3)&amp;""="",EOMONTH(급여기준월,0),IF(ISNUMBER(INDEX('입력_구리근무자명단'!$A950:$ZZ950,1,$E$2+3)),INDEX('입력_구리근무자명단'!$A950:$ZZ950,1,$E$2+3),IFERROR(DATE(VALUE(LEFT(INDEX('입력_구리근무자명단'!$A950:$ZZ950,1,$E$2+3),4)),VALUE(MID(INDEX('입력_구리근무자명단'!$A950:$ZZ950,1,$E$2+3),6,2)),VALUE(MID(INDEX('입력_구리근무자명단'!$A950:$ZZ950,1,$E$2+3),9,2))),-1))))</f>
        <v/>
      </c>
      <c r="U952">
        <f>IF($R952="","",IF(OR($S952&lt;0,$T952&lt;0),0,MAX(0,MIN($T952,EOMONTH(급여기준월,0))-MAX($S952,급여기준월)+1)))</f>
        <v/>
      </c>
      <c r="V952">
        <f>IF($R952="","",TRIM(INDEX('입력_구리근무자명단'!$A950:$ZZ950,1,$E$2+5)&amp;""))</f>
        <v/>
      </c>
      <c r="W952">
        <f>IF(ISNUMBER(SEARCH("구리독자",$V952)),"구리독자","")</f>
        <v/>
      </c>
      <c r="X952">
        <f>IF($R952="","",$R952&amp;"|"&amp;IF(OR($Q952="인턴",ISNUMBER(SEARCH("수련교육부",$P952))),"인턴",$P952))</f>
        <v/>
      </c>
      <c r="Y952">
        <f>IF($R952="","",IF(COUNTIF(명단표[이름|과],$X952)=1,"명단 일치",IF(AND(COUNTIF(명단표[이름|과],$X952)=0,COUNTIF(명단표[이름],$R952)=1),"명단 일치(이름만, 과 다름)",IF(COUNTIF(명단표[이름],$R952)=0,IF(COUNTIF(기본자료표[이름],$R952)&gt;0,"명단에 없음(기본자료에는 있음)","명단에 없음"),"동명이인 확인"))))</f>
        <v/>
      </c>
      <c r="Z952">
        <f>IF($R952="","",IF($S952&lt;0,"⚠"&amp;INDEX('입력_구리근무자명단'!$A950:$ZZ950,1,$E$2+2),TEXT($S952,"yyyy-mm-dd")))</f>
        <v/>
      </c>
      <c r="AA952">
        <f>IF($R952="","",IF($T952&lt;0,"⚠"&amp;INDEX('입력_구리근무자명단'!$A950:$ZZ950,1,$E$2+3),TEXT($T952,"yyyy-mm-dd")))</f>
        <v/>
      </c>
      <c r="AB952">
        <f>AB951+IF($R952="",0,1)</f>
        <v/>
      </c>
      <c r="AC952">
        <f>IF($R952="","",$AB952)</f>
        <v/>
      </c>
    </row>
    <row r="953">
      <c r="O953">
        <f>951</f>
        <v/>
      </c>
      <c r="P953">
        <f>IF(TRIM('입력_구리근무자명단'!$A951&amp;"")&lt;&gt;"",TRIM('입력_구리근무자명단'!$A951&amp;""),P952)</f>
        <v/>
      </c>
      <c r="Q953">
        <f>'입력_구리근무자명단'!$B951&amp;""</f>
        <v/>
      </c>
      <c r="R953">
        <f>IF($E$2="","",TRIM(INDEX('입력_구리근무자명단'!$A951:$ZZ951,1,$E$2+IF($G$2="확정",1,0))&amp;""))</f>
        <v/>
      </c>
      <c r="S953">
        <f>IF($R953="","",IF(INDEX('입력_구리근무자명단'!$A951:$ZZ951,1,$E$2+2)&amp;""="",급여기준월,IF(ISNUMBER(INDEX('입력_구리근무자명단'!$A951:$ZZ951,1,$E$2+2)),INDEX('입력_구리근무자명단'!$A951:$ZZ951,1,$E$2+2),IFERROR(DATE(VALUE(LEFT(INDEX('입력_구리근무자명단'!$A951:$ZZ951,1,$E$2+2),4)),VALUE(MID(INDEX('입력_구리근무자명단'!$A951:$ZZ951,1,$E$2+2),6,2)),VALUE(MID(INDEX('입력_구리근무자명단'!$A951:$ZZ951,1,$E$2+2),9,2))),-1))))</f>
        <v/>
      </c>
      <c r="T953">
        <f>IF($R953="","",IF(INDEX('입력_구리근무자명단'!$A951:$ZZ951,1,$E$2+3)&amp;""="",EOMONTH(급여기준월,0),IF(ISNUMBER(INDEX('입력_구리근무자명단'!$A951:$ZZ951,1,$E$2+3)),INDEX('입력_구리근무자명단'!$A951:$ZZ951,1,$E$2+3),IFERROR(DATE(VALUE(LEFT(INDEX('입력_구리근무자명단'!$A951:$ZZ951,1,$E$2+3),4)),VALUE(MID(INDEX('입력_구리근무자명단'!$A951:$ZZ951,1,$E$2+3),6,2)),VALUE(MID(INDEX('입력_구리근무자명단'!$A951:$ZZ951,1,$E$2+3),9,2))),-1))))</f>
        <v/>
      </c>
      <c r="U953">
        <f>IF($R953="","",IF(OR($S953&lt;0,$T953&lt;0),0,MAX(0,MIN($T953,EOMONTH(급여기준월,0))-MAX($S953,급여기준월)+1)))</f>
        <v/>
      </c>
      <c r="V953">
        <f>IF($R953="","",TRIM(INDEX('입력_구리근무자명단'!$A951:$ZZ951,1,$E$2+5)&amp;""))</f>
        <v/>
      </c>
      <c r="W953">
        <f>IF(ISNUMBER(SEARCH("구리독자",$V953)),"구리독자","")</f>
        <v/>
      </c>
      <c r="X953">
        <f>IF($R953="","",$R953&amp;"|"&amp;IF(OR($Q953="인턴",ISNUMBER(SEARCH("수련교육부",$P953))),"인턴",$P953))</f>
        <v/>
      </c>
      <c r="Y953">
        <f>IF($R953="","",IF(COUNTIF(명단표[이름|과],$X953)=1,"명단 일치",IF(AND(COUNTIF(명단표[이름|과],$X953)=0,COUNTIF(명단표[이름],$R953)=1),"명단 일치(이름만, 과 다름)",IF(COUNTIF(명단표[이름],$R953)=0,IF(COUNTIF(기본자료표[이름],$R953)&gt;0,"명단에 없음(기본자료에는 있음)","명단에 없음"),"동명이인 확인"))))</f>
        <v/>
      </c>
      <c r="Z953">
        <f>IF($R953="","",IF($S953&lt;0,"⚠"&amp;INDEX('입력_구리근무자명단'!$A951:$ZZ951,1,$E$2+2),TEXT($S953,"yyyy-mm-dd")))</f>
        <v/>
      </c>
      <c r="AA953">
        <f>IF($R953="","",IF($T953&lt;0,"⚠"&amp;INDEX('입력_구리근무자명단'!$A951:$ZZ951,1,$E$2+3),TEXT($T953,"yyyy-mm-dd")))</f>
        <v/>
      </c>
      <c r="AB953">
        <f>AB952+IF($R953="",0,1)</f>
        <v/>
      </c>
      <c r="AC953">
        <f>IF($R953="","",$AB953)</f>
        <v/>
      </c>
    </row>
    <row r="954">
      <c r="O954">
        <f>952</f>
        <v/>
      </c>
      <c r="P954">
        <f>IF(TRIM('입력_구리근무자명단'!$A952&amp;"")&lt;&gt;"",TRIM('입력_구리근무자명단'!$A952&amp;""),P953)</f>
        <v/>
      </c>
      <c r="Q954">
        <f>'입력_구리근무자명단'!$B952&amp;""</f>
        <v/>
      </c>
      <c r="R954">
        <f>IF($E$2="","",TRIM(INDEX('입력_구리근무자명단'!$A952:$ZZ952,1,$E$2+IF($G$2="확정",1,0))&amp;""))</f>
        <v/>
      </c>
      <c r="S954">
        <f>IF($R954="","",IF(INDEX('입력_구리근무자명단'!$A952:$ZZ952,1,$E$2+2)&amp;""="",급여기준월,IF(ISNUMBER(INDEX('입력_구리근무자명단'!$A952:$ZZ952,1,$E$2+2)),INDEX('입력_구리근무자명단'!$A952:$ZZ952,1,$E$2+2),IFERROR(DATE(VALUE(LEFT(INDEX('입력_구리근무자명단'!$A952:$ZZ952,1,$E$2+2),4)),VALUE(MID(INDEX('입력_구리근무자명단'!$A952:$ZZ952,1,$E$2+2),6,2)),VALUE(MID(INDEX('입력_구리근무자명단'!$A952:$ZZ952,1,$E$2+2),9,2))),-1))))</f>
        <v/>
      </c>
      <c r="T954">
        <f>IF($R954="","",IF(INDEX('입력_구리근무자명단'!$A952:$ZZ952,1,$E$2+3)&amp;""="",EOMONTH(급여기준월,0),IF(ISNUMBER(INDEX('입력_구리근무자명단'!$A952:$ZZ952,1,$E$2+3)),INDEX('입력_구리근무자명단'!$A952:$ZZ952,1,$E$2+3),IFERROR(DATE(VALUE(LEFT(INDEX('입력_구리근무자명단'!$A952:$ZZ952,1,$E$2+3),4)),VALUE(MID(INDEX('입력_구리근무자명단'!$A952:$ZZ952,1,$E$2+3),6,2)),VALUE(MID(INDEX('입력_구리근무자명단'!$A952:$ZZ952,1,$E$2+3),9,2))),-1))))</f>
        <v/>
      </c>
      <c r="U954">
        <f>IF($R954="","",IF(OR($S954&lt;0,$T954&lt;0),0,MAX(0,MIN($T954,EOMONTH(급여기준월,0))-MAX($S954,급여기준월)+1)))</f>
        <v/>
      </c>
      <c r="V954">
        <f>IF($R954="","",TRIM(INDEX('입력_구리근무자명단'!$A952:$ZZ952,1,$E$2+5)&amp;""))</f>
        <v/>
      </c>
      <c r="W954">
        <f>IF(ISNUMBER(SEARCH("구리독자",$V954)),"구리독자","")</f>
        <v/>
      </c>
      <c r="X954">
        <f>IF($R954="","",$R954&amp;"|"&amp;IF(OR($Q954="인턴",ISNUMBER(SEARCH("수련교육부",$P954))),"인턴",$P954))</f>
        <v/>
      </c>
      <c r="Y954">
        <f>IF($R954="","",IF(COUNTIF(명단표[이름|과],$X954)=1,"명단 일치",IF(AND(COUNTIF(명단표[이름|과],$X954)=0,COUNTIF(명단표[이름],$R954)=1),"명단 일치(이름만, 과 다름)",IF(COUNTIF(명단표[이름],$R954)=0,IF(COUNTIF(기본자료표[이름],$R954)&gt;0,"명단에 없음(기본자료에는 있음)","명단에 없음"),"동명이인 확인"))))</f>
        <v/>
      </c>
      <c r="Z954">
        <f>IF($R954="","",IF($S954&lt;0,"⚠"&amp;INDEX('입력_구리근무자명단'!$A952:$ZZ952,1,$E$2+2),TEXT($S954,"yyyy-mm-dd")))</f>
        <v/>
      </c>
      <c r="AA954">
        <f>IF($R954="","",IF($T954&lt;0,"⚠"&amp;INDEX('입력_구리근무자명단'!$A952:$ZZ952,1,$E$2+3),TEXT($T954,"yyyy-mm-dd")))</f>
        <v/>
      </c>
      <c r="AB954">
        <f>AB953+IF($R954="",0,1)</f>
        <v/>
      </c>
      <c r="AC954">
        <f>IF($R954="","",$AB954)</f>
        <v/>
      </c>
    </row>
    <row r="955">
      <c r="O955">
        <f>953</f>
        <v/>
      </c>
      <c r="P955">
        <f>IF(TRIM('입력_구리근무자명단'!$A953&amp;"")&lt;&gt;"",TRIM('입력_구리근무자명단'!$A953&amp;""),P954)</f>
        <v/>
      </c>
      <c r="Q955">
        <f>'입력_구리근무자명단'!$B953&amp;""</f>
        <v/>
      </c>
      <c r="R955">
        <f>IF($E$2="","",TRIM(INDEX('입력_구리근무자명단'!$A953:$ZZ953,1,$E$2+IF($G$2="확정",1,0))&amp;""))</f>
        <v/>
      </c>
      <c r="S955">
        <f>IF($R955="","",IF(INDEX('입력_구리근무자명단'!$A953:$ZZ953,1,$E$2+2)&amp;""="",급여기준월,IF(ISNUMBER(INDEX('입력_구리근무자명단'!$A953:$ZZ953,1,$E$2+2)),INDEX('입력_구리근무자명단'!$A953:$ZZ953,1,$E$2+2),IFERROR(DATE(VALUE(LEFT(INDEX('입력_구리근무자명단'!$A953:$ZZ953,1,$E$2+2),4)),VALUE(MID(INDEX('입력_구리근무자명단'!$A953:$ZZ953,1,$E$2+2),6,2)),VALUE(MID(INDEX('입력_구리근무자명단'!$A953:$ZZ953,1,$E$2+2),9,2))),-1))))</f>
        <v/>
      </c>
      <c r="T955">
        <f>IF($R955="","",IF(INDEX('입력_구리근무자명단'!$A953:$ZZ953,1,$E$2+3)&amp;""="",EOMONTH(급여기준월,0),IF(ISNUMBER(INDEX('입력_구리근무자명단'!$A953:$ZZ953,1,$E$2+3)),INDEX('입력_구리근무자명단'!$A953:$ZZ953,1,$E$2+3),IFERROR(DATE(VALUE(LEFT(INDEX('입력_구리근무자명단'!$A953:$ZZ953,1,$E$2+3),4)),VALUE(MID(INDEX('입력_구리근무자명단'!$A953:$ZZ953,1,$E$2+3),6,2)),VALUE(MID(INDEX('입력_구리근무자명단'!$A953:$ZZ953,1,$E$2+3),9,2))),-1))))</f>
        <v/>
      </c>
      <c r="U955">
        <f>IF($R955="","",IF(OR($S955&lt;0,$T955&lt;0),0,MAX(0,MIN($T955,EOMONTH(급여기준월,0))-MAX($S955,급여기준월)+1)))</f>
        <v/>
      </c>
      <c r="V955">
        <f>IF($R955="","",TRIM(INDEX('입력_구리근무자명단'!$A953:$ZZ953,1,$E$2+5)&amp;""))</f>
        <v/>
      </c>
      <c r="W955">
        <f>IF(ISNUMBER(SEARCH("구리독자",$V955)),"구리독자","")</f>
        <v/>
      </c>
      <c r="X955">
        <f>IF($R955="","",$R955&amp;"|"&amp;IF(OR($Q955="인턴",ISNUMBER(SEARCH("수련교육부",$P955))),"인턴",$P955))</f>
        <v/>
      </c>
      <c r="Y955">
        <f>IF($R955="","",IF(COUNTIF(명단표[이름|과],$X955)=1,"명단 일치",IF(AND(COUNTIF(명단표[이름|과],$X955)=0,COUNTIF(명단표[이름],$R955)=1),"명단 일치(이름만, 과 다름)",IF(COUNTIF(명단표[이름],$R955)=0,IF(COUNTIF(기본자료표[이름],$R955)&gt;0,"명단에 없음(기본자료에는 있음)","명단에 없음"),"동명이인 확인"))))</f>
        <v/>
      </c>
      <c r="Z955">
        <f>IF($R955="","",IF($S955&lt;0,"⚠"&amp;INDEX('입력_구리근무자명단'!$A953:$ZZ953,1,$E$2+2),TEXT($S955,"yyyy-mm-dd")))</f>
        <v/>
      </c>
      <c r="AA955">
        <f>IF($R955="","",IF($T955&lt;0,"⚠"&amp;INDEX('입력_구리근무자명단'!$A953:$ZZ953,1,$E$2+3),TEXT($T955,"yyyy-mm-dd")))</f>
        <v/>
      </c>
      <c r="AB955">
        <f>AB954+IF($R955="",0,1)</f>
        <v/>
      </c>
      <c r="AC955">
        <f>IF($R955="","",$AB955)</f>
        <v/>
      </c>
    </row>
    <row r="956">
      <c r="O956">
        <f>954</f>
        <v/>
      </c>
      <c r="P956">
        <f>IF(TRIM('입력_구리근무자명단'!$A954&amp;"")&lt;&gt;"",TRIM('입력_구리근무자명단'!$A954&amp;""),P955)</f>
        <v/>
      </c>
      <c r="Q956">
        <f>'입력_구리근무자명단'!$B954&amp;""</f>
        <v/>
      </c>
      <c r="R956">
        <f>IF($E$2="","",TRIM(INDEX('입력_구리근무자명단'!$A954:$ZZ954,1,$E$2+IF($G$2="확정",1,0))&amp;""))</f>
        <v/>
      </c>
      <c r="S956">
        <f>IF($R956="","",IF(INDEX('입력_구리근무자명단'!$A954:$ZZ954,1,$E$2+2)&amp;""="",급여기준월,IF(ISNUMBER(INDEX('입력_구리근무자명단'!$A954:$ZZ954,1,$E$2+2)),INDEX('입력_구리근무자명단'!$A954:$ZZ954,1,$E$2+2),IFERROR(DATE(VALUE(LEFT(INDEX('입력_구리근무자명단'!$A954:$ZZ954,1,$E$2+2),4)),VALUE(MID(INDEX('입력_구리근무자명단'!$A954:$ZZ954,1,$E$2+2),6,2)),VALUE(MID(INDEX('입력_구리근무자명단'!$A954:$ZZ954,1,$E$2+2),9,2))),-1))))</f>
        <v/>
      </c>
      <c r="T956">
        <f>IF($R956="","",IF(INDEX('입력_구리근무자명단'!$A954:$ZZ954,1,$E$2+3)&amp;""="",EOMONTH(급여기준월,0),IF(ISNUMBER(INDEX('입력_구리근무자명단'!$A954:$ZZ954,1,$E$2+3)),INDEX('입력_구리근무자명단'!$A954:$ZZ954,1,$E$2+3),IFERROR(DATE(VALUE(LEFT(INDEX('입력_구리근무자명단'!$A954:$ZZ954,1,$E$2+3),4)),VALUE(MID(INDEX('입력_구리근무자명단'!$A954:$ZZ954,1,$E$2+3),6,2)),VALUE(MID(INDEX('입력_구리근무자명단'!$A954:$ZZ954,1,$E$2+3),9,2))),-1))))</f>
        <v/>
      </c>
      <c r="U956">
        <f>IF($R956="","",IF(OR($S956&lt;0,$T956&lt;0),0,MAX(0,MIN($T956,EOMONTH(급여기준월,0))-MAX($S956,급여기준월)+1)))</f>
        <v/>
      </c>
      <c r="V956">
        <f>IF($R956="","",TRIM(INDEX('입력_구리근무자명단'!$A954:$ZZ954,1,$E$2+5)&amp;""))</f>
        <v/>
      </c>
      <c r="W956">
        <f>IF(ISNUMBER(SEARCH("구리독자",$V956)),"구리독자","")</f>
        <v/>
      </c>
      <c r="X956">
        <f>IF($R956="","",$R956&amp;"|"&amp;IF(OR($Q956="인턴",ISNUMBER(SEARCH("수련교육부",$P956))),"인턴",$P956))</f>
        <v/>
      </c>
      <c r="Y956">
        <f>IF($R956="","",IF(COUNTIF(명단표[이름|과],$X956)=1,"명단 일치",IF(AND(COUNTIF(명단표[이름|과],$X956)=0,COUNTIF(명단표[이름],$R956)=1),"명단 일치(이름만, 과 다름)",IF(COUNTIF(명단표[이름],$R956)=0,IF(COUNTIF(기본자료표[이름],$R956)&gt;0,"명단에 없음(기본자료에는 있음)","명단에 없음"),"동명이인 확인"))))</f>
        <v/>
      </c>
      <c r="Z956">
        <f>IF($R956="","",IF($S956&lt;0,"⚠"&amp;INDEX('입력_구리근무자명단'!$A954:$ZZ954,1,$E$2+2),TEXT($S956,"yyyy-mm-dd")))</f>
        <v/>
      </c>
      <c r="AA956">
        <f>IF($R956="","",IF($T956&lt;0,"⚠"&amp;INDEX('입력_구리근무자명단'!$A954:$ZZ954,1,$E$2+3),TEXT($T956,"yyyy-mm-dd")))</f>
        <v/>
      </c>
      <c r="AB956">
        <f>AB955+IF($R956="",0,1)</f>
        <v/>
      </c>
      <c r="AC956">
        <f>IF($R956="","",$AB956)</f>
        <v/>
      </c>
    </row>
    <row r="957">
      <c r="O957">
        <f>955</f>
        <v/>
      </c>
      <c r="P957">
        <f>IF(TRIM('입력_구리근무자명단'!$A955&amp;"")&lt;&gt;"",TRIM('입력_구리근무자명단'!$A955&amp;""),P956)</f>
        <v/>
      </c>
      <c r="Q957">
        <f>'입력_구리근무자명단'!$B955&amp;""</f>
        <v/>
      </c>
      <c r="R957">
        <f>IF($E$2="","",TRIM(INDEX('입력_구리근무자명단'!$A955:$ZZ955,1,$E$2+IF($G$2="확정",1,0))&amp;""))</f>
        <v/>
      </c>
      <c r="S957">
        <f>IF($R957="","",IF(INDEX('입력_구리근무자명단'!$A955:$ZZ955,1,$E$2+2)&amp;""="",급여기준월,IF(ISNUMBER(INDEX('입력_구리근무자명단'!$A955:$ZZ955,1,$E$2+2)),INDEX('입력_구리근무자명단'!$A955:$ZZ955,1,$E$2+2),IFERROR(DATE(VALUE(LEFT(INDEX('입력_구리근무자명단'!$A955:$ZZ955,1,$E$2+2),4)),VALUE(MID(INDEX('입력_구리근무자명단'!$A955:$ZZ955,1,$E$2+2),6,2)),VALUE(MID(INDEX('입력_구리근무자명단'!$A955:$ZZ955,1,$E$2+2),9,2))),-1))))</f>
        <v/>
      </c>
      <c r="T957">
        <f>IF($R957="","",IF(INDEX('입력_구리근무자명단'!$A955:$ZZ955,1,$E$2+3)&amp;""="",EOMONTH(급여기준월,0),IF(ISNUMBER(INDEX('입력_구리근무자명단'!$A955:$ZZ955,1,$E$2+3)),INDEX('입력_구리근무자명단'!$A955:$ZZ955,1,$E$2+3),IFERROR(DATE(VALUE(LEFT(INDEX('입력_구리근무자명단'!$A955:$ZZ955,1,$E$2+3),4)),VALUE(MID(INDEX('입력_구리근무자명단'!$A955:$ZZ955,1,$E$2+3),6,2)),VALUE(MID(INDEX('입력_구리근무자명단'!$A955:$ZZ955,1,$E$2+3),9,2))),-1))))</f>
        <v/>
      </c>
      <c r="U957">
        <f>IF($R957="","",IF(OR($S957&lt;0,$T957&lt;0),0,MAX(0,MIN($T957,EOMONTH(급여기준월,0))-MAX($S957,급여기준월)+1)))</f>
        <v/>
      </c>
      <c r="V957">
        <f>IF($R957="","",TRIM(INDEX('입력_구리근무자명단'!$A955:$ZZ955,1,$E$2+5)&amp;""))</f>
        <v/>
      </c>
      <c r="W957">
        <f>IF(ISNUMBER(SEARCH("구리독자",$V957)),"구리독자","")</f>
        <v/>
      </c>
      <c r="X957">
        <f>IF($R957="","",$R957&amp;"|"&amp;IF(OR($Q957="인턴",ISNUMBER(SEARCH("수련교육부",$P957))),"인턴",$P957))</f>
        <v/>
      </c>
      <c r="Y957">
        <f>IF($R957="","",IF(COUNTIF(명단표[이름|과],$X957)=1,"명단 일치",IF(AND(COUNTIF(명단표[이름|과],$X957)=0,COUNTIF(명단표[이름],$R957)=1),"명단 일치(이름만, 과 다름)",IF(COUNTIF(명단표[이름],$R957)=0,IF(COUNTIF(기본자료표[이름],$R957)&gt;0,"명단에 없음(기본자료에는 있음)","명단에 없음"),"동명이인 확인"))))</f>
        <v/>
      </c>
      <c r="Z957">
        <f>IF($R957="","",IF($S957&lt;0,"⚠"&amp;INDEX('입력_구리근무자명단'!$A955:$ZZ955,1,$E$2+2),TEXT($S957,"yyyy-mm-dd")))</f>
        <v/>
      </c>
      <c r="AA957">
        <f>IF($R957="","",IF($T957&lt;0,"⚠"&amp;INDEX('입력_구리근무자명단'!$A955:$ZZ955,1,$E$2+3),TEXT($T957,"yyyy-mm-dd")))</f>
        <v/>
      </c>
      <c r="AB957">
        <f>AB956+IF($R957="",0,1)</f>
        <v/>
      </c>
      <c r="AC957">
        <f>IF($R957="","",$AB957)</f>
        <v/>
      </c>
    </row>
    <row r="958">
      <c r="O958">
        <f>956</f>
        <v/>
      </c>
      <c r="P958">
        <f>IF(TRIM('입력_구리근무자명단'!$A956&amp;"")&lt;&gt;"",TRIM('입력_구리근무자명단'!$A956&amp;""),P957)</f>
        <v/>
      </c>
      <c r="Q958">
        <f>'입력_구리근무자명단'!$B956&amp;""</f>
        <v/>
      </c>
      <c r="R958">
        <f>IF($E$2="","",TRIM(INDEX('입력_구리근무자명단'!$A956:$ZZ956,1,$E$2+IF($G$2="확정",1,0))&amp;""))</f>
        <v/>
      </c>
      <c r="S958">
        <f>IF($R958="","",IF(INDEX('입력_구리근무자명단'!$A956:$ZZ956,1,$E$2+2)&amp;""="",급여기준월,IF(ISNUMBER(INDEX('입력_구리근무자명단'!$A956:$ZZ956,1,$E$2+2)),INDEX('입력_구리근무자명단'!$A956:$ZZ956,1,$E$2+2),IFERROR(DATE(VALUE(LEFT(INDEX('입력_구리근무자명단'!$A956:$ZZ956,1,$E$2+2),4)),VALUE(MID(INDEX('입력_구리근무자명단'!$A956:$ZZ956,1,$E$2+2),6,2)),VALUE(MID(INDEX('입력_구리근무자명단'!$A956:$ZZ956,1,$E$2+2),9,2))),-1))))</f>
        <v/>
      </c>
      <c r="T958">
        <f>IF($R958="","",IF(INDEX('입력_구리근무자명단'!$A956:$ZZ956,1,$E$2+3)&amp;""="",EOMONTH(급여기준월,0),IF(ISNUMBER(INDEX('입력_구리근무자명단'!$A956:$ZZ956,1,$E$2+3)),INDEX('입력_구리근무자명단'!$A956:$ZZ956,1,$E$2+3),IFERROR(DATE(VALUE(LEFT(INDEX('입력_구리근무자명단'!$A956:$ZZ956,1,$E$2+3),4)),VALUE(MID(INDEX('입력_구리근무자명단'!$A956:$ZZ956,1,$E$2+3),6,2)),VALUE(MID(INDEX('입력_구리근무자명단'!$A956:$ZZ956,1,$E$2+3),9,2))),-1))))</f>
        <v/>
      </c>
      <c r="U958">
        <f>IF($R958="","",IF(OR($S958&lt;0,$T958&lt;0),0,MAX(0,MIN($T958,EOMONTH(급여기준월,0))-MAX($S958,급여기준월)+1)))</f>
        <v/>
      </c>
      <c r="V958">
        <f>IF($R958="","",TRIM(INDEX('입력_구리근무자명단'!$A956:$ZZ956,1,$E$2+5)&amp;""))</f>
        <v/>
      </c>
      <c r="W958">
        <f>IF(ISNUMBER(SEARCH("구리독자",$V958)),"구리독자","")</f>
        <v/>
      </c>
      <c r="X958">
        <f>IF($R958="","",$R958&amp;"|"&amp;IF(OR($Q958="인턴",ISNUMBER(SEARCH("수련교육부",$P958))),"인턴",$P958))</f>
        <v/>
      </c>
      <c r="Y958">
        <f>IF($R958="","",IF(COUNTIF(명단표[이름|과],$X958)=1,"명단 일치",IF(AND(COUNTIF(명단표[이름|과],$X958)=0,COUNTIF(명단표[이름],$R958)=1),"명단 일치(이름만, 과 다름)",IF(COUNTIF(명단표[이름],$R958)=0,IF(COUNTIF(기본자료표[이름],$R958)&gt;0,"명단에 없음(기본자료에는 있음)","명단에 없음"),"동명이인 확인"))))</f>
        <v/>
      </c>
      <c r="Z958">
        <f>IF($R958="","",IF($S958&lt;0,"⚠"&amp;INDEX('입력_구리근무자명단'!$A956:$ZZ956,1,$E$2+2),TEXT($S958,"yyyy-mm-dd")))</f>
        <v/>
      </c>
      <c r="AA958">
        <f>IF($R958="","",IF($T958&lt;0,"⚠"&amp;INDEX('입력_구리근무자명단'!$A956:$ZZ956,1,$E$2+3),TEXT($T958,"yyyy-mm-dd")))</f>
        <v/>
      </c>
      <c r="AB958">
        <f>AB957+IF($R958="",0,1)</f>
        <v/>
      </c>
      <c r="AC958">
        <f>IF($R958="","",$AB958)</f>
        <v/>
      </c>
    </row>
    <row r="959">
      <c r="O959">
        <f>957</f>
        <v/>
      </c>
      <c r="P959">
        <f>IF(TRIM('입력_구리근무자명단'!$A957&amp;"")&lt;&gt;"",TRIM('입력_구리근무자명단'!$A957&amp;""),P958)</f>
        <v/>
      </c>
      <c r="Q959">
        <f>'입력_구리근무자명단'!$B957&amp;""</f>
        <v/>
      </c>
      <c r="R959">
        <f>IF($E$2="","",TRIM(INDEX('입력_구리근무자명단'!$A957:$ZZ957,1,$E$2+IF($G$2="확정",1,0))&amp;""))</f>
        <v/>
      </c>
      <c r="S959">
        <f>IF($R959="","",IF(INDEX('입력_구리근무자명단'!$A957:$ZZ957,1,$E$2+2)&amp;""="",급여기준월,IF(ISNUMBER(INDEX('입력_구리근무자명단'!$A957:$ZZ957,1,$E$2+2)),INDEX('입력_구리근무자명단'!$A957:$ZZ957,1,$E$2+2),IFERROR(DATE(VALUE(LEFT(INDEX('입력_구리근무자명단'!$A957:$ZZ957,1,$E$2+2),4)),VALUE(MID(INDEX('입력_구리근무자명단'!$A957:$ZZ957,1,$E$2+2),6,2)),VALUE(MID(INDEX('입력_구리근무자명단'!$A957:$ZZ957,1,$E$2+2),9,2))),-1))))</f>
        <v/>
      </c>
      <c r="T959">
        <f>IF($R959="","",IF(INDEX('입력_구리근무자명단'!$A957:$ZZ957,1,$E$2+3)&amp;""="",EOMONTH(급여기준월,0),IF(ISNUMBER(INDEX('입력_구리근무자명단'!$A957:$ZZ957,1,$E$2+3)),INDEX('입력_구리근무자명단'!$A957:$ZZ957,1,$E$2+3),IFERROR(DATE(VALUE(LEFT(INDEX('입력_구리근무자명단'!$A957:$ZZ957,1,$E$2+3),4)),VALUE(MID(INDEX('입력_구리근무자명단'!$A957:$ZZ957,1,$E$2+3),6,2)),VALUE(MID(INDEX('입력_구리근무자명단'!$A957:$ZZ957,1,$E$2+3),9,2))),-1))))</f>
        <v/>
      </c>
      <c r="U959">
        <f>IF($R959="","",IF(OR($S959&lt;0,$T959&lt;0),0,MAX(0,MIN($T959,EOMONTH(급여기준월,0))-MAX($S959,급여기준월)+1)))</f>
        <v/>
      </c>
      <c r="V959">
        <f>IF($R959="","",TRIM(INDEX('입력_구리근무자명단'!$A957:$ZZ957,1,$E$2+5)&amp;""))</f>
        <v/>
      </c>
      <c r="W959">
        <f>IF(ISNUMBER(SEARCH("구리독자",$V959)),"구리독자","")</f>
        <v/>
      </c>
      <c r="X959">
        <f>IF($R959="","",$R959&amp;"|"&amp;IF(OR($Q959="인턴",ISNUMBER(SEARCH("수련교육부",$P959))),"인턴",$P959))</f>
        <v/>
      </c>
      <c r="Y959">
        <f>IF($R959="","",IF(COUNTIF(명단표[이름|과],$X959)=1,"명단 일치",IF(AND(COUNTIF(명단표[이름|과],$X959)=0,COUNTIF(명단표[이름],$R959)=1),"명단 일치(이름만, 과 다름)",IF(COUNTIF(명단표[이름],$R959)=0,IF(COUNTIF(기본자료표[이름],$R959)&gt;0,"명단에 없음(기본자료에는 있음)","명단에 없음"),"동명이인 확인"))))</f>
        <v/>
      </c>
      <c r="Z959">
        <f>IF($R959="","",IF($S959&lt;0,"⚠"&amp;INDEX('입력_구리근무자명단'!$A957:$ZZ957,1,$E$2+2),TEXT($S959,"yyyy-mm-dd")))</f>
        <v/>
      </c>
      <c r="AA959">
        <f>IF($R959="","",IF($T959&lt;0,"⚠"&amp;INDEX('입력_구리근무자명단'!$A957:$ZZ957,1,$E$2+3),TEXT($T959,"yyyy-mm-dd")))</f>
        <v/>
      </c>
      <c r="AB959">
        <f>AB958+IF($R959="",0,1)</f>
        <v/>
      </c>
      <c r="AC959">
        <f>IF($R959="","",$AB959)</f>
        <v/>
      </c>
    </row>
    <row r="960">
      <c r="O960">
        <f>958</f>
        <v/>
      </c>
      <c r="P960">
        <f>IF(TRIM('입력_구리근무자명단'!$A958&amp;"")&lt;&gt;"",TRIM('입력_구리근무자명단'!$A958&amp;""),P959)</f>
        <v/>
      </c>
      <c r="Q960">
        <f>'입력_구리근무자명단'!$B958&amp;""</f>
        <v/>
      </c>
      <c r="R960">
        <f>IF($E$2="","",TRIM(INDEX('입력_구리근무자명단'!$A958:$ZZ958,1,$E$2+IF($G$2="확정",1,0))&amp;""))</f>
        <v/>
      </c>
      <c r="S960">
        <f>IF($R960="","",IF(INDEX('입력_구리근무자명단'!$A958:$ZZ958,1,$E$2+2)&amp;""="",급여기준월,IF(ISNUMBER(INDEX('입력_구리근무자명단'!$A958:$ZZ958,1,$E$2+2)),INDEX('입력_구리근무자명단'!$A958:$ZZ958,1,$E$2+2),IFERROR(DATE(VALUE(LEFT(INDEX('입력_구리근무자명단'!$A958:$ZZ958,1,$E$2+2),4)),VALUE(MID(INDEX('입력_구리근무자명단'!$A958:$ZZ958,1,$E$2+2),6,2)),VALUE(MID(INDEX('입력_구리근무자명단'!$A958:$ZZ958,1,$E$2+2),9,2))),-1))))</f>
        <v/>
      </c>
      <c r="T960">
        <f>IF($R960="","",IF(INDEX('입력_구리근무자명단'!$A958:$ZZ958,1,$E$2+3)&amp;""="",EOMONTH(급여기준월,0),IF(ISNUMBER(INDEX('입력_구리근무자명단'!$A958:$ZZ958,1,$E$2+3)),INDEX('입력_구리근무자명단'!$A958:$ZZ958,1,$E$2+3),IFERROR(DATE(VALUE(LEFT(INDEX('입력_구리근무자명단'!$A958:$ZZ958,1,$E$2+3),4)),VALUE(MID(INDEX('입력_구리근무자명단'!$A958:$ZZ958,1,$E$2+3),6,2)),VALUE(MID(INDEX('입력_구리근무자명단'!$A958:$ZZ958,1,$E$2+3),9,2))),-1))))</f>
        <v/>
      </c>
      <c r="U960">
        <f>IF($R960="","",IF(OR($S960&lt;0,$T960&lt;0),0,MAX(0,MIN($T960,EOMONTH(급여기준월,0))-MAX($S960,급여기준월)+1)))</f>
        <v/>
      </c>
      <c r="V960">
        <f>IF($R960="","",TRIM(INDEX('입력_구리근무자명단'!$A958:$ZZ958,1,$E$2+5)&amp;""))</f>
        <v/>
      </c>
      <c r="W960">
        <f>IF(ISNUMBER(SEARCH("구리독자",$V960)),"구리독자","")</f>
        <v/>
      </c>
      <c r="X960">
        <f>IF($R960="","",$R960&amp;"|"&amp;IF(OR($Q960="인턴",ISNUMBER(SEARCH("수련교육부",$P960))),"인턴",$P960))</f>
        <v/>
      </c>
      <c r="Y960">
        <f>IF($R960="","",IF(COUNTIF(명단표[이름|과],$X960)=1,"명단 일치",IF(AND(COUNTIF(명단표[이름|과],$X960)=0,COUNTIF(명단표[이름],$R960)=1),"명단 일치(이름만, 과 다름)",IF(COUNTIF(명단표[이름],$R960)=0,IF(COUNTIF(기본자료표[이름],$R960)&gt;0,"명단에 없음(기본자료에는 있음)","명단에 없음"),"동명이인 확인"))))</f>
        <v/>
      </c>
      <c r="Z960">
        <f>IF($R960="","",IF($S960&lt;0,"⚠"&amp;INDEX('입력_구리근무자명단'!$A958:$ZZ958,1,$E$2+2),TEXT($S960,"yyyy-mm-dd")))</f>
        <v/>
      </c>
      <c r="AA960">
        <f>IF($R960="","",IF($T960&lt;0,"⚠"&amp;INDEX('입력_구리근무자명단'!$A958:$ZZ958,1,$E$2+3),TEXT($T960,"yyyy-mm-dd")))</f>
        <v/>
      </c>
      <c r="AB960">
        <f>AB959+IF($R960="",0,1)</f>
        <v/>
      </c>
      <c r="AC960">
        <f>IF($R960="","",$AB960)</f>
        <v/>
      </c>
    </row>
    <row r="961">
      <c r="O961">
        <f>959</f>
        <v/>
      </c>
      <c r="P961">
        <f>IF(TRIM('입력_구리근무자명단'!$A959&amp;"")&lt;&gt;"",TRIM('입력_구리근무자명단'!$A959&amp;""),P960)</f>
        <v/>
      </c>
      <c r="Q961">
        <f>'입력_구리근무자명단'!$B959&amp;""</f>
        <v/>
      </c>
      <c r="R961">
        <f>IF($E$2="","",TRIM(INDEX('입력_구리근무자명단'!$A959:$ZZ959,1,$E$2+IF($G$2="확정",1,0))&amp;""))</f>
        <v/>
      </c>
      <c r="S961">
        <f>IF($R961="","",IF(INDEX('입력_구리근무자명단'!$A959:$ZZ959,1,$E$2+2)&amp;""="",급여기준월,IF(ISNUMBER(INDEX('입력_구리근무자명단'!$A959:$ZZ959,1,$E$2+2)),INDEX('입력_구리근무자명단'!$A959:$ZZ959,1,$E$2+2),IFERROR(DATE(VALUE(LEFT(INDEX('입력_구리근무자명단'!$A959:$ZZ959,1,$E$2+2),4)),VALUE(MID(INDEX('입력_구리근무자명단'!$A959:$ZZ959,1,$E$2+2),6,2)),VALUE(MID(INDEX('입력_구리근무자명단'!$A959:$ZZ959,1,$E$2+2),9,2))),-1))))</f>
        <v/>
      </c>
      <c r="T961">
        <f>IF($R961="","",IF(INDEX('입력_구리근무자명단'!$A959:$ZZ959,1,$E$2+3)&amp;""="",EOMONTH(급여기준월,0),IF(ISNUMBER(INDEX('입력_구리근무자명단'!$A959:$ZZ959,1,$E$2+3)),INDEX('입력_구리근무자명단'!$A959:$ZZ959,1,$E$2+3),IFERROR(DATE(VALUE(LEFT(INDEX('입력_구리근무자명단'!$A959:$ZZ959,1,$E$2+3),4)),VALUE(MID(INDEX('입력_구리근무자명단'!$A959:$ZZ959,1,$E$2+3),6,2)),VALUE(MID(INDEX('입력_구리근무자명단'!$A959:$ZZ959,1,$E$2+3),9,2))),-1))))</f>
        <v/>
      </c>
      <c r="U961">
        <f>IF($R961="","",IF(OR($S961&lt;0,$T961&lt;0),0,MAX(0,MIN($T961,EOMONTH(급여기준월,0))-MAX($S961,급여기준월)+1)))</f>
        <v/>
      </c>
      <c r="V961">
        <f>IF($R961="","",TRIM(INDEX('입력_구리근무자명단'!$A959:$ZZ959,1,$E$2+5)&amp;""))</f>
        <v/>
      </c>
      <c r="W961">
        <f>IF(ISNUMBER(SEARCH("구리독자",$V961)),"구리독자","")</f>
        <v/>
      </c>
      <c r="X961">
        <f>IF($R961="","",$R961&amp;"|"&amp;IF(OR($Q961="인턴",ISNUMBER(SEARCH("수련교육부",$P961))),"인턴",$P961))</f>
        <v/>
      </c>
      <c r="Y961">
        <f>IF($R961="","",IF(COUNTIF(명단표[이름|과],$X961)=1,"명단 일치",IF(AND(COUNTIF(명단표[이름|과],$X961)=0,COUNTIF(명단표[이름],$R961)=1),"명단 일치(이름만, 과 다름)",IF(COUNTIF(명단표[이름],$R961)=0,IF(COUNTIF(기본자료표[이름],$R961)&gt;0,"명단에 없음(기본자료에는 있음)","명단에 없음"),"동명이인 확인"))))</f>
        <v/>
      </c>
      <c r="Z961">
        <f>IF($R961="","",IF($S961&lt;0,"⚠"&amp;INDEX('입력_구리근무자명단'!$A959:$ZZ959,1,$E$2+2),TEXT($S961,"yyyy-mm-dd")))</f>
        <v/>
      </c>
      <c r="AA961">
        <f>IF($R961="","",IF($T961&lt;0,"⚠"&amp;INDEX('입력_구리근무자명단'!$A959:$ZZ959,1,$E$2+3),TEXT($T961,"yyyy-mm-dd")))</f>
        <v/>
      </c>
      <c r="AB961">
        <f>AB960+IF($R961="",0,1)</f>
        <v/>
      </c>
      <c r="AC961">
        <f>IF($R961="","",$AB961)</f>
        <v/>
      </c>
    </row>
    <row r="962">
      <c r="O962">
        <f>960</f>
        <v/>
      </c>
      <c r="P962">
        <f>IF(TRIM('입력_구리근무자명단'!$A960&amp;"")&lt;&gt;"",TRIM('입력_구리근무자명단'!$A960&amp;""),P961)</f>
        <v/>
      </c>
      <c r="Q962">
        <f>'입력_구리근무자명단'!$B960&amp;""</f>
        <v/>
      </c>
      <c r="R962">
        <f>IF($E$2="","",TRIM(INDEX('입력_구리근무자명단'!$A960:$ZZ960,1,$E$2+IF($G$2="확정",1,0))&amp;""))</f>
        <v/>
      </c>
      <c r="S962">
        <f>IF($R962="","",IF(INDEX('입력_구리근무자명단'!$A960:$ZZ960,1,$E$2+2)&amp;""="",급여기준월,IF(ISNUMBER(INDEX('입력_구리근무자명단'!$A960:$ZZ960,1,$E$2+2)),INDEX('입력_구리근무자명단'!$A960:$ZZ960,1,$E$2+2),IFERROR(DATE(VALUE(LEFT(INDEX('입력_구리근무자명단'!$A960:$ZZ960,1,$E$2+2),4)),VALUE(MID(INDEX('입력_구리근무자명단'!$A960:$ZZ960,1,$E$2+2),6,2)),VALUE(MID(INDEX('입력_구리근무자명단'!$A960:$ZZ960,1,$E$2+2),9,2))),-1))))</f>
        <v/>
      </c>
      <c r="T962">
        <f>IF($R962="","",IF(INDEX('입력_구리근무자명단'!$A960:$ZZ960,1,$E$2+3)&amp;""="",EOMONTH(급여기준월,0),IF(ISNUMBER(INDEX('입력_구리근무자명단'!$A960:$ZZ960,1,$E$2+3)),INDEX('입력_구리근무자명단'!$A960:$ZZ960,1,$E$2+3),IFERROR(DATE(VALUE(LEFT(INDEX('입력_구리근무자명단'!$A960:$ZZ960,1,$E$2+3),4)),VALUE(MID(INDEX('입력_구리근무자명단'!$A960:$ZZ960,1,$E$2+3),6,2)),VALUE(MID(INDEX('입력_구리근무자명단'!$A960:$ZZ960,1,$E$2+3),9,2))),-1))))</f>
        <v/>
      </c>
      <c r="U962">
        <f>IF($R962="","",IF(OR($S962&lt;0,$T962&lt;0),0,MAX(0,MIN($T962,EOMONTH(급여기준월,0))-MAX($S962,급여기준월)+1)))</f>
        <v/>
      </c>
      <c r="V962">
        <f>IF($R962="","",TRIM(INDEX('입력_구리근무자명단'!$A960:$ZZ960,1,$E$2+5)&amp;""))</f>
        <v/>
      </c>
      <c r="W962">
        <f>IF(ISNUMBER(SEARCH("구리독자",$V962)),"구리독자","")</f>
        <v/>
      </c>
      <c r="X962">
        <f>IF($R962="","",$R962&amp;"|"&amp;IF(OR($Q962="인턴",ISNUMBER(SEARCH("수련교육부",$P962))),"인턴",$P962))</f>
        <v/>
      </c>
      <c r="Y962">
        <f>IF($R962="","",IF(COUNTIF(명단표[이름|과],$X962)=1,"명단 일치",IF(AND(COUNTIF(명단표[이름|과],$X962)=0,COUNTIF(명단표[이름],$R962)=1),"명단 일치(이름만, 과 다름)",IF(COUNTIF(명단표[이름],$R962)=0,IF(COUNTIF(기본자료표[이름],$R962)&gt;0,"명단에 없음(기본자료에는 있음)","명단에 없음"),"동명이인 확인"))))</f>
        <v/>
      </c>
      <c r="Z962">
        <f>IF($R962="","",IF($S962&lt;0,"⚠"&amp;INDEX('입력_구리근무자명단'!$A960:$ZZ960,1,$E$2+2),TEXT($S962,"yyyy-mm-dd")))</f>
        <v/>
      </c>
      <c r="AA962">
        <f>IF($R962="","",IF($T962&lt;0,"⚠"&amp;INDEX('입력_구리근무자명단'!$A960:$ZZ960,1,$E$2+3),TEXT($T962,"yyyy-mm-dd")))</f>
        <v/>
      </c>
      <c r="AB962">
        <f>AB961+IF($R962="",0,1)</f>
        <v/>
      </c>
      <c r="AC962">
        <f>IF($R962="","",$AB962)</f>
        <v/>
      </c>
    </row>
    <row r="963">
      <c r="O963">
        <f>961</f>
        <v/>
      </c>
      <c r="P963">
        <f>IF(TRIM('입력_구리근무자명단'!$A961&amp;"")&lt;&gt;"",TRIM('입력_구리근무자명단'!$A961&amp;""),P962)</f>
        <v/>
      </c>
      <c r="Q963">
        <f>'입력_구리근무자명단'!$B961&amp;""</f>
        <v/>
      </c>
      <c r="R963">
        <f>IF($E$2="","",TRIM(INDEX('입력_구리근무자명단'!$A961:$ZZ961,1,$E$2+IF($G$2="확정",1,0))&amp;""))</f>
        <v/>
      </c>
      <c r="S963">
        <f>IF($R963="","",IF(INDEX('입력_구리근무자명단'!$A961:$ZZ961,1,$E$2+2)&amp;""="",급여기준월,IF(ISNUMBER(INDEX('입력_구리근무자명단'!$A961:$ZZ961,1,$E$2+2)),INDEX('입력_구리근무자명단'!$A961:$ZZ961,1,$E$2+2),IFERROR(DATE(VALUE(LEFT(INDEX('입력_구리근무자명단'!$A961:$ZZ961,1,$E$2+2),4)),VALUE(MID(INDEX('입력_구리근무자명단'!$A961:$ZZ961,1,$E$2+2),6,2)),VALUE(MID(INDEX('입력_구리근무자명단'!$A961:$ZZ961,1,$E$2+2),9,2))),-1))))</f>
        <v/>
      </c>
      <c r="T963">
        <f>IF($R963="","",IF(INDEX('입력_구리근무자명단'!$A961:$ZZ961,1,$E$2+3)&amp;""="",EOMONTH(급여기준월,0),IF(ISNUMBER(INDEX('입력_구리근무자명단'!$A961:$ZZ961,1,$E$2+3)),INDEX('입력_구리근무자명단'!$A961:$ZZ961,1,$E$2+3),IFERROR(DATE(VALUE(LEFT(INDEX('입력_구리근무자명단'!$A961:$ZZ961,1,$E$2+3),4)),VALUE(MID(INDEX('입력_구리근무자명단'!$A961:$ZZ961,1,$E$2+3),6,2)),VALUE(MID(INDEX('입력_구리근무자명단'!$A961:$ZZ961,1,$E$2+3),9,2))),-1))))</f>
        <v/>
      </c>
      <c r="U963">
        <f>IF($R963="","",IF(OR($S963&lt;0,$T963&lt;0),0,MAX(0,MIN($T963,EOMONTH(급여기준월,0))-MAX($S963,급여기준월)+1)))</f>
        <v/>
      </c>
      <c r="V963">
        <f>IF($R963="","",TRIM(INDEX('입력_구리근무자명단'!$A961:$ZZ961,1,$E$2+5)&amp;""))</f>
        <v/>
      </c>
      <c r="W963">
        <f>IF(ISNUMBER(SEARCH("구리독자",$V963)),"구리독자","")</f>
        <v/>
      </c>
      <c r="X963">
        <f>IF($R963="","",$R963&amp;"|"&amp;IF(OR($Q963="인턴",ISNUMBER(SEARCH("수련교육부",$P963))),"인턴",$P963))</f>
        <v/>
      </c>
      <c r="Y963">
        <f>IF($R963="","",IF(COUNTIF(명단표[이름|과],$X963)=1,"명단 일치",IF(AND(COUNTIF(명단표[이름|과],$X963)=0,COUNTIF(명단표[이름],$R963)=1),"명단 일치(이름만, 과 다름)",IF(COUNTIF(명단표[이름],$R963)=0,IF(COUNTIF(기본자료표[이름],$R963)&gt;0,"명단에 없음(기본자료에는 있음)","명단에 없음"),"동명이인 확인"))))</f>
        <v/>
      </c>
      <c r="Z963">
        <f>IF($R963="","",IF($S963&lt;0,"⚠"&amp;INDEX('입력_구리근무자명단'!$A961:$ZZ961,1,$E$2+2),TEXT($S963,"yyyy-mm-dd")))</f>
        <v/>
      </c>
      <c r="AA963">
        <f>IF($R963="","",IF($T963&lt;0,"⚠"&amp;INDEX('입력_구리근무자명단'!$A961:$ZZ961,1,$E$2+3),TEXT($T963,"yyyy-mm-dd")))</f>
        <v/>
      </c>
      <c r="AB963">
        <f>AB962+IF($R963="",0,1)</f>
        <v/>
      </c>
      <c r="AC963">
        <f>IF($R963="","",$AB963)</f>
        <v/>
      </c>
    </row>
    <row r="964">
      <c r="O964">
        <f>962</f>
        <v/>
      </c>
      <c r="P964">
        <f>IF(TRIM('입력_구리근무자명단'!$A962&amp;"")&lt;&gt;"",TRIM('입력_구리근무자명단'!$A962&amp;""),P963)</f>
        <v/>
      </c>
      <c r="Q964">
        <f>'입력_구리근무자명단'!$B962&amp;""</f>
        <v/>
      </c>
      <c r="R964">
        <f>IF($E$2="","",TRIM(INDEX('입력_구리근무자명단'!$A962:$ZZ962,1,$E$2+IF($G$2="확정",1,0))&amp;""))</f>
        <v/>
      </c>
      <c r="S964">
        <f>IF($R964="","",IF(INDEX('입력_구리근무자명단'!$A962:$ZZ962,1,$E$2+2)&amp;""="",급여기준월,IF(ISNUMBER(INDEX('입력_구리근무자명단'!$A962:$ZZ962,1,$E$2+2)),INDEX('입력_구리근무자명단'!$A962:$ZZ962,1,$E$2+2),IFERROR(DATE(VALUE(LEFT(INDEX('입력_구리근무자명단'!$A962:$ZZ962,1,$E$2+2),4)),VALUE(MID(INDEX('입력_구리근무자명단'!$A962:$ZZ962,1,$E$2+2),6,2)),VALUE(MID(INDEX('입력_구리근무자명단'!$A962:$ZZ962,1,$E$2+2),9,2))),-1))))</f>
        <v/>
      </c>
      <c r="T964">
        <f>IF($R964="","",IF(INDEX('입력_구리근무자명단'!$A962:$ZZ962,1,$E$2+3)&amp;""="",EOMONTH(급여기준월,0),IF(ISNUMBER(INDEX('입력_구리근무자명단'!$A962:$ZZ962,1,$E$2+3)),INDEX('입력_구리근무자명단'!$A962:$ZZ962,1,$E$2+3),IFERROR(DATE(VALUE(LEFT(INDEX('입력_구리근무자명단'!$A962:$ZZ962,1,$E$2+3),4)),VALUE(MID(INDEX('입력_구리근무자명단'!$A962:$ZZ962,1,$E$2+3),6,2)),VALUE(MID(INDEX('입력_구리근무자명단'!$A962:$ZZ962,1,$E$2+3),9,2))),-1))))</f>
        <v/>
      </c>
      <c r="U964">
        <f>IF($R964="","",IF(OR($S964&lt;0,$T964&lt;0),0,MAX(0,MIN($T964,EOMONTH(급여기준월,0))-MAX($S964,급여기준월)+1)))</f>
        <v/>
      </c>
      <c r="V964">
        <f>IF($R964="","",TRIM(INDEX('입력_구리근무자명단'!$A962:$ZZ962,1,$E$2+5)&amp;""))</f>
        <v/>
      </c>
      <c r="W964">
        <f>IF(ISNUMBER(SEARCH("구리독자",$V964)),"구리독자","")</f>
        <v/>
      </c>
      <c r="X964">
        <f>IF($R964="","",$R964&amp;"|"&amp;IF(OR($Q964="인턴",ISNUMBER(SEARCH("수련교육부",$P964))),"인턴",$P964))</f>
        <v/>
      </c>
      <c r="Y964">
        <f>IF($R964="","",IF(COUNTIF(명단표[이름|과],$X964)=1,"명단 일치",IF(AND(COUNTIF(명단표[이름|과],$X964)=0,COUNTIF(명단표[이름],$R964)=1),"명단 일치(이름만, 과 다름)",IF(COUNTIF(명단표[이름],$R964)=0,IF(COUNTIF(기본자료표[이름],$R964)&gt;0,"명단에 없음(기본자료에는 있음)","명단에 없음"),"동명이인 확인"))))</f>
        <v/>
      </c>
      <c r="Z964">
        <f>IF($R964="","",IF($S964&lt;0,"⚠"&amp;INDEX('입력_구리근무자명단'!$A962:$ZZ962,1,$E$2+2),TEXT($S964,"yyyy-mm-dd")))</f>
        <v/>
      </c>
      <c r="AA964">
        <f>IF($R964="","",IF($T964&lt;0,"⚠"&amp;INDEX('입력_구리근무자명단'!$A962:$ZZ962,1,$E$2+3),TEXT($T964,"yyyy-mm-dd")))</f>
        <v/>
      </c>
      <c r="AB964">
        <f>AB963+IF($R964="",0,1)</f>
        <v/>
      </c>
      <c r="AC964">
        <f>IF($R964="","",$AB964)</f>
        <v/>
      </c>
    </row>
    <row r="965">
      <c r="O965">
        <f>963</f>
        <v/>
      </c>
      <c r="P965">
        <f>IF(TRIM('입력_구리근무자명단'!$A963&amp;"")&lt;&gt;"",TRIM('입력_구리근무자명단'!$A963&amp;""),P964)</f>
        <v/>
      </c>
      <c r="Q965">
        <f>'입력_구리근무자명단'!$B963&amp;""</f>
        <v/>
      </c>
      <c r="R965">
        <f>IF($E$2="","",TRIM(INDEX('입력_구리근무자명단'!$A963:$ZZ963,1,$E$2+IF($G$2="확정",1,0))&amp;""))</f>
        <v/>
      </c>
      <c r="S965">
        <f>IF($R965="","",IF(INDEX('입력_구리근무자명단'!$A963:$ZZ963,1,$E$2+2)&amp;""="",급여기준월,IF(ISNUMBER(INDEX('입력_구리근무자명단'!$A963:$ZZ963,1,$E$2+2)),INDEX('입력_구리근무자명단'!$A963:$ZZ963,1,$E$2+2),IFERROR(DATE(VALUE(LEFT(INDEX('입력_구리근무자명단'!$A963:$ZZ963,1,$E$2+2),4)),VALUE(MID(INDEX('입력_구리근무자명단'!$A963:$ZZ963,1,$E$2+2),6,2)),VALUE(MID(INDEX('입력_구리근무자명단'!$A963:$ZZ963,1,$E$2+2),9,2))),-1))))</f>
        <v/>
      </c>
      <c r="T965">
        <f>IF($R965="","",IF(INDEX('입력_구리근무자명단'!$A963:$ZZ963,1,$E$2+3)&amp;""="",EOMONTH(급여기준월,0),IF(ISNUMBER(INDEX('입력_구리근무자명단'!$A963:$ZZ963,1,$E$2+3)),INDEX('입력_구리근무자명단'!$A963:$ZZ963,1,$E$2+3),IFERROR(DATE(VALUE(LEFT(INDEX('입력_구리근무자명단'!$A963:$ZZ963,1,$E$2+3),4)),VALUE(MID(INDEX('입력_구리근무자명단'!$A963:$ZZ963,1,$E$2+3),6,2)),VALUE(MID(INDEX('입력_구리근무자명단'!$A963:$ZZ963,1,$E$2+3),9,2))),-1))))</f>
        <v/>
      </c>
      <c r="U965">
        <f>IF($R965="","",IF(OR($S965&lt;0,$T965&lt;0),0,MAX(0,MIN($T965,EOMONTH(급여기준월,0))-MAX($S965,급여기준월)+1)))</f>
        <v/>
      </c>
      <c r="V965">
        <f>IF($R965="","",TRIM(INDEX('입력_구리근무자명단'!$A963:$ZZ963,1,$E$2+5)&amp;""))</f>
        <v/>
      </c>
      <c r="W965">
        <f>IF(ISNUMBER(SEARCH("구리독자",$V965)),"구리독자","")</f>
        <v/>
      </c>
      <c r="X965">
        <f>IF($R965="","",$R965&amp;"|"&amp;IF(OR($Q965="인턴",ISNUMBER(SEARCH("수련교육부",$P965))),"인턴",$P965))</f>
        <v/>
      </c>
      <c r="Y965">
        <f>IF($R965="","",IF(COUNTIF(명단표[이름|과],$X965)=1,"명단 일치",IF(AND(COUNTIF(명단표[이름|과],$X965)=0,COUNTIF(명단표[이름],$R965)=1),"명단 일치(이름만, 과 다름)",IF(COUNTIF(명단표[이름],$R965)=0,IF(COUNTIF(기본자료표[이름],$R965)&gt;0,"명단에 없음(기본자료에는 있음)","명단에 없음"),"동명이인 확인"))))</f>
        <v/>
      </c>
      <c r="Z965">
        <f>IF($R965="","",IF($S965&lt;0,"⚠"&amp;INDEX('입력_구리근무자명단'!$A963:$ZZ963,1,$E$2+2),TEXT($S965,"yyyy-mm-dd")))</f>
        <v/>
      </c>
      <c r="AA965">
        <f>IF($R965="","",IF($T965&lt;0,"⚠"&amp;INDEX('입력_구리근무자명단'!$A963:$ZZ963,1,$E$2+3),TEXT($T965,"yyyy-mm-dd")))</f>
        <v/>
      </c>
      <c r="AB965">
        <f>AB964+IF($R965="",0,1)</f>
        <v/>
      </c>
      <c r="AC965">
        <f>IF($R965="","",$AB965)</f>
        <v/>
      </c>
    </row>
    <row r="966">
      <c r="O966">
        <f>964</f>
        <v/>
      </c>
      <c r="P966">
        <f>IF(TRIM('입력_구리근무자명단'!$A964&amp;"")&lt;&gt;"",TRIM('입력_구리근무자명단'!$A964&amp;""),P965)</f>
        <v/>
      </c>
      <c r="Q966">
        <f>'입력_구리근무자명단'!$B964&amp;""</f>
        <v/>
      </c>
      <c r="R966">
        <f>IF($E$2="","",TRIM(INDEX('입력_구리근무자명단'!$A964:$ZZ964,1,$E$2+IF($G$2="확정",1,0))&amp;""))</f>
        <v/>
      </c>
      <c r="S966">
        <f>IF($R966="","",IF(INDEX('입력_구리근무자명단'!$A964:$ZZ964,1,$E$2+2)&amp;""="",급여기준월,IF(ISNUMBER(INDEX('입력_구리근무자명단'!$A964:$ZZ964,1,$E$2+2)),INDEX('입력_구리근무자명단'!$A964:$ZZ964,1,$E$2+2),IFERROR(DATE(VALUE(LEFT(INDEX('입력_구리근무자명단'!$A964:$ZZ964,1,$E$2+2),4)),VALUE(MID(INDEX('입력_구리근무자명단'!$A964:$ZZ964,1,$E$2+2),6,2)),VALUE(MID(INDEX('입력_구리근무자명단'!$A964:$ZZ964,1,$E$2+2),9,2))),-1))))</f>
        <v/>
      </c>
      <c r="T966">
        <f>IF($R966="","",IF(INDEX('입력_구리근무자명단'!$A964:$ZZ964,1,$E$2+3)&amp;""="",EOMONTH(급여기준월,0),IF(ISNUMBER(INDEX('입력_구리근무자명단'!$A964:$ZZ964,1,$E$2+3)),INDEX('입력_구리근무자명단'!$A964:$ZZ964,1,$E$2+3),IFERROR(DATE(VALUE(LEFT(INDEX('입력_구리근무자명단'!$A964:$ZZ964,1,$E$2+3),4)),VALUE(MID(INDEX('입력_구리근무자명단'!$A964:$ZZ964,1,$E$2+3),6,2)),VALUE(MID(INDEX('입력_구리근무자명단'!$A964:$ZZ964,1,$E$2+3),9,2))),-1))))</f>
        <v/>
      </c>
      <c r="U966">
        <f>IF($R966="","",IF(OR($S966&lt;0,$T966&lt;0),0,MAX(0,MIN($T966,EOMONTH(급여기준월,0))-MAX($S966,급여기준월)+1)))</f>
        <v/>
      </c>
      <c r="V966">
        <f>IF($R966="","",TRIM(INDEX('입력_구리근무자명단'!$A964:$ZZ964,1,$E$2+5)&amp;""))</f>
        <v/>
      </c>
      <c r="W966">
        <f>IF(ISNUMBER(SEARCH("구리독자",$V966)),"구리독자","")</f>
        <v/>
      </c>
      <c r="X966">
        <f>IF($R966="","",$R966&amp;"|"&amp;IF(OR($Q966="인턴",ISNUMBER(SEARCH("수련교육부",$P966))),"인턴",$P966))</f>
        <v/>
      </c>
      <c r="Y966">
        <f>IF($R966="","",IF(COUNTIF(명단표[이름|과],$X966)=1,"명단 일치",IF(AND(COUNTIF(명단표[이름|과],$X966)=0,COUNTIF(명단표[이름],$R966)=1),"명단 일치(이름만, 과 다름)",IF(COUNTIF(명단표[이름],$R966)=0,IF(COUNTIF(기본자료표[이름],$R966)&gt;0,"명단에 없음(기본자료에는 있음)","명단에 없음"),"동명이인 확인"))))</f>
        <v/>
      </c>
      <c r="Z966">
        <f>IF($R966="","",IF($S966&lt;0,"⚠"&amp;INDEX('입력_구리근무자명단'!$A964:$ZZ964,1,$E$2+2),TEXT($S966,"yyyy-mm-dd")))</f>
        <v/>
      </c>
      <c r="AA966">
        <f>IF($R966="","",IF($T966&lt;0,"⚠"&amp;INDEX('입력_구리근무자명단'!$A964:$ZZ964,1,$E$2+3),TEXT($T966,"yyyy-mm-dd")))</f>
        <v/>
      </c>
      <c r="AB966">
        <f>AB965+IF($R966="",0,1)</f>
        <v/>
      </c>
      <c r="AC966">
        <f>IF($R966="","",$AB966)</f>
        <v/>
      </c>
    </row>
    <row r="967">
      <c r="O967">
        <f>965</f>
        <v/>
      </c>
      <c r="P967">
        <f>IF(TRIM('입력_구리근무자명단'!$A965&amp;"")&lt;&gt;"",TRIM('입력_구리근무자명단'!$A965&amp;""),P966)</f>
        <v/>
      </c>
      <c r="Q967">
        <f>'입력_구리근무자명단'!$B965&amp;""</f>
        <v/>
      </c>
      <c r="R967">
        <f>IF($E$2="","",TRIM(INDEX('입력_구리근무자명단'!$A965:$ZZ965,1,$E$2+IF($G$2="확정",1,0))&amp;""))</f>
        <v/>
      </c>
      <c r="S967">
        <f>IF($R967="","",IF(INDEX('입력_구리근무자명단'!$A965:$ZZ965,1,$E$2+2)&amp;""="",급여기준월,IF(ISNUMBER(INDEX('입력_구리근무자명단'!$A965:$ZZ965,1,$E$2+2)),INDEX('입력_구리근무자명단'!$A965:$ZZ965,1,$E$2+2),IFERROR(DATE(VALUE(LEFT(INDEX('입력_구리근무자명단'!$A965:$ZZ965,1,$E$2+2),4)),VALUE(MID(INDEX('입력_구리근무자명단'!$A965:$ZZ965,1,$E$2+2),6,2)),VALUE(MID(INDEX('입력_구리근무자명단'!$A965:$ZZ965,1,$E$2+2),9,2))),-1))))</f>
        <v/>
      </c>
      <c r="T967">
        <f>IF($R967="","",IF(INDEX('입력_구리근무자명단'!$A965:$ZZ965,1,$E$2+3)&amp;""="",EOMONTH(급여기준월,0),IF(ISNUMBER(INDEX('입력_구리근무자명단'!$A965:$ZZ965,1,$E$2+3)),INDEX('입력_구리근무자명단'!$A965:$ZZ965,1,$E$2+3),IFERROR(DATE(VALUE(LEFT(INDEX('입력_구리근무자명단'!$A965:$ZZ965,1,$E$2+3),4)),VALUE(MID(INDEX('입력_구리근무자명단'!$A965:$ZZ965,1,$E$2+3),6,2)),VALUE(MID(INDEX('입력_구리근무자명단'!$A965:$ZZ965,1,$E$2+3),9,2))),-1))))</f>
        <v/>
      </c>
      <c r="U967">
        <f>IF($R967="","",IF(OR($S967&lt;0,$T967&lt;0),0,MAX(0,MIN($T967,EOMONTH(급여기준월,0))-MAX($S967,급여기준월)+1)))</f>
        <v/>
      </c>
      <c r="V967">
        <f>IF($R967="","",TRIM(INDEX('입력_구리근무자명단'!$A965:$ZZ965,1,$E$2+5)&amp;""))</f>
        <v/>
      </c>
      <c r="W967">
        <f>IF(ISNUMBER(SEARCH("구리독자",$V967)),"구리독자","")</f>
        <v/>
      </c>
      <c r="X967">
        <f>IF($R967="","",$R967&amp;"|"&amp;IF(OR($Q967="인턴",ISNUMBER(SEARCH("수련교육부",$P967))),"인턴",$P967))</f>
        <v/>
      </c>
      <c r="Y967">
        <f>IF($R967="","",IF(COUNTIF(명단표[이름|과],$X967)=1,"명단 일치",IF(AND(COUNTIF(명단표[이름|과],$X967)=0,COUNTIF(명단표[이름],$R967)=1),"명단 일치(이름만, 과 다름)",IF(COUNTIF(명단표[이름],$R967)=0,IF(COUNTIF(기본자료표[이름],$R967)&gt;0,"명단에 없음(기본자료에는 있음)","명단에 없음"),"동명이인 확인"))))</f>
        <v/>
      </c>
      <c r="Z967">
        <f>IF($R967="","",IF($S967&lt;0,"⚠"&amp;INDEX('입력_구리근무자명단'!$A965:$ZZ965,1,$E$2+2),TEXT($S967,"yyyy-mm-dd")))</f>
        <v/>
      </c>
      <c r="AA967">
        <f>IF($R967="","",IF($T967&lt;0,"⚠"&amp;INDEX('입력_구리근무자명단'!$A965:$ZZ965,1,$E$2+3),TEXT($T967,"yyyy-mm-dd")))</f>
        <v/>
      </c>
      <c r="AB967">
        <f>AB966+IF($R967="",0,1)</f>
        <v/>
      </c>
      <c r="AC967">
        <f>IF($R967="","",$AB967)</f>
        <v/>
      </c>
    </row>
    <row r="968">
      <c r="O968">
        <f>966</f>
        <v/>
      </c>
      <c r="P968">
        <f>IF(TRIM('입력_구리근무자명단'!$A966&amp;"")&lt;&gt;"",TRIM('입력_구리근무자명단'!$A966&amp;""),P967)</f>
        <v/>
      </c>
      <c r="Q968">
        <f>'입력_구리근무자명단'!$B966&amp;""</f>
        <v/>
      </c>
      <c r="R968">
        <f>IF($E$2="","",TRIM(INDEX('입력_구리근무자명단'!$A966:$ZZ966,1,$E$2+IF($G$2="확정",1,0))&amp;""))</f>
        <v/>
      </c>
      <c r="S968">
        <f>IF($R968="","",IF(INDEX('입력_구리근무자명단'!$A966:$ZZ966,1,$E$2+2)&amp;""="",급여기준월,IF(ISNUMBER(INDEX('입력_구리근무자명단'!$A966:$ZZ966,1,$E$2+2)),INDEX('입력_구리근무자명단'!$A966:$ZZ966,1,$E$2+2),IFERROR(DATE(VALUE(LEFT(INDEX('입력_구리근무자명단'!$A966:$ZZ966,1,$E$2+2),4)),VALUE(MID(INDEX('입력_구리근무자명단'!$A966:$ZZ966,1,$E$2+2),6,2)),VALUE(MID(INDEX('입력_구리근무자명단'!$A966:$ZZ966,1,$E$2+2),9,2))),-1))))</f>
        <v/>
      </c>
      <c r="T968">
        <f>IF($R968="","",IF(INDEX('입력_구리근무자명단'!$A966:$ZZ966,1,$E$2+3)&amp;""="",EOMONTH(급여기준월,0),IF(ISNUMBER(INDEX('입력_구리근무자명단'!$A966:$ZZ966,1,$E$2+3)),INDEX('입력_구리근무자명단'!$A966:$ZZ966,1,$E$2+3),IFERROR(DATE(VALUE(LEFT(INDEX('입력_구리근무자명단'!$A966:$ZZ966,1,$E$2+3),4)),VALUE(MID(INDEX('입력_구리근무자명단'!$A966:$ZZ966,1,$E$2+3),6,2)),VALUE(MID(INDEX('입력_구리근무자명단'!$A966:$ZZ966,1,$E$2+3),9,2))),-1))))</f>
        <v/>
      </c>
      <c r="U968">
        <f>IF($R968="","",IF(OR($S968&lt;0,$T968&lt;0),0,MAX(0,MIN($T968,EOMONTH(급여기준월,0))-MAX($S968,급여기준월)+1)))</f>
        <v/>
      </c>
      <c r="V968">
        <f>IF($R968="","",TRIM(INDEX('입력_구리근무자명단'!$A966:$ZZ966,1,$E$2+5)&amp;""))</f>
        <v/>
      </c>
      <c r="W968">
        <f>IF(ISNUMBER(SEARCH("구리독자",$V968)),"구리독자","")</f>
        <v/>
      </c>
      <c r="X968">
        <f>IF($R968="","",$R968&amp;"|"&amp;IF(OR($Q968="인턴",ISNUMBER(SEARCH("수련교육부",$P968))),"인턴",$P968))</f>
        <v/>
      </c>
      <c r="Y968">
        <f>IF($R968="","",IF(COUNTIF(명단표[이름|과],$X968)=1,"명단 일치",IF(AND(COUNTIF(명단표[이름|과],$X968)=0,COUNTIF(명단표[이름],$R968)=1),"명단 일치(이름만, 과 다름)",IF(COUNTIF(명단표[이름],$R968)=0,IF(COUNTIF(기본자료표[이름],$R968)&gt;0,"명단에 없음(기본자료에는 있음)","명단에 없음"),"동명이인 확인"))))</f>
        <v/>
      </c>
      <c r="Z968">
        <f>IF($R968="","",IF($S968&lt;0,"⚠"&amp;INDEX('입력_구리근무자명단'!$A966:$ZZ966,1,$E$2+2),TEXT($S968,"yyyy-mm-dd")))</f>
        <v/>
      </c>
      <c r="AA968">
        <f>IF($R968="","",IF($T968&lt;0,"⚠"&amp;INDEX('입력_구리근무자명단'!$A966:$ZZ966,1,$E$2+3),TEXT($T968,"yyyy-mm-dd")))</f>
        <v/>
      </c>
      <c r="AB968">
        <f>AB967+IF($R968="",0,1)</f>
        <v/>
      </c>
      <c r="AC968">
        <f>IF($R968="","",$AB968)</f>
        <v/>
      </c>
    </row>
    <row r="969">
      <c r="O969">
        <f>967</f>
        <v/>
      </c>
      <c r="P969">
        <f>IF(TRIM('입력_구리근무자명단'!$A967&amp;"")&lt;&gt;"",TRIM('입력_구리근무자명단'!$A967&amp;""),P968)</f>
        <v/>
      </c>
      <c r="Q969">
        <f>'입력_구리근무자명단'!$B967&amp;""</f>
        <v/>
      </c>
      <c r="R969">
        <f>IF($E$2="","",TRIM(INDEX('입력_구리근무자명단'!$A967:$ZZ967,1,$E$2+IF($G$2="확정",1,0))&amp;""))</f>
        <v/>
      </c>
      <c r="S969">
        <f>IF($R969="","",IF(INDEX('입력_구리근무자명단'!$A967:$ZZ967,1,$E$2+2)&amp;""="",급여기준월,IF(ISNUMBER(INDEX('입력_구리근무자명단'!$A967:$ZZ967,1,$E$2+2)),INDEX('입력_구리근무자명단'!$A967:$ZZ967,1,$E$2+2),IFERROR(DATE(VALUE(LEFT(INDEX('입력_구리근무자명단'!$A967:$ZZ967,1,$E$2+2),4)),VALUE(MID(INDEX('입력_구리근무자명단'!$A967:$ZZ967,1,$E$2+2),6,2)),VALUE(MID(INDEX('입력_구리근무자명단'!$A967:$ZZ967,1,$E$2+2),9,2))),-1))))</f>
        <v/>
      </c>
      <c r="T969">
        <f>IF($R969="","",IF(INDEX('입력_구리근무자명단'!$A967:$ZZ967,1,$E$2+3)&amp;""="",EOMONTH(급여기준월,0),IF(ISNUMBER(INDEX('입력_구리근무자명단'!$A967:$ZZ967,1,$E$2+3)),INDEX('입력_구리근무자명단'!$A967:$ZZ967,1,$E$2+3),IFERROR(DATE(VALUE(LEFT(INDEX('입력_구리근무자명단'!$A967:$ZZ967,1,$E$2+3),4)),VALUE(MID(INDEX('입력_구리근무자명단'!$A967:$ZZ967,1,$E$2+3),6,2)),VALUE(MID(INDEX('입력_구리근무자명단'!$A967:$ZZ967,1,$E$2+3),9,2))),-1))))</f>
        <v/>
      </c>
      <c r="U969">
        <f>IF($R969="","",IF(OR($S969&lt;0,$T969&lt;0),0,MAX(0,MIN($T969,EOMONTH(급여기준월,0))-MAX($S969,급여기준월)+1)))</f>
        <v/>
      </c>
      <c r="V969">
        <f>IF($R969="","",TRIM(INDEX('입력_구리근무자명단'!$A967:$ZZ967,1,$E$2+5)&amp;""))</f>
        <v/>
      </c>
      <c r="W969">
        <f>IF(ISNUMBER(SEARCH("구리독자",$V969)),"구리독자","")</f>
        <v/>
      </c>
      <c r="X969">
        <f>IF($R969="","",$R969&amp;"|"&amp;IF(OR($Q969="인턴",ISNUMBER(SEARCH("수련교육부",$P969))),"인턴",$P969))</f>
        <v/>
      </c>
      <c r="Y969">
        <f>IF($R969="","",IF(COUNTIF(명단표[이름|과],$X969)=1,"명단 일치",IF(AND(COUNTIF(명단표[이름|과],$X969)=0,COUNTIF(명단표[이름],$R969)=1),"명단 일치(이름만, 과 다름)",IF(COUNTIF(명단표[이름],$R969)=0,IF(COUNTIF(기본자료표[이름],$R969)&gt;0,"명단에 없음(기본자료에는 있음)","명단에 없음"),"동명이인 확인"))))</f>
        <v/>
      </c>
      <c r="Z969">
        <f>IF($R969="","",IF($S969&lt;0,"⚠"&amp;INDEX('입력_구리근무자명단'!$A967:$ZZ967,1,$E$2+2),TEXT($S969,"yyyy-mm-dd")))</f>
        <v/>
      </c>
      <c r="AA969">
        <f>IF($R969="","",IF($T969&lt;0,"⚠"&amp;INDEX('입력_구리근무자명단'!$A967:$ZZ967,1,$E$2+3),TEXT($T969,"yyyy-mm-dd")))</f>
        <v/>
      </c>
      <c r="AB969">
        <f>AB968+IF($R969="",0,1)</f>
        <v/>
      </c>
      <c r="AC969">
        <f>IF($R969="","",$AB969)</f>
        <v/>
      </c>
    </row>
    <row r="970">
      <c r="O970">
        <f>968</f>
        <v/>
      </c>
      <c r="P970">
        <f>IF(TRIM('입력_구리근무자명단'!$A968&amp;"")&lt;&gt;"",TRIM('입력_구리근무자명단'!$A968&amp;""),P969)</f>
        <v/>
      </c>
      <c r="Q970">
        <f>'입력_구리근무자명단'!$B968&amp;""</f>
        <v/>
      </c>
      <c r="R970">
        <f>IF($E$2="","",TRIM(INDEX('입력_구리근무자명단'!$A968:$ZZ968,1,$E$2+IF($G$2="확정",1,0))&amp;""))</f>
        <v/>
      </c>
      <c r="S970">
        <f>IF($R970="","",IF(INDEX('입력_구리근무자명단'!$A968:$ZZ968,1,$E$2+2)&amp;""="",급여기준월,IF(ISNUMBER(INDEX('입력_구리근무자명단'!$A968:$ZZ968,1,$E$2+2)),INDEX('입력_구리근무자명단'!$A968:$ZZ968,1,$E$2+2),IFERROR(DATE(VALUE(LEFT(INDEX('입력_구리근무자명단'!$A968:$ZZ968,1,$E$2+2),4)),VALUE(MID(INDEX('입력_구리근무자명단'!$A968:$ZZ968,1,$E$2+2),6,2)),VALUE(MID(INDEX('입력_구리근무자명단'!$A968:$ZZ968,1,$E$2+2),9,2))),-1))))</f>
        <v/>
      </c>
      <c r="T970">
        <f>IF($R970="","",IF(INDEX('입력_구리근무자명단'!$A968:$ZZ968,1,$E$2+3)&amp;""="",EOMONTH(급여기준월,0),IF(ISNUMBER(INDEX('입력_구리근무자명단'!$A968:$ZZ968,1,$E$2+3)),INDEX('입력_구리근무자명단'!$A968:$ZZ968,1,$E$2+3),IFERROR(DATE(VALUE(LEFT(INDEX('입력_구리근무자명단'!$A968:$ZZ968,1,$E$2+3),4)),VALUE(MID(INDEX('입력_구리근무자명단'!$A968:$ZZ968,1,$E$2+3),6,2)),VALUE(MID(INDEX('입력_구리근무자명단'!$A968:$ZZ968,1,$E$2+3),9,2))),-1))))</f>
        <v/>
      </c>
      <c r="U970">
        <f>IF($R970="","",IF(OR($S970&lt;0,$T970&lt;0),0,MAX(0,MIN($T970,EOMONTH(급여기준월,0))-MAX($S970,급여기준월)+1)))</f>
        <v/>
      </c>
      <c r="V970">
        <f>IF($R970="","",TRIM(INDEX('입력_구리근무자명단'!$A968:$ZZ968,1,$E$2+5)&amp;""))</f>
        <v/>
      </c>
      <c r="W970">
        <f>IF(ISNUMBER(SEARCH("구리독자",$V970)),"구리독자","")</f>
        <v/>
      </c>
      <c r="X970">
        <f>IF($R970="","",$R970&amp;"|"&amp;IF(OR($Q970="인턴",ISNUMBER(SEARCH("수련교육부",$P970))),"인턴",$P970))</f>
        <v/>
      </c>
      <c r="Y970">
        <f>IF($R970="","",IF(COUNTIF(명단표[이름|과],$X970)=1,"명단 일치",IF(AND(COUNTIF(명단표[이름|과],$X970)=0,COUNTIF(명단표[이름],$R970)=1),"명단 일치(이름만, 과 다름)",IF(COUNTIF(명단표[이름],$R970)=0,IF(COUNTIF(기본자료표[이름],$R970)&gt;0,"명단에 없음(기본자료에는 있음)","명단에 없음"),"동명이인 확인"))))</f>
        <v/>
      </c>
      <c r="Z970">
        <f>IF($R970="","",IF($S970&lt;0,"⚠"&amp;INDEX('입력_구리근무자명단'!$A968:$ZZ968,1,$E$2+2),TEXT($S970,"yyyy-mm-dd")))</f>
        <v/>
      </c>
      <c r="AA970">
        <f>IF($R970="","",IF($T970&lt;0,"⚠"&amp;INDEX('입력_구리근무자명단'!$A968:$ZZ968,1,$E$2+3),TEXT($T970,"yyyy-mm-dd")))</f>
        <v/>
      </c>
      <c r="AB970">
        <f>AB969+IF($R970="",0,1)</f>
        <v/>
      </c>
      <c r="AC970">
        <f>IF($R970="","",$AB970)</f>
        <v/>
      </c>
    </row>
    <row r="971">
      <c r="O971">
        <f>969</f>
        <v/>
      </c>
      <c r="P971">
        <f>IF(TRIM('입력_구리근무자명단'!$A969&amp;"")&lt;&gt;"",TRIM('입력_구리근무자명단'!$A969&amp;""),P970)</f>
        <v/>
      </c>
      <c r="Q971">
        <f>'입력_구리근무자명단'!$B969&amp;""</f>
        <v/>
      </c>
      <c r="R971">
        <f>IF($E$2="","",TRIM(INDEX('입력_구리근무자명단'!$A969:$ZZ969,1,$E$2+IF($G$2="확정",1,0))&amp;""))</f>
        <v/>
      </c>
      <c r="S971">
        <f>IF($R971="","",IF(INDEX('입력_구리근무자명단'!$A969:$ZZ969,1,$E$2+2)&amp;""="",급여기준월,IF(ISNUMBER(INDEX('입력_구리근무자명단'!$A969:$ZZ969,1,$E$2+2)),INDEX('입력_구리근무자명단'!$A969:$ZZ969,1,$E$2+2),IFERROR(DATE(VALUE(LEFT(INDEX('입력_구리근무자명단'!$A969:$ZZ969,1,$E$2+2),4)),VALUE(MID(INDEX('입력_구리근무자명단'!$A969:$ZZ969,1,$E$2+2),6,2)),VALUE(MID(INDEX('입력_구리근무자명단'!$A969:$ZZ969,1,$E$2+2),9,2))),-1))))</f>
        <v/>
      </c>
      <c r="T971">
        <f>IF($R971="","",IF(INDEX('입력_구리근무자명단'!$A969:$ZZ969,1,$E$2+3)&amp;""="",EOMONTH(급여기준월,0),IF(ISNUMBER(INDEX('입력_구리근무자명단'!$A969:$ZZ969,1,$E$2+3)),INDEX('입력_구리근무자명단'!$A969:$ZZ969,1,$E$2+3),IFERROR(DATE(VALUE(LEFT(INDEX('입력_구리근무자명단'!$A969:$ZZ969,1,$E$2+3),4)),VALUE(MID(INDEX('입력_구리근무자명단'!$A969:$ZZ969,1,$E$2+3),6,2)),VALUE(MID(INDEX('입력_구리근무자명단'!$A969:$ZZ969,1,$E$2+3),9,2))),-1))))</f>
        <v/>
      </c>
      <c r="U971">
        <f>IF($R971="","",IF(OR($S971&lt;0,$T971&lt;0),0,MAX(0,MIN($T971,EOMONTH(급여기준월,0))-MAX($S971,급여기준월)+1)))</f>
        <v/>
      </c>
      <c r="V971">
        <f>IF($R971="","",TRIM(INDEX('입력_구리근무자명단'!$A969:$ZZ969,1,$E$2+5)&amp;""))</f>
        <v/>
      </c>
      <c r="W971">
        <f>IF(ISNUMBER(SEARCH("구리독자",$V971)),"구리독자","")</f>
        <v/>
      </c>
      <c r="X971">
        <f>IF($R971="","",$R971&amp;"|"&amp;IF(OR($Q971="인턴",ISNUMBER(SEARCH("수련교육부",$P971))),"인턴",$P971))</f>
        <v/>
      </c>
      <c r="Y971">
        <f>IF($R971="","",IF(COUNTIF(명단표[이름|과],$X971)=1,"명단 일치",IF(AND(COUNTIF(명단표[이름|과],$X971)=0,COUNTIF(명단표[이름],$R971)=1),"명단 일치(이름만, 과 다름)",IF(COUNTIF(명단표[이름],$R971)=0,IF(COUNTIF(기본자료표[이름],$R971)&gt;0,"명단에 없음(기본자료에는 있음)","명단에 없음"),"동명이인 확인"))))</f>
        <v/>
      </c>
      <c r="Z971">
        <f>IF($R971="","",IF($S971&lt;0,"⚠"&amp;INDEX('입력_구리근무자명단'!$A969:$ZZ969,1,$E$2+2),TEXT($S971,"yyyy-mm-dd")))</f>
        <v/>
      </c>
      <c r="AA971">
        <f>IF($R971="","",IF($T971&lt;0,"⚠"&amp;INDEX('입력_구리근무자명단'!$A969:$ZZ969,1,$E$2+3),TEXT($T971,"yyyy-mm-dd")))</f>
        <v/>
      </c>
      <c r="AB971">
        <f>AB970+IF($R971="",0,1)</f>
        <v/>
      </c>
      <c r="AC971">
        <f>IF($R971="","",$AB971)</f>
        <v/>
      </c>
    </row>
    <row r="972">
      <c r="O972">
        <f>970</f>
        <v/>
      </c>
      <c r="P972">
        <f>IF(TRIM('입력_구리근무자명단'!$A970&amp;"")&lt;&gt;"",TRIM('입력_구리근무자명단'!$A970&amp;""),P971)</f>
        <v/>
      </c>
      <c r="Q972">
        <f>'입력_구리근무자명단'!$B970&amp;""</f>
        <v/>
      </c>
      <c r="R972">
        <f>IF($E$2="","",TRIM(INDEX('입력_구리근무자명단'!$A970:$ZZ970,1,$E$2+IF($G$2="확정",1,0))&amp;""))</f>
        <v/>
      </c>
      <c r="S972">
        <f>IF($R972="","",IF(INDEX('입력_구리근무자명단'!$A970:$ZZ970,1,$E$2+2)&amp;""="",급여기준월,IF(ISNUMBER(INDEX('입력_구리근무자명단'!$A970:$ZZ970,1,$E$2+2)),INDEX('입력_구리근무자명단'!$A970:$ZZ970,1,$E$2+2),IFERROR(DATE(VALUE(LEFT(INDEX('입력_구리근무자명단'!$A970:$ZZ970,1,$E$2+2),4)),VALUE(MID(INDEX('입력_구리근무자명단'!$A970:$ZZ970,1,$E$2+2),6,2)),VALUE(MID(INDEX('입력_구리근무자명단'!$A970:$ZZ970,1,$E$2+2),9,2))),-1))))</f>
        <v/>
      </c>
      <c r="T972">
        <f>IF($R972="","",IF(INDEX('입력_구리근무자명단'!$A970:$ZZ970,1,$E$2+3)&amp;""="",EOMONTH(급여기준월,0),IF(ISNUMBER(INDEX('입력_구리근무자명단'!$A970:$ZZ970,1,$E$2+3)),INDEX('입력_구리근무자명단'!$A970:$ZZ970,1,$E$2+3),IFERROR(DATE(VALUE(LEFT(INDEX('입력_구리근무자명단'!$A970:$ZZ970,1,$E$2+3),4)),VALUE(MID(INDEX('입력_구리근무자명단'!$A970:$ZZ970,1,$E$2+3),6,2)),VALUE(MID(INDEX('입력_구리근무자명단'!$A970:$ZZ970,1,$E$2+3),9,2))),-1))))</f>
        <v/>
      </c>
      <c r="U972">
        <f>IF($R972="","",IF(OR($S972&lt;0,$T972&lt;0),0,MAX(0,MIN($T972,EOMONTH(급여기준월,0))-MAX($S972,급여기준월)+1)))</f>
        <v/>
      </c>
      <c r="V972">
        <f>IF($R972="","",TRIM(INDEX('입력_구리근무자명단'!$A970:$ZZ970,1,$E$2+5)&amp;""))</f>
        <v/>
      </c>
      <c r="W972">
        <f>IF(ISNUMBER(SEARCH("구리독자",$V972)),"구리독자","")</f>
        <v/>
      </c>
      <c r="X972">
        <f>IF($R972="","",$R972&amp;"|"&amp;IF(OR($Q972="인턴",ISNUMBER(SEARCH("수련교육부",$P972))),"인턴",$P972))</f>
        <v/>
      </c>
      <c r="Y972">
        <f>IF($R972="","",IF(COUNTIF(명단표[이름|과],$X972)=1,"명단 일치",IF(AND(COUNTIF(명단표[이름|과],$X972)=0,COUNTIF(명단표[이름],$R972)=1),"명단 일치(이름만, 과 다름)",IF(COUNTIF(명단표[이름],$R972)=0,IF(COUNTIF(기본자료표[이름],$R972)&gt;0,"명단에 없음(기본자료에는 있음)","명단에 없음"),"동명이인 확인"))))</f>
        <v/>
      </c>
      <c r="Z972">
        <f>IF($R972="","",IF($S972&lt;0,"⚠"&amp;INDEX('입력_구리근무자명단'!$A970:$ZZ970,1,$E$2+2),TEXT($S972,"yyyy-mm-dd")))</f>
        <v/>
      </c>
      <c r="AA972">
        <f>IF($R972="","",IF($T972&lt;0,"⚠"&amp;INDEX('입력_구리근무자명단'!$A970:$ZZ970,1,$E$2+3),TEXT($T972,"yyyy-mm-dd")))</f>
        <v/>
      </c>
      <c r="AB972">
        <f>AB971+IF($R972="",0,1)</f>
        <v/>
      </c>
      <c r="AC972">
        <f>IF($R972="","",$AB972)</f>
        <v/>
      </c>
    </row>
    <row r="973">
      <c r="O973">
        <f>971</f>
        <v/>
      </c>
      <c r="P973">
        <f>IF(TRIM('입력_구리근무자명단'!$A971&amp;"")&lt;&gt;"",TRIM('입력_구리근무자명단'!$A971&amp;""),P972)</f>
        <v/>
      </c>
      <c r="Q973">
        <f>'입력_구리근무자명단'!$B971&amp;""</f>
        <v/>
      </c>
      <c r="R973">
        <f>IF($E$2="","",TRIM(INDEX('입력_구리근무자명단'!$A971:$ZZ971,1,$E$2+IF($G$2="확정",1,0))&amp;""))</f>
        <v/>
      </c>
      <c r="S973">
        <f>IF($R973="","",IF(INDEX('입력_구리근무자명단'!$A971:$ZZ971,1,$E$2+2)&amp;""="",급여기준월,IF(ISNUMBER(INDEX('입력_구리근무자명단'!$A971:$ZZ971,1,$E$2+2)),INDEX('입력_구리근무자명단'!$A971:$ZZ971,1,$E$2+2),IFERROR(DATE(VALUE(LEFT(INDEX('입력_구리근무자명단'!$A971:$ZZ971,1,$E$2+2),4)),VALUE(MID(INDEX('입력_구리근무자명단'!$A971:$ZZ971,1,$E$2+2),6,2)),VALUE(MID(INDEX('입력_구리근무자명단'!$A971:$ZZ971,1,$E$2+2),9,2))),-1))))</f>
        <v/>
      </c>
      <c r="T973">
        <f>IF($R973="","",IF(INDEX('입력_구리근무자명단'!$A971:$ZZ971,1,$E$2+3)&amp;""="",EOMONTH(급여기준월,0),IF(ISNUMBER(INDEX('입력_구리근무자명단'!$A971:$ZZ971,1,$E$2+3)),INDEX('입력_구리근무자명단'!$A971:$ZZ971,1,$E$2+3),IFERROR(DATE(VALUE(LEFT(INDEX('입력_구리근무자명단'!$A971:$ZZ971,1,$E$2+3),4)),VALUE(MID(INDEX('입력_구리근무자명단'!$A971:$ZZ971,1,$E$2+3),6,2)),VALUE(MID(INDEX('입력_구리근무자명단'!$A971:$ZZ971,1,$E$2+3),9,2))),-1))))</f>
        <v/>
      </c>
      <c r="U973">
        <f>IF($R973="","",IF(OR($S973&lt;0,$T973&lt;0),0,MAX(0,MIN($T973,EOMONTH(급여기준월,0))-MAX($S973,급여기준월)+1)))</f>
        <v/>
      </c>
      <c r="V973">
        <f>IF($R973="","",TRIM(INDEX('입력_구리근무자명단'!$A971:$ZZ971,1,$E$2+5)&amp;""))</f>
        <v/>
      </c>
      <c r="W973">
        <f>IF(ISNUMBER(SEARCH("구리독자",$V973)),"구리독자","")</f>
        <v/>
      </c>
      <c r="X973">
        <f>IF($R973="","",$R973&amp;"|"&amp;IF(OR($Q973="인턴",ISNUMBER(SEARCH("수련교육부",$P973))),"인턴",$P973))</f>
        <v/>
      </c>
      <c r="Y973">
        <f>IF($R973="","",IF(COUNTIF(명단표[이름|과],$X973)=1,"명단 일치",IF(AND(COUNTIF(명단표[이름|과],$X973)=0,COUNTIF(명단표[이름],$R973)=1),"명단 일치(이름만, 과 다름)",IF(COUNTIF(명단표[이름],$R973)=0,IF(COUNTIF(기본자료표[이름],$R973)&gt;0,"명단에 없음(기본자료에는 있음)","명단에 없음"),"동명이인 확인"))))</f>
        <v/>
      </c>
      <c r="Z973">
        <f>IF($R973="","",IF($S973&lt;0,"⚠"&amp;INDEX('입력_구리근무자명단'!$A971:$ZZ971,1,$E$2+2),TEXT($S973,"yyyy-mm-dd")))</f>
        <v/>
      </c>
      <c r="AA973">
        <f>IF($R973="","",IF($T973&lt;0,"⚠"&amp;INDEX('입력_구리근무자명단'!$A971:$ZZ971,1,$E$2+3),TEXT($T973,"yyyy-mm-dd")))</f>
        <v/>
      </c>
      <c r="AB973">
        <f>AB972+IF($R973="",0,1)</f>
        <v/>
      </c>
      <c r="AC973">
        <f>IF($R973="","",$AB973)</f>
        <v/>
      </c>
    </row>
    <row r="974">
      <c r="O974">
        <f>972</f>
        <v/>
      </c>
      <c r="P974">
        <f>IF(TRIM('입력_구리근무자명단'!$A972&amp;"")&lt;&gt;"",TRIM('입력_구리근무자명단'!$A972&amp;""),P973)</f>
        <v/>
      </c>
      <c r="Q974">
        <f>'입력_구리근무자명단'!$B972&amp;""</f>
        <v/>
      </c>
      <c r="R974">
        <f>IF($E$2="","",TRIM(INDEX('입력_구리근무자명단'!$A972:$ZZ972,1,$E$2+IF($G$2="확정",1,0))&amp;""))</f>
        <v/>
      </c>
      <c r="S974">
        <f>IF($R974="","",IF(INDEX('입력_구리근무자명단'!$A972:$ZZ972,1,$E$2+2)&amp;""="",급여기준월,IF(ISNUMBER(INDEX('입력_구리근무자명단'!$A972:$ZZ972,1,$E$2+2)),INDEX('입력_구리근무자명단'!$A972:$ZZ972,1,$E$2+2),IFERROR(DATE(VALUE(LEFT(INDEX('입력_구리근무자명단'!$A972:$ZZ972,1,$E$2+2),4)),VALUE(MID(INDEX('입력_구리근무자명단'!$A972:$ZZ972,1,$E$2+2),6,2)),VALUE(MID(INDEX('입력_구리근무자명단'!$A972:$ZZ972,1,$E$2+2),9,2))),-1))))</f>
        <v/>
      </c>
      <c r="T974">
        <f>IF($R974="","",IF(INDEX('입력_구리근무자명단'!$A972:$ZZ972,1,$E$2+3)&amp;""="",EOMONTH(급여기준월,0),IF(ISNUMBER(INDEX('입력_구리근무자명단'!$A972:$ZZ972,1,$E$2+3)),INDEX('입력_구리근무자명단'!$A972:$ZZ972,1,$E$2+3),IFERROR(DATE(VALUE(LEFT(INDEX('입력_구리근무자명단'!$A972:$ZZ972,1,$E$2+3),4)),VALUE(MID(INDEX('입력_구리근무자명단'!$A972:$ZZ972,1,$E$2+3),6,2)),VALUE(MID(INDEX('입력_구리근무자명단'!$A972:$ZZ972,1,$E$2+3),9,2))),-1))))</f>
        <v/>
      </c>
      <c r="U974">
        <f>IF($R974="","",IF(OR($S974&lt;0,$T974&lt;0),0,MAX(0,MIN($T974,EOMONTH(급여기준월,0))-MAX($S974,급여기준월)+1)))</f>
        <v/>
      </c>
      <c r="V974">
        <f>IF($R974="","",TRIM(INDEX('입력_구리근무자명단'!$A972:$ZZ972,1,$E$2+5)&amp;""))</f>
        <v/>
      </c>
      <c r="W974">
        <f>IF(ISNUMBER(SEARCH("구리독자",$V974)),"구리독자","")</f>
        <v/>
      </c>
      <c r="X974">
        <f>IF($R974="","",$R974&amp;"|"&amp;IF(OR($Q974="인턴",ISNUMBER(SEARCH("수련교육부",$P974))),"인턴",$P974))</f>
        <v/>
      </c>
      <c r="Y974">
        <f>IF($R974="","",IF(COUNTIF(명단표[이름|과],$X974)=1,"명단 일치",IF(AND(COUNTIF(명단표[이름|과],$X974)=0,COUNTIF(명단표[이름],$R974)=1),"명단 일치(이름만, 과 다름)",IF(COUNTIF(명단표[이름],$R974)=0,IF(COUNTIF(기본자료표[이름],$R974)&gt;0,"명단에 없음(기본자료에는 있음)","명단에 없음"),"동명이인 확인"))))</f>
        <v/>
      </c>
      <c r="Z974">
        <f>IF($R974="","",IF($S974&lt;0,"⚠"&amp;INDEX('입력_구리근무자명단'!$A972:$ZZ972,1,$E$2+2),TEXT($S974,"yyyy-mm-dd")))</f>
        <v/>
      </c>
      <c r="AA974">
        <f>IF($R974="","",IF($T974&lt;0,"⚠"&amp;INDEX('입력_구리근무자명단'!$A972:$ZZ972,1,$E$2+3),TEXT($T974,"yyyy-mm-dd")))</f>
        <v/>
      </c>
      <c r="AB974">
        <f>AB973+IF($R974="",0,1)</f>
        <v/>
      </c>
      <c r="AC974">
        <f>IF($R974="","",$AB974)</f>
        <v/>
      </c>
    </row>
    <row r="975">
      <c r="O975">
        <f>973</f>
        <v/>
      </c>
      <c r="P975">
        <f>IF(TRIM('입력_구리근무자명단'!$A973&amp;"")&lt;&gt;"",TRIM('입력_구리근무자명단'!$A973&amp;""),P974)</f>
        <v/>
      </c>
      <c r="Q975">
        <f>'입력_구리근무자명단'!$B973&amp;""</f>
        <v/>
      </c>
      <c r="R975">
        <f>IF($E$2="","",TRIM(INDEX('입력_구리근무자명단'!$A973:$ZZ973,1,$E$2+IF($G$2="확정",1,0))&amp;""))</f>
        <v/>
      </c>
      <c r="S975">
        <f>IF($R975="","",IF(INDEX('입력_구리근무자명단'!$A973:$ZZ973,1,$E$2+2)&amp;""="",급여기준월,IF(ISNUMBER(INDEX('입력_구리근무자명단'!$A973:$ZZ973,1,$E$2+2)),INDEX('입력_구리근무자명단'!$A973:$ZZ973,1,$E$2+2),IFERROR(DATE(VALUE(LEFT(INDEX('입력_구리근무자명단'!$A973:$ZZ973,1,$E$2+2),4)),VALUE(MID(INDEX('입력_구리근무자명단'!$A973:$ZZ973,1,$E$2+2),6,2)),VALUE(MID(INDEX('입력_구리근무자명단'!$A973:$ZZ973,1,$E$2+2),9,2))),-1))))</f>
        <v/>
      </c>
      <c r="T975">
        <f>IF($R975="","",IF(INDEX('입력_구리근무자명단'!$A973:$ZZ973,1,$E$2+3)&amp;""="",EOMONTH(급여기준월,0),IF(ISNUMBER(INDEX('입력_구리근무자명단'!$A973:$ZZ973,1,$E$2+3)),INDEX('입력_구리근무자명단'!$A973:$ZZ973,1,$E$2+3),IFERROR(DATE(VALUE(LEFT(INDEX('입력_구리근무자명단'!$A973:$ZZ973,1,$E$2+3),4)),VALUE(MID(INDEX('입력_구리근무자명단'!$A973:$ZZ973,1,$E$2+3),6,2)),VALUE(MID(INDEX('입력_구리근무자명단'!$A973:$ZZ973,1,$E$2+3),9,2))),-1))))</f>
        <v/>
      </c>
      <c r="U975">
        <f>IF($R975="","",IF(OR($S975&lt;0,$T975&lt;0),0,MAX(0,MIN($T975,EOMONTH(급여기준월,0))-MAX($S975,급여기준월)+1)))</f>
        <v/>
      </c>
      <c r="V975">
        <f>IF($R975="","",TRIM(INDEX('입력_구리근무자명단'!$A973:$ZZ973,1,$E$2+5)&amp;""))</f>
        <v/>
      </c>
      <c r="W975">
        <f>IF(ISNUMBER(SEARCH("구리독자",$V975)),"구리독자","")</f>
        <v/>
      </c>
      <c r="X975">
        <f>IF($R975="","",$R975&amp;"|"&amp;IF(OR($Q975="인턴",ISNUMBER(SEARCH("수련교육부",$P975))),"인턴",$P975))</f>
        <v/>
      </c>
      <c r="Y975">
        <f>IF($R975="","",IF(COUNTIF(명단표[이름|과],$X975)=1,"명단 일치",IF(AND(COUNTIF(명단표[이름|과],$X975)=0,COUNTIF(명단표[이름],$R975)=1),"명단 일치(이름만, 과 다름)",IF(COUNTIF(명단표[이름],$R975)=0,IF(COUNTIF(기본자료표[이름],$R975)&gt;0,"명단에 없음(기본자료에는 있음)","명단에 없음"),"동명이인 확인"))))</f>
        <v/>
      </c>
      <c r="Z975">
        <f>IF($R975="","",IF($S975&lt;0,"⚠"&amp;INDEX('입력_구리근무자명단'!$A973:$ZZ973,1,$E$2+2),TEXT($S975,"yyyy-mm-dd")))</f>
        <v/>
      </c>
      <c r="AA975">
        <f>IF($R975="","",IF($T975&lt;0,"⚠"&amp;INDEX('입력_구리근무자명단'!$A973:$ZZ973,1,$E$2+3),TEXT($T975,"yyyy-mm-dd")))</f>
        <v/>
      </c>
      <c r="AB975">
        <f>AB974+IF($R975="",0,1)</f>
        <v/>
      </c>
      <c r="AC975">
        <f>IF($R975="","",$AB975)</f>
        <v/>
      </c>
    </row>
    <row r="976">
      <c r="O976">
        <f>974</f>
        <v/>
      </c>
      <c r="P976">
        <f>IF(TRIM('입력_구리근무자명단'!$A974&amp;"")&lt;&gt;"",TRIM('입력_구리근무자명단'!$A974&amp;""),P975)</f>
        <v/>
      </c>
      <c r="Q976">
        <f>'입력_구리근무자명단'!$B974&amp;""</f>
        <v/>
      </c>
      <c r="R976">
        <f>IF($E$2="","",TRIM(INDEX('입력_구리근무자명단'!$A974:$ZZ974,1,$E$2+IF($G$2="확정",1,0))&amp;""))</f>
        <v/>
      </c>
      <c r="S976">
        <f>IF($R976="","",IF(INDEX('입력_구리근무자명단'!$A974:$ZZ974,1,$E$2+2)&amp;""="",급여기준월,IF(ISNUMBER(INDEX('입력_구리근무자명단'!$A974:$ZZ974,1,$E$2+2)),INDEX('입력_구리근무자명단'!$A974:$ZZ974,1,$E$2+2),IFERROR(DATE(VALUE(LEFT(INDEX('입력_구리근무자명단'!$A974:$ZZ974,1,$E$2+2),4)),VALUE(MID(INDEX('입력_구리근무자명단'!$A974:$ZZ974,1,$E$2+2),6,2)),VALUE(MID(INDEX('입력_구리근무자명단'!$A974:$ZZ974,1,$E$2+2),9,2))),-1))))</f>
        <v/>
      </c>
      <c r="T976">
        <f>IF($R976="","",IF(INDEX('입력_구리근무자명단'!$A974:$ZZ974,1,$E$2+3)&amp;""="",EOMONTH(급여기준월,0),IF(ISNUMBER(INDEX('입력_구리근무자명단'!$A974:$ZZ974,1,$E$2+3)),INDEX('입력_구리근무자명단'!$A974:$ZZ974,1,$E$2+3),IFERROR(DATE(VALUE(LEFT(INDEX('입력_구리근무자명단'!$A974:$ZZ974,1,$E$2+3),4)),VALUE(MID(INDEX('입력_구리근무자명단'!$A974:$ZZ974,1,$E$2+3),6,2)),VALUE(MID(INDEX('입력_구리근무자명단'!$A974:$ZZ974,1,$E$2+3),9,2))),-1))))</f>
        <v/>
      </c>
      <c r="U976">
        <f>IF($R976="","",IF(OR($S976&lt;0,$T976&lt;0),0,MAX(0,MIN($T976,EOMONTH(급여기준월,0))-MAX($S976,급여기준월)+1)))</f>
        <v/>
      </c>
      <c r="V976">
        <f>IF($R976="","",TRIM(INDEX('입력_구리근무자명단'!$A974:$ZZ974,1,$E$2+5)&amp;""))</f>
        <v/>
      </c>
      <c r="W976">
        <f>IF(ISNUMBER(SEARCH("구리독자",$V976)),"구리독자","")</f>
        <v/>
      </c>
      <c r="X976">
        <f>IF($R976="","",$R976&amp;"|"&amp;IF(OR($Q976="인턴",ISNUMBER(SEARCH("수련교육부",$P976))),"인턴",$P976))</f>
        <v/>
      </c>
      <c r="Y976">
        <f>IF($R976="","",IF(COUNTIF(명단표[이름|과],$X976)=1,"명단 일치",IF(AND(COUNTIF(명단표[이름|과],$X976)=0,COUNTIF(명단표[이름],$R976)=1),"명단 일치(이름만, 과 다름)",IF(COUNTIF(명단표[이름],$R976)=0,IF(COUNTIF(기본자료표[이름],$R976)&gt;0,"명단에 없음(기본자료에는 있음)","명단에 없음"),"동명이인 확인"))))</f>
        <v/>
      </c>
      <c r="Z976">
        <f>IF($R976="","",IF($S976&lt;0,"⚠"&amp;INDEX('입력_구리근무자명단'!$A974:$ZZ974,1,$E$2+2),TEXT($S976,"yyyy-mm-dd")))</f>
        <v/>
      </c>
      <c r="AA976">
        <f>IF($R976="","",IF($T976&lt;0,"⚠"&amp;INDEX('입력_구리근무자명단'!$A974:$ZZ974,1,$E$2+3),TEXT($T976,"yyyy-mm-dd")))</f>
        <v/>
      </c>
      <c r="AB976">
        <f>AB975+IF($R976="",0,1)</f>
        <v/>
      </c>
      <c r="AC976">
        <f>IF($R976="","",$AB976)</f>
        <v/>
      </c>
    </row>
    <row r="977">
      <c r="O977">
        <f>975</f>
        <v/>
      </c>
      <c r="P977">
        <f>IF(TRIM('입력_구리근무자명단'!$A975&amp;"")&lt;&gt;"",TRIM('입력_구리근무자명단'!$A975&amp;""),P976)</f>
        <v/>
      </c>
      <c r="Q977">
        <f>'입력_구리근무자명단'!$B975&amp;""</f>
        <v/>
      </c>
      <c r="R977">
        <f>IF($E$2="","",TRIM(INDEX('입력_구리근무자명단'!$A975:$ZZ975,1,$E$2+IF($G$2="확정",1,0))&amp;""))</f>
        <v/>
      </c>
      <c r="S977">
        <f>IF($R977="","",IF(INDEX('입력_구리근무자명단'!$A975:$ZZ975,1,$E$2+2)&amp;""="",급여기준월,IF(ISNUMBER(INDEX('입력_구리근무자명단'!$A975:$ZZ975,1,$E$2+2)),INDEX('입력_구리근무자명단'!$A975:$ZZ975,1,$E$2+2),IFERROR(DATE(VALUE(LEFT(INDEX('입력_구리근무자명단'!$A975:$ZZ975,1,$E$2+2),4)),VALUE(MID(INDEX('입력_구리근무자명단'!$A975:$ZZ975,1,$E$2+2),6,2)),VALUE(MID(INDEX('입력_구리근무자명단'!$A975:$ZZ975,1,$E$2+2),9,2))),-1))))</f>
        <v/>
      </c>
      <c r="T977">
        <f>IF($R977="","",IF(INDEX('입력_구리근무자명단'!$A975:$ZZ975,1,$E$2+3)&amp;""="",EOMONTH(급여기준월,0),IF(ISNUMBER(INDEX('입력_구리근무자명단'!$A975:$ZZ975,1,$E$2+3)),INDEX('입력_구리근무자명단'!$A975:$ZZ975,1,$E$2+3),IFERROR(DATE(VALUE(LEFT(INDEX('입력_구리근무자명단'!$A975:$ZZ975,1,$E$2+3),4)),VALUE(MID(INDEX('입력_구리근무자명단'!$A975:$ZZ975,1,$E$2+3),6,2)),VALUE(MID(INDEX('입력_구리근무자명단'!$A975:$ZZ975,1,$E$2+3),9,2))),-1))))</f>
        <v/>
      </c>
      <c r="U977">
        <f>IF($R977="","",IF(OR($S977&lt;0,$T977&lt;0),0,MAX(0,MIN($T977,EOMONTH(급여기준월,0))-MAX($S977,급여기준월)+1)))</f>
        <v/>
      </c>
      <c r="V977">
        <f>IF($R977="","",TRIM(INDEX('입력_구리근무자명단'!$A975:$ZZ975,1,$E$2+5)&amp;""))</f>
        <v/>
      </c>
      <c r="W977">
        <f>IF(ISNUMBER(SEARCH("구리독자",$V977)),"구리독자","")</f>
        <v/>
      </c>
      <c r="X977">
        <f>IF($R977="","",$R977&amp;"|"&amp;IF(OR($Q977="인턴",ISNUMBER(SEARCH("수련교육부",$P977))),"인턴",$P977))</f>
        <v/>
      </c>
      <c r="Y977">
        <f>IF($R977="","",IF(COUNTIF(명단표[이름|과],$X977)=1,"명단 일치",IF(AND(COUNTIF(명단표[이름|과],$X977)=0,COUNTIF(명단표[이름],$R977)=1),"명단 일치(이름만, 과 다름)",IF(COUNTIF(명단표[이름],$R977)=0,IF(COUNTIF(기본자료표[이름],$R977)&gt;0,"명단에 없음(기본자료에는 있음)","명단에 없음"),"동명이인 확인"))))</f>
        <v/>
      </c>
      <c r="Z977">
        <f>IF($R977="","",IF($S977&lt;0,"⚠"&amp;INDEX('입력_구리근무자명단'!$A975:$ZZ975,1,$E$2+2),TEXT($S977,"yyyy-mm-dd")))</f>
        <v/>
      </c>
      <c r="AA977">
        <f>IF($R977="","",IF($T977&lt;0,"⚠"&amp;INDEX('입력_구리근무자명단'!$A975:$ZZ975,1,$E$2+3),TEXT($T977,"yyyy-mm-dd")))</f>
        <v/>
      </c>
      <c r="AB977">
        <f>AB976+IF($R977="",0,1)</f>
        <v/>
      </c>
      <c r="AC977">
        <f>IF($R977="","",$AB977)</f>
        <v/>
      </c>
    </row>
    <row r="978">
      <c r="O978">
        <f>976</f>
        <v/>
      </c>
      <c r="P978">
        <f>IF(TRIM('입력_구리근무자명단'!$A976&amp;"")&lt;&gt;"",TRIM('입력_구리근무자명단'!$A976&amp;""),P977)</f>
        <v/>
      </c>
      <c r="Q978">
        <f>'입력_구리근무자명단'!$B976&amp;""</f>
        <v/>
      </c>
      <c r="R978">
        <f>IF($E$2="","",TRIM(INDEX('입력_구리근무자명단'!$A976:$ZZ976,1,$E$2+IF($G$2="확정",1,0))&amp;""))</f>
        <v/>
      </c>
      <c r="S978">
        <f>IF($R978="","",IF(INDEX('입력_구리근무자명단'!$A976:$ZZ976,1,$E$2+2)&amp;""="",급여기준월,IF(ISNUMBER(INDEX('입력_구리근무자명단'!$A976:$ZZ976,1,$E$2+2)),INDEX('입력_구리근무자명단'!$A976:$ZZ976,1,$E$2+2),IFERROR(DATE(VALUE(LEFT(INDEX('입력_구리근무자명단'!$A976:$ZZ976,1,$E$2+2),4)),VALUE(MID(INDEX('입력_구리근무자명단'!$A976:$ZZ976,1,$E$2+2),6,2)),VALUE(MID(INDEX('입력_구리근무자명단'!$A976:$ZZ976,1,$E$2+2),9,2))),-1))))</f>
        <v/>
      </c>
      <c r="T978">
        <f>IF($R978="","",IF(INDEX('입력_구리근무자명단'!$A976:$ZZ976,1,$E$2+3)&amp;""="",EOMONTH(급여기준월,0),IF(ISNUMBER(INDEX('입력_구리근무자명단'!$A976:$ZZ976,1,$E$2+3)),INDEX('입력_구리근무자명단'!$A976:$ZZ976,1,$E$2+3),IFERROR(DATE(VALUE(LEFT(INDEX('입력_구리근무자명단'!$A976:$ZZ976,1,$E$2+3),4)),VALUE(MID(INDEX('입력_구리근무자명단'!$A976:$ZZ976,1,$E$2+3),6,2)),VALUE(MID(INDEX('입력_구리근무자명단'!$A976:$ZZ976,1,$E$2+3),9,2))),-1))))</f>
        <v/>
      </c>
      <c r="U978">
        <f>IF($R978="","",IF(OR($S978&lt;0,$T978&lt;0),0,MAX(0,MIN($T978,EOMONTH(급여기준월,0))-MAX($S978,급여기준월)+1)))</f>
        <v/>
      </c>
      <c r="V978">
        <f>IF($R978="","",TRIM(INDEX('입력_구리근무자명단'!$A976:$ZZ976,1,$E$2+5)&amp;""))</f>
        <v/>
      </c>
      <c r="W978">
        <f>IF(ISNUMBER(SEARCH("구리독자",$V978)),"구리독자","")</f>
        <v/>
      </c>
      <c r="X978">
        <f>IF($R978="","",$R978&amp;"|"&amp;IF(OR($Q978="인턴",ISNUMBER(SEARCH("수련교육부",$P978))),"인턴",$P978))</f>
        <v/>
      </c>
      <c r="Y978">
        <f>IF($R978="","",IF(COUNTIF(명단표[이름|과],$X978)=1,"명단 일치",IF(AND(COUNTIF(명단표[이름|과],$X978)=0,COUNTIF(명단표[이름],$R978)=1),"명단 일치(이름만, 과 다름)",IF(COUNTIF(명단표[이름],$R978)=0,IF(COUNTIF(기본자료표[이름],$R978)&gt;0,"명단에 없음(기본자료에는 있음)","명단에 없음"),"동명이인 확인"))))</f>
        <v/>
      </c>
      <c r="Z978">
        <f>IF($R978="","",IF($S978&lt;0,"⚠"&amp;INDEX('입력_구리근무자명단'!$A976:$ZZ976,1,$E$2+2),TEXT($S978,"yyyy-mm-dd")))</f>
        <v/>
      </c>
      <c r="AA978">
        <f>IF($R978="","",IF($T978&lt;0,"⚠"&amp;INDEX('입력_구리근무자명단'!$A976:$ZZ976,1,$E$2+3),TEXT($T978,"yyyy-mm-dd")))</f>
        <v/>
      </c>
      <c r="AB978">
        <f>AB977+IF($R978="",0,1)</f>
        <v/>
      </c>
      <c r="AC978">
        <f>IF($R978="","",$AB978)</f>
        <v/>
      </c>
    </row>
    <row r="979">
      <c r="O979">
        <f>977</f>
        <v/>
      </c>
      <c r="P979">
        <f>IF(TRIM('입력_구리근무자명단'!$A977&amp;"")&lt;&gt;"",TRIM('입력_구리근무자명단'!$A977&amp;""),P978)</f>
        <v/>
      </c>
      <c r="Q979">
        <f>'입력_구리근무자명단'!$B977&amp;""</f>
        <v/>
      </c>
      <c r="R979">
        <f>IF($E$2="","",TRIM(INDEX('입력_구리근무자명단'!$A977:$ZZ977,1,$E$2+IF($G$2="확정",1,0))&amp;""))</f>
        <v/>
      </c>
      <c r="S979">
        <f>IF($R979="","",IF(INDEX('입력_구리근무자명단'!$A977:$ZZ977,1,$E$2+2)&amp;""="",급여기준월,IF(ISNUMBER(INDEX('입력_구리근무자명단'!$A977:$ZZ977,1,$E$2+2)),INDEX('입력_구리근무자명단'!$A977:$ZZ977,1,$E$2+2),IFERROR(DATE(VALUE(LEFT(INDEX('입력_구리근무자명단'!$A977:$ZZ977,1,$E$2+2),4)),VALUE(MID(INDEX('입력_구리근무자명단'!$A977:$ZZ977,1,$E$2+2),6,2)),VALUE(MID(INDEX('입력_구리근무자명단'!$A977:$ZZ977,1,$E$2+2),9,2))),-1))))</f>
        <v/>
      </c>
      <c r="T979">
        <f>IF($R979="","",IF(INDEX('입력_구리근무자명단'!$A977:$ZZ977,1,$E$2+3)&amp;""="",EOMONTH(급여기준월,0),IF(ISNUMBER(INDEX('입력_구리근무자명단'!$A977:$ZZ977,1,$E$2+3)),INDEX('입력_구리근무자명단'!$A977:$ZZ977,1,$E$2+3),IFERROR(DATE(VALUE(LEFT(INDEX('입력_구리근무자명단'!$A977:$ZZ977,1,$E$2+3),4)),VALUE(MID(INDEX('입력_구리근무자명단'!$A977:$ZZ977,1,$E$2+3),6,2)),VALUE(MID(INDEX('입력_구리근무자명단'!$A977:$ZZ977,1,$E$2+3),9,2))),-1))))</f>
        <v/>
      </c>
      <c r="U979">
        <f>IF($R979="","",IF(OR($S979&lt;0,$T979&lt;0),0,MAX(0,MIN($T979,EOMONTH(급여기준월,0))-MAX($S979,급여기준월)+1)))</f>
        <v/>
      </c>
      <c r="V979">
        <f>IF($R979="","",TRIM(INDEX('입력_구리근무자명단'!$A977:$ZZ977,1,$E$2+5)&amp;""))</f>
        <v/>
      </c>
      <c r="W979">
        <f>IF(ISNUMBER(SEARCH("구리독자",$V979)),"구리독자","")</f>
        <v/>
      </c>
      <c r="X979">
        <f>IF($R979="","",$R979&amp;"|"&amp;IF(OR($Q979="인턴",ISNUMBER(SEARCH("수련교육부",$P979))),"인턴",$P979))</f>
        <v/>
      </c>
      <c r="Y979">
        <f>IF($R979="","",IF(COUNTIF(명단표[이름|과],$X979)=1,"명단 일치",IF(AND(COUNTIF(명단표[이름|과],$X979)=0,COUNTIF(명단표[이름],$R979)=1),"명단 일치(이름만, 과 다름)",IF(COUNTIF(명단표[이름],$R979)=0,IF(COUNTIF(기본자료표[이름],$R979)&gt;0,"명단에 없음(기본자료에는 있음)","명단에 없음"),"동명이인 확인"))))</f>
        <v/>
      </c>
      <c r="Z979">
        <f>IF($R979="","",IF($S979&lt;0,"⚠"&amp;INDEX('입력_구리근무자명단'!$A977:$ZZ977,1,$E$2+2),TEXT($S979,"yyyy-mm-dd")))</f>
        <v/>
      </c>
      <c r="AA979">
        <f>IF($R979="","",IF($T979&lt;0,"⚠"&amp;INDEX('입력_구리근무자명단'!$A977:$ZZ977,1,$E$2+3),TEXT($T979,"yyyy-mm-dd")))</f>
        <v/>
      </c>
      <c r="AB979">
        <f>AB978+IF($R979="",0,1)</f>
        <v/>
      </c>
      <c r="AC979">
        <f>IF($R979="","",$AB979)</f>
        <v/>
      </c>
    </row>
    <row r="980">
      <c r="O980">
        <f>978</f>
        <v/>
      </c>
      <c r="P980">
        <f>IF(TRIM('입력_구리근무자명단'!$A978&amp;"")&lt;&gt;"",TRIM('입력_구리근무자명단'!$A978&amp;""),P979)</f>
        <v/>
      </c>
      <c r="Q980">
        <f>'입력_구리근무자명단'!$B978&amp;""</f>
        <v/>
      </c>
      <c r="R980">
        <f>IF($E$2="","",TRIM(INDEX('입력_구리근무자명단'!$A978:$ZZ978,1,$E$2+IF($G$2="확정",1,0))&amp;""))</f>
        <v/>
      </c>
      <c r="S980">
        <f>IF($R980="","",IF(INDEX('입력_구리근무자명단'!$A978:$ZZ978,1,$E$2+2)&amp;""="",급여기준월,IF(ISNUMBER(INDEX('입력_구리근무자명단'!$A978:$ZZ978,1,$E$2+2)),INDEX('입력_구리근무자명단'!$A978:$ZZ978,1,$E$2+2),IFERROR(DATE(VALUE(LEFT(INDEX('입력_구리근무자명단'!$A978:$ZZ978,1,$E$2+2),4)),VALUE(MID(INDEX('입력_구리근무자명단'!$A978:$ZZ978,1,$E$2+2),6,2)),VALUE(MID(INDEX('입력_구리근무자명단'!$A978:$ZZ978,1,$E$2+2),9,2))),-1))))</f>
        <v/>
      </c>
      <c r="T980">
        <f>IF($R980="","",IF(INDEX('입력_구리근무자명단'!$A978:$ZZ978,1,$E$2+3)&amp;""="",EOMONTH(급여기준월,0),IF(ISNUMBER(INDEX('입력_구리근무자명단'!$A978:$ZZ978,1,$E$2+3)),INDEX('입력_구리근무자명단'!$A978:$ZZ978,1,$E$2+3),IFERROR(DATE(VALUE(LEFT(INDEX('입력_구리근무자명단'!$A978:$ZZ978,1,$E$2+3),4)),VALUE(MID(INDEX('입력_구리근무자명단'!$A978:$ZZ978,1,$E$2+3),6,2)),VALUE(MID(INDEX('입력_구리근무자명단'!$A978:$ZZ978,1,$E$2+3),9,2))),-1))))</f>
        <v/>
      </c>
      <c r="U980">
        <f>IF($R980="","",IF(OR($S980&lt;0,$T980&lt;0),0,MAX(0,MIN($T980,EOMONTH(급여기준월,0))-MAX($S980,급여기준월)+1)))</f>
        <v/>
      </c>
      <c r="V980">
        <f>IF($R980="","",TRIM(INDEX('입력_구리근무자명단'!$A978:$ZZ978,1,$E$2+5)&amp;""))</f>
        <v/>
      </c>
      <c r="W980">
        <f>IF(ISNUMBER(SEARCH("구리독자",$V980)),"구리독자","")</f>
        <v/>
      </c>
      <c r="X980">
        <f>IF($R980="","",$R980&amp;"|"&amp;IF(OR($Q980="인턴",ISNUMBER(SEARCH("수련교육부",$P980))),"인턴",$P980))</f>
        <v/>
      </c>
      <c r="Y980">
        <f>IF($R980="","",IF(COUNTIF(명단표[이름|과],$X980)=1,"명단 일치",IF(AND(COUNTIF(명단표[이름|과],$X980)=0,COUNTIF(명단표[이름],$R980)=1),"명단 일치(이름만, 과 다름)",IF(COUNTIF(명단표[이름],$R980)=0,IF(COUNTIF(기본자료표[이름],$R980)&gt;0,"명단에 없음(기본자료에는 있음)","명단에 없음"),"동명이인 확인"))))</f>
        <v/>
      </c>
      <c r="Z980">
        <f>IF($R980="","",IF($S980&lt;0,"⚠"&amp;INDEX('입력_구리근무자명단'!$A978:$ZZ978,1,$E$2+2),TEXT($S980,"yyyy-mm-dd")))</f>
        <v/>
      </c>
      <c r="AA980">
        <f>IF($R980="","",IF($T980&lt;0,"⚠"&amp;INDEX('입력_구리근무자명단'!$A978:$ZZ978,1,$E$2+3),TEXT($T980,"yyyy-mm-dd")))</f>
        <v/>
      </c>
      <c r="AB980">
        <f>AB979+IF($R980="",0,1)</f>
        <v/>
      </c>
      <c r="AC980">
        <f>IF($R980="","",$AB980)</f>
        <v/>
      </c>
    </row>
    <row r="981">
      <c r="O981">
        <f>979</f>
        <v/>
      </c>
      <c r="P981">
        <f>IF(TRIM('입력_구리근무자명단'!$A979&amp;"")&lt;&gt;"",TRIM('입력_구리근무자명단'!$A979&amp;""),P980)</f>
        <v/>
      </c>
      <c r="Q981">
        <f>'입력_구리근무자명단'!$B979&amp;""</f>
        <v/>
      </c>
      <c r="R981">
        <f>IF($E$2="","",TRIM(INDEX('입력_구리근무자명단'!$A979:$ZZ979,1,$E$2+IF($G$2="확정",1,0))&amp;""))</f>
        <v/>
      </c>
      <c r="S981">
        <f>IF($R981="","",IF(INDEX('입력_구리근무자명단'!$A979:$ZZ979,1,$E$2+2)&amp;""="",급여기준월,IF(ISNUMBER(INDEX('입력_구리근무자명단'!$A979:$ZZ979,1,$E$2+2)),INDEX('입력_구리근무자명단'!$A979:$ZZ979,1,$E$2+2),IFERROR(DATE(VALUE(LEFT(INDEX('입력_구리근무자명단'!$A979:$ZZ979,1,$E$2+2),4)),VALUE(MID(INDEX('입력_구리근무자명단'!$A979:$ZZ979,1,$E$2+2),6,2)),VALUE(MID(INDEX('입력_구리근무자명단'!$A979:$ZZ979,1,$E$2+2),9,2))),-1))))</f>
        <v/>
      </c>
      <c r="T981">
        <f>IF($R981="","",IF(INDEX('입력_구리근무자명단'!$A979:$ZZ979,1,$E$2+3)&amp;""="",EOMONTH(급여기준월,0),IF(ISNUMBER(INDEX('입력_구리근무자명단'!$A979:$ZZ979,1,$E$2+3)),INDEX('입력_구리근무자명단'!$A979:$ZZ979,1,$E$2+3),IFERROR(DATE(VALUE(LEFT(INDEX('입력_구리근무자명단'!$A979:$ZZ979,1,$E$2+3),4)),VALUE(MID(INDEX('입력_구리근무자명단'!$A979:$ZZ979,1,$E$2+3),6,2)),VALUE(MID(INDEX('입력_구리근무자명단'!$A979:$ZZ979,1,$E$2+3),9,2))),-1))))</f>
        <v/>
      </c>
      <c r="U981">
        <f>IF($R981="","",IF(OR($S981&lt;0,$T981&lt;0),0,MAX(0,MIN($T981,EOMONTH(급여기준월,0))-MAX($S981,급여기준월)+1)))</f>
        <v/>
      </c>
      <c r="V981">
        <f>IF($R981="","",TRIM(INDEX('입력_구리근무자명단'!$A979:$ZZ979,1,$E$2+5)&amp;""))</f>
        <v/>
      </c>
      <c r="W981">
        <f>IF(ISNUMBER(SEARCH("구리독자",$V981)),"구리독자","")</f>
        <v/>
      </c>
      <c r="X981">
        <f>IF($R981="","",$R981&amp;"|"&amp;IF(OR($Q981="인턴",ISNUMBER(SEARCH("수련교육부",$P981))),"인턴",$P981))</f>
        <v/>
      </c>
      <c r="Y981">
        <f>IF($R981="","",IF(COUNTIF(명단표[이름|과],$X981)=1,"명단 일치",IF(AND(COUNTIF(명단표[이름|과],$X981)=0,COUNTIF(명단표[이름],$R981)=1),"명단 일치(이름만, 과 다름)",IF(COUNTIF(명단표[이름],$R981)=0,IF(COUNTIF(기본자료표[이름],$R981)&gt;0,"명단에 없음(기본자료에는 있음)","명단에 없음"),"동명이인 확인"))))</f>
        <v/>
      </c>
      <c r="Z981">
        <f>IF($R981="","",IF($S981&lt;0,"⚠"&amp;INDEX('입력_구리근무자명단'!$A979:$ZZ979,1,$E$2+2),TEXT($S981,"yyyy-mm-dd")))</f>
        <v/>
      </c>
      <c r="AA981">
        <f>IF($R981="","",IF($T981&lt;0,"⚠"&amp;INDEX('입력_구리근무자명단'!$A979:$ZZ979,1,$E$2+3),TEXT($T981,"yyyy-mm-dd")))</f>
        <v/>
      </c>
      <c r="AB981">
        <f>AB980+IF($R981="",0,1)</f>
        <v/>
      </c>
      <c r="AC981">
        <f>IF($R981="","",$AB981)</f>
        <v/>
      </c>
    </row>
    <row r="982">
      <c r="O982">
        <f>980</f>
        <v/>
      </c>
      <c r="P982">
        <f>IF(TRIM('입력_구리근무자명단'!$A980&amp;"")&lt;&gt;"",TRIM('입력_구리근무자명단'!$A980&amp;""),P981)</f>
        <v/>
      </c>
      <c r="Q982">
        <f>'입력_구리근무자명단'!$B980&amp;""</f>
        <v/>
      </c>
      <c r="R982">
        <f>IF($E$2="","",TRIM(INDEX('입력_구리근무자명단'!$A980:$ZZ980,1,$E$2+IF($G$2="확정",1,0))&amp;""))</f>
        <v/>
      </c>
      <c r="S982">
        <f>IF($R982="","",IF(INDEX('입력_구리근무자명단'!$A980:$ZZ980,1,$E$2+2)&amp;""="",급여기준월,IF(ISNUMBER(INDEX('입력_구리근무자명단'!$A980:$ZZ980,1,$E$2+2)),INDEX('입력_구리근무자명단'!$A980:$ZZ980,1,$E$2+2),IFERROR(DATE(VALUE(LEFT(INDEX('입력_구리근무자명단'!$A980:$ZZ980,1,$E$2+2),4)),VALUE(MID(INDEX('입력_구리근무자명단'!$A980:$ZZ980,1,$E$2+2),6,2)),VALUE(MID(INDEX('입력_구리근무자명단'!$A980:$ZZ980,1,$E$2+2),9,2))),-1))))</f>
        <v/>
      </c>
      <c r="T982">
        <f>IF($R982="","",IF(INDEX('입력_구리근무자명단'!$A980:$ZZ980,1,$E$2+3)&amp;""="",EOMONTH(급여기준월,0),IF(ISNUMBER(INDEX('입력_구리근무자명단'!$A980:$ZZ980,1,$E$2+3)),INDEX('입력_구리근무자명단'!$A980:$ZZ980,1,$E$2+3),IFERROR(DATE(VALUE(LEFT(INDEX('입력_구리근무자명단'!$A980:$ZZ980,1,$E$2+3),4)),VALUE(MID(INDEX('입력_구리근무자명단'!$A980:$ZZ980,1,$E$2+3),6,2)),VALUE(MID(INDEX('입력_구리근무자명단'!$A980:$ZZ980,1,$E$2+3),9,2))),-1))))</f>
        <v/>
      </c>
      <c r="U982">
        <f>IF($R982="","",IF(OR($S982&lt;0,$T982&lt;0),0,MAX(0,MIN($T982,EOMONTH(급여기준월,0))-MAX($S982,급여기준월)+1)))</f>
        <v/>
      </c>
      <c r="V982">
        <f>IF($R982="","",TRIM(INDEX('입력_구리근무자명단'!$A980:$ZZ980,1,$E$2+5)&amp;""))</f>
        <v/>
      </c>
      <c r="W982">
        <f>IF(ISNUMBER(SEARCH("구리독자",$V982)),"구리독자","")</f>
        <v/>
      </c>
      <c r="X982">
        <f>IF($R982="","",$R982&amp;"|"&amp;IF(OR($Q982="인턴",ISNUMBER(SEARCH("수련교육부",$P982))),"인턴",$P982))</f>
        <v/>
      </c>
      <c r="Y982">
        <f>IF($R982="","",IF(COUNTIF(명단표[이름|과],$X982)=1,"명단 일치",IF(AND(COUNTIF(명단표[이름|과],$X982)=0,COUNTIF(명단표[이름],$R982)=1),"명단 일치(이름만, 과 다름)",IF(COUNTIF(명단표[이름],$R982)=0,IF(COUNTIF(기본자료표[이름],$R982)&gt;0,"명단에 없음(기본자료에는 있음)","명단에 없음"),"동명이인 확인"))))</f>
        <v/>
      </c>
      <c r="Z982">
        <f>IF($R982="","",IF($S982&lt;0,"⚠"&amp;INDEX('입력_구리근무자명단'!$A980:$ZZ980,1,$E$2+2),TEXT($S982,"yyyy-mm-dd")))</f>
        <v/>
      </c>
      <c r="AA982">
        <f>IF($R982="","",IF($T982&lt;0,"⚠"&amp;INDEX('입력_구리근무자명단'!$A980:$ZZ980,1,$E$2+3),TEXT($T982,"yyyy-mm-dd")))</f>
        <v/>
      </c>
      <c r="AB982">
        <f>AB981+IF($R982="",0,1)</f>
        <v/>
      </c>
      <c r="AC982">
        <f>IF($R982="","",$AB982)</f>
        <v/>
      </c>
    </row>
    <row r="983">
      <c r="O983">
        <f>981</f>
        <v/>
      </c>
      <c r="P983">
        <f>IF(TRIM('입력_구리근무자명단'!$A981&amp;"")&lt;&gt;"",TRIM('입력_구리근무자명단'!$A981&amp;""),P982)</f>
        <v/>
      </c>
      <c r="Q983">
        <f>'입력_구리근무자명단'!$B981&amp;""</f>
        <v/>
      </c>
      <c r="R983">
        <f>IF($E$2="","",TRIM(INDEX('입력_구리근무자명단'!$A981:$ZZ981,1,$E$2+IF($G$2="확정",1,0))&amp;""))</f>
        <v/>
      </c>
      <c r="S983">
        <f>IF($R983="","",IF(INDEX('입력_구리근무자명단'!$A981:$ZZ981,1,$E$2+2)&amp;""="",급여기준월,IF(ISNUMBER(INDEX('입력_구리근무자명단'!$A981:$ZZ981,1,$E$2+2)),INDEX('입력_구리근무자명단'!$A981:$ZZ981,1,$E$2+2),IFERROR(DATE(VALUE(LEFT(INDEX('입력_구리근무자명단'!$A981:$ZZ981,1,$E$2+2),4)),VALUE(MID(INDEX('입력_구리근무자명단'!$A981:$ZZ981,1,$E$2+2),6,2)),VALUE(MID(INDEX('입력_구리근무자명단'!$A981:$ZZ981,1,$E$2+2),9,2))),-1))))</f>
        <v/>
      </c>
      <c r="T983">
        <f>IF($R983="","",IF(INDEX('입력_구리근무자명단'!$A981:$ZZ981,1,$E$2+3)&amp;""="",EOMONTH(급여기준월,0),IF(ISNUMBER(INDEX('입력_구리근무자명단'!$A981:$ZZ981,1,$E$2+3)),INDEX('입력_구리근무자명단'!$A981:$ZZ981,1,$E$2+3),IFERROR(DATE(VALUE(LEFT(INDEX('입력_구리근무자명단'!$A981:$ZZ981,1,$E$2+3),4)),VALUE(MID(INDEX('입력_구리근무자명단'!$A981:$ZZ981,1,$E$2+3),6,2)),VALUE(MID(INDEX('입력_구리근무자명단'!$A981:$ZZ981,1,$E$2+3),9,2))),-1))))</f>
        <v/>
      </c>
      <c r="U983">
        <f>IF($R983="","",IF(OR($S983&lt;0,$T983&lt;0),0,MAX(0,MIN($T983,EOMONTH(급여기준월,0))-MAX($S983,급여기준월)+1)))</f>
        <v/>
      </c>
      <c r="V983">
        <f>IF($R983="","",TRIM(INDEX('입력_구리근무자명단'!$A981:$ZZ981,1,$E$2+5)&amp;""))</f>
        <v/>
      </c>
      <c r="W983">
        <f>IF(ISNUMBER(SEARCH("구리독자",$V983)),"구리독자","")</f>
        <v/>
      </c>
      <c r="X983">
        <f>IF($R983="","",$R983&amp;"|"&amp;IF(OR($Q983="인턴",ISNUMBER(SEARCH("수련교육부",$P983))),"인턴",$P983))</f>
        <v/>
      </c>
      <c r="Y983">
        <f>IF($R983="","",IF(COUNTIF(명단표[이름|과],$X983)=1,"명단 일치",IF(AND(COUNTIF(명단표[이름|과],$X983)=0,COUNTIF(명단표[이름],$R983)=1),"명단 일치(이름만, 과 다름)",IF(COUNTIF(명단표[이름],$R983)=0,IF(COUNTIF(기본자료표[이름],$R983)&gt;0,"명단에 없음(기본자료에는 있음)","명단에 없음"),"동명이인 확인"))))</f>
        <v/>
      </c>
      <c r="Z983">
        <f>IF($R983="","",IF($S983&lt;0,"⚠"&amp;INDEX('입력_구리근무자명단'!$A981:$ZZ981,1,$E$2+2),TEXT($S983,"yyyy-mm-dd")))</f>
        <v/>
      </c>
      <c r="AA983">
        <f>IF($R983="","",IF($T983&lt;0,"⚠"&amp;INDEX('입력_구리근무자명단'!$A981:$ZZ981,1,$E$2+3),TEXT($T983,"yyyy-mm-dd")))</f>
        <v/>
      </c>
      <c r="AB983">
        <f>AB982+IF($R983="",0,1)</f>
        <v/>
      </c>
      <c r="AC983">
        <f>IF($R983="","",$AB983)</f>
        <v/>
      </c>
    </row>
    <row r="984">
      <c r="O984">
        <f>982</f>
        <v/>
      </c>
      <c r="P984">
        <f>IF(TRIM('입력_구리근무자명단'!$A982&amp;"")&lt;&gt;"",TRIM('입력_구리근무자명단'!$A982&amp;""),P983)</f>
        <v/>
      </c>
      <c r="Q984">
        <f>'입력_구리근무자명단'!$B982&amp;""</f>
        <v/>
      </c>
      <c r="R984">
        <f>IF($E$2="","",TRIM(INDEX('입력_구리근무자명단'!$A982:$ZZ982,1,$E$2+IF($G$2="확정",1,0))&amp;""))</f>
        <v/>
      </c>
      <c r="S984">
        <f>IF($R984="","",IF(INDEX('입력_구리근무자명단'!$A982:$ZZ982,1,$E$2+2)&amp;""="",급여기준월,IF(ISNUMBER(INDEX('입력_구리근무자명단'!$A982:$ZZ982,1,$E$2+2)),INDEX('입력_구리근무자명단'!$A982:$ZZ982,1,$E$2+2),IFERROR(DATE(VALUE(LEFT(INDEX('입력_구리근무자명단'!$A982:$ZZ982,1,$E$2+2),4)),VALUE(MID(INDEX('입력_구리근무자명단'!$A982:$ZZ982,1,$E$2+2),6,2)),VALUE(MID(INDEX('입력_구리근무자명단'!$A982:$ZZ982,1,$E$2+2),9,2))),-1))))</f>
        <v/>
      </c>
      <c r="T984">
        <f>IF($R984="","",IF(INDEX('입력_구리근무자명단'!$A982:$ZZ982,1,$E$2+3)&amp;""="",EOMONTH(급여기준월,0),IF(ISNUMBER(INDEX('입력_구리근무자명단'!$A982:$ZZ982,1,$E$2+3)),INDEX('입력_구리근무자명단'!$A982:$ZZ982,1,$E$2+3),IFERROR(DATE(VALUE(LEFT(INDEX('입력_구리근무자명단'!$A982:$ZZ982,1,$E$2+3),4)),VALUE(MID(INDEX('입력_구리근무자명단'!$A982:$ZZ982,1,$E$2+3),6,2)),VALUE(MID(INDEX('입력_구리근무자명단'!$A982:$ZZ982,1,$E$2+3),9,2))),-1))))</f>
        <v/>
      </c>
      <c r="U984">
        <f>IF($R984="","",IF(OR($S984&lt;0,$T984&lt;0),0,MAX(0,MIN($T984,EOMONTH(급여기준월,0))-MAX($S984,급여기준월)+1)))</f>
        <v/>
      </c>
      <c r="V984">
        <f>IF($R984="","",TRIM(INDEX('입력_구리근무자명단'!$A982:$ZZ982,1,$E$2+5)&amp;""))</f>
        <v/>
      </c>
      <c r="W984">
        <f>IF(ISNUMBER(SEARCH("구리독자",$V984)),"구리독자","")</f>
        <v/>
      </c>
      <c r="X984">
        <f>IF($R984="","",$R984&amp;"|"&amp;IF(OR($Q984="인턴",ISNUMBER(SEARCH("수련교육부",$P984))),"인턴",$P984))</f>
        <v/>
      </c>
      <c r="Y984">
        <f>IF($R984="","",IF(COUNTIF(명단표[이름|과],$X984)=1,"명단 일치",IF(AND(COUNTIF(명단표[이름|과],$X984)=0,COUNTIF(명단표[이름],$R984)=1),"명단 일치(이름만, 과 다름)",IF(COUNTIF(명단표[이름],$R984)=0,IF(COUNTIF(기본자료표[이름],$R984)&gt;0,"명단에 없음(기본자료에는 있음)","명단에 없음"),"동명이인 확인"))))</f>
        <v/>
      </c>
      <c r="Z984">
        <f>IF($R984="","",IF($S984&lt;0,"⚠"&amp;INDEX('입력_구리근무자명단'!$A982:$ZZ982,1,$E$2+2),TEXT($S984,"yyyy-mm-dd")))</f>
        <v/>
      </c>
      <c r="AA984">
        <f>IF($R984="","",IF($T984&lt;0,"⚠"&amp;INDEX('입력_구리근무자명단'!$A982:$ZZ982,1,$E$2+3),TEXT($T984,"yyyy-mm-dd")))</f>
        <v/>
      </c>
      <c r="AB984">
        <f>AB983+IF($R984="",0,1)</f>
        <v/>
      </c>
      <c r="AC984">
        <f>IF($R984="","",$AB984)</f>
        <v/>
      </c>
    </row>
    <row r="985">
      <c r="O985">
        <f>983</f>
        <v/>
      </c>
      <c r="P985">
        <f>IF(TRIM('입력_구리근무자명단'!$A983&amp;"")&lt;&gt;"",TRIM('입력_구리근무자명단'!$A983&amp;""),P984)</f>
        <v/>
      </c>
      <c r="Q985">
        <f>'입력_구리근무자명단'!$B983&amp;""</f>
        <v/>
      </c>
      <c r="R985">
        <f>IF($E$2="","",TRIM(INDEX('입력_구리근무자명단'!$A983:$ZZ983,1,$E$2+IF($G$2="확정",1,0))&amp;""))</f>
        <v/>
      </c>
      <c r="S985">
        <f>IF($R985="","",IF(INDEX('입력_구리근무자명단'!$A983:$ZZ983,1,$E$2+2)&amp;""="",급여기준월,IF(ISNUMBER(INDEX('입력_구리근무자명단'!$A983:$ZZ983,1,$E$2+2)),INDEX('입력_구리근무자명단'!$A983:$ZZ983,1,$E$2+2),IFERROR(DATE(VALUE(LEFT(INDEX('입력_구리근무자명단'!$A983:$ZZ983,1,$E$2+2),4)),VALUE(MID(INDEX('입력_구리근무자명단'!$A983:$ZZ983,1,$E$2+2),6,2)),VALUE(MID(INDEX('입력_구리근무자명단'!$A983:$ZZ983,1,$E$2+2),9,2))),-1))))</f>
        <v/>
      </c>
      <c r="T985">
        <f>IF($R985="","",IF(INDEX('입력_구리근무자명단'!$A983:$ZZ983,1,$E$2+3)&amp;""="",EOMONTH(급여기준월,0),IF(ISNUMBER(INDEX('입력_구리근무자명단'!$A983:$ZZ983,1,$E$2+3)),INDEX('입력_구리근무자명단'!$A983:$ZZ983,1,$E$2+3),IFERROR(DATE(VALUE(LEFT(INDEX('입력_구리근무자명단'!$A983:$ZZ983,1,$E$2+3),4)),VALUE(MID(INDEX('입력_구리근무자명단'!$A983:$ZZ983,1,$E$2+3),6,2)),VALUE(MID(INDEX('입력_구리근무자명단'!$A983:$ZZ983,1,$E$2+3),9,2))),-1))))</f>
        <v/>
      </c>
      <c r="U985">
        <f>IF($R985="","",IF(OR($S985&lt;0,$T985&lt;0),0,MAX(0,MIN($T985,EOMONTH(급여기준월,0))-MAX($S985,급여기준월)+1)))</f>
        <v/>
      </c>
      <c r="V985">
        <f>IF($R985="","",TRIM(INDEX('입력_구리근무자명단'!$A983:$ZZ983,1,$E$2+5)&amp;""))</f>
        <v/>
      </c>
      <c r="W985">
        <f>IF(ISNUMBER(SEARCH("구리독자",$V985)),"구리독자","")</f>
        <v/>
      </c>
      <c r="X985">
        <f>IF($R985="","",$R985&amp;"|"&amp;IF(OR($Q985="인턴",ISNUMBER(SEARCH("수련교육부",$P985))),"인턴",$P985))</f>
        <v/>
      </c>
      <c r="Y985">
        <f>IF($R985="","",IF(COUNTIF(명단표[이름|과],$X985)=1,"명단 일치",IF(AND(COUNTIF(명단표[이름|과],$X985)=0,COUNTIF(명단표[이름],$R985)=1),"명단 일치(이름만, 과 다름)",IF(COUNTIF(명단표[이름],$R985)=0,IF(COUNTIF(기본자료표[이름],$R985)&gt;0,"명단에 없음(기본자료에는 있음)","명단에 없음"),"동명이인 확인"))))</f>
        <v/>
      </c>
      <c r="Z985">
        <f>IF($R985="","",IF($S985&lt;0,"⚠"&amp;INDEX('입력_구리근무자명단'!$A983:$ZZ983,1,$E$2+2),TEXT($S985,"yyyy-mm-dd")))</f>
        <v/>
      </c>
      <c r="AA985">
        <f>IF($R985="","",IF($T985&lt;0,"⚠"&amp;INDEX('입력_구리근무자명단'!$A983:$ZZ983,1,$E$2+3),TEXT($T985,"yyyy-mm-dd")))</f>
        <v/>
      </c>
      <c r="AB985">
        <f>AB984+IF($R985="",0,1)</f>
        <v/>
      </c>
      <c r="AC985">
        <f>IF($R985="","",$AB985)</f>
        <v/>
      </c>
    </row>
    <row r="986">
      <c r="O986">
        <f>984</f>
        <v/>
      </c>
      <c r="P986">
        <f>IF(TRIM('입력_구리근무자명단'!$A984&amp;"")&lt;&gt;"",TRIM('입력_구리근무자명단'!$A984&amp;""),P985)</f>
        <v/>
      </c>
      <c r="Q986">
        <f>'입력_구리근무자명단'!$B984&amp;""</f>
        <v/>
      </c>
      <c r="R986">
        <f>IF($E$2="","",TRIM(INDEX('입력_구리근무자명단'!$A984:$ZZ984,1,$E$2+IF($G$2="확정",1,0))&amp;""))</f>
        <v/>
      </c>
      <c r="S986">
        <f>IF($R986="","",IF(INDEX('입력_구리근무자명단'!$A984:$ZZ984,1,$E$2+2)&amp;""="",급여기준월,IF(ISNUMBER(INDEX('입력_구리근무자명단'!$A984:$ZZ984,1,$E$2+2)),INDEX('입력_구리근무자명단'!$A984:$ZZ984,1,$E$2+2),IFERROR(DATE(VALUE(LEFT(INDEX('입력_구리근무자명단'!$A984:$ZZ984,1,$E$2+2),4)),VALUE(MID(INDEX('입력_구리근무자명단'!$A984:$ZZ984,1,$E$2+2),6,2)),VALUE(MID(INDEX('입력_구리근무자명단'!$A984:$ZZ984,1,$E$2+2),9,2))),-1))))</f>
        <v/>
      </c>
      <c r="T986">
        <f>IF($R986="","",IF(INDEX('입력_구리근무자명단'!$A984:$ZZ984,1,$E$2+3)&amp;""="",EOMONTH(급여기준월,0),IF(ISNUMBER(INDEX('입력_구리근무자명단'!$A984:$ZZ984,1,$E$2+3)),INDEX('입력_구리근무자명단'!$A984:$ZZ984,1,$E$2+3),IFERROR(DATE(VALUE(LEFT(INDEX('입력_구리근무자명단'!$A984:$ZZ984,1,$E$2+3),4)),VALUE(MID(INDEX('입력_구리근무자명단'!$A984:$ZZ984,1,$E$2+3),6,2)),VALUE(MID(INDEX('입력_구리근무자명단'!$A984:$ZZ984,1,$E$2+3),9,2))),-1))))</f>
        <v/>
      </c>
      <c r="U986">
        <f>IF($R986="","",IF(OR($S986&lt;0,$T986&lt;0),0,MAX(0,MIN($T986,EOMONTH(급여기준월,0))-MAX($S986,급여기준월)+1)))</f>
        <v/>
      </c>
      <c r="V986">
        <f>IF($R986="","",TRIM(INDEX('입력_구리근무자명단'!$A984:$ZZ984,1,$E$2+5)&amp;""))</f>
        <v/>
      </c>
      <c r="W986">
        <f>IF(ISNUMBER(SEARCH("구리독자",$V986)),"구리독자","")</f>
        <v/>
      </c>
      <c r="X986">
        <f>IF($R986="","",$R986&amp;"|"&amp;IF(OR($Q986="인턴",ISNUMBER(SEARCH("수련교육부",$P986))),"인턴",$P986))</f>
        <v/>
      </c>
      <c r="Y986">
        <f>IF($R986="","",IF(COUNTIF(명단표[이름|과],$X986)=1,"명단 일치",IF(AND(COUNTIF(명단표[이름|과],$X986)=0,COUNTIF(명단표[이름],$R986)=1),"명단 일치(이름만, 과 다름)",IF(COUNTIF(명단표[이름],$R986)=0,IF(COUNTIF(기본자료표[이름],$R986)&gt;0,"명단에 없음(기본자료에는 있음)","명단에 없음"),"동명이인 확인"))))</f>
        <v/>
      </c>
      <c r="Z986">
        <f>IF($R986="","",IF($S986&lt;0,"⚠"&amp;INDEX('입력_구리근무자명단'!$A984:$ZZ984,1,$E$2+2),TEXT($S986,"yyyy-mm-dd")))</f>
        <v/>
      </c>
      <c r="AA986">
        <f>IF($R986="","",IF($T986&lt;0,"⚠"&amp;INDEX('입력_구리근무자명단'!$A984:$ZZ984,1,$E$2+3),TEXT($T986,"yyyy-mm-dd")))</f>
        <v/>
      </c>
      <c r="AB986">
        <f>AB985+IF($R986="",0,1)</f>
        <v/>
      </c>
      <c r="AC986">
        <f>IF($R986="","",$AB986)</f>
        <v/>
      </c>
    </row>
    <row r="987">
      <c r="O987">
        <f>985</f>
        <v/>
      </c>
      <c r="P987">
        <f>IF(TRIM('입력_구리근무자명단'!$A985&amp;"")&lt;&gt;"",TRIM('입력_구리근무자명단'!$A985&amp;""),P986)</f>
        <v/>
      </c>
      <c r="Q987">
        <f>'입력_구리근무자명단'!$B985&amp;""</f>
        <v/>
      </c>
      <c r="R987">
        <f>IF($E$2="","",TRIM(INDEX('입력_구리근무자명단'!$A985:$ZZ985,1,$E$2+IF($G$2="확정",1,0))&amp;""))</f>
        <v/>
      </c>
      <c r="S987">
        <f>IF($R987="","",IF(INDEX('입력_구리근무자명단'!$A985:$ZZ985,1,$E$2+2)&amp;""="",급여기준월,IF(ISNUMBER(INDEX('입력_구리근무자명단'!$A985:$ZZ985,1,$E$2+2)),INDEX('입력_구리근무자명단'!$A985:$ZZ985,1,$E$2+2),IFERROR(DATE(VALUE(LEFT(INDEX('입력_구리근무자명단'!$A985:$ZZ985,1,$E$2+2),4)),VALUE(MID(INDEX('입력_구리근무자명단'!$A985:$ZZ985,1,$E$2+2),6,2)),VALUE(MID(INDEX('입력_구리근무자명단'!$A985:$ZZ985,1,$E$2+2),9,2))),-1))))</f>
        <v/>
      </c>
      <c r="T987">
        <f>IF($R987="","",IF(INDEX('입력_구리근무자명단'!$A985:$ZZ985,1,$E$2+3)&amp;""="",EOMONTH(급여기준월,0),IF(ISNUMBER(INDEX('입력_구리근무자명단'!$A985:$ZZ985,1,$E$2+3)),INDEX('입력_구리근무자명단'!$A985:$ZZ985,1,$E$2+3),IFERROR(DATE(VALUE(LEFT(INDEX('입력_구리근무자명단'!$A985:$ZZ985,1,$E$2+3),4)),VALUE(MID(INDEX('입력_구리근무자명단'!$A985:$ZZ985,1,$E$2+3),6,2)),VALUE(MID(INDEX('입력_구리근무자명단'!$A985:$ZZ985,1,$E$2+3),9,2))),-1))))</f>
        <v/>
      </c>
      <c r="U987">
        <f>IF($R987="","",IF(OR($S987&lt;0,$T987&lt;0),0,MAX(0,MIN($T987,EOMONTH(급여기준월,0))-MAX($S987,급여기준월)+1)))</f>
        <v/>
      </c>
      <c r="V987">
        <f>IF($R987="","",TRIM(INDEX('입력_구리근무자명단'!$A985:$ZZ985,1,$E$2+5)&amp;""))</f>
        <v/>
      </c>
      <c r="W987">
        <f>IF(ISNUMBER(SEARCH("구리독자",$V987)),"구리독자","")</f>
        <v/>
      </c>
      <c r="X987">
        <f>IF($R987="","",$R987&amp;"|"&amp;IF(OR($Q987="인턴",ISNUMBER(SEARCH("수련교육부",$P987))),"인턴",$P987))</f>
        <v/>
      </c>
      <c r="Y987">
        <f>IF($R987="","",IF(COUNTIF(명단표[이름|과],$X987)=1,"명단 일치",IF(AND(COUNTIF(명단표[이름|과],$X987)=0,COUNTIF(명단표[이름],$R987)=1),"명단 일치(이름만, 과 다름)",IF(COUNTIF(명단표[이름],$R987)=0,IF(COUNTIF(기본자료표[이름],$R987)&gt;0,"명단에 없음(기본자료에는 있음)","명단에 없음"),"동명이인 확인"))))</f>
        <v/>
      </c>
      <c r="Z987">
        <f>IF($R987="","",IF($S987&lt;0,"⚠"&amp;INDEX('입력_구리근무자명단'!$A985:$ZZ985,1,$E$2+2),TEXT($S987,"yyyy-mm-dd")))</f>
        <v/>
      </c>
      <c r="AA987">
        <f>IF($R987="","",IF($T987&lt;0,"⚠"&amp;INDEX('입력_구리근무자명단'!$A985:$ZZ985,1,$E$2+3),TEXT($T987,"yyyy-mm-dd")))</f>
        <v/>
      </c>
      <c r="AB987">
        <f>AB986+IF($R987="",0,1)</f>
        <v/>
      </c>
      <c r="AC987">
        <f>IF($R987="","",$AB987)</f>
        <v/>
      </c>
    </row>
    <row r="988">
      <c r="O988">
        <f>986</f>
        <v/>
      </c>
      <c r="P988">
        <f>IF(TRIM('입력_구리근무자명단'!$A986&amp;"")&lt;&gt;"",TRIM('입력_구리근무자명단'!$A986&amp;""),P987)</f>
        <v/>
      </c>
      <c r="Q988">
        <f>'입력_구리근무자명단'!$B986&amp;""</f>
        <v/>
      </c>
      <c r="R988">
        <f>IF($E$2="","",TRIM(INDEX('입력_구리근무자명단'!$A986:$ZZ986,1,$E$2+IF($G$2="확정",1,0))&amp;""))</f>
        <v/>
      </c>
      <c r="S988">
        <f>IF($R988="","",IF(INDEX('입력_구리근무자명단'!$A986:$ZZ986,1,$E$2+2)&amp;""="",급여기준월,IF(ISNUMBER(INDEX('입력_구리근무자명단'!$A986:$ZZ986,1,$E$2+2)),INDEX('입력_구리근무자명단'!$A986:$ZZ986,1,$E$2+2),IFERROR(DATE(VALUE(LEFT(INDEX('입력_구리근무자명단'!$A986:$ZZ986,1,$E$2+2),4)),VALUE(MID(INDEX('입력_구리근무자명단'!$A986:$ZZ986,1,$E$2+2),6,2)),VALUE(MID(INDEX('입력_구리근무자명단'!$A986:$ZZ986,1,$E$2+2),9,2))),-1))))</f>
        <v/>
      </c>
      <c r="T988">
        <f>IF($R988="","",IF(INDEX('입력_구리근무자명단'!$A986:$ZZ986,1,$E$2+3)&amp;""="",EOMONTH(급여기준월,0),IF(ISNUMBER(INDEX('입력_구리근무자명단'!$A986:$ZZ986,1,$E$2+3)),INDEX('입력_구리근무자명단'!$A986:$ZZ986,1,$E$2+3),IFERROR(DATE(VALUE(LEFT(INDEX('입력_구리근무자명단'!$A986:$ZZ986,1,$E$2+3),4)),VALUE(MID(INDEX('입력_구리근무자명단'!$A986:$ZZ986,1,$E$2+3),6,2)),VALUE(MID(INDEX('입력_구리근무자명단'!$A986:$ZZ986,1,$E$2+3),9,2))),-1))))</f>
        <v/>
      </c>
      <c r="U988">
        <f>IF($R988="","",IF(OR($S988&lt;0,$T988&lt;0),0,MAX(0,MIN($T988,EOMONTH(급여기준월,0))-MAX($S988,급여기준월)+1)))</f>
        <v/>
      </c>
      <c r="V988">
        <f>IF($R988="","",TRIM(INDEX('입력_구리근무자명단'!$A986:$ZZ986,1,$E$2+5)&amp;""))</f>
        <v/>
      </c>
      <c r="W988">
        <f>IF(ISNUMBER(SEARCH("구리독자",$V988)),"구리독자","")</f>
        <v/>
      </c>
      <c r="X988">
        <f>IF($R988="","",$R988&amp;"|"&amp;IF(OR($Q988="인턴",ISNUMBER(SEARCH("수련교육부",$P988))),"인턴",$P988))</f>
        <v/>
      </c>
      <c r="Y988">
        <f>IF($R988="","",IF(COUNTIF(명단표[이름|과],$X988)=1,"명단 일치",IF(AND(COUNTIF(명단표[이름|과],$X988)=0,COUNTIF(명단표[이름],$R988)=1),"명단 일치(이름만, 과 다름)",IF(COUNTIF(명단표[이름],$R988)=0,IF(COUNTIF(기본자료표[이름],$R988)&gt;0,"명단에 없음(기본자료에는 있음)","명단에 없음"),"동명이인 확인"))))</f>
        <v/>
      </c>
      <c r="Z988">
        <f>IF($R988="","",IF($S988&lt;0,"⚠"&amp;INDEX('입력_구리근무자명단'!$A986:$ZZ986,1,$E$2+2),TEXT($S988,"yyyy-mm-dd")))</f>
        <v/>
      </c>
      <c r="AA988">
        <f>IF($R988="","",IF($T988&lt;0,"⚠"&amp;INDEX('입력_구리근무자명단'!$A986:$ZZ986,1,$E$2+3),TEXT($T988,"yyyy-mm-dd")))</f>
        <v/>
      </c>
      <c r="AB988">
        <f>AB987+IF($R988="",0,1)</f>
        <v/>
      </c>
      <c r="AC988">
        <f>IF($R988="","",$AB988)</f>
        <v/>
      </c>
    </row>
    <row r="989">
      <c r="O989">
        <f>987</f>
        <v/>
      </c>
      <c r="P989">
        <f>IF(TRIM('입력_구리근무자명단'!$A987&amp;"")&lt;&gt;"",TRIM('입력_구리근무자명단'!$A987&amp;""),P988)</f>
        <v/>
      </c>
      <c r="Q989">
        <f>'입력_구리근무자명단'!$B987&amp;""</f>
        <v/>
      </c>
      <c r="R989">
        <f>IF($E$2="","",TRIM(INDEX('입력_구리근무자명단'!$A987:$ZZ987,1,$E$2+IF($G$2="확정",1,0))&amp;""))</f>
        <v/>
      </c>
      <c r="S989">
        <f>IF($R989="","",IF(INDEX('입력_구리근무자명단'!$A987:$ZZ987,1,$E$2+2)&amp;""="",급여기준월,IF(ISNUMBER(INDEX('입력_구리근무자명단'!$A987:$ZZ987,1,$E$2+2)),INDEX('입력_구리근무자명단'!$A987:$ZZ987,1,$E$2+2),IFERROR(DATE(VALUE(LEFT(INDEX('입력_구리근무자명단'!$A987:$ZZ987,1,$E$2+2),4)),VALUE(MID(INDEX('입력_구리근무자명단'!$A987:$ZZ987,1,$E$2+2),6,2)),VALUE(MID(INDEX('입력_구리근무자명단'!$A987:$ZZ987,1,$E$2+2),9,2))),-1))))</f>
        <v/>
      </c>
      <c r="T989">
        <f>IF($R989="","",IF(INDEX('입력_구리근무자명단'!$A987:$ZZ987,1,$E$2+3)&amp;""="",EOMONTH(급여기준월,0),IF(ISNUMBER(INDEX('입력_구리근무자명단'!$A987:$ZZ987,1,$E$2+3)),INDEX('입력_구리근무자명단'!$A987:$ZZ987,1,$E$2+3),IFERROR(DATE(VALUE(LEFT(INDEX('입력_구리근무자명단'!$A987:$ZZ987,1,$E$2+3),4)),VALUE(MID(INDEX('입력_구리근무자명단'!$A987:$ZZ987,1,$E$2+3),6,2)),VALUE(MID(INDEX('입력_구리근무자명단'!$A987:$ZZ987,1,$E$2+3),9,2))),-1))))</f>
        <v/>
      </c>
      <c r="U989">
        <f>IF($R989="","",IF(OR($S989&lt;0,$T989&lt;0),0,MAX(0,MIN($T989,EOMONTH(급여기준월,0))-MAX($S989,급여기준월)+1)))</f>
        <v/>
      </c>
      <c r="V989">
        <f>IF($R989="","",TRIM(INDEX('입력_구리근무자명단'!$A987:$ZZ987,1,$E$2+5)&amp;""))</f>
        <v/>
      </c>
      <c r="W989">
        <f>IF(ISNUMBER(SEARCH("구리독자",$V989)),"구리독자","")</f>
        <v/>
      </c>
      <c r="X989">
        <f>IF($R989="","",$R989&amp;"|"&amp;IF(OR($Q989="인턴",ISNUMBER(SEARCH("수련교육부",$P989))),"인턴",$P989))</f>
        <v/>
      </c>
      <c r="Y989">
        <f>IF($R989="","",IF(COUNTIF(명단표[이름|과],$X989)=1,"명단 일치",IF(AND(COUNTIF(명단표[이름|과],$X989)=0,COUNTIF(명단표[이름],$R989)=1),"명단 일치(이름만, 과 다름)",IF(COUNTIF(명단표[이름],$R989)=0,IF(COUNTIF(기본자료표[이름],$R989)&gt;0,"명단에 없음(기본자료에는 있음)","명단에 없음"),"동명이인 확인"))))</f>
        <v/>
      </c>
      <c r="Z989">
        <f>IF($R989="","",IF($S989&lt;0,"⚠"&amp;INDEX('입력_구리근무자명단'!$A987:$ZZ987,1,$E$2+2),TEXT($S989,"yyyy-mm-dd")))</f>
        <v/>
      </c>
      <c r="AA989">
        <f>IF($R989="","",IF($T989&lt;0,"⚠"&amp;INDEX('입력_구리근무자명단'!$A987:$ZZ987,1,$E$2+3),TEXT($T989,"yyyy-mm-dd")))</f>
        <v/>
      </c>
      <c r="AB989">
        <f>AB988+IF($R989="",0,1)</f>
        <v/>
      </c>
      <c r="AC989">
        <f>IF($R989="","",$AB989)</f>
        <v/>
      </c>
    </row>
    <row r="990">
      <c r="O990">
        <f>988</f>
        <v/>
      </c>
      <c r="P990">
        <f>IF(TRIM('입력_구리근무자명단'!$A988&amp;"")&lt;&gt;"",TRIM('입력_구리근무자명단'!$A988&amp;""),P989)</f>
        <v/>
      </c>
      <c r="Q990">
        <f>'입력_구리근무자명단'!$B988&amp;""</f>
        <v/>
      </c>
      <c r="R990">
        <f>IF($E$2="","",TRIM(INDEX('입력_구리근무자명단'!$A988:$ZZ988,1,$E$2+IF($G$2="확정",1,0))&amp;""))</f>
        <v/>
      </c>
      <c r="S990">
        <f>IF($R990="","",IF(INDEX('입력_구리근무자명단'!$A988:$ZZ988,1,$E$2+2)&amp;""="",급여기준월,IF(ISNUMBER(INDEX('입력_구리근무자명단'!$A988:$ZZ988,1,$E$2+2)),INDEX('입력_구리근무자명단'!$A988:$ZZ988,1,$E$2+2),IFERROR(DATE(VALUE(LEFT(INDEX('입력_구리근무자명단'!$A988:$ZZ988,1,$E$2+2),4)),VALUE(MID(INDEX('입력_구리근무자명단'!$A988:$ZZ988,1,$E$2+2),6,2)),VALUE(MID(INDEX('입력_구리근무자명단'!$A988:$ZZ988,1,$E$2+2),9,2))),-1))))</f>
        <v/>
      </c>
      <c r="T990">
        <f>IF($R990="","",IF(INDEX('입력_구리근무자명단'!$A988:$ZZ988,1,$E$2+3)&amp;""="",EOMONTH(급여기준월,0),IF(ISNUMBER(INDEX('입력_구리근무자명단'!$A988:$ZZ988,1,$E$2+3)),INDEX('입력_구리근무자명단'!$A988:$ZZ988,1,$E$2+3),IFERROR(DATE(VALUE(LEFT(INDEX('입력_구리근무자명단'!$A988:$ZZ988,1,$E$2+3),4)),VALUE(MID(INDEX('입력_구리근무자명단'!$A988:$ZZ988,1,$E$2+3),6,2)),VALUE(MID(INDEX('입력_구리근무자명단'!$A988:$ZZ988,1,$E$2+3),9,2))),-1))))</f>
        <v/>
      </c>
      <c r="U990">
        <f>IF($R990="","",IF(OR($S990&lt;0,$T990&lt;0),0,MAX(0,MIN($T990,EOMONTH(급여기준월,0))-MAX($S990,급여기준월)+1)))</f>
        <v/>
      </c>
      <c r="V990">
        <f>IF($R990="","",TRIM(INDEX('입력_구리근무자명단'!$A988:$ZZ988,1,$E$2+5)&amp;""))</f>
        <v/>
      </c>
      <c r="W990">
        <f>IF(ISNUMBER(SEARCH("구리독자",$V990)),"구리독자","")</f>
        <v/>
      </c>
      <c r="X990">
        <f>IF($R990="","",$R990&amp;"|"&amp;IF(OR($Q990="인턴",ISNUMBER(SEARCH("수련교육부",$P990))),"인턴",$P990))</f>
        <v/>
      </c>
      <c r="Y990">
        <f>IF($R990="","",IF(COUNTIF(명단표[이름|과],$X990)=1,"명단 일치",IF(AND(COUNTIF(명단표[이름|과],$X990)=0,COUNTIF(명단표[이름],$R990)=1),"명단 일치(이름만, 과 다름)",IF(COUNTIF(명단표[이름],$R990)=0,IF(COUNTIF(기본자료표[이름],$R990)&gt;0,"명단에 없음(기본자료에는 있음)","명단에 없음"),"동명이인 확인"))))</f>
        <v/>
      </c>
      <c r="Z990">
        <f>IF($R990="","",IF($S990&lt;0,"⚠"&amp;INDEX('입력_구리근무자명단'!$A988:$ZZ988,1,$E$2+2),TEXT($S990,"yyyy-mm-dd")))</f>
        <v/>
      </c>
      <c r="AA990">
        <f>IF($R990="","",IF($T990&lt;0,"⚠"&amp;INDEX('입력_구리근무자명단'!$A988:$ZZ988,1,$E$2+3),TEXT($T990,"yyyy-mm-dd")))</f>
        <v/>
      </c>
      <c r="AB990">
        <f>AB989+IF($R990="",0,1)</f>
        <v/>
      </c>
      <c r="AC990">
        <f>IF($R990="","",$AB990)</f>
        <v/>
      </c>
    </row>
    <row r="991">
      <c r="O991">
        <f>989</f>
        <v/>
      </c>
      <c r="P991">
        <f>IF(TRIM('입력_구리근무자명단'!$A989&amp;"")&lt;&gt;"",TRIM('입력_구리근무자명단'!$A989&amp;""),P990)</f>
        <v/>
      </c>
      <c r="Q991">
        <f>'입력_구리근무자명단'!$B989&amp;""</f>
        <v/>
      </c>
      <c r="R991">
        <f>IF($E$2="","",TRIM(INDEX('입력_구리근무자명단'!$A989:$ZZ989,1,$E$2+IF($G$2="확정",1,0))&amp;""))</f>
        <v/>
      </c>
      <c r="S991">
        <f>IF($R991="","",IF(INDEX('입력_구리근무자명단'!$A989:$ZZ989,1,$E$2+2)&amp;""="",급여기준월,IF(ISNUMBER(INDEX('입력_구리근무자명단'!$A989:$ZZ989,1,$E$2+2)),INDEX('입력_구리근무자명단'!$A989:$ZZ989,1,$E$2+2),IFERROR(DATE(VALUE(LEFT(INDEX('입력_구리근무자명단'!$A989:$ZZ989,1,$E$2+2),4)),VALUE(MID(INDEX('입력_구리근무자명단'!$A989:$ZZ989,1,$E$2+2),6,2)),VALUE(MID(INDEX('입력_구리근무자명단'!$A989:$ZZ989,1,$E$2+2),9,2))),-1))))</f>
        <v/>
      </c>
      <c r="T991">
        <f>IF($R991="","",IF(INDEX('입력_구리근무자명단'!$A989:$ZZ989,1,$E$2+3)&amp;""="",EOMONTH(급여기준월,0),IF(ISNUMBER(INDEX('입력_구리근무자명단'!$A989:$ZZ989,1,$E$2+3)),INDEX('입력_구리근무자명단'!$A989:$ZZ989,1,$E$2+3),IFERROR(DATE(VALUE(LEFT(INDEX('입력_구리근무자명단'!$A989:$ZZ989,1,$E$2+3),4)),VALUE(MID(INDEX('입력_구리근무자명단'!$A989:$ZZ989,1,$E$2+3),6,2)),VALUE(MID(INDEX('입력_구리근무자명단'!$A989:$ZZ989,1,$E$2+3),9,2))),-1))))</f>
        <v/>
      </c>
      <c r="U991">
        <f>IF($R991="","",IF(OR($S991&lt;0,$T991&lt;0),0,MAX(0,MIN($T991,EOMONTH(급여기준월,0))-MAX($S991,급여기준월)+1)))</f>
        <v/>
      </c>
      <c r="V991">
        <f>IF($R991="","",TRIM(INDEX('입력_구리근무자명단'!$A989:$ZZ989,1,$E$2+5)&amp;""))</f>
        <v/>
      </c>
      <c r="W991">
        <f>IF(ISNUMBER(SEARCH("구리독자",$V991)),"구리독자","")</f>
        <v/>
      </c>
      <c r="X991">
        <f>IF($R991="","",$R991&amp;"|"&amp;IF(OR($Q991="인턴",ISNUMBER(SEARCH("수련교육부",$P991))),"인턴",$P991))</f>
        <v/>
      </c>
      <c r="Y991">
        <f>IF($R991="","",IF(COUNTIF(명단표[이름|과],$X991)=1,"명단 일치",IF(AND(COUNTIF(명단표[이름|과],$X991)=0,COUNTIF(명단표[이름],$R991)=1),"명단 일치(이름만, 과 다름)",IF(COUNTIF(명단표[이름],$R991)=0,IF(COUNTIF(기본자료표[이름],$R991)&gt;0,"명단에 없음(기본자료에는 있음)","명단에 없음"),"동명이인 확인"))))</f>
        <v/>
      </c>
      <c r="Z991">
        <f>IF($R991="","",IF($S991&lt;0,"⚠"&amp;INDEX('입력_구리근무자명단'!$A989:$ZZ989,1,$E$2+2),TEXT($S991,"yyyy-mm-dd")))</f>
        <v/>
      </c>
      <c r="AA991">
        <f>IF($R991="","",IF($T991&lt;0,"⚠"&amp;INDEX('입력_구리근무자명단'!$A989:$ZZ989,1,$E$2+3),TEXT($T991,"yyyy-mm-dd")))</f>
        <v/>
      </c>
      <c r="AB991">
        <f>AB990+IF($R991="",0,1)</f>
        <v/>
      </c>
      <c r="AC991">
        <f>IF($R991="","",$AB991)</f>
        <v/>
      </c>
    </row>
    <row r="992">
      <c r="O992">
        <f>990</f>
        <v/>
      </c>
      <c r="P992">
        <f>IF(TRIM('입력_구리근무자명단'!$A990&amp;"")&lt;&gt;"",TRIM('입력_구리근무자명단'!$A990&amp;""),P991)</f>
        <v/>
      </c>
      <c r="Q992">
        <f>'입력_구리근무자명단'!$B990&amp;""</f>
        <v/>
      </c>
      <c r="R992">
        <f>IF($E$2="","",TRIM(INDEX('입력_구리근무자명단'!$A990:$ZZ990,1,$E$2+IF($G$2="확정",1,0))&amp;""))</f>
        <v/>
      </c>
      <c r="S992">
        <f>IF($R992="","",IF(INDEX('입력_구리근무자명단'!$A990:$ZZ990,1,$E$2+2)&amp;""="",급여기준월,IF(ISNUMBER(INDEX('입력_구리근무자명단'!$A990:$ZZ990,1,$E$2+2)),INDEX('입력_구리근무자명단'!$A990:$ZZ990,1,$E$2+2),IFERROR(DATE(VALUE(LEFT(INDEX('입력_구리근무자명단'!$A990:$ZZ990,1,$E$2+2),4)),VALUE(MID(INDEX('입력_구리근무자명단'!$A990:$ZZ990,1,$E$2+2),6,2)),VALUE(MID(INDEX('입력_구리근무자명단'!$A990:$ZZ990,1,$E$2+2),9,2))),-1))))</f>
        <v/>
      </c>
      <c r="T992">
        <f>IF($R992="","",IF(INDEX('입력_구리근무자명단'!$A990:$ZZ990,1,$E$2+3)&amp;""="",EOMONTH(급여기준월,0),IF(ISNUMBER(INDEX('입력_구리근무자명단'!$A990:$ZZ990,1,$E$2+3)),INDEX('입력_구리근무자명단'!$A990:$ZZ990,1,$E$2+3),IFERROR(DATE(VALUE(LEFT(INDEX('입력_구리근무자명단'!$A990:$ZZ990,1,$E$2+3),4)),VALUE(MID(INDEX('입력_구리근무자명단'!$A990:$ZZ990,1,$E$2+3),6,2)),VALUE(MID(INDEX('입력_구리근무자명단'!$A990:$ZZ990,1,$E$2+3),9,2))),-1))))</f>
        <v/>
      </c>
      <c r="U992">
        <f>IF($R992="","",IF(OR($S992&lt;0,$T992&lt;0),0,MAX(0,MIN($T992,EOMONTH(급여기준월,0))-MAX($S992,급여기준월)+1)))</f>
        <v/>
      </c>
      <c r="V992">
        <f>IF($R992="","",TRIM(INDEX('입력_구리근무자명단'!$A990:$ZZ990,1,$E$2+5)&amp;""))</f>
        <v/>
      </c>
      <c r="W992">
        <f>IF(ISNUMBER(SEARCH("구리독자",$V992)),"구리독자","")</f>
        <v/>
      </c>
      <c r="X992">
        <f>IF($R992="","",$R992&amp;"|"&amp;IF(OR($Q992="인턴",ISNUMBER(SEARCH("수련교육부",$P992))),"인턴",$P992))</f>
        <v/>
      </c>
      <c r="Y992">
        <f>IF($R992="","",IF(COUNTIF(명단표[이름|과],$X992)=1,"명단 일치",IF(AND(COUNTIF(명단표[이름|과],$X992)=0,COUNTIF(명단표[이름],$R992)=1),"명단 일치(이름만, 과 다름)",IF(COUNTIF(명단표[이름],$R992)=0,IF(COUNTIF(기본자료표[이름],$R992)&gt;0,"명단에 없음(기본자료에는 있음)","명단에 없음"),"동명이인 확인"))))</f>
        <v/>
      </c>
      <c r="Z992">
        <f>IF($R992="","",IF($S992&lt;0,"⚠"&amp;INDEX('입력_구리근무자명단'!$A990:$ZZ990,1,$E$2+2),TEXT($S992,"yyyy-mm-dd")))</f>
        <v/>
      </c>
      <c r="AA992">
        <f>IF($R992="","",IF($T992&lt;0,"⚠"&amp;INDEX('입력_구리근무자명단'!$A990:$ZZ990,1,$E$2+3),TEXT($T992,"yyyy-mm-dd")))</f>
        <v/>
      </c>
      <c r="AB992">
        <f>AB991+IF($R992="",0,1)</f>
        <v/>
      </c>
      <c r="AC992">
        <f>IF($R992="","",$AB992)</f>
        <v/>
      </c>
    </row>
    <row r="993">
      <c r="O993">
        <f>991</f>
        <v/>
      </c>
      <c r="P993">
        <f>IF(TRIM('입력_구리근무자명단'!$A991&amp;"")&lt;&gt;"",TRIM('입력_구리근무자명단'!$A991&amp;""),P992)</f>
        <v/>
      </c>
      <c r="Q993">
        <f>'입력_구리근무자명단'!$B991&amp;""</f>
        <v/>
      </c>
      <c r="R993">
        <f>IF($E$2="","",TRIM(INDEX('입력_구리근무자명단'!$A991:$ZZ991,1,$E$2+IF($G$2="확정",1,0))&amp;""))</f>
        <v/>
      </c>
      <c r="S993">
        <f>IF($R993="","",IF(INDEX('입력_구리근무자명단'!$A991:$ZZ991,1,$E$2+2)&amp;""="",급여기준월,IF(ISNUMBER(INDEX('입력_구리근무자명단'!$A991:$ZZ991,1,$E$2+2)),INDEX('입력_구리근무자명단'!$A991:$ZZ991,1,$E$2+2),IFERROR(DATE(VALUE(LEFT(INDEX('입력_구리근무자명단'!$A991:$ZZ991,1,$E$2+2),4)),VALUE(MID(INDEX('입력_구리근무자명단'!$A991:$ZZ991,1,$E$2+2),6,2)),VALUE(MID(INDEX('입력_구리근무자명단'!$A991:$ZZ991,1,$E$2+2),9,2))),-1))))</f>
        <v/>
      </c>
      <c r="T993">
        <f>IF($R993="","",IF(INDEX('입력_구리근무자명단'!$A991:$ZZ991,1,$E$2+3)&amp;""="",EOMONTH(급여기준월,0),IF(ISNUMBER(INDEX('입력_구리근무자명단'!$A991:$ZZ991,1,$E$2+3)),INDEX('입력_구리근무자명단'!$A991:$ZZ991,1,$E$2+3),IFERROR(DATE(VALUE(LEFT(INDEX('입력_구리근무자명단'!$A991:$ZZ991,1,$E$2+3),4)),VALUE(MID(INDEX('입력_구리근무자명단'!$A991:$ZZ991,1,$E$2+3),6,2)),VALUE(MID(INDEX('입력_구리근무자명단'!$A991:$ZZ991,1,$E$2+3),9,2))),-1))))</f>
        <v/>
      </c>
      <c r="U993">
        <f>IF($R993="","",IF(OR($S993&lt;0,$T993&lt;0),0,MAX(0,MIN($T993,EOMONTH(급여기준월,0))-MAX($S993,급여기준월)+1)))</f>
        <v/>
      </c>
      <c r="V993">
        <f>IF($R993="","",TRIM(INDEX('입력_구리근무자명단'!$A991:$ZZ991,1,$E$2+5)&amp;""))</f>
        <v/>
      </c>
      <c r="W993">
        <f>IF(ISNUMBER(SEARCH("구리독자",$V993)),"구리독자","")</f>
        <v/>
      </c>
      <c r="X993">
        <f>IF($R993="","",$R993&amp;"|"&amp;IF(OR($Q993="인턴",ISNUMBER(SEARCH("수련교육부",$P993))),"인턴",$P993))</f>
        <v/>
      </c>
      <c r="Y993">
        <f>IF($R993="","",IF(COUNTIF(명단표[이름|과],$X993)=1,"명단 일치",IF(AND(COUNTIF(명단표[이름|과],$X993)=0,COUNTIF(명단표[이름],$R993)=1),"명단 일치(이름만, 과 다름)",IF(COUNTIF(명단표[이름],$R993)=0,IF(COUNTIF(기본자료표[이름],$R993)&gt;0,"명단에 없음(기본자료에는 있음)","명단에 없음"),"동명이인 확인"))))</f>
        <v/>
      </c>
      <c r="Z993">
        <f>IF($R993="","",IF($S993&lt;0,"⚠"&amp;INDEX('입력_구리근무자명단'!$A991:$ZZ991,1,$E$2+2),TEXT($S993,"yyyy-mm-dd")))</f>
        <v/>
      </c>
      <c r="AA993">
        <f>IF($R993="","",IF($T993&lt;0,"⚠"&amp;INDEX('입력_구리근무자명단'!$A991:$ZZ991,1,$E$2+3),TEXT($T993,"yyyy-mm-dd")))</f>
        <v/>
      </c>
      <c r="AB993">
        <f>AB992+IF($R993="",0,1)</f>
        <v/>
      </c>
      <c r="AC993">
        <f>IF($R993="","",$AB993)</f>
        <v/>
      </c>
    </row>
    <row r="994">
      <c r="O994">
        <f>992</f>
        <v/>
      </c>
      <c r="P994">
        <f>IF(TRIM('입력_구리근무자명단'!$A992&amp;"")&lt;&gt;"",TRIM('입력_구리근무자명단'!$A992&amp;""),P993)</f>
        <v/>
      </c>
      <c r="Q994">
        <f>'입력_구리근무자명단'!$B992&amp;""</f>
        <v/>
      </c>
      <c r="R994">
        <f>IF($E$2="","",TRIM(INDEX('입력_구리근무자명단'!$A992:$ZZ992,1,$E$2+IF($G$2="확정",1,0))&amp;""))</f>
        <v/>
      </c>
      <c r="S994">
        <f>IF($R994="","",IF(INDEX('입력_구리근무자명단'!$A992:$ZZ992,1,$E$2+2)&amp;""="",급여기준월,IF(ISNUMBER(INDEX('입력_구리근무자명단'!$A992:$ZZ992,1,$E$2+2)),INDEX('입력_구리근무자명단'!$A992:$ZZ992,1,$E$2+2),IFERROR(DATE(VALUE(LEFT(INDEX('입력_구리근무자명단'!$A992:$ZZ992,1,$E$2+2),4)),VALUE(MID(INDEX('입력_구리근무자명단'!$A992:$ZZ992,1,$E$2+2),6,2)),VALUE(MID(INDEX('입력_구리근무자명단'!$A992:$ZZ992,1,$E$2+2),9,2))),-1))))</f>
        <v/>
      </c>
      <c r="T994">
        <f>IF($R994="","",IF(INDEX('입력_구리근무자명단'!$A992:$ZZ992,1,$E$2+3)&amp;""="",EOMONTH(급여기준월,0),IF(ISNUMBER(INDEX('입력_구리근무자명단'!$A992:$ZZ992,1,$E$2+3)),INDEX('입력_구리근무자명단'!$A992:$ZZ992,1,$E$2+3),IFERROR(DATE(VALUE(LEFT(INDEX('입력_구리근무자명단'!$A992:$ZZ992,1,$E$2+3),4)),VALUE(MID(INDEX('입력_구리근무자명단'!$A992:$ZZ992,1,$E$2+3),6,2)),VALUE(MID(INDEX('입력_구리근무자명단'!$A992:$ZZ992,1,$E$2+3),9,2))),-1))))</f>
        <v/>
      </c>
      <c r="U994">
        <f>IF($R994="","",IF(OR($S994&lt;0,$T994&lt;0),0,MAX(0,MIN($T994,EOMONTH(급여기준월,0))-MAX($S994,급여기준월)+1)))</f>
        <v/>
      </c>
      <c r="V994">
        <f>IF($R994="","",TRIM(INDEX('입력_구리근무자명단'!$A992:$ZZ992,1,$E$2+5)&amp;""))</f>
        <v/>
      </c>
      <c r="W994">
        <f>IF(ISNUMBER(SEARCH("구리독자",$V994)),"구리독자","")</f>
        <v/>
      </c>
      <c r="X994">
        <f>IF($R994="","",$R994&amp;"|"&amp;IF(OR($Q994="인턴",ISNUMBER(SEARCH("수련교육부",$P994))),"인턴",$P994))</f>
        <v/>
      </c>
      <c r="Y994">
        <f>IF($R994="","",IF(COUNTIF(명단표[이름|과],$X994)=1,"명단 일치",IF(AND(COUNTIF(명단표[이름|과],$X994)=0,COUNTIF(명단표[이름],$R994)=1),"명단 일치(이름만, 과 다름)",IF(COUNTIF(명단표[이름],$R994)=0,IF(COUNTIF(기본자료표[이름],$R994)&gt;0,"명단에 없음(기본자료에는 있음)","명단에 없음"),"동명이인 확인"))))</f>
        <v/>
      </c>
      <c r="Z994">
        <f>IF($R994="","",IF($S994&lt;0,"⚠"&amp;INDEX('입력_구리근무자명단'!$A992:$ZZ992,1,$E$2+2),TEXT($S994,"yyyy-mm-dd")))</f>
        <v/>
      </c>
      <c r="AA994">
        <f>IF($R994="","",IF($T994&lt;0,"⚠"&amp;INDEX('입력_구리근무자명단'!$A992:$ZZ992,1,$E$2+3),TEXT($T994,"yyyy-mm-dd")))</f>
        <v/>
      </c>
      <c r="AB994">
        <f>AB993+IF($R994="",0,1)</f>
        <v/>
      </c>
      <c r="AC994">
        <f>IF($R994="","",$AB994)</f>
        <v/>
      </c>
    </row>
    <row r="995">
      <c r="O995">
        <f>993</f>
        <v/>
      </c>
      <c r="P995">
        <f>IF(TRIM('입력_구리근무자명단'!$A993&amp;"")&lt;&gt;"",TRIM('입력_구리근무자명단'!$A993&amp;""),P994)</f>
        <v/>
      </c>
      <c r="Q995">
        <f>'입력_구리근무자명단'!$B993&amp;""</f>
        <v/>
      </c>
      <c r="R995">
        <f>IF($E$2="","",TRIM(INDEX('입력_구리근무자명단'!$A993:$ZZ993,1,$E$2+IF($G$2="확정",1,0))&amp;""))</f>
        <v/>
      </c>
      <c r="S995">
        <f>IF($R995="","",IF(INDEX('입력_구리근무자명단'!$A993:$ZZ993,1,$E$2+2)&amp;""="",급여기준월,IF(ISNUMBER(INDEX('입력_구리근무자명단'!$A993:$ZZ993,1,$E$2+2)),INDEX('입력_구리근무자명단'!$A993:$ZZ993,1,$E$2+2),IFERROR(DATE(VALUE(LEFT(INDEX('입력_구리근무자명단'!$A993:$ZZ993,1,$E$2+2),4)),VALUE(MID(INDEX('입력_구리근무자명단'!$A993:$ZZ993,1,$E$2+2),6,2)),VALUE(MID(INDEX('입력_구리근무자명단'!$A993:$ZZ993,1,$E$2+2),9,2))),-1))))</f>
        <v/>
      </c>
      <c r="T995">
        <f>IF($R995="","",IF(INDEX('입력_구리근무자명단'!$A993:$ZZ993,1,$E$2+3)&amp;""="",EOMONTH(급여기준월,0),IF(ISNUMBER(INDEX('입력_구리근무자명단'!$A993:$ZZ993,1,$E$2+3)),INDEX('입력_구리근무자명단'!$A993:$ZZ993,1,$E$2+3),IFERROR(DATE(VALUE(LEFT(INDEX('입력_구리근무자명단'!$A993:$ZZ993,1,$E$2+3),4)),VALUE(MID(INDEX('입력_구리근무자명단'!$A993:$ZZ993,1,$E$2+3),6,2)),VALUE(MID(INDEX('입력_구리근무자명단'!$A993:$ZZ993,1,$E$2+3),9,2))),-1))))</f>
        <v/>
      </c>
      <c r="U995">
        <f>IF($R995="","",IF(OR($S995&lt;0,$T995&lt;0),0,MAX(0,MIN($T995,EOMONTH(급여기준월,0))-MAX($S995,급여기준월)+1)))</f>
        <v/>
      </c>
      <c r="V995">
        <f>IF($R995="","",TRIM(INDEX('입력_구리근무자명단'!$A993:$ZZ993,1,$E$2+5)&amp;""))</f>
        <v/>
      </c>
      <c r="W995">
        <f>IF(ISNUMBER(SEARCH("구리독자",$V995)),"구리독자","")</f>
        <v/>
      </c>
      <c r="X995">
        <f>IF($R995="","",$R995&amp;"|"&amp;IF(OR($Q995="인턴",ISNUMBER(SEARCH("수련교육부",$P995))),"인턴",$P995))</f>
        <v/>
      </c>
      <c r="Y995">
        <f>IF($R995="","",IF(COUNTIF(명단표[이름|과],$X995)=1,"명단 일치",IF(AND(COUNTIF(명단표[이름|과],$X995)=0,COUNTIF(명단표[이름],$R995)=1),"명단 일치(이름만, 과 다름)",IF(COUNTIF(명단표[이름],$R995)=0,IF(COUNTIF(기본자료표[이름],$R995)&gt;0,"명단에 없음(기본자료에는 있음)","명단에 없음"),"동명이인 확인"))))</f>
        <v/>
      </c>
      <c r="Z995">
        <f>IF($R995="","",IF($S995&lt;0,"⚠"&amp;INDEX('입력_구리근무자명단'!$A993:$ZZ993,1,$E$2+2),TEXT($S995,"yyyy-mm-dd")))</f>
        <v/>
      </c>
      <c r="AA995">
        <f>IF($R995="","",IF($T995&lt;0,"⚠"&amp;INDEX('입력_구리근무자명단'!$A993:$ZZ993,1,$E$2+3),TEXT($T995,"yyyy-mm-dd")))</f>
        <v/>
      </c>
      <c r="AB995">
        <f>AB994+IF($R995="",0,1)</f>
        <v/>
      </c>
      <c r="AC995">
        <f>IF($R995="","",$AB995)</f>
        <v/>
      </c>
    </row>
    <row r="996">
      <c r="O996">
        <f>994</f>
        <v/>
      </c>
      <c r="P996">
        <f>IF(TRIM('입력_구리근무자명단'!$A994&amp;"")&lt;&gt;"",TRIM('입력_구리근무자명단'!$A994&amp;""),P995)</f>
        <v/>
      </c>
      <c r="Q996">
        <f>'입력_구리근무자명단'!$B994&amp;""</f>
        <v/>
      </c>
      <c r="R996">
        <f>IF($E$2="","",TRIM(INDEX('입력_구리근무자명단'!$A994:$ZZ994,1,$E$2+IF($G$2="확정",1,0))&amp;""))</f>
        <v/>
      </c>
      <c r="S996">
        <f>IF($R996="","",IF(INDEX('입력_구리근무자명단'!$A994:$ZZ994,1,$E$2+2)&amp;""="",급여기준월,IF(ISNUMBER(INDEX('입력_구리근무자명단'!$A994:$ZZ994,1,$E$2+2)),INDEX('입력_구리근무자명단'!$A994:$ZZ994,1,$E$2+2),IFERROR(DATE(VALUE(LEFT(INDEX('입력_구리근무자명단'!$A994:$ZZ994,1,$E$2+2),4)),VALUE(MID(INDEX('입력_구리근무자명단'!$A994:$ZZ994,1,$E$2+2),6,2)),VALUE(MID(INDEX('입력_구리근무자명단'!$A994:$ZZ994,1,$E$2+2),9,2))),-1))))</f>
        <v/>
      </c>
      <c r="T996">
        <f>IF($R996="","",IF(INDEX('입력_구리근무자명단'!$A994:$ZZ994,1,$E$2+3)&amp;""="",EOMONTH(급여기준월,0),IF(ISNUMBER(INDEX('입력_구리근무자명단'!$A994:$ZZ994,1,$E$2+3)),INDEX('입력_구리근무자명단'!$A994:$ZZ994,1,$E$2+3),IFERROR(DATE(VALUE(LEFT(INDEX('입력_구리근무자명단'!$A994:$ZZ994,1,$E$2+3),4)),VALUE(MID(INDEX('입력_구리근무자명단'!$A994:$ZZ994,1,$E$2+3),6,2)),VALUE(MID(INDEX('입력_구리근무자명단'!$A994:$ZZ994,1,$E$2+3),9,2))),-1))))</f>
        <v/>
      </c>
      <c r="U996">
        <f>IF($R996="","",IF(OR($S996&lt;0,$T996&lt;0),0,MAX(0,MIN($T996,EOMONTH(급여기준월,0))-MAX($S996,급여기준월)+1)))</f>
        <v/>
      </c>
      <c r="V996">
        <f>IF($R996="","",TRIM(INDEX('입력_구리근무자명단'!$A994:$ZZ994,1,$E$2+5)&amp;""))</f>
        <v/>
      </c>
      <c r="W996">
        <f>IF(ISNUMBER(SEARCH("구리독자",$V996)),"구리독자","")</f>
        <v/>
      </c>
      <c r="X996">
        <f>IF($R996="","",$R996&amp;"|"&amp;IF(OR($Q996="인턴",ISNUMBER(SEARCH("수련교육부",$P996))),"인턴",$P996))</f>
        <v/>
      </c>
      <c r="Y996">
        <f>IF($R996="","",IF(COUNTIF(명단표[이름|과],$X996)=1,"명단 일치",IF(AND(COUNTIF(명단표[이름|과],$X996)=0,COUNTIF(명단표[이름],$R996)=1),"명단 일치(이름만, 과 다름)",IF(COUNTIF(명단표[이름],$R996)=0,IF(COUNTIF(기본자료표[이름],$R996)&gt;0,"명단에 없음(기본자료에는 있음)","명단에 없음"),"동명이인 확인"))))</f>
        <v/>
      </c>
      <c r="Z996">
        <f>IF($R996="","",IF($S996&lt;0,"⚠"&amp;INDEX('입력_구리근무자명단'!$A994:$ZZ994,1,$E$2+2),TEXT($S996,"yyyy-mm-dd")))</f>
        <v/>
      </c>
      <c r="AA996">
        <f>IF($R996="","",IF($T996&lt;0,"⚠"&amp;INDEX('입력_구리근무자명단'!$A994:$ZZ994,1,$E$2+3),TEXT($T996,"yyyy-mm-dd")))</f>
        <v/>
      </c>
      <c r="AB996">
        <f>AB995+IF($R996="",0,1)</f>
        <v/>
      </c>
      <c r="AC996">
        <f>IF($R996="","",$AB996)</f>
        <v/>
      </c>
    </row>
    <row r="997">
      <c r="O997">
        <f>995</f>
        <v/>
      </c>
      <c r="P997">
        <f>IF(TRIM('입력_구리근무자명단'!$A995&amp;"")&lt;&gt;"",TRIM('입력_구리근무자명단'!$A995&amp;""),P996)</f>
        <v/>
      </c>
      <c r="Q997">
        <f>'입력_구리근무자명단'!$B995&amp;""</f>
        <v/>
      </c>
      <c r="R997">
        <f>IF($E$2="","",TRIM(INDEX('입력_구리근무자명단'!$A995:$ZZ995,1,$E$2+IF($G$2="확정",1,0))&amp;""))</f>
        <v/>
      </c>
      <c r="S997">
        <f>IF($R997="","",IF(INDEX('입력_구리근무자명단'!$A995:$ZZ995,1,$E$2+2)&amp;""="",급여기준월,IF(ISNUMBER(INDEX('입력_구리근무자명단'!$A995:$ZZ995,1,$E$2+2)),INDEX('입력_구리근무자명단'!$A995:$ZZ995,1,$E$2+2),IFERROR(DATE(VALUE(LEFT(INDEX('입력_구리근무자명단'!$A995:$ZZ995,1,$E$2+2),4)),VALUE(MID(INDEX('입력_구리근무자명단'!$A995:$ZZ995,1,$E$2+2),6,2)),VALUE(MID(INDEX('입력_구리근무자명단'!$A995:$ZZ995,1,$E$2+2),9,2))),-1))))</f>
        <v/>
      </c>
      <c r="T997">
        <f>IF($R997="","",IF(INDEX('입력_구리근무자명단'!$A995:$ZZ995,1,$E$2+3)&amp;""="",EOMONTH(급여기준월,0),IF(ISNUMBER(INDEX('입력_구리근무자명단'!$A995:$ZZ995,1,$E$2+3)),INDEX('입력_구리근무자명단'!$A995:$ZZ995,1,$E$2+3),IFERROR(DATE(VALUE(LEFT(INDEX('입력_구리근무자명단'!$A995:$ZZ995,1,$E$2+3),4)),VALUE(MID(INDEX('입력_구리근무자명단'!$A995:$ZZ995,1,$E$2+3),6,2)),VALUE(MID(INDEX('입력_구리근무자명단'!$A995:$ZZ995,1,$E$2+3),9,2))),-1))))</f>
        <v/>
      </c>
      <c r="U997">
        <f>IF($R997="","",IF(OR($S997&lt;0,$T997&lt;0),0,MAX(0,MIN($T997,EOMONTH(급여기준월,0))-MAX($S997,급여기준월)+1)))</f>
        <v/>
      </c>
      <c r="V997">
        <f>IF($R997="","",TRIM(INDEX('입력_구리근무자명단'!$A995:$ZZ995,1,$E$2+5)&amp;""))</f>
        <v/>
      </c>
      <c r="W997">
        <f>IF(ISNUMBER(SEARCH("구리독자",$V997)),"구리독자","")</f>
        <v/>
      </c>
      <c r="X997">
        <f>IF($R997="","",$R997&amp;"|"&amp;IF(OR($Q997="인턴",ISNUMBER(SEARCH("수련교육부",$P997))),"인턴",$P997))</f>
        <v/>
      </c>
      <c r="Y997">
        <f>IF($R997="","",IF(COUNTIF(명단표[이름|과],$X997)=1,"명단 일치",IF(AND(COUNTIF(명단표[이름|과],$X997)=0,COUNTIF(명단표[이름],$R997)=1),"명단 일치(이름만, 과 다름)",IF(COUNTIF(명단표[이름],$R997)=0,IF(COUNTIF(기본자료표[이름],$R997)&gt;0,"명단에 없음(기본자료에는 있음)","명단에 없음"),"동명이인 확인"))))</f>
        <v/>
      </c>
      <c r="Z997">
        <f>IF($R997="","",IF($S997&lt;0,"⚠"&amp;INDEX('입력_구리근무자명단'!$A995:$ZZ995,1,$E$2+2),TEXT($S997,"yyyy-mm-dd")))</f>
        <v/>
      </c>
      <c r="AA997">
        <f>IF($R997="","",IF($T997&lt;0,"⚠"&amp;INDEX('입력_구리근무자명단'!$A995:$ZZ995,1,$E$2+3),TEXT($T997,"yyyy-mm-dd")))</f>
        <v/>
      </c>
      <c r="AB997">
        <f>AB996+IF($R997="",0,1)</f>
        <v/>
      </c>
      <c r="AC997">
        <f>IF($R997="","",$AB997)</f>
        <v/>
      </c>
    </row>
    <row r="998">
      <c r="O998">
        <f>996</f>
        <v/>
      </c>
      <c r="P998">
        <f>IF(TRIM('입력_구리근무자명단'!$A996&amp;"")&lt;&gt;"",TRIM('입력_구리근무자명단'!$A996&amp;""),P997)</f>
        <v/>
      </c>
      <c r="Q998">
        <f>'입력_구리근무자명단'!$B996&amp;""</f>
        <v/>
      </c>
      <c r="R998">
        <f>IF($E$2="","",TRIM(INDEX('입력_구리근무자명단'!$A996:$ZZ996,1,$E$2+IF($G$2="확정",1,0))&amp;""))</f>
        <v/>
      </c>
      <c r="S998">
        <f>IF($R998="","",IF(INDEX('입력_구리근무자명단'!$A996:$ZZ996,1,$E$2+2)&amp;""="",급여기준월,IF(ISNUMBER(INDEX('입력_구리근무자명단'!$A996:$ZZ996,1,$E$2+2)),INDEX('입력_구리근무자명단'!$A996:$ZZ996,1,$E$2+2),IFERROR(DATE(VALUE(LEFT(INDEX('입력_구리근무자명단'!$A996:$ZZ996,1,$E$2+2),4)),VALUE(MID(INDEX('입력_구리근무자명단'!$A996:$ZZ996,1,$E$2+2),6,2)),VALUE(MID(INDEX('입력_구리근무자명단'!$A996:$ZZ996,1,$E$2+2),9,2))),-1))))</f>
        <v/>
      </c>
      <c r="T998">
        <f>IF($R998="","",IF(INDEX('입력_구리근무자명단'!$A996:$ZZ996,1,$E$2+3)&amp;""="",EOMONTH(급여기준월,0),IF(ISNUMBER(INDEX('입력_구리근무자명단'!$A996:$ZZ996,1,$E$2+3)),INDEX('입력_구리근무자명단'!$A996:$ZZ996,1,$E$2+3),IFERROR(DATE(VALUE(LEFT(INDEX('입력_구리근무자명단'!$A996:$ZZ996,1,$E$2+3),4)),VALUE(MID(INDEX('입력_구리근무자명단'!$A996:$ZZ996,1,$E$2+3),6,2)),VALUE(MID(INDEX('입력_구리근무자명단'!$A996:$ZZ996,1,$E$2+3),9,2))),-1))))</f>
        <v/>
      </c>
      <c r="U998">
        <f>IF($R998="","",IF(OR($S998&lt;0,$T998&lt;0),0,MAX(0,MIN($T998,EOMONTH(급여기준월,0))-MAX($S998,급여기준월)+1)))</f>
        <v/>
      </c>
      <c r="V998">
        <f>IF($R998="","",TRIM(INDEX('입력_구리근무자명단'!$A996:$ZZ996,1,$E$2+5)&amp;""))</f>
        <v/>
      </c>
      <c r="W998">
        <f>IF(ISNUMBER(SEARCH("구리독자",$V998)),"구리독자","")</f>
        <v/>
      </c>
      <c r="X998">
        <f>IF($R998="","",$R998&amp;"|"&amp;IF(OR($Q998="인턴",ISNUMBER(SEARCH("수련교육부",$P998))),"인턴",$P998))</f>
        <v/>
      </c>
      <c r="Y998">
        <f>IF($R998="","",IF(COUNTIF(명단표[이름|과],$X998)=1,"명단 일치",IF(AND(COUNTIF(명단표[이름|과],$X998)=0,COUNTIF(명단표[이름],$R998)=1),"명단 일치(이름만, 과 다름)",IF(COUNTIF(명단표[이름],$R998)=0,IF(COUNTIF(기본자료표[이름],$R998)&gt;0,"명단에 없음(기본자료에는 있음)","명단에 없음"),"동명이인 확인"))))</f>
        <v/>
      </c>
      <c r="Z998">
        <f>IF($R998="","",IF($S998&lt;0,"⚠"&amp;INDEX('입력_구리근무자명단'!$A996:$ZZ996,1,$E$2+2),TEXT($S998,"yyyy-mm-dd")))</f>
        <v/>
      </c>
      <c r="AA998">
        <f>IF($R998="","",IF($T998&lt;0,"⚠"&amp;INDEX('입력_구리근무자명단'!$A996:$ZZ996,1,$E$2+3),TEXT($T998,"yyyy-mm-dd")))</f>
        <v/>
      </c>
      <c r="AB998">
        <f>AB997+IF($R998="",0,1)</f>
        <v/>
      </c>
      <c r="AC998">
        <f>IF($R998="","",$AB998)</f>
        <v/>
      </c>
    </row>
    <row r="999">
      <c r="O999">
        <f>997</f>
        <v/>
      </c>
      <c r="P999">
        <f>IF(TRIM('입력_구리근무자명단'!$A997&amp;"")&lt;&gt;"",TRIM('입력_구리근무자명단'!$A997&amp;""),P998)</f>
        <v/>
      </c>
      <c r="Q999">
        <f>'입력_구리근무자명단'!$B997&amp;""</f>
        <v/>
      </c>
      <c r="R999">
        <f>IF($E$2="","",TRIM(INDEX('입력_구리근무자명단'!$A997:$ZZ997,1,$E$2+IF($G$2="확정",1,0))&amp;""))</f>
        <v/>
      </c>
      <c r="S999">
        <f>IF($R999="","",IF(INDEX('입력_구리근무자명단'!$A997:$ZZ997,1,$E$2+2)&amp;""="",급여기준월,IF(ISNUMBER(INDEX('입력_구리근무자명단'!$A997:$ZZ997,1,$E$2+2)),INDEX('입력_구리근무자명단'!$A997:$ZZ997,1,$E$2+2),IFERROR(DATE(VALUE(LEFT(INDEX('입력_구리근무자명단'!$A997:$ZZ997,1,$E$2+2),4)),VALUE(MID(INDEX('입력_구리근무자명단'!$A997:$ZZ997,1,$E$2+2),6,2)),VALUE(MID(INDEX('입력_구리근무자명단'!$A997:$ZZ997,1,$E$2+2),9,2))),-1))))</f>
        <v/>
      </c>
      <c r="T999">
        <f>IF($R999="","",IF(INDEX('입력_구리근무자명단'!$A997:$ZZ997,1,$E$2+3)&amp;""="",EOMONTH(급여기준월,0),IF(ISNUMBER(INDEX('입력_구리근무자명단'!$A997:$ZZ997,1,$E$2+3)),INDEX('입력_구리근무자명단'!$A997:$ZZ997,1,$E$2+3),IFERROR(DATE(VALUE(LEFT(INDEX('입력_구리근무자명단'!$A997:$ZZ997,1,$E$2+3),4)),VALUE(MID(INDEX('입력_구리근무자명단'!$A997:$ZZ997,1,$E$2+3),6,2)),VALUE(MID(INDEX('입력_구리근무자명단'!$A997:$ZZ997,1,$E$2+3),9,2))),-1))))</f>
        <v/>
      </c>
      <c r="U999">
        <f>IF($R999="","",IF(OR($S999&lt;0,$T999&lt;0),0,MAX(0,MIN($T999,EOMONTH(급여기준월,0))-MAX($S999,급여기준월)+1)))</f>
        <v/>
      </c>
      <c r="V999">
        <f>IF($R999="","",TRIM(INDEX('입력_구리근무자명단'!$A997:$ZZ997,1,$E$2+5)&amp;""))</f>
        <v/>
      </c>
      <c r="W999">
        <f>IF(ISNUMBER(SEARCH("구리독자",$V999)),"구리독자","")</f>
        <v/>
      </c>
      <c r="X999">
        <f>IF($R999="","",$R999&amp;"|"&amp;IF(OR($Q999="인턴",ISNUMBER(SEARCH("수련교육부",$P999))),"인턴",$P999))</f>
        <v/>
      </c>
      <c r="Y999">
        <f>IF($R999="","",IF(COUNTIF(명단표[이름|과],$X999)=1,"명단 일치",IF(AND(COUNTIF(명단표[이름|과],$X999)=0,COUNTIF(명단표[이름],$R999)=1),"명단 일치(이름만, 과 다름)",IF(COUNTIF(명단표[이름],$R999)=0,IF(COUNTIF(기본자료표[이름],$R999)&gt;0,"명단에 없음(기본자료에는 있음)","명단에 없음"),"동명이인 확인"))))</f>
        <v/>
      </c>
      <c r="Z999">
        <f>IF($R999="","",IF($S999&lt;0,"⚠"&amp;INDEX('입력_구리근무자명단'!$A997:$ZZ997,1,$E$2+2),TEXT($S999,"yyyy-mm-dd")))</f>
        <v/>
      </c>
      <c r="AA999">
        <f>IF($R999="","",IF($T999&lt;0,"⚠"&amp;INDEX('입력_구리근무자명단'!$A997:$ZZ997,1,$E$2+3),TEXT($T999,"yyyy-mm-dd")))</f>
        <v/>
      </c>
      <c r="AB999">
        <f>AB998+IF($R999="",0,1)</f>
        <v/>
      </c>
      <c r="AC999">
        <f>IF($R999="","",$AB999)</f>
        <v/>
      </c>
    </row>
    <row r="1000">
      <c r="O1000">
        <f>998</f>
        <v/>
      </c>
      <c r="P1000">
        <f>IF(TRIM('입력_구리근무자명단'!$A998&amp;"")&lt;&gt;"",TRIM('입력_구리근무자명단'!$A998&amp;""),P999)</f>
        <v/>
      </c>
      <c r="Q1000">
        <f>'입력_구리근무자명단'!$B998&amp;""</f>
        <v/>
      </c>
      <c r="R1000">
        <f>IF($E$2="","",TRIM(INDEX('입력_구리근무자명단'!$A998:$ZZ998,1,$E$2+IF($G$2="확정",1,0))&amp;""))</f>
        <v/>
      </c>
      <c r="S1000">
        <f>IF($R1000="","",IF(INDEX('입력_구리근무자명단'!$A998:$ZZ998,1,$E$2+2)&amp;""="",급여기준월,IF(ISNUMBER(INDEX('입력_구리근무자명단'!$A998:$ZZ998,1,$E$2+2)),INDEX('입력_구리근무자명단'!$A998:$ZZ998,1,$E$2+2),IFERROR(DATE(VALUE(LEFT(INDEX('입력_구리근무자명단'!$A998:$ZZ998,1,$E$2+2),4)),VALUE(MID(INDEX('입력_구리근무자명단'!$A998:$ZZ998,1,$E$2+2),6,2)),VALUE(MID(INDEX('입력_구리근무자명단'!$A998:$ZZ998,1,$E$2+2),9,2))),-1))))</f>
        <v/>
      </c>
      <c r="T1000">
        <f>IF($R1000="","",IF(INDEX('입력_구리근무자명단'!$A998:$ZZ998,1,$E$2+3)&amp;""="",EOMONTH(급여기준월,0),IF(ISNUMBER(INDEX('입력_구리근무자명단'!$A998:$ZZ998,1,$E$2+3)),INDEX('입력_구리근무자명단'!$A998:$ZZ998,1,$E$2+3),IFERROR(DATE(VALUE(LEFT(INDEX('입력_구리근무자명단'!$A998:$ZZ998,1,$E$2+3),4)),VALUE(MID(INDEX('입력_구리근무자명단'!$A998:$ZZ998,1,$E$2+3),6,2)),VALUE(MID(INDEX('입력_구리근무자명단'!$A998:$ZZ998,1,$E$2+3),9,2))),-1))))</f>
        <v/>
      </c>
      <c r="U1000">
        <f>IF($R1000="","",IF(OR($S1000&lt;0,$T1000&lt;0),0,MAX(0,MIN($T1000,EOMONTH(급여기준월,0))-MAX($S1000,급여기준월)+1)))</f>
        <v/>
      </c>
      <c r="V1000">
        <f>IF($R1000="","",TRIM(INDEX('입력_구리근무자명단'!$A998:$ZZ998,1,$E$2+5)&amp;""))</f>
        <v/>
      </c>
      <c r="W1000">
        <f>IF(ISNUMBER(SEARCH("구리독자",$V1000)),"구리독자","")</f>
        <v/>
      </c>
      <c r="X1000">
        <f>IF($R1000="","",$R1000&amp;"|"&amp;IF(OR($Q1000="인턴",ISNUMBER(SEARCH("수련교육부",$P1000))),"인턴",$P1000))</f>
        <v/>
      </c>
      <c r="Y1000">
        <f>IF($R1000="","",IF(COUNTIF(명단표[이름|과],$X1000)=1,"명단 일치",IF(AND(COUNTIF(명단표[이름|과],$X1000)=0,COUNTIF(명단표[이름],$R1000)=1),"명단 일치(이름만, 과 다름)",IF(COUNTIF(명단표[이름],$R1000)=0,IF(COUNTIF(기본자료표[이름],$R1000)&gt;0,"명단에 없음(기본자료에는 있음)","명단에 없음"),"동명이인 확인"))))</f>
        <v/>
      </c>
      <c r="Z1000">
        <f>IF($R1000="","",IF($S1000&lt;0,"⚠"&amp;INDEX('입력_구리근무자명단'!$A998:$ZZ998,1,$E$2+2),TEXT($S1000,"yyyy-mm-dd")))</f>
        <v/>
      </c>
      <c r="AA1000">
        <f>IF($R1000="","",IF($T1000&lt;0,"⚠"&amp;INDEX('입력_구리근무자명단'!$A998:$ZZ998,1,$E$2+3),TEXT($T1000,"yyyy-mm-dd")))</f>
        <v/>
      </c>
      <c r="AB1000">
        <f>AB999+IF($R1000="",0,1)</f>
        <v/>
      </c>
      <c r="AC1000">
        <f>IF($R1000="","",$AB1000)</f>
        <v/>
      </c>
    </row>
    <row r="1001">
      <c r="O1001">
        <f>999</f>
        <v/>
      </c>
      <c r="P1001">
        <f>IF(TRIM('입력_구리근무자명단'!$A999&amp;"")&lt;&gt;"",TRIM('입력_구리근무자명단'!$A999&amp;""),P1000)</f>
        <v/>
      </c>
      <c r="Q1001">
        <f>'입력_구리근무자명단'!$B999&amp;""</f>
        <v/>
      </c>
      <c r="R1001">
        <f>IF($E$2="","",TRIM(INDEX('입력_구리근무자명단'!$A999:$ZZ999,1,$E$2+IF($G$2="확정",1,0))&amp;""))</f>
        <v/>
      </c>
      <c r="S1001">
        <f>IF($R1001="","",IF(INDEX('입력_구리근무자명단'!$A999:$ZZ999,1,$E$2+2)&amp;""="",급여기준월,IF(ISNUMBER(INDEX('입력_구리근무자명단'!$A999:$ZZ999,1,$E$2+2)),INDEX('입력_구리근무자명단'!$A999:$ZZ999,1,$E$2+2),IFERROR(DATE(VALUE(LEFT(INDEX('입력_구리근무자명단'!$A999:$ZZ999,1,$E$2+2),4)),VALUE(MID(INDEX('입력_구리근무자명단'!$A999:$ZZ999,1,$E$2+2),6,2)),VALUE(MID(INDEX('입력_구리근무자명단'!$A999:$ZZ999,1,$E$2+2),9,2))),-1))))</f>
        <v/>
      </c>
      <c r="T1001">
        <f>IF($R1001="","",IF(INDEX('입력_구리근무자명단'!$A999:$ZZ999,1,$E$2+3)&amp;""="",EOMONTH(급여기준월,0),IF(ISNUMBER(INDEX('입력_구리근무자명단'!$A999:$ZZ999,1,$E$2+3)),INDEX('입력_구리근무자명단'!$A999:$ZZ999,1,$E$2+3),IFERROR(DATE(VALUE(LEFT(INDEX('입력_구리근무자명단'!$A999:$ZZ999,1,$E$2+3),4)),VALUE(MID(INDEX('입력_구리근무자명단'!$A999:$ZZ999,1,$E$2+3),6,2)),VALUE(MID(INDEX('입력_구리근무자명단'!$A999:$ZZ999,1,$E$2+3),9,2))),-1))))</f>
        <v/>
      </c>
      <c r="U1001">
        <f>IF($R1001="","",IF(OR($S1001&lt;0,$T1001&lt;0),0,MAX(0,MIN($T1001,EOMONTH(급여기준월,0))-MAX($S1001,급여기준월)+1)))</f>
        <v/>
      </c>
      <c r="V1001">
        <f>IF($R1001="","",TRIM(INDEX('입력_구리근무자명단'!$A999:$ZZ999,1,$E$2+5)&amp;""))</f>
        <v/>
      </c>
      <c r="W1001">
        <f>IF(ISNUMBER(SEARCH("구리독자",$V1001)),"구리독자","")</f>
        <v/>
      </c>
      <c r="X1001">
        <f>IF($R1001="","",$R1001&amp;"|"&amp;IF(OR($Q1001="인턴",ISNUMBER(SEARCH("수련교육부",$P1001))),"인턴",$P1001))</f>
        <v/>
      </c>
      <c r="Y1001">
        <f>IF($R1001="","",IF(COUNTIF(명단표[이름|과],$X1001)=1,"명단 일치",IF(AND(COUNTIF(명단표[이름|과],$X1001)=0,COUNTIF(명단표[이름],$R1001)=1),"명단 일치(이름만, 과 다름)",IF(COUNTIF(명단표[이름],$R1001)=0,IF(COUNTIF(기본자료표[이름],$R1001)&gt;0,"명단에 없음(기본자료에는 있음)","명단에 없음"),"동명이인 확인"))))</f>
        <v/>
      </c>
      <c r="Z1001">
        <f>IF($R1001="","",IF($S1001&lt;0,"⚠"&amp;INDEX('입력_구리근무자명단'!$A999:$ZZ999,1,$E$2+2),TEXT($S1001,"yyyy-mm-dd")))</f>
        <v/>
      </c>
      <c r="AA1001">
        <f>IF($R1001="","",IF($T1001&lt;0,"⚠"&amp;INDEX('입력_구리근무자명단'!$A999:$ZZ999,1,$E$2+3),TEXT($T1001,"yyyy-mm-dd")))</f>
        <v/>
      </c>
      <c r="AB1001">
        <f>AB1000+IF($R1001="",0,1)</f>
        <v/>
      </c>
      <c r="AC1001">
        <f>IF($R1001="","",$AB1001)</f>
        <v/>
      </c>
    </row>
    <row r="1002">
      <c r="O1002">
        <f>1000</f>
        <v/>
      </c>
      <c r="P1002">
        <f>IF(TRIM('입력_구리근무자명단'!$A1000&amp;"")&lt;&gt;"",TRIM('입력_구리근무자명단'!$A1000&amp;""),P1001)</f>
        <v/>
      </c>
      <c r="Q1002">
        <f>'입력_구리근무자명단'!$B1000&amp;""</f>
        <v/>
      </c>
      <c r="R1002">
        <f>IF($E$2="","",TRIM(INDEX('입력_구리근무자명단'!$A1000:$ZZ1000,1,$E$2+IF($G$2="확정",1,0))&amp;""))</f>
        <v/>
      </c>
      <c r="S1002">
        <f>IF($R1002="","",IF(INDEX('입력_구리근무자명단'!$A1000:$ZZ1000,1,$E$2+2)&amp;""="",급여기준월,IF(ISNUMBER(INDEX('입력_구리근무자명단'!$A1000:$ZZ1000,1,$E$2+2)),INDEX('입력_구리근무자명단'!$A1000:$ZZ1000,1,$E$2+2),IFERROR(DATE(VALUE(LEFT(INDEX('입력_구리근무자명단'!$A1000:$ZZ1000,1,$E$2+2),4)),VALUE(MID(INDEX('입력_구리근무자명단'!$A1000:$ZZ1000,1,$E$2+2),6,2)),VALUE(MID(INDEX('입력_구리근무자명단'!$A1000:$ZZ1000,1,$E$2+2),9,2))),-1))))</f>
        <v/>
      </c>
      <c r="T1002">
        <f>IF($R1002="","",IF(INDEX('입력_구리근무자명단'!$A1000:$ZZ1000,1,$E$2+3)&amp;""="",EOMONTH(급여기준월,0),IF(ISNUMBER(INDEX('입력_구리근무자명단'!$A1000:$ZZ1000,1,$E$2+3)),INDEX('입력_구리근무자명단'!$A1000:$ZZ1000,1,$E$2+3),IFERROR(DATE(VALUE(LEFT(INDEX('입력_구리근무자명단'!$A1000:$ZZ1000,1,$E$2+3),4)),VALUE(MID(INDEX('입력_구리근무자명단'!$A1000:$ZZ1000,1,$E$2+3),6,2)),VALUE(MID(INDEX('입력_구리근무자명단'!$A1000:$ZZ1000,1,$E$2+3),9,2))),-1))))</f>
        <v/>
      </c>
      <c r="U1002">
        <f>IF($R1002="","",IF(OR($S1002&lt;0,$T1002&lt;0),0,MAX(0,MIN($T1002,EOMONTH(급여기준월,0))-MAX($S1002,급여기준월)+1)))</f>
        <v/>
      </c>
      <c r="V1002">
        <f>IF($R1002="","",TRIM(INDEX('입력_구리근무자명단'!$A1000:$ZZ1000,1,$E$2+5)&amp;""))</f>
        <v/>
      </c>
      <c r="W1002">
        <f>IF(ISNUMBER(SEARCH("구리독자",$V1002)),"구리독자","")</f>
        <v/>
      </c>
      <c r="X1002">
        <f>IF($R1002="","",$R1002&amp;"|"&amp;IF(OR($Q1002="인턴",ISNUMBER(SEARCH("수련교육부",$P1002))),"인턴",$P1002))</f>
        <v/>
      </c>
      <c r="Y1002">
        <f>IF($R1002="","",IF(COUNTIF(명단표[이름|과],$X1002)=1,"명단 일치",IF(AND(COUNTIF(명단표[이름|과],$X1002)=0,COUNTIF(명단표[이름],$R1002)=1),"명단 일치(이름만, 과 다름)",IF(COUNTIF(명단표[이름],$R1002)=0,IF(COUNTIF(기본자료표[이름],$R1002)&gt;0,"명단에 없음(기본자료에는 있음)","명단에 없음"),"동명이인 확인"))))</f>
        <v/>
      </c>
      <c r="Z1002">
        <f>IF($R1002="","",IF($S1002&lt;0,"⚠"&amp;INDEX('입력_구리근무자명단'!$A1000:$ZZ1000,1,$E$2+2),TEXT($S1002,"yyyy-mm-dd")))</f>
        <v/>
      </c>
      <c r="AA1002">
        <f>IF($R1002="","",IF($T1002&lt;0,"⚠"&amp;INDEX('입력_구리근무자명단'!$A1000:$ZZ1000,1,$E$2+3),TEXT($T1002,"yyyy-mm-dd")))</f>
        <v/>
      </c>
      <c r="AB1002">
        <f>AB1001+IF($R1002="",0,1)</f>
        <v/>
      </c>
      <c r="AC1002">
        <f>IF($R1002="","",$AB1002)</f>
        <v/>
      </c>
    </row>
    <row r="1003">
      <c r="O1003">
        <f>1001</f>
        <v/>
      </c>
      <c r="P1003">
        <f>IF(TRIM('입력_구리근무자명단'!$A1001&amp;"")&lt;&gt;"",TRIM('입력_구리근무자명단'!$A1001&amp;""),P1002)</f>
        <v/>
      </c>
      <c r="Q1003">
        <f>'입력_구리근무자명단'!$B1001&amp;""</f>
        <v/>
      </c>
      <c r="R1003">
        <f>IF($E$2="","",TRIM(INDEX('입력_구리근무자명단'!$A1001:$ZZ1001,1,$E$2+IF($G$2="확정",1,0))&amp;""))</f>
        <v/>
      </c>
      <c r="S1003">
        <f>IF($R1003="","",IF(INDEX('입력_구리근무자명단'!$A1001:$ZZ1001,1,$E$2+2)&amp;""="",급여기준월,IF(ISNUMBER(INDEX('입력_구리근무자명단'!$A1001:$ZZ1001,1,$E$2+2)),INDEX('입력_구리근무자명단'!$A1001:$ZZ1001,1,$E$2+2),IFERROR(DATE(VALUE(LEFT(INDEX('입력_구리근무자명단'!$A1001:$ZZ1001,1,$E$2+2),4)),VALUE(MID(INDEX('입력_구리근무자명단'!$A1001:$ZZ1001,1,$E$2+2),6,2)),VALUE(MID(INDEX('입력_구리근무자명단'!$A1001:$ZZ1001,1,$E$2+2),9,2))),-1))))</f>
        <v/>
      </c>
      <c r="T1003">
        <f>IF($R1003="","",IF(INDEX('입력_구리근무자명단'!$A1001:$ZZ1001,1,$E$2+3)&amp;""="",EOMONTH(급여기준월,0),IF(ISNUMBER(INDEX('입력_구리근무자명단'!$A1001:$ZZ1001,1,$E$2+3)),INDEX('입력_구리근무자명단'!$A1001:$ZZ1001,1,$E$2+3),IFERROR(DATE(VALUE(LEFT(INDEX('입력_구리근무자명단'!$A1001:$ZZ1001,1,$E$2+3),4)),VALUE(MID(INDEX('입력_구리근무자명단'!$A1001:$ZZ1001,1,$E$2+3),6,2)),VALUE(MID(INDEX('입력_구리근무자명단'!$A1001:$ZZ1001,1,$E$2+3),9,2))),-1))))</f>
        <v/>
      </c>
      <c r="U1003">
        <f>IF($R1003="","",IF(OR($S1003&lt;0,$T1003&lt;0),0,MAX(0,MIN($T1003,EOMONTH(급여기준월,0))-MAX($S1003,급여기준월)+1)))</f>
        <v/>
      </c>
      <c r="V1003">
        <f>IF($R1003="","",TRIM(INDEX('입력_구리근무자명단'!$A1001:$ZZ1001,1,$E$2+5)&amp;""))</f>
        <v/>
      </c>
      <c r="W1003">
        <f>IF(ISNUMBER(SEARCH("구리독자",$V1003)),"구리독자","")</f>
        <v/>
      </c>
      <c r="X1003">
        <f>IF($R1003="","",$R1003&amp;"|"&amp;IF(OR($Q1003="인턴",ISNUMBER(SEARCH("수련교육부",$P1003))),"인턴",$P1003))</f>
        <v/>
      </c>
      <c r="Y1003">
        <f>IF($R1003="","",IF(COUNTIF(명단표[이름|과],$X1003)=1,"명단 일치",IF(AND(COUNTIF(명단표[이름|과],$X1003)=0,COUNTIF(명단표[이름],$R1003)=1),"명단 일치(이름만, 과 다름)",IF(COUNTIF(명단표[이름],$R1003)=0,IF(COUNTIF(기본자료표[이름],$R1003)&gt;0,"명단에 없음(기본자료에는 있음)","명단에 없음"),"동명이인 확인"))))</f>
        <v/>
      </c>
      <c r="Z1003">
        <f>IF($R1003="","",IF($S1003&lt;0,"⚠"&amp;INDEX('입력_구리근무자명단'!$A1001:$ZZ1001,1,$E$2+2),TEXT($S1003,"yyyy-mm-dd")))</f>
        <v/>
      </c>
      <c r="AA1003">
        <f>IF($R1003="","",IF($T1003&lt;0,"⚠"&amp;INDEX('입력_구리근무자명단'!$A1001:$ZZ1001,1,$E$2+3),TEXT($T1003,"yyyy-mm-dd")))</f>
        <v/>
      </c>
      <c r="AB1003">
        <f>AB1002+IF($R1003="",0,1)</f>
        <v/>
      </c>
      <c r="AC1003">
        <f>IF($R1003="","",$AB1003)</f>
        <v/>
      </c>
    </row>
    <row r="1004">
      <c r="O1004">
        <f>1002</f>
        <v/>
      </c>
      <c r="P1004">
        <f>IF(TRIM('입력_구리근무자명단'!$A1002&amp;"")&lt;&gt;"",TRIM('입력_구리근무자명단'!$A1002&amp;""),P1003)</f>
        <v/>
      </c>
      <c r="Q1004">
        <f>'입력_구리근무자명단'!$B1002&amp;""</f>
        <v/>
      </c>
      <c r="R1004">
        <f>IF($E$2="","",TRIM(INDEX('입력_구리근무자명단'!$A1002:$ZZ1002,1,$E$2+IF($G$2="확정",1,0))&amp;""))</f>
        <v/>
      </c>
      <c r="S1004">
        <f>IF($R1004="","",IF(INDEX('입력_구리근무자명단'!$A1002:$ZZ1002,1,$E$2+2)&amp;""="",급여기준월,IF(ISNUMBER(INDEX('입력_구리근무자명단'!$A1002:$ZZ1002,1,$E$2+2)),INDEX('입력_구리근무자명단'!$A1002:$ZZ1002,1,$E$2+2),IFERROR(DATE(VALUE(LEFT(INDEX('입력_구리근무자명단'!$A1002:$ZZ1002,1,$E$2+2),4)),VALUE(MID(INDEX('입력_구리근무자명단'!$A1002:$ZZ1002,1,$E$2+2),6,2)),VALUE(MID(INDEX('입력_구리근무자명단'!$A1002:$ZZ1002,1,$E$2+2),9,2))),-1))))</f>
        <v/>
      </c>
      <c r="T1004">
        <f>IF($R1004="","",IF(INDEX('입력_구리근무자명단'!$A1002:$ZZ1002,1,$E$2+3)&amp;""="",EOMONTH(급여기준월,0),IF(ISNUMBER(INDEX('입력_구리근무자명단'!$A1002:$ZZ1002,1,$E$2+3)),INDEX('입력_구리근무자명단'!$A1002:$ZZ1002,1,$E$2+3),IFERROR(DATE(VALUE(LEFT(INDEX('입력_구리근무자명단'!$A1002:$ZZ1002,1,$E$2+3),4)),VALUE(MID(INDEX('입력_구리근무자명단'!$A1002:$ZZ1002,1,$E$2+3),6,2)),VALUE(MID(INDEX('입력_구리근무자명단'!$A1002:$ZZ1002,1,$E$2+3),9,2))),-1))))</f>
        <v/>
      </c>
      <c r="U1004">
        <f>IF($R1004="","",IF(OR($S1004&lt;0,$T1004&lt;0),0,MAX(0,MIN($T1004,EOMONTH(급여기준월,0))-MAX($S1004,급여기준월)+1)))</f>
        <v/>
      </c>
      <c r="V1004">
        <f>IF($R1004="","",TRIM(INDEX('입력_구리근무자명단'!$A1002:$ZZ1002,1,$E$2+5)&amp;""))</f>
        <v/>
      </c>
      <c r="W1004">
        <f>IF(ISNUMBER(SEARCH("구리독자",$V1004)),"구리독자","")</f>
        <v/>
      </c>
      <c r="X1004">
        <f>IF($R1004="","",$R1004&amp;"|"&amp;IF(OR($Q1004="인턴",ISNUMBER(SEARCH("수련교육부",$P1004))),"인턴",$P1004))</f>
        <v/>
      </c>
      <c r="Y1004">
        <f>IF($R1004="","",IF(COUNTIF(명단표[이름|과],$X1004)=1,"명단 일치",IF(AND(COUNTIF(명단표[이름|과],$X1004)=0,COUNTIF(명단표[이름],$R1004)=1),"명단 일치(이름만, 과 다름)",IF(COUNTIF(명단표[이름],$R1004)=0,IF(COUNTIF(기본자료표[이름],$R1004)&gt;0,"명단에 없음(기본자료에는 있음)","명단에 없음"),"동명이인 확인"))))</f>
        <v/>
      </c>
      <c r="Z1004">
        <f>IF($R1004="","",IF($S1004&lt;0,"⚠"&amp;INDEX('입력_구리근무자명단'!$A1002:$ZZ1002,1,$E$2+2),TEXT($S1004,"yyyy-mm-dd")))</f>
        <v/>
      </c>
      <c r="AA1004">
        <f>IF($R1004="","",IF($T1004&lt;0,"⚠"&amp;INDEX('입력_구리근무자명단'!$A1002:$ZZ1002,1,$E$2+3),TEXT($T1004,"yyyy-mm-dd")))</f>
        <v/>
      </c>
      <c r="AB1004">
        <f>AB1003+IF($R1004="",0,1)</f>
        <v/>
      </c>
      <c r="AC1004">
        <f>IF($R1004="","",$AB1004)</f>
        <v/>
      </c>
    </row>
    <row r="1005">
      <c r="O1005">
        <f>1003</f>
        <v/>
      </c>
      <c r="P1005">
        <f>IF(TRIM('입력_구리근무자명단'!$A1003&amp;"")&lt;&gt;"",TRIM('입력_구리근무자명단'!$A1003&amp;""),P1004)</f>
        <v/>
      </c>
      <c r="Q1005">
        <f>'입력_구리근무자명단'!$B1003&amp;""</f>
        <v/>
      </c>
      <c r="R1005">
        <f>IF($E$2="","",TRIM(INDEX('입력_구리근무자명단'!$A1003:$ZZ1003,1,$E$2+IF($G$2="확정",1,0))&amp;""))</f>
        <v/>
      </c>
      <c r="S1005">
        <f>IF($R1005="","",IF(INDEX('입력_구리근무자명단'!$A1003:$ZZ1003,1,$E$2+2)&amp;""="",급여기준월,IF(ISNUMBER(INDEX('입력_구리근무자명단'!$A1003:$ZZ1003,1,$E$2+2)),INDEX('입력_구리근무자명단'!$A1003:$ZZ1003,1,$E$2+2),IFERROR(DATE(VALUE(LEFT(INDEX('입력_구리근무자명단'!$A1003:$ZZ1003,1,$E$2+2),4)),VALUE(MID(INDEX('입력_구리근무자명단'!$A1003:$ZZ1003,1,$E$2+2),6,2)),VALUE(MID(INDEX('입력_구리근무자명단'!$A1003:$ZZ1003,1,$E$2+2),9,2))),-1))))</f>
        <v/>
      </c>
      <c r="T1005">
        <f>IF($R1005="","",IF(INDEX('입력_구리근무자명단'!$A1003:$ZZ1003,1,$E$2+3)&amp;""="",EOMONTH(급여기준월,0),IF(ISNUMBER(INDEX('입력_구리근무자명단'!$A1003:$ZZ1003,1,$E$2+3)),INDEX('입력_구리근무자명단'!$A1003:$ZZ1003,1,$E$2+3),IFERROR(DATE(VALUE(LEFT(INDEX('입력_구리근무자명단'!$A1003:$ZZ1003,1,$E$2+3),4)),VALUE(MID(INDEX('입력_구리근무자명단'!$A1003:$ZZ1003,1,$E$2+3),6,2)),VALUE(MID(INDEX('입력_구리근무자명단'!$A1003:$ZZ1003,1,$E$2+3),9,2))),-1))))</f>
        <v/>
      </c>
      <c r="U1005">
        <f>IF($R1005="","",IF(OR($S1005&lt;0,$T1005&lt;0),0,MAX(0,MIN($T1005,EOMONTH(급여기준월,0))-MAX($S1005,급여기준월)+1)))</f>
        <v/>
      </c>
      <c r="V1005">
        <f>IF($R1005="","",TRIM(INDEX('입력_구리근무자명단'!$A1003:$ZZ1003,1,$E$2+5)&amp;""))</f>
        <v/>
      </c>
      <c r="W1005">
        <f>IF(ISNUMBER(SEARCH("구리독자",$V1005)),"구리독자","")</f>
        <v/>
      </c>
      <c r="X1005">
        <f>IF($R1005="","",$R1005&amp;"|"&amp;IF(OR($Q1005="인턴",ISNUMBER(SEARCH("수련교육부",$P1005))),"인턴",$P1005))</f>
        <v/>
      </c>
      <c r="Y1005">
        <f>IF($R1005="","",IF(COUNTIF(명단표[이름|과],$X1005)=1,"명단 일치",IF(AND(COUNTIF(명단표[이름|과],$X1005)=0,COUNTIF(명단표[이름],$R1005)=1),"명단 일치(이름만, 과 다름)",IF(COUNTIF(명단표[이름],$R1005)=0,IF(COUNTIF(기본자료표[이름],$R1005)&gt;0,"명단에 없음(기본자료에는 있음)","명단에 없음"),"동명이인 확인"))))</f>
        <v/>
      </c>
      <c r="Z1005">
        <f>IF($R1005="","",IF($S1005&lt;0,"⚠"&amp;INDEX('입력_구리근무자명단'!$A1003:$ZZ1003,1,$E$2+2),TEXT($S1005,"yyyy-mm-dd")))</f>
        <v/>
      </c>
      <c r="AA1005">
        <f>IF($R1005="","",IF($T1005&lt;0,"⚠"&amp;INDEX('입력_구리근무자명단'!$A1003:$ZZ1003,1,$E$2+3),TEXT($T1005,"yyyy-mm-dd")))</f>
        <v/>
      </c>
      <c r="AB1005">
        <f>AB1004+IF($R1005="",0,1)</f>
        <v/>
      </c>
      <c r="AC1005">
        <f>IF($R1005="","",$AB1005)</f>
        <v/>
      </c>
    </row>
    <row r="1006">
      <c r="O1006">
        <f>1004</f>
        <v/>
      </c>
      <c r="P1006">
        <f>IF(TRIM('입력_구리근무자명단'!$A1004&amp;"")&lt;&gt;"",TRIM('입력_구리근무자명단'!$A1004&amp;""),P1005)</f>
        <v/>
      </c>
      <c r="Q1006">
        <f>'입력_구리근무자명단'!$B1004&amp;""</f>
        <v/>
      </c>
      <c r="R1006">
        <f>IF($E$2="","",TRIM(INDEX('입력_구리근무자명단'!$A1004:$ZZ1004,1,$E$2+IF($G$2="확정",1,0))&amp;""))</f>
        <v/>
      </c>
      <c r="S1006">
        <f>IF($R1006="","",IF(INDEX('입력_구리근무자명단'!$A1004:$ZZ1004,1,$E$2+2)&amp;""="",급여기준월,IF(ISNUMBER(INDEX('입력_구리근무자명단'!$A1004:$ZZ1004,1,$E$2+2)),INDEX('입력_구리근무자명단'!$A1004:$ZZ1004,1,$E$2+2),IFERROR(DATE(VALUE(LEFT(INDEX('입력_구리근무자명단'!$A1004:$ZZ1004,1,$E$2+2),4)),VALUE(MID(INDEX('입력_구리근무자명단'!$A1004:$ZZ1004,1,$E$2+2),6,2)),VALUE(MID(INDEX('입력_구리근무자명단'!$A1004:$ZZ1004,1,$E$2+2),9,2))),-1))))</f>
        <v/>
      </c>
      <c r="T1006">
        <f>IF($R1006="","",IF(INDEX('입력_구리근무자명단'!$A1004:$ZZ1004,1,$E$2+3)&amp;""="",EOMONTH(급여기준월,0),IF(ISNUMBER(INDEX('입력_구리근무자명단'!$A1004:$ZZ1004,1,$E$2+3)),INDEX('입력_구리근무자명단'!$A1004:$ZZ1004,1,$E$2+3),IFERROR(DATE(VALUE(LEFT(INDEX('입력_구리근무자명단'!$A1004:$ZZ1004,1,$E$2+3),4)),VALUE(MID(INDEX('입력_구리근무자명단'!$A1004:$ZZ1004,1,$E$2+3),6,2)),VALUE(MID(INDEX('입력_구리근무자명단'!$A1004:$ZZ1004,1,$E$2+3),9,2))),-1))))</f>
        <v/>
      </c>
      <c r="U1006">
        <f>IF($R1006="","",IF(OR($S1006&lt;0,$T1006&lt;0),0,MAX(0,MIN($T1006,EOMONTH(급여기준월,0))-MAX($S1006,급여기준월)+1)))</f>
        <v/>
      </c>
      <c r="V1006">
        <f>IF($R1006="","",TRIM(INDEX('입력_구리근무자명단'!$A1004:$ZZ1004,1,$E$2+5)&amp;""))</f>
        <v/>
      </c>
      <c r="W1006">
        <f>IF(ISNUMBER(SEARCH("구리독자",$V1006)),"구리독자","")</f>
        <v/>
      </c>
      <c r="X1006">
        <f>IF($R1006="","",$R1006&amp;"|"&amp;IF(OR($Q1006="인턴",ISNUMBER(SEARCH("수련교육부",$P1006))),"인턴",$P1006))</f>
        <v/>
      </c>
      <c r="Y1006">
        <f>IF($R1006="","",IF(COUNTIF(명단표[이름|과],$X1006)=1,"명단 일치",IF(AND(COUNTIF(명단표[이름|과],$X1006)=0,COUNTIF(명단표[이름],$R1006)=1),"명단 일치(이름만, 과 다름)",IF(COUNTIF(명단표[이름],$R1006)=0,IF(COUNTIF(기본자료표[이름],$R1006)&gt;0,"명단에 없음(기본자료에는 있음)","명단에 없음"),"동명이인 확인"))))</f>
        <v/>
      </c>
      <c r="Z1006">
        <f>IF($R1006="","",IF($S1006&lt;0,"⚠"&amp;INDEX('입력_구리근무자명단'!$A1004:$ZZ1004,1,$E$2+2),TEXT($S1006,"yyyy-mm-dd")))</f>
        <v/>
      </c>
      <c r="AA1006">
        <f>IF($R1006="","",IF($T1006&lt;0,"⚠"&amp;INDEX('입력_구리근무자명단'!$A1004:$ZZ1004,1,$E$2+3),TEXT($T1006,"yyyy-mm-dd")))</f>
        <v/>
      </c>
      <c r="AB1006">
        <f>AB1005+IF($R1006="",0,1)</f>
        <v/>
      </c>
      <c r="AC1006">
        <f>IF($R1006="","",$AB1006)</f>
        <v/>
      </c>
    </row>
    <row r="1007">
      <c r="O1007">
        <f>1005</f>
        <v/>
      </c>
      <c r="P1007">
        <f>IF(TRIM('입력_구리근무자명단'!$A1005&amp;"")&lt;&gt;"",TRIM('입력_구리근무자명단'!$A1005&amp;""),P1006)</f>
        <v/>
      </c>
      <c r="Q1007">
        <f>'입력_구리근무자명단'!$B1005&amp;""</f>
        <v/>
      </c>
      <c r="R1007">
        <f>IF($E$2="","",TRIM(INDEX('입력_구리근무자명단'!$A1005:$ZZ1005,1,$E$2+IF($G$2="확정",1,0))&amp;""))</f>
        <v/>
      </c>
      <c r="S1007">
        <f>IF($R1007="","",IF(INDEX('입력_구리근무자명단'!$A1005:$ZZ1005,1,$E$2+2)&amp;""="",급여기준월,IF(ISNUMBER(INDEX('입력_구리근무자명단'!$A1005:$ZZ1005,1,$E$2+2)),INDEX('입력_구리근무자명단'!$A1005:$ZZ1005,1,$E$2+2),IFERROR(DATE(VALUE(LEFT(INDEX('입력_구리근무자명단'!$A1005:$ZZ1005,1,$E$2+2),4)),VALUE(MID(INDEX('입력_구리근무자명단'!$A1005:$ZZ1005,1,$E$2+2),6,2)),VALUE(MID(INDEX('입력_구리근무자명단'!$A1005:$ZZ1005,1,$E$2+2),9,2))),-1))))</f>
        <v/>
      </c>
      <c r="T1007">
        <f>IF($R1007="","",IF(INDEX('입력_구리근무자명단'!$A1005:$ZZ1005,1,$E$2+3)&amp;""="",EOMONTH(급여기준월,0),IF(ISNUMBER(INDEX('입력_구리근무자명단'!$A1005:$ZZ1005,1,$E$2+3)),INDEX('입력_구리근무자명단'!$A1005:$ZZ1005,1,$E$2+3),IFERROR(DATE(VALUE(LEFT(INDEX('입력_구리근무자명단'!$A1005:$ZZ1005,1,$E$2+3),4)),VALUE(MID(INDEX('입력_구리근무자명단'!$A1005:$ZZ1005,1,$E$2+3),6,2)),VALUE(MID(INDEX('입력_구리근무자명단'!$A1005:$ZZ1005,1,$E$2+3),9,2))),-1))))</f>
        <v/>
      </c>
      <c r="U1007">
        <f>IF($R1007="","",IF(OR($S1007&lt;0,$T1007&lt;0),0,MAX(0,MIN($T1007,EOMONTH(급여기준월,0))-MAX($S1007,급여기준월)+1)))</f>
        <v/>
      </c>
      <c r="V1007">
        <f>IF($R1007="","",TRIM(INDEX('입력_구리근무자명단'!$A1005:$ZZ1005,1,$E$2+5)&amp;""))</f>
        <v/>
      </c>
      <c r="W1007">
        <f>IF(ISNUMBER(SEARCH("구리독자",$V1007)),"구리독자","")</f>
        <v/>
      </c>
      <c r="X1007">
        <f>IF($R1007="","",$R1007&amp;"|"&amp;IF(OR($Q1007="인턴",ISNUMBER(SEARCH("수련교육부",$P1007))),"인턴",$P1007))</f>
        <v/>
      </c>
      <c r="Y1007">
        <f>IF($R1007="","",IF(COUNTIF(명단표[이름|과],$X1007)=1,"명단 일치",IF(AND(COUNTIF(명단표[이름|과],$X1007)=0,COUNTIF(명단표[이름],$R1007)=1),"명단 일치(이름만, 과 다름)",IF(COUNTIF(명단표[이름],$R1007)=0,IF(COUNTIF(기본자료표[이름],$R1007)&gt;0,"명단에 없음(기본자료에는 있음)","명단에 없음"),"동명이인 확인"))))</f>
        <v/>
      </c>
      <c r="Z1007">
        <f>IF($R1007="","",IF($S1007&lt;0,"⚠"&amp;INDEX('입력_구리근무자명단'!$A1005:$ZZ1005,1,$E$2+2),TEXT($S1007,"yyyy-mm-dd")))</f>
        <v/>
      </c>
      <c r="AA1007">
        <f>IF($R1007="","",IF($T1007&lt;0,"⚠"&amp;INDEX('입력_구리근무자명단'!$A1005:$ZZ1005,1,$E$2+3),TEXT($T1007,"yyyy-mm-dd")))</f>
        <v/>
      </c>
      <c r="AB1007">
        <f>AB1006+IF($R1007="",0,1)</f>
        <v/>
      </c>
      <c r="AC1007">
        <f>IF($R1007="","",$AB1007)</f>
        <v/>
      </c>
    </row>
    <row r="1008">
      <c r="O1008">
        <f>1006</f>
        <v/>
      </c>
      <c r="P1008">
        <f>IF(TRIM('입력_구리근무자명단'!$A1006&amp;"")&lt;&gt;"",TRIM('입력_구리근무자명단'!$A1006&amp;""),P1007)</f>
        <v/>
      </c>
      <c r="Q1008">
        <f>'입력_구리근무자명단'!$B1006&amp;""</f>
        <v/>
      </c>
      <c r="R1008">
        <f>IF($E$2="","",TRIM(INDEX('입력_구리근무자명단'!$A1006:$ZZ1006,1,$E$2+IF($G$2="확정",1,0))&amp;""))</f>
        <v/>
      </c>
      <c r="S1008">
        <f>IF($R1008="","",IF(INDEX('입력_구리근무자명단'!$A1006:$ZZ1006,1,$E$2+2)&amp;""="",급여기준월,IF(ISNUMBER(INDEX('입력_구리근무자명단'!$A1006:$ZZ1006,1,$E$2+2)),INDEX('입력_구리근무자명단'!$A1006:$ZZ1006,1,$E$2+2),IFERROR(DATE(VALUE(LEFT(INDEX('입력_구리근무자명단'!$A1006:$ZZ1006,1,$E$2+2),4)),VALUE(MID(INDEX('입력_구리근무자명단'!$A1006:$ZZ1006,1,$E$2+2),6,2)),VALUE(MID(INDEX('입력_구리근무자명단'!$A1006:$ZZ1006,1,$E$2+2),9,2))),-1))))</f>
        <v/>
      </c>
      <c r="T1008">
        <f>IF($R1008="","",IF(INDEX('입력_구리근무자명단'!$A1006:$ZZ1006,1,$E$2+3)&amp;""="",EOMONTH(급여기준월,0),IF(ISNUMBER(INDEX('입력_구리근무자명단'!$A1006:$ZZ1006,1,$E$2+3)),INDEX('입력_구리근무자명단'!$A1006:$ZZ1006,1,$E$2+3),IFERROR(DATE(VALUE(LEFT(INDEX('입력_구리근무자명단'!$A1006:$ZZ1006,1,$E$2+3),4)),VALUE(MID(INDEX('입력_구리근무자명단'!$A1006:$ZZ1006,1,$E$2+3),6,2)),VALUE(MID(INDEX('입력_구리근무자명단'!$A1006:$ZZ1006,1,$E$2+3),9,2))),-1))))</f>
        <v/>
      </c>
      <c r="U1008">
        <f>IF($R1008="","",IF(OR($S1008&lt;0,$T1008&lt;0),0,MAX(0,MIN($T1008,EOMONTH(급여기준월,0))-MAX($S1008,급여기준월)+1)))</f>
        <v/>
      </c>
      <c r="V1008">
        <f>IF($R1008="","",TRIM(INDEX('입력_구리근무자명단'!$A1006:$ZZ1006,1,$E$2+5)&amp;""))</f>
        <v/>
      </c>
      <c r="W1008">
        <f>IF(ISNUMBER(SEARCH("구리독자",$V1008)),"구리독자","")</f>
        <v/>
      </c>
      <c r="X1008">
        <f>IF($R1008="","",$R1008&amp;"|"&amp;IF(OR($Q1008="인턴",ISNUMBER(SEARCH("수련교육부",$P1008))),"인턴",$P1008))</f>
        <v/>
      </c>
      <c r="Y1008">
        <f>IF($R1008="","",IF(COUNTIF(명단표[이름|과],$X1008)=1,"명단 일치",IF(AND(COUNTIF(명단표[이름|과],$X1008)=0,COUNTIF(명단표[이름],$R1008)=1),"명단 일치(이름만, 과 다름)",IF(COUNTIF(명단표[이름],$R1008)=0,IF(COUNTIF(기본자료표[이름],$R1008)&gt;0,"명단에 없음(기본자료에는 있음)","명단에 없음"),"동명이인 확인"))))</f>
        <v/>
      </c>
      <c r="Z1008">
        <f>IF($R1008="","",IF($S1008&lt;0,"⚠"&amp;INDEX('입력_구리근무자명단'!$A1006:$ZZ1006,1,$E$2+2),TEXT($S1008,"yyyy-mm-dd")))</f>
        <v/>
      </c>
      <c r="AA1008">
        <f>IF($R1008="","",IF($T1008&lt;0,"⚠"&amp;INDEX('입력_구리근무자명단'!$A1006:$ZZ1006,1,$E$2+3),TEXT($T1008,"yyyy-mm-dd")))</f>
        <v/>
      </c>
      <c r="AB1008">
        <f>AB1007+IF($R1008="",0,1)</f>
        <v/>
      </c>
      <c r="AC1008">
        <f>IF($R1008="","",$AB1008)</f>
        <v/>
      </c>
    </row>
    <row r="1009">
      <c r="O1009">
        <f>1007</f>
        <v/>
      </c>
      <c r="P1009">
        <f>IF(TRIM('입력_구리근무자명단'!$A1007&amp;"")&lt;&gt;"",TRIM('입력_구리근무자명단'!$A1007&amp;""),P1008)</f>
        <v/>
      </c>
      <c r="Q1009">
        <f>'입력_구리근무자명단'!$B1007&amp;""</f>
        <v/>
      </c>
      <c r="R1009">
        <f>IF($E$2="","",TRIM(INDEX('입력_구리근무자명단'!$A1007:$ZZ1007,1,$E$2+IF($G$2="확정",1,0))&amp;""))</f>
        <v/>
      </c>
      <c r="S1009">
        <f>IF($R1009="","",IF(INDEX('입력_구리근무자명단'!$A1007:$ZZ1007,1,$E$2+2)&amp;""="",급여기준월,IF(ISNUMBER(INDEX('입력_구리근무자명단'!$A1007:$ZZ1007,1,$E$2+2)),INDEX('입력_구리근무자명단'!$A1007:$ZZ1007,1,$E$2+2),IFERROR(DATE(VALUE(LEFT(INDEX('입력_구리근무자명단'!$A1007:$ZZ1007,1,$E$2+2),4)),VALUE(MID(INDEX('입력_구리근무자명단'!$A1007:$ZZ1007,1,$E$2+2),6,2)),VALUE(MID(INDEX('입력_구리근무자명단'!$A1007:$ZZ1007,1,$E$2+2),9,2))),-1))))</f>
        <v/>
      </c>
      <c r="T1009">
        <f>IF($R1009="","",IF(INDEX('입력_구리근무자명단'!$A1007:$ZZ1007,1,$E$2+3)&amp;""="",EOMONTH(급여기준월,0),IF(ISNUMBER(INDEX('입력_구리근무자명단'!$A1007:$ZZ1007,1,$E$2+3)),INDEX('입력_구리근무자명단'!$A1007:$ZZ1007,1,$E$2+3),IFERROR(DATE(VALUE(LEFT(INDEX('입력_구리근무자명단'!$A1007:$ZZ1007,1,$E$2+3),4)),VALUE(MID(INDEX('입력_구리근무자명단'!$A1007:$ZZ1007,1,$E$2+3),6,2)),VALUE(MID(INDEX('입력_구리근무자명단'!$A1007:$ZZ1007,1,$E$2+3),9,2))),-1))))</f>
        <v/>
      </c>
      <c r="U1009">
        <f>IF($R1009="","",IF(OR($S1009&lt;0,$T1009&lt;0),0,MAX(0,MIN($T1009,EOMONTH(급여기준월,0))-MAX($S1009,급여기준월)+1)))</f>
        <v/>
      </c>
      <c r="V1009">
        <f>IF($R1009="","",TRIM(INDEX('입력_구리근무자명단'!$A1007:$ZZ1007,1,$E$2+5)&amp;""))</f>
        <v/>
      </c>
      <c r="W1009">
        <f>IF(ISNUMBER(SEARCH("구리독자",$V1009)),"구리독자","")</f>
        <v/>
      </c>
      <c r="X1009">
        <f>IF($R1009="","",$R1009&amp;"|"&amp;IF(OR($Q1009="인턴",ISNUMBER(SEARCH("수련교육부",$P1009))),"인턴",$P1009))</f>
        <v/>
      </c>
      <c r="Y1009">
        <f>IF($R1009="","",IF(COUNTIF(명단표[이름|과],$X1009)=1,"명단 일치",IF(AND(COUNTIF(명단표[이름|과],$X1009)=0,COUNTIF(명단표[이름],$R1009)=1),"명단 일치(이름만, 과 다름)",IF(COUNTIF(명단표[이름],$R1009)=0,IF(COUNTIF(기본자료표[이름],$R1009)&gt;0,"명단에 없음(기본자료에는 있음)","명단에 없음"),"동명이인 확인"))))</f>
        <v/>
      </c>
      <c r="Z1009">
        <f>IF($R1009="","",IF($S1009&lt;0,"⚠"&amp;INDEX('입력_구리근무자명단'!$A1007:$ZZ1007,1,$E$2+2),TEXT($S1009,"yyyy-mm-dd")))</f>
        <v/>
      </c>
      <c r="AA1009">
        <f>IF($R1009="","",IF($T1009&lt;0,"⚠"&amp;INDEX('입력_구리근무자명단'!$A1007:$ZZ1007,1,$E$2+3),TEXT($T1009,"yyyy-mm-dd")))</f>
        <v/>
      </c>
      <c r="AB1009">
        <f>AB1008+IF($R1009="",0,1)</f>
        <v/>
      </c>
      <c r="AC1009">
        <f>IF($R1009="","",$AB1009)</f>
        <v/>
      </c>
    </row>
    <row r="1010">
      <c r="O1010">
        <f>1008</f>
        <v/>
      </c>
      <c r="P1010">
        <f>IF(TRIM('입력_구리근무자명단'!$A1008&amp;"")&lt;&gt;"",TRIM('입력_구리근무자명단'!$A1008&amp;""),P1009)</f>
        <v/>
      </c>
      <c r="Q1010">
        <f>'입력_구리근무자명단'!$B1008&amp;""</f>
        <v/>
      </c>
      <c r="R1010">
        <f>IF($E$2="","",TRIM(INDEX('입력_구리근무자명단'!$A1008:$ZZ1008,1,$E$2+IF($G$2="확정",1,0))&amp;""))</f>
        <v/>
      </c>
      <c r="S1010">
        <f>IF($R1010="","",IF(INDEX('입력_구리근무자명단'!$A1008:$ZZ1008,1,$E$2+2)&amp;""="",급여기준월,IF(ISNUMBER(INDEX('입력_구리근무자명단'!$A1008:$ZZ1008,1,$E$2+2)),INDEX('입력_구리근무자명단'!$A1008:$ZZ1008,1,$E$2+2),IFERROR(DATE(VALUE(LEFT(INDEX('입력_구리근무자명단'!$A1008:$ZZ1008,1,$E$2+2),4)),VALUE(MID(INDEX('입력_구리근무자명단'!$A1008:$ZZ1008,1,$E$2+2),6,2)),VALUE(MID(INDEX('입력_구리근무자명단'!$A1008:$ZZ1008,1,$E$2+2),9,2))),-1))))</f>
        <v/>
      </c>
      <c r="T1010">
        <f>IF($R1010="","",IF(INDEX('입력_구리근무자명단'!$A1008:$ZZ1008,1,$E$2+3)&amp;""="",EOMONTH(급여기준월,0),IF(ISNUMBER(INDEX('입력_구리근무자명단'!$A1008:$ZZ1008,1,$E$2+3)),INDEX('입력_구리근무자명단'!$A1008:$ZZ1008,1,$E$2+3),IFERROR(DATE(VALUE(LEFT(INDEX('입력_구리근무자명단'!$A1008:$ZZ1008,1,$E$2+3),4)),VALUE(MID(INDEX('입력_구리근무자명단'!$A1008:$ZZ1008,1,$E$2+3),6,2)),VALUE(MID(INDEX('입력_구리근무자명단'!$A1008:$ZZ1008,1,$E$2+3),9,2))),-1))))</f>
        <v/>
      </c>
      <c r="U1010">
        <f>IF($R1010="","",IF(OR($S1010&lt;0,$T1010&lt;0),0,MAX(0,MIN($T1010,EOMONTH(급여기준월,0))-MAX($S1010,급여기준월)+1)))</f>
        <v/>
      </c>
      <c r="V1010">
        <f>IF($R1010="","",TRIM(INDEX('입력_구리근무자명단'!$A1008:$ZZ1008,1,$E$2+5)&amp;""))</f>
        <v/>
      </c>
      <c r="W1010">
        <f>IF(ISNUMBER(SEARCH("구리독자",$V1010)),"구리독자","")</f>
        <v/>
      </c>
      <c r="X1010">
        <f>IF($R1010="","",$R1010&amp;"|"&amp;IF(OR($Q1010="인턴",ISNUMBER(SEARCH("수련교육부",$P1010))),"인턴",$P1010))</f>
        <v/>
      </c>
      <c r="Y1010">
        <f>IF($R1010="","",IF(COUNTIF(명단표[이름|과],$X1010)=1,"명단 일치",IF(AND(COUNTIF(명단표[이름|과],$X1010)=0,COUNTIF(명단표[이름],$R1010)=1),"명단 일치(이름만, 과 다름)",IF(COUNTIF(명단표[이름],$R1010)=0,IF(COUNTIF(기본자료표[이름],$R1010)&gt;0,"명단에 없음(기본자료에는 있음)","명단에 없음"),"동명이인 확인"))))</f>
        <v/>
      </c>
      <c r="Z1010">
        <f>IF($R1010="","",IF($S1010&lt;0,"⚠"&amp;INDEX('입력_구리근무자명단'!$A1008:$ZZ1008,1,$E$2+2),TEXT($S1010,"yyyy-mm-dd")))</f>
        <v/>
      </c>
      <c r="AA1010">
        <f>IF($R1010="","",IF($T1010&lt;0,"⚠"&amp;INDEX('입력_구리근무자명단'!$A1008:$ZZ1008,1,$E$2+3),TEXT($T1010,"yyyy-mm-dd")))</f>
        <v/>
      </c>
      <c r="AB1010">
        <f>AB1009+IF($R1010="",0,1)</f>
        <v/>
      </c>
      <c r="AC1010">
        <f>IF($R1010="","",$AB1010)</f>
        <v/>
      </c>
    </row>
    <row r="1011">
      <c r="O1011">
        <f>1009</f>
        <v/>
      </c>
      <c r="P1011">
        <f>IF(TRIM('입력_구리근무자명단'!$A1009&amp;"")&lt;&gt;"",TRIM('입력_구리근무자명단'!$A1009&amp;""),P1010)</f>
        <v/>
      </c>
      <c r="Q1011">
        <f>'입력_구리근무자명단'!$B1009&amp;""</f>
        <v/>
      </c>
      <c r="R1011">
        <f>IF($E$2="","",TRIM(INDEX('입력_구리근무자명단'!$A1009:$ZZ1009,1,$E$2+IF($G$2="확정",1,0))&amp;""))</f>
        <v/>
      </c>
      <c r="S1011">
        <f>IF($R1011="","",IF(INDEX('입력_구리근무자명단'!$A1009:$ZZ1009,1,$E$2+2)&amp;""="",급여기준월,IF(ISNUMBER(INDEX('입력_구리근무자명단'!$A1009:$ZZ1009,1,$E$2+2)),INDEX('입력_구리근무자명단'!$A1009:$ZZ1009,1,$E$2+2),IFERROR(DATE(VALUE(LEFT(INDEX('입력_구리근무자명단'!$A1009:$ZZ1009,1,$E$2+2),4)),VALUE(MID(INDEX('입력_구리근무자명단'!$A1009:$ZZ1009,1,$E$2+2),6,2)),VALUE(MID(INDEX('입력_구리근무자명단'!$A1009:$ZZ1009,1,$E$2+2),9,2))),-1))))</f>
        <v/>
      </c>
      <c r="T1011">
        <f>IF($R1011="","",IF(INDEX('입력_구리근무자명단'!$A1009:$ZZ1009,1,$E$2+3)&amp;""="",EOMONTH(급여기준월,0),IF(ISNUMBER(INDEX('입력_구리근무자명단'!$A1009:$ZZ1009,1,$E$2+3)),INDEX('입력_구리근무자명단'!$A1009:$ZZ1009,1,$E$2+3),IFERROR(DATE(VALUE(LEFT(INDEX('입력_구리근무자명단'!$A1009:$ZZ1009,1,$E$2+3),4)),VALUE(MID(INDEX('입력_구리근무자명단'!$A1009:$ZZ1009,1,$E$2+3),6,2)),VALUE(MID(INDEX('입력_구리근무자명단'!$A1009:$ZZ1009,1,$E$2+3),9,2))),-1))))</f>
        <v/>
      </c>
      <c r="U1011">
        <f>IF($R1011="","",IF(OR($S1011&lt;0,$T1011&lt;0),0,MAX(0,MIN($T1011,EOMONTH(급여기준월,0))-MAX($S1011,급여기준월)+1)))</f>
        <v/>
      </c>
      <c r="V1011">
        <f>IF($R1011="","",TRIM(INDEX('입력_구리근무자명단'!$A1009:$ZZ1009,1,$E$2+5)&amp;""))</f>
        <v/>
      </c>
      <c r="W1011">
        <f>IF(ISNUMBER(SEARCH("구리독자",$V1011)),"구리독자","")</f>
        <v/>
      </c>
      <c r="X1011">
        <f>IF($R1011="","",$R1011&amp;"|"&amp;IF(OR($Q1011="인턴",ISNUMBER(SEARCH("수련교육부",$P1011))),"인턴",$P1011))</f>
        <v/>
      </c>
      <c r="Y1011">
        <f>IF($R1011="","",IF(COUNTIF(명단표[이름|과],$X1011)=1,"명단 일치",IF(AND(COUNTIF(명단표[이름|과],$X1011)=0,COUNTIF(명단표[이름],$R1011)=1),"명단 일치(이름만, 과 다름)",IF(COUNTIF(명단표[이름],$R1011)=0,IF(COUNTIF(기본자료표[이름],$R1011)&gt;0,"명단에 없음(기본자료에는 있음)","명단에 없음"),"동명이인 확인"))))</f>
        <v/>
      </c>
      <c r="Z1011">
        <f>IF($R1011="","",IF($S1011&lt;0,"⚠"&amp;INDEX('입력_구리근무자명단'!$A1009:$ZZ1009,1,$E$2+2),TEXT($S1011,"yyyy-mm-dd")))</f>
        <v/>
      </c>
      <c r="AA1011">
        <f>IF($R1011="","",IF($T1011&lt;0,"⚠"&amp;INDEX('입력_구리근무자명단'!$A1009:$ZZ1009,1,$E$2+3),TEXT($T1011,"yyyy-mm-dd")))</f>
        <v/>
      </c>
      <c r="AB1011">
        <f>AB1010+IF($R1011="",0,1)</f>
        <v/>
      </c>
      <c r="AC1011">
        <f>IF($R1011="","",$AB1011)</f>
        <v/>
      </c>
    </row>
    <row r="1012">
      <c r="O1012">
        <f>1010</f>
        <v/>
      </c>
      <c r="P1012">
        <f>IF(TRIM('입력_구리근무자명단'!$A1010&amp;"")&lt;&gt;"",TRIM('입력_구리근무자명단'!$A1010&amp;""),P1011)</f>
        <v/>
      </c>
      <c r="Q1012">
        <f>'입력_구리근무자명단'!$B1010&amp;""</f>
        <v/>
      </c>
      <c r="R1012">
        <f>IF($E$2="","",TRIM(INDEX('입력_구리근무자명단'!$A1010:$ZZ1010,1,$E$2+IF($G$2="확정",1,0))&amp;""))</f>
        <v/>
      </c>
      <c r="S1012">
        <f>IF($R1012="","",IF(INDEX('입력_구리근무자명단'!$A1010:$ZZ1010,1,$E$2+2)&amp;""="",급여기준월,IF(ISNUMBER(INDEX('입력_구리근무자명단'!$A1010:$ZZ1010,1,$E$2+2)),INDEX('입력_구리근무자명단'!$A1010:$ZZ1010,1,$E$2+2),IFERROR(DATE(VALUE(LEFT(INDEX('입력_구리근무자명단'!$A1010:$ZZ1010,1,$E$2+2),4)),VALUE(MID(INDEX('입력_구리근무자명단'!$A1010:$ZZ1010,1,$E$2+2),6,2)),VALUE(MID(INDEX('입력_구리근무자명단'!$A1010:$ZZ1010,1,$E$2+2),9,2))),-1))))</f>
        <v/>
      </c>
      <c r="T1012">
        <f>IF($R1012="","",IF(INDEX('입력_구리근무자명단'!$A1010:$ZZ1010,1,$E$2+3)&amp;""="",EOMONTH(급여기준월,0),IF(ISNUMBER(INDEX('입력_구리근무자명단'!$A1010:$ZZ1010,1,$E$2+3)),INDEX('입력_구리근무자명단'!$A1010:$ZZ1010,1,$E$2+3),IFERROR(DATE(VALUE(LEFT(INDEX('입력_구리근무자명단'!$A1010:$ZZ1010,1,$E$2+3),4)),VALUE(MID(INDEX('입력_구리근무자명단'!$A1010:$ZZ1010,1,$E$2+3),6,2)),VALUE(MID(INDEX('입력_구리근무자명단'!$A1010:$ZZ1010,1,$E$2+3),9,2))),-1))))</f>
        <v/>
      </c>
      <c r="U1012">
        <f>IF($R1012="","",IF(OR($S1012&lt;0,$T1012&lt;0),0,MAX(0,MIN($T1012,EOMONTH(급여기준월,0))-MAX($S1012,급여기준월)+1)))</f>
        <v/>
      </c>
      <c r="V1012">
        <f>IF($R1012="","",TRIM(INDEX('입력_구리근무자명단'!$A1010:$ZZ1010,1,$E$2+5)&amp;""))</f>
        <v/>
      </c>
      <c r="W1012">
        <f>IF(ISNUMBER(SEARCH("구리독자",$V1012)),"구리독자","")</f>
        <v/>
      </c>
      <c r="X1012">
        <f>IF($R1012="","",$R1012&amp;"|"&amp;IF(OR($Q1012="인턴",ISNUMBER(SEARCH("수련교육부",$P1012))),"인턴",$P1012))</f>
        <v/>
      </c>
      <c r="Y1012">
        <f>IF($R1012="","",IF(COUNTIF(명단표[이름|과],$X1012)=1,"명단 일치",IF(AND(COUNTIF(명단표[이름|과],$X1012)=0,COUNTIF(명단표[이름],$R1012)=1),"명단 일치(이름만, 과 다름)",IF(COUNTIF(명단표[이름],$R1012)=0,IF(COUNTIF(기본자료표[이름],$R1012)&gt;0,"명단에 없음(기본자료에는 있음)","명단에 없음"),"동명이인 확인"))))</f>
        <v/>
      </c>
      <c r="Z1012">
        <f>IF($R1012="","",IF($S1012&lt;0,"⚠"&amp;INDEX('입력_구리근무자명단'!$A1010:$ZZ1010,1,$E$2+2),TEXT($S1012,"yyyy-mm-dd")))</f>
        <v/>
      </c>
      <c r="AA1012">
        <f>IF($R1012="","",IF($T1012&lt;0,"⚠"&amp;INDEX('입력_구리근무자명단'!$A1010:$ZZ1010,1,$E$2+3),TEXT($T1012,"yyyy-mm-dd")))</f>
        <v/>
      </c>
      <c r="AB1012">
        <f>AB1011+IF($R1012="",0,1)</f>
        <v/>
      </c>
      <c r="AC1012">
        <f>IF($R1012="","",$AB1012)</f>
        <v/>
      </c>
    </row>
    <row r="1013">
      <c r="O1013">
        <f>1011</f>
        <v/>
      </c>
      <c r="P1013">
        <f>IF(TRIM('입력_구리근무자명단'!$A1011&amp;"")&lt;&gt;"",TRIM('입력_구리근무자명단'!$A1011&amp;""),P1012)</f>
        <v/>
      </c>
      <c r="Q1013">
        <f>'입력_구리근무자명단'!$B1011&amp;""</f>
        <v/>
      </c>
      <c r="R1013">
        <f>IF($E$2="","",TRIM(INDEX('입력_구리근무자명단'!$A1011:$ZZ1011,1,$E$2+IF($G$2="확정",1,0))&amp;""))</f>
        <v/>
      </c>
      <c r="S1013">
        <f>IF($R1013="","",IF(INDEX('입력_구리근무자명단'!$A1011:$ZZ1011,1,$E$2+2)&amp;""="",급여기준월,IF(ISNUMBER(INDEX('입력_구리근무자명단'!$A1011:$ZZ1011,1,$E$2+2)),INDEX('입력_구리근무자명단'!$A1011:$ZZ1011,1,$E$2+2),IFERROR(DATE(VALUE(LEFT(INDEX('입력_구리근무자명단'!$A1011:$ZZ1011,1,$E$2+2),4)),VALUE(MID(INDEX('입력_구리근무자명단'!$A1011:$ZZ1011,1,$E$2+2),6,2)),VALUE(MID(INDEX('입력_구리근무자명단'!$A1011:$ZZ1011,1,$E$2+2),9,2))),-1))))</f>
        <v/>
      </c>
      <c r="T1013">
        <f>IF($R1013="","",IF(INDEX('입력_구리근무자명단'!$A1011:$ZZ1011,1,$E$2+3)&amp;""="",EOMONTH(급여기준월,0),IF(ISNUMBER(INDEX('입력_구리근무자명단'!$A1011:$ZZ1011,1,$E$2+3)),INDEX('입력_구리근무자명단'!$A1011:$ZZ1011,1,$E$2+3),IFERROR(DATE(VALUE(LEFT(INDEX('입력_구리근무자명단'!$A1011:$ZZ1011,1,$E$2+3),4)),VALUE(MID(INDEX('입력_구리근무자명단'!$A1011:$ZZ1011,1,$E$2+3),6,2)),VALUE(MID(INDEX('입력_구리근무자명단'!$A1011:$ZZ1011,1,$E$2+3),9,2))),-1))))</f>
        <v/>
      </c>
      <c r="U1013">
        <f>IF($R1013="","",IF(OR($S1013&lt;0,$T1013&lt;0),0,MAX(0,MIN($T1013,EOMONTH(급여기준월,0))-MAX($S1013,급여기준월)+1)))</f>
        <v/>
      </c>
      <c r="V1013">
        <f>IF($R1013="","",TRIM(INDEX('입력_구리근무자명단'!$A1011:$ZZ1011,1,$E$2+5)&amp;""))</f>
        <v/>
      </c>
      <c r="W1013">
        <f>IF(ISNUMBER(SEARCH("구리독자",$V1013)),"구리독자","")</f>
        <v/>
      </c>
      <c r="X1013">
        <f>IF($R1013="","",$R1013&amp;"|"&amp;IF(OR($Q1013="인턴",ISNUMBER(SEARCH("수련교육부",$P1013))),"인턴",$P1013))</f>
        <v/>
      </c>
      <c r="Y1013">
        <f>IF($R1013="","",IF(COUNTIF(명단표[이름|과],$X1013)=1,"명단 일치",IF(AND(COUNTIF(명단표[이름|과],$X1013)=0,COUNTIF(명단표[이름],$R1013)=1),"명단 일치(이름만, 과 다름)",IF(COUNTIF(명단표[이름],$R1013)=0,IF(COUNTIF(기본자료표[이름],$R1013)&gt;0,"명단에 없음(기본자료에는 있음)","명단에 없음"),"동명이인 확인"))))</f>
        <v/>
      </c>
      <c r="Z1013">
        <f>IF($R1013="","",IF($S1013&lt;0,"⚠"&amp;INDEX('입력_구리근무자명단'!$A1011:$ZZ1011,1,$E$2+2),TEXT($S1013,"yyyy-mm-dd")))</f>
        <v/>
      </c>
      <c r="AA1013">
        <f>IF($R1013="","",IF($T1013&lt;0,"⚠"&amp;INDEX('입력_구리근무자명단'!$A1011:$ZZ1011,1,$E$2+3),TEXT($T1013,"yyyy-mm-dd")))</f>
        <v/>
      </c>
      <c r="AB1013">
        <f>AB1012+IF($R1013="",0,1)</f>
        <v/>
      </c>
      <c r="AC1013">
        <f>IF($R1013="","",$AB1013)</f>
        <v/>
      </c>
    </row>
    <row r="1014">
      <c r="O1014">
        <f>1012</f>
        <v/>
      </c>
      <c r="P1014">
        <f>IF(TRIM('입력_구리근무자명단'!$A1012&amp;"")&lt;&gt;"",TRIM('입력_구리근무자명단'!$A1012&amp;""),P1013)</f>
        <v/>
      </c>
      <c r="Q1014">
        <f>'입력_구리근무자명단'!$B1012&amp;""</f>
        <v/>
      </c>
      <c r="R1014">
        <f>IF($E$2="","",TRIM(INDEX('입력_구리근무자명단'!$A1012:$ZZ1012,1,$E$2+IF($G$2="확정",1,0))&amp;""))</f>
        <v/>
      </c>
      <c r="S1014">
        <f>IF($R1014="","",IF(INDEX('입력_구리근무자명단'!$A1012:$ZZ1012,1,$E$2+2)&amp;""="",급여기준월,IF(ISNUMBER(INDEX('입력_구리근무자명단'!$A1012:$ZZ1012,1,$E$2+2)),INDEX('입력_구리근무자명단'!$A1012:$ZZ1012,1,$E$2+2),IFERROR(DATE(VALUE(LEFT(INDEX('입력_구리근무자명단'!$A1012:$ZZ1012,1,$E$2+2),4)),VALUE(MID(INDEX('입력_구리근무자명단'!$A1012:$ZZ1012,1,$E$2+2),6,2)),VALUE(MID(INDEX('입력_구리근무자명단'!$A1012:$ZZ1012,1,$E$2+2),9,2))),-1))))</f>
        <v/>
      </c>
      <c r="T1014">
        <f>IF($R1014="","",IF(INDEX('입력_구리근무자명단'!$A1012:$ZZ1012,1,$E$2+3)&amp;""="",EOMONTH(급여기준월,0),IF(ISNUMBER(INDEX('입력_구리근무자명단'!$A1012:$ZZ1012,1,$E$2+3)),INDEX('입력_구리근무자명단'!$A1012:$ZZ1012,1,$E$2+3),IFERROR(DATE(VALUE(LEFT(INDEX('입력_구리근무자명단'!$A1012:$ZZ1012,1,$E$2+3),4)),VALUE(MID(INDEX('입력_구리근무자명단'!$A1012:$ZZ1012,1,$E$2+3),6,2)),VALUE(MID(INDEX('입력_구리근무자명단'!$A1012:$ZZ1012,1,$E$2+3),9,2))),-1))))</f>
        <v/>
      </c>
      <c r="U1014">
        <f>IF($R1014="","",IF(OR($S1014&lt;0,$T1014&lt;0),0,MAX(0,MIN($T1014,EOMONTH(급여기준월,0))-MAX($S1014,급여기준월)+1)))</f>
        <v/>
      </c>
      <c r="V1014">
        <f>IF($R1014="","",TRIM(INDEX('입력_구리근무자명단'!$A1012:$ZZ1012,1,$E$2+5)&amp;""))</f>
        <v/>
      </c>
      <c r="W1014">
        <f>IF(ISNUMBER(SEARCH("구리독자",$V1014)),"구리독자","")</f>
        <v/>
      </c>
      <c r="X1014">
        <f>IF($R1014="","",$R1014&amp;"|"&amp;IF(OR($Q1014="인턴",ISNUMBER(SEARCH("수련교육부",$P1014))),"인턴",$P1014))</f>
        <v/>
      </c>
      <c r="Y1014">
        <f>IF($R1014="","",IF(COUNTIF(명단표[이름|과],$X1014)=1,"명단 일치",IF(AND(COUNTIF(명단표[이름|과],$X1014)=0,COUNTIF(명단표[이름],$R1014)=1),"명단 일치(이름만, 과 다름)",IF(COUNTIF(명단표[이름],$R1014)=0,IF(COUNTIF(기본자료표[이름],$R1014)&gt;0,"명단에 없음(기본자료에는 있음)","명단에 없음"),"동명이인 확인"))))</f>
        <v/>
      </c>
      <c r="Z1014">
        <f>IF($R1014="","",IF($S1014&lt;0,"⚠"&amp;INDEX('입력_구리근무자명단'!$A1012:$ZZ1012,1,$E$2+2),TEXT($S1014,"yyyy-mm-dd")))</f>
        <v/>
      </c>
      <c r="AA1014">
        <f>IF($R1014="","",IF($T1014&lt;0,"⚠"&amp;INDEX('입력_구리근무자명단'!$A1012:$ZZ1012,1,$E$2+3),TEXT($T1014,"yyyy-mm-dd")))</f>
        <v/>
      </c>
      <c r="AB1014">
        <f>AB1013+IF($R1014="",0,1)</f>
        <v/>
      </c>
      <c r="AC1014">
        <f>IF($R1014="","",$AB1014)</f>
        <v/>
      </c>
    </row>
    <row r="1015">
      <c r="O1015">
        <f>1013</f>
        <v/>
      </c>
      <c r="P1015">
        <f>IF(TRIM('입력_구리근무자명단'!$A1013&amp;"")&lt;&gt;"",TRIM('입력_구리근무자명단'!$A1013&amp;""),P1014)</f>
        <v/>
      </c>
      <c r="Q1015">
        <f>'입력_구리근무자명단'!$B1013&amp;""</f>
        <v/>
      </c>
      <c r="R1015">
        <f>IF($E$2="","",TRIM(INDEX('입력_구리근무자명단'!$A1013:$ZZ1013,1,$E$2+IF($G$2="확정",1,0))&amp;""))</f>
        <v/>
      </c>
      <c r="S1015">
        <f>IF($R1015="","",IF(INDEX('입력_구리근무자명단'!$A1013:$ZZ1013,1,$E$2+2)&amp;""="",급여기준월,IF(ISNUMBER(INDEX('입력_구리근무자명단'!$A1013:$ZZ1013,1,$E$2+2)),INDEX('입력_구리근무자명단'!$A1013:$ZZ1013,1,$E$2+2),IFERROR(DATE(VALUE(LEFT(INDEX('입력_구리근무자명단'!$A1013:$ZZ1013,1,$E$2+2),4)),VALUE(MID(INDEX('입력_구리근무자명단'!$A1013:$ZZ1013,1,$E$2+2),6,2)),VALUE(MID(INDEX('입력_구리근무자명단'!$A1013:$ZZ1013,1,$E$2+2),9,2))),-1))))</f>
        <v/>
      </c>
      <c r="T1015">
        <f>IF($R1015="","",IF(INDEX('입력_구리근무자명단'!$A1013:$ZZ1013,1,$E$2+3)&amp;""="",EOMONTH(급여기준월,0),IF(ISNUMBER(INDEX('입력_구리근무자명단'!$A1013:$ZZ1013,1,$E$2+3)),INDEX('입력_구리근무자명단'!$A1013:$ZZ1013,1,$E$2+3),IFERROR(DATE(VALUE(LEFT(INDEX('입력_구리근무자명단'!$A1013:$ZZ1013,1,$E$2+3),4)),VALUE(MID(INDEX('입력_구리근무자명단'!$A1013:$ZZ1013,1,$E$2+3),6,2)),VALUE(MID(INDEX('입력_구리근무자명단'!$A1013:$ZZ1013,1,$E$2+3),9,2))),-1))))</f>
        <v/>
      </c>
      <c r="U1015">
        <f>IF($R1015="","",IF(OR($S1015&lt;0,$T1015&lt;0),0,MAX(0,MIN($T1015,EOMONTH(급여기준월,0))-MAX($S1015,급여기준월)+1)))</f>
        <v/>
      </c>
      <c r="V1015">
        <f>IF($R1015="","",TRIM(INDEX('입력_구리근무자명단'!$A1013:$ZZ1013,1,$E$2+5)&amp;""))</f>
        <v/>
      </c>
      <c r="W1015">
        <f>IF(ISNUMBER(SEARCH("구리독자",$V1015)),"구리독자","")</f>
        <v/>
      </c>
      <c r="X1015">
        <f>IF($R1015="","",$R1015&amp;"|"&amp;IF(OR($Q1015="인턴",ISNUMBER(SEARCH("수련교육부",$P1015))),"인턴",$P1015))</f>
        <v/>
      </c>
      <c r="Y1015">
        <f>IF($R1015="","",IF(COUNTIF(명단표[이름|과],$X1015)=1,"명단 일치",IF(AND(COUNTIF(명단표[이름|과],$X1015)=0,COUNTIF(명단표[이름],$R1015)=1),"명단 일치(이름만, 과 다름)",IF(COUNTIF(명단표[이름],$R1015)=0,IF(COUNTIF(기본자료표[이름],$R1015)&gt;0,"명단에 없음(기본자료에는 있음)","명단에 없음"),"동명이인 확인"))))</f>
        <v/>
      </c>
      <c r="Z1015">
        <f>IF($R1015="","",IF($S1015&lt;0,"⚠"&amp;INDEX('입력_구리근무자명단'!$A1013:$ZZ1013,1,$E$2+2),TEXT($S1015,"yyyy-mm-dd")))</f>
        <v/>
      </c>
      <c r="AA1015">
        <f>IF($R1015="","",IF($T1015&lt;0,"⚠"&amp;INDEX('입력_구리근무자명단'!$A1013:$ZZ1013,1,$E$2+3),TEXT($T1015,"yyyy-mm-dd")))</f>
        <v/>
      </c>
      <c r="AB1015">
        <f>AB1014+IF($R1015="",0,1)</f>
        <v/>
      </c>
      <c r="AC1015">
        <f>IF($R1015="","",$AB1015)</f>
        <v/>
      </c>
    </row>
    <row r="1016">
      <c r="O1016">
        <f>1014</f>
        <v/>
      </c>
      <c r="P1016">
        <f>IF(TRIM('입력_구리근무자명단'!$A1014&amp;"")&lt;&gt;"",TRIM('입력_구리근무자명단'!$A1014&amp;""),P1015)</f>
        <v/>
      </c>
      <c r="Q1016">
        <f>'입력_구리근무자명단'!$B1014&amp;""</f>
        <v/>
      </c>
      <c r="R1016">
        <f>IF($E$2="","",TRIM(INDEX('입력_구리근무자명단'!$A1014:$ZZ1014,1,$E$2+IF($G$2="확정",1,0))&amp;""))</f>
        <v/>
      </c>
      <c r="S1016">
        <f>IF($R1016="","",IF(INDEX('입력_구리근무자명단'!$A1014:$ZZ1014,1,$E$2+2)&amp;""="",급여기준월,IF(ISNUMBER(INDEX('입력_구리근무자명단'!$A1014:$ZZ1014,1,$E$2+2)),INDEX('입력_구리근무자명단'!$A1014:$ZZ1014,1,$E$2+2),IFERROR(DATE(VALUE(LEFT(INDEX('입력_구리근무자명단'!$A1014:$ZZ1014,1,$E$2+2),4)),VALUE(MID(INDEX('입력_구리근무자명단'!$A1014:$ZZ1014,1,$E$2+2),6,2)),VALUE(MID(INDEX('입력_구리근무자명단'!$A1014:$ZZ1014,1,$E$2+2),9,2))),-1))))</f>
        <v/>
      </c>
      <c r="T1016">
        <f>IF($R1016="","",IF(INDEX('입력_구리근무자명단'!$A1014:$ZZ1014,1,$E$2+3)&amp;""="",EOMONTH(급여기준월,0),IF(ISNUMBER(INDEX('입력_구리근무자명단'!$A1014:$ZZ1014,1,$E$2+3)),INDEX('입력_구리근무자명단'!$A1014:$ZZ1014,1,$E$2+3),IFERROR(DATE(VALUE(LEFT(INDEX('입력_구리근무자명단'!$A1014:$ZZ1014,1,$E$2+3),4)),VALUE(MID(INDEX('입력_구리근무자명단'!$A1014:$ZZ1014,1,$E$2+3),6,2)),VALUE(MID(INDEX('입력_구리근무자명단'!$A1014:$ZZ1014,1,$E$2+3),9,2))),-1))))</f>
        <v/>
      </c>
      <c r="U1016">
        <f>IF($R1016="","",IF(OR($S1016&lt;0,$T1016&lt;0),0,MAX(0,MIN($T1016,EOMONTH(급여기준월,0))-MAX($S1016,급여기준월)+1)))</f>
        <v/>
      </c>
      <c r="V1016">
        <f>IF($R1016="","",TRIM(INDEX('입력_구리근무자명단'!$A1014:$ZZ1014,1,$E$2+5)&amp;""))</f>
        <v/>
      </c>
      <c r="W1016">
        <f>IF(ISNUMBER(SEARCH("구리독자",$V1016)),"구리독자","")</f>
        <v/>
      </c>
      <c r="X1016">
        <f>IF($R1016="","",$R1016&amp;"|"&amp;IF(OR($Q1016="인턴",ISNUMBER(SEARCH("수련교육부",$P1016))),"인턴",$P1016))</f>
        <v/>
      </c>
      <c r="Y1016">
        <f>IF($R1016="","",IF(COUNTIF(명단표[이름|과],$X1016)=1,"명단 일치",IF(AND(COUNTIF(명단표[이름|과],$X1016)=0,COUNTIF(명단표[이름],$R1016)=1),"명단 일치(이름만, 과 다름)",IF(COUNTIF(명단표[이름],$R1016)=0,IF(COUNTIF(기본자료표[이름],$R1016)&gt;0,"명단에 없음(기본자료에는 있음)","명단에 없음"),"동명이인 확인"))))</f>
        <v/>
      </c>
      <c r="Z1016">
        <f>IF($R1016="","",IF($S1016&lt;0,"⚠"&amp;INDEX('입력_구리근무자명단'!$A1014:$ZZ1014,1,$E$2+2),TEXT($S1016,"yyyy-mm-dd")))</f>
        <v/>
      </c>
      <c r="AA1016">
        <f>IF($R1016="","",IF($T1016&lt;0,"⚠"&amp;INDEX('입력_구리근무자명단'!$A1014:$ZZ1014,1,$E$2+3),TEXT($T1016,"yyyy-mm-dd")))</f>
        <v/>
      </c>
      <c r="AB1016">
        <f>AB1015+IF($R1016="",0,1)</f>
        <v/>
      </c>
      <c r="AC1016">
        <f>IF($R1016="","",$AB1016)</f>
        <v/>
      </c>
    </row>
    <row r="1017">
      <c r="O1017">
        <f>1015</f>
        <v/>
      </c>
      <c r="P1017">
        <f>IF(TRIM('입력_구리근무자명단'!$A1015&amp;"")&lt;&gt;"",TRIM('입력_구리근무자명단'!$A1015&amp;""),P1016)</f>
        <v/>
      </c>
      <c r="Q1017">
        <f>'입력_구리근무자명단'!$B1015&amp;""</f>
        <v/>
      </c>
      <c r="R1017">
        <f>IF($E$2="","",TRIM(INDEX('입력_구리근무자명단'!$A1015:$ZZ1015,1,$E$2+IF($G$2="확정",1,0))&amp;""))</f>
        <v/>
      </c>
      <c r="S1017">
        <f>IF($R1017="","",IF(INDEX('입력_구리근무자명단'!$A1015:$ZZ1015,1,$E$2+2)&amp;""="",급여기준월,IF(ISNUMBER(INDEX('입력_구리근무자명단'!$A1015:$ZZ1015,1,$E$2+2)),INDEX('입력_구리근무자명단'!$A1015:$ZZ1015,1,$E$2+2),IFERROR(DATE(VALUE(LEFT(INDEX('입력_구리근무자명단'!$A1015:$ZZ1015,1,$E$2+2),4)),VALUE(MID(INDEX('입력_구리근무자명단'!$A1015:$ZZ1015,1,$E$2+2),6,2)),VALUE(MID(INDEX('입력_구리근무자명단'!$A1015:$ZZ1015,1,$E$2+2),9,2))),-1))))</f>
        <v/>
      </c>
      <c r="T1017">
        <f>IF($R1017="","",IF(INDEX('입력_구리근무자명단'!$A1015:$ZZ1015,1,$E$2+3)&amp;""="",EOMONTH(급여기준월,0),IF(ISNUMBER(INDEX('입력_구리근무자명단'!$A1015:$ZZ1015,1,$E$2+3)),INDEX('입력_구리근무자명단'!$A1015:$ZZ1015,1,$E$2+3),IFERROR(DATE(VALUE(LEFT(INDEX('입력_구리근무자명단'!$A1015:$ZZ1015,1,$E$2+3),4)),VALUE(MID(INDEX('입력_구리근무자명단'!$A1015:$ZZ1015,1,$E$2+3),6,2)),VALUE(MID(INDEX('입력_구리근무자명단'!$A1015:$ZZ1015,1,$E$2+3),9,2))),-1))))</f>
        <v/>
      </c>
      <c r="U1017">
        <f>IF($R1017="","",IF(OR($S1017&lt;0,$T1017&lt;0),0,MAX(0,MIN($T1017,EOMONTH(급여기준월,0))-MAX($S1017,급여기준월)+1)))</f>
        <v/>
      </c>
      <c r="V1017">
        <f>IF($R1017="","",TRIM(INDEX('입력_구리근무자명단'!$A1015:$ZZ1015,1,$E$2+5)&amp;""))</f>
        <v/>
      </c>
      <c r="W1017">
        <f>IF(ISNUMBER(SEARCH("구리독자",$V1017)),"구리독자","")</f>
        <v/>
      </c>
      <c r="X1017">
        <f>IF($R1017="","",$R1017&amp;"|"&amp;IF(OR($Q1017="인턴",ISNUMBER(SEARCH("수련교육부",$P1017))),"인턴",$P1017))</f>
        <v/>
      </c>
      <c r="Y1017">
        <f>IF($R1017="","",IF(COUNTIF(명단표[이름|과],$X1017)=1,"명단 일치",IF(AND(COUNTIF(명단표[이름|과],$X1017)=0,COUNTIF(명단표[이름],$R1017)=1),"명단 일치(이름만, 과 다름)",IF(COUNTIF(명단표[이름],$R1017)=0,IF(COUNTIF(기본자료표[이름],$R1017)&gt;0,"명단에 없음(기본자료에는 있음)","명단에 없음"),"동명이인 확인"))))</f>
        <v/>
      </c>
      <c r="Z1017">
        <f>IF($R1017="","",IF($S1017&lt;0,"⚠"&amp;INDEX('입력_구리근무자명단'!$A1015:$ZZ1015,1,$E$2+2),TEXT($S1017,"yyyy-mm-dd")))</f>
        <v/>
      </c>
      <c r="AA1017">
        <f>IF($R1017="","",IF($T1017&lt;0,"⚠"&amp;INDEX('입력_구리근무자명단'!$A1015:$ZZ1015,1,$E$2+3),TEXT($T1017,"yyyy-mm-dd")))</f>
        <v/>
      </c>
      <c r="AB1017">
        <f>AB1016+IF($R1017="",0,1)</f>
        <v/>
      </c>
      <c r="AC1017">
        <f>IF($R1017="","",$AB1017)</f>
        <v/>
      </c>
    </row>
    <row r="1018">
      <c r="O1018">
        <f>1016</f>
        <v/>
      </c>
      <c r="P1018">
        <f>IF(TRIM('입력_구리근무자명단'!$A1016&amp;"")&lt;&gt;"",TRIM('입력_구리근무자명단'!$A1016&amp;""),P1017)</f>
        <v/>
      </c>
      <c r="Q1018">
        <f>'입력_구리근무자명단'!$B1016&amp;""</f>
        <v/>
      </c>
      <c r="R1018">
        <f>IF($E$2="","",TRIM(INDEX('입력_구리근무자명단'!$A1016:$ZZ1016,1,$E$2+IF($G$2="확정",1,0))&amp;""))</f>
        <v/>
      </c>
      <c r="S1018">
        <f>IF($R1018="","",IF(INDEX('입력_구리근무자명단'!$A1016:$ZZ1016,1,$E$2+2)&amp;""="",급여기준월,IF(ISNUMBER(INDEX('입력_구리근무자명단'!$A1016:$ZZ1016,1,$E$2+2)),INDEX('입력_구리근무자명단'!$A1016:$ZZ1016,1,$E$2+2),IFERROR(DATE(VALUE(LEFT(INDEX('입력_구리근무자명단'!$A1016:$ZZ1016,1,$E$2+2),4)),VALUE(MID(INDEX('입력_구리근무자명단'!$A1016:$ZZ1016,1,$E$2+2),6,2)),VALUE(MID(INDEX('입력_구리근무자명단'!$A1016:$ZZ1016,1,$E$2+2),9,2))),-1))))</f>
        <v/>
      </c>
      <c r="T1018">
        <f>IF($R1018="","",IF(INDEX('입력_구리근무자명단'!$A1016:$ZZ1016,1,$E$2+3)&amp;""="",EOMONTH(급여기준월,0),IF(ISNUMBER(INDEX('입력_구리근무자명단'!$A1016:$ZZ1016,1,$E$2+3)),INDEX('입력_구리근무자명단'!$A1016:$ZZ1016,1,$E$2+3),IFERROR(DATE(VALUE(LEFT(INDEX('입력_구리근무자명단'!$A1016:$ZZ1016,1,$E$2+3),4)),VALUE(MID(INDEX('입력_구리근무자명단'!$A1016:$ZZ1016,1,$E$2+3),6,2)),VALUE(MID(INDEX('입력_구리근무자명단'!$A1016:$ZZ1016,1,$E$2+3),9,2))),-1))))</f>
        <v/>
      </c>
      <c r="U1018">
        <f>IF($R1018="","",IF(OR($S1018&lt;0,$T1018&lt;0),0,MAX(0,MIN($T1018,EOMONTH(급여기준월,0))-MAX($S1018,급여기준월)+1)))</f>
        <v/>
      </c>
      <c r="V1018">
        <f>IF($R1018="","",TRIM(INDEX('입력_구리근무자명단'!$A1016:$ZZ1016,1,$E$2+5)&amp;""))</f>
        <v/>
      </c>
      <c r="W1018">
        <f>IF(ISNUMBER(SEARCH("구리독자",$V1018)),"구리독자","")</f>
        <v/>
      </c>
      <c r="X1018">
        <f>IF($R1018="","",$R1018&amp;"|"&amp;IF(OR($Q1018="인턴",ISNUMBER(SEARCH("수련교육부",$P1018))),"인턴",$P1018))</f>
        <v/>
      </c>
      <c r="Y1018">
        <f>IF($R1018="","",IF(COUNTIF(명단표[이름|과],$X1018)=1,"명단 일치",IF(AND(COUNTIF(명단표[이름|과],$X1018)=0,COUNTIF(명단표[이름],$R1018)=1),"명단 일치(이름만, 과 다름)",IF(COUNTIF(명단표[이름],$R1018)=0,IF(COUNTIF(기본자료표[이름],$R1018)&gt;0,"명단에 없음(기본자료에는 있음)","명단에 없음"),"동명이인 확인"))))</f>
        <v/>
      </c>
      <c r="Z1018">
        <f>IF($R1018="","",IF($S1018&lt;0,"⚠"&amp;INDEX('입력_구리근무자명단'!$A1016:$ZZ1016,1,$E$2+2),TEXT($S1018,"yyyy-mm-dd")))</f>
        <v/>
      </c>
      <c r="AA1018">
        <f>IF($R1018="","",IF($T1018&lt;0,"⚠"&amp;INDEX('입력_구리근무자명단'!$A1016:$ZZ1016,1,$E$2+3),TEXT($T1018,"yyyy-mm-dd")))</f>
        <v/>
      </c>
      <c r="AB1018">
        <f>AB1017+IF($R1018="",0,1)</f>
        <v/>
      </c>
      <c r="AC1018">
        <f>IF($R1018="","",$AB1018)</f>
        <v/>
      </c>
    </row>
    <row r="1019">
      <c r="O1019">
        <f>1017</f>
        <v/>
      </c>
      <c r="P1019">
        <f>IF(TRIM('입력_구리근무자명단'!$A1017&amp;"")&lt;&gt;"",TRIM('입력_구리근무자명단'!$A1017&amp;""),P1018)</f>
        <v/>
      </c>
      <c r="Q1019">
        <f>'입력_구리근무자명단'!$B1017&amp;""</f>
        <v/>
      </c>
      <c r="R1019">
        <f>IF($E$2="","",TRIM(INDEX('입력_구리근무자명단'!$A1017:$ZZ1017,1,$E$2+IF($G$2="확정",1,0))&amp;""))</f>
        <v/>
      </c>
      <c r="S1019">
        <f>IF($R1019="","",IF(INDEX('입력_구리근무자명단'!$A1017:$ZZ1017,1,$E$2+2)&amp;""="",급여기준월,IF(ISNUMBER(INDEX('입력_구리근무자명단'!$A1017:$ZZ1017,1,$E$2+2)),INDEX('입력_구리근무자명단'!$A1017:$ZZ1017,1,$E$2+2),IFERROR(DATE(VALUE(LEFT(INDEX('입력_구리근무자명단'!$A1017:$ZZ1017,1,$E$2+2),4)),VALUE(MID(INDEX('입력_구리근무자명단'!$A1017:$ZZ1017,1,$E$2+2),6,2)),VALUE(MID(INDEX('입력_구리근무자명단'!$A1017:$ZZ1017,1,$E$2+2),9,2))),-1))))</f>
        <v/>
      </c>
      <c r="T1019">
        <f>IF($R1019="","",IF(INDEX('입력_구리근무자명단'!$A1017:$ZZ1017,1,$E$2+3)&amp;""="",EOMONTH(급여기준월,0),IF(ISNUMBER(INDEX('입력_구리근무자명단'!$A1017:$ZZ1017,1,$E$2+3)),INDEX('입력_구리근무자명단'!$A1017:$ZZ1017,1,$E$2+3),IFERROR(DATE(VALUE(LEFT(INDEX('입력_구리근무자명단'!$A1017:$ZZ1017,1,$E$2+3),4)),VALUE(MID(INDEX('입력_구리근무자명단'!$A1017:$ZZ1017,1,$E$2+3),6,2)),VALUE(MID(INDEX('입력_구리근무자명단'!$A1017:$ZZ1017,1,$E$2+3),9,2))),-1))))</f>
        <v/>
      </c>
      <c r="U1019">
        <f>IF($R1019="","",IF(OR($S1019&lt;0,$T1019&lt;0),0,MAX(0,MIN($T1019,EOMONTH(급여기준월,0))-MAX($S1019,급여기준월)+1)))</f>
        <v/>
      </c>
      <c r="V1019">
        <f>IF($R1019="","",TRIM(INDEX('입력_구리근무자명단'!$A1017:$ZZ1017,1,$E$2+5)&amp;""))</f>
        <v/>
      </c>
      <c r="W1019">
        <f>IF(ISNUMBER(SEARCH("구리독자",$V1019)),"구리독자","")</f>
        <v/>
      </c>
      <c r="X1019">
        <f>IF($R1019="","",$R1019&amp;"|"&amp;IF(OR($Q1019="인턴",ISNUMBER(SEARCH("수련교육부",$P1019))),"인턴",$P1019))</f>
        <v/>
      </c>
      <c r="Y1019">
        <f>IF($R1019="","",IF(COUNTIF(명단표[이름|과],$X1019)=1,"명단 일치",IF(AND(COUNTIF(명단표[이름|과],$X1019)=0,COUNTIF(명단표[이름],$R1019)=1),"명단 일치(이름만, 과 다름)",IF(COUNTIF(명단표[이름],$R1019)=0,IF(COUNTIF(기본자료표[이름],$R1019)&gt;0,"명단에 없음(기본자료에는 있음)","명단에 없음"),"동명이인 확인"))))</f>
        <v/>
      </c>
      <c r="Z1019">
        <f>IF($R1019="","",IF($S1019&lt;0,"⚠"&amp;INDEX('입력_구리근무자명단'!$A1017:$ZZ1017,1,$E$2+2),TEXT($S1019,"yyyy-mm-dd")))</f>
        <v/>
      </c>
      <c r="AA1019">
        <f>IF($R1019="","",IF($T1019&lt;0,"⚠"&amp;INDEX('입력_구리근무자명단'!$A1017:$ZZ1017,1,$E$2+3),TEXT($T1019,"yyyy-mm-dd")))</f>
        <v/>
      </c>
      <c r="AB1019">
        <f>AB1018+IF($R1019="",0,1)</f>
        <v/>
      </c>
      <c r="AC1019">
        <f>IF($R1019="","",$AB1019)</f>
        <v/>
      </c>
    </row>
    <row r="1020">
      <c r="O1020">
        <f>1018</f>
        <v/>
      </c>
      <c r="P1020">
        <f>IF(TRIM('입력_구리근무자명단'!$A1018&amp;"")&lt;&gt;"",TRIM('입력_구리근무자명단'!$A1018&amp;""),P1019)</f>
        <v/>
      </c>
      <c r="Q1020">
        <f>'입력_구리근무자명단'!$B1018&amp;""</f>
        <v/>
      </c>
      <c r="R1020">
        <f>IF($E$2="","",TRIM(INDEX('입력_구리근무자명단'!$A1018:$ZZ1018,1,$E$2+IF($G$2="확정",1,0))&amp;""))</f>
        <v/>
      </c>
      <c r="S1020">
        <f>IF($R1020="","",IF(INDEX('입력_구리근무자명단'!$A1018:$ZZ1018,1,$E$2+2)&amp;""="",급여기준월,IF(ISNUMBER(INDEX('입력_구리근무자명단'!$A1018:$ZZ1018,1,$E$2+2)),INDEX('입력_구리근무자명단'!$A1018:$ZZ1018,1,$E$2+2),IFERROR(DATE(VALUE(LEFT(INDEX('입력_구리근무자명단'!$A1018:$ZZ1018,1,$E$2+2),4)),VALUE(MID(INDEX('입력_구리근무자명단'!$A1018:$ZZ1018,1,$E$2+2),6,2)),VALUE(MID(INDEX('입력_구리근무자명단'!$A1018:$ZZ1018,1,$E$2+2),9,2))),-1))))</f>
        <v/>
      </c>
      <c r="T1020">
        <f>IF($R1020="","",IF(INDEX('입력_구리근무자명단'!$A1018:$ZZ1018,1,$E$2+3)&amp;""="",EOMONTH(급여기준월,0),IF(ISNUMBER(INDEX('입력_구리근무자명단'!$A1018:$ZZ1018,1,$E$2+3)),INDEX('입력_구리근무자명단'!$A1018:$ZZ1018,1,$E$2+3),IFERROR(DATE(VALUE(LEFT(INDEX('입력_구리근무자명단'!$A1018:$ZZ1018,1,$E$2+3),4)),VALUE(MID(INDEX('입력_구리근무자명단'!$A1018:$ZZ1018,1,$E$2+3),6,2)),VALUE(MID(INDEX('입력_구리근무자명단'!$A1018:$ZZ1018,1,$E$2+3),9,2))),-1))))</f>
        <v/>
      </c>
      <c r="U1020">
        <f>IF($R1020="","",IF(OR($S1020&lt;0,$T1020&lt;0),0,MAX(0,MIN($T1020,EOMONTH(급여기준월,0))-MAX($S1020,급여기준월)+1)))</f>
        <v/>
      </c>
      <c r="V1020">
        <f>IF($R1020="","",TRIM(INDEX('입력_구리근무자명단'!$A1018:$ZZ1018,1,$E$2+5)&amp;""))</f>
        <v/>
      </c>
      <c r="W1020">
        <f>IF(ISNUMBER(SEARCH("구리독자",$V1020)),"구리독자","")</f>
        <v/>
      </c>
      <c r="X1020">
        <f>IF($R1020="","",$R1020&amp;"|"&amp;IF(OR($Q1020="인턴",ISNUMBER(SEARCH("수련교육부",$P1020))),"인턴",$P1020))</f>
        <v/>
      </c>
      <c r="Y1020">
        <f>IF($R1020="","",IF(COUNTIF(명단표[이름|과],$X1020)=1,"명단 일치",IF(AND(COUNTIF(명단표[이름|과],$X1020)=0,COUNTIF(명단표[이름],$R1020)=1),"명단 일치(이름만, 과 다름)",IF(COUNTIF(명단표[이름],$R1020)=0,IF(COUNTIF(기본자료표[이름],$R1020)&gt;0,"명단에 없음(기본자료에는 있음)","명단에 없음"),"동명이인 확인"))))</f>
        <v/>
      </c>
      <c r="Z1020">
        <f>IF($R1020="","",IF($S1020&lt;0,"⚠"&amp;INDEX('입력_구리근무자명단'!$A1018:$ZZ1018,1,$E$2+2),TEXT($S1020,"yyyy-mm-dd")))</f>
        <v/>
      </c>
      <c r="AA1020">
        <f>IF($R1020="","",IF($T1020&lt;0,"⚠"&amp;INDEX('입력_구리근무자명단'!$A1018:$ZZ1018,1,$E$2+3),TEXT($T1020,"yyyy-mm-dd")))</f>
        <v/>
      </c>
      <c r="AB1020">
        <f>AB1019+IF($R1020="",0,1)</f>
        <v/>
      </c>
      <c r="AC1020">
        <f>IF($R1020="","",$AB1020)</f>
        <v/>
      </c>
    </row>
    <row r="1021">
      <c r="O1021">
        <f>1019</f>
        <v/>
      </c>
      <c r="P1021">
        <f>IF(TRIM('입력_구리근무자명단'!$A1019&amp;"")&lt;&gt;"",TRIM('입력_구리근무자명단'!$A1019&amp;""),P1020)</f>
        <v/>
      </c>
      <c r="Q1021">
        <f>'입력_구리근무자명단'!$B1019&amp;""</f>
        <v/>
      </c>
      <c r="R1021">
        <f>IF($E$2="","",TRIM(INDEX('입력_구리근무자명단'!$A1019:$ZZ1019,1,$E$2+IF($G$2="확정",1,0))&amp;""))</f>
        <v/>
      </c>
      <c r="S1021">
        <f>IF($R1021="","",IF(INDEX('입력_구리근무자명단'!$A1019:$ZZ1019,1,$E$2+2)&amp;""="",급여기준월,IF(ISNUMBER(INDEX('입력_구리근무자명단'!$A1019:$ZZ1019,1,$E$2+2)),INDEX('입력_구리근무자명단'!$A1019:$ZZ1019,1,$E$2+2),IFERROR(DATE(VALUE(LEFT(INDEX('입력_구리근무자명단'!$A1019:$ZZ1019,1,$E$2+2),4)),VALUE(MID(INDEX('입력_구리근무자명단'!$A1019:$ZZ1019,1,$E$2+2),6,2)),VALUE(MID(INDEX('입력_구리근무자명단'!$A1019:$ZZ1019,1,$E$2+2),9,2))),-1))))</f>
        <v/>
      </c>
      <c r="T1021">
        <f>IF($R1021="","",IF(INDEX('입력_구리근무자명단'!$A1019:$ZZ1019,1,$E$2+3)&amp;""="",EOMONTH(급여기준월,0),IF(ISNUMBER(INDEX('입력_구리근무자명단'!$A1019:$ZZ1019,1,$E$2+3)),INDEX('입력_구리근무자명단'!$A1019:$ZZ1019,1,$E$2+3),IFERROR(DATE(VALUE(LEFT(INDEX('입력_구리근무자명단'!$A1019:$ZZ1019,1,$E$2+3),4)),VALUE(MID(INDEX('입력_구리근무자명단'!$A1019:$ZZ1019,1,$E$2+3),6,2)),VALUE(MID(INDEX('입력_구리근무자명단'!$A1019:$ZZ1019,1,$E$2+3),9,2))),-1))))</f>
        <v/>
      </c>
      <c r="U1021">
        <f>IF($R1021="","",IF(OR($S1021&lt;0,$T1021&lt;0),0,MAX(0,MIN($T1021,EOMONTH(급여기준월,0))-MAX($S1021,급여기준월)+1)))</f>
        <v/>
      </c>
      <c r="V1021">
        <f>IF($R1021="","",TRIM(INDEX('입력_구리근무자명단'!$A1019:$ZZ1019,1,$E$2+5)&amp;""))</f>
        <v/>
      </c>
      <c r="W1021">
        <f>IF(ISNUMBER(SEARCH("구리독자",$V1021)),"구리독자","")</f>
        <v/>
      </c>
      <c r="X1021">
        <f>IF($R1021="","",$R1021&amp;"|"&amp;IF(OR($Q1021="인턴",ISNUMBER(SEARCH("수련교육부",$P1021))),"인턴",$P1021))</f>
        <v/>
      </c>
      <c r="Y1021">
        <f>IF($R1021="","",IF(COUNTIF(명단표[이름|과],$X1021)=1,"명단 일치",IF(AND(COUNTIF(명단표[이름|과],$X1021)=0,COUNTIF(명단표[이름],$R1021)=1),"명단 일치(이름만, 과 다름)",IF(COUNTIF(명단표[이름],$R1021)=0,IF(COUNTIF(기본자료표[이름],$R1021)&gt;0,"명단에 없음(기본자료에는 있음)","명단에 없음"),"동명이인 확인"))))</f>
        <v/>
      </c>
      <c r="Z1021">
        <f>IF($R1021="","",IF($S1021&lt;0,"⚠"&amp;INDEX('입력_구리근무자명단'!$A1019:$ZZ1019,1,$E$2+2),TEXT($S1021,"yyyy-mm-dd")))</f>
        <v/>
      </c>
      <c r="AA1021">
        <f>IF($R1021="","",IF($T1021&lt;0,"⚠"&amp;INDEX('입력_구리근무자명단'!$A1019:$ZZ1019,1,$E$2+3),TEXT($T1021,"yyyy-mm-dd")))</f>
        <v/>
      </c>
      <c r="AB1021">
        <f>AB1020+IF($R1021="",0,1)</f>
        <v/>
      </c>
      <c r="AC1021">
        <f>IF($R1021="","",$AB1021)</f>
        <v/>
      </c>
    </row>
    <row r="1022">
      <c r="O1022">
        <f>1020</f>
        <v/>
      </c>
      <c r="P1022">
        <f>IF(TRIM('입력_구리근무자명단'!$A1020&amp;"")&lt;&gt;"",TRIM('입력_구리근무자명단'!$A1020&amp;""),P1021)</f>
        <v/>
      </c>
      <c r="Q1022">
        <f>'입력_구리근무자명단'!$B1020&amp;""</f>
        <v/>
      </c>
      <c r="R1022">
        <f>IF($E$2="","",TRIM(INDEX('입력_구리근무자명단'!$A1020:$ZZ1020,1,$E$2+IF($G$2="확정",1,0))&amp;""))</f>
        <v/>
      </c>
      <c r="S1022">
        <f>IF($R1022="","",IF(INDEX('입력_구리근무자명단'!$A1020:$ZZ1020,1,$E$2+2)&amp;""="",급여기준월,IF(ISNUMBER(INDEX('입력_구리근무자명단'!$A1020:$ZZ1020,1,$E$2+2)),INDEX('입력_구리근무자명단'!$A1020:$ZZ1020,1,$E$2+2),IFERROR(DATE(VALUE(LEFT(INDEX('입력_구리근무자명단'!$A1020:$ZZ1020,1,$E$2+2),4)),VALUE(MID(INDEX('입력_구리근무자명단'!$A1020:$ZZ1020,1,$E$2+2),6,2)),VALUE(MID(INDEX('입력_구리근무자명단'!$A1020:$ZZ1020,1,$E$2+2),9,2))),-1))))</f>
        <v/>
      </c>
      <c r="T1022">
        <f>IF($R1022="","",IF(INDEX('입력_구리근무자명단'!$A1020:$ZZ1020,1,$E$2+3)&amp;""="",EOMONTH(급여기준월,0),IF(ISNUMBER(INDEX('입력_구리근무자명단'!$A1020:$ZZ1020,1,$E$2+3)),INDEX('입력_구리근무자명단'!$A1020:$ZZ1020,1,$E$2+3),IFERROR(DATE(VALUE(LEFT(INDEX('입력_구리근무자명단'!$A1020:$ZZ1020,1,$E$2+3),4)),VALUE(MID(INDEX('입력_구리근무자명단'!$A1020:$ZZ1020,1,$E$2+3),6,2)),VALUE(MID(INDEX('입력_구리근무자명단'!$A1020:$ZZ1020,1,$E$2+3),9,2))),-1))))</f>
        <v/>
      </c>
      <c r="U1022">
        <f>IF($R1022="","",IF(OR($S1022&lt;0,$T1022&lt;0),0,MAX(0,MIN($T1022,EOMONTH(급여기준월,0))-MAX($S1022,급여기준월)+1)))</f>
        <v/>
      </c>
      <c r="V1022">
        <f>IF($R1022="","",TRIM(INDEX('입력_구리근무자명단'!$A1020:$ZZ1020,1,$E$2+5)&amp;""))</f>
        <v/>
      </c>
      <c r="W1022">
        <f>IF(ISNUMBER(SEARCH("구리독자",$V1022)),"구리독자","")</f>
        <v/>
      </c>
      <c r="X1022">
        <f>IF($R1022="","",$R1022&amp;"|"&amp;IF(OR($Q1022="인턴",ISNUMBER(SEARCH("수련교육부",$P1022))),"인턴",$P1022))</f>
        <v/>
      </c>
      <c r="Y1022">
        <f>IF($R1022="","",IF(COUNTIF(명단표[이름|과],$X1022)=1,"명단 일치",IF(AND(COUNTIF(명단표[이름|과],$X1022)=0,COUNTIF(명단표[이름],$R1022)=1),"명단 일치(이름만, 과 다름)",IF(COUNTIF(명단표[이름],$R1022)=0,IF(COUNTIF(기본자료표[이름],$R1022)&gt;0,"명단에 없음(기본자료에는 있음)","명단에 없음"),"동명이인 확인"))))</f>
        <v/>
      </c>
      <c r="Z1022">
        <f>IF($R1022="","",IF($S1022&lt;0,"⚠"&amp;INDEX('입력_구리근무자명단'!$A1020:$ZZ1020,1,$E$2+2),TEXT($S1022,"yyyy-mm-dd")))</f>
        <v/>
      </c>
      <c r="AA1022">
        <f>IF($R1022="","",IF($T1022&lt;0,"⚠"&amp;INDEX('입력_구리근무자명단'!$A1020:$ZZ1020,1,$E$2+3),TEXT($T1022,"yyyy-mm-dd")))</f>
        <v/>
      </c>
      <c r="AB1022">
        <f>AB1021+IF($R1022="",0,1)</f>
        <v/>
      </c>
      <c r="AC1022">
        <f>IF($R1022="","",$AB1022)</f>
        <v/>
      </c>
    </row>
    <row r="1023">
      <c r="O1023">
        <f>1021</f>
        <v/>
      </c>
      <c r="P1023">
        <f>IF(TRIM('입력_구리근무자명단'!$A1021&amp;"")&lt;&gt;"",TRIM('입력_구리근무자명단'!$A1021&amp;""),P1022)</f>
        <v/>
      </c>
      <c r="Q1023">
        <f>'입력_구리근무자명단'!$B1021&amp;""</f>
        <v/>
      </c>
      <c r="R1023">
        <f>IF($E$2="","",TRIM(INDEX('입력_구리근무자명단'!$A1021:$ZZ1021,1,$E$2+IF($G$2="확정",1,0))&amp;""))</f>
        <v/>
      </c>
      <c r="S1023">
        <f>IF($R1023="","",IF(INDEX('입력_구리근무자명단'!$A1021:$ZZ1021,1,$E$2+2)&amp;""="",급여기준월,IF(ISNUMBER(INDEX('입력_구리근무자명단'!$A1021:$ZZ1021,1,$E$2+2)),INDEX('입력_구리근무자명단'!$A1021:$ZZ1021,1,$E$2+2),IFERROR(DATE(VALUE(LEFT(INDEX('입력_구리근무자명단'!$A1021:$ZZ1021,1,$E$2+2),4)),VALUE(MID(INDEX('입력_구리근무자명단'!$A1021:$ZZ1021,1,$E$2+2),6,2)),VALUE(MID(INDEX('입력_구리근무자명단'!$A1021:$ZZ1021,1,$E$2+2),9,2))),-1))))</f>
        <v/>
      </c>
      <c r="T1023">
        <f>IF($R1023="","",IF(INDEX('입력_구리근무자명단'!$A1021:$ZZ1021,1,$E$2+3)&amp;""="",EOMONTH(급여기준월,0),IF(ISNUMBER(INDEX('입력_구리근무자명단'!$A1021:$ZZ1021,1,$E$2+3)),INDEX('입력_구리근무자명단'!$A1021:$ZZ1021,1,$E$2+3),IFERROR(DATE(VALUE(LEFT(INDEX('입력_구리근무자명단'!$A1021:$ZZ1021,1,$E$2+3),4)),VALUE(MID(INDEX('입력_구리근무자명단'!$A1021:$ZZ1021,1,$E$2+3),6,2)),VALUE(MID(INDEX('입력_구리근무자명단'!$A1021:$ZZ1021,1,$E$2+3),9,2))),-1))))</f>
        <v/>
      </c>
      <c r="U1023">
        <f>IF($R1023="","",IF(OR($S1023&lt;0,$T1023&lt;0),0,MAX(0,MIN($T1023,EOMONTH(급여기준월,0))-MAX($S1023,급여기준월)+1)))</f>
        <v/>
      </c>
      <c r="V1023">
        <f>IF($R1023="","",TRIM(INDEX('입력_구리근무자명단'!$A1021:$ZZ1021,1,$E$2+5)&amp;""))</f>
        <v/>
      </c>
      <c r="W1023">
        <f>IF(ISNUMBER(SEARCH("구리독자",$V1023)),"구리독자","")</f>
        <v/>
      </c>
      <c r="X1023">
        <f>IF($R1023="","",$R1023&amp;"|"&amp;IF(OR($Q1023="인턴",ISNUMBER(SEARCH("수련교육부",$P1023))),"인턴",$P1023))</f>
        <v/>
      </c>
      <c r="Y1023">
        <f>IF($R1023="","",IF(COUNTIF(명단표[이름|과],$X1023)=1,"명단 일치",IF(AND(COUNTIF(명단표[이름|과],$X1023)=0,COUNTIF(명단표[이름],$R1023)=1),"명단 일치(이름만, 과 다름)",IF(COUNTIF(명단표[이름],$R1023)=0,IF(COUNTIF(기본자료표[이름],$R1023)&gt;0,"명단에 없음(기본자료에는 있음)","명단에 없음"),"동명이인 확인"))))</f>
        <v/>
      </c>
      <c r="Z1023">
        <f>IF($R1023="","",IF($S1023&lt;0,"⚠"&amp;INDEX('입력_구리근무자명단'!$A1021:$ZZ1021,1,$E$2+2),TEXT($S1023,"yyyy-mm-dd")))</f>
        <v/>
      </c>
      <c r="AA1023">
        <f>IF($R1023="","",IF($T1023&lt;0,"⚠"&amp;INDEX('입력_구리근무자명단'!$A1021:$ZZ1021,1,$E$2+3),TEXT($T1023,"yyyy-mm-dd")))</f>
        <v/>
      </c>
      <c r="AB1023">
        <f>AB1022+IF($R1023="",0,1)</f>
        <v/>
      </c>
      <c r="AC1023">
        <f>IF($R1023="","",$AB1023)</f>
        <v/>
      </c>
    </row>
    <row r="1024">
      <c r="O1024">
        <f>1022</f>
        <v/>
      </c>
      <c r="P1024">
        <f>IF(TRIM('입력_구리근무자명단'!$A1022&amp;"")&lt;&gt;"",TRIM('입력_구리근무자명단'!$A1022&amp;""),P1023)</f>
        <v/>
      </c>
      <c r="Q1024">
        <f>'입력_구리근무자명단'!$B1022&amp;""</f>
        <v/>
      </c>
      <c r="R1024">
        <f>IF($E$2="","",TRIM(INDEX('입력_구리근무자명단'!$A1022:$ZZ1022,1,$E$2+IF($G$2="확정",1,0))&amp;""))</f>
        <v/>
      </c>
      <c r="S1024">
        <f>IF($R1024="","",IF(INDEX('입력_구리근무자명단'!$A1022:$ZZ1022,1,$E$2+2)&amp;""="",급여기준월,IF(ISNUMBER(INDEX('입력_구리근무자명단'!$A1022:$ZZ1022,1,$E$2+2)),INDEX('입력_구리근무자명단'!$A1022:$ZZ1022,1,$E$2+2),IFERROR(DATE(VALUE(LEFT(INDEX('입력_구리근무자명단'!$A1022:$ZZ1022,1,$E$2+2),4)),VALUE(MID(INDEX('입력_구리근무자명단'!$A1022:$ZZ1022,1,$E$2+2),6,2)),VALUE(MID(INDEX('입력_구리근무자명단'!$A1022:$ZZ1022,1,$E$2+2),9,2))),-1))))</f>
        <v/>
      </c>
      <c r="T1024">
        <f>IF($R1024="","",IF(INDEX('입력_구리근무자명단'!$A1022:$ZZ1022,1,$E$2+3)&amp;""="",EOMONTH(급여기준월,0),IF(ISNUMBER(INDEX('입력_구리근무자명단'!$A1022:$ZZ1022,1,$E$2+3)),INDEX('입력_구리근무자명단'!$A1022:$ZZ1022,1,$E$2+3),IFERROR(DATE(VALUE(LEFT(INDEX('입력_구리근무자명단'!$A1022:$ZZ1022,1,$E$2+3),4)),VALUE(MID(INDEX('입력_구리근무자명단'!$A1022:$ZZ1022,1,$E$2+3),6,2)),VALUE(MID(INDEX('입력_구리근무자명단'!$A1022:$ZZ1022,1,$E$2+3),9,2))),-1))))</f>
        <v/>
      </c>
      <c r="U1024">
        <f>IF($R1024="","",IF(OR($S1024&lt;0,$T1024&lt;0),0,MAX(0,MIN($T1024,EOMONTH(급여기준월,0))-MAX($S1024,급여기준월)+1)))</f>
        <v/>
      </c>
      <c r="V1024">
        <f>IF($R1024="","",TRIM(INDEX('입력_구리근무자명단'!$A1022:$ZZ1022,1,$E$2+5)&amp;""))</f>
        <v/>
      </c>
      <c r="W1024">
        <f>IF(ISNUMBER(SEARCH("구리독자",$V1024)),"구리독자","")</f>
        <v/>
      </c>
      <c r="X1024">
        <f>IF($R1024="","",$R1024&amp;"|"&amp;IF(OR($Q1024="인턴",ISNUMBER(SEARCH("수련교육부",$P1024))),"인턴",$P1024))</f>
        <v/>
      </c>
      <c r="Y1024">
        <f>IF($R1024="","",IF(COUNTIF(명단표[이름|과],$X1024)=1,"명단 일치",IF(AND(COUNTIF(명단표[이름|과],$X1024)=0,COUNTIF(명단표[이름],$R1024)=1),"명단 일치(이름만, 과 다름)",IF(COUNTIF(명단표[이름],$R1024)=0,IF(COUNTIF(기본자료표[이름],$R1024)&gt;0,"명단에 없음(기본자료에는 있음)","명단에 없음"),"동명이인 확인"))))</f>
        <v/>
      </c>
      <c r="Z1024">
        <f>IF($R1024="","",IF($S1024&lt;0,"⚠"&amp;INDEX('입력_구리근무자명단'!$A1022:$ZZ1022,1,$E$2+2),TEXT($S1024,"yyyy-mm-dd")))</f>
        <v/>
      </c>
      <c r="AA1024">
        <f>IF($R1024="","",IF($T1024&lt;0,"⚠"&amp;INDEX('입력_구리근무자명단'!$A1022:$ZZ1022,1,$E$2+3),TEXT($T1024,"yyyy-mm-dd")))</f>
        <v/>
      </c>
      <c r="AB1024">
        <f>AB1023+IF($R1024="",0,1)</f>
        <v/>
      </c>
      <c r="AC1024">
        <f>IF($R1024="","",$AB1024)</f>
        <v/>
      </c>
    </row>
    <row r="1025">
      <c r="O1025">
        <f>1023</f>
        <v/>
      </c>
      <c r="P1025">
        <f>IF(TRIM('입력_구리근무자명단'!$A1023&amp;"")&lt;&gt;"",TRIM('입력_구리근무자명단'!$A1023&amp;""),P1024)</f>
        <v/>
      </c>
      <c r="Q1025">
        <f>'입력_구리근무자명단'!$B1023&amp;""</f>
        <v/>
      </c>
      <c r="R1025">
        <f>IF($E$2="","",TRIM(INDEX('입력_구리근무자명단'!$A1023:$ZZ1023,1,$E$2+IF($G$2="확정",1,0))&amp;""))</f>
        <v/>
      </c>
      <c r="S1025">
        <f>IF($R1025="","",IF(INDEX('입력_구리근무자명단'!$A1023:$ZZ1023,1,$E$2+2)&amp;""="",급여기준월,IF(ISNUMBER(INDEX('입력_구리근무자명단'!$A1023:$ZZ1023,1,$E$2+2)),INDEX('입력_구리근무자명단'!$A1023:$ZZ1023,1,$E$2+2),IFERROR(DATE(VALUE(LEFT(INDEX('입력_구리근무자명단'!$A1023:$ZZ1023,1,$E$2+2),4)),VALUE(MID(INDEX('입력_구리근무자명단'!$A1023:$ZZ1023,1,$E$2+2),6,2)),VALUE(MID(INDEX('입력_구리근무자명단'!$A1023:$ZZ1023,1,$E$2+2),9,2))),-1))))</f>
        <v/>
      </c>
      <c r="T1025">
        <f>IF($R1025="","",IF(INDEX('입력_구리근무자명단'!$A1023:$ZZ1023,1,$E$2+3)&amp;""="",EOMONTH(급여기준월,0),IF(ISNUMBER(INDEX('입력_구리근무자명단'!$A1023:$ZZ1023,1,$E$2+3)),INDEX('입력_구리근무자명단'!$A1023:$ZZ1023,1,$E$2+3),IFERROR(DATE(VALUE(LEFT(INDEX('입력_구리근무자명단'!$A1023:$ZZ1023,1,$E$2+3),4)),VALUE(MID(INDEX('입력_구리근무자명단'!$A1023:$ZZ1023,1,$E$2+3),6,2)),VALUE(MID(INDEX('입력_구리근무자명단'!$A1023:$ZZ1023,1,$E$2+3),9,2))),-1))))</f>
        <v/>
      </c>
      <c r="U1025">
        <f>IF($R1025="","",IF(OR($S1025&lt;0,$T1025&lt;0),0,MAX(0,MIN($T1025,EOMONTH(급여기준월,0))-MAX($S1025,급여기준월)+1)))</f>
        <v/>
      </c>
      <c r="V1025">
        <f>IF($R1025="","",TRIM(INDEX('입력_구리근무자명단'!$A1023:$ZZ1023,1,$E$2+5)&amp;""))</f>
        <v/>
      </c>
      <c r="W1025">
        <f>IF(ISNUMBER(SEARCH("구리독자",$V1025)),"구리독자","")</f>
        <v/>
      </c>
      <c r="X1025">
        <f>IF($R1025="","",$R1025&amp;"|"&amp;IF(OR($Q1025="인턴",ISNUMBER(SEARCH("수련교육부",$P1025))),"인턴",$P1025))</f>
        <v/>
      </c>
      <c r="Y1025">
        <f>IF($R1025="","",IF(COUNTIF(명단표[이름|과],$X1025)=1,"명단 일치",IF(AND(COUNTIF(명단표[이름|과],$X1025)=0,COUNTIF(명단표[이름],$R1025)=1),"명단 일치(이름만, 과 다름)",IF(COUNTIF(명단표[이름],$R1025)=0,IF(COUNTIF(기본자료표[이름],$R1025)&gt;0,"명단에 없음(기본자료에는 있음)","명단에 없음"),"동명이인 확인"))))</f>
        <v/>
      </c>
      <c r="Z1025">
        <f>IF($R1025="","",IF($S1025&lt;0,"⚠"&amp;INDEX('입력_구리근무자명단'!$A1023:$ZZ1023,1,$E$2+2),TEXT($S1025,"yyyy-mm-dd")))</f>
        <v/>
      </c>
      <c r="AA1025">
        <f>IF($R1025="","",IF($T1025&lt;0,"⚠"&amp;INDEX('입력_구리근무자명단'!$A1023:$ZZ1023,1,$E$2+3),TEXT($T1025,"yyyy-mm-dd")))</f>
        <v/>
      </c>
      <c r="AB1025">
        <f>AB1024+IF($R1025="",0,1)</f>
        <v/>
      </c>
      <c r="AC1025">
        <f>IF($R1025="","",$AB1025)</f>
        <v/>
      </c>
    </row>
    <row r="1026">
      <c r="O1026">
        <f>1024</f>
        <v/>
      </c>
      <c r="P1026">
        <f>IF(TRIM('입력_구리근무자명단'!$A1024&amp;"")&lt;&gt;"",TRIM('입력_구리근무자명단'!$A1024&amp;""),P1025)</f>
        <v/>
      </c>
      <c r="Q1026">
        <f>'입력_구리근무자명단'!$B1024&amp;""</f>
        <v/>
      </c>
      <c r="R1026">
        <f>IF($E$2="","",TRIM(INDEX('입력_구리근무자명단'!$A1024:$ZZ1024,1,$E$2+IF($G$2="확정",1,0))&amp;""))</f>
        <v/>
      </c>
      <c r="S1026">
        <f>IF($R1026="","",IF(INDEX('입력_구리근무자명단'!$A1024:$ZZ1024,1,$E$2+2)&amp;""="",급여기준월,IF(ISNUMBER(INDEX('입력_구리근무자명단'!$A1024:$ZZ1024,1,$E$2+2)),INDEX('입력_구리근무자명단'!$A1024:$ZZ1024,1,$E$2+2),IFERROR(DATE(VALUE(LEFT(INDEX('입력_구리근무자명단'!$A1024:$ZZ1024,1,$E$2+2),4)),VALUE(MID(INDEX('입력_구리근무자명단'!$A1024:$ZZ1024,1,$E$2+2),6,2)),VALUE(MID(INDEX('입력_구리근무자명단'!$A1024:$ZZ1024,1,$E$2+2),9,2))),-1))))</f>
        <v/>
      </c>
      <c r="T1026">
        <f>IF($R1026="","",IF(INDEX('입력_구리근무자명단'!$A1024:$ZZ1024,1,$E$2+3)&amp;""="",EOMONTH(급여기준월,0),IF(ISNUMBER(INDEX('입력_구리근무자명단'!$A1024:$ZZ1024,1,$E$2+3)),INDEX('입력_구리근무자명단'!$A1024:$ZZ1024,1,$E$2+3),IFERROR(DATE(VALUE(LEFT(INDEX('입력_구리근무자명단'!$A1024:$ZZ1024,1,$E$2+3),4)),VALUE(MID(INDEX('입력_구리근무자명단'!$A1024:$ZZ1024,1,$E$2+3),6,2)),VALUE(MID(INDEX('입력_구리근무자명단'!$A1024:$ZZ1024,1,$E$2+3),9,2))),-1))))</f>
        <v/>
      </c>
      <c r="U1026">
        <f>IF($R1026="","",IF(OR($S1026&lt;0,$T1026&lt;0),0,MAX(0,MIN($T1026,EOMONTH(급여기준월,0))-MAX($S1026,급여기준월)+1)))</f>
        <v/>
      </c>
      <c r="V1026">
        <f>IF($R1026="","",TRIM(INDEX('입력_구리근무자명단'!$A1024:$ZZ1024,1,$E$2+5)&amp;""))</f>
        <v/>
      </c>
      <c r="W1026">
        <f>IF(ISNUMBER(SEARCH("구리독자",$V1026)),"구리독자","")</f>
        <v/>
      </c>
      <c r="X1026">
        <f>IF($R1026="","",$R1026&amp;"|"&amp;IF(OR($Q1026="인턴",ISNUMBER(SEARCH("수련교육부",$P1026))),"인턴",$P1026))</f>
        <v/>
      </c>
      <c r="Y1026">
        <f>IF($R1026="","",IF(COUNTIF(명단표[이름|과],$X1026)=1,"명단 일치",IF(AND(COUNTIF(명단표[이름|과],$X1026)=0,COUNTIF(명단표[이름],$R1026)=1),"명단 일치(이름만, 과 다름)",IF(COUNTIF(명단표[이름],$R1026)=0,IF(COUNTIF(기본자료표[이름],$R1026)&gt;0,"명단에 없음(기본자료에는 있음)","명단에 없음"),"동명이인 확인"))))</f>
        <v/>
      </c>
      <c r="Z1026">
        <f>IF($R1026="","",IF($S1026&lt;0,"⚠"&amp;INDEX('입력_구리근무자명단'!$A1024:$ZZ1024,1,$E$2+2),TEXT($S1026,"yyyy-mm-dd")))</f>
        <v/>
      </c>
      <c r="AA1026">
        <f>IF($R1026="","",IF($T1026&lt;0,"⚠"&amp;INDEX('입력_구리근무자명단'!$A1024:$ZZ1024,1,$E$2+3),TEXT($T1026,"yyyy-mm-dd")))</f>
        <v/>
      </c>
      <c r="AB1026">
        <f>AB1025+IF($R1026="",0,1)</f>
        <v/>
      </c>
      <c r="AC1026">
        <f>IF($R1026="","",$AB1026)</f>
        <v/>
      </c>
    </row>
    <row r="1027">
      <c r="O1027">
        <f>1025</f>
        <v/>
      </c>
      <c r="P1027">
        <f>IF(TRIM('입력_구리근무자명단'!$A1025&amp;"")&lt;&gt;"",TRIM('입력_구리근무자명단'!$A1025&amp;""),P1026)</f>
        <v/>
      </c>
      <c r="Q1027">
        <f>'입력_구리근무자명단'!$B1025&amp;""</f>
        <v/>
      </c>
      <c r="R1027">
        <f>IF($E$2="","",TRIM(INDEX('입력_구리근무자명단'!$A1025:$ZZ1025,1,$E$2+IF($G$2="확정",1,0))&amp;""))</f>
        <v/>
      </c>
      <c r="S1027">
        <f>IF($R1027="","",IF(INDEX('입력_구리근무자명단'!$A1025:$ZZ1025,1,$E$2+2)&amp;""="",급여기준월,IF(ISNUMBER(INDEX('입력_구리근무자명단'!$A1025:$ZZ1025,1,$E$2+2)),INDEX('입력_구리근무자명단'!$A1025:$ZZ1025,1,$E$2+2),IFERROR(DATE(VALUE(LEFT(INDEX('입력_구리근무자명단'!$A1025:$ZZ1025,1,$E$2+2),4)),VALUE(MID(INDEX('입력_구리근무자명단'!$A1025:$ZZ1025,1,$E$2+2),6,2)),VALUE(MID(INDEX('입력_구리근무자명단'!$A1025:$ZZ1025,1,$E$2+2),9,2))),-1))))</f>
        <v/>
      </c>
      <c r="T1027">
        <f>IF($R1027="","",IF(INDEX('입력_구리근무자명단'!$A1025:$ZZ1025,1,$E$2+3)&amp;""="",EOMONTH(급여기준월,0),IF(ISNUMBER(INDEX('입력_구리근무자명단'!$A1025:$ZZ1025,1,$E$2+3)),INDEX('입력_구리근무자명단'!$A1025:$ZZ1025,1,$E$2+3),IFERROR(DATE(VALUE(LEFT(INDEX('입력_구리근무자명단'!$A1025:$ZZ1025,1,$E$2+3),4)),VALUE(MID(INDEX('입력_구리근무자명단'!$A1025:$ZZ1025,1,$E$2+3),6,2)),VALUE(MID(INDEX('입력_구리근무자명단'!$A1025:$ZZ1025,1,$E$2+3),9,2))),-1))))</f>
        <v/>
      </c>
      <c r="U1027">
        <f>IF($R1027="","",IF(OR($S1027&lt;0,$T1027&lt;0),0,MAX(0,MIN($T1027,EOMONTH(급여기준월,0))-MAX($S1027,급여기준월)+1)))</f>
        <v/>
      </c>
      <c r="V1027">
        <f>IF($R1027="","",TRIM(INDEX('입력_구리근무자명단'!$A1025:$ZZ1025,1,$E$2+5)&amp;""))</f>
        <v/>
      </c>
      <c r="W1027">
        <f>IF(ISNUMBER(SEARCH("구리독자",$V1027)),"구리독자","")</f>
        <v/>
      </c>
      <c r="X1027">
        <f>IF($R1027="","",$R1027&amp;"|"&amp;IF(OR($Q1027="인턴",ISNUMBER(SEARCH("수련교육부",$P1027))),"인턴",$P1027))</f>
        <v/>
      </c>
      <c r="Y1027">
        <f>IF($R1027="","",IF(COUNTIF(명단표[이름|과],$X1027)=1,"명단 일치",IF(AND(COUNTIF(명단표[이름|과],$X1027)=0,COUNTIF(명단표[이름],$R1027)=1),"명단 일치(이름만, 과 다름)",IF(COUNTIF(명단표[이름],$R1027)=0,IF(COUNTIF(기본자료표[이름],$R1027)&gt;0,"명단에 없음(기본자료에는 있음)","명단에 없음"),"동명이인 확인"))))</f>
        <v/>
      </c>
      <c r="Z1027">
        <f>IF($R1027="","",IF($S1027&lt;0,"⚠"&amp;INDEX('입력_구리근무자명단'!$A1025:$ZZ1025,1,$E$2+2),TEXT($S1027,"yyyy-mm-dd")))</f>
        <v/>
      </c>
      <c r="AA1027">
        <f>IF($R1027="","",IF($T1027&lt;0,"⚠"&amp;INDEX('입력_구리근무자명단'!$A1025:$ZZ1025,1,$E$2+3),TEXT($T1027,"yyyy-mm-dd")))</f>
        <v/>
      </c>
      <c r="AB1027">
        <f>AB1026+IF($R1027="",0,1)</f>
        <v/>
      </c>
      <c r="AC1027">
        <f>IF($R1027="","",$AB1027)</f>
        <v/>
      </c>
    </row>
    <row r="1028">
      <c r="O1028">
        <f>1026</f>
        <v/>
      </c>
      <c r="P1028">
        <f>IF(TRIM('입력_구리근무자명단'!$A1026&amp;"")&lt;&gt;"",TRIM('입력_구리근무자명단'!$A1026&amp;""),P1027)</f>
        <v/>
      </c>
      <c r="Q1028">
        <f>'입력_구리근무자명단'!$B1026&amp;""</f>
        <v/>
      </c>
      <c r="R1028">
        <f>IF($E$2="","",TRIM(INDEX('입력_구리근무자명단'!$A1026:$ZZ1026,1,$E$2+IF($G$2="확정",1,0))&amp;""))</f>
        <v/>
      </c>
      <c r="S1028">
        <f>IF($R1028="","",IF(INDEX('입력_구리근무자명단'!$A1026:$ZZ1026,1,$E$2+2)&amp;""="",급여기준월,IF(ISNUMBER(INDEX('입력_구리근무자명단'!$A1026:$ZZ1026,1,$E$2+2)),INDEX('입력_구리근무자명단'!$A1026:$ZZ1026,1,$E$2+2),IFERROR(DATE(VALUE(LEFT(INDEX('입력_구리근무자명단'!$A1026:$ZZ1026,1,$E$2+2),4)),VALUE(MID(INDEX('입력_구리근무자명단'!$A1026:$ZZ1026,1,$E$2+2),6,2)),VALUE(MID(INDEX('입력_구리근무자명단'!$A1026:$ZZ1026,1,$E$2+2),9,2))),-1))))</f>
        <v/>
      </c>
      <c r="T1028">
        <f>IF($R1028="","",IF(INDEX('입력_구리근무자명단'!$A1026:$ZZ1026,1,$E$2+3)&amp;""="",EOMONTH(급여기준월,0),IF(ISNUMBER(INDEX('입력_구리근무자명단'!$A1026:$ZZ1026,1,$E$2+3)),INDEX('입력_구리근무자명단'!$A1026:$ZZ1026,1,$E$2+3),IFERROR(DATE(VALUE(LEFT(INDEX('입력_구리근무자명단'!$A1026:$ZZ1026,1,$E$2+3),4)),VALUE(MID(INDEX('입력_구리근무자명단'!$A1026:$ZZ1026,1,$E$2+3),6,2)),VALUE(MID(INDEX('입력_구리근무자명단'!$A1026:$ZZ1026,1,$E$2+3),9,2))),-1))))</f>
        <v/>
      </c>
      <c r="U1028">
        <f>IF($R1028="","",IF(OR($S1028&lt;0,$T1028&lt;0),0,MAX(0,MIN($T1028,EOMONTH(급여기준월,0))-MAX($S1028,급여기준월)+1)))</f>
        <v/>
      </c>
      <c r="V1028">
        <f>IF($R1028="","",TRIM(INDEX('입력_구리근무자명단'!$A1026:$ZZ1026,1,$E$2+5)&amp;""))</f>
        <v/>
      </c>
      <c r="W1028">
        <f>IF(ISNUMBER(SEARCH("구리독자",$V1028)),"구리독자","")</f>
        <v/>
      </c>
      <c r="X1028">
        <f>IF($R1028="","",$R1028&amp;"|"&amp;IF(OR($Q1028="인턴",ISNUMBER(SEARCH("수련교육부",$P1028))),"인턴",$P1028))</f>
        <v/>
      </c>
      <c r="Y1028">
        <f>IF($R1028="","",IF(COUNTIF(명단표[이름|과],$X1028)=1,"명단 일치",IF(AND(COUNTIF(명단표[이름|과],$X1028)=0,COUNTIF(명단표[이름],$R1028)=1),"명단 일치(이름만, 과 다름)",IF(COUNTIF(명단표[이름],$R1028)=0,IF(COUNTIF(기본자료표[이름],$R1028)&gt;0,"명단에 없음(기본자료에는 있음)","명단에 없음"),"동명이인 확인"))))</f>
        <v/>
      </c>
      <c r="Z1028">
        <f>IF($R1028="","",IF($S1028&lt;0,"⚠"&amp;INDEX('입력_구리근무자명단'!$A1026:$ZZ1026,1,$E$2+2),TEXT($S1028,"yyyy-mm-dd")))</f>
        <v/>
      </c>
      <c r="AA1028">
        <f>IF($R1028="","",IF($T1028&lt;0,"⚠"&amp;INDEX('입력_구리근무자명단'!$A1026:$ZZ1026,1,$E$2+3),TEXT($T1028,"yyyy-mm-dd")))</f>
        <v/>
      </c>
      <c r="AB1028">
        <f>AB1027+IF($R1028="",0,1)</f>
        <v/>
      </c>
      <c r="AC1028">
        <f>IF($R1028="","",$AB1028)</f>
        <v/>
      </c>
    </row>
    <row r="1029">
      <c r="O1029">
        <f>1027</f>
        <v/>
      </c>
      <c r="P1029">
        <f>IF(TRIM('입력_구리근무자명단'!$A1027&amp;"")&lt;&gt;"",TRIM('입력_구리근무자명단'!$A1027&amp;""),P1028)</f>
        <v/>
      </c>
      <c r="Q1029">
        <f>'입력_구리근무자명단'!$B1027&amp;""</f>
        <v/>
      </c>
      <c r="R1029">
        <f>IF($E$2="","",TRIM(INDEX('입력_구리근무자명단'!$A1027:$ZZ1027,1,$E$2+IF($G$2="확정",1,0))&amp;""))</f>
        <v/>
      </c>
      <c r="S1029">
        <f>IF($R1029="","",IF(INDEX('입력_구리근무자명단'!$A1027:$ZZ1027,1,$E$2+2)&amp;""="",급여기준월,IF(ISNUMBER(INDEX('입력_구리근무자명단'!$A1027:$ZZ1027,1,$E$2+2)),INDEX('입력_구리근무자명단'!$A1027:$ZZ1027,1,$E$2+2),IFERROR(DATE(VALUE(LEFT(INDEX('입력_구리근무자명단'!$A1027:$ZZ1027,1,$E$2+2),4)),VALUE(MID(INDEX('입력_구리근무자명단'!$A1027:$ZZ1027,1,$E$2+2),6,2)),VALUE(MID(INDEX('입력_구리근무자명단'!$A1027:$ZZ1027,1,$E$2+2),9,2))),-1))))</f>
        <v/>
      </c>
      <c r="T1029">
        <f>IF($R1029="","",IF(INDEX('입력_구리근무자명단'!$A1027:$ZZ1027,1,$E$2+3)&amp;""="",EOMONTH(급여기준월,0),IF(ISNUMBER(INDEX('입력_구리근무자명단'!$A1027:$ZZ1027,1,$E$2+3)),INDEX('입력_구리근무자명단'!$A1027:$ZZ1027,1,$E$2+3),IFERROR(DATE(VALUE(LEFT(INDEX('입력_구리근무자명단'!$A1027:$ZZ1027,1,$E$2+3),4)),VALUE(MID(INDEX('입력_구리근무자명단'!$A1027:$ZZ1027,1,$E$2+3),6,2)),VALUE(MID(INDEX('입력_구리근무자명단'!$A1027:$ZZ1027,1,$E$2+3),9,2))),-1))))</f>
        <v/>
      </c>
      <c r="U1029">
        <f>IF($R1029="","",IF(OR($S1029&lt;0,$T1029&lt;0),0,MAX(0,MIN($T1029,EOMONTH(급여기준월,0))-MAX($S1029,급여기준월)+1)))</f>
        <v/>
      </c>
      <c r="V1029">
        <f>IF($R1029="","",TRIM(INDEX('입력_구리근무자명단'!$A1027:$ZZ1027,1,$E$2+5)&amp;""))</f>
        <v/>
      </c>
      <c r="W1029">
        <f>IF(ISNUMBER(SEARCH("구리독자",$V1029)),"구리독자","")</f>
        <v/>
      </c>
      <c r="X1029">
        <f>IF($R1029="","",$R1029&amp;"|"&amp;IF(OR($Q1029="인턴",ISNUMBER(SEARCH("수련교육부",$P1029))),"인턴",$P1029))</f>
        <v/>
      </c>
      <c r="Y1029">
        <f>IF($R1029="","",IF(COUNTIF(명단표[이름|과],$X1029)=1,"명단 일치",IF(AND(COUNTIF(명단표[이름|과],$X1029)=0,COUNTIF(명단표[이름],$R1029)=1),"명단 일치(이름만, 과 다름)",IF(COUNTIF(명단표[이름],$R1029)=0,IF(COUNTIF(기본자료표[이름],$R1029)&gt;0,"명단에 없음(기본자료에는 있음)","명단에 없음"),"동명이인 확인"))))</f>
        <v/>
      </c>
      <c r="Z1029">
        <f>IF($R1029="","",IF($S1029&lt;0,"⚠"&amp;INDEX('입력_구리근무자명단'!$A1027:$ZZ1027,1,$E$2+2),TEXT($S1029,"yyyy-mm-dd")))</f>
        <v/>
      </c>
      <c r="AA1029">
        <f>IF($R1029="","",IF($T1029&lt;0,"⚠"&amp;INDEX('입력_구리근무자명단'!$A1027:$ZZ1027,1,$E$2+3),TEXT($T1029,"yyyy-mm-dd")))</f>
        <v/>
      </c>
      <c r="AB1029">
        <f>AB1028+IF($R1029="",0,1)</f>
        <v/>
      </c>
      <c r="AC1029">
        <f>IF($R1029="","",$AB1029)</f>
        <v/>
      </c>
    </row>
    <row r="1030">
      <c r="O1030">
        <f>1028</f>
        <v/>
      </c>
      <c r="P1030">
        <f>IF(TRIM('입력_구리근무자명단'!$A1028&amp;"")&lt;&gt;"",TRIM('입력_구리근무자명단'!$A1028&amp;""),P1029)</f>
        <v/>
      </c>
      <c r="Q1030">
        <f>'입력_구리근무자명단'!$B1028&amp;""</f>
        <v/>
      </c>
      <c r="R1030">
        <f>IF($E$2="","",TRIM(INDEX('입력_구리근무자명단'!$A1028:$ZZ1028,1,$E$2+IF($G$2="확정",1,0))&amp;""))</f>
        <v/>
      </c>
      <c r="S1030">
        <f>IF($R1030="","",IF(INDEX('입력_구리근무자명단'!$A1028:$ZZ1028,1,$E$2+2)&amp;""="",급여기준월,IF(ISNUMBER(INDEX('입력_구리근무자명단'!$A1028:$ZZ1028,1,$E$2+2)),INDEX('입력_구리근무자명단'!$A1028:$ZZ1028,1,$E$2+2),IFERROR(DATE(VALUE(LEFT(INDEX('입력_구리근무자명단'!$A1028:$ZZ1028,1,$E$2+2),4)),VALUE(MID(INDEX('입력_구리근무자명단'!$A1028:$ZZ1028,1,$E$2+2),6,2)),VALUE(MID(INDEX('입력_구리근무자명단'!$A1028:$ZZ1028,1,$E$2+2),9,2))),-1))))</f>
        <v/>
      </c>
      <c r="T1030">
        <f>IF($R1030="","",IF(INDEX('입력_구리근무자명단'!$A1028:$ZZ1028,1,$E$2+3)&amp;""="",EOMONTH(급여기준월,0),IF(ISNUMBER(INDEX('입력_구리근무자명단'!$A1028:$ZZ1028,1,$E$2+3)),INDEX('입력_구리근무자명단'!$A1028:$ZZ1028,1,$E$2+3),IFERROR(DATE(VALUE(LEFT(INDEX('입력_구리근무자명단'!$A1028:$ZZ1028,1,$E$2+3),4)),VALUE(MID(INDEX('입력_구리근무자명단'!$A1028:$ZZ1028,1,$E$2+3),6,2)),VALUE(MID(INDEX('입력_구리근무자명단'!$A1028:$ZZ1028,1,$E$2+3),9,2))),-1))))</f>
        <v/>
      </c>
      <c r="U1030">
        <f>IF($R1030="","",IF(OR($S1030&lt;0,$T1030&lt;0),0,MAX(0,MIN($T1030,EOMONTH(급여기준월,0))-MAX($S1030,급여기준월)+1)))</f>
        <v/>
      </c>
      <c r="V1030">
        <f>IF($R1030="","",TRIM(INDEX('입력_구리근무자명단'!$A1028:$ZZ1028,1,$E$2+5)&amp;""))</f>
        <v/>
      </c>
      <c r="W1030">
        <f>IF(ISNUMBER(SEARCH("구리독자",$V1030)),"구리독자","")</f>
        <v/>
      </c>
      <c r="X1030">
        <f>IF($R1030="","",$R1030&amp;"|"&amp;IF(OR($Q1030="인턴",ISNUMBER(SEARCH("수련교육부",$P1030))),"인턴",$P1030))</f>
        <v/>
      </c>
      <c r="Y1030">
        <f>IF($R1030="","",IF(COUNTIF(명단표[이름|과],$X1030)=1,"명단 일치",IF(AND(COUNTIF(명단표[이름|과],$X1030)=0,COUNTIF(명단표[이름],$R1030)=1),"명단 일치(이름만, 과 다름)",IF(COUNTIF(명단표[이름],$R1030)=0,IF(COUNTIF(기본자료표[이름],$R1030)&gt;0,"명단에 없음(기본자료에는 있음)","명단에 없음"),"동명이인 확인"))))</f>
        <v/>
      </c>
      <c r="Z1030">
        <f>IF($R1030="","",IF($S1030&lt;0,"⚠"&amp;INDEX('입력_구리근무자명단'!$A1028:$ZZ1028,1,$E$2+2),TEXT($S1030,"yyyy-mm-dd")))</f>
        <v/>
      </c>
      <c r="AA1030">
        <f>IF($R1030="","",IF($T1030&lt;0,"⚠"&amp;INDEX('입력_구리근무자명단'!$A1028:$ZZ1028,1,$E$2+3),TEXT($T1030,"yyyy-mm-dd")))</f>
        <v/>
      </c>
      <c r="AB1030">
        <f>AB1029+IF($R1030="",0,1)</f>
        <v/>
      </c>
      <c r="AC1030">
        <f>IF($R1030="","",$AB1030)</f>
        <v/>
      </c>
    </row>
    <row r="1031">
      <c r="O1031">
        <f>1029</f>
        <v/>
      </c>
      <c r="P1031">
        <f>IF(TRIM('입력_구리근무자명단'!$A1029&amp;"")&lt;&gt;"",TRIM('입력_구리근무자명단'!$A1029&amp;""),P1030)</f>
        <v/>
      </c>
      <c r="Q1031">
        <f>'입력_구리근무자명단'!$B1029&amp;""</f>
        <v/>
      </c>
      <c r="R1031">
        <f>IF($E$2="","",TRIM(INDEX('입력_구리근무자명단'!$A1029:$ZZ1029,1,$E$2+IF($G$2="확정",1,0))&amp;""))</f>
        <v/>
      </c>
      <c r="S1031">
        <f>IF($R1031="","",IF(INDEX('입력_구리근무자명단'!$A1029:$ZZ1029,1,$E$2+2)&amp;""="",급여기준월,IF(ISNUMBER(INDEX('입력_구리근무자명단'!$A1029:$ZZ1029,1,$E$2+2)),INDEX('입력_구리근무자명단'!$A1029:$ZZ1029,1,$E$2+2),IFERROR(DATE(VALUE(LEFT(INDEX('입력_구리근무자명단'!$A1029:$ZZ1029,1,$E$2+2),4)),VALUE(MID(INDEX('입력_구리근무자명단'!$A1029:$ZZ1029,1,$E$2+2),6,2)),VALUE(MID(INDEX('입력_구리근무자명단'!$A1029:$ZZ1029,1,$E$2+2),9,2))),-1))))</f>
        <v/>
      </c>
      <c r="T1031">
        <f>IF($R1031="","",IF(INDEX('입력_구리근무자명단'!$A1029:$ZZ1029,1,$E$2+3)&amp;""="",EOMONTH(급여기준월,0),IF(ISNUMBER(INDEX('입력_구리근무자명단'!$A1029:$ZZ1029,1,$E$2+3)),INDEX('입력_구리근무자명단'!$A1029:$ZZ1029,1,$E$2+3),IFERROR(DATE(VALUE(LEFT(INDEX('입력_구리근무자명단'!$A1029:$ZZ1029,1,$E$2+3),4)),VALUE(MID(INDEX('입력_구리근무자명단'!$A1029:$ZZ1029,1,$E$2+3),6,2)),VALUE(MID(INDEX('입력_구리근무자명단'!$A1029:$ZZ1029,1,$E$2+3),9,2))),-1))))</f>
        <v/>
      </c>
      <c r="U1031">
        <f>IF($R1031="","",IF(OR($S1031&lt;0,$T1031&lt;0),0,MAX(0,MIN($T1031,EOMONTH(급여기준월,0))-MAX($S1031,급여기준월)+1)))</f>
        <v/>
      </c>
      <c r="V1031">
        <f>IF($R1031="","",TRIM(INDEX('입력_구리근무자명단'!$A1029:$ZZ1029,1,$E$2+5)&amp;""))</f>
        <v/>
      </c>
      <c r="W1031">
        <f>IF(ISNUMBER(SEARCH("구리독자",$V1031)),"구리독자","")</f>
        <v/>
      </c>
      <c r="X1031">
        <f>IF($R1031="","",$R1031&amp;"|"&amp;IF(OR($Q1031="인턴",ISNUMBER(SEARCH("수련교육부",$P1031))),"인턴",$P1031))</f>
        <v/>
      </c>
      <c r="Y1031">
        <f>IF($R1031="","",IF(COUNTIF(명단표[이름|과],$X1031)=1,"명단 일치",IF(AND(COUNTIF(명단표[이름|과],$X1031)=0,COUNTIF(명단표[이름],$R1031)=1),"명단 일치(이름만, 과 다름)",IF(COUNTIF(명단표[이름],$R1031)=0,IF(COUNTIF(기본자료표[이름],$R1031)&gt;0,"명단에 없음(기본자료에는 있음)","명단에 없음"),"동명이인 확인"))))</f>
        <v/>
      </c>
      <c r="Z1031">
        <f>IF($R1031="","",IF($S1031&lt;0,"⚠"&amp;INDEX('입력_구리근무자명단'!$A1029:$ZZ1029,1,$E$2+2),TEXT($S1031,"yyyy-mm-dd")))</f>
        <v/>
      </c>
      <c r="AA1031">
        <f>IF($R1031="","",IF($T1031&lt;0,"⚠"&amp;INDEX('입력_구리근무자명단'!$A1029:$ZZ1029,1,$E$2+3),TEXT($T1031,"yyyy-mm-dd")))</f>
        <v/>
      </c>
      <c r="AB1031">
        <f>AB1030+IF($R1031="",0,1)</f>
        <v/>
      </c>
      <c r="AC1031">
        <f>IF($R1031="","",$AB1031)</f>
        <v/>
      </c>
    </row>
    <row r="1032">
      <c r="O1032">
        <f>1030</f>
        <v/>
      </c>
      <c r="P1032">
        <f>IF(TRIM('입력_구리근무자명단'!$A1030&amp;"")&lt;&gt;"",TRIM('입력_구리근무자명단'!$A1030&amp;""),P1031)</f>
        <v/>
      </c>
      <c r="Q1032">
        <f>'입력_구리근무자명단'!$B1030&amp;""</f>
        <v/>
      </c>
      <c r="R1032">
        <f>IF($E$2="","",TRIM(INDEX('입력_구리근무자명단'!$A1030:$ZZ1030,1,$E$2+IF($G$2="확정",1,0))&amp;""))</f>
        <v/>
      </c>
      <c r="S1032">
        <f>IF($R1032="","",IF(INDEX('입력_구리근무자명단'!$A1030:$ZZ1030,1,$E$2+2)&amp;""="",급여기준월,IF(ISNUMBER(INDEX('입력_구리근무자명단'!$A1030:$ZZ1030,1,$E$2+2)),INDEX('입력_구리근무자명단'!$A1030:$ZZ1030,1,$E$2+2),IFERROR(DATE(VALUE(LEFT(INDEX('입력_구리근무자명단'!$A1030:$ZZ1030,1,$E$2+2),4)),VALUE(MID(INDEX('입력_구리근무자명단'!$A1030:$ZZ1030,1,$E$2+2),6,2)),VALUE(MID(INDEX('입력_구리근무자명단'!$A1030:$ZZ1030,1,$E$2+2),9,2))),-1))))</f>
        <v/>
      </c>
      <c r="T1032">
        <f>IF($R1032="","",IF(INDEX('입력_구리근무자명단'!$A1030:$ZZ1030,1,$E$2+3)&amp;""="",EOMONTH(급여기준월,0),IF(ISNUMBER(INDEX('입력_구리근무자명단'!$A1030:$ZZ1030,1,$E$2+3)),INDEX('입력_구리근무자명단'!$A1030:$ZZ1030,1,$E$2+3),IFERROR(DATE(VALUE(LEFT(INDEX('입력_구리근무자명단'!$A1030:$ZZ1030,1,$E$2+3),4)),VALUE(MID(INDEX('입력_구리근무자명단'!$A1030:$ZZ1030,1,$E$2+3),6,2)),VALUE(MID(INDEX('입력_구리근무자명단'!$A1030:$ZZ1030,1,$E$2+3),9,2))),-1))))</f>
        <v/>
      </c>
      <c r="U1032">
        <f>IF($R1032="","",IF(OR($S1032&lt;0,$T1032&lt;0),0,MAX(0,MIN($T1032,EOMONTH(급여기준월,0))-MAX($S1032,급여기준월)+1)))</f>
        <v/>
      </c>
      <c r="V1032">
        <f>IF($R1032="","",TRIM(INDEX('입력_구리근무자명단'!$A1030:$ZZ1030,1,$E$2+5)&amp;""))</f>
        <v/>
      </c>
      <c r="W1032">
        <f>IF(ISNUMBER(SEARCH("구리독자",$V1032)),"구리독자","")</f>
        <v/>
      </c>
      <c r="X1032">
        <f>IF($R1032="","",$R1032&amp;"|"&amp;IF(OR($Q1032="인턴",ISNUMBER(SEARCH("수련교육부",$P1032))),"인턴",$P1032))</f>
        <v/>
      </c>
      <c r="Y1032">
        <f>IF($R1032="","",IF(COUNTIF(명단표[이름|과],$X1032)=1,"명단 일치",IF(AND(COUNTIF(명단표[이름|과],$X1032)=0,COUNTIF(명단표[이름],$R1032)=1),"명단 일치(이름만, 과 다름)",IF(COUNTIF(명단표[이름],$R1032)=0,IF(COUNTIF(기본자료표[이름],$R1032)&gt;0,"명단에 없음(기본자료에는 있음)","명단에 없음"),"동명이인 확인"))))</f>
        <v/>
      </c>
      <c r="Z1032">
        <f>IF($R1032="","",IF($S1032&lt;0,"⚠"&amp;INDEX('입력_구리근무자명단'!$A1030:$ZZ1030,1,$E$2+2),TEXT($S1032,"yyyy-mm-dd")))</f>
        <v/>
      </c>
      <c r="AA1032">
        <f>IF($R1032="","",IF($T1032&lt;0,"⚠"&amp;INDEX('입력_구리근무자명단'!$A1030:$ZZ1030,1,$E$2+3),TEXT($T1032,"yyyy-mm-dd")))</f>
        <v/>
      </c>
      <c r="AB1032">
        <f>AB1031+IF($R1032="",0,1)</f>
        <v/>
      </c>
      <c r="AC1032">
        <f>IF($R1032="","",$AB1032)</f>
        <v/>
      </c>
    </row>
    <row r="1033">
      <c r="O1033">
        <f>1031</f>
        <v/>
      </c>
      <c r="P1033">
        <f>IF(TRIM('입력_구리근무자명단'!$A1031&amp;"")&lt;&gt;"",TRIM('입력_구리근무자명단'!$A1031&amp;""),P1032)</f>
        <v/>
      </c>
      <c r="Q1033">
        <f>'입력_구리근무자명단'!$B1031&amp;""</f>
        <v/>
      </c>
      <c r="R1033">
        <f>IF($E$2="","",TRIM(INDEX('입력_구리근무자명단'!$A1031:$ZZ1031,1,$E$2+IF($G$2="확정",1,0))&amp;""))</f>
        <v/>
      </c>
      <c r="S1033">
        <f>IF($R1033="","",IF(INDEX('입력_구리근무자명단'!$A1031:$ZZ1031,1,$E$2+2)&amp;""="",급여기준월,IF(ISNUMBER(INDEX('입력_구리근무자명단'!$A1031:$ZZ1031,1,$E$2+2)),INDEX('입력_구리근무자명단'!$A1031:$ZZ1031,1,$E$2+2),IFERROR(DATE(VALUE(LEFT(INDEX('입력_구리근무자명단'!$A1031:$ZZ1031,1,$E$2+2),4)),VALUE(MID(INDEX('입력_구리근무자명단'!$A1031:$ZZ1031,1,$E$2+2),6,2)),VALUE(MID(INDEX('입력_구리근무자명단'!$A1031:$ZZ1031,1,$E$2+2),9,2))),-1))))</f>
        <v/>
      </c>
      <c r="T1033">
        <f>IF($R1033="","",IF(INDEX('입력_구리근무자명단'!$A1031:$ZZ1031,1,$E$2+3)&amp;""="",EOMONTH(급여기준월,0),IF(ISNUMBER(INDEX('입력_구리근무자명단'!$A1031:$ZZ1031,1,$E$2+3)),INDEX('입력_구리근무자명단'!$A1031:$ZZ1031,1,$E$2+3),IFERROR(DATE(VALUE(LEFT(INDEX('입력_구리근무자명단'!$A1031:$ZZ1031,1,$E$2+3),4)),VALUE(MID(INDEX('입력_구리근무자명단'!$A1031:$ZZ1031,1,$E$2+3),6,2)),VALUE(MID(INDEX('입력_구리근무자명단'!$A1031:$ZZ1031,1,$E$2+3),9,2))),-1))))</f>
        <v/>
      </c>
      <c r="U1033">
        <f>IF($R1033="","",IF(OR($S1033&lt;0,$T1033&lt;0),0,MAX(0,MIN($T1033,EOMONTH(급여기준월,0))-MAX($S1033,급여기준월)+1)))</f>
        <v/>
      </c>
      <c r="V1033">
        <f>IF($R1033="","",TRIM(INDEX('입력_구리근무자명단'!$A1031:$ZZ1031,1,$E$2+5)&amp;""))</f>
        <v/>
      </c>
      <c r="W1033">
        <f>IF(ISNUMBER(SEARCH("구리독자",$V1033)),"구리독자","")</f>
        <v/>
      </c>
      <c r="X1033">
        <f>IF($R1033="","",$R1033&amp;"|"&amp;IF(OR($Q1033="인턴",ISNUMBER(SEARCH("수련교육부",$P1033))),"인턴",$P1033))</f>
        <v/>
      </c>
      <c r="Y1033">
        <f>IF($R1033="","",IF(COUNTIF(명단표[이름|과],$X1033)=1,"명단 일치",IF(AND(COUNTIF(명단표[이름|과],$X1033)=0,COUNTIF(명단표[이름],$R1033)=1),"명단 일치(이름만, 과 다름)",IF(COUNTIF(명단표[이름],$R1033)=0,IF(COUNTIF(기본자료표[이름],$R1033)&gt;0,"명단에 없음(기본자료에는 있음)","명단에 없음"),"동명이인 확인"))))</f>
        <v/>
      </c>
      <c r="Z1033">
        <f>IF($R1033="","",IF($S1033&lt;0,"⚠"&amp;INDEX('입력_구리근무자명단'!$A1031:$ZZ1031,1,$E$2+2),TEXT($S1033,"yyyy-mm-dd")))</f>
        <v/>
      </c>
      <c r="AA1033">
        <f>IF($R1033="","",IF($T1033&lt;0,"⚠"&amp;INDEX('입력_구리근무자명단'!$A1031:$ZZ1031,1,$E$2+3),TEXT($T1033,"yyyy-mm-dd")))</f>
        <v/>
      </c>
      <c r="AB1033">
        <f>AB1032+IF($R1033="",0,1)</f>
        <v/>
      </c>
      <c r="AC1033">
        <f>IF($R1033="","",$AB1033)</f>
        <v/>
      </c>
    </row>
    <row r="1034">
      <c r="O1034">
        <f>1032</f>
        <v/>
      </c>
      <c r="P1034">
        <f>IF(TRIM('입력_구리근무자명단'!$A1032&amp;"")&lt;&gt;"",TRIM('입력_구리근무자명단'!$A1032&amp;""),P1033)</f>
        <v/>
      </c>
      <c r="Q1034">
        <f>'입력_구리근무자명단'!$B1032&amp;""</f>
        <v/>
      </c>
      <c r="R1034">
        <f>IF($E$2="","",TRIM(INDEX('입력_구리근무자명단'!$A1032:$ZZ1032,1,$E$2+IF($G$2="확정",1,0))&amp;""))</f>
        <v/>
      </c>
      <c r="S1034">
        <f>IF($R1034="","",IF(INDEX('입력_구리근무자명단'!$A1032:$ZZ1032,1,$E$2+2)&amp;""="",급여기준월,IF(ISNUMBER(INDEX('입력_구리근무자명단'!$A1032:$ZZ1032,1,$E$2+2)),INDEX('입력_구리근무자명단'!$A1032:$ZZ1032,1,$E$2+2),IFERROR(DATE(VALUE(LEFT(INDEX('입력_구리근무자명단'!$A1032:$ZZ1032,1,$E$2+2),4)),VALUE(MID(INDEX('입력_구리근무자명단'!$A1032:$ZZ1032,1,$E$2+2),6,2)),VALUE(MID(INDEX('입력_구리근무자명단'!$A1032:$ZZ1032,1,$E$2+2),9,2))),-1))))</f>
        <v/>
      </c>
      <c r="T1034">
        <f>IF($R1034="","",IF(INDEX('입력_구리근무자명단'!$A1032:$ZZ1032,1,$E$2+3)&amp;""="",EOMONTH(급여기준월,0),IF(ISNUMBER(INDEX('입력_구리근무자명단'!$A1032:$ZZ1032,1,$E$2+3)),INDEX('입력_구리근무자명단'!$A1032:$ZZ1032,1,$E$2+3),IFERROR(DATE(VALUE(LEFT(INDEX('입력_구리근무자명단'!$A1032:$ZZ1032,1,$E$2+3),4)),VALUE(MID(INDEX('입력_구리근무자명단'!$A1032:$ZZ1032,1,$E$2+3),6,2)),VALUE(MID(INDEX('입력_구리근무자명단'!$A1032:$ZZ1032,1,$E$2+3),9,2))),-1))))</f>
        <v/>
      </c>
      <c r="U1034">
        <f>IF($R1034="","",IF(OR($S1034&lt;0,$T1034&lt;0),0,MAX(0,MIN($T1034,EOMONTH(급여기준월,0))-MAX($S1034,급여기준월)+1)))</f>
        <v/>
      </c>
      <c r="V1034">
        <f>IF($R1034="","",TRIM(INDEX('입력_구리근무자명단'!$A1032:$ZZ1032,1,$E$2+5)&amp;""))</f>
        <v/>
      </c>
      <c r="W1034">
        <f>IF(ISNUMBER(SEARCH("구리독자",$V1034)),"구리독자","")</f>
        <v/>
      </c>
      <c r="X1034">
        <f>IF($R1034="","",$R1034&amp;"|"&amp;IF(OR($Q1034="인턴",ISNUMBER(SEARCH("수련교육부",$P1034))),"인턴",$P1034))</f>
        <v/>
      </c>
      <c r="Y1034">
        <f>IF($R1034="","",IF(COUNTIF(명단표[이름|과],$X1034)=1,"명단 일치",IF(AND(COUNTIF(명단표[이름|과],$X1034)=0,COUNTIF(명단표[이름],$R1034)=1),"명단 일치(이름만, 과 다름)",IF(COUNTIF(명단표[이름],$R1034)=0,IF(COUNTIF(기본자료표[이름],$R1034)&gt;0,"명단에 없음(기본자료에는 있음)","명단에 없음"),"동명이인 확인"))))</f>
        <v/>
      </c>
      <c r="Z1034">
        <f>IF($R1034="","",IF($S1034&lt;0,"⚠"&amp;INDEX('입력_구리근무자명단'!$A1032:$ZZ1032,1,$E$2+2),TEXT($S1034,"yyyy-mm-dd")))</f>
        <v/>
      </c>
      <c r="AA1034">
        <f>IF($R1034="","",IF($T1034&lt;0,"⚠"&amp;INDEX('입력_구리근무자명단'!$A1032:$ZZ1032,1,$E$2+3),TEXT($T1034,"yyyy-mm-dd")))</f>
        <v/>
      </c>
      <c r="AB1034">
        <f>AB1033+IF($R1034="",0,1)</f>
        <v/>
      </c>
      <c r="AC1034">
        <f>IF($R1034="","",$AB1034)</f>
        <v/>
      </c>
    </row>
    <row r="1035">
      <c r="O1035">
        <f>1033</f>
        <v/>
      </c>
      <c r="P1035">
        <f>IF(TRIM('입력_구리근무자명단'!$A1033&amp;"")&lt;&gt;"",TRIM('입력_구리근무자명단'!$A1033&amp;""),P1034)</f>
        <v/>
      </c>
      <c r="Q1035">
        <f>'입력_구리근무자명단'!$B1033&amp;""</f>
        <v/>
      </c>
      <c r="R1035">
        <f>IF($E$2="","",TRIM(INDEX('입력_구리근무자명단'!$A1033:$ZZ1033,1,$E$2+IF($G$2="확정",1,0))&amp;""))</f>
        <v/>
      </c>
      <c r="S1035">
        <f>IF($R1035="","",IF(INDEX('입력_구리근무자명단'!$A1033:$ZZ1033,1,$E$2+2)&amp;""="",급여기준월,IF(ISNUMBER(INDEX('입력_구리근무자명단'!$A1033:$ZZ1033,1,$E$2+2)),INDEX('입력_구리근무자명단'!$A1033:$ZZ1033,1,$E$2+2),IFERROR(DATE(VALUE(LEFT(INDEX('입력_구리근무자명단'!$A1033:$ZZ1033,1,$E$2+2),4)),VALUE(MID(INDEX('입력_구리근무자명단'!$A1033:$ZZ1033,1,$E$2+2),6,2)),VALUE(MID(INDEX('입력_구리근무자명단'!$A1033:$ZZ1033,1,$E$2+2),9,2))),-1))))</f>
        <v/>
      </c>
      <c r="T1035">
        <f>IF($R1035="","",IF(INDEX('입력_구리근무자명단'!$A1033:$ZZ1033,1,$E$2+3)&amp;""="",EOMONTH(급여기준월,0),IF(ISNUMBER(INDEX('입력_구리근무자명단'!$A1033:$ZZ1033,1,$E$2+3)),INDEX('입력_구리근무자명단'!$A1033:$ZZ1033,1,$E$2+3),IFERROR(DATE(VALUE(LEFT(INDEX('입력_구리근무자명단'!$A1033:$ZZ1033,1,$E$2+3),4)),VALUE(MID(INDEX('입력_구리근무자명단'!$A1033:$ZZ1033,1,$E$2+3),6,2)),VALUE(MID(INDEX('입력_구리근무자명단'!$A1033:$ZZ1033,1,$E$2+3),9,2))),-1))))</f>
        <v/>
      </c>
      <c r="U1035">
        <f>IF($R1035="","",IF(OR($S1035&lt;0,$T1035&lt;0),0,MAX(0,MIN($T1035,EOMONTH(급여기준월,0))-MAX($S1035,급여기준월)+1)))</f>
        <v/>
      </c>
      <c r="V1035">
        <f>IF($R1035="","",TRIM(INDEX('입력_구리근무자명단'!$A1033:$ZZ1033,1,$E$2+5)&amp;""))</f>
        <v/>
      </c>
      <c r="W1035">
        <f>IF(ISNUMBER(SEARCH("구리독자",$V1035)),"구리독자","")</f>
        <v/>
      </c>
      <c r="X1035">
        <f>IF($R1035="","",$R1035&amp;"|"&amp;IF(OR($Q1035="인턴",ISNUMBER(SEARCH("수련교육부",$P1035))),"인턴",$P1035))</f>
        <v/>
      </c>
      <c r="Y1035">
        <f>IF($R1035="","",IF(COUNTIF(명단표[이름|과],$X1035)=1,"명단 일치",IF(AND(COUNTIF(명단표[이름|과],$X1035)=0,COUNTIF(명단표[이름],$R1035)=1),"명단 일치(이름만, 과 다름)",IF(COUNTIF(명단표[이름],$R1035)=0,IF(COUNTIF(기본자료표[이름],$R1035)&gt;0,"명단에 없음(기본자료에는 있음)","명단에 없음"),"동명이인 확인"))))</f>
        <v/>
      </c>
      <c r="Z1035">
        <f>IF($R1035="","",IF($S1035&lt;0,"⚠"&amp;INDEX('입력_구리근무자명단'!$A1033:$ZZ1033,1,$E$2+2),TEXT($S1035,"yyyy-mm-dd")))</f>
        <v/>
      </c>
      <c r="AA1035">
        <f>IF($R1035="","",IF($T1035&lt;0,"⚠"&amp;INDEX('입력_구리근무자명단'!$A1033:$ZZ1033,1,$E$2+3),TEXT($T1035,"yyyy-mm-dd")))</f>
        <v/>
      </c>
      <c r="AB1035">
        <f>AB1034+IF($R1035="",0,1)</f>
        <v/>
      </c>
      <c r="AC1035">
        <f>IF($R1035="","",$AB1035)</f>
        <v/>
      </c>
    </row>
    <row r="1036">
      <c r="O1036">
        <f>1034</f>
        <v/>
      </c>
      <c r="P1036">
        <f>IF(TRIM('입력_구리근무자명단'!$A1034&amp;"")&lt;&gt;"",TRIM('입력_구리근무자명단'!$A1034&amp;""),P1035)</f>
        <v/>
      </c>
      <c r="Q1036">
        <f>'입력_구리근무자명단'!$B1034&amp;""</f>
        <v/>
      </c>
      <c r="R1036">
        <f>IF($E$2="","",TRIM(INDEX('입력_구리근무자명단'!$A1034:$ZZ1034,1,$E$2+IF($G$2="확정",1,0))&amp;""))</f>
        <v/>
      </c>
      <c r="S1036">
        <f>IF($R1036="","",IF(INDEX('입력_구리근무자명단'!$A1034:$ZZ1034,1,$E$2+2)&amp;""="",급여기준월,IF(ISNUMBER(INDEX('입력_구리근무자명단'!$A1034:$ZZ1034,1,$E$2+2)),INDEX('입력_구리근무자명단'!$A1034:$ZZ1034,1,$E$2+2),IFERROR(DATE(VALUE(LEFT(INDEX('입력_구리근무자명단'!$A1034:$ZZ1034,1,$E$2+2),4)),VALUE(MID(INDEX('입력_구리근무자명단'!$A1034:$ZZ1034,1,$E$2+2),6,2)),VALUE(MID(INDEX('입력_구리근무자명단'!$A1034:$ZZ1034,1,$E$2+2),9,2))),-1))))</f>
        <v/>
      </c>
      <c r="T1036">
        <f>IF($R1036="","",IF(INDEX('입력_구리근무자명단'!$A1034:$ZZ1034,1,$E$2+3)&amp;""="",EOMONTH(급여기준월,0),IF(ISNUMBER(INDEX('입력_구리근무자명단'!$A1034:$ZZ1034,1,$E$2+3)),INDEX('입력_구리근무자명단'!$A1034:$ZZ1034,1,$E$2+3),IFERROR(DATE(VALUE(LEFT(INDEX('입력_구리근무자명단'!$A1034:$ZZ1034,1,$E$2+3),4)),VALUE(MID(INDEX('입력_구리근무자명단'!$A1034:$ZZ1034,1,$E$2+3),6,2)),VALUE(MID(INDEX('입력_구리근무자명단'!$A1034:$ZZ1034,1,$E$2+3),9,2))),-1))))</f>
        <v/>
      </c>
      <c r="U1036">
        <f>IF($R1036="","",IF(OR($S1036&lt;0,$T1036&lt;0),0,MAX(0,MIN($T1036,EOMONTH(급여기준월,0))-MAX($S1036,급여기준월)+1)))</f>
        <v/>
      </c>
      <c r="V1036">
        <f>IF($R1036="","",TRIM(INDEX('입력_구리근무자명단'!$A1034:$ZZ1034,1,$E$2+5)&amp;""))</f>
        <v/>
      </c>
      <c r="W1036">
        <f>IF(ISNUMBER(SEARCH("구리독자",$V1036)),"구리독자","")</f>
        <v/>
      </c>
      <c r="X1036">
        <f>IF($R1036="","",$R1036&amp;"|"&amp;IF(OR($Q1036="인턴",ISNUMBER(SEARCH("수련교육부",$P1036))),"인턴",$P1036))</f>
        <v/>
      </c>
      <c r="Y1036">
        <f>IF($R1036="","",IF(COUNTIF(명단표[이름|과],$X1036)=1,"명단 일치",IF(AND(COUNTIF(명단표[이름|과],$X1036)=0,COUNTIF(명단표[이름],$R1036)=1),"명단 일치(이름만, 과 다름)",IF(COUNTIF(명단표[이름],$R1036)=0,IF(COUNTIF(기본자료표[이름],$R1036)&gt;0,"명단에 없음(기본자료에는 있음)","명단에 없음"),"동명이인 확인"))))</f>
        <v/>
      </c>
      <c r="Z1036">
        <f>IF($R1036="","",IF($S1036&lt;0,"⚠"&amp;INDEX('입력_구리근무자명단'!$A1034:$ZZ1034,1,$E$2+2),TEXT($S1036,"yyyy-mm-dd")))</f>
        <v/>
      </c>
      <c r="AA1036">
        <f>IF($R1036="","",IF($T1036&lt;0,"⚠"&amp;INDEX('입력_구리근무자명단'!$A1034:$ZZ1034,1,$E$2+3),TEXT($T1036,"yyyy-mm-dd")))</f>
        <v/>
      </c>
      <c r="AB1036">
        <f>AB1035+IF($R1036="",0,1)</f>
        <v/>
      </c>
      <c r="AC1036">
        <f>IF($R1036="","",$AB1036)</f>
        <v/>
      </c>
    </row>
    <row r="1037">
      <c r="O1037">
        <f>1035</f>
        <v/>
      </c>
      <c r="P1037">
        <f>IF(TRIM('입력_구리근무자명단'!$A1035&amp;"")&lt;&gt;"",TRIM('입력_구리근무자명단'!$A1035&amp;""),P1036)</f>
        <v/>
      </c>
      <c r="Q1037">
        <f>'입력_구리근무자명단'!$B1035&amp;""</f>
        <v/>
      </c>
      <c r="R1037">
        <f>IF($E$2="","",TRIM(INDEX('입력_구리근무자명단'!$A1035:$ZZ1035,1,$E$2+IF($G$2="확정",1,0))&amp;""))</f>
        <v/>
      </c>
      <c r="S1037">
        <f>IF($R1037="","",IF(INDEX('입력_구리근무자명단'!$A1035:$ZZ1035,1,$E$2+2)&amp;""="",급여기준월,IF(ISNUMBER(INDEX('입력_구리근무자명단'!$A1035:$ZZ1035,1,$E$2+2)),INDEX('입력_구리근무자명단'!$A1035:$ZZ1035,1,$E$2+2),IFERROR(DATE(VALUE(LEFT(INDEX('입력_구리근무자명단'!$A1035:$ZZ1035,1,$E$2+2),4)),VALUE(MID(INDEX('입력_구리근무자명단'!$A1035:$ZZ1035,1,$E$2+2),6,2)),VALUE(MID(INDEX('입력_구리근무자명단'!$A1035:$ZZ1035,1,$E$2+2),9,2))),-1))))</f>
        <v/>
      </c>
      <c r="T1037">
        <f>IF($R1037="","",IF(INDEX('입력_구리근무자명단'!$A1035:$ZZ1035,1,$E$2+3)&amp;""="",EOMONTH(급여기준월,0),IF(ISNUMBER(INDEX('입력_구리근무자명단'!$A1035:$ZZ1035,1,$E$2+3)),INDEX('입력_구리근무자명단'!$A1035:$ZZ1035,1,$E$2+3),IFERROR(DATE(VALUE(LEFT(INDEX('입력_구리근무자명단'!$A1035:$ZZ1035,1,$E$2+3),4)),VALUE(MID(INDEX('입력_구리근무자명단'!$A1035:$ZZ1035,1,$E$2+3),6,2)),VALUE(MID(INDEX('입력_구리근무자명단'!$A1035:$ZZ1035,1,$E$2+3),9,2))),-1))))</f>
        <v/>
      </c>
      <c r="U1037">
        <f>IF($R1037="","",IF(OR($S1037&lt;0,$T1037&lt;0),0,MAX(0,MIN($T1037,EOMONTH(급여기준월,0))-MAX($S1037,급여기준월)+1)))</f>
        <v/>
      </c>
      <c r="V1037">
        <f>IF($R1037="","",TRIM(INDEX('입력_구리근무자명단'!$A1035:$ZZ1035,1,$E$2+5)&amp;""))</f>
        <v/>
      </c>
      <c r="W1037">
        <f>IF(ISNUMBER(SEARCH("구리독자",$V1037)),"구리독자","")</f>
        <v/>
      </c>
      <c r="X1037">
        <f>IF($R1037="","",$R1037&amp;"|"&amp;IF(OR($Q1037="인턴",ISNUMBER(SEARCH("수련교육부",$P1037))),"인턴",$P1037))</f>
        <v/>
      </c>
      <c r="Y1037">
        <f>IF($R1037="","",IF(COUNTIF(명단표[이름|과],$X1037)=1,"명단 일치",IF(AND(COUNTIF(명단표[이름|과],$X1037)=0,COUNTIF(명단표[이름],$R1037)=1),"명단 일치(이름만, 과 다름)",IF(COUNTIF(명단표[이름],$R1037)=0,IF(COUNTIF(기본자료표[이름],$R1037)&gt;0,"명단에 없음(기본자료에는 있음)","명단에 없음"),"동명이인 확인"))))</f>
        <v/>
      </c>
      <c r="Z1037">
        <f>IF($R1037="","",IF($S1037&lt;0,"⚠"&amp;INDEX('입력_구리근무자명단'!$A1035:$ZZ1035,1,$E$2+2),TEXT($S1037,"yyyy-mm-dd")))</f>
        <v/>
      </c>
      <c r="AA1037">
        <f>IF($R1037="","",IF($T1037&lt;0,"⚠"&amp;INDEX('입력_구리근무자명단'!$A1035:$ZZ1035,1,$E$2+3),TEXT($T1037,"yyyy-mm-dd")))</f>
        <v/>
      </c>
      <c r="AB1037">
        <f>AB1036+IF($R1037="",0,1)</f>
        <v/>
      </c>
      <c r="AC1037">
        <f>IF($R1037="","",$AB1037)</f>
        <v/>
      </c>
    </row>
    <row r="1038">
      <c r="O1038">
        <f>1036</f>
        <v/>
      </c>
      <c r="P1038">
        <f>IF(TRIM('입력_구리근무자명단'!$A1036&amp;"")&lt;&gt;"",TRIM('입력_구리근무자명단'!$A1036&amp;""),P1037)</f>
        <v/>
      </c>
      <c r="Q1038">
        <f>'입력_구리근무자명단'!$B1036&amp;""</f>
        <v/>
      </c>
      <c r="R1038">
        <f>IF($E$2="","",TRIM(INDEX('입력_구리근무자명단'!$A1036:$ZZ1036,1,$E$2+IF($G$2="확정",1,0))&amp;""))</f>
        <v/>
      </c>
      <c r="S1038">
        <f>IF($R1038="","",IF(INDEX('입력_구리근무자명단'!$A1036:$ZZ1036,1,$E$2+2)&amp;""="",급여기준월,IF(ISNUMBER(INDEX('입력_구리근무자명단'!$A1036:$ZZ1036,1,$E$2+2)),INDEX('입력_구리근무자명단'!$A1036:$ZZ1036,1,$E$2+2),IFERROR(DATE(VALUE(LEFT(INDEX('입력_구리근무자명단'!$A1036:$ZZ1036,1,$E$2+2),4)),VALUE(MID(INDEX('입력_구리근무자명단'!$A1036:$ZZ1036,1,$E$2+2),6,2)),VALUE(MID(INDEX('입력_구리근무자명단'!$A1036:$ZZ1036,1,$E$2+2),9,2))),-1))))</f>
        <v/>
      </c>
      <c r="T1038">
        <f>IF($R1038="","",IF(INDEX('입력_구리근무자명단'!$A1036:$ZZ1036,1,$E$2+3)&amp;""="",EOMONTH(급여기준월,0),IF(ISNUMBER(INDEX('입력_구리근무자명단'!$A1036:$ZZ1036,1,$E$2+3)),INDEX('입력_구리근무자명단'!$A1036:$ZZ1036,1,$E$2+3),IFERROR(DATE(VALUE(LEFT(INDEX('입력_구리근무자명단'!$A1036:$ZZ1036,1,$E$2+3),4)),VALUE(MID(INDEX('입력_구리근무자명단'!$A1036:$ZZ1036,1,$E$2+3),6,2)),VALUE(MID(INDEX('입력_구리근무자명단'!$A1036:$ZZ1036,1,$E$2+3),9,2))),-1))))</f>
        <v/>
      </c>
      <c r="U1038">
        <f>IF($R1038="","",IF(OR($S1038&lt;0,$T1038&lt;0),0,MAX(0,MIN($T1038,EOMONTH(급여기준월,0))-MAX($S1038,급여기준월)+1)))</f>
        <v/>
      </c>
      <c r="V1038">
        <f>IF($R1038="","",TRIM(INDEX('입력_구리근무자명단'!$A1036:$ZZ1036,1,$E$2+5)&amp;""))</f>
        <v/>
      </c>
      <c r="W1038">
        <f>IF(ISNUMBER(SEARCH("구리독자",$V1038)),"구리독자","")</f>
        <v/>
      </c>
      <c r="X1038">
        <f>IF($R1038="","",$R1038&amp;"|"&amp;IF(OR($Q1038="인턴",ISNUMBER(SEARCH("수련교육부",$P1038))),"인턴",$P1038))</f>
        <v/>
      </c>
      <c r="Y1038">
        <f>IF($R1038="","",IF(COUNTIF(명단표[이름|과],$X1038)=1,"명단 일치",IF(AND(COUNTIF(명단표[이름|과],$X1038)=0,COUNTIF(명단표[이름],$R1038)=1),"명단 일치(이름만, 과 다름)",IF(COUNTIF(명단표[이름],$R1038)=0,IF(COUNTIF(기본자료표[이름],$R1038)&gt;0,"명단에 없음(기본자료에는 있음)","명단에 없음"),"동명이인 확인"))))</f>
        <v/>
      </c>
      <c r="Z1038">
        <f>IF($R1038="","",IF($S1038&lt;0,"⚠"&amp;INDEX('입력_구리근무자명단'!$A1036:$ZZ1036,1,$E$2+2),TEXT($S1038,"yyyy-mm-dd")))</f>
        <v/>
      </c>
      <c r="AA1038">
        <f>IF($R1038="","",IF($T1038&lt;0,"⚠"&amp;INDEX('입력_구리근무자명단'!$A1036:$ZZ1036,1,$E$2+3),TEXT($T1038,"yyyy-mm-dd")))</f>
        <v/>
      </c>
      <c r="AB1038">
        <f>AB1037+IF($R1038="",0,1)</f>
        <v/>
      </c>
      <c r="AC1038">
        <f>IF($R1038="","",$AB1038)</f>
        <v/>
      </c>
    </row>
    <row r="1039">
      <c r="O1039">
        <f>1037</f>
        <v/>
      </c>
      <c r="P1039">
        <f>IF(TRIM('입력_구리근무자명단'!$A1037&amp;"")&lt;&gt;"",TRIM('입력_구리근무자명단'!$A1037&amp;""),P1038)</f>
        <v/>
      </c>
      <c r="Q1039">
        <f>'입력_구리근무자명단'!$B1037&amp;""</f>
        <v/>
      </c>
      <c r="R1039">
        <f>IF($E$2="","",TRIM(INDEX('입력_구리근무자명단'!$A1037:$ZZ1037,1,$E$2+IF($G$2="확정",1,0))&amp;""))</f>
        <v/>
      </c>
      <c r="S1039">
        <f>IF($R1039="","",IF(INDEX('입력_구리근무자명단'!$A1037:$ZZ1037,1,$E$2+2)&amp;""="",급여기준월,IF(ISNUMBER(INDEX('입력_구리근무자명단'!$A1037:$ZZ1037,1,$E$2+2)),INDEX('입력_구리근무자명단'!$A1037:$ZZ1037,1,$E$2+2),IFERROR(DATE(VALUE(LEFT(INDEX('입력_구리근무자명단'!$A1037:$ZZ1037,1,$E$2+2),4)),VALUE(MID(INDEX('입력_구리근무자명단'!$A1037:$ZZ1037,1,$E$2+2),6,2)),VALUE(MID(INDEX('입력_구리근무자명단'!$A1037:$ZZ1037,1,$E$2+2),9,2))),-1))))</f>
        <v/>
      </c>
      <c r="T1039">
        <f>IF($R1039="","",IF(INDEX('입력_구리근무자명단'!$A1037:$ZZ1037,1,$E$2+3)&amp;""="",EOMONTH(급여기준월,0),IF(ISNUMBER(INDEX('입력_구리근무자명단'!$A1037:$ZZ1037,1,$E$2+3)),INDEX('입력_구리근무자명단'!$A1037:$ZZ1037,1,$E$2+3),IFERROR(DATE(VALUE(LEFT(INDEX('입력_구리근무자명단'!$A1037:$ZZ1037,1,$E$2+3),4)),VALUE(MID(INDEX('입력_구리근무자명단'!$A1037:$ZZ1037,1,$E$2+3),6,2)),VALUE(MID(INDEX('입력_구리근무자명단'!$A1037:$ZZ1037,1,$E$2+3),9,2))),-1))))</f>
        <v/>
      </c>
      <c r="U1039">
        <f>IF($R1039="","",IF(OR($S1039&lt;0,$T1039&lt;0),0,MAX(0,MIN($T1039,EOMONTH(급여기준월,0))-MAX($S1039,급여기준월)+1)))</f>
        <v/>
      </c>
      <c r="V1039">
        <f>IF($R1039="","",TRIM(INDEX('입력_구리근무자명단'!$A1037:$ZZ1037,1,$E$2+5)&amp;""))</f>
        <v/>
      </c>
      <c r="W1039">
        <f>IF(ISNUMBER(SEARCH("구리독자",$V1039)),"구리독자","")</f>
        <v/>
      </c>
      <c r="X1039">
        <f>IF($R1039="","",$R1039&amp;"|"&amp;IF(OR($Q1039="인턴",ISNUMBER(SEARCH("수련교육부",$P1039))),"인턴",$P1039))</f>
        <v/>
      </c>
      <c r="Y1039">
        <f>IF($R1039="","",IF(COUNTIF(명단표[이름|과],$X1039)=1,"명단 일치",IF(AND(COUNTIF(명단표[이름|과],$X1039)=0,COUNTIF(명단표[이름],$R1039)=1),"명단 일치(이름만, 과 다름)",IF(COUNTIF(명단표[이름],$R1039)=0,IF(COUNTIF(기본자료표[이름],$R1039)&gt;0,"명단에 없음(기본자료에는 있음)","명단에 없음"),"동명이인 확인"))))</f>
        <v/>
      </c>
      <c r="Z1039">
        <f>IF($R1039="","",IF($S1039&lt;0,"⚠"&amp;INDEX('입력_구리근무자명단'!$A1037:$ZZ1037,1,$E$2+2),TEXT($S1039,"yyyy-mm-dd")))</f>
        <v/>
      </c>
      <c r="AA1039">
        <f>IF($R1039="","",IF($T1039&lt;0,"⚠"&amp;INDEX('입력_구리근무자명단'!$A1037:$ZZ1037,1,$E$2+3),TEXT($T1039,"yyyy-mm-dd")))</f>
        <v/>
      </c>
      <c r="AB1039">
        <f>AB1038+IF($R1039="",0,1)</f>
        <v/>
      </c>
      <c r="AC1039">
        <f>IF($R1039="","",$AB1039)</f>
        <v/>
      </c>
    </row>
    <row r="1040">
      <c r="O1040">
        <f>1038</f>
        <v/>
      </c>
      <c r="P1040">
        <f>IF(TRIM('입력_구리근무자명단'!$A1038&amp;"")&lt;&gt;"",TRIM('입력_구리근무자명단'!$A1038&amp;""),P1039)</f>
        <v/>
      </c>
      <c r="Q1040">
        <f>'입력_구리근무자명단'!$B1038&amp;""</f>
        <v/>
      </c>
      <c r="R1040">
        <f>IF($E$2="","",TRIM(INDEX('입력_구리근무자명단'!$A1038:$ZZ1038,1,$E$2+IF($G$2="확정",1,0))&amp;""))</f>
        <v/>
      </c>
      <c r="S1040">
        <f>IF($R1040="","",IF(INDEX('입력_구리근무자명단'!$A1038:$ZZ1038,1,$E$2+2)&amp;""="",급여기준월,IF(ISNUMBER(INDEX('입력_구리근무자명단'!$A1038:$ZZ1038,1,$E$2+2)),INDEX('입력_구리근무자명단'!$A1038:$ZZ1038,1,$E$2+2),IFERROR(DATE(VALUE(LEFT(INDEX('입력_구리근무자명단'!$A1038:$ZZ1038,1,$E$2+2),4)),VALUE(MID(INDEX('입력_구리근무자명단'!$A1038:$ZZ1038,1,$E$2+2),6,2)),VALUE(MID(INDEX('입력_구리근무자명단'!$A1038:$ZZ1038,1,$E$2+2),9,2))),-1))))</f>
        <v/>
      </c>
      <c r="T1040">
        <f>IF($R1040="","",IF(INDEX('입력_구리근무자명단'!$A1038:$ZZ1038,1,$E$2+3)&amp;""="",EOMONTH(급여기준월,0),IF(ISNUMBER(INDEX('입력_구리근무자명단'!$A1038:$ZZ1038,1,$E$2+3)),INDEX('입력_구리근무자명단'!$A1038:$ZZ1038,1,$E$2+3),IFERROR(DATE(VALUE(LEFT(INDEX('입력_구리근무자명단'!$A1038:$ZZ1038,1,$E$2+3),4)),VALUE(MID(INDEX('입력_구리근무자명단'!$A1038:$ZZ1038,1,$E$2+3),6,2)),VALUE(MID(INDEX('입력_구리근무자명단'!$A1038:$ZZ1038,1,$E$2+3),9,2))),-1))))</f>
        <v/>
      </c>
      <c r="U1040">
        <f>IF($R1040="","",IF(OR($S1040&lt;0,$T1040&lt;0),0,MAX(0,MIN($T1040,EOMONTH(급여기준월,0))-MAX($S1040,급여기준월)+1)))</f>
        <v/>
      </c>
      <c r="V1040">
        <f>IF($R1040="","",TRIM(INDEX('입력_구리근무자명단'!$A1038:$ZZ1038,1,$E$2+5)&amp;""))</f>
        <v/>
      </c>
      <c r="W1040">
        <f>IF(ISNUMBER(SEARCH("구리독자",$V1040)),"구리독자","")</f>
        <v/>
      </c>
      <c r="X1040">
        <f>IF($R1040="","",$R1040&amp;"|"&amp;IF(OR($Q1040="인턴",ISNUMBER(SEARCH("수련교육부",$P1040))),"인턴",$P1040))</f>
        <v/>
      </c>
      <c r="Y1040">
        <f>IF($R1040="","",IF(COUNTIF(명단표[이름|과],$X1040)=1,"명단 일치",IF(AND(COUNTIF(명단표[이름|과],$X1040)=0,COUNTIF(명단표[이름],$R1040)=1),"명단 일치(이름만, 과 다름)",IF(COUNTIF(명단표[이름],$R1040)=0,IF(COUNTIF(기본자료표[이름],$R1040)&gt;0,"명단에 없음(기본자료에는 있음)","명단에 없음"),"동명이인 확인"))))</f>
        <v/>
      </c>
      <c r="Z1040">
        <f>IF($R1040="","",IF($S1040&lt;0,"⚠"&amp;INDEX('입력_구리근무자명단'!$A1038:$ZZ1038,1,$E$2+2),TEXT($S1040,"yyyy-mm-dd")))</f>
        <v/>
      </c>
      <c r="AA1040">
        <f>IF($R1040="","",IF($T1040&lt;0,"⚠"&amp;INDEX('입력_구리근무자명단'!$A1038:$ZZ1038,1,$E$2+3),TEXT($T1040,"yyyy-mm-dd")))</f>
        <v/>
      </c>
      <c r="AB1040">
        <f>AB1039+IF($R1040="",0,1)</f>
        <v/>
      </c>
      <c r="AC1040">
        <f>IF($R1040="","",$AB1040)</f>
        <v/>
      </c>
    </row>
    <row r="1041">
      <c r="O1041">
        <f>1039</f>
        <v/>
      </c>
      <c r="P1041">
        <f>IF(TRIM('입력_구리근무자명단'!$A1039&amp;"")&lt;&gt;"",TRIM('입력_구리근무자명단'!$A1039&amp;""),P1040)</f>
        <v/>
      </c>
      <c r="Q1041">
        <f>'입력_구리근무자명단'!$B1039&amp;""</f>
        <v/>
      </c>
      <c r="R1041">
        <f>IF($E$2="","",TRIM(INDEX('입력_구리근무자명단'!$A1039:$ZZ1039,1,$E$2+IF($G$2="확정",1,0))&amp;""))</f>
        <v/>
      </c>
      <c r="S1041">
        <f>IF($R1041="","",IF(INDEX('입력_구리근무자명단'!$A1039:$ZZ1039,1,$E$2+2)&amp;""="",급여기준월,IF(ISNUMBER(INDEX('입력_구리근무자명단'!$A1039:$ZZ1039,1,$E$2+2)),INDEX('입력_구리근무자명단'!$A1039:$ZZ1039,1,$E$2+2),IFERROR(DATE(VALUE(LEFT(INDEX('입력_구리근무자명단'!$A1039:$ZZ1039,1,$E$2+2),4)),VALUE(MID(INDEX('입력_구리근무자명단'!$A1039:$ZZ1039,1,$E$2+2),6,2)),VALUE(MID(INDEX('입력_구리근무자명단'!$A1039:$ZZ1039,1,$E$2+2),9,2))),-1))))</f>
        <v/>
      </c>
      <c r="T1041">
        <f>IF($R1041="","",IF(INDEX('입력_구리근무자명단'!$A1039:$ZZ1039,1,$E$2+3)&amp;""="",EOMONTH(급여기준월,0),IF(ISNUMBER(INDEX('입력_구리근무자명단'!$A1039:$ZZ1039,1,$E$2+3)),INDEX('입력_구리근무자명단'!$A1039:$ZZ1039,1,$E$2+3),IFERROR(DATE(VALUE(LEFT(INDEX('입력_구리근무자명단'!$A1039:$ZZ1039,1,$E$2+3),4)),VALUE(MID(INDEX('입력_구리근무자명단'!$A1039:$ZZ1039,1,$E$2+3),6,2)),VALUE(MID(INDEX('입력_구리근무자명단'!$A1039:$ZZ1039,1,$E$2+3),9,2))),-1))))</f>
        <v/>
      </c>
      <c r="U1041">
        <f>IF($R1041="","",IF(OR($S1041&lt;0,$T1041&lt;0),0,MAX(0,MIN($T1041,EOMONTH(급여기준월,0))-MAX($S1041,급여기준월)+1)))</f>
        <v/>
      </c>
      <c r="V1041">
        <f>IF($R1041="","",TRIM(INDEX('입력_구리근무자명단'!$A1039:$ZZ1039,1,$E$2+5)&amp;""))</f>
        <v/>
      </c>
      <c r="W1041">
        <f>IF(ISNUMBER(SEARCH("구리독자",$V1041)),"구리독자","")</f>
        <v/>
      </c>
      <c r="X1041">
        <f>IF($R1041="","",$R1041&amp;"|"&amp;IF(OR($Q1041="인턴",ISNUMBER(SEARCH("수련교육부",$P1041))),"인턴",$P1041))</f>
        <v/>
      </c>
      <c r="Y1041">
        <f>IF($R1041="","",IF(COUNTIF(명단표[이름|과],$X1041)=1,"명단 일치",IF(AND(COUNTIF(명단표[이름|과],$X1041)=0,COUNTIF(명단표[이름],$R1041)=1),"명단 일치(이름만, 과 다름)",IF(COUNTIF(명단표[이름],$R1041)=0,IF(COUNTIF(기본자료표[이름],$R1041)&gt;0,"명단에 없음(기본자료에는 있음)","명단에 없음"),"동명이인 확인"))))</f>
        <v/>
      </c>
      <c r="Z1041">
        <f>IF($R1041="","",IF($S1041&lt;0,"⚠"&amp;INDEX('입력_구리근무자명단'!$A1039:$ZZ1039,1,$E$2+2),TEXT($S1041,"yyyy-mm-dd")))</f>
        <v/>
      </c>
      <c r="AA1041">
        <f>IF($R1041="","",IF($T1041&lt;0,"⚠"&amp;INDEX('입력_구리근무자명단'!$A1039:$ZZ1039,1,$E$2+3),TEXT($T1041,"yyyy-mm-dd")))</f>
        <v/>
      </c>
      <c r="AB1041">
        <f>AB1040+IF($R1041="",0,1)</f>
        <v/>
      </c>
      <c r="AC1041">
        <f>IF($R1041="","",$AB1041)</f>
        <v/>
      </c>
    </row>
    <row r="1042">
      <c r="O1042">
        <f>1040</f>
        <v/>
      </c>
      <c r="P1042">
        <f>IF(TRIM('입력_구리근무자명단'!$A1040&amp;"")&lt;&gt;"",TRIM('입력_구리근무자명단'!$A1040&amp;""),P1041)</f>
        <v/>
      </c>
      <c r="Q1042">
        <f>'입력_구리근무자명단'!$B1040&amp;""</f>
        <v/>
      </c>
      <c r="R1042">
        <f>IF($E$2="","",TRIM(INDEX('입력_구리근무자명단'!$A1040:$ZZ1040,1,$E$2+IF($G$2="확정",1,0))&amp;""))</f>
        <v/>
      </c>
      <c r="S1042">
        <f>IF($R1042="","",IF(INDEX('입력_구리근무자명단'!$A1040:$ZZ1040,1,$E$2+2)&amp;""="",급여기준월,IF(ISNUMBER(INDEX('입력_구리근무자명단'!$A1040:$ZZ1040,1,$E$2+2)),INDEX('입력_구리근무자명단'!$A1040:$ZZ1040,1,$E$2+2),IFERROR(DATE(VALUE(LEFT(INDEX('입력_구리근무자명단'!$A1040:$ZZ1040,1,$E$2+2),4)),VALUE(MID(INDEX('입력_구리근무자명단'!$A1040:$ZZ1040,1,$E$2+2),6,2)),VALUE(MID(INDEX('입력_구리근무자명단'!$A1040:$ZZ1040,1,$E$2+2),9,2))),-1))))</f>
        <v/>
      </c>
      <c r="T1042">
        <f>IF($R1042="","",IF(INDEX('입력_구리근무자명단'!$A1040:$ZZ1040,1,$E$2+3)&amp;""="",EOMONTH(급여기준월,0),IF(ISNUMBER(INDEX('입력_구리근무자명단'!$A1040:$ZZ1040,1,$E$2+3)),INDEX('입력_구리근무자명단'!$A1040:$ZZ1040,1,$E$2+3),IFERROR(DATE(VALUE(LEFT(INDEX('입력_구리근무자명단'!$A1040:$ZZ1040,1,$E$2+3),4)),VALUE(MID(INDEX('입력_구리근무자명단'!$A1040:$ZZ1040,1,$E$2+3),6,2)),VALUE(MID(INDEX('입력_구리근무자명단'!$A1040:$ZZ1040,1,$E$2+3),9,2))),-1))))</f>
        <v/>
      </c>
      <c r="U1042">
        <f>IF($R1042="","",IF(OR($S1042&lt;0,$T1042&lt;0),0,MAX(0,MIN($T1042,EOMONTH(급여기준월,0))-MAX($S1042,급여기준월)+1)))</f>
        <v/>
      </c>
      <c r="V1042">
        <f>IF($R1042="","",TRIM(INDEX('입력_구리근무자명단'!$A1040:$ZZ1040,1,$E$2+5)&amp;""))</f>
        <v/>
      </c>
      <c r="W1042">
        <f>IF(ISNUMBER(SEARCH("구리독자",$V1042)),"구리독자","")</f>
        <v/>
      </c>
      <c r="X1042">
        <f>IF($R1042="","",$R1042&amp;"|"&amp;IF(OR($Q1042="인턴",ISNUMBER(SEARCH("수련교육부",$P1042))),"인턴",$P1042))</f>
        <v/>
      </c>
      <c r="Y1042">
        <f>IF($R1042="","",IF(COUNTIF(명단표[이름|과],$X1042)=1,"명단 일치",IF(AND(COUNTIF(명단표[이름|과],$X1042)=0,COUNTIF(명단표[이름],$R1042)=1),"명단 일치(이름만, 과 다름)",IF(COUNTIF(명단표[이름],$R1042)=0,IF(COUNTIF(기본자료표[이름],$R1042)&gt;0,"명단에 없음(기본자료에는 있음)","명단에 없음"),"동명이인 확인"))))</f>
        <v/>
      </c>
      <c r="Z1042">
        <f>IF($R1042="","",IF($S1042&lt;0,"⚠"&amp;INDEX('입력_구리근무자명단'!$A1040:$ZZ1040,1,$E$2+2),TEXT($S1042,"yyyy-mm-dd")))</f>
        <v/>
      </c>
      <c r="AA1042">
        <f>IF($R1042="","",IF($T1042&lt;0,"⚠"&amp;INDEX('입력_구리근무자명단'!$A1040:$ZZ1040,1,$E$2+3),TEXT($T1042,"yyyy-mm-dd")))</f>
        <v/>
      </c>
      <c r="AB1042">
        <f>AB1041+IF($R1042="",0,1)</f>
        <v/>
      </c>
      <c r="AC1042">
        <f>IF($R1042="","",$AB1042)</f>
        <v/>
      </c>
    </row>
    <row r="1043">
      <c r="O1043">
        <f>1041</f>
        <v/>
      </c>
      <c r="P1043">
        <f>IF(TRIM('입력_구리근무자명단'!$A1041&amp;"")&lt;&gt;"",TRIM('입력_구리근무자명단'!$A1041&amp;""),P1042)</f>
        <v/>
      </c>
      <c r="Q1043">
        <f>'입력_구리근무자명단'!$B1041&amp;""</f>
        <v/>
      </c>
      <c r="R1043">
        <f>IF($E$2="","",TRIM(INDEX('입력_구리근무자명단'!$A1041:$ZZ1041,1,$E$2+IF($G$2="확정",1,0))&amp;""))</f>
        <v/>
      </c>
      <c r="S1043">
        <f>IF($R1043="","",IF(INDEX('입력_구리근무자명단'!$A1041:$ZZ1041,1,$E$2+2)&amp;""="",급여기준월,IF(ISNUMBER(INDEX('입력_구리근무자명단'!$A1041:$ZZ1041,1,$E$2+2)),INDEX('입력_구리근무자명단'!$A1041:$ZZ1041,1,$E$2+2),IFERROR(DATE(VALUE(LEFT(INDEX('입력_구리근무자명단'!$A1041:$ZZ1041,1,$E$2+2),4)),VALUE(MID(INDEX('입력_구리근무자명단'!$A1041:$ZZ1041,1,$E$2+2),6,2)),VALUE(MID(INDEX('입력_구리근무자명단'!$A1041:$ZZ1041,1,$E$2+2),9,2))),-1))))</f>
        <v/>
      </c>
      <c r="T1043">
        <f>IF($R1043="","",IF(INDEX('입력_구리근무자명단'!$A1041:$ZZ1041,1,$E$2+3)&amp;""="",EOMONTH(급여기준월,0),IF(ISNUMBER(INDEX('입력_구리근무자명단'!$A1041:$ZZ1041,1,$E$2+3)),INDEX('입력_구리근무자명단'!$A1041:$ZZ1041,1,$E$2+3),IFERROR(DATE(VALUE(LEFT(INDEX('입력_구리근무자명단'!$A1041:$ZZ1041,1,$E$2+3),4)),VALUE(MID(INDEX('입력_구리근무자명단'!$A1041:$ZZ1041,1,$E$2+3),6,2)),VALUE(MID(INDEX('입력_구리근무자명단'!$A1041:$ZZ1041,1,$E$2+3),9,2))),-1))))</f>
        <v/>
      </c>
      <c r="U1043">
        <f>IF($R1043="","",IF(OR($S1043&lt;0,$T1043&lt;0),0,MAX(0,MIN($T1043,EOMONTH(급여기준월,0))-MAX($S1043,급여기준월)+1)))</f>
        <v/>
      </c>
      <c r="V1043">
        <f>IF($R1043="","",TRIM(INDEX('입력_구리근무자명단'!$A1041:$ZZ1041,1,$E$2+5)&amp;""))</f>
        <v/>
      </c>
      <c r="W1043">
        <f>IF(ISNUMBER(SEARCH("구리독자",$V1043)),"구리독자","")</f>
        <v/>
      </c>
      <c r="X1043">
        <f>IF($R1043="","",$R1043&amp;"|"&amp;IF(OR($Q1043="인턴",ISNUMBER(SEARCH("수련교육부",$P1043))),"인턴",$P1043))</f>
        <v/>
      </c>
      <c r="Y1043">
        <f>IF($R1043="","",IF(COUNTIF(명단표[이름|과],$X1043)=1,"명단 일치",IF(AND(COUNTIF(명단표[이름|과],$X1043)=0,COUNTIF(명단표[이름],$R1043)=1),"명단 일치(이름만, 과 다름)",IF(COUNTIF(명단표[이름],$R1043)=0,IF(COUNTIF(기본자료표[이름],$R1043)&gt;0,"명단에 없음(기본자료에는 있음)","명단에 없음"),"동명이인 확인"))))</f>
        <v/>
      </c>
      <c r="Z1043">
        <f>IF($R1043="","",IF($S1043&lt;0,"⚠"&amp;INDEX('입력_구리근무자명단'!$A1041:$ZZ1041,1,$E$2+2),TEXT($S1043,"yyyy-mm-dd")))</f>
        <v/>
      </c>
      <c r="AA1043">
        <f>IF($R1043="","",IF($T1043&lt;0,"⚠"&amp;INDEX('입력_구리근무자명단'!$A1041:$ZZ1041,1,$E$2+3),TEXT($T1043,"yyyy-mm-dd")))</f>
        <v/>
      </c>
      <c r="AB1043">
        <f>AB1042+IF($R1043="",0,1)</f>
        <v/>
      </c>
      <c r="AC1043">
        <f>IF($R1043="","",$AB1043)</f>
        <v/>
      </c>
    </row>
    <row r="1044">
      <c r="O1044">
        <f>1042</f>
        <v/>
      </c>
      <c r="P1044">
        <f>IF(TRIM('입력_구리근무자명단'!$A1042&amp;"")&lt;&gt;"",TRIM('입력_구리근무자명단'!$A1042&amp;""),P1043)</f>
        <v/>
      </c>
      <c r="Q1044">
        <f>'입력_구리근무자명단'!$B1042&amp;""</f>
        <v/>
      </c>
      <c r="R1044">
        <f>IF($E$2="","",TRIM(INDEX('입력_구리근무자명단'!$A1042:$ZZ1042,1,$E$2+IF($G$2="확정",1,0))&amp;""))</f>
        <v/>
      </c>
      <c r="S1044">
        <f>IF($R1044="","",IF(INDEX('입력_구리근무자명단'!$A1042:$ZZ1042,1,$E$2+2)&amp;""="",급여기준월,IF(ISNUMBER(INDEX('입력_구리근무자명단'!$A1042:$ZZ1042,1,$E$2+2)),INDEX('입력_구리근무자명단'!$A1042:$ZZ1042,1,$E$2+2),IFERROR(DATE(VALUE(LEFT(INDEX('입력_구리근무자명단'!$A1042:$ZZ1042,1,$E$2+2),4)),VALUE(MID(INDEX('입력_구리근무자명단'!$A1042:$ZZ1042,1,$E$2+2),6,2)),VALUE(MID(INDEX('입력_구리근무자명단'!$A1042:$ZZ1042,1,$E$2+2),9,2))),-1))))</f>
        <v/>
      </c>
      <c r="T1044">
        <f>IF($R1044="","",IF(INDEX('입력_구리근무자명단'!$A1042:$ZZ1042,1,$E$2+3)&amp;""="",EOMONTH(급여기준월,0),IF(ISNUMBER(INDEX('입력_구리근무자명단'!$A1042:$ZZ1042,1,$E$2+3)),INDEX('입력_구리근무자명단'!$A1042:$ZZ1042,1,$E$2+3),IFERROR(DATE(VALUE(LEFT(INDEX('입력_구리근무자명단'!$A1042:$ZZ1042,1,$E$2+3),4)),VALUE(MID(INDEX('입력_구리근무자명단'!$A1042:$ZZ1042,1,$E$2+3),6,2)),VALUE(MID(INDEX('입력_구리근무자명단'!$A1042:$ZZ1042,1,$E$2+3),9,2))),-1))))</f>
        <v/>
      </c>
      <c r="U1044">
        <f>IF($R1044="","",IF(OR($S1044&lt;0,$T1044&lt;0),0,MAX(0,MIN($T1044,EOMONTH(급여기준월,0))-MAX($S1044,급여기준월)+1)))</f>
        <v/>
      </c>
      <c r="V1044">
        <f>IF($R1044="","",TRIM(INDEX('입력_구리근무자명단'!$A1042:$ZZ1042,1,$E$2+5)&amp;""))</f>
        <v/>
      </c>
      <c r="W1044">
        <f>IF(ISNUMBER(SEARCH("구리독자",$V1044)),"구리독자","")</f>
        <v/>
      </c>
      <c r="X1044">
        <f>IF($R1044="","",$R1044&amp;"|"&amp;IF(OR($Q1044="인턴",ISNUMBER(SEARCH("수련교육부",$P1044))),"인턴",$P1044))</f>
        <v/>
      </c>
      <c r="Y1044">
        <f>IF($R1044="","",IF(COUNTIF(명단표[이름|과],$X1044)=1,"명단 일치",IF(AND(COUNTIF(명단표[이름|과],$X1044)=0,COUNTIF(명단표[이름],$R1044)=1),"명단 일치(이름만, 과 다름)",IF(COUNTIF(명단표[이름],$R1044)=0,IF(COUNTIF(기본자료표[이름],$R1044)&gt;0,"명단에 없음(기본자료에는 있음)","명단에 없음"),"동명이인 확인"))))</f>
        <v/>
      </c>
      <c r="Z1044">
        <f>IF($R1044="","",IF($S1044&lt;0,"⚠"&amp;INDEX('입력_구리근무자명단'!$A1042:$ZZ1042,1,$E$2+2),TEXT($S1044,"yyyy-mm-dd")))</f>
        <v/>
      </c>
      <c r="AA1044">
        <f>IF($R1044="","",IF($T1044&lt;0,"⚠"&amp;INDEX('입력_구리근무자명단'!$A1042:$ZZ1042,1,$E$2+3),TEXT($T1044,"yyyy-mm-dd")))</f>
        <v/>
      </c>
      <c r="AB1044">
        <f>AB1043+IF($R1044="",0,1)</f>
        <v/>
      </c>
      <c r="AC1044">
        <f>IF($R1044="","",$AB1044)</f>
        <v/>
      </c>
    </row>
    <row r="1045">
      <c r="O1045">
        <f>1043</f>
        <v/>
      </c>
      <c r="P1045">
        <f>IF(TRIM('입력_구리근무자명단'!$A1043&amp;"")&lt;&gt;"",TRIM('입력_구리근무자명단'!$A1043&amp;""),P1044)</f>
        <v/>
      </c>
      <c r="Q1045">
        <f>'입력_구리근무자명단'!$B1043&amp;""</f>
        <v/>
      </c>
      <c r="R1045">
        <f>IF($E$2="","",TRIM(INDEX('입력_구리근무자명단'!$A1043:$ZZ1043,1,$E$2+IF($G$2="확정",1,0))&amp;""))</f>
        <v/>
      </c>
      <c r="S1045">
        <f>IF($R1045="","",IF(INDEX('입력_구리근무자명단'!$A1043:$ZZ1043,1,$E$2+2)&amp;""="",급여기준월,IF(ISNUMBER(INDEX('입력_구리근무자명단'!$A1043:$ZZ1043,1,$E$2+2)),INDEX('입력_구리근무자명단'!$A1043:$ZZ1043,1,$E$2+2),IFERROR(DATE(VALUE(LEFT(INDEX('입력_구리근무자명단'!$A1043:$ZZ1043,1,$E$2+2),4)),VALUE(MID(INDEX('입력_구리근무자명단'!$A1043:$ZZ1043,1,$E$2+2),6,2)),VALUE(MID(INDEX('입력_구리근무자명단'!$A1043:$ZZ1043,1,$E$2+2),9,2))),-1))))</f>
        <v/>
      </c>
      <c r="T1045">
        <f>IF($R1045="","",IF(INDEX('입력_구리근무자명단'!$A1043:$ZZ1043,1,$E$2+3)&amp;""="",EOMONTH(급여기준월,0),IF(ISNUMBER(INDEX('입력_구리근무자명단'!$A1043:$ZZ1043,1,$E$2+3)),INDEX('입력_구리근무자명단'!$A1043:$ZZ1043,1,$E$2+3),IFERROR(DATE(VALUE(LEFT(INDEX('입력_구리근무자명단'!$A1043:$ZZ1043,1,$E$2+3),4)),VALUE(MID(INDEX('입력_구리근무자명단'!$A1043:$ZZ1043,1,$E$2+3),6,2)),VALUE(MID(INDEX('입력_구리근무자명단'!$A1043:$ZZ1043,1,$E$2+3),9,2))),-1))))</f>
        <v/>
      </c>
      <c r="U1045">
        <f>IF($R1045="","",IF(OR($S1045&lt;0,$T1045&lt;0),0,MAX(0,MIN($T1045,EOMONTH(급여기준월,0))-MAX($S1045,급여기준월)+1)))</f>
        <v/>
      </c>
      <c r="V1045">
        <f>IF($R1045="","",TRIM(INDEX('입력_구리근무자명단'!$A1043:$ZZ1043,1,$E$2+5)&amp;""))</f>
        <v/>
      </c>
      <c r="W1045">
        <f>IF(ISNUMBER(SEARCH("구리독자",$V1045)),"구리독자","")</f>
        <v/>
      </c>
      <c r="X1045">
        <f>IF($R1045="","",$R1045&amp;"|"&amp;IF(OR($Q1045="인턴",ISNUMBER(SEARCH("수련교육부",$P1045))),"인턴",$P1045))</f>
        <v/>
      </c>
      <c r="Y1045">
        <f>IF($R1045="","",IF(COUNTIF(명단표[이름|과],$X1045)=1,"명단 일치",IF(AND(COUNTIF(명단표[이름|과],$X1045)=0,COUNTIF(명단표[이름],$R1045)=1),"명단 일치(이름만, 과 다름)",IF(COUNTIF(명단표[이름],$R1045)=0,IF(COUNTIF(기본자료표[이름],$R1045)&gt;0,"명단에 없음(기본자료에는 있음)","명단에 없음"),"동명이인 확인"))))</f>
        <v/>
      </c>
      <c r="Z1045">
        <f>IF($R1045="","",IF($S1045&lt;0,"⚠"&amp;INDEX('입력_구리근무자명단'!$A1043:$ZZ1043,1,$E$2+2),TEXT($S1045,"yyyy-mm-dd")))</f>
        <v/>
      </c>
      <c r="AA1045">
        <f>IF($R1045="","",IF($T1045&lt;0,"⚠"&amp;INDEX('입력_구리근무자명단'!$A1043:$ZZ1043,1,$E$2+3),TEXT($T1045,"yyyy-mm-dd")))</f>
        <v/>
      </c>
      <c r="AB1045">
        <f>AB1044+IF($R1045="",0,1)</f>
        <v/>
      </c>
      <c r="AC1045">
        <f>IF($R1045="","",$AB1045)</f>
        <v/>
      </c>
    </row>
    <row r="1046">
      <c r="O1046">
        <f>1044</f>
        <v/>
      </c>
      <c r="P1046">
        <f>IF(TRIM('입력_구리근무자명단'!$A1044&amp;"")&lt;&gt;"",TRIM('입력_구리근무자명단'!$A1044&amp;""),P1045)</f>
        <v/>
      </c>
      <c r="Q1046">
        <f>'입력_구리근무자명단'!$B1044&amp;""</f>
        <v/>
      </c>
      <c r="R1046">
        <f>IF($E$2="","",TRIM(INDEX('입력_구리근무자명단'!$A1044:$ZZ1044,1,$E$2+IF($G$2="확정",1,0))&amp;""))</f>
        <v/>
      </c>
      <c r="S1046">
        <f>IF($R1046="","",IF(INDEX('입력_구리근무자명단'!$A1044:$ZZ1044,1,$E$2+2)&amp;""="",급여기준월,IF(ISNUMBER(INDEX('입력_구리근무자명단'!$A1044:$ZZ1044,1,$E$2+2)),INDEX('입력_구리근무자명단'!$A1044:$ZZ1044,1,$E$2+2),IFERROR(DATE(VALUE(LEFT(INDEX('입력_구리근무자명단'!$A1044:$ZZ1044,1,$E$2+2),4)),VALUE(MID(INDEX('입력_구리근무자명단'!$A1044:$ZZ1044,1,$E$2+2),6,2)),VALUE(MID(INDEX('입력_구리근무자명단'!$A1044:$ZZ1044,1,$E$2+2),9,2))),-1))))</f>
        <v/>
      </c>
      <c r="T1046">
        <f>IF($R1046="","",IF(INDEX('입력_구리근무자명단'!$A1044:$ZZ1044,1,$E$2+3)&amp;""="",EOMONTH(급여기준월,0),IF(ISNUMBER(INDEX('입력_구리근무자명단'!$A1044:$ZZ1044,1,$E$2+3)),INDEX('입력_구리근무자명단'!$A1044:$ZZ1044,1,$E$2+3),IFERROR(DATE(VALUE(LEFT(INDEX('입력_구리근무자명단'!$A1044:$ZZ1044,1,$E$2+3),4)),VALUE(MID(INDEX('입력_구리근무자명단'!$A1044:$ZZ1044,1,$E$2+3),6,2)),VALUE(MID(INDEX('입력_구리근무자명단'!$A1044:$ZZ1044,1,$E$2+3),9,2))),-1))))</f>
        <v/>
      </c>
      <c r="U1046">
        <f>IF($R1046="","",IF(OR($S1046&lt;0,$T1046&lt;0),0,MAX(0,MIN($T1046,EOMONTH(급여기준월,0))-MAX($S1046,급여기준월)+1)))</f>
        <v/>
      </c>
      <c r="V1046">
        <f>IF($R1046="","",TRIM(INDEX('입력_구리근무자명단'!$A1044:$ZZ1044,1,$E$2+5)&amp;""))</f>
        <v/>
      </c>
      <c r="W1046">
        <f>IF(ISNUMBER(SEARCH("구리독자",$V1046)),"구리독자","")</f>
        <v/>
      </c>
      <c r="X1046">
        <f>IF($R1046="","",$R1046&amp;"|"&amp;IF(OR($Q1046="인턴",ISNUMBER(SEARCH("수련교육부",$P1046))),"인턴",$P1046))</f>
        <v/>
      </c>
      <c r="Y1046">
        <f>IF($R1046="","",IF(COUNTIF(명단표[이름|과],$X1046)=1,"명단 일치",IF(AND(COUNTIF(명단표[이름|과],$X1046)=0,COUNTIF(명단표[이름],$R1046)=1),"명단 일치(이름만, 과 다름)",IF(COUNTIF(명단표[이름],$R1046)=0,IF(COUNTIF(기본자료표[이름],$R1046)&gt;0,"명단에 없음(기본자료에는 있음)","명단에 없음"),"동명이인 확인"))))</f>
        <v/>
      </c>
      <c r="Z1046">
        <f>IF($R1046="","",IF($S1046&lt;0,"⚠"&amp;INDEX('입력_구리근무자명단'!$A1044:$ZZ1044,1,$E$2+2),TEXT($S1046,"yyyy-mm-dd")))</f>
        <v/>
      </c>
      <c r="AA1046">
        <f>IF($R1046="","",IF($T1046&lt;0,"⚠"&amp;INDEX('입력_구리근무자명단'!$A1044:$ZZ1044,1,$E$2+3),TEXT($T1046,"yyyy-mm-dd")))</f>
        <v/>
      </c>
      <c r="AB1046">
        <f>AB1045+IF($R1046="",0,1)</f>
        <v/>
      </c>
      <c r="AC1046">
        <f>IF($R1046="","",$AB1046)</f>
        <v/>
      </c>
    </row>
    <row r="1047">
      <c r="O1047">
        <f>1045</f>
        <v/>
      </c>
      <c r="P1047">
        <f>IF(TRIM('입력_구리근무자명단'!$A1045&amp;"")&lt;&gt;"",TRIM('입력_구리근무자명단'!$A1045&amp;""),P1046)</f>
        <v/>
      </c>
      <c r="Q1047">
        <f>'입력_구리근무자명단'!$B1045&amp;""</f>
        <v/>
      </c>
      <c r="R1047">
        <f>IF($E$2="","",TRIM(INDEX('입력_구리근무자명단'!$A1045:$ZZ1045,1,$E$2+IF($G$2="확정",1,0))&amp;""))</f>
        <v/>
      </c>
      <c r="S1047">
        <f>IF($R1047="","",IF(INDEX('입력_구리근무자명단'!$A1045:$ZZ1045,1,$E$2+2)&amp;""="",급여기준월,IF(ISNUMBER(INDEX('입력_구리근무자명단'!$A1045:$ZZ1045,1,$E$2+2)),INDEX('입력_구리근무자명단'!$A1045:$ZZ1045,1,$E$2+2),IFERROR(DATE(VALUE(LEFT(INDEX('입력_구리근무자명단'!$A1045:$ZZ1045,1,$E$2+2),4)),VALUE(MID(INDEX('입력_구리근무자명단'!$A1045:$ZZ1045,1,$E$2+2),6,2)),VALUE(MID(INDEX('입력_구리근무자명단'!$A1045:$ZZ1045,1,$E$2+2),9,2))),-1))))</f>
        <v/>
      </c>
      <c r="T1047">
        <f>IF($R1047="","",IF(INDEX('입력_구리근무자명단'!$A1045:$ZZ1045,1,$E$2+3)&amp;""="",EOMONTH(급여기준월,0),IF(ISNUMBER(INDEX('입력_구리근무자명단'!$A1045:$ZZ1045,1,$E$2+3)),INDEX('입력_구리근무자명단'!$A1045:$ZZ1045,1,$E$2+3),IFERROR(DATE(VALUE(LEFT(INDEX('입력_구리근무자명단'!$A1045:$ZZ1045,1,$E$2+3),4)),VALUE(MID(INDEX('입력_구리근무자명단'!$A1045:$ZZ1045,1,$E$2+3),6,2)),VALUE(MID(INDEX('입력_구리근무자명단'!$A1045:$ZZ1045,1,$E$2+3),9,2))),-1))))</f>
        <v/>
      </c>
      <c r="U1047">
        <f>IF($R1047="","",IF(OR($S1047&lt;0,$T1047&lt;0),0,MAX(0,MIN($T1047,EOMONTH(급여기준월,0))-MAX($S1047,급여기준월)+1)))</f>
        <v/>
      </c>
      <c r="V1047">
        <f>IF($R1047="","",TRIM(INDEX('입력_구리근무자명단'!$A1045:$ZZ1045,1,$E$2+5)&amp;""))</f>
        <v/>
      </c>
      <c r="W1047">
        <f>IF(ISNUMBER(SEARCH("구리독자",$V1047)),"구리독자","")</f>
        <v/>
      </c>
      <c r="X1047">
        <f>IF($R1047="","",$R1047&amp;"|"&amp;IF(OR($Q1047="인턴",ISNUMBER(SEARCH("수련교육부",$P1047))),"인턴",$P1047))</f>
        <v/>
      </c>
      <c r="Y1047">
        <f>IF($R1047="","",IF(COUNTIF(명단표[이름|과],$X1047)=1,"명단 일치",IF(AND(COUNTIF(명단표[이름|과],$X1047)=0,COUNTIF(명단표[이름],$R1047)=1),"명단 일치(이름만, 과 다름)",IF(COUNTIF(명단표[이름],$R1047)=0,IF(COUNTIF(기본자료표[이름],$R1047)&gt;0,"명단에 없음(기본자료에는 있음)","명단에 없음"),"동명이인 확인"))))</f>
        <v/>
      </c>
      <c r="Z1047">
        <f>IF($R1047="","",IF($S1047&lt;0,"⚠"&amp;INDEX('입력_구리근무자명단'!$A1045:$ZZ1045,1,$E$2+2),TEXT($S1047,"yyyy-mm-dd")))</f>
        <v/>
      </c>
      <c r="AA1047">
        <f>IF($R1047="","",IF($T1047&lt;0,"⚠"&amp;INDEX('입력_구리근무자명단'!$A1045:$ZZ1045,1,$E$2+3),TEXT($T1047,"yyyy-mm-dd")))</f>
        <v/>
      </c>
      <c r="AB1047">
        <f>AB1046+IF($R1047="",0,1)</f>
        <v/>
      </c>
      <c r="AC1047">
        <f>IF($R1047="","",$AB1047)</f>
        <v/>
      </c>
    </row>
    <row r="1048">
      <c r="O1048">
        <f>1046</f>
        <v/>
      </c>
      <c r="P1048">
        <f>IF(TRIM('입력_구리근무자명단'!$A1046&amp;"")&lt;&gt;"",TRIM('입력_구리근무자명단'!$A1046&amp;""),P1047)</f>
        <v/>
      </c>
      <c r="Q1048">
        <f>'입력_구리근무자명단'!$B1046&amp;""</f>
        <v/>
      </c>
      <c r="R1048">
        <f>IF($E$2="","",TRIM(INDEX('입력_구리근무자명단'!$A1046:$ZZ1046,1,$E$2+IF($G$2="확정",1,0))&amp;""))</f>
        <v/>
      </c>
      <c r="S1048">
        <f>IF($R1048="","",IF(INDEX('입력_구리근무자명단'!$A1046:$ZZ1046,1,$E$2+2)&amp;""="",급여기준월,IF(ISNUMBER(INDEX('입력_구리근무자명단'!$A1046:$ZZ1046,1,$E$2+2)),INDEX('입력_구리근무자명단'!$A1046:$ZZ1046,1,$E$2+2),IFERROR(DATE(VALUE(LEFT(INDEX('입력_구리근무자명단'!$A1046:$ZZ1046,1,$E$2+2),4)),VALUE(MID(INDEX('입력_구리근무자명단'!$A1046:$ZZ1046,1,$E$2+2),6,2)),VALUE(MID(INDEX('입력_구리근무자명단'!$A1046:$ZZ1046,1,$E$2+2),9,2))),-1))))</f>
        <v/>
      </c>
      <c r="T1048">
        <f>IF($R1048="","",IF(INDEX('입력_구리근무자명단'!$A1046:$ZZ1046,1,$E$2+3)&amp;""="",EOMONTH(급여기준월,0),IF(ISNUMBER(INDEX('입력_구리근무자명단'!$A1046:$ZZ1046,1,$E$2+3)),INDEX('입력_구리근무자명단'!$A1046:$ZZ1046,1,$E$2+3),IFERROR(DATE(VALUE(LEFT(INDEX('입력_구리근무자명단'!$A1046:$ZZ1046,1,$E$2+3),4)),VALUE(MID(INDEX('입력_구리근무자명단'!$A1046:$ZZ1046,1,$E$2+3),6,2)),VALUE(MID(INDEX('입력_구리근무자명단'!$A1046:$ZZ1046,1,$E$2+3),9,2))),-1))))</f>
        <v/>
      </c>
      <c r="U1048">
        <f>IF($R1048="","",IF(OR($S1048&lt;0,$T1048&lt;0),0,MAX(0,MIN($T1048,EOMONTH(급여기준월,0))-MAX($S1048,급여기준월)+1)))</f>
        <v/>
      </c>
      <c r="V1048">
        <f>IF($R1048="","",TRIM(INDEX('입력_구리근무자명단'!$A1046:$ZZ1046,1,$E$2+5)&amp;""))</f>
        <v/>
      </c>
      <c r="W1048">
        <f>IF(ISNUMBER(SEARCH("구리독자",$V1048)),"구리독자","")</f>
        <v/>
      </c>
      <c r="X1048">
        <f>IF($R1048="","",$R1048&amp;"|"&amp;IF(OR($Q1048="인턴",ISNUMBER(SEARCH("수련교육부",$P1048))),"인턴",$P1048))</f>
        <v/>
      </c>
      <c r="Y1048">
        <f>IF($R1048="","",IF(COUNTIF(명단표[이름|과],$X1048)=1,"명단 일치",IF(AND(COUNTIF(명단표[이름|과],$X1048)=0,COUNTIF(명단표[이름],$R1048)=1),"명단 일치(이름만, 과 다름)",IF(COUNTIF(명단표[이름],$R1048)=0,IF(COUNTIF(기본자료표[이름],$R1048)&gt;0,"명단에 없음(기본자료에는 있음)","명단에 없음"),"동명이인 확인"))))</f>
        <v/>
      </c>
      <c r="Z1048">
        <f>IF($R1048="","",IF($S1048&lt;0,"⚠"&amp;INDEX('입력_구리근무자명단'!$A1046:$ZZ1046,1,$E$2+2),TEXT($S1048,"yyyy-mm-dd")))</f>
        <v/>
      </c>
      <c r="AA1048">
        <f>IF($R1048="","",IF($T1048&lt;0,"⚠"&amp;INDEX('입력_구리근무자명단'!$A1046:$ZZ1046,1,$E$2+3),TEXT($T1048,"yyyy-mm-dd")))</f>
        <v/>
      </c>
      <c r="AB1048">
        <f>AB1047+IF($R1048="",0,1)</f>
        <v/>
      </c>
      <c r="AC1048">
        <f>IF($R1048="","",$AB1048)</f>
        <v/>
      </c>
    </row>
    <row r="1049">
      <c r="O1049">
        <f>1047</f>
        <v/>
      </c>
      <c r="P1049">
        <f>IF(TRIM('입력_구리근무자명단'!$A1047&amp;"")&lt;&gt;"",TRIM('입력_구리근무자명단'!$A1047&amp;""),P1048)</f>
        <v/>
      </c>
      <c r="Q1049">
        <f>'입력_구리근무자명단'!$B1047&amp;""</f>
        <v/>
      </c>
      <c r="R1049">
        <f>IF($E$2="","",TRIM(INDEX('입력_구리근무자명단'!$A1047:$ZZ1047,1,$E$2+IF($G$2="확정",1,0))&amp;""))</f>
        <v/>
      </c>
      <c r="S1049">
        <f>IF($R1049="","",IF(INDEX('입력_구리근무자명단'!$A1047:$ZZ1047,1,$E$2+2)&amp;""="",급여기준월,IF(ISNUMBER(INDEX('입력_구리근무자명단'!$A1047:$ZZ1047,1,$E$2+2)),INDEX('입력_구리근무자명단'!$A1047:$ZZ1047,1,$E$2+2),IFERROR(DATE(VALUE(LEFT(INDEX('입력_구리근무자명단'!$A1047:$ZZ1047,1,$E$2+2),4)),VALUE(MID(INDEX('입력_구리근무자명단'!$A1047:$ZZ1047,1,$E$2+2),6,2)),VALUE(MID(INDEX('입력_구리근무자명단'!$A1047:$ZZ1047,1,$E$2+2),9,2))),-1))))</f>
        <v/>
      </c>
      <c r="T1049">
        <f>IF($R1049="","",IF(INDEX('입력_구리근무자명단'!$A1047:$ZZ1047,1,$E$2+3)&amp;""="",EOMONTH(급여기준월,0),IF(ISNUMBER(INDEX('입력_구리근무자명단'!$A1047:$ZZ1047,1,$E$2+3)),INDEX('입력_구리근무자명단'!$A1047:$ZZ1047,1,$E$2+3),IFERROR(DATE(VALUE(LEFT(INDEX('입력_구리근무자명단'!$A1047:$ZZ1047,1,$E$2+3),4)),VALUE(MID(INDEX('입력_구리근무자명단'!$A1047:$ZZ1047,1,$E$2+3),6,2)),VALUE(MID(INDEX('입력_구리근무자명단'!$A1047:$ZZ1047,1,$E$2+3),9,2))),-1))))</f>
        <v/>
      </c>
      <c r="U1049">
        <f>IF($R1049="","",IF(OR($S1049&lt;0,$T1049&lt;0),0,MAX(0,MIN($T1049,EOMONTH(급여기준월,0))-MAX($S1049,급여기준월)+1)))</f>
        <v/>
      </c>
      <c r="V1049">
        <f>IF($R1049="","",TRIM(INDEX('입력_구리근무자명단'!$A1047:$ZZ1047,1,$E$2+5)&amp;""))</f>
        <v/>
      </c>
      <c r="W1049">
        <f>IF(ISNUMBER(SEARCH("구리독자",$V1049)),"구리독자","")</f>
        <v/>
      </c>
      <c r="X1049">
        <f>IF($R1049="","",$R1049&amp;"|"&amp;IF(OR($Q1049="인턴",ISNUMBER(SEARCH("수련교육부",$P1049))),"인턴",$P1049))</f>
        <v/>
      </c>
      <c r="Y1049">
        <f>IF($R1049="","",IF(COUNTIF(명단표[이름|과],$X1049)=1,"명단 일치",IF(AND(COUNTIF(명단표[이름|과],$X1049)=0,COUNTIF(명단표[이름],$R1049)=1),"명단 일치(이름만, 과 다름)",IF(COUNTIF(명단표[이름],$R1049)=0,IF(COUNTIF(기본자료표[이름],$R1049)&gt;0,"명단에 없음(기본자료에는 있음)","명단에 없음"),"동명이인 확인"))))</f>
        <v/>
      </c>
      <c r="Z1049">
        <f>IF($R1049="","",IF($S1049&lt;0,"⚠"&amp;INDEX('입력_구리근무자명단'!$A1047:$ZZ1047,1,$E$2+2),TEXT($S1049,"yyyy-mm-dd")))</f>
        <v/>
      </c>
      <c r="AA1049">
        <f>IF($R1049="","",IF($T1049&lt;0,"⚠"&amp;INDEX('입력_구리근무자명단'!$A1047:$ZZ1047,1,$E$2+3),TEXT($T1049,"yyyy-mm-dd")))</f>
        <v/>
      </c>
      <c r="AB1049">
        <f>AB1048+IF($R1049="",0,1)</f>
        <v/>
      </c>
      <c r="AC1049">
        <f>IF($R1049="","",$AB1049)</f>
        <v/>
      </c>
    </row>
    <row r="1050">
      <c r="O1050">
        <f>1048</f>
        <v/>
      </c>
      <c r="P1050">
        <f>IF(TRIM('입력_구리근무자명단'!$A1048&amp;"")&lt;&gt;"",TRIM('입력_구리근무자명단'!$A1048&amp;""),P1049)</f>
        <v/>
      </c>
      <c r="Q1050">
        <f>'입력_구리근무자명단'!$B1048&amp;""</f>
        <v/>
      </c>
      <c r="R1050">
        <f>IF($E$2="","",TRIM(INDEX('입력_구리근무자명단'!$A1048:$ZZ1048,1,$E$2+IF($G$2="확정",1,0))&amp;""))</f>
        <v/>
      </c>
      <c r="S1050">
        <f>IF($R1050="","",IF(INDEX('입력_구리근무자명단'!$A1048:$ZZ1048,1,$E$2+2)&amp;""="",급여기준월,IF(ISNUMBER(INDEX('입력_구리근무자명단'!$A1048:$ZZ1048,1,$E$2+2)),INDEX('입력_구리근무자명단'!$A1048:$ZZ1048,1,$E$2+2),IFERROR(DATE(VALUE(LEFT(INDEX('입력_구리근무자명단'!$A1048:$ZZ1048,1,$E$2+2),4)),VALUE(MID(INDEX('입력_구리근무자명단'!$A1048:$ZZ1048,1,$E$2+2),6,2)),VALUE(MID(INDEX('입력_구리근무자명단'!$A1048:$ZZ1048,1,$E$2+2),9,2))),-1))))</f>
        <v/>
      </c>
      <c r="T1050">
        <f>IF($R1050="","",IF(INDEX('입력_구리근무자명단'!$A1048:$ZZ1048,1,$E$2+3)&amp;""="",EOMONTH(급여기준월,0),IF(ISNUMBER(INDEX('입력_구리근무자명단'!$A1048:$ZZ1048,1,$E$2+3)),INDEX('입력_구리근무자명단'!$A1048:$ZZ1048,1,$E$2+3),IFERROR(DATE(VALUE(LEFT(INDEX('입력_구리근무자명단'!$A1048:$ZZ1048,1,$E$2+3),4)),VALUE(MID(INDEX('입력_구리근무자명단'!$A1048:$ZZ1048,1,$E$2+3),6,2)),VALUE(MID(INDEX('입력_구리근무자명단'!$A1048:$ZZ1048,1,$E$2+3),9,2))),-1))))</f>
        <v/>
      </c>
      <c r="U1050">
        <f>IF($R1050="","",IF(OR($S1050&lt;0,$T1050&lt;0),0,MAX(0,MIN($T1050,EOMONTH(급여기준월,0))-MAX($S1050,급여기준월)+1)))</f>
        <v/>
      </c>
      <c r="V1050">
        <f>IF($R1050="","",TRIM(INDEX('입력_구리근무자명단'!$A1048:$ZZ1048,1,$E$2+5)&amp;""))</f>
        <v/>
      </c>
      <c r="W1050">
        <f>IF(ISNUMBER(SEARCH("구리독자",$V1050)),"구리독자","")</f>
        <v/>
      </c>
      <c r="X1050">
        <f>IF($R1050="","",$R1050&amp;"|"&amp;IF(OR($Q1050="인턴",ISNUMBER(SEARCH("수련교육부",$P1050))),"인턴",$P1050))</f>
        <v/>
      </c>
      <c r="Y1050">
        <f>IF($R1050="","",IF(COUNTIF(명단표[이름|과],$X1050)=1,"명단 일치",IF(AND(COUNTIF(명단표[이름|과],$X1050)=0,COUNTIF(명단표[이름],$R1050)=1),"명단 일치(이름만, 과 다름)",IF(COUNTIF(명단표[이름],$R1050)=0,IF(COUNTIF(기본자료표[이름],$R1050)&gt;0,"명단에 없음(기본자료에는 있음)","명단에 없음"),"동명이인 확인"))))</f>
        <v/>
      </c>
      <c r="Z1050">
        <f>IF($R1050="","",IF($S1050&lt;0,"⚠"&amp;INDEX('입력_구리근무자명단'!$A1048:$ZZ1048,1,$E$2+2),TEXT($S1050,"yyyy-mm-dd")))</f>
        <v/>
      </c>
      <c r="AA1050">
        <f>IF($R1050="","",IF($T1050&lt;0,"⚠"&amp;INDEX('입력_구리근무자명단'!$A1048:$ZZ1048,1,$E$2+3),TEXT($T1050,"yyyy-mm-dd")))</f>
        <v/>
      </c>
      <c r="AB1050">
        <f>AB1049+IF($R1050="",0,1)</f>
        <v/>
      </c>
      <c r="AC1050">
        <f>IF($R1050="","",$AB1050)</f>
        <v/>
      </c>
    </row>
    <row r="1051">
      <c r="O1051">
        <f>1049</f>
        <v/>
      </c>
      <c r="P1051">
        <f>IF(TRIM('입력_구리근무자명단'!$A1049&amp;"")&lt;&gt;"",TRIM('입력_구리근무자명단'!$A1049&amp;""),P1050)</f>
        <v/>
      </c>
      <c r="Q1051">
        <f>'입력_구리근무자명단'!$B1049&amp;""</f>
        <v/>
      </c>
      <c r="R1051">
        <f>IF($E$2="","",TRIM(INDEX('입력_구리근무자명단'!$A1049:$ZZ1049,1,$E$2+IF($G$2="확정",1,0))&amp;""))</f>
        <v/>
      </c>
      <c r="S1051">
        <f>IF($R1051="","",IF(INDEX('입력_구리근무자명단'!$A1049:$ZZ1049,1,$E$2+2)&amp;""="",급여기준월,IF(ISNUMBER(INDEX('입력_구리근무자명단'!$A1049:$ZZ1049,1,$E$2+2)),INDEX('입력_구리근무자명단'!$A1049:$ZZ1049,1,$E$2+2),IFERROR(DATE(VALUE(LEFT(INDEX('입력_구리근무자명단'!$A1049:$ZZ1049,1,$E$2+2),4)),VALUE(MID(INDEX('입력_구리근무자명단'!$A1049:$ZZ1049,1,$E$2+2),6,2)),VALUE(MID(INDEX('입력_구리근무자명단'!$A1049:$ZZ1049,1,$E$2+2),9,2))),-1))))</f>
        <v/>
      </c>
      <c r="T1051">
        <f>IF($R1051="","",IF(INDEX('입력_구리근무자명단'!$A1049:$ZZ1049,1,$E$2+3)&amp;""="",EOMONTH(급여기준월,0),IF(ISNUMBER(INDEX('입력_구리근무자명단'!$A1049:$ZZ1049,1,$E$2+3)),INDEX('입력_구리근무자명단'!$A1049:$ZZ1049,1,$E$2+3),IFERROR(DATE(VALUE(LEFT(INDEX('입력_구리근무자명단'!$A1049:$ZZ1049,1,$E$2+3),4)),VALUE(MID(INDEX('입력_구리근무자명단'!$A1049:$ZZ1049,1,$E$2+3),6,2)),VALUE(MID(INDEX('입력_구리근무자명단'!$A1049:$ZZ1049,1,$E$2+3),9,2))),-1))))</f>
        <v/>
      </c>
      <c r="U1051">
        <f>IF($R1051="","",IF(OR($S1051&lt;0,$T1051&lt;0),0,MAX(0,MIN($T1051,EOMONTH(급여기준월,0))-MAX($S1051,급여기준월)+1)))</f>
        <v/>
      </c>
      <c r="V1051">
        <f>IF($R1051="","",TRIM(INDEX('입력_구리근무자명단'!$A1049:$ZZ1049,1,$E$2+5)&amp;""))</f>
        <v/>
      </c>
      <c r="W1051">
        <f>IF(ISNUMBER(SEARCH("구리독자",$V1051)),"구리독자","")</f>
        <v/>
      </c>
      <c r="X1051">
        <f>IF($R1051="","",$R1051&amp;"|"&amp;IF(OR($Q1051="인턴",ISNUMBER(SEARCH("수련교육부",$P1051))),"인턴",$P1051))</f>
        <v/>
      </c>
      <c r="Y1051">
        <f>IF($R1051="","",IF(COUNTIF(명단표[이름|과],$X1051)=1,"명단 일치",IF(AND(COUNTIF(명단표[이름|과],$X1051)=0,COUNTIF(명단표[이름],$R1051)=1),"명단 일치(이름만, 과 다름)",IF(COUNTIF(명단표[이름],$R1051)=0,IF(COUNTIF(기본자료표[이름],$R1051)&gt;0,"명단에 없음(기본자료에는 있음)","명단에 없음"),"동명이인 확인"))))</f>
        <v/>
      </c>
      <c r="Z1051">
        <f>IF($R1051="","",IF($S1051&lt;0,"⚠"&amp;INDEX('입력_구리근무자명단'!$A1049:$ZZ1049,1,$E$2+2),TEXT($S1051,"yyyy-mm-dd")))</f>
        <v/>
      </c>
      <c r="AA1051">
        <f>IF($R1051="","",IF($T1051&lt;0,"⚠"&amp;INDEX('입력_구리근무자명단'!$A1049:$ZZ1049,1,$E$2+3),TEXT($T1051,"yyyy-mm-dd")))</f>
        <v/>
      </c>
      <c r="AB1051">
        <f>AB1050+IF($R1051="",0,1)</f>
        <v/>
      </c>
      <c r="AC1051">
        <f>IF($R1051="","",$AB1051)</f>
        <v/>
      </c>
    </row>
    <row r="1052">
      <c r="O1052">
        <f>1050</f>
        <v/>
      </c>
      <c r="P1052">
        <f>IF(TRIM('입력_구리근무자명단'!$A1050&amp;"")&lt;&gt;"",TRIM('입력_구리근무자명단'!$A1050&amp;""),P1051)</f>
        <v/>
      </c>
      <c r="Q1052">
        <f>'입력_구리근무자명단'!$B1050&amp;""</f>
        <v/>
      </c>
      <c r="R1052">
        <f>IF($E$2="","",TRIM(INDEX('입력_구리근무자명단'!$A1050:$ZZ1050,1,$E$2+IF($G$2="확정",1,0))&amp;""))</f>
        <v/>
      </c>
      <c r="S1052">
        <f>IF($R1052="","",IF(INDEX('입력_구리근무자명단'!$A1050:$ZZ1050,1,$E$2+2)&amp;""="",급여기준월,IF(ISNUMBER(INDEX('입력_구리근무자명단'!$A1050:$ZZ1050,1,$E$2+2)),INDEX('입력_구리근무자명단'!$A1050:$ZZ1050,1,$E$2+2),IFERROR(DATE(VALUE(LEFT(INDEX('입력_구리근무자명단'!$A1050:$ZZ1050,1,$E$2+2),4)),VALUE(MID(INDEX('입력_구리근무자명단'!$A1050:$ZZ1050,1,$E$2+2),6,2)),VALUE(MID(INDEX('입력_구리근무자명단'!$A1050:$ZZ1050,1,$E$2+2),9,2))),-1))))</f>
        <v/>
      </c>
      <c r="T1052">
        <f>IF($R1052="","",IF(INDEX('입력_구리근무자명단'!$A1050:$ZZ1050,1,$E$2+3)&amp;""="",EOMONTH(급여기준월,0),IF(ISNUMBER(INDEX('입력_구리근무자명단'!$A1050:$ZZ1050,1,$E$2+3)),INDEX('입력_구리근무자명단'!$A1050:$ZZ1050,1,$E$2+3),IFERROR(DATE(VALUE(LEFT(INDEX('입력_구리근무자명단'!$A1050:$ZZ1050,1,$E$2+3),4)),VALUE(MID(INDEX('입력_구리근무자명단'!$A1050:$ZZ1050,1,$E$2+3),6,2)),VALUE(MID(INDEX('입력_구리근무자명단'!$A1050:$ZZ1050,1,$E$2+3),9,2))),-1))))</f>
        <v/>
      </c>
      <c r="U1052">
        <f>IF($R1052="","",IF(OR($S1052&lt;0,$T1052&lt;0),0,MAX(0,MIN($T1052,EOMONTH(급여기준월,0))-MAX($S1052,급여기준월)+1)))</f>
        <v/>
      </c>
      <c r="V1052">
        <f>IF($R1052="","",TRIM(INDEX('입력_구리근무자명단'!$A1050:$ZZ1050,1,$E$2+5)&amp;""))</f>
        <v/>
      </c>
      <c r="W1052">
        <f>IF(ISNUMBER(SEARCH("구리독자",$V1052)),"구리독자","")</f>
        <v/>
      </c>
      <c r="X1052">
        <f>IF($R1052="","",$R1052&amp;"|"&amp;IF(OR($Q1052="인턴",ISNUMBER(SEARCH("수련교육부",$P1052))),"인턴",$P1052))</f>
        <v/>
      </c>
      <c r="Y1052">
        <f>IF($R1052="","",IF(COUNTIF(명단표[이름|과],$X1052)=1,"명단 일치",IF(AND(COUNTIF(명단표[이름|과],$X1052)=0,COUNTIF(명단표[이름],$R1052)=1),"명단 일치(이름만, 과 다름)",IF(COUNTIF(명단표[이름],$R1052)=0,IF(COUNTIF(기본자료표[이름],$R1052)&gt;0,"명단에 없음(기본자료에는 있음)","명단에 없음"),"동명이인 확인"))))</f>
        <v/>
      </c>
      <c r="Z1052">
        <f>IF($R1052="","",IF($S1052&lt;0,"⚠"&amp;INDEX('입력_구리근무자명단'!$A1050:$ZZ1050,1,$E$2+2),TEXT($S1052,"yyyy-mm-dd")))</f>
        <v/>
      </c>
      <c r="AA1052">
        <f>IF($R1052="","",IF($T1052&lt;0,"⚠"&amp;INDEX('입력_구리근무자명단'!$A1050:$ZZ1050,1,$E$2+3),TEXT($T1052,"yyyy-mm-dd")))</f>
        <v/>
      </c>
      <c r="AB1052">
        <f>AB1051+IF($R1052="",0,1)</f>
        <v/>
      </c>
      <c r="AC1052">
        <f>IF($R1052="","",$AB1052)</f>
        <v/>
      </c>
    </row>
    <row r="1053">
      <c r="O1053">
        <f>1051</f>
        <v/>
      </c>
      <c r="P1053">
        <f>IF(TRIM('입력_구리근무자명단'!$A1051&amp;"")&lt;&gt;"",TRIM('입력_구리근무자명단'!$A1051&amp;""),P1052)</f>
        <v/>
      </c>
      <c r="Q1053">
        <f>'입력_구리근무자명단'!$B1051&amp;""</f>
        <v/>
      </c>
      <c r="R1053">
        <f>IF($E$2="","",TRIM(INDEX('입력_구리근무자명단'!$A1051:$ZZ1051,1,$E$2+IF($G$2="확정",1,0))&amp;""))</f>
        <v/>
      </c>
      <c r="S1053">
        <f>IF($R1053="","",IF(INDEX('입력_구리근무자명단'!$A1051:$ZZ1051,1,$E$2+2)&amp;""="",급여기준월,IF(ISNUMBER(INDEX('입력_구리근무자명단'!$A1051:$ZZ1051,1,$E$2+2)),INDEX('입력_구리근무자명단'!$A1051:$ZZ1051,1,$E$2+2),IFERROR(DATE(VALUE(LEFT(INDEX('입력_구리근무자명단'!$A1051:$ZZ1051,1,$E$2+2),4)),VALUE(MID(INDEX('입력_구리근무자명단'!$A1051:$ZZ1051,1,$E$2+2),6,2)),VALUE(MID(INDEX('입력_구리근무자명단'!$A1051:$ZZ1051,1,$E$2+2),9,2))),-1))))</f>
        <v/>
      </c>
      <c r="T1053">
        <f>IF($R1053="","",IF(INDEX('입력_구리근무자명단'!$A1051:$ZZ1051,1,$E$2+3)&amp;""="",EOMONTH(급여기준월,0),IF(ISNUMBER(INDEX('입력_구리근무자명단'!$A1051:$ZZ1051,1,$E$2+3)),INDEX('입력_구리근무자명단'!$A1051:$ZZ1051,1,$E$2+3),IFERROR(DATE(VALUE(LEFT(INDEX('입력_구리근무자명단'!$A1051:$ZZ1051,1,$E$2+3),4)),VALUE(MID(INDEX('입력_구리근무자명단'!$A1051:$ZZ1051,1,$E$2+3),6,2)),VALUE(MID(INDEX('입력_구리근무자명단'!$A1051:$ZZ1051,1,$E$2+3),9,2))),-1))))</f>
        <v/>
      </c>
      <c r="U1053">
        <f>IF($R1053="","",IF(OR($S1053&lt;0,$T1053&lt;0),0,MAX(0,MIN($T1053,EOMONTH(급여기준월,0))-MAX($S1053,급여기준월)+1)))</f>
        <v/>
      </c>
      <c r="V1053">
        <f>IF($R1053="","",TRIM(INDEX('입력_구리근무자명단'!$A1051:$ZZ1051,1,$E$2+5)&amp;""))</f>
        <v/>
      </c>
      <c r="W1053">
        <f>IF(ISNUMBER(SEARCH("구리독자",$V1053)),"구리독자","")</f>
        <v/>
      </c>
      <c r="X1053">
        <f>IF($R1053="","",$R1053&amp;"|"&amp;IF(OR($Q1053="인턴",ISNUMBER(SEARCH("수련교육부",$P1053))),"인턴",$P1053))</f>
        <v/>
      </c>
      <c r="Y1053">
        <f>IF($R1053="","",IF(COUNTIF(명단표[이름|과],$X1053)=1,"명단 일치",IF(AND(COUNTIF(명단표[이름|과],$X1053)=0,COUNTIF(명단표[이름],$R1053)=1),"명단 일치(이름만, 과 다름)",IF(COUNTIF(명단표[이름],$R1053)=0,IF(COUNTIF(기본자료표[이름],$R1053)&gt;0,"명단에 없음(기본자료에는 있음)","명단에 없음"),"동명이인 확인"))))</f>
        <v/>
      </c>
      <c r="Z1053">
        <f>IF($R1053="","",IF($S1053&lt;0,"⚠"&amp;INDEX('입력_구리근무자명단'!$A1051:$ZZ1051,1,$E$2+2),TEXT($S1053,"yyyy-mm-dd")))</f>
        <v/>
      </c>
      <c r="AA1053">
        <f>IF($R1053="","",IF($T1053&lt;0,"⚠"&amp;INDEX('입력_구리근무자명단'!$A1051:$ZZ1051,1,$E$2+3),TEXT($T1053,"yyyy-mm-dd")))</f>
        <v/>
      </c>
      <c r="AB1053">
        <f>AB1052+IF($R1053="",0,1)</f>
        <v/>
      </c>
      <c r="AC1053">
        <f>IF($R1053="","",$AB1053)</f>
        <v/>
      </c>
    </row>
    <row r="1054">
      <c r="O1054">
        <f>1052</f>
        <v/>
      </c>
      <c r="P1054">
        <f>IF(TRIM('입력_구리근무자명단'!$A1052&amp;"")&lt;&gt;"",TRIM('입력_구리근무자명단'!$A1052&amp;""),P1053)</f>
        <v/>
      </c>
      <c r="Q1054">
        <f>'입력_구리근무자명단'!$B1052&amp;""</f>
        <v/>
      </c>
      <c r="R1054">
        <f>IF($E$2="","",TRIM(INDEX('입력_구리근무자명단'!$A1052:$ZZ1052,1,$E$2+IF($G$2="확정",1,0))&amp;""))</f>
        <v/>
      </c>
      <c r="S1054">
        <f>IF($R1054="","",IF(INDEX('입력_구리근무자명단'!$A1052:$ZZ1052,1,$E$2+2)&amp;""="",급여기준월,IF(ISNUMBER(INDEX('입력_구리근무자명단'!$A1052:$ZZ1052,1,$E$2+2)),INDEX('입력_구리근무자명단'!$A1052:$ZZ1052,1,$E$2+2),IFERROR(DATE(VALUE(LEFT(INDEX('입력_구리근무자명단'!$A1052:$ZZ1052,1,$E$2+2),4)),VALUE(MID(INDEX('입력_구리근무자명단'!$A1052:$ZZ1052,1,$E$2+2),6,2)),VALUE(MID(INDEX('입력_구리근무자명단'!$A1052:$ZZ1052,1,$E$2+2),9,2))),-1))))</f>
        <v/>
      </c>
      <c r="T1054">
        <f>IF($R1054="","",IF(INDEX('입력_구리근무자명단'!$A1052:$ZZ1052,1,$E$2+3)&amp;""="",EOMONTH(급여기준월,0),IF(ISNUMBER(INDEX('입력_구리근무자명단'!$A1052:$ZZ1052,1,$E$2+3)),INDEX('입력_구리근무자명단'!$A1052:$ZZ1052,1,$E$2+3),IFERROR(DATE(VALUE(LEFT(INDEX('입력_구리근무자명단'!$A1052:$ZZ1052,1,$E$2+3),4)),VALUE(MID(INDEX('입력_구리근무자명단'!$A1052:$ZZ1052,1,$E$2+3),6,2)),VALUE(MID(INDEX('입력_구리근무자명단'!$A1052:$ZZ1052,1,$E$2+3),9,2))),-1))))</f>
        <v/>
      </c>
      <c r="U1054">
        <f>IF($R1054="","",IF(OR($S1054&lt;0,$T1054&lt;0),0,MAX(0,MIN($T1054,EOMONTH(급여기준월,0))-MAX($S1054,급여기준월)+1)))</f>
        <v/>
      </c>
      <c r="V1054">
        <f>IF($R1054="","",TRIM(INDEX('입력_구리근무자명단'!$A1052:$ZZ1052,1,$E$2+5)&amp;""))</f>
        <v/>
      </c>
      <c r="W1054">
        <f>IF(ISNUMBER(SEARCH("구리독자",$V1054)),"구리독자","")</f>
        <v/>
      </c>
      <c r="X1054">
        <f>IF($R1054="","",$R1054&amp;"|"&amp;IF(OR($Q1054="인턴",ISNUMBER(SEARCH("수련교육부",$P1054))),"인턴",$P1054))</f>
        <v/>
      </c>
      <c r="Y1054">
        <f>IF($R1054="","",IF(COUNTIF(명단표[이름|과],$X1054)=1,"명단 일치",IF(AND(COUNTIF(명단표[이름|과],$X1054)=0,COUNTIF(명단표[이름],$R1054)=1),"명단 일치(이름만, 과 다름)",IF(COUNTIF(명단표[이름],$R1054)=0,IF(COUNTIF(기본자료표[이름],$R1054)&gt;0,"명단에 없음(기본자료에는 있음)","명단에 없음"),"동명이인 확인"))))</f>
        <v/>
      </c>
      <c r="Z1054">
        <f>IF($R1054="","",IF($S1054&lt;0,"⚠"&amp;INDEX('입력_구리근무자명단'!$A1052:$ZZ1052,1,$E$2+2),TEXT($S1054,"yyyy-mm-dd")))</f>
        <v/>
      </c>
      <c r="AA1054">
        <f>IF($R1054="","",IF($T1054&lt;0,"⚠"&amp;INDEX('입력_구리근무자명단'!$A1052:$ZZ1052,1,$E$2+3),TEXT($T1054,"yyyy-mm-dd")))</f>
        <v/>
      </c>
      <c r="AB1054">
        <f>AB1053+IF($R1054="",0,1)</f>
        <v/>
      </c>
      <c r="AC1054">
        <f>IF($R1054="","",$AB1054)</f>
        <v/>
      </c>
    </row>
    <row r="1055">
      <c r="O1055">
        <f>1053</f>
        <v/>
      </c>
      <c r="P1055">
        <f>IF(TRIM('입력_구리근무자명단'!$A1053&amp;"")&lt;&gt;"",TRIM('입력_구리근무자명단'!$A1053&amp;""),P1054)</f>
        <v/>
      </c>
      <c r="Q1055">
        <f>'입력_구리근무자명단'!$B1053&amp;""</f>
        <v/>
      </c>
      <c r="R1055">
        <f>IF($E$2="","",TRIM(INDEX('입력_구리근무자명단'!$A1053:$ZZ1053,1,$E$2+IF($G$2="확정",1,0))&amp;""))</f>
        <v/>
      </c>
      <c r="S1055">
        <f>IF($R1055="","",IF(INDEX('입력_구리근무자명단'!$A1053:$ZZ1053,1,$E$2+2)&amp;""="",급여기준월,IF(ISNUMBER(INDEX('입력_구리근무자명단'!$A1053:$ZZ1053,1,$E$2+2)),INDEX('입력_구리근무자명단'!$A1053:$ZZ1053,1,$E$2+2),IFERROR(DATE(VALUE(LEFT(INDEX('입력_구리근무자명단'!$A1053:$ZZ1053,1,$E$2+2),4)),VALUE(MID(INDEX('입력_구리근무자명단'!$A1053:$ZZ1053,1,$E$2+2),6,2)),VALUE(MID(INDEX('입력_구리근무자명단'!$A1053:$ZZ1053,1,$E$2+2),9,2))),-1))))</f>
        <v/>
      </c>
      <c r="T1055">
        <f>IF($R1055="","",IF(INDEX('입력_구리근무자명단'!$A1053:$ZZ1053,1,$E$2+3)&amp;""="",EOMONTH(급여기준월,0),IF(ISNUMBER(INDEX('입력_구리근무자명단'!$A1053:$ZZ1053,1,$E$2+3)),INDEX('입력_구리근무자명단'!$A1053:$ZZ1053,1,$E$2+3),IFERROR(DATE(VALUE(LEFT(INDEX('입력_구리근무자명단'!$A1053:$ZZ1053,1,$E$2+3),4)),VALUE(MID(INDEX('입력_구리근무자명단'!$A1053:$ZZ1053,1,$E$2+3),6,2)),VALUE(MID(INDEX('입력_구리근무자명단'!$A1053:$ZZ1053,1,$E$2+3),9,2))),-1))))</f>
        <v/>
      </c>
      <c r="U1055">
        <f>IF($R1055="","",IF(OR($S1055&lt;0,$T1055&lt;0),0,MAX(0,MIN($T1055,EOMONTH(급여기준월,0))-MAX($S1055,급여기준월)+1)))</f>
        <v/>
      </c>
      <c r="V1055">
        <f>IF($R1055="","",TRIM(INDEX('입력_구리근무자명단'!$A1053:$ZZ1053,1,$E$2+5)&amp;""))</f>
        <v/>
      </c>
      <c r="W1055">
        <f>IF(ISNUMBER(SEARCH("구리독자",$V1055)),"구리독자","")</f>
        <v/>
      </c>
      <c r="X1055">
        <f>IF($R1055="","",$R1055&amp;"|"&amp;IF(OR($Q1055="인턴",ISNUMBER(SEARCH("수련교육부",$P1055))),"인턴",$P1055))</f>
        <v/>
      </c>
      <c r="Y1055">
        <f>IF($R1055="","",IF(COUNTIF(명단표[이름|과],$X1055)=1,"명단 일치",IF(AND(COUNTIF(명단표[이름|과],$X1055)=0,COUNTIF(명단표[이름],$R1055)=1),"명단 일치(이름만, 과 다름)",IF(COUNTIF(명단표[이름],$R1055)=0,IF(COUNTIF(기본자료표[이름],$R1055)&gt;0,"명단에 없음(기본자료에는 있음)","명단에 없음"),"동명이인 확인"))))</f>
        <v/>
      </c>
      <c r="Z1055">
        <f>IF($R1055="","",IF($S1055&lt;0,"⚠"&amp;INDEX('입력_구리근무자명단'!$A1053:$ZZ1053,1,$E$2+2),TEXT($S1055,"yyyy-mm-dd")))</f>
        <v/>
      </c>
      <c r="AA1055">
        <f>IF($R1055="","",IF($T1055&lt;0,"⚠"&amp;INDEX('입력_구리근무자명단'!$A1053:$ZZ1053,1,$E$2+3),TEXT($T1055,"yyyy-mm-dd")))</f>
        <v/>
      </c>
      <c r="AB1055">
        <f>AB1054+IF($R1055="",0,1)</f>
        <v/>
      </c>
      <c r="AC1055">
        <f>IF($R1055="","",$AB1055)</f>
        <v/>
      </c>
    </row>
    <row r="1056">
      <c r="O1056">
        <f>1054</f>
        <v/>
      </c>
      <c r="P1056">
        <f>IF(TRIM('입력_구리근무자명단'!$A1054&amp;"")&lt;&gt;"",TRIM('입력_구리근무자명단'!$A1054&amp;""),P1055)</f>
        <v/>
      </c>
      <c r="Q1056">
        <f>'입력_구리근무자명단'!$B1054&amp;""</f>
        <v/>
      </c>
      <c r="R1056">
        <f>IF($E$2="","",TRIM(INDEX('입력_구리근무자명단'!$A1054:$ZZ1054,1,$E$2+IF($G$2="확정",1,0))&amp;""))</f>
        <v/>
      </c>
      <c r="S1056">
        <f>IF($R1056="","",IF(INDEX('입력_구리근무자명단'!$A1054:$ZZ1054,1,$E$2+2)&amp;""="",급여기준월,IF(ISNUMBER(INDEX('입력_구리근무자명단'!$A1054:$ZZ1054,1,$E$2+2)),INDEX('입력_구리근무자명단'!$A1054:$ZZ1054,1,$E$2+2),IFERROR(DATE(VALUE(LEFT(INDEX('입력_구리근무자명단'!$A1054:$ZZ1054,1,$E$2+2),4)),VALUE(MID(INDEX('입력_구리근무자명단'!$A1054:$ZZ1054,1,$E$2+2),6,2)),VALUE(MID(INDEX('입력_구리근무자명단'!$A1054:$ZZ1054,1,$E$2+2),9,2))),-1))))</f>
        <v/>
      </c>
      <c r="T1056">
        <f>IF($R1056="","",IF(INDEX('입력_구리근무자명단'!$A1054:$ZZ1054,1,$E$2+3)&amp;""="",EOMONTH(급여기준월,0),IF(ISNUMBER(INDEX('입력_구리근무자명단'!$A1054:$ZZ1054,1,$E$2+3)),INDEX('입력_구리근무자명단'!$A1054:$ZZ1054,1,$E$2+3),IFERROR(DATE(VALUE(LEFT(INDEX('입력_구리근무자명단'!$A1054:$ZZ1054,1,$E$2+3),4)),VALUE(MID(INDEX('입력_구리근무자명단'!$A1054:$ZZ1054,1,$E$2+3),6,2)),VALUE(MID(INDEX('입력_구리근무자명단'!$A1054:$ZZ1054,1,$E$2+3),9,2))),-1))))</f>
        <v/>
      </c>
      <c r="U1056">
        <f>IF($R1056="","",IF(OR($S1056&lt;0,$T1056&lt;0),0,MAX(0,MIN($T1056,EOMONTH(급여기준월,0))-MAX($S1056,급여기준월)+1)))</f>
        <v/>
      </c>
      <c r="V1056">
        <f>IF($R1056="","",TRIM(INDEX('입력_구리근무자명단'!$A1054:$ZZ1054,1,$E$2+5)&amp;""))</f>
        <v/>
      </c>
      <c r="W1056">
        <f>IF(ISNUMBER(SEARCH("구리독자",$V1056)),"구리독자","")</f>
        <v/>
      </c>
      <c r="X1056">
        <f>IF($R1056="","",$R1056&amp;"|"&amp;IF(OR($Q1056="인턴",ISNUMBER(SEARCH("수련교육부",$P1056))),"인턴",$P1056))</f>
        <v/>
      </c>
      <c r="Y1056">
        <f>IF($R1056="","",IF(COUNTIF(명단표[이름|과],$X1056)=1,"명단 일치",IF(AND(COUNTIF(명단표[이름|과],$X1056)=0,COUNTIF(명단표[이름],$R1056)=1),"명단 일치(이름만, 과 다름)",IF(COUNTIF(명단표[이름],$R1056)=0,IF(COUNTIF(기본자료표[이름],$R1056)&gt;0,"명단에 없음(기본자료에는 있음)","명단에 없음"),"동명이인 확인"))))</f>
        <v/>
      </c>
      <c r="Z1056">
        <f>IF($R1056="","",IF($S1056&lt;0,"⚠"&amp;INDEX('입력_구리근무자명단'!$A1054:$ZZ1054,1,$E$2+2),TEXT($S1056,"yyyy-mm-dd")))</f>
        <v/>
      </c>
      <c r="AA1056">
        <f>IF($R1056="","",IF($T1056&lt;0,"⚠"&amp;INDEX('입력_구리근무자명단'!$A1054:$ZZ1054,1,$E$2+3),TEXT($T1056,"yyyy-mm-dd")))</f>
        <v/>
      </c>
      <c r="AB1056">
        <f>AB1055+IF($R1056="",0,1)</f>
        <v/>
      </c>
      <c r="AC1056">
        <f>IF($R1056="","",$AB1056)</f>
        <v/>
      </c>
    </row>
    <row r="1057">
      <c r="O1057">
        <f>1055</f>
        <v/>
      </c>
      <c r="P1057">
        <f>IF(TRIM('입력_구리근무자명단'!$A1055&amp;"")&lt;&gt;"",TRIM('입력_구리근무자명단'!$A1055&amp;""),P1056)</f>
        <v/>
      </c>
      <c r="Q1057">
        <f>'입력_구리근무자명단'!$B1055&amp;""</f>
        <v/>
      </c>
      <c r="R1057">
        <f>IF($E$2="","",TRIM(INDEX('입력_구리근무자명단'!$A1055:$ZZ1055,1,$E$2+IF($G$2="확정",1,0))&amp;""))</f>
        <v/>
      </c>
      <c r="S1057">
        <f>IF($R1057="","",IF(INDEX('입력_구리근무자명단'!$A1055:$ZZ1055,1,$E$2+2)&amp;""="",급여기준월,IF(ISNUMBER(INDEX('입력_구리근무자명단'!$A1055:$ZZ1055,1,$E$2+2)),INDEX('입력_구리근무자명단'!$A1055:$ZZ1055,1,$E$2+2),IFERROR(DATE(VALUE(LEFT(INDEX('입력_구리근무자명단'!$A1055:$ZZ1055,1,$E$2+2),4)),VALUE(MID(INDEX('입력_구리근무자명단'!$A1055:$ZZ1055,1,$E$2+2),6,2)),VALUE(MID(INDEX('입력_구리근무자명단'!$A1055:$ZZ1055,1,$E$2+2),9,2))),-1))))</f>
        <v/>
      </c>
      <c r="T1057">
        <f>IF($R1057="","",IF(INDEX('입력_구리근무자명단'!$A1055:$ZZ1055,1,$E$2+3)&amp;""="",EOMONTH(급여기준월,0),IF(ISNUMBER(INDEX('입력_구리근무자명단'!$A1055:$ZZ1055,1,$E$2+3)),INDEX('입력_구리근무자명단'!$A1055:$ZZ1055,1,$E$2+3),IFERROR(DATE(VALUE(LEFT(INDEX('입력_구리근무자명단'!$A1055:$ZZ1055,1,$E$2+3),4)),VALUE(MID(INDEX('입력_구리근무자명단'!$A1055:$ZZ1055,1,$E$2+3),6,2)),VALUE(MID(INDEX('입력_구리근무자명단'!$A1055:$ZZ1055,1,$E$2+3),9,2))),-1))))</f>
        <v/>
      </c>
      <c r="U1057">
        <f>IF($R1057="","",IF(OR($S1057&lt;0,$T1057&lt;0),0,MAX(0,MIN($T1057,EOMONTH(급여기준월,0))-MAX($S1057,급여기준월)+1)))</f>
        <v/>
      </c>
      <c r="V1057">
        <f>IF($R1057="","",TRIM(INDEX('입력_구리근무자명단'!$A1055:$ZZ1055,1,$E$2+5)&amp;""))</f>
        <v/>
      </c>
      <c r="W1057">
        <f>IF(ISNUMBER(SEARCH("구리독자",$V1057)),"구리독자","")</f>
        <v/>
      </c>
      <c r="X1057">
        <f>IF($R1057="","",$R1057&amp;"|"&amp;IF(OR($Q1057="인턴",ISNUMBER(SEARCH("수련교육부",$P1057))),"인턴",$P1057))</f>
        <v/>
      </c>
      <c r="Y1057">
        <f>IF($R1057="","",IF(COUNTIF(명단표[이름|과],$X1057)=1,"명단 일치",IF(AND(COUNTIF(명단표[이름|과],$X1057)=0,COUNTIF(명단표[이름],$R1057)=1),"명단 일치(이름만, 과 다름)",IF(COUNTIF(명단표[이름],$R1057)=0,IF(COUNTIF(기본자료표[이름],$R1057)&gt;0,"명단에 없음(기본자료에는 있음)","명단에 없음"),"동명이인 확인"))))</f>
        <v/>
      </c>
      <c r="Z1057">
        <f>IF($R1057="","",IF($S1057&lt;0,"⚠"&amp;INDEX('입력_구리근무자명단'!$A1055:$ZZ1055,1,$E$2+2),TEXT($S1057,"yyyy-mm-dd")))</f>
        <v/>
      </c>
      <c r="AA1057">
        <f>IF($R1057="","",IF($T1057&lt;0,"⚠"&amp;INDEX('입력_구리근무자명단'!$A1055:$ZZ1055,1,$E$2+3),TEXT($T1057,"yyyy-mm-dd")))</f>
        <v/>
      </c>
      <c r="AB1057">
        <f>AB1056+IF($R1057="",0,1)</f>
        <v/>
      </c>
      <c r="AC1057">
        <f>IF($R1057="","",$AB1057)</f>
        <v/>
      </c>
    </row>
    <row r="1058">
      <c r="O1058">
        <f>1056</f>
        <v/>
      </c>
      <c r="P1058">
        <f>IF(TRIM('입력_구리근무자명단'!$A1056&amp;"")&lt;&gt;"",TRIM('입력_구리근무자명단'!$A1056&amp;""),P1057)</f>
        <v/>
      </c>
      <c r="Q1058">
        <f>'입력_구리근무자명단'!$B1056&amp;""</f>
        <v/>
      </c>
      <c r="R1058">
        <f>IF($E$2="","",TRIM(INDEX('입력_구리근무자명단'!$A1056:$ZZ1056,1,$E$2+IF($G$2="확정",1,0))&amp;""))</f>
        <v/>
      </c>
      <c r="S1058">
        <f>IF($R1058="","",IF(INDEX('입력_구리근무자명단'!$A1056:$ZZ1056,1,$E$2+2)&amp;""="",급여기준월,IF(ISNUMBER(INDEX('입력_구리근무자명단'!$A1056:$ZZ1056,1,$E$2+2)),INDEX('입력_구리근무자명단'!$A1056:$ZZ1056,1,$E$2+2),IFERROR(DATE(VALUE(LEFT(INDEX('입력_구리근무자명단'!$A1056:$ZZ1056,1,$E$2+2),4)),VALUE(MID(INDEX('입력_구리근무자명단'!$A1056:$ZZ1056,1,$E$2+2),6,2)),VALUE(MID(INDEX('입력_구리근무자명단'!$A1056:$ZZ1056,1,$E$2+2),9,2))),-1))))</f>
        <v/>
      </c>
      <c r="T1058">
        <f>IF($R1058="","",IF(INDEX('입력_구리근무자명단'!$A1056:$ZZ1056,1,$E$2+3)&amp;""="",EOMONTH(급여기준월,0),IF(ISNUMBER(INDEX('입력_구리근무자명단'!$A1056:$ZZ1056,1,$E$2+3)),INDEX('입력_구리근무자명단'!$A1056:$ZZ1056,1,$E$2+3),IFERROR(DATE(VALUE(LEFT(INDEX('입력_구리근무자명단'!$A1056:$ZZ1056,1,$E$2+3),4)),VALUE(MID(INDEX('입력_구리근무자명단'!$A1056:$ZZ1056,1,$E$2+3),6,2)),VALUE(MID(INDEX('입력_구리근무자명단'!$A1056:$ZZ1056,1,$E$2+3),9,2))),-1))))</f>
        <v/>
      </c>
      <c r="U1058">
        <f>IF($R1058="","",IF(OR($S1058&lt;0,$T1058&lt;0),0,MAX(0,MIN($T1058,EOMONTH(급여기준월,0))-MAX($S1058,급여기준월)+1)))</f>
        <v/>
      </c>
      <c r="V1058">
        <f>IF($R1058="","",TRIM(INDEX('입력_구리근무자명단'!$A1056:$ZZ1056,1,$E$2+5)&amp;""))</f>
        <v/>
      </c>
      <c r="W1058">
        <f>IF(ISNUMBER(SEARCH("구리독자",$V1058)),"구리독자","")</f>
        <v/>
      </c>
      <c r="X1058">
        <f>IF($R1058="","",$R1058&amp;"|"&amp;IF(OR($Q1058="인턴",ISNUMBER(SEARCH("수련교육부",$P1058))),"인턴",$P1058))</f>
        <v/>
      </c>
      <c r="Y1058">
        <f>IF($R1058="","",IF(COUNTIF(명단표[이름|과],$X1058)=1,"명단 일치",IF(AND(COUNTIF(명단표[이름|과],$X1058)=0,COUNTIF(명단표[이름],$R1058)=1),"명단 일치(이름만, 과 다름)",IF(COUNTIF(명단표[이름],$R1058)=0,IF(COUNTIF(기본자료표[이름],$R1058)&gt;0,"명단에 없음(기본자료에는 있음)","명단에 없음"),"동명이인 확인"))))</f>
        <v/>
      </c>
      <c r="Z1058">
        <f>IF($R1058="","",IF($S1058&lt;0,"⚠"&amp;INDEX('입력_구리근무자명단'!$A1056:$ZZ1056,1,$E$2+2),TEXT($S1058,"yyyy-mm-dd")))</f>
        <v/>
      </c>
      <c r="AA1058">
        <f>IF($R1058="","",IF($T1058&lt;0,"⚠"&amp;INDEX('입력_구리근무자명단'!$A1056:$ZZ1056,1,$E$2+3),TEXT($T1058,"yyyy-mm-dd")))</f>
        <v/>
      </c>
      <c r="AB1058">
        <f>AB1057+IF($R1058="",0,1)</f>
        <v/>
      </c>
      <c r="AC1058">
        <f>IF($R1058="","",$AB1058)</f>
        <v/>
      </c>
    </row>
    <row r="1059">
      <c r="O1059">
        <f>1057</f>
        <v/>
      </c>
      <c r="P1059">
        <f>IF(TRIM('입력_구리근무자명단'!$A1057&amp;"")&lt;&gt;"",TRIM('입력_구리근무자명단'!$A1057&amp;""),P1058)</f>
        <v/>
      </c>
      <c r="Q1059">
        <f>'입력_구리근무자명단'!$B1057&amp;""</f>
        <v/>
      </c>
      <c r="R1059">
        <f>IF($E$2="","",TRIM(INDEX('입력_구리근무자명단'!$A1057:$ZZ1057,1,$E$2+IF($G$2="확정",1,0))&amp;""))</f>
        <v/>
      </c>
      <c r="S1059">
        <f>IF($R1059="","",IF(INDEX('입력_구리근무자명단'!$A1057:$ZZ1057,1,$E$2+2)&amp;""="",급여기준월,IF(ISNUMBER(INDEX('입력_구리근무자명단'!$A1057:$ZZ1057,1,$E$2+2)),INDEX('입력_구리근무자명단'!$A1057:$ZZ1057,1,$E$2+2),IFERROR(DATE(VALUE(LEFT(INDEX('입력_구리근무자명단'!$A1057:$ZZ1057,1,$E$2+2),4)),VALUE(MID(INDEX('입력_구리근무자명단'!$A1057:$ZZ1057,1,$E$2+2),6,2)),VALUE(MID(INDEX('입력_구리근무자명단'!$A1057:$ZZ1057,1,$E$2+2),9,2))),-1))))</f>
        <v/>
      </c>
      <c r="T1059">
        <f>IF($R1059="","",IF(INDEX('입력_구리근무자명단'!$A1057:$ZZ1057,1,$E$2+3)&amp;""="",EOMONTH(급여기준월,0),IF(ISNUMBER(INDEX('입력_구리근무자명단'!$A1057:$ZZ1057,1,$E$2+3)),INDEX('입력_구리근무자명단'!$A1057:$ZZ1057,1,$E$2+3),IFERROR(DATE(VALUE(LEFT(INDEX('입력_구리근무자명단'!$A1057:$ZZ1057,1,$E$2+3),4)),VALUE(MID(INDEX('입력_구리근무자명단'!$A1057:$ZZ1057,1,$E$2+3),6,2)),VALUE(MID(INDEX('입력_구리근무자명단'!$A1057:$ZZ1057,1,$E$2+3),9,2))),-1))))</f>
        <v/>
      </c>
      <c r="U1059">
        <f>IF($R1059="","",IF(OR($S1059&lt;0,$T1059&lt;0),0,MAX(0,MIN($T1059,EOMONTH(급여기준월,0))-MAX($S1059,급여기준월)+1)))</f>
        <v/>
      </c>
      <c r="V1059">
        <f>IF($R1059="","",TRIM(INDEX('입력_구리근무자명단'!$A1057:$ZZ1057,1,$E$2+5)&amp;""))</f>
        <v/>
      </c>
      <c r="W1059">
        <f>IF(ISNUMBER(SEARCH("구리독자",$V1059)),"구리독자","")</f>
        <v/>
      </c>
      <c r="X1059">
        <f>IF($R1059="","",$R1059&amp;"|"&amp;IF(OR($Q1059="인턴",ISNUMBER(SEARCH("수련교육부",$P1059))),"인턴",$P1059))</f>
        <v/>
      </c>
      <c r="Y1059">
        <f>IF($R1059="","",IF(COUNTIF(명단표[이름|과],$X1059)=1,"명단 일치",IF(AND(COUNTIF(명단표[이름|과],$X1059)=0,COUNTIF(명단표[이름],$R1059)=1),"명단 일치(이름만, 과 다름)",IF(COUNTIF(명단표[이름],$R1059)=0,IF(COUNTIF(기본자료표[이름],$R1059)&gt;0,"명단에 없음(기본자료에는 있음)","명단에 없음"),"동명이인 확인"))))</f>
        <v/>
      </c>
      <c r="Z1059">
        <f>IF($R1059="","",IF($S1059&lt;0,"⚠"&amp;INDEX('입력_구리근무자명단'!$A1057:$ZZ1057,1,$E$2+2),TEXT($S1059,"yyyy-mm-dd")))</f>
        <v/>
      </c>
      <c r="AA1059">
        <f>IF($R1059="","",IF($T1059&lt;0,"⚠"&amp;INDEX('입력_구리근무자명단'!$A1057:$ZZ1057,1,$E$2+3),TEXT($T1059,"yyyy-mm-dd")))</f>
        <v/>
      </c>
      <c r="AB1059">
        <f>AB1058+IF($R1059="",0,1)</f>
        <v/>
      </c>
      <c r="AC1059">
        <f>IF($R1059="","",$AB1059)</f>
        <v/>
      </c>
    </row>
    <row r="1060">
      <c r="O1060">
        <f>1058</f>
        <v/>
      </c>
      <c r="P1060">
        <f>IF(TRIM('입력_구리근무자명단'!$A1058&amp;"")&lt;&gt;"",TRIM('입력_구리근무자명단'!$A1058&amp;""),P1059)</f>
        <v/>
      </c>
      <c r="Q1060">
        <f>'입력_구리근무자명단'!$B1058&amp;""</f>
        <v/>
      </c>
      <c r="R1060">
        <f>IF($E$2="","",TRIM(INDEX('입력_구리근무자명단'!$A1058:$ZZ1058,1,$E$2+IF($G$2="확정",1,0))&amp;""))</f>
        <v/>
      </c>
      <c r="S1060">
        <f>IF($R1060="","",IF(INDEX('입력_구리근무자명단'!$A1058:$ZZ1058,1,$E$2+2)&amp;""="",급여기준월,IF(ISNUMBER(INDEX('입력_구리근무자명단'!$A1058:$ZZ1058,1,$E$2+2)),INDEX('입력_구리근무자명단'!$A1058:$ZZ1058,1,$E$2+2),IFERROR(DATE(VALUE(LEFT(INDEX('입력_구리근무자명단'!$A1058:$ZZ1058,1,$E$2+2),4)),VALUE(MID(INDEX('입력_구리근무자명단'!$A1058:$ZZ1058,1,$E$2+2),6,2)),VALUE(MID(INDEX('입력_구리근무자명단'!$A1058:$ZZ1058,1,$E$2+2),9,2))),-1))))</f>
        <v/>
      </c>
      <c r="T1060">
        <f>IF($R1060="","",IF(INDEX('입력_구리근무자명단'!$A1058:$ZZ1058,1,$E$2+3)&amp;""="",EOMONTH(급여기준월,0),IF(ISNUMBER(INDEX('입력_구리근무자명단'!$A1058:$ZZ1058,1,$E$2+3)),INDEX('입력_구리근무자명단'!$A1058:$ZZ1058,1,$E$2+3),IFERROR(DATE(VALUE(LEFT(INDEX('입력_구리근무자명단'!$A1058:$ZZ1058,1,$E$2+3),4)),VALUE(MID(INDEX('입력_구리근무자명단'!$A1058:$ZZ1058,1,$E$2+3),6,2)),VALUE(MID(INDEX('입력_구리근무자명단'!$A1058:$ZZ1058,1,$E$2+3),9,2))),-1))))</f>
        <v/>
      </c>
      <c r="U1060">
        <f>IF($R1060="","",IF(OR($S1060&lt;0,$T1060&lt;0),0,MAX(0,MIN($T1060,EOMONTH(급여기준월,0))-MAX($S1060,급여기준월)+1)))</f>
        <v/>
      </c>
      <c r="V1060">
        <f>IF($R1060="","",TRIM(INDEX('입력_구리근무자명단'!$A1058:$ZZ1058,1,$E$2+5)&amp;""))</f>
        <v/>
      </c>
      <c r="W1060">
        <f>IF(ISNUMBER(SEARCH("구리독자",$V1060)),"구리독자","")</f>
        <v/>
      </c>
      <c r="X1060">
        <f>IF($R1060="","",$R1060&amp;"|"&amp;IF(OR($Q1060="인턴",ISNUMBER(SEARCH("수련교육부",$P1060))),"인턴",$P1060))</f>
        <v/>
      </c>
      <c r="Y1060">
        <f>IF($R1060="","",IF(COUNTIF(명단표[이름|과],$X1060)=1,"명단 일치",IF(AND(COUNTIF(명단표[이름|과],$X1060)=0,COUNTIF(명단표[이름],$R1060)=1),"명단 일치(이름만, 과 다름)",IF(COUNTIF(명단표[이름],$R1060)=0,IF(COUNTIF(기본자료표[이름],$R1060)&gt;0,"명단에 없음(기본자료에는 있음)","명단에 없음"),"동명이인 확인"))))</f>
        <v/>
      </c>
      <c r="Z1060">
        <f>IF($R1060="","",IF($S1060&lt;0,"⚠"&amp;INDEX('입력_구리근무자명단'!$A1058:$ZZ1058,1,$E$2+2),TEXT($S1060,"yyyy-mm-dd")))</f>
        <v/>
      </c>
      <c r="AA1060">
        <f>IF($R1060="","",IF($T1060&lt;0,"⚠"&amp;INDEX('입력_구리근무자명단'!$A1058:$ZZ1058,1,$E$2+3),TEXT($T1060,"yyyy-mm-dd")))</f>
        <v/>
      </c>
      <c r="AB1060">
        <f>AB1059+IF($R1060="",0,1)</f>
        <v/>
      </c>
      <c r="AC1060">
        <f>IF($R1060="","",$AB1060)</f>
        <v/>
      </c>
    </row>
    <row r="1061">
      <c r="O1061">
        <f>1059</f>
        <v/>
      </c>
      <c r="P1061">
        <f>IF(TRIM('입력_구리근무자명단'!$A1059&amp;"")&lt;&gt;"",TRIM('입력_구리근무자명단'!$A1059&amp;""),P1060)</f>
        <v/>
      </c>
      <c r="Q1061">
        <f>'입력_구리근무자명단'!$B1059&amp;""</f>
        <v/>
      </c>
      <c r="R1061">
        <f>IF($E$2="","",TRIM(INDEX('입력_구리근무자명단'!$A1059:$ZZ1059,1,$E$2+IF($G$2="확정",1,0))&amp;""))</f>
        <v/>
      </c>
      <c r="S1061">
        <f>IF($R1061="","",IF(INDEX('입력_구리근무자명단'!$A1059:$ZZ1059,1,$E$2+2)&amp;""="",급여기준월,IF(ISNUMBER(INDEX('입력_구리근무자명단'!$A1059:$ZZ1059,1,$E$2+2)),INDEX('입력_구리근무자명단'!$A1059:$ZZ1059,1,$E$2+2),IFERROR(DATE(VALUE(LEFT(INDEX('입력_구리근무자명단'!$A1059:$ZZ1059,1,$E$2+2),4)),VALUE(MID(INDEX('입력_구리근무자명단'!$A1059:$ZZ1059,1,$E$2+2),6,2)),VALUE(MID(INDEX('입력_구리근무자명단'!$A1059:$ZZ1059,1,$E$2+2),9,2))),-1))))</f>
        <v/>
      </c>
      <c r="T1061">
        <f>IF($R1061="","",IF(INDEX('입력_구리근무자명단'!$A1059:$ZZ1059,1,$E$2+3)&amp;""="",EOMONTH(급여기준월,0),IF(ISNUMBER(INDEX('입력_구리근무자명단'!$A1059:$ZZ1059,1,$E$2+3)),INDEX('입력_구리근무자명단'!$A1059:$ZZ1059,1,$E$2+3),IFERROR(DATE(VALUE(LEFT(INDEX('입력_구리근무자명단'!$A1059:$ZZ1059,1,$E$2+3),4)),VALUE(MID(INDEX('입력_구리근무자명단'!$A1059:$ZZ1059,1,$E$2+3),6,2)),VALUE(MID(INDEX('입력_구리근무자명단'!$A1059:$ZZ1059,1,$E$2+3),9,2))),-1))))</f>
        <v/>
      </c>
      <c r="U1061">
        <f>IF($R1061="","",IF(OR($S1061&lt;0,$T1061&lt;0),0,MAX(0,MIN($T1061,EOMONTH(급여기준월,0))-MAX($S1061,급여기준월)+1)))</f>
        <v/>
      </c>
      <c r="V1061">
        <f>IF($R1061="","",TRIM(INDEX('입력_구리근무자명단'!$A1059:$ZZ1059,1,$E$2+5)&amp;""))</f>
        <v/>
      </c>
      <c r="W1061">
        <f>IF(ISNUMBER(SEARCH("구리독자",$V1061)),"구리독자","")</f>
        <v/>
      </c>
      <c r="X1061">
        <f>IF($R1061="","",$R1061&amp;"|"&amp;IF(OR($Q1061="인턴",ISNUMBER(SEARCH("수련교육부",$P1061))),"인턴",$P1061))</f>
        <v/>
      </c>
      <c r="Y1061">
        <f>IF($R1061="","",IF(COUNTIF(명단표[이름|과],$X1061)=1,"명단 일치",IF(AND(COUNTIF(명단표[이름|과],$X1061)=0,COUNTIF(명단표[이름],$R1061)=1),"명단 일치(이름만, 과 다름)",IF(COUNTIF(명단표[이름],$R1061)=0,IF(COUNTIF(기본자료표[이름],$R1061)&gt;0,"명단에 없음(기본자료에는 있음)","명단에 없음"),"동명이인 확인"))))</f>
        <v/>
      </c>
      <c r="Z1061">
        <f>IF($R1061="","",IF($S1061&lt;0,"⚠"&amp;INDEX('입력_구리근무자명단'!$A1059:$ZZ1059,1,$E$2+2),TEXT($S1061,"yyyy-mm-dd")))</f>
        <v/>
      </c>
      <c r="AA1061">
        <f>IF($R1061="","",IF($T1061&lt;0,"⚠"&amp;INDEX('입력_구리근무자명단'!$A1059:$ZZ1059,1,$E$2+3),TEXT($T1061,"yyyy-mm-dd")))</f>
        <v/>
      </c>
      <c r="AB1061">
        <f>AB1060+IF($R1061="",0,1)</f>
        <v/>
      </c>
      <c r="AC1061">
        <f>IF($R1061="","",$AB1061)</f>
        <v/>
      </c>
    </row>
    <row r="1062">
      <c r="O1062">
        <f>1060</f>
        <v/>
      </c>
      <c r="P1062">
        <f>IF(TRIM('입력_구리근무자명단'!$A1060&amp;"")&lt;&gt;"",TRIM('입력_구리근무자명단'!$A1060&amp;""),P1061)</f>
        <v/>
      </c>
      <c r="Q1062">
        <f>'입력_구리근무자명단'!$B1060&amp;""</f>
        <v/>
      </c>
      <c r="R1062">
        <f>IF($E$2="","",TRIM(INDEX('입력_구리근무자명단'!$A1060:$ZZ1060,1,$E$2+IF($G$2="확정",1,0))&amp;""))</f>
        <v/>
      </c>
      <c r="S1062">
        <f>IF($R1062="","",IF(INDEX('입력_구리근무자명단'!$A1060:$ZZ1060,1,$E$2+2)&amp;""="",급여기준월,IF(ISNUMBER(INDEX('입력_구리근무자명단'!$A1060:$ZZ1060,1,$E$2+2)),INDEX('입력_구리근무자명단'!$A1060:$ZZ1060,1,$E$2+2),IFERROR(DATE(VALUE(LEFT(INDEX('입력_구리근무자명단'!$A1060:$ZZ1060,1,$E$2+2),4)),VALUE(MID(INDEX('입력_구리근무자명단'!$A1060:$ZZ1060,1,$E$2+2),6,2)),VALUE(MID(INDEX('입력_구리근무자명단'!$A1060:$ZZ1060,1,$E$2+2),9,2))),-1))))</f>
        <v/>
      </c>
      <c r="T1062">
        <f>IF($R1062="","",IF(INDEX('입력_구리근무자명단'!$A1060:$ZZ1060,1,$E$2+3)&amp;""="",EOMONTH(급여기준월,0),IF(ISNUMBER(INDEX('입력_구리근무자명단'!$A1060:$ZZ1060,1,$E$2+3)),INDEX('입력_구리근무자명단'!$A1060:$ZZ1060,1,$E$2+3),IFERROR(DATE(VALUE(LEFT(INDEX('입력_구리근무자명단'!$A1060:$ZZ1060,1,$E$2+3),4)),VALUE(MID(INDEX('입력_구리근무자명단'!$A1060:$ZZ1060,1,$E$2+3),6,2)),VALUE(MID(INDEX('입력_구리근무자명단'!$A1060:$ZZ1060,1,$E$2+3),9,2))),-1))))</f>
        <v/>
      </c>
      <c r="U1062">
        <f>IF($R1062="","",IF(OR($S1062&lt;0,$T1062&lt;0),0,MAX(0,MIN($T1062,EOMONTH(급여기준월,0))-MAX($S1062,급여기준월)+1)))</f>
        <v/>
      </c>
      <c r="V1062">
        <f>IF($R1062="","",TRIM(INDEX('입력_구리근무자명단'!$A1060:$ZZ1060,1,$E$2+5)&amp;""))</f>
        <v/>
      </c>
      <c r="W1062">
        <f>IF(ISNUMBER(SEARCH("구리독자",$V1062)),"구리독자","")</f>
        <v/>
      </c>
      <c r="X1062">
        <f>IF($R1062="","",$R1062&amp;"|"&amp;IF(OR($Q1062="인턴",ISNUMBER(SEARCH("수련교육부",$P1062))),"인턴",$P1062))</f>
        <v/>
      </c>
      <c r="Y1062">
        <f>IF($R1062="","",IF(COUNTIF(명단표[이름|과],$X1062)=1,"명단 일치",IF(AND(COUNTIF(명단표[이름|과],$X1062)=0,COUNTIF(명단표[이름],$R1062)=1),"명단 일치(이름만, 과 다름)",IF(COUNTIF(명단표[이름],$R1062)=0,IF(COUNTIF(기본자료표[이름],$R1062)&gt;0,"명단에 없음(기본자료에는 있음)","명단에 없음"),"동명이인 확인"))))</f>
        <v/>
      </c>
      <c r="Z1062">
        <f>IF($R1062="","",IF($S1062&lt;0,"⚠"&amp;INDEX('입력_구리근무자명단'!$A1060:$ZZ1060,1,$E$2+2),TEXT($S1062,"yyyy-mm-dd")))</f>
        <v/>
      </c>
      <c r="AA1062">
        <f>IF($R1062="","",IF($T1062&lt;0,"⚠"&amp;INDEX('입력_구리근무자명단'!$A1060:$ZZ1060,1,$E$2+3),TEXT($T1062,"yyyy-mm-dd")))</f>
        <v/>
      </c>
      <c r="AB1062">
        <f>AB1061+IF($R1062="",0,1)</f>
        <v/>
      </c>
      <c r="AC1062">
        <f>IF($R1062="","",$AB1062)</f>
        <v/>
      </c>
    </row>
    <row r="1063">
      <c r="O1063">
        <f>1061</f>
        <v/>
      </c>
      <c r="P1063">
        <f>IF(TRIM('입력_구리근무자명단'!$A1061&amp;"")&lt;&gt;"",TRIM('입력_구리근무자명단'!$A1061&amp;""),P1062)</f>
        <v/>
      </c>
      <c r="Q1063">
        <f>'입력_구리근무자명단'!$B1061&amp;""</f>
        <v/>
      </c>
      <c r="R1063">
        <f>IF($E$2="","",TRIM(INDEX('입력_구리근무자명단'!$A1061:$ZZ1061,1,$E$2+IF($G$2="확정",1,0))&amp;""))</f>
        <v/>
      </c>
      <c r="S1063">
        <f>IF($R1063="","",IF(INDEX('입력_구리근무자명단'!$A1061:$ZZ1061,1,$E$2+2)&amp;""="",급여기준월,IF(ISNUMBER(INDEX('입력_구리근무자명단'!$A1061:$ZZ1061,1,$E$2+2)),INDEX('입력_구리근무자명단'!$A1061:$ZZ1061,1,$E$2+2),IFERROR(DATE(VALUE(LEFT(INDEX('입력_구리근무자명단'!$A1061:$ZZ1061,1,$E$2+2),4)),VALUE(MID(INDEX('입력_구리근무자명단'!$A1061:$ZZ1061,1,$E$2+2),6,2)),VALUE(MID(INDEX('입력_구리근무자명단'!$A1061:$ZZ1061,1,$E$2+2),9,2))),-1))))</f>
        <v/>
      </c>
      <c r="T1063">
        <f>IF($R1063="","",IF(INDEX('입력_구리근무자명단'!$A1061:$ZZ1061,1,$E$2+3)&amp;""="",EOMONTH(급여기준월,0),IF(ISNUMBER(INDEX('입력_구리근무자명단'!$A1061:$ZZ1061,1,$E$2+3)),INDEX('입력_구리근무자명단'!$A1061:$ZZ1061,1,$E$2+3),IFERROR(DATE(VALUE(LEFT(INDEX('입력_구리근무자명단'!$A1061:$ZZ1061,1,$E$2+3),4)),VALUE(MID(INDEX('입력_구리근무자명단'!$A1061:$ZZ1061,1,$E$2+3),6,2)),VALUE(MID(INDEX('입력_구리근무자명단'!$A1061:$ZZ1061,1,$E$2+3),9,2))),-1))))</f>
        <v/>
      </c>
      <c r="U1063">
        <f>IF($R1063="","",IF(OR($S1063&lt;0,$T1063&lt;0),0,MAX(0,MIN($T1063,EOMONTH(급여기준월,0))-MAX($S1063,급여기준월)+1)))</f>
        <v/>
      </c>
      <c r="V1063">
        <f>IF($R1063="","",TRIM(INDEX('입력_구리근무자명단'!$A1061:$ZZ1061,1,$E$2+5)&amp;""))</f>
        <v/>
      </c>
      <c r="W1063">
        <f>IF(ISNUMBER(SEARCH("구리독자",$V1063)),"구리독자","")</f>
        <v/>
      </c>
      <c r="X1063">
        <f>IF($R1063="","",$R1063&amp;"|"&amp;IF(OR($Q1063="인턴",ISNUMBER(SEARCH("수련교육부",$P1063))),"인턴",$P1063))</f>
        <v/>
      </c>
      <c r="Y1063">
        <f>IF($R1063="","",IF(COUNTIF(명단표[이름|과],$X1063)=1,"명단 일치",IF(AND(COUNTIF(명단표[이름|과],$X1063)=0,COUNTIF(명단표[이름],$R1063)=1),"명단 일치(이름만, 과 다름)",IF(COUNTIF(명단표[이름],$R1063)=0,IF(COUNTIF(기본자료표[이름],$R1063)&gt;0,"명단에 없음(기본자료에는 있음)","명단에 없음"),"동명이인 확인"))))</f>
        <v/>
      </c>
      <c r="Z1063">
        <f>IF($R1063="","",IF($S1063&lt;0,"⚠"&amp;INDEX('입력_구리근무자명단'!$A1061:$ZZ1061,1,$E$2+2),TEXT($S1063,"yyyy-mm-dd")))</f>
        <v/>
      </c>
      <c r="AA1063">
        <f>IF($R1063="","",IF($T1063&lt;0,"⚠"&amp;INDEX('입력_구리근무자명단'!$A1061:$ZZ1061,1,$E$2+3),TEXT($T1063,"yyyy-mm-dd")))</f>
        <v/>
      </c>
      <c r="AB1063">
        <f>AB1062+IF($R1063="",0,1)</f>
        <v/>
      </c>
      <c r="AC1063">
        <f>IF($R1063="","",$AB1063)</f>
        <v/>
      </c>
    </row>
    <row r="1064">
      <c r="O1064">
        <f>1062</f>
        <v/>
      </c>
      <c r="P1064">
        <f>IF(TRIM('입력_구리근무자명단'!$A1062&amp;"")&lt;&gt;"",TRIM('입력_구리근무자명단'!$A1062&amp;""),P1063)</f>
        <v/>
      </c>
      <c r="Q1064">
        <f>'입력_구리근무자명단'!$B1062&amp;""</f>
        <v/>
      </c>
      <c r="R1064">
        <f>IF($E$2="","",TRIM(INDEX('입력_구리근무자명단'!$A1062:$ZZ1062,1,$E$2+IF($G$2="확정",1,0))&amp;""))</f>
        <v/>
      </c>
      <c r="S1064">
        <f>IF($R1064="","",IF(INDEX('입력_구리근무자명단'!$A1062:$ZZ1062,1,$E$2+2)&amp;""="",급여기준월,IF(ISNUMBER(INDEX('입력_구리근무자명단'!$A1062:$ZZ1062,1,$E$2+2)),INDEX('입력_구리근무자명단'!$A1062:$ZZ1062,1,$E$2+2),IFERROR(DATE(VALUE(LEFT(INDEX('입력_구리근무자명단'!$A1062:$ZZ1062,1,$E$2+2),4)),VALUE(MID(INDEX('입력_구리근무자명단'!$A1062:$ZZ1062,1,$E$2+2),6,2)),VALUE(MID(INDEX('입력_구리근무자명단'!$A1062:$ZZ1062,1,$E$2+2),9,2))),-1))))</f>
        <v/>
      </c>
      <c r="T1064">
        <f>IF($R1064="","",IF(INDEX('입력_구리근무자명단'!$A1062:$ZZ1062,1,$E$2+3)&amp;""="",EOMONTH(급여기준월,0),IF(ISNUMBER(INDEX('입력_구리근무자명단'!$A1062:$ZZ1062,1,$E$2+3)),INDEX('입력_구리근무자명단'!$A1062:$ZZ1062,1,$E$2+3),IFERROR(DATE(VALUE(LEFT(INDEX('입력_구리근무자명단'!$A1062:$ZZ1062,1,$E$2+3),4)),VALUE(MID(INDEX('입력_구리근무자명단'!$A1062:$ZZ1062,1,$E$2+3),6,2)),VALUE(MID(INDEX('입력_구리근무자명단'!$A1062:$ZZ1062,1,$E$2+3),9,2))),-1))))</f>
        <v/>
      </c>
      <c r="U1064">
        <f>IF($R1064="","",IF(OR($S1064&lt;0,$T1064&lt;0),0,MAX(0,MIN($T1064,EOMONTH(급여기준월,0))-MAX($S1064,급여기준월)+1)))</f>
        <v/>
      </c>
      <c r="V1064">
        <f>IF($R1064="","",TRIM(INDEX('입력_구리근무자명단'!$A1062:$ZZ1062,1,$E$2+5)&amp;""))</f>
        <v/>
      </c>
      <c r="W1064">
        <f>IF(ISNUMBER(SEARCH("구리독자",$V1064)),"구리독자","")</f>
        <v/>
      </c>
      <c r="X1064">
        <f>IF($R1064="","",$R1064&amp;"|"&amp;IF(OR($Q1064="인턴",ISNUMBER(SEARCH("수련교육부",$P1064))),"인턴",$P1064))</f>
        <v/>
      </c>
      <c r="Y1064">
        <f>IF($R1064="","",IF(COUNTIF(명단표[이름|과],$X1064)=1,"명단 일치",IF(AND(COUNTIF(명단표[이름|과],$X1064)=0,COUNTIF(명단표[이름],$R1064)=1),"명단 일치(이름만, 과 다름)",IF(COUNTIF(명단표[이름],$R1064)=0,IF(COUNTIF(기본자료표[이름],$R1064)&gt;0,"명단에 없음(기본자료에는 있음)","명단에 없음"),"동명이인 확인"))))</f>
        <v/>
      </c>
      <c r="Z1064">
        <f>IF($R1064="","",IF($S1064&lt;0,"⚠"&amp;INDEX('입력_구리근무자명단'!$A1062:$ZZ1062,1,$E$2+2),TEXT($S1064,"yyyy-mm-dd")))</f>
        <v/>
      </c>
      <c r="AA1064">
        <f>IF($R1064="","",IF($T1064&lt;0,"⚠"&amp;INDEX('입력_구리근무자명단'!$A1062:$ZZ1062,1,$E$2+3),TEXT($T1064,"yyyy-mm-dd")))</f>
        <v/>
      </c>
      <c r="AB1064">
        <f>AB1063+IF($R1064="",0,1)</f>
        <v/>
      </c>
      <c r="AC1064">
        <f>IF($R1064="","",$AB1064)</f>
        <v/>
      </c>
    </row>
    <row r="1065">
      <c r="O1065">
        <f>1063</f>
        <v/>
      </c>
      <c r="P1065">
        <f>IF(TRIM('입력_구리근무자명단'!$A1063&amp;"")&lt;&gt;"",TRIM('입력_구리근무자명단'!$A1063&amp;""),P1064)</f>
        <v/>
      </c>
      <c r="Q1065">
        <f>'입력_구리근무자명단'!$B1063&amp;""</f>
        <v/>
      </c>
      <c r="R1065">
        <f>IF($E$2="","",TRIM(INDEX('입력_구리근무자명단'!$A1063:$ZZ1063,1,$E$2+IF($G$2="확정",1,0))&amp;""))</f>
        <v/>
      </c>
      <c r="S1065">
        <f>IF($R1065="","",IF(INDEX('입력_구리근무자명단'!$A1063:$ZZ1063,1,$E$2+2)&amp;""="",급여기준월,IF(ISNUMBER(INDEX('입력_구리근무자명단'!$A1063:$ZZ1063,1,$E$2+2)),INDEX('입력_구리근무자명단'!$A1063:$ZZ1063,1,$E$2+2),IFERROR(DATE(VALUE(LEFT(INDEX('입력_구리근무자명단'!$A1063:$ZZ1063,1,$E$2+2),4)),VALUE(MID(INDEX('입력_구리근무자명단'!$A1063:$ZZ1063,1,$E$2+2),6,2)),VALUE(MID(INDEX('입력_구리근무자명단'!$A1063:$ZZ1063,1,$E$2+2),9,2))),-1))))</f>
        <v/>
      </c>
      <c r="T1065">
        <f>IF($R1065="","",IF(INDEX('입력_구리근무자명단'!$A1063:$ZZ1063,1,$E$2+3)&amp;""="",EOMONTH(급여기준월,0),IF(ISNUMBER(INDEX('입력_구리근무자명단'!$A1063:$ZZ1063,1,$E$2+3)),INDEX('입력_구리근무자명단'!$A1063:$ZZ1063,1,$E$2+3),IFERROR(DATE(VALUE(LEFT(INDEX('입력_구리근무자명단'!$A1063:$ZZ1063,1,$E$2+3),4)),VALUE(MID(INDEX('입력_구리근무자명단'!$A1063:$ZZ1063,1,$E$2+3),6,2)),VALUE(MID(INDEX('입력_구리근무자명단'!$A1063:$ZZ1063,1,$E$2+3),9,2))),-1))))</f>
        <v/>
      </c>
      <c r="U1065">
        <f>IF($R1065="","",IF(OR($S1065&lt;0,$T1065&lt;0),0,MAX(0,MIN($T1065,EOMONTH(급여기준월,0))-MAX($S1065,급여기준월)+1)))</f>
        <v/>
      </c>
      <c r="V1065">
        <f>IF($R1065="","",TRIM(INDEX('입력_구리근무자명단'!$A1063:$ZZ1063,1,$E$2+5)&amp;""))</f>
        <v/>
      </c>
      <c r="W1065">
        <f>IF(ISNUMBER(SEARCH("구리독자",$V1065)),"구리독자","")</f>
        <v/>
      </c>
      <c r="X1065">
        <f>IF($R1065="","",$R1065&amp;"|"&amp;IF(OR($Q1065="인턴",ISNUMBER(SEARCH("수련교육부",$P1065))),"인턴",$P1065))</f>
        <v/>
      </c>
      <c r="Y1065">
        <f>IF($R1065="","",IF(COUNTIF(명단표[이름|과],$X1065)=1,"명단 일치",IF(AND(COUNTIF(명단표[이름|과],$X1065)=0,COUNTIF(명단표[이름],$R1065)=1),"명단 일치(이름만, 과 다름)",IF(COUNTIF(명단표[이름],$R1065)=0,IF(COUNTIF(기본자료표[이름],$R1065)&gt;0,"명단에 없음(기본자료에는 있음)","명단에 없음"),"동명이인 확인"))))</f>
        <v/>
      </c>
      <c r="Z1065">
        <f>IF($R1065="","",IF($S1065&lt;0,"⚠"&amp;INDEX('입력_구리근무자명단'!$A1063:$ZZ1063,1,$E$2+2),TEXT($S1065,"yyyy-mm-dd")))</f>
        <v/>
      </c>
      <c r="AA1065">
        <f>IF($R1065="","",IF($T1065&lt;0,"⚠"&amp;INDEX('입력_구리근무자명단'!$A1063:$ZZ1063,1,$E$2+3),TEXT($T1065,"yyyy-mm-dd")))</f>
        <v/>
      </c>
      <c r="AB1065">
        <f>AB1064+IF($R1065="",0,1)</f>
        <v/>
      </c>
      <c r="AC1065">
        <f>IF($R1065="","",$AB1065)</f>
        <v/>
      </c>
    </row>
    <row r="1066">
      <c r="O1066">
        <f>1064</f>
        <v/>
      </c>
      <c r="P1066">
        <f>IF(TRIM('입력_구리근무자명단'!$A1064&amp;"")&lt;&gt;"",TRIM('입력_구리근무자명단'!$A1064&amp;""),P1065)</f>
        <v/>
      </c>
      <c r="Q1066">
        <f>'입력_구리근무자명단'!$B1064&amp;""</f>
        <v/>
      </c>
      <c r="R1066">
        <f>IF($E$2="","",TRIM(INDEX('입력_구리근무자명단'!$A1064:$ZZ1064,1,$E$2+IF($G$2="확정",1,0))&amp;""))</f>
        <v/>
      </c>
      <c r="S1066">
        <f>IF($R1066="","",IF(INDEX('입력_구리근무자명단'!$A1064:$ZZ1064,1,$E$2+2)&amp;""="",급여기준월,IF(ISNUMBER(INDEX('입력_구리근무자명단'!$A1064:$ZZ1064,1,$E$2+2)),INDEX('입력_구리근무자명단'!$A1064:$ZZ1064,1,$E$2+2),IFERROR(DATE(VALUE(LEFT(INDEX('입력_구리근무자명단'!$A1064:$ZZ1064,1,$E$2+2),4)),VALUE(MID(INDEX('입력_구리근무자명단'!$A1064:$ZZ1064,1,$E$2+2),6,2)),VALUE(MID(INDEX('입력_구리근무자명단'!$A1064:$ZZ1064,1,$E$2+2),9,2))),-1))))</f>
        <v/>
      </c>
      <c r="T1066">
        <f>IF($R1066="","",IF(INDEX('입력_구리근무자명단'!$A1064:$ZZ1064,1,$E$2+3)&amp;""="",EOMONTH(급여기준월,0),IF(ISNUMBER(INDEX('입력_구리근무자명단'!$A1064:$ZZ1064,1,$E$2+3)),INDEX('입력_구리근무자명단'!$A1064:$ZZ1064,1,$E$2+3),IFERROR(DATE(VALUE(LEFT(INDEX('입력_구리근무자명단'!$A1064:$ZZ1064,1,$E$2+3),4)),VALUE(MID(INDEX('입력_구리근무자명단'!$A1064:$ZZ1064,1,$E$2+3),6,2)),VALUE(MID(INDEX('입력_구리근무자명단'!$A1064:$ZZ1064,1,$E$2+3),9,2))),-1))))</f>
        <v/>
      </c>
      <c r="U1066">
        <f>IF($R1066="","",IF(OR($S1066&lt;0,$T1066&lt;0),0,MAX(0,MIN($T1066,EOMONTH(급여기준월,0))-MAX($S1066,급여기준월)+1)))</f>
        <v/>
      </c>
      <c r="V1066">
        <f>IF($R1066="","",TRIM(INDEX('입력_구리근무자명단'!$A1064:$ZZ1064,1,$E$2+5)&amp;""))</f>
        <v/>
      </c>
      <c r="W1066">
        <f>IF(ISNUMBER(SEARCH("구리독자",$V1066)),"구리독자","")</f>
        <v/>
      </c>
      <c r="X1066">
        <f>IF($R1066="","",$R1066&amp;"|"&amp;IF(OR($Q1066="인턴",ISNUMBER(SEARCH("수련교육부",$P1066))),"인턴",$P1066))</f>
        <v/>
      </c>
      <c r="Y1066">
        <f>IF($R1066="","",IF(COUNTIF(명단표[이름|과],$X1066)=1,"명단 일치",IF(AND(COUNTIF(명단표[이름|과],$X1066)=0,COUNTIF(명단표[이름],$R1066)=1),"명단 일치(이름만, 과 다름)",IF(COUNTIF(명단표[이름],$R1066)=0,IF(COUNTIF(기본자료표[이름],$R1066)&gt;0,"명단에 없음(기본자료에는 있음)","명단에 없음"),"동명이인 확인"))))</f>
        <v/>
      </c>
      <c r="Z1066">
        <f>IF($R1066="","",IF($S1066&lt;0,"⚠"&amp;INDEX('입력_구리근무자명단'!$A1064:$ZZ1064,1,$E$2+2),TEXT($S1066,"yyyy-mm-dd")))</f>
        <v/>
      </c>
      <c r="AA1066">
        <f>IF($R1066="","",IF($T1066&lt;0,"⚠"&amp;INDEX('입력_구리근무자명단'!$A1064:$ZZ1064,1,$E$2+3),TEXT($T1066,"yyyy-mm-dd")))</f>
        <v/>
      </c>
      <c r="AB1066">
        <f>AB1065+IF($R1066="",0,1)</f>
        <v/>
      </c>
      <c r="AC1066">
        <f>IF($R1066="","",$AB1066)</f>
        <v/>
      </c>
    </row>
    <row r="1067">
      <c r="O1067">
        <f>1065</f>
        <v/>
      </c>
      <c r="P1067">
        <f>IF(TRIM('입력_구리근무자명단'!$A1065&amp;"")&lt;&gt;"",TRIM('입력_구리근무자명단'!$A1065&amp;""),P1066)</f>
        <v/>
      </c>
      <c r="Q1067">
        <f>'입력_구리근무자명단'!$B1065&amp;""</f>
        <v/>
      </c>
      <c r="R1067">
        <f>IF($E$2="","",TRIM(INDEX('입력_구리근무자명단'!$A1065:$ZZ1065,1,$E$2+IF($G$2="확정",1,0))&amp;""))</f>
        <v/>
      </c>
      <c r="S1067">
        <f>IF($R1067="","",IF(INDEX('입력_구리근무자명단'!$A1065:$ZZ1065,1,$E$2+2)&amp;""="",급여기준월,IF(ISNUMBER(INDEX('입력_구리근무자명단'!$A1065:$ZZ1065,1,$E$2+2)),INDEX('입력_구리근무자명단'!$A1065:$ZZ1065,1,$E$2+2),IFERROR(DATE(VALUE(LEFT(INDEX('입력_구리근무자명단'!$A1065:$ZZ1065,1,$E$2+2),4)),VALUE(MID(INDEX('입력_구리근무자명단'!$A1065:$ZZ1065,1,$E$2+2),6,2)),VALUE(MID(INDEX('입력_구리근무자명단'!$A1065:$ZZ1065,1,$E$2+2),9,2))),-1))))</f>
        <v/>
      </c>
      <c r="T1067">
        <f>IF($R1067="","",IF(INDEX('입력_구리근무자명단'!$A1065:$ZZ1065,1,$E$2+3)&amp;""="",EOMONTH(급여기준월,0),IF(ISNUMBER(INDEX('입력_구리근무자명단'!$A1065:$ZZ1065,1,$E$2+3)),INDEX('입력_구리근무자명단'!$A1065:$ZZ1065,1,$E$2+3),IFERROR(DATE(VALUE(LEFT(INDEX('입력_구리근무자명단'!$A1065:$ZZ1065,1,$E$2+3),4)),VALUE(MID(INDEX('입력_구리근무자명단'!$A1065:$ZZ1065,1,$E$2+3),6,2)),VALUE(MID(INDEX('입력_구리근무자명단'!$A1065:$ZZ1065,1,$E$2+3),9,2))),-1))))</f>
        <v/>
      </c>
      <c r="U1067">
        <f>IF($R1067="","",IF(OR($S1067&lt;0,$T1067&lt;0),0,MAX(0,MIN($T1067,EOMONTH(급여기준월,0))-MAX($S1067,급여기준월)+1)))</f>
        <v/>
      </c>
      <c r="V1067">
        <f>IF($R1067="","",TRIM(INDEX('입력_구리근무자명단'!$A1065:$ZZ1065,1,$E$2+5)&amp;""))</f>
        <v/>
      </c>
      <c r="W1067">
        <f>IF(ISNUMBER(SEARCH("구리독자",$V1067)),"구리독자","")</f>
        <v/>
      </c>
      <c r="X1067">
        <f>IF($R1067="","",$R1067&amp;"|"&amp;IF(OR($Q1067="인턴",ISNUMBER(SEARCH("수련교육부",$P1067))),"인턴",$P1067))</f>
        <v/>
      </c>
      <c r="Y1067">
        <f>IF($R1067="","",IF(COUNTIF(명단표[이름|과],$X1067)=1,"명단 일치",IF(AND(COUNTIF(명단표[이름|과],$X1067)=0,COUNTIF(명단표[이름],$R1067)=1),"명단 일치(이름만, 과 다름)",IF(COUNTIF(명단표[이름],$R1067)=0,IF(COUNTIF(기본자료표[이름],$R1067)&gt;0,"명단에 없음(기본자료에는 있음)","명단에 없음"),"동명이인 확인"))))</f>
        <v/>
      </c>
      <c r="Z1067">
        <f>IF($R1067="","",IF($S1067&lt;0,"⚠"&amp;INDEX('입력_구리근무자명단'!$A1065:$ZZ1065,1,$E$2+2),TEXT($S1067,"yyyy-mm-dd")))</f>
        <v/>
      </c>
      <c r="AA1067">
        <f>IF($R1067="","",IF($T1067&lt;0,"⚠"&amp;INDEX('입력_구리근무자명단'!$A1065:$ZZ1065,1,$E$2+3),TEXT($T1067,"yyyy-mm-dd")))</f>
        <v/>
      </c>
      <c r="AB1067">
        <f>AB1066+IF($R1067="",0,1)</f>
        <v/>
      </c>
      <c r="AC1067">
        <f>IF($R1067="","",$AB1067)</f>
        <v/>
      </c>
    </row>
    <row r="1068">
      <c r="O1068">
        <f>1066</f>
        <v/>
      </c>
      <c r="P1068">
        <f>IF(TRIM('입력_구리근무자명단'!$A1066&amp;"")&lt;&gt;"",TRIM('입력_구리근무자명단'!$A1066&amp;""),P1067)</f>
        <v/>
      </c>
      <c r="Q1068">
        <f>'입력_구리근무자명단'!$B1066&amp;""</f>
        <v/>
      </c>
      <c r="R1068">
        <f>IF($E$2="","",TRIM(INDEX('입력_구리근무자명단'!$A1066:$ZZ1066,1,$E$2+IF($G$2="확정",1,0))&amp;""))</f>
        <v/>
      </c>
      <c r="S1068">
        <f>IF($R1068="","",IF(INDEX('입력_구리근무자명단'!$A1066:$ZZ1066,1,$E$2+2)&amp;""="",급여기준월,IF(ISNUMBER(INDEX('입력_구리근무자명단'!$A1066:$ZZ1066,1,$E$2+2)),INDEX('입력_구리근무자명단'!$A1066:$ZZ1066,1,$E$2+2),IFERROR(DATE(VALUE(LEFT(INDEX('입력_구리근무자명단'!$A1066:$ZZ1066,1,$E$2+2),4)),VALUE(MID(INDEX('입력_구리근무자명단'!$A1066:$ZZ1066,1,$E$2+2),6,2)),VALUE(MID(INDEX('입력_구리근무자명단'!$A1066:$ZZ1066,1,$E$2+2),9,2))),-1))))</f>
        <v/>
      </c>
      <c r="T1068">
        <f>IF($R1068="","",IF(INDEX('입력_구리근무자명단'!$A1066:$ZZ1066,1,$E$2+3)&amp;""="",EOMONTH(급여기준월,0),IF(ISNUMBER(INDEX('입력_구리근무자명단'!$A1066:$ZZ1066,1,$E$2+3)),INDEX('입력_구리근무자명단'!$A1066:$ZZ1066,1,$E$2+3),IFERROR(DATE(VALUE(LEFT(INDEX('입력_구리근무자명단'!$A1066:$ZZ1066,1,$E$2+3),4)),VALUE(MID(INDEX('입력_구리근무자명단'!$A1066:$ZZ1066,1,$E$2+3),6,2)),VALUE(MID(INDEX('입력_구리근무자명단'!$A1066:$ZZ1066,1,$E$2+3),9,2))),-1))))</f>
        <v/>
      </c>
      <c r="U1068">
        <f>IF($R1068="","",IF(OR($S1068&lt;0,$T1068&lt;0),0,MAX(0,MIN($T1068,EOMONTH(급여기준월,0))-MAX($S1068,급여기준월)+1)))</f>
        <v/>
      </c>
      <c r="V1068">
        <f>IF($R1068="","",TRIM(INDEX('입력_구리근무자명단'!$A1066:$ZZ1066,1,$E$2+5)&amp;""))</f>
        <v/>
      </c>
      <c r="W1068">
        <f>IF(ISNUMBER(SEARCH("구리독자",$V1068)),"구리독자","")</f>
        <v/>
      </c>
      <c r="X1068">
        <f>IF($R1068="","",$R1068&amp;"|"&amp;IF(OR($Q1068="인턴",ISNUMBER(SEARCH("수련교육부",$P1068))),"인턴",$P1068))</f>
        <v/>
      </c>
      <c r="Y1068">
        <f>IF($R1068="","",IF(COUNTIF(명단표[이름|과],$X1068)=1,"명단 일치",IF(AND(COUNTIF(명단표[이름|과],$X1068)=0,COUNTIF(명단표[이름],$R1068)=1),"명단 일치(이름만, 과 다름)",IF(COUNTIF(명단표[이름],$R1068)=0,IF(COUNTIF(기본자료표[이름],$R1068)&gt;0,"명단에 없음(기본자료에는 있음)","명단에 없음"),"동명이인 확인"))))</f>
        <v/>
      </c>
      <c r="Z1068">
        <f>IF($R1068="","",IF($S1068&lt;0,"⚠"&amp;INDEX('입력_구리근무자명단'!$A1066:$ZZ1066,1,$E$2+2),TEXT($S1068,"yyyy-mm-dd")))</f>
        <v/>
      </c>
      <c r="AA1068">
        <f>IF($R1068="","",IF($T1068&lt;0,"⚠"&amp;INDEX('입력_구리근무자명단'!$A1066:$ZZ1066,1,$E$2+3),TEXT($T1068,"yyyy-mm-dd")))</f>
        <v/>
      </c>
      <c r="AB1068">
        <f>AB1067+IF($R1068="",0,1)</f>
        <v/>
      </c>
      <c r="AC1068">
        <f>IF($R1068="","",$AB1068)</f>
        <v/>
      </c>
    </row>
    <row r="1069">
      <c r="O1069">
        <f>1067</f>
        <v/>
      </c>
      <c r="P1069">
        <f>IF(TRIM('입력_구리근무자명단'!$A1067&amp;"")&lt;&gt;"",TRIM('입력_구리근무자명단'!$A1067&amp;""),P1068)</f>
        <v/>
      </c>
      <c r="Q1069">
        <f>'입력_구리근무자명단'!$B1067&amp;""</f>
        <v/>
      </c>
      <c r="R1069">
        <f>IF($E$2="","",TRIM(INDEX('입력_구리근무자명단'!$A1067:$ZZ1067,1,$E$2+IF($G$2="확정",1,0))&amp;""))</f>
        <v/>
      </c>
      <c r="S1069">
        <f>IF($R1069="","",IF(INDEX('입력_구리근무자명단'!$A1067:$ZZ1067,1,$E$2+2)&amp;""="",급여기준월,IF(ISNUMBER(INDEX('입력_구리근무자명단'!$A1067:$ZZ1067,1,$E$2+2)),INDEX('입력_구리근무자명단'!$A1067:$ZZ1067,1,$E$2+2),IFERROR(DATE(VALUE(LEFT(INDEX('입력_구리근무자명단'!$A1067:$ZZ1067,1,$E$2+2),4)),VALUE(MID(INDEX('입력_구리근무자명단'!$A1067:$ZZ1067,1,$E$2+2),6,2)),VALUE(MID(INDEX('입력_구리근무자명단'!$A1067:$ZZ1067,1,$E$2+2),9,2))),-1))))</f>
        <v/>
      </c>
      <c r="T1069">
        <f>IF($R1069="","",IF(INDEX('입력_구리근무자명단'!$A1067:$ZZ1067,1,$E$2+3)&amp;""="",EOMONTH(급여기준월,0),IF(ISNUMBER(INDEX('입력_구리근무자명단'!$A1067:$ZZ1067,1,$E$2+3)),INDEX('입력_구리근무자명단'!$A1067:$ZZ1067,1,$E$2+3),IFERROR(DATE(VALUE(LEFT(INDEX('입력_구리근무자명단'!$A1067:$ZZ1067,1,$E$2+3),4)),VALUE(MID(INDEX('입력_구리근무자명단'!$A1067:$ZZ1067,1,$E$2+3),6,2)),VALUE(MID(INDEX('입력_구리근무자명단'!$A1067:$ZZ1067,1,$E$2+3),9,2))),-1))))</f>
        <v/>
      </c>
      <c r="U1069">
        <f>IF($R1069="","",IF(OR($S1069&lt;0,$T1069&lt;0),0,MAX(0,MIN($T1069,EOMONTH(급여기준월,0))-MAX($S1069,급여기준월)+1)))</f>
        <v/>
      </c>
      <c r="V1069">
        <f>IF($R1069="","",TRIM(INDEX('입력_구리근무자명단'!$A1067:$ZZ1067,1,$E$2+5)&amp;""))</f>
        <v/>
      </c>
      <c r="W1069">
        <f>IF(ISNUMBER(SEARCH("구리독자",$V1069)),"구리독자","")</f>
        <v/>
      </c>
      <c r="X1069">
        <f>IF($R1069="","",$R1069&amp;"|"&amp;IF(OR($Q1069="인턴",ISNUMBER(SEARCH("수련교육부",$P1069))),"인턴",$P1069))</f>
        <v/>
      </c>
      <c r="Y1069">
        <f>IF($R1069="","",IF(COUNTIF(명단표[이름|과],$X1069)=1,"명단 일치",IF(AND(COUNTIF(명단표[이름|과],$X1069)=0,COUNTIF(명단표[이름],$R1069)=1),"명단 일치(이름만, 과 다름)",IF(COUNTIF(명단표[이름],$R1069)=0,IF(COUNTIF(기본자료표[이름],$R1069)&gt;0,"명단에 없음(기본자료에는 있음)","명단에 없음"),"동명이인 확인"))))</f>
        <v/>
      </c>
      <c r="Z1069">
        <f>IF($R1069="","",IF($S1069&lt;0,"⚠"&amp;INDEX('입력_구리근무자명단'!$A1067:$ZZ1067,1,$E$2+2),TEXT($S1069,"yyyy-mm-dd")))</f>
        <v/>
      </c>
      <c r="AA1069">
        <f>IF($R1069="","",IF($T1069&lt;0,"⚠"&amp;INDEX('입력_구리근무자명단'!$A1067:$ZZ1067,1,$E$2+3),TEXT($T1069,"yyyy-mm-dd")))</f>
        <v/>
      </c>
      <c r="AB1069">
        <f>AB1068+IF($R1069="",0,1)</f>
        <v/>
      </c>
      <c r="AC1069">
        <f>IF($R1069="","",$AB1069)</f>
        <v/>
      </c>
    </row>
    <row r="1070">
      <c r="O1070">
        <f>1068</f>
        <v/>
      </c>
      <c r="P1070">
        <f>IF(TRIM('입력_구리근무자명단'!$A1068&amp;"")&lt;&gt;"",TRIM('입력_구리근무자명단'!$A1068&amp;""),P1069)</f>
        <v/>
      </c>
      <c r="Q1070">
        <f>'입력_구리근무자명단'!$B1068&amp;""</f>
        <v/>
      </c>
      <c r="R1070">
        <f>IF($E$2="","",TRIM(INDEX('입력_구리근무자명단'!$A1068:$ZZ1068,1,$E$2+IF($G$2="확정",1,0))&amp;""))</f>
        <v/>
      </c>
      <c r="S1070">
        <f>IF($R1070="","",IF(INDEX('입력_구리근무자명단'!$A1068:$ZZ1068,1,$E$2+2)&amp;""="",급여기준월,IF(ISNUMBER(INDEX('입력_구리근무자명단'!$A1068:$ZZ1068,1,$E$2+2)),INDEX('입력_구리근무자명단'!$A1068:$ZZ1068,1,$E$2+2),IFERROR(DATE(VALUE(LEFT(INDEX('입력_구리근무자명단'!$A1068:$ZZ1068,1,$E$2+2),4)),VALUE(MID(INDEX('입력_구리근무자명단'!$A1068:$ZZ1068,1,$E$2+2),6,2)),VALUE(MID(INDEX('입력_구리근무자명단'!$A1068:$ZZ1068,1,$E$2+2),9,2))),-1))))</f>
        <v/>
      </c>
      <c r="T1070">
        <f>IF($R1070="","",IF(INDEX('입력_구리근무자명단'!$A1068:$ZZ1068,1,$E$2+3)&amp;""="",EOMONTH(급여기준월,0),IF(ISNUMBER(INDEX('입력_구리근무자명단'!$A1068:$ZZ1068,1,$E$2+3)),INDEX('입력_구리근무자명단'!$A1068:$ZZ1068,1,$E$2+3),IFERROR(DATE(VALUE(LEFT(INDEX('입력_구리근무자명단'!$A1068:$ZZ1068,1,$E$2+3),4)),VALUE(MID(INDEX('입력_구리근무자명단'!$A1068:$ZZ1068,1,$E$2+3),6,2)),VALUE(MID(INDEX('입력_구리근무자명단'!$A1068:$ZZ1068,1,$E$2+3),9,2))),-1))))</f>
        <v/>
      </c>
      <c r="U1070">
        <f>IF($R1070="","",IF(OR($S1070&lt;0,$T1070&lt;0),0,MAX(0,MIN($T1070,EOMONTH(급여기준월,0))-MAX($S1070,급여기준월)+1)))</f>
        <v/>
      </c>
      <c r="V1070">
        <f>IF($R1070="","",TRIM(INDEX('입력_구리근무자명단'!$A1068:$ZZ1068,1,$E$2+5)&amp;""))</f>
        <v/>
      </c>
      <c r="W1070">
        <f>IF(ISNUMBER(SEARCH("구리독자",$V1070)),"구리독자","")</f>
        <v/>
      </c>
      <c r="X1070">
        <f>IF($R1070="","",$R1070&amp;"|"&amp;IF(OR($Q1070="인턴",ISNUMBER(SEARCH("수련교육부",$P1070))),"인턴",$P1070))</f>
        <v/>
      </c>
      <c r="Y1070">
        <f>IF($R1070="","",IF(COUNTIF(명단표[이름|과],$X1070)=1,"명단 일치",IF(AND(COUNTIF(명단표[이름|과],$X1070)=0,COUNTIF(명단표[이름],$R1070)=1),"명단 일치(이름만, 과 다름)",IF(COUNTIF(명단표[이름],$R1070)=0,IF(COUNTIF(기본자료표[이름],$R1070)&gt;0,"명단에 없음(기본자료에는 있음)","명단에 없음"),"동명이인 확인"))))</f>
        <v/>
      </c>
      <c r="Z1070">
        <f>IF($R1070="","",IF($S1070&lt;0,"⚠"&amp;INDEX('입력_구리근무자명단'!$A1068:$ZZ1068,1,$E$2+2),TEXT($S1070,"yyyy-mm-dd")))</f>
        <v/>
      </c>
      <c r="AA1070">
        <f>IF($R1070="","",IF($T1070&lt;0,"⚠"&amp;INDEX('입력_구리근무자명단'!$A1068:$ZZ1068,1,$E$2+3),TEXT($T1070,"yyyy-mm-dd")))</f>
        <v/>
      </c>
      <c r="AB1070">
        <f>AB1069+IF($R1070="",0,1)</f>
        <v/>
      </c>
      <c r="AC1070">
        <f>IF($R1070="","",$AB1070)</f>
        <v/>
      </c>
    </row>
    <row r="1071">
      <c r="O1071">
        <f>1069</f>
        <v/>
      </c>
      <c r="P1071">
        <f>IF(TRIM('입력_구리근무자명단'!$A1069&amp;"")&lt;&gt;"",TRIM('입력_구리근무자명단'!$A1069&amp;""),P1070)</f>
        <v/>
      </c>
      <c r="Q1071">
        <f>'입력_구리근무자명단'!$B1069&amp;""</f>
        <v/>
      </c>
      <c r="R1071">
        <f>IF($E$2="","",TRIM(INDEX('입력_구리근무자명단'!$A1069:$ZZ1069,1,$E$2+IF($G$2="확정",1,0))&amp;""))</f>
        <v/>
      </c>
      <c r="S1071">
        <f>IF($R1071="","",IF(INDEX('입력_구리근무자명단'!$A1069:$ZZ1069,1,$E$2+2)&amp;""="",급여기준월,IF(ISNUMBER(INDEX('입력_구리근무자명단'!$A1069:$ZZ1069,1,$E$2+2)),INDEX('입력_구리근무자명단'!$A1069:$ZZ1069,1,$E$2+2),IFERROR(DATE(VALUE(LEFT(INDEX('입력_구리근무자명단'!$A1069:$ZZ1069,1,$E$2+2),4)),VALUE(MID(INDEX('입력_구리근무자명단'!$A1069:$ZZ1069,1,$E$2+2),6,2)),VALUE(MID(INDEX('입력_구리근무자명단'!$A1069:$ZZ1069,1,$E$2+2),9,2))),-1))))</f>
        <v/>
      </c>
      <c r="T1071">
        <f>IF($R1071="","",IF(INDEX('입력_구리근무자명단'!$A1069:$ZZ1069,1,$E$2+3)&amp;""="",EOMONTH(급여기준월,0),IF(ISNUMBER(INDEX('입력_구리근무자명단'!$A1069:$ZZ1069,1,$E$2+3)),INDEX('입력_구리근무자명단'!$A1069:$ZZ1069,1,$E$2+3),IFERROR(DATE(VALUE(LEFT(INDEX('입력_구리근무자명단'!$A1069:$ZZ1069,1,$E$2+3),4)),VALUE(MID(INDEX('입력_구리근무자명단'!$A1069:$ZZ1069,1,$E$2+3),6,2)),VALUE(MID(INDEX('입력_구리근무자명단'!$A1069:$ZZ1069,1,$E$2+3),9,2))),-1))))</f>
        <v/>
      </c>
      <c r="U1071">
        <f>IF($R1071="","",IF(OR($S1071&lt;0,$T1071&lt;0),0,MAX(0,MIN($T1071,EOMONTH(급여기준월,0))-MAX($S1071,급여기준월)+1)))</f>
        <v/>
      </c>
      <c r="V1071">
        <f>IF($R1071="","",TRIM(INDEX('입력_구리근무자명단'!$A1069:$ZZ1069,1,$E$2+5)&amp;""))</f>
        <v/>
      </c>
      <c r="W1071">
        <f>IF(ISNUMBER(SEARCH("구리독자",$V1071)),"구리독자","")</f>
        <v/>
      </c>
      <c r="X1071">
        <f>IF($R1071="","",$R1071&amp;"|"&amp;IF(OR($Q1071="인턴",ISNUMBER(SEARCH("수련교육부",$P1071))),"인턴",$P1071))</f>
        <v/>
      </c>
      <c r="Y1071">
        <f>IF($R1071="","",IF(COUNTIF(명단표[이름|과],$X1071)=1,"명단 일치",IF(AND(COUNTIF(명단표[이름|과],$X1071)=0,COUNTIF(명단표[이름],$R1071)=1),"명단 일치(이름만, 과 다름)",IF(COUNTIF(명단표[이름],$R1071)=0,IF(COUNTIF(기본자료표[이름],$R1071)&gt;0,"명단에 없음(기본자료에는 있음)","명단에 없음"),"동명이인 확인"))))</f>
        <v/>
      </c>
      <c r="Z1071">
        <f>IF($R1071="","",IF($S1071&lt;0,"⚠"&amp;INDEX('입력_구리근무자명단'!$A1069:$ZZ1069,1,$E$2+2),TEXT($S1071,"yyyy-mm-dd")))</f>
        <v/>
      </c>
      <c r="AA1071">
        <f>IF($R1071="","",IF($T1071&lt;0,"⚠"&amp;INDEX('입력_구리근무자명단'!$A1069:$ZZ1069,1,$E$2+3),TEXT($T1071,"yyyy-mm-dd")))</f>
        <v/>
      </c>
      <c r="AB1071">
        <f>AB1070+IF($R1071="",0,1)</f>
        <v/>
      </c>
      <c r="AC1071">
        <f>IF($R1071="","",$AB1071)</f>
        <v/>
      </c>
    </row>
    <row r="1072">
      <c r="O1072">
        <f>1070</f>
        <v/>
      </c>
      <c r="P1072">
        <f>IF(TRIM('입력_구리근무자명단'!$A1070&amp;"")&lt;&gt;"",TRIM('입력_구리근무자명단'!$A1070&amp;""),P1071)</f>
        <v/>
      </c>
      <c r="Q1072">
        <f>'입력_구리근무자명단'!$B1070&amp;""</f>
        <v/>
      </c>
      <c r="R1072">
        <f>IF($E$2="","",TRIM(INDEX('입력_구리근무자명단'!$A1070:$ZZ1070,1,$E$2+IF($G$2="확정",1,0))&amp;""))</f>
        <v/>
      </c>
      <c r="S1072">
        <f>IF($R1072="","",IF(INDEX('입력_구리근무자명단'!$A1070:$ZZ1070,1,$E$2+2)&amp;""="",급여기준월,IF(ISNUMBER(INDEX('입력_구리근무자명단'!$A1070:$ZZ1070,1,$E$2+2)),INDEX('입력_구리근무자명단'!$A1070:$ZZ1070,1,$E$2+2),IFERROR(DATE(VALUE(LEFT(INDEX('입력_구리근무자명단'!$A1070:$ZZ1070,1,$E$2+2),4)),VALUE(MID(INDEX('입력_구리근무자명단'!$A1070:$ZZ1070,1,$E$2+2),6,2)),VALUE(MID(INDEX('입력_구리근무자명단'!$A1070:$ZZ1070,1,$E$2+2),9,2))),-1))))</f>
        <v/>
      </c>
      <c r="T1072">
        <f>IF($R1072="","",IF(INDEX('입력_구리근무자명단'!$A1070:$ZZ1070,1,$E$2+3)&amp;""="",EOMONTH(급여기준월,0),IF(ISNUMBER(INDEX('입력_구리근무자명단'!$A1070:$ZZ1070,1,$E$2+3)),INDEX('입력_구리근무자명단'!$A1070:$ZZ1070,1,$E$2+3),IFERROR(DATE(VALUE(LEFT(INDEX('입력_구리근무자명단'!$A1070:$ZZ1070,1,$E$2+3),4)),VALUE(MID(INDEX('입력_구리근무자명단'!$A1070:$ZZ1070,1,$E$2+3),6,2)),VALUE(MID(INDEX('입력_구리근무자명단'!$A1070:$ZZ1070,1,$E$2+3),9,2))),-1))))</f>
        <v/>
      </c>
      <c r="U1072">
        <f>IF($R1072="","",IF(OR($S1072&lt;0,$T1072&lt;0),0,MAX(0,MIN($T1072,EOMONTH(급여기준월,0))-MAX($S1072,급여기준월)+1)))</f>
        <v/>
      </c>
      <c r="V1072">
        <f>IF($R1072="","",TRIM(INDEX('입력_구리근무자명단'!$A1070:$ZZ1070,1,$E$2+5)&amp;""))</f>
        <v/>
      </c>
      <c r="W1072">
        <f>IF(ISNUMBER(SEARCH("구리독자",$V1072)),"구리독자","")</f>
        <v/>
      </c>
      <c r="X1072">
        <f>IF($R1072="","",$R1072&amp;"|"&amp;IF(OR($Q1072="인턴",ISNUMBER(SEARCH("수련교육부",$P1072))),"인턴",$P1072))</f>
        <v/>
      </c>
      <c r="Y1072">
        <f>IF($R1072="","",IF(COUNTIF(명단표[이름|과],$X1072)=1,"명단 일치",IF(AND(COUNTIF(명단표[이름|과],$X1072)=0,COUNTIF(명단표[이름],$R1072)=1),"명단 일치(이름만, 과 다름)",IF(COUNTIF(명단표[이름],$R1072)=0,IF(COUNTIF(기본자료표[이름],$R1072)&gt;0,"명단에 없음(기본자료에는 있음)","명단에 없음"),"동명이인 확인"))))</f>
        <v/>
      </c>
      <c r="Z1072">
        <f>IF($R1072="","",IF($S1072&lt;0,"⚠"&amp;INDEX('입력_구리근무자명단'!$A1070:$ZZ1070,1,$E$2+2),TEXT($S1072,"yyyy-mm-dd")))</f>
        <v/>
      </c>
      <c r="AA1072">
        <f>IF($R1072="","",IF($T1072&lt;0,"⚠"&amp;INDEX('입력_구리근무자명단'!$A1070:$ZZ1070,1,$E$2+3),TEXT($T1072,"yyyy-mm-dd")))</f>
        <v/>
      </c>
      <c r="AB1072">
        <f>AB1071+IF($R1072="",0,1)</f>
        <v/>
      </c>
      <c r="AC1072">
        <f>IF($R1072="","",$AB1072)</f>
        <v/>
      </c>
    </row>
    <row r="1073">
      <c r="O1073">
        <f>1071</f>
        <v/>
      </c>
      <c r="P1073">
        <f>IF(TRIM('입력_구리근무자명단'!$A1071&amp;"")&lt;&gt;"",TRIM('입력_구리근무자명단'!$A1071&amp;""),P1072)</f>
        <v/>
      </c>
      <c r="Q1073">
        <f>'입력_구리근무자명단'!$B1071&amp;""</f>
        <v/>
      </c>
      <c r="R1073">
        <f>IF($E$2="","",TRIM(INDEX('입력_구리근무자명단'!$A1071:$ZZ1071,1,$E$2+IF($G$2="확정",1,0))&amp;""))</f>
        <v/>
      </c>
      <c r="S1073">
        <f>IF($R1073="","",IF(INDEX('입력_구리근무자명단'!$A1071:$ZZ1071,1,$E$2+2)&amp;""="",급여기준월,IF(ISNUMBER(INDEX('입력_구리근무자명단'!$A1071:$ZZ1071,1,$E$2+2)),INDEX('입력_구리근무자명단'!$A1071:$ZZ1071,1,$E$2+2),IFERROR(DATE(VALUE(LEFT(INDEX('입력_구리근무자명단'!$A1071:$ZZ1071,1,$E$2+2),4)),VALUE(MID(INDEX('입력_구리근무자명단'!$A1071:$ZZ1071,1,$E$2+2),6,2)),VALUE(MID(INDEX('입력_구리근무자명단'!$A1071:$ZZ1071,1,$E$2+2),9,2))),-1))))</f>
        <v/>
      </c>
      <c r="T1073">
        <f>IF($R1073="","",IF(INDEX('입력_구리근무자명단'!$A1071:$ZZ1071,1,$E$2+3)&amp;""="",EOMONTH(급여기준월,0),IF(ISNUMBER(INDEX('입력_구리근무자명단'!$A1071:$ZZ1071,1,$E$2+3)),INDEX('입력_구리근무자명단'!$A1071:$ZZ1071,1,$E$2+3),IFERROR(DATE(VALUE(LEFT(INDEX('입력_구리근무자명단'!$A1071:$ZZ1071,1,$E$2+3),4)),VALUE(MID(INDEX('입력_구리근무자명단'!$A1071:$ZZ1071,1,$E$2+3),6,2)),VALUE(MID(INDEX('입력_구리근무자명단'!$A1071:$ZZ1071,1,$E$2+3),9,2))),-1))))</f>
        <v/>
      </c>
      <c r="U1073">
        <f>IF($R1073="","",IF(OR($S1073&lt;0,$T1073&lt;0),0,MAX(0,MIN($T1073,EOMONTH(급여기준월,0))-MAX($S1073,급여기준월)+1)))</f>
        <v/>
      </c>
      <c r="V1073">
        <f>IF($R1073="","",TRIM(INDEX('입력_구리근무자명단'!$A1071:$ZZ1071,1,$E$2+5)&amp;""))</f>
        <v/>
      </c>
      <c r="W1073">
        <f>IF(ISNUMBER(SEARCH("구리독자",$V1073)),"구리독자","")</f>
        <v/>
      </c>
      <c r="X1073">
        <f>IF($R1073="","",$R1073&amp;"|"&amp;IF(OR($Q1073="인턴",ISNUMBER(SEARCH("수련교육부",$P1073))),"인턴",$P1073))</f>
        <v/>
      </c>
      <c r="Y1073">
        <f>IF($R1073="","",IF(COUNTIF(명단표[이름|과],$X1073)=1,"명단 일치",IF(AND(COUNTIF(명단표[이름|과],$X1073)=0,COUNTIF(명단표[이름],$R1073)=1),"명단 일치(이름만, 과 다름)",IF(COUNTIF(명단표[이름],$R1073)=0,IF(COUNTIF(기본자료표[이름],$R1073)&gt;0,"명단에 없음(기본자료에는 있음)","명단에 없음"),"동명이인 확인"))))</f>
        <v/>
      </c>
      <c r="Z1073">
        <f>IF($R1073="","",IF($S1073&lt;0,"⚠"&amp;INDEX('입력_구리근무자명단'!$A1071:$ZZ1071,1,$E$2+2),TEXT($S1073,"yyyy-mm-dd")))</f>
        <v/>
      </c>
      <c r="AA1073">
        <f>IF($R1073="","",IF($T1073&lt;0,"⚠"&amp;INDEX('입력_구리근무자명단'!$A1071:$ZZ1071,1,$E$2+3),TEXT($T1073,"yyyy-mm-dd")))</f>
        <v/>
      </c>
      <c r="AB1073">
        <f>AB1072+IF($R1073="",0,1)</f>
        <v/>
      </c>
      <c r="AC1073">
        <f>IF($R1073="","",$AB1073)</f>
        <v/>
      </c>
    </row>
    <row r="1074">
      <c r="O1074">
        <f>1072</f>
        <v/>
      </c>
      <c r="P1074">
        <f>IF(TRIM('입력_구리근무자명단'!$A1072&amp;"")&lt;&gt;"",TRIM('입력_구리근무자명단'!$A1072&amp;""),P1073)</f>
        <v/>
      </c>
      <c r="Q1074">
        <f>'입력_구리근무자명단'!$B1072&amp;""</f>
        <v/>
      </c>
      <c r="R1074">
        <f>IF($E$2="","",TRIM(INDEX('입력_구리근무자명단'!$A1072:$ZZ1072,1,$E$2+IF($G$2="확정",1,0))&amp;""))</f>
        <v/>
      </c>
      <c r="S1074">
        <f>IF($R1074="","",IF(INDEX('입력_구리근무자명단'!$A1072:$ZZ1072,1,$E$2+2)&amp;""="",급여기준월,IF(ISNUMBER(INDEX('입력_구리근무자명단'!$A1072:$ZZ1072,1,$E$2+2)),INDEX('입력_구리근무자명단'!$A1072:$ZZ1072,1,$E$2+2),IFERROR(DATE(VALUE(LEFT(INDEX('입력_구리근무자명단'!$A1072:$ZZ1072,1,$E$2+2),4)),VALUE(MID(INDEX('입력_구리근무자명단'!$A1072:$ZZ1072,1,$E$2+2),6,2)),VALUE(MID(INDEX('입력_구리근무자명단'!$A1072:$ZZ1072,1,$E$2+2),9,2))),-1))))</f>
        <v/>
      </c>
      <c r="T1074">
        <f>IF($R1074="","",IF(INDEX('입력_구리근무자명단'!$A1072:$ZZ1072,1,$E$2+3)&amp;""="",EOMONTH(급여기준월,0),IF(ISNUMBER(INDEX('입력_구리근무자명단'!$A1072:$ZZ1072,1,$E$2+3)),INDEX('입력_구리근무자명단'!$A1072:$ZZ1072,1,$E$2+3),IFERROR(DATE(VALUE(LEFT(INDEX('입력_구리근무자명단'!$A1072:$ZZ1072,1,$E$2+3),4)),VALUE(MID(INDEX('입력_구리근무자명단'!$A1072:$ZZ1072,1,$E$2+3),6,2)),VALUE(MID(INDEX('입력_구리근무자명단'!$A1072:$ZZ1072,1,$E$2+3),9,2))),-1))))</f>
        <v/>
      </c>
      <c r="U1074">
        <f>IF($R1074="","",IF(OR($S1074&lt;0,$T1074&lt;0),0,MAX(0,MIN($T1074,EOMONTH(급여기준월,0))-MAX($S1074,급여기준월)+1)))</f>
        <v/>
      </c>
      <c r="V1074">
        <f>IF($R1074="","",TRIM(INDEX('입력_구리근무자명단'!$A1072:$ZZ1072,1,$E$2+5)&amp;""))</f>
        <v/>
      </c>
      <c r="W1074">
        <f>IF(ISNUMBER(SEARCH("구리독자",$V1074)),"구리독자","")</f>
        <v/>
      </c>
      <c r="X1074">
        <f>IF($R1074="","",$R1074&amp;"|"&amp;IF(OR($Q1074="인턴",ISNUMBER(SEARCH("수련교육부",$P1074))),"인턴",$P1074))</f>
        <v/>
      </c>
      <c r="Y1074">
        <f>IF($R1074="","",IF(COUNTIF(명단표[이름|과],$X1074)=1,"명단 일치",IF(AND(COUNTIF(명단표[이름|과],$X1074)=0,COUNTIF(명단표[이름],$R1074)=1),"명단 일치(이름만, 과 다름)",IF(COUNTIF(명단표[이름],$R1074)=0,IF(COUNTIF(기본자료표[이름],$R1074)&gt;0,"명단에 없음(기본자료에는 있음)","명단에 없음"),"동명이인 확인"))))</f>
        <v/>
      </c>
      <c r="Z1074">
        <f>IF($R1074="","",IF($S1074&lt;0,"⚠"&amp;INDEX('입력_구리근무자명단'!$A1072:$ZZ1072,1,$E$2+2),TEXT($S1074,"yyyy-mm-dd")))</f>
        <v/>
      </c>
      <c r="AA1074">
        <f>IF($R1074="","",IF($T1074&lt;0,"⚠"&amp;INDEX('입력_구리근무자명단'!$A1072:$ZZ1072,1,$E$2+3),TEXT($T1074,"yyyy-mm-dd")))</f>
        <v/>
      </c>
      <c r="AB1074">
        <f>AB1073+IF($R1074="",0,1)</f>
        <v/>
      </c>
      <c r="AC1074">
        <f>IF($R1074="","",$AB1074)</f>
        <v/>
      </c>
    </row>
    <row r="1075">
      <c r="O1075">
        <f>1073</f>
        <v/>
      </c>
      <c r="P1075">
        <f>IF(TRIM('입력_구리근무자명단'!$A1073&amp;"")&lt;&gt;"",TRIM('입력_구리근무자명단'!$A1073&amp;""),P1074)</f>
        <v/>
      </c>
      <c r="Q1075">
        <f>'입력_구리근무자명단'!$B1073&amp;""</f>
        <v/>
      </c>
      <c r="R1075">
        <f>IF($E$2="","",TRIM(INDEX('입력_구리근무자명단'!$A1073:$ZZ1073,1,$E$2+IF($G$2="확정",1,0))&amp;""))</f>
        <v/>
      </c>
      <c r="S1075">
        <f>IF($R1075="","",IF(INDEX('입력_구리근무자명단'!$A1073:$ZZ1073,1,$E$2+2)&amp;""="",급여기준월,IF(ISNUMBER(INDEX('입력_구리근무자명단'!$A1073:$ZZ1073,1,$E$2+2)),INDEX('입력_구리근무자명단'!$A1073:$ZZ1073,1,$E$2+2),IFERROR(DATE(VALUE(LEFT(INDEX('입력_구리근무자명단'!$A1073:$ZZ1073,1,$E$2+2),4)),VALUE(MID(INDEX('입력_구리근무자명단'!$A1073:$ZZ1073,1,$E$2+2),6,2)),VALUE(MID(INDEX('입력_구리근무자명단'!$A1073:$ZZ1073,1,$E$2+2),9,2))),-1))))</f>
        <v/>
      </c>
      <c r="T1075">
        <f>IF($R1075="","",IF(INDEX('입력_구리근무자명단'!$A1073:$ZZ1073,1,$E$2+3)&amp;""="",EOMONTH(급여기준월,0),IF(ISNUMBER(INDEX('입력_구리근무자명단'!$A1073:$ZZ1073,1,$E$2+3)),INDEX('입력_구리근무자명단'!$A1073:$ZZ1073,1,$E$2+3),IFERROR(DATE(VALUE(LEFT(INDEX('입력_구리근무자명단'!$A1073:$ZZ1073,1,$E$2+3),4)),VALUE(MID(INDEX('입력_구리근무자명단'!$A1073:$ZZ1073,1,$E$2+3),6,2)),VALUE(MID(INDEX('입력_구리근무자명단'!$A1073:$ZZ1073,1,$E$2+3),9,2))),-1))))</f>
        <v/>
      </c>
      <c r="U1075">
        <f>IF($R1075="","",IF(OR($S1075&lt;0,$T1075&lt;0),0,MAX(0,MIN($T1075,EOMONTH(급여기준월,0))-MAX($S1075,급여기준월)+1)))</f>
        <v/>
      </c>
      <c r="V1075">
        <f>IF($R1075="","",TRIM(INDEX('입력_구리근무자명단'!$A1073:$ZZ1073,1,$E$2+5)&amp;""))</f>
        <v/>
      </c>
      <c r="W1075">
        <f>IF(ISNUMBER(SEARCH("구리독자",$V1075)),"구리독자","")</f>
        <v/>
      </c>
      <c r="X1075">
        <f>IF($R1075="","",$R1075&amp;"|"&amp;IF(OR($Q1075="인턴",ISNUMBER(SEARCH("수련교육부",$P1075))),"인턴",$P1075))</f>
        <v/>
      </c>
      <c r="Y1075">
        <f>IF($R1075="","",IF(COUNTIF(명단표[이름|과],$X1075)=1,"명단 일치",IF(AND(COUNTIF(명단표[이름|과],$X1075)=0,COUNTIF(명단표[이름],$R1075)=1),"명단 일치(이름만, 과 다름)",IF(COUNTIF(명단표[이름],$R1075)=0,IF(COUNTIF(기본자료표[이름],$R1075)&gt;0,"명단에 없음(기본자료에는 있음)","명단에 없음"),"동명이인 확인"))))</f>
        <v/>
      </c>
      <c r="Z1075">
        <f>IF($R1075="","",IF($S1075&lt;0,"⚠"&amp;INDEX('입력_구리근무자명단'!$A1073:$ZZ1073,1,$E$2+2),TEXT($S1075,"yyyy-mm-dd")))</f>
        <v/>
      </c>
      <c r="AA1075">
        <f>IF($R1075="","",IF($T1075&lt;0,"⚠"&amp;INDEX('입력_구리근무자명단'!$A1073:$ZZ1073,1,$E$2+3),TEXT($T1075,"yyyy-mm-dd")))</f>
        <v/>
      </c>
      <c r="AB1075">
        <f>AB1074+IF($R1075="",0,1)</f>
        <v/>
      </c>
      <c r="AC1075">
        <f>IF($R1075="","",$AB1075)</f>
        <v/>
      </c>
    </row>
    <row r="1076">
      <c r="O1076">
        <f>1074</f>
        <v/>
      </c>
      <c r="P1076">
        <f>IF(TRIM('입력_구리근무자명단'!$A1074&amp;"")&lt;&gt;"",TRIM('입력_구리근무자명단'!$A1074&amp;""),P1075)</f>
        <v/>
      </c>
      <c r="Q1076">
        <f>'입력_구리근무자명단'!$B1074&amp;""</f>
        <v/>
      </c>
      <c r="R1076">
        <f>IF($E$2="","",TRIM(INDEX('입력_구리근무자명단'!$A1074:$ZZ1074,1,$E$2+IF($G$2="확정",1,0))&amp;""))</f>
        <v/>
      </c>
      <c r="S1076">
        <f>IF($R1076="","",IF(INDEX('입력_구리근무자명단'!$A1074:$ZZ1074,1,$E$2+2)&amp;""="",급여기준월,IF(ISNUMBER(INDEX('입력_구리근무자명단'!$A1074:$ZZ1074,1,$E$2+2)),INDEX('입력_구리근무자명단'!$A1074:$ZZ1074,1,$E$2+2),IFERROR(DATE(VALUE(LEFT(INDEX('입력_구리근무자명단'!$A1074:$ZZ1074,1,$E$2+2),4)),VALUE(MID(INDEX('입력_구리근무자명단'!$A1074:$ZZ1074,1,$E$2+2),6,2)),VALUE(MID(INDEX('입력_구리근무자명단'!$A1074:$ZZ1074,1,$E$2+2),9,2))),-1))))</f>
        <v/>
      </c>
      <c r="T1076">
        <f>IF($R1076="","",IF(INDEX('입력_구리근무자명단'!$A1074:$ZZ1074,1,$E$2+3)&amp;""="",EOMONTH(급여기준월,0),IF(ISNUMBER(INDEX('입력_구리근무자명단'!$A1074:$ZZ1074,1,$E$2+3)),INDEX('입력_구리근무자명단'!$A1074:$ZZ1074,1,$E$2+3),IFERROR(DATE(VALUE(LEFT(INDEX('입력_구리근무자명단'!$A1074:$ZZ1074,1,$E$2+3),4)),VALUE(MID(INDEX('입력_구리근무자명단'!$A1074:$ZZ1074,1,$E$2+3),6,2)),VALUE(MID(INDEX('입력_구리근무자명단'!$A1074:$ZZ1074,1,$E$2+3),9,2))),-1))))</f>
        <v/>
      </c>
      <c r="U1076">
        <f>IF($R1076="","",IF(OR($S1076&lt;0,$T1076&lt;0),0,MAX(0,MIN($T1076,EOMONTH(급여기준월,0))-MAX($S1076,급여기준월)+1)))</f>
        <v/>
      </c>
      <c r="V1076">
        <f>IF($R1076="","",TRIM(INDEX('입력_구리근무자명단'!$A1074:$ZZ1074,1,$E$2+5)&amp;""))</f>
        <v/>
      </c>
      <c r="W1076">
        <f>IF(ISNUMBER(SEARCH("구리독자",$V1076)),"구리독자","")</f>
        <v/>
      </c>
      <c r="X1076">
        <f>IF($R1076="","",$R1076&amp;"|"&amp;IF(OR($Q1076="인턴",ISNUMBER(SEARCH("수련교육부",$P1076))),"인턴",$P1076))</f>
        <v/>
      </c>
      <c r="Y1076">
        <f>IF($R1076="","",IF(COUNTIF(명단표[이름|과],$X1076)=1,"명단 일치",IF(AND(COUNTIF(명단표[이름|과],$X1076)=0,COUNTIF(명단표[이름],$R1076)=1),"명단 일치(이름만, 과 다름)",IF(COUNTIF(명단표[이름],$R1076)=0,IF(COUNTIF(기본자료표[이름],$R1076)&gt;0,"명단에 없음(기본자료에는 있음)","명단에 없음"),"동명이인 확인"))))</f>
        <v/>
      </c>
      <c r="Z1076">
        <f>IF($R1076="","",IF($S1076&lt;0,"⚠"&amp;INDEX('입력_구리근무자명단'!$A1074:$ZZ1074,1,$E$2+2),TEXT($S1076,"yyyy-mm-dd")))</f>
        <v/>
      </c>
      <c r="AA1076">
        <f>IF($R1076="","",IF($T1076&lt;0,"⚠"&amp;INDEX('입력_구리근무자명단'!$A1074:$ZZ1074,1,$E$2+3),TEXT($T1076,"yyyy-mm-dd")))</f>
        <v/>
      </c>
      <c r="AB1076">
        <f>AB1075+IF($R1076="",0,1)</f>
        <v/>
      </c>
      <c r="AC1076">
        <f>IF($R1076="","",$AB1076)</f>
        <v/>
      </c>
    </row>
    <row r="1077">
      <c r="O1077">
        <f>1075</f>
        <v/>
      </c>
      <c r="P1077">
        <f>IF(TRIM('입력_구리근무자명단'!$A1075&amp;"")&lt;&gt;"",TRIM('입력_구리근무자명단'!$A1075&amp;""),P1076)</f>
        <v/>
      </c>
      <c r="Q1077">
        <f>'입력_구리근무자명단'!$B1075&amp;""</f>
        <v/>
      </c>
      <c r="R1077">
        <f>IF($E$2="","",TRIM(INDEX('입력_구리근무자명단'!$A1075:$ZZ1075,1,$E$2+IF($G$2="확정",1,0))&amp;""))</f>
        <v/>
      </c>
      <c r="S1077">
        <f>IF($R1077="","",IF(INDEX('입력_구리근무자명단'!$A1075:$ZZ1075,1,$E$2+2)&amp;""="",급여기준월,IF(ISNUMBER(INDEX('입력_구리근무자명단'!$A1075:$ZZ1075,1,$E$2+2)),INDEX('입력_구리근무자명단'!$A1075:$ZZ1075,1,$E$2+2),IFERROR(DATE(VALUE(LEFT(INDEX('입력_구리근무자명단'!$A1075:$ZZ1075,1,$E$2+2),4)),VALUE(MID(INDEX('입력_구리근무자명단'!$A1075:$ZZ1075,1,$E$2+2),6,2)),VALUE(MID(INDEX('입력_구리근무자명단'!$A1075:$ZZ1075,1,$E$2+2),9,2))),-1))))</f>
        <v/>
      </c>
      <c r="T1077">
        <f>IF($R1077="","",IF(INDEX('입력_구리근무자명단'!$A1075:$ZZ1075,1,$E$2+3)&amp;""="",EOMONTH(급여기준월,0),IF(ISNUMBER(INDEX('입력_구리근무자명단'!$A1075:$ZZ1075,1,$E$2+3)),INDEX('입력_구리근무자명단'!$A1075:$ZZ1075,1,$E$2+3),IFERROR(DATE(VALUE(LEFT(INDEX('입력_구리근무자명단'!$A1075:$ZZ1075,1,$E$2+3),4)),VALUE(MID(INDEX('입력_구리근무자명단'!$A1075:$ZZ1075,1,$E$2+3),6,2)),VALUE(MID(INDEX('입력_구리근무자명단'!$A1075:$ZZ1075,1,$E$2+3),9,2))),-1))))</f>
        <v/>
      </c>
      <c r="U1077">
        <f>IF($R1077="","",IF(OR($S1077&lt;0,$T1077&lt;0),0,MAX(0,MIN($T1077,EOMONTH(급여기준월,0))-MAX($S1077,급여기준월)+1)))</f>
        <v/>
      </c>
      <c r="V1077">
        <f>IF($R1077="","",TRIM(INDEX('입력_구리근무자명단'!$A1075:$ZZ1075,1,$E$2+5)&amp;""))</f>
        <v/>
      </c>
      <c r="W1077">
        <f>IF(ISNUMBER(SEARCH("구리독자",$V1077)),"구리독자","")</f>
        <v/>
      </c>
      <c r="X1077">
        <f>IF($R1077="","",$R1077&amp;"|"&amp;IF(OR($Q1077="인턴",ISNUMBER(SEARCH("수련교육부",$P1077))),"인턴",$P1077))</f>
        <v/>
      </c>
      <c r="Y1077">
        <f>IF($R1077="","",IF(COUNTIF(명단표[이름|과],$X1077)=1,"명단 일치",IF(AND(COUNTIF(명단표[이름|과],$X1077)=0,COUNTIF(명단표[이름],$R1077)=1),"명단 일치(이름만, 과 다름)",IF(COUNTIF(명단표[이름],$R1077)=0,IF(COUNTIF(기본자료표[이름],$R1077)&gt;0,"명단에 없음(기본자료에는 있음)","명단에 없음"),"동명이인 확인"))))</f>
        <v/>
      </c>
      <c r="Z1077">
        <f>IF($R1077="","",IF($S1077&lt;0,"⚠"&amp;INDEX('입력_구리근무자명단'!$A1075:$ZZ1075,1,$E$2+2),TEXT($S1077,"yyyy-mm-dd")))</f>
        <v/>
      </c>
      <c r="AA1077">
        <f>IF($R1077="","",IF($T1077&lt;0,"⚠"&amp;INDEX('입력_구리근무자명단'!$A1075:$ZZ1075,1,$E$2+3),TEXT($T1077,"yyyy-mm-dd")))</f>
        <v/>
      </c>
      <c r="AB1077">
        <f>AB1076+IF($R1077="",0,1)</f>
        <v/>
      </c>
      <c r="AC1077">
        <f>IF($R1077="","",$AB1077)</f>
        <v/>
      </c>
    </row>
    <row r="1078">
      <c r="O1078">
        <f>1076</f>
        <v/>
      </c>
      <c r="P1078">
        <f>IF(TRIM('입력_구리근무자명단'!$A1076&amp;"")&lt;&gt;"",TRIM('입력_구리근무자명단'!$A1076&amp;""),P1077)</f>
        <v/>
      </c>
      <c r="Q1078">
        <f>'입력_구리근무자명단'!$B1076&amp;""</f>
        <v/>
      </c>
      <c r="R1078">
        <f>IF($E$2="","",TRIM(INDEX('입력_구리근무자명단'!$A1076:$ZZ1076,1,$E$2+IF($G$2="확정",1,0))&amp;""))</f>
        <v/>
      </c>
      <c r="S1078">
        <f>IF($R1078="","",IF(INDEX('입력_구리근무자명단'!$A1076:$ZZ1076,1,$E$2+2)&amp;""="",급여기준월,IF(ISNUMBER(INDEX('입력_구리근무자명단'!$A1076:$ZZ1076,1,$E$2+2)),INDEX('입력_구리근무자명단'!$A1076:$ZZ1076,1,$E$2+2),IFERROR(DATE(VALUE(LEFT(INDEX('입력_구리근무자명단'!$A1076:$ZZ1076,1,$E$2+2),4)),VALUE(MID(INDEX('입력_구리근무자명단'!$A1076:$ZZ1076,1,$E$2+2),6,2)),VALUE(MID(INDEX('입력_구리근무자명단'!$A1076:$ZZ1076,1,$E$2+2),9,2))),-1))))</f>
        <v/>
      </c>
      <c r="T1078">
        <f>IF($R1078="","",IF(INDEX('입력_구리근무자명단'!$A1076:$ZZ1076,1,$E$2+3)&amp;""="",EOMONTH(급여기준월,0),IF(ISNUMBER(INDEX('입력_구리근무자명단'!$A1076:$ZZ1076,1,$E$2+3)),INDEX('입력_구리근무자명단'!$A1076:$ZZ1076,1,$E$2+3),IFERROR(DATE(VALUE(LEFT(INDEX('입력_구리근무자명단'!$A1076:$ZZ1076,1,$E$2+3),4)),VALUE(MID(INDEX('입력_구리근무자명단'!$A1076:$ZZ1076,1,$E$2+3),6,2)),VALUE(MID(INDEX('입력_구리근무자명단'!$A1076:$ZZ1076,1,$E$2+3),9,2))),-1))))</f>
        <v/>
      </c>
      <c r="U1078">
        <f>IF($R1078="","",IF(OR($S1078&lt;0,$T1078&lt;0),0,MAX(0,MIN($T1078,EOMONTH(급여기준월,0))-MAX($S1078,급여기준월)+1)))</f>
        <v/>
      </c>
      <c r="V1078">
        <f>IF($R1078="","",TRIM(INDEX('입력_구리근무자명단'!$A1076:$ZZ1076,1,$E$2+5)&amp;""))</f>
        <v/>
      </c>
      <c r="W1078">
        <f>IF(ISNUMBER(SEARCH("구리독자",$V1078)),"구리독자","")</f>
        <v/>
      </c>
      <c r="X1078">
        <f>IF($R1078="","",$R1078&amp;"|"&amp;IF(OR($Q1078="인턴",ISNUMBER(SEARCH("수련교육부",$P1078))),"인턴",$P1078))</f>
        <v/>
      </c>
      <c r="Y1078">
        <f>IF($R1078="","",IF(COUNTIF(명단표[이름|과],$X1078)=1,"명단 일치",IF(AND(COUNTIF(명단표[이름|과],$X1078)=0,COUNTIF(명단표[이름],$R1078)=1),"명단 일치(이름만, 과 다름)",IF(COUNTIF(명단표[이름],$R1078)=0,IF(COUNTIF(기본자료표[이름],$R1078)&gt;0,"명단에 없음(기본자료에는 있음)","명단에 없음"),"동명이인 확인"))))</f>
        <v/>
      </c>
      <c r="Z1078">
        <f>IF($R1078="","",IF($S1078&lt;0,"⚠"&amp;INDEX('입력_구리근무자명단'!$A1076:$ZZ1076,1,$E$2+2),TEXT($S1078,"yyyy-mm-dd")))</f>
        <v/>
      </c>
      <c r="AA1078">
        <f>IF($R1078="","",IF($T1078&lt;0,"⚠"&amp;INDEX('입력_구리근무자명단'!$A1076:$ZZ1076,1,$E$2+3),TEXT($T1078,"yyyy-mm-dd")))</f>
        <v/>
      </c>
      <c r="AB1078">
        <f>AB1077+IF($R1078="",0,1)</f>
        <v/>
      </c>
      <c r="AC1078">
        <f>IF($R1078="","",$AB1078)</f>
        <v/>
      </c>
    </row>
    <row r="1079">
      <c r="O1079">
        <f>1077</f>
        <v/>
      </c>
      <c r="P1079">
        <f>IF(TRIM('입력_구리근무자명단'!$A1077&amp;"")&lt;&gt;"",TRIM('입력_구리근무자명단'!$A1077&amp;""),P1078)</f>
        <v/>
      </c>
      <c r="Q1079">
        <f>'입력_구리근무자명단'!$B1077&amp;""</f>
        <v/>
      </c>
      <c r="R1079">
        <f>IF($E$2="","",TRIM(INDEX('입력_구리근무자명단'!$A1077:$ZZ1077,1,$E$2+IF($G$2="확정",1,0))&amp;""))</f>
        <v/>
      </c>
      <c r="S1079">
        <f>IF($R1079="","",IF(INDEX('입력_구리근무자명단'!$A1077:$ZZ1077,1,$E$2+2)&amp;""="",급여기준월,IF(ISNUMBER(INDEX('입력_구리근무자명단'!$A1077:$ZZ1077,1,$E$2+2)),INDEX('입력_구리근무자명단'!$A1077:$ZZ1077,1,$E$2+2),IFERROR(DATE(VALUE(LEFT(INDEX('입력_구리근무자명단'!$A1077:$ZZ1077,1,$E$2+2),4)),VALUE(MID(INDEX('입력_구리근무자명단'!$A1077:$ZZ1077,1,$E$2+2),6,2)),VALUE(MID(INDEX('입력_구리근무자명단'!$A1077:$ZZ1077,1,$E$2+2),9,2))),-1))))</f>
        <v/>
      </c>
      <c r="T1079">
        <f>IF($R1079="","",IF(INDEX('입력_구리근무자명단'!$A1077:$ZZ1077,1,$E$2+3)&amp;""="",EOMONTH(급여기준월,0),IF(ISNUMBER(INDEX('입력_구리근무자명단'!$A1077:$ZZ1077,1,$E$2+3)),INDEX('입력_구리근무자명단'!$A1077:$ZZ1077,1,$E$2+3),IFERROR(DATE(VALUE(LEFT(INDEX('입력_구리근무자명단'!$A1077:$ZZ1077,1,$E$2+3),4)),VALUE(MID(INDEX('입력_구리근무자명단'!$A1077:$ZZ1077,1,$E$2+3),6,2)),VALUE(MID(INDEX('입력_구리근무자명단'!$A1077:$ZZ1077,1,$E$2+3),9,2))),-1))))</f>
        <v/>
      </c>
      <c r="U1079">
        <f>IF($R1079="","",IF(OR($S1079&lt;0,$T1079&lt;0),0,MAX(0,MIN($T1079,EOMONTH(급여기준월,0))-MAX($S1079,급여기준월)+1)))</f>
        <v/>
      </c>
      <c r="V1079">
        <f>IF($R1079="","",TRIM(INDEX('입력_구리근무자명단'!$A1077:$ZZ1077,1,$E$2+5)&amp;""))</f>
        <v/>
      </c>
      <c r="W1079">
        <f>IF(ISNUMBER(SEARCH("구리독자",$V1079)),"구리독자","")</f>
        <v/>
      </c>
      <c r="X1079">
        <f>IF($R1079="","",$R1079&amp;"|"&amp;IF(OR($Q1079="인턴",ISNUMBER(SEARCH("수련교육부",$P1079))),"인턴",$P1079))</f>
        <v/>
      </c>
      <c r="Y1079">
        <f>IF($R1079="","",IF(COUNTIF(명단표[이름|과],$X1079)=1,"명단 일치",IF(AND(COUNTIF(명단표[이름|과],$X1079)=0,COUNTIF(명단표[이름],$R1079)=1),"명단 일치(이름만, 과 다름)",IF(COUNTIF(명단표[이름],$R1079)=0,IF(COUNTIF(기본자료표[이름],$R1079)&gt;0,"명단에 없음(기본자료에는 있음)","명단에 없음"),"동명이인 확인"))))</f>
        <v/>
      </c>
      <c r="Z1079">
        <f>IF($R1079="","",IF($S1079&lt;0,"⚠"&amp;INDEX('입력_구리근무자명단'!$A1077:$ZZ1077,1,$E$2+2),TEXT($S1079,"yyyy-mm-dd")))</f>
        <v/>
      </c>
      <c r="AA1079">
        <f>IF($R1079="","",IF($T1079&lt;0,"⚠"&amp;INDEX('입력_구리근무자명단'!$A1077:$ZZ1077,1,$E$2+3),TEXT($T1079,"yyyy-mm-dd")))</f>
        <v/>
      </c>
      <c r="AB1079">
        <f>AB1078+IF($R1079="",0,1)</f>
        <v/>
      </c>
      <c r="AC1079">
        <f>IF($R1079="","",$AB1079)</f>
        <v/>
      </c>
    </row>
    <row r="1080">
      <c r="O1080">
        <f>1078</f>
        <v/>
      </c>
      <c r="P1080">
        <f>IF(TRIM('입력_구리근무자명단'!$A1078&amp;"")&lt;&gt;"",TRIM('입력_구리근무자명단'!$A1078&amp;""),P1079)</f>
        <v/>
      </c>
      <c r="Q1080">
        <f>'입력_구리근무자명단'!$B1078&amp;""</f>
        <v/>
      </c>
      <c r="R1080">
        <f>IF($E$2="","",TRIM(INDEX('입력_구리근무자명단'!$A1078:$ZZ1078,1,$E$2+IF($G$2="확정",1,0))&amp;""))</f>
        <v/>
      </c>
      <c r="S1080">
        <f>IF($R1080="","",IF(INDEX('입력_구리근무자명단'!$A1078:$ZZ1078,1,$E$2+2)&amp;""="",급여기준월,IF(ISNUMBER(INDEX('입력_구리근무자명단'!$A1078:$ZZ1078,1,$E$2+2)),INDEX('입력_구리근무자명단'!$A1078:$ZZ1078,1,$E$2+2),IFERROR(DATE(VALUE(LEFT(INDEX('입력_구리근무자명단'!$A1078:$ZZ1078,1,$E$2+2),4)),VALUE(MID(INDEX('입력_구리근무자명단'!$A1078:$ZZ1078,1,$E$2+2),6,2)),VALUE(MID(INDEX('입력_구리근무자명단'!$A1078:$ZZ1078,1,$E$2+2),9,2))),-1))))</f>
        <v/>
      </c>
      <c r="T1080">
        <f>IF($R1080="","",IF(INDEX('입력_구리근무자명단'!$A1078:$ZZ1078,1,$E$2+3)&amp;""="",EOMONTH(급여기준월,0),IF(ISNUMBER(INDEX('입력_구리근무자명단'!$A1078:$ZZ1078,1,$E$2+3)),INDEX('입력_구리근무자명단'!$A1078:$ZZ1078,1,$E$2+3),IFERROR(DATE(VALUE(LEFT(INDEX('입력_구리근무자명단'!$A1078:$ZZ1078,1,$E$2+3),4)),VALUE(MID(INDEX('입력_구리근무자명단'!$A1078:$ZZ1078,1,$E$2+3),6,2)),VALUE(MID(INDEX('입력_구리근무자명단'!$A1078:$ZZ1078,1,$E$2+3),9,2))),-1))))</f>
        <v/>
      </c>
      <c r="U1080">
        <f>IF($R1080="","",IF(OR($S1080&lt;0,$T1080&lt;0),0,MAX(0,MIN($T1080,EOMONTH(급여기준월,0))-MAX($S1080,급여기준월)+1)))</f>
        <v/>
      </c>
      <c r="V1080">
        <f>IF($R1080="","",TRIM(INDEX('입력_구리근무자명단'!$A1078:$ZZ1078,1,$E$2+5)&amp;""))</f>
        <v/>
      </c>
      <c r="W1080">
        <f>IF(ISNUMBER(SEARCH("구리독자",$V1080)),"구리독자","")</f>
        <v/>
      </c>
      <c r="X1080">
        <f>IF($R1080="","",$R1080&amp;"|"&amp;IF(OR($Q1080="인턴",ISNUMBER(SEARCH("수련교육부",$P1080))),"인턴",$P1080))</f>
        <v/>
      </c>
      <c r="Y1080">
        <f>IF($R1080="","",IF(COUNTIF(명단표[이름|과],$X1080)=1,"명단 일치",IF(AND(COUNTIF(명단표[이름|과],$X1080)=0,COUNTIF(명단표[이름],$R1080)=1),"명단 일치(이름만, 과 다름)",IF(COUNTIF(명단표[이름],$R1080)=0,IF(COUNTIF(기본자료표[이름],$R1080)&gt;0,"명단에 없음(기본자료에는 있음)","명단에 없음"),"동명이인 확인"))))</f>
        <v/>
      </c>
      <c r="Z1080">
        <f>IF($R1080="","",IF($S1080&lt;0,"⚠"&amp;INDEX('입력_구리근무자명단'!$A1078:$ZZ1078,1,$E$2+2),TEXT($S1080,"yyyy-mm-dd")))</f>
        <v/>
      </c>
      <c r="AA1080">
        <f>IF($R1080="","",IF($T1080&lt;0,"⚠"&amp;INDEX('입력_구리근무자명단'!$A1078:$ZZ1078,1,$E$2+3),TEXT($T1080,"yyyy-mm-dd")))</f>
        <v/>
      </c>
      <c r="AB1080">
        <f>AB1079+IF($R1080="",0,1)</f>
        <v/>
      </c>
      <c r="AC1080">
        <f>IF($R1080="","",$AB1080)</f>
        <v/>
      </c>
    </row>
    <row r="1081">
      <c r="O1081">
        <f>1079</f>
        <v/>
      </c>
      <c r="P1081">
        <f>IF(TRIM('입력_구리근무자명단'!$A1079&amp;"")&lt;&gt;"",TRIM('입력_구리근무자명단'!$A1079&amp;""),P1080)</f>
        <v/>
      </c>
      <c r="Q1081">
        <f>'입력_구리근무자명단'!$B1079&amp;""</f>
        <v/>
      </c>
      <c r="R1081">
        <f>IF($E$2="","",TRIM(INDEX('입력_구리근무자명단'!$A1079:$ZZ1079,1,$E$2+IF($G$2="확정",1,0))&amp;""))</f>
        <v/>
      </c>
      <c r="S1081">
        <f>IF($R1081="","",IF(INDEX('입력_구리근무자명단'!$A1079:$ZZ1079,1,$E$2+2)&amp;""="",급여기준월,IF(ISNUMBER(INDEX('입력_구리근무자명단'!$A1079:$ZZ1079,1,$E$2+2)),INDEX('입력_구리근무자명단'!$A1079:$ZZ1079,1,$E$2+2),IFERROR(DATE(VALUE(LEFT(INDEX('입력_구리근무자명단'!$A1079:$ZZ1079,1,$E$2+2),4)),VALUE(MID(INDEX('입력_구리근무자명단'!$A1079:$ZZ1079,1,$E$2+2),6,2)),VALUE(MID(INDEX('입력_구리근무자명단'!$A1079:$ZZ1079,1,$E$2+2),9,2))),-1))))</f>
        <v/>
      </c>
      <c r="T1081">
        <f>IF($R1081="","",IF(INDEX('입력_구리근무자명단'!$A1079:$ZZ1079,1,$E$2+3)&amp;""="",EOMONTH(급여기준월,0),IF(ISNUMBER(INDEX('입력_구리근무자명단'!$A1079:$ZZ1079,1,$E$2+3)),INDEX('입력_구리근무자명단'!$A1079:$ZZ1079,1,$E$2+3),IFERROR(DATE(VALUE(LEFT(INDEX('입력_구리근무자명단'!$A1079:$ZZ1079,1,$E$2+3),4)),VALUE(MID(INDEX('입력_구리근무자명단'!$A1079:$ZZ1079,1,$E$2+3),6,2)),VALUE(MID(INDEX('입력_구리근무자명단'!$A1079:$ZZ1079,1,$E$2+3),9,2))),-1))))</f>
        <v/>
      </c>
      <c r="U1081">
        <f>IF($R1081="","",IF(OR($S1081&lt;0,$T1081&lt;0),0,MAX(0,MIN($T1081,EOMONTH(급여기준월,0))-MAX($S1081,급여기준월)+1)))</f>
        <v/>
      </c>
      <c r="V1081">
        <f>IF($R1081="","",TRIM(INDEX('입력_구리근무자명단'!$A1079:$ZZ1079,1,$E$2+5)&amp;""))</f>
        <v/>
      </c>
      <c r="W1081">
        <f>IF(ISNUMBER(SEARCH("구리독자",$V1081)),"구리독자","")</f>
        <v/>
      </c>
      <c r="X1081">
        <f>IF($R1081="","",$R1081&amp;"|"&amp;IF(OR($Q1081="인턴",ISNUMBER(SEARCH("수련교육부",$P1081))),"인턴",$P1081))</f>
        <v/>
      </c>
      <c r="Y1081">
        <f>IF($R1081="","",IF(COUNTIF(명단표[이름|과],$X1081)=1,"명단 일치",IF(AND(COUNTIF(명단표[이름|과],$X1081)=0,COUNTIF(명단표[이름],$R1081)=1),"명단 일치(이름만, 과 다름)",IF(COUNTIF(명단표[이름],$R1081)=0,IF(COUNTIF(기본자료표[이름],$R1081)&gt;0,"명단에 없음(기본자료에는 있음)","명단에 없음"),"동명이인 확인"))))</f>
        <v/>
      </c>
      <c r="Z1081">
        <f>IF($R1081="","",IF($S1081&lt;0,"⚠"&amp;INDEX('입력_구리근무자명단'!$A1079:$ZZ1079,1,$E$2+2),TEXT($S1081,"yyyy-mm-dd")))</f>
        <v/>
      </c>
      <c r="AA1081">
        <f>IF($R1081="","",IF($T1081&lt;0,"⚠"&amp;INDEX('입력_구리근무자명단'!$A1079:$ZZ1079,1,$E$2+3),TEXT($T1081,"yyyy-mm-dd")))</f>
        <v/>
      </c>
      <c r="AB1081">
        <f>AB1080+IF($R1081="",0,1)</f>
        <v/>
      </c>
      <c r="AC1081">
        <f>IF($R1081="","",$AB1081)</f>
        <v/>
      </c>
    </row>
    <row r="1082">
      <c r="O1082">
        <f>1080</f>
        <v/>
      </c>
      <c r="P1082">
        <f>IF(TRIM('입력_구리근무자명단'!$A1080&amp;"")&lt;&gt;"",TRIM('입력_구리근무자명단'!$A1080&amp;""),P1081)</f>
        <v/>
      </c>
      <c r="Q1082">
        <f>'입력_구리근무자명단'!$B1080&amp;""</f>
        <v/>
      </c>
      <c r="R1082">
        <f>IF($E$2="","",TRIM(INDEX('입력_구리근무자명단'!$A1080:$ZZ1080,1,$E$2+IF($G$2="확정",1,0))&amp;""))</f>
        <v/>
      </c>
      <c r="S1082">
        <f>IF($R1082="","",IF(INDEX('입력_구리근무자명단'!$A1080:$ZZ1080,1,$E$2+2)&amp;""="",급여기준월,IF(ISNUMBER(INDEX('입력_구리근무자명단'!$A1080:$ZZ1080,1,$E$2+2)),INDEX('입력_구리근무자명단'!$A1080:$ZZ1080,1,$E$2+2),IFERROR(DATE(VALUE(LEFT(INDEX('입력_구리근무자명단'!$A1080:$ZZ1080,1,$E$2+2),4)),VALUE(MID(INDEX('입력_구리근무자명단'!$A1080:$ZZ1080,1,$E$2+2),6,2)),VALUE(MID(INDEX('입력_구리근무자명단'!$A1080:$ZZ1080,1,$E$2+2),9,2))),-1))))</f>
        <v/>
      </c>
      <c r="T1082">
        <f>IF($R1082="","",IF(INDEX('입력_구리근무자명단'!$A1080:$ZZ1080,1,$E$2+3)&amp;""="",EOMONTH(급여기준월,0),IF(ISNUMBER(INDEX('입력_구리근무자명단'!$A1080:$ZZ1080,1,$E$2+3)),INDEX('입력_구리근무자명단'!$A1080:$ZZ1080,1,$E$2+3),IFERROR(DATE(VALUE(LEFT(INDEX('입력_구리근무자명단'!$A1080:$ZZ1080,1,$E$2+3),4)),VALUE(MID(INDEX('입력_구리근무자명단'!$A1080:$ZZ1080,1,$E$2+3),6,2)),VALUE(MID(INDEX('입력_구리근무자명단'!$A1080:$ZZ1080,1,$E$2+3),9,2))),-1))))</f>
        <v/>
      </c>
      <c r="U1082">
        <f>IF($R1082="","",IF(OR($S1082&lt;0,$T1082&lt;0),0,MAX(0,MIN($T1082,EOMONTH(급여기준월,0))-MAX($S1082,급여기준월)+1)))</f>
        <v/>
      </c>
      <c r="V1082">
        <f>IF($R1082="","",TRIM(INDEX('입력_구리근무자명단'!$A1080:$ZZ1080,1,$E$2+5)&amp;""))</f>
        <v/>
      </c>
      <c r="W1082">
        <f>IF(ISNUMBER(SEARCH("구리독자",$V1082)),"구리독자","")</f>
        <v/>
      </c>
      <c r="X1082">
        <f>IF($R1082="","",$R1082&amp;"|"&amp;IF(OR($Q1082="인턴",ISNUMBER(SEARCH("수련교육부",$P1082))),"인턴",$P1082))</f>
        <v/>
      </c>
      <c r="Y1082">
        <f>IF($R1082="","",IF(COUNTIF(명단표[이름|과],$X1082)=1,"명단 일치",IF(AND(COUNTIF(명단표[이름|과],$X1082)=0,COUNTIF(명단표[이름],$R1082)=1),"명단 일치(이름만, 과 다름)",IF(COUNTIF(명단표[이름],$R1082)=0,IF(COUNTIF(기본자료표[이름],$R1082)&gt;0,"명단에 없음(기본자료에는 있음)","명단에 없음"),"동명이인 확인"))))</f>
        <v/>
      </c>
      <c r="Z1082">
        <f>IF($R1082="","",IF($S1082&lt;0,"⚠"&amp;INDEX('입력_구리근무자명단'!$A1080:$ZZ1080,1,$E$2+2),TEXT($S1082,"yyyy-mm-dd")))</f>
        <v/>
      </c>
      <c r="AA1082">
        <f>IF($R1082="","",IF($T1082&lt;0,"⚠"&amp;INDEX('입력_구리근무자명단'!$A1080:$ZZ1080,1,$E$2+3),TEXT($T1082,"yyyy-mm-dd")))</f>
        <v/>
      </c>
      <c r="AB1082">
        <f>AB1081+IF($R1082="",0,1)</f>
        <v/>
      </c>
      <c r="AC1082">
        <f>IF($R1082="","",$AB1082)</f>
        <v/>
      </c>
    </row>
    <row r="1083">
      <c r="O1083">
        <f>1081</f>
        <v/>
      </c>
      <c r="P1083">
        <f>IF(TRIM('입력_구리근무자명단'!$A1081&amp;"")&lt;&gt;"",TRIM('입력_구리근무자명단'!$A1081&amp;""),P1082)</f>
        <v/>
      </c>
      <c r="Q1083">
        <f>'입력_구리근무자명단'!$B1081&amp;""</f>
        <v/>
      </c>
      <c r="R1083">
        <f>IF($E$2="","",TRIM(INDEX('입력_구리근무자명단'!$A1081:$ZZ1081,1,$E$2+IF($G$2="확정",1,0))&amp;""))</f>
        <v/>
      </c>
      <c r="S1083">
        <f>IF($R1083="","",IF(INDEX('입력_구리근무자명단'!$A1081:$ZZ1081,1,$E$2+2)&amp;""="",급여기준월,IF(ISNUMBER(INDEX('입력_구리근무자명단'!$A1081:$ZZ1081,1,$E$2+2)),INDEX('입력_구리근무자명단'!$A1081:$ZZ1081,1,$E$2+2),IFERROR(DATE(VALUE(LEFT(INDEX('입력_구리근무자명단'!$A1081:$ZZ1081,1,$E$2+2),4)),VALUE(MID(INDEX('입력_구리근무자명단'!$A1081:$ZZ1081,1,$E$2+2),6,2)),VALUE(MID(INDEX('입력_구리근무자명단'!$A1081:$ZZ1081,1,$E$2+2),9,2))),-1))))</f>
        <v/>
      </c>
      <c r="T1083">
        <f>IF($R1083="","",IF(INDEX('입력_구리근무자명단'!$A1081:$ZZ1081,1,$E$2+3)&amp;""="",EOMONTH(급여기준월,0),IF(ISNUMBER(INDEX('입력_구리근무자명단'!$A1081:$ZZ1081,1,$E$2+3)),INDEX('입력_구리근무자명단'!$A1081:$ZZ1081,1,$E$2+3),IFERROR(DATE(VALUE(LEFT(INDEX('입력_구리근무자명단'!$A1081:$ZZ1081,1,$E$2+3),4)),VALUE(MID(INDEX('입력_구리근무자명단'!$A1081:$ZZ1081,1,$E$2+3),6,2)),VALUE(MID(INDEX('입력_구리근무자명단'!$A1081:$ZZ1081,1,$E$2+3),9,2))),-1))))</f>
        <v/>
      </c>
      <c r="U1083">
        <f>IF($R1083="","",IF(OR($S1083&lt;0,$T1083&lt;0),0,MAX(0,MIN($T1083,EOMONTH(급여기준월,0))-MAX($S1083,급여기준월)+1)))</f>
        <v/>
      </c>
      <c r="V1083">
        <f>IF($R1083="","",TRIM(INDEX('입력_구리근무자명단'!$A1081:$ZZ1081,1,$E$2+5)&amp;""))</f>
        <v/>
      </c>
      <c r="W1083">
        <f>IF(ISNUMBER(SEARCH("구리독자",$V1083)),"구리독자","")</f>
        <v/>
      </c>
      <c r="X1083">
        <f>IF($R1083="","",$R1083&amp;"|"&amp;IF(OR($Q1083="인턴",ISNUMBER(SEARCH("수련교육부",$P1083))),"인턴",$P1083))</f>
        <v/>
      </c>
      <c r="Y1083">
        <f>IF($R1083="","",IF(COUNTIF(명단표[이름|과],$X1083)=1,"명단 일치",IF(AND(COUNTIF(명단표[이름|과],$X1083)=0,COUNTIF(명단표[이름],$R1083)=1),"명단 일치(이름만, 과 다름)",IF(COUNTIF(명단표[이름],$R1083)=0,IF(COUNTIF(기본자료표[이름],$R1083)&gt;0,"명단에 없음(기본자료에는 있음)","명단에 없음"),"동명이인 확인"))))</f>
        <v/>
      </c>
      <c r="Z1083">
        <f>IF($R1083="","",IF($S1083&lt;0,"⚠"&amp;INDEX('입력_구리근무자명단'!$A1081:$ZZ1081,1,$E$2+2),TEXT($S1083,"yyyy-mm-dd")))</f>
        <v/>
      </c>
      <c r="AA1083">
        <f>IF($R1083="","",IF($T1083&lt;0,"⚠"&amp;INDEX('입력_구리근무자명단'!$A1081:$ZZ1081,1,$E$2+3),TEXT($T1083,"yyyy-mm-dd")))</f>
        <v/>
      </c>
      <c r="AB1083">
        <f>AB1082+IF($R1083="",0,1)</f>
        <v/>
      </c>
      <c r="AC1083">
        <f>IF($R1083="","",$AB1083)</f>
        <v/>
      </c>
    </row>
    <row r="1084">
      <c r="O1084">
        <f>1082</f>
        <v/>
      </c>
      <c r="P1084">
        <f>IF(TRIM('입력_구리근무자명단'!$A1082&amp;"")&lt;&gt;"",TRIM('입력_구리근무자명단'!$A1082&amp;""),P1083)</f>
        <v/>
      </c>
      <c r="Q1084">
        <f>'입력_구리근무자명단'!$B1082&amp;""</f>
        <v/>
      </c>
      <c r="R1084">
        <f>IF($E$2="","",TRIM(INDEX('입력_구리근무자명단'!$A1082:$ZZ1082,1,$E$2+IF($G$2="확정",1,0))&amp;""))</f>
        <v/>
      </c>
      <c r="S1084">
        <f>IF($R1084="","",IF(INDEX('입력_구리근무자명단'!$A1082:$ZZ1082,1,$E$2+2)&amp;""="",급여기준월,IF(ISNUMBER(INDEX('입력_구리근무자명단'!$A1082:$ZZ1082,1,$E$2+2)),INDEX('입력_구리근무자명단'!$A1082:$ZZ1082,1,$E$2+2),IFERROR(DATE(VALUE(LEFT(INDEX('입력_구리근무자명단'!$A1082:$ZZ1082,1,$E$2+2),4)),VALUE(MID(INDEX('입력_구리근무자명단'!$A1082:$ZZ1082,1,$E$2+2),6,2)),VALUE(MID(INDEX('입력_구리근무자명단'!$A1082:$ZZ1082,1,$E$2+2),9,2))),-1))))</f>
        <v/>
      </c>
      <c r="T1084">
        <f>IF($R1084="","",IF(INDEX('입력_구리근무자명단'!$A1082:$ZZ1082,1,$E$2+3)&amp;""="",EOMONTH(급여기준월,0),IF(ISNUMBER(INDEX('입력_구리근무자명단'!$A1082:$ZZ1082,1,$E$2+3)),INDEX('입력_구리근무자명단'!$A1082:$ZZ1082,1,$E$2+3),IFERROR(DATE(VALUE(LEFT(INDEX('입력_구리근무자명단'!$A1082:$ZZ1082,1,$E$2+3),4)),VALUE(MID(INDEX('입력_구리근무자명단'!$A1082:$ZZ1082,1,$E$2+3),6,2)),VALUE(MID(INDEX('입력_구리근무자명단'!$A1082:$ZZ1082,1,$E$2+3),9,2))),-1))))</f>
        <v/>
      </c>
      <c r="U1084">
        <f>IF($R1084="","",IF(OR($S1084&lt;0,$T1084&lt;0),0,MAX(0,MIN($T1084,EOMONTH(급여기준월,0))-MAX($S1084,급여기준월)+1)))</f>
        <v/>
      </c>
      <c r="V1084">
        <f>IF($R1084="","",TRIM(INDEX('입력_구리근무자명단'!$A1082:$ZZ1082,1,$E$2+5)&amp;""))</f>
        <v/>
      </c>
      <c r="W1084">
        <f>IF(ISNUMBER(SEARCH("구리독자",$V1084)),"구리독자","")</f>
        <v/>
      </c>
      <c r="X1084">
        <f>IF($R1084="","",$R1084&amp;"|"&amp;IF(OR($Q1084="인턴",ISNUMBER(SEARCH("수련교육부",$P1084))),"인턴",$P1084))</f>
        <v/>
      </c>
      <c r="Y1084">
        <f>IF($R1084="","",IF(COUNTIF(명단표[이름|과],$X1084)=1,"명단 일치",IF(AND(COUNTIF(명단표[이름|과],$X1084)=0,COUNTIF(명단표[이름],$R1084)=1),"명단 일치(이름만, 과 다름)",IF(COUNTIF(명단표[이름],$R1084)=0,IF(COUNTIF(기본자료표[이름],$R1084)&gt;0,"명단에 없음(기본자료에는 있음)","명단에 없음"),"동명이인 확인"))))</f>
        <v/>
      </c>
      <c r="Z1084">
        <f>IF($R1084="","",IF($S1084&lt;0,"⚠"&amp;INDEX('입력_구리근무자명단'!$A1082:$ZZ1082,1,$E$2+2),TEXT($S1084,"yyyy-mm-dd")))</f>
        <v/>
      </c>
      <c r="AA1084">
        <f>IF($R1084="","",IF($T1084&lt;0,"⚠"&amp;INDEX('입력_구리근무자명단'!$A1082:$ZZ1082,1,$E$2+3),TEXT($T1084,"yyyy-mm-dd")))</f>
        <v/>
      </c>
      <c r="AB1084">
        <f>AB1083+IF($R1084="",0,1)</f>
        <v/>
      </c>
      <c r="AC1084">
        <f>IF($R1084="","",$AB1084)</f>
        <v/>
      </c>
    </row>
    <row r="1085">
      <c r="O1085">
        <f>1083</f>
        <v/>
      </c>
      <c r="P1085">
        <f>IF(TRIM('입력_구리근무자명단'!$A1083&amp;"")&lt;&gt;"",TRIM('입력_구리근무자명단'!$A1083&amp;""),P1084)</f>
        <v/>
      </c>
      <c r="Q1085">
        <f>'입력_구리근무자명단'!$B1083&amp;""</f>
        <v/>
      </c>
      <c r="R1085">
        <f>IF($E$2="","",TRIM(INDEX('입력_구리근무자명단'!$A1083:$ZZ1083,1,$E$2+IF($G$2="확정",1,0))&amp;""))</f>
        <v/>
      </c>
      <c r="S1085">
        <f>IF($R1085="","",IF(INDEX('입력_구리근무자명단'!$A1083:$ZZ1083,1,$E$2+2)&amp;""="",급여기준월,IF(ISNUMBER(INDEX('입력_구리근무자명단'!$A1083:$ZZ1083,1,$E$2+2)),INDEX('입력_구리근무자명단'!$A1083:$ZZ1083,1,$E$2+2),IFERROR(DATE(VALUE(LEFT(INDEX('입력_구리근무자명단'!$A1083:$ZZ1083,1,$E$2+2),4)),VALUE(MID(INDEX('입력_구리근무자명단'!$A1083:$ZZ1083,1,$E$2+2),6,2)),VALUE(MID(INDEX('입력_구리근무자명단'!$A1083:$ZZ1083,1,$E$2+2),9,2))),-1))))</f>
        <v/>
      </c>
      <c r="T1085">
        <f>IF($R1085="","",IF(INDEX('입력_구리근무자명단'!$A1083:$ZZ1083,1,$E$2+3)&amp;""="",EOMONTH(급여기준월,0),IF(ISNUMBER(INDEX('입력_구리근무자명단'!$A1083:$ZZ1083,1,$E$2+3)),INDEX('입력_구리근무자명단'!$A1083:$ZZ1083,1,$E$2+3),IFERROR(DATE(VALUE(LEFT(INDEX('입력_구리근무자명단'!$A1083:$ZZ1083,1,$E$2+3),4)),VALUE(MID(INDEX('입력_구리근무자명단'!$A1083:$ZZ1083,1,$E$2+3),6,2)),VALUE(MID(INDEX('입력_구리근무자명단'!$A1083:$ZZ1083,1,$E$2+3),9,2))),-1))))</f>
        <v/>
      </c>
      <c r="U1085">
        <f>IF($R1085="","",IF(OR($S1085&lt;0,$T1085&lt;0),0,MAX(0,MIN($T1085,EOMONTH(급여기준월,0))-MAX($S1085,급여기준월)+1)))</f>
        <v/>
      </c>
      <c r="V1085">
        <f>IF($R1085="","",TRIM(INDEX('입력_구리근무자명단'!$A1083:$ZZ1083,1,$E$2+5)&amp;""))</f>
        <v/>
      </c>
      <c r="W1085">
        <f>IF(ISNUMBER(SEARCH("구리독자",$V1085)),"구리독자","")</f>
        <v/>
      </c>
      <c r="X1085">
        <f>IF($R1085="","",$R1085&amp;"|"&amp;IF(OR($Q1085="인턴",ISNUMBER(SEARCH("수련교육부",$P1085))),"인턴",$P1085))</f>
        <v/>
      </c>
      <c r="Y1085">
        <f>IF($R1085="","",IF(COUNTIF(명단표[이름|과],$X1085)=1,"명단 일치",IF(AND(COUNTIF(명단표[이름|과],$X1085)=0,COUNTIF(명단표[이름],$R1085)=1),"명단 일치(이름만, 과 다름)",IF(COUNTIF(명단표[이름],$R1085)=0,IF(COUNTIF(기본자료표[이름],$R1085)&gt;0,"명단에 없음(기본자료에는 있음)","명단에 없음"),"동명이인 확인"))))</f>
        <v/>
      </c>
      <c r="Z1085">
        <f>IF($R1085="","",IF($S1085&lt;0,"⚠"&amp;INDEX('입력_구리근무자명단'!$A1083:$ZZ1083,1,$E$2+2),TEXT($S1085,"yyyy-mm-dd")))</f>
        <v/>
      </c>
      <c r="AA1085">
        <f>IF($R1085="","",IF($T1085&lt;0,"⚠"&amp;INDEX('입력_구리근무자명단'!$A1083:$ZZ1083,1,$E$2+3),TEXT($T1085,"yyyy-mm-dd")))</f>
        <v/>
      </c>
      <c r="AB1085">
        <f>AB1084+IF($R1085="",0,1)</f>
        <v/>
      </c>
      <c r="AC1085">
        <f>IF($R1085="","",$AB1085)</f>
        <v/>
      </c>
    </row>
    <row r="1086">
      <c r="O1086">
        <f>1084</f>
        <v/>
      </c>
      <c r="P1086">
        <f>IF(TRIM('입력_구리근무자명단'!$A1084&amp;"")&lt;&gt;"",TRIM('입력_구리근무자명단'!$A1084&amp;""),P1085)</f>
        <v/>
      </c>
      <c r="Q1086">
        <f>'입력_구리근무자명단'!$B1084&amp;""</f>
        <v/>
      </c>
      <c r="R1086">
        <f>IF($E$2="","",TRIM(INDEX('입력_구리근무자명단'!$A1084:$ZZ1084,1,$E$2+IF($G$2="확정",1,0))&amp;""))</f>
        <v/>
      </c>
      <c r="S1086">
        <f>IF($R1086="","",IF(INDEX('입력_구리근무자명단'!$A1084:$ZZ1084,1,$E$2+2)&amp;""="",급여기준월,IF(ISNUMBER(INDEX('입력_구리근무자명단'!$A1084:$ZZ1084,1,$E$2+2)),INDEX('입력_구리근무자명단'!$A1084:$ZZ1084,1,$E$2+2),IFERROR(DATE(VALUE(LEFT(INDEX('입력_구리근무자명단'!$A1084:$ZZ1084,1,$E$2+2),4)),VALUE(MID(INDEX('입력_구리근무자명단'!$A1084:$ZZ1084,1,$E$2+2),6,2)),VALUE(MID(INDEX('입력_구리근무자명단'!$A1084:$ZZ1084,1,$E$2+2),9,2))),-1))))</f>
        <v/>
      </c>
      <c r="T1086">
        <f>IF($R1086="","",IF(INDEX('입력_구리근무자명단'!$A1084:$ZZ1084,1,$E$2+3)&amp;""="",EOMONTH(급여기준월,0),IF(ISNUMBER(INDEX('입력_구리근무자명단'!$A1084:$ZZ1084,1,$E$2+3)),INDEX('입력_구리근무자명단'!$A1084:$ZZ1084,1,$E$2+3),IFERROR(DATE(VALUE(LEFT(INDEX('입력_구리근무자명단'!$A1084:$ZZ1084,1,$E$2+3),4)),VALUE(MID(INDEX('입력_구리근무자명단'!$A1084:$ZZ1084,1,$E$2+3),6,2)),VALUE(MID(INDEX('입력_구리근무자명단'!$A1084:$ZZ1084,1,$E$2+3),9,2))),-1))))</f>
        <v/>
      </c>
      <c r="U1086">
        <f>IF($R1086="","",IF(OR($S1086&lt;0,$T1086&lt;0),0,MAX(0,MIN($T1086,EOMONTH(급여기준월,0))-MAX($S1086,급여기준월)+1)))</f>
        <v/>
      </c>
      <c r="V1086">
        <f>IF($R1086="","",TRIM(INDEX('입력_구리근무자명단'!$A1084:$ZZ1084,1,$E$2+5)&amp;""))</f>
        <v/>
      </c>
      <c r="W1086">
        <f>IF(ISNUMBER(SEARCH("구리독자",$V1086)),"구리독자","")</f>
        <v/>
      </c>
      <c r="X1086">
        <f>IF($R1086="","",$R1086&amp;"|"&amp;IF(OR($Q1086="인턴",ISNUMBER(SEARCH("수련교육부",$P1086))),"인턴",$P1086))</f>
        <v/>
      </c>
      <c r="Y1086">
        <f>IF($R1086="","",IF(COUNTIF(명단표[이름|과],$X1086)=1,"명단 일치",IF(AND(COUNTIF(명단표[이름|과],$X1086)=0,COUNTIF(명단표[이름],$R1086)=1),"명단 일치(이름만, 과 다름)",IF(COUNTIF(명단표[이름],$R1086)=0,IF(COUNTIF(기본자료표[이름],$R1086)&gt;0,"명단에 없음(기본자료에는 있음)","명단에 없음"),"동명이인 확인"))))</f>
        <v/>
      </c>
      <c r="Z1086">
        <f>IF($R1086="","",IF($S1086&lt;0,"⚠"&amp;INDEX('입력_구리근무자명단'!$A1084:$ZZ1084,1,$E$2+2),TEXT($S1086,"yyyy-mm-dd")))</f>
        <v/>
      </c>
      <c r="AA1086">
        <f>IF($R1086="","",IF($T1086&lt;0,"⚠"&amp;INDEX('입력_구리근무자명단'!$A1084:$ZZ1084,1,$E$2+3),TEXT($T1086,"yyyy-mm-dd")))</f>
        <v/>
      </c>
      <c r="AB1086">
        <f>AB1085+IF($R1086="",0,1)</f>
        <v/>
      </c>
      <c r="AC1086">
        <f>IF($R1086="","",$AB1086)</f>
        <v/>
      </c>
    </row>
    <row r="1087">
      <c r="O1087">
        <f>1085</f>
        <v/>
      </c>
      <c r="P1087">
        <f>IF(TRIM('입력_구리근무자명단'!$A1085&amp;"")&lt;&gt;"",TRIM('입력_구리근무자명단'!$A1085&amp;""),P1086)</f>
        <v/>
      </c>
      <c r="Q1087">
        <f>'입력_구리근무자명단'!$B1085&amp;""</f>
        <v/>
      </c>
      <c r="R1087">
        <f>IF($E$2="","",TRIM(INDEX('입력_구리근무자명단'!$A1085:$ZZ1085,1,$E$2+IF($G$2="확정",1,0))&amp;""))</f>
        <v/>
      </c>
      <c r="S1087">
        <f>IF($R1087="","",IF(INDEX('입력_구리근무자명단'!$A1085:$ZZ1085,1,$E$2+2)&amp;""="",급여기준월,IF(ISNUMBER(INDEX('입력_구리근무자명단'!$A1085:$ZZ1085,1,$E$2+2)),INDEX('입력_구리근무자명단'!$A1085:$ZZ1085,1,$E$2+2),IFERROR(DATE(VALUE(LEFT(INDEX('입력_구리근무자명단'!$A1085:$ZZ1085,1,$E$2+2),4)),VALUE(MID(INDEX('입력_구리근무자명단'!$A1085:$ZZ1085,1,$E$2+2),6,2)),VALUE(MID(INDEX('입력_구리근무자명단'!$A1085:$ZZ1085,1,$E$2+2),9,2))),-1))))</f>
        <v/>
      </c>
      <c r="T1087">
        <f>IF($R1087="","",IF(INDEX('입력_구리근무자명단'!$A1085:$ZZ1085,1,$E$2+3)&amp;""="",EOMONTH(급여기준월,0),IF(ISNUMBER(INDEX('입력_구리근무자명단'!$A1085:$ZZ1085,1,$E$2+3)),INDEX('입력_구리근무자명단'!$A1085:$ZZ1085,1,$E$2+3),IFERROR(DATE(VALUE(LEFT(INDEX('입력_구리근무자명단'!$A1085:$ZZ1085,1,$E$2+3),4)),VALUE(MID(INDEX('입력_구리근무자명단'!$A1085:$ZZ1085,1,$E$2+3),6,2)),VALUE(MID(INDEX('입력_구리근무자명단'!$A1085:$ZZ1085,1,$E$2+3),9,2))),-1))))</f>
        <v/>
      </c>
      <c r="U1087">
        <f>IF($R1087="","",IF(OR($S1087&lt;0,$T1087&lt;0),0,MAX(0,MIN($T1087,EOMONTH(급여기준월,0))-MAX($S1087,급여기준월)+1)))</f>
        <v/>
      </c>
      <c r="V1087">
        <f>IF($R1087="","",TRIM(INDEX('입력_구리근무자명단'!$A1085:$ZZ1085,1,$E$2+5)&amp;""))</f>
        <v/>
      </c>
      <c r="W1087">
        <f>IF(ISNUMBER(SEARCH("구리독자",$V1087)),"구리독자","")</f>
        <v/>
      </c>
      <c r="X1087">
        <f>IF($R1087="","",$R1087&amp;"|"&amp;IF(OR($Q1087="인턴",ISNUMBER(SEARCH("수련교육부",$P1087))),"인턴",$P1087))</f>
        <v/>
      </c>
      <c r="Y1087">
        <f>IF($R1087="","",IF(COUNTIF(명단표[이름|과],$X1087)=1,"명단 일치",IF(AND(COUNTIF(명단표[이름|과],$X1087)=0,COUNTIF(명단표[이름],$R1087)=1),"명단 일치(이름만, 과 다름)",IF(COUNTIF(명단표[이름],$R1087)=0,IF(COUNTIF(기본자료표[이름],$R1087)&gt;0,"명단에 없음(기본자료에는 있음)","명단에 없음"),"동명이인 확인"))))</f>
        <v/>
      </c>
      <c r="Z1087">
        <f>IF($R1087="","",IF($S1087&lt;0,"⚠"&amp;INDEX('입력_구리근무자명단'!$A1085:$ZZ1085,1,$E$2+2),TEXT($S1087,"yyyy-mm-dd")))</f>
        <v/>
      </c>
      <c r="AA1087">
        <f>IF($R1087="","",IF($T1087&lt;0,"⚠"&amp;INDEX('입력_구리근무자명단'!$A1085:$ZZ1085,1,$E$2+3),TEXT($T1087,"yyyy-mm-dd")))</f>
        <v/>
      </c>
      <c r="AB1087">
        <f>AB1086+IF($R1087="",0,1)</f>
        <v/>
      </c>
      <c r="AC1087">
        <f>IF($R1087="","",$AB1087)</f>
        <v/>
      </c>
    </row>
    <row r="1088">
      <c r="O1088">
        <f>1086</f>
        <v/>
      </c>
      <c r="P1088">
        <f>IF(TRIM('입력_구리근무자명단'!$A1086&amp;"")&lt;&gt;"",TRIM('입력_구리근무자명단'!$A1086&amp;""),P1087)</f>
        <v/>
      </c>
      <c r="Q1088">
        <f>'입력_구리근무자명단'!$B1086&amp;""</f>
        <v/>
      </c>
      <c r="R1088">
        <f>IF($E$2="","",TRIM(INDEX('입력_구리근무자명단'!$A1086:$ZZ1086,1,$E$2+IF($G$2="확정",1,0))&amp;""))</f>
        <v/>
      </c>
      <c r="S1088">
        <f>IF($R1088="","",IF(INDEX('입력_구리근무자명단'!$A1086:$ZZ1086,1,$E$2+2)&amp;""="",급여기준월,IF(ISNUMBER(INDEX('입력_구리근무자명단'!$A1086:$ZZ1086,1,$E$2+2)),INDEX('입력_구리근무자명단'!$A1086:$ZZ1086,1,$E$2+2),IFERROR(DATE(VALUE(LEFT(INDEX('입력_구리근무자명단'!$A1086:$ZZ1086,1,$E$2+2),4)),VALUE(MID(INDEX('입력_구리근무자명단'!$A1086:$ZZ1086,1,$E$2+2),6,2)),VALUE(MID(INDEX('입력_구리근무자명단'!$A1086:$ZZ1086,1,$E$2+2),9,2))),-1))))</f>
        <v/>
      </c>
      <c r="T1088">
        <f>IF($R1088="","",IF(INDEX('입력_구리근무자명단'!$A1086:$ZZ1086,1,$E$2+3)&amp;""="",EOMONTH(급여기준월,0),IF(ISNUMBER(INDEX('입력_구리근무자명단'!$A1086:$ZZ1086,1,$E$2+3)),INDEX('입력_구리근무자명단'!$A1086:$ZZ1086,1,$E$2+3),IFERROR(DATE(VALUE(LEFT(INDEX('입력_구리근무자명단'!$A1086:$ZZ1086,1,$E$2+3),4)),VALUE(MID(INDEX('입력_구리근무자명단'!$A1086:$ZZ1086,1,$E$2+3),6,2)),VALUE(MID(INDEX('입력_구리근무자명단'!$A1086:$ZZ1086,1,$E$2+3),9,2))),-1))))</f>
        <v/>
      </c>
      <c r="U1088">
        <f>IF($R1088="","",IF(OR($S1088&lt;0,$T1088&lt;0),0,MAX(0,MIN($T1088,EOMONTH(급여기준월,0))-MAX($S1088,급여기준월)+1)))</f>
        <v/>
      </c>
      <c r="V1088">
        <f>IF($R1088="","",TRIM(INDEX('입력_구리근무자명단'!$A1086:$ZZ1086,1,$E$2+5)&amp;""))</f>
        <v/>
      </c>
      <c r="W1088">
        <f>IF(ISNUMBER(SEARCH("구리독자",$V1088)),"구리독자","")</f>
        <v/>
      </c>
      <c r="X1088">
        <f>IF($R1088="","",$R1088&amp;"|"&amp;IF(OR($Q1088="인턴",ISNUMBER(SEARCH("수련교육부",$P1088))),"인턴",$P1088))</f>
        <v/>
      </c>
      <c r="Y1088">
        <f>IF($R1088="","",IF(COUNTIF(명단표[이름|과],$X1088)=1,"명단 일치",IF(AND(COUNTIF(명단표[이름|과],$X1088)=0,COUNTIF(명단표[이름],$R1088)=1),"명단 일치(이름만, 과 다름)",IF(COUNTIF(명단표[이름],$R1088)=0,IF(COUNTIF(기본자료표[이름],$R1088)&gt;0,"명단에 없음(기본자료에는 있음)","명단에 없음"),"동명이인 확인"))))</f>
        <v/>
      </c>
      <c r="Z1088">
        <f>IF($R1088="","",IF($S1088&lt;0,"⚠"&amp;INDEX('입력_구리근무자명단'!$A1086:$ZZ1086,1,$E$2+2),TEXT($S1088,"yyyy-mm-dd")))</f>
        <v/>
      </c>
      <c r="AA1088">
        <f>IF($R1088="","",IF($T1088&lt;0,"⚠"&amp;INDEX('입력_구리근무자명단'!$A1086:$ZZ1086,1,$E$2+3),TEXT($T1088,"yyyy-mm-dd")))</f>
        <v/>
      </c>
      <c r="AB1088">
        <f>AB1087+IF($R1088="",0,1)</f>
        <v/>
      </c>
      <c r="AC1088">
        <f>IF($R1088="","",$AB1088)</f>
        <v/>
      </c>
    </row>
    <row r="1089">
      <c r="O1089">
        <f>1087</f>
        <v/>
      </c>
      <c r="P1089">
        <f>IF(TRIM('입력_구리근무자명단'!$A1087&amp;"")&lt;&gt;"",TRIM('입력_구리근무자명단'!$A1087&amp;""),P1088)</f>
        <v/>
      </c>
      <c r="Q1089">
        <f>'입력_구리근무자명단'!$B1087&amp;""</f>
        <v/>
      </c>
      <c r="R1089">
        <f>IF($E$2="","",TRIM(INDEX('입력_구리근무자명단'!$A1087:$ZZ1087,1,$E$2+IF($G$2="확정",1,0))&amp;""))</f>
        <v/>
      </c>
      <c r="S1089">
        <f>IF($R1089="","",IF(INDEX('입력_구리근무자명단'!$A1087:$ZZ1087,1,$E$2+2)&amp;""="",급여기준월,IF(ISNUMBER(INDEX('입력_구리근무자명단'!$A1087:$ZZ1087,1,$E$2+2)),INDEX('입력_구리근무자명단'!$A1087:$ZZ1087,1,$E$2+2),IFERROR(DATE(VALUE(LEFT(INDEX('입력_구리근무자명단'!$A1087:$ZZ1087,1,$E$2+2),4)),VALUE(MID(INDEX('입력_구리근무자명단'!$A1087:$ZZ1087,1,$E$2+2),6,2)),VALUE(MID(INDEX('입력_구리근무자명단'!$A1087:$ZZ1087,1,$E$2+2),9,2))),-1))))</f>
        <v/>
      </c>
      <c r="T1089">
        <f>IF($R1089="","",IF(INDEX('입력_구리근무자명단'!$A1087:$ZZ1087,1,$E$2+3)&amp;""="",EOMONTH(급여기준월,0),IF(ISNUMBER(INDEX('입력_구리근무자명단'!$A1087:$ZZ1087,1,$E$2+3)),INDEX('입력_구리근무자명단'!$A1087:$ZZ1087,1,$E$2+3),IFERROR(DATE(VALUE(LEFT(INDEX('입력_구리근무자명단'!$A1087:$ZZ1087,1,$E$2+3),4)),VALUE(MID(INDEX('입력_구리근무자명단'!$A1087:$ZZ1087,1,$E$2+3),6,2)),VALUE(MID(INDEX('입력_구리근무자명단'!$A1087:$ZZ1087,1,$E$2+3),9,2))),-1))))</f>
        <v/>
      </c>
      <c r="U1089">
        <f>IF($R1089="","",IF(OR($S1089&lt;0,$T1089&lt;0),0,MAX(0,MIN($T1089,EOMONTH(급여기준월,0))-MAX($S1089,급여기준월)+1)))</f>
        <v/>
      </c>
      <c r="V1089">
        <f>IF($R1089="","",TRIM(INDEX('입력_구리근무자명단'!$A1087:$ZZ1087,1,$E$2+5)&amp;""))</f>
        <v/>
      </c>
      <c r="W1089">
        <f>IF(ISNUMBER(SEARCH("구리독자",$V1089)),"구리독자","")</f>
        <v/>
      </c>
      <c r="X1089">
        <f>IF($R1089="","",$R1089&amp;"|"&amp;IF(OR($Q1089="인턴",ISNUMBER(SEARCH("수련교육부",$P1089))),"인턴",$P1089))</f>
        <v/>
      </c>
      <c r="Y1089">
        <f>IF($R1089="","",IF(COUNTIF(명단표[이름|과],$X1089)=1,"명단 일치",IF(AND(COUNTIF(명단표[이름|과],$X1089)=0,COUNTIF(명단표[이름],$R1089)=1),"명단 일치(이름만, 과 다름)",IF(COUNTIF(명단표[이름],$R1089)=0,IF(COUNTIF(기본자료표[이름],$R1089)&gt;0,"명단에 없음(기본자료에는 있음)","명단에 없음"),"동명이인 확인"))))</f>
        <v/>
      </c>
      <c r="Z1089">
        <f>IF($R1089="","",IF($S1089&lt;0,"⚠"&amp;INDEX('입력_구리근무자명단'!$A1087:$ZZ1087,1,$E$2+2),TEXT($S1089,"yyyy-mm-dd")))</f>
        <v/>
      </c>
      <c r="AA1089">
        <f>IF($R1089="","",IF($T1089&lt;0,"⚠"&amp;INDEX('입력_구리근무자명단'!$A1087:$ZZ1087,1,$E$2+3),TEXT($T1089,"yyyy-mm-dd")))</f>
        <v/>
      </c>
      <c r="AB1089">
        <f>AB1088+IF($R1089="",0,1)</f>
        <v/>
      </c>
      <c r="AC1089">
        <f>IF($R1089="","",$AB1089)</f>
        <v/>
      </c>
    </row>
    <row r="1090">
      <c r="O1090">
        <f>1088</f>
        <v/>
      </c>
      <c r="P1090">
        <f>IF(TRIM('입력_구리근무자명단'!$A1088&amp;"")&lt;&gt;"",TRIM('입력_구리근무자명단'!$A1088&amp;""),P1089)</f>
        <v/>
      </c>
      <c r="Q1090">
        <f>'입력_구리근무자명단'!$B1088&amp;""</f>
        <v/>
      </c>
      <c r="R1090">
        <f>IF($E$2="","",TRIM(INDEX('입력_구리근무자명단'!$A1088:$ZZ1088,1,$E$2+IF($G$2="확정",1,0))&amp;""))</f>
        <v/>
      </c>
      <c r="S1090">
        <f>IF($R1090="","",IF(INDEX('입력_구리근무자명단'!$A1088:$ZZ1088,1,$E$2+2)&amp;""="",급여기준월,IF(ISNUMBER(INDEX('입력_구리근무자명단'!$A1088:$ZZ1088,1,$E$2+2)),INDEX('입력_구리근무자명단'!$A1088:$ZZ1088,1,$E$2+2),IFERROR(DATE(VALUE(LEFT(INDEX('입력_구리근무자명단'!$A1088:$ZZ1088,1,$E$2+2),4)),VALUE(MID(INDEX('입력_구리근무자명단'!$A1088:$ZZ1088,1,$E$2+2),6,2)),VALUE(MID(INDEX('입력_구리근무자명단'!$A1088:$ZZ1088,1,$E$2+2),9,2))),-1))))</f>
        <v/>
      </c>
      <c r="T1090">
        <f>IF($R1090="","",IF(INDEX('입력_구리근무자명단'!$A1088:$ZZ1088,1,$E$2+3)&amp;""="",EOMONTH(급여기준월,0),IF(ISNUMBER(INDEX('입력_구리근무자명단'!$A1088:$ZZ1088,1,$E$2+3)),INDEX('입력_구리근무자명단'!$A1088:$ZZ1088,1,$E$2+3),IFERROR(DATE(VALUE(LEFT(INDEX('입력_구리근무자명단'!$A1088:$ZZ1088,1,$E$2+3),4)),VALUE(MID(INDEX('입력_구리근무자명단'!$A1088:$ZZ1088,1,$E$2+3),6,2)),VALUE(MID(INDEX('입력_구리근무자명단'!$A1088:$ZZ1088,1,$E$2+3),9,2))),-1))))</f>
        <v/>
      </c>
      <c r="U1090">
        <f>IF($R1090="","",IF(OR($S1090&lt;0,$T1090&lt;0),0,MAX(0,MIN($T1090,EOMONTH(급여기준월,0))-MAX($S1090,급여기준월)+1)))</f>
        <v/>
      </c>
      <c r="V1090">
        <f>IF($R1090="","",TRIM(INDEX('입력_구리근무자명단'!$A1088:$ZZ1088,1,$E$2+5)&amp;""))</f>
        <v/>
      </c>
      <c r="W1090">
        <f>IF(ISNUMBER(SEARCH("구리독자",$V1090)),"구리독자","")</f>
        <v/>
      </c>
      <c r="X1090">
        <f>IF($R1090="","",$R1090&amp;"|"&amp;IF(OR($Q1090="인턴",ISNUMBER(SEARCH("수련교육부",$P1090))),"인턴",$P1090))</f>
        <v/>
      </c>
      <c r="Y1090">
        <f>IF($R1090="","",IF(COUNTIF(명단표[이름|과],$X1090)=1,"명단 일치",IF(AND(COUNTIF(명단표[이름|과],$X1090)=0,COUNTIF(명단표[이름],$R1090)=1),"명단 일치(이름만, 과 다름)",IF(COUNTIF(명단표[이름],$R1090)=0,IF(COUNTIF(기본자료표[이름],$R1090)&gt;0,"명단에 없음(기본자료에는 있음)","명단에 없음"),"동명이인 확인"))))</f>
        <v/>
      </c>
      <c r="Z1090">
        <f>IF($R1090="","",IF($S1090&lt;0,"⚠"&amp;INDEX('입력_구리근무자명단'!$A1088:$ZZ1088,1,$E$2+2),TEXT($S1090,"yyyy-mm-dd")))</f>
        <v/>
      </c>
      <c r="AA1090">
        <f>IF($R1090="","",IF($T1090&lt;0,"⚠"&amp;INDEX('입력_구리근무자명단'!$A1088:$ZZ1088,1,$E$2+3),TEXT($T1090,"yyyy-mm-dd")))</f>
        <v/>
      </c>
      <c r="AB1090">
        <f>AB1089+IF($R1090="",0,1)</f>
        <v/>
      </c>
      <c r="AC1090">
        <f>IF($R1090="","",$AB1090)</f>
        <v/>
      </c>
    </row>
    <row r="1091">
      <c r="O1091">
        <f>1089</f>
        <v/>
      </c>
      <c r="P1091">
        <f>IF(TRIM('입력_구리근무자명단'!$A1089&amp;"")&lt;&gt;"",TRIM('입력_구리근무자명단'!$A1089&amp;""),P1090)</f>
        <v/>
      </c>
      <c r="Q1091">
        <f>'입력_구리근무자명단'!$B1089&amp;""</f>
        <v/>
      </c>
      <c r="R1091">
        <f>IF($E$2="","",TRIM(INDEX('입력_구리근무자명단'!$A1089:$ZZ1089,1,$E$2+IF($G$2="확정",1,0))&amp;""))</f>
        <v/>
      </c>
      <c r="S1091">
        <f>IF($R1091="","",IF(INDEX('입력_구리근무자명단'!$A1089:$ZZ1089,1,$E$2+2)&amp;""="",급여기준월,IF(ISNUMBER(INDEX('입력_구리근무자명단'!$A1089:$ZZ1089,1,$E$2+2)),INDEX('입력_구리근무자명단'!$A1089:$ZZ1089,1,$E$2+2),IFERROR(DATE(VALUE(LEFT(INDEX('입력_구리근무자명단'!$A1089:$ZZ1089,1,$E$2+2),4)),VALUE(MID(INDEX('입력_구리근무자명단'!$A1089:$ZZ1089,1,$E$2+2),6,2)),VALUE(MID(INDEX('입력_구리근무자명단'!$A1089:$ZZ1089,1,$E$2+2),9,2))),-1))))</f>
        <v/>
      </c>
      <c r="T1091">
        <f>IF($R1091="","",IF(INDEX('입력_구리근무자명단'!$A1089:$ZZ1089,1,$E$2+3)&amp;""="",EOMONTH(급여기준월,0),IF(ISNUMBER(INDEX('입력_구리근무자명단'!$A1089:$ZZ1089,1,$E$2+3)),INDEX('입력_구리근무자명단'!$A1089:$ZZ1089,1,$E$2+3),IFERROR(DATE(VALUE(LEFT(INDEX('입력_구리근무자명단'!$A1089:$ZZ1089,1,$E$2+3),4)),VALUE(MID(INDEX('입력_구리근무자명단'!$A1089:$ZZ1089,1,$E$2+3),6,2)),VALUE(MID(INDEX('입력_구리근무자명단'!$A1089:$ZZ1089,1,$E$2+3),9,2))),-1))))</f>
        <v/>
      </c>
      <c r="U1091">
        <f>IF($R1091="","",IF(OR($S1091&lt;0,$T1091&lt;0),0,MAX(0,MIN($T1091,EOMONTH(급여기준월,0))-MAX($S1091,급여기준월)+1)))</f>
        <v/>
      </c>
      <c r="V1091">
        <f>IF($R1091="","",TRIM(INDEX('입력_구리근무자명단'!$A1089:$ZZ1089,1,$E$2+5)&amp;""))</f>
        <v/>
      </c>
      <c r="W1091">
        <f>IF(ISNUMBER(SEARCH("구리독자",$V1091)),"구리독자","")</f>
        <v/>
      </c>
      <c r="X1091">
        <f>IF($R1091="","",$R1091&amp;"|"&amp;IF(OR($Q1091="인턴",ISNUMBER(SEARCH("수련교육부",$P1091))),"인턴",$P1091))</f>
        <v/>
      </c>
      <c r="Y1091">
        <f>IF($R1091="","",IF(COUNTIF(명단표[이름|과],$X1091)=1,"명단 일치",IF(AND(COUNTIF(명단표[이름|과],$X1091)=0,COUNTIF(명단표[이름],$R1091)=1),"명단 일치(이름만, 과 다름)",IF(COUNTIF(명단표[이름],$R1091)=0,IF(COUNTIF(기본자료표[이름],$R1091)&gt;0,"명단에 없음(기본자료에는 있음)","명단에 없음"),"동명이인 확인"))))</f>
        <v/>
      </c>
      <c r="Z1091">
        <f>IF($R1091="","",IF($S1091&lt;0,"⚠"&amp;INDEX('입력_구리근무자명단'!$A1089:$ZZ1089,1,$E$2+2),TEXT($S1091,"yyyy-mm-dd")))</f>
        <v/>
      </c>
      <c r="AA1091">
        <f>IF($R1091="","",IF($T1091&lt;0,"⚠"&amp;INDEX('입력_구리근무자명단'!$A1089:$ZZ1089,1,$E$2+3),TEXT($T1091,"yyyy-mm-dd")))</f>
        <v/>
      </c>
      <c r="AB1091">
        <f>AB1090+IF($R1091="",0,1)</f>
        <v/>
      </c>
      <c r="AC1091">
        <f>IF($R1091="","",$AB1091)</f>
        <v/>
      </c>
    </row>
    <row r="1092">
      <c r="O1092">
        <f>1090</f>
        <v/>
      </c>
      <c r="P1092">
        <f>IF(TRIM('입력_구리근무자명단'!$A1090&amp;"")&lt;&gt;"",TRIM('입력_구리근무자명단'!$A1090&amp;""),P1091)</f>
        <v/>
      </c>
      <c r="Q1092">
        <f>'입력_구리근무자명단'!$B1090&amp;""</f>
        <v/>
      </c>
      <c r="R1092">
        <f>IF($E$2="","",TRIM(INDEX('입력_구리근무자명단'!$A1090:$ZZ1090,1,$E$2+IF($G$2="확정",1,0))&amp;""))</f>
        <v/>
      </c>
      <c r="S1092">
        <f>IF($R1092="","",IF(INDEX('입력_구리근무자명단'!$A1090:$ZZ1090,1,$E$2+2)&amp;""="",급여기준월,IF(ISNUMBER(INDEX('입력_구리근무자명단'!$A1090:$ZZ1090,1,$E$2+2)),INDEX('입력_구리근무자명단'!$A1090:$ZZ1090,1,$E$2+2),IFERROR(DATE(VALUE(LEFT(INDEX('입력_구리근무자명단'!$A1090:$ZZ1090,1,$E$2+2),4)),VALUE(MID(INDEX('입력_구리근무자명단'!$A1090:$ZZ1090,1,$E$2+2),6,2)),VALUE(MID(INDEX('입력_구리근무자명단'!$A1090:$ZZ1090,1,$E$2+2),9,2))),-1))))</f>
        <v/>
      </c>
      <c r="T1092">
        <f>IF($R1092="","",IF(INDEX('입력_구리근무자명단'!$A1090:$ZZ1090,1,$E$2+3)&amp;""="",EOMONTH(급여기준월,0),IF(ISNUMBER(INDEX('입력_구리근무자명단'!$A1090:$ZZ1090,1,$E$2+3)),INDEX('입력_구리근무자명단'!$A1090:$ZZ1090,1,$E$2+3),IFERROR(DATE(VALUE(LEFT(INDEX('입력_구리근무자명단'!$A1090:$ZZ1090,1,$E$2+3),4)),VALUE(MID(INDEX('입력_구리근무자명단'!$A1090:$ZZ1090,1,$E$2+3),6,2)),VALUE(MID(INDEX('입력_구리근무자명단'!$A1090:$ZZ1090,1,$E$2+3),9,2))),-1))))</f>
        <v/>
      </c>
      <c r="U1092">
        <f>IF($R1092="","",IF(OR($S1092&lt;0,$T1092&lt;0),0,MAX(0,MIN($T1092,EOMONTH(급여기준월,0))-MAX($S1092,급여기준월)+1)))</f>
        <v/>
      </c>
      <c r="V1092">
        <f>IF($R1092="","",TRIM(INDEX('입력_구리근무자명단'!$A1090:$ZZ1090,1,$E$2+5)&amp;""))</f>
        <v/>
      </c>
      <c r="W1092">
        <f>IF(ISNUMBER(SEARCH("구리독자",$V1092)),"구리독자","")</f>
        <v/>
      </c>
      <c r="X1092">
        <f>IF($R1092="","",$R1092&amp;"|"&amp;IF(OR($Q1092="인턴",ISNUMBER(SEARCH("수련교육부",$P1092))),"인턴",$P1092))</f>
        <v/>
      </c>
      <c r="Y1092">
        <f>IF($R1092="","",IF(COUNTIF(명단표[이름|과],$X1092)=1,"명단 일치",IF(AND(COUNTIF(명단표[이름|과],$X1092)=0,COUNTIF(명단표[이름],$R1092)=1),"명단 일치(이름만, 과 다름)",IF(COUNTIF(명단표[이름],$R1092)=0,IF(COUNTIF(기본자료표[이름],$R1092)&gt;0,"명단에 없음(기본자료에는 있음)","명단에 없음"),"동명이인 확인"))))</f>
        <v/>
      </c>
      <c r="Z1092">
        <f>IF($R1092="","",IF($S1092&lt;0,"⚠"&amp;INDEX('입력_구리근무자명단'!$A1090:$ZZ1090,1,$E$2+2),TEXT($S1092,"yyyy-mm-dd")))</f>
        <v/>
      </c>
      <c r="AA1092">
        <f>IF($R1092="","",IF($T1092&lt;0,"⚠"&amp;INDEX('입력_구리근무자명단'!$A1090:$ZZ1090,1,$E$2+3),TEXT($T1092,"yyyy-mm-dd")))</f>
        <v/>
      </c>
      <c r="AB1092">
        <f>AB1091+IF($R1092="",0,1)</f>
        <v/>
      </c>
      <c r="AC1092">
        <f>IF($R1092="","",$AB1092)</f>
        <v/>
      </c>
    </row>
    <row r="1093">
      <c r="O1093">
        <f>1091</f>
        <v/>
      </c>
      <c r="P1093">
        <f>IF(TRIM('입력_구리근무자명단'!$A1091&amp;"")&lt;&gt;"",TRIM('입력_구리근무자명단'!$A1091&amp;""),P1092)</f>
        <v/>
      </c>
      <c r="Q1093">
        <f>'입력_구리근무자명단'!$B1091&amp;""</f>
        <v/>
      </c>
      <c r="R1093">
        <f>IF($E$2="","",TRIM(INDEX('입력_구리근무자명단'!$A1091:$ZZ1091,1,$E$2+IF($G$2="확정",1,0))&amp;""))</f>
        <v/>
      </c>
      <c r="S1093">
        <f>IF($R1093="","",IF(INDEX('입력_구리근무자명단'!$A1091:$ZZ1091,1,$E$2+2)&amp;""="",급여기준월,IF(ISNUMBER(INDEX('입력_구리근무자명단'!$A1091:$ZZ1091,1,$E$2+2)),INDEX('입력_구리근무자명단'!$A1091:$ZZ1091,1,$E$2+2),IFERROR(DATE(VALUE(LEFT(INDEX('입력_구리근무자명단'!$A1091:$ZZ1091,1,$E$2+2),4)),VALUE(MID(INDEX('입력_구리근무자명단'!$A1091:$ZZ1091,1,$E$2+2),6,2)),VALUE(MID(INDEX('입력_구리근무자명단'!$A1091:$ZZ1091,1,$E$2+2),9,2))),-1))))</f>
        <v/>
      </c>
      <c r="T1093">
        <f>IF($R1093="","",IF(INDEX('입력_구리근무자명단'!$A1091:$ZZ1091,1,$E$2+3)&amp;""="",EOMONTH(급여기준월,0),IF(ISNUMBER(INDEX('입력_구리근무자명단'!$A1091:$ZZ1091,1,$E$2+3)),INDEX('입력_구리근무자명단'!$A1091:$ZZ1091,1,$E$2+3),IFERROR(DATE(VALUE(LEFT(INDEX('입력_구리근무자명단'!$A1091:$ZZ1091,1,$E$2+3),4)),VALUE(MID(INDEX('입력_구리근무자명단'!$A1091:$ZZ1091,1,$E$2+3),6,2)),VALUE(MID(INDEX('입력_구리근무자명단'!$A1091:$ZZ1091,1,$E$2+3),9,2))),-1))))</f>
        <v/>
      </c>
      <c r="U1093">
        <f>IF($R1093="","",IF(OR($S1093&lt;0,$T1093&lt;0),0,MAX(0,MIN($T1093,EOMONTH(급여기준월,0))-MAX($S1093,급여기준월)+1)))</f>
        <v/>
      </c>
      <c r="V1093">
        <f>IF($R1093="","",TRIM(INDEX('입력_구리근무자명단'!$A1091:$ZZ1091,1,$E$2+5)&amp;""))</f>
        <v/>
      </c>
      <c r="W1093">
        <f>IF(ISNUMBER(SEARCH("구리독자",$V1093)),"구리독자","")</f>
        <v/>
      </c>
      <c r="X1093">
        <f>IF($R1093="","",$R1093&amp;"|"&amp;IF(OR($Q1093="인턴",ISNUMBER(SEARCH("수련교육부",$P1093))),"인턴",$P1093))</f>
        <v/>
      </c>
      <c r="Y1093">
        <f>IF($R1093="","",IF(COUNTIF(명단표[이름|과],$X1093)=1,"명단 일치",IF(AND(COUNTIF(명단표[이름|과],$X1093)=0,COUNTIF(명단표[이름],$R1093)=1),"명단 일치(이름만, 과 다름)",IF(COUNTIF(명단표[이름],$R1093)=0,IF(COUNTIF(기본자료표[이름],$R1093)&gt;0,"명단에 없음(기본자료에는 있음)","명단에 없음"),"동명이인 확인"))))</f>
        <v/>
      </c>
      <c r="Z1093">
        <f>IF($R1093="","",IF($S1093&lt;0,"⚠"&amp;INDEX('입력_구리근무자명단'!$A1091:$ZZ1091,1,$E$2+2),TEXT($S1093,"yyyy-mm-dd")))</f>
        <v/>
      </c>
      <c r="AA1093">
        <f>IF($R1093="","",IF($T1093&lt;0,"⚠"&amp;INDEX('입력_구리근무자명단'!$A1091:$ZZ1091,1,$E$2+3),TEXT($T1093,"yyyy-mm-dd")))</f>
        <v/>
      </c>
      <c r="AB1093">
        <f>AB1092+IF($R1093="",0,1)</f>
        <v/>
      </c>
      <c r="AC1093">
        <f>IF($R1093="","",$AB1093)</f>
        <v/>
      </c>
    </row>
    <row r="1094">
      <c r="O1094">
        <f>1092</f>
        <v/>
      </c>
      <c r="P1094">
        <f>IF(TRIM('입력_구리근무자명단'!$A1092&amp;"")&lt;&gt;"",TRIM('입력_구리근무자명단'!$A1092&amp;""),P1093)</f>
        <v/>
      </c>
      <c r="Q1094">
        <f>'입력_구리근무자명단'!$B1092&amp;""</f>
        <v/>
      </c>
      <c r="R1094">
        <f>IF($E$2="","",TRIM(INDEX('입력_구리근무자명단'!$A1092:$ZZ1092,1,$E$2+IF($G$2="확정",1,0))&amp;""))</f>
        <v/>
      </c>
      <c r="S1094">
        <f>IF($R1094="","",IF(INDEX('입력_구리근무자명단'!$A1092:$ZZ1092,1,$E$2+2)&amp;""="",급여기준월,IF(ISNUMBER(INDEX('입력_구리근무자명단'!$A1092:$ZZ1092,1,$E$2+2)),INDEX('입력_구리근무자명단'!$A1092:$ZZ1092,1,$E$2+2),IFERROR(DATE(VALUE(LEFT(INDEX('입력_구리근무자명단'!$A1092:$ZZ1092,1,$E$2+2),4)),VALUE(MID(INDEX('입력_구리근무자명단'!$A1092:$ZZ1092,1,$E$2+2),6,2)),VALUE(MID(INDEX('입력_구리근무자명단'!$A1092:$ZZ1092,1,$E$2+2),9,2))),-1))))</f>
        <v/>
      </c>
      <c r="T1094">
        <f>IF($R1094="","",IF(INDEX('입력_구리근무자명단'!$A1092:$ZZ1092,1,$E$2+3)&amp;""="",EOMONTH(급여기준월,0),IF(ISNUMBER(INDEX('입력_구리근무자명단'!$A1092:$ZZ1092,1,$E$2+3)),INDEX('입력_구리근무자명단'!$A1092:$ZZ1092,1,$E$2+3),IFERROR(DATE(VALUE(LEFT(INDEX('입력_구리근무자명단'!$A1092:$ZZ1092,1,$E$2+3),4)),VALUE(MID(INDEX('입력_구리근무자명단'!$A1092:$ZZ1092,1,$E$2+3),6,2)),VALUE(MID(INDEX('입력_구리근무자명단'!$A1092:$ZZ1092,1,$E$2+3),9,2))),-1))))</f>
        <v/>
      </c>
      <c r="U1094">
        <f>IF($R1094="","",IF(OR($S1094&lt;0,$T1094&lt;0),0,MAX(0,MIN($T1094,EOMONTH(급여기준월,0))-MAX($S1094,급여기준월)+1)))</f>
        <v/>
      </c>
      <c r="V1094">
        <f>IF($R1094="","",TRIM(INDEX('입력_구리근무자명단'!$A1092:$ZZ1092,1,$E$2+5)&amp;""))</f>
        <v/>
      </c>
      <c r="W1094">
        <f>IF(ISNUMBER(SEARCH("구리독자",$V1094)),"구리독자","")</f>
        <v/>
      </c>
      <c r="X1094">
        <f>IF($R1094="","",$R1094&amp;"|"&amp;IF(OR($Q1094="인턴",ISNUMBER(SEARCH("수련교육부",$P1094))),"인턴",$P1094))</f>
        <v/>
      </c>
      <c r="Y1094">
        <f>IF($R1094="","",IF(COUNTIF(명단표[이름|과],$X1094)=1,"명단 일치",IF(AND(COUNTIF(명단표[이름|과],$X1094)=0,COUNTIF(명단표[이름],$R1094)=1),"명단 일치(이름만, 과 다름)",IF(COUNTIF(명단표[이름],$R1094)=0,IF(COUNTIF(기본자료표[이름],$R1094)&gt;0,"명단에 없음(기본자료에는 있음)","명단에 없음"),"동명이인 확인"))))</f>
        <v/>
      </c>
      <c r="Z1094">
        <f>IF($R1094="","",IF($S1094&lt;0,"⚠"&amp;INDEX('입력_구리근무자명단'!$A1092:$ZZ1092,1,$E$2+2),TEXT($S1094,"yyyy-mm-dd")))</f>
        <v/>
      </c>
      <c r="AA1094">
        <f>IF($R1094="","",IF($T1094&lt;0,"⚠"&amp;INDEX('입력_구리근무자명단'!$A1092:$ZZ1092,1,$E$2+3),TEXT($T1094,"yyyy-mm-dd")))</f>
        <v/>
      </c>
      <c r="AB1094">
        <f>AB1093+IF($R1094="",0,1)</f>
        <v/>
      </c>
      <c r="AC1094">
        <f>IF($R1094="","",$AB1094)</f>
        <v/>
      </c>
    </row>
    <row r="1095">
      <c r="O1095">
        <f>1093</f>
        <v/>
      </c>
      <c r="P1095">
        <f>IF(TRIM('입력_구리근무자명단'!$A1093&amp;"")&lt;&gt;"",TRIM('입력_구리근무자명단'!$A1093&amp;""),P1094)</f>
        <v/>
      </c>
      <c r="Q1095">
        <f>'입력_구리근무자명단'!$B1093&amp;""</f>
        <v/>
      </c>
      <c r="R1095">
        <f>IF($E$2="","",TRIM(INDEX('입력_구리근무자명단'!$A1093:$ZZ1093,1,$E$2+IF($G$2="확정",1,0))&amp;""))</f>
        <v/>
      </c>
      <c r="S1095">
        <f>IF($R1095="","",IF(INDEX('입력_구리근무자명단'!$A1093:$ZZ1093,1,$E$2+2)&amp;""="",급여기준월,IF(ISNUMBER(INDEX('입력_구리근무자명단'!$A1093:$ZZ1093,1,$E$2+2)),INDEX('입력_구리근무자명단'!$A1093:$ZZ1093,1,$E$2+2),IFERROR(DATE(VALUE(LEFT(INDEX('입력_구리근무자명단'!$A1093:$ZZ1093,1,$E$2+2),4)),VALUE(MID(INDEX('입력_구리근무자명단'!$A1093:$ZZ1093,1,$E$2+2),6,2)),VALUE(MID(INDEX('입력_구리근무자명단'!$A1093:$ZZ1093,1,$E$2+2),9,2))),-1))))</f>
        <v/>
      </c>
      <c r="T1095">
        <f>IF($R1095="","",IF(INDEX('입력_구리근무자명단'!$A1093:$ZZ1093,1,$E$2+3)&amp;""="",EOMONTH(급여기준월,0),IF(ISNUMBER(INDEX('입력_구리근무자명단'!$A1093:$ZZ1093,1,$E$2+3)),INDEX('입력_구리근무자명단'!$A1093:$ZZ1093,1,$E$2+3),IFERROR(DATE(VALUE(LEFT(INDEX('입력_구리근무자명단'!$A1093:$ZZ1093,1,$E$2+3),4)),VALUE(MID(INDEX('입력_구리근무자명단'!$A1093:$ZZ1093,1,$E$2+3),6,2)),VALUE(MID(INDEX('입력_구리근무자명단'!$A1093:$ZZ1093,1,$E$2+3),9,2))),-1))))</f>
        <v/>
      </c>
      <c r="U1095">
        <f>IF($R1095="","",IF(OR($S1095&lt;0,$T1095&lt;0),0,MAX(0,MIN($T1095,EOMONTH(급여기준월,0))-MAX($S1095,급여기준월)+1)))</f>
        <v/>
      </c>
      <c r="V1095">
        <f>IF($R1095="","",TRIM(INDEX('입력_구리근무자명단'!$A1093:$ZZ1093,1,$E$2+5)&amp;""))</f>
        <v/>
      </c>
      <c r="W1095">
        <f>IF(ISNUMBER(SEARCH("구리독자",$V1095)),"구리독자","")</f>
        <v/>
      </c>
      <c r="X1095">
        <f>IF($R1095="","",$R1095&amp;"|"&amp;IF(OR($Q1095="인턴",ISNUMBER(SEARCH("수련교육부",$P1095))),"인턴",$P1095))</f>
        <v/>
      </c>
      <c r="Y1095">
        <f>IF($R1095="","",IF(COUNTIF(명단표[이름|과],$X1095)=1,"명단 일치",IF(AND(COUNTIF(명단표[이름|과],$X1095)=0,COUNTIF(명단표[이름],$R1095)=1),"명단 일치(이름만, 과 다름)",IF(COUNTIF(명단표[이름],$R1095)=0,IF(COUNTIF(기본자료표[이름],$R1095)&gt;0,"명단에 없음(기본자료에는 있음)","명단에 없음"),"동명이인 확인"))))</f>
        <v/>
      </c>
      <c r="Z1095">
        <f>IF($R1095="","",IF($S1095&lt;0,"⚠"&amp;INDEX('입력_구리근무자명단'!$A1093:$ZZ1093,1,$E$2+2),TEXT($S1095,"yyyy-mm-dd")))</f>
        <v/>
      </c>
      <c r="AA1095">
        <f>IF($R1095="","",IF($T1095&lt;0,"⚠"&amp;INDEX('입력_구리근무자명단'!$A1093:$ZZ1093,1,$E$2+3),TEXT($T1095,"yyyy-mm-dd")))</f>
        <v/>
      </c>
      <c r="AB1095">
        <f>AB1094+IF($R1095="",0,1)</f>
        <v/>
      </c>
      <c r="AC1095">
        <f>IF($R1095="","",$AB1095)</f>
        <v/>
      </c>
    </row>
    <row r="1096">
      <c r="O1096">
        <f>1094</f>
        <v/>
      </c>
      <c r="P1096">
        <f>IF(TRIM('입력_구리근무자명단'!$A1094&amp;"")&lt;&gt;"",TRIM('입력_구리근무자명단'!$A1094&amp;""),P1095)</f>
        <v/>
      </c>
      <c r="Q1096">
        <f>'입력_구리근무자명단'!$B1094&amp;""</f>
        <v/>
      </c>
      <c r="R1096">
        <f>IF($E$2="","",TRIM(INDEX('입력_구리근무자명단'!$A1094:$ZZ1094,1,$E$2+IF($G$2="확정",1,0))&amp;""))</f>
        <v/>
      </c>
      <c r="S1096">
        <f>IF($R1096="","",IF(INDEX('입력_구리근무자명단'!$A1094:$ZZ1094,1,$E$2+2)&amp;""="",급여기준월,IF(ISNUMBER(INDEX('입력_구리근무자명단'!$A1094:$ZZ1094,1,$E$2+2)),INDEX('입력_구리근무자명단'!$A1094:$ZZ1094,1,$E$2+2),IFERROR(DATE(VALUE(LEFT(INDEX('입력_구리근무자명단'!$A1094:$ZZ1094,1,$E$2+2),4)),VALUE(MID(INDEX('입력_구리근무자명단'!$A1094:$ZZ1094,1,$E$2+2),6,2)),VALUE(MID(INDEX('입력_구리근무자명단'!$A1094:$ZZ1094,1,$E$2+2),9,2))),-1))))</f>
        <v/>
      </c>
      <c r="T1096">
        <f>IF($R1096="","",IF(INDEX('입력_구리근무자명단'!$A1094:$ZZ1094,1,$E$2+3)&amp;""="",EOMONTH(급여기준월,0),IF(ISNUMBER(INDEX('입력_구리근무자명단'!$A1094:$ZZ1094,1,$E$2+3)),INDEX('입력_구리근무자명단'!$A1094:$ZZ1094,1,$E$2+3),IFERROR(DATE(VALUE(LEFT(INDEX('입력_구리근무자명단'!$A1094:$ZZ1094,1,$E$2+3),4)),VALUE(MID(INDEX('입력_구리근무자명단'!$A1094:$ZZ1094,1,$E$2+3),6,2)),VALUE(MID(INDEX('입력_구리근무자명단'!$A1094:$ZZ1094,1,$E$2+3),9,2))),-1))))</f>
        <v/>
      </c>
      <c r="U1096">
        <f>IF($R1096="","",IF(OR($S1096&lt;0,$T1096&lt;0),0,MAX(0,MIN($T1096,EOMONTH(급여기준월,0))-MAX($S1096,급여기준월)+1)))</f>
        <v/>
      </c>
      <c r="V1096">
        <f>IF($R1096="","",TRIM(INDEX('입력_구리근무자명단'!$A1094:$ZZ1094,1,$E$2+5)&amp;""))</f>
        <v/>
      </c>
      <c r="W1096">
        <f>IF(ISNUMBER(SEARCH("구리독자",$V1096)),"구리독자","")</f>
        <v/>
      </c>
      <c r="X1096">
        <f>IF($R1096="","",$R1096&amp;"|"&amp;IF(OR($Q1096="인턴",ISNUMBER(SEARCH("수련교육부",$P1096))),"인턴",$P1096))</f>
        <v/>
      </c>
      <c r="Y1096">
        <f>IF($R1096="","",IF(COUNTIF(명단표[이름|과],$X1096)=1,"명단 일치",IF(AND(COUNTIF(명단표[이름|과],$X1096)=0,COUNTIF(명단표[이름],$R1096)=1),"명단 일치(이름만, 과 다름)",IF(COUNTIF(명단표[이름],$R1096)=0,IF(COUNTIF(기본자료표[이름],$R1096)&gt;0,"명단에 없음(기본자료에는 있음)","명단에 없음"),"동명이인 확인"))))</f>
        <v/>
      </c>
      <c r="Z1096">
        <f>IF($R1096="","",IF($S1096&lt;0,"⚠"&amp;INDEX('입력_구리근무자명단'!$A1094:$ZZ1094,1,$E$2+2),TEXT($S1096,"yyyy-mm-dd")))</f>
        <v/>
      </c>
      <c r="AA1096">
        <f>IF($R1096="","",IF($T1096&lt;0,"⚠"&amp;INDEX('입력_구리근무자명단'!$A1094:$ZZ1094,1,$E$2+3),TEXT($T1096,"yyyy-mm-dd")))</f>
        <v/>
      </c>
      <c r="AB1096">
        <f>AB1095+IF($R1096="",0,1)</f>
        <v/>
      </c>
      <c r="AC1096">
        <f>IF($R1096="","",$AB1096)</f>
        <v/>
      </c>
    </row>
    <row r="1097">
      <c r="O1097">
        <f>1095</f>
        <v/>
      </c>
      <c r="P1097">
        <f>IF(TRIM('입력_구리근무자명단'!$A1095&amp;"")&lt;&gt;"",TRIM('입력_구리근무자명단'!$A1095&amp;""),P1096)</f>
        <v/>
      </c>
      <c r="Q1097">
        <f>'입력_구리근무자명단'!$B1095&amp;""</f>
        <v/>
      </c>
      <c r="R1097">
        <f>IF($E$2="","",TRIM(INDEX('입력_구리근무자명단'!$A1095:$ZZ1095,1,$E$2+IF($G$2="확정",1,0))&amp;""))</f>
        <v/>
      </c>
      <c r="S1097">
        <f>IF($R1097="","",IF(INDEX('입력_구리근무자명단'!$A1095:$ZZ1095,1,$E$2+2)&amp;""="",급여기준월,IF(ISNUMBER(INDEX('입력_구리근무자명단'!$A1095:$ZZ1095,1,$E$2+2)),INDEX('입력_구리근무자명단'!$A1095:$ZZ1095,1,$E$2+2),IFERROR(DATE(VALUE(LEFT(INDEX('입력_구리근무자명단'!$A1095:$ZZ1095,1,$E$2+2),4)),VALUE(MID(INDEX('입력_구리근무자명단'!$A1095:$ZZ1095,1,$E$2+2),6,2)),VALUE(MID(INDEX('입력_구리근무자명단'!$A1095:$ZZ1095,1,$E$2+2),9,2))),-1))))</f>
        <v/>
      </c>
      <c r="T1097">
        <f>IF($R1097="","",IF(INDEX('입력_구리근무자명단'!$A1095:$ZZ1095,1,$E$2+3)&amp;""="",EOMONTH(급여기준월,0),IF(ISNUMBER(INDEX('입력_구리근무자명단'!$A1095:$ZZ1095,1,$E$2+3)),INDEX('입력_구리근무자명단'!$A1095:$ZZ1095,1,$E$2+3),IFERROR(DATE(VALUE(LEFT(INDEX('입력_구리근무자명단'!$A1095:$ZZ1095,1,$E$2+3),4)),VALUE(MID(INDEX('입력_구리근무자명단'!$A1095:$ZZ1095,1,$E$2+3),6,2)),VALUE(MID(INDEX('입력_구리근무자명단'!$A1095:$ZZ1095,1,$E$2+3),9,2))),-1))))</f>
        <v/>
      </c>
      <c r="U1097">
        <f>IF($R1097="","",IF(OR($S1097&lt;0,$T1097&lt;0),0,MAX(0,MIN($T1097,EOMONTH(급여기준월,0))-MAX($S1097,급여기준월)+1)))</f>
        <v/>
      </c>
      <c r="V1097">
        <f>IF($R1097="","",TRIM(INDEX('입력_구리근무자명단'!$A1095:$ZZ1095,1,$E$2+5)&amp;""))</f>
        <v/>
      </c>
      <c r="W1097">
        <f>IF(ISNUMBER(SEARCH("구리독자",$V1097)),"구리독자","")</f>
        <v/>
      </c>
      <c r="X1097">
        <f>IF($R1097="","",$R1097&amp;"|"&amp;IF(OR($Q1097="인턴",ISNUMBER(SEARCH("수련교육부",$P1097))),"인턴",$P1097))</f>
        <v/>
      </c>
      <c r="Y1097">
        <f>IF($R1097="","",IF(COUNTIF(명단표[이름|과],$X1097)=1,"명단 일치",IF(AND(COUNTIF(명단표[이름|과],$X1097)=0,COUNTIF(명단표[이름],$R1097)=1),"명단 일치(이름만, 과 다름)",IF(COUNTIF(명단표[이름],$R1097)=0,IF(COUNTIF(기본자료표[이름],$R1097)&gt;0,"명단에 없음(기본자료에는 있음)","명단에 없음"),"동명이인 확인"))))</f>
        <v/>
      </c>
      <c r="Z1097">
        <f>IF($R1097="","",IF($S1097&lt;0,"⚠"&amp;INDEX('입력_구리근무자명단'!$A1095:$ZZ1095,1,$E$2+2),TEXT($S1097,"yyyy-mm-dd")))</f>
        <v/>
      </c>
      <c r="AA1097">
        <f>IF($R1097="","",IF($T1097&lt;0,"⚠"&amp;INDEX('입력_구리근무자명단'!$A1095:$ZZ1095,1,$E$2+3),TEXT($T1097,"yyyy-mm-dd")))</f>
        <v/>
      </c>
      <c r="AB1097">
        <f>AB1096+IF($R1097="",0,1)</f>
        <v/>
      </c>
      <c r="AC1097">
        <f>IF($R1097="","",$AB1097)</f>
        <v/>
      </c>
    </row>
    <row r="1098">
      <c r="O1098">
        <f>1096</f>
        <v/>
      </c>
      <c r="P1098">
        <f>IF(TRIM('입력_구리근무자명단'!$A1096&amp;"")&lt;&gt;"",TRIM('입력_구리근무자명단'!$A1096&amp;""),P1097)</f>
        <v/>
      </c>
      <c r="Q1098">
        <f>'입력_구리근무자명단'!$B1096&amp;""</f>
        <v/>
      </c>
      <c r="R1098">
        <f>IF($E$2="","",TRIM(INDEX('입력_구리근무자명단'!$A1096:$ZZ1096,1,$E$2+IF($G$2="확정",1,0))&amp;""))</f>
        <v/>
      </c>
      <c r="S1098">
        <f>IF($R1098="","",IF(INDEX('입력_구리근무자명단'!$A1096:$ZZ1096,1,$E$2+2)&amp;""="",급여기준월,IF(ISNUMBER(INDEX('입력_구리근무자명단'!$A1096:$ZZ1096,1,$E$2+2)),INDEX('입력_구리근무자명단'!$A1096:$ZZ1096,1,$E$2+2),IFERROR(DATE(VALUE(LEFT(INDEX('입력_구리근무자명단'!$A1096:$ZZ1096,1,$E$2+2),4)),VALUE(MID(INDEX('입력_구리근무자명단'!$A1096:$ZZ1096,1,$E$2+2),6,2)),VALUE(MID(INDEX('입력_구리근무자명단'!$A1096:$ZZ1096,1,$E$2+2),9,2))),-1))))</f>
        <v/>
      </c>
      <c r="T1098">
        <f>IF($R1098="","",IF(INDEX('입력_구리근무자명단'!$A1096:$ZZ1096,1,$E$2+3)&amp;""="",EOMONTH(급여기준월,0),IF(ISNUMBER(INDEX('입력_구리근무자명단'!$A1096:$ZZ1096,1,$E$2+3)),INDEX('입력_구리근무자명단'!$A1096:$ZZ1096,1,$E$2+3),IFERROR(DATE(VALUE(LEFT(INDEX('입력_구리근무자명단'!$A1096:$ZZ1096,1,$E$2+3),4)),VALUE(MID(INDEX('입력_구리근무자명단'!$A1096:$ZZ1096,1,$E$2+3),6,2)),VALUE(MID(INDEX('입력_구리근무자명단'!$A1096:$ZZ1096,1,$E$2+3),9,2))),-1))))</f>
        <v/>
      </c>
      <c r="U1098">
        <f>IF($R1098="","",IF(OR($S1098&lt;0,$T1098&lt;0),0,MAX(0,MIN($T1098,EOMONTH(급여기준월,0))-MAX($S1098,급여기준월)+1)))</f>
        <v/>
      </c>
      <c r="V1098">
        <f>IF($R1098="","",TRIM(INDEX('입력_구리근무자명단'!$A1096:$ZZ1096,1,$E$2+5)&amp;""))</f>
        <v/>
      </c>
      <c r="W1098">
        <f>IF(ISNUMBER(SEARCH("구리독자",$V1098)),"구리독자","")</f>
        <v/>
      </c>
      <c r="X1098">
        <f>IF($R1098="","",$R1098&amp;"|"&amp;IF(OR($Q1098="인턴",ISNUMBER(SEARCH("수련교육부",$P1098))),"인턴",$P1098))</f>
        <v/>
      </c>
      <c r="Y1098">
        <f>IF($R1098="","",IF(COUNTIF(명단표[이름|과],$X1098)=1,"명단 일치",IF(AND(COUNTIF(명단표[이름|과],$X1098)=0,COUNTIF(명단표[이름],$R1098)=1),"명단 일치(이름만, 과 다름)",IF(COUNTIF(명단표[이름],$R1098)=0,IF(COUNTIF(기본자료표[이름],$R1098)&gt;0,"명단에 없음(기본자료에는 있음)","명단에 없음"),"동명이인 확인"))))</f>
        <v/>
      </c>
      <c r="Z1098">
        <f>IF($R1098="","",IF($S1098&lt;0,"⚠"&amp;INDEX('입력_구리근무자명단'!$A1096:$ZZ1096,1,$E$2+2),TEXT($S1098,"yyyy-mm-dd")))</f>
        <v/>
      </c>
      <c r="AA1098">
        <f>IF($R1098="","",IF($T1098&lt;0,"⚠"&amp;INDEX('입력_구리근무자명단'!$A1096:$ZZ1096,1,$E$2+3),TEXT($T1098,"yyyy-mm-dd")))</f>
        <v/>
      </c>
      <c r="AB1098">
        <f>AB1097+IF($R1098="",0,1)</f>
        <v/>
      </c>
      <c r="AC1098">
        <f>IF($R1098="","",$AB1098)</f>
        <v/>
      </c>
    </row>
    <row r="1099">
      <c r="O1099">
        <f>1097</f>
        <v/>
      </c>
      <c r="P1099">
        <f>IF(TRIM('입력_구리근무자명단'!$A1097&amp;"")&lt;&gt;"",TRIM('입력_구리근무자명단'!$A1097&amp;""),P1098)</f>
        <v/>
      </c>
      <c r="Q1099">
        <f>'입력_구리근무자명단'!$B1097&amp;""</f>
        <v/>
      </c>
      <c r="R1099">
        <f>IF($E$2="","",TRIM(INDEX('입력_구리근무자명단'!$A1097:$ZZ1097,1,$E$2+IF($G$2="확정",1,0))&amp;""))</f>
        <v/>
      </c>
      <c r="S1099">
        <f>IF($R1099="","",IF(INDEX('입력_구리근무자명단'!$A1097:$ZZ1097,1,$E$2+2)&amp;""="",급여기준월,IF(ISNUMBER(INDEX('입력_구리근무자명단'!$A1097:$ZZ1097,1,$E$2+2)),INDEX('입력_구리근무자명단'!$A1097:$ZZ1097,1,$E$2+2),IFERROR(DATE(VALUE(LEFT(INDEX('입력_구리근무자명단'!$A1097:$ZZ1097,1,$E$2+2),4)),VALUE(MID(INDEX('입력_구리근무자명단'!$A1097:$ZZ1097,1,$E$2+2),6,2)),VALUE(MID(INDEX('입력_구리근무자명단'!$A1097:$ZZ1097,1,$E$2+2),9,2))),-1))))</f>
        <v/>
      </c>
      <c r="T1099">
        <f>IF($R1099="","",IF(INDEX('입력_구리근무자명단'!$A1097:$ZZ1097,1,$E$2+3)&amp;""="",EOMONTH(급여기준월,0),IF(ISNUMBER(INDEX('입력_구리근무자명단'!$A1097:$ZZ1097,1,$E$2+3)),INDEX('입력_구리근무자명단'!$A1097:$ZZ1097,1,$E$2+3),IFERROR(DATE(VALUE(LEFT(INDEX('입력_구리근무자명단'!$A1097:$ZZ1097,1,$E$2+3),4)),VALUE(MID(INDEX('입력_구리근무자명단'!$A1097:$ZZ1097,1,$E$2+3),6,2)),VALUE(MID(INDEX('입력_구리근무자명단'!$A1097:$ZZ1097,1,$E$2+3),9,2))),-1))))</f>
        <v/>
      </c>
      <c r="U1099">
        <f>IF($R1099="","",IF(OR($S1099&lt;0,$T1099&lt;0),0,MAX(0,MIN($T1099,EOMONTH(급여기준월,0))-MAX($S1099,급여기준월)+1)))</f>
        <v/>
      </c>
      <c r="V1099">
        <f>IF($R1099="","",TRIM(INDEX('입력_구리근무자명단'!$A1097:$ZZ1097,1,$E$2+5)&amp;""))</f>
        <v/>
      </c>
      <c r="W1099">
        <f>IF(ISNUMBER(SEARCH("구리독자",$V1099)),"구리독자","")</f>
        <v/>
      </c>
      <c r="X1099">
        <f>IF($R1099="","",$R1099&amp;"|"&amp;IF(OR($Q1099="인턴",ISNUMBER(SEARCH("수련교육부",$P1099))),"인턴",$P1099))</f>
        <v/>
      </c>
      <c r="Y1099">
        <f>IF($R1099="","",IF(COUNTIF(명단표[이름|과],$X1099)=1,"명단 일치",IF(AND(COUNTIF(명단표[이름|과],$X1099)=0,COUNTIF(명단표[이름],$R1099)=1),"명단 일치(이름만, 과 다름)",IF(COUNTIF(명단표[이름],$R1099)=0,IF(COUNTIF(기본자료표[이름],$R1099)&gt;0,"명단에 없음(기본자료에는 있음)","명단에 없음"),"동명이인 확인"))))</f>
        <v/>
      </c>
      <c r="Z1099">
        <f>IF($R1099="","",IF($S1099&lt;0,"⚠"&amp;INDEX('입력_구리근무자명단'!$A1097:$ZZ1097,1,$E$2+2),TEXT($S1099,"yyyy-mm-dd")))</f>
        <v/>
      </c>
      <c r="AA1099">
        <f>IF($R1099="","",IF($T1099&lt;0,"⚠"&amp;INDEX('입력_구리근무자명단'!$A1097:$ZZ1097,1,$E$2+3),TEXT($T1099,"yyyy-mm-dd")))</f>
        <v/>
      </c>
      <c r="AB1099">
        <f>AB1098+IF($R1099="",0,1)</f>
        <v/>
      </c>
      <c r="AC1099">
        <f>IF($R1099="","",$AB1099)</f>
        <v/>
      </c>
    </row>
    <row r="1100">
      <c r="O1100">
        <f>1098</f>
        <v/>
      </c>
      <c r="P1100">
        <f>IF(TRIM('입력_구리근무자명단'!$A1098&amp;"")&lt;&gt;"",TRIM('입력_구리근무자명단'!$A1098&amp;""),P1099)</f>
        <v/>
      </c>
      <c r="Q1100">
        <f>'입력_구리근무자명단'!$B1098&amp;""</f>
        <v/>
      </c>
      <c r="R1100">
        <f>IF($E$2="","",TRIM(INDEX('입력_구리근무자명단'!$A1098:$ZZ1098,1,$E$2+IF($G$2="확정",1,0))&amp;""))</f>
        <v/>
      </c>
      <c r="S1100">
        <f>IF($R1100="","",IF(INDEX('입력_구리근무자명단'!$A1098:$ZZ1098,1,$E$2+2)&amp;""="",급여기준월,IF(ISNUMBER(INDEX('입력_구리근무자명단'!$A1098:$ZZ1098,1,$E$2+2)),INDEX('입력_구리근무자명단'!$A1098:$ZZ1098,1,$E$2+2),IFERROR(DATE(VALUE(LEFT(INDEX('입력_구리근무자명단'!$A1098:$ZZ1098,1,$E$2+2),4)),VALUE(MID(INDEX('입력_구리근무자명단'!$A1098:$ZZ1098,1,$E$2+2),6,2)),VALUE(MID(INDEX('입력_구리근무자명단'!$A1098:$ZZ1098,1,$E$2+2),9,2))),-1))))</f>
        <v/>
      </c>
      <c r="T1100">
        <f>IF($R1100="","",IF(INDEX('입력_구리근무자명단'!$A1098:$ZZ1098,1,$E$2+3)&amp;""="",EOMONTH(급여기준월,0),IF(ISNUMBER(INDEX('입력_구리근무자명단'!$A1098:$ZZ1098,1,$E$2+3)),INDEX('입력_구리근무자명단'!$A1098:$ZZ1098,1,$E$2+3),IFERROR(DATE(VALUE(LEFT(INDEX('입력_구리근무자명단'!$A1098:$ZZ1098,1,$E$2+3),4)),VALUE(MID(INDEX('입력_구리근무자명단'!$A1098:$ZZ1098,1,$E$2+3),6,2)),VALUE(MID(INDEX('입력_구리근무자명단'!$A1098:$ZZ1098,1,$E$2+3),9,2))),-1))))</f>
        <v/>
      </c>
      <c r="U1100">
        <f>IF($R1100="","",IF(OR($S1100&lt;0,$T1100&lt;0),0,MAX(0,MIN($T1100,EOMONTH(급여기준월,0))-MAX($S1100,급여기준월)+1)))</f>
        <v/>
      </c>
      <c r="V1100">
        <f>IF($R1100="","",TRIM(INDEX('입력_구리근무자명단'!$A1098:$ZZ1098,1,$E$2+5)&amp;""))</f>
        <v/>
      </c>
      <c r="W1100">
        <f>IF(ISNUMBER(SEARCH("구리독자",$V1100)),"구리독자","")</f>
        <v/>
      </c>
      <c r="X1100">
        <f>IF($R1100="","",$R1100&amp;"|"&amp;IF(OR($Q1100="인턴",ISNUMBER(SEARCH("수련교육부",$P1100))),"인턴",$P1100))</f>
        <v/>
      </c>
      <c r="Y1100">
        <f>IF($R1100="","",IF(COUNTIF(명단표[이름|과],$X1100)=1,"명단 일치",IF(AND(COUNTIF(명단표[이름|과],$X1100)=0,COUNTIF(명단표[이름],$R1100)=1),"명단 일치(이름만, 과 다름)",IF(COUNTIF(명단표[이름],$R1100)=0,IF(COUNTIF(기본자료표[이름],$R1100)&gt;0,"명단에 없음(기본자료에는 있음)","명단에 없음"),"동명이인 확인"))))</f>
        <v/>
      </c>
      <c r="Z1100">
        <f>IF($R1100="","",IF($S1100&lt;0,"⚠"&amp;INDEX('입력_구리근무자명단'!$A1098:$ZZ1098,1,$E$2+2),TEXT($S1100,"yyyy-mm-dd")))</f>
        <v/>
      </c>
      <c r="AA1100">
        <f>IF($R1100="","",IF($T1100&lt;0,"⚠"&amp;INDEX('입력_구리근무자명단'!$A1098:$ZZ1098,1,$E$2+3),TEXT($T1100,"yyyy-mm-dd")))</f>
        <v/>
      </c>
      <c r="AB1100">
        <f>AB1099+IF($R1100="",0,1)</f>
        <v/>
      </c>
      <c r="AC1100">
        <f>IF($R1100="","",$AB1100)</f>
        <v/>
      </c>
    </row>
    <row r="1101">
      <c r="O1101">
        <f>1099</f>
        <v/>
      </c>
      <c r="P1101">
        <f>IF(TRIM('입력_구리근무자명단'!$A1099&amp;"")&lt;&gt;"",TRIM('입력_구리근무자명단'!$A1099&amp;""),P1100)</f>
        <v/>
      </c>
      <c r="Q1101">
        <f>'입력_구리근무자명단'!$B1099&amp;""</f>
        <v/>
      </c>
      <c r="R1101">
        <f>IF($E$2="","",TRIM(INDEX('입력_구리근무자명단'!$A1099:$ZZ1099,1,$E$2+IF($G$2="확정",1,0))&amp;""))</f>
        <v/>
      </c>
      <c r="S1101">
        <f>IF($R1101="","",IF(INDEX('입력_구리근무자명단'!$A1099:$ZZ1099,1,$E$2+2)&amp;""="",급여기준월,IF(ISNUMBER(INDEX('입력_구리근무자명단'!$A1099:$ZZ1099,1,$E$2+2)),INDEX('입력_구리근무자명단'!$A1099:$ZZ1099,1,$E$2+2),IFERROR(DATE(VALUE(LEFT(INDEX('입력_구리근무자명단'!$A1099:$ZZ1099,1,$E$2+2),4)),VALUE(MID(INDEX('입력_구리근무자명단'!$A1099:$ZZ1099,1,$E$2+2),6,2)),VALUE(MID(INDEX('입력_구리근무자명단'!$A1099:$ZZ1099,1,$E$2+2),9,2))),-1))))</f>
        <v/>
      </c>
      <c r="T1101">
        <f>IF($R1101="","",IF(INDEX('입력_구리근무자명단'!$A1099:$ZZ1099,1,$E$2+3)&amp;""="",EOMONTH(급여기준월,0),IF(ISNUMBER(INDEX('입력_구리근무자명단'!$A1099:$ZZ1099,1,$E$2+3)),INDEX('입력_구리근무자명단'!$A1099:$ZZ1099,1,$E$2+3),IFERROR(DATE(VALUE(LEFT(INDEX('입력_구리근무자명단'!$A1099:$ZZ1099,1,$E$2+3),4)),VALUE(MID(INDEX('입력_구리근무자명단'!$A1099:$ZZ1099,1,$E$2+3),6,2)),VALUE(MID(INDEX('입력_구리근무자명단'!$A1099:$ZZ1099,1,$E$2+3),9,2))),-1))))</f>
        <v/>
      </c>
      <c r="U1101">
        <f>IF($R1101="","",IF(OR($S1101&lt;0,$T1101&lt;0),0,MAX(0,MIN($T1101,EOMONTH(급여기준월,0))-MAX($S1101,급여기준월)+1)))</f>
        <v/>
      </c>
      <c r="V1101">
        <f>IF($R1101="","",TRIM(INDEX('입력_구리근무자명단'!$A1099:$ZZ1099,1,$E$2+5)&amp;""))</f>
        <v/>
      </c>
      <c r="W1101">
        <f>IF(ISNUMBER(SEARCH("구리독자",$V1101)),"구리독자","")</f>
        <v/>
      </c>
      <c r="X1101">
        <f>IF($R1101="","",$R1101&amp;"|"&amp;IF(OR($Q1101="인턴",ISNUMBER(SEARCH("수련교육부",$P1101))),"인턴",$P1101))</f>
        <v/>
      </c>
      <c r="Y1101">
        <f>IF($R1101="","",IF(COUNTIF(명단표[이름|과],$X1101)=1,"명단 일치",IF(AND(COUNTIF(명단표[이름|과],$X1101)=0,COUNTIF(명단표[이름],$R1101)=1),"명단 일치(이름만, 과 다름)",IF(COUNTIF(명단표[이름],$R1101)=0,IF(COUNTIF(기본자료표[이름],$R1101)&gt;0,"명단에 없음(기본자료에는 있음)","명단에 없음"),"동명이인 확인"))))</f>
        <v/>
      </c>
      <c r="Z1101">
        <f>IF($R1101="","",IF($S1101&lt;0,"⚠"&amp;INDEX('입력_구리근무자명단'!$A1099:$ZZ1099,1,$E$2+2),TEXT($S1101,"yyyy-mm-dd")))</f>
        <v/>
      </c>
      <c r="AA1101">
        <f>IF($R1101="","",IF($T1101&lt;0,"⚠"&amp;INDEX('입력_구리근무자명단'!$A1099:$ZZ1099,1,$E$2+3),TEXT($T1101,"yyyy-mm-dd")))</f>
        <v/>
      </c>
      <c r="AB1101">
        <f>AB1100+IF($R1101="",0,1)</f>
        <v/>
      </c>
      <c r="AC1101">
        <f>IF($R1101="","",$AB1101)</f>
        <v/>
      </c>
    </row>
    <row r="1102">
      <c r="O1102">
        <f>1100</f>
        <v/>
      </c>
      <c r="P1102">
        <f>IF(TRIM('입력_구리근무자명단'!$A1100&amp;"")&lt;&gt;"",TRIM('입력_구리근무자명단'!$A1100&amp;""),P1101)</f>
        <v/>
      </c>
      <c r="Q1102">
        <f>'입력_구리근무자명단'!$B1100&amp;""</f>
        <v/>
      </c>
      <c r="R1102">
        <f>IF($E$2="","",TRIM(INDEX('입력_구리근무자명단'!$A1100:$ZZ1100,1,$E$2+IF($G$2="확정",1,0))&amp;""))</f>
        <v/>
      </c>
      <c r="S1102">
        <f>IF($R1102="","",IF(INDEX('입력_구리근무자명단'!$A1100:$ZZ1100,1,$E$2+2)&amp;""="",급여기준월,IF(ISNUMBER(INDEX('입력_구리근무자명단'!$A1100:$ZZ1100,1,$E$2+2)),INDEX('입력_구리근무자명단'!$A1100:$ZZ1100,1,$E$2+2),IFERROR(DATE(VALUE(LEFT(INDEX('입력_구리근무자명단'!$A1100:$ZZ1100,1,$E$2+2),4)),VALUE(MID(INDEX('입력_구리근무자명단'!$A1100:$ZZ1100,1,$E$2+2),6,2)),VALUE(MID(INDEX('입력_구리근무자명단'!$A1100:$ZZ1100,1,$E$2+2),9,2))),-1))))</f>
        <v/>
      </c>
      <c r="T1102">
        <f>IF($R1102="","",IF(INDEX('입력_구리근무자명단'!$A1100:$ZZ1100,1,$E$2+3)&amp;""="",EOMONTH(급여기준월,0),IF(ISNUMBER(INDEX('입력_구리근무자명단'!$A1100:$ZZ1100,1,$E$2+3)),INDEX('입력_구리근무자명단'!$A1100:$ZZ1100,1,$E$2+3),IFERROR(DATE(VALUE(LEFT(INDEX('입력_구리근무자명단'!$A1100:$ZZ1100,1,$E$2+3),4)),VALUE(MID(INDEX('입력_구리근무자명단'!$A1100:$ZZ1100,1,$E$2+3),6,2)),VALUE(MID(INDEX('입력_구리근무자명단'!$A1100:$ZZ1100,1,$E$2+3),9,2))),-1))))</f>
        <v/>
      </c>
      <c r="U1102">
        <f>IF($R1102="","",IF(OR($S1102&lt;0,$T1102&lt;0),0,MAX(0,MIN($T1102,EOMONTH(급여기준월,0))-MAX($S1102,급여기준월)+1)))</f>
        <v/>
      </c>
      <c r="V1102">
        <f>IF($R1102="","",TRIM(INDEX('입력_구리근무자명단'!$A1100:$ZZ1100,1,$E$2+5)&amp;""))</f>
        <v/>
      </c>
      <c r="W1102">
        <f>IF(ISNUMBER(SEARCH("구리독자",$V1102)),"구리독자","")</f>
        <v/>
      </c>
      <c r="X1102">
        <f>IF($R1102="","",$R1102&amp;"|"&amp;IF(OR($Q1102="인턴",ISNUMBER(SEARCH("수련교육부",$P1102))),"인턴",$P1102))</f>
        <v/>
      </c>
      <c r="Y1102">
        <f>IF($R1102="","",IF(COUNTIF(명단표[이름|과],$X1102)=1,"명단 일치",IF(AND(COUNTIF(명단표[이름|과],$X1102)=0,COUNTIF(명단표[이름],$R1102)=1),"명단 일치(이름만, 과 다름)",IF(COUNTIF(명단표[이름],$R1102)=0,IF(COUNTIF(기본자료표[이름],$R1102)&gt;0,"명단에 없음(기본자료에는 있음)","명단에 없음"),"동명이인 확인"))))</f>
        <v/>
      </c>
      <c r="Z1102">
        <f>IF($R1102="","",IF($S1102&lt;0,"⚠"&amp;INDEX('입력_구리근무자명단'!$A1100:$ZZ1100,1,$E$2+2),TEXT($S1102,"yyyy-mm-dd")))</f>
        <v/>
      </c>
      <c r="AA1102">
        <f>IF($R1102="","",IF($T1102&lt;0,"⚠"&amp;INDEX('입력_구리근무자명단'!$A1100:$ZZ1100,1,$E$2+3),TEXT($T1102,"yyyy-mm-dd")))</f>
        <v/>
      </c>
      <c r="AB1102">
        <f>AB1101+IF($R1102="",0,1)</f>
        <v/>
      </c>
      <c r="AC1102">
        <f>IF($R1102="","",$AB1102)</f>
        <v/>
      </c>
    </row>
    <row r="1103">
      <c r="O1103">
        <f>1101</f>
        <v/>
      </c>
      <c r="P1103">
        <f>IF(TRIM('입력_구리근무자명단'!$A1101&amp;"")&lt;&gt;"",TRIM('입력_구리근무자명단'!$A1101&amp;""),P1102)</f>
        <v/>
      </c>
      <c r="Q1103">
        <f>'입력_구리근무자명단'!$B1101&amp;""</f>
        <v/>
      </c>
      <c r="R1103">
        <f>IF($E$2="","",TRIM(INDEX('입력_구리근무자명단'!$A1101:$ZZ1101,1,$E$2+IF($G$2="확정",1,0))&amp;""))</f>
        <v/>
      </c>
      <c r="S1103">
        <f>IF($R1103="","",IF(INDEX('입력_구리근무자명단'!$A1101:$ZZ1101,1,$E$2+2)&amp;""="",급여기준월,IF(ISNUMBER(INDEX('입력_구리근무자명단'!$A1101:$ZZ1101,1,$E$2+2)),INDEX('입력_구리근무자명단'!$A1101:$ZZ1101,1,$E$2+2),IFERROR(DATE(VALUE(LEFT(INDEX('입력_구리근무자명단'!$A1101:$ZZ1101,1,$E$2+2),4)),VALUE(MID(INDEX('입력_구리근무자명단'!$A1101:$ZZ1101,1,$E$2+2),6,2)),VALUE(MID(INDEX('입력_구리근무자명단'!$A1101:$ZZ1101,1,$E$2+2),9,2))),-1))))</f>
        <v/>
      </c>
      <c r="T1103">
        <f>IF($R1103="","",IF(INDEX('입력_구리근무자명단'!$A1101:$ZZ1101,1,$E$2+3)&amp;""="",EOMONTH(급여기준월,0),IF(ISNUMBER(INDEX('입력_구리근무자명단'!$A1101:$ZZ1101,1,$E$2+3)),INDEX('입력_구리근무자명단'!$A1101:$ZZ1101,1,$E$2+3),IFERROR(DATE(VALUE(LEFT(INDEX('입력_구리근무자명단'!$A1101:$ZZ1101,1,$E$2+3),4)),VALUE(MID(INDEX('입력_구리근무자명단'!$A1101:$ZZ1101,1,$E$2+3),6,2)),VALUE(MID(INDEX('입력_구리근무자명단'!$A1101:$ZZ1101,1,$E$2+3),9,2))),-1))))</f>
        <v/>
      </c>
      <c r="U1103">
        <f>IF($R1103="","",IF(OR($S1103&lt;0,$T1103&lt;0),0,MAX(0,MIN($T1103,EOMONTH(급여기준월,0))-MAX($S1103,급여기준월)+1)))</f>
        <v/>
      </c>
      <c r="V1103">
        <f>IF($R1103="","",TRIM(INDEX('입력_구리근무자명단'!$A1101:$ZZ1101,1,$E$2+5)&amp;""))</f>
        <v/>
      </c>
      <c r="W1103">
        <f>IF(ISNUMBER(SEARCH("구리독자",$V1103)),"구리독자","")</f>
        <v/>
      </c>
      <c r="X1103">
        <f>IF($R1103="","",$R1103&amp;"|"&amp;IF(OR($Q1103="인턴",ISNUMBER(SEARCH("수련교육부",$P1103))),"인턴",$P1103))</f>
        <v/>
      </c>
      <c r="Y1103">
        <f>IF($R1103="","",IF(COUNTIF(명단표[이름|과],$X1103)=1,"명단 일치",IF(AND(COUNTIF(명단표[이름|과],$X1103)=0,COUNTIF(명단표[이름],$R1103)=1),"명단 일치(이름만, 과 다름)",IF(COUNTIF(명단표[이름],$R1103)=0,IF(COUNTIF(기본자료표[이름],$R1103)&gt;0,"명단에 없음(기본자료에는 있음)","명단에 없음"),"동명이인 확인"))))</f>
        <v/>
      </c>
      <c r="Z1103">
        <f>IF($R1103="","",IF($S1103&lt;0,"⚠"&amp;INDEX('입력_구리근무자명단'!$A1101:$ZZ1101,1,$E$2+2),TEXT($S1103,"yyyy-mm-dd")))</f>
        <v/>
      </c>
      <c r="AA1103">
        <f>IF($R1103="","",IF($T1103&lt;0,"⚠"&amp;INDEX('입력_구리근무자명단'!$A1101:$ZZ1101,1,$E$2+3),TEXT($T1103,"yyyy-mm-dd")))</f>
        <v/>
      </c>
      <c r="AB1103">
        <f>AB1102+IF($R1103="",0,1)</f>
        <v/>
      </c>
      <c r="AC1103">
        <f>IF($R1103="","",$AB1103)</f>
        <v/>
      </c>
    </row>
    <row r="1104">
      <c r="O1104">
        <f>1102</f>
        <v/>
      </c>
      <c r="P1104">
        <f>IF(TRIM('입력_구리근무자명단'!$A1102&amp;"")&lt;&gt;"",TRIM('입력_구리근무자명단'!$A1102&amp;""),P1103)</f>
        <v/>
      </c>
      <c r="Q1104">
        <f>'입력_구리근무자명단'!$B1102&amp;""</f>
        <v/>
      </c>
      <c r="R1104">
        <f>IF($E$2="","",TRIM(INDEX('입력_구리근무자명단'!$A1102:$ZZ1102,1,$E$2+IF($G$2="확정",1,0))&amp;""))</f>
        <v/>
      </c>
      <c r="S1104">
        <f>IF($R1104="","",IF(INDEX('입력_구리근무자명단'!$A1102:$ZZ1102,1,$E$2+2)&amp;""="",급여기준월,IF(ISNUMBER(INDEX('입력_구리근무자명단'!$A1102:$ZZ1102,1,$E$2+2)),INDEX('입력_구리근무자명단'!$A1102:$ZZ1102,1,$E$2+2),IFERROR(DATE(VALUE(LEFT(INDEX('입력_구리근무자명단'!$A1102:$ZZ1102,1,$E$2+2),4)),VALUE(MID(INDEX('입력_구리근무자명단'!$A1102:$ZZ1102,1,$E$2+2),6,2)),VALUE(MID(INDEX('입력_구리근무자명단'!$A1102:$ZZ1102,1,$E$2+2),9,2))),-1))))</f>
        <v/>
      </c>
      <c r="T1104">
        <f>IF($R1104="","",IF(INDEX('입력_구리근무자명단'!$A1102:$ZZ1102,1,$E$2+3)&amp;""="",EOMONTH(급여기준월,0),IF(ISNUMBER(INDEX('입력_구리근무자명단'!$A1102:$ZZ1102,1,$E$2+3)),INDEX('입력_구리근무자명단'!$A1102:$ZZ1102,1,$E$2+3),IFERROR(DATE(VALUE(LEFT(INDEX('입력_구리근무자명단'!$A1102:$ZZ1102,1,$E$2+3),4)),VALUE(MID(INDEX('입력_구리근무자명단'!$A1102:$ZZ1102,1,$E$2+3),6,2)),VALUE(MID(INDEX('입력_구리근무자명단'!$A1102:$ZZ1102,1,$E$2+3),9,2))),-1))))</f>
        <v/>
      </c>
      <c r="U1104">
        <f>IF($R1104="","",IF(OR($S1104&lt;0,$T1104&lt;0),0,MAX(0,MIN($T1104,EOMONTH(급여기준월,0))-MAX($S1104,급여기준월)+1)))</f>
        <v/>
      </c>
      <c r="V1104">
        <f>IF($R1104="","",TRIM(INDEX('입력_구리근무자명단'!$A1102:$ZZ1102,1,$E$2+5)&amp;""))</f>
        <v/>
      </c>
      <c r="W1104">
        <f>IF(ISNUMBER(SEARCH("구리독자",$V1104)),"구리독자","")</f>
        <v/>
      </c>
      <c r="X1104">
        <f>IF($R1104="","",$R1104&amp;"|"&amp;IF(OR($Q1104="인턴",ISNUMBER(SEARCH("수련교육부",$P1104))),"인턴",$P1104))</f>
        <v/>
      </c>
      <c r="Y1104">
        <f>IF($R1104="","",IF(COUNTIF(명단표[이름|과],$X1104)=1,"명단 일치",IF(AND(COUNTIF(명단표[이름|과],$X1104)=0,COUNTIF(명단표[이름],$R1104)=1),"명단 일치(이름만, 과 다름)",IF(COUNTIF(명단표[이름],$R1104)=0,IF(COUNTIF(기본자료표[이름],$R1104)&gt;0,"명단에 없음(기본자료에는 있음)","명단에 없음"),"동명이인 확인"))))</f>
        <v/>
      </c>
      <c r="Z1104">
        <f>IF($R1104="","",IF($S1104&lt;0,"⚠"&amp;INDEX('입력_구리근무자명단'!$A1102:$ZZ1102,1,$E$2+2),TEXT($S1104,"yyyy-mm-dd")))</f>
        <v/>
      </c>
      <c r="AA1104">
        <f>IF($R1104="","",IF($T1104&lt;0,"⚠"&amp;INDEX('입력_구리근무자명단'!$A1102:$ZZ1102,1,$E$2+3),TEXT($T1104,"yyyy-mm-dd")))</f>
        <v/>
      </c>
      <c r="AB1104">
        <f>AB1103+IF($R1104="",0,1)</f>
        <v/>
      </c>
      <c r="AC1104">
        <f>IF($R1104="","",$AB1104)</f>
        <v/>
      </c>
    </row>
    <row r="1105">
      <c r="O1105">
        <f>1103</f>
        <v/>
      </c>
      <c r="P1105">
        <f>IF(TRIM('입력_구리근무자명단'!$A1103&amp;"")&lt;&gt;"",TRIM('입력_구리근무자명단'!$A1103&amp;""),P1104)</f>
        <v/>
      </c>
      <c r="Q1105">
        <f>'입력_구리근무자명단'!$B1103&amp;""</f>
        <v/>
      </c>
      <c r="R1105">
        <f>IF($E$2="","",TRIM(INDEX('입력_구리근무자명단'!$A1103:$ZZ1103,1,$E$2+IF($G$2="확정",1,0))&amp;""))</f>
        <v/>
      </c>
      <c r="S1105">
        <f>IF($R1105="","",IF(INDEX('입력_구리근무자명단'!$A1103:$ZZ1103,1,$E$2+2)&amp;""="",급여기준월,IF(ISNUMBER(INDEX('입력_구리근무자명단'!$A1103:$ZZ1103,1,$E$2+2)),INDEX('입력_구리근무자명단'!$A1103:$ZZ1103,1,$E$2+2),IFERROR(DATE(VALUE(LEFT(INDEX('입력_구리근무자명단'!$A1103:$ZZ1103,1,$E$2+2),4)),VALUE(MID(INDEX('입력_구리근무자명단'!$A1103:$ZZ1103,1,$E$2+2),6,2)),VALUE(MID(INDEX('입력_구리근무자명단'!$A1103:$ZZ1103,1,$E$2+2),9,2))),-1))))</f>
        <v/>
      </c>
      <c r="T1105">
        <f>IF($R1105="","",IF(INDEX('입력_구리근무자명단'!$A1103:$ZZ1103,1,$E$2+3)&amp;""="",EOMONTH(급여기준월,0),IF(ISNUMBER(INDEX('입력_구리근무자명단'!$A1103:$ZZ1103,1,$E$2+3)),INDEX('입력_구리근무자명단'!$A1103:$ZZ1103,1,$E$2+3),IFERROR(DATE(VALUE(LEFT(INDEX('입력_구리근무자명단'!$A1103:$ZZ1103,1,$E$2+3),4)),VALUE(MID(INDEX('입력_구리근무자명단'!$A1103:$ZZ1103,1,$E$2+3),6,2)),VALUE(MID(INDEX('입력_구리근무자명단'!$A1103:$ZZ1103,1,$E$2+3),9,2))),-1))))</f>
        <v/>
      </c>
      <c r="U1105">
        <f>IF($R1105="","",IF(OR($S1105&lt;0,$T1105&lt;0),0,MAX(0,MIN($T1105,EOMONTH(급여기준월,0))-MAX($S1105,급여기준월)+1)))</f>
        <v/>
      </c>
      <c r="V1105">
        <f>IF($R1105="","",TRIM(INDEX('입력_구리근무자명단'!$A1103:$ZZ1103,1,$E$2+5)&amp;""))</f>
        <v/>
      </c>
      <c r="W1105">
        <f>IF(ISNUMBER(SEARCH("구리독자",$V1105)),"구리독자","")</f>
        <v/>
      </c>
      <c r="X1105">
        <f>IF($R1105="","",$R1105&amp;"|"&amp;IF(OR($Q1105="인턴",ISNUMBER(SEARCH("수련교육부",$P1105))),"인턴",$P1105))</f>
        <v/>
      </c>
      <c r="Y1105">
        <f>IF($R1105="","",IF(COUNTIF(명단표[이름|과],$X1105)=1,"명단 일치",IF(AND(COUNTIF(명단표[이름|과],$X1105)=0,COUNTIF(명단표[이름],$R1105)=1),"명단 일치(이름만, 과 다름)",IF(COUNTIF(명단표[이름],$R1105)=0,IF(COUNTIF(기본자료표[이름],$R1105)&gt;0,"명단에 없음(기본자료에는 있음)","명단에 없음"),"동명이인 확인"))))</f>
        <v/>
      </c>
      <c r="Z1105">
        <f>IF($R1105="","",IF($S1105&lt;0,"⚠"&amp;INDEX('입력_구리근무자명단'!$A1103:$ZZ1103,1,$E$2+2),TEXT($S1105,"yyyy-mm-dd")))</f>
        <v/>
      </c>
      <c r="AA1105">
        <f>IF($R1105="","",IF($T1105&lt;0,"⚠"&amp;INDEX('입력_구리근무자명단'!$A1103:$ZZ1103,1,$E$2+3),TEXT($T1105,"yyyy-mm-dd")))</f>
        <v/>
      </c>
      <c r="AB1105">
        <f>AB1104+IF($R1105="",0,1)</f>
        <v/>
      </c>
      <c r="AC1105">
        <f>IF($R1105="","",$AB1105)</f>
        <v/>
      </c>
    </row>
    <row r="1106">
      <c r="O1106">
        <f>1104</f>
        <v/>
      </c>
      <c r="P1106">
        <f>IF(TRIM('입력_구리근무자명단'!$A1104&amp;"")&lt;&gt;"",TRIM('입력_구리근무자명단'!$A1104&amp;""),P1105)</f>
        <v/>
      </c>
      <c r="Q1106">
        <f>'입력_구리근무자명단'!$B1104&amp;""</f>
        <v/>
      </c>
      <c r="R1106">
        <f>IF($E$2="","",TRIM(INDEX('입력_구리근무자명단'!$A1104:$ZZ1104,1,$E$2+IF($G$2="확정",1,0))&amp;""))</f>
        <v/>
      </c>
      <c r="S1106">
        <f>IF($R1106="","",IF(INDEX('입력_구리근무자명단'!$A1104:$ZZ1104,1,$E$2+2)&amp;""="",급여기준월,IF(ISNUMBER(INDEX('입력_구리근무자명단'!$A1104:$ZZ1104,1,$E$2+2)),INDEX('입력_구리근무자명단'!$A1104:$ZZ1104,1,$E$2+2),IFERROR(DATE(VALUE(LEFT(INDEX('입력_구리근무자명단'!$A1104:$ZZ1104,1,$E$2+2),4)),VALUE(MID(INDEX('입력_구리근무자명단'!$A1104:$ZZ1104,1,$E$2+2),6,2)),VALUE(MID(INDEX('입력_구리근무자명단'!$A1104:$ZZ1104,1,$E$2+2),9,2))),-1))))</f>
        <v/>
      </c>
      <c r="T1106">
        <f>IF($R1106="","",IF(INDEX('입력_구리근무자명단'!$A1104:$ZZ1104,1,$E$2+3)&amp;""="",EOMONTH(급여기준월,0),IF(ISNUMBER(INDEX('입력_구리근무자명단'!$A1104:$ZZ1104,1,$E$2+3)),INDEX('입력_구리근무자명단'!$A1104:$ZZ1104,1,$E$2+3),IFERROR(DATE(VALUE(LEFT(INDEX('입력_구리근무자명단'!$A1104:$ZZ1104,1,$E$2+3),4)),VALUE(MID(INDEX('입력_구리근무자명단'!$A1104:$ZZ1104,1,$E$2+3),6,2)),VALUE(MID(INDEX('입력_구리근무자명단'!$A1104:$ZZ1104,1,$E$2+3),9,2))),-1))))</f>
        <v/>
      </c>
      <c r="U1106">
        <f>IF($R1106="","",IF(OR($S1106&lt;0,$T1106&lt;0),0,MAX(0,MIN($T1106,EOMONTH(급여기준월,0))-MAX($S1106,급여기준월)+1)))</f>
        <v/>
      </c>
      <c r="V1106">
        <f>IF($R1106="","",TRIM(INDEX('입력_구리근무자명단'!$A1104:$ZZ1104,1,$E$2+5)&amp;""))</f>
        <v/>
      </c>
      <c r="W1106">
        <f>IF(ISNUMBER(SEARCH("구리독자",$V1106)),"구리독자","")</f>
        <v/>
      </c>
      <c r="X1106">
        <f>IF($R1106="","",$R1106&amp;"|"&amp;IF(OR($Q1106="인턴",ISNUMBER(SEARCH("수련교육부",$P1106))),"인턴",$P1106))</f>
        <v/>
      </c>
      <c r="Y1106">
        <f>IF($R1106="","",IF(COUNTIF(명단표[이름|과],$X1106)=1,"명단 일치",IF(AND(COUNTIF(명단표[이름|과],$X1106)=0,COUNTIF(명단표[이름],$R1106)=1),"명단 일치(이름만, 과 다름)",IF(COUNTIF(명단표[이름],$R1106)=0,IF(COUNTIF(기본자료표[이름],$R1106)&gt;0,"명단에 없음(기본자료에는 있음)","명단에 없음"),"동명이인 확인"))))</f>
        <v/>
      </c>
      <c r="Z1106">
        <f>IF($R1106="","",IF($S1106&lt;0,"⚠"&amp;INDEX('입력_구리근무자명단'!$A1104:$ZZ1104,1,$E$2+2),TEXT($S1106,"yyyy-mm-dd")))</f>
        <v/>
      </c>
      <c r="AA1106">
        <f>IF($R1106="","",IF($T1106&lt;0,"⚠"&amp;INDEX('입력_구리근무자명단'!$A1104:$ZZ1104,1,$E$2+3),TEXT($T1106,"yyyy-mm-dd")))</f>
        <v/>
      </c>
      <c r="AB1106">
        <f>AB1105+IF($R1106="",0,1)</f>
        <v/>
      </c>
      <c r="AC1106">
        <f>IF($R1106="","",$AB1106)</f>
        <v/>
      </c>
    </row>
    <row r="1107">
      <c r="O1107">
        <f>1105</f>
        <v/>
      </c>
      <c r="P1107">
        <f>IF(TRIM('입력_구리근무자명단'!$A1105&amp;"")&lt;&gt;"",TRIM('입력_구리근무자명단'!$A1105&amp;""),P1106)</f>
        <v/>
      </c>
      <c r="Q1107">
        <f>'입력_구리근무자명단'!$B1105&amp;""</f>
        <v/>
      </c>
      <c r="R1107">
        <f>IF($E$2="","",TRIM(INDEX('입력_구리근무자명단'!$A1105:$ZZ1105,1,$E$2+IF($G$2="확정",1,0))&amp;""))</f>
        <v/>
      </c>
      <c r="S1107">
        <f>IF($R1107="","",IF(INDEX('입력_구리근무자명단'!$A1105:$ZZ1105,1,$E$2+2)&amp;""="",급여기준월,IF(ISNUMBER(INDEX('입력_구리근무자명단'!$A1105:$ZZ1105,1,$E$2+2)),INDEX('입력_구리근무자명단'!$A1105:$ZZ1105,1,$E$2+2),IFERROR(DATE(VALUE(LEFT(INDEX('입력_구리근무자명단'!$A1105:$ZZ1105,1,$E$2+2),4)),VALUE(MID(INDEX('입력_구리근무자명단'!$A1105:$ZZ1105,1,$E$2+2),6,2)),VALUE(MID(INDEX('입력_구리근무자명단'!$A1105:$ZZ1105,1,$E$2+2),9,2))),-1))))</f>
        <v/>
      </c>
      <c r="T1107">
        <f>IF($R1107="","",IF(INDEX('입력_구리근무자명단'!$A1105:$ZZ1105,1,$E$2+3)&amp;""="",EOMONTH(급여기준월,0),IF(ISNUMBER(INDEX('입력_구리근무자명단'!$A1105:$ZZ1105,1,$E$2+3)),INDEX('입력_구리근무자명단'!$A1105:$ZZ1105,1,$E$2+3),IFERROR(DATE(VALUE(LEFT(INDEX('입력_구리근무자명단'!$A1105:$ZZ1105,1,$E$2+3),4)),VALUE(MID(INDEX('입력_구리근무자명단'!$A1105:$ZZ1105,1,$E$2+3),6,2)),VALUE(MID(INDEX('입력_구리근무자명단'!$A1105:$ZZ1105,1,$E$2+3),9,2))),-1))))</f>
        <v/>
      </c>
      <c r="U1107">
        <f>IF($R1107="","",IF(OR($S1107&lt;0,$T1107&lt;0),0,MAX(0,MIN($T1107,EOMONTH(급여기준월,0))-MAX($S1107,급여기준월)+1)))</f>
        <v/>
      </c>
      <c r="V1107">
        <f>IF($R1107="","",TRIM(INDEX('입력_구리근무자명단'!$A1105:$ZZ1105,1,$E$2+5)&amp;""))</f>
        <v/>
      </c>
      <c r="W1107">
        <f>IF(ISNUMBER(SEARCH("구리독자",$V1107)),"구리독자","")</f>
        <v/>
      </c>
      <c r="X1107">
        <f>IF($R1107="","",$R1107&amp;"|"&amp;IF(OR($Q1107="인턴",ISNUMBER(SEARCH("수련교육부",$P1107))),"인턴",$P1107))</f>
        <v/>
      </c>
      <c r="Y1107">
        <f>IF($R1107="","",IF(COUNTIF(명단표[이름|과],$X1107)=1,"명단 일치",IF(AND(COUNTIF(명단표[이름|과],$X1107)=0,COUNTIF(명단표[이름],$R1107)=1),"명단 일치(이름만, 과 다름)",IF(COUNTIF(명단표[이름],$R1107)=0,IF(COUNTIF(기본자료표[이름],$R1107)&gt;0,"명단에 없음(기본자료에는 있음)","명단에 없음"),"동명이인 확인"))))</f>
        <v/>
      </c>
      <c r="Z1107">
        <f>IF($R1107="","",IF($S1107&lt;0,"⚠"&amp;INDEX('입력_구리근무자명단'!$A1105:$ZZ1105,1,$E$2+2),TEXT($S1107,"yyyy-mm-dd")))</f>
        <v/>
      </c>
      <c r="AA1107">
        <f>IF($R1107="","",IF($T1107&lt;0,"⚠"&amp;INDEX('입력_구리근무자명단'!$A1105:$ZZ1105,1,$E$2+3),TEXT($T1107,"yyyy-mm-dd")))</f>
        <v/>
      </c>
      <c r="AB1107">
        <f>AB1106+IF($R1107="",0,1)</f>
        <v/>
      </c>
      <c r="AC1107">
        <f>IF($R1107="","",$AB1107)</f>
        <v/>
      </c>
    </row>
    <row r="1108">
      <c r="O1108">
        <f>1106</f>
        <v/>
      </c>
      <c r="P1108">
        <f>IF(TRIM('입력_구리근무자명단'!$A1106&amp;"")&lt;&gt;"",TRIM('입력_구리근무자명단'!$A1106&amp;""),P1107)</f>
        <v/>
      </c>
      <c r="Q1108">
        <f>'입력_구리근무자명단'!$B1106&amp;""</f>
        <v/>
      </c>
      <c r="R1108">
        <f>IF($E$2="","",TRIM(INDEX('입력_구리근무자명단'!$A1106:$ZZ1106,1,$E$2+IF($G$2="확정",1,0))&amp;""))</f>
        <v/>
      </c>
      <c r="S1108">
        <f>IF($R1108="","",IF(INDEX('입력_구리근무자명단'!$A1106:$ZZ1106,1,$E$2+2)&amp;""="",급여기준월,IF(ISNUMBER(INDEX('입력_구리근무자명단'!$A1106:$ZZ1106,1,$E$2+2)),INDEX('입력_구리근무자명단'!$A1106:$ZZ1106,1,$E$2+2),IFERROR(DATE(VALUE(LEFT(INDEX('입력_구리근무자명단'!$A1106:$ZZ1106,1,$E$2+2),4)),VALUE(MID(INDEX('입력_구리근무자명단'!$A1106:$ZZ1106,1,$E$2+2),6,2)),VALUE(MID(INDEX('입력_구리근무자명단'!$A1106:$ZZ1106,1,$E$2+2),9,2))),-1))))</f>
        <v/>
      </c>
      <c r="T1108">
        <f>IF($R1108="","",IF(INDEX('입력_구리근무자명단'!$A1106:$ZZ1106,1,$E$2+3)&amp;""="",EOMONTH(급여기준월,0),IF(ISNUMBER(INDEX('입력_구리근무자명단'!$A1106:$ZZ1106,1,$E$2+3)),INDEX('입력_구리근무자명단'!$A1106:$ZZ1106,1,$E$2+3),IFERROR(DATE(VALUE(LEFT(INDEX('입력_구리근무자명단'!$A1106:$ZZ1106,1,$E$2+3),4)),VALUE(MID(INDEX('입력_구리근무자명단'!$A1106:$ZZ1106,1,$E$2+3),6,2)),VALUE(MID(INDEX('입력_구리근무자명단'!$A1106:$ZZ1106,1,$E$2+3),9,2))),-1))))</f>
        <v/>
      </c>
      <c r="U1108">
        <f>IF($R1108="","",IF(OR($S1108&lt;0,$T1108&lt;0),0,MAX(0,MIN($T1108,EOMONTH(급여기준월,0))-MAX($S1108,급여기준월)+1)))</f>
        <v/>
      </c>
      <c r="V1108">
        <f>IF($R1108="","",TRIM(INDEX('입력_구리근무자명단'!$A1106:$ZZ1106,1,$E$2+5)&amp;""))</f>
        <v/>
      </c>
      <c r="W1108">
        <f>IF(ISNUMBER(SEARCH("구리독자",$V1108)),"구리독자","")</f>
        <v/>
      </c>
      <c r="X1108">
        <f>IF($R1108="","",$R1108&amp;"|"&amp;IF(OR($Q1108="인턴",ISNUMBER(SEARCH("수련교육부",$P1108))),"인턴",$P1108))</f>
        <v/>
      </c>
      <c r="Y1108">
        <f>IF($R1108="","",IF(COUNTIF(명단표[이름|과],$X1108)=1,"명단 일치",IF(AND(COUNTIF(명단표[이름|과],$X1108)=0,COUNTIF(명단표[이름],$R1108)=1),"명단 일치(이름만, 과 다름)",IF(COUNTIF(명단표[이름],$R1108)=0,IF(COUNTIF(기본자료표[이름],$R1108)&gt;0,"명단에 없음(기본자료에는 있음)","명단에 없음"),"동명이인 확인"))))</f>
        <v/>
      </c>
      <c r="Z1108">
        <f>IF($R1108="","",IF($S1108&lt;0,"⚠"&amp;INDEX('입력_구리근무자명단'!$A1106:$ZZ1106,1,$E$2+2),TEXT($S1108,"yyyy-mm-dd")))</f>
        <v/>
      </c>
      <c r="AA1108">
        <f>IF($R1108="","",IF($T1108&lt;0,"⚠"&amp;INDEX('입력_구리근무자명단'!$A1106:$ZZ1106,1,$E$2+3),TEXT($T1108,"yyyy-mm-dd")))</f>
        <v/>
      </c>
      <c r="AB1108">
        <f>AB1107+IF($R1108="",0,1)</f>
        <v/>
      </c>
      <c r="AC1108">
        <f>IF($R1108="","",$AB1108)</f>
        <v/>
      </c>
    </row>
    <row r="1109">
      <c r="O1109">
        <f>1107</f>
        <v/>
      </c>
      <c r="P1109">
        <f>IF(TRIM('입력_구리근무자명단'!$A1107&amp;"")&lt;&gt;"",TRIM('입력_구리근무자명단'!$A1107&amp;""),P1108)</f>
        <v/>
      </c>
      <c r="Q1109">
        <f>'입력_구리근무자명단'!$B1107&amp;""</f>
        <v/>
      </c>
      <c r="R1109">
        <f>IF($E$2="","",TRIM(INDEX('입력_구리근무자명단'!$A1107:$ZZ1107,1,$E$2+IF($G$2="확정",1,0))&amp;""))</f>
        <v/>
      </c>
      <c r="S1109">
        <f>IF($R1109="","",IF(INDEX('입력_구리근무자명단'!$A1107:$ZZ1107,1,$E$2+2)&amp;""="",급여기준월,IF(ISNUMBER(INDEX('입력_구리근무자명단'!$A1107:$ZZ1107,1,$E$2+2)),INDEX('입력_구리근무자명단'!$A1107:$ZZ1107,1,$E$2+2),IFERROR(DATE(VALUE(LEFT(INDEX('입력_구리근무자명단'!$A1107:$ZZ1107,1,$E$2+2),4)),VALUE(MID(INDEX('입력_구리근무자명단'!$A1107:$ZZ1107,1,$E$2+2),6,2)),VALUE(MID(INDEX('입력_구리근무자명단'!$A1107:$ZZ1107,1,$E$2+2),9,2))),-1))))</f>
        <v/>
      </c>
      <c r="T1109">
        <f>IF($R1109="","",IF(INDEX('입력_구리근무자명단'!$A1107:$ZZ1107,1,$E$2+3)&amp;""="",EOMONTH(급여기준월,0),IF(ISNUMBER(INDEX('입력_구리근무자명단'!$A1107:$ZZ1107,1,$E$2+3)),INDEX('입력_구리근무자명단'!$A1107:$ZZ1107,1,$E$2+3),IFERROR(DATE(VALUE(LEFT(INDEX('입력_구리근무자명단'!$A1107:$ZZ1107,1,$E$2+3),4)),VALUE(MID(INDEX('입력_구리근무자명단'!$A1107:$ZZ1107,1,$E$2+3),6,2)),VALUE(MID(INDEX('입력_구리근무자명단'!$A1107:$ZZ1107,1,$E$2+3),9,2))),-1))))</f>
        <v/>
      </c>
      <c r="U1109">
        <f>IF($R1109="","",IF(OR($S1109&lt;0,$T1109&lt;0),0,MAX(0,MIN($T1109,EOMONTH(급여기준월,0))-MAX($S1109,급여기준월)+1)))</f>
        <v/>
      </c>
      <c r="V1109">
        <f>IF($R1109="","",TRIM(INDEX('입력_구리근무자명단'!$A1107:$ZZ1107,1,$E$2+5)&amp;""))</f>
        <v/>
      </c>
      <c r="W1109">
        <f>IF(ISNUMBER(SEARCH("구리독자",$V1109)),"구리독자","")</f>
        <v/>
      </c>
      <c r="X1109">
        <f>IF($R1109="","",$R1109&amp;"|"&amp;IF(OR($Q1109="인턴",ISNUMBER(SEARCH("수련교육부",$P1109))),"인턴",$P1109))</f>
        <v/>
      </c>
      <c r="Y1109">
        <f>IF($R1109="","",IF(COUNTIF(명단표[이름|과],$X1109)=1,"명단 일치",IF(AND(COUNTIF(명단표[이름|과],$X1109)=0,COUNTIF(명단표[이름],$R1109)=1),"명단 일치(이름만, 과 다름)",IF(COUNTIF(명단표[이름],$R1109)=0,IF(COUNTIF(기본자료표[이름],$R1109)&gt;0,"명단에 없음(기본자료에는 있음)","명단에 없음"),"동명이인 확인"))))</f>
        <v/>
      </c>
      <c r="Z1109">
        <f>IF($R1109="","",IF($S1109&lt;0,"⚠"&amp;INDEX('입력_구리근무자명단'!$A1107:$ZZ1107,1,$E$2+2),TEXT($S1109,"yyyy-mm-dd")))</f>
        <v/>
      </c>
      <c r="AA1109">
        <f>IF($R1109="","",IF($T1109&lt;0,"⚠"&amp;INDEX('입력_구리근무자명단'!$A1107:$ZZ1107,1,$E$2+3),TEXT($T1109,"yyyy-mm-dd")))</f>
        <v/>
      </c>
      <c r="AB1109">
        <f>AB1108+IF($R1109="",0,1)</f>
        <v/>
      </c>
      <c r="AC1109">
        <f>IF($R1109="","",$AB1109)</f>
        <v/>
      </c>
    </row>
    <row r="1110">
      <c r="O1110">
        <f>1108</f>
        <v/>
      </c>
      <c r="P1110">
        <f>IF(TRIM('입력_구리근무자명단'!$A1108&amp;"")&lt;&gt;"",TRIM('입력_구리근무자명단'!$A1108&amp;""),P1109)</f>
        <v/>
      </c>
      <c r="Q1110">
        <f>'입력_구리근무자명단'!$B1108&amp;""</f>
        <v/>
      </c>
      <c r="R1110">
        <f>IF($E$2="","",TRIM(INDEX('입력_구리근무자명단'!$A1108:$ZZ1108,1,$E$2+IF($G$2="확정",1,0))&amp;""))</f>
        <v/>
      </c>
      <c r="S1110">
        <f>IF($R1110="","",IF(INDEX('입력_구리근무자명단'!$A1108:$ZZ1108,1,$E$2+2)&amp;""="",급여기준월,IF(ISNUMBER(INDEX('입력_구리근무자명단'!$A1108:$ZZ1108,1,$E$2+2)),INDEX('입력_구리근무자명단'!$A1108:$ZZ1108,1,$E$2+2),IFERROR(DATE(VALUE(LEFT(INDEX('입력_구리근무자명단'!$A1108:$ZZ1108,1,$E$2+2),4)),VALUE(MID(INDEX('입력_구리근무자명단'!$A1108:$ZZ1108,1,$E$2+2),6,2)),VALUE(MID(INDEX('입력_구리근무자명단'!$A1108:$ZZ1108,1,$E$2+2),9,2))),-1))))</f>
        <v/>
      </c>
      <c r="T1110">
        <f>IF($R1110="","",IF(INDEX('입력_구리근무자명단'!$A1108:$ZZ1108,1,$E$2+3)&amp;""="",EOMONTH(급여기준월,0),IF(ISNUMBER(INDEX('입력_구리근무자명단'!$A1108:$ZZ1108,1,$E$2+3)),INDEX('입력_구리근무자명단'!$A1108:$ZZ1108,1,$E$2+3),IFERROR(DATE(VALUE(LEFT(INDEX('입력_구리근무자명단'!$A1108:$ZZ1108,1,$E$2+3),4)),VALUE(MID(INDEX('입력_구리근무자명단'!$A1108:$ZZ1108,1,$E$2+3),6,2)),VALUE(MID(INDEX('입력_구리근무자명단'!$A1108:$ZZ1108,1,$E$2+3),9,2))),-1))))</f>
        <v/>
      </c>
      <c r="U1110">
        <f>IF($R1110="","",IF(OR($S1110&lt;0,$T1110&lt;0),0,MAX(0,MIN($T1110,EOMONTH(급여기준월,0))-MAX($S1110,급여기준월)+1)))</f>
        <v/>
      </c>
      <c r="V1110">
        <f>IF($R1110="","",TRIM(INDEX('입력_구리근무자명단'!$A1108:$ZZ1108,1,$E$2+5)&amp;""))</f>
        <v/>
      </c>
      <c r="W1110">
        <f>IF(ISNUMBER(SEARCH("구리독자",$V1110)),"구리독자","")</f>
        <v/>
      </c>
      <c r="X1110">
        <f>IF($R1110="","",$R1110&amp;"|"&amp;IF(OR($Q1110="인턴",ISNUMBER(SEARCH("수련교육부",$P1110))),"인턴",$P1110))</f>
        <v/>
      </c>
      <c r="Y1110">
        <f>IF($R1110="","",IF(COUNTIF(명단표[이름|과],$X1110)=1,"명단 일치",IF(AND(COUNTIF(명단표[이름|과],$X1110)=0,COUNTIF(명단표[이름],$R1110)=1),"명단 일치(이름만, 과 다름)",IF(COUNTIF(명단표[이름],$R1110)=0,IF(COUNTIF(기본자료표[이름],$R1110)&gt;0,"명단에 없음(기본자료에는 있음)","명단에 없음"),"동명이인 확인"))))</f>
        <v/>
      </c>
      <c r="Z1110">
        <f>IF($R1110="","",IF($S1110&lt;0,"⚠"&amp;INDEX('입력_구리근무자명단'!$A1108:$ZZ1108,1,$E$2+2),TEXT($S1110,"yyyy-mm-dd")))</f>
        <v/>
      </c>
      <c r="AA1110">
        <f>IF($R1110="","",IF($T1110&lt;0,"⚠"&amp;INDEX('입력_구리근무자명단'!$A1108:$ZZ1108,1,$E$2+3),TEXT($T1110,"yyyy-mm-dd")))</f>
        <v/>
      </c>
      <c r="AB1110">
        <f>AB1109+IF($R1110="",0,1)</f>
        <v/>
      </c>
      <c r="AC1110">
        <f>IF($R1110="","",$AB1110)</f>
        <v/>
      </c>
    </row>
    <row r="1111">
      <c r="O1111">
        <f>1109</f>
        <v/>
      </c>
      <c r="P1111">
        <f>IF(TRIM('입력_구리근무자명단'!$A1109&amp;"")&lt;&gt;"",TRIM('입력_구리근무자명단'!$A1109&amp;""),P1110)</f>
        <v/>
      </c>
      <c r="Q1111">
        <f>'입력_구리근무자명단'!$B1109&amp;""</f>
        <v/>
      </c>
      <c r="R1111">
        <f>IF($E$2="","",TRIM(INDEX('입력_구리근무자명단'!$A1109:$ZZ1109,1,$E$2+IF($G$2="확정",1,0))&amp;""))</f>
        <v/>
      </c>
      <c r="S1111">
        <f>IF($R1111="","",IF(INDEX('입력_구리근무자명단'!$A1109:$ZZ1109,1,$E$2+2)&amp;""="",급여기준월,IF(ISNUMBER(INDEX('입력_구리근무자명단'!$A1109:$ZZ1109,1,$E$2+2)),INDEX('입력_구리근무자명단'!$A1109:$ZZ1109,1,$E$2+2),IFERROR(DATE(VALUE(LEFT(INDEX('입력_구리근무자명단'!$A1109:$ZZ1109,1,$E$2+2),4)),VALUE(MID(INDEX('입력_구리근무자명단'!$A1109:$ZZ1109,1,$E$2+2),6,2)),VALUE(MID(INDEX('입력_구리근무자명단'!$A1109:$ZZ1109,1,$E$2+2),9,2))),-1))))</f>
        <v/>
      </c>
      <c r="T1111">
        <f>IF($R1111="","",IF(INDEX('입력_구리근무자명단'!$A1109:$ZZ1109,1,$E$2+3)&amp;""="",EOMONTH(급여기준월,0),IF(ISNUMBER(INDEX('입력_구리근무자명단'!$A1109:$ZZ1109,1,$E$2+3)),INDEX('입력_구리근무자명단'!$A1109:$ZZ1109,1,$E$2+3),IFERROR(DATE(VALUE(LEFT(INDEX('입력_구리근무자명단'!$A1109:$ZZ1109,1,$E$2+3),4)),VALUE(MID(INDEX('입력_구리근무자명단'!$A1109:$ZZ1109,1,$E$2+3),6,2)),VALUE(MID(INDEX('입력_구리근무자명단'!$A1109:$ZZ1109,1,$E$2+3),9,2))),-1))))</f>
        <v/>
      </c>
      <c r="U1111">
        <f>IF($R1111="","",IF(OR($S1111&lt;0,$T1111&lt;0),0,MAX(0,MIN($T1111,EOMONTH(급여기준월,0))-MAX($S1111,급여기준월)+1)))</f>
        <v/>
      </c>
      <c r="V1111">
        <f>IF($R1111="","",TRIM(INDEX('입력_구리근무자명단'!$A1109:$ZZ1109,1,$E$2+5)&amp;""))</f>
        <v/>
      </c>
      <c r="W1111">
        <f>IF(ISNUMBER(SEARCH("구리독자",$V1111)),"구리독자","")</f>
        <v/>
      </c>
      <c r="X1111">
        <f>IF($R1111="","",$R1111&amp;"|"&amp;IF(OR($Q1111="인턴",ISNUMBER(SEARCH("수련교육부",$P1111))),"인턴",$P1111))</f>
        <v/>
      </c>
      <c r="Y1111">
        <f>IF($R1111="","",IF(COUNTIF(명단표[이름|과],$X1111)=1,"명단 일치",IF(AND(COUNTIF(명단표[이름|과],$X1111)=0,COUNTIF(명단표[이름],$R1111)=1),"명단 일치(이름만, 과 다름)",IF(COUNTIF(명단표[이름],$R1111)=0,IF(COUNTIF(기본자료표[이름],$R1111)&gt;0,"명단에 없음(기본자료에는 있음)","명단에 없음"),"동명이인 확인"))))</f>
        <v/>
      </c>
      <c r="Z1111">
        <f>IF($R1111="","",IF($S1111&lt;0,"⚠"&amp;INDEX('입력_구리근무자명단'!$A1109:$ZZ1109,1,$E$2+2),TEXT($S1111,"yyyy-mm-dd")))</f>
        <v/>
      </c>
      <c r="AA1111">
        <f>IF($R1111="","",IF($T1111&lt;0,"⚠"&amp;INDEX('입력_구리근무자명단'!$A1109:$ZZ1109,1,$E$2+3),TEXT($T1111,"yyyy-mm-dd")))</f>
        <v/>
      </c>
      <c r="AB1111">
        <f>AB1110+IF($R1111="",0,1)</f>
        <v/>
      </c>
      <c r="AC1111">
        <f>IF($R1111="","",$AB1111)</f>
        <v/>
      </c>
    </row>
    <row r="1112">
      <c r="O1112">
        <f>1110</f>
        <v/>
      </c>
      <c r="P1112">
        <f>IF(TRIM('입력_구리근무자명단'!$A1110&amp;"")&lt;&gt;"",TRIM('입력_구리근무자명단'!$A1110&amp;""),P1111)</f>
        <v/>
      </c>
      <c r="Q1112">
        <f>'입력_구리근무자명단'!$B1110&amp;""</f>
        <v/>
      </c>
      <c r="R1112">
        <f>IF($E$2="","",TRIM(INDEX('입력_구리근무자명단'!$A1110:$ZZ1110,1,$E$2+IF($G$2="확정",1,0))&amp;""))</f>
        <v/>
      </c>
      <c r="S1112">
        <f>IF($R1112="","",IF(INDEX('입력_구리근무자명단'!$A1110:$ZZ1110,1,$E$2+2)&amp;""="",급여기준월,IF(ISNUMBER(INDEX('입력_구리근무자명단'!$A1110:$ZZ1110,1,$E$2+2)),INDEX('입력_구리근무자명단'!$A1110:$ZZ1110,1,$E$2+2),IFERROR(DATE(VALUE(LEFT(INDEX('입력_구리근무자명단'!$A1110:$ZZ1110,1,$E$2+2),4)),VALUE(MID(INDEX('입력_구리근무자명단'!$A1110:$ZZ1110,1,$E$2+2),6,2)),VALUE(MID(INDEX('입력_구리근무자명단'!$A1110:$ZZ1110,1,$E$2+2),9,2))),-1))))</f>
        <v/>
      </c>
      <c r="T1112">
        <f>IF($R1112="","",IF(INDEX('입력_구리근무자명단'!$A1110:$ZZ1110,1,$E$2+3)&amp;""="",EOMONTH(급여기준월,0),IF(ISNUMBER(INDEX('입력_구리근무자명단'!$A1110:$ZZ1110,1,$E$2+3)),INDEX('입력_구리근무자명단'!$A1110:$ZZ1110,1,$E$2+3),IFERROR(DATE(VALUE(LEFT(INDEX('입력_구리근무자명단'!$A1110:$ZZ1110,1,$E$2+3),4)),VALUE(MID(INDEX('입력_구리근무자명단'!$A1110:$ZZ1110,1,$E$2+3),6,2)),VALUE(MID(INDEX('입력_구리근무자명단'!$A1110:$ZZ1110,1,$E$2+3),9,2))),-1))))</f>
        <v/>
      </c>
      <c r="U1112">
        <f>IF($R1112="","",IF(OR($S1112&lt;0,$T1112&lt;0),0,MAX(0,MIN($T1112,EOMONTH(급여기준월,0))-MAX($S1112,급여기준월)+1)))</f>
        <v/>
      </c>
      <c r="V1112">
        <f>IF($R1112="","",TRIM(INDEX('입력_구리근무자명단'!$A1110:$ZZ1110,1,$E$2+5)&amp;""))</f>
        <v/>
      </c>
      <c r="W1112">
        <f>IF(ISNUMBER(SEARCH("구리독자",$V1112)),"구리독자","")</f>
        <v/>
      </c>
      <c r="X1112">
        <f>IF($R1112="","",$R1112&amp;"|"&amp;IF(OR($Q1112="인턴",ISNUMBER(SEARCH("수련교육부",$P1112))),"인턴",$P1112))</f>
        <v/>
      </c>
      <c r="Y1112">
        <f>IF($R1112="","",IF(COUNTIF(명단표[이름|과],$X1112)=1,"명단 일치",IF(AND(COUNTIF(명단표[이름|과],$X1112)=0,COUNTIF(명단표[이름],$R1112)=1),"명단 일치(이름만, 과 다름)",IF(COUNTIF(명단표[이름],$R1112)=0,IF(COUNTIF(기본자료표[이름],$R1112)&gt;0,"명단에 없음(기본자료에는 있음)","명단에 없음"),"동명이인 확인"))))</f>
        <v/>
      </c>
      <c r="Z1112">
        <f>IF($R1112="","",IF($S1112&lt;0,"⚠"&amp;INDEX('입력_구리근무자명단'!$A1110:$ZZ1110,1,$E$2+2),TEXT($S1112,"yyyy-mm-dd")))</f>
        <v/>
      </c>
      <c r="AA1112">
        <f>IF($R1112="","",IF($T1112&lt;0,"⚠"&amp;INDEX('입력_구리근무자명단'!$A1110:$ZZ1110,1,$E$2+3),TEXT($T1112,"yyyy-mm-dd")))</f>
        <v/>
      </c>
      <c r="AB1112">
        <f>AB1111+IF($R1112="",0,1)</f>
        <v/>
      </c>
      <c r="AC1112">
        <f>IF($R1112="","",$AB1112)</f>
        <v/>
      </c>
    </row>
    <row r="1113">
      <c r="O1113">
        <f>1111</f>
        <v/>
      </c>
      <c r="P1113">
        <f>IF(TRIM('입력_구리근무자명단'!$A1111&amp;"")&lt;&gt;"",TRIM('입력_구리근무자명단'!$A1111&amp;""),P1112)</f>
        <v/>
      </c>
      <c r="Q1113">
        <f>'입력_구리근무자명단'!$B1111&amp;""</f>
        <v/>
      </c>
      <c r="R1113">
        <f>IF($E$2="","",TRIM(INDEX('입력_구리근무자명단'!$A1111:$ZZ1111,1,$E$2+IF($G$2="확정",1,0))&amp;""))</f>
        <v/>
      </c>
      <c r="S1113">
        <f>IF($R1113="","",IF(INDEX('입력_구리근무자명단'!$A1111:$ZZ1111,1,$E$2+2)&amp;""="",급여기준월,IF(ISNUMBER(INDEX('입력_구리근무자명단'!$A1111:$ZZ1111,1,$E$2+2)),INDEX('입력_구리근무자명단'!$A1111:$ZZ1111,1,$E$2+2),IFERROR(DATE(VALUE(LEFT(INDEX('입력_구리근무자명단'!$A1111:$ZZ1111,1,$E$2+2),4)),VALUE(MID(INDEX('입력_구리근무자명단'!$A1111:$ZZ1111,1,$E$2+2),6,2)),VALUE(MID(INDEX('입력_구리근무자명단'!$A1111:$ZZ1111,1,$E$2+2),9,2))),-1))))</f>
        <v/>
      </c>
      <c r="T1113">
        <f>IF($R1113="","",IF(INDEX('입력_구리근무자명단'!$A1111:$ZZ1111,1,$E$2+3)&amp;""="",EOMONTH(급여기준월,0),IF(ISNUMBER(INDEX('입력_구리근무자명단'!$A1111:$ZZ1111,1,$E$2+3)),INDEX('입력_구리근무자명단'!$A1111:$ZZ1111,1,$E$2+3),IFERROR(DATE(VALUE(LEFT(INDEX('입력_구리근무자명단'!$A1111:$ZZ1111,1,$E$2+3),4)),VALUE(MID(INDEX('입력_구리근무자명단'!$A1111:$ZZ1111,1,$E$2+3),6,2)),VALUE(MID(INDEX('입력_구리근무자명단'!$A1111:$ZZ1111,1,$E$2+3),9,2))),-1))))</f>
        <v/>
      </c>
      <c r="U1113">
        <f>IF($R1113="","",IF(OR($S1113&lt;0,$T1113&lt;0),0,MAX(0,MIN($T1113,EOMONTH(급여기준월,0))-MAX($S1113,급여기준월)+1)))</f>
        <v/>
      </c>
      <c r="V1113">
        <f>IF($R1113="","",TRIM(INDEX('입력_구리근무자명단'!$A1111:$ZZ1111,1,$E$2+5)&amp;""))</f>
        <v/>
      </c>
      <c r="W1113">
        <f>IF(ISNUMBER(SEARCH("구리독자",$V1113)),"구리독자","")</f>
        <v/>
      </c>
      <c r="X1113">
        <f>IF($R1113="","",$R1113&amp;"|"&amp;IF(OR($Q1113="인턴",ISNUMBER(SEARCH("수련교육부",$P1113))),"인턴",$P1113))</f>
        <v/>
      </c>
      <c r="Y1113">
        <f>IF($R1113="","",IF(COUNTIF(명단표[이름|과],$X1113)=1,"명단 일치",IF(AND(COUNTIF(명단표[이름|과],$X1113)=0,COUNTIF(명단표[이름],$R1113)=1),"명단 일치(이름만, 과 다름)",IF(COUNTIF(명단표[이름],$R1113)=0,IF(COUNTIF(기본자료표[이름],$R1113)&gt;0,"명단에 없음(기본자료에는 있음)","명단에 없음"),"동명이인 확인"))))</f>
        <v/>
      </c>
      <c r="Z1113">
        <f>IF($R1113="","",IF($S1113&lt;0,"⚠"&amp;INDEX('입력_구리근무자명단'!$A1111:$ZZ1111,1,$E$2+2),TEXT($S1113,"yyyy-mm-dd")))</f>
        <v/>
      </c>
      <c r="AA1113">
        <f>IF($R1113="","",IF($T1113&lt;0,"⚠"&amp;INDEX('입력_구리근무자명단'!$A1111:$ZZ1111,1,$E$2+3),TEXT($T1113,"yyyy-mm-dd")))</f>
        <v/>
      </c>
      <c r="AB1113">
        <f>AB1112+IF($R1113="",0,1)</f>
        <v/>
      </c>
      <c r="AC1113">
        <f>IF($R1113="","",$AB1113)</f>
        <v/>
      </c>
    </row>
    <row r="1114">
      <c r="O1114">
        <f>1112</f>
        <v/>
      </c>
      <c r="P1114">
        <f>IF(TRIM('입력_구리근무자명단'!$A1112&amp;"")&lt;&gt;"",TRIM('입력_구리근무자명단'!$A1112&amp;""),P1113)</f>
        <v/>
      </c>
      <c r="Q1114">
        <f>'입력_구리근무자명단'!$B1112&amp;""</f>
        <v/>
      </c>
      <c r="R1114">
        <f>IF($E$2="","",TRIM(INDEX('입력_구리근무자명단'!$A1112:$ZZ1112,1,$E$2+IF($G$2="확정",1,0))&amp;""))</f>
        <v/>
      </c>
      <c r="S1114">
        <f>IF($R1114="","",IF(INDEX('입력_구리근무자명단'!$A1112:$ZZ1112,1,$E$2+2)&amp;""="",급여기준월,IF(ISNUMBER(INDEX('입력_구리근무자명단'!$A1112:$ZZ1112,1,$E$2+2)),INDEX('입력_구리근무자명단'!$A1112:$ZZ1112,1,$E$2+2),IFERROR(DATE(VALUE(LEFT(INDEX('입력_구리근무자명단'!$A1112:$ZZ1112,1,$E$2+2),4)),VALUE(MID(INDEX('입력_구리근무자명단'!$A1112:$ZZ1112,1,$E$2+2),6,2)),VALUE(MID(INDEX('입력_구리근무자명단'!$A1112:$ZZ1112,1,$E$2+2),9,2))),-1))))</f>
        <v/>
      </c>
      <c r="T1114">
        <f>IF($R1114="","",IF(INDEX('입력_구리근무자명단'!$A1112:$ZZ1112,1,$E$2+3)&amp;""="",EOMONTH(급여기준월,0),IF(ISNUMBER(INDEX('입력_구리근무자명단'!$A1112:$ZZ1112,1,$E$2+3)),INDEX('입력_구리근무자명단'!$A1112:$ZZ1112,1,$E$2+3),IFERROR(DATE(VALUE(LEFT(INDEX('입력_구리근무자명단'!$A1112:$ZZ1112,1,$E$2+3),4)),VALUE(MID(INDEX('입력_구리근무자명단'!$A1112:$ZZ1112,1,$E$2+3),6,2)),VALUE(MID(INDEX('입력_구리근무자명단'!$A1112:$ZZ1112,1,$E$2+3),9,2))),-1))))</f>
        <v/>
      </c>
      <c r="U1114">
        <f>IF($R1114="","",IF(OR($S1114&lt;0,$T1114&lt;0),0,MAX(0,MIN($T1114,EOMONTH(급여기준월,0))-MAX($S1114,급여기준월)+1)))</f>
        <v/>
      </c>
      <c r="V1114">
        <f>IF($R1114="","",TRIM(INDEX('입력_구리근무자명단'!$A1112:$ZZ1112,1,$E$2+5)&amp;""))</f>
        <v/>
      </c>
      <c r="W1114">
        <f>IF(ISNUMBER(SEARCH("구리독자",$V1114)),"구리독자","")</f>
        <v/>
      </c>
      <c r="X1114">
        <f>IF($R1114="","",$R1114&amp;"|"&amp;IF(OR($Q1114="인턴",ISNUMBER(SEARCH("수련교육부",$P1114))),"인턴",$P1114))</f>
        <v/>
      </c>
      <c r="Y1114">
        <f>IF($R1114="","",IF(COUNTIF(명단표[이름|과],$X1114)=1,"명단 일치",IF(AND(COUNTIF(명단표[이름|과],$X1114)=0,COUNTIF(명단표[이름],$R1114)=1),"명단 일치(이름만, 과 다름)",IF(COUNTIF(명단표[이름],$R1114)=0,IF(COUNTIF(기본자료표[이름],$R1114)&gt;0,"명단에 없음(기본자료에는 있음)","명단에 없음"),"동명이인 확인"))))</f>
        <v/>
      </c>
      <c r="Z1114">
        <f>IF($R1114="","",IF($S1114&lt;0,"⚠"&amp;INDEX('입력_구리근무자명단'!$A1112:$ZZ1112,1,$E$2+2),TEXT($S1114,"yyyy-mm-dd")))</f>
        <v/>
      </c>
      <c r="AA1114">
        <f>IF($R1114="","",IF($T1114&lt;0,"⚠"&amp;INDEX('입력_구리근무자명단'!$A1112:$ZZ1112,1,$E$2+3),TEXT($T1114,"yyyy-mm-dd")))</f>
        <v/>
      </c>
      <c r="AB1114">
        <f>AB1113+IF($R1114="",0,1)</f>
        <v/>
      </c>
      <c r="AC1114">
        <f>IF($R1114="","",$AB1114)</f>
        <v/>
      </c>
    </row>
    <row r="1115">
      <c r="O1115">
        <f>1113</f>
        <v/>
      </c>
      <c r="P1115">
        <f>IF(TRIM('입력_구리근무자명단'!$A1113&amp;"")&lt;&gt;"",TRIM('입력_구리근무자명단'!$A1113&amp;""),P1114)</f>
        <v/>
      </c>
      <c r="Q1115">
        <f>'입력_구리근무자명단'!$B1113&amp;""</f>
        <v/>
      </c>
      <c r="R1115">
        <f>IF($E$2="","",TRIM(INDEX('입력_구리근무자명단'!$A1113:$ZZ1113,1,$E$2+IF($G$2="확정",1,0))&amp;""))</f>
        <v/>
      </c>
      <c r="S1115">
        <f>IF($R1115="","",IF(INDEX('입력_구리근무자명단'!$A1113:$ZZ1113,1,$E$2+2)&amp;""="",급여기준월,IF(ISNUMBER(INDEX('입력_구리근무자명단'!$A1113:$ZZ1113,1,$E$2+2)),INDEX('입력_구리근무자명단'!$A1113:$ZZ1113,1,$E$2+2),IFERROR(DATE(VALUE(LEFT(INDEX('입력_구리근무자명단'!$A1113:$ZZ1113,1,$E$2+2),4)),VALUE(MID(INDEX('입력_구리근무자명단'!$A1113:$ZZ1113,1,$E$2+2),6,2)),VALUE(MID(INDEX('입력_구리근무자명단'!$A1113:$ZZ1113,1,$E$2+2),9,2))),-1))))</f>
        <v/>
      </c>
      <c r="T1115">
        <f>IF($R1115="","",IF(INDEX('입력_구리근무자명단'!$A1113:$ZZ1113,1,$E$2+3)&amp;""="",EOMONTH(급여기준월,0),IF(ISNUMBER(INDEX('입력_구리근무자명단'!$A1113:$ZZ1113,1,$E$2+3)),INDEX('입력_구리근무자명단'!$A1113:$ZZ1113,1,$E$2+3),IFERROR(DATE(VALUE(LEFT(INDEX('입력_구리근무자명단'!$A1113:$ZZ1113,1,$E$2+3),4)),VALUE(MID(INDEX('입력_구리근무자명단'!$A1113:$ZZ1113,1,$E$2+3),6,2)),VALUE(MID(INDEX('입력_구리근무자명단'!$A1113:$ZZ1113,1,$E$2+3),9,2))),-1))))</f>
        <v/>
      </c>
      <c r="U1115">
        <f>IF($R1115="","",IF(OR($S1115&lt;0,$T1115&lt;0),0,MAX(0,MIN($T1115,EOMONTH(급여기준월,0))-MAX($S1115,급여기준월)+1)))</f>
        <v/>
      </c>
      <c r="V1115">
        <f>IF($R1115="","",TRIM(INDEX('입력_구리근무자명단'!$A1113:$ZZ1113,1,$E$2+5)&amp;""))</f>
        <v/>
      </c>
      <c r="W1115">
        <f>IF(ISNUMBER(SEARCH("구리독자",$V1115)),"구리독자","")</f>
        <v/>
      </c>
      <c r="X1115">
        <f>IF($R1115="","",$R1115&amp;"|"&amp;IF(OR($Q1115="인턴",ISNUMBER(SEARCH("수련교육부",$P1115))),"인턴",$P1115))</f>
        <v/>
      </c>
      <c r="Y1115">
        <f>IF($R1115="","",IF(COUNTIF(명단표[이름|과],$X1115)=1,"명단 일치",IF(AND(COUNTIF(명단표[이름|과],$X1115)=0,COUNTIF(명단표[이름],$R1115)=1),"명단 일치(이름만, 과 다름)",IF(COUNTIF(명단표[이름],$R1115)=0,IF(COUNTIF(기본자료표[이름],$R1115)&gt;0,"명단에 없음(기본자료에는 있음)","명단에 없음"),"동명이인 확인"))))</f>
        <v/>
      </c>
      <c r="Z1115">
        <f>IF($R1115="","",IF($S1115&lt;0,"⚠"&amp;INDEX('입력_구리근무자명단'!$A1113:$ZZ1113,1,$E$2+2),TEXT($S1115,"yyyy-mm-dd")))</f>
        <v/>
      </c>
      <c r="AA1115">
        <f>IF($R1115="","",IF($T1115&lt;0,"⚠"&amp;INDEX('입력_구리근무자명단'!$A1113:$ZZ1113,1,$E$2+3),TEXT($T1115,"yyyy-mm-dd")))</f>
        <v/>
      </c>
      <c r="AB1115">
        <f>AB1114+IF($R1115="",0,1)</f>
        <v/>
      </c>
      <c r="AC1115">
        <f>IF($R1115="","",$AB1115)</f>
        <v/>
      </c>
    </row>
    <row r="1116">
      <c r="O1116">
        <f>1114</f>
        <v/>
      </c>
      <c r="P1116">
        <f>IF(TRIM('입력_구리근무자명단'!$A1114&amp;"")&lt;&gt;"",TRIM('입력_구리근무자명단'!$A1114&amp;""),P1115)</f>
        <v/>
      </c>
      <c r="Q1116">
        <f>'입력_구리근무자명단'!$B1114&amp;""</f>
        <v/>
      </c>
      <c r="R1116">
        <f>IF($E$2="","",TRIM(INDEX('입력_구리근무자명단'!$A1114:$ZZ1114,1,$E$2+IF($G$2="확정",1,0))&amp;""))</f>
        <v/>
      </c>
      <c r="S1116">
        <f>IF($R1116="","",IF(INDEX('입력_구리근무자명단'!$A1114:$ZZ1114,1,$E$2+2)&amp;""="",급여기준월,IF(ISNUMBER(INDEX('입력_구리근무자명단'!$A1114:$ZZ1114,1,$E$2+2)),INDEX('입력_구리근무자명단'!$A1114:$ZZ1114,1,$E$2+2),IFERROR(DATE(VALUE(LEFT(INDEX('입력_구리근무자명단'!$A1114:$ZZ1114,1,$E$2+2),4)),VALUE(MID(INDEX('입력_구리근무자명단'!$A1114:$ZZ1114,1,$E$2+2),6,2)),VALUE(MID(INDEX('입력_구리근무자명단'!$A1114:$ZZ1114,1,$E$2+2),9,2))),-1))))</f>
        <v/>
      </c>
      <c r="T1116">
        <f>IF($R1116="","",IF(INDEX('입력_구리근무자명단'!$A1114:$ZZ1114,1,$E$2+3)&amp;""="",EOMONTH(급여기준월,0),IF(ISNUMBER(INDEX('입력_구리근무자명단'!$A1114:$ZZ1114,1,$E$2+3)),INDEX('입력_구리근무자명단'!$A1114:$ZZ1114,1,$E$2+3),IFERROR(DATE(VALUE(LEFT(INDEX('입력_구리근무자명단'!$A1114:$ZZ1114,1,$E$2+3),4)),VALUE(MID(INDEX('입력_구리근무자명단'!$A1114:$ZZ1114,1,$E$2+3),6,2)),VALUE(MID(INDEX('입력_구리근무자명단'!$A1114:$ZZ1114,1,$E$2+3),9,2))),-1))))</f>
        <v/>
      </c>
      <c r="U1116">
        <f>IF($R1116="","",IF(OR($S1116&lt;0,$T1116&lt;0),0,MAX(0,MIN($T1116,EOMONTH(급여기준월,0))-MAX($S1116,급여기준월)+1)))</f>
        <v/>
      </c>
      <c r="V1116">
        <f>IF($R1116="","",TRIM(INDEX('입력_구리근무자명단'!$A1114:$ZZ1114,1,$E$2+5)&amp;""))</f>
        <v/>
      </c>
      <c r="W1116">
        <f>IF(ISNUMBER(SEARCH("구리독자",$V1116)),"구리독자","")</f>
        <v/>
      </c>
      <c r="X1116">
        <f>IF($R1116="","",$R1116&amp;"|"&amp;IF(OR($Q1116="인턴",ISNUMBER(SEARCH("수련교육부",$P1116))),"인턴",$P1116))</f>
        <v/>
      </c>
      <c r="Y1116">
        <f>IF($R1116="","",IF(COUNTIF(명단표[이름|과],$X1116)=1,"명단 일치",IF(AND(COUNTIF(명단표[이름|과],$X1116)=0,COUNTIF(명단표[이름],$R1116)=1),"명단 일치(이름만, 과 다름)",IF(COUNTIF(명단표[이름],$R1116)=0,IF(COUNTIF(기본자료표[이름],$R1116)&gt;0,"명단에 없음(기본자료에는 있음)","명단에 없음"),"동명이인 확인"))))</f>
        <v/>
      </c>
      <c r="Z1116">
        <f>IF($R1116="","",IF($S1116&lt;0,"⚠"&amp;INDEX('입력_구리근무자명단'!$A1114:$ZZ1114,1,$E$2+2),TEXT($S1116,"yyyy-mm-dd")))</f>
        <v/>
      </c>
      <c r="AA1116">
        <f>IF($R1116="","",IF($T1116&lt;0,"⚠"&amp;INDEX('입력_구리근무자명단'!$A1114:$ZZ1114,1,$E$2+3),TEXT($T1116,"yyyy-mm-dd")))</f>
        <v/>
      </c>
      <c r="AB1116">
        <f>AB1115+IF($R1116="",0,1)</f>
        <v/>
      </c>
      <c r="AC1116">
        <f>IF($R1116="","",$AB1116)</f>
        <v/>
      </c>
    </row>
    <row r="1117">
      <c r="O1117">
        <f>1115</f>
        <v/>
      </c>
      <c r="P1117">
        <f>IF(TRIM('입력_구리근무자명단'!$A1115&amp;"")&lt;&gt;"",TRIM('입력_구리근무자명단'!$A1115&amp;""),P1116)</f>
        <v/>
      </c>
      <c r="Q1117">
        <f>'입력_구리근무자명단'!$B1115&amp;""</f>
        <v/>
      </c>
      <c r="R1117">
        <f>IF($E$2="","",TRIM(INDEX('입력_구리근무자명단'!$A1115:$ZZ1115,1,$E$2+IF($G$2="확정",1,0))&amp;""))</f>
        <v/>
      </c>
      <c r="S1117">
        <f>IF($R1117="","",IF(INDEX('입력_구리근무자명단'!$A1115:$ZZ1115,1,$E$2+2)&amp;""="",급여기준월,IF(ISNUMBER(INDEX('입력_구리근무자명단'!$A1115:$ZZ1115,1,$E$2+2)),INDEX('입력_구리근무자명단'!$A1115:$ZZ1115,1,$E$2+2),IFERROR(DATE(VALUE(LEFT(INDEX('입력_구리근무자명단'!$A1115:$ZZ1115,1,$E$2+2),4)),VALUE(MID(INDEX('입력_구리근무자명단'!$A1115:$ZZ1115,1,$E$2+2),6,2)),VALUE(MID(INDEX('입력_구리근무자명단'!$A1115:$ZZ1115,1,$E$2+2),9,2))),-1))))</f>
        <v/>
      </c>
      <c r="T1117">
        <f>IF($R1117="","",IF(INDEX('입력_구리근무자명단'!$A1115:$ZZ1115,1,$E$2+3)&amp;""="",EOMONTH(급여기준월,0),IF(ISNUMBER(INDEX('입력_구리근무자명단'!$A1115:$ZZ1115,1,$E$2+3)),INDEX('입력_구리근무자명단'!$A1115:$ZZ1115,1,$E$2+3),IFERROR(DATE(VALUE(LEFT(INDEX('입력_구리근무자명단'!$A1115:$ZZ1115,1,$E$2+3),4)),VALUE(MID(INDEX('입력_구리근무자명단'!$A1115:$ZZ1115,1,$E$2+3),6,2)),VALUE(MID(INDEX('입력_구리근무자명단'!$A1115:$ZZ1115,1,$E$2+3),9,2))),-1))))</f>
        <v/>
      </c>
      <c r="U1117">
        <f>IF($R1117="","",IF(OR($S1117&lt;0,$T1117&lt;0),0,MAX(0,MIN($T1117,EOMONTH(급여기준월,0))-MAX($S1117,급여기준월)+1)))</f>
        <v/>
      </c>
      <c r="V1117">
        <f>IF($R1117="","",TRIM(INDEX('입력_구리근무자명단'!$A1115:$ZZ1115,1,$E$2+5)&amp;""))</f>
        <v/>
      </c>
      <c r="W1117">
        <f>IF(ISNUMBER(SEARCH("구리독자",$V1117)),"구리독자","")</f>
        <v/>
      </c>
      <c r="X1117">
        <f>IF($R1117="","",$R1117&amp;"|"&amp;IF(OR($Q1117="인턴",ISNUMBER(SEARCH("수련교육부",$P1117))),"인턴",$P1117))</f>
        <v/>
      </c>
      <c r="Y1117">
        <f>IF($R1117="","",IF(COUNTIF(명단표[이름|과],$X1117)=1,"명단 일치",IF(AND(COUNTIF(명단표[이름|과],$X1117)=0,COUNTIF(명단표[이름],$R1117)=1),"명단 일치(이름만, 과 다름)",IF(COUNTIF(명단표[이름],$R1117)=0,IF(COUNTIF(기본자료표[이름],$R1117)&gt;0,"명단에 없음(기본자료에는 있음)","명단에 없음"),"동명이인 확인"))))</f>
        <v/>
      </c>
      <c r="Z1117">
        <f>IF($R1117="","",IF($S1117&lt;0,"⚠"&amp;INDEX('입력_구리근무자명단'!$A1115:$ZZ1115,1,$E$2+2),TEXT($S1117,"yyyy-mm-dd")))</f>
        <v/>
      </c>
      <c r="AA1117">
        <f>IF($R1117="","",IF($T1117&lt;0,"⚠"&amp;INDEX('입력_구리근무자명단'!$A1115:$ZZ1115,1,$E$2+3),TEXT($T1117,"yyyy-mm-dd")))</f>
        <v/>
      </c>
      <c r="AB1117">
        <f>AB1116+IF($R1117="",0,1)</f>
        <v/>
      </c>
      <c r="AC1117">
        <f>IF($R1117="","",$AB1117)</f>
        <v/>
      </c>
    </row>
    <row r="1118">
      <c r="O1118">
        <f>1116</f>
        <v/>
      </c>
      <c r="P1118">
        <f>IF(TRIM('입력_구리근무자명단'!$A1116&amp;"")&lt;&gt;"",TRIM('입력_구리근무자명단'!$A1116&amp;""),P1117)</f>
        <v/>
      </c>
      <c r="Q1118">
        <f>'입력_구리근무자명단'!$B1116&amp;""</f>
        <v/>
      </c>
      <c r="R1118">
        <f>IF($E$2="","",TRIM(INDEX('입력_구리근무자명단'!$A1116:$ZZ1116,1,$E$2+IF($G$2="확정",1,0))&amp;""))</f>
        <v/>
      </c>
      <c r="S1118">
        <f>IF($R1118="","",IF(INDEX('입력_구리근무자명단'!$A1116:$ZZ1116,1,$E$2+2)&amp;""="",급여기준월,IF(ISNUMBER(INDEX('입력_구리근무자명단'!$A1116:$ZZ1116,1,$E$2+2)),INDEX('입력_구리근무자명단'!$A1116:$ZZ1116,1,$E$2+2),IFERROR(DATE(VALUE(LEFT(INDEX('입력_구리근무자명단'!$A1116:$ZZ1116,1,$E$2+2),4)),VALUE(MID(INDEX('입력_구리근무자명단'!$A1116:$ZZ1116,1,$E$2+2),6,2)),VALUE(MID(INDEX('입력_구리근무자명단'!$A1116:$ZZ1116,1,$E$2+2),9,2))),-1))))</f>
        <v/>
      </c>
      <c r="T1118">
        <f>IF($R1118="","",IF(INDEX('입력_구리근무자명단'!$A1116:$ZZ1116,1,$E$2+3)&amp;""="",EOMONTH(급여기준월,0),IF(ISNUMBER(INDEX('입력_구리근무자명단'!$A1116:$ZZ1116,1,$E$2+3)),INDEX('입력_구리근무자명단'!$A1116:$ZZ1116,1,$E$2+3),IFERROR(DATE(VALUE(LEFT(INDEX('입력_구리근무자명단'!$A1116:$ZZ1116,1,$E$2+3),4)),VALUE(MID(INDEX('입력_구리근무자명단'!$A1116:$ZZ1116,1,$E$2+3),6,2)),VALUE(MID(INDEX('입력_구리근무자명단'!$A1116:$ZZ1116,1,$E$2+3),9,2))),-1))))</f>
        <v/>
      </c>
      <c r="U1118">
        <f>IF($R1118="","",IF(OR($S1118&lt;0,$T1118&lt;0),0,MAX(0,MIN($T1118,EOMONTH(급여기준월,0))-MAX($S1118,급여기준월)+1)))</f>
        <v/>
      </c>
      <c r="V1118">
        <f>IF($R1118="","",TRIM(INDEX('입력_구리근무자명단'!$A1116:$ZZ1116,1,$E$2+5)&amp;""))</f>
        <v/>
      </c>
      <c r="W1118">
        <f>IF(ISNUMBER(SEARCH("구리독자",$V1118)),"구리독자","")</f>
        <v/>
      </c>
      <c r="X1118">
        <f>IF($R1118="","",$R1118&amp;"|"&amp;IF(OR($Q1118="인턴",ISNUMBER(SEARCH("수련교육부",$P1118))),"인턴",$P1118))</f>
        <v/>
      </c>
      <c r="Y1118">
        <f>IF($R1118="","",IF(COUNTIF(명단표[이름|과],$X1118)=1,"명단 일치",IF(AND(COUNTIF(명단표[이름|과],$X1118)=0,COUNTIF(명단표[이름],$R1118)=1),"명단 일치(이름만, 과 다름)",IF(COUNTIF(명단표[이름],$R1118)=0,IF(COUNTIF(기본자료표[이름],$R1118)&gt;0,"명단에 없음(기본자료에는 있음)","명단에 없음"),"동명이인 확인"))))</f>
        <v/>
      </c>
      <c r="Z1118">
        <f>IF($R1118="","",IF($S1118&lt;0,"⚠"&amp;INDEX('입력_구리근무자명단'!$A1116:$ZZ1116,1,$E$2+2),TEXT($S1118,"yyyy-mm-dd")))</f>
        <v/>
      </c>
      <c r="AA1118">
        <f>IF($R1118="","",IF($T1118&lt;0,"⚠"&amp;INDEX('입력_구리근무자명단'!$A1116:$ZZ1116,1,$E$2+3),TEXT($T1118,"yyyy-mm-dd")))</f>
        <v/>
      </c>
      <c r="AB1118">
        <f>AB1117+IF($R1118="",0,1)</f>
        <v/>
      </c>
      <c r="AC1118">
        <f>IF($R1118="","",$AB1118)</f>
        <v/>
      </c>
    </row>
    <row r="1119">
      <c r="O1119">
        <f>1117</f>
        <v/>
      </c>
      <c r="P1119">
        <f>IF(TRIM('입력_구리근무자명단'!$A1117&amp;"")&lt;&gt;"",TRIM('입력_구리근무자명단'!$A1117&amp;""),P1118)</f>
        <v/>
      </c>
      <c r="Q1119">
        <f>'입력_구리근무자명단'!$B1117&amp;""</f>
        <v/>
      </c>
      <c r="R1119">
        <f>IF($E$2="","",TRIM(INDEX('입력_구리근무자명단'!$A1117:$ZZ1117,1,$E$2+IF($G$2="확정",1,0))&amp;""))</f>
        <v/>
      </c>
      <c r="S1119">
        <f>IF($R1119="","",IF(INDEX('입력_구리근무자명단'!$A1117:$ZZ1117,1,$E$2+2)&amp;""="",급여기준월,IF(ISNUMBER(INDEX('입력_구리근무자명단'!$A1117:$ZZ1117,1,$E$2+2)),INDEX('입력_구리근무자명단'!$A1117:$ZZ1117,1,$E$2+2),IFERROR(DATE(VALUE(LEFT(INDEX('입력_구리근무자명단'!$A1117:$ZZ1117,1,$E$2+2),4)),VALUE(MID(INDEX('입력_구리근무자명단'!$A1117:$ZZ1117,1,$E$2+2),6,2)),VALUE(MID(INDEX('입력_구리근무자명단'!$A1117:$ZZ1117,1,$E$2+2),9,2))),-1))))</f>
        <v/>
      </c>
      <c r="T1119">
        <f>IF($R1119="","",IF(INDEX('입력_구리근무자명단'!$A1117:$ZZ1117,1,$E$2+3)&amp;""="",EOMONTH(급여기준월,0),IF(ISNUMBER(INDEX('입력_구리근무자명단'!$A1117:$ZZ1117,1,$E$2+3)),INDEX('입력_구리근무자명단'!$A1117:$ZZ1117,1,$E$2+3),IFERROR(DATE(VALUE(LEFT(INDEX('입력_구리근무자명단'!$A1117:$ZZ1117,1,$E$2+3),4)),VALUE(MID(INDEX('입력_구리근무자명단'!$A1117:$ZZ1117,1,$E$2+3),6,2)),VALUE(MID(INDEX('입력_구리근무자명단'!$A1117:$ZZ1117,1,$E$2+3),9,2))),-1))))</f>
        <v/>
      </c>
      <c r="U1119">
        <f>IF($R1119="","",IF(OR($S1119&lt;0,$T1119&lt;0),0,MAX(0,MIN($T1119,EOMONTH(급여기준월,0))-MAX($S1119,급여기준월)+1)))</f>
        <v/>
      </c>
      <c r="V1119">
        <f>IF($R1119="","",TRIM(INDEX('입력_구리근무자명단'!$A1117:$ZZ1117,1,$E$2+5)&amp;""))</f>
        <v/>
      </c>
      <c r="W1119">
        <f>IF(ISNUMBER(SEARCH("구리독자",$V1119)),"구리독자","")</f>
        <v/>
      </c>
      <c r="X1119">
        <f>IF($R1119="","",$R1119&amp;"|"&amp;IF(OR($Q1119="인턴",ISNUMBER(SEARCH("수련교육부",$P1119))),"인턴",$P1119))</f>
        <v/>
      </c>
      <c r="Y1119">
        <f>IF($R1119="","",IF(COUNTIF(명단표[이름|과],$X1119)=1,"명단 일치",IF(AND(COUNTIF(명단표[이름|과],$X1119)=0,COUNTIF(명단표[이름],$R1119)=1),"명단 일치(이름만, 과 다름)",IF(COUNTIF(명단표[이름],$R1119)=0,IF(COUNTIF(기본자료표[이름],$R1119)&gt;0,"명단에 없음(기본자료에는 있음)","명단에 없음"),"동명이인 확인"))))</f>
        <v/>
      </c>
      <c r="Z1119">
        <f>IF($R1119="","",IF($S1119&lt;0,"⚠"&amp;INDEX('입력_구리근무자명단'!$A1117:$ZZ1117,1,$E$2+2),TEXT($S1119,"yyyy-mm-dd")))</f>
        <v/>
      </c>
      <c r="AA1119">
        <f>IF($R1119="","",IF($T1119&lt;0,"⚠"&amp;INDEX('입력_구리근무자명단'!$A1117:$ZZ1117,1,$E$2+3),TEXT($T1119,"yyyy-mm-dd")))</f>
        <v/>
      </c>
      <c r="AB1119">
        <f>AB1118+IF($R1119="",0,1)</f>
        <v/>
      </c>
      <c r="AC1119">
        <f>IF($R1119="","",$AB1119)</f>
        <v/>
      </c>
    </row>
    <row r="1120">
      <c r="O1120">
        <f>1118</f>
        <v/>
      </c>
      <c r="P1120">
        <f>IF(TRIM('입력_구리근무자명단'!$A1118&amp;"")&lt;&gt;"",TRIM('입력_구리근무자명단'!$A1118&amp;""),P1119)</f>
        <v/>
      </c>
      <c r="Q1120">
        <f>'입력_구리근무자명단'!$B1118&amp;""</f>
        <v/>
      </c>
      <c r="R1120">
        <f>IF($E$2="","",TRIM(INDEX('입력_구리근무자명단'!$A1118:$ZZ1118,1,$E$2+IF($G$2="확정",1,0))&amp;""))</f>
        <v/>
      </c>
      <c r="S1120">
        <f>IF($R1120="","",IF(INDEX('입력_구리근무자명단'!$A1118:$ZZ1118,1,$E$2+2)&amp;""="",급여기준월,IF(ISNUMBER(INDEX('입력_구리근무자명단'!$A1118:$ZZ1118,1,$E$2+2)),INDEX('입력_구리근무자명단'!$A1118:$ZZ1118,1,$E$2+2),IFERROR(DATE(VALUE(LEFT(INDEX('입력_구리근무자명단'!$A1118:$ZZ1118,1,$E$2+2),4)),VALUE(MID(INDEX('입력_구리근무자명단'!$A1118:$ZZ1118,1,$E$2+2),6,2)),VALUE(MID(INDEX('입력_구리근무자명단'!$A1118:$ZZ1118,1,$E$2+2),9,2))),-1))))</f>
        <v/>
      </c>
      <c r="T1120">
        <f>IF($R1120="","",IF(INDEX('입력_구리근무자명단'!$A1118:$ZZ1118,1,$E$2+3)&amp;""="",EOMONTH(급여기준월,0),IF(ISNUMBER(INDEX('입력_구리근무자명단'!$A1118:$ZZ1118,1,$E$2+3)),INDEX('입력_구리근무자명단'!$A1118:$ZZ1118,1,$E$2+3),IFERROR(DATE(VALUE(LEFT(INDEX('입력_구리근무자명단'!$A1118:$ZZ1118,1,$E$2+3),4)),VALUE(MID(INDEX('입력_구리근무자명단'!$A1118:$ZZ1118,1,$E$2+3),6,2)),VALUE(MID(INDEX('입력_구리근무자명단'!$A1118:$ZZ1118,1,$E$2+3),9,2))),-1))))</f>
        <v/>
      </c>
      <c r="U1120">
        <f>IF($R1120="","",IF(OR($S1120&lt;0,$T1120&lt;0),0,MAX(0,MIN($T1120,EOMONTH(급여기준월,0))-MAX($S1120,급여기준월)+1)))</f>
        <v/>
      </c>
      <c r="V1120">
        <f>IF($R1120="","",TRIM(INDEX('입력_구리근무자명단'!$A1118:$ZZ1118,1,$E$2+5)&amp;""))</f>
        <v/>
      </c>
      <c r="W1120">
        <f>IF(ISNUMBER(SEARCH("구리독자",$V1120)),"구리독자","")</f>
        <v/>
      </c>
      <c r="X1120">
        <f>IF($R1120="","",$R1120&amp;"|"&amp;IF(OR($Q1120="인턴",ISNUMBER(SEARCH("수련교육부",$P1120))),"인턴",$P1120))</f>
        <v/>
      </c>
      <c r="Y1120">
        <f>IF($R1120="","",IF(COUNTIF(명단표[이름|과],$X1120)=1,"명단 일치",IF(AND(COUNTIF(명단표[이름|과],$X1120)=0,COUNTIF(명단표[이름],$R1120)=1),"명단 일치(이름만, 과 다름)",IF(COUNTIF(명단표[이름],$R1120)=0,IF(COUNTIF(기본자료표[이름],$R1120)&gt;0,"명단에 없음(기본자료에는 있음)","명단에 없음"),"동명이인 확인"))))</f>
        <v/>
      </c>
      <c r="Z1120">
        <f>IF($R1120="","",IF($S1120&lt;0,"⚠"&amp;INDEX('입력_구리근무자명단'!$A1118:$ZZ1118,1,$E$2+2),TEXT($S1120,"yyyy-mm-dd")))</f>
        <v/>
      </c>
      <c r="AA1120">
        <f>IF($R1120="","",IF($T1120&lt;0,"⚠"&amp;INDEX('입력_구리근무자명단'!$A1118:$ZZ1118,1,$E$2+3),TEXT($T1120,"yyyy-mm-dd")))</f>
        <v/>
      </c>
      <c r="AB1120">
        <f>AB1119+IF($R1120="",0,1)</f>
        <v/>
      </c>
      <c r="AC1120">
        <f>IF($R1120="","",$AB1120)</f>
        <v/>
      </c>
    </row>
    <row r="1121">
      <c r="O1121">
        <f>1119</f>
        <v/>
      </c>
      <c r="P1121">
        <f>IF(TRIM('입력_구리근무자명단'!$A1119&amp;"")&lt;&gt;"",TRIM('입력_구리근무자명단'!$A1119&amp;""),P1120)</f>
        <v/>
      </c>
      <c r="Q1121">
        <f>'입력_구리근무자명단'!$B1119&amp;""</f>
        <v/>
      </c>
      <c r="R1121">
        <f>IF($E$2="","",TRIM(INDEX('입력_구리근무자명단'!$A1119:$ZZ1119,1,$E$2+IF($G$2="확정",1,0))&amp;""))</f>
        <v/>
      </c>
      <c r="S1121">
        <f>IF($R1121="","",IF(INDEX('입력_구리근무자명단'!$A1119:$ZZ1119,1,$E$2+2)&amp;""="",급여기준월,IF(ISNUMBER(INDEX('입력_구리근무자명단'!$A1119:$ZZ1119,1,$E$2+2)),INDEX('입력_구리근무자명단'!$A1119:$ZZ1119,1,$E$2+2),IFERROR(DATE(VALUE(LEFT(INDEX('입력_구리근무자명단'!$A1119:$ZZ1119,1,$E$2+2),4)),VALUE(MID(INDEX('입력_구리근무자명단'!$A1119:$ZZ1119,1,$E$2+2),6,2)),VALUE(MID(INDEX('입력_구리근무자명단'!$A1119:$ZZ1119,1,$E$2+2),9,2))),-1))))</f>
        <v/>
      </c>
      <c r="T1121">
        <f>IF($R1121="","",IF(INDEX('입력_구리근무자명단'!$A1119:$ZZ1119,1,$E$2+3)&amp;""="",EOMONTH(급여기준월,0),IF(ISNUMBER(INDEX('입력_구리근무자명단'!$A1119:$ZZ1119,1,$E$2+3)),INDEX('입력_구리근무자명단'!$A1119:$ZZ1119,1,$E$2+3),IFERROR(DATE(VALUE(LEFT(INDEX('입력_구리근무자명단'!$A1119:$ZZ1119,1,$E$2+3),4)),VALUE(MID(INDEX('입력_구리근무자명단'!$A1119:$ZZ1119,1,$E$2+3),6,2)),VALUE(MID(INDEX('입력_구리근무자명단'!$A1119:$ZZ1119,1,$E$2+3),9,2))),-1))))</f>
        <v/>
      </c>
      <c r="U1121">
        <f>IF($R1121="","",IF(OR($S1121&lt;0,$T1121&lt;0),0,MAX(0,MIN($T1121,EOMONTH(급여기준월,0))-MAX($S1121,급여기준월)+1)))</f>
        <v/>
      </c>
      <c r="V1121">
        <f>IF($R1121="","",TRIM(INDEX('입력_구리근무자명단'!$A1119:$ZZ1119,1,$E$2+5)&amp;""))</f>
        <v/>
      </c>
      <c r="W1121">
        <f>IF(ISNUMBER(SEARCH("구리독자",$V1121)),"구리독자","")</f>
        <v/>
      </c>
      <c r="X1121">
        <f>IF($R1121="","",$R1121&amp;"|"&amp;IF(OR($Q1121="인턴",ISNUMBER(SEARCH("수련교육부",$P1121))),"인턴",$P1121))</f>
        <v/>
      </c>
      <c r="Y1121">
        <f>IF($R1121="","",IF(COUNTIF(명단표[이름|과],$X1121)=1,"명단 일치",IF(AND(COUNTIF(명단표[이름|과],$X1121)=0,COUNTIF(명단표[이름],$R1121)=1),"명단 일치(이름만, 과 다름)",IF(COUNTIF(명단표[이름],$R1121)=0,IF(COUNTIF(기본자료표[이름],$R1121)&gt;0,"명단에 없음(기본자료에는 있음)","명단에 없음"),"동명이인 확인"))))</f>
        <v/>
      </c>
      <c r="Z1121">
        <f>IF($R1121="","",IF($S1121&lt;0,"⚠"&amp;INDEX('입력_구리근무자명단'!$A1119:$ZZ1119,1,$E$2+2),TEXT($S1121,"yyyy-mm-dd")))</f>
        <v/>
      </c>
      <c r="AA1121">
        <f>IF($R1121="","",IF($T1121&lt;0,"⚠"&amp;INDEX('입력_구리근무자명단'!$A1119:$ZZ1119,1,$E$2+3),TEXT($T1121,"yyyy-mm-dd")))</f>
        <v/>
      </c>
      <c r="AB1121">
        <f>AB1120+IF($R1121="",0,1)</f>
        <v/>
      </c>
      <c r="AC1121">
        <f>IF($R1121="","",$AB1121)</f>
        <v/>
      </c>
    </row>
    <row r="1122">
      <c r="O1122">
        <f>1120</f>
        <v/>
      </c>
      <c r="P1122">
        <f>IF(TRIM('입력_구리근무자명단'!$A1120&amp;"")&lt;&gt;"",TRIM('입력_구리근무자명단'!$A1120&amp;""),P1121)</f>
        <v/>
      </c>
      <c r="Q1122">
        <f>'입력_구리근무자명단'!$B1120&amp;""</f>
        <v/>
      </c>
      <c r="R1122">
        <f>IF($E$2="","",TRIM(INDEX('입력_구리근무자명단'!$A1120:$ZZ1120,1,$E$2+IF($G$2="확정",1,0))&amp;""))</f>
        <v/>
      </c>
      <c r="S1122">
        <f>IF($R1122="","",IF(INDEX('입력_구리근무자명단'!$A1120:$ZZ1120,1,$E$2+2)&amp;""="",급여기준월,IF(ISNUMBER(INDEX('입력_구리근무자명단'!$A1120:$ZZ1120,1,$E$2+2)),INDEX('입력_구리근무자명단'!$A1120:$ZZ1120,1,$E$2+2),IFERROR(DATE(VALUE(LEFT(INDEX('입력_구리근무자명단'!$A1120:$ZZ1120,1,$E$2+2),4)),VALUE(MID(INDEX('입력_구리근무자명단'!$A1120:$ZZ1120,1,$E$2+2),6,2)),VALUE(MID(INDEX('입력_구리근무자명단'!$A1120:$ZZ1120,1,$E$2+2),9,2))),-1))))</f>
        <v/>
      </c>
      <c r="T1122">
        <f>IF($R1122="","",IF(INDEX('입력_구리근무자명단'!$A1120:$ZZ1120,1,$E$2+3)&amp;""="",EOMONTH(급여기준월,0),IF(ISNUMBER(INDEX('입력_구리근무자명단'!$A1120:$ZZ1120,1,$E$2+3)),INDEX('입력_구리근무자명단'!$A1120:$ZZ1120,1,$E$2+3),IFERROR(DATE(VALUE(LEFT(INDEX('입력_구리근무자명단'!$A1120:$ZZ1120,1,$E$2+3),4)),VALUE(MID(INDEX('입력_구리근무자명단'!$A1120:$ZZ1120,1,$E$2+3),6,2)),VALUE(MID(INDEX('입력_구리근무자명단'!$A1120:$ZZ1120,1,$E$2+3),9,2))),-1))))</f>
        <v/>
      </c>
      <c r="U1122">
        <f>IF($R1122="","",IF(OR($S1122&lt;0,$T1122&lt;0),0,MAX(0,MIN($T1122,EOMONTH(급여기준월,0))-MAX($S1122,급여기준월)+1)))</f>
        <v/>
      </c>
      <c r="V1122">
        <f>IF($R1122="","",TRIM(INDEX('입력_구리근무자명단'!$A1120:$ZZ1120,1,$E$2+5)&amp;""))</f>
        <v/>
      </c>
      <c r="W1122">
        <f>IF(ISNUMBER(SEARCH("구리독자",$V1122)),"구리독자","")</f>
        <v/>
      </c>
      <c r="X1122">
        <f>IF($R1122="","",$R1122&amp;"|"&amp;IF(OR($Q1122="인턴",ISNUMBER(SEARCH("수련교육부",$P1122))),"인턴",$P1122))</f>
        <v/>
      </c>
      <c r="Y1122">
        <f>IF($R1122="","",IF(COUNTIF(명단표[이름|과],$X1122)=1,"명단 일치",IF(AND(COUNTIF(명단표[이름|과],$X1122)=0,COUNTIF(명단표[이름],$R1122)=1),"명단 일치(이름만, 과 다름)",IF(COUNTIF(명단표[이름],$R1122)=0,IF(COUNTIF(기본자료표[이름],$R1122)&gt;0,"명단에 없음(기본자료에는 있음)","명단에 없음"),"동명이인 확인"))))</f>
        <v/>
      </c>
      <c r="Z1122">
        <f>IF($R1122="","",IF($S1122&lt;0,"⚠"&amp;INDEX('입력_구리근무자명단'!$A1120:$ZZ1120,1,$E$2+2),TEXT($S1122,"yyyy-mm-dd")))</f>
        <v/>
      </c>
      <c r="AA1122">
        <f>IF($R1122="","",IF($T1122&lt;0,"⚠"&amp;INDEX('입력_구리근무자명단'!$A1120:$ZZ1120,1,$E$2+3),TEXT($T1122,"yyyy-mm-dd")))</f>
        <v/>
      </c>
      <c r="AB1122">
        <f>AB1121+IF($R1122="",0,1)</f>
        <v/>
      </c>
      <c r="AC1122">
        <f>IF($R1122="","",$AB1122)</f>
        <v/>
      </c>
    </row>
    <row r="1123">
      <c r="O1123">
        <f>1121</f>
        <v/>
      </c>
      <c r="P1123">
        <f>IF(TRIM('입력_구리근무자명단'!$A1121&amp;"")&lt;&gt;"",TRIM('입력_구리근무자명단'!$A1121&amp;""),P1122)</f>
        <v/>
      </c>
      <c r="Q1123">
        <f>'입력_구리근무자명단'!$B1121&amp;""</f>
        <v/>
      </c>
      <c r="R1123">
        <f>IF($E$2="","",TRIM(INDEX('입력_구리근무자명단'!$A1121:$ZZ1121,1,$E$2+IF($G$2="확정",1,0))&amp;""))</f>
        <v/>
      </c>
      <c r="S1123">
        <f>IF($R1123="","",IF(INDEX('입력_구리근무자명단'!$A1121:$ZZ1121,1,$E$2+2)&amp;""="",급여기준월,IF(ISNUMBER(INDEX('입력_구리근무자명단'!$A1121:$ZZ1121,1,$E$2+2)),INDEX('입력_구리근무자명단'!$A1121:$ZZ1121,1,$E$2+2),IFERROR(DATE(VALUE(LEFT(INDEX('입력_구리근무자명단'!$A1121:$ZZ1121,1,$E$2+2),4)),VALUE(MID(INDEX('입력_구리근무자명단'!$A1121:$ZZ1121,1,$E$2+2),6,2)),VALUE(MID(INDEX('입력_구리근무자명단'!$A1121:$ZZ1121,1,$E$2+2),9,2))),-1))))</f>
        <v/>
      </c>
      <c r="T1123">
        <f>IF($R1123="","",IF(INDEX('입력_구리근무자명단'!$A1121:$ZZ1121,1,$E$2+3)&amp;""="",EOMONTH(급여기준월,0),IF(ISNUMBER(INDEX('입력_구리근무자명단'!$A1121:$ZZ1121,1,$E$2+3)),INDEX('입력_구리근무자명단'!$A1121:$ZZ1121,1,$E$2+3),IFERROR(DATE(VALUE(LEFT(INDEX('입력_구리근무자명단'!$A1121:$ZZ1121,1,$E$2+3),4)),VALUE(MID(INDEX('입력_구리근무자명단'!$A1121:$ZZ1121,1,$E$2+3),6,2)),VALUE(MID(INDEX('입력_구리근무자명단'!$A1121:$ZZ1121,1,$E$2+3),9,2))),-1))))</f>
        <v/>
      </c>
      <c r="U1123">
        <f>IF($R1123="","",IF(OR($S1123&lt;0,$T1123&lt;0),0,MAX(0,MIN($T1123,EOMONTH(급여기준월,0))-MAX($S1123,급여기준월)+1)))</f>
        <v/>
      </c>
      <c r="V1123">
        <f>IF($R1123="","",TRIM(INDEX('입력_구리근무자명단'!$A1121:$ZZ1121,1,$E$2+5)&amp;""))</f>
        <v/>
      </c>
      <c r="W1123">
        <f>IF(ISNUMBER(SEARCH("구리독자",$V1123)),"구리독자","")</f>
        <v/>
      </c>
      <c r="X1123">
        <f>IF($R1123="","",$R1123&amp;"|"&amp;IF(OR($Q1123="인턴",ISNUMBER(SEARCH("수련교육부",$P1123))),"인턴",$P1123))</f>
        <v/>
      </c>
      <c r="Y1123">
        <f>IF($R1123="","",IF(COUNTIF(명단표[이름|과],$X1123)=1,"명단 일치",IF(AND(COUNTIF(명단표[이름|과],$X1123)=0,COUNTIF(명단표[이름],$R1123)=1),"명단 일치(이름만, 과 다름)",IF(COUNTIF(명단표[이름],$R1123)=0,IF(COUNTIF(기본자료표[이름],$R1123)&gt;0,"명단에 없음(기본자료에는 있음)","명단에 없음"),"동명이인 확인"))))</f>
        <v/>
      </c>
      <c r="Z1123">
        <f>IF($R1123="","",IF($S1123&lt;0,"⚠"&amp;INDEX('입력_구리근무자명단'!$A1121:$ZZ1121,1,$E$2+2),TEXT($S1123,"yyyy-mm-dd")))</f>
        <v/>
      </c>
      <c r="AA1123">
        <f>IF($R1123="","",IF($T1123&lt;0,"⚠"&amp;INDEX('입력_구리근무자명단'!$A1121:$ZZ1121,1,$E$2+3),TEXT($T1123,"yyyy-mm-dd")))</f>
        <v/>
      </c>
      <c r="AB1123">
        <f>AB1122+IF($R1123="",0,1)</f>
        <v/>
      </c>
      <c r="AC1123">
        <f>IF($R1123="","",$AB1123)</f>
        <v/>
      </c>
    </row>
    <row r="1124">
      <c r="O1124">
        <f>1122</f>
        <v/>
      </c>
      <c r="P1124">
        <f>IF(TRIM('입력_구리근무자명단'!$A1122&amp;"")&lt;&gt;"",TRIM('입력_구리근무자명단'!$A1122&amp;""),P1123)</f>
        <v/>
      </c>
      <c r="Q1124">
        <f>'입력_구리근무자명단'!$B1122&amp;""</f>
        <v/>
      </c>
      <c r="R1124">
        <f>IF($E$2="","",TRIM(INDEX('입력_구리근무자명단'!$A1122:$ZZ1122,1,$E$2+IF($G$2="확정",1,0))&amp;""))</f>
        <v/>
      </c>
      <c r="S1124">
        <f>IF($R1124="","",IF(INDEX('입력_구리근무자명단'!$A1122:$ZZ1122,1,$E$2+2)&amp;""="",급여기준월,IF(ISNUMBER(INDEX('입력_구리근무자명단'!$A1122:$ZZ1122,1,$E$2+2)),INDEX('입력_구리근무자명단'!$A1122:$ZZ1122,1,$E$2+2),IFERROR(DATE(VALUE(LEFT(INDEX('입력_구리근무자명단'!$A1122:$ZZ1122,1,$E$2+2),4)),VALUE(MID(INDEX('입력_구리근무자명단'!$A1122:$ZZ1122,1,$E$2+2),6,2)),VALUE(MID(INDEX('입력_구리근무자명단'!$A1122:$ZZ1122,1,$E$2+2),9,2))),-1))))</f>
        <v/>
      </c>
      <c r="T1124">
        <f>IF($R1124="","",IF(INDEX('입력_구리근무자명단'!$A1122:$ZZ1122,1,$E$2+3)&amp;""="",EOMONTH(급여기준월,0),IF(ISNUMBER(INDEX('입력_구리근무자명단'!$A1122:$ZZ1122,1,$E$2+3)),INDEX('입력_구리근무자명단'!$A1122:$ZZ1122,1,$E$2+3),IFERROR(DATE(VALUE(LEFT(INDEX('입력_구리근무자명단'!$A1122:$ZZ1122,1,$E$2+3),4)),VALUE(MID(INDEX('입력_구리근무자명단'!$A1122:$ZZ1122,1,$E$2+3),6,2)),VALUE(MID(INDEX('입력_구리근무자명단'!$A1122:$ZZ1122,1,$E$2+3),9,2))),-1))))</f>
        <v/>
      </c>
      <c r="U1124">
        <f>IF($R1124="","",IF(OR($S1124&lt;0,$T1124&lt;0),0,MAX(0,MIN($T1124,EOMONTH(급여기준월,0))-MAX($S1124,급여기준월)+1)))</f>
        <v/>
      </c>
      <c r="V1124">
        <f>IF($R1124="","",TRIM(INDEX('입력_구리근무자명단'!$A1122:$ZZ1122,1,$E$2+5)&amp;""))</f>
        <v/>
      </c>
      <c r="W1124">
        <f>IF(ISNUMBER(SEARCH("구리독자",$V1124)),"구리독자","")</f>
        <v/>
      </c>
      <c r="X1124">
        <f>IF($R1124="","",$R1124&amp;"|"&amp;IF(OR($Q1124="인턴",ISNUMBER(SEARCH("수련교육부",$P1124))),"인턴",$P1124))</f>
        <v/>
      </c>
      <c r="Y1124">
        <f>IF($R1124="","",IF(COUNTIF(명단표[이름|과],$X1124)=1,"명단 일치",IF(AND(COUNTIF(명단표[이름|과],$X1124)=0,COUNTIF(명단표[이름],$R1124)=1),"명단 일치(이름만, 과 다름)",IF(COUNTIF(명단표[이름],$R1124)=0,IF(COUNTIF(기본자료표[이름],$R1124)&gt;0,"명단에 없음(기본자료에는 있음)","명단에 없음"),"동명이인 확인"))))</f>
        <v/>
      </c>
      <c r="Z1124">
        <f>IF($R1124="","",IF($S1124&lt;0,"⚠"&amp;INDEX('입력_구리근무자명단'!$A1122:$ZZ1122,1,$E$2+2),TEXT($S1124,"yyyy-mm-dd")))</f>
        <v/>
      </c>
      <c r="AA1124">
        <f>IF($R1124="","",IF($T1124&lt;0,"⚠"&amp;INDEX('입력_구리근무자명단'!$A1122:$ZZ1122,1,$E$2+3),TEXT($T1124,"yyyy-mm-dd")))</f>
        <v/>
      </c>
      <c r="AB1124">
        <f>AB1123+IF($R1124="",0,1)</f>
        <v/>
      </c>
      <c r="AC1124">
        <f>IF($R1124="","",$AB1124)</f>
        <v/>
      </c>
    </row>
    <row r="1125">
      <c r="O1125">
        <f>1123</f>
        <v/>
      </c>
      <c r="P1125">
        <f>IF(TRIM('입력_구리근무자명단'!$A1123&amp;"")&lt;&gt;"",TRIM('입력_구리근무자명단'!$A1123&amp;""),P1124)</f>
        <v/>
      </c>
      <c r="Q1125">
        <f>'입력_구리근무자명단'!$B1123&amp;""</f>
        <v/>
      </c>
      <c r="R1125">
        <f>IF($E$2="","",TRIM(INDEX('입력_구리근무자명단'!$A1123:$ZZ1123,1,$E$2+IF($G$2="확정",1,0))&amp;""))</f>
        <v/>
      </c>
      <c r="S1125">
        <f>IF($R1125="","",IF(INDEX('입력_구리근무자명단'!$A1123:$ZZ1123,1,$E$2+2)&amp;""="",급여기준월,IF(ISNUMBER(INDEX('입력_구리근무자명단'!$A1123:$ZZ1123,1,$E$2+2)),INDEX('입력_구리근무자명단'!$A1123:$ZZ1123,1,$E$2+2),IFERROR(DATE(VALUE(LEFT(INDEX('입력_구리근무자명단'!$A1123:$ZZ1123,1,$E$2+2),4)),VALUE(MID(INDEX('입력_구리근무자명단'!$A1123:$ZZ1123,1,$E$2+2),6,2)),VALUE(MID(INDEX('입력_구리근무자명단'!$A1123:$ZZ1123,1,$E$2+2),9,2))),-1))))</f>
        <v/>
      </c>
      <c r="T1125">
        <f>IF($R1125="","",IF(INDEX('입력_구리근무자명단'!$A1123:$ZZ1123,1,$E$2+3)&amp;""="",EOMONTH(급여기준월,0),IF(ISNUMBER(INDEX('입력_구리근무자명단'!$A1123:$ZZ1123,1,$E$2+3)),INDEX('입력_구리근무자명단'!$A1123:$ZZ1123,1,$E$2+3),IFERROR(DATE(VALUE(LEFT(INDEX('입력_구리근무자명단'!$A1123:$ZZ1123,1,$E$2+3),4)),VALUE(MID(INDEX('입력_구리근무자명단'!$A1123:$ZZ1123,1,$E$2+3),6,2)),VALUE(MID(INDEX('입력_구리근무자명단'!$A1123:$ZZ1123,1,$E$2+3),9,2))),-1))))</f>
        <v/>
      </c>
      <c r="U1125">
        <f>IF($R1125="","",IF(OR($S1125&lt;0,$T1125&lt;0),0,MAX(0,MIN($T1125,EOMONTH(급여기준월,0))-MAX($S1125,급여기준월)+1)))</f>
        <v/>
      </c>
      <c r="V1125">
        <f>IF($R1125="","",TRIM(INDEX('입력_구리근무자명단'!$A1123:$ZZ1123,1,$E$2+5)&amp;""))</f>
        <v/>
      </c>
      <c r="W1125">
        <f>IF(ISNUMBER(SEARCH("구리독자",$V1125)),"구리독자","")</f>
        <v/>
      </c>
      <c r="X1125">
        <f>IF($R1125="","",$R1125&amp;"|"&amp;IF(OR($Q1125="인턴",ISNUMBER(SEARCH("수련교육부",$P1125))),"인턴",$P1125))</f>
        <v/>
      </c>
      <c r="Y1125">
        <f>IF($R1125="","",IF(COUNTIF(명단표[이름|과],$X1125)=1,"명단 일치",IF(AND(COUNTIF(명단표[이름|과],$X1125)=0,COUNTIF(명단표[이름],$R1125)=1),"명단 일치(이름만, 과 다름)",IF(COUNTIF(명단표[이름],$R1125)=0,IF(COUNTIF(기본자료표[이름],$R1125)&gt;0,"명단에 없음(기본자료에는 있음)","명단에 없음"),"동명이인 확인"))))</f>
        <v/>
      </c>
      <c r="Z1125">
        <f>IF($R1125="","",IF($S1125&lt;0,"⚠"&amp;INDEX('입력_구리근무자명단'!$A1123:$ZZ1123,1,$E$2+2),TEXT($S1125,"yyyy-mm-dd")))</f>
        <v/>
      </c>
      <c r="AA1125">
        <f>IF($R1125="","",IF($T1125&lt;0,"⚠"&amp;INDEX('입력_구리근무자명단'!$A1123:$ZZ1123,1,$E$2+3),TEXT($T1125,"yyyy-mm-dd")))</f>
        <v/>
      </c>
      <c r="AB1125">
        <f>AB1124+IF($R1125="",0,1)</f>
        <v/>
      </c>
      <c r="AC1125">
        <f>IF($R1125="","",$AB1125)</f>
        <v/>
      </c>
    </row>
    <row r="1126">
      <c r="O1126">
        <f>1124</f>
        <v/>
      </c>
      <c r="P1126">
        <f>IF(TRIM('입력_구리근무자명단'!$A1124&amp;"")&lt;&gt;"",TRIM('입력_구리근무자명단'!$A1124&amp;""),P1125)</f>
        <v/>
      </c>
      <c r="Q1126">
        <f>'입력_구리근무자명단'!$B1124&amp;""</f>
        <v/>
      </c>
      <c r="R1126">
        <f>IF($E$2="","",TRIM(INDEX('입력_구리근무자명단'!$A1124:$ZZ1124,1,$E$2+IF($G$2="확정",1,0))&amp;""))</f>
        <v/>
      </c>
      <c r="S1126">
        <f>IF($R1126="","",IF(INDEX('입력_구리근무자명단'!$A1124:$ZZ1124,1,$E$2+2)&amp;""="",급여기준월,IF(ISNUMBER(INDEX('입력_구리근무자명단'!$A1124:$ZZ1124,1,$E$2+2)),INDEX('입력_구리근무자명단'!$A1124:$ZZ1124,1,$E$2+2),IFERROR(DATE(VALUE(LEFT(INDEX('입력_구리근무자명단'!$A1124:$ZZ1124,1,$E$2+2),4)),VALUE(MID(INDEX('입력_구리근무자명단'!$A1124:$ZZ1124,1,$E$2+2),6,2)),VALUE(MID(INDEX('입력_구리근무자명단'!$A1124:$ZZ1124,1,$E$2+2),9,2))),-1))))</f>
        <v/>
      </c>
      <c r="T1126">
        <f>IF($R1126="","",IF(INDEX('입력_구리근무자명단'!$A1124:$ZZ1124,1,$E$2+3)&amp;""="",EOMONTH(급여기준월,0),IF(ISNUMBER(INDEX('입력_구리근무자명단'!$A1124:$ZZ1124,1,$E$2+3)),INDEX('입력_구리근무자명단'!$A1124:$ZZ1124,1,$E$2+3),IFERROR(DATE(VALUE(LEFT(INDEX('입력_구리근무자명단'!$A1124:$ZZ1124,1,$E$2+3),4)),VALUE(MID(INDEX('입력_구리근무자명단'!$A1124:$ZZ1124,1,$E$2+3),6,2)),VALUE(MID(INDEX('입력_구리근무자명단'!$A1124:$ZZ1124,1,$E$2+3),9,2))),-1))))</f>
        <v/>
      </c>
      <c r="U1126">
        <f>IF($R1126="","",IF(OR($S1126&lt;0,$T1126&lt;0),0,MAX(0,MIN($T1126,EOMONTH(급여기준월,0))-MAX($S1126,급여기준월)+1)))</f>
        <v/>
      </c>
      <c r="V1126">
        <f>IF($R1126="","",TRIM(INDEX('입력_구리근무자명단'!$A1124:$ZZ1124,1,$E$2+5)&amp;""))</f>
        <v/>
      </c>
      <c r="W1126">
        <f>IF(ISNUMBER(SEARCH("구리독자",$V1126)),"구리독자","")</f>
        <v/>
      </c>
      <c r="X1126">
        <f>IF($R1126="","",$R1126&amp;"|"&amp;IF(OR($Q1126="인턴",ISNUMBER(SEARCH("수련교육부",$P1126))),"인턴",$P1126))</f>
        <v/>
      </c>
      <c r="Y1126">
        <f>IF($R1126="","",IF(COUNTIF(명단표[이름|과],$X1126)=1,"명단 일치",IF(AND(COUNTIF(명단표[이름|과],$X1126)=0,COUNTIF(명단표[이름],$R1126)=1),"명단 일치(이름만, 과 다름)",IF(COUNTIF(명단표[이름],$R1126)=0,IF(COUNTIF(기본자료표[이름],$R1126)&gt;0,"명단에 없음(기본자료에는 있음)","명단에 없음"),"동명이인 확인"))))</f>
        <v/>
      </c>
      <c r="Z1126">
        <f>IF($R1126="","",IF($S1126&lt;0,"⚠"&amp;INDEX('입력_구리근무자명단'!$A1124:$ZZ1124,1,$E$2+2),TEXT($S1126,"yyyy-mm-dd")))</f>
        <v/>
      </c>
      <c r="AA1126">
        <f>IF($R1126="","",IF($T1126&lt;0,"⚠"&amp;INDEX('입력_구리근무자명단'!$A1124:$ZZ1124,1,$E$2+3),TEXT($T1126,"yyyy-mm-dd")))</f>
        <v/>
      </c>
      <c r="AB1126">
        <f>AB1125+IF($R1126="",0,1)</f>
        <v/>
      </c>
      <c r="AC1126">
        <f>IF($R1126="","",$AB1126)</f>
        <v/>
      </c>
    </row>
    <row r="1127">
      <c r="O1127">
        <f>1125</f>
        <v/>
      </c>
      <c r="P1127">
        <f>IF(TRIM('입력_구리근무자명단'!$A1125&amp;"")&lt;&gt;"",TRIM('입력_구리근무자명단'!$A1125&amp;""),P1126)</f>
        <v/>
      </c>
      <c r="Q1127">
        <f>'입력_구리근무자명단'!$B1125&amp;""</f>
        <v/>
      </c>
      <c r="R1127">
        <f>IF($E$2="","",TRIM(INDEX('입력_구리근무자명단'!$A1125:$ZZ1125,1,$E$2+IF($G$2="확정",1,0))&amp;""))</f>
        <v/>
      </c>
      <c r="S1127">
        <f>IF($R1127="","",IF(INDEX('입력_구리근무자명단'!$A1125:$ZZ1125,1,$E$2+2)&amp;""="",급여기준월,IF(ISNUMBER(INDEX('입력_구리근무자명단'!$A1125:$ZZ1125,1,$E$2+2)),INDEX('입력_구리근무자명단'!$A1125:$ZZ1125,1,$E$2+2),IFERROR(DATE(VALUE(LEFT(INDEX('입력_구리근무자명단'!$A1125:$ZZ1125,1,$E$2+2),4)),VALUE(MID(INDEX('입력_구리근무자명단'!$A1125:$ZZ1125,1,$E$2+2),6,2)),VALUE(MID(INDEX('입력_구리근무자명단'!$A1125:$ZZ1125,1,$E$2+2),9,2))),-1))))</f>
        <v/>
      </c>
      <c r="T1127">
        <f>IF($R1127="","",IF(INDEX('입력_구리근무자명단'!$A1125:$ZZ1125,1,$E$2+3)&amp;""="",EOMONTH(급여기준월,0),IF(ISNUMBER(INDEX('입력_구리근무자명단'!$A1125:$ZZ1125,1,$E$2+3)),INDEX('입력_구리근무자명단'!$A1125:$ZZ1125,1,$E$2+3),IFERROR(DATE(VALUE(LEFT(INDEX('입력_구리근무자명단'!$A1125:$ZZ1125,1,$E$2+3),4)),VALUE(MID(INDEX('입력_구리근무자명단'!$A1125:$ZZ1125,1,$E$2+3),6,2)),VALUE(MID(INDEX('입력_구리근무자명단'!$A1125:$ZZ1125,1,$E$2+3),9,2))),-1))))</f>
        <v/>
      </c>
      <c r="U1127">
        <f>IF($R1127="","",IF(OR($S1127&lt;0,$T1127&lt;0),0,MAX(0,MIN($T1127,EOMONTH(급여기준월,0))-MAX($S1127,급여기준월)+1)))</f>
        <v/>
      </c>
      <c r="V1127">
        <f>IF($R1127="","",TRIM(INDEX('입력_구리근무자명단'!$A1125:$ZZ1125,1,$E$2+5)&amp;""))</f>
        <v/>
      </c>
      <c r="W1127">
        <f>IF(ISNUMBER(SEARCH("구리독자",$V1127)),"구리독자","")</f>
        <v/>
      </c>
      <c r="X1127">
        <f>IF($R1127="","",$R1127&amp;"|"&amp;IF(OR($Q1127="인턴",ISNUMBER(SEARCH("수련교육부",$P1127))),"인턴",$P1127))</f>
        <v/>
      </c>
      <c r="Y1127">
        <f>IF($R1127="","",IF(COUNTIF(명단표[이름|과],$X1127)=1,"명단 일치",IF(AND(COUNTIF(명단표[이름|과],$X1127)=0,COUNTIF(명단표[이름],$R1127)=1),"명단 일치(이름만, 과 다름)",IF(COUNTIF(명단표[이름],$R1127)=0,IF(COUNTIF(기본자료표[이름],$R1127)&gt;0,"명단에 없음(기본자료에는 있음)","명단에 없음"),"동명이인 확인"))))</f>
        <v/>
      </c>
      <c r="Z1127">
        <f>IF($R1127="","",IF($S1127&lt;0,"⚠"&amp;INDEX('입력_구리근무자명단'!$A1125:$ZZ1125,1,$E$2+2),TEXT($S1127,"yyyy-mm-dd")))</f>
        <v/>
      </c>
      <c r="AA1127">
        <f>IF($R1127="","",IF($T1127&lt;0,"⚠"&amp;INDEX('입력_구리근무자명단'!$A1125:$ZZ1125,1,$E$2+3),TEXT($T1127,"yyyy-mm-dd")))</f>
        <v/>
      </c>
      <c r="AB1127">
        <f>AB1126+IF($R1127="",0,1)</f>
        <v/>
      </c>
      <c r="AC1127">
        <f>IF($R1127="","",$AB1127)</f>
        <v/>
      </c>
    </row>
    <row r="1128">
      <c r="O1128">
        <f>1126</f>
        <v/>
      </c>
      <c r="P1128">
        <f>IF(TRIM('입력_구리근무자명단'!$A1126&amp;"")&lt;&gt;"",TRIM('입력_구리근무자명단'!$A1126&amp;""),P1127)</f>
        <v/>
      </c>
      <c r="Q1128">
        <f>'입력_구리근무자명단'!$B1126&amp;""</f>
        <v/>
      </c>
      <c r="R1128">
        <f>IF($E$2="","",TRIM(INDEX('입력_구리근무자명단'!$A1126:$ZZ1126,1,$E$2+IF($G$2="확정",1,0))&amp;""))</f>
        <v/>
      </c>
      <c r="S1128">
        <f>IF($R1128="","",IF(INDEX('입력_구리근무자명단'!$A1126:$ZZ1126,1,$E$2+2)&amp;""="",급여기준월,IF(ISNUMBER(INDEX('입력_구리근무자명단'!$A1126:$ZZ1126,1,$E$2+2)),INDEX('입력_구리근무자명단'!$A1126:$ZZ1126,1,$E$2+2),IFERROR(DATE(VALUE(LEFT(INDEX('입력_구리근무자명단'!$A1126:$ZZ1126,1,$E$2+2),4)),VALUE(MID(INDEX('입력_구리근무자명단'!$A1126:$ZZ1126,1,$E$2+2),6,2)),VALUE(MID(INDEX('입력_구리근무자명단'!$A1126:$ZZ1126,1,$E$2+2),9,2))),-1))))</f>
        <v/>
      </c>
      <c r="T1128">
        <f>IF($R1128="","",IF(INDEX('입력_구리근무자명단'!$A1126:$ZZ1126,1,$E$2+3)&amp;""="",EOMONTH(급여기준월,0),IF(ISNUMBER(INDEX('입력_구리근무자명단'!$A1126:$ZZ1126,1,$E$2+3)),INDEX('입력_구리근무자명단'!$A1126:$ZZ1126,1,$E$2+3),IFERROR(DATE(VALUE(LEFT(INDEX('입력_구리근무자명단'!$A1126:$ZZ1126,1,$E$2+3),4)),VALUE(MID(INDEX('입력_구리근무자명단'!$A1126:$ZZ1126,1,$E$2+3),6,2)),VALUE(MID(INDEX('입력_구리근무자명단'!$A1126:$ZZ1126,1,$E$2+3),9,2))),-1))))</f>
        <v/>
      </c>
      <c r="U1128">
        <f>IF($R1128="","",IF(OR($S1128&lt;0,$T1128&lt;0),0,MAX(0,MIN($T1128,EOMONTH(급여기준월,0))-MAX($S1128,급여기준월)+1)))</f>
        <v/>
      </c>
      <c r="V1128">
        <f>IF($R1128="","",TRIM(INDEX('입력_구리근무자명단'!$A1126:$ZZ1126,1,$E$2+5)&amp;""))</f>
        <v/>
      </c>
      <c r="W1128">
        <f>IF(ISNUMBER(SEARCH("구리독자",$V1128)),"구리독자","")</f>
        <v/>
      </c>
      <c r="X1128">
        <f>IF($R1128="","",$R1128&amp;"|"&amp;IF(OR($Q1128="인턴",ISNUMBER(SEARCH("수련교육부",$P1128))),"인턴",$P1128))</f>
        <v/>
      </c>
      <c r="Y1128">
        <f>IF($R1128="","",IF(COUNTIF(명단표[이름|과],$X1128)=1,"명단 일치",IF(AND(COUNTIF(명단표[이름|과],$X1128)=0,COUNTIF(명단표[이름],$R1128)=1),"명단 일치(이름만, 과 다름)",IF(COUNTIF(명단표[이름],$R1128)=0,IF(COUNTIF(기본자료표[이름],$R1128)&gt;0,"명단에 없음(기본자료에는 있음)","명단에 없음"),"동명이인 확인"))))</f>
        <v/>
      </c>
      <c r="Z1128">
        <f>IF($R1128="","",IF($S1128&lt;0,"⚠"&amp;INDEX('입력_구리근무자명단'!$A1126:$ZZ1126,1,$E$2+2),TEXT($S1128,"yyyy-mm-dd")))</f>
        <v/>
      </c>
      <c r="AA1128">
        <f>IF($R1128="","",IF($T1128&lt;0,"⚠"&amp;INDEX('입력_구리근무자명단'!$A1126:$ZZ1126,1,$E$2+3),TEXT($T1128,"yyyy-mm-dd")))</f>
        <v/>
      </c>
      <c r="AB1128">
        <f>AB1127+IF($R1128="",0,1)</f>
        <v/>
      </c>
      <c r="AC1128">
        <f>IF($R1128="","",$AB1128)</f>
        <v/>
      </c>
    </row>
    <row r="1129">
      <c r="O1129">
        <f>1127</f>
        <v/>
      </c>
      <c r="P1129">
        <f>IF(TRIM('입력_구리근무자명단'!$A1127&amp;"")&lt;&gt;"",TRIM('입력_구리근무자명단'!$A1127&amp;""),P1128)</f>
        <v/>
      </c>
      <c r="Q1129">
        <f>'입력_구리근무자명단'!$B1127&amp;""</f>
        <v/>
      </c>
      <c r="R1129">
        <f>IF($E$2="","",TRIM(INDEX('입력_구리근무자명단'!$A1127:$ZZ1127,1,$E$2+IF($G$2="확정",1,0))&amp;""))</f>
        <v/>
      </c>
      <c r="S1129">
        <f>IF($R1129="","",IF(INDEX('입력_구리근무자명단'!$A1127:$ZZ1127,1,$E$2+2)&amp;""="",급여기준월,IF(ISNUMBER(INDEX('입력_구리근무자명단'!$A1127:$ZZ1127,1,$E$2+2)),INDEX('입력_구리근무자명단'!$A1127:$ZZ1127,1,$E$2+2),IFERROR(DATE(VALUE(LEFT(INDEX('입력_구리근무자명단'!$A1127:$ZZ1127,1,$E$2+2),4)),VALUE(MID(INDEX('입력_구리근무자명단'!$A1127:$ZZ1127,1,$E$2+2),6,2)),VALUE(MID(INDEX('입력_구리근무자명단'!$A1127:$ZZ1127,1,$E$2+2),9,2))),-1))))</f>
        <v/>
      </c>
      <c r="T1129">
        <f>IF($R1129="","",IF(INDEX('입력_구리근무자명단'!$A1127:$ZZ1127,1,$E$2+3)&amp;""="",EOMONTH(급여기준월,0),IF(ISNUMBER(INDEX('입력_구리근무자명단'!$A1127:$ZZ1127,1,$E$2+3)),INDEX('입력_구리근무자명단'!$A1127:$ZZ1127,1,$E$2+3),IFERROR(DATE(VALUE(LEFT(INDEX('입력_구리근무자명단'!$A1127:$ZZ1127,1,$E$2+3),4)),VALUE(MID(INDEX('입력_구리근무자명단'!$A1127:$ZZ1127,1,$E$2+3),6,2)),VALUE(MID(INDEX('입력_구리근무자명단'!$A1127:$ZZ1127,1,$E$2+3),9,2))),-1))))</f>
        <v/>
      </c>
      <c r="U1129">
        <f>IF($R1129="","",IF(OR($S1129&lt;0,$T1129&lt;0),0,MAX(0,MIN($T1129,EOMONTH(급여기준월,0))-MAX($S1129,급여기준월)+1)))</f>
        <v/>
      </c>
      <c r="V1129">
        <f>IF($R1129="","",TRIM(INDEX('입력_구리근무자명단'!$A1127:$ZZ1127,1,$E$2+5)&amp;""))</f>
        <v/>
      </c>
      <c r="W1129">
        <f>IF(ISNUMBER(SEARCH("구리독자",$V1129)),"구리독자","")</f>
        <v/>
      </c>
      <c r="X1129">
        <f>IF($R1129="","",$R1129&amp;"|"&amp;IF(OR($Q1129="인턴",ISNUMBER(SEARCH("수련교육부",$P1129))),"인턴",$P1129))</f>
        <v/>
      </c>
      <c r="Y1129">
        <f>IF($R1129="","",IF(COUNTIF(명단표[이름|과],$X1129)=1,"명단 일치",IF(AND(COUNTIF(명단표[이름|과],$X1129)=0,COUNTIF(명단표[이름],$R1129)=1),"명단 일치(이름만, 과 다름)",IF(COUNTIF(명단표[이름],$R1129)=0,IF(COUNTIF(기본자료표[이름],$R1129)&gt;0,"명단에 없음(기본자료에는 있음)","명단에 없음"),"동명이인 확인"))))</f>
        <v/>
      </c>
      <c r="Z1129">
        <f>IF($R1129="","",IF($S1129&lt;0,"⚠"&amp;INDEX('입력_구리근무자명단'!$A1127:$ZZ1127,1,$E$2+2),TEXT($S1129,"yyyy-mm-dd")))</f>
        <v/>
      </c>
      <c r="AA1129">
        <f>IF($R1129="","",IF($T1129&lt;0,"⚠"&amp;INDEX('입력_구리근무자명단'!$A1127:$ZZ1127,1,$E$2+3),TEXT($T1129,"yyyy-mm-dd")))</f>
        <v/>
      </c>
      <c r="AB1129">
        <f>AB1128+IF($R1129="",0,1)</f>
        <v/>
      </c>
      <c r="AC1129">
        <f>IF($R1129="","",$AB1129)</f>
        <v/>
      </c>
    </row>
    <row r="1130">
      <c r="O1130">
        <f>1128</f>
        <v/>
      </c>
      <c r="P1130">
        <f>IF(TRIM('입력_구리근무자명단'!$A1128&amp;"")&lt;&gt;"",TRIM('입력_구리근무자명단'!$A1128&amp;""),P1129)</f>
        <v/>
      </c>
      <c r="Q1130">
        <f>'입력_구리근무자명단'!$B1128&amp;""</f>
        <v/>
      </c>
      <c r="R1130">
        <f>IF($E$2="","",TRIM(INDEX('입력_구리근무자명단'!$A1128:$ZZ1128,1,$E$2+IF($G$2="확정",1,0))&amp;""))</f>
        <v/>
      </c>
      <c r="S1130">
        <f>IF($R1130="","",IF(INDEX('입력_구리근무자명단'!$A1128:$ZZ1128,1,$E$2+2)&amp;""="",급여기준월,IF(ISNUMBER(INDEX('입력_구리근무자명단'!$A1128:$ZZ1128,1,$E$2+2)),INDEX('입력_구리근무자명단'!$A1128:$ZZ1128,1,$E$2+2),IFERROR(DATE(VALUE(LEFT(INDEX('입력_구리근무자명단'!$A1128:$ZZ1128,1,$E$2+2),4)),VALUE(MID(INDEX('입력_구리근무자명단'!$A1128:$ZZ1128,1,$E$2+2),6,2)),VALUE(MID(INDEX('입력_구리근무자명단'!$A1128:$ZZ1128,1,$E$2+2),9,2))),-1))))</f>
        <v/>
      </c>
      <c r="T1130">
        <f>IF($R1130="","",IF(INDEX('입력_구리근무자명단'!$A1128:$ZZ1128,1,$E$2+3)&amp;""="",EOMONTH(급여기준월,0),IF(ISNUMBER(INDEX('입력_구리근무자명단'!$A1128:$ZZ1128,1,$E$2+3)),INDEX('입력_구리근무자명단'!$A1128:$ZZ1128,1,$E$2+3),IFERROR(DATE(VALUE(LEFT(INDEX('입력_구리근무자명단'!$A1128:$ZZ1128,1,$E$2+3),4)),VALUE(MID(INDEX('입력_구리근무자명단'!$A1128:$ZZ1128,1,$E$2+3),6,2)),VALUE(MID(INDEX('입력_구리근무자명단'!$A1128:$ZZ1128,1,$E$2+3),9,2))),-1))))</f>
        <v/>
      </c>
      <c r="U1130">
        <f>IF($R1130="","",IF(OR($S1130&lt;0,$T1130&lt;0),0,MAX(0,MIN($T1130,EOMONTH(급여기준월,0))-MAX($S1130,급여기준월)+1)))</f>
        <v/>
      </c>
      <c r="V1130">
        <f>IF($R1130="","",TRIM(INDEX('입력_구리근무자명단'!$A1128:$ZZ1128,1,$E$2+5)&amp;""))</f>
        <v/>
      </c>
      <c r="W1130">
        <f>IF(ISNUMBER(SEARCH("구리독자",$V1130)),"구리독자","")</f>
        <v/>
      </c>
      <c r="X1130">
        <f>IF($R1130="","",$R1130&amp;"|"&amp;IF(OR($Q1130="인턴",ISNUMBER(SEARCH("수련교육부",$P1130))),"인턴",$P1130))</f>
        <v/>
      </c>
      <c r="Y1130">
        <f>IF($R1130="","",IF(COUNTIF(명단표[이름|과],$X1130)=1,"명단 일치",IF(AND(COUNTIF(명단표[이름|과],$X1130)=0,COUNTIF(명단표[이름],$R1130)=1),"명단 일치(이름만, 과 다름)",IF(COUNTIF(명단표[이름],$R1130)=0,IF(COUNTIF(기본자료표[이름],$R1130)&gt;0,"명단에 없음(기본자료에는 있음)","명단에 없음"),"동명이인 확인"))))</f>
        <v/>
      </c>
      <c r="Z1130">
        <f>IF($R1130="","",IF($S1130&lt;0,"⚠"&amp;INDEX('입력_구리근무자명단'!$A1128:$ZZ1128,1,$E$2+2),TEXT($S1130,"yyyy-mm-dd")))</f>
        <v/>
      </c>
      <c r="AA1130">
        <f>IF($R1130="","",IF($T1130&lt;0,"⚠"&amp;INDEX('입력_구리근무자명단'!$A1128:$ZZ1128,1,$E$2+3),TEXT($T1130,"yyyy-mm-dd")))</f>
        <v/>
      </c>
      <c r="AB1130">
        <f>AB1129+IF($R1130="",0,1)</f>
        <v/>
      </c>
      <c r="AC1130">
        <f>IF($R1130="","",$AB1130)</f>
        <v/>
      </c>
    </row>
    <row r="1131">
      <c r="O1131">
        <f>1129</f>
        <v/>
      </c>
      <c r="P1131">
        <f>IF(TRIM('입력_구리근무자명단'!$A1129&amp;"")&lt;&gt;"",TRIM('입력_구리근무자명단'!$A1129&amp;""),P1130)</f>
        <v/>
      </c>
      <c r="Q1131">
        <f>'입력_구리근무자명단'!$B1129&amp;""</f>
        <v/>
      </c>
      <c r="R1131">
        <f>IF($E$2="","",TRIM(INDEX('입력_구리근무자명단'!$A1129:$ZZ1129,1,$E$2+IF($G$2="확정",1,0))&amp;""))</f>
        <v/>
      </c>
      <c r="S1131">
        <f>IF($R1131="","",IF(INDEX('입력_구리근무자명단'!$A1129:$ZZ1129,1,$E$2+2)&amp;""="",급여기준월,IF(ISNUMBER(INDEX('입력_구리근무자명단'!$A1129:$ZZ1129,1,$E$2+2)),INDEX('입력_구리근무자명단'!$A1129:$ZZ1129,1,$E$2+2),IFERROR(DATE(VALUE(LEFT(INDEX('입력_구리근무자명단'!$A1129:$ZZ1129,1,$E$2+2),4)),VALUE(MID(INDEX('입력_구리근무자명단'!$A1129:$ZZ1129,1,$E$2+2),6,2)),VALUE(MID(INDEX('입력_구리근무자명단'!$A1129:$ZZ1129,1,$E$2+2),9,2))),-1))))</f>
        <v/>
      </c>
      <c r="T1131">
        <f>IF($R1131="","",IF(INDEX('입력_구리근무자명단'!$A1129:$ZZ1129,1,$E$2+3)&amp;""="",EOMONTH(급여기준월,0),IF(ISNUMBER(INDEX('입력_구리근무자명단'!$A1129:$ZZ1129,1,$E$2+3)),INDEX('입력_구리근무자명단'!$A1129:$ZZ1129,1,$E$2+3),IFERROR(DATE(VALUE(LEFT(INDEX('입력_구리근무자명단'!$A1129:$ZZ1129,1,$E$2+3),4)),VALUE(MID(INDEX('입력_구리근무자명단'!$A1129:$ZZ1129,1,$E$2+3),6,2)),VALUE(MID(INDEX('입력_구리근무자명단'!$A1129:$ZZ1129,1,$E$2+3),9,2))),-1))))</f>
        <v/>
      </c>
      <c r="U1131">
        <f>IF($R1131="","",IF(OR($S1131&lt;0,$T1131&lt;0),0,MAX(0,MIN($T1131,EOMONTH(급여기준월,0))-MAX($S1131,급여기준월)+1)))</f>
        <v/>
      </c>
      <c r="V1131">
        <f>IF($R1131="","",TRIM(INDEX('입력_구리근무자명단'!$A1129:$ZZ1129,1,$E$2+5)&amp;""))</f>
        <v/>
      </c>
      <c r="W1131">
        <f>IF(ISNUMBER(SEARCH("구리독자",$V1131)),"구리독자","")</f>
        <v/>
      </c>
      <c r="X1131">
        <f>IF($R1131="","",$R1131&amp;"|"&amp;IF(OR($Q1131="인턴",ISNUMBER(SEARCH("수련교육부",$P1131))),"인턴",$P1131))</f>
        <v/>
      </c>
      <c r="Y1131">
        <f>IF($R1131="","",IF(COUNTIF(명단표[이름|과],$X1131)=1,"명단 일치",IF(AND(COUNTIF(명단표[이름|과],$X1131)=0,COUNTIF(명단표[이름],$R1131)=1),"명단 일치(이름만, 과 다름)",IF(COUNTIF(명단표[이름],$R1131)=0,IF(COUNTIF(기본자료표[이름],$R1131)&gt;0,"명단에 없음(기본자료에는 있음)","명단에 없음"),"동명이인 확인"))))</f>
        <v/>
      </c>
      <c r="Z1131">
        <f>IF($R1131="","",IF($S1131&lt;0,"⚠"&amp;INDEX('입력_구리근무자명단'!$A1129:$ZZ1129,1,$E$2+2),TEXT($S1131,"yyyy-mm-dd")))</f>
        <v/>
      </c>
      <c r="AA1131">
        <f>IF($R1131="","",IF($T1131&lt;0,"⚠"&amp;INDEX('입력_구리근무자명단'!$A1129:$ZZ1129,1,$E$2+3),TEXT($T1131,"yyyy-mm-dd")))</f>
        <v/>
      </c>
      <c r="AB1131">
        <f>AB1130+IF($R1131="",0,1)</f>
        <v/>
      </c>
      <c r="AC1131">
        <f>IF($R1131="","",$AB1131)</f>
        <v/>
      </c>
    </row>
    <row r="1132">
      <c r="O1132">
        <f>1130</f>
        <v/>
      </c>
      <c r="P1132">
        <f>IF(TRIM('입력_구리근무자명단'!$A1130&amp;"")&lt;&gt;"",TRIM('입력_구리근무자명단'!$A1130&amp;""),P1131)</f>
        <v/>
      </c>
      <c r="Q1132">
        <f>'입력_구리근무자명단'!$B1130&amp;""</f>
        <v/>
      </c>
      <c r="R1132">
        <f>IF($E$2="","",TRIM(INDEX('입력_구리근무자명단'!$A1130:$ZZ1130,1,$E$2+IF($G$2="확정",1,0))&amp;""))</f>
        <v/>
      </c>
      <c r="S1132">
        <f>IF($R1132="","",IF(INDEX('입력_구리근무자명단'!$A1130:$ZZ1130,1,$E$2+2)&amp;""="",급여기준월,IF(ISNUMBER(INDEX('입력_구리근무자명단'!$A1130:$ZZ1130,1,$E$2+2)),INDEX('입력_구리근무자명단'!$A1130:$ZZ1130,1,$E$2+2),IFERROR(DATE(VALUE(LEFT(INDEX('입력_구리근무자명단'!$A1130:$ZZ1130,1,$E$2+2),4)),VALUE(MID(INDEX('입력_구리근무자명단'!$A1130:$ZZ1130,1,$E$2+2),6,2)),VALUE(MID(INDEX('입력_구리근무자명단'!$A1130:$ZZ1130,1,$E$2+2),9,2))),-1))))</f>
        <v/>
      </c>
      <c r="T1132">
        <f>IF($R1132="","",IF(INDEX('입력_구리근무자명단'!$A1130:$ZZ1130,1,$E$2+3)&amp;""="",EOMONTH(급여기준월,0),IF(ISNUMBER(INDEX('입력_구리근무자명단'!$A1130:$ZZ1130,1,$E$2+3)),INDEX('입력_구리근무자명단'!$A1130:$ZZ1130,1,$E$2+3),IFERROR(DATE(VALUE(LEFT(INDEX('입력_구리근무자명단'!$A1130:$ZZ1130,1,$E$2+3),4)),VALUE(MID(INDEX('입력_구리근무자명단'!$A1130:$ZZ1130,1,$E$2+3),6,2)),VALUE(MID(INDEX('입력_구리근무자명단'!$A1130:$ZZ1130,1,$E$2+3),9,2))),-1))))</f>
        <v/>
      </c>
      <c r="U1132">
        <f>IF($R1132="","",IF(OR($S1132&lt;0,$T1132&lt;0),0,MAX(0,MIN($T1132,EOMONTH(급여기준월,0))-MAX($S1132,급여기준월)+1)))</f>
        <v/>
      </c>
      <c r="V1132">
        <f>IF($R1132="","",TRIM(INDEX('입력_구리근무자명단'!$A1130:$ZZ1130,1,$E$2+5)&amp;""))</f>
        <v/>
      </c>
      <c r="W1132">
        <f>IF(ISNUMBER(SEARCH("구리독자",$V1132)),"구리독자","")</f>
        <v/>
      </c>
      <c r="X1132">
        <f>IF($R1132="","",$R1132&amp;"|"&amp;IF(OR($Q1132="인턴",ISNUMBER(SEARCH("수련교육부",$P1132))),"인턴",$P1132))</f>
        <v/>
      </c>
      <c r="Y1132">
        <f>IF($R1132="","",IF(COUNTIF(명단표[이름|과],$X1132)=1,"명단 일치",IF(AND(COUNTIF(명단표[이름|과],$X1132)=0,COUNTIF(명단표[이름],$R1132)=1),"명단 일치(이름만, 과 다름)",IF(COUNTIF(명단표[이름],$R1132)=0,IF(COUNTIF(기본자료표[이름],$R1132)&gt;0,"명단에 없음(기본자료에는 있음)","명단에 없음"),"동명이인 확인"))))</f>
        <v/>
      </c>
      <c r="Z1132">
        <f>IF($R1132="","",IF($S1132&lt;0,"⚠"&amp;INDEX('입력_구리근무자명단'!$A1130:$ZZ1130,1,$E$2+2),TEXT($S1132,"yyyy-mm-dd")))</f>
        <v/>
      </c>
      <c r="AA1132">
        <f>IF($R1132="","",IF($T1132&lt;0,"⚠"&amp;INDEX('입력_구리근무자명단'!$A1130:$ZZ1130,1,$E$2+3),TEXT($T1132,"yyyy-mm-dd")))</f>
        <v/>
      </c>
      <c r="AB1132">
        <f>AB1131+IF($R1132="",0,1)</f>
        <v/>
      </c>
      <c r="AC1132">
        <f>IF($R1132="","",$AB1132)</f>
        <v/>
      </c>
    </row>
    <row r="1133">
      <c r="O1133">
        <f>1131</f>
        <v/>
      </c>
      <c r="P1133">
        <f>IF(TRIM('입력_구리근무자명단'!$A1131&amp;"")&lt;&gt;"",TRIM('입력_구리근무자명단'!$A1131&amp;""),P1132)</f>
        <v/>
      </c>
      <c r="Q1133">
        <f>'입력_구리근무자명단'!$B1131&amp;""</f>
        <v/>
      </c>
      <c r="R1133">
        <f>IF($E$2="","",TRIM(INDEX('입력_구리근무자명단'!$A1131:$ZZ1131,1,$E$2+IF($G$2="확정",1,0))&amp;""))</f>
        <v/>
      </c>
      <c r="S1133">
        <f>IF($R1133="","",IF(INDEX('입력_구리근무자명단'!$A1131:$ZZ1131,1,$E$2+2)&amp;""="",급여기준월,IF(ISNUMBER(INDEX('입력_구리근무자명단'!$A1131:$ZZ1131,1,$E$2+2)),INDEX('입력_구리근무자명단'!$A1131:$ZZ1131,1,$E$2+2),IFERROR(DATE(VALUE(LEFT(INDEX('입력_구리근무자명단'!$A1131:$ZZ1131,1,$E$2+2),4)),VALUE(MID(INDEX('입력_구리근무자명단'!$A1131:$ZZ1131,1,$E$2+2),6,2)),VALUE(MID(INDEX('입력_구리근무자명단'!$A1131:$ZZ1131,1,$E$2+2),9,2))),-1))))</f>
        <v/>
      </c>
      <c r="T1133">
        <f>IF($R1133="","",IF(INDEX('입력_구리근무자명단'!$A1131:$ZZ1131,1,$E$2+3)&amp;""="",EOMONTH(급여기준월,0),IF(ISNUMBER(INDEX('입력_구리근무자명단'!$A1131:$ZZ1131,1,$E$2+3)),INDEX('입력_구리근무자명단'!$A1131:$ZZ1131,1,$E$2+3),IFERROR(DATE(VALUE(LEFT(INDEX('입력_구리근무자명단'!$A1131:$ZZ1131,1,$E$2+3),4)),VALUE(MID(INDEX('입력_구리근무자명단'!$A1131:$ZZ1131,1,$E$2+3),6,2)),VALUE(MID(INDEX('입력_구리근무자명단'!$A1131:$ZZ1131,1,$E$2+3),9,2))),-1))))</f>
        <v/>
      </c>
      <c r="U1133">
        <f>IF($R1133="","",IF(OR($S1133&lt;0,$T1133&lt;0),0,MAX(0,MIN($T1133,EOMONTH(급여기준월,0))-MAX($S1133,급여기준월)+1)))</f>
        <v/>
      </c>
      <c r="V1133">
        <f>IF($R1133="","",TRIM(INDEX('입력_구리근무자명단'!$A1131:$ZZ1131,1,$E$2+5)&amp;""))</f>
        <v/>
      </c>
      <c r="W1133">
        <f>IF(ISNUMBER(SEARCH("구리독자",$V1133)),"구리독자","")</f>
        <v/>
      </c>
      <c r="X1133">
        <f>IF($R1133="","",$R1133&amp;"|"&amp;IF(OR($Q1133="인턴",ISNUMBER(SEARCH("수련교육부",$P1133))),"인턴",$P1133))</f>
        <v/>
      </c>
      <c r="Y1133">
        <f>IF($R1133="","",IF(COUNTIF(명단표[이름|과],$X1133)=1,"명단 일치",IF(AND(COUNTIF(명단표[이름|과],$X1133)=0,COUNTIF(명단표[이름],$R1133)=1),"명단 일치(이름만, 과 다름)",IF(COUNTIF(명단표[이름],$R1133)=0,IF(COUNTIF(기본자료표[이름],$R1133)&gt;0,"명단에 없음(기본자료에는 있음)","명단에 없음"),"동명이인 확인"))))</f>
        <v/>
      </c>
      <c r="Z1133">
        <f>IF($R1133="","",IF($S1133&lt;0,"⚠"&amp;INDEX('입력_구리근무자명단'!$A1131:$ZZ1131,1,$E$2+2),TEXT($S1133,"yyyy-mm-dd")))</f>
        <v/>
      </c>
      <c r="AA1133">
        <f>IF($R1133="","",IF($T1133&lt;0,"⚠"&amp;INDEX('입력_구리근무자명단'!$A1131:$ZZ1131,1,$E$2+3),TEXT($T1133,"yyyy-mm-dd")))</f>
        <v/>
      </c>
      <c r="AB1133">
        <f>AB1132+IF($R1133="",0,1)</f>
        <v/>
      </c>
      <c r="AC1133">
        <f>IF($R1133="","",$AB1133)</f>
        <v/>
      </c>
    </row>
    <row r="1134">
      <c r="O1134">
        <f>1132</f>
        <v/>
      </c>
      <c r="P1134">
        <f>IF(TRIM('입력_구리근무자명단'!$A1132&amp;"")&lt;&gt;"",TRIM('입력_구리근무자명단'!$A1132&amp;""),P1133)</f>
        <v/>
      </c>
      <c r="Q1134">
        <f>'입력_구리근무자명단'!$B1132&amp;""</f>
        <v/>
      </c>
      <c r="R1134">
        <f>IF($E$2="","",TRIM(INDEX('입력_구리근무자명단'!$A1132:$ZZ1132,1,$E$2+IF($G$2="확정",1,0))&amp;""))</f>
        <v/>
      </c>
      <c r="S1134">
        <f>IF($R1134="","",IF(INDEX('입력_구리근무자명단'!$A1132:$ZZ1132,1,$E$2+2)&amp;""="",급여기준월,IF(ISNUMBER(INDEX('입력_구리근무자명단'!$A1132:$ZZ1132,1,$E$2+2)),INDEX('입력_구리근무자명단'!$A1132:$ZZ1132,1,$E$2+2),IFERROR(DATE(VALUE(LEFT(INDEX('입력_구리근무자명단'!$A1132:$ZZ1132,1,$E$2+2),4)),VALUE(MID(INDEX('입력_구리근무자명단'!$A1132:$ZZ1132,1,$E$2+2),6,2)),VALUE(MID(INDEX('입력_구리근무자명단'!$A1132:$ZZ1132,1,$E$2+2),9,2))),-1))))</f>
        <v/>
      </c>
      <c r="T1134">
        <f>IF($R1134="","",IF(INDEX('입력_구리근무자명단'!$A1132:$ZZ1132,1,$E$2+3)&amp;""="",EOMONTH(급여기준월,0),IF(ISNUMBER(INDEX('입력_구리근무자명단'!$A1132:$ZZ1132,1,$E$2+3)),INDEX('입력_구리근무자명단'!$A1132:$ZZ1132,1,$E$2+3),IFERROR(DATE(VALUE(LEFT(INDEX('입력_구리근무자명단'!$A1132:$ZZ1132,1,$E$2+3),4)),VALUE(MID(INDEX('입력_구리근무자명단'!$A1132:$ZZ1132,1,$E$2+3),6,2)),VALUE(MID(INDEX('입력_구리근무자명단'!$A1132:$ZZ1132,1,$E$2+3),9,2))),-1))))</f>
        <v/>
      </c>
      <c r="U1134">
        <f>IF($R1134="","",IF(OR($S1134&lt;0,$T1134&lt;0),0,MAX(0,MIN($T1134,EOMONTH(급여기준월,0))-MAX($S1134,급여기준월)+1)))</f>
        <v/>
      </c>
      <c r="V1134">
        <f>IF($R1134="","",TRIM(INDEX('입력_구리근무자명단'!$A1132:$ZZ1132,1,$E$2+5)&amp;""))</f>
        <v/>
      </c>
      <c r="W1134">
        <f>IF(ISNUMBER(SEARCH("구리독자",$V1134)),"구리독자","")</f>
        <v/>
      </c>
      <c r="X1134">
        <f>IF($R1134="","",$R1134&amp;"|"&amp;IF(OR($Q1134="인턴",ISNUMBER(SEARCH("수련교육부",$P1134))),"인턴",$P1134))</f>
        <v/>
      </c>
      <c r="Y1134">
        <f>IF($R1134="","",IF(COUNTIF(명단표[이름|과],$X1134)=1,"명단 일치",IF(AND(COUNTIF(명단표[이름|과],$X1134)=0,COUNTIF(명단표[이름],$R1134)=1),"명단 일치(이름만, 과 다름)",IF(COUNTIF(명단표[이름],$R1134)=0,IF(COUNTIF(기본자료표[이름],$R1134)&gt;0,"명단에 없음(기본자료에는 있음)","명단에 없음"),"동명이인 확인"))))</f>
        <v/>
      </c>
      <c r="Z1134">
        <f>IF($R1134="","",IF($S1134&lt;0,"⚠"&amp;INDEX('입력_구리근무자명단'!$A1132:$ZZ1132,1,$E$2+2),TEXT($S1134,"yyyy-mm-dd")))</f>
        <v/>
      </c>
      <c r="AA1134">
        <f>IF($R1134="","",IF($T1134&lt;0,"⚠"&amp;INDEX('입력_구리근무자명단'!$A1132:$ZZ1132,1,$E$2+3),TEXT($T1134,"yyyy-mm-dd")))</f>
        <v/>
      </c>
      <c r="AB1134">
        <f>AB1133+IF($R1134="",0,1)</f>
        <v/>
      </c>
      <c r="AC1134">
        <f>IF($R1134="","",$AB1134)</f>
        <v/>
      </c>
    </row>
    <row r="1135">
      <c r="O1135">
        <f>1133</f>
        <v/>
      </c>
      <c r="P1135">
        <f>IF(TRIM('입력_구리근무자명단'!$A1133&amp;"")&lt;&gt;"",TRIM('입력_구리근무자명단'!$A1133&amp;""),P1134)</f>
        <v/>
      </c>
      <c r="Q1135">
        <f>'입력_구리근무자명단'!$B1133&amp;""</f>
        <v/>
      </c>
      <c r="R1135">
        <f>IF($E$2="","",TRIM(INDEX('입력_구리근무자명단'!$A1133:$ZZ1133,1,$E$2+IF($G$2="확정",1,0))&amp;""))</f>
        <v/>
      </c>
      <c r="S1135">
        <f>IF($R1135="","",IF(INDEX('입력_구리근무자명단'!$A1133:$ZZ1133,1,$E$2+2)&amp;""="",급여기준월,IF(ISNUMBER(INDEX('입력_구리근무자명단'!$A1133:$ZZ1133,1,$E$2+2)),INDEX('입력_구리근무자명단'!$A1133:$ZZ1133,1,$E$2+2),IFERROR(DATE(VALUE(LEFT(INDEX('입력_구리근무자명단'!$A1133:$ZZ1133,1,$E$2+2),4)),VALUE(MID(INDEX('입력_구리근무자명단'!$A1133:$ZZ1133,1,$E$2+2),6,2)),VALUE(MID(INDEX('입력_구리근무자명단'!$A1133:$ZZ1133,1,$E$2+2),9,2))),-1))))</f>
        <v/>
      </c>
      <c r="T1135">
        <f>IF($R1135="","",IF(INDEX('입력_구리근무자명단'!$A1133:$ZZ1133,1,$E$2+3)&amp;""="",EOMONTH(급여기준월,0),IF(ISNUMBER(INDEX('입력_구리근무자명단'!$A1133:$ZZ1133,1,$E$2+3)),INDEX('입력_구리근무자명단'!$A1133:$ZZ1133,1,$E$2+3),IFERROR(DATE(VALUE(LEFT(INDEX('입력_구리근무자명단'!$A1133:$ZZ1133,1,$E$2+3),4)),VALUE(MID(INDEX('입력_구리근무자명단'!$A1133:$ZZ1133,1,$E$2+3),6,2)),VALUE(MID(INDEX('입력_구리근무자명단'!$A1133:$ZZ1133,1,$E$2+3),9,2))),-1))))</f>
        <v/>
      </c>
      <c r="U1135">
        <f>IF($R1135="","",IF(OR($S1135&lt;0,$T1135&lt;0),0,MAX(0,MIN($T1135,EOMONTH(급여기준월,0))-MAX($S1135,급여기준월)+1)))</f>
        <v/>
      </c>
      <c r="V1135">
        <f>IF($R1135="","",TRIM(INDEX('입력_구리근무자명단'!$A1133:$ZZ1133,1,$E$2+5)&amp;""))</f>
        <v/>
      </c>
      <c r="W1135">
        <f>IF(ISNUMBER(SEARCH("구리독자",$V1135)),"구리독자","")</f>
        <v/>
      </c>
      <c r="X1135">
        <f>IF($R1135="","",$R1135&amp;"|"&amp;IF(OR($Q1135="인턴",ISNUMBER(SEARCH("수련교육부",$P1135))),"인턴",$P1135))</f>
        <v/>
      </c>
      <c r="Y1135">
        <f>IF($R1135="","",IF(COUNTIF(명단표[이름|과],$X1135)=1,"명단 일치",IF(AND(COUNTIF(명단표[이름|과],$X1135)=0,COUNTIF(명단표[이름],$R1135)=1),"명단 일치(이름만, 과 다름)",IF(COUNTIF(명단표[이름],$R1135)=0,IF(COUNTIF(기본자료표[이름],$R1135)&gt;0,"명단에 없음(기본자료에는 있음)","명단에 없음"),"동명이인 확인"))))</f>
        <v/>
      </c>
      <c r="Z1135">
        <f>IF($R1135="","",IF($S1135&lt;0,"⚠"&amp;INDEX('입력_구리근무자명단'!$A1133:$ZZ1133,1,$E$2+2),TEXT($S1135,"yyyy-mm-dd")))</f>
        <v/>
      </c>
      <c r="AA1135">
        <f>IF($R1135="","",IF($T1135&lt;0,"⚠"&amp;INDEX('입력_구리근무자명단'!$A1133:$ZZ1133,1,$E$2+3),TEXT($T1135,"yyyy-mm-dd")))</f>
        <v/>
      </c>
      <c r="AB1135">
        <f>AB1134+IF($R1135="",0,1)</f>
        <v/>
      </c>
      <c r="AC1135">
        <f>IF($R1135="","",$AB1135)</f>
        <v/>
      </c>
    </row>
    <row r="1136">
      <c r="O1136">
        <f>1134</f>
        <v/>
      </c>
      <c r="P1136">
        <f>IF(TRIM('입력_구리근무자명단'!$A1134&amp;"")&lt;&gt;"",TRIM('입력_구리근무자명단'!$A1134&amp;""),P1135)</f>
        <v/>
      </c>
      <c r="Q1136">
        <f>'입력_구리근무자명단'!$B1134&amp;""</f>
        <v/>
      </c>
      <c r="R1136">
        <f>IF($E$2="","",TRIM(INDEX('입력_구리근무자명단'!$A1134:$ZZ1134,1,$E$2+IF($G$2="확정",1,0))&amp;""))</f>
        <v/>
      </c>
      <c r="S1136">
        <f>IF($R1136="","",IF(INDEX('입력_구리근무자명단'!$A1134:$ZZ1134,1,$E$2+2)&amp;""="",급여기준월,IF(ISNUMBER(INDEX('입력_구리근무자명단'!$A1134:$ZZ1134,1,$E$2+2)),INDEX('입력_구리근무자명단'!$A1134:$ZZ1134,1,$E$2+2),IFERROR(DATE(VALUE(LEFT(INDEX('입력_구리근무자명단'!$A1134:$ZZ1134,1,$E$2+2),4)),VALUE(MID(INDEX('입력_구리근무자명단'!$A1134:$ZZ1134,1,$E$2+2),6,2)),VALUE(MID(INDEX('입력_구리근무자명단'!$A1134:$ZZ1134,1,$E$2+2),9,2))),-1))))</f>
        <v/>
      </c>
      <c r="T1136">
        <f>IF($R1136="","",IF(INDEX('입력_구리근무자명단'!$A1134:$ZZ1134,1,$E$2+3)&amp;""="",EOMONTH(급여기준월,0),IF(ISNUMBER(INDEX('입력_구리근무자명단'!$A1134:$ZZ1134,1,$E$2+3)),INDEX('입력_구리근무자명단'!$A1134:$ZZ1134,1,$E$2+3),IFERROR(DATE(VALUE(LEFT(INDEX('입력_구리근무자명단'!$A1134:$ZZ1134,1,$E$2+3),4)),VALUE(MID(INDEX('입력_구리근무자명단'!$A1134:$ZZ1134,1,$E$2+3),6,2)),VALUE(MID(INDEX('입력_구리근무자명단'!$A1134:$ZZ1134,1,$E$2+3),9,2))),-1))))</f>
        <v/>
      </c>
      <c r="U1136">
        <f>IF($R1136="","",IF(OR($S1136&lt;0,$T1136&lt;0),0,MAX(0,MIN($T1136,EOMONTH(급여기준월,0))-MAX($S1136,급여기준월)+1)))</f>
        <v/>
      </c>
      <c r="V1136">
        <f>IF($R1136="","",TRIM(INDEX('입력_구리근무자명단'!$A1134:$ZZ1134,1,$E$2+5)&amp;""))</f>
        <v/>
      </c>
      <c r="W1136">
        <f>IF(ISNUMBER(SEARCH("구리독자",$V1136)),"구리독자","")</f>
        <v/>
      </c>
      <c r="X1136">
        <f>IF($R1136="","",$R1136&amp;"|"&amp;IF(OR($Q1136="인턴",ISNUMBER(SEARCH("수련교육부",$P1136))),"인턴",$P1136))</f>
        <v/>
      </c>
      <c r="Y1136">
        <f>IF($R1136="","",IF(COUNTIF(명단표[이름|과],$X1136)=1,"명단 일치",IF(AND(COUNTIF(명단표[이름|과],$X1136)=0,COUNTIF(명단표[이름],$R1136)=1),"명단 일치(이름만, 과 다름)",IF(COUNTIF(명단표[이름],$R1136)=0,IF(COUNTIF(기본자료표[이름],$R1136)&gt;0,"명단에 없음(기본자료에는 있음)","명단에 없음"),"동명이인 확인"))))</f>
        <v/>
      </c>
      <c r="Z1136">
        <f>IF($R1136="","",IF($S1136&lt;0,"⚠"&amp;INDEX('입력_구리근무자명단'!$A1134:$ZZ1134,1,$E$2+2),TEXT($S1136,"yyyy-mm-dd")))</f>
        <v/>
      </c>
      <c r="AA1136">
        <f>IF($R1136="","",IF($T1136&lt;0,"⚠"&amp;INDEX('입력_구리근무자명단'!$A1134:$ZZ1134,1,$E$2+3),TEXT($T1136,"yyyy-mm-dd")))</f>
        <v/>
      </c>
      <c r="AB1136">
        <f>AB1135+IF($R1136="",0,1)</f>
        <v/>
      </c>
      <c r="AC1136">
        <f>IF($R1136="","",$AB1136)</f>
        <v/>
      </c>
    </row>
    <row r="1137">
      <c r="O1137">
        <f>1135</f>
        <v/>
      </c>
      <c r="P1137">
        <f>IF(TRIM('입력_구리근무자명단'!$A1135&amp;"")&lt;&gt;"",TRIM('입력_구리근무자명단'!$A1135&amp;""),P1136)</f>
        <v/>
      </c>
      <c r="Q1137">
        <f>'입력_구리근무자명단'!$B1135&amp;""</f>
        <v/>
      </c>
      <c r="R1137">
        <f>IF($E$2="","",TRIM(INDEX('입력_구리근무자명단'!$A1135:$ZZ1135,1,$E$2+IF($G$2="확정",1,0))&amp;""))</f>
        <v/>
      </c>
      <c r="S1137">
        <f>IF($R1137="","",IF(INDEX('입력_구리근무자명단'!$A1135:$ZZ1135,1,$E$2+2)&amp;""="",급여기준월,IF(ISNUMBER(INDEX('입력_구리근무자명단'!$A1135:$ZZ1135,1,$E$2+2)),INDEX('입력_구리근무자명단'!$A1135:$ZZ1135,1,$E$2+2),IFERROR(DATE(VALUE(LEFT(INDEX('입력_구리근무자명단'!$A1135:$ZZ1135,1,$E$2+2),4)),VALUE(MID(INDEX('입력_구리근무자명단'!$A1135:$ZZ1135,1,$E$2+2),6,2)),VALUE(MID(INDEX('입력_구리근무자명단'!$A1135:$ZZ1135,1,$E$2+2),9,2))),-1))))</f>
        <v/>
      </c>
      <c r="T1137">
        <f>IF($R1137="","",IF(INDEX('입력_구리근무자명단'!$A1135:$ZZ1135,1,$E$2+3)&amp;""="",EOMONTH(급여기준월,0),IF(ISNUMBER(INDEX('입력_구리근무자명단'!$A1135:$ZZ1135,1,$E$2+3)),INDEX('입력_구리근무자명단'!$A1135:$ZZ1135,1,$E$2+3),IFERROR(DATE(VALUE(LEFT(INDEX('입력_구리근무자명단'!$A1135:$ZZ1135,1,$E$2+3),4)),VALUE(MID(INDEX('입력_구리근무자명단'!$A1135:$ZZ1135,1,$E$2+3),6,2)),VALUE(MID(INDEX('입력_구리근무자명단'!$A1135:$ZZ1135,1,$E$2+3),9,2))),-1))))</f>
        <v/>
      </c>
      <c r="U1137">
        <f>IF($R1137="","",IF(OR($S1137&lt;0,$T1137&lt;0),0,MAX(0,MIN($T1137,EOMONTH(급여기준월,0))-MAX($S1137,급여기준월)+1)))</f>
        <v/>
      </c>
      <c r="V1137">
        <f>IF($R1137="","",TRIM(INDEX('입력_구리근무자명단'!$A1135:$ZZ1135,1,$E$2+5)&amp;""))</f>
        <v/>
      </c>
      <c r="W1137">
        <f>IF(ISNUMBER(SEARCH("구리독자",$V1137)),"구리독자","")</f>
        <v/>
      </c>
      <c r="X1137">
        <f>IF($R1137="","",$R1137&amp;"|"&amp;IF(OR($Q1137="인턴",ISNUMBER(SEARCH("수련교육부",$P1137))),"인턴",$P1137))</f>
        <v/>
      </c>
      <c r="Y1137">
        <f>IF($R1137="","",IF(COUNTIF(명단표[이름|과],$X1137)=1,"명단 일치",IF(AND(COUNTIF(명단표[이름|과],$X1137)=0,COUNTIF(명단표[이름],$R1137)=1),"명단 일치(이름만, 과 다름)",IF(COUNTIF(명단표[이름],$R1137)=0,IF(COUNTIF(기본자료표[이름],$R1137)&gt;0,"명단에 없음(기본자료에는 있음)","명단에 없음"),"동명이인 확인"))))</f>
        <v/>
      </c>
      <c r="Z1137">
        <f>IF($R1137="","",IF($S1137&lt;0,"⚠"&amp;INDEX('입력_구리근무자명단'!$A1135:$ZZ1135,1,$E$2+2),TEXT($S1137,"yyyy-mm-dd")))</f>
        <v/>
      </c>
      <c r="AA1137">
        <f>IF($R1137="","",IF($T1137&lt;0,"⚠"&amp;INDEX('입력_구리근무자명단'!$A1135:$ZZ1135,1,$E$2+3),TEXT($T1137,"yyyy-mm-dd")))</f>
        <v/>
      </c>
      <c r="AB1137">
        <f>AB1136+IF($R1137="",0,1)</f>
        <v/>
      </c>
      <c r="AC1137">
        <f>IF($R1137="","",$AB1137)</f>
        <v/>
      </c>
    </row>
    <row r="1138">
      <c r="O1138">
        <f>1136</f>
        <v/>
      </c>
      <c r="P1138">
        <f>IF(TRIM('입력_구리근무자명단'!$A1136&amp;"")&lt;&gt;"",TRIM('입력_구리근무자명단'!$A1136&amp;""),P1137)</f>
        <v/>
      </c>
      <c r="Q1138">
        <f>'입력_구리근무자명단'!$B1136&amp;""</f>
        <v/>
      </c>
      <c r="R1138">
        <f>IF($E$2="","",TRIM(INDEX('입력_구리근무자명단'!$A1136:$ZZ1136,1,$E$2+IF($G$2="확정",1,0))&amp;""))</f>
        <v/>
      </c>
      <c r="S1138">
        <f>IF($R1138="","",IF(INDEX('입력_구리근무자명단'!$A1136:$ZZ1136,1,$E$2+2)&amp;""="",급여기준월,IF(ISNUMBER(INDEX('입력_구리근무자명단'!$A1136:$ZZ1136,1,$E$2+2)),INDEX('입력_구리근무자명단'!$A1136:$ZZ1136,1,$E$2+2),IFERROR(DATE(VALUE(LEFT(INDEX('입력_구리근무자명단'!$A1136:$ZZ1136,1,$E$2+2),4)),VALUE(MID(INDEX('입력_구리근무자명단'!$A1136:$ZZ1136,1,$E$2+2),6,2)),VALUE(MID(INDEX('입력_구리근무자명단'!$A1136:$ZZ1136,1,$E$2+2),9,2))),-1))))</f>
        <v/>
      </c>
      <c r="T1138">
        <f>IF($R1138="","",IF(INDEX('입력_구리근무자명단'!$A1136:$ZZ1136,1,$E$2+3)&amp;""="",EOMONTH(급여기준월,0),IF(ISNUMBER(INDEX('입력_구리근무자명단'!$A1136:$ZZ1136,1,$E$2+3)),INDEX('입력_구리근무자명단'!$A1136:$ZZ1136,1,$E$2+3),IFERROR(DATE(VALUE(LEFT(INDEX('입력_구리근무자명단'!$A1136:$ZZ1136,1,$E$2+3),4)),VALUE(MID(INDEX('입력_구리근무자명단'!$A1136:$ZZ1136,1,$E$2+3),6,2)),VALUE(MID(INDEX('입력_구리근무자명단'!$A1136:$ZZ1136,1,$E$2+3),9,2))),-1))))</f>
        <v/>
      </c>
      <c r="U1138">
        <f>IF($R1138="","",IF(OR($S1138&lt;0,$T1138&lt;0),0,MAX(0,MIN($T1138,EOMONTH(급여기준월,0))-MAX($S1138,급여기준월)+1)))</f>
        <v/>
      </c>
      <c r="V1138">
        <f>IF($R1138="","",TRIM(INDEX('입력_구리근무자명단'!$A1136:$ZZ1136,1,$E$2+5)&amp;""))</f>
        <v/>
      </c>
      <c r="W1138">
        <f>IF(ISNUMBER(SEARCH("구리독자",$V1138)),"구리독자","")</f>
        <v/>
      </c>
      <c r="X1138">
        <f>IF($R1138="","",$R1138&amp;"|"&amp;IF(OR($Q1138="인턴",ISNUMBER(SEARCH("수련교육부",$P1138))),"인턴",$P1138))</f>
        <v/>
      </c>
      <c r="Y1138">
        <f>IF($R1138="","",IF(COUNTIF(명단표[이름|과],$X1138)=1,"명단 일치",IF(AND(COUNTIF(명단표[이름|과],$X1138)=0,COUNTIF(명단표[이름],$R1138)=1),"명단 일치(이름만, 과 다름)",IF(COUNTIF(명단표[이름],$R1138)=0,IF(COUNTIF(기본자료표[이름],$R1138)&gt;0,"명단에 없음(기본자료에는 있음)","명단에 없음"),"동명이인 확인"))))</f>
        <v/>
      </c>
      <c r="Z1138">
        <f>IF($R1138="","",IF($S1138&lt;0,"⚠"&amp;INDEX('입력_구리근무자명단'!$A1136:$ZZ1136,1,$E$2+2),TEXT($S1138,"yyyy-mm-dd")))</f>
        <v/>
      </c>
      <c r="AA1138">
        <f>IF($R1138="","",IF($T1138&lt;0,"⚠"&amp;INDEX('입력_구리근무자명단'!$A1136:$ZZ1136,1,$E$2+3),TEXT($T1138,"yyyy-mm-dd")))</f>
        <v/>
      </c>
      <c r="AB1138">
        <f>AB1137+IF($R1138="",0,1)</f>
        <v/>
      </c>
      <c r="AC1138">
        <f>IF($R1138="","",$AB1138)</f>
        <v/>
      </c>
    </row>
    <row r="1139">
      <c r="O1139">
        <f>1137</f>
        <v/>
      </c>
      <c r="P1139">
        <f>IF(TRIM('입력_구리근무자명단'!$A1137&amp;"")&lt;&gt;"",TRIM('입력_구리근무자명단'!$A1137&amp;""),P1138)</f>
        <v/>
      </c>
      <c r="Q1139">
        <f>'입력_구리근무자명단'!$B1137&amp;""</f>
        <v/>
      </c>
      <c r="R1139">
        <f>IF($E$2="","",TRIM(INDEX('입력_구리근무자명단'!$A1137:$ZZ1137,1,$E$2+IF($G$2="확정",1,0))&amp;""))</f>
        <v/>
      </c>
      <c r="S1139">
        <f>IF($R1139="","",IF(INDEX('입력_구리근무자명단'!$A1137:$ZZ1137,1,$E$2+2)&amp;""="",급여기준월,IF(ISNUMBER(INDEX('입력_구리근무자명단'!$A1137:$ZZ1137,1,$E$2+2)),INDEX('입력_구리근무자명단'!$A1137:$ZZ1137,1,$E$2+2),IFERROR(DATE(VALUE(LEFT(INDEX('입력_구리근무자명단'!$A1137:$ZZ1137,1,$E$2+2),4)),VALUE(MID(INDEX('입력_구리근무자명단'!$A1137:$ZZ1137,1,$E$2+2),6,2)),VALUE(MID(INDEX('입력_구리근무자명단'!$A1137:$ZZ1137,1,$E$2+2),9,2))),-1))))</f>
        <v/>
      </c>
      <c r="T1139">
        <f>IF($R1139="","",IF(INDEX('입력_구리근무자명단'!$A1137:$ZZ1137,1,$E$2+3)&amp;""="",EOMONTH(급여기준월,0),IF(ISNUMBER(INDEX('입력_구리근무자명단'!$A1137:$ZZ1137,1,$E$2+3)),INDEX('입력_구리근무자명단'!$A1137:$ZZ1137,1,$E$2+3),IFERROR(DATE(VALUE(LEFT(INDEX('입력_구리근무자명단'!$A1137:$ZZ1137,1,$E$2+3),4)),VALUE(MID(INDEX('입력_구리근무자명단'!$A1137:$ZZ1137,1,$E$2+3),6,2)),VALUE(MID(INDEX('입력_구리근무자명단'!$A1137:$ZZ1137,1,$E$2+3),9,2))),-1))))</f>
        <v/>
      </c>
      <c r="U1139">
        <f>IF($R1139="","",IF(OR($S1139&lt;0,$T1139&lt;0),0,MAX(0,MIN($T1139,EOMONTH(급여기준월,0))-MAX($S1139,급여기준월)+1)))</f>
        <v/>
      </c>
      <c r="V1139">
        <f>IF($R1139="","",TRIM(INDEX('입력_구리근무자명단'!$A1137:$ZZ1137,1,$E$2+5)&amp;""))</f>
        <v/>
      </c>
      <c r="W1139">
        <f>IF(ISNUMBER(SEARCH("구리독자",$V1139)),"구리독자","")</f>
        <v/>
      </c>
      <c r="X1139">
        <f>IF($R1139="","",$R1139&amp;"|"&amp;IF(OR($Q1139="인턴",ISNUMBER(SEARCH("수련교육부",$P1139))),"인턴",$P1139))</f>
        <v/>
      </c>
      <c r="Y1139">
        <f>IF($R1139="","",IF(COUNTIF(명단표[이름|과],$X1139)=1,"명단 일치",IF(AND(COUNTIF(명단표[이름|과],$X1139)=0,COUNTIF(명단표[이름],$R1139)=1),"명단 일치(이름만, 과 다름)",IF(COUNTIF(명단표[이름],$R1139)=0,IF(COUNTIF(기본자료표[이름],$R1139)&gt;0,"명단에 없음(기본자료에는 있음)","명단에 없음"),"동명이인 확인"))))</f>
        <v/>
      </c>
      <c r="Z1139">
        <f>IF($R1139="","",IF($S1139&lt;0,"⚠"&amp;INDEX('입력_구리근무자명단'!$A1137:$ZZ1137,1,$E$2+2),TEXT($S1139,"yyyy-mm-dd")))</f>
        <v/>
      </c>
      <c r="AA1139">
        <f>IF($R1139="","",IF($T1139&lt;0,"⚠"&amp;INDEX('입력_구리근무자명단'!$A1137:$ZZ1137,1,$E$2+3),TEXT($T1139,"yyyy-mm-dd")))</f>
        <v/>
      </c>
      <c r="AB1139">
        <f>AB1138+IF($R1139="",0,1)</f>
        <v/>
      </c>
      <c r="AC1139">
        <f>IF($R1139="","",$AB1139)</f>
        <v/>
      </c>
    </row>
    <row r="1140">
      <c r="O1140">
        <f>1138</f>
        <v/>
      </c>
      <c r="P1140">
        <f>IF(TRIM('입력_구리근무자명단'!$A1138&amp;"")&lt;&gt;"",TRIM('입력_구리근무자명단'!$A1138&amp;""),P1139)</f>
        <v/>
      </c>
      <c r="Q1140">
        <f>'입력_구리근무자명단'!$B1138&amp;""</f>
        <v/>
      </c>
      <c r="R1140">
        <f>IF($E$2="","",TRIM(INDEX('입력_구리근무자명단'!$A1138:$ZZ1138,1,$E$2+IF($G$2="확정",1,0))&amp;""))</f>
        <v/>
      </c>
      <c r="S1140">
        <f>IF($R1140="","",IF(INDEX('입력_구리근무자명단'!$A1138:$ZZ1138,1,$E$2+2)&amp;""="",급여기준월,IF(ISNUMBER(INDEX('입력_구리근무자명단'!$A1138:$ZZ1138,1,$E$2+2)),INDEX('입력_구리근무자명단'!$A1138:$ZZ1138,1,$E$2+2),IFERROR(DATE(VALUE(LEFT(INDEX('입력_구리근무자명단'!$A1138:$ZZ1138,1,$E$2+2),4)),VALUE(MID(INDEX('입력_구리근무자명단'!$A1138:$ZZ1138,1,$E$2+2),6,2)),VALUE(MID(INDEX('입력_구리근무자명단'!$A1138:$ZZ1138,1,$E$2+2),9,2))),-1))))</f>
        <v/>
      </c>
      <c r="T1140">
        <f>IF($R1140="","",IF(INDEX('입력_구리근무자명단'!$A1138:$ZZ1138,1,$E$2+3)&amp;""="",EOMONTH(급여기준월,0),IF(ISNUMBER(INDEX('입력_구리근무자명단'!$A1138:$ZZ1138,1,$E$2+3)),INDEX('입력_구리근무자명단'!$A1138:$ZZ1138,1,$E$2+3),IFERROR(DATE(VALUE(LEFT(INDEX('입력_구리근무자명단'!$A1138:$ZZ1138,1,$E$2+3),4)),VALUE(MID(INDEX('입력_구리근무자명단'!$A1138:$ZZ1138,1,$E$2+3),6,2)),VALUE(MID(INDEX('입력_구리근무자명단'!$A1138:$ZZ1138,1,$E$2+3),9,2))),-1))))</f>
        <v/>
      </c>
      <c r="U1140">
        <f>IF($R1140="","",IF(OR($S1140&lt;0,$T1140&lt;0),0,MAX(0,MIN($T1140,EOMONTH(급여기준월,0))-MAX($S1140,급여기준월)+1)))</f>
        <v/>
      </c>
      <c r="V1140">
        <f>IF($R1140="","",TRIM(INDEX('입력_구리근무자명단'!$A1138:$ZZ1138,1,$E$2+5)&amp;""))</f>
        <v/>
      </c>
      <c r="W1140">
        <f>IF(ISNUMBER(SEARCH("구리독자",$V1140)),"구리독자","")</f>
        <v/>
      </c>
      <c r="X1140">
        <f>IF($R1140="","",$R1140&amp;"|"&amp;IF(OR($Q1140="인턴",ISNUMBER(SEARCH("수련교육부",$P1140))),"인턴",$P1140))</f>
        <v/>
      </c>
      <c r="Y1140">
        <f>IF($R1140="","",IF(COUNTIF(명단표[이름|과],$X1140)=1,"명단 일치",IF(AND(COUNTIF(명단표[이름|과],$X1140)=0,COUNTIF(명단표[이름],$R1140)=1),"명단 일치(이름만, 과 다름)",IF(COUNTIF(명단표[이름],$R1140)=0,IF(COUNTIF(기본자료표[이름],$R1140)&gt;0,"명단에 없음(기본자료에는 있음)","명단에 없음"),"동명이인 확인"))))</f>
        <v/>
      </c>
      <c r="Z1140">
        <f>IF($R1140="","",IF($S1140&lt;0,"⚠"&amp;INDEX('입력_구리근무자명단'!$A1138:$ZZ1138,1,$E$2+2),TEXT($S1140,"yyyy-mm-dd")))</f>
        <v/>
      </c>
      <c r="AA1140">
        <f>IF($R1140="","",IF($T1140&lt;0,"⚠"&amp;INDEX('입력_구리근무자명단'!$A1138:$ZZ1138,1,$E$2+3),TEXT($T1140,"yyyy-mm-dd")))</f>
        <v/>
      </c>
      <c r="AB1140">
        <f>AB1139+IF($R1140="",0,1)</f>
        <v/>
      </c>
      <c r="AC1140">
        <f>IF($R1140="","",$AB1140)</f>
        <v/>
      </c>
    </row>
    <row r="1141">
      <c r="O1141">
        <f>1139</f>
        <v/>
      </c>
      <c r="P1141">
        <f>IF(TRIM('입력_구리근무자명단'!$A1139&amp;"")&lt;&gt;"",TRIM('입력_구리근무자명단'!$A1139&amp;""),P1140)</f>
        <v/>
      </c>
      <c r="Q1141">
        <f>'입력_구리근무자명단'!$B1139&amp;""</f>
        <v/>
      </c>
      <c r="R1141">
        <f>IF($E$2="","",TRIM(INDEX('입력_구리근무자명단'!$A1139:$ZZ1139,1,$E$2+IF($G$2="확정",1,0))&amp;""))</f>
        <v/>
      </c>
      <c r="S1141">
        <f>IF($R1141="","",IF(INDEX('입력_구리근무자명단'!$A1139:$ZZ1139,1,$E$2+2)&amp;""="",급여기준월,IF(ISNUMBER(INDEX('입력_구리근무자명단'!$A1139:$ZZ1139,1,$E$2+2)),INDEX('입력_구리근무자명단'!$A1139:$ZZ1139,1,$E$2+2),IFERROR(DATE(VALUE(LEFT(INDEX('입력_구리근무자명단'!$A1139:$ZZ1139,1,$E$2+2),4)),VALUE(MID(INDEX('입력_구리근무자명단'!$A1139:$ZZ1139,1,$E$2+2),6,2)),VALUE(MID(INDEX('입력_구리근무자명단'!$A1139:$ZZ1139,1,$E$2+2),9,2))),-1))))</f>
        <v/>
      </c>
      <c r="T1141">
        <f>IF($R1141="","",IF(INDEX('입력_구리근무자명단'!$A1139:$ZZ1139,1,$E$2+3)&amp;""="",EOMONTH(급여기준월,0),IF(ISNUMBER(INDEX('입력_구리근무자명단'!$A1139:$ZZ1139,1,$E$2+3)),INDEX('입력_구리근무자명단'!$A1139:$ZZ1139,1,$E$2+3),IFERROR(DATE(VALUE(LEFT(INDEX('입력_구리근무자명단'!$A1139:$ZZ1139,1,$E$2+3),4)),VALUE(MID(INDEX('입력_구리근무자명단'!$A1139:$ZZ1139,1,$E$2+3),6,2)),VALUE(MID(INDEX('입력_구리근무자명단'!$A1139:$ZZ1139,1,$E$2+3),9,2))),-1))))</f>
        <v/>
      </c>
      <c r="U1141">
        <f>IF($R1141="","",IF(OR($S1141&lt;0,$T1141&lt;0),0,MAX(0,MIN($T1141,EOMONTH(급여기준월,0))-MAX($S1141,급여기준월)+1)))</f>
        <v/>
      </c>
      <c r="V1141">
        <f>IF($R1141="","",TRIM(INDEX('입력_구리근무자명단'!$A1139:$ZZ1139,1,$E$2+5)&amp;""))</f>
        <v/>
      </c>
      <c r="W1141">
        <f>IF(ISNUMBER(SEARCH("구리독자",$V1141)),"구리독자","")</f>
        <v/>
      </c>
      <c r="X1141">
        <f>IF($R1141="","",$R1141&amp;"|"&amp;IF(OR($Q1141="인턴",ISNUMBER(SEARCH("수련교육부",$P1141))),"인턴",$P1141))</f>
        <v/>
      </c>
      <c r="Y1141">
        <f>IF($R1141="","",IF(COUNTIF(명단표[이름|과],$X1141)=1,"명단 일치",IF(AND(COUNTIF(명단표[이름|과],$X1141)=0,COUNTIF(명단표[이름],$R1141)=1),"명단 일치(이름만, 과 다름)",IF(COUNTIF(명단표[이름],$R1141)=0,IF(COUNTIF(기본자료표[이름],$R1141)&gt;0,"명단에 없음(기본자료에는 있음)","명단에 없음"),"동명이인 확인"))))</f>
        <v/>
      </c>
      <c r="Z1141">
        <f>IF($R1141="","",IF($S1141&lt;0,"⚠"&amp;INDEX('입력_구리근무자명단'!$A1139:$ZZ1139,1,$E$2+2),TEXT($S1141,"yyyy-mm-dd")))</f>
        <v/>
      </c>
      <c r="AA1141">
        <f>IF($R1141="","",IF($T1141&lt;0,"⚠"&amp;INDEX('입력_구리근무자명단'!$A1139:$ZZ1139,1,$E$2+3),TEXT($T1141,"yyyy-mm-dd")))</f>
        <v/>
      </c>
      <c r="AB1141">
        <f>AB1140+IF($R1141="",0,1)</f>
        <v/>
      </c>
      <c r="AC1141">
        <f>IF($R1141="","",$AB1141)</f>
        <v/>
      </c>
    </row>
    <row r="1142">
      <c r="O1142">
        <f>1140</f>
        <v/>
      </c>
      <c r="P1142">
        <f>IF(TRIM('입력_구리근무자명단'!$A1140&amp;"")&lt;&gt;"",TRIM('입력_구리근무자명단'!$A1140&amp;""),P1141)</f>
        <v/>
      </c>
      <c r="Q1142">
        <f>'입력_구리근무자명단'!$B1140&amp;""</f>
        <v/>
      </c>
      <c r="R1142">
        <f>IF($E$2="","",TRIM(INDEX('입력_구리근무자명단'!$A1140:$ZZ1140,1,$E$2+IF($G$2="확정",1,0))&amp;""))</f>
        <v/>
      </c>
      <c r="S1142">
        <f>IF($R1142="","",IF(INDEX('입력_구리근무자명단'!$A1140:$ZZ1140,1,$E$2+2)&amp;""="",급여기준월,IF(ISNUMBER(INDEX('입력_구리근무자명단'!$A1140:$ZZ1140,1,$E$2+2)),INDEX('입력_구리근무자명단'!$A1140:$ZZ1140,1,$E$2+2),IFERROR(DATE(VALUE(LEFT(INDEX('입력_구리근무자명단'!$A1140:$ZZ1140,1,$E$2+2),4)),VALUE(MID(INDEX('입력_구리근무자명단'!$A1140:$ZZ1140,1,$E$2+2),6,2)),VALUE(MID(INDEX('입력_구리근무자명단'!$A1140:$ZZ1140,1,$E$2+2),9,2))),-1))))</f>
        <v/>
      </c>
      <c r="T1142">
        <f>IF($R1142="","",IF(INDEX('입력_구리근무자명단'!$A1140:$ZZ1140,1,$E$2+3)&amp;""="",EOMONTH(급여기준월,0),IF(ISNUMBER(INDEX('입력_구리근무자명단'!$A1140:$ZZ1140,1,$E$2+3)),INDEX('입력_구리근무자명단'!$A1140:$ZZ1140,1,$E$2+3),IFERROR(DATE(VALUE(LEFT(INDEX('입력_구리근무자명단'!$A1140:$ZZ1140,1,$E$2+3),4)),VALUE(MID(INDEX('입력_구리근무자명단'!$A1140:$ZZ1140,1,$E$2+3),6,2)),VALUE(MID(INDEX('입력_구리근무자명단'!$A1140:$ZZ1140,1,$E$2+3),9,2))),-1))))</f>
        <v/>
      </c>
      <c r="U1142">
        <f>IF($R1142="","",IF(OR($S1142&lt;0,$T1142&lt;0),0,MAX(0,MIN($T1142,EOMONTH(급여기준월,0))-MAX($S1142,급여기준월)+1)))</f>
        <v/>
      </c>
      <c r="V1142">
        <f>IF($R1142="","",TRIM(INDEX('입력_구리근무자명단'!$A1140:$ZZ1140,1,$E$2+5)&amp;""))</f>
        <v/>
      </c>
      <c r="W1142">
        <f>IF(ISNUMBER(SEARCH("구리독자",$V1142)),"구리독자","")</f>
        <v/>
      </c>
      <c r="X1142">
        <f>IF($R1142="","",$R1142&amp;"|"&amp;IF(OR($Q1142="인턴",ISNUMBER(SEARCH("수련교육부",$P1142))),"인턴",$P1142))</f>
        <v/>
      </c>
      <c r="Y1142">
        <f>IF($R1142="","",IF(COUNTIF(명단표[이름|과],$X1142)=1,"명단 일치",IF(AND(COUNTIF(명단표[이름|과],$X1142)=0,COUNTIF(명단표[이름],$R1142)=1),"명단 일치(이름만, 과 다름)",IF(COUNTIF(명단표[이름],$R1142)=0,IF(COUNTIF(기본자료표[이름],$R1142)&gt;0,"명단에 없음(기본자료에는 있음)","명단에 없음"),"동명이인 확인"))))</f>
        <v/>
      </c>
      <c r="Z1142">
        <f>IF($R1142="","",IF($S1142&lt;0,"⚠"&amp;INDEX('입력_구리근무자명단'!$A1140:$ZZ1140,1,$E$2+2),TEXT($S1142,"yyyy-mm-dd")))</f>
        <v/>
      </c>
      <c r="AA1142">
        <f>IF($R1142="","",IF($T1142&lt;0,"⚠"&amp;INDEX('입력_구리근무자명단'!$A1140:$ZZ1140,1,$E$2+3),TEXT($T1142,"yyyy-mm-dd")))</f>
        <v/>
      </c>
      <c r="AB1142">
        <f>AB1141+IF($R1142="",0,1)</f>
        <v/>
      </c>
      <c r="AC1142">
        <f>IF($R1142="","",$AB1142)</f>
        <v/>
      </c>
    </row>
    <row r="1143">
      <c r="O1143">
        <f>1141</f>
        <v/>
      </c>
      <c r="P1143">
        <f>IF(TRIM('입력_구리근무자명단'!$A1141&amp;"")&lt;&gt;"",TRIM('입력_구리근무자명단'!$A1141&amp;""),P1142)</f>
        <v/>
      </c>
      <c r="Q1143">
        <f>'입력_구리근무자명단'!$B1141&amp;""</f>
        <v/>
      </c>
      <c r="R1143">
        <f>IF($E$2="","",TRIM(INDEX('입력_구리근무자명단'!$A1141:$ZZ1141,1,$E$2+IF($G$2="확정",1,0))&amp;""))</f>
        <v/>
      </c>
      <c r="S1143">
        <f>IF($R1143="","",IF(INDEX('입력_구리근무자명단'!$A1141:$ZZ1141,1,$E$2+2)&amp;""="",급여기준월,IF(ISNUMBER(INDEX('입력_구리근무자명단'!$A1141:$ZZ1141,1,$E$2+2)),INDEX('입력_구리근무자명단'!$A1141:$ZZ1141,1,$E$2+2),IFERROR(DATE(VALUE(LEFT(INDEX('입력_구리근무자명단'!$A1141:$ZZ1141,1,$E$2+2),4)),VALUE(MID(INDEX('입력_구리근무자명단'!$A1141:$ZZ1141,1,$E$2+2),6,2)),VALUE(MID(INDEX('입력_구리근무자명단'!$A1141:$ZZ1141,1,$E$2+2),9,2))),-1))))</f>
        <v/>
      </c>
      <c r="T1143">
        <f>IF($R1143="","",IF(INDEX('입력_구리근무자명단'!$A1141:$ZZ1141,1,$E$2+3)&amp;""="",EOMONTH(급여기준월,0),IF(ISNUMBER(INDEX('입력_구리근무자명단'!$A1141:$ZZ1141,1,$E$2+3)),INDEX('입력_구리근무자명단'!$A1141:$ZZ1141,1,$E$2+3),IFERROR(DATE(VALUE(LEFT(INDEX('입력_구리근무자명단'!$A1141:$ZZ1141,1,$E$2+3),4)),VALUE(MID(INDEX('입력_구리근무자명단'!$A1141:$ZZ1141,1,$E$2+3),6,2)),VALUE(MID(INDEX('입력_구리근무자명단'!$A1141:$ZZ1141,1,$E$2+3),9,2))),-1))))</f>
        <v/>
      </c>
      <c r="U1143">
        <f>IF($R1143="","",IF(OR($S1143&lt;0,$T1143&lt;0),0,MAX(0,MIN($T1143,EOMONTH(급여기준월,0))-MAX($S1143,급여기준월)+1)))</f>
        <v/>
      </c>
      <c r="V1143">
        <f>IF($R1143="","",TRIM(INDEX('입력_구리근무자명단'!$A1141:$ZZ1141,1,$E$2+5)&amp;""))</f>
        <v/>
      </c>
      <c r="W1143">
        <f>IF(ISNUMBER(SEARCH("구리독자",$V1143)),"구리독자","")</f>
        <v/>
      </c>
      <c r="X1143">
        <f>IF($R1143="","",$R1143&amp;"|"&amp;IF(OR($Q1143="인턴",ISNUMBER(SEARCH("수련교육부",$P1143))),"인턴",$P1143))</f>
        <v/>
      </c>
      <c r="Y1143">
        <f>IF($R1143="","",IF(COUNTIF(명단표[이름|과],$X1143)=1,"명단 일치",IF(AND(COUNTIF(명단표[이름|과],$X1143)=0,COUNTIF(명단표[이름],$R1143)=1),"명단 일치(이름만, 과 다름)",IF(COUNTIF(명단표[이름],$R1143)=0,IF(COUNTIF(기본자료표[이름],$R1143)&gt;0,"명단에 없음(기본자료에는 있음)","명단에 없음"),"동명이인 확인"))))</f>
        <v/>
      </c>
      <c r="Z1143">
        <f>IF($R1143="","",IF($S1143&lt;0,"⚠"&amp;INDEX('입력_구리근무자명단'!$A1141:$ZZ1141,1,$E$2+2),TEXT($S1143,"yyyy-mm-dd")))</f>
        <v/>
      </c>
      <c r="AA1143">
        <f>IF($R1143="","",IF($T1143&lt;0,"⚠"&amp;INDEX('입력_구리근무자명단'!$A1141:$ZZ1141,1,$E$2+3),TEXT($T1143,"yyyy-mm-dd")))</f>
        <v/>
      </c>
      <c r="AB1143">
        <f>AB1142+IF($R1143="",0,1)</f>
        <v/>
      </c>
      <c r="AC1143">
        <f>IF($R1143="","",$AB1143)</f>
        <v/>
      </c>
    </row>
    <row r="1144">
      <c r="O1144">
        <f>1142</f>
        <v/>
      </c>
      <c r="P1144">
        <f>IF(TRIM('입력_구리근무자명단'!$A1142&amp;"")&lt;&gt;"",TRIM('입력_구리근무자명단'!$A1142&amp;""),P1143)</f>
        <v/>
      </c>
      <c r="Q1144">
        <f>'입력_구리근무자명단'!$B1142&amp;""</f>
        <v/>
      </c>
      <c r="R1144">
        <f>IF($E$2="","",TRIM(INDEX('입력_구리근무자명단'!$A1142:$ZZ1142,1,$E$2+IF($G$2="확정",1,0))&amp;""))</f>
        <v/>
      </c>
      <c r="S1144">
        <f>IF($R1144="","",IF(INDEX('입력_구리근무자명단'!$A1142:$ZZ1142,1,$E$2+2)&amp;""="",급여기준월,IF(ISNUMBER(INDEX('입력_구리근무자명단'!$A1142:$ZZ1142,1,$E$2+2)),INDEX('입력_구리근무자명단'!$A1142:$ZZ1142,1,$E$2+2),IFERROR(DATE(VALUE(LEFT(INDEX('입력_구리근무자명단'!$A1142:$ZZ1142,1,$E$2+2),4)),VALUE(MID(INDEX('입력_구리근무자명단'!$A1142:$ZZ1142,1,$E$2+2),6,2)),VALUE(MID(INDEX('입력_구리근무자명단'!$A1142:$ZZ1142,1,$E$2+2),9,2))),-1))))</f>
        <v/>
      </c>
      <c r="T1144">
        <f>IF($R1144="","",IF(INDEX('입력_구리근무자명단'!$A1142:$ZZ1142,1,$E$2+3)&amp;""="",EOMONTH(급여기준월,0),IF(ISNUMBER(INDEX('입력_구리근무자명단'!$A1142:$ZZ1142,1,$E$2+3)),INDEX('입력_구리근무자명단'!$A1142:$ZZ1142,1,$E$2+3),IFERROR(DATE(VALUE(LEFT(INDEX('입력_구리근무자명단'!$A1142:$ZZ1142,1,$E$2+3),4)),VALUE(MID(INDEX('입력_구리근무자명단'!$A1142:$ZZ1142,1,$E$2+3),6,2)),VALUE(MID(INDEX('입력_구리근무자명단'!$A1142:$ZZ1142,1,$E$2+3),9,2))),-1))))</f>
        <v/>
      </c>
      <c r="U1144">
        <f>IF($R1144="","",IF(OR($S1144&lt;0,$T1144&lt;0),0,MAX(0,MIN($T1144,EOMONTH(급여기준월,0))-MAX($S1144,급여기준월)+1)))</f>
        <v/>
      </c>
      <c r="V1144">
        <f>IF($R1144="","",TRIM(INDEX('입력_구리근무자명단'!$A1142:$ZZ1142,1,$E$2+5)&amp;""))</f>
        <v/>
      </c>
      <c r="W1144">
        <f>IF(ISNUMBER(SEARCH("구리독자",$V1144)),"구리독자","")</f>
        <v/>
      </c>
      <c r="X1144">
        <f>IF($R1144="","",$R1144&amp;"|"&amp;IF(OR($Q1144="인턴",ISNUMBER(SEARCH("수련교육부",$P1144))),"인턴",$P1144))</f>
        <v/>
      </c>
      <c r="Y1144">
        <f>IF($R1144="","",IF(COUNTIF(명단표[이름|과],$X1144)=1,"명단 일치",IF(AND(COUNTIF(명단표[이름|과],$X1144)=0,COUNTIF(명단표[이름],$R1144)=1),"명단 일치(이름만, 과 다름)",IF(COUNTIF(명단표[이름],$R1144)=0,IF(COUNTIF(기본자료표[이름],$R1144)&gt;0,"명단에 없음(기본자료에는 있음)","명단에 없음"),"동명이인 확인"))))</f>
        <v/>
      </c>
      <c r="Z1144">
        <f>IF($R1144="","",IF($S1144&lt;0,"⚠"&amp;INDEX('입력_구리근무자명단'!$A1142:$ZZ1142,1,$E$2+2),TEXT($S1144,"yyyy-mm-dd")))</f>
        <v/>
      </c>
      <c r="AA1144">
        <f>IF($R1144="","",IF($T1144&lt;0,"⚠"&amp;INDEX('입력_구리근무자명단'!$A1142:$ZZ1142,1,$E$2+3),TEXT($T1144,"yyyy-mm-dd")))</f>
        <v/>
      </c>
      <c r="AB1144">
        <f>AB1143+IF($R1144="",0,1)</f>
        <v/>
      </c>
      <c r="AC1144">
        <f>IF($R1144="","",$AB1144)</f>
        <v/>
      </c>
    </row>
    <row r="1145">
      <c r="O1145">
        <f>1143</f>
        <v/>
      </c>
      <c r="P1145">
        <f>IF(TRIM('입력_구리근무자명단'!$A1143&amp;"")&lt;&gt;"",TRIM('입력_구리근무자명단'!$A1143&amp;""),P1144)</f>
        <v/>
      </c>
      <c r="Q1145">
        <f>'입력_구리근무자명단'!$B1143&amp;""</f>
        <v/>
      </c>
      <c r="R1145">
        <f>IF($E$2="","",TRIM(INDEX('입력_구리근무자명단'!$A1143:$ZZ1143,1,$E$2+IF($G$2="확정",1,0))&amp;""))</f>
        <v/>
      </c>
      <c r="S1145">
        <f>IF($R1145="","",IF(INDEX('입력_구리근무자명단'!$A1143:$ZZ1143,1,$E$2+2)&amp;""="",급여기준월,IF(ISNUMBER(INDEX('입력_구리근무자명단'!$A1143:$ZZ1143,1,$E$2+2)),INDEX('입력_구리근무자명단'!$A1143:$ZZ1143,1,$E$2+2),IFERROR(DATE(VALUE(LEFT(INDEX('입력_구리근무자명단'!$A1143:$ZZ1143,1,$E$2+2),4)),VALUE(MID(INDEX('입력_구리근무자명단'!$A1143:$ZZ1143,1,$E$2+2),6,2)),VALUE(MID(INDEX('입력_구리근무자명단'!$A1143:$ZZ1143,1,$E$2+2),9,2))),-1))))</f>
        <v/>
      </c>
      <c r="T1145">
        <f>IF($R1145="","",IF(INDEX('입력_구리근무자명단'!$A1143:$ZZ1143,1,$E$2+3)&amp;""="",EOMONTH(급여기준월,0),IF(ISNUMBER(INDEX('입력_구리근무자명단'!$A1143:$ZZ1143,1,$E$2+3)),INDEX('입력_구리근무자명단'!$A1143:$ZZ1143,1,$E$2+3),IFERROR(DATE(VALUE(LEFT(INDEX('입력_구리근무자명단'!$A1143:$ZZ1143,1,$E$2+3),4)),VALUE(MID(INDEX('입력_구리근무자명단'!$A1143:$ZZ1143,1,$E$2+3),6,2)),VALUE(MID(INDEX('입력_구리근무자명단'!$A1143:$ZZ1143,1,$E$2+3),9,2))),-1))))</f>
        <v/>
      </c>
      <c r="U1145">
        <f>IF($R1145="","",IF(OR($S1145&lt;0,$T1145&lt;0),0,MAX(0,MIN($T1145,EOMONTH(급여기준월,0))-MAX($S1145,급여기준월)+1)))</f>
        <v/>
      </c>
      <c r="V1145">
        <f>IF($R1145="","",TRIM(INDEX('입력_구리근무자명단'!$A1143:$ZZ1143,1,$E$2+5)&amp;""))</f>
        <v/>
      </c>
      <c r="W1145">
        <f>IF(ISNUMBER(SEARCH("구리독자",$V1145)),"구리독자","")</f>
        <v/>
      </c>
      <c r="X1145">
        <f>IF($R1145="","",$R1145&amp;"|"&amp;IF(OR($Q1145="인턴",ISNUMBER(SEARCH("수련교육부",$P1145))),"인턴",$P1145))</f>
        <v/>
      </c>
      <c r="Y1145">
        <f>IF($R1145="","",IF(COUNTIF(명단표[이름|과],$X1145)=1,"명단 일치",IF(AND(COUNTIF(명단표[이름|과],$X1145)=0,COUNTIF(명단표[이름],$R1145)=1),"명단 일치(이름만, 과 다름)",IF(COUNTIF(명단표[이름],$R1145)=0,IF(COUNTIF(기본자료표[이름],$R1145)&gt;0,"명단에 없음(기본자료에는 있음)","명단에 없음"),"동명이인 확인"))))</f>
        <v/>
      </c>
      <c r="Z1145">
        <f>IF($R1145="","",IF($S1145&lt;0,"⚠"&amp;INDEX('입력_구리근무자명단'!$A1143:$ZZ1143,1,$E$2+2),TEXT($S1145,"yyyy-mm-dd")))</f>
        <v/>
      </c>
      <c r="AA1145">
        <f>IF($R1145="","",IF($T1145&lt;0,"⚠"&amp;INDEX('입력_구리근무자명단'!$A1143:$ZZ1143,1,$E$2+3),TEXT($T1145,"yyyy-mm-dd")))</f>
        <v/>
      </c>
      <c r="AB1145">
        <f>AB1144+IF($R1145="",0,1)</f>
        <v/>
      </c>
      <c r="AC1145">
        <f>IF($R1145="","",$AB1145)</f>
        <v/>
      </c>
    </row>
    <row r="1146">
      <c r="O1146">
        <f>1144</f>
        <v/>
      </c>
      <c r="P1146">
        <f>IF(TRIM('입력_구리근무자명단'!$A1144&amp;"")&lt;&gt;"",TRIM('입력_구리근무자명단'!$A1144&amp;""),P1145)</f>
        <v/>
      </c>
      <c r="Q1146">
        <f>'입력_구리근무자명단'!$B1144&amp;""</f>
        <v/>
      </c>
      <c r="R1146">
        <f>IF($E$2="","",TRIM(INDEX('입력_구리근무자명단'!$A1144:$ZZ1144,1,$E$2+IF($G$2="확정",1,0))&amp;""))</f>
        <v/>
      </c>
      <c r="S1146">
        <f>IF($R1146="","",IF(INDEX('입력_구리근무자명단'!$A1144:$ZZ1144,1,$E$2+2)&amp;""="",급여기준월,IF(ISNUMBER(INDEX('입력_구리근무자명단'!$A1144:$ZZ1144,1,$E$2+2)),INDEX('입력_구리근무자명단'!$A1144:$ZZ1144,1,$E$2+2),IFERROR(DATE(VALUE(LEFT(INDEX('입력_구리근무자명단'!$A1144:$ZZ1144,1,$E$2+2),4)),VALUE(MID(INDEX('입력_구리근무자명단'!$A1144:$ZZ1144,1,$E$2+2),6,2)),VALUE(MID(INDEX('입력_구리근무자명단'!$A1144:$ZZ1144,1,$E$2+2),9,2))),-1))))</f>
        <v/>
      </c>
      <c r="T1146">
        <f>IF($R1146="","",IF(INDEX('입력_구리근무자명단'!$A1144:$ZZ1144,1,$E$2+3)&amp;""="",EOMONTH(급여기준월,0),IF(ISNUMBER(INDEX('입력_구리근무자명단'!$A1144:$ZZ1144,1,$E$2+3)),INDEX('입력_구리근무자명단'!$A1144:$ZZ1144,1,$E$2+3),IFERROR(DATE(VALUE(LEFT(INDEX('입력_구리근무자명단'!$A1144:$ZZ1144,1,$E$2+3),4)),VALUE(MID(INDEX('입력_구리근무자명단'!$A1144:$ZZ1144,1,$E$2+3),6,2)),VALUE(MID(INDEX('입력_구리근무자명단'!$A1144:$ZZ1144,1,$E$2+3),9,2))),-1))))</f>
        <v/>
      </c>
      <c r="U1146">
        <f>IF($R1146="","",IF(OR($S1146&lt;0,$T1146&lt;0),0,MAX(0,MIN($T1146,EOMONTH(급여기준월,0))-MAX($S1146,급여기준월)+1)))</f>
        <v/>
      </c>
      <c r="V1146">
        <f>IF($R1146="","",TRIM(INDEX('입력_구리근무자명단'!$A1144:$ZZ1144,1,$E$2+5)&amp;""))</f>
        <v/>
      </c>
      <c r="W1146">
        <f>IF(ISNUMBER(SEARCH("구리독자",$V1146)),"구리독자","")</f>
        <v/>
      </c>
      <c r="X1146">
        <f>IF($R1146="","",$R1146&amp;"|"&amp;IF(OR($Q1146="인턴",ISNUMBER(SEARCH("수련교육부",$P1146))),"인턴",$P1146))</f>
        <v/>
      </c>
      <c r="Y1146">
        <f>IF($R1146="","",IF(COUNTIF(명단표[이름|과],$X1146)=1,"명단 일치",IF(AND(COUNTIF(명단표[이름|과],$X1146)=0,COUNTIF(명단표[이름],$R1146)=1),"명단 일치(이름만, 과 다름)",IF(COUNTIF(명단표[이름],$R1146)=0,IF(COUNTIF(기본자료표[이름],$R1146)&gt;0,"명단에 없음(기본자료에는 있음)","명단에 없음"),"동명이인 확인"))))</f>
        <v/>
      </c>
      <c r="Z1146">
        <f>IF($R1146="","",IF($S1146&lt;0,"⚠"&amp;INDEX('입력_구리근무자명단'!$A1144:$ZZ1144,1,$E$2+2),TEXT($S1146,"yyyy-mm-dd")))</f>
        <v/>
      </c>
      <c r="AA1146">
        <f>IF($R1146="","",IF($T1146&lt;0,"⚠"&amp;INDEX('입력_구리근무자명단'!$A1144:$ZZ1144,1,$E$2+3),TEXT($T1146,"yyyy-mm-dd")))</f>
        <v/>
      </c>
      <c r="AB1146">
        <f>AB1145+IF($R1146="",0,1)</f>
        <v/>
      </c>
      <c r="AC1146">
        <f>IF($R1146="","",$AB1146)</f>
        <v/>
      </c>
    </row>
    <row r="1147">
      <c r="O1147">
        <f>1145</f>
        <v/>
      </c>
      <c r="P1147">
        <f>IF(TRIM('입력_구리근무자명단'!$A1145&amp;"")&lt;&gt;"",TRIM('입력_구리근무자명단'!$A1145&amp;""),P1146)</f>
        <v/>
      </c>
      <c r="Q1147">
        <f>'입력_구리근무자명단'!$B1145&amp;""</f>
        <v/>
      </c>
      <c r="R1147">
        <f>IF($E$2="","",TRIM(INDEX('입력_구리근무자명단'!$A1145:$ZZ1145,1,$E$2+IF($G$2="확정",1,0))&amp;""))</f>
        <v/>
      </c>
      <c r="S1147">
        <f>IF($R1147="","",IF(INDEX('입력_구리근무자명단'!$A1145:$ZZ1145,1,$E$2+2)&amp;""="",급여기준월,IF(ISNUMBER(INDEX('입력_구리근무자명단'!$A1145:$ZZ1145,1,$E$2+2)),INDEX('입력_구리근무자명단'!$A1145:$ZZ1145,1,$E$2+2),IFERROR(DATE(VALUE(LEFT(INDEX('입력_구리근무자명단'!$A1145:$ZZ1145,1,$E$2+2),4)),VALUE(MID(INDEX('입력_구리근무자명단'!$A1145:$ZZ1145,1,$E$2+2),6,2)),VALUE(MID(INDEX('입력_구리근무자명단'!$A1145:$ZZ1145,1,$E$2+2),9,2))),-1))))</f>
        <v/>
      </c>
      <c r="T1147">
        <f>IF($R1147="","",IF(INDEX('입력_구리근무자명단'!$A1145:$ZZ1145,1,$E$2+3)&amp;""="",EOMONTH(급여기준월,0),IF(ISNUMBER(INDEX('입력_구리근무자명단'!$A1145:$ZZ1145,1,$E$2+3)),INDEX('입력_구리근무자명단'!$A1145:$ZZ1145,1,$E$2+3),IFERROR(DATE(VALUE(LEFT(INDEX('입력_구리근무자명단'!$A1145:$ZZ1145,1,$E$2+3),4)),VALUE(MID(INDEX('입력_구리근무자명단'!$A1145:$ZZ1145,1,$E$2+3),6,2)),VALUE(MID(INDEX('입력_구리근무자명단'!$A1145:$ZZ1145,1,$E$2+3),9,2))),-1))))</f>
        <v/>
      </c>
      <c r="U1147">
        <f>IF($R1147="","",IF(OR($S1147&lt;0,$T1147&lt;0),0,MAX(0,MIN($T1147,EOMONTH(급여기준월,0))-MAX($S1147,급여기준월)+1)))</f>
        <v/>
      </c>
      <c r="V1147">
        <f>IF($R1147="","",TRIM(INDEX('입력_구리근무자명단'!$A1145:$ZZ1145,1,$E$2+5)&amp;""))</f>
        <v/>
      </c>
      <c r="W1147">
        <f>IF(ISNUMBER(SEARCH("구리독자",$V1147)),"구리독자","")</f>
        <v/>
      </c>
      <c r="X1147">
        <f>IF($R1147="","",$R1147&amp;"|"&amp;IF(OR($Q1147="인턴",ISNUMBER(SEARCH("수련교육부",$P1147))),"인턴",$P1147))</f>
        <v/>
      </c>
      <c r="Y1147">
        <f>IF($R1147="","",IF(COUNTIF(명단표[이름|과],$X1147)=1,"명단 일치",IF(AND(COUNTIF(명단표[이름|과],$X1147)=0,COUNTIF(명단표[이름],$R1147)=1),"명단 일치(이름만, 과 다름)",IF(COUNTIF(명단표[이름],$R1147)=0,IF(COUNTIF(기본자료표[이름],$R1147)&gt;0,"명단에 없음(기본자료에는 있음)","명단에 없음"),"동명이인 확인"))))</f>
        <v/>
      </c>
      <c r="Z1147">
        <f>IF($R1147="","",IF($S1147&lt;0,"⚠"&amp;INDEX('입력_구리근무자명단'!$A1145:$ZZ1145,1,$E$2+2),TEXT($S1147,"yyyy-mm-dd")))</f>
        <v/>
      </c>
      <c r="AA1147">
        <f>IF($R1147="","",IF($T1147&lt;0,"⚠"&amp;INDEX('입력_구리근무자명단'!$A1145:$ZZ1145,1,$E$2+3),TEXT($T1147,"yyyy-mm-dd")))</f>
        <v/>
      </c>
      <c r="AB1147">
        <f>AB1146+IF($R1147="",0,1)</f>
        <v/>
      </c>
      <c r="AC1147">
        <f>IF($R1147="","",$AB1147)</f>
        <v/>
      </c>
    </row>
    <row r="1148">
      <c r="O1148">
        <f>1146</f>
        <v/>
      </c>
      <c r="P1148">
        <f>IF(TRIM('입력_구리근무자명단'!$A1146&amp;"")&lt;&gt;"",TRIM('입력_구리근무자명단'!$A1146&amp;""),P1147)</f>
        <v/>
      </c>
      <c r="Q1148">
        <f>'입력_구리근무자명단'!$B1146&amp;""</f>
        <v/>
      </c>
      <c r="R1148">
        <f>IF($E$2="","",TRIM(INDEX('입력_구리근무자명단'!$A1146:$ZZ1146,1,$E$2+IF($G$2="확정",1,0))&amp;""))</f>
        <v/>
      </c>
      <c r="S1148">
        <f>IF($R1148="","",IF(INDEX('입력_구리근무자명단'!$A1146:$ZZ1146,1,$E$2+2)&amp;""="",급여기준월,IF(ISNUMBER(INDEX('입력_구리근무자명단'!$A1146:$ZZ1146,1,$E$2+2)),INDEX('입력_구리근무자명단'!$A1146:$ZZ1146,1,$E$2+2),IFERROR(DATE(VALUE(LEFT(INDEX('입력_구리근무자명단'!$A1146:$ZZ1146,1,$E$2+2),4)),VALUE(MID(INDEX('입력_구리근무자명단'!$A1146:$ZZ1146,1,$E$2+2),6,2)),VALUE(MID(INDEX('입력_구리근무자명단'!$A1146:$ZZ1146,1,$E$2+2),9,2))),-1))))</f>
        <v/>
      </c>
      <c r="T1148">
        <f>IF($R1148="","",IF(INDEX('입력_구리근무자명단'!$A1146:$ZZ1146,1,$E$2+3)&amp;""="",EOMONTH(급여기준월,0),IF(ISNUMBER(INDEX('입력_구리근무자명단'!$A1146:$ZZ1146,1,$E$2+3)),INDEX('입력_구리근무자명단'!$A1146:$ZZ1146,1,$E$2+3),IFERROR(DATE(VALUE(LEFT(INDEX('입력_구리근무자명단'!$A1146:$ZZ1146,1,$E$2+3),4)),VALUE(MID(INDEX('입력_구리근무자명단'!$A1146:$ZZ1146,1,$E$2+3),6,2)),VALUE(MID(INDEX('입력_구리근무자명단'!$A1146:$ZZ1146,1,$E$2+3),9,2))),-1))))</f>
        <v/>
      </c>
      <c r="U1148">
        <f>IF($R1148="","",IF(OR($S1148&lt;0,$T1148&lt;0),0,MAX(0,MIN($T1148,EOMONTH(급여기준월,0))-MAX($S1148,급여기준월)+1)))</f>
        <v/>
      </c>
      <c r="V1148">
        <f>IF($R1148="","",TRIM(INDEX('입력_구리근무자명단'!$A1146:$ZZ1146,1,$E$2+5)&amp;""))</f>
        <v/>
      </c>
      <c r="W1148">
        <f>IF(ISNUMBER(SEARCH("구리독자",$V1148)),"구리독자","")</f>
        <v/>
      </c>
      <c r="X1148">
        <f>IF($R1148="","",$R1148&amp;"|"&amp;IF(OR($Q1148="인턴",ISNUMBER(SEARCH("수련교육부",$P1148))),"인턴",$P1148))</f>
        <v/>
      </c>
      <c r="Y1148">
        <f>IF($R1148="","",IF(COUNTIF(명단표[이름|과],$X1148)=1,"명단 일치",IF(AND(COUNTIF(명단표[이름|과],$X1148)=0,COUNTIF(명단표[이름],$R1148)=1),"명단 일치(이름만, 과 다름)",IF(COUNTIF(명단표[이름],$R1148)=0,IF(COUNTIF(기본자료표[이름],$R1148)&gt;0,"명단에 없음(기본자료에는 있음)","명단에 없음"),"동명이인 확인"))))</f>
        <v/>
      </c>
      <c r="Z1148">
        <f>IF($R1148="","",IF($S1148&lt;0,"⚠"&amp;INDEX('입력_구리근무자명단'!$A1146:$ZZ1146,1,$E$2+2),TEXT($S1148,"yyyy-mm-dd")))</f>
        <v/>
      </c>
      <c r="AA1148">
        <f>IF($R1148="","",IF($T1148&lt;0,"⚠"&amp;INDEX('입력_구리근무자명단'!$A1146:$ZZ1146,1,$E$2+3),TEXT($T1148,"yyyy-mm-dd")))</f>
        <v/>
      </c>
      <c r="AB1148">
        <f>AB1147+IF($R1148="",0,1)</f>
        <v/>
      </c>
      <c r="AC1148">
        <f>IF($R1148="","",$AB1148)</f>
        <v/>
      </c>
    </row>
    <row r="1149">
      <c r="O1149">
        <f>1147</f>
        <v/>
      </c>
      <c r="P1149">
        <f>IF(TRIM('입력_구리근무자명단'!$A1147&amp;"")&lt;&gt;"",TRIM('입력_구리근무자명단'!$A1147&amp;""),P1148)</f>
        <v/>
      </c>
      <c r="Q1149">
        <f>'입력_구리근무자명단'!$B1147&amp;""</f>
        <v/>
      </c>
      <c r="R1149">
        <f>IF($E$2="","",TRIM(INDEX('입력_구리근무자명단'!$A1147:$ZZ1147,1,$E$2+IF($G$2="확정",1,0))&amp;""))</f>
        <v/>
      </c>
      <c r="S1149">
        <f>IF($R1149="","",IF(INDEX('입력_구리근무자명단'!$A1147:$ZZ1147,1,$E$2+2)&amp;""="",급여기준월,IF(ISNUMBER(INDEX('입력_구리근무자명단'!$A1147:$ZZ1147,1,$E$2+2)),INDEX('입력_구리근무자명단'!$A1147:$ZZ1147,1,$E$2+2),IFERROR(DATE(VALUE(LEFT(INDEX('입력_구리근무자명단'!$A1147:$ZZ1147,1,$E$2+2),4)),VALUE(MID(INDEX('입력_구리근무자명단'!$A1147:$ZZ1147,1,$E$2+2),6,2)),VALUE(MID(INDEX('입력_구리근무자명단'!$A1147:$ZZ1147,1,$E$2+2),9,2))),-1))))</f>
        <v/>
      </c>
      <c r="T1149">
        <f>IF($R1149="","",IF(INDEX('입력_구리근무자명단'!$A1147:$ZZ1147,1,$E$2+3)&amp;""="",EOMONTH(급여기준월,0),IF(ISNUMBER(INDEX('입력_구리근무자명단'!$A1147:$ZZ1147,1,$E$2+3)),INDEX('입력_구리근무자명단'!$A1147:$ZZ1147,1,$E$2+3),IFERROR(DATE(VALUE(LEFT(INDEX('입력_구리근무자명단'!$A1147:$ZZ1147,1,$E$2+3),4)),VALUE(MID(INDEX('입력_구리근무자명단'!$A1147:$ZZ1147,1,$E$2+3),6,2)),VALUE(MID(INDEX('입력_구리근무자명단'!$A1147:$ZZ1147,1,$E$2+3),9,2))),-1))))</f>
        <v/>
      </c>
      <c r="U1149">
        <f>IF($R1149="","",IF(OR($S1149&lt;0,$T1149&lt;0),0,MAX(0,MIN($T1149,EOMONTH(급여기준월,0))-MAX($S1149,급여기준월)+1)))</f>
        <v/>
      </c>
      <c r="V1149">
        <f>IF($R1149="","",TRIM(INDEX('입력_구리근무자명단'!$A1147:$ZZ1147,1,$E$2+5)&amp;""))</f>
        <v/>
      </c>
      <c r="W1149">
        <f>IF(ISNUMBER(SEARCH("구리독자",$V1149)),"구리독자","")</f>
        <v/>
      </c>
      <c r="X1149">
        <f>IF($R1149="","",$R1149&amp;"|"&amp;IF(OR($Q1149="인턴",ISNUMBER(SEARCH("수련교육부",$P1149))),"인턴",$P1149))</f>
        <v/>
      </c>
      <c r="Y1149">
        <f>IF($R1149="","",IF(COUNTIF(명단표[이름|과],$X1149)=1,"명단 일치",IF(AND(COUNTIF(명단표[이름|과],$X1149)=0,COUNTIF(명단표[이름],$R1149)=1),"명단 일치(이름만, 과 다름)",IF(COUNTIF(명단표[이름],$R1149)=0,IF(COUNTIF(기본자료표[이름],$R1149)&gt;0,"명단에 없음(기본자료에는 있음)","명단에 없음"),"동명이인 확인"))))</f>
        <v/>
      </c>
      <c r="Z1149">
        <f>IF($R1149="","",IF($S1149&lt;0,"⚠"&amp;INDEX('입력_구리근무자명단'!$A1147:$ZZ1147,1,$E$2+2),TEXT($S1149,"yyyy-mm-dd")))</f>
        <v/>
      </c>
      <c r="AA1149">
        <f>IF($R1149="","",IF($T1149&lt;0,"⚠"&amp;INDEX('입력_구리근무자명단'!$A1147:$ZZ1147,1,$E$2+3),TEXT($T1149,"yyyy-mm-dd")))</f>
        <v/>
      </c>
      <c r="AB1149">
        <f>AB1148+IF($R1149="",0,1)</f>
        <v/>
      </c>
      <c r="AC1149">
        <f>IF($R1149="","",$AB1149)</f>
        <v/>
      </c>
    </row>
    <row r="1150">
      <c r="O1150">
        <f>1148</f>
        <v/>
      </c>
      <c r="P1150">
        <f>IF(TRIM('입력_구리근무자명단'!$A1148&amp;"")&lt;&gt;"",TRIM('입력_구리근무자명단'!$A1148&amp;""),P1149)</f>
        <v/>
      </c>
      <c r="Q1150">
        <f>'입력_구리근무자명단'!$B1148&amp;""</f>
        <v/>
      </c>
      <c r="R1150">
        <f>IF($E$2="","",TRIM(INDEX('입력_구리근무자명단'!$A1148:$ZZ1148,1,$E$2+IF($G$2="확정",1,0))&amp;""))</f>
        <v/>
      </c>
      <c r="S1150">
        <f>IF($R1150="","",IF(INDEX('입력_구리근무자명단'!$A1148:$ZZ1148,1,$E$2+2)&amp;""="",급여기준월,IF(ISNUMBER(INDEX('입력_구리근무자명단'!$A1148:$ZZ1148,1,$E$2+2)),INDEX('입력_구리근무자명단'!$A1148:$ZZ1148,1,$E$2+2),IFERROR(DATE(VALUE(LEFT(INDEX('입력_구리근무자명단'!$A1148:$ZZ1148,1,$E$2+2),4)),VALUE(MID(INDEX('입력_구리근무자명단'!$A1148:$ZZ1148,1,$E$2+2),6,2)),VALUE(MID(INDEX('입력_구리근무자명단'!$A1148:$ZZ1148,1,$E$2+2),9,2))),-1))))</f>
        <v/>
      </c>
      <c r="T1150">
        <f>IF($R1150="","",IF(INDEX('입력_구리근무자명단'!$A1148:$ZZ1148,1,$E$2+3)&amp;""="",EOMONTH(급여기준월,0),IF(ISNUMBER(INDEX('입력_구리근무자명단'!$A1148:$ZZ1148,1,$E$2+3)),INDEX('입력_구리근무자명단'!$A1148:$ZZ1148,1,$E$2+3),IFERROR(DATE(VALUE(LEFT(INDEX('입력_구리근무자명단'!$A1148:$ZZ1148,1,$E$2+3),4)),VALUE(MID(INDEX('입력_구리근무자명단'!$A1148:$ZZ1148,1,$E$2+3),6,2)),VALUE(MID(INDEX('입력_구리근무자명단'!$A1148:$ZZ1148,1,$E$2+3),9,2))),-1))))</f>
        <v/>
      </c>
      <c r="U1150">
        <f>IF($R1150="","",IF(OR($S1150&lt;0,$T1150&lt;0),0,MAX(0,MIN($T1150,EOMONTH(급여기준월,0))-MAX($S1150,급여기준월)+1)))</f>
        <v/>
      </c>
      <c r="V1150">
        <f>IF($R1150="","",TRIM(INDEX('입력_구리근무자명단'!$A1148:$ZZ1148,1,$E$2+5)&amp;""))</f>
        <v/>
      </c>
      <c r="W1150">
        <f>IF(ISNUMBER(SEARCH("구리독자",$V1150)),"구리독자","")</f>
        <v/>
      </c>
      <c r="X1150">
        <f>IF($R1150="","",$R1150&amp;"|"&amp;IF(OR($Q1150="인턴",ISNUMBER(SEARCH("수련교육부",$P1150))),"인턴",$P1150))</f>
        <v/>
      </c>
      <c r="Y1150">
        <f>IF($R1150="","",IF(COUNTIF(명단표[이름|과],$X1150)=1,"명단 일치",IF(AND(COUNTIF(명단표[이름|과],$X1150)=0,COUNTIF(명단표[이름],$R1150)=1),"명단 일치(이름만, 과 다름)",IF(COUNTIF(명단표[이름],$R1150)=0,IF(COUNTIF(기본자료표[이름],$R1150)&gt;0,"명단에 없음(기본자료에는 있음)","명단에 없음"),"동명이인 확인"))))</f>
        <v/>
      </c>
      <c r="Z1150">
        <f>IF($R1150="","",IF($S1150&lt;0,"⚠"&amp;INDEX('입력_구리근무자명단'!$A1148:$ZZ1148,1,$E$2+2),TEXT($S1150,"yyyy-mm-dd")))</f>
        <v/>
      </c>
      <c r="AA1150">
        <f>IF($R1150="","",IF($T1150&lt;0,"⚠"&amp;INDEX('입력_구리근무자명단'!$A1148:$ZZ1148,1,$E$2+3),TEXT($T1150,"yyyy-mm-dd")))</f>
        <v/>
      </c>
      <c r="AB1150">
        <f>AB1149+IF($R1150="",0,1)</f>
        <v/>
      </c>
      <c r="AC1150">
        <f>IF($R1150="","",$AB1150)</f>
        <v/>
      </c>
    </row>
    <row r="1151">
      <c r="O1151">
        <f>1149</f>
        <v/>
      </c>
      <c r="P1151">
        <f>IF(TRIM('입력_구리근무자명단'!$A1149&amp;"")&lt;&gt;"",TRIM('입력_구리근무자명단'!$A1149&amp;""),P1150)</f>
        <v/>
      </c>
      <c r="Q1151">
        <f>'입력_구리근무자명단'!$B1149&amp;""</f>
        <v/>
      </c>
      <c r="R1151">
        <f>IF($E$2="","",TRIM(INDEX('입력_구리근무자명단'!$A1149:$ZZ1149,1,$E$2+IF($G$2="확정",1,0))&amp;""))</f>
        <v/>
      </c>
      <c r="S1151">
        <f>IF($R1151="","",IF(INDEX('입력_구리근무자명단'!$A1149:$ZZ1149,1,$E$2+2)&amp;""="",급여기준월,IF(ISNUMBER(INDEX('입력_구리근무자명단'!$A1149:$ZZ1149,1,$E$2+2)),INDEX('입력_구리근무자명단'!$A1149:$ZZ1149,1,$E$2+2),IFERROR(DATE(VALUE(LEFT(INDEX('입력_구리근무자명단'!$A1149:$ZZ1149,1,$E$2+2),4)),VALUE(MID(INDEX('입력_구리근무자명단'!$A1149:$ZZ1149,1,$E$2+2),6,2)),VALUE(MID(INDEX('입력_구리근무자명단'!$A1149:$ZZ1149,1,$E$2+2),9,2))),-1))))</f>
        <v/>
      </c>
      <c r="T1151">
        <f>IF($R1151="","",IF(INDEX('입력_구리근무자명단'!$A1149:$ZZ1149,1,$E$2+3)&amp;""="",EOMONTH(급여기준월,0),IF(ISNUMBER(INDEX('입력_구리근무자명단'!$A1149:$ZZ1149,1,$E$2+3)),INDEX('입력_구리근무자명단'!$A1149:$ZZ1149,1,$E$2+3),IFERROR(DATE(VALUE(LEFT(INDEX('입력_구리근무자명단'!$A1149:$ZZ1149,1,$E$2+3),4)),VALUE(MID(INDEX('입력_구리근무자명단'!$A1149:$ZZ1149,1,$E$2+3),6,2)),VALUE(MID(INDEX('입력_구리근무자명단'!$A1149:$ZZ1149,1,$E$2+3),9,2))),-1))))</f>
        <v/>
      </c>
      <c r="U1151">
        <f>IF($R1151="","",IF(OR($S1151&lt;0,$T1151&lt;0),0,MAX(0,MIN($T1151,EOMONTH(급여기준월,0))-MAX($S1151,급여기준월)+1)))</f>
        <v/>
      </c>
      <c r="V1151">
        <f>IF($R1151="","",TRIM(INDEX('입력_구리근무자명단'!$A1149:$ZZ1149,1,$E$2+5)&amp;""))</f>
        <v/>
      </c>
      <c r="W1151">
        <f>IF(ISNUMBER(SEARCH("구리독자",$V1151)),"구리독자","")</f>
        <v/>
      </c>
      <c r="X1151">
        <f>IF($R1151="","",$R1151&amp;"|"&amp;IF(OR($Q1151="인턴",ISNUMBER(SEARCH("수련교육부",$P1151))),"인턴",$P1151))</f>
        <v/>
      </c>
      <c r="Y1151">
        <f>IF($R1151="","",IF(COUNTIF(명단표[이름|과],$X1151)=1,"명단 일치",IF(AND(COUNTIF(명단표[이름|과],$X1151)=0,COUNTIF(명단표[이름],$R1151)=1),"명단 일치(이름만, 과 다름)",IF(COUNTIF(명단표[이름],$R1151)=0,IF(COUNTIF(기본자료표[이름],$R1151)&gt;0,"명단에 없음(기본자료에는 있음)","명단에 없음"),"동명이인 확인"))))</f>
        <v/>
      </c>
      <c r="Z1151">
        <f>IF($R1151="","",IF($S1151&lt;0,"⚠"&amp;INDEX('입력_구리근무자명단'!$A1149:$ZZ1149,1,$E$2+2),TEXT($S1151,"yyyy-mm-dd")))</f>
        <v/>
      </c>
      <c r="AA1151">
        <f>IF($R1151="","",IF($T1151&lt;0,"⚠"&amp;INDEX('입력_구리근무자명단'!$A1149:$ZZ1149,1,$E$2+3),TEXT($T1151,"yyyy-mm-dd")))</f>
        <v/>
      </c>
      <c r="AB1151">
        <f>AB1150+IF($R1151="",0,1)</f>
        <v/>
      </c>
      <c r="AC1151">
        <f>IF($R1151="","",$AB1151)</f>
        <v/>
      </c>
    </row>
    <row r="1152">
      <c r="O1152">
        <f>1150</f>
        <v/>
      </c>
      <c r="P1152">
        <f>IF(TRIM('입력_구리근무자명단'!$A1150&amp;"")&lt;&gt;"",TRIM('입력_구리근무자명단'!$A1150&amp;""),P1151)</f>
        <v/>
      </c>
      <c r="Q1152">
        <f>'입력_구리근무자명단'!$B1150&amp;""</f>
        <v/>
      </c>
      <c r="R1152">
        <f>IF($E$2="","",TRIM(INDEX('입력_구리근무자명단'!$A1150:$ZZ1150,1,$E$2+IF($G$2="확정",1,0))&amp;""))</f>
        <v/>
      </c>
      <c r="S1152">
        <f>IF($R1152="","",IF(INDEX('입력_구리근무자명단'!$A1150:$ZZ1150,1,$E$2+2)&amp;""="",급여기준월,IF(ISNUMBER(INDEX('입력_구리근무자명단'!$A1150:$ZZ1150,1,$E$2+2)),INDEX('입력_구리근무자명단'!$A1150:$ZZ1150,1,$E$2+2),IFERROR(DATE(VALUE(LEFT(INDEX('입력_구리근무자명단'!$A1150:$ZZ1150,1,$E$2+2),4)),VALUE(MID(INDEX('입력_구리근무자명단'!$A1150:$ZZ1150,1,$E$2+2),6,2)),VALUE(MID(INDEX('입력_구리근무자명단'!$A1150:$ZZ1150,1,$E$2+2),9,2))),-1))))</f>
        <v/>
      </c>
      <c r="T1152">
        <f>IF($R1152="","",IF(INDEX('입력_구리근무자명단'!$A1150:$ZZ1150,1,$E$2+3)&amp;""="",EOMONTH(급여기준월,0),IF(ISNUMBER(INDEX('입력_구리근무자명단'!$A1150:$ZZ1150,1,$E$2+3)),INDEX('입력_구리근무자명단'!$A1150:$ZZ1150,1,$E$2+3),IFERROR(DATE(VALUE(LEFT(INDEX('입력_구리근무자명단'!$A1150:$ZZ1150,1,$E$2+3),4)),VALUE(MID(INDEX('입력_구리근무자명단'!$A1150:$ZZ1150,1,$E$2+3),6,2)),VALUE(MID(INDEX('입력_구리근무자명단'!$A1150:$ZZ1150,1,$E$2+3),9,2))),-1))))</f>
        <v/>
      </c>
      <c r="U1152">
        <f>IF($R1152="","",IF(OR($S1152&lt;0,$T1152&lt;0),0,MAX(0,MIN($T1152,EOMONTH(급여기준월,0))-MAX($S1152,급여기준월)+1)))</f>
        <v/>
      </c>
      <c r="V1152">
        <f>IF($R1152="","",TRIM(INDEX('입력_구리근무자명단'!$A1150:$ZZ1150,1,$E$2+5)&amp;""))</f>
        <v/>
      </c>
      <c r="W1152">
        <f>IF(ISNUMBER(SEARCH("구리독자",$V1152)),"구리독자","")</f>
        <v/>
      </c>
      <c r="X1152">
        <f>IF($R1152="","",$R1152&amp;"|"&amp;IF(OR($Q1152="인턴",ISNUMBER(SEARCH("수련교육부",$P1152))),"인턴",$P1152))</f>
        <v/>
      </c>
      <c r="Y1152">
        <f>IF($R1152="","",IF(COUNTIF(명단표[이름|과],$X1152)=1,"명단 일치",IF(AND(COUNTIF(명단표[이름|과],$X1152)=0,COUNTIF(명단표[이름],$R1152)=1),"명단 일치(이름만, 과 다름)",IF(COUNTIF(명단표[이름],$R1152)=0,IF(COUNTIF(기본자료표[이름],$R1152)&gt;0,"명단에 없음(기본자료에는 있음)","명단에 없음"),"동명이인 확인"))))</f>
        <v/>
      </c>
      <c r="Z1152">
        <f>IF($R1152="","",IF($S1152&lt;0,"⚠"&amp;INDEX('입력_구리근무자명단'!$A1150:$ZZ1150,1,$E$2+2),TEXT($S1152,"yyyy-mm-dd")))</f>
        <v/>
      </c>
      <c r="AA1152">
        <f>IF($R1152="","",IF($T1152&lt;0,"⚠"&amp;INDEX('입력_구리근무자명단'!$A1150:$ZZ1150,1,$E$2+3),TEXT($T1152,"yyyy-mm-dd")))</f>
        <v/>
      </c>
      <c r="AB1152">
        <f>AB1151+IF($R1152="",0,1)</f>
        <v/>
      </c>
      <c r="AC1152">
        <f>IF($R1152="","",$AB1152)</f>
        <v/>
      </c>
    </row>
    <row r="1153">
      <c r="O1153">
        <f>1151</f>
        <v/>
      </c>
      <c r="P1153">
        <f>IF(TRIM('입력_구리근무자명단'!$A1151&amp;"")&lt;&gt;"",TRIM('입력_구리근무자명단'!$A1151&amp;""),P1152)</f>
        <v/>
      </c>
      <c r="Q1153">
        <f>'입력_구리근무자명단'!$B1151&amp;""</f>
        <v/>
      </c>
      <c r="R1153">
        <f>IF($E$2="","",TRIM(INDEX('입력_구리근무자명단'!$A1151:$ZZ1151,1,$E$2+IF($G$2="확정",1,0))&amp;""))</f>
        <v/>
      </c>
      <c r="S1153">
        <f>IF($R1153="","",IF(INDEX('입력_구리근무자명단'!$A1151:$ZZ1151,1,$E$2+2)&amp;""="",급여기준월,IF(ISNUMBER(INDEX('입력_구리근무자명단'!$A1151:$ZZ1151,1,$E$2+2)),INDEX('입력_구리근무자명단'!$A1151:$ZZ1151,1,$E$2+2),IFERROR(DATE(VALUE(LEFT(INDEX('입력_구리근무자명단'!$A1151:$ZZ1151,1,$E$2+2),4)),VALUE(MID(INDEX('입력_구리근무자명단'!$A1151:$ZZ1151,1,$E$2+2),6,2)),VALUE(MID(INDEX('입력_구리근무자명단'!$A1151:$ZZ1151,1,$E$2+2),9,2))),-1))))</f>
        <v/>
      </c>
      <c r="T1153">
        <f>IF($R1153="","",IF(INDEX('입력_구리근무자명단'!$A1151:$ZZ1151,1,$E$2+3)&amp;""="",EOMONTH(급여기준월,0),IF(ISNUMBER(INDEX('입력_구리근무자명단'!$A1151:$ZZ1151,1,$E$2+3)),INDEX('입력_구리근무자명단'!$A1151:$ZZ1151,1,$E$2+3),IFERROR(DATE(VALUE(LEFT(INDEX('입력_구리근무자명단'!$A1151:$ZZ1151,1,$E$2+3),4)),VALUE(MID(INDEX('입력_구리근무자명단'!$A1151:$ZZ1151,1,$E$2+3),6,2)),VALUE(MID(INDEX('입력_구리근무자명단'!$A1151:$ZZ1151,1,$E$2+3),9,2))),-1))))</f>
        <v/>
      </c>
      <c r="U1153">
        <f>IF($R1153="","",IF(OR($S1153&lt;0,$T1153&lt;0),0,MAX(0,MIN($T1153,EOMONTH(급여기준월,0))-MAX($S1153,급여기준월)+1)))</f>
        <v/>
      </c>
      <c r="V1153">
        <f>IF($R1153="","",TRIM(INDEX('입력_구리근무자명단'!$A1151:$ZZ1151,1,$E$2+5)&amp;""))</f>
        <v/>
      </c>
      <c r="W1153">
        <f>IF(ISNUMBER(SEARCH("구리독자",$V1153)),"구리독자","")</f>
        <v/>
      </c>
      <c r="X1153">
        <f>IF($R1153="","",$R1153&amp;"|"&amp;IF(OR($Q1153="인턴",ISNUMBER(SEARCH("수련교육부",$P1153))),"인턴",$P1153))</f>
        <v/>
      </c>
      <c r="Y1153">
        <f>IF($R1153="","",IF(COUNTIF(명단표[이름|과],$X1153)=1,"명단 일치",IF(AND(COUNTIF(명단표[이름|과],$X1153)=0,COUNTIF(명단표[이름],$R1153)=1),"명단 일치(이름만, 과 다름)",IF(COUNTIF(명단표[이름],$R1153)=0,IF(COUNTIF(기본자료표[이름],$R1153)&gt;0,"명단에 없음(기본자료에는 있음)","명단에 없음"),"동명이인 확인"))))</f>
        <v/>
      </c>
      <c r="Z1153">
        <f>IF($R1153="","",IF($S1153&lt;0,"⚠"&amp;INDEX('입력_구리근무자명단'!$A1151:$ZZ1151,1,$E$2+2),TEXT($S1153,"yyyy-mm-dd")))</f>
        <v/>
      </c>
      <c r="AA1153">
        <f>IF($R1153="","",IF($T1153&lt;0,"⚠"&amp;INDEX('입력_구리근무자명단'!$A1151:$ZZ1151,1,$E$2+3),TEXT($T1153,"yyyy-mm-dd")))</f>
        <v/>
      </c>
      <c r="AB1153">
        <f>AB1152+IF($R1153="",0,1)</f>
        <v/>
      </c>
      <c r="AC1153">
        <f>IF($R1153="","",$AB1153)</f>
        <v/>
      </c>
    </row>
    <row r="1154">
      <c r="O1154">
        <f>1152</f>
        <v/>
      </c>
      <c r="P1154">
        <f>IF(TRIM('입력_구리근무자명단'!$A1152&amp;"")&lt;&gt;"",TRIM('입력_구리근무자명단'!$A1152&amp;""),P1153)</f>
        <v/>
      </c>
      <c r="Q1154">
        <f>'입력_구리근무자명단'!$B1152&amp;""</f>
        <v/>
      </c>
      <c r="R1154">
        <f>IF($E$2="","",TRIM(INDEX('입력_구리근무자명단'!$A1152:$ZZ1152,1,$E$2+IF($G$2="확정",1,0))&amp;""))</f>
        <v/>
      </c>
      <c r="S1154">
        <f>IF($R1154="","",IF(INDEX('입력_구리근무자명단'!$A1152:$ZZ1152,1,$E$2+2)&amp;""="",급여기준월,IF(ISNUMBER(INDEX('입력_구리근무자명단'!$A1152:$ZZ1152,1,$E$2+2)),INDEX('입력_구리근무자명단'!$A1152:$ZZ1152,1,$E$2+2),IFERROR(DATE(VALUE(LEFT(INDEX('입력_구리근무자명단'!$A1152:$ZZ1152,1,$E$2+2),4)),VALUE(MID(INDEX('입력_구리근무자명단'!$A1152:$ZZ1152,1,$E$2+2),6,2)),VALUE(MID(INDEX('입력_구리근무자명단'!$A1152:$ZZ1152,1,$E$2+2),9,2))),-1))))</f>
        <v/>
      </c>
      <c r="T1154">
        <f>IF($R1154="","",IF(INDEX('입력_구리근무자명단'!$A1152:$ZZ1152,1,$E$2+3)&amp;""="",EOMONTH(급여기준월,0),IF(ISNUMBER(INDEX('입력_구리근무자명단'!$A1152:$ZZ1152,1,$E$2+3)),INDEX('입력_구리근무자명단'!$A1152:$ZZ1152,1,$E$2+3),IFERROR(DATE(VALUE(LEFT(INDEX('입력_구리근무자명단'!$A1152:$ZZ1152,1,$E$2+3),4)),VALUE(MID(INDEX('입력_구리근무자명단'!$A1152:$ZZ1152,1,$E$2+3),6,2)),VALUE(MID(INDEX('입력_구리근무자명단'!$A1152:$ZZ1152,1,$E$2+3),9,2))),-1))))</f>
        <v/>
      </c>
      <c r="U1154">
        <f>IF($R1154="","",IF(OR($S1154&lt;0,$T1154&lt;0),0,MAX(0,MIN($T1154,EOMONTH(급여기준월,0))-MAX($S1154,급여기준월)+1)))</f>
        <v/>
      </c>
      <c r="V1154">
        <f>IF($R1154="","",TRIM(INDEX('입력_구리근무자명단'!$A1152:$ZZ1152,1,$E$2+5)&amp;""))</f>
        <v/>
      </c>
      <c r="W1154">
        <f>IF(ISNUMBER(SEARCH("구리독자",$V1154)),"구리독자","")</f>
        <v/>
      </c>
      <c r="X1154">
        <f>IF($R1154="","",$R1154&amp;"|"&amp;IF(OR($Q1154="인턴",ISNUMBER(SEARCH("수련교육부",$P1154))),"인턴",$P1154))</f>
        <v/>
      </c>
      <c r="Y1154">
        <f>IF($R1154="","",IF(COUNTIF(명단표[이름|과],$X1154)=1,"명단 일치",IF(AND(COUNTIF(명단표[이름|과],$X1154)=0,COUNTIF(명단표[이름],$R1154)=1),"명단 일치(이름만, 과 다름)",IF(COUNTIF(명단표[이름],$R1154)=0,IF(COUNTIF(기본자료표[이름],$R1154)&gt;0,"명단에 없음(기본자료에는 있음)","명단에 없음"),"동명이인 확인"))))</f>
        <v/>
      </c>
      <c r="Z1154">
        <f>IF($R1154="","",IF($S1154&lt;0,"⚠"&amp;INDEX('입력_구리근무자명단'!$A1152:$ZZ1152,1,$E$2+2),TEXT($S1154,"yyyy-mm-dd")))</f>
        <v/>
      </c>
      <c r="AA1154">
        <f>IF($R1154="","",IF($T1154&lt;0,"⚠"&amp;INDEX('입력_구리근무자명단'!$A1152:$ZZ1152,1,$E$2+3),TEXT($T1154,"yyyy-mm-dd")))</f>
        <v/>
      </c>
      <c r="AB1154">
        <f>AB1153+IF($R1154="",0,1)</f>
        <v/>
      </c>
      <c r="AC1154">
        <f>IF($R1154="","",$AB1154)</f>
        <v/>
      </c>
    </row>
    <row r="1155">
      <c r="O1155">
        <f>1153</f>
        <v/>
      </c>
      <c r="P1155">
        <f>IF(TRIM('입력_구리근무자명단'!$A1153&amp;"")&lt;&gt;"",TRIM('입력_구리근무자명단'!$A1153&amp;""),P1154)</f>
        <v/>
      </c>
      <c r="Q1155">
        <f>'입력_구리근무자명단'!$B1153&amp;""</f>
        <v/>
      </c>
      <c r="R1155">
        <f>IF($E$2="","",TRIM(INDEX('입력_구리근무자명단'!$A1153:$ZZ1153,1,$E$2+IF($G$2="확정",1,0))&amp;""))</f>
        <v/>
      </c>
      <c r="S1155">
        <f>IF($R1155="","",IF(INDEX('입력_구리근무자명단'!$A1153:$ZZ1153,1,$E$2+2)&amp;""="",급여기준월,IF(ISNUMBER(INDEX('입력_구리근무자명단'!$A1153:$ZZ1153,1,$E$2+2)),INDEX('입력_구리근무자명단'!$A1153:$ZZ1153,1,$E$2+2),IFERROR(DATE(VALUE(LEFT(INDEX('입력_구리근무자명단'!$A1153:$ZZ1153,1,$E$2+2),4)),VALUE(MID(INDEX('입력_구리근무자명단'!$A1153:$ZZ1153,1,$E$2+2),6,2)),VALUE(MID(INDEX('입력_구리근무자명단'!$A1153:$ZZ1153,1,$E$2+2),9,2))),-1))))</f>
        <v/>
      </c>
      <c r="T1155">
        <f>IF($R1155="","",IF(INDEX('입력_구리근무자명단'!$A1153:$ZZ1153,1,$E$2+3)&amp;""="",EOMONTH(급여기준월,0),IF(ISNUMBER(INDEX('입력_구리근무자명단'!$A1153:$ZZ1153,1,$E$2+3)),INDEX('입력_구리근무자명단'!$A1153:$ZZ1153,1,$E$2+3),IFERROR(DATE(VALUE(LEFT(INDEX('입력_구리근무자명단'!$A1153:$ZZ1153,1,$E$2+3),4)),VALUE(MID(INDEX('입력_구리근무자명단'!$A1153:$ZZ1153,1,$E$2+3),6,2)),VALUE(MID(INDEX('입력_구리근무자명단'!$A1153:$ZZ1153,1,$E$2+3),9,2))),-1))))</f>
        <v/>
      </c>
      <c r="U1155">
        <f>IF($R1155="","",IF(OR($S1155&lt;0,$T1155&lt;0),0,MAX(0,MIN($T1155,EOMONTH(급여기준월,0))-MAX($S1155,급여기준월)+1)))</f>
        <v/>
      </c>
      <c r="V1155">
        <f>IF($R1155="","",TRIM(INDEX('입력_구리근무자명단'!$A1153:$ZZ1153,1,$E$2+5)&amp;""))</f>
        <v/>
      </c>
      <c r="W1155">
        <f>IF(ISNUMBER(SEARCH("구리독자",$V1155)),"구리독자","")</f>
        <v/>
      </c>
      <c r="X1155">
        <f>IF($R1155="","",$R1155&amp;"|"&amp;IF(OR($Q1155="인턴",ISNUMBER(SEARCH("수련교육부",$P1155))),"인턴",$P1155))</f>
        <v/>
      </c>
      <c r="Y1155">
        <f>IF($R1155="","",IF(COUNTIF(명단표[이름|과],$X1155)=1,"명단 일치",IF(AND(COUNTIF(명단표[이름|과],$X1155)=0,COUNTIF(명단표[이름],$R1155)=1),"명단 일치(이름만, 과 다름)",IF(COUNTIF(명단표[이름],$R1155)=0,IF(COUNTIF(기본자료표[이름],$R1155)&gt;0,"명단에 없음(기본자료에는 있음)","명단에 없음"),"동명이인 확인"))))</f>
        <v/>
      </c>
      <c r="Z1155">
        <f>IF($R1155="","",IF($S1155&lt;0,"⚠"&amp;INDEX('입력_구리근무자명단'!$A1153:$ZZ1153,1,$E$2+2),TEXT($S1155,"yyyy-mm-dd")))</f>
        <v/>
      </c>
      <c r="AA1155">
        <f>IF($R1155="","",IF($T1155&lt;0,"⚠"&amp;INDEX('입력_구리근무자명단'!$A1153:$ZZ1153,1,$E$2+3),TEXT($T1155,"yyyy-mm-dd")))</f>
        <v/>
      </c>
      <c r="AB1155">
        <f>AB1154+IF($R1155="",0,1)</f>
        <v/>
      </c>
      <c r="AC1155">
        <f>IF($R1155="","",$AB1155)</f>
        <v/>
      </c>
    </row>
    <row r="1156">
      <c r="O1156">
        <f>1154</f>
        <v/>
      </c>
      <c r="P1156">
        <f>IF(TRIM('입력_구리근무자명단'!$A1154&amp;"")&lt;&gt;"",TRIM('입력_구리근무자명단'!$A1154&amp;""),P1155)</f>
        <v/>
      </c>
      <c r="Q1156">
        <f>'입력_구리근무자명단'!$B1154&amp;""</f>
        <v/>
      </c>
      <c r="R1156">
        <f>IF($E$2="","",TRIM(INDEX('입력_구리근무자명단'!$A1154:$ZZ1154,1,$E$2+IF($G$2="확정",1,0))&amp;""))</f>
        <v/>
      </c>
      <c r="S1156">
        <f>IF($R1156="","",IF(INDEX('입력_구리근무자명단'!$A1154:$ZZ1154,1,$E$2+2)&amp;""="",급여기준월,IF(ISNUMBER(INDEX('입력_구리근무자명단'!$A1154:$ZZ1154,1,$E$2+2)),INDEX('입력_구리근무자명단'!$A1154:$ZZ1154,1,$E$2+2),IFERROR(DATE(VALUE(LEFT(INDEX('입력_구리근무자명단'!$A1154:$ZZ1154,1,$E$2+2),4)),VALUE(MID(INDEX('입력_구리근무자명단'!$A1154:$ZZ1154,1,$E$2+2),6,2)),VALUE(MID(INDEX('입력_구리근무자명단'!$A1154:$ZZ1154,1,$E$2+2),9,2))),-1))))</f>
        <v/>
      </c>
      <c r="T1156">
        <f>IF($R1156="","",IF(INDEX('입력_구리근무자명단'!$A1154:$ZZ1154,1,$E$2+3)&amp;""="",EOMONTH(급여기준월,0),IF(ISNUMBER(INDEX('입력_구리근무자명단'!$A1154:$ZZ1154,1,$E$2+3)),INDEX('입력_구리근무자명단'!$A1154:$ZZ1154,1,$E$2+3),IFERROR(DATE(VALUE(LEFT(INDEX('입력_구리근무자명단'!$A1154:$ZZ1154,1,$E$2+3),4)),VALUE(MID(INDEX('입력_구리근무자명단'!$A1154:$ZZ1154,1,$E$2+3),6,2)),VALUE(MID(INDEX('입력_구리근무자명단'!$A1154:$ZZ1154,1,$E$2+3),9,2))),-1))))</f>
        <v/>
      </c>
      <c r="U1156">
        <f>IF($R1156="","",IF(OR($S1156&lt;0,$T1156&lt;0),0,MAX(0,MIN($T1156,EOMONTH(급여기준월,0))-MAX($S1156,급여기준월)+1)))</f>
        <v/>
      </c>
      <c r="V1156">
        <f>IF($R1156="","",TRIM(INDEX('입력_구리근무자명단'!$A1154:$ZZ1154,1,$E$2+5)&amp;""))</f>
        <v/>
      </c>
      <c r="W1156">
        <f>IF(ISNUMBER(SEARCH("구리독자",$V1156)),"구리독자","")</f>
        <v/>
      </c>
      <c r="X1156">
        <f>IF($R1156="","",$R1156&amp;"|"&amp;IF(OR($Q1156="인턴",ISNUMBER(SEARCH("수련교육부",$P1156))),"인턴",$P1156))</f>
        <v/>
      </c>
      <c r="Y1156">
        <f>IF($R1156="","",IF(COUNTIF(명단표[이름|과],$X1156)=1,"명단 일치",IF(AND(COUNTIF(명단표[이름|과],$X1156)=0,COUNTIF(명단표[이름],$R1156)=1),"명단 일치(이름만, 과 다름)",IF(COUNTIF(명단표[이름],$R1156)=0,IF(COUNTIF(기본자료표[이름],$R1156)&gt;0,"명단에 없음(기본자료에는 있음)","명단에 없음"),"동명이인 확인"))))</f>
        <v/>
      </c>
      <c r="Z1156">
        <f>IF($R1156="","",IF($S1156&lt;0,"⚠"&amp;INDEX('입력_구리근무자명단'!$A1154:$ZZ1154,1,$E$2+2),TEXT($S1156,"yyyy-mm-dd")))</f>
        <v/>
      </c>
      <c r="AA1156">
        <f>IF($R1156="","",IF($T1156&lt;0,"⚠"&amp;INDEX('입력_구리근무자명단'!$A1154:$ZZ1154,1,$E$2+3),TEXT($T1156,"yyyy-mm-dd")))</f>
        <v/>
      </c>
      <c r="AB1156">
        <f>AB1155+IF($R1156="",0,1)</f>
        <v/>
      </c>
      <c r="AC1156">
        <f>IF($R1156="","",$AB1156)</f>
        <v/>
      </c>
    </row>
    <row r="1157">
      <c r="O1157">
        <f>1155</f>
        <v/>
      </c>
      <c r="P1157">
        <f>IF(TRIM('입력_구리근무자명단'!$A1155&amp;"")&lt;&gt;"",TRIM('입력_구리근무자명단'!$A1155&amp;""),P1156)</f>
        <v/>
      </c>
      <c r="Q1157">
        <f>'입력_구리근무자명단'!$B1155&amp;""</f>
        <v/>
      </c>
      <c r="R1157">
        <f>IF($E$2="","",TRIM(INDEX('입력_구리근무자명단'!$A1155:$ZZ1155,1,$E$2+IF($G$2="확정",1,0))&amp;""))</f>
        <v/>
      </c>
      <c r="S1157">
        <f>IF($R1157="","",IF(INDEX('입력_구리근무자명단'!$A1155:$ZZ1155,1,$E$2+2)&amp;""="",급여기준월,IF(ISNUMBER(INDEX('입력_구리근무자명단'!$A1155:$ZZ1155,1,$E$2+2)),INDEX('입력_구리근무자명단'!$A1155:$ZZ1155,1,$E$2+2),IFERROR(DATE(VALUE(LEFT(INDEX('입력_구리근무자명단'!$A1155:$ZZ1155,1,$E$2+2),4)),VALUE(MID(INDEX('입력_구리근무자명단'!$A1155:$ZZ1155,1,$E$2+2),6,2)),VALUE(MID(INDEX('입력_구리근무자명단'!$A1155:$ZZ1155,1,$E$2+2),9,2))),-1))))</f>
        <v/>
      </c>
      <c r="T1157">
        <f>IF($R1157="","",IF(INDEX('입력_구리근무자명단'!$A1155:$ZZ1155,1,$E$2+3)&amp;""="",EOMONTH(급여기준월,0),IF(ISNUMBER(INDEX('입력_구리근무자명단'!$A1155:$ZZ1155,1,$E$2+3)),INDEX('입력_구리근무자명단'!$A1155:$ZZ1155,1,$E$2+3),IFERROR(DATE(VALUE(LEFT(INDEX('입력_구리근무자명단'!$A1155:$ZZ1155,1,$E$2+3),4)),VALUE(MID(INDEX('입력_구리근무자명단'!$A1155:$ZZ1155,1,$E$2+3),6,2)),VALUE(MID(INDEX('입력_구리근무자명단'!$A1155:$ZZ1155,1,$E$2+3),9,2))),-1))))</f>
        <v/>
      </c>
      <c r="U1157">
        <f>IF($R1157="","",IF(OR($S1157&lt;0,$T1157&lt;0),0,MAX(0,MIN($T1157,EOMONTH(급여기준월,0))-MAX($S1157,급여기준월)+1)))</f>
        <v/>
      </c>
      <c r="V1157">
        <f>IF($R1157="","",TRIM(INDEX('입력_구리근무자명단'!$A1155:$ZZ1155,1,$E$2+5)&amp;""))</f>
        <v/>
      </c>
      <c r="W1157">
        <f>IF(ISNUMBER(SEARCH("구리독자",$V1157)),"구리독자","")</f>
        <v/>
      </c>
      <c r="X1157">
        <f>IF($R1157="","",$R1157&amp;"|"&amp;IF(OR($Q1157="인턴",ISNUMBER(SEARCH("수련교육부",$P1157))),"인턴",$P1157))</f>
        <v/>
      </c>
      <c r="Y1157">
        <f>IF($R1157="","",IF(COUNTIF(명단표[이름|과],$X1157)=1,"명단 일치",IF(AND(COUNTIF(명단표[이름|과],$X1157)=0,COUNTIF(명단표[이름],$R1157)=1),"명단 일치(이름만, 과 다름)",IF(COUNTIF(명단표[이름],$R1157)=0,IF(COUNTIF(기본자료표[이름],$R1157)&gt;0,"명단에 없음(기본자료에는 있음)","명단에 없음"),"동명이인 확인"))))</f>
        <v/>
      </c>
      <c r="Z1157">
        <f>IF($R1157="","",IF($S1157&lt;0,"⚠"&amp;INDEX('입력_구리근무자명단'!$A1155:$ZZ1155,1,$E$2+2),TEXT($S1157,"yyyy-mm-dd")))</f>
        <v/>
      </c>
      <c r="AA1157">
        <f>IF($R1157="","",IF($T1157&lt;0,"⚠"&amp;INDEX('입력_구리근무자명단'!$A1155:$ZZ1155,1,$E$2+3),TEXT($T1157,"yyyy-mm-dd")))</f>
        <v/>
      </c>
      <c r="AB1157">
        <f>AB1156+IF($R1157="",0,1)</f>
        <v/>
      </c>
      <c r="AC1157">
        <f>IF($R1157="","",$AB1157)</f>
        <v/>
      </c>
    </row>
    <row r="1158">
      <c r="O1158">
        <f>1156</f>
        <v/>
      </c>
      <c r="P1158">
        <f>IF(TRIM('입력_구리근무자명단'!$A1156&amp;"")&lt;&gt;"",TRIM('입력_구리근무자명단'!$A1156&amp;""),P1157)</f>
        <v/>
      </c>
      <c r="Q1158">
        <f>'입력_구리근무자명단'!$B1156&amp;""</f>
        <v/>
      </c>
      <c r="R1158">
        <f>IF($E$2="","",TRIM(INDEX('입력_구리근무자명단'!$A1156:$ZZ1156,1,$E$2+IF($G$2="확정",1,0))&amp;""))</f>
        <v/>
      </c>
      <c r="S1158">
        <f>IF($R1158="","",IF(INDEX('입력_구리근무자명단'!$A1156:$ZZ1156,1,$E$2+2)&amp;""="",급여기준월,IF(ISNUMBER(INDEX('입력_구리근무자명단'!$A1156:$ZZ1156,1,$E$2+2)),INDEX('입력_구리근무자명단'!$A1156:$ZZ1156,1,$E$2+2),IFERROR(DATE(VALUE(LEFT(INDEX('입력_구리근무자명단'!$A1156:$ZZ1156,1,$E$2+2),4)),VALUE(MID(INDEX('입력_구리근무자명단'!$A1156:$ZZ1156,1,$E$2+2),6,2)),VALUE(MID(INDEX('입력_구리근무자명단'!$A1156:$ZZ1156,1,$E$2+2),9,2))),-1))))</f>
        <v/>
      </c>
      <c r="T1158">
        <f>IF($R1158="","",IF(INDEX('입력_구리근무자명단'!$A1156:$ZZ1156,1,$E$2+3)&amp;""="",EOMONTH(급여기준월,0),IF(ISNUMBER(INDEX('입력_구리근무자명단'!$A1156:$ZZ1156,1,$E$2+3)),INDEX('입력_구리근무자명단'!$A1156:$ZZ1156,1,$E$2+3),IFERROR(DATE(VALUE(LEFT(INDEX('입력_구리근무자명단'!$A1156:$ZZ1156,1,$E$2+3),4)),VALUE(MID(INDEX('입력_구리근무자명단'!$A1156:$ZZ1156,1,$E$2+3),6,2)),VALUE(MID(INDEX('입력_구리근무자명단'!$A1156:$ZZ1156,1,$E$2+3),9,2))),-1))))</f>
        <v/>
      </c>
      <c r="U1158">
        <f>IF($R1158="","",IF(OR($S1158&lt;0,$T1158&lt;0),0,MAX(0,MIN($T1158,EOMONTH(급여기준월,0))-MAX($S1158,급여기준월)+1)))</f>
        <v/>
      </c>
      <c r="V1158">
        <f>IF($R1158="","",TRIM(INDEX('입력_구리근무자명단'!$A1156:$ZZ1156,1,$E$2+5)&amp;""))</f>
        <v/>
      </c>
      <c r="W1158">
        <f>IF(ISNUMBER(SEARCH("구리독자",$V1158)),"구리독자","")</f>
        <v/>
      </c>
      <c r="X1158">
        <f>IF($R1158="","",$R1158&amp;"|"&amp;IF(OR($Q1158="인턴",ISNUMBER(SEARCH("수련교육부",$P1158))),"인턴",$P1158))</f>
        <v/>
      </c>
      <c r="Y1158">
        <f>IF($R1158="","",IF(COUNTIF(명단표[이름|과],$X1158)=1,"명단 일치",IF(AND(COUNTIF(명단표[이름|과],$X1158)=0,COUNTIF(명단표[이름],$R1158)=1),"명단 일치(이름만, 과 다름)",IF(COUNTIF(명단표[이름],$R1158)=0,IF(COUNTIF(기본자료표[이름],$R1158)&gt;0,"명단에 없음(기본자료에는 있음)","명단에 없음"),"동명이인 확인"))))</f>
        <v/>
      </c>
      <c r="Z1158">
        <f>IF($R1158="","",IF($S1158&lt;0,"⚠"&amp;INDEX('입력_구리근무자명단'!$A1156:$ZZ1156,1,$E$2+2),TEXT($S1158,"yyyy-mm-dd")))</f>
        <v/>
      </c>
      <c r="AA1158">
        <f>IF($R1158="","",IF($T1158&lt;0,"⚠"&amp;INDEX('입력_구리근무자명단'!$A1156:$ZZ1156,1,$E$2+3),TEXT($T1158,"yyyy-mm-dd")))</f>
        <v/>
      </c>
      <c r="AB1158">
        <f>AB1157+IF($R1158="",0,1)</f>
        <v/>
      </c>
      <c r="AC1158">
        <f>IF($R1158="","",$AB1158)</f>
        <v/>
      </c>
    </row>
    <row r="1159">
      <c r="O1159">
        <f>1157</f>
        <v/>
      </c>
      <c r="P1159">
        <f>IF(TRIM('입력_구리근무자명단'!$A1157&amp;"")&lt;&gt;"",TRIM('입력_구리근무자명단'!$A1157&amp;""),P1158)</f>
        <v/>
      </c>
      <c r="Q1159">
        <f>'입력_구리근무자명단'!$B1157&amp;""</f>
        <v/>
      </c>
      <c r="R1159">
        <f>IF($E$2="","",TRIM(INDEX('입력_구리근무자명단'!$A1157:$ZZ1157,1,$E$2+IF($G$2="확정",1,0))&amp;""))</f>
        <v/>
      </c>
      <c r="S1159">
        <f>IF($R1159="","",IF(INDEX('입력_구리근무자명단'!$A1157:$ZZ1157,1,$E$2+2)&amp;""="",급여기준월,IF(ISNUMBER(INDEX('입력_구리근무자명단'!$A1157:$ZZ1157,1,$E$2+2)),INDEX('입력_구리근무자명단'!$A1157:$ZZ1157,1,$E$2+2),IFERROR(DATE(VALUE(LEFT(INDEX('입력_구리근무자명단'!$A1157:$ZZ1157,1,$E$2+2),4)),VALUE(MID(INDEX('입력_구리근무자명단'!$A1157:$ZZ1157,1,$E$2+2),6,2)),VALUE(MID(INDEX('입력_구리근무자명단'!$A1157:$ZZ1157,1,$E$2+2),9,2))),-1))))</f>
        <v/>
      </c>
      <c r="T1159">
        <f>IF($R1159="","",IF(INDEX('입력_구리근무자명단'!$A1157:$ZZ1157,1,$E$2+3)&amp;""="",EOMONTH(급여기준월,0),IF(ISNUMBER(INDEX('입력_구리근무자명단'!$A1157:$ZZ1157,1,$E$2+3)),INDEX('입력_구리근무자명단'!$A1157:$ZZ1157,1,$E$2+3),IFERROR(DATE(VALUE(LEFT(INDEX('입력_구리근무자명단'!$A1157:$ZZ1157,1,$E$2+3),4)),VALUE(MID(INDEX('입력_구리근무자명단'!$A1157:$ZZ1157,1,$E$2+3),6,2)),VALUE(MID(INDEX('입력_구리근무자명단'!$A1157:$ZZ1157,1,$E$2+3),9,2))),-1))))</f>
        <v/>
      </c>
      <c r="U1159">
        <f>IF($R1159="","",IF(OR($S1159&lt;0,$T1159&lt;0),0,MAX(0,MIN($T1159,EOMONTH(급여기준월,0))-MAX($S1159,급여기준월)+1)))</f>
        <v/>
      </c>
      <c r="V1159">
        <f>IF($R1159="","",TRIM(INDEX('입력_구리근무자명단'!$A1157:$ZZ1157,1,$E$2+5)&amp;""))</f>
        <v/>
      </c>
      <c r="W1159">
        <f>IF(ISNUMBER(SEARCH("구리독자",$V1159)),"구리독자","")</f>
        <v/>
      </c>
      <c r="X1159">
        <f>IF($R1159="","",$R1159&amp;"|"&amp;IF(OR($Q1159="인턴",ISNUMBER(SEARCH("수련교육부",$P1159))),"인턴",$P1159))</f>
        <v/>
      </c>
      <c r="Y1159">
        <f>IF($R1159="","",IF(COUNTIF(명단표[이름|과],$X1159)=1,"명단 일치",IF(AND(COUNTIF(명단표[이름|과],$X1159)=0,COUNTIF(명단표[이름],$R1159)=1),"명단 일치(이름만, 과 다름)",IF(COUNTIF(명단표[이름],$R1159)=0,IF(COUNTIF(기본자료표[이름],$R1159)&gt;0,"명단에 없음(기본자료에는 있음)","명단에 없음"),"동명이인 확인"))))</f>
        <v/>
      </c>
      <c r="Z1159">
        <f>IF($R1159="","",IF($S1159&lt;0,"⚠"&amp;INDEX('입력_구리근무자명단'!$A1157:$ZZ1157,1,$E$2+2),TEXT($S1159,"yyyy-mm-dd")))</f>
        <v/>
      </c>
      <c r="AA1159">
        <f>IF($R1159="","",IF($T1159&lt;0,"⚠"&amp;INDEX('입력_구리근무자명단'!$A1157:$ZZ1157,1,$E$2+3),TEXT($T1159,"yyyy-mm-dd")))</f>
        <v/>
      </c>
      <c r="AB1159">
        <f>AB1158+IF($R1159="",0,1)</f>
        <v/>
      </c>
      <c r="AC1159">
        <f>IF($R1159="","",$AB1159)</f>
        <v/>
      </c>
    </row>
    <row r="1160">
      <c r="O1160">
        <f>1158</f>
        <v/>
      </c>
      <c r="P1160">
        <f>IF(TRIM('입력_구리근무자명단'!$A1158&amp;"")&lt;&gt;"",TRIM('입력_구리근무자명단'!$A1158&amp;""),P1159)</f>
        <v/>
      </c>
      <c r="Q1160">
        <f>'입력_구리근무자명단'!$B1158&amp;""</f>
        <v/>
      </c>
      <c r="R1160">
        <f>IF($E$2="","",TRIM(INDEX('입력_구리근무자명단'!$A1158:$ZZ1158,1,$E$2+IF($G$2="확정",1,0))&amp;""))</f>
        <v/>
      </c>
      <c r="S1160">
        <f>IF($R1160="","",IF(INDEX('입력_구리근무자명단'!$A1158:$ZZ1158,1,$E$2+2)&amp;""="",급여기준월,IF(ISNUMBER(INDEX('입력_구리근무자명단'!$A1158:$ZZ1158,1,$E$2+2)),INDEX('입력_구리근무자명단'!$A1158:$ZZ1158,1,$E$2+2),IFERROR(DATE(VALUE(LEFT(INDEX('입력_구리근무자명단'!$A1158:$ZZ1158,1,$E$2+2),4)),VALUE(MID(INDEX('입력_구리근무자명단'!$A1158:$ZZ1158,1,$E$2+2),6,2)),VALUE(MID(INDEX('입력_구리근무자명단'!$A1158:$ZZ1158,1,$E$2+2),9,2))),-1))))</f>
        <v/>
      </c>
      <c r="T1160">
        <f>IF($R1160="","",IF(INDEX('입력_구리근무자명단'!$A1158:$ZZ1158,1,$E$2+3)&amp;""="",EOMONTH(급여기준월,0),IF(ISNUMBER(INDEX('입력_구리근무자명단'!$A1158:$ZZ1158,1,$E$2+3)),INDEX('입력_구리근무자명단'!$A1158:$ZZ1158,1,$E$2+3),IFERROR(DATE(VALUE(LEFT(INDEX('입력_구리근무자명단'!$A1158:$ZZ1158,1,$E$2+3),4)),VALUE(MID(INDEX('입력_구리근무자명단'!$A1158:$ZZ1158,1,$E$2+3),6,2)),VALUE(MID(INDEX('입력_구리근무자명단'!$A1158:$ZZ1158,1,$E$2+3),9,2))),-1))))</f>
        <v/>
      </c>
      <c r="U1160">
        <f>IF($R1160="","",IF(OR($S1160&lt;0,$T1160&lt;0),0,MAX(0,MIN($T1160,EOMONTH(급여기준월,0))-MAX($S1160,급여기준월)+1)))</f>
        <v/>
      </c>
      <c r="V1160">
        <f>IF($R1160="","",TRIM(INDEX('입력_구리근무자명단'!$A1158:$ZZ1158,1,$E$2+5)&amp;""))</f>
        <v/>
      </c>
      <c r="W1160">
        <f>IF(ISNUMBER(SEARCH("구리독자",$V1160)),"구리독자","")</f>
        <v/>
      </c>
      <c r="X1160">
        <f>IF($R1160="","",$R1160&amp;"|"&amp;IF(OR($Q1160="인턴",ISNUMBER(SEARCH("수련교육부",$P1160))),"인턴",$P1160))</f>
        <v/>
      </c>
      <c r="Y1160">
        <f>IF($R1160="","",IF(COUNTIF(명단표[이름|과],$X1160)=1,"명단 일치",IF(AND(COUNTIF(명단표[이름|과],$X1160)=0,COUNTIF(명단표[이름],$R1160)=1),"명단 일치(이름만, 과 다름)",IF(COUNTIF(명단표[이름],$R1160)=0,IF(COUNTIF(기본자료표[이름],$R1160)&gt;0,"명단에 없음(기본자료에는 있음)","명단에 없음"),"동명이인 확인"))))</f>
        <v/>
      </c>
      <c r="Z1160">
        <f>IF($R1160="","",IF($S1160&lt;0,"⚠"&amp;INDEX('입력_구리근무자명단'!$A1158:$ZZ1158,1,$E$2+2),TEXT($S1160,"yyyy-mm-dd")))</f>
        <v/>
      </c>
      <c r="AA1160">
        <f>IF($R1160="","",IF($T1160&lt;0,"⚠"&amp;INDEX('입력_구리근무자명단'!$A1158:$ZZ1158,1,$E$2+3),TEXT($T1160,"yyyy-mm-dd")))</f>
        <v/>
      </c>
      <c r="AB1160">
        <f>AB1159+IF($R1160="",0,1)</f>
        <v/>
      </c>
      <c r="AC1160">
        <f>IF($R1160="","",$AB1160)</f>
        <v/>
      </c>
    </row>
    <row r="1161">
      <c r="O1161">
        <f>1159</f>
        <v/>
      </c>
      <c r="P1161">
        <f>IF(TRIM('입력_구리근무자명단'!$A1159&amp;"")&lt;&gt;"",TRIM('입력_구리근무자명단'!$A1159&amp;""),P1160)</f>
        <v/>
      </c>
      <c r="Q1161">
        <f>'입력_구리근무자명단'!$B1159&amp;""</f>
        <v/>
      </c>
      <c r="R1161">
        <f>IF($E$2="","",TRIM(INDEX('입력_구리근무자명단'!$A1159:$ZZ1159,1,$E$2+IF($G$2="확정",1,0))&amp;""))</f>
        <v/>
      </c>
      <c r="S1161">
        <f>IF($R1161="","",IF(INDEX('입력_구리근무자명단'!$A1159:$ZZ1159,1,$E$2+2)&amp;""="",급여기준월,IF(ISNUMBER(INDEX('입력_구리근무자명단'!$A1159:$ZZ1159,1,$E$2+2)),INDEX('입력_구리근무자명단'!$A1159:$ZZ1159,1,$E$2+2),IFERROR(DATE(VALUE(LEFT(INDEX('입력_구리근무자명단'!$A1159:$ZZ1159,1,$E$2+2),4)),VALUE(MID(INDEX('입력_구리근무자명단'!$A1159:$ZZ1159,1,$E$2+2),6,2)),VALUE(MID(INDEX('입력_구리근무자명단'!$A1159:$ZZ1159,1,$E$2+2),9,2))),-1))))</f>
        <v/>
      </c>
      <c r="T1161">
        <f>IF($R1161="","",IF(INDEX('입력_구리근무자명단'!$A1159:$ZZ1159,1,$E$2+3)&amp;""="",EOMONTH(급여기준월,0),IF(ISNUMBER(INDEX('입력_구리근무자명단'!$A1159:$ZZ1159,1,$E$2+3)),INDEX('입력_구리근무자명단'!$A1159:$ZZ1159,1,$E$2+3),IFERROR(DATE(VALUE(LEFT(INDEX('입력_구리근무자명단'!$A1159:$ZZ1159,1,$E$2+3),4)),VALUE(MID(INDEX('입력_구리근무자명단'!$A1159:$ZZ1159,1,$E$2+3),6,2)),VALUE(MID(INDEX('입력_구리근무자명단'!$A1159:$ZZ1159,1,$E$2+3),9,2))),-1))))</f>
        <v/>
      </c>
      <c r="U1161">
        <f>IF($R1161="","",IF(OR($S1161&lt;0,$T1161&lt;0),0,MAX(0,MIN($T1161,EOMONTH(급여기준월,0))-MAX($S1161,급여기준월)+1)))</f>
        <v/>
      </c>
      <c r="V1161">
        <f>IF($R1161="","",TRIM(INDEX('입력_구리근무자명단'!$A1159:$ZZ1159,1,$E$2+5)&amp;""))</f>
        <v/>
      </c>
      <c r="W1161">
        <f>IF(ISNUMBER(SEARCH("구리독자",$V1161)),"구리독자","")</f>
        <v/>
      </c>
      <c r="X1161">
        <f>IF($R1161="","",$R1161&amp;"|"&amp;IF(OR($Q1161="인턴",ISNUMBER(SEARCH("수련교육부",$P1161))),"인턴",$P1161))</f>
        <v/>
      </c>
      <c r="Y1161">
        <f>IF($R1161="","",IF(COUNTIF(명단표[이름|과],$X1161)=1,"명단 일치",IF(AND(COUNTIF(명단표[이름|과],$X1161)=0,COUNTIF(명단표[이름],$R1161)=1),"명단 일치(이름만, 과 다름)",IF(COUNTIF(명단표[이름],$R1161)=0,IF(COUNTIF(기본자료표[이름],$R1161)&gt;0,"명단에 없음(기본자료에는 있음)","명단에 없음"),"동명이인 확인"))))</f>
        <v/>
      </c>
      <c r="Z1161">
        <f>IF($R1161="","",IF($S1161&lt;0,"⚠"&amp;INDEX('입력_구리근무자명단'!$A1159:$ZZ1159,1,$E$2+2),TEXT($S1161,"yyyy-mm-dd")))</f>
        <v/>
      </c>
      <c r="AA1161">
        <f>IF($R1161="","",IF($T1161&lt;0,"⚠"&amp;INDEX('입력_구리근무자명단'!$A1159:$ZZ1159,1,$E$2+3),TEXT($T1161,"yyyy-mm-dd")))</f>
        <v/>
      </c>
      <c r="AB1161">
        <f>AB1160+IF($R1161="",0,1)</f>
        <v/>
      </c>
      <c r="AC1161">
        <f>IF($R1161="","",$AB1161)</f>
        <v/>
      </c>
    </row>
    <row r="1162">
      <c r="O1162">
        <f>1160</f>
        <v/>
      </c>
      <c r="P1162">
        <f>IF(TRIM('입력_구리근무자명단'!$A1160&amp;"")&lt;&gt;"",TRIM('입력_구리근무자명단'!$A1160&amp;""),P1161)</f>
        <v/>
      </c>
      <c r="Q1162">
        <f>'입력_구리근무자명단'!$B1160&amp;""</f>
        <v/>
      </c>
      <c r="R1162">
        <f>IF($E$2="","",TRIM(INDEX('입력_구리근무자명단'!$A1160:$ZZ1160,1,$E$2+IF($G$2="확정",1,0))&amp;""))</f>
        <v/>
      </c>
      <c r="S1162">
        <f>IF($R1162="","",IF(INDEX('입력_구리근무자명단'!$A1160:$ZZ1160,1,$E$2+2)&amp;""="",급여기준월,IF(ISNUMBER(INDEX('입력_구리근무자명단'!$A1160:$ZZ1160,1,$E$2+2)),INDEX('입력_구리근무자명단'!$A1160:$ZZ1160,1,$E$2+2),IFERROR(DATE(VALUE(LEFT(INDEX('입력_구리근무자명단'!$A1160:$ZZ1160,1,$E$2+2),4)),VALUE(MID(INDEX('입력_구리근무자명단'!$A1160:$ZZ1160,1,$E$2+2),6,2)),VALUE(MID(INDEX('입력_구리근무자명단'!$A1160:$ZZ1160,1,$E$2+2),9,2))),-1))))</f>
        <v/>
      </c>
      <c r="T1162">
        <f>IF($R1162="","",IF(INDEX('입력_구리근무자명단'!$A1160:$ZZ1160,1,$E$2+3)&amp;""="",EOMONTH(급여기준월,0),IF(ISNUMBER(INDEX('입력_구리근무자명단'!$A1160:$ZZ1160,1,$E$2+3)),INDEX('입력_구리근무자명단'!$A1160:$ZZ1160,1,$E$2+3),IFERROR(DATE(VALUE(LEFT(INDEX('입력_구리근무자명단'!$A1160:$ZZ1160,1,$E$2+3),4)),VALUE(MID(INDEX('입력_구리근무자명단'!$A1160:$ZZ1160,1,$E$2+3),6,2)),VALUE(MID(INDEX('입력_구리근무자명단'!$A1160:$ZZ1160,1,$E$2+3),9,2))),-1))))</f>
        <v/>
      </c>
      <c r="U1162">
        <f>IF($R1162="","",IF(OR($S1162&lt;0,$T1162&lt;0),0,MAX(0,MIN($T1162,EOMONTH(급여기준월,0))-MAX($S1162,급여기준월)+1)))</f>
        <v/>
      </c>
      <c r="V1162">
        <f>IF($R1162="","",TRIM(INDEX('입력_구리근무자명단'!$A1160:$ZZ1160,1,$E$2+5)&amp;""))</f>
        <v/>
      </c>
      <c r="W1162">
        <f>IF(ISNUMBER(SEARCH("구리독자",$V1162)),"구리독자","")</f>
        <v/>
      </c>
      <c r="X1162">
        <f>IF($R1162="","",$R1162&amp;"|"&amp;IF(OR($Q1162="인턴",ISNUMBER(SEARCH("수련교육부",$P1162))),"인턴",$P1162))</f>
        <v/>
      </c>
      <c r="Y1162">
        <f>IF($R1162="","",IF(COUNTIF(명단표[이름|과],$X1162)=1,"명단 일치",IF(AND(COUNTIF(명단표[이름|과],$X1162)=0,COUNTIF(명단표[이름],$R1162)=1),"명단 일치(이름만, 과 다름)",IF(COUNTIF(명단표[이름],$R1162)=0,IF(COUNTIF(기본자료표[이름],$R1162)&gt;0,"명단에 없음(기본자료에는 있음)","명단에 없음"),"동명이인 확인"))))</f>
        <v/>
      </c>
      <c r="Z1162">
        <f>IF($R1162="","",IF($S1162&lt;0,"⚠"&amp;INDEX('입력_구리근무자명단'!$A1160:$ZZ1160,1,$E$2+2),TEXT($S1162,"yyyy-mm-dd")))</f>
        <v/>
      </c>
      <c r="AA1162">
        <f>IF($R1162="","",IF($T1162&lt;0,"⚠"&amp;INDEX('입력_구리근무자명단'!$A1160:$ZZ1160,1,$E$2+3),TEXT($T1162,"yyyy-mm-dd")))</f>
        <v/>
      </c>
      <c r="AB1162">
        <f>AB1161+IF($R1162="",0,1)</f>
        <v/>
      </c>
      <c r="AC1162">
        <f>IF($R1162="","",$AB1162)</f>
        <v/>
      </c>
    </row>
    <row r="1163">
      <c r="O1163">
        <f>1161</f>
        <v/>
      </c>
      <c r="P1163">
        <f>IF(TRIM('입력_구리근무자명단'!$A1161&amp;"")&lt;&gt;"",TRIM('입력_구리근무자명단'!$A1161&amp;""),P1162)</f>
        <v/>
      </c>
      <c r="Q1163">
        <f>'입력_구리근무자명단'!$B1161&amp;""</f>
        <v/>
      </c>
      <c r="R1163">
        <f>IF($E$2="","",TRIM(INDEX('입력_구리근무자명단'!$A1161:$ZZ1161,1,$E$2+IF($G$2="확정",1,0))&amp;""))</f>
        <v/>
      </c>
      <c r="S1163">
        <f>IF($R1163="","",IF(INDEX('입력_구리근무자명단'!$A1161:$ZZ1161,1,$E$2+2)&amp;""="",급여기준월,IF(ISNUMBER(INDEX('입력_구리근무자명단'!$A1161:$ZZ1161,1,$E$2+2)),INDEX('입력_구리근무자명단'!$A1161:$ZZ1161,1,$E$2+2),IFERROR(DATE(VALUE(LEFT(INDEX('입력_구리근무자명단'!$A1161:$ZZ1161,1,$E$2+2),4)),VALUE(MID(INDEX('입력_구리근무자명단'!$A1161:$ZZ1161,1,$E$2+2),6,2)),VALUE(MID(INDEX('입력_구리근무자명단'!$A1161:$ZZ1161,1,$E$2+2),9,2))),-1))))</f>
        <v/>
      </c>
      <c r="T1163">
        <f>IF($R1163="","",IF(INDEX('입력_구리근무자명단'!$A1161:$ZZ1161,1,$E$2+3)&amp;""="",EOMONTH(급여기준월,0),IF(ISNUMBER(INDEX('입력_구리근무자명단'!$A1161:$ZZ1161,1,$E$2+3)),INDEX('입력_구리근무자명단'!$A1161:$ZZ1161,1,$E$2+3),IFERROR(DATE(VALUE(LEFT(INDEX('입력_구리근무자명단'!$A1161:$ZZ1161,1,$E$2+3),4)),VALUE(MID(INDEX('입력_구리근무자명단'!$A1161:$ZZ1161,1,$E$2+3),6,2)),VALUE(MID(INDEX('입력_구리근무자명단'!$A1161:$ZZ1161,1,$E$2+3),9,2))),-1))))</f>
        <v/>
      </c>
      <c r="U1163">
        <f>IF($R1163="","",IF(OR($S1163&lt;0,$T1163&lt;0),0,MAX(0,MIN($T1163,EOMONTH(급여기준월,0))-MAX($S1163,급여기준월)+1)))</f>
        <v/>
      </c>
      <c r="V1163">
        <f>IF($R1163="","",TRIM(INDEX('입력_구리근무자명단'!$A1161:$ZZ1161,1,$E$2+5)&amp;""))</f>
        <v/>
      </c>
      <c r="W1163">
        <f>IF(ISNUMBER(SEARCH("구리독자",$V1163)),"구리독자","")</f>
        <v/>
      </c>
      <c r="X1163">
        <f>IF($R1163="","",$R1163&amp;"|"&amp;IF(OR($Q1163="인턴",ISNUMBER(SEARCH("수련교육부",$P1163))),"인턴",$P1163))</f>
        <v/>
      </c>
      <c r="Y1163">
        <f>IF($R1163="","",IF(COUNTIF(명단표[이름|과],$X1163)=1,"명단 일치",IF(AND(COUNTIF(명단표[이름|과],$X1163)=0,COUNTIF(명단표[이름],$R1163)=1),"명단 일치(이름만, 과 다름)",IF(COUNTIF(명단표[이름],$R1163)=0,IF(COUNTIF(기본자료표[이름],$R1163)&gt;0,"명단에 없음(기본자료에는 있음)","명단에 없음"),"동명이인 확인"))))</f>
        <v/>
      </c>
      <c r="Z1163">
        <f>IF($R1163="","",IF($S1163&lt;0,"⚠"&amp;INDEX('입력_구리근무자명단'!$A1161:$ZZ1161,1,$E$2+2),TEXT($S1163,"yyyy-mm-dd")))</f>
        <v/>
      </c>
      <c r="AA1163">
        <f>IF($R1163="","",IF($T1163&lt;0,"⚠"&amp;INDEX('입력_구리근무자명단'!$A1161:$ZZ1161,1,$E$2+3),TEXT($T1163,"yyyy-mm-dd")))</f>
        <v/>
      </c>
      <c r="AB1163">
        <f>AB1162+IF($R1163="",0,1)</f>
        <v/>
      </c>
      <c r="AC1163">
        <f>IF($R1163="","",$AB1163)</f>
        <v/>
      </c>
    </row>
    <row r="1164">
      <c r="O1164">
        <f>1162</f>
        <v/>
      </c>
      <c r="P1164">
        <f>IF(TRIM('입력_구리근무자명단'!$A1162&amp;"")&lt;&gt;"",TRIM('입력_구리근무자명단'!$A1162&amp;""),P1163)</f>
        <v/>
      </c>
      <c r="Q1164">
        <f>'입력_구리근무자명단'!$B1162&amp;""</f>
        <v/>
      </c>
      <c r="R1164">
        <f>IF($E$2="","",TRIM(INDEX('입력_구리근무자명단'!$A1162:$ZZ1162,1,$E$2+IF($G$2="확정",1,0))&amp;""))</f>
        <v/>
      </c>
      <c r="S1164">
        <f>IF($R1164="","",IF(INDEX('입력_구리근무자명단'!$A1162:$ZZ1162,1,$E$2+2)&amp;""="",급여기준월,IF(ISNUMBER(INDEX('입력_구리근무자명단'!$A1162:$ZZ1162,1,$E$2+2)),INDEX('입력_구리근무자명단'!$A1162:$ZZ1162,1,$E$2+2),IFERROR(DATE(VALUE(LEFT(INDEX('입력_구리근무자명단'!$A1162:$ZZ1162,1,$E$2+2),4)),VALUE(MID(INDEX('입력_구리근무자명단'!$A1162:$ZZ1162,1,$E$2+2),6,2)),VALUE(MID(INDEX('입력_구리근무자명단'!$A1162:$ZZ1162,1,$E$2+2),9,2))),-1))))</f>
        <v/>
      </c>
      <c r="T1164">
        <f>IF($R1164="","",IF(INDEX('입력_구리근무자명단'!$A1162:$ZZ1162,1,$E$2+3)&amp;""="",EOMONTH(급여기준월,0),IF(ISNUMBER(INDEX('입력_구리근무자명단'!$A1162:$ZZ1162,1,$E$2+3)),INDEX('입력_구리근무자명단'!$A1162:$ZZ1162,1,$E$2+3),IFERROR(DATE(VALUE(LEFT(INDEX('입력_구리근무자명단'!$A1162:$ZZ1162,1,$E$2+3),4)),VALUE(MID(INDEX('입력_구리근무자명단'!$A1162:$ZZ1162,1,$E$2+3),6,2)),VALUE(MID(INDEX('입력_구리근무자명단'!$A1162:$ZZ1162,1,$E$2+3),9,2))),-1))))</f>
        <v/>
      </c>
      <c r="U1164">
        <f>IF($R1164="","",IF(OR($S1164&lt;0,$T1164&lt;0),0,MAX(0,MIN($T1164,EOMONTH(급여기준월,0))-MAX($S1164,급여기준월)+1)))</f>
        <v/>
      </c>
      <c r="V1164">
        <f>IF($R1164="","",TRIM(INDEX('입력_구리근무자명단'!$A1162:$ZZ1162,1,$E$2+5)&amp;""))</f>
        <v/>
      </c>
      <c r="W1164">
        <f>IF(ISNUMBER(SEARCH("구리독자",$V1164)),"구리독자","")</f>
        <v/>
      </c>
      <c r="X1164">
        <f>IF($R1164="","",$R1164&amp;"|"&amp;IF(OR($Q1164="인턴",ISNUMBER(SEARCH("수련교육부",$P1164))),"인턴",$P1164))</f>
        <v/>
      </c>
      <c r="Y1164">
        <f>IF($R1164="","",IF(COUNTIF(명단표[이름|과],$X1164)=1,"명단 일치",IF(AND(COUNTIF(명단표[이름|과],$X1164)=0,COUNTIF(명단표[이름],$R1164)=1),"명단 일치(이름만, 과 다름)",IF(COUNTIF(명단표[이름],$R1164)=0,IF(COUNTIF(기본자료표[이름],$R1164)&gt;0,"명단에 없음(기본자료에는 있음)","명단에 없음"),"동명이인 확인"))))</f>
        <v/>
      </c>
      <c r="Z1164">
        <f>IF($R1164="","",IF($S1164&lt;0,"⚠"&amp;INDEX('입력_구리근무자명단'!$A1162:$ZZ1162,1,$E$2+2),TEXT($S1164,"yyyy-mm-dd")))</f>
        <v/>
      </c>
      <c r="AA1164">
        <f>IF($R1164="","",IF($T1164&lt;0,"⚠"&amp;INDEX('입력_구리근무자명단'!$A1162:$ZZ1162,1,$E$2+3),TEXT($T1164,"yyyy-mm-dd")))</f>
        <v/>
      </c>
      <c r="AB1164">
        <f>AB1163+IF($R1164="",0,1)</f>
        <v/>
      </c>
      <c r="AC1164">
        <f>IF($R1164="","",$AB1164)</f>
        <v/>
      </c>
    </row>
    <row r="1165">
      <c r="O1165">
        <f>1163</f>
        <v/>
      </c>
      <c r="P1165">
        <f>IF(TRIM('입력_구리근무자명단'!$A1163&amp;"")&lt;&gt;"",TRIM('입력_구리근무자명단'!$A1163&amp;""),P1164)</f>
        <v/>
      </c>
      <c r="Q1165">
        <f>'입력_구리근무자명단'!$B1163&amp;""</f>
        <v/>
      </c>
      <c r="R1165">
        <f>IF($E$2="","",TRIM(INDEX('입력_구리근무자명단'!$A1163:$ZZ1163,1,$E$2+IF($G$2="확정",1,0))&amp;""))</f>
        <v/>
      </c>
      <c r="S1165">
        <f>IF($R1165="","",IF(INDEX('입력_구리근무자명단'!$A1163:$ZZ1163,1,$E$2+2)&amp;""="",급여기준월,IF(ISNUMBER(INDEX('입력_구리근무자명단'!$A1163:$ZZ1163,1,$E$2+2)),INDEX('입력_구리근무자명단'!$A1163:$ZZ1163,1,$E$2+2),IFERROR(DATE(VALUE(LEFT(INDEX('입력_구리근무자명단'!$A1163:$ZZ1163,1,$E$2+2),4)),VALUE(MID(INDEX('입력_구리근무자명단'!$A1163:$ZZ1163,1,$E$2+2),6,2)),VALUE(MID(INDEX('입력_구리근무자명단'!$A1163:$ZZ1163,1,$E$2+2),9,2))),-1))))</f>
        <v/>
      </c>
      <c r="T1165">
        <f>IF($R1165="","",IF(INDEX('입력_구리근무자명단'!$A1163:$ZZ1163,1,$E$2+3)&amp;""="",EOMONTH(급여기준월,0),IF(ISNUMBER(INDEX('입력_구리근무자명단'!$A1163:$ZZ1163,1,$E$2+3)),INDEX('입력_구리근무자명단'!$A1163:$ZZ1163,1,$E$2+3),IFERROR(DATE(VALUE(LEFT(INDEX('입력_구리근무자명단'!$A1163:$ZZ1163,1,$E$2+3),4)),VALUE(MID(INDEX('입력_구리근무자명단'!$A1163:$ZZ1163,1,$E$2+3),6,2)),VALUE(MID(INDEX('입력_구리근무자명단'!$A1163:$ZZ1163,1,$E$2+3),9,2))),-1))))</f>
        <v/>
      </c>
      <c r="U1165">
        <f>IF($R1165="","",IF(OR($S1165&lt;0,$T1165&lt;0),0,MAX(0,MIN($T1165,EOMONTH(급여기준월,0))-MAX($S1165,급여기준월)+1)))</f>
        <v/>
      </c>
      <c r="V1165">
        <f>IF($R1165="","",TRIM(INDEX('입력_구리근무자명단'!$A1163:$ZZ1163,1,$E$2+5)&amp;""))</f>
        <v/>
      </c>
      <c r="W1165">
        <f>IF(ISNUMBER(SEARCH("구리독자",$V1165)),"구리독자","")</f>
        <v/>
      </c>
      <c r="X1165">
        <f>IF($R1165="","",$R1165&amp;"|"&amp;IF(OR($Q1165="인턴",ISNUMBER(SEARCH("수련교육부",$P1165))),"인턴",$P1165))</f>
        <v/>
      </c>
      <c r="Y1165">
        <f>IF($R1165="","",IF(COUNTIF(명단표[이름|과],$X1165)=1,"명단 일치",IF(AND(COUNTIF(명단표[이름|과],$X1165)=0,COUNTIF(명단표[이름],$R1165)=1),"명단 일치(이름만, 과 다름)",IF(COUNTIF(명단표[이름],$R1165)=0,IF(COUNTIF(기본자료표[이름],$R1165)&gt;0,"명단에 없음(기본자료에는 있음)","명단에 없음"),"동명이인 확인"))))</f>
        <v/>
      </c>
      <c r="Z1165">
        <f>IF($R1165="","",IF($S1165&lt;0,"⚠"&amp;INDEX('입력_구리근무자명단'!$A1163:$ZZ1163,1,$E$2+2),TEXT($S1165,"yyyy-mm-dd")))</f>
        <v/>
      </c>
      <c r="AA1165">
        <f>IF($R1165="","",IF($T1165&lt;0,"⚠"&amp;INDEX('입력_구리근무자명단'!$A1163:$ZZ1163,1,$E$2+3),TEXT($T1165,"yyyy-mm-dd")))</f>
        <v/>
      </c>
      <c r="AB1165">
        <f>AB1164+IF($R1165="",0,1)</f>
        <v/>
      </c>
      <c r="AC1165">
        <f>IF($R1165="","",$AB1165)</f>
        <v/>
      </c>
    </row>
    <row r="1166">
      <c r="O1166">
        <f>1164</f>
        <v/>
      </c>
      <c r="P1166">
        <f>IF(TRIM('입력_구리근무자명단'!$A1164&amp;"")&lt;&gt;"",TRIM('입력_구리근무자명단'!$A1164&amp;""),P1165)</f>
        <v/>
      </c>
      <c r="Q1166">
        <f>'입력_구리근무자명단'!$B1164&amp;""</f>
        <v/>
      </c>
      <c r="R1166">
        <f>IF($E$2="","",TRIM(INDEX('입력_구리근무자명단'!$A1164:$ZZ1164,1,$E$2+IF($G$2="확정",1,0))&amp;""))</f>
        <v/>
      </c>
      <c r="S1166">
        <f>IF($R1166="","",IF(INDEX('입력_구리근무자명단'!$A1164:$ZZ1164,1,$E$2+2)&amp;""="",급여기준월,IF(ISNUMBER(INDEX('입력_구리근무자명단'!$A1164:$ZZ1164,1,$E$2+2)),INDEX('입력_구리근무자명단'!$A1164:$ZZ1164,1,$E$2+2),IFERROR(DATE(VALUE(LEFT(INDEX('입력_구리근무자명단'!$A1164:$ZZ1164,1,$E$2+2),4)),VALUE(MID(INDEX('입력_구리근무자명단'!$A1164:$ZZ1164,1,$E$2+2),6,2)),VALUE(MID(INDEX('입력_구리근무자명단'!$A1164:$ZZ1164,1,$E$2+2),9,2))),-1))))</f>
        <v/>
      </c>
      <c r="T1166">
        <f>IF($R1166="","",IF(INDEX('입력_구리근무자명단'!$A1164:$ZZ1164,1,$E$2+3)&amp;""="",EOMONTH(급여기준월,0),IF(ISNUMBER(INDEX('입력_구리근무자명단'!$A1164:$ZZ1164,1,$E$2+3)),INDEX('입력_구리근무자명단'!$A1164:$ZZ1164,1,$E$2+3),IFERROR(DATE(VALUE(LEFT(INDEX('입력_구리근무자명단'!$A1164:$ZZ1164,1,$E$2+3),4)),VALUE(MID(INDEX('입력_구리근무자명단'!$A1164:$ZZ1164,1,$E$2+3),6,2)),VALUE(MID(INDEX('입력_구리근무자명단'!$A1164:$ZZ1164,1,$E$2+3),9,2))),-1))))</f>
        <v/>
      </c>
      <c r="U1166">
        <f>IF($R1166="","",IF(OR($S1166&lt;0,$T1166&lt;0),0,MAX(0,MIN($T1166,EOMONTH(급여기준월,0))-MAX($S1166,급여기준월)+1)))</f>
        <v/>
      </c>
      <c r="V1166">
        <f>IF($R1166="","",TRIM(INDEX('입력_구리근무자명단'!$A1164:$ZZ1164,1,$E$2+5)&amp;""))</f>
        <v/>
      </c>
      <c r="W1166">
        <f>IF(ISNUMBER(SEARCH("구리독자",$V1166)),"구리독자","")</f>
        <v/>
      </c>
      <c r="X1166">
        <f>IF($R1166="","",$R1166&amp;"|"&amp;IF(OR($Q1166="인턴",ISNUMBER(SEARCH("수련교육부",$P1166))),"인턴",$P1166))</f>
        <v/>
      </c>
      <c r="Y1166">
        <f>IF($R1166="","",IF(COUNTIF(명단표[이름|과],$X1166)=1,"명단 일치",IF(AND(COUNTIF(명단표[이름|과],$X1166)=0,COUNTIF(명단표[이름],$R1166)=1),"명단 일치(이름만, 과 다름)",IF(COUNTIF(명단표[이름],$R1166)=0,IF(COUNTIF(기본자료표[이름],$R1166)&gt;0,"명단에 없음(기본자료에는 있음)","명단에 없음"),"동명이인 확인"))))</f>
        <v/>
      </c>
      <c r="Z1166">
        <f>IF($R1166="","",IF($S1166&lt;0,"⚠"&amp;INDEX('입력_구리근무자명단'!$A1164:$ZZ1164,1,$E$2+2),TEXT($S1166,"yyyy-mm-dd")))</f>
        <v/>
      </c>
      <c r="AA1166">
        <f>IF($R1166="","",IF($T1166&lt;0,"⚠"&amp;INDEX('입력_구리근무자명단'!$A1164:$ZZ1164,1,$E$2+3),TEXT($T1166,"yyyy-mm-dd")))</f>
        <v/>
      </c>
      <c r="AB1166">
        <f>AB1165+IF($R1166="",0,1)</f>
        <v/>
      </c>
      <c r="AC1166">
        <f>IF($R1166="","",$AB1166)</f>
        <v/>
      </c>
    </row>
    <row r="1167">
      <c r="O1167">
        <f>1165</f>
        <v/>
      </c>
      <c r="P1167">
        <f>IF(TRIM('입력_구리근무자명단'!$A1165&amp;"")&lt;&gt;"",TRIM('입력_구리근무자명단'!$A1165&amp;""),P1166)</f>
        <v/>
      </c>
      <c r="Q1167">
        <f>'입력_구리근무자명단'!$B1165&amp;""</f>
        <v/>
      </c>
      <c r="R1167">
        <f>IF($E$2="","",TRIM(INDEX('입력_구리근무자명단'!$A1165:$ZZ1165,1,$E$2+IF($G$2="확정",1,0))&amp;""))</f>
        <v/>
      </c>
      <c r="S1167">
        <f>IF($R1167="","",IF(INDEX('입력_구리근무자명단'!$A1165:$ZZ1165,1,$E$2+2)&amp;""="",급여기준월,IF(ISNUMBER(INDEX('입력_구리근무자명단'!$A1165:$ZZ1165,1,$E$2+2)),INDEX('입력_구리근무자명단'!$A1165:$ZZ1165,1,$E$2+2),IFERROR(DATE(VALUE(LEFT(INDEX('입력_구리근무자명단'!$A1165:$ZZ1165,1,$E$2+2),4)),VALUE(MID(INDEX('입력_구리근무자명단'!$A1165:$ZZ1165,1,$E$2+2),6,2)),VALUE(MID(INDEX('입력_구리근무자명단'!$A1165:$ZZ1165,1,$E$2+2),9,2))),-1))))</f>
        <v/>
      </c>
      <c r="T1167">
        <f>IF($R1167="","",IF(INDEX('입력_구리근무자명단'!$A1165:$ZZ1165,1,$E$2+3)&amp;""="",EOMONTH(급여기준월,0),IF(ISNUMBER(INDEX('입력_구리근무자명단'!$A1165:$ZZ1165,1,$E$2+3)),INDEX('입력_구리근무자명단'!$A1165:$ZZ1165,1,$E$2+3),IFERROR(DATE(VALUE(LEFT(INDEX('입력_구리근무자명단'!$A1165:$ZZ1165,1,$E$2+3),4)),VALUE(MID(INDEX('입력_구리근무자명단'!$A1165:$ZZ1165,1,$E$2+3),6,2)),VALUE(MID(INDEX('입력_구리근무자명단'!$A1165:$ZZ1165,1,$E$2+3),9,2))),-1))))</f>
        <v/>
      </c>
      <c r="U1167">
        <f>IF($R1167="","",IF(OR($S1167&lt;0,$T1167&lt;0),0,MAX(0,MIN($T1167,EOMONTH(급여기준월,0))-MAX($S1167,급여기준월)+1)))</f>
        <v/>
      </c>
      <c r="V1167">
        <f>IF($R1167="","",TRIM(INDEX('입력_구리근무자명단'!$A1165:$ZZ1165,1,$E$2+5)&amp;""))</f>
        <v/>
      </c>
      <c r="W1167">
        <f>IF(ISNUMBER(SEARCH("구리독자",$V1167)),"구리독자","")</f>
        <v/>
      </c>
      <c r="X1167">
        <f>IF($R1167="","",$R1167&amp;"|"&amp;IF(OR($Q1167="인턴",ISNUMBER(SEARCH("수련교육부",$P1167))),"인턴",$P1167))</f>
        <v/>
      </c>
      <c r="Y1167">
        <f>IF($R1167="","",IF(COUNTIF(명단표[이름|과],$X1167)=1,"명단 일치",IF(AND(COUNTIF(명단표[이름|과],$X1167)=0,COUNTIF(명단표[이름],$R1167)=1),"명단 일치(이름만, 과 다름)",IF(COUNTIF(명단표[이름],$R1167)=0,IF(COUNTIF(기본자료표[이름],$R1167)&gt;0,"명단에 없음(기본자료에는 있음)","명단에 없음"),"동명이인 확인"))))</f>
        <v/>
      </c>
      <c r="Z1167">
        <f>IF($R1167="","",IF($S1167&lt;0,"⚠"&amp;INDEX('입력_구리근무자명단'!$A1165:$ZZ1165,1,$E$2+2),TEXT($S1167,"yyyy-mm-dd")))</f>
        <v/>
      </c>
      <c r="AA1167">
        <f>IF($R1167="","",IF($T1167&lt;0,"⚠"&amp;INDEX('입력_구리근무자명단'!$A1165:$ZZ1165,1,$E$2+3),TEXT($T1167,"yyyy-mm-dd")))</f>
        <v/>
      </c>
      <c r="AB1167">
        <f>AB1166+IF($R1167="",0,1)</f>
        <v/>
      </c>
      <c r="AC1167">
        <f>IF($R1167="","",$AB1167)</f>
        <v/>
      </c>
    </row>
    <row r="1168">
      <c r="O1168">
        <f>1166</f>
        <v/>
      </c>
      <c r="P1168">
        <f>IF(TRIM('입력_구리근무자명단'!$A1166&amp;"")&lt;&gt;"",TRIM('입력_구리근무자명단'!$A1166&amp;""),P1167)</f>
        <v/>
      </c>
      <c r="Q1168">
        <f>'입력_구리근무자명단'!$B1166&amp;""</f>
        <v/>
      </c>
      <c r="R1168">
        <f>IF($E$2="","",TRIM(INDEX('입력_구리근무자명단'!$A1166:$ZZ1166,1,$E$2+IF($G$2="확정",1,0))&amp;""))</f>
        <v/>
      </c>
      <c r="S1168">
        <f>IF($R1168="","",IF(INDEX('입력_구리근무자명단'!$A1166:$ZZ1166,1,$E$2+2)&amp;""="",급여기준월,IF(ISNUMBER(INDEX('입력_구리근무자명단'!$A1166:$ZZ1166,1,$E$2+2)),INDEX('입력_구리근무자명단'!$A1166:$ZZ1166,1,$E$2+2),IFERROR(DATE(VALUE(LEFT(INDEX('입력_구리근무자명단'!$A1166:$ZZ1166,1,$E$2+2),4)),VALUE(MID(INDEX('입력_구리근무자명단'!$A1166:$ZZ1166,1,$E$2+2),6,2)),VALUE(MID(INDEX('입력_구리근무자명단'!$A1166:$ZZ1166,1,$E$2+2),9,2))),-1))))</f>
        <v/>
      </c>
      <c r="T1168">
        <f>IF($R1168="","",IF(INDEX('입력_구리근무자명단'!$A1166:$ZZ1166,1,$E$2+3)&amp;""="",EOMONTH(급여기준월,0),IF(ISNUMBER(INDEX('입력_구리근무자명단'!$A1166:$ZZ1166,1,$E$2+3)),INDEX('입력_구리근무자명단'!$A1166:$ZZ1166,1,$E$2+3),IFERROR(DATE(VALUE(LEFT(INDEX('입력_구리근무자명단'!$A1166:$ZZ1166,1,$E$2+3),4)),VALUE(MID(INDEX('입력_구리근무자명단'!$A1166:$ZZ1166,1,$E$2+3),6,2)),VALUE(MID(INDEX('입력_구리근무자명단'!$A1166:$ZZ1166,1,$E$2+3),9,2))),-1))))</f>
        <v/>
      </c>
      <c r="U1168">
        <f>IF($R1168="","",IF(OR($S1168&lt;0,$T1168&lt;0),0,MAX(0,MIN($T1168,EOMONTH(급여기준월,0))-MAX($S1168,급여기준월)+1)))</f>
        <v/>
      </c>
      <c r="V1168">
        <f>IF($R1168="","",TRIM(INDEX('입력_구리근무자명단'!$A1166:$ZZ1166,1,$E$2+5)&amp;""))</f>
        <v/>
      </c>
      <c r="W1168">
        <f>IF(ISNUMBER(SEARCH("구리독자",$V1168)),"구리독자","")</f>
        <v/>
      </c>
      <c r="X1168">
        <f>IF($R1168="","",$R1168&amp;"|"&amp;IF(OR($Q1168="인턴",ISNUMBER(SEARCH("수련교육부",$P1168))),"인턴",$P1168))</f>
        <v/>
      </c>
      <c r="Y1168">
        <f>IF($R1168="","",IF(COUNTIF(명단표[이름|과],$X1168)=1,"명단 일치",IF(AND(COUNTIF(명단표[이름|과],$X1168)=0,COUNTIF(명단표[이름],$R1168)=1),"명단 일치(이름만, 과 다름)",IF(COUNTIF(명단표[이름],$R1168)=0,IF(COUNTIF(기본자료표[이름],$R1168)&gt;0,"명단에 없음(기본자료에는 있음)","명단에 없음"),"동명이인 확인"))))</f>
        <v/>
      </c>
      <c r="Z1168">
        <f>IF($R1168="","",IF($S1168&lt;0,"⚠"&amp;INDEX('입력_구리근무자명단'!$A1166:$ZZ1166,1,$E$2+2),TEXT($S1168,"yyyy-mm-dd")))</f>
        <v/>
      </c>
      <c r="AA1168">
        <f>IF($R1168="","",IF($T1168&lt;0,"⚠"&amp;INDEX('입력_구리근무자명단'!$A1166:$ZZ1166,1,$E$2+3),TEXT($T1168,"yyyy-mm-dd")))</f>
        <v/>
      </c>
      <c r="AB1168">
        <f>AB1167+IF($R1168="",0,1)</f>
        <v/>
      </c>
      <c r="AC1168">
        <f>IF($R1168="","",$AB1168)</f>
        <v/>
      </c>
    </row>
    <row r="1169">
      <c r="O1169">
        <f>1167</f>
        <v/>
      </c>
      <c r="P1169">
        <f>IF(TRIM('입력_구리근무자명단'!$A1167&amp;"")&lt;&gt;"",TRIM('입력_구리근무자명단'!$A1167&amp;""),P1168)</f>
        <v/>
      </c>
      <c r="Q1169">
        <f>'입력_구리근무자명단'!$B1167&amp;""</f>
        <v/>
      </c>
      <c r="R1169">
        <f>IF($E$2="","",TRIM(INDEX('입력_구리근무자명단'!$A1167:$ZZ1167,1,$E$2+IF($G$2="확정",1,0))&amp;""))</f>
        <v/>
      </c>
      <c r="S1169">
        <f>IF($R1169="","",IF(INDEX('입력_구리근무자명단'!$A1167:$ZZ1167,1,$E$2+2)&amp;""="",급여기준월,IF(ISNUMBER(INDEX('입력_구리근무자명단'!$A1167:$ZZ1167,1,$E$2+2)),INDEX('입력_구리근무자명단'!$A1167:$ZZ1167,1,$E$2+2),IFERROR(DATE(VALUE(LEFT(INDEX('입력_구리근무자명단'!$A1167:$ZZ1167,1,$E$2+2),4)),VALUE(MID(INDEX('입력_구리근무자명단'!$A1167:$ZZ1167,1,$E$2+2),6,2)),VALUE(MID(INDEX('입력_구리근무자명단'!$A1167:$ZZ1167,1,$E$2+2),9,2))),-1))))</f>
        <v/>
      </c>
      <c r="T1169">
        <f>IF($R1169="","",IF(INDEX('입력_구리근무자명단'!$A1167:$ZZ1167,1,$E$2+3)&amp;""="",EOMONTH(급여기준월,0),IF(ISNUMBER(INDEX('입력_구리근무자명단'!$A1167:$ZZ1167,1,$E$2+3)),INDEX('입력_구리근무자명단'!$A1167:$ZZ1167,1,$E$2+3),IFERROR(DATE(VALUE(LEFT(INDEX('입력_구리근무자명단'!$A1167:$ZZ1167,1,$E$2+3),4)),VALUE(MID(INDEX('입력_구리근무자명단'!$A1167:$ZZ1167,1,$E$2+3),6,2)),VALUE(MID(INDEX('입력_구리근무자명단'!$A1167:$ZZ1167,1,$E$2+3),9,2))),-1))))</f>
        <v/>
      </c>
      <c r="U1169">
        <f>IF($R1169="","",IF(OR($S1169&lt;0,$T1169&lt;0),0,MAX(0,MIN($T1169,EOMONTH(급여기준월,0))-MAX($S1169,급여기준월)+1)))</f>
        <v/>
      </c>
      <c r="V1169">
        <f>IF($R1169="","",TRIM(INDEX('입력_구리근무자명단'!$A1167:$ZZ1167,1,$E$2+5)&amp;""))</f>
        <v/>
      </c>
      <c r="W1169">
        <f>IF(ISNUMBER(SEARCH("구리독자",$V1169)),"구리독자","")</f>
        <v/>
      </c>
      <c r="X1169">
        <f>IF($R1169="","",$R1169&amp;"|"&amp;IF(OR($Q1169="인턴",ISNUMBER(SEARCH("수련교육부",$P1169))),"인턴",$P1169))</f>
        <v/>
      </c>
      <c r="Y1169">
        <f>IF($R1169="","",IF(COUNTIF(명단표[이름|과],$X1169)=1,"명단 일치",IF(AND(COUNTIF(명단표[이름|과],$X1169)=0,COUNTIF(명단표[이름],$R1169)=1),"명단 일치(이름만, 과 다름)",IF(COUNTIF(명단표[이름],$R1169)=0,IF(COUNTIF(기본자료표[이름],$R1169)&gt;0,"명단에 없음(기본자료에는 있음)","명단에 없음"),"동명이인 확인"))))</f>
        <v/>
      </c>
      <c r="Z1169">
        <f>IF($R1169="","",IF($S1169&lt;0,"⚠"&amp;INDEX('입력_구리근무자명단'!$A1167:$ZZ1167,1,$E$2+2),TEXT($S1169,"yyyy-mm-dd")))</f>
        <v/>
      </c>
      <c r="AA1169">
        <f>IF($R1169="","",IF($T1169&lt;0,"⚠"&amp;INDEX('입력_구리근무자명단'!$A1167:$ZZ1167,1,$E$2+3),TEXT($T1169,"yyyy-mm-dd")))</f>
        <v/>
      </c>
      <c r="AB1169">
        <f>AB1168+IF($R1169="",0,1)</f>
        <v/>
      </c>
      <c r="AC1169">
        <f>IF($R1169="","",$AB1169)</f>
        <v/>
      </c>
    </row>
    <row r="1170">
      <c r="O1170">
        <f>1168</f>
        <v/>
      </c>
      <c r="P1170">
        <f>IF(TRIM('입력_구리근무자명단'!$A1168&amp;"")&lt;&gt;"",TRIM('입력_구리근무자명단'!$A1168&amp;""),P1169)</f>
        <v/>
      </c>
      <c r="Q1170">
        <f>'입력_구리근무자명단'!$B1168&amp;""</f>
        <v/>
      </c>
      <c r="R1170">
        <f>IF($E$2="","",TRIM(INDEX('입력_구리근무자명단'!$A1168:$ZZ1168,1,$E$2+IF($G$2="확정",1,0))&amp;""))</f>
        <v/>
      </c>
      <c r="S1170">
        <f>IF($R1170="","",IF(INDEX('입력_구리근무자명단'!$A1168:$ZZ1168,1,$E$2+2)&amp;""="",급여기준월,IF(ISNUMBER(INDEX('입력_구리근무자명단'!$A1168:$ZZ1168,1,$E$2+2)),INDEX('입력_구리근무자명단'!$A1168:$ZZ1168,1,$E$2+2),IFERROR(DATE(VALUE(LEFT(INDEX('입력_구리근무자명단'!$A1168:$ZZ1168,1,$E$2+2),4)),VALUE(MID(INDEX('입력_구리근무자명단'!$A1168:$ZZ1168,1,$E$2+2),6,2)),VALUE(MID(INDEX('입력_구리근무자명단'!$A1168:$ZZ1168,1,$E$2+2),9,2))),-1))))</f>
        <v/>
      </c>
      <c r="T1170">
        <f>IF($R1170="","",IF(INDEX('입력_구리근무자명단'!$A1168:$ZZ1168,1,$E$2+3)&amp;""="",EOMONTH(급여기준월,0),IF(ISNUMBER(INDEX('입력_구리근무자명단'!$A1168:$ZZ1168,1,$E$2+3)),INDEX('입력_구리근무자명단'!$A1168:$ZZ1168,1,$E$2+3),IFERROR(DATE(VALUE(LEFT(INDEX('입력_구리근무자명단'!$A1168:$ZZ1168,1,$E$2+3),4)),VALUE(MID(INDEX('입력_구리근무자명단'!$A1168:$ZZ1168,1,$E$2+3),6,2)),VALUE(MID(INDEX('입력_구리근무자명단'!$A1168:$ZZ1168,1,$E$2+3),9,2))),-1))))</f>
        <v/>
      </c>
      <c r="U1170">
        <f>IF($R1170="","",IF(OR($S1170&lt;0,$T1170&lt;0),0,MAX(0,MIN($T1170,EOMONTH(급여기준월,0))-MAX($S1170,급여기준월)+1)))</f>
        <v/>
      </c>
      <c r="V1170">
        <f>IF($R1170="","",TRIM(INDEX('입력_구리근무자명단'!$A1168:$ZZ1168,1,$E$2+5)&amp;""))</f>
        <v/>
      </c>
      <c r="W1170">
        <f>IF(ISNUMBER(SEARCH("구리독자",$V1170)),"구리독자","")</f>
        <v/>
      </c>
      <c r="X1170">
        <f>IF($R1170="","",$R1170&amp;"|"&amp;IF(OR($Q1170="인턴",ISNUMBER(SEARCH("수련교육부",$P1170))),"인턴",$P1170))</f>
        <v/>
      </c>
      <c r="Y1170">
        <f>IF($R1170="","",IF(COUNTIF(명단표[이름|과],$X1170)=1,"명단 일치",IF(AND(COUNTIF(명단표[이름|과],$X1170)=0,COUNTIF(명단표[이름],$R1170)=1),"명단 일치(이름만, 과 다름)",IF(COUNTIF(명단표[이름],$R1170)=0,IF(COUNTIF(기본자료표[이름],$R1170)&gt;0,"명단에 없음(기본자료에는 있음)","명단에 없음"),"동명이인 확인"))))</f>
        <v/>
      </c>
      <c r="Z1170">
        <f>IF($R1170="","",IF($S1170&lt;0,"⚠"&amp;INDEX('입력_구리근무자명단'!$A1168:$ZZ1168,1,$E$2+2),TEXT($S1170,"yyyy-mm-dd")))</f>
        <v/>
      </c>
      <c r="AA1170">
        <f>IF($R1170="","",IF($T1170&lt;0,"⚠"&amp;INDEX('입력_구리근무자명단'!$A1168:$ZZ1168,1,$E$2+3),TEXT($T1170,"yyyy-mm-dd")))</f>
        <v/>
      </c>
      <c r="AB1170">
        <f>AB1169+IF($R1170="",0,1)</f>
        <v/>
      </c>
      <c r="AC1170">
        <f>IF($R1170="","",$AB1170)</f>
        <v/>
      </c>
    </row>
    <row r="1171">
      <c r="O1171">
        <f>1169</f>
        <v/>
      </c>
      <c r="P1171">
        <f>IF(TRIM('입력_구리근무자명단'!$A1169&amp;"")&lt;&gt;"",TRIM('입력_구리근무자명단'!$A1169&amp;""),P1170)</f>
        <v/>
      </c>
      <c r="Q1171">
        <f>'입력_구리근무자명단'!$B1169&amp;""</f>
        <v/>
      </c>
      <c r="R1171">
        <f>IF($E$2="","",TRIM(INDEX('입력_구리근무자명단'!$A1169:$ZZ1169,1,$E$2+IF($G$2="확정",1,0))&amp;""))</f>
        <v/>
      </c>
      <c r="S1171">
        <f>IF($R1171="","",IF(INDEX('입력_구리근무자명단'!$A1169:$ZZ1169,1,$E$2+2)&amp;""="",급여기준월,IF(ISNUMBER(INDEX('입력_구리근무자명단'!$A1169:$ZZ1169,1,$E$2+2)),INDEX('입력_구리근무자명단'!$A1169:$ZZ1169,1,$E$2+2),IFERROR(DATE(VALUE(LEFT(INDEX('입력_구리근무자명단'!$A1169:$ZZ1169,1,$E$2+2),4)),VALUE(MID(INDEX('입력_구리근무자명단'!$A1169:$ZZ1169,1,$E$2+2),6,2)),VALUE(MID(INDEX('입력_구리근무자명단'!$A1169:$ZZ1169,1,$E$2+2),9,2))),-1))))</f>
        <v/>
      </c>
      <c r="T1171">
        <f>IF($R1171="","",IF(INDEX('입력_구리근무자명단'!$A1169:$ZZ1169,1,$E$2+3)&amp;""="",EOMONTH(급여기준월,0),IF(ISNUMBER(INDEX('입력_구리근무자명단'!$A1169:$ZZ1169,1,$E$2+3)),INDEX('입력_구리근무자명단'!$A1169:$ZZ1169,1,$E$2+3),IFERROR(DATE(VALUE(LEFT(INDEX('입력_구리근무자명단'!$A1169:$ZZ1169,1,$E$2+3),4)),VALUE(MID(INDEX('입력_구리근무자명단'!$A1169:$ZZ1169,1,$E$2+3),6,2)),VALUE(MID(INDEX('입력_구리근무자명단'!$A1169:$ZZ1169,1,$E$2+3),9,2))),-1))))</f>
        <v/>
      </c>
      <c r="U1171">
        <f>IF($R1171="","",IF(OR($S1171&lt;0,$T1171&lt;0),0,MAX(0,MIN($T1171,EOMONTH(급여기준월,0))-MAX($S1171,급여기준월)+1)))</f>
        <v/>
      </c>
      <c r="V1171">
        <f>IF($R1171="","",TRIM(INDEX('입력_구리근무자명단'!$A1169:$ZZ1169,1,$E$2+5)&amp;""))</f>
        <v/>
      </c>
      <c r="W1171">
        <f>IF(ISNUMBER(SEARCH("구리독자",$V1171)),"구리독자","")</f>
        <v/>
      </c>
      <c r="X1171">
        <f>IF($R1171="","",$R1171&amp;"|"&amp;IF(OR($Q1171="인턴",ISNUMBER(SEARCH("수련교육부",$P1171))),"인턴",$P1171))</f>
        <v/>
      </c>
      <c r="Y1171">
        <f>IF($R1171="","",IF(COUNTIF(명단표[이름|과],$X1171)=1,"명단 일치",IF(AND(COUNTIF(명단표[이름|과],$X1171)=0,COUNTIF(명단표[이름],$R1171)=1),"명단 일치(이름만, 과 다름)",IF(COUNTIF(명단표[이름],$R1171)=0,IF(COUNTIF(기본자료표[이름],$R1171)&gt;0,"명단에 없음(기본자료에는 있음)","명단에 없음"),"동명이인 확인"))))</f>
        <v/>
      </c>
      <c r="Z1171">
        <f>IF($R1171="","",IF($S1171&lt;0,"⚠"&amp;INDEX('입력_구리근무자명단'!$A1169:$ZZ1169,1,$E$2+2),TEXT($S1171,"yyyy-mm-dd")))</f>
        <v/>
      </c>
      <c r="AA1171">
        <f>IF($R1171="","",IF($T1171&lt;0,"⚠"&amp;INDEX('입력_구리근무자명단'!$A1169:$ZZ1169,1,$E$2+3),TEXT($T1171,"yyyy-mm-dd")))</f>
        <v/>
      </c>
      <c r="AB1171">
        <f>AB1170+IF($R1171="",0,1)</f>
        <v/>
      </c>
      <c r="AC1171">
        <f>IF($R1171="","",$AB1171)</f>
        <v/>
      </c>
    </row>
    <row r="1172">
      <c r="O1172">
        <f>1170</f>
        <v/>
      </c>
      <c r="P1172">
        <f>IF(TRIM('입력_구리근무자명단'!$A1170&amp;"")&lt;&gt;"",TRIM('입력_구리근무자명단'!$A1170&amp;""),P1171)</f>
        <v/>
      </c>
      <c r="Q1172">
        <f>'입력_구리근무자명단'!$B1170&amp;""</f>
        <v/>
      </c>
      <c r="R1172">
        <f>IF($E$2="","",TRIM(INDEX('입력_구리근무자명단'!$A1170:$ZZ1170,1,$E$2+IF($G$2="확정",1,0))&amp;""))</f>
        <v/>
      </c>
      <c r="S1172">
        <f>IF($R1172="","",IF(INDEX('입력_구리근무자명단'!$A1170:$ZZ1170,1,$E$2+2)&amp;""="",급여기준월,IF(ISNUMBER(INDEX('입력_구리근무자명단'!$A1170:$ZZ1170,1,$E$2+2)),INDEX('입력_구리근무자명단'!$A1170:$ZZ1170,1,$E$2+2),IFERROR(DATE(VALUE(LEFT(INDEX('입력_구리근무자명단'!$A1170:$ZZ1170,1,$E$2+2),4)),VALUE(MID(INDEX('입력_구리근무자명단'!$A1170:$ZZ1170,1,$E$2+2),6,2)),VALUE(MID(INDEX('입력_구리근무자명단'!$A1170:$ZZ1170,1,$E$2+2),9,2))),-1))))</f>
        <v/>
      </c>
      <c r="T1172">
        <f>IF($R1172="","",IF(INDEX('입력_구리근무자명단'!$A1170:$ZZ1170,1,$E$2+3)&amp;""="",EOMONTH(급여기준월,0),IF(ISNUMBER(INDEX('입력_구리근무자명단'!$A1170:$ZZ1170,1,$E$2+3)),INDEX('입력_구리근무자명단'!$A1170:$ZZ1170,1,$E$2+3),IFERROR(DATE(VALUE(LEFT(INDEX('입력_구리근무자명단'!$A1170:$ZZ1170,1,$E$2+3),4)),VALUE(MID(INDEX('입력_구리근무자명단'!$A1170:$ZZ1170,1,$E$2+3),6,2)),VALUE(MID(INDEX('입력_구리근무자명단'!$A1170:$ZZ1170,1,$E$2+3),9,2))),-1))))</f>
        <v/>
      </c>
      <c r="U1172">
        <f>IF($R1172="","",IF(OR($S1172&lt;0,$T1172&lt;0),0,MAX(0,MIN($T1172,EOMONTH(급여기준월,0))-MAX($S1172,급여기준월)+1)))</f>
        <v/>
      </c>
      <c r="V1172">
        <f>IF($R1172="","",TRIM(INDEX('입력_구리근무자명단'!$A1170:$ZZ1170,1,$E$2+5)&amp;""))</f>
        <v/>
      </c>
      <c r="W1172">
        <f>IF(ISNUMBER(SEARCH("구리독자",$V1172)),"구리독자","")</f>
        <v/>
      </c>
      <c r="X1172">
        <f>IF($R1172="","",$R1172&amp;"|"&amp;IF(OR($Q1172="인턴",ISNUMBER(SEARCH("수련교육부",$P1172))),"인턴",$P1172))</f>
        <v/>
      </c>
      <c r="Y1172">
        <f>IF($R1172="","",IF(COUNTIF(명단표[이름|과],$X1172)=1,"명단 일치",IF(AND(COUNTIF(명단표[이름|과],$X1172)=0,COUNTIF(명단표[이름],$R1172)=1),"명단 일치(이름만, 과 다름)",IF(COUNTIF(명단표[이름],$R1172)=0,IF(COUNTIF(기본자료표[이름],$R1172)&gt;0,"명단에 없음(기본자료에는 있음)","명단에 없음"),"동명이인 확인"))))</f>
        <v/>
      </c>
      <c r="Z1172">
        <f>IF($R1172="","",IF($S1172&lt;0,"⚠"&amp;INDEX('입력_구리근무자명단'!$A1170:$ZZ1170,1,$E$2+2),TEXT($S1172,"yyyy-mm-dd")))</f>
        <v/>
      </c>
      <c r="AA1172">
        <f>IF($R1172="","",IF($T1172&lt;0,"⚠"&amp;INDEX('입력_구리근무자명단'!$A1170:$ZZ1170,1,$E$2+3),TEXT($T1172,"yyyy-mm-dd")))</f>
        <v/>
      </c>
      <c r="AB1172">
        <f>AB1171+IF($R1172="",0,1)</f>
        <v/>
      </c>
      <c r="AC1172">
        <f>IF($R1172="","",$AB1172)</f>
        <v/>
      </c>
    </row>
    <row r="1173">
      <c r="O1173">
        <f>1171</f>
        <v/>
      </c>
      <c r="P1173">
        <f>IF(TRIM('입력_구리근무자명단'!$A1171&amp;"")&lt;&gt;"",TRIM('입력_구리근무자명단'!$A1171&amp;""),P1172)</f>
        <v/>
      </c>
      <c r="Q1173">
        <f>'입력_구리근무자명단'!$B1171&amp;""</f>
        <v/>
      </c>
      <c r="R1173">
        <f>IF($E$2="","",TRIM(INDEX('입력_구리근무자명단'!$A1171:$ZZ1171,1,$E$2+IF($G$2="확정",1,0))&amp;""))</f>
        <v/>
      </c>
      <c r="S1173">
        <f>IF($R1173="","",IF(INDEX('입력_구리근무자명단'!$A1171:$ZZ1171,1,$E$2+2)&amp;""="",급여기준월,IF(ISNUMBER(INDEX('입력_구리근무자명단'!$A1171:$ZZ1171,1,$E$2+2)),INDEX('입력_구리근무자명단'!$A1171:$ZZ1171,1,$E$2+2),IFERROR(DATE(VALUE(LEFT(INDEX('입력_구리근무자명단'!$A1171:$ZZ1171,1,$E$2+2),4)),VALUE(MID(INDEX('입력_구리근무자명단'!$A1171:$ZZ1171,1,$E$2+2),6,2)),VALUE(MID(INDEX('입력_구리근무자명단'!$A1171:$ZZ1171,1,$E$2+2),9,2))),-1))))</f>
        <v/>
      </c>
      <c r="T1173">
        <f>IF($R1173="","",IF(INDEX('입력_구리근무자명단'!$A1171:$ZZ1171,1,$E$2+3)&amp;""="",EOMONTH(급여기준월,0),IF(ISNUMBER(INDEX('입력_구리근무자명단'!$A1171:$ZZ1171,1,$E$2+3)),INDEX('입력_구리근무자명단'!$A1171:$ZZ1171,1,$E$2+3),IFERROR(DATE(VALUE(LEFT(INDEX('입력_구리근무자명단'!$A1171:$ZZ1171,1,$E$2+3),4)),VALUE(MID(INDEX('입력_구리근무자명단'!$A1171:$ZZ1171,1,$E$2+3),6,2)),VALUE(MID(INDEX('입력_구리근무자명단'!$A1171:$ZZ1171,1,$E$2+3),9,2))),-1))))</f>
        <v/>
      </c>
      <c r="U1173">
        <f>IF($R1173="","",IF(OR($S1173&lt;0,$T1173&lt;0),0,MAX(0,MIN($T1173,EOMONTH(급여기준월,0))-MAX($S1173,급여기준월)+1)))</f>
        <v/>
      </c>
      <c r="V1173">
        <f>IF($R1173="","",TRIM(INDEX('입력_구리근무자명단'!$A1171:$ZZ1171,1,$E$2+5)&amp;""))</f>
        <v/>
      </c>
      <c r="W1173">
        <f>IF(ISNUMBER(SEARCH("구리독자",$V1173)),"구리독자","")</f>
        <v/>
      </c>
      <c r="X1173">
        <f>IF($R1173="","",$R1173&amp;"|"&amp;IF(OR($Q1173="인턴",ISNUMBER(SEARCH("수련교육부",$P1173))),"인턴",$P1173))</f>
        <v/>
      </c>
      <c r="Y1173">
        <f>IF($R1173="","",IF(COUNTIF(명단표[이름|과],$X1173)=1,"명단 일치",IF(AND(COUNTIF(명단표[이름|과],$X1173)=0,COUNTIF(명단표[이름],$R1173)=1),"명단 일치(이름만, 과 다름)",IF(COUNTIF(명단표[이름],$R1173)=0,IF(COUNTIF(기본자료표[이름],$R1173)&gt;0,"명단에 없음(기본자료에는 있음)","명단에 없음"),"동명이인 확인"))))</f>
        <v/>
      </c>
      <c r="Z1173">
        <f>IF($R1173="","",IF($S1173&lt;0,"⚠"&amp;INDEX('입력_구리근무자명단'!$A1171:$ZZ1171,1,$E$2+2),TEXT($S1173,"yyyy-mm-dd")))</f>
        <v/>
      </c>
      <c r="AA1173">
        <f>IF($R1173="","",IF($T1173&lt;0,"⚠"&amp;INDEX('입력_구리근무자명단'!$A1171:$ZZ1171,1,$E$2+3),TEXT($T1173,"yyyy-mm-dd")))</f>
        <v/>
      </c>
      <c r="AB1173">
        <f>AB1172+IF($R1173="",0,1)</f>
        <v/>
      </c>
      <c r="AC1173">
        <f>IF($R1173="","",$AB1173)</f>
        <v/>
      </c>
    </row>
    <row r="1174">
      <c r="O1174">
        <f>1172</f>
        <v/>
      </c>
      <c r="P1174">
        <f>IF(TRIM('입력_구리근무자명단'!$A1172&amp;"")&lt;&gt;"",TRIM('입력_구리근무자명단'!$A1172&amp;""),P1173)</f>
        <v/>
      </c>
      <c r="Q1174">
        <f>'입력_구리근무자명단'!$B1172&amp;""</f>
        <v/>
      </c>
      <c r="R1174">
        <f>IF($E$2="","",TRIM(INDEX('입력_구리근무자명단'!$A1172:$ZZ1172,1,$E$2+IF($G$2="확정",1,0))&amp;""))</f>
        <v/>
      </c>
      <c r="S1174">
        <f>IF($R1174="","",IF(INDEX('입력_구리근무자명단'!$A1172:$ZZ1172,1,$E$2+2)&amp;""="",급여기준월,IF(ISNUMBER(INDEX('입력_구리근무자명단'!$A1172:$ZZ1172,1,$E$2+2)),INDEX('입력_구리근무자명단'!$A1172:$ZZ1172,1,$E$2+2),IFERROR(DATE(VALUE(LEFT(INDEX('입력_구리근무자명단'!$A1172:$ZZ1172,1,$E$2+2),4)),VALUE(MID(INDEX('입력_구리근무자명단'!$A1172:$ZZ1172,1,$E$2+2),6,2)),VALUE(MID(INDEX('입력_구리근무자명단'!$A1172:$ZZ1172,1,$E$2+2),9,2))),-1))))</f>
        <v/>
      </c>
      <c r="T1174">
        <f>IF($R1174="","",IF(INDEX('입력_구리근무자명단'!$A1172:$ZZ1172,1,$E$2+3)&amp;""="",EOMONTH(급여기준월,0),IF(ISNUMBER(INDEX('입력_구리근무자명단'!$A1172:$ZZ1172,1,$E$2+3)),INDEX('입력_구리근무자명단'!$A1172:$ZZ1172,1,$E$2+3),IFERROR(DATE(VALUE(LEFT(INDEX('입력_구리근무자명단'!$A1172:$ZZ1172,1,$E$2+3),4)),VALUE(MID(INDEX('입력_구리근무자명단'!$A1172:$ZZ1172,1,$E$2+3),6,2)),VALUE(MID(INDEX('입력_구리근무자명단'!$A1172:$ZZ1172,1,$E$2+3),9,2))),-1))))</f>
        <v/>
      </c>
      <c r="U1174">
        <f>IF($R1174="","",IF(OR($S1174&lt;0,$T1174&lt;0),0,MAX(0,MIN($T1174,EOMONTH(급여기준월,0))-MAX($S1174,급여기준월)+1)))</f>
        <v/>
      </c>
      <c r="V1174">
        <f>IF($R1174="","",TRIM(INDEX('입력_구리근무자명단'!$A1172:$ZZ1172,1,$E$2+5)&amp;""))</f>
        <v/>
      </c>
      <c r="W1174">
        <f>IF(ISNUMBER(SEARCH("구리독자",$V1174)),"구리독자","")</f>
        <v/>
      </c>
      <c r="X1174">
        <f>IF($R1174="","",$R1174&amp;"|"&amp;IF(OR($Q1174="인턴",ISNUMBER(SEARCH("수련교육부",$P1174))),"인턴",$P1174))</f>
        <v/>
      </c>
      <c r="Y1174">
        <f>IF($R1174="","",IF(COUNTIF(명단표[이름|과],$X1174)=1,"명단 일치",IF(AND(COUNTIF(명단표[이름|과],$X1174)=0,COUNTIF(명단표[이름],$R1174)=1),"명단 일치(이름만, 과 다름)",IF(COUNTIF(명단표[이름],$R1174)=0,IF(COUNTIF(기본자료표[이름],$R1174)&gt;0,"명단에 없음(기본자료에는 있음)","명단에 없음"),"동명이인 확인"))))</f>
        <v/>
      </c>
      <c r="Z1174">
        <f>IF($R1174="","",IF($S1174&lt;0,"⚠"&amp;INDEX('입력_구리근무자명단'!$A1172:$ZZ1172,1,$E$2+2),TEXT($S1174,"yyyy-mm-dd")))</f>
        <v/>
      </c>
      <c r="AA1174">
        <f>IF($R1174="","",IF($T1174&lt;0,"⚠"&amp;INDEX('입력_구리근무자명단'!$A1172:$ZZ1172,1,$E$2+3),TEXT($T1174,"yyyy-mm-dd")))</f>
        <v/>
      </c>
      <c r="AB1174">
        <f>AB1173+IF($R1174="",0,1)</f>
        <v/>
      </c>
      <c r="AC1174">
        <f>IF($R1174="","",$AB1174)</f>
        <v/>
      </c>
    </row>
    <row r="1175">
      <c r="O1175">
        <f>1173</f>
        <v/>
      </c>
      <c r="P1175">
        <f>IF(TRIM('입력_구리근무자명단'!$A1173&amp;"")&lt;&gt;"",TRIM('입력_구리근무자명단'!$A1173&amp;""),P1174)</f>
        <v/>
      </c>
      <c r="Q1175">
        <f>'입력_구리근무자명단'!$B1173&amp;""</f>
        <v/>
      </c>
      <c r="R1175">
        <f>IF($E$2="","",TRIM(INDEX('입력_구리근무자명단'!$A1173:$ZZ1173,1,$E$2+IF($G$2="확정",1,0))&amp;""))</f>
        <v/>
      </c>
      <c r="S1175">
        <f>IF($R1175="","",IF(INDEX('입력_구리근무자명단'!$A1173:$ZZ1173,1,$E$2+2)&amp;""="",급여기준월,IF(ISNUMBER(INDEX('입력_구리근무자명단'!$A1173:$ZZ1173,1,$E$2+2)),INDEX('입력_구리근무자명단'!$A1173:$ZZ1173,1,$E$2+2),IFERROR(DATE(VALUE(LEFT(INDEX('입력_구리근무자명단'!$A1173:$ZZ1173,1,$E$2+2),4)),VALUE(MID(INDEX('입력_구리근무자명단'!$A1173:$ZZ1173,1,$E$2+2),6,2)),VALUE(MID(INDEX('입력_구리근무자명단'!$A1173:$ZZ1173,1,$E$2+2),9,2))),-1))))</f>
        <v/>
      </c>
      <c r="T1175">
        <f>IF($R1175="","",IF(INDEX('입력_구리근무자명단'!$A1173:$ZZ1173,1,$E$2+3)&amp;""="",EOMONTH(급여기준월,0),IF(ISNUMBER(INDEX('입력_구리근무자명단'!$A1173:$ZZ1173,1,$E$2+3)),INDEX('입력_구리근무자명단'!$A1173:$ZZ1173,1,$E$2+3),IFERROR(DATE(VALUE(LEFT(INDEX('입력_구리근무자명단'!$A1173:$ZZ1173,1,$E$2+3),4)),VALUE(MID(INDEX('입력_구리근무자명단'!$A1173:$ZZ1173,1,$E$2+3),6,2)),VALUE(MID(INDEX('입력_구리근무자명단'!$A1173:$ZZ1173,1,$E$2+3),9,2))),-1))))</f>
        <v/>
      </c>
      <c r="U1175">
        <f>IF($R1175="","",IF(OR($S1175&lt;0,$T1175&lt;0),0,MAX(0,MIN($T1175,EOMONTH(급여기준월,0))-MAX($S1175,급여기준월)+1)))</f>
        <v/>
      </c>
      <c r="V1175">
        <f>IF($R1175="","",TRIM(INDEX('입력_구리근무자명단'!$A1173:$ZZ1173,1,$E$2+5)&amp;""))</f>
        <v/>
      </c>
      <c r="W1175">
        <f>IF(ISNUMBER(SEARCH("구리독자",$V1175)),"구리독자","")</f>
        <v/>
      </c>
      <c r="X1175">
        <f>IF($R1175="","",$R1175&amp;"|"&amp;IF(OR($Q1175="인턴",ISNUMBER(SEARCH("수련교육부",$P1175))),"인턴",$P1175))</f>
        <v/>
      </c>
      <c r="Y1175">
        <f>IF($R1175="","",IF(COUNTIF(명단표[이름|과],$X1175)=1,"명단 일치",IF(AND(COUNTIF(명단표[이름|과],$X1175)=0,COUNTIF(명단표[이름],$R1175)=1),"명단 일치(이름만, 과 다름)",IF(COUNTIF(명단표[이름],$R1175)=0,IF(COUNTIF(기본자료표[이름],$R1175)&gt;0,"명단에 없음(기본자료에는 있음)","명단에 없음"),"동명이인 확인"))))</f>
        <v/>
      </c>
      <c r="Z1175">
        <f>IF($R1175="","",IF($S1175&lt;0,"⚠"&amp;INDEX('입력_구리근무자명단'!$A1173:$ZZ1173,1,$E$2+2),TEXT($S1175,"yyyy-mm-dd")))</f>
        <v/>
      </c>
      <c r="AA1175">
        <f>IF($R1175="","",IF($T1175&lt;0,"⚠"&amp;INDEX('입력_구리근무자명단'!$A1173:$ZZ1173,1,$E$2+3),TEXT($T1175,"yyyy-mm-dd")))</f>
        <v/>
      </c>
      <c r="AB1175">
        <f>AB1174+IF($R1175="",0,1)</f>
        <v/>
      </c>
      <c r="AC1175">
        <f>IF($R1175="","",$AB1175)</f>
        <v/>
      </c>
    </row>
    <row r="1176">
      <c r="O1176">
        <f>1174</f>
        <v/>
      </c>
      <c r="P1176">
        <f>IF(TRIM('입력_구리근무자명단'!$A1174&amp;"")&lt;&gt;"",TRIM('입력_구리근무자명단'!$A1174&amp;""),P1175)</f>
        <v/>
      </c>
      <c r="Q1176">
        <f>'입력_구리근무자명단'!$B1174&amp;""</f>
        <v/>
      </c>
      <c r="R1176">
        <f>IF($E$2="","",TRIM(INDEX('입력_구리근무자명단'!$A1174:$ZZ1174,1,$E$2+IF($G$2="확정",1,0))&amp;""))</f>
        <v/>
      </c>
      <c r="S1176">
        <f>IF($R1176="","",IF(INDEX('입력_구리근무자명단'!$A1174:$ZZ1174,1,$E$2+2)&amp;""="",급여기준월,IF(ISNUMBER(INDEX('입력_구리근무자명단'!$A1174:$ZZ1174,1,$E$2+2)),INDEX('입력_구리근무자명단'!$A1174:$ZZ1174,1,$E$2+2),IFERROR(DATE(VALUE(LEFT(INDEX('입력_구리근무자명단'!$A1174:$ZZ1174,1,$E$2+2),4)),VALUE(MID(INDEX('입력_구리근무자명단'!$A1174:$ZZ1174,1,$E$2+2),6,2)),VALUE(MID(INDEX('입력_구리근무자명단'!$A1174:$ZZ1174,1,$E$2+2),9,2))),-1))))</f>
        <v/>
      </c>
      <c r="T1176">
        <f>IF($R1176="","",IF(INDEX('입력_구리근무자명단'!$A1174:$ZZ1174,1,$E$2+3)&amp;""="",EOMONTH(급여기준월,0),IF(ISNUMBER(INDEX('입력_구리근무자명단'!$A1174:$ZZ1174,1,$E$2+3)),INDEX('입력_구리근무자명단'!$A1174:$ZZ1174,1,$E$2+3),IFERROR(DATE(VALUE(LEFT(INDEX('입력_구리근무자명단'!$A1174:$ZZ1174,1,$E$2+3),4)),VALUE(MID(INDEX('입력_구리근무자명단'!$A1174:$ZZ1174,1,$E$2+3),6,2)),VALUE(MID(INDEX('입력_구리근무자명단'!$A1174:$ZZ1174,1,$E$2+3),9,2))),-1))))</f>
        <v/>
      </c>
      <c r="U1176">
        <f>IF($R1176="","",IF(OR($S1176&lt;0,$T1176&lt;0),0,MAX(0,MIN($T1176,EOMONTH(급여기준월,0))-MAX($S1176,급여기준월)+1)))</f>
        <v/>
      </c>
      <c r="V1176">
        <f>IF($R1176="","",TRIM(INDEX('입력_구리근무자명단'!$A1174:$ZZ1174,1,$E$2+5)&amp;""))</f>
        <v/>
      </c>
      <c r="W1176">
        <f>IF(ISNUMBER(SEARCH("구리독자",$V1176)),"구리독자","")</f>
        <v/>
      </c>
      <c r="X1176">
        <f>IF($R1176="","",$R1176&amp;"|"&amp;IF(OR($Q1176="인턴",ISNUMBER(SEARCH("수련교육부",$P1176))),"인턴",$P1176))</f>
        <v/>
      </c>
      <c r="Y1176">
        <f>IF($R1176="","",IF(COUNTIF(명단표[이름|과],$X1176)=1,"명단 일치",IF(AND(COUNTIF(명단표[이름|과],$X1176)=0,COUNTIF(명단표[이름],$R1176)=1),"명단 일치(이름만, 과 다름)",IF(COUNTIF(명단표[이름],$R1176)=0,IF(COUNTIF(기본자료표[이름],$R1176)&gt;0,"명단에 없음(기본자료에는 있음)","명단에 없음"),"동명이인 확인"))))</f>
        <v/>
      </c>
      <c r="Z1176">
        <f>IF($R1176="","",IF($S1176&lt;0,"⚠"&amp;INDEX('입력_구리근무자명단'!$A1174:$ZZ1174,1,$E$2+2),TEXT($S1176,"yyyy-mm-dd")))</f>
        <v/>
      </c>
      <c r="AA1176">
        <f>IF($R1176="","",IF($T1176&lt;0,"⚠"&amp;INDEX('입력_구리근무자명단'!$A1174:$ZZ1174,1,$E$2+3),TEXT($T1176,"yyyy-mm-dd")))</f>
        <v/>
      </c>
      <c r="AB1176">
        <f>AB1175+IF($R1176="",0,1)</f>
        <v/>
      </c>
      <c r="AC1176">
        <f>IF($R1176="","",$AB1176)</f>
        <v/>
      </c>
    </row>
    <row r="1177">
      <c r="O1177">
        <f>1175</f>
        <v/>
      </c>
      <c r="P1177">
        <f>IF(TRIM('입력_구리근무자명단'!$A1175&amp;"")&lt;&gt;"",TRIM('입력_구리근무자명단'!$A1175&amp;""),P1176)</f>
        <v/>
      </c>
      <c r="Q1177">
        <f>'입력_구리근무자명단'!$B1175&amp;""</f>
        <v/>
      </c>
      <c r="R1177">
        <f>IF($E$2="","",TRIM(INDEX('입력_구리근무자명단'!$A1175:$ZZ1175,1,$E$2+IF($G$2="확정",1,0))&amp;""))</f>
        <v/>
      </c>
      <c r="S1177">
        <f>IF($R1177="","",IF(INDEX('입력_구리근무자명단'!$A1175:$ZZ1175,1,$E$2+2)&amp;""="",급여기준월,IF(ISNUMBER(INDEX('입력_구리근무자명단'!$A1175:$ZZ1175,1,$E$2+2)),INDEX('입력_구리근무자명단'!$A1175:$ZZ1175,1,$E$2+2),IFERROR(DATE(VALUE(LEFT(INDEX('입력_구리근무자명단'!$A1175:$ZZ1175,1,$E$2+2),4)),VALUE(MID(INDEX('입력_구리근무자명단'!$A1175:$ZZ1175,1,$E$2+2),6,2)),VALUE(MID(INDEX('입력_구리근무자명단'!$A1175:$ZZ1175,1,$E$2+2),9,2))),-1))))</f>
        <v/>
      </c>
      <c r="T1177">
        <f>IF($R1177="","",IF(INDEX('입력_구리근무자명단'!$A1175:$ZZ1175,1,$E$2+3)&amp;""="",EOMONTH(급여기준월,0),IF(ISNUMBER(INDEX('입력_구리근무자명단'!$A1175:$ZZ1175,1,$E$2+3)),INDEX('입력_구리근무자명단'!$A1175:$ZZ1175,1,$E$2+3),IFERROR(DATE(VALUE(LEFT(INDEX('입력_구리근무자명단'!$A1175:$ZZ1175,1,$E$2+3),4)),VALUE(MID(INDEX('입력_구리근무자명단'!$A1175:$ZZ1175,1,$E$2+3),6,2)),VALUE(MID(INDEX('입력_구리근무자명단'!$A1175:$ZZ1175,1,$E$2+3),9,2))),-1))))</f>
        <v/>
      </c>
      <c r="U1177">
        <f>IF($R1177="","",IF(OR($S1177&lt;0,$T1177&lt;0),0,MAX(0,MIN($T1177,EOMONTH(급여기준월,0))-MAX($S1177,급여기준월)+1)))</f>
        <v/>
      </c>
      <c r="V1177">
        <f>IF($R1177="","",TRIM(INDEX('입력_구리근무자명단'!$A1175:$ZZ1175,1,$E$2+5)&amp;""))</f>
        <v/>
      </c>
      <c r="W1177">
        <f>IF(ISNUMBER(SEARCH("구리독자",$V1177)),"구리독자","")</f>
        <v/>
      </c>
      <c r="X1177">
        <f>IF($R1177="","",$R1177&amp;"|"&amp;IF(OR($Q1177="인턴",ISNUMBER(SEARCH("수련교육부",$P1177))),"인턴",$P1177))</f>
        <v/>
      </c>
      <c r="Y1177">
        <f>IF($R1177="","",IF(COUNTIF(명단표[이름|과],$X1177)=1,"명단 일치",IF(AND(COUNTIF(명단표[이름|과],$X1177)=0,COUNTIF(명단표[이름],$R1177)=1),"명단 일치(이름만, 과 다름)",IF(COUNTIF(명단표[이름],$R1177)=0,IF(COUNTIF(기본자료표[이름],$R1177)&gt;0,"명단에 없음(기본자료에는 있음)","명단에 없음"),"동명이인 확인"))))</f>
        <v/>
      </c>
      <c r="Z1177">
        <f>IF($R1177="","",IF($S1177&lt;0,"⚠"&amp;INDEX('입력_구리근무자명단'!$A1175:$ZZ1175,1,$E$2+2),TEXT($S1177,"yyyy-mm-dd")))</f>
        <v/>
      </c>
      <c r="AA1177">
        <f>IF($R1177="","",IF($T1177&lt;0,"⚠"&amp;INDEX('입력_구리근무자명단'!$A1175:$ZZ1175,1,$E$2+3),TEXT($T1177,"yyyy-mm-dd")))</f>
        <v/>
      </c>
      <c r="AB1177">
        <f>AB1176+IF($R1177="",0,1)</f>
        <v/>
      </c>
      <c r="AC1177">
        <f>IF($R1177="","",$AB1177)</f>
        <v/>
      </c>
    </row>
    <row r="1178">
      <c r="O1178">
        <f>1176</f>
        <v/>
      </c>
      <c r="P1178">
        <f>IF(TRIM('입력_구리근무자명단'!$A1176&amp;"")&lt;&gt;"",TRIM('입력_구리근무자명단'!$A1176&amp;""),P1177)</f>
        <v/>
      </c>
      <c r="Q1178">
        <f>'입력_구리근무자명단'!$B1176&amp;""</f>
        <v/>
      </c>
      <c r="R1178">
        <f>IF($E$2="","",TRIM(INDEX('입력_구리근무자명단'!$A1176:$ZZ1176,1,$E$2+IF($G$2="확정",1,0))&amp;""))</f>
        <v/>
      </c>
      <c r="S1178">
        <f>IF($R1178="","",IF(INDEX('입력_구리근무자명단'!$A1176:$ZZ1176,1,$E$2+2)&amp;""="",급여기준월,IF(ISNUMBER(INDEX('입력_구리근무자명단'!$A1176:$ZZ1176,1,$E$2+2)),INDEX('입력_구리근무자명단'!$A1176:$ZZ1176,1,$E$2+2),IFERROR(DATE(VALUE(LEFT(INDEX('입력_구리근무자명단'!$A1176:$ZZ1176,1,$E$2+2),4)),VALUE(MID(INDEX('입력_구리근무자명단'!$A1176:$ZZ1176,1,$E$2+2),6,2)),VALUE(MID(INDEX('입력_구리근무자명단'!$A1176:$ZZ1176,1,$E$2+2),9,2))),-1))))</f>
        <v/>
      </c>
      <c r="T1178">
        <f>IF($R1178="","",IF(INDEX('입력_구리근무자명단'!$A1176:$ZZ1176,1,$E$2+3)&amp;""="",EOMONTH(급여기준월,0),IF(ISNUMBER(INDEX('입력_구리근무자명단'!$A1176:$ZZ1176,1,$E$2+3)),INDEX('입력_구리근무자명단'!$A1176:$ZZ1176,1,$E$2+3),IFERROR(DATE(VALUE(LEFT(INDEX('입력_구리근무자명단'!$A1176:$ZZ1176,1,$E$2+3),4)),VALUE(MID(INDEX('입력_구리근무자명단'!$A1176:$ZZ1176,1,$E$2+3),6,2)),VALUE(MID(INDEX('입력_구리근무자명단'!$A1176:$ZZ1176,1,$E$2+3),9,2))),-1))))</f>
        <v/>
      </c>
      <c r="U1178">
        <f>IF($R1178="","",IF(OR($S1178&lt;0,$T1178&lt;0),0,MAX(0,MIN($T1178,EOMONTH(급여기준월,0))-MAX($S1178,급여기준월)+1)))</f>
        <v/>
      </c>
      <c r="V1178">
        <f>IF($R1178="","",TRIM(INDEX('입력_구리근무자명단'!$A1176:$ZZ1176,1,$E$2+5)&amp;""))</f>
        <v/>
      </c>
      <c r="W1178">
        <f>IF(ISNUMBER(SEARCH("구리독자",$V1178)),"구리독자","")</f>
        <v/>
      </c>
      <c r="X1178">
        <f>IF($R1178="","",$R1178&amp;"|"&amp;IF(OR($Q1178="인턴",ISNUMBER(SEARCH("수련교육부",$P1178))),"인턴",$P1178))</f>
        <v/>
      </c>
      <c r="Y1178">
        <f>IF($R1178="","",IF(COUNTIF(명단표[이름|과],$X1178)=1,"명단 일치",IF(AND(COUNTIF(명단표[이름|과],$X1178)=0,COUNTIF(명단표[이름],$R1178)=1),"명단 일치(이름만, 과 다름)",IF(COUNTIF(명단표[이름],$R1178)=0,IF(COUNTIF(기본자료표[이름],$R1178)&gt;0,"명단에 없음(기본자료에는 있음)","명단에 없음"),"동명이인 확인"))))</f>
        <v/>
      </c>
      <c r="Z1178">
        <f>IF($R1178="","",IF($S1178&lt;0,"⚠"&amp;INDEX('입력_구리근무자명단'!$A1176:$ZZ1176,1,$E$2+2),TEXT($S1178,"yyyy-mm-dd")))</f>
        <v/>
      </c>
      <c r="AA1178">
        <f>IF($R1178="","",IF($T1178&lt;0,"⚠"&amp;INDEX('입력_구리근무자명단'!$A1176:$ZZ1176,1,$E$2+3),TEXT($T1178,"yyyy-mm-dd")))</f>
        <v/>
      </c>
      <c r="AB1178">
        <f>AB1177+IF($R1178="",0,1)</f>
        <v/>
      </c>
      <c r="AC1178">
        <f>IF($R1178="","",$AB1178)</f>
        <v/>
      </c>
    </row>
    <row r="1179">
      <c r="O1179">
        <f>1177</f>
        <v/>
      </c>
      <c r="P1179">
        <f>IF(TRIM('입력_구리근무자명단'!$A1177&amp;"")&lt;&gt;"",TRIM('입력_구리근무자명단'!$A1177&amp;""),P1178)</f>
        <v/>
      </c>
      <c r="Q1179">
        <f>'입력_구리근무자명단'!$B1177&amp;""</f>
        <v/>
      </c>
      <c r="R1179">
        <f>IF($E$2="","",TRIM(INDEX('입력_구리근무자명단'!$A1177:$ZZ1177,1,$E$2+IF($G$2="확정",1,0))&amp;""))</f>
        <v/>
      </c>
      <c r="S1179">
        <f>IF($R1179="","",IF(INDEX('입력_구리근무자명단'!$A1177:$ZZ1177,1,$E$2+2)&amp;""="",급여기준월,IF(ISNUMBER(INDEX('입력_구리근무자명단'!$A1177:$ZZ1177,1,$E$2+2)),INDEX('입력_구리근무자명단'!$A1177:$ZZ1177,1,$E$2+2),IFERROR(DATE(VALUE(LEFT(INDEX('입력_구리근무자명단'!$A1177:$ZZ1177,1,$E$2+2),4)),VALUE(MID(INDEX('입력_구리근무자명단'!$A1177:$ZZ1177,1,$E$2+2),6,2)),VALUE(MID(INDEX('입력_구리근무자명단'!$A1177:$ZZ1177,1,$E$2+2),9,2))),-1))))</f>
        <v/>
      </c>
      <c r="T1179">
        <f>IF($R1179="","",IF(INDEX('입력_구리근무자명단'!$A1177:$ZZ1177,1,$E$2+3)&amp;""="",EOMONTH(급여기준월,0),IF(ISNUMBER(INDEX('입력_구리근무자명단'!$A1177:$ZZ1177,1,$E$2+3)),INDEX('입력_구리근무자명단'!$A1177:$ZZ1177,1,$E$2+3),IFERROR(DATE(VALUE(LEFT(INDEX('입력_구리근무자명단'!$A1177:$ZZ1177,1,$E$2+3),4)),VALUE(MID(INDEX('입력_구리근무자명단'!$A1177:$ZZ1177,1,$E$2+3),6,2)),VALUE(MID(INDEX('입력_구리근무자명단'!$A1177:$ZZ1177,1,$E$2+3),9,2))),-1))))</f>
        <v/>
      </c>
      <c r="U1179">
        <f>IF($R1179="","",IF(OR($S1179&lt;0,$T1179&lt;0),0,MAX(0,MIN($T1179,EOMONTH(급여기준월,0))-MAX($S1179,급여기준월)+1)))</f>
        <v/>
      </c>
      <c r="V1179">
        <f>IF($R1179="","",TRIM(INDEX('입력_구리근무자명단'!$A1177:$ZZ1177,1,$E$2+5)&amp;""))</f>
        <v/>
      </c>
      <c r="W1179">
        <f>IF(ISNUMBER(SEARCH("구리독자",$V1179)),"구리독자","")</f>
        <v/>
      </c>
      <c r="X1179">
        <f>IF($R1179="","",$R1179&amp;"|"&amp;IF(OR($Q1179="인턴",ISNUMBER(SEARCH("수련교육부",$P1179))),"인턴",$P1179))</f>
        <v/>
      </c>
      <c r="Y1179">
        <f>IF($R1179="","",IF(COUNTIF(명단표[이름|과],$X1179)=1,"명단 일치",IF(AND(COUNTIF(명단표[이름|과],$X1179)=0,COUNTIF(명단표[이름],$R1179)=1),"명단 일치(이름만, 과 다름)",IF(COUNTIF(명단표[이름],$R1179)=0,IF(COUNTIF(기본자료표[이름],$R1179)&gt;0,"명단에 없음(기본자료에는 있음)","명단에 없음"),"동명이인 확인"))))</f>
        <v/>
      </c>
      <c r="Z1179">
        <f>IF($R1179="","",IF($S1179&lt;0,"⚠"&amp;INDEX('입력_구리근무자명단'!$A1177:$ZZ1177,1,$E$2+2),TEXT($S1179,"yyyy-mm-dd")))</f>
        <v/>
      </c>
      <c r="AA1179">
        <f>IF($R1179="","",IF($T1179&lt;0,"⚠"&amp;INDEX('입력_구리근무자명단'!$A1177:$ZZ1177,1,$E$2+3),TEXT($T1179,"yyyy-mm-dd")))</f>
        <v/>
      </c>
      <c r="AB1179">
        <f>AB1178+IF($R1179="",0,1)</f>
        <v/>
      </c>
      <c r="AC1179">
        <f>IF($R1179="","",$AB1179)</f>
        <v/>
      </c>
    </row>
    <row r="1180">
      <c r="O1180">
        <f>1178</f>
        <v/>
      </c>
      <c r="P1180">
        <f>IF(TRIM('입력_구리근무자명단'!$A1178&amp;"")&lt;&gt;"",TRIM('입력_구리근무자명단'!$A1178&amp;""),P1179)</f>
        <v/>
      </c>
      <c r="Q1180">
        <f>'입력_구리근무자명단'!$B1178&amp;""</f>
        <v/>
      </c>
      <c r="R1180">
        <f>IF($E$2="","",TRIM(INDEX('입력_구리근무자명단'!$A1178:$ZZ1178,1,$E$2+IF($G$2="확정",1,0))&amp;""))</f>
        <v/>
      </c>
      <c r="S1180">
        <f>IF($R1180="","",IF(INDEX('입력_구리근무자명단'!$A1178:$ZZ1178,1,$E$2+2)&amp;""="",급여기준월,IF(ISNUMBER(INDEX('입력_구리근무자명단'!$A1178:$ZZ1178,1,$E$2+2)),INDEX('입력_구리근무자명단'!$A1178:$ZZ1178,1,$E$2+2),IFERROR(DATE(VALUE(LEFT(INDEX('입력_구리근무자명단'!$A1178:$ZZ1178,1,$E$2+2),4)),VALUE(MID(INDEX('입력_구리근무자명단'!$A1178:$ZZ1178,1,$E$2+2),6,2)),VALUE(MID(INDEX('입력_구리근무자명단'!$A1178:$ZZ1178,1,$E$2+2),9,2))),-1))))</f>
        <v/>
      </c>
      <c r="T1180">
        <f>IF($R1180="","",IF(INDEX('입력_구리근무자명단'!$A1178:$ZZ1178,1,$E$2+3)&amp;""="",EOMONTH(급여기준월,0),IF(ISNUMBER(INDEX('입력_구리근무자명단'!$A1178:$ZZ1178,1,$E$2+3)),INDEX('입력_구리근무자명단'!$A1178:$ZZ1178,1,$E$2+3),IFERROR(DATE(VALUE(LEFT(INDEX('입력_구리근무자명단'!$A1178:$ZZ1178,1,$E$2+3),4)),VALUE(MID(INDEX('입력_구리근무자명단'!$A1178:$ZZ1178,1,$E$2+3),6,2)),VALUE(MID(INDEX('입력_구리근무자명단'!$A1178:$ZZ1178,1,$E$2+3),9,2))),-1))))</f>
        <v/>
      </c>
      <c r="U1180">
        <f>IF($R1180="","",IF(OR($S1180&lt;0,$T1180&lt;0),0,MAX(0,MIN($T1180,EOMONTH(급여기준월,0))-MAX($S1180,급여기준월)+1)))</f>
        <v/>
      </c>
      <c r="V1180">
        <f>IF($R1180="","",TRIM(INDEX('입력_구리근무자명단'!$A1178:$ZZ1178,1,$E$2+5)&amp;""))</f>
        <v/>
      </c>
      <c r="W1180">
        <f>IF(ISNUMBER(SEARCH("구리독자",$V1180)),"구리독자","")</f>
        <v/>
      </c>
      <c r="X1180">
        <f>IF($R1180="","",$R1180&amp;"|"&amp;IF(OR($Q1180="인턴",ISNUMBER(SEARCH("수련교육부",$P1180))),"인턴",$P1180))</f>
        <v/>
      </c>
      <c r="Y1180">
        <f>IF($R1180="","",IF(COUNTIF(명단표[이름|과],$X1180)=1,"명단 일치",IF(AND(COUNTIF(명단표[이름|과],$X1180)=0,COUNTIF(명단표[이름],$R1180)=1),"명단 일치(이름만, 과 다름)",IF(COUNTIF(명단표[이름],$R1180)=0,IF(COUNTIF(기본자료표[이름],$R1180)&gt;0,"명단에 없음(기본자료에는 있음)","명단에 없음"),"동명이인 확인"))))</f>
        <v/>
      </c>
      <c r="Z1180">
        <f>IF($R1180="","",IF($S1180&lt;0,"⚠"&amp;INDEX('입력_구리근무자명단'!$A1178:$ZZ1178,1,$E$2+2),TEXT($S1180,"yyyy-mm-dd")))</f>
        <v/>
      </c>
      <c r="AA1180">
        <f>IF($R1180="","",IF($T1180&lt;0,"⚠"&amp;INDEX('입력_구리근무자명단'!$A1178:$ZZ1178,1,$E$2+3),TEXT($T1180,"yyyy-mm-dd")))</f>
        <v/>
      </c>
      <c r="AB1180">
        <f>AB1179+IF($R1180="",0,1)</f>
        <v/>
      </c>
      <c r="AC1180">
        <f>IF($R1180="","",$AB1180)</f>
        <v/>
      </c>
    </row>
    <row r="1181">
      <c r="O1181">
        <f>1179</f>
        <v/>
      </c>
      <c r="P1181">
        <f>IF(TRIM('입력_구리근무자명단'!$A1179&amp;"")&lt;&gt;"",TRIM('입력_구리근무자명단'!$A1179&amp;""),P1180)</f>
        <v/>
      </c>
      <c r="Q1181">
        <f>'입력_구리근무자명단'!$B1179&amp;""</f>
        <v/>
      </c>
      <c r="R1181">
        <f>IF($E$2="","",TRIM(INDEX('입력_구리근무자명단'!$A1179:$ZZ1179,1,$E$2+IF($G$2="확정",1,0))&amp;""))</f>
        <v/>
      </c>
      <c r="S1181">
        <f>IF($R1181="","",IF(INDEX('입력_구리근무자명단'!$A1179:$ZZ1179,1,$E$2+2)&amp;""="",급여기준월,IF(ISNUMBER(INDEX('입력_구리근무자명단'!$A1179:$ZZ1179,1,$E$2+2)),INDEX('입력_구리근무자명단'!$A1179:$ZZ1179,1,$E$2+2),IFERROR(DATE(VALUE(LEFT(INDEX('입력_구리근무자명단'!$A1179:$ZZ1179,1,$E$2+2),4)),VALUE(MID(INDEX('입력_구리근무자명단'!$A1179:$ZZ1179,1,$E$2+2),6,2)),VALUE(MID(INDEX('입력_구리근무자명단'!$A1179:$ZZ1179,1,$E$2+2),9,2))),-1))))</f>
        <v/>
      </c>
      <c r="T1181">
        <f>IF($R1181="","",IF(INDEX('입력_구리근무자명단'!$A1179:$ZZ1179,1,$E$2+3)&amp;""="",EOMONTH(급여기준월,0),IF(ISNUMBER(INDEX('입력_구리근무자명단'!$A1179:$ZZ1179,1,$E$2+3)),INDEX('입력_구리근무자명단'!$A1179:$ZZ1179,1,$E$2+3),IFERROR(DATE(VALUE(LEFT(INDEX('입력_구리근무자명단'!$A1179:$ZZ1179,1,$E$2+3),4)),VALUE(MID(INDEX('입력_구리근무자명단'!$A1179:$ZZ1179,1,$E$2+3),6,2)),VALUE(MID(INDEX('입력_구리근무자명단'!$A1179:$ZZ1179,1,$E$2+3),9,2))),-1))))</f>
        <v/>
      </c>
      <c r="U1181">
        <f>IF($R1181="","",IF(OR($S1181&lt;0,$T1181&lt;0),0,MAX(0,MIN($T1181,EOMONTH(급여기준월,0))-MAX($S1181,급여기준월)+1)))</f>
        <v/>
      </c>
      <c r="V1181">
        <f>IF($R1181="","",TRIM(INDEX('입력_구리근무자명단'!$A1179:$ZZ1179,1,$E$2+5)&amp;""))</f>
        <v/>
      </c>
      <c r="W1181">
        <f>IF(ISNUMBER(SEARCH("구리독자",$V1181)),"구리독자","")</f>
        <v/>
      </c>
      <c r="X1181">
        <f>IF($R1181="","",$R1181&amp;"|"&amp;IF(OR($Q1181="인턴",ISNUMBER(SEARCH("수련교육부",$P1181))),"인턴",$P1181))</f>
        <v/>
      </c>
      <c r="Y1181">
        <f>IF($R1181="","",IF(COUNTIF(명단표[이름|과],$X1181)=1,"명단 일치",IF(AND(COUNTIF(명단표[이름|과],$X1181)=0,COUNTIF(명단표[이름],$R1181)=1),"명단 일치(이름만, 과 다름)",IF(COUNTIF(명단표[이름],$R1181)=0,IF(COUNTIF(기본자료표[이름],$R1181)&gt;0,"명단에 없음(기본자료에는 있음)","명단에 없음"),"동명이인 확인"))))</f>
        <v/>
      </c>
      <c r="Z1181">
        <f>IF($R1181="","",IF($S1181&lt;0,"⚠"&amp;INDEX('입력_구리근무자명단'!$A1179:$ZZ1179,1,$E$2+2),TEXT($S1181,"yyyy-mm-dd")))</f>
        <v/>
      </c>
      <c r="AA1181">
        <f>IF($R1181="","",IF($T1181&lt;0,"⚠"&amp;INDEX('입력_구리근무자명단'!$A1179:$ZZ1179,1,$E$2+3),TEXT($T1181,"yyyy-mm-dd")))</f>
        <v/>
      </c>
      <c r="AB1181">
        <f>AB1180+IF($R1181="",0,1)</f>
        <v/>
      </c>
      <c r="AC1181">
        <f>IF($R1181="","",$AB1181)</f>
        <v/>
      </c>
    </row>
    <row r="1182">
      <c r="O1182">
        <f>1180</f>
        <v/>
      </c>
      <c r="P1182">
        <f>IF(TRIM('입력_구리근무자명단'!$A1180&amp;"")&lt;&gt;"",TRIM('입력_구리근무자명단'!$A1180&amp;""),P1181)</f>
        <v/>
      </c>
      <c r="Q1182">
        <f>'입력_구리근무자명단'!$B1180&amp;""</f>
        <v/>
      </c>
      <c r="R1182">
        <f>IF($E$2="","",TRIM(INDEX('입력_구리근무자명단'!$A1180:$ZZ1180,1,$E$2+IF($G$2="확정",1,0))&amp;""))</f>
        <v/>
      </c>
      <c r="S1182">
        <f>IF($R1182="","",IF(INDEX('입력_구리근무자명단'!$A1180:$ZZ1180,1,$E$2+2)&amp;""="",급여기준월,IF(ISNUMBER(INDEX('입력_구리근무자명단'!$A1180:$ZZ1180,1,$E$2+2)),INDEX('입력_구리근무자명단'!$A1180:$ZZ1180,1,$E$2+2),IFERROR(DATE(VALUE(LEFT(INDEX('입력_구리근무자명단'!$A1180:$ZZ1180,1,$E$2+2),4)),VALUE(MID(INDEX('입력_구리근무자명단'!$A1180:$ZZ1180,1,$E$2+2),6,2)),VALUE(MID(INDEX('입력_구리근무자명단'!$A1180:$ZZ1180,1,$E$2+2),9,2))),-1))))</f>
        <v/>
      </c>
      <c r="T1182">
        <f>IF($R1182="","",IF(INDEX('입력_구리근무자명단'!$A1180:$ZZ1180,1,$E$2+3)&amp;""="",EOMONTH(급여기준월,0),IF(ISNUMBER(INDEX('입력_구리근무자명단'!$A1180:$ZZ1180,1,$E$2+3)),INDEX('입력_구리근무자명단'!$A1180:$ZZ1180,1,$E$2+3),IFERROR(DATE(VALUE(LEFT(INDEX('입력_구리근무자명단'!$A1180:$ZZ1180,1,$E$2+3),4)),VALUE(MID(INDEX('입력_구리근무자명단'!$A1180:$ZZ1180,1,$E$2+3),6,2)),VALUE(MID(INDEX('입력_구리근무자명단'!$A1180:$ZZ1180,1,$E$2+3),9,2))),-1))))</f>
        <v/>
      </c>
      <c r="U1182">
        <f>IF($R1182="","",IF(OR($S1182&lt;0,$T1182&lt;0),0,MAX(0,MIN($T1182,EOMONTH(급여기준월,0))-MAX($S1182,급여기준월)+1)))</f>
        <v/>
      </c>
      <c r="V1182">
        <f>IF($R1182="","",TRIM(INDEX('입력_구리근무자명단'!$A1180:$ZZ1180,1,$E$2+5)&amp;""))</f>
        <v/>
      </c>
      <c r="W1182">
        <f>IF(ISNUMBER(SEARCH("구리독자",$V1182)),"구리독자","")</f>
        <v/>
      </c>
      <c r="X1182">
        <f>IF($R1182="","",$R1182&amp;"|"&amp;IF(OR($Q1182="인턴",ISNUMBER(SEARCH("수련교육부",$P1182))),"인턴",$P1182))</f>
        <v/>
      </c>
      <c r="Y1182">
        <f>IF($R1182="","",IF(COUNTIF(명단표[이름|과],$X1182)=1,"명단 일치",IF(AND(COUNTIF(명단표[이름|과],$X1182)=0,COUNTIF(명단표[이름],$R1182)=1),"명단 일치(이름만, 과 다름)",IF(COUNTIF(명단표[이름],$R1182)=0,IF(COUNTIF(기본자료표[이름],$R1182)&gt;0,"명단에 없음(기본자료에는 있음)","명단에 없음"),"동명이인 확인"))))</f>
        <v/>
      </c>
      <c r="Z1182">
        <f>IF($R1182="","",IF($S1182&lt;0,"⚠"&amp;INDEX('입력_구리근무자명단'!$A1180:$ZZ1180,1,$E$2+2),TEXT($S1182,"yyyy-mm-dd")))</f>
        <v/>
      </c>
      <c r="AA1182">
        <f>IF($R1182="","",IF($T1182&lt;0,"⚠"&amp;INDEX('입력_구리근무자명단'!$A1180:$ZZ1180,1,$E$2+3),TEXT($T1182,"yyyy-mm-dd")))</f>
        <v/>
      </c>
      <c r="AB1182">
        <f>AB1181+IF($R1182="",0,1)</f>
        <v/>
      </c>
      <c r="AC1182">
        <f>IF($R1182="","",$AB1182)</f>
        <v/>
      </c>
    </row>
    <row r="1183">
      <c r="O1183">
        <f>1181</f>
        <v/>
      </c>
      <c r="P1183">
        <f>IF(TRIM('입력_구리근무자명단'!$A1181&amp;"")&lt;&gt;"",TRIM('입력_구리근무자명단'!$A1181&amp;""),P1182)</f>
        <v/>
      </c>
      <c r="Q1183">
        <f>'입력_구리근무자명단'!$B1181&amp;""</f>
        <v/>
      </c>
      <c r="R1183">
        <f>IF($E$2="","",TRIM(INDEX('입력_구리근무자명단'!$A1181:$ZZ1181,1,$E$2+IF($G$2="확정",1,0))&amp;""))</f>
        <v/>
      </c>
      <c r="S1183">
        <f>IF($R1183="","",IF(INDEX('입력_구리근무자명단'!$A1181:$ZZ1181,1,$E$2+2)&amp;""="",급여기준월,IF(ISNUMBER(INDEX('입력_구리근무자명단'!$A1181:$ZZ1181,1,$E$2+2)),INDEX('입력_구리근무자명단'!$A1181:$ZZ1181,1,$E$2+2),IFERROR(DATE(VALUE(LEFT(INDEX('입력_구리근무자명단'!$A1181:$ZZ1181,1,$E$2+2),4)),VALUE(MID(INDEX('입력_구리근무자명단'!$A1181:$ZZ1181,1,$E$2+2),6,2)),VALUE(MID(INDEX('입력_구리근무자명단'!$A1181:$ZZ1181,1,$E$2+2),9,2))),-1))))</f>
        <v/>
      </c>
      <c r="T1183">
        <f>IF($R1183="","",IF(INDEX('입력_구리근무자명단'!$A1181:$ZZ1181,1,$E$2+3)&amp;""="",EOMONTH(급여기준월,0),IF(ISNUMBER(INDEX('입력_구리근무자명단'!$A1181:$ZZ1181,1,$E$2+3)),INDEX('입력_구리근무자명단'!$A1181:$ZZ1181,1,$E$2+3),IFERROR(DATE(VALUE(LEFT(INDEX('입력_구리근무자명단'!$A1181:$ZZ1181,1,$E$2+3),4)),VALUE(MID(INDEX('입력_구리근무자명단'!$A1181:$ZZ1181,1,$E$2+3),6,2)),VALUE(MID(INDEX('입력_구리근무자명단'!$A1181:$ZZ1181,1,$E$2+3),9,2))),-1))))</f>
        <v/>
      </c>
      <c r="U1183">
        <f>IF($R1183="","",IF(OR($S1183&lt;0,$T1183&lt;0),0,MAX(0,MIN($T1183,EOMONTH(급여기준월,0))-MAX($S1183,급여기준월)+1)))</f>
        <v/>
      </c>
      <c r="V1183">
        <f>IF($R1183="","",TRIM(INDEX('입력_구리근무자명단'!$A1181:$ZZ1181,1,$E$2+5)&amp;""))</f>
        <v/>
      </c>
      <c r="W1183">
        <f>IF(ISNUMBER(SEARCH("구리독자",$V1183)),"구리독자","")</f>
        <v/>
      </c>
      <c r="X1183">
        <f>IF($R1183="","",$R1183&amp;"|"&amp;IF(OR($Q1183="인턴",ISNUMBER(SEARCH("수련교육부",$P1183))),"인턴",$P1183))</f>
        <v/>
      </c>
      <c r="Y1183">
        <f>IF($R1183="","",IF(COUNTIF(명단표[이름|과],$X1183)=1,"명단 일치",IF(AND(COUNTIF(명단표[이름|과],$X1183)=0,COUNTIF(명단표[이름],$R1183)=1),"명단 일치(이름만, 과 다름)",IF(COUNTIF(명단표[이름],$R1183)=0,IF(COUNTIF(기본자료표[이름],$R1183)&gt;0,"명단에 없음(기본자료에는 있음)","명단에 없음"),"동명이인 확인"))))</f>
        <v/>
      </c>
      <c r="Z1183">
        <f>IF($R1183="","",IF($S1183&lt;0,"⚠"&amp;INDEX('입력_구리근무자명단'!$A1181:$ZZ1181,1,$E$2+2),TEXT($S1183,"yyyy-mm-dd")))</f>
        <v/>
      </c>
      <c r="AA1183">
        <f>IF($R1183="","",IF($T1183&lt;0,"⚠"&amp;INDEX('입력_구리근무자명단'!$A1181:$ZZ1181,1,$E$2+3),TEXT($T1183,"yyyy-mm-dd")))</f>
        <v/>
      </c>
      <c r="AB1183">
        <f>AB1182+IF($R1183="",0,1)</f>
        <v/>
      </c>
      <c r="AC1183">
        <f>IF($R1183="","",$AB1183)</f>
        <v/>
      </c>
    </row>
    <row r="1184">
      <c r="O1184">
        <f>1182</f>
        <v/>
      </c>
      <c r="P1184">
        <f>IF(TRIM('입력_구리근무자명단'!$A1182&amp;"")&lt;&gt;"",TRIM('입력_구리근무자명단'!$A1182&amp;""),P1183)</f>
        <v/>
      </c>
      <c r="Q1184">
        <f>'입력_구리근무자명단'!$B1182&amp;""</f>
        <v/>
      </c>
      <c r="R1184">
        <f>IF($E$2="","",TRIM(INDEX('입력_구리근무자명단'!$A1182:$ZZ1182,1,$E$2+IF($G$2="확정",1,0))&amp;""))</f>
        <v/>
      </c>
      <c r="S1184">
        <f>IF($R1184="","",IF(INDEX('입력_구리근무자명단'!$A1182:$ZZ1182,1,$E$2+2)&amp;""="",급여기준월,IF(ISNUMBER(INDEX('입력_구리근무자명단'!$A1182:$ZZ1182,1,$E$2+2)),INDEX('입력_구리근무자명단'!$A1182:$ZZ1182,1,$E$2+2),IFERROR(DATE(VALUE(LEFT(INDEX('입력_구리근무자명단'!$A1182:$ZZ1182,1,$E$2+2),4)),VALUE(MID(INDEX('입력_구리근무자명단'!$A1182:$ZZ1182,1,$E$2+2),6,2)),VALUE(MID(INDEX('입력_구리근무자명단'!$A1182:$ZZ1182,1,$E$2+2),9,2))),-1))))</f>
        <v/>
      </c>
      <c r="T1184">
        <f>IF($R1184="","",IF(INDEX('입력_구리근무자명단'!$A1182:$ZZ1182,1,$E$2+3)&amp;""="",EOMONTH(급여기준월,0),IF(ISNUMBER(INDEX('입력_구리근무자명단'!$A1182:$ZZ1182,1,$E$2+3)),INDEX('입력_구리근무자명단'!$A1182:$ZZ1182,1,$E$2+3),IFERROR(DATE(VALUE(LEFT(INDEX('입력_구리근무자명단'!$A1182:$ZZ1182,1,$E$2+3),4)),VALUE(MID(INDEX('입력_구리근무자명단'!$A1182:$ZZ1182,1,$E$2+3),6,2)),VALUE(MID(INDEX('입력_구리근무자명단'!$A1182:$ZZ1182,1,$E$2+3),9,2))),-1))))</f>
        <v/>
      </c>
      <c r="U1184">
        <f>IF($R1184="","",IF(OR($S1184&lt;0,$T1184&lt;0),0,MAX(0,MIN($T1184,EOMONTH(급여기준월,0))-MAX($S1184,급여기준월)+1)))</f>
        <v/>
      </c>
      <c r="V1184">
        <f>IF($R1184="","",TRIM(INDEX('입력_구리근무자명단'!$A1182:$ZZ1182,1,$E$2+5)&amp;""))</f>
        <v/>
      </c>
      <c r="W1184">
        <f>IF(ISNUMBER(SEARCH("구리독자",$V1184)),"구리독자","")</f>
        <v/>
      </c>
      <c r="X1184">
        <f>IF($R1184="","",$R1184&amp;"|"&amp;IF(OR($Q1184="인턴",ISNUMBER(SEARCH("수련교육부",$P1184))),"인턴",$P1184))</f>
        <v/>
      </c>
      <c r="Y1184">
        <f>IF($R1184="","",IF(COUNTIF(명단표[이름|과],$X1184)=1,"명단 일치",IF(AND(COUNTIF(명단표[이름|과],$X1184)=0,COUNTIF(명단표[이름],$R1184)=1),"명단 일치(이름만, 과 다름)",IF(COUNTIF(명단표[이름],$R1184)=0,IF(COUNTIF(기본자료표[이름],$R1184)&gt;0,"명단에 없음(기본자료에는 있음)","명단에 없음"),"동명이인 확인"))))</f>
        <v/>
      </c>
      <c r="Z1184">
        <f>IF($R1184="","",IF($S1184&lt;0,"⚠"&amp;INDEX('입력_구리근무자명단'!$A1182:$ZZ1182,1,$E$2+2),TEXT($S1184,"yyyy-mm-dd")))</f>
        <v/>
      </c>
      <c r="AA1184">
        <f>IF($R1184="","",IF($T1184&lt;0,"⚠"&amp;INDEX('입력_구리근무자명단'!$A1182:$ZZ1182,1,$E$2+3),TEXT($T1184,"yyyy-mm-dd")))</f>
        <v/>
      </c>
      <c r="AB1184">
        <f>AB1183+IF($R1184="",0,1)</f>
        <v/>
      </c>
      <c r="AC1184">
        <f>IF($R1184="","",$AB1184)</f>
        <v/>
      </c>
    </row>
    <row r="1185">
      <c r="O1185">
        <f>1183</f>
        <v/>
      </c>
      <c r="P1185">
        <f>IF(TRIM('입력_구리근무자명단'!$A1183&amp;"")&lt;&gt;"",TRIM('입력_구리근무자명단'!$A1183&amp;""),P1184)</f>
        <v/>
      </c>
      <c r="Q1185">
        <f>'입력_구리근무자명단'!$B1183&amp;""</f>
        <v/>
      </c>
      <c r="R1185">
        <f>IF($E$2="","",TRIM(INDEX('입력_구리근무자명단'!$A1183:$ZZ1183,1,$E$2+IF($G$2="확정",1,0))&amp;""))</f>
        <v/>
      </c>
      <c r="S1185">
        <f>IF($R1185="","",IF(INDEX('입력_구리근무자명단'!$A1183:$ZZ1183,1,$E$2+2)&amp;""="",급여기준월,IF(ISNUMBER(INDEX('입력_구리근무자명단'!$A1183:$ZZ1183,1,$E$2+2)),INDEX('입력_구리근무자명단'!$A1183:$ZZ1183,1,$E$2+2),IFERROR(DATE(VALUE(LEFT(INDEX('입력_구리근무자명단'!$A1183:$ZZ1183,1,$E$2+2),4)),VALUE(MID(INDEX('입력_구리근무자명단'!$A1183:$ZZ1183,1,$E$2+2),6,2)),VALUE(MID(INDEX('입력_구리근무자명단'!$A1183:$ZZ1183,1,$E$2+2),9,2))),-1))))</f>
        <v/>
      </c>
      <c r="T1185">
        <f>IF($R1185="","",IF(INDEX('입력_구리근무자명단'!$A1183:$ZZ1183,1,$E$2+3)&amp;""="",EOMONTH(급여기준월,0),IF(ISNUMBER(INDEX('입력_구리근무자명단'!$A1183:$ZZ1183,1,$E$2+3)),INDEX('입력_구리근무자명단'!$A1183:$ZZ1183,1,$E$2+3),IFERROR(DATE(VALUE(LEFT(INDEX('입력_구리근무자명단'!$A1183:$ZZ1183,1,$E$2+3),4)),VALUE(MID(INDEX('입력_구리근무자명단'!$A1183:$ZZ1183,1,$E$2+3),6,2)),VALUE(MID(INDEX('입력_구리근무자명단'!$A1183:$ZZ1183,1,$E$2+3),9,2))),-1))))</f>
        <v/>
      </c>
      <c r="U1185">
        <f>IF($R1185="","",IF(OR($S1185&lt;0,$T1185&lt;0),0,MAX(0,MIN($T1185,EOMONTH(급여기준월,0))-MAX($S1185,급여기준월)+1)))</f>
        <v/>
      </c>
      <c r="V1185">
        <f>IF($R1185="","",TRIM(INDEX('입력_구리근무자명단'!$A1183:$ZZ1183,1,$E$2+5)&amp;""))</f>
        <v/>
      </c>
      <c r="W1185">
        <f>IF(ISNUMBER(SEARCH("구리독자",$V1185)),"구리독자","")</f>
        <v/>
      </c>
      <c r="X1185">
        <f>IF($R1185="","",$R1185&amp;"|"&amp;IF(OR($Q1185="인턴",ISNUMBER(SEARCH("수련교육부",$P1185))),"인턴",$P1185))</f>
        <v/>
      </c>
      <c r="Y1185">
        <f>IF($R1185="","",IF(COUNTIF(명단표[이름|과],$X1185)=1,"명단 일치",IF(AND(COUNTIF(명단표[이름|과],$X1185)=0,COUNTIF(명단표[이름],$R1185)=1),"명단 일치(이름만, 과 다름)",IF(COUNTIF(명단표[이름],$R1185)=0,IF(COUNTIF(기본자료표[이름],$R1185)&gt;0,"명단에 없음(기본자료에는 있음)","명단에 없음"),"동명이인 확인"))))</f>
        <v/>
      </c>
      <c r="Z1185">
        <f>IF($R1185="","",IF($S1185&lt;0,"⚠"&amp;INDEX('입력_구리근무자명단'!$A1183:$ZZ1183,1,$E$2+2),TEXT($S1185,"yyyy-mm-dd")))</f>
        <v/>
      </c>
      <c r="AA1185">
        <f>IF($R1185="","",IF($T1185&lt;0,"⚠"&amp;INDEX('입력_구리근무자명단'!$A1183:$ZZ1183,1,$E$2+3),TEXT($T1185,"yyyy-mm-dd")))</f>
        <v/>
      </c>
      <c r="AB1185">
        <f>AB1184+IF($R1185="",0,1)</f>
        <v/>
      </c>
      <c r="AC1185">
        <f>IF($R1185="","",$AB1185)</f>
        <v/>
      </c>
    </row>
    <row r="1186">
      <c r="O1186">
        <f>1184</f>
        <v/>
      </c>
      <c r="P1186">
        <f>IF(TRIM('입력_구리근무자명단'!$A1184&amp;"")&lt;&gt;"",TRIM('입력_구리근무자명단'!$A1184&amp;""),P1185)</f>
        <v/>
      </c>
      <c r="Q1186">
        <f>'입력_구리근무자명단'!$B1184&amp;""</f>
        <v/>
      </c>
      <c r="R1186">
        <f>IF($E$2="","",TRIM(INDEX('입력_구리근무자명단'!$A1184:$ZZ1184,1,$E$2+IF($G$2="확정",1,0))&amp;""))</f>
        <v/>
      </c>
      <c r="S1186">
        <f>IF($R1186="","",IF(INDEX('입력_구리근무자명단'!$A1184:$ZZ1184,1,$E$2+2)&amp;""="",급여기준월,IF(ISNUMBER(INDEX('입력_구리근무자명단'!$A1184:$ZZ1184,1,$E$2+2)),INDEX('입력_구리근무자명단'!$A1184:$ZZ1184,1,$E$2+2),IFERROR(DATE(VALUE(LEFT(INDEX('입력_구리근무자명단'!$A1184:$ZZ1184,1,$E$2+2),4)),VALUE(MID(INDEX('입력_구리근무자명단'!$A1184:$ZZ1184,1,$E$2+2),6,2)),VALUE(MID(INDEX('입력_구리근무자명단'!$A1184:$ZZ1184,1,$E$2+2),9,2))),-1))))</f>
        <v/>
      </c>
      <c r="T1186">
        <f>IF($R1186="","",IF(INDEX('입력_구리근무자명단'!$A1184:$ZZ1184,1,$E$2+3)&amp;""="",EOMONTH(급여기준월,0),IF(ISNUMBER(INDEX('입력_구리근무자명단'!$A1184:$ZZ1184,1,$E$2+3)),INDEX('입력_구리근무자명단'!$A1184:$ZZ1184,1,$E$2+3),IFERROR(DATE(VALUE(LEFT(INDEX('입력_구리근무자명단'!$A1184:$ZZ1184,1,$E$2+3),4)),VALUE(MID(INDEX('입력_구리근무자명단'!$A1184:$ZZ1184,1,$E$2+3),6,2)),VALUE(MID(INDEX('입력_구리근무자명단'!$A1184:$ZZ1184,1,$E$2+3),9,2))),-1))))</f>
        <v/>
      </c>
      <c r="U1186">
        <f>IF($R1186="","",IF(OR($S1186&lt;0,$T1186&lt;0),0,MAX(0,MIN($T1186,EOMONTH(급여기준월,0))-MAX($S1186,급여기준월)+1)))</f>
        <v/>
      </c>
      <c r="V1186">
        <f>IF($R1186="","",TRIM(INDEX('입력_구리근무자명단'!$A1184:$ZZ1184,1,$E$2+5)&amp;""))</f>
        <v/>
      </c>
      <c r="W1186">
        <f>IF(ISNUMBER(SEARCH("구리독자",$V1186)),"구리독자","")</f>
        <v/>
      </c>
      <c r="X1186">
        <f>IF($R1186="","",$R1186&amp;"|"&amp;IF(OR($Q1186="인턴",ISNUMBER(SEARCH("수련교육부",$P1186))),"인턴",$P1186))</f>
        <v/>
      </c>
      <c r="Y1186">
        <f>IF($R1186="","",IF(COUNTIF(명단표[이름|과],$X1186)=1,"명단 일치",IF(AND(COUNTIF(명단표[이름|과],$X1186)=0,COUNTIF(명단표[이름],$R1186)=1),"명단 일치(이름만, 과 다름)",IF(COUNTIF(명단표[이름],$R1186)=0,IF(COUNTIF(기본자료표[이름],$R1186)&gt;0,"명단에 없음(기본자료에는 있음)","명단에 없음"),"동명이인 확인"))))</f>
        <v/>
      </c>
      <c r="Z1186">
        <f>IF($R1186="","",IF($S1186&lt;0,"⚠"&amp;INDEX('입력_구리근무자명단'!$A1184:$ZZ1184,1,$E$2+2),TEXT($S1186,"yyyy-mm-dd")))</f>
        <v/>
      </c>
      <c r="AA1186">
        <f>IF($R1186="","",IF($T1186&lt;0,"⚠"&amp;INDEX('입력_구리근무자명단'!$A1184:$ZZ1184,1,$E$2+3),TEXT($T1186,"yyyy-mm-dd")))</f>
        <v/>
      </c>
      <c r="AB1186">
        <f>AB1185+IF($R1186="",0,1)</f>
        <v/>
      </c>
      <c r="AC1186">
        <f>IF($R1186="","",$AB1186)</f>
        <v/>
      </c>
    </row>
    <row r="1187">
      <c r="O1187">
        <f>1185</f>
        <v/>
      </c>
      <c r="P1187">
        <f>IF(TRIM('입력_구리근무자명단'!$A1185&amp;"")&lt;&gt;"",TRIM('입력_구리근무자명단'!$A1185&amp;""),P1186)</f>
        <v/>
      </c>
      <c r="Q1187">
        <f>'입력_구리근무자명단'!$B1185&amp;""</f>
        <v/>
      </c>
      <c r="R1187">
        <f>IF($E$2="","",TRIM(INDEX('입력_구리근무자명단'!$A1185:$ZZ1185,1,$E$2+IF($G$2="확정",1,0))&amp;""))</f>
        <v/>
      </c>
      <c r="S1187">
        <f>IF($R1187="","",IF(INDEX('입력_구리근무자명단'!$A1185:$ZZ1185,1,$E$2+2)&amp;""="",급여기준월,IF(ISNUMBER(INDEX('입력_구리근무자명단'!$A1185:$ZZ1185,1,$E$2+2)),INDEX('입력_구리근무자명단'!$A1185:$ZZ1185,1,$E$2+2),IFERROR(DATE(VALUE(LEFT(INDEX('입력_구리근무자명단'!$A1185:$ZZ1185,1,$E$2+2),4)),VALUE(MID(INDEX('입력_구리근무자명단'!$A1185:$ZZ1185,1,$E$2+2),6,2)),VALUE(MID(INDEX('입력_구리근무자명단'!$A1185:$ZZ1185,1,$E$2+2),9,2))),-1))))</f>
        <v/>
      </c>
      <c r="T1187">
        <f>IF($R1187="","",IF(INDEX('입력_구리근무자명단'!$A1185:$ZZ1185,1,$E$2+3)&amp;""="",EOMONTH(급여기준월,0),IF(ISNUMBER(INDEX('입력_구리근무자명단'!$A1185:$ZZ1185,1,$E$2+3)),INDEX('입력_구리근무자명단'!$A1185:$ZZ1185,1,$E$2+3),IFERROR(DATE(VALUE(LEFT(INDEX('입력_구리근무자명단'!$A1185:$ZZ1185,1,$E$2+3),4)),VALUE(MID(INDEX('입력_구리근무자명단'!$A1185:$ZZ1185,1,$E$2+3),6,2)),VALUE(MID(INDEX('입력_구리근무자명단'!$A1185:$ZZ1185,1,$E$2+3),9,2))),-1))))</f>
        <v/>
      </c>
      <c r="U1187">
        <f>IF($R1187="","",IF(OR($S1187&lt;0,$T1187&lt;0),0,MAX(0,MIN($T1187,EOMONTH(급여기준월,0))-MAX($S1187,급여기준월)+1)))</f>
        <v/>
      </c>
      <c r="V1187">
        <f>IF($R1187="","",TRIM(INDEX('입력_구리근무자명단'!$A1185:$ZZ1185,1,$E$2+5)&amp;""))</f>
        <v/>
      </c>
      <c r="W1187">
        <f>IF(ISNUMBER(SEARCH("구리독자",$V1187)),"구리독자","")</f>
        <v/>
      </c>
      <c r="X1187">
        <f>IF($R1187="","",$R1187&amp;"|"&amp;IF(OR($Q1187="인턴",ISNUMBER(SEARCH("수련교육부",$P1187))),"인턴",$P1187))</f>
        <v/>
      </c>
      <c r="Y1187">
        <f>IF($R1187="","",IF(COUNTIF(명단표[이름|과],$X1187)=1,"명단 일치",IF(AND(COUNTIF(명단표[이름|과],$X1187)=0,COUNTIF(명단표[이름],$R1187)=1),"명단 일치(이름만, 과 다름)",IF(COUNTIF(명단표[이름],$R1187)=0,IF(COUNTIF(기본자료표[이름],$R1187)&gt;0,"명단에 없음(기본자료에는 있음)","명단에 없음"),"동명이인 확인"))))</f>
        <v/>
      </c>
      <c r="Z1187">
        <f>IF($R1187="","",IF($S1187&lt;0,"⚠"&amp;INDEX('입력_구리근무자명단'!$A1185:$ZZ1185,1,$E$2+2),TEXT($S1187,"yyyy-mm-dd")))</f>
        <v/>
      </c>
      <c r="AA1187">
        <f>IF($R1187="","",IF($T1187&lt;0,"⚠"&amp;INDEX('입력_구리근무자명단'!$A1185:$ZZ1185,1,$E$2+3),TEXT($T1187,"yyyy-mm-dd")))</f>
        <v/>
      </c>
      <c r="AB1187">
        <f>AB1186+IF($R1187="",0,1)</f>
        <v/>
      </c>
      <c r="AC1187">
        <f>IF($R1187="","",$AB1187)</f>
        <v/>
      </c>
    </row>
    <row r="1188">
      <c r="O1188">
        <f>1186</f>
        <v/>
      </c>
      <c r="P1188">
        <f>IF(TRIM('입력_구리근무자명단'!$A1186&amp;"")&lt;&gt;"",TRIM('입력_구리근무자명단'!$A1186&amp;""),P1187)</f>
        <v/>
      </c>
      <c r="Q1188">
        <f>'입력_구리근무자명단'!$B1186&amp;""</f>
        <v/>
      </c>
      <c r="R1188">
        <f>IF($E$2="","",TRIM(INDEX('입력_구리근무자명단'!$A1186:$ZZ1186,1,$E$2+IF($G$2="확정",1,0))&amp;""))</f>
        <v/>
      </c>
      <c r="S1188">
        <f>IF($R1188="","",IF(INDEX('입력_구리근무자명단'!$A1186:$ZZ1186,1,$E$2+2)&amp;""="",급여기준월,IF(ISNUMBER(INDEX('입력_구리근무자명단'!$A1186:$ZZ1186,1,$E$2+2)),INDEX('입력_구리근무자명단'!$A1186:$ZZ1186,1,$E$2+2),IFERROR(DATE(VALUE(LEFT(INDEX('입력_구리근무자명단'!$A1186:$ZZ1186,1,$E$2+2),4)),VALUE(MID(INDEX('입력_구리근무자명단'!$A1186:$ZZ1186,1,$E$2+2),6,2)),VALUE(MID(INDEX('입력_구리근무자명단'!$A1186:$ZZ1186,1,$E$2+2),9,2))),-1))))</f>
        <v/>
      </c>
      <c r="T1188">
        <f>IF($R1188="","",IF(INDEX('입력_구리근무자명단'!$A1186:$ZZ1186,1,$E$2+3)&amp;""="",EOMONTH(급여기준월,0),IF(ISNUMBER(INDEX('입력_구리근무자명단'!$A1186:$ZZ1186,1,$E$2+3)),INDEX('입력_구리근무자명단'!$A1186:$ZZ1186,1,$E$2+3),IFERROR(DATE(VALUE(LEFT(INDEX('입력_구리근무자명단'!$A1186:$ZZ1186,1,$E$2+3),4)),VALUE(MID(INDEX('입력_구리근무자명단'!$A1186:$ZZ1186,1,$E$2+3),6,2)),VALUE(MID(INDEX('입력_구리근무자명단'!$A1186:$ZZ1186,1,$E$2+3),9,2))),-1))))</f>
        <v/>
      </c>
      <c r="U1188">
        <f>IF($R1188="","",IF(OR($S1188&lt;0,$T1188&lt;0),0,MAX(0,MIN($T1188,EOMONTH(급여기준월,0))-MAX($S1188,급여기준월)+1)))</f>
        <v/>
      </c>
      <c r="V1188">
        <f>IF($R1188="","",TRIM(INDEX('입력_구리근무자명단'!$A1186:$ZZ1186,1,$E$2+5)&amp;""))</f>
        <v/>
      </c>
      <c r="W1188">
        <f>IF(ISNUMBER(SEARCH("구리독자",$V1188)),"구리독자","")</f>
        <v/>
      </c>
      <c r="X1188">
        <f>IF($R1188="","",$R1188&amp;"|"&amp;IF(OR($Q1188="인턴",ISNUMBER(SEARCH("수련교육부",$P1188))),"인턴",$P1188))</f>
        <v/>
      </c>
      <c r="Y1188">
        <f>IF($R1188="","",IF(COUNTIF(명단표[이름|과],$X1188)=1,"명단 일치",IF(AND(COUNTIF(명단표[이름|과],$X1188)=0,COUNTIF(명단표[이름],$R1188)=1),"명단 일치(이름만, 과 다름)",IF(COUNTIF(명단표[이름],$R1188)=0,IF(COUNTIF(기본자료표[이름],$R1188)&gt;0,"명단에 없음(기본자료에는 있음)","명단에 없음"),"동명이인 확인"))))</f>
        <v/>
      </c>
      <c r="Z1188">
        <f>IF($R1188="","",IF($S1188&lt;0,"⚠"&amp;INDEX('입력_구리근무자명단'!$A1186:$ZZ1186,1,$E$2+2),TEXT($S1188,"yyyy-mm-dd")))</f>
        <v/>
      </c>
      <c r="AA1188">
        <f>IF($R1188="","",IF($T1188&lt;0,"⚠"&amp;INDEX('입력_구리근무자명단'!$A1186:$ZZ1186,1,$E$2+3),TEXT($T1188,"yyyy-mm-dd")))</f>
        <v/>
      </c>
      <c r="AB1188">
        <f>AB1187+IF($R1188="",0,1)</f>
        <v/>
      </c>
      <c r="AC1188">
        <f>IF($R1188="","",$AB1188)</f>
        <v/>
      </c>
    </row>
    <row r="1189">
      <c r="O1189">
        <f>1187</f>
        <v/>
      </c>
      <c r="P1189">
        <f>IF(TRIM('입력_구리근무자명단'!$A1187&amp;"")&lt;&gt;"",TRIM('입력_구리근무자명단'!$A1187&amp;""),P1188)</f>
        <v/>
      </c>
      <c r="Q1189">
        <f>'입력_구리근무자명단'!$B1187&amp;""</f>
        <v/>
      </c>
      <c r="R1189">
        <f>IF($E$2="","",TRIM(INDEX('입력_구리근무자명단'!$A1187:$ZZ1187,1,$E$2+IF($G$2="확정",1,0))&amp;""))</f>
        <v/>
      </c>
      <c r="S1189">
        <f>IF($R1189="","",IF(INDEX('입력_구리근무자명단'!$A1187:$ZZ1187,1,$E$2+2)&amp;""="",급여기준월,IF(ISNUMBER(INDEX('입력_구리근무자명단'!$A1187:$ZZ1187,1,$E$2+2)),INDEX('입력_구리근무자명단'!$A1187:$ZZ1187,1,$E$2+2),IFERROR(DATE(VALUE(LEFT(INDEX('입력_구리근무자명단'!$A1187:$ZZ1187,1,$E$2+2),4)),VALUE(MID(INDEX('입력_구리근무자명단'!$A1187:$ZZ1187,1,$E$2+2),6,2)),VALUE(MID(INDEX('입력_구리근무자명단'!$A1187:$ZZ1187,1,$E$2+2),9,2))),-1))))</f>
        <v/>
      </c>
      <c r="T1189">
        <f>IF($R1189="","",IF(INDEX('입력_구리근무자명단'!$A1187:$ZZ1187,1,$E$2+3)&amp;""="",EOMONTH(급여기준월,0),IF(ISNUMBER(INDEX('입력_구리근무자명단'!$A1187:$ZZ1187,1,$E$2+3)),INDEX('입력_구리근무자명단'!$A1187:$ZZ1187,1,$E$2+3),IFERROR(DATE(VALUE(LEFT(INDEX('입력_구리근무자명단'!$A1187:$ZZ1187,1,$E$2+3),4)),VALUE(MID(INDEX('입력_구리근무자명단'!$A1187:$ZZ1187,1,$E$2+3),6,2)),VALUE(MID(INDEX('입력_구리근무자명단'!$A1187:$ZZ1187,1,$E$2+3),9,2))),-1))))</f>
        <v/>
      </c>
      <c r="U1189">
        <f>IF($R1189="","",IF(OR($S1189&lt;0,$T1189&lt;0),0,MAX(0,MIN($T1189,EOMONTH(급여기준월,0))-MAX($S1189,급여기준월)+1)))</f>
        <v/>
      </c>
      <c r="V1189">
        <f>IF($R1189="","",TRIM(INDEX('입력_구리근무자명단'!$A1187:$ZZ1187,1,$E$2+5)&amp;""))</f>
        <v/>
      </c>
      <c r="W1189">
        <f>IF(ISNUMBER(SEARCH("구리독자",$V1189)),"구리독자","")</f>
        <v/>
      </c>
      <c r="X1189">
        <f>IF($R1189="","",$R1189&amp;"|"&amp;IF(OR($Q1189="인턴",ISNUMBER(SEARCH("수련교육부",$P1189))),"인턴",$P1189))</f>
        <v/>
      </c>
      <c r="Y1189">
        <f>IF($R1189="","",IF(COUNTIF(명단표[이름|과],$X1189)=1,"명단 일치",IF(AND(COUNTIF(명단표[이름|과],$X1189)=0,COUNTIF(명단표[이름],$R1189)=1),"명단 일치(이름만, 과 다름)",IF(COUNTIF(명단표[이름],$R1189)=0,IF(COUNTIF(기본자료표[이름],$R1189)&gt;0,"명단에 없음(기본자료에는 있음)","명단에 없음"),"동명이인 확인"))))</f>
        <v/>
      </c>
      <c r="Z1189">
        <f>IF($R1189="","",IF($S1189&lt;0,"⚠"&amp;INDEX('입력_구리근무자명단'!$A1187:$ZZ1187,1,$E$2+2),TEXT($S1189,"yyyy-mm-dd")))</f>
        <v/>
      </c>
      <c r="AA1189">
        <f>IF($R1189="","",IF($T1189&lt;0,"⚠"&amp;INDEX('입력_구리근무자명단'!$A1187:$ZZ1187,1,$E$2+3),TEXT($T1189,"yyyy-mm-dd")))</f>
        <v/>
      </c>
      <c r="AB1189">
        <f>AB1188+IF($R1189="",0,1)</f>
        <v/>
      </c>
      <c r="AC1189">
        <f>IF($R1189="","",$AB1189)</f>
        <v/>
      </c>
    </row>
    <row r="1190">
      <c r="O1190">
        <f>1188</f>
        <v/>
      </c>
      <c r="P1190">
        <f>IF(TRIM('입력_구리근무자명단'!$A1188&amp;"")&lt;&gt;"",TRIM('입력_구리근무자명단'!$A1188&amp;""),P1189)</f>
        <v/>
      </c>
      <c r="Q1190">
        <f>'입력_구리근무자명단'!$B1188&amp;""</f>
        <v/>
      </c>
      <c r="R1190">
        <f>IF($E$2="","",TRIM(INDEX('입력_구리근무자명단'!$A1188:$ZZ1188,1,$E$2+IF($G$2="확정",1,0))&amp;""))</f>
        <v/>
      </c>
      <c r="S1190">
        <f>IF($R1190="","",IF(INDEX('입력_구리근무자명단'!$A1188:$ZZ1188,1,$E$2+2)&amp;""="",급여기준월,IF(ISNUMBER(INDEX('입력_구리근무자명단'!$A1188:$ZZ1188,1,$E$2+2)),INDEX('입력_구리근무자명단'!$A1188:$ZZ1188,1,$E$2+2),IFERROR(DATE(VALUE(LEFT(INDEX('입력_구리근무자명단'!$A1188:$ZZ1188,1,$E$2+2),4)),VALUE(MID(INDEX('입력_구리근무자명단'!$A1188:$ZZ1188,1,$E$2+2),6,2)),VALUE(MID(INDEX('입력_구리근무자명단'!$A1188:$ZZ1188,1,$E$2+2),9,2))),-1))))</f>
        <v/>
      </c>
      <c r="T1190">
        <f>IF($R1190="","",IF(INDEX('입력_구리근무자명단'!$A1188:$ZZ1188,1,$E$2+3)&amp;""="",EOMONTH(급여기준월,0),IF(ISNUMBER(INDEX('입력_구리근무자명단'!$A1188:$ZZ1188,1,$E$2+3)),INDEX('입력_구리근무자명단'!$A1188:$ZZ1188,1,$E$2+3),IFERROR(DATE(VALUE(LEFT(INDEX('입력_구리근무자명단'!$A1188:$ZZ1188,1,$E$2+3),4)),VALUE(MID(INDEX('입력_구리근무자명단'!$A1188:$ZZ1188,1,$E$2+3),6,2)),VALUE(MID(INDEX('입력_구리근무자명단'!$A1188:$ZZ1188,1,$E$2+3),9,2))),-1))))</f>
        <v/>
      </c>
      <c r="U1190">
        <f>IF($R1190="","",IF(OR($S1190&lt;0,$T1190&lt;0),0,MAX(0,MIN($T1190,EOMONTH(급여기준월,0))-MAX($S1190,급여기준월)+1)))</f>
        <v/>
      </c>
      <c r="V1190">
        <f>IF($R1190="","",TRIM(INDEX('입력_구리근무자명단'!$A1188:$ZZ1188,1,$E$2+5)&amp;""))</f>
        <v/>
      </c>
      <c r="W1190">
        <f>IF(ISNUMBER(SEARCH("구리독자",$V1190)),"구리독자","")</f>
        <v/>
      </c>
      <c r="X1190">
        <f>IF($R1190="","",$R1190&amp;"|"&amp;IF(OR($Q1190="인턴",ISNUMBER(SEARCH("수련교육부",$P1190))),"인턴",$P1190))</f>
        <v/>
      </c>
      <c r="Y1190">
        <f>IF($R1190="","",IF(COUNTIF(명단표[이름|과],$X1190)=1,"명단 일치",IF(AND(COUNTIF(명단표[이름|과],$X1190)=0,COUNTIF(명단표[이름],$R1190)=1),"명단 일치(이름만, 과 다름)",IF(COUNTIF(명단표[이름],$R1190)=0,IF(COUNTIF(기본자료표[이름],$R1190)&gt;0,"명단에 없음(기본자료에는 있음)","명단에 없음"),"동명이인 확인"))))</f>
        <v/>
      </c>
      <c r="Z1190">
        <f>IF($R1190="","",IF($S1190&lt;0,"⚠"&amp;INDEX('입력_구리근무자명단'!$A1188:$ZZ1188,1,$E$2+2),TEXT($S1190,"yyyy-mm-dd")))</f>
        <v/>
      </c>
      <c r="AA1190">
        <f>IF($R1190="","",IF($T1190&lt;0,"⚠"&amp;INDEX('입력_구리근무자명단'!$A1188:$ZZ1188,1,$E$2+3),TEXT($T1190,"yyyy-mm-dd")))</f>
        <v/>
      </c>
      <c r="AB1190">
        <f>AB1189+IF($R1190="",0,1)</f>
        <v/>
      </c>
      <c r="AC1190">
        <f>IF($R1190="","",$AB1190)</f>
        <v/>
      </c>
    </row>
    <row r="1191">
      <c r="O1191">
        <f>1189</f>
        <v/>
      </c>
      <c r="P1191">
        <f>IF(TRIM('입력_구리근무자명단'!$A1189&amp;"")&lt;&gt;"",TRIM('입력_구리근무자명단'!$A1189&amp;""),P1190)</f>
        <v/>
      </c>
      <c r="Q1191">
        <f>'입력_구리근무자명단'!$B1189&amp;""</f>
        <v/>
      </c>
      <c r="R1191">
        <f>IF($E$2="","",TRIM(INDEX('입력_구리근무자명단'!$A1189:$ZZ1189,1,$E$2+IF($G$2="확정",1,0))&amp;""))</f>
        <v/>
      </c>
      <c r="S1191">
        <f>IF($R1191="","",IF(INDEX('입력_구리근무자명단'!$A1189:$ZZ1189,1,$E$2+2)&amp;""="",급여기준월,IF(ISNUMBER(INDEX('입력_구리근무자명단'!$A1189:$ZZ1189,1,$E$2+2)),INDEX('입력_구리근무자명단'!$A1189:$ZZ1189,1,$E$2+2),IFERROR(DATE(VALUE(LEFT(INDEX('입력_구리근무자명단'!$A1189:$ZZ1189,1,$E$2+2),4)),VALUE(MID(INDEX('입력_구리근무자명단'!$A1189:$ZZ1189,1,$E$2+2),6,2)),VALUE(MID(INDEX('입력_구리근무자명단'!$A1189:$ZZ1189,1,$E$2+2),9,2))),-1))))</f>
        <v/>
      </c>
      <c r="T1191">
        <f>IF($R1191="","",IF(INDEX('입력_구리근무자명단'!$A1189:$ZZ1189,1,$E$2+3)&amp;""="",EOMONTH(급여기준월,0),IF(ISNUMBER(INDEX('입력_구리근무자명단'!$A1189:$ZZ1189,1,$E$2+3)),INDEX('입력_구리근무자명단'!$A1189:$ZZ1189,1,$E$2+3),IFERROR(DATE(VALUE(LEFT(INDEX('입력_구리근무자명단'!$A1189:$ZZ1189,1,$E$2+3),4)),VALUE(MID(INDEX('입력_구리근무자명단'!$A1189:$ZZ1189,1,$E$2+3),6,2)),VALUE(MID(INDEX('입력_구리근무자명단'!$A1189:$ZZ1189,1,$E$2+3),9,2))),-1))))</f>
        <v/>
      </c>
      <c r="U1191">
        <f>IF($R1191="","",IF(OR($S1191&lt;0,$T1191&lt;0),0,MAX(0,MIN($T1191,EOMONTH(급여기준월,0))-MAX($S1191,급여기준월)+1)))</f>
        <v/>
      </c>
      <c r="V1191">
        <f>IF($R1191="","",TRIM(INDEX('입력_구리근무자명단'!$A1189:$ZZ1189,1,$E$2+5)&amp;""))</f>
        <v/>
      </c>
      <c r="W1191">
        <f>IF(ISNUMBER(SEARCH("구리독자",$V1191)),"구리독자","")</f>
        <v/>
      </c>
      <c r="X1191">
        <f>IF($R1191="","",$R1191&amp;"|"&amp;IF(OR($Q1191="인턴",ISNUMBER(SEARCH("수련교육부",$P1191))),"인턴",$P1191))</f>
        <v/>
      </c>
      <c r="Y1191">
        <f>IF($R1191="","",IF(COUNTIF(명단표[이름|과],$X1191)=1,"명단 일치",IF(AND(COUNTIF(명단표[이름|과],$X1191)=0,COUNTIF(명단표[이름],$R1191)=1),"명단 일치(이름만, 과 다름)",IF(COUNTIF(명단표[이름],$R1191)=0,IF(COUNTIF(기본자료표[이름],$R1191)&gt;0,"명단에 없음(기본자료에는 있음)","명단에 없음"),"동명이인 확인"))))</f>
        <v/>
      </c>
      <c r="Z1191">
        <f>IF($R1191="","",IF($S1191&lt;0,"⚠"&amp;INDEX('입력_구리근무자명단'!$A1189:$ZZ1189,1,$E$2+2),TEXT($S1191,"yyyy-mm-dd")))</f>
        <v/>
      </c>
      <c r="AA1191">
        <f>IF($R1191="","",IF($T1191&lt;0,"⚠"&amp;INDEX('입력_구리근무자명단'!$A1189:$ZZ1189,1,$E$2+3),TEXT($T1191,"yyyy-mm-dd")))</f>
        <v/>
      </c>
      <c r="AB1191">
        <f>AB1190+IF($R1191="",0,1)</f>
        <v/>
      </c>
      <c r="AC1191">
        <f>IF($R1191="","",$AB1191)</f>
        <v/>
      </c>
    </row>
    <row r="1192">
      <c r="O1192">
        <f>1190</f>
        <v/>
      </c>
      <c r="P1192">
        <f>IF(TRIM('입력_구리근무자명단'!$A1190&amp;"")&lt;&gt;"",TRIM('입력_구리근무자명단'!$A1190&amp;""),P1191)</f>
        <v/>
      </c>
      <c r="Q1192">
        <f>'입력_구리근무자명단'!$B1190&amp;""</f>
        <v/>
      </c>
      <c r="R1192">
        <f>IF($E$2="","",TRIM(INDEX('입력_구리근무자명단'!$A1190:$ZZ1190,1,$E$2+IF($G$2="확정",1,0))&amp;""))</f>
        <v/>
      </c>
      <c r="S1192">
        <f>IF($R1192="","",IF(INDEX('입력_구리근무자명단'!$A1190:$ZZ1190,1,$E$2+2)&amp;""="",급여기준월,IF(ISNUMBER(INDEX('입력_구리근무자명단'!$A1190:$ZZ1190,1,$E$2+2)),INDEX('입력_구리근무자명단'!$A1190:$ZZ1190,1,$E$2+2),IFERROR(DATE(VALUE(LEFT(INDEX('입력_구리근무자명단'!$A1190:$ZZ1190,1,$E$2+2),4)),VALUE(MID(INDEX('입력_구리근무자명단'!$A1190:$ZZ1190,1,$E$2+2),6,2)),VALUE(MID(INDEX('입력_구리근무자명단'!$A1190:$ZZ1190,1,$E$2+2),9,2))),-1))))</f>
        <v/>
      </c>
      <c r="T1192">
        <f>IF($R1192="","",IF(INDEX('입력_구리근무자명단'!$A1190:$ZZ1190,1,$E$2+3)&amp;""="",EOMONTH(급여기준월,0),IF(ISNUMBER(INDEX('입력_구리근무자명단'!$A1190:$ZZ1190,1,$E$2+3)),INDEX('입력_구리근무자명단'!$A1190:$ZZ1190,1,$E$2+3),IFERROR(DATE(VALUE(LEFT(INDEX('입력_구리근무자명단'!$A1190:$ZZ1190,1,$E$2+3),4)),VALUE(MID(INDEX('입력_구리근무자명단'!$A1190:$ZZ1190,1,$E$2+3),6,2)),VALUE(MID(INDEX('입력_구리근무자명단'!$A1190:$ZZ1190,1,$E$2+3),9,2))),-1))))</f>
        <v/>
      </c>
      <c r="U1192">
        <f>IF($R1192="","",IF(OR($S1192&lt;0,$T1192&lt;0),0,MAX(0,MIN($T1192,EOMONTH(급여기준월,0))-MAX($S1192,급여기준월)+1)))</f>
        <v/>
      </c>
      <c r="V1192">
        <f>IF($R1192="","",TRIM(INDEX('입력_구리근무자명단'!$A1190:$ZZ1190,1,$E$2+5)&amp;""))</f>
        <v/>
      </c>
      <c r="W1192">
        <f>IF(ISNUMBER(SEARCH("구리독자",$V1192)),"구리독자","")</f>
        <v/>
      </c>
      <c r="X1192">
        <f>IF($R1192="","",$R1192&amp;"|"&amp;IF(OR($Q1192="인턴",ISNUMBER(SEARCH("수련교육부",$P1192))),"인턴",$P1192))</f>
        <v/>
      </c>
      <c r="Y1192">
        <f>IF($R1192="","",IF(COUNTIF(명단표[이름|과],$X1192)=1,"명단 일치",IF(AND(COUNTIF(명단표[이름|과],$X1192)=0,COUNTIF(명단표[이름],$R1192)=1),"명단 일치(이름만, 과 다름)",IF(COUNTIF(명단표[이름],$R1192)=0,IF(COUNTIF(기본자료표[이름],$R1192)&gt;0,"명단에 없음(기본자료에는 있음)","명단에 없음"),"동명이인 확인"))))</f>
        <v/>
      </c>
      <c r="Z1192">
        <f>IF($R1192="","",IF($S1192&lt;0,"⚠"&amp;INDEX('입력_구리근무자명단'!$A1190:$ZZ1190,1,$E$2+2),TEXT($S1192,"yyyy-mm-dd")))</f>
        <v/>
      </c>
      <c r="AA1192">
        <f>IF($R1192="","",IF($T1192&lt;0,"⚠"&amp;INDEX('입력_구리근무자명단'!$A1190:$ZZ1190,1,$E$2+3),TEXT($T1192,"yyyy-mm-dd")))</f>
        <v/>
      </c>
      <c r="AB1192">
        <f>AB1191+IF($R1192="",0,1)</f>
        <v/>
      </c>
      <c r="AC1192">
        <f>IF($R1192="","",$AB1192)</f>
        <v/>
      </c>
    </row>
    <row r="1193">
      <c r="O1193">
        <f>1191</f>
        <v/>
      </c>
      <c r="P1193">
        <f>IF(TRIM('입력_구리근무자명단'!$A1191&amp;"")&lt;&gt;"",TRIM('입력_구리근무자명단'!$A1191&amp;""),P1192)</f>
        <v/>
      </c>
      <c r="Q1193">
        <f>'입력_구리근무자명단'!$B1191&amp;""</f>
        <v/>
      </c>
      <c r="R1193">
        <f>IF($E$2="","",TRIM(INDEX('입력_구리근무자명단'!$A1191:$ZZ1191,1,$E$2+IF($G$2="확정",1,0))&amp;""))</f>
        <v/>
      </c>
      <c r="S1193">
        <f>IF($R1193="","",IF(INDEX('입력_구리근무자명단'!$A1191:$ZZ1191,1,$E$2+2)&amp;""="",급여기준월,IF(ISNUMBER(INDEX('입력_구리근무자명단'!$A1191:$ZZ1191,1,$E$2+2)),INDEX('입력_구리근무자명단'!$A1191:$ZZ1191,1,$E$2+2),IFERROR(DATE(VALUE(LEFT(INDEX('입력_구리근무자명단'!$A1191:$ZZ1191,1,$E$2+2),4)),VALUE(MID(INDEX('입력_구리근무자명단'!$A1191:$ZZ1191,1,$E$2+2),6,2)),VALUE(MID(INDEX('입력_구리근무자명단'!$A1191:$ZZ1191,1,$E$2+2),9,2))),-1))))</f>
        <v/>
      </c>
      <c r="T1193">
        <f>IF($R1193="","",IF(INDEX('입력_구리근무자명단'!$A1191:$ZZ1191,1,$E$2+3)&amp;""="",EOMONTH(급여기준월,0),IF(ISNUMBER(INDEX('입력_구리근무자명단'!$A1191:$ZZ1191,1,$E$2+3)),INDEX('입력_구리근무자명단'!$A1191:$ZZ1191,1,$E$2+3),IFERROR(DATE(VALUE(LEFT(INDEX('입력_구리근무자명단'!$A1191:$ZZ1191,1,$E$2+3),4)),VALUE(MID(INDEX('입력_구리근무자명단'!$A1191:$ZZ1191,1,$E$2+3),6,2)),VALUE(MID(INDEX('입력_구리근무자명단'!$A1191:$ZZ1191,1,$E$2+3),9,2))),-1))))</f>
        <v/>
      </c>
      <c r="U1193">
        <f>IF($R1193="","",IF(OR($S1193&lt;0,$T1193&lt;0),0,MAX(0,MIN($T1193,EOMONTH(급여기준월,0))-MAX($S1193,급여기준월)+1)))</f>
        <v/>
      </c>
      <c r="V1193">
        <f>IF($R1193="","",TRIM(INDEX('입력_구리근무자명단'!$A1191:$ZZ1191,1,$E$2+5)&amp;""))</f>
        <v/>
      </c>
      <c r="W1193">
        <f>IF(ISNUMBER(SEARCH("구리독자",$V1193)),"구리독자","")</f>
        <v/>
      </c>
      <c r="X1193">
        <f>IF($R1193="","",$R1193&amp;"|"&amp;IF(OR($Q1193="인턴",ISNUMBER(SEARCH("수련교육부",$P1193))),"인턴",$P1193))</f>
        <v/>
      </c>
      <c r="Y1193">
        <f>IF($R1193="","",IF(COUNTIF(명단표[이름|과],$X1193)=1,"명단 일치",IF(AND(COUNTIF(명단표[이름|과],$X1193)=0,COUNTIF(명단표[이름],$R1193)=1),"명단 일치(이름만, 과 다름)",IF(COUNTIF(명단표[이름],$R1193)=0,IF(COUNTIF(기본자료표[이름],$R1193)&gt;0,"명단에 없음(기본자료에는 있음)","명단에 없음"),"동명이인 확인"))))</f>
        <v/>
      </c>
      <c r="Z1193">
        <f>IF($R1193="","",IF($S1193&lt;0,"⚠"&amp;INDEX('입력_구리근무자명단'!$A1191:$ZZ1191,1,$E$2+2),TEXT($S1193,"yyyy-mm-dd")))</f>
        <v/>
      </c>
      <c r="AA1193">
        <f>IF($R1193="","",IF($T1193&lt;0,"⚠"&amp;INDEX('입력_구리근무자명단'!$A1191:$ZZ1191,1,$E$2+3),TEXT($T1193,"yyyy-mm-dd")))</f>
        <v/>
      </c>
      <c r="AB1193">
        <f>AB1192+IF($R1193="",0,1)</f>
        <v/>
      </c>
      <c r="AC1193">
        <f>IF($R1193="","",$AB1193)</f>
        <v/>
      </c>
    </row>
    <row r="1194">
      <c r="O1194">
        <f>1192</f>
        <v/>
      </c>
      <c r="P1194">
        <f>IF(TRIM('입력_구리근무자명단'!$A1192&amp;"")&lt;&gt;"",TRIM('입력_구리근무자명단'!$A1192&amp;""),P1193)</f>
        <v/>
      </c>
      <c r="Q1194">
        <f>'입력_구리근무자명단'!$B1192&amp;""</f>
        <v/>
      </c>
      <c r="R1194">
        <f>IF($E$2="","",TRIM(INDEX('입력_구리근무자명단'!$A1192:$ZZ1192,1,$E$2+IF($G$2="확정",1,0))&amp;""))</f>
        <v/>
      </c>
      <c r="S1194">
        <f>IF($R1194="","",IF(INDEX('입력_구리근무자명단'!$A1192:$ZZ1192,1,$E$2+2)&amp;""="",급여기준월,IF(ISNUMBER(INDEX('입력_구리근무자명단'!$A1192:$ZZ1192,1,$E$2+2)),INDEX('입력_구리근무자명단'!$A1192:$ZZ1192,1,$E$2+2),IFERROR(DATE(VALUE(LEFT(INDEX('입력_구리근무자명단'!$A1192:$ZZ1192,1,$E$2+2),4)),VALUE(MID(INDEX('입력_구리근무자명단'!$A1192:$ZZ1192,1,$E$2+2),6,2)),VALUE(MID(INDEX('입력_구리근무자명단'!$A1192:$ZZ1192,1,$E$2+2),9,2))),-1))))</f>
        <v/>
      </c>
      <c r="T1194">
        <f>IF($R1194="","",IF(INDEX('입력_구리근무자명단'!$A1192:$ZZ1192,1,$E$2+3)&amp;""="",EOMONTH(급여기준월,0),IF(ISNUMBER(INDEX('입력_구리근무자명단'!$A1192:$ZZ1192,1,$E$2+3)),INDEX('입력_구리근무자명단'!$A1192:$ZZ1192,1,$E$2+3),IFERROR(DATE(VALUE(LEFT(INDEX('입력_구리근무자명단'!$A1192:$ZZ1192,1,$E$2+3),4)),VALUE(MID(INDEX('입력_구리근무자명단'!$A1192:$ZZ1192,1,$E$2+3),6,2)),VALUE(MID(INDEX('입력_구리근무자명단'!$A1192:$ZZ1192,1,$E$2+3),9,2))),-1))))</f>
        <v/>
      </c>
      <c r="U1194">
        <f>IF($R1194="","",IF(OR($S1194&lt;0,$T1194&lt;0),0,MAX(0,MIN($T1194,EOMONTH(급여기준월,0))-MAX($S1194,급여기준월)+1)))</f>
        <v/>
      </c>
      <c r="V1194">
        <f>IF($R1194="","",TRIM(INDEX('입력_구리근무자명단'!$A1192:$ZZ1192,1,$E$2+5)&amp;""))</f>
        <v/>
      </c>
      <c r="W1194">
        <f>IF(ISNUMBER(SEARCH("구리독자",$V1194)),"구리독자","")</f>
        <v/>
      </c>
      <c r="X1194">
        <f>IF($R1194="","",$R1194&amp;"|"&amp;IF(OR($Q1194="인턴",ISNUMBER(SEARCH("수련교육부",$P1194))),"인턴",$P1194))</f>
        <v/>
      </c>
      <c r="Y1194">
        <f>IF($R1194="","",IF(COUNTIF(명단표[이름|과],$X1194)=1,"명단 일치",IF(AND(COUNTIF(명단표[이름|과],$X1194)=0,COUNTIF(명단표[이름],$R1194)=1),"명단 일치(이름만, 과 다름)",IF(COUNTIF(명단표[이름],$R1194)=0,IF(COUNTIF(기본자료표[이름],$R1194)&gt;0,"명단에 없음(기본자료에는 있음)","명단에 없음"),"동명이인 확인"))))</f>
        <v/>
      </c>
      <c r="Z1194">
        <f>IF($R1194="","",IF($S1194&lt;0,"⚠"&amp;INDEX('입력_구리근무자명단'!$A1192:$ZZ1192,1,$E$2+2),TEXT($S1194,"yyyy-mm-dd")))</f>
        <v/>
      </c>
      <c r="AA1194">
        <f>IF($R1194="","",IF($T1194&lt;0,"⚠"&amp;INDEX('입력_구리근무자명단'!$A1192:$ZZ1192,1,$E$2+3),TEXT($T1194,"yyyy-mm-dd")))</f>
        <v/>
      </c>
      <c r="AB1194">
        <f>AB1193+IF($R1194="",0,1)</f>
        <v/>
      </c>
      <c r="AC1194">
        <f>IF($R1194="","",$AB1194)</f>
        <v/>
      </c>
    </row>
    <row r="1195">
      <c r="O1195">
        <f>1193</f>
        <v/>
      </c>
      <c r="P1195">
        <f>IF(TRIM('입력_구리근무자명단'!$A1193&amp;"")&lt;&gt;"",TRIM('입력_구리근무자명단'!$A1193&amp;""),P1194)</f>
        <v/>
      </c>
      <c r="Q1195">
        <f>'입력_구리근무자명단'!$B1193&amp;""</f>
        <v/>
      </c>
      <c r="R1195">
        <f>IF($E$2="","",TRIM(INDEX('입력_구리근무자명단'!$A1193:$ZZ1193,1,$E$2+IF($G$2="확정",1,0))&amp;""))</f>
        <v/>
      </c>
      <c r="S1195">
        <f>IF($R1195="","",IF(INDEX('입력_구리근무자명단'!$A1193:$ZZ1193,1,$E$2+2)&amp;""="",급여기준월,IF(ISNUMBER(INDEX('입력_구리근무자명단'!$A1193:$ZZ1193,1,$E$2+2)),INDEX('입력_구리근무자명단'!$A1193:$ZZ1193,1,$E$2+2),IFERROR(DATE(VALUE(LEFT(INDEX('입력_구리근무자명단'!$A1193:$ZZ1193,1,$E$2+2),4)),VALUE(MID(INDEX('입력_구리근무자명단'!$A1193:$ZZ1193,1,$E$2+2),6,2)),VALUE(MID(INDEX('입력_구리근무자명단'!$A1193:$ZZ1193,1,$E$2+2),9,2))),-1))))</f>
        <v/>
      </c>
      <c r="T1195">
        <f>IF($R1195="","",IF(INDEX('입력_구리근무자명단'!$A1193:$ZZ1193,1,$E$2+3)&amp;""="",EOMONTH(급여기준월,0),IF(ISNUMBER(INDEX('입력_구리근무자명단'!$A1193:$ZZ1193,1,$E$2+3)),INDEX('입력_구리근무자명단'!$A1193:$ZZ1193,1,$E$2+3),IFERROR(DATE(VALUE(LEFT(INDEX('입력_구리근무자명단'!$A1193:$ZZ1193,1,$E$2+3),4)),VALUE(MID(INDEX('입력_구리근무자명단'!$A1193:$ZZ1193,1,$E$2+3),6,2)),VALUE(MID(INDEX('입력_구리근무자명단'!$A1193:$ZZ1193,1,$E$2+3),9,2))),-1))))</f>
        <v/>
      </c>
      <c r="U1195">
        <f>IF($R1195="","",IF(OR($S1195&lt;0,$T1195&lt;0),0,MAX(0,MIN($T1195,EOMONTH(급여기준월,0))-MAX($S1195,급여기준월)+1)))</f>
        <v/>
      </c>
      <c r="V1195">
        <f>IF($R1195="","",TRIM(INDEX('입력_구리근무자명단'!$A1193:$ZZ1193,1,$E$2+5)&amp;""))</f>
        <v/>
      </c>
      <c r="W1195">
        <f>IF(ISNUMBER(SEARCH("구리독자",$V1195)),"구리독자","")</f>
        <v/>
      </c>
      <c r="X1195">
        <f>IF($R1195="","",$R1195&amp;"|"&amp;IF(OR($Q1195="인턴",ISNUMBER(SEARCH("수련교육부",$P1195))),"인턴",$P1195))</f>
        <v/>
      </c>
      <c r="Y1195">
        <f>IF($R1195="","",IF(COUNTIF(명단표[이름|과],$X1195)=1,"명단 일치",IF(AND(COUNTIF(명단표[이름|과],$X1195)=0,COUNTIF(명단표[이름],$R1195)=1),"명단 일치(이름만, 과 다름)",IF(COUNTIF(명단표[이름],$R1195)=0,IF(COUNTIF(기본자료표[이름],$R1195)&gt;0,"명단에 없음(기본자료에는 있음)","명단에 없음"),"동명이인 확인"))))</f>
        <v/>
      </c>
      <c r="Z1195">
        <f>IF($R1195="","",IF($S1195&lt;0,"⚠"&amp;INDEX('입력_구리근무자명단'!$A1193:$ZZ1193,1,$E$2+2),TEXT($S1195,"yyyy-mm-dd")))</f>
        <v/>
      </c>
      <c r="AA1195">
        <f>IF($R1195="","",IF($T1195&lt;0,"⚠"&amp;INDEX('입력_구리근무자명단'!$A1193:$ZZ1193,1,$E$2+3),TEXT($T1195,"yyyy-mm-dd")))</f>
        <v/>
      </c>
      <c r="AB1195">
        <f>AB1194+IF($R1195="",0,1)</f>
        <v/>
      </c>
      <c r="AC1195">
        <f>IF($R1195="","",$AB1195)</f>
        <v/>
      </c>
    </row>
    <row r="1196">
      <c r="O1196">
        <f>1194</f>
        <v/>
      </c>
      <c r="P1196">
        <f>IF(TRIM('입력_구리근무자명단'!$A1194&amp;"")&lt;&gt;"",TRIM('입력_구리근무자명단'!$A1194&amp;""),P1195)</f>
        <v/>
      </c>
      <c r="Q1196">
        <f>'입력_구리근무자명단'!$B1194&amp;""</f>
        <v/>
      </c>
      <c r="R1196">
        <f>IF($E$2="","",TRIM(INDEX('입력_구리근무자명단'!$A1194:$ZZ1194,1,$E$2+IF($G$2="확정",1,0))&amp;""))</f>
        <v/>
      </c>
      <c r="S1196">
        <f>IF($R1196="","",IF(INDEX('입력_구리근무자명단'!$A1194:$ZZ1194,1,$E$2+2)&amp;""="",급여기준월,IF(ISNUMBER(INDEX('입력_구리근무자명단'!$A1194:$ZZ1194,1,$E$2+2)),INDEX('입력_구리근무자명단'!$A1194:$ZZ1194,1,$E$2+2),IFERROR(DATE(VALUE(LEFT(INDEX('입력_구리근무자명단'!$A1194:$ZZ1194,1,$E$2+2),4)),VALUE(MID(INDEX('입력_구리근무자명단'!$A1194:$ZZ1194,1,$E$2+2),6,2)),VALUE(MID(INDEX('입력_구리근무자명단'!$A1194:$ZZ1194,1,$E$2+2),9,2))),-1))))</f>
        <v/>
      </c>
      <c r="T1196">
        <f>IF($R1196="","",IF(INDEX('입력_구리근무자명단'!$A1194:$ZZ1194,1,$E$2+3)&amp;""="",EOMONTH(급여기준월,0),IF(ISNUMBER(INDEX('입력_구리근무자명단'!$A1194:$ZZ1194,1,$E$2+3)),INDEX('입력_구리근무자명단'!$A1194:$ZZ1194,1,$E$2+3),IFERROR(DATE(VALUE(LEFT(INDEX('입력_구리근무자명단'!$A1194:$ZZ1194,1,$E$2+3),4)),VALUE(MID(INDEX('입력_구리근무자명단'!$A1194:$ZZ1194,1,$E$2+3),6,2)),VALUE(MID(INDEX('입력_구리근무자명단'!$A1194:$ZZ1194,1,$E$2+3),9,2))),-1))))</f>
        <v/>
      </c>
      <c r="U1196">
        <f>IF($R1196="","",IF(OR($S1196&lt;0,$T1196&lt;0),0,MAX(0,MIN($T1196,EOMONTH(급여기준월,0))-MAX($S1196,급여기준월)+1)))</f>
        <v/>
      </c>
      <c r="V1196">
        <f>IF($R1196="","",TRIM(INDEX('입력_구리근무자명단'!$A1194:$ZZ1194,1,$E$2+5)&amp;""))</f>
        <v/>
      </c>
      <c r="W1196">
        <f>IF(ISNUMBER(SEARCH("구리독자",$V1196)),"구리독자","")</f>
        <v/>
      </c>
      <c r="X1196">
        <f>IF($R1196="","",$R1196&amp;"|"&amp;IF(OR($Q1196="인턴",ISNUMBER(SEARCH("수련교육부",$P1196))),"인턴",$P1196))</f>
        <v/>
      </c>
      <c r="Y1196">
        <f>IF($R1196="","",IF(COUNTIF(명단표[이름|과],$X1196)=1,"명단 일치",IF(AND(COUNTIF(명단표[이름|과],$X1196)=0,COUNTIF(명단표[이름],$R1196)=1),"명단 일치(이름만, 과 다름)",IF(COUNTIF(명단표[이름],$R1196)=0,IF(COUNTIF(기본자료표[이름],$R1196)&gt;0,"명단에 없음(기본자료에는 있음)","명단에 없음"),"동명이인 확인"))))</f>
        <v/>
      </c>
      <c r="Z1196">
        <f>IF($R1196="","",IF($S1196&lt;0,"⚠"&amp;INDEX('입력_구리근무자명단'!$A1194:$ZZ1194,1,$E$2+2),TEXT($S1196,"yyyy-mm-dd")))</f>
        <v/>
      </c>
      <c r="AA1196">
        <f>IF($R1196="","",IF($T1196&lt;0,"⚠"&amp;INDEX('입력_구리근무자명단'!$A1194:$ZZ1194,1,$E$2+3),TEXT($T1196,"yyyy-mm-dd")))</f>
        <v/>
      </c>
      <c r="AB1196">
        <f>AB1195+IF($R1196="",0,1)</f>
        <v/>
      </c>
      <c r="AC1196">
        <f>IF($R1196="","",$AB1196)</f>
        <v/>
      </c>
    </row>
    <row r="1197">
      <c r="O1197">
        <f>1195</f>
        <v/>
      </c>
      <c r="P1197">
        <f>IF(TRIM('입력_구리근무자명단'!$A1195&amp;"")&lt;&gt;"",TRIM('입력_구리근무자명단'!$A1195&amp;""),P1196)</f>
        <v/>
      </c>
      <c r="Q1197">
        <f>'입력_구리근무자명단'!$B1195&amp;""</f>
        <v/>
      </c>
      <c r="R1197">
        <f>IF($E$2="","",TRIM(INDEX('입력_구리근무자명단'!$A1195:$ZZ1195,1,$E$2+IF($G$2="확정",1,0))&amp;""))</f>
        <v/>
      </c>
      <c r="S1197">
        <f>IF($R1197="","",IF(INDEX('입력_구리근무자명단'!$A1195:$ZZ1195,1,$E$2+2)&amp;""="",급여기준월,IF(ISNUMBER(INDEX('입력_구리근무자명단'!$A1195:$ZZ1195,1,$E$2+2)),INDEX('입력_구리근무자명단'!$A1195:$ZZ1195,1,$E$2+2),IFERROR(DATE(VALUE(LEFT(INDEX('입력_구리근무자명단'!$A1195:$ZZ1195,1,$E$2+2),4)),VALUE(MID(INDEX('입력_구리근무자명단'!$A1195:$ZZ1195,1,$E$2+2),6,2)),VALUE(MID(INDEX('입력_구리근무자명단'!$A1195:$ZZ1195,1,$E$2+2),9,2))),-1))))</f>
        <v/>
      </c>
      <c r="T1197">
        <f>IF($R1197="","",IF(INDEX('입력_구리근무자명단'!$A1195:$ZZ1195,1,$E$2+3)&amp;""="",EOMONTH(급여기준월,0),IF(ISNUMBER(INDEX('입력_구리근무자명단'!$A1195:$ZZ1195,1,$E$2+3)),INDEX('입력_구리근무자명단'!$A1195:$ZZ1195,1,$E$2+3),IFERROR(DATE(VALUE(LEFT(INDEX('입력_구리근무자명단'!$A1195:$ZZ1195,1,$E$2+3),4)),VALUE(MID(INDEX('입력_구리근무자명단'!$A1195:$ZZ1195,1,$E$2+3),6,2)),VALUE(MID(INDEX('입력_구리근무자명단'!$A1195:$ZZ1195,1,$E$2+3),9,2))),-1))))</f>
        <v/>
      </c>
      <c r="U1197">
        <f>IF($R1197="","",IF(OR($S1197&lt;0,$T1197&lt;0),0,MAX(0,MIN($T1197,EOMONTH(급여기준월,0))-MAX($S1197,급여기준월)+1)))</f>
        <v/>
      </c>
      <c r="V1197">
        <f>IF($R1197="","",TRIM(INDEX('입력_구리근무자명단'!$A1195:$ZZ1195,1,$E$2+5)&amp;""))</f>
        <v/>
      </c>
      <c r="W1197">
        <f>IF(ISNUMBER(SEARCH("구리독자",$V1197)),"구리독자","")</f>
        <v/>
      </c>
      <c r="X1197">
        <f>IF($R1197="","",$R1197&amp;"|"&amp;IF(OR($Q1197="인턴",ISNUMBER(SEARCH("수련교육부",$P1197))),"인턴",$P1197))</f>
        <v/>
      </c>
      <c r="Y1197">
        <f>IF($R1197="","",IF(COUNTIF(명단표[이름|과],$X1197)=1,"명단 일치",IF(AND(COUNTIF(명단표[이름|과],$X1197)=0,COUNTIF(명단표[이름],$R1197)=1),"명단 일치(이름만, 과 다름)",IF(COUNTIF(명단표[이름],$R1197)=0,IF(COUNTIF(기본자료표[이름],$R1197)&gt;0,"명단에 없음(기본자료에는 있음)","명단에 없음"),"동명이인 확인"))))</f>
        <v/>
      </c>
      <c r="Z1197">
        <f>IF($R1197="","",IF($S1197&lt;0,"⚠"&amp;INDEX('입력_구리근무자명단'!$A1195:$ZZ1195,1,$E$2+2),TEXT($S1197,"yyyy-mm-dd")))</f>
        <v/>
      </c>
      <c r="AA1197">
        <f>IF($R1197="","",IF($T1197&lt;0,"⚠"&amp;INDEX('입력_구리근무자명단'!$A1195:$ZZ1195,1,$E$2+3),TEXT($T1197,"yyyy-mm-dd")))</f>
        <v/>
      </c>
      <c r="AB1197">
        <f>AB1196+IF($R1197="",0,1)</f>
        <v/>
      </c>
      <c r="AC1197">
        <f>IF($R1197="","",$AB1197)</f>
        <v/>
      </c>
    </row>
    <row r="1198">
      <c r="O1198">
        <f>1196</f>
        <v/>
      </c>
      <c r="P1198">
        <f>IF(TRIM('입력_구리근무자명단'!$A1196&amp;"")&lt;&gt;"",TRIM('입력_구리근무자명단'!$A1196&amp;""),P1197)</f>
        <v/>
      </c>
      <c r="Q1198">
        <f>'입력_구리근무자명단'!$B1196&amp;""</f>
        <v/>
      </c>
      <c r="R1198">
        <f>IF($E$2="","",TRIM(INDEX('입력_구리근무자명단'!$A1196:$ZZ1196,1,$E$2+IF($G$2="확정",1,0))&amp;""))</f>
        <v/>
      </c>
      <c r="S1198">
        <f>IF($R1198="","",IF(INDEX('입력_구리근무자명단'!$A1196:$ZZ1196,1,$E$2+2)&amp;""="",급여기준월,IF(ISNUMBER(INDEX('입력_구리근무자명단'!$A1196:$ZZ1196,1,$E$2+2)),INDEX('입력_구리근무자명단'!$A1196:$ZZ1196,1,$E$2+2),IFERROR(DATE(VALUE(LEFT(INDEX('입력_구리근무자명단'!$A1196:$ZZ1196,1,$E$2+2),4)),VALUE(MID(INDEX('입력_구리근무자명단'!$A1196:$ZZ1196,1,$E$2+2),6,2)),VALUE(MID(INDEX('입력_구리근무자명단'!$A1196:$ZZ1196,1,$E$2+2),9,2))),-1))))</f>
        <v/>
      </c>
      <c r="T1198">
        <f>IF($R1198="","",IF(INDEX('입력_구리근무자명단'!$A1196:$ZZ1196,1,$E$2+3)&amp;""="",EOMONTH(급여기준월,0),IF(ISNUMBER(INDEX('입력_구리근무자명단'!$A1196:$ZZ1196,1,$E$2+3)),INDEX('입력_구리근무자명단'!$A1196:$ZZ1196,1,$E$2+3),IFERROR(DATE(VALUE(LEFT(INDEX('입력_구리근무자명단'!$A1196:$ZZ1196,1,$E$2+3),4)),VALUE(MID(INDEX('입력_구리근무자명단'!$A1196:$ZZ1196,1,$E$2+3),6,2)),VALUE(MID(INDEX('입력_구리근무자명단'!$A1196:$ZZ1196,1,$E$2+3),9,2))),-1))))</f>
        <v/>
      </c>
      <c r="U1198">
        <f>IF($R1198="","",IF(OR($S1198&lt;0,$T1198&lt;0),0,MAX(0,MIN($T1198,EOMONTH(급여기준월,0))-MAX($S1198,급여기준월)+1)))</f>
        <v/>
      </c>
      <c r="V1198">
        <f>IF($R1198="","",TRIM(INDEX('입력_구리근무자명단'!$A1196:$ZZ1196,1,$E$2+5)&amp;""))</f>
        <v/>
      </c>
      <c r="W1198">
        <f>IF(ISNUMBER(SEARCH("구리독자",$V1198)),"구리독자","")</f>
        <v/>
      </c>
      <c r="X1198">
        <f>IF($R1198="","",$R1198&amp;"|"&amp;IF(OR($Q1198="인턴",ISNUMBER(SEARCH("수련교육부",$P1198))),"인턴",$P1198))</f>
        <v/>
      </c>
      <c r="Y1198">
        <f>IF($R1198="","",IF(COUNTIF(명단표[이름|과],$X1198)=1,"명단 일치",IF(AND(COUNTIF(명단표[이름|과],$X1198)=0,COUNTIF(명단표[이름],$R1198)=1),"명단 일치(이름만, 과 다름)",IF(COUNTIF(명단표[이름],$R1198)=0,IF(COUNTIF(기본자료표[이름],$R1198)&gt;0,"명단에 없음(기본자료에는 있음)","명단에 없음"),"동명이인 확인"))))</f>
        <v/>
      </c>
      <c r="Z1198">
        <f>IF($R1198="","",IF($S1198&lt;0,"⚠"&amp;INDEX('입력_구리근무자명단'!$A1196:$ZZ1196,1,$E$2+2),TEXT($S1198,"yyyy-mm-dd")))</f>
        <v/>
      </c>
      <c r="AA1198">
        <f>IF($R1198="","",IF($T1198&lt;0,"⚠"&amp;INDEX('입력_구리근무자명단'!$A1196:$ZZ1196,1,$E$2+3),TEXT($T1198,"yyyy-mm-dd")))</f>
        <v/>
      </c>
      <c r="AB1198">
        <f>AB1197+IF($R1198="",0,1)</f>
        <v/>
      </c>
      <c r="AC1198">
        <f>IF($R1198="","",$AB1198)</f>
        <v/>
      </c>
    </row>
    <row r="1199">
      <c r="O1199">
        <f>1197</f>
        <v/>
      </c>
      <c r="P1199">
        <f>IF(TRIM('입력_구리근무자명단'!$A1197&amp;"")&lt;&gt;"",TRIM('입력_구리근무자명단'!$A1197&amp;""),P1198)</f>
        <v/>
      </c>
      <c r="Q1199">
        <f>'입력_구리근무자명단'!$B1197&amp;""</f>
        <v/>
      </c>
      <c r="R1199">
        <f>IF($E$2="","",TRIM(INDEX('입력_구리근무자명단'!$A1197:$ZZ1197,1,$E$2+IF($G$2="확정",1,0))&amp;""))</f>
        <v/>
      </c>
      <c r="S1199">
        <f>IF($R1199="","",IF(INDEX('입력_구리근무자명단'!$A1197:$ZZ1197,1,$E$2+2)&amp;""="",급여기준월,IF(ISNUMBER(INDEX('입력_구리근무자명단'!$A1197:$ZZ1197,1,$E$2+2)),INDEX('입력_구리근무자명단'!$A1197:$ZZ1197,1,$E$2+2),IFERROR(DATE(VALUE(LEFT(INDEX('입력_구리근무자명단'!$A1197:$ZZ1197,1,$E$2+2),4)),VALUE(MID(INDEX('입력_구리근무자명단'!$A1197:$ZZ1197,1,$E$2+2),6,2)),VALUE(MID(INDEX('입력_구리근무자명단'!$A1197:$ZZ1197,1,$E$2+2),9,2))),-1))))</f>
        <v/>
      </c>
      <c r="T1199">
        <f>IF($R1199="","",IF(INDEX('입력_구리근무자명단'!$A1197:$ZZ1197,1,$E$2+3)&amp;""="",EOMONTH(급여기준월,0),IF(ISNUMBER(INDEX('입력_구리근무자명단'!$A1197:$ZZ1197,1,$E$2+3)),INDEX('입력_구리근무자명단'!$A1197:$ZZ1197,1,$E$2+3),IFERROR(DATE(VALUE(LEFT(INDEX('입력_구리근무자명단'!$A1197:$ZZ1197,1,$E$2+3),4)),VALUE(MID(INDEX('입력_구리근무자명단'!$A1197:$ZZ1197,1,$E$2+3),6,2)),VALUE(MID(INDEX('입력_구리근무자명단'!$A1197:$ZZ1197,1,$E$2+3),9,2))),-1))))</f>
        <v/>
      </c>
      <c r="U1199">
        <f>IF($R1199="","",IF(OR($S1199&lt;0,$T1199&lt;0),0,MAX(0,MIN($T1199,EOMONTH(급여기준월,0))-MAX($S1199,급여기준월)+1)))</f>
        <v/>
      </c>
      <c r="V1199">
        <f>IF($R1199="","",TRIM(INDEX('입력_구리근무자명단'!$A1197:$ZZ1197,1,$E$2+5)&amp;""))</f>
        <v/>
      </c>
      <c r="W1199">
        <f>IF(ISNUMBER(SEARCH("구리독자",$V1199)),"구리독자","")</f>
        <v/>
      </c>
      <c r="X1199">
        <f>IF($R1199="","",$R1199&amp;"|"&amp;IF(OR($Q1199="인턴",ISNUMBER(SEARCH("수련교육부",$P1199))),"인턴",$P1199))</f>
        <v/>
      </c>
      <c r="Y1199">
        <f>IF($R1199="","",IF(COUNTIF(명단표[이름|과],$X1199)=1,"명단 일치",IF(AND(COUNTIF(명단표[이름|과],$X1199)=0,COUNTIF(명단표[이름],$R1199)=1),"명단 일치(이름만, 과 다름)",IF(COUNTIF(명단표[이름],$R1199)=0,IF(COUNTIF(기본자료표[이름],$R1199)&gt;0,"명단에 없음(기본자료에는 있음)","명단에 없음"),"동명이인 확인"))))</f>
        <v/>
      </c>
      <c r="Z1199">
        <f>IF($R1199="","",IF($S1199&lt;0,"⚠"&amp;INDEX('입력_구리근무자명단'!$A1197:$ZZ1197,1,$E$2+2),TEXT($S1199,"yyyy-mm-dd")))</f>
        <v/>
      </c>
      <c r="AA1199">
        <f>IF($R1199="","",IF($T1199&lt;0,"⚠"&amp;INDEX('입력_구리근무자명단'!$A1197:$ZZ1197,1,$E$2+3),TEXT($T1199,"yyyy-mm-dd")))</f>
        <v/>
      </c>
      <c r="AB1199">
        <f>AB1198+IF($R1199="",0,1)</f>
        <v/>
      </c>
      <c r="AC1199">
        <f>IF($R1199="","",$AB1199)</f>
        <v/>
      </c>
    </row>
    <row r="1200">
      <c r="O1200">
        <f>1198</f>
        <v/>
      </c>
      <c r="P1200">
        <f>IF(TRIM('입력_구리근무자명단'!$A1198&amp;"")&lt;&gt;"",TRIM('입력_구리근무자명단'!$A1198&amp;""),P1199)</f>
        <v/>
      </c>
      <c r="Q1200">
        <f>'입력_구리근무자명단'!$B1198&amp;""</f>
        <v/>
      </c>
      <c r="R1200">
        <f>IF($E$2="","",TRIM(INDEX('입력_구리근무자명단'!$A1198:$ZZ1198,1,$E$2+IF($G$2="확정",1,0))&amp;""))</f>
        <v/>
      </c>
      <c r="S1200">
        <f>IF($R1200="","",IF(INDEX('입력_구리근무자명단'!$A1198:$ZZ1198,1,$E$2+2)&amp;""="",급여기준월,IF(ISNUMBER(INDEX('입력_구리근무자명단'!$A1198:$ZZ1198,1,$E$2+2)),INDEX('입력_구리근무자명단'!$A1198:$ZZ1198,1,$E$2+2),IFERROR(DATE(VALUE(LEFT(INDEX('입력_구리근무자명단'!$A1198:$ZZ1198,1,$E$2+2),4)),VALUE(MID(INDEX('입력_구리근무자명단'!$A1198:$ZZ1198,1,$E$2+2),6,2)),VALUE(MID(INDEX('입력_구리근무자명단'!$A1198:$ZZ1198,1,$E$2+2),9,2))),-1))))</f>
        <v/>
      </c>
      <c r="T1200">
        <f>IF($R1200="","",IF(INDEX('입력_구리근무자명단'!$A1198:$ZZ1198,1,$E$2+3)&amp;""="",EOMONTH(급여기준월,0),IF(ISNUMBER(INDEX('입력_구리근무자명단'!$A1198:$ZZ1198,1,$E$2+3)),INDEX('입력_구리근무자명단'!$A1198:$ZZ1198,1,$E$2+3),IFERROR(DATE(VALUE(LEFT(INDEX('입력_구리근무자명단'!$A1198:$ZZ1198,1,$E$2+3),4)),VALUE(MID(INDEX('입력_구리근무자명단'!$A1198:$ZZ1198,1,$E$2+3),6,2)),VALUE(MID(INDEX('입력_구리근무자명단'!$A1198:$ZZ1198,1,$E$2+3),9,2))),-1))))</f>
        <v/>
      </c>
      <c r="U1200">
        <f>IF($R1200="","",IF(OR($S1200&lt;0,$T1200&lt;0),0,MAX(0,MIN($T1200,EOMONTH(급여기준월,0))-MAX($S1200,급여기준월)+1)))</f>
        <v/>
      </c>
      <c r="V1200">
        <f>IF($R1200="","",TRIM(INDEX('입력_구리근무자명단'!$A1198:$ZZ1198,1,$E$2+5)&amp;""))</f>
        <v/>
      </c>
      <c r="W1200">
        <f>IF(ISNUMBER(SEARCH("구리독자",$V1200)),"구리독자","")</f>
        <v/>
      </c>
      <c r="X1200">
        <f>IF($R1200="","",$R1200&amp;"|"&amp;IF(OR($Q1200="인턴",ISNUMBER(SEARCH("수련교육부",$P1200))),"인턴",$P1200))</f>
        <v/>
      </c>
      <c r="Y1200">
        <f>IF($R1200="","",IF(COUNTIF(명단표[이름|과],$X1200)=1,"명단 일치",IF(AND(COUNTIF(명단표[이름|과],$X1200)=0,COUNTIF(명단표[이름],$R1200)=1),"명단 일치(이름만, 과 다름)",IF(COUNTIF(명단표[이름],$R1200)=0,IF(COUNTIF(기본자료표[이름],$R1200)&gt;0,"명단에 없음(기본자료에는 있음)","명단에 없음"),"동명이인 확인"))))</f>
        <v/>
      </c>
      <c r="Z1200">
        <f>IF($R1200="","",IF($S1200&lt;0,"⚠"&amp;INDEX('입력_구리근무자명단'!$A1198:$ZZ1198,1,$E$2+2),TEXT($S1200,"yyyy-mm-dd")))</f>
        <v/>
      </c>
      <c r="AA1200">
        <f>IF($R1200="","",IF($T1200&lt;0,"⚠"&amp;INDEX('입력_구리근무자명단'!$A1198:$ZZ1198,1,$E$2+3),TEXT($T1200,"yyyy-mm-dd")))</f>
        <v/>
      </c>
      <c r="AB1200">
        <f>AB1199+IF($R1200="",0,1)</f>
        <v/>
      </c>
      <c r="AC1200">
        <f>IF($R1200="","",$AB1200)</f>
        <v/>
      </c>
    </row>
    <row r="1201">
      <c r="O1201">
        <f>1199</f>
        <v/>
      </c>
      <c r="P1201">
        <f>IF(TRIM('입력_구리근무자명단'!$A1199&amp;"")&lt;&gt;"",TRIM('입력_구리근무자명단'!$A1199&amp;""),P1200)</f>
        <v/>
      </c>
      <c r="Q1201">
        <f>'입력_구리근무자명단'!$B1199&amp;""</f>
        <v/>
      </c>
      <c r="R1201">
        <f>IF($E$2="","",TRIM(INDEX('입력_구리근무자명단'!$A1199:$ZZ1199,1,$E$2+IF($G$2="확정",1,0))&amp;""))</f>
        <v/>
      </c>
      <c r="S1201">
        <f>IF($R1201="","",IF(INDEX('입력_구리근무자명단'!$A1199:$ZZ1199,1,$E$2+2)&amp;""="",급여기준월,IF(ISNUMBER(INDEX('입력_구리근무자명단'!$A1199:$ZZ1199,1,$E$2+2)),INDEX('입력_구리근무자명단'!$A1199:$ZZ1199,1,$E$2+2),IFERROR(DATE(VALUE(LEFT(INDEX('입력_구리근무자명단'!$A1199:$ZZ1199,1,$E$2+2),4)),VALUE(MID(INDEX('입력_구리근무자명단'!$A1199:$ZZ1199,1,$E$2+2),6,2)),VALUE(MID(INDEX('입력_구리근무자명단'!$A1199:$ZZ1199,1,$E$2+2),9,2))),-1))))</f>
        <v/>
      </c>
      <c r="T1201">
        <f>IF($R1201="","",IF(INDEX('입력_구리근무자명단'!$A1199:$ZZ1199,1,$E$2+3)&amp;""="",EOMONTH(급여기준월,0),IF(ISNUMBER(INDEX('입력_구리근무자명단'!$A1199:$ZZ1199,1,$E$2+3)),INDEX('입력_구리근무자명단'!$A1199:$ZZ1199,1,$E$2+3),IFERROR(DATE(VALUE(LEFT(INDEX('입력_구리근무자명단'!$A1199:$ZZ1199,1,$E$2+3),4)),VALUE(MID(INDEX('입력_구리근무자명단'!$A1199:$ZZ1199,1,$E$2+3),6,2)),VALUE(MID(INDEX('입력_구리근무자명단'!$A1199:$ZZ1199,1,$E$2+3),9,2))),-1))))</f>
        <v/>
      </c>
      <c r="U1201">
        <f>IF($R1201="","",IF(OR($S1201&lt;0,$T1201&lt;0),0,MAX(0,MIN($T1201,EOMONTH(급여기준월,0))-MAX($S1201,급여기준월)+1)))</f>
        <v/>
      </c>
      <c r="V1201">
        <f>IF($R1201="","",TRIM(INDEX('입력_구리근무자명단'!$A1199:$ZZ1199,1,$E$2+5)&amp;""))</f>
        <v/>
      </c>
      <c r="W1201">
        <f>IF(ISNUMBER(SEARCH("구리독자",$V1201)),"구리독자","")</f>
        <v/>
      </c>
      <c r="X1201">
        <f>IF($R1201="","",$R1201&amp;"|"&amp;IF(OR($Q1201="인턴",ISNUMBER(SEARCH("수련교육부",$P1201))),"인턴",$P1201))</f>
        <v/>
      </c>
      <c r="Y1201">
        <f>IF($R1201="","",IF(COUNTIF(명단표[이름|과],$X1201)=1,"명단 일치",IF(AND(COUNTIF(명단표[이름|과],$X1201)=0,COUNTIF(명단표[이름],$R1201)=1),"명단 일치(이름만, 과 다름)",IF(COUNTIF(명단표[이름],$R1201)=0,IF(COUNTIF(기본자료표[이름],$R1201)&gt;0,"명단에 없음(기본자료에는 있음)","명단에 없음"),"동명이인 확인"))))</f>
        <v/>
      </c>
      <c r="Z1201">
        <f>IF($R1201="","",IF($S1201&lt;0,"⚠"&amp;INDEX('입력_구리근무자명단'!$A1199:$ZZ1199,1,$E$2+2),TEXT($S1201,"yyyy-mm-dd")))</f>
        <v/>
      </c>
      <c r="AA1201">
        <f>IF($R1201="","",IF($T1201&lt;0,"⚠"&amp;INDEX('입력_구리근무자명단'!$A1199:$ZZ1199,1,$E$2+3),TEXT($T1201,"yyyy-mm-dd")))</f>
        <v/>
      </c>
      <c r="AB1201">
        <f>AB1200+IF($R1201="",0,1)</f>
        <v/>
      </c>
      <c r="AC1201">
        <f>IF($R1201="","",$AB1201)</f>
        <v/>
      </c>
    </row>
    <row r="1202">
      <c r="O1202">
        <f>1200</f>
        <v/>
      </c>
      <c r="P1202">
        <f>IF(TRIM('입력_구리근무자명단'!$A1200&amp;"")&lt;&gt;"",TRIM('입력_구리근무자명단'!$A1200&amp;""),P1201)</f>
        <v/>
      </c>
      <c r="Q1202">
        <f>'입력_구리근무자명단'!$B1200&amp;""</f>
        <v/>
      </c>
      <c r="R1202">
        <f>IF($E$2="","",TRIM(INDEX('입력_구리근무자명단'!$A1200:$ZZ1200,1,$E$2+IF($G$2="확정",1,0))&amp;""))</f>
        <v/>
      </c>
      <c r="S1202">
        <f>IF($R1202="","",IF(INDEX('입력_구리근무자명단'!$A1200:$ZZ1200,1,$E$2+2)&amp;""="",급여기준월,IF(ISNUMBER(INDEX('입력_구리근무자명단'!$A1200:$ZZ1200,1,$E$2+2)),INDEX('입력_구리근무자명단'!$A1200:$ZZ1200,1,$E$2+2),IFERROR(DATE(VALUE(LEFT(INDEX('입력_구리근무자명단'!$A1200:$ZZ1200,1,$E$2+2),4)),VALUE(MID(INDEX('입력_구리근무자명단'!$A1200:$ZZ1200,1,$E$2+2),6,2)),VALUE(MID(INDEX('입력_구리근무자명단'!$A1200:$ZZ1200,1,$E$2+2),9,2))),-1))))</f>
        <v/>
      </c>
      <c r="T1202">
        <f>IF($R1202="","",IF(INDEX('입력_구리근무자명단'!$A1200:$ZZ1200,1,$E$2+3)&amp;""="",EOMONTH(급여기준월,0),IF(ISNUMBER(INDEX('입력_구리근무자명단'!$A1200:$ZZ1200,1,$E$2+3)),INDEX('입력_구리근무자명단'!$A1200:$ZZ1200,1,$E$2+3),IFERROR(DATE(VALUE(LEFT(INDEX('입력_구리근무자명단'!$A1200:$ZZ1200,1,$E$2+3),4)),VALUE(MID(INDEX('입력_구리근무자명단'!$A1200:$ZZ1200,1,$E$2+3),6,2)),VALUE(MID(INDEX('입력_구리근무자명단'!$A1200:$ZZ1200,1,$E$2+3),9,2))),-1))))</f>
        <v/>
      </c>
      <c r="U1202">
        <f>IF($R1202="","",IF(OR($S1202&lt;0,$T1202&lt;0),0,MAX(0,MIN($T1202,EOMONTH(급여기준월,0))-MAX($S1202,급여기준월)+1)))</f>
        <v/>
      </c>
      <c r="V1202">
        <f>IF($R1202="","",TRIM(INDEX('입력_구리근무자명단'!$A1200:$ZZ1200,1,$E$2+5)&amp;""))</f>
        <v/>
      </c>
      <c r="W1202">
        <f>IF(ISNUMBER(SEARCH("구리독자",$V1202)),"구리독자","")</f>
        <v/>
      </c>
      <c r="X1202">
        <f>IF($R1202="","",$R1202&amp;"|"&amp;IF(OR($Q1202="인턴",ISNUMBER(SEARCH("수련교육부",$P1202))),"인턴",$P1202))</f>
        <v/>
      </c>
      <c r="Y1202">
        <f>IF($R1202="","",IF(COUNTIF(명단표[이름|과],$X1202)=1,"명단 일치",IF(AND(COUNTIF(명단표[이름|과],$X1202)=0,COUNTIF(명단표[이름],$R1202)=1),"명단 일치(이름만, 과 다름)",IF(COUNTIF(명단표[이름],$R1202)=0,IF(COUNTIF(기본자료표[이름],$R1202)&gt;0,"명단에 없음(기본자료에는 있음)","명단에 없음"),"동명이인 확인"))))</f>
        <v/>
      </c>
      <c r="Z1202">
        <f>IF($R1202="","",IF($S1202&lt;0,"⚠"&amp;INDEX('입력_구리근무자명단'!$A1200:$ZZ1200,1,$E$2+2),TEXT($S1202,"yyyy-mm-dd")))</f>
        <v/>
      </c>
      <c r="AA1202">
        <f>IF($R1202="","",IF($T1202&lt;0,"⚠"&amp;INDEX('입력_구리근무자명단'!$A1200:$ZZ1200,1,$E$2+3),TEXT($T1202,"yyyy-mm-dd")))</f>
        <v/>
      </c>
      <c r="AB1202">
        <f>AB1201+IF($R1202="",0,1)</f>
        <v/>
      </c>
      <c r="AC1202">
        <f>IF($R1202="","",$AB1202)</f>
        <v/>
      </c>
    </row>
    <row r="1203">
      <c r="O1203">
        <f>1201</f>
        <v/>
      </c>
      <c r="P1203">
        <f>IF(TRIM('입력_구리근무자명단'!$A1201&amp;"")&lt;&gt;"",TRIM('입력_구리근무자명단'!$A1201&amp;""),P1202)</f>
        <v/>
      </c>
      <c r="Q1203">
        <f>'입력_구리근무자명단'!$B1201&amp;""</f>
        <v/>
      </c>
      <c r="R1203">
        <f>IF($E$2="","",TRIM(INDEX('입력_구리근무자명단'!$A1201:$ZZ1201,1,$E$2+IF($G$2="확정",1,0))&amp;""))</f>
        <v/>
      </c>
      <c r="S1203">
        <f>IF($R1203="","",IF(INDEX('입력_구리근무자명단'!$A1201:$ZZ1201,1,$E$2+2)&amp;""="",급여기준월,IF(ISNUMBER(INDEX('입력_구리근무자명단'!$A1201:$ZZ1201,1,$E$2+2)),INDEX('입력_구리근무자명단'!$A1201:$ZZ1201,1,$E$2+2),IFERROR(DATE(VALUE(LEFT(INDEX('입력_구리근무자명단'!$A1201:$ZZ1201,1,$E$2+2),4)),VALUE(MID(INDEX('입력_구리근무자명단'!$A1201:$ZZ1201,1,$E$2+2),6,2)),VALUE(MID(INDEX('입력_구리근무자명단'!$A1201:$ZZ1201,1,$E$2+2),9,2))),-1))))</f>
        <v/>
      </c>
      <c r="T1203">
        <f>IF($R1203="","",IF(INDEX('입력_구리근무자명단'!$A1201:$ZZ1201,1,$E$2+3)&amp;""="",EOMONTH(급여기준월,0),IF(ISNUMBER(INDEX('입력_구리근무자명단'!$A1201:$ZZ1201,1,$E$2+3)),INDEX('입력_구리근무자명단'!$A1201:$ZZ1201,1,$E$2+3),IFERROR(DATE(VALUE(LEFT(INDEX('입력_구리근무자명단'!$A1201:$ZZ1201,1,$E$2+3),4)),VALUE(MID(INDEX('입력_구리근무자명단'!$A1201:$ZZ1201,1,$E$2+3),6,2)),VALUE(MID(INDEX('입력_구리근무자명단'!$A1201:$ZZ1201,1,$E$2+3),9,2))),-1))))</f>
        <v/>
      </c>
      <c r="U1203">
        <f>IF($R1203="","",IF(OR($S1203&lt;0,$T1203&lt;0),0,MAX(0,MIN($T1203,EOMONTH(급여기준월,0))-MAX($S1203,급여기준월)+1)))</f>
        <v/>
      </c>
      <c r="V1203">
        <f>IF($R1203="","",TRIM(INDEX('입력_구리근무자명단'!$A1201:$ZZ1201,1,$E$2+5)&amp;""))</f>
        <v/>
      </c>
      <c r="W1203">
        <f>IF(ISNUMBER(SEARCH("구리독자",$V1203)),"구리독자","")</f>
        <v/>
      </c>
      <c r="X1203">
        <f>IF($R1203="","",$R1203&amp;"|"&amp;IF(OR($Q1203="인턴",ISNUMBER(SEARCH("수련교육부",$P1203))),"인턴",$P1203))</f>
        <v/>
      </c>
      <c r="Y1203">
        <f>IF($R1203="","",IF(COUNTIF(명단표[이름|과],$X1203)=1,"명단 일치",IF(AND(COUNTIF(명단표[이름|과],$X1203)=0,COUNTIF(명단표[이름],$R1203)=1),"명단 일치(이름만, 과 다름)",IF(COUNTIF(명단표[이름],$R1203)=0,IF(COUNTIF(기본자료표[이름],$R1203)&gt;0,"명단에 없음(기본자료에는 있음)","명단에 없음"),"동명이인 확인"))))</f>
        <v/>
      </c>
      <c r="Z1203">
        <f>IF($R1203="","",IF($S1203&lt;0,"⚠"&amp;INDEX('입력_구리근무자명단'!$A1201:$ZZ1201,1,$E$2+2),TEXT($S1203,"yyyy-mm-dd")))</f>
        <v/>
      </c>
      <c r="AA1203">
        <f>IF($R1203="","",IF($T1203&lt;0,"⚠"&amp;INDEX('입력_구리근무자명단'!$A1201:$ZZ1201,1,$E$2+3),TEXT($T1203,"yyyy-mm-dd")))</f>
        <v/>
      </c>
      <c r="AB1203">
        <f>AB1202+IF($R1203="",0,1)</f>
        <v/>
      </c>
      <c r="AC1203">
        <f>IF($R1203="","",$AB1203)</f>
        <v/>
      </c>
    </row>
    <row r="1204">
      <c r="O1204">
        <f>1202</f>
        <v/>
      </c>
      <c r="P1204">
        <f>IF(TRIM('입력_구리근무자명단'!$A1202&amp;"")&lt;&gt;"",TRIM('입력_구리근무자명단'!$A1202&amp;""),P1203)</f>
        <v/>
      </c>
      <c r="Q1204">
        <f>'입력_구리근무자명단'!$B1202&amp;""</f>
        <v/>
      </c>
      <c r="R1204">
        <f>IF($E$2="","",TRIM(INDEX('입력_구리근무자명단'!$A1202:$ZZ1202,1,$E$2+IF($G$2="확정",1,0))&amp;""))</f>
        <v/>
      </c>
      <c r="S1204">
        <f>IF($R1204="","",IF(INDEX('입력_구리근무자명단'!$A1202:$ZZ1202,1,$E$2+2)&amp;""="",급여기준월,IF(ISNUMBER(INDEX('입력_구리근무자명단'!$A1202:$ZZ1202,1,$E$2+2)),INDEX('입력_구리근무자명단'!$A1202:$ZZ1202,1,$E$2+2),IFERROR(DATE(VALUE(LEFT(INDEX('입력_구리근무자명단'!$A1202:$ZZ1202,1,$E$2+2),4)),VALUE(MID(INDEX('입력_구리근무자명단'!$A1202:$ZZ1202,1,$E$2+2),6,2)),VALUE(MID(INDEX('입력_구리근무자명단'!$A1202:$ZZ1202,1,$E$2+2),9,2))),-1))))</f>
        <v/>
      </c>
      <c r="T1204">
        <f>IF($R1204="","",IF(INDEX('입력_구리근무자명단'!$A1202:$ZZ1202,1,$E$2+3)&amp;""="",EOMONTH(급여기준월,0),IF(ISNUMBER(INDEX('입력_구리근무자명단'!$A1202:$ZZ1202,1,$E$2+3)),INDEX('입력_구리근무자명단'!$A1202:$ZZ1202,1,$E$2+3),IFERROR(DATE(VALUE(LEFT(INDEX('입력_구리근무자명단'!$A1202:$ZZ1202,1,$E$2+3),4)),VALUE(MID(INDEX('입력_구리근무자명단'!$A1202:$ZZ1202,1,$E$2+3),6,2)),VALUE(MID(INDEX('입력_구리근무자명단'!$A1202:$ZZ1202,1,$E$2+3),9,2))),-1))))</f>
        <v/>
      </c>
      <c r="U1204">
        <f>IF($R1204="","",IF(OR($S1204&lt;0,$T1204&lt;0),0,MAX(0,MIN($T1204,EOMONTH(급여기준월,0))-MAX($S1204,급여기준월)+1)))</f>
        <v/>
      </c>
      <c r="V1204">
        <f>IF($R1204="","",TRIM(INDEX('입력_구리근무자명단'!$A1202:$ZZ1202,1,$E$2+5)&amp;""))</f>
        <v/>
      </c>
      <c r="W1204">
        <f>IF(ISNUMBER(SEARCH("구리독자",$V1204)),"구리독자","")</f>
        <v/>
      </c>
      <c r="X1204">
        <f>IF($R1204="","",$R1204&amp;"|"&amp;IF(OR($Q1204="인턴",ISNUMBER(SEARCH("수련교육부",$P1204))),"인턴",$P1204))</f>
        <v/>
      </c>
      <c r="Y1204">
        <f>IF($R1204="","",IF(COUNTIF(명단표[이름|과],$X1204)=1,"명단 일치",IF(AND(COUNTIF(명단표[이름|과],$X1204)=0,COUNTIF(명단표[이름],$R1204)=1),"명단 일치(이름만, 과 다름)",IF(COUNTIF(명단표[이름],$R1204)=0,IF(COUNTIF(기본자료표[이름],$R1204)&gt;0,"명단에 없음(기본자료에는 있음)","명단에 없음"),"동명이인 확인"))))</f>
        <v/>
      </c>
      <c r="Z1204">
        <f>IF($R1204="","",IF($S1204&lt;0,"⚠"&amp;INDEX('입력_구리근무자명단'!$A1202:$ZZ1202,1,$E$2+2),TEXT($S1204,"yyyy-mm-dd")))</f>
        <v/>
      </c>
      <c r="AA1204">
        <f>IF($R1204="","",IF($T1204&lt;0,"⚠"&amp;INDEX('입력_구리근무자명단'!$A1202:$ZZ1202,1,$E$2+3),TEXT($T1204,"yyyy-mm-dd")))</f>
        <v/>
      </c>
      <c r="AB1204">
        <f>AB1203+IF($R1204="",0,1)</f>
        <v/>
      </c>
      <c r="AC1204">
        <f>IF($R1204="","",$AB1204)</f>
        <v/>
      </c>
    </row>
    <row r="1205">
      <c r="O1205">
        <f>1203</f>
        <v/>
      </c>
      <c r="P1205">
        <f>IF(TRIM('입력_구리근무자명단'!$A1203&amp;"")&lt;&gt;"",TRIM('입력_구리근무자명단'!$A1203&amp;""),P1204)</f>
        <v/>
      </c>
      <c r="Q1205">
        <f>'입력_구리근무자명단'!$B1203&amp;""</f>
        <v/>
      </c>
      <c r="R1205">
        <f>IF($E$2="","",TRIM(INDEX('입력_구리근무자명단'!$A1203:$ZZ1203,1,$E$2+IF($G$2="확정",1,0))&amp;""))</f>
        <v/>
      </c>
      <c r="S1205">
        <f>IF($R1205="","",IF(INDEX('입력_구리근무자명단'!$A1203:$ZZ1203,1,$E$2+2)&amp;""="",급여기준월,IF(ISNUMBER(INDEX('입력_구리근무자명단'!$A1203:$ZZ1203,1,$E$2+2)),INDEX('입력_구리근무자명단'!$A1203:$ZZ1203,1,$E$2+2),IFERROR(DATE(VALUE(LEFT(INDEX('입력_구리근무자명단'!$A1203:$ZZ1203,1,$E$2+2),4)),VALUE(MID(INDEX('입력_구리근무자명단'!$A1203:$ZZ1203,1,$E$2+2),6,2)),VALUE(MID(INDEX('입력_구리근무자명단'!$A1203:$ZZ1203,1,$E$2+2),9,2))),-1))))</f>
        <v/>
      </c>
      <c r="T1205">
        <f>IF($R1205="","",IF(INDEX('입력_구리근무자명단'!$A1203:$ZZ1203,1,$E$2+3)&amp;""="",EOMONTH(급여기준월,0),IF(ISNUMBER(INDEX('입력_구리근무자명단'!$A1203:$ZZ1203,1,$E$2+3)),INDEX('입력_구리근무자명단'!$A1203:$ZZ1203,1,$E$2+3),IFERROR(DATE(VALUE(LEFT(INDEX('입력_구리근무자명단'!$A1203:$ZZ1203,1,$E$2+3),4)),VALUE(MID(INDEX('입력_구리근무자명단'!$A1203:$ZZ1203,1,$E$2+3),6,2)),VALUE(MID(INDEX('입력_구리근무자명단'!$A1203:$ZZ1203,1,$E$2+3),9,2))),-1))))</f>
        <v/>
      </c>
      <c r="U1205">
        <f>IF($R1205="","",IF(OR($S1205&lt;0,$T1205&lt;0),0,MAX(0,MIN($T1205,EOMONTH(급여기준월,0))-MAX($S1205,급여기준월)+1)))</f>
        <v/>
      </c>
      <c r="V1205">
        <f>IF($R1205="","",TRIM(INDEX('입력_구리근무자명단'!$A1203:$ZZ1203,1,$E$2+5)&amp;""))</f>
        <v/>
      </c>
      <c r="W1205">
        <f>IF(ISNUMBER(SEARCH("구리독자",$V1205)),"구리독자","")</f>
        <v/>
      </c>
      <c r="X1205">
        <f>IF($R1205="","",$R1205&amp;"|"&amp;IF(OR($Q1205="인턴",ISNUMBER(SEARCH("수련교육부",$P1205))),"인턴",$P1205))</f>
        <v/>
      </c>
      <c r="Y1205">
        <f>IF($R1205="","",IF(COUNTIF(명단표[이름|과],$X1205)=1,"명단 일치",IF(AND(COUNTIF(명단표[이름|과],$X1205)=0,COUNTIF(명단표[이름],$R1205)=1),"명단 일치(이름만, 과 다름)",IF(COUNTIF(명단표[이름],$R1205)=0,IF(COUNTIF(기본자료표[이름],$R1205)&gt;0,"명단에 없음(기본자료에는 있음)","명단에 없음"),"동명이인 확인"))))</f>
        <v/>
      </c>
      <c r="Z1205">
        <f>IF($R1205="","",IF($S1205&lt;0,"⚠"&amp;INDEX('입력_구리근무자명단'!$A1203:$ZZ1203,1,$E$2+2),TEXT($S1205,"yyyy-mm-dd")))</f>
        <v/>
      </c>
      <c r="AA1205">
        <f>IF($R1205="","",IF($T1205&lt;0,"⚠"&amp;INDEX('입력_구리근무자명단'!$A1203:$ZZ1203,1,$E$2+3),TEXT($T1205,"yyyy-mm-dd")))</f>
        <v/>
      </c>
      <c r="AB1205">
        <f>AB1204+IF($R1205="",0,1)</f>
        <v/>
      </c>
      <c r="AC1205">
        <f>IF($R1205="","",$AB1205)</f>
        <v/>
      </c>
    </row>
    <row r="1206">
      <c r="O1206">
        <f>1204</f>
        <v/>
      </c>
      <c r="P1206">
        <f>IF(TRIM('입력_구리근무자명단'!$A1204&amp;"")&lt;&gt;"",TRIM('입력_구리근무자명단'!$A1204&amp;""),P1205)</f>
        <v/>
      </c>
      <c r="Q1206">
        <f>'입력_구리근무자명단'!$B1204&amp;""</f>
        <v/>
      </c>
      <c r="R1206">
        <f>IF($E$2="","",TRIM(INDEX('입력_구리근무자명단'!$A1204:$ZZ1204,1,$E$2+IF($G$2="확정",1,0))&amp;""))</f>
        <v/>
      </c>
      <c r="S1206">
        <f>IF($R1206="","",IF(INDEX('입력_구리근무자명단'!$A1204:$ZZ1204,1,$E$2+2)&amp;""="",급여기준월,IF(ISNUMBER(INDEX('입력_구리근무자명단'!$A1204:$ZZ1204,1,$E$2+2)),INDEX('입력_구리근무자명단'!$A1204:$ZZ1204,1,$E$2+2),IFERROR(DATE(VALUE(LEFT(INDEX('입력_구리근무자명단'!$A1204:$ZZ1204,1,$E$2+2),4)),VALUE(MID(INDEX('입력_구리근무자명단'!$A1204:$ZZ1204,1,$E$2+2),6,2)),VALUE(MID(INDEX('입력_구리근무자명단'!$A1204:$ZZ1204,1,$E$2+2),9,2))),-1))))</f>
        <v/>
      </c>
      <c r="T1206">
        <f>IF($R1206="","",IF(INDEX('입력_구리근무자명단'!$A1204:$ZZ1204,1,$E$2+3)&amp;""="",EOMONTH(급여기준월,0),IF(ISNUMBER(INDEX('입력_구리근무자명단'!$A1204:$ZZ1204,1,$E$2+3)),INDEX('입력_구리근무자명단'!$A1204:$ZZ1204,1,$E$2+3),IFERROR(DATE(VALUE(LEFT(INDEX('입력_구리근무자명단'!$A1204:$ZZ1204,1,$E$2+3),4)),VALUE(MID(INDEX('입력_구리근무자명단'!$A1204:$ZZ1204,1,$E$2+3),6,2)),VALUE(MID(INDEX('입력_구리근무자명단'!$A1204:$ZZ1204,1,$E$2+3),9,2))),-1))))</f>
        <v/>
      </c>
      <c r="U1206">
        <f>IF($R1206="","",IF(OR($S1206&lt;0,$T1206&lt;0),0,MAX(0,MIN($T1206,EOMONTH(급여기준월,0))-MAX($S1206,급여기준월)+1)))</f>
        <v/>
      </c>
      <c r="V1206">
        <f>IF($R1206="","",TRIM(INDEX('입력_구리근무자명단'!$A1204:$ZZ1204,1,$E$2+5)&amp;""))</f>
        <v/>
      </c>
      <c r="W1206">
        <f>IF(ISNUMBER(SEARCH("구리독자",$V1206)),"구리독자","")</f>
        <v/>
      </c>
      <c r="X1206">
        <f>IF($R1206="","",$R1206&amp;"|"&amp;IF(OR($Q1206="인턴",ISNUMBER(SEARCH("수련교육부",$P1206))),"인턴",$P1206))</f>
        <v/>
      </c>
      <c r="Y1206">
        <f>IF($R1206="","",IF(COUNTIF(명단표[이름|과],$X1206)=1,"명단 일치",IF(AND(COUNTIF(명단표[이름|과],$X1206)=0,COUNTIF(명단표[이름],$R1206)=1),"명단 일치(이름만, 과 다름)",IF(COUNTIF(명단표[이름],$R1206)=0,IF(COUNTIF(기본자료표[이름],$R1206)&gt;0,"명단에 없음(기본자료에는 있음)","명단에 없음"),"동명이인 확인"))))</f>
        <v/>
      </c>
      <c r="Z1206">
        <f>IF($R1206="","",IF($S1206&lt;0,"⚠"&amp;INDEX('입력_구리근무자명단'!$A1204:$ZZ1204,1,$E$2+2),TEXT($S1206,"yyyy-mm-dd")))</f>
        <v/>
      </c>
      <c r="AA1206">
        <f>IF($R1206="","",IF($T1206&lt;0,"⚠"&amp;INDEX('입력_구리근무자명단'!$A1204:$ZZ1204,1,$E$2+3),TEXT($T1206,"yyyy-mm-dd")))</f>
        <v/>
      </c>
      <c r="AB1206">
        <f>AB1205+IF($R1206="",0,1)</f>
        <v/>
      </c>
      <c r="AC1206">
        <f>IF($R1206="","",$AB1206)</f>
        <v/>
      </c>
    </row>
    <row r="1207">
      <c r="O1207">
        <f>1205</f>
        <v/>
      </c>
      <c r="P1207">
        <f>IF(TRIM('입력_구리근무자명단'!$A1205&amp;"")&lt;&gt;"",TRIM('입력_구리근무자명단'!$A1205&amp;""),P1206)</f>
        <v/>
      </c>
      <c r="Q1207">
        <f>'입력_구리근무자명단'!$B1205&amp;""</f>
        <v/>
      </c>
      <c r="R1207">
        <f>IF($E$2="","",TRIM(INDEX('입력_구리근무자명단'!$A1205:$ZZ1205,1,$E$2+IF($G$2="확정",1,0))&amp;""))</f>
        <v/>
      </c>
      <c r="S1207">
        <f>IF($R1207="","",IF(INDEX('입력_구리근무자명단'!$A1205:$ZZ1205,1,$E$2+2)&amp;""="",급여기준월,IF(ISNUMBER(INDEX('입력_구리근무자명단'!$A1205:$ZZ1205,1,$E$2+2)),INDEX('입력_구리근무자명단'!$A1205:$ZZ1205,1,$E$2+2),IFERROR(DATE(VALUE(LEFT(INDEX('입력_구리근무자명단'!$A1205:$ZZ1205,1,$E$2+2),4)),VALUE(MID(INDEX('입력_구리근무자명단'!$A1205:$ZZ1205,1,$E$2+2),6,2)),VALUE(MID(INDEX('입력_구리근무자명단'!$A1205:$ZZ1205,1,$E$2+2),9,2))),-1))))</f>
        <v/>
      </c>
      <c r="T1207">
        <f>IF($R1207="","",IF(INDEX('입력_구리근무자명단'!$A1205:$ZZ1205,1,$E$2+3)&amp;""="",EOMONTH(급여기준월,0),IF(ISNUMBER(INDEX('입력_구리근무자명단'!$A1205:$ZZ1205,1,$E$2+3)),INDEX('입력_구리근무자명단'!$A1205:$ZZ1205,1,$E$2+3),IFERROR(DATE(VALUE(LEFT(INDEX('입력_구리근무자명단'!$A1205:$ZZ1205,1,$E$2+3),4)),VALUE(MID(INDEX('입력_구리근무자명단'!$A1205:$ZZ1205,1,$E$2+3),6,2)),VALUE(MID(INDEX('입력_구리근무자명단'!$A1205:$ZZ1205,1,$E$2+3),9,2))),-1))))</f>
        <v/>
      </c>
      <c r="U1207">
        <f>IF($R1207="","",IF(OR($S1207&lt;0,$T1207&lt;0),0,MAX(0,MIN($T1207,EOMONTH(급여기준월,0))-MAX($S1207,급여기준월)+1)))</f>
        <v/>
      </c>
      <c r="V1207">
        <f>IF($R1207="","",TRIM(INDEX('입력_구리근무자명단'!$A1205:$ZZ1205,1,$E$2+5)&amp;""))</f>
        <v/>
      </c>
      <c r="W1207">
        <f>IF(ISNUMBER(SEARCH("구리독자",$V1207)),"구리독자","")</f>
        <v/>
      </c>
      <c r="X1207">
        <f>IF($R1207="","",$R1207&amp;"|"&amp;IF(OR($Q1207="인턴",ISNUMBER(SEARCH("수련교육부",$P1207))),"인턴",$P1207))</f>
        <v/>
      </c>
      <c r="Y1207">
        <f>IF($R1207="","",IF(COUNTIF(명단표[이름|과],$X1207)=1,"명단 일치",IF(AND(COUNTIF(명단표[이름|과],$X1207)=0,COUNTIF(명단표[이름],$R1207)=1),"명단 일치(이름만, 과 다름)",IF(COUNTIF(명단표[이름],$R1207)=0,IF(COUNTIF(기본자료표[이름],$R1207)&gt;0,"명단에 없음(기본자료에는 있음)","명단에 없음"),"동명이인 확인"))))</f>
        <v/>
      </c>
      <c r="Z1207">
        <f>IF($R1207="","",IF($S1207&lt;0,"⚠"&amp;INDEX('입력_구리근무자명단'!$A1205:$ZZ1205,1,$E$2+2),TEXT($S1207,"yyyy-mm-dd")))</f>
        <v/>
      </c>
      <c r="AA1207">
        <f>IF($R1207="","",IF($T1207&lt;0,"⚠"&amp;INDEX('입력_구리근무자명단'!$A1205:$ZZ1205,1,$E$2+3),TEXT($T1207,"yyyy-mm-dd")))</f>
        <v/>
      </c>
      <c r="AB1207">
        <f>AB1206+IF($R1207="",0,1)</f>
        <v/>
      </c>
      <c r="AC1207">
        <f>IF($R1207="","",$AB1207)</f>
        <v/>
      </c>
    </row>
    <row r="1208">
      <c r="O1208">
        <f>1206</f>
        <v/>
      </c>
      <c r="P1208">
        <f>IF(TRIM('입력_구리근무자명단'!$A1206&amp;"")&lt;&gt;"",TRIM('입력_구리근무자명단'!$A1206&amp;""),P1207)</f>
        <v/>
      </c>
      <c r="Q1208">
        <f>'입력_구리근무자명단'!$B1206&amp;""</f>
        <v/>
      </c>
      <c r="R1208">
        <f>IF($E$2="","",TRIM(INDEX('입력_구리근무자명단'!$A1206:$ZZ1206,1,$E$2+IF($G$2="확정",1,0))&amp;""))</f>
        <v/>
      </c>
      <c r="S1208">
        <f>IF($R1208="","",IF(INDEX('입력_구리근무자명단'!$A1206:$ZZ1206,1,$E$2+2)&amp;""="",급여기준월,IF(ISNUMBER(INDEX('입력_구리근무자명단'!$A1206:$ZZ1206,1,$E$2+2)),INDEX('입력_구리근무자명단'!$A1206:$ZZ1206,1,$E$2+2),IFERROR(DATE(VALUE(LEFT(INDEX('입력_구리근무자명단'!$A1206:$ZZ1206,1,$E$2+2),4)),VALUE(MID(INDEX('입력_구리근무자명단'!$A1206:$ZZ1206,1,$E$2+2),6,2)),VALUE(MID(INDEX('입력_구리근무자명단'!$A1206:$ZZ1206,1,$E$2+2),9,2))),-1))))</f>
        <v/>
      </c>
      <c r="T1208">
        <f>IF($R1208="","",IF(INDEX('입력_구리근무자명단'!$A1206:$ZZ1206,1,$E$2+3)&amp;""="",EOMONTH(급여기준월,0),IF(ISNUMBER(INDEX('입력_구리근무자명단'!$A1206:$ZZ1206,1,$E$2+3)),INDEX('입력_구리근무자명단'!$A1206:$ZZ1206,1,$E$2+3),IFERROR(DATE(VALUE(LEFT(INDEX('입력_구리근무자명단'!$A1206:$ZZ1206,1,$E$2+3),4)),VALUE(MID(INDEX('입력_구리근무자명단'!$A1206:$ZZ1206,1,$E$2+3),6,2)),VALUE(MID(INDEX('입력_구리근무자명단'!$A1206:$ZZ1206,1,$E$2+3),9,2))),-1))))</f>
        <v/>
      </c>
      <c r="U1208">
        <f>IF($R1208="","",IF(OR($S1208&lt;0,$T1208&lt;0),0,MAX(0,MIN($T1208,EOMONTH(급여기준월,0))-MAX($S1208,급여기준월)+1)))</f>
        <v/>
      </c>
      <c r="V1208">
        <f>IF($R1208="","",TRIM(INDEX('입력_구리근무자명단'!$A1206:$ZZ1206,1,$E$2+5)&amp;""))</f>
        <v/>
      </c>
      <c r="W1208">
        <f>IF(ISNUMBER(SEARCH("구리독자",$V1208)),"구리독자","")</f>
        <v/>
      </c>
      <c r="X1208">
        <f>IF($R1208="","",$R1208&amp;"|"&amp;IF(OR($Q1208="인턴",ISNUMBER(SEARCH("수련교육부",$P1208))),"인턴",$P1208))</f>
        <v/>
      </c>
      <c r="Y1208">
        <f>IF($R1208="","",IF(COUNTIF(명단표[이름|과],$X1208)=1,"명단 일치",IF(AND(COUNTIF(명단표[이름|과],$X1208)=0,COUNTIF(명단표[이름],$R1208)=1),"명단 일치(이름만, 과 다름)",IF(COUNTIF(명단표[이름],$R1208)=0,IF(COUNTIF(기본자료표[이름],$R1208)&gt;0,"명단에 없음(기본자료에는 있음)","명단에 없음"),"동명이인 확인"))))</f>
        <v/>
      </c>
      <c r="Z1208">
        <f>IF($R1208="","",IF($S1208&lt;0,"⚠"&amp;INDEX('입력_구리근무자명단'!$A1206:$ZZ1206,1,$E$2+2),TEXT($S1208,"yyyy-mm-dd")))</f>
        <v/>
      </c>
      <c r="AA1208">
        <f>IF($R1208="","",IF($T1208&lt;0,"⚠"&amp;INDEX('입력_구리근무자명단'!$A1206:$ZZ1206,1,$E$2+3),TEXT($T1208,"yyyy-mm-dd")))</f>
        <v/>
      </c>
      <c r="AB1208">
        <f>AB1207+IF($R1208="",0,1)</f>
        <v/>
      </c>
      <c r="AC1208">
        <f>IF($R1208="","",$AB1208)</f>
        <v/>
      </c>
    </row>
    <row r="1209">
      <c r="O1209">
        <f>1207</f>
        <v/>
      </c>
      <c r="P1209">
        <f>IF(TRIM('입력_구리근무자명단'!$A1207&amp;"")&lt;&gt;"",TRIM('입력_구리근무자명단'!$A1207&amp;""),P1208)</f>
        <v/>
      </c>
      <c r="Q1209">
        <f>'입력_구리근무자명단'!$B1207&amp;""</f>
        <v/>
      </c>
      <c r="R1209">
        <f>IF($E$2="","",TRIM(INDEX('입력_구리근무자명단'!$A1207:$ZZ1207,1,$E$2+IF($G$2="확정",1,0))&amp;""))</f>
        <v/>
      </c>
      <c r="S1209">
        <f>IF($R1209="","",IF(INDEX('입력_구리근무자명단'!$A1207:$ZZ1207,1,$E$2+2)&amp;""="",급여기준월,IF(ISNUMBER(INDEX('입력_구리근무자명단'!$A1207:$ZZ1207,1,$E$2+2)),INDEX('입력_구리근무자명단'!$A1207:$ZZ1207,1,$E$2+2),IFERROR(DATE(VALUE(LEFT(INDEX('입력_구리근무자명단'!$A1207:$ZZ1207,1,$E$2+2),4)),VALUE(MID(INDEX('입력_구리근무자명단'!$A1207:$ZZ1207,1,$E$2+2),6,2)),VALUE(MID(INDEX('입력_구리근무자명단'!$A1207:$ZZ1207,1,$E$2+2),9,2))),-1))))</f>
        <v/>
      </c>
      <c r="T1209">
        <f>IF($R1209="","",IF(INDEX('입력_구리근무자명단'!$A1207:$ZZ1207,1,$E$2+3)&amp;""="",EOMONTH(급여기준월,0),IF(ISNUMBER(INDEX('입력_구리근무자명단'!$A1207:$ZZ1207,1,$E$2+3)),INDEX('입력_구리근무자명단'!$A1207:$ZZ1207,1,$E$2+3),IFERROR(DATE(VALUE(LEFT(INDEX('입력_구리근무자명단'!$A1207:$ZZ1207,1,$E$2+3),4)),VALUE(MID(INDEX('입력_구리근무자명단'!$A1207:$ZZ1207,1,$E$2+3),6,2)),VALUE(MID(INDEX('입력_구리근무자명단'!$A1207:$ZZ1207,1,$E$2+3),9,2))),-1))))</f>
        <v/>
      </c>
      <c r="U1209">
        <f>IF($R1209="","",IF(OR($S1209&lt;0,$T1209&lt;0),0,MAX(0,MIN($T1209,EOMONTH(급여기준월,0))-MAX($S1209,급여기준월)+1)))</f>
        <v/>
      </c>
      <c r="V1209">
        <f>IF($R1209="","",TRIM(INDEX('입력_구리근무자명단'!$A1207:$ZZ1207,1,$E$2+5)&amp;""))</f>
        <v/>
      </c>
      <c r="W1209">
        <f>IF(ISNUMBER(SEARCH("구리독자",$V1209)),"구리독자","")</f>
        <v/>
      </c>
      <c r="X1209">
        <f>IF($R1209="","",$R1209&amp;"|"&amp;IF(OR($Q1209="인턴",ISNUMBER(SEARCH("수련교육부",$P1209))),"인턴",$P1209))</f>
        <v/>
      </c>
      <c r="Y1209">
        <f>IF($R1209="","",IF(COUNTIF(명단표[이름|과],$X1209)=1,"명단 일치",IF(AND(COUNTIF(명단표[이름|과],$X1209)=0,COUNTIF(명단표[이름],$R1209)=1),"명단 일치(이름만, 과 다름)",IF(COUNTIF(명단표[이름],$R1209)=0,IF(COUNTIF(기본자료표[이름],$R1209)&gt;0,"명단에 없음(기본자료에는 있음)","명단에 없음"),"동명이인 확인"))))</f>
        <v/>
      </c>
      <c r="Z1209">
        <f>IF($R1209="","",IF($S1209&lt;0,"⚠"&amp;INDEX('입력_구리근무자명단'!$A1207:$ZZ1207,1,$E$2+2),TEXT($S1209,"yyyy-mm-dd")))</f>
        <v/>
      </c>
      <c r="AA1209">
        <f>IF($R1209="","",IF($T1209&lt;0,"⚠"&amp;INDEX('입력_구리근무자명단'!$A1207:$ZZ1207,1,$E$2+3),TEXT($T1209,"yyyy-mm-dd")))</f>
        <v/>
      </c>
      <c r="AB1209">
        <f>AB1208+IF($R1209="",0,1)</f>
        <v/>
      </c>
      <c r="AC1209">
        <f>IF($R1209="","",$AB1209)</f>
        <v/>
      </c>
    </row>
    <row r="1210">
      <c r="O1210">
        <f>1208</f>
        <v/>
      </c>
      <c r="P1210">
        <f>IF(TRIM('입력_구리근무자명단'!$A1208&amp;"")&lt;&gt;"",TRIM('입력_구리근무자명단'!$A1208&amp;""),P1209)</f>
        <v/>
      </c>
      <c r="Q1210">
        <f>'입력_구리근무자명단'!$B1208&amp;""</f>
        <v/>
      </c>
      <c r="R1210">
        <f>IF($E$2="","",TRIM(INDEX('입력_구리근무자명단'!$A1208:$ZZ1208,1,$E$2+IF($G$2="확정",1,0))&amp;""))</f>
        <v/>
      </c>
      <c r="S1210">
        <f>IF($R1210="","",IF(INDEX('입력_구리근무자명단'!$A1208:$ZZ1208,1,$E$2+2)&amp;""="",급여기준월,IF(ISNUMBER(INDEX('입력_구리근무자명단'!$A1208:$ZZ1208,1,$E$2+2)),INDEX('입력_구리근무자명단'!$A1208:$ZZ1208,1,$E$2+2),IFERROR(DATE(VALUE(LEFT(INDEX('입력_구리근무자명단'!$A1208:$ZZ1208,1,$E$2+2),4)),VALUE(MID(INDEX('입력_구리근무자명단'!$A1208:$ZZ1208,1,$E$2+2),6,2)),VALUE(MID(INDEX('입력_구리근무자명단'!$A1208:$ZZ1208,1,$E$2+2),9,2))),-1))))</f>
        <v/>
      </c>
      <c r="T1210">
        <f>IF($R1210="","",IF(INDEX('입력_구리근무자명단'!$A1208:$ZZ1208,1,$E$2+3)&amp;""="",EOMONTH(급여기준월,0),IF(ISNUMBER(INDEX('입력_구리근무자명단'!$A1208:$ZZ1208,1,$E$2+3)),INDEX('입력_구리근무자명단'!$A1208:$ZZ1208,1,$E$2+3),IFERROR(DATE(VALUE(LEFT(INDEX('입력_구리근무자명단'!$A1208:$ZZ1208,1,$E$2+3),4)),VALUE(MID(INDEX('입력_구리근무자명단'!$A1208:$ZZ1208,1,$E$2+3),6,2)),VALUE(MID(INDEX('입력_구리근무자명단'!$A1208:$ZZ1208,1,$E$2+3),9,2))),-1))))</f>
        <v/>
      </c>
      <c r="U1210">
        <f>IF($R1210="","",IF(OR($S1210&lt;0,$T1210&lt;0),0,MAX(0,MIN($T1210,EOMONTH(급여기준월,0))-MAX($S1210,급여기준월)+1)))</f>
        <v/>
      </c>
      <c r="V1210">
        <f>IF($R1210="","",TRIM(INDEX('입력_구리근무자명단'!$A1208:$ZZ1208,1,$E$2+5)&amp;""))</f>
        <v/>
      </c>
      <c r="W1210">
        <f>IF(ISNUMBER(SEARCH("구리독자",$V1210)),"구리독자","")</f>
        <v/>
      </c>
      <c r="X1210">
        <f>IF($R1210="","",$R1210&amp;"|"&amp;IF(OR($Q1210="인턴",ISNUMBER(SEARCH("수련교육부",$P1210))),"인턴",$P1210))</f>
        <v/>
      </c>
      <c r="Y1210">
        <f>IF($R1210="","",IF(COUNTIF(명단표[이름|과],$X1210)=1,"명단 일치",IF(AND(COUNTIF(명단표[이름|과],$X1210)=0,COUNTIF(명단표[이름],$R1210)=1),"명단 일치(이름만, 과 다름)",IF(COUNTIF(명단표[이름],$R1210)=0,IF(COUNTIF(기본자료표[이름],$R1210)&gt;0,"명단에 없음(기본자료에는 있음)","명단에 없음"),"동명이인 확인"))))</f>
        <v/>
      </c>
      <c r="Z1210">
        <f>IF($R1210="","",IF($S1210&lt;0,"⚠"&amp;INDEX('입력_구리근무자명단'!$A1208:$ZZ1208,1,$E$2+2),TEXT($S1210,"yyyy-mm-dd")))</f>
        <v/>
      </c>
      <c r="AA1210">
        <f>IF($R1210="","",IF($T1210&lt;0,"⚠"&amp;INDEX('입력_구리근무자명단'!$A1208:$ZZ1208,1,$E$2+3),TEXT($T1210,"yyyy-mm-dd")))</f>
        <v/>
      </c>
      <c r="AB1210">
        <f>AB1209+IF($R1210="",0,1)</f>
        <v/>
      </c>
      <c r="AC1210">
        <f>IF($R1210="","",$AB1210)</f>
        <v/>
      </c>
    </row>
    <row r="1211">
      <c r="O1211">
        <f>1209</f>
        <v/>
      </c>
      <c r="P1211">
        <f>IF(TRIM('입력_구리근무자명단'!$A1209&amp;"")&lt;&gt;"",TRIM('입력_구리근무자명단'!$A1209&amp;""),P1210)</f>
        <v/>
      </c>
      <c r="Q1211">
        <f>'입력_구리근무자명단'!$B1209&amp;""</f>
        <v/>
      </c>
      <c r="R1211">
        <f>IF($E$2="","",TRIM(INDEX('입력_구리근무자명단'!$A1209:$ZZ1209,1,$E$2+IF($G$2="확정",1,0))&amp;""))</f>
        <v/>
      </c>
      <c r="S1211">
        <f>IF($R1211="","",IF(INDEX('입력_구리근무자명단'!$A1209:$ZZ1209,1,$E$2+2)&amp;""="",급여기준월,IF(ISNUMBER(INDEX('입력_구리근무자명단'!$A1209:$ZZ1209,1,$E$2+2)),INDEX('입력_구리근무자명단'!$A1209:$ZZ1209,1,$E$2+2),IFERROR(DATE(VALUE(LEFT(INDEX('입력_구리근무자명단'!$A1209:$ZZ1209,1,$E$2+2),4)),VALUE(MID(INDEX('입력_구리근무자명단'!$A1209:$ZZ1209,1,$E$2+2),6,2)),VALUE(MID(INDEX('입력_구리근무자명단'!$A1209:$ZZ1209,1,$E$2+2),9,2))),-1))))</f>
        <v/>
      </c>
      <c r="T1211">
        <f>IF($R1211="","",IF(INDEX('입력_구리근무자명단'!$A1209:$ZZ1209,1,$E$2+3)&amp;""="",EOMONTH(급여기준월,0),IF(ISNUMBER(INDEX('입력_구리근무자명단'!$A1209:$ZZ1209,1,$E$2+3)),INDEX('입력_구리근무자명단'!$A1209:$ZZ1209,1,$E$2+3),IFERROR(DATE(VALUE(LEFT(INDEX('입력_구리근무자명단'!$A1209:$ZZ1209,1,$E$2+3),4)),VALUE(MID(INDEX('입력_구리근무자명단'!$A1209:$ZZ1209,1,$E$2+3),6,2)),VALUE(MID(INDEX('입력_구리근무자명단'!$A1209:$ZZ1209,1,$E$2+3),9,2))),-1))))</f>
        <v/>
      </c>
      <c r="U1211">
        <f>IF($R1211="","",IF(OR($S1211&lt;0,$T1211&lt;0),0,MAX(0,MIN($T1211,EOMONTH(급여기준월,0))-MAX($S1211,급여기준월)+1)))</f>
        <v/>
      </c>
      <c r="V1211">
        <f>IF($R1211="","",TRIM(INDEX('입력_구리근무자명단'!$A1209:$ZZ1209,1,$E$2+5)&amp;""))</f>
        <v/>
      </c>
      <c r="W1211">
        <f>IF(ISNUMBER(SEARCH("구리독자",$V1211)),"구리독자","")</f>
        <v/>
      </c>
      <c r="X1211">
        <f>IF($R1211="","",$R1211&amp;"|"&amp;IF(OR($Q1211="인턴",ISNUMBER(SEARCH("수련교육부",$P1211))),"인턴",$P1211))</f>
        <v/>
      </c>
      <c r="Y1211">
        <f>IF($R1211="","",IF(COUNTIF(명단표[이름|과],$X1211)=1,"명단 일치",IF(AND(COUNTIF(명단표[이름|과],$X1211)=0,COUNTIF(명단표[이름],$R1211)=1),"명단 일치(이름만, 과 다름)",IF(COUNTIF(명단표[이름],$R1211)=0,IF(COUNTIF(기본자료표[이름],$R1211)&gt;0,"명단에 없음(기본자료에는 있음)","명단에 없음"),"동명이인 확인"))))</f>
        <v/>
      </c>
      <c r="Z1211">
        <f>IF($R1211="","",IF($S1211&lt;0,"⚠"&amp;INDEX('입력_구리근무자명단'!$A1209:$ZZ1209,1,$E$2+2),TEXT($S1211,"yyyy-mm-dd")))</f>
        <v/>
      </c>
      <c r="AA1211">
        <f>IF($R1211="","",IF($T1211&lt;0,"⚠"&amp;INDEX('입력_구리근무자명단'!$A1209:$ZZ1209,1,$E$2+3),TEXT($T1211,"yyyy-mm-dd")))</f>
        <v/>
      </c>
      <c r="AB1211">
        <f>AB1210+IF($R1211="",0,1)</f>
        <v/>
      </c>
      <c r="AC1211">
        <f>IF($R1211="","",$AB1211)</f>
        <v/>
      </c>
    </row>
    <row r="1212">
      <c r="O1212">
        <f>1210</f>
        <v/>
      </c>
      <c r="P1212">
        <f>IF(TRIM('입력_구리근무자명단'!$A1210&amp;"")&lt;&gt;"",TRIM('입력_구리근무자명단'!$A1210&amp;""),P1211)</f>
        <v/>
      </c>
      <c r="Q1212">
        <f>'입력_구리근무자명단'!$B1210&amp;""</f>
        <v/>
      </c>
      <c r="R1212">
        <f>IF($E$2="","",TRIM(INDEX('입력_구리근무자명단'!$A1210:$ZZ1210,1,$E$2+IF($G$2="확정",1,0))&amp;""))</f>
        <v/>
      </c>
      <c r="S1212">
        <f>IF($R1212="","",IF(INDEX('입력_구리근무자명단'!$A1210:$ZZ1210,1,$E$2+2)&amp;""="",급여기준월,IF(ISNUMBER(INDEX('입력_구리근무자명단'!$A1210:$ZZ1210,1,$E$2+2)),INDEX('입력_구리근무자명단'!$A1210:$ZZ1210,1,$E$2+2),IFERROR(DATE(VALUE(LEFT(INDEX('입력_구리근무자명단'!$A1210:$ZZ1210,1,$E$2+2),4)),VALUE(MID(INDEX('입력_구리근무자명단'!$A1210:$ZZ1210,1,$E$2+2),6,2)),VALUE(MID(INDEX('입력_구리근무자명단'!$A1210:$ZZ1210,1,$E$2+2),9,2))),-1))))</f>
        <v/>
      </c>
      <c r="T1212">
        <f>IF($R1212="","",IF(INDEX('입력_구리근무자명단'!$A1210:$ZZ1210,1,$E$2+3)&amp;""="",EOMONTH(급여기준월,0),IF(ISNUMBER(INDEX('입력_구리근무자명단'!$A1210:$ZZ1210,1,$E$2+3)),INDEX('입력_구리근무자명단'!$A1210:$ZZ1210,1,$E$2+3),IFERROR(DATE(VALUE(LEFT(INDEX('입력_구리근무자명단'!$A1210:$ZZ1210,1,$E$2+3),4)),VALUE(MID(INDEX('입력_구리근무자명단'!$A1210:$ZZ1210,1,$E$2+3),6,2)),VALUE(MID(INDEX('입력_구리근무자명단'!$A1210:$ZZ1210,1,$E$2+3),9,2))),-1))))</f>
        <v/>
      </c>
      <c r="U1212">
        <f>IF($R1212="","",IF(OR($S1212&lt;0,$T1212&lt;0),0,MAX(0,MIN($T1212,EOMONTH(급여기준월,0))-MAX($S1212,급여기준월)+1)))</f>
        <v/>
      </c>
      <c r="V1212">
        <f>IF($R1212="","",TRIM(INDEX('입력_구리근무자명단'!$A1210:$ZZ1210,1,$E$2+5)&amp;""))</f>
        <v/>
      </c>
      <c r="W1212">
        <f>IF(ISNUMBER(SEARCH("구리독자",$V1212)),"구리독자","")</f>
        <v/>
      </c>
      <c r="X1212">
        <f>IF($R1212="","",$R1212&amp;"|"&amp;IF(OR($Q1212="인턴",ISNUMBER(SEARCH("수련교육부",$P1212))),"인턴",$P1212))</f>
        <v/>
      </c>
      <c r="Y1212">
        <f>IF($R1212="","",IF(COUNTIF(명단표[이름|과],$X1212)=1,"명단 일치",IF(AND(COUNTIF(명단표[이름|과],$X1212)=0,COUNTIF(명단표[이름],$R1212)=1),"명단 일치(이름만, 과 다름)",IF(COUNTIF(명단표[이름],$R1212)=0,IF(COUNTIF(기본자료표[이름],$R1212)&gt;0,"명단에 없음(기본자료에는 있음)","명단에 없음"),"동명이인 확인"))))</f>
        <v/>
      </c>
      <c r="Z1212">
        <f>IF($R1212="","",IF($S1212&lt;0,"⚠"&amp;INDEX('입력_구리근무자명단'!$A1210:$ZZ1210,1,$E$2+2),TEXT($S1212,"yyyy-mm-dd")))</f>
        <v/>
      </c>
      <c r="AA1212">
        <f>IF($R1212="","",IF($T1212&lt;0,"⚠"&amp;INDEX('입력_구리근무자명단'!$A1210:$ZZ1210,1,$E$2+3),TEXT($T1212,"yyyy-mm-dd")))</f>
        <v/>
      </c>
      <c r="AB1212">
        <f>AB1211+IF($R1212="",0,1)</f>
        <v/>
      </c>
      <c r="AC1212">
        <f>IF($R1212="","",$AB1212)</f>
        <v/>
      </c>
    </row>
    <row r="1213">
      <c r="O1213">
        <f>1211</f>
        <v/>
      </c>
      <c r="P1213">
        <f>IF(TRIM('입력_구리근무자명단'!$A1211&amp;"")&lt;&gt;"",TRIM('입력_구리근무자명단'!$A1211&amp;""),P1212)</f>
        <v/>
      </c>
      <c r="Q1213">
        <f>'입력_구리근무자명단'!$B1211&amp;""</f>
        <v/>
      </c>
      <c r="R1213">
        <f>IF($E$2="","",TRIM(INDEX('입력_구리근무자명단'!$A1211:$ZZ1211,1,$E$2+IF($G$2="확정",1,0))&amp;""))</f>
        <v/>
      </c>
      <c r="S1213">
        <f>IF($R1213="","",IF(INDEX('입력_구리근무자명단'!$A1211:$ZZ1211,1,$E$2+2)&amp;""="",급여기준월,IF(ISNUMBER(INDEX('입력_구리근무자명단'!$A1211:$ZZ1211,1,$E$2+2)),INDEX('입력_구리근무자명단'!$A1211:$ZZ1211,1,$E$2+2),IFERROR(DATE(VALUE(LEFT(INDEX('입력_구리근무자명단'!$A1211:$ZZ1211,1,$E$2+2),4)),VALUE(MID(INDEX('입력_구리근무자명단'!$A1211:$ZZ1211,1,$E$2+2),6,2)),VALUE(MID(INDEX('입력_구리근무자명단'!$A1211:$ZZ1211,1,$E$2+2),9,2))),-1))))</f>
        <v/>
      </c>
      <c r="T1213">
        <f>IF($R1213="","",IF(INDEX('입력_구리근무자명단'!$A1211:$ZZ1211,1,$E$2+3)&amp;""="",EOMONTH(급여기준월,0),IF(ISNUMBER(INDEX('입력_구리근무자명단'!$A1211:$ZZ1211,1,$E$2+3)),INDEX('입력_구리근무자명단'!$A1211:$ZZ1211,1,$E$2+3),IFERROR(DATE(VALUE(LEFT(INDEX('입력_구리근무자명단'!$A1211:$ZZ1211,1,$E$2+3),4)),VALUE(MID(INDEX('입력_구리근무자명단'!$A1211:$ZZ1211,1,$E$2+3),6,2)),VALUE(MID(INDEX('입력_구리근무자명단'!$A1211:$ZZ1211,1,$E$2+3),9,2))),-1))))</f>
        <v/>
      </c>
      <c r="U1213">
        <f>IF($R1213="","",IF(OR($S1213&lt;0,$T1213&lt;0),0,MAX(0,MIN($T1213,EOMONTH(급여기준월,0))-MAX($S1213,급여기준월)+1)))</f>
        <v/>
      </c>
      <c r="V1213">
        <f>IF($R1213="","",TRIM(INDEX('입력_구리근무자명단'!$A1211:$ZZ1211,1,$E$2+5)&amp;""))</f>
        <v/>
      </c>
      <c r="W1213">
        <f>IF(ISNUMBER(SEARCH("구리독자",$V1213)),"구리독자","")</f>
        <v/>
      </c>
      <c r="X1213">
        <f>IF($R1213="","",$R1213&amp;"|"&amp;IF(OR($Q1213="인턴",ISNUMBER(SEARCH("수련교육부",$P1213))),"인턴",$P1213))</f>
        <v/>
      </c>
      <c r="Y1213">
        <f>IF($R1213="","",IF(COUNTIF(명단표[이름|과],$X1213)=1,"명단 일치",IF(AND(COUNTIF(명단표[이름|과],$X1213)=0,COUNTIF(명단표[이름],$R1213)=1),"명단 일치(이름만, 과 다름)",IF(COUNTIF(명단표[이름],$R1213)=0,IF(COUNTIF(기본자료표[이름],$R1213)&gt;0,"명단에 없음(기본자료에는 있음)","명단에 없음"),"동명이인 확인"))))</f>
        <v/>
      </c>
      <c r="Z1213">
        <f>IF($R1213="","",IF($S1213&lt;0,"⚠"&amp;INDEX('입력_구리근무자명단'!$A1211:$ZZ1211,1,$E$2+2),TEXT($S1213,"yyyy-mm-dd")))</f>
        <v/>
      </c>
      <c r="AA1213">
        <f>IF($R1213="","",IF($T1213&lt;0,"⚠"&amp;INDEX('입력_구리근무자명단'!$A1211:$ZZ1211,1,$E$2+3),TEXT($T1213,"yyyy-mm-dd")))</f>
        <v/>
      </c>
      <c r="AB1213">
        <f>AB1212+IF($R1213="",0,1)</f>
        <v/>
      </c>
      <c r="AC1213">
        <f>IF($R1213="","",$AB1213)</f>
        <v/>
      </c>
    </row>
    <row r="1214">
      <c r="O1214">
        <f>1212</f>
        <v/>
      </c>
      <c r="P1214">
        <f>IF(TRIM('입력_구리근무자명단'!$A1212&amp;"")&lt;&gt;"",TRIM('입력_구리근무자명단'!$A1212&amp;""),P1213)</f>
        <v/>
      </c>
      <c r="Q1214">
        <f>'입력_구리근무자명단'!$B1212&amp;""</f>
        <v/>
      </c>
      <c r="R1214">
        <f>IF($E$2="","",TRIM(INDEX('입력_구리근무자명단'!$A1212:$ZZ1212,1,$E$2+IF($G$2="확정",1,0))&amp;""))</f>
        <v/>
      </c>
      <c r="S1214">
        <f>IF($R1214="","",IF(INDEX('입력_구리근무자명단'!$A1212:$ZZ1212,1,$E$2+2)&amp;""="",급여기준월,IF(ISNUMBER(INDEX('입력_구리근무자명단'!$A1212:$ZZ1212,1,$E$2+2)),INDEX('입력_구리근무자명단'!$A1212:$ZZ1212,1,$E$2+2),IFERROR(DATE(VALUE(LEFT(INDEX('입력_구리근무자명단'!$A1212:$ZZ1212,1,$E$2+2),4)),VALUE(MID(INDEX('입력_구리근무자명단'!$A1212:$ZZ1212,1,$E$2+2),6,2)),VALUE(MID(INDEX('입력_구리근무자명단'!$A1212:$ZZ1212,1,$E$2+2),9,2))),-1))))</f>
        <v/>
      </c>
      <c r="T1214">
        <f>IF($R1214="","",IF(INDEX('입력_구리근무자명단'!$A1212:$ZZ1212,1,$E$2+3)&amp;""="",EOMONTH(급여기준월,0),IF(ISNUMBER(INDEX('입력_구리근무자명단'!$A1212:$ZZ1212,1,$E$2+3)),INDEX('입력_구리근무자명단'!$A1212:$ZZ1212,1,$E$2+3),IFERROR(DATE(VALUE(LEFT(INDEX('입력_구리근무자명단'!$A1212:$ZZ1212,1,$E$2+3),4)),VALUE(MID(INDEX('입력_구리근무자명단'!$A1212:$ZZ1212,1,$E$2+3),6,2)),VALUE(MID(INDEX('입력_구리근무자명단'!$A1212:$ZZ1212,1,$E$2+3),9,2))),-1))))</f>
        <v/>
      </c>
      <c r="U1214">
        <f>IF($R1214="","",IF(OR($S1214&lt;0,$T1214&lt;0),0,MAX(0,MIN($T1214,EOMONTH(급여기준월,0))-MAX($S1214,급여기준월)+1)))</f>
        <v/>
      </c>
      <c r="V1214">
        <f>IF($R1214="","",TRIM(INDEX('입력_구리근무자명단'!$A1212:$ZZ1212,1,$E$2+5)&amp;""))</f>
        <v/>
      </c>
      <c r="W1214">
        <f>IF(ISNUMBER(SEARCH("구리독자",$V1214)),"구리독자","")</f>
        <v/>
      </c>
      <c r="X1214">
        <f>IF($R1214="","",$R1214&amp;"|"&amp;IF(OR($Q1214="인턴",ISNUMBER(SEARCH("수련교육부",$P1214))),"인턴",$P1214))</f>
        <v/>
      </c>
      <c r="Y1214">
        <f>IF($R1214="","",IF(COUNTIF(명단표[이름|과],$X1214)=1,"명단 일치",IF(AND(COUNTIF(명단표[이름|과],$X1214)=0,COUNTIF(명단표[이름],$R1214)=1),"명단 일치(이름만, 과 다름)",IF(COUNTIF(명단표[이름],$R1214)=0,IF(COUNTIF(기본자료표[이름],$R1214)&gt;0,"명단에 없음(기본자료에는 있음)","명단에 없음"),"동명이인 확인"))))</f>
        <v/>
      </c>
      <c r="Z1214">
        <f>IF($R1214="","",IF($S1214&lt;0,"⚠"&amp;INDEX('입력_구리근무자명단'!$A1212:$ZZ1212,1,$E$2+2),TEXT($S1214,"yyyy-mm-dd")))</f>
        <v/>
      </c>
      <c r="AA1214">
        <f>IF($R1214="","",IF($T1214&lt;0,"⚠"&amp;INDEX('입력_구리근무자명단'!$A1212:$ZZ1212,1,$E$2+3),TEXT($T1214,"yyyy-mm-dd")))</f>
        <v/>
      </c>
      <c r="AB1214">
        <f>AB1213+IF($R1214="",0,1)</f>
        <v/>
      </c>
      <c r="AC1214">
        <f>IF($R1214="","",$AB1214)</f>
        <v/>
      </c>
    </row>
    <row r="1215">
      <c r="O1215">
        <f>1213</f>
        <v/>
      </c>
      <c r="P1215">
        <f>IF(TRIM('입력_구리근무자명단'!$A1213&amp;"")&lt;&gt;"",TRIM('입력_구리근무자명단'!$A1213&amp;""),P1214)</f>
        <v/>
      </c>
      <c r="Q1215">
        <f>'입력_구리근무자명단'!$B1213&amp;""</f>
        <v/>
      </c>
      <c r="R1215">
        <f>IF($E$2="","",TRIM(INDEX('입력_구리근무자명단'!$A1213:$ZZ1213,1,$E$2+IF($G$2="확정",1,0))&amp;""))</f>
        <v/>
      </c>
      <c r="S1215">
        <f>IF($R1215="","",IF(INDEX('입력_구리근무자명단'!$A1213:$ZZ1213,1,$E$2+2)&amp;""="",급여기준월,IF(ISNUMBER(INDEX('입력_구리근무자명단'!$A1213:$ZZ1213,1,$E$2+2)),INDEX('입력_구리근무자명단'!$A1213:$ZZ1213,1,$E$2+2),IFERROR(DATE(VALUE(LEFT(INDEX('입력_구리근무자명단'!$A1213:$ZZ1213,1,$E$2+2),4)),VALUE(MID(INDEX('입력_구리근무자명단'!$A1213:$ZZ1213,1,$E$2+2),6,2)),VALUE(MID(INDEX('입력_구리근무자명단'!$A1213:$ZZ1213,1,$E$2+2),9,2))),-1))))</f>
        <v/>
      </c>
      <c r="T1215">
        <f>IF($R1215="","",IF(INDEX('입력_구리근무자명단'!$A1213:$ZZ1213,1,$E$2+3)&amp;""="",EOMONTH(급여기준월,0),IF(ISNUMBER(INDEX('입력_구리근무자명단'!$A1213:$ZZ1213,1,$E$2+3)),INDEX('입력_구리근무자명단'!$A1213:$ZZ1213,1,$E$2+3),IFERROR(DATE(VALUE(LEFT(INDEX('입력_구리근무자명단'!$A1213:$ZZ1213,1,$E$2+3),4)),VALUE(MID(INDEX('입력_구리근무자명단'!$A1213:$ZZ1213,1,$E$2+3),6,2)),VALUE(MID(INDEX('입력_구리근무자명단'!$A1213:$ZZ1213,1,$E$2+3),9,2))),-1))))</f>
        <v/>
      </c>
      <c r="U1215">
        <f>IF($R1215="","",IF(OR($S1215&lt;0,$T1215&lt;0),0,MAX(0,MIN($T1215,EOMONTH(급여기준월,0))-MAX($S1215,급여기준월)+1)))</f>
        <v/>
      </c>
      <c r="V1215">
        <f>IF($R1215="","",TRIM(INDEX('입력_구리근무자명단'!$A1213:$ZZ1213,1,$E$2+5)&amp;""))</f>
        <v/>
      </c>
      <c r="W1215">
        <f>IF(ISNUMBER(SEARCH("구리독자",$V1215)),"구리독자","")</f>
        <v/>
      </c>
      <c r="X1215">
        <f>IF($R1215="","",$R1215&amp;"|"&amp;IF(OR($Q1215="인턴",ISNUMBER(SEARCH("수련교육부",$P1215))),"인턴",$P1215))</f>
        <v/>
      </c>
      <c r="Y1215">
        <f>IF($R1215="","",IF(COUNTIF(명단표[이름|과],$X1215)=1,"명단 일치",IF(AND(COUNTIF(명단표[이름|과],$X1215)=0,COUNTIF(명단표[이름],$R1215)=1),"명단 일치(이름만, 과 다름)",IF(COUNTIF(명단표[이름],$R1215)=0,IF(COUNTIF(기본자료표[이름],$R1215)&gt;0,"명단에 없음(기본자료에는 있음)","명단에 없음"),"동명이인 확인"))))</f>
        <v/>
      </c>
      <c r="Z1215">
        <f>IF($R1215="","",IF($S1215&lt;0,"⚠"&amp;INDEX('입력_구리근무자명단'!$A1213:$ZZ1213,1,$E$2+2),TEXT($S1215,"yyyy-mm-dd")))</f>
        <v/>
      </c>
      <c r="AA1215">
        <f>IF($R1215="","",IF($T1215&lt;0,"⚠"&amp;INDEX('입력_구리근무자명단'!$A1213:$ZZ1213,1,$E$2+3),TEXT($T1215,"yyyy-mm-dd")))</f>
        <v/>
      </c>
      <c r="AB1215">
        <f>AB1214+IF($R1215="",0,1)</f>
        <v/>
      </c>
      <c r="AC1215">
        <f>IF($R1215="","",$AB1215)</f>
        <v/>
      </c>
    </row>
    <row r="1216">
      <c r="O1216">
        <f>1214</f>
        <v/>
      </c>
      <c r="P1216">
        <f>IF(TRIM('입력_구리근무자명단'!$A1214&amp;"")&lt;&gt;"",TRIM('입력_구리근무자명단'!$A1214&amp;""),P1215)</f>
        <v/>
      </c>
      <c r="Q1216">
        <f>'입력_구리근무자명단'!$B1214&amp;""</f>
        <v/>
      </c>
      <c r="R1216">
        <f>IF($E$2="","",TRIM(INDEX('입력_구리근무자명단'!$A1214:$ZZ1214,1,$E$2+IF($G$2="확정",1,0))&amp;""))</f>
        <v/>
      </c>
      <c r="S1216">
        <f>IF($R1216="","",IF(INDEX('입력_구리근무자명단'!$A1214:$ZZ1214,1,$E$2+2)&amp;""="",급여기준월,IF(ISNUMBER(INDEX('입력_구리근무자명단'!$A1214:$ZZ1214,1,$E$2+2)),INDEX('입력_구리근무자명단'!$A1214:$ZZ1214,1,$E$2+2),IFERROR(DATE(VALUE(LEFT(INDEX('입력_구리근무자명단'!$A1214:$ZZ1214,1,$E$2+2),4)),VALUE(MID(INDEX('입력_구리근무자명단'!$A1214:$ZZ1214,1,$E$2+2),6,2)),VALUE(MID(INDEX('입력_구리근무자명단'!$A1214:$ZZ1214,1,$E$2+2),9,2))),-1))))</f>
        <v/>
      </c>
      <c r="T1216">
        <f>IF($R1216="","",IF(INDEX('입력_구리근무자명단'!$A1214:$ZZ1214,1,$E$2+3)&amp;""="",EOMONTH(급여기준월,0),IF(ISNUMBER(INDEX('입력_구리근무자명단'!$A1214:$ZZ1214,1,$E$2+3)),INDEX('입력_구리근무자명단'!$A1214:$ZZ1214,1,$E$2+3),IFERROR(DATE(VALUE(LEFT(INDEX('입력_구리근무자명단'!$A1214:$ZZ1214,1,$E$2+3),4)),VALUE(MID(INDEX('입력_구리근무자명단'!$A1214:$ZZ1214,1,$E$2+3),6,2)),VALUE(MID(INDEX('입력_구리근무자명단'!$A1214:$ZZ1214,1,$E$2+3),9,2))),-1))))</f>
        <v/>
      </c>
      <c r="U1216">
        <f>IF($R1216="","",IF(OR($S1216&lt;0,$T1216&lt;0),0,MAX(0,MIN($T1216,EOMONTH(급여기준월,0))-MAX($S1216,급여기준월)+1)))</f>
        <v/>
      </c>
      <c r="V1216">
        <f>IF($R1216="","",TRIM(INDEX('입력_구리근무자명단'!$A1214:$ZZ1214,1,$E$2+5)&amp;""))</f>
        <v/>
      </c>
      <c r="W1216">
        <f>IF(ISNUMBER(SEARCH("구리독자",$V1216)),"구리독자","")</f>
        <v/>
      </c>
      <c r="X1216">
        <f>IF($R1216="","",$R1216&amp;"|"&amp;IF(OR($Q1216="인턴",ISNUMBER(SEARCH("수련교육부",$P1216))),"인턴",$P1216))</f>
        <v/>
      </c>
      <c r="Y1216">
        <f>IF($R1216="","",IF(COUNTIF(명단표[이름|과],$X1216)=1,"명단 일치",IF(AND(COUNTIF(명단표[이름|과],$X1216)=0,COUNTIF(명단표[이름],$R1216)=1),"명단 일치(이름만, 과 다름)",IF(COUNTIF(명단표[이름],$R1216)=0,IF(COUNTIF(기본자료표[이름],$R1216)&gt;0,"명단에 없음(기본자료에는 있음)","명단에 없음"),"동명이인 확인"))))</f>
        <v/>
      </c>
      <c r="Z1216">
        <f>IF($R1216="","",IF($S1216&lt;0,"⚠"&amp;INDEX('입력_구리근무자명단'!$A1214:$ZZ1214,1,$E$2+2),TEXT($S1216,"yyyy-mm-dd")))</f>
        <v/>
      </c>
      <c r="AA1216">
        <f>IF($R1216="","",IF($T1216&lt;0,"⚠"&amp;INDEX('입력_구리근무자명단'!$A1214:$ZZ1214,1,$E$2+3),TEXT($T1216,"yyyy-mm-dd")))</f>
        <v/>
      </c>
      <c r="AB1216">
        <f>AB1215+IF($R1216="",0,1)</f>
        <v/>
      </c>
      <c r="AC1216">
        <f>IF($R1216="","",$AB1216)</f>
        <v/>
      </c>
    </row>
    <row r="1217">
      <c r="O1217">
        <f>1215</f>
        <v/>
      </c>
      <c r="P1217">
        <f>IF(TRIM('입력_구리근무자명단'!$A1215&amp;"")&lt;&gt;"",TRIM('입력_구리근무자명단'!$A1215&amp;""),P1216)</f>
        <v/>
      </c>
      <c r="Q1217">
        <f>'입력_구리근무자명단'!$B1215&amp;""</f>
        <v/>
      </c>
      <c r="R1217">
        <f>IF($E$2="","",TRIM(INDEX('입력_구리근무자명단'!$A1215:$ZZ1215,1,$E$2+IF($G$2="확정",1,0))&amp;""))</f>
        <v/>
      </c>
      <c r="S1217">
        <f>IF($R1217="","",IF(INDEX('입력_구리근무자명단'!$A1215:$ZZ1215,1,$E$2+2)&amp;""="",급여기준월,IF(ISNUMBER(INDEX('입력_구리근무자명단'!$A1215:$ZZ1215,1,$E$2+2)),INDEX('입력_구리근무자명단'!$A1215:$ZZ1215,1,$E$2+2),IFERROR(DATE(VALUE(LEFT(INDEX('입력_구리근무자명단'!$A1215:$ZZ1215,1,$E$2+2),4)),VALUE(MID(INDEX('입력_구리근무자명단'!$A1215:$ZZ1215,1,$E$2+2),6,2)),VALUE(MID(INDEX('입력_구리근무자명단'!$A1215:$ZZ1215,1,$E$2+2),9,2))),-1))))</f>
        <v/>
      </c>
      <c r="T1217">
        <f>IF($R1217="","",IF(INDEX('입력_구리근무자명단'!$A1215:$ZZ1215,1,$E$2+3)&amp;""="",EOMONTH(급여기준월,0),IF(ISNUMBER(INDEX('입력_구리근무자명단'!$A1215:$ZZ1215,1,$E$2+3)),INDEX('입력_구리근무자명단'!$A1215:$ZZ1215,1,$E$2+3),IFERROR(DATE(VALUE(LEFT(INDEX('입력_구리근무자명단'!$A1215:$ZZ1215,1,$E$2+3),4)),VALUE(MID(INDEX('입력_구리근무자명단'!$A1215:$ZZ1215,1,$E$2+3),6,2)),VALUE(MID(INDEX('입력_구리근무자명단'!$A1215:$ZZ1215,1,$E$2+3),9,2))),-1))))</f>
        <v/>
      </c>
      <c r="U1217">
        <f>IF($R1217="","",IF(OR($S1217&lt;0,$T1217&lt;0),0,MAX(0,MIN($T1217,EOMONTH(급여기준월,0))-MAX($S1217,급여기준월)+1)))</f>
        <v/>
      </c>
      <c r="V1217">
        <f>IF($R1217="","",TRIM(INDEX('입력_구리근무자명단'!$A1215:$ZZ1215,1,$E$2+5)&amp;""))</f>
        <v/>
      </c>
      <c r="W1217">
        <f>IF(ISNUMBER(SEARCH("구리독자",$V1217)),"구리독자","")</f>
        <v/>
      </c>
      <c r="X1217">
        <f>IF($R1217="","",$R1217&amp;"|"&amp;IF(OR($Q1217="인턴",ISNUMBER(SEARCH("수련교육부",$P1217))),"인턴",$P1217))</f>
        <v/>
      </c>
      <c r="Y1217">
        <f>IF($R1217="","",IF(COUNTIF(명단표[이름|과],$X1217)=1,"명단 일치",IF(AND(COUNTIF(명단표[이름|과],$X1217)=0,COUNTIF(명단표[이름],$R1217)=1),"명단 일치(이름만, 과 다름)",IF(COUNTIF(명단표[이름],$R1217)=0,IF(COUNTIF(기본자료표[이름],$R1217)&gt;0,"명단에 없음(기본자료에는 있음)","명단에 없음"),"동명이인 확인"))))</f>
        <v/>
      </c>
      <c r="Z1217">
        <f>IF($R1217="","",IF($S1217&lt;0,"⚠"&amp;INDEX('입력_구리근무자명단'!$A1215:$ZZ1215,1,$E$2+2),TEXT($S1217,"yyyy-mm-dd")))</f>
        <v/>
      </c>
      <c r="AA1217">
        <f>IF($R1217="","",IF($T1217&lt;0,"⚠"&amp;INDEX('입력_구리근무자명단'!$A1215:$ZZ1215,1,$E$2+3),TEXT($T1217,"yyyy-mm-dd")))</f>
        <v/>
      </c>
      <c r="AB1217">
        <f>AB1216+IF($R1217="",0,1)</f>
        <v/>
      </c>
      <c r="AC1217">
        <f>IF($R1217="","",$AB1217)</f>
        <v/>
      </c>
    </row>
    <row r="1218">
      <c r="O1218">
        <f>1216</f>
        <v/>
      </c>
      <c r="P1218">
        <f>IF(TRIM('입력_구리근무자명단'!$A1216&amp;"")&lt;&gt;"",TRIM('입력_구리근무자명단'!$A1216&amp;""),P1217)</f>
        <v/>
      </c>
      <c r="Q1218">
        <f>'입력_구리근무자명단'!$B1216&amp;""</f>
        <v/>
      </c>
      <c r="R1218">
        <f>IF($E$2="","",TRIM(INDEX('입력_구리근무자명단'!$A1216:$ZZ1216,1,$E$2+IF($G$2="확정",1,0))&amp;""))</f>
        <v/>
      </c>
      <c r="S1218">
        <f>IF($R1218="","",IF(INDEX('입력_구리근무자명단'!$A1216:$ZZ1216,1,$E$2+2)&amp;""="",급여기준월,IF(ISNUMBER(INDEX('입력_구리근무자명단'!$A1216:$ZZ1216,1,$E$2+2)),INDEX('입력_구리근무자명단'!$A1216:$ZZ1216,1,$E$2+2),IFERROR(DATE(VALUE(LEFT(INDEX('입력_구리근무자명단'!$A1216:$ZZ1216,1,$E$2+2),4)),VALUE(MID(INDEX('입력_구리근무자명단'!$A1216:$ZZ1216,1,$E$2+2),6,2)),VALUE(MID(INDEX('입력_구리근무자명단'!$A1216:$ZZ1216,1,$E$2+2),9,2))),-1))))</f>
        <v/>
      </c>
      <c r="T1218">
        <f>IF($R1218="","",IF(INDEX('입력_구리근무자명단'!$A1216:$ZZ1216,1,$E$2+3)&amp;""="",EOMONTH(급여기준월,0),IF(ISNUMBER(INDEX('입력_구리근무자명단'!$A1216:$ZZ1216,1,$E$2+3)),INDEX('입력_구리근무자명단'!$A1216:$ZZ1216,1,$E$2+3),IFERROR(DATE(VALUE(LEFT(INDEX('입력_구리근무자명단'!$A1216:$ZZ1216,1,$E$2+3),4)),VALUE(MID(INDEX('입력_구리근무자명단'!$A1216:$ZZ1216,1,$E$2+3),6,2)),VALUE(MID(INDEX('입력_구리근무자명단'!$A1216:$ZZ1216,1,$E$2+3),9,2))),-1))))</f>
        <v/>
      </c>
      <c r="U1218">
        <f>IF($R1218="","",IF(OR($S1218&lt;0,$T1218&lt;0),0,MAX(0,MIN($T1218,EOMONTH(급여기준월,0))-MAX($S1218,급여기준월)+1)))</f>
        <v/>
      </c>
      <c r="V1218">
        <f>IF($R1218="","",TRIM(INDEX('입력_구리근무자명단'!$A1216:$ZZ1216,1,$E$2+5)&amp;""))</f>
        <v/>
      </c>
      <c r="W1218">
        <f>IF(ISNUMBER(SEARCH("구리독자",$V1218)),"구리독자","")</f>
        <v/>
      </c>
      <c r="X1218">
        <f>IF($R1218="","",$R1218&amp;"|"&amp;IF(OR($Q1218="인턴",ISNUMBER(SEARCH("수련교육부",$P1218))),"인턴",$P1218))</f>
        <v/>
      </c>
      <c r="Y1218">
        <f>IF($R1218="","",IF(COUNTIF(명단표[이름|과],$X1218)=1,"명단 일치",IF(AND(COUNTIF(명단표[이름|과],$X1218)=0,COUNTIF(명단표[이름],$R1218)=1),"명단 일치(이름만, 과 다름)",IF(COUNTIF(명단표[이름],$R1218)=0,IF(COUNTIF(기본자료표[이름],$R1218)&gt;0,"명단에 없음(기본자료에는 있음)","명단에 없음"),"동명이인 확인"))))</f>
        <v/>
      </c>
      <c r="Z1218">
        <f>IF($R1218="","",IF($S1218&lt;0,"⚠"&amp;INDEX('입력_구리근무자명단'!$A1216:$ZZ1216,1,$E$2+2),TEXT($S1218,"yyyy-mm-dd")))</f>
        <v/>
      </c>
      <c r="AA1218">
        <f>IF($R1218="","",IF($T1218&lt;0,"⚠"&amp;INDEX('입력_구리근무자명단'!$A1216:$ZZ1216,1,$E$2+3),TEXT($T1218,"yyyy-mm-dd")))</f>
        <v/>
      </c>
      <c r="AB1218">
        <f>AB1217+IF($R1218="",0,1)</f>
        <v/>
      </c>
      <c r="AC1218">
        <f>IF($R1218="","",$AB1218)</f>
        <v/>
      </c>
    </row>
    <row r="1219">
      <c r="O1219">
        <f>1217</f>
        <v/>
      </c>
      <c r="P1219">
        <f>IF(TRIM('입력_구리근무자명단'!$A1217&amp;"")&lt;&gt;"",TRIM('입력_구리근무자명단'!$A1217&amp;""),P1218)</f>
        <v/>
      </c>
      <c r="Q1219">
        <f>'입력_구리근무자명단'!$B1217&amp;""</f>
        <v/>
      </c>
      <c r="R1219">
        <f>IF($E$2="","",TRIM(INDEX('입력_구리근무자명단'!$A1217:$ZZ1217,1,$E$2+IF($G$2="확정",1,0))&amp;""))</f>
        <v/>
      </c>
      <c r="S1219">
        <f>IF($R1219="","",IF(INDEX('입력_구리근무자명단'!$A1217:$ZZ1217,1,$E$2+2)&amp;""="",급여기준월,IF(ISNUMBER(INDEX('입력_구리근무자명단'!$A1217:$ZZ1217,1,$E$2+2)),INDEX('입력_구리근무자명단'!$A1217:$ZZ1217,1,$E$2+2),IFERROR(DATE(VALUE(LEFT(INDEX('입력_구리근무자명단'!$A1217:$ZZ1217,1,$E$2+2),4)),VALUE(MID(INDEX('입력_구리근무자명단'!$A1217:$ZZ1217,1,$E$2+2),6,2)),VALUE(MID(INDEX('입력_구리근무자명단'!$A1217:$ZZ1217,1,$E$2+2),9,2))),-1))))</f>
        <v/>
      </c>
      <c r="T1219">
        <f>IF($R1219="","",IF(INDEX('입력_구리근무자명단'!$A1217:$ZZ1217,1,$E$2+3)&amp;""="",EOMONTH(급여기준월,0),IF(ISNUMBER(INDEX('입력_구리근무자명단'!$A1217:$ZZ1217,1,$E$2+3)),INDEX('입력_구리근무자명단'!$A1217:$ZZ1217,1,$E$2+3),IFERROR(DATE(VALUE(LEFT(INDEX('입력_구리근무자명단'!$A1217:$ZZ1217,1,$E$2+3),4)),VALUE(MID(INDEX('입력_구리근무자명단'!$A1217:$ZZ1217,1,$E$2+3),6,2)),VALUE(MID(INDEX('입력_구리근무자명단'!$A1217:$ZZ1217,1,$E$2+3),9,2))),-1))))</f>
        <v/>
      </c>
      <c r="U1219">
        <f>IF($R1219="","",IF(OR($S1219&lt;0,$T1219&lt;0),0,MAX(0,MIN($T1219,EOMONTH(급여기준월,0))-MAX($S1219,급여기준월)+1)))</f>
        <v/>
      </c>
      <c r="V1219">
        <f>IF($R1219="","",TRIM(INDEX('입력_구리근무자명단'!$A1217:$ZZ1217,1,$E$2+5)&amp;""))</f>
        <v/>
      </c>
      <c r="W1219">
        <f>IF(ISNUMBER(SEARCH("구리독자",$V1219)),"구리독자","")</f>
        <v/>
      </c>
      <c r="X1219">
        <f>IF($R1219="","",$R1219&amp;"|"&amp;IF(OR($Q1219="인턴",ISNUMBER(SEARCH("수련교육부",$P1219))),"인턴",$P1219))</f>
        <v/>
      </c>
      <c r="Y1219">
        <f>IF($R1219="","",IF(COUNTIF(명단표[이름|과],$X1219)=1,"명단 일치",IF(AND(COUNTIF(명단표[이름|과],$X1219)=0,COUNTIF(명단표[이름],$R1219)=1),"명단 일치(이름만, 과 다름)",IF(COUNTIF(명단표[이름],$R1219)=0,IF(COUNTIF(기본자료표[이름],$R1219)&gt;0,"명단에 없음(기본자료에는 있음)","명단에 없음"),"동명이인 확인"))))</f>
        <v/>
      </c>
      <c r="Z1219">
        <f>IF($R1219="","",IF($S1219&lt;0,"⚠"&amp;INDEX('입력_구리근무자명단'!$A1217:$ZZ1217,1,$E$2+2),TEXT($S1219,"yyyy-mm-dd")))</f>
        <v/>
      </c>
      <c r="AA1219">
        <f>IF($R1219="","",IF($T1219&lt;0,"⚠"&amp;INDEX('입력_구리근무자명단'!$A1217:$ZZ1217,1,$E$2+3),TEXT($T1219,"yyyy-mm-dd")))</f>
        <v/>
      </c>
      <c r="AB1219">
        <f>AB1218+IF($R1219="",0,1)</f>
        <v/>
      </c>
      <c r="AC1219">
        <f>IF($R1219="","",$AB1219)</f>
        <v/>
      </c>
    </row>
    <row r="1220">
      <c r="O1220">
        <f>1218</f>
        <v/>
      </c>
      <c r="P1220">
        <f>IF(TRIM('입력_구리근무자명단'!$A1218&amp;"")&lt;&gt;"",TRIM('입력_구리근무자명단'!$A1218&amp;""),P1219)</f>
        <v/>
      </c>
      <c r="Q1220">
        <f>'입력_구리근무자명단'!$B1218&amp;""</f>
        <v/>
      </c>
      <c r="R1220">
        <f>IF($E$2="","",TRIM(INDEX('입력_구리근무자명단'!$A1218:$ZZ1218,1,$E$2+IF($G$2="확정",1,0))&amp;""))</f>
        <v/>
      </c>
      <c r="S1220">
        <f>IF($R1220="","",IF(INDEX('입력_구리근무자명단'!$A1218:$ZZ1218,1,$E$2+2)&amp;""="",급여기준월,IF(ISNUMBER(INDEX('입력_구리근무자명단'!$A1218:$ZZ1218,1,$E$2+2)),INDEX('입력_구리근무자명단'!$A1218:$ZZ1218,1,$E$2+2),IFERROR(DATE(VALUE(LEFT(INDEX('입력_구리근무자명단'!$A1218:$ZZ1218,1,$E$2+2),4)),VALUE(MID(INDEX('입력_구리근무자명단'!$A1218:$ZZ1218,1,$E$2+2),6,2)),VALUE(MID(INDEX('입력_구리근무자명단'!$A1218:$ZZ1218,1,$E$2+2),9,2))),-1))))</f>
        <v/>
      </c>
      <c r="T1220">
        <f>IF($R1220="","",IF(INDEX('입력_구리근무자명단'!$A1218:$ZZ1218,1,$E$2+3)&amp;""="",EOMONTH(급여기준월,0),IF(ISNUMBER(INDEX('입력_구리근무자명단'!$A1218:$ZZ1218,1,$E$2+3)),INDEX('입력_구리근무자명단'!$A1218:$ZZ1218,1,$E$2+3),IFERROR(DATE(VALUE(LEFT(INDEX('입력_구리근무자명단'!$A1218:$ZZ1218,1,$E$2+3),4)),VALUE(MID(INDEX('입력_구리근무자명단'!$A1218:$ZZ1218,1,$E$2+3),6,2)),VALUE(MID(INDEX('입력_구리근무자명단'!$A1218:$ZZ1218,1,$E$2+3),9,2))),-1))))</f>
        <v/>
      </c>
      <c r="U1220">
        <f>IF($R1220="","",IF(OR($S1220&lt;0,$T1220&lt;0),0,MAX(0,MIN($T1220,EOMONTH(급여기준월,0))-MAX($S1220,급여기준월)+1)))</f>
        <v/>
      </c>
      <c r="V1220">
        <f>IF($R1220="","",TRIM(INDEX('입력_구리근무자명단'!$A1218:$ZZ1218,1,$E$2+5)&amp;""))</f>
        <v/>
      </c>
      <c r="W1220">
        <f>IF(ISNUMBER(SEARCH("구리독자",$V1220)),"구리독자","")</f>
        <v/>
      </c>
      <c r="X1220">
        <f>IF($R1220="","",$R1220&amp;"|"&amp;IF(OR($Q1220="인턴",ISNUMBER(SEARCH("수련교육부",$P1220))),"인턴",$P1220))</f>
        <v/>
      </c>
      <c r="Y1220">
        <f>IF($R1220="","",IF(COUNTIF(명단표[이름|과],$X1220)=1,"명단 일치",IF(AND(COUNTIF(명단표[이름|과],$X1220)=0,COUNTIF(명단표[이름],$R1220)=1),"명단 일치(이름만, 과 다름)",IF(COUNTIF(명단표[이름],$R1220)=0,IF(COUNTIF(기본자료표[이름],$R1220)&gt;0,"명단에 없음(기본자료에는 있음)","명단에 없음"),"동명이인 확인"))))</f>
        <v/>
      </c>
      <c r="Z1220">
        <f>IF($R1220="","",IF($S1220&lt;0,"⚠"&amp;INDEX('입력_구리근무자명단'!$A1218:$ZZ1218,1,$E$2+2),TEXT($S1220,"yyyy-mm-dd")))</f>
        <v/>
      </c>
      <c r="AA1220">
        <f>IF($R1220="","",IF($T1220&lt;0,"⚠"&amp;INDEX('입력_구리근무자명단'!$A1218:$ZZ1218,1,$E$2+3),TEXT($T1220,"yyyy-mm-dd")))</f>
        <v/>
      </c>
      <c r="AB1220">
        <f>AB1219+IF($R1220="",0,1)</f>
        <v/>
      </c>
      <c r="AC1220">
        <f>IF($R1220="","",$AB1220)</f>
        <v/>
      </c>
    </row>
    <row r="1221">
      <c r="O1221">
        <f>1219</f>
        <v/>
      </c>
      <c r="P1221">
        <f>IF(TRIM('입력_구리근무자명단'!$A1219&amp;"")&lt;&gt;"",TRIM('입력_구리근무자명단'!$A1219&amp;""),P1220)</f>
        <v/>
      </c>
      <c r="Q1221">
        <f>'입력_구리근무자명단'!$B1219&amp;""</f>
        <v/>
      </c>
      <c r="R1221">
        <f>IF($E$2="","",TRIM(INDEX('입력_구리근무자명단'!$A1219:$ZZ1219,1,$E$2+IF($G$2="확정",1,0))&amp;""))</f>
        <v/>
      </c>
      <c r="S1221">
        <f>IF($R1221="","",IF(INDEX('입력_구리근무자명단'!$A1219:$ZZ1219,1,$E$2+2)&amp;""="",급여기준월,IF(ISNUMBER(INDEX('입력_구리근무자명단'!$A1219:$ZZ1219,1,$E$2+2)),INDEX('입력_구리근무자명단'!$A1219:$ZZ1219,1,$E$2+2),IFERROR(DATE(VALUE(LEFT(INDEX('입력_구리근무자명단'!$A1219:$ZZ1219,1,$E$2+2),4)),VALUE(MID(INDEX('입력_구리근무자명단'!$A1219:$ZZ1219,1,$E$2+2),6,2)),VALUE(MID(INDEX('입력_구리근무자명단'!$A1219:$ZZ1219,1,$E$2+2),9,2))),-1))))</f>
        <v/>
      </c>
      <c r="T1221">
        <f>IF($R1221="","",IF(INDEX('입력_구리근무자명단'!$A1219:$ZZ1219,1,$E$2+3)&amp;""="",EOMONTH(급여기준월,0),IF(ISNUMBER(INDEX('입력_구리근무자명단'!$A1219:$ZZ1219,1,$E$2+3)),INDEX('입력_구리근무자명단'!$A1219:$ZZ1219,1,$E$2+3),IFERROR(DATE(VALUE(LEFT(INDEX('입력_구리근무자명단'!$A1219:$ZZ1219,1,$E$2+3),4)),VALUE(MID(INDEX('입력_구리근무자명단'!$A1219:$ZZ1219,1,$E$2+3),6,2)),VALUE(MID(INDEX('입력_구리근무자명단'!$A1219:$ZZ1219,1,$E$2+3),9,2))),-1))))</f>
        <v/>
      </c>
      <c r="U1221">
        <f>IF($R1221="","",IF(OR($S1221&lt;0,$T1221&lt;0),0,MAX(0,MIN($T1221,EOMONTH(급여기준월,0))-MAX($S1221,급여기준월)+1)))</f>
        <v/>
      </c>
      <c r="V1221">
        <f>IF($R1221="","",TRIM(INDEX('입력_구리근무자명단'!$A1219:$ZZ1219,1,$E$2+5)&amp;""))</f>
        <v/>
      </c>
      <c r="W1221">
        <f>IF(ISNUMBER(SEARCH("구리독자",$V1221)),"구리독자","")</f>
        <v/>
      </c>
      <c r="X1221">
        <f>IF($R1221="","",$R1221&amp;"|"&amp;IF(OR($Q1221="인턴",ISNUMBER(SEARCH("수련교육부",$P1221))),"인턴",$P1221))</f>
        <v/>
      </c>
      <c r="Y1221">
        <f>IF($R1221="","",IF(COUNTIF(명단표[이름|과],$X1221)=1,"명단 일치",IF(AND(COUNTIF(명단표[이름|과],$X1221)=0,COUNTIF(명단표[이름],$R1221)=1),"명단 일치(이름만, 과 다름)",IF(COUNTIF(명단표[이름],$R1221)=0,IF(COUNTIF(기본자료표[이름],$R1221)&gt;0,"명단에 없음(기본자료에는 있음)","명단에 없음"),"동명이인 확인"))))</f>
        <v/>
      </c>
      <c r="Z1221">
        <f>IF($R1221="","",IF($S1221&lt;0,"⚠"&amp;INDEX('입력_구리근무자명단'!$A1219:$ZZ1219,1,$E$2+2),TEXT($S1221,"yyyy-mm-dd")))</f>
        <v/>
      </c>
      <c r="AA1221">
        <f>IF($R1221="","",IF($T1221&lt;0,"⚠"&amp;INDEX('입력_구리근무자명단'!$A1219:$ZZ1219,1,$E$2+3),TEXT($T1221,"yyyy-mm-dd")))</f>
        <v/>
      </c>
      <c r="AB1221">
        <f>AB1220+IF($R1221="",0,1)</f>
        <v/>
      </c>
      <c r="AC1221">
        <f>IF($R1221="","",$AB1221)</f>
        <v/>
      </c>
    </row>
    <row r="1222">
      <c r="O1222">
        <f>1220</f>
        <v/>
      </c>
      <c r="P1222">
        <f>IF(TRIM('입력_구리근무자명단'!$A1220&amp;"")&lt;&gt;"",TRIM('입력_구리근무자명단'!$A1220&amp;""),P1221)</f>
        <v/>
      </c>
      <c r="Q1222">
        <f>'입력_구리근무자명단'!$B1220&amp;""</f>
        <v/>
      </c>
      <c r="R1222">
        <f>IF($E$2="","",TRIM(INDEX('입력_구리근무자명단'!$A1220:$ZZ1220,1,$E$2+IF($G$2="확정",1,0))&amp;""))</f>
        <v/>
      </c>
      <c r="S1222">
        <f>IF($R1222="","",IF(INDEX('입력_구리근무자명단'!$A1220:$ZZ1220,1,$E$2+2)&amp;""="",급여기준월,IF(ISNUMBER(INDEX('입력_구리근무자명단'!$A1220:$ZZ1220,1,$E$2+2)),INDEX('입력_구리근무자명단'!$A1220:$ZZ1220,1,$E$2+2),IFERROR(DATE(VALUE(LEFT(INDEX('입력_구리근무자명단'!$A1220:$ZZ1220,1,$E$2+2),4)),VALUE(MID(INDEX('입력_구리근무자명단'!$A1220:$ZZ1220,1,$E$2+2),6,2)),VALUE(MID(INDEX('입력_구리근무자명단'!$A1220:$ZZ1220,1,$E$2+2),9,2))),-1))))</f>
        <v/>
      </c>
      <c r="T1222">
        <f>IF($R1222="","",IF(INDEX('입력_구리근무자명단'!$A1220:$ZZ1220,1,$E$2+3)&amp;""="",EOMONTH(급여기준월,0),IF(ISNUMBER(INDEX('입력_구리근무자명단'!$A1220:$ZZ1220,1,$E$2+3)),INDEX('입력_구리근무자명단'!$A1220:$ZZ1220,1,$E$2+3),IFERROR(DATE(VALUE(LEFT(INDEX('입력_구리근무자명단'!$A1220:$ZZ1220,1,$E$2+3),4)),VALUE(MID(INDEX('입력_구리근무자명단'!$A1220:$ZZ1220,1,$E$2+3),6,2)),VALUE(MID(INDEX('입력_구리근무자명단'!$A1220:$ZZ1220,1,$E$2+3),9,2))),-1))))</f>
        <v/>
      </c>
      <c r="U1222">
        <f>IF($R1222="","",IF(OR($S1222&lt;0,$T1222&lt;0),0,MAX(0,MIN($T1222,EOMONTH(급여기준월,0))-MAX($S1222,급여기준월)+1)))</f>
        <v/>
      </c>
      <c r="V1222">
        <f>IF($R1222="","",TRIM(INDEX('입력_구리근무자명단'!$A1220:$ZZ1220,1,$E$2+5)&amp;""))</f>
        <v/>
      </c>
      <c r="W1222">
        <f>IF(ISNUMBER(SEARCH("구리독자",$V1222)),"구리독자","")</f>
        <v/>
      </c>
      <c r="X1222">
        <f>IF($R1222="","",$R1222&amp;"|"&amp;IF(OR($Q1222="인턴",ISNUMBER(SEARCH("수련교육부",$P1222))),"인턴",$P1222))</f>
        <v/>
      </c>
      <c r="Y1222">
        <f>IF($R1222="","",IF(COUNTIF(명단표[이름|과],$X1222)=1,"명단 일치",IF(AND(COUNTIF(명단표[이름|과],$X1222)=0,COUNTIF(명단표[이름],$R1222)=1),"명단 일치(이름만, 과 다름)",IF(COUNTIF(명단표[이름],$R1222)=0,IF(COUNTIF(기본자료표[이름],$R1222)&gt;0,"명단에 없음(기본자료에는 있음)","명단에 없음"),"동명이인 확인"))))</f>
        <v/>
      </c>
      <c r="Z1222">
        <f>IF($R1222="","",IF($S1222&lt;0,"⚠"&amp;INDEX('입력_구리근무자명단'!$A1220:$ZZ1220,1,$E$2+2),TEXT($S1222,"yyyy-mm-dd")))</f>
        <v/>
      </c>
      <c r="AA1222">
        <f>IF($R1222="","",IF($T1222&lt;0,"⚠"&amp;INDEX('입력_구리근무자명단'!$A1220:$ZZ1220,1,$E$2+3),TEXT($T1222,"yyyy-mm-dd")))</f>
        <v/>
      </c>
      <c r="AB1222">
        <f>AB1221+IF($R1222="",0,1)</f>
        <v/>
      </c>
      <c r="AC1222">
        <f>IF($R1222="","",$AB1222)</f>
        <v/>
      </c>
    </row>
    <row r="1223">
      <c r="O1223">
        <f>1221</f>
        <v/>
      </c>
      <c r="P1223">
        <f>IF(TRIM('입력_구리근무자명단'!$A1221&amp;"")&lt;&gt;"",TRIM('입력_구리근무자명단'!$A1221&amp;""),P1222)</f>
        <v/>
      </c>
      <c r="Q1223">
        <f>'입력_구리근무자명단'!$B1221&amp;""</f>
        <v/>
      </c>
      <c r="R1223">
        <f>IF($E$2="","",TRIM(INDEX('입력_구리근무자명단'!$A1221:$ZZ1221,1,$E$2+IF($G$2="확정",1,0))&amp;""))</f>
        <v/>
      </c>
      <c r="S1223">
        <f>IF($R1223="","",IF(INDEX('입력_구리근무자명단'!$A1221:$ZZ1221,1,$E$2+2)&amp;""="",급여기준월,IF(ISNUMBER(INDEX('입력_구리근무자명단'!$A1221:$ZZ1221,1,$E$2+2)),INDEX('입력_구리근무자명단'!$A1221:$ZZ1221,1,$E$2+2),IFERROR(DATE(VALUE(LEFT(INDEX('입력_구리근무자명단'!$A1221:$ZZ1221,1,$E$2+2),4)),VALUE(MID(INDEX('입력_구리근무자명단'!$A1221:$ZZ1221,1,$E$2+2),6,2)),VALUE(MID(INDEX('입력_구리근무자명단'!$A1221:$ZZ1221,1,$E$2+2),9,2))),-1))))</f>
        <v/>
      </c>
      <c r="T1223">
        <f>IF($R1223="","",IF(INDEX('입력_구리근무자명단'!$A1221:$ZZ1221,1,$E$2+3)&amp;""="",EOMONTH(급여기준월,0),IF(ISNUMBER(INDEX('입력_구리근무자명단'!$A1221:$ZZ1221,1,$E$2+3)),INDEX('입력_구리근무자명단'!$A1221:$ZZ1221,1,$E$2+3),IFERROR(DATE(VALUE(LEFT(INDEX('입력_구리근무자명단'!$A1221:$ZZ1221,1,$E$2+3),4)),VALUE(MID(INDEX('입력_구리근무자명단'!$A1221:$ZZ1221,1,$E$2+3),6,2)),VALUE(MID(INDEX('입력_구리근무자명단'!$A1221:$ZZ1221,1,$E$2+3),9,2))),-1))))</f>
        <v/>
      </c>
      <c r="U1223">
        <f>IF($R1223="","",IF(OR($S1223&lt;0,$T1223&lt;0),0,MAX(0,MIN($T1223,EOMONTH(급여기준월,0))-MAX($S1223,급여기준월)+1)))</f>
        <v/>
      </c>
      <c r="V1223">
        <f>IF($R1223="","",TRIM(INDEX('입력_구리근무자명단'!$A1221:$ZZ1221,1,$E$2+5)&amp;""))</f>
        <v/>
      </c>
      <c r="W1223">
        <f>IF(ISNUMBER(SEARCH("구리독자",$V1223)),"구리독자","")</f>
        <v/>
      </c>
      <c r="X1223">
        <f>IF($R1223="","",$R1223&amp;"|"&amp;IF(OR($Q1223="인턴",ISNUMBER(SEARCH("수련교육부",$P1223))),"인턴",$P1223))</f>
        <v/>
      </c>
      <c r="Y1223">
        <f>IF($R1223="","",IF(COUNTIF(명단표[이름|과],$X1223)=1,"명단 일치",IF(AND(COUNTIF(명단표[이름|과],$X1223)=0,COUNTIF(명단표[이름],$R1223)=1),"명단 일치(이름만, 과 다름)",IF(COUNTIF(명단표[이름],$R1223)=0,IF(COUNTIF(기본자료표[이름],$R1223)&gt;0,"명단에 없음(기본자료에는 있음)","명단에 없음"),"동명이인 확인"))))</f>
        <v/>
      </c>
      <c r="Z1223">
        <f>IF($R1223="","",IF($S1223&lt;0,"⚠"&amp;INDEX('입력_구리근무자명단'!$A1221:$ZZ1221,1,$E$2+2),TEXT($S1223,"yyyy-mm-dd")))</f>
        <v/>
      </c>
      <c r="AA1223">
        <f>IF($R1223="","",IF($T1223&lt;0,"⚠"&amp;INDEX('입력_구리근무자명단'!$A1221:$ZZ1221,1,$E$2+3),TEXT($T1223,"yyyy-mm-dd")))</f>
        <v/>
      </c>
      <c r="AB1223">
        <f>AB1222+IF($R1223="",0,1)</f>
        <v/>
      </c>
      <c r="AC1223">
        <f>IF($R1223="","",$AB1223)</f>
        <v/>
      </c>
    </row>
    <row r="1224">
      <c r="O1224">
        <f>1222</f>
        <v/>
      </c>
      <c r="P1224">
        <f>IF(TRIM('입력_구리근무자명단'!$A1222&amp;"")&lt;&gt;"",TRIM('입력_구리근무자명단'!$A1222&amp;""),P1223)</f>
        <v/>
      </c>
      <c r="Q1224">
        <f>'입력_구리근무자명단'!$B1222&amp;""</f>
        <v/>
      </c>
      <c r="R1224">
        <f>IF($E$2="","",TRIM(INDEX('입력_구리근무자명단'!$A1222:$ZZ1222,1,$E$2+IF($G$2="확정",1,0))&amp;""))</f>
        <v/>
      </c>
      <c r="S1224">
        <f>IF($R1224="","",IF(INDEX('입력_구리근무자명단'!$A1222:$ZZ1222,1,$E$2+2)&amp;""="",급여기준월,IF(ISNUMBER(INDEX('입력_구리근무자명단'!$A1222:$ZZ1222,1,$E$2+2)),INDEX('입력_구리근무자명단'!$A1222:$ZZ1222,1,$E$2+2),IFERROR(DATE(VALUE(LEFT(INDEX('입력_구리근무자명단'!$A1222:$ZZ1222,1,$E$2+2),4)),VALUE(MID(INDEX('입력_구리근무자명단'!$A1222:$ZZ1222,1,$E$2+2),6,2)),VALUE(MID(INDEX('입력_구리근무자명단'!$A1222:$ZZ1222,1,$E$2+2),9,2))),-1))))</f>
        <v/>
      </c>
      <c r="T1224">
        <f>IF($R1224="","",IF(INDEX('입력_구리근무자명단'!$A1222:$ZZ1222,1,$E$2+3)&amp;""="",EOMONTH(급여기준월,0),IF(ISNUMBER(INDEX('입력_구리근무자명단'!$A1222:$ZZ1222,1,$E$2+3)),INDEX('입력_구리근무자명단'!$A1222:$ZZ1222,1,$E$2+3),IFERROR(DATE(VALUE(LEFT(INDEX('입력_구리근무자명단'!$A1222:$ZZ1222,1,$E$2+3),4)),VALUE(MID(INDEX('입력_구리근무자명단'!$A1222:$ZZ1222,1,$E$2+3),6,2)),VALUE(MID(INDEX('입력_구리근무자명단'!$A1222:$ZZ1222,1,$E$2+3),9,2))),-1))))</f>
        <v/>
      </c>
      <c r="U1224">
        <f>IF($R1224="","",IF(OR($S1224&lt;0,$T1224&lt;0),0,MAX(0,MIN($T1224,EOMONTH(급여기준월,0))-MAX($S1224,급여기준월)+1)))</f>
        <v/>
      </c>
      <c r="V1224">
        <f>IF($R1224="","",TRIM(INDEX('입력_구리근무자명단'!$A1222:$ZZ1222,1,$E$2+5)&amp;""))</f>
        <v/>
      </c>
      <c r="W1224">
        <f>IF(ISNUMBER(SEARCH("구리독자",$V1224)),"구리독자","")</f>
        <v/>
      </c>
      <c r="X1224">
        <f>IF($R1224="","",$R1224&amp;"|"&amp;IF(OR($Q1224="인턴",ISNUMBER(SEARCH("수련교육부",$P1224))),"인턴",$P1224))</f>
        <v/>
      </c>
      <c r="Y1224">
        <f>IF($R1224="","",IF(COUNTIF(명단표[이름|과],$X1224)=1,"명단 일치",IF(AND(COUNTIF(명단표[이름|과],$X1224)=0,COUNTIF(명단표[이름],$R1224)=1),"명단 일치(이름만, 과 다름)",IF(COUNTIF(명단표[이름],$R1224)=0,IF(COUNTIF(기본자료표[이름],$R1224)&gt;0,"명단에 없음(기본자료에는 있음)","명단에 없음"),"동명이인 확인"))))</f>
        <v/>
      </c>
      <c r="Z1224">
        <f>IF($R1224="","",IF($S1224&lt;0,"⚠"&amp;INDEX('입력_구리근무자명단'!$A1222:$ZZ1222,1,$E$2+2),TEXT($S1224,"yyyy-mm-dd")))</f>
        <v/>
      </c>
      <c r="AA1224">
        <f>IF($R1224="","",IF($T1224&lt;0,"⚠"&amp;INDEX('입력_구리근무자명단'!$A1222:$ZZ1222,1,$E$2+3),TEXT($T1224,"yyyy-mm-dd")))</f>
        <v/>
      </c>
      <c r="AB1224">
        <f>AB1223+IF($R1224="",0,1)</f>
        <v/>
      </c>
      <c r="AC1224">
        <f>IF($R1224="","",$AB1224)</f>
        <v/>
      </c>
    </row>
    <row r="1225">
      <c r="O1225">
        <f>1223</f>
        <v/>
      </c>
      <c r="P1225">
        <f>IF(TRIM('입력_구리근무자명단'!$A1223&amp;"")&lt;&gt;"",TRIM('입력_구리근무자명단'!$A1223&amp;""),P1224)</f>
        <v/>
      </c>
      <c r="Q1225">
        <f>'입력_구리근무자명단'!$B1223&amp;""</f>
        <v/>
      </c>
      <c r="R1225">
        <f>IF($E$2="","",TRIM(INDEX('입력_구리근무자명단'!$A1223:$ZZ1223,1,$E$2+IF($G$2="확정",1,0))&amp;""))</f>
        <v/>
      </c>
      <c r="S1225">
        <f>IF($R1225="","",IF(INDEX('입력_구리근무자명단'!$A1223:$ZZ1223,1,$E$2+2)&amp;""="",급여기준월,IF(ISNUMBER(INDEX('입력_구리근무자명단'!$A1223:$ZZ1223,1,$E$2+2)),INDEX('입력_구리근무자명단'!$A1223:$ZZ1223,1,$E$2+2),IFERROR(DATE(VALUE(LEFT(INDEX('입력_구리근무자명단'!$A1223:$ZZ1223,1,$E$2+2),4)),VALUE(MID(INDEX('입력_구리근무자명단'!$A1223:$ZZ1223,1,$E$2+2),6,2)),VALUE(MID(INDEX('입력_구리근무자명단'!$A1223:$ZZ1223,1,$E$2+2),9,2))),-1))))</f>
        <v/>
      </c>
      <c r="T1225">
        <f>IF($R1225="","",IF(INDEX('입력_구리근무자명단'!$A1223:$ZZ1223,1,$E$2+3)&amp;""="",EOMONTH(급여기준월,0),IF(ISNUMBER(INDEX('입력_구리근무자명단'!$A1223:$ZZ1223,1,$E$2+3)),INDEX('입력_구리근무자명단'!$A1223:$ZZ1223,1,$E$2+3),IFERROR(DATE(VALUE(LEFT(INDEX('입력_구리근무자명단'!$A1223:$ZZ1223,1,$E$2+3),4)),VALUE(MID(INDEX('입력_구리근무자명단'!$A1223:$ZZ1223,1,$E$2+3),6,2)),VALUE(MID(INDEX('입력_구리근무자명단'!$A1223:$ZZ1223,1,$E$2+3),9,2))),-1))))</f>
        <v/>
      </c>
      <c r="U1225">
        <f>IF($R1225="","",IF(OR($S1225&lt;0,$T1225&lt;0),0,MAX(0,MIN($T1225,EOMONTH(급여기준월,0))-MAX($S1225,급여기준월)+1)))</f>
        <v/>
      </c>
      <c r="V1225">
        <f>IF($R1225="","",TRIM(INDEX('입력_구리근무자명단'!$A1223:$ZZ1223,1,$E$2+5)&amp;""))</f>
        <v/>
      </c>
      <c r="W1225">
        <f>IF(ISNUMBER(SEARCH("구리독자",$V1225)),"구리독자","")</f>
        <v/>
      </c>
      <c r="X1225">
        <f>IF($R1225="","",$R1225&amp;"|"&amp;IF(OR($Q1225="인턴",ISNUMBER(SEARCH("수련교육부",$P1225))),"인턴",$P1225))</f>
        <v/>
      </c>
      <c r="Y1225">
        <f>IF($R1225="","",IF(COUNTIF(명단표[이름|과],$X1225)=1,"명단 일치",IF(AND(COUNTIF(명단표[이름|과],$X1225)=0,COUNTIF(명단표[이름],$R1225)=1),"명단 일치(이름만, 과 다름)",IF(COUNTIF(명단표[이름],$R1225)=0,IF(COUNTIF(기본자료표[이름],$R1225)&gt;0,"명단에 없음(기본자료에는 있음)","명단에 없음"),"동명이인 확인"))))</f>
        <v/>
      </c>
      <c r="Z1225">
        <f>IF($R1225="","",IF($S1225&lt;0,"⚠"&amp;INDEX('입력_구리근무자명단'!$A1223:$ZZ1223,1,$E$2+2),TEXT($S1225,"yyyy-mm-dd")))</f>
        <v/>
      </c>
      <c r="AA1225">
        <f>IF($R1225="","",IF($T1225&lt;0,"⚠"&amp;INDEX('입력_구리근무자명단'!$A1223:$ZZ1223,1,$E$2+3),TEXT($T1225,"yyyy-mm-dd")))</f>
        <v/>
      </c>
      <c r="AB1225">
        <f>AB1224+IF($R1225="",0,1)</f>
        <v/>
      </c>
      <c r="AC1225">
        <f>IF($R1225="","",$AB1225)</f>
        <v/>
      </c>
    </row>
    <row r="1226">
      <c r="O1226">
        <f>1224</f>
        <v/>
      </c>
      <c r="P1226">
        <f>IF(TRIM('입력_구리근무자명단'!$A1224&amp;"")&lt;&gt;"",TRIM('입력_구리근무자명단'!$A1224&amp;""),P1225)</f>
        <v/>
      </c>
      <c r="Q1226">
        <f>'입력_구리근무자명단'!$B1224&amp;""</f>
        <v/>
      </c>
      <c r="R1226">
        <f>IF($E$2="","",TRIM(INDEX('입력_구리근무자명단'!$A1224:$ZZ1224,1,$E$2+IF($G$2="확정",1,0))&amp;""))</f>
        <v/>
      </c>
      <c r="S1226">
        <f>IF($R1226="","",IF(INDEX('입력_구리근무자명단'!$A1224:$ZZ1224,1,$E$2+2)&amp;""="",급여기준월,IF(ISNUMBER(INDEX('입력_구리근무자명단'!$A1224:$ZZ1224,1,$E$2+2)),INDEX('입력_구리근무자명단'!$A1224:$ZZ1224,1,$E$2+2),IFERROR(DATE(VALUE(LEFT(INDEX('입력_구리근무자명단'!$A1224:$ZZ1224,1,$E$2+2),4)),VALUE(MID(INDEX('입력_구리근무자명단'!$A1224:$ZZ1224,1,$E$2+2),6,2)),VALUE(MID(INDEX('입력_구리근무자명단'!$A1224:$ZZ1224,1,$E$2+2),9,2))),-1))))</f>
        <v/>
      </c>
      <c r="T1226">
        <f>IF($R1226="","",IF(INDEX('입력_구리근무자명단'!$A1224:$ZZ1224,1,$E$2+3)&amp;""="",EOMONTH(급여기준월,0),IF(ISNUMBER(INDEX('입력_구리근무자명단'!$A1224:$ZZ1224,1,$E$2+3)),INDEX('입력_구리근무자명단'!$A1224:$ZZ1224,1,$E$2+3),IFERROR(DATE(VALUE(LEFT(INDEX('입력_구리근무자명단'!$A1224:$ZZ1224,1,$E$2+3),4)),VALUE(MID(INDEX('입력_구리근무자명단'!$A1224:$ZZ1224,1,$E$2+3),6,2)),VALUE(MID(INDEX('입력_구리근무자명단'!$A1224:$ZZ1224,1,$E$2+3),9,2))),-1))))</f>
        <v/>
      </c>
      <c r="U1226">
        <f>IF($R1226="","",IF(OR($S1226&lt;0,$T1226&lt;0),0,MAX(0,MIN($T1226,EOMONTH(급여기준월,0))-MAX($S1226,급여기준월)+1)))</f>
        <v/>
      </c>
      <c r="V1226">
        <f>IF($R1226="","",TRIM(INDEX('입력_구리근무자명단'!$A1224:$ZZ1224,1,$E$2+5)&amp;""))</f>
        <v/>
      </c>
      <c r="W1226">
        <f>IF(ISNUMBER(SEARCH("구리독자",$V1226)),"구리독자","")</f>
        <v/>
      </c>
      <c r="X1226">
        <f>IF($R1226="","",$R1226&amp;"|"&amp;IF(OR($Q1226="인턴",ISNUMBER(SEARCH("수련교육부",$P1226))),"인턴",$P1226))</f>
        <v/>
      </c>
      <c r="Y1226">
        <f>IF($R1226="","",IF(COUNTIF(명단표[이름|과],$X1226)=1,"명단 일치",IF(AND(COUNTIF(명단표[이름|과],$X1226)=0,COUNTIF(명단표[이름],$R1226)=1),"명단 일치(이름만, 과 다름)",IF(COUNTIF(명단표[이름],$R1226)=0,IF(COUNTIF(기본자료표[이름],$R1226)&gt;0,"명단에 없음(기본자료에는 있음)","명단에 없음"),"동명이인 확인"))))</f>
        <v/>
      </c>
      <c r="Z1226">
        <f>IF($R1226="","",IF($S1226&lt;0,"⚠"&amp;INDEX('입력_구리근무자명단'!$A1224:$ZZ1224,1,$E$2+2),TEXT($S1226,"yyyy-mm-dd")))</f>
        <v/>
      </c>
      <c r="AA1226">
        <f>IF($R1226="","",IF($T1226&lt;0,"⚠"&amp;INDEX('입력_구리근무자명단'!$A1224:$ZZ1224,1,$E$2+3),TEXT($T1226,"yyyy-mm-dd")))</f>
        <v/>
      </c>
      <c r="AB1226">
        <f>AB1225+IF($R1226="",0,1)</f>
        <v/>
      </c>
      <c r="AC1226">
        <f>IF($R1226="","",$AB1226)</f>
        <v/>
      </c>
    </row>
    <row r="1227">
      <c r="O1227">
        <f>1225</f>
        <v/>
      </c>
      <c r="P1227">
        <f>IF(TRIM('입력_구리근무자명단'!$A1225&amp;"")&lt;&gt;"",TRIM('입력_구리근무자명단'!$A1225&amp;""),P1226)</f>
        <v/>
      </c>
      <c r="Q1227">
        <f>'입력_구리근무자명단'!$B1225&amp;""</f>
        <v/>
      </c>
      <c r="R1227">
        <f>IF($E$2="","",TRIM(INDEX('입력_구리근무자명단'!$A1225:$ZZ1225,1,$E$2+IF($G$2="확정",1,0))&amp;""))</f>
        <v/>
      </c>
      <c r="S1227">
        <f>IF($R1227="","",IF(INDEX('입력_구리근무자명단'!$A1225:$ZZ1225,1,$E$2+2)&amp;""="",급여기준월,IF(ISNUMBER(INDEX('입력_구리근무자명단'!$A1225:$ZZ1225,1,$E$2+2)),INDEX('입력_구리근무자명단'!$A1225:$ZZ1225,1,$E$2+2),IFERROR(DATE(VALUE(LEFT(INDEX('입력_구리근무자명단'!$A1225:$ZZ1225,1,$E$2+2),4)),VALUE(MID(INDEX('입력_구리근무자명단'!$A1225:$ZZ1225,1,$E$2+2),6,2)),VALUE(MID(INDEX('입력_구리근무자명단'!$A1225:$ZZ1225,1,$E$2+2),9,2))),-1))))</f>
        <v/>
      </c>
      <c r="T1227">
        <f>IF($R1227="","",IF(INDEX('입력_구리근무자명단'!$A1225:$ZZ1225,1,$E$2+3)&amp;""="",EOMONTH(급여기준월,0),IF(ISNUMBER(INDEX('입력_구리근무자명단'!$A1225:$ZZ1225,1,$E$2+3)),INDEX('입력_구리근무자명단'!$A1225:$ZZ1225,1,$E$2+3),IFERROR(DATE(VALUE(LEFT(INDEX('입력_구리근무자명단'!$A1225:$ZZ1225,1,$E$2+3),4)),VALUE(MID(INDEX('입력_구리근무자명단'!$A1225:$ZZ1225,1,$E$2+3),6,2)),VALUE(MID(INDEX('입력_구리근무자명단'!$A1225:$ZZ1225,1,$E$2+3),9,2))),-1))))</f>
        <v/>
      </c>
      <c r="U1227">
        <f>IF($R1227="","",IF(OR($S1227&lt;0,$T1227&lt;0),0,MAX(0,MIN($T1227,EOMONTH(급여기준월,0))-MAX($S1227,급여기준월)+1)))</f>
        <v/>
      </c>
      <c r="V1227">
        <f>IF($R1227="","",TRIM(INDEX('입력_구리근무자명단'!$A1225:$ZZ1225,1,$E$2+5)&amp;""))</f>
        <v/>
      </c>
      <c r="W1227">
        <f>IF(ISNUMBER(SEARCH("구리독자",$V1227)),"구리독자","")</f>
        <v/>
      </c>
      <c r="X1227">
        <f>IF($R1227="","",$R1227&amp;"|"&amp;IF(OR($Q1227="인턴",ISNUMBER(SEARCH("수련교육부",$P1227))),"인턴",$P1227))</f>
        <v/>
      </c>
      <c r="Y1227">
        <f>IF($R1227="","",IF(COUNTIF(명단표[이름|과],$X1227)=1,"명단 일치",IF(AND(COUNTIF(명단표[이름|과],$X1227)=0,COUNTIF(명단표[이름],$R1227)=1),"명단 일치(이름만, 과 다름)",IF(COUNTIF(명단표[이름],$R1227)=0,IF(COUNTIF(기본자료표[이름],$R1227)&gt;0,"명단에 없음(기본자료에는 있음)","명단에 없음"),"동명이인 확인"))))</f>
        <v/>
      </c>
      <c r="Z1227">
        <f>IF($R1227="","",IF($S1227&lt;0,"⚠"&amp;INDEX('입력_구리근무자명단'!$A1225:$ZZ1225,1,$E$2+2),TEXT($S1227,"yyyy-mm-dd")))</f>
        <v/>
      </c>
      <c r="AA1227">
        <f>IF($R1227="","",IF($T1227&lt;0,"⚠"&amp;INDEX('입력_구리근무자명단'!$A1225:$ZZ1225,1,$E$2+3),TEXT($T1227,"yyyy-mm-dd")))</f>
        <v/>
      </c>
      <c r="AB1227">
        <f>AB1226+IF($R1227="",0,1)</f>
        <v/>
      </c>
      <c r="AC1227">
        <f>IF($R1227="","",$AB1227)</f>
        <v/>
      </c>
    </row>
    <row r="1228">
      <c r="O1228">
        <f>1226</f>
        <v/>
      </c>
      <c r="P1228">
        <f>IF(TRIM('입력_구리근무자명단'!$A1226&amp;"")&lt;&gt;"",TRIM('입력_구리근무자명단'!$A1226&amp;""),P1227)</f>
        <v/>
      </c>
      <c r="Q1228">
        <f>'입력_구리근무자명단'!$B1226&amp;""</f>
        <v/>
      </c>
      <c r="R1228">
        <f>IF($E$2="","",TRIM(INDEX('입력_구리근무자명단'!$A1226:$ZZ1226,1,$E$2+IF($G$2="확정",1,0))&amp;""))</f>
        <v/>
      </c>
      <c r="S1228">
        <f>IF($R1228="","",IF(INDEX('입력_구리근무자명단'!$A1226:$ZZ1226,1,$E$2+2)&amp;""="",급여기준월,IF(ISNUMBER(INDEX('입력_구리근무자명단'!$A1226:$ZZ1226,1,$E$2+2)),INDEX('입력_구리근무자명단'!$A1226:$ZZ1226,1,$E$2+2),IFERROR(DATE(VALUE(LEFT(INDEX('입력_구리근무자명단'!$A1226:$ZZ1226,1,$E$2+2),4)),VALUE(MID(INDEX('입력_구리근무자명단'!$A1226:$ZZ1226,1,$E$2+2),6,2)),VALUE(MID(INDEX('입력_구리근무자명단'!$A1226:$ZZ1226,1,$E$2+2),9,2))),-1))))</f>
        <v/>
      </c>
      <c r="T1228">
        <f>IF($R1228="","",IF(INDEX('입력_구리근무자명단'!$A1226:$ZZ1226,1,$E$2+3)&amp;""="",EOMONTH(급여기준월,0),IF(ISNUMBER(INDEX('입력_구리근무자명단'!$A1226:$ZZ1226,1,$E$2+3)),INDEX('입력_구리근무자명단'!$A1226:$ZZ1226,1,$E$2+3),IFERROR(DATE(VALUE(LEFT(INDEX('입력_구리근무자명단'!$A1226:$ZZ1226,1,$E$2+3),4)),VALUE(MID(INDEX('입력_구리근무자명단'!$A1226:$ZZ1226,1,$E$2+3),6,2)),VALUE(MID(INDEX('입력_구리근무자명단'!$A1226:$ZZ1226,1,$E$2+3),9,2))),-1))))</f>
        <v/>
      </c>
      <c r="U1228">
        <f>IF($R1228="","",IF(OR($S1228&lt;0,$T1228&lt;0),0,MAX(0,MIN($T1228,EOMONTH(급여기준월,0))-MAX($S1228,급여기준월)+1)))</f>
        <v/>
      </c>
      <c r="V1228">
        <f>IF($R1228="","",TRIM(INDEX('입력_구리근무자명단'!$A1226:$ZZ1226,1,$E$2+5)&amp;""))</f>
        <v/>
      </c>
      <c r="W1228">
        <f>IF(ISNUMBER(SEARCH("구리독자",$V1228)),"구리독자","")</f>
        <v/>
      </c>
      <c r="X1228">
        <f>IF($R1228="","",$R1228&amp;"|"&amp;IF(OR($Q1228="인턴",ISNUMBER(SEARCH("수련교육부",$P1228))),"인턴",$P1228))</f>
        <v/>
      </c>
      <c r="Y1228">
        <f>IF($R1228="","",IF(COUNTIF(명단표[이름|과],$X1228)=1,"명단 일치",IF(AND(COUNTIF(명단표[이름|과],$X1228)=0,COUNTIF(명단표[이름],$R1228)=1),"명단 일치(이름만, 과 다름)",IF(COUNTIF(명단표[이름],$R1228)=0,IF(COUNTIF(기본자료표[이름],$R1228)&gt;0,"명단에 없음(기본자료에는 있음)","명단에 없음"),"동명이인 확인"))))</f>
        <v/>
      </c>
      <c r="Z1228">
        <f>IF($R1228="","",IF($S1228&lt;0,"⚠"&amp;INDEX('입력_구리근무자명단'!$A1226:$ZZ1226,1,$E$2+2),TEXT($S1228,"yyyy-mm-dd")))</f>
        <v/>
      </c>
      <c r="AA1228">
        <f>IF($R1228="","",IF($T1228&lt;0,"⚠"&amp;INDEX('입력_구리근무자명단'!$A1226:$ZZ1226,1,$E$2+3),TEXT($T1228,"yyyy-mm-dd")))</f>
        <v/>
      </c>
      <c r="AB1228">
        <f>AB1227+IF($R1228="",0,1)</f>
        <v/>
      </c>
      <c r="AC1228">
        <f>IF($R1228="","",$AB1228)</f>
        <v/>
      </c>
    </row>
    <row r="1229">
      <c r="O1229">
        <f>1227</f>
        <v/>
      </c>
      <c r="P1229">
        <f>IF(TRIM('입력_구리근무자명단'!$A1227&amp;"")&lt;&gt;"",TRIM('입력_구리근무자명단'!$A1227&amp;""),P1228)</f>
        <v/>
      </c>
      <c r="Q1229">
        <f>'입력_구리근무자명단'!$B1227&amp;""</f>
        <v/>
      </c>
      <c r="R1229">
        <f>IF($E$2="","",TRIM(INDEX('입력_구리근무자명단'!$A1227:$ZZ1227,1,$E$2+IF($G$2="확정",1,0))&amp;""))</f>
        <v/>
      </c>
      <c r="S1229">
        <f>IF($R1229="","",IF(INDEX('입력_구리근무자명단'!$A1227:$ZZ1227,1,$E$2+2)&amp;""="",급여기준월,IF(ISNUMBER(INDEX('입력_구리근무자명단'!$A1227:$ZZ1227,1,$E$2+2)),INDEX('입력_구리근무자명단'!$A1227:$ZZ1227,1,$E$2+2),IFERROR(DATE(VALUE(LEFT(INDEX('입력_구리근무자명단'!$A1227:$ZZ1227,1,$E$2+2),4)),VALUE(MID(INDEX('입력_구리근무자명단'!$A1227:$ZZ1227,1,$E$2+2),6,2)),VALUE(MID(INDEX('입력_구리근무자명단'!$A1227:$ZZ1227,1,$E$2+2),9,2))),-1))))</f>
        <v/>
      </c>
      <c r="T1229">
        <f>IF($R1229="","",IF(INDEX('입력_구리근무자명단'!$A1227:$ZZ1227,1,$E$2+3)&amp;""="",EOMONTH(급여기준월,0),IF(ISNUMBER(INDEX('입력_구리근무자명단'!$A1227:$ZZ1227,1,$E$2+3)),INDEX('입력_구리근무자명단'!$A1227:$ZZ1227,1,$E$2+3),IFERROR(DATE(VALUE(LEFT(INDEX('입력_구리근무자명단'!$A1227:$ZZ1227,1,$E$2+3),4)),VALUE(MID(INDEX('입력_구리근무자명단'!$A1227:$ZZ1227,1,$E$2+3),6,2)),VALUE(MID(INDEX('입력_구리근무자명단'!$A1227:$ZZ1227,1,$E$2+3),9,2))),-1))))</f>
        <v/>
      </c>
      <c r="U1229">
        <f>IF($R1229="","",IF(OR($S1229&lt;0,$T1229&lt;0),0,MAX(0,MIN($T1229,EOMONTH(급여기준월,0))-MAX($S1229,급여기준월)+1)))</f>
        <v/>
      </c>
      <c r="V1229">
        <f>IF($R1229="","",TRIM(INDEX('입력_구리근무자명단'!$A1227:$ZZ1227,1,$E$2+5)&amp;""))</f>
        <v/>
      </c>
      <c r="W1229">
        <f>IF(ISNUMBER(SEARCH("구리독자",$V1229)),"구리독자","")</f>
        <v/>
      </c>
      <c r="X1229">
        <f>IF($R1229="","",$R1229&amp;"|"&amp;IF(OR($Q1229="인턴",ISNUMBER(SEARCH("수련교육부",$P1229))),"인턴",$P1229))</f>
        <v/>
      </c>
      <c r="Y1229">
        <f>IF($R1229="","",IF(COUNTIF(명단표[이름|과],$X1229)=1,"명단 일치",IF(AND(COUNTIF(명단표[이름|과],$X1229)=0,COUNTIF(명단표[이름],$R1229)=1),"명단 일치(이름만, 과 다름)",IF(COUNTIF(명단표[이름],$R1229)=0,IF(COUNTIF(기본자료표[이름],$R1229)&gt;0,"명단에 없음(기본자료에는 있음)","명단에 없음"),"동명이인 확인"))))</f>
        <v/>
      </c>
      <c r="Z1229">
        <f>IF($R1229="","",IF($S1229&lt;0,"⚠"&amp;INDEX('입력_구리근무자명단'!$A1227:$ZZ1227,1,$E$2+2),TEXT($S1229,"yyyy-mm-dd")))</f>
        <v/>
      </c>
      <c r="AA1229">
        <f>IF($R1229="","",IF($T1229&lt;0,"⚠"&amp;INDEX('입력_구리근무자명단'!$A1227:$ZZ1227,1,$E$2+3),TEXT($T1229,"yyyy-mm-dd")))</f>
        <v/>
      </c>
      <c r="AB1229">
        <f>AB1228+IF($R1229="",0,1)</f>
        <v/>
      </c>
      <c r="AC1229">
        <f>IF($R1229="","",$AB1229)</f>
        <v/>
      </c>
    </row>
    <row r="1230">
      <c r="O1230">
        <f>1228</f>
        <v/>
      </c>
      <c r="P1230">
        <f>IF(TRIM('입력_구리근무자명단'!$A1228&amp;"")&lt;&gt;"",TRIM('입력_구리근무자명단'!$A1228&amp;""),P1229)</f>
        <v/>
      </c>
      <c r="Q1230">
        <f>'입력_구리근무자명단'!$B1228&amp;""</f>
        <v/>
      </c>
      <c r="R1230">
        <f>IF($E$2="","",TRIM(INDEX('입력_구리근무자명단'!$A1228:$ZZ1228,1,$E$2+IF($G$2="확정",1,0))&amp;""))</f>
        <v/>
      </c>
      <c r="S1230">
        <f>IF($R1230="","",IF(INDEX('입력_구리근무자명단'!$A1228:$ZZ1228,1,$E$2+2)&amp;""="",급여기준월,IF(ISNUMBER(INDEX('입력_구리근무자명단'!$A1228:$ZZ1228,1,$E$2+2)),INDEX('입력_구리근무자명단'!$A1228:$ZZ1228,1,$E$2+2),IFERROR(DATE(VALUE(LEFT(INDEX('입력_구리근무자명단'!$A1228:$ZZ1228,1,$E$2+2),4)),VALUE(MID(INDEX('입력_구리근무자명단'!$A1228:$ZZ1228,1,$E$2+2),6,2)),VALUE(MID(INDEX('입력_구리근무자명단'!$A1228:$ZZ1228,1,$E$2+2),9,2))),-1))))</f>
        <v/>
      </c>
      <c r="T1230">
        <f>IF($R1230="","",IF(INDEX('입력_구리근무자명단'!$A1228:$ZZ1228,1,$E$2+3)&amp;""="",EOMONTH(급여기준월,0),IF(ISNUMBER(INDEX('입력_구리근무자명단'!$A1228:$ZZ1228,1,$E$2+3)),INDEX('입력_구리근무자명단'!$A1228:$ZZ1228,1,$E$2+3),IFERROR(DATE(VALUE(LEFT(INDEX('입력_구리근무자명단'!$A1228:$ZZ1228,1,$E$2+3),4)),VALUE(MID(INDEX('입력_구리근무자명단'!$A1228:$ZZ1228,1,$E$2+3),6,2)),VALUE(MID(INDEX('입력_구리근무자명단'!$A1228:$ZZ1228,1,$E$2+3),9,2))),-1))))</f>
        <v/>
      </c>
      <c r="U1230">
        <f>IF($R1230="","",IF(OR($S1230&lt;0,$T1230&lt;0),0,MAX(0,MIN($T1230,EOMONTH(급여기준월,0))-MAX($S1230,급여기준월)+1)))</f>
        <v/>
      </c>
      <c r="V1230">
        <f>IF($R1230="","",TRIM(INDEX('입력_구리근무자명단'!$A1228:$ZZ1228,1,$E$2+5)&amp;""))</f>
        <v/>
      </c>
      <c r="W1230">
        <f>IF(ISNUMBER(SEARCH("구리독자",$V1230)),"구리독자","")</f>
        <v/>
      </c>
      <c r="X1230">
        <f>IF($R1230="","",$R1230&amp;"|"&amp;IF(OR($Q1230="인턴",ISNUMBER(SEARCH("수련교육부",$P1230))),"인턴",$P1230))</f>
        <v/>
      </c>
      <c r="Y1230">
        <f>IF($R1230="","",IF(COUNTIF(명단표[이름|과],$X1230)=1,"명단 일치",IF(AND(COUNTIF(명단표[이름|과],$X1230)=0,COUNTIF(명단표[이름],$R1230)=1),"명단 일치(이름만, 과 다름)",IF(COUNTIF(명단표[이름],$R1230)=0,IF(COUNTIF(기본자료표[이름],$R1230)&gt;0,"명단에 없음(기본자료에는 있음)","명단에 없음"),"동명이인 확인"))))</f>
        <v/>
      </c>
      <c r="Z1230">
        <f>IF($R1230="","",IF($S1230&lt;0,"⚠"&amp;INDEX('입력_구리근무자명단'!$A1228:$ZZ1228,1,$E$2+2),TEXT($S1230,"yyyy-mm-dd")))</f>
        <v/>
      </c>
      <c r="AA1230">
        <f>IF($R1230="","",IF($T1230&lt;0,"⚠"&amp;INDEX('입력_구리근무자명단'!$A1228:$ZZ1228,1,$E$2+3),TEXT($T1230,"yyyy-mm-dd")))</f>
        <v/>
      </c>
      <c r="AB1230">
        <f>AB1229+IF($R1230="",0,1)</f>
        <v/>
      </c>
      <c r="AC1230">
        <f>IF($R1230="","",$AB1230)</f>
        <v/>
      </c>
    </row>
    <row r="1231">
      <c r="O1231">
        <f>1229</f>
        <v/>
      </c>
      <c r="P1231">
        <f>IF(TRIM('입력_구리근무자명단'!$A1229&amp;"")&lt;&gt;"",TRIM('입력_구리근무자명단'!$A1229&amp;""),P1230)</f>
        <v/>
      </c>
      <c r="Q1231">
        <f>'입력_구리근무자명단'!$B1229&amp;""</f>
        <v/>
      </c>
      <c r="R1231">
        <f>IF($E$2="","",TRIM(INDEX('입력_구리근무자명단'!$A1229:$ZZ1229,1,$E$2+IF($G$2="확정",1,0))&amp;""))</f>
        <v/>
      </c>
      <c r="S1231">
        <f>IF($R1231="","",IF(INDEX('입력_구리근무자명단'!$A1229:$ZZ1229,1,$E$2+2)&amp;""="",급여기준월,IF(ISNUMBER(INDEX('입력_구리근무자명단'!$A1229:$ZZ1229,1,$E$2+2)),INDEX('입력_구리근무자명단'!$A1229:$ZZ1229,1,$E$2+2),IFERROR(DATE(VALUE(LEFT(INDEX('입력_구리근무자명단'!$A1229:$ZZ1229,1,$E$2+2),4)),VALUE(MID(INDEX('입력_구리근무자명단'!$A1229:$ZZ1229,1,$E$2+2),6,2)),VALUE(MID(INDEX('입력_구리근무자명단'!$A1229:$ZZ1229,1,$E$2+2),9,2))),-1))))</f>
        <v/>
      </c>
      <c r="T1231">
        <f>IF($R1231="","",IF(INDEX('입력_구리근무자명단'!$A1229:$ZZ1229,1,$E$2+3)&amp;""="",EOMONTH(급여기준월,0),IF(ISNUMBER(INDEX('입력_구리근무자명단'!$A1229:$ZZ1229,1,$E$2+3)),INDEX('입력_구리근무자명단'!$A1229:$ZZ1229,1,$E$2+3),IFERROR(DATE(VALUE(LEFT(INDEX('입력_구리근무자명단'!$A1229:$ZZ1229,1,$E$2+3),4)),VALUE(MID(INDEX('입력_구리근무자명단'!$A1229:$ZZ1229,1,$E$2+3),6,2)),VALUE(MID(INDEX('입력_구리근무자명단'!$A1229:$ZZ1229,1,$E$2+3),9,2))),-1))))</f>
        <v/>
      </c>
      <c r="U1231">
        <f>IF($R1231="","",IF(OR($S1231&lt;0,$T1231&lt;0),0,MAX(0,MIN($T1231,EOMONTH(급여기준월,0))-MAX($S1231,급여기준월)+1)))</f>
        <v/>
      </c>
      <c r="V1231">
        <f>IF($R1231="","",TRIM(INDEX('입력_구리근무자명단'!$A1229:$ZZ1229,1,$E$2+5)&amp;""))</f>
        <v/>
      </c>
      <c r="W1231">
        <f>IF(ISNUMBER(SEARCH("구리독자",$V1231)),"구리독자","")</f>
        <v/>
      </c>
      <c r="X1231">
        <f>IF($R1231="","",$R1231&amp;"|"&amp;IF(OR($Q1231="인턴",ISNUMBER(SEARCH("수련교육부",$P1231))),"인턴",$P1231))</f>
        <v/>
      </c>
      <c r="Y1231">
        <f>IF($R1231="","",IF(COUNTIF(명단표[이름|과],$X1231)=1,"명단 일치",IF(AND(COUNTIF(명단표[이름|과],$X1231)=0,COUNTIF(명단표[이름],$R1231)=1),"명단 일치(이름만, 과 다름)",IF(COUNTIF(명단표[이름],$R1231)=0,IF(COUNTIF(기본자료표[이름],$R1231)&gt;0,"명단에 없음(기본자료에는 있음)","명단에 없음"),"동명이인 확인"))))</f>
        <v/>
      </c>
      <c r="Z1231">
        <f>IF($R1231="","",IF($S1231&lt;0,"⚠"&amp;INDEX('입력_구리근무자명단'!$A1229:$ZZ1229,1,$E$2+2),TEXT($S1231,"yyyy-mm-dd")))</f>
        <v/>
      </c>
      <c r="AA1231">
        <f>IF($R1231="","",IF($T1231&lt;0,"⚠"&amp;INDEX('입력_구리근무자명단'!$A1229:$ZZ1229,1,$E$2+3),TEXT($T1231,"yyyy-mm-dd")))</f>
        <v/>
      </c>
      <c r="AB1231">
        <f>AB1230+IF($R1231="",0,1)</f>
        <v/>
      </c>
      <c r="AC1231">
        <f>IF($R1231="","",$AB1231)</f>
        <v/>
      </c>
    </row>
    <row r="1232">
      <c r="O1232">
        <f>1230</f>
        <v/>
      </c>
      <c r="P1232">
        <f>IF(TRIM('입력_구리근무자명단'!$A1230&amp;"")&lt;&gt;"",TRIM('입력_구리근무자명단'!$A1230&amp;""),P1231)</f>
        <v/>
      </c>
      <c r="Q1232">
        <f>'입력_구리근무자명단'!$B1230&amp;""</f>
        <v/>
      </c>
      <c r="R1232">
        <f>IF($E$2="","",TRIM(INDEX('입력_구리근무자명단'!$A1230:$ZZ1230,1,$E$2+IF($G$2="확정",1,0))&amp;""))</f>
        <v/>
      </c>
      <c r="S1232">
        <f>IF($R1232="","",IF(INDEX('입력_구리근무자명단'!$A1230:$ZZ1230,1,$E$2+2)&amp;""="",급여기준월,IF(ISNUMBER(INDEX('입력_구리근무자명단'!$A1230:$ZZ1230,1,$E$2+2)),INDEX('입력_구리근무자명단'!$A1230:$ZZ1230,1,$E$2+2),IFERROR(DATE(VALUE(LEFT(INDEX('입력_구리근무자명단'!$A1230:$ZZ1230,1,$E$2+2),4)),VALUE(MID(INDEX('입력_구리근무자명단'!$A1230:$ZZ1230,1,$E$2+2),6,2)),VALUE(MID(INDEX('입력_구리근무자명단'!$A1230:$ZZ1230,1,$E$2+2),9,2))),-1))))</f>
        <v/>
      </c>
      <c r="T1232">
        <f>IF($R1232="","",IF(INDEX('입력_구리근무자명단'!$A1230:$ZZ1230,1,$E$2+3)&amp;""="",EOMONTH(급여기준월,0),IF(ISNUMBER(INDEX('입력_구리근무자명단'!$A1230:$ZZ1230,1,$E$2+3)),INDEX('입력_구리근무자명단'!$A1230:$ZZ1230,1,$E$2+3),IFERROR(DATE(VALUE(LEFT(INDEX('입력_구리근무자명단'!$A1230:$ZZ1230,1,$E$2+3),4)),VALUE(MID(INDEX('입력_구리근무자명단'!$A1230:$ZZ1230,1,$E$2+3),6,2)),VALUE(MID(INDEX('입력_구리근무자명단'!$A1230:$ZZ1230,1,$E$2+3),9,2))),-1))))</f>
        <v/>
      </c>
      <c r="U1232">
        <f>IF($R1232="","",IF(OR($S1232&lt;0,$T1232&lt;0),0,MAX(0,MIN($T1232,EOMONTH(급여기준월,0))-MAX($S1232,급여기준월)+1)))</f>
        <v/>
      </c>
      <c r="V1232">
        <f>IF($R1232="","",TRIM(INDEX('입력_구리근무자명단'!$A1230:$ZZ1230,1,$E$2+5)&amp;""))</f>
        <v/>
      </c>
      <c r="W1232">
        <f>IF(ISNUMBER(SEARCH("구리독자",$V1232)),"구리독자","")</f>
        <v/>
      </c>
      <c r="X1232">
        <f>IF($R1232="","",$R1232&amp;"|"&amp;IF(OR($Q1232="인턴",ISNUMBER(SEARCH("수련교육부",$P1232))),"인턴",$P1232))</f>
        <v/>
      </c>
      <c r="Y1232">
        <f>IF($R1232="","",IF(COUNTIF(명단표[이름|과],$X1232)=1,"명단 일치",IF(AND(COUNTIF(명단표[이름|과],$X1232)=0,COUNTIF(명단표[이름],$R1232)=1),"명단 일치(이름만, 과 다름)",IF(COUNTIF(명단표[이름],$R1232)=0,IF(COUNTIF(기본자료표[이름],$R1232)&gt;0,"명단에 없음(기본자료에는 있음)","명단에 없음"),"동명이인 확인"))))</f>
        <v/>
      </c>
      <c r="Z1232">
        <f>IF($R1232="","",IF($S1232&lt;0,"⚠"&amp;INDEX('입력_구리근무자명단'!$A1230:$ZZ1230,1,$E$2+2),TEXT($S1232,"yyyy-mm-dd")))</f>
        <v/>
      </c>
      <c r="AA1232">
        <f>IF($R1232="","",IF($T1232&lt;0,"⚠"&amp;INDEX('입력_구리근무자명단'!$A1230:$ZZ1230,1,$E$2+3),TEXT($T1232,"yyyy-mm-dd")))</f>
        <v/>
      </c>
      <c r="AB1232">
        <f>AB1231+IF($R1232="",0,1)</f>
        <v/>
      </c>
      <c r="AC1232">
        <f>IF($R1232="","",$AB1232)</f>
        <v/>
      </c>
    </row>
    <row r="1233">
      <c r="O1233">
        <f>1231</f>
        <v/>
      </c>
      <c r="P1233">
        <f>IF(TRIM('입력_구리근무자명단'!$A1231&amp;"")&lt;&gt;"",TRIM('입력_구리근무자명단'!$A1231&amp;""),P1232)</f>
        <v/>
      </c>
      <c r="Q1233">
        <f>'입력_구리근무자명단'!$B1231&amp;""</f>
        <v/>
      </c>
      <c r="R1233">
        <f>IF($E$2="","",TRIM(INDEX('입력_구리근무자명단'!$A1231:$ZZ1231,1,$E$2+IF($G$2="확정",1,0))&amp;""))</f>
        <v/>
      </c>
      <c r="S1233">
        <f>IF($R1233="","",IF(INDEX('입력_구리근무자명단'!$A1231:$ZZ1231,1,$E$2+2)&amp;""="",급여기준월,IF(ISNUMBER(INDEX('입력_구리근무자명단'!$A1231:$ZZ1231,1,$E$2+2)),INDEX('입력_구리근무자명단'!$A1231:$ZZ1231,1,$E$2+2),IFERROR(DATE(VALUE(LEFT(INDEX('입력_구리근무자명단'!$A1231:$ZZ1231,1,$E$2+2),4)),VALUE(MID(INDEX('입력_구리근무자명단'!$A1231:$ZZ1231,1,$E$2+2),6,2)),VALUE(MID(INDEX('입력_구리근무자명단'!$A1231:$ZZ1231,1,$E$2+2),9,2))),-1))))</f>
        <v/>
      </c>
      <c r="T1233">
        <f>IF($R1233="","",IF(INDEX('입력_구리근무자명단'!$A1231:$ZZ1231,1,$E$2+3)&amp;""="",EOMONTH(급여기준월,0),IF(ISNUMBER(INDEX('입력_구리근무자명단'!$A1231:$ZZ1231,1,$E$2+3)),INDEX('입력_구리근무자명단'!$A1231:$ZZ1231,1,$E$2+3),IFERROR(DATE(VALUE(LEFT(INDEX('입력_구리근무자명단'!$A1231:$ZZ1231,1,$E$2+3),4)),VALUE(MID(INDEX('입력_구리근무자명단'!$A1231:$ZZ1231,1,$E$2+3),6,2)),VALUE(MID(INDEX('입력_구리근무자명단'!$A1231:$ZZ1231,1,$E$2+3),9,2))),-1))))</f>
        <v/>
      </c>
      <c r="U1233">
        <f>IF($R1233="","",IF(OR($S1233&lt;0,$T1233&lt;0),0,MAX(0,MIN($T1233,EOMONTH(급여기준월,0))-MAX($S1233,급여기준월)+1)))</f>
        <v/>
      </c>
      <c r="V1233">
        <f>IF($R1233="","",TRIM(INDEX('입력_구리근무자명단'!$A1231:$ZZ1231,1,$E$2+5)&amp;""))</f>
        <v/>
      </c>
      <c r="W1233">
        <f>IF(ISNUMBER(SEARCH("구리독자",$V1233)),"구리독자","")</f>
        <v/>
      </c>
      <c r="X1233">
        <f>IF($R1233="","",$R1233&amp;"|"&amp;IF(OR($Q1233="인턴",ISNUMBER(SEARCH("수련교육부",$P1233))),"인턴",$P1233))</f>
        <v/>
      </c>
      <c r="Y1233">
        <f>IF($R1233="","",IF(COUNTIF(명단표[이름|과],$X1233)=1,"명단 일치",IF(AND(COUNTIF(명단표[이름|과],$X1233)=0,COUNTIF(명단표[이름],$R1233)=1),"명단 일치(이름만, 과 다름)",IF(COUNTIF(명단표[이름],$R1233)=0,IF(COUNTIF(기본자료표[이름],$R1233)&gt;0,"명단에 없음(기본자료에는 있음)","명단에 없음"),"동명이인 확인"))))</f>
        <v/>
      </c>
      <c r="Z1233">
        <f>IF($R1233="","",IF($S1233&lt;0,"⚠"&amp;INDEX('입력_구리근무자명단'!$A1231:$ZZ1231,1,$E$2+2),TEXT($S1233,"yyyy-mm-dd")))</f>
        <v/>
      </c>
      <c r="AA1233">
        <f>IF($R1233="","",IF($T1233&lt;0,"⚠"&amp;INDEX('입력_구리근무자명단'!$A1231:$ZZ1231,1,$E$2+3),TEXT($T1233,"yyyy-mm-dd")))</f>
        <v/>
      </c>
      <c r="AB1233">
        <f>AB1232+IF($R1233="",0,1)</f>
        <v/>
      </c>
      <c r="AC1233">
        <f>IF($R1233="","",$AB1233)</f>
        <v/>
      </c>
    </row>
    <row r="1234">
      <c r="O1234">
        <f>1232</f>
        <v/>
      </c>
      <c r="P1234">
        <f>IF(TRIM('입력_구리근무자명단'!$A1232&amp;"")&lt;&gt;"",TRIM('입력_구리근무자명단'!$A1232&amp;""),P1233)</f>
        <v/>
      </c>
      <c r="Q1234">
        <f>'입력_구리근무자명단'!$B1232&amp;""</f>
        <v/>
      </c>
      <c r="R1234">
        <f>IF($E$2="","",TRIM(INDEX('입력_구리근무자명단'!$A1232:$ZZ1232,1,$E$2+IF($G$2="확정",1,0))&amp;""))</f>
        <v/>
      </c>
      <c r="S1234">
        <f>IF($R1234="","",IF(INDEX('입력_구리근무자명단'!$A1232:$ZZ1232,1,$E$2+2)&amp;""="",급여기준월,IF(ISNUMBER(INDEX('입력_구리근무자명단'!$A1232:$ZZ1232,1,$E$2+2)),INDEX('입력_구리근무자명단'!$A1232:$ZZ1232,1,$E$2+2),IFERROR(DATE(VALUE(LEFT(INDEX('입력_구리근무자명단'!$A1232:$ZZ1232,1,$E$2+2),4)),VALUE(MID(INDEX('입력_구리근무자명단'!$A1232:$ZZ1232,1,$E$2+2),6,2)),VALUE(MID(INDEX('입력_구리근무자명단'!$A1232:$ZZ1232,1,$E$2+2),9,2))),-1))))</f>
        <v/>
      </c>
      <c r="T1234">
        <f>IF($R1234="","",IF(INDEX('입력_구리근무자명단'!$A1232:$ZZ1232,1,$E$2+3)&amp;""="",EOMONTH(급여기준월,0),IF(ISNUMBER(INDEX('입력_구리근무자명단'!$A1232:$ZZ1232,1,$E$2+3)),INDEX('입력_구리근무자명단'!$A1232:$ZZ1232,1,$E$2+3),IFERROR(DATE(VALUE(LEFT(INDEX('입력_구리근무자명단'!$A1232:$ZZ1232,1,$E$2+3),4)),VALUE(MID(INDEX('입력_구리근무자명단'!$A1232:$ZZ1232,1,$E$2+3),6,2)),VALUE(MID(INDEX('입력_구리근무자명단'!$A1232:$ZZ1232,1,$E$2+3),9,2))),-1))))</f>
        <v/>
      </c>
      <c r="U1234">
        <f>IF($R1234="","",IF(OR($S1234&lt;0,$T1234&lt;0),0,MAX(0,MIN($T1234,EOMONTH(급여기준월,0))-MAX($S1234,급여기준월)+1)))</f>
        <v/>
      </c>
      <c r="V1234">
        <f>IF($R1234="","",TRIM(INDEX('입력_구리근무자명단'!$A1232:$ZZ1232,1,$E$2+5)&amp;""))</f>
        <v/>
      </c>
      <c r="W1234">
        <f>IF(ISNUMBER(SEARCH("구리독자",$V1234)),"구리독자","")</f>
        <v/>
      </c>
      <c r="X1234">
        <f>IF($R1234="","",$R1234&amp;"|"&amp;IF(OR($Q1234="인턴",ISNUMBER(SEARCH("수련교육부",$P1234))),"인턴",$P1234))</f>
        <v/>
      </c>
      <c r="Y1234">
        <f>IF($R1234="","",IF(COUNTIF(명단표[이름|과],$X1234)=1,"명단 일치",IF(AND(COUNTIF(명단표[이름|과],$X1234)=0,COUNTIF(명단표[이름],$R1234)=1),"명단 일치(이름만, 과 다름)",IF(COUNTIF(명단표[이름],$R1234)=0,IF(COUNTIF(기본자료표[이름],$R1234)&gt;0,"명단에 없음(기본자료에는 있음)","명단에 없음"),"동명이인 확인"))))</f>
        <v/>
      </c>
      <c r="Z1234">
        <f>IF($R1234="","",IF($S1234&lt;0,"⚠"&amp;INDEX('입력_구리근무자명단'!$A1232:$ZZ1232,1,$E$2+2),TEXT($S1234,"yyyy-mm-dd")))</f>
        <v/>
      </c>
      <c r="AA1234">
        <f>IF($R1234="","",IF($T1234&lt;0,"⚠"&amp;INDEX('입력_구리근무자명단'!$A1232:$ZZ1232,1,$E$2+3),TEXT($T1234,"yyyy-mm-dd")))</f>
        <v/>
      </c>
      <c r="AB1234">
        <f>AB1233+IF($R1234="",0,1)</f>
        <v/>
      </c>
      <c r="AC1234">
        <f>IF($R1234="","",$AB1234)</f>
        <v/>
      </c>
    </row>
    <row r="1235">
      <c r="O1235">
        <f>1233</f>
        <v/>
      </c>
      <c r="P1235">
        <f>IF(TRIM('입력_구리근무자명단'!$A1233&amp;"")&lt;&gt;"",TRIM('입력_구리근무자명단'!$A1233&amp;""),P1234)</f>
        <v/>
      </c>
      <c r="Q1235">
        <f>'입력_구리근무자명단'!$B1233&amp;""</f>
        <v/>
      </c>
      <c r="R1235">
        <f>IF($E$2="","",TRIM(INDEX('입력_구리근무자명단'!$A1233:$ZZ1233,1,$E$2+IF($G$2="확정",1,0))&amp;""))</f>
        <v/>
      </c>
      <c r="S1235">
        <f>IF($R1235="","",IF(INDEX('입력_구리근무자명단'!$A1233:$ZZ1233,1,$E$2+2)&amp;""="",급여기준월,IF(ISNUMBER(INDEX('입력_구리근무자명단'!$A1233:$ZZ1233,1,$E$2+2)),INDEX('입력_구리근무자명단'!$A1233:$ZZ1233,1,$E$2+2),IFERROR(DATE(VALUE(LEFT(INDEX('입력_구리근무자명단'!$A1233:$ZZ1233,1,$E$2+2),4)),VALUE(MID(INDEX('입력_구리근무자명단'!$A1233:$ZZ1233,1,$E$2+2),6,2)),VALUE(MID(INDEX('입력_구리근무자명단'!$A1233:$ZZ1233,1,$E$2+2),9,2))),-1))))</f>
        <v/>
      </c>
      <c r="T1235">
        <f>IF($R1235="","",IF(INDEX('입력_구리근무자명단'!$A1233:$ZZ1233,1,$E$2+3)&amp;""="",EOMONTH(급여기준월,0),IF(ISNUMBER(INDEX('입력_구리근무자명단'!$A1233:$ZZ1233,1,$E$2+3)),INDEX('입력_구리근무자명단'!$A1233:$ZZ1233,1,$E$2+3),IFERROR(DATE(VALUE(LEFT(INDEX('입력_구리근무자명단'!$A1233:$ZZ1233,1,$E$2+3),4)),VALUE(MID(INDEX('입력_구리근무자명단'!$A1233:$ZZ1233,1,$E$2+3),6,2)),VALUE(MID(INDEX('입력_구리근무자명단'!$A1233:$ZZ1233,1,$E$2+3),9,2))),-1))))</f>
        <v/>
      </c>
      <c r="U1235">
        <f>IF($R1235="","",IF(OR($S1235&lt;0,$T1235&lt;0),0,MAX(0,MIN($T1235,EOMONTH(급여기준월,0))-MAX($S1235,급여기준월)+1)))</f>
        <v/>
      </c>
      <c r="V1235">
        <f>IF($R1235="","",TRIM(INDEX('입력_구리근무자명단'!$A1233:$ZZ1233,1,$E$2+5)&amp;""))</f>
        <v/>
      </c>
      <c r="W1235">
        <f>IF(ISNUMBER(SEARCH("구리독자",$V1235)),"구리독자","")</f>
        <v/>
      </c>
      <c r="X1235">
        <f>IF($R1235="","",$R1235&amp;"|"&amp;IF(OR($Q1235="인턴",ISNUMBER(SEARCH("수련교육부",$P1235))),"인턴",$P1235))</f>
        <v/>
      </c>
      <c r="Y1235">
        <f>IF($R1235="","",IF(COUNTIF(명단표[이름|과],$X1235)=1,"명단 일치",IF(AND(COUNTIF(명단표[이름|과],$X1235)=0,COUNTIF(명단표[이름],$R1235)=1),"명단 일치(이름만, 과 다름)",IF(COUNTIF(명단표[이름],$R1235)=0,IF(COUNTIF(기본자료표[이름],$R1235)&gt;0,"명단에 없음(기본자료에는 있음)","명단에 없음"),"동명이인 확인"))))</f>
        <v/>
      </c>
      <c r="Z1235">
        <f>IF($R1235="","",IF($S1235&lt;0,"⚠"&amp;INDEX('입력_구리근무자명단'!$A1233:$ZZ1233,1,$E$2+2),TEXT($S1235,"yyyy-mm-dd")))</f>
        <v/>
      </c>
      <c r="AA1235">
        <f>IF($R1235="","",IF($T1235&lt;0,"⚠"&amp;INDEX('입력_구리근무자명단'!$A1233:$ZZ1233,1,$E$2+3),TEXT($T1235,"yyyy-mm-dd")))</f>
        <v/>
      </c>
      <c r="AB1235">
        <f>AB1234+IF($R1235="",0,1)</f>
        <v/>
      </c>
      <c r="AC1235">
        <f>IF($R1235="","",$AB1235)</f>
        <v/>
      </c>
    </row>
    <row r="1236">
      <c r="O1236">
        <f>1234</f>
        <v/>
      </c>
      <c r="P1236">
        <f>IF(TRIM('입력_구리근무자명단'!$A1234&amp;"")&lt;&gt;"",TRIM('입력_구리근무자명단'!$A1234&amp;""),P1235)</f>
        <v/>
      </c>
      <c r="Q1236">
        <f>'입력_구리근무자명단'!$B1234&amp;""</f>
        <v/>
      </c>
      <c r="R1236">
        <f>IF($E$2="","",TRIM(INDEX('입력_구리근무자명단'!$A1234:$ZZ1234,1,$E$2+IF($G$2="확정",1,0))&amp;""))</f>
        <v/>
      </c>
      <c r="S1236">
        <f>IF($R1236="","",IF(INDEX('입력_구리근무자명단'!$A1234:$ZZ1234,1,$E$2+2)&amp;""="",급여기준월,IF(ISNUMBER(INDEX('입력_구리근무자명단'!$A1234:$ZZ1234,1,$E$2+2)),INDEX('입력_구리근무자명단'!$A1234:$ZZ1234,1,$E$2+2),IFERROR(DATE(VALUE(LEFT(INDEX('입력_구리근무자명단'!$A1234:$ZZ1234,1,$E$2+2),4)),VALUE(MID(INDEX('입력_구리근무자명단'!$A1234:$ZZ1234,1,$E$2+2),6,2)),VALUE(MID(INDEX('입력_구리근무자명단'!$A1234:$ZZ1234,1,$E$2+2),9,2))),-1))))</f>
        <v/>
      </c>
      <c r="T1236">
        <f>IF($R1236="","",IF(INDEX('입력_구리근무자명단'!$A1234:$ZZ1234,1,$E$2+3)&amp;""="",EOMONTH(급여기준월,0),IF(ISNUMBER(INDEX('입력_구리근무자명단'!$A1234:$ZZ1234,1,$E$2+3)),INDEX('입력_구리근무자명단'!$A1234:$ZZ1234,1,$E$2+3),IFERROR(DATE(VALUE(LEFT(INDEX('입력_구리근무자명단'!$A1234:$ZZ1234,1,$E$2+3),4)),VALUE(MID(INDEX('입력_구리근무자명단'!$A1234:$ZZ1234,1,$E$2+3),6,2)),VALUE(MID(INDEX('입력_구리근무자명단'!$A1234:$ZZ1234,1,$E$2+3),9,2))),-1))))</f>
        <v/>
      </c>
      <c r="U1236">
        <f>IF($R1236="","",IF(OR($S1236&lt;0,$T1236&lt;0),0,MAX(0,MIN($T1236,EOMONTH(급여기준월,0))-MAX($S1236,급여기준월)+1)))</f>
        <v/>
      </c>
      <c r="V1236">
        <f>IF($R1236="","",TRIM(INDEX('입력_구리근무자명단'!$A1234:$ZZ1234,1,$E$2+5)&amp;""))</f>
        <v/>
      </c>
      <c r="W1236">
        <f>IF(ISNUMBER(SEARCH("구리독자",$V1236)),"구리독자","")</f>
        <v/>
      </c>
      <c r="X1236">
        <f>IF($R1236="","",$R1236&amp;"|"&amp;IF(OR($Q1236="인턴",ISNUMBER(SEARCH("수련교육부",$P1236))),"인턴",$P1236))</f>
        <v/>
      </c>
      <c r="Y1236">
        <f>IF($R1236="","",IF(COUNTIF(명단표[이름|과],$X1236)=1,"명단 일치",IF(AND(COUNTIF(명단표[이름|과],$X1236)=0,COUNTIF(명단표[이름],$R1236)=1),"명단 일치(이름만, 과 다름)",IF(COUNTIF(명단표[이름],$R1236)=0,IF(COUNTIF(기본자료표[이름],$R1236)&gt;0,"명단에 없음(기본자료에는 있음)","명단에 없음"),"동명이인 확인"))))</f>
        <v/>
      </c>
      <c r="Z1236">
        <f>IF($R1236="","",IF($S1236&lt;0,"⚠"&amp;INDEX('입력_구리근무자명단'!$A1234:$ZZ1234,1,$E$2+2),TEXT($S1236,"yyyy-mm-dd")))</f>
        <v/>
      </c>
      <c r="AA1236">
        <f>IF($R1236="","",IF($T1236&lt;0,"⚠"&amp;INDEX('입력_구리근무자명단'!$A1234:$ZZ1234,1,$E$2+3),TEXT($T1236,"yyyy-mm-dd")))</f>
        <v/>
      </c>
      <c r="AB1236">
        <f>AB1235+IF($R1236="",0,1)</f>
        <v/>
      </c>
      <c r="AC1236">
        <f>IF($R1236="","",$AB1236)</f>
        <v/>
      </c>
    </row>
    <row r="1237">
      <c r="O1237">
        <f>1235</f>
        <v/>
      </c>
      <c r="P1237">
        <f>IF(TRIM('입력_구리근무자명단'!$A1235&amp;"")&lt;&gt;"",TRIM('입력_구리근무자명단'!$A1235&amp;""),P1236)</f>
        <v/>
      </c>
      <c r="Q1237">
        <f>'입력_구리근무자명단'!$B1235&amp;""</f>
        <v/>
      </c>
      <c r="R1237">
        <f>IF($E$2="","",TRIM(INDEX('입력_구리근무자명단'!$A1235:$ZZ1235,1,$E$2+IF($G$2="확정",1,0))&amp;""))</f>
        <v/>
      </c>
      <c r="S1237">
        <f>IF($R1237="","",IF(INDEX('입력_구리근무자명단'!$A1235:$ZZ1235,1,$E$2+2)&amp;""="",급여기준월,IF(ISNUMBER(INDEX('입력_구리근무자명단'!$A1235:$ZZ1235,1,$E$2+2)),INDEX('입력_구리근무자명단'!$A1235:$ZZ1235,1,$E$2+2),IFERROR(DATE(VALUE(LEFT(INDEX('입력_구리근무자명단'!$A1235:$ZZ1235,1,$E$2+2),4)),VALUE(MID(INDEX('입력_구리근무자명단'!$A1235:$ZZ1235,1,$E$2+2),6,2)),VALUE(MID(INDEX('입력_구리근무자명단'!$A1235:$ZZ1235,1,$E$2+2),9,2))),-1))))</f>
        <v/>
      </c>
      <c r="T1237">
        <f>IF($R1237="","",IF(INDEX('입력_구리근무자명단'!$A1235:$ZZ1235,1,$E$2+3)&amp;""="",EOMONTH(급여기준월,0),IF(ISNUMBER(INDEX('입력_구리근무자명단'!$A1235:$ZZ1235,1,$E$2+3)),INDEX('입력_구리근무자명단'!$A1235:$ZZ1235,1,$E$2+3),IFERROR(DATE(VALUE(LEFT(INDEX('입력_구리근무자명단'!$A1235:$ZZ1235,1,$E$2+3),4)),VALUE(MID(INDEX('입력_구리근무자명단'!$A1235:$ZZ1235,1,$E$2+3),6,2)),VALUE(MID(INDEX('입력_구리근무자명단'!$A1235:$ZZ1235,1,$E$2+3),9,2))),-1))))</f>
        <v/>
      </c>
      <c r="U1237">
        <f>IF($R1237="","",IF(OR($S1237&lt;0,$T1237&lt;0),0,MAX(0,MIN($T1237,EOMONTH(급여기준월,0))-MAX($S1237,급여기준월)+1)))</f>
        <v/>
      </c>
      <c r="V1237">
        <f>IF($R1237="","",TRIM(INDEX('입력_구리근무자명단'!$A1235:$ZZ1235,1,$E$2+5)&amp;""))</f>
        <v/>
      </c>
      <c r="W1237">
        <f>IF(ISNUMBER(SEARCH("구리독자",$V1237)),"구리독자","")</f>
        <v/>
      </c>
      <c r="X1237">
        <f>IF($R1237="","",$R1237&amp;"|"&amp;IF(OR($Q1237="인턴",ISNUMBER(SEARCH("수련교육부",$P1237))),"인턴",$P1237))</f>
        <v/>
      </c>
      <c r="Y1237">
        <f>IF($R1237="","",IF(COUNTIF(명단표[이름|과],$X1237)=1,"명단 일치",IF(AND(COUNTIF(명단표[이름|과],$X1237)=0,COUNTIF(명단표[이름],$R1237)=1),"명단 일치(이름만, 과 다름)",IF(COUNTIF(명단표[이름],$R1237)=0,IF(COUNTIF(기본자료표[이름],$R1237)&gt;0,"명단에 없음(기본자료에는 있음)","명단에 없음"),"동명이인 확인"))))</f>
        <v/>
      </c>
      <c r="Z1237">
        <f>IF($R1237="","",IF($S1237&lt;0,"⚠"&amp;INDEX('입력_구리근무자명단'!$A1235:$ZZ1235,1,$E$2+2),TEXT($S1237,"yyyy-mm-dd")))</f>
        <v/>
      </c>
      <c r="AA1237">
        <f>IF($R1237="","",IF($T1237&lt;0,"⚠"&amp;INDEX('입력_구리근무자명단'!$A1235:$ZZ1235,1,$E$2+3),TEXT($T1237,"yyyy-mm-dd")))</f>
        <v/>
      </c>
      <c r="AB1237">
        <f>AB1236+IF($R1237="",0,1)</f>
        <v/>
      </c>
      <c r="AC1237">
        <f>IF($R1237="","",$AB1237)</f>
        <v/>
      </c>
    </row>
    <row r="1238">
      <c r="O1238">
        <f>1236</f>
        <v/>
      </c>
      <c r="P1238">
        <f>IF(TRIM('입력_구리근무자명단'!$A1236&amp;"")&lt;&gt;"",TRIM('입력_구리근무자명단'!$A1236&amp;""),P1237)</f>
        <v/>
      </c>
      <c r="Q1238">
        <f>'입력_구리근무자명단'!$B1236&amp;""</f>
        <v/>
      </c>
      <c r="R1238">
        <f>IF($E$2="","",TRIM(INDEX('입력_구리근무자명단'!$A1236:$ZZ1236,1,$E$2+IF($G$2="확정",1,0))&amp;""))</f>
        <v/>
      </c>
      <c r="S1238">
        <f>IF($R1238="","",IF(INDEX('입력_구리근무자명단'!$A1236:$ZZ1236,1,$E$2+2)&amp;""="",급여기준월,IF(ISNUMBER(INDEX('입력_구리근무자명단'!$A1236:$ZZ1236,1,$E$2+2)),INDEX('입력_구리근무자명단'!$A1236:$ZZ1236,1,$E$2+2),IFERROR(DATE(VALUE(LEFT(INDEX('입력_구리근무자명단'!$A1236:$ZZ1236,1,$E$2+2),4)),VALUE(MID(INDEX('입력_구리근무자명단'!$A1236:$ZZ1236,1,$E$2+2),6,2)),VALUE(MID(INDEX('입력_구리근무자명단'!$A1236:$ZZ1236,1,$E$2+2),9,2))),-1))))</f>
        <v/>
      </c>
      <c r="T1238">
        <f>IF($R1238="","",IF(INDEX('입력_구리근무자명단'!$A1236:$ZZ1236,1,$E$2+3)&amp;""="",EOMONTH(급여기준월,0),IF(ISNUMBER(INDEX('입력_구리근무자명단'!$A1236:$ZZ1236,1,$E$2+3)),INDEX('입력_구리근무자명단'!$A1236:$ZZ1236,1,$E$2+3),IFERROR(DATE(VALUE(LEFT(INDEX('입력_구리근무자명단'!$A1236:$ZZ1236,1,$E$2+3),4)),VALUE(MID(INDEX('입력_구리근무자명단'!$A1236:$ZZ1236,1,$E$2+3),6,2)),VALUE(MID(INDEX('입력_구리근무자명단'!$A1236:$ZZ1236,1,$E$2+3),9,2))),-1))))</f>
        <v/>
      </c>
      <c r="U1238">
        <f>IF($R1238="","",IF(OR($S1238&lt;0,$T1238&lt;0),0,MAX(0,MIN($T1238,EOMONTH(급여기준월,0))-MAX($S1238,급여기준월)+1)))</f>
        <v/>
      </c>
      <c r="V1238">
        <f>IF($R1238="","",TRIM(INDEX('입력_구리근무자명단'!$A1236:$ZZ1236,1,$E$2+5)&amp;""))</f>
        <v/>
      </c>
      <c r="W1238">
        <f>IF(ISNUMBER(SEARCH("구리독자",$V1238)),"구리독자","")</f>
        <v/>
      </c>
      <c r="X1238">
        <f>IF($R1238="","",$R1238&amp;"|"&amp;IF(OR($Q1238="인턴",ISNUMBER(SEARCH("수련교육부",$P1238))),"인턴",$P1238))</f>
        <v/>
      </c>
      <c r="Y1238">
        <f>IF($R1238="","",IF(COUNTIF(명단표[이름|과],$X1238)=1,"명단 일치",IF(AND(COUNTIF(명단표[이름|과],$X1238)=0,COUNTIF(명단표[이름],$R1238)=1),"명단 일치(이름만, 과 다름)",IF(COUNTIF(명단표[이름],$R1238)=0,IF(COUNTIF(기본자료표[이름],$R1238)&gt;0,"명단에 없음(기본자료에는 있음)","명단에 없음"),"동명이인 확인"))))</f>
        <v/>
      </c>
      <c r="Z1238">
        <f>IF($R1238="","",IF($S1238&lt;0,"⚠"&amp;INDEX('입력_구리근무자명단'!$A1236:$ZZ1236,1,$E$2+2),TEXT($S1238,"yyyy-mm-dd")))</f>
        <v/>
      </c>
      <c r="AA1238">
        <f>IF($R1238="","",IF($T1238&lt;0,"⚠"&amp;INDEX('입력_구리근무자명단'!$A1236:$ZZ1236,1,$E$2+3),TEXT($T1238,"yyyy-mm-dd")))</f>
        <v/>
      </c>
      <c r="AB1238">
        <f>AB1237+IF($R1238="",0,1)</f>
        <v/>
      </c>
      <c r="AC1238">
        <f>IF($R1238="","",$AB1238)</f>
        <v/>
      </c>
    </row>
    <row r="1239">
      <c r="O1239">
        <f>1237</f>
        <v/>
      </c>
      <c r="P1239">
        <f>IF(TRIM('입력_구리근무자명단'!$A1237&amp;"")&lt;&gt;"",TRIM('입력_구리근무자명단'!$A1237&amp;""),P1238)</f>
        <v/>
      </c>
      <c r="Q1239">
        <f>'입력_구리근무자명단'!$B1237&amp;""</f>
        <v/>
      </c>
      <c r="R1239">
        <f>IF($E$2="","",TRIM(INDEX('입력_구리근무자명단'!$A1237:$ZZ1237,1,$E$2+IF($G$2="확정",1,0))&amp;""))</f>
        <v/>
      </c>
      <c r="S1239">
        <f>IF($R1239="","",IF(INDEX('입력_구리근무자명단'!$A1237:$ZZ1237,1,$E$2+2)&amp;""="",급여기준월,IF(ISNUMBER(INDEX('입력_구리근무자명단'!$A1237:$ZZ1237,1,$E$2+2)),INDEX('입력_구리근무자명단'!$A1237:$ZZ1237,1,$E$2+2),IFERROR(DATE(VALUE(LEFT(INDEX('입력_구리근무자명단'!$A1237:$ZZ1237,1,$E$2+2),4)),VALUE(MID(INDEX('입력_구리근무자명단'!$A1237:$ZZ1237,1,$E$2+2),6,2)),VALUE(MID(INDEX('입력_구리근무자명단'!$A1237:$ZZ1237,1,$E$2+2),9,2))),-1))))</f>
        <v/>
      </c>
      <c r="T1239">
        <f>IF($R1239="","",IF(INDEX('입력_구리근무자명단'!$A1237:$ZZ1237,1,$E$2+3)&amp;""="",EOMONTH(급여기준월,0),IF(ISNUMBER(INDEX('입력_구리근무자명단'!$A1237:$ZZ1237,1,$E$2+3)),INDEX('입력_구리근무자명단'!$A1237:$ZZ1237,1,$E$2+3),IFERROR(DATE(VALUE(LEFT(INDEX('입력_구리근무자명단'!$A1237:$ZZ1237,1,$E$2+3),4)),VALUE(MID(INDEX('입력_구리근무자명단'!$A1237:$ZZ1237,1,$E$2+3),6,2)),VALUE(MID(INDEX('입력_구리근무자명단'!$A1237:$ZZ1237,1,$E$2+3),9,2))),-1))))</f>
        <v/>
      </c>
      <c r="U1239">
        <f>IF($R1239="","",IF(OR($S1239&lt;0,$T1239&lt;0),0,MAX(0,MIN($T1239,EOMONTH(급여기준월,0))-MAX($S1239,급여기준월)+1)))</f>
        <v/>
      </c>
      <c r="V1239">
        <f>IF($R1239="","",TRIM(INDEX('입력_구리근무자명단'!$A1237:$ZZ1237,1,$E$2+5)&amp;""))</f>
        <v/>
      </c>
      <c r="W1239">
        <f>IF(ISNUMBER(SEARCH("구리독자",$V1239)),"구리독자","")</f>
        <v/>
      </c>
      <c r="X1239">
        <f>IF($R1239="","",$R1239&amp;"|"&amp;IF(OR($Q1239="인턴",ISNUMBER(SEARCH("수련교육부",$P1239))),"인턴",$P1239))</f>
        <v/>
      </c>
      <c r="Y1239">
        <f>IF($R1239="","",IF(COUNTIF(명단표[이름|과],$X1239)=1,"명단 일치",IF(AND(COUNTIF(명단표[이름|과],$X1239)=0,COUNTIF(명단표[이름],$R1239)=1),"명단 일치(이름만, 과 다름)",IF(COUNTIF(명단표[이름],$R1239)=0,IF(COUNTIF(기본자료표[이름],$R1239)&gt;0,"명단에 없음(기본자료에는 있음)","명단에 없음"),"동명이인 확인"))))</f>
        <v/>
      </c>
      <c r="Z1239">
        <f>IF($R1239="","",IF($S1239&lt;0,"⚠"&amp;INDEX('입력_구리근무자명단'!$A1237:$ZZ1237,1,$E$2+2),TEXT($S1239,"yyyy-mm-dd")))</f>
        <v/>
      </c>
      <c r="AA1239">
        <f>IF($R1239="","",IF($T1239&lt;0,"⚠"&amp;INDEX('입력_구리근무자명단'!$A1237:$ZZ1237,1,$E$2+3),TEXT($T1239,"yyyy-mm-dd")))</f>
        <v/>
      </c>
      <c r="AB1239">
        <f>AB1238+IF($R1239="",0,1)</f>
        <v/>
      </c>
      <c r="AC1239">
        <f>IF($R1239="","",$AB1239)</f>
        <v/>
      </c>
    </row>
    <row r="1240">
      <c r="O1240">
        <f>1238</f>
        <v/>
      </c>
      <c r="P1240">
        <f>IF(TRIM('입력_구리근무자명단'!$A1238&amp;"")&lt;&gt;"",TRIM('입력_구리근무자명단'!$A1238&amp;""),P1239)</f>
        <v/>
      </c>
      <c r="Q1240">
        <f>'입력_구리근무자명단'!$B1238&amp;""</f>
        <v/>
      </c>
      <c r="R1240">
        <f>IF($E$2="","",TRIM(INDEX('입력_구리근무자명단'!$A1238:$ZZ1238,1,$E$2+IF($G$2="확정",1,0))&amp;""))</f>
        <v/>
      </c>
      <c r="S1240">
        <f>IF($R1240="","",IF(INDEX('입력_구리근무자명단'!$A1238:$ZZ1238,1,$E$2+2)&amp;""="",급여기준월,IF(ISNUMBER(INDEX('입력_구리근무자명단'!$A1238:$ZZ1238,1,$E$2+2)),INDEX('입력_구리근무자명단'!$A1238:$ZZ1238,1,$E$2+2),IFERROR(DATE(VALUE(LEFT(INDEX('입력_구리근무자명단'!$A1238:$ZZ1238,1,$E$2+2),4)),VALUE(MID(INDEX('입력_구리근무자명단'!$A1238:$ZZ1238,1,$E$2+2),6,2)),VALUE(MID(INDEX('입력_구리근무자명단'!$A1238:$ZZ1238,1,$E$2+2),9,2))),-1))))</f>
        <v/>
      </c>
      <c r="T1240">
        <f>IF($R1240="","",IF(INDEX('입력_구리근무자명단'!$A1238:$ZZ1238,1,$E$2+3)&amp;""="",EOMONTH(급여기준월,0),IF(ISNUMBER(INDEX('입력_구리근무자명단'!$A1238:$ZZ1238,1,$E$2+3)),INDEX('입력_구리근무자명단'!$A1238:$ZZ1238,1,$E$2+3),IFERROR(DATE(VALUE(LEFT(INDEX('입력_구리근무자명단'!$A1238:$ZZ1238,1,$E$2+3),4)),VALUE(MID(INDEX('입력_구리근무자명단'!$A1238:$ZZ1238,1,$E$2+3),6,2)),VALUE(MID(INDEX('입력_구리근무자명단'!$A1238:$ZZ1238,1,$E$2+3),9,2))),-1))))</f>
        <v/>
      </c>
      <c r="U1240">
        <f>IF($R1240="","",IF(OR($S1240&lt;0,$T1240&lt;0),0,MAX(0,MIN($T1240,EOMONTH(급여기준월,0))-MAX($S1240,급여기준월)+1)))</f>
        <v/>
      </c>
      <c r="V1240">
        <f>IF($R1240="","",TRIM(INDEX('입력_구리근무자명단'!$A1238:$ZZ1238,1,$E$2+5)&amp;""))</f>
        <v/>
      </c>
      <c r="W1240">
        <f>IF(ISNUMBER(SEARCH("구리독자",$V1240)),"구리독자","")</f>
        <v/>
      </c>
      <c r="X1240">
        <f>IF($R1240="","",$R1240&amp;"|"&amp;IF(OR($Q1240="인턴",ISNUMBER(SEARCH("수련교육부",$P1240))),"인턴",$P1240))</f>
        <v/>
      </c>
      <c r="Y1240">
        <f>IF($R1240="","",IF(COUNTIF(명단표[이름|과],$X1240)=1,"명단 일치",IF(AND(COUNTIF(명단표[이름|과],$X1240)=0,COUNTIF(명단표[이름],$R1240)=1),"명단 일치(이름만, 과 다름)",IF(COUNTIF(명단표[이름],$R1240)=0,IF(COUNTIF(기본자료표[이름],$R1240)&gt;0,"명단에 없음(기본자료에는 있음)","명단에 없음"),"동명이인 확인"))))</f>
        <v/>
      </c>
      <c r="Z1240">
        <f>IF($R1240="","",IF($S1240&lt;0,"⚠"&amp;INDEX('입력_구리근무자명단'!$A1238:$ZZ1238,1,$E$2+2),TEXT($S1240,"yyyy-mm-dd")))</f>
        <v/>
      </c>
      <c r="AA1240">
        <f>IF($R1240="","",IF($T1240&lt;0,"⚠"&amp;INDEX('입력_구리근무자명단'!$A1238:$ZZ1238,1,$E$2+3),TEXT($T1240,"yyyy-mm-dd")))</f>
        <v/>
      </c>
      <c r="AB1240">
        <f>AB1239+IF($R1240="",0,1)</f>
        <v/>
      </c>
      <c r="AC1240">
        <f>IF($R1240="","",$AB1240)</f>
        <v/>
      </c>
    </row>
    <row r="1241">
      <c r="O1241">
        <f>1239</f>
        <v/>
      </c>
      <c r="P1241">
        <f>IF(TRIM('입력_구리근무자명단'!$A1239&amp;"")&lt;&gt;"",TRIM('입력_구리근무자명단'!$A1239&amp;""),P1240)</f>
        <v/>
      </c>
      <c r="Q1241">
        <f>'입력_구리근무자명단'!$B1239&amp;""</f>
        <v/>
      </c>
      <c r="R1241">
        <f>IF($E$2="","",TRIM(INDEX('입력_구리근무자명단'!$A1239:$ZZ1239,1,$E$2+IF($G$2="확정",1,0))&amp;""))</f>
        <v/>
      </c>
      <c r="S1241">
        <f>IF($R1241="","",IF(INDEX('입력_구리근무자명단'!$A1239:$ZZ1239,1,$E$2+2)&amp;""="",급여기준월,IF(ISNUMBER(INDEX('입력_구리근무자명단'!$A1239:$ZZ1239,1,$E$2+2)),INDEX('입력_구리근무자명단'!$A1239:$ZZ1239,1,$E$2+2),IFERROR(DATE(VALUE(LEFT(INDEX('입력_구리근무자명단'!$A1239:$ZZ1239,1,$E$2+2),4)),VALUE(MID(INDEX('입력_구리근무자명단'!$A1239:$ZZ1239,1,$E$2+2),6,2)),VALUE(MID(INDEX('입력_구리근무자명단'!$A1239:$ZZ1239,1,$E$2+2),9,2))),-1))))</f>
        <v/>
      </c>
      <c r="T1241">
        <f>IF($R1241="","",IF(INDEX('입력_구리근무자명단'!$A1239:$ZZ1239,1,$E$2+3)&amp;""="",EOMONTH(급여기준월,0),IF(ISNUMBER(INDEX('입력_구리근무자명단'!$A1239:$ZZ1239,1,$E$2+3)),INDEX('입력_구리근무자명단'!$A1239:$ZZ1239,1,$E$2+3),IFERROR(DATE(VALUE(LEFT(INDEX('입력_구리근무자명단'!$A1239:$ZZ1239,1,$E$2+3),4)),VALUE(MID(INDEX('입력_구리근무자명단'!$A1239:$ZZ1239,1,$E$2+3),6,2)),VALUE(MID(INDEX('입력_구리근무자명단'!$A1239:$ZZ1239,1,$E$2+3),9,2))),-1))))</f>
        <v/>
      </c>
      <c r="U1241">
        <f>IF($R1241="","",IF(OR($S1241&lt;0,$T1241&lt;0),0,MAX(0,MIN($T1241,EOMONTH(급여기준월,0))-MAX($S1241,급여기준월)+1)))</f>
        <v/>
      </c>
      <c r="V1241">
        <f>IF($R1241="","",TRIM(INDEX('입력_구리근무자명단'!$A1239:$ZZ1239,1,$E$2+5)&amp;""))</f>
        <v/>
      </c>
      <c r="W1241">
        <f>IF(ISNUMBER(SEARCH("구리독자",$V1241)),"구리독자","")</f>
        <v/>
      </c>
      <c r="X1241">
        <f>IF($R1241="","",$R1241&amp;"|"&amp;IF(OR($Q1241="인턴",ISNUMBER(SEARCH("수련교육부",$P1241))),"인턴",$P1241))</f>
        <v/>
      </c>
      <c r="Y1241">
        <f>IF($R1241="","",IF(COUNTIF(명단표[이름|과],$X1241)=1,"명단 일치",IF(AND(COUNTIF(명단표[이름|과],$X1241)=0,COUNTIF(명단표[이름],$R1241)=1),"명단 일치(이름만, 과 다름)",IF(COUNTIF(명단표[이름],$R1241)=0,IF(COUNTIF(기본자료표[이름],$R1241)&gt;0,"명단에 없음(기본자료에는 있음)","명단에 없음"),"동명이인 확인"))))</f>
        <v/>
      </c>
      <c r="Z1241">
        <f>IF($R1241="","",IF($S1241&lt;0,"⚠"&amp;INDEX('입력_구리근무자명단'!$A1239:$ZZ1239,1,$E$2+2),TEXT($S1241,"yyyy-mm-dd")))</f>
        <v/>
      </c>
      <c r="AA1241">
        <f>IF($R1241="","",IF($T1241&lt;0,"⚠"&amp;INDEX('입력_구리근무자명단'!$A1239:$ZZ1239,1,$E$2+3),TEXT($T1241,"yyyy-mm-dd")))</f>
        <v/>
      </c>
      <c r="AB1241">
        <f>AB1240+IF($R1241="",0,1)</f>
        <v/>
      </c>
      <c r="AC1241">
        <f>IF($R1241="","",$AB1241)</f>
        <v/>
      </c>
    </row>
    <row r="1242">
      <c r="O1242">
        <f>1240</f>
        <v/>
      </c>
      <c r="P1242">
        <f>IF(TRIM('입력_구리근무자명단'!$A1240&amp;"")&lt;&gt;"",TRIM('입력_구리근무자명단'!$A1240&amp;""),P1241)</f>
        <v/>
      </c>
      <c r="Q1242">
        <f>'입력_구리근무자명단'!$B1240&amp;""</f>
        <v/>
      </c>
      <c r="R1242">
        <f>IF($E$2="","",TRIM(INDEX('입력_구리근무자명단'!$A1240:$ZZ1240,1,$E$2+IF($G$2="확정",1,0))&amp;""))</f>
        <v/>
      </c>
      <c r="S1242">
        <f>IF($R1242="","",IF(INDEX('입력_구리근무자명단'!$A1240:$ZZ1240,1,$E$2+2)&amp;""="",급여기준월,IF(ISNUMBER(INDEX('입력_구리근무자명단'!$A1240:$ZZ1240,1,$E$2+2)),INDEX('입력_구리근무자명단'!$A1240:$ZZ1240,1,$E$2+2),IFERROR(DATE(VALUE(LEFT(INDEX('입력_구리근무자명단'!$A1240:$ZZ1240,1,$E$2+2),4)),VALUE(MID(INDEX('입력_구리근무자명단'!$A1240:$ZZ1240,1,$E$2+2),6,2)),VALUE(MID(INDEX('입력_구리근무자명단'!$A1240:$ZZ1240,1,$E$2+2),9,2))),-1))))</f>
        <v/>
      </c>
      <c r="T1242">
        <f>IF($R1242="","",IF(INDEX('입력_구리근무자명단'!$A1240:$ZZ1240,1,$E$2+3)&amp;""="",EOMONTH(급여기준월,0),IF(ISNUMBER(INDEX('입력_구리근무자명단'!$A1240:$ZZ1240,1,$E$2+3)),INDEX('입력_구리근무자명단'!$A1240:$ZZ1240,1,$E$2+3),IFERROR(DATE(VALUE(LEFT(INDEX('입력_구리근무자명단'!$A1240:$ZZ1240,1,$E$2+3),4)),VALUE(MID(INDEX('입력_구리근무자명단'!$A1240:$ZZ1240,1,$E$2+3),6,2)),VALUE(MID(INDEX('입력_구리근무자명단'!$A1240:$ZZ1240,1,$E$2+3),9,2))),-1))))</f>
        <v/>
      </c>
      <c r="U1242">
        <f>IF($R1242="","",IF(OR($S1242&lt;0,$T1242&lt;0),0,MAX(0,MIN($T1242,EOMONTH(급여기준월,0))-MAX($S1242,급여기준월)+1)))</f>
        <v/>
      </c>
      <c r="V1242">
        <f>IF($R1242="","",TRIM(INDEX('입력_구리근무자명단'!$A1240:$ZZ1240,1,$E$2+5)&amp;""))</f>
        <v/>
      </c>
      <c r="W1242">
        <f>IF(ISNUMBER(SEARCH("구리독자",$V1242)),"구리독자","")</f>
        <v/>
      </c>
      <c r="X1242">
        <f>IF($R1242="","",$R1242&amp;"|"&amp;IF(OR($Q1242="인턴",ISNUMBER(SEARCH("수련교육부",$P1242))),"인턴",$P1242))</f>
        <v/>
      </c>
      <c r="Y1242">
        <f>IF($R1242="","",IF(COUNTIF(명단표[이름|과],$X1242)=1,"명단 일치",IF(AND(COUNTIF(명단표[이름|과],$X1242)=0,COUNTIF(명단표[이름],$R1242)=1),"명단 일치(이름만, 과 다름)",IF(COUNTIF(명단표[이름],$R1242)=0,IF(COUNTIF(기본자료표[이름],$R1242)&gt;0,"명단에 없음(기본자료에는 있음)","명단에 없음"),"동명이인 확인"))))</f>
        <v/>
      </c>
      <c r="Z1242">
        <f>IF($R1242="","",IF($S1242&lt;0,"⚠"&amp;INDEX('입력_구리근무자명단'!$A1240:$ZZ1240,1,$E$2+2),TEXT($S1242,"yyyy-mm-dd")))</f>
        <v/>
      </c>
      <c r="AA1242">
        <f>IF($R1242="","",IF($T1242&lt;0,"⚠"&amp;INDEX('입력_구리근무자명단'!$A1240:$ZZ1240,1,$E$2+3),TEXT($T1242,"yyyy-mm-dd")))</f>
        <v/>
      </c>
      <c r="AB1242">
        <f>AB1241+IF($R1242="",0,1)</f>
        <v/>
      </c>
      <c r="AC1242">
        <f>IF($R1242="","",$AB1242)</f>
        <v/>
      </c>
    </row>
    <row r="1243">
      <c r="O1243">
        <f>1241</f>
        <v/>
      </c>
      <c r="P1243">
        <f>IF(TRIM('입력_구리근무자명단'!$A1241&amp;"")&lt;&gt;"",TRIM('입력_구리근무자명단'!$A1241&amp;""),P1242)</f>
        <v/>
      </c>
      <c r="Q1243">
        <f>'입력_구리근무자명단'!$B1241&amp;""</f>
        <v/>
      </c>
      <c r="R1243">
        <f>IF($E$2="","",TRIM(INDEX('입력_구리근무자명단'!$A1241:$ZZ1241,1,$E$2+IF($G$2="확정",1,0))&amp;""))</f>
        <v/>
      </c>
      <c r="S1243">
        <f>IF($R1243="","",IF(INDEX('입력_구리근무자명단'!$A1241:$ZZ1241,1,$E$2+2)&amp;""="",급여기준월,IF(ISNUMBER(INDEX('입력_구리근무자명단'!$A1241:$ZZ1241,1,$E$2+2)),INDEX('입력_구리근무자명단'!$A1241:$ZZ1241,1,$E$2+2),IFERROR(DATE(VALUE(LEFT(INDEX('입력_구리근무자명단'!$A1241:$ZZ1241,1,$E$2+2),4)),VALUE(MID(INDEX('입력_구리근무자명단'!$A1241:$ZZ1241,1,$E$2+2),6,2)),VALUE(MID(INDEX('입력_구리근무자명단'!$A1241:$ZZ1241,1,$E$2+2),9,2))),-1))))</f>
        <v/>
      </c>
      <c r="T1243">
        <f>IF($R1243="","",IF(INDEX('입력_구리근무자명단'!$A1241:$ZZ1241,1,$E$2+3)&amp;""="",EOMONTH(급여기준월,0),IF(ISNUMBER(INDEX('입력_구리근무자명단'!$A1241:$ZZ1241,1,$E$2+3)),INDEX('입력_구리근무자명단'!$A1241:$ZZ1241,1,$E$2+3),IFERROR(DATE(VALUE(LEFT(INDEX('입력_구리근무자명단'!$A1241:$ZZ1241,1,$E$2+3),4)),VALUE(MID(INDEX('입력_구리근무자명단'!$A1241:$ZZ1241,1,$E$2+3),6,2)),VALUE(MID(INDEX('입력_구리근무자명단'!$A1241:$ZZ1241,1,$E$2+3),9,2))),-1))))</f>
        <v/>
      </c>
      <c r="U1243">
        <f>IF($R1243="","",IF(OR($S1243&lt;0,$T1243&lt;0),0,MAX(0,MIN($T1243,EOMONTH(급여기준월,0))-MAX($S1243,급여기준월)+1)))</f>
        <v/>
      </c>
      <c r="V1243">
        <f>IF($R1243="","",TRIM(INDEX('입력_구리근무자명단'!$A1241:$ZZ1241,1,$E$2+5)&amp;""))</f>
        <v/>
      </c>
      <c r="W1243">
        <f>IF(ISNUMBER(SEARCH("구리독자",$V1243)),"구리독자","")</f>
        <v/>
      </c>
      <c r="X1243">
        <f>IF($R1243="","",$R1243&amp;"|"&amp;IF(OR($Q1243="인턴",ISNUMBER(SEARCH("수련교육부",$P1243))),"인턴",$P1243))</f>
        <v/>
      </c>
      <c r="Y1243">
        <f>IF($R1243="","",IF(COUNTIF(명단표[이름|과],$X1243)=1,"명단 일치",IF(AND(COUNTIF(명단표[이름|과],$X1243)=0,COUNTIF(명단표[이름],$R1243)=1),"명단 일치(이름만, 과 다름)",IF(COUNTIF(명단표[이름],$R1243)=0,IF(COUNTIF(기본자료표[이름],$R1243)&gt;0,"명단에 없음(기본자료에는 있음)","명단에 없음"),"동명이인 확인"))))</f>
        <v/>
      </c>
      <c r="Z1243">
        <f>IF($R1243="","",IF($S1243&lt;0,"⚠"&amp;INDEX('입력_구리근무자명단'!$A1241:$ZZ1241,1,$E$2+2),TEXT($S1243,"yyyy-mm-dd")))</f>
        <v/>
      </c>
      <c r="AA1243">
        <f>IF($R1243="","",IF($T1243&lt;0,"⚠"&amp;INDEX('입력_구리근무자명단'!$A1241:$ZZ1241,1,$E$2+3),TEXT($T1243,"yyyy-mm-dd")))</f>
        <v/>
      </c>
      <c r="AB1243">
        <f>AB1242+IF($R1243="",0,1)</f>
        <v/>
      </c>
      <c r="AC1243">
        <f>IF($R1243="","",$AB1243)</f>
        <v/>
      </c>
    </row>
    <row r="1244">
      <c r="O1244">
        <f>1242</f>
        <v/>
      </c>
      <c r="P1244">
        <f>IF(TRIM('입력_구리근무자명단'!$A1242&amp;"")&lt;&gt;"",TRIM('입력_구리근무자명단'!$A1242&amp;""),P1243)</f>
        <v/>
      </c>
      <c r="Q1244">
        <f>'입력_구리근무자명단'!$B1242&amp;""</f>
        <v/>
      </c>
      <c r="R1244">
        <f>IF($E$2="","",TRIM(INDEX('입력_구리근무자명단'!$A1242:$ZZ1242,1,$E$2+IF($G$2="확정",1,0))&amp;""))</f>
        <v/>
      </c>
      <c r="S1244">
        <f>IF($R1244="","",IF(INDEX('입력_구리근무자명단'!$A1242:$ZZ1242,1,$E$2+2)&amp;""="",급여기준월,IF(ISNUMBER(INDEX('입력_구리근무자명단'!$A1242:$ZZ1242,1,$E$2+2)),INDEX('입력_구리근무자명단'!$A1242:$ZZ1242,1,$E$2+2),IFERROR(DATE(VALUE(LEFT(INDEX('입력_구리근무자명단'!$A1242:$ZZ1242,1,$E$2+2),4)),VALUE(MID(INDEX('입력_구리근무자명단'!$A1242:$ZZ1242,1,$E$2+2),6,2)),VALUE(MID(INDEX('입력_구리근무자명단'!$A1242:$ZZ1242,1,$E$2+2),9,2))),-1))))</f>
        <v/>
      </c>
      <c r="T1244">
        <f>IF($R1244="","",IF(INDEX('입력_구리근무자명단'!$A1242:$ZZ1242,1,$E$2+3)&amp;""="",EOMONTH(급여기준월,0),IF(ISNUMBER(INDEX('입력_구리근무자명단'!$A1242:$ZZ1242,1,$E$2+3)),INDEX('입력_구리근무자명단'!$A1242:$ZZ1242,1,$E$2+3),IFERROR(DATE(VALUE(LEFT(INDEX('입력_구리근무자명단'!$A1242:$ZZ1242,1,$E$2+3),4)),VALUE(MID(INDEX('입력_구리근무자명단'!$A1242:$ZZ1242,1,$E$2+3),6,2)),VALUE(MID(INDEX('입력_구리근무자명단'!$A1242:$ZZ1242,1,$E$2+3),9,2))),-1))))</f>
        <v/>
      </c>
      <c r="U1244">
        <f>IF($R1244="","",IF(OR($S1244&lt;0,$T1244&lt;0),0,MAX(0,MIN($T1244,EOMONTH(급여기준월,0))-MAX($S1244,급여기준월)+1)))</f>
        <v/>
      </c>
      <c r="V1244">
        <f>IF($R1244="","",TRIM(INDEX('입력_구리근무자명단'!$A1242:$ZZ1242,1,$E$2+5)&amp;""))</f>
        <v/>
      </c>
      <c r="W1244">
        <f>IF(ISNUMBER(SEARCH("구리독자",$V1244)),"구리독자","")</f>
        <v/>
      </c>
      <c r="X1244">
        <f>IF($R1244="","",$R1244&amp;"|"&amp;IF(OR($Q1244="인턴",ISNUMBER(SEARCH("수련교육부",$P1244))),"인턴",$P1244))</f>
        <v/>
      </c>
      <c r="Y1244">
        <f>IF($R1244="","",IF(COUNTIF(명단표[이름|과],$X1244)=1,"명단 일치",IF(AND(COUNTIF(명단표[이름|과],$X1244)=0,COUNTIF(명단표[이름],$R1244)=1),"명단 일치(이름만, 과 다름)",IF(COUNTIF(명단표[이름],$R1244)=0,IF(COUNTIF(기본자료표[이름],$R1244)&gt;0,"명단에 없음(기본자료에는 있음)","명단에 없음"),"동명이인 확인"))))</f>
        <v/>
      </c>
      <c r="Z1244">
        <f>IF($R1244="","",IF($S1244&lt;0,"⚠"&amp;INDEX('입력_구리근무자명단'!$A1242:$ZZ1242,1,$E$2+2),TEXT($S1244,"yyyy-mm-dd")))</f>
        <v/>
      </c>
      <c r="AA1244">
        <f>IF($R1244="","",IF($T1244&lt;0,"⚠"&amp;INDEX('입력_구리근무자명단'!$A1242:$ZZ1242,1,$E$2+3),TEXT($T1244,"yyyy-mm-dd")))</f>
        <v/>
      </c>
      <c r="AB1244">
        <f>AB1243+IF($R1244="",0,1)</f>
        <v/>
      </c>
      <c r="AC1244">
        <f>IF($R1244="","",$AB1244)</f>
        <v/>
      </c>
    </row>
    <row r="1245">
      <c r="O1245">
        <f>1243</f>
        <v/>
      </c>
      <c r="P1245">
        <f>IF(TRIM('입력_구리근무자명단'!$A1243&amp;"")&lt;&gt;"",TRIM('입력_구리근무자명단'!$A1243&amp;""),P1244)</f>
        <v/>
      </c>
      <c r="Q1245">
        <f>'입력_구리근무자명단'!$B1243&amp;""</f>
        <v/>
      </c>
      <c r="R1245">
        <f>IF($E$2="","",TRIM(INDEX('입력_구리근무자명단'!$A1243:$ZZ1243,1,$E$2+IF($G$2="확정",1,0))&amp;""))</f>
        <v/>
      </c>
      <c r="S1245">
        <f>IF($R1245="","",IF(INDEX('입력_구리근무자명단'!$A1243:$ZZ1243,1,$E$2+2)&amp;""="",급여기준월,IF(ISNUMBER(INDEX('입력_구리근무자명단'!$A1243:$ZZ1243,1,$E$2+2)),INDEX('입력_구리근무자명단'!$A1243:$ZZ1243,1,$E$2+2),IFERROR(DATE(VALUE(LEFT(INDEX('입력_구리근무자명단'!$A1243:$ZZ1243,1,$E$2+2),4)),VALUE(MID(INDEX('입력_구리근무자명단'!$A1243:$ZZ1243,1,$E$2+2),6,2)),VALUE(MID(INDEX('입력_구리근무자명단'!$A1243:$ZZ1243,1,$E$2+2),9,2))),-1))))</f>
        <v/>
      </c>
      <c r="T1245">
        <f>IF($R1245="","",IF(INDEX('입력_구리근무자명단'!$A1243:$ZZ1243,1,$E$2+3)&amp;""="",EOMONTH(급여기준월,0),IF(ISNUMBER(INDEX('입력_구리근무자명단'!$A1243:$ZZ1243,1,$E$2+3)),INDEX('입력_구리근무자명단'!$A1243:$ZZ1243,1,$E$2+3),IFERROR(DATE(VALUE(LEFT(INDEX('입력_구리근무자명단'!$A1243:$ZZ1243,1,$E$2+3),4)),VALUE(MID(INDEX('입력_구리근무자명단'!$A1243:$ZZ1243,1,$E$2+3),6,2)),VALUE(MID(INDEX('입력_구리근무자명단'!$A1243:$ZZ1243,1,$E$2+3),9,2))),-1))))</f>
        <v/>
      </c>
      <c r="U1245">
        <f>IF($R1245="","",IF(OR($S1245&lt;0,$T1245&lt;0),0,MAX(0,MIN($T1245,EOMONTH(급여기준월,0))-MAX($S1245,급여기준월)+1)))</f>
        <v/>
      </c>
      <c r="V1245">
        <f>IF($R1245="","",TRIM(INDEX('입력_구리근무자명단'!$A1243:$ZZ1243,1,$E$2+5)&amp;""))</f>
        <v/>
      </c>
      <c r="W1245">
        <f>IF(ISNUMBER(SEARCH("구리독자",$V1245)),"구리독자","")</f>
        <v/>
      </c>
      <c r="X1245">
        <f>IF($R1245="","",$R1245&amp;"|"&amp;IF(OR($Q1245="인턴",ISNUMBER(SEARCH("수련교육부",$P1245))),"인턴",$P1245))</f>
        <v/>
      </c>
      <c r="Y1245">
        <f>IF($R1245="","",IF(COUNTIF(명단표[이름|과],$X1245)=1,"명단 일치",IF(AND(COUNTIF(명단표[이름|과],$X1245)=0,COUNTIF(명단표[이름],$R1245)=1),"명단 일치(이름만, 과 다름)",IF(COUNTIF(명단표[이름],$R1245)=0,IF(COUNTIF(기본자료표[이름],$R1245)&gt;0,"명단에 없음(기본자료에는 있음)","명단에 없음"),"동명이인 확인"))))</f>
        <v/>
      </c>
      <c r="Z1245">
        <f>IF($R1245="","",IF($S1245&lt;0,"⚠"&amp;INDEX('입력_구리근무자명단'!$A1243:$ZZ1243,1,$E$2+2),TEXT($S1245,"yyyy-mm-dd")))</f>
        <v/>
      </c>
      <c r="AA1245">
        <f>IF($R1245="","",IF($T1245&lt;0,"⚠"&amp;INDEX('입력_구리근무자명단'!$A1243:$ZZ1243,1,$E$2+3),TEXT($T1245,"yyyy-mm-dd")))</f>
        <v/>
      </c>
      <c r="AB1245">
        <f>AB1244+IF($R1245="",0,1)</f>
        <v/>
      </c>
      <c r="AC1245">
        <f>IF($R1245="","",$AB1245)</f>
        <v/>
      </c>
    </row>
    <row r="1246">
      <c r="O1246">
        <f>1244</f>
        <v/>
      </c>
      <c r="P1246">
        <f>IF(TRIM('입력_구리근무자명단'!$A1244&amp;"")&lt;&gt;"",TRIM('입력_구리근무자명단'!$A1244&amp;""),P1245)</f>
        <v/>
      </c>
      <c r="Q1246">
        <f>'입력_구리근무자명단'!$B1244&amp;""</f>
        <v/>
      </c>
      <c r="R1246">
        <f>IF($E$2="","",TRIM(INDEX('입력_구리근무자명단'!$A1244:$ZZ1244,1,$E$2+IF($G$2="확정",1,0))&amp;""))</f>
        <v/>
      </c>
      <c r="S1246">
        <f>IF($R1246="","",IF(INDEX('입력_구리근무자명단'!$A1244:$ZZ1244,1,$E$2+2)&amp;""="",급여기준월,IF(ISNUMBER(INDEX('입력_구리근무자명단'!$A1244:$ZZ1244,1,$E$2+2)),INDEX('입력_구리근무자명단'!$A1244:$ZZ1244,1,$E$2+2),IFERROR(DATE(VALUE(LEFT(INDEX('입력_구리근무자명단'!$A1244:$ZZ1244,1,$E$2+2),4)),VALUE(MID(INDEX('입력_구리근무자명단'!$A1244:$ZZ1244,1,$E$2+2),6,2)),VALUE(MID(INDEX('입력_구리근무자명단'!$A1244:$ZZ1244,1,$E$2+2),9,2))),-1))))</f>
        <v/>
      </c>
      <c r="T1246">
        <f>IF($R1246="","",IF(INDEX('입력_구리근무자명단'!$A1244:$ZZ1244,1,$E$2+3)&amp;""="",EOMONTH(급여기준월,0),IF(ISNUMBER(INDEX('입력_구리근무자명단'!$A1244:$ZZ1244,1,$E$2+3)),INDEX('입력_구리근무자명단'!$A1244:$ZZ1244,1,$E$2+3),IFERROR(DATE(VALUE(LEFT(INDEX('입력_구리근무자명단'!$A1244:$ZZ1244,1,$E$2+3),4)),VALUE(MID(INDEX('입력_구리근무자명단'!$A1244:$ZZ1244,1,$E$2+3),6,2)),VALUE(MID(INDEX('입력_구리근무자명단'!$A1244:$ZZ1244,1,$E$2+3),9,2))),-1))))</f>
        <v/>
      </c>
      <c r="U1246">
        <f>IF($R1246="","",IF(OR($S1246&lt;0,$T1246&lt;0),0,MAX(0,MIN($T1246,EOMONTH(급여기준월,0))-MAX($S1246,급여기준월)+1)))</f>
        <v/>
      </c>
      <c r="V1246">
        <f>IF($R1246="","",TRIM(INDEX('입력_구리근무자명단'!$A1244:$ZZ1244,1,$E$2+5)&amp;""))</f>
        <v/>
      </c>
      <c r="W1246">
        <f>IF(ISNUMBER(SEARCH("구리독자",$V1246)),"구리독자","")</f>
        <v/>
      </c>
      <c r="X1246">
        <f>IF($R1246="","",$R1246&amp;"|"&amp;IF(OR($Q1246="인턴",ISNUMBER(SEARCH("수련교육부",$P1246))),"인턴",$P1246))</f>
        <v/>
      </c>
      <c r="Y1246">
        <f>IF($R1246="","",IF(COUNTIF(명단표[이름|과],$X1246)=1,"명단 일치",IF(AND(COUNTIF(명단표[이름|과],$X1246)=0,COUNTIF(명단표[이름],$R1246)=1),"명단 일치(이름만, 과 다름)",IF(COUNTIF(명단표[이름],$R1246)=0,IF(COUNTIF(기본자료표[이름],$R1246)&gt;0,"명단에 없음(기본자료에는 있음)","명단에 없음"),"동명이인 확인"))))</f>
        <v/>
      </c>
      <c r="Z1246">
        <f>IF($R1246="","",IF($S1246&lt;0,"⚠"&amp;INDEX('입력_구리근무자명단'!$A1244:$ZZ1244,1,$E$2+2),TEXT($S1246,"yyyy-mm-dd")))</f>
        <v/>
      </c>
      <c r="AA1246">
        <f>IF($R1246="","",IF($T1246&lt;0,"⚠"&amp;INDEX('입력_구리근무자명단'!$A1244:$ZZ1244,1,$E$2+3),TEXT($T1246,"yyyy-mm-dd")))</f>
        <v/>
      </c>
      <c r="AB1246">
        <f>AB1245+IF($R1246="",0,1)</f>
        <v/>
      </c>
      <c r="AC1246">
        <f>IF($R1246="","",$AB1246)</f>
        <v/>
      </c>
    </row>
    <row r="1247">
      <c r="O1247">
        <f>1245</f>
        <v/>
      </c>
      <c r="P1247">
        <f>IF(TRIM('입력_구리근무자명단'!$A1245&amp;"")&lt;&gt;"",TRIM('입력_구리근무자명단'!$A1245&amp;""),P1246)</f>
        <v/>
      </c>
      <c r="Q1247">
        <f>'입력_구리근무자명단'!$B1245&amp;""</f>
        <v/>
      </c>
      <c r="R1247">
        <f>IF($E$2="","",TRIM(INDEX('입력_구리근무자명단'!$A1245:$ZZ1245,1,$E$2+IF($G$2="확정",1,0))&amp;""))</f>
        <v/>
      </c>
      <c r="S1247">
        <f>IF($R1247="","",IF(INDEX('입력_구리근무자명단'!$A1245:$ZZ1245,1,$E$2+2)&amp;""="",급여기준월,IF(ISNUMBER(INDEX('입력_구리근무자명단'!$A1245:$ZZ1245,1,$E$2+2)),INDEX('입력_구리근무자명단'!$A1245:$ZZ1245,1,$E$2+2),IFERROR(DATE(VALUE(LEFT(INDEX('입력_구리근무자명단'!$A1245:$ZZ1245,1,$E$2+2),4)),VALUE(MID(INDEX('입력_구리근무자명단'!$A1245:$ZZ1245,1,$E$2+2),6,2)),VALUE(MID(INDEX('입력_구리근무자명단'!$A1245:$ZZ1245,1,$E$2+2),9,2))),-1))))</f>
        <v/>
      </c>
      <c r="T1247">
        <f>IF($R1247="","",IF(INDEX('입력_구리근무자명단'!$A1245:$ZZ1245,1,$E$2+3)&amp;""="",EOMONTH(급여기준월,0),IF(ISNUMBER(INDEX('입력_구리근무자명단'!$A1245:$ZZ1245,1,$E$2+3)),INDEX('입력_구리근무자명단'!$A1245:$ZZ1245,1,$E$2+3),IFERROR(DATE(VALUE(LEFT(INDEX('입력_구리근무자명단'!$A1245:$ZZ1245,1,$E$2+3),4)),VALUE(MID(INDEX('입력_구리근무자명단'!$A1245:$ZZ1245,1,$E$2+3),6,2)),VALUE(MID(INDEX('입력_구리근무자명단'!$A1245:$ZZ1245,1,$E$2+3),9,2))),-1))))</f>
        <v/>
      </c>
      <c r="U1247">
        <f>IF($R1247="","",IF(OR($S1247&lt;0,$T1247&lt;0),0,MAX(0,MIN($T1247,EOMONTH(급여기준월,0))-MAX($S1247,급여기준월)+1)))</f>
        <v/>
      </c>
      <c r="V1247">
        <f>IF($R1247="","",TRIM(INDEX('입력_구리근무자명단'!$A1245:$ZZ1245,1,$E$2+5)&amp;""))</f>
        <v/>
      </c>
      <c r="W1247">
        <f>IF(ISNUMBER(SEARCH("구리독자",$V1247)),"구리독자","")</f>
        <v/>
      </c>
      <c r="X1247">
        <f>IF($R1247="","",$R1247&amp;"|"&amp;IF(OR($Q1247="인턴",ISNUMBER(SEARCH("수련교육부",$P1247))),"인턴",$P1247))</f>
        <v/>
      </c>
      <c r="Y1247">
        <f>IF($R1247="","",IF(COUNTIF(명단표[이름|과],$X1247)=1,"명단 일치",IF(AND(COUNTIF(명단표[이름|과],$X1247)=0,COUNTIF(명단표[이름],$R1247)=1),"명단 일치(이름만, 과 다름)",IF(COUNTIF(명단표[이름],$R1247)=0,IF(COUNTIF(기본자료표[이름],$R1247)&gt;0,"명단에 없음(기본자료에는 있음)","명단에 없음"),"동명이인 확인"))))</f>
        <v/>
      </c>
      <c r="Z1247">
        <f>IF($R1247="","",IF($S1247&lt;0,"⚠"&amp;INDEX('입력_구리근무자명단'!$A1245:$ZZ1245,1,$E$2+2),TEXT($S1247,"yyyy-mm-dd")))</f>
        <v/>
      </c>
      <c r="AA1247">
        <f>IF($R1247="","",IF($T1247&lt;0,"⚠"&amp;INDEX('입력_구리근무자명단'!$A1245:$ZZ1245,1,$E$2+3),TEXT($T1247,"yyyy-mm-dd")))</f>
        <v/>
      </c>
      <c r="AB1247">
        <f>AB1246+IF($R1247="",0,1)</f>
        <v/>
      </c>
      <c r="AC1247">
        <f>IF($R1247="","",$AB1247)</f>
        <v/>
      </c>
    </row>
    <row r="1248">
      <c r="O1248">
        <f>1246</f>
        <v/>
      </c>
      <c r="P1248">
        <f>IF(TRIM('입력_구리근무자명단'!$A1246&amp;"")&lt;&gt;"",TRIM('입력_구리근무자명단'!$A1246&amp;""),P1247)</f>
        <v/>
      </c>
      <c r="Q1248">
        <f>'입력_구리근무자명단'!$B1246&amp;""</f>
        <v/>
      </c>
      <c r="R1248">
        <f>IF($E$2="","",TRIM(INDEX('입력_구리근무자명단'!$A1246:$ZZ1246,1,$E$2+IF($G$2="확정",1,0))&amp;""))</f>
        <v/>
      </c>
      <c r="S1248">
        <f>IF($R1248="","",IF(INDEX('입력_구리근무자명단'!$A1246:$ZZ1246,1,$E$2+2)&amp;""="",급여기준월,IF(ISNUMBER(INDEX('입력_구리근무자명단'!$A1246:$ZZ1246,1,$E$2+2)),INDEX('입력_구리근무자명단'!$A1246:$ZZ1246,1,$E$2+2),IFERROR(DATE(VALUE(LEFT(INDEX('입력_구리근무자명단'!$A1246:$ZZ1246,1,$E$2+2),4)),VALUE(MID(INDEX('입력_구리근무자명단'!$A1246:$ZZ1246,1,$E$2+2),6,2)),VALUE(MID(INDEX('입력_구리근무자명단'!$A1246:$ZZ1246,1,$E$2+2),9,2))),-1))))</f>
        <v/>
      </c>
      <c r="T1248">
        <f>IF($R1248="","",IF(INDEX('입력_구리근무자명단'!$A1246:$ZZ1246,1,$E$2+3)&amp;""="",EOMONTH(급여기준월,0),IF(ISNUMBER(INDEX('입력_구리근무자명단'!$A1246:$ZZ1246,1,$E$2+3)),INDEX('입력_구리근무자명단'!$A1246:$ZZ1246,1,$E$2+3),IFERROR(DATE(VALUE(LEFT(INDEX('입력_구리근무자명단'!$A1246:$ZZ1246,1,$E$2+3),4)),VALUE(MID(INDEX('입력_구리근무자명단'!$A1246:$ZZ1246,1,$E$2+3),6,2)),VALUE(MID(INDEX('입력_구리근무자명단'!$A1246:$ZZ1246,1,$E$2+3),9,2))),-1))))</f>
        <v/>
      </c>
      <c r="U1248">
        <f>IF($R1248="","",IF(OR($S1248&lt;0,$T1248&lt;0),0,MAX(0,MIN($T1248,EOMONTH(급여기준월,0))-MAX($S1248,급여기준월)+1)))</f>
        <v/>
      </c>
      <c r="V1248">
        <f>IF($R1248="","",TRIM(INDEX('입력_구리근무자명단'!$A1246:$ZZ1246,1,$E$2+5)&amp;""))</f>
        <v/>
      </c>
      <c r="W1248">
        <f>IF(ISNUMBER(SEARCH("구리독자",$V1248)),"구리독자","")</f>
        <v/>
      </c>
      <c r="X1248">
        <f>IF($R1248="","",$R1248&amp;"|"&amp;IF(OR($Q1248="인턴",ISNUMBER(SEARCH("수련교육부",$P1248))),"인턴",$P1248))</f>
        <v/>
      </c>
      <c r="Y1248">
        <f>IF($R1248="","",IF(COUNTIF(명단표[이름|과],$X1248)=1,"명단 일치",IF(AND(COUNTIF(명단표[이름|과],$X1248)=0,COUNTIF(명단표[이름],$R1248)=1),"명단 일치(이름만, 과 다름)",IF(COUNTIF(명단표[이름],$R1248)=0,IF(COUNTIF(기본자료표[이름],$R1248)&gt;0,"명단에 없음(기본자료에는 있음)","명단에 없음"),"동명이인 확인"))))</f>
        <v/>
      </c>
      <c r="Z1248">
        <f>IF($R1248="","",IF($S1248&lt;0,"⚠"&amp;INDEX('입력_구리근무자명단'!$A1246:$ZZ1246,1,$E$2+2),TEXT($S1248,"yyyy-mm-dd")))</f>
        <v/>
      </c>
      <c r="AA1248">
        <f>IF($R1248="","",IF($T1248&lt;0,"⚠"&amp;INDEX('입력_구리근무자명단'!$A1246:$ZZ1246,1,$E$2+3),TEXT($T1248,"yyyy-mm-dd")))</f>
        <v/>
      </c>
      <c r="AB1248">
        <f>AB1247+IF($R1248="",0,1)</f>
        <v/>
      </c>
      <c r="AC1248">
        <f>IF($R1248="","",$AB1248)</f>
        <v/>
      </c>
    </row>
    <row r="1249">
      <c r="O1249">
        <f>1247</f>
        <v/>
      </c>
      <c r="P1249">
        <f>IF(TRIM('입력_구리근무자명단'!$A1247&amp;"")&lt;&gt;"",TRIM('입력_구리근무자명단'!$A1247&amp;""),P1248)</f>
        <v/>
      </c>
      <c r="Q1249">
        <f>'입력_구리근무자명단'!$B1247&amp;""</f>
        <v/>
      </c>
      <c r="R1249">
        <f>IF($E$2="","",TRIM(INDEX('입력_구리근무자명단'!$A1247:$ZZ1247,1,$E$2+IF($G$2="확정",1,0))&amp;""))</f>
        <v/>
      </c>
      <c r="S1249">
        <f>IF($R1249="","",IF(INDEX('입력_구리근무자명단'!$A1247:$ZZ1247,1,$E$2+2)&amp;""="",급여기준월,IF(ISNUMBER(INDEX('입력_구리근무자명단'!$A1247:$ZZ1247,1,$E$2+2)),INDEX('입력_구리근무자명단'!$A1247:$ZZ1247,1,$E$2+2),IFERROR(DATE(VALUE(LEFT(INDEX('입력_구리근무자명단'!$A1247:$ZZ1247,1,$E$2+2),4)),VALUE(MID(INDEX('입력_구리근무자명단'!$A1247:$ZZ1247,1,$E$2+2),6,2)),VALUE(MID(INDEX('입력_구리근무자명단'!$A1247:$ZZ1247,1,$E$2+2),9,2))),-1))))</f>
        <v/>
      </c>
      <c r="T1249">
        <f>IF($R1249="","",IF(INDEX('입력_구리근무자명단'!$A1247:$ZZ1247,1,$E$2+3)&amp;""="",EOMONTH(급여기준월,0),IF(ISNUMBER(INDEX('입력_구리근무자명단'!$A1247:$ZZ1247,1,$E$2+3)),INDEX('입력_구리근무자명단'!$A1247:$ZZ1247,1,$E$2+3),IFERROR(DATE(VALUE(LEFT(INDEX('입력_구리근무자명단'!$A1247:$ZZ1247,1,$E$2+3),4)),VALUE(MID(INDEX('입력_구리근무자명단'!$A1247:$ZZ1247,1,$E$2+3),6,2)),VALUE(MID(INDEX('입력_구리근무자명단'!$A1247:$ZZ1247,1,$E$2+3),9,2))),-1))))</f>
        <v/>
      </c>
      <c r="U1249">
        <f>IF($R1249="","",IF(OR($S1249&lt;0,$T1249&lt;0),0,MAX(0,MIN($T1249,EOMONTH(급여기준월,0))-MAX($S1249,급여기준월)+1)))</f>
        <v/>
      </c>
      <c r="V1249">
        <f>IF($R1249="","",TRIM(INDEX('입력_구리근무자명단'!$A1247:$ZZ1247,1,$E$2+5)&amp;""))</f>
        <v/>
      </c>
      <c r="W1249">
        <f>IF(ISNUMBER(SEARCH("구리독자",$V1249)),"구리독자","")</f>
        <v/>
      </c>
      <c r="X1249">
        <f>IF($R1249="","",$R1249&amp;"|"&amp;IF(OR($Q1249="인턴",ISNUMBER(SEARCH("수련교육부",$P1249))),"인턴",$P1249))</f>
        <v/>
      </c>
      <c r="Y1249">
        <f>IF($R1249="","",IF(COUNTIF(명단표[이름|과],$X1249)=1,"명단 일치",IF(AND(COUNTIF(명단표[이름|과],$X1249)=0,COUNTIF(명단표[이름],$R1249)=1),"명단 일치(이름만, 과 다름)",IF(COUNTIF(명단표[이름],$R1249)=0,IF(COUNTIF(기본자료표[이름],$R1249)&gt;0,"명단에 없음(기본자료에는 있음)","명단에 없음"),"동명이인 확인"))))</f>
        <v/>
      </c>
      <c r="Z1249">
        <f>IF($R1249="","",IF($S1249&lt;0,"⚠"&amp;INDEX('입력_구리근무자명단'!$A1247:$ZZ1247,1,$E$2+2),TEXT($S1249,"yyyy-mm-dd")))</f>
        <v/>
      </c>
      <c r="AA1249">
        <f>IF($R1249="","",IF($T1249&lt;0,"⚠"&amp;INDEX('입력_구리근무자명단'!$A1247:$ZZ1247,1,$E$2+3),TEXT($T1249,"yyyy-mm-dd")))</f>
        <v/>
      </c>
      <c r="AB1249">
        <f>AB1248+IF($R1249="",0,1)</f>
        <v/>
      </c>
      <c r="AC1249">
        <f>IF($R1249="","",$AB1249)</f>
        <v/>
      </c>
    </row>
    <row r="1250">
      <c r="O1250">
        <f>1248</f>
        <v/>
      </c>
      <c r="P1250">
        <f>IF(TRIM('입력_구리근무자명단'!$A1248&amp;"")&lt;&gt;"",TRIM('입력_구리근무자명단'!$A1248&amp;""),P1249)</f>
        <v/>
      </c>
      <c r="Q1250">
        <f>'입력_구리근무자명단'!$B1248&amp;""</f>
        <v/>
      </c>
      <c r="R1250">
        <f>IF($E$2="","",TRIM(INDEX('입력_구리근무자명단'!$A1248:$ZZ1248,1,$E$2+IF($G$2="확정",1,0))&amp;""))</f>
        <v/>
      </c>
      <c r="S1250">
        <f>IF($R1250="","",IF(INDEX('입력_구리근무자명단'!$A1248:$ZZ1248,1,$E$2+2)&amp;""="",급여기준월,IF(ISNUMBER(INDEX('입력_구리근무자명단'!$A1248:$ZZ1248,1,$E$2+2)),INDEX('입력_구리근무자명단'!$A1248:$ZZ1248,1,$E$2+2),IFERROR(DATE(VALUE(LEFT(INDEX('입력_구리근무자명단'!$A1248:$ZZ1248,1,$E$2+2),4)),VALUE(MID(INDEX('입력_구리근무자명단'!$A1248:$ZZ1248,1,$E$2+2),6,2)),VALUE(MID(INDEX('입력_구리근무자명단'!$A1248:$ZZ1248,1,$E$2+2),9,2))),-1))))</f>
        <v/>
      </c>
      <c r="T1250">
        <f>IF($R1250="","",IF(INDEX('입력_구리근무자명단'!$A1248:$ZZ1248,1,$E$2+3)&amp;""="",EOMONTH(급여기준월,0),IF(ISNUMBER(INDEX('입력_구리근무자명단'!$A1248:$ZZ1248,1,$E$2+3)),INDEX('입력_구리근무자명단'!$A1248:$ZZ1248,1,$E$2+3),IFERROR(DATE(VALUE(LEFT(INDEX('입력_구리근무자명단'!$A1248:$ZZ1248,1,$E$2+3),4)),VALUE(MID(INDEX('입력_구리근무자명단'!$A1248:$ZZ1248,1,$E$2+3),6,2)),VALUE(MID(INDEX('입력_구리근무자명단'!$A1248:$ZZ1248,1,$E$2+3),9,2))),-1))))</f>
        <v/>
      </c>
      <c r="U1250">
        <f>IF($R1250="","",IF(OR($S1250&lt;0,$T1250&lt;0),0,MAX(0,MIN($T1250,EOMONTH(급여기준월,0))-MAX($S1250,급여기준월)+1)))</f>
        <v/>
      </c>
      <c r="V1250">
        <f>IF($R1250="","",TRIM(INDEX('입력_구리근무자명단'!$A1248:$ZZ1248,1,$E$2+5)&amp;""))</f>
        <v/>
      </c>
      <c r="W1250">
        <f>IF(ISNUMBER(SEARCH("구리독자",$V1250)),"구리독자","")</f>
        <v/>
      </c>
      <c r="X1250">
        <f>IF($R1250="","",$R1250&amp;"|"&amp;IF(OR($Q1250="인턴",ISNUMBER(SEARCH("수련교육부",$P1250))),"인턴",$P1250))</f>
        <v/>
      </c>
      <c r="Y1250">
        <f>IF($R1250="","",IF(COUNTIF(명단표[이름|과],$X1250)=1,"명단 일치",IF(AND(COUNTIF(명단표[이름|과],$X1250)=0,COUNTIF(명단표[이름],$R1250)=1),"명단 일치(이름만, 과 다름)",IF(COUNTIF(명단표[이름],$R1250)=0,IF(COUNTIF(기본자료표[이름],$R1250)&gt;0,"명단에 없음(기본자료에는 있음)","명단에 없음"),"동명이인 확인"))))</f>
        <v/>
      </c>
      <c r="Z1250">
        <f>IF($R1250="","",IF($S1250&lt;0,"⚠"&amp;INDEX('입력_구리근무자명단'!$A1248:$ZZ1248,1,$E$2+2),TEXT($S1250,"yyyy-mm-dd")))</f>
        <v/>
      </c>
      <c r="AA1250">
        <f>IF($R1250="","",IF($T1250&lt;0,"⚠"&amp;INDEX('입력_구리근무자명단'!$A1248:$ZZ1248,1,$E$2+3),TEXT($T1250,"yyyy-mm-dd")))</f>
        <v/>
      </c>
      <c r="AB1250">
        <f>AB1249+IF($R1250="",0,1)</f>
        <v/>
      </c>
      <c r="AC1250">
        <f>IF($R1250="","",$AB1250)</f>
        <v/>
      </c>
    </row>
    <row r="1251">
      <c r="O1251">
        <f>1249</f>
        <v/>
      </c>
      <c r="P1251">
        <f>IF(TRIM('입력_구리근무자명단'!$A1249&amp;"")&lt;&gt;"",TRIM('입력_구리근무자명단'!$A1249&amp;""),P1250)</f>
        <v/>
      </c>
      <c r="Q1251">
        <f>'입력_구리근무자명단'!$B1249&amp;""</f>
        <v/>
      </c>
      <c r="R1251">
        <f>IF($E$2="","",TRIM(INDEX('입력_구리근무자명단'!$A1249:$ZZ1249,1,$E$2+IF($G$2="확정",1,0))&amp;""))</f>
        <v/>
      </c>
      <c r="S1251">
        <f>IF($R1251="","",IF(INDEX('입력_구리근무자명단'!$A1249:$ZZ1249,1,$E$2+2)&amp;""="",급여기준월,IF(ISNUMBER(INDEX('입력_구리근무자명단'!$A1249:$ZZ1249,1,$E$2+2)),INDEX('입력_구리근무자명단'!$A1249:$ZZ1249,1,$E$2+2),IFERROR(DATE(VALUE(LEFT(INDEX('입력_구리근무자명단'!$A1249:$ZZ1249,1,$E$2+2),4)),VALUE(MID(INDEX('입력_구리근무자명단'!$A1249:$ZZ1249,1,$E$2+2),6,2)),VALUE(MID(INDEX('입력_구리근무자명단'!$A1249:$ZZ1249,1,$E$2+2),9,2))),-1))))</f>
        <v/>
      </c>
      <c r="T1251">
        <f>IF($R1251="","",IF(INDEX('입력_구리근무자명단'!$A1249:$ZZ1249,1,$E$2+3)&amp;""="",EOMONTH(급여기준월,0),IF(ISNUMBER(INDEX('입력_구리근무자명단'!$A1249:$ZZ1249,1,$E$2+3)),INDEX('입력_구리근무자명단'!$A1249:$ZZ1249,1,$E$2+3),IFERROR(DATE(VALUE(LEFT(INDEX('입력_구리근무자명단'!$A1249:$ZZ1249,1,$E$2+3),4)),VALUE(MID(INDEX('입력_구리근무자명단'!$A1249:$ZZ1249,1,$E$2+3),6,2)),VALUE(MID(INDEX('입력_구리근무자명단'!$A1249:$ZZ1249,1,$E$2+3),9,2))),-1))))</f>
        <v/>
      </c>
      <c r="U1251">
        <f>IF($R1251="","",IF(OR($S1251&lt;0,$T1251&lt;0),0,MAX(0,MIN($T1251,EOMONTH(급여기준월,0))-MAX($S1251,급여기준월)+1)))</f>
        <v/>
      </c>
      <c r="V1251">
        <f>IF($R1251="","",TRIM(INDEX('입력_구리근무자명단'!$A1249:$ZZ1249,1,$E$2+5)&amp;""))</f>
        <v/>
      </c>
      <c r="W1251">
        <f>IF(ISNUMBER(SEARCH("구리독자",$V1251)),"구리독자","")</f>
        <v/>
      </c>
      <c r="X1251">
        <f>IF($R1251="","",$R1251&amp;"|"&amp;IF(OR($Q1251="인턴",ISNUMBER(SEARCH("수련교육부",$P1251))),"인턴",$P1251))</f>
        <v/>
      </c>
      <c r="Y1251">
        <f>IF($R1251="","",IF(COUNTIF(명단표[이름|과],$X1251)=1,"명단 일치",IF(AND(COUNTIF(명단표[이름|과],$X1251)=0,COUNTIF(명단표[이름],$R1251)=1),"명단 일치(이름만, 과 다름)",IF(COUNTIF(명단표[이름],$R1251)=0,IF(COUNTIF(기본자료표[이름],$R1251)&gt;0,"명단에 없음(기본자료에는 있음)","명단에 없음"),"동명이인 확인"))))</f>
        <v/>
      </c>
      <c r="Z1251">
        <f>IF($R1251="","",IF($S1251&lt;0,"⚠"&amp;INDEX('입력_구리근무자명단'!$A1249:$ZZ1249,1,$E$2+2),TEXT($S1251,"yyyy-mm-dd")))</f>
        <v/>
      </c>
      <c r="AA1251">
        <f>IF($R1251="","",IF($T1251&lt;0,"⚠"&amp;INDEX('입력_구리근무자명단'!$A1249:$ZZ1249,1,$E$2+3),TEXT($T1251,"yyyy-mm-dd")))</f>
        <v/>
      </c>
      <c r="AB1251">
        <f>AB1250+IF($R1251="",0,1)</f>
        <v/>
      </c>
      <c r="AC1251">
        <f>IF($R1251="","",$AB1251)</f>
        <v/>
      </c>
    </row>
    <row r="1252">
      <c r="O1252">
        <f>1250</f>
        <v/>
      </c>
      <c r="P1252">
        <f>IF(TRIM('입력_구리근무자명단'!$A1250&amp;"")&lt;&gt;"",TRIM('입력_구리근무자명단'!$A1250&amp;""),P1251)</f>
        <v/>
      </c>
      <c r="Q1252">
        <f>'입력_구리근무자명단'!$B1250&amp;""</f>
        <v/>
      </c>
      <c r="R1252">
        <f>IF($E$2="","",TRIM(INDEX('입력_구리근무자명단'!$A1250:$ZZ1250,1,$E$2+IF($G$2="확정",1,0))&amp;""))</f>
        <v/>
      </c>
      <c r="S1252">
        <f>IF($R1252="","",IF(INDEX('입력_구리근무자명단'!$A1250:$ZZ1250,1,$E$2+2)&amp;""="",급여기준월,IF(ISNUMBER(INDEX('입력_구리근무자명단'!$A1250:$ZZ1250,1,$E$2+2)),INDEX('입력_구리근무자명단'!$A1250:$ZZ1250,1,$E$2+2),IFERROR(DATE(VALUE(LEFT(INDEX('입력_구리근무자명단'!$A1250:$ZZ1250,1,$E$2+2),4)),VALUE(MID(INDEX('입력_구리근무자명단'!$A1250:$ZZ1250,1,$E$2+2),6,2)),VALUE(MID(INDEX('입력_구리근무자명단'!$A1250:$ZZ1250,1,$E$2+2),9,2))),-1))))</f>
        <v/>
      </c>
      <c r="T1252">
        <f>IF($R1252="","",IF(INDEX('입력_구리근무자명단'!$A1250:$ZZ1250,1,$E$2+3)&amp;""="",EOMONTH(급여기준월,0),IF(ISNUMBER(INDEX('입력_구리근무자명단'!$A1250:$ZZ1250,1,$E$2+3)),INDEX('입력_구리근무자명단'!$A1250:$ZZ1250,1,$E$2+3),IFERROR(DATE(VALUE(LEFT(INDEX('입력_구리근무자명단'!$A1250:$ZZ1250,1,$E$2+3),4)),VALUE(MID(INDEX('입력_구리근무자명단'!$A1250:$ZZ1250,1,$E$2+3),6,2)),VALUE(MID(INDEX('입력_구리근무자명단'!$A1250:$ZZ1250,1,$E$2+3),9,2))),-1))))</f>
        <v/>
      </c>
      <c r="U1252">
        <f>IF($R1252="","",IF(OR($S1252&lt;0,$T1252&lt;0),0,MAX(0,MIN($T1252,EOMONTH(급여기준월,0))-MAX($S1252,급여기준월)+1)))</f>
        <v/>
      </c>
      <c r="V1252">
        <f>IF($R1252="","",TRIM(INDEX('입력_구리근무자명단'!$A1250:$ZZ1250,1,$E$2+5)&amp;""))</f>
        <v/>
      </c>
      <c r="W1252">
        <f>IF(ISNUMBER(SEARCH("구리독자",$V1252)),"구리독자","")</f>
        <v/>
      </c>
      <c r="X1252">
        <f>IF($R1252="","",$R1252&amp;"|"&amp;IF(OR($Q1252="인턴",ISNUMBER(SEARCH("수련교육부",$P1252))),"인턴",$P1252))</f>
        <v/>
      </c>
      <c r="Y1252">
        <f>IF($R1252="","",IF(COUNTIF(명단표[이름|과],$X1252)=1,"명단 일치",IF(AND(COUNTIF(명단표[이름|과],$X1252)=0,COUNTIF(명단표[이름],$R1252)=1),"명단 일치(이름만, 과 다름)",IF(COUNTIF(명단표[이름],$R1252)=0,IF(COUNTIF(기본자료표[이름],$R1252)&gt;0,"명단에 없음(기본자료에는 있음)","명단에 없음"),"동명이인 확인"))))</f>
        <v/>
      </c>
      <c r="Z1252">
        <f>IF($R1252="","",IF($S1252&lt;0,"⚠"&amp;INDEX('입력_구리근무자명단'!$A1250:$ZZ1250,1,$E$2+2),TEXT($S1252,"yyyy-mm-dd")))</f>
        <v/>
      </c>
      <c r="AA1252">
        <f>IF($R1252="","",IF($T1252&lt;0,"⚠"&amp;INDEX('입력_구리근무자명단'!$A1250:$ZZ1250,1,$E$2+3),TEXT($T1252,"yyyy-mm-dd")))</f>
        <v/>
      </c>
      <c r="AB1252">
        <f>AB1251+IF($R1252="",0,1)</f>
        <v/>
      </c>
      <c r="AC1252">
        <f>IF($R1252="","",$AB1252)</f>
        <v/>
      </c>
    </row>
    <row r="1253">
      <c r="O1253">
        <f>1251</f>
        <v/>
      </c>
      <c r="P1253">
        <f>IF(TRIM('입력_구리근무자명단'!$A1251&amp;"")&lt;&gt;"",TRIM('입력_구리근무자명단'!$A1251&amp;""),P1252)</f>
        <v/>
      </c>
      <c r="Q1253">
        <f>'입력_구리근무자명단'!$B1251&amp;""</f>
        <v/>
      </c>
      <c r="R1253">
        <f>IF($E$2="","",TRIM(INDEX('입력_구리근무자명단'!$A1251:$ZZ1251,1,$E$2+IF($G$2="확정",1,0))&amp;""))</f>
        <v/>
      </c>
      <c r="S1253">
        <f>IF($R1253="","",IF(INDEX('입력_구리근무자명단'!$A1251:$ZZ1251,1,$E$2+2)&amp;""="",급여기준월,IF(ISNUMBER(INDEX('입력_구리근무자명단'!$A1251:$ZZ1251,1,$E$2+2)),INDEX('입력_구리근무자명단'!$A1251:$ZZ1251,1,$E$2+2),IFERROR(DATE(VALUE(LEFT(INDEX('입력_구리근무자명단'!$A1251:$ZZ1251,1,$E$2+2),4)),VALUE(MID(INDEX('입력_구리근무자명단'!$A1251:$ZZ1251,1,$E$2+2),6,2)),VALUE(MID(INDEX('입력_구리근무자명단'!$A1251:$ZZ1251,1,$E$2+2),9,2))),-1))))</f>
        <v/>
      </c>
      <c r="T1253">
        <f>IF($R1253="","",IF(INDEX('입력_구리근무자명단'!$A1251:$ZZ1251,1,$E$2+3)&amp;""="",EOMONTH(급여기준월,0),IF(ISNUMBER(INDEX('입력_구리근무자명단'!$A1251:$ZZ1251,1,$E$2+3)),INDEX('입력_구리근무자명단'!$A1251:$ZZ1251,1,$E$2+3),IFERROR(DATE(VALUE(LEFT(INDEX('입력_구리근무자명단'!$A1251:$ZZ1251,1,$E$2+3),4)),VALUE(MID(INDEX('입력_구리근무자명단'!$A1251:$ZZ1251,1,$E$2+3),6,2)),VALUE(MID(INDEX('입력_구리근무자명단'!$A1251:$ZZ1251,1,$E$2+3),9,2))),-1))))</f>
        <v/>
      </c>
      <c r="U1253">
        <f>IF($R1253="","",IF(OR($S1253&lt;0,$T1253&lt;0),0,MAX(0,MIN($T1253,EOMONTH(급여기준월,0))-MAX($S1253,급여기준월)+1)))</f>
        <v/>
      </c>
      <c r="V1253">
        <f>IF($R1253="","",TRIM(INDEX('입력_구리근무자명단'!$A1251:$ZZ1251,1,$E$2+5)&amp;""))</f>
        <v/>
      </c>
      <c r="W1253">
        <f>IF(ISNUMBER(SEARCH("구리독자",$V1253)),"구리독자","")</f>
        <v/>
      </c>
      <c r="X1253">
        <f>IF($R1253="","",$R1253&amp;"|"&amp;IF(OR($Q1253="인턴",ISNUMBER(SEARCH("수련교육부",$P1253))),"인턴",$P1253))</f>
        <v/>
      </c>
      <c r="Y1253">
        <f>IF($R1253="","",IF(COUNTIF(명단표[이름|과],$X1253)=1,"명단 일치",IF(AND(COUNTIF(명단표[이름|과],$X1253)=0,COUNTIF(명단표[이름],$R1253)=1),"명단 일치(이름만, 과 다름)",IF(COUNTIF(명단표[이름],$R1253)=0,IF(COUNTIF(기본자료표[이름],$R1253)&gt;0,"명단에 없음(기본자료에는 있음)","명단에 없음"),"동명이인 확인"))))</f>
        <v/>
      </c>
      <c r="Z1253">
        <f>IF($R1253="","",IF($S1253&lt;0,"⚠"&amp;INDEX('입력_구리근무자명단'!$A1251:$ZZ1251,1,$E$2+2),TEXT($S1253,"yyyy-mm-dd")))</f>
        <v/>
      </c>
      <c r="AA1253">
        <f>IF($R1253="","",IF($T1253&lt;0,"⚠"&amp;INDEX('입력_구리근무자명단'!$A1251:$ZZ1251,1,$E$2+3),TEXT($T1253,"yyyy-mm-dd")))</f>
        <v/>
      </c>
      <c r="AB1253">
        <f>AB1252+IF($R1253="",0,1)</f>
        <v/>
      </c>
      <c r="AC1253">
        <f>IF($R1253="","",$AB1253)</f>
        <v/>
      </c>
    </row>
    <row r="1254">
      <c r="O1254">
        <f>1252</f>
        <v/>
      </c>
      <c r="P1254">
        <f>IF(TRIM('입력_구리근무자명단'!$A1252&amp;"")&lt;&gt;"",TRIM('입력_구리근무자명단'!$A1252&amp;""),P1253)</f>
        <v/>
      </c>
      <c r="Q1254">
        <f>'입력_구리근무자명단'!$B1252&amp;""</f>
        <v/>
      </c>
      <c r="R1254">
        <f>IF($E$2="","",TRIM(INDEX('입력_구리근무자명단'!$A1252:$ZZ1252,1,$E$2+IF($G$2="확정",1,0))&amp;""))</f>
        <v/>
      </c>
      <c r="S1254">
        <f>IF($R1254="","",IF(INDEX('입력_구리근무자명단'!$A1252:$ZZ1252,1,$E$2+2)&amp;""="",급여기준월,IF(ISNUMBER(INDEX('입력_구리근무자명단'!$A1252:$ZZ1252,1,$E$2+2)),INDEX('입력_구리근무자명단'!$A1252:$ZZ1252,1,$E$2+2),IFERROR(DATE(VALUE(LEFT(INDEX('입력_구리근무자명단'!$A1252:$ZZ1252,1,$E$2+2),4)),VALUE(MID(INDEX('입력_구리근무자명단'!$A1252:$ZZ1252,1,$E$2+2),6,2)),VALUE(MID(INDEX('입력_구리근무자명단'!$A1252:$ZZ1252,1,$E$2+2),9,2))),-1))))</f>
        <v/>
      </c>
      <c r="T1254">
        <f>IF($R1254="","",IF(INDEX('입력_구리근무자명단'!$A1252:$ZZ1252,1,$E$2+3)&amp;""="",EOMONTH(급여기준월,0),IF(ISNUMBER(INDEX('입력_구리근무자명단'!$A1252:$ZZ1252,1,$E$2+3)),INDEX('입력_구리근무자명단'!$A1252:$ZZ1252,1,$E$2+3),IFERROR(DATE(VALUE(LEFT(INDEX('입력_구리근무자명단'!$A1252:$ZZ1252,1,$E$2+3),4)),VALUE(MID(INDEX('입력_구리근무자명단'!$A1252:$ZZ1252,1,$E$2+3),6,2)),VALUE(MID(INDEX('입력_구리근무자명단'!$A1252:$ZZ1252,1,$E$2+3),9,2))),-1))))</f>
        <v/>
      </c>
      <c r="U1254">
        <f>IF($R1254="","",IF(OR($S1254&lt;0,$T1254&lt;0),0,MAX(0,MIN($T1254,EOMONTH(급여기준월,0))-MAX($S1254,급여기준월)+1)))</f>
        <v/>
      </c>
      <c r="V1254">
        <f>IF($R1254="","",TRIM(INDEX('입력_구리근무자명단'!$A1252:$ZZ1252,1,$E$2+5)&amp;""))</f>
        <v/>
      </c>
      <c r="W1254">
        <f>IF(ISNUMBER(SEARCH("구리독자",$V1254)),"구리독자","")</f>
        <v/>
      </c>
      <c r="X1254">
        <f>IF($R1254="","",$R1254&amp;"|"&amp;IF(OR($Q1254="인턴",ISNUMBER(SEARCH("수련교육부",$P1254))),"인턴",$P1254))</f>
        <v/>
      </c>
      <c r="Y1254">
        <f>IF($R1254="","",IF(COUNTIF(명단표[이름|과],$X1254)=1,"명단 일치",IF(AND(COUNTIF(명단표[이름|과],$X1254)=0,COUNTIF(명단표[이름],$R1254)=1),"명단 일치(이름만, 과 다름)",IF(COUNTIF(명단표[이름],$R1254)=0,IF(COUNTIF(기본자료표[이름],$R1254)&gt;0,"명단에 없음(기본자료에는 있음)","명단에 없음"),"동명이인 확인"))))</f>
        <v/>
      </c>
      <c r="Z1254">
        <f>IF($R1254="","",IF($S1254&lt;0,"⚠"&amp;INDEX('입력_구리근무자명단'!$A1252:$ZZ1252,1,$E$2+2),TEXT($S1254,"yyyy-mm-dd")))</f>
        <v/>
      </c>
      <c r="AA1254">
        <f>IF($R1254="","",IF($T1254&lt;0,"⚠"&amp;INDEX('입력_구리근무자명단'!$A1252:$ZZ1252,1,$E$2+3),TEXT($T1254,"yyyy-mm-dd")))</f>
        <v/>
      </c>
      <c r="AB1254">
        <f>AB1253+IF($R1254="",0,1)</f>
        <v/>
      </c>
      <c r="AC1254">
        <f>IF($R1254="","",$AB1254)</f>
        <v/>
      </c>
    </row>
    <row r="1255">
      <c r="O1255">
        <f>1253</f>
        <v/>
      </c>
      <c r="P1255">
        <f>IF(TRIM('입력_구리근무자명단'!$A1253&amp;"")&lt;&gt;"",TRIM('입력_구리근무자명단'!$A1253&amp;""),P1254)</f>
        <v/>
      </c>
      <c r="Q1255">
        <f>'입력_구리근무자명단'!$B1253&amp;""</f>
        <v/>
      </c>
      <c r="R1255">
        <f>IF($E$2="","",TRIM(INDEX('입력_구리근무자명단'!$A1253:$ZZ1253,1,$E$2+IF($G$2="확정",1,0))&amp;""))</f>
        <v/>
      </c>
      <c r="S1255">
        <f>IF($R1255="","",IF(INDEX('입력_구리근무자명단'!$A1253:$ZZ1253,1,$E$2+2)&amp;""="",급여기준월,IF(ISNUMBER(INDEX('입력_구리근무자명단'!$A1253:$ZZ1253,1,$E$2+2)),INDEX('입력_구리근무자명단'!$A1253:$ZZ1253,1,$E$2+2),IFERROR(DATE(VALUE(LEFT(INDEX('입력_구리근무자명단'!$A1253:$ZZ1253,1,$E$2+2),4)),VALUE(MID(INDEX('입력_구리근무자명단'!$A1253:$ZZ1253,1,$E$2+2),6,2)),VALUE(MID(INDEX('입력_구리근무자명단'!$A1253:$ZZ1253,1,$E$2+2),9,2))),-1))))</f>
        <v/>
      </c>
      <c r="T1255">
        <f>IF($R1255="","",IF(INDEX('입력_구리근무자명단'!$A1253:$ZZ1253,1,$E$2+3)&amp;""="",EOMONTH(급여기준월,0),IF(ISNUMBER(INDEX('입력_구리근무자명단'!$A1253:$ZZ1253,1,$E$2+3)),INDEX('입력_구리근무자명단'!$A1253:$ZZ1253,1,$E$2+3),IFERROR(DATE(VALUE(LEFT(INDEX('입력_구리근무자명단'!$A1253:$ZZ1253,1,$E$2+3),4)),VALUE(MID(INDEX('입력_구리근무자명단'!$A1253:$ZZ1253,1,$E$2+3),6,2)),VALUE(MID(INDEX('입력_구리근무자명단'!$A1253:$ZZ1253,1,$E$2+3),9,2))),-1))))</f>
        <v/>
      </c>
      <c r="U1255">
        <f>IF($R1255="","",IF(OR($S1255&lt;0,$T1255&lt;0),0,MAX(0,MIN($T1255,EOMONTH(급여기준월,0))-MAX($S1255,급여기준월)+1)))</f>
        <v/>
      </c>
      <c r="V1255">
        <f>IF($R1255="","",TRIM(INDEX('입력_구리근무자명단'!$A1253:$ZZ1253,1,$E$2+5)&amp;""))</f>
        <v/>
      </c>
      <c r="W1255">
        <f>IF(ISNUMBER(SEARCH("구리독자",$V1255)),"구리독자","")</f>
        <v/>
      </c>
      <c r="X1255">
        <f>IF($R1255="","",$R1255&amp;"|"&amp;IF(OR($Q1255="인턴",ISNUMBER(SEARCH("수련교육부",$P1255))),"인턴",$P1255))</f>
        <v/>
      </c>
      <c r="Y1255">
        <f>IF($R1255="","",IF(COUNTIF(명단표[이름|과],$X1255)=1,"명단 일치",IF(AND(COUNTIF(명단표[이름|과],$X1255)=0,COUNTIF(명단표[이름],$R1255)=1),"명단 일치(이름만, 과 다름)",IF(COUNTIF(명단표[이름],$R1255)=0,IF(COUNTIF(기본자료표[이름],$R1255)&gt;0,"명단에 없음(기본자료에는 있음)","명단에 없음"),"동명이인 확인"))))</f>
        <v/>
      </c>
      <c r="Z1255">
        <f>IF($R1255="","",IF($S1255&lt;0,"⚠"&amp;INDEX('입력_구리근무자명단'!$A1253:$ZZ1253,1,$E$2+2),TEXT($S1255,"yyyy-mm-dd")))</f>
        <v/>
      </c>
      <c r="AA1255">
        <f>IF($R1255="","",IF($T1255&lt;0,"⚠"&amp;INDEX('입력_구리근무자명단'!$A1253:$ZZ1253,1,$E$2+3),TEXT($T1255,"yyyy-mm-dd")))</f>
        <v/>
      </c>
      <c r="AB1255">
        <f>AB1254+IF($R1255="",0,1)</f>
        <v/>
      </c>
      <c r="AC1255">
        <f>IF($R1255="","",$AB1255)</f>
        <v/>
      </c>
    </row>
    <row r="1256">
      <c r="O1256">
        <f>1254</f>
        <v/>
      </c>
      <c r="P1256">
        <f>IF(TRIM('입력_구리근무자명단'!$A1254&amp;"")&lt;&gt;"",TRIM('입력_구리근무자명단'!$A1254&amp;""),P1255)</f>
        <v/>
      </c>
      <c r="Q1256">
        <f>'입력_구리근무자명단'!$B1254&amp;""</f>
        <v/>
      </c>
      <c r="R1256">
        <f>IF($E$2="","",TRIM(INDEX('입력_구리근무자명단'!$A1254:$ZZ1254,1,$E$2+IF($G$2="확정",1,0))&amp;""))</f>
        <v/>
      </c>
      <c r="S1256">
        <f>IF($R1256="","",IF(INDEX('입력_구리근무자명단'!$A1254:$ZZ1254,1,$E$2+2)&amp;""="",급여기준월,IF(ISNUMBER(INDEX('입력_구리근무자명단'!$A1254:$ZZ1254,1,$E$2+2)),INDEX('입력_구리근무자명단'!$A1254:$ZZ1254,1,$E$2+2),IFERROR(DATE(VALUE(LEFT(INDEX('입력_구리근무자명단'!$A1254:$ZZ1254,1,$E$2+2),4)),VALUE(MID(INDEX('입력_구리근무자명단'!$A1254:$ZZ1254,1,$E$2+2),6,2)),VALUE(MID(INDEX('입력_구리근무자명단'!$A1254:$ZZ1254,1,$E$2+2),9,2))),-1))))</f>
        <v/>
      </c>
      <c r="T1256">
        <f>IF($R1256="","",IF(INDEX('입력_구리근무자명단'!$A1254:$ZZ1254,1,$E$2+3)&amp;""="",EOMONTH(급여기준월,0),IF(ISNUMBER(INDEX('입력_구리근무자명단'!$A1254:$ZZ1254,1,$E$2+3)),INDEX('입력_구리근무자명단'!$A1254:$ZZ1254,1,$E$2+3),IFERROR(DATE(VALUE(LEFT(INDEX('입력_구리근무자명단'!$A1254:$ZZ1254,1,$E$2+3),4)),VALUE(MID(INDEX('입력_구리근무자명단'!$A1254:$ZZ1254,1,$E$2+3),6,2)),VALUE(MID(INDEX('입력_구리근무자명단'!$A1254:$ZZ1254,1,$E$2+3),9,2))),-1))))</f>
        <v/>
      </c>
      <c r="U1256">
        <f>IF($R1256="","",IF(OR($S1256&lt;0,$T1256&lt;0),0,MAX(0,MIN($T1256,EOMONTH(급여기준월,0))-MAX($S1256,급여기준월)+1)))</f>
        <v/>
      </c>
      <c r="V1256">
        <f>IF($R1256="","",TRIM(INDEX('입력_구리근무자명단'!$A1254:$ZZ1254,1,$E$2+5)&amp;""))</f>
        <v/>
      </c>
      <c r="W1256">
        <f>IF(ISNUMBER(SEARCH("구리독자",$V1256)),"구리독자","")</f>
        <v/>
      </c>
      <c r="X1256">
        <f>IF($R1256="","",$R1256&amp;"|"&amp;IF(OR($Q1256="인턴",ISNUMBER(SEARCH("수련교육부",$P1256))),"인턴",$P1256))</f>
        <v/>
      </c>
      <c r="Y1256">
        <f>IF($R1256="","",IF(COUNTIF(명단표[이름|과],$X1256)=1,"명단 일치",IF(AND(COUNTIF(명단표[이름|과],$X1256)=0,COUNTIF(명단표[이름],$R1256)=1),"명단 일치(이름만, 과 다름)",IF(COUNTIF(명단표[이름],$R1256)=0,IF(COUNTIF(기본자료표[이름],$R1256)&gt;0,"명단에 없음(기본자료에는 있음)","명단에 없음"),"동명이인 확인"))))</f>
        <v/>
      </c>
      <c r="Z1256">
        <f>IF($R1256="","",IF($S1256&lt;0,"⚠"&amp;INDEX('입력_구리근무자명단'!$A1254:$ZZ1254,1,$E$2+2),TEXT($S1256,"yyyy-mm-dd")))</f>
        <v/>
      </c>
      <c r="AA1256">
        <f>IF($R1256="","",IF($T1256&lt;0,"⚠"&amp;INDEX('입력_구리근무자명단'!$A1254:$ZZ1254,1,$E$2+3),TEXT($T1256,"yyyy-mm-dd")))</f>
        <v/>
      </c>
      <c r="AB1256">
        <f>AB1255+IF($R1256="",0,1)</f>
        <v/>
      </c>
      <c r="AC1256">
        <f>IF($R1256="","",$AB1256)</f>
        <v/>
      </c>
    </row>
    <row r="1257">
      <c r="O1257">
        <f>1255</f>
        <v/>
      </c>
      <c r="P1257">
        <f>IF(TRIM('입력_구리근무자명단'!$A1255&amp;"")&lt;&gt;"",TRIM('입력_구리근무자명단'!$A1255&amp;""),P1256)</f>
        <v/>
      </c>
      <c r="Q1257">
        <f>'입력_구리근무자명단'!$B1255&amp;""</f>
        <v/>
      </c>
      <c r="R1257">
        <f>IF($E$2="","",TRIM(INDEX('입력_구리근무자명단'!$A1255:$ZZ1255,1,$E$2+IF($G$2="확정",1,0))&amp;""))</f>
        <v/>
      </c>
      <c r="S1257">
        <f>IF($R1257="","",IF(INDEX('입력_구리근무자명단'!$A1255:$ZZ1255,1,$E$2+2)&amp;""="",급여기준월,IF(ISNUMBER(INDEX('입력_구리근무자명단'!$A1255:$ZZ1255,1,$E$2+2)),INDEX('입력_구리근무자명단'!$A1255:$ZZ1255,1,$E$2+2),IFERROR(DATE(VALUE(LEFT(INDEX('입력_구리근무자명단'!$A1255:$ZZ1255,1,$E$2+2),4)),VALUE(MID(INDEX('입력_구리근무자명단'!$A1255:$ZZ1255,1,$E$2+2),6,2)),VALUE(MID(INDEX('입력_구리근무자명단'!$A1255:$ZZ1255,1,$E$2+2),9,2))),-1))))</f>
        <v/>
      </c>
      <c r="T1257">
        <f>IF($R1257="","",IF(INDEX('입력_구리근무자명단'!$A1255:$ZZ1255,1,$E$2+3)&amp;""="",EOMONTH(급여기준월,0),IF(ISNUMBER(INDEX('입력_구리근무자명단'!$A1255:$ZZ1255,1,$E$2+3)),INDEX('입력_구리근무자명단'!$A1255:$ZZ1255,1,$E$2+3),IFERROR(DATE(VALUE(LEFT(INDEX('입력_구리근무자명단'!$A1255:$ZZ1255,1,$E$2+3),4)),VALUE(MID(INDEX('입력_구리근무자명단'!$A1255:$ZZ1255,1,$E$2+3),6,2)),VALUE(MID(INDEX('입력_구리근무자명단'!$A1255:$ZZ1255,1,$E$2+3),9,2))),-1))))</f>
        <v/>
      </c>
      <c r="U1257">
        <f>IF($R1257="","",IF(OR($S1257&lt;0,$T1257&lt;0),0,MAX(0,MIN($T1257,EOMONTH(급여기준월,0))-MAX($S1257,급여기준월)+1)))</f>
        <v/>
      </c>
      <c r="V1257">
        <f>IF($R1257="","",TRIM(INDEX('입력_구리근무자명단'!$A1255:$ZZ1255,1,$E$2+5)&amp;""))</f>
        <v/>
      </c>
      <c r="W1257">
        <f>IF(ISNUMBER(SEARCH("구리독자",$V1257)),"구리독자","")</f>
        <v/>
      </c>
      <c r="X1257">
        <f>IF($R1257="","",$R1257&amp;"|"&amp;IF(OR($Q1257="인턴",ISNUMBER(SEARCH("수련교육부",$P1257))),"인턴",$P1257))</f>
        <v/>
      </c>
      <c r="Y1257">
        <f>IF($R1257="","",IF(COUNTIF(명단표[이름|과],$X1257)=1,"명단 일치",IF(AND(COUNTIF(명단표[이름|과],$X1257)=0,COUNTIF(명단표[이름],$R1257)=1),"명단 일치(이름만, 과 다름)",IF(COUNTIF(명단표[이름],$R1257)=0,IF(COUNTIF(기본자료표[이름],$R1257)&gt;0,"명단에 없음(기본자료에는 있음)","명단에 없음"),"동명이인 확인"))))</f>
        <v/>
      </c>
      <c r="Z1257">
        <f>IF($R1257="","",IF($S1257&lt;0,"⚠"&amp;INDEX('입력_구리근무자명단'!$A1255:$ZZ1255,1,$E$2+2),TEXT($S1257,"yyyy-mm-dd")))</f>
        <v/>
      </c>
      <c r="AA1257">
        <f>IF($R1257="","",IF($T1257&lt;0,"⚠"&amp;INDEX('입력_구리근무자명단'!$A1255:$ZZ1255,1,$E$2+3),TEXT($T1257,"yyyy-mm-dd")))</f>
        <v/>
      </c>
      <c r="AB1257">
        <f>AB1256+IF($R1257="",0,1)</f>
        <v/>
      </c>
      <c r="AC1257">
        <f>IF($R1257="","",$AB1257)</f>
        <v/>
      </c>
    </row>
    <row r="1258">
      <c r="O1258">
        <f>1256</f>
        <v/>
      </c>
      <c r="P1258">
        <f>IF(TRIM('입력_구리근무자명단'!$A1256&amp;"")&lt;&gt;"",TRIM('입력_구리근무자명단'!$A1256&amp;""),P1257)</f>
        <v/>
      </c>
      <c r="Q1258">
        <f>'입력_구리근무자명단'!$B1256&amp;""</f>
        <v/>
      </c>
      <c r="R1258">
        <f>IF($E$2="","",TRIM(INDEX('입력_구리근무자명단'!$A1256:$ZZ1256,1,$E$2+IF($G$2="확정",1,0))&amp;""))</f>
        <v/>
      </c>
      <c r="S1258">
        <f>IF($R1258="","",IF(INDEX('입력_구리근무자명단'!$A1256:$ZZ1256,1,$E$2+2)&amp;""="",급여기준월,IF(ISNUMBER(INDEX('입력_구리근무자명단'!$A1256:$ZZ1256,1,$E$2+2)),INDEX('입력_구리근무자명단'!$A1256:$ZZ1256,1,$E$2+2),IFERROR(DATE(VALUE(LEFT(INDEX('입력_구리근무자명단'!$A1256:$ZZ1256,1,$E$2+2),4)),VALUE(MID(INDEX('입력_구리근무자명단'!$A1256:$ZZ1256,1,$E$2+2),6,2)),VALUE(MID(INDEX('입력_구리근무자명단'!$A1256:$ZZ1256,1,$E$2+2),9,2))),-1))))</f>
        <v/>
      </c>
      <c r="T1258">
        <f>IF($R1258="","",IF(INDEX('입력_구리근무자명단'!$A1256:$ZZ1256,1,$E$2+3)&amp;""="",EOMONTH(급여기준월,0),IF(ISNUMBER(INDEX('입력_구리근무자명단'!$A1256:$ZZ1256,1,$E$2+3)),INDEX('입력_구리근무자명단'!$A1256:$ZZ1256,1,$E$2+3),IFERROR(DATE(VALUE(LEFT(INDEX('입력_구리근무자명단'!$A1256:$ZZ1256,1,$E$2+3),4)),VALUE(MID(INDEX('입력_구리근무자명단'!$A1256:$ZZ1256,1,$E$2+3),6,2)),VALUE(MID(INDEX('입력_구리근무자명단'!$A1256:$ZZ1256,1,$E$2+3),9,2))),-1))))</f>
        <v/>
      </c>
      <c r="U1258">
        <f>IF($R1258="","",IF(OR($S1258&lt;0,$T1258&lt;0),0,MAX(0,MIN($T1258,EOMONTH(급여기준월,0))-MAX($S1258,급여기준월)+1)))</f>
        <v/>
      </c>
      <c r="V1258">
        <f>IF($R1258="","",TRIM(INDEX('입력_구리근무자명단'!$A1256:$ZZ1256,1,$E$2+5)&amp;""))</f>
        <v/>
      </c>
      <c r="W1258">
        <f>IF(ISNUMBER(SEARCH("구리독자",$V1258)),"구리독자","")</f>
        <v/>
      </c>
      <c r="X1258">
        <f>IF($R1258="","",$R1258&amp;"|"&amp;IF(OR($Q1258="인턴",ISNUMBER(SEARCH("수련교육부",$P1258))),"인턴",$P1258))</f>
        <v/>
      </c>
      <c r="Y1258">
        <f>IF($R1258="","",IF(COUNTIF(명단표[이름|과],$X1258)=1,"명단 일치",IF(AND(COUNTIF(명단표[이름|과],$X1258)=0,COUNTIF(명단표[이름],$R1258)=1),"명단 일치(이름만, 과 다름)",IF(COUNTIF(명단표[이름],$R1258)=0,IF(COUNTIF(기본자료표[이름],$R1258)&gt;0,"명단에 없음(기본자료에는 있음)","명단에 없음"),"동명이인 확인"))))</f>
        <v/>
      </c>
      <c r="Z1258">
        <f>IF($R1258="","",IF($S1258&lt;0,"⚠"&amp;INDEX('입력_구리근무자명단'!$A1256:$ZZ1256,1,$E$2+2),TEXT($S1258,"yyyy-mm-dd")))</f>
        <v/>
      </c>
      <c r="AA1258">
        <f>IF($R1258="","",IF($T1258&lt;0,"⚠"&amp;INDEX('입력_구리근무자명단'!$A1256:$ZZ1256,1,$E$2+3),TEXT($T1258,"yyyy-mm-dd")))</f>
        <v/>
      </c>
      <c r="AB1258">
        <f>AB1257+IF($R1258="",0,1)</f>
        <v/>
      </c>
      <c r="AC1258">
        <f>IF($R1258="","",$AB1258)</f>
        <v/>
      </c>
    </row>
    <row r="1259">
      <c r="O1259">
        <f>1257</f>
        <v/>
      </c>
      <c r="P1259">
        <f>IF(TRIM('입력_구리근무자명단'!$A1257&amp;"")&lt;&gt;"",TRIM('입력_구리근무자명단'!$A1257&amp;""),P1258)</f>
        <v/>
      </c>
      <c r="Q1259">
        <f>'입력_구리근무자명단'!$B1257&amp;""</f>
        <v/>
      </c>
      <c r="R1259">
        <f>IF($E$2="","",TRIM(INDEX('입력_구리근무자명단'!$A1257:$ZZ1257,1,$E$2+IF($G$2="확정",1,0))&amp;""))</f>
        <v/>
      </c>
      <c r="S1259">
        <f>IF($R1259="","",IF(INDEX('입력_구리근무자명단'!$A1257:$ZZ1257,1,$E$2+2)&amp;""="",급여기준월,IF(ISNUMBER(INDEX('입력_구리근무자명단'!$A1257:$ZZ1257,1,$E$2+2)),INDEX('입력_구리근무자명단'!$A1257:$ZZ1257,1,$E$2+2),IFERROR(DATE(VALUE(LEFT(INDEX('입력_구리근무자명단'!$A1257:$ZZ1257,1,$E$2+2),4)),VALUE(MID(INDEX('입력_구리근무자명단'!$A1257:$ZZ1257,1,$E$2+2),6,2)),VALUE(MID(INDEX('입력_구리근무자명단'!$A1257:$ZZ1257,1,$E$2+2),9,2))),-1))))</f>
        <v/>
      </c>
      <c r="T1259">
        <f>IF($R1259="","",IF(INDEX('입력_구리근무자명단'!$A1257:$ZZ1257,1,$E$2+3)&amp;""="",EOMONTH(급여기준월,0),IF(ISNUMBER(INDEX('입력_구리근무자명단'!$A1257:$ZZ1257,1,$E$2+3)),INDEX('입력_구리근무자명단'!$A1257:$ZZ1257,1,$E$2+3),IFERROR(DATE(VALUE(LEFT(INDEX('입력_구리근무자명단'!$A1257:$ZZ1257,1,$E$2+3),4)),VALUE(MID(INDEX('입력_구리근무자명단'!$A1257:$ZZ1257,1,$E$2+3),6,2)),VALUE(MID(INDEX('입력_구리근무자명단'!$A1257:$ZZ1257,1,$E$2+3),9,2))),-1))))</f>
        <v/>
      </c>
      <c r="U1259">
        <f>IF($R1259="","",IF(OR($S1259&lt;0,$T1259&lt;0),0,MAX(0,MIN($T1259,EOMONTH(급여기준월,0))-MAX($S1259,급여기준월)+1)))</f>
        <v/>
      </c>
      <c r="V1259">
        <f>IF($R1259="","",TRIM(INDEX('입력_구리근무자명단'!$A1257:$ZZ1257,1,$E$2+5)&amp;""))</f>
        <v/>
      </c>
      <c r="W1259">
        <f>IF(ISNUMBER(SEARCH("구리독자",$V1259)),"구리독자","")</f>
        <v/>
      </c>
      <c r="X1259">
        <f>IF($R1259="","",$R1259&amp;"|"&amp;IF(OR($Q1259="인턴",ISNUMBER(SEARCH("수련교육부",$P1259))),"인턴",$P1259))</f>
        <v/>
      </c>
      <c r="Y1259">
        <f>IF($R1259="","",IF(COUNTIF(명단표[이름|과],$X1259)=1,"명단 일치",IF(AND(COUNTIF(명단표[이름|과],$X1259)=0,COUNTIF(명단표[이름],$R1259)=1),"명단 일치(이름만, 과 다름)",IF(COUNTIF(명단표[이름],$R1259)=0,IF(COUNTIF(기본자료표[이름],$R1259)&gt;0,"명단에 없음(기본자료에는 있음)","명단에 없음"),"동명이인 확인"))))</f>
        <v/>
      </c>
      <c r="Z1259">
        <f>IF($R1259="","",IF($S1259&lt;0,"⚠"&amp;INDEX('입력_구리근무자명단'!$A1257:$ZZ1257,1,$E$2+2),TEXT($S1259,"yyyy-mm-dd")))</f>
        <v/>
      </c>
      <c r="AA1259">
        <f>IF($R1259="","",IF($T1259&lt;0,"⚠"&amp;INDEX('입력_구리근무자명단'!$A1257:$ZZ1257,1,$E$2+3),TEXT($T1259,"yyyy-mm-dd")))</f>
        <v/>
      </c>
      <c r="AB1259">
        <f>AB1258+IF($R1259="",0,1)</f>
        <v/>
      </c>
      <c r="AC1259">
        <f>IF($R1259="","",$AB1259)</f>
        <v/>
      </c>
    </row>
    <row r="1260">
      <c r="O1260">
        <f>1258</f>
        <v/>
      </c>
      <c r="P1260">
        <f>IF(TRIM('입력_구리근무자명단'!$A1258&amp;"")&lt;&gt;"",TRIM('입력_구리근무자명단'!$A1258&amp;""),P1259)</f>
        <v/>
      </c>
      <c r="Q1260">
        <f>'입력_구리근무자명단'!$B1258&amp;""</f>
        <v/>
      </c>
      <c r="R1260">
        <f>IF($E$2="","",TRIM(INDEX('입력_구리근무자명단'!$A1258:$ZZ1258,1,$E$2+IF($G$2="확정",1,0))&amp;""))</f>
        <v/>
      </c>
      <c r="S1260">
        <f>IF($R1260="","",IF(INDEX('입력_구리근무자명단'!$A1258:$ZZ1258,1,$E$2+2)&amp;""="",급여기준월,IF(ISNUMBER(INDEX('입력_구리근무자명단'!$A1258:$ZZ1258,1,$E$2+2)),INDEX('입력_구리근무자명단'!$A1258:$ZZ1258,1,$E$2+2),IFERROR(DATE(VALUE(LEFT(INDEX('입력_구리근무자명단'!$A1258:$ZZ1258,1,$E$2+2),4)),VALUE(MID(INDEX('입력_구리근무자명단'!$A1258:$ZZ1258,1,$E$2+2),6,2)),VALUE(MID(INDEX('입력_구리근무자명단'!$A1258:$ZZ1258,1,$E$2+2),9,2))),-1))))</f>
        <v/>
      </c>
      <c r="T1260">
        <f>IF($R1260="","",IF(INDEX('입력_구리근무자명단'!$A1258:$ZZ1258,1,$E$2+3)&amp;""="",EOMONTH(급여기준월,0),IF(ISNUMBER(INDEX('입력_구리근무자명단'!$A1258:$ZZ1258,1,$E$2+3)),INDEX('입력_구리근무자명단'!$A1258:$ZZ1258,1,$E$2+3),IFERROR(DATE(VALUE(LEFT(INDEX('입력_구리근무자명단'!$A1258:$ZZ1258,1,$E$2+3),4)),VALUE(MID(INDEX('입력_구리근무자명단'!$A1258:$ZZ1258,1,$E$2+3),6,2)),VALUE(MID(INDEX('입력_구리근무자명단'!$A1258:$ZZ1258,1,$E$2+3),9,2))),-1))))</f>
        <v/>
      </c>
      <c r="U1260">
        <f>IF($R1260="","",IF(OR($S1260&lt;0,$T1260&lt;0),0,MAX(0,MIN($T1260,EOMONTH(급여기준월,0))-MAX($S1260,급여기준월)+1)))</f>
        <v/>
      </c>
      <c r="V1260">
        <f>IF($R1260="","",TRIM(INDEX('입력_구리근무자명단'!$A1258:$ZZ1258,1,$E$2+5)&amp;""))</f>
        <v/>
      </c>
      <c r="W1260">
        <f>IF(ISNUMBER(SEARCH("구리독자",$V1260)),"구리독자","")</f>
        <v/>
      </c>
      <c r="X1260">
        <f>IF($R1260="","",$R1260&amp;"|"&amp;IF(OR($Q1260="인턴",ISNUMBER(SEARCH("수련교육부",$P1260))),"인턴",$P1260))</f>
        <v/>
      </c>
      <c r="Y1260">
        <f>IF($R1260="","",IF(COUNTIF(명단표[이름|과],$X1260)=1,"명단 일치",IF(AND(COUNTIF(명단표[이름|과],$X1260)=0,COUNTIF(명단표[이름],$R1260)=1),"명단 일치(이름만, 과 다름)",IF(COUNTIF(명단표[이름],$R1260)=0,IF(COUNTIF(기본자료표[이름],$R1260)&gt;0,"명단에 없음(기본자료에는 있음)","명단에 없음"),"동명이인 확인"))))</f>
        <v/>
      </c>
      <c r="Z1260">
        <f>IF($R1260="","",IF($S1260&lt;0,"⚠"&amp;INDEX('입력_구리근무자명단'!$A1258:$ZZ1258,1,$E$2+2),TEXT($S1260,"yyyy-mm-dd")))</f>
        <v/>
      </c>
      <c r="AA1260">
        <f>IF($R1260="","",IF($T1260&lt;0,"⚠"&amp;INDEX('입력_구리근무자명단'!$A1258:$ZZ1258,1,$E$2+3),TEXT($T1260,"yyyy-mm-dd")))</f>
        <v/>
      </c>
      <c r="AB1260">
        <f>AB1259+IF($R1260="",0,1)</f>
        <v/>
      </c>
      <c r="AC1260">
        <f>IF($R1260="","",$AB1260)</f>
        <v/>
      </c>
    </row>
    <row r="1261">
      <c r="O1261">
        <f>1259</f>
        <v/>
      </c>
      <c r="P1261">
        <f>IF(TRIM('입력_구리근무자명단'!$A1259&amp;"")&lt;&gt;"",TRIM('입력_구리근무자명단'!$A1259&amp;""),P1260)</f>
        <v/>
      </c>
      <c r="Q1261">
        <f>'입력_구리근무자명단'!$B1259&amp;""</f>
        <v/>
      </c>
      <c r="R1261">
        <f>IF($E$2="","",TRIM(INDEX('입력_구리근무자명단'!$A1259:$ZZ1259,1,$E$2+IF($G$2="확정",1,0))&amp;""))</f>
        <v/>
      </c>
      <c r="S1261">
        <f>IF($R1261="","",IF(INDEX('입력_구리근무자명단'!$A1259:$ZZ1259,1,$E$2+2)&amp;""="",급여기준월,IF(ISNUMBER(INDEX('입력_구리근무자명단'!$A1259:$ZZ1259,1,$E$2+2)),INDEX('입력_구리근무자명단'!$A1259:$ZZ1259,1,$E$2+2),IFERROR(DATE(VALUE(LEFT(INDEX('입력_구리근무자명단'!$A1259:$ZZ1259,1,$E$2+2),4)),VALUE(MID(INDEX('입력_구리근무자명단'!$A1259:$ZZ1259,1,$E$2+2),6,2)),VALUE(MID(INDEX('입력_구리근무자명단'!$A1259:$ZZ1259,1,$E$2+2),9,2))),-1))))</f>
        <v/>
      </c>
      <c r="T1261">
        <f>IF($R1261="","",IF(INDEX('입력_구리근무자명단'!$A1259:$ZZ1259,1,$E$2+3)&amp;""="",EOMONTH(급여기준월,0),IF(ISNUMBER(INDEX('입력_구리근무자명단'!$A1259:$ZZ1259,1,$E$2+3)),INDEX('입력_구리근무자명단'!$A1259:$ZZ1259,1,$E$2+3),IFERROR(DATE(VALUE(LEFT(INDEX('입력_구리근무자명단'!$A1259:$ZZ1259,1,$E$2+3),4)),VALUE(MID(INDEX('입력_구리근무자명단'!$A1259:$ZZ1259,1,$E$2+3),6,2)),VALUE(MID(INDEX('입력_구리근무자명단'!$A1259:$ZZ1259,1,$E$2+3),9,2))),-1))))</f>
        <v/>
      </c>
      <c r="U1261">
        <f>IF($R1261="","",IF(OR($S1261&lt;0,$T1261&lt;0),0,MAX(0,MIN($T1261,EOMONTH(급여기준월,0))-MAX($S1261,급여기준월)+1)))</f>
        <v/>
      </c>
      <c r="V1261">
        <f>IF($R1261="","",TRIM(INDEX('입력_구리근무자명단'!$A1259:$ZZ1259,1,$E$2+5)&amp;""))</f>
        <v/>
      </c>
      <c r="W1261">
        <f>IF(ISNUMBER(SEARCH("구리독자",$V1261)),"구리독자","")</f>
        <v/>
      </c>
      <c r="X1261">
        <f>IF($R1261="","",$R1261&amp;"|"&amp;IF(OR($Q1261="인턴",ISNUMBER(SEARCH("수련교육부",$P1261))),"인턴",$P1261))</f>
        <v/>
      </c>
      <c r="Y1261">
        <f>IF($R1261="","",IF(COUNTIF(명단표[이름|과],$X1261)=1,"명단 일치",IF(AND(COUNTIF(명단표[이름|과],$X1261)=0,COUNTIF(명단표[이름],$R1261)=1),"명단 일치(이름만, 과 다름)",IF(COUNTIF(명단표[이름],$R1261)=0,IF(COUNTIF(기본자료표[이름],$R1261)&gt;0,"명단에 없음(기본자료에는 있음)","명단에 없음"),"동명이인 확인"))))</f>
        <v/>
      </c>
      <c r="Z1261">
        <f>IF($R1261="","",IF($S1261&lt;0,"⚠"&amp;INDEX('입력_구리근무자명단'!$A1259:$ZZ1259,1,$E$2+2),TEXT($S1261,"yyyy-mm-dd")))</f>
        <v/>
      </c>
      <c r="AA1261">
        <f>IF($R1261="","",IF($T1261&lt;0,"⚠"&amp;INDEX('입력_구리근무자명단'!$A1259:$ZZ1259,1,$E$2+3),TEXT($T1261,"yyyy-mm-dd")))</f>
        <v/>
      </c>
      <c r="AB1261">
        <f>AB1260+IF($R1261="",0,1)</f>
        <v/>
      </c>
      <c r="AC1261">
        <f>IF($R1261="","",$AB1261)</f>
        <v/>
      </c>
    </row>
    <row r="1262">
      <c r="O1262">
        <f>1260</f>
        <v/>
      </c>
      <c r="P1262">
        <f>IF(TRIM('입력_구리근무자명단'!$A1260&amp;"")&lt;&gt;"",TRIM('입력_구리근무자명단'!$A1260&amp;""),P1261)</f>
        <v/>
      </c>
      <c r="Q1262">
        <f>'입력_구리근무자명단'!$B1260&amp;""</f>
        <v/>
      </c>
      <c r="R1262">
        <f>IF($E$2="","",TRIM(INDEX('입력_구리근무자명단'!$A1260:$ZZ1260,1,$E$2+IF($G$2="확정",1,0))&amp;""))</f>
        <v/>
      </c>
      <c r="S1262">
        <f>IF($R1262="","",IF(INDEX('입력_구리근무자명단'!$A1260:$ZZ1260,1,$E$2+2)&amp;""="",급여기준월,IF(ISNUMBER(INDEX('입력_구리근무자명단'!$A1260:$ZZ1260,1,$E$2+2)),INDEX('입력_구리근무자명단'!$A1260:$ZZ1260,1,$E$2+2),IFERROR(DATE(VALUE(LEFT(INDEX('입력_구리근무자명단'!$A1260:$ZZ1260,1,$E$2+2),4)),VALUE(MID(INDEX('입력_구리근무자명단'!$A1260:$ZZ1260,1,$E$2+2),6,2)),VALUE(MID(INDEX('입력_구리근무자명단'!$A1260:$ZZ1260,1,$E$2+2),9,2))),-1))))</f>
        <v/>
      </c>
      <c r="T1262">
        <f>IF($R1262="","",IF(INDEX('입력_구리근무자명단'!$A1260:$ZZ1260,1,$E$2+3)&amp;""="",EOMONTH(급여기준월,0),IF(ISNUMBER(INDEX('입력_구리근무자명단'!$A1260:$ZZ1260,1,$E$2+3)),INDEX('입력_구리근무자명단'!$A1260:$ZZ1260,1,$E$2+3),IFERROR(DATE(VALUE(LEFT(INDEX('입력_구리근무자명단'!$A1260:$ZZ1260,1,$E$2+3),4)),VALUE(MID(INDEX('입력_구리근무자명단'!$A1260:$ZZ1260,1,$E$2+3),6,2)),VALUE(MID(INDEX('입력_구리근무자명단'!$A1260:$ZZ1260,1,$E$2+3),9,2))),-1))))</f>
        <v/>
      </c>
      <c r="U1262">
        <f>IF($R1262="","",IF(OR($S1262&lt;0,$T1262&lt;0),0,MAX(0,MIN($T1262,EOMONTH(급여기준월,0))-MAX($S1262,급여기준월)+1)))</f>
        <v/>
      </c>
      <c r="V1262">
        <f>IF($R1262="","",TRIM(INDEX('입력_구리근무자명단'!$A1260:$ZZ1260,1,$E$2+5)&amp;""))</f>
        <v/>
      </c>
      <c r="W1262">
        <f>IF(ISNUMBER(SEARCH("구리독자",$V1262)),"구리독자","")</f>
        <v/>
      </c>
      <c r="X1262">
        <f>IF($R1262="","",$R1262&amp;"|"&amp;IF(OR($Q1262="인턴",ISNUMBER(SEARCH("수련교육부",$P1262))),"인턴",$P1262))</f>
        <v/>
      </c>
      <c r="Y1262">
        <f>IF($R1262="","",IF(COUNTIF(명단표[이름|과],$X1262)=1,"명단 일치",IF(AND(COUNTIF(명단표[이름|과],$X1262)=0,COUNTIF(명단표[이름],$R1262)=1),"명단 일치(이름만, 과 다름)",IF(COUNTIF(명단표[이름],$R1262)=0,IF(COUNTIF(기본자료표[이름],$R1262)&gt;0,"명단에 없음(기본자료에는 있음)","명단에 없음"),"동명이인 확인"))))</f>
        <v/>
      </c>
      <c r="Z1262">
        <f>IF($R1262="","",IF($S1262&lt;0,"⚠"&amp;INDEX('입력_구리근무자명단'!$A1260:$ZZ1260,1,$E$2+2),TEXT($S1262,"yyyy-mm-dd")))</f>
        <v/>
      </c>
      <c r="AA1262">
        <f>IF($R1262="","",IF($T1262&lt;0,"⚠"&amp;INDEX('입력_구리근무자명단'!$A1260:$ZZ1260,1,$E$2+3),TEXT($T1262,"yyyy-mm-dd")))</f>
        <v/>
      </c>
      <c r="AB1262">
        <f>AB1261+IF($R1262="",0,1)</f>
        <v/>
      </c>
      <c r="AC1262">
        <f>IF($R1262="","",$AB1262)</f>
        <v/>
      </c>
    </row>
    <row r="1263">
      <c r="O1263">
        <f>1261</f>
        <v/>
      </c>
      <c r="P1263">
        <f>IF(TRIM('입력_구리근무자명단'!$A1261&amp;"")&lt;&gt;"",TRIM('입력_구리근무자명단'!$A1261&amp;""),P1262)</f>
        <v/>
      </c>
      <c r="Q1263">
        <f>'입력_구리근무자명단'!$B1261&amp;""</f>
        <v/>
      </c>
      <c r="R1263">
        <f>IF($E$2="","",TRIM(INDEX('입력_구리근무자명단'!$A1261:$ZZ1261,1,$E$2+IF($G$2="확정",1,0))&amp;""))</f>
        <v/>
      </c>
      <c r="S1263">
        <f>IF($R1263="","",IF(INDEX('입력_구리근무자명단'!$A1261:$ZZ1261,1,$E$2+2)&amp;""="",급여기준월,IF(ISNUMBER(INDEX('입력_구리근무자명단'!$A1261:$ZZ1261,1,$E$2+2)),INDEX('입력_구리근무자명단'!$A1261:$ZZ1261,1,$E$2+2),IFERROR(DATE(VALUE(LEFT(INDEX('입력_구리근무자명단'!$A1261:$ZZ1261,1,$E$2+2),4)),VALUE(MID(INDEX('입력_구리근무자명단'!$A1261:$ZZ1261,1,$E$2+2),6,2)),VALUE(MID(INDEX('입력_구리근무자명단'!$A1261:$ZZ1261,1,$E$2+2),9,2))),-1))))</f>
        <v/>
      </c>
      <c r="T1263">
        <f>IF($R1263="","",IF(INDEX('입력_구리근무자명단'!$A1261:$ZZ1261,1,$E$2+3)&amp;""="",EOMONTH(급여기준월,0),IF(ISNUMBER(INDEX('입력_구리근무자명단'!$A1261:$ZZ1261,1,$E$2+3)),INDEX('입력_구리근무자명단'!$A1261:$ZZ1261,1,$E$2+3),IFERROR(DATE(VALUE(LEFT(INDEX('입력_구리근무자명단'!$A1261:$ZZ1261,1,$E$2+3),4)),VALUE(MID(INDEX('입력_구리근무자명단'!$A1261:$ZZ1261,1,$E$2+3),6,2)),VALUE(MID(INDEX('입력_구리근무자명단'!$A1261:$ZZ1261,1,$E$2+3),9,2))),-1))))</f>
        <v/>
      </c>
      <c r="U1263">
        <f>IF($R1263="","",IF(OR($S1263&lt;0,$T1263&lt;0),0,MAX(0,MIN($T1263,EOMONTH(급여기준월,0))-MAX($S1263,급여기준월)+1)))</f>
        <v/>
      </c>
      <c r="V1263">
        <f>IF($R1263="","",TRIM(INDEX('입력_구리근무자명단'!$A1261:$ZZ1261,1,$E$2+5)&amp;""))</f>
        <v/>
      </c>
      <c r="W1263">
        <f>IF(ISNUMBER(SEARCH("구리독자",$V1263)),"구리독자","")</f>
        <v/>
      </c>
      <c r="X1263">
        <f>IF($R1263="","",$R1263&amp;"|"&amp;IF(OR($Q1263="인턴",ISNUMBER(SEARCH("수련교육부",$P1263))),"인턴",$P1263))</f>
        <v/>
      </c>
      <c r="Y1263">
        <f>IF($R1263="","",IF(COUNTIF(명단표[이름|과],$X1263)=1,"명단 일치",IF(AND(COUNTIF(명단표[이름|과],$X1263)=0,COUNTIF(명단표[이름],$R1263)=1),"명단 일치(이름만, 과 다름)",IF(COUNTIF(명단표[이름],$R1263)=0,IF(COUNTIF(기본자료표[이름],$R1263)&gt;0,"명단에 없음(기본자료에는 있음)","명단에 없음"),"동명이인 확인"))))</f>
        <v/>
      </c>
      <c r="Z1263">
        <f>IF($R1263="","",IF($S1263&lt;0,"⚠"&amp;INDEX('입력_구리근무자명단'!$A1261:$ZZ1261,1,$E$2+2),TEXT($S1263,"yyyy-mm-dd")))</f>
        <v/>
      </c>
      <c r="AA1263">
        <f>IF($R1263="","",IF($T1263&lt;0,"⚠"&amp;INDEX('입력_구리근무자명단'!$A1261:$ZZ1261,1,$E$2+3),TEXT($T1263,"yyyy-mm-dd")))</f>
        <v/>
      </c>
      <c r="AB1263">
        <f>AB1262+IF($R1263="",0,1)</f>
        <v/>
      </c>
      <c r="AC1263">
        <f>IF($R1263="","",$AB1263)</f>
        <v/>
      </c>
    </row>
    <row r="1264">
      <c r="O1264">
        <f>1262</f>
        <v/>
      </c>
      <c r="P1264">
        <f>IF(TRIM('입력_구리근무자명단'!$A1262&amp;"")&lt;&gt;"",TRIM('입력_구리근무자명단'!$A1262&amp;""),P1263)</f>
        <v/>
      </c>
      <c r="Q1264">
        <f>'입력_구리근무자명단'!$B1262&amp;""</f>
        <v/>
      </c>
      <c r="R1264">
        <f>IF($E$2="","",TRIM(INDEX('입력_구리근무자명단'!$A1262:$ZZ1262,1,$E$2+IF($G$2="확정",1,0))&amp;""))</f>
        <v/>
      </c>
      <c r="S1264">
        <f>IF($R1264="","",IF(INDEX('입력_구리근무자명단'!$A1262:$ZZ1262,1,$E$2+2)&amp;""="",급여기준월,IF(ISNUMBER(INDEX('입력_구리근무자명단'!$A1262:$ZZ1262,1,$E$2+2)),INDEX('입력_구리근무자명단'!$A1262:$ZZ1262,1,$E$2+2),IFERROR(DATE(VALUE(LEFT(INDEX('입력_구리근무자명단'!$A1262:$ZZ1262,1,$E$2+2),4)),VALUE(MID(INDEX('입력_구리근무자명단'!$A1262:$ZZ1262,1,$E$2+2),6,2)),VALUE(MID(INDEX('입력_구리근무자명단'!$A1262:$ZZ1262,1,$E$2+2),9,2))),-1))))</f>
        <v/>
      </c>
      <c r="T1264">
        <f>IF($R1264="","",IF(INDEX('입력_구리근무자명단'!$A1262:$ZZ1262,1,$E$2+3)&amp;""="",EOMONTH(급여기준월,0),IF(ISNUMBER(INDEX('입력_구리근무자명단'!$A1262:$ZZ1262,1,$E$2+3)),INDEX('입력_구리근무자명단'!$A1262:$ZZ1262,1,$E$2+3),IFERROR(DATE(VALUE(LEFT(INDEX('입력_구리근무자명단'!$A1262:$ZZ1262,1,$E$2+3),4)),VALUE(MID(INDEX('입력_구리근무자명단'!$A1262:$ZZ1262,1,$E$2+3),6,2)),VALUE(MID(INDEX('입력_구리근무자명단'!$A1262:$ZZ1262,1,$E$2+3),9,2))),-1))))</f>
        <v/>
      </c>
      <c r="U1264">
        <f>IF($R1264="","",IF(OR($S1264&lt;0,$T1264&lt;0),0,MAX(0,MIN($T1264,EOMONTH(급여기준월,0))-MAX($S1264,급여기준월)+1)))</f>
        <v/>
      </c>
      <c r="V1264">
        <f>IF($R1264="","",TRIM(INDEX('입력_구리근무자명단'!$A1262:$ZZ1262,1,$E$2+5)&amp;""))</f>
        <v/>
      </c>
      <c r="W1264">
        <f>IF(ISNUMBER(SEARCH("구리독자",$V1264)),"구리독자","")</f>
        <v/>
      </c>
      <c r="X1264">
        <f>IF($R1264="","",$R1264&amp;"|"&amp;IF(OR($Q1264="인턴",ISNUMBER(SEARCH("수련교육부",$P1264))),"인턴",$P1264))</f>
        <v/>
      </c>
      <c r="Y1264">
        <f>IF($R1264="","",IF(COUNTIF(명단표[이름|과],$X1264)=1,"명단 일치",IF(AND(COUNTIF(명단표[이름|과],$X1264)=0,COUNTIF(명단표[이름],$R1264)=1),"명단 일치(이름만, 과 다름)",IF(COUNTIF(명단표[이름],$R1264)=0,IF(COUNTIF(기본자료표[이름],$R1264)&gt;0,"명단에 없음(기본자료에는 있음)","명단에 없음"),"동명이인 확인"))))</f>
        <v/>
      </c>
      <c r="Z1264">
        <f>IF($R1264="","",IF($S1264&lt;0,"⚠"&amp;INDEX('입력_구리근무자명단'!$A1262:$ZZ1262,1,$E$2+2),TEXT($S1264,"yyyy-mm-dd")))</f>
        <v/>
      </c>
      <c r="AA1264">
        <f>IF($R1264="","",IF($T1264&lt;0,"⚠"&amp;INDEX('입력_구리근무자명단'!$A1262:$ZZ1262,1,$E$2+3),TEXT($T1264,"yyyy-mm-dd")))</f>
        <v/>
      </c>
      <c r="AB1264">
        <f>AB1263+IF($R1264="",0,1)</f>
        <v/>
      </c>
      <c r="AC1264">
        <f>IF($R1264="","",$AB1264)</f>
        <v/>
      </c>
    </row>
    <row r="1265">
      <c r="O1265">
        <f>1263</f>
        <v/>
      </c>
      <c r="P1265">
        <f>IF(TRIM('입력_구리근무자명단'!$A1263&amp;"")&lt;&gt;"",TRIM('입력_구리근무자명단'!$A1263&amp;""),P1264)</f>
        <v/>
      </c>
      <c r="Q1265">
        <f>'입력_구리근무자명단'!$B1263&amp;""</f>
        <v/>
      </c>
      <c r="R1265">
        <f>IF($E$2="","",TRIM(INDEX('입력_구리근무자명단'!$A1263:$ZZ1263,1,$E$2+IF($G$2="확정",1,0))&amp;""))</f>
        <v/>
      </c>
      <c r="S1265">
        <f>IF($R1265="","",IF(INDEX('입력_구리근무자명단'!$A1263:$ZZ1263,1,$E$2+2)&amp;""="",급여기준월,IF(ISNUMBER(INDEX('입력_구리근무자명단'!$A1263:$ZZ1263,1,$E$2+2)),INDEX('입력_구리근무자명단'!$A1263:$ZZ1263,1,$E$2+2),IFERROR(DATE(VALUE(LEFT(INDEX('입력_구리근무자명단'!$A1263:$ZZ1263,1,$E$2+2),4)),VALUE(MID(INDEX('입력_구리근무자명단'!$A1263:$ZZ1263,1,$E$2+2),6,2)),VALUE(MID(INDEX('입력_구리근무자명단'!$A1263:$ZZ1263,1,$E$2+2),9,2))),-1))))</f>
        <v/>
      </c>
      <c r="T1265">
        <f>IF($R1265="","",IF(INDEX('입력_구리근무자명단'!$A1263:$ZZ1263,1,$E$2+3)&amp;""="",EOMONTH(급여기준월,0),IF(ISNUMBER(INDEX('입력_구리근무자명단'!$A1263:$ZZ1263,1,$E$2+3)),INDEX('입력_구리근무자명단'!$A1263:$ZZ1263,1,$E$2+3),IFERROR(DATE(VALUE(LEFT(INDEX('입력_구리근무자명단'!$A1263:$ZZ1263,1,$E$2+3),4)),VALUE(MID(INDEX('입력_구리근무자명단'!$A1263:$ZZ1263,1,$E$2+3),6,2)),VALUE(MID(INDEX('입력_구리근무자명단'!$A1263:$ZZ1263,1,$E$2+3),9,2))),-1))))</f>
        <v/>
      </c>
      <c r="U1265">
        <f>IF($R1265="","",IF(OR($S1265&lt;0,$T1265&lt;0),0,MAX(0,MIN($T1265,EOMONTH(급여기준월,0))-MAX($S1265,급여기준월)+1)))</f>
        <v/>
      </c>
      <c r="V1265">
        <f>IF($R1265="","",TRIM(INDEX('입력_구리근무자명단'!$A1263:$ZZ1263,1,$E$2+5)&amp;""))</f>
        <v/>
      </c>
      <c r="W1265">
        <f>IF(ISNUMBER(SEARCH("구리독자",$V1265)),"구리독자","")</f>
        <v/>
      </c>
      <c r="X1265">
        <f>IF($R1265="","",$R1265&amp;"|"&amp;IF(OR($Q1265="인턴",ISNUMBER(SEARCH("수련교육부",$P1265))),"인턴",$P1265))</f>
        <v/>
      </c>
      <c r="Y1265">
        <f>IF($R1265="","",IF(COUNTIF(명단표[이름|과],$X1265)=1,"명단 일치",IF(AND(COUNTIF(명단표[이름|과],$X1265)=0,COUNTIF(명단표[이름],$R1265)=1),"명단 일치(이름만, 과 다름)",IF(COUNTIF(명단표[이름],$R1265)=0,IF(COUNTIF(기본자료표[이름],$R1265)&gt;0,"명단에 없음(기본자료에는 있음)","명단에 없음"),"동명이인 확인"))))</f>
        <v/>
      </c>
      <c r="Z1265">
        <f>IF($R1265="","",IF($S1265&lt;0,"⚠"&amp;INDEX('입력_구리근무자명단'!$A1263:$ZZ1263,1,$E$2+2),TEXT($S1265,"yyyy-mm-dd")))</f>
        <v/>
      </c>
      <c r="AA1265">
        <f>IF($R1265="","",IF($T1265&lt;0,"⚠"&amp;INDEX('입력_구리근무자명단'!$A1263:$ZZ1263,1,$E$2+3),TEXT($T1265,"yyyy-mm-dd")))</f>
        <v/>
      </c>
      <c r="AB1265">
        <f>AB1264+IF($R1265="",0,1)</f>
        <v/>
      </c>
      <c r="AC1265">
        <f>IF($R1265="","",$AB1265)</f>
        <v/>
      </c>
    </row>
    <row r="1266">
      <c r="O1266">
        <f>1264</f>
        <v/>
      </c>
      <c r="P1266">
        <f>IF(TRIM('입력_구리근무자명단'!$A1264&amp;"")&lt;&gt;"",TRIM('입력_구리근무자명단'!$A1264&amp;""),P1265)</f>
        <v/>
      </c>
      <c r="Q1266">
        <f>'입력_구리근무자명단'!$B1264&amp;""</f>
        <v/>
      </c>
      <c r="R1266">
        <f>IF($E$2="","",TRIM(INDEX('입력_구리근무자명단'!$A1264:$ZZ1264,1,$E$2+IF($G$2="확정",1,0))&amp;""))</f>
        <v/>
      </c>
      <c r="S1266">
        <f>IF($R1266="","",IF(INDEX('입력_구리근무자명단'!$A1264:$ZZ1264,1,$E$2+2)&amp;""="",급여기준월,IF(ISNUMBER(INDEX('입력_구리근무자명단'!$A1264:$ZZ1264,1,$E$2+2)),INDEX('입력_구리근무자명단'!$A1264:$ZZ1264,1,$E$2+2),IFERROR(DATE(VALUE(LEFT(INDEX('입력_구리근무자명단'!$A1264:$ZZ1264,1,$E$2+2),4)),VALUE(MID(INDEX('입력_구리근무자명단'!$A1264:$ZZ1264,1,$E$2+2),6,2)),VALUE(MID(INDEX('입력_구리근무자명단'!$A1264:$ZZ1264,1,$E$2+2),9,2))),-1))))</f>
        <v/>
      </c>
      <c r="T1266">
        <f>IF($R1266="","",IF(INDEX('입력_구리근무자명단'!$A1264:$ZZ1264,1,$E$2+3)&amp;""="",EOMONTH(급여기준월,0),IF(ISNUMBER(INDEX('입력_구리근무자명단'!$A1264:$ZZ1264,1,$E$2+3)),INDEX('입력_구리근무자명단'!$A1264:$ZZ1264,1,$E$2+3),IFERROR(DATE(VALUE(LEFT(INDEX('입력_구리근무자명단'!$A1264:$ZZ1264,1,$E$2+3),4)),VALUE(MID(INDEX('입력_구리근무자명단'!$A1264:$ZZ1264,1,$E$2+3),6,2)),VALUE(MID(INDEX('입력_구리근무자명단'!$A1264:$ZZ1264,1,$E$2+3),9,2))),-1))))</f>
        <v/>
      </c>
      <c r="U1266">
        <f>IF($R1266="","",IF(OR($S1266&lt;0,$T1266&lt;0),0,MAX(0,MIN($T1266,EOMONTH(급여기준월,0))-MAX($S1266,급여기준월)+1)))</f>
        <v/>
      </c>
      <c r="V1266">
        <f>IF($R1266="","",TRIM(INDEX('입력_구리근무자명단'!$A1264:$ZZ1264,1,$E$2+5)&amp;""))</f>
        <v/>
      </c>
      <c r="W1266">
        <f>IF(ISNUMBER(SEARCH("구리독자",$V1266)),"구리독자","")</f>
        <v/>
      </c>
      <c r="X1266">
        <f>IF($R1266="","",$R1266&amp;"|"&amp;IF(OR($Q1266="인턴",ISNUMBER(SEARCH("수련교육부",$P1266))),"인턴",$P1266))</f>
        <v/>
      </c>
      <c r="Y1266">
        <f>IF($R1266="","",IF(COUNTIF(명단표[이름|과],$X1266)=1,"명단 일치",IF(AND(COUNTIF(명단표[이름|과],$X1266)=0,COUNTIF(명단표[이름],$R1266)=1),"명단 일치(이름만, 과 다름)",IF(COUNTIF(명단표[이름],$R1266)=0,IF(COUNTIF(기본자료표[이름],$R1266)&gt;0,"명단에 없음(기본자료에는 있음)","명단에 없음"),"동명이인 확인"))))</f>
        <v/>
      </c>
      <c r="Z1266">
        <f>IF($R1266="","",IF($S1266&lt;0,"⚠"&amp;INDEX('입력_구리근무자명단'!$A1264:$ZZ1264,1,$E$2+2),TEXT($S1266,"yyyy-mm-dd")))</f>
        <v/>
      </c>
      <c r="AA1266">
        <f>IF($R1266="","",IF($T1266&lt;0,"⚠"&amp;INDEX('입력_구리근무자명단'!$A1264:$ZZ1264,1,$E$2+3),TEXT($T1266,"yyyy-mm-dd")))</f>
        <v/>
      </c>
      <c r="AB1266">
        <f>AB1265+IF($R1266="",0,1)</f>
        <v/>
      </c>
      <c r="AC1266">
        <f>IF($R1266="","",$AB1266)</f>
        <v/>
      </c>
    </row>
    <row r="1267">
      <c r="O1267">
        <f>1265</f>
        <v/>
      </c>
      <c r="P1267">
        <f>IF(TRIM('입력_구리근무자명단'!$A1265&amp;"")&lt;&gt;"",TRIM('입력_구리근무자명단'!$A1265&amp;""),P1266)</f>
        <v/>
      </c>
      <c r="Q1267">
        <f>'입력_구리근무자명단'!$B1265&amp;""</f>
        <v/>
      </c>
      <c r="R1267">
        <f>IF($E$2="","",TRIM(INDEX('입력_구리근무자명단'!$A1265:$ZZ1265,1,$E$2+IF($G$2="확정",1,0))&amp;""))</f>
        <v/>
      </c>
      <c r="S1267">
        <f>IF($R1267="","",IF(INDEX('입력_구리근무자명단'!$A1265:$ZZ1265,1,$E$2+2)&amp;""="",급여기준월,IF(ISNUMBER(INDEX('입력_구리근무자명단'!$A1265:$ZZ1265,1,$E$2+2)),INDEX('입력_구리근무자명단'!$A1265:$ZZ1265,1,$E$2+2),IFERROR(DATE(VALUE(LEFT(INDEX('입력_구리근무자명단'!$A1265:$ZZ1265,1,$E$2+2),4)),VALUE(MID(INDEX('입력_구리근무자명단'!$A1265:$ZZ1265,1,$E$2+2),6,2)),VALUE(MID(INDEX('입력_구리근무자명단'!$A1265:$ZZ1265,1,$E$2+2),9,2))),-1))))</f>
        <v/>
      </c>
      <c r="T1267">
        <f>IF($R1267="","",IF(INDEX('입력_구리근무자명단'!$A1265:$ZZ1265,1,$E$2+3)&amp;""="",EOMONTH(급여기준월,0),IF(ISNUMBER(INDEX('입력_구리근무자명단'!$A1265:$ZZ1265,1,$E$2+3)),INDEX('입력_구리근무자명단'!$A1265:$ZZ1265,1,$E$2+3),IFERROR(DATE(VALUE(LEFT(INDEX('입력_구리근무자명단'!$A1265:$ZZ1265,1,$E$2+3),4)),VALUE(MID(INDEX('입력_구리근무자명단'!$A1265:$ZZ1265,1,$E$2+3),6,2)),VALUE(MID(INDEX('입력_구리근무자명단'!$A1265:$ZZ1265,1,$E$2+3),9,2))),-1))))</f>
        <v/>
      </c>
      <c r="U1267">
        <f>IF($R1267="","",IF(OR($S1267&lt;0,$T1267&lt;0),0,MAX(0,MIN($T1267,EOMONTH(급여기준월,0))-MAX($S1267,급여기준월)+1)))</f>
        <v/>
      </c>
      <c r="V1267">
        <f>IF($R1267="","",TRIM(INDEX('입력_구리근무자명단'!$A1265:$ZZ1265,1,$E$2+5)&amp;""))</f>
        <v/>
      </c>
      <c r="W1267">
        <f>IF(ISNUMBER(SEARCH("구리독자",$V1267)),"구리독자","")</f>
        <v/>
      </c>
      <c r="X1267">
        <f>IF($R1267="","",$R1267&amp;"|"&amp;IF(OR($Q1267="인턴",ISNUMBER(SEARCH("수련교육부",$P1267))),"인턴",$P1267))</f>
        <v/>
      </c>
      <c r="Y1267">
        <f>IF($R1267="","",IF(COUNTIF(명단표[이름|과],$X1267)=1,"명단 일치",IF(AND(COUNTIF(명단표[이름|과],$X1267)=0,COUNTIF(명단표[이름],$R1267)=1),"명단 일치(이름만, 과 다름)",IF(COUNTIF(명단표[이름],$R1267)=0,IF(COUNTIF(기본자료표[이름],$R1267)&gt;0,"명단에 없음(기본자료에는 있음)","명단에 없음"),"동명이인 확인"))))</f>
        <v/>
      </c>
      <c r="Z1267">
        <f>IF($R1267="","",IF($S1267&lt;0,"⚠"&amp;INDEX('입력_구리근무자명단'!$A1265:$ZZ1265,1,$E$2+2),TEXT($S1267,"yyyy-mm-dd")))</f>
        <v/>
      </c>
      <c r="AA1267">
        <f>IF($R1267="","",IF($T1267&lt;0,"⚠"&amp;INDEX('입력_구리근무자명단'!$A1265:$ZZ1265,1,$E$2+3),TEXT($T1267,"yyyy-mm-dd")))</f>
        <v/>
      </c>
      <c r="AB1267">
        <f>AB1266+IF($R1267="",0,1)</f>
        <v/>
      </c>
      <c r="AC1267">
        <f>IF($R1267="","",$AB1267)</f>
        <v/>
      </c>
    </row>
    <row r="1268">
      <c r="O1268">
        <f>1266</f>
        <v/>
      </c>
      <c r="P1268">
        <f>IF(TRIM('입력_구리근무자명단'!$A1266&amp;"")&lt;&gt;"",TRIM('입력_구리근무자명단'!$A1266&amp;""),P1267)</f>
        <v/>
      </c>
      <c r="Q1268">
        <f>'입력_구리근무자명단'!$B1266&amp;""</f>
        <v/>
      </c>
      <c r="R1268">
        <f>IF($E$2="","",TRIM(INDEX('입력_구리근무자명단'!$A1266:$ZZ1266,1,$E$2+IF($G$2="확정",1,0))&amp;""))</f>
        <v/>
      </c>
      <c r="S1268">
        <f>IF($R1268="","",IF(INDEX('입력_구리근무자명단'!$A1266:$ZZ1266,1,$E$2+2)&amp;""="",급여기준월,IF(ISNUMBER(INDEX('입력_구리근무자명단'!$A1266:$ZZ1266,1,$E$2+2)),INDEX('입력_구리근무자명단'!$A1266:$ZZ1266,1,$E$2+2),IFERROR(DATE(VALUE(LEFT(INDEX('입력_구리근무자명단'!$A1266:$ZZ1266,1,$E$2+2),4)),VALUE(MID(INDEX('입력_구리근무자명단'!$A1266:$ZZ1266,1,$E$2+2),6,2)),VALUE(MID(INDEX('입력_구리근무자명단'!$A1266:$ZZ1266,1,$E$2+2),9,2))),-1))))</f>
        <v/>
      </c>
      <c r="T1268">
        <f>IF($R1268="","",IF(INDEX('입력_구리근무자명단'!$A1266:$ZZ1266,1,$E$2+3)&amp;""="",EOMONTH(급여기준월,0),IF(ISNUMBER(INDEX('입력_구리근무자명단'!$A1266:$ZZ1266,1,$E$2+3)),INDEX('입력_구리근무자명단'!$A1266:$ZZ1266,1,$E$2+3),IFERROR(DATE(VALUE(LEFT(INDEX('입력_구리근무자명단'!$A1266:$ZZ1266,1,$E$2+3),4)),VALUE(MID(INDEX('입력_구리근무자명단'!$A1266:$ZZ1266,1,$E$2+3),6,2)),VALUE(MID(INDEX('입력_구리근무자명단'!$A1266:$ZZ1266,1,$E$2+3),9,2))),-1))))</f>
        <v/>
      </c>
      <c r="U1268">
        <f>IF($R1268="","",IF(OR($S1268&lt;0,$T1268&lt;0),0,MAX(0,MIN($T1268,EOMONTH(급여기준월,0))-MAX($S1268,급여기준월)+1)))</f>
        <v/>
      </c>
      <c r="V1268">
        <f>IF($R1268="","",TRIM(INDEX('입력_구리근무자명단'!$A1266:$ZZ1266,1,$E$2+5)&amp;""))</f>
        <v/>
      </c>
      <c r="W1268">
        <f>IF(ISNUMBER(SEARCH("구리독자",$V1268)),"구리독자","")</f>
        <v/>
      </c>
      <c r="X1268">
        <f>IF($R1268="","",$R1268&amp;"|"&amp;IF(OR($Q1268="인턴",ISNUMBER(SEARCH("수련교육부",$P1268))),"인턴",$P1268))</f>
        <v/>
      </c>
      <c r="Y1268">
        <f>IF($R1268="","",IF(COUNTIF(명단표[이름|과],$X1268)=1,"명단 일치",IF(AND(COUNTIF(명단표[이름|과],$X1268)=0,COUNTIF(명단표[이름],$R1268)=1),"명단 일치(이름만, 과 다름)",IF(COUNTIF(명단표[이름],$R1268)=0,IF(COUNTIF(기본자료표[이름],$R1268)&gt;0,"명단에 없음(기본자료에는 있음)","명단에 없음"),"동명이인 확인"))))</f>
        <v/>
      </c>
      <c r="Z1268">
        <f>IF($R1268="","",IF($S1268&lt;0,"⚠"&amp;INDEX('입력_구리근무자명단'!$A1266:$ZZ1266,1,$E$2+2),TEXT($S1268,"yyyy-mm-dd")))</f>
        <v/>
      </c>
      <c r="AA1268">
        <f>IF($R1268="","",IF($T1268&lt;0,"⚠"&amp;INDEX('입력_구리근무자명단'!$A1266:$ZZ1266,1,$E$2+3),TEXT($T1268,"yyyy-mm-dd")))</f>
        <v/>
      </c>
      <c r="AB1268">
        <f>AB1267+IF($R1268="",0,1)</f>
        <v/>
      </c>
      <c r="AC1268">
        <f>IF($R1268="","",$AB1268)</f>
        <v/>
      </c>
    </row>
    <row r="1269">
      <c r="O1269">
        <f>1267</f>
        <v/>
      </c>
      <c r="P1269">
        <f>IF(TRIM('입력_구리근무자명단'!$A1267&amp;"")&lt;&gt;"",TRIM('입력_구리근무자명단'!$A1267&amp;""),P1268)</f>
        <v/>
      </c>
      <c r="Q1269">
        <f>'입력_구리근무자명단'!$B1267&amp;""</f>
        <v/>
      </c>
      <c r="R1269">
        <f>IF($E$2="","",TRIM(INDEX('입력_구리근무자명단'!$A1267:$ZZ1267,1,$E$2+IF($G$2="확정",1,0))&amp;""))</f>
        <v/>
      </c>
      <c r="S1269">
        <f>IF($R1269="","",IF(INDEX('입력_구리근무자명단'!$A1267:$ZZ1267,1,$E$2+2)&amp;""="",급여기준월,IF(ISNUMBER(INDEX('입력_구리근무자명단'!$A1267:$ZZ1267,1,$E$2+2)),INDEX('입력_구리근무자명단'!$A1267:$ZZ1267,1,$E$2+2),IFERROR(DATE(VALUE(LEFT(INDEX('입력_구리근무자명단'!$A1267:$ZZ1267,1,$E$2+2),4)),VALUE(MID(INDEX('입력_구리근무자명단'!$A1267:$ZZ1267,1,$E$2+2),6,2)),VALUE(MID(INDEX('입력_구리근무자명단'!$A1267:$ZZ1267,1,$E$2+2),9,2))),-1))))</f>
        <v/>
      </c>
      <c r="T1269">
        <f>IF($R1269="","",IF(INDEX('입력_구리근무자명단'!$A1267:$ZZ1267,1,$E$2+3)&amp;""="",EOMONTH(급여기준월,0),IF(ISNUMBER(INDEX('입력_구리근무자명단'!$A1267:$ZZ1267,1,$E$2+3)),INDEX('입력_구리근무자명단'!$A1267:$ZZ1267,1,$E$2+3),IFERROR(DATE(VALUE(LEFT(INDEX('입력_구리근무자명단'!$A1267:$ZZ1267,1,$E$2+3),4)),VALUE(MID(INDEX('입력_구리근무자명단'!$A1267:$ZZ1267,1,$E$2+3),6,2)),VALUE(MID(INDEX('입력_구리근무자명단'!$A1267:$ZZ1267,1,$E$2+3),9,2))),-1))))</f>
        <v/>
      </c>
      <c r="U1269">
        <f>IF($R1269="","",IF(OR($S1269&lt;0,$T1269&lt;0),0,MAX(0,MIN($T1269,EOMONTH(급여기준월,0))-MAX($S1269,급여기준월)+1)))</f>
        <v/>
      </c>
      <c r="V1269">
        <f>IF($R1269="","",TRIM(INDEX('입력_구리근무자명단'!$A1267:$ZZ1267,1,$E$2+5)&amp;""))</f>
        <v/>
      </c>
      <c r="W1269">
        <f>IF(ISNUMBER(SEARCH("구리독자",$V1269)),"구리독자","")</f>
        <v/>
      </c>
      <c r="X1269">
        <f>IF($R1269="","",$R1269&amp;"|"&amp;IF(OR($Q1269="인턴",ISNUMBER(SEARCH("수련교육부",$P1269))),"인턴",$P1269))</f>
        <v/>
      </c>
      <c r="Y1269">
        <f>IF($R1269="","",IF(COUNTIF(명단표[이름|과],$X1269)=1,"명단 일치",IF(AND(COUNTIF(명단표[이름|과],$X1269)=0,COUNTIF(명단표[이름],$R1269)=1),"명단 일치(이름만, 과 다름)",IF(COUNTIF(명단표[이름],$R1269)=0,IF(COUNTIF(기본자료표[이름],$R1269)&gt;0,"명단에 없음(기본자료에는 있음)","명단에 없음"),"동명이인 확인"))))</f>
        <v/>
      </c>
      <c r="Z1269">
        <f>IF($R1269="","",IF($S1269&lt;0,"⚠"&amp;INDEX('입력_구리근무자명단'!$A1267:$ZZ1267,1,$E$2+2),TEXT($S1269,"yyyy-mm-dd")))</f>
        <v/>
      </c>
      <c r="AA1269">
        <f>IF($R1269="","",IF($T1269&lt;0,"⚠"&amp;INDEX('입력_구리근무자명단'!$A1267:$ZZ1267,1,$E$2+3),TEXT($T1269,"yyyy-mm-dd")))</f>
        <v/>
      </c>
      <c r="AB1269">
        <f>AB1268+IF($R1269="",0,1)</f>
        <v/>
      </c>
      <c r="AC1269">
        <f>IF($R1269="","",$AB1269)</f>
        <v/>
      </c>
    </row>
    <row r="1270">
      <c r="O1270">
        <f>1268</f>
        <v/>
      </c>
      <c r="P1270">
        <f>IF(TRIM('입력_구리근무자명단'!$A1268&amp;"")&lt;&gt;"",TRIM('입력_구리근무자명단'!$A1268&amp;""),P1269)</f>
        <v/>
      </c>
      <c r="Q1270">
        <f>'입력_구리근무자명단'!$B1268&amp;""</f>
        <v/>
      </c>
      <c r="R1270">
        <f>IF($E$2="","",TRIM(INDEX('입력_구리근무자명단'!$A1268:$ZZ1268,1,$E$2+IF($G$2="확정",1,0))&amp;""))</f>
        <v/>
      </c>
      <c r="S1270">
        <f>IF($R1270="","",IF(INDEX('입력_구리근무자명단'!$A1268:$ZZ1268,1,$E$2+2)&amp;""="",급여기준월,IF(ISNUMBER(INDEX('입력_구리근무자명단'!$A1268:$ZZ1268,1,$E$2+2)),INDEX('입력_구리근무자명단'!$A1268:$ZZ1268,1,$E$2+2),IFERROR(DATE(VALUE(LEFT(INDEX('입력_구리근무자명단'!$A1268:$ZZ1268,1,$E$2+2),4)),VALUE(MID(INDEX('입력_구리근무자명단'!$A1268:$ZZ1268,1,$E$2+2),6,2)),VALUE(MID(INDEX('입력_구리근무자명단'!$A1268:$ZZ1268,1,$E$2+2),9,2))),-1))))</f>
        <v/>
      </c>
      <c r="T1270">
        <f>IF($R1270="","",IF(INDEX('입력_구리근무자명단'!$A1268:$ZZ1268,1,$E$2+3)&amp;""="",EOMONTH(급여기준월,0),IF(ISNUMBER(INDEX('입력_구리근무자명단'!$A1268:$ZZ1268,1,$E$2+3)),INDEX('입력_구리근무자명단'!$A1268:$ZZ1268,1,$E$2+3),IFERROR(DATE(VALUE(LEFT(INDEX('입력_구리근무자명단'!$A1268:$ZZ1268,1,$E$2+3),4)),VALUE(MID(INDEX('입력_구리근무자명단'!$A1268:$ZZ1268,1,$E$2+3),6,2)),VALUE(MID(INDEX('입력_구리근무자명단'!$A1268:$ZZ1268,1,$E$2+3),9,2))),-1))))</f>
        <v/>
      </c>
      <c r="U1270">
        <f>IF($R1270="","",IF(OR($S1270&lt;0,$T1270&lt;0),0,MAX(0,MIN($T1270,EOMONTH(급여기준월,0))-MAX($S1270,급여기준월)+1)))</f>
        <v/>
      </c>
      <c r="V1270">
        <f>IF($R1270="","",TRIM(INDEX('입력_구리근무자명단'!$A1268:$ZZ1268,1,$E$2+5)&amp;""))</f>
        <v/>
      </c>
      <c r="W1270">
        <f>IF(ISNUMBER(SEARCH("구리독자",$V1270)),"구리독자","")</f>
        <v/>
      </c>
      <c r="X1270">
        <f>IF($R1270="","",$R1270&amp;"|"&amp;IF(OR($Q1270="인턴",ISNUMBER(SEARCH("수련교육부",$P1270))),"인턴",$P1270))</f>
        <v/>
      </c>
      <c r="Y1270">
        <f>IF($R1270="","",IF(COUNTIF(명단표[이름|과],$X1270)=1,"명단 일치",IF(AND(COUNTIF(명단표[이름|과],$X1270)=0,COUNTIF(명단표[이름],$R1270)=1),"명단 일치(이름만, 과 다름)",IF(COUNTIF(명단표[이름],$R1270)=0,IF(COUNTIF(기본자료표[이름],$R1270)&gt;0,"명단에 없음(기본자료에는 있음)","명단에 없음"),"동명이인 확인"))))</f>
        <v/>
      </c>
      <c r="Z1270">
        <f>IF($R1270="","",IF($S1270&lt;0,"⚠"&amp;INDEX('입력_구리근무자명단'!$A1268:$ZZ1268,1,$E$2+2),TEXT($S1270,"yyyy-mm-dd")))</f>
        <v/>
      </c>
      <c r="AA1270">
        <f>IF($R1270="","",IF($T1270&lt;0,"⚠"&amp;INDEX('입력_구리근무자명단'!$A1268:$ZZ1268,1,$E$2+3),TEXT($T1270,"yyyy-mm-dd")))</f>
        <v/>
      </c>
      <c r="AB1270">
        <f>AB1269+IF($R1270="",0,1)</f>
        <v/>
      </c>
      <c r="AC1270">
        <f>IF($R1270="","",$AB1270)</f>
        <v/>
      </c>
    </row>
    <row r="1271">
      <c r="O1271">
        <f>1269</f>
        <v/>
      </c>
      <c r="P1271">
        <f>IF(TRIM('입력_구리근무자명단'!$A1269&amp;"")&lt;&gt;"",TRIM('입력_구리근무자명단'!$A1269&amp;""),P1270)</f>
        <v/>
      </c>
      <c r="Q1271">
        <f>'입력_구리근무자명단'!$B1269&amp;""</f>
        <v/>
      </c>
      <c r="R1271">
        <f>IF($E$2="","",TRIM(INDEX('입력_구리근무자명단'!$A1269:$ZZ1269,1,$E$2+IF($G$2="확정",1,0))&amp;""))</f>
        <v/>
      </c>
      <c r="S1271">
        <f>IF($R1271="","",IF(INDEX('입력_구리근무자명단'!$A1269:$ZZ1269,1,$E$2+2)&amp;""="",급여기준월,IF(ISNUMBER(INDEX('입력_구리근무자명단'!$A1269:$ZZ1269,1,$E$2+2)),INDEX('입력_구리근무자명단'!$A1269:$ZZ1269,1,$E$2+2),IFERROR(DATE(VALUE(LEFT(INDEX('입력_구리근무자명단'!$A1269:$ZZ1269,1,$E$2+2),4)),VALUE(MID(INDEX('입력_구리근무자명단'!$A1269:$ZZ1269,1,$E$2+2),6,2)),VALUE(MID(INDEX('입력_구리근무자명단'!$A1269:$ZZ1269,1,$E$2+2),9,2))),-1))))</f>
        <v/>
      </c>
      <c r="T1271">
        <f>IF($R1271="","",IF(INDEX('입력_구리근무자명단'!$A1269:$ZZ1269,1,$E$2+3)&amp;""="",EOMONTH(급여기준월,0),IF(ISNUMBER(INDEX('입력_구리근무자명단'!$A1269:$ZZ1269,1,$E$2+3)),INDEX('입력_구리근무자명단'!$A1269:$ZZ1269,1,$E$2+3),IFERROR(DATE(VALUE(LEFT(INDEX('입력_구리근무자명단'!$A1269:$ZZ1269,1,$E$2+3),4)),VALUE(MID(INDEX('입력_구리근무자명단'!$A1269:$ZZ1269,1,$E$2+3),6,2)),VALUE(MID(INDEX('입력_구리근무자명단'!$A1269:$ZZ1269,1,$E$2+3),9,2))),-1))))</f>
        <v/>
      </c>
      <c r="U1271">
        <f>IF($R1271="","",IF(OR($S1271&lt;0,$T1271&lt;0),0,MAX(0,MIN($T1271,EOMONTH(급여기준월,0))-MAX($S1271,급여기준월)+1)))</f>
        <v/>
      </c>
      <c r="V1271">
        <f>IF($R1271="","",TRIM(INDEX('입력_구리근무자명단'!$A1269:$ZZ1269,1,$E$2+5)&amp;""))</f>
        <v/>
      </c>
      <c r="W1271">
        <f>IF(ISNUMBER(SEARCH("구리독자",$V1271)),"구리독자","")</f>
        <v/>
      </c>
      <c r="X1271">
        <f>IF($R1271="","",$R1271&amp;"|"&amp;IF(OR($Q1271="인턴",ISNUMBER(SEARCH("수련교육부",$P1271))),"인턴",$P1271))</f>
        <v/>
      </c>
      <c r="Y1271">
        <f>IF($R1271="","",IF(COUNTIF(명단표[이름|과],$X1271)=1,"명단 일치",IF(AND(COUNTIF(명단표[이름|과],$X1271)=0,COUNTIF(명단표[이름],$R1271)=1),"명단 일치(이름만, 과 다름)",IF(COUNTIF(명단표[이름],$R1271)=0,IF(COUNTIF(기본자료표[이름],$R1271)&gt;0,"명단에 없음(기본자료에는 있음)","명단에 없음"),"동명이인 확인"))))</f>
        <v/>
      </c>
      <c r="Z1271">
        <f>IF($R1271="","",IF($S1271&lt;0,"⚠"&amp;INDEX('입력_구리근무자명단'!$A1269:$ZZ1269,1,$E$2+2),TEXT($S1271,"yyyy-mm-dd")))</f>
        <v/>
      </c>
      <c r="AA1271">
        <f>IF($R1271="","",IF($T1271&lt;0,"⚠"&amp;INDEX('입력_구리근무자명단'!$A1269:$ZZ1269,1,$E$2+3),TEXT($T1271,"yyyy-mm-dd")))</f>
        <v/>
      </c>
      <c r="AB1271">
        <f>AB1270+IF($R1271="",0,1)</f>
        <v/>
      </c>
      <c r="AC1271">
        <f>IF($R1271="","",$AB1271)</f>
        <v/>
      </c>
    </row>
    <row r="1272">
      <c r="O1272">
        <f>1270</f>
        <v/>
      </c>
      <c r="P1272">
        <f>IF(TRIM('입력_구리근무자명단'!$A1270&amp;"")&lt;&gt;"",TRIM('입력_구리근무자명단'!$A1270&amp;""),P1271)</f>
        <v/>
      </c>
      <c r="Q1272">
        <f>'입력_구리근무자명단'!$B1270&amp;""</f>
        <v/>
      </c>
      <c r="R1272">
        <f>IF($E$2="","",TRIM(INDEX('입력_구리근무자명단'!$A1270:$ZZ1270,1,$E$2+IF($G$2="확정",1,0))&amp;""))</f>
        <v/>
      </c>
      <c r="S1272">
        <f>IF($R1272="","",IF(INDEX('입력_구리근무자명단'!$A1270:$ZZ1270,1,$E$2+2)&amp;""="",급여기준월,IF(ISNUMBER(INDEX('입력_구리근무자명단'!$A1270:$ZZ1270,1,$E$2+2)),INDEX('입력_구리근무자명단'!$A1270:$ZZ1270,1,$E$2+2),IFERROR(DATE(VALUE(LEFT(INDEX('입력_구리근무자명단'!$A1270:$ZZ1270,1,$E$2+2),4)),VALUE(MID(INDEX('입력_구리근무자명단'!$A1270:$ZZ1270,1,$E$2+2),6,2)),VALUE(MID(INDEX('입력_구리근무자명단'!$A1270:$ZZ1270,1,$E$2+2),9,2))),-1))))</f>
        <v/>
      </c>
      <c r="T1272">
        <f>IF($R1272="","",IF(INDEX('입력_구리근무자명단'!$A1270:$ZZ1270,1,$E$2+3)&amp;""="",EOMONTH(급여기준월,0),IF(ISNUMBER(INDEX('입력_구리근무자명단'!$A1270:$ZZ1270,1,$E$2+3)),INDEX('입력_구리근무자명단'!$A1270:$ZZ1270,1,$E$2+3),IFERROR(DATE(VALUE(LEFT(INDEX('입력_구리근무자명단'!$A1270:$ZZ1270,1,$E$2+3),4)),VALUE(MID(INDEX('입력_구리근무자명단'!$A1270:$ZZ1270,1,$E$2+3),6,2)),VALUE(MID(INDEX('입력_구리근무자명단'!$A1270:$ZZ1270,1,$E$2+3),9,2))),-1))))</f>
        <v/>
      </c>
      <c r="U1272">
        <f>IF($R1272="","",IF(OR($S1272&lt;0,$T1272&lt;0),0,MAX(0,MIN($T1272,EOMONTH(급여기준월,0))-MAX($S1272,급여기준월)+1)))</f>
        <v/>
      </c>
      <c r="V1272">
        <f>IF($R1272="","",TRIM(INDEX('입력_구리근무자명단'!$A1270:$ZZ1270,1,$E$2+5)&amp;""))</f>
        <v/>
      </c>
      <c r="W1272">
        <f>IF(ISNUMBER(SEARCH("구리독자",$V1272)),"구리독자","")</f>
        <v/>
      </c>
      <c r="X1272">
        <f>IF($R1272="","",$R1272&amp;"|"&amp;IF(OR($Q1272="인턴",ISNUMBER(SEARCH("수련교육부",$P1272))),"인턴",$P1272))</f>
        <v/>
      </c>
      <c r="Y1272">
        <f>IF($R1272="","",IF(COUNTIF(명단표[이름|과],$X1272)=1,"명단 일치",IF(AND(COUNTIF(명단표[이름|과],$X1272)=0,COUNTIF(명단표[이름],$R1272)=1),"명단 일치(이름만, 과 다름)",IF(COUNTIF(명단표[이름],$R1272)=0,IF(COUNTIF(기본자료표[이름],$R1272)&gt;0,"명단에 없음(기본자료에는 있음)","명단에 없음"),"동명이인 확인"))))</f>
        <v/>
      </c>
      <c r="Z1272">
        <f>IF($R1272="","",IF($S1272&lt;0,"⚠"&amp;INDEX('입력_구리근무자명단'!$A1270:$ZZ1270,1,$E$2+2),TEXT($S1272,"yyyy-mm-dd")))</f>
        <v/>
      </c>
      <c r="AA1272">
        <f>IF($R1272="","",IF($T1272&lt;0,"⚠"&amp;INDEX('입력_구리근무자명단'!$A1270:$ZZ1270,1,$E$2+3),TEXT($T1272,"yyyy-mm-dd")))</f>
        <v/>
      </c>
      <c r="AB1272">
        <f>AB1271+IF($R1272="",0,1)</f>
        <v/>
      </c>
      <c r="AC1272">
        <f>IF($R1272="","",$AB1272)</f>
        <v/>
      </c>
    </row>
    <row r="1273">
      <c r="O1273">
        <f>1271</f>
        <v/>
      </c>
      <c r="P1273">
        <f>IF(TRIM('입력_구리근무자명단'!$A1271&amp;"")&lt;&gt;"",TRIM('입력_구리근무자명단'!$A1271&amp;""),P1272)</f>
        <v/>
      </c>
      <c r="Q1273">
        <f>'입력_구리근무자명단'!$B1271&amp;""</f>
        <v/>
      </c>
      <c r="R1273">
        <f>IF($E$2="","",TRIM(INDEX('입력_구리근무자명단'!$A1271:$ZZ1271,1,$E$2+IF($G$2="확정",1,0))&amp;""))</f>
        <v/>
      </c>
      <c r="S1273">
        <f>IF($R1273="","",IF(INDEX('입력_구리근무자명단'!$A1271:$ZZ1271,1,$E$2+2)&amp;""="",급여기준월,IF(ISNUMBER(INDEX('입력_구리근무자명단'!$A1271:$ZZ1271,1,$E$2+2)),INDEX('입력_구리근무자명단'!$A1271:$ZZ1271,1,$E$2+2),IFERROR(DATE(VALUE(LEFT(INDEX('입력_구리근무자명단'!$A1271:$ZZ1271,1,$E$2+2),4)),VALUE(MID(INDEX('입력_구리근무자명단'!$A1271:$ZZ1271,1,$E$2+2),6,2)),VALUE(MID(INDEX('입력_구리근무자명단'!$A1271:$ZZ1271,1,$E$2+2),9,2))),-1))))</f>
        <v/>
      </c>
      <c r="T1273">
        <f>IF($R1273="","",IF(INDEX('입력_구리근무자명단'!$A1271:$ZZ1271,1,$E$2+3)&amp;""="",EOMONTH(급여기준월,0),IF(ISNUMBER(INDEX('입력_구리근무자명단'!$A1271:$ZZ1271,1,$E$2+3)),INDEX('입력_구리근무자명단'!$A1271:$ZZ1271,1,$E$2+3),IFERROR(DATE(VALUE(LEFT(INDEX('입력_구리근무자명단'!$A1271:$ZZ1271,1,$E$2+3),4)),VALUE(MID(INDEX('입력_구리근무자명단'!$A1271:$ZZ1271,1,$E$2+3),6,2)),VALUE(MID(INDEX('입력_구리근무자명단'!$A1271:$ZZ1271,1,$E$2+3),9,2))),-1))))</f>
        <v/>
      </c>
      <c r="U1273">
        <f>IF($R1273="","",IF(OR($S1273&lt;0,$T1273&lt;0),0,MAX(0,MIN($T1273,EOMONTH(급여기준월,0))-MAX($S1273,급여기준월)+1)))</f>
        <v/>
      </c>
      <c r="V1273">
        <f>IF($R1273="","",TRIM(INDEX('입력_구리근무자명단'!$A1271:$ZZ1271,1,$E$2+5)&amp;""))</f>
        <v/>
      </c>
      <c r="W1273">
        <f>IF(ISNUMBER(SEARCH("구리독자",$V1273)),"구리독자","")</f>
        <v/>
      </c>
      <c r="X1273">
        <f>IF($R1273="","",$R1273&amp;"|"&amp;IF(OR($Q1273="인턴",ISNUMBER(SEARCH("수련교육부",$P1273))),"인턴",$P1273))</f>
        <v/>
      </c>
      <c r="Y1273">
        <f>IF($R1273="","",IF(COUNTIF(명단표[이름|과],$X1273)=1,"명단 일치",IF(AND(COUNTIF(명단표[이름|과],$X1273)=0,COUNTIF(명단표[이름],$R1273)=1),"명단 일치(이름만, 과 다름)",IF(COUNTIF(명단표[이름],$R1273)=0,IF(COUNTIF(기본자료표[이름],$R1273)&gt;0,"명단에 없음(기본자료에는 있음)","명단에 없음"),"동명이인 확인"))))</f>
        <v/>
      </c>
      <c r="Z1273">
        <f>IF($R1273="","",IF($S1273&lt;0,"⚠"&amp;INDEX('입력_구리근무자명단'!$A1271:$ZZ1271,1,$E$2+2),TEXT($S1273,"yyyy-mm-dd")))</f>
        <v/>
      </c>
      <c r="AA1273">
        <f>IF($R1273="","",IF($T1273&lt;0,"⚠"&amp;INDEX('입력_구리근무자명단'!$A1271:$ZZ1271,1,$E$2+3),TEXT($T1273,"yyyy-mm-dd")))</f>
        <v/>
      </c>
      <c r="AB1273">
        <f>AB1272+IF($R1273="",0,1)</f>
        <v/>
      </c>
      <c r="AC1273">
        <f>IF($R1273="","",$AB1273)</f>
        <v/>
      </c>
    </row>
    <row r="1274">
      <c r="O1274">
        <f>1272</f>
        <v/>
      </c>
      <c r="P1274">
        <f>IF(TRIM('입력_구리근무자명단'!$A1272&amp;"")&lt;&gt;"",TRIM('입력_구리근무자명단'!$A1272&amp;""),P1273)</f>
        <v/>
      </c>
      <c r="Q1274">
        <f>'입력_구리근무자명단'!$B1272&amp;""</f>
        <v/>
      </c>
      <c r="R1274">
        <f>IF($E$2="","",TRIM(INDEX('입력_구리근무자명단'!$A1272:$ZZ1272,1,$E$2+IF($G$2="확정",1,0))&amp;""))</f>
        <v/>
      </c>
      <c r="S1274">
        <f>IF($R1274="","",IF(INDEX('입력_구리근무자명단'!$A1272:$ZZ1272,1,$E$2+2)&amp;""="",급여기준월,IF(ISNUMBER(INDEX('입력_구리근무자명단'!$A1272:$ZZ1272,1,$E$2+2)),INDEX('입력_구리근무자명단'!$A1272:$ZZ1272,1,$E$2+2),IFERROR(DATE(VALUE(LEFT(INDEX('입력_구리근무자명단'!$A1272:$ZZ1272,1,$E$2+2),4)),VALUE(MID(INDEX('입력_구리근무자명단'!$A1272:$ZZ1272,1,$E$2+2),6,2)),VALUE(MID(INDEX('입력_구리근무자명단'!$A1272:$ZZ1272,1,$E$2+2),9,2))),-1))))</f>
        <v/>
      </c>
      <c r="T1274">
        <f>IF($R1274="","",IF(INDEX('입력_구리근무자명단'!$A1272:$ZZ1272,1,$E$2+3)&amp;""="",EOMONTH(급여기준월,0),IF(ISNUMBER(INDEX('입력_구리근무자명단'!$A1272:$ZZ1272,1,$E$2+3)),INDEX('입력_구리근무자명단'!$A1272:$ZZ1272,1,$E$2+3),IFERROR(DATE(VALUE(LEFT(INDEX('입력_구리근무자명단'!$A1272:$ZZ1272,1,$E$2+3),4)),VALUE(MID(INDEX('입력_구리근무자명단'!$A1272:$ZZ1272,1,$E$2+3),6,2)),VALUE(MID(INDEX('입력_구리근무자명단'!$A1272:$ZZ1272,1,$E$2+3),9,2))),-1))))</f>
        <v/>
      </c>
      <c r="U1274">
        <f>IF($R1274="","",IF(OR($S1274&lt;0,$T1274&lt;0),0,MAX(0,MIN($T1274,EOMONTH(급여기준월,0))-MAX($S1274,급여기준월)+1)))</f>
        <v/>
      </c>
      <c r="V1274">
        <f>IF($R1274="","",TRIM(INDEX('입력_구리근무자명단'!$A1272:$ZZ1272,1,$E$2+5)&amp;""))</f>
        <v/>
      </c>
      <c r="W1274">
        <f>IF(ISNUMBER(SEARCH("구리독자",$V1274)),"구리독자","")</f>
        <v/>
      </c>
      <c r="X1274">
        <f>IF($R1274="","",$R1274&amp;"|"&amp;IF(OR($Q1274="인턴",ISNUMBER(SEARCH("수련교육부",$P1274))),"인턴",$P1274))</f>
        <v/>
      </c>
      <c r="Y1274">
        <f>IF($R1274="","",IF(COUNTIF(명단표[이름|과],$X1274)=1,"명단 일치",IF(AND(COUNTIF(명단표[이름|과],$X1274)=0,COUNTIF(명단표[이름],$R1274)=1),"명단 일치(이름만, 과 다름)",IF(COUNTIF(명단표[이름],$R1274)=0,IF(COUNTIF(기본자료표[이름],$R1274)&gt;0,"명단에 없음(기본자료에는 있음)","명단에 없음"),"동명이인 확인"))))</f>
        <v/>
      </c>
      <c r="Z1274">
        <f>IF($R1274="","",IF($S1274&lt;0,"⚠"&amp;INDEX('입력_구리근무자명단'!$A1272:$ZZ1272,1,$E$2+2),TEXT($S1274,"yyyy-mm-dd")))</f>
        <v/>
      </c>
      <c r="AA1274">
        <f>IF($R1274="","",IF($T1274&lt;0,"⚠"&amp;INDEX('입력_구리근무자명단'!$A1272:$ZZ1272,1,$E$2+3),TEXT($T1274,"yyyy-mm-dd")))</f>
        <v/>
      </c>
      <c r="AB1274">
        <f>AB1273+IF($R1274="",0,1)</f>
        <v/>
      </c>
      <c r="AC1274">
        <f>IF($R1274="","",$AB1274)</f>
        <v/>
      </c>
    </row>
    <row r="1275">
      <c r="O1275">
        <f>1273</f>
        <v/>
      </c>
      <c r="P1275">
        <f>IF(TRIM('입력_구리근무자명단'!$A1273&amp;"")&lt;&gt;"",TRIM('입력_구리근무자명단'!$A1273&amp;""),P1274)</f>
        <v/>
      </c>
      <c r="Q1275">
        <f>'입력_구리근무자명단'!$B1273&amp;""</f>
        <v/>
      </c>
      <c r="R1275">
        <f>IF($E$2="","",TRIM(INDEX('입력_구리근무자명단'!$A1273:$ZZ1273,1,$E$2+IF($G$2="확정",1,0))&amp;""))</f>
        <v/>
      </c>
      <c r="S1275">
        <f>IF($R1275="","",IF(INDEX('입력_구리근무자명단'!$A1273:$ZZ1273,1,$E$2+2)&amp;""="",급여기준월,IF(ISNUMBER(INDEX('입력_구리근무자명단'!$A1273:$ZZ1273,1,$E$2+2)),INDEX('입력_구리근무자명단'!$A1273:$ZZ1273,1,$E$2+2),IFERROR(DATE(VALUE(LEFT(INDEX('입력_구리근무자명단'!$A1273:$ZZ1273,1,$E$2+2),4)),VALUE(MID(INDEX('입력_구리근무자명단'!$A1273:$ZZ1273,1,$E$2+2),6,2)),VALUE(MID(INDEX('입력_구리근무자명단'!$A1273:$ZZ1273,1,$E$2+2),9,2))),-1))))</f>
        <v/>
      </c>
      <c r="T1275">
        <f>IF($R1275="","",IF(INDEX('입력_구리근무자명단'!$A1273:$ZZ1273,1,$E$2+3)&amp;""="",EOMONTH(급여기준월,0),IF(ISNUMBER(INDEX('입력_구리근무자명단'!$A1273:$ZZ1273,1,$E$2+3)),INDEX('입력_구리근무자명단'!$A1273:$ZZ1273,1,$E$2+3),IFERROR(DATE(VALUE(LEFT(INDEX('입력_구리근무자명단'!$A1273:$ZZ1273,1,$E$2+3),4)),VALUE(MID(INDEX('입력_구리근무자명단'!$A1273:$ZZ1273,1,$E$2+3),6,2)),VALUE(MID(INDEX('입력_구리근무자명단'!$A1273:$ZZ1273,1,$E$2+3),9,2))),-1))))</f>
        <v/>
      </c>
      <c r="U1275">
        <f>IF($R1275="","",IF(OR($S1275&lt;0,$T1275&lt;0),0,MAX(0,MIN($T1275,EOMONTH(급여기준월,0))-MAX($S1275,급여기준월)+1)))</f>
        <v/>
      </c>
      <c r="V1275">
        <f>IF($R1275="","",TRIM(INDEX('입력_구리근무자명단'!$A1273:$ZZ1273,1,$E$2+5)&amp;""))</f>
        <v/>
      </c>
      <c r="W1275">
        <f>IF(ISNUMBER(SEARCH("구리독자",$V1275)),"구리독자","")</f>
        <v/>
      </c>
      <c r="X1275">
        <f>IF($R1275="","",$R1275&amp;"|"&amp;IF(OR($Q1275="인턴",ISNUMBER(SEARCH("수련교육부",$P1275))),"인턴",$P1275))</f>
        <v/>
      </c>
      <c r="Y1275">
        <f>IF($R1275="","",IF(COUNTIF(명단표[이름|과],$X1275)=1,"명단 일치",IF(AND(COUNTIF(명단표[이름|과],$X1275)=0,COUNTIF(명단표[이름],$R1275)=1),"명단 일치(이름만, 과 다름)",IF(COUNTIF(명단표[이름],$R1275)=0,IF(COUNTIF(기본자료표[이름],$R1275)&gt;0,"명단에 없음(기본자료에는 있음)","명단에 없음"),"동명이인 확인"))))</f>
        <v/>
      </c>
      <c r="Z1275">
        <f>IF($R1275="","",IF($S1275&lt;0,"⚠"&amp;INDEX('입력_구리근무자명단'!$A1273:$ZZ1273,1,$E$2+2),TEXT($S1275,"yyyy-mm-dd")))</f>
        <v/>
      </c>
      <c r="AA1275">
        <f>IF($R1275="","",IF($T1275&lt;0,"⚠"&amp;INDEX('입력_구리근무자명단'!$A1273:$ZZ1273,1,$E$2+3),TEXT($T1275,"yyyy-mm-dd")))</f>
        <v/>
      </c>
      <c r="AB1275">
        <f>AB1274+IF($R1275="",0,1)</f>
        <v/>
      </c>
      <c r="AC1275">
        <f>IF($R1275="","",$AB1275)</f>
        <v/>
      </c>
    </row>
    <row r="1276">
      <c r="O1276">
        <f>1274</f>
        <v/>
      </c>
      <c r="P1276">
        <f>IF(TRIM('입력_구리근무자명단'!$A1274&amp;"")&lt;&gt;"",TRIM('입력_구리근무자명단'!$A1274&amp;""),P1275)</f>
        <v/>
      </c>
      <c r="Q1276">
        <f>'입력_구리근무자명단'!$B1274&amp;""</f>
        <v/>
      </c>
      <c r="R1276">
        <f>IF($E$2="","",TRIM(INDEX('입력_구리근무자명단'!$A1274:$ZZ1274,1,$E$2+IF($G$2="확정",1,0))&amp;""))</f>
        <v/>
      </c>
      <c r="S1276">
        <f>IF($R1276="","",IF(INDEX('입력_구리근무자명단'!$A1274:$ZZ1274,1,$E$2+2)&amp;""="",급여기준월,IF(ISNUMBER(INDEX('입력_구리근무자명단'!$A1274:$ZZ1274,1,$E$2+2)),INDEX('입력_구리근무자명단'!$A1274:$ZZ1274,1,$E$2+2),IFERROR(DATE(VALUE(LEFT(INDEX('입력_구리근무자명단'!$A1274:$ZZ1274,1,$E$2+2),4)),VALUE(MID(INDEX('입력_구리근무자명단'!$A1274:$ZZ1274,1,$E$2+2),6,2)),VALUE(MID(INDEX('입력_구리근무자명단'!$A1274:$ZZ1274,1,$E$2+2),9,2))),-1))))</f>
        <v/>
      </c>
      <c r="T1276">
        <f>IF($R1276="","",IF(INDEX('입력_구리근무자명단'!$A1274:$ZZ1274,1,$E$2+3)&amp;""="",EOMONTH(급여기준월,0),IF(ISNUMBER(INDEX('입력_구리근무자명단'!$A1274:$ZZ1274,1,$E$2+3)),INDEX('입력_구리근무자명단'!$A1274:$ZZ1274,1,$E$2+3),IFERROR(DATE(VALUE(LEFT(INDEX('입력_구리근무자명단'!$A1274:$ZZ1274,1,$E$2+3),4)),VALUE(MID(INDEX('입력_구리근무자명단'!$A1274:$ZZ1274,1,$E$2+3),6,2)),VALUE(MID(INDEX('입력_구리근무자명단'!$A1274:$ZZ1274,1,$E$2+3),9,2))),-1))))</f>
        <v/>
      </c>
      <c r="U1276">
        <f>IF($R1276="","",IF(OR($S1276&lt;0,$T1276&lt;0),0,MAX(0,MIN($T1276,EOMONTH(급여기준월,0))-MAX($S1276,급여기준월)+1)))</f>
        <v/>
      </c>
      <c r="V1276">
        <f>IF($R1276="","",TRIM(INDEX('입력_구리근무자명단'!$A1274:$ZZ1274,1,$E$2+5)&amp;""))</f>
        <v/>
      </c>
      <c r="W1276">
        <f>IF(ISNUMBER(SEARCH("구리독자",$V1276)),"구리독자","")</f>
        <v/>
      </c>
      <c r="X1276">
        <f>IF($R1276="","",$R1276&amp;"|"&amp;IF(OR($Q1276="인턴",ISNUMBER(SEARCH("수련교육부",$P1276))),"인턴",$P1276))</f>
        <v/>
      </c>
      <c r="Y1276">
        <f>IF($R1276="","",IF(COUNTIF(명단표[이름|과],$X1276)=1,"명단 일치",IF(AND(COUNTIF(명단표[이름|과],$X1276)=0,COUNTIF(명단표[이름],$R1276)=1),"명단 일치(이름만, 과 다름)",IF(COUNTIF(명단표[이름],$R1276)=0,IF(COUNTIF(기본자료표[이름],$R1276)&gt;0,"명단에 없음(기본자료에는 있음)","명단에 없음"),"동명이인 확인"))))</f>
        <v/>
      </c>
      <c r="Z1276">
        <f>IF($R1276="","",IF($S1276&lt;0,"⚠"&amp;INDEX('입력_구리근무자명단'!$A1274:$ZZ1274,1,$E$2+2),TEXT($S1276,"yyyy-mm-dd")))</f>
        <v/>
      </c>
      <c r="AA1276">
        <f>IF($R1276="","",IF($T1276&lt;0,"⚠"&amp;INDEX('입력_구리근무자명단'!$A1274:$ZZ1274,1,$E$2+3),TEXT($T1276,"yyyy-mm-dd")))</f>
        <v/>
      </c>
      <c r="AB1276">
        <f>AB1275+IF($R1276="",0,1)</f>
        <v/>
      </c>
      <c r="AC1276">
        <f>IF($R1276="","",$AB1276)</f>
        <v/>
      </c>
    </row>
    <row r="1277">
      <c r="O1277">
        <f>1275</f>
        <v/>
      </c>
      <c r="P1277">
        <f>IF(TRIM('입력_구리근무자명단'!$A1275&amp;"")&lt;&gt;"",TRIM('입력_구리근무자명단'!$A1275&amp;""),P1276)</f>
        <v/>
      </c>
      <c r="Q1277">
        <f>'입력_구리근무자명단'!$B1275&amp;""</f>
        <v/>
      </c>
      <c r="R1277">
        <f>IF($E$2="","",TRIM(INDEX('입력_구리근무자명단'!$A1275:$ZZ1275,1,$E$2+IF($G$2="확정",1,0))&amp;""))</f>
        <v/>
      </c>
      <c r="S1277">
        <f>IF($R1277="","",IF(INDEX('입력_구리근무자명단'!$A1275:$ZZ1275,1,$E$2+2)&amp;""="",급여기준월,IF(ISNUMBER(INDEX('입력_구리근무자명단'!$A1275:$ZZ1275,1,$E$2+2)),INDEX('입력_구리근무자명단'!$A1275:$ZZ1275,1,$E$2+2),IFERROR(DATE(VALUE(LEFT(INDEX('입력_구리근무자명단'!$A1275:$ZZ1275,1,$E$2+2),4)),VALUE(MID(INDEX('입력_구리근무자명단'!$A1275:$ZZ1275,1,$E$2+2),6,2)),VALUE(MID(INDEX('입력_구리근무자명단'!$A1275:$ZZ1275,1,$E$2+2),9,2))),-1))))</f>
        <v/>
      </c>
      <c r="T1277">
        <f>IF($R1277="","",IF(INDEX('입력_구리근무자명단'!$A1275:$ZZ1275,1,$E$2+3)&amp;""="",EOMONTH(급여기준월,0),IF(ISNUMBER(INDEX('입력_구리근무자명단'!$A1275:$ZZ1275,1,$E$2+3)),INDEX('입력_구리근무자명단'!$A1275:$ZZ1275,1,$E$2+3),IFERROR(DATE(VALUE(LEFT(INDEX('입력_구리근무자명단'!$A1275:$ZZ1275,1,$E$2+3),4)),VALUE(MID(INDEX('입력_구리근무자명단'!$A1275:$ZZ1275,1,$E$2+3),6,2)),VALUE(MID(INDEX('입력_구리근무자명단'!$A1275:$ZZ1275,1,$E$2+3),9,2))),-1))))</f>
        <v/>
      </c>
      <c r="U1277">
        <f>IF($R1277="","",IF(OR($S1277&lt;0,$T1277&lt;0),0,MAX(0,MIN($T1277,EOMONTH(급여기준월,0))-MAX($S1277,급여기준월)+1)))</f>
        <v/>
      </c>
      <c r="V1277">
        <f>IF($R1277="","",TRIM(INDEX('입력_구리근무자명단'!$A1275:$ZZ1275,1,$E$2+5)&amp;""))</f>
        <v/>
      </c>
      <c r="W1277">
        <f>IF(ISNUMBER(SEARCH("구리독자",$V1277)),"구리독자","")</f>
        <v/>
      </c>
      <c r="X1277">
        <f>IF($R1277="","",$R1277&amp;"|"&amp;IF(OR($Q1277="인턴",ISNUMBER(SEARCH("수련교육부",$P1277))),"인턴",$P1277))</f>
        <v/>
      </c>
      <c r="Y1277">
        <f>IF($R1277="","",IF(COUNTIF(명단표[이름|과],$X1277)=1,"명단 일치",IF(AND(COUNTIF(명단표[이름|과],$X1277)=0,COUNTIF(명단표[이름],$R1277)=1),"명단 일치(이름만, 과 다름)",IF(COUNTIF(명단표[이름],$R1277)=0,IF(COUNTIF(기본자료표[이름],$R1277)&gt;0,"명단에 없음(기본자료에는 있음)","명단에 없음"),"동명이인 확인"))))</f>
        <v/>
      </c>
      <c r="Z1277">
        <f>IF($R1277="","",IF($S1277&lt;0,"⚠"&amp;INDEX('입력_구리근무자명단'!$A1275:$ZZ1275,1,$E$2+2),TEXT($S1277,"yyyy-mm-dd")))</f>
        <v/>
      </c>
      <c r="AA1277">
        <f>IF($R1277="","",IF($T1277&lt;0,"⚠"&amp;INDEX('입력_구리근무자명단'!$A1275:$ZZ1275,1,$E$2+3),TEXT($T1277,"yyyy-mm-dd")))</f>
        <v/>
      </c>
      <c r="AB1277">
        <f>AB1276+IF($R1277="",0,1)</f>
        <v/>
      </c>
      <c r="AC1277">
        <f>IF($R1277="","",$AB1277)</f>
        <v/>
      </c>
    </row>
    <row r="1278">
      <c r="O1278">
        <f>1276</f>
        <v/>
      </c>
      <c r="P1278">
        <f>IF(TRIM('입력_구리근무자명단'!$A1276&amp;"")&lt;&gt;"",TRIM('입력_구리근무자명단'!$A1276&amp;""),P1277)</f>
        <v/>
      </c>
      <c r="Q1278">
        <f>'입력_구리근무자명단'!$B1276&amp;""</f>
        <v/>
      </c>
      <c r="R1278">
        <f>IF($E$2="","",TRIM(INDEX('입력_구리근무자명단'!$A1276:$ZZ1276,1,$E$2+IF($G$2="확정",1,0))&amp;""))</f>
        <v/>
      </c>
      <c r="S1278">
        <f>IF($R1278="","",IF(INDEX('입력_구리근무자명단'!$A1276:$ZZ1276,1,$E$2+2)&amp;""="",급여기준월,IF(ISNUMBER(INDEX('입력_구리근무자명단'!$A1276:$ZZ1276,1,$E$2+2)),INDEX('입력_구리근무자명단'!$A1276:$ZZ1276,1,$E$2+2),IFERROR(DATE(VALUE(LEFT(INDEX('입력_구리근무자명단'!$A1276:$ZZ1276,1,$E$2+2),4)),VALUE(MID(INDEX('입력_구리근무자명단'!$A1276:$ZZ1276,1,$E$2+2),6,2)),VALUE(MID(INDEX('입력_구리근무자명단'!$A1276:$ZZ1276,1,$E$2+2),9,2))),-1))))</f>
        <v/>
      </c>
      <c r="T1278">
        <f>IF($R1278="","",IF(INDEX('입력_구리근무자명단'!$A1276:$ZZ1276,1,$E$2+3)&amp;""="",EOMONTH(급여기준월,0),IF(ISNUMBER(INDEX('입력_구리근무자명단'!$A1276:$ZZ1276,1,$E$2+3)),INDEX('입력_구리근무자명단'!$A1276:$ZZ1276,1,$E$2+3),IFERROR(DATE(VALUE(LEFT(INDEX('입력_구리근무자명단'!$A1276:$ZZ1276,1,$E$2+3),4)),VALUE(MID(INDEX('입력_구리근무자명단'!$A1276:$ZZ1276,1,$E$2+3),6,2)),VALUE(MID(INDEX('입력_구리근무자명단'!$A1276:$ZZ1276,1,$E$2+3),9,2))),-1))))</f>
        <v/>
      </c>
      <c r="U1278">
        <f>IF($R1278="","",IF(OR($S1278&lt;0,$T1278&lt;0),0,MAX(0,MIN($T1278,EOMONTH(급여기준월,0))-MAX($S1278,급여기준월)+1)))</f>
        <v/>
      </c>
      <c r="V1278">
        <f>IF($R1278="","",TRIM(INDEX('입력_구리근무자명단'!$A1276:$ZZ1276,1,$E$2+5)&amp;""))</f>
        <v/>
      </c>
      <c r="W1278">
        <f>IF(ISNUMBER(SEARCH("구리독자",$V1278)),"구리독자","")</f>
        <v/>
      </c>
      <c r="X1278">
        <f>IF($R1278="","",$R1278&amp;"|"&amp;IF(OR($Q1278="인턴",ISNUMBER(SEARCH("수련교육부",$P1278))),"인턴",$P1278))</f>
        <v/>
      </c>
      <c r="Y1278">
        <f>IF($R1278="","",IF(COUNTIF(명단표[이름|과],$X1278)=1,"명단 일치",IF(AND(COUNTIF(명단표[이름|과],$X1278)=0,COUNTIF(명단표[이름],$R1278)=1),"명단 일치(이름만, 과 다름)",IF(COUNTIF(명단표[이름],$R1278)=0,IF(COUNTIF(기본자료표[이름],$R1278)&gt;0,"명단에 없음(기본자료에는 있음)","명단에 없음"),"동명이인 확인"))))</f>
        <v/>
      </c>
      <c r="Z1278">
        <f>IF($R1278="","",IF($S1278&lt;0,"⚠"&amp;INDEX('입력_구리근무자명단'!$A1276:$ZZ1276,1,$E$2+2),TEXT($S1278,"yyyy-mm-dd")))</f>
        <v/>
      </c>
      <c r="AA1278">
        <f>IF($R1278="","",IF($T1278&lt;0,"⚠"&amp;INDEX('입력_구리근무자명단'!$A1276:$ZZ1276,1,$E$2+3),TEXT($T1278,"yyyy-mm-dd")))</f>
        <v/>
      </c>
      <c r="AB1278">
        <f>AB1277+IF($R1278="",0,1)</f>
        <v/>
      </c>
      <c r="AC1278">
        <f>IF($R1278="","",$AB1278)</f>
        <v/>
      </c>
    </row>
    <row r="1279">
      <c r="O1279">
        <f>1277</f>
        <v/>
      </c>
      <c r="P1279">
        <f>IF(TRIM('입력_구리근무자명단'!$A1277&amp;"")&lt;&gt;"",TRIM('입력_구리근무자명단'!$A1277&amp;""),P1278)</f>
        <v/>
      </c>
      <c r="Q1279">
        <f>'입력_구리근무자명단'!$B1277&amp;""</f>
        <v/>
      </c>
      <c r="R1279">
        <f>IF($E$2="","",TRIM(INDEX('입력_구리근무자명단'!$A1277:$ZZ1277,1,$E$2+IF($G$2="확정",1,0))&amp;""))</f>
        <v/>
      </c>
      <c r="S1279">
        <f>IF($R1279="","",IF(INDEX('입력_구리근무자명단'!$A1277:$ZZ1277,1,$E$2+2)&amp;""="",급여기준월,IF(ISNUMBER(INDEX('입력_구리근무자명단'!$A1277:$ZZ1277,1,$E$2+2)),INDEX('입력_구리근무자명단'!$A1277:$ZZ1277,1,$E$2+2),IFERROR(DATE(VALUE(LEFT(INDEX('입력_구리근무자명단'!$A1277:$ZZ1277,1,$E$2+2),4)),VALUE(MID(INDEX('입력_구리근무자명단'!$A1277:$ZZ1277,1,$E$2+2),6,2)),VALUE(MID(INDEX('입력_구리근무자명단'!$A1277:$ZZ1277,1,$E$2+2),9,2))),-1))))</f>
        <v/>
      </c>
      <c r="T1279">
        <f>IF($R1279="","",IF(INDEX('입력_구리근무자명단'!$A1277:$ZZ1277,1,$E$2+3)&amp;""="",EOMONTH(급여기준월,0),IF(ISNUMBER(INDEX('입력_구리근무자명단'!$A1277:$ZZ1277,1,$E$2+3)),INDEX('입력_구리근무자명단'!$A1277:$ZZ1277,1,$E$2+3),IFERROR(DATE(VALUE(LEFT(INDEX('입력_구리근무자명단'!$A1277:$ZZ1277,1,$E$2+3),4)),VALUE(MID(INDEX('입력_구리근무자명단'!$A1277:$ZZ1277,1,$E$2+3),6,2)),VALUE(MID(INDEX('입력_구리근무자명단'!$A1277:$ZZ1277,1,$E$2+3),9,2))),-1))))</f>
        <v/>
      </c>
      <c r="U1279">
        <f>IF($R1279="","",IF(OR($S1279&lt;0,$T1279&lt;0),0,MAX(0,MIN($T1279,EOMONTH(급여기준월,0))-MAX($S1279,급여기준월)+1)))</f>
        <v/>
      </c>
      <c r="V1279">
        <f>IF($R1279="","",TRIM(INDEX('입력_구리근무자명단'!$A1277:$ZZ1277,1,$E$2+5)&amp;""))</f>
        <v/>
      </c>
      <c r="W1279">
        <f>IF(ISNUMBER(SEARCH("구리독자",$V1279)),"구리독자","")</f>
        <v/>
      </c>
      <c r="X1279">
        <f>IF($R1279="","",$R1279&amp;"|"&amp;IF(OR($Q1279="인턴",ISNUMBER(SEARCH("수련교육부",$P1279))),"인턴",$P1279))</f>
        <v/>
      </c>
      <c r="Y1279">
        <f>IF($R1279="","",IF(COUNTIF(명단표[이름|과],$X1279)=1,"명단 일치",IF(AND(COUNTIF(명단표[이름|과],$X1279)=0,COUNTIF(명단표[이름],$R1279)=1),"명단 일치(이름만, 과 다름)",IF(COUNTIF(명단표[이름],$R1279)=0,IF(COUNTIF(기본자료표[이름],$R1279)&gt;0,"명단에 없음(기본자료에는 있음)","명단에 없음"),"동명이인 확인"))))</f>
        <v/>
      </c>
      <c r="Z1279">
        <f>IF($R1279="","",IF($S1279&lt;0,"⚠"&amp;INDEX('입력_구리근무자명단'!$A1277:$ZZ1277,1,$E$2+2),TEXT($S1279,"yyyy-mm-dd")))</f>
        <v/>
      </c>
      <c r="AA1279">
        <f>IF($R1279="","",IF($T1279&lt;0,"⚠"&amp;INDEX('입력_구리근무자명단'!$A1277:$ZZ1277,1,$E$2+3),TEXT($T1279,"yyyy-mm-dd")))</f>
        <v/>
      </c>
      <c r="AB1279">
        <f>AB1278+IF($R1279="",0,1)</f>
        <v/>
      </c>
      <c r="AC1279">
        <f>IF($R1279="","",$AB1279)</f>
        <v/>
      </c>
    </row>
    <row r="1280">
      <c r="O1280">
        <f>1278</f>
        <v/>
      </c>
      <c r="P1280">
        <f>IF(TRIM('입력_구리근무자명단'!$A1278&amp;"")&lt;&gt;"",TRIM('입력_구리근무자명단'!$A1278&amp;""),P1279)</f>
        <v/>
      </c>
      <c r="Q1280">
        <f>'입력_구리근무자명단'!$B1278&amp;""</f>
        <v/>
      </c>
      <c r="R1280">
        <f>IF($E$2="","",TRIM(INDEX('입력_구리근무자명단'!$A1278:$ZZ1278,1,$E$2+IF($G$2="확정",1,0))&amp;""))</f>
        <v/>
      </c>
      <c r="S1280">
        <f>IF($R1280="","",IF(INDEX('입력_구리근무자명단'!$A1278:$ZZ1278,1,$E$2+2)&amp;""="",급여기준월,IF(ISNUMBER(INDEX('입력_구리근무자명단'!$A1278:$ZZ1278,1,$E$2+2)),INDEX('입력_구리근무자명단'!$A1278:$ZZ1278,1,$E$2+2),IFERROR(DATE(VALUE(LEFT(INDEX('입력_구리근무자명단'!$A1278:$ZZ1278,1,$E$2+2),4)),VALUE(MID(INDEX('입력_구리근무자명단'!$A1278:$ZZ1278,1,$E$2+2),6,2)),VALUE(MID(INDEX('입력_구리근무자명단'!$A1278:$ZZ1278,1,$E$2+2),9,2))),-1))))</f>
        <v/>
      </c>
      <c r="T1280">
        <f>IF($R1280="","",IF(INDEX('입력_구리근무자명단'!$A1278:$ZZ1278,1,$E$2+3)&amp;""="",EOMONTH(급여기준월,0),IF(ISNUMBER(INDEX('입력_구리근무자명단'!$A1278:$ZZ1278,1,$E$2+3)),INDEX('입력_구리근무자명단'!$A1278:$ZZ1278,1,$E$2+3),IFERROR(DATE(VALUE(LEFT(INDEX('입력_구리근무자명단'!$A1278:$ZZ1278,1,$E$2+3),4)),VALUE(MID(INDEX('입력_구리근무자명단'!$A1278:$ZZ1278,1,$E$2+3),6,2)),VALUE(MID(INDEX('입력_구리근무자명단'!$A1278:$ZZ1278,1,$E$2+3),9,2))),-1))))</f>
        <v/>
      </c>
      <c r="U1280">
        <f>IF($R1280="","",IF(OR($S1280&lt;0,$T1280&lt;0),0,MAX(0,MIN($T1280,EOMONTH(급여기준월,0))-MAX($S1280,급여기준월)+1)))</f>
        <v/>
      </c>
      <c r="V1280">
        <f>IF($R1280="","",TRIM(INDEX('입력_구리근무자명단'!$A1278:$ZZ1278,1,$E$2+5)&amp;""))</f>
        <v/>
      </c>
      <c r="W1280">
        <f>IF(ISNUMBER(SEARCH("구리독자",$V1280)),"구리독자","")</f>
        <v/>
      </c>
      <c r="X1280">
        <f>IF($R1280="","",$R1280&amp;"|"&amp;IF(OR($Q1280="인턴",ISNUMBER(SEARCH("수련교육부",$P1280))),"인턴",$P1280))</f>
        <v/>
      </c>
      <c r="Y1280">
        <f>IF($R1280="","",IF(COUNTIF(명단표[이름|과],$X1280)=1,"명단 일치",IF(AND(COUNTIF(명단표[이름|과],$X1280)=0,COUNTIF(명단표[이름],$R1280)=1),"명단 일치(이름만, 과 다름)",IF(COUNTIF(명단표[이름],$R1280)=0,IF(COUNTIF(기본자료표[이름],$R1280)&gt;0,"명단에 없음(기본자료에는 있음)","명단에 없음"),"동명이인 확인"))))</f>
        <v/>
      </c>
      <c r="Z1280">
        <f>IF($R1280="","",IF($S1280&lt;0,"⚠"&amp;INDEX('입력_구리근무자명단'!$A1278:$ZZ1278,1,$E$2+2),TEXT($S1280,"yyyy-mm-dd")))</f>
        <v/>
      </c>
      <c r="AA1280">
        <f>IF($R1280="","",IF($T1280&lt;0,"⚠"&amp;INDEX('입력_구리근무자명단'!$A1278:$ZZ1278,1,$E$2+3),TEXT($T1280,"yyyy-mm-dd")))</f>
        <v/>
      </c>
      <c r="AB1280">
        <f>AB1279+IF($R1280="",0,1)</f>
        <v/>
      </c>
      <c r="AC1280">
        <f>IF($R1280="","",$AB1280)</f>
        <v/>
      </c>
    </row>
    <row r="1281">
      <c r="O1281">
        <f>1279</f>
        <v/>
      </c>
      <c r="P1281">
        <f>IF(TRIM('입력_구리근무자명단'!$A1279&amp;"")&lt;&gt;"",TRIM('입력_구리근무자명단'!$A1279&amp;""),P1280)</f>
        <v/>
      </c>
      <c r="Q1281">
        <f>'입력_구리근무자명단'!$B1279&amp;""</f>
        <v/>
      </c>
      <c r="R1281">
        <f>IF($E$2="","",TRIM(INDEX('입력_구리근무자명단'!$A1279:$ZZ1279,1,$E$2+IF($G$2="확정",1,0))&amp;""))</f>
        <v/>
      </c>
      <c r="S1281">
        <f>IF($R1281="","",IF(INDEX('입력_구리근무자명단'!$A1279:$ZZ1279,1,$E$2+2)&amp;""="",급여기준월,IF(ISNUMBER(INDEX('입력_구리근무자명단'!$A1279:$ZZ1279,1,$E$2+2)),INDEX('입력_구리근무자명단'!$A1279:$ZZ1279,1,$E$2+2),IFERROR(DATE(VALUE(LEFT(INDEX('입력_구리근무자명단'!$A1279:$ZZ1279,1,$E$2+2),4)),VALUE(MID(INDEX('입력_구리근무자명단'!$A1279:$ZZ1279,1,$E$2+2),6,2)),VALUE(MID(INDEX('입력_구리근무자명단'!$A1279:$ZZ1279,1,$E$2+2),9,2))),-1))))</f>
        <v/>
      </c>
      <c r="T1281">
        <f>IF($R1281="","",IF(INDEX('입력_구리근무자명단'!$A1279:$ZZ1279,1,$E$2+3)&amp;""="",EOMONTH(급여기준월,0),IF(ISNUMBER(INDEX('입력_구리근무자명단'!$A1279:$ZZ1279,1,$E$2+3)),INDEX('입력_구리근무자명단'!$A1279:$ZZ1279,1,$E$2+3),IFERROR(DATE(VALUE(LEFT(INDEX('입력_구리근무자명단'!$A1279:$ZZ1279,1,$E$2+3),4)),VALUE(MID(INDEX('입력_구리근무자명단'!$A1279:$ZZ1279,1,$E$2+3),6,2)),VALUE(MID(INDEX('입력_구리근무자명단'!$A1279:$ZZ1279,1,$E$2+3),9,2))),-1))))</f>
        <v/>
      </c>
      <c r="U1281">
        <f>IF($R1281="","",IF(OR($S1281&lt;0,$T1281&lt;0),0,MAX(0,MIN($T1281,EOMONTH(급여기준월,0))-MAX($S1281,급여기준월)+1)))</f>
        <v/>
      </c>
      <c r="V1281">
        <f>IF($R1281="","",TRIM(INDEX('입력_구리근무자명단'!$A1279:$ZZ1279,1,$E$2+5)&amp;""))</f>
        <v/>
      </c>
      <c r="W1281">
        <f>IF(ISNUMBER(SEARCH("구리독자",$V1281)),"구리독자","")</f>
        <v/>
      </c>
      <c r="X1281">
        <f>IF($R1281="","",$R1281&amp;"|"&amp;IF(OR($Q1281="인턴",ISNUMBER(SEARCH("수련교육부",$P1281))),"인턴",$P1281))</f>
        <v/>
      </c>
      <c r="Y1281">
        <f>IF($R1281="","",IF(COUNTIF(명단표[이름|과],$X1281)=1,"명단 일치",IF(AND(COUNTIF(명단표[이름|과],$X1281)=0,COUNTIF(명단표[이름],$R1281)=1),"명단 일치(이름만, 과 다름)",IF(COUNTIF(명단표[이름],$R1281)=0,IF(COUNTIF(기본자료표[이름],$R1281)&gt;0,"명단에 없음(기본자료에는 있음)","명단에 없음"),"동명이인 확인"))))</f>
        <v/>
      </c>
      <c r="Z1281">
        <f>IF($R1281="","",IF($S1281&lt;0,"⚠"&amp;INDEX('입력_구리근무자명단'!$A1279:$ZZ1279,1,$E$2+2),TEXT($S1281,"yyyy-mm-dd")))</f>
        <v/>
      </c>
      <c r="AA1281">
        <f>IF($R1281="","",IF($T1281&lt;0,"⚠"&amp;INDEX('입력_구리근무자명단'!$A1279:$ZZ1279,1,$E$2+3),TEXT($T1281,"yyyy-mm-dd")))</f>
        <v/>
      </c>
      <c r="AB1281">
        <f>AB1280+IF($R1281="",0,1)</f>
        <v/>
      </c>
      <c r="AC1281">
        <f>IF($R1281="","",$AB1281)</f>
        <v/>
      </c>
    </row>
    <row r="1282">
      <c r="O1282">
        <f>1280</f>
        <v/>
      </c>
      <c r="P1282">
        <f>IF(TRIM('입력_구리근무자명단'!$A1280&amp;"")&lt;&gt;"",TRIM('입력_구리근무자명단'!$A1280&amp;""),P1281)</f>
        <v/>
      </c>
      <c r="Q1282">
        <f>'입력_구리근무자명단'!$B1280&amp;""</f>
        <v/>
      </c>
      <c r="R1282">
        <f>IF($E$2="","",TRIM(INDEX('입력_구리근무자명단'!$A1280:$ZZ1280,1,$E$2+IF($G$2="확정",1,0))&amp;""))</f>
        <v/>
      </c>
      <c r="S1282">
        <f>IF($R1282="","",IF(INDEX('입력_구리근무자명단'!$A1280:$ZZ1280,1,$E$2+2)&amp;""="",급여기준월,IF(ISNUMBER(INDEX('입력_구리근무자명단'!$A1280:$ZZ1280,1,$E$2+2)),INDEX('입력_구리근무자명단'!$A1280:$ZZ1280,1,$E$2+2),IFERROR(DATE(VALUE(LEFT(INDEX('입력_구리근무자명단'!$A1280:$ZZ1280,1,$E$2+2),4)),VALUE(MID(INDEX('입력_구리근무자명단'!$A1280:$ZZ1280,1,$E$2+2),6,2)),VALUE(MID(INDEX('입력_구리근무자명단'!$A1280:$ZZ1280,1,$E$2+2),9,2))),-1))))</f>
        <v/>
      </c>
      <c r="T1282">
        <f>IF($R1282="","",IF(INDEX('입력_구리근무자명단'!$A1280:$ZZ1280,1,$E$2+3)&amp;""="",EOMONTH(급여기준월,0),IF(ISNUMBER(INDEX('입력_구리근무자명단'!$A1280:$ZZ1280,1,$E$2+3)),INDEX('입력_구리근무자명단'!$A1280:$ZZ1280,1,$E$2+3),IFERROR(DATE(VALUE(LEFT(INDEX('입력_구리근무자명단'!$A1280:$ZZ1280,1,$E$2+3),4)),VALUE(MID(INDEX('입력_구리근무자명단'!$A1280:$ZZ1280,1,$E$2+3),6,2)),VALUE(MID(INDEX('입력_구리근무자명단'!$A1280:$ZZ1280,1,$E$2+3),9,2))),-1))))</f>
        <v/>
      </c>
      <c r="U1282">
        <f>IF($R1282="","",IF(OR($S1282&lt;0,$T1282&lt;0),0,MAX(0,MIN($T1282,EOMONTH(급여기준월,0))-MAX($S1282,급여기준월)+1)))</f>
        <v/>
      </c>
      <c r="V1282">
        <f>IF($R1282="","",TRIM(INDEX('입력_구리근무자명단'!$A1280:$ZZ1280,1,$E$2+5)&amp;""))</f>
        <v/>
      </c>
      <c r="W1282">
        <f>IF(ISNUMBER(SEARCH("구리독자",$V1282)),"구리독자","")</f>
        <v/>
      </c>
      <c r="X1282">
        <f>IF($R1282="","",$R1282&amp;"|"&amp;IF(OR($Q1282="인턴",ISNUMBER(SEARCH("수련교육부",$P1282))),"인턴",$P1282))</f>
        <v/>
      </c>
      <c r="Y1282">
        <f>IF($R1282="","",IF(COUNTIF(명단표[이름|과],$X1282)=1,"명단 일치",IF(AND(COUNTIF(명단표[이름|과],$X1282)=0,COUNTIF(명단표[이름],$R1282)=1),"명단 일치(이름만, 과 다름)",IF(COUNTIF(명단표[이름],$R1282)=0,IF(COUNTIF(기본자료표[이름],$R1282)&gt;0,"명단에 없음(기본자료에는 있음)","명단에 없음"),"동명이인 확인"))))</f>
        <v/>
      </c>
      <c r="Z1282">
        <f>IF($R1282="","",IF($S1282&lt;0,"⚠"&amp;INDEX('입력_구리근무자명단'!$A1280:$ZZ1280,1,$E$2+2),TEXT($S1282,"yyyy-mm-dd")))</f>
        <v/>
      </c>
      <c r="AA1282">
        <f>IF($R1282="","",IF($T1282&lt;0,"⚠"&amp;INDEX('입력_구리근무자명단'!$A1280:$ZZ1280,1,$E$2+3),TEXT($T1282,"yyyy-mm-dd")))</f>
        <v/>
      </c>
      <c r="AB1282">
        <f>AB1281+IF($R1282="",0,1)</f>
        <v/>
      </c>
      <c r="AC1282">
        <f>IF($R1282="","",$AB1282)</f>
        <v/>
      </c>
    </row>
    <row r="1283">
      <c r="O1283">
        <f>1281</f>
        <v/>
      </c>
      <c r="P1283">
        <f>IF(TRIM('입력_구리근무자명단'!$A1281&amp;"")&lt;&gt;"",TRIM('입력_구리근무자명단'!$A1281&amp;""),P1282)</f>
        <v/>
      </c>
      <c r="Q1283">
        <f>'입력_구리근무자명단'!$B1281&amp;""</f>
        <v/>
      </c>
      <c r="R1283">
        <f>IF($E$2="","",TRIM(INDEX('입력_구리근무자명단'!$A1281:$ZZ1281,1,$E$2+IF($G$2="확정",1,0))&amp;""))</f>
        <v/>
      </c>
      <c r="S1283">
        <f>IF($R1283="","",IF(INDEX('입력_구리근무자명단'!$A1281:$ZZ1281,1,$E$2+2)&amp;""="",급여기준월,IF(ISNUMBER(INDEX('입력_구리근무자명단'!$A1281:$ZZ1281,1,$E$2+2)),INDEX('입력_구리근무자명단'!$A1281:$ZZ1281,1,$E$2+2),IFERROR(DATE(VALUE(LEFT(INDEX('입력_구리근무자명단'!$A1281:$ZZ1281,1,$E$2+2),4)),VALUE(MID(INDEX('입력_구리근무자명단'!$A1281:$ZZ1281,1,$E$2+2),6,2)),VALUE(MID(INDEX('입력_구리근무자명단'!$A1281:$ZZ1281,1,$E$2+2),9,2))),-1))))</f>
        <v/>
      </c>
      <c r="T1283">
        <f>IF($R1283="","",IF(INDEX('입력_구리근무자명단'!$A1281:$ZZ1281,1,$E$2+3)&amp;""="",EOMONTH(급여기준월,0),IF(ISNUMBER(INDEX('입력_구리근무자명단'!$A1281:$ZZ1281,1,$E$2+3)),INDEX('입력_구리근무자명단'!$A1281:$ZZ1281,1,$E$2+3),IFERROR(DATE(VALUE(LEFT(INDEX('입력_구리근무자명단'!$A1281:$ZZ1281,1,$E$2+3),4)),VALUE(MID(INDEX('입력_구리근무자명단'!$A1281:$ZZ1281,1,$E$2+3),6,2)),VALUE(MID(INDEX('입력_구리근무자명단'!$A1281:$ZZ1281,1,$E$2+3),9,2))),-1))))</f>
        <v/>
      </c>
      <c r="U1283">
        <f>IF($R1283="","",IF(OR($S1283&lt;0,$T1283&lt;0),0,MAX(0,MIN($T1283,EOMONTH(급여기준월,0))-MAX($S1283,급여기준월)+1)))</f>
        <v/>
      </c>
      <c r="V1283">
        <f>IF($R1283="","",TRIM(INDEX('입력_구리근무자명단'!$A1281:$ZZ1281,1,$E$2+5)&amp;""))</f>
        <v/>
      </c>
      <c r="W1283">
        <f>IF(ISNUMBER(SEARCH("구리독자",$V1283)),"구리독자","")</f>
        <v/>
      </c>
      <c r="X1283">
        <f>IF($R1283="","",$R1283&amp;"|"&amp;IF(OR($Q1283="인턴",ISNUMBER(SEARCH("수련교육부",$P1283))),"인턴",$P1283))</f>
        <v/>
      </c>
      <c r="Y1283">
        <f>IF($R1283="","",IF(COUNTIF(명단표[이름|과],$X1283)=1,"명단 일치",IF(AND(COUNTIF(명단표[이름|과],$X1283)=0,COUNTIF(명단표[이름],$R1283)=1),"명단 일치(이름만, 과 다름)",IF(COUNTIF(명단표[이름],$R1283)=0,IF(COUNTIF(기본자료표[이름],$R1283)&gt;0,"명단에 없음(기본자료에는 있음)","명단에 없음"),"동명이인 확인"))))</f>
        <v/>
      </c>
      <c r="Z1283">
        <f>IF($R1283="","",IF($S1283&lt;0,"⚠"&amp;INDEX('입력_구리근무자명단'!$A1281:$ZZ1281,1,$E$2+2),TEXT($S1283,"yyyy-mm-dd")))</f>
        <v/>
      </c>
      <c r="AA1283">
        <f>IF($R1283="","",IF($T1283&lt;0,"⚠"&amp;INDEX('입력_구리근무자명단'!$A1281:$ZZ1281,1,$E$2+3),TEXT($T1283,"yyyy-mm-dd")))</f>
        <v/>
      </c>
      <c r="AB1283">
        <f>AB1282+IF($R1283="",0,1)</f>
        <v/>
      </c>
      <c r="AC1283">
        <f>IF($R1283="","",$AB1283)</f>
        <v/>
      </c>
    </row>
    <row r="1284">
      <c r="O1284">
        <f>1282</f>
        <v/>
      </c>
      <c r="P1284">
        <f>IF(TRIM('입력_구리근무자명단'!$A1282&amp;"")&lt;&gt;"",TRIM('입력_구리근무자명단'!$A1282&amp;""),P1283)</f>
        <v/>
      </c>
      <c r="Q1284">
        <f>'입력_구리근무자명단'!$B1282&amp;""</f>
        <v/>
      </c>
      <c r="R1284">
        <f>IF($E$2="","",TRIM(INDEX('입력_구리근무자명단'!$A1282:$ZZ1282,1,$E$2+IF($G$2="확정",1,0))&amp;""))</f>
        <v/>
      </c>
      <c r="S1284">
        <f>IF($R1284="","",IF(INDEX('입력_구리근무자명단'!$A1282:$ZZ1282,1,$E$2+2)&amp;""="",급여기준월,IF(ISNUMBER(INDEX('입력_구리근무자명단'!$A1282:$ZZ1282,1,$E$2+2)),INDEX('입력_구리근무자명단'!$A1282:$ZZ1282,1,$E$2+2),IFERROR(DATE(VALUE(LEFT(INDEX('입력_구리근무자명단'!$A1282:$ZZ1282,1,$E$2+2),4)),VALUE(MID(INDEX('입력_구리근무자명단'!$A1282:$ZZ1282,1,$E$2+2),6,2)),VALUE(MID(INDEX('입력_구리근무자명단'!$A1282:$ZZ1282,1,$E$2+2),9,2))),-1))))</f>
        <v/>
      </c>
      <c r="T1284">
        <f>IF($R1284="","",IF(INDEX('입력_구리근무자명단'!$A1282:$ZZ1282,1,$E$2+3)&amp;""="",EOMONTH(급여기준월,0),IF(ISNUMBER(INDEX('입력_구리근무자명단'!$A1282:$ZZ1282,1,$E$2+3)),INDEX('입력_구리근무자명단'!$A1282:$ZZ1282,1,$E$2+3),IFERROR(DATE(VALUE(LEFT(INDEX('입력_구리근무자명단'!$A1282:$ZZ1282,1,$E$2+3),4)),VALUE(MID(INDEX('입력_구리근무자명단'!$A1282:$ZZ1282,1,$E$2+3),6,2)),VALUE(MID(INDEX('입력_구리근무자명단'!$A1282:$ZZ1282,1,$E$2+3),9,2))),-1))))</f>
        <v/>
      </c>
      <c r="U1284">
        <f>IF($R1284="","",IF(OR($S1284&lt;0,$T1284&lt;0),0,MAX(0,MIN($T1284,EOMONTH(급여기준월,0))-MAX($S1284,급여기준월)+1)))</f>
        <v/>
      </c>
      <c r="V1284">
        <f>IF($R1284="","",TRIM(INDEX('입력_구리근무자명단'!$A1282:$ZZ1282,1,$E$2+5)&amp;""))</f>
        <v/>
      </c>
      <c r="W1284">
        <f>IF(ISNUMBER(SEARCH("구리독자",$V1284)),"구리독자","")</f>
        <v/>
      </c>
      <c r="X1284">
        <f>IF($R1284="","",$R1284&amp;"|"&amp;IF(OR($Q1284="인턴",ISNUMBER(SEARCH("수련교육부",$P1284))),"인턴",$P1284))</f>
        <v/>
      </c>
      <c r="Y1284">
        <f>IF($R1284="","",IF(COUNTIF(명단표[이름|과],$X1284)=1,"명단 일치",IF(AND(COUNTIF(명단표[이름|과],$X1284)=0,COUNTIF(명단표[이름],$R1284)=1),"명단 일치(이름만, 과 다름)",IF(COUNTIF(명단표[이름],$R1284)=0,IF(COUNTIF(기본자료표[이름],$R1284)&gt;0,"명단에 없음(기본자료에는 있음)","명단에 없음"),"동명이인 확인"))))</f>
        <v/>
      </c>
      <c r="Z1284">
        <f>IF($R1284="","",IF($S1284&lt;0,"⚠"&amp;INDEX('입력_구리근무자명단'!$A1282:$ZZ1282,1,$E$2+2),TEXT($S1284,"yyyy-mm-dd")))</f>
        <v/>
      </c>
      <c r="AA1284">
        <f>IF($R1284="","",IF($T1284&lt;0,"⚠"&amp;INDEX('입력_구리근무자명단'!$A1282:$ZZ1282,1,$E$2+3),TEXT($T1284,"yyyy-mm-dd")))</f>
        <v/>
      </c>
      <c r="AB1284">
        <f>AB1283+IF($R1284="",0,1)</f>
        <v/>
      </c>
      <c r="AC1284">
        <f>IF($R1284="","",$AB1284)</f>
        <v/>
      </c>
    </row>
    <row r="1285">
      <c r="O1285">
        <f>1283</f>
        <v/>
      </c>
      <c r="P1285">
        <f>IF(TRIM('입력_구리근무자명단'!$A1283&amp;"")&lt;&gt;"",TRIM('입력_구리근무자명단'!$A1283&amp;""),P1284)</f>
        <v/>
      </c>
      <c r="Q1285">
        <f>'입력_구리근무자명단'!$B1283&amp;""</f>
        <v/>
      </c>
      <c r="R1285">
        <f>IF($E$2="","",TRIM(INDEX('입력_구리근무자명단'!$A1283:$ZZ1283,1,$E$2+IF($G$2="확정",1,0))&amp;""))</f>
        <v/>
      </c>
      <c r="S1285">
        <f>IF($R1285="","",IF(INDEX('입력_구리근무자명단'!$A1283:$ZZ1283,1,$E$2+2)&amp;""="",급여기준월,IF(ISNUMBER(INDEX('입력_구리근무자명단'!$A1283:$ZZ1283,1,$E$2+2)),INDEX('입력_구리근무자명단'!$A1283:$ZZ1283,1,$E$2+2),IFERROR(DATE(VALUE(LEFT(INDEX('입력_구리근무자명단'!$A1283:$ZZ1283,1,$E$2+2),4)),VALUE(MID(INDEX('입력_구리근무자명단'!$A1283:$ZZ1283,1,$E$2+2),6,2)),VALUE(MID(INDEX('입력_구리근무자명단'!$A1283:$ZZ1283,1,$E$2+2),9,2))),-1))))</f>
        <v/>
      </c>
      <c r="T1285">
        <f>IF($R1285="","",IF(INDEX('입력_구리근무자명단'!$A1283:$ZZ1283,1,$E$2+3)&amp;""="",EOMONTH(급여기준월,0),IF(ISNUMBER(INDEX('입력_구리근무자명단'!$A1283:$ZZ1283,1,$E$2+3)),INDEX('입력_구리근무자명단'!$A1283:$ZZ1283,1,$E$2+3),IFERROR(DATE(VALUE(LEFT(INDEX('입력_구리근무자명단'!$A1283:$ZZ1283,1,$E$2+3),4)),VALUE(MID(INDEX('입력_구리근무자명단'!$A1283:$ZZ1283,1,$E$2+3),6,2)),VALUE(MID(INDEX('입력_구리근무자명단'!$A1283:$ZZ1283,1,$E$2+3),9,2))),-1))))</f>
        <v/>
      </c>
      <c r="U1285">
        <f>IF($R1285="","",IF(OR($S1285&lt;0,$T1285&lt;0),0,MAX(0,MIN($T1285,EOMONTH(급여기준월,0))-MAX($S1285,급여기준월)+1)))</f>
        <v/>
      </c>
      <c r="V1285">
        <f>IF($R1285="","",TRIM(INDEX('입력_구리근무자명단'!$A1283:$ZZ1283,1,$E$2+5)&amp;""))</f>
        <v/>
      </c>
      <c r="W1285">
        <f>IF(ISNUMBER(SEARCH("구리독자",$V1285)),"구리독자","")</f>
        <v/>
      </c>
      <c r="X1285">
        <f>IF($R1285="","",$R1285&amp;"|"&amp;IF(OR($Q1285="인턴",ISNUMBER(SEARCH("수련교육부",$P1285))),"인턴",$P1285))</f>
        <v/>
      </c>
      <c r="Y1285">
        <f>IF($R1285="","",IF(COUNTIF(명단표[이름|과],$X1285)=1,"명단 일치",IF(AND(COUNTIF(명단표[이름|과],$X1285)=0,COUNTIF(명단표[이름],$R1285)=1),"명단 일치(이름만, 과 다름)",IF(COUNTIF(명단표[이름],$R1285)=0,IF(COUNTIF(기본자료표[이름],$R1285)&gt;0,"명단에 없음(기본자료에는 있음)","명단에 없음"),"동명이인 확인"))))</f>
        <v/>
      </c>
      <c r="Z1285">
        <f>IF($R1285="","",IF($S1285&lt;0,"⚠"&amp;INDEX('입력_구리근무자명단'!$A1283:$ZZ1283,1,$E$2+2),TEXT($S1285,"yyyy-mm-dd")))</f>
        <v/>
      </c>
      <c r="AA1285">
        <f>IF($R1285="","",IF($T1285&lt;0,"⚠"&amp;INDEX('입력_구리근무자명단'!$A1283:$ZZ1283,1,$E$2+3),TEXT($T1285,"yyyy-mm-dd")))</f>
        <v/>
      </c>
      <c r="AB1285">
        <f>AB1284+IF($R1285="",0,1)</f>
        <v/>
      </c>
      <c r="AC1285">
        <f>IF($R1285="","",$AB1285)</f>
        <v/>
      </c>
    </row>
    <row r="1286">
      <c r="O1286">
        <f>1284</f>
        <v/>
      </c>
      <c r="P1286">
        <f>IF(TRIM('입력_구리근무자명단'!$A1284&amp;"")&lt;&gt;"",TRIM('입력_구리근무자명단'!$A1284&amp;""),P1285)</f>
        <v/>
      </c>
      <c r="Q1286">
        <f>'입력_구리근무자명단'!$B1284&amp;""</f>
        <v/>
      </c>
      <c r="R1286">
        <f>IF($E$2="","",TRIM(INDEX('입력_구리근무자명단'!$A1284:$ZZ1284,1,$E$2+IF($G$2="확정",1,0))&amp;""))</f>
        <v/>
      </c>
      <c r="S1286">
        <f>IF($R1286="","",IF(INDEX('입력_구리근무자명단'!$A1284:$ZZ1284,1,$E$2+2)&amp;""="",급여기준월,IF(ISNUMBER(INDEX('입력_구리근무자명단'!$A1284:$ZZ1284,1,$E$2+2)),INDEX('입력_구리근무자명단'!$A1284:$ZZ1284,1,$E$2+2),IFERROR(DATE(VALUE(LEFT(INDEX('입력_구리근무자명단'!$A1284:$ZZ1284,1,$E$2+2),4)),VALUE(MID(INDEX('입력_구리근무자명단'!$A1284:$ZZ1284,1,$E$2+2),6,2)),VALUE(MID(INDEX('입력_구리근무자명단'!$A1284:$ZZ1284,1,$E$2+2),9,2))),-1))))</f>
        <v/>
      </c>
      <c r="T1286">
        <f>IF($R1286="","",IF(INDEX('입력_구리근무자명단'!$A1284:$ZZ1284,1,$E$2+3)&amp;""="",EOMONTH(급여기준월,0),IF(ISNUMBER(INDEX('입력_구리근무자명단'!$A1284:$ZZ1284,1,$E$2+3)),INDEX('입력_구리근무자명단'!$A1284:$ZZ1284,1,$E$2+3),IFERROR(DATE(VALUE(LEFT(INDEX('입력_구리근무자명단'!$A1284:$ZZ1284,1,$E$2+3),4)),VALUE(MID(INDEX('입력_구리근무자명단'!$A1284:$ZZ1284,1,$E$2+3),6,2)),VALUE(MID(INDEX('입력_구리근무자명단'!$A1284:$ZZ1284,1,$E$2+3),9,2))),-1))))</f>
        <v/>
      </c>
      <c r="U1286">
        <f>IF($R1286="","",IF(OR($S1286&lt;0,$T1286&lt;0),0,MAX(0,MIN($T1286,EOMONTH(급여기준월,0))-MAX($S1286,급여기준월)+1)))</f>
        <v/>
      </c>
      <c r="V1286">
        <f>IF($R1286="","",TRIM(INDEX('입력_구리근무자명단'!$A1284:$ZZ1284,1,$E$2+5)&amp;""))</f>
        <v/>
      </c>
      <c r="W1286">
        <f>IF(ISNUMBER(SEARCH("구리독자",$V1286)),"구리독자","")</f>
        <v/>
      </c>
      <c r="X1286">
        <f>IF($R1286="","",$R1286&amp;"|"&amp;IF(OR($Q1286="인턴",ISNUMBER(SEARCH("수련교육부",$P1286))),"인턴",$P1286))</f>
        <v/>
      </c>
      <c r="Y1286">
        <f>IF($R1286="","",IF(COUNTIF(명단표[이름|과],$X1286)=1,"명단 일치",IF(AND(COUNTIF(명단표[이름|과],$X1286)=0,COUNTIF(명단표[이름],$R1286)=1),"명단 일치(이름만, 과 다름)",IF(COUNTIF(명단표[이름],$R1286)=0,IF(COUNTIF(기본자료표[이름],$R1286)&gt;0,"명단에 없음(기본자료에는 있음)","명단에 없음"),"동명이인 확인"))))</f>
        <v/>
      </c>
      <c r="Z1286">
        <f>IF($R1286="","",IF($S1286&lt;0,"⚠"&amp;INDEX('입력_구리근무자명단'!$A1284:$ZZ1284,1,$E$2+2),TEXT($S1286,"yyyy-mm-dd")))</f>
        <v/>
      </c>
      <c r="AA1286">
        <f>IF($R1286="","",IF($T1286&lt;0,"⚠"&amp;INDEX('입력_구리근무자명단'!$A1284:$ZZ1284,1,$E$2+3),TEXT($T1286,"yyyy-mm-dd")))</f>
        <v/>
      </c>
      <c r="AB1286">
        <f>AB1285+IF($R1286="",0,1)</f>
        <v/>
      </c>
      <c r="AC1286">
        <f>IF($R1286="","",$AB1286)</f>
        <v/>
      </c>
    </row>
    <row r="1287">
      <c r="O1287">
        <f>1285</f>
        <v/>
      </c>
      <c r="P1287">
        <f>IF(TRIM('입력_구리근무자명단'!$A1285&amp;"")&lt;&gt;"",TRIM('입력_구리근무자명단'!$A1285&amp;""),P1286)</f>
        <v/>
      </c>
      <c r="Q1287">
        <f>'입력_구리근무자명단'!$B1285&amp;""</f>
        <v/>
      </c>
      <c r="R1287">
        <f>IF($E$2="","",TRIM(INDEX('입력_구리근무자명단'!$A1285:$ZZ1285,1,$E$2+IF($G$2="확정",1,0))&amp;""))</f>
        <v/>
      </c>
      <c r="S1287">
        <f>IF($R1287="","",IF(INDEX('입력_구리근무자명단'!$A1285:$ZZ1285,1,$E$2+2)&amp;""="",급여기준월,IF(ISNUMBER(INDEX('입력_구리근무자명단'!$A1285:$ZZ1285,1,$E$2+2)),INDEX('입력_구리근무자명단'!$A1285:$ZZ1285,1,$E$2+2),IFERROR(DATE(VALUE(LEFT(INDEX('입력_구리근무자명단'!$A1285:$ZZ1285,1,$E$2+2),4)),VALUE(MID(INDEX('입력_구리근무자명단'!$A1285:$ZZ1285,1,$E$2+2),6,2)),VALUE(MID(INDEX('입력_구리근무자명단'!$A1285:$ZZ1285,1,$E$2+2),9,2))),-1))))</f>
        <v/>
      </c>
      <c r="T1287">
        <f>IF($R1287="","",IF(INDEX('입력_구리근무자명단'!$A1285:$ZZ1285,1,$E$2+3)&amp;""="",EOMONTH(급여기준월,0),IF(ISNUMBER(INDEX('입력_구리근무자명단'!$A1285:$ZZ1285,1,$E$2+3)),INDEX('입력_구리근무자명단'!$A1285:$ZZ1285,1,$E$2+3),IFERROR(DATE(VALUE(LEFT(INDEX('입력_구리근무자명단'!$A1285:$ZZ1285,1,$E$2+3),4)),VALUE(MID(INDEX('입력_구리근무자명단'!$A1285:$ZZ1285,1,$E$2+3),6,2)),VALUE(MID(INDEX('입력_구리근무자명단'!$A1285:$ZZ1285,1,$E$2+3),9,2))),-1))))</f>
        <v/>
      </c>
      <c r="U1287">
        <f>IF($R1287="","",IF(OR($S1287&lt;0,$T1287&lt;0),0,MAX(0,MIN($T1287,EOMONTH(급여기준월,0))-MAX($S1287,급여기준월)+1)))</f>
        <v/>
      </c>
      <c r="V1287">
        <f>IF($R1287="","",TRIM(INDEX('입력_구리근무자명단'!$A1285:$ZZ1285,1,$E$2+5)&amp;""))</f>
        <v/>
      </c>
      <c r="W1287">
        <f>IF(ISNUMBER(SEARCH("구리독자",$V1287)),"구리독자","")</f>
        <v/>
      </c>
      <c r="X1287">
        <f>IF($R1287="","",$R1287&amp;"|"&amp;IF(OR($Q1287="인턴",ISNUMBER(SEARCH("수련교육부",$P1287))),"인턴",$P1287))</f>
        <v/>
      </c>
      <c r="Y1287">
        <f>IF($R1287="","",IF(COUNTIF(명단표[이름|과],$X1287)=1,"명단 일치",IF(AND(COUNTIF(명단표[이름|과],$X1287)=0,COUNTIF(명단표[이름],$R1287)=1),"명단 일치(이름만, 과 다름)",IF(COUNTIF(명단표[이름],$R1287)=0,IF(COUNTIF(기본자료표[이름],$R1287)&gt;0,"명단에 없음(기본자료에는 있음)","명단에 없음"),"동명이인 확인"))))</f>
        <v/>
      </c>
      <c r="Z1287">
        <f>IF($R1287="","",IF($S1287&lt;0,"⚠"&amp;INDEX('입력_구리근무자명단'!$A1285:$ZZ1285,1,$E$2+2),TEXT($S1287,"yyyy-mm-dd")))</f>
        <v/>
      </c>
      <c r="AA1287">
        <f>IF($R1287="","",IF($T1287&lt;0,"⚠"&amp;INDEX('입력_구리근무자명단'!$A1285:$ZZ1285,1,$E$2+3),TEXT($T1287,"yyyy-mm-dd")))</f>
        <v/>
      </c>
      <c r="AB1287">
        <f>AB1286+IF($R1287="",0,1)</f>
        <v/>
      </c>
      <c r="AC1287">
        <f>IF($R1287="","",$AB1287)</f>
        <v/>
      </c>
    </row>
    <row r="1288">
      <c r="O1288">
        <f>1286</f>
        <v/>
      </c>
      <c r="P1288">
        <f>IF(TRIM('입력_구리근무자명단'!$A1286&amp;"")&lt;&gt;"",TRIM('입력_구리근무자명단'!$A1286&amp;""),P1287)</f>
        <v/>
      </c>
      <c r="Q1288">
        <f>'입력_구리근무자명단'!$B1286&amp;""</f>
        <v/>
      </c>
      <c r="R1288">
        <f>IF($E$2="","",TRIM(INDEX('입력_구리근무자명단'!$A1286:$ZZ1286,1,$E$2+IF($G$2="확정",1,0))&amp;""))</f>
        <v/>
      </c>
      <c r="S1288">
        <f>IF($R1288="","",IF(INDEX('입력_구리근무자명단'!$A1286:$ZZ1286,1,$E$2+2)&amp;""="",급여기준월,IF(ISNUMBER(INDEX('입력_구리근무자명단'!$A1286:$ZZ1286,1,$E$2+2)),INDEX('입력_구리근무자명단'!$A1286:$ZZ1286,1,$E$2+2),IFERROR(DATE(VALUE(LEFT(INDEX('입력_구리근무자명단'!$A1286:$ZZ1286,1,$E$2+2),4)),VALUE(MID(INDEX('입력_구리근무자명단'!$A1286:$ZZ1286,1,$E$2+2),6,2)),VALUE(MID(INDEX('입력_구리근무자명단'!$A1286:$ZZ1286,1,$E$2+2),9,2))),-1))))</f>
        <v/>
      </c>
      <c r="T1288">
        <f>IF($R1288="","",IF(INDEX('입력_구리근무자명단'!$A1286:$ZZ1286,1,$E$2+3)&amp;""="",EOMONTH(급여기준월,0),IF(ISNUMBER(INDEX('입력_구리근무자명단'!$A1286:$ZZ1286,1,$E$2+3)),INDEX('입력_구리근무자명단'!$A1286:$ZZ1286,1,$E$2+3),IFERROR(DATE(VALUE(LEFT(INDEX('입력_구리근무자명단'!$A1286:$ZZ1286,1,$E$2+3),4)),VALUE(MID(INDEX('입력_구리근무자명단'!$A1286:$ZZ1286,1,$E$2+3),6,2)),VALUE(MID(INDEX('입력_구리근무자명단'!$A1286:$ZZ1286,1,$E$2+3),9,2))),-1))))</f>
        <v/>
      </c>
      <c r="U1288">
        <f>IF($R1288="","",IF(OR($S1288&lt;0,$T1288&lt;0),0,MAX(0,MIN($T1288,EOMONTH(급여기준월,0))-MAX($S1288,급여기준월)+1)))</f>
        <v/>
      </c>
      <c r="V1288">
        <f>IF($R1288="","",TRIM(INDEX('입력_구리근무자명단'!$A1286:$ZZ1286,1,$E$2+5)&amp;""))</f>
        <v/>
      </c>
      <c r="W1288">
        <f>IF(ISNUMBER(SEARCH("구리독자",$V1288)),"구리독자","")</f>
        <v/>
      </c>
      <c r="X1288">
        <f>IF($R1288="","",$R1288&amp;"|"&amp;IF(OR($Q1288="인턴",ISNUMBER(SEARCH("수련교육부",$P1288))),"인턴",$P1288))</f>
        <v/>
      </c>
      <c r="Y1288">
        <f>IF($R1288="","",IF(COUNTIF(명단표[이름|과],$X1288)=1,"명단 일치",IF(AND(COUNTIF(명단표[이름|과],$X1288)=0,COUNTIF(명단표[이름],$R1288)=1),"명단 일치(이름만, 과 다름)",IF(COUNTIF(명단표[이름],$R1288)=0,IF(COUNTIF(기본자료표[이름],$R1288)&gt;0,"명단에 없음(기본자료에는 있음)","명단에 없음"),"동명이인 확인"))))</f>
        <v/>
      </c>
      <c r="Z1288">
        <f>IF($R1288="","",IF($S1288&lt;0,"⚠"&amp;INDEX('입력_구리근무자명단'!$A1286:$ZZ1286,1,$E$2+2),TEXT($S1288,"yyyy-mm-dd")))</f>
        <v/>
      </c>
      <c r="AA1288">
        <f>IF($R1288="","",IF($T1288&lt;0,"⚠"&amp;INDEX('입력_구리근무자명단'!$A1286:$ZZ1286,1,$E$2+3),TEXT($T1288,"yyyy-mm-dd")))</f>
        <v/>
      </c>
      <c r="AB1288">
        <f>AB1287+IF($R1288="",0,1)</f>
        <v/>
      </c>
      <c r="AC1288">
        <f>IF($R1288="","",$AB1288)</f>
        <v/>
      </c>
    </row>
    <row r="1289">
      <c r="O1289">
        <f>1287</f>
        <v/>
      </c>
      <c r="P1289">
        <f>IF(TRIM('입력_구리근무자명단'!$A1287&amp;"")&lt;&gt;"",TRIM('입력_구리근무자명단'!$A1287&amp;""),P1288)</f>
        <v/>
      </c>
      <c r="Q1289">
        <f>'입력_구리근무자명단'!$B1287&amp;""</f>
        <v/>
      </c>
      <c r="R1289">
        <f>IF($E$2="","",TRIM(INDEX('입력_구리근무자명단'!$A1287:$ZZ1287,1,$E$2+IF($G$2="확정",1,0))&amp;""))</f>
        <v/>
      </c>
      <c r="S1289">
        <f>IF($R1289="","",IF(INDEX('입력_구리근무자명단'!$A1287:$ZZ1287,1,$E$2+2)&amp;""="",급여기준월,IF(ISNUMBER(INDEX('입력_구리근무자명단'!$A1287:$ZZ1287,1,$E$2+2)),INDEX('입력_구리근무자명단'!$A1287:$ZZ1287,1,$E$2+2),IFERROR(DATE(VALUE(LEFT(INDEX('입력_구리근무자명단'!$A1287:$ZZ1287,1,$E$2+2),4)),VALUE(MID(INDEX('입력_구리근무자명단'!$A1287:$ZZ1287,1,$E$2+2),6,2)),VALUE(MID(INDEX('입력_구리근무자명단'!$A1287:$ZZ1287,1,$E$2+2),9,2))),-1))))</f>
        <v/>
      </c>
      <c r="T1289">
        <f>IF($R1289="","",IF(INDEX('입력_구리근무자명단'!$A1287:$ZZ1287,1,$E$2+3)&amp;""="",EOMONTH(급여기준월,0),IF(ISNUMBER(INDEX('입력_구리근무자명단'!$A1287:$ZZ1287,1,$E$2+3)),INDEX('입력_구리근무자명단'!$A1287:$ZZ1287,1,$E$2+3),IFERROR(DATE(VALUE(LEFT(INDEX('입력_구리근무자명단'!$A1287:$ZZ1287,1,$E$2+3),4)),VALUE(MID(INDEX('입력_구리근무자명단'!$A1287:$ZZ1287,1,$E$2+3),6,2)),VALUE(MID(INDEX('입력_구리근무자명단'!$A1287:$ZZ1287,1,$E$2+3),9,2))),-1))))</f>
        <v/>
      </c>
      <c r="U1289">
        <f>IF($R1289="","",IF(OR($S1289&lt;0,$T1289&lt;0),0,MAX(0,MIN($T1289,EOMONTH(급여기준월,0))-MAX($S1289,급여기준월)+1)))</f>
        <v/>
      </c>
      <c r="V1289">
        <f>IF($R1289="","",TRIM(INDEX('입력_구리근무자명단'!$A1287:$ZZ1287,1,$E$2+5)&amp;""))</f>
        <v/>
      </c>
      <c r="W1289">
        <f>IF(ISNUMBER(SEARCH("구리독자",$V1289)),"구리독자","")</f>
        <v/>
      </c>
      <c r="X1289">
        <f>IF($R1289="","",$R1289&amp;"|"&amp;IF(OR($Q1289="인턴",ISNUMBER(SEARCH("수련교육부",$P1289))),"인턴",$P1289))</f>
        <v/>
      </c>
      <c r="Y1289">
        <f>IF($R1289="","",IF(COUNTIF(명단표[이름|과],$X1289)=1,"명단 일치",IF(AND(COUNTIF(명단표[이름|과],$X1289)=0,COUNTIF(명단표[이름],$R1289)=1),"명단 일치(이름만, 과 다름)",IF(COUNTIF(명단표[이름],$R1289)=0,IF(COUNTIF(기본자료표[이름],$R1289)&gt;0,"명단에 없음(기본자료에는 있음)","명단에 없음"),"동명이인 확인"))))</f>
        <v/>
      </c>
      <c r="Z1289">
        <f>IF($R1289="","",IF($S1289&lt;0,"⚠"&amp;INDEX('입력_구리근무자명단'!$A1287:$ZZ1287,1,$E$2+2),TEXT($S1289,"yyyy-mm-dd")))</f>
        <v/>
      </c>
      <c r="AA1289">
        <f>IF($R1289="","",IF($T1289&lt;0,"⚠"&amp;INDEX('입력_구리근무자명단'!$A1287:$ZZ1287,1,$E$2+3),TEXT($T1289,"yyyy-mm-dd")))</f>
        <v/>
      </c>
      <c r="AB1289">
        <f>AB1288+IF($R1289="",0,1)</f>
        <v/>
      </c>
      <c r="AC1289">
        <f>IF($R1289="","",$AB1289)</f>
        <v/>
      </c>
    </row>
    <row r="1290">
      <c r="O1290">
        <f>1288</f>
        <v/>
      </c>
      <c r="P1290">
        <f>IF(TRIM('입력_구리근무자명단'!$A1288&amp;"")&lt;&gt;"",TRIM('입력_구리근무자명단'!$A1288&amp;""),P1289)</f>
        <v/>
      </c>
      <c r="Q1290">
        <f>'입력_구리근무자명단'!$B1288&amp;""</f>
        <v/>
      </c>
      <c r="R1290">
        <f>IF($E$2="","",TRIM(INDEX('입력_구리근무자명단'!$A1288:$ZZ1288,1,$E$2+IF($G$2="확정",1,0))&amp;""))</f>
        <v/>
      </c>
      <c r="S1290">
        <f>IF($R1290="","",IF(INDEX('입력_구리근무자명단'!$A1288:$ZZ1288,1,$E$2+2)&amp;""="",급여기준월,IF(ISNUMBER(INDEX('입력_구리근무자명단'!$A1288:$ZZ1288,1,$E$2+2)),INDEX('입력_구리근무자명단'!$A1288:$ZZ1288,1,$E$2+2),IFERROR(DATE(VALUE(LEFT(INDEX('입력_구리근무자명단'!$A1288:$ZZ1288,1,$E$2+2),4)),VALUE(MID(INDEX('입력_구리근무자명단'!$A1288:$ZZ1288,1,$E$2+2),6,2)),VALUE(MID(INDEX('입력_구리근무자명단'!$A1288:$ZZ1288,1,$E$2+2),9,2))),-1))))</f>
        <v/>
      </c>
      <c r="T1290">
        <f>IF($R1290="","",IF(INDEX('입력_구리근무자명단'!$A1288:$ZZ1288,1,$E$2+3)&amp;""="",EOMONTH(급여기준월,0),IF(ISNUMBER(INDEX('입력_구리근무자명단'!$A1288:$ZZ1288,1,$E$2+3)),INDEX('입력_구리근무자명단'!$A1288:$ZZ1288,1,$E$2+3),IFERROR(DATE(VALUE(LEFT(INDEX('입력_구리근무자명단'!$A1288:$ZZ1288,1,$E$2+3),4)),VALUE(MID(INDEX('입력_구리근무자명단'!$A1288:$ZZ1288,1,$E$2+3),6,2)),VALUE(MID(INDEX('입력_구리근무자명단'!$A1288:$ZZ1288,1,$E$2+3),9,2))),-1))))</f>
        <v/>
      </c>
      <c r="U1290">
        <f>IF($R1290="","",IF(OR($S1290&lt;0,$T1290&lt;0),0,MAX(0,MIN($T1290,EOMONTH(급여기준월,0))-MAX($S1290,급여기준월)+1)))</f>
        <v/>
      </c>
      <c r="V1290">
        <f>IF($R1290="","",TRIM(INDEX('입력_구리근무자명단'!$A1288:$ZZ1288,1,$E$2+5)&amp;""))</f>
        <v/>
      </c>
      <c r="W1290">
        <f>IF(ISNUMBER(SEARCH("구리독자",$V1290)),"구리독자","")</f>
        <v/>
      </c>
      <c r="X1290">
        <f>IF($R1290="","",$R1290&amp;"|"&amp;IF(OR($Q1290="인턴",ISNUMBER(SEARCH("수련교육부",$P1290))),"인턴",$P1290))</f>
        <v/>
      </c>
      <c r="Y1290">
        <f>IF($R1290="","",IF(COUNTIF(명단표[이름|과],$X1290)=1,"명단 일치",IF(AND(COUNTIF(명단표[이름|과],$X1290)=0,COUNTIF(명단표[이름],$R1290)=1),"명단 일치(이름만, 과 다름)",IF(COUNTIF(명단표[이름],$R1290)=0,IF(COUNTIF(기본자료표[이름],$R1290)&gt;0,"명단에 없음(기본자료에는 있음)","명단에 없음"),"동명이인 확인"))))</f>
        <v/>
      </c>
      <c r="Z1290">
        <f>IF($R1290="","",IF($S1290&lt;0,"⚠"&amp;INDEX('입력_구리근무자명단'!$A1288:$ZZ1288,1,$E$2+2),TEXT($S1290,"yyyy-mm-dd")))</f>
        <v/>
      </c>
      <c r="AA1290">
        <f>IF($R1290="","",IF($T1290&lt;0,"⚠"&amp;INDEX('입력_구리근무자명단'!$A1288:$ZZ1288,1,$E$2+3),TEXT($T1290,"yyyy-mm-dd")))</f>
        <v/>
      </c>
      <c r="AB1290">
        <f>AB1289+IF($R1290="",0,1)</f>
        <v/>
      </c>
      <c r="AC1290">
        <f>IF($R1290="","",$AB1290)</f>
        <v/>
      </c>
    </row>
    <row r="1291">
      <c r="O1291">
        <f>1289</f>
        <v/>
      </c>
      <c r="P1291">
        <f>IF(TRIM('입력_구리근무자명단'!$A1289&amp;"")&lt;&gt;"",TRIM('입력_구리근무자명단'!$A1289&amp;""),P1290)</f>
        <v/>
      </c>
      <c r="Q1291">
        <f>'입력_구리근무자명단'!$B1289&amp;""</f>
        <v/>
      </c>
      <c r="R1291">
        <f>IF($E$2="","",TRIM(INDEX('입력_구리근무자명단'!$A1289:$ZZ1289,1,$E$2+IF($G$2="확정",1,0))&amp;""))</f>
        <v/>
      </c>
      <c r="S1291">
        <f>IF($R1291="","",IF(INDEX('입력_구리근무자명단'!$A1289:$ZZ1289,1,$E$2+2)&amp;""="",급여기준월,IF(ISNUMBER(INDEX('입력_구리근무자명단'!$A1289:$ZZ1289,1,$E$2+2)),INDEX('입력_구리근무자명단'!$A1289:$ZZ1289,1,$E$2+2),IFERROR(DATE(VALUE(LEFT(INDEX('입력_구리근무자명단'!$A1289:$ZZ1289,1,$E$2+2),4)),VALUE(MID(INDEX('입력_구리근무자명단'!$A1289:$ZZ1289,1,$E$2+2),6,2)),VALUE(MID(INDEX('입력_구리근무자명단'!$A1289:$ZZ1289,1,$E$2+2),9,2))),-1))))</f>
        <v/>
      </c>
      <c r="T1291">
        <f>IF($R1291="","",IF(INDEX('입력_구리근무자명단'!$A1289:$ZZ1289,1,$E$2+3)&amp;""="",EOMONTH(급여기준월,0),IF(ISNUMBER(INDEX('입력_구리근무자명단'!$A1289:$ZZ1289,1,$E$2+3)),INDEX('입력_구리근무자명단'!$A1289:$ZZ1289,1,$E$2+3),IFERROR(DATE(VALUE(LEFT(INDEX('입력_구리근무자명단'!$A1289:$ZZ1289,1,$E$2+3),4)),VALUE(MID(INDEX('입력_구리근무자명단'!$A1289:$ZZ1289,1,$E$2+3),6,2)),VALUE(MID(INDEX('입력_구리근무자명단'!$A1289:$ZZ1289,1,$E$2+3),9,2))),-1))))</f>
        <v/>
      </c>
      <c r="U1291">
        <f>IF($R1291="","",IF(OR($S1291&lt;0,$T1291&lt;0),0,MAX(0,MIN($T1291,EOMONTH(급여기준월,0))-MAX($S1291,급여기준월)+1)))</f>
        <v/>
      </c>
      <c r="V1291">
        <f>IF($R1291="","",TRIM(INDEX('입력_구리근무자명단'!$A1289:$ZZ1289,1,$E$2+5)&amp;""))</f>
        <v/>
      </c>
      <c r="W1291">
        <f>IF(ISNUMBER(SEARCH("구리독자",$V1291)),"구리독자","")</f>
        <v/>
      </c>
      <c r="X1291">
        <f>IF($R1291="","",$R1291&amp;"|"&amp;IF(OR($Q1291="인턴",ISNUMBER(SEARCH("수련교육부",$P1291))),"인턴",$P1291))</f>
        <v/>
      </c>
      <c r="Y1291">
        <f>IF($R1291="","",IF(COUNTIF(명단표[이름|과],$X1291)=1,"명단 일치",IF(AND(COUNTIF(명단표[이름|과],$X1291)=0,COUNTIF(명단표[이름],$R1291)=1),"명단 일치(이름만, 과 다름)",IF(COUNTIF(명단표[이름],$R1291)=0,IF(COUNTIF(기본자료표[이름],$R1291)&gt;0,"명단에 없음(기본자료에는 있음)","명단에 없음"),"동명이인 확인"))))</f>
        <v/>
      </c>
      <c r="Z1291">
        <f>IF($R1291="","",IF($S1291&lt;0,"⚠"&amp;INDEX('입력_구리근무자명단'!$A1289:$ZZ1289,1,$E$2+2),TEXT($S1291,"yyyy-mm-dd")))</f>
        <v/>
      </c>
      <c r="AA1291">
        <f>IF($R1291="","",IF($T1291&lt;0,"⚠"&amp;INDEX('입력_구리근무자명단'!$A1289:$ZZ1289,1,$E$2+3),TEXT($T1291,"yyyy-mm-dd")))</f>
        <v/>
      </c>
      <c r="AB1291">
        <f>AB1290+IF($R1291="",0,1)</f>
        <v/>
      </c>
      <c r="AC1291">
        <f>IF($R1291="","",$AB1291)</f>
        <v/>
      </c>
    </row>
    <row r="1292">
      <c r="O1292">
        <f>1290</f>
        <v/>
      </c>
      <c r="P1292">
        <f>IF(TRIM('입력_구리근무자명단'!$A1290&amp;"")&lt;&gt;"",TRIM('입력_구리근무자명단'!$A1290&amp;""),P1291)</f>
        <v/>
      </c>
      <c r="Q1292">
        <f>'입력_구리근무자명단'!$B1290&amp;""</f>
        <v/>
      </c>
      <c r="R1292">
        <f>IF($E$2="","",TRIM(INDEX('입력_구리근무자명단'!$A1290:$ZZ1290,1,$E$2+IF($G$2="확정",1,0))&amp;""))</f>
        <v/>
      </c>
      <c r="S1292">
        <f>IF($R1292="","",IF(INDEX('입력_구리근무자명단'!$A1290:$ZZ1290,1,$E$2+2)&amp;""="",급여기준월,IF(ISNUMBER(INDEX('입력_구리근무자명단'!$A1290:$ZZ1290,1,$E$2+2)),INDEX('입력_구리근무자명단'!$A1290:$ZZ1290,1,$E$2+2),IFERROR(DATE(VALUE(LEFT(INDEX('입력_구리근무자명단'!$A1290:$ZZ1290,1,$E$2+2),4)),VALUE(MID(INDEX('입력_구리근무자명단'!$A1290:$ZZ1290,1,$E$2+2),6,2)),VALUE(MID(INDEX('입력_구리근무자명단'!$A1290:$ZZ1290,1,$E$2+2),9,2))),-1))))</f>
        <v/>
      </c>
      <c r="T1292">
        <f>IF($R1292="","",IF(INDEX('입력_구리근무자명단'!$A1290:$ZZ1290,1,$E$2+3)&amp;""="",EOMONTH(급여기준월,0),IF(ISNUMBER(INDEX('입력_구리근무자명단'!$A1290:$ZZ1290,1,$E$2+3)),INDEX('입력_구리근무자명단'!$A1290:$ZZ1290,1,$E$2+3),IFERROR(DATE(VALUE(LEFT(INDEX('입력_구리근무자명단'!$A1290:$ZZ1290,1,$E$2+3),4)),VALUE(MID(INDEX('입력_구리근무자명단'!$A1290:$ZZ1290,1,$E$2+3),6,2)),VALUE(MID(INDEX('입력_구리근무자명단'!$A1290:$ZZ1290,1,$E$2+3),9,2))),-1))))</f>
        <v/>
      </c>
      <c r="U1292">
        <f>IF($R1292="","",IF(OR($S1292&lt;0,$T1292&lt;0),0,MAX(0,MIN($T1292,EOMONTH(급여기준월,0))-MAX($S1292,급여기준월)+1)))</f>
        <v/>
      </c>
      <c r="V1292">
        <f>IF($R1292="","",TRIM(INDEX('입력_구리근무자명단'!$A1290:$ZZ1290,1,$E$2+5)&amp;""))</f>
        <v/>
      </c>
      <c r="W1292">
        <f>IF(ISNUMBER(SEARCH("구리독자",$V1292)),"구리독자","")</f>
        <v/>
      </c>
      <c r="X1292">
        <f>IF($R1292="","",$R1292&amp;"|"&amp;IF(OR($Q1292="인턴",ISNUMBER(SEARCH("수련교육부",$P1292))),"인턴",$P1292))</f>
        <v/>
      </c>
      <c r="Y1292">
        <f>IF($R1292="","",IF(COUNTIF(명단표[이름|과],$X1292)=1,"명단 일치",IF(AND(COUNTIF(명단표[이름|과],$X1292)=0,COUNTIF(명단표[이름],$R1292)=1),"명단 일치(이름만, 과 다름)",IF(COUNTIF(명단표[이름],$R1292)=0,IF(COUNTIF(기본자료표[이름],$R1292)&gt;0,"명단에 없음(기본자료에는 있음)","명단에 없음"),"동명이인 확인"))))</f>
        <v/>
      </c>
      <c r="Z1292">
        <f>IF($R1292="","",IF($S1292&lt;0,"⚠"&amp;INDEX('입력_구리근무자명단'!$A1290:$ZZ1290,1,$E$2+2),TEXT($S1292,"yyyy-mm-dd")))</f>
        <v/>
      </c>
      <c r="AA1292">
        <f>IF($R1292="","",IF($T1292&lt;0,"⚠"&amp;INDEX('입력_구리근무자명단'!$A1290:$ZZ1290,1,$E$2+3),TEXT($T1292,"yyyy-mm-dd")))</f>
        <v/>
      </c>
      <c r="AB1292">
        <f>AB1291+IF($R1292="",0,1)</f>
        <v/>
      </c>
      <c r="AC1292">
        <f>IF($R1292="","",$AB1292)</f>
        <v/>
      </c>
    </row>
    <row r="1293">
      <c r="O1293">
        <f>1291</f>
        <v/>
      </c>
      <c r="P1293">
        <f>IF(TRIM('입력_구리근무자명단'!$A1291&amp;"")&lt;&gt;"",TRIM('입력_구리근무자명단'!$A1291&amp;""),P1292)</f>
        <v/>
      </c>
      <c r="Q1293">
        <f>'입력_구리근무자명단'!$B1291&amp;""</f>
        <v/>
      </c>
      <c r="R1293">
        <f>IF($E$2="","",TRIM(INDEX('입력_구리근무자명단'!$A1291:$ZZ1291,1,$E$2+IF($G$2="확정",1,0))&amp;""))</f>
        <v/>
      </c>
      <c r="S1293">
        <f>IF($R1293="","",IF(INDEX('입력_구리근무자명단'!$A1291:$ZZ1291,1,$E$2+2)&amp;""="",급여기준월,IF(ISNUMBER(INDEX('입력_구리근무자명단'!$A1291:$ZZ1291,1,$E$2+2)),INDEX('입력_구리근무자명단'!$A1291:$ZZ1291,1,$E$2+2),IFERROR(DATE(VALUE(LEFT(INDEX('입력_구리근무자명단'!$A1291:$ZZ1291,1,$E$2+2),4)),VALUE(MID(INDEX('입력_구리근무자명단'!$A1291:$ZZ1291,1,$E$2+2),6,2)),VALUE(MID(INDEX('입력_구리근무자명단'!$A1291:$ZZ1291,1,$E$2+2),9,2))),-1))))</f>
        <v/>
      </c>
      <c r="T1293">
        <f>IF($R1293="","",IF(INDEX('입력_구리근무자명단'!$A1291:$ZZ1291,1,$E$2+3)&amp;""="",EOMONTH(급여기준월,0),IF(ISNUMBER(INDEX('입력_구리근무자명단'!$A1291:$ZZ1291,1,$E$2+3)),INDEX('입력_구리근무자명단'!$A1291:$ZZ1291,1,$E$2+3),IFERROR(DATE(VALUE(LEFT(INDEX('입력_구리근무자명단'!$A1291:$ZZ1291,1,$E$2+3),4)),VALUE(MID(INDEX('입력_구리근무자명단'!$A1291:$ZZ1291,1,$E$2+3),6,2)),VALUE(MID(INDEX('입력_구리근무자명단'!$A1291:$ZZ1291,1,$E$2+3),9,2))),-1))))</f>
        <v/>
      </c>
      <c r="U1293">
        <f>IF($R1293="","",IF(OR($S1293&lt;0,$T1293&lt;0),0,MAX(0,MIN($T1293,EOMONTH(급여기준월,0))-MAX($S1293,급여기준월)+1)))</f>
        <v/>
      </c>
      <c r="V1293">
        <f>IF($R1293="","",TRIM(INDEX('입력_구리근무자명단'!$A1291:$ZZ1291,1,$E$2+5)&amp;""))</f>
        <v/>
      </c>
      <c r="W1293">
        <f>IF(ISNUMBER(SEARCH("구리독자",$V1293)),"구리독자","")</f>
        <v/>
      </c>
      <c r="X1293">
        <f>IF($R1293="","",$R1293&amp;"|"&amp;IF(OR($Q1293="인턴",ISNUMBER(SEARCH("수련교육부",$P1293))),"인턴",$P1293))</f>
        <v/>
      </c>
      <c r="Y1293">
        <f>IF($R1293="","",IF(COUNTIF(명단표[이름|과],$X1293)=1,"명단 일치",IF(AND(COUNTIF(명단표[이름|과],$X1293)=0,COUNTIF(명단표[이름],$R1293)=1),"명단 일치(이름만, 과 다름)",IF(COUNTIF(명단표[이름],$R1293)=0,IF(COUNTIF(기본자료표[이름],$R1293)&gt;0,"명단에 없음(기본자료에는 있음)","명단에 없음"),"동명이인 확인"))))</f>
        <v/>
      </c>
      <c r="Z1293">
        <f>IF($R1293="","",IF($S1293&lt;0,"⚠"&amp;INDEX('입력_구리근무자명단'!$A1291:$ZZ1291,1,$E$2+2),TEXT($S1293,"yyyy-mm-dd")))</f>
        <v/>
      </c>
      <c r="AA1293">
        <f>IF($R1293="","",IF($T1293&lt;0,"⚠"&amp;INDEX('입력_구리근무자명단'!$A1291:$ZZ1291,1,$E$2+3),TEXT($T1293,"yyyy-mm-dd")))</f>
        <v/>
      </c>
      <c r="AB1293">
        <f>AB1292+IF($R1293="",0,1)</f>
        <v/>
      </c>
      <c r="AC1293">
        <f>IF($R1293="","",$AB1293)</f>
        <v/>
      </c>
    </row>
    <row r="1294">
      <c r="O1294">
        <f>1292</f>
        <v/>
      </c>
      <c r="P1294">
        <f>IF(TRIM('입력_구리근무자명단'!$A1292&amp;"")&lt;&gt;"",TRIM('입력_구리근무자명단'!$A1292&amp;""),P1293)</f>
        <v/>
      </c>
      <c r="Q1294">
        <f>'입력_구리근무자명단'!$B1292&amp;""</f>
        <v/>
      </c>
      <c r="R1294">
        <f>IF($E$2="","",TRIM(INDEX('입력_구리근무자명단'!$A1292:$ZZ1292,1,$E$2+IF($G$2="확정",1,0))&amp;""))</f>
        <v/>
      </c>
      <c r="S1294">
        <f>IF($R1294="","",IF(INDEX('입력_구리근무자명단'!$A1292:$ZZ1292,1,$E$2+2)&amp;""="",급여기준월,IF(ISNUMBER(INDEX('입력_구리근무자명단'!$A1292:$ZZ1292,1,$E$2+2)),INDEX('입력_구리근무자명단'!$A1292:$ZZ1292,1,$E$2+2),IFERROR(DATE(VALUE(LEFT(INDEX('입력_구리근무자명단'!$A1292:$ZZ1292,1,$E$2+2),4)),VALUE(MID(INDEX('입력_구리근무자명단'!$A1292:$ZZ1292,1,$E$2+2),6,2)),VALUE(MID(INDEX('입력_구리근무자명단'!$A1292:$ZZ1292,1,$E$2+2),9,2))),-1))))</f>
        <v/>
      </c>
      <c r="T1294">
        <f>IF($R1294="","",IF(INDEX('입력_구리근무자명단'!$A1292:$ZZ1292,1,$E$2+3)&amp;""="",EOMONTH(급여기준월,0),IF(ISNUMBER(INDEX('입력_구리근무자명단'!$A1292:$ZZ1292,1,$E$2+3)),INDEX('입력_구리근무자명단'!$A1292:$ZZ1292,1,$E$2+3),IFERROR(DATE(VALUE(LEFT(INDEX('입력_구리근무자명단'!$A1292:$ZZ1292,1,$E$2+3),4)),VALUE(MID(INDEX('입력_구리근무자명단'!$A1292:$ZZ1292,1,$E$2+3),6,2)),VALUE(MID(INDEX('입력_구리근무자명단'!$A1292:$ZZ1292,1,$E$2+3),9,2))),-1))))</f>
        <v/>
      </c>
      <c r="U1294">
        <f>IF($R1294="","",IF(OR($S1294&lt;0,$T1294&lt;0),0,MAX(0,MIN($T1294,EOMONTH(급여기준월,0))-MAX($S1294,급여기준월)+1)))</f>
        <v/>
      </c>
      <c r="V1294">
        <f>IF($R1294="","",TRIM(INDEX('입력_구리근무자명단'!$A1292:$ZZ1292,1,$E$2+5)&amp;""))</f>
        <v/>
      </c>
      <c r="W1294">
        <f>IF(ISNUMBER(SEARCH("구리독자",$V1294)),"구리독자","")</f>
        <v/>
      </c>
      <c r="X1294">
        <f>IF($R1294="","",$R1294&amp;"|"&amp;IF(OR($Q1294="인턴",ISNUMBER(SEARCH("수련교육부",$P1294))),"인턴",$P1294))</f>
        <v/>
      </c>
      <c r="Y1294">
        <f>IF($R1294="","",IF(COUNTIF(명단표[이름|과],$X1294)=1,"명단 일치",IF(AND(COUNTIF(명단표[이름|과],$X1294)=0,COUNTIF(명단표[이름],$R1294)=1),"명단 일치(이름만, 과 다름)",IF(COUNTIF(명단표[이름],$R1294)=0,IF(COUNTIF(기본자료표[이름],$R1294)&gt;0,"명단에 없음(기본자료에는 있음)","명단에 없음"),"동명이인 확인"))))</f>
        <v/>
      </c>
      <c r="Z1294">
        <f>IF($R1294="","",IF($S1294&lt;0,"⚠"&amp;INDEX('입력_구리근무자명단'!$A1292:$ZZ1292,1,$E$2+2),TEXT($S1294,"yyyy-mm-dd")))</f>
        <v/>
      </c>
      <c r="AA1294">
        <f>IF($R1294="","",IF($T1294&lt;0,"⚠"&amp;INDEX('입력_구리근무자명단'!$A1292:$ZZ1292,1,$E$2+3),TEXT($T1294,"yyyy-mm-dd")))</f>
        <v/>
      </c>
      <c r="AB1294">
        <f>AB1293+IF($R1294="",0,1)</f>
        <v/>
      </c>
      <c r="AC1294">
        <f>IF($R1294="","",$AB1294)</f>
        <v/>
      </c>
    </row>
    <row r="1295">
      <c r="O1295">
        <f>1293</f>
        <v/>
      </c>
      <c r="P1295">
        <f>IF(TRIM('입력_구리근무자명단'!$A1293&amp;"")&lt;&gt;"",TRIM('입력_구리근무자명단'!$A1293&amp;""),P1294)</f>
        <v/>
      </c>
      <c r="Q1295">
        <f>'입력_구리근무자명단'!$B1293&amp;""</f>
        <v/>
      </c>
      <c r="R1295">
        <f>IF($E$2="","",TRIM(INDEX('입력_구리근무자명단'!$A1293:$ZZ1293,1,$E$2+IF($G$2="확정",1,0))&amp;""))</f>
        <v/>
      </c>
      <c r="S1295">
        <f>IF($R1295="","",IF(INDEX('입력_구리근무자명단'!$A1293:$ZZ1293,1,$E$2+2)&amp;""="",급여기준월,IF(ISNUMBER(INDEX('입력_구리근무자명단'!$A1293:$ZZ1293,1,$E$2+2)),INDEX('입력_구리근무자명단'!$A1293:$ZZ1293,1,$E$2+2),IFERROR(DATE(VALUE(LEFT(INDEX('입력_구리근무자명단'!$A1293:$ZZ1293,1,$E$2+2),4)),VALUE(MID(INDEX('입력_구리근무자명단'!$A1293:$ZZ1293,1,$E$2+2),6,2)),VALUE(MID(INDEX('입력_구리근무자명단'!$A1293:$ZZ1293,1,$E$2+2),9,2))),-1))))</f>
        <v/>
      </c>
      <c r="T1295">
        <f>IF($R1295="","",IF(INDEX('입력_구리근무자명단'!$A1293:$ZZ1293,1,$E$2+3)&amp;""="",EOMONTH(급여기준월,0),IF(ISNUMBER(INDEX('입력_구리근무자명단'!$A1293:$ZZ1293,1,$E$2+3)),INDEX('입력_구리근무자명단'!$A1293:$ZZ1293,1,$E$2+3),IFERROR(DATE(VALUE(LEFT(INDEX('입력_구리근무자명단'!$A1293:$ZZ1293,1,$E$2+3),4)),VALUE(MID(INDEX('입력_구리근무자명단'!$A1293:$ZZ1293,1,$E$2+3),6,2)),VALUE(MID(INDEX('입력_구리근무자명단'!$A1293:$ZZ1293,1,$E$2+3),9,2))),-1))))</f>
        <v/>
      </c>
      <c r="U1295">
        <f>IF($R1295="","",IF(OR($S1295&lt;0,$T1295&lt;0),0,MAX(0,MIN($T1295,EOMONTH(급여기준월,0))-MAX($S1295,급여기준월)+1)))</f>
        <v/>
      </c>
      <c r="V1295">
        <f>IF($R1295="","",TRIM(INDEX('입력_구리근무자명단'!$A1293:$ZZ1293,1,$E$2+5)&amp;""))</f>
        <v/>
      </c>
      <c r="W1295">
        <f>IF(ISNUMBER(SEARCH("구리독자",$V1295)),"구리독자","")</f>
        <v/>
      </c>
      <c r="X1295">
        <f>IF($R1295="","",$R1295&amp;"|"&amp;IF(OR($Q1295="인턴",ISNUMBER(SEARCH("수련교육부",$P1295))),"인턴",$P1295))</f>
        <v/>
      </c>
      <c r="Y1295">
        <f>IF($R1295="","",IF(COUNTIF(명단표[이름|과],$X1295)=1,"명단 일치",IF(AND(COUNTIF(명단표[이름|과],$X1295)=0,COUNTIF(명단표[이름],$R1295)=1),"명단 일치(이름만, 과 다름)",IF(COUNTIF(명단표[이름],$R1295)=0,IF(COUNTIF(기본자료표[이름],$R1295)&gt;0,"명단에 없음(기본자료에는 있음)","명단에 없음"),"동명이인 확인"))))</f>
        <v/>
      </c>
      <c r="Z1295">
        <f>IF($R1295="","",IF($S1295&lt;0,"⚠"&amp;INDEX('입력_구리근무자명단'!$A1293:$ZZ1293,1,$E$2+2),TEXT($S1295,"yyyy-mm-dd")))</f>
        <v/>
      </c>
      <c r="AA1295">
        <f>IF($R1295="","",IF($T1295&lt;0,"⚠"&amp;INDEX('입력_구리근무자명단'!$A1293:$ZZ1293,1,$E$2+3),TEXT($T1295,"yyyy-mm-dd")))</f>
        <v/>
      </c>
      <c r="AB1295">
        <f>AB1294+IF($R1295="",0,1)</f>
        <v/>
      </c>
      <c r="AC1295">
        <f>IF($R1295="","",$AB1295)</f>
        <v/>
      </c>
    </row>
    <row r="1296">
      <c r="O1296">
        <f>1294</f>
        <v/>
      </c>
      <c r="P1296">
        <f>IF(TRIM('입력_구리근무자명단'!$A1294&amp;"")&lt;&gt;"",TRIM('입력_구리근무자명단'!$A1294&amp;""),P1295)</f>
        <v/>
      </c>
      <c r="Q1296">
        <f>'입력_구리근무자명단'!$B1294&amp;""</f>
        <v/>
      </c>
      <c r="R1296">
        <f>IF($E$2="","",TRIM(INDEX('입력_구리근무자명단'!$A1294:$ZZ1294,1,$E$2+IF($G$2="확정",1,0))&amp;""))</f>
        <v/>
      </c>
      <c r="S1296">
        <f>IF($R1296="","",IF(INDEX('입력_구리근무자명단'!$A1294:$ZZ1294,1,$E$2+2)&amp;""="",급여기준월,IF(ISNUMBER(INDEX('입력_구리근무자명단'!$A1294:$ZZ1294,1,$E$2+2)),INDEX('입력_구리근무자명단'!$A1294:$ZZ1294,1,$E$2+2),IFERROR(DATE(VALUE(LEFT(INDEX('입력_구리근무자명단'!$A1294:$ZZ1294,1,$E$2+2),4)),VALUE(MID(INDEX('입력_구리근무자명단'!$A1294:$ZZ1294,1,$E$2+2),6,2)),VALUE(MID(INDEX('입력_구리근무자명단'!$A1294:$ZZ1294,1,$E$2+2),9,2))),-1))))</f>
        <v/>
      </c>
      <c r="T1296">
        <f>IF($R1296="","",IF(INDEX('입력_구리근무자명단'!$A1294:$ZZ1294,1,$E$2+3)&amp;""="",EOMONTH(급여기준월,0),IF(ISNUMBER(INDEX('입력_구리근무자명단'!$A1294:$ZZ1294,1,$E$2+3)),INDEX('입력_구리근무자명단'!$A1294:$ZZ1294,1,$E$2+3),IFERROR(DATE(VALUE(LEFT(INDEX('입력_구리근무자명단'!$A1294:$ZZ1294,1,$E$2+3),4)),VALUE(MID(INDEX('입력_구리근무자명단'!$A1294:$ZZ1294,1,$E$2+3),6,2)),VALUE(MID(INDEX('입력_구리근무자명단'!$A1294:$ZZ1294,1,$E$2+3),9,2))),-1))))</f>
        <v/>
      </c>
      <c r="U1296">
        <f>IF($R1296="","",IF(OR($S1296&lt;0,$T1296&lt;0),0,MAX(0,MIN($T1296,EOMONTH(급여기준월,0))-MAX($S1296,급여기준월)+1)))</f>
        <v/>
      </c>
      <c r="V1296">
        <f>IF($R1296="","",TRIM(INDEX('입력_구리근무자명단'!$A1294:$ZZ1294,1,$E$2+5)&amp;""))</f>
        <v/>
      </c>
      <c r="W1296">
        <f>IF(ISNUMBER(SEARCH("구리독자",$V1296)),"구리독자","")</f>
        <v/>
      </c>
      <c r="X1296">
        <f>IF($R1296="","",$R1296&amp;"|"&amp;IF(OR($Q1296="인턴",ISNUMBER(SEARCH("수련교육부",$P1296))),"인턴",$P1296))</f>
        <v/>
      </c>
      <c r="Y1296">
        <f>IF($R1296="","",IF(COUNTIF(명단표[이름|과],$X1296)=1,"명단 일치",IF(AND(COUNTIF(명단표[이름|과],$X1296)=0,COUNTIF(명단표[이름],$R1296)=1),"명단 일치(이름만, 과 다름)",IF(COUNTIF(명단표[이름],$R1296)=0,IF(COUNTIF(기본자료표[이름],$R1296)&gt;0,"명단에 없음(기본자료에는 있음)","명단에 없음"),"동명이인 확인"))))</f>
        <v/>
      </c>
      <c r="Z1296">
        <f>IF($R1296="","",IF($S1296&lt;0,"⚠"&amp;INDEX('입력_구리근무자명단'!$A1294:$ZZ1294,1,$E$2+2),TEXT($S1296,"yyyy-mm-dd")))</f>
        <v/>
      </c>
      <c r="AA1296">
        <f>IF($R1296="","",IF($T1296&lt;0,"⚠"&amp;INDEX('입력_구리근무자명단'!$A1294:$ZZ1294,1,$E$2+3),TEXT($T1296,"yyyy-mm-dd")))</f>
        <v/>
      </c>
      <c r="AB1296">
        <f>AB1295+IF($R1296="",0,1)</f>
        <v/>
      </c>
      <c r="AC1296">
        <f>IF($R1296="","",$AB1296)</f>
        <v/>
      </c>
    </row>
    <row r="1297">
      <c r="O1297">
        <f>1295</f>
        <v/>
      </c>
      <c r="P1297">
        <f>IF(TRIM('입력_구리근무자명단'!$A1295&amp;"")&lt;&gt;"",TRIM('입력_구리근무자명단'!$A1295&amp;""),P1296)</f>
        <v/>
      </c>
      <c r="Q1297">
        <f>'입력_구리근무자명단'!$B1295&amp;""</f>
        <v/>
      </c>
      <c r="R1297">
        <f>IF($E$2="","",TRIM(INDEX('입력_구리근무자명단'!$A1295:$ZZ1295,1,$E$2+IF($G$2="확정",1,0))&amp;""))</f>
        <v/>
      </c>
      <c r="S1297">
        <f>IF($R1297="","",IF(INDEX('입력_구리근무자명단'!$A1295:$ZZ1295,1,$E$2+2)&amp;""="",급여기준월,IF(ISNUMBER(INDEX('입력_구리근무자명단'!$A1295:$ZZ1295,1,$E$2+2)),INDEX('입력_구리근무자명단'!$A1295:$ZZ1295,1,$E$2+2),IFERROR(DATE(VALUE(LEFT(INDEX('입력_구리근무자명단'!$A1295:$ZZ1295,1,$E$2+2),4)),VALUE(MID(INDEX('입력_구리근무자명단'!$A1295:$ZZ1295,1,$E$2+2),6,2)),VALUE(MID(INDEX('입력_구리근무자명단'!$A1295:$ZZ1295,1,$E$2+2),9,2))),-1))))</f>
        <v/>
      </c>
      <c r="T1297">
        <f>IF($R1297="","",IF(INDEX('입력_구리근무자명단'!$A1295:$ZZ1295,1,$E$2+3)&amp;""="",EOMONTH(급여기준월,0),IF(ISNUMBER(INDEX('입력_구리근무자명단'!$A1295:$ZZ1295,1,$E$2+3)),INDEX('입력_구리근무자명단'!$A1295:$ZZ1295,1,$E$2+3),IFERROR(DATE(VALUE(LEFT(INDEX('입력_구리근무자명단'!$A1295:$ZZ1295,1,$E$2+3),4)),VALUE(MID(INDEX('입력_구리근무자명단'!$A1295:$ZZ1295,1,$E$2+3),6,2)),VALUE(MID(INDEX('입력_구리근무자명단'!$A1295:$ZZ1295,1,$E$2+3),9,2))),-1))))</f>
        <v/>
      </c>
      <c r="U1297">
        <f>IF($R1297="","",IF(OR($S1297&lt;0,$T1297&lt;0),0,MAX(0,MIN($T1297,EOMONTH(급여기준월,0))-MAX($S1297,급여기준월)+1)))</f>
        <v/>
      </c>
      <c r="V1297">
        <f>IF($R1297="","",TRIM(INDEX('입력_구리근무자명단'!$A1295:$ZZ1295,1,$E$2+5)&amp;""))</f>
        <v/>
      </c>
      <c r="W1297">
        <f>IF(ISNUMBER(SEARCH("구리독자",$V1297)),"구리독자","")</f>
        <v/>
      </c>
      <c r="X1297">
        <f>IF($R1297="","",$R1297&amp;"|"&amp;IF(OR($Q1297="인턴",ISNUMBER(SEARCH("수련교육부",$P1297))),"인턴",$P1297))</f>
        <v/>
      </c>
      <c r="Y1297">
        <f>IF($R1297="","",IF(COUNTIF(명단표[이름|과],$X1297)=1,"명단 일치",IF(AND(COUNTIF(명단표[이름|과],$X1297)=0,COUNTIF(명단표[이름],$R1297)=1),"명단 일치(이름만, 과 다름)",IF(COUNTIF(명단표[이름],$R1297)=0,IF(COUNTIF(기본자료표[이름],$R1297)&gt;0,"명단에 없음(기본자료에는 있음)","명단에 없음"),"동명이인 확인"))))</f>
        <v/>
      </c>
      <c r="Z1297">
        <f>IF($R1297="","",IF($S1297&lt;0,"⚠"&amp;INDEX('입력_구리근무자명단'!$A1295:$ZZ1295,1,$E$2+2),TEXT($S1297,"yyyy-mm-dd")))</f>
        <v/>
      </c>
      <c r="AA1297">
        <f>IF($R1297="","",IF($T1297&lt;0,"⚠"&amp;INDEX('입력_구리근무자명단'!$A1295:$ZZ1295,1,$E$2+3),TEXT($T1297,"yyyy-mm-dd")))</f>
        <v/>
      </c>
      <c r="AB1297">
        <f>AB1296+IF($R1297="",0,1)</f>
        <v/>
      </c>
      <c r="AC1297">
        <f>IF($R1297="","",$AB1297)</f>
        <v/>
      </c>
    </row>
    <row r="1298">
      <c r="O1298">
        <f>1296</f>
        <v/>
      </c>
      <c r="P1298">
        <f>IF(TRIM('입력_구리근무자명단'!$A1296&amp;"")&lt;&gt;"",TRIM('입력_구리근무자명단'!$A1296&amp;""),P1297)</f>
        <v/>
      </c>
      <c r="Q1298">
        <f>'입력_구리근무자명단'!$B1296&amp;""</f>
        <v/>
      </c>
      <c r="R1298">
        <f>IF($E$2="","",TRIM(INDEX('입력_구리근무자명단'!$A1296:$ZZ1296,1,$E$2+IF($G$2="확정",1,0))&amp;""))</f>
        <v/>
      </c>
      <c r="S1298">
        <f>IF($R1298="","",IF(INDEX('입력_구리근무자명단'!$A1296:$ZZ1296,1,$E$2+2)&amp;""="",급여기준월,IF(ISNUMBER(INDEX('입력_구리근무자명단'!$A1296:$ZZ1296,1,$E$2+2)),INDEX('입력_구리근무자명단'!$A1296:$ZZ1296,1,$E$2+2),IFERROR(DATE(VALUE(LEFT(INDEX('입력_구리근무자명단'!$A1296:$ZZ1296,1,$E$2+2),4)),VALUE(MID(INDEX('입력_구리근무자명단'!$A1296:$ZZ1296,1,$E$2+2),6,2)),VALUE(MID(INDEX('입력_구리근무자명단'!$A1296:$ZZ1296,1,$E$2+2),9,2))),-1))))</f>
        <v/>
      </c>
      <c r="T1298">
        <f>IF($R1298="","",IF(INDEX('입력_구리근무자명단'!$A1296:$ZZ1296,1,$E$2+3)&amp;""="",EOMONTH(급여기준월,0),IF(ISNUMBER(INDEX('입력_구리근무자명단'!$A1296:$ZZ1296,1,$E$2+3)),INDEX('입력_구리근무자명단'!$A1296:$ZZ1296,1,$E$2+3),IFERROR(DATE(VALUE(LEFT(INDEX('입력_구리근무자명단'!$A1296:$ZZ1296,1,$E$2+3),4)),VALUE(MID(INDEX('입력_구리근무자명단'!$A1296:$ZZ1296,1,$E$2+3),6,2)),VALUE(MID(INDEX('입력_구리근무자명단'!$A1296:$ZZ1296,1,$E$2+3),9,2))),-1))))</f>
        <v/>
      </c>
      <c r="U1298">
        <f>IF($R1298="","",IF(OR($S1298&lt;0,$T1298&lt;0),0,MAX(0,MIN($T1298,EOMONTH(급여기준월,0))-MAX($S1298,급여기준월)+1)))</f>
        <v/>
      </c>
      <c r="V1298">
        <f>IF($R1298="","",TRIM(INDEX('입력_구리근무자명단'!$A1296:$ZZ1296,1,$E$2+5)&amp;""))</f>
        <v/>
      </c>
      <c r="W1298">
        <f>IF(ISNUMBER(SEARCH("구리독자",$V1298)),"구리독자","")</f>
        <v/>
      </c>
      <c r="X1298">
        <f>IF($R1298="","",$R1298&amp;"|"&amp;IF(OR($Q1298="인턴",ISNUMBER(SEARCH("수련교육부",$P1298))),"인턴",$P1298))</f>
        <v/>
      </c>
      <c r="Y1298">
        <f>IF($R1298="","",IF(COUNTIF(명단표[이름|과],$X1298)=1,"명단 일치",IF(AND(COUNTIF(명단표[이름|과],$X1298)=0,COUNTIF(명단표[이름],$R1298)=1),"명단 일치(이름만, 과 다름)",IF(COUNTIF(명단표[이름],$R1298)=0,IF(COUNTIF(기본자료표[이름],$R1298)&gt;0,"명단에 없음(기본자료에는 있음)","명단에 없음"),"동명이인 확인"))))</f>
        <v/>
      </c>
      <c r="Z1298">
        <f>IF($R1298="","",IF($S1298&lt;0,"⚠"&amp;INDEX('입력_구리근무자명단'!$A1296:$ZZ1296,1,$E$2+2),TEXT($S1298,"yyyy-mm-dd")))</f>
        <v/>
      </c>
      <c r="AA1298">
        <f>IF($R1298="","",IF($T1298&lt;0,"⚠"&amp;INDEX('입력_구리근무자명단'!$A1296:$ZZ1296,1,$E$2+3),TEXT($T1298,"yyyy-mm-dd")))</f>
        <v/>
      </c>
      <c r="AB1298">
        <f>AB1297+IF($R1298="",0,1)</f>
        <v/>
      </c>
      <c r="AC1298">
        <f>IF($R1298="","",$AB1298)</f>
        <v/>
      </c>
    </row>
    <row r="1299">
      <c r="O1299">
        <f>1297</f>
        <v/>
      </c>
      <c r="P1299">
        <f>IF(TRIM('입력_구리근무자명단'!$A1297&amp;"")&lt;&gt;"",TRIM('입력_구리근무자명단'!$A1297&amp;""),P1298)</f>
        <v/>
      </c>
      <c r="Q1299">
        <f>'입력_구리근무자명단'!$B1297&amp;""</f>
        <v/>
      </c>
      <c r="R1299">
        <f>IF($E$2="","",TRIM(INDEX('입력_구리근무자명단'!$A1297:$ZZ1297,1,$E$2+IF($G$2="확정",1,0))&amp;""))</f>
        <v/>
      </c>
      <c r="S1299">
        <f>IF($R1299="","",IF(INDEX('입력_구리근무자명단'!$A1297:$ZZ1297,1,$E$2+2)&amp;""="",급여기준월,IF(ISNUMBER(INDEX('입력_구리근무자명단'!$A1297:$ZZ1297,1,$E$2+2)),INDEX('입력_구리근무자명단'!$A1297:$ZZ1297,1,$E$2+2),IFERROR(DATE(VALUE(LEFT(INDEX('입력_구리근무자명단'!$A1297:$ZZ1297,1,$E$2+2),4)),VALUE(MID(INDEX('입력_구리근무자명단'!$A1297:$ZZ1297,1,$E$2+2),6,2)),VALUE(MID(INDEX('입력_구리근무자명단'!$A1297:$ZZ1297,1,$E$2+2),9,2))),-1))))</f>
        <v/>
      </c>
      <c r="T1299">
        <f>IF($R1299="","",IF(INDEX('입력_구리근무자명단'!$A1297:$ZZ1297,1,$E$2+3)&amp;""="",EOMONTH(급여기준월,0),IF(ISNUMBER(INDEX('입력_구리근무자명단'!$A1297:$ZZ1297,1,$E$2+3)),INDEX('입력_구리근무자명단'!$A1297:$ZZ1297,1,$E$2+3),IFERROR(DATE(VALUE(LEFT(INDEX('입력_구리근무자명단'!$A1297:$ZZ1297,1,$E$2+3),4)),VALUE(MID(INDEX('입력_구리근무자명단'!$A1297:$ZZ1297,1,$E$2+3),6,2)),VALUE(MID(INDEX('입력_구리근무자명단'!$A1297:$ZZ1297,1,$E$2+3),9,2))),-1))))</f>
        <v/>
      </c>
      <c r="U1299">
        <f>IF($R1299="","",IF(OR($S1299&lt;0,$T1299&lt;0),0,MAX(0,MIN($T1299,EOMONTH(급여기준월,0))-MAX($S1299,급여기준월)+1)))</f>
        <v/>
      </c>
      <c r="V1299">
        <f>IF($R1299="","",TRIM(INDEX('입력_구리근무자명단'!$A1297:$ZZ1297,1,$E$2+5)&amp;""))</f>
        <v/>
      </c>
      <c r="W1299">
        <f>IF(ISNUMBER(SEARCH("구리독자",$V1299)),"구리독자","")</f>
        <v/>
      </c>
      <c r="X1299">
        <f>IF($R1299="","",$R1299&amp;"|"&amp;IF(OR($Q1299="인턴",ISNUMBER(SEARCH("수련교육부",$P1299))),"인턴",$P1299))</f>
        <v/>
      </c>
      <c r="Y1299">
        <f>IF($R1299="","",IF(COUNTIF(명단표[이름|과],$X1299)=1,"명단 일치",IF(AND(COUNTIF(명단표[이름|과],$X1299)=0,COUNTIF(명단표[이름],$R1299)=1),"명단 일치(이름만, 과 다름)",IF(COUNTIF(명단표[이름],$R1299)=0,IF(COUNTIF(기본자료표[이름],$R1299)&gt;0,"명단에 없음(기본자료에는 있음)","명단에 없음"),"동명이인 확인"))))</f>
        <v/>
      </c>
      <c r="Z1299">
        <f>IF($R1299="","",IF($S1299&lt;0,"⚠"&amp;INDEX('입력_구리근무자명단'!$A1297:$ZZ1297,1,$E$2+2),TEXT($S1299,"yyyy-mm-dd")))</f>
        <v/>
      </c>
      <c r="AA1299">
        <f>IF($R1299="","",IF($T1299&lt;0,"⚠"&amp;INDEX('입력_구리근무자명단'!$A1297:$ZZ1297,1,$E$2+3),TEXT($T1299,"yyyy-mm-dd")))</f>
        <v/>
      </c>
      <c r="AB1299">
        <f>AB1298+IF($R1299="",0,1)</f>
        <v/>
      </c>
      <c r="AC1299">
        <f>IF($R1299="","",$AB1299)</f>
        <v/>
      </c>
    </row>
    <row r="1300">
      <c r="O1300">
        <f>1298</f>
        <v/>
      </c>
      <c r="P1300">
        <f>IF(TRIM('입력_구리근무자명단'!$A1298&amp;"")&lt;&gt;"",TRIM('입력_구리근무자명단'!$A1298&amp;""),P1299)</f>
        <v/>
      </c>
      <c r="Q1300">
        <f>'입력_구리근무자명단'!$B1298&amp;""</f>
        <v/>
      </c>
      <c r="R1300">
        <f>IF($E$2="","",TRIM(INDEX('입력_구리근무자명단'!$A1298:$ZZ1298,1,$E$2+IF($G$2="확정",1,0))&amp;""))</f>
        <v/>
      </c>
      <c r="S1300">
        <f>IF($R1300="","",IF(INDEX('입력_구리근무자명단'!$A1298:$ZZ1298,1,$E$2+2)&amp;""="",급여기준월,IF(ISNUMBER(INDEX('입력_구리근무자명단'!$A1298:$ZZ1298,1,$E$2+2)),INDEX('입력_구리근무자명단'!$A1298:$ZZ1298,1,$E$2+2),IFERROR(DATE(VALUE(LEFT(INDEX('입력_구리근무자명단'!$A1298:$ZZ1298,1,$E$2+2),4)),VALUE(MID(INDEX('입력_구리근무자명단'!$A1298:$ZZ1298,1,$E$2+2),6,2)),VALUE(MID(INDEX('입력_구리근무자명단'!$A1298:$ZZ1298,1,$E$2+2),9,2))),-1))))</f>
        <v/>
      </c>
      <c r="T1300">
        <f>IF($R1300="","",IF(INDEX('입력_구리근무자명단'!$A1298:$ZZ1298,1,$E$2+3)&amp;""="",EOMONTH(급여기준월,0),IF(ISNUMBER(INDEX('입력_구리근무자명단'!$A1298:$ZZ1298,1,$E$2+3)),INDEX('입력_구리근무자명단'!$A1298:$ZZ1298,1,$E$2+3),IFERROR(DATE(VALUE(LEFT(INDEX('입력_구리근무자명단'!$A1298:$ZZ1298,1,$E$2+3),4)),VALUE(MID(INDEX('입력_구리근무자명단'!$A1298:$ZZ1298,1,$E$2+3),6,2)),VALUE(MID(INDEX('입력_구리근무자명단'!$A1298:$ZZ1298,1,$E$2+3),9,2))),-1))))</f>
        <v/>
      </c>
      <c r="U1300">
        <f>IF($R1300="","",IF(OR($S1300&lt;0,$T1300&lt;0),0,MAX(0,MIN($T1300,EOMONTH(급여기준월,0))-MAX($S1300,급여기준월)+1)))</f>
        <v/>
      </c>
      <c r="V1300">
        <f>IF($R1300="","",TRIM(INDEX('입력_구리근무자명단'!$A1298:$ZZ1298,1,$E$2+5)&amp;""))</f>
        <v/>
      </c>
      <c r="W1300">
        <f>IF(ISNUMBER(SEARCH("구리독자",$V1300)),"구리독자","")</f>
        <v/>
      </c>
      <c r="X1300">
        <f>IF($R1300="","",$R1300&amp;"|"&amp;IF(OR($Q1300="인턴",ISNUMBER(SEARCH("수련교육부",$P1300))),"인턴",$P1300))</f>
        <v/>
      </c>
      <c r="Y1300">
        <f>IF($R1300="","",IF(COUNTIF(명단표[이름|과],$X1300)=1,"명단 일치",IF(AND(COUNTIF(명단표[이름|과],$X1300)=0,COUNTIF(명단표[이름],$R1300)=1),"명단 일치(이름만, 과 다름)",IF(COUNTIF(명단표[이름],$R1300)=0,IF(COUNTIF(기본자료표[이름],$R1300)&gt;0,"명단에 없음(기본자료에는 있음)","명단에 없음"),"동명이인 확인"))))</f>
        <v/>
      </c>
      <c r="Z1300">
        <f>IF($R1300="","",IF($S1300&lt;0,"⚠"&amp;INDEX('입력_구리근무자명단'!$A1298:$ZZ1298,1,$E$2+2),TEXT($S1300,"yyyy-mm-dd")))</f>
        <v/>
      </c>
      <c r="AA1300">
        <f>IF($R1300="","",IF($T1300&lt;0,"⚠"&amp;INDEX('입력_구리근무자명단'!$A1298:$ZZ1298,1,$E$2+3),TEXT($T1300,"yyyy-mm-dd")))</f>
        <v/>
      </c>
      <c r="AB1300">
        <f>AB1299+IF($R1300="",0,1)</f>
        <v/>
      </c>
      <c r="AC1300">
        <f>IF($R1300="","",$AB1300)</f>
        <v/>
      </c>
    </row>
    <row r="1301">
      <c r="O1301">
        <f>1299</f>
        <v/>
      </c>
      <c r="P1301">
        <f>IF(TRIM('입력_구리근무자명단'!$A1299&amp;"")&lt;&gt;"",TRIM('입력_구리근무자명단'!$A1299&amp;""),P1300)</f>
        <v/>
      </c>
      <c r="Q1301">
        <f>'입력_구리근무자명단'!$B1299&amp;""</f>
        <v/>
      </c>
      <c r="R1301">
        <f>IF($E$2="","",TRIM(INDEX('입력_구리근무자명단'!$A1299:$ZZ1299,1,$E$2+IF($G$2="확정",1,0))&amp;""))</f>
        <v/>
      </c>
      <c r="S1301">
        <f>IF($R1301="","",IF(INDEX('입력_구리근무자명단'!$A1299:$ZZ1299,1,$E$2+2)&amp;""="",급여기준월,IF(ISNUMBER(INDEX('입력_구리근무자명단'!$A1299:$ZZ1299,1,$E$2+2)),INDEX('입력_구리근무자명단'!$A1299:$ZZ1299,1,$E$2+2),IFERROR(DATE(VALUE(LEFT(INDEX('입력_구리근무자명단'!$A1299:$ZZ1299,1,$E$2+2),4)),VALUE(MID(INDEX('입력_구리근무자명단'!$A1299:$ZZ1299,1,$E$2+2),6,2)),VALUE(MID(INDEX('입력_구리근무자명단'!$A1299:$ZZ1299,1,$E$2+2),9,2))),-1))))</f>
        <v/>
      </c>
      <c r="T1301">
        <f>IF($R1301="","",IF(INDEX('입력_구리근무자명단'!$A1299:$ZZ1299,1,$E$2+3)&amp;""="",EOMONTH(급여기준월,0),IF(ISNUMBER(INDEX('입력_구리근무자명단'!$A1299:$ZZ1299,1,$E$2+3)),INDEX('입력_구리근무자명단'!$A1299:$ZZ1299,1,$E$2+3),IFERROR(DATE(VALUE(LEFT(INDEX('입력_구리근무자명단'!$A1299:$ZZ1299,1,$E$2+3),4)),VALUE(MID(INDEX('입력_구리근무자명단'!$A1299:$ZZ1299,1,$E$2+3),6,2)),VALUE(MID(INDEX('입력_구리근무자명단'!$A1299:$ZZ1299,1,$E$2+3),9,2))),-1))))</f>
        <v/>
      </c>
      <c r="U1301">
        <f>IF($R1301="","",IF(OR($S1301&lt;0,$T1301&lt;0),0,MAX(0,MIN($T1301,EOMONTH(급여기준월,0))-MAX($S1301,급여기준월)+1)))</f>
        <v/>
      </c>
      <c r="V1301">
        <f>IF($R1301="","",TRIM(INDEX('입력_구리근무자명단'!$A1299:$ZZ1299,1,$E$2+5)&amp;""))</f>
        <v/>
      </c>
      <c r="W1301">
        <f>IF(ISNUMBER(SEARCH("구리독자",$V1301)),"구리독자","")</f>
        <v/>
      </c>
      <c r="X1301">
        <f>IF($R1301="","",$R1301&amp;"|"&amp;IF(OR($Q1301="인턴",ISNUMBER(SEARCH("수련교육부",$P1301))),"인턴",$P1301))</f>
        <v/>
      </c>
      <c r="Y1301">
        <f>IF($R1301="","",IF(COUNTIF(명단표[이름|과],$X1301)=1,"명단 일치",IF(AND(COUNTIF(명단표[이름|과],$X1301)=0,COUNTIF(명단표[이름],$R1301)=1),"명단 일치(이름만, 과 다름)",IF(COUNTIF(명단표[이름],$R1301)=0,IF(COUNTIF(기본자료표[이름],$R1301)&gt;0,"명단에 없음(기본자료에는 있음)","명단에 없음"),"동명이인 확인"))))</f>
        <v/>
      </c>
      <c r="Z1301">
        <f>IF($R1301="","",IF($S1301&lt;0,"⚠"&amp;INDEX('입력_구리근무자명단'!$A1299:$ZZ1299,1,$E$2+2),TEXT($S1301,"yyyy-mm-dd")))</f>
        <v/>
      </c>
      <c r="AA1301">
        <f>IF($R1301="","",IF($T1301&lt;0,"⚠"&amp;INDEX('입력_구리근무자명단'!$A1299:$ZZ1299,1,$E$2+3),TEXT($T1301,"yyyy-mm-dd")))</f>
        <v/>
      </c>
      <c r="AB1301">
        <f>AB1300+IF($R1301="",0,1)</f>
        <v/>
      </c>
      <c r="AC1301">
        <f>IF($R1301="","",$AB1301)</f>
        <v/>
      </c>
    </row>
    <row r="1302">
      <c r="O1302">
        <f>1300</f>
        <v/>
      </c>
      <c r="P1302">
        <f>IF(TRIM('입력_구리근무자명단'!$A1300&amp;"")&lt;&gt;"",TRIM('입력_구리근무자명단'!$A1300&amp;""),P1301)</f>
        <v/>
      </c>
      <c r="Q1302">
        <f>'입력_구리근무자명단'!$B1300&amp;""</f>
        <v/>
      </c>
      <c r="R1302">
        <f>IF($E$2="","",TRIM(INDEX('입력_구리근무자명단'!$A1300:$ZZ1300,1,$E$2+IF($G$2="확정",1,0))&amp;""))</f>
        <v/>
      </c>
      <c r="S1302">
        <f>IF($R1302="","",IF(INDEX('입력_구리근무자명단'!$A1300:$ZZ1300,1,$E$2+2)&amp;""="",급여기준월,IF(ISNUMBER(INDEX('입력_구리근무자명단'!$A1300:$ZZ1300,1,$E$2+2)),INDEX('입력_구리근무자명단'!$A1300:$ZZ1300,1,$E$2+2),IFERROR(DATE(VALUE(LEFT(INDEX('입력_구리근무자명단'!$A1300:$ZZ1300,1,$E$2+2),4)),VALUE(MID(INDEX('입력_구리근무자명단'!$A1300:$ZZ1300,1,$E$2+2),6,2)),VALUE(MID(INDEX('입력_구리근무자명단'!$A1300:$ZZ1300,1,$E$2+2),9,2))),-1))))</f>
        <v/>
      </c>
      <c r="T1302">
        <f>IF($R1302="","",IF(INDEX('입력_구리근무자명단'!$A1300:$ZZ1300,1,$E$2+3)&amp;""="",EOMONTH(급여기준월,0),IF(ISNUMBER(INDEX('입력_구리근무자명단'!$A1300:$ZZ1300,1,$E$2+3)),INDEX('입력_구리근무자명단'!$A1300:$ZZ1300,1,$E$2+3),IFERROR(DATE(VALUE(LEFT(INDEX('입력_구리근무자명단'!$A1300:$ZZ1300,1,$E$2+3),4)),VALUE(MID(INDEX('입력_구리근무자명단'!$A1300:$ZZ1300,1,$E$2+3),6,2)),VALUE(MID(INDEX('입력_구리근무자명단'!$A1300:$ZZ1300,1,$E$2+3),9,2))),-1))))</f>
        <v/>
      </c>
      <c r="U1302">
        <f>IF($R1302="","",IF(OR($S1302&lt;0,$T1302&lt;0),0,MAX(0,MIN($T1302,EOMONTH(급여기준월,0))-MAX($S1302,급여기준월)+1)))</f>
        <v/>
      </c>
      <c r="V1302">
        <f>IF($R1302="","",TRIM(INDEX('입력_구리근무자명단'!$A1300:$ZZ1300,1,$E$2+5)&amp;""))</f>
        <v/>
      </c>
      <c r="W1302">
        <f>IF(ISNUMBER(SEARCH("구리독자",$V1302)),"구리독자","")</f>
        <v/>
      </c>
      <c r="X1302">
        <f>IF($R1302="","",$R1302&amp;"|"&amp;IF(OR($Q1302="인턴",ISNUMBER(SEARCH("수련교육부",$P1302))),"인턴",$P1302))</f>
        <v/>
      </c>
      <c r="Y1302">
        <f>IF($R1302="","",IF(COUNTIF(명단표[이름|과],$X1302)=1,"명단 일치",IF(AND(COUNTIF(명단표[이름|과],$X1302)=0,COUNTIF(명단표[이름],$R1302)=1),"명단 일치(이름만, 과 다름)",IF(COUNTIF(명단표[이름],$R1302)=0,IF(COUNTIF(기본자료표[이름],$R1302)&gt;0,"명단에 없음(기본자료에는 있음)","명단에 없음"),"동명이인 확인"))))</f>
        <v/>
      </c>
      <c r="Z1302">
        <f>IF($R1302="","",IF($S1302&lt;0,"⚠"&amp;INDEX('입력_구리근무자명단'!$A1300:$ZZ1300,1,$E$2+2),TEXT($S1302,"yyyy-mm-dd")))</f>
        <v/>
      </c>
      <c r="AA1302">
        <f>IF($R1302="","",IF($T1302&lt;0,"⚠"&amp;INDEX('입력_구리근무자명단'!$A1300:$ZZ1300,1,$E$2+3),TEXT($T1302,"yyyy-mm-dd")))</f>
        <v/>
      </c>
      <c r="AB1302">
        <f>AB1301+IF($R1302="",0,1)</f>
        <v/>
      </c>
      <c r="AC1302">
        <f>IF($R1302="","",$AB1302)</f>
        <v/>
      </c>
    </row>
    <row r="1303">
      <c r="O1303">
        <f>1301</f>
        <v/>
      </c>
      <c r="P1303">
        <f>IF(TRIM('입력_구리근무자명단'!$A1301&amp;"")&lt;&gt;"",TRIM('입력_구리근무자명단'!$A1301&amp;""),P1302)</f>
        <v/>
      </c>
      <c r="Q1303">
        <f>'입력_구리근무자명단'!$B1301&amp;""</f>
        <v/>
      </c>
      <c r="R1303">
        <f>IF($E$2="","",TRIM(INDEX('입력_구리근무자명단'!$A1301:$ZZ1301,1,$E$2+IF($G$2="확정",1,0))&amp;""))</f>
        <v/>
      </c>
      <c r="S1303">
        <f>IF($R1303="","",IF(INDEX('입력_구리근무자명단'!$A1301:$ZZ1301,1,$E$2+2)&amp;""="",급여기준월,IF(ISNUMBER(INDEX('입력_구리근무자명단'!$A1301:$ZZ1301,1,$E$2+2)),INDEX('입력_구리근무자명단'!$A1301:$ZZ1301,1,$E$2+2),IFERROR(DATE(VALUE(LEFT(INDEX('입력_구리근무자명단'!$A1301:$ZZ1301,1,$E$2+2),4)),VALUE(MID(INDEX('입력_구리근무자명단'!$A1301:$ZZ1301,1,$E$2+2),6,2)),VALUE(MID(INDEX('입력_구리근무자명단'!$A1301:$ZZ1301,1,$E$2+2),9,2))),-1))))</f>
        <v/>
      </c>
      <c r="T1303">
        <f>IF($R1303="","",IF(INDEX('입력_구리근무자명단'!$A1301:$ZZ1301,1,$E$2+3)&amp;""="",EOMONTH(급여기준월,0),IF(ISNUMBER(INDEX('입력_구리근무자명단'!$A1301:$ZZ1301,1,$E$2+3)),INDEX('입력_구리근무자명단'!$A1301:$ZZ1301,1,$E$2+3),IFERROR(DATE(VALUE(LEFT(INDEX('입력_구리근무자명단'!$A1301:$ZZ1301,1,$E$2+3),4)),VALUE(MID(INDEX('입력_구리근무자명단'!$A1301:$ZZ1301,1,$E$2+3),6,2)),VALUE(MID(INDEX('입력_구리근무자명단'!$A1301:$ZZ1301,1,$E$2+3),9,2))),-1))))</f>
        <v/>
      </c>
      <c r="U1303">
        <f>IF($R1303="","",IF(OR($S1303&lt;0,$T1303&lt;0),0,MAX(0,MIN($T1303,EOMONTH(급여기준월,0))-MAX($S1303,급여기준월)+1)))</f>
        <v/>
      </c>
      <c r="V1303">
        <f>IF($R1303="","",TRIM(INDEX('입력_구리근무자명단'!$A1301:$ZZ1301,1,$E$2+5)&amp;""))</f>
        <v/>
      </c>
      <c r="W1303">
        <f>IF(ISNUMBER(SEARCH("구리독자",$V1303)),"구리독자","")</f>
        <v/>
      </c>
      <c r="X1303">
        <f>IF($R1303="","",$R1303&amp;"|"&amp;IF(OR($Q1303="인턴",ISNUMBER(SEARCH("수련교육부",$P1303))),"인턴",$P1303))</f>
        <v/>
      </c>
      <c r="Y1303">
        <f>IF($R1303="","",IF(COUNTIF(명단표[이름|과],$X1303)=1,"명단 일치",IF(AND(COUNTIF(명단표[이름|과],$X1303)=0,COUNTIF(명단표[이름],$R1303)=1),"명단 일치(이름만, 과 다름)",IF(COUNTIF(명단표[이름],$R1303)=0,IF(COUNTIF(기본자료표[이름],$R1303)&gt;0,"명단에 없음(기본자료에는 있음)","명단에 없음"),"동명이인 확인"))))</f>
        <v/>
      </c>
      <c r="Z1303">
        <f>IF($R1303="","",IF($S1303&lt;0,"⚠"&amp;INDEX('입력_구리근무자명단'!$A1301:$ZZ1301,1,$E$2+2),TEXT($S1303,"yyyy-mm-dd")))</f>
        <v/>
      </c>
      <c r="AA1303">
        <f>IF($R1303="","",IF($T1303&lt;0,"⚠"&amp;INDEX('입력_구리근무자명단'!$A1301:$ZZ1301,1,$E$2+3),TEXT($T1303,"yyyy-mm-dd")))</f>
        <v/>
      </c>
      <c r="AB1303">
        <f>AB1302+IF($R1303="",0,1)</f>
        <v/>
      </c>
      <c r="AC1303">
        <f>IF($R1303="","",$AB1303)</f>
        <v/>
      </c>
    </row>
    <row r="1304">
      <c r="O1304">
        <f>1302</f>
        <v/>
      </c>
      <c r="P1304">
        <f>IF(TRIM('입력_구리근무자명단'!$A1302&amp;"")&lt;&gt;"",TRIM('입력_구리근무자명단'!$A1302&amp;""),P1303)</f>
        <v/>
      </c>
      <c r="Q1304">
        <f>'입력_구리근무자명단'!$B1302&amp;""</f>
        <v/>
      </c>
      <c r="R1304">
        <f>IF($E$2="","",TRIM(INDEX('입력_구리근무자명단'!$A1302:$ZZ1302,1,$E$2+IF($G$2="확정",1,0))&amp;""))</f>
        <v/>
      </c>
      <c r="S1304">
        <f>IF($R1304="","",IF(INDEX('입력_구리근무자명단'!$A1302:$ZZ1302,1,$E$2+2)&amp;""="",급여기준월,IF(ISNUMBER(INDEX('입력_구리근무자명단'!$A1302:$ZZ1302,1,$E$2+2)),INDEX('입력_구리근무자명단'!$A1302:$ZZ1302,1,$E$2+2),IFERROR(DATE(VALUE(LEFT(INDEX('입력_구리근무자명단'!$A1302:$ZZ1302,1,$E$2+2),4)),VALUE(MID(INDEX('입력_구리근무자명단'!$A1302:$ZZ1302,1,$E$2+2),6,2)),VALUE(MID(INDEX('입력_구리근무자명단'!$A1302:$ZZ1302,1,$E$2+2),9,2))),-1))))</f>
        <v/>
      </c>
      <c r="T1304">
        <f>IF($R1304="","",IF(INDEX('입력_구리근무자명단'!$A1302:$ZZ1302,1,$E$2+3)&amp;""="",EOMONTH(급여기준월,0),IF(ISNUMBER(INDEX('입력_구리근무자명단'!$A1302:$ZZ1302,1,$E$2+3)),INDEX('입력_구리근무자명단'!$A1302:$ZZ1302,1,$E$2+3),IFERROR(DATE(VALUE(LEFT(INDEX('입력_구리근무자명단'!$A1302:$ZZ1302,1,$E$2+3),4)),VALUE(MID(INDEX('입력_구리근무자명단'!$A1302:$ZZ1302,1,$E$2+3),6,2)),VALUE(MID(INDEX('입력_구리근무자명단'!$A1302:$ZZ1302,1,$E$2+3),9,2))),-1))))</f>
        <v/>
      </c>
      <c r="U1304">
        <f>IF($R1304="","",IF(OR($S1304&lt;0,$T1304&lt;0),0,MAX(0,MIN($T1304,EOMONTH(급여기준월,0))-MAX($S1304,급여기준월)+1)))</f>
        <v/>
      </c>
      <c r="V1304">
        <f>IF($R1304="","",TRIM(INDEX('입력_구리근무자명단'!$A1302:$ZZ1302,1,$E$2+5)&amp;""))</f>
        <v/>
      </c>
      <c r="W1304">
        <f>IF(ISNUMBER(SEARCH("구리독자",$V1304)),"구리독자","")</f>
        <v/>
      </c>
      <c r="X1304">
        <f>IF($R1304="","",$R1304&amp;"|"&amp;IF(OR($Q1304="인턴",ISNUMBER(SEARCH("수련교육부",$P1304))),"인턴",$P1304))</f>
        <v/>
      </c>
      <c r="Y1304">
        <f>IF($R1304="","",IF(COUNTIF(명단표[이름|과],$X1304)=1,"명단 일치",IF(AND(COUNTIF(명단표[이름|과],$X1304)=0,COUNTIF(명단표[이름],$R1304)=1),"명단 일치(이름만, 과 다름)",IF(COUNTIF(명단표[이름],$R1304)=0,IF(COUNTIF(기본자료표[이름],$R1304)&gt;0,"명단에 없음(기본자료에는 있음)","명단에 없음"),"동명이인 확인"))))</f>
        <v/>
      </c>
      <c r="Z1304">
        <f>IF($R1304="","",IF($S1304&lt;0,"⚠"&amp;INDEX('입력_구리근무자명단'!$A1302:$ZZ1302,1,$E$2+2),TEXT($S1304,"yyyy-mm-dd")))</f>
        <v/>
      </c>
      <c r="AA1304">
        <f>IF($R1304="","",IF($T1304&lt;0,"⚠"&amp;INDEX('입력_구리근무자명단'!$A1302:$ZZ1302,1,$E$2+3),TEXT($T1304,"yyyy-mm-dd")))</f>
        <v/>
      </c>
      <c r="AB1304">
        <f>AB1303+IF($R1304="",0,1)</f>
        <v/>
      </c>
      <c r="AC1304">
        <f>IF($R1304="","",$AB1304)</f>
        <v/>
      </c>
    </row>
    <row r="1305">
      <c r="O1305">
        <f>1303</f>
        <v/>
      </c>
      <c r="P1305">
        <f>IF(TRIM('입력_구리근무자명단'!$A1303&amp;"")&lt;&gt;"",TRIM('입력_구리근무자명단'!$A1303&amp;""),P1304)</f>
        <v/>
      </c>
      <c r="Q1305">
        <f>'입력_구리근무자명단'!$B1303&amp;""</f>
        <v/>
      </c>
      <c r="R1305">
        <f>IF($E$2="","",TRIM(INDEX('입력_구리근무자명단'!$A1303:$ZZ1303,1,$E$2+IF($G$2="확정",1,0))&amp;""))</f>
        <v/>
      </c>
      <c r="S1305">
        <f>IF($R1305="","",IF(INDEX('입력_구리근무자명단'!$A1303:$ZZ1303,1,$E$2+2)&amp;""="",급여기준월,IF(ISNUMBER(INDEX('입력_구리근무자명단'!$A1303:$ZZ1303,1,$E$2+2)),INDEX('입력_구리근무자명단'!$A1303:$ZZ1303,1,$E$2+2),IFERROR(DATE(VALUE(LEFT(INDEX('입력_구리근무자명단'!$A1303:$ZZ1303,1,$E$2+2),4)),VALUE(MID(INDEX('입력_구리근무자명단'!$A1303:$ZZ1303,1,$E$2+2),6,2)),VALUE(MID(INDEX('입력_구리근무자명단'!$A1303:$ZZ1303,1,$E$2+2),9,2))),-1))))</f>
        <v/>
      </c>
      <c r="T1305">
        <f>IF($R1305="","",IF(INDEX('입력_구리근무자명단'!$A1303:$ZZ1303,1,$E$2+3)&amp;""="",EOMONTH(급여기준월,0),IF(ISNUMBER(INDEX('입력_구리근무자명단'!$A1303:$ZZ1303,1,$E$2+3)),INDEX('입력_구리근무자명단'!$A1303:$ZZ1303,1,$E$2+3),IFERROR(DATE(VALUE(LEFT(INDEX('입력_구리근무자명단'!$A1303:$ZZ1303,1,$E$2+3),4)),VALUE(MID(INDEX('입력_구리근무자명단'!$A1303:$ZZ1303,1,$E$2+3),6,2)),VALUE(MID(INDEX('입력_구리근무자명단'!$A1303:$ZZ1303,1,$E$2+3),9,2))),-1))))</f>
        <v/>
      </c>
      <c r="U1305">
        <f>IF($R1305="","",IF(OR($S1305&lt;0,$T1305&lt;0),0,MAX(0,MIN($T1305,EOMONTH(급여기준월,0))-MAX($S1305,급여기준월)+1)))</f>
        <v/>
      </c>
      <c r="V1305">
        <f>IF($R1305="","",TRIM(INDEX('입력_구리근무자명단'!$A1303:$ZZ1303,1,$E$2+5)&amp;""))</f>
        <v/>
      </c>
      <c r="W1305">
        <f>IF(ISNUMBER(SEARCH("구리독자",$V1305)),"구리독자","")</f>
        <v/>
      </c>
      <c r="X1305">
        <f>IF($R1305="","",$R1305&amp;"|"&amp;IF(OR($Q1305="인턴",ISNUMBER(SEARCH("수련교육부",$P1305))),"인턴",$P1305))</f>
        <v/>
      </c>
      <c r="Y1305">
        <f>IF($R1305="","",IF(COUNTIF(명단표[이름|과],$X1305)=1,"명단 일치",IF(AND(COUNTIF(명단표[이름|과],$X1305)=0,COUNTIF(명단표[이름],$R1305)=1),"명단 일치(이름만, 과 다름)",IF(COUNTIF(명단표[이름],$R1305)=0,IF(COUNTIF(기본자료표[이름],$R1305)&gt;0,"명단에 없음(기본자료에는 있음)","명단에 없음"),"동명이인 확인"))))</f>
        <v/>
      </c>
      <c r="Z1305">
        <f>IF($R1305="","",IF($S1305&lt;0,"⚠"&amp;INDEX('입력_구리근무자명단'!$A1303:$ZZ1303,1,$E$2+2),TEXT($S1305,"yyyy-mm-dd")))</f>
        <v/>
      </c>
      <c r="AA1305">
        <f>IF($R1305="","",IF($T1305&lt;0,"⚠"&amp;INDEX('입력_구리근무자명단'!$A1303:$ZZ1303,1,$E$2+3),TEXT($T1305,"yyyy-mm-dd")))</f>
        <v/>
      </c>
      <c r="AB1305">
        <f>AB1304+IF($R1305="",0,1)</f>
        <v/>
      </c>
      <c r="AC1305">
        <f>IF($R1305="","",$AB1305)</f>
        <v/>
      </c>
    </row>
    <row r="1306">
      <c r="O1306">
        <f>1304</f>
        <v/>
      </c>
      <c r="P1306">
        <f>IF(TRIM('입력_구리근무자명단'!$A1304&amp;"")&lt;&gt;"",TRIM('입력_구리근무자명단'!$A1304&amp;""),P1305)</f>
        <v/>
      </c>
      <c r="Q1306">
        <f>'입력_구리근무자명단'!$B1304&amp;""</f>
        <v/>
      </c>
      <c r="R1306">
        <f>IF($E$2="","",TRIM(INDEX('입력_구리근무자명단'!$A1304:$ZZ1304,1,$E$2+IF($G$2="확정",1,0))&amp;""))</f>
        <v/>
      </c>
      <c r="S1306">
        <f>IF($R1306="","",IF(INDEX('입력_구리근무자명단'!$A1304:$ZZ1304,1,$E$2+2)&amp;""="",급여기준월,IF(ISNUMBER(INDEX('입력_구리근무자명단'!$A1304:$ZZ1304,1,$E$2+2)),INDEX('입력_구리근무자명단'!$A1304:$ZZ1304,1,$E$2+2),IFERROR(DATE(VALUE(LEFT(INDEX('입력_구리근무자명단'!$A1304:$ZZ1304,1,$E$2+2),4)),VALUE(MID(INDEX('입력_구리근무자명단'!$A1304:$ZZ1304,1,$E$2+2),6,2)),VALUE(MID(INDEX('입력_구리근무자명단'!$A1304:$ZZ1304,1,$E$2+2),9,2))),-1))))</f>
        <v/>
      </c>
      <c r="T1306">
        <f>IF($R1306="","",IF(INDEX('입력_구리근무자명단'!$A1304:$ZZ1304,1,$E$2+3)&amp;""="",EOMONTH(급여기준월,0),IF(ISNUMBER(INDEX('입력_구리근무자명단'!$A1304:$ZZ1304,1,$E$2+3)),INDEX('입력_구리근무자명단'!$A1304:$ZZ1304,1,$E$2+3),IFERROR(DATE(VALUE(LEFT(INDEX('입력_구리근무자명단'!$A1304:$ZZ1304,1,$E$2+3),4)),VALUE(MID(INDEX('입력_구리근무자명단'!$A1304:$ZZ1304,1,$E$2+3),6,2)),VALUE(MID(INDEX('입력_구리근무자명단'!$A1304:$ZZ1304,1,$E$2+3),9,2))),-1))))</f>
        <v/>
      </c>
      <c r="U1306">
        <f>IF($R1306="","",IF(OR($S1306&lt;0,$T1306&lt;0),0,MAX(0,MIN($T1306,EOMONTH(급여기준월,0))-MAX($S1306,급여기준월)+1)))</f>
        <v/>
      </c>
      <c r="V1306">
        <f>IF($R1306="","",TRIM(INDEX('입력_구리근무자명단'!$A1304:$ZZ1304,1,$E$2+5)&amp;""))</f>
        <v/>
      </c>
      <c r="W1306">
        <f>IF(ISNUMBER(SEARCH("구리독자",$V1306)),"구리독자","")</f>
        <v/>
      </c>
      <c r="X1306">
        <f>IF($R1306="","",$R1306&amp;"|"&amp;IF(OR($Q1306="인턴",ISNUMBER(SEARCH("수련교육부",$P1306))),"인턴",$P1306))</f>
        <v/>
      </c>
      <c r="Y1306">
        <f>IF($R1306="","",IF(COUNTIF(명단표[이름|과],$X1306)=1,"명단 일치",IF(AND(COUNTIF(명단표[이름|과],$X1306)=0,COUNTIF(명단표[이름],$R1306)=1),"명단 일치(이름만, 과 다름)",IF(COUNTIF(명단표[이름],$R1306)=0,IF(COUNTIF(기본자료표[이름],$R1306)&gt;0,"명단에 없음(기본자료에는 있음)","명단에 없음"),"동명이인 확인"))))</f>
        <v/>
      </c>
      <c r="Z1306">
        <f>IF($R1306="","",IF($S1306&lt;0,"⚠"&amp;INDEX('입력_구리근무자명단'!$A1304:$ZZ1304,1,$E$2+2),TEXT($S1306,"yyyy-mm-dd")))</f>
        <v/>
      </c>
      <c r="AA1306">
        <f>IF($R1306="","",IF($T1306&lt;0,"⚠"&amp;INDEX('입력_구리근무자명단'!$A1304:$ZZ1304,1,$E$2+3),TEXT($T1306,"yyyy-mm-dd")))</f>
        <v/>
      </c>
      <c r="AB1306">
        <f>AB1305+IF($R1306="",0,1)</f>
        <v/>
      </c>
      <c r="AC1306">
        <f>IF($R1306="","",$AB1306)</f>
        <v/>
      </c>
    </row>
    <row r="1307">
      <c r="O1307">
        <f>1305</f>
        <v/>
      </c>
      <c r="P1307">
        <f>IF(TRIM('입력_구리근무자명단'!$A1305&amp;"")&lt;&gt;"",TRIM('입력_구리근무자명단'!$A1305&amp;""),P1306)</f>
        <v/>
      </c>
      <c r="Q1307">
        <f>'입력_구리근무자명단'!$B1305&amp;""</f>
        <v/>
      </c>
      <c r="R1307">
        <f>IF($E$2="","",TRIM(INDEX('입력_구리근무자명단'!$A1305:$ZZ1305,1,$E$2+IF($G$2="확정",1,0))&amp;""))</f>
        <v/>
      </c>
      <c r="S1307">
        <f>IF($R1307="","",IF(INDEX('입력_구리근무자명단'!$A1305:$ZZ1305,1,$E$2+2)&amp;""="",급여기준월,IF(ISNUMBER(INDEX('입력_구리근무자명단'!$A1305:$ZZ1305,1,$E$2+2)),INDEX('입력_구리근무자명단'!$A1305:$ZZ1305,1,$E$2+2),IFERROR(DATE(VALUE(LEFT(INDEX('입력_구리근무자명단'!$A1305:$ZZ1305,1,$E$2+2),4)),VALUE(MID(INDEX('입력_구리근무자명단'!$A1305:$ZZ1305,1,$E$2+2),6,2)),VALUE(MID(INDEX('입력_구리근무자명단'!$A1305:$ZZ1305,1,$E$2+2),9,2))),-1))))</f>
        <v/>
      </c>
      <c r="T1307">
        <f>IF($R1307="","",IF(INDEX('입력_구리근무자명단'!$A1305:$ZZ1305,1,$E$2+3)&amp;""="",EOMONTH(급여기준월,0),IF(ISNUMBER(INDEX('입력_구리근무자명단'!$A1305:$ZZ1305,1,$E$2+3)),INDEX('입력_구리근무자명단'!$A1305:$ZZ1305,1,$E$2+3),IFERROR(DATE(VALUE(LEFT(INDEX('입력_구리근무자명단'!$A1305:$ZZ1305,1,$E$2+3),4)),VALUE(MID(INDEX('입력_구리근무자명단'!$A1305:$ZZ1305,1,$E$2+3),6,2)),VALUE(MID(INDEX('입력_구리근무자명단'!$A1305:$ZZ1305,1,$E$2+3),9,2))),-1))))</f>
        <v/>
      </c>
      <c r="U1307">
        <f>IF($R1307="","",IF(OR($S1307&lt;0,$T1307&lt;0),0,MAX(0,MIN($T1307,EOMONTH(급여기준월,0))-MAX($S1307,급여기준월)+1)))</f>
        <v/>
      </c>
      <c r="V1307">
        <f>IF($R1307="","",TRIM(INDEX('입력_구리근무자명단'!$A1305:$ZZ1305,1,$E$2+5)&amp;""))</f>
        <v/>
      </c>
      <c r="W1307">
        <f>IF(ISNUMBER(SEARCH("구리독자",$V1307)),"구리독자","")</f>
        <v/>
      </c>
      <c r="X1307">
        <f>IF($R1307="","",$R1307&amp;"|"&amp;IF(OR($Q1307="인턴",ISNUMBER(SEARCH("수련교육부",$P1307))),"인턴",$P1307))</f>
        <v/>
      </c>
      <c r="Y1307">
        <f>IF($R1307="","",IF(COUNTIF(명단표[이름|과],$X1307)=1,"명단 일치",IF(AND(COUNTIF(명단표[이름|과],$X1307)=0,COUNTIF(명단표[이름],$R1307)=1),"명단 일치(이름만, 과 다름)",IF(COUNTIF(명단표[이름],$R1307)=0,IF(COUNTIF(기본자료표[이름],$R1307)&gt;0,"명단에 없음(기본자료에는 있음)","명단에 없음"),"동명이인 확인"))))</f>
        <v/>
      </c>
      <c r="Z1307">
        <f>IF($R1307="","",IF($S1307&lt;0,"⚠"&amp;INDEX('입력_구리근무자명단'!$A1305:$ZZ1305,1,$E$2+2),TEXT($S1307,"yyyy-mm-dd")))</f>
        <v/>
      </c>
      <c r="AA1307">
        <f>IF($R1307="","",IF($T1307&lt;0,"⚠"&amp;INDEX('입력_구리근무자명단'!$A1305:$ZZ1305,1,$E$2+3),TEXT($T1307,"yyyy-mm-dd")))</f>
        <v/>
      </c>
      <c r="AB1307">
        <f>AB1306+IF($R1307="",0,1)</f>
        <v/>
      </c>
      <c r="AC1307">
        <f>IF($R1307="","",$AB1307)</f>
        <v/>
      </c>
    </row>
    <row r="1308">
      <c r="O1308">
        <f>1306</f>
        <v/>
      </c>
      <c r="P1308">
        <f>IF(TRIM('입력_구리근무자명단'!$A1306&amp;"")&lt;&gt;"",TRIM('입력_구리근무자명단'!$A1306&amp;""),P1307)</f>
        <v/>
      </c>
      <c r="Q1308">
        <f>'입력_구리근무자명단'!$B1306&amp;""</f>
        <v/>
      </c>
      <c r="R1308">
        <f>IF($E$2="","",TRIM(INDEX('입력_구리근무자명단'!$A1306:$ZZ1306,1,$E$2+IF($G$2="확정",1,0))&amp;""))</f>
        <v/>
      </c>
      <c r="S1308">
        <f>IF($R1308="","",IF(INDEX('입력_구리근무자명단'!$A1306:$ZZ1306,1,$E$2+2)&amp;""="",급여기준월,IF(ISNUMBER(INDEX('입력_구리근무자명단'!$A1306:$ZZ1306,1,$E$2+2)),INDEX('입력_구리근무자명단'!$A1306:$ZZ1306,1,$E$2+2),IFERROR(DATE(VALUE(LEFT(INDEX('입력_구리근무자명단'!$A1306:$ZZ1306,1,$E$2+2),4)),VALUE(MID(INDEX('입력_구리근무자명단'!$A1306:$ZZ1306,1,$E$2+2),6,2)),VALUE(MID(INDEX('입력_구리근무자명단'!$A1306:$ZZ1306,1,$E$2+2),9,2))),-1))))</f>
        <v/>
      </c>
      <c r="T1308">
        <f>IF($R1308="","",IF(INDEX('입력_구리근무자명단'!$A1306:$ZZ1306,1,$E$2+3)&amp;""="",EOMONTH(급여기준월,0),IF(ISNUMBER(INDEX('입력_구리근무자명단'!$A1306:$ZZ1306,1,$E$2+3)),INDEX('입력_구리근무자명단'!$A1306:$ZZ1306,1,$E$2+3),IFERROR(DATE(VALUE(LEFT(INDEX('입력_구리근무자명단'!$A1306:$ZZ1306,1,$E$2+3),4)),VALUE(MID(INDEX('입력_구리근무자명단'!$A1306:$ZZ1306,1,$E$2+3),6,2)),VALUE(MID(INDEX('입력_구리근무자명단'!$A1306:$ZZ1306,1,$E$2+3),9,2))),-1))))</f>
        <v/>
      </c>
      <c r="U1308">
        <f>IF($R1308="","",IF(OR($S1308&lt;0,$T1308&lt;0),0,MAX(0,MIN($T1308,EOMONTH(급여기준월,0))-MAX($S1308,급여기준월)+1)))</f>
        <v/>
      </c>
      <c r="V1308">
        <f>IF($R1308="","",TRIM(INDEX('입력_구리근무자명단'!$A1306:$ZZ1306,1,$E$2+5)&amp;""))</f>
        <v/>
      </c>
      <c r="W1308">
        <f>IF(ISNUMBER(SEARCH("구리독자",$V1308)),"구리독자","")</f>
        <v/>
      </c>
      <c r="X1308">
        <f>IF($R1308="","",$R1308&amp;"|"&amp;IF(OR($Q1308="인턴",ISNUMBER(SEARCH("수련교육부",$P1308))),"인턴",$P1308))</f>
        <v/>
      </c>
      <c r="Y1308">
        <f>IF($R1308="","",IF(COUNTIF(명단표[이름|과],$X1308)=1,"명단 일치",IF(AND(COUNTIF(명단표[이름|과],$X1308)=0,COUNTIF(명단표[이름],$R1308)=1),"명단 일치(이름만, 과 다름)",IF(COUNTIF(명단표[이름],$R1308)=0,IF(COUNTIF(기본자료표[이름],$R1308)&gt;0,"명단에 없음(기본자료에는 있음)","명단에 없음"),"동명이인 확인"))))</f>
        <v/>
      </c>
      <c r="Z1308">
        <f>IF($R1308="","",IF($S1308&lt;0,"⚠"&amp;INDEX('입력_구리근무자명단'!$A1306:$ZZ1306,1,$E$2+2),TEXT($S1308,"yyyy-mm-dd")))</f>
        <v/>
      </c>
      <c r="AA1308">
        <f>IF($R1308="","",IF($T1308&lt;0,"⚠"&amp;INDEX('입력_구리근무자명단'!$A1306:$ZZ1306,1,$E$2+3),TEXT($T1308,"yyyy-mm-dd")))</f>
        <v/>
      </c>
      <c r="AB1308">
        <f>AB1307+IF($R1308="",0,1)</f>
        <v/>
      </c>
      <c r="AC1308">
        <f>IF($R1308="","",$AB1308)</f>
        <v/>
      </c>
    </row>
    <row r="1309">
      <c r="O1309">
        <f>1307</f>
        <v/>
      </c>
      <c r="P1309">
        <f>IF(TRIM('입력_구리근무자명단'!$A1307&amp;"")&lt;&gt;"",TRIM('입력_구리근무자명단'!$A1307&amp;""),P1308)</f>
        <v/>
      </c>
      <c r="Q1309">
        <f>'입력_구리근무자명단'!$B1307&amp;""</f>
        <v/>
      </c>
      <c r="R1309">
        <f>IF($E$2="","",TRIM(INDEX('입력_구리근무자명단'!$A1307:$ZZ1307,1,$E$2+IF($G$2="확정",1,0))&amp;""))</f>
        <v/>
      </c>
      <c r="S1309">
        <f>IF($R1309="","",IF(INDEX('입력_구리근무자명단'!$A1307:$ZZ1307,1,$E$2+2)&amp;""="",급여기준월,IF(ISNUMBER(INDEX('입력_구리근무자명단'!$A1307:$ZZ1307,1,$E$2+2)),INDEX('입력_구리근무자명단'!$A1307:$ZZ1307,1,$E$2+2),IFERROR(DATE(VALUE(LEFT(INDEX('입력_구리근무자명단'!$A1307:$ZZ1307,1,$E$2+2),4)),VALUE(MID(INDEX('입력_구리근무자명단'!$A1307:$ZZ1307,1,$E$2+2),6,2)),VALUE(MID(INDEX('입력_구리근무자명단'!$A1307:$ZZ1307,1,$E$2+2),9,2))),-1))))</f>
        <v/>
      </c>
      <c r="T1309">
        <f>IF($R1309="","",IF(INDEX('입력_구리근무자명단'!$A1307:$ZZ1307,1,$E$2+3)&amp;""="",EOMONTH(급여기준월,0),IF(ISNUMBER(INDEX('입력_구리근무자명단'!$A1307:$ZZ1307,1,$E$2+3)),INDEX('입력_구리근무자명단'!$A1307:$ZZ1307,1,$E$2+3),IFERROR(DATE(VALUE(LEFT(INDEX('입력_구리근무자명단'!$A1307:$ZZ1307,1,$E$2+3),4)),VALUE(MID(INDEX('입력_구리근무자명단'!$A1307:$ZZ1307,1,$E$2+3),6,2)),VALUE(MID(INDEX('입력_구리근무자명단'!$A1307:$ZZ1307,1,$E$2+3),9,2))),-1))))</f>
        <v/>
      </c>
      <c r="U1309">
        <f>IF($R1309="","",IF(OR($S1309&lt;0,$T1309&lt;0),0,MAX(0,MIN($T1309,EOMONTH(급여기준월,0))-MAX($S1309,급여기준월)+1)))</f>
        <v/>
      </c>
      <c r="V1309">
        <f>IF($R1309="","",TRIM(INDEX('입력_구리근무자명단'!$A1307:$ZZ1307,1,$E$2+5)&amp;""))</f>
        <v/>
      </c>
      <c r="W1309">
        <f>IF(ISNUMBER(SEARCH("구리독자",$V1309)),"구리독자","")</f>
        <v/>
      </c>
      <c r="X1309">
        <f>IF($R1309="","",$R1309&amp;"|"&amp;IF(OR($Q1309="인턴",ISNUMBER(SEARCH("수련교육부",$P1309))),"인턴",$P1309))</f>
        <v/>
      </c>
      <c r="Y1309">
        <f>IF($R1309="","",IF(COUNTIF(명단표[이름|과],$X1309)=1,"명단 일치",IF(AND(COUNTIF(명단표[이름|과],$X1309)=0,COUNTIF(명단표[이름],$R1309)=1),"명단 일치(이름만, 과 다름)",IF(COUNTIF(명단표[이름],$R1309)=0,IF(COUNTIF(기본자료표[이름],$R1309)&gt;0,"명단에 없음(기본자료에는 있음)","명단에 없음"),"동명이인 확인"))))</f>
        <v/>
      </c>
      <c r="Z1309">
        <f>IF($R1309="","",IF($S1309&lt;0,"⚠"&amp;INDEX('입력_구리근무자명단'!$A1307:$ZZ1307,1,$E$2+2),TEXT($S1309,"yyyy-mm-dd")))</f>
        <v/>
      </c>
      <c r="AA1309">
        <f>IF($R1309="","",IF($T1309&lt;0,"⚠"&amp;INDEX('입력_구리근무자명단'!$A1307:$ZZ1307,1,$E$2+3),TEXT($T1309,"yyyy-mm-dd")))</f>
        <v/>
      </c>
      <c r="AB1309">
        <f>AB1308+IF($R1309="",0,1)</f>
        <v/>
      </c>
      <c r="AC1309">
        <f>IF($R1309="","",$AB1309)</f>
        <v/>
      </c>
    </row>
    <row r="1310">
      <c r="O1310">
        <f>1308</f>
        <v/>
      </c>
      <c r="P1310">
        <f>IF(TRIM('입력_구리근무자명단'!$A1308&amp;"")&lt;&gt;"",TRIM('입력_구리근무자명단'!$A1308&amp;""),P1309)</f>
        <v/>
      </c>
      <c r="Q1310">
        <f>'입력_구리근무자명단'!$B1308&amp;""</f>
        <v/>
      </c>
      <c r="R1310">
        <f>IF($E$2="","",TRIM(INDEX('입력_구리근무자명단'!$A1308:$ZZ1308,1,$E$2+IF($G$2="확정",1,0))&amp;""))</f>
        <v/>
      </c>
      <c r="S1310">
        <f>IF($R1310="","",IF(INDEX('입력_구리근무자명단'!$A1308:$ZZ1308,1,$E$2+2)&amp;""="",급여기준월,IF(ISNUMBER(INDEX('입력_구리근무자명단'!$A1308:$ZZ1308,1,$E$2+2)),INDEX('입력_구리근무자명단'!$A1308:$ZZ1308,1,$E$2+2),IFERROR(DATE(VALUE(LEFT(INDEX('입력_구리근무자명단'!$A1308:$ZZ1308,1,$E$2+2),4)),VALUE(MID(INDEX('입력_구리근무자명단'!$A1308:$ZZ1308,1,$E$2+2),6,2)),VALUE(MID(INDEX('입력_구리근무자명단'!$A1308:$ZZ1308,1,$E$2+2),9,2))),-1))))</f>
        <v/>
      </c>
      <c r="T1310">
        <f>IF($R1310="","",IF(INDEX('입력_구리근무자명단'!$A1308:$ZZ1308,1,$E$2+3)&amp;""="",EOMONTH(급여기준월,0),IF(ISNUMBER(INDEX('입력_구리근무자명단'!$A1308:$ZZ1308,1,$E$2+3)),INDEX('입력_구리근무자명단'!$A1308:$ZZ1308,1,$E$2+3),IFERROR(DATE(VALUE(LEFT(INDEX('입력_구리근무자명단'!$A1308:$ZZ1308,1,$E$2+3),4)),VALUE(MID(INDEX('입력_구리근무자명단'!$A1308:$ZZ1308,1,$E$2+3),6,2)),VALUE(MID(INDEX('입력_구리근무자명단'!$A1308:$ZZ1308,1,$E$2+3),9,2))),-1))))</f>
        <v/>
      </c>
      <c r="U1310">
        <f>IF($R1310="","",IF(OR($S1310&lt;0,$T1310&lt;0),0,MAX(0,MIN($T1310,EOMONTH(급여기준월,0))-MAX($S1310,급여기준월)+1)))</f>
        <v/>
      </c>
      <c r="V1310">
        <f>IF($R1310="","",TRIM(INDEX('입력_구리근무자명단'!$A1308:$ZZ1308,1,$E$2+5)&amp;""))</f>
        <v/>
      </c>
      <c r="W1310">
        <f>IF(ISNUMBER(SEARCH("구리독자",$V1310)),"구리독자","")</f>
        <v/>
      </c>
      <c r="X1310">
        <f>IF($R1310="","",$R1310&amp;"|"&amp;IF(OR($Q1310="인턴",ISNUMBER(SEARCH("수련교육부",$P1310))),"인턴",$P1310))</f>
        <v/>
      </c>
      <c r="Y1310">
        <f>IF($R1310="","",IF(COUNTIF(명단표[이름|과],$X1310)=1,"명단 일치",IF(AND(COUNTIF(명단표[이름|과],$X1310)=0,COUNTIF(명단표[이름],$R1310)=1),"명단 일치(이름만, 과 다름)",IF(COUNTIF(명단표[이름],$R1310)=0,IF(COUNTIF(기본자료표[이름],$R1310)&gt;0,"명단에 없음(기본자료에는 있음)","명단에 없음"),"동명이인 확인"))))</f>
        <v/>
      </c>
      <c r="Z1310">
        <f>IF($R1310="","",IF($S1310&lt;0,"⚠"&amp;INDEX('입력_구리근무자명단'!$A1308:$ZZ1308,1,$E$2+2),TEXT($S1310,"yyyy-mm-dd")))</f>
        <v/>
      </c>
      <c r="AA1310">
        <f>IF($R1310="","",IF($T1310&lt;0,"⚠"&amp;INDEX('입력_구리근무자명단'!$A1308:$ZZ1308,1,$E$2+3),TEXT($T1310,"yyyy-mm-dd")))</f>
        <v/>
      </c>
      <c r="AB1310">
        <f>AB1309+IF($R1310="",0,1)</f>
        <v/>
      </c>
      <c r="AC1310">
        <f>IF($R1310="","",$AB1310)</f>
        <v/>
      </c>
    </row>
    <row r="1311">
      <c r="O1311">
        <f>1309</f>
        <v/>
      </c>
      <c r="P1311">
        <f>IF(TRIM('입력_구리근무자명단'!$A1309&amp;"")&lt;&gt;"",TRIM('입력_구리근무자명단'!$A1309&amp;""),P1310)</f>
        <v/>
      </c>
      <c r="Q1311">
        <f>'입력_구리근무자명단'!$B1309&amp;""</f>
        <v/>
      </c>
      <c r="R1311">
        <f>IF($E$2="","",TRIM(INDEX('입력_구리근무자명단'!$A1309:$ZZ1309,1,$E$2+IF($G$2="확정",1,0))&amp;""))</f>
        <v/>
      </c>
      <c r="S1311">
        <f>IF($R1311="","",IF(INDEX('입력_구리근무자명단'!$A1309:$ZZ1309,1,$E$2+2)&amp;""="",급여기준월,IF(ISNUMBER(INDEX('입력_구리근무자명단'!$A1309:$ZZ1309,1,$E$2+2)),INDEX('입력_구리근무자명단'!$A1309:$ZZ1309,1,$E$2+2),IFERROR(DATE(VALUE(LEFT(INDEX('입력_구리근무자명단'!$A1309:$ZZ1309,1,$E$2+2),4)),VALUE(MID(INDEX('입력_구리근무자명단'!$A1309:$ZZ1309,1,$E$2+2),6,2)),VALUE(MID(INDEX('입력_구리근무자명단'!$A1309:$ZZ1309,1,$E$2+2),9,2))),-1))))</f>
        <v/>
      </c>
      <c r="T1311">
        <f>IF($R1311="","",IF(INDEX('입력_구리근무자명단'!$A1309:$ZZ1309,1,$E$2+3)&amp;""="",EOMONTH(급여기준월,0),IF(ISNUMBER(INDEX('입력_구리근무자명단'!$A1309:$ZZ1309,1,$E$2+3)),INDEX('입력_구리근무자명단'!$A1309:$ZZ1309,1,$E$2+3),IFERROR(DATE(VALUE(LEFT(INDEX('입력_구리근무자명단'!$A1309:$ZZ1309,1,$E$2+3),4)),VALUE(MID(INDEX('입력_구리근무자명단'!$A1309:$ZZ1309,1,$E$2+3),6,2)),VALUE(MID(INDEX('입력_구리근무자명단'!$A1309:$ZZ1309,1,$E$2+3),9,2))),-1))))</f>
        <v/>
      </c>
      <c r="U1311">
        <f>IF($R1311="","",IF(OR($S1311&lt;0,$T1311&lt;0),0,MAX(0,MIN($T1311,EOMONTH(급여기준월,0))-MAX($S1311,급여기준월)+1)))</f>
        <v/>
      </c>
      <c r="V1311">
        <f>IF($R1311="","",TRIM(INDEX('입력_구리근무자명단'!$A1309:$ZZ1309,1,$E$2+5)&amp;""))</f>
        <v/>
      </c>
      <c r="W1311">
        <f>IF(ISNUMBER(SEARCH("구리독자",$V1311)),"구리독자","")</f>
        <v/>
      </c>
      <c r="X1311">
        <f>IF($R1311="","",$R1311&amp;"|"&amp;IF(OR($Q1311="인턴",ISNUMBER(SEARCH("수련교육부",$P1311))),"인턴",$P1311))</f>
        <v/>
      </c>
      <c r="Y1311">
        <f>IF($R1311="","",IF(COUNTIF(명단표[이름|과],$X1311)=1,"명단 일치",IF(AND(COUNTIF(명단표[이름|과],$X1311)=0,COUNTIF(명단표[이름],$R1311)=1),"명단 일치(이름만, 과 다름)",IF(COUNTIF(명단표[이름],$R1311)=0,IF(COUNTIF(기본자료표[이름],$R1311)&gt;0,"명단에 없음(기본자료에는 있음)","명단에 없음"),"동명이인 확인"))))</f>
        <v/>
      </c>
      <c r="Z1311">
        <f>IF($R1311="","",IF($S1311&lt;0,"⚠"&amp;INDEX('입력_구리근무자명단'!$A1309:$ZZ1309,1,$E$2+2),TEXT($S1311,"yyyy-mm-dd")))</f>
        <v/>
      </c>
      <c r="AA1311">
        <f>IF($R1311="","",IF($T1311&lt;0,"⚠"&amp;INDEX('입력_구리근무자명단'!$A1309:$ZZ1309,1,$E$2+3),TEXT($T1311,"yyyy-mm-dd")))</f>
        <v/>
      </c>
      <c r="AB1311">
        <f>AB1310+IF($R1311="",0,1)</f>
        <v/>
      </c>
      <c r="AC1311">
        <f>IF($R1311="","",$AB1311)</f>
        <v/>
      </c>
    </row>
    <row r="1312">
      <c r="O1312">
        <f>1310</f>
        <v/>
      </c>
      <c r="P1312">
        <f>IF(TRIM('입력_구리근무자명단'!$A1310&amp;"")&lt;&gt;"",TRIM('입력_구리근무자명단'!$A1310&amp;""),P1311)</f>
        <v/>
      </c>
      <c r="Q1312">
        <f>'입력_구리근무자명단'!$B1310&amp;""</f>
        <v/>
      </c>
      <c r="R1312">
        <f>IF($E$2="","",TRIM(INDEX('입력_구리근무자명단'!$A1310:$ZZ1310,1,$E$2+IF($G$2="확정",1,0))&amp;""))</f>
        <v/>
      </c>
      <c r="S1312">
        <f>IF($R1312="","",IF(INDEX('입력_구리근무자명단'!$A1310:$ZZ1310,1,$E$2+2)&amp;""="",급여기준월,IF(ISNUMBER(INDEX('입력_구리근무자명단'!$A1310:$ZZ1310,1,$E$2+2)),INDEX('입력_구리근무자명단'!$A1310:$ZZ1310,1,$E$2+2),IFERROR(DATE(VALUE(LEFT(INDEX('입력_구리근무자명단'!$A1310:$ZZ1310,1,$E$2+2),4)),VALUE(MID(INDEX('입력_구리근무자명단'!$A1310:$ZZ1310,1,$E$2+2),6,2)),VALUE(MID(INDEX('입력_구리근무자명단'!$A1310:$ZZ1310,1,$E$2+2),9,2))),-1))))</f>
        <v/>
      </c>
      <c r="T1312">
        <f>IF($R1312="","",IF(INDEX('입력_구리근무자명단'!$A1310:$ZZ1310,1,$E$2+3)&amp;""="",EOMONTH(급여기준월,0),IF(ISNUMBER(INDEX('입력_구리근무자명단'!$A1310:$ZZ1310,1,$E$2+3)),INDEX('입력_구리근무자명단'!$A1310:$ZZ1310,1,$E$2+3),IFERROR(DATE(VALUE(LEFT(INDEX('입력_구리근무자명단'!$A1310:$ZZ1310,1,$E$2+3),4)),VALUE(MID(INDEX('입력_구리근무자명단'!$A1310:$ZZ1310,1,$E$2+3),6,2)),VALUE(MID(INDEX('입력_구리근무자명단'!$A1310:$ZZ1310,1,$E$2+3),9,2))),-1))))</f>
        <v/>
      </c>
      <c r="U1312">
        <f>IF($R1312="","",IF(OR($S1312&lt;0,$T1312&lt;0),0,MAX(0,MIN($T1312,EOMONTH(급여기준월,0))-MAX($S1312,급여기준월)+1)))</f>
        <v/>
      </c>
      <c r="V1312">
        <f>IF($R1312="","",TRIM(INDEX('입력_구리근무자명단'!$A1310:$ZZ1310,1,$E$2+5)&amp;""))</f>
        <v/>
      </c>
      <c r="W1312">
        <f>IF(ISNUMBER(SEARCH("구리독자",$V1312)),"구리독자","")</f>
        <v/>
      </c>
      <c r="X1312">
        <f>IF($R1312="","",$R1312&amp;"|"&amp;IF(OR($Q1312="인턴",ISNUMBER(SEARCH("수련교육부",$P1312))),"인턴",$P1312))</f>
        <v/>
      </c>
      <c r="Y1312">
        <f>IF($R1312="","",IF(COUNTIF(명단표[이름|과],$X1312)=1,"명단 일치",IF(AND(COUNTIF(명단표[이름|과],$X1312)=0,COUNTIF(명단표[이름],$R1312)=1),"명단 일치(이름만, 과 다름)",IF(COUNTIF(명단표[이름],$R1312)=0,IF(COUNTIF(기본자료표[이름],$R1312)&gt;0,"명단에 없음(기본자료에는 있음)","명단에 없음"),"동명이인 확인"))))</f>
        <v/>
      </c>
      <c r="Z1312">
        <f>IF($R1312="","",IF($S1312&lt;0,"⚠"&amp;INDEX('입력_구리근무자명단'!$A1310:$ZZ1310,1,$E$2+2),TEXT($S1312,"yyyy-mm-dd")))</f>
        <v/>
      </c>
      <c r="AA1312">
        <f>IF($R1312="","",IF($T1312&lt;0,"⚠"&amp;INDEX('입력_구리근무자명단'!$A1310:$ZZ1310,1,$E$2+3),TEXT($T1312,"yyyy-mm-dd")))</f>
        <v/>
      </c>
      <c r="AB1312">
        <f>AB1311+IF($R1312="",0,1)</f>
        <v/>
      </c>
      <c r="AC1312">
        <f>IF($R1312="","",$AB1312)</f>
        <v/>
      </c>
    </row>
    <row r="1313">
      <c r="O1313">
        <f>1311</f>
        <v/>
      </c>
      <c r="P1313">
        <f>IF(TRIM('입력_구리근무자명단'!$A1311&amp;"")&lt;&gt;"",TRIM('입력_구리근무자명단'!$A1311&amp;""),P1312)</f>
        <v/>
      </c>
      <c r="Q1313">
        <f>'입력_구리근무자명단'!$B1311&amp;""</f>
        <v/>
      </c>
      <c r="R1313">
        <f>IF($E$2="","",TRIM(INDEX('입력_구리근무자명단'!$A1311:$ZZ1311,1,$E$2+IF($G$2="확정",1,0))&amp;""))</f>
        <v/>
      </c>
      <c r="S1313">
        <f>IF($R1313="","",IF(INDEX('입력_구리근무자명단'!$A1311:$ZZ1311,1,$E$2+2)&amp;""="",급여기준월,IF(ISNUMBER(INDEX('입력_구리근무자명단'!$A1311:$ZZ1311,1,$E$2+2)),INDEX('입력_구리근무자명단'!$A1311:$ZZ1311,1,$E$2+2),IFERROR(DATE(VALUE(LEFT(INDEX('입력_구리근무자명단'!$A1311:$ZZ1311,1,$E$2+2),4)),VALUE(MID(INDEX('입력_구리근무자명단'!$A1311:$ZZ1311,1,$E$2+2),6,2)),VALUE(MID(INDEX('입력_구리근무자명단'!$A1311:$ZZ1311,1,$E$2+2),9,2))),-1))))</f>
        <v/>
      </c>
      <c r="T1313">
        <f>IF($R1313="","",IF(INDEX('입력_구리근무자명단'!$A1311:$ZZ1311,1,$E$2+3)&amp;""="",EOMONTH(급여기준월,0),IF(ISNUMBER(INDEX('입력_구리근무자명단'!$A1311:$ZZ1311,1,$E$2+3)),INDEX('입력_구리근무자명단'!$A1311:$ZZ1311,1,$E$2+3),IFERROR(DATE(VALUE(LEFT(INDEX('입력_구리근무자명단'!$A1311:$ZZ1311,1,$E$2+3),4)),VALUE(MID(INDEX('입력_구리근무자명단'!$A1311:$ZZ1311,1,$E$2+3),6,2)),VALUE(MID(INDEX('입력_구리근무자명단'!$A1311:$ZZ1311,1,$E$2+3),9,2))),-1))))</f>
        <v/>
      </c>
      <c r="U1313">
        <f>IF($R1313="","",IF(OR($S1313&lt;0,$T1313&lt;0),0,MAX(0,MIN($T1313,EOMONTH(급여기준월,0))-MAX($S1313,급여기준월)+1)))</f>
        <v/>
      </c>
      <c r="V1313">
        <f>IF($R1313="","",TRIM(INDEX('입력_구리근무자명단'!$A1311:$ZZ1311,1,$E$2+5)&amp;""))</f>
        <v/>
      </c>
      <c r="W1313">
        <f>IF(ISNUMBER(SEARCH("구리독자",$V1313)),"구리독자","")</f>
        <v/>
      </c>
      <c r="X1313">
        <f>IF($R1313="","",$R1313&amp;"|"&amp;IF(OR($Q1313="인턴",ISNUMBER(SEARCH("수련교육부",$P1313))),"인턴",$P1313))</f>
        <v/>
      </c>
      <c r="Y1313">
        <f>IF($R1313="","",IF(COUNTIF(명단표[이름|과],$X1313)=1,"명단 일치",IF(AND(COUNTIF(명단표[이름|과],$X1313)=0,COUNTIF(명단표[이름],$R1313)=1),"명단 일치(이름만, 과 다름)",IF(COUNTIF(명단표[이름],$R1313)=0,IF(COUNTIF(기본자료표[이름],$R1313)&gt;0,"명단에 없음(기본자료에는 있음)","명단에 없음"),"동명이인 확인"))))</f>
        <v/>
      </c>
      <c r="Z1313">
        <f>IF($R1313="","",IF($S1313&lt;0,"⚠"&amp;INDEX('입력_구리근무자명단'!$A1311:$ZZ1311,1,$E$2+2),TEXT($S1313,"yyyy-mm-dd")))</f>
        <v/>
      </c>
      <c r="AA1313">
        <f>IF($R1313="","",IF($T1313&lt;0,"⚠"&amp;INDEX('입력_구리근무자명단'!$A1311:$ZZ1311,1,$E$2+3),TEXT($T1313,"yyyy-mm-dd")))</f>
        <v/>
      </c>
      <c r="AB1313">
        <f>AB1312+IF($R1313="",0,1)</f>
        <v/>
      </c>
      <c r="AC1313">
        <f>IF($R1313="","",$AB1313)</f>
        <v/>
      </c>
    </row>
    <row r="1314">
      <c r="O1314">
        <f>1312</f>
        <v/>
      </c>
      <c r="P1314">
        <f>IF(TRIM('입력_구리근무자명단'!$A1312&amp;"")&lt;&gt;"",TRIM('입력_구리근무자명단'!$A1312&amp;""),P1313)</f>
        <v/>
      </c>
      <c r="Q1314">
        <f>'입력_구리근무자명단'!$B1312&amp;""</f>
        <v/>
      </c>
      <c r="R1314">
        <f>IF($E$2="","",TRIM(INDEX('입력_구리근무자명단'!$A1312:$ZZ1312,1,$E$2+IF($G$2="확정",1,0))&amp;""))</f>
        <v/>
      </c>
      <c r="S1314">
        <f>IF($R1314="","",IF(INDEX('입력_구리근무자명단'!$A1312:$ZZ1312,1,$E$2+2)&amp;""="",급여기준월,IF(ISNUMBER(INDEX('입력_구리근무자명단'!$A1312:$ZZ1312,1,$E$2+2)),INDEX('입력_구리근무자명단'!$A1312:$ZZ1312,1,$E$2+2),IFERROR(DATE(VALUE(LEFT(INDEX('입력_구리근무자명단'!$A1312:$ZZ1312,1,$E$2+2),4)),VALUE(MID(INDEX('입력_구리근무자명단'!$A1312:$ZZ1312,1,$E$2+2),6,2)),VALUE(MID(INDEX('입력_구리근무자명단'!$A1312:$ZZ1312,1,$E$2+2),9,2))),-1))))</f>
        <v/>
      </c>
      <c r="T1314">
        <f>IF($R1314="","",IF(INDEX('입력_구리근무자명단'!$A1312:$ZZ1312,1,$E$2+3)&amp;""="",EOMONTH(급여기준월,0),IF(ISNUMBER(INDEX('입력_구리근무자명단'!$A1312:$ZZ1312,1,$E$2+3)),INDEX('입력_구리근무자명단'!$A1312:$ZZ1312,1,$E$2+3),IFERROR(DATE(VALUE(LEFT(INDEX('입력_구리근무자명단'!$A1312:$ZZ1312,1,$E$2+3),4)),VALUE(MID(INDEX('입력_구리근무자명단'!$A1312:$ZZ1312,1,$E$2+3),6,2)),VALUE(MID(INDEX('입력_구리근무자명단'!$A1312:$ZZ1312,1,$E$2+3),9,2))),-1))))</f>
        <v/>
      </c>
      <c r="U1314">
        <f>IF($R1314="","",IF(OR($S1314&lt;0,$T1314&lt;0),0,MAX(0,MIN($T1314,EOMONTH(급여기준월,0))-MAX($S1314,급여기준월)+1)))</f>
        <v/>
      </c>
      <c r="V1314">
        <f>IF($R1314="","",TRIM(INDEX('입력_구리근무자명단'!$A1312:$ZZ1312,1,$E$2+5)&amp;""))</f>
        <v/>
      </c>
      <c r="W1314">
        <f>IF(ISNUMBER(SEARCH("구리독자",$V1314)),"구리독자","")</f>
        <v/>
      </c>
      <c r="X1314">
        <f>IF($R1314="","",$R1314&amp;"|"&amp;IF(OR($Q1314="인턴",ISNUMBER(SEARCH("수련교육부",$P1314))),"인턴",$P1314))</f>
        <v/>
      </c>
      <c r="Y1314">
        <f>IF($R1314="","",IF(COUNTIF(명단표[이름|과],$X1314)=1,"명단 일치",IF(AND(COUNTIF(명단표[이름|과],$X1314)=0,COUNTIF(명단표[이름],$R1314)=1),"명단 일치(이름만, 과 다름)",IF(COUNTIF(명단표[이름],$R1314)=0,IF(COUNTIF(기본자료표[이름],$R1314)&gt;0,"명단에 없음(기본자료에는 있음)","명단에 없음"),"동명이인 확인"))))</f>
        <v/>
      </c>
      <c r="Z1314">
        <f>IF($R1314="","",IF($S1314&lt;0,"⚠"&amp;INDEX('입력_구리근무자명단'!$A1312:$ZZ1312,1,$E$2+2),TEXT($S1314,"yyyy-mm-dd")))</f>
        <v/>
      </c>
      <c r="AA1314">
        <f>IF($R1314="","",IF($T1314&lt;0,"⚠"&amp;INDEX('입력_구리근무자명단'!$A1312:$ZZ1312,1,$E$2+3),TEXT($T1314,"yyyy-mm-dd")))</f>
        <v/>
      </c>
      <c r="AB1314">
        <f>AB1313+IF($R1314="",0,1)</f>
        <v/>
      </c>
      <c r="AC1314">
        <f>IF($R1314="","",$AB1314)</f>
        <v/>
      </c>
    </row>
    <row r="1315">
      <c r="O1315">
        <f>1313</f>
        <v/>
      </c>
      <c r="P1315">
        <f>IF(TRIM('입력_구리근무자명단'!$A1313&amp;"")&lt;&gt;"",TRIM('입력_구리근무자명단'!$A1313&amp;""),P1314)</f>
        <v/>
      </c>
      <c r="Q1315">
        <f>'입력_구리근무자명단'!$B1313&amp;""</f>
        <v/>
      </c>
      <c r="R1315">
        <f>IF($E$2="","",TRIM(INDEX('입력_구리근무자명단'!$A1313:$ZZ1313,1,$E$2+IF($G$2="확정",1,0))&amp;""))</f>
        <v/>
      </c>
      <c r="S1315">
        <f>IF($R1315="","",IF(INDEX('입력_구리근무자명단'!$A1313:$ZZ1313,1,$E$2+2)&amp;""="",급여기준월,IF(ISNUMBER(INDEX('입력_구리근무자명단'!$A1313:$ZZ1313,1,$E$2+2)),INDEX('입력_구리근무자명단'!$A1313:$ZZ1313,1,$E$2+2),IFERROR(DATE(VALUE(LEFT(INDEX('입력_구리근무자명단'!$A1313:$ZZ1313,1,$E$2+2),4)),VALUE(MID(INDEX('입력_구리근무자명단'!$A1313:$ZZ1313,1,$E$2+2),6,2)),VALUE(MID(INDEX('입력_구리근무자명단'!$A1313:$ZZ1313,1,$E$2+2),9,2))),-1))))</f>
        <v/>
      </c>
      <c r="T1315">
        <f>IF($R1315="","",IF(INDEX('입력_구리근무자명단'!$A1313:$ZZ1313,1,$E$2+3)&amp;""="",EOMONTH(급여기준월,0),IF(ISNUMBER(INDEX('입력_구리근무자명단'!$A1313:$ZZ1313,1,$E$2+3)),INDEX('입력_구리근무자명단'!$A1313:$ZZ1313,1,$E$2+3),IFERROR(DATE(VALUE(LEFT(INDEX('입력_구리근무자명단'!$A1313:$ZZ1313,1,$E$2+3),4)),VALUE(MID(INDEX('입력_구리근무자명단'!$A1313:$ZZ1313,1,$E$2+3),6,2)),VALUE(MID(INDEX('입력_구리근무자명단'!$A1313:$ZZ1313,1,$E$2+3),9,2))),-1))))</f>
        <v/>
      </c>
      <c r="U1315">
        <f>IF($R1315="","",IF(OR($S1315&lt;0,$T1315&lt;0),0,MAX(0,MIN($T1315,EOMONTH(급여기준월,0))-MAX($S1315,급여기준월)+1)))</f>
        <v/>
      </c>
      <c r="V1315">
        <f>IF($R1315="","",TRIM(INDEX('입력_구리근무자명단'!$A1313:$ZZ1313,1,$E$2+5)&amp;""))</f>
        <v/>
      </c>
      <c r="W1315">
        <f>IF(ISNUMBER(SEARCH("구리독자",$V1315)),"구리독자","")</f>
        <v/>
      </c>
      <c r="X1315">
        <f>IF($R1315="","",$R1315&amp;"|"&amp;IF(OR($Q1315="인턴",ISNUMBER(SEARCH("수련교육부",$P1315))),"인턴",$P1315))</f>
        <v/>
      </c>
      <c r="Y1315">
        <f>IF($R1315="","",IF(COUNTIF(명단표[이름|과],$X1315)=1,"명단 일치",IF(AND(COUNTIF(명단표[이름|과],$X1315)=0,COUNTIF(명단표[이름],$R1315)=1),"명단 일치(이름만, 과 다름)",IF(COUNTIF(명단표[이름],$R1315)=0,IF(COUNTIF(기본자료표[이름],$R1315)&gt;0,"명단에 없음(기본자료에는 있음)","명단에 없음"),"동명이인 확인"))))</f>
        <v/>
      </c>
      <c r="Z1315">
        <f>IF($R1315="","",IF($S1315&lt;0,"⚠"&amp;INDEX('입력_구리근무자명단'!$A1313:$ZZ1313,1,$E$2+2),TEXT($S1315,"yyyy-mm-dd")))</f>
        <v/>
      </c>
      <c r="AA1315">
        <f>IF($R1315="","",IF($T1315&lt;0,"⚠"&amp;INDEX('입력_구리근무자명단'!$A1313:$ZZ1313,1,$E$2+3),TEXT($T1315,"yyyy-mm-dd")))</f>
        <v/>
      </c>
      <c r="AB1315">
        <f>AB1314+IF($R1315="",0,1)</f>
        <v/>
      </c>
      <c r="AC1315">
        <f>IF($R1315="","",$AB1315)</f>
        <v/>
      </c>
    </row>
    <row r="1316">
      <c r="O1316">
        <f>1314</f>
        <v/>
      </c>
      <c r="P1316">
        <f>IF(TRIM('입력_구리근무자명단'!$A1314&amp;"")&lt;&gt;"",TRIM('입력_구리근무자명단'!$A1314&amp;""),P1315)</f>
        <v/>
      </c>
      <c r="Q1316">
        <f>'입력_구리근무자명단'!$B1314&amp;""</f>
        <v/>
      </c>
      <c r="R1316">
        <f>IF($E$2="","",TRIM(INDEX('입력_구리근무자명단'!$A1314:$ZZ1314,1,$E$2+IF($G$2="확정",1,0))&amp;""))</f>
        <v/>
      </c>
      <c r="S1316">
        <f>IF($R1316="","",IF(INDEX('입력_구리근무자명단'!$A1314:$ZZ1314,1,$E$2+2)&amp;""="",급여기준월,IF(ISNUMBER(INDEX('입력_구리근무자명단'!$A1314:$ZZ1314,1,$E$2+2)),INDEX('입력_구리근무자명단'!$A1314:$ZZ1314,1,$E$2+2),IFERROR(DATE(VALUE(LEFT(INDEX('입력_구리근무자명단'!$A1314:$ZZ1314,1,$E$2+2),4)),VALUE(MID(INDEX('입력_구리근무자명단'!$A1314:$ZZ1314,1,$E$2+2),6,2)),VALUE(MID(INDEX('입력_구리근무자명단'!$A1314:$ZZ1314,1,$E$2+2),9,2))),-1))))</f>
        <v/>
      </c>
      <c r="T1316">
        <f>IF($R1316="","",IF(INDEX('입력_구리근무자명단'!$A1314:$ZZ1314,1,$E$2+3)&amp;""="",EOMONTH(급여기준월,0),IF(ISNUMBER(INDEX('입력_구리근무자명단'!$A1314:$ZZ1314,1,$E$2+3)),INDEX('입력_구리근무자명단'!$A1314:$ZZ1314,1,$E$2+3),IFERROR(DATE(VALUE(LEFT(INDEX('입력_구리근무자명단'!$A1314:$ZZ1314,1,$E$2+3),4)),VALUE(MID(INDEX('입력_구리근무자명단'!$A1314:$ZZ1314,1,$E$2+3),6,2)),VALUE(MID(INDEX('입력_구리근무자명단'!$A1314:$ZZ1314,1,$E$2+3),9,2))),-1))))</f>
        <v/>
      </c>
      <c r="U1316">
        <f>IF($R1316="","",IF(OR($S1316&lt;0,$T1316&lt;0),0,MAX(0,MIN($T1316,EOMONTH(급여기준월,0))-MAX($S1316,급여기준월)+1)))</f>
        <v/>
      </c>
      <c r="V1316">
        <f>IF($R1316="","",TRIM(INDEX('입력_구리근무자명단'!$A1314:$ZZ1314,1,$E$2+5)&amp;""))</f>
        <v/>
      </c>
      <c r="W1316">
        <f>IF(ISNUMBER(SEARCH("구리독자",$V1316)),"구리독자","")</f>
        <v/>
      </c>
      <c r="X1316">
        <f>IF($R1316="","",$R1316&amp;"|"&amp;IF(OR($Q1316="인턴",ISNUMBER(SEARCH("수련교육부",$P1316))),"인턴",$P1316))</f>
        <v/>
      </c>
      <c r="Y1316">
        <f>IF($R1316="","",IF(COUNTIF(명단표[이름|과],$X1316)=1,"명단 일치",IF(AND(COUNTIF(명단표[이름|과],$X1316)=0,COUNTIF(명단표[이름],$R1316)=1),"명단 일치(이름만, 과 다름)",IF(COUNTIF(명단표[이름],$R1316)=0,IF(COUNTIF(기본자료표[이름],$R1316)&gt;0,"명단에 없음(기본자료에는 있음)","명단에 없음"),"동명이인 확인"))))</f>
        <v/>
      </c>
      <c r="Z1316">
        <f>IF($R1316="","",IF($S1316&lt;0,"⚠"&amp;INDEX('입력_구리근무자명단'!$A1314:$ZZ1314,1,$E$2+2),TEXT($S1316,"yyyy-mm-dd")))</f>
        <v/>
      </c>
      <c r="AA1316">
        <f>IF($R1316="","",IF($T1316&lt;0,"⚠"&amp;INDEX('입력_구리근무자명단'!$A1314:$ZZ1314,1,$E$2+3),TEXT($T1316,"yyyy-mm-dd")))</f>
        <v/>
      </c>
      <c r="AB1316">
        <f>AB1315+IF($R1316="",0,1)</f>
        <v/>
      </c>
      <c r="AC1316">
        <f>IF($R1316="","",$AB1316)</f>
        <v/>
      </c>
    </row>
    <row r="1317">
      <c r="O1317">
        <f>1315</f>
        <v/>
      </c>
      <c r="P1317">
        <f>IF(TRIM('입력_구리근무자명단'!$A1315&amp;"")&lt;&gt;"",TRIM('입력_구리근무자명단'!$A1315&amp;""),P1316)</f>
        <v/>
      </c>
      <c r="Q1317">
        <f>'입력_구리근무자명단'!$B1315&amp;""</f>
        <v/>
      </c>
      <c r="R1317">
        <f>IF($E$2="","",TRIM(INDEX('입력_구리근무자명단'!$A1315:$ZZ1315,1,$E$2+IF($G$2="확정",1,0))&amp;""))</f>
        <v/>
      </c>
      <c r="S1317">
        <f>IF($R1317="","",IF(INDEX('입력_구리근무자명단'!$A1315:$ZZ1315,1,$E$2+2)&amp;""="",급여기준월,IF(ISNUMBER(INDEX('입력_구리근무자명단'!$A1315:$ZZ1315,1,$E$2+2)),INDEX('입력_구리근무자명단'!$A1315:$ZZ1315,1,$E$2+2),IFERROR(DATE(VALUE(LEFT(INDEX('입력_구리근무자명단'!$A1315:$ZZ1315,1,$E$2+2),4)),VALUE(MID(INDEX('입력_구리근무자명단'!$A1315:$ZZ1315,1,$E$2+2),6,2)),VALUE(MID(INDEX('입력_구리근무자명단'!$A1315:$ZZ1315,1,$E$2+2),9,2))),-1))))</f>
        <v/>
      </c>
      <c r="T1317">
        <f>IF($R1317="","",IF(INDEX('입력_구리근무자명단'!$A1315:$ZZ1315,1,$E$2+3)&amp;""="",EOMONTH(급여기준월,0),IF(ISNUMBER(INDEX('입력_구리근무자명단'!$A1315:$ZZ1315,1,$E$2+3)),INDEX('입력_구리근무자명단'!$A1315:$ZZ1315,1,$E$2+3),IFERROR(DATE(VALUE(LEFT(INDEX('입력_구리근무자명단'!$A1315:$ZZ1315,1,$E$2+3),4)),VALUE(MID(INDEX('입력_구리근무자명단'!$A1315:$ZZ1315,1,$E$2+3),6,2)),VALUE(MID(INDEX('입력_구리근무자명단'!$A1315:$ZZ1315,1,$E$2+3),9,2))),-1))))</f>
        <v/>
      </c>
      <c r="U1317">
        <f>IF($R1317="","",IF(OR($S1317&lt;0,$T1317&lt;0),0,MAX(0,MIN($T1317,EOMONTH(급여기준월,0))-MAX($S1317,급여기준월)+1)))</f>
        <v/>
      </c>
      <c r="V1317">
        <f>IF($R1317="","",TRIM(INDEX('입력_구리근무자명단'!$A1315:$ZZ1315,1,$E$2+5)&amp;""))</f>
        <v/>
      </c>
      <c r="W1317">
        <f>IF(ISNUMBER(SEARCH("구리독자",$V1317)),"구리독자","")</f>
        <v/>
      </c>
      <c r="X1317">
        <f>IF($R1317="","",$R1317&amp;"|"&amp;IF(OR($Q1317="인턴",ISNUMBER(SEARCH("수련교육부",$P1317))),"인턴",$P1317))</f>
        <v/>
      </c>
      <c r="Y1317">
        <f>IF($R1317="","",IF(COUNTIF(명단표[이름|과],$X1317)=1,"명단 일치",IF(AND(COUNTIF(명단표[이름|과],$X1317)=0,COUNTIF(명단표[이름],$R1317)=1),"명단 일치(이름만, 과 다름)",IF(COUNTIF(명단표[이름],$R1317)=0,IF(COUNTIF(기본자료표[이름],$R1317)&gt;0,"명단에 없음(기본자료에는 있음)","명단에 없음"),"동명이인 확인"))))</f>
        <v/>
      </c>
      <c r="Z1317">
        <f>IF($R1317="","",IF($S1317&lt;0,"⚠"&amp;INDEX('입력_구리근무자명단'!$A1315:$ZZ1315,1,$E$2+2),TEXT($S1317,"yyyy-mm-dd")))</f>
        <v/>
      </c>
      <c r="AA1317">
        <f>IF($R1317="","",IF($T1317&lt;0,"⚠"&amp;INDEX('입력_구리근무자명단'!$A1315:$ZZ1315,1,$E$2+3),TEXT($T1317,"yyyy-mm-dd")))</f>
        <v/>
      </c>
      <c r="AB1317">
        <f>AB1316+IF($R1317="",0,1)</f>
        <v/>
      </c>
      <c r="AC1317">
        <f>IF($R1317="","",$AB1317)</f>
        <v/>
      </c>
    </row>
    <row r="1318">
      <c r="O1318">
        <f>1316</f>
        <v/>
      </c>
      <c r="P1318">
        <f>IF(TRIM('입력_구리근무자명단'!$A1316&amp;"")&lt;&gt;"",TRIM('입력_구리근무자명단'!$A1316&amp;""),P1317)</f>
        <v/>
      </c>
      <c r="Q1318">
        <f>'입력_구리근무자명단'!$B1316&amp;""</f>
        <v/>
      </c>
      <c r="R1318">
        <f>IF($E$2="","",TRIM(INDEX('입력_구리근무자명단'!$A1316:$ZZ1316,1,$E$2+IF($G$2="확정",1,0))&amp;""))</f>
        <v/>
      </c>
      <c r="S1318">
        <f>IF($R1318="","",IF(INDEX('입력_구리근무자명단'!$A1316:$ZZ1316,1,$E$2+2)&amp;""="",급여기준월,IF(ISNUMBER(INDEX('입력_구리근무자명단'!$A1316:$ZZ1316,1,$E$2+2)),INDEX('입력_구리근무자명단'!$A1316:$ZZ1316,1,$E$2+2),IFERROR(DATE(VALUE(LEFT(INDEX('입력_구리근무자명단'!$A1316:$ZZ1316,1,$E$2+2),4)),VALUE(MID(INDEX('입력_구리근무자명단'!$A1316:$ZZ1316,1,$E$2+2),6,2)),VALUE(MID(INDEX('입력_구리근무자명단'!$A1316:$ZZ1316,1,$E$2+2),9,2))),-1))))</f>
        <v/>
      </c>
      <c r="T1318">
        <f>IF($R1318="","",IF(INDEX('입력_구리근무자명단'!$A1316:$ZZ1316,1,$E$2+3)&amp;""="",EOMONTH(급여기준월,0),IF(ISNUMBER(INDEX('입력_구리근무자명단'!$A1316:$ZZ1316,1,$E$2+3)),INDEX('입력_구리근무자명단'!$A1316:$ZZ1316,1,$E$2+3),IFERROR(DATE(VALUE(LEFT(INDEX('입력_구리근무자명단'!$A1316:$ZZ1316,1,$E$2+3),4)),VALUE(MID(INDEX('입력_구리근무자명단'!$A1316:$ZZ1316,1,$E$2+3),6,2)),VALUE(MID(INDEX('입력_구리근무자명단'!$A1316:$ZZ1316,1,$E$2+3),9,2))),-1))))</f>
        <v/>
      </c>
      <c r="U1318">
        <f>IF($R1318="","",IF(OR($S1318&lt;0,$T1318&lt;0),0,MAX(0,MIN($T1318,EOMONTH(급여기준월,0))-MAX($S1318,급여기준월)+1)))</f>
        <v/>
      </c>
      <c r="V1318">
        <f>IF($R1318="","",TRIM(INDEX('입력_구리근무자명단'!$A1316:$ZZ1316,1,$E$2+5)&amp;""))</f>
        <v/>
      </c>
      <c r="W1318">
        <f>IF(ISNUMBER(SEARCH("구리독자",$V1318)),"구리독자","")</f>
        <v/>
      </c>
      <c r="X1318">
        <f>IF($R1318="","",$R1318&amp;"|"&amp;IF(OR($Q1318="인턴",ISNUMBER(SEARCH("수련교육부",$P1318))),"인턴",$P1318))</f>
        <v/>
      </c>
      <c r="Y1318">
        <f>IF($R1318="","",IF(COUNTIF(명단표[이름|과],$X1318)=1,"명단 일치",IF(AND(COUNTIF(명단표[이름|과],$X1318)=0,COUNTIF(명단표[이름],$R1318)=1),"명단 일치(이름만, 과 다름)",IF(COUNTIF(명단표[이름],$R1318)=0,IF(COUNTIF(기본자료표[이름],$R1318)&gt;0,"명단에 없음(기본자료에는 있음)","명단에 없음"),"동명이인 확인"))))</f>
        <v/>
      </c>
      <c r="Z1318">
        <f>IF($R1318="","",IF($S1318&lt;0,"⚠"&amp;INDEX('입력_구리근무자명단'!$A1316:$ZZ1316,1,$E$2+2),TEXT($S1318,"yyyy-mm-dd")))</f>
        <v/>
      </c>
      <c r="AA1318">
        <f>IF($R1318="","",IF($T1318&lt;0,"⚠"&amp;INDEX('입력_구리근무자명단'!$A1316:$ZZ1316,1,$E$2+3),TEXT($T1318,"yyyy-mm-dd")))</f>
        <v/>
      </c>
      <c r="AB1318">
        <f>AB1317+IF($R1318="",0,1)</f>
        <v/>
      </c>
      <c r="AC1318">
        <f>IF($R1318="","",$AB1318)</f>
        <v/>
      </c>
    </row>
    <row r="1319">
      <c r="O1319">
        <f>1317</f>
        <v/>
      </c>
      <c r="P1319">
        <f>IF(TRIM('입력_구리근무자명단'!$A1317&amp;"")&lt;&gt;"",TRIM('입력_구리근무자명단'!$A1317&amp;""),P1318)</f>
        <v/>
      </c>
      <c r="Q1319">
        <f>'입력_구리근무자명단'!$B1317&amp;""</f>
        <v/>
      </c>
      <c r="R1319">
        <f>IF($E$2="","",TRIM(INDEX('입력_구리근무자명단'!$A1317:$ZZ1317,1,$E$2+IF($G$2="확정",1,0))&amp;""))</f>
        <v/>
      </c>
      <c r="S1319">
        <f>IF($R1319="","",IF(INDEX('입력_구리근무자명단'!$A1317:$ZZ1317,1,$E$2+2)&amp;""="",급여기준월,IF(ISNUMBER(INDEX('입력_구리근무자명단'!$A1317:$ZZ1317,1,$E$2+2)),INDEX('입력_구리근무자명단'!$A1317:$ZZ1317,1,$E$2+2),IFERROR(DATE(VALUE(LEFT(INDEX('입력_구리근무자명단'!$A1317:$ZZ1317,1,$E$2+2),4)),VALUE(MID(INDEX('입력_구리근무자명단'!$A1317:$ZZ1317,1,$E$2+2),6,2)),VALUE(MID(INDEX('입력_구리근무자명단'!$A1317:$ZZ1317,1,$E$2+2),9,2))),-1))))</f>
        <v/>
      </c>
      <c r="T1319">
        <f>IF($R1319="","",IF(INDEX('입력_구리근무자명단'!$A1317:$ZZ1317,1,$E$2+3)&amp;""="",EOMONTH(급여기준월,0),IF(ISNUMBER(INDEX('입력_구리근무자명단'!$A1317:$ZZ1317,1,$E$2+3)),INDEX('입력_구리근무자명단'!$A1317:$ZZ1317,1,$E$2+3),IFERROR(DATE(VALUE(LEFT(INDEX('입력_구리근무자명단'!$A1317:$ZZ1317,1,$E$2+3),4)),VALUE(MID(INDEX('입력_구리근무자명단'!$A1317:$ZZ1317,1,$E$2+3),6,2)),VALUE(MID(INDEX('입력_구리근무자명단'!$A1317:$ZZ1317,1,$E$2+3),9,2))),-1))))</f>
        <v/>
      </c>
      <c r="U1319">
        <f>IF($R1319="","",IF(OR($S1319&lt;0,$T1319&lt;0),0,MAX(0,MIN($T1319,EOMONTH(급여기준월,0))-MAX($S1319,급여기준월)+1)))</f>
        <v/>
      </c>
      <c r="V1319">
        <f>IF($R1319="","",TRIM(INDEX('입력_구리근무자명단'!$A1317:$ZZ1317,1,$E$2+5)&amp;""))</f>
        <v/>
      </c>
      <c r="W1319">
        <f>IF(ISNUMBER(SEARCH("구리독자",$V1319)),"구리독자","")</f>
        <v/>
      </c>
      <c r="X1319">
        <f>IF($R1319="","",$R1319&amp;"|"&amp;IF(OR($Q1319="인턴",ISNUMBER(SEARCH("수련교육부",$P1319))),"인턴",$P1319))</f>
        <v/>
      </c>
      <c r="Y1319">
        <f>IF($R1319="","",IF(COUNTIF(명단표[이름|과],$X1319)=1,"명단 일치",IF(AND(COUNTIF(명단표[이름|과],$X1319)=0,COUNTIF(명단표[이름],$R1319)=1),"명단 일치(이름만, 과 다름)",IF(COUNTIF(명단표[이름],$R1319)=0,IF(COUNTIF(기본자료표[이름],$R1319)&gt;0,"명단에 없음(기본자료에는 있음)","명단에 없음"),"동명이인 확인"))))</f>
        <v/>
      </c>
      <c r="Z1319">
        <f>IF($R1319="","",IF($S1319&lt;0,"⚠"&amp;INDEX('입력_구리근무자명단'!$A1317:$ZZ1317,1,$E$2+2),TEXT($S1319,"yyyy-mm-dd")))</f>
        <v/>
      </c>
      <c r="AA1319">
        <f>IF($R1319="","",IF($T1319&lt;0,"⚠"&amp;INDEX('입력_구리근무자명단'!$A1317:$ZZ1317,1,$E$2+3),TEXT($T1319,"yyyy-mm-dd")))</f>
        <v/>
      </c>
      <c r="AB1319">
        <f>AB1318+IF($R1319="",0,1)</f>
        <v/>
      </c>
      <c r="AC1319">
        <f>IF($R1319="","",$AB1319)</f>
        <v/>
      </c>
    </row>
    <row r="1320">
      <c r="O1320">
        <f>1318</f>
        <v/>
      </c>
      <c r="P1320">
        <f>IF(TRIM('입력_구리근무자명단'!$A1318&amp;"")&lt;&gt;"",TRIM('입력_구리근무자명단'!$A1318&amp;""),P1319)</f>
        <v/>
      </c>
      <c r="Q1320">
        <f>'입력_구리근무자명단'!$B1318&amp;""</f>
        <v/>
      </c>
      <c r="R1320">
        <f>IF($E$2="","",TRIM(INDEX('입력_구리근무자명단'!$A1318:$ZZ1318,1,$E$2+IF($G$2="확정",1,0))&amp;""))</f>
        <v/>
      </c>
      <c r="S1320">
        <f>IF($R1320="","",IF(INDEX('입력_구리근무자명단'!$A1318:$ZZ1318,1,$E$2+2)&amp;""="",급여기준월,IF(ISNUMBER(INDEX('입력_구리근무자명단'!$A1318:$ZZ1318,1,$E$2+2)),INDEX('입력_구리근무자명단'!$A1318:$ZZ1318,1,$E$2+2),IFERROR(DATE(VALUE(LEFT(INDEX('입력_구리근무자명단'!$A1318:$ZZ1318,1,$E$2+2),4)),VALUE(MID(INDEX('입력_구리근무자명단'!$A1318:$ZZ1318,1,$E$2+2),6,2)),VALUE(MID(INDEX('입력_구리근무자명단'!$A1318:$ZZ1318,1,$E$2+2),9,2))),-1))))</f>
        <v/>
      </c>
      <c r="T1320">
        <f>IF($R1320="","",IF(INDEX('입력_구리근무자명단'!$A1318:$ZZ1318,1,$E$2+3)&amp;""="",EOMONTH(급여기준월,0),IF(ISNUMBER(INDEX('입력_구리근무자명단'!$A1318:$ZZ1318,1,$E$2+3)),INDEX('입력_구리근무자명단'!$A1318:$ZZ1318,1,$E$2+3),IFERROR(DATE(VALUE(LEFT(INDEX('입력_구리근무자명단'!$A1318:$ZZ1318,1,$E$2+3),4)),VALUE(MID(INDEX('입력_구리근무자명단'!$A1318:$ZZ1318,1,$E$2+3),6,2)),VALUE(MID(INDEX('입력_구리근무자명단'!$A1318:$ZZ1318,1,$E$2+3),9,2))),-1))))</f>
        <v/>
      </c>
      <c r="U1320">
        <f>IF($R1320="","",IF(OR($S1320&lt;0,$T1320&lt;0),0,MAX(0,MIN($T1320,EOMONTH(급여기준월,0))-MAX($S1320,급여기준월)+1)))</f>
        <v/>
      </c>
      <c r="V1320">
        <f>IF($R1320="","",TRIM(INDEX('입력_구리근무자명단'!$A1318:$ZZ1318,1,$E$2+5)&amp;""))</f>
        <v/>
      </c>
      <c r="W1320">
        <f>IF(ISNUMBER(SEARCH("구리독자",$V1320)),"구리독자","")</f>
        <v/>
      </c>
      <c r="X1320">
        <f>IF($R1320="","",$R1320&amp;"|"&amp;IF(OR($Q1320="인턴",ISNUMBER(SEARCH("수련교육부",$P1320))),"인턴",$P1320))</f>
        <v/>
      </c>
      <c r="Y1320">
        <f>IF($R1320="","",IF(COUNTIF(명단표[이름|과],$X1320)=1,"명단 일치",IF(AND(COUNTIF(명단표[이름|과],$X1320)=0,COUNTIF(명단표[이름],$R1320)=1),"명단 일치(이름만, 과 다름)",IF(COUNTIF(명단표[이름],$R1320)=0,IF(COUNTIF(기본자료표[이름],$R1320)&gt;0,"명단에 없음(기본자료에는 있음)","명단에 없음"),"동명이인 확인"))))</f>
        <v/>
      </c>
      <c r="Z1320">
        <f>IF($R1320="","",IF($S1320&lt;0,"⚠"&amp;INDEX('입력_구리근무자명단'!$A1318:$ZZ1318,1,$E$2+2),TEXT($S1320,"yyyy-mm-dd")))</f>
        <v/>
      </c>
      <c r="AA1320">
        <f>IF($R1320="","",IF($T1320&lt;0,"⚠"&amp;INDEX('입력_구리근무자명단'!$A1318:$ZZ1318,1,$E$2+3),TEXT($T1320,"yyyy-mm-dd")))</f>
        <v/>
      </c>
      <c r="AB1320">
        <f>AB1319+IF($R1320="",0,1)</f>
        <v/>
      </c>
      <c r="AC1320">
        <f>IF($R1320="","",$AB1320)</f>
        <v/>
      </c>
    </row>
    <row r="1321">
      <c r="O1321">
        <f>1319</f>
        <v/>
      </c>
      <c r="P1321">
        <f>IF(TRIM('입력_구리근무자명단'!$A1319&amp;"")&lt;&gt;"",TRIM('입력_구리근무자명단'!$A1319&amp;""),P1320)</f>
        <v/>
      </c>
      <c r="Q1321">
        <f>'입력_구리근무자명단'!$B1319&amp;""</f>
        <v/>
      </c>
      <c r="R1321">
        <f>IF($E$2="","",TRIM(INDEX('입력_구리근무자명단'!$A1319:$ZZ1319,1,$E$2+IF($G$2="확정",1,0))&amp;""))</f>
        <v/>
      </c>
      <c r="S1321">
        <f>IF($R1321="","",IF(INDEX('입력_구리근무자명단'!$A1319:$ZZ1319,1,$E$2+2)&amp;""="",급여기준월,IF(ISNUMBER(INDEX('입력_구리근무자명단'!$A1319:$ZZ1319,1,$E$2+2)),INDEX('입력_구리근무자명단'!$A1319:$ZZ1319,1,$E$2+2),IFERROR(DATE(VALUE(LEFT(INDEX('입력_구리근무자명단'!$A1319:$ZZ1319,1,$E$2+2),4)),VALUE(MID(INDEX('입력_구리근무자명단'!$A1319:$ZZ1319,1,$E$2+2),6,2)),VALUE(MID(INDEX('입력_구리근무자명단'!$A1319:$ZZ1319,1,$E$2+2),9,2))),-1))))</f>
        <v/>
      </c>
      <c r="T1321">
        <f>IF($R1321="","",IF(INDEX('입력_구리근무자명단'!$A1319:$ZZ1319,1,$E$2+3)&amp;""="",EOMONTH(급여기준월,0),IF(ISNUMBER(INDEX('입력_구리근무자명단'!$A1319:$ZZ1319,1,$E$2+3)),INDEX('입력_구리근무자명단'!$A1319:$ZZ1319,1,$E$2+3),IFERROR(DATE(VALUE(LEFT(INDEX('입력_구리근무자명단'!$A1319:$ZZ1319,1,$E$2+3),4)),VALUE(MID(INDEX('입력_구리근무자명단'!$A1319:$ZZ1319,1,$E$2+3),6,2)),VALUE(MID(INDEX('입력_구리근무자명단'!$A1319:$ZZ1319,1,$E$2+3),9,2))),-1))))</f>
        <v/>
      </c>
      <c r="U1321">
        <f>IF($R1321="","",IF(OR($S1321&lt;0,$T1321&lt;0),0,MAX(0,MIN($T1321,EOMONTH(급여기준월,0))-MAX($S1321,급여기준월)+1)))</f>
        <v/>
      </c>
      <c r="V1321">
        <f>IF($R1321="","",TRIM(INDEX('입력_구리근무자명단'!$A1319:$ZZ1319,1,$E$2+5)&amp;""))</f>
        <v/>
      </c>
      <c r="W1321">
        <f>IF(ISNUMBER(SEARCH("구리독자",$V1321)),"구리독자","")</f>
        <v/>
      </c>
      <c r="X1321">
        <f>IF($R1321="","",$R1321&amp;"|"&amp;IF(OR($Q1321="인턴",ISNUMBER(SEARCH("수련교육부",$P1321))),"인턴",$P1321))</f>
        <v/>
      </c>
      <c r="Y1321">
        <f>IF($R1321="","",IF(COUNTIF(명단표[이름|과],$X1321)=1,"명단 일치",IF(AND(COUNTIF(명단표[이름|과],$X1321)=0,COUNTIF(명단표[이름],$R1321)=1),"명단 일치(이름만, 과 다름)",IF(COUNTIF(명단표[이름],$R1321)=0,IF(COUNTIF(기본자료표[이름],$R1321)&gt;0,"명단에 없음(기본자료에는 있음)","명단에 없음"),"동명이인 확인"))))</f>
        <v/>
      </c>
      <c r="Z1321">
        <f>IF($R1321="","",IF($S1321&lt;0,"⚠"&amp;INDEX('입력_구리근무자명단'!$A1319:$ZZ1319,1,$E$2+2),TEXT($S1321,"yyyy-mm-dd")))</f>
        <v/>
      </c>
      <c r="AA1321">
        <f>IF($R1321="","",IF($T1321&lt;0,"⚠"&amp;INDEX('입력_구리근무자명단'!$A1319:$ZZ1319,1,$E$2+3),TEXT($T1321,"yyyy-mm-dd")))</f>
        <v/>
      </c>
      <c r="AB1321">
        <f>AB1320+IF($R1321="",0,1)</f>
        <v/>
      </c>
      <c r="AC1321">
        <f>IF($R1321="","",$AB1321)</f>
        <v/>
      </c>
    </row>
    <row r="1322">
      <c r="O1322">
        <f>1320</f>
        <v/>
      </c>
      <c r="P1322">
        <f>IF(TRIM('입력_구리근무자명단'!$A1320&amp;"")&lt;&gt;"",TRIM('입력_구리근무자명단'!$A1320&amp;""),P1321)</f>
        <v/>
      </c>
      <c r="Q1322">
        <f>'입력_구리근무자명단'!$B1320&amp;""</f>
        <v/>
      </c>
      <c r="R1322">
        <f>IF($E$2="","",TRIM(INDEX('입력_구리근무자명단'!$A1320:$ZZ1320,1,$E$2+IF($G$2="확정",1,0))&amp;""))</f>
        <v/>
      </c>
      <c r="S1322">
        <f>IF($R1322="","",IF(INDEX('입력_구리근무자명단'!$A1320:$ZZ1320,1,$E$2+2)&amp;""="",급여기준월,IF(ISNUMBER(INDEX('입력_구리근무자명단'!$A1320:$ZZ1320,1,$E$2+2)),INDEX('입력_구리근무자명단'!$A1320:$ZZ1320,1,$E$2+2),IFERROR(DATE(VALUE(LEFT(INDEX('입력_구리근무자명단'!$A1320:$ZZ1320,1,$E$2+2),4)),VALUE(MID(INDEX('입력_구리근무자명단'!$A1320:$ZZ1320,1,$E$2+2),6,2)),VALUE(MID(INDEX('입력_구리근무자명단'!$A1320:$ZZ1320,1,$E$2+2),9,2))),-1))))</f>
        <v/>
      </c>
      <c r="T1322">
        <f>IF($R1322="","",IF(INDEX('입력_구리근무자명단'!$A1320:$ZZ1320,1,$E$2+3)&amp;""="",EOMONTH(급여기준월,0),IF(ISNUMBER(INDEX('입력_구리근무자명단'!$A1320:$ZZ1320,1,$E$2+3)),INDEX('입력_구리근무자명단'!$A1320:$ZZ1320,1,$E$2+3),IFERROR(DATE(VALUE(LEFT(INDEX('입력_구리근무자명단'!$A1320:$ZZ1320,1,$E$2+3),4)),VALUE(MID(INDEX('입력_구리근무자명단'!$A1320:$ZZ1320,1,$E$2+3),6,2)),VALUE(MID(INDEX('입력_구리근무자명단'!$A1320:$ZZ1320,1,$E$2+3),9,2))),-1))))</f>
        <v/>
      </c>
      <c r="U1322">
        <f>IF($R1322="","",IF(OR($S1322&lt;0,$T1322&lt;0),0,MAX(0,MIN($T1322,EOMONTH(급여기준월,0))-MAX($S1322,급여기준월)+1)))</f>
        <v/>
      </c>
      <c r="V1322">
        <f>IF($R1322="","",TRIM(INDEX('입력_구리근무자명단'!$A1320:$ZZ1320,1,$E$2+5)&amp;""))</f>
        <v/>
      </c>
      <c r="W1322">
        <f>IF(ISNUMBER(SEARCH("구리독자",$V1322)),"구리독자","")</f>
        <v/>
      </c>
      <c r="X1322">
        <f>IF($R1322="","",$R1322&amp;"|"&amp;IF(OR($Q1322="인턴",ISNUMBER(SEARCH("수련교육부",$P1322))),"인턴",$P1322))</f>
        <v/>
      </c>
      <c r="Y1322">
        <f>IF($R1322="","",IF(COUNTIF(명단표[이름|과],$X1322)=1,"명단 일치",IF(AND(COUNTIF(명단표[이름|과],$X1322)=0,COUNTIF(명단표[이름],$R1322)=1),"명단 일치(이름만, 과 다름)",IF(COUNTIF(명단표[이름],$R1322)=0,IF(COUNTIF(기본자료표[이름],$R1322)&gt;0,"명단에 없음(기본자료에는 있음)","명단에 없음"),"동명이인 확인"))))</f>
        <v/>
      </c>
      <c r="Z1322">
        <f>IF($R1322="","",IF($S1322&lt;0,"⚠"&amp;INDEX('입력_구리근무자명단'!$A1320:$ZZ1320,1,$E$2+2),TEXT($S1322,"yyyy-mm-dd")))</f>
        <v/>
      </c>
      <c r="AA1322">
        <f>IF($R1322="","",IF($T1322&lt;0,"⚠"&amp;INDEX('입력_구리근무자명단'!$A1320:$ZZ1320,1,$E$2+3),TEXT($T1322,"yyyy-mm-dd")))</f>
        <v/>
      </c>
      <c r="AB1322">
        <f>AB1321+IF($R1322="",0,1)</f>
        <v/>
      </c>
      <c r="AC1322">
        <f>IF($R1322="","",$AB1322)</f>
        <v/>
      </c>
    </row>
    <row r="1323">
      <c r="O1323">
        <f>1321</f>
        <v/>
      </c>
      <c r="P1323">
        <f>IF(TRIM('입력_구리근무자명단'!$A1321&amp;"")&lt;&gt;"",TRIM('입력_구리근무자명단'!$A1321&amp;""),P1322)</f>
        <v/>
      </c>
      <c r="Q1323">
        <f>'입력_구리근무자명단'!$B1321&amp;""</f>
        <v/>
      </c>
      <c r="R1323">
        <f>IF($E$2="","",TRIM(INDEX('입력_구리근무자명단'!$A1321:$ZZ1321,1,$E$2+IF($G$2="확정",1,0))&amp;""))</f>
        <v/>
      </c>
      <c r="S1323">
        <f>IF($R1323="","",IF(INDEX('입력_구리근무자명단'!$A1321:$ZZ1321,1,$E$2+2)&amp;""="",급여기준월,IF(ISNUMBER(INDEX('입력_구리근무자명단'!$A1321:$ZZ1321,1,$E$2+2)),INDEX('입력_구리근무자명단'!$A1321:$ZZ1321,1,$E$2+2),IFERROR(DATE(VALUE(LEFT(INDEX('입력_구리근무자명단'!$A1321:$ZZ1321,1,$E$2+2),4)),VALUE(MID(INDEX('입력_구리근무자명단'!$A1321:$ZZ1321,1,$E$2+2),6,2)),VALUE(MID(INDEX('입력_구리근무자명단'!$A1321:$ZZ1321,1,$E$2+2),9,2))),-1))))</f>
        <v/>
      </c>
      <c r="T1323">
        <f>IF($R1323="","",IF(INDEX('입력_구리근무자명단'!$A1321:$ZZ1321,1,$E$2+3)&amp;""="",EOMONTH(급여기준월,0),IF(ISNUMBER(INDEX('입력_구리근무자명단'!$A1321:$ZZ1321,1,$E$2+3)),INDEX('입력_구리근무자명단'!$A1321:$ZZ1321,1,$E$2+3),IFERROR(DATE(VALUE(LEFT(INDEX('입력_구리근무자명단'!$A1321:$ZZ1321,1,$E$2+3),4)),VALUE(MID(INDEX('입력_구리근무자명단'!$A1321:$ZZ1321,1,$E$2+3),6,2)),VALUE(MID(INDEX('입력_구리근무자명단'!$A1321:$ZZ1321,1,$E$2+3),9,2))),-1))))</f>
        <v/>
      </c>
      <c r="U1323">
        <f>IF($R1323="","",IF(OR($S1323&lt;0,$T1323&lt;0),0,MAX(0,MIN($T1323,EOMONTH(급여기준월,0))-MAX($S1323,급여기준월)+1)))</f>
        <v/>
      </c>
      <c r="V1323">
        <f>IF($R1323="","",TRIM(INDEX('입력_구리근무자명단'!$A1321:$ZZ1321,1,$E$2+5)&amp;""))</f>
        <v/>
      </c>
      <c r="W1323">
        <f>IF(ISNUMBER(SEARCH("구리독자",$V1323)),"구리독자","")</f>
        <v/>
      </c>
      <c r="X1323">
        <f>IF($R1323="","",$R1323&amp;"|"&amp;IF(OR($Q1323="인턴",ISNUMBER(SEARCH("수련교육부",$P1323))),"인턴",$P1323))</f>
        <v/>
      </c>
      <c r="Y1323">
        <f>IF($R1323="","",IF(COUNTIF(명단표[이름|과],$X1323)=1,"명단 일치",IF(AND(COUNTIF(명단표[이름|과],$X1323)=0,COUNTIF(명단표[이름],$R1323)=1),"명단 일치(이름만, 과 다름)",IF(COUNTIF(명단표[이름],$R1323)=0,IF(COUNTIF(기본자료표[이름],$R1323)&gt;0,"명단에 없음(기본자료에는 있음)","명단에 없음"),"동명이인 확인"))))</f>
        <v/>
      </c>
      <c r="Z1323">
        <f>IF($R1323="","",IF($S1323&lt;0,"⚠"&amp;INDEX('입력_구리근무자명단'!$A1321:$ZZ1321,1,$E$2+2),TEXT($S1323,"yyyy-mm-dd")))</f>
        <v/>
      </c>
      <c r="AA1323">
        <f>IF($R1323="","",IF($T1323&lt;0,"⚠"&amp;INDEX('입력_구리근무자명단'!$A1321:$ZZ1321,1,$E$2+3),TEXT($T1323,"yyyy-mm-dd")))</f>
        <v/>
      </c>
      <c r="AB1323">
        <f>AB1322+IF($R1323="",0,1)</f>
        <v/>
      </c>
      <c r="AC1323">
        <f>IF($R1323="","",$AB1323)</f>
        <v/>
      </c>
    </row>
    <row r="1324">
      <c r="O1324">
        <f>1322</f>
        <v/>
      </c>
      <c r="P1324">
        <f>IF(TRIM('입력_구리근무자명단'!$A1322&amp;"")&lt;&gt;"",TRIM('입력_구리근무자명단'!$A1322&amp;""),P1323)</f>
        <v/>
      </c>
      <c r="Q1324">
        <f>'입력_구리근무자명단'!$B1322&amp;""</f>
        <v/>
      </c>
      <c r="R1324">
        <f>IF($E$2="","",TRIM(INDEX('입력_구리근무자명단'!$A1322:$ZZ1322,1,$E$2+IF($G$2="확정",1,0))&amp;""))</f>
        <v/>
      </c>
      <c r="S1324">
        <f>IF($R1324="","",IF(INDEX('입력_구리근무자명단'!$A1322:$ZZ1322,1,$E$2+2)&amp;""="",급여기준월,IF(ISNUMBER(INDEX('입력_구리근무자명단'!$A1322:$ZZ1322,1,$E$2+2)),INDEX('입력_구리근무자명단'!$A1322:$ZZ1322,1,$E$2+2),IFERROR(DATE(VALUE(LEFT(INDEX('입력_구리근무자명단'!$A1322:$ZZ1322,1,$E$2+2),4)),VALUE(MID(INDEX('입력_구리근무자명단'!$A1322:$ZZ1322,1,$E$2+2),6,2)),VALUE(MID(INDEX('입력_구리근무자명단'!$A1322:$ZZ1322,1,$E$2+2),9,2))),-1))))</f>
        <v/>
      </c>
      <c r="T1324">
        <f>IF($R1324="","",IF(INDEX('입력_구리근무자명단'!$A1322:$ZZ1322,1,$E$2+3)&amp;""="",EOMONTH(급여기준월,0),IF(ISNUMBER(INDEX('입력_구리근무자명단'!$A1322:$ZZ1322,1,$E$2+3)),INDEX('입력_구리근무자명단'!$A1322:$ZZ1322,1,$E$2+3),IFERROR(DATE(VALUE(LEFT(INDEX('입력_구리근무자명단'!$A1322:$ZZ1322,1,$E$2+3),4)),VALUE(MID(INDEX('입력_구리근무자명단'!$A1322:$ZZ1322,1,$E$2+3),6,2)),VALUE(MID(INDEX('입력_구리근무자명단'!$A1322:$ZZ1322,1,$E$2+3),9,2))),-1))))</f>
        <v/>
      </c>
      <c r="U1324">
        <f>IF($R1324="","",IF(OR($S1324&lt;0,$T1324&lt;0),0,MAX(0,MIN($T1324,EOMONTH(급여기준월,0))-MAX($S1324,급여기준월)+1)))</f>
        <v/>
      </c>
      <c r="V1324">
        <f>IF($R1324="","",TRIM(INDEX('입력_구리근무자명단'!$A1322:$ZZ1322,1,$E$2+5)&amp;""))</f>
        <v/>
      </c>
      <c r="W1324">
        <f>IF(ISNUMBER(SEARCH("구리독자",$V1324)),"구리독자","")</f>
        <v/>
      </c>
      <c r="X1324">
        <f>IF($R1324="","",$R1324&amp;"|"&amp;IF(OR($Q1324="인턴",ISNUMBER(SEARCH("수련교육부",$P1324))),"인턴",$P1324))</f>
        <v/>
      </c>
      <c r="Y1324">
        <f>IF($R1324="","",IF(COUNTIF(명단표[이름|과],$X1324)=1,"명단 일치",IF(AND(COUNTIF(명단표[이름|과],$X1324)=0,COUNTIF(명단표[이름],$R1324)=1),"명단 일치(이름만, 과 다름)",IF(COUNTIF(명단표[이름],$R1324)=0,IF(COUNTIF(기본자료표[이름],$R1324)&gt;0,"명단에 없음(기본자료에는 있음)","명단에 없음"),"동명이인 확인"))))</f>
        <v/>
      </c>
      <c r="Z1324">
        <f>IF($R1324="","",IF($S1324&lt;0,"⚠"&amp;INDEX('입력_구리근무자명단'!$A1322:$ZZ1322,1,$E$2+2),TEXT($S1324,"yyyy-mm-dd")))</f>
        <v/>
      </c>
      <c r="AA1324">
        <f>IF($R1324="","",IF($T1324&lt;0,"⚠"&amp;INDEX('입력_구리근무자명단'!$A1322:$ZZ1322,1,$E$2+3),TEXT($T1324,"yyyy-mm-dd")))</f>
        <v/>
      </c>
      <c r="AB1324">
        <f>AB1323+IF($R1324="",0,1)</f>
        <v/>
      </c>
      <c r="AC1324">
        <f>IF($R1324="","",$AB1324)</f>
        <v/>
      </c>
    </row>
    <row r="1325">
      <c r="O1325">
        <f>1323</f>
        <v/>
      </c>
      <c r="P1325">
        <f>IF(TRIM('입력_구리근무자명단'!$A1323&amp;"")&lt;&gt;"",TRIM('입력_구리근무자명단'!$A1323&amp;""),P1324)</f>
        <v/>
      </c>
      <c r="Q1325">
        <f>'입력_구리근무자명단'!$B1323&amp;""</f>
        <v/>
      </c>
      <c r="R1325">
        <f>IF($E$2="","",TRIM(INDEX('입력_구리근무자명단'!$A1323:$ZZ1323,1,$E$2+IF($G$2="확정",1,0))&amp;""))</f>
        <v/>
      </c>
      <c r="S1325">
        <f>IF($R1325="","",IF(INDEX('입력_구리근무자명단'!$A1323:$ZZ1323,1,$E$2+2)&amp;""="",급여기준월,IF(ISNUMBER(INDEX('입력_구리근무자명단'!$A1323:$ZZ1323,1,$E$2+2)),INDEX('입력_구리근무자명단'!$A1323:$ZZ1323,1,$E$2+2),IFERROR(DATE(VALUE(LEFT(INDEX('입력_구리근무자명단'!$A1323:$ZZ1323,1,$E$2+2),4)),VALUE(MID(INDEX('입력_구리근무자명단'!$A1323:$ZZ1323,1,$E$2+2),6,2)),VALUE(MID(INDEX('입력_구리근무자명단'!$A1323:$ZZ1323,1,$E$2+2),9,2))),-1))))</f>
        <v/>
      </c>
      <c r="T1325">
        <f>IF($R1325="","",IF(INDEX('입력_구리근무자명단'!$A1323:$ZZ1323,1,$E$2+3)&amp;""="",EOMONTH(급여기준월,0),IF(ISNUMBER(INDEX('입력_구리근무자명단'!$A1323:$ZZ1323,1,$E$2+3)),INDEX('입력_구리근무자명단'!$A1323:$ZZ1323,1,$E$2+3),IFERROR(DATE(VALUE(LEFT(INDEX('입력_구리근무자명단'!$A1323:$ZZ1323,1,$E$2+3),4)),VALUE(MID(INDEX('입력_구리근무자명단'!$A1323:$ZZ1323,1,$E$2+3),6,2)),VALUE(MID(INDEX('입력_구리근무자명단'!$A1323:$ZZ1323,1,$E$2+3),9,2))),-1))))</f>
        <v/>
      </c>
      <c r="U1325">
        <f>IF($R1325="","",IF(OR($S1325&lt;0,$T1325&lt;0),0,MAX(0,MIN($T1325,EOMONTH(급여기준월,0))-MAX($S1325,급여기준월)+1)))</f>
        <v/>
      </c>
      <c r="V1325">
        <f>IF($R1325="","",TRIM(INDEX('입력_구리근무자명단'!$A1323:$ZZ1323,1,$E$2+5)&amp;""))</f>
        <v/>
      </c>
      <c r="W1325">
        <f>IF(ISNUMBER(SEARCH("구리독자",$V1325)),"구리독자","")</f>
        <v/>
      </c>
      <c r="X1325">
        <f>IF($R1325="","",$R1325&amp;"|"&amp;IF(OR($Q1325="인턴",ISNUMBER(SEARCH("수련교육부",$P1325))),"인턴",$P1325))</f>
        <v/>
      </c>
      <c r="Y1325">
        <f>IF($R1325="","",IF(COUNTIF(명단표[이름|과],$X1325)=1,"명단 일치",IF(AND(COUNTIF(명단표[이름|과],$X1325)=0,COUNTIF(명단표[이름],$R1325)=1),"명단 일치(이름만, 과 다름)",IF(COUNTIF(명단표[이름],$R1325)=0,IF(COUNTIF(기본자료표[이름],$R1325)&gt;0,"명단에 없음(기본자료에는 있음)","명단에 없음"),"동명이인 확인"))))</f>
        <v/>
      </c>
      <c r="Z1325">
        <f>IF($R1325="","",IF($S1325&lt;0,"⚠"&amp;INDEX('입력_구리근무자명단'!$A1323:$ZZ1323,1,$E$2+2),TEXT($S1325,"yyyy-mm-dd")))</f>
        <v/>
      </c>
      <c r="AA1325">
        <f>IF($R1325="","",IF($T1325&lt;0,"⚠"&amp;INDEX('입력_구리근무자명단'!$A1323:$ZZ1323,1,$E$2+3),TEXT($T1325,"yyyy-mm-dd")))</f>
        <v/>
      </c>
      <c r="AB1325">
        <f>AB1324+IF($R1325="",0,1)</f>
        <v/>
      </c>
      <c r="AC1325">
        <f>IF($R1325="","",$AB1325)</f>
        <v/>
      </c>
    </row>
    <row r="1326">
      <c r="O1326">
        <f>1324</f>
        <v/>
      </c>
      <c r="P1326">
        <f>IF(TRIM('입력_구리근무자명단'!$A1324&amp;"")&lt;&gt;"",TRIM('입력_구리근무자명단'!$A1324&amp;""),P1325)</f>
        <v/>
      </c>
      <c r="Q1326">
        <f>'입력_구리근무자명단'!$B1324&amp;""</f>
        <v/>
      </c>
      <c r="R1326">
        <f>IF($E$2="","",TRIM(INDEX('입력_구리근무자명단'!$A1324:$ZZ1324,1,$E$2+IF($G$2="확정",1,0))&amp;""))</f>
        <v/>
      </c>
      <c r="S1326">
        <f>IF($R1326="","",IF(INDEX('입력_구리근무자명단'!$A1324:$ZZ1324,1,$E$2+2)&amp;""="",급여기준월,IF(ISNUMBER(INDEX('입력_구리근무자명단'!$A1324:$ZZ1324,1,$E$2+2)),INDEX('입력_구리근무자명단'!$A1324:$ZZ1324,1,$E$2+2),IFERROR(DATE(VALUE(LEFT(INDEX('입력_구리근무자명단'!$A1324:$ZZ1324,1,$E$2+2),4)),VALUE(MID(INDEX('입력_구리근무자명단'!$A1324:$ZZ1324,1,$E$2+2),6,2)),VALUE(MID(INDEX('입력_구리근무자명단'!$A1324:$ZZ1324,1,$E$2+2),9,2))),-1))))</f>
        <v/>
      </c>
      <c r="T1326">
        <f>IF($R1326="","",IF(INDEX('입력_구리근무자명단'!$A1324:$ZZ1324,1,$E$2+3)&amp;""="",EOMONTH(급여기준월,0),IF(ISNUMBER(INDEX('입력_구리근무자명단'!$A1324:$ZZ1324,1,$E$2+3)),INDEX('입력_구리근무자명단'!$A1324:$ZZ1324,1,$E$2+3),IFERROR(DATE(VALUE(LEFT(INDEX('입력_구리근무자명단'!$A1324:$ZZ1324,1,$E$2+3),4)),VALUE(MID(INDEX('입력_구리근무자명단'!$A1324:$ZZ1324,1,$E$2+3),6,2)),VALUE(MID(INDEX('입력_구리근무자명단'!$A1324:$ZZ1324,1,$E$2+3),9,2))),-1))))</f>
        <v/>
      </c>
      <c r="U1326">
        <f>IF($R1326="","",IF(OR($S1326&lt;0,$T1326&lt;0),0,MAX(0,MIN($T1326,EOMONTH(급여기준월,0))-MAX($S1326,급여기준월)+1)))</f>
        <v/>
      </c>
      <c r="V1326">
        <f>IF($R1326="","",TRIM(INDEX('입력_구리근무자명단'!$A1324:$ZZ1324,1,$E$2+5)&amp;""))</f>
        <v/>
      </c>
      <c r="W1326">
        <f>IF(ISNUMBER(SEARCH("구리독자",$V1326)),"구리독자","")</f>
        <v/>
      </c>
      <c r="X1326">
        <f>IF($R1326="","",$R1326&amp;"|"&amp;IF(OR($Q1326="인턴",ISNUMBER(SEARCH("수련교육부",$P1326))),"인턴",$P1326))</f>
        <v/>
      </c>
      <c r="Y1326">
        <f>IF($R1326="","",IF(COUNTIF(명단표[이름|과],$X1326)=1,"명단 일치",IF(AND(COUNTIF(명단표[이름|과],$X1326)=0,COUNTIF(명단표[이름],$R1326)=1),"명단 일치(이름만, 과 다름)",IF(COUNTIF(명단표[이름],$R1326)=0,IF(COUNTIF(기본자료표[이름],$R1326)&gt;0,"명단에 없음(기본자료에는 있음)","명단에 없음"),"동명이인 확인"))))</f>
        <v/>
      </c>
      <c r="Z1326">
        <f>IF($R1326="","",IF($S1326&lt;0,"⚠"&amp;INDEX('입력_구리근무자명단'!$A1324:$ZZ1324,1,$E$2+2),TEXT($S1326,"yyyy-mm-dd")))</f>
        <v/>
      </c>
      <c r="AA1326">
        <f>IF($R1326="","",IF($T1326&lt;0,"⚠"&amp;INDEX('입력_구리근무자명단'!$A1324:$ZZ1324,1,$E$2+3),TEXT($T1326,"yyyy-mm-dd")))</f>
        <v/>
      </c>
      <c r="AB1326">
        <f>AB1325+IF($R1326="",0,1)</f>
        <v/>
      </c>
      <c r="AC1326">
        <f>IF($R1326="","",$AB1326)</f>
        <v/>
      </c>
    </row>
    <row r="1327">
      <c r="O1327">
        <f>1325</f>
        <v/>
      </c>
      <c r="P1327">
        <f>IF(TRIM('입력_구리근무자명단'!$A1325&amp;"")&lt;&gt;"",TRIM('입력_구리근무자명단'!$A1325&amp;""),P1326)</f>
        <v/>
      </c>
      <c r="Q1327">
        <f>'입력_구리근무자명단'!$B1325&amp;""</f>
        <v/>
      </c>
      <c r="R1327">
        <f>IF($E$2="","",TRIM(INDEX('입력_구리근무자명단'!$A1325:$ZZ1325,1,$E$2+IF($G$2="확정",1,0))&amp;""))</f>
        <v/>
      </c>
      <c r="S1327">
        <f>IF($R1327="","",IF(INDEX('입력_구리근무자명단'!$A1325:$ZZ1325,1,$E$2+2)&amp;""="",급여기준월,IF(ISNUMBER(INDEX('입력_구리근무자명단'!$A1325:$ZZ1325,1,$E$2+2)),INDEX('입력_구리근무자명단'!$A1325:$ZZ1325,1,$E$2+2),IFERROR(DATE(VALUE(LEFT(INDEX('입력_구리근무자명단'!$A1325:$ZZ1325,1,$E$2+2),4)),VALUE(MID(INDEX('입력_구리근무자명단'!$A1325:$ZZ1325,1,$E$2+2),6,2)),VALUE(MID(INDEX('입력_구리근무자명단'!$A1325:$ZZ1325,1,$E$2+2),9,2))),-1))))</f>
        <v/>
      </c>
      <c r="T1327">
        <f>IF($R1327="","",IF(INDEX('입력_구리근무자명단'!$A1325:$ZZ1325,1,$E$2+3)&amp;""="",EOMONTH(급여기준월,0),IF(ISNUMBER(INDEX('입력_구리근무자명단'!$A1325:$ZZ1325,1,$E$2+3)),INDEX('입력_구리근무자명단'!$A1325:$ZZ1325,1,$E$2+3),IFERROR(DATE(VALUE(LEFT(INDEX('입력_구리근무자명단'!$A1325:$ZZ1325,1,$E$2+3),4)),VALUE(MID(INDEX('입력_구리근무자명단'!$A1325:$ZZ1325,1,$E$2+3),6,2)),VALUE(MID(INDEX('입력_구리근무자명단'!$A1325:$ZZ1325,1,$E$2+3),9,2))),-1))))</f>
        <v/>
      </c>
      <c r="U1327">
        <f>IF($R1327="","",IF(OR($S1327&lt;0,$T1327&lt;0),0,MAX(0,MIN($T1327,EOMONTH(급여기준월,0))-MAX($S1327,급여기준월)+1)))</f>
        <v/>
      </c>
      <c r="V1327">
        <f>IF($R1327="","",TRIM(INDEX('입력_구리근무자명단'!$A1325:$ZZ1325,1,$E$2+5)&amp;""))</f>
        <v/>
      </c>
      <c r="W1327">
        <f>IF(ISNUMBER(SEARCH("구리독자",$V1327)),"구리독자","")</f>
        <v/>
      </c>
      <c r="X1327">
        <f>IF($R1327="","",$R1327&amp;"|"&amp;IF(OR($Q1327="인턴",ISNUMBER(SEARCH("수련교육부",$P1327))),"인턴",$P1327))</f>
        <v/>
      </c>
      <c r="Y1327">
        <f>IF($R1327="","",IF(COUNTIF(명단표[이름|과],$X1327)=1,"명단 일치",IF(AND(COUNTIF(명단표[이름|과],$X1327)=0,COUNTIF(명단표[이름],$R1327)=1),"명단 일치(이름만, 과 다름)",IF(COUNTIF(명단표[이름],$R1327)=0,IF(COUNTIF(기본자료표[이름],$R1327)&gt;0,"명단에 없음(기본자료에는 있음)","명단에 없음"),"동명이인 확인"))))</f>
        <v/>
      </c>
      <c r="Z1327">
        <f>IF($R1327="","",IF($S1327&lt;0,"⚠"&amp;INDEX('입력_구리근무자명단'!$A1325:$ZZ1325,1,$E$2+2),TEXT($S1327,"yyyy-mm-dd")))</f>
        <v/>
      </c>
      <c r="AA1327">
        <f>IF($R1327="","",IF($T1327&lt;0,"⚠"&amp;INDEX('입력_구리근무자명단'!$A1325:$ZZ1325,1,$E$2+3),TEXT($T1327,"yyyy-mm-dd")))</f>
        <v/>
      </c>
      <c r="AB1327">
        <f>AB1326+IF($R1327="",0,1)</f>
        <v/>
      </c>
      <c r="AC1327">
        <f>IF($R1327="","",$AB1327)</f>
        <v/>
      </c>
    </row>
    <row r="1328">
      <c r="O1328">
        <f>1326</f>
        <v/>
      </c>
      <c r="P1328">
        <f>IF(TRIM('입력_구리근무자명단'!$A1326&amp;"")&lt;&gt;"",TRIM('입력_구리근무자명단'!$A1326&amp;""),P1327)</f>
        <v/>
      </c>
      <c r="Q1328">
        <f>'입력_구리근무자명단'!$B1326&amp;""</f>
        <v/>
      </c>
      <c r="R1328">
        <f>IF($E$2="","",TRIM(INDEX('입력_구리근무자명단'!$A1326:$ZZ1326,1,$E$2+IF($G$2="확정",1,0))&amp;""))</f>
        <v/>
      </c>
      <c r="S1328">
        <f>IF($R1328="","",IF(INDEX('입력_구리근무자명단'!$A1326:$ZZ1326,1,$E$2+2)&amp;""="",급여기준월,IF(ISNUMBER(INDEX('입력_구리근무자명단'!$A1326:$ZZ1326,1,$E$2+2)),INDEX('입력_구리근무자명단'!$A1326:$ZZ1326,1,$E$2+2),IFERROR(DATE(VALUE(LEFT(INDEX('입력_구리근무자명단'!$A1326:$ZZ1326,1,$E$2+2),4)),VALUE(MID(INDEX('입력_구리근무자명단'!$A1326:$ZZ1326,1,$E$2+2),6,2)),VALUE(MID(INDEX('입력_구리근무자명단'!$A1326:$ZZ1326,1,$E$2+2),9,2))),-1))))</f>
        <v/>
      </c>
      <c r="T1328">
        <f>IF($R1328="","",IF(INDEX('입력_구리근무자명단'!$A1326:$ZZ1326,1,$E$2+3)&amp;""="",EOMONTH(급여기준월,0),IF(ISNUMBER(INDEX('입력_구리근무자명단'!$A1326:$ZZ1326,1,$E$2+3)),INDEX('입력_구리근무자명단'!$A1326:$ZZ1326,1,$E$2+3),IFERROR(DATE(VALUE(LEFT(INDEX('입력_구리근무자명단'!$A1326:$ZZ1326,1,$E$2+3),4)),VALUE(MID(INDEX('입력_구리근무자명단'!$A1326:$ZZ1326,1,$E$2+3),6,2)),VALUE(MID(INDEX('입력_구리근무자명단'!$A1326:$ZZ1326,1,$E$2+3),9,2))),-1))))</f>
        <v/>
      </c>
      <c r="U1328">
        <f>IF($R1328="","",IF(OR($S1328&lt;0,$T1328&lt;0),0,MAX(0,MIN($T1328,EOMONTH(급여기준월,0))-MAX($S1328,급여기준월)+1)))</f>
        <v/>
      </c>
      <c r="V1328">
        <f>IF($R1328="","",TRIM(INDEX('입력_구리근무자명단'!$A1326:$ZZ1326,1,$E$2+5)&amp;""))</f>
        <v/>
      </c>
      <c r="W1328">
        <f>IF(ISNUMBER(SEARCH("구리독자",$V1328)),"구리독자","")</f>
        <v/>
      </c>
      <c r="X1328">
        <f>IF($R1328="","",$R1328&amp;"|"&amp;IF(OR($Q1328="인턴",ISNUMBER(SEARCH("수련교육부",$P1328))),"인턴",$P1328))</f>
        <v/>
      </c>
      <c r="Y1328">
        <f>IF($R1328="","",IF(COUNTIF(명단표[이름|과],$X1328)=1,"명단 일치",IF(AND(COUNTIF(명단표[이름|과],$X1328)=0,COUNTIF(명단표[이름],$R1328)=1),"명단 일치(이름만, 과 다름)",IF(COUNTIF(명단표[이름],$R1328)=0,IF(COUNTIF(기본자료표[이름],$R1328)&gt;0,"명단에 없음(기본자료에는 있음)","명단에 없음"),"동명이인 확인"))))</f>
        <v/>
      </c>
      <c r="Z1328">
        <f>IF($R1328="","",IF($S1328&lt;0,"⚠"&amp;INDEX('입력_구리근무자명단'!$A1326:$ZZ1326,1,$E$2+2),TEXT($S1328,"yyyy-mm-dd")))</f>
        <v/>
      </c>
      <c r="AA1328">
        <f>IF($R1328="","",IF($T1328&lt;0,"⚠"&amp;INDEX('입력_구리근무자명단'!$A1326:$ZZ1326,1,$E$2+3),TEXT($T1328,"yyyy-mm-dd")))</f>
        <v/>
      </c>
      <c r="AB1328">
        <f>AB1327+IF($R1328="",0,1)</f>
        <v/>
      </c>
      <c r="AC1328">
        <f>IF($R1328="","",$AB1328)</f>
        <v/>
      </c>
    </row>
    <row r="1329">
      <c r="O1329">
        <f>1327</f>
        <v/>
      </c>
      <c r="P1329">
        <f>IF(TRIM('입력_구리근무자명단'!$A1327&amp;"")&lt;&gt;"",TRIM('입력_구리근무자명단'!$A1327&amp;""),P1328)</f>
        <v/>
      </c>
      <c r="Q1329">
        <f>'입력_구리근무자명단'!$B1327&amp;""</f>
        <v/>
      </c>
      <c r="R1329">
        <f>IF($E$2="","",TRIM(INDEX('입력_구리근무자명단'!$A1327:$ZZ1327,1,$E$2+IF($G$2="확정",1,0))&amp;""))</f>
        <v/>
      </c>
      <c r="S1329">
        <f>IF($R1329="","",IF(INDEX('입력_구리근무자명단'!$A1327:$ZZ1327,1,$E$2+2)&amp;""="",급여기준월,IF(ISNUMBER(INDEX('입력_구리근무자명단'!$A1327:$ZZ1327,1,$E$2+2)),INDEX('입력_구리근무자명단'!$A1327:$ZZ1327,1,$E$2+2),IFERROR(DATE(VALUE(LEFT(INDEX('입력_구리근무자명단'!$A1327:$ZZ1327,1,$E$2+2),4)),VALUE(MID(INDEX('입력_구리근무자명단'!$A1327:$ZZ1327,1,$E$2+2),6,2)),VALUE(MID(INDEX('입력_구리근무자명단'!$A1327:$ZZ1327,1,$E$2+2),9,2))),-1))))</f>
        <v/>
      </c>
      <c r="T1329">
        <f>IF($R1329="","",IF(INDEX('입력_구리근무자명단'!$A1327:$ZZ1327,1,$E$2+3)&amp;""="",EOMONTH(급여기준월,0),IF(ISNUMBER(INDEX('입력_구리근무자명단'!$A1327:$ZZ1327,1,$E$2+3)),INDEX('입력_구리근무자명단'!$A1327:$ZZ1327,1,$E$2+3),IFERROR(DATE(VALUE(LEFT(INDEX('입력_구리근무자명단'!$A1327:$ZZ1327,1,$E$2+3),4)),VALUE(MID(INDEX('입력_구리근무자명단'!$A1327:$ZZ1327,1,$E$2+3),6,2)),VALUE(MID(INDEX('입력_구리근무자명단'!$A1327:$ZZ1327,1,$E$2+3),9,2))),-1))))</f>
        <v/>
      </c>
      <c r="U1329">
        <f>IF($R1329="","",IF(OR($S1329&lt;0,$T1329&lt;0),0,MAX(0,MIN($T1329,EOMONTH(급여기준월,0))-MAX($S1329,급여기준월)+1)))</f>
        <v/>
      </c>
      <c r="V1329">
        <f>IF($R1329="","",TRIM(INDEX('입력_구리근무자명단'!$A1327:$ZZ1327,1,$E$2+5)&amp;""))</f>
        <v/>
      </c>
      <c r="W1329">
        <f>IF(ISNUMBER(SEARCH("구리독자",$V1329)),"구리독자","")</f>
        <v/>
      </c>
      <c r="X1329">
        <f>IF($R1329="","",$R1329&amp;"|"&amp;IF(OR($Q1329="인턴",ISNUMBER(SEARCH("수련교육부",$P1329))),"인턴",$P1329))</f>
        <v/>
      </c>
      <c r="Y1329">
        <f>IF($R1329="","",IF(COUNTIF(명단표[이름|과],$X1329)=1,"명단 일치",IF(AND(COUNTIF(명단표[이름|과],$X1329)=0,COUNTIF(명단표[이름],$R1329)=1),"명단 일치(이름만, 과 다름)",IF(COUNTIF(명단표[이름],$R1329)=0,IF(COUNTIF(기본자료표[이름],$R1329)&gt;0,"명단에 없음(기본자료에는 있음)","명단에 없음"),"동명이인 확인"))))</f>
        <v/>
      </c>
      <c r="Z1329">
        <f>IF($R1329="","",IF($S1329&lt;0,"⚠"&amp;INDEX('입력_구리근무자명단'!$A1327:$ZZ1327,1,$E$2+2),TEXT($S1329,"yyyy-mm-dd")))</f>
        <v/>
      </c>
      <c r="AA1329">
        <f>IF($R1329="","",IF($T1329&lt;0,"⚠"&amp;INDEX('입력_구리근무자명단'!$A1327:$ZZ1327,1,$E$2+3),TEXT($T1329,"yyyy-mm-dd")))</f>
        <v/>
      </c>
      <c r="AB1329">
        <f>AB1328+IF($R1329="",0,1)</f>
        <v/>
      </c>
      <c r="AC1329">
        <f>IF($R1329="","",$AB1329)</f>
        <v/>
      </c>
    </row>
    <row r="1330">
      <c r="O1330">
        <f>1328</f>
        <v/>
      </c>
      <c r="P1330">
        <f>IF(TRIM('입력_구리근무자명단'!$A1328&amp;"")&lt;&gt;"",TRIM('입력_구리근무자명단'!$A1328&amp;""),P1329)</f>
        <v/>
      </c>
      <c r="Q1330">
        <f>'입력_구리근무자명단'!$B1328&amp;""</f>
        <v/>
      </c>
      <c r="R1330">
        <f>IF($E$2="","",TRIM(INDEX('입력_구리근무자명단'!$A1328:$ZZ1328,1,$E$2+IF($G$2="확정",1,0))&amp;""))</f>
        <v/>
      </c>
      <c r="S1330">
        <f>IF($R1330="","",IF(INDEX('입력_구리근무자명단'!$A1328:$ZZ1328,1,$E$2+2)&amp;""="",급여기준월,IF(ISNUMBER(INDEX('입력_구리근무자명단'!$A1328:$ZZ1328,1,$E$2+2)),INDEX('입력_구리근무자명단'!$A1328:$ZZ1328,1,$E$2+2),IFERROR(DATE(VALUE(LEFT(INDEX('입력_구리근무자명단'!$A1328:$ZZ1328,1,$E$2+2),4)),VALUE(MID(INDEX('입력_구리근무자명단'!$A1328:$ZZ1328,1,$E$2+2),6,2)),VALUE(MID(INDEX('입력_구리근무자명단'!$A1328:$ZZ1328,1,$E$2+2),9,2))),-1))))</f>
        <v/>
      </c>
      <c r="T1330">
        <f>IF($R1330="","",IF(INDEX('입력_구리근무자명단'!$A1328:$ZZ1328,1,$E$2+3)&amp;""="",EOMONTH(급여기준월,0),IF(ISNUMBER(INDEX('입력_구리근무자명단'!$A1328:$ZZ1328,1,$E$2+3)),INDEX('입력_구리근무자명단'!$A1328:$ZZ1328,1,$E$2+3),IFERROR(DATE(VALUE(LEFT(INDEX('입력_구리근무자명단'!$A1328:$ZZ1328,1,$E$2+3),4)),VALUE(MID(INDEX('입력_구리근무자명단'!$A1328:$ZZ1328,1,$E$2+3),6,2)),VALUE(MID(INDEX('입력_구리근무자명단'!$A1328:$ZZ1328,1,$E$2+3),9,2))),-1))))</f>
        <v/>
      </c>
      <c r="U1330">
        <f>IF($R1330="","",IF(OR($S1330&lt;0,$T1330&lt;0),0,MAX(0,MIN($T1330,EOMONTH(급여기준월,0))-MAX($S1330,급여기준월)+1)))</f>
        <v/>
      </c>
      <c r="V1330">
        <f>IF($R1330="","",TRIM(INDEX('입력_구리근무자명단'!$A1328:$ZZ1328,1,$E$2+5)&amp;""))</f>
        <v/>
      </c>
      <c r="W1330">
        <f>IF(ISNUMBER(SEARCH("구리독자",$V1330)),"구리독자","")</f>
        <v/>
      </c>
      <c r="X1330">
        <f>IF($R1330="","",$R1330&amp;"|"&amp;IF(OR($Q1330="인턴",ISNUMBER(SEARCH("수련교육부",$P1330))),"인턴",$P1330))</f>
        <v/>
      </c>
      <c r="Y1330">
        <f>IF($R1330="","",IF(COUNTIF(명단표[이름|과],$X1330)=1,"명단 일치",IF(AND(COUNTIF(명단표[이름|과],$X1330)=0,COUNTIF(명단표[이름],$R1330)=1),"명단 일치(이름만, 과 다름)",IF(COUNTIF(명단표[이름],$R1330)=0,IF(COUNTIF(기본자료표[이름],$R1330)&gt;0,"명단에 없음(기본자료에는 있음)","명단에 없음"),"동명이인 확인"))))</f>
        <v/>
      </c>
      <c r="Z1330">
        <f>IF($R1330="","",IF($S1330&lt;0,"⚠"&amp;INDEX('입력_구리근무자명단'!$A1328:$ZZ1328,1,$E$2+2),TEXT($S1330,"yyyy-mm-dd")))</f>
        <v/>
      </c>
      <c r="AA1330">
        <f>IF($R1330="","",IF($T1330&lt;0,"⚠"&amp;INDEX('입력_구리근무자명단'!$A1328:$ZZ1328,1,$E$2+3),TEXT($T1330,"yyyy-mm-dd")))</f>
        <v/>
      </c>
      <c r="AB1330">
        <f>AB1329+IF($R1330="",0,1)</f>
        <v/>
      </c>
      <c r="AC1330">
        <f>IF($R1330="","",$AB1330)</f>
        <v/>
      </c>
    </row>
    <row r="1331">
      <c r="O1331">
        <f>1329</f>
        <v/>
      </c>
      <c r="P1331">
        <f>IF(TRIM('입력_구리근무자명단'!$A1329&amp;"")&lt;&gt;"",TRIM('입력_구리근무자명단'!$A1329&amp;""),P1330)</f>
        <v/>
      </c>
      <c r="Q1331">
        <f>'입력_구리근무자명단'!$B1329&amp;""</f>
        <v/>
      </c>
      <c r="R1331">
        <f>IF($E$2="","",TRIM(INDEX('입력_구리근무자명단'!$A1329:$ZZ1329,1,$E$2+IF($G$2="확정",1,0))&amp;""))</f>
        <v/>
      </c>
      <c r="S1331">
        <f>IF($R1331="","",IF(INDEX('입력_구리근무자명단'!$A1329:$ZZ1329,1,$E$2+2)&amp;""="",급여기준월,IF(ISNUMBER(INDEX('입력_구리근무자명단'!$A1329:$ZZ1329,1,$E$2+2)),INDEX('입력_구리근무자명단'!$A1329:$ZZ1329,1,$E$2+2),IFERROR(DATE(VALUE(LEFT(INDEX('입력_구리근무자명단'!$A1329:$ZZ1329,1,$E$2+2),4)),VALUE(MID(INDEX('입력_구리근무자명단'!$A1329:$ZZ1329,1,$E$2+2),6,2)),VALUE(MID(INDEX('입력_구리근무자명단'!$A1329:$ZZ1329,1,$E$2+2),9,2))),-1))))</f>
        <v/>
      </c>
      <c r="T1331">
        <f>IF($R1331="","",IF(INDEX('입력_구리근무자명단'!$A1329:$ZZ1329,1,$E$2+3)&amp;""="",EOMONTH(급여기준월,0),IF(ISNUMBER(INDEX('입력_구리근무자명단'!$A1329:$ZZ1329,1,$E$2+3)),INDEX('입력_구리근무자명단'!$A1329:$ZZ1329,1,$E$2+3),IFERROR(DATE(VALUE(LEFT(INDEX('입력_구리근무자명단'!$A1329:$ZZ1329,1,$E$2+3),4)),VALUE(MID(INDEX('입력_구리근무자명단'!$A1329:$ZZ1329,1,$E$2+3),6,2)),VALUE(MID(INDEX('입력_구리근무자명단'!$A1329:$ZZ1329,1,$E$2+3),9,2))),-1))))</f>
        <v/>
      </c>
      <c r="U1331">
        <f>IF($R1331="","",IF(OR($S1331&lt;0,$T1331&lt;0),0,MAX(0,MIN($T1331,EOMONTH(급여기준월,0))-MAX($S1331,급여기준월)+1)))</f>
        <v/>
      </c>
      <c r="V1331">
        <f>IF($R1331="","",TRIM(INDEX('입력_구리근무자명단'!$A1329:$ZZ1329,1,$E$2+5)&amp;""))</f>
        <v/>
      </c>
      <c r="W1331">
        <f>IF(ISNUMBER(SEARCH("구리독자",$V1331)),"구리독자","")</f>
        <v/>
      </c>
      <c r="X1331">
        <f>IF($R1331="","",$R1331&amp;"|"&amp;IF(OR($Q1331="인턴",ISNUMBER(SEARCH("수련교육부",$P1331))),"인턴",$P1331))</f>
        <v/>
      </c>
      <c r="Y1331">
        <f>IF($R1331="","",IF(COUNTIF(명단표[이름|과],$X1331)=1,"명단 일치",IF(AND(COUNTIF(명단표[이름|과],$X1331)=0,COUNTIF(명단표[이름],$R1331)=1),"명단 일치(이름만, 과 다름)",IF(COUNTIF(명단표[이름],$R1331)=0,IF(COUNTIF(기본자료표[이름],$R1331)&gt;0,"명단에 없음(기본자료에는 있음)","명단에 없음"),"동명이인 확인"))))</f>
        <v/>
      </c>
      <c r="Z1331">
        <f>IF($R1331="","",IF($S1331&lt;0,"⚠"&amp;INDEX('입력_구리근무자명단'!$A1329:$ZZ1329,1,$E$2+2),TEXT($S1331,"yyyy-mm-dd")))</f>
        <v/>
      </c>
      <c r="AA1331">
        <f>IF($R1331="","",IF($T1331&lt;0,"⚠"&amp;INDEX('입력_구리근무자명단'!$A1329:$ZZ1329,1,$E$2+3),TEXT($T1331,"yyyy-mm-dd")))</f>
        <v/>
      </c>
      <c r="AB1331">
        <f>AB1330+IF($R1331="",0,1)</f>
        <v/>
      </c>
      <c r="AC1331">
        <f>IF($R1331="","",$AB1331)</f>
        <v/>
      </c>
    </row>
    <row r="1332">
      <c r="O1332">
        <f>1330</f>
        <v/>
      </c>
      <c r="P1332">
        <f>IF(TRIM('입력_구리근무자명단'!$A1330&amp;"")&lt;&gt;"",TRIM('입력_구리근무자명단'!$A1330&amp;""),P1331)</f>
        <v/>
      </c>
      <c r="Q1332">
        <f>'입력_구리근무자명단'!$B1330&amp;""</f>
        <v/>
      </c>
      <c r="R1332">
        <f>IF($E$2="","",TRIM(INDEX('입력_구리근무자명단'!$A1330:$ZZ1330,1,$E$2+IF($G$2="확정",1,0))&amp;""))</f>
        <v/>
      </c>
      <c r="S1332">
        <f>IF($R1332="","",IF(INDEX('입력_구리근무자명단'!$A1330:$ZZ1330,1,$E$2+2)&amp;""="",급여기준월,IF(ISNUMBER(INDEX('입력_구리근무자명단'!$A1330:$ZZ1330,1,$E$2+2)),INDEX('입력_구리근무자명단'!$A1330:$ZZ1330,1,$E$2+2),IFERROR(DATE(VALUE(LEFT(INDEX('입력_구리근무자명단'!$A1330:$ZZ1330,1,$E$2+2),4)),VALUE(MID(INDEX('입력_구리근무자명단'!$A1330:$ZZ1330,1,$E$2+2),6,2)),VALUE(MID(INDEX('입력_구리근무자명단'!$A1330:$ZZ1330,1,$E$2+2),9,2))),-1))))</f>
        <v/>
      </c>
      <c r="T1332">
        <f>IF($R1332="","",IF(INDEX('입력_구리근무자명단'!$A1330:$ZZ1330,1,$E$2+3)&amp;""="",EOMONTH(급여기준월,0),IF(ISNUMBER(INDEX('입력_구리근무자명단'!$A1330:$ZZ1330,1,$E$2+3)),INDEX('입력_구리근무자명단'!$A1330:$ZZ1330,1,$E$2+3),IFERROR(DATE(VALUE(LEFT(INDEX('입력_구리근무자명단'!$A1330:$ZZ1330,1,$E$2+3),4)),VALUE(MID(INDEX('입력_구리근무자명단'!$A1330:$ZZ1330,1,$E$2+3),6,2)),VALUE(MID(INDEX('입력_구리근무자명단'!$A1330:$ZZ1330,1,$E$2+3),9,2))),-1))))</f>
        <v/>
      </c>
      <c r="U1332">
        <f>IF($R1332="","",IF(OR($S1332&lt;0,$T1332&lt;0),0,MAX(0,MIN($T1332,EOMONTH(급여기준월,0))-MAX($S1332,급여기준월)+1)))</f>
        <v/>
      </c>
      <c r="V1332">
        <f>IF($R1332="","",TRIM(INDEX('입력_구리근무자명단'!$A1330:$ZZ1330,1,$E$2+5)&amp;""))</f>
        <v/>
      </c>
      <c r="W1332">
        <f>IF(ISNUMBER(SEARCH("구리독자",$V1332)),"구리독자","")</f>
        <v/>
      </c>
      <c r="X1332">
        <f>IF($R1332="","",$R1332&amp;"|"&amp;IF(OR($Q1332="인턴",ISNUMBER(SEARCH("수련교육부",$P1332))),"인턴",$P1332))</f>
        <v/>
      </c>
      <c r="Y1332">
        <f>IF($R1332="","",IF(COUNTIF(명단표[이름|과],$X1332)=1,"명단 일치",IF(AND(COUNTIF(명단표[이름|과],$X1332)=0,COUNTIF(명단표[이름],$R1332)=1),"명단 일치(이름만, 과 다름)",IF(COUNTIF(명단표[이름],$R1332)=0,IF(COUNTIF(기본자료표[이름],$R1332)&gt;0,"명단에 없음(기본자료에는 있음)","명단에 없음"),"동명이인 확인"))))</f>
        <v/>
      </c>
      <c r="Z1332">
        <f>IF($R1332="","",IF($S1332&lt;0,"⚠"&amp;INDEX('입력_구리근무자명단'!$A1330:$ZZ1330,1,$E$2+2),TEXT($S1332,"yyyy-mm-dd")))</f>
        <v/>
      </c>
      <c r="AA1332">
        <f>IF($R1332="","",IF($T1332&lt;0,"⚠"&amp;INDEX('입력_구리근무자명단'!$A1330:$ZZ1330,1,$E$2+3),TEXT($T1332,"yyyy-mm-dd")))</f>
        <v/>
      </c>
      <c r="AB1332">
        <f>AB1331+IF($R1332="",0,1)</f>
        <v/>
      </c>
      <c r="AC1332">
        <f>IF($R1332="","",$AB1332)</f>
        <v/>
      </c>
    </row>
    <row r="1333">
      <c r="O1333">
        <f>1331</f>
        <v/>
      </c>
      <c r="P1333">
        <f>IF(TRIM('입력_구리근무자명단'!$A1331&amp;"")&lt;&gt;"",TRIM('입력_구리근무자명단'!$A1331&amp;""),P1332)</f>
        <v/>
      </c>
      <c r="Q1333">
        <f>'입력_구리근무자명단'!$B1331&amp;""</f>
        <v/>
      </c>
      <c r="R1333">
        <f>IF($E$2="","",TRIM(INDEX('입력_구리근무자명단'!$A1331:$ZZ1331,1,$E$2+IF($G$2="확정",1,0))&amp;""))</f>
        <v/>
      </c>
      <c r="S1333">
        <f>IF($R1333="","",IF(INDEX('입력_구리근무자명단'!$A1331:$ZZ1331,1,$E$2+2)&amp;""="",급여기준월,IF(ISNUMBER(INDEX('입력_구리근무자명단'!$A1331:$ZZ1331,1,$E$2+2)),INDEX('입력_구리근무자명단'!$A1331:$ZZ1331,1,$E$2+2),IFERROR(DATE(VALUE(LEFT(INDEX('입력_구리근무자명단'!$A1331:$ZZ1331,1,$E$2+2),4)),VALUE(MID(INDEX('입력_구리근무자명단'!$A1331:$ZZ1331,1,$E$2+2),6,2)),VALUE(MID(INDEX('입력_구리근무자명단'!$A1331:$ZZ1331,1,$E$2+2),9,2))),-1))))</f>
        <v/>
      </c>
      <c r="T1333">
        <f>IF($R1333="","",IF(INDEX('입력_구리근무자명단'!$A1331:$ZZ1331,1,$E$2+3)&amp;""="",EOMONTH(급여기준월,0),IF(ISNUMBER(INDEX('입력_구리근무자명단'!$A1331:$ZZ1331,1,$E$2+3)),INDEX('입력_구리근무자명단'!$A1331:$ZZ1331,1,$E$2+3),IFERROR(DATE(VALUE(LEFT(INDEX('입력_구리근무자명단'!$A1331:$ZZ1331,1,$E$2+3),4)),VALUE(MID(INDEX('입력_구리근무자명단'!$A1331:$ZZ1331,1,$E$2+3),6,2)),VALUE(MID(INDEX('입력_구리근무자명단'!$A1331:$ZZ1331,1,$E$2+3),9,2))),-1))))</f>
        <v/>
      </c>
      <c r="U1333">
        <f>IF($R1333="","",IF(OR($S1333&lt;0,$T1333&lt;0),0,MAX(0,MIN($T1333,EOMONTH(급여기준월,0))-MAX($S1333,급여기준월)+1)))</f>
        <v/>
      </c>
      <c r="V1333">
        <f>IF($R1333="","",TRIM(INDEX('입력_구리근무자명단'!$A1331:$ZZ1331,1,$E$2+5)&amp;""))</f>
        <v/>
      </c>
      <c r="W1333">
        <f>IF(ISNUMBER(SEARCH("구리독자",$V1333)),"구리독자","")</f>
        <v/>
      </c>
      <c r="X1333">
        <f>IF($R1333="","",$R1333&amp;"|"&amp;IF(OR($Q1333="인턴",ISNUMBER(SEARCH("수련교육부",$P1333))),"인턴",$P1333))</f>
        <v/>
      </c>
      <c r="Y1333">
        <f>IF($R1333="","",IF(COUNTIF(명단표[이름|과],$X1333)=1,"명단 일치",IF(AND(COUNTIF(명단표[이름|과],$X1333)=0,COUNTIF(명단표[이름],$R1333)=1),"명단 일치(이름만, 과 다름)",IF(COUNTIF(명단표[이름],$R1333)=0,IF(COUNTIF(기본자료표[이름],$R1333)&gt;0,"명단에 없음(기본자료에는 있음)","명단에 없음"),"동명이인 확인"))))</f>
        <v/>
      </c>
      <c r="Z1333">
        <f>IF($R1333="","",IF($S1333&lt;0,"⚠"&amp;INDEX('입력_구리근무자명단'!$A1331:$ZZ1331,1,$E$2+2),TEXT($S1333,"yyyy-mm-dd")))</f>
        <v/>
      </c>
      <c r="AA1333">
        <f>IF($R1333="","",IF($T1333&lt;0,"⚠"&amp;INDEX('입력_구리근무자명단'!$A1331:$ZZ1331,1,$E$2+3),TEXT($T1333,"yyyy-mm-dd")))</f>
        <v/>
      </c>
      <c r="AB1333">
        <f>AB1332+IF($R1333="",0,1)</f>
        <v/>
      </c>
      <c r="AC1333">
        <f>IF($R1333="","",$AB1333)</f>
        <v/>
      </c>
    </row>
    <row r="1334">
      <c r="O1334">
        <f>1332</f>
        <v/>
      </c>
      <c r="P1334">
        <f>IF(TRIM('입력_구리근무자명단'!$A1332&amp;"")&lt;&gt;"",TRIM('입력_구리근무자명단'!$A1332&amp;""),P1333)</f>
        <v/>
      </c>
      <c r="Q1334">
        <f>'입력_구리근무자명단'!$B1332&amp;""</f>
        <v/>
      </c>
      <c r="R1334">
        <f>IF($E$2="","",TRIM(INDEX('입력_구리근무자명단'!$A1332:$ZZ1332,1,$E$2+IF($G$2="확정",1,0))&amp;""))</f>
        <v/>
      </c>
      <c r="S1334">
        <f>IF($R1334="","",IF(INDEX('입력_구리근무자명단'!$A1332:$ZZ1332,1,$E$2+2)&amp;""="",급여기준월,IF(ISNUMBER(INDEX('입력_구리근무자명단'!$A1332:$ZZ1332,1,$E$2+2)),INDEX('입력_구리근무자명단'!$A1332:$ZZ1332,1,$E$2+2),IFERROR(DATE(VALUE(LEFT(INDEX('입력_구리근무자명단'!$A1332:$ZZ1332,1,$E$2+2),4)),VALUE(MID(INDEX('입력_구리근무자명단'!$A1332:$ZZ1332,1,$E$2+2),6,2)),VALUE(MID(INDEX('입력_구리근무자명단'!$A1332:$ZZ1332,1,$E$2+2),9,2))),-1))))</f>
        <v/>
      </c>
      <c r="T1334">
        <f>IF($R1334="","",IF(INDEX('입력_구리근무자명단'!$A1332:$ZZ1332,1,$E$2+3)&amp;""="",EOMONTH(급여기준월,0),IF(ISNUMBER(INDEX('입력_구리근무자명단'!$A1332:$ZZ1332,1,$E$2+3)),INDEX('입력_구리근무자명단'!$A1332:$ZZ1332,1,$E$2+3),IFERROR(DATE(VALUE(LEFT(INDEX('입력_구리근무자명단'!$A1332:$ZZ1332,1,$E$2+3),4)),VALUE(MID(INDEX('입력_구리근무자명단'!$A1332:$ZZ1332,1,$E$2+3),6,2)),VALUE(MID(INDEX('입력_구리근무자명단'!$A1332:$ZZ1332,1,$E$2+3),9,2))),-1))))</f>
        <v/>
      </c>
      <c r="U1334">
        <f>IF($R1334="","",IF(OR($S1334&lt;0,$T1334&lt;0),0,MAX(0,MIN($T1334,EOMONTH(급여기준월,0))-MAX($S1334,급여기준월)+1)))</f>
        <v/>
      </c>
      <c r="V1334">
        <f>IF($R1334="","",TRIM(INDEX('입력_구리근무자명단'!$A1332:$ZZ1332,1,$E$2+5)&amp;""))</f>
        <v/>
      </c>
      <c r="W1334">
        <f>IF(ISNUMBER(SEARCH("구리독자",$V1334)),"구리독자","")</f>
        <v/>
      </c>
      <c r="X1334">
        <f>IF($R1334="","",$R1334&amp;"|"&amp;IF(OR($Q1334="인턴",ISNUMBER(SEARCH("수련교육부",$P1334))),"인턴",$P1334))</f>
        <v/>
      </c>
      <c r="Y1334">
        <f>IF($R1334="","",IF(COUNTIF(명단표[이름|과],$X1334)=1,"명단 일치",IF(AND(COUNTIF(명단표[이름|과],$X1334)=0,COUNTIF(명단표[이름],$R1334)=1),"명단 일치(이름만, 과 다름)",IF(COUNTIF(명단표[이름],$R1334)=0,IF(COUNTIF(기본자료표[이름],$R1334)&gt;0,"명단에 없음(기본자료에는 있음)","명단에 없음"),"동명이인 확인"))))</f>
        <v/>
      </c>
      <c r="Z1334">
        <f>IF($R1334="","",IF($S1334&lt;0,"⚠"&amp;INDEX('입력_구리근무자명단'!$A1332:$ZZ1332,1,$E$2+2),TEXT($S1334,"yyyy-mm-dd")))</f>
        <v/>
      </c>
      <c r="AA1334">
        <f>IF($R1334="","",IF($T1334&lt;0,"⚠"&amp;INDEX('입력_구리근무자명단'!$A1332:$ZZ1332,1,$E$2+3),TEXT($T1334,"yyyy-mm-dd")))</f>
        <v/>
      </c>
      <c r="AB1334">
        <f>AB1333+IF($R1334="",0,1)</f>
        <v/>
      </c>
      <c r="AC1334">
        <f>IF($R1334="","",$AB1334)</f>
        <v/>
      </c>
    </row>
    <row r="1335">
      <c r="O1335">
        <f>1333</f>
        <v/>
      </c>
      <c r="P1335">
        <f>IF(TRIM('입력_구리근무자명단'!$A1333&amp;"")&lt;&gt;"",TRIM('입력_구리근무자명단'!$A1333&amp;""),P1334)</f>
        <v/>
      </c>
      <c r="Q1335">
        <f>'입력_구리근무자명단'!$B1333&amp;""</f>
        <v/>
      </c>
      <c r="R1335">
        <f>IF($E$2="","",TRIM(INDEX('입력_구리근무자명단'!$A1333:$ZZ1333,1,$E$2+IF($G$2="확정",1,0))&amp;""))</f>
        <v/>
      </c>
      <c r="S1335">
        <f>IF($R1335="","",IF(INDEX('입력_구리근무자명단'!$A1333:$ZZ1333,1,$E$2+2)&amp;""="",급여기준월,IF(ISNUMBER(INDEX('입력_구리근무자명단'!$A1333:$ZZ1333,1,$E$2+2)),INDEX('입력_구리근무자명단'!$A1333:$ZZ1333,1,$E$2+2),IFERROR(DATE(VALUE(LEFT(INDEX('입력_구리근무자명단'!$A1333:$ZZ1333,1,$E$2+2),4)),VALUE(MID(INDEX('입력_구리근무자명단'!$A1333:$ZZ1333,1,$E$2+2),6,2)),VALUE(MID(INDEX('입력_구리근무자명단'!$A1333:$ZZ1333,1,$E$2+2),9,2))),-1))))</f>
        <v/>
      </c>
      <c r="T1335">
        <f>IF($R1335="","",IF(INDEX('입력_구리근무자명단'!$A1333:$ZZ1333,1,$E$2+3)&amp;""="",EOMONTH(급여기준월,0),IF(ISNUMBER(INDEX('입력_구리근무자명단'!$A1333:$ZZ1333,1,$E$2+3)),INDEX('입력_구리근무자명단'!$A1333:$ZZ1333,1,$E$2+3),IFERROR(DATE(VALUE(LEFT(INDEX('입력_구리근무자명단'!$A1333:$ZZ1333,1,$E$2+3),4)),VALUE(MID(INDEX('입력_구리근무자명단'!$A1333:$ZZ1333,1,$E$2+3),6,2)),VALUE(MID(INDEX('입력_구리근무자명단'!$A1333:$ZZ1333,1,$E$2+3),9,2))),-1))))</f>
        <v/>
      </c>
      <c r="U1335">
        <f>IF($R1335="","",IF(OR($S1335&lt;0,$T1335&lt;0),0,MAX(0,MIN($T1335,EOMONTH(급여기준월,0))-MAX($S1335,급여기준월)+1)))</f>
        <v/>
      </c>
      <c r="V1335">
        <f>IF($R1335="","",TRIM(INDEX('입력_구리근무자명단'!$A1333:$ZZ1333,1,$E$2+5)&amp;""))</f>
        <v/>
      </c>
      <c r="W1335">
        <f>IF(ISNUMBER(SEARCH("구리독자",$V1335)),"구리독자","")</f>
        <v/>
      </c>
      <c r="X1335">
        <f>IF($R1335="","",$R1335&amp;"|"&amp;IF(OR($Q1335="인턴",ISNUMBER(SEARCH("수련교육부",$P1335))),"인턴",$P1335))</f>
        <v/>
      </c>
      <c r="Y1335">
        <f>IF($R1335="","",IF(COUNTIF(명단표[이름|과],$X1335)=1,"명단 일치",IF(AND(COUNTIF(명단표[이름|과],$X1335)=0,COUNTIF(명단표[이름],$R1335)=1),"명단 일치(이름만, 과 다름)",IF(COUNTIF(명단표[이름],$R1335)=0,IF(COUNTIF(기본자료표[이름],$R1335)&gt;0,"명단에 없음(기본자료에는 있음)","명단에 없음"),"동명이인 확인"))))</f>
        <v/>
      </c>
      <c r="Z1335">
        <f>IF($R1335="","",IF($S1335&lt;0,"⚠"&amp;INDEX('입력_구리근무자명단'!$A1333:$ZZ1333,1,$E$2+2),TEXT($S1335,"yyyy-mm-dd")))</f>
        <v/>
      </c>
      <c r="AA1335">
        <f>IF($R1335="","",IF($T1335&lt;0,"⚠"&amp;INDEX('입력_구리근무자명단'!$A1333:$ZZ1333,1,$E$2+3),TEXT($T1335,"yyyy-mm-dd")))</f>
        <v/>
      </c>
      <c r="AB1335">
        <f>AB1334+IF($R1335="",0,1)</f>
        <v/>
      </c>
      <c r="AC1335">
        <f>IF($R1335="","",$AB1335)</f>
        <v/>
      </c>
    </row>
    <row r="1336">
      <c r="O1336">
        <f>1334</f>
        <v/>
      </c>
      <c r="P1336">
        <f>IF(TRIM('입력_구리근무자명단'!$A1334&amp;"")&lt;&gt;"",TRIM('입력_구리근무자명단'!$A1334&amp;""),P1335)</f>
        <v/>
      </c>
      <c r="Q1336">
        <f>'입력_구리근무자명단'!$B1334&amp;""</f>
        <v/>
      </c>
      <c r="R1336">
        <f>IF($E$2="","",TRIM(INDEX('입력_구리근무자명단'!$A1334:$ZZ1334,1,$E$2+IF($G$2="확정",1,0))&amp;""))</f>
        <v/>
      </c>
      <c r="S1336">
        <f>IF($R1336="","",IF(INDEX('입력_구리근무자명단'!$A1334:$ZZ1334,1,$E$2+2)&amp;""="",급여기준월,IF(ISNUMBER(INDEX('입력_구리근무자명단'!$A1334:$ZZ1334,1,$E$2+2)),INDEX('입력_구리근무자명단'!$A1334:$ZZ1334,1,$E$2+2),IFERROR(DATE(VALUE(LEFT(INDEX('입력_구리근무자명단'!$A1334:$ZZ1334,1,$E$2+2),4)),VALUE(MID(INDEX('입력_구리근무자명단'!$A1334:$ZZ1334,1,$E$2+2),6,2)),VALUE(MID(INDEX('입력_구리근무자명단'!$A1334:$ZZ1334,1,$E$2+2),9,2))),-1))))</f>
        <v/>
      </c>
      <c r="T1336">
        <f>IF($R1336="","",IF(INDEX('입력_구리근무자명단'!$A1334:$ZZ1334,1,$E$2+3)&amp;""="",EOMONTH(급여기준월,0),IF(ISNUMBER(INDEX('입력_구리근무자명단'!$A1334:$ZZ1334,1,$E$2+3)),INDEX('입력_구리근무자명단'!$A1334:$ZZ1334,1,$E$2+3),IFERROR(DATE(VALUE(LEFT(INDEX('입력_구리근무자명단'!$A1334:$ZZ1334,1,$E$2+3),4)),VALUE(MID(INDEX('입력_구리근무자명단'!$A1334:$ZZ1334,1,$E$2+3),6,2)),VALUE(MID(INDEX('입력_구리근무자명단'!$A1334:$ZZ1334,1,$E$2+3),9,2))),-1))))</f>
        <v/>
      </c>
      <c r="U1336">
        <f>IF($R1336="","",IF(OR($S1336&lt;0,$T1336&lt;0),0,MAX(0,MIN($T1336,EOMONTH(급여기준월,0))-MAX($S1336,급여기준월)+1)))</f>
        <v/>
      </c>
      <c r="V1336">
        <f>IF($R1336="","",TRIM(INDEX('입력_구리근무자명단'!$A1334:$ZZ1334,1,$E$2+5)&amp;""))</f>
        <v/>
      </c>
      <c r="W1336">
        <f>IF(ISNUMBER(SEARCH("구리독자",$V1336)),"구리독자","")</f>
        <v/>
      </c>
      <c r="X1336">
        <f>IF($R1336="","",$R1336&amp;"|"&amp;IF(OR($Q1336="인턴",ISNUMBER(SEARCH("수련교육부",$P1336))),"인턴",$P1336))</f>
        <v/>
      </c>
      <c r="Y1336">
        <f>IF($R1336="","",IF(COUNTIF(명단표[이름|과],$X1336)=1,"명단 일치",IF(AND(COUNTIF(명단표[이름|과],$X1336)=0,COUNTIF(명단표[이름],$R1336)=1),"명단 일치(이름만, 과 다름)",IF(COUNTIF(명단표[이름],$R1336)=0,IF(COUNTIF(기본자료표[이름],$R1336)&gt;0,"명단에 없음(기본자료에는 있음)","명단에 없음"),"동명이인 확인"))))</f>
        <v/>
      </c>
      <c r="Z1336">
        <f>IF($R1336="","",IF($S1336&lt;0,"⚠"&amp;INDEX('입력_구리근무자명단'!$A1334:$ZZ1334,1,$E$2+2),TEXT($S1336,"yyyy-mm-dd")))</f>
        <v/>
      </c>
      <c r="AA1336">
        <f>IF($R1336="","",IF($T1336&lt;0,"⚠"&amp;INDEX('입력_구리근무자명단'!$A1334:$ZZ1334,1,$E$2+3),TEXT($T1336,"yyyy-mm-dd")))</f>
        <v/>
      </c>
      <c r="AB1336">
        <f>AB1335+IF($R1336="",0,1)</f>
        <v/>
      </c>
      <c r="AC1336">
        <f>IF($R1336="","",$AB1336)</f>
        <v/>
      </c>
    </row>
    <row r="1337">
      <c r="O1337">
        <f>1335</f>
        <v/>
      </c>
      <c r="P1337">
        <f>IF(TRIM('입력_구리근무자명단'!$A1335&amp;"")&lt;&gt;"",TRIM('입력_구리근무자명단'!$A1335&amp;""),P1336)</f>
        <v/>
      </c>
      <c r="Q1337">
        <f>'입력_구리근무자명단'!$B1335&amp;""</f>
        <v/>
      </c>
      <c r="R1337">
        <f>IF($E$2="","",TRIM(INDEX('입력_구리근무자명단'!$A1335:$ZZ1335,1,$E$2+IF($G$2="확정",1,0))&amp;""))</f>
        <v/>
      </c>
      <c r="S1337">
        <f>IF($R1337="","",IF(INDEX('입력_구리근무자명단'!$A1335:$ZZ1335,1,$E$2+2)&amp;""="",급여기준월,IF(ISNUMBER(INDEX('입력_구리근무자명단'!$A1335:$ZZ1335,1,$E$2+2)),INDEX('입력_구리근무자명단'!$A1335:$ZZ1335,1,$E$2+2),IFERROR(DATE(VALUE(LEFT(INDEX('입력_구리근무자명단'!$A1335:$ZZ1335,1,$E$2+2),4)),VALUE(MID(INDEX('입력_구리근무자명단'!$A1335:$ZZ1335,1,$E$2+2),6,2)),VALUE(MID(INDEX('입력_구리근무자명단'!$A1335:$ZZ1335,1,$E$2+2),9,2))),-1))))</f>
        <v/>
      </c>
      <c r="T1337">
        <f>IF($R1337="","",IF(INDEX('입력_구리근무자명단'!$A1335:$ZZ1335,1,$E$2+3)&amp;""="",EOMONTH(급여기준월,0),IF(ISNUMBER(INDEX('입력_구리근무자명단'!$A1335:$ZZ1335,1,$E$2+3)),INDEX('입력_구리근무자명단'!$A1335:$ZZ1335,1,$E$2+3),IFERROR(DATE(VALUE(LEFT(INDEX('입력_구리근무자명단'!$A1335:$ZZ1335,1,$E$2+3),4)),VALUE(MID(INDEX('입력_구리근무자명단'!$A1335:$ZZ1335,1,$E$2+3),6,2)),VALUE(MID(INDEX('입력_구리근무자명단'!$A1335:$ZZ1335,1,$E$2+3),9,2))),-1))))</f>
        <v/>
      </c>
      <c r="U1337">
        <f>IF($R1337="","",IF(OR($S1337&lt;0,$T1337&lt;0),0,MAX(0,MIN($T1337,EOMONTH(급여기준월,0))-MAX($S1337,급여기준월)+1)))</f>
        <v/>
      </c>
      <c r="V1337">
        <f>IF($R1337="","",TRIM(INDEX('입력_구리근무자명단'!$A1335:$ZZ1335,1,$E$2+5)&amp;""))</f>
        <v/>
      </c>
      <c r="W1337">
        <f>IF(ISNUMBER(SEARCH("구리독자",$V1337)),"구리독자","")</f>
        <v/>
      </c>
      <c r="X1337">
        <f>IF($R1337="","",$R1337&amp;"|"&amp;IF(OR($Q1337="인턴",ISNUMBER(SEARCH("수련교육부",$P1337))),"인턴",$P1337))</f>
        <v/>
      </c>
      <c r="Y1337">
        <f>IF($R1337="","",IF(COUNTIF(명단표[이름|과],$X1337)=1,"명단 일치",IF(AND(COUNTIF(명단표[이름|과],$X1337)=0,COUNTIF(명단표[이름],$R1337)=1),"명단 일치(이름만, 과 다름)",IF(COUNTIF(명단표[이름],$R1337)=0,IF(COUNTIF(기본자료표[이름],$R1337)&gt;0,"명단에 없음(기본자료에는 있음)","명단에 없음"),"동명이인 확인"))))</f>
        <v/>
      </c>
      <c r="Z1337">
        <f>IF($R1337="","",IF($S1337&lt;0,"⚠"&amp;INDEX('입력_구리근무자명단'!$A1335:$ZZ1335,1,$E$2+2),TEXT($S1337,"yyyy-mm-dd")))</f>
        <v/>
      </c>
      <c r="AA1337">
        <f>IF($R1337="","",IF($T1337&lt;0,"⚠"&amp;INDEX('입력_구리근무자명단'!$A1335:$ZZ1335,1,$E$2+3),TEXT($T1337,"yyyy-mm-dd")))</f>
        <v/>
      </c>
      <c r="AB1337">
        <f>AB1336+IF($R1337="",0,1)</f>
        <v/>
      </c>
      <c r="AC1337">
        <f>IF($R1337="","",$AB1337)</f>
        <v/>
      </c>
    </row>
    <row r="1338">
      <c r="O1338">
        <f>1336</f>
        <v/>
      </c>
      <c r="P1338">
        <f>IF(TRIM('입력_구리근무자명단'!$A1336&amp;"")&lt;&gt;"",TRIM('입력_구리근무자명단'!$A1336&amp;""),P1337)</f>
        <v/>
      </c>
      <c r="Q1338">
        <f>'입력_구리근무자명단'!$B1336&amp;""</f>
        <v/>
      </c>
      <c r="R1338">
        <f>IF($E$2="","",TRIM(INDEX('입력_구리근무자명단'!$A1336:$ZZ1336,1,$E$2+IF($G$2="확정",1,0))&amp;""))</f>
        <v/>
      </c>
      <c r="S1338">
        <f>IF($R1338="","",IF(INDEX('입력_구리근무자명단'!$A1336:$ZZ1336,1,$E$2+2)&amp;""="",급여기준월,IF(ISNUMBER(INDEX('입력_구리근무자명단'!$A1336:$ZZ1336,1,$E$2+2)),INDEX('입력_구리근무자명단'!$A1336:$ZZ1336,1,$E$2+2),IFERROR(DATE(VALUE(LEFT(INDEX('입력_구리근무자명단'!$A1336:$ZZ1336,1,$E$2+2),4)),VALUE(MID(INDEX('입력_구리근무자명단'!$A1336:$ZZ1336,1,$E$2+2),6,2)),VALUE(MID(INDEX('입력_구리근무자명단'!$A1336:$ZZ1336,1,$E$2+2),9,2))),-1))))</f>
        <v/>
      </c>
      <c r="T1338">
        <f>IF($R1338="","",IF(INDEX('입력_구리근무자명단'!$A1336:$ZZ1336,1,$E$2+3)&amp;""="",EOMONTH(급여기준월,0),IF(ISNUMBER(INDEX('입력_구리근무자명단'!$A1336:$ZZ1336,1,$E$2+3)),INDEX('입력_구리근무자명단'!$A1336:$ZZ1336,1,$E$2+3),IFERROR(DATE(VALUE(LEFT(INDEX('입력_구리근무자명단'!$A1336:$ZZ1336,1,$E$2+3),4)),VALUE(MID(INDEX('입력_구리근무자명단'!$A1336:$ZZ1336,1,$E$2+3),6,2)),VALUE(MID(INDEX('입력_구리근무자명단'!$A1336:$ZZ1336,1,$E$2+3),9,2))),-1))))</f>
        <v/>
      </c>
      <c r="U1338">
        <f>IF($R1338="","",IF(OR($S1338&lt;0,$T1338&lt;0),0,MAX(0,MIN($T1338,EOMONTH(급여기준월,0))-MAX($S1338,급여기준월)+1)))</f>
        <v/>
      </c>
      <c r="V1338">
        <f>IF($R1338="","",TRIM(INDEX('입력_구리근무자명단'!$A1336:$ZZ1336,1,$E$2+5)&amp;""))</f>
        <v/>
      </c>
      <c r="W1338">
        <f>IF(ISNUMBER(SEARCH("구리독자",$V1338)),"구리독자","")</f>
        <v/>
      </c>
      <c r="X1338">
        <f>IF($R1338="","",$R1338&amp;"|"&amp;IF(OR($Q1338="인턴",ISNUMBER(SEARCH("수련교육부",$P1338))),"인턴",$P1338))</f>
        <v/>
      </c>
      <c r="Y1338">
        <f>IF($R1338="","",IF(COUNTIF(명단표[이름|과],$X1338)=1,"명단 일치",IF(AND(COUNTIF(명단표[이름|과],$X1338)=0,COUNTIF(명단표[이름],$R1338)=1),"명단 일치(이름만, 과 다름)",IF(COUNTIF(명단표[이름],$R1338)=0,IF(COUNTIF(기본자료표[이름],$R1338)&gt;0,"명단에 없음(기본자료에는 있음)","명단에 없음"),"동명이인 확인"))))</f>
        <v/>
      </c>
      <c r="Z1338">
        <f>IF($R1338="","",IF($S1338&lt;0,"⚠"&amp;INDEX('입력_구리근무자명단'!$A1336:$ZZ1336,1,$E$2+2),TEXT($S1338,"yyyy-mm-dd")))</f>
        <v/>
      </c>
      <c r="AA1338">
        <f>IF($R1338="","",IF($T1338&lt;0,"⚠"&amp;INDEX('입력_구리근무자명단'!$A1336:$ZZ1336,1,$E$2+3),TEXT($T1338,"yyyy-mm-dd")))</f>
        <v/>
      </c>
      <c r="AB1338">
        <f>AB1337+IF($R1338="",0,1)</f>
        <v/>
      </c>
      <c r="AC1338">
        <f>IF($R1338="","",$AB1338)</f>
        <v/>
      </c>
    </row>
    <row r="1339">
      <c r="O1339">
        <f>1337</f>
        <v/>
      </c>
      <c r="P1339">
        <f>IF(TRIM('입력_구리근무자명단'!$A1337&amp;"")&lt;&gt;"",TRIM('입력_구리근무자명단'!$A1337&amp;""),P1338)</f>
        <v/>
      </c>
      <c r="Q1339">
        <f>'입력_구리근무자명단'!$B1337&amp;""</f>
        <v/>
      </c>
      <c r="R1339">
        <f>IF($E$2="","",TRIM(INDEX('입력_구리근무자명단'!$A1337:$ZZ1337,1,$E$2+IF($G$2="확정",1,0))&amp;""))</f>
        <v/>
      </c>
      <c r="S1339">
        <f>IF($R1339="","",IF(INDEX('입력_구리근무자명단'!$A1337:$ZZ1337,1,$E$2+2)&amp;""="",급여기준월,IF(ISNUMBER(INDEX('입력_구리근무자명단'!$A1337:$ZZ1337,1,$E$2+2)),INDEX('입력_구리근무자명단'!$A1337:$ZZ1337,1,$E$2+2),IFERROR(DATE(VALUE(LEFT(INDEX('입력_구리근무자명단'!$A1337:$ZZ1337,1,$E$2+2),4)),VALUE(MID(INDEX('입력_구리근무자명단'!$A1337:$ZZ1337,1,$E$2+2),6,2)),VALUE(MID(INDEX('입력_구리근무자명단'!$A1337:$ZZ1337,1,$E$2+2),9,2))),-1))))</f>
        <v/>
      </c>
      <c r="T1339">
        <f>IF($R1339="","",IF(INDEX('입력_구리근무자명단'!$A1337:$ZZ1337,1,$E$2+3)&amp;""="",EOMONTH(급여기준월,0),IF(ISNUMBER(INDEX('입력_구리근무자명단'!$A1337:$ZZ1337,1,$E$2+3)),INDEX('입력_구리근무자명단'!$A1337:$ZZ1337,1,$E$2+3),IFERROR(DATE(VALUE(LEFT(INDEX('입력_구리근무자명단'!$A1337:$ZZ1337,1,$E$2+3),4)),VALUE(MID(INDEX('입력_구리근무자명단'!$A1337:$ZZ1337,1,$E$2+3),6,2)),VALUE(MID(INDEX('입력_구리근무자명단'!$A1337:$ZZ1337,1,$E$2+3),9,2))),-1))))</f>
        <v/>
      </c>
      <c r="U1339">
        <f>IF($R1339="","",IF(OR($S1339&lt;0,$T1339&lt;0),0,MAX(0,MIN($T1339,EOMONTH(급여기준월,0))-MAX($S1339,급여기준월)+1)))</f>
        <v/>
      </c>
      <c r="V1339">
        <f>IF($R1339="","",TRIM(INDEX('입력_구리근무자명단'!$A1337:$ZZ1337,1,$E$2+5)&amp;""))</f>
        <v/>
      </c>
      <c r="W1339">
        <f>IF(ISNUMBER(SEARCH("구리독자",$V1339)),"구리독자","")</f>
        <v/>
      </c>
      <c r="X1339">
        <f>IF($R1339="","",$R1339&amp;"|"&amp;IF(OR($Q1339="인턴",ISNUMBER(SEARCH("수련교육부",$P1339))),"인턴",$P1339))</f>
        <v/>
      </c>
      <c r="Y1339">
        <f>IF($R1339="","",IF(COUNTIF(명단표[이름|과],$X1339)=1,"명단 일치",IF(AND(COUNTIF(명단표[이름|과],$X1339)=0,COUNTIF(명단표[이름],$R1339)=1),"명단 일치(이름만, 과 다름)",IF(COUNTIF(명단표[이름],$R1339)=0,IF(COUNTIF(기본자료표[이름],$R1339)&gt;0,"명단에 없음(기본자료에는 있음)","명단에 없음"),"동명이인 확인"))))</f>
        <v/>
      </c>
      <c r="Z1339">
        <f>IF($R1339="","",IF($S1339&lt;0,"⚠"&amp;INDEX('입력_구리근무자명단'!$A1337:$ZZ1337,1,$E$2+2),TEXT($S1339,"yyyy-mm-dd")))</f>
        <v/>
      </c>
      <c r="AA1339">
        <f>IF($R1339="","",IF($T1339&lt;0,"⚠"&amp;INDEX('입력_구리근무자명단'!$A1337:$ZZ1337,1,$E$2+3),TEXT($T1339,"yyyy-mm-dd")))</f>
        <v/>
      </c>
      <c r="AB1339">
        <f>AB1338+IF($R1339="",0,1)</f>
        <v/>
      </c>
      <c r="AC1339">
        <f>IF($R1339="","",$AB1339)</f>
        <v/>
      </c>
    </row>
    <row r="1340">
      <c r="O1340">
        <f>1338</f>
        <v/>
      </c>
      <c r="P1340">
        <f>IF(TRIM('입력_구리근무자명단'!$A1338&amp;"")&lt;&gt;"",TRIM('입력_구리근무자명단'!$A1338&amp;""),P1339)</f>
        <v/>
      </c>
      <c r="Q1340">
        <f>'입력_구리근무자명단'!$B1338&amp;""</f>
        <v/>
      </c>
      <c r="R1340">
        <f>IF($E$2="","",TRIM(INDEX('입력_구리근무자명단'!$A1338:$ZZ1338,1,$E$2+IF($G$2="확정",1,0))&amp;""))</f>
        <v/>
      </c>
      <c r="S1340">
        <f>IF($R1340="","",IF(INDEX('입력_구리근무자명단'!$A1338:$ZZ1338,1,$E$2+2)&amp;""="",급여기준월,IF(ISNUMBER(INDEX('입력_구리근무자명단'!$A1338:$ZZ1338,1,$E$2+2)),INDEX('입력_구리근무자명단'!$A1338:$ZZ1338,1,$E$2+2),IFERROR(DATE(VALUE(LEFT(INDEX('입력_구리근무자명단'!$A1338:$ZZ1338,1,$E$2+2),4)),VALUE(MID(INDEX('입력_구리근무자명단'!$A1338:$ZZ1338,1,$E$2+2),6,2)),VALUE(MID(INDEX('입력_구리근무자명단'!$A1338:$ZZ1338,1,$E$2+2),9,2))),-1))))</f>
        <v/>
      </c>
      <c r="T1340">
        <f>IF($R1340="","",IF(INDEX('입력_구리근무자명단'!$A1338:$ZZ1338,1,$E$2+3)&amp;""="",EOMONTH(급여기준월,0),IF(ISNUMBER(INDEX('입력_구리근무자명단'!$A1338:$ZZ1338,1,$E$2+3)),INDEX('입력_구리근무자명단'!$A1338:$ZZ1338,1,$E$2+3),IFERROR(DATE(VALUE(LEFT(INDEX('입력_구리근무자명단'!$A1338:$ZZ1338,1,$E$2+3),4)),VALUE(MID(INDEX('입력_구리근무자명단'!$A1338:$ZZ1338,1,$E$2+3),6,2)),VALUE(MID(INDEX('입력_구리근무자명단'!$A1338:$ZZ1338,1,$E$2+3),9,2))),-1))))</f>
        <v/>
      </c>
      <c r="U1340">
        <f>IF($R1340="","",IF(OR($S1340&lt;0,$T1340&lt;0),0,MAX(0,MIN($T1340,EOMONTH(급여기준월,0))-MAX($S1340,급여기준월)+1)))</f>
        <v/>
      </c>
      <c r="V1340">
        <f>IF($R1340="","",TRIM(INDEX('입력_구리근무자명단'!$A1338:$ZZ1338,1,$E$2+5)&amp;""))</f>
        <v/>
      </c>
      <c r="W1340">
        <f>IF(ISNUMBER(SEARCH("구리독자",$V1340)),"구리독자","")</f>
        <v/>
      </c>
      <c r="X1340">
        <f>IF($R1340="","",$R1340&amp;"|"&amp;IF(OR($Q1340="인턴",ISNUMBER(SEARCH("수련교육부",$P1340))),"인턴",$P1340))</f>
        <v/>
      </c>
      <c r="Y1340">
        <f>IF($R1340="","",IF(COUNTIF(명단표[이름|과],$X1340)=1,"명단 일치",IF(AND(COUNTIF(명단표[이름|과],$X1340)=0,COUNTIF(명단표[이름],$R1340)=1),"명단 일치(이름만, 과 다름)",IF(COUNTIF(명단표[이름],$R1340)=0,IF(COUNTIF(기본자료표[이름],$R1340)&gt;0,"명단에 없음(기본자료에는 있음)","명단에 없음"),"동명이인 확인"))))</f>
        <v/>
      </c>
      <c r="Z1340">
        <f>IF($R1340="","",IF($S1340&lt;0,"⚠"&amp;INDEX('입력_구리근무자명단'!$A1338:$ZZ1338,1,$E$2+2),TEXT($S1340,"yyyy-mm-dd")))</f>
        <v/>
      </c>
      <c r="AA1340">
        <f>IF($R1340="","",IF($T1340&lt;0,"⚠"&amp;INDEX('입력_구리근무자명단'!$A1338:$ZZ1338,1,$E$2+3),TEXT($T1340,"yyyy-mm-dd")))</f>
        <v/>
      </c>
      <c r="AB1340">
        <f>AB1339+IF($R1340="",0,1)</f>
        <v/>
      </c>
      <c r="AC1340">
        <f>IF($R1340="","",$AB1340)</f>
        <v/>
      </c>
    </row>
    <row r="1341">
      <c r="O1341">
        <f>1339</f>
        <v/>
      </c>
      <c r="P1341">
        <f>IF(TRIM('입력_구리근무자명단'!$A1339&amp;"")&lt;&gt;"",TRIM('입력_구리근무자명단'!$A1339&amp;""),P1340)</f>
        <v/>
      </c>
      <c r="Q1341">
        <f>'입력_구리근무자명단'!$B1339&amp;""</f>
        <v/>
      </c>
      <c r="R1341">
        <f>IF($E$2="","",TRIM(INDEX('입력_구리근무자명단'!$A1339:$ZZ1339,1,$E$2+IF($G$2="확정",1,0))&amp;""))</f>
        <v/>
      </c>
      <c r="S1341">
        <f>IF($R1341="","",IF(INDEX('입력_구리근무자명단'!$A1339:$ZZ1339,1,$E$2+2)&amp;""="",급여기준월,IF(ISNUMBER(INDEX('입력_구리근무자명단'!$A1339:$ZZ1339,1,$E$2+2)),INDEX('입력_구리근무자명단'!$A1339:$ZZ1339,1,$E$2+2),IFERROR(DATE(VALUE(LEFT(INDEX('입력_구리근무자명단'!$A1339:$ZZ1339,1,$E$2+2),4)),VALUE(MID(INDEX('입력_구리근무자명단'!$A1339:$ZZ1339,1,$E$2+2),6,2)),VALUE(MID(INDEX('입력_구리근무자명단'!$A1339:$ZZ1339,1,$E$2+2),9,2))),-1))))</f>
        <v/>
      </c>
      <c r="T1341">
        <f>IF($R1341="","",IF(INDEX('입력_구리근무자명단'!$A1339:$ZZ1339,1,$E$2+3)&amp;""="",EOMONTH(급여기준월,0),IF(ISNUMBER(INDEX('입력_구리근무자명단'!$A1339:$ZZ1339,1,$E$2+3)),INDEX('입력_구리근무자명단'!$A1339:$ZZ1339,1,$E$2+3),IFERROR(DATE(VALUE(LEFT(INDEX('입력_구리근무자명단'!$A1339:$ZZ1339,1,$E$2+3),4)),VALUE(MID(INDEX('입력_구리근무자명단'!$A1339:$ZZ1339,1,$E$2+3),6,2)),VALUE(MID(INDEX('입력_구리근무자명단'!$A1339:$ZZ1339,1,$E$2+3),9,2))),-1))))</f>
        <v/>
      </c>
      <c r="U1341">
        <f>IF($R1341="","",IF(OR($S1341&lt;0,$T1341&lt;0),0,MAX(0,MIN($T1341,EOMONTH(급여기준월,0))-MAX($S1341,급여기준월)+1)))</f>
        <v/>
      </c>
      <c r="V1341">
        <f>IF($R1341="","",TRIM(INDEX('입력_구리근무자명단'!$A1339:$ZZ1339,1,$E$2+5)&amp;""))</f>
        <v/>
      </c>
      <c r="W1341">
        <f>IF(ISNUMBER(SEARCH("구리독자",$V1341)),"구리독자","")</f>
        <v/>
      </c>
      <c r="X1341">
        <f>IF($R1341="","",$R1341&amp;"|"&amp;IF(OR($Q1341="인턴",ISNUMBER(SEARCH("수련교육부",$P1341))),"인턴",$P1341))</f>
        <v/>
      </c>
      <c r="Y1341">
        <f>IF($R1341="","",IF(COUNTIF(명단표[이름|과],$X1341)=1,"명단 일치",IF(AND(COUNTIF(명단표[이름|과],$X1341)=0,COUNTIF(명단표[이름],$R1341)=1),"명단 일치(이름만, 과 다름)",IF(COUNTIF(명단표[이름],$R1341)=0,IF(COUNTIF(기본자료표[이름],$R1341)&gt;0,"명단에 없음(기본자료에는 있음)","명단에 없음"),"동명이인 확인"))))</f>
        <v/>
      </c>
      <c r="Z1341">
        <f>IF($R1341="","",IF($S1341&lt;0,"⚠"&amp;INDEX('입력_구리근무자명단'!$A1339:$ZZ1339,1,$E$2+2),TEXT($S1341,"yyyy-mm-dd")))</f>
        <v/>
      </c>
      <c r="AA1341">
        <f>IF($R1341="","",IF($T1341&lt;0,"⚠"&amp;INDEX('입력_구리근무자명단'!$A1339:$ZZ1339,1,$E$2+3),TEXT($T1341,"yyyy-mm-dd")))</f>
        <v/>
      </c>
      <c r="AB1341">
        <f>AB1340+IF($R1341="",0,1)</f>
        <v/>
      </c>
      <c r="AC1341">
        <f>IF($R1341="","",$AB1341)</f>
        <v/>
      </c>
    </row>
    <row r="1342">
      <c r="O1342">
        <f>1340</f>
        <v/>
      </c>
      <c r="P1342">
        <f>IF(TRIM('입력_구리근무자명단'!$A1340&amp;"")&lt;&gt;"",TRIM('입력_구리근무자명단'!$A1340&amp;""),P1341)</f>
        <v/>
      </c>
      <c r="Q1342">
        <f>'입력_구리근무자명단'!$B1340&amp;""</f>
        <v/>
      </c>
      <c r="R1342">
        <f>IF($E$2="","",TRIM(INDEX('입력_구리근무자명단'!$A1340:$ZZ1340,1,$E$2+IF($G$2="확정",1,0))&amp;""))</f>
        <v/>
      </c>
      <c r="S1342">
        <f>IF($R1342="","",IF(INDEX('입력_구리근무자명단'!$A1340:$ZZ1340,1,$E$2+2)&amp;""="",급여기준월,IF(ISNUMBER(INDEX('입력_구리근무자명단'!$A1340:$ZZ1340,1,$E$2+2)),INDEX('입력_구리근무자명단'!$A1340:$ZZ1340,1,$E$2+2),IFERROR(DATE(VALUE(LEFT(INDEX('입력_구리근무자명단'!$A1340:$ZZ1340,1,$E$2+2),4)),VALUE(MID(INDEX('입력_구리근무자명단'!$A1340:$ZZ1340,1,$E$2+2),6,2)),VALUE(MID(INDEX('입력_구리근무자명단'!$A1340:$ZZ1340,1,$E$2+2),9,2))),-1))))</f>
        <v/>
      </c>
      <c r="T1342">
        <f>IF($R1342="","",IF(INDEX('입력_구리근무자명단'!$A1340:$ZZ1340,1,$E$2+3)&amp;""="",EOMONTH(급여기준월,0),IF(ISNUMBER(INDEX('입력_구리근무자명단'!$A1340:$ZZ1340,1,$E$2+3)),INDEX('입력_구리근무자명단'!$A1340:$ZZ1340,1,$E$2+3),IFERROR(DATE(VALUE(LEFT(INDEX('입력_구리근무자명단'!$A1340:$ZZ1340,1,$E$2+3),4)),VALUE(MID(INDEX('입력_구리근무자명단'!$A1340:$ZZ1340,1,$E$2+3),6,2)),VALUE(MID(INDEX('입력_구리근무자명단'!$A1340:$ZZ1340,1,$E$2+3),9,2))),-1))))</f>
        <v/>
      </c>
      <c r="U1342">
        <f>IF($R1342="","",IF(OR($S1342&lt;0,$T1342&lt;0),0,MAX(0,MIN($T1342,EOMONTH(급여기준월,0))-MAX($S1342,급여기준월)+1)))</f>
        <v/>
      </c>
      <c r="V1342">
        <f>IF($R1342="","",TRIM(INDEX('입력_구리근무자명단'!$A1340:$ZZ1340,1,$E$2+5)&amp;""))</f>
        <v/>
      </c>
      <c r="W1342">
        <f>IF(ISNUMBER(SEARCH("구리독자",$V1342)),"구리독자","")</f>
        <v/>
      </c>
      <c r="X1342">
        <f>IF($R1342="","",$R1342&amp;"|"&amp;IF(OR($Q1342="인턴",ISNUMBER(SEARCH("수련교육부",$P1342))),"인턴",$P1342))</f>
        <v/>
      </c>
      <c r="Y1342">
        <f>IF($R1342="","",IF(COUNTIF(명단표[이름|과],$X1342)=1,"명단 일치",IF(AND(COUNTIF(명단표[이름|과],$X1342)=0,COUNTIF(명단표[이름],$R1342)=1),"명단 일치(이름만, 과 다름)",IF(COUNTIF(명단표[이름],$R1342)=0,IF(COUNTIF(기본자료표[이름],$R1342)&gt;0,"명단에 없음(기본자료에는 있음)","명단에 없음"),"동명이인 확인"))))</f>
        <v/>
      </c>
      <c r="Z1342">
        <f>IF($R1342="","",IF($S1342&lt;0,"⚠"&amp;INDEX('입력_구리근무자명단'!$A1340:$ZZ1340,1,$E$2+2),TEXT($S1342,"yyyy-mm-dd")))</f>
        <v/>
      </c>
      <c r="AA1342">
        <f>IF($R1342="","",IF($T1342&lt;0,"⚠"&amp;INDEX('입력_구리근무자명단'!$A1340:$ZZ1340,1,$E$2+3),TEXT($T1342,"yyyy-mm-dd")))</f>
        <v/>
      </c>
      <c r="AB1342">
        <f>AB1341+IF($R1342="",0,1)</f>
        <v/>
      </c>
      <c r="AC1342">
        <f>IF($R1342="","",$AB1342)</f>
        <v/>
      </c>
    </row>
    <row r="1343">
      <c r="O1343">
        <f>1341</f>
        <v/>
      </c>
      <c r="P1343">
        <f>IF(TRIM('입력_구리근무자명단'!$A1341&amp;"")&lt;&gt;"",TRIM('입력_구리근무자명단'!$A1341&amp;""),P1342)</f>
        <v/>
      </c>
      <c r="Q1343">
        <f>'입력_구리근무자명단'!$B1341&amp;""</f>
        <v/>
      </c>
      <c r="R1343">
        <f>IF($E$2="","",TRIM(INDEX('입력_구리근무자명단'!$A1341:$ZZ1341,1,$E$2+IF($G$2="확정",1,0))&amp;""))</f>
        <v/>
      </c>
      <c r="S1343">
        <f>IF($R1343="","",IF(INDEX('입력_구리근무자명단'!$A1341:$ZZ1341,1,$E$2+2)&amp;""="",급여기준월,IF(ISNUMBER(INDEX('입력_구리근무자명단'!$A1341:$ZZ1341,1,$E$2+2)),INDEX('입력_구리근무자명단'!$A1341:$ZZ1341,1,$E$2+2),IFERROR(DATE(VALUE(LEFT(INDEX('입력_구리근무자명단'!$A1341:$ZZ1341,1,$E$2+2),4)),VALUE(MID(INDEX('입력_구리근무자명단'!$A1341:$ZZ1341,1,$E$2+2),6,2)),VALUE(MID(INDEX('입력_구리근무자명단'!$A1341:$ZZ1341,1,$E$2+2),9,2))),-1))))</f>
        <v/>
      </c>
      <c r="T1343">
        <f>IF($R1343="","",IF(INDEX('입력_구리근무자명단'!$A1341:$ZZ1341,1,$E$2+3)&amp;""="",EOMONTH(급여기준월,0),IF(ISNUMBER(INDEX('입력_구리근무자명단'!$A1341:$ZZ1341,1,$E$2+3)),INDEX('입력_구리근무자명단'!$A1341:$ZZ1341,1,$E$2+3),IFERROR(DATE(VALUE(LEFT(INDEX('입력_구리근무자명단'!$A1341:$ZZ1341,1,$E$2+3),4)),VALUE(MID(INDEX('입력_구리근무자명단'!$A1341:$ZZ1341,1,$E$2+3),6,2)),VALUE(MID(INDEX('입력_구리근무자명단'!$A1341:$ZZ1341,1,$E$2+3),9,2))),-1))))</f>
        <v/>
      </c>
      <c r="U1343">
        <f>IF($R1343="","",IF(OR($S1343&lt;0,$T1343&lt;0),0,MAX(0,MIN($T1343,EOMONTH(급여기준월,0))-MAX($S1343,급여기준월)+1)))</f>
        <v/>
      </c>
      <c r="V1343">
        <f>IF($R1343="","",TRIM(INDEX('입력_구리근무자명단'!$A1341:$ZZ1341,1,$E$2+5)&amp;""))</f>
        <v/>
      </c>
      <c r="W1343">
        <f>IF(ISNUMBER(SEARCH("구리독자",$V1343)),"구리독자","")</f>
        <v/>
      </c>
      <c r="X1343">
        <f>IF($R1343="","",$R1343&amp;"|"&amp;IF(OR($Q1343="인턴",ISNUMBER(SEARCH("수련교육부",$P1343))),"인턴",$P1343))</f>
        <v/>
      </c>
      <c r="Y1343">
        <f>IF($R1343="","",IF(COUNTIF(명단표[이름|과],$X1343)=1,"명단 일치",IF(AND(COUNTIF(명단표[이름|과],$X1343)=0,COUNTIF(명단표[이름],$R1343)=1),"명단 일치(이름만, 과 다름)",IF(COUNTIF(명단표[이름],$R1343)=0,IF(COUNTIF(기본자료표[이름],$R1343)&gt;0,"명단에 없음(기본자료에는 있음)","명단에 없음"),"동명이인 확인"))))</f>
        <v/>
      </c>
      <c r="Z1343">
        <f>IF($R1343="","",IF($S1343&lt;0,"⚠"&amp;INDEX('입력_구리근무자명단'!$A1341:$ZZ1341,1,$E$2+2),TEXT($S1343,"yyyy-mm-dd")))</f>
        <v/>
      </c>
      <c r="AA1343">
        <f>IF($R1343="","",IF($T1343&lt;0,"⚠"&amp;INDEX('입력_구리근무자명단'!$A1341:$ZZ1341,1,$E$2+3),TEXT($T1343,"yyyy-mm-dd")))</f>
        <v/>
      </c>
      <c r="AB1343">
        <f>AB1342+IF($R1343="",0,1)</f>
        <v/>
      </c>
      <c r="AC1343">
        <f>IF($R1343="","",$AB1343)</f>
        <v/>
      </c>
    </row>
    <row r="1344">
      <c r="O1344">
        <f>1342</f>
        <v/>
      </c>
      <c r="P1344">
        <f>IF(TRIM('입력_구리근무자명단'!$A1342&amp;"")&lt;&gt;"",TRIM('입력_구리근무자명단'!$A1342&amp;""),P1343)</f>
        <v/>
      </c>
      <c r="Q1344">
        <f>'입력_구리근무자명단'!$B1342&amp;""</f>
        <v/>
      </c>
      <c r="R1344">
        <f>IF($E$2="","",TRIM(INDEX('입력_구리근무자명단'!$A1342:$ZZ1342,1,$E$2+IF($G$2="확정",1,0))&amp;""))</f>
        <v/>
      </c>
      <c r="S1344">
        <f>IF($R1344="","",IF(INDEX('입력_구리근무자명단'!$A1342:$ZZ1342,1,$E$2+2)&amp;""="",급여기준월,IF(ISNUMBER(INDEX('입력_구리근무자명단'!$A1342:$ZZ1342,1,$E$2+2)),INDEX('입력_구리근무자명단'!$A1342:$ZZ1342,1,$E$2+2),IFERROR(DATE(VALUE(LEFT(INDEX('입력_구리근무자명단'!$A1342:$ZZ1342,1,$E$2+2),4)),VALUE(MID(INDEX('입력_구리근무자명단'!$A1342:$ZZ1342,1,$E$2+2),6,2)),VALUE(MID(INDEX('입력_구리근무자명단'!$A1342:$ZZ1342,1,$E$2+2),9,2))),-1))))</f>
        <v/>
      </c>
      <c r="T1344">
        <f>IF($R1344="","",IF(INDEX('입력_구리근무자명단'!$A1342:$ZZ1342,1,$E$2+3)&amp;""="",EOMONTH(급여기준월,0),IF(ISNUMBER(INDEX('입력_구리근무자명단'!$A1342:$ZZ1342,1,$E$2+3)),INDEX('입력_구리근무자명단'!$A1342:$ZZ1342,1,$E$2+3),IFERROR(DATE(VALUE(LEFT(INDEX('입력_구리근무자명단'!$A1342:$ZZ1342,1,$E$2+3),4)),VALUE(MID(INDEX('입력_구리근무자명단'!$A1342:$ZZ1342,1,$E$2+3),6,2)),VALUE(MID(INDEX('입력_구리근무자명단'!$A1342:$ZZ1342,1,$E$2+3),9,2))),-1))))</f>
        <v/>
      </c>
      <c r="U1344">
        <f>IF($R1344="","",IF(OR($S1344&lt;0,$T1344&lt;0),0,MAX(0,MIN($T1344,EOMONTH(급여기준월,0))-MAX($S1344,급여기준월)+1)))</f>
        <v/>
      </c>
      <c r="V1344">
        <f>IF($R1344="","",TRIM(INDEX('입력_구리근무자명단'!$A1342:$ZZ1342,1,$E$2+5)&amp;""))</f>
        <v/>
      </c>
      <c r="W1344">
        <f>IF(ISNUMBER(SEARCH("구리독자",$V1344)),"구리독자","")</f>
        <v/>
      </c>
      <c r="X1344">
        <f>IF($R1344="","",$R1344&amp;"|"&amp;IF(OR($Q1344="인턴",ISNUMBER(SEARCH("수련교육부",$P1344))),"인턴",$P1344))</f>
        <v/>
      </c>
      <c r="Y1344">
        <f>IF($R1344="","",IF(COUNTIF(명단표[이름|과],$X1344)=1,"명단 일치",IF(AND(COUNTIF(명단표[이름|과],$X1344)=0,COUNTIF(명단표[이름],$R1344)=1),"명단 일치(이름만, 과 다름)",IF(COUNTIF(명단표[이름],$R1344)=0,IF(COUNTIF(기본자료표[이름],$R1344)&gt;0,"명단에 없음(기본자료에는 있음)","명단에 없음"),"동명이인 확인"))))</f>
        <v/>
      </c>
      <c r="Z1344">
        <f>IF($R1344="","",IF($S1344&lt;0,"⚠"&amp;INDEX('입력_구리근무자명단'!$A1342:$ZZ1342,1,$E$2+2),TEXT($S1344,"yyyy-mm-dd")))</f>
        <v/>
      </c>
      <c r="AA1344">
        <f>IF($R1344="","",IF($T1344&lt;0,"⚠"&amp;INDEX('입력_구리근무자명단'!$A1342:$ZZ1342,1,$E$2+3),TEXT($T1344,"yyyy-mm-dd")))</f>
        <v/>
      </c>
      <c r="AB1344">
        <f>AB1343+IF($R1344="",0,1)</f>
        <v/>
      </c>
      <c r="AC1344">
        <f>IF($R1344="","",$AB1344)</f>
        <v/>
      </c>
    </row>
    <row r="1345">
      <c r="O1345">
        <f>1343</f>
        <v/>
      </c>
      <c r="P1345">
        <f>IF(TRIM('입력_구리근무자명단'!$A1343&amp;"")&lt;&gt;"",TRIM('입력_구리근무자명단'!$A1343&amp;""),P1344)</f>
        <v/>
      </c>
      <c r="Q1345">
        <f>'입력_구리근무자명단'!$B1343&amp;""</f>
        <v/>
      </c>
      <c r="R1345">
        <f>IF($E$2="","",TRIM(INDEX('입력_구리근무자명단'!$A1343:$ZZ1343,1,$E$2+IF($G$2="확정",1,0))&amp;""))</f>
        <v/>
      </c>
      <c r="S1345">
        <f>IF($R1345="","",IF(INDEX('입력_구리근무자명단'!$A1343:$ZZ1343,1,$E$2+2)&amp;""="",급여기준월,IF(ISNUMBER(INDEX('입력_구리근무자명단'!$A1343:$ZZ1343,1,$E$2+2)),INDEX('입력_구리근무자명단'!$A1343:$ZZ1343,1,$E$2+2),IFERROR(DATE(VALUE(LEFT(INDEX('입력_구리근무자명단'!$A1343:$ZZ1343,1,$E$2+2),4)),VALUE(MID(INDEX('입력_구리근무자명단'!$A1343:$ZZ1343,1,$E$2+2),6,2)),VALUE(MID(INDEX('입력_구리근무자명단'!$A1343:$ZZ1343,1,$E$2+2),9,2))),-1))))</f>
        <v/>
      </c>
      <c r="T1345">
        <f>IF($R1345="","",IF(INDEX('입력_구리근무자명단'!$A1343:$ZZ1343,1,$E$2+3)&amp;""="",EOMONTH(급여기준월,0),IF(ISNUMBER(INDEX('입력_구리근무자명단'!$A1343:$ZZ1343,1,$E$2+3)),INDEX('입력_구리근무자명단'!$A1343:$ZZ1343,1,$E$2+3),IFERROR(DATE(VALUE(LEFT(INDEX('입력_구리근무자명단'!$A1343:$ZZ1343,1,$E$2+3),4)),VALUE(MID(INDEX('입력_구리근무자명단'!$A1343:$ZZ1343,1,$E$2+3),6,2)),VALUE(MID(INDEX('입력_구리근무자명단'!$A1343:$ZZ1343,1,$E$2+3),9,2))),-1))))</f>
        <v/>
      </c>
      <c r="U1345">
        <f>IF($R1345="","",IF(OR($S1345&lt;0,$T1345&lt;0),0,MAX(0,MIN($T1345,EOMONTH(급여기준월,0))-MAX($S1345,급여기준월)+1)))</f>
        <v/>
      </c>
      <c r="V1345">
        <f>IF($R1345="","",TRIM(INDEX('입력_구리근무자명단'!$A1343:$ZZ1343,1,$E$2+5)&amp;""))</f>
        <v/>
      </c>
      <c r="W1345">
        <f>IF(ISNUMBER(SEARCH("구리독자",$V1345)),"구리독자","")</f>
        <v/>
      </c>
      <c r="X1345">
        <f>IF($R1345="","",$R1345&amp;"|"&amp;IF(OR($Q1345="인턴",ISNUMBER(SEARCH("수련교육부",$P1345))),"인턴",$P1345))</f>
        <v/>
      </c>
      <c r="Y1345">
        <f>IF($R1345="","",IF(COUNTIF(명단표[이름|과],$X1345)=1,"명단 일치",IF(AND(COUNTIF(명단표[이름|과],$X1345)=0,COUNTIF(명단표[이름],$R1345)=1),"명단 일치(이름만, 과 다름)",IF(COUNTIF(명단표[이름],$R1345)=0,IF(COUNTIF(기본자료표[이름],$R1345)&gt;0,"명단에 없음(기본자료에는 있음)","명단에 없음"),"동명이인 확인"))))</f>
        <v/>
      </c>
      <c r="Z1345">
        <f>IF($R1345="","",IF($S1345&lt;0,"⚠"&amp;INDEX('입력_구리근무자명단'!$A1343:$ZZ1343,1,$E$2+2),TEXT($S1345,"yyyy-mm-dd")))</f>
        <v/>
      </c>
      <c r="AA1345">
        <f>IF($R1345="","",IF($T1345&lt;0,"⚠"&amp;INDEX('입력_구리근무자명단'!$A1343:$ZZ1343,1,$E$2+3),TEXT($T1345,"yyyy-mm-dd")))</f>
        <v/>
      </c>
      <c r="AB1345">
        <f>AB1344+IF($R1345="",0,1)</f>
        <v/>
      </c>
      <c r="AC1345">
        <f>IF($R1345="","",$AB1345)</f>
        <v/>
      </c>
    </row>
    <row r="1346">
      <c r="O1346">
        <f>1344</f>
        <v/>
      </c>
      <c r="P1346">
        <f>IF(TRIM('입력_구리근무자명단'!$A1344&amp;"")&lt;&gt;"",TRIM('입력_구리근무자명단'!$A1344&amp;""),P1345)</f>
        <v/>
      </c>
      <c r="Q1346">
        <f>'입력_구리근무자명단'!$B1344&amp;""</f>
        <v/>
      </c>
      <c r="R1346">
        <f>IF($E$2="","",TRIM(INDEX('입력_구리근무자명단'!$A1344:$ZZ1344,1,$E$2+IF($G$2="확정",1,0))&amp;""))</f>
        <v/>
      </c>
      <c r="S1346">
        <f>IF($R1346="","",IF(INDEX('입력_구리근무자명단'!$A1344:$ZZ1344,1,$E$2+2)&amp;""="",급여기준월,IF(ISNUMBER(INDEX('입력_구리근무자명단'!$A1344:$ZZ1344,1,$E$2+2)),INDEX('입력_구리근무자명단'!$A1344:$ZZ1344,1,$E$2+2),IFERROR(DATE(VALUE(LEFT(INDEX('입력_구리근무자명단'!$A1344:$ZZ1344,1,$E$2+2),4)),VALUE(MID(INDEX('입력_구리근무자명단'!$A1344:$ZZ1344,1,$E$2+2),6,2)),VALUE(MID(INDEX('입력_구리근무자명단'!$A1344:$ZZ1344,1,$E$2+2),9,2))),-1))))</f>
        <v/>
      </c>
      <c r="T1346">
        <f>IF($R1346="","",IF(INDEX('입력_구리근무자명단'!$A1344:$ZZ1344,1,$E$2+3)&amp;""="",EOMONTH(급여기준월,0),IF(ISNUMBER(INDEX('입력_구리근무자명단'!$A1344:$ZZ1344,1,$E$2+3)),INDEX('입력_구리근무자명단'!$A1344:$ZZ1344,1,$E$2+3),IFERROR(DATE(VALUE(LEFT(INDEX('입력_구리근무자명단'!$A1344:$ZZ1344,1,$E$2+3),4)),VALUE(MID(INDEX('입력_구리근무자명단'!$A1344:$ZZ1344,1,$E$2+3),6,2)),VALUE(MID(INDEX('입력_구리근무자명단'!$A1344:$ZZ1344,1,$E$2+3),9,2))),-1))))</f>
        <v/>
      </c>
      <c r="U1346">
        <f>IF($R1346="","",IF(OR($S1346&lt;0,$T1346&lt;0),0,MAX(0,MIN($T1346,EOMONTH(급여기준월,0))-MAX($S1346,급여기준월)+1)))</f>
        <v/>
      </c>
      <c r="V1346">
        <f>IF($R1346="","",TRIM(INDEX('입력_구리근무자명단'!$A1344:$ZZ1344,1,$E$2+5)&amp;""))</f>
        <v/>
      </c>
      <c r="W1346">
        <f>IF(ISNUMBER(SEARCH("구리독자",$V1346)),"구리독자","")</f>
        <v/>
      </c>
      <c r="X1346">
        <f>IF($R1346="","",$R1346&amp;"|"&amp;IF(OR($Q1346="인턴",ISNUMBER(SEARCH("수련교육부",$P1346))),"인턴",$P1346))</f>
        <v/>
      </c>
      <c r="Y1346">
        <f>IF($R1346="","",IF(COUNTIF(명단표[이름|과],$X1346)=1,"명단 일치",IF(AND(COUNTIF(명단표[이름|과],$X1346)=0,COUNTIF(명단표[이름],$R1346)=1),"명단 일치(이름만, 과 다름)",IF(COUNTIF(명단표[이름],$R1346)=0,IF(COUNTIF(기본자료표[이름],$R1346)&gt;0,"명단에 없음(기본자료에는 있음)","명단에 없음"),"동명이인 확인"))))</f>
        <v/>
      </c>
      <c r="Z1346">
        <f>IF($R1346="","",IF($S1346&lt;0,"⚠"&amp;INDEX('입력_구리근무자명단'!$A1344:$ZZ1344,1,$E$2+2),TEXT($S1346,"yyyy-mm-dd")))</f>
        <v/>
      </c>
      <c r="AA1346">
        <f>IF($R1346="","",IF($T1346&lt;0,"⚠"&amp;INDEX('입력_구리근무자명단'!$A1344:$ZZ1344,1,$E$2+3),TEXT($T1346,"yyyy-mm-dd")))</f>
        <v/>
      </c>
      <c r="AB1346">
        <f>AB1345+IF($R1346="",0,1)</f>
        <v/>
      </c>
      <c r="AC1346">
        <f>IF($R1346="","",$AB1346)</f>
        <v/>
      </c>
    </row>
    <row r="1347">
      <c r="O1347">
        <f>1345</f>
        <v/>
      </c>
      <c r="P1347">
        <f>IF(TRIM('입력_구리근무자명단'!$A1345&amp;"")&lt;&gt;"",TRIM('입력_구리근무자명단'!$A1345&amp;""),P1346)</f>
        <v/>
      </c>
      <c r="Q1347">
        <f>'입력_구리근무자명단'!$B1345&amp;""</f>
        <v/>
      </c>
      <c r="R1347">
        <f>IF($E$2="","",TRIM(INDEX('입력_구리근무자명단'!$A1345:$ZZ1345,1,$E$2+IF($G$2="확정",1,0))&amp;""))</f>
        <v/>
      </c>
      <c r="S1347">
        <f>IF($R1347="","",IF(INDEX('입력_구리근무자명단'!$A1345:$ZZ1345,1,$E$2+2)&amp;""="",급여기준월,IF(ISNUMBER(INDEX('입력_구리근무자명단'!$A1345:$ZZ1345,1,$E$2+2)),INDEX('입력_구리근무자명단'!$A1345:$ZZ1345,1,$E$2+2),IFERROR(DATE(VALUE(LEFT(INDEX('입력_구리근무자명단'!$A1345:$ZZ1345,1,$E$2+2),4)),VALUE(MID(INDEX('입력_구리근무자명단'!$A1345:$ZZ1345,1,$E$2+2),6,2)),VALUE(MID(INDEX('입력_구리근무자명단'!$A1345:$ZZ1345,1,$E$2+2),9,2))),-1))))</f>
        <v/>
      </c>
      <c r="T1347">
        <f>IF($R1347="","",IF(INDEX('입력_구리근무자명단'!$A1345:$ZZ1345,1,$E$2+3)&amp;""="",EOMONTH(급여기준월,0),IF(ISNUMBER(INDEX('입력_구리근무자명단'!$A1345:$ZZ1345,1,$E$2+3)),INDEX('입력_구리근무자명단'!$A1345:$ZZ1345,1,$E$2+3),IFERROR(DATE(VALUE(LEFT(INDEX('입력_구리근무자명단'!$A1345:$ZZ1345,1,$E$2+3),4)),VALUE(MID(INDEX('입력_구리근무자명단'!$A1345:$ZZ1345,1,$E$2+3),6,2)),VALUE(MID(INDEX('입력_구리근무자명단'!$A1345:$ZZ1345,1,$E$2+3),9,2))),-1))))</f>
        <v/>
      </c>
      <c r="U1347">
        <f>IF($R1347="","",IF(OR($S1347&lt;0,$T1347&lt;0),0,MAX(0,MIN($T1347,EOMONTH(급여기준월,0))-MAX($S1347,급여기준월)+1)))</f>
        <v/>
      </c>
      <c r="V1347">
        <f>IF($R1347="","",TRIM(INDEX('입력_구리근무자명단'!$A1345:$ZZ1345,1,$E$2+5)&amp;""))</f>
        <v/>
      </c>
      <c r="W1347">
        <f>IF(ISNUMBER(SEARCH("구리독자",$V1347)),"구리독자","")</f>
        <v/>
      </c>
      <c r="X1347">
        <f>IF($R1347="","",$R1347&amp;"|"&amp;IF(OR($Q1347="인턴",ISNUMBER(SEARCH("수련교육부",$P1347))),"인턴",$P1347))</f>
        <v/>
      </c>
      <c r="Y1347">
        <f>IF($R1347="","",IF(COUNTIF(명단표[이름|과],$X1347)=1,"명단 일치",IF(AND(COUNTIF(명단표[이름|과],$X1347)=0,COUNTIF(명단표[이름],$R1347)=1),"명단 일치(이름만, 과 다름)",IF(COUNTIF(명단표[이름],$R1347)=0,IF(COUNTIF(기본자료표[이름],$R1347)&gt;0,"명단에 없음(기본자료에는 있음)","명단에 없음"),"동명이인 확인"))))</f>
        <v/>
      </c>
      <c r="Z1347">
        <f>IF($R1347="","",IF($S1347&lt;0,"⚠"&amp;INDEX('입력_구리근무자명단'!$A1345:$ZZ1345,1,$E$2+2),TEXT($S1347,"yyyy-mm-dd")))</f>
        <v/>
      </c>
      <c r="AA1347">
        <f>IF($R1347="","",IF($T1347&lt;0,"⚠"&amp;INDEX('입력_구리근무자명단'!$A1345:$ZZ1345,1,$E$2+3),TEXT($T1347,"yyyy-mm-dd")))</f>
        <v/>
      </c>
      <c r="AB1347">
        <f>AB1346+IF($R1347="",0,1)</f>
        <v/>
      </c>
      <c r="AC1347">
        <f>IF($R1347="","",$AB1347)</f>
        <v/>
      </c>
    </row>
    <row r="1348">
      <c r="O1348">
        <f>1346</f>
        <v/>
      </c>
      <c r="P1348">
        <f>IF(TRIM('입력_구리근무자명단'!$A1346&amp;"")&lt;&gt;"",TRIM('입력_구리근무자명단'!$A1346&amp;""),P1347)</f>
        <v/>
      </c>
      <c r="Q1348">
        <f>'입력_구리근무자명단'!$B1346&amp;""</f>
        <v/>
      </c>
      <c r="R1348">
        <f>IF($E$2="","",TRIM(INDEX('입력_구리근무자명단'!$A1346:$ZZ1346,1,$E$2+IF($G$2="확정",1,0))&amp;""))</f>
        <v/>
      </c>
      <c r="S1348">
        <f>IF($R1348="","",IF(INDEX('입력_구리근무자명단'!$A1346:$ZZ1346,1,$E$2+2)&amp;""="",급여기준월,IF(ISNUMBER(INDEX('입력_구리근무자명단'!$A1346:$ZZ1346,1,$E$2+2)),INDEX('입력_구리근무자명단'!$A1346:$ZZ1346,1,$E$2+2),IFERROR(DATE(VALUE(LEFT(INDEX('입력_구리근무자명단'!$A1346:$ZZ1346,1,$E$2+2),4)),VALUE(MID(INDEX('입력_구리근무자명단'!$A1346:$ZZ1346,1,$E$2+2),6,2)),VALUE(MID(INDEX('입력_구리근무자명단'!$A1346:$ZZ1346,1,$E$2+2),9,2))),-1))))</f>
        <v/>
      </c>
      <c r="T1348">
        <f>IF($R1348="","",IF(INDEX('입력_구리근무자명단'!$A1346:$ZZ1346,1,$E$2+3)&amp;""="",EOMONTH(급여기준월,0),IF(ISNUMBER(INDEX('입력_구리근무자명단'!$A1346:$ZZ1346,1,$E$2+3)),INDEX('입력_구리근무자명단'!$A1346:$ZZ1346,1,$E$2+3),IFERROR(DATE(VALUE(LEFT(INDEX('입력_구리근무자명단'!$A1346:$ZZ1346,1,$E$2+3),4)),VALUE(MID(INDEX('입력_구리근무자명단'!$A1346:$ZZ1346,1,$E$2+3),6,2)),VALUE(MID(INDEX('입력_구리근무자명단'!$A1346:$ZZ1346,1,$E$2+3),9,2))),-1))))</f>
        <v/>
      </c>
      <c r="U1348">
        <f>IF($R1348="","",IF(OR($S1348&lt;0,$T1348&lt;0),0,MAX(0,MIN($T1348,EOMONTH(급여기준월,0))-MAX($S1348,급여기준월)+1)))</f>
        <v/>
      </c>
      <c r="V1348">
        <f>IF($R1348="","",TRIM(INDEX('입력_구리근무자명단'!$A1346:$ZZ1346,1,$E$2+5)&amp;""))</f>
        <v/>
      </c>
      <c r="W1348">
        <f>IF(ISNUMBER(SEARCH("구리독자",$V1348)),"구리독자","")</f>
        <v/>
      </c>
      <c r="X1348">
        <f>IF($R1348="","",$R1348&amp;"|"&amp;IF(OR($Q1348="인턴",ISNUMBER(SEARCH("수련교육부",$P1348))),"인턴",$P1348))</f>
        <v/>
      </c>
      <c r="Y1348">
        <f>IF($R1348="","",IF(COUNTIF(명단표[이름|과],$X1348)=1,"명단 일치",IF(AND(COUNTIF(명단표[이름|과],$X1348)=0,COUNTIF(명단표[이름],$R1348)=1),"명단 일치(이름만, 과 다름)",IF(COUNTIF(명단표[이름],$R1348)=0,IF(COUNTIF(기본자료표[이름],$R1348)&gt;0,"명단에 없음(기본자료에는 있음)","명단에 없음"),"동명이인 확인"))))</f>
        <v/>
      </c>
      <c r="Z1348">
        <f>IF($R1348="","",IF($S1348&lt;0,"⚠"&amp;INDEX('입력_구리근무자명단'!$A1346:$ZZ1346,1,$E$2+2),TEXT($S1348,"yyyy-mm-dd")))</f>
        <v/>
      </c>
      <c r="AA1348">
        <f>IF($R1348="","",IF($T1348&lt;0,"⚠"&amp;INDEX('입력_구리근무자명단'!$A1346:$ZZ1346,1,$E$2+3),TEXT($T1348,"yyyy-mm-dd")))</f>
        <v/>
      </c>
      <c r="AB1348">
        <f>AB1347+IF($R1348="",0,1)</f>
        <v/>
      </c>
      <c r="AC1348">
        <f>IF($R1348="","",$AB1348)</f>
        <v/>
      </c>
    </row>
    <row r="1349">
      <c r="O1349">
        <f>1347</f>
        <v/>
      </c>
      <c r="P1349">
        <f>IF(TRIM('입력_구리근무자명단'!$A1347&amp;"")&lt;&gt;"",TRIM('입력_구리근무자명단'!$A1347&amp;""),P1348)</f>
        <v/>
      </c>
      <c r="Q1349">
        <f>'입력_구리근무자명단'!$B1347&amp;""</f>
        <v/>
      </c>
      <c r="R1349">
        <f>IF($E$2="","",TRIM(INDEX('입력_구리근무자명단'!$A1347:$ZZ1347,1,$E$2+IF($G$2="확정",1,0))&amp;""))</f>
        <v/>
      </c>
      <c r="S1349">
        <f>IF($R1349="","",IF(INDEX('입력_구리근무자명단'!$A1347:$ZZ1347,1,$E$2+2)&amp;""="",급여기준월,IF(ISNUMBER(INDEX('입력_구리근무자명단'!$A1347:$ZZ1347,1,$E$2+2)),INDEX('입력_구리근무자명단'!$A1347:$ZZ1347,1,$E$2+2),IFERROR(DATE(VALUE(LEFT(INDEX('입력_구리근무자명단'!$A1347:$ZZ1347,1,$E$2+2),4)),VALUE(MID(INDEX('입력_구리근무자명단'!$A1347:$ZZ1347,1,$E$2+2),6,2)),VALUE(MID(INDEX('입력_구리근무자명단'!$A1347:$ZZ1347,1,$E$2+2),9,2))),-1))))</f>
        <v/>
      </c>
      <c r="T1349">
        <f>IF($R1349="","",IF(INDEX('입력_구리근무자명단'!$A1347:$ZZ1347,1,$E$2+3)&amp;""="",EOMONTH(급여기준월,0),IF(ISNUMBER(INDEX('입력_구리근무자명단'!$A1347:$ZZ1347,1,$E$2+3)),INDEX('입력_구리근무자명단'!$A1347:$ZZ1347,1,$E$2+3),IFERROR(DATE(VALUE(LEFT(INDEX('입력_구리근무자명단'!$A1347:$ZZ1347,1,$E$2+3),4)),VALUE(MID(INDEX('입력_구리근무자명단'!$A1347:$ZZ1347,1,$E$2+3),6,2)),VALUE(MID(INDEX('입력_구리근무자명단'!$A1347:$ZZ1347,1,$E$2+3),9,2))),-1))))</f>
        <v/>
      </c>
      <c r="U1349">
        <f>IF($R1349="","",IF(OR($S1349&lt;0,$T1349&lt;0),0,MAX(0,MIN($T1349,EOMONTH(급여기준월,0))-MAX($S1349,급여기준월)+1)))</f>
        <v/>
      </c>
      <c r="V1349">
        <f>IF($R1349="","",TRIM(INDEX('입력_구리근무자명단'!$A1347:$ZZ1347,1,$E$2+5)&amp;""))</f>
        <v/>
      </c>
      <c r="W1349">
        <f>IF(ISNUMBER(SEARCH("구리독자",$V1349)),"구리독자","")</f>
        <v/>
      </c>
      <c r="X1349">
        <f>IF($R1349="","",$R1349&amp;"|"&amp;IF(OR($Q1349="인턴",ISNUMBER(SEARCH("수련교육부",$P1349))),"인턴",$P1349))</f>
        <v/>
      </c>
      <c r="Y1349">
        <f>IF($R1349="","",IF(COUNTIF(명단표[이름|과],$X1349)=1,"명단 일치",IF(AND(COUNTIF(명단표[이름|과],$X1349)=0,COUNTIF(명단표[이름],$R1349)=1),"명단 일치(이름만, 과 다름)",IF(COUNTIF(명단표[이름],$R1349)=0,IF(COUNTIF(기본자료표[이름],$R1349)&gt;0,"명단에 없음(기본자료에는 있음)","명단에 없음"),"동명이인 확인"))))</f>
        <v/>
      </c>
      <c r="Z1349">
        <f>IF($R1349="","",IF($S1349&lt;0,"⚠"&amp;INDEX('입력_구리근무자명단'!$A1347:$ZZ1347,1,$E$2+2),TEXT($S1349,"yyyy-mm-dd")))</f>
        <v/>
      </c>
      <c r="AA1349">
        <f>IF($R1349="","",IF($T1349&lt;0,"⚠"&amp;INDEX('입력_구리근무자명단'!$A1347:$ZZ1347,1,$E$2+3),TEXT($T1349,"yyyy-mm-dd")))</f>
        <v/>
      </c>
      <c r="AB1349">
        <f>AB1348+IF($R1349="",0,1)</f>
        <v/>
      </c>
      <c r="AC1349">
        <f>IF($R1349="","",$AB1349)</f>
        <v/>
      </c>
    </row>
    <row r="1350">
      <c r="O1350">
        <f>1348</f>
        <v/>
      </c>
      <c r="P1350">
        <f>IF(TRIM('입력_구리근무자명단'!$A1348&amp;"")&lt;&gt;"",TRIM('입력_구리근무자명단'!$A1348&amp;""),P1349)</f>
        <v/>
      </c>
      <c r="Q1350">
        <f>'입력_구리근무자명단'!$B1348&amp;""</f>
        <v/>
      </c>
      <c r="R1350">
        <f>IF($E$2="","",TRIM(INDEX('입력_구리근무자명단'!$A1348:$ZZ1348,1,$E$2+IF($G$2="확정",1,0))&amp;""))</f>
        <v/>
      </c>
      <c r="S1350">
        <f>IF($R1350="","",IF(INDEX('입력_구리근무자명단'!$A1348:$ZZ1348,1,$E$2+2)&amp;""="",급여기준월,IF(ISNUMBER(INDEX('입력_구리근무자명단'!$A1348:$ZZ1348,1,$E$2+2)),INDEX('입력_구리근무자명단'!$A1348:$ZZ1348,1,$E$2+2),IFERROR(DATE(VALUE(LEFT(INDEX('입력_구리근무자명단'!$A1348:$ZZ1348,1,$E$2+2),4)),VALUE(MID(INDEX('입력_구리근무자명단'!$A1348:$ZZ1348,1,$E$2+2),6,2)),VALUE(MID(INDEX('입력_구리근무자명단'!$A1348:$ZZ1348,1,$E$2+2),9,2))),-1))))</f>
        <v/>
      </c>
      <c r="T1350">
        <f>IF($R1350="","",IF(INDEX('입력_구리근무자명단'!$A1348:$ZZ1348,1,$E$2+3)&amp;""="",EOMONTH(급여기준월,0),IF(ISNUMBER(INDEX('입력_구리근무자명단'!$A1348:$ZZ1348,1,$E$2+3)),INDEX('입력_구리근무자명단'!$A1348:$ZZ1348,1,$E$2+3),IFERROR(DATE(VALUE(LEFT(INDEX('입력_구리근무자명단'!$A1348:$ZZ1348,1,$E$2+3),4)),VALUE(MID(INDEX('입력_구리근무자명단'!$A1348:$ZZ1348,1,$E$2+3),6,2)),VALUE(MID(INDEX('입력_구리근무자명단'!$A1348:$ZZ1348,1,$E$2+3),9,2))),-1))))</f>
        <v/>
      </c>
      <c r="U1350">
        <f>IF($R1350="","",IF(OR($S1350&lt;0,$T1350&lt;0),0,MAX(0,MIN($T1350,EOMONTH(급여기준월,0))-MAX($S1350,급여기준월)+1)))</f>
        <v/>
      </c>
      <c r="V1350">
        <f>IF($R1350="","",TRIM(INDEX('입력_구리근무자명단'!$A1348:$ZZ1348,1,$E$2+5)&amp;""))</f>
        <v/>
      </c>
      <c r="W1350">
        <f>IF(ISNUMBER(SEARCH("구리독자",$V1350)),"구리독자","")</f>
        <v/>
      </c>
      <c r="X1350">
        <f>IF($R1350="","",$R1350&amp;"|"&amp;IF(OR($Q1350="인턴",ISNUMBER(SEARCH("수련교육부",$P1350))),"인턴",$P1350))</f>
        <v/>
      </c>
      <c r="Y1350">
        <f>IF($R1350="","",IF(COUNTIF(명단표[이름|과],$X1350)=1,"명단 일치",IF(AND(COUNTIF(명단표[이름|과],$X1350)=0,COUNTIF(명단표[이름],$R1350)=1),"명단 일치(이름만, 과 다름)",IF(COUNTIF(명단표[이름],$R1350)=0,IF(COUNTIF(기본자료표[이름],$R1350)&gt;0,"명단에 없음(기본자료에는 있음)","명단에 없음"),"동명이인 확인"))))</f>
        <v/>
      </c>
      <c r="Z1350">
        <f>IF($R1350="","",IF($S1350&lt;0,"⚠"&amp;INDEX('입력_구리근무자명단'!$A1348:$ZZ1348,1,$E$2+2),TEXT($S1350,"yyyy-mm-dd")))</f>
        <v/>
      </c>
      <c r="AA1350">
        <f>IF($R1350="","",IF($T1350&lt;0,"⚠"&amp;INDEX('입력_구리근무자명단'!$A1348:$ZZ1348,1,$E$2+3),TEXT($T1350,"yyyy-mm-dd")))</f>
        <v/>
      </c>
      <c r="AB1350">
        <f>AB1349+IF($R1350="",0,1)</f>
        <v/>
      </c>
      <c r="AC1350">
        <f>IF($R1350="","",$AB1350)</f>
        <v/>
      </c>
    </row>
    <row r="1351">
      <c r="O1351">
        <f>1349</f>
        <v/>
      </c>
      <c r="P1351">
        <f>IF(TRIM('입력_구리근무자명단'!$A1349&amp;"")&lt;&gt;"",TRIM('입력_구리근무자명단'!$A1349&amp;""),P1350)</f>
        <v/>
      </c>
      <c r="Q1351">
        <f>'입력_구리근무자명단'!$B1349&amp;""</f>
        <v/>
      </c>
      <c r="R1351">
        <f>IF($E$2="","",TRIM(INDEX('입력_구리근무자명단'!$A1349:$ZZ1349,1,$E$2+IF($G$2="확정",1,0))&amp;""))</f>
        <v/>
      </c>
      <c r="S1351">
        <f>IF($R1351="","",IF(INDEX('입력_구리근무자명단'!$A1349:$ZZ1349,1,$E$2+2)&amp;""="",급여기준월,IF(ISNUMBER(INDEX('입력_구리근무자명단'!$A1349:$ZZ1349,1,$E$2+2)),INDEX('입력_구리근무자명단'!$A1349:$ZZ1349,1,$E$2+2),IFERROR(DATE(VALUE(LEFT(INDEX('입력_구리근무자명단'!$A1349:$ZZ1349,1,$E$2+2),4)),VALUE(MID(INDEX('입력_구리근무자명단'!$A1349:$ZZ1349,1,$E$2+2),6,2)),VALUE(MID(INDEX('입력_구리근무자명단'!$A1349:$ZZ1349,1,$E$2+2),9,2))),-1))))</f>
        <v/>
      </c>
      <c r="T1351">
        <f>IF($R1351="","",IF(INDEX('입력_구리근무자명단'!$A1349:$ZZ1349,1,$E$2+3)&amp;""="",EOMONTH(급여기준월,0),IF(ISNUMBER(INDEX('입력_구리근무자명단'!$A1349:$ZZ1349,1,$E$2+3)),INDEX('입력_구리근무자명단'!$A1349:$ZZ1349,1,$E$2+3),IFERROR(DATE(VALUE(LEFT(INDEX('입력_구리근무자명단'!$A1349:$ZZ1349,1,$E$2+3),4)),VALUE(MID(INDEX('입력_구리근무자명단'!$A1349:$ZZ1349,1,$E$2+3),6,2)),VALUE(MID(INDEX('입력_구리근무자명단'!$A1349:$ZZ1349,1,$E$2+3),9,2))),-1))))</f>
        <v/>
      </c>
      <c r="U1351">
        <f>IF($R1351="","",IF(OR($S1351&lt;0,$T1351&lt;0),0,MAX(0,MIN($T1351,EOMONTH(급여기준월,0))-MAX($S1351,급여기준월)+1)))</f>
        <v/>
      </c>
      <c r="V1351">
        <f>IF($R1351="","",TRIM(INDEX('입력_구리근무자명단'!$A1349:$ZZ1349,1,$E$2+5)&amp;""))</f>
        <v/>
      </c>
      <c r="W1351">
        <f>IF(ISNUMBER(SEARCH("구리독자",$V1351)),"구리독자","")</f>
        <v/>
      </c>
      <c r="X1351">
        <f>IF($R1351="","",$R1351&amp;"|"&amp;IF(OR($Q1351="인턴",ISNUMBER(SEARCH("수련교육부",$P1351))),"인턴",$P1351))</f>
        <v/>
      </c>
      <c r="Y1351">
        <f>IF($R1351="","",IF(COUNTIF(명단표[이름|과],$X1351)=1,"명단 일치",IF(AND(COUNTIF(명단표[이름|과],$X1351)=0,COUNTIF(명단표[이름],$R1351)=1),"명단 일치(이름만, 과 다름)",IF(COUNTIF(명단표[이름],$R1351)=0,IF(COUNTIF(기본자료표[이름],$R1351)&gt;0,"명단에 없음(기본자료에는 있음)","명단에 없음"),"동명이인 확인"))))</f>
        <v/>
      </c>
      <c r="Z1351">
        <f>IF($R1351="","",IF($S1351&lt;0,"⚠"&amp;INDEX('입력_구리근무자명단'!$A1349:$ZZ1349,1,$E$2+2),TEXT($S1351,"yyyy-mm-dd")))</f>
        <v/>
      </c>
      <c r="AA1351">
        <f>IF($R1351="","",IF($T1351&lt;0,"⚠"&amp;INDEX('입력_구리근무자명단'!$A1349:$ZZ1349,1,$E$2+3),TEXT($T1351,"yyyy-mm-dd")))</f>
        <v/>
      </c>
      <c r="AB1351">
        <f>AB1350+IF($R1351="",0,1)</f>
        <v/>
      </c>
      <c r="AC1351">
        <f>IF($R1351="","",$AB1351)</f>
        <v/>
      </c>
    </row>
    <row r="1352">
      <c r="O1352">
        <f>1350</f>
        <v/>
      </c>
      <c r="P1352">
        <f>IF(TRIM('입력_구리근무자명단'!$A1350&amp;"")&lt;&gt;"",TRIM('입력_구리근무자명단'!$A1350&amp;""),P1351)</f>
        <v/>
      </c>
      <c r="Q1352">
        <f>'입력_구리근무자명단'!$B1350&amp;""</f>
        <v/>
      </c>
      <c r="R1352">
        <f>IF($E$2="","",TRIM(INDEX('입력_구리근무자명단'!$A1350:$ZZ1350,1,$E$2+IF($G$2="확정",1,0))&amp;""))</f>
        <v/>
      </c>
      <c r="S1352">
        <f>IF($R1352="","",IF(INDEX('입력_구리근무자명단'!$A1350:$ZZ1350,1,$E$2+2)&amp;""="",급여기준월,IF(ISNUMBER(INDEX('입력_구리근무자명단'!$A1350:$ZZ1350,1,$E$2+2)),INDEX('입력_구리근무자명단'!$A1350:$ZZ1350,1,$E$2+2),IFERROR(DATE(VALUE(LEFT(INDEX('입력_구리근무자명단'!$A1350:$ZZ1350,1,$E$2+2),4)),VALUE(MID(INDEX('입력_구리근무자명단'!$A1350:$ZZ1350,1,$E$2+2),6,2)),VALUE(MID(INDEX('입력_구리근무자명단'!$A1350:$ZZ1350,1,$E$2+2),9,2))),-1))))</f>
        <v/>
      </c>
      <c r="T1352">
        <f>IF($R1352="","",IF(INDEX('입력_구리근무자명단'!$A1350:$ZZ1350,1,$E$2+3)&amp;""="",EOMONTH(급여기준월,0),IF(ISNUMBER(INDEX('입력_구리근무자명단'!$A1350:$ZZ1350,1,$E$2+3)),INDEX('입력_구리근무자명단'!$A1350:$ZZ1350,1,$E$2+3),IFERROR(DATE(VALUE(LEFT(INDEX('입력_구리근무자명단'!$A1350:$ZZ1350,1,$E$2+3),4)),VALUE(MID(INDEX('입력_구리근무자명단'!$A1350:$ZZ1350,1,$E$2+3),6,2)),VALUE(MID(INDEX('입력_구리근무자명단'!$A1350:$ZZ1350,1,$E$2+3),9,2))),-1))))</f>
        <v/>
      </c>
      <c r="U1352">
        <f>IF($R1352="","",IF(OR($S1352&lt;0,$T1352&lt;0),0,MAX(0,MIN($T1352,EOMONTH(급여기준월,0))-MAX($S1352,급여기준월)+1)))</f>
        <v/>
      </c>
      <c r="V1352">
        <f>IF($R1352="","",TRIM(INDEX('입력_구리근무자명단'!$A1350:$ZZ1350,1,$E$2+5)&amp;""))</f>
        <v/>
      </c>
      <c r="W1352">
        <f>IF(ISNUMBER(SEARCH("구리독자",$V1352)),"구리독자","")</f>
        <v/>
      </c>
      <c r="X1352">
        <f>IF($R1352="","",$R1352&amp;"|"&amp;IF(OR($Q1352="인턴",ISNUMBER(SEARCH("수련교육부",$P1352))),"인턴",$P1352))</f>
        <v/>
      </c>
      <c r="Y1352">
        <f>IF($R1352="","",IF(COUNTIF(명단표[이름|과],$X1352)=1,"명단 일치",IF(AND(COUNTIF(명단표[이름|과],$X1352)=0,COUNTIF(명단표[이름],$R1352)=1),"명단 일치(이름만, 과 다름)",IF(COUNTIF(명단표[이름],$R1352)=0,IF(COUNTIF(기본자료표[이름],$R1352)&gt;0,"명단에 없음(기본자료에는 있음)","명단에 없음"),"동명이인 확인"))))</f>
        <v/>
      </c>
      <c r="Z1352">
        <f>IF($R1352="","",IF($S1352&lt;0,"⚠"&amp;INDEX('입력_구리근무자명단'!$A1350:$ZZ1350,1,$E$2+2),TEXT($S1352,"yyyy-mm-dd")))</f>
        <v/>
      </c>
      <c r="AA1352">
        <f>IF($R1352="","",IF($T1352&lt;0,"⚠"&amp;INDEX('입력_구리근무자명단'!$A1350:$ZZ1350,1,$E$2+3),TEXT($T1352,"yyyy-mm-dd")))</f>
        <v/>
      </c>
      <c r="AB1352">
        <f>AB1351+IF($R1352="",0,1)</f>
        <v/>
      </c>
      <c r="AC1352">
        <f>IF($R1352="","",$AB1352)</f>
        <v/>
      </c>
    </row>
    <row r="1353">
      <c r="O1353">
        <f>1351</f>
        <v/>
      </c>
      <c r="P1353">
        <f>IF(TRIM('입력_구리근무자명단'!$A1351&amp;"")&lt;&gt;"",TRIM('입력_구리근무자명단'!$A1351&amp;""),P1352)</f>
        <v/>
      </c>
      <c r="Q1353">
        <f>'입력_구리근무자명단'!$B1351&amp;""</f>
        <v/>
      </c>
      <c r="R1353">
        <f>IF($E$2="","",TRIM(INDEX('입력_구리근무자명단'!$A1351:$ZZ1351,1,$E$2+IF($G$2="확정",1,0))&amp;""))</f>
        <v/>
      </c>
      <c r="S1353">
        <f>IF($R1353="","",IF(INDEX('입력_구리근무자명단'!$A1351:$ZZ1351,1,$E$2+2)&amp;""="",급여기준월,IF(ISNUMBER(INDEX('입력_구리근무자명단'!$A1351:$ZZ1351,1,$E$2+2)),INDEX('입력_구리근무자명단'!$A1351:$ZZ1351,1,$E$2+2),IFERROR(DATE(VALUE(LEFT(INDEX('입력_구리근무자명단'!$A1351:$ZZ1351,1,$E$2+2),4)),VALUE(MID(INDEX('입력_구리근무자명단'!$A1351:$ZZ1351,1,$E$2+2),6,2)),VALUE(MID(INDEX('입력_구리근무자명단'!$A1351:$ZZ1351,1,$E$2+2),9,2))),-1))))</f>
        <v/>
      </c>
      <c r="T1353">
        <f>IF($R1353="","",IF(INDEX('입력_구리근무자명단'!$A1351:$ZZ1351,1,$E$2+3)&amp;""="",EOMONTH(급여기준월,0),IF(ISNUMBER(INDEX('입력_구리근무자명단'!$A1351:$ZZ1351,1,$E$2+3)),INDEX('입력_구리근무자명단'!$A1351:$ZZ1351,1,$E$2+3),IFERROR(DATE(VALUE(LEFT(INDEX('입력_구리근무자명단'!$A1351:$ZZ1351,1,$E$2+3),4)),VALUE(MID(INDEX('입력_구리근무자명단'!$A1351:$ZZ1351,1,$E$2+3),6,2)),VALUE(MID(INDEX('입력_구리근무자명단'!$A1351:$ZZ1351,1,$E$2+3),9,2))),-1))))</f>
        <v/>
      </c>
      <c r="U1353">
        <f>IF($R1353="","",IF(OR($S1353&lt;0,$T1353&lt;0),0,MAX(0,MIN($T1353,EOMONTH(급여기준월,0))-MAX($S1353,급여기준월)+1)))</f>
        <v/>
      </c>
      <c r="V1353">
        <f>IF($R1353="","",TRIM(INDEX('입력_구리근무자명단'!$A1351:$ZZ1351,1,$E$2+5)&amp;""))</f>
        <v/>
      </c>
      <c r="W1353">
        <f>IF(ISNUMBER(SEARCH("구리독자",$V1353)),"구리독자","")</f>
        <v/>
      </c>
      <c r="X1353">
        <f>IF($R1353="","",$R1353&amp;"|"&amp;IF(OR($Q1353="인턴",ISNUMBER(SEARCH("수련교육부",$P1353))),"인턴",$P1353))</f>
        <v/>
      </c>
      <c r="Y1353">
        <f>IF($R1353="","",IF(COUNTIF(명단표[이름|과],$X1353)=1,"명단 일치",IF(AND(COUNTIF(명단표[이름|과],$X1353)=0,COUNTIF(명단표[이름],$R1353)=1),"명단 일치(이름만, 과 다름)",IF(COUNTIF(명단표[이름],$R1353)=0,IF(COUNTIF(기본자료표[이름],$R1353)&gt;0,"명단에 없음(기본자료에는 있음)","명단에 없음"),"동명이인 확인"))))</f>
        <v/>
      </c>
      <c r="Z1353">
        <f>IF($R1353="","",IF($S1353&lt;0,"⚠"&amp;INDEX('입력_구리근무자명단'!$A1351:$ZZ1351,1,$E$2+2),TEXT($S1353,"yyyy-mm-dd")))</f>
        <v/>
      </c>
      <c r="AA1353">
        <f>IF($R1353="","",IF($T1353&lt;0,"⚠"&amp;INDEX('입력_구리근무자명단'!$A1351:$ZZ1351,1,$E$2+3),TEXT($T1353,"yyyy-mm-dd")))</f>
        <v/>
      </c>
      <c r="AB1353">
        <f>AB1352+IF($R1353="",0,1)</f>
        <v/>
      </c>
      <c r="AC1353">
        <f>IF($R1353="","",$AB1353)</f>
        <v/>
      </c>
    </row>
    <row r="1354">
      <c r="O1354">
        <f>1352</f>
        <v/>
      </c>
      <c r="P1354">
        <f>IF(TRIM('입력_구리근무자명단'!$A1352&amp;"")&lt;&gt;"",TRIM('입력_구리근무자명단'!$A1352&amp;""),P1353)</f>
        <v/>
      </c>
      <c r="Q1354">
        <f>'입력_구리근무자명단'!$B1352&amp;""</f>
        <v/>
      </c>
      <c r="R1354">
        <f>IF($E$2="","",TRIM(INDEX('입력_구리근무자명단'!$A1352:$ZZ1352,1,$E$2+IF($G$2="확정",1,0))&amp;""))</f>
        <v/>
      </c>
      <c r="S1354">
        <f>IF($R1354="","",IF(INDEX('입력_구리근무자명단'!$A1352:$ZZ1352,1,$E$2+2)&amp;""="",급여기준월,IF(ISNUMBER(INDEX('입력_구리근무자명단'!$A1352:$ZZ1352,1,$E$2+2)),INDEX('입력_구리근무자명단'!$A1352:$ZZ1352,1,$E$2+2),IFERROR(DATE(VALUE(LEFT(INDEX('입력_구리근무자명단'!$A1352:$ZZ1352,1,$E$2+2),4)),VALUE(MID(INDEX('입력_구리근무자명단'!$A1352:$ZZ1352,1,$E$2+2),6,2)),VALUE(MID(INDEX('입력_구리근무자명단'!$A1352:$ZZ1352,1,$E$2+2),9,2))),-1))))</f>
        <v/>
      </c>
      <c r="T1354">
        <f>IF($R1354="","",IF(INDEX('입력_구리근무자명단'!$A1352:$ZZ1352,1,$E$2+3)&amp;""="",EOMONTH(급여기준월,0),IF(ISNUMBER(INDEX('입력_구리근무자명단'!$A1352:$ZZ1352,1,$E$2+3)),INDEX('입력_구리근무자명단'!$A1352:$ZZ1352,1,$E$2+3),IFERROR(DATE(VALUE(LEFT(INDEX('입력_구리근무자명단'!$A1352:$ZZ1352,1,$E$2+3),4)),VALUE(MID(INDEX('입력_구리근무자명단'!$A1352:$ZZ1352,1,$E$2+3),6,2)),VALUE(MID(INDEX('입력_구리근무자명단'!$A1352:$ZZ1352,1,$E$2+3),9,2))),-1))))</f>
        <v/>
      </c>
      <c r="U1354">
        <f>IF($R1354="","",IF(OR($S1354&lt;0,$T1354&lt;0),0,MAX(0,MIN($T1354,EOMONTH(급여기준월,0))-MAX($S1354,급여기준월)+1)))</f>
        <v/>
      </c>
      <c r="V1354">
        <f>IF($R1354="","",TRIM(INDEX('입력_구리근무자명단'!$A1352:$ZZ1352,1,$E$2+5)&amp;""))</f>
        <v/>
      </c>
      <c r="W1354">
        <f>IF(ISNUMBER(SEARCH("구리독자",$V1354)),"구리독자","")</f>
        <v/>
      </c>
      <c r="X1354">
        <f>IF($R1354="","",$R1354&amp;"|"&amp;IF(OR($Q1354="인턴",ISNUMBER(SEARCH("수련교육부",$P1354))),"인턴",$P1354))</f>
        <v/>
      </c>
      <c r="Y1354">
        <f>IF($R1354="","",IF(COUNTIF(명단표[이름|과],$X1354)=1,"명단 일치",IF(AND(COUNTIF(명단표[이름|과],$X1354)=0,COUNTIF(명단표[이름],$R1354)=1),"명단 일치(이름만, 과 다름)",IF(COUNTIF(명단표[이름],$R1354)=0,IF(COUNTIF(기본자료표[이름],$R1354)&gt;0,"명단에 없음(기본자료에는 있음)","명단에 없음"),"동명이인 확인"))))</f>
        <v/>
      </c>
      <c r="Z1354">
        <f>IF($R1354="","",IF($S1354&lt;0,"⚠"&amp;INDEX('입력_구리근무자명단'!$A1352:$ZZ1352,1,$E$2+2),TEXT($S1354,"yyyy-mm-dd")))</f>
        <v/>
      </c>
      <c r="AA1354">
        <f>IF($R1354="","",IF($T1354&lt;0,"⚠"&amp;INDEX('입력_구리근무자명단'!$A1352:$ZZ1352,1,$E$2+3),TEXT($T1354,"yyyy-mm-dd")))</f>
        <v/>
      </c>
      <c r="AB1354">
        <f>AB1353+IF($R1354="",0,1)</f>
        <v/>
      </c>
      <c r="AC1354">
        <f>IF($R1354="","",$AB1354)</f>
        <v/>
      </c>
    </row>
    <row r="1355">
      <c r="O1355">
        <f>1353</f>
        <v/>
      </c>
      <c r="P1355">
        <f>IF(TRIM('입력_구리근무자명단'!$A1353&amp;"")&lt;&gt;"",TRIM('입력_구리근무자명단'!$A1353&amp;""),P1354)</f>
        <v/>
      </c>
      <c r="Q1355">
        <f>'입력_구리근무자명단'!$B1353&amp;""</f>
        <v/>
      </c>
      <c r="R1355">
        <f>IF($E$2="","",TRIM(INDEX('입력_구리근무자명단'!$A1353:$ZZ1353,1,$E$2+IF($G$2="확정",1,0))&amp;""))</f>
        <v/>
      </c>
      <c r="S1355">
        <f>IF($R1355="","",IF(INDEX('입력_구리근무자명단'!$A1353:$ZZ1353,1,$E$2+2)&amp;""="",급여기준월,IF(ISNUMBER(INDEX('입력_구리근무자명단'!$A1353:$ZZ1353,1,$E$2+2)),INDEX('입력_구리근무자명단'!$A1353:$ZZ1353,1,$E$2+2),IFERROR(DATE(VALUE(LEFT(INDEX('입력_구리근무자명단'!$A1353:$ZZ1353,1,$E$2+2),4)),VALUE(MID(INDEX('입력_구리근무자명단'!$A1353:$ZZ1353,1,$E$2+2),6,2)),VALUE(MID(INDEX('입력_구리근무자명단'!$A1353:$ZZ1353,1,$E$2+2),9,2))),-1))))</f>
        <v/>
      </c>
      <c r="T1355">
        <f>IF($R1355="","",IF(INDEX('입력_구리근무자명단'!$A1353:$ZZ1353,1,$E$2+3)&amp;""="",EOMONTH(급여기준월,0),IF(ISNUMBER(INDEX('입력_구리근무자명단'!$A1353:$ZZ1353,1,$E$2+3)),INDEX('입력_구리근무자명단'!$A1353:$ZZ1353,1,$E$2+3),IFERROR(DATE(VALUE(LEFT(INDEX('입력_구리근무자명단'!$A1353:$ZZ1353,1,$E$2+3),4)),VALUE(MID(INDEX('입력_구리근무자명단'!$A1353:$ZZ1353,1,$E$2+3),6,2)),VALUE(MID(INDEX('입력_구리근무자명단'!$A1353:$ZZ1353,1,$E$2+3),9,2))),-1))))</f>
        <v/>
      </c>
      <c r="U1355">
        <f>IF($R1355="","",IF(OR($S1355&lt;0,$T1355&lt;0),0,MAX(0,MIN($T1355,EOMONTH(급여기준월,0))-MAX($S1355,급여기준월)+1)))</f>
        <v/>
      </c>
      <c r="V1355">
        <f>IF($R1355="","",TRIM(INDEX('입력_구리근무자명단'!$A1353:$ZZ1353,1,$E$2+5)&amp;""))</f>
        <v/>
      </c>
      <c r="W1355">
        <f>IF(ISNUMBER(SEARCH("구리독자",$V1355)),"구리독자","")</f>
        <v/>
      </c>
      <c r="X1355">
        <f>IF($R1355="","",$R1355&amp;"|"&amp;IF(OR($Q1355="인턴",ISNUMBER(SEARCH("수련교육부",$P1355))),"인턴",$P1355))</f>
        <v/>
      </c>
      <c r="Y1355">
        <f>IF($R1355="","",IF(COUNTIF(명단표[이름|과],$X1355)=1,"명단 일치",IF(AND(COUNTIF(명단표[이름|과],$X1355)=0,COUNTIF(명단표[이름],$R1355)=1),"명단 일치(이름만, 과 다름)",IF(COUNTIF(명단표[이름],$R1355)=0,IF(COUNTIF(기본자료표[이름],$R1355)&gt;0,"명단에 없음(기본자료에는 있음)","명단에 없음"),"동명이인 확인"))))</f>
        <v/>
      </c>
      <c r="Z1355">
        <f>IF($R1355="","",IF($S1355&lt;0,"⚠"&amp;INDEX('입력_구리근무자명단'!$A1353:$ZZ1353,1,$E$2+2),TEXT($S1355,"yyyy-mm-dd")))</f>
        <v/>
      </c>
      <c r="AA1355">
        <f>IF($R1355="","",IF($T1355&lt;0,"⚠"&amp;INDEX('입력_구리근무자명단'!$A1353:$ZZ1353,1,$E$2+3),TEXT($T1355,"yyyy-mm-dd")))</f>
        <v/>
      </c>
      <c r="AB1355">
        <f>AB1354+IF($R1355="",0,1)</f>
        <v/>
      </c>
      <c r="AC1355">
        <f>IF($R1355="","",$AB1355)</f>
        <v/>
      </c>
    </row>
    <row r="1356">
      <c r="O1356">
        <f>1354</f>
        <v/>
      </c>
      <c r="P1356">
        <f>IF(TRIM('입력_구리근무자명단'!$A1354&amp;"")&lt;&gt;"",TRIM('입력_구리근무자명단'!$A1354&amp;""),P1355)</f>
        <v/>
      </c>
      <c r="Q1356">
        <f>'입력_구리근무자명단'!$B1354&amp;""</f>
        <v/>
      </c>
      <c r="R1356">
        <f>IF($E$2="","",TRIM(INDEX('입력_구리근무자명단'!$A1354:$ZZ1354,1,$E$2+IF($G$2="확정",1,0))&amp;""))</f>
        <v/>
      </c>
      <c r="S1356">
        <f>IF($R1356="","",IF(INDEX('입력_구리근무자명단'!$A1354:$ZZ1354,1,$E$2+2)&amp;""="",급여기준월,IF(ISNUMBER(INDEX('입력_구리근무자명단'!$A1354:$ZZ1354,1,$E$2+2)),INDEX('입력_구리근무자명단'!$A1354:$ZZ1354,1,$E$2+2),IFERROR(DATE(VALUE(LEFT(INDEX('입력_구리근무자명단'!$A1354:$ZZ1354,1,$E$2+2),4)),VALUE(MID(INDEX('입력_구리근무자명단'!$A1354:$ZZ1354,1,$E$2+2),6,2)),VALUE(MID(INDEX('입력_구리근무자명단'!$A1354:$ZZ1354,1,$E$2+2),9,2))),-1))))</f>
        <v/>
      </c>
      <c r="T1356">
        <f>IF($R1356="","",IF(INDEX('입력_구리근무자명단'!$A1354:$ZZ1354,1,$E$2+3)&amp;""="",EOMONTH(급여기준월,0),IF(ISNUMBER(INDEX('입력_구리근무자명단'!$A1354:$ZZ1354,1,$E$2+3)),INDEX('입력_구리근무자명단'!$A1354:$ZZ1354,1,$E$2+3),IFERROR(DATE(VALUE(LEFT(INDEX('입력_구리근무자명단'!$A1354:$ZZ1354,1,$E$2+3),4)),VALUE(MID(INDEX('입력_구리근무자명단'!$A1354:$ZZ1354,1,$E$2+3),6,2)),VALUE(MID(INDEX('입력_구리근무자명단'!$A1354:$ZZ1354,1,$E$2+3),9,2))),-1))))</f>
        <v/>
      </c>
      <c r="U1356">
        <f>IF($R1356="","",IF(OR($S1356&lt;0,$T1356&lt;0),0,MAX(0,MIN($T1356,EOMONTH(급여기준월,0))-MAX($S1356,급여기준월)+1)))</f>
        <v/>
      </c>
      <c r="V1356">
        <f>IF($R1356="","",TRIM(INDEX('입력_구리근무자명단'!$A1354:$ZZ1354,1,$E$2+5)&amp;""))</f>
        <v/>
      </c>
      <c r="W1356">
        <f>IF(ISNUMBER(SEARCH("구리독자",$V1356)),"구리독자","")</f>
        <v/>
      </c>
      <c r="X1356">
        <f>IF($R1356="","",$R1356&amp;"|"&amp;IF(OR($Q1356="인턴",ISNUMBER(SEARCH("수련교육부",$P1356))),"인턴",$P1356))</f>
        <v/>
      </c>
      <c r="Y1356">
        <f>IF($R1356="","",IF(COUNTIF(명단표[이름|과],$X1356)=1,"명단 일치",IF(AND(COUNTIF(명단표[이름|과],$X1356)=0,COUNTIF(명단표[이름],$R1356)=1),"명단 일치(이름만, 과 다름)",IF(COUNTIF(명단표[이름],$R1356)=0,IF(COUNTIF(기본자료표[이름],$R1356)&gt;0,"명단에 없음(기본자료에는 있음)","명단에 없음"),"동명이인 확인"))))</f>
        <v/>
      </c>
      <c r="Z1356">
        <f>IF($R1356="","",IF($S1356&lt;0,"⚠"&amp;INDEX('입력_구리근무자명단'!$A1354:$ZZ1354,1,$E$2+2),TEXT($S1356,"yyyy-mm-dd")))</f>
        <v/>
      </c>
      <c r="AA1356">
        <f>IF($R1356="","",IF($T1356&lt;0,"⚠"&amp;INDEX('입력_구리근무자명단'!$A1354:$ZZ1354,1,$E$2+3),TEXT($T1356,"yyyy-mm-dd")))</f>
        <v/>
      </c>
      <c r="AB1356">
        <f>AB1355+IF($R1356="",0,1)</f>
        <v/>
      </c>
      <c r="AC1356">
        <f>IF($R1356="","",$AB1356)</f>
        <v/>
      </c>
    </row>
    <row r="1357">
      <c r="O1357">
        <f>1355</f>
        <v/>
      </c>
      <c r="P1357">
        <f>IF(TRIM('입력_구리근무자명단'!$A1355&amp;"")&lt;&gt;"",TRIM('입력_구리근무자명단'!$A1355&amp;""),P1356)</f>
        <v/>
      </c>
      <c r="Q1357">
        <f>'입력_구리근무자명단'!$B1355&amp;""</f>
        <v/>
      </c>
      <c r="R1357">
        <f>IF($E$2="","",TRIM(INDEX('입력_구리근무자명단'!$A1355:$ZZ1355,1,$E$2+IF($G$2="확정",1,0))&amp;""))</f>
        <v/>
      </c>
      <c r="S1357">
        <f>IF($R1357="","",IF(INDEX('입력_구리근무자명단'!$A1355:$ZZ1355,1,$E$2+2)&amp;""="",급여기준월,IF(ISNUMBER(INDEX('입력_구리근무자명단'!$A1355:$ZZ1355,1,$E$2+2)),INDEX('입력_구리근무자명단'!$A1355:$ZZ1355,1,$E$2+2),IFERROR(DATE(VALUE(LEFT(INDEX('입력_구리근무자명단'!$A1355:$ZZ1355,1,$E$2+2),4)),VALUE(MID(INDEX('입력_구리근무자명단'!$A1355:$ZZ1355,1,$E$2+2),6,2)),VALUE(MID(INDEX('입력_구리근무자명단'!$A1355:$ZZ1355,1,$E$2+2),9,2))),-1))))</f>
        <v/>
      </c>
      <c r="T1357">
        <f>IF($R1357="","",IF(INDEX('입력_구리근무자명단'!$A1355:$ZZ1355,1,$E$2+3)&amp;""="",EOMONTH(급여기준월,0),IF(ISNUMBER(INDEX('입력_구리근무자명단'!$A1355:$ZZ1355,1,$E$2+3)),INDEX('입력_구리근무자명단'!$A1355:$ZZ1355,1,$E$2+3),IFERROR(DATE(VALUE(LEFT(INDEX('입력_구리근무자명단'!$A1355:$ZZ1355,1,$E$2+3),4)),VALUE(MID(INDEX('입력_구리근무자명단'!$A1355:$ZZ1355,1,$E$2+3),6,2)),VALUE(MID(INDEX('입력_구리근무자명단'!$A1355:$ZZ1355,1,$E$2+3),9,2))),-1))))</f>
        <v/>
      </c>
      <c r="U1357">
        <f>IF($R1357="","",IF(OR($S1357&lt;0,$T1357&lt;0),0,MAX(0,MIN($T1357,EOMONTH(급여기준월,0))-MAX($S1357,급여기준월)+1)))</f>
        <v/>
      </c>
      <c r="V1357">
        <f>IF($R1357="","",TRIM(INDEX('입력_구리근무자명단'!$A1355:$ZZ1355,1,$E$2+5)&amp;""))</f>
        <v/>
      </c>
      <c r="W1357">
        <f>IF(ISNUMBER(SEARCH("구리독자",$V1357)),"구리독자","")</f>
        <v/>
      </c>
      <c r="X1357">
        <f>IF($R1357="","",$R1357&amp;"|"&amp;IF(OR($Q1357="인턴",ISNUMBER(SEARCH("수련교육부",$P1357))),"인턴",$P1357))</f>
        <v/>
      </c>
      <c r="Y1357">
        <f>IF($R1357="","",IF(COUNTIF(명단표[이름|과],$X1357)=1,"명단 일치",IF(AND(COUNTIF(명단표[이름|과],$X1357)=0,COUNTIF(명단표[이름],$R1357)=1),"명단 일치(이름만, 과 다름)",IF(COUNTIF(명단표[이름],$R1357)=0,IF(COUNTIF(기본자료표[이름],$R1357)&gt;0,"명단에 없음(기본자료에는 있음)","명단에 없음"),"동명이인 확인"))))</f>
        <v/>
      </c>
      <c r="Z1357">
        <f>IF($R1357="","",IF($S1357&lt;0,"⚠"&amp;INDEX('입력_구리근무자명단'!$A1355:$ZZ1355,1,$E$2+2),TEXT($S1357,"yyyy-mm-dd")))</f>
        <v/>
      </c>
      <c r="AA1357">
        <f>IF($R1357="","",IF($T1357&lt;0,"⚠"&amp;INDEX('입력_구리근무자명단'!$A1355:$ZZ1355,1,$E$2+3),TEXT($T1357,"yyyy-mm-dd")))</f>
        <v/>
      </c>
      <c r="AB1357">
        <f>AB1356+IF($R1357="",0,1)</f>
        <v/>
      </c>
      <c r="AC1357">
        <f>IF($R1357="","",$AB1357)</f>
        <v/>
      </c>
    </row>
    <row r="1358">
      <c r="O1358">
        <f>1356</f>
        <v/>
      </c>
      <c r="P1358">
        <f>IF(TRIM('입력_구리근무자명단'!$A1356&amp;"")&lt;&gt;"",TRIM('입력_구리근무자명단'!$A1356&amp;""),P1357)</f>
        <v/>
      </c>
      <c r="Q1358">
        <f>'입력_구리근무자명단'!$B1356&amp;""</f>
        <v/>
      </c>
      <c r="R1358">
        <f>IF($E$2="","",TRIM(INDEX('입력_구리근무자명단'!$A1356:$ZZ1356,1,$E$2+IF($G$2="확정",1,0))&amp;""))</f>
        <v/>
      </c>
      <c r="S1358">
        <f>IF($R1358="","",IF(INDEX('입력_구리근무자명단'!$A1356:$ZZ1356,1,$E$2+2)&amp;""="",급여기준월,IF(ISNUMBER(INDEX('입력_구리근무자명단'!$A1356:$ZZ1356,1,$E$2+2)),INDEX('입력_구리근무자명단'!$A1356:$ZZ1356,1,$E$2+2),IFERROR(DATE(VALUE(LEFT(INDEX('입력_구리근무자명단'!$A1356:$ZZ1356,1,$E$2+2),4)),VALUE(MID(INDEX('입력_구리근무자명단'!$A1356:$ZZ1356,1,$E$2+2),6,2)),VALUE(MID(INDEX('입력_구리근무자명단'!$A1356:$ZZ1356,1,$E$2+2),9,2))),-1))))</f>
        <v/>
      </c>
      <c r="T1358">
        <f>IF($R1358="","",IF(INDEX('입력_구리근무자명단'!$A1356:$ZZ1356,1,$E$2+3)&amp;""="",EOMONTH(급여기준월,0),IF(ISNUMBER(INDEX('입력_구리근무자명단'!$A1356:$ZZ1356,1,$E$2+3)),INDEX('입력_구리근무자명단'!$A1356:$ZZ1356,1,$E$2+3),IFERROR(DATE(VALUE(LEFT(INDEX('입력_구리근무자명단'!$A1356:$ZZ1356,1,$E$2+3),4)),VALUE(MID(INDEX('입력_구리근무자명단'!$A1356:$ZZ1356,1,$E$2+3),6,2)),VALUE(MID(INDEX('입력_구리근무자명단'!$A1356:$ZZ1356,1,$E$2+3),9,2))),-1))))</f>
        <v/>
      </c>
      <c r="U1358">
        <f>IF($R1358="","",IF(OR($S1358&lt;0,$T1358&lt;0),0,MAX(0,MIN($T1358,EOMONTH(급여기준월,0))-MAX($S1358,급여기준월)+1)))</f>
        <v/>
      </c>
      <c r="V1358">
        <f>IF($R1358="","",TRIM(INDEX('입력_구리근무자명단'!$A1356:$ZZ1356,1,$E$2+5)&amp;""))</f>
        <v/>
      </c>
      <c r="W1358">
        <f>IF(ISNUMBER(SEARCH("구리독자",$V1358)),"구리독자","")</f>
        <v/>
      </c>
      <c r="X1358">
        <f>IF($R1358="","",$R1358&amp;"|"&amp;IF(OR($Q1358="인턴",ISNUMBER(SEARCH("수련교육부",$P1358))),"인턴",$P1358))</f>
        <v/>
      </c>
      <c r="Y1358">
        <f>IF($R1358="","",IF(COUNTIF(명단표[이름|과],$X1358)=1,"명단 일치",IF(AND(COUNTIF(명단표[이름|과],$X1358)=0,COUNTIF(명단표[이름],$R1358)=1),"명단 일치(이름만, 과 다름)",IF(COUNTIF(명단표[이름],$R1358)=0,IF(COUNTIF(기본자료표[이름],$R1358)&gt;0,"명단에 없음(기본자료에는 있음)","명단에 없음"),"동명이인 확인"))))</f>
        <v/>
      </c>
      <c r="Z1358">
        <f>IF($R1358="","",IF($S1358&lt;0,"⚠"&amp;INDEX('입력_구리근무자명단'!$A1356:$ZZ1356,1,$E$2+2),TEXT($S1358,"yyyy-mm-dd")))</f>
        <v/>
      </c>
      <c r="AA1358">
        <f>IF($R1358="","",IF($T1358&lt;0,"⚠"&amp;INDEX('입력_구리근무자명단'!$A1356:$ZZ1356,1,$E$2+3),TEXT($T1358,"yyyy-mm-dd")))</f>
        <v/>
      </c>
      <c r="AB1358">
        <f>AB1357+IF($R1358="",0,1)</f>
        <v/>
      </c>
      <c r="AC1358">
        <f>IF($R1358="","",$AB1358)</f>
        <v/>
      </c>
    </row>
    <row r="1359">
      <c r="O1359">
        <f>1357</f>
        <v/>
      </c>
      <c r="P1359">
        <f>IF(TRIM('입력_구리근무자명단'!$A1357&amp;"")&lt;&gt;"",TRIM('입력_구리근무자명단'!$A1357&amp;""),P1358)</f>
        <v/>
      </c>
      <c r="Q1359">
        <f>'입력_구리근무자명단'!$B1357&amp;""</f>
        <v/>
      </c>
      <c r="R1359">
        <f>IF($E$2="","",TRIM(INDEX('입력_구리근무자명단'!$A1357:$ZZ1357,1,$E$2+IF($G$2="확정",1,0))&amp;""))</f>
        <v/>
      </c>
      <c r="S1359">
        <f>IF($R1359="","",IF(INDEX('입력_구리근무자명단'!$A1357:$ZZ1357,1,$E$2+2)&amp;""="",급여기준월,IF(ISNUMBER(INDEX('입력_구리근무자명단'!$A1357:$ZZ1357,1,$E$2+2)),INDEX('입력_구리근무자명단'!$A1357:$ZZ1357,1,$E$2+2),IFERROR(DATE(VALUE(LEFT(INDEX('입력_구리근무자명단'!$A1357:$ZZ1357,1,$E$2+2),4)),VALUE(MID(INDEX('입력_구리근무자명단'!$A1357:$ZZ1357,1,$E$2+2),6,2)),VALUE(MID(INDEX('입력_구리근무자명단'!$A1357:$ZZ1357,1,$E$2+2),9,2))),-1))))</f>
        <v/>
      </c>
      <c r="T1359">
        <f>IF($R1359="","",IF(INDEX('입력_구리근무자명단'!$A1357:$ZZ1357,1,$E$2+3)&amp;""="",EOMONTH(급여기준월,0),IF(ISNUMBER(INDEX('입력_구리근무자명단'!$A1357:$ZZ1357,1,$E$2+3)),INDEX('입력_구리근무자명단'!$A1357:$ZZ1357,1,$E$2+3),IFERROR(DATE(VALUE(LEFT(INDEX('입력_구리근무자명단'!$A1357:$ZZ1357,1,$E$2+3),4)),VALUE(MID(INDEX('입력_구리근무자명단'!$A1357:$ZZ1357,1,$E$2+3),6,2)),VALUE(MID(INDEX('입력_구리근무자명단'!$A1357:$ZZ1357,1,$E$2+3),9,2))),-1))))</f>
        <v/>
      </c>
      <c r="U1359">
        <f>IF($R1359="","",IF(OR($S1359&lt;0,$T1359&lt;0),0,MAX(0,MIN($T1359,EOMONTH(급여기준월,0))-MAX($S1359,급여기준월)+1)))</f>
        <v/>
      </c>
      <c r="V1359">
        <f>IF($R1359="","",TRIM(INDEX('입력_구리근무자명단'!$A1357:$ZZ1357,1,$E$2+5)&amp;""))</f>
        <v/>
      </c>
      <c r="W1359">
        <f>IF(ISNUMBER(SEARCH("구리독자",$V1359)),"구리독자","")</f>
        <v/>
      </c>
      <c r="X1359">
        <f>IF($R1359="","",$R1359&amp;"|"&amp;IF(OR($Q1359="인턴",ISNUMBER(SEARCH("수련교육부",$P1359))),"인턴",$P1359))</f>
        <v/>
      </c>
      <c r="Y1359">
        <f>IF($R1359="","",IF(COUNTIF(명단표[이름|과],$X1359)=1,"명단 일치",IF(AND(COUNTIF(명단표[이름|과],$X1359)=0,COUNTIF(명단표[이름],$R1359)=1),"명단 일치(이름만, 과 다름)",IF(COUNTIF(명단표[이름],$R1359)=0,IF(COUNTIF(기본자료표[이름],$R1359)&gt;0,"명단에 없음(기본자료에는 있음)","명단에 없음"),"동명이인 확인"))))</f>
        <v/>
      </c>
      <c r="Z1359">
        <f>IF($R1359="","",IF($S1359&lt;0,"⚠"&amp;INDEX('입력_구리근무자명단'!$A1357:$ZZ1357,1,$E$2+2),TEXT($S1359,"yyyy-mm-dd")))</f>
        <v/>
      </c>
      <c r="AA1359">
        <f>IF($R1359="","",IF($T1359&lt;0,"⚠"&amp;INDEX('입력_구리근무자명단'!$A1357:$ZZ1357,1,$E$2+3),TEXT($T1359,"yyyy-mm-dd")))</f>
        <v/>
      </c>
      <c r="AB1359">
        <f>AB1358+IF($R1359="",0,1)</f>
        <v/>
      </c>
      <c r="AC1359">
        <f>IF($R1359="","",$AB1359)</f>
        <v/>
      </c>
    </row>
    <row r="1360">
      <c r="O1360">
        <f>1358</f>
        <v/>
      </c>
      <c r="P1360">
        <f>IF(TRIM('입력_구리근무자명단'!$A1358&amp;"")&lt;&gt;"",TRIM('입력_구리근무자명단'!$A1358&amp;""),P1359)</f>
        <v/>
      </c>
      <c r="Q1360">
        <f>'입력_구리근무자명단'!$B1358&amp;""</f>
        <v/>
      </c>
      <c r="R1360">
        <f>IF($E$2="","",TRIM(INDEX('입력_구리근무자명단'!$A1358:$ZZ1358,1,$E$2+IF($G$2="확정",1,0))&amp;""))</f>
        <v/>
      </c>
      <c r="S1360">
        <f>IF($R1360="","",IF(INDEX('입력_구리근무자명단'!$A1358:$ZZ1358,1,$E$2+2)&amp;""="",급여기준월,IF(ISNUMBER(INDEX('입력_구리근무자명단'!$A1358:$ZZ1358,1,$E$2+2)),INDEX('입력_구리근무자명단'!$A1358:$ZZ1358,1,$E$2+2),IFERROR(DATE(VALUE(LEFT(INDEX('입력_구리근무자명단'!$A1358:$ZZ1358,1,$E$2+2),4)),VALUE(MID(INDEX('입력_구리근무자명단'!$A1358:$ZZ1358,1,$E$2+2),6,2)),VALUE(MID(INDEX('입력_구리근무자명단'!$A1358:$ZZ1358,1,$E$2+2),9,2))),-1))))</f>
        <v/>
      </c>
      <c r="T1360">
        <f>IF($R1360="","",IF(INDEX('입력_구리근무자명단'!$A1358:$ZZ1358,1,$E$2+3)&amp;""="",EOMONTH(급여기준월,0),IF(ISNUMBER(INDEX('입력_구리근무자명단'!$A1358:$ZZ1358,1,$E$2+3)),INDEX('입력_구리근무자명단'!$A1358:$ZZ1358,1,$E$2+3),IFERROR(DATE(VALUE(LEFT(INDEX('입력_구리근무자명단'!$A1358:$ZZ1358,1,$E$2+3),4)),VALUE(MID(INDEX('입력_구리근무자명단'!$A1358:$ZZ1358,1,$E$2+3),6,2)),VALUE(MID(INDEX('입력_구리근무자명단'!$A1358:$ZZ1358,1,$E$2+3),9,2))),-1))))</f>
        <v/>
      </c>
      <c r="U1360">
        <f>IF($R1360="","",IF(OR($S1360&lt;0,$T1360&lt;0),0,MAX(0,MIN($T1360,EOMONTH(급여기준월,0))-MAX($S1360,급여기준월)+1)))</f>
        <v/>
      </c>
      <c r="V1360">
        <f>IF($R1360="","",TRIM(INDEX('입력_구리근무자명단'!$A1358:$ZZ1358,1,$E$2+5)&amp;""))</f>
        <v/>
      </c>
      <c r="W1360">
        <f>IF(ISNUMBER(SEARCH("구리독자",$V1360)),"구리독자","")</f>
        <v/>
      </c>
      <c r="X1360">
        <f>IF($R1360="","",$R1360&amp;"|"&amp;IF(OR($Q1360="인턴",ISNUMBER(SEARCH("수련교육부",$P1360))),"인턴",$P1360))</f>
        <v/>
      </c>
      <c r="Y1360">
        <f>IF($R1360="","",IF(COUNTIF(명단표[이름|과],$X1360)=1,"명단 일치",IF(AND(COUNTIF(명단표[이름|과],$X1360)=0,COUNTIF(명단표[이름],$R1360)=1),"명단 일치(이름만, 과 다름)",IF(COUNTIF(명단표[이름],$R1360)=0,IF(COUNTIF(기본자료표[이름],$R1360)&gt;0,"명단에 없음(기본자료에는 있음)","명단에 없음"),"동명이인 확인"))))</f>
        <v/>
      </c>
      <c r="Z1360">
        <f>IF($R1360="","",IF($S1360&lt;0,"⚠"&amp;INDEX('입력_구리근무자명단'!$A1358:$ZZ1358,1,$E$2+2),TEXT($S1360,"yyyy-mm-dd")))</f>
        <v/>
      </c>
      <c r="AA1360">
        <f>IF($R1360="","",IF($T1360&lt;0,"⚠"&amp;INDEX('입력_구리근무자명단'!$A1358:$ZZ1358,1,$E$2+3),TEXT($T1360,"yyyy-mm-dd")))</f>
        <v/>
      </c>
      <c r="AB1360">
        <f>AB1359+IF($R1360="",0,1)</f>
        <v/>
      </c>
      <c r="AC1360">
        <f>IF($R1360="","",$AB1360)</f>
        <v/>
      </c>
    </row>
    <row r="1361">
      <c r="O1361">
        <f>1359</f>
        <v/>
      </c>
      <c r="P1361">
        <f>IF(TRIM('입력_구리근무자명단'!$A1359&amp;"")&lt;&gt;"",TRIM('입력_구리근무자명단'!$A1359&amp;""),P1360)</f>
        <v/>
      </c>
      <c r="Q1361">
        <f>'입력_구리근무자명단'!$B1359&amp;""</f>
        <v/>
      </c>
      <c r="R1361">
        <f>IF($E$2="","",TRIM(INDEX('입력_구리근무자명단'!$A1359:$ZZ1359,1,$E$2+IF($G$2="확정",1,0))&amp;""))</f>
        <v/>
      </c>
      <c r="S1361">
        <f>IF($R1361="","",IF(INDEX('입력_구리근무자명단'!$A1359:$ZZ1359,1,$E$2+2)&amp;""="",급여기준월,IF(ISNUMBER(INDEX('입력_구리근무자명단'!$A1359:$ZZ1359,1,$E$2+2)),INDEX('입력_구리근무자명단'!$A1359:$ZZ1359,1,$E$2+2),IFERROR(DATE(VALUE(LEFT(INDEX('입력_구리근무자명단'!$A1359:$ZZ1359,1,$E$2+2),4)),VALUE(MID(INDEX('입력_구리근무자명단'!$A1359:$ZZ1359,1,$E$2+2),6,2)),VALUE(MID(INDEX('입력_구리근무자명단'!$A1359:$ZZ1359,1,$E$2+2),9,2))),-1))))</f>
        <v/>
      </c>
      <c r="T1361">
        <f>IF($R1361="","",IF(INDEX('입력_구리근무자명단'!$A1359:$ZZ1359,1,$E$2+3)&amp;""="",EOMONTH(급여기준월,0),IF(ISNUMBER(INDEX('입력_구리근무자명단'!$A1359:$ZZ1359,1,$E$2+3)),INDEX('입력_구리근무자명단'!$A1359:$ZZ1359,1,$E$2+3),IFERROR(DATE(VALUE(LEFT(INDEX('입력_구리근무자명단'!$A1359:$ZZ1359,1,$E$2+3),4)),VALUE(MID(INDEX('입력_구리근무자명단'!$A1359:$ZZ1359,1,$E$2+3),6,2)),VALUE(MID(INDEX('입력_구리근무자명단'!$A1359:$ZZ1359,1,$E$2+3),9,2))),-1))))</f>
        <v/>
      </c>
      <c r="U1361">
        <f>IF($R1361="","",IF(OR($S1361&lt;0,$T1361&lt;0),0,MAX(0,MIN($T1361,EOMONTH(급여기준월,0))-MAX($S1361,급여기준월)+1)))</f>
        <v/>
      </c>
      <c r="V1361">
        <f>IF($R1361="","",TRIM(INDEX('입력_구리근무자명단'!$A1359:$ZZ1359,1,$E$2+5)&amp;""))</f>
        <v/>
      </c>
      <c r="W1361">
        <f>IF(ISNUMBER(SEARCH("구리독자",$V1361)),"구리독자","")</f>
        <v/>
      </c>
      <c r="X1361">
        <f>IF($R1361="","",$R1361&amp;"|"&amp;IF(OR($Q1361="인턴",ISNUMBER(SEARCH("수련교육부",$P1361))),"인턴",$P1361))</f>
        <v/>
      </c>
      <c r="Y1361">
        <f>IF($R1361="","",IF(COUNTIF(명단표[이름|과],$X1361)=1,"명단 일치",IF(AND(COUNTIF(명단표[이름|과],$X1361)=0,COUNTIF(명단표[이름],$R1361)=1),"명단 일치(이름만, 과 다름)",IF(COUNTIF(명단표[이름],$R1361)=0,IF(COUNTIF(기본자료표[이름],$R1361)&gt;0,"명단에 없음(기본자료에는 있음)","명단에 없음"),"동명이인 확인"))))</f>
        <v/>
      </c>
      <c r="Z1361">
        <f>IF($R1361="","",IF($S1361&lt;0,"⚠"&amp;INDEX('입력_구리근무자명단'!$A1359:$ZZ1359,1,$E$2+2),TEXT($S1361,"yyyy-mm-dd")))</f>
        <v/>
      </c>
      <c r="AA1361">
        <f>IF($R1361="","",IF($T1361&lt;0,"⚠"&amp;INDEX('입력_구리근무자명단'!$A1359:$ZZ1359,1,$E$2+3),TEXT($T1361,"yyyy-mm-dd")))</f>
        <v/>
      </c>
      <c r="AB1361">
        <f>AB1360+IF($R1361="",0,1)</f>
        <v/>
      </c>
      <c r="AC1361">
        <f>IF($R1361="","",$AB1361)</f>
        <v/>
      </c>
    </row>
    <row r="1362">
      <c r="O1362">
        <f>1360</f>
        <v/>
      </c>
      <c r="P1362">
        <f>IF(TRIM('입력_구리근무자명단'!$A1360&amp;"")&lt;&gt;"",TRIM('입력_구리근무자명단'!$A1360&amp;""),P1361)</f>
        <v/>
      </c>
      <c r="Q1362">
        <f>'입력_구리근무자명단'!$B1360&amp;""</f>
        <v/>
      </c>
      <c r="R1362">
        <f>IF($E$2="","",TRIM(INDEX('입력_구리근무자명단'!$A1360:$ZZ1360,1,$E$2+IF($G$2="확정",1,0))&amp;""))</f>
        <v/>
      </c>
      <c r="S1362">
        <f>IF($R1362="","",IF(INDEX('입력_구리근무자명단'!$A1360:$ZZ1360,1,$E$2+2)&amp;""="",급여기준월,IF(ISNUMBER(INDEX('입력_구리근무자명단'!$A1360:$ZZ1360,1,$E$2+2)),INDEX('입력_구리근무자명단'!$A1360:$ZZ1360,1,$E$2+2),IFERROR(DATE(VALUE(LEFT(INDEX('입력_구리근무자명단'!$A1360:$ZZ1360,1,$E$2+2),4)),VALUE(MID(INDEX('입력_구리근무자명단'!$A1360:$ZZ1360,1,$E$2+2),6,2)),VALUE(MID(INDEX('입력_구리근무자명단'!$A1360:$ZZ1360,1,$E$2+2),9,2))),-1))))</f>
        <v/>
      </c>
      <c r="T1362">
        <f>IF($R1362="","",IF(INDEX('입력_구리근무자명단'!$A1360:$ZZ1360,1,$E$2+3)&amp;""="",EOMONTH(급여기준월,0),IF(ISNUMBER(INDEX('입력_구리근무자명단'!$A1360:$ZZ1360,1,$E$2+3)),INDEX('입력_구리근무자명단'!$A1360:$ZZ1360,1,$E$2+3),IFERROR(DATE(VALUE(LEFT(INDEX('입력_구리근무자명단'!$A1360:$ZZ1360,1,$E$2+3),4)),VALUE(MID(INDEX('입력_구리근무자명단'!$A1360:$ZZ1360,1,$E$2+3),6,2)),VALUE(MID(INDEX('입력_구리근무자명단'!$A1360:$ZZ1360,1,$E$2+3),9,2))),-1))))</f>
        <v/>
      </c>
      <c r="U1362">
        <f>IF($R1362="","",IF(OR($S1362&lt;0,$T1362&lt;0),0,MAX(0,MIN($T1362,EOMONTH(급여기준월,0))-MAX($S1362,급여기준월)+1)))</f>
        <v/>
      </c>
      <c r="V1362">
        <f>IF($R1362="","",TRIM(INDEX('입력_구리근무자명단'!$A1360:$ZZ1360,1,$E$2+5)&amp;""))</f>
        <v/>
      </c>
      <c r="W1362">
        <f>IF(ISNUMBER(SEARCH("구리독자",$V1362)),"구리독자","")</f>
        <v/>
      </c>
      <c r="X1362">
        <f>IF($R1362="","",$R1362&amp;"|"&amp;IF(OR($Q1362="인턴",ISNUMBER(SEARCH("수련교육부",$P1362))),"인턴",$P1362))</f>
        <v/>
      </c>
      <c r="Y1362">
        <f>IF($R1362="","",IF(COUNTIF(명단표[이름|과],$X1362)=1,"명단 일치",IF(AND(COUNTIF(명단표[이름|과],$X1362)=0,COUNTIF(명단표[이름],$R1362)=1),"명단 일치(이름만, 과 다름)",IF(COUNTIF(명단표[이름],$R1362)=0,IF(COUNTIF(기본자료표[이름],$R1362)&gt;0,"명단에 없음(기본자료에는 있음)","명단에 없음"),"동명이인 확인"))))</f>
        <v/>
      </c>
      <c r="Z1362">
        <f>IF($R1362="","",IF($S1362&lt;0,"⚠"&amp;INDEX('입력_구리근무자명단'!$A1360:$ZZ1360,1,$E$2+2),TEXT($S1362,"yyyy-mm-dd")))</f>
        <v/>
      </c>
      <c r="AA1362">
        <f>IF($R1362="","",IF($T1362&lt;0,"⚠"&amp;INDEX('입력_구리근무자명단'!$A1360:$ZZ1360,1,$E$2+3),TEXT($T1362,"yyyy-mm-dd")))</f>
        <v/>
      </c>
      <c r="AB1362">
        <f>AB1361+IF($R1362="",0,1)</f>
        <v/>
      </c>
      <c r="AC1362">
        <f>IF($R1362="","",$AB1362)</f>
        <v/>
      </c>
    </row>
    <row r="1363">
      <c r="O1363">
        <f>1361</f>
        <v/>
      </c>
      <c r="P1363">
        <f>IF(TRIM('입력_구리근무자명단'!$A1361&amp;"")&lt;&gt;"",TRIM('입력_구리근무자명단'!$A1361&amp;""),P1362)</f>
        <v/>
      </c>
      <c r="Q1363">
        <f>'입력_구리근무자명단'!$B1361&amp;""</f>
        <v/>
      </c>
      <c r="R1363">
        <f>IF($E$2="","",TRIM(INDEX('입력_구리근무자명단'!$A1361:$ZZ1361,1,$E$2+IF($G$2="확정",1,0))&amp;""))</f>
        <v/>
      </c>
      <c r="S1363">
        <f>IF($R1363="","",IF(INDEX('입력_구리근무자명단'!$A1361:$ZZ1361,1,$E$2+2)&amp;""="",급여기준월,IF(ISNUMBER(INDEX('입력_구리근무자명단'!$A1361:$ZZ1361,1,$E$2+2)),INDEX('입력_구리근무자명단'!$A1361:$ZZ1361,1,$E$2+2),IFERROR(DATE(VALUE(LEFT(INDEX('입력_구리근무자명단'!$A1361:$ZZ1361,1,$E$2+2),4)),VALUE(MID(INDEX('입력_구리근무자명단'!$A1361:$ZZ1361,1,$E$2+2),6,2)),VALUE(MID(INDEX('입력_구리근무자명단'!$A1361:$ZZ1361,1,$E$2+2),9,2))),-1))))</f>
        <v/>
      </c>
      <c r="T1363">
        <f>IF($R1363="","",IF(INDEX('입력_구리근무자명단'!$A1361:$ZZ1361,1,$E$2+3)&amp;""="",EOMONTH(급여기준월,0),IF(ISNUMBER(INDEX('입력_구리근무자명단'!$A1361:$ZZ1361,1,$E$2+3)),INDEX('입력_구리근무자명단'!$A1361:$ZZ1361,1,$E$2+3),IFERROR(DATE(VALUE(LEFT(INDEX('입력_구리근무자명단'!$A1361:$ZZ1361,1,$E$2+3),4)),VALUE(MID(INDEX('입력_구리근무자명단'!$A1361:$ZZ1361,1,$E$2+3),6,2)),VALUE(MID(INDEX('입력_구리근무자명단'!$A1361:$ZZ1361,1,$E$2+3),9,2))),-1))))</f>
        <v/>
      </c>
      <c r="U1363">
        <f>IF($R1363="","",IF(OR($S1363&lt;0,$T1363&lt;0),0,MAX(0,MIN($T1363,EOMONTH(급여기준월,0))-MAX($S1363,급여기준월)+1)))</f>
        <v/>
      </c>
      <c r="V1363">
        <f>IF($R1363="","",TRIM(INDEX('입력_구리근무자명단'!$A1361:$ZZ1361,1,$E$2+5)&amp;""))</f>
        <v/>
      </c>
      <c r="W1363">
        <f>IF(ISNUMBER(SEARCH("구리독자",$V1363)),"구리독자","")</f>
        <v/>
      </c>
      <c r="X1363">
        <f>IF($R1363="","",$R1363&amp;"|"&amp;IF(OR($Q1363="인턴",ISNUMBER(SEARCH("수련교육부",$P1363))),"인턴",$P1363))</f>
        <v/>
      </c>
      <c r="Y1363">
        <f>IF($R1363="","",IF(COUNTIF(명단표[이름|과],$X1363)=1,"명단 일치",IF(AND(COUNTIF(명단표[이름|과],$X1363)=0,COUNTIF(명단표[이름],$R1363)=1),"명단 일치(이름만, 과 다름)",IF(COUNTIF(명단표[이름],$R1363)=0,IF(COUNTIF(기본자료표[이름],$R1363)&gt;0,"명단에 없음(기본자료에는 있음)","명단에 없음"),"동명이인 확인"))))</f>
        <v/>
      </c>
      <c r="Z1363">
        <f>IF($R1363="","",IF($S1363&lt;0,"⚠"&amp;INDEX('입력_구리근무자명단'!$A1361:$ZZ1361,1,$E$2+2),TEXT($S1363,"yyyy-mm-dd")))</f>
        <v/>
      </c>
      <c r="AA1363">
        <f>IF($R1363="","",IF($T1363&lt;0,"⚠"&amp;INDEX('입력_구리근무자명단'!$A1361:$ZZ1361,1,$E$2+3),TEXT($T1363,"yyyy-mm-dd")))</f>
        <v/>
      </c>
      <c r="AB1363">
        <f>AB1362+IF($R1363="",0,1)</f>
        <v/>
      </c>
      <c r="AC1363">
        <f>IF($R1363="","",$AB1363)</f>
        <v/>
      </c>
    </row>
    <row r="1364">
      <c r="O1364">
        <f>1362</f>
        <v/>
      </c>
      <c r="P1364">
        <f>IF(TRIM('입력_구리근무자명단'!$A1362&amp;"")&lt;&gt;"",TRIM('입력_구리근무자명단'!$A1362&amp;""),P1363)</f>
        <v/>
      </c>
      <c r="Q1364">
        <f>'입력_구리근무자명단'!$B1362&amp;""</f>
        <v/>
      </c>
      <c r="R1364">
        <f>IF($E$2="","",TRIM(INDEX('입력_구리근무자명단'!$A1362:$ZZ1362,1,$E$2+IF($G$2="확정",1,0))&amp;""))</f>
        <v/>
      </c>
      <c r="S1364">
        <f>IF($R1364="","",IF(INDEX('입력_구리근무자명단'!$A1362:$ZZ1362,1,$E$2+2)&amp;""="",급여기준월,IF(ISNUMBER(INDEX('입력_구리근무자명단'!$A1362:$ZZ1362,1,$E$2+2)),INDEX('입력_구리근무자명단'!$A1362:$ZZ1362,1,$E$2+2),IFERROR(DATE(VALUE(LEFT(INDEX('입력_구리근무자명단'!$A1362:$ZZ1362,1,$E$2+2),4)),VALUE(MID(INDEX('입력_구리근무자명단'!$A1362:$ZZ1362,1,$E$2+2),6,2)),VALUE(MID(INDEX('입력_구리근무자명단'!$A1362:$ZZ1362,1,$E$2+2),9,2))),-1))))</f>
        <v/>
      </c>
      <c r="T1364">
        <f>IF($R1364="","",IF(INDEX('입력_구리근무자명단'!$A1362:$ZZ1362,1,$E$2+3)&amp;""="",EOMONTH(급여기준월,0),IF(ISNUMBER(INDEX('입력_구리근무자명단'!$A1362:$ZZ1362,1,$E$2+3)),INDEX('입력_구리근무자명단'!$A1362:$ZZ1362,1,$E$2+3),IFERROR(DATE(VALUE(LEFT(INDEX('입력_구리근무자명단'!$A1362:$ZZ1362,1,$E$2+3),4)),VALUE(MID(INDEX('입력_구리근무자명단'!$A1362:$ZZ1362,1,$E$2+3),6,2)),VALUE(MID(INDEX('입력_구리근무자명단'!$A1362:$ZZ1362,1,$E$2+3),9,2))),-1))))</f>
        <v/>
      </c>
      <c r="U1364">
        <f>IF($R1364="","",IF(OR($S1364&lt;0,$T1364&lt;0),0,MAX(0,MIN($T1364,EOMONTH(급여기준월,0))-MAX($S1364,급여기준월)+1)))</f>
        <v/>
      </c>
      <c r="V1364">
        <f>IF($R1364="","",TRIM(INDEX('입력_구리근무자명단'!$A1362:$ZZ1362,1,$E$2+5)&amp;""))</f>
        <v/>
      </c>
      <c r="W1364">
        <f>IF(ISNUMBER(SEARCH("구리독자",$V1364)),"구리독자","")</f>
        <v/>
      </c>
      <c r="X1364">
        <f>IF($R1364="","",$R1364&amp;"|"&amp;IF(OR($Q1364="인턴",ISNUMBER(SEARCH("수련교육부",$P1364))),"인턴",$P1364))</f>
        <v/>
      </c>
      <c r="Y1364">
        <f>IF($R1364="","",IF(COUNTIF(명단표[이름|과],$X1364)=1,"명단 일치",IF(AND(COUNTIF(명단표[이름|과],$X1364)=0,COUNTIF(명단표[이름],$R1364)=1),"명단 일치(이름만, 과 다름)",IF(COUNTIF(명단표[이름],$R1364)=0,IF(COUNTIF(기본자료표[이름],$R1364)&gt;0,"명단에 없음(기본자료에는 있음)","명단에 없음"),"동명이인 확인"))))</f>
        <v/>
      </c>
      <c r="Z1364">
        <f>IF($R1364="","",IF($S1364&lt;0,"⚠"&amp;INDEX('입력_구리근무자명단'!$A1362:$ZZ1362,1,$E$2+2),TEXT($S1364,"yyyy-mm-dd")))</f>
        <v/>
      </c>
      <c r="AA1364">
        <f>IF($R1364="","",IF($T1364&lt;0,"⚠"&amp;INDEX('입력_구리근무자명단'!$A1362:$ZZ1362,1,$E$2+3),TEXT($T1364,"yyyy-mm-dd")))</f>
        <v/>
      </c>
      <c r="AB1364">
        <f>AB1363+IF($R1364="",0,1)</f>
        <v/>
      </c>
      <c r="AC1364">
        <f>IF($R1364="","",$AB1364)</f>
        <v/>
      </c>
    </row>
    <row r="1365">
      <c r="O1365">
        <f>1363</f>
        <v/>
      </c>
      <c r="P1365">
        <f>IF(TRIM('입력_구리근무자명단'!$A1363&amp;"")&lt;&gt;"",TRIM('입력_구리근무자명단'!$A1363&amp;""),P1364)</f>
        <v/>
      </c>
      <c r="Q1365">
        <f>'입력_구리근무자명단'!$B1363&amp;""</f>
        <v/>
      </c>
      <c r="R1365">
        <f>IF($E$2="","",TRIM(INDEX('입력_구리근무자명단'!$A1363:$ZZ1363,1,$E$2+IF($G$2="확정",1,0))&amp;""))</f>
        <v/>
      </c>
      <c r="S1365">
        <f>IF($R1365="","",IF(INDEX('입력_구리근무자명단'!$A1363:$ZZ1363,1,$E$2+2)&amp;""="",급여기준월,IF(ISNUMBER(INDEX('입력_구리근무자명단'!$A1363:$ZZ1363,1,$E$2+2)),INDEX('입력_구리근무자명단'!$A1363:$ZZ1363,1,$E$2+2),IFERROR(DATE(VALUE(LEFT(INDEX('입력_구리근무자명단'!$A1363:$ZZ1363,1,$E$2+2),4)),VALUE(MID(INDEX('입력_구리근무자명단'!$A1363:$ZZ1363,1,$E$2+2),6,2)),VALUE(MID(INDEX('입력_구리근무자명단'!$A1363:$ZZ1363,1,$E$2+2),9,2))),-1))))</f>
        <v/>
      </c>
      <c r="T1365">
        <f>IF($R1365="","",IF(INDEX('입력_구리근무자명단'!$A1363:$ZZ1363,1,$E$2+3)&amp;""="",EOMONTH(급여기준월,0),IF(ISNUMBER(INDEX('입력_구리근무자명단'!$A1363:$ZZ1363,1,$E$2+3)),INDEX('입력_구리근무자명단'!$A1363:$ZZ1363,1,$E$2+3),IFERROR(DATE(VALUE(LEFT(INDEX('입력_구리근무자명단'!$A1363:$ZZ1363,1,$E$2+3),4)),VALUE(MID(INDEX('입력_구리근무자명단'!$A1363:$ZZ1363,1,$E$2+3),6,2)),VALUE(MID(INDEX('입력_구리근무자명단'!$A1363:$ZZ1363,1,$E$2+3),9,2))),-1))))</f>
        <v/>
      </c>
      <c r="U1365">
        <f>IF($R1365="","",IF(OR($S1365&lt;0,$T1365&lt;0),0,MAX(0,MIN($T1365,EOMONTH(급여기준월,0))-MAX($S1365,급여기준월)+1)))</f>
        <v/>
      </c>
      <c r="V1365">
        <f>IF($R1365="","",TRIM(INDEX('입력_구리근무자명단'!$A1363:$ZZ1363,1,$E$2+5)&amp;""))</f>
        <v/>
      </c>
      <c r="W1365">
        <f>IF(ISNUMBER(SEARCH("구리독자",$V1365)),"구리독자","")</f>
        <v/>
      </c>
      <c r="X1365">
        <f>IF($R1365="","",$R1365&amp;"|"&amp;IF(OR($Q1365="인턴",ISNUMBER(SEARCH("수련교육부",$P1365))),"인턴",$P1365))</f>
        <v/>
      </c>
      <c r="Y1365">
        <f>IF($R1365="","",IF(COUNTIF(명단표[이름|과],$X1365)=1,"명단 일치",IF(AND(COUNTIF(명단표[이름|과],$X1365)=0,COUNTIF(명단표[이름],$R1365)=1),"명단 일치(이름만, 과 다름)",IF(COUNTIF(명단표[이름],$R1365)=0,IF(COUNTIF(기본자료표[이름],$R1365)&gt;0,"명단에 없음(기본자료에는 있음)","명단에 없음"),"동명이인 확인"))))</f>
        <v/>
      </c>
      <c r="Z1365">
        <f>IF($R1365="","",IF($S1365&lt;0,"⚠"&amp;INDEX('입력_구리근무자명단'!$A1363:$ZZ1363,1,$E$2+2),TEXT($S1365,"yyyy-mm-dd")))</f>
        <v/>
      </c>
      <c r="AA1365">
        <f>IF($R1365="","",IF($T1365&lt;0,"⚠"&amp;INDEX('입력_구리근무자명단'!$A1363:$ZZ1363,1,$E$2+3),TEXT($T1365,"yyyy-mm-dd")))</f>
        <v/>
      </c>
      <c r="AB1365">
        <f>AB1364+IF($R1365="",0,1)</f>
        <v/>
      </c>
      <c r="AC1365">
        <f>IF($R1365="","",$AB1365)</f>
        <v/>
      </c>
    </row>
    <row r="1366">
      <c r="O1366">
        <f>1364</f>
        <v/>
      </c>
      <c r="P1366">
        <f>IF(TRIM('입력_구리근무자명단'!$A1364&amp;"")&lt;&gt;"",TRIM('입력_구리근무자명단'!$A1364&amp;""),P1365)</f>
        <v/>
      </c>
      <c r="Q1366">
        <f>'입력_구리근무자명단'!$B1364&amp;""</f>
        <v/>
      </c>
      <c r="R1366">
        <f>IF($E$2="","",TRIM(INDEX('입력_구리근무자명단'!$A1364:$ZZ1364,1,$E$2+IF($G$2="확정",1,0))&amp;""))</f>
        <v/>
      </c>
      <c r="S1366">
        <f>IF($R1366="","",IF(INDEX('입력_구리근무자명단'!$A1364:$ZZ1364,1,$E$2+2)&amp;""="",급여기준월,IF(ISNUMBER(INDEX('입력_구리근무자명단'!$A1364:$ZZ1364,1,$E$2+2)),INDEX('입력_구리근무자명단'!$A1364:$ZZ1364,1,$E$2+2),IFERROR(DATE(VALUE(LEFT(INDEX('입력_구리근무자명단'!$A1364:$ZZ1364,1,$E$2+2),4)),VALUE(MID(INDEX('입력_구리근무자명단'!$A1364:$ZZ1364,1,$E$2+2),6,2)),VALUE(MID(INDEX('입력_구리근무자명단'!$A1364:$ZZ1364,1,$E$2+2),9,2))),-1))))</f>
        <v/>
      </c>
      <c r="T1366">
        <f>IF($R1366="","",IF(INDEX('입력_구리근무자명단'!$A1364:$ZZ1364,1,$E$2+3)&amp;""="",EOMONTH(급여기준월,0),IF(ISNUMBER(INDEX('입력_구리근무자명단'!$A1364:$ZZ1364,1,$E$2+3)),INDEX('입력_구리근무자명단'!$A1364:$ZZ1364,1,$E$2+3),IFERROR(DATE(VALUE(LEFT(INDEX('입력_구리근무자명단'!$A1364:$ZZ1364,1,$E$2+3),4)),VALUE(MID(INDEX('입력_구리근무자명단'!$A1364:$ZZ1364,1,$E$2+3),6,2)),VALUE(MID(INDEX('입력_구리근무자명단'!$A1364:$ZZ1364,1,$E$2+3),9,2))),-1))))</f>
        <v/>
      </c>
      <c r="U1366">
        <f>IF($R1366="","",IF(OR($S1366&lt;0,$T1366&lt;0),0,MAX(0,MIN($T1366,EOMONTH(급여기준월,0))-MAX($S1366,급여기준월)+1)))</f>
        <v/>
      </c>
      <c r="V1366">
        <f>IF($R1366="","",TRIM(INDEX('입력_구리근무자명단'!$A1364:$ZZ1364,1,$E$2+5)&amp;""))</f>
        <v/>
      </c>
      <c r="W1366">
        <f>IF(ISNUMBER(SEARCH("구리독자",$V1366)),"구리독자","")</f>
        <v/>
      </c>
      <c r="X1366">
        <f>IF($R1366="","",$R1366&amp;"|"&amp;IF(OR($Q1366="인턴",ISNUMBER(SEARCH("수련교육부",$P1366))),"인턴",$P1366))</f>
        <v/>
      </c>
      <c r="Y1366">
        <f>IF($R1366="","",IF(COUNTIF(명단표[이름|과],$X1366)=1,"명단 일치",IF(AND(COUNTIF(명단표[이름|과],$X1366)=0,COUNTIF(명단표[이름],$R1366)=1),"명단 일치(이름만, 과 다름)",IF(COUNTIF(명단표[이름],$R1366)=0,IF(COUNTIF(기본자료표[이름],$R1366)&gt;0,"명단에 없음(기본자료에는 있음)","명단에 없음"),"동명이인 확인"))))</f>
        <v/>
      </c>
      <c r="Z1366">
        <f>IF($R1366="","",IF($S1366&lt;0,"⚠"&amp;INDEX('입력_구리근무자명단'!$A1364:$ZZ1364,1,$E$2+2),TEXT($S1366,"yyyy-mm-dd")))</f>
        <v/>
      </c>
      <c r="AA1366">
        <f>IF($R1366="","",IF($T1366&lt;0,"⚠"&amp;INDEX('입력_구리근무자명단'!$A1364:$ZZ1364,1,$E$2+3),TEXT($T1366,"yyyy-mm-dd")))</f>
        <v/>
      </c>
      <c r="AB1366">
        <f>AB1365+IF($R1366="",0,1)</f>
        <v/>
      </c>
      <c r="AC1366">
        <f>IF($R1366="","",$AB1366)</f>
        <v/>
      </c>
    </row>
    <row r="1367">
      <c r="O1367">
        <f>1365</f>
        <v/>
      </c>
      <c r="P1367">
        <f>IF(TRIM('입력_구리근무자명단'!$A1365&amp;"")&lt;&gt;"",TRIM('입력_구리근무자명단'!$A1365&amp;""),P1366)</f>
        <v/>
      </c>
      <c r="Q1367">
        <f>'입력_구리근무자명단'!$B1365&amp;""</f>
        <v/>
      </c>
      <c r="R1367">
        <f>IF($E$2="","",TRIM(INDEX('입력_구리근무자명단'!$A1365:$ZZ1365,1,$E$2+IF($G$2="확정",1,0))&amp;""))</f>
        <v/>
      </c>
      <c r="S1367">
        <f>IF($R1367="","",IF(INDEX('입력_구리근무자명단'!$A1365:$ZZ1365,1,$E$2+2)&amp;""="",급여기준월,IF(ISNUMBER(INDEX('입력_구리근무자명단'!$A1365:$ZZ1365,1,$E$2+2)),INDEX('입력_구리근무자명단'!$A1365:$ZZ1365,1,$E$2+2),IFERROR(DATE(VALUE(LEFT(INDEX('입력_구리근무자명단'!$A1365:$ZZ1365,1,$E$2+2),4)),VALUE(MID(INDEX('입력_구리근무자명단'!$A1365:$ZZ1365,1,$E$2+2),6,2)),VALUE(MID(INDEX('입력_구리근무자명단'!$A1365:$ZZ1365,1,$E$2+2),9,2))),-1))))</f>
        <v/>
      </c>
      <c r="T1367">
        <f>IF($R1367="","",IF(INDEX('입력_구리근무자명단'!$A1365:$ZZ1365,1,$E$2+3)&amp;""="",EOMONTH(급여기준월,0),IF(ISNUMBER(INDEX('입력_구리근무자명단'!$A1365:$ZZ1365,1,$E$2+3)),INDEX('입력_구리근무자명단'!$A1365:$ZZ1365,1,$E$2+3),IFERROR(DATE(VALUE(LEFT(INDEX('입력_구리근무자명단'!$A1365:$ZZ1365,1,$E$2+3),4)),VALUE(MID(INDEX('입력_구리근무자명단'!$A1365:$ZZ1365,1,$E$2+3),6,2)),VALUE(MID(INDEX('입력_구리근무자명단'!$A1365:$ZZ1365,1,$E$2+3),9,2))),-1))))</f>
        <v/>
      </c>
      <c r="U1367">
        <f>IF($R1367="","",IF(OR($S1367&lt;0,$T1367&lt;0),0,MAX(0,MIN($T1367,EOMONTH(급여기준월,0))-MAX($S1367,급여기준월)+1)))</f>
        <v/>
      </c>
      <c r="V1367">
        <f>IF($R1367="","",TRIM(INDEX('입력_구리근무자명단'!$A1365:$ZZ1365,1,$E$2+5)&amp;""))</f>
        <v/>
      </c>
      <c r="W1367">
        <f>IF(ISNUMBER(SEARCH("구리독자",$V1367)),"구리독자","")</f>
        <v/>
      </c>
      <c r="X1367">
        <f>IF($R1367="","",$R1367&amp;"|"&amp;IF(OR($Q1367="인턴",ISNUMBER(SEARCH("수련교육부",$P1367))),"인턴",$P1367))</f>
        <v/>
      </c>
      <c r="Y1367">
        <f>IF($R1367="","",IF(COUNTIF(명단표[이름|과],$X1367)=1,"명단 일치",IF(AND(COUNTIF(명단표[이름|과],$X1367)=0,COUNTIF(명단표[이름],$R1367)=1),"명단 일치(이름만, 과 다름)",IF(COUNTIF(명단표[이름],$R1367)=0,IF(COUNTIF(기본자료표[이름],$R1367)&gt;0,"명단에 없음(기본자료에는 있음)","명단에 없음"),"동명이인 확인"))))</f>
        <v/>
      </c>
      <c r="Z1367">
        <f>IF($R1367="","",IF($S1367&lt;0,"⚠"&amp;INDEX('입력_구리근무자명단'!$A1365:$ZZ1365,1,$E$2+2),TEXT($S1367,"yyyy-mm-dd")))</f>
        <v/>
      </c>
      <c r="AA1367">
        <f>IF($R1367="","",IF($T1367&lt;0,"⚠"&amp;INDEX('입력_구리근무자명단'!$A1365:$ZZ1365,1,$E$2+3),TEXT($T1367,"yyyy-mm-dd")))</f>
        <v/>
      </c>
      <c r="AB1367">
        <f>AB1366+IF($R1367="",0,1)</f>
        <v/>
      </c>
      <c r="AC1367">
        <f>IF($R1367="","",$AB1367)</f>
        <v/>
      </c>
    </row>
    <row r="1368">
      <c r="O1368">
        <f>1366</f>
        <v/>
      </c>
      <c r="P1368">
        <f>IF(TRIM('입력_구리근무자명단'!$A1366&amp;"")&lt;&gt;"",TRIM('입력_구리근무자명단'!$A1366&amp;""),P1367)</f>
        <v/>
      </c>
      <c r="Q1368">
        <f>'입력_구리근무자명단'!$B1366&amp;""</f>
        <v/>
      </c>
      <c r="R1368">
        <f>IF($E$2="","",TRIM(INDEX('입력_구리근무자명단'!$A1366:$ZZ1366,1,$E$2+IF($G$2="확정",1,0))&amp;""))</f>
        <v/>
      </c>
      <c r="S1368">
        <f>IF($R1368="","",IF(INDEX('입력_구리근무자명단'!$A1366:$ZZ1366,1,$E$2+2)&amp;""="",급여기준월,IF(ISNUMBER(INDEX('입력_구리근무자명단'!$A1366:$ZZ1366,1,$E$2+2)),INDEX('입력_구리근무자명단'!$A1366:$ZZ1366,1,$E$2+2),IFERROR(DATE(VALUE(LEFT(INDEX('입력_구리근무자명단'!$A1366:$ZZ1366,1,$E$2+2),4)),VALUE(MID(INDEX('입력_구리근무자명단'!$A1366:$ZZ1366,1,$E$2+2),6,2)),VALUE(MID(INDEX('입력_구리근무자명단'!$A1366:$ZZ1366,1,$E$2+2),9,2))),-1))))</f>
        <v/>
      </c>
      <c r="T1368">
        <f>IF($R1368="","",IF(INDEX('입력_구리근무자명단'!$A1366:$ZZ1366,1,$E$2+3)&amp;""="",EOMONTH(급여기준월,0),IF(ISNUMBER(INDEX('입력_구리근무자명단'!$A1366:$ZZ1366,1,$E$2+3)),INDEX('입력_구리근무자명단'!$A1366:$ZZ1366,1,$E$2+3),IFERROR(DATE(VALUE(LEFT(INDEX('입력_구리근무자명단'!$A1366:$ZZ1366,1,$E$2+3),4)),VALUE(MID(INDEX('입력_구리근무자명단'!$A1366:$ZZ1366,1,$E$2+3),6,2)),VALUE(MID(INDEX('입력_구리근무자명단'!$A1366:$ZZ1366,1,$E$2+3),9,2))),-1))))</f>
        <v/>
      </c>
      <c r="U1368">
        <f>IF($R1368="","",IF(OR($S1368&lt;0,$T1368&lt;0),0,MAX(0,MIN($T1368,EOMONTH(급여기준월,0))-MAX($S1368,급여기준월)+1)))</f>
        <v/>
      </c>
      <c r="V1368">
        <f>IF($R1368="","",TRIM(INDEX('입력_구리근무자명단'!$A1366:$ZZ1366,1,$E$2+5)&amp;""))</f>
        <v/>
      </c>
      <c r="W1368">
        <f>IF(ISNUMBER(SEARCH("구리독자",$V1368)),"구리독자","")</f>
        <v/>
      </c>
      <c r="X1368">
        <f>IF($R1368="","",$R1368&amp;"|"&amp;IF(OR($Q1368="인턴",ISNUMBER(SEARCH("수련교육부",$P1368))),"인턴",$P1368))</f>
        <v/>
      </c>
      <c r="Y1368">
        <f>IF($R1368="","",IF(COUNTIF(명단표[이름|과],$X1368)=1,"명단 일치",IF(AND(COUNTIF(명단표[이름|과],$X1368)=0,COUNTIF(명단표[이름],$R1368)=1),"명단 일치(이름만, 과 다름)",IF(COUNTIF(명단표[이름],$R1368)=0,IF(COUNTIF(기본자료표[이름],$R1368)&gt;0,"명단에 없음(기본자료에는 있음)","명단에 없음"),"동명이인 확인"))))</f>
        <v/>
      </c>
      <c r="Z1368">
        <f>IF($R1368="","",IF($S1368&lt;0,"⚠"&amp;INDEX('입력_구리근무자명단'!$A1366:$ZZ1366,1,$E$2+2),TEXT($S1368,"yyyy-mm-dd")))</f>
        <v/>
      </c>
      <c r="AA1368">
        <f>IF($R1368="","",IF($T1368&lt;0,"⚠"&amp;INDEX('입력_구리근무자명단'!$A1366:$ZZ1366,1,$E$2+3),TEXT($T1368,"yyyy-mm-dd")))</f>
        <v/>
      </c>
      <c r="AB1368">
        <f>AB1367+IF($R1368="",0,1)</f>
        <v/>
      </c>
      <c r="AC1368">
        <f>IF($R1368="","",$AB1368)</f>
        <v/>
      </c>
    </row>
    <row r="1369">
      <c r="O1369">
        <f>1367</f>
        <v/>
      </c>
      <c r="P1369">
        <f>IF(TRIM('입력_구리근무자명단'!$A1367&amp;"")&lt;&gt;"",TRIM('입력_구리근무자명단'!$A1367&amp;""),P1368)</f>
        <v/>
      </c>
      <c r="Q1369">
        <f>'입력_구리근무자명단'!$B1367&amp;""</f>
        <v/>
      </c>
      <c r="R1369">
        <f>IF($E$2="","",TRIM(INDEX('입력_구리근무자명단'!$A1367:$ZZ1367,1,$E$2+IF($G$2="확정",1,0))&amp;""))</f>
        <v/>
      </c>
      <c r="S1369">
        <f>IF($R1369="","",IF(INDEX('입력_구리근무자명단'!$A1367:$ZZ1367,1,$E$2+2)&amp;""="",급여기준월,IF(ISNUMBER(INDEX('입력_구리근무자명단'!$A1367:$ZZ1367,1,$E$2+2)),INDEX('입력_구리근무자명단'!$A1367:$ZZ1367,1,$E$2+2),IFERROR(DATE(VALUE(LEFT(INDEX('입력_구리근무자명단'!$A1367:$ZZ1367,1,$E$2+2),4)),VALUE(MID(INDEX('입력_구리근무자명단'!$A1367:$ZZ1367,1,$E$2+2),6,2)),VALUE(MID(INDEX('입력_구리근무자명단'!$A1367:$ZZ1367,1,$E$2+2),9,2))),-1))))</f>
        <v/>
      </c>
      <c r="T1369">
        <f>IF($R1369="","",IF(INDEX('입력_구리근무자명단'!$A1367:$ZZ1367,1,$E$2+3)&amp;""="",EOMONTH(급여기준월,0),IF(ISNUMBER(INDEX('입력_구리근무자명단'!$A1367:$ZZ1367,1,$E$2+3)),INDEX('입력_구리근무자명단'!$A1367:$ZZ1367,1,$E$2+3),IFERROR(DATE(VALUE(LEFT(INDEX('입력_구리근무자명단'!$A1367:$ZZ1367,1,$E$2+3),4)),VALUE(MID(INDEX('입력_구리근무자명단'!$A1367:$ZZ1367,1,$E$2+3),6,2)),VALUE(MID(INDEX('입력_구리근무자명단'!$A1367:$ZZ1367,1,$E$2+3),9,2))),-1))))</f>
        <v/>
      </c>
      <c r="U1369">
        <f>IF($R1369="","",IF(OR($S1369&lt;0,$T1369&lt;0),0,MAX(0,MIN($T1369,EOMONTH(급여기준월,0))-MAX($S1369,급여기준월)+1)))</f>
        <v/>
      </c>
      <c r="V1369">
        <f>IF($R1369="","",TRIM(INDEX('입력_구리근무자명단'!$A1367:$ZZ1367,1,$E$2+5)&amp;""))</f>
        <v/>
      </c>
      <c r="W1369">
        <f>IF(ISNUMBER(SEARCH("구리독자",$V1369)),"구리독자","")</f>
        <v/>
      </c>
      <c r="X1369">
        <f>IF($R1369="","",$R1369&amp;"|"&amp;IF(OR($Q1369="인턴",ISNUMBER(SEARCH("수련교육부",$P1369))),"인턴",$P1369))</f>
        <v/>
      </c>
      <c r="Y1369">
        <f>IF($R1369="","",IF(COUNTIF(명단표[이름|과],$X1369)=1,"명단 일치",IF(AND(COUNTIF(명단표[이름|과],$X1369)=0,COUNTIF(명단표[이름],$R1369)=1),"명단 일치(이름만, 과 다름)",IF(COUNTIF(명단표[이름],$R1369)=0,IF(COUNTIF(기본자료표[이름],$R1369)&gt;0,"명단에 없음(기본자료에는 있음)","명단에 없음"),"동명이인 확인"))))</f>
        <v/>
      </c>
      <c r="Z1369">
        <f>IF($R1369="","",IF($S1369&lt;0,"⚠"&amp;INDEX('입력_구리근무자명단'!$A1367:$ZZ1367,1,$E$2+2),TEXT($S1369,"yyyy-mm-dd")))</f>
        <v/>
      </c>
      <c r="AA1369">
        <f>IF($R1369="","",IF($T1369&lt;0,"⚠"&amp;INDEX('입력_구리근무자명단'!$A1367:$ZZ1367,1,$E$2+3),TEXT($T1369,"yyyy-mm-dd")))</f>
        <v/>
      </c>
      <c r="AB1369">
        <f>AB1368+IF($R1369="",0,1)</f>
        <v/>
      </c>
      <c r="AC1369">
        <f>IF($R1369="","",$AB1369)</f>
        <v/>
      </c>
    </row>
    <row r="1370">
      <c r="O1370">
        <f>1368</f>
        <v/>
      </c>
      <c r="P1370">
        <f>IF(TRIM('입력_구리근무자명단'!$A1368&amp;"")&lt;&gt;"",TRIM('입력_구리근무자명단'!$A1368&amp;""),P1369)</f>
        <v/>
      </c>
      <c r="Q1370">
        <f>'입력_구리근무자명단'!$B1368&amp;""</f>
        <v/>
      </c>
      <c r="R1370">
        <f>IF($E$2="","",TRIM(INDEX('입력_구리근무자명단'!$A1368:$ZZ1368,1,$E$2+IF($G$2="확정",1,0))&amp;""))</f>
        <v/>
      </c>
      <c r="S1370">
        <f>IF($R1370="","",IF(INDEX('입력_구리근무자명단'!$A1368:$ZZ1368,1,$E$2+2)&amp;""="",급여기준월,IF(ISNUMBER(INDEX('입력_구리근무자명단'!$A1368:$ZZ1368,1,$E$2+2)),INDEX('입력_구리근무자명단'!$A1368:$ZZ1368,1,$E$2+2),IFERROR(DATE(VALUE(LEFT(INDEX('입력_구리근무자명단'!$A1368:$ZZ1368,1,$E$2+2),4)),VALUE(MID(INDEX('입력_구리근무자명단'!$A1368:$ZZ1368,1,$E$2+2),6,2)),VALUE(MID(INDEX('입력_구리근무자명단'!$A1368:$ZZ1368,1,$E$2+2),9,2))),-1))))</f>
        <v/>
      </c>
      <c r="T1370">
        <f>IF($R1370="","",IF(INDEX('입력_구리근무자명단'!$A1368:$ZZ1368,1,$E$2+3)&amp;""="",EOMONTH(급여기준월,0),IF(ISNUMBER(INDEX('입력_구리근무자명단'!$A1368:$ZZ1368,1,$E$2+3)),INDEX('입력_구리근무자명단'!$A1368:$ZZ1368,1,$E$2+3),IFERROR(DATE(VALUE(LEFT(INDEX('입력_구리근무자명단'!$A1368:$ZZ1368,1,$E$2+3),4)),VALUE(MID(INDEX('입력_구리근무자명단'!$A1368:$ZZ1368,1,$E$2+3),6,2)),VALUE(MID(INDEX('입력_구리근무자명단'!$A1368:$ZZ1368,1,$E$2+3),9,2))),-1))))</f>
        <v/>
      </c>
      <c r="U1370">
        <f>IF($R1370="","",IF(OR($S1370&lt;0,$T1370&lt;0),0,MAX(0,MIN($T1370,EOMONTH(급여기준월,0))-MAX($S1370,급여기준월)+1)))</f>
        <v/>
      </c>
      <c r="V1370">
        <f>IF($R1370="","",TRIM(INDEX('입력_구리근무자명단'!$A1368:$ZZ1368,1,$E$2+5)&amp;""))</f>
        <v/>
      </c>
      <c r="W1370">
        <f>IF(ISNUMBER(SEARCH("구리독자",$V1370)),"구리독자","")</f>
        <v/>
      </c>
      <c r="X1370">
        <f>IF($R1370="","",$R1370&amp;"|"&amp;IF(OR($Q1370="인턴",ISNUMBER(SEARCH("수련교육부",$P1370))),"인턴",$P1370))</f>
        <v/>
      </c>
      <c r="Y1370">
        <f>IF($R1370="","",IF(COUNTIF(명단표[이름|과],$X1370)=1,"명단 일치",IF(AND(COUNTIF(명단표[이름|과],$X1370)=0,COUNTIF(명단표[이름],$R1370)=1),"명단 일치(이름만, 과 다름)",IF(COUNTIF(명단표[이름],$R1370)=0,IF(COUNTIF(기본자료표[이름],$R1370)&gt;0,"명단에 없음(기본자료에는 있음)","명단에 없음"),"동명이인 확인"))))</f>
        <v/>
      </c>
      <c r="Z1370">
        <f>IF($R1370="","",IF($S1370&lt;0,"⚠"&amp;INDEX('입력_구리근무자명단'!$A1368:$ZZ1368,1,$E$2+2),TEXT($S1370,"yyyy-mm-dd")))</f>
        <v/>
      </c>
      <c r="AA1370">
        <f>IF($R1370="","",IF($T1370&lt;0,"⚠"&amp;INDEX('입력_구리근무자명단'!$A1368:$ZZ1368,1,$E$2+3),TEXT($T1370,"yyyy-mm-dd")))</f>
        <v/>
      </c>
      <c r="AB1370">
        <f>AB1369+IF($R1370="",0,1)</f>
        <v/>
      </c>
      <c r="AC1370">
        <f>IF($R1370="","",$AB1370)</f>
        <v/>
      </c>
    </row>
    <row r="1371">
      <c r="O1371">
        <f>1369</f>
        <v/>
      </c>
      <c r="P1371">
        <f>IF(TRIM('입력_구리근무자명단'!$A1369&amp;"")&lt;&gt;"",TRIM('입력_구리근무자명단'!$A1369&amp;""),P1370)</f>
        <v/>
      </c>
      <c r="Q1371">
        <f>'입력_구리근무자명단'!$B1369&amp;""</f>
        <v/>
      </c>
      <c r="R1371">
        <f>IF($E$2="","",TRIM(INDEX('입력_구리근무자명단'!$A1369:$ZZ1369,1,$E$2+IF($G$2="확정",1,0))&amp;""))</f>
        <v/>
      </c>
      <c r="S1371">
        <f>IF($R1371="","",IF(INDEX('입력_구리근무자명단'!$A1369:$ZZ1369,1,$E$2+2)&amp;""="",급여기준월,IF(ISNUMBER(INDEX('입력_구리근무자명단'!$A1369:$ZZ1369,1,$E$2+2)),INDEX('입력_구리근무자명단'!$A1369:$ZZ1369,1,$E$2+2),IFERROR(DATE(VALUE(LEFT(INDEX('입력_구리근무자명단'!$A1369:$ZZ1369,1,$E$2+2),4)),VALUE(MID(INDEX('입력_구리근무자명단'!$A1369:$ZZ1369,1,$E$2+2),6,2)),VALUE(MID(INDEX('입력_구리근무자명단'!$A1369:$ZZ1369,1,$E$2+2),9,2))),-1))))</f>
        <v/>
      </c>
      <c r="T1371">
        <f>IF($R1371="","",IF(INDEX('입력_구리근무자명단'!$A1369:$ZZ1369,1,$E$2+3)&amp;""="",EOMONTH(급여기준월,0),IF(ISNUMBER(INDEX('입력_구리근무자명단'!$A1369:$ZZ1369,1,$E$2+3)),INDEX('입력_구리근무자명단'!$A1369:$ZZ1369,1,$E$2+3),IFERROR(DATE(VALUE(LEFT(INDEX('입력_구리근무자명단'!$A1369:$ZZ1369,1,$E$2+3),4)),VALUE(MID(INDEX('입력_구리근무자명단'!$A1369:$ZZ1369,1,$E$2+3),6,2)),VALUE(MID(INDEX('입력_구리근무자명단'!$A1369:$ZZ1369,1,$E$2+3),9,2))),-1))))</f>
        <v/>
      </c>
      <c r="U1371">
        <f>IF($R1371="","",IF(OR($S1371&lt;0,$T1371&lt;0),0,MAX(0,MIN($T1371,EOMONTH(급여기준월,0))-MAX($S1371,급여기준월)+1)))</f>
        <v/>
      </c>
      <c r="V1371">
        <f>IF($R1371="","",TRIM(INDEX('입력_구리근무자명단'!$A1369:$ZZ1369,1,$E$2+5)&amp;""))</f>
        <v/>
      </c>
      <c r="W1371">
        <f>IF(ISNUMBER(SEARCH("구리독자",$V1371)),"구리독자","")</f>
        <v/>
      </c>
      <c r="X1371">
        <f>IF($R1371="","",$R1371&amp;"|"&amp;IF(OR($Q1371="인턴",ISNUMBER(SEARCH("수련교육부",$P1371))),"인턴",$P1371))</f>
        <v/>
      </c>
      <c r="Y1371">
        <f>IF($R1371="","",IF(COUNTIF(명단표[이름|과],$X1371)=1,"명단 일치",IF(AND(COUNTIF(명단표[이름|과],$X1371)=0,COUNTIF(명단표[이름],$R1371)=1),"명단 일치(이름만, 과 다름)",IF(COUNTIF(명단표[이름],$R1371)=0,IF(COUNTIF(기본자료표[이름],$R1371)&gt;0,"명단에 없음(기본자료에는 있음)","명단에 없음"),"동명이인 확인"))))</f>
        <v/>
      </c>
      <c r="Z1371">
        <f>IF($R1371="","",IF($S1371&lt;0,"⚠"&amp;INDEX('입력_구리근무자명단'!$A1369:$ZZ1369,1,$E$2+2),TEXT($S1371,"yyyy-mm-dd")))</f>
        <v/>
      </c>
      <c r="AA1371">
        <f>IF($R1371="","",IF($T1371&lt;0,"⚠"&amp;INDEX('입력_구리근무자명단'!$A1369:$ZZ1369,1,$E$2+3),TEXT($T1371,"yyyy-mm-dd")))</f>
        <v/>
      </c>
      <c r="AB1371">
        <f>AB1370+IF($R1371="",0,1)</f>
        <v/>
      </c>
      <c r="AC1371">
        <f>IF($R1371="","",$AB1371)</f>
        <v/>
      </c>
    </row>
    <row r="1372">
      <c r="O1372">
        <f>1370</f>
        <v/>
      </c>
      <c r="P1372">
        <f>IF(TRIM('입력_구리근무자명단'!$A1370&amp;"")&lt;&gt;"",TRIM('입력_구리근무자명단'!$A1370&amp;""),P1371)</f>
        <v/>
      </c>
      <c r="Q1372">
        <f>'입력_구리근무자명단'!$B1370&amp;""</f>
        <v/>
      </c>
      <c r="R1372">
        <f>IF($E$2="","",TRIM(INDEX('입력_구리근무자명단'!$A1370:$ZZ1370,1,$E$2+IF($G$2="확정",1,0))&amp;""))</f>
        <v/>
      </c>
      <c r="S1372">
        <f>IF($R1372="","",IF(INDEX('입력_구리근무자명단'!$A1370:$ZZ1370,1,$E$2+2)&amp;""="",급여기준월,IF(ISNUMBER(INDEX('입력_구리근무자명단'!$A1370:$ZZ1370,1,$E$2+2)),INDEX('입력_구리근무자명단'!$A1370:$ZZ1370,1,$E$2+2),IFERROR(DATE(VALUE(LEFT(INDEX('입력_구리근무자명단'!$A1370:$ZZ1370,1,$E$2+2),4)),VALUE(MID(INDEX('입력_구리근무자명단'!$A1370:$ZZ1370,1,$E$2+2),6,2)),VALUE(MID(INDEX('입력_구리근무자명단'!$A1370:$ZZ1370,1,$E$2+2),9,2))),-1))))</f>
        <v/>
      </c>
      <c r="T1372">
        <f>IF($R1372="","",IF(INDEX('입력_구리근무자명단'!$A1370:$ZZ1370,1,$E$2+3)&amp;""="",EOMONTH(급여기준월,0),IF(ISNUMBER(INDEX('입력_구리근무자명단'!$A1370:$ZZ1370,1,$E$2+3)),INDEX('입력_구리근무자명단'!$A1370:$ZZ1370,1,$E$2+3),IFERROR(DATE(VALUE(LEFT(INDEX('입력_구리근무자명단'!$A1370:$ZZ1370,1,$E$2+3),4)),VALUE(MID(INDEX('입력_구리근무자명단'!$A1370:$ZZ1370,1,$E$2+3),6,2)),VALUE(MID(INDEX('입력_구리근무자명단'!$A1370:$ZZ1370,1,$E$2+3),9,2))),-1))))</f>
        <v/>
      </c>
      <c r="U1372">
        <f>IF($R1372="","",IF(OR($S1372&lt;0,$T1372&lt;0),0,MAX(0,MIN($T1372,EOMONTH(급여기준월,0))-MAX($S1372,급여기준월)+1)))</f>
        <v/>
      </c>
      <c r="V1372">
        <f>IF($R1372="","",TRIM(INDEX('입력_구리근무자명단'!$A1370:$ZZ1370,1,$E$2+5)&amp;""))</f>
        <v/>
      </c>
      <c r="W1372">
        <f>IF(ISNUMBER(SEARCH("구리독자",$V1372)),"구리독자","")</f>
        <v/>
      </c>
      <c r="X1372">
        <f>IF($R1372="","",$R1372&amp;"|"&amp;IF(OR($Q1372="인턴",ISNUMBER(SEARCH("수련교육부",$P1372))),"인턴",$P1372))</f>
        <v/>
      </c>
      <c r="Y1372">
        <f>IF($R1372="","",IF(COUNTIF(명단표[이름|과],$X1372)=1,"명단 일치",IF(AND(COUNTIF(명단표[이름|과],$X1372)=0,COUNTIF(명단표[이름],$R1372)=1),"명단 일치(이름만, 과 다름)",IF(COUNTIF(명단표[이름],$R1372)=0,IF(COUNTIF(기본자료표[이름],$R1372)&gt;0,"명단에 없음(기본자료에는 있음)","명단에 없음"),"동명이인 확인"))))</f>
        <v/>
      </c>
      <c r="Z1372">
        <f>IF($R1372="","",IF($S1372&lt;0,"⚠"&amp;INDEX('입력_구리근무자명단'!$A1370:$ZZ1370,1,$E$2+2),TEXT($S1372,"yyyy-mm-dd")))</f>
        <v/>
      </c>
      <c r="AA1372">
        <f>IF($R1372="","",IF($T1372&lt;0,"⚠"&amp;INDEX('입력_구리근무자명단'!$A1370:$ZZ1370,1,$E$2+3),TEXT($T1372,"yyyy-mm-dd")))</f>
        <v/>
      </c>
      <c r="AB1372">
        <f>AB1371+IF($R1372="",0,1)</f>
        <v/>
      </c>
      <c r="AC1372">
        <f>IF($R1372="","",$AB1372)</f>
        <v/>
      </c>
    </row>
    <row r="1373">
      <c r="O1373">
        <f>1371</f>
        <v/>
      </c>
      <c r="P1373">
        <f>IF(TRIM('입력_구리근무자명단'!$A1371&amp;"")&lt;&gt;"",TRIM('입력_구리근무자명단'!$A1371&amp;""),P1372)</f>
        <v/>
      </c>
      <c r="Q1373">
        <f>'입력_구리근무자명단'!$B1371&amp;""</f>
        <v/>
      </c>
      <c r="R1373">
        <f>IF($E$2="","",TRIM(INDEX('입력_구리근무자명단'!$A1371:$ZZ1371,1,$E$2+IF($G$2="확정",1,0))&amp;""))</f>
        <v/>
      </c>
      <c r="S1373">
        <f>IF($R1373="","",IF(INDEX('입력_구리근무자명단'!$A1371:$ZZ1371,1,$E$2+2)&amp;""="",급여기준월,IF(ISNUMBER(INDEX('입력_구리근무자명단'!$A1371:$ZZ1371,1,$E$2+2)),INDEX('입력_구리근무자명단'!$A1371:$ZZ1371,1,$E$2+2),IFERROR(DATE(VALUE(LEFT(INDEX('입력_구리근무자명단'!$A1371:$ZZ1371,1,$E$2+2),4)),VALUE(MID(INDEX('입력_구리근무자명단'!$A1371:$ZZ1371,1,$E$2+2),6,2)),VALUE(MID(INDEX('입력_구리근무자명단'!$A1371:$ZZ1371,1,$E$2+2),9,2))),-1))))</f>
        <v/>
      </c>
      <c r="T1373">
        <f>IF($R1373="","",IF(INDEX('입력_구리근무자명단'!$A1371:$ZZ1371,1,$E$2+3)&amp;""="",EOMONTH(급여기준월,0),IF(ISNUMBER(INDEX('입력_구리근무자명단'!$A1371:$ZZ1371,1,$E$2+3)),INDEX('입력_구리근무자명단'!$A1371:$ZZ1371,1,$E$2+3),IFERROR(DATE(VALUE(LEFT(INDEX('입력_구리근무자명단'!$A1371:$ZZ1371,1,$E$2+3),4)),VALUE(MID(INDEX('입력_구리근무자명단'!$A1371:$ZZ1371,1,$E$2+3),6,2)),VALUE(MID(INDEX('입력_구리근무자명단'!$A1371:$ZZ1371,1,$E$2+3),9,2))),-1))))</f>
        <v/>
      </c>
      <c r="U1373">
        <f>IF($R1373="","",IF(OR($S1373&lt;0,$T1373&lt;0),0,MAX(0,MIN($T1373,EOMONTH(급여기준월,0))-MAX($S1373,급여기준월)+1)))</f>
        <v/>
      </c>
      <c r="V1373">
        <f>IF($R1373="","",TRIM(INDEX('입력_구리근무자명단'!$A1371:$ZZ1371,1,$E$2+5)&amp;""))</f>
        <v/>
      </c>
      <c r="W1373">
        <f>IF(ISNUMBER(SEARCH("구리독자",$V1373)),"구리독자","")</f>
        <v/>
      </c>
      <c r="X1373">
        <f>IF($R1373="","",$R1373&amp;"|"&amp;IF(OR($Q1373="인턴",ISNUMBER(SEARCH("수련교육부",$P1373))),"인턴",$P1373))</f>
        <v/>
      </c>
      <c r="Y1373">
        <f>IF($R1373="","",IF(COUNTIF(명단표[이름|과],$X1373)=1,"명단 일치",IF(AND(COUNTIF(명단표[이름|과],$X1373)=0,COUNTIF(명단표[이름],$R1373)=1),"명단 일치(이름만, 과 다름)",IF(COUNTIF(명단표[이름],$R1373)=0,IF(COUNTIF(기본자료표[이름],$R1373)&gt;0,"명단에 없음(기본자료에는 있음)","명단에 없음"),"동명이인 확인"))))</f>
        <v/>
      </c>
      <c r="Z1373">
        <f>IF($R1373="","",IF($S1373&lt;0,"⚠"&amp;INDEX('입력_구리근무자명단'!$A1371:$ZZ1371,1,$E$2+2),TEXT($S1373,"yyyy-mm-dd")))</f>
        <v/>
      </c>
      <c r="AA1373">
        <f>IF($R1373="","",IF($T1373&lt;0,"⚠"&amp;INDEX('입력_구리근무자명단'!$A1371:$ZZ1371,1,$E$2+3),TEXT($T1373,"yyyy-mm-dd")))</f>
        <v/>
      </c>
      <c r="AB1373">
        <f>AB1372+IF($R1373="",0,1)</f>
        <v/>
      </c>
      <c r="AC1373">
        <f>IF($R1373="","",$AB1373)</f>
        <v/>
      </c>
    </row>
    <row r="1374">
      <c r="O1374">
        <f>1372</f>
        <v/>
      </c>
      <c r="P1374">
        <f>IF(TRIM('입력_구리근무자명단'!$A1372&amp;"")&lt;&gt;"",TRIM('입력_구리근무자명단'!$A1372&amp;""),P1373)</f>
        <v/>
      </c>
      <c r="Q1374">
        <f>'입력_구리근무자명단'!$B1372&amp;""</f>
        <v/>
      </c>
      <c r="R1374">
        <f>IF($E$2="","",TRIM(INDEX('입력_구리근무자명단'!$A1372:$ZZ1372,1,$E$2+IF($G$2="확정",1,0))&amp;""))</f>
        <v/>
      </c>
      <c r="S1374">
        <f>IF($R1374="","",IF(INDEX('입력_구리근무자명단'!$A1372:$ZZ1372,1,$E$2+2)&amp;""="",급여기준월,IF(ISNUMBER(INDEX('입력_구리근무자명단'!$A1372:$ZZ1372,1,$E$2+2)),INDEX('입력_구리근무자명단'!$A1372:$ZZ1372,1,$E$2+2),IFERROR(DATE(VALUE(LEFT(INDEX('입력_구리근무자명단'!$A1372:$ZZ1372,1,$E$2+2),4)),VALUE(MID(INDEX('입력_구리근무자명단'!$A1372:$ZZ1372,1,$E$2+2),6,2)),VALUE(MID(INDEX('입력_구리근무자명단'!$A1372:$ZZ1372,1,$E$2+2),9,2))),-1))))</f>
        <v/>
      </c>
      <c r="T1374">
        <f>IF($R1374="","",IF(INDEX('입력_구리근무자명단'!$A1372:$ZZ1372,1,$E$2+3)&amp;""="",EOMONTH(급여기준월,0),IF(ISNUMBER(INDEX('입력_구리근무자명단'!$A1372:$ZZ1372,1,$E$2+3)),INDEX('입력_구리근무자명단'!$A1372:$ZZ1372,1,$E$2+3),IFERROR(DATE(VALUE(LEFT(INDEX('입력_구리근무자명단'!$A1372:$ZZ1372,1,$E$2+3),4)),VALUE(MID(INDEX('입력_구리근무자명단'!$A1372:$ZZ1372,1,$E$2+3),6,2)),VALUE(MID(INDEX('입력_구리근무자명단'!$A1372:$ZZ1372,1,$E$2+3),9,2))),-1))))</f>
        <v/>
      </c>
      <c r="U1374">
        <f>IF($R1374="","",IF(OR($S1374&lt;0,$T1374&lt;0),0,MAX(0,MIN($T1374,EOMONTH(급여기준월,0))-MAX($S1374,급여기준월)+1)))</f>
        <v/>
      </c>
      <c r="V1374">
        <f>IF($R1374="","",TRIM(INDEX('입력_구리근무자명단'!$A1372:$ZZ1372,1,$E$2+5)&amp;""))</f>
        <v/>
      </c>
      <c r="W1374">
        <f>IF(ISNUMBER(SEARCH("구리독자",$V1374)),"구리독자","")</f>
        <v/>
      </c>
      <c r="X1374">
        <f>IF($R1374="","",$R1374&amp;"|"&amp;IF(OR($Q1374="인턴",ISNUMBER(SEARCH("수련교육부",$P1374))),"인턴",$P1374))</f>
        <v/>
      </c>
      <c r="Y1374">
        <f>IF($R1374="","",IF(COUNTIF(명단표[이름|과],$X1374)=1,"명단 일치",IF(AND(COUNTIF(명단표[이름|과],$X1374)=0,COUNTIF(명단표[이름],$R1374)=1),"명단 일치(이름만, 과 다름)",IF(COUNTIF(명단표[이름],$R1374)=0,IF(COUNTIF(기본자료표[이름],$R1374)&gt;0,"명단에 없음(기본자료에는 있음)","명단에 없음"),"동명이인 확인"))))</f>
        <v/>
      </c>
      <c r="Z1374">
        <f>IF($R1374="","",IF($S1374&lt;0,"⚠"&amp;INDEX('입력_구리근무자명단'!$A1372:$ZZ1372,1,$E$2+2),TEXT($S1374,"yyyy-mm-dd")))</f>
        <v/>
      </c>
      <c r="AA1374">
        <f>IF($R1374="","",IF($T1374&lt;0,"⚠"&amp;INDEX('입력_구리근무자명단'!$A1372:$ZZ1372,1,$E$2+3),TEXT($T1374,"yyyy-mm-dd")))</f>
        <v/>
      </c>
      <c r="AB1374">
        <f>AB1373+IF($R1374="",0,1)</f>
        <v/>
      </c>
      <c r="AC1374">
        <f>IF($R1374="","",$AB1374)</f>
        <v/>
      </c>
    </row>
    <row r="1375">
      <c r="O1375">
        <f>1373</f>
        <v/>
      </c>
      <c r="P1375">
        <f>IF(TRIM('입력_구리근무자명단'!$A1373&amp;"")&lt;&gt;"",TRIM('입력_구리근무자명단'!$A1373&amp;""),P1374)</f>
        <v/>
      </c>
      <c r="Q1375">
        <f>'입력_구리근무자명단'!$B1373&amp;""</f>
        <v/>
      </c>
      <c r="R1375">
        <f>IF($E$2="","",TRIM(INDEX('입력_구리근무자명단'!$A1373:$ZZ1373,1,$E$2+IF($G$2="확정",1,0))&amp;""))</f>
        <v/>
      </c>
      <c r="S1375">
        <f>IF($R1375="","",IF(INDEX('입력_구리근무자명단'!$A1373:$ZZ1373,1,$E$2+2)&amp;""="",급여기준월,IF(ISNUMBER(INDEX('입력_구리근무자명단'!$A1373:$ZZ1373,1,$E$2+2)),INDEX('입력_구리근무자명단'!$A1373:$ZZ1373,1,$E$2+2),IFERROR(DATE(VALUE(LEFT(INDEX('입력_구리근무자명단'!$A1373:$ZZ1373,1,$E$2+2),4)),VALUE(MID(INDEX('입력_구리근무자명단'!$A1373:$ZZ1373,1,$E$2+2),6,2)),VALUE(MID(INDEX('입력_구리근무자명단'!$A1373:$ZZ1373,1,$E$2+2),9,2))),-1))))</f>
        <v/>
      </c>
      <c r="T1375">
        <f>IF($R1375="","",IF(INDEX('입력_구리근무자명단'!$A1373:$ZZ1373,1,$E$2+3)&amp;""="",EOMONTH(급여기준월,0),IF(ISNUMBER(INDEX('입력_구리근무자명단'!$A1373:$ZZ1373,1,$E$2+3)),INDEX('입력_구리근무자명단'!$A1373:$ZZ1373,1,$E$2+3),IFERROR(DATE(VALUE(LEFT(INDEX('입력_구리근무자명단'!$A1373:$ZZ1373,1,$E$2+3),4)),VALUE(MID(INDEX('입력_구리근무자명단'!$A1373:$ZZ1373,1,$E$2+3),6,2)),VALUE(MID(INDEX('입력_구리근무자명단'!$A1373:$ZZ1373,1,$E$2+3),9,2))),-1))))</f>
        <v/>
      </c>
      <c r="U1375">
        <f>IF($R1375="","",IF(OR($S1375&lt;0,$T1375&lt;0),0,MAX(0,MIN($T1375,EOMONTH(급여기준월,0))-MAX($S1375,급여기준월)+1)))</f>
        <v/>
      </c>
      <c r="V1375">
        <f>IF($R1375="","",TRIM(INDEX('입력_구리근무자명단'!$A1373:$ZZ1373,1,$E$2+5)&amp;""))</f>
        <v/>
      </c>
      <c r="W1375">
        <f>IF(ISNUMBER(SEARCH("구리독자",$V1375)),"구리독자","")</f>
        <v/>
      </c>
      <c r="X1375">
        <f>IF($R1375="","",$R1375&amp;"|"&amp;IF(OR($Q1375="인턴",ISNUMBER(SEARCH("수련교육부",$P1375))),"인턴",$P1375))</f>
        <v/>
      </c>
      <c r="Y1375">
        <f>IF($R1375="","",IF(COUNTIF(명단표[이름|과],$X1375)=1,"명단 일치",IF(AND(COUNTIF(명단표[이름|과],$X1375)=0,COUNTIF(명단표[이름],$R1375)=1),"명단 일치(이름만, 과 다름)",IF(COUNTIF(명단표[이름],$R1375)=0,IF(COUNTIF(기본자료표[이름],$R1375)&gt;0,"명단에 없음(기본자료에는 있음)","명단에 없음"),"동명이인 확인"))))</f>
        <v/>
      </c>
      <c r="Z1375">
        <f>IF($R1375="","",IF($S1375&lt;0,"⚠"&amp;INDEX('입력_구리근무자명단'!$A1373:$ZZ1373,1,$E$2+2),TEXT($S1375,"yyyy-mm-dd")))</f>
        <v/>
      </c>
      <c r="AA1375">
        <f>IF($R1375="","",IF($T1375&lt;0,"⚠"&amp;INDEX('입력_구리근무자명단'!$A1373:$ZZ1373,1,$E$2+3),TEXT($T1375,"yyyy-mm-dd")))</f>
        <v/>
      </c>
      <c r="AB1375">
        <f>AB1374+IF($R1375="",0,1)</f>
        <v/>
      </c>
      <c r="AC1375">
        <f>IF($R1375="","",$AB1375)</f>
        <v/>
      </c>
    </row>
    <row r="1376">
      <c r="O1376">
        <f>1374</f>
        <v/>
      </c>
      <c r="P1376">
        <f>IF(TRIM('입력_구리근무자명단'!$A1374&amp;"")&lt;&gt;"",TRIM('입력_구리근무자명단'!$A1374&amp;""),P1375)</f>
        <v/>
      </c>
      <c r="Q1376">
        <f>'입력_구리근무자명단'!$B1374&amp;""</f>
        <v/>
      </c>
      <c r="R1376">
        <f>IF($E$2="","",TRIM(INDEX('입력_구리근무자명단'!$A1374:$ZZ1374,1,$E$2+IF($G$2="확정",1,0))&amp;""))</f>
        <v/>
      </c>
      <c r="S1376">
        <f>IF($R1376="","",IF(INDEX('입력_구리근무자명단'!$A1374:$ZZ1374,1,$E$2+2)&amp;""="",급여기준월,IF(ISNUMBER(INDEX('입력_구리근무자명단'!$A1374:$ZZ1374,1,$E$2+2)),INDEX('입력_구리근무자명단'!$A1374:$ZZ1374,1,$E$2+2),IFERROR(DATE(VALUE(LEFT(INDEX('입력_구리근무자명단'!$A1374:$ZZ1374,1,$E$2+2),4)),VALUE(MID(INDEX('입력_구리근무자명단'!$A1374:$ZZ1374,1,$E$2+2),6,2)),VALUE(MID(INDEX('입력_구리근무자명단'!$A1374:$ZZ1374,1,$E$2+2),9,2))),-1))))</f>
        <v/>
      </c>
      <c r="T1376">
        <f>IF($R1376="","",IF(INDEX('입력_구리근무자명단'!$A1374:$ZZ1374,1,$E$2+3)&amp;""="",EOMONTH(급여기준월,0),IF(ISNUMBER(INDEX('입력_구리근무자명단'!$A1374:$ZZ1374,1,$E$2+3)),INDEX('입력_구리근무자명단'!$A1374:$ZZ1374,1,$E$2+3),IFERROR(DATE(VALUE(LEFT(INDEX('입력_구리근무자명단'!$A1374:$ZZ1374,1,$E$2+3),4)),VALUE(MID(INDEX('입력_구리근무자명단'!$A1374:$ZZ1374,1,$E$2+3),6,2)),VALUE(MID(INDEX('입력_구리근무자명단'!$A1374:$ZZ1374,1,$E$2+3),9,2))),-1))))</f>
        <v/>
      </c>
      <c r="U1376">
        <f>IF($R1376="","",IF(OR($S1376&lt;0,$T1376&lt;0),0,MAX(0,MIN($T1376,EOMONTH(급여기준월,0))-MAX($S1376,급여기준월)+1)))</f>
        <v/>
      </c>
      <c r="V1376">
        <f>IF($R1376="","",TRIM(INDEX('입력_구리근무자명단'!$A1374:$ZZ1374,1,$E$2+5)&amp;""))</f>
        <v/>
      </c>
      <c r="W1376">
        <f>IF(ISNUMBER(SEARCH("구리독자",$V1376)),"구리독자","")</f>
        <v/>
      </c>
      <c r="X1376">
        <f>IF($R1376="","",$R1376&amp;"|"&amp;IF(OR($Q1376="인턴",ISNUMBER(SEARCH("수련교육부",$P1376))),"인턴",$P1376))</f>
        <v/>
      </c>
      <c r="Y1376">
        <f>IF($R1376="","",IF(COUNTIF(명단표[이름|과],$X1376)=1,"명단 일치",IF(AND(COUNTIF(명단표[이름|과],$X1376)=0,COUNTIF(명단표[이름],$R1376)=1),"명단 일치(이름만, 과 다름)",IF(COUNTIF(명단표[이름],$R1376)=0,IF(COUNTIF(기본자료표[이름],$R1376)&gt;0,"명단에 없음(기본자료에는 있음)","명단에 없음"),"동명이인 확인"))))</f>
        <v/>
      </c>
      <c r="Z1376">
        <f>IF($R1376="","",IF($S1376&lt;0,"⚠"&amp;INDEX('입력_구리근무자명단'!$A1374:$ZZ1374,1,$E$2+2),TEXT($S1376,"yyyy-mm-dd")))</f>
        <v/>
      </c>
      <c r="AA1376">
        <f>IF($R1376="","",IF($T1376&lt;0,"⚠"&amp;INDEX('입력_구리근무자명단'!$A1374:$ZZ1374,1,$E$2+3),TEXT($T1376,"yyyy-mm-dd")))</f>
        <v/>
      </c>
      <c r="AB1376">
        <f>AB1375+IF($R1376="",0,1)</f>
        <v/>
      </c>
      <c r="AC1376">
        <f>IF($R1376="","",$AB1376)</f>
        <v/>
      </c>
    </row>
    <row r="1377">
      <c r="O1377">
        <f>1375</f>
        <v/>
      </c>
      <c r="P1377">
        <f>IF(TRIM('입력_구리근무자명단'!$A1375&amp;"")&lt;&gt;"",TRIM('입력_구리근무자명단'!$A1375&amp;""),P1376)</f>
        <v/>
      </c>
      <c r="Q1377">
        <f>'입력_구리근무자명단'!$B1375&amp;""</f>
        <v/>
      </c>
      <c r="R1377">
        <f>IF($E$2="","",TRIM(INDEX('입력_구리근무자명단'!$A1375:$ZZ1375,1,$E$2+IF($G$2="확정",1,0))&amp;""))</f>
        <v/>
      </c>
      <c r="S1377">
        <f>IF($R1377="","",IF(INDEX('입력_구리근무자명단'!$A1375:$ZZ1375,1,$E$2+2)&amp;""="",급여기준월,IF(ISNUMBER(INDEX('입력_구리근무자명단'!$A1375:$ZZ1375,1,$E$2+2)),INDEX('입력_구리근무자명단'!$A1375:$ZZ1375,1,$E$2+2),IFERROR(DATE(VALUE(LEFT(INDEX('입력_구리근무자명단'!$A1375:$ZZ1375,1,$E$2+2),4)),VALUE(MID(INDEX('입력_구리근무자명단'!$A1375:$ZZ1375,1,$E$2+2),6,2)),VALUE(MID(INDEX('입력_구리근무자명단'!$A1375:$ZZ1375,1,$E$2+2),9,2))),-1))))</f>
        <v/>
      </c>
      <c r="T1377">
        <f>IF($R1377="","",IF(INDEX('입력_구리근무자명단'!$A1375:$ZZ1375,1,$E$2+3)&amp;""="",EOMONTH(급여기준월,0),IF(ISNUMBER(INDEX('입력_구리근무자명단'!$A1375:$ZZ1375,1,$E$2+3)),INDEX('입력_구리근무자명단'!$A1375:$ZZ1375,1,$E$2+3),IFERROR(DATE(VALUE(LEFT(INDEX('입력_구리근무자명단'!$A1375:$ZZ1375,1,$E$2+3),4)),VALUE(MID(INDEX('입력_구리근무자명단'!$A1375:$ZZ1375,1,$E$2+3),6,2)),VALUE(MID(INDEX('입력_구리근무자명단'!$A1375:$ZZ1375,1,$E$2+3),9,2))),-1))))</f>
        <v/>
      </c>
      <c r="U1377">
        <f>IF($R1377="","",IF(OR($S1377&lt;0,$T1377&lt;0),0,MAX(0,MIN($T1377,EOMONTH(급여기준월,0))-MAX($S1377,급여기준월)+1)))</f>
        <v/>
      </c>
      <c r="V1377">
        <f>IF($R1377="","",TRIM(INDEX('입력_구리근무자명단'!$A1375:$ZZ1375,1,$E$2+5)&amp;""))</f>
        <v/>
      </c>
      <c r="W1377">
        <f>IF(ISNUMBER(SEARCH("구리독자",$V1377)),"구리독자","")</f>
        <v/>
      </c>
      <c r="X1377">
        <f>IF($R1377="","",$R1377&amp;"|"&amp;IF(OR($Q1377="인턴",ISNUMBER(SEARCH("수련교육부",$P1377))),"인턴",$P1377))</f>
        <v/>
      </c>
      <c r="Y1377">
        <f>IF($R1377="","",IF(COUNTIF(명단표[이름|과],$X1377)=1,"명단 일치",IF(AND(COUNTIF(명단표[이름|과],$X1377)=0,COUNTIF(명단표[이름],$R1377)=1),"명단 일치(이름만, 과 다름)",IF(COUNTIF(명단표[이름],$R1377)=0,IF(COUNTIF(기본자료표[이름],$R1377)&gt;0,"명단에 없음(기본자료에는 있음)","명단에 없음"),"동명이인 확인"))))</f>
        <v/>
      </c>
      <c r="Z1377">
        <f>IF($R1377="","",IF($S1377&lt;0,"⚠"&amp;INDEX('입력_구리근무자명단'!$A1375:$ZZ1375,1,$E$2+2),TEXT($S1377,"yyyy-mm-dd")))</f>
        <v/>
      </c>
      <c r="AA1377">
        <f>IF($R1377="","",IF($T1377&lt;0,"⚠"&amp;INDEX('입력_구리근무자명단'!$A1375:$ZZ1375,1,$E$2+3),TEXT($T1377,"yyyy-mm-dd")))</f>
        <v/>
      </c>
      <c r="AB1377">
        <f>AB1376+IF($R1377="",0,1)</f>
        <v/>
      </c>
      <c r="AC1377">
        <f>IF($R1377="","",$AB1377)</f>
        <v/>
      </c>
    </row>
    <row r="1378">
      <c r="O1378">
        <f>1376</f>
        <v/>
      </c>
      <c r="P1378">
        <f>IF(TRIM('입력_구리근무자명단'!$A1376&amp;"")&lt;&gt;"",TRIM('입력_구리근무자명단'!$A1376&amp;""),P1377)</f>
        <v/>
      </c>
      <c r="Q1378">
        <f>'입력_구리근무자명단'!$B1376&amp;""</f>
        <v/>
      </c>
      <c r="R1378">
        <f>IF($E$2="","",TRIM(INDEX('입력_구리근무자명단'!$A1376:$ZZ1376,1,$E$2+IF($G$2="확정",1,0))&amp;""))</f>
        <v/>
      </c>
      <c r="S1378">
        <f>IF($R1378="","",IF(INDEX('입력_구리근무자명단'!$A1376:$ZZ1376,1,$E$2+2)&amp;""="",급여기준월,IF(ISNUMBER(INDEX('입력_구리근무자명단'!$A1376:$ZZ1376,1,$E$2+2)),INDEX('입력_구리근무자명단'!$A1376:$ZZ1376,1,$E$2+2),IFERROR(DATE(VALUE(LEFT(INDEX('입력_구리근무자명단'!$A1376:$ZZ1376,1,$E$2+2),4)),VALUE(MID(INDEX('입력_구리근무자명단'!$A1376:$ZZ1376,1,$E$2+2),6,2)),VALUE(MID(INDEX('입력_구리근무자명단'!$A1376:$ZZ1376,1,$E$2+2),9,2))),-1))))</f>
        <v/>
      </c>
      <c r="T1378">
        <f>IF($R1378="","",IF(INDEX('입력_구리근무자명단'!$A1376:$ZZ1376,1,$E$2+3)&amp;""="",EOMONTH(급여기준월,0),IF(ISNUMBER(INDEX('입력_구리근무자명단'!$A1376:$ZZ1376,1,$E$2+3)),INDEX('입력_구리근무자명단'!$A1376:$ZZ1376,1,$E$2+3),IFERROR(DATE(VALUE(LEFT(INDEX('입력_구리근무자명단'!$A1376:$ZZ1376,1,$E$2+3),4)),VALUE(MID(INDEX('입력_구리근무자명단'!$A1376:$ZZ1376,1,$E$2+3),6,2)),VALUE(MID(INDEX('입력_구리근무자명단'!$A1376:$ZZ1376,1,$E$2+3),9,2))),-1))))</f>
        <v/>
      </c>
      <c r="U1378">
        <f>IF($R1378="","",IF(OR($S1378&lt;0,$T1378&lt;0),0,MAX(0,MIN($T1378,EOMONTH(급여기준월,0))-MAX($S1378,급여기준월)+1)))</f>
        <v/>
      </c>
      <c r="V1378">
        <f>IF($R1378="","",TRIM(INDEX('입력_구리근무자명단'!$A1376:$ZZ1376,1,$E$2+5)&amp;""))</f>
        <v/>
      </c>
      <c r="W1378">
        <f>IF(ISNUMBER(SEARCH("구리독자",$V1378)),"구리독자","")</f>
        <v/>
      </c>
      <c r="X1378">
        <f>IF($R1378="","",$R1378&amp;"|"&amp;IF(OR($Q1378="인턴",ISNUMBER(SEARCH("수련교육부",$P1378))),"인턴",$P1378))</f>
        <v/>
      </c>
      <c r="Y1378">
        <f>IF($R1378="","",IF(COUNTIF(명단표[이름|과],$X1378)=1,"명단 일치",IF(AND(COUNTIF(명단표[이름|과],$X1378)=0,COUNTIF(명단표[이름],$R1378)=1),"명단 일치(이름만, 과 다름)",IF(COUNTIF(명단표[이름],$R1378)=0,IF(COUNTIF(기본자료표[이름],$R1378)&gt;0,"명단에 없음(기본자료에는 있음)","명단에 없음"),"동명이인 확인"))))</f>
        <v/>
      </c>
      <c r="Z1378">
        <f>IF($R1378="","",IF($S1378&lt;0,"⚠"&amp;INDEX('입력_구리근무자명단'!$A1376:$ZZ1376,1,$E$2+2),TEXT($S1378,"yyyy-mm-dd")))</f>
        <v/>
      </c>
      <c r="AA1378">
        <f>IF($R1378="","",IF($T1378&lt;0,"⚠"&amp;INDEX('입력_구리근무자명단'!$A1376:$ZZ1376,1,$E$2+3),TEXT($T1378,"yyyy-mm-dd")))</f>
        <v/>
      </c>
      <c r="AB1378">
        <f>AB1377+IF($R1378="",0,1)</f>
        <v/>
      </c>
      <c r="AC1378">
        <f>IF($R1378="","",$AB1378)</f>
        <v/>
      </c>
    </row>
    <row r="1379">
      <c r="O1379">
        <f>1377</f>
        <v/>
      </c>
      <c r="P1379">
        <f>IF(TRIM('입력_구리근무자명단'!$A1377&amp;"")&lt;&gt;"",TRIM('입력_구리근무자명단'!$A1377&amp;""),P1378)</f>
        <v/>
      </c>
      <c r="Q1379">
        <f>'입력_구리근무자명단'!$B1377&amp;""</f>
        <v/>
      </c>
      <c r="R1379">
        <f>IF($E$2="","",TRIM(INDEX('입력_구리근무자명단'!$A1377:$ZZ1377,1,$E$2+IF($G$2="확정",1,0))&amp;""))</f>
        <v/>
      </c>
      <c r="S1379">
        <f>IF($R1379="","",IF(INDEX('입력_구리근무자명단'!$A1377:$ZZ1377,1,$E$2+2)&amp;""="",급여기준월,IF(ISNUMBER(INDEX('입력_구리근무자명단'!$A1377:$ZZ1377,1,$E$2+2)),INDEX('입력_구리근무자명단'!$A1377:$ZZ1377,1,$E$2+2),IFERROR(DATE(VALUE(LEFT(INDEX('입력_구리근무자명단'!$A1377:$ZZ1377,1,$E$2+2),4)),VALUE(MID(INDEX('입력_구리근무자명단'!$A1377:$ZZ1377,1,$E$2+2),6,2)),VALUE(MID(INDEX('입력_구리근무자명단'!$A1377:$ZZ1377,1,$E$2+2),9,2))),-1))))</f>
        <v/>
      </c>
      <c r="T1379">
        <f>IF($R1379="","",IF(INDEX('입력_구리근무자명단'!$A1377:$ZZ1377,1,$E$2+3)&amp;""="",EOMONTH(급여기준월,0),IF(ISNUMBER(INDEX('입력_구리근무자명단'!$A1377:$ZZ1377,1,$E$2+3)),INDEX('입력_구리근무자명단'!$A1377:$ZZ1377,1,$E$2+3),IFERROR(DATE(VALUE(LEFT(INDEX('입력_구리근무자명단'!$A1377:$ZZ1377,1,$E$2+3),4)),VALUE(MID(INDEX('입력_구리근무자명단'!$A1377:$ZZ1377,1,$E$2+3),6,2)),VALUE(MID(INDEX('입력_구리근무자명단'!$A1377:$ZZ1377,1,$E$2+3),9,2))),-1))))</f>
        <v/>
      </c>
      <c r="U1379">
        <f>IF($R1379="","",IF(OR($S1379&lt;0,$T1379&lt;0),0,MAX(0,MIN($T1379,EOMONTH(급여기준월,0))-MAX($S1379,급여기준월)+1)))</f>
        <v/>
      </c>
      <c r="V1379">
        <f>IF($R1379="","",TRIM(INDEX('입력_구리근무자명단'!$A1377:$ZZ1377,1,$E$2+5)&amp;""))</f>
        <v/>
      </c>
      <c r="W1379">
        <f>IF(ISNUMBER(SEARCH("구리독자",$V1379)),"구리독자","")</f>
        <v/>
      </c>
      <c r="X1379">
        <f>IF($R1379="","",$R1379&amp;"|"&amp;IF(OR($Q1379="인턴",ISNUMBER(SEARCH("수련교육부",$P1379))),"인턴",$P1379))</f>
        <v/>
      </c>
      <c r="Y1379">
        <f>IF($R1379="","",IF(COUNTIF(명단표[이름|과],$X1379)=1,"명단 일치",IF(AND(COUNTIF(명단표[이름|과],$X1379)=0,COUNTIF(명단표[이름],$R1379)=1),"명단 일치(이름만, 과 다름)",IF(COUNTIF(명단표[이름],$R1379)=0,IF(COUNTIF(기본자료표[이름],$R1379)&gt;0,"명단에 없음(기본자료에는 있음)","명단에 없음"),"동명이인 확인"))))</f>
        <v/>
      </c>
      <c r="Z1379">
        <f>IF($R1379="","",IF($S1379&lt;0,"⚠"&amp;INDEX('입력_구리근무자명단'!$A1377:$ZZ1377,1,$E$2+2),TEXT($S1379,"yyyy-mm-dd")))</f>
        <v/>
      </c>
      <c r="AA1379">
        <f>IF($R1379="","",IF($T1379&lt;0,"⚠"&amp;INDEX('입력_구리근무자명단'!$A1377:$ZZ1377,1,$E$2+3),TEXT($T1379,"yyyy-mm-dd")))</f>
        <v/>
      </c>
      <c r="AB1379">
        <f>AB1378+IF($R1379="",0,1)</f>
        <v/>
      </c>
      <c r="AC1379">
        <f>IF($R1379="","",$AB1379)</f>
        <v/>
      </c>
    </row>
    <row r="1380">
      <c r="O1380">
        <f>1378</f>
        <v/>
      </c>
      <c r="P1380">
        <f>IF(TRIM('입력_구리근무자명단'!$A1378&amp;"")&lt;&gt;"",TRIM('입력_구리근무자명단'!$A1378&amp;""),P1379)</f>
        <v/>
      </c>
      <c r="Q1380">
        <f>'입력_구리근무자명단'!$B1378&amp;""</f>
        <v/>
      </c>
      <c r="R1380">
        <f>IF($E$2="","",TRIM(INDEX('입력_구리근무자명단'!$A1378:$ZZ1378,1,$E$2+IF($G$2="확정",1,0))&amp;""))</f>
        <v/>
      </c>
      <c r="S1380">
        <f>IF($R1380="","",IF(INDEX('입력_구리근무자명단'!$A1378:$ZZ1378,1,$E$2+2)&amp;""="",급여기준월,IF(ISNUMBER(INDEX('입력_구리근무자명단'!$A1378:$ZZ1378,1,$E$2+2)),INDEX('입력_구리근무자명단'!$A1378:$ZZ1378,1,$E$2+2),IFERROR(DATE(VALUE(LEFT(INDEX('입력_구리근무자명단'!$A1378:$ZZ1378,1,$E$2+2),4)),VALUE(MID(INDEX('입력_구리근무자명단'!$A1378:$ZZ1378,1,$E$2+2),6,2)),VALUE(MID(INDEX('입력_구리근무자명단'!$A1378:$ZZ1378,1,$E$2+2),9,2))),-1))))</f>
        <v/>
      </c>
      <c r="T1380">
        <f>IF($R1380="","",IF(INDEX('입력_구리근무자명단'!$A1378:$ZZ1378,1,$E$2+3)&amp;""="",EOMONTH(급여기준월,0),IF(ISNUMBER(INDEX('입력_구리근무자명단'!$A1378:$ZZ1378,1,$E$2+3)),INDEX('입력_구리근무자명단'!$A1378:$ZZ1378,1,$E$2+3),IFERROR(DATE(VALUE(LEFT(INDEX('입력_구리근무자명단'!$A1378:$ZZ1378,1,$E$2+3),4)),VALUE(MID(INDEX('입력_구리근무자명단'!$A1378:$ZZ1378,1,$E$2+3),6,2)),VALUE(MID(INDEX('입력_구리근무자명단'!$A1378:$ZZ1378,1,$E$2+3),9,2))),-1))))</f>
        <v/>
      </c>
      <c r="U1380">
        <f>IF($R1380="","",IF(OR($S1380&lt;0,$T1380&lt;0),0,MAX(0,MIN($T1380,EOMONTH(급여기준월,0))-MAX($S1380,급여기준월)+1)))</f>
        <v/>
      </c>
      <c r="V1380">
        <f>IF($R1380="","",TRIM(INDEX('입력_구리근무자명단'!$A1378:$ZZ1378,1,$E$2+5)&amp;""))</f>
        <v/>
      </c>
      <c r="W1380">
        <f>IF(ISNUMBER(SEARCH("구리독자",$V1380)),"구리독자","")</f>
        <v/>
      </c>
      <c r="X1380">
        <f>IF($R1380="","",$R1380&amp;"|"&amp;IF(OR($Q1380="인턴",ISNUMBER(SEARCH("수련교육부",$P1380))),"인턴",$P1380))</f>
        <v/>
      </c>
      <c r="Y1380">
        <f>IF($R1380="","",IF(COUNTIF(명단표[이름|과],$X1380)=1,"명단 일치",IF(AND(COUNTIF(명단표[이름|과],$X1380)=0,COUNTIF(명단표[이름],$R1380)=1),"명단 일치(이름만, 과 다름)",IF(COUNTIF(명단표[이름],$R1380)=0,IF(COUNTIF(기본자료표[이름],$R1380)&gt;0,"명단에 없음(기본자료에는 있음)","명단에 없음"),"동명이인 확인"))))</f>
        <v/>
      </c>
      <c r="Z1380">
        <f>IF($R1380="","",IF($S1380&lt;0,"⚠"&amp;INDEX('입력_구리근무자명단'!$A1378:$ZZ1378,1,$E$2+2),TEXT($S1380,"yyyy-mm-dd")))</f>
        <v/>
      </c>
      <c r="AA1380">
        <f>IF($R1380="","",IF($T1380&lt;0,"⚠"&amp;INDEX('입력_구리근무자명단'!$A1378:$ZZ1378,1,$E$2+3),TEXT($T1380,"yyyy-mm-dd")))</f>
        <v/>
      </c>
      <c r="AB1380">
        <f>AB1379+IF($R1380="",0,1)</f>
        <v/>
      </c>
      <c r="AC1380">
        <f>IF($R1380="","",$AB1380)</f>
        <v/>
      </c>
    </row>
    <row r="1381">
      <c r="O1381">
        <f>1379</f>
        <v/>
      </c>
      <c r="P1381">
        <f>IF(TRIM('입력_구리근무자명단'!$A1379&amp;"")&lt;&gt;"",TRIM('입력_구리근무자명단'!$A1379&amp;""),P1380)</f>
        <v/>
      </c>
      <c r="Q1381">
        <f>'입력_구리근무자명단'!$B1379&amp;""</f>
        <v/>
      </c>
      <c r="R1381">
        <f>IF($E$2="","",TRIM(INDEX('입력_구리근무자명단'!$A1379:$ZZ1379,1,$E$2+IF($G$2="확정",1,0))&amp;""))</f>
        <v/>
      </c>
      <c r="S1381">
        <f>IF($R1381="","",IF(INDEX('입력_구리근무자명단'!$A1379:$ZZ1379,1,$E$2+2)&amp;""="",급여기준월,IF(ISNUMBER(INDEX('입력_구리근무자명단'!$A1379:$ZZ1379,1,$E$2+2)),INDEX('입력_구리근무자명단'!$A1379:$ZZ1379,1,$E$2+2),IFERROR(DATE(VALUE(LEFT(INDEX('입력_구리근무자명단'!$A1379:$ZZ1379,1,$E$2+2),4)),VALUE(MID(INDEX('입력_구리근무자명단'!$A1379:$ZZ1379,1,$E$2+2),6,2)),VALUE(MID(INDEX('입력_구리근무자명단'!$A1379:$ZZ1379,1,$E$2+2),9,2))),-1))))</f>
        <v/>
      </c>
      <c r="T1381">
        <f>IF($R1381="","",IF(INDEX('입력_구리근무자명단'!$A1379:$ZZ1379,1,$E$2+3)&amp;""="",EOMONTH(급여기준월,0),IF(ISNUMBER(INDEX('입력_구리근무자명단'!$A1379:$ZZ1379,1,$E$2+3)),INDEX('입력_구리근무자명단'!$A1379:$ZZ1379,1,$E$2+3),IFERROR(DATE(VALUE(LEFT(INDEX('입력_구리근무자명단'!$A1379:$ZZ1379,1,$E$2+3),4)),VALUE(MID(INDEX('입력_구리근무자명단'!$A1379:$ZZ1379,1,$E$2+3),6,2)),VALUE(MID(INDEX('입력_구리근무자명단'!$A1379:$ZZ1379,1,$E$2+3),9,2))),-1))))</f>
        <v/>
      </c>
      <c r="U1381">
        <f>IF($R1381="","",IF(OR($S1381&lt;0,$T1381&lt;0),0,MAX(0,MIN($T1381,EOMONTH(급여기준월,0))-MAX($S1381,급여기준월)+1)))</f>
        <v/>
      </c>
      <c r="V1381">
        <f>IF($R1381="","",TRIM(INDEX('입력_구리근무자명단'!$A1379:$ZZ1379,1,$E$2+5)&amp;""))</f>
        <v/>
      </c>
      <c r="W1381">
        <f>IF(ISNUMBER(SEARCH("구리독자",$V1381)),"구리독자","")</f>
        <v/>
      </c>
      <c r="X1381">
        <f>IF($R1381="","",$R1381&amp;"|"&amp;IF(OR($Q1381="인턴",ISNUMBER(SEARCH("수련교육부",$P1381))),"인턴",$P1381))</f>
        <v/>
      </c>
      <c r="Y1381">
        <f>IF($R1381="","",IF(COUNTIF(명단표[이름|과],$X1381)=1,"명단 일치",IF(AND(COUNTIF(명단표[이름|과],$X1381)=0,COUNTIF(명단표[이름],$R1381)=1),"명단 일치(이름만, 과 다름)",IF(COUNTIF(명단표[이름],$R1381)=0,IF(COUNTIF(기본자료표[이름],$R1381)&gt;0,"명단에 없음(기본자료에는 있음)","명단에 없음"),"동명이인 확인"))))</f>
        <v/>
      </c>
      <c r="Z1381">
        <f>IF($R1381="","",IF($S1381&lt;0,"⚠"&amp;INDEX('입력_구리근무자명단'!$A1379:$ZZ1379,1,$E$2+2),TEXT($S1381,"yyyy-mm-dd")))</f>
        <v/>
      </c>
      <c r="AA1381">
        <f>IF($R1381="","",IF($T1381&lt;0,"⚠"&amp;INDEX('입력_구리근무자명단'!$A1379:$ZZ1379,1,$E$2+3),TEXT($T1381,"yyyy-mm-dd")))</f>
        <v/>
      </c>
      <c r="AB1381">
        <f>AB1380+IF($R1381="",0,1)</f>
        <v/>
      </c>
      <c r="AC1381">
        <f>IF($R1381="","",$AB1381)</f>
        <v/>
      </c>
    </row>
    <row r="1382">
      <c r="O1382">
        <f>1380</f>
        <v/>
      </c>
      <c r="P1382">
        <f>IF(TRIM('입력_구리근무자명단'!$A1380&amp;"")&lt;&gt;"",TRIM('입력_구리근무자명단'!$A1380&amp;""),P1381)</f>
        <v/>
      </c>
      <c r="Q1382">
        <f>'입력_구리근무자명단'!$B1380&amp;""</f>
        <v/>
      </c>
      <c r="R1382">
        <f>IF($E$2="","",TRIM(INDEX('입력_구리근무자명단'!$A1380:$ZZ1380,1,$E$2+IF($G$2="확정",1,0))&amp;""))</f>
        <v/>
      </c>
      <c r="S1382">
        <f>IF($R1382="","",IF(INDEX('입력_구리근무자명단'!$A1380:$ZZ1380,1,$E$2+2)&amp;""="",급여기준월,IF(ISNUMBER(INDEX('입력_구리근무자명단'!$A1380:$ZZ1380,1,$E$2+2)),INDEX('입력_구리근무자명단'!$A1380:$ZZ1380,1,$E$2+2),IFERROR(DATE(VALUE(LEFT(INDEX('입력_구리근무자명단'!$A1380:$ZZ1380,1,$E$2+2),4)),VALUE(MID(INDEX('입력_구리근무자명단'!$A1380:$ZZ1380,1,$E$2+2),6,2)),VALUE(MID(INDEX('입력_구리근무자명단'!$A1380:$ZZ1380,1,$E$2+2),9,2))),-1))))</f>
        <v/>
      </c>
      <c r="T1382">
        <f>IF($R1382="","",IF(INDEX('입력_구리근무자명단'!$A1380:$ZZ1380,1,$E$2+3)&amp;""="",EOMONTH(급여기준월,0),IF(ISNUMBER(INDEX('입력_구리근무자명단'!$A1380:$ZZ1380,1,$E$2+3)),INDEX('입력_구리근무자명단'!$A1380:$ZZ1380,1,$E$2+3),IFERROR(DATE(VALUE(LEFT(INDEX('입력_구리근무자명단'!$A1380:$ZZ1380,1,$E$2+3),4)),VALUE(MID(INDEX('입력_구리근무자명단'!$A1380:$ZZ1380,1,$E$2+3),6,2)),VALUE(MID(INDEX('입력_구리근무자명단'!$A1380:$ZZ1380,1,$E$2+3),9,2))),-1))))</f>
        <v/>
      </c>
      <c r="U1382">
        <f>IF($R1382="","",IF(OR($S1382&lt;0,$T1382&lt;0),0,MAX(0,MIN($T1382,EOMONTH(급여기준월,0))-MAX($S1382,급여기준월)+1)))</f>
        <v/>
      </c>
      <c r="V1382">
        <f>IF($R1382="","",TRIM(INDEX('입력_구리근무자명단'!$A1380:$ZZ1380,1,$E$2+5)&amp;""))</f>
        <v/>
      </c>
      <c r="W1382">
        <f>IF(ISNUMBER(SEARCH("구리독자",$V1382)),"구리독자","")</f>
        <v/>
      </c>
      <c r="X1382">
        <f>IF($R1382="","",$R1382&amp;"|"&amp;IF(OR($Q1382="인턴",ISNUMBER(SEARCH("수련교육부",$P1382))),"인턴",$P1382))</f>
        <v/>
      </c>
      <c r="Y1382">
        <f>IF($R1382="","",IF(COUNTIF(명단표[이름|과],$X1382)=1,"명단 일치",IF(AND(COUNTIF(명단표[이름|과],$X1382)=0,COUNTIF(명단표[이름],$R1382)=1),"명단 일치(이름만, 과 다름)",IF(COUNTIF(명단표[이름],$R1382)=0,IF(COUNTIF(기본자료표[이름],$R1382)&gt;0,"명단에 없음(기본자료에는 있음)","명단에 없음"),"동명이인 확인"))))</f>
        <v/>
      </c>
      <c r="Z1382">
        <f>IF($R1382="","",IF($S1382&lt;0,"⚠"&amp;INDEX('입력_구리근무자명단'!$A1380:$ZZ1380,1,$E$2+2),TEXT($S1382,"yyyy-mm-dd")))</f>
        <v/>
      </c>
      <c r="AA1382">
        <f>IF($R1382="","",IF($T1382&lt;0,"⚠"&amp;INDEX('입력_구리근무자명단'!$A1380:$ZZ1380,1,$E$2+3),TEXT($T1382,"yyyy-mm-dd")))</f>
        <v/>
      </c>
      <c r="AB1382">
        <f>AB1381+IF($R1382="",0,1)</f>
        <v/>
      </c>
      <c r="AC1382">
        <f>IF($R1382="","",$AB1382)</f>
        <v/>
      </c>
    </row>
    <row r="1383">
      <c r="O1383">
        <f>1381</f>
        <v/>
      </c>
      <c r="P1383">
        <f>IF(TRIM('입력_구리근무자명단'!$A1381&amp;"")&lt;&gt;"",TRIM('입력_구리근무자명단'!$A1381&amp;""),P1382)</f>
        <v/>
      </c>
      <c r="Q1383">
        <f>'입력_구리근무자명단'!$B1381&amp;""</f>
        <v/>
      </c>
      <c r="R1383">
        <f>IF($E$2="","",TRIM(INDEX('입력_구리근무자명단'!$A1381:$ZZ1381,1,$E$2+IF($G$2="확정",1,0))&amp;""))</f>
        <v/>
      </c>
      <c r="S1383">
        <f>IF($R1383="","",IF(INDEX('입력_구리근무자명단'!$A1381:$ZZ1381,1,$E$2+2)&amp;""="",급여기준월,IF(ISNUMBER(INDEX('입력_구리근무자명단'!$A1381:$ZZ1381,1,$E$2+2)),INDEX('입력_구리근무자명단'!$A1381:$ZZ1381,1,$E$2+2),IFERROR(DATE(VALUE(LEFT(INDEX('입력_구리근무자명단'!$A1381:$ZZ1381,1,$E$2+2),4)),VALUE(MID(INDEX('입력_구리근무자명단'!$A1381:$ZZ1381,1,$E$2+2),6,2)),VALUE(MID(INDEX('입력_구리근무자명단'!$A1381:$ZZ1381,1,$E$2+2),9,2))),-1))))</f>
        <v/>
      </c>
      <c r="T1383">
        <f>IF($R1383="","",IF(INDEX('입력_구리근무자명단'!$A1381:$ZZ1381,1,$E$2+3)&amp;""="",EOMONTH(급여기준월,0),IF(ISNUMBER(INDEX('입력_구리근무자명단'!$A1381:$ZZ1381,1,$E$2+3)),INDEX('입력_구리근무자명단'!$A1381:$ZZ1381,1,$E$2+3),IFERROR(DATE(VALUE(LEFT(INDEX('입력_구리근무자명단'!$A1381:$ZZ1381,1,$E$2+3),4)),VALUE(MID(INDEX('입력_구리근무자명단'!$A1381:$ZZ1381,1,$E$2+3),6,2)),VALUE(MID(INDEX('입력_구리근무자명단'!$A1381:$ZZ1381,1,$E$2+3),9,2))),-1))))</f>
        <v/>
      </c>
      <c r="U1383">
        <f>IF($R1383="","",IF(OR($S1383&lt;0,$T1383&lt;0),0,MAX(0,MIN($T1383,EOMONTH(급여기준월,0))-MAX($S1383,급여기준월)+1)))</f>
        <v/>
      </c>
      <c r="V1383">
        <f>IF($R1383="","",TRIM(INDEX('입력_구리근무자명단'!$A1381:$ZZ1381,1,$E$2+5)&amp;""))</f>
        <v/>
      </c>
      <c r="W1383">
        <f>IF(ISNUMBER(SEARCH("구리독자",$V1383)),"구리독자","")</f>
        <v/>
      </c>
      <c r="X1383">
        <f>IF($R1383="","",$R1383&amp;"|"&amp;IF(OR($Q1383="인턴",ISNUMBER(SEARCH("수련교육부",$P1383))),"인턴",$P1383))</f>
        <v/>
      </c>
      <c r="Y1383">
        <f>IF($R1383="","",IF(COUNTIF(명단표[이름|과],$X1383)=1,"명단 일치",IF(AND(COUNTIF(명단표[이름|과],$X1383)=0,COUNTIF(명단표[이름],$R1383)=1),"명단 일치(이름만, 과 다름)",IF(COUNTIF(명단표[이름],$R1383)=0,IF(COUNTIF(기본자료표[이름],$R1383)&gt;0,"명단에 없음(기본자료에는 있음)","명단에 없음"),"동명이인 확인"))))</f>
        <v/>
      </c>
      <c r="Z1383">
        <f>IF($R1383="","",IF($S1383&lt;0,"⚠"&amp;INDEX('입력_구리근무자명단'!$A1381:$ZZ1381,1,$E$2+2),TEXT($S1383,"yyyy-mm-dd")))</f>
        <v/>
      </c>
      <c r="AA1383">
        <f>IF($R1383="","",IF($T1383&lt;0,"⚠"&amp;INDEX('입력_구리근무자명단'!$A1381:$ZZ1381,1,$E$2+3),TEXT($T1383,"yyyy-mm-dd")))</f>
        <v/>
      </c>
      <c r="AB1383">
        <f>AB1382+IF($R1383="",0,1)</f>
        <v/>
      </c>
      <c r="AC1383">
        <f>IF($R1383="","",$AB1383)</f>
        <v/>
      </c>
    </row>
    <row r="1384">
      <c r="O1384">
        <f>1382</f>
        <v/>
      </c>
      <c r="P1384">
        <f>IF(TRIM('입력_구리근무자명단'!$A1382&amp;"")&lt;&gt;"",TRIM('입력_구리근무자명단'!$A1382&amp;""),P1383)</f>
        <v/>
      </c>
      <c r="Q1384">
        <f>'입력_구리근무자명단'!$B1382&amp;""</f>
        <v/>
      </c>
      <c r="R1384">
        <f>IF($E$2="","",TRIM(INDEX('입력_구리근무자명단'!$A1382:$ZZ1382,1,$E$2+IF($G$2="확정",1,0))&amp;""))</f>
        <v/>
      </c>
      <c r="S1384">
        <f>IF($R1384="","",IF(INDEX('입력_구리근무자명단'!$A1382:$ZZ1382,1,$E$2+2)&amp;""="",급여기준월,IF(ISNUMBER(INDEX('입력_구리근무자명단'!$A1382:$ZZ1382,1,$E$2+2)),INDEX('입력_구리근무자명단'!$A1382:$ZZ1382,1,$E$2+2),IFERROR(DATE(VALUE(LEFT(INDEX('입력_구리근무자명단'!$A1382:$ZZ1382,1,$E$2+2),4)),VALUE(MID(INDEX('입력_구리근무자명단'!$A1382:$ZZ1382,1,$E$2+2),6,2)),VALUE(MID(INDEX('입력_구리근무자명단'!$A1382:$ZZ1382,1,$E$2+2),9,2))),-1))))</f>
        <v/>
      </c>
      <c r="T1384">
        <f>IF($R1384="","",IF(INDEX('입력_구리근무자명단'!$A1382:$ZZ1382,1,$E$2+3)&amp;""="",EOMONTH(급여기준월,0),IF(ISNUMBER(INDEX('입력_구리근무자명단'!$A1382:$ZZ1382,1,$E$2+3)),INDEX('입력_구리근무자명단'!$A1382:$ZZ1382,1,$E$2+3),IFERROR(DATE(VALUE(LEFT(INDEX('입력_구리근무자명단'!$A1382:$ZZ1382,1,$E$2+3),4)),VALUE(MID(INDEX('입력_구리근무자명단'!$A1382:$ZZ1382,1,$E$2+3),6,2)),VALUE(MID(INDEX('입력_구리근무자명단'!$A1382:$ZZ1382,1,$E$2+3),9,2))),-1))))</f>
        <v/>
      </c>
      <c r="U1384">
        <f>IF($R1384="","",IF(OR($S1384&lt;0,$T1384&lt;0),0,MAX(0,MIN($T1384,EOMONTH(급여기준월,0))-MAX($S1384,급여기준월)+1)))</f>
        <v/>
      </c>
      <c r="V1384">
        <f>IF($R1384="","",TRIM(INDEX('입력_구리근무자명단'!$A1382:$ZZ1382,1,$E$2+5)&amp;""))</f>
        <v/>
      </c>
      <c r="W1384">
        <f>IF(ISNUMBER(SEARCH("구리독자",$V1384)),"구리독자","")</f>
        <v/>
      </c>
      <c r="X1384">
        <f>IF($R1384="","",$R1384&amp;"|"&amp;IF(OR($Q1384="인턴",ISNUMBER(SEARCH("수련교육부",$P1384))),"인턴",$P1384))</f>
        <v/>
      </c>
      <c r="Y1384">
        <f>IF($R1384="","",IF(COUNTIF(명단표[이름|과],$X1384)=1,"명단 일치",IF(AND(COUNTIF(명단표[이름|과],$X1384)=0,COUNTIF(명단표[이름],$R1384)=1),"명단 일치(이름만, 과 다름)",IF(COUNTIF(명단표[이름],$R1384)=0,IF(COUNTIF(기본자료표[이름],$R1384)&gt;0,"명단에 없음(기본자료에는 있음)","명단에 없음"),"동명이인 확인"))))</f>
        <v/>
      </c>
      <c r="Z1384">
        <f>IF($R1384="","",IF($S1384&lt;0,"⚠"&amp;INDEX('입력_구리근무자명단'!$A1382:$ZZ1382,1,$E$2+2),TEXT($S1384,"yyyy-mm-dd")))</f>
        <v/>
      </c>
      <c r="AA1384">
        <f>IF($R1384="","",IF($T1384&lt;0,"⚠"&amp;INDEX('입력_구리근무자명단'!$A1382:$ZZ1382,1,$E$2+3),TEXT($T1384,"yyyy-mm-dd")))</f>
        <v/>
      </c>
      <c r="AB1384">
        <f>AB1383+IF($R1384="",0,1)</f>
        <v/>
      </c>
      <c r="AC1384">
        <f>IF($R1384="","",$AB1384)</f>
        <v/>
      </c>
    </row>
    <row r="1385">
      <c r="O1385">
        <f>1383</f>
        <v/>
      </c>
      <c r="P1385">
        <f>IF(TRIM('입력_구리근무자명단'!$A1383&amp;"")&lt;&gt;"",TRIM('입력_구리근무자명단'!$A1383&amp;""),P1384)</f>
        <v/>
      </c>
      <c r="Q1385">
        <f>'입력_구리근무자명단'!$B1383&amp;""</f>
        <v/>
      </c>
      <c r="R1385">
        <f>IF($E$2="","",TRIM(INDEX('입력_구리근무자명단'!$A1383:$ZZ1383,1,$E$2+IF($G$2="확정",1,0))&amp;""))</f>
        <v/>
      </c>
      <c r="S1385">
        <f>IF($R1385="","",IF(INDEX('입력_구리근무자명단'!$A1383:$ZZ1383,1,$E$2+2)&amp;""="",급여기준월,IF(ISNUMBER(INDEX('입력_구리근무자명단'!$A1383:$ZZ1383,1,$E$2+2)),INDEX('입력_구리근무자명단'!$A1383:$ZZ1383,1,$E$2+2),IFERROR(DATE(VALUE(LEFT(INDEX('입력_구리근무자명단'!$A1383:$ZZ1383,1,$E$2+2),4)),VALUE(MID(INDEX('입력_구리근무자명단'!$A1383:$ZZ1383,1,$E$2+2),6,2)),VALUE(MID(INDEX('입력_구리근무자명단'!$A1383:$ZZ1383,1,$E$2+2),9,2))),-1))))</f>
        <v/>
      </c>
      <c r="T1385">
        <f>IF($R1385="","",IF(INDEX('입력_구리근무자명단'!$A1383:$ZZ1383,1,$E$2+3)&amp;""="",EOMONTH(급여기준월,0),IF(ISNUMBER(INDEX('입력_구리근무자명단'!$A1383:$ZZ1383,1,$E$2+3)),INDEX('입력_구리근무자명단'!$A1383:$ZZ1383,1,$E$2+3),IFERROR(DATE(VALUE(LEFT(INDEX('입력_구리근무자명단'!$A1383:$ZZ1383,1,$E$2+3),4)),VALUE(MID(INDEX('입력_구리근무자명단'!$A1383:$ZZ1383,1,$E$2+3),6,2)),VALUE(MID(INDEX('입력_구리근무자명단'!$A1383:$ZZ1383,1,$E$2+3),9,2))),-1))))</f>
        <v/>
      </c>
      <c r="U1385">
        <f>IF($R1385="","",IF(OR($S1385&lt;0,$T1385&lt;0),0,MAX(0,MIN($T1385,EOMONTH(급여기준월,0))-MAX($S1385,급여기준월)+1)))</f>
        <v/>
      </c>
      <c r="V1385">
        <f>IF($R1385="","",TRIM(INDEX('입력_구리근무자명단'!$A1383:$ZZ1383,1,$E$2+5)&amp;""))</f>
        <v/>
      </c>
      <c r="W1385">
        <f>IF(ISNUMBER(SEARCH("구리독자",$V1385)),"구리독자","")</f>
        <v/>
      </c>
      <c r="X1385">
        <f>IF($R1385="","",$R1385&amp;"|"&amp;IF(OR($Q1385="인턴",ISNUMBER(SEARCH("수련교육부",$P1385))),"인턴",$P1385))</f>
        <v/>
      </c>
      <c r="Y1385">
        <f>IF($R1385="","",IF(COUNTIF(명단표[이름|과],$X1385)=1,"명단 일치",IF(AND(COUNTIF(명단표[이름|과],$X1385)=0,COUNTIF(명단표[이름],$R1385)=1),"명단 일치(이름만, 과 다름)",IF(COUNTIF(명단표[이름],$R1385)=0,IF(COUNTIF(기본자료표[이름],$R1385)&gt;0,"명단에 없음(기본자료에는 있음)","명단에 없음"),"동명이인 확인"))))</f>
        <v/>
      </c>
      <c r="Z1385">
        <f>IF($R1385="","",IF($S1385&lt;0,"⚠"&amp;INDEX('입력_구리근무자명단'!$A1383:$ZZ1383,1,$E$2+2),TEXT($S1385,"yyyy-mm-dd")))</f>
        <v/>
      </c>
      <c r="AA1385">
        <f>IF($R1385="","",IF($T1385&lt;0,"⚠"&amp;INDEX('입력_구리근무자명단'!$A1383:$ZZ1383,1,$E$2+3),TEXT($T1385,"yyyy-mm-dd")))</f>
        <v/>
      </c>
      <c r="AB1385">
        <f>AB1384+IF($R1385="",0,1)</f>
        <v/>
      </c>
      <c r="AC1385">
        <f>IF($R1385="","",$AB1385)</f>
        <v/>
      </c>
    </row>
    <row r="1386">
      <c r="O1386">
        <f>1384</f>
        <v/>
      </c>
      <c r="P1386">
        <f>IF(TRIM('입력_구리근무자명단'!$A1384&amp;"")&lt;&gt;"",TRIM('입력_구리근무자명단'!$A1384&amp;""),P1385)</f>
        <v/>
      </c>
      <c r="Q1386">
        <f>'입력_구리근무자명단'!$B1384&amp;""</f>
        <v/>
      </c>
      <c r="R1386">
        <f>IF($E$2="","",TRIM(INDEX('입력_구리근무자명단'!$A1384:$ZZ1384,1,$E$2+IF($G$2="확정",1,0))&amp;""))</f>
        <v/>
      </c>
      <c r="S1386">
        <f>IF($R1386="","",IF(INDEX('입력_구리근무자명단'!$A1384:$ZZ1384,1,$E$2+2)&amp;""="",급여기준월,IF(ISNUMBER(INDEX('입력_구리근무자명단'!$A1384:$ZZ1384,1,$E$2+2)),INDEX('입력_구리근무자명단'!$A1384:$ZZ1384,1,$E$2+2),IFERROR(DATE(VALUE(LEFT(INDEX('입력_구리근무자명단'!$A1384:$ZZ1384,1,$E$2+2),4)),VALUE(MID(INDEX('입력_구리근무자명단'!$A1384:$ZZ1384,1,$E$2+2),6,2)),VALUE(MID(INDEX('입력_구리근무자명단'!$A1384:$ZZ1384,1,$E$2+2),9,2))),-1))))</f>
        <v/>
      </c>
      <c r="T1386">
        <f>IF($R1386="","",IF(INDEX('입력_구리근무자명단'!$A1384:$ZZ1384,1,$E$2+3)&amp;""="",EOMONTH(급여기준월,0),IF(ISNUMBER(INDEX('입력_구리근무자명단'!$A1384:$ZZ1384,1,$E$2+3)),INDEX('입력_구리근무자명단'!$A1384:$ZZ1384,1,$E$2+3),IFERROR(DATE(VALUE(LEFT(INDEX('입력_구리근무자명단'!$A1384:$ZZ1384,1,$E$2+3),4)),VALUE(MID(INDEX('입력_구리근무자명단'!$A1384:$ZZ1384,1,$E$2+3),6,2)),VALUE(MID(INDEX('입력_구리근무자명단'!$A1384:$ZZ1384,1,$E$2+3),9,2))),-1))))</f>
        <v/>
      </c>
      <c r="U1386">
        <f>IF($R1386="","",IF(OR($S1386&lt;0,$T1386&lt;0),0,MAX(0,MIN($T1386,EOMONTH(급여기준월,0))-MAX($S1386,급여기준월)+1)))</f>
        <v/>
      </c>
      <c r="V1386">
        <f>IF($R1386="","",TRIM(INDEX('입력_구리근무자명단'!$A1384:$ZZ1384,1,$E$2+5)&amp;""))</f>
        <v/>
      </c>
      <c r="W1386">
        <f>IF(ISNUMBER(SEARCH("구리독자",$V1386)),"구리독자","")</f>
        <v/>
      </c>
      <c r="X1386">
        <f>IF($R1386="","",$R1386&amp;"|"&amp;IF(OR($Q1386="인턴",ISNUMBER(SEARCH("수련교육부",$P1386))),"인턴",$P1386))</f>
        <v/>
      </c>
      <c r="Y1386">
        <f>IF($R1386="","",IF(COUNTIF(명단표[이름|과],$X1386)=1,"명단 일치",IF(AND(COUNTIF(명단표[이름|과],$X1386)=0,COUNTIF(명단표[이름],$R1386)=1),"명단 일치(이름만, 과 다름)",IF(COUNTIF(명단표[이름],$R1386)=0,IF(COUNTIF(기본자료표[이름],$R1386)&gt;0,"명단에 없음(기본자료에는 있음)","명단에 없음"),"동명이인 확인"))))</f>
        <v/>
      </c>
      <c r="Z1386">
        <f>IF($R1386="","",IF($S1386&lt;0,"⚠"&amp;INDEX('입력_구리근무자명단'!$A1384:$ZZ1384,1,$E$2+2),TEXT($S1386,"yyyy-mm-dd")))</f>
        <v/>
      </c>
      <c r="AA1386">
        <f>IF($R1386="","",IF($T1386&lt;0,"⚠"&amp;INDEX('입력_구리근무자명단'!$A1384:$ZZ1384,1,$E$2+3),TEXT($T1386,"yyyy-mm-dd")))</f>
        <v/>
      </c>
      <c r="AB1386">
        <f>AB1385+IF($R1386="",0,1)</f>
        <v/>
      </c>
      <c r="AC1386">
        <f>IF($R1386="","",$AB1386)</f>
        <v/>
      </c>
    </row>
    <row r="1387">
      <c r="O1387">
        <f>1385</f>
        <v/>
      </c>
      <c r="P1387">
        <f>IF(TRIM('입력_구리근무자명단'!$A1385&amp;"")&lt;&gt;"",TRIM('입력_구리근무자명단'!$A1385&amp;""),P1386)</f>
        <v/>
      </c>
      <c r="Q1387">
        <f>'입력_구리근무자명단'!$B1385&amp;""</f>
        <v/>
      </c>
      <c r="R1387">
        <f>IF($E$2="","",TRIM(INDEX('입력_구리근무자명단'!$A1385:$ZZ1385,1,$E$2+IF($G$2="확정",1,0))&amp;""))</f>
        <v/>
      </c>
      <c r="S1387">
        <f>IF($R1387="","",IF(INDEX('입력_구리근무자명단'!$A1385:$ZZ1385,1,$E$2+2)&amp;""="",급여기준월,IF(ISNUMBER(INDEX('입력_구리근무자명단'!$A1385:$ZZ1385,1,$E$2+2)),INDEX('입력_구리근무자명단'!$A1385:$ZZ1385,1,$E$2+2),IFERROR(DATE(VALUE(LEFT(INDEX('입력_구리근무자명단'!$A1385:$ZZ1385,1,$E$2+2),4)),VALUE(MID(INDEX('입력_구리근무자명단'!$A1385:$ZZ1385,1,$E$2+2),6,2)),VALUE(MID(INDEX('입력_구리근무자명단'!$A1385:$ZZ1385,1,$E$2+2),9,2))),-1))))</f>
        <v/>
      </c>
      <c r="T1387">
        <f>IF($R1387="","",IF(INDEX('입력_구리근무자명단'!$A1385:$ZZ1385,1,$E$2+3)&amp;""="",EOMONTH(급여기준월,0),IF(ISNUMBER(INDEX('입력_구리근무자명단'!$A1385:$ZZ1385,1,$E$2+3)),INDEX('입력_구리근무자명단'!$A1385:$ZZ1385,1,$E$2+3),IFERROR(DATE(VALUE(LEFT(INDEX('입력_구리근무자명단'!$A1385:$ZZ1385,1,$E$2+3),4)),VALUE(MID(INDEX('입력_구리근무자명단'!$A1385:$ZZ1385,1,$E$2+3),6,2)),VALUE(MID(INDEX('입력_구리근무자명단'!$A1385:$ZZ1385,1,$E$2+3),9,2))),-1))))</f>
        <v/>
      </c>
      <c r="U1387">
        <f>IF($R1387="","",IF(OR($S1387&lt;0,$T1387&lt;0),0,MAX(0,MIN($T1387,EOMONTH(급여기준월,0))-MAX($S1387,급여기준월)+1)))</f>
        <v/>
      </c>
      <c r="V1387">
        <f>IF($R1387="","",TRIM(INDEX('입력_구리근무자명단'!$A1385:$ZZ1385,1,$E$2+5)&amp;""))</f>
        <v/>
      </c>
      <c r="W1387">
        <f>IF(ISNUMBER(SEARCH("구리독자",$V1387)),"구리독자","")</f>
        <v/>
      </c>
      <c r="X1387">
        <f>IF($R1387="","",$R1387&amp;"|"&amp;IF(OR($Q1387="인턴",ISNUMBER(SEARCH("수련교육부",$P1387))),"인턴",$P1387))</f>
        <v/>
      </c>
      <c r="Y1387">
        <f>IF($R1387="","",IF(COUNTIF(명단표[이름|과],$X1387)=1,"명단 일치",IF(AND(COUNTIF(명단표[이름|과],$X1387)=0,COUNTIF(명단표[이름],$R1387)=1),"명단 일치(이름만, 과 다름)",IF(COUNTIF(명단표[이름],$R1387)=0,IF(COUNTIF(기본자료표[이름],$R1387)&gt;0,"명단에 없음(기본자료에는 있음)","명단에 없음"),"동명이인 확인"))))</f>
        <v/>
      </c>
      <c r="Z1387">
        <f>IF($R1387="","",IF($S1387&lt;0,"⚠"&amp;INDEX('입력_구리근무자명단'!$A1385:$ZZ1385,1,$E$2+2),TEXT($S1387,"yyyy-mm-dd")))</f>
        <v/>
      </c>
      <c r="AA1387">
        <f>IF($R1387="","",IF($T1387&lt;0,"⚠"&amp;INDEX('입력_구리근무자명단'!$A1385:$ZZ1385,1,$E$2+3),TEXT($T1387,"yyyy-mm-dd")))</f>
        <v/>
      </c>
      <c r="AB1387">
        <f>AB1386+IF($R1387="",0,1)</f>
        <v/>
      </c>
      <c r="AC1387">
        <f>IF($R1387="","",$AB1387)</f>
        <v/>
      </c>
    </row>
    <row r="1388">
      <c r="O1388">
        <f>1386</f>
        <v/>
      </c>
      <c r="P1388">
        <f>IF(TRIM('입력_구리근무자명단'!$A1386&amp;"")&lt;&gt;"",TRIM('입력_구리근무자명단'!$A1386&amp;""),P1387)</f>
        <v/>
      </c>
      <c r="Q1388">
        <f>'입력_구리근무자명단'!$B1386&amp;""</f>
        <v/>
      </c>
      <c r="R1388">
        <f>IF($E$2="","",TRIM(INDEX('입력_구리근무자명단'!$A1386:$ZZ1386,1,$E$2+IF($G$2="확정",1,0))&amp;""))</f>
        <v/>
      </c>
      <c r="S1388">
        <f>IF($R1388="","",IF(INDEX('입력_구리근무자명단'!$A1386:$ZZ1386,1,$E$2+2)&amp;""="",급여기준월,IF(ISNUMBER(INDEX('입력_구리근무자명단'!$A1386:$ZZ1386,1,$E$2+2)),INDEX('입력_구리근무자명단'!$A1386:$ZZ1386,1,$E$2+2),IFERROR(DATE(VALUE(LEFT(INDEX('입력_구리근무자명단'!$A1386:$ZZ1386,1,$E$2+2),4)),VALUE(MID(INDEX('입력_구리근무자명단'!$A1386:$ZZ1386,1,$E$2+2),6,2)),VALUE(MID(INDEX('입력_구리근무자명단'!$A1386:$ZZ1386,1,$E$2+2),9,2))),-1))))</f>
        <v/>
      </c>
      <c r="T1388">
        <f>IF($R1388="","",IF(INDEX('입력_구리근무자명단'!$A1386:$ZZ1386,1,$E$2+3)&amp;""="",EOMONTH(급여기준월,0),IF(ISNUMBER(INDEX('입력_구리근무자명단'!$A1386:$ZZ1386,1,$E$2+3)),INDEX('입력_구리근무자명단'!$A1386:$ZZ1386,1,$E$2+3),IFERROR(DATE(VALUE(LEFT(INDEX('입력_구리근무자명단'!$A1386:$ZZ1386,1,$E$2+3),4)),VALUE(MID(INDEX('입력_구리근무자명단'!$A1386:$ZZ1386,1,$E$2+3),6,2)),VALUE(MID(INDEX('입력_구리근무자명단'!$A1386:$ZZ1386,1,$E$2+3),9,2))),-1))))</f>
        <v/>
      </c>
      <c r="U1388">
        <f>IF($R1388="","",IF(OR($S1388&lt;0,$T1388&lt;0),0,MAX(0,MIN($T1388,EOMONTH(급여기준월,0))-MAX($S1388,급여기준월)+1)))</f>
        <v/>
      </c>
      <c r="V1388">
        <f>IF($R1388="","",TRIM(INDEX('입력_구리근무자명단'!$A1386:$ZZ1386,1,$E$2+5)&amp;""))</f>
        <v/>
      </c>
      <c r="W1388">
        <f>IF(ISNUMBER(SEARCH("구리독자",$V1388)),"구리독자","")</f>
        <v/>
      </c>
      <c r="X1388">
        <f>IF($R1388="","",$R1388&amp;"|"&amp;IF(OR($Q1388="인턴",ISNUMBER(SEARCH("수련교육부",$P1388))),"인턴",$P1388))</f>
        <v/>
      </c>
      <c r="Y1388">
        <f>IF($R1388="","",IF(COUNTIF(명단표[이름|과],$X1388)=1,"명단 일치",IF(AND(COUNTIF(명단표[이름|과],$X1388)=0,COUNTIF(명단표[이름],$R1388)=1),"명단 일치(이름만, 과 다름)",IF(COUNTIF(명단표[이름],$R1388)=0,IF(COUNTIF(기본자료표[이름],$R1388)&gt;0,"명단에 없음(기본자료에는 있음)","명단에 없음"),"동명이인 확인"))))</f>
        <v/>
      </c>
      <c r="Z1388">
        <f>IF($R1388="","",IF($S1388&lt;0,"⚠"&amp;INDEX('입력_구리근무자명단'!$A1386:$ZZ1386,1,$E$2+2),TEXT($S1388,"yyyy-mm-dd")))</f>
        <v/>
      </c>
      <c r="AA1388">
        <f>IF($R1388="","",IF($T1388&lt;0,"⚠"&amp;INDEX('입력_구리근무자명단'!$A1386:$ZZ1386,1,$E$2+3),TEXT($T1388,"yyyy-mm-dd")))</f>
        <v/>
      </c>
      <c r="AB1388">
        <f>AB1387+IF($R1388="",0,1)</f>
        <v/>
      </c>
      <c r="AC1388">
        <f>IF($R1388="","",$AB1388)</f>
        <v/>
      </c>
    </row>
    <row r="1389">
      <c r="O1389">
        <f>1387</f>
        <v/>
      </c>
      <c r="P1389">
        <f>IF(TRIM('입력_구리근무자명단'!$A1387&amp;"")&lt;&gt;"",TRIM('입력_구리근무자명단'!$A1387&amp;""),P1388)</f>
        <v/>
      </c>
      <c r="Q1389">
        <f>'입력_구리근무자명단'!$B1387&amp;""</f>
        <v/>
      </c>
      <c r="R1389">
        <f>IF($E$2="","",TRIM(INDEX('입력_구리근무자명단'!$A1387:$ZZ1387,1,$E$2+IF($G$2="확정",1,0))&amp;""))</f>
        <v/>
      </c>
      <c r="S1389">
        <f>IF($R1389="","",IF(INDEX('입력_구리근무자명단'!$A1387:$ZZ1387,1,$E$2+2)&amp;""="",급여기준월,IF(ISNUMBER(INDEX('입력_구리근무자명단'!$A1387:$ZZ1387,1,$E$2+2)),INDEX('입력_구리근무자명단'!$A1387:$ZZ1387,1,$E$2+2),IFERROR(DATE(VALUE(LEFT(INDEX('입력_구리근무자명단'!$A1387:$ZZ1387,1,$E$2+2),4)),VALUE(MID(INDEX('입력_구리근무자명단'!$A1387:$ZZ1387,1,$E$2+2),6,2)),VALUE(MID(INDEX('입력_구리근무자명단'!$A1387:$ZZ1387,1,$E$2+2),9,2))),-1))))</f>
        <v/>
      </c>
      <c r="T1389">
        <f>IF($R1389="","",IF(INDEX('입력_구리근무자명단'!$A1387:$ZZ1387,1,$E$2+3)&amp;""="",EOMONTH(급여기준월,0),IF(ISNUMBER(INDEX('입력_구리근무자명단'!$A1387:$ZZ1387,1,$E$2+3)),INDEX('입력_구리근무자명단'!$A1387:$ZZ1387,1,$E$2+3),IFERROR(DATE(VALUE(LEFT(INDEX('입력_구리근무자명단'!$A1387:$ZZ1387,1,$E$2+3),4)),VALUE(MID(INDEX('입력_구리근무자명단'!$A1387:$ZZ1387,1,$E$2+3),6,2)),VALUE(MID(INDEX('입력_구리근무자명단'!$A1387:$ZZ1387,1,$E$2+3),9,2))),-1))))</f>
        <v/>
      </c>
      <c r="U1389">
        <f>IF($R1389="","",IF(OR($S1389&lt;0,$T1389&lt;0),0,MAX(0,MIN($T1389,EOMONTH(급여기준월,0))-MAX($S1389,급여기준월)+1)))</f>
        <v/>
      </c>
      <c r="V1389">
        <f>IF($R1389="","",TRIM(INDEX('입력_구리근무자명단'!$A1387:$ZZ1387,1,$E$2+5)&amp;""))</f>
        <v/>
      </c>
      <c r="W1389">
        <f>IF(ISNUMBER(SEARCH("구리독자",$V1389)),"구리독자","")</f>
        <v/>
      </c>
      <c r="X1389">
        <f>IF($R1389="","",$R1389&amp;"|"&amp;IF(OR($Q1389="인턴",ISNUMBER(SEARCH("수련교육부",$P1389))),"인턴",$P1389))</f>
        <v/>
      </c>
      <c r="Y1389">
        <f>IF($R1389="","",IF(COUNTIF(명단표[이름|과],$X1389)=1,"명단 일치",IF(AND(COUNTIF(명단표[이름|과],$X1389)=0,COUNTIF(명단표[이름],$R1389)=1),"명단 일치(이름만, 과 다름)",IF(COUNTIF(명단표[이름],$R1389)=0,IF(COUNTIF(기본자료표[이름],$R1389)&gt;0,"명단에 없음(기본자료에는 있음)","명단에 없음"),"동명이인 확인"))))</f>
        <v/>
      </c>
      <c r="Z1389">
        <f>IF($R1389="","",IF($S1389&lt;0,"⚠"&amp;INDEX('입력_구리근무자명단'!$A1387:$ZZ1387,1,$E$2+2),TEXT($S1389,"yyyy-mm-dd")))</f>
        <v/>
      </c>
      <c r="AA1389">
        <f>IF($R1389="","",IF($T1389&lt;0,"⚠"&amp;INDEX('입력_구리근무자명단'!$A1387:$ZZ1387,1,$E$2+3),TEXT($T1389,"yyyy-mm-dd")))</f>
        <v/>
      </c>
      <c r="AB1389">
        <f>AB1388+IF($R1389="",0,1)</f>
        <v/>
      </c>
      <c r="AC1389">
        <f>IF($R1389="","",$AB1389)</f>
        <v/>
      </c>
    </row>
    <row r="1390">
      <c r="O1390">
        <f>1388</f>
        <v/>
      </c>
      <c r="P1390">
        <f>IF(TRIM('입력_구리근무자명단'!$A1388&amp;"")&lt;&gt;"",TRIM('입력_구리근무자명단'!$A1388&amp;""),P1389)</f>
        <v/>
      </c>
      <c r="Q1390">
        <f>'입력_구리근무자명단'!$B1388&amp;""</f>
        <v/>
      </c>
      <c r="R1390">
        <f>IF($E$2="","",TRIM(INDEX('입력_구리근무자명단'!$A1388:$ZZ1388,1,$E$2+IF($G$2="확정",1,0))&amp;""))</f>
        <v/>
      </c>
      <c r="S1390">
        <f>IF($R1390="","",IF(INDEX('입력_구리근무자명단'!$A1388:$ZZ1388,1,$E$2+2)&amp;""="",급여기준월,IF(ISNUMBER(INDEX('입력_구리근무자명단'!$A1388:$ZZ1388,1,$E$2+2)),INDEX('입력_구리근무자명단'!$A1388:$ZZ1388,1,$E$2+2),IFERROR(DATE(VALUE(LEFT(INDEX('입력_구리근무자명단'!$A1388:$ZZ1388,1,$E$2+2),4)),VALUE(MID(INDEX('입력_구리근무자명단'!$A1388:$ZZ1388,1,$E$2+2),6,2)),VALUE(MID(INDEX('입력_구리근무자명단'!$A1388:$ZZ1388,1,$E$2+2),9,2))),-1))))</f>
        <v/>
      </c>
      <c r="T1390">
        <f>IF($R1390="","",IF(INDEX('입력_구리근무자명단'!$A1388:$ZZ1388,1,$E$2+3)&amp;""="",EOMONTH(급여기준월,0),IF(ISNUMBER(INDEX('입력_구리근무자명단'!$A1388:$ZZ1388,1,$E$2+3)),INDEX('입력_구리근무자명단'!$A1388:$ZZ1388,1,$E$2+3),IFERROR(DATE(VALUE(LEFT(INDEX('입력_구리근무자명단'!$A1388:$ZZ1388,1,$E$2+3),4)),VALUE(MID(INDEX('입력_구리근무자명단'!$A1388:$ZZ1388,1,$E$2+3),6,2)),VALUE(MID(INDEX('입력_구리근무자명단'!$A1388:$ZZ1388,1,$E$2+3),9,2))),-1))))</f>
        <v/>
      </c>
      <c r="U1390">
        <f>IF($R1390="","",IF(OR($S1390&lt;0,$T1390&lt;0),0,MAX(0,MIN($T1390,EOMONTH(급여기준월,0))-MAX($S1390,급여기준월)+1)))</f>
        <v/>
      </c>
      <c r="V1390">
        <f>IF($R1390="","",TRIM(INDEX('입력_구리근무자명단'!$A1388:$ZZ1388,1,$E$2+5)&amp;""))</f>
        <v/>
      </c>
      <c r="W1390">
        <f>IF(ISNUMBER(SEARCH("구리독자",$V1390)),"구리독자","")</f>
        <v/>
      </c>
      <c r="X1390">
        <f>IF($R1390="","",$R1390&amp;"|"&amp;IF(OR($Q1390="인턴",ISNUMBER(SEARCH("수련교육부",$P1390))),"인턴",$P1390))</f>
        <v/>
      </c>
      <c r="Y1390">
        <f>IF($R1390="","",IF(COUNTIF(명단표[이름|과],$X1390)=1,"명단 일치",IF(AND(COUNTIF(명단표[이름|과],$X1390)=0,COUNTIF(명단표[이름],$R1390)=1),"명단 일치(이름만, 과 다름)",IF(COUNTIF(명단표[이름],$R1390)=0,IF(COUNTIF(기본자료표[이름],$R1390)&gt;0,"명단에 없음(기본자료에는 있음)","명단에 없음"),"동명이인 확인"))))</f>
        <v/>
      </c>
      <c r="Z1390">
        <f>IF($R1390="","",IF($S1390&lt;0,"⚠"&amp;INDEX('입력_구리근무자명단'!$A1388:$ZZ1388,1,$E$2+2),TEXT($S1390,"yyyy-mm-dd")))</f>
        <v/>
      </c>
      <c r="AA1390">
        <f>IF($R1390="","",IF($T1390&lt;0,"⚠"&amp;INDEX('입력_구리근무자명단'!$A1388:$ZZ1388,1,$E$2+3),TEXT($T1390,"yyyy-mm-dd")))</f>
        <v/>
      </c>
      <c r="AB1390">
        <f>AB1389+IF($R1390="",0,1)</f>
        <v/>
      </c>
      <c r="AC1390">
        <f>IF($R1390="","",$AB1390)</f>
        <v/>
      </c>
    </row>
    <row r="1391">
      <c r="O1391">
        <f>1389</f>
        <v/>
      </c>
      <c r="P1391">
        <f>IF(TRIM('입력_구리근무자명단'!$A1389&amp;"")&lt;&gt;"",TRIM('입력_구리근무자명단'!$A1389&amp;""),P1390)</f>
        <v/>
      </c>
      <c r="Q1391">
        <f>'입력_구리근무자명단'!$B1389&amp;""</f>
        <v/>
      </c>
      <c r="R1391">
        <f>IF($E$2="","",TRIM(INDEX('입력_구리근무자명단'!$A1389:$ZZ1389,1,$E$2+IF($G$2="확정",1,0))&amp;""))</f>
        <v/>
      </c>
      <c r="S1391">
        <f>IF($R1391="","",IF(INDEX('입력_구리근무자명단'!$A1389:$ZZ1389,1,$E$2+2)&amp;""="",급여기준월,IF(ISNUMBER(INDEX('입력_구리근무자명단'!$A1389:$ZZ1389,1,$E$2+2)),INDEX('입력_구리근무자명단'!$A1389:$ZZ1389,1,$E$2+2),IFERROR(DATE(VALUE(LEFT(INDEX('입력_구리근무자명단'!$A1389:$ZZ1389,1,$E$2+2),4)),VALUE(MID(INDEX('입력_구리근무자명단'!$A1389:$ZZ1389,1,$E$2+2),6,2)),VALUE(MID(INDEX('입력_구리근무자명단'!$A1389:$ZZ1389,1,$E$2+2),9,2))),-1))))</f>
        <v/>
      </c>
      <c r="T1391">
        <f>IF($R1391="","",IF(INDEX('입력_구리근무자명단'!$A1389:$ZZ1389,1,$E$2+3)&amp;""="",EOMONTH(급여기준월,0),IF(ISNUMBER(INDEX('입력_구리근무자명단'!$A1389:$ZZ1389,1,$E$2+3)),INDEX('입력_구리근무자명단'!$A1389:$ZZ1389,1,$E$2+3),IFERROR(DATE(VALUE(LEFT(INDEX('입력_구리근무자명단'!$A1389:$ZZ1389,1,$E$2+3),4)),VALUE(MID(INDEX('입력_구리근무자명단'!$A1389:$ZZ1389,1,$E$2+3),6,2)),VALUE(MID(INDEX('입력_구리근무자명단'!$A1389:$ZZ1389,1,$E$2+3),9,2))),-1))))</f>
        <v/>
      </c>
      <c r="U1391">
        <f>IF($R1391="","",IF(OR($S1391&lt;0,$T1391&lt;0),0,MAX(0,MIN($T1391,EOMONTH(급여기준월,0))-MAX($S1391,급여기준월)+1)))</f>
        <v/>
      </c>
      <c r="V1391">
        <f>IF($R1391="","",TRIM(INDEX('입력_구리근무자명단'!$A1389:$ZZ1389,1,$E$2+5)&amp;""))</f>
        <v/>
      </c>
      <c r="W1391">
        <f>IF(ISNUMBER(SEARCH("구리독자",$V1391)),"구리독자","")</f>
        <v/>
      </c>
      <c r="X1391">
        <f>IF($R1391="","",$R1391&amp;"|"&amp;IF(OR($Q1391="인턴",ISNUMBER(SEARCH("수련교육부",$P1391))),"인턴",$P1391))</f>
        <v/>
      </c>
      <c r="Y1391">
        <f>IF($R1391="","",IF(COUNTIF(명단표[이름|과],$X1391)=1,"명단 일치",IF(AND(COUNTIF(명단표[이름|과],$X1391)=0,COUNTIF(명단표[이름],$R1391)=1),"명단 일치(이름만, 과 다름)",IF(COUNTIF(명단표[이름],$R1391)=0,IF(COUNTIF(기본자료표[이름],$R1391)&gt;0,"명단에 없음(기본자료에는 있음)","명단에 없음"),"동명이인 확인"))))</f>
        <v/>
      </c>
      <c r="Z1391">
        <f>IF($R1391="","",IF($S1391&lt;0,"⚠"&amp;INDEX('입력_구리근무자명단'!$A1389:$ZZ1389,1,$E$2+2),TEXT($S1391,"yyyy-mm-dd")))</f>
        <v/>
      </c>
      <c r="AA1391">
        <f>IF($R1391="","",IF($T1391&lt;0,"⚠"&amp;INDEX('입력_구리근무자명단'!$A1389:$ZZ1389,1,$E$2+3),TEXT($T1391,"yyyy-mm-dd")))</f>
        <v/>
      </c>
      <c r="AB1391">
        <f>AB1390+IF($R1391="",0,1)</f>
        <v/>
      </c>
      <c r="AC1391">
        <f>IF($R1391="","",$AB1391)</f>
        <v/>
      </c>
    </row>
    <row r="1392">
      <c r="O1392">
        <f>1390</f>
        <v/>
      </c>
      <c r="P1392">
        <f>IF(TRIM('입력_구리근무자명단'!$A1390&amp;"")&lt;&gt;"",TRIM('입력_구리근무자명단'!$A1390&amp;""),P1391)</f>
        <v/>
      </c>
      <c r="Q1392">
        <f>'입력_구리근무자명단'!$B1390&amp;""</f>
        <v/>
      </c>
      <c r="R1392">
        <f>IF($E$2="","",TRIM(INDEX('입력_구리근무자명단'!$A1390:$ZZ1390,1,$E$2+IF($G$2="확정",1,0))&amp;""))</f>
        <v/>
      </c>
      <c r="S1392">
        <f>IF($R1392="","",IF(INDEX('입력_구리근무자명단'!$A1390:$ZZ1390,1,$E$2+2)&amp;""="",급여기준월,IF(ISNUMBER(INDEX('입력_구리근무자명단'!$A1390:$ZZ1390,1,$E$2+2)),INDEX('입력_구리근무자명단'!$A1390:$ZZ1390,1,$E$2+2),IFERROR(DATE(VALUE(LEFT(INDEX('입력_구리근무자명단'!$A1390:$ZZ1390,1,$E$2+2),4)),VALUE(MID(INDEX('입력_구리근무자명단'!$A1390:$ZZ1390,1,$E$2+2),6,2)),VALUE(MID(INDEX('입력_구리근무자명단'!$A1390:$ZZ1390,1,$E$2+2),9,2))),-1))))</f>
        <v/>
      </c>
      <c r="T1392">
        <f>IF($R1392="","",IF(INDEX('입력_구리근무자명단'!$A1390:$ZZ1390,1,$E$2+3)&amp;""="",EOMONTH(급여기준월,0),IF(ISNUMBER(INDEX('입력_구리근무자명단'!$A1390:$ZZ1390,1,$E$2+3)),INDEX('입력_구리근무자명단'!$A1390:$ZZ1390,1,$E$2+3),IFERROR(DATE(VALUE(LEFT(INDEX('입력_구리근무자명단'!$A1390:$ZZ1390,1,$E$2+3),4)),VALUE(MID(INDEX('입력_구리근무자명단'!$A1390:$ZZ1390,1,$E$2+3),6,2)),VALUE(MID(INDEX('입력_구리근무자명단'!$A1390:$ZZ1390,1,$E$2+3),9,2))),-1))))</f>
        <v/>
      </c>
      <c r="U1392">
        <f>IF($R1392="","",IF(OR($S1392&lt;0,$T1392&lt;0),0,MAX(0,MIN($T1392,EOMONTH(급여기준월,0))-MAX($S1392,급여기준월)+1)))</f>
        <v/>
      </c>
      <c r="V1392">
        <f>IF($R1392="","",TRIM(INDEX('입력_구리근무자명단'!$A1390:$ZZ1390,1,$E$2+5)&amp;""))</f>
        <v/>
      </c>
      <c r="W1392">
        <f>IF(ISNUMBER(SEARCH("구리독자",$V1392)),"구리독자","")</f>
        <v/>
      </c>
      <c r="X1392">
        <f>IF($R1392="","",$R1392&amp;"|"&amp;IF(OR($Q1392="인턴",ISNUMBER(SEARCH("수련교육부",$P1392))),"인턴",$P1392))</f>
        <v/>
      </c>
      <c r="Y1392">
        <f>IF($R1392="","",IF(COUNTIF(명단표[이름|과],$X1392)=1,"명단 일치",IF(AND(COUNTIF(명단표[이름|과],$X1392)=0,COUNTIF(명단표[이름],$R1392)=1),"명단 일치(이름만, 과 다름)",IF(COUNTIF(명단표[이름],$R1392)=0,IF(COUNTIF(기본자료표[이름],$R1392)&gt;0,"명단에 없음(기본자료에는 있음)","명단에 없음"),"동명이인 확인"))))</f>
        <v/>
      </c>
      <c r="Z1392">
        <f>IF($R1392="","",IF($S1392&lt;0,"⚠"&amp;INDEX('입력_구리근무자명단'!$A1390:$ZZ1390,1,$E$2+2),TEXT($S1392,"yyyy-mm-dd")))</f>
        <v/>
      </c>
      <c r="AA1392">
        <f>IF($R1392="","",IF($T1392&lt;0,"⚠"&amp;INDEX('입력_구리근무자명단'!$A1390:$ZZ1390,1,$E$2+3),TEXT($T1392,"yyyy-mm-dd")))</f>
        <v/>
      </c>
      <c r="AB1392">
        <f>AB1391+IF($R1392="",0,1)</f>
        <v/>
      </c>
      <c r="AC1392">
        <f>IF($R1392="","",$AB1392)</f>
        <v/>
      </c>
    </row>
    <row r="1393">
      <c r="O1393">
        <f>1391</f>
        <v/>
      </c>
      <c r="P1393">
        <f>IF(TRIM('입력_구리근무자명단'!$A1391&amp;"")&lt;&gt;"",TRIM('입력_구리근무자명단'!$A1391&amp;""),P1392)</f>
        <v/>
      </c>
      <c r="Q1393">
        <f>'입력_구리근무자명단'!$B1391&amp;""</f>
        <v/>
      </c>
      <c r="R1393">
        <f>IF($E$2="","",TRIM(INDEX('입력_구리근무자명단'!$A1391:$ZZ1391,1,$E$2+IF($G$2="확정",1,0))&amp;""))</f>
        <v/>
      </c>
      <c r="S1393">
        <f>IF($R1393="","",IF(INDEX('입력_구리근무자명단'!$A1391:$ZZ1391,1,$E$2+2)&amp;""="",급여기준월,IF(ISNUMBER(INDEX('입력_구리근무자명단'!$A1391:$ZZ1391,1,$E$2+2)),INDEX('입력_구리근무자명단'!$A1391:$ZZ1391,1,$E$2+2),IFERROR(DATE(VALUE(LEFT(INDEX('입력_구리근무자명단'!$A1391:$ZZ1391,1,$E$2+2),4)),VALUE(MID(INDEX('입력_구리근무자명단'!$A1391:$ZZ1391,1,$E$2+2),6,2)),VALUE(MID(INDEX('입력_구리근무자명단'!$A1391:$ZZ1391,1,$E$2+2),9,2))),-1))))</f>
        <v/>
      </c>
      <c r="T1393">
        <f>IF($R1393="","",IF(INDEX('입력_구리근무자명단'!$A1391:$ZZ1391,1,$E$2+3)&amp;""="",EOMONTH(급여기준월,0),IF(ISNUMBER(INDEX('입력_구리근무자명단'!$A1391:$ZZ1391,1,$E$2+3)),INDEX('입력_구리근무자명단'!$A1391:$ZZ1391,1,$E$2+3),IFERROR(DATE(VALUE(LEFT(INDEX('입력_구리근무자명단'!$A1391:$ZZ1391,1,$E$2+3),4)),VALUE(MID(INDEX('입력_구리근무자명단'!$A1391:$ZZ1391,1,$E$2+3),6,2)),VALUE(MID(INDEX('입력_구리근무자명단'!$A1391:$ZZ1391,1,$E$2+3),9,2))),-1))))</f>
        <v/>
      </c>
      <c r="U1393">
        <f>IF($R1393="","",IF(OR($S1393&lt;0,$T1393&lt;0),0,MAX(0,MIN($T1393,EOMONTH(급여기준월,0))-MAX($S1393,급여기준월)+1)))</f>
        <v/>
      </c>
      <c r="V1393">
        <f>IF($R1393="","",TRIM(INDEX('입력_구리근무자명단'!$A1391:$ZZ1391,1,$E$2+5)&amp;""))</f>
        <v/>
      </c>
      <c r="W1393">
        <f>IF(ISNUMBER(SEARCH("구리독자",$V1393)),"구리독자","")</f>
        <v/>
      </c>
      <c r="X1393">
        <f>IF($R1393="","",$R1393&amp;"|"&amp;IF(OR($Q1393="인턴",ISNUMBER(SEARCH("수련교육부",$P1393))),"인턴",$P1393))</f>
        <v/>
      </c>
      <c r="Y1393">
        <f>IF($R1393="","",IF(COUNTIF(명단표[이름|과],$X1393)=1,"명단 일치",IF(AND(COUNTIF(명단표[이름|과],$X1393)=0,COUNTIF(명단표[이름],$R1393)=1),"명단 일치(이름만, 과 다름)",IF(COUNTIF(명단표[이름],$R1393)=0,IF(COUNTIF(기본자료표[이름],$R1393)&gt;0,"명단에 없음(기본자료에는 있음)","명단에 없음"),"동명이인 확인"))))</f>
        <v/>
      </c>
      <c r="Z1393">
        <f>IF($R1393="","",IF($S1393&lt;0,"⚠"&amp;INDEX('입력_구리근무자명단'!$A1391:$ZZ1391,1,$E$2+2),TEXT($S1393,"yyyy-mm-dd")))</f>
        <v/>
      </c>
      <c r="AA1393">
        <f>IF($R1393="","",IF($T1393&lt;0,"⚠"&amp;INDEX('입력_구리근무자명단'!$A1391:$ZZ1391,1,$E$2+3),TEXT($T1393,"yyyy-mm-dd")))</f>
        <v/>
      </c>
      <c r="AB1393">
        <f>AB1392+IF($R1393="",0,1)</f>
        <v/>
      </c>
      <c r="AC1393">
        <f>IF($R1393="","",$AB1393)</f>
        <v/>
      </c>
    </row>
    <row r="1394">
      <c r="O1394">
        <f>1392</f>
        <v/>
      </c>
      <c r="P1394">
        <f>IF(TRIM('입력_구리근무자명단'!$A1392&amp;"")&lt;&gt;"",TRIM('입력_구리근무자명단'!$A1392&amp;""),P1393)</f>
        <v/>
      </c>
      <c r="Q1394">
        <f>'입력_구리근무자명단'!$B1392&amp;""</f>
        <v/>
      </c>
      <c r="R1394">
        <f>IF($E$2="","",TRIM(INDEX('입력_구리근무자명단'!$A1392:$ZZ1392,1,$E$2+IF($G$2="확정",1,0))&amp;""))</f>
        <v/>
      </c>
      <c r="S1394">
        <f>IF($R1394="","",IF(INDEX('입력_구리근무자명단'!$A1392:$ZZ1392,1,$E$2+2)&amp;""="",급여기준월,IF(ISNUMBER(INDEX('입력_구리근무자명단'!$A1392:$ZZ1392,1,$E$2+2)),INDEX('입력_구리근무자명단'!$A1392:$ZZ1392,1,$E$2+2),IFERROR(DATE(VALUE(LEFT(INDEX('입력_구리근무자명단'!$A1392:$ZZ1392,1,$E$2+2),4)),VALUE(MID(INDEX('입력_구리근무자명단'!$A1392:$ZZ1392,1,$E$2+2),6,2)),VALUE(MID(INDEX('입력_구리근무자명단'!$A1392:$ZZ1392,1,$E$2+2),9,2))),-1))))</f>
        <v/>
      </c>
      <c r="T1394">
        <f>IF($R1394="","",IF(INDEX('입력_구리근무자명단'!$A1392:$ZZ1392,1,$E$2+3)&amp;""="",EOMONTH(급여기준월,0),IF(ISNUMBER(INDEX('입력_구리근무자명단'!$A1392:$ZZ1392,1,$E$2+3)),INDEX('입력_구리근무자명단'!$A1392:$ZZ1392,1,$E$2+3),IFERROR(DATE(VALUE(LEFT(INDEX('입력_구리근무자명단'!$A1392:$ZZ1392,1,$E$2+3),4)),VALUE(MID(INDEX('입력_구리근무자명단'!$A1392:$ZZ1392,1,$E$2+3),6,2)),VALUE(MID(INDEX('입력_구리근무자명단'!$A1392:$ZZ1392,1,$E$2+3),9,2))),-1))))</f>
        <v/>
      </c>
      <c r="U1394">
        <f>IF($R1394="","",IF(OR($S1394&lt;0,$T1394&lt;0),0,MAX(0,MIN($T1394,EOMONTH(급여기준월,0))-MAX($S1394,급여기준월)+1)))</f>
        <v/>
      </c>
      <c r="V1394">
        <f>IF($R1394="","",TRIM(INDEX('입력_구리근무자명단'!$A1392:$ZZ1392,1,$E$2+5)&amp;""))</f>
        <v/>
      </c>
      <c r="W1394">
        <f>IF(ISNUMBER(SEARCH("구리독자",$V1394)),"구리독자","")</f>
        <v/>
      </c>
      <c r="X1394">
        <f>IF($R1394="","",$R1394&amp;"|"&amp;IF(OR($Q1394="인턴",ISNUMBER(SEARCH("수련교육부",$P1394))),"인턴",$P1394))</f>
        <v/>
      </c>
      <c r="Y1394">
        <f>IF($R1394="","",IF(COUNTIF(명단표[이름|과],$X1394)=1,"명단 일치",IF(AND(COUNTIF(명단표[이름|과],$X1394)=0,COUNTIF(명단표[이름],$R1394)=1),"명단 일치(이름만, 과 다름)",IF(COUNTIF(명단표[이름],$R1394)=0,IF(COUNTIF(기본자료표[이름],$R1394)&gt;0,"명단에 없음(기본자료에는 있음)","명단에 없음"),"동명이인 확인"))))</f>
        <v/>
      </c>
      <c r="Z1394">
        <f>IF($R1394="","",IF($S1394&lt;0,"⚠"&amp;INDEX('입력_구리근무자명단'!$A1392:$ZZ1392,1,$E$2+2),TEXT($S1394,"yyyy-mm-dd")))</f>
        <v/>
      </c>
      <c r="AA1394">
        <f>IF($R1394="","",IF($T1394&lt;0,"⚠"&amp;INDEX('입력_구리근무자명단'!$A1392:$ZZ1392,1,$E$2+3),TEXT($T1394,"yyyy-mm-dd")))</f>
        <v/>
      </c>
      <c r="AB1394">
        <f>AB1393+IF($R1394="",0,1)</f>
        <v/>
      </c>
      <c r="AC1394">
        <f>IF($R1394="","",$AB1394)</f>
        <v/>
      </c>
    </row>
    <row r="1395">
      <c r="O1395">
        <f>1393</f>
        <v/>
      </c>
      <c r="P1395">
        <f>IF(TRIM('입력_구리근무자명단'!$A1393&amp;"")&lt;&gt;"",TRIM('입력_구리근무자명단'!$A1393&amp;""),P1394)</f>
        <v/>
      </c>
      <c r="Q1395">
        <f>'입력_구리근무자명단'!$B1393&amp;""</f>
        <v/>
      </c>
      <c r="R1395">
        <f>IF($E$2="","",TRIM(INDEX('입력_구리근무자명단'!$A1393:$ZZ1393,1,$E$2+IF($G$2="확정",1,0))&amp;""))</f>
        <v/>
      </c>
      <c r="S1395">
        <f>IF($R1395="","",IF(INDEX('입력_구리근무자명단'!$A1393:$ZZ1393,1,$E$2+2)&amp;""="",급여기준월,IF(ISNUMBER(INDEX('입력_구리근무자명단'!$A1393:$ZZ1393,1,$E$2+2)),INDEX('입력_구리근무자명단'!$A1393:$ZZ1393,1,$E$2+2),IFERROR(DATE(VALUE(LEFT(INDEX('입력_구리근무자명단'!$A1393:$ZZ1393,1,$E$2+2),4)),VALUE(MID(INDEX('입력_구리근무자명단'!$A1393:$ZZ1393,1,$E$2+2),6,2)),VALUE(MID(INDEX('입력_구리근무자명단'!$A1393:$ZZ1393,1,$E$2+2),9,2))),-1))))</f>
        <v/>
      </c>
      <c r="T1395">
        <f>IF($R1395="","",IF(INDEX('입력_구리근무자명단'!$A1393:$ZZ1393,1,$E$2+3)&amp;""="",EOMONTH(급여기준월,0),IF(ISNUMBER(INDEX('입력_구리근무자명단'!$A1393:$ZZ1393,1,$E$2+3)),INDEX('입력_구리근무자명단'!$A1393:$ZZ1393,1,$E$2+3),IFERROR(DATE(VALUE(LEFT(INDEX('입력_구리근무자명단'!$A1393:$ZZ1393,1,$E$2+3),4)),VALUE(MID(INDEX('입력_구리근무자명단'!$A1393:$ZZ1393,1,$E$2+3),6,2)),VALUE(MID(INDEX('입력_구리근무자명단'!$A1393:$ZZ1393,1,$E$2+3),9,2))),-1))))</f>
        <v/>
      </c>
      <c r="U1395">
        <f>IF($R1395="","",IF(OR($S1395&lt;0,$T1395&lt;0),0,MAX(0,MIN($T1395,EOMONTH(급여기준월,0))-MAX($S1395,급여기준월)+1)))</f>
        <v/>
      </c>
      <c r="V1395">
        <f>IF($R1395="","",TRIM(INDEX('입력_구리근무자명단'!$A1393:$ZZ1393,1,$E$2+5)&amp;""))</f>
        <v/>
      </c>
      <c r="W1395">
        <f>IF(ISNUMBER(SEARCH("구리독자",$V1395)),"구리독자","")</f>
        <v/>
      </c>
      <c r="X1395">
        <f>IF($R1395="","",$R1395&amp;"|"&amp;IF(OR($Q1395="인턴",ISNUMBER(SEARCH("수련교육부",$P1395))),"인턴",$P1395))</f>
        <v/>
      </c>
      <c r="Y1395">
        <f>IF($R1395="","",IF(COUNTIF(명단표[이름|과],$X1395)=1,"명단 일치",IF(AND(COUNTIF(명단표[이름|과],$X1395)=0,COUNTIF(명단표[이름],$R1395)=1),"명단 일치(이름만, 과 다름)",IF(COUNTIF(명단표[이름],$R1395)=0,IF(COUNTIF(기본자료표[이름],$R1395)&gt;0,"명단에 없음(기본자료에는 있음)","명단에 없음"),"동명이인 확인"))))</f>
        <v/>
      </c>
      <c r="Z1395">
        <f>IF($R1395="","",IF($S1395&lt;0,"⚠"&amp;INDEX('입력_구리근무자명단'!$A1393:$ZZ1393,1,$E$2+2),TEXT($S1395,"yyyy-mm-dd")))</f>
        <v/>
      </c>
      <c r="AA1395">
        <f>IF($R1395="","",IF($T1395&lt;0,"⚠"&amp;INDEX('입력_구리근무자명단'!$A1393:$ZZ1393,1,$E$2+3),TEXT($T1395,"yyyy-mm-dd")))</f>
        <v/>
      </c>
      <c r="AB1395">
        <f>AB1394+IF($R1395="",0,1)</f>
        <v/>
      </c>
      <c r="AC1395">
        <f>IF($R1395="","",$AB1395)</f>
        <v/>
      </c>
    </row>
    <row r="1396">
      <c r="O1396">
        <f>1394</f>
        <v/>
      </c>
      <c r="P1396">
        <f>IF(TRIM('입력_구리근무자명단'!$A1394&amp;"")&lt;&gt;"",TRIM('입력_구리근무자명단'!$A1394&amp;""),P1395)</f>
        <v/>
      </c>
      <c r="Q1396">
        <f>'입력_구리근무자명단'!$B1394&amp;""</f>
        <v/>
      </c>
      <c r="R1396">
        <f>IF($E$2="","",TRIM(INDEX('입력_구리근무자명단'!$A1394:$ZZ1394,1,$E$2+IF($G$2="확정",1,0))&amp;""))</f>
        <v/>
      </c>
      <c r="S1396">
        <f>IF($R1396="","",IF(INDEX('입력_구리근무자명단'!$A1394:$ZZ1394,1,$E$2+2)&amp;""="",급여기준월,IF(ISNUMBER(INDEX('입력_구리근무자명단'!$A1394:$ZZ1394,1,$E$2+2)),INDEX('입력_구리근무자명단'!$A1394:$ZZ1394,1,$E$2+2),IFERROR(DATE(VALUE(LEFT(INDEX('입력_구리근무자명단'!$A1394:$ZZ1394,1,$E$2+2),4)),VALUE(MID(INDEX('입력_구리근무자명단'!$A1394:$ZZ1394,1,$E$2+2),6,2)),VALUE(MID(INDEX('입력_구리근무자명단'!$A1394:$ZZ1394,1,$E$2+2),9,2))),-1))))</f>
        <v/>
      </c>
      <c r="T1396">
        <f>IF($R1396="","",IF(INDEX('입력_구리근무자명단'!$A1394:$ZZ1394,1,$E$2+3)&amp;""="",EOMONTH(급여기준월,0),IF(ISNUMBER(INDEX('입력_구리근무자명단'!$A1394:$ZZ1394,1,$E$2+3)),INDEX('입력_구리근무자명단'!$A1394:$ZZ1394,1,$E$2+3),IFERROR(DATE(VALUE(LEFT(INDEX('입력_구리근무자명단'!$A1394:$ZZ1394,1,$E$2+3),4)),VALUE(MID(INDEX('입력_구리근무자명단'!$A1394:$ZZ1394,1,$E$2+3),6,2)),VALUE(MID(INDEX('입력_구리근무자명단'!$A1394:$ZZ1394,1,$E$2+3),9,2))),-1))))</f>
        <v/>
      </c>
      <c r="U1396">
        <f>IF($R1396="","",IF(OR($S1396&lt;0,$T1396&lt;0),0,MAX(0,MIN($T1396,EOMONTH(급여기준월,0))-MAX($S1396,급여기준월)+1)))</f>
        <v/>
      </c>
      <c r="V1396">
        <f>IF($R1396="","",TRIM(INDEX('입력_구리근무자명단'!$A1394:$ZZ1394,1,$E$2+5)&amp;""))</f>
        <v/>
      </c>
      <c r="W1396">
        <f>IF(ISNUMBER(SEARCH("구리독자",$V1396)),"구리독자","")</f>
        <v/>
      </c>
      <c r="X1396">
        <f>IF($R1396="","",$R1396&amp;"|"&amp;IF(OR($Q1396="인턴",ISNUMBER(SEARCH("수련교육부",$P1396))),"인턴",$P1396))</f>
        <v/>
      </c>
      <c r="Y1396">
        <f>IF($R1396="","",IF(COUNTIF(명단표[이름|과],$X1396)=1,"명단 일치",IF(AND(COUNTIF(명단표[이름|과],$X1396)=0,COUNTIF(명단표[이름],$R1396)=1),"명단 일치(이름만, 과 다름)",IF(COUNTIF(명단표[이름],$R1396)=0,IF(COUNTIF(기본자료표[이름],$R1396)&gt;0,"명단에 없음(기본자료에는 있음)","명단에 없음"),"동명이인 확인"))))</f>
        <v/>
      </c>
      <c r="Z1396">
        <f>IF($R1396="","",IF($S1396&lt;0,"⚠"&amp;INDEX('입력_구리근무자명단'!$A1394:$ZZ1394,1,$E$2+2),TEXT($S1396,"yyyy-mm-dd")))</f>
        <v/>
      </c>
      <c r="AA1396">
        <f>IF($R1396="","",IF($T1396&lt;0,"⚠"&amp;INDEX('입력_구리근무자명단'!$A1394:$ZZ1394,1,$E$2+3),TEXT($T1396,"yyyy-mm-dd")))</f>
        <v/>
      </c>
      <c r="AB1396">
        <f>AB1395+IF($R1396="",0,1)</f>
        <v/>
      </c>
      <c r="AC1396">
        <f>IF($R1396="","",$AB1396)</f>
        <v/>
      </c>
    </row>
    <row r="1397">
      <c r="O1397">
        <f>1395</f>
        <v/>
      </c>
      <c r="P1397">
        <f>IF(TRIM('입력_구리근무자명단'!$A1395&amp;"")&lt;&gt;"",TRIM('입력_구리근무자명단'!$A1395&amp;""),P1396)</f>
        <v/>
      </c>
      <c r="Q1397">
        <f>'입력_구리근무자명단'!$B1395&amp;""</f>
        <v/>
      </c>
      <c r="R1397">
        <f>IF($E$2="","",TRIM(INDEX('입력_구리근무자명단'!$A1395:$ZZ1395,1,$E$2+IF($G$2="확정",1,0))&amp;""))</f>
        <v/>
      </c>
      <c r="S1397">
        <f>IF($R1397="","",IF(INDEX('입력_구리근무자명단'!$A1395:$ZZ1395,1,$E$2+2)&amp;""="",급여기준월,IF(ISNUMBER(INDEX('입력_구리근무자명단'!$A1395:$ZZ1395,1,$E$2+2)),INDEX('입력_구리근무자명단'!$A1395:$ZZ1395,1,$E$2+2),IFERROR(DATE(VALUE(LEFT(INDEX('입력_구리근무자명단'!$A1395:$ZZ1395,1,$E$2+2),4)),VALUE(MID(INDEX('입력_구리근무자명단'!$A1395:$ZZ1395,1,$E$2+2),6,2)),VALUE(MID(INDEX('입력_구리근무자명단'!$A1395:$ZZ1395,1,$E$2+2),9,2))),-1))))</f>
        <v/>
      </c>
      <c r="T1397">
        <f>IF($R1397="","",IF(INDEX('입력_구리근무자명단'!$A1395:$ZZ1395,1,$E$2+3)&amp;""="",EOMONTH(급여기준월,0),IF(ISNUMBER(INDEX('입력_구리근무자명단'!$A1395:$ZZ1395,1,$E$2+3)),INDEX('입력_구리근무자명단'!$A1395:$ZZ1395,1,$E$2+3),IFERROR(DATE(VALUE(LEFT(INDEX('입력_구리근무자명단'!$A1395:$ZZ1395,1,$E$2+3),4)),VALUE(MID(INDEX('입력_구리근무자명단'!$A1395:$ZZ1395,1,$E$2+3),6,2)),VALUE(MID(INDEX('입력_구리근무자명단'!$A1395:$ZZ1395,1,$E$2+3),9,2))),-1))))</f>
        <v/>
      </c>
      <c r="U1397">
        <f>IF($R1397="","",IF(OR($S1397&lt;0,$T1397&lt;0),0,MAX(0,MIN($T1397,EOMONTH(급여기준월,0))-MAX($S1397,급여기준월)+1)))</f>
        <v/>
      </c>
      <c r="V1397">
        <f>IF($R1397="","",TRIM(INDEX('입력_구리근무자명단'!$A1395:$ZZ1395,1,$E$2+5)&amp;""))</f>
        <v/>
      </c>
      <c r="W1397">
        <f>IF(ISNUMBER(SEARCH("구리독자",$V1397)),"구리독자","")</f>
        <v/>
      </c>
      <c r="X1397">
        <f>IF($R1397="","",$R1397&amp;"|"&amp;IF(OR($Q1397="인턴",ISNUMBER(SEARCH("수련교육부",$P1397))),"인턴",$P1397))</f>
        <v/>
      </c>
      <c r="Y1397">
        <f>IF($R1397="","",IF(COUNTIF(명단표[이름|과],$X1397)=1,"명단 일치",IF(AND(COUNTIF(명단표[이름|과],$X1397)=0,COUNTIF(명단표[이름],$R1397)=1),"명단 일치(이름만, 과 다름)",IF(COUNTIF(명단표[이름],$R1397)=0,IF(COUNTIF(기본자료표[이름],$R1397)&gt;0,"명단에 없음(기본자료에는 있음)","명단에 없음"),"동명이인 확인"))))</f>
        <v/>
      </c>
      <c r="Z1397">
        <f>IF($R1397="","",IF($S1397&lt;0,"⚠"&amp;INDEX('입력_구리근무자명단'!$A1395:$ZZ1395,1,$E$2+2),TEXT($S1397,"yyyy-mm-dd")))</f>
        <v/>
      </c>
      <c r="AA1397">
        <f>IF($R1397="","",IF($T1397&lt;0,"⚠"&amp;INDEX('입력_구리근무자명단'!$A1395:$ZZ1395,1,$E$2+3),TEXT($T1397,"yyyy-mm-dd")))</f>
        <v/>
      </c>
      <c r="AB1397">
        <f>AB1396+IF($R1397="",0,1)</f>
        <v/>
      </c>
      <c r="AC1397">
        <f>IF($R1397="","",$AB1397)</f>
        <v/>
      </c>
    </row>
    <row r="1398">
      <c r="O1398">
        <f>1396</f>
        <v/>
      </c>
      <c r="P1398">
        <f>IF(TRIM('입력_구리근무자명단'!$A1396&amp;"")&lt;&gt;"",TRIM('입력_구리근무자명단'!$A1396&amp;""),P1397)</f>
        <v/>
      </c>
      <c r="Q1398">
        <f>'입력_구리근무자명단'!$B1396&amp;""</f>
        <v/>
      </c>
      <c r="R1398">
        <f>IF($E$2="","",TRIM(INDEX('입력_구리근무자명단'!$A1396:$ZZ1396,1,$E$2+IF($G$2="확정",1,0))&amp;""))</f>
        <v/>
      </c>
      <c r="S1398">
        <f>IF($R1398="","",IF(INDEX('입력_구리근무자명단'!$A1396:$ZZ1396,1,$E$2+2)&amp;""="",급여기준월,IF(ISNUMBER(INDEX('입력_구리근무자명단'!$A1396:$ZZ1396,1,$E$2+2)),INDEX('입력_구리근무자명단'!$A1396:$ZZ1396,1,$E$2+2),IFERROR(DATE(VALUE(LEFT(INDEX('입력_구리근무자명단'!$A1396:$ZZ1396,1,$E$2+2),4)),VALUE(MID(INDEX('입력_구리근무자명단'!$A1396:$ZZ1396,1,$E$2+2),6,2)),VALUE(MID(INDEX('입력_구리근무자명단'!$A1396:$ZZ1396,1,$E$2+2),9,2))),-1))))</f>
        <v/>
      </c>
      <c r="T1398">
        <f>IF($R1398="","",IF(INDEX('입력_구리근무자명단'!$A1396:$ZZ1396,1,$E$2+3)&amp;""="",EOMONTH(급여기준월,0),IF(ISNUMBER(INDEX('입력_구리근무자명단'!$A1396:$ZZ1396,1,$E$2+3)),INDEX('입력_구리근무자명단'!$A1396:$ZZ1396,1,$E$2+3),IFERROR(DATE(VALUE(LEFT(INDEX('입력_구리근무자명단'!$A1396:$ZZ1396,1,$E$2+3),4)),VALUE(MID(INDEX('입력_구리근무자명단'!$A1396:$ZZ1396,1,$E$2+3),6,2)),VALUE(MID(INDEX('입력_구리근무자명단'!$A1396:$ZZ1396,1,$E$2+3),9,2))),-1))))</f>
        <v/>
      </c>
      <c r="U1398">
        <f>IF($R1398="","",IF(OR($S1398&lt;0,$T1398&lt;0),0,MAX(0,MIN($T1398,EOMONTH(급여기준월,0))-MAX($S1398,급여기준월)+1)))</f>
        <v/>
      </c>
      <c r="V1398">
        <f>IF($R1398="","",TRIM(INDEX('입력_구리근무자명단'!$A1396:$ZZ1396,1,$E$2+5)&amp;""))</f>
        <v/>
      </c>
      <c r="W1398">
        <f>IF(ISNUMBER(SEARCH("구리독자",$V1398)),"구리독자","")</f>
        <v/>
      </c>
      <c r="X1398">
        <f>IF($R1398="","",$R1398&amp;"|"&amp;IF(OR($Q1398="인턴",ISNUMBER(SEARCH("수련교육부",$P1398))),"인턴",$P1398))</f>
        <v/>
      </c>
      <c r="Y1398">
        <f>IF($R1398="","",IF(COUNTIF(명단표[이름|과],$X1398)=1,"명단 일치",IF(AND(COUNTIF(명단표[이름|과],$X1398)=0,COUNTIF(명단표[이름],$R1398)=1),"명단 일치(이름만, 과 다름)",IF(COUNTIF(명단표[이름],$R1398)=0,IF(COUNTIF(기본자료표[이름],$R1398)&gt;0,"명단에 없음(기본자료에는 있음)","명단에 없음"),"동명이인 확인"))))</f>
        <v/>
      </c>
      <c r="Z1398">
        <f>IF($R1398="","",IF($S1398&lt;0,"⚠"&amp;INDEX('입력_구리근무자명단'!$A1396:$ZZ1396,1,$E$2+2),TEXT($S1398,"yyyy-mm-dd")))</f>
        <v/>
      </c>
      <c r="AA1398">
        <f>IF($R1398="","",IF($T1398&lt;0,"⚠"&amp;INDEX('입력_구리근무자명단'!$A1396:$ZZ1396,1,$E$2+3),TEXT($T1398,"yyyy-mm-dd")))</f>
        <v/>
      </c>
      <c r="AB1398">
        <f>AB1397+IF($R1398="",0,1)</f>
        <v/>
      </c>
      <c r="AC1398">
        <f>IF($R1398="","",$AB1398)</f>
        <v/>
      </c>
    </row>
    <row r="1399">
      <c r="O1399">
        <f>1397</f>
        <v/>
      </c>
      <c r="P1399">
        <f>IF(TRIM('입력_구리근무자명단'!$A1397&amp;"")&lt;&gt;"",TRIM('입력_구리근무자명단'!$A1397&amp;""),P1398)</f>
        <v/>
      </c>
      <c r="Q1399">
        <f>'입력_구리근무자명단'!$B1397&amp;""</f>
        <v/>
      </c>
      <c r="R1399">
        <f>IF($E$2="","",TRIM(INDEX('입력_구리근무자명단'!$A1397:$ZZ1397,1,$E$2+IF($G$2="확정",1,0))&amp;""))</f>
        <v/>
      </c>
      <c r="S1399">
        <f>IF($R1399="","",IF(INDEX('입력_구리근무자명단'!$A1397:$ZZ1397,1,$E$2+2)&amp;""="",급여기준월,IF(ISNUMBER(INDEX('입력_구리근무자명단'!$A1397:$ZZ1397,1,$E$2+2)),INDEX('입력_구리근무자명단'!$A1397:$ZZ1397,1,$E$2+2),IFERROR(DATE(VALUE(LEFT(INDEX('입력_구리근무자명단'!$A1397:$ZZ1397,1,$E$2+2),4)),VALUE(MID(INDEX('입력_구리근무자명단'!$A1397:$ZZ1397,1,$E$2+2),6,2)),VALUE(MID(INDEX('입력_구리근무자명단'!$A1397:$ZZ1397,1,$E$2+2),9,2))),-1))))</f>
        <v/>
      </c>
      <c r="T1399">
        <f>IF($R1399="","",IF(INDEX('입력_구리근무자명단'!$A1397:$ZZ1397,1,$E$2+3)&amp;""="",EOMONTH(급여기준월,0),IF(ISNUMBER(INDEX('입력_구리근무자명단'!$A1397:$ZZ1397,1,$E$2+3)),INDEX('입력_구리근무자명단'!$A1397:$ZZ1397,1,$E$2+3),IFERROR(DATE(VALUE(LEFT(INDEX('입력_구리근무자명단'!$A1397:$ZZ1397,1,$E$2+3),4)),VALUE(MID(INDEX('입력_구리근무자명단'!$A1397:$ZZ1397,1,$E$2+3),6,2)),VALUE(MID(INDEX('입력_구리근무자명단'!$A1397:$ZZ1397,1,$E$2+3),9,2))),-1))))</f>
        <v/>
      </c>
      <c r="U1399">
        <f>IF($R1399="","",IF(OR($S1399&lt;0,$T1399&lt;0),0,MAX(0,MIN($T1399,EOMONTH(급여기준월,0))-MAX($S1399,급여기준월)+1)))</f>
        <v/>
      </c>
      <c r="V1399">
        <f>IF($R1399="","",TRIM(INDEX('입력_구리근무자명단'!$A1397:$ZZ1397,1,$E$2+5)&amp;""))</f>
        <v/>
      </c>
      <c r="W1399">
        <f>IF(ISNUMBER(SEARCH("구리독자",$V1399)),"구리독자","")</f>
        <v/>
      </c>
      <c r="X1399">
        <f>IF($R1399="","",$R1399&amp;"|"&amp;IF(OR($Q1399="인턴",ISNUMBER(SEARCH("수련교육부",$P1399))),"인턴",$P1399))</f>
        <v/>
      </c>
      <c r="Y1399">
        <f>IF($R1399="","",IF(COUNTIF(명단표[이름|과],$X1399)=1,"명단 일치",IF(AND(COUNTIF(명단표[이름|과],$X1399)=0,COUNTIF(명단표[이름],$R1399)=1),"명단 일치(이름만, 과 다름)",IF(COUNTIF(명단표[이름],$R1399)=0,IF(COUNTIF(기본자료표[이름],$R1399)&gt;0,"명단에 없음(기본자료에는 있음)","명단에 없음"),"동명이인 확인"))))</f>
        <v/>
      </c>
      <c r="Z1399">
        <f>IF($R1399="","",IF($S1399&lt;0,"⚠"&amp;INDEX('입력_구리근무자명단'!$A1397:$ZZ1397,1,$E$2+2),TEXT($S1399,"yyyy-mm-dd")))</f>
        <v/>
      </c>
      <c r="AA1399">
        <f>IF($R1399="","",IF($T1399&lt;0,"⚠"&amp;INDEX('입력_구리근무자명단'!$A1397:$ZZ1397,1,$E$2+3),TEXT($T1399,"yyyy-mm-dd")))</f>
        <v/>
      </c>
      <c r="AB1399">
        <f>AB1398+IF($R1399="",0,1)</f>
        <v/>
      </c>
      <c r="AC1399">
        <f>IF($R1399="","",$AB1399)</f>
        <v/>
      </c>
    </row>
    <row r="1400">
      <c r="O1400">
        <f>1398</f>
        <v/>
      </c>
      <c r="P1400">
        <f>IF(TRIM('입력_구리근무자명단'!$A1398&amp;"")&lt;&gt;"",TRIM('입력_구리근무자명단'!$A1398&amp;""),P1399)</f>
        <v/>
      </c>
      <c r="Q1400">
        <f>'입력_구리근무자명단'!$B1398&amp;""</f>
        <v/>
      </c>
      <c r="R1400">
        <f>IF($E$2="","",TRIM(INDEX('입력_구리근무자명단'!$A1398:$ZZ1398,1,$E$2+IF($G$2="확정",1,0))&amp;""))</f>
        <v/>
      </c>
      <c r="S1400">
        <f>IF($R1400="","",IF(INDEX('입력_구리근무자명단'!$A1398:$ZZ1398,1,$E$2+2)&amp;""="",급여기준월,IF(ISNUMBER(INDEX('입력_구리근무자명단'!$A1398:$ZZ1398,1,$E$2+2)),INDEX('입력_구리근무자명단'!$A1398:$ZZ1398,1,$E$2+2),IFERROR(DATE(VALUE(LEFT(INDEX('입력_구리근무자명단'!$A1398:$ZZ1398,1,$E$2+2),4)),VALUE(MID(INDEX('입력_구리근무자명단'!$A1398:$ZZ1398,1,$E$2+2),6,2)),VALUE(MID(INDEX('입력_구리근무자명단'!$A1398:$ZZ1398,1,$E$2+2),9,2))),-1))))</f>
        <v/>
      </c>
      <c r="T1400">
        <f>IF($R1400="","",IF(INDEX('입력_구리근무자명단'!$A1398:$ZZ1398,1,$E$2+3)&amp;""="",EOMONTH(급여기준월,0),IF(ISNUMBER(INDEX('입력_구리근무자명단'!$A1398:$ZZ1398,1,$E$2+3)),INDEX('입력_구리근무자명단'!$A1398:$ZZ1398,1,$E$2+3),IFERROR(DATE(VALUE(LEFT(INDEX('입력_구리근무자명단'!$A1398:$ZZ1398,1,$E$2+3),4)),VALUE(MID(INDEX('입력_구리근무자명단'!$A1398:$ZZ1398,1,$E$2+3),6,2)),VALUE(MID(INDEX('입력_구리근무자명단'!$A1398:$ZZ1398,1,$E$2+3),9,2))),-1))))</f>
        <v/>
      </c>
      <c r="U1400">
        <f>IF($R1400="","",IF(OR($S1400&lt;0,$T1400&lt;0),0,MAX(0,MIN($T1400,EOMONTH(급여기준월,0))-MAX($S1400,급여기준월)+1)))</f>
        <v/>
      </c>
      <c r="V1400">
        <f>IF($R1400="","",TRIM(INDEX('입력_구리근무자명단'!$A1398:$ZZ1398,1,$E$2+5)&amp;""))</f>
        <v/>
      </c>
      <c r="W1400">
        <f>IF(ISNUMBER(SEARCH("구리독자",$V1400)),"구리독자","")</f>
        <v/>
      </c>
      <c r="X1400">
        <f>IF($R1400="","",$R1400&amp;"|"&amp;IF(OR($Q1400="인턴",ISNUMBER(SEARCH("수련교육부",$P1400))),"인턴",$P1400))</f>
        <v/>
      </c>
      <c r="Y1400">
        <f>IF($R1400="","",IF(COUNTIF(명단표[이름|과],$X1400)=1,"명단 일치",IF(AND(COUNTIF(명단표[이름|과],$X1400)=0,COUNTIF(명단표[이름],$R1400)=1),"명단 일치(이름만, 과 다름)",IF(COUNTIF(명단표[이름],$R1400)=0,IF(COUNTIF(기본자료표[이름],$R1400)&gt;0,"명단에 없음(기본자료에는 있음)","명단에 없음"),"동명이인 확인"))))</f>
        <v/>
      </c>
      <c r="Z1400">
        <f>IF($R1400="","",IF($S1400&lt;0,"⚠"&amp;INDEX('입력_구리근무자명단'!$A1398:$ZZ1398,1,$E$2+2),TEXT($S1400,"yyyy-mm-dd")))</f>
        <v/>
      </c>
      <c r="AA1400">
        <f>IF($R1400="","",IF($T1400&lt;0,"⚠"&amp;INDEX('입력_구리근무자명단'!$A1398:$ZZ1398,1,$E$2+3),TEXT($T1400,"yyyy-mm-dd")))</f>
        <v/>
      </c>
      <c r="AB1400">
        <f>AB1399+IF($R1400="",0,1)</f>
        <v/>
      </c>
      <c r="AC1400">
        <f>IF($R1400="","",$AB1400)</f>
        <v/>
      </c>
    </row>
    <row r="1401">
      <c r="O1401">
        <f>1399</f>
        <v/>
      </c>
      <c r="P1401">
        <f>IF(TRIM('입력_구리근무자명단'!$A1399&amp;"")&lt;&gt;"",TRIM('입력_구리근무자명단'!$A1399&amp;""),P1400)</f>
        <v/>
      </c>
      <c r="Q1401">
        <f>'입력_구리근무자명단'!$B1399&amp;""</f>
        <v/>
      </c>
      <c r="R1401">
        <f>IF($E$2="","",TRIM(INDEX('입력_구리근무자명단'!$A1399:$ZZ1399,1,$E$2+IF($G$2="확정",1,0))&amp;""))</f>
        <v/>
      </c>
      <c r="S1401">
        <f>IF($R1401="","",IF(INDEX('입력_구리근무자명단'!$A1399:$ZZ1399,1,$E$2+2)&amp;""="",급여기준월,IF(ISNUMBER(INDEX('입력_구리근무자명단'!$A1399:$ZZ1399,1,$E$2+2)),INDEX('입력_구리근무자명단'!$A1399:$ZZ1399,1,$E$2+2),IFERROR(DATE(VALUE(LEFT(INDEX('입력_구리근무자명단'!$A1399:$ZZ1399,1,$E$2+2),4)),VALUE(MID(INDEX('입력_구리근무자명단'!$A1399:$ZZ1399,1,$E$2+2),6,2)),VALUE(MID(INDEX('입력_구리근무자명단'!$A1399:$ZZ1399,1,$E$2+2),9,2))),-1))))</f>
        <v/>
      </c>
      <c r="T1401">
        <f>IF($R1401="","",IF(INDEX('입력_구리근무자명단'!$A1399:$ZZ1399,1,$E$2+3)&amp;""="",EOMONTH(급여기준월,0),IF(ISNUMBER(INDEX('입력_구리근무자명단'!$A1399:$ZZ1399,1,$E$2+3)),INDEX('입력_구리근무자명단'!$A1399:$ZZ1399,1,$E$2+3),IFERROR(DATE(VALUE(LEFT(INDEX('입력_구리근무자명단'!$A1399:$ZZ1399,1,$E$2+3),4)),VALUE(MID(INDEX('입력_구리근무자명단'!$A1399:$ZZ1399,1,$E$2+3),6,2)),VALUE(MID(INDEX('입력_구리근무자명단'!$A1399:$ZZ1399,1,$E$2+3),9,2))),-1))))</f>
        <v/>
      </c>
      <c r="U1401">
        <f>IF($R1401="","",IF(OR($S1401&lt;0,$T1401&lt;0),0,MAX(0,MIN($T1401,EOMONTH(급여기준월,0))-MAX($S1401,급여기준월)+1)))</f>
        <v/>
      </c>
      <c r="V1401">
        <f>IF($R1401="","",TRIM(INDEX('입력_구리근무자명단'!$A1399:$ZZ1399,1,$E$2+5)&amp;""))</f>
        <v/>
      </c>
      <c r="W1401">
        <f>IF(ISNUMBER(SEARCH("구리독자",$V1401)),"구리독자","")</f>
        <v/>
      </c>
      <c r="X1401">
        <f>IF($R1401="","",$R1401&amp;"|"&amp;IF(OR($Q1401="인턴",ISNUMBER(SEARCH("수련교육부",$P1401))),"인턴",$P1401))</f>
        <v/>
      </c>
      <c r="Y1401">
        <f>IF($R1401="","",IF(COUNTIF(명단표[이름|과],$X1401)=1,"명단 일치",IF(AND(COUNTIF(명단표[이름|과],$X1401)=0,COUNTIF(명단표[이름],$R1401)=1),"명단 일치(이름만, 과 다름)",IF(COUNTIF(명단표[이름],$R1401)=0,IF(COUNTIF(기본자료표[이름],$R1401)&gt;0,"명단에 없음(기본자료에는 있음)","명단에 없음"),"동명이인 확인"))))</f>
        <v/>
      </c>
      <c r="Z1401">
        <f>IF($R1401="","",IF($S1401&lt;0,"⚠"&amp;INDEX('입력_구리근무자명단'!$A1399:$ZZ1399,1,$E$2+2),TEXT($S1401,"yyyy-mm-dd")))</f>
        <v/>
      </c>
      <c r="AA1401">
        <f>IF($R1401="","",IF($T1401&lt;0,"⚠"&amp;INDEX('입력_구리근무자명단'!$A1399:$ZZ1399,1,$E$2+3),TEXT($T1401,"yyyy-mm-dd")))</f>
        <v/>
      </c>
      <c r="AB1401">
        <f>AB1400+IF($R1401="",0,1)</f>
        <v/>
      </c>
      <c r="AC1401">
        <f>IF($R1401="","",$AB1401)</f>
        <v/>
      </c>
    </row>
    <row r="1402">
      <c r="O1402">
        <f>1400</f>
        <v/>
      </c>
      <c r="P1402">
        <f>IF(TRIM('입력_구리근무자명단'!$A1400&amp;"")&lt;&gt;"",TRIM('입력_구리근무자명단'!$A1400&amp;""),P1401)</f>
        <v/>
      </c>
      <c r="Q1402">
        <f>'입력_구리근무자명단'!$B1400&amp;""</f>
        <v/>
      </c>
      <c r="R1402">
        <f>IF($E$2="","",TRIM(INDEX('입력_구리근무자명단'!$A1400:$ZZ1400,1,$E$2+IF($G$2="확정",1,0))&amp;""))</f>
        <v/>
      </c>
      <c r="S1402">
        <f>IF($R1402="","",IF(INDEX('입력_구리근무자명단'!$A1400:$ZZ1400,1,$E$2+2)&amp;""="",급여기준월,IF(ISNUMBER(INDEX('입력_구리근무자명단'!$A1400:$ZZ1400,1,$E$2+2)),INDEX('입력_구리근무자명단'!$A1400:$ZZ1400,1,$E$2+2),IFERROR(DATE(VALUE(LEFT(INDEX('입력_구리근무자명단'!$A1400:$ZZ1400,1,$E$2+2),4)),VALUE(MID(INDEX('입력_구리근무자명단'!$A1400:$ZZ1400,1,$E$2+2),6,2)),VALUE(MID(INDEX('입력_구리근무자명단'!$A1400:$ZZ1400,1,$E$2+2),9,2))),-1))))</f>
        <v/>
      </c>
      <c r="T1402">
        <f>IF($R1402="","",IF(INDEX('입력_구리근무자명단'!$A1400:$ZZ1400,1,$E$2+3)&amp;""="",EOMONTH(급여기준월,0),IF(ISNUMBER(INDEX('입력_구리근무자명단'!$A1400:$ZZ1400,1,$E$2+3)),INDEX('입력_구리근무자명단'!$A1400:$ZZ1400,1,$E$2+3),IFERROR(DATE(VALUE(LEFT(INDEX('입력_구리근무자명단'!$A1400:$ZZ1400,1,$E$2+3),4)),VALUE(MID(INDEX('입력_구리근무자명단'!$A1400:$ZZ1400,1,$E$2+3),6,2)),VALUE(MID(INDEX('입력_구리근무자명단'!$A1400:$ZZ1400,1,$E$2+3),9,2))),-1))))</f>
        <v/>
      </c>
      <c r="U1402">
        <f>IF($R1402="","",IF(OR($S1402&lt;0,$T1402&lt;0),0,MAX(0,MIN($T1402,EOMONTH(급여기준월,0))-MAX($S1402,급여기준월)+1)))</f>
        <v/>
      </c>
      <c r="V1402">
        <f>IF($R1402="","",TRIM(INDEX('입력_구리근무자명단'!$A1400:$ZZ1400,1,$E$2+5)&amp;""))</f>
        <v/>
      </c>
      <c r="W1402">
        <f>IF(ISNUMBER(SEARCH("구리독자",$V1402)),"구리독자","")</f>
        <v/>
      </c>
      <c r="X1402">
        <f>IF($R1402="","",$R1402&amp;"|"&amp;IF(OR($Q1402="인턴",ISNUMBER(SEARCH("수련교육부",$P1402))),"인턴",$P1402))</f>
        <v/>
      </c>
      <c r="Y1402">
        <f>IF($R1402="","",IF(COUNTIF(명단표[이름|과],$X1402)=1,"명단 일치",IF(AND(COUNTIF(명단표[이름|과],$X1402)=0,COUNTIF(명단표[이름],$R1402)=1),"명단 일치(이름만, 과 다름)",IF(COUNTIF(명단표[이름],$R1402)=0,IF(COUNTIF(기본자료표[이름],$R1402)&gt;0,"명단에 없음(기본자료에는 있음)","명단에 없음"),"동명이인 확인"))))</f>
        <v/>
      </c>
      <c r="Z1402">
        <f>IF($R1402="","",IF($S1402&lt;0,"⚠"&amp;INDEX('입력_구리근무자명단'!$A1400:$ZZ1400,1,$E$2+2),TEXT($S1402,"yyyy-mm-dd")))</f>
        <v/>
      </c>
      <c r="AA1402">
        <f>IF($R1402="","",IF($T1402&lt;0,"⚠"&amp;INDEX('입력_구리근무자명단'!$A1400:$ZZ1400,1,$E$2+3),TEXT($T1402,"yyyy-mm-dd")))</f>
        <v/>
      </c>
      <c r="AB1402">
        <f>AB1401+IF($R1402="",0,1)</f>
        <v/>
      </c>
      <c r="AC1402">
        <f>IF($R1402="","",$AB1402)</f>
        <v/>
      </c>
    </row>
    <row r="1403">
      <c r="O1403">
        <f>1401</f>
        <v/>
      </c>
      <c r="P1403">
        <f>IF(TRIM('입력_구리근무자명단'!$A1401&amp;"")&lt;&gt;"",TRIM('입력_구리근무자명단'!$A1401&amp;""),P1402)</f>
        <v/>
      </c>
      <c r="Q1403">
        <f>'입력_구리근무자명단'!$B1401&amp;""</f>
        <v/>
      </c>
      <c r="R1403">
        <f>IF($E$2="","",TRIM(INDEX('입력_구리근무자명단'!$A1401:$ZZ1401,1,$E$2+IF($G$2="확정",1,0))&amp;""))</f>
        <v/>
      </c>
      <c r="S1403">
        <f>IF($R1403="","",IF(INDEX('입력_구리근무자명단'!$A1401:$ZZ1401,1,$E$2+2)&amp;""="",급여기준월,IF(ISNUMBER(INDEX('입력_구리근무자명단'!$A1401:$ZZ1401,1,$E$2+2)),INDEX('입력_구리근무자명단'!$A1401:$ZZ1401,1,$E$2+2),IFERROR(DATE(VALUE(LEFT(INDEX('입력_구리근무자명단'!$A1401:$ZZ1401,1,$E$2+2),4)),VALUE(MID(INDEX('입력_구리근무자명단'!$A1401:$ZZ1401,1,$E$2+2),6,2)),VALUE(MID(INDEX('입력_구리근무자명단'!$A1401:$ZZ1401,1,$E$2+2),9,2))),-1))))</f>
        <v/>
      </c>
      <c r="T1403">
        <f>IF($R1403="","",IF(INDEX('입력_구리근무자명단'!$A1401:$ZZ1401,1,$E$2+3)&amp;""="",EOMONTH(급여기준월,0),IF(ISNUMBER(INDEX('입력_구리근무자명단'!$A1401:$ZZ1401,1,$E$2+3)),INDEX('입력_구리근무자명단'!$A1401:$ZZ1401,1,$E$2+3),IFERROR(DATE(VALUE(LEFT(INDEX('입력_구리근무자명단'!$A1401:$ZZ1401,1,$E$2+3),4)),VALUE(MID(INDEX('입력_구리근무자명단'!$A1401:$ZZ1401,1,$E$2+3),6,2)),VALUE(MID(INDEX('입력_구리근무자명단'!$A1401:$ZZ1401,1,$E$2+3),9,2))),-1))))</f>
        <v/>
      </c>
      <c r="U1403">
        <f>IF($R1403="","",IF(OR($S1403&lt;0,$T1403&lt;0),0,MAX(0,MIN($T1403,EOMONTH(급여기준월,0))-MAX($S1403,급여기준월)+1)))</f>
        <v/>
      </c>
      <c r="V1403">
        <f>IF($R1403="","",TRIM(INDEX('입력_구리근무자명단'!$A1401:$ZZ1401,1,$E$2+5)&amp;""))</f>
        <v/>
      </c>
      <c r="W1403">
        <f>IF(ISNUMBER(SEARCH("구리독자",$V1403)),"구리독자","")</f>
        <v/>
      </c>
      <c r="X1403">
        <f>IF($R1403="","",$R1403&amp;"|"&amp;IF(OR($Q1403="인턴",ISNUMBER(SEARCH("수련교육부",$P1403))),"인턴",$P1403))</f>
        <v/>
      </c>
      <c r="Y1403">
        <f>IF($R1403="","",IF(COUNTIF(명단표[이름|과],$X1403)=1,"명단 일치",IF(AND(COUNTIF(명단표[이름|과],$X1403)=0,COUNTIF(명단표[이름],$R1403)=1),"명단 일치(이름만, 과 다름)",IF(COUNTIF(명단표[이름],$R1403)=0,IF(COUNTIF(기본자료표[이름],$R1403)&gt;0,"명단에 없음(기본자료에는 있음)","명단에 없음"),"동명이인 확인"))))</f>
        <v/>
      </c>
      <c r="Z1403">
        <f>IF($R1403="","",IF($S1403&lt;0,"⚠"&amp;INDEX('입력_구리근무자명단'!$A1401:$ZZ1401,1,$E$2+2),TEXT($S1403,"yyyy-mm-dd")))</f>
        <v/>
      </c>
      <c r="AA1403">
        <f>IF($R1403="","",IF($T1403&lt;0,"⚠"&amp;INDEX('입력_구리근무자명단'!$A1401:$ZZ1401,1,$E$2+3),TEXT($T1403,"yyyy-mm-dd")))</f>
        <v/>
      </c>
      <c r="AB1403">
        <f>AB1402+IF($R1403="",0,1)</f>
        <v/>
      </c>
      <c r="AC1403">
        <f>IF($R1403="","",$AB1403)</f>
        <v/>
      </c>
    </row>
    <row r="1404">
      <c r="O1404">
        <f>1402</f>
        <v/>
      </c>
      <c r="P1404">
        <f>IF(TRIM('입력_구리근무자명단'!$A1402&amp;"")&lt;&gt;"",TRIM('입력_구리근무자명단'!$A1402&amp;""),P1403)</f>
        <v/>
      </c>
      <c r="Q1404">
        <f>'입력_구리근무자명단'!$B1402&amp;""</f>
        <v/>
      </c>
      <c r="R1404">
        <f>IF($E$2="","",TRIM(INDEX('입력_구리근무자명단'!$A1402:$ZZ1402,1,$E$2+IF($G$2="확정",1,0))&amp;""))</f>
        <v/>
      </c>
      <c r="S1404">
        <f>IF($R1404="","",IF(INDEX('입력_구리근무자명단'!$A1402:$ZZ1402,1,$E$2+2)&amp;""="",급여기준월,IF(ISNUMBER(INDEX('입력_구리근무자명단'!$A1402:$ZZ1402,1,$E$2+2)),INDEX('입력_구리근무자명단'!$A1402:$ZZ1402,1,$E$2+2),IFERROR(DATE(VALUE(LEFT(INDEX('입력_구리근무자명단'!$A1402:$ZZ1402,1,$E$2+2),4)),VALUE(MID(INDEX('입력_구리근무자명단'!$A1402:$ZZ1402,1,$E$2+2),6,2)),VALUE(MID(INDEX('입력_구리근무자명단'!$A1402:$ZZ1402,1,$E$2+2),9,2))),-1))))</f>
        <v/>
      </c>
      <c r="T1404">
        <f>IF($R1404="","",IF(INDEX('입력_구리근무자명단'!$A1402:$ZZ1402,1,$E$2+3)&amp;""="",EOMONTH(급여기준월,0),IF(ISNUMBER(INDEX('입력_구리근무자명단'!$A1402:$ZZ1402,1,$E$2+3)),INDEX('입력_구리근무자명단'!$A1402:$ZZ1402,1,$E$2+3),IFERROR(DATE(VALUE(LEFT(INDEX('입력_구리근무자명단'!$A1402:$ZZ1402,1,$E$2+3),4)),VALUE(MID(INDEX('입력_구리근무자명단'!$A1402:$ZZ1402,1,$E$2+3),6,2)),VALUE(MID(INDEX('입력_구리근무자명단'!$A1402:$ZZ1402,1,$E$2+3),9,2))),-1))))</f>
        <v/>
      </c>
      <c r="U1404">
        <f>IF($R1404="","",IF(OR($S1404&lt;0,$T1404&lt;0),0,MAX(0,MIN($T1404,EOMONTH(급여기준월,0))-MAX($S1404,급여기준월)+1)))</f>
        <v/>
      </c>
      <c r="V1404">
        <f>IF($R1404="","",TRIM(INDEX('입력_구리근무자명단'!$A1402:$ZZ1402,1,$E$2+5)&amp;""))</f>
        <v/>
      </c>
      <c r="W1404">
        <f>IF(ISNUMBER(SEARCH("구리독자",$V1404)),"구리독자","")</f>
        <v/>
      </c>
      <c r="X1404">
        <f>IF($R1404="","",$R1404&amp;"|"&amp;IF(OR($Q1404="인턴",ISNUMBER(SEARCH("수련교육부",$P1404))),"인턴",$P1404))</f>
        <v/>
      </c>
      <c r="Y1404">
        <f>IF($R1404="","",IF(COUNTIF(명단표[이름|과],$X1404)=1,"명단 일치",IF(AND(COUNTIF(명단표[이름|과],$X1404)=0,COUNTIF(명단표[이름],$R1404)=1),"명단 일치(이름만, 과 다름)",IF(COUNTIF(명단표[이름],$R1404)=0,IF(COUNTIF(기본자료표[이름],$R1404)&gt;0,"명단에 없음(기본자료에는 있음)","명단에 없음"),"동명이인 확인"))))</f>
        <v/>
      </c>
      <c r="Z1404">
        <f>IF($R1404="","",IF($S1404&lt;0,"⚠"&amp;INDEX('입력_구리근무자명단'!$A1402:$ZZ1402,1,$E$2+2),TEXT($S1404,"yyyy-mm-dd")))</f>
        <v/>
      </c>
      <c r="AA1404">
        <f>IF($R1404="","",IF($T1404&lt;0,"⚠"&amp;INDEX('입력_구리근무자명단'!$A1402:$ZZ1402,1,$E$2+3),TEXT($T1404,"yyyy-mm-dd")))</f>
        <v/>
      </c>
      <c r="AB1404">
        <f>AB1403+IF($R1404="",0,1)</f>
        <v/>
      </c>
      <c r="AC1404">
        <f>IF($R1404="","",$AB1404)</f>
        <v/>
      </c>
    </row>
    <row r="1405">
      <c r="O1405">
        <f>1403</f>
        <v/>
      </c>
      <c r="P1405">
        <f>IF(TRIM('입력_구리근무자명단'!$A1403&amp;"")&lt;&gt;"",TRIM('입력_구리근무자명단'!$A1403&amp;""),P1404)</f>
        <v/>
      </c>
      <c r="Q1405">
        <f>'입력_구리근무자명단'!$B1403&amp;""</f>
        <v/>
      </c>
      <c r="R1405">
        <f>IF($E$2="","",TRIM(INDEX('입력_구리근무자명단'!$A1403:$ZZ1403,1,$E$2+IF($G$2="확정",1,0))&amp;""))</f>
        <v/>
      </c>
      <c r="S1405">
        <f>IF($R1405="","",IF(INDEX('입력_구리근무자명단'!$A1403:$ZZ1403,1,$E$2+2)&amp;""="",급여기준월,IF(ISNUMBER(INDEX('입력_구리근무자명단'!$A1403:$ZZ1403,1,$E$2+2)),INDEX('입력_구리근무자명단'!$A1403:$ZZ1403,1,$E$2+2),IFERROR(DATE(VALUE(LEFT(INDEX('입력_구리근무자명단'!$A1403:$ZZ1403,1,$E$2+2),4)),VALUE(MID(INDEX('입력_구리근무자명단'!$A1403:$ZZ1403,1,$E$2+2),6,2)),VALUE(MID(INDEX('입력_구리근무자명단'!$A1403:$ZZ1403,1,$E$2+2),9,2))),-1))))</f>
        <v/>
      </c>
      <c r="T1405">
        <f>IF($R1405="","",IF(INDEX('입력_구리근무자명단'!$A1403:$ZZ1403,1,$E$2+3)&amp;""="",EOMONTH(급여기준월,0),IF(ISNUMBER(INDEX('입력_구리근무자명단'!$A1403:$ZZ1403,1,$E$2+3)),INDEX('입력_구리근무자명단'!$A1403:$ZZ1403,1,$E$2+3),IFERROR(DATE(VALUE(LEFT(INDEX('입력_구리근무자명단'!$A1403:$ZZ1403,1,$E$2+3),4)),VALUE(MID(INDEX('입력_구리근무자명단'!$A1403:$ZZ1403,1,$E$2+3),6,2)),VALUE(MID(INDEX('입력_구리근무자명단'!$A1403:$ZZ1403,1,$E$2+3),9,2))),-1))))</f>
        <v/>
      </c>
      <c r="U1405">
        <f>IF($R1405="","",IF(OR($S1405&lt;0,$T1405&lt;0),0,MAX(0,MIN($T1405,EOMONTH(급여기준월,0))-MAX($S1405,급여기준월)+1)))</f>
        <v/>
      </c>
      <c r="V1405">
        <f>IF($R1405="","",TRIM(INDEX('입력_구리근무자명단'!$A1403:$ZZ1403,1,$E$2+5)&amp;""))</f>
        <v/>
      </c>
      <c r="W1405">
        <f>IF(ISNUMBER(SEARCH("구리독자",$V1405)),"구리독자","")</f>
        <v/>
      </c>
      <c r="X1405">
        <f>IF($R1405="","",$R1405&amp;"|"&amp;IF(OR($Q1405="인턴",ISNUMBER(SEARCH("수련교육부",$P1405))),"인턴",$P1405))</f>
        <v/>
      </c>
      <c r="Y1405">
        <f>IF($R1405="","",IF(COUNTIF(명단표[이름|과],$X1405)=1,"명단 일치",IF(AND(COUNTIF(명단표[이름|과],$X1405)=0,COUNTIF(명단표[이름],$R1405)=1),"명단 일치(이름만, 과 다름)",IF(COUNTIF(명단표[이름],$R1405)=0,IF(COUNTIF(기본자료표[이름],$R1405)&gt;0,"명단에 없음(기본자료에는 있음)","명단에 없음"),"동명이인 확인"))))</f>
        <v/>
      </c>
      <c r="Z1405">
        <f>IF($R1405="","",IF($S1405&lt;0,"⚠"&amp;INDEX('입력_구리근무자명단'!$A1403:$ZZ1403,1,$E$2+2),TEXT($S1405,"yyyy-mm-dd")))</f>
        <v/>
      </c>
      <c r="AA1405">
        <f>IF($R1405="","",IF($T1405&lt;0,"⚠"&amp;INDEX('입력_구리근무자명단'!$A1403:$ZZ1403,1,$E$2+3),TEXT($T1405,"yyyy-mm-dd")))</f>
        <v/>
      </c>
      <c r="AB1405">
        <f>AB1404+IF($R1405="",0,1)</f>
        <v/>
      </c>
      <c r="AC1405">
        <f>IF($R1405="","",$AB1405)</f>
        <v/>
      </c>
    </row>
    <row r="1406">
      <c r="O1406">
        <f>1404</f>
        <v/>
      </c>
      <c r="P1406">
        <f>IF(TRIM('입력_구리근무자명단'!$A1404&amp;"")&lt;&gt;"",TRIM('입력_구리근무자명단'!$A1404&amp;""),P1405)</f>
        <v/>
      </c>
      <c r="Q1406">
        <f>'입력_구리근무자명단'!$B1404&amp;""</f>
        <v/>
      </c>
      <c r="R1406">
        <f>IF($E$2="","",TRIM(INDEX('입력_구리근무자명단'!$A1404:$ZZ1404,1,$E$2+IF($G$2="확정",1,0))&amp;""))</f>
        <v/>
      </c>
      <c r="S1406">
        <f>IF($R1406="","",IF(INDEX('입력_구리근무자명단'!$A1404:$ZZ1404,1,$E$2+2)&amp;""="",급여기준월,IF(ISNUMBER(INDEX('입력_구리근무자명단'!$A1404:$ZZ1404,1,$E$2+2)),INDEX('입력_구리근무자명단'!$A1404:$ZZ1404,1,$E$2+2),IFERROR(DATE(VALUE(LEFT(INDEX('입력_구리근무자명단'!$A1404:$ZZ1404,1,$E$2+2),4)),VALUE(MID(INDEX('입력_구리근무자명단'!$A1404:$ZZ1404,1,$E$2+2),6,2)),VALUE(MID(INDEX('입력_구리근무자명단'!$A1404:$ZZ1404,1,$E$2+2),9,2))),-1))))</f>
        <v/>
      </c>
      <c r="T1406">
        <f>IF($R1406="","",IF(INDEX('입력_구리근무자명단'!$A1404:$ZZ1404,1,$E$2+3)&amp;""="",EOMONTH(급여기준월,0),IF(ISNUMBER(INDEX('입력_구리근무자명단'!$A1404:$ZZ1404,1,$E$2+3)),INDEX('입력_구리근무자명단'!$A1404:$ZZ1404,1,$E$2+3),IFERROR(DATE(VALUE(LEFT(INDEX('입력_구리근무자명단'!$A1404:$ZZ1404,1,$E$2+3),4)),VALUE(MID(INDEX('입력_구리근무자명단'!$A1404:$ZZ1404,1,$E$2+3),6,2)),VALUE(MID(INDEX('입력_구리근무자명단'!$A1404:$ZZ1404,1,$E$2+3),9,2))),-1))))</f>
        <v/>
      </c>
      <c r="U1406">
        <f>IF($R1406="","",IF(OR($S1406&lt;0,$T1406&lt;0),0,MAX(0,MIN($T1406,EOMONTH(급여기준월,0))-MAX($S1406,급여기준월)+1)))</f>
        <v/>
      </c>
      <c r="V1406">
        <f>IF($R1406="","",TRIM(INDEX('입력_구리근무자명단'!$A1404:$ZZ1404,1,$E$2+5)&amp;""))</f>
        <v/>
      </c>
      <c r="W1406">
        <f>IF(ISNUMBER(SEARCH("구리독자",$V1406)),"구리독자","")</f>
        <v/>
      </c>
      <c r="X1406">
        <f>IF($R1406="","",$R1406&amp;"|"&amp;IF(OR($Q1406="인턴",ISNUMBER(SEARCH("수련교육부",$P1406))),"인턴",$P1406))</f>
        <v/>
      </c>
      <c r="Y1406">
        <f>IF($R1406="","",IF(COUNTIF(명단표[이름|과],$X1406)=1,"명단 일치",IF(AND(COUNTIF(명단표[이름|과],$X1406)=0,COUNTIF(명단표[이름],$R1406)=1),"명단 일치(이름만, 과 다름)",IF(COUNTIF(명단표[이름],$R1406)=0,IF(COUNTIF(기본자료표[이름],$R1406)&gt;0,"명단에 없음(기본자료에는 있음)","명단에 없음"),"동명이인 확인"))))</f>
        <v/>
      </c>
      <c r="Z1406">
        <f>IF($R1406="","",IF($S1406&lt;0,"⚠"&amp;INDEX('입력_구리근무자명단'!$A1404:$ZZ1404,1,$E$2+2),TEXT($S1406,"yyyy-mm-dd")))</f>
        <v/>
      </c>
      <c r="AA1406">
        <f>IF($R1406="","",IF($T1406&lt;0,"⚠"&amp;INDEX('입력_구리근무자명단'!$A1404:$ZZ1404,1,$E$2+3),TEXT($T1406,"yyyy-mm-dd")))</f>
        <v/>
      </c>
      <c r="AB1406">
        <f>AB1405+IF($R1406="",0,1)</f>
        <v/>
      </c>
      <c r="AC1406">
        <f>IF($R1406="","",$AB1406)</f>
        <v/>
      </c>
    </row>
    <row r="1407">
      <c r="O1407">
        <f>1405</f>
        <v/>
      </c>
      <c r="P1407">
        <f>IF(TRIM('입력_구리근무자명단'!$A1405&amp;"")&lt;&gt;"",TRIM('입력_구리근무자명단'!$A1405&amp;""),P1406)</f>
        <v/>
      </c>
      <c r="Q1407">
        <f>'입력_구리근무자명단'!$B1405&amp;""</f>
        <v/>
      </c>
      <c r="R1407">
        <f>IF($E$2="","",TRIM(INDEX('입력_구리근무자명단'!$A1405:$ZZ1405,1,$E$2+IF($G$2="확정",1,0))&amp;""))</f>
        <v/>
      </c>
      <c r="S1407">
        <f>IF($R1407="","",IF(INDEX('입력_구리근무자명단'!$A1405:$ZZ1405,1,$E$2+2)&amp;""="",급여기준월,IF(ISNUMBER(INDEX('입력_구리근무자명단'!$A1405:$ZZ1405,1,$E$2+2)),INDEX('입력_구리근무자명단'!$A1405:$ZZ1405,1,$E$2+2),IFERROR(DATE(VALUE(LEFT(INDEX('입력_구리근무자명단'!$A1405:$ZZ1405,1,$E$2+2),4)),VALUE(MID(INDEX('입력_구리근무자명단'!$A1405:$ZZ1405,1,$E$2+2),6,2)),VALUE(MID(INDEX('입력_구리근무자명단'!$A1405:$ZZ1405,1,$E$2+2),9,2))),-1))))</f>
        <v/>
      </c>
      <c r="T1407">
        <f>IF($R1407="","",IF(INDEX('입력_구리근무자명단'!$A1405:$ZZ1405,1,$E$2+3)&amp;""="",EOMONTH(급여기준월,0),IF(ISNUMBER(INDEX('입력_구리근무자명단'!$A1405:$ZZ1405,1,$E$2+3)),INDEX('입력_구리근무자명단'!$A1405:$ZZ1405,1,$E$2+3),IFERROR(DATE(VALUE(LEFT(INDEX('입력_구리근무자명단'!$A1405:$ZZ1405,1,$E$2+3),4)),VALUE(MID(INDEX('입력_구리근무자명단'!$A1405:$ZZ1405,1,$E$2+3),6,2)),VALUE(MID(INDEX('입력_구리근무자명단'!$A1405:$ZZ1405,1,$E$2+3),9,2))),-1))))</f>
        <v/>
      </c>
      <c r="U1407">
        <f>IF($R1407="","",IF(OR($S1407&lt;0,$T1407&lt;0),0,MAX(0,MIN($T1407,EOMONTH(급여기준월,0))-MAX($S1407,급여기준월)+1)))</f>
        <v/>
      </c>
      <c r="V1407">
        <f>IF($R1407="","",TRIM(INDEX('입력_구리근무자명단'!$A1405:$ZZ1405,1,$E$2+5)&amp;""))</f>
        <v/>
      </c>
      <c r="W1407">
        <f>IF(ISNUMBER(SEARCH("구리독자",$V1407)),"구리독자","")</f>
        <v/>
      </c>
      <c r="X1407">
        <f>IF($R1407="","",$R1407&amp;"|"&amp;IF(OR($Q1407="인턴",ISNUMBER(SEARCH("수련교육부",$P1407))),"인턴",$P1407))</f>
        <v/>
      </c>
      <c r="Y1407">
        <f>IF($R1407="","",IF(COUNTIF(명단표[이름|과],$X1407)=1,"명단 일치",IF(AND(COUNTIF(명단표[이름|과],$X1407)=0,COUNTIF(명단표[이름],$R1407)=1),"명단 일치(이름만, 과 다름)",IF(COUNTIF(명단표[이름],$R1407)=0,IF(COUNTIF(기본자료표[이름],$R1407)&gt;0,"명단에 없음(기본자료에는 있음)","명단에 없음"),"동명이인 확인"))))</f>
        <v/>
      </c>
      <c r="Z1407">
        <f>IF($R1407="","",IF($S1407&lt;0,"⚠"&amp;INDEX('입력_구리근무자명단'!$A1405:$ZZ1405,1,$E$2+2),TEXT($S1407,"yyyy-mm-dd")))</f>
        <v/>
      </c>
      <c r="AA1407">
        <f>IF($R1407="","",IF($T1407&lt;0,"⚠"&amp;INDEX('입력_구리근무자명단'!$A1405:$ZZ1405,1,$E$2+3),TEXT($T1407,"yyyy-mm-dd")))</f>
        <v/>
      </c>
      <c r="AB1407">
        <f>AB1406+IF($R1407="",0,1)</f>
        <v/>
      </c>
      <c r="AC1407">
        <f>IF($R1407="","",$AB1407)</f>
        <v/>
      </c>
    </row>
    <row r="1408">
      <c r="O1408">
        <f>1406</f>
        <v/>
      </c>
      <c r="P1408">
        <f>IF(TRIM('입력_구리근무자명단'!$A1406&amp;"")&lt;&gt;"",TRIM('입력_구리근무자명단'!$A1406&amp;""),P1407)</f>
        <v/>
      </c>
      <c r="Q1408">
        <f>'입력_구리근무자명단'!$B1406&amp;""</f>
        <v/>
      </c>
      <c r="R1408">
        <f>IF($E$2="","",TRIM(INDEX('입력_구리근무자명단'!$A1406:$ZZ1406,1,$E$2+IF($G$2="확정",1,0))&amp;""))</f>
        <v/>
      </c>
      <c r="S1408">
        <f>IF($R1408="","",IF(INDEX('입력_구리근무자명단'!$A1406:$ZZ1406,1,$E$2+2)&amp;""="",급여기준월,IF(ISNUMBER(INDEX('입력_구리근무자명단'!$A1406:$ZZ1406,1,$E$2+2)),INDEX('입력_구리근무자명단'!$A1406:$ZZ1406,1,$E$2+2),IFERROR(DATE(VALUE(LEFT(INDEX('입력_구리근무자명단'!$A1406:$ZZ1406,1,$E$2+2),4)),VALUE(MID(INDEX('입력_구리근무자명단'!$A1406:$ZZ1406,1,$E$2+2),6,2)),VALUE(MID(INDEX('입력_구리근무자명단'!$A1406:$ZZ1406,1,$E$2+2),9,2))),-1))))</f>
        <v/>
      </c>
      <c r="T1408">
        <f>IF($R1408="","",IF(INDEX('입력_구리근무자명단'!$A1406:$ZZ1406,1,$E$2+3)&amp;""="",EOMONTH(급여기준월,0),IF(ISNUMBER(INDEX('입력_구리근무자명단'!$A1406:$ZZ1406,1,$E$2+3)),INDEX('입력_구리근무자명단'!$A1406:$ZZ1406,1,$E$2+3),IFERROR(DATE(VALUE(LEFT(INDEX('입력_구리근무자명단'!$A1406:$ZZ1406,1,$E$2+3),4)),VALUE(MID(INDEX('입력_구리근무자명단'!$A1406:$ZZ1406,1,$E$2+3),6,2)),VALUE(MID(INDEX('입력_구리근무자명단'!$A1406:$ZZ1406,1,$E$2+3),9,2))),-1))))</f>
        <v/>
      </c>
      <c r="U1408">
        <f>IF($R1408="","",IF(OR($S1408&lt;0,$T1408&lt;0),0,MAX(0,MIN($T1408,EOMONTH(급여기준월,0))-MAX($S1408,급여기준월)+1)))</f>
        <v/>
      </c>
      <c r="V1408">
        <f>IF($R1408="","",TRIM(INDEX('입력_구리근무자명단'!$A1406:$ZZ1406,1,$E$2+5)&amp;""))</f>
        <v/>
      </c>
      <c r="W1408">
        <f>IF(ISNUMBER(SEARCH("구리독자",$V1408)),"구리독자","")</f>
        <v/>
      </c>
      <c r="X1408">
        <f>IF($R1408="","",$R1408&amp;"|"&amp;IF(OR($Q1408="인턴",ISNUMBER(SEARCH("수련교육부",$P1408))),"인턴",$P1408))</f>
        <v/>
      </c>
      <c r="Y1408">
        <f>IF($R1408="","",IF(COUNTIF(명단표[이름|과],$X1408)=1,"명단 일치",IF(AND(COUNTIF(명단표[이름|과],$X1408)=0,COUNTIF(명단표[이름],$R1408)=1),"명단 일치(이름만, 과 다름)",IF(COUNTIF(명단표[이름],$R1408)=0,IF(COUNTIF(기본자료표[이름],$R1408)&gt;0,"명단에 없음(기본자료에는 있음)","명단에 없음"),"동명이인 확인"))))</f>
        <v/>
      </c>
      <c r="Z1408">
        <f>IF($R1408="","",IF($S1408&lt;0,"⚠"&amp;INDEX('입력_구리근무자명단'!$A1406:$ZZ1406,1,$E$2+2),TEXT($S1408,"yyyy-mm-dd")))</f>
        <v/>
      </c>
      <c r="AA1408">
        <f>IF($R1408="","",IF($T1408&lt;0,"⚠"&amp;INDEX('입력_구리근무자명단'!$A1406:$ZZ1406,1,$E$2+3),TEXT($T1408,"yyyy-mm-dd")))</f>
        <v/>
      </c>
      <c r="AB1408">
        <f>AB1407+IF($R1408="",0,1)</f>
        <v/>
      </c>
      <c r="AC1408">
        <f>IF($R1408="","",$AB1408)</f>
        <v/>
      </c>
    </row>
    <row r="1409">
      <c r="O1409">
        <f>1407</f>
        <v/>
      </c>
      <c r="P1409">
        <f>IF(TRIM('입력_구리근무자명단'!$A1407&amp;"")&lt;&gt;"",TRIM('입력_구리근무자명단'!$A1407&amp;""),P1408)</f>
        <v/>
      </c>
      <c r="Q1409">
        <f>'입력_구리근무자명단'!$B1407&amp;""</f>
        <v/>
      </c>
      <c r="R1409">
        <f>IF($E$2="","",TRIM(INDEX('입력_구리근무자명단'!$A1407:$ZZ1407,1,$E$2+IF($G$2="확정",1,0))&amp;""))</f>
        <v/>
      </c>
      <c r="S1409">
        <f>IF($R1409="","",IF(INDEX('입력_구리근무자명단'!$A1407:$ZZ1407,1,$E$2+2)&amp;""="",급여기준월,IF(ISNUMBER(INDEX('입력_구리근무자명단'!$A1407:$ZZ1407,1,$E$2+2)),INDEX('입력_구리근무자명단'!$A1407:$ZZ1407,1,$E$2+2),IFERROR(DATE(VALUE(LEFT(INDEX('입력_구리근무자명단'!$A1407:$ZZ1407,1,$E$2+2),4)),VALUE(MID(INDEX('입력_구리근무자명단'!$A1407:$ZZ1407,1,$E$2+2),6,2)),VALUE(MID(INDEX('입력_구리근무자명단'!$A1407:$ZZ1407,1,$E$2+2),9,2))),-1))))</f>
        <v/>
      </c>
      <c r="T1409">
        <f>IF($R1409="","",IF(INDEX('입력_구리근무자명단'!$A1407:$ZZ1407,1,$E$2+3)&amp;""="",EOMONTH(급여기준월,0),IF(ISNUMBER(INDEX('입력_구리근무자명단'!$A1407:$ZZ1407,1,$E$2+3)),INDEX('입력_구리근무자명단'!$A1407:$ZZ1407,1,$E$2+3),IFERROR(DATE(VALUE(LEFT(INDEX('입력_구리근무자명단'!$A1407:$ZZ1407,1,$E$2+3),4)),VALUE(MID(INDEX('입력_구리근무자명단'!$A1407:$ZZ1407,1,$E$2+3),6,2)),VALUE(MID(INDEX('입력_구리근무자명단'!$A1407:$ZZ1407,1,$E$2+3),9,2))),-1))))</f>
        <v/>
      </c>
      <c r="U1409">
        <f>IF($R1409="","",IF(OR($S1409&lt;0,$T1409&lt;0),0,MAX(0,MIN($T1409,EOMONTH(급여기준월,0))-MAX($S1409,급여기준월)+1)))</f>
        <v/>
      </c>
      <c r="V1409">
        <f>IF($R1409="","",TRIM(INDEX('입력_구리근무자명단'!$A1407:$ZZ1407,1,$E$2+5)&amp;""))</f>
        <v/>
      </c>
      <c r="W1409">
        <f>IF(ISNUMBER(SEARCH("구리독자",$V1409)),"구리독자","")</f>
        <v/>
      </c>
      <c r="X1409">
        <f>IF($R1409="","",$R1409&amp;"|"&amp;IF(OR($Q1409="인턴",ISNUMBER(SEARCH("수련교육부",$P1409))),"인턴",$P1409))</f>
        <v/>
      </c>
      <c r="Y1409">
        <f>IF($R1409="","",IF(COUNTIF(명단표[이름|과],$X1409)=1,"명단 일치",IF(AND(COUNTIF(명단표[이름|과],$X1409)=0,COUNTIF(명단표[이름],$R1409)=1),"명단 일치(이름만, 과 다름)",IF(COUNTIF(명단표[이름],$R1409)=0,IF(COUNTIF(기본자료표[이름],$R1409)&gt;0,"명단에 없음(기본자료에는 있음)","명단에 없음"),"동명이인 확인"))))</f>
        <v/>
      </c>
      <c r="Z1409">
        <f>IF($R1409="","",IF($S1409&lt;0,"⚠"&amp;INDEX('입력_구리근무자명단'!$A1407:$ZZ1407,1,$E$2+2),TEXT($S1409,"yyyy-mm-dd")))</f>
        <v/>
      </c>
      <c r="AA1409">
        <f>IF($R1409="","",IF($T1409&lt;0,"⚠"&amp;INDEX('입력_구리근무자명단'!$A1407:$ZZ1407,1,$E$2+3),TEXT($T1409,"yyyy-mm-dd")))</f>
        <v/>
      </c>
      <c r="AB1409">
        <f>AB1408+IF($R1409="",0,1)</f>
        <v/>
      </c>
      <c r="AC1409">
        <f>IF($R1409="","",$AB1409)</f>
        <v/>
      </c>
    </row>
    <row r="1410">
      <c r="O1410">
        <f>1408</f>
        <v/>
      </c>
      <c r="P1410">
        <f>IF(TRIM('입력_구리근무자명단'!$A1408&amp;"")&lt;&gt;"",TRIM('입력_구리근무자명단'!$A1408&amp;""),P1409)</f>
        <v/>
      </c>
      <c r="Q1410">
        <f>'입력_구리근무자명단'!$B1408&amp;""</f>
        <v/>
      </c>
      <c r="R1410">
        <f>IF($E$2="","",TRIM(INDEX('입력_구리근무자명단'!$A1408:$ZZ1408,1,$E$2+IF($G$2="확정",1,0))&amp;""))</f>
        <v/>
      </c>
      <c r="S1410">
        <f>IF($R1410="","",IF(INDEX('입력_구리근무자명단'!$A1408:$ZZ1408,1,$E$2+2)&amp;""="",급여기준월,IF(ISNUMBER(INDEX('입력_구리근무자명단'!$A1408:$ZZ1408,1,$E$2+2)),INDEX('입력_구리근무자명단'!$A1408:$ZZ1408,1,$E$2+2),IFERROR(DATE(VALUE(LEFT(INDEX('입력_구리근무자명단'!$A1408:$ZZ1408,1,$E$2+2),4)),VALUE(MID(INDEX('입력_구리근무자명단'!$A1408:$ZZ1408,1,$E$2+2),6,2)),VALUE(MID(INDEX('입력_구리근무자명단'!$A1408:$ZZ1408,1,$E$2+2),9,2))),-1))))</f>
        <v/>
      </c>
      <c r="T1410">
        <f>IF($R1410="","",IF(INDEX('입력_구리근무자명단'!$A1408:$ZZ1408,1,$E$2+3)&amp;""="",EOMONTH(급여기준월,0),IF(ISNUMBER(INDEX('입력_구리근무자명단'!$A1408:$ZZ1408,1,$E$2+3)),INDEX('입력_구리근무자명단'!$A1408:$ZZ1408,1,$E$2+3),IFERROR(DATE(VALUE(LEFT(INDEX('입력_구리근무자명단'!$A1408:$ZZ1408,1,$E$2+3),4)),VALUE(MID(INDEX('입력_구리근무자명단'!$A1408:$ZZ1408,1,$E$2+3),6,2)),VALUE(MID(INDEX('입력_구리근무자명단'!$A1408:$ZZ1408,1,$E$2+3),9,2))),-1))))</f>
        <v/>
      </c>
      <c r="U1410">
        <f>IF($R1410="","",IF(OR($S1410&lt;0,$T1410&lt;0),0,MAX(0,MIN($T1410,EOMONTH(급여기준월,0))-MAX($S1410,급여기준월)+1)))</f>
        <v/>
      </c>
      <c r="V1410">
        <f>IF($R1410="","",TRIM(INDEX('입력_구리근무자명단'!$A1408:$ZZ1408,1,$E$2+5)&amp;""))</f>
        <v/>
      </c>
      <c r="W1410">
        <f>IF(ISNUMBER(SEARCH("구리독자",$V1410)),"구리독자","")</f>
        <v/>
      </c>
      <c r="X1410">
        <f>IF($R1410="","",$R1410&amp;"|"&amp;IF(OR($Q1410="인턴",ISNUMBER(SEARCH("수련교육부",$P1410))),"인턴",$P1410))</f>
        <v/>
      </c>
      <c r="Y1410">
        <f>IF($R1410="","",IF(COUNTIF(명단표[이름|과],$X1410)=1,"명단 일치",IF(AND(COUNTIF(명단표[이름|과],$X1410)=0,COUNTIF(명단표[이름],$R1410)=1),"명단 일치(이름만, 과 다름)",IF(COUNTIF(명단표[이름],$R1410)=0,IF(COUNTIF(기본자료표[이름],$R1410)&gt;0,"명단에 없음(기본자료에는 있음)","명단에 없음"),"동명이인 확인"))))</f>
        <v/>
      </c>
      <c r="Z1410">
        <f>IF($R1410="","",IF($S1410&lt;0,"⚠"&amp;INDEX('입력_구리근무자명단'!$A1408:$ZZ1408,1,$E$2+2),TEXT($S1410,"yyyy-mm-dd")))</f>
        <v/>
      </c>
      <c r="AA1410">
        <f>IF($R1410="","",IF($T1410&lt;0,"⚠"&amp;INDEX('입력_구리근무자명단'!$A1408:$ZZ1408,1,$E$2+3),TEXT($T1410,"yyyy-mm-dd")))</f>
        <v/>
      </c>
      <c r="AB1410">
        <f>AB1409+IF($R1410="",0,1)</f>
        <v/>
      </c>
      <c r="AC1410">
        <f>IF($R1410="","",$AB1410)</f>
        <v/>
      </c>
    </row>
    <row r="1411">
      <c r="O1411">
        <f>1409</f>
        <v/>
      </c>
      <c r="P1411">
        <f>IF(TRIM('입력_구리근무자명단'!$A1409&amp;"")&lt;&gt;"",TRIM('입력_구리근무자명단'!$A1409&amp;""),P1410)</f>
        <v/>
      </c>
      <c r="Q1411">
        <f>'입력_구리근무자명단'!$B1409&amp;""</f>
        <v/>
      </c>
      <c r="R1411">
        <f>IF($E$2="","",TRIM(INDEX('입력_구리근무자명단'!$A1409:$ZZ1409,1,$E$2+IF($G$2="확정",1,0))&amp;""))</f>
        <v/>
      </c>
      <c r="S1411">
        <f>IF($R1411="","",IF(INDEX('입력_구리근무자명단'!$A1409:$ZZ1409,1,$E$2+2)&amp;""="",급여기준월,IF(ISNUMBER(INDEX('입력_구리근무자명단'!$A1409:$ZZ1409,1,$E$2+2)),INDEX('입력_구리근무자명단'!$A1409:$ZZ1409,1,$E$2+2),IFERROR(DATE(VALUE(LEFT(INDEX('입력_구리근무자명단'!$A1409:$ZZ1409,1,$E$2+2),4)),VALUE(MID(INDEX('입력_구리근무자명단'!$A1409:$ZZ1409,1,$E$2+2),6,2)),VALUE(MID(INDEX('입력_구리근무자명단'!$A1409:$ZZ1409,1,$E$2+2),9,2))),-1))))</f>
        <v/>
      </c>
      <c r="T1411">
        <f>IF($R1411="","",IF(INDEX('입력_구리근무자명단'!$A1409:$ZZ1409,1,$E$2+3)&amp;""="",EOMONTH(급여기준월,0),IF(ISNUMBER(INDEX('입력_구리근무자명단'!$A1409:$ZZ1409,1,$E$2+3)),INDEX('입력_구리근무자명단'!$A1409:$ZZ1409,1,$E$2+3),IFERROR(DATE(VALUE(LEFT(INDEX('입력_구리근무자명단'!$A1409:$ZZ1409,1,$E$2+3),4)),VALUE(MID(INDEX('입력_구리근무자명단'!$A1409:$ZZ1409,1,$E$2+3),6,2)),VALUE(MID(INDEX('입력_구리근무자명단'!$A1409:$ZZ1409,1,$E$2+3),9,2))),-1))))</f>
        <v/>
      </c>
      <c r="U1411">
        <f>IF($R1411="","",IF(OR($S1411&lt;0,$T1411&lt;0),0,MAX(0,MIN($T1411,EOMONTH(급여기준월,0))-MAX($S1411,급여기준월)+1)))</f>
        <v/>
      </c>
      <c r="V1411">
        <f>IF($R1411="","",TRIM(INDEX('입력_구리근무자명단'!$A1409:$ZZ1409,1,$E$2+5)&amp;""))</f>
        <v/>
      </c>
      <c r="W1411">
        <f>IF(ISNUMBER(SEARCH("구리독자",$V1411)),"구리독자","")</f>
        <v/>
      </c>
      <c r="X1411">
        <f>IF($R1411="","",$R1411&amp;"|"&amp;IF(OR($Q1411="인턴",ISNUMBER(SEARCH("수련교육부",$P1411))),"인턴",$P1411))</f>
        <v/>
      </c>
      <c r="Y1411">
        <f>IF($R1411="","",IF(COUNTIF(명단표[이름|과],$X1411)=1,"명단 일치",IF(AND(COUNTIF(명단표[이름|과],$X1411)=0,COUNTIF(명단표[이름],$R1411)=1),"명단 일치(이름만, 과 다름)",IF(COUNTIF(명단표[이름],$R1411)=0,IF(COUNTIF(기본자료표[이름],$R1411)&gt;0,"명단에 없음(기본자료에는 있음)","명단에 없음"),"동명이인 확인"))))</f>
        <v/>
      </c>
      <c r="Z1411">
        <f>IF($R1411="","",IF($S1411&lt;0,"⚠"&amp;INDEX('입력_구리근무자명단'!$A1409:$ZZ1409,1,$E$2+2),TEXT($S1411,"yyyy-mm-dd")))</f>
        <v/>
      </c>
      <c r="AA1411">
        <f>IF($R1411="","",IF($T1411&lt;0,"⚠"&amp;INDEX('입력_구리근무자명단'!$A1409:$ZZ1409,1,$E$2+3),TEXT($T1411,"yyyy-mm-dd")))</f>
        <v/>
      </c>
      <c r="AB1411">
        <f>AB1410+IF($R1411="",0,1)</f>
        <v/>
      </c>
      <c r="AC1411">
        <f>IF($R1411="","",$AB1411)</f>
        <v/>
      </c>
    </row>
    <row r="1412">
      <c r="O1412">
        <f>1410</f>
        <v/>
      </c>
      <c r="P1412">
        <f>IF(TRIM('입력_구리근무자명단'!$A1410&amp;"")&lt;&gt;"",TRIM('입력_구리근무자명단'!$A1410&amp;""),P1411)</f>
        <v/>
      </c>
      <c r="Q1412">
        <f>'입력_구리근무자명단'!$B1410&amp;""</f>
        <v/>
      </c>
      <c r="R1412">
        <f>IF($E$2="","",TRIM(INDEX('입력_구리근무자명단'!$A1410:$ZZ1410,1,$E$2+IF($G$2="확정",1,0))&amp;""))</f>
        <v/>
      </c>
      <c r="S1412">
        <f>IF($R1412="","",IF(INDEX('입력_구리근무자명단'!$A1410:$ZZ1410,1,$E$2+2)&amp;""="",급여기준월,IF(ISNUMBER(INDEX('입력_구리근무자명단'!$A1410:$ZZ1410,1,$E$2+2)),INDEX('입력_구리근무자명단'!$A1410:$ZZ1410,1,$E$2+2),IFERROR(DATE(VALUE(LEFT(INDEX('입력_구리근무자명단'!$A1410:$ZZ1410,1,$E$2+2),4)),VALUE(MID(INDEX('입력_구리근무자명단'!$A1410:$ZZ1410,1,$E$2+2),6,2)),VALUE(MID(INDEX('입력_구리근무자명단'!$A1410:$ZZ1410,1,$E$2+2),9,2))),-1))))</f>
        <v/>
      </c>
      <c r="T1412">
        <f>IF($R1412="","",IF(INDEX('입력_구리근무자명단'!$A1410:$ZZ1410,1,$E$2+3)&amp;""="",EOMONTH(급여기준월,0),IF(ISNUMBER(INDEX('입력_구리근무자명단'!$A1410:$ZZ1410,1,$E$2+3)),INDEX('입력_구리근무자명단'!$A1410:$ZZ1410,1,$E$2+3),IFERROR(DATE(VALUE(LEFT(INDEX('입력_구리근무자명단'!$A1410:$ZZ1410,1,$E$2+3),4)),VALUE(MID(INDEX('입력_구리근무자명단'!$A1410:$ZZ1410,1,$E$2+3),6,2)),VALUE(MID(INDEX('입력_구리근무자명단'!$A1410:$ZZ1410,1,$E$2+3),9,2))),-1))))</f>
        <v/>
      </c>
      <c r="U1412">
        <f>IF($R1412="","",IF(OR($S1412&lt;0,$T1412&lt;0),0,MAX(0,MIN($T1412,EOMONTH(급여기준월,0))-MAX($S1412,급여기준월)+1)))</f>
        <v/>
      </c>
      <c r="V1412">
        <f>IF($R1412="","",TRIM(INDEX('입력_구리근무자명단'!$A1410:$ZZ1410,1,$E$2+5)&amp;""))</f>
        <v/>
      </c>
      <c r="W1412">
        <f>IF(ISNUMBER(SEARCH("구리독자",$V1412)),"구리독자","")</f>
        <v/>
      </c>
      <c r="X1412">
        <f>IF($R1412="","",$R1412&amp;"|"&amp;IF(OR($Q1412="인턴",ISNUMBER(SEARCH("수련교육부",$P1412))),"인턴",$P1412))</f>
        <v/>
      </c>
      <c r="Y1412">
        <f>IF($R1412="","",IF(COUNTIF(명단표[이름|과],$X1412)=1,"명단 일치",IF(AND(COUNTIF(명단표[이름|과],$X1412)=0,COUNTIF(명단표[이름],$R1412)=1),"명단 일치(이름만, 과 다름)",IF(COUNTIF(명단표[이름],$R1412)=0,IF(COUNTIF(기본자료표[이름],$R1412)&gt;0,"명단에 없음(기본자료에는 있음)","명단에 없음"),"동명이인 확인"))))</f>
        <v/>
      </c>
      <c r="Z1412">
        <f>IF($R1412="","",IF($S1412&lt;0,"⚠"&amp;INDEX('입력_구리근무자명단'!$A1410:$ZZ1410,1,$E$2+2),TEXT($S1412,"yyyy-mm-dd")))</f>
        <v/>
      </c>
      <c r="AA1412">
        <f>IF($R1412="","",IF($T1412&lt;0,"⚠"&amp;INDEX('입력_구리근무자명단'!$A1410:$ZZ1410,1,$E$2+3),TEXT($T1412,"yyyy-mm-dd")))</f>
        <v/>
      </c>
      <c r="AB1412">
        <f>AB1411+IF($R1412="",0,1)</f>
        <v/>
      </c>
      <c r="AC1412">
        <f>IF($R1412="","",$AB1412)</f>
        <v/>
      </c>
    </row>
    <row r="1413">
      <c r="O1413">
        <f>1411</f>
        <v/>
      </c>
      <c r="P1413">
        <f>IF(TRIM('입력_구리근무자명단'!$A1411&amp;"")&lt;&gt;"",TRIM('입력_구리근무자명단'!$A1411&amp;""),P1412)</f>
        <v/>
      </c>
      <c r="Q1413">
        <f>'입력_구리근무자명단'!$B1411&amp;""</f>
        <v/>
      </c>
      <c r="R1413">
        <f>IF($E$2="","",TRIM(INDEX('입력_구리근무자명단'!$A1411:$ZZ1411,1,$E$2+IF($G$2="확정",1,0))&amp;""))</f>
        <v/>
      </c>
      <c r="S1413">
        <f>IF($R1413="","",IF(INDEX('입력_구리근무자명단'!$A1411:$ZZ1411,1,$E$2+2)&amp;""="",급여기준월,IF(ISNUMBER(INDEX('입력_구리근무자명단'!$A1411:$ZZ1411,1,$E$2+2)),INDEX('입력_구리근무자명단'!$A1411:$ZZ1411,1,$E$2+2),IFERROR(DATE(VALUE(LEFT(INDEX('입력_구리근무자명단'!$A1411:$ZZ1411,1,$E$2+2),4)),VALUE(MID(INDEX('입력_구리근무자명단'!$A1411:$ZZ1411,1,$E$2+2),6,2)),VALUE(MID(INDEX('입력_구리근무자명단'!$A1411:$ZZ1411,1,$E$2+2),9,2))),-1))))</f>
        <v/>
      </c>
      <c r="T1413">
        <f>IF($R1413="","",IF(INDEX('입력_구리근무자명단'!$A1411:$ZZ1411,1,$E$2+3)&amp;""="",EOMONTH(급여기준월,0),IF(ISNUMBER(INDEX('입력_구리근무자명단'!$A1411:$ZZ1411,1,$E$2+3)),INDEX('입력_구리근무자명단'!$A1411:$ZZ1411,1,$E$2+3),IFERROR(DATE(VALUE(LEFT(INDEX('입력_구리근무자명단'!$A1411:$ZZ1411,1,$E$2+3),4)),VALUE(MID(INDEX('입력_구리근무자명단'!$A1411:$ZZ1411,1,$E$2+3),6,2)),VALUE(MID(INDEX('입력_구리근무자명단'!$A1411:$ZZ1411,1,$E$2+3),9,2))),-1))))</f>
        <v/>
      </c>
      <c r="U1413">
        <f>IF($R1413="","",IF(OR($S1413&lt;0,$T1413&lt;0),0,MAX(0,MIN($T1413,EOMONTH(급여기준월,0))-MAX($S1413,급여기준월)+1)))</f>
        <v/>
      </c>
      <c r="V1413">
        <f>IF($R1413="","",TRIM(INDEX('입력_구리근무자명단'!$A1411:$ZZ1411,1,$E$2+5)&amp;""))</f>
        <v/>
      </c>
      <c r="W1413">
        <f>IF(ISNUMBER(SEARCH("구리독자",$V1413)),"구리독자","")</f>
        <v/>
      </c>
      <c r="X1413">
        <f>IF($R1413="","",$R1413&amp;"|"&amp;IF(OR($Q1413="인턴",ISNUMBER(SEARCH("수련교육부",$P1413))),"인턴",$P1413))</f>
        <v/>
      </c>
      <c r="Y1413">
        <f>IF($R1413="","",IF(COUNTIF(명단표[이름|과],$X1413)=1,"명단 일치",IF(AND(COUNTIF(명단표[이름|과],$X1413)=0,COUNTIF(명단표[이름],$R1413)=1),"명단 일치(이름만, 과 다름)",IF(COUNTIF(명단표[이름],$R1413)=0,IF(COUNTIF(기본자료표[이름],$R1413)&gt;0,"명단에 없음(기본자료에는 있음)","명단에 없음"),"동명이인 확인"))))</f>
        <v/>
      </c>
      <c r="Z1413">
        <f>IF($R1413="","",IF($S1413&lt;0,"⚠"&amp;INDEX('입력_구리근무자명단'!$A1411:$ZZ1411,1,$E$2+2),TEXT($S1413,"yyyy-mm-dd")))</f>
        <v/>
      </c>
      <c r="AA1413">
        <f>IF($R1413="","",IF($T1413&lt;0,"⚠"&amp;INDEX('입력_구리근무자명단'!$A1411:$ZZ1411,1,$E$2+3),TEXT($T1413,"yyyy-mm-dd")))</f>
        <v/>
      </c>
      <c r="AB1413">
        <f>AB1412+IF($R1413="",0,1)</f>
        <v/>
      </c>
      <c r="AC1413">
        <f>IF($R1413="","",$AB1413)</f>
        <v/>
      </c>
    </row>
    <row r="1414">
      <c r="O1414">
        <f>1412</f>
        <v/>
      </c>
      <c r="P1414">
        <f>IF(TRIM('입력_구리근무자명단'!$A1412&amp;"")&lt;&gt;"",TRIM('입력_구리근무자명단'!$A1412&amp;""),P1413)</f>
        <v/>
      </c>
      <c r="Q1414">
        <f>'입력_구리근무자명단'!$B1412&amp;""</f>
        <v/>
      </c>
      <c r="R1414">
        <f>IF($E$2="","",TRIM(INDEX('입력_구리근무자명단'!$A1412:$ZZ1412,1,$E$2+IF($G$2="확정",1,0))&amp;""))</f>
        <v/>
      </c>
      <c r="S1414">
        <f>IF($R1414="","",IF(INDEX('입력_구리근무자명단'!$A1412:$ZZ1412,1,$E$2+2)&amp;""="",급여기준월,IF(ISNUMBER(INDEX('입력_구리근무자명단'!$A1412:$ZZ1412,1,$E$2+2)),INDEX('입력_구리근무자명단'!$A1412:$ZZ1412,1,$E$2+2),IFERROR(DATE(VALUE(LEFT(INDEX('입력_구리근무자명단'!$A1412:$ZZ1412,1,$E$2+2),4)),VALUE(MID(INDEX('입력_구리근무자명단'!$A1412:$ZZ1412,1,$E$2+2),6,2)),VALUE(MID(INDEX('입력_구리근무자명단'!$A1412:$ZZ1412,1,$E$2+2),9,2))),-1))))</f>
        <v/>
      </c>
      <c r="T1414">
        <f>IF($R1414="","",IF(INDEX('입력_구리근무자명단'!$A1412:$ZZ1412,1,$E$2+3)&amp;""="",EOMONTH(급여기준월,0),IF(ISNUMBER(INDEX('입력_구리근무자명단'!$A1412:$ZZ1412,1,$E$2+3)),INDEX('입력_구리근무자명단'!$A1412:$ZZ1412,1,$E$2+3),IFERROR(DATE(VALUE(LEFT(INDEX('입력_구리근무자명단'!$A1412:$ZZ1412,1,$E$2+3),4)),VALUE(MID(INDEX('입력_구리근무자명단'!$A1412:$ZZ1412,1,$E$2+3),6,2)),VALUE(MID(INDEX('입력_구리근무자명단'!$A1412:$ZZ1412,1,$E$2+3),9,2))),-1))))</f>
        <v/>
      </c>
      <c r="U1414">
        <f>IF($R1414="","",IF(OR($S1414&lt;0,$T1414&lt;0),0,MAX(0,MIN($T1414,EOMONTH(급여기준월,0))-MAX($S1414,급여기준월)+1)))</f>
        <v/>
      </c>
      <c r="V1414">
        <f>IF($R1414="","",TRIM(INDEX('입력_구리근무자명단'!$A1412:$ZZ1412,1,$E$2+5)&amp;""))</f>
        <v/>
      </c>
      <c r="W1414">
        <f>IF(ISNUMBER(SEARCH("구리독자",$V1414)),"구리독자","")</f>
        <v/>
      </c>
      <c r="X1414">
        <f>IF($R1414="","",$R1414&amp;"|"&amp;IF(OR($Q1414="인턴",ISNUMBER(SEARCH("수련교육부",$P1414))),"인턴",$P1414))</f>
        <v/>
      </c>
      <c r="Y1414">
        <f>IF($R1414="","",IF(COUNTIF(명단표[이름|과],$X1414)=1,"명단 일치",IF(AND(COUNTIF(명단표[이름|과],$X1414)=0,COUNTIF(명단표[이름],$R1414)=1),"명단 일치(이름만, 과 다름)",IF(COUNTIF(명단표[이름],$R1414)=0,IF(COUNTIF(기본자료표[이름],$R1414)&gt;0,"명단에 없음(기본자료에는 있음)","명단에 없음"),"동명이인 확인"))))</f>
        <v/>
      </c>
      <c r="Z1414">
        <f>IF($R1414="","",IF($S1414&lt;0,"⚠"&amp;INDEX('입력_구리근무자명단'!$A1412:$ZZ1412,1,$E$2+2),TEXT($S1414,"yyyy-mm-dd")))</f>
        <v/>
      </c>
      <c r="AA1414">
        <f>IF($R1414="","",IF($T1414&lt;0,"⚠"&amp;INDEX('입력_구리근무자명단'!$A1412:$ZZ1412,1,$E$2+3),TEXT($T1414,"yyyy-mm-dd")))</f>
        <v/>
      </c>
      <c r="AB1414">
        <f>AB1413+IF($R1414="",0,1)</f>
        <v/>
      </c>
      <c r="AC1414">
        <f>IF($R1414="","",$AB1414)</f>
        <v/>
      </c>
    </row>
    <row r="1415">
      <c r="O1415">
        <f>1413</f>
        <v/>
      </c>
      <c r="P1415">
        <f>IF(TRIM('입력_구리근무자명단'!$A1413&amp;"")&lt;&gt;"",TRIM('입력_구리근무자명단'!$A1413&amp;""),P1414)</f>
        <v/>
      </c>
      <c r="Q1415">
        <f>'입력_구리근무자명단'!$B1413&amp;""</f>
        <v/>
      </c>
      <c r="R1415">
        <f>IF($E$2="","",TRIM(INDEX('입력_구리근무자명단'!$A1413:$ZZ1413,1,$E$2+IF($G$2="확정",1,0))&amp;""))</f>
        <v/>
      </c>
      <c r="S1415">
        <f>IF($R1415="","",IF(INDEX('입력_구리근무자명단'!$A1413:$ZZ1413,1,$E$2+2)&amp;""="",급여기준월,IF(ISNUMBER(INDEX('입력_구리근무자명단'!$A1413:$ZZ1413,1,$E$2+2)),INDEX('입력_구리근무자명단'!$A1413:$ZZ1413,1,$E$2+2),IFERROR(DATE(VALUE(LEFT(INDEX('입력_구리근무자명단'!$A1413:$ZZ1413,1,$E$2+2),4)),VALUE(MID(INDEX('입력_구리근무자명단'!$A1413:$ZZ1413,1,$E$2+2),6,2)),VALUE(MID(INDEX('입력_구리근무자명단'!$A1413:$ZZ1413,1,$E$2+2),9,2))),-1))))</f>
        <v/>
      </c>
      <c r="T1415">
        <f>IF($R1415="","",IF(INDEX('입력_구리근무자명단'!$A1413:$ZZ1413,1,$E$2+3)&amp;""="",EOMONTH(급여기준월,0),IF(ISNUMBER(INDEX('입력_구리근무자명단'!$A1413:$ZZ1413,1,$E$2+3)),INDEX('입력_구리근무자명단'!$A1413:$ZZ1413,1,$E$2+3),IFERROR(DATE(VALUE(LEFT(INDEX('입력_구리근무자명단'!$A1413:$ZZ1413,1,$E$2+3),4)),VALUE(MID(INDEX('입력_구리근무자명단'!$A1413:$ZZ1413,1,$E$2+3),6,2)),VALUE(MID(INDEX('입력_구리근무자명단'!$A1413:$ZZ1413,1,$E$2+3),9,2))),-1))))</f>
        <v/>
      </c>
      <c r="U1415">
        <f>IF($R1415="","",IF(OR($S1415&lt;0,$T1415&lt;0),0,MAX(0,MIN($T1415,EOMONTH(급여기준월,0))-MAX($S1415,급여기준월)+1)))</f>
        <v/>
      </c>
      <c r="V1415">
        <f>IF($R1415="","",TRIM(INDEX('입력_구리근무자명단'!$A1413:$ZZ1413,1,$E$2+5)&amp;""))</f>
        <v/>
      </c>
      <c r="W1415">
        <f>IF(ISNUMBER(SEARCH("구리독자",$V1415)),"구리독자","")</f>
        <v/>
      </c>
      <c r="X1415">
        <f>IF($R1415="","",$R1415&amp;"|"&amp;IF(OR($Q1415="인턴",ISNUMBER(SEARCH("수련교육부",$P1415))),"인턴",$P1415))</f>
        <v/>
      </c>
      <c r="Y1415">
        <f>IF($R1415="","",IF(COUNTIF(명단표[이름|과],$X1415)=1,"명단 일치",IF(AND(COUNTIF(명단표[이름|과],$X1415)=0,COUNTIF(명단표[이름],$R1415)=1),"명단 일치(이름만, 과 다름)",IF(COUNTIF(명단표[이름],$R1415)=0,IF(COUNTIF(기본자료표[이름],$R1415)&gt;0,"명단에 없음(기본자료에는 있음)","명단에 없음"),"동명이인 확인"))))</f>
        <v/>
      </c>
      <c r="Z1415">
        <f>IF($R1415="","",IF($S1415&lt;0,"⚠"&amp;INDEX('입력_구리근무자명단'!$A1413:$ZZ1413,1,$E$2+2),TEXT($S1415,"yyyy-mm-dd")))</f>
        <v/>
      </c>
      <c r="AA1415">
        <f>IF($R1415="","",IF($T1415&lt;0,"⚠"&amp;INDEX('입력_구리근무자명단'!$A1413:$ZZ1413,1,$E$2+3),TEXT($T1415,"yyyy-mm-dd")))</f>
        <v/>
      </c>
      <c r="AB1415">
        <f>AB1414+IF($R1415="",0,1)</f>
        <v/>
      </c>
      <c r="AC1415">
        <f>IF($R1415="","",$AB1415)</f>
        <v/>
      </c>
    </row>
    <row r="1416">
      <c r="O1416">
        <f>1414</f>
        <v/>
      </c>
      <c r="P1416">
        <f>IF(TRIM('입력_구리근무자명단'!$A1414&amp;"")&lt;&gt;"",TRIM('입력_구리근무자명단'!$A1414&amp;""),P1415)</f>
        <v/>
      </c>
      <c r="Q1416">
        <f>'입력_구리근무자명단'!$B1414&amp;""</f>
        <v/>
      </c>
      <c r="R1416">
        <f>IF($E$2="","",TRIM(INDEX('입력_구리근무자명단'!$A1414:$ZZ1414,1,$E$2+IF($G$2="확정",1,0))&amp;""))</f>
        <v/>
      </c>
      <c r="S1416">
        <f>IF($R1416="","",IF(INDEX('입력_구리근무자명단'!$A1414:$ZZ1414,1,$E$2+2)&amp;""="",급여기준월,IF(ISNUMBER(INDEX('입력_구리근무자명단'!$A1414:$ZZ1414,1,$E$2+2)),INDEX('입력_구리근무자명단'!$A1414:$ZZ1414,1,$E$2+2),IFERROR(DATE(VALUE(LEFT(INDEX('입력_구리근무자명단'!$A1414:$ZZ1414,1,$E$2+2),4)),VALUE(MID(INDEX('입력_구리근무자명단'!$A1414:$ZZ1414,1,$E$2+2),6,2)),VALUE(MID(INDEX('입력_구리근무자명단'!$A1414:$ZZ1414,1,$E$2+2),9,2))),-1))))</f>
        <v/>
      </c>
      <c r="T1416">
        <f>IF($R1416="","",IF(INDEX('입력_구리근무자명단'!$A1414:$ZZ1414,1,$E$2+3)&amp;""="",EOMONTH(급여기준월,0),IF(ISNUMBER(INDEX('입력_구리근무자명단'!$A1414:$ZZ1414,1,$E$2+3)),INDEX('입력_구리근무자명단'!$A1414:$ZZ1414,1,$E$2+3),IFERROR(DATE(VALUE(LEFT(INDEX('입력_구리근무자명단'!$A1414:$ZZ1414,1,$E$2+3),4)),VALUE(MID(INDEX('입력_구리근무자명단'!$A1414:$ZZ1414,1,$E$2+3),6,2)),VALUE(MID(INDEX('입력_구리근무자명단'!$A1414:$ZZ1414,1,$E$2+3),9,2))),-1))))</f>
        <v/>
      </c>
      <c r="U1416">
        <f>IF($R1416="","",IF(OR($S1416&lt;0,$T1416&lt;0),0,MAX(0,MIN($T1416,EOMONTH(급여기준월,0))-MAX($S1416,급여기준월)+1)))</f>
        <v/>
      </c>
      <c r="V1416">
        <f>IF($R1416="","",TRIM(INDEX('입력_구리근무자명단'!$A1414:$ZZ1414,1,$E$2+5)&amp;""))</f>
        <v/>
      </c>
      <c r="W1416">
        <f>IF(ISNUMBER(SEARCH("구리독자",$V1416)),"구리독자","")</f>
        <v/>
      </c>
      <c r="X1416">
        <f>IF($R1416="","",$R1416&amp;"|"&amp;IF(OR($Q1416="인턴",ISNUMBER(SEARCH("수련교육부",$P1416))),"인턴",$P1416))</f>
        <v/>
      </c>
      <c r="Y1416">
        <f>IF($R1416="","",IF(COUNTIF(명단표[이름|과],$X1416)=1,"명단 일치",IF(AND(COUNTIF(명단표[이름|과],$X1416)=0,COUNTIF(명단표[이름],$R1416)=1),"명단 일치(이름만, 과 다름)",IF(COUNTIF(명단표[이름],$R1416)=0,IF(COUNTIF(기본자료표[이름],$R1416)&gt;0,"명단에 없음(기본자료에는 있음)","명단에 없음"),"동명이인 확인"))))</f>
        <v/>
      </c>
      <c r="Z1416">
        <f>IF($R1416="","",IF($S1416&lt;0,"⚠"&amp;INDEX('입력_구리근무자명단'!$A1414:$ZZ1414,1,$E$2+2),TEXT($S1416,"yyyy-mm-dd")))</f>
        <v/>
      </c>
      <c r="AA1416">
        <f>IF($R1416="","",IF($T1416&lt;0,"⚠"&amp;INDEX('입력_구리근무자명단'!$A1414:$ZZ1414,1,$E$2+3),TEXT($T1416,"yyyy-mm-dd")))</f>
        <v/>
      </c>
      <c r="AB1416">
        <f>AB1415+IF($R1416="",0,1)</f>
        <v/>
      </c>
      <c r="AC1416">
        <f>IF($R1416="","",$AB1416)</f>
        <v/>
      </c>
    </row>
    <row r="1417">
      <c r="O1417">
        <f>1415</f>
        <v/>
      </c>
      <c r="P1417">
        <f>IF(TRIM('입력_구리근무자명단'!$A1415&amp;"")&lt;&gt;"",TRIM('입력_구리근무자명단'!$A1415&amp;""),P1416)</f>
        <v/>
      </c>
      <c r="Q1417">
        <f>'입력_구리근무자명단'!$B1415&amp;""</f>
        <v/>
      </c>
      <c r="R1417">
        <f>IF($E$2="","",TRIM(INDEX('입력_구리근무자명단'!$A1415:$ZZ1415,1,$E$2+IF($G$2="확정",1,0))&amp;""))</f>
        <v/>
      </c>
      <c r="S1417">
        <f>IF($R1417="","",IF(INDEX('입력_구리근무자명단'!$A1415:$ZZ1415,1,$E$2+2)&amp;""="",급여기준월,IF(ISNUMBER(INDEX('입력_구리근무자명단'!$A1415:$ZZ1415,1,$E$2+2)),INDEX('입력_구리근무자명단'!$A1415:$ZZ1415,1,$E$2+2),IFERROR(DATE(VALUE(LEFT(INDEX('입력_구리근무자명단'!$A1415:$ZZ1415,1,$E$2+2),4)),VALUE(MID(INDEX('입력_구리근무자명단'!$A1415:$ZZ1415,1,$E$2+2),6,2)),VALUE(MID(INDEX('입력_구리근무자명단'!$A1415:$ZZ1415,1,$E$2+2),9,2))),-1))))</f>
        <v/>
      </c>
      <c r="T1417">
        <f>IF($R1417="","",IF(INDEX('입력_구리근무자명단'!$A1415:$ZZ1415,1,$E$2+3)&amp;""="",EOMONTH(급여기준월,0),IF(ISNUMBER(INDEX('입력_구리근무자명단'!$A1415:$ZZ1415,1,$E$2+3)),INDEX('입력_구리근무자명단'!$A1415:$ZZ1415,1,$E$2+3),IFERROR(DATE(VALUE(LEFT(INDEX('입력_구리근무자명단'!$A1415:$ZZ1415,1,$E$2+3),4)),VALUE(MID(INDEX('입력_구리근무자명단'!$A1415:$ZZ1415,1,$E$2+3),6,2)),VALUE(MID(INDEX('입력_구리근무자명단'!$A1415:$ZZ1415,1,$E$2+3),9,2))),-1))))</f>
        <v/>
      </c>
      <c r="U1417">
        <f>IF($R1417="","",IF(OR($S1417&lt;0,$T1417&lt;0),0,MAX(0,MIN($T1417,EOMONTH(급여기준월,0))-MAX($S1417,급여기준월)+1)))</f>
        <v/>
      </c>
      <c r="V1417">
        <f>IF($R1417="","",TRIM(INDEX('입력_구리근무자명단'!$A1415:$ZZ1415,1,$E$2+5)&amp;""))</f>
        <v/>
      </c>
      <c r="W1417">
        <f>IF(ISNUMBER(SEARCH("구리독자",$V1417)),"구리독자","")</f>
        <v/>
      </c>
      <c r="X1417">
        <f>IF($R1417="","",$R1417&amp;"|"&amp;IF(OR($Q1417="인턴",ISNUMBER(SEARCH("수련교육부",$P1417))),"인턴",$P1417))</f>
        <v/>
      </c>
      <c r="Y1417">
        <f>IF($R1417="","",IF(COUNTIF(명단표[이름|과],$X1417)=1,"명단 일치",IF(AND(COUNTIF(명단표[이름|과],$X1417)=0,COUNTIF(명단표[이름],$R1417)=1),"명단 일치(이름만, 과 다름)",IF(COUNTIF(명단표[이름],$R1417)=0,IF(COUNTIF(기본자료표[이름],$R1417)&gt;0,"명단에 없음(기본자료에는 있음)","명단에 없음"),"동명이인 확인"))))</f>
        <v/>
      </c>
      <c r="Z1417">
        <f>IF($R1417="","",IF($S1417&lt;0,"⚠"&amp;INDEX('입력_구리근무자명단'!$A1415:$ZZ1415,1,$E$2+2),TEXT($S1417,"yyyy-mm-dd")))</f>
        <v/>
      </c>
      <c r="AA1417">
        <f>IF($R1417="","",IF($T1417&lt;0,"⚠"&amp;INDEX('입력_구리근무자명단'!$A1415:$ZZ1415,1,$E$2+3),TEXT($T1417,"yyyy-mm-dd")))</f>
        <v/>
      </c>
      <c r="AB1417">
        <f>AB1416+IF($R1417="",0,1)</f>
        <v/>
      </c>
      <c r="AC1417">
        <f>IF($R1417="","",$AB1417)</f>
        <v/>
      </c>
    </row>
    <row r="1418">
      <c r="O1418">
        <f>1416</f>
        <v/>
      </c>
      <c r="P1418">
        <f>IF(TRIM('입력_구리근무자명단'!$A1416&amp;"")&lt;&gt;"",TRIM('입력_구리근무자명단'!$A1416&amp;""),P1417)</f>
        <v/>
      </c>
      <c r="Q1418">
        <f>'입력_구리근무자명단'!$B1416&amp;""</f>
        <v/>
      </c>
      <c r="R1418">
        <f>IF($E$2="","",TRIM(INDEX('입력_구리근무자명단'!$A1416:$ZZ1416,1,$E$2+IF($G$2="확정",1,0))&amp;""))</f>
        <v/>
      </c>
      <c r="S1418">
        <f>IF($R1418="","",IF(INDEX('입력_구리근무자명단'!$A1416:$ZZ1416,1,$E$2+2)&amp;""="",급여기준월,IF(ISNUMBER(INDEX('입력_구리근무자명단'!$A1416:$ZZ1416,1,$E$2+2)),INDEX('입력_구리근무자명단'!$A1416:$ZZ1416,1,$E$2+2),IFERROR(DATE(VALUE(LEFT(INDEX('입력_구리근무자명단'!$A1416:$ZZ1416,1,$E$2+2),4)),VALUE(MID(INDEX('입력_구리근무자명단'!$A1416:$ZZ1416,1,$E$2+2),6,2)),VALUE(MID(INDEX('입력_구리근무자명단'!$A1416:$ZZ1416,1,$E$2+2),9,2))),-1))))</f>
        <v/>
      </c>
      <c r="T1418">
        <f>IF($R1418="","",IF(INDEX('입력_구리근무자명단'!$A1416:$ZZ1416,1,$E$2+3)&amp;""="",EOMONTH(급여기준월,0),IF(ISNUMBER(INDEX('입력_구리근무자명단'!$A1416:$ZZ1416,1,$E$2+3)),INDEX('입력_구리근무자명단'!$A1416:$ZZ1416,1,$E$2+3),IFERROR(DATE(VALUE(LEFT(INDEX('입력_구리근무자명단'!$A1416:$ZZ1416,1,$E$2+3),4)),VALUE(MID(INDEX('입력_구리근무자명단'!$A1416:$ZZ1416,1,$E$2+3),6,2)),VALUE(MID(INDEX('입력_구리근무자명단'!$A1416:$ZZ1416,1,$E$2+3),9,2))),-1))))</f>
        <v/>
      </c>
      <c r="U1418">
        <f>IF($R1418="","",IF(OR($S1418&lt;0,$T1418&lt;0),0,MAX(0,MIN($T1418,EOMONTH(급여기준월,0))-MAX($S1418,급여기준월)+1)))</f>
        <v/>
      </c>
      <c r="V1418">
        <f>IF($R1418="","",TRIM(INDEX('입력_구리근무자명단'!$A1416:$ZZ1416,1,$E$2+5)&amp;""))</f>
        <v/>
      </c>
      <c r="W1418">
        <f>IF(ISNUMBER(SEARCH("구리독자",$V1418)),"구리독자","")</f>
        <v/>
      </c>
      <c r="X1418">
        <f>IF($R1418="","",$R1418&amp;"|"&amp;IF(OR($Q1418="인턴",ISNUMBER(SEARCH("수련교육부",$P1418))),"인턴",$P1418))</f>
        <v/>
      </c>
      <c r="Y1418">
        <f>IF($R1418="","",IF(COUNTIF(명단표[이름|과],$X1418)=1,"명단 일치",IF(AND(COUNTIF(명단표[이름|과],$X1418)=0,COUNTIF(명단표[이름],$R1418)=1),"명단 일치(이름만, 과 다름)",IF(COUNTIF(명단표[이름],$R1418)=0,IF(COUNTIF(기본자료표[이름],$R1418)&gt;0,"명단에 없음(기본자료에는 있음)","명단에 없음"),"동명이인 확인"))))</f>
        <v/>
      </c>
      <c r="Z1418">
        <f>IF($R1418="","",IF($S1418&lt;0,"⚠"&amp;INDEX('입력_구리근무자명단'!$A1416:$ZZ1416,1,$E$2+2),TEXT($S1418,"yyyy-mm-dd")))</f>
        <v/>
      </c>
      <c r="AA1418">
        <f>IF($R1418="","",IF($T1418&lt;0,"⚠"&amp;INDEX('입력_구리근무자명단'!$A1416:$ZZ1416,1,$E$2+3),TEXT($T1418,"yyyy-mm-dd")))</f>
        <v/>
      </c>
      <c r="AB1418">
        <f>AB1417+IF($R1418="",0,1)</f>
        <v/>
      </c>
      <c r="AC1418">
        <f>IF($R1418="","",$AB1418)</f>
        <v/>
      </c>
    </row>
    <row r="1419">
      <c r="O1419">
        <f>1417</f>
        <v/>
      </c>
      <c r="P1419">
        <f>IF(TRIM('입력_구리근무자명단'!$A1417&amp;"")&lt;&gt;"",TRIM('입력_구리근무자명단'!$A1417&amp;""),P1418)</f>
        <v/>
      </c>
      <c r="Q1419">
        <f>'입력_구리근무자명단'!$B1417&amp;""</f>
        <v/>
      </c>
      <c r="R1419">
        <f>IF($E$2="","",TRIM(INDEX('입력_구리근무자명단'!$A1417:$ZZ1417,1,$E$2+IF($G$2="확정",1,0))&amp;""))</f>
        <v/>
      </c>
      <c r="S1419">
        <f>IF($R1419="","",IF(INDEX('입력_구리근무자명단'!$A1417:$ZZ1417,1,$E$2+2)&amp;""="",급여기준월,IF(ISNUMBER(INDEX('입력_구리근무자명단'!$A1417:$ZZ1417,1,$E$2+2)),INDEX('입력_구리근무자명단'!$A1417:$ZZ1417,1,$E$2+2),IFERROR(DATE(VALUE(LEFT(INDEX('입력_구리근무자명단'!$A1417:$ZZ1417,1,$E$2+2),4)),VALUE(MID(INDEX('입력_구리근무자명단'!$A1417:$ZZ1417,1,$E$2+2),6,2)),VALUE(MID(INDEX('입력_구리근무자명단'!$A1417:$ZZ1417,1,$E$2+2),9,2))),-1))))</f>
        <v/>
      </c>
      <c r="T1419">
        <f>IF($R1419="","",IF(INDEX('입력_구리근무자명단'!$A1417:$ZZ1417,1,$E$2+3)&amp;""="",EOMONTH(급여기준월,0),IF(ISNUMBER(INDEX('입력_구리근무자명단'!$A1417:$ZZ1417,1,$E$2+3)),INDEX('입력_구리근무자명단'!$A1417:$ZZ1417,1,$E$2+3),IFERROR(DATE(VALUE(LEFT(INDEX('입력_구리근무자명단'!$A1417:$ZZ1417,1,$E$2+3),4)),VALUE(MID(INDEX('입력_구리근무자명단'!$A1417:$ZZ1417,1,$E$2+3),6,2)),VALUE(MID(INDEX('입력_구리근무자명단'!$A1417:$ZZ1417,1,$E$2+3),9,2))),-1))))</f>
        <v/>
      </c>
      <c r="U1419">
        <f>IF($R1419="","",IF(OR($S1419&lt;0,$T1419&lt;0),0,MAX(0,MIN($T1419,EOMONTH(급여기준월,0))-MAX($S1419,급여기준월)+1)))</f>
        <v/>
      </c>
      <c r="V1419">
        <f>IF($R1419="","",TRIM(INDEX('입력_구리근무자명단'!$A1417:$ZZ1417,1,$E$2+5)&amp;""))</f>
        <v/>
      </c>
      <c r="W1419">
        <f>IF(ISNUMBER(SEARCH("구리독자",$V1419)),"구리독자","")</f>
        <v/>
      </c>
      <c r="X1419">
        <f>IF($R1419="","",$R1419&amp;"|"&amp;IF(OR($Q1419="인턴",ISNUMBER(SEARCH("수련교육부",$P1419))),"인턴",$P1419))</f>
        <v/>
      </c>
      <c r="Y1419">
        <f>IF($R1419="","",IF(COUNTIF(명단표[이름|과],$X1419)=1,"명단 일치",IF(AND(COUNTIF(명단표[이름|과],$X1419)=0,COUNTIF(명단표[이름],$R1419)=1),"명단 일치(이름만, 과 다름)",IF(COUNTIF(명단표[이름],$R1419)=0,IF(COUNTIF(기본자료표[이름],$R1419)&gt;0,"명단에 없음(기본자료에는 있음)","명단에 없음"),"동명이인 확인"))))</f>
        <v/>
      </c>
      <c r="Z1419">
        <f>IF($R1419="","",IF($S1419&lt;0,"⚠"&amp;INDEX('입력_구리근무자명단'!$A1417:$ZZ1417,1,$E$2+2),TEXT($S1419,"yyyy-mm-dd")))</f>
        <v/>
      </c>
      <c r="AA1419">
        <f>IF($R1419="","",IF($T1419&lt;0,"⚠"&amp;INDEX('입력_구리근무자명단'!$A1417:$ZZ1417,1,$E$2+3),TEXT($T1419,"yyyy-mm-dd")))</f>
        <v/>
      </c>
      <c r="AB1419">
        <f>AB1418+IF($R1419="",0,1)</f>
        <v/>
      </c>
      <c r="AC1419">
        <f>IF($R1419="","",$AB1419)</f>
        <v/>
      </c>
    </row>
    <row r="1420">
      <c r="O1420">
        <f>1418</f>
        <v/>
      </c>
      <c r="P1420">
        <f>IF(TRIM('입력_구리근무자명단'!$A1418&amp;"")&lt;&gt;"",TRIM('입력_구리근무자명단'!$A1418&amp;""),P1419)</f>
        <v/>
      </c>
      <c r="Q1420">
        <f>'입력_구리근무자명단'!$B1418&amp;""</f>
        <v/>
      </c>
      <c r="R1420">
        <f>IF($E$2="","",TRIM(INDEX('입력_구리근무자명단'!$A1418:$ZZ1418,1,$E$2+IF($G$2="확정",1,0))&amp;""))</f>
        <v/>
      </c>
      <c r="S1420">
        <f>IF($R1420="","",IF(INDEX('입력_구리근무자명단'!$A1418:$ZZ1418,1,$E$2+2)&amp;""="",급여기준월,IF(ISNUMBER(INDEX('입력_구리근무자명단'!$A1418:$ZZ1418,1,$E$2+2)),INDEX('입력_구리근무자명단'!$A1418:$ZZ1418,1,$E$2+2),IFERROR(DATE(VALUE(LEFT(INDEX('입력_구리근무자명단'!$A1418:$ZZ1418,1,$E$2+2),4)),VALUE(MID(INDEX('입력_구리근무자명단'!$A1418:$ZZ1418,1,$E$2+2),6,2)),VALUE(MID(INDEX('입력_구리근무자명단'!$A1418:$ZZ1418,1,$E$2+2),9,2))),-1))))</f>
        <v/>
      </c>
      <c r="T1420">
        <f>IF($R1420="","",IF(INDEX('입력_구리근무자명단'!$A1418:$ZZ1418,1,$E$2+3)&amp;""="",EOMONTH(급여기준월,0),IF(ISNUMBER(INDEX('입력_구리근무자명단'!$A1418:$ZZ1418,1,$E$2+3)),INDEX('입력_구리근무자명단'!$A1418:$ZZ1418,1,$E$2+3),IFERROR(DATE(VALUE(LEFT(INDEX('입력_구리근무자명단'!$A1418:$ZZ1418,1,$E$2+3),4)),VALUE(MID(INDEX('입력_구리근무자명단'!$A1418:$ZZ1418,1,$E$2+3),6,2)),VALUE(MID(INDEX('입력_구리근무자명단'!$A1418:$ZZ1418,1,$E$2+3),9,2))),-1))))</f>
        <v/>
      </c>
      <c r="U1420">
        <f>IF($R1420="","",IF(OR($S1420&lt;0,$T1420&lt;0),0,MAX(0,MIN($T1420,EOMONTH(급여기준월,0))-MAX($S1420,급여기준월)+1)))</f>
        <v/>
      </c>
      <c r="V1420">
        <f>IF($R1420="","",TRIM(INDEX('입력_구리근무자명단'!$A1418:$ZZ1418,1,$E$2+5)&amp;""))</f>
        <v/>
      </c>
      <c r="W1420">
        <f>IF(ISNUMBER(SEARCH("구리독자",$V1420)),"구리독자","")</f>
        <v/>
      </c>
      <c r="X1420">
        <f>IF($R1420="","",$R1420&amp;"|"&amp;IF(OR($Q1420="인턴",ISNUMBER(SEARCH("수련교육부",$P1420))),"인턴",$P1420))</f>
        <v/>
      </c>
      <c r="Y1420">
        <f>IF($R1420="","",IF(COUNTIF(명단표[이름|과],$X1420)=1,"명단 일치",IF(AND(COUNTIF(명단표[이름|과],$X1420)=0,COUNTIF(명단표[이름],$R1420)=1),"명단 일치(이름만, 과 다름)",IF(COUNTIF(명단표[이름],$R1420)=0,IF(COUNTIF(기본자료표[이름],$R1420)&gt;0,"명단에 없음(기본자료에는 있음)","명단에 없음"),"동명이인 확인"))))</f>
        <v/>
      </c>
      <c r="Z1420">
        <f>IF($R1420="","",IF($S1420&lt;0,"⚠"&amp;INDEX('입력_구리근무자명단'!$A1418:$ZZ1418,1,$E$2+2),TEXT($S1420,"yyyy-mm-dd")))</f>
        <v/>
      </c>
      <c r="AA1420">
        <f>IF($R1420="","",IF($T1420&lt;0,"⚠"&amp;INDEX('입력_구리근무자명단'!$A1418:$ZZ1418,1,$E$2+3),TEXT($T1420,"yyyy-mm-dd")))</f>
        <v/>
      </c>
      <c r="AB1420">
        <f>AB1419+IF($R1420="",0,1)</f>
        <v/>
      </c>
      <c r="AC1420">
        <f>IF($R1420="","",$AB1420)</f>
        <v/>
      </c>
    </row>
    <row r="1421">
      <c r="O1421">
        <f>1419</f>
        <v/>
      </c>
      <c r="P1421">
        <f>IF(TRIM('입력_구리근무자명단'!$A1419&amp;"")&lt;&gt;"",TRIM('입력_구리근무자명단'!$A1419&amp;""),P1420)</f>
        <v/>
      </c>
      <c r="Q1421">
        <f>'입력_구리근무자명단'!$B1419&amp;""</f>
        <v/>
      </c>
      <c r="R1421">
        <f>IF($E$2="","",TRIM(INDEX('입력_구리근무자명단'!$A1419:$ZZ1419,1,$E$2+IF($G$2="확정",1,0))&amp;""))</f>
        <v/>
      </c>
      <c r="S1421">
        <f>IF($R1421="","",IF(INDEX('입력_구리근무자명단'!$A1419:$ZZ1419,1,$E$2+2)&amp;""="",급여기준월,IF(ISNUMBER(INDEX('입력_구리근무자명단'!$A1419:$ZZ1419,1,$E$2+2)),INDEX('입력_구리근무자명단'!$A1419:$ZZ1419,1,$E$2+2),IFERROR(DATE(VALUE(LEFT(INDEX('입력_구리근무자명단'!$A1419:$ZZ1419,1,$E$2+2),4)),VALUE(MID(INDEX('입력_구리근무자명단'!$A1419:$ZZ1419,1,$E$2+2),6,2)),VALUE(MID(INDEX('입력_구리근무자명단'!$A1419:$ZZ1419,1,$E$2+2),9,2))),-1))))</f>
        <v/>
      </c>
      <c r="T1421">
        <f>IF($R1421="","",IF(INDEX('입력_구리근무자명단'!$A1419:$ZZ1419,1,$E$2+3)&amp;""="",EOMONTH(급여기준월,0),IF(ISNUMBER(INDEX('입력_구리근무자명단'!$A1419:$ZZ1419,1,$E$2+3)),INDEX('입력_구리근무자명단'!$A1419:$ZZ1419,1,$E$2+3),IFERROR(DATE(VALUE(LEFT(INDEX('입력_구리근무자명단'!$A1419:$ZZ1419,1,$E$2+3),4)),VALUE(MID(INDEX('입력_구리근무자명단'!$A1419:$ZZ1419,1,$E$2+3),6,2)),VALUE(MID(INDEX('입력_구리근무자명단'!$A1419:$ZZ1419,1,$E$2+3),9,2))),-1))))</f>
        <v/>
      </c>
      <c r="U1421">
        <f>IF($R1421="","",IF(OR($S1421&lt;0,$T1421&lt;0),0,MAX(0,MIN($T1421,EOMONTH(급여기준월,0))-MAX($S1421,급여기준월)+1)))</f>
        <v/>
      </c>
      <c r="V1421">
        <f>IF($R1421="","",TRIM(INDEX('입력_구리근무자명단'!$A1419:$ZZ1419,1,$E$2+5)&amp;""))</f>
        <v/>
      </c>
      <c r="W1421">
        <f>IF(ISNUMBER(SEARCH("구리독자",$V1421)),"구리독자","")</f>
        <v/>
      </c>
      <c r="X1421">
        <f>IF($R1421="","",$R1421&amp;"|"&amp;IF(OR($Q1421="인턴",ISNUMBER(SEARCH("수련교육부",$P1421))),"인턴",$P1421))</f>
        <v/>
      </c>
      <c r="Y1421">
        <f>IF($R1421="","",IF(COUNTIF(명단표[이름|과],$X1421)=1,"명단 일치",IF(AND(COUNTIF(명단표[이름|과],$X1421)=0,COUNTIF(명단표[이름],$R1421)=1),"명단 일치(이름만, 과 다름)",IF(COUNTIF(명단표[이름],$R1421)=0,IF(COUNTIF(기본자료표[이름],$R1421)&gt;0,"명단에 없음(기본자료에는 있음)","명단에 없음"),"동명이인 확인"))))</f>
        <v/>
      </c>
      <c r="Z1421">
        <f>IF($R1421="","",IF($S1421&lt;0,"⚠"&amp;INDEX('입력_구리근무자명단'!$A1419:$ZZ1419,1,$E$2+2),TEXT($S1421,"yyyy-mm-dd")))</f>
        <v/>
      </c>
      <c r="AA1421">
        <f>IF($R1421="","",IF($T1421&lt;0,"⚠"&amp;INDEX('입력_구리근무자명단'!$A1419:$ZZ1419,1,$E$2+3),TEXT($T1421,"yyyy-mm-dd")))</f>
        <v/>
      </c>
      <c r="AB1421">
        <f>AB1420+IF($R1421="",0,1)</f>
        <v/>
      </c>
      <c r="AC1421">
        <f>IF($R1421="","",$AB1421)</f>
        <v/>
      </c>
    </row>
    <row r="1422">
      <c r="O1422">
        <f>1420</f>
        <v/>
      </c>
      <c r="P1422">
        <f>IF(TRIM('입력_구리근무자명단'!$A1420&amp;"")&lt;&gt;"",TRIM('입력_구리근무자명단'!$A1420&amp;""),P1421)</f>
        <v/>
      </c>
      <c r="Q1422">
        <f>'입력_구리근무자명단'!$B1420&amp;""</f>
        <v/>
      </c>
      <c r="R1422">
        <f>IF($E$2="","",TRIM(INDEX('입력_구리근무자명단'!$A1420:$ZZ1420,1,$E$2+IF($G$2="확정",1,0))&amp;""))</f>
        <v/>
      </c>
      <c r="S1422">
        <f>IF($R1422="","",IF(INDEX('입력_구리근무자명단'!$A1420:$ZZ1420,1,$E$2+2)&amp;""="",급여기준월,IF(ISNUMBER(INDEX('입력_구리근무자명단'!$A1420:$ZZ1420,1,$E$2+2)),INDEX('입력_구리근무자명단'!$A1420:$ZZ1420,1,$E$2+2),IFERROR(DATE(VALUE(LEFT(INDEX('입력_구리근무자명단'!$A1420:$ZZ1420,1,$E$2+2),4)),VALUE(MID(INDEX('입력_구리근무자명단'!$A1420:$ZZ1420,1,$E$2+2),6,2)),VALUE(MID(INDEX('입력_구리근무자명단'!$A1420:$ZZ1420,1,$E$2+2),9,2))),-1))))</f>
        <v/>
      </c>
      <c r="T1422">
        <f>IF($R1422="","",IF(INDEX('입력_구리근무자명단'!$A1420:$ZZ1420,1,$E$2+3)&amp;""="",EOMONTH(급여기준월,0),IF(ISNUMBER(INDEX('입력_구리근무자명단'!$A1420:$ZZ1420,1,$E$2+3)),INDEX('입력_구리근무자명단'!$A1420:$ZZ1420,1,$E$2+3),IFERROR(DATE(VALUE(LEFT(INDEX('입력_구리근무자명단'!$A1420:$ZZ1420,1,$E$2+3),4)),VALUE(MID(INDEX('입력_구리근무자명단'!$A1420:$ZZ1420,1,$E$2+3),6,2)),VALUE(MID(INDEX('입력_구리근무자명단'!$A1420:$ZZ1420,1,$E$2+3),9,2))),-1))))</f>
        <v/>
      </c>
      <c r="U1422">
        <f>IF($R1422="","",IF(OR($S1422&lt;0,$T1422&lt;0),0,MAX(0,MIN($T1422,EOMONTH(급여기준월,0))-MAX($S1422,급여기준월)+1)))</f>
        <v/>
      </c>
      <c r="V1422">
        <f>IF($R1422="","",TRIM(INDEX('입력_구리근무자명단'!$A1420:$ZZ1420,1,$E$2+5)&amp;""))</f>
        <v/>
      </c>
      <c r="W1422">
        <f>IF(ISNUMBER(SEARCH("구리독자",$V1422)),"구리독자","")</f>
        <v/>
      </c>
      <c r="X1422">
        <f>IF($R1422="","",$R1422&amp;"|"&amp;IF(OR($Q1422="인턴",ISNUMBER(SEARCH("수련교육부",$P1422))),"인턴",$P1422))</f>
        <v/>
      </c>
      <c r="Y1422">
        <f>IF($R1422="","",IF(COUNTIF(명단표[이름|과],$X1422)=1,"명단 일치",IF(AND(COUNTIF(명단표[이름|과],$X1422)=0,COUNTIF(명단표[이름],$R1422)=1),"명단 일치(이름만, 과 다름)",IF(COUNTIF(명단표[이름],$R1422)=0,IF(COUNTIF(기본자료표[이름],$R1422)&gt;0,"명단에 없음(기본자료에는 있음)","명단에 없음"),"동명이인 확인"))))</f>
        <v/>
      </c>
      <c r="Z1422">
        <f>IF($R1422="","",IF($S1422&lt;0,"⚠"&amp;INDEX('입력_구리근무자명단'!$A1420:$ZZ1420,1,$E$2+2),TEXT($S1422,"yyyy-mm-dd")))</f>
        <v/>
      </c>
      <c r="AA1422">
        <f>IF($R1422="","",IF($T1422&lt;0,"⚠"&amp;INDEX('입력_구리근무자명단'!$A1420:$ZZ1420,1,$E$2+3),TEXT($T1422,"yyyy-mm-dd")))</f>
        <v/>
      </c>
      <c r="AB1422">
        <f>AB1421+IF($R1422="",0,1)</f>
        <v/>
      </c>
      <c r="AC1422">
        <f>IF($R1422="","",$AB1422)</f>
        <v/>
      </c>
    </row>
    <row r="1423">
      <c r="O1423">
        <f>1421</f>
        <v/>
      </c>
      <c r="P1423">
        <f>IF(TRIM('입력_구리근무자명단'!$A1421&amp;"")&lt;&gt;"",TRIM('입력_구리근무자명단'!$A1421&amp;""),P1422)</f>
        <v/>
      </c>
      <c r="Q1423">
        <f>'입력_구리근무자명단'!$B1421&amp;""</f>
        <v/>
      </c>
      <c r="R1423">
        <f>IF($E$2="","",TRIM(INDEX('입력_구리근무자명단'!$A1421:$ZZ1421,1,$E$2+IF($G$2="확정",1,0))&amp;""))</f>
        <v/>
      </c>
      <c r="S1423">
        <f>IF($R1423="","",IF(INDEX('입력_구리근무자명단'!$A1421:$ZZ1421,1,$E$2+2)&amp;""="",급여기준월,IF(ISNUMBER(INDEX('입력_구리근무자명단'!$A1421:$ZZ1421,1,$E$2+2)),INDEX('입력_구리근무자명단'!$A1421:$ZZ1421,1,$E$2+2),IFERROR(DATE(VALUE(LEFT(INDEX('입력_구리근무자명단'!$A1421:$ZZ1421,1,$E$2+2),4)),VALUE(MID(INDEX('입력_구리근무자명단'!$A1421:$ZZ1421,1,$E$2+2),6,2)),VALUE(MID(INDEX('입력_구리근무자명단'!$A1421:$ZZ1421,1,$E$2+2),9,2))),-1))))</f>
        <v/>
      </c>
      <c r="T1423">
        <f>IF($R1423="","",IF(INDEX('입력_구리근무자명단'!$A1421:$ZZ1421,1,$E$2+3)&amp;""="",EOMONTH(급여기준월,0),IF(ISNUMBER(INDEX('입력_구리근무자명단'!$A1421:$ZZ1421,1,$E$2+3)),INDEX('입력_구리근무자명단'!$A1421:$ZZ1421,1,$E$2+3),IFERROR(DATE(VALUE(LEFT(INDEX('입력_구리근무자명단'!$A1421:$ZZ1421,1,$E$2+3),4)),VALUE(MID(INDEX('입력_구리근무자명단'!$A1421:$ZZ1421,1,$E$2+3),6,2)),VALUE(MID(INDEX('입력_구리근무자명단'!$A1421:$ZZ1421,1,$E$2+3),9,2))),-1))))</f>
        <v/>
      </c>
      <c r="U1423">
        <f>IF($R1423="","",IF(OR($S1423&lt;0,$T1423&lt;0),0,MAX(0,MIN($T1423,EOMONTH(급여기준월,0))-MAX($S1423,급여기준월)+1)))</f>
        <v/>
      </c>
      <c r="V1423">
        <f>IF($R1423="","",TRIM(INDEX('입력_구리근무자명단'!$A1421:$ZZ1421,1,$E$2+5)&amp;""))</f>
        <v/>
      </c>
      <c r="W1423">
        <f>IF(ISNUMBER(SEARCH("구리독자",$V1423)),"구리독자","")</f>
        <v/>
      </c>
      <c r="X1423">
        <f>IF($R1423="","",$R1423&amp;"|"&amp;IF(OR($Q1423="인턴",ISNUMBER(SEARCH("수련교육부",$P1423))),"인턴",$P1423))</f>
        <v/>
      </c>
      <c r="Y1423">
        <f>IF($R1423="","",IF(COUNTIF(명단표[이름|과],$X1423)=1,"명단 일치",IF(AND(COUNTIF(명단표[이름|과],$X1423)=0,COUNTIF(명단표[이름],$R1423)=1),"명단 일치(이름만, 과 다름)",IF(COUNTIF(명단표[이름],$R1423)=0,IF(COUNTIF(기본자료표[이름],$R1423)&gt;0,"명단에 없음(기본자료에는 있음)","명단에 없음"),"동명이인 확인"))))</f>
        <v/>
      </c>
      <c r="Z1423">
        <f>IF($R1423="","",IF($S1423&lt;0,"⚠"&amp;INDEX('입력_구리근무자명단'!$A1421:$ZZ1421,1,$E$2+2),TEXT($S1423,"yyyy-mm-dd")))</f>
        <v/>
      </c>
      <c r="AA1423">
        <f>IF($R1423="","",IF($T1423&lt;0,"⚠"&amp;INDEX('입력_구리근무자명단'!$A1421:$ZZ1421,1,$E$2+3),TEXT($T1423,"yyyy-mm-dd")))</f>
        <v/>
      </c>
      <c r="AB1423">
        <f>AB1422+IF($R1423="",0,1)</f>
        <v/>
      </c>
      <c r="AC1423">
        <f>IF($R1423="","",$AB1423)</f>
        <v/>
      </c>
    </row>
    <row r="1424">
      <c r="O1424">
        <f>1422</f>
        <v/>
      </c>
      <c r="P1424">
        <f>IF(TRIM('입력_구리근무자명단'!$A1422&amp;"")&lt;&gt;"",TRIM('입력_구리근무자명단'!$A1422&amp;""),P1423)</f>
        <v/>
      </c>
      <c r="Q1424">
        <f>'입력_구리근무자명단'!$B1422&amp;""</f>
        <v/>
      </c>
      <c r="R1424">
        <f>IF($E$2="","",TRIM(INDEX('입력_구리근무자명단'!$A1422:$ZZ1422,1,$E$2+IF($G$2="확정",1,0))&amp;""))</f>
        <v/>
      </c>
      <c r="S1424">
        <f>IF($R1424="","",IF(INDEX('입력_구리근무자명단'!$A1422:$ZZ1422,1,$E$2+2)&amp;""="",급여기준월,IF(ISNUMBER(INDEX('입력_구리근무자명단'!$A1422:$ZZ1422,1,$E$2+2)),INDEX('입력_구리근무자명단'!$A1422:$ZZ1422,1,$E$2+2),IFERROR(DATE(VALUE(LEFT(INDEX('입력_구리근무자명단'!$A1422:$ZZ1422,1,$E$2+2),4)),VALUE(MID(INDEX('입력_구리근무자명단'!$A1422:$ZZ1422,1,$E$2+2),6,2)),VALUE(MID(INDEX('입력_구리근무자명단'!$A1422:$ZZ1422,1,$E$2+2),9,2))),-1))))</f>
        <v/>
      </c>
      <c r="T1424">
        <f>IF($R1424="","",IF(INDEX('입력_구리근무자명단'!$A1422:$ZZ1422,1,$E$2+3)&amp;""="",EOMONTH(급여기준월,0),IF(ISNUMBER(INDEX('입력_구리근무자명단'!$A1422:$ZZ1422,1,$E$2+3)),INDEX('입력_구리근무자명단'!$A1422:$ZZ1422,1,$E$2+3),IFERROR(DATE(VALUE(LEFT(INDEX('입력_구리근무자명단'!$A1422:$ZZ1422,1,$E$2+3),4)),VALUE(MID(INDEX('입력_구리근무자명단'!$A1422:$ZZ1422,1,$E$2+3),6,2)),VALUE(MID(INDEX('입력_구리근무자명단'!$A1422:$ZZ1422,1,$E$2+3),9,2))),-1))))</f>
        <v/>
      </c>
      <c r="U1424">
        <f>IF($R1424="","",IF(OR($S1424&lt;0,$T1424&lt;0),0,MAX(0,MIN($T1424,EOMONTH(급여기준월,0))-MAX($S1424,급여기준월)+1)))</f>
        <v/>
      </c>
      <c r="V1424">
        <f>IF($R1424="","",TRIM(INDEX('입력_구리근무자명단'!$A1422:$ZZ1422,1,$E$2+5)&amp;""))</f>
        <v/>
      </c>
      <c r="W1424">
        <f>IF(ISNUMBER(SEARCH("구리독자",$V1424)),"구리독자","")</f>
        <v/>
      </c>
      <c r="X1424">
        <f>IF($R1424="","",$R1424&amp;"|"&amp;IF(OR($Q1424="인턴",ISNUMBER(SEARCH("수련교육부",$P1424))),"인턴",$P1424))</f>
        <v/>
      </c>
      <c r="Y1424">
        <f>IF($R1424="","",IF(COUNTIF(명단표[이름|과],$X1424)=1,"명단 일치",IF(AND(COUNTIF(명단표[이름|과],$X1424)=0,COUNTIF(명단표[이름],$R1424)=1),"명단 일치(이름만, 과 다름)",IF(COUNTIF(명단표[이름],$R1424)=0,IF(COUNTIF(기본자료표[이름],$R1424)&gt;0,"명단에 없음(기본자료에는 있음)","명단에 없음"),"동명이인 확인"))))</f>
        <v/>
      </c>
      <c r="Z1424">
        <f>IF($R1424="","",IF($S1424&lt;0,"⚠"&amp;INDEX('입력_구리근무자명단'!$A1422:$ZZ1422,1,$E$2+2),TEXT($S1424,"yyyy-mm-dd")))</f>
        <v/>
      </c>
      <c r="AA1424">
        <f>IF($R1424="","",IF($T1424&lt;0,"⚠"&amp;INDEX('입력_구리근무자명단'!$A1422:$ZZ1422,1,$E$2+3),TEXT($T1424,"yyyy-mm-dd")))</f>
        <v/>
      </c>
      <c r="AB1424">
        <f>AB1423+IF($R1424="",0,1)</f>
        <v/>
      </c>
      <c r="AC1424">
        <f>IF($R1424="","",$AB1424)</f>
        <v/>
      </c>
    </row>
    <row r="1425">
      <c r="O1425">
        <f>1423</f>
        <v/>
      </c>
      <c r="P1425">
        <f>IF(TRIM('입력_구리근무자명단'!$A1423&amp;"")&lt;&gt;"",TRIM('입력_구리근무자명단'!$A1423&amp;""),P1424)</f>
        <v/>
      </c>
      <c r="Q1425">
        <f>'입력_구리근무자명단'!$B1423&amp;""</f>
        <v/>
      </c>
      <c r="R1425">
        <f>IF($E$2="","",TRIM(INDEX('입력_구리근무자명단'!$A1423:$ZZ1423,1,$E$2+IF($G$2="확정",1,0))&amp;""))</f>
        <v/>
      </c>
      <c r="S1425">
        <f>IF($R1425="","",IF(INDEX('입력_구리근무자명단'!$A1423:$ZZ1423,1,$E$2+2)&amp;""="",급여기준월,IF(ISNUMBER(INDEX('입력_구리근무자명단'!$A1423:$ZZ1423,1,$E$2+2)),INDEX('입력_구리근무자명단'!$A1423:$ZZ1423,1,$E$2+2),IFERROR(DATE(VALUE(LEFT(INDEX('입력_구리근무자명단'!$A1423:$ZZ1423,1,$E$2+2),4)),VALUE(MID(INDEX('입력_구리근무자명단'!$A1423:$ZZ1423,1,$E$2+2),6,2)),VALUE(MID(INDEX('입력_구리근무자명단'!$A1423:$ZZ1423,1,$E$2+2),9,2))),-1))))</f>
        <v/>
      </c>
      <c r="T1425">
        <f>IF($R1425="","",IF(INDEX('입력_구리근무자명단'!$A1423:$ZZ1423,1,$E$2+3)&amp;""="",EOMONTH(급여기준월,0),IF(ISNUMBER(INDEX('입력_구리근무자명단'!$A1423:$ZZ1423,1,$E$2+3)),INDEX('입력_구리근무자명단'!$A1423:$ZZ1423,1,$E$2+3),IFERROR(DATE(VALUE(LEFT(INDEX('입력_구리근무자명단'!$A1423:$ZZ1423,1,$E$2+3),4)),VALUE(MID(INDEX('입력_구리근무자명단'!$A1423:$ZZ1423,1,$E$2+3),6,2)),VALUE(MID(INDEX('입력_구리근무자명단'!$A1423:$ZZ1423,1,$E$2+3),9,2))),-1))))</f>
        <v/>
      </c>
      <c r="U1425">
        <f>IF($R1425="","",IF(OR($S1425&lt;0,$T1425&lt;0),0,MAX(0,MIN($T1425,EOMONTH(급여기준월,0))-MAX($S1425,급여기준월)+1)))</f>
        <v/>
      </c>
      <c r="V1425">
        <f>IF($R1425="","",TRIM(INDEX('입력_구리근무자명단'!$A1423:$ZZ1423,1,$E$2+5)&amp;""))</f>
        <v/>
      </c>
      <c r="W1425">
        <f>IF(ISNUMBER(SEARCH("구리독자",$V1425)),"구리독자","")</f>
        <v/>
      </c>
      <c r="X1425">
        <f>IF($R1425="","",$R1425&amp;"|"&amp;IF(OR($Q1425="인턴",ISNUMBER(SEARCH("수련교육부",$P1425))),"인턴",$P1425))</f>
        <v/>
      </c>
      <c r="Y1425">
        <f>IF($R1425="","",IF(COUNTIF(명단표[이름|과],$X1425)=1,"명단 일치",IF(AND(COUNTIF(명단표[이름|과],$X1425)=0,COUNTIF(명단표[이름],$R1425)=1),"명단 일치(이름만, 과 다름)",IF(COUNTIF(명단표[이름],$R1425)=0,IF(COUNTIF(기본자료표[이름],$R1425)&gt;0,"명단에 없음(기본자료에는 있음)","명단에 없음"),"동명이인 확인"))))</f>
        <v/>
      </c>
      <c r="Z1425">
        <f>IF($R1425="","",IF($S1425&lt;0,"⚠"&amp;INDEX('입력_구리근무자명단'!$A1423:$ZZ1423,1,$E$2+2),TEXT($S1425,"yyyy-mm-dd")))</f>
        <v/>
      </c>
      <c r="AA1425">
        <f>IF($R1425="","",IF($T1425&lt;0,"⚠"&amp;INDEX('입력_구리근무자명단'!$A1423:$ZZ1423,1,$E$2+3),TEXT($T1425,"yyyy-mm-dd")))</f>
        <v/>
      </c>
      <c r="AB1425">
        <f>AB1424+IF($R1425="",0,1)</f>
        <v/>
      </c>
      <c r="AC1425">
        <f>IF($R1425="","",$AB1425)</f>
        <v/>
      </c>
    </row>
    <row r="1426">
      <c r="O1426">
        <f>1424</f>
        <v/>
      </c>
      <c r="P1426">
        <f>IF(TRIM('입력_구리근무자명단'!$A1424&amp;"")&lt;&gt;"",TRIM('입력_구리근무자명단'!$A1424&amp;""),P1425)</f>
        <v/>
      </c>
      <c r="Q1426">
        <f>'입력_구리근무자명단'!$B1424&amp;""</f>
        <v/>
      </c>
      <c r="R1426">
        <f>IF($E$2="","",TRIM(INDEX('입력_구리근무자명단'!$A1424:$ZZ1424,1,$E$2+IF($G$2="확정",1,0))&amp;""))</f>
        <v/>
      </c>
      <c r="S1426">
        <f>IF($R1426="","",IF(INDEX('입력_구리근무자명단'!$A1424:$ZZ1424,1,$E$2+2)&amp;""="",급여기준월,IF(ISNUMBER(INDEX('입력_구리근무자명단'!$A1424:$ZZ1424,1,$E$2+2)),INDEX('입력_구리근무자명단'!$A1424:$ZZ1424,1,$E$2+2),IFERROR(DATE(VALUE(LEFT(INDEX('입력_구리근무자명단'!$A1424:$ZZ1424,1,$E$2+2),4)),VALUE(MID(INDEX('입력_구리근무자명단'!$A1424:$ZZ1424,1,$E$2+2),6,2)),VALUE(MID(INDEX('입력_구리근무자명단'!$A1424:$ZZ1424,1,$E$2+2),9,2))),-1))))</f>
        <v/>
      </c>
      <c r="T1426">
        <f>IF($R1426="","",IF(INDEX('입력_구리근무자명단'!$A1424:$ZZ1424,1,$E$2+3)&amp;""="",EOMONTH(급여기준월,0),IF(ISNUMBER(INDEX('입력_구리근무자명단'!$A1424:$ZZ1424,1,$E$2+3)),INDEX('입력_구리근무자명단'!$A1424:$ZZ1424,1,$E$2+3),IFERROR(DATE(VALUE(LEFT(INDEX('입력_구리근무자명단'!$A1424:$ZZ1424,1,$E$2+3),4)),VALUE(MID(INDEX('입력_구리근무자명단'!$A1424:$ZZ1424,1,$E$2+3),6,2)),VALUE(MID(INDEX('입력_구리근무자명단'!$A1424:$ZZ1424,1,$E$2+3),9,2))),-1))))</f>
        <v/>
      </c>
      <c r="U1426">
        <f>IF($R1426="","",IF(OR($S1426&lt;0,$T1426&lt;0),0,MAX(0,MIN($T1426,EOMONTH(급여기준월,0))-MAX($S1426,급여기준월)+1)))</f>
        <v/>
      </c>
      <c r="V1426">
        <f>IF($R1426="","",TRIM(INDEX('입력_구리근무자명단'!$A1424:$ZZ1424,1,$E$2+5)&amp;""))</f>
        <v/>
      </c>
      <c r="W1426">
        <f>IF(ISNUMBER(SEARCH("구리독자",$V1426)),"구리독자","")</f>
        <v/>
      </c>
      <c r="X1426">
        <f>IF($R1426="","",$R1426&amp;"|"&amp;IF(OR($Q1426="인턴",ISNUMBER(SEARCH("수련교육부",$P1426))),"인턴",$P1426))</f>
        <v/>
      </c>
      <c r="Y1426">
        <f>IF($R1426="","",IF(COUNTIF(명단표[이름|과],$X1426)=1,"명단 일치",IF(AND(COUNTIF(명단표[이름|과],$X1426)=0,COUNTIF(명단표[이름],$R1426)=1),"명단 일치(이름만, 과 다름)",IF(COUNTIF(명단표[이름],$R1426)=0,IF(COUNTIF(기본자료표[이름],$R1426)&gt;0,"명단에 없음(기본자료에는 있음)","명단에 없음"),"동명이인 확인"))))</f>
        <v/>
      </c>
      <c r="Z1426">
        <f>IF($R1426="","",IF($S1426&lt;0,"⚠"&amp;INDEX('입력_구리근무자명단'!$A1424:$ZZ1424,1,$E$2+2),TEXT($S1426,"yyyy-mm-dd")))</f>
        <v/>
      </c>
      <c r="AA1426">
        <f>IF($R1426="","",IF($T1426&lt;0,"⚠"&amp;INDEX('입력_구리근무자명단'!$A1424:$ZZ1424,1,$E$2+3),TEXT($T1426,"yyyy-mm-dd")))</f>
        <v/>
      </c>
      <c r="AB1426">
        <f>AB1425+IF($R1426="",0,1)</f>
        <v/>
      </c>
      <c r="AC1426">
        <f>IF($R1426="","",$AB1426)</f>
        <v/>
      </c>
    </row>
    <row r="1427">
      <c r="O1427">
        <f>1425</f>
        <v/>
      </c>
      <c r="P1427">
        <f>IF(TRIM('입력_구리근무자명단'!$A1425&amp;"")&lt;&gt;"",TRIM('입력_구리근무자명단'!$A1425&amp;""),P1426)</f>
        <v/>
      </c>
      <c r="Q1427">
        <f>'입력_구리근무자명단'!$B1425&amp;""</f>
        <v/>
      </c>
      <c r="R1427">
        <f>IF($E$2="","",TRIM(INDEX('입력_구리근무자명단'!$A1425:$ZZ1425,1,$E$2+IF($G$2="확정",1,0))&amp;""))</f>
        <v/>
      </c>
      <c r="S1427">
        <f>IF($R1427="","",IF(INDEX('입력_구리근무자명단'!$A1425:$ZZ1425,1,$E$2+2)&amp;""="",급여기준월,IF(ISNUMBER(INDEX('입력_구리근무자명단'!$A1425:$ZZ1425,1,$E$2+2)),INDEX('입력_구리근무자명단'!$A1425:$ZZ1425,1,$E$2+2),IFERROR(DATE(VALUE(LEFT(INDEX('입력_구리근무자명단'!$A1425:$ZZ1425,1,$E$2+2),4)),VALUE(MID(INDEX('입력_구리근무자명단'!$A1425:$ZZ1425,1,$E$2+2),6,2)),VALUE(MID(INDEX('입력_구리근무자명단'!$A1425:$ZZ1425,1,$E$2+2),9,2))),-1))))</f>
        <v/>
      </c>
      <c r="T1427">
        <f>IF($R1427="","",IF(INDEX('입력_구리근무자명단'!$A1425:$ZZ1425,1,$E$2+3)&amp;""="",EOMONTH(급여기준월,0),IF(ISNUMBER(INDEX('입력_구리근무자명단'!$A1425:$ZZ1425,1,$E$2+3)),INDEX('입력_구리근무자명단'!$A1425:$ZZ1425,1,$E$2+3),IFERROR(DATE(VALUE(LEFT(INDEX('입력_구리근무자명단'!$A1425:$ZZ1425,1,$E$2+3),4)),VALUE(MID(INDEX('입력_구리근무자명단'!$A1425:$ZZ1425,1,$E$2+3),6,2)),VALUE(MID(INDEX('입력_구리근무자명단'!$A1425:$ZZ1425,1,$E$2+3),9,2))),-1))))</f>
        <v/>
      </c>
      <c r="U1427">
        <f>IF($R1427="","",IF(OR($S1427&lt;0,$T1427&lt;0),0,MAX(0,MIN($T1427,EOMONTH(급여기준월,0))-MAX($S1427,급여기준월)+1)))</f>
        <v/>
      </c>
      <c r="V1427">
        <f>IF($R1427="","",TRIM(INDEX('입력_구리근무자명단'!$A1425:$ZZ1425,1,$E$2+5)&amp;""))</f>
        <v/>
      </c>
      <c r="W1427">
        <f>IF(ISNUMBER(SEARCH("구리독자",$V1427)),"구리독자","")</f>
        <v/>
      </c>
      <c r="X1427">
        <f>IF($R1427="","",$R1427&amp;"|"&amp;IF(OR($Q1427="인턴",ISNUMBER(SEARCH("수련교육부",$P1427))),"인턴",$P1427))</f>
        <v/>
      </c>
      <c r="Y1427">
        <f>IF($R1427="","",IF(COUNTIF(명단표[이름|과],$X1427)=1,"명단 일치",IF(AND(COUNTIF(명단표[이름|과],$X1427)=0,COUNTIF(명단표[이름],$R1427)=1),"명단 일치(이름만, 과 다름)",IF(COUNTIF(명단표[이름],$R1427)=0,IF(COUNTIF(기본자료표[이름],$R1427)&gt;0,"명단에 없음(기본자료에는 있음)","명단에 없음"),"동명이인 확인"))))</f>
        <v/>
      </c>
      <c r="Z1427">
        <f>IF($R1427="","",IF($S1427&lt;0,"⚠"&amp;INDEX('입력_구리근무자명단'!$A1425:$ZZ1425,1,$E$2+2),TEXT($S1427,"yyyy-mm-dd")))</f>
        <v/>
      </c>
      <c r="AA1427">
        <f>IF($R1427="","",IF($T1427&lt;0,"⚠"&amp;INDEX('입력_구리근무자명단'!$A1425:$ZZ1425,1,$E$2+3),TEXT($T1427,"yyyy-mm-dd")))</f>
        <v/>
      </c>
      <c r="AB1427">
        <f>AB1426+IF($R1427="",0,1)</f>
        <v/>
      </c>
      <c r="AC1427">
        <f>IF($R1427="","",$AB1427)</f>
        <v/>
      </c>
    </row>
    <row r="1428">
      <c r="O1428">
        <f>1426</f>
        <v/>
      </c>
      <c r="P1428">
        <f>IF(TRIM('입력_구리근무자명단'!$A1426&amp;"")&lt;&gt;"",TRIM('입력_구리근무자명단'!$A1426&amp;""),P1427)</f>
        <v/>
      </c>
      <c r="Q1428">
        <f>'입력_구리근무자명단'!$B1426&amp;""</f>
        <v/>
      </c>
      <c r="R1428">
        <f>IF($E$2="","",TRIM(INDEX('입력_구리근무자명단'!$A1426:$ZZ1426,1,$E$2+IF($G$2="확정",1,0))&amp;""))</f>
        <v/>
      </c>
      <c r="S1428">
        <f>IF($R1428="","",IF(INDEX('입력_구리근무자명단'!$A1426:$ZZ1426,1,$E$2+2)&amp;""="",급여기준월,IF(ISNUMBER(INDEX('입력_구리근무자명단'!$A1426:$ZZ1426,1,$E$2+2)),INDEX('입력_구리근무자명단'!$A1426:$ZZ1426,1,$E$2+2),IFERROR(DATE(VALUE(LEFT(INDEX('입력_구리근무자명단'!$A1426:$ZZ1426,1,$E$2+2),4)),VALUE(MID(INDEX('입력_구리근무자명단'!$A1426:$ZZ1426,1,$E$2+2),6,2)),VALUE(MID(INDEX('입력_구리근무자명단'!$A1426:$ZZ1426,1,$E$2+2),9,2))),-1))))</f>
        <v/>
      </c>
      <c r="T1428">
        <f>IF($R1428="","",IF(INDEX('입력_구리근무자명단'!$A1426:$ZZ1426,1,$E$2+3)&amp;""="",EOMONTH(급여기준월,0),IF(ISNUMBER(INDEX('입력_구리근무자명단'!$A1426:$ZZ1426,1,$E$2+3)),INDEX('입력_구리근무자명단'!$A1426:$ZZ1426,1,$E$2+3),IFERROR(DATE(VALUE(LEFT(INDEX('입력_구리근무자명단'!$A1426:$ZZ1426,1,$E$2+3),4)),VALUE(MID(INDEX('입력_구리근무자명단'!$A1426:$ZZ1426,1,$E$2+3),6,2)),VALUE(MID(INDEX('입력_구리근무자명단'!$A1426:$ZZ1426,1,$E$2+3),9,2))),-1))))</f>
        <v/>
      </c>
      <c r="U1428">
        <f>IF($R1428="","",IF(OR($S1428&lt;0,$T1428&lt;0),0,MAX(0,MIN($T1428,EOMONTH(급여기준월,0))-MAX($S1428,급여기준월)+1)))</f>
        <v/>
      </c>
      <c r="V1428">
        <f>IF($R1428="","",TRIM(INDEX('입력_구리근무자명단'!$A1426:$ZZ1426,1,$E$2+5)&amp;""))</f>
        <v/>
      </c>
      <c r="W1428">
        <f>IF(ISNUMBER(SEARCH("구리독자",$V1428)),"구리독자","")</f>
        <v/>
      </c>
      <c r="X1428">
        <f>IF($R1428="","",$R1428&amp;"|"&amp;IF(OR($Q1428="인턴",ISNUMBER(SEARCH("수련교육부",$P1428))),"인턴",$P1428))</f>
        <v/>
      </c>
      <c r="Y1428">
        <f>IF($R1428="","",IF(COUNTIF(명단표[이름|과],$X1428)=1,"명단 일치",IF(AND(COUNTIF(명단표[이름|과],$X1428)=0,COUNTIF(명단표[이름],$R1428)=1),"명단 일치(이름만, 과 다름)",IF(COUNTIF(명단표[이름],$R1428)=0,IF(COUNTIF(기본자료표[이름],$R1428)&gt;0,"명단에 없음(기본자료에는 있음)","명단에 없음"),"동명이인 확인"))))</f>
        <v/>
      </c>
      <c r="Z1428">
        <f>IF($R1428="","",IF($S1428&lt;0,"⚠"&amp;INDEX('입력_구리근무자명단'!$A1426:$ZZ1426,1,$E$2+2),TEXT($S1428,"yyyy-mm-dd")))</f>
        <v/>
      </c>
      <c r="AA1428">
        <f>IF($R1428="","",IF($T1428&lt;0,"⚠"&amp;INDEX('입력_구리근무자명단'!$A1426:$ZZ1426,1,$E$2+3),TEXT($T1428,"yyyy-mm-dd")))</f>
        <v/>
      </c>
      <c r="AB1428">
        <f>AB1427+IF($R1428="",0,1)</f>
        <v/>
      </c>
      <c r="AC1428">
        <f>IF($R1428="","",$AB1428)</f>
        <v/>
      </c>
    </row>
    <row r="1429">
      <c r="O1429">
        <f>1427</f>
        <v/>
      </c>
      <c r="P1429">
        <f>IF(TRIM('입력_구리근무자명단'!$A1427&amp;"")&lt;&gt;"",TRIM('입력_구리근무자명단'!$A1427&amp;""),P1428)</f>
        <v/>
      </c>
      <c r="Q1429">
        <f>'입력_구리근무자명단'!$B1427&amp;""</f>
        <v/>
      </c>
      <c r="R1429">
        <f>IF($E$2="","",TRIM(INDEX('입력_구리근무자명단'!$A1427:$ZZ1427,1,$E$2+IF($G$2="확정",1,0))&amp;""))</f>
        <v/>
      </c>
      <c r="S1429">
        <f>IF($R1429="","",IF(INDEX('입력_구리근무자명단'!$A1427:$ZZ1427,1,$E$2+2)&amp;""="",급여기준월,IF(ISNUMBER(INDEX('입력_구리근무자명단'!$A1427:$ZZ1427,1,$E$2+2)),INDEX('입력_구리근무자명단'!$A1427:$ZZ1427,1,$E$2+2),IFERROR(DATE(VALUE(LEFT(INDEX('입력_구리근무자명단'!$A1427:$ZZ1427,1,$E$2+2),4)),VALUE(MID(INDEX('입력_구리근무자명단'!$A1427:$ZZ1427,1,$E$2+2),6,2)),VALUE(MID(INDEX('입력_구리근무자명단'!$A1427:$ZZ1427,1,$E$2+2),9,2))),-1))))</f>
        <v/>
      </c>
      <c r="T1429">
        <f>IF($R1429="","",IF(INDEX('입력_구리근무자명단'!$A1427:$ZZ1427,1,$E$2+3)&amp;""="",EOMONTH(급여기준월,0),IF(ISNUMBER(INDEX('입력_구리근무자명단'!$A1427:$ZZ1427,1,$E$2+3)),INDEX('입력_구리근무자명단'!$A1427:$ZZ1427,1,$E$2+3),IFERROR(DATE(VALUE(LEFT(INDEX('입력_구리근무자명단'!$A1427:$ZZ1427,1,$E$2+3),4)),VALUE(MID(INDEX('입력_구리근무자명단'!$A1427:$ZZ1427,1,$E$2+3),6,2)),VALUE(MID(INDEX('입력_구리근무자명단'!$A1427:$ZZ1427,1,$E$2+3),9,2))),-1))))</f>
        <v/>
      </c>
      <c r="U1429">
        <f>IF($R1429="","",IF(OR($S1429&lt;0,$T1429&lt;0),0,MAX(0,MIN($T1429,EOMONTH(급여기준월,0))-MAX($S1429,급여기준월)+1)))</f>
        <v/>
      </c>
      <c r="V1429">
        <f>IF($R1429="","",TRIM(INDEX('입력_구리근무자명단'!$A1427:$ZZ1427,1,$E$2+5)&amp;""))</f>
        <v/>
      </c>
      <c r="W1429">
        <f>IF(ISNUMBER(SEARCH("구리독자",$V1429)),"구리독자","")</f>
        <v/>
      </c>
      <c r="X1429">
        <f>IF($R1429="","",$R1429&amp;"|"&amp;IF(OR($Q1429="인턴",ISNUMBER(SEARCH("수련교육부",$P1429))),"인턴",$P1429))</f>
        <v/>
      </c>
      <c r="Y1429">
        <f>IF($R1429="","",IF(COUNTIF(명단표[이름|과],$X1429)=1,"명단 일치",IF(AND(COUNTIF(명단표[이름|과],$X1429)=0,COUNTIF(명단표[이름],$R1429)=1),"명단 일치(이름만, 과 다름)",IF(COUNTIF(명단표[이름],$R1429)=0,IF(COUNTIF(기본자료표[이름],$R1429)&gt;0,"명단에 없음(기본자료에는 있음)","명단에 없음"),"동명이인 확인"))))</f>
        <v/>
      </c>
      <c r="Z1429">
        <f>IF($R1429="","",IF($S1429&lt;0,"⚠"&amp;INDEX('입력_구리근무자명단'!$A1427:$ZZ1427,1,$E$2+2),TEXT($S1429,"yyyy-mm-dd")))</f>
        <v/>
      </c>
      <c r="AA1429">
        <f>IF($R1429="","",IF($T1429&lt;0,"⚠"&amp;INDEX('입력_구리근무자명단'!$A1427:$ZZ1427,1,$E$2+3),TEXT($T1429,"yyyy-mm-dd")))</f>
        <v/>
      </c>
      <c r="AB1429">
        <f>AB1428+IF($R1429="",0,1)</f>
        <v/>
      </c>
      <c r="AC1429">
        <f>IF($R1429="","",$AB1429)</f>
        <v/>
      </c>
    </row>
    <row r="1430">
      <c r="O1430">
        <f>1428</f>
        <v/>
      </c>
      <c r="P1430">
        <f>IF(TRIM('입력_구리근무자명단'!$A1428&amp;"")&lt;&gt;"",TRIM('입력_구리근무자명단'!$A1428&amp;""),P1429)</f>
        <v/>
      </c>
      <c r="Q1430">
        <f>'입력_구리근무자명단'!$B1428&amp;""</f>
        <v/>
      </c>
      <c r="R1430">
        <f>IF($E$2="","",TRIM(INDEX('입력_구리근무자명단'!$A1428:$ZZ1428,1,$E$2+IF($G$2="확정",1,0))&amp;""))</f>
        <v/>
      </c>
      <c r="S1430">
        <f>IF($R1430="","",IF(INDEX('입력_구리근무자명단'!$A1428:$ZZ1428,1,$E$2+2)&amp;""="",급여기준월,IF(ISNUMBER(INDEX('입력_구리근무자명단'!$A1428:$ZZ1428,1,$E$2+2)),INDEX('입력_구리근무자명단'!$A1428:$ZZ1428,1,$E$2+2),IFERROR(DATE(VALUE(LEFT(INDEX('입력_구리근무자명단'!$A1428:$ZZ1428,1,$E$2+2),4)),VALUE(MID(INDEX('입력_구리근무자명단'!$A1428:$ZZ1428,1,$E$2+2),6,2)),VALUE(MID(INDEX('입력_구리근무자명단'!$A1428:$ZZ1428,1,$E$2+2),9,2))),-1))))</f>
        <v/>
      </c>
      <c r="T1430">
        <f>IF($R1430="","",IF(INDEX('입력_구리근무자명단'!$A1428:$ZZ1428,1,$E$2+3)&amp;""="",EOMONTH(급여기준월,0),IF(ISNUMBER(INDEX('입력_구리근무자명단'!$A1428:$ZZ1428,1,$E$2+3)),INDEX('입력_구리근무자명단'!$A1428:$ZZ1428,1,$E$2+3),IFERROR(DATE(VALUE(LEFT(INDEX('입력_구리근무자명단'!$A1428:$ZZ1428,1,$E$2+3),4)),VALUE(MID(INDEX('입력_구리근무자명단'!$A1428:$ZZ1428,1,$E$2+3),6,2)),VALUE(MID(INDEX('입력_구리근무자명단'!$A1428:$ZZ1428,1,$E$2+3),9,2))),-1))))</f>
        <v/>
      </c>
      <c r="U1430">
        <f>IF($R1430="","",IF(OR($S1430&lt;0,$T1430&lt;0),0,MAX(0,MIN($T1430,EOMONTH(급여기준월,0))-MAX($S1430,급여기준월)+1)))</f>
        <v/>
      </c>
      <c r="V1430">
        <f>IF($R1430="","",TRIM(INDEX('입력_구리근무자명단'!$A1428:$ZZ1428,1,$E$2+5)&amp;""))</f>
        <v/>
      </c>
      <c r="W1430">
        <f>IF(ISNUMBER(SEARCH("구리독자",$V1430)),"구리독자","")</f>
        <v/>
      </c>
      <c r="X1430">
        <f>IF($R1430="","",$R1430&amp;"|"&amp;IF(OR($Q1430="인턴",ISNUMBER(SEARCH("수련교육부",$P1430))),"인턴",$P1430))</f>
        <v/>
      </c>
      <c r="Y1430">
        <f>IF($R1430="","",IF(COUNTIF(명단표[이름|과],$X1430)=1,"명단 일치",IF(AND(COUNTIF(명단표[이름|과],$X1430)=0,COUNTIF(명단표[이름],$R1430)=1),"명단 일치(이름만, 과 다름)",IF(COUNTIF(명단표[이름],$R1430)=0,IF(COUNTIF(기본자료표[이름],$R1430)&gt;0,"명단에 없음(기본자료에는 있음)","명단에 없음"),"동명이인 확인"))))</f>
        <v/>
      </c>
      <c r="Z1430">
        <f>IF($R1430="","",IF($S1430&lt;0,"⚠"&amp;INDEX('입력_구리근무자명단'!$A1428:$ZZ1428,1,$E$2+2),TEXT($S1430,"yyyy-mm-dd")))</f>
        <v/>
      </c>
      <c r="AA1430">
        <f>IF($R1430="","",IF($T1430&lt;0,"⚠"&amp;INDEX('입력_구리근무자명단'!$A1428:$ZZ1428,1,$E$2+3),TEXT($T1430,"yyyy-mm-dd")))</f>
        <v/>
      </c>
      <c r="AB1430">
        <f>AB1429+IF($R1430="",0,1)</f>
        <v/>
      </c>
      <c r="AC1430">
        <f>IF($R1430="","",$AB1430)</f>
        <v/>
      </c>
    </row>
    <row r="1431">
      <c r="O1431">
        <f>1429</f>
        <v/>
      </c>
      <c r="P1431">
        <f>IF(TRIM('입력_구리근무자명단'!$A1429&amp;"")&lt;&gt;"",TRIM('입력_구리근무자명단'!$A1429&amp;""),P1430)</f>
        <v/>
      </c>
      <c r="Q1431">
        <f>'입력_구리근무자명단'!$B1429&amp;""</f>
        <v/>
      </c>
      <c r="R1431">
        <f>IF($E$2="","",TRIM(INDEX('입력_구리근무자명단'!$A1429:$ZZ1429,1,$E$2+IF($G$2="확정",1,0))&amp;""))</f>
        <v/>
      </c>
      <c r="S1431">
        <f>IF($R1431="","",IF(INDEX('입력_구리근무자명단'!$A1429:$ZZ1429,1,$E$2+2)&amp;""="",급여기준월,IF(ISNUMBER(INDEX('입력_구리근무자명단'!$A1429:$ZZ1429,1,$E$2+2)),INDEX('입력_구리근무자명단'!$A1429:$ZZ1429,1,$E$2+2),IFERROR(DATE(VALUE(LEFT(INDEX('입력_구리근무자명단'!$A1429:$ZZ1429,1,$E$2+2),4)),VALUE(MID(INDEX('입력_구리근무자명단'!$A1429:$ZZ1429,1,$E$2+2),6,2)),VALUE(MID(INDEX('입력_구리근무자명단'!$A1429:$ZZ1429,1,$E$2+2),9,2))),-1))))</f>
        <v/>
      </c>
      <c r="T1431">
        <f>IF($R1431="","",IF(INDEX('입력_구리근무자명단'!$A1429:$ZZ1429,1,$E$2+3)&amp;""="",EOMONTH(급여기준월,0),IF(ISNUMBER(INDEX('입력_구리근무자명단'!$A1429:$ZZ1429,1,$E$2+3)),INDEX('입력_구리근무자명단'!$A1429:$ZZ1429,1,$E$2+3),IFERROR(DATE(VALUE(LEFT(INDEX('입력_구리근무자명단'!$A1429:$ZZ1429,1,$E$2+3),4)),VALUE(MID(INDEX('입력_구리근무자명단'!$A1429:$ZZ1429,1,$E$2+3),6,2)),VALUE(MID(INDEX('입력_구리근무자명단'!$A1429:$ZZ1429,1,$E$2+3),9,2))),-1))))</f>
        <v/>
      </c>
      <c r="U1431">
        <f>IF($R1431="","",IF(OR($S1431&lt;0,$T1431&lt;0),0,MAX(0,MIN($T1431,EOMONTH(급여기준월,0))-MAX($S1431,급여기준월)+1)))</f>
        <v/>
      </c>
      <c r="V1431">
        <f>IF($R1431="","",TRIM(INDEX('입력_구리근무자명단'!$A1429:$ZZ1429,1,$E$2+5)&amp;""))</f>
        <v/>
      </c>
      <c r="W1431">
        <f>IF(ISNUMBER(SEARCH("구리독자",$V1431)),"구리독자","")</f>
        <v/>
      </c>
      <c r="X1431">
        <f>IF($R1431="","",$R1431&amp;"|"&amp;IF(OR($Q1431="인턴",ISNUMBER(SEARCH("수련교육부",$P1431))),"인턴",$P1431))</f>
        <v/>
      </c>
      <c r="Y1431">
        <f>IF($R1431="","",IF(COUNTIF(명단표[이름|과],$X1431)=1,"명단 일치",IF(AND(COUNTIF(명단표[이름|과],$X1431)=0,COUNTIF(명단표[이름],$R1431)=1),"명단 일치(이름만, 과 다름)",IF(COUNTIF(명단표[이름],$R1431)=0,IF(COUNTIF(기본자료표[이름],$R1431)&gt;0,"명단에 없음(기본자료에는 있음)","명단에 없음"),"동명이인 확인"))))</f>
        <v/>
      </c>
      <c r="Z1431">
        <f>IF($R1431="","",IF($S1431&lt;0,"⚠"&amp;INDEX('입력_구리근무자명단'!$A1429:$ZZ1429,1,$E$2+2),TEXT($S1431,"yyyy-mm-dd")))</f>
        <v/>
      </c>
      <c r="AA1431">
        <f>IF($R1431="","",IF($T1431&lt;0,"⚠"&amp;INDEX('입력_구리근무자명단'!$A1429:$ZZ1429,1,$E$2+3),TEXT($T1431,"yyyy-mm-dd")))</f>
        <v/>
      </c>
      <c r="AB1431">
        <f>AB1430+IF($R1431="",0,1)</f>
        <v/>
      </c>
      <c r="AC1431">
        <f>IF($R1431="","",$AB1431)</f>
        <v/>
      </c>
    </row>
    <row r="1432">
      <c r="O1432">
        <f>1430</f>
        <v/>
      </c>
      <c r="P1432">
        <f>IF(TRIM('입력_구리근무자명단'!$A1430&amp;"")&lt;&gt;"",TRIM('입력_구리근무자명단'!$A1430&amp;""),P1431)</f>
        <v/>
      </c>
      <c r="Q1432">
        <f>'입력_구리근무자명단'!$B1430&amp;""</f>
        <v/>
      </c>
      <c r="R1432">
        <f>IF($E$2="","",TRIM(INDEX('입력_구리근무자명단'!$A1430:$ZZ1430,1,$E$2+IF($G$2="확정",1,0))&amp;""))</f>
        <v/>
      </c>
      <c r="S1432">
        <f>IF($R1432="","",IF(INDEX('입력_구리근무자명단'!$A1430:$ZZ1430,1,$E$2+2)&amp;""="",급여기준월,IF(ISNUMBER(INDEX('입력_구리근무자명단'!$A1430:$ZZ1430,1,$E$2+2)),INDEX('입력_구리근무자명단'!$A1430:$ZZ1430,1,$E$2+2),IFERROR(DATE(VALUE(LEFT(INDEX('입력_구리근무자명단'!$A1430:$ZZ1430,1,$E$2+2),4)),VALUE(MID(INDEX('입력_구리근무자명단'!$A1430:$ZZ1430,1,$E$2+2),6,2)),VALUE(MID(INDEX('입력_구리근무자명단'!$A1430:$ZZ1430,1,$E$2+2),9,2))),-1))))</f>
        <v/>
      </c>
      <c r="T1432">
        <f>IF($R1432="","",IF(INDEX('입력_구리근무자명단'!$A1430:$ZZ1430,1,$E$2+3)&amp;""="",EOMONTH(급여기준월,0),IF(ISNUMBER(INDEX('입력_구리근무자명단'!$A1430:$ZZ1430,1,$E$2+3)),INDEX('입력_구리근무자명단'!$A1430:$ZZ1430,1,$E$2+3),IFERROR(DATE(VALUE(LEFT(INDEX('입력_구리근무자명단'!$A1430:$ZZ1430,1,$E$2+3),4)),VALUE(MID(INDEX('입력_구리근무자명단'!$A1430:$ZZ1430,1,$E$2+3),6,2)),VALUE(MID(INDEX('입력_구리근무자명단'!$A1430:$ZZ1430,1,$E$2+3),9,2))),-1))))</f>
        <v/>
      </c>
      <c r="U1432">
        <f>IF($R1432="","",IF(OR($S1432&lt;0,$T1432&lt;0),0,MAX(0,MIN($T1432,EOMONTH(급여기준월,0))-MAX($S1432,급여기준월)+1)))</f>
        <v/>
      </c>
      <c r="V1432">
        <f>IF($R1432="","",TRIM(INDEX('입력_구리근무자명단'!$A1430:$ZZ1430,1,$E$2+5)&amp;""))</f>
        <v/>
      </c>
      <c r="W1432">
        <f>IF(ISNUMBER(SEARCH("구리독자",$V1432)),"구리독자","")</f>
        <v/>
      </c>
      <c r="X1432">
        <f>IF($R1432="","",$R1432&amp;"|"&amp;IF(OR($Q1432="인턴",ISNUMBER(SEARCH("수련교육부",$P1432))),"인턴",$P1432))</f>
        <v/>
      </c>
      <c r="Y1432">
        <f>IF($R1432="","",IF(COUNTIF(명단표[이름|과],$X1432)=1,"명단 일치",IF(AND(COUNTIF(명단표[이름|과],$X1432)=0,COUNTIF(명단표[이름],$R1432)=1),"명단 일치(이름만, 과 다름)",IF(COUNTIF(명단표[이름],$R1432)=0,IF(COUNTIF(기본자료표[이름],$R1432)&gt;0,"명단에 없음(기본자료에는 있음)","명단에 없음"),"동명이인 확인"))))</f>
        <v/>
      </c>
      <c r="Z1432">
        <f>IF($R1432="","",IF($S1432&lt;0,"⚠"&amp;INDEX('입력_구리근무자명단'!$A1430:$ZZ1430,1,$E$2+2),TEXT($S1432,"yyyy-mm-dd")))</f>
        <v/>
      </c>
      <c r="AA1432">
        <f>IF($R1432="","",IF($T1432&lt;0,"⚠"&amp;INDEX('입력_구리근무자명단'!$A1430:$ZZ1430,1,$E$2+3),TEXT($T1432,"yyyy-mm-dd")))</f>
        <v/>
      </c>
      <c r="AB1432">
        <f>AB1431+IF($R1432="",0,1)</f>
        <v/>
      </c>
      <c r="AC1432">
        <f>IF($R1432="","",$AB1432)</f>
        <v/>
      </c>
    </row>
    <row r="1433">
      <c r="O1433">
        <f>1431</f>
        <v/>
      </c>
      <c r="P1433">
        <f>IF(TRIM('입력_구리근무자명단'!$A1431&amp;"")&lt;&gt;"",TRIM('입력_구리근무자명단'!$A1431&amp;""),P1432)</f>
        <v/>
      </c>
      <c r="Q1433">
        <f>'입력_구리근무자명단'!$B1431&amp;""</f>
        <v/>
      </c>
      <c r="R1433">
        <f>IF($E$2="","",TRIM(INDEX('입력_구리근무자명단'!$A1431:$ZZ1431,1,$E$2+IF($G$2="확정",1,0))&amp;""))</f>
        <v/>
      </c>
      <c r="S1433">
        <f>IF($R1433="","",IF(INDEX('입력_구리근무자명단'!$A1431:$ZZ1431,1,$E$2+2)&amp;""="",급여기준월,IF(ISNUMBER(INDEX('입력_구리근무자명단'!$A1431:$ZZ1431,1,$E$2+2)),INDEX('입력_구리근무자명단'!$A1431:$ZZ1431,1,$E$2+2),IFERROR(DATE(VALUE(LEFT(INDEX('입력_구리근무자명단'!$A1431:$ZZ1431,1,$E$2+2),4)),VALUE(MID(INDEX('입력_구리근무자명단'!$A1431:$ZZ1431,1,$E$2+2),6,2)),VALUE(MID(INDEX('입력_구리근무자명단'!$A1431:$ZZ1431,1,$E$2+2),9,2))),-1))))</f>
        <v/>
      </c>
      <c r="T1433">
        <f>IF($R1433="","",IF(INDEX('입력_구리근무자명단'!$A1431:$ZZ1431,1,$E$2+3)&amp;""="",EOMONTH(급여기준월,0),IF(ISNUMBER(INDEX('입력_구리근무자명단'!$A1431:$ZZ1431,1,$E$2+3)),INDEX('입력_구리근무자명단'!$A1431:$ZZ1431,1,$E$2+3),IFERROR(DATE(VALUE(LEFT(INDEX('입력_구리근무자명단'!$A1431:$ZZ1431,1,$E$2+3),4)),VALUE(MID(INDEX('입력_구리근무자명단'!$A1431:$ZZ1431,1,$E$2+3),6,2)),VALUE(MID(INDEX('입력_구리근무자명단'!$A1431:$ZZ1431,1,$E$2+3),9,2))),-1))))</f>
        <v/>
      </c>
      <c r="U1433">
        <f>IF($R1433="","",IF(OR($S1433&lt;0,$T1433&lt;0),0,MAX(0,MIN($T1433,EOMONTH(급여기준월,0))-MAX($S1433,급여기준월)+1)))</f>
        <v/>
      </c>
      <c r="V1433">
        <f>IF($R1433="","",TRIM(INDEX('입력_구리근무자명단'!$A1431:$ZZ1431,1,$E$2+5)&amp;""))</f>
        <v/>
      </c>
      <c r="W1433">
        <f>IF(ISNUMBER(SEARCH("구리독자",$V1433)),"구리독자","")</f>
        <v/>
      </c>
      <c r="X1433">
        <f>IF($R1433="","",$R1433&amp;"|"&amp;IF(OR($Q1433="인턴",ISNUMBER(SEARCH("수련교육부",$P1433))),"인턴",$P1433))</f>
        <v/>
      </c>
      <c r="Y1433">
        <f>IF($R1433="","",IF(COUNTIF(명단표[이름|과],$X1433)=1,"명단 일치",IF(AND(COUNTIF(명단표[이름|과],$X1433)=0,COUNTIF(명단표[이름],$R1433)=1),"명단 일치(이름만, 과 다름)",IF(COUNTIF(명단표[이름],$R1433)=0,IF(COUNTIF(기본자료표[이름],$R1433)&gt;0,"명단에 없음(기본자료에는 있음)","명단에 없음"),"동명이인 확인"))))</f>
        <v/>
      </c>
      <c r="Z1433">
        <f>IF($R1433="","",IF($S1433&lt;0,"⚠"&amp;INDEX('입력_구리근무자명단'!$A1431:$ZZ1431,1,$E$2+2),TEXT($S1433,"yyyy-mm-dd")))</f>
        <v/>
      </c>
      <c r="AA1433">
        <f>IF($R1433="","",IF($T1433&lt;0,"⚠"&amp;INDEX('입력_구리근무자명단'!$A1431:$ZZ1431,1,$E$2+3),TEXT($T1433,"yyyy-mm-dd")))</f>
        <v/>
      </c>
      <c r="AB1433">
        <f>AB1432+IF($R1433="",0,1)</f>
        <v/>
      </c>
      <c r="AC1433">
        <f>IF($R1433="","",$AB1433)</f>
        <v/>
      </c>
    </row>
    <row r="1434">
      <c r="O1434">
        <f>1432</f>
        <v/>
      </c>
      <c r="P1434">
        <f>IF(TRIM('입력_구리근무자명단'!$A1432&amp;"")&lt;&gt;"",TRIM('입력_구리근무자명단'!$A1432&amp;""),P1433)</f>
        <v/>
      </c>
      <c r="Q1434">
        <f>'입력_구리근무자명단'!$B1432&amp;""</f>
        <v/>
      </c>
      <c r="R1434">
        <f>IF($E$2="","",TRIM(INDEX('입력_구리근무자명단'!$A1432:$ZZ1432,1,$E$2+IF($G$2="확정",1,0))&amp;""))</f>
        <v/>
      </c>
      <c r="S1434">
        <f>IF($R1434="","",IF(INDEX('입력_구리근무자명단'!$A1432:$ZZ1432,1,$E$2+2)&amp;""="",급여기준월,IF(ISNUMBER(INDEX('입력_구리근무자명단'!$A1432:$ZZ1432,1,$E$2+2)),INDEX('입력_구리근무자명단'!$A1432:$ZZ1432,1,$E$2+2),IFERROR(DATE(VALUE(LEFT(INDEX('입력_구리근무자명단'!$A1432:$ZZ1432,1,$E$2+2),4)),VALUE(MID(INDEX('입력_구리근무자명단'!$A1432:$ZZ1432,1,$E$2+2),6,2)),VALUE(MID(INDEX('입력_구리근무자명단'!$A1432:$ZZ1432,1,$E$2+2),9,2))),-1))))</f>
        <v/>
      </c>
      <c r="T1434">
        <f>IF($R1434="","",IF(INDEX('입력_구리근무자명단'!$A1432:$ZZ1432,1,$E$2+3)&amp;""="",EOMONTH(급여기준월,0),IF(ISNUMBER(INDEX('입력_구리근무자명단'!$A1432:$ZZ1432,1,$E$2+3)),INDEX('입력_구리근무자명단'!$A1432:$ZZ1432,1,$E$2+3),IFERROR(DATE(VALUE(LEFT(INDEX('입력_구리근무자명단'!$A1432:$ZZ1432,1,$E$2+3),4)),VALUE(MID(INDEX('입력_구리근무자명단'!$A1432:$ZZ1432,1,$E$2+3),6,2)),VALUE(MID(INDEX('입력_구리근무자명단'!$A1432:$ZZ1432,1,$E$2+3),9,2))),-1))))</f>
        <v/>
      </c>
      <c r="U1434">
        <f>IF($R1434="","",IF(OR($S1434&lt;0,$T1434&lt;0),0,MAX(0,MIN($T1434,EOMONTH(급여기준월,0))-MAX($S1434,급여기준월)+1)))</f>
        <v/>
      </c>
      <c r="V1434">
        <f>IF($R1434="","",TRIM(INDEX('입력_구리근무자명단'!$A1432:$ZZ1432,1,$E$2+5)&amp;""))</f>
        <v/>
      </c>
      <c r="W1434">
        <f>IF(ISNUMBER(SEARCH("구리독자",$V1434)),"구리독자","")</f>
        <v/>
      </c>
      <c r="X1434">
        <f>IF($R1434="","",$R1434&amp;"|"&amp;IF(OR($Q1434="인턴",ISNUMBER(SEARCH("수련교육부",$P1434))),"인턴",$P1434))</f>
        <v/>
      </c>
      <c r="Y1434">
        <f>IF($R1434="","",IF(COUNTIF(명단표[이름|과],$X1434)=1,"명단 일치",IF(AND(COUNTIF(명단표[이름|과],$X1434)=0,COUNTIF(명단표[이름],$R1434)=1),"명단 일치(이름만, 과 다름)",IF(COUNTIF(명단표[이름],$R1434)=0,IF(COUNTIF(기본자료표[이름],$R1434)&gt;0,"명단에 없음(기본자료에는 있음)","명단에 없음"),"동명이인 확인"))))</f>
        <v/>
      </c>
      <c r="Z1434">
        <f>IF($R1434="","",IF($S1434&lt;0,"⚠"&amp;INDEX('입력_구리근무자명단'!$A1432:$ZZ1432,1,$E$2+2),TEXT($S1434,"yyyy-mm-dd")))</f>
        <v/>
      </c>
      <c r="AA1434">
        <f>IF($R1434="","",IF($T1434&lt;0,"⚠"&amp;INDEX('입력_구리근무자명단'!$A1432:$ZZ1432,1,$E$2+3),TEXT($T1434,"yyyy-mm-dd")))</f>
        <v/>
      </c>
      <c r="AB1434">
        <f>AB1433+IF($R1434="",0,1)</f>
        <v/>
      </c>
      <c r="AC1434">
        <f>IF($R1434="","",$AB1434)</f>
        <v/>
      </c>
    </row>
    <row r="1435">
      <c r="O1435">
        <f>1433</f>
        <v/>
      </c>
      <c r="P1435">
        <f>IF(TRIM('입력_구리근무자명단'!$A1433&amp;"")&lt;&gt;"",TRIM('입력_구리근무자명단'!$A1433&amp;""),P1434)</f>
        <v/>
      </c>
      <c r="Q1435">
        <f>'입력_구리근무자명단'!$B1433&amp;""</f>
        <v/>
      </c>
      <c r="R1435">
        <f>IF($E$2="","",TRIM(INDEX('입력_구리근무자명단'!$A1433:$ZZ1433,1,$E$2+IF($G$2="확정",1,0))&amp;""))</f>
        <v/>
      </c>
      <c r="S1435">
        <f>IF($R1435="","",IF(INDEX('입력_구리근무자명단'!$A1433:$ZZ1433,1,$E$2+2)&amp;""="",급여기준월,IF(ISNUMBER(INDEX('입력_구리근무자명단'!$A1433:$ZZ1433,1,$E$2+2)),INDEX('입력_구리근무자명단'!$A1433:$ZZ1433,1,$E$2+2),IFERROR(DATE(VALUE(LEFT(INDEX('입력_구리근무자명단'!$A1433:$ZZ1433,1,$E$2+2),4)),VALUE(MID(INDEX('입력_구리근무자명단'!$A1433:$ZZ1433,1,$E$2+2),6,2)),VALUE(MID(INDEX('입력_구리근무자명단'!$A1433:$ZZ1433,1,$E$2+2),9,2))),-1))))</f>
        <v/>
      </c>
      <c r="T1435">
        <f>IF($R1435="","",IF(INDEX('입력_구리근무자명단'!$A1433:$ZZ1433,1,$E$2+3)&amp;""="",EOMONTH(급여기준월,0),IF(ISNUMBER(INDEX('입력_구리근무자명단'!$A1433:$ZZ1433,1,$E$2+3)),INDEX('입력_구리근무자명단'!$A1433:$ZZ1433,1,$E$2+3),IFERROR(DATE(VALUE(LEFT(INDEX('입력_구리근무자명단'!$A1433:$ZZ1433,1,$E$2+3),4)),VALUE(MID(INDEX('입력_구리근무자명단'!$A1433:$ZZ1433,1,$E$2+3),6,2)),VALUE(MID(INDEX('입력_구리근무자명단'!$A1433:$ZZ1433,1,$E$2+3),9,2))),-1))))</f>
        <v/>
      </c>
      <c r="U1435">
        <f>IF($R1435="","",IF(OR($S1435&lt;0,$T1435&lt;0),0,MAX(0,MIN($T1435,EOMONTH(급여기준월,0))-MAX($S1435,급여기준월)+1)))</f>
        <v/>
      </c>
      <c r="V1435">
        <f>IF($R1435="","",TRIM(INDEX('입력_구리근무자명단'!$A1433:$ZZ1433,1,$E$2+5)&amp;""))</f>
        <v/>
      </c>
      <c r="W1435">
        <f>IF(ISNUMBER(SEARCH("구리독자",$V1435)),"구리독자","")</f>
        <v/>
      </c>
      <c r="X1435">
        <f>IF($R1435="","",$R1435&amp;"|"&amp;IF(OR($Q1435="인턴",ISNUMBER(SEARCH("수련교육부",$P1435))),"인턴",$P1435))</f>
        <v/>
      </c>
      <c r="Y1435">
        <f>IF($R1435="","",IF(COUNTIF(명단표[이름|과],$X1435)=1,"명단 일치",IF(AND(COUNTIF(명단표[이름|과],$X1435)=0,COUNTIF(명단표[이름],$R1435)=1),"명단 일치(이름만, 과 다름)",IF(COUNTIF(명단표[이름],$R1435)=0,IF(COUNTIF(기본자료표[이름],$R1435)&gt;0,"명단에 없음(기본자료에는 있음)","명단에 없음"),"동명이인 확인"))))</f>
        <v/>
      </c>
      <c r="Z1435">
        <f>IF($R1435="","",IF($S1435&lt;0,"⚠"&amp;INDEX('입력_구리근무자명단'!$A1433:$ZZ1433,1,$E$2+2),TEXT($S1435,"yyyy-mm-dd")))</f>
        <v/>
      </c>
      <c r="AA1435">
        <f>IF($R1435="","",IF($T1435&lt;0,"⚠"&amp;INDEX('입력_구리근무자명단'!$A1433:$ZZ1433,1,$E$2+3),TEXT($T1435,"yyyy-mm-dd")))</f>
        <v/>
      </c>
      <c r="AB1435">
        <f>AB1434+IF($R1435="",0,1)</f>
        <v/>
      </c>
      <c r="AC1435">
        <f>IF($R1435="","",$AB1435)</f>
        <v/>
      </c>
    </row>
    <row r="1436">
      <c r="O1436">
        <f>1434</f>
        <v/>
      </c>
      <c r="P1436">
        <f>IF(TRIM('입력_구리근무자명단'!$A1434&amp;"")&lt;&gt;"",TRIM('입력_구리근무자명단'!$A1434&amp;""),P1435)</f>
        <v/>
      </c>
      <c r="Q1436">
        <f>'입력_구리근무자명단'!$B1434&amp;""</f>
        <v/>
      </c>
      <c r="R1436">
        <f>IF($E$2="","",TRIM(INDEX('입력_구리근무자명단'!$A1434:$ZZ1434,1,$E$2+IF($G$2="확정",1,0))&amp;""))</f>
        <v/>
      </c>
      <c r="S1436">
        <f>IF($R1436="","",IF(INDEX('입력_구리근무자명단'!$A1434:$ZZ1434,1,$E$2+2)&amp;""="",급여기준월,IF(ISNUMBER(INDEX('입력_구리근무자명단'!$A1434:$ZZ1434,1,$E$2+2)),INDEX('입력_구리근무자명단'!$A1434:$ZZ1434,1,$E$2+2),IFERROR(DATE(VALUE(LEFT(INDEX('입력_구리근무자명단'!$A1434:$ZZ1434,1,$E$2+2),4)),VALUE(MID(INDEX('입력_구리근무자명단'!$A1434:$ZZ1434,1,$E$2+2),6,2)),VALUE(MID(INDEX('입력_구리근무자명단'!$A1434:$ZZ1434,1,$E$2+2),9,2))),-1))))</f>
        <v/>
      </c>
      <c r="T1436">
        <f>IF($R1436="","",IF(INDEX('입력_구리근무자명단'!$A1434:$ZZ1434,1,$E$2+3)&amp;""="",EOMONTH(급여기준월,0),IF(ISNUMBER(INDEX('입력_구리근무자명단'!$A1434:$ZZ1434,1,$E$2+3)),INDEX('입력_구리근무자명단'!$A1434:$ZZ1434,1,$E$2+3),IFERROR(DATE(VALUE(LEFT(INDEX('입력_구리근무자명단'!$A1434:$ZZ1434,1,$E$2+3),4)),VALUE(MID(INDEX('입력_구리근무자명단'!$A1434:$ZZ1434,1,$E$2+3),6,2)),VALUE(MID(INDEX('입력_구리근무자명단'!$A1434:$ZZ1434,1,$E$2+3),9,2))),-1))))</f>
        <v/>
      </c>
      <c r="U1436">
        <f>IF($R1436="","",IF(OR($S1436&lt;0,$T1436&lt;0),0,MAX(0,MIN($T1436,EOMONTH(급여기준월,0))-MAX($S1436,급여기준월)+1)))</f>
        <v/>
      </c>
      <c r="V1436">
        <f>IF($R1436="","",TRIM(INDEX('입력_구리근무자명단'!$A1434:$ZZ1434,1,$E$2+5)&amp;""))</f>
        <v/>
      </c>
      <c r="W1436">
        <f>IF(ISNUMBER(SEARCH("구리독자",$V1436)),"구리독자","")</f>
        <v/>
      </c>
      <c r="X1436">
        <f>IF($R1436="","",$R1436&amp;"|"&amp;IF(OR($Q1436="인턴",ISNUMBER(SEARCH("수련교육부",$P1436))),"인턴",$P1436))</f>
        <v/>
      </c>
      <c r="Y1436">
        <f>IF($R1436="","",IF(COUNTIF(명단표[이름|과],$X1436)=1,"명단 일치",IF(AND(COUNTIF(명단표[이름|과],$X1436)=0,COUNTIF(명단표[이름],$R1436)=1),"명단 일치(이름만, 과 다름)",IF(COUNTIF(명단표[이름],$R1436)=0,IF(COUNTIF(기본자료표[이름],$R1436)&gt;0,"명단에 없음(기본자료에는 있음)","명단에 없음"),"동명이인 확인"))))</f>
        <v/>
      </c>
      <c r="Z1436">
        <f>IF($R1436="","",IF($S1436&lt;0,"⚠"&amp;INDEX('입력_구리근무자명단'!$A1434:$ZZ1434,1,$E$2+2),TEXT($S1436,"yyyy-mm-dd")))</f>
        <v/>
      </c>
      <c r="AA1436">
        <f>IF($R1436="","",IF($T1436&lt;0,"⚠"&amp;INDEX('입력_구리근무자명단'!$A1434:$ZZ1434,1,$E$2+3),TEXT($T1436,"yyyy-mm-dd")))</f>
        <v/>
      </c>
      <c r="AB1436">
        <f>AB1435+IF($R1436="",0,1)</f>
        <v/>
      </c>
      <c r="AC1436">
        <f>IF($R1436="","",$AB1436)</f>
        <v/>
      </c>
    </row>
    <row r="1437">
      <c r="O1437">
        <f>1435</f>
        <v/>
      </c>
      <c r="P1437">
        <f>IF(TRIM('입력_구리근무자명단'!$A1435&amp;"")&lt;&gt;"",TRIM('입력_구리근무자명단'!$A1435&amp;""),P1436)</f>
        <v/>
      </c>
      <c r="Q1437">
        <f>'입력_구리근무자명단'!$B1435&amp;""</f>
        <v/>
      </c>
      <c r="R1437">
        <f>IF($E$2="","",TRIM(INDEX('입력_구리근무자명단'!$A1435:$ZZ1435,1,$E$2+IF($G$2="확정",1,0))&amp;""))</f>
        <v/>
      </c>
      <c r="S1437">
        <f>IF($R1437="","",IF(INDEX('입력_구리근무자명단'!$A1435:$ZZ1435,1,$E$2+2)&amp;""="",급여기준월,IF(ISNUMBER(INDEX('입력_구리근무자명단'!$A1435:$ZZ1435,1,$E$2+2)),INDEX('입력_구리근무자명단'!$A1435:$ZZ1435,1,$E$2+2),IFERROR(DATE(VALUE(LEFT(INDEX('입력_구리근무자명단'!$A1435:$ZZ1435,1,$E$2+2),4)),VALUE(MID(INDEX('입력_구리근무자명단'!$A1435:$ZZ1435,1,$E$2+2),6,2)),VALUE(MID(INDEX('입력_구리근무자명단'!$A1435:$ZZ1435,1,$E$2+2),9,2))),-1))))</f>
        <v/>
      </c>
      <c r="T1437">
        <f>IF($R1437="","",IF(INDEX('입력_구리근무자명단'!$A1435:$ZZ1435,1,$E$2+3)&amp;""="",EOMONTH(급여기준월,0),IF(ISNUMBER(INDEX('입력_구리근무자명단'!$A1435:$ZZ1435,1,$E$2+3)),INDEX('입력_구리근무자명단'!$A1435:$ZZ1435,1,$E$2+3),IFERROR(DATE(VALUE(LEFT(INDEX('입력_구리근무자명단'!$A1435:$ZZ1435,1,$E$2+3),4)),VALUE(MID(INDEX('입력_구리근무자명단'!$A1435:$ZZ1435,1,$E$2+3),6,2)),VALUE(MID(INDEX('입력_구리근무자명단'!$A1435:$ZZ1435,1,$E$2+3),9,2))),-1))))</f>
        <v/>
      </c>
      <c r="U1437">
        <f>IF($R1437="","",IF(OR($S1437&lt;0,$T1437&lt;0),0,MAX(0,MIN($T1437,EOMONTH(급여기준월,0))-MAX($S1437,급여기준월)+1)))</f>
        <v/>
      </c>
      <c r="V1437">
        <f>IF($R1437="","",TRIM(INDEX('입력_구리근무자명단'!$A1435:$ZZ1435,1,$E$2+5)&amp;""))</f>
        <v/>
      </c>
      <c r="W1437">
        <f>IF(ISNUMBER(SEARCH("구리독자",$V1437)),"구리독자","")</f>
        <v/>
      </c>
      <c r="X1437">
        <f>IF($R1437="","",$R1437&amp;"|"&amp;IF(OR($Q1437="인턴",ISNUMBER(SEARCH("수련교육부",$P1437))),"인턴",$P1437))</f>
        <v/>
      </c>
      <c r="Y1437">
        <f>IF($R1437="","",IF(COUNTIF(명단표[이름|과],$X1437)=1,"명단 일치",IF(AND(COUNTIF(명단표[이름|과],$X1437)=0,COUNTIF(명단표[이름],$R1437)=1),"명단 일치(이름만, 과 다름)",IF(COUNTIF(명단표[이름],$R1437)=0,IF(COUNTIF(기본자료표[이름],$R1437)&gt;0,"명단에 없음(기본자료에는 있음)","명단에 없음"),"동명이인 확인"))))</f>
        <v/>
      </c>
      <c r="Z1437">
        <f>IF($R1437="","",IF($S1437&lt;0,"⚠"&amp;INDEX('입력_구리근무자명단'!$A1435:$ZZ1435,1,$E$2+2),TEXT($S1437,"yyyy-mm-dd")))</f>
        <v/>
      </c>
      <c r="AA1437">
        <f>IF($R1437="","",IF($T1437&lt;0,"⚠"&amp;INDEX('입력_구리근무자명단'!$A1435:$ZZ1435,1,$E$2+3),TEXT($T1437,"yyyy-mm-dd")))</f>
        <v/>
      </c>
      <c r="AB1437">
        <f>AB1436+IF($R1437="",0,1)</f>
        <v/>
      </c>
      <c r="AC1437">
        <f>IF($R1437="","",$AB1437)</f>
        <v/>
      </c>
    </row>
    <row r="1438">
      <c r="O1438">
        <f>1436</f>
        <v/>
      </c>
      <c r="P1438">
        <f>IF(TRIM('입력_구리근무자명단'!$A1436&amp;"")&lt;&gt;"",TRIM('입력_구리근무자명단'!$A1436&amp;""),P1437)</f>
        <v/>
      </c>
      <c r="Q1438">
        <f>'입력_구리근무자명단'!$B1436&amp;""</f>
        <v/>
      </c>
      <c r="R1438">
        <f>IF($E$2="","",TRIM(INDEX('입력_구리근무자명단'!$A1436:$ZZ1436,1,$E$2+IF($G$2="확정",1,0))&amp;""))</f>
        <v/>
      </c>
      <c r="S1438">
        <f>IF($R1438="","",IF(INDEX('입력_구리근무자명단'!$A1436:$ZZ1436,1,$E$2+2)&amp;""="",급여기준월,IF(ISNUMBER(INDEX('입력_구리근무자명단'!$A1436:$ZZ1436,1,$E$2+2)),INDEX('입력_구리근무자명단'!$A1436:$ZZ1436,1,$E$2+2),IFERROR(DATE(VALUE(LEFT(INDEX('입력_구리근무자명단'!$A1436:$ZZ1436,1,$E$2+2),4)),VALUE(MID(INDEX('입력_구리근무자명단'!$A1436:$ZZ1436,1,$E$2+2),6,2)),VALUE(MID(INDEX('입력_구리근무자명단'!$A1436:$ZZ1436,1,$E$2+2),9,2))),-1))))</f>
        <v/>
      </c>
      <c r="T1438">
        <f>IF($R1438="","",IF(INDEX('입력_구리근무자명단'!$A1436:$ZZ1436,1,$E$2+3)&amp;""="",EOMONTH(급여기준월,0),IF(ISNUMBER(INDEX('입력_구리근무자명단'!$A1436:$ZZ1436,1,$E$2+3)),INDEX('입력_구리근무자명단'!$A1436:$ZZ1436,1,$E$2+3),IFERROR(DATE(VALUE(LEFT(INDEX('입력_구리근무자명단'!$A1436:$ZZ1436,1,$E$2+3),4)),VALUE(MID(INDEX('입력_구리근무자명단'!$A1436:$ZZ1436,1,$E$2+3),6,2)),VALUE(MID(INDEX('입력_구리근무자명단'!$A1436:$ZZ1436,1,$E$2+3),9,2))),-1))))</f>
        <v/>
      </c>
      <c r="U1438">
        <f>IF($R1438="","",IF(OR($S1438&lt;0,$T1438&lt;0),0,MAX(0,MIN($T1438,EOMONTH(급여기준월,0))-MAX($S1438,급여기준월)+1)))</f>
        <v/>
      </c>
      <c r="V1438">
        <f>IF($R1438="","",TRIM(INDEX('입력_구리근무자명단'!$A1436:$ZZ1436,1,$E$2+5)&amp;""))</f>
        <v/>
      </c>
      <c r="W1438">
        <f>IF(ISNUMBER(SEARCH("구리독자",$V1438)),"구리독자","")</f>
        <v/>
      </c>
      <c r="X1438">
        <f>IF($R1438="","",$R1438&amp;"|"&amp;IF(OR($Q1438="인턴",ISNUMBER(SEARCH("수련교육부",$P1438))),"인턴",$P1438))</f>
        <v/>
      </c>
      <c r="Y1438">
        <f>IF($R1438="","",IF(COUNTIF(명단표[이름|과],$X1438)=1,"명단 일치",IF(AND(COUNTIF(명단표[이름|과],$X1438)=0,COUNTIF(명단표[이름],$R1438)=1),"명단 일치(이름만, 과 다름)",IF(COUNTIF(명단표[이름],$R1438)=0,IF(COUNTIF(기본자료표[이름],$R1438)&gt;0,"명단에 없음(기본자료에는 있음)","명단에 없음"),"동명이인 확인"))))</f>
        <v/>
      </c>
      <c r="Z1438">
        <f>IF($R1438="","",IF($S1438&lt;0,"⚠"&amp;INDEX('입력_구리근무자명단'!$A1436:$ZZ1436,1,$E$2+2),TEXT($S1438,"yyyy-mm-dd")))</f>
        <v/>
      </c>
      <c r="AA1438">
        <f>IF($R1438="","",IF($T1438&lt;0,"⚠"&amp;INDEX('입력_구리근무자명단'!$A1436:$ZZ1436,1,$E$2+3),TEXT($T1438,"yyyy-mm-dd")))</f>
        <v/>
      </c>
      <c r="AB1438">
        <f>AB1437+IF($R1438="",0,1)</f>
        <v/>
      </c>
      <c r="AC1438">
        <f>IF($R1438="","",$AB1438)</f>
        <v/>
      </c>
    </row>
    <row r="1439">
      <c r="O1439">
        <f>1437</f>
        <v/>
      </c>
      <c r="P1439">
        <f>IF(TRIM('입력_구리근무자명단'!$A1437&amp;"")&lt;&gt;"",TRIM('입력_구리근무자명단'!$A1437&amp;""),P1438)</f>
        <v/>
      </c>
      <c r="Q1439">
        <f>'입력_구리근무자명단'!$B1437&amp;""</f>
        <v/>
      </c>
      <c r="R1439">
        <f>IF($E$2="","",TRIM(INDEX('입력_구리근무자명단'!$A1437:$ZZ1437,1,$E$2+IF($G$2="확정",1,0))&amp;""))</f>
        <v/>
      </c>
      <c r="S1439">
        <f>IF($R1439="","",IF(INDEX('입력_구리근무자명단'!$A1437:$ZZ1437,1,$E$2+2)&amp;""="",급여기준월,IF(ISNUMBER(INDEX('입력_구리근무자명단'!$A1437:$ZZ1437,1,$E$2+2)),INDEX('입력_구리근무자명단'!$A1437:$ZZ1437,1,$E$2+2),IFERROR(DATE(VALUE(LEFT(INDEX('입력_구리근무자명단'!$A1437:$ZZ1437,1,$E$2+2),4)),VALUE(MID(INDEX('입력_구리근무자명단'!$A1437:$ZZ1437,1,$E$2+2),6,2)),VALUE(MID(INDEX('입력_구리근무자명단'!$A1437:$ZZ1437,1,$E$2+2),9,2))),-1))))</f>
        <v/>
      </c>
      <c r="T1439">
        <f>IF($R1439="","",IF(INDEX('입력_구리근무자명단'!$A1437:$ZZ1437,1,$E$2+3)&amp;""="",EOMONTH(급여기준월,0),IF(ISNUMBER(INDEX('입력_구리근무자명단'!$A1437:$ZZ1437,1,$E$2+3)),INDEX('입력_구리근무자명단'!$A1437:$ZZ1437,1,$E$2+3),IFERROR(DATE(VALUE(LEFT(INDEX('입력_구리근무자명단'!$A1437:$ZZ1437,1,$E$2+3),4)),VALUE(MID(INDEX('입력_구리근무자명단'!$A1437:$ZZ1437,1,$E$2+3),6,2)),VALUE(MID(INDEX('입력_구리근무자명단'!$A1437:$ZZ1437,1,$E$2+3),9,2))),-1))))</f>
        <v/>
      </c>
      <c r="U1439">
        <f>IF($R1439="","",IF(OR($S1439&lt;0,$T1439&lt;0),0,MAX(0,MIN($T1439,EOMONTH(급여기준월,0))-MAX($S1439,급여기준월)+1)))</f>
        <v/>
      </c>
      <c r="V1439">
        <f>IF($R1439="","",TRIM(INDEX('입력_구리근무자명단'!$A1437:$ZZ1437,1,$E$2+5)&amp;""))</f>
        <v/>
      </c>
      <c r="W1439">
        <f>IF(ISNUMBER(SEARCH("구리독자",$V1439)),"구리독자","")</f>
        <v/>
      </c>
      <c r="X1439">
        <f>IF($R1439="","",$R1439&amp;"|"&amp;IF(OR($Q1439="인턴",ISNUMBER(SEARCH("수련교육부",$P1439))),"인턴",$P1439))</f>
        <v/>
      </c>
      <c r="Y1439">
        <f>IF($R1439="","",IF(COUNTIF(명단표[이름|과],$X1439)=1,"명단 일치",IF(AND(COUNTIF(명단표[이름|과],$X1439)=0,COUNTIF(명단표[이름],$R1439)=1),"명단 일치(이름만, 과 다름)",IF(COUNTIF(명단표[이름],$R1439)=0,IF(COUNTIF(기본자료표[이름],$R1439)&gt;0,"명단에 없음(기본자료에는 있음)","명단에 없음"),"동명이인 확인"))))</f>
        <v/>
      </c>
      <c r="Z1439">
        <f>IF($R1439="","",IF($S1439&lt;0,"⚠"&amp;INDEX('입력_구리근무자명단'!$A1437:$ZZ1437,1,$E$2+2),TEXT($S1439,"yyyy-mm-dd")))</f>
        <v/>
      </c>
      <c r="AA1439">
        <f>IF($R1439="","",IF($T1439&lt;0,"⚠"&amp;INDEX('입력_구리근무자명단'!$A1437:$ZZ1437,1,$E$2+3),TEXT($T1439,"yyyy-mm-dd")))</f>
        <v/>
      </c>
      <c r="AB1439">
        <f>AB1438+IF($R1439="",0,1)</f>
        <v/>
      </c>
      <c r="AC1439">
        <f>IF($R1439="","",$AB1439)</f>
        <v/>
      </c>
    </row>
    <row r="1440">
      <c r="O1440">
        <f>1438</f>
        <v/>
      </c>
      <c r="P1440">
        <f>IF(TRIM('입력_구리근무자명단'!$A1438&amp;"")&lt;&gt;"",TRIM('입력_구리근무자명단'!$A1438&amp;""),P1439)</f>
        <v/>
      </c>
      <c r="Q1440">
        <f>'입력_구리근무자명단'!$B1438&amp;""</f>
        <v/>
      </c>
      <c r="R1440">
        <f>IF($E$2="","",TRIM(INDEX('입력_구리근무자명단'!$A1438:$ZZ1438,1,$E$2+IF($G$2="확정",1,0))&amp;""))</f>
        <v/>
      </c>
      <c r="S1440">
        <f>IF($R1440="","",IF(INDEX('입력_구리근무자명단'!$A1438:$ZZ1438,1,$E$2+2)&amp;""="",급여기준월,IF(ISNUMBER(INDEX('입력_구리근무자명단'!$A1438:$ZZ1438,1,$E$2+2)),INDEX('입력_구리근무자명단'!$A1438:$ZZ1438,1,$E$2+2),IFERROR(DATE(VALUE(LEFT(INDEX('입력_구리근무자명단'!$A1438:$ZZ1438,1,$E$2+2),4)),VALUE(MID(INDEX('입력_구리근무자명단'!$A1438:$ZZ1438,1,$E$2+2),6,2)),VALUE(MID(INDEX('입력_구리근무자명단'!$A1438:$ZZ1438,1,$E$2+2),9,2))),-1))))</f>
        <v/>
      </c>
      <c r="T1440">
        <f>IF($R1440="","",IF(INDEX('입력_구리근무자명단'!$A1438:$ZZ1438,1,$E$2+3)&amp;""="",EOMONTH(급여기준월,0),IF(ISNUMBER(INDEX('입력_구리근무자명단'!$A1438:$ZZ1438,1,$E$2+3)),INDEX('입력_구리근무자명단'!$A1438:$ZZ1438,1,$E$2+3),IFERROR(DATE(VALUE(LEFT(INDEX('입력_구리근무자명단'!$A1438:$ZZ1438,1,$E$2+3),4)),VALUE(MID(INDEX('입력_구리근무자명단'!$A1438:$ZZ1438,1,$E$2+3),6,2)),VALUE(MID(INDEX('입력_구리근무자명단'!$A1438:$ZZ1438,1,$E$2+3),9,2))),-1))))</f>
        <v/>
      </c>
      <c r="U1440">
        <f>IF($R1440="","",IF(OR($S1440&lt;0,$T1440&lt;0),0,MAX(0,MIN($T1440,EOMONTH(급여기준월,0))-MAX($S1440,급여기준월)+1)))</f>
        <v/>
      </c>
      <c r="V1440">
        <f>IF($R1440="","",TRIM(INDEX('입력_구리근무자명단'!$A1438:$ZZ1438,1,$E$2+5)&amp;""))</f>
        <v/>
      </c>
      <c r="W1440">
        <f>IF(ISNUMBER(SEARCH("구리독자",$V1440)),"구리독자","")</f>
        <v/>
      </c>
      <c r="X1440">
        <f>IF($R1440="","",$R1440&amp;"|"&amp;IF(OR($Q1440="인턴",ISNUMBER(SEARCH("수련교육부",$P1440))),"인턴",$P1440))</f>
        <v/>
      </c>
      <c r="Y1440">
        <f>IF($R1440="","",IF(COUNTIF(명단표[이름|과],$X1440)=1,"명단 일치",IF(AND(COUNTIF(명단표[이름|과],$X1440)=0,COUNTIF(명단표[이름],$R1440)=1),"명단 일치(이름만, 과 다름)",IF(COUNTIF(명단표[이름],$R1440)=0,IF(COUNTIF(기본자료표[이름],$R1440)&gt;0,"명단에 없음(기본자료에는 있음)","명단에 없음"),"동명이인 확인"))))</f>
        <v/>
      </c>
      <c r="Z1440">
        <f>IF($R1440="","",IF($S1440&lt;0,"⚠"&amp;INDEX('입력_구리근무자명단'!$A1438:$ZZ1438,1,$E$2+2),TEXT($S1440,"yyyy-mm-dd")))</f>
        <v/>
      </c>
      <c r="AA1440">
        <f>IF($R1440="","",IF($T1440&lt;0,"⚠"&amp;INDEX('입력_구리근무자명단'!$A1438:$ZZ1438,1,$E$2+3),TEXT($T1440,"yyyy-mm-dd")))</f>
        <v/>
      </c>
      <c r="AB1440">
        <f>AB1439+IF($R1440="",0,1)</f>
        <v/>
      </c>
      <c r="AC1440">
        <f>IF($R1440="","",$AB1440)</f>
        <v/>
      </c>
    </row>
    <row r="1441">
      <c r="O1441">
        <f>1439</f>
        <v/>
      </c>
      <c r="P1441">
        <f>IF(TRIM('입력_구리근무자명단'!$A1439&amp;"")&lt;&gt;"",TRIM('입력_구리근무자명단'!$A1439&amp;""),P1440)</f>
        <v/>
      </c>
      <c r="Q1441">
        <f>'입력_구리근무자명단'!$B1439&amp;""</f>
        <v/>
      </c>
      <c r="R1441">
        <f>IF($E$2="","",TRIM(INDEX('입력_구리근무자명단'!$A1439:$ZZ1439,1,$E$2+IF($G$2="확정",1,0))&amp;""))</f>
        <v/>
      </c>
      <c r="S1441">
        <f>IF($R1441="","",IF(INDEX('입력_구리근무자명단'!$A1439:$ZZ1439,1,$E$2+2)&amp;""="",급여기준월,IF(ISNUMBER(INDEX('입력_구리근무자명단'!$A1439:$ZZ1439,1,$E$2+2)),INDEX('입력_구리근무자명단'!$A1439:$ZZ1439,1,$E$2+2),IFERROR(DATE(VALUE(LEFT(INDEX('입력_구리근무자명단'!$A1439:$ZZ1439,1,$E$2+2),4)),VALUE(MID(INDEX('입력_구리근무자명단'!$A1439:$ZZ1439,1,$E$2+2),6,2)),VALUE(MID(INDEX('입력_구리근무자명단'!$A1439:$ZZ1439,1,$E$2+2),9,2))),-1))))</f>
        <v/>
      </c>
      <c r="T1441">
        <f>IF($R1441="","",IF(INDEX('입력_구리근무자명단'!$A1439:$ZZ1439,1,$E$2+3)&amp;""="",EOMONTH(급여기준월,0),IF(ISNUMBER(INDEX('입력_구리근무자명단'!$A1439:$ZZ1439,1,$E$2+3)),INDEX('입력_구리근무자명단'!$A1439:$ZZ1439,1,$E$2+3),IFERROR(DATE(VALUE(LEFT(INDEX('입력_구리근무자명단'!$A1439:$ZZ1439,1,$E$2+3),4)),VALUE(MID(INDEX('입력_구리근무자명단'!$A1439:$ZZ1439,1,$E$2+3),6,2)),VALUE(MID(INDEX('입력_구리근무자명단'!$A1439:$ZZ1439,1,$E$2+3),9,2))),-1))))</f>
        <v/>
      </c>
      <c r="U1441">
        <f>IF($R1441="","",IF(OR($S1441&lt;0,$T1441&lt;0),0,MAX(0,MIN($T1441,EOMONTH(급여기준월,0))-MAX($S1441,급여기준월)+1)))</f>
        <v/>
      </c>
      <c r="V1441">
        <f>IF($R1441="","",TRIM(INDEX('입력_구리근무자명단'!$A1439:$ZZ1439,1,$E$2+5)&amp;""))</f>
        <v/>
      </c>
      <c r="W1441">
        <f>IF(ISNUMBER(SEARCH("구리독자",$V1441)),"구리독자","")</f>
        <v/>
      </c>
      <c r="X1441">
        <f>IF($R1441="","",$R1441&amp;"|"&amp;IF(OR($Q1441="인턴",ISNUMBER(SEARCH("수련교육부",$P1441))),"인턴",$P1441))</f>
        <v/>
      </c>
      <c r="Y1441">
        <f>IF($R1441="","",IF(COUNTIF(명단표[이름|과],$X1441)=1,"명단 일치",IF(AND(COUNTIF(명단표[이름|과],$X1441)=0,COUNTIF(명단표[이름],$R1441)=1),"명단 일치(이름만, 과 다름)",IF(COUNTIF(명단표[이름],$R1441)=0,IF(COUNTIF(기본자료표[이름],$R1441)&gt;0,"명단에 없음(기본자료에는 있음)","명단에 없음"),"동명이인 확인"))))</f>
        <v/>
      </c>
      <c r="Z1441">
        <f>IF($R1441="","",IF($S1441&lt;0,"⚠"&amp;INDEX('입력_구리근무자명단'!$A1439:$ZZ1439,1,$E$2+2),TEXT($S1441,"yyyy-mm-dd")))</f>
        <v/>
      </c>
      <c r="AA1441">
        <f>IF($R1441="","",IF($T1441&lt;0,"⚠"&amp;INDEX('입력_구리근무자명단'!$A1439:$ZZ1439,1,$E$2+3),TEXT($T1441,"yyyy-mm-dd")))</f>
        <v/>
      </c>
      <c r="AB1441">
        <f>AB1440+IF($R1441="",0,1)</f>
        <v/>
      </c>
      <c r="AC1441">
        <f>IF($R1441="","",$AB1441)</f>
        <v/>
      </c>
    </row>
    <row r="1442">
      <c r="O1442">
        <f>1440</f>
        <v/>
      </c>
      <c r="P1442">
        <f>IF(TRIM('입력_구리근무자명단'!$A1440&amp;"")&lt;&gt;"",TRIM('입력_구리근무자명단'!$A1440&amp;""),P1441)</f>
        <v/>
      </c>
      <c r="Q1442">
        <f>'입력_구리근무자명단'!$B1440&amp;""</f>
        <v/>
      </c>
      <c r="R1442">
        <f>IF($E$2="","",TRIM(INDEX('입력_구리근무자명단'!$A1440:$ZZ1440,1,$E$2+IF($G$2="확정",1,0))&amp;""))</f>
        <v/>
      </c>
      <c r="S1442">
        <f>IF($R1442="","",IF(INDEX('입력_구리근무자명단'!$A1440:$ZZ1440,1,$E$2+2)&amp;""="",급여기준월,IF(ISNUMBER(INDEX('입력_구리근무자명단'!$A1440:$ZZ1440,1,$E$2+2)),INDEX('입력_구리근무자명단'!$A1440:$ZZ1440,1,$E$2+2),IFERROR(DATE(VALUE(LEFT(INDEX('입력_구리근무자명단'!$A1440:$ZZ1440,1,$E$2+2),4)),VALUE(MID(INDEX('입력_구리근무자명단'!$A1440:$ZZ1440,1,$E$2+2),6,2)),VALUE(MID(INDEX('입력_구리근무자명단'!$A1440:$ZZ1440,1,$E$2+2),9,2))),-1))))</f>
        <v/>
      </c>
      <c r="T1442">
        <f>IF($R1442="","",IF(INDEX('입력_구리근무자명단'!$A1440:$ZZ1440,1,$E$2+3)&amp;""="",EOMONTH(급여기준월,0),IF(ISNUMBER(INDEX('입력_구리근무자명단'!$A1440:$ZZ1440,1,$E$2+3)),INDEX('입력_구리근무자명단'!$A1440:$ZZ1440,1,$E$2+3),IFERROR(DATE(VALUE(LEFT(INDEX('입력_구리근무자명단'!$A1440:$ZZ1440,1,$E$2+3),4)),VALUE(MID(INDEX('입력_구리근무자명단'!$A1440:$ZZ1440,1,$E$2+3),6,2)),VALUE(MID(INDEX('입력_구리근무자명단'!$A1440:$ZZ1440,1,$E$2+3),9,2))),-1))))</f>
        <v/>
      </c>
      <c r="U1442">
        <f>IF($R1442="","",IF(OR($S1442&lt;0,$T1442&lt;0),0,MAX(0,MIN($T1442,EOMONTH(급여기준월,0))-MAX($S1442,급여기준월)+1)))</f>
        <v/>
      </c>
      <c r="V1442">
        <f>IF($R1442="","",TRIM(INDEX('입력_구리근무자명단'!$A1440:$ZZ1440,1,$E$2+5)&amp;""))</f>
        <v/>
      </c>
      <c r="W1442">
        <f>IF(ISNUMBER(SEARCH("구리독자",$V1442)),"구리독자","")</f>
        <v/>
      </c>
      <c r="X1442">
        <f>IF($R1442="","",$R1442&amp;"|"&amp;IF(OR($Q1442="인턴",ISNUMBER(SEARCH("수련교육부",$P1442))),"인턴",$P1442))</f>
        <v/>
      </c>
      <c r="Y1442">
        <f>IF($R1442="","",IF(COUNTIF(명단표[이름|과],$X1442)=1,"명단 일치",IF(AND(COUNTIF(명단표[이름|과],$X1442)=0,COUNTIF(명단표[이름],$R1442)=1),"명단 일치(이름만, 과 다름)",IF(COUNTIF(명단표[이름],$R1442)=0,IF(COUNTIF(기본자료표[이름],$R1442)&gt;0,"명단에 없음(기본자료에는 있음)","명단에 없음"),"동명이인 확인"))))</f>
        <v/>
      </c>
      <c r="Z1442">
        <f>IF($R1442="","",IF($S1442&lt;0,"⚠"&amp;INDEX('입력_구리근무자명단'!$A1440:$ZZ1440,1,$E$2+2),TEXT($S1442,"yyyy-mm-dd")))</f>
        <v/>
      </c>
      <c r="AA1442">
        <f>IF($R1442="","",IF($T1442&lt;0,"⚠"&amp;INDEX('입력_구리근무자명단'!$A1440:$ZZ1440,1,$E$2+3),TEXT($T1442,"yyyy-mm-dd")))</f>
        <v/>
      </c>
      <c r="AB1442">
        <f>AB1441+IF($R1442="",0,1)</f>
        <v/>
      </c>
      <c r="AC1442">
        <f>IF($R1442="","",$AB1442)</f>
        <v/>
      </c>
    </row>
    <row r="1443">
      <c r="O1443">
        <f>1441</f>
        <v/>
      </c>
      <c r="P1443">
        <f>IF(TRIM('입력_구리근무자명단'!$A1441&amp;"")&lt;&gt;"",TRIM('입력_구리근무자명단'!$A1441&amp;""),P1442)</f>
        <v/>
      </c>
      <c r="Q1443">
        <f>'입력_구리근무자명단'!$B1441&amp;""</f>
        <v/>
      </c>
      <c r="R1443">
        <f>IF($E$2="","",TRIM(INDEX('입력_구리근무자명단'!$A1441:$ZZ1441,1,$E$2+IF($G$2="확정",1,0))&amp;""))</f>
        <v/>
      </c>
      <c r="S1443">
        <f>IF($R1443="","",IF(INDEX('입력_구리근무자명단'!$A1441:$ZZ1441,1,$E$2+2)&amp;""="",급여기준월,IF(ISNUMBER(INDEX('입력_구리근무자명단'!$A1441:$ZZ1441,1,$E$2+2)),INDEX('입력_구리근무자명단'!$A1441:$ZZ1441,1,$E$2+2),IFERROR(DATE(VALUE(LEFT(INDEX('입력_구리근무자명단'!$A1441:$ZZ1441,1,$E$2+2),4)),VALUE(MID(INDEX('입력_구리근무자명단'!$A1441:$ZZ1441,1,$E$2+2),6,2)),VALUE(MID(INDEX('입력_구리근무자명단'!$A1441:$ZZ1441,1,$E$2+2),9,2))),-1))))</f>
        <v/>
      </c>
      <c r="T1443">
        <f>IF($R1443="","",IF(INDEX('입력_구리근무자명단'!$A1441:$ZZ1441,1,$E$2+3)&amp;""="",EOMONTH(급여기준월,0),IF(ISNUMBER(INDEX('입력_구리근무자명단'!$A1441:$ZZ1441,1,$E$2+3)),INDEX('입력_구리근무자명단'!$A1441:$ZZ1441,1,$E$2+3),IFERROR(DATE(VALUE(LEFT(INDEX('입력_구리근무자명단'!$A1441:$ZZ1441,1,$E$2+3),4)),VALUE(MID(INDEX('입력_구리근무자명단'!$A1441:$ZZ1441,1,$E$2+3),6,2)),VALUE(MID(INDEX('입력_구리근무자명단'!$A1441:$ZZ1441,1,$E$2+3),9,2))),-1))))</f>
        <v/>
      </c>
      <c r="U1443">
        <f>IF($R1443="","",IF(OR($S1443&lt;0,$T1443&lt;0),0,MAX(0,MIN($T1443,EOMONTH(급여기준월,0))-MAX($S1443,급여기준월)+1)))</f>
        <v/>
      </c>
      <c r="V1443">
        <f>IF($R1443="","",TRIM(INDEX('입력_구리근무자명단'!$A1441:$ZZ1441,1,$E$2+5)&amp;""))</f>
        <v/>
      </c>
      <c r="W1443">
        <f>IF(ISNUMBER(SEARCH("구리독자",$V1443)),"구리독자","")</f>
        <v/>
      </c>
      <c r="X1443">
        <f>IF($R1443="","",$R1443&amp;"|"&amp;IF(OR($Q1443="인턴",ISNUMBER(SEARCH("수련교육부",$P1443))),"인턴",$P1443))</f>
        <v/>
      </c>
      <c r="Y1443">
        <f>IF($R1443="","",IF(COUNTIF(명단표[이름|과],$X1443)=1,"명단 일치",IF(AND(COUNTIF(명단표[이름|과],$X1443)=0,COUNTIF(명단표[이름],$R1443)=1),"명단 일치(이름만, 과 다름)",IF(COUNTIF(명단표[이름],$R1443)=0,IF(COUNTIF(기본자료표[이름],$R1443)&gt;0,"명단에 없음(기본자료에는 있음)","명단에 없음"),"동명이인 확인"))))</f>
        <v/>
      </c>
      <c r="Z1443">
        <f>IF($R1443="","",IF($S1443&lt;0,"⚠"&amp;INDEX('입력_구리근무자명단'!$A1441:$ZZ1441,1,$E$2+2),TEXT($S1443,"yyyy-mm-dd")))</f>
        <v/>
      </c>
      <c r="AA1443">
        <f>IF($R1443="","",IF($T1443&lt;0,"⚠"&amp;INDEX('입력_구리근무자명단'!$A1441:$ZZ1441,1,$E$2+3),TEXT($T1443,"yyyy-mm-dd")))</f>
        <v/>
      </c>
      <c r="AB1443">
        <f>AB1442+IF($R1443="",0,1)</f>
        <v/>
      </c>
      <c r="AC1443">
        <f>IF($R1443="","",$AB1443)</f>
        <v/>
      </c>
    </row>
    <row r="1444">
      <c r="O1444">
        <f>1442</f>
        <v/>
      </c>
      <c r="P1444">
        <f>IF(TRIM('입력_구리근무자명단'!$A1442&amp;"")&lt;&gt;"",TRIM('입력_구리근무자명단'!$A1442&amp;""),P1443)</f>
        <v/>
      </c>
      <c r="Q1444">
        <f>'입력_구리근무자명단'!$B1442&amp;""</f>
        <v/>
      </c>
      <c r="R1444">
        <f>IF($E$2="","",TRIM(INDEX('입력_구리근무자명단'!$A1442:$ZZ1442,1,$E$2+IF($G$2="확정",1,0))&amp;""))</f>
        <v/>
      </c>
      <c r="S1444">
        <f>IF($R1444="","",IF(INDEX('입력_구리근무자명단'!$A1442:$ZZ1442,1,$E$2+2)&amp;""="",급여기준월,IF(ISNUMBER(INDEX('입력_구리근무자명단'!$A1442:$ZZ1442,1,$E$2+2)),INDEX('입력_구리근무자명단'!$A1442:$ZZ1442,1,$E$2+2),IFERROR(DATE(VALUE(LEFT(INDEX('입력_구리근무자명단'!$A1442:$ZZ1442,1,$E$2+2),4)),VALUE(MID(INDEX('입력_구리근무자명단'!$A1442:$ZZ1442,1,$E$2+2),6,2)),VALUE(MID(INDEX('입력_구리근무자명단'!$A1442:$ZZ1442,1,$E$2+2),9,2))),-1))))</f>
        <v/>
      </c>
      <c r="T1444">
        <f>IF($R1444="","",IF(INDEX('입력_구리근무자명단'!$A1442:$ZZ1442,1,$E$2+3)&amp;""="",EOMONTH(급여기준월,0),IF(ISNUMBER(INDEX('입력_구리근무자명단'!$A1442:$ZZ1442,1,$E$2+3)),INDEX('입력_구리근무자명단'!$A1442:$ZZ1442,1,$E$2+3),IFERROR(DATE(VALUE(LEFT(INDEX('입력_구리근무자명단'!$A1442:$ZZ1442,1,$E$2+3),4)),VALUE(MID(INDEX('입력_구리근무자명단'!$A1442:$ZZ1442,1,$E$2+3),6,2)),VALUE(MID(INDEX('입력_구리근무자명단'!$A1442:$ZZ1442,1,$E$2+3),9,2))),-1))))</f>
        <v/>
      </c>
      <c r="U1444">
        <f>IF($R1444="","",IF(OR($S1444&lt;0,$T1444&lt;0),0,MAX(0,MIN($T1444,EOMONTH(급여기준월,0))-MAX($S1444,급여기준월)+1)))</f>
        <v/>
      </c>
      <c r="V1444">
        <f>IF($R1444="","",TRIM(INDEX('입력_구리근무자명단'!$A1442:$ZZ1442,1,$E$2+5)&amp;""))</f>
        <v/>
      </c>
      <c r="W1444">
        <f>IF(ISNUMBER(SEARCH("구리독자",$V1444)),"구리독자","")</f>
        <v/>
      </c>
      <c r="X1444">
        <f>IF($R1444="","",$R1444&amp;"|"&amp;IF(OR($Q1444="인턴",ISNUMBER(SEARCH("수련교육부",$P1444))),"인턴",$P1444))</f>
        <v/>
      </c>
      <c r="Y1444">
        <f>IF($R1444="","",IF(COUNTIF(명단표[이름|과],$X1444)=1,"명단 일치",IF(AND(COUNTIF(명단표[이름|과],$X1444)=0,COUNTIF(명단표[이름],$R1444)=1),"명단 일치(이름만, 과 다름)",IF(COUNTIF(명단표[이름],$R1444)=0,IF(COUNTIF(기본자료표[이름],$R1444)&gt;0,"명단에 없음(기본자료에는 있음)","명단에 없음"),"동명이인 확인"))))</f>
        <v/>
      </c>
      <c r="Z1444">
        <f>IF($R1444="","",IF($S1444&lt;0,"⚠"&amp;INDEX('입력_구리근무자명단'!$A1442:$ZZ1442,1,$E$2+2),TEXT($S1444,"yyyy-mm-dd")))</f>
        <v/>
      </c>
      <c r="AA1444">
        <f>IF($R1444="","",IF($T1444&lt;0,"⚠"&amp;INDEX('입력_구리근무자명단'!$A1442:$ZZ1442,1,$E$2+3),TEXT($T1444,"yyyy-mm-dd")))</f>
        <v/>
      </c>
      <c r="AB1444">
        <f>AB1443+IF($R1444="",0,1)</f>
        <v/>
      </c>
      <c r="AC1444">
        <f>IF($R1444="","",$AB1444)</f>
        <v/>
      </c>
    </row>
    <row r="1445">
      <c r="O1445">
        <f>1443</f>
        <v/>
      </c>
      <c r="P1445">
        <f>IF(TRIM('입력_구리근무자명단'!$A1443&amp;"")&lt;&gt;"",TRIM('입력_구리근무자명단'!$A1443&amp;""),P1444)</f>
        <v/>
      </c>
      <c r="Q1445">
        <f>'입력_구리근무자명단'!$B1443&amp;""</f>
        <v/>
      </c>
      <c r="R1445">
        <f>IF($E$2="","",TRIM(INDEX('입력_구리근무자명단'!$A1443:$ZZ1443,1,$E$2+IF($G$2="확정",1,0))&amp;""))</f>
        <v/>
      </c>
      <c r="S1445">
        <f>IF($R1445="","",IF(INDEX('입력_구리근무자명단'!$A1443:$ZZ1443,1,$E$2+2)&amp;""="",급여기준월,IF(ISNUMBER(INDEX('입력_구리근무자명단'!$A1443:$ZZ1443,1,$E$2+2)),INDEX('입력_구리근무자명단'!$A1443:$ZZ1443,1,$E$2+2),IFERROR(DATE(VALUE(LEFT(INDEX('입력_구리근무자명단'!$A1443:$ZZ1443,1,$E$2+2),4)),VALUE(MID(INDEX('입력_구리근무자명단'!$A1443:$ZZ1443,1,$E$2+2),6,2)),VALUE(MID(INDEX('입력_구리근무자명단'!$A1443:$ZZ1443,1,$E$2+2),9,2))),-1))))</f>
        <v/>
      </c>
      <c r="T1445">
        <f>IF($R1445="","",IF(INDEX('입력_구리근무자명단'!$A1443:$ZZ1443,1,$E$2+3)&amp;""="",EOMONTH(급여기준월,0),IF(ISNUMBER(INDEX('입력_구리근무자명단'!$A1443:$ZZ1443,1,$E$2+3)),INDEX('입력_구리근무자명단'!$A1443:$ZZ1443,1,$E$2+3),IFERROR(DATE(VALUE(LEFT(INDEX('입력_구리근무자명단'!$A1443:$ZZ1443,1,$E$2+3),4)),VALUE(MID(INDEX('입력_구리근무자명단'!$A1443:$ZZ1443,1,$E$2+3),6,2)),VALUE(MID(INDEX('입력_구리근무자명단'!$A1443:$ZZ1443,1,$E$2+3),9,2))),-1))))</f>
        <v/>
      </c>
      <c r="U1445">
        <f>IF($R1445="","",IF(OR($S1445&lt;0,$T1445&lt;0),0,MAX(0,MIN($T1445,EOMONTH(급여기준월,0))-MAX($S1445,급여기준월)+1)))</f>
        <v/>
      </c>
      <c r="V1445">
        <f>IF($R1445="","",TRIM(INDEX('입력_구리근무자명단'!$A1443:$ZZ1443,1,$E$2+5)&amp;""))</f>
        <v/>
      </c>
      <c r="W1445">
        <f>IF(ISNUMBER(SEARCH("구리독자",$V1445)),"구리독자","")</f>
        <v/>
      </c>
      <c r="X1445">
        <f>IF($R1445="","",$R1445&amp;"|"&amp;IF(OR($Q1445="인턴",ISNUMBER(SEARCH("수련교육부",$P1445))),"인턴",$P1445))</f>
        <v/>
      </c>
      <c r="Y1445">
        <f>IF($R1445="","",IF(COUNTIF(명단표[이름|과],$X1445)=1,"명단 일치",IF(AND(COUNTIF(명단표[이름|과],$X1445)=0,COUNTIF(명단표[이름],$R1445)=1),"명단 일치(이름만, 과 다름)",IF(COUNTIF(명단표[이름],$R1445)=0,IF(COUNTIF(기본자료표[이름],$R1445)&gt;0,"명단에 없음(기본자료에는 있음)","명단에 없음"),"동명이인 확인"))))</f>
        <v/>
      </c>
      <c r="Z1445">
        <f>IF($R1445="","",IF($S1445&lt;0,"⚠"&amp;INDEX('입력_구리근무자명단'!$A1443:$ZZ1443,1,$E$2+2),TEXT($S1445,"yyyy-mm-dd")))</f>
        <v/>
      </c>
      <c r="AA1445">
        <f>IF($R1445="","",IF($T1445&lt;0,"⚠"&amp;INDEX('입력_구리근무자명단'!$A1443:$ZZ1443,1,$E$2+3),TEXT($T1445,"yyyy-mm-dd")))</f>
        <v/>
      </c>
      <c r="AB1445">
        <f>AB1444+IF($R1445="",0,1)</f>
        <v/>
      </c>
      <c r="AC1445">
        <f>IF($R1445="","",$AB1445)</f>
        <v/>
      </c>
    </row>
    <row r="1446">
      <c r="O1446">
        <f>1444</f>
        <v/>
      </c>
      <c r="P1446">
        <f>IF(TRIM('입력_구리근무자명단'!$A1444&amp;"")&lt;&gt;"",TRIM('입력_구리근무자명단'!$A1444&amp;""),P1445)</f>
        <v/>
      </c>
      <c r="Q1446">
        <f>'입력_구리근무자명단'!$B1444&amp;""</f>
        <v/>
      </c>
      <c r="R1446">
        <f>IF($E$2="","",TRIM(INDEX('입력_구리근무자명단'!$A1444:$ZZ1444,1,$E$2+IF($G$2="확정",1,0))&amp;""))</f>
        <v/>
      </c>
      <c r="S1446">
        <f>IF($R1446="","",IF(INDEX('입력_구리근무자명단'!$A1444:$ZZ1444,1,$E$2+2)&amp;""="",급여기준월,IF(ISNUMBER(INDEX('입력_구리근무자명단'!$A1444:$ZZ1444,1,$E$2+2)),INDEX('입력_구리근무자명단'!$A1444:$ZZ1444,1,$E$2+2),IFERROR(DATE(VALUE(LEFT(INDEX('입력_구리근무자명단'!$A1444:$ZZ1444,1,$E$2+2),4)),VALUE(MID(INDEX('입력_구리근무자명단'!$A1444:$ZZ1444,1,$E$2+2),6,2)),VALUE(MID(INDEX('입력_구리근무자명단'!$A1444:$ZZ1444,1,$E$2+2),9,2))),-1))))</f>
        <v/>
      </c>
      <c r="T1446">
        <f>IF($R1446="","",IF(INDEX('입력_구리근무자명단'!$A1444:$ZZ1444,1,$E$2+3)&amp;""="",EOMONTH(급여기준월,0),IF(ISNUMBER(INDEX('입력_구리근무자명단'!$A1444:$ZZ1444,1,$E$2+3)),INDEX('입력_구리근무자명단'!$A1444:$ZZ1444,1,$E$2+3),IFERROR(DATE(VALUE(LEFT(INDEX('입력_구리근무자명단'!$A1444:$ZZ1444,1,$E$2+3),4)),VALUE(MID(INDEX('입력_구리근무자명단'!$A1444:$ZZ1444,1,$E$2+3),6,2)),VALUE(MID(INDEX('입력_구리근무자명단'!$A1444:$ZZ1444,1,$E$2+3),9,2))),-1))))</f>
        <v/>
      </c>
      <c r="U1446">
        <f>IF($R1446="","",IF(OR($S1446&lt;0,$T1446&lt;0),0,MAX(0,MIN($T1446,EOMONTH(급여기준월,0))-MAX($S1446,급여기준월)+1)))</f>
        <v/>
      </c>
      <c r="V1446">
        <f>IF($R1446="","",TRIM(INDEX('입력_구리근무자명단'!$A1444:$ZZ1444,1,$E$2+5)&amp;""))</f>
        <v/>
      </c>
      <c r="W1446">
        <f>IF(ISNUMBER(SEARCH("구리독자",$V1446)),"구리독자","")</f>
        <v/>
      </c>
      <c r="X1446">
        <f>IF($R1446="","",$R1446&amp;"|"&amp;IF(OR($Q1446="인턴",ISNUMBER(SEARCH("수련교육부",$P1446))),"인턴",$P1446))</f>
        <v/>
      </c>
      <c r="Y1446">
        <f>IF($R1446="","",IF(COUNTIF(명단표[이름|과],$X1446)=1,"명단 일치",IF(AND(COUNTIF(명단표[이름|과],$X1446)=0,COUNTIF(명단표[이름],$R1446)=1),"명단 일치(이름만, 과 다름)",IF(COUNTIF(명단표[이름],$R1446)=0,IF(COUNTIF(기본자료표[이름],$R1446)&gt;0,"명단에 없음(기본자료에는 있음)","명단에 없음"),"동명이인 확인"))))</f>
        <v/>
      </c>
      <c r="Z1446">
        <f>IF($R1446="","",IF($S1446&lt;0,"⚠"&amp;INDEX('입력_구리근무자명단'!$A1444:$ZZ1444,1,$E$2+2),TEXT($S1446,"yyyy-mm-dd")))</f>
        <v/>
      </c>
      <c r="AA1446">
        <f>IF($R1446="","",IF($T1446&lt;0,"⚠"&amp;INDEX('입력_구리근무자명단'!$A1444:$ZZ1444,1,$E$2+3),TEXT($T1446,"yyyy-mm-dd")))</f>
        <v/>
      </c>
      <c r="AB1446">
        <f>AB1445+IF($R1446="",0,1)</f>
        <v/>
      </c>
      <c r="AC1446">
        <f>IF($R1446="","",$AB1446)</f>
        <v/>
      </c>
    </row>
    <row r="1447">
      <c r="O1447">
        <f>1445</f>
        <v/>
      </c>
      <c r="P1447">
        <f>IF(TRIM('입력_구리근무자명단'!$A1445&amp;"")&lt;&gt;"",TRIM('입력_구리근무자명단'!$A1445&amp;""),P1446)</f>
        <v/>
      </c>
      <c r="Q1447">
        <f>'입력_구리근무자명단'!$B1445&amp;""</f>
        <v/>
      </c>
      <c r="R1447">
        <f>IF($E$2="","",TRIM(INDEX('입력_구리근무자명단'!$A1445:$ZZ1445,1,$E$2+IF($G$2="확정",1,0))&amp;""))</f>
        <v/>
      </c>
      <c r="S1447">
        <f>IF($R1447="","",IF(INDEX('입력_구리근무자명단'!$A1445:$ZZ1445,1,$E$2+2)&amp;""="",급여기준월,IF(ISNUMBER(INDEX('입력_구리근무자명단'!$A1445:$ZZ1445,1,$E$2+2)),INDEX('입력_구리근무자명단'!$A1445:$ZZ1445,1,$E$2+2),IFERROR(DATE(VALUE(LEFT(INDEX('입력_구리근무자명단'!$A1445:$ZZ1445,1,$E$2+2),4)),VALUE(MID(INDEX('입력_구리근무자명단'!$A1445:$ZZ1445,1,$E$2+2),6,2)),VALUE(MID(INDEX('입력_구리근무자명단'!$A1445:$ZZ1445,1,$E$2+2),9,2))),-1))))</f>
        <v/>
      </c>
      <c r="T1447">
        <f>IF($R1447="","",IF(INDEX('입력_구리근무자명단'!$A1445:$ZZ1445,1,$E$2+3)&amp;""="",EOMONTH(급여기준월,0),IF(ISNUMBER(INDEX('입력_구리근무자명단'!$A1445:$ZZ1445,1,$E$2+3)),INDEX('입력_구리근무자명단'!$A1445:$ZZ1445,1,$E$2+3),IFERROR(DATE(VALUE(LEFT(INDEX('입력_구리근무자명단'!$A1445:$ZZ1445,1,$E$2+3),4)),VALUE(MID(INDEX('입력_구리근무자명단'!$A1445:$ZZ1445,1,$E$2+3),6,2)),VALUE(MID(INDEX('입력_구리근무자명단'!$A1445:$ZZ1445,1,$E$2+3),9,2))),-1))))</f>
        <v/>
      </c>
      <c r="U1447">
        <f>IF($R1447="","",IF(OR($S1447&lt;0,$T1447&lt;0),0,MAX(0,MIN($T1447,EOMONTH(급여기준월,0))-MAX($S1447,급여기준월)+1)))</f>
        <v/>
      </c>
      <c r="V1447">
        <f>IF($R1447="","",TRIM(INDEX('입력_구리근무자명단'!$A1445:$ZZ1445,1,$E$2+5)&amp;""))</f>
        <v/>
      </c>
      <c r="W1447">
        <f>IF(ISNUMBER(SEARCH("구리독자",$V1447)),"구리독자","")</f>
        <v/>
      </c>
      <c r="X1447">
        <f>IF($R1447="","",$R1447&amp;"|"&amp;IF(OR($Q1447="인턴",ISNUMBER(SEARCH("수련교육부",$P1447))),"인턴",$P1447))</f>
        <v/>
      </c>
      <c r="Y1447">
        <f>IF($R1447="","",IF(COUNTIF(명단표[이름|과],$X1447)=1,"명단 일치",IF(AND(COUNTIF(명단표[이름|과],$X1447)=0,COUNTIF(명단표[이름],$R1447)=1),"명단 일치(이름만, 과 다름)",IF(COUNTIF(명단표[이름],$R1447)=0,IF(COUNTIF(기본자료표[이름],$R1447)&gt;0,"명단에 없음(기본자료에는 있음)","명단에 없음"),"동명이인 확인"))))</f>
        <v/>
      </c>
      <c r="Z1447">
        <f>IF($R1447="","",IF($S1447&lt;0,"⚠"&amp;INDEX('입력_구리근무자명단'!$A1445:$ZZ1445,1,$E$2+2),TEXT($S1447,"yyyy-mm-dd")))</f>
        <v/>
      </c>
      <c r="AA1447">
        <f>IF($R1447="","",IF($T1447&lt;0,"⚠"&amp;INDEX('입력_구리근무자명단'!$A1445:$ZZ1445,1,$E$2+3),TEXT($T1447,"yyyy-mm-dd")))</f>
        <v/>
      </c>
      <c r="AB1447">
        <f>AB1446+IF($R1447="",0,1)</f>
        <v/>
      </c>
      <c r="AC1447">
        <f>IF($R1447="","",$AB1447)</f>
        <v/>
      </c>
    </row>
    <row r="1448">
      <c r="O1448">
        <f>1446</f>
        <v/>
      </c>
      <c r="P1448">
        <f>IF(TRIM('입력_구리근무자명단'!$A1446&amp;"")&lt;&gt;"",TRIM('입력_구리근무자명단'!$A1446&amp;""),P1447)</f>
        <v/>
      </c>
      <c r="Q1448">
        <f>'입력_구리근무자명단'!$B1446&amp;""</f>
        <v/>
      </c>
      <c r="R1448">
        <f>IF($E$2="","",TRIM(INDEX('입력_구리근무자명단'!$A1446:$ZZ1446,1,$E$2+IF($G$2="확정",1,0))&amp;""))</f>
        <v/>
      </c>
      <c r="S1448">
        <f>IF($R1448="","",IF(INDEX('입력_구리근무자명단'!$A1446:$ZZ1446,1,$E$2+2)&amp;""="",급여기준월,IF(ISNUMBER(INDEX('입력_구리근무자명단'!$A1446:$ZZ1446,1,$E$2+2)),INDEX('입력_구리근무자명단'!$A1446:$ZZ1446,1,$E$2+2),IFERROR(DATE(VALUE(LEFT(INDEX('입력_구리근무자명단'!$A1446:$ZZ1446,1,$E$2+2),4)),VALUE(MID(INDEX('입력_구리근무자명단'!$A1446:$ZZ1446,1,$E$2+2),6,2)),VALUE(MID(INDEX('입력_구리근무자명단'!$A1446:$ZZ1446,1,$E$2+2),9,2))),-1))))</f>
        <v/>
      </c>
      <c r="T1448">
        <f>IF($R1448="","",IF(INDEX('입력_구리근무자명단'!$A1446:$ZZ1446,1,$E$2+3)&amp;""="",EOMONTH(급여기준월,0),IF(ISNUMBER(INDEX('입력_구리근무자명단'!$A1446:$ZZ1446,1,$E$2+3)),INDEX('입력_구리근무자명단'!$A1446:$ZZ1446,1,$E$2+3),IFERROR(DATE(VALUE(LEFT(INDEX('입력_구리근무자명단'!$A1446:$ZZ1446,1,$E$2+3),4)),VALUE(MID(INDEX('입력_구리근무자명단'!$A1446:$ZZ1446,1,$E$2+3),6,2)),VALUE(MID(INDEX('입력_구리근무자명단'!$A1446:$ZZ1446,1,$E$2+3),9,2))),-1))))</f>
        <v/>
      </c>
      <c r="U1448">
        <f>IF($R1448="","",IF(OR($S1448&lt;0,$T1448&lt;0),0,MAX(0,MIN($T1448,EOMONTH(급여기준월,0))-MAX($S1448,급여기준월)+1)))</f>
        <v/>
      </c>
      <c r="V1448">
        <f>IF($R1448="","",TRIM(INDEX('입력_구리근무자명단'!$A1446:$ZZ1446,1,$E$2+5)&amp;""))</f>
        <v/>
      </c>
      <c r="W1448">
        <f>IF(ISNUMBER(SEARCH("구리독자",$V1448)),"구리독자","")</f>
        <v/>
      </c>
      <c r="X1448">
        <f>IF($R1448="","",$R1448&amp;"|"&amp;IF(OR($Q1448="인턴",ISNUMBER(SEARCH("수련교육부",$P1448))),"인턴",$P1448))</f>
        <v/>
      </c>
      <c r="Y1448">
        <f>IF($R1448="","",IF(COUNTIF(명단표[이름|과],$X1448)=1,"명단 일치",IF(AND(COUNTIF(명단표[이름|과],$X1448)=0,COUNTIF(명단표[이름],$R1448)=1),"명단 일치(이름만, 과 다름)",IF(COUNTIF(명단표[이름],$R1448)=0,IF(COUNTIF(기본자료표[이름],$R1448)&gt;0,"명단에 없음(기본자료에는 있음)","명단에 없음"),"동명이인 확인"))))</f>
        <v/>
      </c>
      <c r="Z1448">
        <f>IF($R1448="","",IF($S1448&lt;0,"⚠"&amp;INDEX('입력_구리근무자명단'!$A1446:$ZZ1446,1,$E$2+2),TEXT($S1448,"yyyy-mm-dd")))</f>
        <v/>
      </c>
      <c r="AA1448">
        <f>IF($R1448="","",IF($T1448&lt;0,"⚠"&amp;INDEX('입력_구리근무자명단'!$A1446:$ZZ1446,1,$E$2+3),TEXT($T1448,"yyyy-mm-dd")))</f>
        <v/>
      </c>
      <c r="AB1448">
        <f>AB1447+IF($R1448="",0,1)</f>
        <v/>
      </c>
      <c r="AC1448">
        <f>IF($R1448="","",$AB1448)</f>
        <v/>
      </c>
    </row>
    <row r="1449">
      <c r="O1449">
        <f>1447</f>
        <v/>
      </c>
      <c r="P1449">
        <f>IF(TRIM('입력_구리근무자명단'!$A1447&amp;"")&lt;&gt;"",TRIM('입력_구리근무자명단'!$A1447&amp;""),P1448)</f>
        <v/>
      </c>
      <c r="Q1449">
        <f>'입력_구리근무자명단'!$B1447&amp;""</f>
        <v/>
      </c>
      <c r="R1449">
        <f>IF($E$2="","",TRIM(INDEX('입력_구리근무자명단'!$A1447:$ZZ1447,1,$E$2+IF($G$2="확정",1,0))&amp;""))</f>
        <v/>
      </c>
      <c r="S1449">
        <f>IF($R1449="","",IF(INDEX('입력_구리근무자명단'!$A1447:$ZZ1447,1,$E$2+2)&amp;""="",급여기준월,IF(ISNUMBER(INDEX('입력_구리근무자명단'!$A1447:$ZZ1447,1,$E$2+2)),INDEX('입력_구리근무자명단'!$A1447:$ZZ1447,1,$E$2+2),IFERROR(DATE(VALUE(LEFT(INDEX('입력_구리근무자명단'!$A1447:$ZZ1447,1,$E$2+2),4)),VALUE(MID(INDEX('입력_구리근무자명단'!$A1447:$ZZ1447,1,$E$2+2),6,2)),VALUE(MID(INDEX('입력_구리근무자명단'!$A1447:$ZZ1447,1,$E$2+2),9,2))),-1))))</f>
        <v/>
      </c>
      <c r="T1449">
        <f>IF($R1449="","",IF(INDEX('입력_구리근무자명단'!$A1447:$ZZ1447,1,$E$2+3)&amp;""="",EOMONTH(급여기준월,0),IF(ISNUMBER(INDEX('입력_구리근무자명단'!$A1447:$ZZ1447,1,$E$2+3)),INDEX('입력_구리근무자명단'!$A1447:$ZZ1447,1,$E$2+3),IFERROR(DATE(VALUE(LEFT(INDEX('입력_구리근무자명단'!$A1447:$ZZ1447,1,$E$2+3),4)),VALUE(MID(INDEX('입력_구리근무자명단'!$A1447:$ZZ1447,1,$E$2+3),6,2)),VALUE(MID(INDEX('입력_구리근무자명단'!$A1447:$ZZ1447,1,$E$2+3),9,2))),-1))))</f>
        <v/>
      </c>
      <c r="U1449">
        <f>IF($R1449="","",IF(OR($S1449&lt;0,$T1449&lt;0),0,MAX(0,MIN($T1449,EOMONTH(급여기준월,0))-MAX($S1449,급여기준월)+1)))</f>
        <v/>
      </c>
      <c r="V1449">
        <f>IF($R1449="","",TRIM(INDEX('입력_구리근무자명단'!$A1447:$ZZ1447,1,$E$2+5)&amp;""))</f>
        <v/>
      </c>
      <c r="W1449">
        <f>IF(ISNUMBER(SEARCH("구리독자",$V1449)),"구리독자","")</f>
        <v/>
      </c>
      <c r="X1449">
        <f>IF($R1449="","",$R1449&amp;"|"&amp;IF(OR($Q1449="인턴",ISNUMBER(SEARCH("수련교육부",$P1449))),"인턴",$P1449))</f>
        <v/>
      </c>
      <c r="Y1449">
        <f>IF($R1449="","",IF(COUNTIF(명단표[이름|과],$X1449)=1,"명단 일치",IF(AND(COUNTIF(명단표[이름|과],$X1449)=0,COUNTIF(명단표[이름],$R1449)=1),"명단 일치(이름만, 과 다름)",IF(COUNTIF(명단표[이름],$R1449)=0,IF(COUNTIF(기본자료표[이름],$R1449)&gt;0,"명단에 없음(기본자료에는 있음)","명단에 없음"),"동명이인 확인"))))</f>
        <v/>
      </c>
      <c r="Z1449">
        <f>IF($R1449="","",IF($S1449&lt;0,"⚠"&amp;INDEX('입력_구리근무자명단'!$A1447:$ZZ1447,1,$E$2+2),TEXT($S1449,"yyyy-mm-dd")))</f>
        <v/>
      </c>
      <c r="AA1449">
        <f>IF($R1449="","",IF($T1449&lt;0,"⚠"&amp;INDEX('입력_구리근무자명단'!$A1447:$ZZ1447,1,$E$2+3),TEXT($T1449,"yyyy-mm-dd")))</f>
        <v/>
      </c>
      <c r="AB1449">
        <f>AB1448+IF($R1449="",0,1)</f>
        <v/>
      </c>
      <c r="AC1449">
        <f>IF($R1449="","",$AB1449)</f>
        <v/>
      </c>
    </row>
    <row r="1450">
      <c r="O1450">
        <f>1448</f>
        <v/>
      </c>
      <c r="P1450">
        <f>IF(TRIM('입력_구리근무자명단'!$A1448&amp;"")&lt;&gt;"",TRIM('입력_구리근무자명단'!$A1448&amp;""),P1449)</f>
        <v/>
      </c>
      <c r="Q1450">
        <f>'입력_구리근무자명단'!$B1448&amp;""</f>
        <v/>
      </c>
      <c r="R1450">
        <f>IF($E$2="","",TRIM(INDEX('입력_구리근무자명단'!$A1448:$ZZ1448,1,$E$2+IF($G$2="확정",1,0))&amp;""))</f>
        <v/>
      </c>
      <c r="S1450">
        <f>IF($R1450="","",IF(INDEX('입력_구리근무자명단'!$A1448:$ZZ1448,1,$E$2+2)&amp;""="",급여기준월,IF(ISNUMBER(INDEX('입력_구리근무자명단'!$A1448:$ZZ1448,1,$E$2+2)),INDEX('입력_구리근무자명단'!$A1448:$ZZ1448,1,$E$2+2),IFERROR(DATE(VALUE(LEFT(INDEX('입력_구리근무자명단'!$A1448:$ZZ1448,1,$E$2+2),4)),VALUE(MID(INDEX('입력_구리근무자명단'!$A1448:$ZZ1448,1,$E$2+2),6,2)),VALUE(MID(INDEX('입력_구리근무자명단'!$A1448:$ZZ1448,1,$E$2+2),9,2))),-1))))</f>
        <v/>
      </c>
      <c r="T1450">
        <f>IF($R1450="","",IF(INDEX('입력_구리근무자명단'!$A1448:$ZZ1448,1,$E$2+3)&amp;""="",EOMONTH(급여기준월,0),IF(ISNUMBER(INDEX('입력_구리근무자명단'!$A1448:$ZZ1448,1,$E$2+3)),INDEX('입력_구리근무자명단'!$A1448:$ZZ1448,1,$E$2+3),IFERROR(DATE(VALUE(LEFT(INDEX('입력_구리근무자명단'!$A1448:$ZZ1448,1,$E$2+3),4)),VALUE(MID(INDEX('입력_구리근무자명단'!$A1448:$ZZ1448,1,$E$2+3),6,2)),VALUE(MID(INDEX('입력_구리근무자명단'!$A1448:$ZZ1448,1,$E$2+3),9,2))),-1))))</f>
        <v/>
      </c>
      <c r="U1450">
        <f>IF($R1450="","",IF(OR($S1450&lt;0,$T1450&lt;0),0,MAX(0,MIN($T1450,EOMONTH(급여기준월,0))-MAX($S1450,급여기준월)+1)))</f>
        <v/>
      </c>
      <c r="V1450">
        <f>IF($R1450="","",TRIM(INDEX('입력_구리근무자명단'!$A1448:$ZZ1448,1,$E$2+5)&amp;""))</f>
        <v/>
      </c>
      <c r="W1450">
        <f>IF(ISNUMBER(SEARCH("구리독자",$V1450)),"구리독자","")</f>
        <v/>
      </c>
      <c r="X1450">
        <f>IF($R1450="","",$R1450&amp;"|"&amp;IF(OR($Q1450="인턴",ISNUMBER(SEARCH("수련교육부",$P1450))),"인턴",$P1450))</f>
        <v/>
      </c>
      <c r="Y1450">
        <f>IF($R1450="","",IF(COUNTIF(명단표[이름|과],$X1450)=1,"명단 일치",IF(AND(COUNTIF(명단표[이름|과],$X1450)=0,COUNTIF(명단표[이름],$R1450)=1),"명단 일치(이름만, 과 다름)",IF(COUNTIF(명단표[이름],$R1450)=0,IF(COUNTIF(기본자료표[이름],$R1450)&gt;0,"명단에 없음(기본자료에는 있음)","명단에 없음"),"동명이인 확인"))))</f>
        <v/>
      </c>
      <c r="Z1450">
        <f>IF($R1450="","",IF($S1450&lt;0,"⚠"&amp;INDEX('입력_구리근무자명단'!$A1448:$ZZ1448,1,$E$2+2),TEXT($S1450,"yyyy-mm-dd")))</f>
        <v/>
      </c>
      <c r="AA1450">
        <f>IF($R1450="","",IF($T1450&lt;0,"⚠"&amp;INDEX('입력_구리근무자명단'!$A1448:$ZZ1448,1,$E$2+3),TEXT($T1450,"yyyy-mm-dd")))</f>
        <v/>
      </c>
      <c r="AB1450">
        <f>AB1449+IF($R1450="",0,1)</f>
        <v/>
      </c>
      <c r="AC1450">
        <f>IF($R1450="","",$AB1450)</f>
        <v/>
      </c>
    </row>
    <row r="1451">
      <c r="O1451">
        <f>1449</f>
        <v/>
      </c>
      <c r="P1451">
        <f>IF(TRIM('입력_구리근무자명단'!$A1449&amp;"")&lt;&gt;"",TRIM('입력_구리근무자명단'!$A1449&amp;""),P1450)</f>
        <v/>
      </c>
      <c r="Q1451">
        <f>'입력_구리근무자명단'!$B1449&amp;""</f>
        <v/>
      </c>
      <c r="R1451">
        <f>IF($E$2="","",TRIM(INDEX('입력_구리근무자명단'!$A1449:$ZZ1449,1,$E$2+IF($G$2="확정",1,0))&amp;""))</f>
        <v/>
      </c>
      <c r="S1451">
        <f>IF($R1451="","",IF(INDEX('입력_구리근무자명단'!$A1449:$ZZ1449,1,$E$2+2)&amp;""="",급여기준월,IF(ISNUMBER(INDEX('입력_구리근무자명단'!$A1449:$ZZ1449,1,$E$2+2)),INDEX('입력_구리근무자명단'!$A1449:$ZZ1449,1,$E$2+2),IFERROR(DATE(VALUE(LEFT(INDEX('입력_구리근무자명단'!$A1449:$ZZ1449,1,$E$2+2),4)),VALUE(MID(INDEX('입력_구리근무자명단'!$A1449:$ZZ1449,1,$E$2+2),6,2)),VALUE(MID(INDEX('입력_구리근무자명단'!$A1449:$ZZ1449,1,$E$2+2),9,2))),-1))))</f>
        <v/>
      </c>
      <c r="T1451">
        <f>IF($R1451="","",IF(INDEX('입력_구리근무자명단'!$A1449:$ZZ1449,1,$E$2+3)&amp;""="",EOMONTH(급여기준월,0),IF(ISNUMBER(INDEX('입력_구리근무자명단'!$A1449:$ZZ1449,1,$E$2+3)),INDEX('입력_구리근무자명단'!$A1449:$ZZ1449,1,$E$2+3),IFERROR(DATE(VALUE(LEFT(INDEX('입력_구리근무자명단'!$A1449:$ZZ1449,1,$E$2+3),4)),VALUE(MID(INDEX('입력_구리근무자명단'!$A1449:$ZZ1449,1,$E$2+3),6,2)),VALUE(MID(INDEX('입력_구리근무자명단'!$A1449:$ZZ1449,1,$E$2+3),9,2))),-1))))</f>
        <v/>
      </c>
      <c r="U1451">
        <f>IF($R1451="","",IF(OR($S1451&lt;0,$T1451&lt;0),0,MAX(0,MIN($T1451,EOMONTH(급여기준월,0))-MAX($S1451,급여기준월)+1)))</f>
        <v/>
      </c>
      <c r="V1451">
        <f>IF($R1451="","",TRIM(INDEX('입력_구리근무자명단'!$A1449:$ZZ1449,1,$E$2+5)&amp;""))</f>
        <v/>
      </c>
      <c r="W1451">
        <f>IF(ISNUMBER(SEARCH("구리독자",$V1451)),"구리독자","")</f>
        <v/>
      </c>
      <c r="X1451">
        <f>IF($R1451="","",$R1451&amp;"|"&amp;IF(OR($Q1451="인턴",ISNUMBER(SEARCH("수련교육부",$P1451))),"인턴",$P1451))</f>
        <v/>
      </c>
      <c r="Y1451">
        <f>IF($R1451="","",IF(COUNTIF(명단표[이름|과],$X1451)=1,"명단 일치",IF(AND(COUNTIF(명단표[이름|과],$X1451)=0,COUNTIF(명단표[이름],$R1451)=1),"명단 일치(이름만, 과 다름)",IF(COUNTIF(명단표[이름],$R1451)=0,IF(COUNTIF(기본자료표[이름],$R1451)&gt;0,"명단에 없음(기본자료에는 있음)","명단에 없음"),"동명이인 확인"))))</f>
        <v/>
      </c>
      <c r="Z1451">
        <f>IF($R1451="","",IF($S1451&lt;0,"⚠"&amp;INDEX('입력_구리근무자명단'!$A1449:$ZZ1449,1,$E$2+2),TEXT($S1451,"yyyy-mm-dd")))</f>
        <v/>
      </c>
      <c r="AA1451">
        <f>IF($R1451="","",IF($T1451&lt;0,"⚠"&amp;INDEX('입력_구리근무자명단'!$A1449:$ZZ1449,1,$E$2+3),TEXT($T1451,"yyyy-mm-dd")))</f>
        <v/>
      </c>
      <c r="AB1451">
        <f>AB1450+IF($R1451="",0,1)</f>
        <v/>
      </c>
      <c r="AC1451">
        <f>IF($R1451="","",$AB1451)</f>
        <v/>
      </c>
    </row>
    <row r="1452">
      <c r="O1452">
        <f>1450</f>
        <v/>
      </c>
      <c r="P1452">
        <f>IF(TRIM('입력_구리근무자명단'!$A1450&amp;"")&lt;&gt;"",TRIM('입력_구리근무자명단'!$A1450&amp;""),P1451)</f>
        <v/>
      </c>
      <c r="Q1452">
        <f>'입력_구리근무자명단'!$B1450&amp;""</f>
        <v/>
      </c>
      <c r="R1452">
        <f>IF($E$2="","",TRIM(INDEX('입력_구리근무자명단'!$A1450:$ZZ1450,1,$E$2+IF($G$2="확정",1,0))&amp;""))</f>
        <v/>
      </c>
      <c r="S1452">
        <f>IF($R1452="","",IF(INDEX('입력_구리근무자명단'!$A1450:$ZZ1450,1,$E$2+2)&amp;""="",급여기준월,IF(ISNUMBER(INDEX('입력_구리근무자명단'!$A1450:$ZZ1450,1,$E$2+2)),INDEX('입력_구리근무자명단'!$A1450:$ZZ1450,1,$E$2+2),IFERROR(DATE(VALUE(LEFT(INDEX('입력_구리근무자명단'!$A1450:$ZZ1450,1,$E$2+2),4)),VALUE(MID(INDEX('입력_구리근무자명단'!$A1450:$ZZ1450,1,$E$2+2),6,2)),VALUE(MID(INDEX('입력_구리근무자명단'!$A1450:$ZZ1450,1,$E$2+2),9,2))),-1))))</f>
        <v/>
      </c>
      <c r="T1452">
        <f>IF($R1452="","",IF(INDEX('입력_구리근무자명단'!$A1450:$ZZ1450,1,$E$2+3)&amp;""="",EOMONTH(급여기준월,0),IF(ISNUMBER(INDEX('입력_구리근무자명단'!$A1450:$ZZ1450,1,$E$2+3)),INDEX('입력_구리근무자명단'!$A1450:$ZZ1450,1,$E$2+3),IFERROR(DATE(VALUE(LEFT(INDEX('입력_구리근무자명단'!$A1450:$ZZ1450,1,$E$2+3),4)),VALUE(MID(INDEX('입력_구리근무자명단'!$A1450:$ZZ1450,1,$E$2+3),6,2)),VALUE(MID(INDEX('입력_구리근무자명단'!$A1450:$ZZ1450,1,$E$2+3),9,2))),-1))))</f>
        <v/>
      </c>
      <c r="U1452">
        <f>IF($R1452="","",IF(OR($S1452&lt;0,$T1452&lt;0),0,MAX(0,MIN($T1452,EOMONTH(급여기준월,0))-MAX($S1452,급여기준월)+1)))</f>
        <v/>
      </c>
      <c r="V1452">
        <f>IF($R1452="","",TRIM(INDEX('입력_구리근무자명단'!$A1450:$ZZ1450,1,$E$2+5)&amp;""))</f>
        <v/>
      </c>
      <c r="W1452">
        <f>IF(ISNUMBER(SEARCH("구리독자",$V1452)),"구리독자","")</f>
        <v/>
      </c>
      <c r="X1452">
        <f>IF($R1452="","",$R1452&amp;"|"&amp;IF(OR($Q1452="인턴",ISNUMBER(SEARCH("수련교육부",$P1452))),"인턴",$P1452))</f>
        <v/>
      </c>
      <c r="Y1452">
        <f>IF($R1452="","",IF(COUNTIF(명단표[이름|과],$X1452)=1,"명단 일치",IF(AND(COUNTIF(명단표[이름|과],$X1452)=0,COUNTIF(명단표[이름],$R1452)=1),"명단 일치(이름만, 과 다름)",IF(COUNTIF(명단표[이름],$R1452)=0,IF(COUNTIF(기본자료표[이름],$R1452)&gt;0,"명단에 없음(기본자료에는 있음)","명단에 없음"),"동명이인 확인"))))</f>
        <v/>
      </c>
      <c r="Z1452">
        <f>IF($R1452="","",IF($S1452&lt;0,"⚠"&amp;INDEX('입력_구리근무자명단'!$A1450:$ZZ1450,1,$E$2+2),TEXT($S1452,"yyyy-mm-dd")))</f>
        <v/>
      </c>
      <c r="AA1452">
        <f>IF($R1452="","",IF($T1452&lt;0,"⚠"&amp;INDEX('입력_구리근무자명단'!$A1450:$ZZ1450,1,$E$2+3),TEXT($T1452,"yyyy-mm-dd")))</f>
        <v/>
      </c>
      <c r="AB1452">
        <f>AB1451+IF($R1452="",0,1)</f>
        <v/>
      </c>
      <c r="AC1452">
        <f>IF($R1452="","",$AB1452)</f>
        <v/>
      </c>
    </row>
    <row r="1453">
      <c r="O1453">
        <f>1451</f>
        <v/>
      </c>
      <c r="P1453">
        <f>IF(TRIM('입력_구리근무자명단'!$A1451&amp;"")&lt;&gt;"",TRIM('입력_구리근무자명단'!$A1451&amp;""),P1452)</f>
        <v/>
      </c>
      <c r="Q1453">
        <f>'입력_구리근무자명단'!$B1451&amp;""</f>
        <v/>
      </c>
      <c r="R1453">
        <f>IF($E$2="","",TRIM(INDEX('입력_구리근무자명단'!$A1451:$ZZ1451,1,$E$2+IF($G$2="확정",1,0))&amp;""))</f>
        <v/>
      </c>
      <c r="S1453">
        <f>IF($R1453="","",IF(INDEX('입력_구리근무자명단'!$A1451:$ZZ1451,1,$E$2+2)&amp;""="",급여기준월,IF(ISNUMBER(INDEX('입력_구리근무자명단'!$A1451:$ZZ1451,1,$E$2+2)),INDEX('입력_구리근무자명단'!$A1451:$ZZ1451,1,$E$2+2),IFERROR(DATE(VALUE(LEFT(INDEX('입력_구리근무자명단'!$A1451:$ZZ1451,1,$E$2+2),4)),VALUE(MID(INDEX('입력_구리근무자명단'!$A1451:$ZZ1451,1,$E$2+2),6,2)),VALUE(MID(INDEX('입력_구리근무자명단'!$A1451:$ZZ1451,1,$E$2+2),9,2))),-1))))</f>
        <v/>
      </c>
      <c r="T1453">
        <f>IF($R1453="","",IF(INDEX('입력_구리근무자명단'!$A1451:$ZZ1451,1,$E$2+3)&amp;""="",EOMONTH(급여기준월,0),IF(ISNUMBER(INDEX('입력_구리근무자명단'!$A1451:$ZZ1451,1,$E$2+3)),INDEX('입력_구리근무자명단'!$A1451:$ZZ1451,1,$E$2+3),IFERROR(DATE(VALUE(LEFT(INDEX('입력_구리근무자명단'!$A1451:$ZZ1451,1,$E$2+3),4)),VALUE(MID(INDEX('입력_구리근무자명단'!$A1451:$ZZ1451,1,$E$2+3),6,2)),VALUE(MID(INDEX('입력_구리근무자명단'!$A1451:$ZZ1451,1,$E$2+3),9,2))),-1))))</f>
        <v/>
      </c>
      <c r="U1453">
        <f>IF($R1453="","",IF(OR($S1453&lt;0,$T1453&lt;0),0,MAX(0,MIN($T1453,EOMONTH(급여기준월,0))-MAX($S1453,급여기준월)+1)))</f>
        <v/>
      </c>
      <c r="V1453">
        <f>IF($R1453="","",TRIM(INDEX('입력_구리근무자명단'!$A1451:$ZZ1451,1,$E$2+5)&amp;""))</f>
        <v/>
      </c>
      <c r="W1453">
        <f>IF(ISNUMBER(SEARCH("구리독자",$V1453)),"구리독자","")</f>
        <v/>
      </c>
      <c r="X1453">
        <f>IF($R1453="","",$R1453&amp;"|"&amp;IF(OR($Q1453="인턴",ISNUMBER(SEARCH("수련교육부",$P1453))),"인턴",$P1453))</f>
        <v/>
      </c>
      <c r="Y1453">
        <f>IF($R1453="","",IF(COUNTIF(명단표[이름|과],$X1453)=1,"명단 일치",IF(AND(COUNTIF(명단표[이름|과],$X1453)=0,COUNTIF(명단표[이름],$R1453)=1),"명단 일치(이름만, 과 다름)",IF(COUNTIF(명단표[이름],$R1453)=0,IF(COUNTIF(기본자료표[이름],$R1453)&gt;0,"명단에 없음(기본자료에는 있음)","명단에 없음"),"동명이인 확인"))))</f>
        <v/>
      </c>
      <c r="Z1453">
        <f>IF($R1453="","",IF($S1453&lt;0,"⚠"&amp;INDEX('입력_구리근무자명단'!$A1451:$ZZ1451,1,$E$2+2),TEXT($S1453,"yyyy-mm-dd")))</f>
        <v/>
      </c>
      <c r="AA1453">
        <f>IF($R1453="","",IF($T1453&lt;0,"⚠"&amp;INDEX('입력_구리근무자명단'!$A1451:$ZZ1451,1,$E$2+3),TEXT($T1453,"yyyy-mm-dd")))</f>
        <v/>
      </c>
      <c r="AB1453">
        <f>AB1452+IF($R1453="",0,1)</f>
        <v/>
      </c>
      <c r="AC1453">
        <f>IF($R1453="","",$AB1453)</f>
        <v/>
      </c>
    </row>
    <row r="1454">
      <c r="O1454">
        <f>1452</f>
        <v/>
      </c>
      <c r="P1454">
        <f>IF(TRIM('입력_구리근무자명단'!$A1452&amp;"")&lt;&gt;"",TRIM('입력_구리근무자명단'!$A1452&amp;""),P1453)</f>
        <v/>
      </c>
      <c r="Q1454">
        <f>'입력_구리근무자명단'!$B1452&amp;""</f>
        <v/>
      </c>
      <c r="R1454">
        <f>IF($E$2="","",TRIM(INDEX('입력_구리근무자명단'!$A1452:$ZZ1452,1,$E$2+IF($G$2="확정",1,0))&amp;""))</f>
        <v/>
      </c>
      <c r="S1454">
        <f>IF($R1454="","",IF(INDEX('입력_구리근무자명단'!$A1452:$ZZ1452,1,$E$2+2)&amp;""="",급여기준월,IF(ISNUMBER(INDEX('입력_구리근무자명단'!$A1452:$ZZ1452,1,$E$2+2)),INDEX('입력_구리근무자명단'!$A1452:$ZZ1452,1,$E$2+2),IFERROR(DATE(VALUE(LEFT(INDEX('입력_구리근무자명단'!$A1452:$ZZ1452,1,$E$2+2),4)),VALUE(MID(INDEX('입력_구리근무자명단'!$A1452:$ZZ1452,1,$E$2+2),6,2)),VALUE(MID(INDEX('입력_구리근무자명단'!$A1452:$ZZ1452,1,$E$2+2),9,2))),-1))))</f>
        <v/>
      </c>
      <c r="T1454">
        <f>IF($R1454="","",IF(INDEX('입력_구리근무자명단'!$A1452:$ZZ1452,1,$E$2+3)&amp;""="",EOMONTH(급여기준월,0),IF(ISNUMBER(INDEX('입력_구리근무자명단'!$A1452:$ZZ1452,1,$E$2+3)),INDEX('입력_구리근무자명단'!$A1452:$ZZ1452,1,$E$2+3),IFERROR(DATE(VALUE(LEFT(INDEX('입력_구리근무자명단'!$A1452:$ZZ1452,1,$E$2+3),4)),VALUE(MID(INDEX('입력_구리근무자명단'!$A1452:$ZZ1452,1,$E$2+3),6,2)),VALUE(MID(INDEX('입력_구리근무자명단'!$A1452:$ZZ1452,1,$E$2+3),9,2))),-1))))</f>
        <v/>
      </c>
      <c r="U1454">
        <f>IF($R1454="","",IF(OR($S1454&lt;0,$T1454&lt;0),0,MAX(0,MIN($T1454,EOMONTH(급여기준월,0))-MAX($S1454,급여기준월)+1)))</f>
        <v/>
      </c>
      <c r="V1454">
        <f>IF($R1454="","",TRIM(INDEX('입력_구리근무자명단'!$A1452:$ZZ1452,1,$E$2+5)&amp;""))</f>
        <v/>
      </c>
      <c r="W1454">
        <f>IF(ISNUMBER(SEARCH("구리독자",$V1454)),"구리독자","")</f>
        <v/>
      </c>
      <c r="X1454">
        <f>IF($R1454="","",$R1454&amp;"|"&amp;IF(OR($Q1454="인턴",ISNUMBER(SEARCH("수련교육부",$P1454))),"인턴",$P1454))</f>
        <v/>
      </c>
      <c r="Y1454">
        <f>IF($R1454="","",IF(COUNTIF(명단표[이름|과],$X1454)=1,"명단 일치",IF(AND(COUNTIF(명단표[이름|과],$X1454)=0,COUNTIF(명단표[이름],$R1454)=1),"명단 일치(이름만, 과 다름)",IF(COUNTIF(명단표[이름],$R1454)=0,IF(COUNTIF(기본자료표[이름],$R1454)&gt;0,"명단에 없음(기본자료에는 있음)","명단에 없음"),"동명이인 확인"))))</f>
        <v/>
      </c>
      <c r="Z1454">
        <f>IF($R1454="","",IF($S1454&lt;0,"⚠"&amp;INDEX('입력_구리근무자명단'!$A1452:$ZZ1452,1,$E$2+2),TEXT($S1454,"yyyy-mm-dd")))</f>
        <v/>
      </c>
      <c r="AA1454">
        <f>IF($R1454="","",IF($T1454&lt;0,"⚠"&amp;INDEX('입력_구리근무자명단'!$A1452:$ZZ1452,1,$E$2+3),TEXT($T1454,"yyyy-mm-dd")))</f>
        <v/>
      </c>
      <c r="AB1454">
        <f>AB1453+IF($R1454="",0,1)</f>
        <v/>
      </c>
      <c r="AC1454">
        <f>IF($R1454="","",$AB1454)</f>
        <v/>
      </c>
    </row>
    <row r="1455">
      <c r="O1455">
        <f>1453</f>
        <v/>
      </c>
      <c r="P1455">
        <f>IF(TRIM('입력_구리근무자명단'!$A1453&amp;"")&lt;&gt;"",TRIM('입력_구리근무자명단'!$A1453&amp;""),P1454)</f>
        <v/>
      </c>
      <c r="Q1455">
        <f>'입력_구리근무자명단'!$B1453&amp;""</f>
        <v/>
      </c>
      <c r="R1455">
        <f>IF($E$2="","",TRIM(INDEX('입력_구리근무자명단'!$A1453:$ZZ1453,1,$E$2+IF($G$2="확정",1,0))&amp;""))</f>
        <v/>
      </c>
      <c r="S1455">
        <f>IF($R1455="","",IF(INDEX('입력_구리근무자명단'!$A1453:$ZZ1453,1,$E$2+2)&amp;""="",급여기준월,IF(ISNUMBER(INDEX('입력_구리근무자명단'!$A1453:$ZZ1453,1,$E$2+2)),INDEX('입력_구리근무자명단'!$A1453:$ZZ1453,1,$E$2+2),IFERROR(DATE(VALUE(LEFT(INDEX('입력_구리근무자명단'!$A1453:$ZZ1453,1,$E$2+2),4)),VALUE(MID(INDEX('입력_구리근무자명단'!$A1453:$ZZ1453,1,$E$2+2),6,2)),VALUE(MID(INDEX('입력_구리근무자명단'!$A1453:$ZZ1453,1,$E$2+2),9,2))),-1))))</f>
        <v/>
      </c>
      <c r="T1455">
        <f>IF($R1455="","",IF(INDEX('입력_구리근무자명단'!$A1453:$ZZ1453,1,$E$2+3)&amp;""="",EOMONTH(급여기준월,0),IF(ISNUMBER(INDEX('입력_구리근무자명단'!$A1453:$ZZ1453,1,$E$2+3)),INDEX('입력_구리근무자명단'!$A1453:$ZZ1453,1,$E$2+3),IFERROR(DATE(VALUE(LEFT(INDEX('입력_구리근무자명단'!$A1453:$ZZ1453,1,$E$2+3),4)),VALUE(MID(INDEX('입력_구리근무자명단'!$A1453:$ZZ1453,1,$E$2+3),6,2)),VALUE(MID(INDEX('입력_구리근무자명단'!$A1453:$ZZ1453,1,$E$2+3),9,2))),-1))))</f>
        <v/>
      </c>
      <c r="U1455">
        <f>IF($R1455="","",IF(OR($S1455&lt;0,$T1455&lt;0),0,MAX(0,MIN($T1455,EOMONTH(급여기준월,0))-MAX($S1455,급여기준월)+1)))</f>
        <v/>
      </c>
      <c r="V1455">
        <f>IF($R1455="","",TRIM(INDEX('입력_구리근무자명단'!$A1453:$ZZ1453,1,$E$2+5)&amp;""))</f>
        <v/>
      </c>
      <c r="W1455">
        <f>IF(ISNUMBER(SEARCH("구리독자",$V1455)),"구리독자","")</f>
        <v/>
      </c>
      <c r="X1455">
        <f>IF($R1455="","",$R1455&amp;"|"&amp;IF(OR($Q1455="인턴",ISNUMBER(SEARCH("수련교육부",$P1455))),"인턴",$P1455))</f>
        <v/>
      </c>
      <c r="Y1455">
        <f>IF($R1455="","",IF(COUNTIF(명단표[이름|과],$X1455)=1,"명단 일치",IF(AND(COUNTIF(명단표[이름|과],$X1455)=0,COUNTIF(명단표[이름],$R1455)=1),"명단 일치(이름만, 과 다름)",IF(COUNTIF(명단표[이름],$R1455)=0,IF(COUNTIF(기본자료표[이름],$R1455)&gt;0,"명단에 없음(기본자료에는 있음)","명단에 없음"),"동명이인 확인"))))</f>
        <v/>
      </c>
      <c r="Z1455">
        <f>IF($R1455="","",IF($S1455&lt;0,"⚠"&amp;INDEX('입력_구리근무자명단'!$A1453:$ZZ1453,1,$E$2+2),TEXT($S1455,"yyyy-mm-dd")))</f>
        <v/>
      </c>
      <c r="AA1455">
        <f>IF($R1455="","",IF($T1455&lt;0,"⚠"&amp;INDEX('입력_구리근무자명단'!$A1453:$ZZ1453,1,$E$2+3),TEXT($T1455,"yyyy-mm-dd")))</f>
        <v/>
      </c>
      <c r="AB1455">
        <f>AB1454+IF($R1455="",0,1)</f>
        <v/>
      </c>
      <c r="AC1455">
        <f>IF($R1455="","",$AB1455)</f>
        <v/>
      </c>
    </row>
    <row r="1456">
      <c r="O1456">
        <f>1454</f>
        <v/>
      </c>
      <c r="P1456">
        <f>IF(TRIM('입력_구리근무자명단'!$A1454&amp;"")&lt;&gt;"",TRIM('입력_구리근무자명단'!$A1454&amp;""),P1455)</f>
        <v/>
      </c>
      <c r="Q1456">
        <f>'입력_구리근무자명단'!$B1454&amp;""</f>
        <v/>
      </c>
      <c r="R1456">
        <f>IF($E$2="","",TRIM(INDEX('입력_구리근무자명단'!$A1454:$ZZ1454,1,$E$2+IF($G$2="확정",1,0))&amp;""))</f>
        <v/>
      </c>
      <c r="S1456">
        <f>IF($R1456="","",IF(INDEX('입력_구리근무자명단'!$A1454:$ZZ1454,1,$E$2+2)&amp;""="",급여기준월,IF(ISNUMBER(INDEX('입력_구리근무자명단'!$A1454:$ZZ1454,1,$E$2+2)),INDEX('입력_구리근무자명단'!$A1454:$ZZ1454,1,$E$2+2),IFERROR(DATE(VALUE(LEFT(INDEX('입력_구리근무자명단'!$A1454:$ZZ1454,1,$E$2+2),4)),VALUE(MID(INDEX('입력_구리근무자명단'!$A1454:$ZZ1454,1,$E$2+2),6,2)),VALUE(MID(INDEX('입력_구리근무자명단'!$A1454:$ZZ1454,1,$E$2+2),9,2))),-1))))</f>
        <v/>
      </c>
      <c r="T1456">
        <f>IF($R1456="","",IF(INDEX('입력_구리근무자명단'!$A1454:$ZZ1454,1,$E$2+3)&amp;""="",EOMONTH(급여기준월,0),IF(ISNUMBER(INDEX('입력_구리근무자명단'!$A1454:$ZZ1454,1,$E$2+3)),INDEX('입력_구리근무자명단'!$A1454:$ZZ1454,1,$E$2+3),IFERROR(DATE(VALUE(LEFT(INDEX('입력_구리근무자명단'!$A1454:$ZZ1454,1,$E$2+3),4)),VALUE(MID(INDEX('입력_구리근무자명단'!$A1454:$ZZ1454,1,$E$2+3),6,2)),VALUE(MID(INDEX('입력_구리근무자명단'!$A1454:$ZZ1454,1,$E$2+3),9,2))),-1))))</f>
        <v/>
      </c>
      <c r="U1456">
        <f>IF($R1456="","",IF(OR($S1456&lt;0,$T1456&lt;0),0,MAX(0,MIN($T1456,EOMONTH(급여기준월,0))-MAX($S1456,급여기준월)+1)))</f>
        <v/>
      </c>
      <c r="V1456">
        <f>IF($R1456="","",TRIM(INDEX('입력_구리근무자명단'!$A1454:$ZZ1454,1,$E$2+5)&amp;""))</f>
        <v/>
      </c>
      <c r="W1456">
        <f>IF(ISNUMBER(SEARCH("구리독자",$V1456)),"구리독자","")</f>
        <v/>
      </c>
      <c r="X1456">
        <f>IF($R1456="","",$R1456&amp;"|"&amp;IF(OR($Q1456="인턴",ISNUMBER(SEARCH("수련교육부",$P1456))),"인턴",$P1456))</f>
        <v/>
      </c>
      <c r="Y1456">
        <f>IF($R1456="","",IF(COUNTIF(명단표[이름|과],$X1456)=1,"명단 일치",IF(AND(COUNTIF(명단표[이름|과],$X1456)=0,COUNTIF(명단표[이름],$R1456)=1),"명단 일치(이름만, 과 다름)",IF(COUNTIF(명단표[이름],$R1456)=0,IF(COUNTIF(기본자료표[이름],$R1456)&gt;0,"명단에 없음(기본자료에는 있음)","명단에 없음"),"동명이인 확인"))))</f>
        <v/>
      </c>
      <c r="Z1456">
        <f>IF($R1456="","",IF($S1456&lt;0,"⚠"&amp;INDEX('입력_구리근무자명단'!$A1454:$ZZ1454,1,$E$2+2),TEXT($S1456,"yyyy-mm-dd")))</f>
        <v/>
      </c>
      <c r="AA1456">
        <f>IF($R1456="","",IF($T1456&lt;0,"⚠"&amp;INDEX('입력_구리근무자명단'!$A1454:$ZZ1454,1,$E$2+3),TEXT($T1456,"yyyy-mm-dd")))</f>
        <v/>
      </c>
      <c r="AB1456">
        <f>AB1455+IF($R1456="",0,1)</f>
        <v/>
      </c>
      <c r="AC1456">
        <f>IF($R1456="","",$AB1456)</f>
        <v/>
      </c>
    </row>
    <row r="1457">
      <c r="O1457">
        <f>1455</f>
        <v/>
      </c>
      <c r="P1457">
        <f>IF(TRIM('입력_구리근무자명단'!$A1455&amp;"")&lt;&gt;"",TRIM('입력_구리근무자명단'!$A1455&amp;""),P1456)</f>
        <v/>
      </c>
      <c r="Q1457">
        <f>'입력_구리근무자명단'!$B1455&amp;""</f>
        <v/>
      </c>
      <c r="R1457">
        <f>IF($E$2="","",TRIM(INDEX('입력_구리근무자명단'!$A1455:$ZZ1455,1,$E$2+IF($G$2="확정",1,0))&amp;""))</f>
        <v/>
      </c>
      <c r="S1457">
        <f>IF($R1457="","",IF(INDEX('입력_구리근무자명단'!$A1455:$ZZ1455,1,$E$2+2)&amp;""="",급여기준월,IF(ISNUMBER(INDEX('입력_구리근무자명단'!$A1455:$ZZ1455,1,$E$2+2)),INDEX('입력_구리근무자명단'!$A1455:$ZZ1455,1,$E$2+2),IFERROR(DATE(VALUE(LEFT(INDEX('입력_구리근무자명단'!$A1455:$ZZ1455,1,$E$2+2),4)),VALUE(MID(INDEX('입력_구리근무자명단'!$A1455:$ZZ1455,1,$E$2+2),6,2)),VALUE(MID(INDEX('입력_구리근무자명단'!$A1455:$ZZ1455,1,$E$2+2),9,2))),-1))))</f>
        <v/>
      </c>
      <c r="T1457">
        <f>IF($R1457="","",IF(INDEX('입력_구리근무자명단'!$A1455:$ZZ1455,1,$E$2+3)&amp;""="",EOMONTH(급여기준월,0),IF(ISNUMBER(INDEX('입력_구리근무자명단'!$A1455:$ZZ1455,1,$E$2+3)),INDEX('입력_구리근무자명단'!$A1455:$ZZ1455,1,$E$2+3),IFERROR(DATE(VALUE(LEFT(INDEX('입력_구리근무자명단'!$A1455:$ZZ1455,1,$E$2+3),4)),VALUE(MID(INDEX('입력_구리근무자명단'!$A1455:$ZZ1455,1,$E$2+3),6,2)),VALUE(MID(INDEX('입력_구리근무자명단'!$A1455:$ZZ1455,1,$E$2+3),9,2))),-1))))</f>
        <v/>
      </c>
      <c r="U1457">
        <f>IF($R1457="","",IF(OR($S1457&lt;0,$T1457&lt;0),0,MAX(0,MIN($T1457,EOMONTH(급여기준월,0))-MAX($S1457,급여기준월)+1)))</f>
        <v/>
      </c>
      <c r="V1457">
        <f>IF($R1457="","",TRIM(INDEX('입력_구리근무자명단'!$A1455:$ZZ1455,1,$E$2+5)&amp;""))</f>
        <v/>
      </c>
      <c r="W1457">
        <f>IF(ISNUMBER(SEARCH("구리독자",$V1457)),"구리독자","")</f>
        <v/>
      </c>
      <c r="X1457">
        <f>IF($R1457="","",$R1457&amp;"|"&amp;IF(OR($Q1457="인턴",ISNUMBER(SEARCH("수련교육부",$P1457))),"인턴",$P1457))</f>
        <v/>
      </c>
      <c r="Y1457">
        <f>IF($R1457="","",IF(COUNTIF(명단표[이름|과],$X1457)=1,"명단 일치",IF(AND(COUNTIF(명단표[이름|과],$X1457)=0,COUNTIF(명단표[이름],$R1457)=1),"명단 일치(이름만, 과 다름)",IF(COUNTIF(명단표[이름],$R1457)=0,IF(COUNTIF(기본자료표[이름],$R1457)&gt;0,"명단에 없음(기본자료에는 있음)","명단에 없음"),"동명이인 확인"))))</f>
        <v/>
      </c>
      <c r="Z1457">
        <f>IF($R1457="","",IF($S1457&lt;0,"⚠"&amp;INDEX('입력_구리근무자명단'!$A1455:$ZZ1455,1,$E$2+2),TEXT($S1457,"yyyy-mm-dd")))</f>
        <v/>
      </c>
      <c r="AA1457">
        <f>IF($R1457="","",IF($T1457&lt;0,"⚠"&amp;INDEX('입력_구리근무자명단'!$A1455:$ZZ1455,1,$E$2+3),TEXT($T1457,"yyyy-mm-dd")))</f>
        <v/>
      </c>
      <c r="AB1457">
        <f>AB1456+IF($R1457="",0,1)</f>
        <v/>
      </c>
      <c r="AC1457">
        <f>IF($R1457="","",$AB1457)</f>
        <v/>
      </c>
    </row>
    <row r="1458">
      <c r="O1458">
        <f>1456</f>
        <v/>
      </c>
      <c r="P1458">
        <f>IF(TRIM('입력_구리근무자명단'!$A1456&amp;"")&lt;&gt;"",TRIM('입력_구리근무자명단'!$A1456&amp;""),P1457)</f>
        <v/>
      </c>
      <c r="Q1458">
        <f>'입력_구리근무자명단'!$B1456&amp;""</f>
        <v/>
      </c>
      <c r="R1458">
        <f>IF($E$2="","",TRIM(INDEX('입력_구리근무자명단'!$A1456:$ZZ1456,1,$E$2+IF($G$2="확정",1,0))&amp;""))</f>
        <v/>
      </c>
      <c r="S1458">
        <f>IF($R1458="","",IF(INDEX('입력_구리근무자명단'!$A1456:$ZZ1456,1,$E$2+2)&amp;""="",급여기준월,IF(ISNUMBER(INDEX('입력_구리근무자명단'!$A1456:$ZZ1456,1,$E$2+2)),INDEX('입력_구리근무자명단'!$A1456:$ZZ1456,1,$E$2+2),IFERROR(DATE(VALUE(LEFT(INDEX('입력_구리근무자명단'!$A1456:$ZZ1456,1,$E$2+2),4)),VALUE(MID(INDEX('입력_구리근무자명단'!$A1456:$ZZ1456,1,$E$2+2),6,2)),VALUE(MID(INDEX('입력_구리근무자명단'!$A1456:$ZZ1456,1,$E$2+2),9,2))),-1))))</f>
        <v/>
      </c>
      <c r="T1458">
        <f>IF($R1458="","",IF(INDEX('입력_구리근무자명단'!$A1456:$ZZ1456,1,$E$2+3)&amp;""="",EOMONTH(급여기준월,0),IF(ISNUMBER(INDEX('입력_구리근무자명단'!$A1456:$ZZ1456,1,$E$2+3)),INDEX('입력_구리근무자명단'!$A1456:$ZZ1456,1,$E$2+3),IFERROR(DATE(VALUE(LEFT(INDEX('입력_구리근무자명단'!$A1456:$ZZ1456,1,$E$2+3),4)),VALUE(MID(INDEX('입력_구리근무자명단'!$A1456:$ZZ1456,1,$E$2+3),6,2)),VALUE(MID(INDEX('입력_구리근무자명단'!$A1456:$ZZ1456,1,$E$2+3),9,2))),-1))))</f>
        <v/>
      </c>
      <c r="U1458">
        <f>IF($R1458="","",IF(OR($S1458&lt;0,$T1458&lt;0),0,MAX(0,MIN($T1458,EOMONTH(급여기준월,0))-MAX($S1458,급여기준월)+1)))</f>
        <v/>
      </c>
      <c r="V1458">
        <f>IF($R1458="","",TRIM(INDEX('입력_구리근무자명단'!$A1456:$ZZ1456,1,$E$2+5)&amp;""))</f>
        <v/>
      </c>
      <c r="W1458">
        <f>IF(ISNUMBER(SEARCH("구리독자",$V1458)),"구리독자","")</f>
        <v/>
      </c>
      <c r="X1458">
        <f>IF($R1458="","",$R1458&amp;"|"&amp;IF(OR($Q1458="인턴",ISNUMBER(SEARCH("수련교육부",$P1458))),"인턴",$P1458))</f>
        <v/>
      </c>
      <c r="Y1458">
        <f>IF($R1458="","",IF(COUNTIF(명단표[이름|과],$X1458)=1,"명단 일치",IF(AND(COUNTIF(명단표[이름|과],$X1458)=0,COUNTIF(명단표[이름],$R1458)=1),"명단 일치(이름만, 과 다름)",IF(COUNTIF(명단표[이름],$R1458)=0,IF(COUNTIF(기본자료표[이름],$R1458)&gt;0,"명단에 없음(기본자료에는 있음)","명단에 없음"),"동명이인 확인"))))</f>
        <v/>
      </c>
      <c r="Z1458">
        <f>IF($R1458="","",IF($S1458&lt;0,"⚠"&amp;INDEX('입력_구리근무자명단'!$A1456:$ZZ1456,1,$E$2+2),TEXT($S1458,"yyyy-mm-dd")))</f>
        <v/>
      </c>
      <c r="AA1458">
        <f>IF($R1458="","",IF($T1458&lt;0,"⚠"&amp;INDEX('입력_구리근무자명단'!$A1456:$ZZ1456,1,$E$2+3),TEXT($T1458,"yyyy-mm-dd")))</f>
        <v/>
      </c>
      <c r="AB1458">
        <f>AB1457+IF($R1458="",0,1)</f>
        <v/>
      </c>
      <c r="AC1458">
        <f>IF($R1458="","",$AB1458)</f>
        <v/>
      </c>
    </row>
    <row r="1459">
      <c r="O1459">
        <f>1457</f>
        <v/>
      </c>
      <c r="P1459">
        <f>IF(TRIM('입력_구리근무자명단'!$A1457&amp;"")&lt;&gt;"",TRIM('입력_구리근무자명단'!$A1457&amp;""),P1458)</f>
        <v/>
      </c>
      <c r="Q1459">
        <f>'입력_구리근무자명단'!$B1457&amp;""</f>
        <v/>
      </c>
      <c r="R1459">
        <f>IF($E$2="","",TRIM(INDEX('입력_구리근무자명단'!$A1457:$ZZ1457,1,$E$2+IF($G$2="확정",1,0))&amp;""))</f>
        <v/>
      </c>
      <c r="S1459">
        <f>IF($R1459="","",IF(INDEX('입력_구리근무자명단'!$A1457:$ZZ1457,1,$E$2+2)&amp;""="",급여기준월,IF(ISNUMBER(INDEX('입력_구리근무자명단'!$A1457:$ZZ1457,1,$E$2+2)),INDEX('입력_구리근무자명단'!$A1457:$ZZ1457,1,$E$2+2),IFERROR(DATE(VALUE(LEFT(INDEX('입력_구리근무자명단'!$A1457:$ZZ1457,1,$E$2+2),4)),VALUE(MID(INDEX('입력_구리근무자명단'!$A1457:$ZZ1457,1,$E$2+2),6,2)),VALUE(MID(INDEX('입력_구리근무자명단'!$A1457:$ZZ1457,1,$E$2+2),9,2))),-1))))</f>
        <v/>
      </c>
      <c r="T1459">
        <f>IF($R1459="","",IF(INDEX('입력_구리근무자명단'!$A1457:$ZZ1457,1,$E$2+3)&amp;""="",EOMONTH(급여기준월,0),IF(ISNUMBER(INDEX('입력_구리근무자명단'!$A1457:$ZZ1457,1,$E$2+3)),INDEX('입력_구리근무자명단'!$A1457:$ZZ1457,1,$E$2+3),IFERROR(DATE(VALUE(LEFT(INDEX('입력_구리근무자명단'!$A1457:$ZZ1457,1,$E$2+3),4)),VALUE(MID(INDEX('입력_구리근무자명단'!$A1457:$ZZ1457,1,$E$2+3),6,2)),VALUE(MID(INDEX('입력_구리근무자명단'!$A1457:$ZZ1457,1,$E$2+3),9,2))),-1))))</f>
        <v/>
      </c>
      <c r="U1459">
        <f>IF($R1459="","",IF(OR($S1459&lt;0,$T1459&lt;0),0,MAX(0,MIN($T1459,EOMONTH(급여기준월,0))-MAX($S1459,급여기준월)+1)))</f>
        <v/>
      </c>
      <c r="V1459">
        <f>IF($R1459="","",TRIM(INDEX('입력_구리근무자명단'!$A1457:$ZZ1457,1,$E$2+5)&amp;""))</f>
        <v/>
      </c>
      <c r="W1459">
        <f>IF(ISNUMBER(SEARCH("구리독자",$V1459)),"구리독자","")</f>
        <v/>
      </c>
      <c r="X1459">
        <f>IF($R1459="","",$R1459&amp;"|"&amp;IF(OR($Q1459="인턴",ISNUMBER(SEARCH("수련교육부",$P1459))),"인턴",$P1459))</f>
        <v/>
      </c>
      <c r="Y1459">
        <f>IF($R1459="","",IF(COUNTIF(명단표[이름|과],$X1459)=1,"명단 일치",IF(AND(COUNTIF(명단표[이름|과],$X1459)=0,COUNTIF(명단표[이름],$R1459)=1),"명단 일치(이름만, 과 다름)",IF(COUNTIF(명단표[이름],$R1459)=0,IF(COUNTIF(기본자료표[이름],$R1459)&gt;0,"명단에 없음(기본자료에는 있음)","명단에 없음"),"동명이인 확인"))))</f>
        <v/>
      </c>
      <c r="Z1459">
        <f>IF($R1459="","",IF($S1459&lt;0,"⚠"&amp;INDEX('입력_구리근무자명단'!$A1457:$ZZ1457,1,$E$2+2),TEXT($S1459,"yyyy-mm-dd")))</f>
        <v/>
      </c>
      <c r="AA1459">
        <f>IF($R1459="","",IF($T1459&lt;0,"⚠"&amp;INDEX('입력_구리근무자명단'!$A1457:$ZZ1457,1,$E$2+3),TEXT($T1459,"yyyy-mm-dd")))</f>
        <v/>
      </c>
      <c r="AB1459">
        <f>AB1458+IF($R1459="",0,1)</f>
        <v/>
      </c>
      <c r="AC1459">
        <f>IF($R1459="","",$AB1459)</f>
        <v/>
      </c>
    </row>
    <row r="1460">
      <c r="O1460">
        <f>1458</f>
        <v/>
      </c>
      <c r="P1460">
        <f>IF(TRIM('입력_구리근무자명단'!$A1458&amp;"")&lt;&gt;"",TRIM('입력_구리근무자명단'!$A1458&amp;""),P1459)</f>
        <v/>
      </c>
      <c r="Q1460">
        <f>'입력_구리근무자명단'!$B1458&amp;""</f>
        <v/>
      </c>
      <c r="R1460">
        <f>IF($E$2="","",TRIM(INDEX('입력_구리근무자명단'!$A1458:$ZZ1458,1,$E$2+IF($G$2="확정",1,0))&amp;""))</f>
        <v/>
      </c>
      <c r="S1460">
        <f>IF($R1460="","",IF(INDEX('입력_구리근무자명단'!$A1458:$ZZ1458,1,$E$2+2)&amp;""="",급여기준월,IF(ISNUMBER(INDEX('입력_구리근무자명단'!$A1458:$ZZ1458,1,$E$2+2)),INDEX('입력_구리근무자명단'!$A1458:$ZZ1458,1,$E$2+2),IFERROR(DATE(VALUE(LEFT(INDEX('입력_구리근무자명단'!$A1458:$ZZ1458,1,$E$2+2),4)),VALUE(MID(INDEX('입력_구리근무자명단'!$A1458:$ZZ1458,1,$E$2+2),6,2)),VALUE(MID(INDEX('입력_구리근무자명단'!$A1458:$ZZ1458,1,$E$2+2),9,2))),-1))))</f>
        <v/>
      </c>
      <c r="T1460">
        <f>IF($R1460="","",IF(INDEX('입력_구리근무자명단'!$A1458:$ZZ1458,1,$E$2+3)&amp;""="",EOMONTH(급여기준월,0),IF(ISNUMBER(INDEX('입력_구리근무자명단'!$A1458:$ZZ1458,1,$E$2+3)),INDEX('입력_구리근무자명단'!$A1458:$ZZ1458,1,$E$2+3),IFERROR(DATE(VALUE(LEFT(INDEX('입력_구리근무자명단'!$A1458:$ZZ1458,1,$E$2+3),4)),VALUE(MID(INDEX('입력_구리근무자명단'!$A1458:$ZZ1458,1,$E$2+3),6,2)),VALUE(MID(INDEX('입력_구리근무자명단'!$A1458:$ZZ1458,1,$E$2+3),9,2))),-1))))</f>
        <v/>
      </c>
      <c r="U1460">
        <f>IF($R1460="","",IF(OR($S1460&lt;0,$T1460&lt;0),0,MAX(0,MIN($T1460,EOMONTH(급여기준월,0))-MAX($S1460,급여기준월)+1)))</f>
        <v/>
      </c>
      <c r="V1460">
        <f>IF($R1460="","",TRIM(INDEX('입력_구리근무자명단'!$A1458:$ZZ1458,1,$E$2+5)&amp;""))</f>
        <v/>
      </c>
      <c r="W1460">
        <f>IF(ISNUMBER(SEARCH("구리독자",$V1460)),"구리독자","")</f>
        <v/>
      </c>
      <c r="X1460">
        <f>IF($R1460="","",$R1460&amp;"|"&amp;IF(OR($Q1460="인턴",ISNUMBER(SEARCH("수련교육부",$P1460))),"인턴",$P1460))</f>
        <v/>
      </c>
      <c r="Y1460">
        <f>IF($R1460="","",IF(COUNTIF(명단표[이름|과],$X1460)=1,"명단 일치",IF(AND(COUNTIF(명단표[이름|과],$X1460)=0,COUNTIF(명단표[이름],$R1460)=1),"명단 일치(이름만, 과 다름)",IF(COUNTIF(명단표[이름],$R1460)=0,IF(COUNTIF(기본자료표[이름],$R1460)&gt;0,"명단에 없음(기본자료에는 있음)","명단에 없음"),"동명이인 확인"))))</f>
        <v/>
      </c>
      <c r="Z1460">
        <f>IF($R1460="","",IF($S1460&lt;0,"⚠"&amp;INDEX('입력_구리근무자명단'!$A1458:$ZZ1458,1,$E$2+2),TEXT($S1460,"yyyy-mm-dd")))</f>
        <v/>
      </c>
      <c r="AA1460">
        <f>IF($R1460="","",IF($T1460&lt;0,"⚠"&amp;INDEX('입력_구리근무자명단'!$A1458:$ZZ1458,1,$E$2+3),TEXT($T1460,"yyyy-mm-dd")))</f>
        <v/>
      </c>
      <c r="AB1460">
        <f>AB1459+IF($R1460="",0,1)</f>
        <v/>
      </c>
      <c r="AC1460">
        <f>IF($R1460="","",$AB1460)</f>
        <v/>
      </c>
    </row>
    <row r="1461">
      <c r="O1461">
        <f>1459</f>
        <v/>
      </c>
      <c r="P1461">
        <f>IF(TRIM('입력_구리근무자명단'!$A1459&amp;"")&lt;&gt;"",TRIM('입력_구리근무자명단'!$A1459&amp;""),P1460)</f>
        <v/>
      </c>
      <c r="Q1461">
        <f>'입력_구리근무자명단'!$B1459&amp;""</f>
        <v/>
      </c>
      <c r="R1461">
        <f>IF($E$2="","",TRIM(INDEX('입력_구리근무자명단'!$A1459:$ZZ1459,1,$E$2+IF($G$2="확정",1,0))&amp;""))</f>
        <v/>
      </c>
      <c r="S1461">
        <f>IF($R1461="","",IF(INDEX('입력_구리근무자명단'!$A1459:$ZZ1459,1,$E$2+2)&amp;""="",급여기준월,IF(ISNUMBER(INDEX('입력_구리근무자명단'!$A1459:$ZZ1459,1,$E$2+2)),INDEX('입력_구리근무자명단'!$A1459:$ZZ1459,1,$E$2+2),IFERROR(DATE(VALUE(LEFT(INDEX('입력_구리근무자명단'!$A1459:$ZZ1459,1,$E$2+2),4)),VALUE(MID(INDEX('입력_구리근무자명단'!$A1459:$ZZ1459,1,$E$2+2),6,2)),VALUE(MID(INDEX('입력_구리근무자명단'!$A1459:$ZZ1459,1,$E$2+2),9,2))),-1))))</f>
        <v/>
      </c>
      <c r="T1461">
        <f>IF($R1461="","",IF(INDEX('입력_구리근무자명단'!$A1459:$ZZ1459,1,$E$2+3)&amp;""="",EOMONTH(급여기준월,0),IF(ISNUMBER(INDEX('입력_구리근무자명단'!$A1459:$ZZ1459,1,$E$2+3)),INDEX('입력_구리근무자명단'!$A1459:$ZZ1459,1,$E$2+3),IFERROR(DATE(VALUE(LEFT(INDEX('입력_구리근무자명단'!$A1459:$ZZ1459,1,$E$2+3),4)),VALUE(MID(INDEX('입력_구리근무자명단'!$A1459:$ZZ1459,1,$E$2+3),6,2)),VALUE(MID(INDEX('입력_구리근무자명단'!$A1459:$ZZ1459,1,$E$2+3),9,2))),-1))))</f>
        <v/>
      </c>
      <c r="U1461">
        <f>IF($R1461="","",IF(OR($S1461&lt;0,$T1461&lt;0),0,MAX(0,MIN($T1461,EOMONTH(급여기준월,0))-MAX($S1461,급여기준월)+1)))</f>
        <v/>
      </c>
      <c r="V1461">
        <f>IF($R1461="","",TRIM(INDEX('입력_구리근무자명단'!$A1459:$ZZ1459,1,$E$2+5)&amp;""))</f>
        <v/>
      </c>
      <c r="W1461">
        <f>IF(ISNUMBER(SEARCH("구리독자",$V1461)),"구리독자","")</f>
        <v/>
      </c>
      <c r="X1461">
        <f>IF($R1461="","",$R1461&amp;"|"&amp;IF(OR($Q1461="인턴",ISNUMBER(SEARCH("수련교육부",$P1461))),"인턴",$P1461))</f>
        <v/>
      </c>
      <c r="Y1461">
        <f>IF($R1461="","",IF(COUNTIF(명단표[이름|과],$X1461)=1,"명단 일치",IF(AND(COUNTIF(명단표[이름|과],$X1461)=0,COUNTIF(명단표[이름],$R1461)=1),"명단 일치(이름만, 과 다름)",IF(COUNTIF(명단표[이름],$R1461)=0,IF(COUNTIF(기본자료표[이름],$R1461)&gt;0,"명단에 없음(기본자료에는 있음)","명단에 없음"),"동명이인 확인"))))</f>
        <v/>
      </c>
      <c r="Z1461">
        <f>IF($R1461="","",IF($S1461&lt;0,"⚠"&amp;INDEX('입력_구리근무자명단'!$A1459:$ZZ1459,1,$E$2+2),TEXT($S1461,"yyyy-mm-dd")))</f>
        <v/>
      </c>
      <c r="AA1461">
        <f>IF($R1461="","",IF($T1461&lt;0,"⚠"&amp;INDEX('입력_구리근무자명단'!$A1459:$ZZ1459,1,$E$2+3),TEXT($T1461,"yyyy-mm-dd")))</f>
        <v/>
      </c>
      <c r="AB1461">
        <f>AB1460+IF($R1461="",0,1)</f>
        <v/>
      </c>
      <c r="AC1461">
        <f>IF($R1461="","",$AB1461)</f>
        <v/>
      </c>
    </row>
    <row r="1462">
      <c r="O1462">
        <f>1460</f>
        <v/>
      </c>
      <c r="P1462">
        <f>IF(TRIM('입력_구리근무자명단'!$A1460&amp;"")&lt;&gt;"",TRIM('입력_구리근무자명단'!$A1460&amp;""),P1461)</f>
        <v/>
      </c>
      <c r="Q1462">
        <f>'입력_구리근무자명단'!$B1460&amp;""</f>
        <v/>
      </c>
      <c r="R1462">
        <f>IF($E$2="","",TRIM(INDEX('입력_구리근무자명단'!$A1460:$ZZ1460,1,$E$2+IF($G$2="확정",1,0))&amp;""))</f>
        <v/>
      </c>
      <c r="S1462">
        <f>IF($R1462="","",IF(INDEX('입력_구리근무자명단'!$A1460:$ZZ1460,1,$E$2+2)&amp;""="",급여기준월,IF(ISNUMBER(INDEX('입력_구리근무자명단'!$A1460:$ZZ1460,1,$E$2+2)),INDEX('입력_구리근무자명단'!$A1460:$ZZ1460,1,$E$2+2),IFERROR(DATE(VALUE(LEFT(INDEX('입력_구리근무자명단'!$A1460:$ZZ1460,1,$E$2+2),4)),VALUE(MID(INDEX('입력_구리근무자명단'!$A1460:$ZZ1460,1,$E$2+2),6,2)),VALUE(MID(INDEX('입력_구리근무자명단'!$A1460:$ZZ1460,1,$E$2+2),9,2))),-1))))</f>
        <v/>
      </c>
      <c r="T1462">
        <f>IF($R1462="","",IF(INDEX('입력_구리근무자명단'!$A1460:$ZZ1460,1,$E$2+3)&amp;""="",EOMONTH(급여기준월,0),IF(ISNUMBER(INDEX('입력_구리근무자명단'!$A1460:$ZZ1460,1,$E$2+3)),INDEX('입력_구리근무자명단'!$A1460:$ZZ1460,1,$E$2+3),IFERROR(DATE(VALUE(LEFT(INDEX('입력_구리근무자명단'!$A1460:$ZZ1460,1,$E$2+3),4)),VALUE(MID(INDEX('입력_구리근무자명단'!$A1460:$ZZ1460,1,$E$2+3),6,2)),VALUE(MID(INDEX('입력_구리근무자명단'!$A1460:$ZZ1460,1,$E$2+3),9,2))),-1))))</f>
        <v/>
      </c>
      <c r="U1462">
        <f>IF($R1462="","",IF(OR($S1462&lt;0,$T1462&lt;0),0,MAX(0,MIN($T1462,EOMONTH(급여기준월,0))-MAX($S1462,급여기준월)+1)))</f>
        <v/>
      </c>
      <c r="V1462">
        <f>IF($R1462="","",TRIM(INDEX('입력_구리근무자명단'!$A1460:$ZZ1460,1,$E$2+5)&amp;""))</f>
        <v/>
      </c>
      <c r="W1462">
        <f>IF(ISNUMBER(SEARCH("구리독자",$V1462)),"구리독자","")</f>
        <v/>
      </c>
      <c r="X1462">
        <f>IF($R1462="","",$R1462&amp;"|"&amp;IF(OR($Q1462="인턴",ISNUMBER(SEARCH("수련교육부",$P1462))),"인턴",$P1462))</f>
        <v/>
      </c>
      <c r="Y1462">
        <f>IF($R1462="","",IF(COUNTIF(명단표[이름|과],$X1462)=1,"명단 일치",IF(AND(COUNTIF(명단표[이름|과],$X1462)=0,COUNTIF(명단표[이름],$R1462)=1),"명단 일치(이름만, 과 다름)",IF(COUNTIF(명단표[이름],$R1462)=0,IF(COUNTIF(기본자료표[이름],$R1462)&gt;0,"명단에 없음(기본자료에는 있음)","명단에 없음"),"동명이인 확인"))))</f>
        <v/>
      </c>
      <c r="Z1462">
        <f>IF($R1462="","",IF($S1462&lt;0,"⚠"&amp;INDEX('입력_구리근무자명단'!$A1460:$ZZ1460,1,$E$2+2),TEXT($S1462,"yyyy-mm-dd")))</f>
        <v/>
      </c>
      <c r="AA1462">
        <f>IF($R1462="","",IF($T1462&lt;0,"⚠"&amp;INDEX('입력_구리근무자명단'!$A1460:$ZZ1460,1,$E$2+3),TEXT($T1462,"yyyy-mm-dd")))</f>
        <v/>
      </c>
      <c r="AB1462">
        <f>AB1461+IF($R1462="",0,1)</f>
        <v/>
      </c>
      <c r="AC1462">
        <f>IF($R1462="","",$AB1462)</f>
        <v/>
      </c>
    </row>
    <row r="1463">
      <c r="O1463">
        <f>1461</f>
        <v/>
      </c>
      <c r="P1463">
        <f>IF(TRIM('입력_구리근무자명단'!$A1461&amp;"")&lt;&gt;"",TRIM('입력_구리근무자명단'!$A1461&amp;""),P1462)</f>
        <v/>
      </c>
      <c r="Q1463">
        <f>'입력_구리근무자명단'!$B1461&amp;""</f>
        <v/>
      </c>
      <c r="R1463">
        <f>IF($E$2="","",TRIM(INDEX('입력_구리근무자명단'!$A1461:$ZZ1461,1,$E$2+IF($G$2="확정",1,0))&amp;""))</f>
        <v/>
      </c>
      <c r="S1463">
        <f>IF($R1463="","",IF(INDEX('입력_구리근무자명단'!$A1461:$ZZ1461,1,$E$2+2)&amp;""="",급여기준월,IF(ISNUMBER(INDEX('입력_구리근무자명단'!$A1461:$ZZ1461,1,$E$2+2)),INDEX('입력_구리근무자명단'!$A1461:$ZZ1461,1,$E$2+2),IFERROR(DATE(VALUE(LEFT(INDEX('입력_구리근무자명단'!$A1461:$ZZ1461,1,$E$2+2),4)),VALUE(MID(INDEX('입력_구리근무자명단'!$A1461:$ZZ1461,1,$E$2+2),6,2)),VALUE(MID(INDEX('입력_구리근무자명단'!$A1461:$ZZ1461,1,$E$2+2),9,2))),-1))))</f>
        <v/>
      </c>
      <c r="T1463">
        <f>IF($R1463="","",IF(INDEX('입력_구리근무자명단'!$A1461:$ZZ1461,1,$E$2+3)&amp;""="",EOMONTH(급여기준월,0),IF(ISNUMBER(INDEX('입력_구리근무자명단'!$A1461:$ZZ1461,1,$E$2+3)),INDEX('입력_구리근무자명단'!$A1461:$ZZ1461,1,$E$2+3),IFERROR(DATE(VALUE(LEFT(INDEX('입력_구리근무자명단'!$A1461:$ZZ1461,1,$E$2+3),4)),VALUE(MID(INDEX('입력_구리근무자명단'!$A1461:$ZZ1461,1,$E$2+3),6,2)),VALUE(MID(INDEX('입력_구리근무자명단'!$A1461:$ZZ1461,1,$E$2+3),9,2))),-1))))</f>
        <v/>
      </c>
      <c r="U1463">
        <f>IF($R1463="","",IF(OR($S1463&lt;0,$T1463&lt;0),0,MAX(0,MIN($T1463,EOMONTH(급여기준월,0))-MAX($S1463,급여기준월)+1)))</f>
        <v/>
      </c>
      <c r="V1463">
        <f>IF($R1463="","",TRIM(INDEX('입력_구리근무자명단'!$A1461:$ZZ1461,1,$E$2+5)&amp;""))</f>
        <v/>
      </c>
      <c r="W1463">
        <f>IF(ISNUMBER(SEARCH("구리독자",$V1463)),"구리독자","")</f>
        <v/>
      </c>
      <c r="X1463">
        <f>IF($R1463="","",$R1463&amp;"|"&amp;IF(OR($Q1463="인턴",ISNUMBER(SEARCH("수련교육부",$P1463))),"인턴",$P1463))</f>
        <v/>
      </c>
      <c r="Y1463">
        <f>IF($R1463="","",IF(COUNTIF(명단표[이름|과],$X1463)=1,"명단 일치",IF(AND(COUNTIF(명단표[이름|과],$X1463)=0,COUNTIF(명단표[이름],$R1463)=1),"명단 일치(이름만, 과 다름)",IF(COUNTIF(명단표[이름],$R1463)=0,IF(COUNTIF(기본자료표[이름],$R1463)&gt;0,"명단에 없음(기본자료에는 있음)","명단에 없음"),"동명이인 확인"))))</f>
        <v/>
      </c>
      <c r="Z1463">
        <f>IF($R1463="","",IF($S1463&lt;0,"⚠"&amp;INDEX('입력_구리근무자명단'!$A1461:$ZZ1461,1,$E$2+2),TEXT($S1463,"yyyy-mm-dd")))</f>
        <v/>
      </c>
      <c r="AA1463">
        <f>IF($R1463="","",IF($T1463&lt;0,"⚠"&amp;INDEX('입력_구리근무자명단'!$A1461:$ZZ1461,1,$E$2+3),TEXT($T1463,"yyyy-mm-dd")))</f>
        <v/>
      </c>
      <c r="AB1463">
        <f>AB1462+IF($R1463="",0,1)</f>
        <v/>
      </c>
      <c r="AC1463">
        <f>IF($R1463="","",$AB1463)</f>
        <v/>
      </c>
    </row>
    <row r="1464">
      <c r="O1464">
        <f>1462</f>
        <v/>
      </c>
      <c r="P1464">
        <f>IF(TRIM('입력_구리근무자명단'!$A1462&amp;"")&lt;&gt;"",TRIM('입력_구리근무자명단'!$A1462&amp;""),P1463)</f>
        <v/>
      </c>
      <c r="Q1464">
        <f>'입력_구리근무자명단'!$B1462&amp;""</f>
        <v/>
      </c>
      <c r="R1464">
        <f>IF($E$2="","",TRIM(INDEX('입력_구리근무자명단'!$A1462:$ZZ1462,1,$E$2+IF($G$2="확정",1,0))&amp;""))</f>
        <v/>
      </c>
      <c r="S1464">
        <f>IF($R1464="","",IF(INDEX('입력_구리근무자명단'!$A1462:$ZZ1462,1,$E$2+2)&amp;""="",급여기준월,IF(ISNUMBER(INDEX('입력_구리근무자명단'!$A1462:$ZZ1462,1,$E$2+2)),INDEX('입력_구리근무자명단'!$A1462:$ZZ1462,1,$E$2+2),IFERROR(DATE(VALUE(LEFT(INDEX('입력_구리근무자명단'!$A1462:$ZZ1462,1,$E$2+2),4)),VALUE(MID(INDEX('입력_구리근무자명단'!$A1462:$ZZ1462,1,$E$2+2),6,2)),VALUE(MID(INDEX('입력_구리근무자명단'!$A1462:$ZZ1462,1,$E$2+2),9,2))),-1))))</f>
        <v/>
      </c>
      <c r="T1464">
        <f>IF($R1464="","",IF(INDEX('입력_구리근무자명단'!$A1462:$ZZ1462,1,$E$2+3)&amp;""="",EOMONTH(급여기준월,0),IF(ISNUMBER(INDEX('입력_구리근무자명단'!$A1462:$ZZ1462,1,$E$2+3)),INDEX('입력_구리근무자명단'!$A1462:$ZZ1462,1,$E$2+3),IFERROR(DATE(VALUE(LEFT(INDEX('입력_구리근무자명단'!$A1462:$ZZ1462,1,$E$2+3),4)),VALUE(MID(INDEX('입력_구리근무자명단'!$A1462:$ZZ1462,1,$E$2+3),6,2)),VALUE(MID(INDEX('입력_구리근무자명단'!$A1462:$ZZ1462,1,$E$2+3),9,2))),-1))))</f>
        <v/>
      </c>
      <c r="U1464">
        <f>IF($R1464="","",IF(OR($S1464&lt;0,$T1464&lt;0),0,MAX(0,MIN($T1464,EOMONTH(급여기준월,0))-MAX($S1464,급여기준월)+1)))</f>
        <v/>
      </c>
      <c r="V1464">
        <f>IF($R1464="","",TRIM(INDEX('입력_구리근무자명단'!$A1462:$ZZ1462,1,$E$2+5)&amp;""))</f>
        <v/>
      </c>
      <c r="W1464">
        <f>IF(ISNUMBER(SEARCH("구리독자",$V1464)),"구리독자","")</f>
        <v/>
      </c>
      <c r="X1464">
        <f>IF($R1464="","",$R1464&amp;"|"&amp;IF(OR($Q1464="인턴",ISNUMBER(SEARCH("수련교육부",$P1464))),"인턴",$P1464))</f>
        <v/>
      </c>
      <c r="Y1464">
        <f>IF($R1464="","",IF(COUNTIF(명단표[이름|과],$X1464)=1,"명단 일치",IF(AND(COUNTIF(명단표[이름|과],$X1464)=0,COUNTIF(명단표[이름],$R1464)=1),"명단 일치(이름만, 과 다름)",IF(COUNTIF(명단표[이름],$R1464)=0,IF(COUNTIF(기본자료표[이름],$R1464)&gt;0,"명단에 없음(기본자료에는 있음)","명단에 없음"),"동명이인 확인"))))</f>
        <v/>
      </c>
      <c r="Z1464">
        <f>IF($R1464="","",IF($S1464&lt;0,"⚠"&amp;INDEX('입력_구리근무자명단'!$A1462:$ZZ1462,1,$E$2+2),TEXT($S1464,"yyyy-mm-dd")))</f>
        <v/>
      </c>
      <c r="AA1464">
        <f>IF($R1464="","",IF($T1464&lt;0,"⚠"&amp;INDEX('입력_구리근무자명단'!$A1462:$ZZ1462,1,$E$2+3),TEXT($T1464,"yyyy-mm-dd")))</f>
        <v/>
      </c>
      <c r="AB1464">
        <f>AB1463+IF($R1464="",0,1)</f>
        <v/>
      </c>
      <c r="AC1464">
        <f>IF($R1464="","",$AB1464)</f>
        <v/>
      </c>
    </row>
    <row r="1465">
      <c r="O1465">
        <f>1463</f>
        <v/>
      </c>
      <c r="P1465">
        <f>IF(TRIM('입력_구리근무자명단'!$A1463&amp;"")&lt;&gt;"",TRIM('입력_구리근무자명단'!$A1463&amp;""),P1464)</f>
        <v/>
      </c>
      <c r="Q1465">
        <f>'입력_구리근무자명단'!$B1463&amp;""</f>
        <v/>
      </c>
      <c r="R1465">
        <f>IF($E$2="","",TRIM(INDEX('입력_구리근무자명단'!$A1463:$ZZ1463,1,$E$2+IF($G$2="확정",1,0))&amp;""))</f>
        <v/>
      </c>
      <c r="S1465">
        <f>IF($R1465="","",IF(INDEX('입력_구리근무자명단'!$A1463:$ZZ1463,1,$E$2+2)&amp;""="",급여기준월,IF(ISNUMBER(INDEX('입력_구리근무자명단'!$A1463:$ZZ1463,1,$E$2+2)),INDEX('입력_구리근무자명단'!$A1463:$ZZ1463,1,$E$2+2),IFERROR(DATE(VALUE(LEFT(INDEX('입력_구리근무자명단'!$A1463:$ZZ1463,1,$E$2+2),4)),VALUE(MID(INDEX('입력_구리근무자명단'!$A1463:$ZZ1463,1,$E$2+2),6,2)),VALUE(MID(INDEX('입력_구리근무자명단'!$A1463:$ZZ1463,1,$E$2+2),9,2))),-1))))</f>
        <v/>
      </c>
      <c r="T1465">
        <f>IF($R1465="","",IF(INDEX('입력_구리근무자명단'!$A1463:$ZZ1463,1,$E$2+3)&amp;""="",EOMONTH(급여기준월,0),IF(ISNUMBER(INDEX('입력_구리근무자명단'!$A1463:$ZZ1463,1,$E$2+3)),INDEX('입력_구리근무자명단'!$A1463:$ZZ1463,1,$E$2+3),IFERROR(DATE(VALUE(LEFT(INDEX('입력_구리근무자명단'!$A1463:$ZZ1463,1,$E$2+3),4)),VALUE(MID(INDEX('입력_구리근무자명단'!$A1463:$ZZ1463,1,$E$2+3),6,2)),VALUE(MID(INDEX('입력_구리근무자명단'!$A1463:$ZZ1463,1,$E$2+3),9,2))),-1))))</f>
        <v/>
      </c>
      <c r="U1465">
        <f>IF($R1465="","",IF(OR($S1465&lt;0,$T1465&lt;0),0,MAX(0,MIN($T1465,EOMONTH(급여기준월,0))-MAX($S1465,급여기준월)+1)))</f>
        <v/>
      </c>
      <c r="V1465">
        <f>IF($R1465="","",TRIM(INDEX('입력_구리근무자명단'!$A1463:$ZZ1463,1,$E$2+5)&amp;""))</f>
        <v/>
      </c>
      <c r="W1465">
        <f>IF(ISNUMBER(SEARCH("구리독자",$V1465)),"구리독자","")</f>
        <v/>
      </c>
      <c r="X1465">
        <f>IF($R1465="","",$R1465&amp;"|"&amp;IF(OR($Q1465="인턴",ISNUMBER(SEARCH("수련교육부",$P1465))),"인턴",$P1465))</f>
        <v/>
      </c>
      <c r="Y1465">
        <f>IF($R1465="","",IF(COUNTIF(명단표[이름|과],$X1465)=1,"명단 일치",IF(AND(COUNTIF(명단표[이름|과],$X1465)=0,COUNTIF(명단표[이름],$R1465)=1),"명단 일치(이름만, 과 다름)",IF(COUNTIF(명단표[이름],$R1465)=0,IF(COUNTIF(기본자료표[이름],$R1465)&gt;0,"명단에 없음(기본자료에는 있음)","명단에 없음"),"동명이인 확인"))))</f>
        <v/>
      </c>
      <c r="Z1465">
        <f>IF($R1465="","",IF($S1465&lt;0,"⚠"&amp;INDEX('입력_구리근무자명단'!$A1463:$ZZ1463,1,$E$2+2),TEXT($S1465,"yyyy-mm-dd")))</f>
        <v/>
      </c>
      <c r="AA1465">
        <f>IF($R1465="","",IF($T1465&lt;0,"⚠"&amp;INDEX('입력_구리근무자명단'!$A1463:$ZZ1463,1,$E$2+3),TEXT($T1465,"yyyy-mm-dd")))</f>
        <v/>
      </c>
      <c r="AB1465">
        <f>AB1464+IF($R1465="",0,1)</f>
        <v/>
      </c>
      <c r="AC1465">
        <f>IF($R1465="","",$AB1465)</f>
        <v/>
      </c>
    </row>
    <row r="1466">
      <c r="O1466">
        <f>1464</f>
        <v/>
      </c>
      <c r="P1466">
        <f>IF(TRIM('입력_구리근무자명단'!$A1464&amp;"")&lt;&gt;"",TRIM('입력_구리근무자명단'!$A1464&amp;""),P1465)</f>
        <v/>
      </c>
      <c r="Q1466">
        <f>'입력_구리근무자명단'!$B1464&amp;""</f>
        <v/>
      </c>
      <c r="R1466">
        <f>IF($E$2="","",TRIM(INDEX('입력_구리근무자명단'!$A1464:$ZZ1464,1,$E$2+IF($G$2="확정",1,0))&amp;""))</f>
        <v/>
      </c>
      <c r="S1466">
        <f>IF($R1466="","",IF(INDEX('입력_구리근무자명단'!$A1464:$ZZ1464,1,$E$2+2)&amp;""="",급여기준월,IF(ISNUMBER(INDEX('입력_구리근무자명단'!$A1464:$ZZ1464,1,$E$2+2)),INDEX('입력_구리근무자명단'!$A1464:$ZZ1464,1,$E$2+2),IFERROR(DATE(VALUE(LEFT(INDEX('입력_구리근무자명단'!$A1464:$ZZ1464,1,$E$2+2),4)),VALUE(MID(INDEX('입력_구리근무자명단'!$A1464:$ZZ1464,1,$E$2+2),6,2)),VALUE(MID(INDEX('입력_구리근무자명단'!$A1464:$ZZ1464,1,$E$2+2),9,2))),-1))))</f>
        <v/>
      </c>
      <c r="T1466">
        <f>IF($R1466="","",IF(INDEX('입력_구리근무자명단'!$A1464:$ZZ1464,1,$E$2+3)&amp;""="",EOMONTH(급여기준월,0),IF(ISNUMBER(INDEX('입력_구리근무자명단'!$A1464:$ZZ1464,1,$E$2+3)),INDEX('입력_구리근무자명단'!$A1464:$ZZ1464,1,$E$2+3),IFERROR(DATE(VALUE(LEFT(INDEX('입력_구리근무자명단'!$A1464:$ZZ1464,1,$E$2+3),4)),VALUE(MID(INDEX('입력_구리근무자명단'!$A1464:$ZZ1464,1,$E$2+3),6,2)),VALUE(MID(INDEX('입력_구리근무자명단'!$A1464:$ZZ1464,1,$E$2+3),9,2))),-1))))</f>
        <v/>
      </c>
      <c r="U1466">
        <f>IF($R1466="","",IF(OR($S1466&lt;0,$T1466&lt;0),0,MAX(0,MIN($T1466,EOMONTH(급여기준월,0))-MAX($S1466,급여기준월)+1)))</f>
        <v/>
      </c>
      <c r="V1466">
        <f>IF($R1466="","",TRIM(INDEX('입력_구리근무자명단'!$A1464:$ZZ1464,1,$E$2+5)&amp;""))</f>
        <v/>
      </c>
      <c r="W1466">
        <f>IF(ISNUMBER(SEARCH("구리독자",$V1466)),"구리독자","")</f>
        <v/>
      </c>
      <c r="X1466">
        <f>IF($R1466="","",$R1466&amp;"|"&amp;IF(OR($Q1466="인턴",ISNUMBER(SEARCH("수련교육부",$P1466))),"인턴",$P1466))</f>
        <v/>
      </c>
      <c r="Y1466">
        <f>IF($R1466="","",IF(COUNTIF(명단표[이름|과],$X1466)=1,"명단 일치",IF(AND(COUNTIF(명단표[이름|과],$X1466)=0,COUNTIF(명단표[이름],$R1466)=1),"명단 일치(이름만, 과 다름)",IF(COUNTIF(명단표[이름],$R1466)=0,IF(COUNTIF(기본자료표[이름],$R1466)&gt;0,"명단에 없음(기본자료에는 있음)","명단에 없음"),"동명이인 확인"))))</f>
        <v/>
      </c>
      <c r="Z1466">
        <f>IF($R1466="","",IF($S1466&lt;0,"⚠"&amp;INDEX('입력_구리근무자명단'!$A1464:$ZZ1464,1,$E$2+2),TEXT($S1466,"yyyy-mm-dd")))</f>
        <v/>
      </c>
      <c r="AA1466">
        <f>IF($R1466="","",IF($T1466&lt;0,"⚠"&amp;INDEX('입력_구리근무자명단'!$A1464:$ZZ1464,1,$E$2+3),TEXT($T1466,"yyyy-mm-dd")))</f>
        <v/>
      </c>
      <c r="AB1466">
        <f>AB1465+IF($R1466="",0,1)</f>
        <v/>
      </c>
      <c r="AC1466">
        <f>IF($R1466="","",$AB1466)</f>
        <v/>
      </c>
    </row>
    <row r="1467">
      <c r="O1467">
        <f>1465</f>
        <v/>
      </c>
      <c r="P1467">
        <f>IF(TRIM('입력_구리근무자명단'!$A1465&amp;"")&lt;&gt;"",TRIM('입력_구리근무자명단'!$A1465&amp;""),P1466)</f>
        <v/>
      </c>
      <c r="Q1467">
        <f>'입력_구리근무자명단'!$B1465&amp;""</f>
        <v/>
      </c>
      <c r="R1467">
        <f>IF($E$2="","",TRIM(INDEX('입력_구리근무자명단'!$A1465:$ZZ1465,1,$E$2+IF($G$2="확정",1,0))&amp;""))</f>
        <v/>
      </c>
      <c r="S1467">
        <f>IF($R1467="","",IF(INDEX('입력_구리근무자명단'!$A1465:$ZZ1465,1,$E$2+2)&amp;""="",급여기준월,IF(ISNUMBER(INDEX('입력_구리근무자명단'!$A1465:$ZZ1465,1,$E$2+2)),INDEX('입력_구리근무자명단'!$A1465:$ZZ1465,1,$E$2+2),IFERROR(DATE(VALUE(LEFT(INDEX('입력_구리근무자명단'!$A1465:$ZZ1465,1,$E$2+2),4)),VALUE(MID(INDEX('입력_구리근무자명단'!$A1465:$ZZ1465,1,$E$2+2),6,2)),VALUE(MID(INDEX('입력_구리근무자명단'!$A1465:$ZZ1465,1,$E$2+2),9,2))),-1))))</f>
        <v/>
      </c>
      <c r="T1467">
        <f>IF($R1467="","",IF(INDEX('입력_구리근무자명단'!$A1465:$ZZ1465,1,$E$2+3)&amp;""="",EOMONTH(급여기준월,0),IF(ISNUMBER(INDEX('입력_구리근무자명단'!$A1465:$ZZ1465,1,$E$2+3)),INDEX('입력_구리근무자명단'!$A1465:$ZZ1465,1,$E$2+3),IFERROR(DATE(VALUE(LEFT(INDEX('입력_구리근무자명단'!$A1465:$ZZ1465,1,$E$2+3),4)),VALUE(MID(INDEX('입력_구리근무자명단'!$A1465:$ZZ1465,1,$E$2+3),6,2)),VALUE(MID(INDEX('입력_구리근무자명단'!$A1465:$ZZ1465,1,$E$2+3),9,2))),-1))))</f>
        <v/>
      </c>
      <c r="U1467">
        <f>IF($R1467="","",IF(OR($S1467&lt;0,$T1467&lt;0),0,MAX(0,MIN($T1467,EOMONTH(급여기준월,0))-MAX($S1467,급여기준월)+1)))</f>
        <v/>
      </c>
      <c r="V1467">
        <f>IF($R1467="","",TRIM(INDEX('입력_구리근무자명단'!$A1465:$ZZ1465,1,$E$2+5)&amp;""))</f>
        <v/>
      </c>
      <c r="W1467">
        <f>IF(ISNUMBER(SEARCH("구리독자",$V1467)),"구리독자","")</f>
        <v/>
      </c>
      <c r="X1467">
        <f>IF($R1467="","",$R1467&amp;"|"&amp;IF(OR($Q1467="인턴",ISNUMBER(SEARCH("수련교육부",$P1467))),"인턴",$P1467))</f>
        <v/>
      </c>
      <c r="Y1467">
        <f>IF($R1467="","",IF(COUNTIF(명단표[이름|과],$X1467)=1,"명단 일치",IF(AND(COUNTIF(명단표[이름|과],$X1467)=0,COUNTIF(명단표[이름],$R1467)=1),"명단 일치(이름만, 과 다름)",IF(COUNTIF(명단표[이름],$R1467)=0,IF(COUNTIF(기본자료표[이름],$R1467)&gt;0,"명단에 없음(기본자료에는 있음)","명단에 없음"),"동명이인 확인"))))</f>
        <v/>
      </c>
      <c r="Z1467">
        <f>IF($R1467="","",IF($S1467&lt;0,"⚠"&amp;INDEX('입력_구리근무자명단'!$A1465:$ZZ1465,1,$E$2+2),TEXT($S1467,"yyyy-mm-dd")))</f>
        <v/>
      </c>
      <c r="AA1467">
        <f>IF($R1467="","",IF($T1467&lt;0,"⚠"&amp;INDEX('입력_구리근무자명단'!$A1465:$ZZ1465,1,$E$2+3),TEXT($T1467,"yyyy-mm-dd")))</f>
        <v/>
      </c>
      <c r="AB1467">
        <f>AB1466+IF($R1467="",0,1)</f>
        <v/>
      </c>
      <c r="AC1467">
        <f>IF($R1467="","",$AB1467)</f>
        <v/>
      </c>
    </row>
    <row r="1468">
      <c r="O1468">
        <f>1466</f>
        <v/>
      </c>
      <c r="P1468">
        <f>IF(TRIM('입력_구리근무자명단'!$A1466&amp;"")&lt;&gt;"",TRIM('입력_구리근무자명단'!$A1466&amp;""),P1467)</f>
        <v/>
      </c>
      <c r="Q1468">
        <f>'입력_구리근무자명단'!$B1466&amp;""</f>
        <v/>
      </c>
      <c r="R1468">
        <f>IF($E$2="","",TRIM(INDEX('입력_구리근무자명단'!$A1466:$ZZ1466,1,$E$2+IF($G$2="확정",1,0))&amp;""))</f>
        <v/>
      </c>
      <c r="S1468">
        <f>IF($R1468="","",IF(INDEX('입력_구리근무자명단'!$A1466:$ZZ1466,1,$E$2+2)&amp;""="",급여기준월,IF(ISNUMBER(INDEX('입력_구리근무자명단'!$A1466:$ZZ1466,1,$E$2+2)),INDEX('입력_구리근무자명단'!$A1466:$ZZ1466,1,$E$2+2),IFERROR(DATE(VALUE(LEFT(INDEX('입력_구리근무자명단'!$A1466:$ZZ1466,1,$E$2+2),4)),VALUE(MID(INDEX('입력_구리근무자명단'!$A1466:$ZZ1466,1,$E$2+2),6,2)),VALUE(MID(INDEX('입력_구리근무자명단'!$A1466:$ZZ1466,1,$E$2+2),9,2))),-1))))</f>
        <v/>
      </c>
      <c r="T1468">
        <f>IF($R1468="","",IF(INDEX('입력_구리근무자명단'!$A1466:$ZZ1466,1,$E$2+3)&amp;""="",EOMONTH(급여기준월,0),IF(ISNUMBER(INDEX('입력_구리근무자명단'!$A1466:$ZZ1466,1,$E$2+3)),INDEX('입력_구리근무자명단'!$A1466:$ZZ1466,1,$E$2+3),IFERROR(DATE(VALUE(LEFT(INDEX('입력_구리근무자명단'!$A1466:$ZZ1466,1,$E$2+3),4)),VALUE(MID(INDEX('입력_구리근무자명단'!$A1466:$ZZ1466,1,$E$2+3),6,2)),VALUE(MID(INDEX('입력_구리근무자명단'!$A1466:$ZZ1466,1,$E$2+3),9,2))),-1))))</f>
        <v/>
      </c>
      <c r="U1468">
        <f>IF($R1468="","",IF(OR($S1468&lt;0,$T1468&lt;0),0,MAX(0,MIN($T1468,EOMONTH(급여기준월,0))-MAX($S1468,급여기준월)+1)))</f>
        <v/>
      </c>
      <c r="V1468">
        <f>IF($R1468="","",TRIM(INDEX('입력_구리근무자명단'!$A1466:$ZZ1466,1,$E$2+5)&amp;""))</f>
        <v/>
      </c>
      <c r="W1468">
        <f>IF(ISNUMBER(SEARCH("구리독자",$V1468)),"구리독자","")</f>
        <v/>
      </c>
      <c r="X1468">
        <f>IF($R1468="","",$R1468&amp;"|"&amp;IF(OR($Q1468="인턴",ISNUMBER(SEARCH("수련교육부",$P1468))),"인턴",$P1468))</f>
        <v/>
      </c>
      <c r="Y1468">
        <f>IF($R1468="","",IF(COUNTIF(명단표[이름|과],$X1468)=1,"명단 일치",IF(AND(COUNTIF(명단표[이름|과],$X1468)=0,COUNTIF(명단표[이름],$R1468)=1),"명단 일치(이름만, 과 다름)",IF(COUNTIF(명단표[이름],$R1468)=0,IF(COUNTIF(기본자료표[이름],$R1468)&gt;0,"명단에 없음(기본자료에는 있음)","명단에 없음"),"동명이인 확인"))))</f>
        <v/>
      </c>
      <c r="Z1468">
        <f>IF($R1468="","",IF($S1468&lt;0,"⚠"&amp;INDEX('입력_구리근무자명단'!$A1466:$ZZ1466,1,$E$2+2),TEXT($S1468,"yyyy-mm-dd")))</f>
        <v/>
      </c>
      <c r="AA1468">
        <f>IF($R1468="","",IF($T1468&lt;0,"⚠"&amp;INDEX('입력_구리근무자명단'!$A1466:$ZZ1466,1,$E$2+3),TEXT($T1468,"yyyy-mm-dd")))</f>
        <v/>
      </c>
      <c r="AB1468">
        <f>AB1467+IF($R1468="",0,1)</f>
        <v/>
      </c>
      <c r="AC1468">
        <f>IF($R1468="","",$AB1468)</f>
        <v/>
      </c>
    </row>
    <row r="1469">
      <c r="O1469">
        <f>1467</f>
        <v/>
      </c>
      <c r="P1469">
        <f>IF(TRIM('입력_구리근무자명단'!$A1467&amp;"")&lt;&gt;"",TRIM('입력_구리근무자명단'!$A1467&amp;""),P1468)</f>
        <v/>
      </c>
      <c r="Q1469">
        <f>'입력_구리근무자명단'!$B1467&amp;""</f>
        <v/>
      </c>
      <c r="R1469">
        <f>IF($E$2="","",TRIM(INDEX('입력_구리근무자명단'!$A1467:$ZZ1467,1,$E$2+IF($G$2="확정",1,0))&amp;""))</f>
        <v/>
      </c>
      <c r="S1469">
        <f>IF($R1469="","",IF(INDEX('입력_구리근무자명단'!$A1467:$ZZ1467,1,$E$2+2)&amp;""="",급여기준월,IF(ISNUMBER(INDEX('입력_구리근무자명단'!$A1467:$ZZ1467,1,$E$2+2)),INDEX('입력_구리근무자명단'!$A1467:$ZZ1467,1,$E$2+2),IFERROR(DATE(VALUE(LEFT(INDEX('입력_구리근무자명단'!$A1467:$ZZ1467,1,$E$2+2),4)),VALUE(MID(INDEX('입력_구리근무자명단'!$A1467:$ZZ1467,1,$E$2+2),6,2)),VALUE(MID(INDEX('입력_구리근무자명단'!$A1467:$ZZ1467,1,$E$2+2),9,2))),-1))))</f>
        <v/>
      </c>
      <c r="T1469">
        <f>IF($R1469="","",IF(INDEX('입력_구리근무자명단'!$A1467:$ZZ1467,1,$E$2+3)&amp;""="",EOMONTH(급여기준월,0),IF(ISNUMBER(INDEX('입력_구리근무자명단'!$A1467:$ZZ1467,1,$E$2+3)),INDEX('입력_구리근무자명단'!$A1467:$ZZ1467,1,$E$2+3),IFERROR(DATE(VALUE(LEFT(INDEX('입력_구리근무자명단'!$A1467:$ZZ1467,1,$E$2+3),4)),VALUE(MID(INDEX('입력_구리근무자명단'!$A1467:$ZZ1467,1,$E$2+3),6,2)),VALUE(MID(INDEX('입력_구리근무자명단'!$A1467:$ZZ1467,1,$E$2+3),9,2))),-1))))</f>
        <v/>
      </c>
      <c r="U1469">
        <f>IF($R1469="","",IF(OR($S1469&lt;0,$T1469&lt;0),0,MAX(0,MIN($T1469,EOMONTH(급여기준월,0))-MAX($S1469,급여기준월)+1)))</f>
        <v/>
      </c>
      <c r="V1469">
        <f>IF($R1469="","",TRIM(INDEX('입력_구리근무자명단'!$A1467:$ZZ1467,1,$E$2+5)&amp;""))</f>
        <v/>
      </c>
      <c r="W1469">
        <f>IF(ISNUMBER(SEARCH("구리독자",$V1469)),"구리독자","")</f>
        <v/>
      </c>
      <c r="X1469">
        <f>IF($R1469="","",$R1469&amp;"|"&amp;IF(OR($Q1469="인턴",ISNUMBER(SEARCH("수련교육부",$P1469))),"인턴",$P1469))</f>
        <v/>
      </c>
      <c r="Y1469">
        <f>IF($R1469="","",IF(COUNTIF(명단표[이름|과],$X1469)=1,"명단 일치",IF(AND(COUNTIF(명단표[이름|과],$X1469)=0,COUNTIF(명단표[이름],$R1469)=1),"명단 일치(이름만, 과 다름)",IF(COUNTIF(명단표[이름],$R1469)=0,IF(COUNTIF(기본자료표[이름],$R1469)&gt;0,"명단에 없음(기본자료에는 있음)","명단에 없음"),"동명이인 확인"))))</f>
        <v/>
      </c>
      <c r="Z1469">
        <f>IF($R1469="","",IF($S1469&lt;0,"⚠"&amp;INDEX('입력_구리근무자명단'!$A1467:$ZZ1467,1,$E$2+2),TEXT($S1469,"yyyy-mm-dd")))</f>
        <v/>
      </c>
      <c r="AA1469">
        <f>IF($R1469="","",IF($T1469&lt;0,"⚠"&amp;INDEX('입력_구리근무자명단'!$A1467:$ZZ1467,1,$E$2+3),TEXT($T1469,"yyyy-mm-dd")))</f>
        <v/>
      </c>
      <c r="AB1469">
        <f>AB1468+IF($R1469="",0,1)</f>
        <v/>
      </c>
      <c r="AC1469">
        <f>IF($R1469="","",$AB1469)</f>
        <v/>
      </c>
    </row>
    <row r="1470">
      <c r="O1470">
        <f>1468</f>
        <v/>
      </c>
      <c r="P1470">
        <f>IF(TRIM('입력_구리근무자명단'!$A1468&amp;"")&lt;&gt;"",TRIM('입력_구리근무자명단'!$A1468&amp;""),P1469)</f>
        <v/>
      </c>
      <c r="Q1470">
        <f>'입력_구리근무자명단'!$B1468&amp;""</f>
        <v/>
      </c>
      <c r="R1470">
        <f>IF($E$2="","",TRIM(INDEX('입력_구리근무자명단'!$A1468:$ZZ1468,1,$E$2+IF($G$2="확정",1,0))&amp;""))</f>
        <v/>
      </c>
      <c r="S1470">
        <f>IF($R1470="","",IF(INDEX('입력_구리근무자명단'!$A1468:$ZZ1468,1,$E$2+2)&amp;""="",급여기준월,IF(ISNUMBER(INDEX('입력_구리근무자명단'!$A1468:$ZZ1468,1,$E$2+2)),INDEX('입력_구리근무자명단'!$A1468:$ZZ1468,1,$E$2+2),IFERROR(DATE(VALUE(LEFT(INDEX('입력_구리근무자명단'!$A1468:$ZZ1468,1,$E$2+2),4)),VALUE(MID(INDEX('입력_구리근무자명단'!$A1468:$ZZ1468,1,$E$2+2),6,2)),VALUE(MID(INDEX('입력_구리근무자명단'!$A1468:$ZZ1468,1,$E$2+2),9,2))),-1))))</f>
        <v/>
      </c>
      <c r="T1470">
        <f>IF($R1470="","",IF(INDEX('입력_구리근무자명단'!$A1468:$ZZ1468,1,$E$2+3)&amp;""="",EOMONTH(급여기준월,0),IF(ISNUMBER(INDEX('입력_구리근무자명단'!$A1468:$ZZ1468,1,$E$2+3)),INDEX('입력_구리근무자명단'!$A1468:$ZZ1468,1,$E$2+3),IFERROR(DATE(VALUE(LEFT(INDEX('입력_구리근무자명단'!$A1468:$ZZ1468,1,$E$2+3),4)),VALUE(MID(INDEX('입력_구리근무자명단'!$A1468:$ZZ1468,1,$E$2+3),6,2)),VALUE(MID(INDEX('입력_구리근무자명단'!$A1468:$ZZ1468,1,$E$2+3),9,2))),-1))))</f>
        <v/>
      </c>
      <c r="U1470">
        <f>IF($R1470="","",IF(OR($S1470&lt;0,$T1470&lt;0),0,MAX(0,MIN($T1470,EOMONTH(급여기준월,0))-MAX($S1470,급여기준월)+1)))</f>
        <v/>
      </c>
      <c r="V1470">
        <f>IF($R1470="","",TRIM(INDEX('입력_구리근무자명단'!$A1468:$ZZ1468,1,$E$2+5)&amp;""))</f>
        <v/>
      </c>
      <c r="W1470">
        <f>IF(ISNUMBER(SEARCH("구리독자",$V1470)),"구리독자","")</f>
        <v/>
      </c>
      <c r="X1470">
        <f>IF($R1470="","",$R1470&amp;"|"&amp;IF(OR($Q1470="인턴",ISNUMBER(SEARCH("수련교육부",$P1470))),"인턴",$P1470))</f>
        <v/>
      </c>
      <c r="Y1470">
        <f>IF($R1470="","",IF(COUNTIF(명단표[이름|과],$X1470)=1,"명단 일치",IF(AND(COUNTIF(명단표[이름|과],$X1470)=0,COUNTIF(명단표[이름],$R1470)=1),"명단 일치(이름만, 과 다름)",IF(COUNTIF(명단표[이름],$R1470)=0,IF(COUNTIF(기본자료표[이름],$R1470)&gt;0,"명단에 없음(기본자료에는 있음)","명단에 없음"),"동명이인 확인"))))</f>
        <v/>
      </c>
      <c r="Z1470">
        <f>IF($R1470="","",IF($S1470&lt;0,"⚠"&amp;INDEX('입력_구리근무자명단'!$A1468:$ZZ1468,1,$E$2+2),TEXT($S1470,"yyyy-mm-dd")))</f>
        <v/>
      </c>
      <c r="AA1470">
        <f>IF($R1470="","",IF($T1470&lt;0,"⚠"&amp;INDEX('입력_구리근무자명단'!$A1468:$ZZ1468,1,$E$2+3),TEXT($T1470,"yyyy-mm-dd")))</f>
        <v/>
      </c>
      <c r="AB1470">
        <f>AB1469+IF($R1470="",0,1)</f>
        <v/>
      </c>
      <c r="AC1470">
        <f>IF($R1470="","",$AB1470)</f>
        <v/>
      </c>
    </row>
    <row r="1471">
      <c r="O1471">
        <f>1469</f>
        <v/>
      </c>
      <c r="P1471">
        <f>IF(TRIM('입력_구리근무자명단'!$A1469&amp;"")&lt;&gt;"",TRIM('입력_구리근무자명단'!$A1469&amp;""),P1470)</f>
        <v/>
      </c>
      <c r="Q1471">
        <f>'입력_구리근무자명단'!$B1469&amp;""</f>
        <v/>
      </c>
      <c r="R1471">
        <f>IF($E$2="","",TRIM(INDEX('입력_구리근무자명단'!$A1469:$ZZ1469,1,$E$2+IF($G$2="확정",1,0))&amp;""))</f>
        <v/>
      </c>
      <c r="S1471">
        <f>IF($R1471="","",IF(INDEX('입력_구리근무자명단'!$A1469:$ZZ1469,1,$E$2+2)&amp;""="",급여기준월,IF(ISNUMBER(INDEX('입력_구리근무자명단'!$A1469:$ZZ1469,1,$E$2+2)),INDEX('입력_구리근무자명단'!$A1469:$ZZ1469,1,$E$2+2),IFERROR(DATE(VALUE(LEFT(INDEX('입력_구리근무자명단'!$A1469:$ZZ1469,1,$E$2+2),4)),VALUE(MID(INDEX('입력_구리근무자명단'!$A1469:$ZZ1469,1,$E$2+2),6,2)),VALUE(MID(INDEX('입력_구리근무자명단'!$A1469:$ZZ1469,1,$E$2+2),9,2))),-1))))</f>
        <v/>
      </c>
      <c r="T1471">
        <f>IF($R1471="","",IF(INDEX('입력_구리근무자명단'!$A1469:$ZZ1469,1,$E$2+3)&amp;""="",EOMONTH(급여기준월,0),IF(ISNUMBER(INDEX('입력_구리근무자명단'!$A1469:$ZZ1469,1,$E$2+3)),INDEX('입력_구리근무자명단'!$A1469:$ZZ1469,1,$E$2+3),IFERROR(DATE(VALUE(LEFT(INDEX('입력_구리근무자명단'!$A1469:$ZZ1469,1,$E$2+3),4)),VALUE(MID(INDEX('입력_구리근무자명단'!$A1469:$ZZ1469,1,$E$2+3),6,2)),VALUE(MID(INDEX('입력_구리근무자명단'!$A1469:$ZZ1469,1,$E$2+3),9,2))),-1))))</f>
        <v/>
      </c>
      <c r="U1471">
        <f>IF($R1471="","",IF(OR($S1471&lt;0,$T1471&lt;0),0,MAX(0,MIN($T1471,EOMONTH(급여기준월,0))-MAX($S1471,급여기준월)+1)))</f>
        <v/>
      </c>
      <c r="V1471">
        <f>IF($R1471="","",TRIM(INDEX('입력_구리근무자명단'!$A1469:$ZZ1469,1,$E$2+5)&amp;""))</f>
        <v/>
      </c>
      <c r="W1471">
        <f>IF(ISNUMBER(SEARCH("구리독자",$V1471)),"구리독자","")</f>
        <v/>
      </c>
      <c r="X1471">
        <f>IF($R1471="","",$R1471&amp;"|"&amp;IF(OR($Q1471="인턴",ISNUMBER(SEARCH("수련교육부",$P1471))),"인턴",$P1471))</f>
        <v/>
      </c>
      <c r="Y1471">
        <f>IF($R1471="","",IF(COUNTIF(명단표[이름|과],$X1471)=1,"명단 일치",IF(AND(COUNTIF(명단표[이름|과],$X1471)=0,COUNTIF(명단표[이름],$R1471)=1),"명단 일치(이름만, 과 다름)",IF(COUNTIF(명단표[이름],$R1471)=0,IF(COUNTIF(기본자료표[이름],$R1471)&gt;0,"명단에 없음(기본자료에는 있음)","명단에 없음"),"동명이인 확인"))))</f>
        <v/>
      </c>
      <c r="Z1471">
        <f>IF($R1471="","",IF($S1471&lt;0,"⚠"&amp;INDEX('입력_구리근무자명단'!$A1469:$ZZ1469,1,$E$2+2),TEXT($S1471,"yyyy-mm-dd")))</f>
        <v/>
      </c>
      <c r="AA1471">
        <f>IF($R1471="","",IF($T1471&lt;0,"⚠"&amp;INDEX('입력_구리근무자명단'!$A1469:$ZZ1469,1,$E$2+3),TEXT($T1471,"yyyy-mm-dd")))</f>
        <v/>
      </c>
      <c r="AB1471">
        <f>AB1470+IF($R1471="",0,1)</f>
        <v/>
      </c>
      <c r="AC1471">
        <f>IF($R1471="","",$AB1471)</f>
        <v/>
      </c>
    </row>
    <row r="1472">
      <c r="O1472">
        <f>1470</f>
        <v/>
      </c>
      <c r="P1472">
        <f>IF(TRIM('입력_구리근무자명단'!$A1470&amp;"")&lt;&gt;"",TRIM('입력_구리근무자명단'!$A1470&amp;""),P1471)</f>
        <v/>
      </c>
      <c r="Q1472">
        <f>'입력_구리근무자명단'!$B1470&amp;""</f>
        <v/>
      </c>
      <c r="R1472">
        <f>IF($E$2="","",TRIM(INDEX('입력_구리근무자명단'!$A1470:$ZZ1470,1,$E$2+IF($G$2="확정",1,0))&amp;""))</f>
        <v/>
      </c>
      <c r="S1472">
        <f>IF($R1472="","",IF(INDEX('입력_구리근무자명단'!$A1470:$ZZ1470,1,$E$2+2)&amp;""="",급여기준월,IF(ISNUMBER(INDEX('입력_구리근무자명단'!$A1470:$ZZ1470,1,$E$2+2)),INDEX('입력_구리근무자명단'!$A1470:$ZZ1470,1,$E$2+2),IFERROR(DATE(VALUE(LEFT(INDEX('입력_구리근무자명단'!$A1470:$ZZ1470,1,$E$2+2),4)),VALUE(MID(INDEX('입력_구리근무자명단'!$A1470:$ZZ1470,1,$E$2+2),6,2)),VALUE(MID(INDEX('입력_구리근무자명단'!$A1470:$ZZ1470,1,$E$2+2),9,2))),-1))))</f>
        <v/>
      </c>
      <c r="T1472">
        <f>IF($R1472="","",IF(INDEX('입력_구리근무자명단'!$A1470:$ZZ1470,1,$E$2+3)&amp;""="",EOMONTH(급여기준월,0),IF(ISNUMBER(INDEX('입력_구리근무자명단'!$A1470:$ZZ1470,1,$E$2+3)),INDEX('입력_구리근무자명단'!$A1470:$ZZ1470,1,$E$2+3),IFERROR(DATE(VALUE(LEFT(INDEX('입력_구리근무자명단'!$A1470:$ZZ1470,1,$E$2+3),4)),VALUE(MID(INDEX('입력_구리근무자명단'!$A1470:$ZZ1470,1,$E$2+3),6,2)),VALUE(MID(INDEX('입력_구리근무자명단'!$A1470:$ZZ1470,1,$E$2+3),9,2))),-1))))</f>
        <v/>
      </c>
      <c r="U1472">
        <f>IF($R1472="","",IF(OR($S1472&lt;0,$T1472&lt;0),0,MAX(0,MIN($T1472,EOMONTH(급여기준월,0))-MAX($S1472,급여기준월)+1)))</f>
        <v/>
      </c>
      <c r="V1472">
        <f>IF($R1472="","",TRIM(INDEX('입력_구리근무자명단'!$A1470:$ZZ1470,1,$E$2+5)&amp;""))</f>
        <v/>
      </c>
      <c r="W1472">
        <f>IF(ISNUMBER(SEARCH("구리독자",$V1472)),"구리독자","")</f>
        <v/>
      </c>
      <c r="X1472">
        <f>IF($R1472="","",$R1472&amp;"|"&amp;IF(OR($Q1472="인턴",ISNUMBER(SEARCH("수련교육부",$P1472))),"인턴",$P1472))</f>
        <v/>
      </c>
      <c r="Y1472">
        <f>IF($R1472="","",IF(COUNTIF(명단표[이름|과],$X1472)=1,"명단 일치",IF(AND(COUNTIF(명단표[이름|과],$X1472)=0,COUNTIF(명단표[이름],$R1472)=1),"명단 일치(이름만, 과 다름)",IF(COUNTIF(명단표[이름],$R1472)=0,IF(COUNTIF(기본자료표[이름],$R1472)&gt;0,"명단에 없음(기본자료에는 있음)","명단에 없음"),"동명이인 확인"))))</f>
        <v/>
      </c>
      <c r="Z1472">
        <f>IF($R1472="","",IF($S1472&lt;0,"⚠"&amp;INDEX('입력_구리근무자명단'!$A1470:$ZZ1470,1,$E$2+2),TEXT($S1472,"yyyy-mm-dd")))</f>
        <v/>
      </c>
      <c r="AA1472">
        <f>IF($R1472="","",IF($T1472&lt;0,"⚠"&amp;INDEX('입력_구리근무자명단'!$A1470:$ZZ1470,1,$E$2+3),TEXT($T1472,"yyyy-mm-dd")))</f>
        <v/>
      </c>
      <c r="AB1472">
        <f>AB1471+IF($R1472="",0,1)</f>
        <v/>
      </c>
      <c r="AC1472">
        <f>IF($R1472="","",$AB1472)</f>
        <v/>
      </c>
    </row>
    <row r="1473">
      <c r="O1473">
        <f>1471</f>
        <v/>
      </c>
      <c r="P1473">
        <f>IF(TRIM('입력_구리근무자명단'!$A1471&amp;"")&lt;&gt;"",TRIM('입력_구리근무자명단'!$A1471&amp;""),P1472)</f>
        <v/>
      </c>
      <c r="Q1473">
        <f>'입력_구리근무자명단'!$B1471&amp;""</f>
        <v/>
      </c>
      <c r="R1473">
        <f>IF($E$2="","",TRIM(INDEX('입력_구리근무자명단'!$A1471:$ZZ1471,1,$E$2+IF($G$2="확정",1,0))&amp;""))</f>
        <v/>
      </c>
      <c r="S1473">
        <f>IF($R1473="","",IF(INDEX('입력_구리근무자명단'!$A1471:$ZZ1471,1,$E$2+2)&amp;""="",급여기준월,IF(ISNUMBER(INDEX('입력_구리근무자명단'!$A1471:$ZZ1471,1,$E$2+2)),INDEX('입력_구리근무자명단'!$A1471:$ZZ1471,1,$E$2+2),IFERROR(DATE(VALUE(LEFT(INDEX('입력_구리근무자명단'!$A1471:$ZZ1471,1,$E$2+2),4)),VALUE(MID(INDEX('입력_구리근무자명단'!$A1471:$ZZ1471,1,$E$2+2),6,2)),VALUE(MID(INDEX('입력_구리근무자명단'!$A1471:$ZZ1471,1,$E$2+2),9,2))),-1))))</f>
        <v/>
      </c>
      <c r="T1473">
        <f>IF($R1473="","",IF(INDEX('입력_구리근무자명단'!$A1471:$ZZ1471,1,$E$2+3)&amp;""="",EOMONTH(급여기준월,0),IF(ISNUMBER(INDEX('입력_구리근무자명단'!$A1471:$ZZ1471,1,$E$2+3)),INDEX('입력_구리근무자명단'!$A1471:$ZZ1471,1,$E$2+3),IFERROR(DATE(VALUE(LEFT(INDEX('입력_구리근무자명단'!$A1471:$ZZ1471,1,$E$2+3),4)),VALUE(MID(INDEX('입력_구리근무자명단'!$A1471:$ZZ1471,1,$E$2+3),6,2)),VALUE(MID(INDEX('입력_구리근무자명단'!$A1471:$ZZ1471,1,$E$2+3),9,2))),-1))))</f>
        <v/>
      </c>
      <c r="U1473">
        <f>IF($R1473="","",IF(OR($S1473&lt;0,$T1473&lt;0),0,MAX(0,MIN($T1473,EOMONTH(급여기준월,0))-MAX($S1473,급여기준월)+1)))</f>
        <v/>
      </c>
      <c r="V1473">
        <f>IF($R1473="","",TRIM(INDEX('입력_구리근무자명단'!$A1471:$ZZ1471,1,$E$2+5)&amp;""))</f>
        <v/>
      </c>
      <c r="W1473">
        <f>IF(ISNUMBER(SEARCH("구리독자",$V1473)),"구리독자","")</f>
        <v/>
      </c>
      <c r="X1473">
        <f>IF($R1473="","",$R1473&amp;"|"&amp;IF(OR($Q1473="인턴",ISNUMBER(SEARCH("수련교육부",$P1473))),"인턴",$P1473))</f>
        <v/>
      </c>
      <c r="Y1473">
        <f>IF($R1473="","",IF(COUNTIF(명단표[이름|과],$X1473)=1,"명단 일치",IF(AND(COUNTIF(명단표[이름|과],$X1473)=0,COUNTIF(명단표[이름],$R1473)=1),"명단 일치(이름만, 과 다름)",IF(COUNTIF(명단표[이름],$R1473)=0,IF(COUNTIF(기본자료표[이름],$R1473)&gt;0,"명단에 없음(기본자료에는 있음)","명단에 없음"),"동명이인 확인"))))</f>
        <v/>
      </c>
      <c r="Z1473">
        <f>IF($R1473="","",IF($S1473&lt;0,"⚠"&amp;INDEX('입력_구리근무자명단'!$A1471:$ZZ1471,1,$E$2+2),TEXT($S1473,"yyyy-mm-dd")))</f>
        <v/>
      </c>
      <c r="AA1473">
        <f>IF($R1473="","",IF($T1473&lt;0,"⚠"&amp;INDEX('입력_구리근무자명단'!$A1471:$ZZ1471,1,$E$2+3),TEXT($T1473,"yyyy-mm-dd")))</f>
        <v/>
      </c>
      <c r="AB1473">
        <f>AB1472+IF($R1473="",0,1)</f>
        <v/>
      </c>
      <c r="AC1473">
        <f>IF($R1473="","",$AB1473)</f>
        <v/>
      </c>
    </row>
    <row r="1474">
      <c r="O1474">
        <f>1472</f>
        <v/>
      </c>
      <c r="P1474">
        <f>IF(TRIM('입력_구리근무자명단'!$A1472&amp;"")&lt;&gt;"",TRIM('입력_구리근무자명단'!$A1472&amp;""),P1473)</f>
        <v/>
      </c>
      <c r="Q1474">
        <f>'입력_구리근무자명단'!$B1472&amp;""</f>
        <v/>
      </c>
      <c r="R1474">
        <f>IF($E$2="","",TRIM(INDEX('입력_구리근무자명단'!$A1472:$ZZ1472,1,$E$2+IF($G$2="확정",1,0))&amp;""))</f>
        <v/>
      </c>
      <c r="S1474">
        <f>IF($R1474="","",IF(INDEX('입력_구리근무자명단'!$A1472:$ZZ1472,1,$E$2+2)&amp;""="",급여기준월,IF(ISNUMBER(INDEX('입력_구리근무자명단'!$A1472:$ZZ1472,1,$E$2+2)),INDEX('입력_구리근무자명단'!$A1472:$ZZ1472,1,$E$2+2),IFERROR(DATE(VALUE(LEFT(INDEX('입력_구리근무자명단'!$A1472:$ZZ1472,1,$E$2+2),4)),VALUE(MID(INDEX('입력_구리근무자명단'!$A1472:$ZZ1472,1,$E$2+2),6,2)),VALUE(MID(INDEX('입력_구리근무자명단'!$A1472:$ZZ1472,1,$E$2+2),9,2))),-1))))</f>
        <v/>
      </c>
      <c r="T1474">
        <f>IF($R1474="","",IF(INDEX('입력_구리근무자명단'!$A1472:$ZZ1472,1,$E$2+3)&amp;""="",EOMONTH(급여기준월,0),IF(ISNUMBER(INDEX('입력_구리근무자명단'!$A1472:$ZZ1472,1,$E$2+3)),INDEX('입력_구리근무자명단'!$A1472:$ZZ1472,1,$E$2+3),IFERROR(DATE(VALUE(LEFT(INDEX('입력_구리근무자명단'!$A1472:$ZZ1472,1,$E$2+3),4)),VALUE(MID(INDEX('입력_구리근무자명단'!$A1472:$ZZ1472,1,$E$2+3),6,2)),VALUE(MID(INDEX('입력_구리근무자명단'!$A1472:$ZZ1472,1,$E$2+3),9,2))),-1))))</f>
        <v/>
      </c>
      <c r="U1474">
        <f>IF($R1474="","",IF(OR($S1474&lt;0,$T1474&lt;0),0,MAX(0,MIN($T1474,EOMONTH(급여기준월,0))-MAX($S1474,급여기준월)+1)))</f>
        <v/>
      </c>
      <c r="V1474">
        <f>IF($R1474="","",TRIM(INDEX('입력_구리근무자명단'!$A1472:$ZZ1472,1,$E$2+5)&amp;""))</f>
        <v/>
      </c>
      <c r="W1474">
        <f>IF(ISNUMBER(SEARCH("구리독자",$V1474)),"구리독자","")</f>
        <v/>
      </c>
      <c r="X1474">
        <f>IF($R1474="","",$R1474&amp;"|"&amp;IF(OR($Q1474="인턴",ISNUMBER(SEARCH("수련교육부",$P1474))),"인턴",$P1474))</f>
        <v/>
      </c>
      <c r="Y1474">
        <f>IF($R1474="","",IF(COUNTIF(명단표[이름|과],$X1474)=1,"명단 일치",IF(AND(COUNTIF(명단표[이름|과],$X1474)=0,COUNTIF(명단표[이름],$R1474)=1),"명단 일치(이름만, 과 다름)",IF(COUNTIF(명단표[이름],$R1474)=0,IF(COUNTIF(기본자료표[이름],$R1474)&gt;0,"명단에 없음(기본자료에는 있음)","명단에 없음"),"동명이인 확인"))))</f>
        <v/>
      </c>
      <c r="Z1474">
        <f>IF($R1474="","",IF($S1474&lt;0,"⚠"&amp;INDEX('입력_구리근무자명단'!$A1472:$ZZ1472,1,$E$2+2),TEXT($S1474,"yyyy-mm-dd")))</f>
        <v/>
      </c>
      <c r="AA1474">
        <f>IF($R1474="","",IF($T1474&lt;0,"⚠"&amp;INDEX('입력_구리근무자명단'!$A1472:$ZZ1472,1,$E$2+3),TEXT($T1474,"yyyy-mm-dd")))</f>
        <v/>
      </c>
      <c r="AB1474">
        <f>AB1473+IF($R1474="",0,1)</f>
        <v/>
      </c>
      <c r="AC1474">
        <f>IF($R1474="","",$AB1474)</f>
        <v/>
      </c>
    </row>
    <row r="1475">
      <c r="O1475">
        <f>1473</f>
        <v/>
      </c>
      <c r="P1475">
        <f>IF(TRIM('입력_구리근무자명단'!$A1473&amp;"")&lt;&gt;"",TRIM('입력_구리근무자명단'!$A1473&amp;""),P1474)</f>
        <v/>
      </c>
      <c r="Q1475">
        <f>'입력_구리근무자명단'!$B1473&amp;""</f>
        <v/>
      </c>
      <c r="R1475">
        <f>IF($E$2="","",TRIM(INDEX('입력_구리근무자명단'!$A1473:$ZZ1473,1,$E$2+IF($G$2="확정",1,0))&amp;""))</f>
        <v/>
      </c>
      <c r="S1475">
        <f>IF($R1475="","",IF(INDEX('입력_구리근무자명단'!$A1473:$ZZ1473,1,$E$2+2)&amp;""="",급여기준월,IF(ISNUMBER(INDEX('입력_구리근무자명단'!$A1473:$ZZ1473,1,$E$2+2)),INDEX('입력_구리근무자명단'!$A1473:$ZZ1473,1,$E$2+2),IFERROR(DATE(VALUE(LEFT(INDEX('입력_구리근무자명단'!$A1473:$ZZ1473,1,$E$2+2),4)),VALUE(MID(INDEX('입력_구리근무자명단'!$A1473:$ZZ1473,1,$E$2+2),6,2)),VALUE(MID(INDEX('입력_구리근무자명단'!$A1473:$ZZ1473,1,$E$2+2),9,2))),-1))))</f>
        <v/>
      </c>
      <c r="T1475">
        <f>IF($R1475="","",IF(INDEX('입력_구리근무자명단'!$A1473:$ZZ1473,1,$E$2+3)&amp;""="",EOMONTH(급여기준월,0),IF(ISNUMBER(INDEX('입력_구리근무자명단'!$A1473:$ZZ1473,1,$E$2+3)),INDEX('입력_구리근무자명단'!$A1473:$ZZ1473,1,$E$2+3),IFERROR(DATE(VALUE(LEFT(INDEX('입력_구리근무자명단'!$A1473:$ZZ1473,1,$E$2+3),4)),VALUE(MID(INDEX('입력_구리근무자명단'!$A1473:$ZZ1473,1,$E$2+3),6,2)),VALUE(MID(INDEX('입력_구리근무자명단'!$A1473:$ZZ1473,1,$E$2+3),9,2))),-1))))</f>
        <v/>
      </c>
      <c r="U1475">
        <f>IF($R1475="","",IF(OR($S1475&lt;0,$T1475&lt;0),0,MAX(0,MIN($T1475,EOMONTH(급여기준월,0))-MAX($S1475,급여기준월)+1)))</f>
        <v/>
      </c>
      <c r="V1475">
        <f>IF($R1475="","",TRIM(INDEX('입력_구리근무자명단'!$A1473:$ZZ1473,1,$E$2+5)&amp;""))</f>
        <v/>
      </c>
      <c r="W1475">
        <f>IF(ISNUMBER(SEARCH("구리독자",$V1475)),"구리독자","")</f>
        <v/>
      </c>
      <c r="X1475">
        <f>IF($R1475="","",$R1475&amp;"|"&amp;IF(OR($Q1475="인턴",ISNUMBER(SEARCH("수련교육부",$P1475))),"인턴",$P1475))</f>
        <v/>
      </c>
      <c r="Y1475">
        <f>IF($R1475="","",IF(COUNTIF(명단표[이름|과],$X1475)=1,"명단 일치",IF(AND(COUNTIF(명단표[이름|과],$X1475)=0,COUNTIF(명단표[이름],$R1475)=1),"명단 일치(이름만, 과 다름)",IF(COUNTIF(명단표[이름],$R1475)=0,IF(COUNTIF(기본자료표[이름],$R1475)&gt;0,"명단에 없음(기본자료에는 있음)","명단에 없음"),"동명이인 확인"))))</f>
        <v/>
      </c>
      <c r="Z1475">
        <f>IF($R1475="","",IF($S1475&lt;0,"⚠"&amp;INDEX('입력_구리근무자명단'!$A1473:$ZZ1473,1,$E$2+2),TEXT($S1475,"yyyy-mm-dd")))</f>
        <v/>
      </c>
      <c r="AA1475">
        <f>IF($R1475="","",IF($T1475&lt;0,"⚠"&amp;INDEX('입력_구리근무자명단'!$A1473:$ZZ1473,1,$E$2+3),TEXT($T1475,"yyyy-mm-dd")))</f>
        <v/>
      </c>
      <c r="AB1475">
        <f>AB1474+IF($R1475="",0,1)</f>
        <v/>
      </c>
      <c r="AC1475">
        <f>IF($R1475="","",$AB1475)</f>
        <v/>
      </c>
    </row>
    <row r="1476">
      <c r="O1476">
        <f>1474</f>
        <v/>
      </c>
      <c r="P1476">
        <f>IF(TRIM('입력_구리근무자명단'!$A1474&amp;"")&lt;&gt;"",TRIM('입력_구리근무자명단'!$A1474&amp;""),P1475)</f>
        <v/>
      </c>
      <c r="Q1476">
        <f>'입력_구리근무자명단'!$B1474&amp;""</f>
        <v/>
      </c>
      <c r="R1476">
        <f>IF($E$2="","",TRIM(INDEX('입력_구리근무자명단'!$A1474:$ZZ1474,1,$E$2+IF($G$2="확정",1,0))&amp;""))</f>
        <v/>
      </c>
      <c r="S1476">
        <f>IF($R1476="","",IF(INDEX('입력_구리근무자명단'!$A1474:$ZZ1474,1,$E$2+2)&amp;""="",급여기준월,IF(ISNUMBER(INDEX('입력_구리근무자명단'!$A1474:$ZZ1474,1,$E$2+2)),INDEX('입력_구리근무자명단'!$A1474:$ZZ1474,1,$E$2+2),IFERROR(DATE(VALUE(LEFT(INDEX('입력_구리근무자명단'!$A1474:$ZZ1474,1,$E$2+2),4)),VALUE(MID(INDEX('입력_구리근무자명단'!$A1474:$ZZ1474,1,$E$2+2),6,2)),VALUE(MID(INDEX('입력_구리근무자명단'!$A1474:$ZZ1474,1,$E$2+2),9,2))),-1))))</f>
        <v/>
      </c>
      <c r="T1476">
        <f>IF($R1476="","",IF(INDEX('입력_구리근무자명단'!$A1474:$ZZ1474,1,$E$2+3)&amp;""="",EOMONTH(급여기준월,0),IF(ISNUMBER(INDEX('입력_구리근무자명단'!$A1474:$ZZ1474,1,$E$2+3)),INDEX('입력_구리근무자명단'!$A1474:$ZZ1474,1,$E$2+3),IFERROR(DATE(VALUE(LEFT(INDEX('입력_구리근무자명단'!$A1474:$ZZ1474,1,$E$2+3),4)),VALUE(MID(INDEX('입력_구리근무자명단'!$A1474:$ZZ1474,1,$E$2+3),6,2)),VALUE(MID(INDEX('입력_구리근무자명단'!$A1474:$ZZ1474,1,$E$2+3),9,2))),-1))))</f>
        <v/>
      </c>
      <c r="U1476">
        <f>IF($R1476="","",IF(OR($S1476&lt;0,$T1476&lt;0),0,MAX(0,MIN($T1476,EOMONTH(급여기준월,0))-MAX($S1476,급여기준월)+1)))</f>
        <v/>
      </c>
      <c r="V1476">
        <f>IF($R1476="","",TRIM(INDEX('입력_구리근무자명단'!$A1474:$ZZ1474,1,$E$2+5)&amp;""))</f>
        <v/>
      </c>
      <c r="W1476">
        <f>IF(ISNUMBER(SEARCH("구리독자",$V1476)),"구리독자","")</f>
        <v/>
      </c>
      <c r="X1476">
        <f>IF($R1476="","",$R1476&amp;"|"&amp;IF(OR($Q1476="인턴",ISNUMBER(SEARCH("수련교육부",$P1476))),"인턴",$P1476))</f>
        <v/>
      </c>
      <c r="Y1476">
        <f>IF($R1476="","",IF(COUNTIF(명단표[이름|과],$X1476)=1,"명단 일치",IF(AND(COUNTIF(명단표[이름|과],$X1476)=0,COUNTIF(명단표[이름],$R1476)=1),"명단 일치(이름만, 과 다름)",IF(COUNTIF(명단표[이름],$R1476)=0,IF(COUNTIF(기본자료표[이름],$R1476)&gt;0,"명단에 없음(기본자료에는 있음)","명단에 없음"),"동명이인 확인"))))</f>
        <v/>
      </c>
      <c r="Z1476">
        <f>IF($R1476="","",IF($S1476&lt;0,"⚠"&amp;INDEX('입력_구리근무자명단'!$A1474:$ZZ1474,1,$E$2+2),TEXT($S1476,"yyyy-mm-dd")))</f>
        <v/>
      </c>
      <c r="AA1476">
        <f>IF($R1476="","",IF($T1476&lt;0,"⚠"&amp;INDEX('입력_구리근무자명단'!$A1474:$ZZ1474,1,$E$2+3),TEXT($T1476,"yyyy-mm-dd")))</f>
        <v/>
      </c>
      <c r="AB1476">
        <f>AB1475+IF($R1476="",0,1)</f>
        <v/>
      </c>
      <c r="AC1476">
        <f>IF($R1476="","",$AB1476)</f>
        <v/>
      </c>
    </row>
    <row r="1477">
      <c r="O1477">
        <f>1475</f>
        <v/>
      </c>
      <c r="P1477">
        <f>IF(TRIM('입력_구리근무자명단'!$A1475&amp;"")&lt;&gt;"",TRIM('입력_구리근무자명단'!$A1475&amp;""),P1476)</f>
        <v/>
      </c>
      <c r="Q1477">
        <f>'입력_구리근무자명단'!$B1475&amp;""</f>
        <v/>
      </c>
      <c r="R1477">
        <f>IF($E$2="","",TRIM(INDEX('입력_구리근무자명단'!$A1475:$ZZ1475,1,$E$2+IF($G$2="확정",1,0))&amp;""))</f>
        <v/>
      </c>
      <c r="S1477">
        <f>IF($R1477="","",IF(INDEX('입력_구리근무자명단'!$A1475:$ZZ1475,1,$E$2+2)&amp;""="",급여기준월,IF(ISNUMBER(INDEX('입력_구리근무자명단'!$A1475:$ZZ1475,1,$E$2+2)),INDEX('입력_구리근무자명단'!$A1475:$ZZ1475,1,$E$2+2),IFERROR(DATE(VALUE(LEFT(INDEX('입력_구리근무자명단'!$A1475:$ZZ1475,1,$E$2+2),4)),VALUE(MID(INDEX('입력_구리근무자명단'!$A1475:$ZZ1475,1,$E$2+2),6,2)),VALUE(MID(INDEX('입력_구리근무자명단'!$A1475:$ZZ1475,1,$E$2+2),9,2))),-1))))</f>
        <v/>
      </c>
      <c r="T1477">
        <f>IF($R1477="","",IF(INDEX('입력_구리근무자명단'!$A1475:$ZZ1475,1,$E$2+3)&amp;""="",EOMONTH(급여기준월,0),IF(ISNUMBER(INDEX('입력_구리근무자명단'!$A1475:$ZZ1475,1,$E$2+3)),INDEX('입력_구리근무자명단'!$A1475:$ZZ1475,1,$E$2+3),IFERROR(DATE(VALUE(LEFT(INDEX('입력_구리근무자명단'!$A1475:$ZZ1475,1,$E$2+3),4)),VALUE(MID(INDEX('입력_구리근무자명단'!$A1475:$ZZ1475,1,$E$2+3),6,2)),VALUE(MID(INDEX('입력_구리근무자명단'!$A1475:$ZZ1475,1,$E$2+3),9,2))),-1))))</f>
        <v/>
      </c>
      <c r="U1477">
        <f>IF($R1477="","",IF(OR($S1477&lt;0,$T1477&lt;0),0,MAX(0,MIN($T1477,EOMONTH(급여기준월,0))-MAX($S1477,급여기준월)+1)))</f>
        <v/>
      </c>
      <c r="V1477">
        <f>IF($R1477="","",TRIM(INDEX('입력_구리근무자명단'!$A1475:$ZZ1475,1,$E$2+5)&amp;""))</f>
        <v/>
      </c>
      <c r="W1477">
        <f>IF(ISNUMBER(SEARCH("구리독자",$V1477)),"구리독자","")</f>
        <v/>
      </c>
      <c r="X1477">
        <f>IF($R1477="","",$R1477&amp;"|"&amp;IF(OR($Q1477="인턴",ISNUMBER(SEARCH("수련교육부",$P1477))),"인턴",$P1477))</f>
        <v/>
      </c>
      <c r="Y1477">
        <f>IF($R1477="","",IF(COUNTIF(명단표[이름|과],$X1477)=1,"명단 일치",IF(AND(COUNTIF(명단표[이름|과],$X1477)=0,COUNTIF(명단표[이름],$R1477)=1),"명단 일치(이름만, 과 다름)",IF(COUNTIF(명단표[이름],$R1477)=0,IF(COUNTIF(기본자료표[이름],$R1477)&gt;0,"명단에 없음(기본자료에는 있음)","명단에 없음"),"동명이인 확인"))))</f>
        <v/>
      </c>
      <c r="Z1477">
        <f>IF($R1477="","",IF($S1477&lt;0,"⚠"&amp;INDEX('입력_구리근무자명단'!$A1475:$ZZ1475,1,$E$2+2),TEXT($S1477,"yyyy-mm-dd")))</f>
        <v/>
      </c>
      <c r="AA1477">
        <f>IF($R1477="","",IF($T1477&lt;0,"⚠"&amp;INDEX('입력_구리근무자명단'!$A1475:$ZZ1475,1,$E$2+3),TEXT($T1477,"yyyy-mm-dd")))</f>
        <v/>
      </c>
      <c r="AB1477">
        <f>AB1476+IF($R1477="",0,1)</f>
        <v/>
      </c>
      <c r="AC1477">
        <f>IF($R1477="","",$AB1477)</f>
        <v/>
      </c>
    </row>
    <row r="1478">
      <c r="O1478">
        <f>1476</f>
        <v/>
      </c>
      <c r="P1478">
        <f>IF(TRIM('입력_구리근무자명단'!$A1476&amp;"")&lt;&gt;"",TRIM('입력_구리근무자명단'!$A1476&amp;""),P1477)</f>
        <v/>
      </c>
      <c r="Q1478">
        <f>'입력_구리근무자명단'!$B1476&amp;""</f>
        <v/>
      </c>
      <c r="R1478">
        <f>IF($E$2="","",TRIM(INDEX('입력_구리근무자명단'!$A1476:$ZZ1476,1,$E$2+IF($G$2="확정",1,0))&amp;""))</f>
        <v/>
      </c>
      <c r="S1478">
        <f>IF($R1478="","",IF(INDEX('입력_구리근무자명단'!$A1476:$ZZ1476,1,$E$2+2)&amp;""="",급여기준월,IF(ISNUMBER(INDEX('입력_구리근무자명단'!$A1476:$ZZ1476,1,$E$2+2)),INDEX('입력_구리근무자명단'!$A1476:$ZZ1476,1,$E$2+2),IFERROR(DATE(VALUE(LEFT(INDEX('입력_구리근무자명단'!$A1476:$ZZ1476,1,$E$2+2),4)),VALUE(MID(INDEX('입력_구리근무자명단'!$A1476:$ZZ1476,1,$E$2+2),6,2)),VALUE(MID(INDEX('입력_구리근무자명단'!$A1476:$ZZ1476,1,$E$2+2),9,2))),-1))))</f>
        <v/>
      </c>
      <c r="T1478">
        <f>IF($R1478="","",IF(INDEX('입력_구리근무자명단'!$A1476:$ZZ1476,1,$E$2+3)&amp;""="",EOMONTH(급여기준월,0),IF(ISNUMBER(INDEX('입력_구리근무자명단'!$A1476:$ZZ1476,1,$E$2+3)),INDEX('입력_구리근무자명단'!$A1476:$ZZ1476,1,$E$2+3),IFERROR(DATE(VALUE(LEFT(INDEX('입력_구리근무자명단'!$A1476:$ZZ1476,1,$E$2+3),4)),VALUE(MID(INDEX('입력_구리근무자명단'!$A1476:$ZZ1476,1,$E$2+3),6,2)),VALUE(MID(INDEX('입력_구리근무자명단'!$A1476:$ZZ1476,1,$E$2+3),9,2))),-1))))</f>
        <v/>
      </c>
      <c r="U1478">
        <f>IF($R1478="","",IF(OR($S1478&lt;0,$T1478&lt;0),0,MAX(0,MIN($T1478,EOMONTH(급여기준월,0))-MAX($S1478,급여기준월)+1)))</f>
        <v/>
      </c>
      <c r="V1478">
        <f>IF($R1478="","",TRIM(INDEX('입력_구리근무자명단'!$A1476:$ZZ1476,1,$E$2+5)&amp;""))</f>
        <v/>
      </c>
      <c r="W1478">
        <f>IF(ISNUMBER(SEARCH("구리독자",$V1478)),"구리독자","")</f>
        <v/>
      </c>
      <c r="X1478">
        <f>IF($R1478="","",$R1478&amp;"|"&amp;IF(OR($Q1478="인턴",ISNUMBER(SEARCH("수련교육부",$P1478))),"인턴",$P1478))</f>
        <v/>
      </c>
      <c r="Y1478">
        <f>IF($R1478="","",IF(COUNTIF(명단표[이름|과],$X1478)=1,"명단 일치",IF(AND(COUNTIF(명단표[이름|과],$X1478)=0,COUNTIF(명단표[이름],$R1478)=1),"명단 일치(이름만, 과 다름)",IF(COUNTIF(명단표[이름],$R1478)=0,IF(COUNTIF(기본자료표[이름],$R1478)&gt;0,"명단에 없음(기본자료에는 있음)","명단에 없음"),"동명이인 확인"))))</f>
        <v/>
      </c>
      <c r="Z1478">
        <f>IF($R1478="","",IF($S1478&lt;0,"⚠"&amp;INDEX('입력_구리근무자명단'!$A1476:$ZZ1476,1,$E$2+2),TEXT($S1478,"yyyy-mm-dd")))</f>
        <v/>
      </c>
      <c r="AA1478">
        <f>IF($R1478="","",IF($T1478&lt;0,"⚠"&amp;INDEX('입력_구리근무자명단'!$A1476:$ZZ1476,1,$E$2+3),TEXT($T1478,"yyyy-mm-dd")))</f>
        <v/>
      </c>
      <c r="AB1478">
        <f>AB1477+IF($R1478="",0,1)</f>
        <v/>
      </c>
      <c r="AC1478">
        <f>IF($R1478="","",$AB1478)</f>
        <v/>
      </c>
    </row>
    <row r="1479">
      <c r="O1479">
        <f>1477</f>
        <v/>
      </c>
      <c r="P1479">
        <f>IF(TRIM('입력_구리근무자명단'!$A1477&amp;"")&lt;&gt;"",TRIM('입력_구리근무자명단'!$A1477&amp;""),P1478)</f>
        <v/>
      </c>
      <c r="Q1479">
        <f>'입력_구리근무자명단'!$B1477&amp;""</f>
        <v/>
      </c>
      <c r="R1479">
        <f>IF($E$2="","",TRIM(INDEX('입력_구리근무자명단'!$A1477:$ZZ1477,1,$E$2+IF($G$2="확정",1,0))&amp;""))</f>
        <v/>
      </c>
      <c r="S1479">
        <f>IF($R1479="","",IF(INDEX('입력_구리근무자명단'!$A1477:$ZZ1477,1,$E$2+2)&amp;""="",급여기준월,IF(ISNUMBER(INDEX('입력_구리근무자명단'!$A1477:$ZZ1477,1,$E$2+2)),INDEX('입력_구리근무자명단'!$A1477:$ZZ1477,1,$E$2+2),IFERROR(DATE(VALUE(LEFT(INDEX('입력_구리근무자명단'!$A1477:$ZZ1477,1,$E$2+2),4)),VALUE(MID(INDEX('입력_구리근무자명단'!$A1477:$ZZ1477,1,$E$2+2),6,2)),VALUE(MID(INDEX('입력_구리근무자명단'!$A1477:$ZZ1477,1,$E$2+2),9,2))),-1))))</f>
        <v/>
      </c>
      <c r="T1479">
        <f>IF($R1479="","",IF(INDEX('입력_구리근무자명단'!$A1477:$ZZ1477,1,$E$2+3)&amp;""="",EOMONTH(급여기준월,0),IF(ISNUMBER(INDEX('입력_구리근무자명단'!$A1477:$ZZ1477,1,$E$2+3)),INDEX('입력_구리근무자명단'!$A1477:$ZZ1477,1,$E$2+3),IFERROR(DATE(VALUE(LEFT(INDEX('입력_구리근무자명단'!$A1477:$ZZ1477,1,$E$2+3),4)),VALUE(MID(INDEX('입력_구리근무자명단'!$A1477:$ZZ1477,1,$E$2+3),6,2)),VALUE(MID(INDEX('입력_구리근무자명단'!$A1477:$ZZ1477,1,$E$2+3),9,2))),-1))))</f>
        <v/>
      </c>
      <c r="U1479">
        <f>IF($R1479="","",IF(OR($S1479&lt;0,$T1479&lt;0),0,MAX(0,MIN($T1479,EOMONTH(급여기준월,0))-MAX($S1479,급여기준월)+1)))</f>
        <v/>
      </c>
      <c r="V1479">
        <f>IF($R1479="","",TRIM(INDEX('입력_구리근무자명단'!$A1477:$ZZ1477,1,$E$2+5)&amp;""))</f>
        <v/>
      </c>
      <c r="W1479">
        <f>IF(ISNUMBER(SEARCH("구리독자",$V1479)),"구리독자","")</f>
        <v/>
      </c>
      <c r="X1479">
        <f>IF($R1479="","",$R1479&amp;"|"&amp;IF(OR($Q1479="인턴",ISNUMBER(SEARCH("수련교육부",$P1479))),"인턴",$P1479))</f>
        <v/>
      </c>
      <c r="Y1479">
        <f>IF($R1479="","",IF(COUNTIF(명단표[이름|과],$X1479)=1,"명단 일치",IF(AND(COUNTIF(명단표[이름|과],$X1479)=0,COUNTIF(명단표[이름],$R1479)=1),"명단 일치(이름만, 과 다름)",IF(COUNTIF(명단표[이름],$R1479)=0,IF(COUNTIF(기본자료표[이름],$R1479)&gt;0,"명단에 없음(기본자료에는 있음)","명단에 없음"),"동명이인 확인"))))</f>
        <v/>
      </c>
      <c r="Z1479">
        <f>IF($R1479="","",IF($S1479&lt;0,"⚠"&amp;INDEX('입력_구리근무자명단'!$A1477:$ZZ1477,1,$E$2+2),TEXT($S1479,"yyyy-mm-dd")))</f>
        <v/>
      </c>
      <c r="AA1479">
        <f>IF($R1479="","",IF($T1479&lt;0,"⚠"&amp;INDEX('입력_구리근무자명단'!$A1477:$ZZ1477,1,$E$2+3),TEXT($T1479,"yyyy-mm-dd")))</f>
        <v/>
      </c>
      <c r="AB1479">
        <f>AB1478+IF($R1479="",0,1)</f>
        <v/>
      </c>
      <c r="AC1479">
        <f>IF($R1479="","",$AB1479)</f>
        <v/>
      </c>
    </row>
    <row r="1480">
      <c r="O1480">
        <f>1478</f>
        <v/>
      </c>
      <c r="P1480">
        <f>IF(TRIM('입력_구리근무자명단'!$A1478&amp;"")&lt;&gt;"",TRIM('입력_구리근무자명단'!$A1478&amp;""),P1479)</f>
        <v/>
      </c>
      <c r="Q1480">
        <f>'입력_구리근무자명단'!$B1478&amp;""</f>
        <v/>
      </c>
      <c r="R1480">
        <f>IF($E$2="","",TRIM(INDEX('입력_구리근무자명단'!$A1478:$ZZ1478,1,$E$2+IF($G$2="확정",1,0))&amp;""))</f>
        <v/>
      </c>
      <c r="S1480">
        <f>IF($R1480="","",IF(INDEX('입력_구리근무자명단'!$A1478:$ZZ1478,1,$E$2+2)&amp;""="",급여기준월,IF(ISNUMBER(INDEX('입력_구리근무자명단'!$A1478:$ZZ1478,1,$E$2+2)),INDEX('입력_구리근무자명단'!$A1478:$ZZ1478,1,$E$2+2),IFERROR(DATE(VALUE(LEFT(INDEX('입력_구리근무자명단'!$A1478:$ZZ1478,1,$E$2+2),4)),VALUE(MID(INDEX('입력_구리근무자명단'!$A1478:$ZZ1478,1,$E$2+2),6,2)),VALUE(MID(INDEX('입력_구리근무자명단'!$A1478:$ZZ1478,1,$E$2+2),9,2))),-1))))</f>
        <v/>
      </c>
      <c r="T1480">
        <f>IF($R1480="","",IF(INDEX('입력_구리근무자명단'!$A1478:$ZZ1478,1,$E$2+3)&amp;""="",EOMONTH(급여기준월,0),IF(ISNUMBER(INDEX('입력_구리근무자명단'!$A1478:$ZZ1478,1,$E$2+3)),INDEX('입력_구리근무자명단'!$A1478:$ZZ1478,1,$E$2+3),IFERROR(DATE(VALUE(LEFT(INDEX('입력_구리근무자명단'!$A1478:$ZZ1478,1,$E$2+3),4)),VALUE(MID(INDEX('입력_구리근무자명단'!$A1478:$ZZ1478,1,$E$2+3),6,2)),VALUE(MID(INDEX('입력_구리근무자명단'!$A1478:$ZZ1478,1,$E$2+3),9,2))),-1))))</f>
        <v/>
      </c>
      <c r="U1480">
        <f>IF($R1480="","",IF(OR($S1480&lt;0,$T1480&lt;0),0,MAX(0,MIN($T1480,EOMONTH(급여기준월,0))-MAX($S1480,급여기준월)+1)))</f>
        <v/>
      </c>
      <c r="V1480">
        <f>IF($R1480="","",TRIM(INDEX('입력_구리근무자명단'!$A1478:$ZZ1478,1,$E$2+5)&amp;""))</f>
        <v/>
      </c>
      <c r="W1480">
        <f>IF(ISNUMBER(SEARCH("구리독자",$V1480)),"구리독자","")</f>
        <v/>
      </c>
      <c r="X1480">
        <f>IF($R1480="","",$R1480&amp;"|"&amp;IF(OR($Q1480="인턴",ISNUMBER(SEARCH("수련교육부",$P1480))),"인턴",$P1480))</f>
        <v/>
      </c>
      <c r="Y1480">
        <f>IF($R1480="","",IF(COUNTIF(명단표[이름|과],$X1480)=1,"명단 일치",IF(AND(COUNTIF(명단표[이름|과],$X1480)=0,COUNTIF(명단표[이름],$R1480)=1),"명단 일치(이름만, 과 다름)",IF(COUNTIF(명단표[이름],$R1480)=0,IF(COUNTIF(기본자료표[이름],$R1480)&gt;0,"명단에 없음(기본자료에는 있음)","명단에 없음"),"동명이인 확인"))))</f>
        <v/>
      </c>
      <c r="Z1480">
        <f>IF($R1480="","",IF($S1480&lt;0,"⚠"&amp;INDEX('입력_구리근무자명단'!$A1478:$ZZ1478,1,$E$2+2),TEXT($S1480,"yyyy-mm-dd")))</f>
        <v/>
      </c>
      <c r="AA1480">
        <f>IF($R1480="","",IF($T1480&lt;0,"⚠"&amp;INDEX('입력_구리근무자명단'!$A1478:$ZZ1478,1,$E$2+3),TEXT($T1480,"yyyy-mm-dd")))</f>
        <v/>
      </c>
      <c r="AB1480">
        <f>AB1479+IF($R1480="",0,1)</f>
        <v/>
      </c>
      <c r="AC1480">
        <f>IF($R1480="","",$AB1480)</f>
        <v/>
      </c>
    </row>
    <row r="1481">
      <c r="O1481">
        <f>1479</f>
        <v/>
      </c>
      <c r="P1481">
        <f>IF(TRIM('입력_구리근무자명단'!$A1479&amp;"")&lt;&gt;"",TRIM('입력_구리근무자명단'!$A1479&amp;""),P1480)</f>
        <v/>
      </c>
      <c r="Q1481">
        <f>'입력_구리근무자명단'!$B1479&amp;""</f>
        <v/>
      </c>
      <c r="R1481">
        <f>IF($E$2="","",TRIM(INDEX('입력_구리근무자명단'!$A1479:$ZZ1479,1,$E$2+IF($G$2="확정",1,0))&amp;""))</f>
        <v/>
      </c>
      <c r="S1481">
        <f>IF($R1481="","",IF(INDEX('입력_구리근무자명단'!$A1479:$ZZ1479,1,$E$2+2)&amp;""="",급여기준월,IF(ISNUMBER(INDEX('입력_구리근무자명단'!$A1479:$ZZ1479,1,$E$2+2)),INDEX('입력_구리근무자명단'!$A1479:$ZZ1479,1,$E$2+2),IFERROR(DATE(VALUE(LEFT(INDEX('입력_구리근무자명단'!$A1479:$ZZ1479,1,$E$2+2),4)),VALUE(MID(INDEX('입력_구리근무자명단'!$A1479:$ZZ1479,1,$E$2+2),6,2)),VALUE(MID(INDEX('입력_구리근무자명단'!$A1479:$ZZ1479,1,$E$2+2),9,2))),-1))))</f>
        <v/>
      </c>
      <c r="T1481">
        <f>IF($R1481="","",IF(INDEX('입력_구리근무자명단'!$A1479:$ZZ1479,1,$E$2+3)&amp;""="",EOMONTH(급여기준월,0),IF(ISNUMBER(INDEX('입력_구리근무자명단'!$A1479:$ZZ1479,1,$E$2+3)),INDEX('입력_구리근무자명단'!$A1479:$ZZ1479,1,$E$2+3),IFERROR(DATE(VALUE(LEFT(INDEX('입력_구리근무자명단'!$A1479:$ZZ1479,1,$E$2+3),4)),VALUE(MID(INDEX('입력_구리근무자명단'!$A1479:$ZZ1479,1,$E$2+3),6,2)),VALUE(MID(INDEX('입력_구리근무자명단'!$A1479:$ZZ1479,1,$E$2+3),9,2))),-1))))</f>
        <v/>
      </c>
      <c r="U1481">
        <f>IF($R1481="","",IF(OR($S1481&lt;0,$T1481&lt;0),0,MAX(0,MIN($T1481,EOMONTH(급여기준월,0))-MAX($S1481,급여기준월)+1)))</f>
        <v/>
      </c>
      <c r="V1481">
        <f>IF($R1481="","",TRIM(INDEX('입력_구리근무자명단'!$A1479:$ZZ1479,1,$E$2+5)&amp;""))</f>
        <v/>
      </c>
      <c r="W1481">
        <f>IF(ISNUMBER(SEARCH("구리독자",$V1481)),"구리독자","")</f>
        <v/>
      </c>
      <c r="X1481">
        <f>IF($R1481="","",$R1481&amp;"|"&amp;IF(OR($Q1481="인턴",ISNUMBER(SEARCH("수련교육부",$P1481))),"인턴",$P1481))</f>
        <v/>
      </c>
      <c r="Y1481">
        <f>IF($R1481="","",IF(COUNTIF(명단표[이름|과],$X1481)=1,"명단 일치",IF(AND(COUNTIF(명단표[이름|과],$X1481)=0,COUNTIF(명단표[이름],$R1481)=1),"명단 일치(이름만, 과 다름)",IF(COUNTIF(명단표[이름],$R1481)=0,IF(COUNTIF(기본자료표[이름],$R1481)&gt;0,"명단에 없음(기본자료에는 있음)","명단에 없음"),"동명이인 확인"))))</f>
        <v/>
      </c>
      <c r="Z1481">
        <f>IF($R1481="","",IF($S1481&lt;0,"⚠"&amp;INDEX('입력_구리근무자명단'!$A1479:$ZZ1479,1,$E$2+2),TEXT($S1481,"yyyy-mm-dd")))</f>
        <v/>
      </c>
      <c r="AA1481">
        <f>IF($R1481="","",IF($T1481&lt;0,"⚠"&amp;INDEX('입력_구리근무자명단'!$A1479:$ZZ1479,1,$E$2+3),TEXT($T1481,"yyyy-mm-dd")))</f>
        <v/>
      </c>
      <c r="AB1481">
        <f>AB1480+IF($R1481="",0,1)</f>
        <v/>
      </c>
      <c r="AC1481">
        <f>IF($R1481="","",$AB1481)</f>
        <v/>
      </c>
    </row>
    <row r="1482">
      <c r="O1482">
        <f>1480</f>
        <v/>
      </c>
      <c r="P1482">
        <f>IF(TRIM('입력_구리근무자명단'!$A1480&amp;"")&lt;&gt;"",TRIM('입력_구리근무자명단'!$A1480&amp;""),P1481)</f>
        <v/>
      </c>
      <c r="Q1482">
        <f>'입력_구리근무자명단'!$B1480&amp;""</f>
        <v/>
      </c>
      <c r="R1482">
        <f>IF($E$2="","",TRIM(INDEX('입력_구리근무자명단'!$A1480:$ZZ1480,1,$E$2+IF($G$2="확정",1,0))&amp;""))</f>
        <v/>
      </c>
      <c r="S1482">
        <f>IF($R1482="","",IF(INDEX('입력_구리근무자명단'!$A1480:$ZZ1480,1,$E$2+2)&amp;""="",급여기준월,IF(ISNUMBER(INDEX('입력_구리근무자명단'!$A1480:$ZZ1480,1,$E$2+2)),INDEX('입력_구리근무자명단'!$A1480:$ZZ1480,1,$E$2+2),IFERROR(DATE(VALUE(LEFT(INDEX('입력_구리근무자명단'!$A1480:$ZZ1480,1,$E$2+2),4)),VALUE(MID(INDEX('입력_구리근무자명단'!$A1480:$ZZ1480,1,$E$2+2),6,2)),VALUE(MID(INDEX('입력_구리근무자명단'!$A1480:$ZZ1480,1,$E$2+2),9,2))),-1))))</f>
        <v/>
      </c>
      <c r="T1482">
        <f>IF($R1482="","",IF(INDEX('입력_구리근무자명단'!$A1480:$ZZ1480,1,$E$2+3)&amp;""="",EOMONTH(급여기준월,0),IF(ISNUMBER(INDEX('입력_구리근무자명단'!$A1480:$ZZ1480,1,$E$2+3)),INDEX('입력_구리근무자명단'!$A1480:$ZZ1480,1,$E$2+3),IFERROR(DATE(VALUE(LEFT(INDEX('입력_구리근무자명단'!$A1480:$ZZ1480,1,$E$2+3),4)),VALUE(MID(INDEX('입력_구리근무자명단'!$A1480:$ZZ1480,1,$E$2+3),6,2)),VALUE(MID(INDEX('입력_구리근무자명단'!$A1480:$ZZ1480,1,$E$2+3),9,2))),-1))))</f>
        <v/>
      </c>
      <c r="U1482">
        <f>IF($R1482="","",IF(OR($S1482&lt;0,$T1482&lt;0),0,MAX(0,MIN($T1482,EOMONTH(급여기준월,0))-MAX($S1482,급여기준월)+1)))</f>
        <v/>
      </c>
      <c r="V1482">
        <f>IF($R1482="","",TRIM(INDEX('입력_구리근무자명단'!$A1480:$ZZ1480,1,$E$2+5)&amp;""))</f>
        <v/>
      </c>
      <c r="W1482">
        <f>IF(ISNUMBER(SEARCH("구리독자",$V1482)),"구리독자","")</f>
        <v/>
      </c>
      <c r="X1482">
        <f>IF($R1482="","",$R1482&amp;"|"&amp;IF(OR($Q1482="인턴",ISNUMBER(SEARCH("수련교육부",$P1482))),"인턴",$P1482))</f>
        <v/>
      </c>
      <c r="Y1482">
        <f>IF($R1482="","",IF(COUNTIF(명단표[이름|과],$X1482)=1,"명단 일치",IF(AND(COUNTIF(명단표[이름|과],$X1482)=0,COUNTIF(명단표[이름],$R1482)=1),"명단 일치(이름만, 과 다름)",IF(COUNTIF(명단표[이름],$R1482)=0,IF(COUNTIF(기본자료표[이름],$R1482)&gt;0,"명단에 없음(기본자료에는 있음)","명단에 없음"),"동명이인 확인"))))</f>
        <v/>
      </c>
      <c r="Z1482">
        <f>IF($R1482="","",IF($S1482&lt;0,"⚠"&amp;INDEX('입력_구리근무자명단'!$A1480:$ZZ1480,1,$E$2+2),TEXT($S1482,"yyyy-mm-dd")))</f>
        <v/>
      </c>
      <c r="AA1482">
        <f>IF($R1482="","",IF($T1482&lt;0,"⚠"&amp;INDEX('입력_구리근무자명단'!$A1480:$ZZ1480,1,$E$2+3),TEXT($T1482,"yyyy-mm-dd")))</f>
        <v/>
      </c>
      <c r="AB1482">
        <f>AB1481+IF($R1482="",0,1)</f>
        <v/>
      </c>
      <c r="AC1482">
        <f>IF($R1482="","",$AB1482)</f>
        <v/>
      </c>
    </row>
    <row r="1483">
      <c r="O1483">
        <f>1481</f>
        <v/>
      </c>
      <c r="P1483">
        <f>IF(TRIM('입력_구리근무자명단'!$A1481&amp;"")&lt;&gt;"",TRIM('입력_구리근무자명단'!$A1481&amp;""),P1482)</f>
        <v/>
      </c>
      <c r="Q1483">
        <f>'입력_구리근무자명단'!$B1481&amp;""</f>
        <v/>
      </c>
      <c r="R1483">
        <f>IF($E$2="","",TRIM(INDEX('입력_구리근무자명단'!$A1481:$ZZ1481,1,$E$2+IF($G$2="확정",1,0))&amp;""))</f>
        <v/>
      </c>
      <c r="S1483">
        <f>IF($R1483="","",IF(INDEX('입력_구리근무자명단'!$A1481:$ZZ1481,1,$E$2+2)&amp;""="",급여기준월,IF(ISNUMBER(INDEX('입력_구리근무자명단'!$A1481:$ZZ1481,1,$E$2+2)),INDEX('입력_구리근무자명단'!$A1481:$ZZ1481,1,$E$2+2),IFERROR(DATE(VALUE(LEFT(INDEX('입력_구리근무자명단'!$A1481:$ZZ1481,1,$E$2+2),4)),VALUE(MID(INDEX('입력_구리근무자명단'!$A1481:$ZZ1481,1,$E$2+2),6,2)),VALUE(MID(INDEX('입력_구리근무자명단'!$A1481:$ZZ1481,1,$E$2+2),9,2))),-1))))</f>
        <v/>
      </c>
      <c r="T1483">
        <f>IF($R1483="","",IF(INDEX('입력_구리근무자명단'!$A1481:$ZZ1481,1,$E$2+3)&amp;""="",EOMONTH(급여기준월,0),IF(ISNUMBER(INDEX('입력_구리근무자명단'!$A1481:$ZZ1481,1,$E$2+3)),INDEX('입력_구리근무자명단'!$A1481:$ZZ1481,1,$E$2+3),IFERROR(DATE(VALUE(LEFT(INDEX('입력_구리근무자명단'!$A1481:$ZZ1481,1,$E$2+3),4)),VALUE(MID(INDEX('입력_구리근무자명단'!$A1481:$ZZ1481,1,$E$2+3),6,2)),VALUE(MID(INDEX('입력_구리근무자명단'!$A1481:$ZZ1481,1,$E$2+3),9,2))),-1))))</f>
        <v/>
      </c>
      <c r="U1483">
        <f>IF($R1483="","",IF(OR($S1483&lt;0,$T1483&lt;0),0,MAX(0,MIN($T1483,EOMONTH(급여기준월,0))-MAX($S1483,급여기준월)+1)))</f>
        <v/>
      </c>
      <c r="V1483">
        <f>IF($R1483="","",TRIM(INDEX('입력_구리근무자명단'!$A1481:$ZZ1481,1,$E$2+5)&amp;""))</f>
        <v/>
      </c>
      <c r="W1483">
        <f>IF(ISNUMBER(SEARCH("구리독자",$V1483)),"구리독자","")</f>
        <v/>
      </c>
      <c r="X1483">
        <f>IF($R1483="","",$R1483&amp;"|"&amp;IF(OR($Q1483="인턴",ISNUMBER(SEARCH("수련교육부",$P1483))),"인턴",$P1483))</f>
        <v/>
      </c>
      <c r="Y1483">
        <f>IF($R1483="","",IF(COUNTIF(명단표[이름|과],$X1483)=1,"명단 일치",IF(AND(COUNTIF(명단표[이름|과],$X1483)=0,COUNTIF(명단표[이름],$R1483)=1),"명단 일치(이름만, 과 다름)",IF(COUNTIF(명단표[이름],$R1483)=0,IF(COUNTIF(기본자료표[이름],$R1483)&gt;0,"명단에 없음(기본자료에는 있음)","명단에 없음"),"동명이인 확인"))))</f>
        <v/>
      </c>
      <c r="Z1483">
        <f>IF($R1483="","",IF($S1483&lt;0,"⚠"&amp;INDEX('입력_구리근무자명단'!$A1481:$ZZ1481,1,$E$2+2),TEXT($S1483,"yyyy-mm-dd")))</f>
        <v/>
      </c>
      <c r="AA1483">
        <f>IF($R1483="","",IF($T1483&lt;0,"⚠"&amp;INDEX('입력_구리근무자명단'!$A1481:$ZZ1481,1,$E$2+3),TEXT($T1483,"yyyy-mm-dd")))</f>
        <v/>
      </c>
      <c r="AB1483">
        <f>AB1482+IF($R1483="",0,1)</f>
        <v/>
      </c>
      <c r="AC1483">
        <f>IF($R1483="","",$AB1483)</f>
        <v/>
      </c>
    </row>
    <row r="1484">
      <c r="O1484">
        <f>1482</f>
        <v/>
      </c>
      <c r="P1484">
        <f>IF(TRIM('입력_구리근무자명단'!$A1482&amp;"")&lt;&gt;"",TRIM('입력_구리근무자명단'!$A1482&amp;""),P1483)</f>
        <v/>
      </c>
      <c r="Q1484">
        <f>'입력_구리근무자명단'!$B1482&amp;""</f>
        <v/>
      </c>
      <c r="R1484">
        <f>IF($E$2="","",TRIM(INDEX('입력_구리근무자명단'!$A1482:$ZZ1482,1,$E$2+IF($G$2="확정",1,0))&amp;""))</f>
        <v/>
      </c>
      <c r="S1484">
        <f>IF($R1484="","",IF(INDEX('입력_구리근무자명단'!$A1482:$ZZ1482,1,$E$2+2)&amp;""="",급여기준월,IF(ISNUMBER(INDEX('입력_구리근무자명단'!$A1482:$ZZ1482,1,$E$2+2)),INDEX('입력_구리근무자명단'!$A1482:$ZZ1482,1,$E$2+2),IFERROR(DATE(VALUE(LEFT(INDEX('입력_구리근무자명단'!$A1482:$ZZ1482,1,$E$2+2),4)),VALUE(MID(INDEX('입력_구리근무자명단'!$A1482:$ZZ1482,1,$E$2+2),6,2)),VALUE(MID(INDEX('입력_구리근무자명단'!$A1482:$ZZ1482,1,$E$2+2),9,2))),-1))))</f>
        <v/>
      </c>
      <c r="T1484">
        <f>IF($R1484="","",IF(INDEX('입력_구리근무자명단'!$A1482:$ZZ1482,1,$E$2+3)&amp;""="",EOMONTH(급여기준월,0),IF(ISNUMBER(INDEX('입력_구리근무자명단'!$A1482:$ZZ1482,1,$E$2+3)),INDEX('입력_구리근무자명단'!$A1482:$ZZ1482,1,$E$2+3),IFERROR(DATE(VALUE(LEFT(INDEX('입력_구리근무자명단'!$A1482:$ZZ1482,1,$E$2+3),4)),VALUE(MID(INDEX('입력_구리근무자명단'!$A1482:$ZZ1482,1,$E$2+3),6,2)),VALUE(MID(INDEX('입력_구리근무자명단'!$A1482:$ZZ1482,1,$E$2+3),9,2))),-1))))</f>
        <v/>
      </c>
      <c r="U1484">
        <f>IF($R1484="","",IF(OR($S1484&lt;0,$T1484&lt;0),0,MAX(0,MIN($T1484,EOMONTH(급여기준월,0))-MAX($S1484,급여기준월)+1)))</f>
        <v/>
      </c>
      <c r="V1484">
        <f>IF($R1484="","",TRIM(INDEX('입력_구리근무자명단'!$A1482:$ZZ1482,1,$E$2+5)&amp;""))</f>
        <v/>
      </c>
      <c r="W1484">
        <f>IF(ISNUMBER(SEARCH("구리독자",$V1484)),"구리독자","")</f>
        <v/>
      </c>
      <c r="X1484">
        <f>IF($R1484="","",$R1484&amp;"|"&amp;IF(OR($Q1484="인턴",ISNUMBER(SEARCH("수련교육부",$P1484))),"인턴",$P1484))</f>
        <v/>
      </c>
      <c r="Y1484">
        <f>IF($R1484="","",IF(COUNTIF(명단표[이름|과],$X1484)=1,"명단 일치",IF(AND(COUNTIF(명단표[이름|과],$X1484)=0,COUNTIF(명단표[이름],$R1484)=1),"명단 일치(이름만, 과 다름)",IF(COUNTIF(명단표[이름],$R1484)=0,IF(COUNTIF(기본자료표[이름],$R1484)&gt;0,"명단에 없음(기본자료에는 있음)","명단에 없음"),"동명이인 확인"))))</f>
        <v/>
      </c>
      <c r="Z1484">
        <f>IF($R1484="","",IF($S1484&lt;0,"⚠"&amp;INDEX('입력_구리근무자명단'!$A1482:$ZZ1482,1,$E$2+2),TEXT($S1484,"yyyy-mm-dd")))</f>
        <v/>
      </c>
      <c r="AA1484">
        <f>IF($R1484="","",IF($T1484&lt;0,"⚠"&amp;INDEX('입력_구리근무자명단'!$A1482:$ZZ1482,1,$E$2+3),TEXT($T1484,"yyyy-mm-dd")))</f>
        <v/>
      </c>
      <c r="AB1484">
        <f>AB1483+IF($R1484="",0,1)</f>
        <v/>
      </c>
      <c r="AC1484">
        <f>IF($R1484="","",$AB1484)</f>
        <v/>
      </c>
    </row>
    <row r="1485">
      <c r="O1485">
        <f>1483</f>
        <v/>
      </c>
      <c r="P1485">
        <f>IF(TRIM('입력_구리근무자명단'!$A1483&amp;"")&lt;&gt;"",TRIM('입력_구리근무자명단'!$A1483&amp;""),P1484)</f>
        <v/>
      </c>
      <c r="Q1485">
        <f>'입력_구리근무자명단'!$B1483&amp;""</f>
        <v/>
      </c>
      <c r="R1485">
        <f>IF($E$2="","",TRIM(INDEX('입력_구리근무자명단'!$A1483:$ZZ1483,1,$E$2+IF($G$2="확정",1,0))&amp;""))</f>
        <v/>
      </c>
      <c r="S1485">
        <f>IF($R1485="","",IF(INDEX('입력_구리근무자명단'!$A1483:$ZZ1483,1,$E$2+2)&amp;""="",급여기준월,IF(ISNUMBER(INDEX('입력_구리근무자명단'!$A1483:$ZZ1483,1,$E$2+2)),INDEX('입력_구리근무자명단'!$A1483:$ZZ1483,1,$E$2+2),IFERROR(DATE(VALUE(LEFT(INDEX('입력_구리근무자명단'!$A1483:$ZZ1483,1,$E$2+2),4)),VALUE(MID(INDEX('입력_구리근무자명단'!$A1483:$ZZ1483,1,$E$2+2),6,2)),VALUE(MID(INDEX('입력_구리근무자명단'!$A1483:$ZZ1483,1,$E$2+2),9,2))),-1))))</f>
        <v/>
      </c>
      <c r="T1485">
        <f>IF($R1485="","",IF(INDEX('입력_구리근무자명단'!$A1483:$ZZ1483,1,$E$2+3)&amp;""="",EOMONTH(급여기준월,0),IF(ISNUMBER(INDEX('입력_구리근무자명단'!$A1483:$ZZ1483,1,$E$2+3)),INDEX('입력_구리근무자명단'!$A1483:$ZZ1483,1,$E$2+3),IFERROR(DATE(VALUE(LEFT(INDEX('입력_구리근무자명단'!$A1483:$ZZ1483,1,$E$2+3),4)),VALUE(MID(INDEX('입력_구리근무자명단'!$A1483:$ZZ1483,1,$E$2+3),6,2)),VALUE(MID(INDEX('입력_구리근무자명단'!$A1483:$ZZ1483,1,$E$2+3),9,2))),-1))))</f>
        <v/>
      </c>
      <c r="U1485">
        <f>IF($R1485="","",IF(OR($S1485&lt;0,$T1485&lt;0),0,MAX(0,MIN($T1485,EOMONTH(급여기준월,0))-MAX($S1485,급여기준월)+1)))</f>
        <v/>
      </c>
      <c r="V1485">
        <f>IF($R1485="","",TRIM(INDEX('입력_구리근무자명단'!$A1483:$ZZ1483,1,$E$2+5)&amp;""))</f>
        <v/>
      </c>
      <c r="W1485">
        <f>IF(ISNUMBER(SEARCH("구리독자",$V1485)),"구리독자","")</f>
        <v/>
      </c>
      <c r="X1485">
        <f>IF($R1485="","",$R1485&amp;"|"&amp;IF(OR($Q1485="인턴",ISNUMBER(SEARCH("수련교육부",$P1485))),"인턴",$P1485))</f>
        <v/>
      </c>
      <c r="Y1485">
        <f>IF($R1485="","",IF(COUNTIF(명단표[이름|과],$X1485)=1,"명단 일치",IF(AND(COUNTIF(명단표[이름|과],$X1485)=0,COUNTIF(명단표[이름],$R1485)=1),"명단 일치(이름만, 과 다름)",IF(COUNTIF(명단표[이름],$R1485)=0,IF(COUNTIF(기본자료표[이름],$R1485)&gt;0,"명단에 없음(기본자료에는 있음)","명단에 없음"),"동명이인 확인"))))</f>
        <v/>
      </c>
      <c r="Z1485">
        <f>IF($R1485="","",IF($S1485&lt;0,"⚠"&amp;INDEX('입력_구리근무자명단'!$A1483:$ZZ1483,1,$E$2+2),TEXT($S1485,"yyyy-mm-dd")))</f>
        <v/>
      </c>
      <c r="AA1485">
        <f>IF($R1485="","",IF($T1485&lt;0,"⚠"&amp;INDEX('입력_구리근무자명단'!$A1483:$ZZ1483,1,$E$2+3),TEXT($T1485,"yyyy-mm-dd")))</f>
        <v/>
      </c>
      <c r="AB1485">
        <f>AB1484+IF($R1485="",0,1)</f>
        <v/>
      </c>
      <c r="AC1485">
        <f>IF($R1485="","",$AB1485)</f>
        <v/>
      </c>
    </row>
    <row r="1486">
      <c r="O1486">
        <f>1484</f>
        <v/>
      </c>
      <c r="P1486">
        <f>IF(TRIM('입력_구리근무자명단'!$A1484&amp;"")&lt;&gt;"",TRIM('입력_구리근무자명단'!$A1484&amp;""),P1485)</f>
        <v/>
      </c>
      <c r="Q1486">
        <f>'입력_구리근무자명단'!$B1484&amp;""</f>
        <v/>
      </c>
      <c r="R1486">
        <f>IF($E$2="","",TRIM(INDEX('입력_구리근무자명단'!$A1484:$ZZ1484,1,$E$2+IF($G$2="확정",1,0))&amp;""))</f>
        <v/>
      </c>
      <c r="S1486">
        <f>IF($R1486="","",IF(INDEX('입력_구리근무자명단'!$A1484:$ZZ1484,1,$E$2+2)&amp;""="",급여기준월,IF(ISNUMBER(INDEX('입력_구리근무자명단'!$A1484:$ZZ1484,1,$E$2+2)),INDEX('입력_구리근무자명단'!$A1484:$ZZ1484,1,$E$2+2),IFERROR(DATE(VALUE(LEFT(INDEX('입력_구리근무자명단'!$A1484:$ZZ1484,1,$E$2+2),4)),VALUE(MID(INDEX('입력_구리근무자명단'!$A1484:$ZZ1484,1,$E$2+2),6,2)),VALUE(MID(INDEX('입력_구리근무자명단'!$A1484:$ZZ1484,1,$E$2+2),9,2))),-1))))</f>
        <v/>
      </c>
      <c r="T1486">
        <f>IF($R1486="","",IF(INDEX('입력_구리근무자명단'!$A1484:$ZZ1484,1,$E$2+3)&amp;""="",EOMONTH(급여기준월,0),IF(ISNUMBER(INDEX('입력_구리근무자명단'!$A1484:$ZZ1484,1,$E$2+3)),INDEX('입력_구리근무자명단'!$A1484:$ZZ1484,1,$E$2+3),IFERROR(DATE(VALUE(LEFT(INDEX('입력_구리근무자명단'!$A1484:$ZZ1484,1,$E$2+3),4)),VALUE(MID(INDEX('입력_구리근무자명단'!$A1484:$ZZ1484,1,$E$2+3),6,2)),VALUE(MID(INDEX('입력_구리근무자명단'!$A1484:$ZZ1484,1,$E$2+3),9,2))),-1))))</f>
        <v/>
      </c>
      <c r="U1486">
        <f>IF($R1486="","",IF(OR($S1486&lt;0,$T1486&lt;0),0,MAX(0,MIN($T1486,EOMONTH(급여기준월,0))-MAX($S1486,급여기준월)+1)))</f>
        <v/>
      </c>
      <c r="V1486">
        <f>IF($R1486="","",TRIM(INDEX('입력_구리근무자명단'!$A1484:$ZZ1484,1,$E$2+5)&amp;""))</f>
        <v/>
      </c>
      <c r="W1486">
        <f>IF(ISNUMBER(SEARCH("구리독자",$V1486)),"구리독자","")</f>
        <v/>
      </c>
      <c r="X1486">
        <f>IF($R1486="","",$R1486&amp;"|"&amp;IF(OR($Q1486="인턴",ISNUMBER(SEARCH("수련교육부",$P1486))),"인턴",$P1486))</f>
        <v/>
      </c>
      <c r="Y1486">
        <f>IF($R1486="","",IF(COUNTIF(명단표[이름|과],$X1486)=1,"명단 일치",IF(AND(COUNTIF(명단표[이름|과],$X1486)=0,COUNTIF(명단표[이름],$R1486)=1),"명단 일치(이름만, 과 다름)",IF(COUNTIF(명단표[이름],$R1486)=0,IF(COUNTIF(기본자료표[이름],$R1486)&gt;0,"명단에 없음(기본자료에는 있음)","명단에 없음"),"동명이인 확인"))))</f>
        <v/>
      </c>
      <c r="Z1486">
        <f>IF($R1486="","",IF($S1486&lt;0,"⚠"&amp;INDEX('입력_구리근무자명단'!$A1484:$ZZ1484,1,$E$2+2),TEXT($S1486,"yyyy-mm-dd")))</f>
        <v/>
      </c>
      <c r="AA1486">
        <f>IF($R1486="","",IF($T1486&lt;0,"⚠"&amp;INDEX('입력_구리근무자명단'!$A1484:$ZZ1484,1,$E$2+3),TEXT($T1486,"yyyy-mm-dd")))</f>
        <v/>
      </c>
      <c r="AB1486">
        <f>AB1485+IF($R1486="",0,1)</f>
        <v/>
      </c>
      <c r="AC1486">
        <f>IF($R1486="","",$AB1486)</f>
        <v/>
      </c>
    </row>
    <row r="1487">
      <c r="O1487">
        <f>1485</f>
        <v/>
      </c>
      <c r="P1487">
        <f>IF(TRIM('입력_구리근무자명단'!$A1485&amp;"")&lt;&gt;"",TRIM('입력_구리근무자명단'!$A1485&amp;""),P1486)</f>
        <v/>
      </c>
      <c r="Q1487">
        <f>'입력_구리근무자명단'!$B1485&amp;""</f>
        <v/>
      </c>
      <c r="R1487">
        <f>IF($E$2="","",TRIM(INDEX('입력_구리근무자명단'!$A1485:$ZZ1485,1,$E$2+IF($G$2="확정",1,0))&amp;""))</f>
        <v/>
      </c>
      <c r="S1487">
        <f>IF($R1487="","",IF(INDEX('입력_구리근무자명단'!$A1485:$ZZ1485,1,$E$2+2)&amp;""="",급여기준월,IF(ISNUMBER(INDEX('입력_구리근무자명단'!$A1485:$ZZ1485,1,$E$2+2)),INDEX('입력_구리근무자명단'!$A1485:$ZZ1485,1,$E$2+2),IFERROR(DATE(VALUE(LEFT(INDEX('입력_구리근무자명단'!$A1485:$ZZ1485,1,$E$2+2),4)),VALUE(MID(INDEX('입력_구리근무자명단'!$A1485:$ZZ1485,1,$E$2+2),6,2)),VALUE(MID(INDEX('입력_구리근무자명단'!$A1485:$ZZ1485,1,$E$2+2),9,2))),-1))))</f>
        <v/>
      </c>
      <c r="T1487">
        <f>IF($R1487="","",IF(INDEX('입력_구리근무자명단'!$A1485:$ZZ1485,1,$E$2+3)&amp;""="",EOMONTH(급여기준월,0),IF(ISNUMBER(INDEX('입력_구리근무자명단'!$A1485:$ZZ1485,1,$E$2+3)),INDEX('입력_구리근무자명단'!$A1485:$ZZ1485,1,$E$2+3),IFERROR(DATE(VALUE(LEFT(INDEX('입력_구리근무자명단'!$A1485:$ZZ1485,1,$E$2+3),4)),VALUE(MID(INDEX('입력_구리근무자명단'!$A1485:$ZZ1485,1,$E$2+3),6,2)),VALUE(MID(INDEX('입력_구리근무자명단'!$A1485:$ZZ1485,1,$E$2+3),9,2))),-1))))</f>
        <v/>
      </c>
      <c r="U1487">
        <f>IF($R1487="","",IF(OR($S1487&lt;0,$T1487&lt;0),0,MAX(0,MIN($T1487,EOMONTH(급여기준월,0))-MAX($S1487,급여기준월)+1)))</f>
        <v/>
      </c>
      <c r="V1487">
        <f>IF($R1487="","",TRIM(INDEX('입력_구리근무자명단'!$A1485:$ZZ1485,1,$E$2+5)&amp;""))</f>
        <v/>
      </c>
      <c r="W1487">
        <f>IF(ISNUMBER(SEARCH("구리독자",$V1487)),"구리독자","")</f>
        <v/>
      </c>
      <c r="X1487">
        <f>IF($R1487="","",$R1487&amp;"|"&amp;IF(OR($Q1487="인턴",ISNUMBER(SEARCH("수련교육부",$P1487))),"인턴",$P1487))</f>
        <v/>
      </c>
      <c r="Y1487">
        <f>IF($R1487="","",IF(COUNTIF(명단표[이름|과],$X1487)=1,"명단 일치",IF(AND(COUNTIF(명단표[이름|과],$X1487)=0,COUNTIF(명단표[이름],$R1487)=1),"명단 일치(이름만, 과 다름)",IF(COUNTIF(명단표[이름],$R1487)=0,IF(COUNTIF(기본자료표[이름],$R1487)&gt;0,"명단에 없음(기본자료에는 있음)","명단에 없음"),"동명이인 확인"))))</f>
        <v/>
      </c>
      <c r="Z1487">
        <f>IF($R1487="","",IF($S1487&lt;0,"⚠"&amp;INDEX('입력_구리근무자명단'!$A1485:$ZZ1485,1,$E$2+2),TEXT($S1487,"yyyy-mm-dd")))</f>
        <v/>
      </c>
      <c r="AA1487">
        <f>IF($R1487="","",IF($T1487&lt;0,"⚠"&amp;INDEX('입력_구리근무자명단'!$A1485:$ZZ1485,1,$E$2+3),TEXT($T1487,"yyyy-mm-dd")))</f>
        <v/>
      </c>
      <c r="AB1487">
        <f>AB1486+IF($R1487="",0,1)</f>
        <v/>
      </c>
      <c r="AC1487">
        <f>IF($R1487="","",$AB1487)</f>
        <v/>
      </c>
    </row>
    <row r="1488">
      <c r="O1488">
        <f>1486</f>
        <v/>
      </c>
      <c r="P1488">
        <f>IF(TRIM('입력_구리근무자명단'!$A1486&amp;"")&lt;&gt;"",TRIM('입력_구리근무자명단'!$A1486&amp;""),P1487)</f>
        <v/>
      </c>
      <c r="Q1488">
        <f>'입력_구리근무자명단'!$B1486&amp;""</f>
        <v/>
      </c>
      <c r="R1488">
        <f>IF($E$2="","",TRIM(INDEX('입력_구리근무자명단'!$A1486:$ZZ1486,1,$E$2+IF($G$2="확정",1,0))&amp;""))</f>
        <v/>
      </c>
      <c r="S1488">
        <f>IF($R1488="","",IF(INDEX('입력_구리근무자명단'!$A1486:$ZZ1486,1,$E$2+2)&amp;""="",급여기준월,IF(ISNUMBER(INDEX('입력_구리근무자명단'!$A1486:$ZZ1486,1,$E$2+2)),INDEX('입력_구리근무자명단'!$A1486:$ZZ1486,1,$E$2+2),IFERROR(DATE(VALUE(LEFT(INDEX('입력_구리근무자명단'!$A1486:$ZZ1486,1,$E$2+2),4)),VALUE(MID(INDEX('입력_구리근무자명단'!$A1486:$ZZ1486,1,$E$2+2),6,2)),VALUE(MID(INDEX('입력_구리근무자명단'!$A1486:$ZZ1486,1,$E$2+2),9,2))),-1))))</f>
        <v/>
      </c>
      <c r="T1488">
        <f>IF($R1488="","",IF(INDEX('입력_구리근무자명단'!$A1486:$ZZ1486,1,$E$2+3)&amp;""="",EOMONTH(급여기준월,0),IF(ISNUMBER(INDEX('입력_구리근무자명단'!$A1486:$ZZ1486,1,$E$2+3)),INDEX('입력_구리근무자명단'!$A1486:$ZZ1486,1,$E$2+3),IFERROR(DATE(VALUE(LEFT(INDEX('입력_구리근무자명단'!$A1486:$ZZ1486,1,$E$2+3),4)),VALUE(MID(INDEX('입력_구리근무자명단'!$A1486:$ZZ1486,1,$E$2+3),6,2)),VALUE(MID(INDEX('입력_구리근무자명단'!$A1486:$ZZ1486,1,$E$2+3),9,2))),-1))))</f>
        <v/>
      </c>
      <c r="U1488">
        <f>IF($R1488="","",IF(OR($S1488&lt;0,$T1488&lt;0),0,MAX(0,MIN($T1488,EOMONTH(급여기준월,0))-MAX($S1488,급여기준월)+1)))</f>
        <v/>
      </c>
      <c r="V1488">
        <f>IF($R1488="","",TRIM(INDEX('입력_구리근무자명단'!$A1486:$ZZ1486,1,$E$2+5)&amp;""))</f>
        <v/>
      </c>
      <c r="W1488">
        <f>IF(ISNUMBER(SEARCH("구리독자",$V1488)),"구리독자","")</f>
        <v/>
      </c>
      <c r="X1488">
        <f>IF($R1488="","",$R1488&amp;"|"&amp;IF(OR($Q1488="인턴",ISNUMBER(SEARCH("수련교육부",$P1488))),"인턴",$P1488))</f>
        <v/>
      </c>
      <c r="Y1488">
        <f>IF($R1488="","",IF(COUNTIF(명단표[이름|과],$X1488)=1,"명단 일치",IF(AND(COUNTIF(명단표[이름|과],$X1488)=0,COUNTIF(명단표[이름],$R1488)=1),"명단 일치(이름만, 과 다름)",IF(COUNTIF(명단표[이름],$R1488)=0,IF(COUNTIF(기본자료표[이름],$R1488)&gt;0,"명단에 없음(기본자료에는 있음)","명단에 없음"),"동명이인 확인"))))</f>
        <v/>
      </c>
      <c r="Z1488">
        <f>IF($R1488="","",IF($S1488&lt;0,"⚠"&amp;INDEX('입력_구리근무자명단'!$A1486:$ZZ1486,1,$E$2+2),TEXT($S1488,"yyyy-mm-dd")))</f>
        <v/>
      </c>
      <c r="AA1488">
        <f>IF($R1488="","",IF($T1488&lt;0,"⚠"&amp;INDEX('입력_구리근무자명단'!$A1486:$ZZ1486,1,$E$2+3),TEXT($T1488,"yyyy-mm-dd")))</f>
        <v/>
      </c>
      <c r="AB1488">
        <f>AB1487+IF($R1488="",0,1)</f>
        <v/>
      </c>
      <c r="AC1488">
        <f>IF($R1488="","",$AB1488)</f>
        <v/>
      </c>
    </row>
    <row r="1489">
      <c r="O1489">
        <f>1487</f>
        <v/>
      </c>
      <c r="P1489">
        <f>IF(TRIM('입력_구리근무자명단'!$A1487&amp;"")&lt;&gt;"",TRIM('입력_구리근무자명단'!$A1487&amp;""),P1488)</f>
        <v/>
      </c>
      <c r="Q1489">
        <f>'입력_구리근무자명단'!$B1487&amp;""</f>
        <v/>
      </c>
      <c r="R1489">
        <f>IF($E$2="","",TRIM(INDEX('입력_구리근무자명단'!$A1487:$ZZ1487,1,$E$2+IF($G$2="확정",1,0))&amp;""))</f>
        <v/>
      </c>
      <c r="S1489">
        <f>IF($R1489="","",IF(INDEX('입력_구리근무자명단'!$A1487:$ZZ1487,1,$E$2+2)&amp;""="",급여기준월,IF(ISNUMBER(INDEX('입력_구리근무자명단'!$A1487:$ZZ1487,1,$E$2+2)),INDEX('입력_구리근무자명단'!$A1487:$ZZ1487,1,$E$2+2),IFERROR(DATE(VALUE(LEFT(INDEX('입력_구리근무자명단'!$A1487:$ZZ1487,1,$E$2+2),4)),VALUE(MID(INDEX('입력_구리근무자명단'!$A1487:$ZZ1487,1,$E$2+2),6,2)),VALUE(MID(INDEX('입력_구리근무자명단'!$A1487:$ZZ1487,1,$E$2+2),9,2))),-1))))</f>
        <v/>
      </c>
      <c r="T1489">
        <f>IF($R1489="","",IF(INDEX('입력_구리근무자명단'!$A1487:$ZZ1487,1,$E$2+3)&amp;""="",EOMONTH(급여기준월,0),IF(ISNUMBER(INDEX('입력_구리근무자명단'!$A1487:$ZZ1487,1,$E$2+3)),INDEX('입력_구리근무자명단'!$A1487:$ZZ1487,1,$E$2+3),IFERROR(DATE(VALUE(LEFT(INDEX('입력_구리근무자명단'!$A1487:$ZZ1487,1,$E$2+3),4)),VALUE(MID(INDEX('입력_구리근무자명단'!$A1487:$ZZ1487,1,$E$2+3),6,2)),VALUE(MID(INDEX('입력_구리근무자명단'!$A1487:$ZZ1487,1,$E$2+3),9,2))),-1))))</f>
        <v/>
      </c>
      <c r="U1489">
        <f>IF($R1489="","",IF(OR($S1489&lt;0,$T1489&lt;0),0,MAX(0,MIN($T1489,EOMONTH(급여기준월,0))-MAX($S1489,급여기준월)+1)))</f>
        <v/>
      </c>
      <c r="V1489">
        <f>IF($R1489="","",TRIM(INDEX('입력_구리근무자명단'!$A1487:$ZZ1487,1,$E$2+5)&amp;""))</f>
        <v/>
      </c>
      <c r="W1489">
        <f>IF(ISNUMBER(SEARCH("구리독자",$V1489)),"구리독자","")</f>
        <v/>
      </c>
      <c r="X1489">
        <f>IF($R1489="","",$R1489&amp;"|"&amp;IF(OR($Q1489="인턴",ISNUMBER(SEARCH("수련교육부",$P1489))),"인턴",$P1489))</f>
        <v/>
      </c>
      <c r="Y1489">
        <f>IF($R1489="","",IF(COUNTIF(명단표[이름|과],$X1489)=1,"명단 일치",IF(AND(COUNTIF(명단표[이름|과],$X1489)=0,COUNTIF(명단표[이름],$R1489)=1),"명단 일치(이름만, 과 다름)",IF(COUNTIF(명단표[이름],$R1489)=0,IF(COUNTIF(기본자료표[이름],$R1489)&gt;0,"명단에 없음(기본자료에는 있음)","명단에 없음"),"동명이인 확인"))))</f>
        <v/>
      </c>
      <c r="Z1489">
        <f>IF($R1489="","",IF($S1489&lt;0,"⚠"&amp;INDEX('입력_구리근무자명단'!$A1487:$ZZ1487,1,$E$2+2),TEXT($S1489,"yyyy-mm-dd")))</f>
        <v/>
      </c>
      <c r="AA1489">
        <f>IF($R1489="","",IF($T1489&lt;0,"⚠"&amp;INDEX('입력_구리근무자명단'!$A1487:$ZZ1487,1,$E$2+3),TEXT($T1489,"yyyy-mm-dd")))</f>
        <v/>
      </c>
      <c r="AB1489">
        <f>AB1488+IF($R1489="",0,1)</f>
        <v/>
      </c>
      <c r="AC1489">
        <f>IF($R1489="","",$AB1489)</f>
        <v/>
      </c>
    </row>
    <row r="1490">
      <c r="O1490">
        <f>1488</f>
        <v/>
      </c>
      <c r="P1490">
        <f>IF(TRIM('입력_구리근무자명단'!$A1488&amp;"")&lt;&gt;"",TRIM('입력_구리근무자명단'!$A1488&amp;""),P1489)</f>
        <v/>
      </c>
      <c r="Q1490">
        <f>'입력_구리근무자명단'!$B1488&amp;""</f>
        <v/>
      </c>
      <c r="R1490">
        <f>IF($E$2="","",TRIM(INDEX('입력_구리근무자명단'!$A1488:$ZZ1488,1,$E$2+IF($G$2="확정",1,0))&amp;""))</f>
        <v/>
      </c>
      <c r="S1490">
        <f>IF($R1490="","",IF(INDEX('입력_구리근무자명단'!$A1488:$ZZ1488,1,$E$2+2)&amp;""="",급여기준월,IF(ISNUMBER(INDEX('입력_구리근무자명단'!$A1488:$ZZ1488,1,$E$2+2)),INDEX('입력_구리근무자명단'!$A1488:$ZZ1488,1,$E$2+2),IFERROR(DATE(VALUE(LEFT(INDEX('입력_구리근무자명단'!$A1488:$ZZ1488,1,$E$2+2),4)),VALUE(MID(INDEX('입력_구리근무자명단'!$A1488:$ZZ1488,1,$E$2+2),6,2)),VALUE(MID(INDEX('입력_구리근무자명단'!$A1488:$ZZ1488,1,$E$2+2),9,2))),-1))))</f>
        <v/>
      </c>
      <c r="T1490">
        <f>IF($R1490="","",IF(INDEX('입력_구리근무자명단'!$A1488:$ZZ1488,1,$E$2+3)&amp;""="",EOMONTH(급여기준월,0),IF(ISNUMBER(INDEX('입력_구리근무자명단'!$A1488:$ZZ1488,1,$E$2+3)),INDEX('입력_구리근무자명단'!$A1488:$ZZ1488,1,$E$2+3),IFERROR(DATE(VALUE(LEFT(INDEX('입력_구리근무자명단'!$A1488:$ZZ1488,1,$E$2+3),4)),VALUE(MID(INDEX('입력_구리근무자명단'!$A1488:$ZZ1488,1,$E$2+3),6,2)),VALUE(MID(INDEX('입력_구리근무자명단'!$A1488:$ZZ1488,1,$E$2+3),9,2))),-1))))</f>
        <v/>
      </c>
      <c r="U1490">
        <f>IF($R1490="","",IF(OR($S1490&lt;0,$T1490&lt;0),0,MAX(0,MIN($T1490,EOMONTH(급여기준월,0))-MAX($S1490,급여기준월)+1)))</f>
        <v/>
      </c>
      <c r="V1490">
        <f>IF($R1490="","",TRIM(INDEX('입력_구리근무자명단'!$A1488:$ZZ1488,1,$E$2+5)&amp;""))</f>
        <v/>
      </c>
      <c r="W1490">
        <f>IF(ISNUMBER(SEARCH("구리독자",$V1490)),"구리독자","")</f>
        <v/>
      </c>
      <c r="X1490">
        <f>IF($R1490="","",$R1490&amp;"|"&amp;IF(OR($Q1490="인턴",ISNUMBER(SEARCH("수련교육부",$P1490))),"인턴",$P1490))</f>
        <v/>
      </c>
      <c r="Y1490">
        <f>IF($R1490="","",IF(COUNTIF(명단표[이름|과],$X1490)=1,"명단 일치",IF(AND(COUNTIF(명단표[이름|과],$X1490)=0,COUNTIF(명단표[이름],$R1490)=1),"명단 일치(이름만, 과 다름)",IF(COUNTIF(명단표[이름],$R1490)=0,IF(COUNTIF(기본자료표[이름],$R1490)&gt;0,"명단에 없음(기본자료에는 있음)","명단에 없음"),"동명이인 확인"))))</f>
        <v/>
      </c>
      <c r="Z1490">
        <f>IF($R1490="","",IF($S1490&lt;0,"⚠"&amp;INDEX('입력_구리근무자명단'!$A1488:$ZZ1488,1,$E$2+2),TEXT($S1490,"yyyy-mm-dd")))</f>
        <v/>
      </c>
      <c r="AA1490">
        <f>IF($R1490="","",IF($T1490&lt;0,"⚠"&amp;INDEX('입력_구리근무자명단'!$A1488:$ZZ1488,1,$E$2+3),TEXT($T1490,"yyyy-mm-dd")))</f>
        <v/>
      </c>
      <c r="AB1490">
        <f>AB1489+IF($R1490="",0,1)</f>
        <v/>
      </c>
      <c r="AC1490">
        <f>IF($R1490="","",$AB1490)</f>
        <v/>
      </c>
    </row>
    <row r="1491">
      <c r="O1491">
        <f>1489</f>
        <v/>
      </c>
      <c r="P1491">
        <f>IF(TRIM('입력_구리근무자명단'!$A1489&amp;"")&lt;&gt;"",TRIM('입력_구리근무자명단'!$A1489&amp;""),P1490)</f>
        <v/>
      </c>
      <c r="Q1491">
        <f>'입력_구리근무자명단'!$B1489&amp;""</f>
        <v/>
      </c>
      <c r="R1491">
        <f>IF($E$2="","",TRIM(INDEX('입력_구리근무자명단'!$A1489:$ZZ1489,1,$E$2+IF($G$2="확정",1,0))&amp;""))</f>
        <v/>
      </c>
      <c r="S1491">
        <f>IF($R1491="","",IF(INDEX('입력_구리근무자명단'!$A1489:$ZZ1489,1,$E$2+2)&amp;""="",급여기준월,IF(ISNUMBER(INDEX('입력_구리근무자명단'!$A1489:$ZZ1489,1,$E$2+2)),INDEX('입력_구리근무자명단'!$A1489:$ZZ1489,1,$E$2+2),IFERROR(DATE(VALUE(LEFT(INDEX('입력_구리근무자명단'!$A1489:$ZZ1489,1,$E$2+2),4)),VALUE(MID(INDEX('입력_구리근무자명단'!$A1489:$ZZ1489,1,$E$2+2),6,2)),VALUE(MID(INDEX('입력_구리근무자명단'!$A1489:$ZZ1489,1,$E$2+2),9,2))),-1))))</f>
        <v/>
      </c>
      <c r="T1491">
        <f>IF($R1491="","",IF(INDEX('입력_구리근무자명단'!$A1489:$ZZ1489,1,$E$2+3)&amp;""="",EOMONTH(급여기준월,0),IF(ISNUMBER(INDEX('입력_구리근무자명단'!$A1489:$ZZ1489,1,$E$2+3)),INDEX('입력_구리근무자명단'!$A1489:$ZZ1489,1,$E$2+3),IFERROR(DATE(VALUE(LEFT(INDEX('입력_구리근무자명단'!$A1489:$ZZ1489,1,$E$2+3),4)),VALUE(MID(INDEX('입력_구리근무자명단'!$A1489:$ZZ1489,1,$E$2+3),6,2)),VALUE(MID(INDEX('입력_구리근무자명단'!$A1489:$ZZ1489,1,$E$2+3),9,2))),-1))))</f>
        <v/>
      </c>
      <c r="U1491">
        <f>IF($R1491="","",IF(OR($S1491&lt;0,$T1491&lt;0),0,MAX(0,MIN($T1491,EOMONTH(급여기준월,0))-MAX($S1491,급여기준월)+1)))</f>
        <v/>
      </c>
      <c r="V1491">
        <f>IF($R1491="","",TRIM(INDEX('입력_구리근무자명단'!$A1489:$ZZ1489,1,$E$2+5)&amp;""))</f>
        <v/>
      </c>
      <c r="W1491">
        <f>IF(ISNUMBER(SEARCH("구리독자",$V1491)),"구리독자","")</f>
        <v/>
      </c>
      <c r="X1491">
        <f>IF($R1491="","",$R1491&amp;"|"&amp;IF(OR($Q1491="인턴",ISNUMBER(SEARCH("수련교육부",$P1491))),"인턴",$P1491))</f>
        <v/>
      </c>
      <c r="Y1491">
        <f>IF($R1491="","",IF(COUNTIF(명단표[이름|과],$X1491)=1,"명단 일치",IF(AND(COUNTIF(명단표[이름|과],$X1491)=0,COUNTIF(명단표[이름],$R1491)=1),"명단 일치(이름만, 과 다름)",IF(COUNTIF(명단표[이름],$R1491)=0,IF(COUNTIF(기본자료표[이름],$R1491)&gt;0,"명단에 없음(기본자료에는 있음)","명단에 없음"),"동명이인 확인"))))</f>
        <v/>
      </c>
      <c r="Z1491">
        <f>IF($R1491="","",IF($S1491&lt;0,"⚠"&amp;INDEX('입력_구리근무자명단'!$A1489:$ZZ1489,1,$E$2+2),TEXT($S1491,"yyyy-mm-dd")))</f>
        <v/>
      </c>
      <c r="AA1491">
        <f>IF($R1491="","",IF($T1491&lt;0,"⚠"&amp;INDEX('입력_구리근무자명단'!$A1489:$ZZ1489,1,$E$2+3),TEXT($T1491,"yyyy-mm-dd")))</f>
        <v/>
      </c>
      <c r="AB1491">
        <f>AB1490+IF($R1491="",0,1)</f>
        <v/>
      </c>
      <c r="AC1491">
        <f>IF($R1491="","",$AB1491)</f>
        <v/>
      </c>
    </row>
    <row r="1492">
      <c r="O1492">
        <f>1490</f>
        <v/>
      </c>
      <c r="P1492">
        <f>IF(TRIM('입력_구리근무자명단'!$A1490&amp;"")&lt;&gt;"",TRIM('입력_구리근무자명단'!$A1490&amp;""),P1491)</f>
        <v/>
      </c>
      <c r="Q1492">
        <f>'입력_구리근무자명단'!$B1490&amp;""</f>
        <v/>
      </c>
      <c r="R1492">
        <f>IF($E$2="","",TRIM(INDEX('입력_구리근무자명단'!$A1490:$ZZ1490,1,$E$2+IF($G$2="확정",1,0))&amp;""))</f>
        <v/>
      </c>
      <c r="S1492">
        <f>IF($R1492="","",IF(INDEX('입력_구리근무자명단'!$A1490:$ZZ1490,1,$E$2+2)&amp;""="",급여기준월,IF(ISNUMBER(INDEX('입력_구리근무자명단'!$A1490:$ZZ1490,1,$E$2+2)),INDEX('입력_구리근무자명단'!$A1490:$ZZ1490,1,$E$2+2),IFERROR(DATE(VALUE(LEFT(INDEX('입력_구리근무자명단'!$A1490:$ZZ1490,1,$E$2+2),4)),VALUE(MID(INDEX('입력_구리근무자명단'!$A1490:$ZZ1490,1,$E$2+2),6,2)),VALUE(MID(INDEX('입력_구리근무자명단'!$A1490:$ZZ1490,1,$E$2+2),9,2))),-1))))</f>
        <v/>
      </c>
      <c r="T1492">
        <f>IF($R1492="","",IF(INDEX('입력_구리근무자명단'!$A1490:$ZZ1490,1,$E$2+3)&amp;""="",EOMONTH(급여기준월,0),IF(ISNUMBER(INDEX('입력_구리근무자명단'!$A1490:$ZZ1490,1,$E$2+3)),INDEX('입력_구리근무자명단'!$A1490:$ZZ1490,1,$E$2+3),IFERROR(DATE(VALUE(LEFT(INDEX('입력_구리근무자명단'!$A1490:$ZZ1490,1,$E$2+3),4)),VALUE(MID(INDEX('입력_구리근무자명단'!$A1490:$ZZ1490,1,$E$2+3),6,2)),VALUE(MID(INDEX('입력_구리근무자명단'!$A1490:$ZZ1490,1,$E$2+3),9,2))),-1))))</f>
        <v/>
      </c>
      <c r="U1492">
        <f>IF($R1492="","",IF(OR($S1492&lt;0,$T1492&lt;0),0,MAX(0,MIN($T1492,EOMONTH(급여기준월,0))-MAX($S1492,급여기준월)+1)))</f>
        <v/>
      </c>
      <c r="V1492">
        <f>IF($R1492="","",TRIM(INDEX('입력_구리근무자명단'!$A1490:$ZZ1490,1,$E$2+5)&amp;""))</f>
        <v/>
      </c>
      <c r="W1492">
        <f>IF(ISNUMBER(SEARCH("구리독자",$V1492)),"구리독자","")</f>
        <v/>
      </c>
      <c r="X1492">
        <f>IF($R1492="","",$R1492&amp;"|"&amp;IF(OR($Q1492="인턴",ISNUMBER(SEARCH("수련교육부",$P1492))),"인턴",$P1492))</f>
        <v/>
      </c>
      <c r="Y1492">
        <f>IF($R1492="","",IF(COUNTIF(명단표[이름|과],$X1492)=1,"명단 일치",IF(AND(COUNTIF(명단표[이름|과],$X1492)=0,COUNTIF(명단표[이름],$R1492)=1),"명단 일치(이름만, 과 다름)",IF(COUNTIF(명단표[이름],$R1492)=0,IF(COUNTIF(기본자료표[이름],$R1492)&gt;0,"명단에 없음(기본자료에는 있음)","명단에 없음"),"동명이인 확인"))))</f>
        <v/>
      </c>
      <c r="Z1492">
        <f>IF($R1492="","",IF($S1492&lt;0,"⚠"&amp;INDEX('입력_구리근무자명단'!$A1490:$ZZ1490,1,$E$2+2),TEXT($S1492,"yyyy-mm-dd")))</f>
        <v/>
      </c>
      <c r="AA1492">
        <f>IF($R1492="","",IF($T1492&lt;0,"⚠"&amp;INDEX('입력_구리근무자명단'!$A1490:$ZZ1490,1,$E$2+3),TEXT($T1492,"yyyy-mm-dd")))</f>
        <v/>
      </c>
      <c r="AB1492">
        <f>AB1491+IF($R1492="",0,1)</f>
        <v/>
      </c>
      <c r="AC1492">
        <f>IF($R1492="","",$AB1492)</f>
        <v/>
      </c>
    </row>
    <row r="1493">
      <c r="O1493">
        <f>1491</f>
        <v/>
      </c>
      <c r="P1493">
        <f>IF(TRIM('입력_구리근무자명단'!$A1491&amp;"")&lt;&gt;"",TRIM('입력_구리근무자명단'!$A1491&amp;""),P1492)</f>
        <v/>
      </c>
      <c r="Q1493">
        <f>'입력_구리근무자명단'!$B1491&amp;""</f>
        <v/>
      </c>
      <c r="R1493">
        <f>IF($E$2="","",TRIM(INDEX('입력_구리근무자명단'!$A1491:$ZZ1491,1,$E$2+IF($G$2="확정",1,0))&amp;""))</f>
        <v/>
      </c>
      <c r="S1493">
        <f>IF($R1493="","",IF(INDEX('입력_구리근무자명단'!$A1491:$ZZ1491,1,$E$2+2)&amp;""="",급여기준월,IF(ISNUMBER(INDEX('입력_구리근무자명단'!$A1491:$ZZ1491,1,$E$2+2)),INDEX('입력_구리근무자명단'!$A1491:$ZZ1491,1,$E$2+2),IFERROR(DATE(VALUE(LEFT(INDEX('입력_구리근무자명단'!$A1491:$ZZ1491,1,$E$2+2),4)),VALUE(MID(INDEX('입력_구리근무자명단'!$A1491:$ZZ1491,1,$E$2+2),6,2)),VALUE(MID(INDEX('입력_구리근무자명단'!$A1491:$ZZ1491,1,$E$2+2),9,2))),-1))))</f>
        <v/>
      </c>
      <c r="T1493">
        <f>IF($R1493="","",IF(INDEX('입력_구리근무자명단'!$A1491:$ZZ1491,1,$E$2+3)&amp;""="",EOMONTH(급여기준월,0),IF(ISNUMBER(INDEX('입력_구리근무자명단'!$A1491:$ZZ1491,1,$E$2+3)),INDEX('입력_구리근무자명단'!$A1491:$ZZ1491,1,$E$2+3),IFERROR(DATE(VALUE(LEFT(INDEX('입력_구리근무자명단'!$A1491:$ZZ1491,1,$E$2+3),4)),VALUE(MID(INDEX('입력_구리근무자명단'!$A1491:$ZZ1491,1,$E$2+3),6,2)),VALUE(MID(INDEX('입력_구리근무자명단'!$A1491:$ZZ1491,1,$E$2+3),9,2))),-1))))</f>
        <v/>
      </c>
      <c r="U1493">
        <f>IF($R1493="","",IF(OR($S1493&lt;0,$T1493&lt;0),0,MAX(0,MIN($T1493,EOMONTH(급여기준월,0))-MAX($S1493,급여기준월)+1)))</f>
        <v/>
      </c>
      <c r="V1493">
        <f>IF($R1493="","",TRIM(INDEX('입력_구리근무자명단'!$A1491:$ZZ1491,1,$E$2+5)&amp;""))</f>
        <v/>
      </c>
      <c r="W1493">
        <f>IF(ISNUMBER(SEARCH("구리독자",$V1493)),"구리독자","")</f>
        <v/>
      </c>
      <c r="X1493">
        <f>IF($R1493="","",$R1493&amp;"|"&amp;IF(OR($Q1493="인턴",ISNUMBER(SEARCH("수련교육부",$P1493))),"인턴",$P1493))</f>
        <v/>
      </c>
      <c r="Y1493">
        <f>IF($R1493="","",IF(COUNTIF(명단표[이름|과],$X1493)=1,"명단 일치",IF(AND(COUNTIF(명단표[이름|과],$X1493)=0,COUNTIF(명단표[이름],$R1493)=1),"명단 일치(이름만, 과 다름)",IF(COUNTIF(명단표[이름],$R1493)=0,IF(COUNTIF(기본자료표[이름],$R1493)&gt;0,"명단에 없음(기본자료에는 있음)","명단에 없음"),"동명이인 확인"))))</f>
        <v/>
      </c>
      <c r="Z1493">
        <f>IF($R1493="","",IF($S1493&lt;0,"⚠"&amp;INDEX('입력_구리근무자명단'!$A1491:$ZZ1491,1,$E$2+2),TEXT($S1493,"yyyy-mm-dd")))</f>
        <v/>
      </c>
      <c r="AA1493">
        <f>IF($R1493="","",IF($T1493&lt;0,"⚠"&amp;INDEX('입력_구리근무자명단'!$A1491:$ZZ1491,1,$E$2+3),TEXT($T1493,"yyyy-mm-dd")))</f>
        <v/>
      </c>
      <c r="AB1493">
        <f>AB1492+IF($R1493="",0,1)</f>
        <v/>
      </c>
      <c r="AC1493">
        <f>IF($R1493="","",$AB1493)</f>
        <v/>
      </c>
    </row>
    <row r="1494">
      <c r="O1494">
        <f>1492</f>
        <v/>
      </c>
      <c r="P1494">
        <f>IF(TRIM('입력_구리근무자명단'!$A1492&amp;"")&lt;&gt;"",TRIM('입력_구리근무자명단'!$A1492&amp;""),P1493)</f>
        <v/>
      </c>
      <c r="Q1494">
        <f>'입력_구리근무자명단'!$B1492&amp;""</f>
        <v/>
      </c>
      <c r="R1494">
        <f>IF($E$2="","",TRIM(INDEX('입력_구리근무자명단'!$A1492:$ZZ1492,1,$E$2+IF($G$2="확정",1,0))&amp;""))</f>
        <v/>
      </c>
      <c r="S1494">
        <f>IF($R1494="","",IF(INDEX('입력_구리근무자명단'!$A1492:$ZZ1492,1,$E$2+2)&amp;""="",급여기준월,IF(ISNUMBER(INDEX('입력_구리근무자명단'!$A1492:$ZZ1492,1,$E$2+2)),INDEX('입력_구리근무자명단'!$A1492:$ZZ1492,1,$E$2+2),IFERROR(DATE(VALUE(LEFT(INDEX('입력_구리근무자명단'!$A1492:$ZZ1492,1,$E$2+2),4)),VALUE(MID(INDEX('입력_구리근무자명단'!$A1492:$ZZ1492,1,$E$2+2),6,2)),VALUE(MID(INDEX('입력_구리근무자명단'!$A1492:$ZZ1492,1,$E$2+2),9,2))),-1))))</f>
        <v/>
      </c>
      <c r="T1494">
        <f>IF($R1494="","",IF(INDEX('입력_구리근무자명단'!$A1492:$ZZ1492,1,$E$2+3)&amp;""="",EOMONTH(급여기준월,0),IF(ISNUMBER(INDEX('입력_구리근무자명단'!$A1492:$ZZ1492,1,$E$2+3)),INDEX('입력_구리근무자명단'!$A1492:$ZZ1492,1,$E$2+3),IFERROR(DATE(VALUE(LEFT(INDEX('입력_구리근무자명단'!$A1492:$ZZ1492,1,$E$2+3),4)),VALUE(MID(INDEX('입력_구리근무자명단'!$A1492:$ZZ1492,1,$E$2+3),6,2)),VALUE(MID(INDEX('입력_구리근무자명단'!$A1492:$ZZ1492,1,$E$2+3),9,2))),-1))))</f>
        <v/>
      </c>
      <c r="U1494">
        <f>IF($R1494="","",IF(OR($S1494&lt;0,$T1494&lt;0),0,MAX(0,MIN($T1494,EOMONTH(급여기준월,0))-MAX($S1494,급여기준월)+1)))</f>
        <v/>
      </c>
      <c r="V1494">
        <f>IF($R1494="","",TRIM(INDEX('입력_구리근무자명단'!$A1492:$ZZ1492,1,$E$2+5)&amp;""))</f>
        <v/>
      </c>
      <c r="W1494">
        <f>IF(ISNUMBER(SEARCH("구리독자",$V1494)),"구리독자","")</f>
        <v/>
      </c>
      <c r="X1494">
        <f>IF($R1494="","",$R1494&amp;"|"&amp;IF(OR($Q1494="인턴",ISNUMBER(SEARCH("수련교육부",$P1494))),"인턴",$P1494))</f>
        <v/>
      </c>
      <c r="Y1494">
        <f>IF($R1494="","",IF(COUNTIF(명단표[이름|과],$X1494)=1,"명단 일치",IF(AND(COUNTIF(명단표[이름|과],$X1494)=0,COUNTIF(명단표[이름],$R1494)=1),"명단 일치(이름만, 과 다름)",IF(COUNTIF(명단표[이름],$R1494)=0,IF(COUNTIF(기본자료표[이름],$R1494)&gt;0,"명단에 없음(기본자료에는 있음)","명단에 없음"),"동명이인 확인"))))</f>
        <v/>
      </c>
      <c r="Z1494">
        <f>IF($R1494="","",IF($S1494&lt;0,"⚠"&amp;INDEX('입력_구리근무자명단'!$A1492:$ZZ1492,1,$E$2+2),TEXT($S1494,"yyyy-mm-dd")))</f>
        <v/>
      </c>
      <c r="AA1494">
        <f>IF($R1494="","",IF($T1494&lt;0,"⚠"&amp;INDEX('입력_구리근무자명단'!$A1492:$ZZ1492,1,$E$2+3),TEXT($T1494,"yyyy-mm-dd")))</f>
        <v/>
      </c>
      <c r="AB1494">
        <f>AB1493+IF($R1494="",0,1)</f>
        <v/>
      </c>
      <c r="AC1494">
        <f>IF($R1494="","",$AB1494)</f>
        <v/>
      </c>
    </row>
    <row r="1495">
      <c r="O1495">
        <f>1493</f>
        <v/>
      </c>
      <c r="P1495">
        <f>IF(TRIM('입력_구리근무자명단'!$A1493&amp;"")&lt;&gt;"",TRIM('입력_구리근무자명단'!$A1493&amp;""),P1494)</f>
        <v/>
      </c>
      <c r="Q1495">
        <f>'입력_구리근무자명단'!$B1493&amp;""</f>
        <v/>
      </c>
      <c r="R1495">
        <f>IF($E$2="","",TRIM(INDEX('입력_구리근무자명단'!$A1493:$ZZ1493,1,$E$2+IF($G$2="확정",1,0))&amp;""))</f>
        <v/>
      </c>
      <c r="S1495">
        <f>IF($R1495="","",IF(INDEX('입력_구리근무자명단'!$A1493:$ZZ1493,1,$E$2+2)&amp;""="",급여기준월,IF(ISNUMBER(INDEX('입력_구리근무자명단'!$A1493:$ZZ1493,1,$E$2+2)),INDEX('입력_구리근무자명단'!$A1493:$ZZ1493,1,$E$2+2),IFERROR(DATE(VALUE(LEFT(INDEX('입력_구리근무자명단'!$A1493:$ZZ1493,1,$E$2+2),4)),VALUE(MID(INDEX('입력_구리근무자명단'!$A1493:$ZZ1493,1,$E$2+2),6,2)),VALUE(MID(INDEX('입력_구리근무자명단'!$A1493:$ZZ1493,1,$E$2+2),9,2))),-1))))</f>
        <v/>
      </c>
      <c r="T1495">
        <f>IF($R1495="","",IF(INDEX('입력_구리근무자명단'!$A1493:$ZZ1493,1,$E$2+3)&amp;""="",EOMONTH(급여기준월,0),IF(ISNUMBER(INDEX('입력_구리근무자명단'!$A1493:$ZZ1493,1,$E$2+3)),INDEX('입력_구리근무자명단'!$A1493:$ZZ1493,1,$E$2+3),IFERROR(DATE(VALUE(LEFT(INDEX('입력_구리근무자명단'!$A1493:$ZZ1493,1,$E$2+3),4)),VALUE(MID(INDEX('입력_구리근무자명단'!$A1493:$ZZ1493,1,$E$2+3),6,2)),VALUE(MID(INDEX('입력_구리근무자명단'!$A1493:$ZZ1493,1,$E$2+3),9,2))),-1))))</f>
        <v/>
      </c>
      <c r="U1495">
        <f>IF($R1495="","",IF(OR($S1495&lt;0,$T1495&lt;0),0,MAX(0,MIN($T1495,EOMONTH(급여기준월,0))-MAX($S1495,급여기준월)+1)))</f>
        <v/>
      </c>
      <c r="V1495">
        <f>IF($R1495="","",TRIM(INDEX('입력_구리근무자명단'!$A1493:$ZZ1493,1,$E$2+5)&amp;""))</f>
        <v/>
      </c>
      <c r="W1495">
        <f>IF(ISNUMBER(SEARCH("구리독자",$V1495)),"구리독자","")</f>
        <v/>
      </c>
      <c r="X1495">
        <f>IF($R1495="","",$R1495&amp;"|"&amp;IF(OR($Q1495="인턴",ISNUMBER(SEARCH("수련교육부",$P1495))),"인턴",$P1495))</f>
        <v/>
      </c>
      <c r="Y1495">
        <f>IF($R1495="","",IF(COUNTIF(명단표[이름|과],$X1495)=1,"명단 일치",IF(AND(COUNTIF(명단표[이름|과],$X1495)=0,COUNTIF(명단표[이름],$R1495)=1),"명단 일치(이름만, 과 다름)",IF(COUNTIF(명단표[이름],$R1495)=0,IF(COUNTIF(기본자료표[이름],$R1495)&gt;0,"명단에 없음(기본자료에는 있음)","명단에 없음"),"동명이인 확인"))))</f>
        <v/>
      </c>
      <c r="Z1495">
        <f>IF($R1495="","",IF($S1495&lt;0,"⚠"&amp;INDEX('입력_구리근무자명단'!$A1493:$ZZ1493,1,$E$2+2),TEXT($S1495,"yyyy-mm-dd")))</f>
        <v/>
      </c>
      <c r="AA1495">
        <f>IF($R1495="","",IF($T1495&lt;0,"⚠"&amp;INDEX('입력_구리근무자명단'!$A1493:$ZZ1493,1,$E$2+3),TEXT($T1495,"yyyy-mm-dd")))</f>
        <v/>
      </c>
      <c r="AB1495">
        <f>AB1494+IF($R1495="",0,1)</f>
        <v/>
      </c>
      <c r="AC1495">
        <f>IF($R1495="","",$AB1495)</f>
        <v/>
      </c>
    </row>
    <row r="1496">
      <c r="O1496">
        <f>1494</f>
        <v/>
      </c>
      <c r="P1496">
        <f>IF(TRIM('입력_구리근무자명단'!$A1494&amp;"")&lt;&gt;"",TRIM('입력_구리근무자명단'!$A1494&amp;""),P1495)</f>
        <v/>
      </c>
      <c r="Q1496">
        <f>'입력_구리근무자명단'!$B1494&amp;""</f>
        <v/>
      </c>
      <c r="R1496">
        <f>IF($E$2="","",TRIM(INDEX('입력_구리근무자명단'!$A1494:$ZZ1494,1,$E$2+IF($G$2="확정",1,0))&amp;""))</f>
        <v/>
      </c>
      <c r="S1496">
        <f>IF($R1496="","",IF(INDEX('입력_구리근무자명단'!$A1494:$ZZ1494,1,$E$2+2)&amp;""="",급여기준월,IF(ISNUMBER(INDEX('입력_구리근무자명단'!$A1494:$ZZ1494,1,$E$2+2)),INDEX('입력_구리근무자명단'!$A1494:$ZZ1494,1,$E$2+2),IFERROR(DATE(VALUE(LEFT(INDEX('입력_구리근무자명단'!$A1494:$ZZ1494,1,$E$2+2),4)),VALUE(MID(INDEX('입력_구리근무자명단'!$A1494:$ZZ1494,1,$E$2+2),6,2)),VALUE(MID(INDEX('입력_구리근무자명단'!$A1494:$ZZ1494,1,$E$2+2),9,2))),-1))))</f>
        <v/>
      </c>
      <c r="T1496">
        <f>IF($R1496="","",IF(INDEX('입력_구리근무자명단'!$A1494:$ZZ1494,1,$E$2+3)&amp;""="",EOMONTH(급여기준월,0),IF(ISNUMBER(INDEX('입력_구리근무자명단'!$A1494:$ZZ1494,1,$E$2+3)),INDEX('입력_구리근무자명단'!$A1494:$ZZ1494,1,$E$2+3),IFERROR(DATE(VALUE(LEFT(INDEX('입력_구리근무자명단'!$A1494:$ZZ1494,1,$E$2+3),4)),VALUE(MID(INDEX('입력_구리근무자명단'!$A1494:$ZZ1494,1,$E$2+3),6,2)),VALUE(MID(INDEX('입력_구리근무자명단'!$A1494:$ZZ1494,1,$E$2+3),9,2))),-1))))</f>
        <v/>
      </c>
      <c r="U1496">
        <f>IF($R1496="","",IF(OR($S1496&lt;0,$T1496&lt;0),0,MAX(0,MIN($T1496,EOMONTH(급여기준월,0))-MAX($S1496,급여기준월)+1)))</f>
        <v/>
      </c>
      <c r="V1496">
        <f>IF($R1496="","",TRIM(INDEX('입력_구리근무자명단'!$A1494:$ZZ1494,1,$E$2+5)&amp;""))</f>
        <v/>
      </c>
      <c r="W1496">
        <f>IF(ISNUMBER(SEARCH("구리독자",$V1496)),"구리독자","")</f>
        <v/>
      </c>
      <c r="X1496">
        <f>IF($R1496="","",$R1496&amp;"|"&amp;IF(OR($Q1496="인턴",ISNUMBER(SEARCH("수련교육부",$P1496))),"인턴",$P1496))</f>
        <v/>
      </c>
      <c r="Y1496">
        <f>IF($R1496="","",IF(COUNTIF(명단표[이름|과],$X1496)=1,"명단 일치",IF(AND(COUNTIF(명단표[이름|과],$X1496)=0,COUNTIF(명단표[이름],$R1496)=1),"명단 일치(이름만, 과 다름)",IF(COUNTIF(명단표[이름],$R1496)=0,IF(COUNTIF(기본자료표[이름],$R1496)&gt;0,"명단에 없음(기본자료에는 있음)","명단에 없음"),"동명이인 확인"))))</f>
        <v/>
      </c>
      <c r="Z1496">
        <f>IF($R1496="","",IF($S1496&lt;0,"⚠"&amp;INDEX('입력_구리근무자명단'!$A1494:$ZZ1494,1,$E$2+2),TEXT($S1496,"yyyy-mm-dd")))</f>
        <v/>
      </c>
      <c r="AA1496">
        <f>IF($R1496="","",IF($T1496&lt;0,"⚠"&amp;INDEX('입력_구리근무자명단'!$A1494:$ZZ1494,1,$E$2+3),TEXT($T1496,"yyyy-mm-dd")))</f>
        <v/>
      </c>
      <c r="AB1496">
        <f>AB1495+IF($R1496="",0,1)</f>
        <v/>
      </c>
      <c r="AC1496">
        <f>IF($R1496="","",$AB1496)</f>
        <v/>
      </c>
    </row>
    <row r="1497">
      <c r="O1497">
        <f>1495</f>
        <v/>
      </c>
      <c r="P1497">
        <f>IF(TRIM('입력_구리근무자명단'!$A1495&amp;"")&lt;&gt;"",TRIM('입력_구리근무자명단'!$A1495&amp;""),P1496)</f>
        <v/>
      </c>
      <c r="Q1497">
        <f>'입력_구리근무자명단'!$B1495&amp;""</f>
        <v/>
      </c>
      <c r="R1497">
        <f>IF($E$2="","",TRIM(INDEX('입력_구리근무자명단'!$A1495:$ZZ1495,1,$E$2+IF($G$2="확정",1,0))&amp;""))</f>
        <v/>
      </c>
      <c r="S1497">
        <f>IF($R1497="","",IF(INDEX('입력_구리근무자명단'!$A1495:$ZZ1495,1,$E$2+2)&amp;""="",급여기준월,IF(ISNUMBER(INDEX('입력_구리근무자명단'!$A1495:$ZZ1495,1,$E$2+2)),INDEX('입력_구리근무자명단'!$A1495:$ZZ1495,1,$E$2+2),IFERROR(DATE(VALUE(LEFT(INDEX('입력_구리근무자명단'!$A1495:$ZZ1495,1,$E$2+2),4)),VALUE(MID(INDEX('입력_구리근무자명단'!$A1495:$ZZ1495,1,$E$2+2),6,2)),VALUE(MID(INDEX('입력_구리근무자명단'!$A1495:$ZZ1495,1,$E$2+2),9,2))),-1))))</f>
        <v/>
      </c>
      <c r="T1497">
        <f>IF($R1497="","",IF(INDEX('입력_구리근무자명단'!$A1495:$ZZ1495,1,$E$2+3)&amp;""="",EOMONTH(급여기준월,0),IF(ISNUMBER(INDEX('입력_구리근무자명단'!$A1495:$ZZ1495,1,$E$2+3)),INDEX('입력_구리근무자명단'!$A1495:$ZZ1495,1,$E$2+3),IFERROR(DATE(VALUE(LEFT(INDEX('입력_구리근무자명단'!$A1495:$ZZ1495,1,$E$2+3),4)),VALUE(MID(INDEX('입력_구리근무자명단'!$A1495:$ZZ1495,1,$E$2+3),6,2)),VALUE(MID(INDEX('입력_구리근무자명단'!$A1495:$ZZ1495,1,$E$2+3),9,2))),-1))))</f>
        <v/>
      </c>
      <c r="U1497">
        <f>IF($R1497="","",IF(OR($S1497&lt;0,$T1497&lt;0),0,MAX(0,MIN($T1497,EOMONTH(급여기준월,0))-MAX($S1497,급여기준월)+1)))</f>
        <v/>
      </c>
      <c r="V1497">
        <f>IF($R1497="","",TRIM(INDEX('입력_구리근무자명단'!$A1495:$ZZ1495,1,$E$2+5)&amp;""))</f>
        <v/>
      </c>
      <c r="W1497">
        <f>IF(ISNUMBER(SEARCH("구리독자",$V1497)),"구리독자","")</f>
        <v/>
      </c>
      <c r="X1497">
        <f>IF($R1497="","",$R1497&amp;"|"&amp;IF(OR($Q1497="인턴",ISNUMBER(SEARCH("수련교육부",$P1497))),"인턴",$P1497))</f>
        <v/>
      </c>
      <c r="Y1497">
        <f>IF($R1497="","",IF(COUNTIF(명단표[이름|과],$X1497)=1,"명단 일치",IF(AND(COUNTIF(명단표[이름|과],$X1497)=0,COUNTIF(명단표[이름],$R1497)=1),"명단 일치(이름만, 과 다름)",IF(COUNTIF(명단표[이름],$R1497)=0,IF(COUNTIF(기본자료표[이름],$R1497)&gt;0,"명단에 없음(기본자료에는 있음)","명단에 없음"),"동명이인 확인"))))</f>
        <v/>
      </c>
      <c r="Z1497">
        <f>IF($R1497="","",IF($S1497&lt;0,"⚠"&amp;INDEX('입력_구리근무자명단'!$A1495:$ZZ1495,1,$E$2+2),TEXT($S1497,"yyyy-mm-dd")))</f>
        <v/>
      </c>
      <c r="AA1497">
        <f>IF($R1497="","",IF($T1497&lt;0,"⚠"&amp;INDEX('입력_구리근무자명단'!$A1495:$ZZ1495,1,$E$2+3),TEXT($T1497,"yyyy-mm-dd")))</f>
        <v/>
      </c>
      <c r="AB1497">
        <f>AB1496+IF($R1497="",0,1)</f>
        <v/>
      </c>
      <c r="AC1497">
        <f>IF($R1497="","",$AB1497)</f>
        <v/>
      </c>
    </row>
    <row r="1498">
      <c r="O1498">
        <f>1496</f>
        <v/>
      </c>
      <c r="P1498">
        <f>IF(TRIM('입력_구리근무자명단'!$A1496&amp;"")&lt;&gt;"",TRIM('입력_구리근무자명단'!$A1496&amp;""),P1497)</f>
        <v/>
      </c>
      <c r="Q1498">
        <f>'입력_구리근무자명단'!$B1496&amp;""</f>
        <v/>
      </c>
      <c r="R1498">
        <f>IF($E$2="","",TRIM(INDEX('입력_구리근무자명단'!$A1496:$ZZ1496,1,$E$2+IF($G$2="확정",1,0))&amp;""))</f>
        <v/>
      </c>
      <c r="S1498">
        <f>IF($R1498="","",IF(INDEX('입력_구리근무자명단'!$A1496:$ZZ1496,1,$E$2+2)&amp;""="",급여기준월,IF(ISNUMBER(INDEX('입력_구리근무자명단'!$A1496:$ZZ1496,1,$E$2+2)),INDEX('입력_구리근무자명단'!$A1496:$ZZ1496,1,$E$2+2),IFERROR(DATE(VALUE(LEFT(INDEX('입력_구리근무자명단'!$A1496:$ZZ1496,1,$E$2+2),4)),VALUE(MID(INDEX('입력_구리근무자명단'!$A1496:$ZZ1496,1,$E$2+2),6,2)),VALUE(MID(INDEX('입력_구리근무자명단'!$A1496:$ZZ1496,1,$E$2+2),9,2))),-1))))</f>
        <v/>
      </c>
      <c r="T1498">
        <f>IF($R1498="","",IF(INDEX('입력_구리근무자명단'!$A1496:$ZZ1496,1,$E$2+3)&amp;""="",EOMONTH(급여기준월,0),IF(ISNUMBER(INDEX('입력_구리근무자명단'!$A1496:$ZZ1496,1,$E$2+3)),INDEX('입력_구리근무자명단'!$A1496:$ZZ1496,1,$E$2+3),IFERROR(DATE(VALUE(LEFT(INDEX('입력_구리근무자명단'!$A1496:$ZZ1496,1,$E$2+3),4)),VALUE(MID(INDEX('입력_구리근무자명단'!$A1496:$ZZ1496,1,$E$2+3),6,2)),VALUE(MID(INDEX('입력_구리근무자명단'!$A1496:$ZZ1496,1,$E$2+3),9,2))),-1))))</f>
        <v/>
      </c>
      <c r="U1498">
        <f>IF($R1498="","",IF(OR($S1498&lt;0,$T1498&lt;0),0,MAX(0,MIN($T1498,EOMONTH(급여기준월,0))-MAX($S1498,급여기준월)+1)))</f>
        <v/>
      </c>
      <c r="V1498">
        <f>IF($R1498="","",TRIM(INDEX('입력_구리근무자명단'!$A1496:$ZZ1496,1,$E$2+5)&amp;""))</f>
        <v/>
      </c>
      <c r="W1498">
        <f>IF(ISNUMBER(SEARCH("구리독자",$V1498)),"구리독자","")</f>
        <v/>
      </c>
      <c r="X1498">
        <f>IF($R1498="","",$R1498&amp;"|"&amp;IF(OR($Q1498="인턴",ISNUMBER(SEARCH("수련교육부",$P1498))),"인턴",$P1498))</f>
        <v/>
      </c>
      <c r="Y1498">
        <f>IF($R1498="","",IF(COUNTIF(명단표[이름|과],$X1498)=1,"명단 일치",IF(AND(COUNTIF(명단표[이름|과],$X1498)=0,COUNTIF(명단표[이름],$R1498)=1),"명단 일치(이름만, 과 다름)",IF(COUNTIF(명단표[이름],$R1498)=0,IF(COUNTIF(기본자료표[이름],$R1498)&gt;0,"명단에 없음(기본자료에는 있음)","명단에 없음"),"동명이인 확인"))))</f>
        <v/>
      </c>
      <c r="Z1498">
        <f>IF($R1498="","",IF($S1498&lt;0,"⚠"&amp;INDEX('입력_구리근무자명단'!$A1496:$ZZ1496,1,$E$2+2),TEXT($S1498,"yyyy-mm-dd")))</f>
        <v/>
      </c>
      <c r="AA1498">
        <f>IF($R1498="","",IF($T1498&lt;0,"⚠"&amp;INDEX('입력_구리근무자명단'!$A1496:$ZZ1496,1,$E$2+3),TEXT($T1498,"yyyy-mm-dd")))</f>
        <v/>
      </c>
      <c r="AB1498">
        <f>AB1497+IF($R1498="",0,1)</f>
        <v/>
      </c>
      <c r="AC1498">
        <f>IF($R1498="","",$AB1498)</f>
        <v/>
      </c>
    </row>
    <row r="1499">
      <c r="O1499">
        <f>1497</f>
        <v/>
      </c>
      <c r="P1499">
        <f>IF(TRIM('입력_구리근무자명단'!$A1497&amp;"")&lt;&gt;"",TRIM('입력_구리근무자명단'!$A1497&amp;""),P1498)</f>
        <v/>
      </c>
      <c r="Q1499">
        <f>'입력_구리근무자명단'!$B1497&amp;""</f>
        <v/>
      </c>
      <c r="R1499">
        <f>IF($E$2="","",TRIM(INDEX('입력_구리근무자명단'!$A1497:$ZZ1497,1,$E$2+IF($G$2="확정",1,0))&amp;""))</f>
        <v/>
      </c>
      <c r="S1499">
        <f>IF($R1499="","",IF(INDEX('입력_구리근무자명단'!$A1497:$ZZ1497,1,$E$2+2)&amp;""="",급여기준월,IF(ISNUMBER(INDEX('입력_구리근무자명단'!$A1497:$ZZ1497,1,$E$2+2)),INDEX('입력_구리근무자명단'!$A1497:$ZZ1497,1,$E$2+2),IFERROR(DATE(VALUE(LEFT(INDEX('입력_구리근무자명단'!$A1497:$ZZ1497,1,$E$2+2),4)),VALUE(MID(INDEX('입력_구리근무자명단'!$A1497:$ZZ1497,1,$E$2+2),6,2)),VALUE(MID(INDEX('입력_구리근무자명단'!$A1497:$ZZ1497,1,$E$2+2),9,2))),-1))))</f>
        <v/>
      </c>
      <c r="T1499">
        <f>IF($R1499="","",IF(INDEX('입력_구리근무자명단'!$A1497:$ZZ1497,1,$E$2+3)&amp;""="",EOMONTH(급여기준월,0),IF(ISNUMBER(INDEX('입력_구리근무자명단'!$A1497:$ZZ1497,1,$E$2+3)),INDEX('입력_구리근무자명단'!$A1497:$ZZ1497,1,$E$2+3),IFERROR(DATE(VALUE(LEFT(INDEX('입력_구리근무자명단'!$A1497:$ZZ1497,1,$E$2+3),4)),VALUE(MID(INDEX('입력_구리근무자명단'!$A1497:$ZZ1497,1,$E$2+3),6,2)),VALUE(MID(INDEX('입력_구리근무자명단'!$A1497:$ZZ1497,1,$E$2+3),9,2))),-1))))</f>
        <v/>
      </c>
      <c r="U1499">
        <f>IF($R1499="","",IF(OR($S1499&lt;0,$T1499&lt;0),0,MAX(0,MIN($T1499,EOMONTH(급여기준월,0))-MAX($S1499,급여기준월)+1)))</f>
        <v/>
      </c>
      <c r="V1499">
        <f>IF($R1499="","",TRIM(INDEX('입력_구리근무자명단'!$A1497:$ZZ1497,1,$E$2+5)&amp;""))</f>
        <v/>
      </c>
      <c r="W1499">
        <f>IF(ISNUMBER(SEARCH("구리독자",$V1499)),"구리독자","")</f>
        <v/>
      </c>
      <c r="X1499">
        <f>IF($R1499="","",$R1499&amp;"|"&amp;IF(OR($Q1499="인턴",ISNUMBER(SEARCH("수련교육부",$P1499))),"인턴",$P1499))</f>
        <v/>
      </c>
      <c r="Y1499">
        <f>IF($R1499="","",IF(COUNTIF(명단표[이름|과],$X1499)=1,"명단 일치",IF(AND(COUNTIF(명단표[이름|과],$X1499)=0,COUNTIF(명단표[이름],$R1499)=1),"명단 일치(이름만, 과 다름)",IF(COUNTIF(명단표[이름],$R1499)=0,IF(COUNTIF(기본자료표[이름],$R1499)&gt;0,"명단에 없음(기본자료에는 있음)","명단에 없음"),"동명이인 확인"))))</f>
        <v/>
      </c>
      <c r="Z1499">
        <f>IF($R1499="","",IF($S1499&lt;0,"⚠"&amp;INDEX('입력_구리근무자명단'!$A1497:$ZZ1497,1,$E$2+2),TEXT($S1499,"yyyy-mm-dd")))</f>
        <v/>
      </c>
      <c r="AA1499">
        <f>IF($R1499="","",IF($T1499&lt;0,"⚠"&amp;INDEX('입력_구리근무자명단'!$A1497:$ZZ1497,1,$E$2+3),TEXT($T1499,"yyyy-mm-dd")))</f>
        <v/>
      </c>
      <c r="AB1499">
        <f>AB1498+IF($R1499="",0,1)</f>
        <v/>
      </c>
      <c r="AC1499">
        <f>IF($R1499="","",$AB1499)</f>
        <v/>
      </c>
    </row>
    <row r="1500">
      <c r="O1500">
        <f>1498</f>
        <v/>
      </c>
      <c r="P1500">
        <f>IF(TRIM('입력_구리근무자명단'!$A1498&amp;"")&lt;&gt;"",TRIM('입력_구리근무자명단'!$A1498&amp;""),P1499)</f>
        <v/>
      </c>
      <c r="Q1500">
        <f>'입력_구리근무자명단'!$B1498&amp;""</f>
        <v/>
      </c>
      <c r="R1500">
        <f>IF($E$2="","",TRIM(INDEX('입력_구리근무자명단'!$A1498:$ZZ1498,1,$E$2+IF($G$2="확정",1,0))&amp;""))</f>
        <v/>
      </c>
      <c r="S1500">
        <f>IF($R1500="","",IF(INDEX('입력_구리근무자명단'!$A1498:$ZZ1498,1,$E$2+2)&amp;""="",급여기준월,IF(ISNUMBER(INDEX('입력_구리근무자명단'!$A1498:$ZZ1498,1,$E$2+2)),INDEX('입력_구리근무자명단'!$A1498:$ZZ1498,1,$E$2+2),IFERROR(DATE(VALUE(LEFT(INDEX('입력_구리근무자명단'!$A1498:$ZZ1498,1,$E$2+2),4)),VALUE(MID(INDEX('입력_구리근무자명단'!$A1498:$ZZ1498,1,$E$2+2),6,2)),VALUE(MID(INDEX('입력_구리근무자명단'!$A1498:$ZZ1498,1,$E$2+2),9,2))),-1))))</f>
        <v/>
      </c>
      <c r="T1500">
        <f>IF($R1500="","",IF(INDEX('입력_구리근무자명단'!$A1498:$ZZ1498,1,$E$2+3)&amp;""="",EOMONTH(급여기준월,0),IF(ISNUMBER(INDEX('입력_구리근무자명단'!$A1498:$ZZ1498,1,$E$2+3)),INDEX('입력_구리근무자명단'!$A1498:$ZZ1498,1,$E$2+3),IFERROR(DATE(VALUE(LEFT(INDEX('입력_구리근무자명단'!$A1498:$ZZ1498,1,$E$2+3),4)),VALUE(MID(INDEX('입력_구리근무자명단'!$A1498:$ZZ1498,1,$E$2+3),6,2)),VALUE(MID(INDEX('입력_구리근무자명단'!$A1498:$ZZ1498,1,$E$2+3),9,2))),-1))))</f>
        <v/>
      </c>
      <c r="U1500">
        <f>IF($R1500="","",IF(OR($S1500&lt;0,$T1500&lt;0),0,MAX(0,MIN($T1500,EOMONTH(급여기준월,0))-MAX($S1500,급여기준월)+1)))</f>
        <v/>
      </c>
      <c r="V1500">
        <f>IF($R1500="","",TRIM(INDEX('입력_구리근무자명단'!$A1498:$ZZ1498,1,$E$2+5)&amp;""))</f>
        <v/>
      </c>
      <c r="W1500">
        <f>IF(ISNUMBER(SEARCH("구리독자",$V1500)),"구리독자","")</f>
        <v/>
      </c>
      <c r="X1500">
        <f>IF($R1500="","",$R1500&amp;"|"&amp;IF(OR($Q1500="인턴",ISNUMBER(SEARCH("수련교육부",$P1500))),"인턴",$P1500))</f>
        <v/>
      </c>
      <c r="Y1500">
        <f>IF($R1500="","",IF(COUNTIF(명단표[이름|과],$X1500)=1,"명단 일치",IF(AND(COUNTIF(명단표[이름|과],$X1500)=0,COUNTIF(명단표[이름],$R1500)=1),"명단 일치(이름만, 과 다름)",IF(COUNTIF(명단표[이름],$R1500)=0,IF(COUNTIF(기본자료표[이름],$R1500)&gt;0,"명단에 없음(기본자료에는 있음)","명단에 없음"),"동명이인 확인"))))</f>
        <v/>
      </c>
      <c r="Z1500">
        <f>IF($R1500="","",IF($S1500&lt;0,"⚠"&amp;INDEX('입력_구리근무자명단'!$A1498:$ZZ1498,1,$E$2+2),TEXT($S1500,"yyyy-mm-dd")))</f>
        <v/>
      </c>
      <c r="AA1500">
        <f>IF($R1500="","",IF($T1500&lt;0,"⚠"&amp;INDEX('입력_구리근무자명단'!$A1498:$ZZ1498,1,$E$2+3),TEXT($T1500,"yyyy-mm-dd")))</f>
        <v/>
      </c>
      <c r="AB1500">
        <f>AB1499+IF($R1500="",0,1)</f>
        <v/>
      </c>
      <c r="AC1500">
        <f>IF($R1500="","",$AB1500)</f>
        <v/>
      </c>
    </row>
    <row r="1501">
      <c r="O1501">
        <f>1499</f>
        <v/>
      </c>
      <c r="P1501">
        <f>IF(TRIM('입력_구리근무자명단'!$A1499&amp;"")&lt;&gt;"",TRIM('입력_구리근무자명단'!$A1499&amp;""),P1500)</f>
        <v/>
      </c>
      <c r="Q1501">
        <f>'입력_구리근무자명단'!$B1499&amp;""</f>
        <v/>
      </c>
      <c r="R1501">
        <f>IF($E$2="","",TRIM(INDEX('입력_구리근무자명단'!$A1499:$ZZ1499,1,$E$2+IF($G$2="확정",1,0))&amp;""))</f>
        <v/>
      </c>
      <c r="S1501">
        <f>IF($R1501="","",IF(INDEX('입력_구리근무자명단'!$A1499:$ZZ1499,1,$E$2+2)&amp;""="",급여기준월,IF(ISNUMBER(INDEX('입력_구리근무자명단'!$A1499:$ZZ1499,1,$E$2+2)),INDEX('입력_구리근무자명단'!$A1499:$ZZ1499,1,$E$2+2),IFERROR(DATE(VALUE(LEFT(INDEX('입력_구리근무자명단'!$A1499:$ZZ1499,1,$E$2+2),4)),VALUE(MID(INDEX('입력_구리근무자명단'!$A1499:$ZZ1499,1,$E$2+2),6,2)),VALUE(MID(INDEX('입력_구리근무자명단'!$A1499:$ZZ1499,1,$E$2+2),9,2))),-1))))</f>
        <v/>
      </c>
      <c r="T1501">
        <f>IF($R1501="","",IF(INDEX('입력_구리근무자명단'!$A1499:$ZZ1499,1,$E$2+3)&amp;""="",EOMONTH(급여기준월,0),IF(ISNUMBER(INDEX('입력_구리근무자명단'!$A1499:$ZZ1499,1,$E$2+3)),INDEX('입력_구리근무자명단'!$A1499:$ZZ1499,1,$E$2+3),IFERROR(DATE(VALUE(LEFT(INDEX('입력_구리근무자명단'!$A1499:$ZZ1499,1,$E$2+3),4)),VALUE(MID(INDEX('입력_구리근무자명단'!$A1499:$ZZ1499,1,$E$2+3),6,2)),VALUE(MID(INDEX('입력_구리근무자명단'!$A1499:$ZZ1499,1,$E$2+3),9,2))),-1))))</f>
        <v/>
      </c>
      <c r="U1501">
        <f>IF($R1501="","",IF(OR($S1501&lt;0,$T1501&lt;0),0,MAX(0,MIN($T1501,EOMONTH(급여기준월,0))-MAX($S1501,급여기준월)+1)))</f>
        <v/>
      </c>
      <c r="V1501">
        <f>IF($R1501="","",TRIM(INDEX('입력_구리근무자명단'!$A1499:$ZZ1499,1,$E$2+5)&amp;""))</f>
        <v/>
      </c>
      <c r="W1501">
        <f>IF(ISNUMBER(SEARCH("구리독자",$V1501)),"구리독자","")</f>
        <v/>
      </c>
      <c r="X1501">
        <f>IF($R1501="","",$R1501&amp;"|"&amp;IF(OR($Q1501="인턴",ISNUMBER(SEARCH("수련교육부",$P1501))),"인턴",$P1501))</f>
        <v/>
      </c>
      <c r="Y1501">
        <f>IF($R1501="","",IF(COUNTIF(명단표[이름|과],$X1501)=1,"명단 일치",IF(AND(COUNTIF(명단표[이름|과],$X1501)=0,COUNTIF(명단표[이름],$R1501)=1),"명단 일치(이름만, 과 다름)",IF(COUNTIF(명단표[이름],$R1501)=0,IF(COUNTIF(기본자료표[이름],$R1501)&gt;0,"명단에 없음(기본자료에는 있음)","명단에 없음"),"동명이인 확인"))))</f>
        <v/>
      </c>
      <c r="Z1501">
        <f>IF($R1501="","",IF($S1501&lt;0,"⚠"&amp;INDEX('입력_구리근무자명단'!$A1499:$ZZ1499,1,$E$2+2),TEXT($S1501,"yyyy-mm-dd")))</f>
        <v/>
      </c>
      <c r="AA1501">
        <f>IF($R1501="","",IF($T1501&lt;0,"⚠"&amp;INDEX('입력_구리근무자명단'!$A1499:$ZZ1499,1,$E$2+3),TEXT($T1501,"yyyy-mm-dd")))</f>
        <v/>
      </c>
      <c r="AB1501">
        <f>AB1500+IF($R1501="",0,1)</f>
        <v/>
      </c>
      <c r="AC1501">
        <f>IF($R1501="","",$AB1501)</f>
        <v/>
      </c>
    </row>
    <row r="1502">
      <c r="O1502">
        <f>1500</f>
        <v/>
      </c>
      <c r="P1502">
        <f>IF(TRIM('입력_구리근무자명단'!$A1500&amp;"")&lt;&gt;"",TRIM('입력_구리근무자명단'!$A1500&amp;""),P1501)</f>
        <v/>
      </c>
      <c r="Q1502">
        <f>'입력_구리근무자명단'!$B1500&amp;""</f>
        <v/>
      </c>
      <c r="R1502">
        <f>IF($E$2="","",TRIM(INDEX('입력_구리근무자명단'!$A1500:$ZZ1500,1,$E$2+IF($G$2="확정",1,0))&amp;""))</f>
        <v/>
      </c>
      <c r="S1502">
        <f>IF($R1502="","",IF(INDEX('입력_구리근무자명단'!$A1500:$ZZ1500,1,$E$2+2)&amp;""="",급여기준월,IF(ISNUMBER(INDEX('입력_구리근무자명단'!$A1500:$ZZ1500,1,$E$2+2)),INDEX('입력_구리근무자명단'!$A1500:$ZZ1500,1,$E$2+2),IFERROR(DATE(VALUE(LEFT(INDEX('입력_구리근무자명단'!$A1500:$ZZ1500,1,$E$2+2),4)),VALUE(MID(INDEX('입력_구리근무자명단'!$A1500:$ZZ1500,1,$E$2+2),6,2)),VALUE(MID(INDEX('입력_구리근무자명단'!$A1500:$ZZ1500,1,$E$2+2),9,2))),-1))))</f>
        <v/>
      </c>
      <c r="T1502">
        <f>IF($R1502="","",IF(INDEX('입력_구리근무자명단'!$A1500:$ZZ1500,1,$E$2+3)&amp;""="",EOMONTH(급여기준월,0),IF(ISNUMBER(INDEX('입력_구리근무자명단'!$A1500:$ZZ1500,1,$E$2+3)),INDEX('입력_구리근무자명단'!$A1500:$ZZ1500,1,$E$2+3),IFERROR(DATE(VALUE(LEFT(INDEX('입력_구리근무자명단'!$A1500:$ZZ1500,1,$E$2+3),4)),VALUE(MID(INDEX('입력_구리근무자명단'!$A1500:$ZZ1500,1,$E$2+3),6,2)),VALUE(MID(INDEX('입력_구리근무자명단'!$A1500:$ZZ1500,1,$E$2+3),9,2))),-1))))</f>
        <v/>
      </c>
      <c r="U1502">
        <f>IF($R1502="","",IF(OR($S1502&lt;0,$T1502&lt;0),0,MAX(0,MIN($T1502,EOMONTH(급여기준월,0))-MAX($S1502,급여기준월)+1)))</f>
        <v/>
      </c>
      <c r="V1502">
        <f>IF($R1502="","",TRIM(INDEX('입력_구리근무자명단'!$A1500:$ZZ1500,1,$E$2+5)&amp;""))</f>
        <v/>
      </c>
      <c r="W1502">
        <f>IF(ISNUMBER(SEARCH("구리독자",$V1502)),"구리독자","")</f>
        <v/>
      </c>
      <c r="X1502">
        <f>IF($R1502="","",$R1502&amp;"|"&amp;IF(OR($Q1502="인턴",ISNUMBER(SEARCH("수련교육부",$P1502))),"인턴",$P1502))</f>
        <v/>
      </c>
      <c r="Y1502">
        <f>IF($R1502="","",IF(COUNTIF(명단표[이름|과],$X1502)=1,"명단 일치",IF(AND(COUNTIF(명단표[이름|과],$X1502)=0,COUNTIF(명단표[이름],$R1502)=1),"명단 일치(이름만, 과 다름)",IF(COUNTIF(명단표[이름],$R1502)=0,IF(COUNTIF(기본자료표[이름],$R1502)&gt;0,"명단에 없음(기본자료에는 있음)","명단에 없음"),"동명이인 확인"))))</f>
        <v/>
      </c>
      <c r="Z1502">
        <f>IF($R1502="","",IF($S1502&lt;0,"⚠"&amp;INDEX('입력_구리근무자명단'!$A1500:$ZZ1500,1,$E$2+2),TEXT($S1502,"yyyy-mm-dd")))</f>
        <v/>
      </c>
      <c r="AA1502">
        <f>IF($R1502="","",IF($T1502&lt;0,"⚠"&amp;INDEX('입력_구리근무자명단'!$A1500:$ZZ1500,1,$E$2+3),TEXT($T1502,"yyyy-mm-dd")))</f>
        <v/>
      </c>
      <c r="AB1502">
        <f>AB1501+IF($R1502="",0,1)</f>
        <v/>
      </c>
      <c r="AC1502">
        <f>IF($R1502="","",$AB1502)</f>
        <v/>
      </c>
    </row>
    <row r="1503">
      <c r="O1503">
        <f>1501</f>
        <v/>
      </c>
      <c r="P1503">
        <f>IF(TRIM('입력_구리근무자명단'!$A1501&amp;"")&lt;&gt;"",TRIM('입력_구리근무자명단'!$A1501&amp;""),P1502)</f>
        <v/>
      </c>
      <c r="Q1503">
        <f>'입력_구리근무자명단'!$B1501&amp;""</f>
        <v/>
      </c>
      <c r="R1503">
        <f>IF($E$2="","",TRIM(INDEX('입력_구리근무자명단'!$A1501:$ZZ1501,1,$E$2+IF($G$2="확정",1,0))&amp;""))</f>
        <v/>
      </c>
      <c r="S1503">
        <f>IF($R1503="","",IF(INDEX('입력_구리근무자명단'!$A1501:$ZZ1501,1,$E$2+2)&amp;""="",급여기준월,IF(ISNUMBER(INDEX('입력_구리근무자명단'!$A1501:$ZZ1501,1,$E$2+2)),INDEX('입력_구리근무자명단'!$A1501:$ZZ1501,1,$E$2+2),IFERROR(DATE(VALUE(LEFT(INDEX('입력_구리근무자명단'!$A1501:$ZZ1501,1,$E$2+2),4)),VALUE(MID(INDEX('입력_구리근무자명단'!$A1501:$ZZ1501,1,$E$2+2),6,2)),VALUE(MID(INDEX('입력_구리근무자명단'!$A1501:$ZZ1501,1,$E$2+2),9,2))),-1))))</f>
        <v/>
      </c>
      <c r="T1503">
        <f>IF($R1503="","",IF(INDEX('입력_구리근무자명단'!$A1501:$ZZ1501,1,$E$2+3)&amp;""="",EOMONTH(급여기준월,0),IF(ISNUMBER(INDEX('입력_구리근무자명단'!$A1501:$ZZ1501,1,$E$2+3)),INDEX('입력_구리근무자명단'!$A1501:$ZZ1501,1,$E$2+3),IFERROR(DATE(VALUE(LEFT(INDEX('입력_구리근무자명단'!$A1501:$ZZ1501,1,$E$2+3),4)),VALUE(MID(INDEX('입력_구리근무자명단'!$A1501:$ZZ1501,1,$E$2+3),6,2)),VALUE(MID(INDEX('입력_구리근무자명단'!$A1501:$ZZ1501,1,$E$2+3),9,2))),-1))))</f>
        <v/>
      </c>
      <c r="U1503">
        <f>IF($R1503="","",IF(OR($S1503&lt;0,$T1503&lt;0),0,MAX(0,MIN($T1503,EOMONTH(급여기준월,0))-MAX($S1503,급여기준월)+1)))</f>
        <v/>
      </c>
      <c r="V1503">
        <f>IF($R1503="","",TRIM(INDEX('입력_구리근무자명단'!$A1501:$ZZ1501,1,$E$2+5)&amp;""))</f>
        <v/>
      </c>
      <c r="W1503">
        <f>IF(ISNUMBER(SEARCH("구리독자",$V1503)),"구리독자","")</f>
        <v/>
      </c>
      <c r="X1503">
        <f>IF($R1503="","",$R1503&amp;"|"&amp;IF(OR($Q1503="인턴",ISNUMBER(SEARCH("수련교육부",$P1503))),"인턴",$P1503))</f>
        <v/>
      </c>
      <c r="Y1503">
        <f>IF($R1503="","",IF(COUNTIF(명단표[이름|과],$X1503)=1,"명단 일치",IF(AND(COUNTIF(명단표[이름|과],$X1503)=0,COUNTIF(명단표[이름],$R1503)=1),"명단 일치(이름만, 과 다름)",IF(COUNTIF(명단표[이름],$R1503)=0,IF(COUNTIF(기본자료표[이름],$R1503)&gt;0,"명단에 없음(기본자료에는 있음)","명단에 없음"),"동명이인 확인"))))</f>
        <v/>
      </c>
      <c r="Z1503">
        <f>IF($R1503="","",IF($S1503&lt;0,"⚠"&amp;INDEX('입력_구리근무자명단'!$A1501:$ZZ1501,1,$E$2+2),TEXT($S1503,"yyyy-mm-dd")))</f>
        <v/>
      </c>
      <c r="AA1503">
        <f>IF($R1503="","",IF($T1503&lt;0,"⚠"&amp;INDEX('입력_구리근무자명단'!$A1501:$ZZ1501,1,$E$2+3),TEXT($T1503,"yyyy-mm-dd")))</f>
        <v/>
      </c>
      <c r="AB1503">
        <f>AB1502+IF($R1503="",0,1)</f>
        <v/>
      </c>
      <c r="AC1503">
        <f>IF($R1503="","",$AB1503)</f>
        <v/>
      </c>
    </row>
    <row r="1504">
      <c r="O1504">
        <f>1502</f>
        <v/>
      </c>
      <c r="P1504">
        <f>IF(TRIM('입력_구리근무자명단'!$A1502&amp;"")&lt;&gt;"",TRIM('입력_구리근무자명단'!$A1502&amp;""),P1503)</f>
        <v/>
      </c>
      <c r="Q1504">
        <f>'입력_구리근무자명단'!$B1502&amp;""</f>
        <v/>
      </c>
      <c r="R1504">
        <f>IF($E$2="","",TRIM(INDEX('입력_구리근무자명단'!$A1502:$ZZ1502,1,$E$2+IF($G$2="확정",1,0))&amp;""))</f>
        <v/>
      </c>
      <c r="S1504">
        <f>IF($R1504="","",IF(INDEX('입력_구리근무자명단'!$A1502:$ZZ1502,1,$E$2+2)&amp;""="",급여기준월,IF(ISNUMBER(INDEX('입력_구리근무자명단'!$A1502:$ZZ1502,1,$E$2+2)),INDEX('입력_구리근무자명단'!$A1502:$ZZ1502,1,$E$2+2),IFERROR(DATE(VALUE(LEFT(INDEX('입력_구리근무자명단'!$A1502:$ZZ1502,1,$E$2+2),4)),VALUE(MID(INDEX('입력_구리근무자명단'!$A1502:$ZZ1502,1,$E$2+2),6,2)),VALUE(MID(INDEX('입력_구리근무자명단'!$A1502:$ZZ1502,1,$E$2+2),9,2))),-1))))</f>
        <v/>
      </c>
      <c r="T1504">
        <f>IF($R1504="","",IF(INDEX('입력_구리근무자명단'!$A1502:$ZZ1502,1,$E$2+3)&amp;""="",EOMONTH(급여기준월,0),IF(ISNUMBER(INDEX('입력_구리근무자명단'!$A1502:$ZZ1502,1,$E$2+3)),INDEX('입력_구리근무자명단'!$A1502:$ZZ1502,1,$E$2+3),IFERROR(DATE(VALUE(LEFT(INDEX('입력_구리근무자명단'!$A1502:$ZZ1502,1,$E$2+3),4)),VALUE(MID(INDEX('입력_구리근무자명단'!$A1502:$ZZ1502,1,$E$2+3),6,2)),VALUE(MID(INDEX('입력_구리근무자명단'!$A1502:$ZZ1502,1,$E$2+3),9,2))),-1))))</f>
        <v/>
      </c>
      <c r="U1504">
        <f>IF($R1504="","",IF(OR($S1504&lt;0,$T1504&lt;0),0,MAX(0,MIN($T1504,EOMONTH(급여기준월,0))-MAX($S1504,급여기준월)+1)))</f>
        <v/>
      </c>
      <c r="V1504">
        <f>IF($R1504="","",TRIM(INDEX('입력_구리근무자명단'!$A1502:$ZZ1502,1,$E$2+5)&amp;""))</f>
        <v/>
      </c>
      <c r="W1504">
        <f>IF(ISNUMBER(SEARCH("구리독자",$V1504)),"구리독자","")</f>
        <v/>
      </c>
      <c r="X1504">
        <f>IF($R1504="","",$R1504&amp;"|"&amp;IF(OR($Q1504="인턴",ISNUMBER(SEARCH("수련교육부",$P1504))),"인턴",$P1504))</f>
        <v/>
      </c>
      <c r="Y1504">
        <f>IF($R1504="","",IF(COUNTIF(명단표[이름|과],$X1504)=1,"명단 일치",IF(AND(COUNTIF(명단표[이름|과],$X1504)=0,COUNTIF(명단표[이름],$R1504)=1),"명단 일치(이름만, 과 다름)",IF(COUNTIF(명단표[이름],$R1504)=0,IF(COUNTIF(기본자료표[이름],$R1504)&gt;0,"명단에 없음(기본자료에는 있음)","명단에 없음"),"동명이인 확인"))))</f>
        <v/>
      </c>
      <c r="Z1504">
        <f>IF($R1504="","",IF($S1504&lt;0,"⚠"&amp;INDEX('입력_구리근무자명단'!$A1502:$ZZ1502,1,$E$2+2),TEXT($S1504,"yyyy-mm-dd")))</f>
        <v/>
      </c>
      <c r="AA1504">
        <f>IF($R1504="","",IF($T1504&lt;0,"⚠"&amp;INDEX('입력_구리근무자명단'!$A1502:$ZZ1502,1,$E$2+3),TEXT($T1504,"yyyy-mm-dd")))</f>
        <v/>
      </c>
      <c r="AB1504">
        <f>AB1503+IF($R1504="",0,1)</f>
        <v/>
      </c>
      <c r="AC1504">
        <f>IF($R1504="","",$AB1504)</f>
        <v/>
      </c>
    </row>
    <row r="1505">
      <c r="O1505">
        <f>1503</f>
        <v/>
      </c>
      <c r="P1505">
        <f>IF(TRIM('입력_구리근무자명단'!$A1503&amp;"")&lt;&gt;"",TRIM('입력_구리근무자명단'!$A1503&amp;""),P1504)</f>
        <v/>
      </c>
      <c r="Q1505">
        <f>'입력_구리근무자명단'!$B1503&amp;""</f>
        <v/>
      </c>
      <c r="R1505">
        <f>IF($E$2="","",TRIM(INDEX('입력_구리근무자명단'!$A1503:$ZZ1503,1,$E$2+IF($G$2="확정",1,0))&amp;""))</f>
        <v/>
      </c>
      <c r="S1505">
        <f>IF($R1505="","",IF(INDEX('입력_구리근무자명단'!$A1503:$ZZ1503,1,$E$2+2)&amp;""="",급여기준월,IF(ISNUMBER(INDEX('입력_구리근무자명단'!$A1503:$ZZ1503,1,$E$2+2)),INDEX('입력_구리근무자명단'!$A1503:$ZZ1503,1,$E$2+2),IFERROR(DATE(VALUE(LEFT(INDEX('입력_구리근무자명단'!$A1503:$ZZ1503,1,$E$2+2),4)),VALUE(MID(INDEX('입력_구리근무자명단'!$A1503:$ZZ1503,1,$E$2+2),6,2)),VALUE(MID(INDEX('입력_구리근무자명단'!$A1503:$ZZ1503,1,$E$2+2),9,2))),-1))))</f>
        <v/>
      </c>
      <c r="T1505">
        <f>IF($R1505="","",IF(INDEX('입력_구리근무자명단'!$A1503:$ZZ1503,1,$E$2+3)&amp;""="",EOMONTH(급여기준월,0),IF(ISNUMBER(INDEX('입력_구리근무자명단'!$A1503:$ZZ1503,1,$E$2+3)),INDEX('입력_구리근무자명단'!$A1503:$ZZ1503,1,$E$2+3),IFERROR(DATE(VALUE(LEFT(INDEX('입력_구리근무자명단'!$A1503:$ZZ1503,1,$E$2+3),4)),VALUE(MID(INDEX('입력_구리근무자명단'!$A1503:$ZZ1503,1,$E$2+3),6,2)),VALUE(MID(INDEX('입력_구리근무자명단'!$A1503:$ZZ1503,1,$E$2+3),9,2))),-1))))</f>
        <v/>
      </c>
      <c r="U1505">
        <f>IF($R1505="","",IF(OR($S1505&lt;0,$T1505&lt;0),0,MAX(0,MIN($T1505,EOMONTH(급여기준월,0))-MAX($S1505,급여기준월)+1)))</f>
        <v/>
      </c>
      <c r="V1505">
        <f>IF($R1505="","",TRIM(INDEX('입력_구리근무자명단'!$A1503:$ZZ1503,1,$E$2+5)&amp;""))</f>
        <v/>
      </c>
      <c r="W1505">
        <f>IF(ISNUMBER(SEARCH("구리독자",$V1505)),"구리독자","")</f>
        <v/>
      </c>
      <c r="X1505">
        <f>IF($R1505="","",$R1505&amp;"|"&amp;IF(OR($Q1505="인턴",ISNUMBER(SEARCH("수련교육부",$P1505))),"인턴",$P1505))</f>
        <v/>
      </c>
      <c r="Y1505">
        <f>IF($R1505="","",IF(COUNTIF(명단표[이름|과],$X1505)=1,"명단 일치",IF(AND(COUNTIF(명단표[이름|과],$X1505)=0,COUNTIF(명단표[이름],$R1505)=1),"명단 일치(이름만, 과 다름)",IF(COUNTIF(명단표[이름],$R1505)=0,IF(COUNTIF(기본자료표[이름],$R1505)&gt;0,"명단에 없음(기본자료에는 있음)","명단에 없음"),"동명이인 확인"))))</f>
        <v/>
      </c>
      <c r="Z1505">
        <f>IF($R1505="","",IF($S1505&lt;0,"⚠"&amp;INDEX('입력_구리근무자명단'!$A1503:$ZZ1503,1,$E$2+2),TEXT($S1505,"yyyy-mm-dd")))</f>
        <v/>
      </c>
      <c r="AA1505">
        <f>IF($R1505="","",IF($T1505&lt;0,"⚠"&amp;INDEX('입력_구리근무자명단'!$A1503:$ZZ1503,1,$E$2+3),TEXT($T1505,"yyyy-mm-dd")))</f>
        <v/>
      </c>
      <c r="AB1505">
        <f>AB1504+IF($R1505="",0,1)</f>
        <v/>
      </c>
      <c r="AC1505">
        <f>IF($R1505="","",$AB1505)</f>
        <v/>
      </c>
    </row>
  </sheetData>
  <conditionalFormatting sqref="J2:J3">
    <cfRule type="expression" priority="1" dxfId="0">
      <formula>J2&gt;0</formula>
    </cfRule>
  </conditionalFormatting>
  <conditionalFormatting sqref="L6:L505">
    <cfRule type="expression" priority="2" dxfId="3">
      <formula>AND($L6&lt;&gt;"",LEFT($L6,5)&lt;&gt;"명단 일치")</formula>
    </cfRule>
  </conditionalFormatting>
  <conditionalFormatting sqref="F6:G505">
    <cfRule type="expression" priority="3" dxfId="1">
      <formula>LEFT(F6,1)="⚠"</formula>
    </cfRule>
  </conditionalFormatting>
  <conditionalFormatting sqref="A6:K505">
    <cfRule type="expression" priority="4" dxfId="7">
      <formula>$J6="구리독자"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14" customWidth="1" min="4" max="4"/>
    <col width="12" customWidth="1" min="5" max="5"/>
    <col width="12" customWidth="1" min="6" max="6"/>
    <col width="3" customWidth="1" min="7" max="7"/>
    <col width="14" customWidth="1" min="8" max="8"/>
    <col width="12" customWidth="1" min="9" max="9"/>
    <col width="3" customWidth="1" min="10" max="10"/>
    <col width="14" customWidth="1" min="11" max="11"/>
    <col width="12" customWidth="1" min="12" max="12"/>
  </cols>
  <sheetData>
    <row r="1">
      <c r="A1" s="1" t="inlineStr">
        <is>
          <t>현황 요약</t>
        </is>
      </c>
    </row>
    <row r="2">
      <c r="A2" s="3" t="inlineStr">
        <is>
          <t>기준일</t>
        </is>
      </c>
      <c r="B2" s="23">
        <f>TODAY()</f>
        <v/>
      </c>
    </row>
    <row r="3">
      <c r="A3" s="3" t="inlineStr">
        <is>
          <t>급여 기준월</t>
        </is>
      </c>
      <c r="B3" s="23">
        <f>급여기준월</f>
        <v/>
      </c>
      <c r="C3" s="17" t="inlineStr">
        <is>
          <t>← 설정값은 설정_코드표에서 변경</t>
        </is>
      </c>
    </row>
    <row r="4">
      <c r="A4" s="3" t="inlineStr">
        <is>
          <t>15일 기준(일)</t>
        </is>
      </c>
      <c r="B4" s="24">
        <f>판정기준일</f>
        <v/>
      </c>
    </row>
    <row r="5"/>
    <row r="6" ht="30" customHeight="1">
      <c r="A6" s="4" t="inlineStr">
        <is>
          <t>인원 (급여 기준월)</t>
        </is>
      </c>
      <c r="B6" s="4" t="inlineStr">
        <is>
          <t>인원</t>
        </is>
      </c>
      <c r="D6" s="4" t="inlineStr">
        <is>
          <t>병원</t>
        </is>
      </c>
      <c r="E6" s="4" t="inlineStr">
        <is>
          <t>현재 근무</t>
        </is>
      </c>
      <c r="F6" s="4" t="inlineStr">
        <is>
          <t>급여 지급(기준월)</t>
        </is>
      </c>
      <c r="H6" s="4" t="inlineStr">
        <is>
          <t>현재 진료과</t>
        </is>
      </c>
      <c r="I6" s="4" t="inlineStr">
        <is>
          <t>인원</t>
        </is>
      </c>
      <c r="K6" s="4" t="inlineStr">
        <is>
          <t>인턴 구분</t>
        </is>
      </c>
      <c r="L6" s="4" t="inlineStr">
        <is>
          <t>인원</t>
        </is>
      </c>
    </row>
    <row r="7">
      <c r="A7" s="25" t="inlineStr">
        <is>
          <t>명단 등록 인원</t>
        </is>
      </c>
      <c r="B7" s="26">
        <f>SUMPRODUCT(--(TRIM(명단표[사번]&amp;"")&lt;&gt;""))</f>
        <v/>
      </c>
      <c r="D7">
        <f>IFERROR(INDEX(병원표[병원],1)&amp;"","")</f>
        <v/>
      </c>
      <c r="E7">
        <f>IF($D7="","",COUNTIF(명단표[현재 근무병원],$D7))</f>
        <v/>
      </c>
      <c r="F7">
        <f>IF($D7="","",COUNTIF(명단표[급여지급병원(기준월)],$D7))</f>
        <v/>
      </c>
      <c r="H7">
        <f>IFERROR(INDEX(진료과표[근무과],1)&amp;"","")</f>
        <v/>
      </c>
      <c r="I7">
        <f>IF($H7="","",COUNTIF(명단표[현재 진료과],$H7))</f>
        <v/>
      </c>
      <c r="K7">
        <f>IFERROR(INDEX(인턴구분표[인턴 구분],1)&amp;"","")</f>
        <v/>
      </c>
      <c r="L7">
        <f>IF($K7="","",COUNTIF(명단표[현재 진료과],$K7))</f>
        <v/>
      </c>
    </row>
    <row r="8">
      <c r="A8" s="25" t="inlineStr">
        <is>
          <t>서울병원 지급</t>
        </is>
      </c>
      <c r="B8" s="26">
        <f>COUNTIF(명단표[급여지급병원(기준월)],"서울병원")</f>
        <v/>
      </c>
      <c r="D8">
        <f>IFERROR(INDEX(병원표[병원],2)&amp;"","")</f>
        <v/>
      </c>
      <c r="E8">
        <f>IF($D8="","",COUNTIF(명단표[현재 근무병원],$D8))</f>
        <v/>
      </c>
      <c r="F8">
        <f>IF($D8="","",COUNTIF(명단표[급여지급병원(기준월)],$D8))</f>
        <v/>
      </c>
      <c r="H8">
        <f>IFERROR(INDEX(진료과표[근무과],2)&amp;"","")</f>
        <v/>
      </c>
      <c r="I8">
        <f>IF($H8="","",COUNTIF(명단표[현재 진료과],$H8))</f>
        <v/>
      </c>
      <c r="K8">
        <f>IFERROR(INDEX(인턴구분표[인턴 구분],2)&amp;"","")</f>
        <v/>
      </c>
      <c r="L8">
        <f>IF($K8="","",COUNTIF(명단표[현재 진료과],$K8))</f>
        <v/>
      </c>
    </row>
    <row r="9">
      <c r="A9" s="25" t="inlineStr">
        <is>
          <t>구리병원 지급</t>
        </is>
      </c>
      <c r="B9" s="26">
        <f>COUNTIF(명단표[급여지급병원(기준월)],"구리병원")</f>
        <v/>
      </c>
      <c r="D9">
        <f>IFERROR(INDEX(병원표[병원],3)&amp;"","")</f>
        <v/>
      </c>
      <c r="E9">
        <f>IF($D9="","",COUNTIF(명단표[현재 근무병원],$D9))</f>
        <v/>
      </c>
      <c r="F9">
        <f>IF($D9="","",COUNTIF(명단표[급여지급병원(기준월)],$D9))</f>
        <v/>
      </c>
      <c r="H9">
        <f>IFERROR(INDEX(진료과표[근무과],3)&amp;"","")</f>
        <v/>
      </c>
      <c r="I9">
        <f>IF($H9="","",COUNTIF(명단표[현재 진료과],$H9))</f>
        <v/>
      </c>
      <c r="K9">
        <f>IFERROR(INDEX(인턴구분표[인턴 구분],3)&amp;"","")</f>
        <v/>
      </c>
      <c r="L9">
        <f>IF($K9="","",COUNTIF(명단표[현재 진료과],$K9))</f>
        <v/>
      </c>
    </row>
    <row r="10">
      <c r="A10" s="25" t="inlineStr">
        <is>
          <t>그 외 병원 지급</t>
        </is>
      </c>
      <c r="B10" s="26">
        <f>SUMPRODUCT((명단표[급여지급병원(기준월)]&lt;&gt;"")*(명단표[급여지급병원(기준월)]&lt;&gt;"서울병원")*(명단표[급여지급병원(기준월)]&lt;&gt;"구리병원")*(LEFT(명단표[급여지급병원(기준월)],1)&lt;&gt;"⚠"))</f>
        <v/>
      </c>
      <c r="D10">
        <f>IFERROR(INDEX(병원표[병원],4)&amp;"","")</f>
        <v/>
      </c>
      <c r="E10">
        <f>IF($D10="","",COUNTIF(명단표[현재 근무병원],$D10))</f>
        <v/>
      </c>
      <c r="F10">
        <f>IF($D10="","",COUNTIF(명단표[급여지급병원(기준월)],$D10))</f>
        <v/>
      </c>
      <c r="H10">
        <f>IFERROR(INDEX(진료과표[근무과],4)&amp;"","")</f>
        <v/>
      </c>
      <c r="I10">
        <f>IF($H10="","",COUNTIF(명단표[현재 진료과],$H10))</f>
        <v/>
      </c>
      <c r="K10">
        <f>IFERROR(INDEX(인턴구분표[인턴 구분],4)&amp;"","")</f>
        <v/>
      </c>
      <c r="L10">
        <f>IF($K10="","",COUNTIF(명단표[현재 진료과],$K10))</f>
        <v/>
      </c>
    </row>
    <row r="11">
      <c r="A11" s="25" t="inlineStr">
        <is>
          <t>⚠ 판정 불가</t>
        </is>
      </c>
      <c r="B11" s="26">
        <f>COUNTIF(명단표[급여지급병원(기준월)],"⚠*")</f>
        <v/>
      </c>
      <c r="D11">
        <f>IFERROR(INDEX(병원표[병원],5)&amp;"","")</f>
        <v/>
      </c>
      <c r="E11">
        <f>IF($D11="","",COUNTIF(명단표[현재 근무병원],$D11))</f>
        <v/>
      </c>
      <c r="F11">
        <f>IF($D11="","",COUNTIF(명단표[급여지급병원(기준월)],$D11))</f>
        <v/>
      </c>
      <c r="H11">
        <f>IFERROR(INDEX(진료과표[근무과],5)&amp;"","")</f>
        <v/>
      </c>
      <c r="I11">
        <f>IF($H11="","",COUNTIF(명단표[현재 진료과],$H11))</f>
        <v/>
      </c>
      <c r="K11">
        <f>IFERROR(INDEX(인턴구분표[인턴 구분],5)&amp;"","")</f>
        <v/>
      </c>
      <c r="L11">
        <f>IF($K11="","",COUNTIF(명단표[현재 진료과],$K11))</f>
        <v/>
      </c>
    </row>
    <row r="12">
      <c r="A12" s="25" t="inlineStr">
        <is>
          <t>구리 근무자명단 연결 인원</t>
        </is>
      </c>
      <c r="B12" s="26">
        <f>COUNT(명단표[구리행])</f>
        <v/>
      </c>
      <c r="D12">
        <f>IFERROR(INDEX(병원표[병원],6)&amp;"","")</f>
        <v/>
      </c>
      <c r="E12">
        <f>IF($D12="","",COUNTIF(명단표[현재 근무병원],$D12))</f>
        <v/>
      </c>
      <c r="F12">
        <f>IF($D12="","",COUNTIF(명단표[급여지급병원(기준월)],$D12))</f>
        <v/>
      </c>
      <c r="H12">
        <f>IFERROR(INDEX(진료과표[근무과],6)&amp;"","")</f>
        <v/>
      </c>
      <c r="I12">
        <f>IF($H12="","",COUNTIF(명단표[현재 진료과],$H12))</f>
        <v/>
      </c>
      <c r="K12">
        <f>IFERROR(INDEX(인턴구분표[인턴 구분],6)&amp;"","")</f>
        <v/>
      </c>
      <c r="L12">
        <f>IF($K12="","",COUNTIF(명단표[현재 진료과],$K12))</f>
        <v/>
      </c>
    </row>
    <row r="13">
      <c r="D13">
        <f>IFERROR(INDEX(병원표[병원],7)&amp;"","")</f>
        <v/>
      </c>
      <c r="E13">
        <f>IF($D13="","",COUNTIF(명단표[현재 근무병원],$D13))</f>
        <v/>
      </c>
      <c r="F13">
        <f>IF($D13="","",COUNTIF(명단표[급여지급병원(기준월)],$D13))</f>
        <v/>
      </c>
      <c r="H13">
        <f>IFERROR(INDEX(진료과표[근무과],7)&amp;"","")</f>
        <v/>
      </c>
      <c r="I13">
        <f>IF($H13="","",COUNTIF(명단표[현재 진료과],$H13))</f>
        <v/>
      </c>
      <c r="K13">
        <f>IFERROR(INDEX(인턴구분표[인턴 구분],7)&amp;"","")</f>
        <v/>
      </c>
      <c r="L13">
        <f>IF($K13="","",COUNTIF(명단표[현재 진료과],$K13))</f>
        <v/>
      </c>
    </row>
    <row r="14">
      <c r="D14">
        <f>IFERROR(INDEX(병원표[병원],8)&amp;"","")</f>
        <v/>
      </c>
      <c r="E14">
        <f>IF($D14="","",COUNTIF(명단표[현재 근무병원],$D14))</f>
        <v/>
      </c>
      <c r="F14">
        <f>IF($D14="","",COUNTIF(명단표[급여지급병원(기준월)],$D14))</f>
        <v/>
      </c>
      <c r="H14">
        <f>IFERROR(INDEX(진료과표[근무과],8)&amp;"","")</f>
        <v/>
      </c>
      <c r="I14">
        <f>IF($H14="","",COUNTIF(명단표[현재 진료과],$H14))</f>
        <v/>
      </c>
      <c r="K14">
        <f>IFERROR(INDEX(인턴구분표[인턴 구분],8)&amp;"","")</f>
        <v/>
      </c>
      <c r="L14">
        <f>IF($K14="","",COUNTIF(명단표[현재 진료과],$K14))</f>
        <v/>
      </c>
    </row>
    <row r="15">
      <c r="A15" s="4" t="inlineStr">
        <is>
          <t>데이터 점검</t>
        </is>
      </c>
      <c r="B15" s="4" t="inlineStr">
        <is>
          <t>건수</t>
        </is>
      </c>
      <c r="D15">
        <f>IFERROR(INDEX(병원표[병원],9)&amp;"","")</f>
        <v/>
      </c>
      <c r="E15">
        <f>IF($D15="","",COUNTIF(명단표[현재 근무병원],$D15))</f>
        <v/>
      </c>
      <c r="F15">
        <f>IF($D15="","",COUNTIF(명단표[급여지급병원(기준월)],$D15))</f>
        <v/>
      </c>
      <c r="H15">
        <f>IFERROR(INDEX(진료과표[근무과],9)&amp;"","")</f>
        <v/>
      </c>
      <c r="I15">
        <f>IF($H15="","",COUNTIF(명단표[현재 진료과],$H15))</f>
        <v/>
      </c>
      <c r="K15">
        <f>IFERROR(INDEX(인턴구분표[인턴 구분],9)&amp;"","")</f>
        <v/>
      </c>
      <c r="L15">
        <f>IF($K15="","",COUNTIF(명단표[현재 진료과],$K15))</f>
        <v/>
      </c>
    </row>
    <row r="16">
      <c r="A16" s="25" t="inlineStr">
        <is>
          <t>기본자료 인원</t>
        </is>
      </c>
      <c r="B16" s="26">
        <f>SUMPRODUCT(--(TRIM(기본자료표[사번]&amp;"")&lt;&gt;""))</f>
        <v/>
      </c>
      <c r="D16">
        <f>IFERROR(INDEX(병원표[병원],10)&amp;"","")</f>
        <v/>
      </c>
      <c r="E16">
        <f>IF($D16="","",COUNTIF(명단표[현재 근무병원],$D16))</f>
        <v/>
      </c>
      <c r="F16">
        <f>IF($D16="","",COUNTIF(명단표[급여지급병원(기준월)],$D16))</f>
        <v/>
      </c>
      <c r="H16">
        <f>IFERROR(INDEX(진료과표[근무과],10)&amp;"","")</f>
        <v/>
      </c>
      <c r="I16">
        <f>IF($H16="","",COUNTIF(명단표[현재 진료과],$H16))</f>
        <v/>
      </c>
      <c r="K16">
        <f>IFERROR(INDEX(인턴구분표[인턴 구분],10)&amp;"","")</f>
        <v/>
      </c>
      <c r="L16">
        <f>IF($K16="","",COUNTIF(명단표[현재 진료과],$K16))</f>
        <v/>
      </c>
    </row>
    <row r="17">
      <c r="A17" s="25" t="inlineStr">
        <is>
          <t>기본자료 재직 인원</t>
        </is>
      </c>
      <c r="B17" s="26">
        <f>COUNTIF(기본자료표[현재근무 여부],"재직")</f>
        <v/>
      </c>
      <c r="D17">
        <f>IFERROR(INDEX(병원표[병원],11)&amp;"","")</f>
        <v/>
      </c>
      <c r="E17">
        <f>IF($D17="","",COUNTIF(명단표[현재 근무병원],$D17))</f>
        <v/>
      </c>
      <c r="F17">
        <f>IF($D17="","",COUNTIF(명단표[급여지급병원(기준월)],$D17))</f>
        <v/>
      </c>
      <c r="H17">
        <f>IFERROR(INDEX(진료과표[근무과],11)&amp;"","")</f>
        <v/>
      </c>
      <c r="I17">
        <f>IF($H17="","",COUNTIF(명단표[현재 진료과],$H17))</f>
        <v/>
      </c>
      <c r="K17">
        <f>IFERROR(INDEX(인턴구분표[인턴 구분],11)&amp;"","")</f>
        <v/>
      </c>
      <c r="L17">
        <f>IF($K17="","",COUNTIF(명단표[현재 진료과],$K17))</f>
        <v/>
      </c>
    </row>
    <row r="18">
      <c r="A18" s="25" t="inlineStr">
        <is>
          <t>기본자료에 없는 사번</t>
        </is>
      </c>
      <c r="B18" s="26">
        <f>SUMPRODUCT((TRIM(명단표[사번]&amp;"")&lt;&gt;"")*(명단표[기본자료행]=""))</f>
        <v/>
      </c>
      <c r="D18">
        <f>IFERROR(INDEX(병원표[병원],12)&amp;"","")</f>
        <v/>
      </c>
      <c r="E18">
        <f>IF($D18="","",COUNTIF(명단표[현재 근무병원],$D18))</f>
        <v/>
      </c>
      <c r="F18">
        <f>IF($D18="","",COUNTIF(명단표[급여지급병원(기준월)],$D18))</f>
        <v/>
      </c>
      <c r="H18">
        <f>IFERROR(INDEX(진료과표[근무과],12)&amp;"","")</f>
        <v/>
      </c>
      <c r="I18">
        <f>IF($H18="","",COUNTIF(명단표[현재 진료과],$H18))</f>
        <v/>
      </c>
      <c r="K18">
        <f>IFERROR(INDEX(인턴구분표[인턴 구분],12)&amp;"","")</f>
        <v/>
      </c>
      <c r="L18">
        <f>IF($K18="","",COUNTIF(명단표[현재 진료과],$K18))</f>
        <v/>
      </c>
    </row>
    <row r="19">
      <c r="A19" s="25" t="inlineStr">
        <is>
          <t>명단 중복 사번</t>
        </is>
      </c>
      <c r="B19" s="26">
        <f>SUMPRODUCT((TRIM(명단표[사번]&amp;"")&lt;&gt;"")*(COUNTIF(명단표[사번],명단표[사번])&gt;1))</f>
        <v/>
      </c>
      <c r="D19">
        <f>IFERROR(INDEX(병원표[병원],13)&amp;"","")</f>
        <v/>
      </c>
      <c r="E19">
        <f>IF($D19="","",COUNTIF(명단표[현재 근무병원],$D19))</f>
        <v/>
      </c>
      <c r="F19">
        <f>IF($D19="","",COUNTIF(명단표[급여지급병원(기준월)],$D19))</f>
        <v/>
      </c>
      <c r="H19">
        <f>IFERROR(INDEX(진료과표[근무과],13)&amp;"","")</f>
        <v/>
      </c>
      <c r="I19">
        <f>IF($H19="","",COUNTIF(명단표[현재 진료과],$H19))</f>
        <v/>
      </c>
      <c r="K19">
        <f>IFERROR(INDEX(인턴구분표[인턴 구분],13)&amp;"","")</f>
        <v/>
      </c>
      <c r="L19">
        <f>IF($K19="","",COUNTIF(명단표[현재 진료과],$K19))</f>
        <v/>
      </c>
    </row>
    <row r="20">
      <c r="A20" s="25" t="inlineStr">
        <is>
          <t>날짜 형식 오류(생년월일/수련개시일)</t>
        </is>
      </c>
      <c r="B20" s="26">
        <f>SUMPRODUCT(--ISTEXT(명단표[생년월일]))+SUMPRODUCT(--ISTEXT(명단표[수련개시일]))</f>
        <v/>
      </c>
      <c r="D20">
        <f>IFERROR(INDEX(병원표[병원],14)&amp;"","")</f>
        <v/>
      </c>
      <c r="E20">
        <f>IF($D20="","",COUNTIF(명단표[현재 근무병원],$D20))</f>
        <v/>
      </c>
      <c r="F20">
        <f>IF($D20="","",COUNTIF(명단표[급여지급병원(기준월)],$D20))</f>
        <v/>
      </c>
      <c r="H20">
        <f>IFERROR(INDEX(진료과표[근무과],14)&amp;"","")</f>
        <v/>
      </c>
      <c r="I20">
        <f>IF($H20="","",COUNTIF(명단표[현재 진료과],$H20))</f>
        <v/>
      </c>
      <c r="K20">
        <f>IFERROR(INDEX(인턴구분표[인턴 구분],14)&amp;"","")</f>
        <v/>
      </c>
      <c r="L20">
        <f>IF($K20="","",COUNTIF(명단표[현재 진료과],$K20))</f>
        <v/>
      </c>
    </row>
    <row r="21">
      <c r="A21" s="25" t="inlineStr">
        <is>
          <t>인턴계획 입력 오류(병원/진료과)</t>
        </is>
      </c>
      <c r="B21" s="26">
        <f>SUM(인턴계획표[입력오류])</f>
        <v/>
      </c>
      <c r="D21">
        <f>IFERROR(INDEX(병원표[병원],15)&amp;"","")</f>
        <v/>
      </c>
      <c r="E21">
        <f>IF($D21="","",COUNTIF(명단표[현재 근무병원],$D21))</f>
        <v/>
      </c>
      <c r="F21">
        <f>IF($D21="","",COUNTIF(명단표[급여지급병원(기준월)],$D21))</f>
        <v/>
      </c>
      <c r="H21">
        <f>IFERROR(INDEX(진료과표[근무과],15)&amp;"","")</f>
        <v/>
      </c>
      <c r="I21">
        <f>IF($H21="","",COUNTIF(명단표[현재 진료과],$H21))</f>
        <v/>
      </c>
      <c r="K21">
        <f>IFERROR(INDEX(인턴구분표[인턴 구분],15)&amp;"","")</f>
        <v/>
      </c>
      <c r="L21">
        <f>IF($K21="","",COUNTIF(명단표[현재 진료과],$K21))</f>
        <v/>
      </c>
    </row>
    <row r="22">
      <c r="A22" s="25" t="inlineStr">
        <is>
          <t>서울·구리 15일 판정 불가</t>
        </is>
      </c>
      <c r="B22" s="26">
        <f>COUNTIF(명단표[급여지급병원(기준월)],"⚠*")</f>
        <v/>
      </c>
      <c r="D22">
        <f>IFERROR(INDEX(병원표[병원],16)&amp;"","")</f>
        <v/>
      </c>
      <c r="E22">
        <f>IF($D22="","",COUNTIF(명단표[현재 근무병원],$D22))</f>
        <v/>
      </c>
      <c r="F22">
        <f>IF($D22="","",COUNTIF(명단표[급여지급병원(기준월)],$D22))</f>
        <v/>
      </c>
      <c r="H22">
        <f>IFERROR(INDEX(진료과표[근무과],16)&amp;"","")</f>
        <v/>
      </c>
      <c r="I22">
        <f>IF($H22="","",COUNTIF(명단표[현재 진료과],$H22))</f>
        <v/>
      </c>
      <c r="K22">
        <f>IFERROR(INDEX(인턴구분표[인턴 구분],16)&amp;"","")</f>
        <v/>
      </c>
      <c r="L22">
        <f>IF($K22="","",COUNTIF(명단표[현재 진료과],$K22))</f>
        <v/>
      </c>
    </row>
    <row r="23">
      <c r="A23" s="25" t="inlineStr">
        <is>
          <t>구리 근무자명단: 명단에 없음/동명이인</t>
        </is>
      </c>
      <c r="B23" s="26">
        <f>'출력_구리근무자'!$J$2</f>
        <v/>
      </c>
      <c r="D23">
        <f>IFERROR(INDEX(병원표[병원],17)&amp;"","")</f>
        <v/>
      </c>
      <c r="E23">
        <f>IF($D23="","",COUNTIF(명단표[현재 근무병원],$D23))</f>
        <v/>
      </c>
      <c r="F23">
        <f>IF($D23="","",COUNTIF(명단표[급여지급병원(기준월)],$D23))</f>
        <v/>
      </c>
      <c r="H23">
        <f>IFERROR(INDEX(진료과표[근무과],17)&amp;"","")</f>
        <v/>
      </c>
      <c r="I23">
        <f>IF($H23="","",COUNTIF(명단표[현재 진료과],$H23))</f>
        <v/>
      </c>
      <c r="K23">
        <f>IFERROR(INDEX(인턴구분표[인턴 구분],17)&amp;"","")</f>
        <v/>
      </c>
      <c r="L23">
        <f>IF($K23="","",COUNTIF(명단표[현재 진료과],$K23))</f>
        <v/>
      </c>
    </row>
    <row r="24">
      <c r="A24" s="25" t="inlineStr">
        <is>
          <t>구리 근무자명단: 날짜 오류</t>
        </is>
      </c>
      <c r="B24" s="26">
        <f>'출력_구리근무자'!$J$3</f>
        <v/>
      </c>
      <c r="D24">
        <f>IFERROR(INDEX(병원표[병원],18)&amp;"","")</f>
        <v/>
      </c>
      <c r="E24">
        <f>IF($D24="","",COUNTIF(명단표[현재 근무병원],$D24))</f>
        <v/>
      </c>
      <c r="F24">
        <f>IF($D24="","",COUNTIF(명단표[급여지급병원(기준월)],$D24))</f>
        <v/>
      </c>
      <c r="H24">
        <f>IFERROR(INDEX(진료과표[근무과],18)&amp;"","")</f>
        <v/>
      </c>
      <c r="I24">
        <f>IF($H24="","",COUNTIF(명단표[현재 진료과],$H24))</f>
        <v/>
      </c>
      <c r="K24">
        <f>IFERROR(INDEX(인턴구분표[인턴 구분],18)&amp;"","")</f>
        <v/>
      </c>
      <c r="L24">
        <f>IF($K24="","",COUNTIF(명단표[현재 진료과],$K24))</f>
        <v/>
      </c>
    </row>
    <row r="25">
      <c r="A25" s="25" t="inlineStr">
        <is>
          <t>점검 필요 행(전공의명단 '점검' 열)</t>
        </is>
      </c>
      <c r="B25" s="26">
        <f>SUMPRODUCT((TRIM(명단표[사번]&amp;"")&lt;&gt;"")*(명단표[점검]&lt;&gt;"정상"))</f>
        <v/>
      </c>
      <c r="D25">
        <f>IFERROR(INDEX(병원표[병원],19)&amp;"","")</f>
        <v/>
      </c>
      <c r="E25">
        <f>IF($D25="","",COUNTIF(명단표[현재 근무병원],$D25))</f>
        <v/>
      </c>
      <c r="F25">
        <f>IF($D25="","",COUNTIF(명단표[급여지급병원(기준월)],$D25))</f>
        <v/>
      </c>
      <c r="H25">
        <f>IFERROR(INDEX(진료과표[근무과],19)&amp;"","")</f>
        <v/>
      </c>
      <c r="I25">
        <f>IF($H25="","",COUNTIF(명단표[현재 진료과],$H25))</f>
        <v/>
      </c>
      <c r="K25">
        <f>IFERROR(INDEX(인턴구분표[인턴 구분],19)&amp;"","")</f>
        <v/>
      </c>
      <c r="L25">
        <f>IF($K25="","",COUNTIF(명단표[현재 진료과],$K25))</f>
        <v/>
      </c>
    </row>
    <row r="26">
      <c r="A26" s="25" t="inlineStr">
        <is>
          <t>출력 표시 한도 초과(서울급여·기관명단·구리·인턴)</t>
        </is>
      </c>
      <c r="B26" s="26">
        <f>(COUNTIF(명단표[급여지급병원(기준월)],"서울병원")&gt;1000)+(SUMPRODUCT(--(TRIM(명단표[사번]&amp;"")&lt;&gt;""))&gt;1000)+('출력_구리근무자'!$K$2&lt;&gt;"")+(SUMPRODUCT(--(TRIM(인턴계획표[이름]&amp;"")&lt;&gt;""))&gt;600)</f>
        <v/>
      </c>
      <c r="D26">
        <f>IFERROR(INDEX(병원표[병원],20)&amp;"","")</f>
        <v/>
      </c>
      <c r="E26">
        <f>IF($D26="","",COUNTIF(명단표[현재 근무병원],$D26))</f>
        <v/>
      </c>
      <c r="F26">
        <f>IF($D26="","",COUNTIF(명단표[급여지급병원(기준월)],$D26))</f>
        <v/>
      </c>
      <c r="H26">
        <f>IFERROR(INDEX(진료과표[근무과],20)&amp;"","")</f>
        <v/>
      </c>
      <c r="I26">
        <f>IF($H26="","",COUNTIF(명단표[현재 진료과],$H26))</f>
        <v/>
      </c>
      <c r="K26">
        <f>IFERROR(INDEX(인턴구분표[인턴 구분],20)&amp;"","")</f>
        <v/>
      </c>
      <c r="L26">
        <f>IF($K26="","",COUNTIF(명단표[현재 진료과],$K26))</f>
        <v/>
      </c>
    </row>
    <row r="27">
      <c r="D27">
        <f>IFERROR(INDEX(병원표[병원],21)&amp;"","")</f>
        <v/>
      </c>
      <c r="E27">
        <f>IF($D27="","",COUNTIF(명단표[현재 근무병원],$D27))</f>
        <v/>
      </c>
      <c r="F27">
        <f>IF($D27="","",COUNTIF(명단표[급여지급병원(기준월)],$D27))</f>
        <v/>
      </c>
      <c r="H27">
        <f>IFERROR(INDEX(진료과표[근무과],21)&amp;"","")</f>
        <v/>
      </c>
      <c r="I27">
        <f>IF($H27="","",COUNTIF(명단표[현재 진료과],$H27))</f>
        <v/>
      </c>
      <c r="K27">
        <f>IFERROR(INDEX(인턴구분표[인턴 구분],21)&amp;"","")</f>
        <v/>
      </c>
      <c r="L27">
        <f>IF($K27="","",COUNTIF(명단표[현재 진료과],$K27))</f>
        <v/>
      </c>
    </row>
    <row r="28">
      <c r="D28">
        <f>IFERROR(INDEX(병원표[병원],22)&amp;"","")</f>
        <v/>
      </c>
      <c r="E28">
        <f>IF($D28="","",COUNTIF(명단표[현재 근무병원],$D28))</f>
        <v/>
      </c>
      <c r="F28">
        <f>IF($D28="","",COUNTIF(명단표[급여지급병원(기준월)],$D28))</f>
        <v/>
      </c>
      <c r="H28">
        <f>IFERROR(INDEX(진료과표[근무과],22)&amp;"","")</f>
        <v/>
      </c>
      <c r="I28">
        <f>IF($H28="","",COUNTIF(명단표[현재 진료과],$H28))</f>
        <v/>
      </c>
      <c r="K28">
        <f>IFERROR(INDEX(인턴구분표[인턴 구분],22)&amp;"","")</f>
        <v/>
      </c>
      <c r="L28">
        <f>IF($K28="","",COUNTIF(명단표[현재 진료과],$K28))</f>
        <v/>
      </c>
    </row>
    <row r="29">
      <c r="D29">
        <f>IFERROR(INDEX(병원표[병원],23)&amp;"","")</f>
        <v/>
      </c>
      <c r="E29">
        <f>IF($D29="","",COUNTIF(명단표[현재 근무병원],$D29))</f>
        <v/>
      </c>
      <c r="F29">
        <f>IF($D29="","",COUNTIF(명단표[급여지급병원(기준월)],$D29))</f>
        <v/>
      </c>
      <c r="H29">
        <f>IFERROR(INDEX(진료과표[근무과],23)&amp;"","")</f>
        <v/>
      </c>
      <c r="I29">
        <f>IF($H29="","",COUNTIF(명단표[현재 진료과],$H29))</f>
        <v/>
      </c>
      <c r="K29">
        <f>IFERROR(INDEX(인턴구분표[인턴 구분],23)&amp;"","")</f>
        <v/>
      </c>
      <c r="L29">
        <f>IF($K29="","",COUNTIF(명단표[현재 진료과],$K29))</f>
        <v/>
      </c>
    </row>
    <row r="30">
      <c r="D30">
        <f>IFERROR(INDEX(병원표[병원],24)&amp;"","")</f>
        <v/>
      </c>
      <c r="E30">
        <f>IF($D30="","",COUNTIF(명단표[현재 근무병원],$D30))</f>
        <v/>
      </c>
      <c r="F30">
        <f>IF($D30="","",COUNTIF(명단표[급여지급병원(기준월)],$D30))</f>
        <v/>
      </c>
      <c r="H30">
        <f>IFERROR(INDEX(진료과표[근무과],24)&amp;"","")</f>
        <v/>
      </c>
      <c r="I30">
        <f>IF($H30="","",COUNTIF(명단표[현재 진료과],$H30))</f>
        <v/>
      </c>
      <c r="K30">
        <f>IFERROR(INDEX(인턴구분표[인턴 구분],24)&amp;"","")</f>
        <v/>
      </c>
      <c r="L30">
        <f>IF($K30="","",COUNTIF(명단표[현재 진료과],$K30))</f>
        <v/>
      </c>
    </row>
    <row r="31">
      <c r="D31">
        <f>IFERROR(INDEX(병원표[병원],25)&amp;"","")</f>
        <v/>
      </c>
      <c r="E31">
        <f>IF($D31="","",COUNTIF(명단표[현재 근무병원],$D31))</f>
        <v/>
      </c>
      <c r="F31">
        <f>IF($D31="","",COUNTIF(명단표[급여지급병원(기준월)],$D31))</f>
        <v/>
      </c>
      <c r="H31">
        <f>IFERROR(INDEX(진료과표[근무과],25)&amp;"","")</f>
        <v/>
      </c>
      <c r="I31">
        <f>IF($H31="","",COUNTIF(명단표[현재 진료과],$H31))</f>
        <v/>
      </c>
      <c r="K31">
        <f>IFERROR(INDEX(인턴구분표[인턴 구분],25)&amp;"","")</f>
        <v/>
      </c>
      <c r="L31">
        <f>IF($K31="","",COUNTIF(명단표[현재 진료과],$K31))</f>
        <v/>
      </c>
    </row>
    <row r="32">
      <c r="D32">
        <f>IFERROR(INDEX(병원표[병원],26)&amp;"","")</f>
        <v/>
      </c>
      <c r="E32">
        <f>IF($D32="","",COUNTIF(명단표[현재 근무병원],$D32))</f>
        <v/>
      </c>
      <c r="F32">
        <f>IF($D32="","",COUNTIF(명단표[급여지급병원(기준월)],$D32))</f>
        <v/>
      </c>
      <c r="H32">
        <f>IFERROR(INDEX(진료과표[근무과],26)&amp;"","")</f>
        <v/>
      </c>
      <c r="I32">
        <f>IF($H32="","",COUNTIF(명단표[현재 진료과],$H32))</f>
        <v/>
      </c>
      <c r="K32">
        <f>IFERROR(INDEX(인턴구분표[인턴 구분],26)&amp;"","")</f>
        <v/>
      </c>
      <c r="L32">
        <f>IF($K32="","",COUNTIF(명단표[현재 진료과],$K32))</f>
        <v/>
      </c>
    </row>
    <row r="33">
      <c r="D33">
        <f>IFERROR(INDEX(병원표[병원],27)&amp;"","")</f>
        <v/>
      </c>
      <c r="E33">
        <f>IF($D33="","",COUNTIF(명단표[현재 근무병원],$D33))</f>
        <v/>
      </c>
      <c r="F33">
        <f>IF($D33="","",COUNTIF(명단표[급여지급병원(기준월)],$D33))</f>
        <v/>
      </c>
      <c r="H33">
        <f>IFERROR(INDEX(진료과표[근무과],27)&amp;"","")</f>
        <v/>
      </c>
      <c r="I33">
        <f>IF($H33="","",COUNTIF(명단표[현재 진료과],$H33))</f>
        <v/>
      </c>
      <c r="K33">
        <f>IFERROR(INDEX(인턴구분표[인턴 구분],27)&amp;"","")</f>
        <v/>
      </c>
      <c r="L33">
        <f>IF($K33="","",COUNTIF(명단표[현재 진료과],$K33))</f>
        <v/>
      </c>
    </row>
    <row r="34">
      <c r="D34">
        <f>IFERROR(INDEX(병원표[병원],28)&amp;"","")</f>
        <v/>
      </c>
      <c r="E34">
        <f>IF($D34="","",COUNTIF(명단표[현재 근무병원],$D34))</f>
        <v/>
      </c>
      <c r="F34">
        <f>IF($D34="","",COUNTIF(명단표[급여지급병원(기준월)],$D34))</f>
        <v/>
      </c>
      <c r="H34">
        <f>IFERROR(INDEX(진료과표[근무과],28)&amp;"","")</f>
        <v/>
      </c>
      <c r="I34">
        <f>IF($H34="","",COUNTIF(명단표[현재 진료과],$H34))</f>
        <v/>
      </c>
      <c r="K34">
        <f>IFERROR(INDEX(인턴구분표[인턴 구분],28)&amp;"","")</f>
        <v/>
      </c>
      <c r="L34">
        <f>IF($K34="","",COUNTIF(명단표[현재 진료과],$K34))</f>
        <v/>
      </c>
    </row>
    <row r="35">
      <c r="D35">
        <f>IFERROR(INDEX(병원표[병원],29)&amp;"","")</f>
        <v/>
      </c>
      <c r="E35">
        <f>IF($D35="","",COUNTIF(명단표[현재 근무병원],$D35))</f>
        <v/>
      </c>
      <c r="F35">
        <f>IF($D35="","",COUNTIF(명단표[급여지급병원(기준월)],$D35))</f>
        <v/>
      </c>
      <c r="H35">
        <f>IFERROR(INDEX(진료과표[근무과],29)&amp;"","")</f>
        <v/>
      </c>
      <c r="I35">
        <f>IF($H35="","",COUNTIF(명단표[현재 진료과],$H35))</f>
        <v/>
      </c>
      <c r="K35">
        <f>IFERROR(INDEX(인턴구분표[인턴 구분],29)&amp;"","")</f>
        <v/>
      </c>
      <c r="L35">
        <f>IF($K35="","",COUNTIF(명단표[현재 진료과],$K35))</f>
        <v/>
      </c>
    </row>
    <row r="36">
      <c r="D36">
        <f>IFERROR(INDEX(병원표[병원],30)&amp;"","")</f>
        <v/>
      </c>
      <c r="E36">
        <f>IF($D36="","",COUNTIF(명단표[현재 근무병원],$D36))</f>
        <v/>
      </c>
      <c r="F36">
        <f>IF($D36="","",COUNTIF(명단표[급여지급병원(기준월)],$D36))</f>
        <v/>
      </c>
      <c r="H36">
        <f>IFERROR(INDEX(진료과표[근무과],30)&amp;"","")</f>
        <v/>
      </c>
      <c r="I36">
        <f>IF($H36="","",COUNTIF(명단표[현재 진료과],$H36))</f>
        <v/>
      </c>
      <c r="K36">
        <f>IFERROR(INDEX(인턴구분표[인턴 구분],30)&amp;"","")</f>
        <v/>
      </c>
      <c r="L36">
        <f>IF($K36="","",COUNTIF(명단표[현재 진료과],$K36))</f>
        <v/>
      </c>
    </row>
    <row r="37">
      <c r="D37">
        <f>IFERROR(INDEX(병원표[병원],31)&amp;"","")</f>
        <v/>
      </c>
      <c r="E37">
        <f>IF($D37="","",COUNTIF(명단표[현재 근무병원],$D37))</f>
        <v/>
      </c>
      <c r="F37">
        <f>IF($D37="","",COUNTIF(명단표[급여지급병원(기준월)],$D37))</f>
        <v/>
      </c>
      <c r="H37">
        <f>IFERROR(INDEX(진료과표[근무과],31)&amp;"","")</f>
        <v/>
      </c>
      <c r="I37">
        <f>IF($H37="","",COUNTIF(명단표[현재 진료과],$H37))</f>
        <v/>
      </c>
      <c r="K37">
        <f>IFERROR(INDEX(인턴구분표[인턴 구분],31)&amp;"","")</f>
        <v/>
      </c>
      <c r="L37">
        <f>IF($K37="","",COUNTIF(명단표[현재 진료과],$K37))</f>
        <v/>
      </c>
    </row>
    <row r="38">
      <c r="D38">
        <f>IFERROR(INDEX(병원표[병원],32)&amp;"","")</f>
        <v/>
      </c>
      <c r="E38">
        <f>IF($D38="","",COUNTIF(명단표[현재 근무병원],$D38))</f>
        <v/>
      </c>
      <c r="F38">
        <f>IF($D38="","",COUNTIF(명단표[급여지급병원(기준월)],$D38))</f>
        <v/>
      </c>
      <c r="H38">
        <f>IFERROR(INDEX(진료과표[근무과],32)&amp;"","")</f>
        <v/>
      </c>
      <c r="I38">
        <f>IF($H38="","",COUNTIF(명단표[현재 진료과],$H38))</f>
        <v/>
      </c>
      <c r="K38">
        <f>IFERROR(INDEX(인턴구분표[인턴 구분],32)&amp;"","")</f>
        <v/>
      </c>
      <c r="L38">
        <f>IF($K38="","",COUNTIF(명단표[현재 진료과],$K38))</f>
        <v/>
      </c>
    </row>
    <row r="39">
      <c r="D39">
        <f>IFERROR(INDEX(병원표[병원],33)&amp;"","")</f>
        <v/>
      </c>
      <c r="E39">
        <f>IF($D39="","",COUNTIF(명단표[현재 근무병원],$D39))</f>
        <v/>
      </c>
      <c r="F39">
        <f>IF($D39="","",COUNTIF(명단표[급여지급병원(기준월)],$D39))</f>
        <v/>
      </c>
      <c r="H39">
        <f>IFERROR(INDEX(진료과표[근무과],33)&amp;"","")</f>
        <v/>
      </c>
      <c r="I39">
        <f>IF($H39="","",COUNTIF(명단표[현재 진료과],$H39))</f>
        <v/>
      </c>
      <c r="K39">
        <f>IFERROR(INDEX(인턴구분표[인턴 구분],33)&amp;"","")</f>
        <v/>
      </c>
      <c r="L39">
        <f>IF($K39="","",COUNTIF(명단표[현재 진료과],$K39))</f>
        <v/>
      </c>
    </row>
    <row r="40">
      <c r="D40">
        <f>IFERROR(INDEX(병원표[병원],34)&amp;"","")</f>
        <v/>
      </c>
      <c r="E40">
        <f>IF($D40="","",COUNTIF(명단표[현재 근무병원],$D40))</f>
        <v/>
      </c>
      <c r="F40">
        <f>IF($D40="","",COUNTIF(명단표[급여지급병원(기준월)],$D40))</f>
        <v/>
      </c>
      <c r="H40">
        <f>IFERROR(INDEX(진료과표[근무과],34)&amp;"","")</f>
        <v/>
      </c>
      <c r="I40">
        <f>IF($H40="","",COUNTIF(명단표[현재 진료과],$H40))</f>
        <v/>
      </c>
      <c r="K40">
        <f>IFERROR(INDEX(인턴구분표[인턴 구분],34)&amp;"","")</f>
        <v/>
      </c>
      <c r="L40">
        <f>IF($K40="","",COUNTIF(명단표[현재 진료과],$K40))</f>
        <v/>
      </c>
    </row>
    <row r="41">
      <c r="D41">
        <f>IFERROR(INDEX(병원표[병원],35)&amp;"","")</f>
        <v/>
      </c>
      <c r="E41">
        <f>IF($D41="","",COUNTIF(명단표[현재 근무병원],$D41))</f>
        <v/>
      </c>
      <c r="F41">
        <f>IF($D41="","",COUNTIF(명단표[급여지급병원(기준월)],$D41))</f>
        <v/>
      </c>
      <c r="H41">
        <f>IFERROR(INDEX(진료과표[근무과],35)&amp;"","")</f>
        <v/>
      </c>
      <c r="I41">
        <f>IF($H41="","",COUNTIF(명단표[현재 진료과],$H41))</f>
        <v/>
      </c>
      <c r="K41">
        <f>IFERROR(INDEX(인턴구분표[인턴 구분],35)&amp;"","")</f>
        <v/>
      </c>
      <c r="L41">
        <f>IF($K41="","",COUNTIF(명단표[현재 진료과],$K41))</f>
        <v/>
      </c>
    </row>
    <row r="42">
      <c r="D42">
        <f>IFERROR(INDEX(병원표[병원],36)&amp;"","")</f>
        <v/>
      </c>
      <c r="E42">
        <f>IF($D42="","",COUNTIF(명단표[현재 근무병원],$D42))</f>
        <v/>
      </c>
      <c r="F42">
        <f>IF($D42="","",COUNTIF(명단표[급여지급병원(기준월)],$D42))</f>
        <v/>
      </c>
      <c r="H42">
        <f>IFERROR(INDEX(진료과표[근무과],36)&amp;"","")</f>
        <v/>
      </c>
      <c r="I42">
        <f>IF($H42="","",COUNTIF(명단표[현재 진료과],$H42))</f>
        <v/>
      </c>
      <c r="K42">
        <f>IFERROR(INDEX(인턴구분표[인턴 구분],36)&amp;"","")</f>
        <v/>
      </c>
      <c r="L42">
        <f>IF($K42="","",COUNTIF(명단표[현재 진료과],$K42))</f>
        <v/>
      </c>
    </row>
    <row r="43">
      <c r="D43">
        <f>IFERROR(INDEX(병원표[병원],37)&amp;"","")</f>
        <v/>
      </c>
      <c r="E43">
        <f>IF($D43="","",COUNTIF(명단표[현재 근무병원],$D43))</f>
        <v/>
      </c>
      <c r="F43">
        <f>IF($D43="","",COUNTIF(명단표[급여지급병원(기준월)],$D43))</f>
        <v/>
      </c>
      <c r="H43">
        <f>IFERROR(INDEX(진료과표[근무과],37)&amp;"","")</f>
        <v/>
      </c>
      <c r="I43">
        <f>IF($H43="","",COUNTIF(명단표[현재 진료과],$H43))</f>
        <v/>
      </c>
      <c r="K43">
        <f>IFERROR(INDEX(인턴구분표[인턴 구분],37)&amp;"","")</f>
        <v/>
      </c>
      <c r="L43">
        <f>IF($K43="","",COUNTIF(명단표[현재 진료과],$K43))</f>
        <v/>
      </c>
    </row>
    <row r="44">
      <c r="D44">
        <f>IFERROR(INDEX(병원표[병원],38)&amp;"","")</f>
        <v/>
      </c>
      <c r="E44">
        <f>IF($D44="","",COUNTIF(명단표[현재 근무병원],$D44))</f>
        <v/>
      </c>
      <c r="F44">
        <f>IF($D44="","",COUNTIF(명단표[급여지급병원(기준월)],$D44))</f>
        <v/>
      </c>
      <c r="H44">
        <f>IFERROR(INDEX(진료과표[근무과],38)&amp;"","")</f>
        <v/>
      </c>
      <c r="I44">
        <f>IF($H44="","",COUNTIF(명단표[현재 진료과],$H44))</f>
        <v/>
      </c>
      <c r="K44">
        <f>IFERROR(INDEX(인턴구분표[인턴 구분],38)&amp;"","")</f>
        <v/>
      </c>
      <c r="L44">
        <f>IF($K44="","",COUNTIF(명단표[현재 진료과],$K44))</f>
        <v/>
      </c>
    </row>
    <row r="45">
      <c r="D45">
        <f>IFERROR(INDEX(병원표[병원],39)&amp;"","")</f>
        <v/>
      </c>
      <c r="E45">
        <f>IF($D45="","",COUNTIF(명단표[현재 근무병원],$D45))</f>
        <v/>
      </c>
      <c r="F45">
        <f>IF($D45="","",COUNTIF(명단표[급여지급병원(기준월)],$D45))</f>
        <v/>
      </c>
      <c r="H45">
        <f>IFERROR(INDEX(진료과표[근무과],39)&amp;"","")</f>
        <v/>
      </c>
      <c r="I45">
        <f>IF($H45="","",COUNTIF(명단표[현재 진료과],$H45))</f>
        <v/>
      </c>
      <c r="K45">
        <f>IFERROR(INDEX(인턴구분표[인턴 구분],39)&amp;"","")</f>
        <v/>
      </c>
      <c r="L45">
        <f>IF($K45="","",COUNTIF(명단표[현재 진료과],$K45))</f>
        <v/>
      </c>
    </row>
    <row r="46">
      <c r="D46">
        <f>IFERROR(INDEX(병원표[병원],40)&amp;"","")</f>
        <v/>
      </c>
      <c r="E46">
        <f>IF($D46="","",COUNTIF(명단표[현재 근무병원],$D46))</f>
        <v/>
      </c>
      <c r="F46">
        <f>IF($D46="","",COUNTIF(명단표[급여지급병원(기준월)],$D46))</f>
        <v/>
      </c>
      <c r="H46">
        <f>IFERROR(INDEX(진료과표[근무과],40)&amp;"","")</f>
        <v/>
      </c>
      <c r="I46">
        <f>IF($H46="","",COUNTIF(명단표[현재 진료과],$H46))</f>
        <v/>
      </c>
      <c r="K46">
        <f>IFERROR(INDEX(인턴구분표[인턴 구분],40)&amp;"","")</f>
        <v/>
      </c>
      <c r="L46">
        <f>IF($K46="","",COUNTIF(명단표[현재 진료과],$K46))</f>
        <v/>
      </c>
    </row>
  </sheetData>
  <conditionalFormatting sqref="B18:B26">
    <cfRule type="expression" priority="1" dxfId="0">
      <formula>B18&gt;0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Y6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0" customWidth="1" min="16" max="16"/>
    <col width="6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7">
        <f>TODAY()</f>
        <v/>
      </c>
      <c r="J2" s="17" t="inlineStr">
        <is>
          <t>급여 기준월 위치→</t>
        </is>
      </c>
      <c r="K2" s="28">
        <f>IFERROR(MATCH(MONTH(급여기준월),$J$3:$O$3,0),"")</f>
        <v/>
      </c>
      <c r="L2" s="16">
        <f>IF(SUMPRODUCT(--(TRIM(인턴계획표[이름]&amp;"")&lt;&gt;""))&gt;600,"⚠ 표시 한도(600명) 초과","")</f>
        <v/>
      </c>
      <c r="S2" s="3" t="inlineStr">
        <is>
          <t>월별 병원별 인턴 인원</t>
        </is>
      </c>
    </row>
    <row r="3">
      <c r="A3" s="17" t="inlineStr">
        <is>
          <t>계획 월 번호(자동)</t>
        </is>
      </c>
      <c r="F3" s="17" t="inlineStr">
        <is>
          <t>이번/다음 달 위치→</t>
        </is>
      </c>
      <c r="G3" s="28">
        <f>IFERROR(MATCH(MONTH(TODAY()),$J$3:$O$3,0),"")</f>
        <v/>
      </c>
      <c r="I3" s="28">
        <f>IFERROR(MATCH(MONTH(EDATE(TODAY(),1)),$J$3:$O$3,0),"")</f>
        <v/>
      </c>
      <c r="J3" s="28">
        <f>IFERROR(VALUE(SUBSTITUTE(TRIM(J5),"월","")),"")</f>
        <v/>
      </c>
      <c r="K3" s="28">
        <f>IFERROR(VALUE(SUBSTITUTE(TRIM(K5),"월","")),"")</f>
        <v/>
      </c>
      <c r="L3" s="28">
        <f>IFERROR(VALUE(SUBSTITUTE(TRIM(L5),"월","")),"")</f>
        <v/>
      </c>
      <c r="M3" s="28">
        <f>IFERROR(VALUE(SUBSTITUTE(TRIM(M5),"월","")),"")</f>
        <v/>
      </c>
      <c r="N3" s="28">
        <f>IFERROR(VALUE(SUBSTITUTE(TRIM(N5),"월","")),"")</f>
        <v/>
      </c>
      <c r="O3" s="28">
        <f>IFERROR(VALUE(SUBSTITUTE(TRIM(O5),"월","")),"")</f>
        <v/>
      </c>
      <c r="S3" s="4" t="inlineStr">
        <is>
          <t>병원</t>
        </is>
      </c>
      <c r="T3" s="4">
        <f>J5</f>
        <v/>
      </c>
      <c r="U3" s="4">
        <f>K5</f>
        <v/>
      </c>
      <c r="V3" s="4">
        <f>L5</f>
        <v/>
      </c>
      <c r="W3" s="4">
        <f>M5</f>
        <v/>
      </c>
      <c r="X3" s="4">
        <f>N5</f>
        <v/>
      </c>
      <c r="Y3" s="4">
        <f>O5</f>
        <v/>
      </c>
    </row>
    <row r="4">
      <c r="S4" s="29" t="inlineStr">
        <is>
          <t>합계(배정)</t>
        </is>
      </c>
      <c r="T4" s="21">
        <f>COUNTIF(인턴계획표[정규화1],"?*")</f>
        <v/>
      </c>
      <c r="U4" s="21">
        <f>COUNTIF(인턴계획표[정규화2],"?*")</f>
        <v/>
      </c>
      <c r="V4" s="21">
        <f>COUNTIF(인턴계획표[정규화3],"?*")</f>
        <v/>
      </c>
      <c r="W4" s="21">
        <f>COUNTIF(인턴계획표[정규화4],"?*")</f>
        <v/>
      </c>
      <c r="X4" s="21">
        <f>COUNTIF(인턴계획표[정규화5],"?*")</f>
        <v/>
      </c>
      <c r="Y4" s="21">
        <f>COUNTIF(인턴계획표[정규화6],"?*")</f>
        <v/>
      </c>
    </row>
    <row r="5" ht="30" customHeight="1">
      <c r="A5" s="4" t="inlineStr">
        <is>
          <t>순번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기본자료 확인</t>
        </is>
      </c>
      <c r="E5" s="4" t="inlineStr">
        <is>
          <t>입사일</t>
        </is>
      </c>
      <c r="F5" s="4">
        <f>"이번 달("&amp;IF($G$3="","계획 외",MONTH(TODAY())&amp;"월")&amp;") 병원"</f>
        <v/>
      </c>
      <c r="G5" s="4" t="inlineStr">
        <is>
          <t>이번 달 진료과</t>
        </is>
      </c>
      <c r="H5" s="4">
        <f>"다음 달("&amp;IF($I$3="","계획 외",MONTH(EDATE(TODAY(),1))&amp;"월")&amp;") 병원"</f>
        <v/>
      </c>
      <c r="I5" s="4" t="inlineStr">
        <is>
          <t>다음 달 진료과</t>
        </is>
      </c>
      <c r="J5" s="4">
        <f>TRIM(INDEX(인턴계획표[#Headers],1,4)&amp;"")</f>
        <v/>
      </c>
      <c r="K5" s="4">
        <f>TRIM(INDEX(인턴계획표[#Headers],1,5)&amp;"")</f>
        <v/>
      </c>
      <c r="L5" s="4">
        <f>TRIM(INDEX(인턴계획표[#Headers],1,6)&amp;"")</f>
        <v/>
      </c>
      <c r="M5" s="4">
        <f>TRIM(INDEX(인턴계획표[#Headers],1,7)&amp;"")</f>
        <v/>
      </c>
      <c r="N5" s="4">
        <f>TRIM(INDEX(인턴계획표[#Headers],1,8)&amp;"")</f>
        <v/>
      </c>
      <c r="O5" s="4">
        <f>TRIM(INDEX(인턴계획표[#Headers],1,9)&amp;"")</f>
        <v/>
      </c>
      <c r="P5" s="4" t="inlineStr">
        <is>
          <t>입력오류</t>
        </is>
      </c>
      <c r="Q5" s="18" t="inlineStr">
        <is>
          <t>(계획 행)</t>
        </is>
      </c>
      <c r="S5" s="29" t="inlineStr">
        <is>
          <t>⚠ 오류</t>
        </is>
      </c>
      <c r="T5" s="21">
        <f>COUNTIF(인턴계획표[정규화1],"⚠*")</f>
        <v/>
      </c>
      <c r="U5" s="21">
        <f>COUNTIF(인턴계획표[정규화2],"⚠*")</f>
        <v/>
      </c>
      <c r="V5" s="21">
        <f>COUNTIF(인턴계획표[정규화3],"⚠*")</f>
        <v/>
      </c>
      <c r="W5" s="21">
        <f>COUNTIF(인턴계획표[정규화4],"⚠*")</f>
        <v/>
      </c>
      <c r="X5" s="21">
        <f>COUNTIF(인턴계획표[정규화5],"⚠*")</f>
        <v/>
      </c>
      <c r="Y5" s="21">
        <f>COUNTIF(인턴계획표[정규화6],"⚠*")</f>
        <v/>
      </c>
    </row>
    <row r="6">
      <c r="A6">
        <f>IF($Q6="","",INDEX(인턴계획표[순번],$Q6)&amp;"")</f>
        <v/>
      </c>
      <c r="B6">
        <f>IF($Q6="",IF(SUMPRODUCT(--(TRIM(인턴계획표[이름]&amp;"")&lt;&gt;""))=0,"인턴 계획 없음",""),TRIM(INDEX(인턴계획표[이름],$Q6)&amp;""))</f>
        <v/>
      </c>
      <c r="C6">
        <f>IF($Q6="","",INDEX(인턴계획표[사번],$Q6)&amp;"")</f>
        <v/>
      </c>
      <c r="D6">
        <f>IF($Q6="","",IF(COUNTIF(기본자료표[사번키],INDEX(인턴계획표[사번키],$Q6))&gt;0,"확인","미등록"))</f>
        <v/>
      </c>
      <c r="E6">
        <f>IF($Q6="","",IF(ISNUMBER(INDEX(인턴계획표[입사일(비고)],$Q6)),TEXT(INDEX(인턴계획표[입사일(비고)],$Q6),"yyyy-mm-dd"),INDEX(인턴계획표[입사일(비고)],$Q6)&amp;""))</f>
        <v/>
      </c>
      <c r="F6">
        <f>IF($Q6="","",IF(IF($G$3="","",INDEX(인턴계획표[[정규화1]:[정규화6]],$Q6,$G$3)&amp;"")="","",IF(LEFT(IF($G$3="","",INDEX(인턴계획표[[정규화1]:[정규화6]],$Q6,$G$3)&amp;""),1)="⚠",IF($G$3="","",INDEX(인턴계획표[[정규화1]:[정규화6]],$Q6,$G$3)&amp;""),IFERROR(LEFT(IF($G$3="","",INDEX(인턴계획표[[정규화1]:[정규화6]],$Q6,$G$3)&amp;""),FIND(" ",IF($G$3="","",INDEX(인턴계획표[[정규화1]:[정규화6]],$Q6,$G$3)&amp;""))-1),IF($G$3="","",INDEX(인턴계획표[[정규화1]:[정규화6]],$Q6,$G$3)&amp;"")))))</f>
        <v/>
      </c>
      <c r="G6">
        <f>IF($Q6="","",IF(IF($G$3="","",INDEX(인턴계획표[[정규화1]:[정규화6]],$Q6,$G$3)&amp;"")="","",IF(LEFT(IF($G$3="","",INDEX(인턴계획표[[정규화1]:[정규화6]],$Q6,$G$3)&amp;""),1)="⚠","",IFERROR(MID(IF($G$3="","",INDEX(인턴계획표[[정규화1]:[정규화6]],$Q6,$G$3)&amp;""),FIND(" ",IF($G$3="","",INDEX(인턴계획표[[정규화1]:[정규화6]],$Q6,$G$3)&amp;""))+1,60),""))))</f>
        <v/>
      </c>
      <c r="H6">
        <f>IF($Q6="","",IF(IF($I$3="","",INDEX(인턴계획표[[정규화1]:[정규화6]],$Q6,$I$3)&amp;"")="","",IF(LEFT(IF($I$3="","",INDEX(인턴계획표[[정규화1]:[정규화6]],$Q6,$I$3)&amp;""),1)="⚠",IF($I$3="","",INDEX(인턴계획표[[정규화1]:[정규화6]],$Q6,$I$3)&amp;""),IFERROR(LEFT(IF($I$3="","",INDEX(인턴계획표[[정규화1]:[정규화6]],$Q6,$I$3)&amp;""),FIND(" ",IF($I$3="","",INDEX(인턴계획표[[정규화1]:[정규화6]],$Q6,$I$3)&amp;""))-1),IF($I$3="","",INDEX(인턴계획표[[정규화1]:[정규화6]],$Q6,$I$3)&amp;"")))))</f>
        <v/>
      </c>
      <c r="I6">
        <f>IF($Q6="","",IF(IF($I$3="","",INDEX(인턴계획표[[정규화1]:[정규화6]],$Q6,$I$3)&amp;"")="","",IF(LEFT(IF($I$3="","",INDEX(인턴계획표[[정규화1]:[정규화6]],$Q6,$I$3)&amp;""),1)="⚠","",IFERROR(MID(IF($I$3="","",INDEX(인턴계획표[[정규화1]:[정규화6]],$Q6,$I$3)&amp;""),FIND(" ",IF($I$3="","",INDEX(인턴계획표[[정규화1]:[정규화6]],$Q6,$I$3)&amp;""))+1,60),""))))</f>
        <v/>
      </c>
      <c r="J6">
        <f>IF($Q6="","",INDEX(인턴계획표[정규화1],$Q6))</f>
        <v/>
      </c>
      <c r="K6">
        <f>IF($Q6="","",INDEX(인턴계획표[정규화2],$Q6))</f>
        <v/>
      </c>
      <c r="L6">
        <f>IF($Q6="","",INDEX(인턴계획표[정규화3],$Q6))</f>
        <v/>
      </c>
      <c r="M6">
        <f>IF($Q6="","",INDEX(인턴계획표[정규화4],$Q6))</f>
        <v/>
      </c>
      <c r="N6">
        <f>IF($Q6="","",INDEX(인턴계획표[정규화5],$Q6))</f>
        <v/>
      </c>
      <c r="O6">
        <f>IF($Q6="","",INDEX(인턴계획표[정규화6],$Q6))</f>
        <v/>
      </c>
      <c r="P6">
        <f>IF($Q6="","",INDEX(인턴계획표[입력오류],$Q6))</f>
        <v/>
      </c>
      <c r="Q6" s="17">
        <f>IFERROR(MATCH(1,인턴계획표[표시순번],0),"")</f>
        <v/>
      </c>
      <c r="S6">
        <f>IFERROR(INDEX(병원표[병원],1)&amp;"","")</f>
        <v/>
      </c>
      <c r="T6">
        <f>IF($S6="","",COUNTIF(인턴계획표[정규화1],$S6&amp;" *"))</f>
        <v/>
      </c>
      <c r="U6">
        <f>IF($S6="","",COUNTIF(인턴계획표[정규화2],$S6&amp;" *"))</f>
        <v/>
      </c>
      <c r="V6">
        <f>IF($S6="","",COUNTIF(인턴계획표[정규화3],$S6&amp;" *"))</f>
        <v/>
      </c>
      <c r="W6">
        <f>IF($S6="","",COUNTIF(인턴계획표[정규화4],$S6&amp;" *"))</f>
        <v/>
      </c>
      <c r="X6">
        <f>IF($S6="","",COUNTIF(인턴계획표[정규화5],$S6&amp;" *"))</f>
        <v/>
      </c>
      <c r="Y6">
        <f>IF($S6="","",COUNTIF(인턴계획표[정규화6],$S6&amp;" *"))</f>
        <v/>
      </c>
    </row>
    <row r="7">
      <c r="A7">
        <f>IF($Q7="","",INDEX(인턴계획표[순번],$Q7)&amp;"")</f>
        <v/>
      </c>
      <c r="B7">
        <f>IF($Q7="","",TRIM(INDEX(인턴계획표[이름],$Q7)&amp;""))</f>
        <v/>
      </c>
      <c r="C7">
        <f>IF($Q7="","",INDEX(인턴계획표[사번],$Q7)&amp;"")</f>
        <v/>
      </c>
      <c r="D7">
        <f>IF($Q7="","",IF(COUNTIF(기본자료표[사번키],INDEX(인턴계획표[사번키],$Q7))&gt;0,"확인","미등록"))</f>
        <v/>
      </c>
      <c r="E7">
        <f>IF($Q7="","",IF(ISNUMBER(INDEX(인턴계획표[입사일(비고)],$Q7)),TEXT(INDEX(인턴계획표[입사일(비고)],$Q7),"yyyy-mm-dd"),INDEX(인턴계획표[입사일(비고)],$Q7)&amp;""))</f>
        <v/>
      </c>
      <c r="F7">
        <f>IF($Q7="","",IF(IF($G$3="","",INDEX(인턴계획표[[정규화1]:[정규화6]],$Q7,$G$3)&amp;"")="","",IF(LEFT(IF($G$3="","",INDEX(인턴계획표[[정규화1]:[정규화6]],$Q7,$G$3)&amp;""),1)="⚠",IF($G$3="","",INDEX(인턴계획표[[정규화1]:[정규화6]],$Q7,$G$3)&amp;""),IFERROR(LEFT(IF($G$3="","",INDEX(인턴계획표[[정규화1]:[정규화6]],$Q7,$G$3)&amp;""),FIND(" ",IF($G$3="","",INDEX(인턴계획표[[정규화1]:[정규화6]],$Q7,$G$3)&amp;""))-1),IF($G$3="","",INDEX(인턴계획표[[정규화1]:[정규화6]],$Q7,$G$3)&amp;"")))))</f>
        <v/>
      </c>
      <c r="G7">
        <f>IF($Q7="","",IF(IF($G$3="","",INDEX(인턴계획표[[정규화1]:[정규화6]],$Q7,$G$3)&amp;"")="","",IF(LEFT(IF($G$3="","",INDEX(인턴계획표[[정규화1]:[정규화6]],$Q7,$G$3)&amp;""),1)="⚠","",IFERROR(MID(IF($G$3="","",INDEX(인턴계획표[[정규화1]:[정규화6]],$Q7,$G$3)&amp;""),FIND(" ",IF($G$3="","",INDEX(인턴계획표[[정규화1]:[정규화6]],$Q7,$G$3)&amp;""))+1,60),""))))</f>
        <v/>
      </c>
      <c r="H7">
        <f>IF($Q7="","",IF(IF($I$3="","",INDEX(인턴계획표[[정규화1]:[정규화6]],$Q7,$I$3)&amp;"")="","",IF(LEFT(IF($I$3="","",INDEX(인턴계획표[[정규화1]:[정규화6]],$Q7,$I$3)&amp;""),1)="⚠",IF($I$3="","",INDEX(인턴계획표[[정규화1]:[정규화6]],$Q7,$I$3)&amp;""),IFERROR(LEFT(IF($I$3="","",INDEX(인턴계획표[[정규화1]:[정규화6]],$Q7,$I$3)&amp;""),FIND(" ",IF($I$3="","",INDEX(인턴계획표[[정규화1]:[정규화6]],$Q7,$I$3)&amp;""))-1),IF($I$3="","",INDEX(인턴계획표[[정규화1]:[정규화6]],$Q7,$I$3)&amp;"")))))</f>
        <v/>
      </c>
      <c r="I7">
        <f>IF($Q7="","",IF(IF($I$3="","",INDEX(인턴계획표[[정규화1]:[정규화6]],$Q7,$I$3)&amp;"")="","",IF(LEFT(IF($I$3="","",INDEX(인턴계획표[[정규화1]:[정규화6]],$Q7,$I$3)&amp;""),1)="⚠","",IFERROR(MID(IF($I$3="","",INDEX(인턴계획표[[정규화1]:[정규화6]],$Q7,$I$3)&amp;""),FIND(" ",IF($I$3="","",INDEX(인턴계획표[[정규화1]:[정규화6]],$Q7,$I$3)&amp;""))+1,60),""))))</f>
        <v/>
      </c>
      <c r="J7">
        <f>IF($Q7="","",INDEX(인턴계획표[정규화1],$Q7))</f>
        <v/>
      </c>
      <c r="K7">
        <f>IF($Q7="","",INDEX(인턴계획표[정규화2],$Q7))</f>
        <v/>
      </c>
      <c r="L7">
        <f>IF($Q7="","",INDEX(인턴계획표[정규화3],$Q7))</f>
        <v/>
      </c>
      <c r="M7">
        <f>IF($Q7="","",INDEX(인턴계획표[정규화4],$Q7))</f>
        <v/>
      </c>
      <c r="N7">
        <f>IF($Q7="","",INDEX(인턴계획표[정규화5],$Q7))</f>
        <v/>
      </c>
      <c r="O7">
        <f>IF($Q7="","",INDEX(인턴계획표[정규화6],$Q7))</f>
        <v/>
      </c>
      <c r="P7">
        <f>IF($Q7="","",INDEX(인턴계획표[입력오류],$Q7))</f>
        <v/>
      </c>
      <c r="Q7" s="17">
        <f>IFERROR(MATCH(2,인턴계획표[표시순번],0),"")</f>
        <v/>
      </c>
      <c r="S7">
        <f>IFERROR(INDEX(병원표[병원],2)&amp;"","")</f>
        <v/>
      </c>
      <c r="T7">
        <f>IF($S7="","",COUNTIF(인턴계획표[정규화1],$S7&amp;" *"))</f>
        <v/>
      </c>
      <c r="U7">
        <f>IF($S7="","",COUNTIF(인턴계획표[정규화2],$S7&amp;" *"))</f>
        <v/>
      </c>
      <c r="V7">
        <f>IF($S7="","",COUNTIF(인턴계획표[정규화3],$S7&amp;" *"))</f>
        <v/>
      </c>
      <c r="W7">
        <f>IF($S7="","",COUNTIF(인턴계획표[정규화4],$S7&amp;" *"))</f>
        <v/>
      </c>
      <c r="X7">
        <f>IF($S7="","",COUNTIF(인턴계획표[정규화5],$S7&amp;" *"))</f>
        <v/>
      </c>
      <c r="Y7">
        <f>IF($S7="","",COUNTIF(인턴계획표[정규화6],$S7&amp;" *"))</f>
        <v/>
      </c>
    </row>
    <row r="8">
      <c r="A8">
        <f>IF($Q8="","",INDEX(인턴계획표[순번],$Q8)&amp;"")</f>
        <v/>
      </c>
      <c r="B8">
        <f>IF($Q8="","",TRIM(INDEX(인턴계획표[이름],$Q8)&amp;""))</f>
        <v/>
      </c>
      <c r="C8">
        <f>IF($Q8="","",INDEX(인턴계획표[사번],$Q8)&amp;"")</f>
        <v/>
      </c>
      <c r="D8">
        <f>IF($Q8="","",IF(COUNTIF(기본자료표[사번키],INDEX(인턴계획표[사번키],$Q8))&gt;0,"확인","미등록"))</f>
        <v/>
      </c>
      <c r="E8">
        <f>IF($Q8="","",IF(ISNUMBER(INDEX(인턴계획표[입사일(비고)],$Q8)),TEXT(INDEX(인턴계획표[입사일(비고)],$Q8),"yyyy-mm-dd"),INDEX(인턴계획표[입사일(비고)],$Q8)&amp;""))</f>
        <v/>
      </c>
      <c r="F8">
        <f>IF($Q8="","",IF(IF($G$3="","",INDEX(인턴계획표[[정규화1]:[정규화6]],$Q8,$G$3)&amp;"")="","",IF(LEFT(IF($G$3="","",INDEX(인턴계획표[[정규화1]:[정규화6]],$Q8,$G$3)&amp;""),1)="⚠",IF($G$3="","",INDEX(인턴계획표[[정규화1]:[정규화6]],$Q8,$G$3)&amp;""),IFERROR(LEFT(IF($G$3="","",INDEX(인턴계획표[[정규화1]:[정규화6]],$Q8,$G$3)&amp;""),FIND(" ",IF($G$3="","",INDEX(인턴계획표[[정규화1]:[정규화6]],$Q8,$G$3)&amp;""))-1),IF($G$3="","",INDEX(인턴계획표[[정규화1]:[정규화6]],$Q8,$G$3)&amp;"")))))</f>
        <v/>
      </c>
      <c r="G8">
        <f>IF($Q8="","",IF(IF($G$3="","",INDEX(인턴계획표[[정규화1]:[정규화6]],$Q8,$G$3)&amp;"")="","",IF(LEFT(IF($G$3="","",INDEX(인턴계획표[[정규화1]:[정규화6]],$Q8,$G$3)&amp;""),1)="⚠","",IFERROR(MID(IF($G$3="","",INDEX(인턴계획표[[정규화1]:[정규화6]],$Q8,$G$3)&amp;""),FIND(" ",IF($G$3="","",INDEX(인턴계획표[[정규화1]:[정규화6]],$Q8,$G$3)&amp;""))+1,60),""))))</f>
        <v/>
      </c>
      <c r="H8">
        <f>IF($Q8="","",IF(IF($I$3="","",INDEX(인턴계획표[[정규화1]:[정규화6]],$Q8,$I$3)&amp;"")="","",IF(LEFT(IF($I$3="","",INDEX(인턴계획표[[정규화1]:[정규화6]],$Q8,$I$3)&amp;""),1)="⚠",IF($I$3="","",INDEX(인턴계획표[[정규화1]:[정규화6]],$Q8,$I$3)&amp;""),IFERROR(LEFT(IF($I$3="","",INDEX(인턴계획표[[정규화1]:[정규화6]],$Q8,$I$3)&amp;""),FIND(" ",IF($I$3="","",INDEX(인턴계획표[[정규화1]:[정규화6]],$Q8,$I$3)&amp;""))-1),IF($I$3="","",INDEX(인턴계획표[[정규화1]:[정규화6]],$Q8,$I$3)&amp;"")))))</f>
        <v/>
      </c>
      <c r="I8">
        <f>IF($Q8="","",IF(IF($I$3="","",INDEX(인턴계획표[[정규화1]:[정규화6]],$Q8,$I$3)&amp;"")="","",IF(LEFT(IF($I$3="","",INDEX(인턴계획표[[정규화1]:[정규화6]],$Q8,$I$3)&amp;""),1)="⚠","",IFERROR(MID(IF($I$3="","",INDEX(인턴계획표[[정규화1]:[정규화6]],$Q8,$I$3)&amp;""),FIND(" ",IF($I$3="","",INDEX(인턴계획표[[정규화1]:[정규화6]],$Q8,$I$3)&amp;""))+1,60),""))))</f>
        <v/>
      </c>
      <c r="J8">
        <f>IF($Q8="","",INDEX(인턴계획표[정규화1],$Q8))</f>
        <v/>
      </c>
      <c r="K8">
        <f>IF($Q8="","",INDEX(인턴계획표[정규화2],$Q8))</f>
        <v/>
      </c>
      <c r="L8">
        <f>IF($Q8="","",INDEX(인턴계획표[정규화3],$Q8))</f>
        <v/>
      </c>
      <c r="M8">
        <f>IF($Q8="","",INDEX(인턴계획표[정규화4],$Q8))</f>
        <v/>
      </c>
      <c r="N8">
        <f>IF($Q8="","",INDEX(인턴계획표[정규화5],$Q8))</f>
        <v/>
      </c>
      <c r="O8">
        <f>IF($Q8="","",INDEX(인턴계획표[정규화6],$Q8))</f>
        <v/>
      </c>
      <c r="P8">
        <f>IF($Q8="","",INDEX(인턴계획표[입력오류],$Q8))</f>
        <v/>
      </c>
      <c r="Q8" s="17">
        <f>IFERROR(MATCH(3,인턴계획표[표시순번],0),"")</f>
        <v/>
      </c>
      <c r="S8">
        <f>IFERROR(INDEX(병원표[병원],3)&amp;"","")</f>
        <v/>
      </c>
      <c r="T8">
        <f>IF($S8="","",COUNTIF(인턴계획표[정규화1],$S8&amp;" *"))</f>
        <v/>
      </c>
      <c r="U8">
        <f>IF($S8="","",COUNTIF(인턴계획표[정규화2],$S8&amp;" *"))</f>
        <v/>
      </c>
      <c r="V8">
        <f>IF($S8="","",COUNTIF(인턴계획표[정규화3],$S8&amp;" *"))</f>
        <v/>
      </c>
      <c r="W8">
        <f>IF($S8="","",COUNTIF(인턴계획표[정규화4],$S8&amp;" *"))</f>
        <v/>
      </c>
      <c r="X8">
        <f>IF($S8="","",COUNTIF(인턴계획표[정규화5],$S8&amp;" *"))</f>
        <v/>
      </c>
      <c r="Y8">
        <f>IF($S8="","",COUNTIF(인턴계획표[정규화6],$S8&amp;" *"))</f>
        <v/>
      </c>
    </row>
    <row r="9">
      <c r="A9">
        <f>IF($Q9="","",INDEX(인턴계획표[순번],$Q9)&amp;"")</f>
        <v/>
      </c>
      <c r="B9">
        <f>IF($Q9="","",TRIM(INDEX(인턴계획표[이름],$Q9)&amp;""))</f>
        <v/>
      </c>
      <c r="C9">
        <f>IF($Q9="","",INDEX(인턴계획표[사번],$Q9)&amp;"")</f>
        <v/>
      </c>
      <c r="D9">
        <f>IF($Q9="","",IF(COUNTIF(기본자료표[사번키],INDEX(인턴계획표[사번키],$Q9))&gt;0,"확인","미등록"))</f>
        <v/>
      </c>
      <c r="E9">
        <f>IF($Q9="","",IF(ISNUMBER(INDEX(인턴계획표[입사일(비고)],$Q9)),TEXT(INDEX(인턴계획표[입사일(비고)],$Q9),"yyyy-mm-dd"),INDEX(인턴계획표[입사일(비고)],$Q9)&amp;""))</f>
        <v/>
      </c>
      <c r="F9">
        <f>IF($Q9="","",IF(IF($G$3="","",INDEX(인턴계획표[[정규화1]:[정규화6]],$Q9,$G$3)&amp;"")="","",IF(LEFT(IF($G$3="","",INDEX(인턴계획표[[정규화1]:[정규화6]],$Q9,$G$3)&amp;""),1)="⚠",IF($G$3="","",INDEX(인턴계획표[[정규화1]:[정규화6]],$Q9,$G$3)&amp;""),IFERROR(LEFT(IF($G$3="","",INDEX(인턴계획표[[정규화1]:[정규화6]],$Q9,$G$3)&amp;""),FIND(" ",IF($G$3="","",INDEX(인턴계획표[[정규화1]:[정규화6]],$Q9,$G$3)&amp;""))-1),IF($G$3="","",INDEX(인턴계획표[[정규화1]:[정규화6]],$Q9,$G$3)&amp;"")))))</f>
        <v/>
      </c>
      <c r="G9">
        <f>IF($Q9="","",IF(IF($G$3="","",INDEX(인턴계획표[[정규화1]:[정규화6]],$Q9,$G$3)&amp;"")="","",IF(LEFT(IF($G$3="","",INDEX(인턴계획표[[정규화1]:[정규화6]],$Q9,$G$3)&amp;""),1)="⚠","",IFERROR(MID(IF($G$3="","",INDEX(인턴계획표[[정규화1]:[정규화6]],$Q9,$G$3)&amp;""),FIND(" ",IF($G$3="","",INDEX(인턴계획표[[정규화1]:[정규화6]],$Q9,$G$3)&amp;""))+1,60),""))))</f>
        <v/>
      </c>
      <c r="H9">
        <f>IF($Q9="","",IF(IF($I$3="","",INDEX(인턴계획표[[정규화1]:[정규화6]],$Q9,$I$3)&amp;"")="","",IF(LEFT(IF($I$3="","",INDEX(인턴계획표[[정규화1]:[정규화6]],$Q9,$I$3)&amp;""),1)="⚠",IF($I$3="","",INDEX(인턴계획표[[정규화1]:[정규화6]],$Q9,$I$3)&amp;""),IFERROR(LEFT(IF($I$3="","",INDEX(인턴계획표[[정규화1]:[정규화6]],$Q9,$I$3)&amp;""),FIND(" ",IF($I$3="","",INDEX(인턴계획표[[정규화1]:[정규화6]],$Q9,$I$3)&amp;""))-1),IF($I$3="","",INDEX(인턴계획표[[정규화1]:[정규화6]],$Q9,$I$3)&amp;"")))))</f>
        <v/>
      </c>
      <c r="I9">
        <f>IF($Q9="","",IF(IF($I$3="","",INDEX(인턴계획표[[정규화1]:[정규화6]],$Q9,$I$3)&amp;"")="","",IF(LEFT(IF($I$3="","",INDEX(인턴계획표[[정규화1]:[정규화6]],$Q9,$I$3)&amp;""),1)="⚠","",IFERROR(MID(IF($I$3="","",INDEX(인턴계획표[[정규화1]:[정규화6]],$Q9,$I$3)&amp;""),FIND(" ",IF($I$3="","",INDEX(인턴계획표[[정규화1]:[정규화6]],$Q9,$I$3)&amp;""))+1,60),""))))</f>
        <v/>
      </c>
      <c r="J9">
        <f>IF($Q9="","",INDEX(인턴계획표[정규화1],$Q9))</f>
        <v/>
      </c>
      <c r="K9">
        <f>IF($Q9="","",INDEX(인턴계획표[정규화2],$Q9))</f>
        <v/>
      </c>
      <c r="L9">
        <f>IF($Q9="","",INDEX(인턴계획표[정규화3],$Q9))</f>
        <v/>
      </c>
      <c r="M9">
        <f>IF($Q9="","",INDEX(인턴계획표[정규화4],$Q9))</f>
        <v/>
      </c>
      <c r="N9">
        <f>IF($Q9="","",INDEX(인턴계획표[정규화5],$Q9))</f>
        <v/>
      </c>
      <c r="O9">
        <f>IF($Q9="","",INDEX(인턴계획표[정규화6],$Q9))</f>
        <v/>
      </c>
      <c r="P9">
        <f>IF($Q9="","",INDEX(인턴계획표[입력오류],$Q9))</f>
        <v/>
      </c>
      <c r="Q9" s="17">
        <f>IFERROR(MATCH(4,인턴계획표[표시순번],0),"")</f>
        <v/>
      </c>
      <c r="S9">
        <f>IFERROR(INDEX(병원표[병원],4)&amp;"","")</f>
        <v/>
      </c>
      <c r="T9">
        <f>IF($S9="","",COUNTIF(인턴계획표[정규화1],$S9&amp;" *"))</f>
        <v/>
      </c>
      <c r="U9">
        <f>IF($S9="","",COUNTIF(인턴계획표[정규화2],$S9&amp;" *"))</f>
        <v/>
      </c>
      <c r="V9">
        <f>IF($S9="","",COUNTIF(인턴계획표[정규화3],$S9&amp;" *"))</f>
        <v/>
      </c>
      <c r="W9">
        <f>IF($S9="","",COUNTIF(인턴계획표[정규화4],$S9&amp;" *"))</f>
        <v/>
      </c>
      <c r="X9">
        <f>IF($S9="","",COUNTIF(인턴계획표[정규화5],$S9&amp;" *"))</f>
        <v/>
      </c>
      <c r="Y9">
        <f>IF($S9="","",COUNTIF(인턴계획표[정규화6],$S9&amp;" *"))</f>
        <v/>
      </c>
    </row>
    <row r="10">
      <c r="A10">
        <f>IF($Q10="","",INDEX(인턴계획표[순번],$Q10)&amp;"")</f>
        <v/>
      </c>
      <c r="B10">
        <f>IF($Q10="","",TRIM(INDEX(인턴계획표[이름],$Q10)&amp;""))</f>
        <v/>
      </c>
      <c r="C10">
        <f>IF($Q10="","",INDEX(인턴계획표[사번],$Q10)&amp;"")</f>
        <v/>
      </c>
      <c r="D10">
        <f>IF($Q10="","",IF(COUNTIF(기본자료표[사번키],INDEX(인턴계획표[사번키],$Q10))&gt;0,"확인","미등록"))</f>
        <v/>
      </c>
      <c r="E10">
        <f>IF($Q10="","",IF(ISNUMBER(INDEX(인턴계획표[입사일(비고)],$Q10)),TEXT(INDEX(인턴계획표[입사일(비고)],$Q10),"yyyy-mm-dd"),INDEX(인턴계획표[입사일(비고)],$Q10)&amp;""))</f>
        <v/>
      </c>
      <c r="F10">
        <f>IF($Q10="","",IF(IF($G$3="","",INDEX(인턴계획표[[정규화1]:[정규화6]],$Q10,$G$3)&amp;"")="","",IF(LEFT(IF($G$3="","",INDEX(인턴계획표[[정규화1]:[정규화6]],$Q10,$G$3)&amp;""),1)="⚠",IF($G$3="","",INDEX(인턴계획표[[정규화1]:[정규화6]],$Q10,$G$3)&amp;""),IFERROR(LEFT(IF($G$3="","",INDEX(인턴계획표[[정규화1]:[정규화6]],$Q10,$G$3)&amp;""),FIND(" ",IF($G$3="","",INDEX(인턴계획표[[정규화1]:[정규화6]],$Q10,$G$3)&amp;""))-1),IF($G$3="","",INDEX(인턴계획표[[정규화1]:[정규화6]],$Q10,$G$3)&amp;"")))))</f>
        <v/>
      </c>
      <c r="G10">
        <f>IF($Q10="","",IF(IF($G$3="","",INDEX(인턴계획표[[정규화1]:[정규화6]],$Q10,$G$3)&amp;"")="","",IF(LEFT(IF($G$3="","",INDEX(인턴계획표[[정규화1]:[정규화6]],$Q10,$G$3)&amp;""),1)="⚠","",IFERROR(MID(IF($G$3="","",INDEX(인턴계획표[[정규화1]:[정규화6]],$Q10,$G$3)&amp;""),FIND(" ",IF($G$3="","",INDEX(인턴계획표[[정규화1]:[정규화6]],$Q10,$G$3)&amp;""))+1,60),""))))</f>
        <v/>
      </c>
      <c r="H10">
        <f>IF($Q10="","",IF(IF($I$3="","",INDEX(인턴계획표[[정규화1]:[정규화6]],$Q10,$I$3)&amp;"")="","",IF(LEFT(IF($I$3="","",INDEX(인턴계획표[[정규화1]:[정규화6]],$Q10,$I$3)&amp;""),1)="⚠",IF($I$3="","",INDEX(인턴계획표[[정규화1]:[정규화6]],$Q10,$I$3)&amp;""),IFERROR(LEFT(IF($I$3="","",INDEX(인턴계획표[[정규화1]:[정규화6]],$Q10,$I$3)&amp;""),FIND(" ",IF($I$3="","",INDEX(인턴계획표[[정규화1]:[정규화6]],$Q10,$I$3)&amp;""))-1),IF($I$3="","",INDEX(인턴계획표[[정규화1]:[정규화6]],$Q10,$I$3)&amp;"")))))</f>
        <v/>
      </c>
      <c r="I10">
        <f>IF($Q10="","",IF(IF($I$3="","",INDEX(인턴계획표[[정규화1]:[정규화6]],$Q10,$I$3)&amp;"")="","",IF(LEFT(IF($I$3="","",INDEX(인턴계획표[[정규화1]:[정규화6]],$Q10,$I$3)&amp;""),1)="⚠","",IFERROR(MID(IF($I$3="","",INDEX(인턴계획표[[정규화1]:[정규화6]],$Q10,$I$3)&amp;""),FIND(" ",IF($I$3="","",INDEX(인턴계획표[[정규화1]:[정규화6]],$Q10,$I$3)&amp;""))+1,60),""))))</f>
        <v/>
      </c>
      <c r="J10">
        <f>IF($Q10="","",INDEX(인턴계획표[정규화1],$Q10))</f>
        <v/>
      </c>
      <c r="K10">
        <f>IF($Q10="","",INDEX(인턴계획표[정규화2],$Q10))</f>
        <v/>
      </c>
      <c r="L10">
        <f>IF($Q10="","",INDEX(인턴계획표[정규화3],$Q10))</f>
        <v/>
      </c>
      <c r="M10">
        <f>IF($Q10="","",INDEX(인턴계획표[정규화4],$Q10))</f>
        <v/>
      </c>
      <c r="N10">
        <f>IF($Q10="","",INDEX(인턴계획표[정규화5],$Q10))</f>
        <v/>
      </c>
      <c r="O10">
        <f>IF($Q10="","",INDEX(인턴계획표[정규화6],$Q10))</f>
        <v/>
      </c>
      <c r="P10">
        <f>IF($Q10="","",INDEX(인턴계획표[입력오류],$Q10))</f>
        <v/>
      </c>
      <c r="Q10" s="17">
        <f>IFERROR(MATCH(5,인턴계획표[표시순번],0),"")</f>
        <v/>
      </c>
      <c r="S10">
        <f>IFERROR(INDEX(병원표[병원],5)&amp;"","")</f>
        <v/>
      </c>
      <c r="T10">
        <f>IF($S10="","",COUNTIF(인턴계획표[정규화1],$S10&amp;" *"))</f>
        <v/>
      </c>
      <c r="U10">
        <f>IF($S10="","",COUNTIF(인턴계획표[정규화2],$S10&amp;" *"))</f>
        <v/>
      </c>
      <c r="V10">
        <f>IF($S10="","",COUNTIF(인턴계획표[정규화3],$S10&amp;" *"))</f>
        <v/>
      </c>
      <c r="W10">
        <f>IF($S10="","",COUNTIF(인턴계획표[정규화4],$S10&amp;" *"))</f>
        <v/>
      </c>
      <c r="X10">
        <f>IF($S10="","",COUNTIF(인턴계획표[정규화5],$S10&amp;" *"))</f>
        <v/>
      </c>
      <c r="Y10">
        <f>IF($S10="","",COUNTIF(인턴계획표[정규화6],$S10&amp;" *"))</f>
        <v/>
      </c>
    </row>
    <row r="11">
      <c r="A11">
        <f>IF($Q11="","",INDEX(인턴계획표[순번],$Q11)&amp;"")</f>
        <v/>
      </c>
      <c r="B11">
        <f>IF($Q11="","",TRIM(INDEX(인턴계획표[이름],$Q11)&amp;""))</f>
        <v/>
      </c>
      <c r="C11">
        <f>IF($Q11="","",INDEX(인턴계획표[사번],$Q11)&amp;"")</f>
        <v/>
      </c>
      <c r="D11">
        <f>IF($Q11="","",IF(COUNTIF(기본자료표[사번키],INDEX(인턴계획표[사번키],$Q11))&gt;0,"확인","미등록"))</f>
        <v/>
      </c>
      <c r="E11">
        <f>IF($Q11="","",IF(ISNUMBER(INDEX(인턴계획표[입사일(비고)],$Q11)),TEXT(INDEX(인턴계획표[입사일(비고)],$Q11),"yyyy-mm-dd"),INDEX(인턴계획표[입사일(비고)],$Q11)&amp;""))</f>
        <v/>
      </c>
      <c r="F11">
        <f>IF($Q11="","",IF(IF($G$3="","",INDEX(인턴계획표[[정규화1]:[정규화6]],$Q11,$G$3)&amp;"")="","",IF(LEFT(IF($G$3="","",INDEX(인턴계획표[[정규화1]:[정규화6]],$Q11,$G$3)&amp;""),1)="⚠",IF($G$3="","",INDEX(인턴계획표[[정규화1]:[정규화6]],$Q11,$G$3)&amp;""),IFERROR(LEFT(IF($G$3="","",INDEX(인턴계획표[[정규화1]:[정규화6]],$Q11,$G$3)&amp;""),FIND(" ",IF($G$3="","",INDEX(인턴계획표[[정규화1]:[정규화6]],$Q11,$G$3)&amp;""))-1),IF($G$3="","",INDEX(인턴계획표[[정규화1]:[정규화6]],$Q11,$G$3)&amp;"")))))</f>
        <v/>
      </c>
      <c r="G11">
        <f>IF($Q11="","",IF(IF($G$3="","",INDEX(인턴계획표[[정규화1]:[정규화6]],$Q11,$G$3)&amp;"")="","",IF(LEFT(IF($G$3="","",INDEX(인턴계획표[[정규화1]:[정규화6]],$Q11,$G$3)&amp;""),1)="⚠","",IFERROR(MID(IF($G$3="","",INDEX(인턴계획표[[정규화1]:[정규화6]],$Q11,$G$3)&amp;""),FIND(" ",IF($G$3="","",INDEX(인턴계획표[[정규화1]:[정규화6]],$Q11,$G$3)&amp;""))+1,60),""))))</f>
        <v/>
      </c>
      <c r="H11">
        <f>IF($Q11="","",IF(IF($I$3="","",INDEX(인턴계획표[[정규화1]:[정규화6]],$Q11,$I$3)&amp;"")="","",IF(LEFT(IF($I$3="","",INDEX(인턴계획표[[정규화1]:[정규화6]],$Q11,$I$3)&amp;""),1)="⚠",IF($I$3="","",INDEX(인턴계획표[[정규화1]:[정규화6]],$Q11,$I$3)&amp;""),IFERROR(LEFT(IF($I$3="","",INDEX(인턴계획표[[정규화1]:[정규화6]],$Q11,$I$3)&amp;""),FIND(" ",IF($I$3="","",INDEX(인턴계획표[[정규화1]:[정규화6]],$Q11,$I$3)&amp;""))-1),IF($I$3="","",INDEX(인턴계획표[[정규화1]:[정규화6]],$Q11,$I$3)&amp;"")))))</f>
        <v/>
      </c>
      <c r="I11">
        <f>IF($Q11="","",IF(IF($I$3="","",INDEX(인턴계획표[[정규화1]:[정규화6]],$Q11,$I$3)&amp;"")="","",IF(LEFT(IF($I$3="","",INDEX(인턴계획표[[정규화1]:[정규화6]],$Q11,$I$3)&amp;""),1)="⚠","",IFERROR(MID(IF($I$3="","",INDEX(인턴계획표[[정규화1]:[정규화6]],$Q11,$I$3)&amp;""),FIND(" ",IF($I$3="","",INDEX(인턴계획표[[정규화1]:[정규화6]],$Q11,$I$3)&amp;""))+1,60),""))))</f>
        <v/>
      </c>
      <c r="J11">
        <f>IF($Q11="","",INDEX(인턴계획표[정규화1],$Q11))</f>
        <v/>
      </c>
      <c r="K11">
        <f>IF($Q11="","",INDEX(인턴계획표[정규화2],$Q11))</f>
        <v/>
      </c>
      <c r="L11">
        <f>IF($Q11="","",INDEX(인턴계획표[정규화3],$Q11))</f>
        <v/>
      </c>
      <c r="M11">
        <f>IF($Q11="","",INDEX(인턴계획표[정규화4],$Q11))</f>
        <v/>
      </c>
      <c r="N11">
        <f>IF($Q11="","",INDEX(인턴계획표[정규화5],$Q11))</f>
        <v/>
      </c>
      <c r="O11">
        <f>IF($Q11="","",INDEX(인턴계획표[정규화6],$Q11))</f>
        <v/>
      </c>
      <c r="P11">
        <f>IF($Q11="","",INDEX(인턴계획표[입력오류],$Q11))</f>
        <v/>
      </c>
      <c r="Q11" s="17">
        <f>IFERROR(MATCH(6,인턴계획표[표시순번],0),"")</f>
        <v/>
      </c>
      <c r="S11">
        <f>IFERROR(INDEX(병원표[병원],6)&amp;"","")</f>
        <v/>
      </c>
      <c r="T11">
        <f>IF($S11="","",COUNTIF(인턴계획표[정규화1],$S11&amp;" *"))</f>
        <v/>
      </c>
      <c r="U11">
        <f>IF($S11="","",COUNTIF(인턴계획표[정규화2],$S11&amp;" *"))</f>
        <v/>
      </c>
      <c r="V11">
        <f>IF($S11="","",COUNTIF(인턴계획표[정규화3],$S11&amp;" *"))</f>
        <v/>
      </c>
      <c r="W11">
        <f>IF($S11="","",COUNTIF(인턴계획표[정규화4],$S11&amp;" *"))</f>
        <v/>
      </c>
      <c r="X11">
        <f>IF($S11="","",COUNTIF(인턴계획표[정규화5],$S11&amp;" *"))</f>
        <v/>
      </c>
      <c r="Y11">
        <f>IF($S11="","",COUNTIF(인턴계획표[정규화6],$S11&amp;" *"))</f>
        <v/>
      </c>
    </row>
    <row r="12">
      <c r="A12">
        <f>IF($Q12="","",INDEX(인턴계획표[순번],$Q12)&amp;"")</f>
        <v/>
      </c>
      <c r="B12">
        <f>IF($Q12="","",TRIM(INDEX(인턴계획표[이름],$Q12)&amp;""))</f>
        <v/>
      </c>
      <c r="C12">
        <f>IF($Q12="","",INDEX(인턴계획표[사번],$Q12)&amp;"")</f>
        <v/>
      </c>
      <c r="D12">
        <f>IF($Q12="","",IF(COUNTIF(기본자료표[사번키],INDEX(인턴계획표[사번키],$Q12))&gt;0,"확인","미등록"))</f>
        <v/>
      </c>
      <c r="E12">
        <f>IF($Q12="","",IF(ISNUMBER(INDEX(인턴계획표[입사일(비고)],$Q12)),TEXT(INDEX(인턴계획표[입사일(비고)],$Q12),"yyyy-mm-dd"),INDEX(인턴계획표[입사일(비고)],$Q12)&amp;""))</f>
        <v/>
      </c>
      <c r="F12">
        <f>IF($Q12="","",IF(IF($G$3="","",INDEX(인턴계획표[[정규화1]:[정규화6]],$Q12,$G$3)&amp;"")="","",IF(LEFT(IF($G$3="","",INDEX(인턴계획표[[정규화1]:[정규화6]],$Q12,$G$3)&amp;""),1)="⚠",IF($G$3="","",INDEX(인턴계획표[[정규화1]:[정규화6]],$Q12,$G$3)&amp;""),IFERROR(LEFT(IF($G$3="","",INDEX(인턴계획표[[정규화1]:[정규화6]],$Q12,$G$3)&amp;""),FIND(" ",IF($G$3="","",INDEX(인턴계획표[[정규화1]:[정규화6]],$Q12,$G$3)&amp;""))-1),IF($G$3="","",INDEX(인턴계획표[[정규화1]:[정규화6]],$Q12,$G$3)&amp;"")))))</f>
        <v/>
      </c>
      <c r="G12">
        <f>IF($Q12="","",IF(IF($G$3="","",INDEX(인턴계획표[[정규화1]:[정규화6]],$Q12,$G$3)&amp;"")="","",IF(LEFT(IF($G$3="","",INDEX(인턴계획표[[정규화1]:[정규화6]],$Q12,$G$3)&amp;""),1)="⚠","",IFERROR(MID(IF($G$3="","",INDEX(인턴계획표[[정규화1]:[정규화6]],$Q12,$G$3)&amp;""),FIND(" ",IF($G$3="","",INDEX(인턴계획표[[정규화1]:[정규화6]],$Q12,$G$3)&amp;""))+1,60),""))))</f>
        <v/>
      </c>
      <c r="H12">
        <f>IF($Q12="","",IF(IF($I$3="","",INDEX(인턴계획표[[정규화1]:[정규화6]],$Q12,$I$3)&amp;"")="","",IF(LEFT(IF($I$3="","",INDEX(인턴계획표[[정규화1]:[정규화6]],$Q12,$I$3)&amp;""),1)="⚠",IF($I$3="","",INDEX(인턴계획표[[정규화1]:[정규화6]],$Q12,$I$3)&amp;""),IFERROR(LEFT(IF($I$3="","",INDEX(인턴계획표[[정규화1]:[정규화6]],$Q12,$I$3)&amp;""),FIND(" ",IF($I$3="","",INDEX(인턴계획표[[정규화1]:[정규화6]],$Q12,$I$3)&amp;""))-1),IF($I$3="","",INDEX(인턴계획표[[정규화1]:[정규화6]],$Q12,$I$3)&amp;"")))))</f>
        <v/>
      </c>
      <c r="I12">
        <f>IF($Q12="","",IF(IF($I$3="","",INDEX(인턴계획표[[정규화1]:[정규화6]],$Q12,$I$3)&amp;"")="","",IF(LEFT(IF($I$3="","",INDEX(인턴계획표[[정규화1]:[정규화6]],$Q12,$I$3)&amp;""),1)="⚠","",IFERROR(MID(IF($I$3="","",INDEX(인턴계획표[[정규화1]:[정규화6]],$Q12,$I$3)&amp;""),FIND(" ",IF($I$3="","",INDEX(인턴계획표[[정규화1]:[정규화6]],$Q12,$I$3)&amp;""))+1,60),""))))</f>
        <v/>
      </c>
      <c r="J12">
        <f>IF($Q12="","",INDEX(인턴계획표[정규화1],$Q12))</f>
        <v/>
      </c>
      <c r="K12">
        <f>IF($Q12="","",INDEX(인턴계획표[정규화2],$Q12))</f>
        <v/>
      </c>
      <c r="L12">
        <f>IF($Q12="","",INDEX(인턴계획표[정규화3],$Q12))</f>
        <v/>
      </c>
      <c r="M12">
        <f>IF($Q12="","",INDEX(인턴계획표[정규화4],$Q12))</f>
        <v/>
      </c>
      <c r="N12">
        <f>IF($Q12="","",INDEX(인턴계획표[정규화5],$Q12))</f>
        <v/>
      </c>
      <c r="O12">
        <f>IF($Q12="","",INDEX(인턴계획표[정규화6],$Q12))</f>
        <v/>
      </c>
      <c r="P12">
        <f>IF($Q12="","",INDEX(인턴계획표[입력오류],$Q12))</f>
        <v/>
      </c>
      <c r="Q12" s="17">
        <f>IFERROR(MATCH(7,인턴계획표[표시순번],0),"")</f>
        <v/>
      </c>
      <c r="S12">
        <f>IFERROR(INDEX(병원표[병원],7)&amp;"","")</f>
        <v/>
      </c>
      <c r="T12">
        <f>IF($S12="","",COUNTIF(인턴계획표[정규화1],$S12&amp;" *"))</f>
        <v/>
      </c>
      <c r="U12">
        <f>IF($S12="","",COUNTIF(인턴계획표[정규화2],$S12&amp;" *"))</f>
        <v/>
      </c>
      <c r="V12">
        <f>IF($S12="","",COUNTIF(인턴계획표[정규화3],$S12&amp;" *"))</f>
        <v/>
      </c>
      <c r="W12">
        <f>IF($S12="","",COUNTIF(인턴계획표[정규화4],$S12&amp;" *"))</f>
        <v/>
      </c>
      <c r="X12">
        <f>IF($S12="","",COUNTIF(인턴계획표[정규화5],$S12&amp;" *"))</f>
        <v/>
      </c>
      <c r="Y12">
        <f>IF($S12="","",COUNTIF(인턴계획표[정규화6],$S12&amp;" *"))</f>
        <v/>
      </c>
    </row>
    <row r="13">
      <c r="A13">
        <f>IF($Q13="","",INDEX(인턴계획표[순번],$Q13)&amp;"")</f>
        <v/>
      </c>
      <c r="B13">
        <f>IF($Q13="","",TRIM(INDEX(인턴계획표[이름],$Q13)&amp;""))</f>
        <v/>
      </c>
      <c r="C13">
        <f>IF($Q13="","",INDEX(인턴계획표[사번],$Q13)&amp;"")</f>
        <v/>
      </c>
      <c r="D13">
        <f>IF($Q13="","",IF(COUNTIF(기본자료표[사번키],INDEX(인턴계획표[사번키],$Q13))&gt;0,"확인","미등록"))</f>
        <v/>
      </c>
      <c r="E13">
        <f>IF($Q13="","",IF(ISNUMBER(INDEX(인턴계획표[입사일(비고)],$Q13)),TEXT(INDEX(인턴계획표[입사일(비고)],$Q13),"yyyy-mm-dd"),INDEX(인턴계획표[입사일(비고)],$Q13)&amp;""))</f>
        <v/>
      </c>
      <c r="F13">
        <f>IF($Q13="","",IF(IF($G$3="","",INDEX(인턴계획표[[정규화1]:[정규화6]],$Q13,$G$3)&amp;"")="","",IF(LEFT(IF($G$3="","",INDEX(인턴계획표[[정규화1]:[정규화6]],$Q13,$G$3)&amp;""),1)="⚠",IF($G$3="","",INDEX(인턴계획표[[정규화1]:[정규화6]],$Q13,$G$3)&amp;""),IFERROR(LEFT(IF($G$3="","",INDEX(인턴계획표[[정규화1]:[정규화6]],$Q13,$G$3)&amp;""),FIND(" ",IF($G$3="","",INDEX(인턴계획표[[정규화1]:[정규화6]],$Q13,$G$3)&amp;""))-1),IF($G$3="","",INDEX(인턴계획표[[정규화1]:[정규화6]],$Q13,$G$3)&amp;"")))))</f>
        <v/>
      </c>
      <c r="G13">
        <f>IF($Q13="","",IF(IF($G$3="","",INDEX(인턴계획표[[정규화1]:[정규화6]],$Q13,$G$3)&amp;"")="","",IF(LEFT(IF($G$3="","",INDEX(인턴계획표[[정규화1]:[정규화6]],$Q13,$G$3)&amp;""),1)="⚠","",IFERROR(MID(IF($G$3="","",INDEX(인턴계획표[[정규화1]:[정규화6]],$Q13,$G$3)&amp;""),FIND(" ",IF($G$3="","",INDEX(인턴계획표[[정규화1]:[정규화6]],$Q13,$G$3)&amp;""))+1,60),""))))</f>
        <v/>
      </c>
      <c r="H13">
        <f>IF($Q13="","",IF(IF($I$3="","",INDEX(인턴계획표[[정규화1]:[정규화6]],$Q13,$I$3)&amp;"")="","",IF(LEFT(IF($I$3="","",INDEX(인턴계획표[[정규화1]:[정규화6]],$Q13,$I$3)&amp;""),1)="⚠",IF($I$3="","",INDEX(인턴계획표[[정규화1]:[정규화6]],$Q13,$I$3)&amp;""),IFERROR(LEFT(IF($I$3="","",INDEX(인턴계획표[[정규화1]:[정규화6]],$Q13,$I$3)&amp;""),FIND(" ",IF($I$3="","",INDEX(인턴계획표[[정규화1]:[정규화6]],$Q13,$I$3)&amp;""))-1),IF($I$3="","",INDEX(인턴계획표[[정규화1]:[정규화6]],$Q13,$I$3)&amp;"")))))</f>
        <v/>
      </c>
      <c r="I13">
        <f>IF($Q13="","",IF(IF($I$3="","",INDEX(인턴계획표[[정규화1]:[정규화6]],$Q13,$I$3)&amp;"")="","",IF(LEFT(IF($I$3="","",INDEX(인턴계획표[[정규화1]:[정규화6]],$Q13,$I$3)&amp;""),1)="⚠","",IFERROR(MID(IF($I$3="","",INDEX(인턴계획표[[정규화1]:[정규화6]],$Q13,$I$3)&amp;""),FIND(" ",IF($I$3="","",INDEX(인턴계획표[[정규화1]:[정규화6]],$Q13,$I$3)&amp;""))+1,60),""))))</f>
        <v/>
      </c>
      <c r="J13">
        <f>IF($Q13="","",INDEX(인턴계획표[정규화1],$Q13))</f>
        <v/>
      </c>
      <c r="K13">
        <f>IF($Q13="","",INDEX(인턴계획표[정규화2],$Q13))</f>
        <v/>
      </c>
      <c r="L13">
        <f>IF($Q13="","",INDEX(인턴계획표[정규화3],$Q13))</f>
        <v/>
      </c>
      <c r="M13">
        <f>IF($Q13="","",INDEX(인턴계획표[정규화4],$Q13))</f>
        <v/>
      </c>
      <c r="N13">
        <f>IF($Q13="","",INDEX(인턴계획표[정규화5],$Q13))</f>
        <v/>
      </c>
      <c r="O13">
        <f>IF($Q13="","",INDEX(인턴계획표[정규화6],$Q13))</f>
        <v/>
      </c>
      <c r="P13">
        <f>IF($Q13="","",INDEX(인턴계획표[입력오류],$Q13))</f>
        <v/>
      </c>
      <c r="Q13" s="17">
        <f>IFERROR(MATCH(8,인턴계획표[표시순번],0),"")</f>
        <v/>
      </c>
      <c r="S13">
        <f>IFERROR(INDEX(병원표[병원],8)&amp;"","")</f>
        <v/>
      </c>
      <c r="T13">
        <f>IF($S13="","",COUNTIF(인턴계획표[정규화1],$S13&amp;" *"))</f>
        <v/>
      </c>
      <c r="U13">
        <f>IF($S13="","",COUNTIF(인턴계획표[정규화2],$S13&amp;" *"))</f>
        <v/>
      </c>
      <c r="V13">
        <f>IF($S13="","",COUNTIF(인턴계획표[정규화3],$S13&amp;" *"))</f>
        <v/>
      </c>
      <c r="W13">
        <f>IF($S13="","",COUNTIF(인턴계획표[정규화4],$S13&amp;" *"))</f>
        <v/>
      </c>
      <c r="X13">
        <f>IF($S13="","",COUNTIF(인턴계획표[정규화5],$S13&amp;" *"))</f>
        <v/>
      </c>
      <c r="Y13">
        <f>IF($S13="","",COUNTIF(인턴계획표[정규화6],$S13&amp;" *"))</f>
        <v/>
      </c>
    </row>
    <row r="14">
      <c r="A14">
        <f>IF($Q14="","",INDEX(인턴계획표[순번],$Q14)&amp;"")</f>
        <v/>
      </c>
      <c r="B14">
        <f>IF($Q14="","",TRIM(INDEX(인턴계획표[이름],$Q14)&amp;""))</f>
        <v/>
      </c>
      <c r="C14">
        <f>IF($Q14="","",INDEX(인턴계획표[사번],$Q14)&amp;"")</f>
        <v/>
      </c>
      <c r="D14">
        <f>IF($Q14="","",IF(COUNTIF(기본자료표[사번키],INDEX(인턴계획표[사번키],$Q14))&gt;0,"확인","미등록"))</f>
        <v/>
      </c>
      <c r="E14">
        <f>IF($Q14="","",IF(ISNUMBER(INDEX(인턴계획표[입사일(비고)],$Q14)),TEXT(INDEX(인턴계획표[입사일(비고)],$Q14),"yyyy-mm-dd"),INDEX(인턴계획표[입사일(비고)],$Q14)&amp;""))</f>
        <v/>
      </c>
      <c r="F14">
        <f>IF($Q14="","",IF(IF($G$3="","",INDEX(인턴계획표[[정규화1]:[정규화6]],$Q14,$G$3)&amp;"")="","",IF(LEFT(IF($G$3="","",INDEX(인턴계획표[[정규화1]:[정규화6]],$Q14,$G$3)&amp;""),1)="⚠",IF($G$3="","",INDEX(인턴계획표[[정규화1]:[정규화6]],$Q14,$G$3)&amp;""),IFERROR(LEFT(IF($G$3="","",INDEX(인턴계획표[[정규화1]:[정규화6]],$Q14,$G$3)&amp;""),FIND(" ",IF($G$3="","",INDEX(인턴계획표[[정규화1]:[정규화6]],$Q14,$G$3)&amp;""))-1),IF($G$3="","",INDEX(인턴계획표[[정규화1]:[정규화6]],$Q14,$G$3)&amp;"")))))</f>
        <v/>
      </c>
      <c r="G14">
        <f>IF($Q14="","",IF(IF($G$3="","",INDEX(인턴계획표[[정규화1]:[정규화6]],$Q14,$G$3)&amp;"")="","",IF(LEFT(IF($G$3="","",INDEX(인턴계획표[[정규화1]:[정규화6]],$Q14,$G$3)&amp;""),1)="⚠","",IFERROR(MID(IF($G$3="","",INDEX(인턴계획표[[정규화1]:[정규화6]],$Q14,$G$3)&amp;""),FIND(" ",IF($G$3="","",INDEX(인턴계획표[[정규화1]:[정규화6]],$Q14,$G$3)&amp;""))+1,60),""))))</f>
        <v/>
      </c>
      <c r="H14">
        <f>IF($Q14="","",IF(IF($I$3="","",INDEX(인턴계획표[[정규화1]:[정규화6]],$Q14,$I$3)&amp;"")="","",IF(LEFT(IF($I$3="","",INDEX(인턴계획표[[정규화1]:[정규화6]],$Q14,$I$3)&amp;""),1)="⚠",IF($I$3="","",INDEX(인턴계획표[[정규화1]:[정규화6]],$Q14,$I$3)&amp;""),IFERROR(LEFT(IF($I$3="","",INDEX(인턴계획표[[정규화1]:[정규화6]],$Q14,$I$3)&amp;""),FIND(" ",IF($I$3="","",INDEX(인턴계획표[[정규화1]:[정규화6]],$Q14,$I$3)&amp;""))-1),IF($I$3="","",INDEX(인턴계획표[[정규화1]:[정규화6]],$Q14,$I$3)&amp;"")))))</f>
        <v/>
      </c>
      <c r="I14">
        <f>IF($Q14="","",IF(IF($I$3="","",INDEX(인턴계획표[[정규화1]:[정규화6]],$Q14,$I$3)&amp;"")="","",IF(LEFT(IF($I$3="","",INDEX(인턴계획표[[정규화1]:[정규화6]],$Q14,$I$3)&amp;""),1)="⚠","",IFERROR(MID(IF($I$3="","",INDEX(인턴계획표[[정규화1]:[정규화6]],$Q14,$I$3)&amp;""),FIND(" ",IF($I$3="","",INDEX(인턴계획표[[정규화1]:[정규화6]],$Q14,$I$3)&amp;""))+1,60),""))))</f>
        <v/>
      </c>
      <c r="J14">
        <f>IF($Q14="","",INDEX(인턴계획표[정규화1],$Q14))</f>
        <v/>
      </c>
      <c r="K14">
        <f>IF($Q14="","",INDEX(인턴계획표[정규화2],$Q14))</f>
        <v/>
      </c>
      <c r="L14">
        <f>IF($Q14="","",INDEX(인턴계획표[정규화3],$Q14))</f>
        <v/>
      </c>
      <c r="M14">
        <f>IF($Q14="","",INDEX(인턴계획표[정규화4],$Q14))</f>
        <v/>
      </c>
      <c r="N14">
        <f>IF($Q14="","",INDEX(인턴계획표[정규화5],$Q14))</f>
        <v/>
      </c>
      <c r="O14">
        <f>IF($Q14="","",INDEX(인턴계획표[정규화6],$Q14))</f>
        <v/>
      </c>
      <c r="P14">
        <f>IF($Q14="","",INDEX(인턴계획표[입력오류],$Q14))</f>
        <v/>
      </c>
      <c r="Q14" s="17">
        <f>IFERROR(MATCH(9,인턴계획표[표시순번],0),"")</f>
        <v/>
      </c>
      <c r="S14">
        <f>IFERROR(INDEX(병원표[병원],9)&amp;"","")</f>
        <v/>
      </c>
      <c r="T14">
        <f>IF($S14="","",COUNTIF(인턴계획표[정규화1],$S14&amp;" *"))</f>
        <v/>
      </c>
      <c r="U14">
        <f>IF($S14="","",COUNTIF(인턴계획표[정규화2],$S14&amp;" *"))</f>
        <v/>
      </c>
      <c r="V14">
        <f>IF($S14="","",COUNTIF(인턴계획표[정규화3],$S14&amp;" *"))</f>
        <v/>
      </c>
      <c r="W14">
        <f>IF($S14="","",COUNTIF(인턴계획표[정규화4],$S14&amp;" *"))</f>
        <v/>
      </c>
      <c r="X14">
        <f>IF($S14="","",COUNTIF(인턴계획표[정규화5],$S14&amp;" *"))</f>
        <v/>
      </c>
      <c r="Y14">
        <f>IF($S14="","",COUNTIF(인턴계획표[정규화6],$S14&amp;" *"))</f>
        <v/>
      </c>
    </row>
    <row r="15">
      <c r="A15">
        <f>IF($Q15="","",INDEX(인턴계획표[순번],$Q15)&amp;"")</f>
        <v/>
      </c>
      <c r="B15">
        <f>IF($Q15="","",TRIM(INDEX(인턴계획표[이름],$Q15)&amp;""))</f>
        <v/>
      </c>
      <c r="C15">
        <f>IF($Q15="","",INDEX(인턴계획표[사번],$Q15)&amp;"")</f>
        <v/>
      </c>
      <c r="D15">
        <f>IF($Q15="","",IF(COUNTIF(기본자료표[사번키],INDEX(인턴계획표[사번키],$Q15))&gt;0,"확인","미등록"))</f>
        <v/>
      </c>
      <c r="E15">
        <f>IF($Q15="","",IF(ISNUMBER(INDEX(인턴계획표[입사일(비고)],$Q15)),TEXT(INDEX(인턴계획표[입사일(비고)],$Q15),"yyyy-mm-dd"),INDEX(인턴계획표[입사일(비고)],$Q15)&amp;""))</f>
        <v/>
      </c>
      <c r="F15">
        <f>IF($Q15="","",IF(IF($G$3="","",INDEX(인턴계획표[[정규화1]:[정규화6]],$Q15,$G$3)&amp;"")="","",IF(LEFT(IF($G$3="","",INDEX(인턴계획표[[정규화1]:[정규화6]],$Q15,$G$3)&amp;""),1)="⚠",IF($G$3="","",INDEX(인턴계획표[[정규화1]:[정규화6]],$Q15,$G$3)&amp;""),IFERROR(LEFT(IF($G$3="","",INDEX(인턴계획표[[정규화1]:[정규화6]],$Q15,$G$3)&amp;""),FIND(" ",IF($G$3="","",INDEX(인턴계획표[[정규화1]:[정규화6]],$Q15,$G$3)&amp;""))-1),IF($G$3="","",INDEX(인턴계획표[[정규화1]:[정규화6]],$Q15,$G$3)&amp;"")))))</f>
        <v/>
      </c>
      <c r="G15">
        <f>IF($Q15="","",IF(IF($G$3="","",INDEX(인턴계획표[[정규화1]:[정규화6]],$Q15,$G$3)&amp;"")="","",IF(LEFT(IF($G$3="","",INDEX(인턴계획표[[정규화1]:[정규화6]],$Q15,$G$3)&amp;""),1)="⚠","",IFERROR(MID(IF($G$3="","",INDEX(인턴계획표[[정규화1]:[정규화6]],$Q15,$G$3)&amp;""),FIND(" ",IF($G$3="","",INDEX(인턴계획표[[정규화1]:[정규화6]],$Q15,$G$3)&amp;""))+1,60),""))))</f>
        <v/>
      </c>
      <c r="H15">
        <f>IF($Q15="","",IF(IF($I$3="","",INDEX(인턴계획표[[정규화1]:[정규화6]],$Q15,$I$3)&amp;"")="","",IF(LEFT(IF($I$3="","",INDEX(인턴계획표[[정규화1]:[정규화6]],$Q15,$I$3)&amp;""),1)="⚠",IF($I$3="","",INDEX(인턴계획표[[정규화1]:[정규화6]],$Q15,$I$3)&amp;""),IFERROR(LEFT(IF($I$3="","",INDEX(인턴계획표[[정규화1]:[정규화6]],$Q15,$I$3)&amp;""),FIND(" ",IF($I$3="","",INDEX(인턴계획표[[정규화1]:[정규화6]],$Q15,$I$3)&amp;""))-1),IF($I$3="","",INDEX(인턴계획표[[정규화1]:[정규화6]],$Q15,$I$3)&amp;"")))))</f>
        <v/>
      </c>
      <c r="I15">
        <f>IF($Q15="","",IF(IF($I$3="","",INDEX(인턴계획표[[정규화1]:[정규화6]],$Q15,$I$3)&amp;"")="","",IF(LEFT(IF($I$3="","",INDEX(인턴계획표[[정규화1]:[정규화6]],$Q15,$I$3)&amp;""),1)="⚠","",IFERROR(MID(IF($I$3="","",INDEX(인턴계획표[[정규화1]:[정규화6]],$Q15,$I$3)&amp;""),FIND(" ",IF($I$3="","",INDEX(인턴계획표[[정규화1]:[정규화6]],$Q15,$I$3)&amp;""))+1,60),""))))</f>
        <v/>
      </c>
      <c r="J15">
        <f>IF($Q15="","",INDEX(인턴계획표[정규화1],$Q15))</f>
        <v/>
      </c>
      <c r="K15">
        <f>IF($Q15="","",INDEX(인턴계획표[정규화2],$Q15))</f>
        <v/>
      </c>
      <c r="L15">
        <f>IF($Q15="","",INDEX(인턴계획표[정규화3],$Q15))</f>
        <v/>
      </c>
      <c r="M15">
        <f>IF($Q15="","",INDEX(인턴계획표[정규화4],$Q15))</f>
        <v/>
      </c>
      <c r="N15">
        <f>IF($Q15="","",INDEX(인턴계획표[정규화5],$Q15))</f>
        <v/>
      </c>
      <c r="O15">
        <f>IF($Q15="","",INDEX(인턴계획표[정규화6],$Q15))</f>
        <v/>
      </c>
      <c r="P15">
        <f>IF($Q15="","",INDEX(인턴계획표[입력오류],$Q15))</f>
        <v/>
      </c>
      <c r="Q15" s="17">
        <f>IFERROR(MATCH(10,인턴계획표[표시순번],0),"")</f>
        <v/>
      </c>
      <c r="S15">
        <f>IFERROR(INDEX(병원표[병원],10)&amp;"","")</f>
        <v/>
      </c>
      <c r="T15">
        <f>IF($S15="","",COUNTIF(인턴계획표[정규화1],$S15&amp;" *"))</f>
        <v/>
      </c>
      <c r="U15">
        <f>IF($S15="","",COUNTIF(인턴계획표[정규화2],$S15&amp;" *"))</f>
        <v/>
      </c>
      <c r="V15">
        <f>IF($S15="","",COUNTIF(인턴계획표[정규화3],$S15&amp;" *"))</f>
        <v/>
      </c>
      <c r="W15">
        <f>IF($S15="","",COUNTIF(인턴계획표[정규화4],$S15&amp;" *"))</f>
        <v/>
      </c>
      <c r="X15">
        <f>IF($S15="","",COUNTIF(인턴계획표[정규화5],$S15&amp;" *"))</f>
        <v/>
      </c>
      <c r="Y15">
        <f>IF($S15="","",COUNTIF(인턴계획표[정규화6],$S15&amp;" *"))</f>
        <v/>
      </c>
    </row>
    <row r="16">
      <c r="A16">
        <f>IF($Q16="","",INDEX(인턴계획표[순번],$Q16)&amp;"")</f>
        <v/>
      </c>
      <c r="B16">
        <f>IF($Q16="","",TRIM(INDEX(인턴계획표[이름],$Q16)&amp;""))</f>
        <v/>
      </c>
      <c r="C16">
        <f>IF($Q16="","",INDEX(인턴계획표[사번],$Q16)&amp;"")</f>
        <v/>
      </c>
      <c r="D16">
        <f>IF($Q16="","",IF(COUNTIF(기본자료표[사번키],INDEX(인턴계획표[사번키],$Q16))&gt;0,"확인","미등록"))</f>
        <v/>
      </c>
      <c r="E16">
        <f>IF($Q16="","",IF(ISNUMBER(INDEX(인턴계획표[입사일(비고)],$Q16)),TEXT(INDEX(인턴계획표[입사일(비고)],$Q16),"yyyy-mm-dd"),INDEX(인턴계획표[입사일(비고)],$Q16)&amp;""))</f>
        <v/>
      </c>
      <c r="F16">
        <f>IF($Q16="","",IF(IF($G$3="","",INDEX(인턴계획표[[정규화1]:[정규화6]],$Q16,$G$3)&amp;"")="","",IF(LEFT(IF($G$3="","",INDEX(인턴계획표[[정규화1]:[정규화6]],$Q16,$G$3)&amp;""),1)="⚠",IF($G$3="","",INDEX(인턴계획표[[정규화1]:[정규화6]],$Q16,$G$3)&amp;""),IFERROR(LEFT(IF($G$3="","",INDEX(인턴계획표[[정규화1]:[정규화6]],$Q16,$G$3)&amp;""),FIND(" ",IF($G$3="","",INDEX(인턴계획표[[정규화1]:[정규화6]],$Q16,$G$3)&amp;""))-1),IF($G$3="","",INDEX(인턴계획표[[정규화1]:[정규화6]],$Q16,$G$3)&amp;"")))))</f>
        <v/>
      </c>
      <c r="G16">
        <f>IF($Q16="","",IF(IF($G$3="","",INDEX(인턴계획표[[정규화1]:[정규화6]],$Q16,$G$3)&amp;"")="","",IF(LEFT(IF($G$3="","",INDEX(인턴계획표[[정규화1]:[정규화6]],$Q16,$G$3)&amp;""),1)="⚠","",IFERROR(MID(IF($G$3="","",INDEX(인턴계획표[[정규화1]:[정규화6]],$Q16,$G$3)&amp;""),FIND(" ",IF($G$3="","",INDEX(인턴계획표[[정규화1]:[정규화6]],$Q16,$G$3)&amp;""))+1,60),""))))</f>
        <v/>
      </c>
      <c r="H16">
        <f>IF($Q16="","",IF(IF($I$3="","",INDEX(인턴계획표[[정규화1]:[정규화6]],$Q16,$I$3)&amp;"")="","",IF(LEFT(IF($I$3="","",INDEX(인턴계획표[[정규화1]:[정규화6]],$Q16,$I$3)&amp;""),1)="⚠",IF($I$3="","",INDEX(인턴계획표[[정규화1]:[정규화6]],$Q16,$I$3)&amp;""),IFERROR(LEFT(IF($I$3="","",INDEX(인턴계획표[[정규화1]:[정규화6]],$Q16,$I$3)&amp;""),FIND(" ",IF($I$3="","",INDEX(인턴계획표[[정규화1]:[정규화6]],$Q16,$I$3)&amp;""))-1),IF($I$3="","",INDEX(인턴계획표[[정규화1]:[정규화6]],$Q16,$I$3)&amp;"")))))</f>
        <v/>
      </c>
      <c r="I16">
        <f>IF($Q16="","",IF(IF($I$3="","",INDEX(인턴계획표[[정규화1]:[정규화6]],$Q16,$I$3)&amp;"")="","",IF(LEFT(IF($I$3="","",INDEX(인턴계획표[[정규화1]:[정규화6]],$Q16,$I$3)&amp;""),1)="⚠","",IFERROR(MID(IF($I$3="","",INDEX(인턴계획표[[정규화1]:[정규화6]],$Q16,$I$3)&amp;""),FIND(" ",IF($I$3="","",INDEX(인턴계획표[[정규화1]:[정규화6]],$Q16,$I$3)&amp;""))+1,60),""))))</f>
        <v/>
      </c>
      <c r="J16">
        <f>IF($Q16="","",INDEX(인턴계획표[정규화1],$Q16))</f>
        <v/>
      </c>
      <c r="K16">
        <f>IF($Q16="","",INDEX(인턴계획표[정규화2],$Q16))</f>
        <v/>
      </c>
      <c r="L16">
        <f>IF($Q16="","",INDEX(인턴계획표[정규화3],$Q16))</f>
        <v/>
      </c>
      <c r="M16">
        <f>IF($Q16="","",INDEX(인턴계획표[정규화4],$Q16))</f>
        <v/>
      </c>
      <c r="N16">
        <f>IF($Q16="","",INDEX(인턴계획표[정규화5],$Q16))</f>
        <v/>
      </c>
      <c r="O16">
        <f>IF($Q16="","",INDEX(인턴계획표[정규화6],$Q16))</f>
        <v/>
      </c>
      <c r="P16">
        <f>IF($Q16="","",INDEX(인턴계획표[입력오류],$Q16))</f>
        <v/>
      </c>
      <c r="Q16" s="17">
        <f>IFERROR(MATCH(11,인턴계획표[표시순번],0),"")</f>
        <v/>
      </c>
      <c r="S16">
        <f>IFERROR(INDEX(병원표[병원],11)&amp;"","")</f>
        <v/>
      </c>
      <c r="T16">
        <f>IF($S16="","",COUNTIF(인턴계획표[정규화1],$S16&amp;" *"))</f>
        <v/>
      </c>
      <c r="U16">
        <f>IF($S16="","",COUNTIF(인턴계획표[정규화2],$S16&amp;" *"))</f>
        <v/>
      </c>
      <c r="V16">
        <f>IF($S16="","",COUNTIF(인턴계획표[정규화3],$S16&amp;" *"))</f>
        <v/>
      </c>
      <c r="W16">
        <f>IF($S16="","",COUNTIF(인턴계획표[정규화4],$S16&amp;" *"))</f>
        <v/>
      </c>
      <c r="X16">
        <f>IF($S16="","",COUNTIF(인턴계획표[정규화5],$S16&amp;" *"))</f>
        <v/>
      </c>
      <c r="Y16">
        <f>IF($S16="","",COUNTIF(인턴계획표[정규화6],$S16&amp;" *"))</f>
        <v/>
      </c>
    </row>
    <row r="17">
      <c r="A17">
        <f>IF($Q17="","",INDEX(인턴계획표[순번],$Q17)&amp;"")</f>
        <v/>
      </c>
      <c r="B17">
        <f>IF($Q17="","",TRIM(INDEX(인턴계획표[이름],$Q17)&amp;""))</f>
        <v/>
      </c>
      <c r="C17">
        <f>IF($Q17="","",INDEX(인턴계획표[사번],$Q17)&amp;"")</f>
        <v/>
      </c>
      <c r="D17">
        <f>IF($Q17="","",IF(COUNTIF(기본자료표[사번키],INDEX(인턴계획표[사번키],$Q17))&gt;0,"확인","미등록"))</f>
        <v/>
      </c>
      <c r="E17">
        <f>IF($Q17="","",IF(ISNUMBER(INDEX(인턴계획표[입사일(비고)],$Q17)),TEXT(INDEX(인턴계획표[입사일(비고)],$Q17),"yyyy-mm-dd"),INDEX(인턴계획표[입사일(비고)],$Q17)&amp;""))</f>
        <v/>
      </c>
      <c r="F17">
        <f>IF($Q17="","",IF(IF($G$3="","",INDEX(인턴계획표[[정규화1]:[정규화6]],$Q17,$G$3)&amp;"")="","",IF(LEFT(IF($G$3="","",INDEX(인턴계획표[[정규화1]:[정규화6]],$Q17,$G$3)&amp;""),1)="⚠",IF($G$3="","",INDEX(인턴계획표[[정규화1]:[정규화6]],$Q17,$G$3)&amp;""),IFERROR(LEFT(IF($G$3="","",INDEX(인턴계획표[[정규화1]:[정규화6]],$Q17,$G$3)&amp;""),FIND(" ",IF($G$3="","",INDEX(인턴계획표[[정규화1]:[정규화6]],$Q17,$G$3)&amp;""))-1),IF($G$3="","",INDEX(인턴계획표[[정규화1]:[정규화6]],$Q17,$G$3)&amp;"")))))</f>
        <v/>
      </c>
      <c r="G17">
        <f>IF($Q17="","",IF(IF($G$3="","",INDEX(인턴계획표[[정규화1]:[정규화6]],$Q17,$G$3)&amp;"")="","",IF(LEFT(IF($G$3="","",INDEX(인턴계획표[[정규화1]:[정규화6]],$Q17,$G$3)&amp;""),1)="⚠","",IFERROR(MID(IF($G$3="","",INDEX(인턴계획표[[정규화1]:[정규화6]],$Q17,$G$3)&amp;""),FIND(" ",IF($G$3="","",INDEX(인턴계획표[[정규화1]:[정규화6]],$Q17,$G$3)&amp;""))+1,60),""))))</f>
        <v/>
      </c>
      <c r="H17">
        <f>IF($Q17="","",IF(IF($I$3="","",INDEX(인턴계획표[[정규화1]:[정규화6]],$Q17,$I$3)&amp;"")="","",IF(LEFT(IF($I$3="","",INDEX(인턴계획표[[정규화1]:[정규화6]],$Q17,$I$3)&amp;""),1)="⚠",IF($I$3="","",INDEX(인턴계획표[[정규화1]:[정규화6]],$Q17,$I$3)&amp;""),IFERROR(LEFT(IF($I$3="","",INDEX(인턴계획표[[정규화1]:[정규화6]],$Q17,$I$3)&amp;""),FIND(" ",IF($I$3="","",INDEX(인턴계획표[[정규화1]:[정규화6]],$Q17,$I$3)&amp;""))-1),IF($I$3="","",INDEX(인턴계획표[[정규화1]:[정규화6]],$Q17,$I$3)&amp;"")))))</f>
        <v/>
      </c>
      <c r="I17">
        <f>IF($Q17="","",IF(IF($I$3="","",INDEX(인턴계획표[[정규화1]:[정규화6]],$Q17,$I$3)&amp;"")="","",IF(LEFT(IF($I$3="","",INDEX(인턴계획표[[정규화1]:[정규화6]],$Q17,$I$3)&amp;""),1)="⚠","",IFERROR(MID(IF($I$3="","",INDEX(인턴계획표[[정규화1]:[정규화6]],$Q17,$I$3)&amp;""),FIND(" ",IF($I$3="","",INDEX(인턴계획표[[정규화1]:[정규화6]],$Q17,$I$3)&amp;""))+1,60),""))))</f>
        <v/>
      </c>
      <c r="J17">
        <f>IF($Q17="","",INDEX(인턴계획표[정규화1],$Q17))</f>
        <v/>
      </c>
      <c r="K17">
        <f>IF($Q17="","",INDEX(인턴계획표[정규화2],$Q17))</f>
        <v/>
      </c>
      <c r="L17">
        <f>IF($Q17="","",INDEX(인턴계획표[정규화3],$Q17))</f>
        <v/>
      </c>
      <c r="M17">
        <f>IF($Q17="","",INDEX(인턴계획표[정규화4],$Q17))</f>
        <v/>
      </c>
      <c r="N17">
        <f>IF($Q17="","",INDEX(인턴계획표[정규화5],$Q17))</f>
        <v/>
      </c>
      <c r="O17">
        <f>IF($Q17="","",INDEX(인턴계획표[정규화6],$Q17))</f>
        <v/>
      </c>
      <c r="P17">
        <f>IF($Q17="","",INDEX(인턴계획표[입력오류],$Q17))</f>
        <v/>
      </c>
      <c r="Q17" s="17">
        <f>IFERROR(MATCH(12,인턴계획표[표시순번],0),"")</f>
        <v/>
      </c>
      <c r="S17">
        <f>IFERROR(INDEX(병원표[병원],12)&amp;"","")</f>
        <v/>
      </c>
      <c r="T17">
        <f>IF($S17="","",COUNTIF(인턴계획표[정규화1],$S17&amp;" *"))</f>
        <v/>
      </c>
      <c r="U17">
        <f>IF($S17="","",COUNTIF(인턴계획표[정규화2],$S17&amp;" *"))</f>
        <v/>
      </c>
      <c r="V17">
        <f>IF($S17="","",COUNTIF(인턴계획표[정규화3],$S17&amp;" *"))</f>
        <v/>
      </c>
      <c r="W17">
        <f>IF($S17="","",COUNTIF(인턴계획표[정규화4],$S17&amp;" *"))</f>
        <v/>
      </c>
      <c r="X17">
        <f>IF($S17="","",COUNTIF(인턴계획표[정규화5],$S17&amp;" *"))</f>
        <v/>
      </c>
      <c r="Y17">
        <f>IF($S17="","",COUNTIF(인턴계획표[정규화6],$S17&amp;" *"))</f>
        <v/>
      </c>
    </row>
    <row r="18">
      <c r="A18">
        <f>IF($Q18="","",INDEX(인턴계획표[순번],$Q18)&amp;"")</f>
        <v/>
      </c>
      <c r="B18">
        <f>IF($Q18="","",TRIM(INDEX(인턴계획표[이름],$Q18)&amp;""))</f>
        <v/>
      </c>
      <c r="C18">
        <f>IF($Q18="","",INDEX(인턴계획표[사번],$Q18)&amp;"")</f>
        <v/>
      </c>
      <c r="D18">
        <f>IF($Q18="","",IF(COUNTIF(기본자료표[사번키],INDEX(인턴계획표[사번키],$Q18))&gt;0,"확인","미등록"))</f>
        <v/>
      </c>
      <c r="E18">
        <f>IF($Q18="","",IF(ISNUMBER(INDEX(인턴계획표[입사일(비고)],$Q18)),TEXT(INDEX(인턴계획표[입사일(비고)],$Q18),"yyyy-mm-dd"),INDEX(인턴계획표[입사일(비고)],$Q18)&amp;""))</f>
        <v/>
      </c>
      <c r="F18">
        <f>IF($Q18="","",IF(IF($G$3="","",INDEX(인턴계획표[[정규화1]:[정규화6]],$Q18,$G$3)&amp;"")="","",IF(LEFT(IF($G$3="","",INDEX(인턴계획표[[정규화1]:[정규화6]],$Q18,$G$3)&amp;""),1)="⚠",IF($G$3="","",INDEX(인턴계획표[[정규화1]:[정규화6]],$Q18,$G$3)&amp;""),IFERROR(LEFT(IF($G$3="","",INDEX(인턴계획표[[정규화1]:[정규화6]],$Q18,$G$3)&amp;""),FIND(" ",IF($G$3="","",INDEX(인턴계획표[[정규화1]:[정규화6]],$Q18,$G$3)&amp;""))-1),IF($G$3="","",INDEX(인턴계획표[[정규화1]:[정규화6]],$Q18,$G$3)&amp;"")))))</f>
        <v/>
      </c>
      <c r="G18">
        <f>IF($Q18="","",IF(IF($G$3="","",INDEX(인턴계획표[[정규화1]:[정규화6]],$Q18,$G$3)&amp;"")="","",IF(LEFT(IF($G$3="","",INDEX(인턴계획표[[정규화1]:[정규화6]],$Q18,$G$3)&amp;""),1)="⚠","",IFERROR(MID(IF($G$3="","",INDEX(인턴계획표[[정규화1]:[정규화6]],$Q18,$G$3)&amp;""),FIND(" ",IF($G$3="","",INDEX(인턴계획표[[정규화1]:[정규화6]],$Q18,$G$3)&amp;""))+1,60),""))))</f>
        <v/>
      </c>
      <c r="H18">
        <f>IF($Q18="","",IF(IF($I$3="","",INDEX(인턴계획표[[정규화1]:[정규화6]],$Q18,$I$3)&amp;"")="","",IF(LEFT(IF($I$3="","",INDEX(인턴계획표[[정규화1]:[정규화6]],$Q18,$I$3)&amp;""),1)="⚠",IF($I$3="","",INDEX(인턴계획표[[정규화1]:[정규화6]],$Q18,$I$3)&amp;""),IFERROR(LEFT(IF($I$3="","",INDEX(인턴계획표[[정규화1]:[정규화6]],$Q18,$I$3)&amp;""),FIND(" ",IF($I$3="","",INDEX(인턴계획표[[정규화1]:[정규화6]],$Q18,$I$3)&amp;""))-1),IF($I$3="","",INDEX(인턴계획표[[정규화1]:[정규화6]],$Q18,$I$3)&amp;"")))))</f>
        <v/>
      </c>
      <c r="I18">
        <f>IF($Q18="","",IF(IF($I$3="","",INDEX(인턴계획표[[정규화1]:[정규화6]],$Q18,$I$3)&amp;"")="","",IF(LEFT(IF($I$3="","",INDEX(인턴계획표[[정규화1]:[정규화6]],$Q18,$I$3)&amp;""),1)="⚠","",IFERROR(MID(IF($I$3="","",INDEX(인턴계획표[[정규화1]:[정규화6]],$Q18,$I$3)&amp;""),FIND(" ",IF($I$3="","",INDEX(인턴계획표[[정규화1]:[정규화6]],$Q18,$I$3)&amp;""))+1,60),""))))</f>
        <v/>
      </c>
      <c r="J18">
        <f>IF($Q18="","",INDEX(인턴계획표[정규화1],$Q18))</f>
        <v/>
      </c>
      <c r="K18">
        <f>IF($Q18="","",INDEX(인턴계획표[정규화2],$Q18))</f>
        <v/>
      </c>
      <c r="L18">
        <f>IF($Q18="","",INDEX(인턴계획표[정규화3],$Q18))</f>
        <v/>
      </c>
      <c r="M18">
        <f>IF($Q18="","",INDEX(인턴계획표[정규화4],$Q18))</f>
        <v/>
      </c>
      <c r="N18">
        <f>IF($Q18="","",INDEX(인턴계획표[정규화5],$Q18))</f>
        <v/>
      </c>
      <c r="O18">
        <f>IF($Q18="","",INDEX(인턴계획표[정규화6],$Q18))</f>
        <v/>
      </c>
      <c r="P18">
        <f>IF($Q18="","",INDEX(인턴계획표[입력오류],$Q18))</f>
        <v/>
      </c>
      <c r="Q18" s="17">
        <f>IFERROR(MATCH(13,인턴계획표[표시순번],0),"")</f>
        <v/>
      </c>
      <c r="S18">
        <f>IFERROR(INDEX(병원표[병원],13)&amp;"","")</f>
        <v/>
      </c>
      <c r="T18">
        <f>IF($S18="","",COUNTIF(인턴계획표[정규화1],$S18&amp;" *"))</f>
        <v/>
      </c>
      <c r="U18">
        <f>IF($S18="","",COUNTIF(인턴계획표[정규화2],$S18&amp;" *"))</f>
        <v/>
      </c>
      <c r="V18">
        <f>IF($S18="","",COUNTIF(인턴계획표[정규화3],$S18&amp;" *"))</f>
        <v/>
      </c>
      <c r="W18">
        <f>IF($S18="","",COUNTIF(인턴계획표[정규화4],$S18&amp;" *"))</f>
        <v/>
      </c>
      <c r="X18">
        <f>IF($S18="","",COUNTIF(인턴계획표[정규화5],$S18&amp;" *"))</f>
        <v/>
      </c>
      <c r="Y18">
        <f>IF($S18="","",COUNTIF(인턴계획표[정규화6],$S18&amp;" *"))</f>
        <v/>
      </c>
    </row>
    <row r="19">
      <c r="A19">
        <f>IF($Q19="","",INDEX(인턴계획표[순번],$Q19)&amp;"")</f>
        <v/>
      </c>
      <c r="B19">
        <f>IF($Q19="","",TRIM(INDEX(인턴계획표[이름],$Q19)&amp;""))</f>
        <v/>
      </c>
      <c r="C19">
        <f>IF($Q19="","",INDEX(인턴계획표[사번],$Q19)&amp;"")</f>
        <v/>
      </c>
      <c r="D19">
        <f>IF($Q19="","",IF(COUNTIF(기본자료표[사번키],INDEX(인턴계획표[사번키],$Q19))&gt;0,"확인","미등록"))</f>
        <v/>
      </c>
      <c r="E19">
        <f>IF($Q19="","",IF(ISNUMBER(INDEX(인턴계획표[입사일(비고)],$Q19)),TEXT(INDEX(인턴계획표[입사일(비고)],$Q19),"yyyy-mm-dd"),INDEX(인턴계획표[입사일(비고)],$Q19)&amp;""))</f>
        <v/>
      </c>
      <c r="F19">
        <f>IF($Q19="","",IF(IF($G$3="","",INDEX(인턴계획표[[정규화1]:[정규화6]],$Q19,$G$3)&amp;"")="","",IF(LEFT(IF($G$3="","",INDEX(인턴계획표[[정규화1]:[정규화6]],$Q19,$G$3)&amp;""),1)="⚠",IF($G$3="","",INDEX(인턴계획표[[정규화1]:[정규화6]],$Q19,$G$3)&amp;""),IFERROR(LEFT(IF($G$3="","",INDEX(인턴계획표[[정규화1]:[정규화6]],$Q19,$G$3)&amp;""),FIND(" ",IF($G$3="","",INDEX(인턴계획표[[정규화1]:[정규화6]],$Q19,$G$3)&amp;""))-1),IF($G$3="","",INDEX(인턴계획표[[정규화1]:[정규화6]],$Q19,$G$3)&amp;"")))))</f>
        <v/>
      </c>
      <c r="G19">
        <f>IF($Q19="","",IF(IF($G$3="","",INDEX(인턴계획표[[정규화1]:[정규화6]],$Q19,$G$3)&amp;"")="","",IF(LEFT(IF($G$3="","",INDEX(인턴계획표[[정규화1]:[정규화6]],$Q19,$G$3)&amp;""),1)="⚠","",IFERROR(MID(IF($G$3="","",INDEX(인턴계획표[[정규화1]:[정규화6]],$Q19,$G$3)&amp;""),FIND(" ",IF($G$3="","",INDEX(인턴계획표[[정규화1]:[정규화6]],$Q19,$G$3)&amp;""))+1,60),""))))</f>
        <v/>
      </c>
      <c r="H19">
        <f>IF($Q19="","",IF(IF($I$3="","",INDEX(인턴계획표[[정규화1]:[정규화6]],$Q19,$I$3)&amp;"")="","",IF(LEFT(IF($I$3="","",INDEX(인턴계획표[[정규화1]:[정규화6]],$Q19,$I$3)&amp;""),1)="⚠",IF($I$3="","",INDEX(인턴계획표[[정규화1]:[정규화6]],$Q19,$I$3)&amp;""),IFERROR(LEFT(IF($I$3="","",INDEX(인턴계획표[[정규화1]:[정규화6]],$Q19,$I$3)&amp;""),FIND(" ",IF($I$3="","",INDEX(인턴계획표[[정규화1]:[정규화6]],$Q19,$I$3)&amp;""))-1),IF($I$3="","",INDEX(인턴계획표[[정규화1]:[정규화6]],$Q19,$I$3)&amp;"")))))</f>
        <v/>
      </c>
      <c r="I19">
        <f>IF($Q19="","",IF(IF($I$3="","",INDEX(인턴계획표[[정규화1]:[정규화6]],$Q19,$I$3)&amp;"")="","",IF(LEFT(IF($I$3="","",INDEX(인턴계획표[[정규화1]:[정규화6]],$Q19,$I$3)&amp;""),1)="⚠","",IFERROR(MID(IF($I$3="","",INDEX(인턴계획표[[정규화1]:[정규화6]],$Q19,$I$3)&amp;""),FIND(" ",IF($I$3="","",INDEX(인턴계획표[[정규화1]:[정규화6]],$Q19,$I$3)&amp;""))+1,60),""))))</f>
        <v/>
      </c>
      <c r="J19">
        <f>IF($Q19="","",INDEX(인턴계획표[정규화1],$Q19))</f>
        <v/>
      </c>
      <c r="K19">
        <f>IF($Q19="","",INDEX(인턴계획표[정규화2],$Q19))</f>
        <v/>
      </c>
      <c r="L19">
        <f>IF($Q19="","",INDEX(인턴계획표[정규화3],$Q19))</f>
        <v/>
      </c>
      <c r="M19">
        <f>IF($Q19="","",INDEX(인턴계획표[정규화4],$Q19))</f>
        <v/>
      </c>
      <c r="N19">
        <f>IF($Q19="","",INDEX(인턴계획표[정규화5],$Q19))</f>
        <v/>
      </c>
      <c r="O19">
        <f>IF($Q19="","",INDEX(인턴계획표[정규화6],$Q19))</f>
        <v/>
      </c>
      <c r="P19">
        <f>IF($Q19="","",INDEX(인턴계획표[입력오류],$Q19))</f>
        <v/>
      </c>
      <c r="Q19" s="17">
        <f>IFERROR(MATCH(14,인턴계획표[표시순번],0),"")</f>
        <v/>
      </c>
      <c r="S19">
        <f>IFERROR(INDEX(병원표[병원],14)&amp;"","")</f>
        <v/>
      </c>
      <c r="T19">
        <f>IF($S19="","",COUNTIF(인턴계획표[정규화1],$S19&amp;" *"))</f>
        <v/>
      </c>
      <c r="U19">
        <f>IF($S19="","",COUNTIF(인턴계획표[정규화2],$S19&amp;" *"))</f>
        <v/>
      </c>
      <c r="V19">
        <f>IF($S19="","",COUNTIF(인턴계획표[정규화3],$S19&amp;" *"))</f>
        <v/>
      </c>
      <c r="W19">
        <f>IF($S19="","",COUNTIF(인턴계획표[정규화4],$S19&amp;" *"))</f>
        <v/>
      </c>
      <c r="X19">
        <f>IF($S19="","",COUNTIF(인턴계획표[정규화5],$S19&amp;" *"))</f>
        <v/>
      </c>
      <c r="Y19">
        <f>IF($S19="","",COUNTIF(인턴계획표[정규화6],$S19&amp;" *"))</f>
        <v/>
      </c>
    </row>
    <row r="20">
      <c r="A20">
        <f>IF($Q20="","",INDEX(인턴계획표[순번],$Q20)&amp;"")</f>
        <v/>
      </c>
      <c r="B20">
        <f>IF($Q20="","",TRIM(INDEX(인턴계획표[이름],$Q20)&amp;""))</f>
        <v/>
      </c>
      <c r="C20">
        <f>IF($Q20="","",INDEX(인턴계획표[사번],$Q20)&amp;"")</f>
        <v/>
      </c>
      <c r="D20">
        <f>IF($Q20="","",IF(COUNTIF(기본자료표[사번키],INDEX(인턴계획표[사번키],$Q20))&gt;0,"확인","미등록"))</f>
        <v/>
      </c>
      <c r="E20">
        <f>IF($Q20="","",IF(ISNUMBER(INDEX(인턴계획표[입사일(비고)],$Q20)),TEXT(INDEX(인턴계획표[입사일(비고)],$Q20),"yyyy-mm-dd"),INDEX(인턴계획표[입사일(비고)],$Q20)&amp;""))</f>
        <v/>
      </c>
      <c r="F20">
        <f>IF($Q20="","",IF(IF($G$3="","",INDEX(인턴계획표[[정규화1]:[정규화6]],$Q20,$G$3)&amp;"")="","",IF(LEFT(IF($G$3="","",INDEX(인턴계획표[[정규화1]:[정규화6]],$Q20,$G$3)&amp;""),1)="⚠",IF($G$3="","",INDEX(인턴계획표[[정규화1]:[정규화6]],$Q20,$G$3)&amp;""),IFERROR(LEFT(IF($G$3="","",INDEX(인턴계획표[[정규화1]:[정규화6]],$Q20,$G$3)&amp;""),FIND(" ",IF($G$3="","",INDEX(인턴계획표[[정규화1]:[정규화6]],$Q20,$G$3)&amp;""))-1),IF($G$3="","",INDEX(인턴계획표[[정규화1]:[정규화6]],$Q20,$G$3)&amp;"")))))</f>
        <v/>
      </c>
      <c r="G20">
        <f>IF($Q20="","",IF(IF($G$3="","",INDEX(인턴계획표[[정규화1]:[정규화6]],$Q20,$G$3)&amp;"")="","",IF(LEFT(IF($G$3="","",INDEX(인턴계획표[[정규화1]:[정규화6]],$Q20,$G$3)&amp;""),1)="⚠","",IFERROR(MID(IF($G$3="","",INDEX(인턴계획표[[정규화1]:[정규화6]],$Q20,$G$3)&amp;""),FIND(" ",IF($G$3="","",INDEX(인턴계획표[[정규화1]:[정규화6]],$Q20,$G$3)&amp;""))+1,60),""))))</f>
        <v/>
      </c>
      <c r="H20">
        <f>IF($Q20="","",IF(IF($I$3="","",INDEX(인턴계획표[[정규화1]:[정규화6]],$Q20,$I$3)&amp;"")="","",IF(LEFT(IF($I$3="","",INDEX(인턴계획표[[정규화1]:[정규화6]],$Q20,$I$3)&amp;""),1)="⚠",IF($I$3="","",INDEX(인턴계획표[[정규화1]:[정규화6]],$Q20,$I$3)&amp;""),IFERROR(LEFT(IF($I$3="","",INDEX(인턴계획표[[정규화1]:[정규화6]],$Q20,$I$3)&amp;""),FIND(" ",IF($I$3="","",INDEX(인턴계획표[[정규화1]:[정규화6]],$Q20,$I$3)&amp;""))-1),IF($I$3="","",INDEX(인턴계획표[[정규화1]:[정규화6]],$Q20,$I$3)&amp;"")))))</f>
        <v/>
      </c>
      <c r="I20">
        <f>IF($Q20="","",IF(IF($I$3="","",INDEX(인턴계획표[[정규화1]:[정규화6]],$Q20,$I$3)&amp;"")="","",IF(LEFT(IF($I$3="","",INDEX(인턴계획표[[정규화1]:[정규화6]],$Q20,$I$3)&amp;""),1)="⚠","",IFERROR(MID(IF($I$3="","",INDEX(인턴계획표[[정규화1]:[정규화6]],$Q20,$I$3)&amp;""),FIND(" ",IF($I$3="","",INDEX(인턴계획표[[정규화1]:[정규화6]],$Q20,$I$3)&amp;""))+1,60),""))))</f>
        <v/>
      </c>
      <c r="J20">
        <f>IF($Q20="","",INDEX(인턴계획표[정규화1],$Q20))</f>
        <v/>
      </c>
      <c r="K20">
        <f>IF($Q20="","",INDEX(인턴계획표[정규화2],$Q20))</f>
        <v/>
      </c>
      <c r="L20">
        <f>IF($Q20="","",INDEX(인턴계획표[정규화3],$Q20))</f>
        <v/>
      </c>
      <c r="M20">
        <f>IF($Q20="","",INDEX(인턴계획표[정규화4],$Q20))</f>
        <v/>
      </c>
      <c r="N20">
        <f>IF($Q20="","",INDEX(인턴계획표[정규화5],$Q20))</f>
        <v/>
      </c>
      <c r="O20">
        <f>IF($Q20="","",INDEX(인턴계획표[정규화6],$Q20))</f>
        <v/>
      </c>
      <c r="P20">
        <f>IF($Q20="","",INDEX(인턴계획표[입력오류],$Q20))</f>
        <v/>
      </c>
      <c r="Q20" s="17">
        <f>IFERROR(MATCH(15,인턴계획표[표시순번],0),"")</f>
        <v/>
      </c>
      <c r="S20">
        <f>IFERROR(INDEX(병원표[병원],15)&amp;"","")</f>
        <v/>
      </c>
      <c r="T20">
        <f>IF($S20="","",COUNTIF(인턴계획표[정규화1],$S20&amp;" *"))</f>
        <v/>
      </c>
      <c r="U20">
        <f>IF($S20="","",COUNTIF(인턴계획표[정규화2],$S20&amp;" *"))</f>
        <v/>
      </c>
      <c r="V20">
        <f>IF($S20="","",COUNTIF(인턴계획표[정규화3],$S20&amp;" *"))</f>
        <v/>
      </c>
      <c r="W20">
        <f>IF($S20="","",COUNTIF(인턴계획표[정규화4],$S20&amp;" *"))</f>
        <v/>
      </c>
      <c r="X20">
        <f>IF($S20="","",COUNTIF(인턴계획표[정규화5],$S20&amp;" *"))</f>
        <v/>
      </c>
      <c r="Y20">
        <f>IF($S20="","",COUNTIF(인턴계획표[정규화6],$S20&amp;" *"))</f>
        <v/>
      </c>
    </row>
    <row r="21">
      <c r="A21">
        <f>IF($Q21="","",INDEX(인턴계획표[순번],$Q21)&amp;"")</f>
        <v/>
      </c>
      <c r="B21">
        <f>IF($Q21="","",TRIM(INDEX(인턴계획표[이름],$Q21)&amp;""))</f>
        <v/>
      </c>
      <c r="C21">
        <f>IF($Q21="","",INDEX(인턴계획표[사번],$Q21)&amp;"")</f>
        <v/>
      </c>
      <c r="D21">
        <f>IF($Q21="","",IF(COUNTIF(기본자료표[사번키],INDEX(인턴계획표[사번키],$Q21))&gt;0,"확인","미등록"))</f>
        <v/>
      </c>
      <c r="E21">
        <f>IF($Q21="","",IF(ISNUMBER(INDEX(인턴계획표[입사일(비고)],$Q21)),TEXT(INDEX(인턴계획표[입사일(비고)],$Q21),"yyyy-mm-dd"),INDEX(인턴계획표[입사일(비고)],$Q21)&amp;""))</f>
        <v/>
      </c>
      <c r="F21">
        <f>IF($Q21="","",IF(IF($G$3="","",INDEX(인턴계획표[[정규화1]:[정규화6]],$Q21,$G$3)&amp;"")="","",IF(LEFT(IF($G$3="","",INDEX(인턴계획표[[정규화1]:[정규화6]],$Q21,$G$3)&amp;""),1)="⚠",IF($G$3="","",INDEX(인턴계획표[[정규화1]:[정규화6]],$Q21,$G$3)&amp;""),IFERROR(LEFT(IF($G$3="","",INDEX(인턴계획표[[정규화1]:[정규화6]],$Q21,$G$3)&amp;""),FIND(" ",IF($G$3="","",INDEX(인턴계획표[[정규화1]:[정규화6]],$Q21,$G$3)&amp;""))-1),IF($G$3="","",INDEX(인턴계획표[[정규화1]:[정규화6]],$Q21,$G$3)&amp;"")))))</f>
        <v/>
      </c>
      <c r="G21">
        <f>IF($Q21="","",IF(IF($G$3="","",INDEX(인턴계획표[[정규화1]:[정규화6]],$Q21,$G$3)&amp;"")="","",IF(LEFT(IF($G$3="","",INDEX(인턴계획표[[정규화1]:[정규화6]],$Q21,$G$3)&amp;""),1)="⚠","",IFERROR(MID(IF($G$3="","",INDEX(인턴계획표[[정규화1]:[정규화6]],$Q21,$G$3)&amp;""),FIND(" ",IF($G$3="","",INDEX(인턴계획표[[정규화1]:[정규화6]],$Q21,$G$3)&amp;""))+1,60),""))))</f>
        <v/>
      </c>
      <c r="H21">
        <f>IF($Q21="","",IF(IF($I$3="","",INDEX(인턴계획표[[정규화1]:[정규화6]],$Q21,$I$3)&amp;"")="","",IF(LEFT(IF($I$3="","",INDEX(인턴계획표[[정규화1]:[정규화6]],$Q21,$I$3)&amp;""),1)="⚠",IF($I$3="","",INDEX(인턴계획표[[정규화1]:[정규화6]],$Q21,$I$3)&amp;""),IFERROR(LEFT(IF($I$3="","",INDEX(인턴계획표[[정규화1]:[정규화6]],$Q21,$I$3)&amp;""),FIND(" ",IF($I$3="","",INDEX(인턴계획표[[정규화1]:[정규화6]],$Q21,$I$3)&amp;""))-1),IF($I$3="","",INDEX(인턴계획표[[정규화1]:[정규화6]],$Q21,$I$3)&amp;"")))))</f>
        <v/>
      </c>
      <c r="I21">
        <f>IF($Q21="","",IF(IF($I$3="","",INDEX(인턴계획표[[정규화1]:[정규화6]],$Q21,$I$3)&amp;"")="","",IF(LEFT(IF($I$3="","",INDEX(인턴계획표[[정규화1]:[정규화6]],$Q21,$I$3)&amp;""),1)="⚠","",IFERROR(MID(IF($I$3="","",INDEX(인턴계획표[[정규화1]:[정규화6]],$Q21,$I$3)&amp;""),FIND(" ",IF($I$3="","",INDEX(인턴계획표[[정규화1]:[정규화6]],$Q21,$I$3)&amp;""))+1,60),""))))</f>
        <v/>
      </c>
      <c r="J21">
        <f>IF($Q21="","",INDEX(인턴계획표[정규화1],$Q21))</f>
        <v/>
      </c>
      <c r="K21">
        <f>IF($Q21="","",INDEX(인턴계획표[정규화2],$Q21))</f>
        <v/>
      </c>
      <c r="L21">
        <f>IF($Q21="","",INDEX(인턴계획표[정규화3],$Q21))</f>
        <v/>
      </c>
      <c r="M21">
        <f>IF($Q21="","",INDEX(인턴계획표[정규화4],$Q21))</f>
        <v/>
      </c>
      <c r="N21">
        <f>IF($Q21="","",INDEX(인턴계획표[정규화5],$Q21))</f>
        <v/>
      </c>
      <c r="O21">
        <f>IF($Q21="","",INDEX(인턴계획표[정규화6],$Q21))</f>
        <v/>
      </c>
      <c r="P21">
        <f>IF($Q21="","",INDEX(인턴계획표[입력오류],$Q21))</f>
        <v/>
      </c>
      <c r="Q21" s="17">
        <f>IFERROR(MATCH(16,인턴계획표[표시순번],0),"")</f>
        <v/>
      </c>
      <c r="S21">
        <f>IFERROR(INDEX(병원표[병원],16)&amp;"","")</f>
        <v/>
      </c>
      <c r="T21">
        <f>IF($S21="","",COUNTIF(인턴계획표[정규화1],$S21&amp;" *"))</f>
        <v/>
      </c>
      <c r="U21">
        <f>IF($S21="","",COUNTIF(인턴계획표[정규화2],$S21&amp;" *"))</f>
        <v/>
      </c>
      <c r="V21">
        <f>IF($S21="","",COUNTIF(인턴계획표[정규화3],$S21&amp;" *"))</f>
        <v/>
      </c>
      <c r="W21">
        <f>IF($S21="","",COUNTIF(인턴계획표[정규화4],$S21&amp;" *"))</f>
        <v/>
      </c>
      <c r="X21">
        <f>IF($S21="","",COUNTIF(인턴계획표[정규화5],$S21&amp;" *"))</f>
        <v/>
      </c>
      <c r="Y21">
        <f>IF($S21="","",COUNTIF(인턴계획표[정규화6],$S21&amp;" *"))</f>
        <v/>
      </c>
    </row>
    <row r="22">
      <c r="A22">
        <f>IF($Q22="","",INDEX(인턴계획표[순번],$Q22)&amp;"")</f>
        <v/>
      </c>
      <c r="B22">
        <f>IF($Q22="","",TRIM(INDEX(인턴계획표[이름],$Q22)&amp;""))</f>
        <v/>
      </c>
      <c r="C22">
        <f>IF($Q22="","",INDEX(인턴계획표[사번],$Q22)&amp;"")</f>
        <v/>
      </c>
      <c r="D22">
        <f>IF($Q22="","",IF(COUNTIF(기본자료표[사번키],INDEX(인턴계획표[사번키],$Q22))&gt;0,"확인","미등록"))</f>
        <v/>
      </c>
      <c r="E22">
        <f>IF($Q22="","",IF(ISNUMBER(INDEX(인턴계획표[입사일(비고)],$Q22)),TEXT(INDEX(인턴계획표[입사일(비고)],$Q22),"yyyy-mm-dd"),INDEX(인턴계획표[입사일(비고)],$Q22)&amp;""))</f>
        <v/>
      </c>
      <c r="F22">
        <f>IF($Q22="","",IF(IF($G$3="","",INDEX(인턴계획표[[정규화1]:[정규화6]],$Q22,$G$3)&amp;"")="","",IF(LEFT(IF($G$3="","",INDEX(인턴계획표[[정규화1]:[정규화6]],$Q22,$G$3)&amp;""),1)="⚠",IF($G$3="","",INDEX(인턴계획표[[정규화1]:[정규화6]],$Q22,$G$3)&amp;""),IFERROR(LEFT(IF($G$3="","",INDEX(인턴계획표[[정규화1]:[정규화6]],$Q22,$G$3)&amp;""),FIND(" ",IF($G$3="","",INDEX(인턴계획표[[정규화1]:[정규화6]],$Q22,$G$3)&amp;""))-1),IF($G$3="","",INDEX(인턴계획표[[정규화1]:[정규화6]],$Q22,$G$3)&amp;"")))))</f>
        <v/>
      </c>
      <c r="G22">
        <f>IF($Q22="","",IF(IF($G$3="","",INDEX(인턴계획표[[정규화1]:[정규화6]],$Q22,$G$3)&amp;"")="","",IF(LEFT(IF($G$3="","",INDEX(인턴계획표[[정규화1]:[정규화6]],$Q22,$G$3)&amp;""),1)="⚠","",IFERROR(MID(IF($G$3="","",INDEX(인턴계획표[[정규화1]:[정규화6]],$Q22,$G$3)&amp;""),FIND(" ",IF($G$3="","",INDEX(인턴계획표[[정규화1]:[정규화6]],$Q22,$G$3)&amp;""))+1,60),""))))</f>
        <v/>
      </c>
      <c r="H22">
        <f>IF($Q22="","",IF(IF($I$3="","",INDEX(인턴계획표[[정규화1]:[정규화6]],$Q22,$I$3)&amp;"")="","",IF(LEFT(IF($I$3="","",INDEX(인턴계획표[[정규화1]:[정규화6]],$Q22,$I$3)&amp;""),1)="⚠",IF($I$3="","",INDEX(인턴계획표[[정규화1]:[정규화6]],$Q22,$I$3)&amp;""),IFERROR(LEFT(IF($I$3="","",INDEX(인턴계획표[[정규화1]:[정규화6]],$Q22,$I$3)&amp;""),FIND(" ",IF($I$3="","",INDEX(인턴계획표[[정규화1]:[정규화6]],$Q22,$I$3)&amp;""))-1),IF($I$3="","",INDEX(인턴계획표[[정규화1]:[정규화6]],$Q22,$I$3)&amp;"")))))</f>
        <v/>
      </c>
      <c r="I22">
        <f>IF($Q22="","",IF(IF($I$3="","",INDEX(인턴계획표[[정규화1]:[정규화6]],$Q22,$I$3)&amp;"")="","",IF(LEFT(IF($I$3="","",INDEX(인턴계획표[[정규화1]:[정규화6]],$Q22,$I$3)&amp;""),1)="⚠","",IFERROR(MID(IF($I$3="","",INDEX(인턴계획표[[정규화1]:[정규화6]],$Q22,$I$3)&amp;""),FIND(" ",IF($I$3="","",INDEX(인턴계획표[[정규화1]:[정규화6]],$Q22,$I$3)&amp;""))+1,60),""))))</f>
        <v/>
      </c>
      <c r="J22">
        <f>IF($Q22="","",INDEX(인턴계획표[정규화1],$Q22))</f>
        <v/>
      </c>
      <c r="K22">
        <f>IF($Q22="","",INDEX(인턴계획표[정규화2],$Q22))</f>
        <v/>
      </c>
      <c r="L22">
        <f>IF($Q22="","",INDEX(인턴계획표[정규화3],$Q22))</f>
        <v/>
      </c>
      <c r="M22">
        <f>IF($Q22="","",INDEX(인턴계획표[정규화4],$Q22))</f>
        <v/>
      </c>
      <c r="N22">
        <f>IF($Q22="","",INDEX(인턴계획표[정규화5],$Q22))</f>
        <v/>
      </c>
      <c r="O22">
        <f>IF($Q22="","",INDEX(인턴계획표[정규화6],$Q22))</f>
        <v/>
      </c>
      <c r="P22">
        <f>IF($Q22="","",INDEX(인턴계획표[입력오류],$Q22))</f>
        <v/>
      </c>
      <c r="Q22" s="17">
        <f>IFERROR(MATCH(17,인턴계획표[표시순번],0),"")</f>
        <v/>
      </c>
      <c r="S22">
        <f>IFERROR(INDEX(병원표[병원],17)&amp;"","")</f>
        <v/>
      </c>
      <c r="T22">
        <f>IF($S22="","",COUNTIF(인턴계획표[정규화1],$S22&amp;" *"))</f>
        <v/>
      </c>
      <c r="U22">
        <f>IF($S22="","",COUNTIF(인턴계획표[정규화2],$S22&amp;" *"))</f>
        <v/>
      </c>
      <c r="V22">
        <f>IF($S22="","",COUNTIF(인턴계획표[정규화3],$S22&amp;" *"))</f>
        <v/>
      </c>
      <c r="W22">
        <f>IF($S22="","",COUNTIF(인턴계획표[정규화4],$S22&amp;" *"))</f>
        <v/>
      </c>
      <c r="X22">
        <f>IF($S22="","",COUNTIF(인턴계획표[정규화5],$S22&amp;" *"))</f>
        <v/>
      </c>
      <c r="Y22">
        <f>IF($S22="","",COUNTIF(인턴계획표[정규화6],$S22&amp;" *"))</f>
        <v/>
      </c>
    </row>
    <row r="23">
      <c r="A23">
        <f>IF($Q23="","",INDEX(인턴계획표[순번],$Q23)&amp;"")</f>
        <v/>
      </c>
      <c r="B23">
        <f>IF($Q23="","",TRIM(INDEX(인턴계획표[이름],$Q23)&amp;""))</f>
        <v/>
      </c>
      <c r="C23">
        <f>IF($Q23="","",INDEX(인턴계획표[사번],$Q23)&amp;"")</f>
        <v/>
      </c>
      <c r="D23">
        <f>IF($Q23="","",IF(COUNTIF(기본자료표[사번키],INDEX(인턴계획표[사번키],$Q23))&gt;0,"확인","미등록"))</f>
        <v/>
      </c>
      <c r="E23">
        <f>IF($Q23="","",IF(ISNUMBER(INDEX(인턴계획표[입사일(비고)],$Q23)),TEXT(INDEX(인턴계획표[입사일(비고)],$Q23),"yyyy-mm-dd"),INDEX(인턴계획표[입사일(비고)],$Q23)&amp;""))</f>
        <v/>
      </c>
      <c r="F23">
        <f>IF($Q23="","",IF(IF($G$3="","",INDEX(인턴계획표[[정규화1]:[정규화6]],$Q23,$G$3)&amp;"")="","",IF(LEFT(IF($G$3="","",INDEX(인턴계획표[[정규화1]:[정규화6]],$Q23,$G$3)&amp;""),1)="⚠",IF($G$3="","",INDEX(인턴계획표[[정규화1]:[정규화6]],$Q23,$G$3)&amp;""),IFERROR(LEFT(IF($G$3="","",INDEX(인턴계획표[[정규화1]:[정규화6]],$Q23,$G$3)&amp;""),FIND(" ",IF($G$3="","",INDEX(인턴계획표[[정규화1]:[정규화6]],$Q23,$G$3)&amp;""))-1),IF($G$3="","",INDEX(인턴계획표[[정규화1]:[정규화6]],$Q23,$G$3)&amp;"")))))</f>
        <v/>
      </c>
      <c r="G23">
        <f>IF($Q23="","",IF(IF($G$3="","",INDEX(인턴계획표[[정규화1]:[정규화6]],$Q23,$G$3)&amp;"")="","",IF(LEFT(IF($G$3="","",INDEX(인턴계획표[[정규화1]:[정규화6]],$Q23,$G$3)&amp;""),1)="⚠","",IFERROR(MID(IF($G$3="","",INDEX(인턴계획표[[정규화1]:[정규화6]],$Q23,$G$3)&amp;""),FIND(" ",IF($G$3="","",INDEX(인턴계획표[[정규화1]:[정규화6]],$Q23,$G$3)&amp;""))+1,60),""))))</f>
        <v/>
      </c>
      <c r="H23">
        <f>IF($Q23="","",IF(IF($I$3="","",INDEX(인턴계획표[[정규화1]:[정규화6]],$Q23,$I$3)&amp;"")="","",IF(LEFT(IF($I$3="","",INDEX(인턴계획표[[정규화1]:[정규화6]],$Q23,$I$3)&amp;""),1)="⚠",IF($I$3="","",INDEX(인턴계획표[[정규화1]:[정규화6]],$Q23,$I$3)&amp;""),IFERROR(LEFT(IF($I$3="","",INDEX(인턴계획표[[정규화1]:[정규화6]],$Q23,$I$3)&amp;""),FIND(" ",IF($I$3="","",INDEX(인턴계획표[[정규화1]:[정규화6]],$Q23,$I$3)&amp;""))-1),IF($I$3="","",INDEX(인턴계획표[[정규화1]:[정규화6]],$Q23,$I$3)&amp;"")))))</f>
        <v/>
      </c>
      <c r="I23">
        <f>IF($Q23="","",IF(IF($I$3="","",INDEX(인턴계획표[[정규화1]:[정규화6]],$Q23,$I$3)&amp;"")="","",IF(LEFT(IF($I$3="","",INDEX(인턴계획표[[정규화1]:[정규화6]],$Q23,$I$3)&amp;""),1)="⚠","",IFERROR(MID(IF($I$3="","",INDEX(인턴계획표[[정규화1]:[정규화6]],$Q23,$I$3)&amp;""),FIND(" ",IF($I$3="","",INDEX(인턴계획표[[정규화1]:[정규화6]],$Q23,$I$3)&amp;""))+1,60),""))))</f>
        <v/>
      </c>
      <c r="J23">
        <f>IF($Q23="","",INDEX(인턴계획표[정규화1],$Q23))</f>
        <v/>
      </c>
      <c r="K23">
        <f>IF($Q23="","",INDEX(인턴계획표[정규화2],$Q23))</f>
        <v/>
      </c>
      <c r="L23">
        <f>IF($Q23="","",INDEX(인턴계획표[정규화3],$Q23))</f>
        <v/>
      </c>
      <c r="M23">
        <f>IF($Q23="","",INDEX(인턴계획표[정규화4],$Q23))</f>
        <v/>
      </c>
      <c r="N23">
        <f>IF($Q23="","",INDEX(인턴계획표[정규화5],$Q23))</f>
        <v/>
      </c>
      <c r="O23">
        <f>IF($Q23="","",INDEX(인턴계획표[정규화6],$Q23))</f>
        <v/>
      </c>
      <c r="P23">
        <f>IF($Q23="","",INDEX(인턴계획표[입력오류],$Q23))</f>
        <v/>
      </c>
      <c r="Q23" s="17">
        <f>IFERROR(MATCH(18,인턴계획표[표시순번],0),"")</f>
        <v/>
      </c>
      <c r="S23">
        <f>IFERROR(INDEX(병원표[병원],18)&amp;"","")</f>
        <v/>
      </c>
      <c r="T23">
        <f>IF($S23="","",COUNTIF(인턴계획표[정규화1],$S23&amp;" *"))</f>
        <v/>
      </c>
      <c r="U23">
        <f>IF($S23="","",COUNTIF(인턴계획표[정규화2],$S23&amp;" *"))</f>
        <v/>
      </c>
      <c r="V23">
        <f>IF($S23="","",COUNTIF(인턴계획표[정규화3],$S23&amp;" *"))</f>
        <v/>
      </c>
      <c r="W23">
        <f>IF($S23="","",COUNTIF(인턴계획표[정규화4],$S23&amp;" *"))</f>
        <v/>
      </c>
      <c r="X23">
        <f>IF($S23="","",COUNTIF(인턴계획표[정규화5],$S23&amp;" *"))</f>
        <v/>
      </c>
      <c r="Y23">
        <f>IF($S23="","",COUNTIF(인턴계획표[정규화6],$S23&amp;" *"))</f>
        <v/>
      </c>
    </row>
    <row r="24">
      <c r="A24">
        <f>IF($Q24="","",INDEX(인턴계획표[순번],$Q24)&amp;"")</f>
        <v/>
      </c>
      <c r="B24">
        <f>IF($Q24="","",TRIM(INDEX(인턴계획표[이름],$Q24)&amp;""))</f>
        <v/>
      </c>
      <c r="C24">
        <f>IF($Q24="","",INDEX(인턴계획표[사번],$Q24)&amp;"")</f>
        <v/>
      </c>
      <c r="D24">
        <f>IF($Q24="","",IF(COUNTIF(기본자료표[사번키],INDEX(인턴계획표[사번키],$Q24))&gt;0,"확인","미등록"))</f>
        <v/>
      </c>
      <c r="E24">
        <f>IF($Q24="","",IF(ISNUMBER(INDEX(인턴계획표[입사일(비고)],$Q24)),TEXT(INDEX(인턴계획표[입사일(비고)],$Q24),"yyyy-mm-dd"),INDEX(인턴계획표[입사일(비고)],$Q24)&amp;""))</f>
        <v/>
      </c>
      <c r="F24">
        <f>IF($Q24="","",IF(IF($G$3="","",INDEX(인턴계획표[[정규화1]:[정규화6]],$Q24,$G$3)&amp;"")="","",IF(LEFT(IF($G$3="","",INDEX(인턴계획표[[정규화1]:[정규화6]],$Q24,$G$3)&amp;""),1)="⚠",IF($G$3="","",INDEX(인턴계획표[[정규화1]:[정규화6]],$Q24,$G$3)&amp;""),IFERROR(LEFT(IF($G$3="","",INDEX(인턴계획표[[정규화1]:[정규화6]],$Q24,$G$3)&amp;""),FIND(" ",IF($G$3="","",INDEX(인턴계획표[[정규화1]:[정규화6]],$Q24,$G$3)&amp;""))-1),IF($G$3="","",INDEX(인턴계획표[[정규화1]:[정규화6]],$Q24,$G$3)&amp;"")))))</f>
        <v/>
      </c>
      <c r="G24">
        <f>IF($Q24="","",IF(IF($G$3="","",INDEX(인턴계획표[[정규화1]:[정규화6]],$Q24,$G$3)&amp;"")="","",IF(LEFT(IF($G$3="","",INDEX(인턴계획표[[정규화1]:[정규화6]],$Q24,$G$3)&amp;""),1)="⚠","",IFERROR(MID(IF($G$3="","",INDEX(인턴계획표[[정규화1]:[정규화6]],$Q24,$G$3)&amp;""),FIND(" ",IF($G$3="","",INDEX(인턴계획표[[정규화1]:[정규화6]],$Q24,$G$3)&amp;""))+1,60),""))))</f>
        <v/>
      </c>
      <c r="H24">
        <f>IF($Q24="","",IF(IF($I$3="","",INDEX(인턴계획표[[정규화1]:[정규화6]],$Q24,$I$3)&amp;"")="","",IF(LEFT(IF($I$3="","",INDEX(인턴계획표[[정규화1]:[정규화6]],$Q24,$I$3)&amp;""),1)="⚠",IF($I$3="","",INDEX(인턴계획표[[정규화1]:[정규화6]],$Q24,$I$3)&amp;""),IFERROR(LEFT(IF($I$3="","",INDEX(인턴계획표[[정규화1]:[정규화6]],$Q24,$I$3)&amp;""),FIND(" ",IF($I$3="","",INDEX(인턴계획표[[정규화1]:[정규화6]],$Q24,$I$3)&amp;""))-1),IF($I$3="","",INDEX(인턴계획표[[정규화1]:[정규화6]],$Q24,$I$3)&amp;"")))))</f>
        <v/>
      </c>
      <c r="I24">
        <f>IF($Q24="","",IF(IF($I$3="","",INDEX(인턴계획표[[정규화1]:[정규화6]],$Q24,$I$3)&amp;"")="","",IF(LEFT(IF($I$3="","",INDEX(인턴계획표[[정규화1]:[정규화6]],$Q24,$I$3)&amp;""),1)="⚠","",IFERROR(MID(IF($I$3="","",INDEX(인턴계획표[[정규화1]:[정규화6]],$Q24,$I$3)&amp;""),FIND(" ",IF($I$3="","",INDEX(인턴계획표[[정규화1]:[정규화6]],$Q24,$I$3)&amp;""))+1,60),""))))</f>
        <v/>
      </c>
      <c r="J24">
        <f>IF($Q24="","",INDEX(인턴계획표[정규화1],$Q24))</f>
        <v/>
      </c>
      <c r="K24">
        <f>IF($Q24="","",INDEX(인턴계획표[정규화2],$Q24))</f>
        <v/>
      </c>
      <c r="L24">
        <f>IF($Q24="","",INDEX(인턴계획표[정규화3],$Q24))</f>
        <v/>
      </c>
      <c r="M24">
        <f>IF($Q24="","",INDEX(인턴계획표[정규화4],$Q24))</f>
        <v/>
      </c>
      <c r="N24">
        <f>IF($Q24="","",INDEX(인턴계획표[정규화5],$Q24))</f>
        <v/>
      </c>
      <c r="O24">
        <f>IF($Q24="","",INDEX(인턴계획표[정규화6],$Q24))</f>
        <v/>
      </c>
      <c r="P24">
        <f>IF($Q24="","",INDEX(인턴계획표[입력오류],$Q24))</f>
        <v/>
      </c>
      <c r="Q24" s="17">
        <f>IFERROR(MATCH(19,인턴계획표[표시순번],0),"")</f>
        <v/>
      </c>
      <c r="S24">
        <f>IFERROR(INDEX(병원표[병원],19)&amp;"","")</f>
        <v/>
      </c>
      <c r="T24">
        <f>IF($S24="","",COUNTIF(인턴계획표[정규화1],$S24&amp;" *"))</f>
        <v/>
      </c>
      <c r="U24">
        <f>IF($S24="","",COUNTIF(인턴계획표[정규화2],$S24&amp;" *"))</f>
        <v/>
      </c>
      <c r="V24">
        <f>IF($S24="","",COUNTIF(인턴계획표[정규화3],$S24&amp;" *"))</f>
        <v/>
      </c>
      <c r="W24">
        <f>IF($S24="","",COUNTIF(인턴계획표[정규화4],$S24&amp;" *"))</f>
        <v/>
      </c>
      <c r="X24">
        <f>IF($S24="","",COUNTIF(인턴계획표[정규화5],$S24&amp;" *"))</f>
        <v/>
      </c>
      <c r="Y24">
        <f>IF($S24="","",COUNTIF(인턴계획표[정규화6],$S24&amp;" *"))</f>
        <v/>
      </c>
    </row>
    <row r="25">
      <c r="A25">
        <f>IF($Q25="","",INDEX(인턴계획표[순번],$Q25)&amp;"")</f>
        <v/>
      </c>
      <c r="B25">
        <f>IF($Q25="","",TRIM(INDEX(인턴계획표[이름],$Q25)&amp;""))</f>
        <v/>
      </c>
      <c r="C25">
        <f>IF($Q25="","",INDEX(인턴계획표[사번],$Q25)&amp;"")</f>
        <v/>
      </c>
      <c r="D25">
        <f>IF($Q25="","",IF(COUNTIF(기본자료표[사번키],INDEX(인턴계획표[사번키],$Q25))&gt;0,"확인","미등록"))</f>
        <v/>
      </c>
      <c r="E25">
        <f>IF($Q25="","",IF(ISNUMBER(INDEX(인턴계획표[입사일(비고)],$Q25)),TEXT(INDEX(인턴계획표[입사일(비고)],$Q25),"yyyy-mm-dd"),INDEX(인턴계획표[입사일(비고)],$Q25)&amp;""))</f>
        <v/>
      </c>
      <c r="F25">
        <f>IF($Q25="","",IF(IF($G$3="","",INDEX(인턴계획표[[정규화1]:[정규화6]],$Q25,$G$3)&amp;"")="","",IF(LEFT(IF($G$3="","",INDEX(인턴계획표[[정규화1]:[정규화6]],$Q25,$G$3)&amp;""),1)="⚠",IF($G$3="","",INDEX(인턴계획표[[정규화1]:[정규화6]],$Q25,$G$3)&amp;""),IFERROR(LEFT(IF($G$3="","",INDEX(인턴계획표[[정규화1]:[정규화6]],$Q25,$G$3)&amp;""),FIND(" ",IF($G$3="","",INDEX(인턴계획표[[정규화1]:[정규화6]],$Q25,$G$3)&amp;""))-1),IF($G$3="","",INDEX(인턴계획표[[정규화1]:[정규화6]],$Q25,$G$3)&amp;"")))))</f>
        <v/>
      </c>
      <c r="G25">
        <f>IF($Q25="","",IF(IF($G$3="","",INDEX(인턴계획표[[정규화1]:[정규화6]],$Q25,$G$3)&amp;"")="","",IF(LEFT(IF($G$3="","",INDEX(인턴계획표[[정규화1]:[정규화6]],$Q25,$G$3)&amp;""),1)="⚠","",IFERROR(MID(IF($G$3="","",INDEX(인턴계획표[[정규화1]:[정규화6]],$Q25,$G$3)&amp;""),FIND(" ",IF($G$3="","",INDEX(인턴계획표[[정규화1]:[정규화6]],$Q25,$G$3)&amp;""))+1,60),""))))</f>
        <v/>
      </c>
      <c r="H25">
        <f>IF($Q25="","",IF(IF($I$3="","",INDEX(인턴계획표[[정규화1]:[정규화6]],$Q25,$I$3)&amp;"")="","",IF(LEFT(IF($I$3="","",INDEX(인턴계획표[[정규화1]:[정규화6]],$Q25,$I$3)&amp;""),1)="⚠",IF($I$3="","",INDEX(인턴계획표[[정규화1]:[정규화6]],$Q25,$I$3)&amp;""),IFERROR(LEFT(IF($I$3="","",INDEX(인턴계획표[[정규화1]:[정규화6]],$Q25,$I$3)&amp;""),FIND(" ",IF($I$3="","",INDEX(인턴계획표[[정규화1]:[정규화6]],$Q25,$I$3)&amp;""))-1),IF($I$3="","",INDEX(인턴계획표[[정규화1]:[정규화6]],$Q25,$I$3)&amp;"")))))</f>
        <v/>
      </c>
      <c r="I25">
        <f>IF($Q25="","",IF(IF($I$3="","",INDEX(인턴계획표[[정규화1]:[정규화6]],$Q25,$I$3)&amp;"")="","",IF(LEFT(IF($I$3="","",INDEX(인턴계획표[[정규화1]:[정규화6]],$Q25,$I$3)&amp;""),1)="⚠","",IFERROR(MID(IF($I$3="","",INDEX(인턴계획표[[정규화1]:[정규화6]],$Q25,$I$3)&amp;""),FIND(" ",IF($I$3="","",INDEX(인턴계획표[[정규화1]:[정규화6]],$Q25,$I$3)&amp;""))+1,60),""))))</f>
        <v/>
      </c>
      <c r="J25">
        <f>IF($Q25="","",INDEX(인턴계획표[정규화1],$Q25))</f>
        <v/>
      </c>
      <c r="K25">
        <f>IF($Q25="","",INDEX(인턴계획표[정규화2],$Q25))</f>
        <v/>
      </c>
      <c r="L25">
        <f>IF($Q25="","",INDEX(인턴계획표[정규화3],$Q25))</f>
        <v/>
      </c>
      <c r="M25">
        <f>IF($Q25="","",INDEX(인턴계획표[정규화4],$Q25))</f>
        <v/>
      </c>
      <c r="N25">
        <f>IF($Q25="","",INDEX(인턴계획표[정규화5],$Q25))</f>
        <v/>
      </c>
      <c r="O25">
        <f>IF($Q25="","",INDEX(인턴계획표[정규화6],$Q25))</f>
        <v/>
      </c>
      <c r="P25">
        <f>IF($Q25="","",INDEX(인턴계획표[입력오류],$Q25))</f>
        <v/>
      </c>
      <c r="Q25" s="17">
        <f>IFERROR(MATCH(20,인턴계획표[표시순번],0),"")</f>
        <v/>
      </c>
      <c r="S25">
        <f>IFERROR(INDEX(병원표[병원],20)&amp;"","")</f>
        <v/>
      </c>
      <c r="T25">
        <f>IF($S25="","",COUNTIF(인턴계획표[정규화1],$S25&amp;" *"))</f>
        <v/>
      </c>
      <c r="U25">
        <f>IF($S25="","",COUNTIF(인턴계획표[정규화2],$S25&amp;" *"))</f>
        <v/>
      </c>
      <c r="V25">
        <f>IF($S25="","",COUNTIF(인턴계획표[정규화3],$S25&amp;" *"))</f>
        <v/>
      </c>
      <c r="W25">
        <f>IF($S25="","",COUNTIF(인턴계획표[정규화4],$S25&amp;" *"))</f>
        <v/>
      </c>
      <c r="X25">
        <f>IF($S25="","",COUNTIF(인턴계획표[정규화5],$S25&amp;" *"))</f>
        <v/>
      </c>
      <c r="Y25">
        <f>IF($S25="","",COUNTIF(인턴계획표[정규화6],$S25&amp;" *"))</f>
        <v/>
      </c>
    </row>
    <row r="26">
      <c r="A26">
        <f>IF($Q26="","",INDEX(인턴계획표[순번],$Q26)&amp;"")</f>
        <v/>
      </c>
      <c r="B26">
        <f>IF($Q26="","",TRIM(INDEX(인턴계획표[이름],$Q26)&amp;""))</f>
        <v/>
      </c>
      <c r="C26">
        <f>IF($Q26="","",INDEX(인턴계획표[사번],$Q26)&amp;"")</f>
        <v/>
      </c>
      <c r="D26">
        <f>IF($Q26="","",IF(COUNTIF(기본자료표[사번키],INDEX(인턴계획표[사번키],$Q26))&gt;0,"확인","미등록"))</f>
        <v/>
      </c>
      <c r="E26">
        <f>IF($Q26="","",IF(ISNUMBER(INDEX(인턴계획표[입사일(비고)],$Q26)),TEXT(INDEX(인턴계획표[입사일(비고)],$Q26),"yyyy-mm-dd"),INDEX(인턴계획표[입사일(비고)],$Q26)&amp;""))</f>
        <v/>
      </c>
      <c r="F26">
        <f>IF($Q26="","",IF(IF($G$3="","",INDEX(인턴계획표[[정규화1]:[정규화6]],$Q26,$G$3)&amp;"")="","",IF(LEFT(IF($G$3="","",INDEX(인턴계획표[[정규화1]:[정규화6]],$Q26,$G$3)&amp;""),1)="⚠",IF($G$3="","",INDEX(인턴계획표[[정규화1]:[정규화6]],$Q26,$G$3)&amp;""),IFERROR(LEFT(IF($G$3="","",INDEX(인턴계획표[[정규화1]:[정규화6]],$Q26,$G$3)&amp;""),FIND(" ",IF($G$3="","",INDEX(인턴계획표[[정규화1]:[정규화6]],$Q26,$G$3)&amp;""))-1),IF($G$3="","",INDEX(인턴계획표[[정규화1]:[정규화6]],$Q26,$G$3)&amp;"")))))</f>
        <v/>
      </c>
      <c r="G26">
        <f>IF($Q26="","",IF(IF($G$3="","",INDEX(인턴계획표[[정규화1]:[정규화6]],$Q26,$G$3)&amp;"")="","",IF(LEFT(IF($G$3="","",INDEX(인턴계획표[[정규화1]:[정규화6]],$Q26,$G$3)&amp;""),1)="⚠","",IFERROR(MID(IF($G$3="","",INDEX(인턴계획표[[정규화1]:[정규화6]],$Q26,$G$3)&amp;""),FIND(" ",IF($G$3="","",INDEX(인턴계획표[[정규화1]:[정규화6]],$Q26,$G$3)&amp;""))+1,60),""))))</f>
        <v/>
      </c>
      <c r="H26">
        <f>IF($Q26="","",IF(IF($I$3="","",INDEX(인턴계획표[[정규화1]:[정규화6]],$Q26,$I$3)&amp;"")="","",IF(LEFT(IF($I$3="","",INDEX(인턴계획표[[정규화1]:[정규화6]],$Q26,$I$3)&amp;""),1)="⚠",IF($I$3="","",INDEX(인턴계획표[[정규화1]:[정규화6]],$Q26,$I$3)&amp;""),IFERROR(LEFT(IF($I$3="","",INDEX(인턴계획표[[정규화1]:[정규화6]],$Q26,$I$3)&amp;""),FIND(" ",IF($I$3="","",INDEX(인턴계획표[[정규화1]:[정규화6]],$Q26,$I$3)&amp;""))-1),IF($I$3="","",INDEX(인턴계획표[[정규화1]:[정규화6]],$Q26,$I$3)&amp;"")))))</f>
        <v/>
      </c>
      <c r="I26">
        <f>IF($Q26="","",IF(IF($I$3="","",INDEX(인턴계획표[[정규화1]:[정규화6]],$Q26,$I$3)&amp;"")="","",IF(LEFT(IF($I$3="","",INDEX(인턴계획표[[정규화1]:[정규화6]],$Q26,$I$3)&amp;""),1)="⚠","",IFERROR(MID(IF($I$3="","",INDEX(인턴계획표[[정규화1]:[정규화6]],$Q26,$I$3)&amp;""),FIND(" ",IF($I$3="","",INDEX(인턴계획표[[정규화1]:[정규화6]],$Q26,$I$3)&amp;""))+1,60),""))))</f>
        <v/>
      </c>
      <c r="J26">
        <f>IF($Q26="","",INDEX(인턴계획표[정규화1],$Q26))</f>
        <v/>
      </c>
      <c r="K26">
        <f>IF($Q26="","",INDEX(인턴계획표[정규화2],$Q26))</f>
        <v/>
      </c>
      <c r="L26">
        <f>IF($Q26="","",INDEX(인턴계획표[정규화3],$Q26))</f>
        <v/>
      </c>
      <c r="M26">
        <f>IF($Q26="","",INDEX(인턴계획표[정규화4],$Q26))</f>
        <v/>
      </c>
      <c r="N26">
        <f>IF($Q26="","",INDEX(인턴계획표[정규화5],$Q26))</f>
        <v/>
      </c>
      <c r="O26">
        <f>IF($Q26="","",INDEX(인턴계획표[정규화6],$Q26))</f>
        <v/>
      </c>
      <c r="P26">
        <f>IF($Q26="","",INDEX(인턴계획표[입력오류],$Q26))</f>
        <v/>
      </c>
      <c r="Q26" s="17">
        <f>IFERROR(MATCH(21,인턴계획표[표시순번],0),"")</f>
        <v/>
      </c>
      <c r="S26">
        <f>IFERROR(INDEX(병원표[병원],21)&amp;"","")</f>
        <v/>
      </c>
      <c r="T26">
        <f>IF($S26="","",COUNTIF(인턴계획표[정규화1],$S26&amp;" *"))</f>
        <v/>
      </c>
      <c r="U26">
        <f>IF($S26="","",COUNTIF(인턴계획표[정규화2],$S26&amp;" *"))</f>
        <v/>
      </c>
      <c r="V26">
        <f>IF($S26="","",COUNTIF(인턴계획표[정규화3],$S26&amp;" *"))</f>
        <v/>
      </c>
      <c r="W26">
        <f>IF($S26="","",COUNTIF(인턴계획표[정규화4],$S26&amp;" *"))</f>
        <v/>
      </c>
      <c r="X26">
        <f>IF($S26="","",COUNTIF(인턴계획표[정규화5],$S26&amp;" *"))</f>
        <v/>
      </c>
      <c r="Y26">
        <f>IF($S26="","",COUNTIF(인턴계획표[정규화6],$S26&amp;" *"))</f>
        <v/>
      </c>
    </row>
    <row r="27">
      <c r="A27">
        <f>IF($Q27="","",INDEX(인턴계획표[순번],$Q27)&amp;"")</f>
        <v/>
      </c>
      <c r="B27">
        <f>IF($Q27="","",TRIM(INDEX(인턴계획표[이름],$Q27)&amp;""))</f>
        <v/>
      </c>
      <c r="C27">
        <f>IF($Q27="","",INDEX(인턴계획표[사번],$Q27)&amp;"")</f>
        <v/>
      </c>
      <c r="D27">
        <f>IF($Q27="","",IF(COUNTIF(기본자료표[사번키],INDEX(인턴계획표[사번키],$Q27))&gt;0,"확인","미등록"))</f>
        <v/>
      </c>
      <c r="E27">
        <f>IF($Q27="","",IF(ISNUMBER(INDEX(인턴계획표[입사일(비고)],$Q27)),TEXT(INDEX(인턴계획표[입사일(비고)],$Q27),"yyyy-mm-dd"),INDEX(인턴계획표[입사일(비고)],$Q27)&amp;""))</f>
        <v/>
      </c>
      <c r="F27">
        <f>IF($Q27="","",IF(IF($G$3="","",INDEX(인턴계획표[[정규화1]:[정규화6]],$Q27,$G$3)&amp;"")="","",IF(LEFT(IF($G$3="","",INDEX(인턴계획표[[정규화1]:[정규화6]],$Q27,$G$3)&amp;""),1)="⚠",IF($G$3="","",INDEX(인턴계획표[[정규화1]:[정규화6]],$Q27,$G$3)&amp;""),IFERROR(LEFT(IF($G$3="","",INDEX(인턴계획표[[정규화1]:[정규화6]],$Q27,$G$3)&amp;""),FIND(" ",IF($G$3="","",INDEX(인턴계획표[[정규화1]:[정규화6]],$Q27,$G$3)&amp;""))-1),IF($G$3="","",INDEX(인턴계획표[[정규화1]:[정규화6]],$Q27,$G$3)&amp;"")))))</f>
        <v/>
      </c>
      <c r="G27">
        <f>IF($Q27="","",IF(IF($G$3="","",INDEX(인턴계획표[[정규화1]:[정규화6]],$Q27,$G$3)&amp;"")="","",IF(LEFT(IF($G$3="","",INDEX(인턴계획표[[정규화1]:[정규화6]],$Q27,$G$3)&amp;""),1)="⚠","",IFERROR(MID(IF($G$3="","",INDEX(인턴계획표[[정규화1]:[정규화6]],$Q27,$G$3)&amp;""),FIND(" ",IF($G$3="","",INDEX(인턴계획표[[정규화1]:[정규화6]],$Q27,$G$3)&amp;""))+1,60),""))))</f>
        <v/>
      </c>
      <c r="H27">
        <f>IF($Q27="","",IF(IF($I$3="","",INDEX(인턴계획표[[정규화1]:[정규화6]],$Q27,$I$3)&amp;"")="","",IF(LEFT(IF($I$3="","",INDEX(인턴계획표[[정규화1]:[정규화6]],$Q27,$I$3)&amp;""),1)="⚠",IF($I$3="","",INDEX(인턴계획표[[정규화1]:[정규화6]],$Q27,$I$3)&amp;""),IFERROR(LEFT(IF($I$3="","",INDEX(인턴계획표[[정규화1]:[정규화6]],$Q27,$I$3)&amp;""),FIND(" ",IF($I$3="","",INDEX(인턴계획표[[정규화1]:[정규화6]],$Q27,$I$3)&amp;""))-1),IF($I$3="","",INDEX(인턴계획표[[정규화1]:[정규화6]],$Q27,$I$3)&amp;"")))))</f>
        <v/>
      </c>
      <c r="I27">
        <f>IF($Q27="","",IF(IF($I$3="","",INDEX(인턴계획표[[정규화1]:[정규화6]],$Q27,$I$3)&amp;"")="","",IF(LEFT(IF($I$3="","",INDEX(인턴계획표[[정규화1]:[정규화6]],$Q27,$I$3)&amp;""),1)="⚠","",IFERROR(MID(IF($I$3="","",INDEX(인턴계획표[[정규화1]:[정규화6]],$Q27,$I$3)&amp;""),FIND(" ",IF($I$3="","",INDEX(인턴계획표[[정규화1]:[정규화6]],$Q27,$I$3)&amp;""))+1,60),""))))</f>
        <v/>
      </c>
      <c r="J27">
        <f>IF($Q27="","",INDEX(인턴계획표[정규화1],$Q27))</f>
        <v/>
      </c>
      <c r="K27">
        <f>IF($Q27="","",INDEX(인턴계획표[정규화2],$Q27))</f>
        <v/>
      </c>
      <c r="L27">
        <f>IF($Q27="","",INDEX(인턴계획표[정규화3],$Q27))</f>
        <v/>
      </c>
      <c r="M27">
        <f>IF($Q27="","",INDEX(인턴계획표[정규화4],$Q27))</f>
        <v/>
      </c>
      <c r="N27">
        <f>IF($Q27="","",INDEX(인턴계획표[정규화5],$Q27))</f>
        <v/>
      </c>
      <c r="O27">
        <f>IF($Q27="","",INDEX(인턴계획표[정규화6],$Q27))</f>
        <v/>
      </c>
      <c r="P27">
        <f>IF($Q27="","",INDEX(인턴계획표[입력오류],$Q27))</f>
        <v/>
      </c>
      <c r="Q27" s="17">
        <f>IFERROR(MATCH(22,인턴계획표[표시순번],0),"")</f>
        <v/>
      </c>
      <c r="S27">
        <f>IFERROR(INDEX(병원표[병원],22)&amp;"","")</f>
        <v/>
      </c>
      <c r="T27">
        <f>IF($S27="","",COUNTIF(인턴계획표[정규화1],$S27&amp;" *"))</f>
        <v/>
      </c>
      <c r="U27">
        <f>IF($S27="","",COUNTIF(인턴계획표[정규화2],$S27&amp;" *"))</f>
        <v/>
      </c>
      <c r="V27">
        <f>IF($S27="","",COUNTIF(인턴계획표[정규화3],$S27&amp;" *"))</f>
        <v/>
      </c>
      <c r="W27">
        <f>IF($S27="","",COUNTIF(인턴계획표[정규화4],$S27&amp;" *"))</f>
        <v/>
      </c>
      <c r="X27">
        <f>IF($S27="","",COUNTIF(인턴계획표[정규화5],$S27&amp;" *"))</f>
        <v/>
      </c>
      <c r="Y27">
        <f>IF($S27="","",COUNTIF(인턴계획표[정규화6],$S27&amp;" *"))</f>
        <v/>
      </c>
    </row>
    <row r="28">
      <c r="A28">
        <f>IF($Q28="","",INDEX(인턴계획표[순번],$Q28)&amp;"")</f>
        <v/>
      </c>
      <c r="B28">
        <f>IF($Q28="","",TRIM(INDEX(인턴계획표[이름],$Q28)&amp;""))</f>
        <v/>
      </c>
      <c r="C28">
        <f>IF($Q28="","",INDEX(인턴계획표[사번],$Q28)&amp;"")</f>
        <v/>
      </c>
      <c r="D28">
        <f>IF($Q28="","",IF(COUNTIF(기본자료표[사번키],INDEX(인턴계획표[사번키],$Q28))&gt;0,"확인","미등록"))</f>
        <v/>
      </c>
      <c r="E28">
        <f>IF($Q28="","",IF(ISNUMBER(INDEX(인턴계획표[입사일(비고)],$Q28)),TEXT(INDEX(인턴계획표[입사일(비고)],$Q28),"yyyy-mm-dd"),INDEX(인턴계획표[입사일(비고)],$Q28)&amp;""))</f>
        <v/>
      </c>
      <c r="F28">
        <f>IF($Q28="","",IF(IF($G$3="","",INDEX(인턴계획표[[정규화1]:[정규화6]],$Q28,$G$3)&amp;"")="","",IF(LEFT(IF($G$3="","",INDEX(인턴계획표[[정규화1]:[정규화6]],$Q28,$G$3)&amp;""),1)="⚠",IF($G$3="","",INDEX(인턴계획표[[정규화1]:[정규화6]],$Q28,$G$3)&amp;""),IFERROR(LEFT(IF($G$3="","",INDEX(인턴계획표[[정규화1]:[정규화6]],$Q28,$G$3)&amp;""),FIND(" ",IF($G$3="","",INDEX(인턴계획표[[정규화1]:[정규화6]],$Q28,$G$3)&amp;""))-1),IF($G$3="","",INDEX(인턴계획표[[정규화1]:[정규화6]],$Q28,$G$3)&amp;"")))))</f>
        <v/>
      </c>
      <c r="G28">
        <f>IF($Q28="","",IF(IF($G$3="","",INDEX(인턴계획표[[정규화1]:[정규화6]],$Q28,$G$3)&amp;"")="","",IF(LEFT(IF($G$3="","",INDEX(인턴계획표[[정규화1]:[정규화6]],$Q28,$G$3)&amp;""),1)="⚠","",IFERROR(MID(IF($G$3="","",INDEX(인턴계획표[[정규화1]:[정규화6]],$Q28,$G$3)&amp;""),FIND(" ",IF($G$3="","",INDEX(인턴계획표[[정규화1]:[정규화6]],$Q28,$G$3)&amp;""))+1,60),""))))</f>
        <v/>
      </c>
      <c r="H28">
        <f>IF($Q28="","",IF(IF($I$3="","",INDEX(인턴계획표[[정규화1]:[정규화6]],$Q28,$I$3)&amp;"")="","",IF(LEFT(IF($I$3="","",INDEX(인턴계획표[[정규화1]:[정규화6]],$Q28,$I$3)&amp;""),1)="⚠",IF($I$3="","",INDEX(인턴계획표[[정규화1]:[정규화6]],$Q28,$I$3)&amp;""),IFERROR(LEFT(IF($I$3="","",INDEX(인턴계획표[[정규화1]:[정규화6]],$Q28,$I$3)&amp;""),FIND(" ",IF($I$3="","",INDEX(인턴계획표[[정규화1]:[정규화6]],$Q28,$I$3)&amp;""))-1),IF($I$3="","",INDEX(인턴계획표[[정규화1]:[정규화6]],$Q28,$I$3)&amp;"")))))</f>
        <v/>
      </c>
      <c r="I28">
        <f>IF($Q28="","",IF(IF($I$3="","",INDEX(인턴계획표[[정규화1]:[정규화6]],$Q28,$I$3)&amp;"")="","",IF(LEFT(IF($I$3="","",INDEX(인턴계획표[[정규화1]:[정규화6]],$Q28,$I$3)&amp;""),1)="⚠","",IFERROR(MID(IF($I$3="","",INDEX(인턴계획표[[정규화1]:[정규화6]],$Q28,$I$3)&amp;""),FIND(" ",IF($I$3="","",INDEX(인턴계획표[[정규화1]:[정규화6]],$Q28,$I$3)&amp;""))+1,60),""))))</f>
        <v/>
      </c>
      <c r="J28">
        <f>IF($Q28="","",INDEX(인턴계획표[정규화1],$Q28))</f>
        <v/>
      </c>
      <c r="K28">
        <f>IF($Q28="","",INDEX(인턴계획표[정규화2],$Q28))</f>
        <v/>
      </c>
      <c r="L28">
        <f>IF($Q28="","",INDEX(인턴계획표[정규화3],$Q28))</f>
        <v/>
      </c>
      <c r="M28">
        <f>IF($Q28="","",INDEX(인턴계획표[정규화4],$Q28))</f>
        <v/>
      </c>
      <c r="N28">
        <f>IF($Q28="","",INDEX(인턴계획표[정규화5],$Q28))</f>
        <v/>
      </c>
      <c r="O28">
        <f>IF($Q28="","",INDEX(인턴계획표[정규화6],$Q28))</f>
        <v/>
      </c>
      <c r="P28">
        <f>IF($Q28="","",INDEX(인턴계획표[입력오류],$Q28))</f>
        <v/>
      </c>
      <c r="Q28" s="17">
        <f>IFERROR(MATCH(23,인턴계획표[표시순번],0),"")</f>
        <v/>
      </c>
      <c r="S28">
        <f>IFERROR(INDEX(병원표[병원],23)&amp;"","")</f>
        <v/>
      </c>
      <c r="T28">
        <f>IF($S28="","",COUNTIF(인턴계획표[정규화1],$S28&amp;" *"))</f>
        <v/>
      </c>
      <c r="U28">
        <f>IF($S28="","",COUNTIF(인턴계획표[정규화2],$S28&amp;" *"))</f>
        <v/>
      </c>
      <c r="V28">
        <f>IF($S28="","",COUNTIF(인턴계획표[정규화3],$S28&amp;" *"))</f>
        <v/>
      </c>
      <c r="W28">
        <f>IF($S28="","",COUNTIF(인턴계획표[정규화4],$S28&amp;" *"))</f>
        <v/>
      </c>
      <c r="X28">
        <f>IF($S28="","",COUNTIF(인턴계획표[정규화5],$S28&amp;" *"))</f>
        <v/>
      </c>
      <c r="Y28">
        <f>IF($S28="","",COUNTIF(인턴계획표[정규화6],$S28&amp;" *"))</f>
        <v/>
      </c>
    </row>
    <row r="29">
      <c r="A29">
        <f>IF($Q29="","",INDEX(인턴계획표[순번],$Q29)&amp;"")</f>
        <v/>
      </c>
      <c r="B29">
        <f>IF($Q29="","",TRIM(INDEX(인턴계획표[이름],$Q29)&amp;""))</f>
        <v/>
      </c>
      <c r="C29">
        <f>IF($Q29="","",INDEX(인턴계획표[사번],$Q29)&amp;"")</f>
        <v/>
      </c>
      <c r="D29">
        <f>IF($Q29="","",IF(COUNTIF(기본자료표[사번키],INDEX(인턴계획표[사번키],$Q29))&gt;0,"확인","미등록"))</f>
        <v/>
      </c>
      <c r="E29">
        <f>IF($Q29="","",IF(ISNUMBER(INDEX(인턴계획표[입사일(비고)],$Q29)),TEXT(INDEX(인턴계획표[입사일(비고)],$Q29),"yyyy-mm-dd"),INDEX(인턴계획표[입사일(비고)],$Q29)&amp;""))</f>
        <v/>
      </c>
      <c r="F29">
        <f>IF($Q29="","",IF(IF($G$3="","",INDEX(인턴계획표[[정규화1]:[정규화6]],$Q29,$G$3)&amp;"")="","",IF(LEFT(IF($G$3="","",INDEX(인턴계획표[[정규화1]:[정규화6]],$Q29,$G$3)&amp;""),1)="⚠",IF($G$3="","",INDEX(인턴계획표[[정규화1]:[정규화6]],$Q29,$G$3)&amp;""),IFERROR(LEFT(IF($G$3="","",INDEX(인턴계획표[[정규화1]:[정규화6]],$Q29,$G$3)&amp;""),FIND(" ",IF($G$3="","",INDEX(인턴계획표[[정규화1]:[정규화6]],$Q29,$G$3)&amp;""))-1),IF($G$3="","",INDEX(인턴계획표[[정규화1]:[정규화6]],$Q29,$G$3)&amp;"")))))</f>
        <v/>
      </c>
      <c r="G29">
        <f>IF($Q29="","",IF(IF($G$3="","",INDEX(인턴계획표[[정규화1]:[정규화6]],$Q29,$G$3)&amp;"")="","",IF(LEFT(IF($G$3="","",INDEX(인턴계획표[[정규화1]:[정규화6]],$Q29,$G$3)&amp;""),1)="⚠","",IFERROR(MID(IF($G$3="","",INDEX(인턴계획표[[정규화1]:[정규화6]],$Q29,$G$3)&amp;""),FIND(" ",IF($G$3="","",INDEX(인턴계획표[[정규화1]:[정규화6]],$Q29,$G$3)&amp;""))+1,60),""))))</f>
        <v/>
      </c>
      <c r="H29">
        <f>IF($Q29="","",IF(IF($I$3="","",INDEX(인턴계획표[[정규화1]:[정규화6]],$Q29,$I$3)&amp;"")="","",IF(LEFT(IF($I$3="","",INDEX(인턴계획표[[정규화1]:[정규화6]],$Q29,$I$3)&amp;""),1)="⚠",IF($I$3="","",INDEX(인턴계획표[[정규화1]:[정규화6]],$Q29,$I$3)&amp;""),IFERROR(LEFT(IF($I$3="","",INDEX(인턴계획표[[정규화1]:[정규화6]],$Q29,$I$3)&amp;""),FIND(" ",IF($I$3="","",INDEX(인턴계획표[[정규화1]:[정규화6]],$Q29,$I$3)&amp;""))-1),IF($I$3="","",INDEX(인턴계획표[[정규화1]:[정규화6]],$Q29,$I$3)&amp;"")))))</f>
        <v/>
      </c>
      <c r="I29">
        <f>IF($Q29="","",IF(IF($I$3="","",INDEX(인턴계획표[[정규화1]:[정규화6]],$Q29,$I$3)&amp;"")="","",IF(LEFT(IF($I$3="","",INDEX(인턴계획표[[정규화1]:[정규화6]],$Q29,$I$3)&amp;""),1)="⚠","",IFERROR(MID(IF($I$3="","",INDEX(인턴계획표[[정규화1]:[정규화6]],$Q29,$I$3)&amp;""),FIND(" ",IF($I$3="","",INDEX(인턴계획표[[정규화1]:[정규화6]],$Q29,$I$3)&amp;""))+1,60),""))))</f>
        <v/>
      </c>
      <c r="J29">
        <f>IF($Q29="","",INDEX(인턴계획표[정규화1],$Q29))</f>
        <v/>
      </c>
      <c r="K29">
        <f>IF($Q29="","",INDEX(인턴계획표[정규화2],$Q29))</f>
        <v/>
      </c>
      <c r="L29">
        <f>IF($Q29="","",INDEX(인턴계획표[정규화3],$Q29))</f>
        <v/>
      </c>
      <c r="M29">
        <f>IF($Q29="","",INDEX(인턴계획표[정규화4],$Q29))</f>
        <v/>
      </c>
      <c r="N29">
        <f>IF($Q29="","",INDEX(인턴계획표[정규화5],$Q29))</f>
        <v/>
      </c>
      <c r="O29">
        <f>IF($Q29="","",INDEX(인턴계획표[정규화6],$Q29))</f>
        <v/>
      </c>
      <c r="P29">
        <f>IF($Q29="","",INDEX(인턴계획표[입력오류],$Q29))</f>
        <v/>
      </c>
      <c r="Q29" s="17">
        <f>IFERROR(MATCH(24,인턴계획표[표시순번],0),"")</f>
        <v/>
      </c>
      <c r="S29">
        <f>IFERROR(INDEX(병원표[병원],24)&amp;"","")</f>
        <v/>
      </c>
      <c r="T29">
        <f>IF($S29="","",COUNTIF(인턴계획표[정규화1],$S29&amp;" *"))</f>
        <v/>
      </c>
      <c r="U29">
        <f>IF($S29="","",COUNTIF(인턴계획표[정규화2],$S29&amp;" *"))</f>
        <v/>
      </c>
      <c r="V29">
        <f>IF($S29="","",COUNTIF(인턴계획표[정규화3],$S29&amp;" *"))</f>
        <v/>
      </c>
      <c r="W29">
        <f>IF($S29="","",COUNTIF(인턴계획표[정규화4],$S29&amp;" *"))</f>
        <v/>
      </c>
      <c r="X29">
        <f>IF($S29="","",COUNTIF(인턴계획표[정규화5],$S29&amp;" *"))</f>
        <v/>
      </c>
      <c r="Y29">
        <f>IF($S29="","",COUNTIF(인턴계획표[정규화6],$S29&amp;" *"))</f>
        <v/>
      </c>
    </row>
    <row r="30">
      <c r="A30">
        <f>IF($Q30="","",INDEX(인턴계획표[순번],$Q30)&amp;"")</f>
        <v/>
      </c>
      <c r="B30">
        <f>IF($Q30="","",TRIM(INDEX(인턴계획표[이름],$Q30)&amp;""))</f>
        <v/>
      </c>
      <c r="C30">
        <f>IF($Q30="","",INDEX(인턴계획표[사번],$Q30)&amp;"")</f>
        <v/>
      </c>
      <c r="D30">
        <f>IF($Q30="","",IF(COUNTIF(기본자료표[사번키],INDEX(인턴계획표[사번키],$Q30))&gt;0,"확인","미등록"))</f>
        <v/>
      </c>
      <c r="E30">
        <f>IF($Q30="","",IF(ISNUMBER(INDEX(인턴계획표[입사일(비고)],$Q30)),TEXT(INDEX(인턴계획표[입사일(비고)],$Q30),"yyyy-mm-dd"),INDEX(인턴계획표[입사일(비고)],$Q30)&amp;""))</f>
        <v/>
      </c>
      <c r="F30">
        <f>IF($Q30="","",IF(IF($G$3="","",INDEX(인턴계획표[[정규화1]:[정규화6]],$Q30,$G$3)&amp;"")="","",IF(LEFT(IF($G$3="","",INDEX(인턴계획표[[정규화1]:[정규화6]],$Q30,$G$3)&amp;""),1)="⚠",IF($G$3="","",INDEX(인턴계획표[[정규화1]:[정규화6]],$Q30,$G$3)&amp;""),IFERROR(LEFT(IF($G$3="","",INDEX(인턴계획표[[정규화1]:[정규화6]],$Q30,$G$3)&amp;""),FIND(" ",IF($G$3="","",INDEX(인턴계획표[[정규화1]:[정규화6]],$Q30,$G$3)&amp;""))-1),IF($G$3="","",INDEX(인턴계획표[[정규화1]:[정규화6]],$Q30,$G$3)&amp;"")))))</f>
        <v/>
      </c>
      <c r="G30">
        <f>IF($Q30="","",IF(IF($G$3="","",INDEX(인턴계획표[[정규화1]:[정규화6]],$Q30,$G$3)&amp;"")="","",IF(LEFT(IF($G$3="","",INDEX(인턴계획표[[정규화1]:[정규화6]],$Q30,$G$3)&amp;""),1)="⚠","",IFERROR(MID(IF($G$3="","",INDEX(인턴계획표[[정규화1]:[정규화6]],$Q30,$G$3)&amp;""),FIND(" ",IF($G$3="","",INDEX(인턴계획표[[정규화1]:[정규화6]],$Q30,$G$3)&amp;""))+1,60),""))))</f>
        <v/>
      </c>
      <c r="H30">
        <f>IF($Q30="","",IF(IF($I$3="","",INDEX(인턴계획표[[정규화1]:[정규화6]],$Q30,$I$3)&amp;"")="","",IF(LEFT(IF($I$3="","",INDEX(인턴계획표[[정규화1]:[정규화6]],$Q30,$I$3)&amp;""),1)="⚠",IF($I$3="","",INDEX(인턴계획표[[정규화1]:[정규화6]],$Q30,$I$3)&amp;""),IFERROR(LEFT(IF($I$3="","",INDEX(인턴계획표[[정규화1]:[정규화6]],$Q30,$I$3)&amp;""),FIND(" ",IF($I$3="","",INDEX(인턴계획표[[정규화1]:[정규화6]],$Q30,$I$3)&amp;""))-1),IF($I$3="","",INDEX(인턴계획표[[정규화1]:[정규화6]],$Q30,$I$3)&amp;"")))))</f>
        <v/>
      </c>
      <c r="I30">
        <f>IF($Q30="","",IF(IF($I$3="","",INDEX(인턴계획표[[정규화1]:[정규화6]],$Q30,$I$3)&amp;"")="","",IF(LEFT(IF($I$3="","",INDEX(인턴계획표[[정규화1]:[정규화6]],$Q30,$I$3)&amp;""),1)="⚠","",IFERROR(MID(IF($I$3="","",INDEX(인턴계획표[[정규화1]:[정규화6]],$Q30,$I$3)&amp;""),FIND(" ",IF($I$3="","",INDEX(인턴계획표[[정규화1]:[정규화6]],$Q30,$I$3)&amp;""))+1,60),""))))</f>
        <v/>
      </c>
      <c r="J30">
        <f>IF($Q30="","",INDEX(인턴계획표[정규화1],$Q30))</f>
        <v/>
      </c>
      <c r="K30">
        <f>IF($Q30="","",INDEX(인턴계획표[정규화2],$Q30))</f>
        <v/>
      </c>
      <c r="L30">
        <f>IF($Q30="","",INDEX(인턴계획표[정규화3],$Q30))</f>
        <v/>
      </c>
      <c r="M30">
        <f>IF($Q30="","",INDEX(인턴계획표[정규화4],$Q30))</f>
        <v/>
      </c>
      <c r="N30">
        <f>IF($Q30="","",INDEX(인턴계획표[정규화5],$Q30))</f>
        <v/>
      </c>
      <c r="O30">
        <f>IF($Q30="","",INDEX(인턴계획표[정규화6],$Q30))</f>
        <v/>
      </c>
      <c r="P30">
        <f>IF($Q30="","",INDEX(인턴계획표[입력오류],$Q30))</f>
        <v/>
      </c>
      <c r="Q30" s="17">
        <f>IFERROR(MATCH(25,인턴계획표[표시순번],0),"")</f>
        <v/>
      </c>
      <c r="S30">
        <f>IFERROR(INDEX(병원표[병원],25)&amp;"","")</f>
        <v/>
      </c>
      <c r="T30">
        <f>IF($S30="","",COUNTIF(인턴계획표[정규화1],$S30&amp;" *"))</f>
        <v/>
      </c>
      <c r="U30">
        <f>IF($S30="","",COUNTIF(인턴계획표[정규화2],$S30&amp;" *"))</f>
        <v/>
      </c>
      <c r="V30">
        <f>IF($S30="","",COUNTIF(인턴계획표[정규화3],$S30&amp;" *"))</f>
        <v/>
      </c>
      <c r="W30">
        <f>IF($S30="","",COUNTIF(인턴계획표[정규화4],$S30&amp;" *"))</f>
        <v/>
      </c>
      <c r="X30">
        <f>IF($S30="","",COUNTIF(인턴계획표[정규화5],$S30&amp;" *"))</f>
        <v/>
      </c>
      <c r="Y30">
        <f>IF($S30="","",COUNTIF(인턴계획표[정규화6],$S30&amp;" *"))</f>
        <v/>
      </c>
    </row>
    <row r="31">
      <c r="A31">
        <f>IF($Q31="","",INDEX(인턴계획표[순번],$Q31)&amp;"")</f>
        <v/>
      </c>
      <c r="B31">
        <f>IF($Q31="","",TRIM(INDEX(인턴계획표[이름],$Q31)&amp;""))</f>
        <v/>
      </c>
      <c r="C31">
        <f>IF($Q31="","",INDEX(인턴계획표[사번],$Q31)&amp;"")</f>
        <v/>
      </c>
      <c r="D31">
        <f>IF($Q31="","",IF(COUNTIF(기본자료표[사번키],INDEX(인턴계획표[사번키],$Q31))&gt;0,"확인","미등록"))</f>
        <v/>
      </c>
      <c r="E31">
        <f>IF($Q31="","",IF(ISNUMBER(INDEX(인턴계획표[입사일(비고)],$Q31)),TEXT(INDEX(인턴계획표[입사일(비고)],$Q31),"yyyy-mm-dd"),INDEX(인턴계획표[입사일(비고)],$Q31)&amp;""))</f>
        <v/>
      </c>
      <c r="F31">
        <f>IF($Q31="","",IF(IF($G$3="","",INDEX(인턴계획표[[정규화1]:[정규화6]],$Q31,$G$3)&amp;"")="","",IF(LEFT(IF($G$3="","",INDEX(인턴계획표[[정규화1]:[정규화6]],$Q31,$G$3)&amp;""),1)="⚠",IF($G$3="","",INDEX(인턴계획표[[정규화1]:[정규화6]],$Q31,$G$3)&amp;""),IFERROR(LEFT(IF($G$3="","",INDEX(인턴계획표[[정규화1]:[정규화6]],$Q31,$G$3)&amp;""),FIND(" ",IF($G$3="","",INDEX(인턴계획표[[정규화1]:[정규화6]],$Q31,$G$3)&amp;""))-1),IF($G$3="","",INDEX(인턴계획표[[정규화1]:[정규화6]],$Q31,$G$3)&amp;"")))))</f>
        <v/>
      </c>
      <c r="G31">
        <f>IF($Q31="","",IF(IF($G$3="","",INDEX(인턴계획표[[정규화1]:[정규화6]],$Q31,$G$3)&amp;"")="","",IF(LEFT(IF($G$3="","",INDEX(인턴계획표[[정규화1]:[정규화6]],$Q31,$G$3)&amp;""),1)="⚠","",IFERROR(MID(IF($G$3="","",INDEX(인턴계획표[[정규화1]:[정규화6]],$Q31,$G$3)&amp;""),FIND(" ",IF($G$3="","",INDEX(인턴계획표[[정규화1]:[정규화6]],$Q31,$G$3)&amp;""))+1,60),""))))</f>
        <v/>
      </c>
      <c r="H31">
        <f>IF($Q31="","",IF(IF($I$3="","",INDEX(인턴계획표[[정규화1]:[정규화6]],$Q31,$I$3)&amp;"")="","",IF(LEFT(IF($I$3="","",INDEX(인턴계획표[[정규화1]:[정규화6]],$Q31,$I$3)&amp;""),1)="⚠",IF($I$3="","",INDEX(인턴계획표[[정규화1]:[정규화6]],$Q31,$I$3)&amp;""),IFERROR(LEFT(IF($I$3="","",INDEX(인턴계획표[[정규화1]:[정규화6]],$Q31,$I$3)&amp;""),FIND(" ",IF($I$3="","",INDEX(인턴계획표[[정규화1]:[정규화6]],$Q31,$I$3)&amp;""))-1),IF($I$3="","",INDEX(인턴계획표[[정규화1]:[정규화6]],$Q31,$I$3)&amp;"")))))</f>
        <v/>
      </c>
      <c r="I31">
        <f>IF($Q31="","",IF(IF($I$3="","",INDEX(인턴계획표[[정규화1]:[정규화6]],$Q31,$I$3)&amp;"")="","",IF(LEFT(IF($I$3="","",INDEX(인턴계획표[[정규화1]:[정규화6]],$Q31,$I$3)&amp;""),1)="⚠","",IFERROR(MID(IF($I$3="","",INDEX(인턴계획표[[정규화1]:[정규화6]],$Q31,$I$3)&amp;""),FIND(" ",IF($I$3="","",INDEX(인턴계획표[[정규화1]:[정규화6]],$Q31,$I$3)&amp;""))+1,60),""))))</f>
        <v/>
      </c>
      <c r="J31">
        <f>IF($Q31="","",INDEX(인턴계획표[정규화1],$Q31))</f>
        <v/>
      </c>
      <c r="K31">
        <f>IF($Q31="","",INDEX(인턴계획표[정규화2],$Q31))</f>
        <v/>
      </c>
      <c r="L31">
        <f>IF($Q31="","",INDEX(인턴계획표[정규화3],$Q31))</f>
        <v/>
      </c>
      <c r="M31">
        <f>IF($Q31="","",INDEX(인턴계획표[정규화4],$Q31))</f>
        <v/>
      </c>
      <c r="N31">
        <f>IF($Q31="","",INDEX(인턴계획표[정규화5],$Q31))</f>
        <v/>
      </c>
      <c r="O31">
        <f>IF($Q31="","",INDEX(인턴계획표[정규화6],$Q31))</f>
        <v/>
      </c>
      <c r="P31">
        <f>IF($Q31="","",INDEX(인턴계획표[입력오류],$Q31))</f>
        <v/>
      </c>
      <c r="Q31" s="17">
        <f>IFERROR(MATCH(26,인턴계획표[표시순번],0),"")</f>
        <v/>
      </c>
      <c r="S31">
        <f>IFERROR(INDEX(병원표[병원],26)&amp;"","")</f>
        <v/>
      </c>
      <c r="T31">
        <f>IF($S31="","",COUNTIF(인턴계획표[정규화1],$S31&amp;" *"))</f>
        <v/>
      </c>
      <c r="U31">
        <f>IF($S31="","",COUNTIF(인턴계획표[정규화2],$S31&amp;" *"))</f>
        <v/>
      </c>
      <c r="V31">
        <f>IF($S31="","",COUNTIF(인턴계획표[정규화3],$S31&amp;" *"))</f>
        <v/>
      </c>
      <c r="W31">
        <f>IF($S31="","",COUNTIF(인턴계획표[정규화4],$S31&amp;" *"))</f>
        <v/>
      </c>
      <c r="X31">
        <f>IF($S31="","",COUNTIF(인턴계획표[정규화5],$S31&amp;" *"))</f>
        <v/>
      </c>
      <c r="Y31">
        <f>IF($S31="","",COUNTIF(인턴계획표[정규화6],$S31&amp;" *"))</f>
        <v/>
      </c>
    </row>
    <row r="32">
      <c r="A32">
        <f>IF($Q32="","",INDEX(인턴계획표[순번],$Q32)&amp;"")</f>
        <v/>
      </c>
      <c r="B32">
        <f>IF($Q32="","",TRIM(INDEX(인턴계획표[이름],$Q32)&amp;""))</f>
        <v/>
      </c>
      <c r="C32">
        <f>IF($Q32="","",INDEX(인턴계획표[사번],$Q32)&amp;"")</f>
        <v/>
      </c>
      <c r="D32">
        <f>IF($Q32="","",IF(COUNTIF(기본자료표[사번키],INDEX(인턴계획표[사번키],$Q32))&gt;0,"확인","미등록"))</f>
        <v/>
      </c>
      <c r="E32">
        <f>IF($Q32="","",IF(ISNUMBER(INDEX(인턴계획표[입사일(비고)],$Q32)),TEXT(INDEX(인턴계획표[입사일(비고)],$Q32),"yyyy-mm-dd"),INDEX(인턴계획표[입사일(비고)],$Q32)&amp;""))</f>
        <v/>
      </c>
      <c r="F32">
        <f>IF($Q32="","",IF(IF($G$3="","",INDEX(인턴계획표[[정규화1]:[정규화6]],$Q32,$G$3)&amp;"")="","",IF(LEFT(IF($G$3="","",INDEX(인턴계획표[[정규화1]:[정규화6]],$Q32,$G$3)&amp;""),1)="⚠",IF($G$3="","",INDEX(인턴계획표[[정규화1]:[정규화6]],$Q32,$G$3)&amp;""),IFERROR(LEFT(IF($G$3="","",INDEX(인턴계획표[[정규화1]:[정규화6]],$Q32,$G$3)&amp;""),FIND(" ",IF($G$3="","",INDEX(인턴계획표[[정규화1]:[정규화6]],$Q32,$G$3)&amp;""))-1),IF($G$3="","",INDEX(인턴계획표[[정규화1]:[정규화6]],$Q32,$G$3)&amp;"")))))</f>
        <v/>
      </c>
      <c r="G32">
        <f>IF($Q32="","",IF(IF($G$3="","",INDEX(인턴계획표[[정규화1]:[정규화6]],$Q32,$G$3)&amp;"")="","",IF(LEFT(IF($G$3="","",INDEX(인턴계획표[[정규화1]:[정규화6]],$Q32,$G$3)&amp;""),1)="⚠","",IFERROR(MID(IF($G$3="","",INDEX(인턴계획표[[정규화1]:[정규화6]],$Q32,$G$3)&amp;""),FIND(" ",IF($G$3="","",INDEX(인턴계획표[[정규화1]:[정규화6]],$Q32,$G$3)&amp;""))+1,60),""))))</f>
        <v/>
      </c>
      <c r="H32">
        <f>IF($Q32="","",IF(IF($I$3="","",INDEX(인턴계획표[[정규화1]:[정규화6]],$Q32,$I$3)&amp;"")="","",IF(LEFT(IF($I$3="","",INDEX(인턴계획표[[정규화1]:[정규화6]],$Q32,$I$3)&amp;""),1)="⚠",IF($I$3="","",INDEX(인턴계획표[[정규화1]:[정규화6]],$Q32,$I$3)&amp;""),IFERROR(LEFT(IF($I$3="","",INDEX(인턴계획표[[정규화1]:[정규화6]],$Q32,$I$3)&amp;""),FIND(" ",IF($I$3="","",INDEX(인턴계획표[[정규화1]:[정규화6]],$Q32,$I$3)&amp;""))-1),IF($I$3="","",INDEX(인턴계획표[[정규화1]:[정규화6]],$Q32,$I$3)&amp;"")))))</f>
        <v/>
      </c>
      <c r="I32">
        <f>IF($Q32="","",IF(IF($I$3="","",INDEX(인턴계획표[[정규화1]:[정규화6]],$Q32,$I$3)&amp;"")="","",IF(LEFT(IF($I$3="","",INDEX(인턴계획표[[정규화1]:[정규화6]],$Q32,$I$3)&amp;""),1)="⚠","",IFERROR(MID(IF($I$3="","",INDEX(인턴계획표[[정규화1]:[정규화6]],$Q32,$I$3)&amp;""),FIND(" ",IF($I$3="","",INDEX(인턴계획표[[정규화1]:[정규화6]],$Q32,$I$3)&amp;""))+1,60),""))))</f>
        <v/>
      </c>
      <c r="J32">
        <f>IF($Q32="","",INDEX(인턴계획표[정규화1],$Q32))</f>
        <v/>
      </c>
      <c r="K32">
        <f>IF($Q32="","",INDEX(인턴계획표[정규화2],$Q32))</f>
        <v/>
      </c>
      <c r="L32">
        <f>IF($Q32="","",INDEX(인턴계획표[정규화3],$Q32))</f>
        <v/>
      </c>
      <c r="M32">
        <f>IF($Q32="","",INDEX(인턴계획표[정규화4],$Q32))</f>
        <v/>
      </c>
      <c r="N32">
        <f>IF($Q32="","",INDEX(인턴계획표[정규화5],$Q32))</f>
        <v/>
      </c>
      <c r="O32">
        <f>IF($Q32="","",INDEX(인턴계획표[정규화6],$Q32))</f>
        <v/>
      </c>
      <c r="P32">
        <f>IF($Q32="","",INDEX(인턴계획표[입력오류],$Q32))</f>
        <v/>
      </c>
      <c r="Q32" s="17">
        <f>IFERROR(MATCH(27,인턴계획표[표시순번],0),"")</f>
        <v/>
      </c>
      <c r="S32">
        <f>IFERROR(INDEX(병원표[병원],27)&amp;"","")</f>
        <v/>
      </c>
      <c r="T32">
        <f>IF($S32="","",COUNTIF(인턴계획표[정규화1],$S32&amp;" *"))</f>
        <v/>
      </c>
      <c r="U32">
        <f>IF($S32="","",COUNTIF(인턴계획표[정규화2],$S32&amp;" *"))</f>
        <v/>
      </c>
      <c r="V32">
        <f>IF($S32="","",COUNTIF(인턴계획표[정규화3],$S32&amp;" *"))</f>
        <v/>
      </c>
      <c r="W32">
        <f>IF($S32="","",COUNTIF(인턴계획표[정규화4],$S32&amp;" *"))</f>
        <v/>
      </c>
      <c r="X32">
        <f>IF($S32="","",COUNTIF(인턴계획표[정규화5],$S32&amp;" *"))</f>
        <v/>
      </c>
      <c r="Y32">
        <f>IF($S32="","",COUNTIF(인턴계획표[정규화6],$S32&amp;" *"))</f>
        <v/>
      </c>
    </row>
    <row r="33">
      <c r="A33">
        <f>IF($Q33="","",INDEX(인턴계획표[순번],$Q33)&amp;"")</f>
        <v/>
      </c>
      <c r="B33">
        <f>IF($Q33="","",TRIM(INDEX(인턴계획표[이름],$Q33)&amp;""))</f>
        <v/>
      </c>
      <c r="C33">
        <f>IF($Q33="","",INDEX(인턴계획표[사번],$Q33)&amp;"")</f>
        <v/>
      </c>
      <c r="D33">
        <f>IF($Q33="","",IF(COUNTIF(기본자료표[사번키],INDEX(인턴계획표[사번키],$Q33))&gt;0,"확인","미등록"))</f>
        <v/>
      </c>
      <c r="E33">
        <f>IF($Q33="","",IF(ISNUMBER(INDEX(인턴계획표[입사일(비고)],$Q33)),TEXT(INDEX(인턴계획표[입사일(비고)],$Q33),"yyyy-mm-dd"),INDEX(인턴계획표[입사일(비고)],$Q33)&amp;""))</f>
        <v/>
      </c>
      <c r="F33">
        <f>IF($Q33="","",IF(IF($G$3="","",INDEX(인턴계획표[[정규화1]:[정규화6]],$Q33,$G$3)&amp;"")="","",IF(LEFT(IF($G$3="","",INDEX(인턴계획표[[정규화1]:[정규화6]],$Q33,$G$3)&amp;""),1)="⚠",IF($G$3="","",INDEX(인턴계획표[[정규화1]:[정규화6]],$Q33,$G$3)&amp;""),IFERROR(LEFT(IF($G$3="","",INDEX(인턴계획표[[정규화1]:[정규화6]],$Q33,$G$3)&amp;""),FIND(" ",IF($G$3="","",INDEX(인턴계획표[[정규화1]:[정규화6]],$Q33,$G$3)&amp;""))-1),IF($G$3="","",INDEX(인턴계획표[[정규화1]:[정규화6]],$Q33,$G$3)&amp;"")))))</f>
        <v/>
      </c>
      <c r="G33">
        <f>IF($Q33="","",IF(IF($G$3="","",INDEX(인턴계획표[[정규화1]:[정규화6]],$Q33,$G$3)&amp;"")="","",IF(LEFT(IF($G$3="","",INDEX(인턴계획표[[정규화1]:[정규화6]],$Q33,$G$3)&amp;""),1)="⚠","",IFERROR(MID(IF($G$3="","",INDEX(인턴계획표[[정규화1]:[정규화6]],$Q33,$G$3)&amp;""),FIND(" ",IF($G$3="","",INDEX(인턴계획표[[정규화1]:[정규화6]],$Q33,$G$3)&amp;""))+1,60),""))))</f>
        <v/>
      </c>
      <c r="H33">
        <f>IF($Q33="","",IF(IF($I$3="","",INDEX(인턴계획표[[정규화1]:[정규화6]],$Q33,$I$3)&amp;"")="","",IF(LEFT(IF($I$3="","",INDEX(인턴계획표[[정규화1]:[정규화6]],$Q33,$I$3)&amp;""),1)="⚠",IF($I$3="","",INDEX(인턴계획표[[정규화1]:[정규화6]],$Q33,$I$3)&amp;""),IFERROR(LEFT(IF($I$3="","",INDEX(인턴계획표[[정규화1]:[정규화6]],$Q33,$I$3)&amp;""),FIND(" ",IF($I$3="","",INDEX(인턴계획표[[정규화1]:[정규화6]],$Q33,$I$3)&amp;""))-1),IF($I$3="","",INDEX(인턴계획표[[정규화1]:[정규화6]],$Q33,$I$3)&amp;"")))))</f>
        <v/>
      </c>
      <c r="I33">
        <f>IF($Q33="","",IF(IF($I$3="","",INDEX(인턴계획표[[정규화1]:[정규화6]],$Q33,$I$3)&amp;"")="","",IF(LEFT(IF($I$3="","",INDEX(인턴계획표[[정규화1]:[정규화6]],$Q33,$I$3)&amp;""),1)="⚠","",IFERROR(MID(IF($I$3="","",INDEX(인턴계획표[[정규화1]:[정규화6]],$Q33,$I$3)&amp;""),FIND(" ",IF($I$3="","",INDEX(인턴계획표[[정규화1]:[정규화6]],$Q33,$I$3)&amp;""))+1,60),""))))</f>
        <v/>
      </c>
      <c r="J33">
        <f>IF($Q33="","",INDEX(인턴계획표[정규화1],$Q33))</f>
        <v/>
      </c>
      <c r="K33">
        <f>IF($Q33="","",INDEX(인턴계획표[정규화2],$Q33))</f>
        <v/>
      </c>
      <c r="L33">
        <f>IF($Q33="","",INDEX(인턴계획표[정규화3],$Q33))</f>
        <v/>
      </c>
      <c r="M33">
        <f>IF($Q33="","",INDEX(인턴계획표[정규화4],$Q33))</f>
        <v/>
      </c>
      <c r="N33">
        <f>IF($Q33="","",INDEX(인턴계획표[정규화5],$Q33))</f>
        <v/>
      </c>
      <c r="O33">
        <f>IF($Q33="","",INDEX(인턴계획표[정규화6],$Q33))</f>
        <v/>
      </c>
      <c r="P33">
        <f>IF($Q33="","",INDEX(인턴계획표[입력오류],$Q33))</f>
        <v/>
      </c>
      <c r="Q33" s="17">
        <f>IFERROR(MATCH(28,인턴계획표[표시순번],0),"")</f>
        <v/>
      </c>
      <c r="S33">
        <f>IFERROR(INDEX(병원표[병원],28)&amp;"","")</f>
        <v/>
      </c>
      <c r="T33">
        <f>IF($S33="","",COUNTIF(인턴계획표[정규화1],$S33&amp;" *"))</f>
        <v/>
      </c>
      <c r="U33">
        <f>IF($S33="","",COUNTIF(인턴계획표[정규화2],$S33&amp;" *"))</f>
        <v/>
      </c>
      <c r="V33">
        <f>IF($S33="","",COUNTIF(인턴계획표[정규화3],$S33&amp;" *"))</f>
        <v/>
      </c>
      <c r="W33">
        <f>IF($S33="","",COUNTIF(인턴계획표[정규화4],$S33&amp;" *"))</f>
        <v/>
      </c>
      <c r="X33">
        <f>IF($S33="","",COUNTIF(인턴계획표[정규화5],$S33&amp;" *"))</f>
        <v/>
      </c>
      <c r="Y33">
        <f>IF($S33="","",COUNTIF(인턴계획표[정규화6],$S33&amp;" *"))</f>
        <v/>
      </c>
    </row>
    <row r="34">
      <c r="A34">
        <f>IF($Q34="","",INDEX(인턴계획표[순번],$Q34)&amp;"")</f>
        <v/>
      </c>
      <c r="B34">
        <f>IF($Q34="","",TRIM(INDEX(인턴계획표[이름],$Q34)&amp;""))</f>
        <v/>
      </c>
      <c r="C34">
        <f>IF($Q34="","",INDEX(인턴계획표[사번],$Q34)&amp;"")</f>
        <v/>
      </c>
      <c r="D34">
        <f>IF($Q34="","",IF(COUNTIF(기본자료표[사번키],INDEX(인턴계획표[사번키],$Q34))&gt;0,"확인","미등록"))</f>
        <v/>
      </c>
      <c r="E34">
        <f>IF($Q34="","",IF(ISNUMBER(INDEX(인턴계획표[입사일(비고)],$Q34)),TEXT(INDEX(인턴계획표[입사일(비고)],$Q34),"yyyy-mm-dd"),INDEX(인턴계획표[입사일(비고)],$Q34)&amp;""))</f>
        <v/>
      </c>
      <c r="F34">
        <f>IF($Q34="","",IF(IF($G$3="","",INDEX(인턴계획표[[정규화1]:[정규화6]],$Q34,$G$3)&amp;"")="","",IF(LEFT(IF($G$3="","",INDEX(인턴계획표[[정규화1]:[정규화6]],$Q34,$G$3)&amp;""),1)="⚠",IF($G$3="","",INDEX(인턴계획표[[정규화1]:[정규화6]],$Q34,$G$3)&amp;""),IFERROR(LEFT(IF($G$3="","",INDEX(인턴계획표[[정규화1]:[정규화6]],$Q34,$G$3)&amp;""),FIND(" ",IF($G$3="","",INDEX(인턴계획표[[정규화1]:[정규화6]],$Q34,$G$3)&amp;""))-1),IF($G$3="","",INDEX(인턴계획표[[정규화1]:[정규화6]],$Q34,$G$3)&amp;"")))))</f>
        <v/>
      </c>
      <c r="G34">
        <f>IF($Q34="","",IF(IF($G$3="","",INDEX(인턴계획표[[정규화1]:[정규화6]],$Q34,$G$3)&amp;"")="","",IF(LEFT(IF($G$3="","",INDEX(인턴계획표[[정규화1]:[정규화6]],$Q34,$G$3)&amp;""),1)="⚠","",IFERROR(MID(IF($G$3="","",INDEX(인턴계획표[[정규화1]:[정규화6]],$Q34,$G$3)&amp;""),FIND(" ",IF($G$3="","",INDEX(인턴계획표[[정규화1]:[정규화6]],$Q34,$G$3)&amp;""))+1,60),""))))</f>
        <v/>
      </c>
      <c r="H34">
        <f>IF($Q34="","",IF(IF($I$3="","",INDEX(인턴계획표[[정규화1]:[정규화6]],$Q34,$I$3)&amp;"")="","",IF(LEFT(IF($I$3="","",INDEX(인턴계획표[[정규화1]:[정규화6]],$Q34,$I$3)&amp;""),1)="⚠",IF($I$3="","",INDEX(인턴계획표[[정규화1]:[정규화6]],$Q34,$I$3)&amp;""),IFERROR(LEFT(IF($I$3="","",INDEX(인턴계획표[[정규화1]:[정규화6]],$Q34,$I$3)&amp;""),FIND(" ",IF($I$3="","",INDEX(인턴계획표[[정규화1]:[정규화6]],$Q34,$I$3)&amp;""))-1),IF($I$3="","",INDEX(인턴계획표[[정규화1]:[정규화6]],$Q34,$I$3)&amp;"")))))</f>
        <v/>
      </c>
      <c r="I34">
        <f>IF($Q34="","",IF(IF($I$3="","",INDEX(인턴계획표[[정규화1]:[정규화6]],$Q34,$I$3)&amp;"")="","",IF(LEFT(IF($I$3="","",INDEX(인턴계획표[[정규화1]:[정규화6]],$Q34,$I$3)&amp;""),1)="⚠","",IFERROR(MID(IF($I$3="","",INDEX(인턴계획표[[정규화1]:[정규화6]],$Q34,$I$3)&amp;""),FIND(" ",IF($I$3="","",INDEX(인턴계획표[[정규화1]:[정규화6]],$Q34,$I$3)&amp;""))+1,60),""))))</f>
        <v/>
      </c>
      <c r="J34">
        <f>IF($Q34="","",INDEX(인턴계획표[정규화1],$Q34))</f>
        <v/>
      </c>
      <c r="K34">
        <f>IF($Q34="","",INDEX(인턴계획표[정규화2],$Q34))</f>
        <v/>
      </c>
      <c r="L34">
        <f>IF($Q34="","",INDEX(인턴계획표[정규화3],$Q34))</f>
        <v/>
      </c>
      <c r="M34">
        <f>IF($Q34="","",INDEX(인턴계획표[정규화4],$Q34))</f>
        <v/>
      </c>
      <c r="N34">
        <f>IF($Q34="","",INDEX(인턴계획표[정규화5],$Q34))</f>
        <v/>
      </c>
      <c r="O34">
        <f>IF($Q34="","",INDEX(인턴계획표[정규화6],$Q34))</f>
        <v/>
      </c>
      <c r="P34">
        <f>IF($Q34="","",INDEX(인턴계획표[입력오류],$Q34))</f>
        <v/>
      </c>
      <c r="Q34" s="17">
        <f>IFERROR(MATCH(29,인턴계획표[표시순번],0),"")</f>
        <v/>
      </c>
      <c r="S34">
        <f>IFERROR(INDEX(병원표[병원],29)&amp;"","")</f>
        <v/>
      </c>
      <c r="T34">
        <f>IF($S34="","",COUNTIF(인턴계획표[정규화1],$S34&amp;" *"))</f>
        <v/>
      </c>
      <c r="U34">
        <f>IF($S34="","",COUNTIF(인턴계획표[정규화2],$S34&amp;" *"))</f>
        <v/>
      </c>
      <c r="V34">
        <f>IF($S34="","",COUNTIF(인턴계획표[정규화3],$S34&amp;" *"))</f>
        <v/>
      </c>
      <c r="W34">
        <f>IF($S34="","",COUNTIF(인턴계획표[정규화4],$S34&amp;" *"))</f>
        <v/>
      </c>
      <c r="X34">
        <f>IF($S34="","",COUNTIF(인턴계획표[정규화5],$S34&amp;" *"))</f>
        <v/>
      </c>
      <c r="Y34">
        <f>IF($S34="","",COUNTIF(인턴계획표[정규화6],$S34&amp;" *"))</f>
        <v/>
      </c>
    </row>
    <row r="35">
      <c r="A35">
        <f>IF($Q35="","",INDEX(인턴계획표[순번],$Q35)&amp;"")</f>
        <v/>
      </c>
      <c r="B35">
        <f>IF($Q35="","",TRIM(INDEX(인턴계획표[이름],$Q35)&amp;""))</f>
        <v/>
      </c>
      <c r="C35">
        <f>IF($Q35="","",INDEX(인턴계획표[사번],$Q35)&amp;"")</f>
        <v/>
      </c>
      <c r="D35">
        <f>IF($Q35="","",IF(COUNTIF(기본자료표[사번키],INDEX(인턴계획표[사번키],$Q35))&gt;0,"확인","미등록"))</f>
        <v/>
      </c>
      <c r="E35">
        <f>IF($Q35="","",IF(ISNUMBER(INDEX(인턴계획표[입사일(비고)],$Q35)),TEXT(INDEX(인턴계획표[입사일(비고)],$Q35),"yyyy-mm-dd"),INDEX(인턴계획표[입사일(비고)],$Q35)&amp;""))</f>
        <v/>
      </c>
      <c r="F35">
        <f>IF($Q35="","",IF(IF($G$3="","",INDEX(인턴계획표[[정규화1]:[정규화6]],$Q35,$G$3)&amp;"")="","",IF(LEFT(IF($G$3="","",INDEX(인턴계획표[[정규화1]:[정규화6]],$Q35,$G$3)&amp;""),1)="⚠",IF($G$3="","",INDEX(인턴계획표[[정규화1]:[정규화6]],$Q35,$G$3)&amp;""),IFERROR(LEFT(IF($G$3="","",INDEX(인턴계획표[[정규화1]:[정규화6]],$Q35,$G$3)&amp;""),FIND(" ",IF($G$3="","",INDEX(인턴계획표[[정규화1]:[정규화6]],$Q35,$G$3)&amp;""))-1),IF($G$3="","",INDEX(인턴계획표[[정규화1]:[정규화6]],$Q35,$G$3)&amp;"")))))</f>
        <v/>
      </c>
      <c r="G35">
        <f>IF($Q35="","",IF(IF($G$3="","",INDEX(인턴계획표[[정규화1]:[정규화6]],$Q35,$G$3)&amp;"")="","",IF(LEFT(IF($G$3="","",INDEX(인턴계획표[[정규화1]:[정규화6]],$Q35,$G$3)&amp;""),1)="⚠","",IFERROR(MID(IF($G$3="","",INDEX(인턴계획표[[정규화1]:[정규화6]],$Q35,$G$3)&amp;""),FIND(" ",IF($G$3="","",INDEX(인턴계획표[[정규화1]:[정규화6]],$Q35,$G$3)&amp;""))+1,60),""))))</f>
        <v/>
      </c>
      <c r="H35">
        <f>IF($Q35="","",IF(IF($I$3="","",INDEX(인턴계획표[[정규화1]:[정규화6]],$Q35,$I$3)&amp;"")="","",IF(LEFT(IF($I$3="","",INDEX(인턴계획표[[정규화1]:[정규화6]],$Q35,$I$3)&amp;""),1)="⚠",IF($I$3="","",INDEX(인턴계획표[[정규화1]:[정규화6]],$Q35,$I$3)&amp;""),IFERROR(LEFT(IF($I$3="","",INDEX(인턴계획표[[정규화1]:[정규화6]],$Q35,$I$3)&amp;""),FIND(" ",IF($I$3="","",INDEX(인턴계획표[[정규화1]:[정규화6]],$Q35,$I$3)&amp;""))-1),IF($I$3="","",INDEX(인턴계획표[[정규화1]:[정규화6]],$Q35,$I$3)&amp;"")))))</f>
        <v/>
      </c>
      <c r="I35">
        <f>IF($Q35="","",IF(IF($I$3="","",INDEX(인턴계획표[[정규화1]:[정규화6]],$Q35,$I$3)&amp;"")="","",IF(LEFT(IF($I$3="","",INDEX(인턴계획표[[정규화1]:[정규화6]],$Q35,$I$3)&amp;""),1)="⚠","",IFERROR(MID(IF($I$3="","",INDEX(인턴계획표[[정규화1]:[정규화6]],$Q35,$I$3)&amp;""),FIND(" ",IF($I$3="","",INDEX(인턴계획표[[정규화1]:[정규화6]],$Q35,$I$3)&amp;""))+1,60),""))))</f>
        <v/>
      </c>
      <c r="J35">
        <f>IF($Q35="","",INDEX(인턴계획표[정규화1],$Q35))</f>
        <v/>
      </c>
      <c r="K35">
        <f>IF($Q35="","",INDEX(인턴계획표[정규화2],$Q35))</f>
        <v/>
      </c>
      <c r="L35">
        <f>IF($Q35="","",INDEX(인턴계획표[정규화3],$Q35))</f>
        <v/>
      </c>
      <c r="M35">
        <f>IF($Q35="","",INDEX(인턴계획표[정규화4],$Q35))</f>
        <v/>
      </c>
      <c r="N35">
        <f>IF($Q35="","",INDEX(인턴계획표[정규화5],$Q35))</f>
        <v/>
      </c>
      <c r="O35">
        <f>IF($Q35="","",INDEX(인턴계획표[정규화6],$Q35))</f>
        <v/>
      </c>
      <c r="P35">
        <f>IF($Q35="","",INDEX(인턴계획표[입력오류],$Q35))</f>
        <v/>
      </c>
      <c r="Q35" s="17">
        <f>IFERROR(MATCH(30,인턴계획표[표시순번],0),"")</f>
        <v/>
      </c>
      <c r="S35">
        <f>IFERROR(INDEX(병원표[병원],30)&amp;"","")</f>
        <v/>
      </c>
      <c r="T35">
        <f>IF($S35="","",COUNTIF(인턴계획표[정규화1],$S35&amp;" *"))</f>
        <v/>
      </c>
      <c r="U35">
        <f>IF($S35="","",COUNTIF(인턴계획표[정규화2],$S35&amp;" *"))</f>
        <v/>
      </c>
      <c r="V35">
        <f>IF($S35="","",COUNTIF(인턴계획표[정규화3],$S35&amp;" *"))</f>
        <v/>
      </c>
      <c r="W35">
        <f>IF($S35="","",COUNTIF(인턴계획표[정규화4],$S35&amp;" *"))</f>
        <v/>
      </c>
      <c r="X35">
        <f>IF($S35="","",COUNTIF(인턴계획표[정규화5],$S35&amp;" *"))</f>
        <v/>
      </c>
      <c r="Y35">
        <f>IF($S35="","",COUNTIF(인턴계획표[정규화6],$S35&amp;" *"))</f>
        <v/>
      </c>
    </row>
    <row r="36">
      <c r="A36">
        <f>IF($Q36="","",INDEX(인턴계획표[순번],$Q36)&amp;"")</f>
        <v/>
      </c>
      <c r="B36">
        <f>IF($Q36="","",TRIM(INDEX(인턴계획표[이름],$Q36)&amp;""))</f>
        <v/>
      </c>
      <c r="C36">
        <f>IF($Q36="","",INDEX(인턴계획표[사번],$Q36)&amp;"")</f>
        <v/>
      </c>
      <c r="D36">
        <f>IF($Q36="","",IF(COUNTIF(기본자료표[사번키],INDEX(인턴계획표[사번키],$Q36))&gt;0,"확인","미등록"))</f>
        <v/>
      </c>
      <c r="E36">
        <f>IF($Q36="","",IF(ISNUMBER(INDEX(인턴계획표[입사일(비고)],$Q36)),TEXT(INDEX(인턴계획표[입사일(비고)],$Q36),"yyyy-mm-dd"),INDEX(인턴계획표[입사일(비고)],$Q36)&amp;""))</f>
        <v/>
      </c>
      <c r="F36">
        <f>IF($Q36="","",IF(IF($G$3="","",INDEX(인턴계획표[[정규화1]:[정규화6]],$Q36,$G$3)&amp;"")="","",IF(LEFT(IF($G$3="","",INDEX(인턴계획표[[정규화1]:[정규화6]],$Q36,$G$3)&amp;""),1)="⚠",IF($G$3="","",INDEX(인턴계획표[[정규화1]:[정규화6]],$Q36,$G$3)&amp;""),IFERROR(LEFT(IF($G$3="","",INDEX(인턴계획표[[정규화1]:[정규화6]],$Q36,$G$3)&amp;""),FIND(" ",IF($G$3="","",INDEX(인턴계획표[[정규화1]:[정규화6]],$Q36,$G$3)&amp;""))-1),IF($G$3="","",INDEX(인턴계획표[[정규화1]:[정규화6]],$Q36,$G$3)&amp;"")))))</f>
        <v/>
      </c>
      <c r="G36">
        <f>IF($Q36="","",IF(IF($G$3="","",INDEX(인턴계획표[[정규화1]:[정규화6]],$Q36,$G$3)&amp;"")="","",IF(LEFT(IF($G$3="","",INDEX(인턴계획표[[정규화1]:[정규화6]],$Q36,$G$3)&amp;""),1)="⚠","",IFERROR(MID(IF($G$3="","",INDEX(인턴계획표[[정규화1]:[정규화6]],$Q36,$G$3)&amp;""),FIND(" ",IF($G$3="","",INDEX(인턴계획표[[정규화1]:[정규화6]],$Q36,$G$3)&amp;""))+1,60),""))))</f>
        <v/>
      </c>
      <c r="H36">
        <f>IF($Q36="","",IF(IF($I$3="","",INDEX(인턴계획표[[정규화1]:[정규화6]],$Q36,$I$3)&amp;"")="","",IF(LEFT(IF($I$3="","",INDEX(인턴계획표[[정규화1]:[정규화6]],$Q36,$I$3)&amp;""),1)="⚠",IF($I$3="","",INDEX(인턴계획표[[정규화1]:[정규화6]],$Q36,$I$3)&amp;""),IFERROR(LEFT(IF($I$3="","",INDEX(인턴계획표[[정규화1]:[정규화6]],$Q36,$I$3)&amp;""),FIND(" ",IF($I$3="","",INDEX(인턴계획표[[정규화1]:[정규화6]],$Q36,$I$3)&amp;""))-1),IF($I$3="","",INDEX(인턴계획표[[정규화1]:[정규화6]],$Q36,$I$3)&amp;"")))))</f>
        <v/>
      </c>
      <c r="I36">
        <f>IF($Q36="","",IF(IF($I$3="","",INDEX(인턴계획표[[정규화1]:[정규화6]],$Q36,$I$3)&amp;"")="","",IF(LEFT(IF($I$3="","",INDEX(인턴계획표[[정규화1]:[정규화6]],$Q36,$I$3)&amp;""),1)="⚠","",IFERROR(MID(IF($I$3="","",INDEX(인턴계획표[[정규화1]:[정규화6]],$Q36,$I$3)&amp;""),FIND(" ",IF($I$3="","",INDEX(인턴계획표[[정규화1]:[정규화6]],$Q36,$I$3)&amp;""))+1,60),""))))</f>
        <v/>
      </c>
      <c r="J36">
        <f>IF($Q36="","",INDEX(인턴계획표[정규화1],$Q36))</f>
        <v/>
      </c>
      <c r="K36">
        <f>IF($Q36="","",INDEX(인턴계획표[정규화2],$Q36))</f>
        <v/>
      </c>
      <c r="L36">
        <f>IF($Q36="","",INDEX(인턴계획표[정규화3],$Q36))</f>
        <v/>
      </c>
      <c r="M36">
        <f>IF($Q36="","",INDEX(인턴계획표[정규화4],$Q36))</f>
        <v/>
      </c>
      <c r="N36">
        <f>IF($Q36="","",INDEX(인턴계획표[정규화5],$Q36))</f>
        <v/>
      </c>
      <c r="O36">
        <f>IF($Q36="","",INDEX(인턴계획표[정규화6],$Q36))</f>
        <v/>
      </c>
      <c r="P36">
        <f>IF($Q36="","",INDEX(인턴계획표[입력오류],$Q36))</f>
        <v/>
      </c>
      <c r="Q36" s="17">
        <f>IFERROR(MATCH(31,인턴계획표[표시순번],0),"")</f>
        <v/>
      </c>
      <c r="S36">
        <f>IFERROR(INDEX(병원표[병원],31)&amp;"","")</f>
        <v/>
      </c>
      <c r="T36">
        <f>IF($S36="","",COUNTIF(인턴계획표[정규화1],$S36&amp;" *"))</f>
        <v/>
      </c>
      <c r="U36">
        <f>IF($S36="","",COUNTIF(인턴계획표[정규화2],$S36&amp;" *"))</f>
        <v/>
      </c>
      <c r="V36">
        <f>IF($S36="","",COUNTIF(인턴계획표[정규화3],$S36&amp;" *"))</f>
        <v/>
      </c>
      <c r="W36">
        <f>IF($S36="","",COUNTIF(인턴계획표[정규화4],$S36&amp;" *"))</f>
        <v/>
      </c>
      <c r="X36">
        <f>IF($S36="","",COUNTIF(인턴계획표[정규화5],$S36&amp;" *"))</f>
        <v/>
      </c>
      <c r="Y36">
        <f>IF($S36="","",COUNTIF(인턴계획표[정규화6],$S36&amp;" *"))</f>
        <v/>
      </c>
    </row>
    <row r="37">
      <c r="A37">
        <f>IF($Q37="","",INDEX(인턴계획표[순번],$Q37)&amp;"")</f>
        <v/>
      </c>
      <c r="B37">
        <f>IF($Q37="","",TRIM(INDEX(인턴계획표[이름],$Q37)&amp;""))</f>
        <v/>
      </c>
      <c r="C37">
        <f>IF($Q37="","",INDEX(인턴계획표[사번],$Q37)&amp;"")</f>
        <v/>
      </c>
      <c r="D37">
        <f>IF($Q37="","",IF(COUNTIF(기본자료표[사번키],INDEX(인턴계획표[사번키],$Q37))&gt;0,"확인","미등록"))</f>
        <v/>
      </c>
      <c r="E37">
        <f>IF($Q37="","",IF(ISNUMBER(INDEX(인턴계획표[입사일(비고)],$Q37)),TEXT(INDEX(인턴계획표[입사일(비고)],$Q37),"yyyy-mm-dd"),INDEX(인턴계획표[입사일(비고)],$Q37)&amp;""))</f>
        <v/>
      </c>
      <c r="F37">
        <f>IF($Q37="","",IF(IF($G$3="","",INDEX(인턴계획표[[정규화1]:[정규화6]],$Q37,$G$3)&amp;"")="","",IF(LEFT(IF($G$3="","",INDEX(인턴계획표[[정규화1]:[정규화6]],$Q37,$G$3)&amp;""),1)="⚠",IF($G$3="","",INDEX(인턴계획표[[정규화1]:[정규화6]],$Q37,$G$3)&amp;""),IFERROR(LEFT(IF($G$3="","",INDEX(인턴계획표[[정규화1]:[정규화6]],$Q37,$G$3)&amp;""),FIND(" ",IF($G$3="","",INDEX(인턴계획표[[정규화1]:[정규화6]],$Q37,$G$3)&amp;""))-1),IF($G$3="","",INDEX(인턴계획표[[정규화1]:[정규화6]],$Q37,$G$3)&amp;"")))))</f>
        <v/>
      </c>
      <c r="G37">
        <f>IF($Q37="","",IF(IF($G$3="","",INDEX(인턴계획표[[정규화1]:[정규화6]],$Q37,$G$3)&amp;"")="","",IF(LEFT(IF($G$3="","",INDEX(인턴계획표[[정규화1]:[정규화6]],$Q37,$G$3)&amp;""),1)="⚠","",IFERROR(MID(IF($G$3="","",INDEX(인턴계획표[[정규화1]:[정규화6]],$Q37,$G$3)&amp;""),FIND(" ",IF($G$3="","",INDEX(인턴계획표[[정규화1]:[정규화6]],$Q37,$G$3)&amp;""))+1,60),""))))</f>
        <v/>
      </c>
      <c r="H37">
        <f>IF($Q37="","",IF(IF($I$3="","",INDEX(인턴계획표[[정규화1]:[정규화6]],$Q37,$I$3)&amp;"")="","",IF(LEFT(IF($I$3="","",INDEX(인턴계획표[[정규화1]:[정규화6]],$Q37,$I$3)&amp;""),1)="⚠",IF($I$3="","",INDEX(인턴계획표[[정규화1]:[정규화6]],$Q37,$I$3)&amp;""),IFERROR(LEFT(IF($I$3="","",INDEX(인턴계획표[[정규화1]:[정규화6]],$Q37,$I$3)&amp;""),FIND(" ",IF($I$3="","",INDEX(인턴계획표[[정규화1]:[정규화6]],$Q37,$I$3)&amp;""))-1),IF($I$3="","",INDEX(인턴계획표[[정규화1]:[정규화6]],$Q37,$I$3)&amp;"")))))</f>
        <v/>
      </c>
      <c r="I37">
        <f>IF($Q37="","",IF(IF($I$3="","",INDEX(인턴계획표[[정규화1]:[정규화6]],$Q37,$I$3)&amp;"")="","",IF(LEFT(IF($I$3="","",INDEX(인턴계획표[[정규화1]:[정규화6]],$Q37,$I$3)&amp;""),1)="⚠","",IFERROR(MID(IF($I$3="","",INDEX(인턴계획표[[정규화1]:[정규화6]],$Q37,$I$3)&amp;""),FIND(" ",IF($I$3="","",INDEX(인턴계획표[[정규화1]:[정규화6]],$Q37,$I$3)&amp;""))+1,60),""))))</f>
        <v/>
      </c>
      <c r="J37">
        <f>IF($Q37="","",INDEX(인턴계획표[정규화1],$Q37))</f>
        <v/>
      </c>
      <c r="K37">
        <f>IF($Q37="","",INDEX(인턴계획표[정규화2],$Q37))</f>
        <v/>
      </c>
      <c r="L37">
        <f>IF($Q37="","",INDEX(인턴계획표[정규화3],$Q37))</f>
        <v/>
      </c>
      <c r="M37">
        <f>IF($Q37="","",INDEX(인턴계획표[정규화4],$Q37))</f>
        <v/>
      </c>
      <c r="N37">
        <f>IF($Q37="","",INDEX(인턴계획표[정규화5],$Q37))</f>
        <v/>
      </c>
      <c r="O37">
        <f>IF($Q37="","",INDEX(인턴계획표[정규화6],$Q37))</f>
        <v/>
      </c>
      <c r="P37">
        <f>IF($Q37="","",INDEX(인턴계획표[입력오류],$Q37))</f>
        <v/>
      </c>
      <c r="Q37" s="17">
        <f>IFERROR(MATCH(32,인턴계획표[표시순번],0),"")</f>
        <v/>
      </c>
      <c r="S37">
        <f>IFERROR(INDEX(병원표[병원],32)&amp;"","")</f>
        <v/>
      </c>
      <c r="T37">
        <f>IF($S37="","",COUNTIF(인턴계획표[정규화1],$S37&amp;" *"))</f>
        <v/>
      </c>
      <c r="U37">
        <f>IF($S37="","",COUNTIF(인턴계획표[정규화2],$S37&amp;" *"))</f>
        <v/>
      </c>
      <c r="V37">
        <f>IF($S37="","",COUNTIF(인턴계획표[정규화3],$S37&amp;" *"))</f>
        <v/>
      </c>
      <c r="W37">
        <f>IF($S37="","",COUNTIF(인턴계획표[정규화4],$S37&amp;" *"))</f>
        <v/>
      </c>
      <c r="X37">
        <f>IF($S37="","",COUNTIF(인턴계획표[정규화5],$S37&amp;" *"))</f>
        <v/>
      </c>
      <c r="Y37">
        <f>IF($S37="","",COUNTIF(인턴계획표[정규화6],$S37&amp;" *"))</f>
        <v/>
      </c>
    </row>
    <row r="38">
      <c r="A38">
        <f>IF($Q38="","",INDEX(인턴계획표[순번],$Q38)&amp;"")</f>
        <v/>
      </c>
      <c r="B38">
        <f>IF($Q38="","",TRIM(INDEX(인턴계획표[이름],$Q38)&amp;""))</f>
        <v/>
      </c>
      <c r="C38">
        <f>IF($Q38="","",INDEX(인턴계획표[사번],$Q38)&amp;"")</f>
        <v/>
      </c>
      <c r="D38">
        <f>IF($Q38="","",IF(COUNTIF(기본자료표[사번키],INDEX(인턴계획표[사번키],$Q38))&gt;0,"확인","미등록"))</f>
        <v/>
      </c>
      <c r="E38">
        <f>IF($Q38="","",IF(ISNUMBER(INDEX(인턴계획표[입사일(비고)],$Q38)),TEXT(INDEX(인턴계획표[입사일(비고)],$Q38),"yyyy-mm-dd"),INDEX(인턴계획표[입사일(비고)],$Q38)&amp;""))</f>
        <v/>
      </c>
      <c r="F38">
        <f>IF($Q38="","",IF(IF($G$3="","",INDEX(인턴계획표[[정규화1]:[정규화6]],$Q38,$G$3)&amp;"")="","",IF(LEFT(IF($G$3="","",INDEX(인턴계획표[[정규화1]:[정규화6]],$Q38,$G$3)&amp;""),1)="⚠",IF($G$3="","",INDEX(인턴계획표[[정규화1]:[정규화6]],$Q38,$G$3)&amp;""),IFERROR(LEFT(IF($G$3="","",INDEX(인턴계획표[[정규화1]:[정규화6]],$Q38,$G$3)&amp;""),FIND(" ",IF($G$3="","",INDEX(인턴계획표[[정규화1]:[정규화6]],$Q38,$G$3)&amp;""))-1),IF($G$3="","",INDEX(인턴계획표[[정규화1]:[정규화6]],$Q38,$G$3)&amp;"")))))</f>
        <v/>
      </c>
      <c r="G38">
        <f>IF($Q38="","",IF(IF($G$3="","",INDEX(인턴계획표[[정규화1]:[정규화6]],$Q38,$G$3)&amp;"")="","",IF(LEFT(IF($G$3="","",INDEX(인턴계획표[[정규화1]:[정규화6]],$Q38,$G$3)&amp;""),1)="⚠","",IFERROR(MID(IF($G$3="","",INDEX(인턴계획표[[정규화1]:[정규화6]],$Q38,$G$3)&amp;""),FIND(" ",IF($G$3="","",INDEX(인턴계획표[[정규화1]:[정규화6]],$Q38,$G$3)&amp;""))+1,60),""))))</f>
        <v/>
      </c>
      <c r="H38">
        <f>IF($Q38="","",IF(IF($I$3="","",INDEX(인턴계획표[[정규화1]:[정규화6]],$Q38,$I$3)&amp;"")="","",IF(LEFT(IF($I$3="","",INDEX(인턴계획표[[정규화1]:[정규화6]],$Q38,$I$3)&amp;""),1)="⚠",IF($I$3="","",INDEX(인턴계획표[[정규화1]:[정규화6]],$Q38,$I$3)&amp;""),IFERROR(LEFT(IF($I$3="","",INDEX(인턴계획표[[정규화1]:[정규화6]],$Q38,$I$3)&amp;""),FIND(" ",IF($I$3="","",INDEX(인턴계획표[[정규화1]:[정규화6]],$Q38,$I$3)&amp;""))-1),IF($I$3="","",INDEX(인턴계획표[[정규화1]:[정규화6]],$Q38,$I$3)&amp;"")))))</f>
        <v/>
      </c>
      <c r="I38">
        <f>IF($Q38="","",IF(IF($I$3="","",INDEX(인턴계획표[[정규화1]:[정규화6]],$Q38,$I$3)&amp;"")="","",IF(LEFT(IF($I$3="","",INDEX(인턴계획표[[정규화1]:[정규화6]],$Q38,$I$3)&amp;""),1)="⚠","",IFERROR(MID(IF($I$3="","",INDEX(인턴계획표[[정규화1]:[정규화6]],$Q38,$I$3)&amp;""),FIND(" ",IF($I$3="","",INDEX(인턴계획표[[정규화1]:[정규화6]],$Q38,$I$3)&amp;""))+1,60),""))))</f>
        <v/>
      </c>
      <c r="J38">
        <f>IF($Q38="","",INDEX(인턴계획표[정규화1],$Q38))</f>
        <v/>
      </c>
      <c r="K38">
        <f>IF($Q38="","",INDEX(인턴계획표[정규화2],$Q38))</f>
        <v/>
      </c>
      <c r="L38">
        <f>IF($Q38="","",INDEX(인턴계획표[정규화3],$Q38))</f>
        <v/>
      </c>
      <c r="M38">
        <f>IF($Q38="","",INDEX(인턴계획표[정규화4],$Q38))</f>
        <v/>
      </c>
      <c r="N38">
        <f>IF($Q38="","",INDEX(인턴계획표[정규화5],$Q38))</f>
        <v/>
      </c>
      <c r="O38">
        <f>IF($Q38="","",INDEX(인턴계획표[정규화6],$Q38))</f>
        <v/>
      </c>
      <c r="P38">
        <f>IF($Q38="","",INDEX(인턴계획표[입력오류],$Q38))</f>
        <v/>
      </c>
      <c r="Q38" s="17">
        <f>IFERROR(MATCH(33,인턴계획표[표시순번],0),"")</f>
        <v/>
      </c>
      <c r="S38">
        <f>IFERROR(INDEX(병원표[병원],33)&amp;"","")</f>
        <v/>
      </c>
      <c r="T38">
        <f>IF($S38="","",COUNTIF(인턴계획표[정규화1],$S38&amp;" *"))</f>
        <v/>
      </c>
      <c r="U38">
        <f>IF($S38="","",COUNTIF(인턴계획표[정규화2],$S38&amp;" *"))</f>
        <v/>
      </c>
      <c r="V38">
        <f>IF($S38="","",COUNTIF(인턴계획표[정규화3],$S38&amp;" *"))</f>
        <v/>
      </c>
      <c r="W38">
        <f>IF($S38="","",COUNTIF(인턴계획표[정규화4],$S38&amp;" *"))</f>
        <v/>
      </c>
      <c r="X38">
        <f>IF($S38="","",COUNTIF(인턴계획표[정규화5],$S38&amp;" *"))</f>
        <v/>
      </c>
      <c r="Y38">
        <f>IF($S38="","",COUNTIF(인턴계획표[정규화6],$S38&amp;" *"))</f>
        <v/>
      </c>
    </row>
    <row r="39">
      <c r="A39">
        <f>IF($Q39="","",INDEX(인턴계획표[순번],$Q39)&amp;"")</f>
        <v/>
      </c>
      <c r="B39">
        <f>IF($Q39="","",TRIM(INDEX(인턴계획표[이름],$Q39)&amp;""))</f>
        <v/>
      </c>
      <c r="C39">
        <f>IF($Q39="","",INDEX(인턴계획표[사번],$Q39)&amp;"")</f>
        <v/>
      </c>
      <c r="D39">
        <f>IF($Q39="","",IF(COUNTIF(기본자료표[사번키],INDEX(인턴계획표[사번키],$Q39))&gt;0,"확인","미등록"))</f>
        <v/>
      </c>
      <c r="E39">
        <f>IF($Q39="","",IF(ISNUMBER(INDEX(인턴계획표[입사일(비고)],$Q39)),TEXT(INDEX(인턴계획표[입사일(비고)],$Q39),"yyyy-mm-dd"),INDEX(인턴계획표[입사일(비고)],$Q39)&amp;""))</f>
        <v/>
      </c>
      <c r="F39">
        <f>IF($Q39="","",IF(IF($G$3="","",INDEX(인턴계획표[[정규화1]:[정규화6]],$Q39,$G$3)&amp;"")="","",IF(LEFT(IF($G$3="","",INDEX(인턴계획표[[정규화1]:[정규화6]],$Q39,$G$3)&amp;""),1)="⚠",IF($G$3="","",INDEX(인턴계획표[[정규화1]:[정규화6]],$Q39,$G$3)&amp;""),IFERROR(LEFT(IF($G$3="","",INDEX(인턴계획표[[정규화1]:[정규화6]],$Q39,$G$3)&amp;""),FIND(" ",IF($G$3="","",INDEX(인턴계획표[[정규화1]:[정규화6]],$Q39,$G$3)&amp;""))-1),IF($G$3="","",INDEX(인턴계획표[[정규화1]:[정규화6]],$Q39,$G$3)&amp;"")))))</f>
        <v/>
      </c>
      <c r="G39">
        <f>IF($Q39="","",IF(IF($G$3="","",INDEX(인턴계획표[[정규화1]:[정규화6]],$Q39,$G$3)&amp;"")="","",IF(LEFT(IF($G$3="","",INDEX(인턴계획표[[정규화1]:[정규화6]],$Q39,$G$3)&amp;""),1)="⚠","",IFERROR(MID(IF($G$3="","",INDEX(인턴계획표[[정규화1]:[정규화6]],$Q39,$G$3)&amp;""),FIND(" ",IF($G$3="","",INDEX(인턴계획표[[정규화1]:[정규화6]],$Q39,$G$3)&amp;""))+1,60),""))))</f>
        <v/>
      </c>
      <c r="H39">
        <f>IF($Q39="","",IF(IF($I$3="","",INDEX(인턴계획표[[정규화1]:[정규화6]],$Q39,$I$3)&amp;"")="","",IF(LEFT(IF($I$3="","",INDEX(인턴계획표[[정규화1]:[정규화6]],$Q39,$I$3)&amp;""),1)="⚠",IF($I$3="","",INDEX(인턴계획표[[정규화1]:[정규화6]],$Q39,$I$3)&amp;""),IFERROR(LEFT(IF($I$3="","",INDEX(인턴계획표[[정규화1]:[정규화6]],$Q39,$I$3)&amp;""),FIND(" ",IF($I$3="","",INDEX(인턴계획표[[정규화1]:[정규화6]],$Q39,$I$3)&amp;""))-1),IF($I$3="","",INDEX(인턴계획표[[정규화1]:[정규화6]],$Q39,$I$3)&amp;"")))))</f>
        <v/>
      </c>
      <c r="I39">
        <f>IF($Q39="","",IF(IF($I$3="","",INDEX(인턴계획표[[정규화1]:[정규화6]],$Q39,$I$3)&amp;"")="","",IF(LEFT(IF($I$3="","",INDEX(인턴계획표[[정규화1]:[정규화6]],$Q39,$I$3)&amp;""),1)="⚠","",IFERROR(MID(IF($I$3="","",INDEX(인턴계획표[[정규화1]:[정규화6]],$Q39,$I$3)&amp;""),FIND(" ",IF($I$3="","",INDEX(인턴계획표[[정규화1]:[정규화6]],$Q39,$I$3)&amp;""))+1,60),""))))</f>
        <v/>
      </c>
      <c r="J39">
        <f>IF($Q39="","",INDEX(인턴계획표[정규화1],$Q39))</f>
        <v/>
      </c>
      <c r="K39">
        <f>IF($Q39="","",INDEX(인턴계획표[정규화2],$Q39))</f>
        <v/>
      </c>
      <c r="L39">
        <f>IF($Q39="","",INDEX(인턴계획표[정규화3],$Q39))</f>
        <v/>
      </c>
      <c r="M39">
        <f>IF($Q39="","",INDEX(인턴계획표[정규화4],$Q39))</f>
        <v/>
      </c>
      <c r="N39">
        <f>IF($Q39="","",INDEX(인턴계획표[정규화5],$Q39))</f>
        <v/>
      </c>
      <c r="O39">
        <f>IF($Q39="","",INDEX(인턴계획표[정규화6],$Q39))</f>
        <v/>
      </c>
      <c r="P39">
        <f>IF($Q39="","",INDEX(인턴계획표[입력오류],$Q39))</f>
        <v/>
      </c>
      <c r="Q39" s="17">
        <f>IFERROR(MATCH(34,인턴계획표[표시순번],0),"")</f>
        <v/>
      </c>
      <c r="S39">
        <f>IFERROR(INDEX(병원표[병원],34)&amp;"","")</f>
        <v/>
      </c>
      <c r="T39">
        <f>IF($S39="","",COUNTIF(인턴계획표[정규화1],$S39&amp;" *"))</f>
        <v/>
      </c>
      <c r="U39">
        <f>IF($S39="","",COUNTIF(인턴계획표[정규화2],$S39&amp;" *"))</f>
        <v/>
      </c>
      <c r="V39">
        <f>IF($S39="","",COUNTIF(인턴계획표[정규화3],$S39&amp;" *"))</f>
        <v/>
      </c>
      <c r="W39">
        <f>IF($S39="","",COUNTIF(인턴계획표[정규화4],$S39&amp;" *"))</f>
        <v/>
      </c>
      <c r="X39">
        <f>IF($S39="","",COUNTIF(인턴계획표[정규화5],$S39&amp;" *"))</f>
        <v/>
      </c>
      <c r="Y39">
        <f>IF($S39="","",COUNTIF(인턴계획표[정규화6],$S39&amp;" *"))</f>
        <v/>
      </c>
    </row>
    <row r="40">
      <c r="A40">
        <f>IF($Q40="","",INDEX(인턴계획표[순번],$Q40)&amp;"")</f>
        <v/>
      </c>
      <c r="B40">
        <f>IF($Q40="","",TRIM(INDEX(인턴계획표[이름],$Q40)&amp;""))</f>
        <v/>
      </c>
      <c r="C40">
        <f>IF($Q40="","",INDEX(인턴계획표[사번],$Q40)&amp;"")</f>
        <v/>
      </c>
      <c r="D40">
        <f>IF($Q40="","",IF(COUNTIF(기본자료표[사번키],INDEX(인턴계획표[사번키],$Q40))&gt;0,"확인","미등록"))</f>
        <v/>
      </c>
      <c r="E40">
        <f>IF($Q40="","",IF(ISNUMBER(INDEX(인턴계획표[입사일(비고)],$Q40)),TEXT(INDEX(인턴계획표[입사일(비고)],$Q40),"yyyy-mm-dd"),INDEX(인턴계획표[입사일(비고)],$Q40)&amp;""))</f>
        <v/>
      </c>
      <c r="F40">
        <f>IF($Q40="","",IF(IF($G$3="","",INDEX(인턴계획표[[정규화1]:[정규화6]],$Q40,$G$3)&amp;"")="","",IF(LEFT(IF($G$3="","",INDEX(인턴계획표[[정규화1]:[정규화6]],$Q40,$G$3)&amp;""),1)="⚠",IF($G$3="","",INDEX(인턴계획표[[정규화1]:[정규화6]],$Q40,$G$3)&amp;""),IFERROR(LEFT(IF($G$3="","",INDEX(인턴계획표[[정규화1]:[정규화6]],$Q40,$G$3)&amp;""),FIND(" ",IF($G$3="","",INDEX(인턴계획표[[정규화1]:[정규화6]],$Q40,$G$3)&amp;""))-1),IF($G$3="","",INDEX(인턴계획표[[정규화1]:[정규화6]],$Q40,$G$3)&amp;"")))))</f>
        <v/>
      </c>
      <c r="G40">
        <f>IF($Q40="","",IF(IF($G$3="","",INDEX(인턴계획표[[정규화1]:[정규화6]],$Q40,$G$3)&amp;"")="","",IF(LEFT(IF($G$3="","",INDEX(인턴계획표[[정규화1]:[정규화6]],$Q40,$G$3)&amp;""),1)="⚠","",IFERROR(MID(IF($G$3="","",INDEX(인턴계획표[[정규화1]:[정규화6]],$Q40,$G$3)&amp;""),FIND(" ",IF($G$3="","",INDEX(인턴계획표[[정규화1]:[정규화6]],$Q40,$G$3)&amp;""))+1,60),""))))</f>
        <v/>
      </c>
      <c r="H40">
        <f>IF($Q40="","",IF(IF($I$3="","",INDEX(인턴계획표[[정규화1]:[정규화6]],$Q40,$I$3)&amp;"")="","",IF(LEFT(IF($I$3="","",INDEX(인턴계획표[[정규화1]:[정규화6]],$Q40,$I$3)&amp;""),1)="⚠",IF($I$3="","",INDEX(인턴계획표[[정규화1]:[정규화6]],$Q40,$I$3)&amp;""),IFERROR(LEFT(IF($I$3="","",INDEX(인턴계획표[[정규화1]:[정규화6]],$Q40,$I$3)&amp;""),FIND(" ",IF($I$3="","",INDEX(인턴계획표[[정규화1]:[정규화6]],$Q40,$I$3)&amp;""))-1),IF($I$3="","",INDEX(인턴계획표[[정규화1]:[정규화6]],$Q40,$I$3)&amp;"")))))</f>
        <v/>
      </c>
      <c r="I40">
        <f>IF($Q40="","",IF(IF($I$3="","",INDEX(인턴계획표[[정규화1]:[정규화6]],$Q40,$I$3)&amp;"")="","",IF(LEFT(IF($I$3="","",INDEX(인턴계획표[[정규화1]:[정규화6]],$Q40,$I$3)&amp;""),1)="⚠","",IFERROR(MID(IF($I$3="","",INDEX(인턴계획표[[정규화1]:[정규화6]],$Q40,$I$3)&amp;""),FIND(" ",IF($I$3="","",INDEX(인턴계획표[[정규화1]:[정규화6]],$Q40,$I$3)&amp;""))+1,60),""))))</f>
        <v/>
      </c>
      <c r="J40">
        <f>IF($Q40="","",INDEX(인턴계획표[정규화1],$Q40))</f>
        <v/>
      </c>
      <c r="K40">
        <f>IF($Q40="","",INDEX(인턴계획표[정규화2],$Q40))</f>
        <v/>
      </c>
      <c r="L40">
        <f>IF($Q40="","",INDEX(인턴계획표[정규화3],$Q40))</f>
        <v/>
      </c>
      <c r="M40">
        <f>IF($Q40="","",INDEX(인턴계획표[정규화4],$Q40))</f>
        <v/>
      </c>
      <c r="N40">
        <f>IF($Q40="","",INDEX(인턴계획표[정규화5],$Q40))</f>
        <v/>
      </c>
      <c r="O40">
        <f>IF($Q40="","",INDEX(인턴계획표[정규화6],$Q40))</f>
        <v/>
      </c>
      <c r="P40">
        <f>IF($Q40="","",INDEX(인턴계획표[입력오류],$Q40))</f>
        <v/>
      </c>
      <c r="Q40" s="17">
        <f>IFERROR(MATCH(35,인턴계획표[표시순번],0),"")</f>
        <v/>
      </c>
      <c r="S40">
        <f>IFERROR(INDEX(병원표[병원],35)&amp;"","")</f>
        <v/>
      </c>
      <c r="T40">
        <f>IF($S40="","",COUNTIF(인턴계획표[정규화1],$S40&amp;" *"))</f>
        <v/>
      </c>
      <c r="U40">
        <f>IF($S40="","",COUNTIF(인턴계획표[정규화2],$S40&amp;" *"))</f>
        <v/>
      </c>
      <c r="V40">
        <f>IF($S40="","",COUNTIF(인턴계획표[정규화3],$S40&amp;" *"))</f>
        <v/>
      </c>
      <c r="W40">
        <f>IF($S40="","",COUNTIF(인턴계획표[정규화4],$S40&amp;" *"))</f>
        <v/>
      </c>
      <c r="X40">
        <f>IF($S40="","",COUNTIF(인턴계획표[정규화5],$S40&amp;" *"))</f>
        <v/>
      </c>
      <c r="Y40">
        <f>IF($S40="","",COUNTIF(인턴계획표[정규화6],$S40&amp;" *"))</f>
        <v/>
      </c>
    </row>
    <row r="41">
      <c r="A41">
        <f>IF($Q41="","",INDEX(인턴계획표[순번],$Q41)&amp;"")</f>
        <v/>
      </c>
      <c r="B41">
        <f>IF($Q41="","",TRIM(INDEX(인턴계획표[이름],$Q41)&amp;""))</f>
        <v/>
      </c>
      <c r="C41">
        <f>IF($Q41="","",INDEX(인턴계획표[사번],$Q41)&amp;"")</f>
        <v/>
      </c>
      <c r="D41">
        <f>IF($Q41="","",IF(COUNTIF(기본자료표[사번키],INDEX(인턴계획표[사번키],$Q41))&gt;0,"확인","미등록"))</f>
        <v/>
      </c>
      <c r="E41">
        <f>IF($Q41="","",IF(ISNUMBER(INDEX(인턴계획표[입사일(비고)],$Q41)),TEXT(INDEX(인턴계획표[입사일(비고)],$Q41),"yyyy-mm-dd"),INDEX(인턴계획표[입사일(비고)],$Q41)&amp;""))</f>
        <v/>
      </c>
      <c r="F41">
        <f>IF($Q41="","",IF(IF($G$3="","",INDEX(인턴계획표[[정규화1]:[정규화6]],$Q41,$G$3)&amp;"")="","",IF(LEFT(IF($G$3="","",INDEX(인턴계획표[[정규화1]:[정규화6]],$Q41,$G$3)&amp;""),1)="⚠",IF($G$3="","",INDEX(인턴계획표[[정규화1]:[정규화6]],$Q41,$G$3)&amp;""),IFERROR(LEFT(IF($G$3="","",INDEX(인턴계획표[[정규화1]:[정규화6]],$Q41,$G$3)&amp;""),FIND(" ",IF($G$3="","",INDEX(인턴계획표[[정규화1]:[정규화6]],$Q41,$G$3)&amp;""))-1),IF($G$3="","",INDEX(인턴계획표[[정규화1]:[정규화6]],$Q41,$G$3)&amp;"")))))</f>
        <v/>
      </c>
      <c r="G41">
        <f>IF($Q41="","",IF(IF($G$3="","",INDEX(인턴계획표[[정규화1]:[정규화6]],$Q41,$G$3)&amp;"")="","",IF(LEFT(IF($G$3="","",INDEX(인턴계획표[[정규화1]:[정규화6]],$Q41,$G$3)&amp;""),1)="⚠","",IFERROR(MID(IF($G$3="","",INDEX(인턴계획표[[정규화1]:[정규화6]],$Q41,$G$3)&amp;""),FIND(" ",IF($G$3="","",INDEX(인턴계획표[[정규화1]:[정규화6]],$Q41,$G$3)&amp;""))+1,60),""))))</f>
        <v/>
      </c>
      <c r="H41">
        <f>IF($Q41="","",IF(IF($I$3="","",INDEX(인턴계획표[[정규화1]:[정규화6]],$Q41,$I$3)&amp;"")="","",IF(LEFT(IF($I$3="","",INDEX(인턴계획표[[정규화1]:[정규화6]],$Q41,$I$3)&amp;""),1)="⚠",IF($I$3="","",INDEX(인턴계획표[[정규화1]:[정규화6]],$Q41,$I$3)&amp;""),IFERROR(LEFT(IF($I$3="","",INDEX(인턴계획표[[정규화1]:[정규화6]],$Q41,$I$3)&amp;""),FIND(" ",IF($I$3="","",INDEX(인턴계획표[[정규화1]:[정규화6]],$Q41,$I$3)&amp;""))-1),IF($I$3="","",INDEX(인턴계획표[[정규화1]:[정규화6]],$Q41,$I$3)&amp;"")))))</f>
        <v/>
      </c>
      <c r="I41">
        <f>IF($Q41="","",IF(IF($I$3="","",INDEX(인턴계획표[[정규화1]:[정규화6]],$Q41,$I$3)&amp;"")="","",IF(LEFT(IF($I$3="","",INDEX(인턴계획표[[정규화1]:[정규화6]],$Q41,$I$3)&amp;""),1)="⚠","",IFERROR(MID(IF($I$3="","",INDEX(인턴계획표[[정규화1]:[정규화6]],$Q41,$I$3)&amp;""),FIND(" ",IF($I$3="","",INDEX(인턴계획표[[정규화1]:[정규화6]],$Q41,$I$3)&amp;""))+1,60),""))))</f>
        <v/>
      </c>
      <c r="J41">
        <f>IF($Q41="","",INDEX(인턴계획표[정규화1],$Q41))</f>
        <v/>
      </c>
      <c r="K41">
        <f>IF($Q41="","",INDEX(인턴계획표[정규화2],$Q41))</f>
        <v/>
      </c>
      <c r="L41">
        <f>IF($Q41="","",INDEX(인턴계획표[정규화3],$Q41))</f>
        <v/>
      </c>
      <c r="M41">
        <f>IF($Q41="","",INDEX(인턴계획표[정규화4],$Q41))</f>
        <v/>
      </c>
      <c r="N41">
        <f>IF($Q41="","",INDEX(인턴계획표[정규화5],$Q41))</f>
        <v/>
      </c>
      <c r="O41">
        <f>IF($Q41="","",INDEX(인턴계획표[정규화6],$Q41))</f>
        <v/>
      </c>
      <c r="P41">
        <f>IF($Q41="","",INDEX(인턴계획표[입력오류],$Q41))</f>
        <v/>
      </c>
      <c r="Q41" s="17">
        <f>IFERROR(MATCH(36,인턴계획표[표시순번],0),"")</f>
        <v/>
      </c>
      <c r="S41">
        <f>IFERROR(INDEX(병원표[병원],36)&amp;"","")</f>
        <v/>
      </c>
      <c r="T41">
        <f>IF($S41="","",COUNTIF(인턴계획표[정규화1],$S41&amp;" *"))</f>
        <v/>
      </c>
      <c r="U41">
        <f>IF($S41="","",COUNTIF(인턴계획표[정규화2],$S41&amp;" *"))</f>
        <v/>
      </c>
      <c r="V41">
        <f>IF($S41="","",COUNTIF(인턴계획표[정규화3],$S41&amp;" *"))</f>
        <v/>
      </c>
      <c r="W41">
        <f>IF($S41="","",COUNTIF(인턴계획표[정규화4],$S41&amp;" *"))</f>
        <v/>
      </c>
      <c r="X41">
        <f>IF($S41="","",COUNTIF(인턴계획표[정규화5],$S41&amp;" *"))</f>
        <v/>
      </c>
      <c r="Y41">
        <f>IF($S41="","",COUNTIF(인턴계획표[정규화6],$S41&amp;" *"))</f>
        <v/>
      </c>
    </row>
    <row r="42">
      <c r="A42">
        <f>IF($Q42="","",INDEX(인턴계획표[순번],$Q42)&amp;"")</f>
        <v/>
      </c>
      <c r="B42">
        <f>IF($Q42="","",TRIM(INDEX(인턴계획표[이름],$Q42)&amp;""))</f>
        <v/>
      </c>
      <c r="C42">
        <f>IF($Q42="","",INDEX(인턴계획표[사번],$Q42)&amp;"")</f>
        <v/>
      </c>
      <c r="D42">
        <f>IF($Q42="","",IF(COUNTIF(기본자료표[사번키],INDEX(인턴계획표[사번키],$Q42))&gt;0,"확인","미등록"))</f>
        <v/>
      </c>
      <c r="E42">
        <f>IF($Q42="","",IF(ISNUMBER(INDEX(인턴계획표[입사일(비고)],$Q42)),TEXT(INDEX(인턴계획표[입사일(비고)],$Q42),"yyyy-mm-dd"),INDEX(인턴계획표[입사일(비고)],$Q42)&amp;""))</f>
        <v/>
      </c>
      <c r="F42">
        <f>IF($Q42="","",IF(IF($G$3="","",INDEX(인턴계획표[[정규화1]:[정규화6]],$Q42,$G$3)&amp;"")="","",IF(LEFT(IF($G$3="","",INDEX(인턴계획표[[정규화1]:[정규화6]],$Q42,$G$3)&amp;""),1)="⚠",IF($G$3="","",INDEX(인턴계획표[[정규화1]:[정규화6]],$Q42,$G$3)&amp;""),IFERROR(LEFT(IF($G$3="","",INDEX(인턴계획표[[정규화1]:[정규화6]],$Q42,$G$3)&amp;""),FIND(" ",IF($G$3="","",INDEX(인턴계획표[[정규화1]:[정규화6]],$Q42,$G$3)&amp;""))-1),IF($G$3="","",INDEX(인턴계획표[[정규화1]:[정규화6]],$Q42,$G$3)&amp;"")))))</f>
        <v/>
      </c>
      <c r="G42">
        <f>IF($Q42="","",IF(IF($G$3="","",INDEX(인턴계획표[[정규화1]:[정규화6]],$Q42,$G$3)&amp;"")="","",IF(LEFT(IF($G$3="","",INDEX(인턴계획표[[정규화1]:[정규화6]],$Q42,$G$3)&amp;""),1)="⚠","",IFERROR(MID(IF($G$3="","",INDEX(인턴계획표[[정규화1]:[정규화6]],$Q42,$G$3)&amp;""),FIND(" ",IF($G$3="","",INDEX(인턴계획표[[정규화1]:[정규화6]],$Q42,$G$3)&amp;""))+1,60),""))))</f>
        <v/>
      </c>
      <c r="H42">
        <f>IF($Q42="","",IF(IF($I$3="","",INDEX(인턴계획표[[정규화1]:[정규화6]],$Q42,$I$3)&amp;"")="","",IF(LEFT(IF($I$3="","",INDEX(인턴계획표[[정규화1]:[정규화6]],$Q42,$I$3)&amp;""),1)="⚠",IF($I$3="","",INDEX(인턴계획표[[정규화1]:[정규화6]],$Q42,$I$3)&amp;""),IFERROR(LEFT(IF($I$3="","",INDEX(인턴계획표[[정규화1]:[정규화6]],$Q42,$I$3)&amp;""),FIND(" ",IF($I$3="","",INDEX(인턴계획표[[정규화1]:[정규화6]],$Q42,$I$3)&amp;""))-1),IF($I$3="","",INDEX(인턴계획표[[정규화1]:[정규화6]],$Q42,$I$3)&amp;"")))))</f>
        <v/>
      </c>
      <c r="I42">
        <f>IF($Q42="","",IF(IF($I$3="","",INDEX(인턴계획표[[정규화1]:[정규화6]],$Q42,$I$3)&amp;"")="","",IF(LEFT(IF($I$3="","",INDEX(인턴계획표[[정규화1]:[정규화6]],$Q42,$I$3)&amp;""),1)="⚠","",IFERROR(MID(IF($I$3="","",INDEX(인턴계획표[[정규화1]:[정규화6]],$Q42,$I$3)&amp;""),FIND(" ",IF($I$3="","",INDEX(인턴계획표[[정규화1]:[정규화6]],$Q42,$I$3)&amp;""))+1,60),""))))</f>
        <v/>
      </c>
      <c r="J42">
        <f>IF($Q42="","",INDEX(인턴계획표[정규화1],$Q42))</f>
        <v/>
      </c>
      <c r="K42">
        <f>IF($Q42="","",INDEX(인턴계획표[정규화2],$Q42))</f>
        <v/>
      </c>
      <c r="L42">
        <f>IF($Q42="","",INDEX(인턴계획표[정규화3],$Q42))</f>
        <v/>
      </c>
      <c r="M42">
        <f>IF($Q42="","",INDEX(인턴계획표[정규화4],$Q42))</f>
        <v/>
      </c>
      <c r="N42">
        <f>IF($Q42="","",INDEX(인턴계획표[정규화5],$Q42))</f>
        <v/>
      </c>
      <c r="O42">
        <f>IF($Q42="","",INDEX(인턴계획표[정규화6],$Q42))</f>
        <v/>
      </c>
      <c r="P42">
        <f>IF($Q42="","",INDEX(인턴계획표[입력오류],$Q42))</f>
        <v/>
      </c>
      <c r="Q42" s="17">
        <f>IFERROR(MATCH(37,인턴계획표[표시순번],0),"")</f>
        <v/>
      </c>
      <c r="S42">
        <f>IFERROR(INDEX(병원표[병원],37)&amp;"","")</f>
        <v/>
      </c>
      <c r="T42">
        <f>IF($S42="","",COUNTIF(인턴계획표[정규화1],$S42&amp;" *"))</f>
        <v/>
      </c>
      <c r="U42">
        <f>IF($S42="","",COUNTIF(인턴계획표[정규화2],$S42&amp;" *"))</f>
        <v/>
      </c>
      <c r="V42">
        <f>IF($S42="","",COUNTIF(인턴계획표[정규화3],$S42&amp;" *"))</f>
        <v/>
      </c>
      <c r="W42">
        <f>IF($S42="","",COUNTIF(인턴계획표[정규화4],$S42&amp;" *"))</f>
        <v/>
      </c>
      <c r="X42">
        <f>IF($S42="","",COUNTIF(인턴계획표[정규화5],$S42&amp;" *"))</f>
        <v/>
      </c>
      <c r="Y42">
        <f>IF($S42="","",COUNTIF(인턴계획표[정규화6],$S42&amp;" *"))</f>
        <v/>
      </c>
    </row>
    <row r="43">
      <c r="A43">
        <f>IF($Q43="","",INDEX(인턴계획표[순번],$Q43)&amp;"")</f>
        <v/>
      </c>
      <c r="B43">
        <f>IF($Q43="","",TRIM(INDEX(인턴계획표[이름],$Q43)&amp;""))</f>
        <v/>
      </c>
      <c r="C43">
        <f>IF($Q43="","",INDEX(인턴계획표[사번],$Q43)&amp;"")</f>
        <v/>
      </c>
      <c r="D43">
        <f>IF($Q43="","",IF(COUNTIF(기본자료표[사번키],INDEX(인턴계획표[사번키],$Q43))&gt;0,"확인","미등록"))</f>
        <v/>
      </c>
      <c r="E43">
        <f>IF($Q43="","",IF(ISNUMBER(INDEX(인턴계획표[입사일(비고)],$Q43)),TEXT(INDEX(인턴계획표[입사일(비고)],$Q43),"yyyy-mm-dd"),INDEX(인턴계획표[입사일(비고)],$Q43)&amp;""))</f>
        <v/>
      </c>
      <c r="F43">
        <f>IF($Q43="","",IF(IF($G$3="","",INDEX(인턴계획표[[정규화1]:[정규화6]],$Q43,$G$3)&amp;"")="","",IF(LEFT(IF($G$3="","",INDEX(인턴계획표[[정규화1]:[정규화6]],$Q43,$G$3)&amp;""),1)="⚠",IF($G$3="","",INDEX(인턴계획표[[정규화1]:[정규화6]],$Q43,$G$3)&amp;""),IFERROR(LEFT(IF($G$3="","",INDEX(인턴계획표[[정규화1]:[정규화6]],$Q43,$G$3)&amp;""),FIND(" ",IF($G$3="","",INDEX(인턴계획표[[정규화1]:[정규화6]],$Q43,$G$3)&amp;""))-1),IF($G$3="","",INDEX(인턴계획표[[정규화1]:[정규화6]],$Q43,$G$3)&amp;"")))))</f>
        <v/>
      </c>
      <c r="G43">
        <f>IF($Q43="","",IF(IF($G$3="","",INDEX(인턴계획표[[정규화1]:[정규화6]],$Q43,$G$3)&amp;"")="","",IF(LEFT(IF($G$3="","",INDEX(인턴계획표[[정규화1]:[정규화6]],$Q43,$G$3)&amp;""),1)="⚠","",IFERROR(MID(IF($G$3="","",INDEX(인턴계획표[[정규화1]:[정규화6]],$Q43,$G$3)&amp;""),FIND(" ",IF($G$3="","",INDEX(인턴계획표[[정규화1]:[정규화6]],$Q43,$G$3)&amp;""))+1,60),""))))</f>
        <v/>
      </c>
      <c r="H43">
        <f>IF($Q43="","",IF(IF($I$3="","",INDEX(인턴계획표[[정규화1]:[정규화6]],$Q43,$I$3)&amp;"")="","",IF(LEFT(IF($I$3="","",INDEX(인턴계획표[[정규화1]:[정규화6]],$Q43,$I$3)&amp;""),1)="⚠",IF($I$3="","",INDEX(인턴계획표[[정규화1]:[정규화6]],$Q43,$I$3)&amp;""),IFERROR(LEFT(IF($I$3="","",INDEX(인턴계획표[[정규화1]:[정규화6]],$Q43,$I$3)&amp;""),FIND(" ",IF($I$3="","",INDEX(인턴계획표[[정규화1]:[정규화6]],$Q43,$I$3)&amp;""))-1),IF($I$3="","",INDEX(인턴계획표[[정규화1]:[정규화6]],$Q43,$I$3)&amp;"")))))</f>
        <v/>
      </c>
      <c r="I43">
        <f>IF($Q43="","",IF(IF($I$3="","",INDEX(인턴계획표[[정규화1]:[정규화6]],$Q43,$I$3)&amp;"")="","",IF(LEFT(IF($I$3="","",INDEX(인턴계획표[[정규화1]:[정규화6]],$Q43,$I$3)&amp;""),1)="⚠","",IFERROR(MID(IF($I$3="","",INDEX(인턴계획표[[정규화1]:[정규화6]],$Q43,$I$3)&amp;""),FIND(" ",IF($I$3="","",INDEX(인턴계획표[[정규화1]:[정규화6]],$Q43,$I$3)&amp;""))+1,60),""))))</f>
        <v/>
      </c>
      <c r="J43">
        <f>IF($Q43="","",INDEX(인턴계획표[정규화1],$Q43))</f>
        <v/>
      </c>
      <c r="K43">
        <f>IF($Q43="","",INDEX(인턴계획표[정규화2],$Q43))</f>
        <v/>
      </c>
      <c r="L43">
        <f>IF($Q43="","",INDEX(인턴계획표[정규화3],$Q43))</f>
        <v/>
      </c>
      <c r="M43">
        <f>IF($Q43="","",INDEX(인턴계획표[정규화4],$Q43))</f>
        <v/>
      </c>
      <c r="N43">
        <f>IF($Q43="","",INDEX(인턴계획표[정규화5],$Q43))</f>
        <v/>
      </c>
      <c r="O43">
        <f>IF($Q43="","",INDEX(인턴계획표[정규화6],$Q43))</f>
        <v/>
      </c>
      <c r="P43">
        <f>IF($Q43="","",INDEX(인턴계획표[입력오류],$Q43))</f>
        <v/>
      </c>
      <c r="Q43" s="17">
        <f>IFERROR(MATCH(38,인턴계획표[표시순번],0),"")</f>
        <v/>
      </c>
      <c r="S43">
        <f>IFERROR(INDEX(병원표[병원],38)&amp;"","")</f>
        <v/>
      </c>
      <c r="T43">
        <f>IF($S43="","",COUNTIF(인턴계획표[정규화1],$S43&amp;" *"))</f>
        <v/>
      </c>
      <c r="U43">
        <f>IF($S43="","",COUNTIF(인턴계획표[정규화2],$S43&amp;" *"))</f>
        <v/>
      </c>
      <c r="V43">
        <f>IF($S43="","",COUNTIF(인턴계획표[정규화3],$S43&amp;" *"))</f>
        <v/>
      </c>
      <c r="W43">
        <f>IF($S43="","",COUNTIF(인턴계획표[정규화4],$S43&amp;" *"))</f>
        <v/>
      </c>
      <c r="X43">
        <f>IF($S43="","",COUNTIF(인턴계획표[정규화5],$S43&amp;" *"))</f>
        <v/>
      </c>
      <c r="Y43">
        <f>IF($S43="","",COUNTIF(인턴계획표[정규화6],$S43&amp;" *"))</f>
        <v/>
      </c>
    </row>
    <row r="44">
      <c r="A44">
        <f>IF($Q44="","",INDEX(인턴계획표[순번],$Q44)&amp;"")</f>
        <v/>
      </c>
      <c r="B44">
        <f>IF($Q44="","",TRIM(INDEX(인턴계획표[이름],$Q44)&amp;""))</f>
        <v/>
      </c>
      <c r="C44">
        <f>IF($Q44="","",INDEX(인턴계획표[사번],$Q44)&amp;"")</f>
        <v/>
      </c>
      <c r="D44">
        <f>IF($Q44="","",IF(COUNTIF(기본자료표[사번키],INDEX(인턴계획표[사번키],$Q44))&gt;0,"확인","미등록"))</f>
        <v/>
      </c>
      <c r="E44">
        <f>IF($Q44="","",IF(ISNUMBER(INDEX(인턴계획표[입사일(비고)],$Q44)),TEXT(INDEX(인턴계획표[입사일(비고)],$Q44),"yyyy-mm-dd"),INDEX(인턴계획표[입사일(비고)],$Q44)&amp;""))</f>
        <v/>
      </c>
      <c r="F44">
        <f>IF($Q44="","",IF(IF($G$3="","",INDEX(인턴계획표[[정규화1]:[정규화6]],$Q44,$G$3)&amp;"")="","",IF(LEFT(IF($G$3="","",INDEX(인턴계획표[[정규화1]:[정규화6]],$Q44,$G$3)&amp;""),1)="⚠",IF($G$3="","",INDEX(인턴계획표[[정규화1]:[정규화6]],$Q44,$G$3)&amp;""),IFERROR(LEFT(IF($G$3="","",INDEX(인턴계획표[[정규화1]:[정규화6]],$Q44,$G$3)&amp;""),FIND(" ",IF($G$3="","",INDEX(인턴계획표[[정규화1]:[정규화6]],$Q44,$G$3)&amp;""))-1),IF($G$3="","",INDEX(인턴계획표[[정규화1]:[정규화6]],$Q44,$G$3)&amp;"")))))</f>
        <v/>
      </c>
      <c r="G44">
        <f>IF($Q44="","",IF(IF($G$3="","",INDEX(인턴계획표[[정규화1]:[정규화6]],$Q44,$G$3)&amp;"")="","",IF(LEFT(IF($G$3="","",INDEX(인턴계획표[[정규화1]:[정규화6]],$Q44,$G$3)&amp;""),1)="⚠","",IFERROR(MID(IF($G$3="","",INDEX(인턴계획표[[정규화1]:[정규화6]],$Q44,$G$3)&amp;""),FIND(" ",IF($G$3="","",INDEX(인턴계획표[[정규화1]:[정규화6]],$Q44,$G$3)&amp;""))+1,60),""))))</f>
        <v/>
      </c>
      <c r="H44">
        <f>IF($Q44="","",IF(IF($I$3="","",INDEX(인턴계획표[[정규화1]:[정규화6]],$Q44,$I$3)&amp;"")="","",IF(LEFT(IF($I$3="","",INDEX(인턴계획표[[정규화1]:[정규화6]],$Q44,$I$3)&amp;""),1)="⚠",IF($I$3="","",INDEX(인턴계획표[[정규화1]:[정규화6]],$Q44,$I$3)&amp;""),IFERROR(LEFT(IF($I$3="","",INDEX(인턴계획표[[정규화1]:[정규화6]],$Q44,$I$3)&amp;""),FIND(" ",IF($I$3="","",INDEX(인턴계획표[[정규화1]:[정규화6]],$Q44,$I$3)&amp;""))-1),IF($I$3="","",INDEX(인턴계획표[[정규화1]:[정규화6]],$Q44,$I$3)&amp;"")))))</f>
        <v/>
      </c>
      <c r="I44">
        <f>IF($Q44="","",IF(IF($I$3="","",INDEX(인턴계획표[[정규화1]:[정규화6]],$Q44,$I$3)&amp;"")="","",IF(LEFT(IF($I$3="","",INDEX(인턴계획표[[정규화1]:[정규화6]],$Q44,$I$3)&amp;""),1)="⚠","",IFERROR(MID(IF($I$3="","",INDEX(인턴계획표[[정규화1]:[정규화6]],$Q44,$I$3)&amp;""),FIND(" ",IF($I$3="","",INDEX(인턴계획표[[정규화1]:[정규화6]],$Q44,$I$3)&amp;""))+1,60),""))))</f>
        <v/>
      </c>
      <c r="J44">
        <f>IF($Q44="","",INDEX(인턴계획표[정규화1],$Q44))</f>
        <v/>
      </c>
      <c r="K44">
        <f>IF($Q44="","",INDEX(인턴계획표[정규화2],$Q44))</f>
        <v/>
      </c>
      <c r="L44">
        <f>IF($Q44="","",INDEX(인턴계획표[정규화3],$Q44))</f>
        <v/>
      </c>
      <c r="M44">
        <f>IF($Q44="","",INDEX(인턴계획표[정규화4],$Q44))</f>
        <v/>
      </c>
      <c r="N44">
        <f>IF($Q44="","",INDEX(인턴계획표[정규화5],$Q44))</f>
        <v/>
      </c>
      <c r="O44">
        <f>IF($Q44="","",INDEX(인턴계획표[정규화6],$Q44))</f>
        <v/>
      </c>
      <c r="P44">
        <f>IF($Q44="","",INDEX(인턴계획표[입력오류],$Q44))</f>
        <v/>
      </c>
      <c r="Q44" s="17">
        <f>IFERROR(MATCH(39,인턴계획표[표시순번],0),"")</f>
        <v/>
      </c>
      <c r="S44">
        <f>IFERROR(INDEX(병원표[병원],39)&amp;"","")</f>
        <v/>
      </c>
      <c r="T44">
        <f>IF($S44="","",COUNTIF(인턴계획표[정규화1],$S44&amp;" *"))</f>
        <v/>
      </c>
      <c r="U44">
        <f>IF($S44="","",COUNTIF(인턴계획표[정규화2],$S44&amp;" *"))</f>
        <v/>
      </c>
      <c r="V44">
        <f>IF($S44="","",COUNTIF(인턴계획표[정규화3],$S44&amp;" *"))</f>
        <v/>
      </c>
      <c r="W44">
        <f>IF($S44="","",COUNTIF(인턴계획표[정규화4],$S44&amp;" *"))</f>
        <v/>
      </c>
      <c r="X44">
        <f>IF($S44="","",COUNTIF(인턴계획표[정규화5],$S44&amp;" *"))</f>
        <v/>
      </c>
      <c r="Y44">
        <f>IF($S44="","",COUNTIF(인턴계획표[정규화6],$S44&amp;" *"))</f>
        <v/>
      </c>
    </row>
    <row r="45">
      <c r="A45">
        <f>IF($Q45="","",INDEX(인턴계획표[순번],$Q45)&amp;"")</f>
        <v/>
      </c>
      <c r="B45">
        <f>IF($Q45="","",TRIM(INDEX(인턴계획표[이름],$Q45)&amp;""))</f>
        <v/>
      </c>
      <c r="C45">
        <f>IF($Q45="","",INDEX(인턴계획표[사번],$Q45)&amp;"")</f>
        <v/>
      </c>
      <c r="D45">
        <f>IF($Q45="","",IF(COUNTIF(기본자료표[사번키],INDEX(인턴계획표[사번키],$Q45))&gt;0,"확인","미등록"))</f>
        <v/>
      </c>
      <c r="E45">
        <f>IF($Q45="","",IF(ISNUMBER(INDEX(인턴계획표[입사일(비고)],$Q45)),TEXT(INDEX(인턴계획표[입사일(비고)],$Q45),"yyyy-mm-dd"),INDEX(인턴계획표[입사일(비고)],$Q45)&amp;""))</f>
        <v/>
      </c>
      <c r="F45">
        <f>IF($Q45="","",IF(IF($G$3="","",INDEX(인턴계획표[[정규화1]:[정규화6]],$Q45,$G$3)&amp;"")="","",IF(LEFT(IF($G$3="","",INDEX(인턴계획표[[정규화1]:[정규화6]],$Q45,$G$3)&amp;""),1)="⚠",IF($G$3="","",INDEX(인턴계획표[[정규화1]:[정규화6]],$Q45,$G$3)&amp;""),IFERROR(LEFT(IF($G$3="","",INDEX(인턴계획표[[정규화1]:[정규화6]],$Q45,$G$3)&amp;""),FIND(" ",IF($G$3="","",INDEX(인턴계획표[[정규화1]:[정규화6]],$Q45,$G$3)&amp;""))-1),IF($G$3="","",INDEX(인턴계획표[[정규화1]:[정규화6]],$Q45,$G$3)&amp;"")))))</f>
        <v/>
      </c>
      <c r="G45">
        <f>IF($Q45="","",IF(IF($G$3="","",INDEX(인턴계획표[[정규화1]:[정규화6]],$Q45,$G$3)&amp;"")="","",IF(LEFT(IF($G$3="","",INDEX(인턴계획표[[정규화1]:[정규화6]],$Q45,$G$3)&amp;""),1)="⚠","",IFERROR(MID(IF($G$3="","",INDEX(인턴계획표[[정규화1]:[정규화6]],$Q45,$G$3)&amp;""),FIND(" ",IF($G$3="","",INDEX(인턴계획표[[정규화1]:[정규화6]],$Q45,$G$3)&amp;""))+1,60),""))))</f>
        <v/>
      </c>
      <c r="H45">
        <f>IF($Q45="","",IF(IF($I$3="","",INDEX(인턴계획표[[정규화1]:[정규화6]],$Q45,$I$3)&amp;"")="","",IF(LEFT(IF($I$3="","",INDEX(인턴계획표[[정규화1]:[정규화6]],$Q45,$I$3)&amp;""),1)="⚠",IF($I$3="","",INDEX(인턴계획표[[정규화1]:[정규화6]],$Q45,$I$3)&amp;""),IFERROR(LEFT(IF($I$3="","",INDEX(인턴계획표[[정규화1]:[정규화6]],$Q45,$I$3)&amp;""),FIND(" ",IF($I$3="","",INDEX(인턴계획표[[정규화1]:[정규화6]],$Q45,$I$3)&amp;""))-1),IF($I$3="","",INDEX(인턴계획표[[정규화1]:[정규화6]],$Q45,$I$3)&amp;"")))))</f>
        <v/>
      </c>
      <c r="I45">
        <f>IF($Q45="","",IF(IF($I$3="","",INDEX(인턴계획표[[정규화1]:[정규화6]],$Q45,$I$3)&amp;"")="","",IF(LEFT(IF($I$3="","",INDEX(인턴계획표[[정규화1]:[정규화6]],$Q45,$I$3)&amp;""),1)="⚠","",IFERROR(MID(IF($I$3="","",INDEX(인턴계획표[[정규화1]:[정규화6]],$Q45,$I$3)&amp;""),FIND(" ",IF($I$3="","",INDEX(인턴계획표[[정규화1]:[정규화6]],$Q45,$I$3)&amp;""))+1,60),""))))</f>
        <v/>
      </c>
      <c r="J45">
        <f>IF($Q45="","",INDEX(인턴계획표[정규화1],$Q45))</f>
        <v/>
      </c>
      <c r="K45">
        <f>IF($Q45="","",INDEX(인턴계획표[정규화2],$Q45))</f>
        <v/>
      </c>
      <c r="L45">
        <f>IF($Q45="","",INDEX(인턴계획표[정규화3],$Q45))</f>
        <v/>
      </c>
      <c r="M45">
        <f>IF($Q45="","",INDEX(인턴계획표[정규화4],$Q45))</f>
        <v/>
      </c>
      <c r="N45">
        <f>IF($Q45="","",INDEX(인턴계획표[정규화5],$Q45))</f>
        <v/>
      </c>
      <c r="O45">
        <f>IF($Q45="","",INDEX(인턴계획표[정규화6],$Q45))</f>
        <v/>
      </c>
      <c r="P45">
        <f>IF($Q45="","",INDEX(인턴계획표[입력오류],$Q45))</f>
        <v/>
      </c>
      <c r="Q45" s="17">
        <f>IFERROR(MATCH(40,인턴계획표[표시순번],0),"")</f>
        <v/>
      </c>
      <c r="S45">
        <f>IFERROR(INDEX(병원표[병원],40)&amp;"","")</f>
        <v/>
      </c>
      <c r="T45">
        <f>IF($S45="","",COUNTIF(인턴계획표[정규화1],$S45&amp;" *"))</f>
        <v/>
      </c>
      <c r="U45">
        <f>IF($S45="","",COUNTIF(인턴계획표[정규화2],$S45&amp;" *"))</f>
        <v/>
      </c>
      <c r="V45">
        <f>IF($S45="","",COUNTIF(인턴계획표[정규화3],$S45&amp;" *"))</f>
        <v/>
      </c>
      <c r="W45">
        <f>IF($S45="","",COUNTIF(인턴계획표[정규화4],$S45&amp;" *"))</f>
        <v/>
      </c>
      <c r="X45">
        <f>IF($S45="","",COUNTIF(인턴계획표[정규화5],$S45&amp;" *"))</f>
        <v/>
      </c>
      <c r="Y45">
        <f>IF($S45="","",COUNTIF(인턴계획표[정규화6],$S45&amp;" *"))</f>
        <v/>
      </c>
    </row>
    <row r="46">
      <c r="A46">
        <f>IF($Q46="","",INDEX(인턴계획표[순번],$Q46)&amp;"")</f>
        <v/>
      </c>
      <c r="B46">
        <f>IF($Q46="","",TRIM(INDEX(인턴계획표[이름],$Q46)&amp;""))</f>
        <v/>
      </c>
      <c r="C46">
        <f>IF($Q46="","",INDEX(인턴계획표[사번],$Q46)&amp;"")</f>
        <v/>
      </c>
      <c r="D46">
        <f>IF($Q46="","",IF(COUNTIF(기본자료표[사번키],INDEX(인턴계획표[사번키],$Q46))&gt;0,"확인","미등록"))</f>
        <v/>
      </c>
      <c r="E46">
        <f>IF($Q46="","",IF(ISNUMBER(INDEX(인턴계획표[입사일(비고)],$Q46)),TEXT(INDEX(인턴계획표[입사일(비고)],$Q46),"yyyy-mm-dd"),INDEX(인턴계획표[입사일(비고)],$Q46)&amp;""))</f>
        <v/>
      </c>
      <c r="F46">
        <f>IF($Q46="","",IF(IF($G$3="","",INDEX(인턴계획표[[정규화1]:[정규화6]],$Q46,$G$3)&amp;"")="","",IF(LEFT(IF($G$3="","",INDEX(인턴계획표[[정규화1]:[정규화6]],$Q46,$G$3)&amp;""),1)="⚠",IF($G$3="","",INDEX(인턴계획표[[정규화1]:[정규화6]],$Q46,$G$3)&amp;""),IFERROR(LEFT(IF($G$3="","",INDEX(인턴계획표[[정규화1]:[정규화6]],$Q46,$G$3)&amp;""),FIND(" ",IF($G$3="","",INDEX(인턴계획표[[정규화1]:[정규화6]],$Q46,$G$3)&amp;""))-1),IF($G$3="","",INDEX(인턴계획표[[정규화1]:[정규화6]],$Q46,$G$3)&amp;"")))))</f>
        <v/>
      </c>
      <c r="G46">
        <f>IF($Q46="","",IF(IF($G$3="","",INDEX(인턴계획표[[정규화1]:[정규화6]],$Q46,$G$3)&amp;"")="","",IF(LEFT(IF($G$3="","",INDEX(인턴계획표[[정규화1]:[정규화6]],$Q46,$G$3)&amp;""),1)="⚠","",IFERROR(MID(IF($G$3="","",INDEX(인턴계획표[[정규화1]:[정규화6]],$Q46,$G$3)&amp;""),FIND(" ",IF($G$3="","",INDEX(인턴계획표[[정규화1]:[정규화6]],$Q46,$G$3)&amp;""))+1,60),""))))</f>
        <v/>
      </c>
      <c r="H46">
        <f>IF($Q46="","",IF(IF($I$3="","",INDEX(인턴계획표[[정규화1]:[정규화6]],$Q46,$I$3)&amp;"")="","",IF(LEFT(IF($I$3="","",INDEX(인턴계획표[[정규화1]:[정규화6]],$Q46,$I$3)&amp;""),1)="⚠",IF($I$3="","",INDEX(인턴계획표[[정규화1]:[정규화6]],$Q46,$I$3)&amp;""),IFERROR(LEFT(IF($I$3="","",INDEX(인턴계획표[[정규화1]:[정규화6]],$Q46,$I$3)&amp;""),FIND(" ",IF($I$3="","",INDEX(인턴계획표[[정규화1]:[정규화6]],$Q46,$I$3)&amp;""))-1),IF($I$3="","",INDEX(인턴계획표[[정규화1]:[정규화6]],$Q46,$I$3)&amp;"")))))</f>
        <v/>
      </c>
      <c r="I46">
        <f>IF($Q46="","",IF(IF($I$3="","",INDEX(인턴계획표[[정규화1]:[정규화6]],$Q46,$I$3)&amp;"")="","",IF(LEFT(IF($I$3="","",INDEX(인턴계획표[[정규화1]:[정규화6]],$Q46,$I$3)&amp;""),1)="⚠","",IFERROR(MID(IF($I$3="","",INDEX(인턴계획표[[정규화1]:[정규화6]],$Q46,$I$3)&amp;""),FIND(" ",IF($I$3="","",INDEX(인턴계획표[[정규화1]:[정규화6]],$Q46,$I$3)&amp;""))+1,60),""))))</f>
        <v/>
      </c>
      <c r="J46">
        <f>IF($Q46="","",INDEX(인턴계획표[정규화1],$Q46))</f>
        <v/>
      </c>
      <c r="K46">
        <f>IF($Q46="","",INDEX(인턴계획표[정규화2],$Q46))</f>
        <v/>
      </c>
      <c r="L46">
        <f>IF($Q46="","",INDEX(인턴계획표[정규화3],$Q46))</f>
        <v/>
      </c>
      <c r="M46">
        <f>IF($Q46="","",INDEX(인턴계획표[정규화4],$Q46))</f>
        <v/>
      </c>
      <c r="N46">
        <f>IF($Q46="","",INDEX(인턴계획표[정규화5],$Q46))</f>
        <v/>
      </c>
      <c r="O46">
        <f>IF($Q46="","",INDEX(인턴계획표[정규화6],$Q46))</f>
        <v/>
      </c>
      <c r="P46">
        <f>IF($Q46="","",INDEX(인턴계획표[입력오류],$Q46))</f>
        <v/>
      </c>
      <c r="Q46" s="17">
        <f>IFERROR(MATCH(41,인턴계획표[표시순번],0),"")</f>
        <v/>
      </c>
    </row>
    <row r="47">
      <c r="A47">
        <f>IF($Q47="","",INDEX(인턴계획표[순번],$Q47)&amp;"")</f>
        <v/>
      </c>
      <c r="B47">
        <f>IF($Q47="","",TRIM(INDEX(인턴계획표[이름],$Q47)&amp;""))</f>
        <v/>
      </c>
      <c r="C47">
        <f>IF($Q47="","",INDEX(인턴계획표[사번],$Q47)&amp;"")</f>
        <v/>
      </c>
      <c r="D47">
        <f>IF($Q47="","",IF(COUNTIF(기본자료표[사번키],INDEX(인턴계획표[사번키],$Q47))&gt;0,"확인","미등록"))</f>
        <v/>
      </c>
      <c r="E47">
        <f>IF($Q47="","",IF(ISNUMBER(INDEX(인턴계획표[입사일(비고)],$Q47)),TEXT(INDEX(인턴계획표[입사일(비고)],$Q47),"yyyy-mm-dd"),INDEX(인턴계획표[입사일(비고)],$Q47)&amp;""))</f>
        <v/>
      </c>
      <c r="F47">
        <f>IF($Q47="","",IF(IF($G$3="","",INDEX(인턴계획표[[정규화1]:[정규화6]],$Q47,$G$3)&amp;"")="","",IF(LEFT(IF($G$3="","",INDEX(인턴계획표[[정규화1]:[정규화6]],$Q47,$G$3)&amp;""),1)="⚠",IF($G$3="","",INDEX(인턴계획표[[정규화1]:[정규화6]],$Q47,$G$3)&amp;""),IFERROR(LEFT(IF($G$3="","",INDEX(인턴계획표[[정규화1]:[정규화6]],$Q47,$G$3)&amp;""),FIND(" ",IF($G$3="","",INDEX(인턴계획표[[정규화1]:[정규화6]],$Q47,$G$3)&amp;""))-1),IF($G$3="","",INDEX(인턴계획표[[정규화1]:[정규화6]],$Q47,$G$3)&amp;"")))))</f>
        <v/>
      </c>
      <c r="G47">
        <f>IF($Q47="","",IF(IF($G$3="","",INDEX(인턴계획표[[정규화1]:[정규화6]],$Q47,$G$3)&amp;"")="","",IF(LEFT(IF($G$3="","",INDEX(인턴계획표[[정규화1]:[정규화6]],$Q47,$G$3)&amp;""),1)="⚠","",IFERROR(MID(IF($G$3="","",INDEX(인턴계획표[[정규화1]:[정규화6]],$Q47,$G$3)&amp;""),FIND(" ",IF($G$3="","",INDEX(인턴계획표[[정규화1]:[정규화6]],$Q47,$G$3)&amp;""))+1,60),""))))</f>
        <v/>
      </c>
      <c r="H47">
        <f>IF($Q47="","",IF(IF($I$3="","",INDEX(인턴계획표[[정규화1]:[정규화6]],$Q47,$I$3)&amp;"")="","",IF(LEFT(IF($I$3="","",INDEX(인턴계획표[[정규화1]:[정규화6]],$Q47,$I$3)&amp;""),1)="⚠",IF($I$3="","",INDEX(인턴계획표[[정규화1]:[정규화6]],$Q47,$I$3)&amp;""),IFERROR(LEFT(IF($I$3="","",INDEX(인턴계획표[[정규화1]:[정규화6]],$Q47,$I$3)&amp;""),FIND(" ",IF($I$3="","",INDEX(인턴계획표[[정규화1]:[정규화6]],$Q47,$I$3)&amp;""))-1),IF($I$3="","",INDEX(인턴계획표[[정규화1]:[정규화6]],$Q47,$I$3)&amp;"")))))</f>
        <v/>
      </c>
      <c r="I47">
        <f>IF($Q47="","",IF(IF($I$3="","",INDEX(인턴계획표[[정규화1]:[정규화6]],$Q47,$I$3)&amp;"")="","",IF(LEFT(IF($I$3="","",INDEX(인턴계획표[[정규화1]:[정규화6]],$Q47,$I$3)&amp;""),1)="⚠","",IFERROR(MID(IF($I$3="","",INDEX(인턴계획표[[정규화1]:[정규화6]],$Q47,$I$3)&amp;""),FIND(" ",IF($I$3="","",INDEX(인턴계획표[[정규화1]:[정규화6]],$Q47,$I$3)&amp;""))+1,60),""))))</f>
        <v/>
      </c>
      <c r="J47">
        <f>IF($Q47="","",INDEX(인턴계획표[정규화1],$Q47))</f>
        <v/>
      </c>
      <c r="K47">
        <f>IF($Q47="","",INDEX(인턴계획표[정규화2],$Q47))</f>
        <v/>
      </c>
      <c r="L47">
        <f>IF($Q47="","",INDEX(인턴계획표[정규화3],$Q47))</f>
        <v/>
      </c>
      <c r="M47">
        <f>IF($Q47="","",INDEX(인턴계획표[정규화4],$Q47))</f>
        <v/>
      </c>
      <c r="N47">
        <f>IF($Q47="","",INDEX(인턴계획표[정규화5],$Q47))</f>
        <v/>
      </c>
      <c r="O47">
        <f>IF($Q47="","",INDEX(인턴계획표[정규화6],$Q47))</f>
        <v/>
      </c>
      <c r="P47">
        <f>IF($Q47="","",INDEX(인턴계획표[입력오류],$Q47))</f>
        <v/>
      </c>
      <c r="Q47" s="17">
        <f>IFERROR(MATCH(42,인턴계획표[표시순번],0),"")</f>
        <v/>
      </c>
    </row>
    <row r="48">
      <c r="A48">
        <f>IF($Q48="","",INDEX(인턴계획표[순번],$Q48)&amp;"")</f>
        <v/>
      </c>
      <c r="B48">
        <f>IF($Q48="","",TRIM(INDEX(인턴계획표[이름],$Q48)&amp;""))</f>
        <v/>
      </c>
      <c r="C48">
        <f>IF($Q48="","",INDEX(인턴계획표[사번],$Q48)&amp;"")</f>
        <v/>
      </c>
      <c r="D48">
        <f>IF($Q48="","",IF(COUNTIF(기본자료표[사번키],INDEX(인턴계획표[사번키],$Q48))&gt;0,"확인","미등록"))</f>
        <v/>
      </c>
      <c r="E48">
        <f>IF($Q48="","",IF(ISNUMBER(INDEX(인턴계획표[입사일(비고)],$Q48)),TEXT(INDEX(인턴계획표[입사일(비고)],$Q48),"yyyy-mm-dd"),INDEX(인턴계획표[입사일(비고)],$Q48)&amp;""))</f>
        <v/>
      </c>
      <c r="F48">
        <f>IF($Q48="","",IF(IF($G$3="","",INDEX(인턴계획표[[정규화1]:[정규화6]],$Q48,$G$3)&amp;"")="","",IF(LEFT(IF($G$3="","",INDEX(인턴계획표[[정규화1]:[정규화6]],$Q48,$G$3)&amp;""),1)="⚠",IF($G$3="","",INDEX(인턴계획표[[정규화1]:[정규화6]],$Q48,$G$3)&amp;""),IFERROR(LEFT(IF($G$3="","",INDEX(인턴계획표[[정규화1]:[정규화6]],$Q48,$G$3)&amp;""),FIND(" ",IF($G$3="","",INDEX(인턴계획표[[정규화1]:[정규화6]],$Q48,$G$3)&amp;""))-1),IF($G$3="","",INDEX(인턴계획표[[정규화1]:[정규화6]],$Q48,$G$3)&amp;"")))))</f>
        <v/>
      </c>
      <c r="G48">
        <f>IF($Q48="","",IF(IF($G$3="","",INDEX(인턴계획표[[정규화1]:[정규화6]],$Q48,$G$3)&amp;"")="","",IF(LEFT(IF($G$3="","",INDEX(인턴계획표[[정규화1]:[정규화6]],$Q48,$G$3)&amp;""),1)="⚠","",IFERROR(MID(IF($G$3="","",INDEX(인턴계획표[[정규화1]:[정규화6]],$Q48,$G$3)&amp;""),FIND(" ",IF($G$3="","",INDEX(인턴계획표[[정규화1]:[정규화6]],$Q48,$G$3)&amp;""))+1,60),""))))</f>
        <v/>
      </c>
      <c r="H48">
        <f>IF($Q48="","",IF(IF($I$3="","",INDEX(인턴계획표[[정규화1]:[정규화6]],$Q48,$I$3)&amp;"")="","",IF(LEFT(IF($I$3="","",INDEX(인턴계획표[[정규화1]:[정규화6]],$Q48,$I$3)&amp;""),1)="⚠",IF($I$3="","",INDEX(인턴계획표[[정규화1]:[정규화6]],$Q48,$I$3)&amp;""),IFERROR(LEFT(IF($I$3="","",INDEX(인턴계획표[[정규화1]:[정규화6]],$Q48,$I$3)&amp;""),FIND(" ",IF($I$3="","",INDEX(인턴계획표[[정규화1]:[정규화6]],$Q48,$I$3)&amp;""))-1),IF($I$3="","",INDEX(인턴계획표[[정규화1]:[정규화6]],$Q48,$I$3)&amp;"")))))</f>
        <v/>
      </c>
      <c r="I48">
        <f>IF($Q48="","",IF(IF($I$3="","",INDEX(인턴계획표[[정규화1]:[정규화6]],$Q48,$I$3)&amp;"")="","",IF(LEFT(IF($I$3="","",INDEX(인턴계획표[[정규화1]:[정규화6]],$Q48,$I$3)&amp;""),1)="⚠","",IFERROR(MID(IF($I$3="","",INDEX(인턴계획표[[정규화1]:[정규화6]],$Q48,$I$3)&amp;""),FIND(" ",IF($I$3="","",INDEX(인턴계획표[[정규화1]:[정규화6]],$Q48,$I$3)&amp;""))+1,60),""))))</f>
        <v/>
      </c>
      <c r="J48">
        <f>IF($Q48="","",INDEX(인턴계획표[정규화1],$Q48))</f>
        <v/>
      </c>
      <c r="K48">
        <f>IF($Q48="","",INDEX(인턴계획표[정규화2],$Q48))</f>
        <v/>
      </c>
      <c r="L48">
        <f>IF($Q48="","",INDEX(인턴계획표[정규화3],$Q48))</f>
        <v/>
      </c>
      <c r="M48">
        <f>IF($Q48="","",INDEX(인턴계획표[정규화4],$Q48))</f>
        <v/>
      </c>
      <c r="N48">
        <f>IF($Q48="","",INDEX(인턴계획표[정규화5],$Q48))</f>
        <v/>
      </c>
      <c r="O48">
        <f>IF($Q48="","",INDEX(인턴계획표[정규화6],$Q48))</f>
        <v/>
      </c>
      <c r="P48">
        <f>IF($Q48="","",INDEX(인턴계획표[입력오류],$Q48))</f>
        <v/>
      </c>
      <c r="Q48" s="17">
        <f>IFERROR(MATCH(43,인턴계획표[표시순번],0),"")</f>
        <v/>
      </c>
    </row>
    <row r="49">
      <c r="A49">
        <f>IF($Q49="","",INDEX(인턴계획표[순번],$Q49)&amp;"")</f>
        <v/>
      </c>
      <c r="B49">
        <f>IF($Q49="","",TRIM(INDEX(인턴계획표[이름],$Q49)&amp;""))</f>
        <v/>
      </c>
      <c r="C49">
        <f>IF($Q49="","",INDEX(인턴계획표[사번],$Q49)&amp;"")</f>
        <v/>
      </c>
      <c r="D49">
        <f>IF($Q49="","",IF(COUNTIF(기본자료표[사번키],INDEX(인턴계획표[사번키],$Q49))&gt;0,"확인","미등록"))</f>
        <v/>
      </c>
      <c r="E49">
        <f>IF($Q49="","",IF(ISNUMBER(INDEX(인턴계획표[입사일(비고)],$Q49)),TEXT(INDEX(인턴계획표[입사일(비고)],$Q49),"yyyy-mm-dd"),INDEX(인턴계획표[입사일(비고)],$Q49)&amp;""))</f>
        <v/>
      </c>
      <c r="F49">
        <f>IF($Q49="","",IF(IF($G$3="","",INDEX(인턴계획표[[정규화1]:[정규화6]],$Q49,$G$3)&amp;"")="","",IF(LEFT(IF($G$3="","",INDEX(인턴계획표[[정규화1]:[정규화6]],$Q49,$G$3)&amp;""),1)="⚠",IF($G$3="","",INDEX(인턴계획표[[정규화1]:[정규화6]],$Q49,$G$3)&amp;""),IFERROR(LEFT(IF($G$3="","",INDEX(인턴계획표[[정규화1]:[정규화6]],$Q49,$G$3)&amp;""),FIND(" ",IF($G$3="","",INDEX(인턴계획표[[정규화1]:[정규화6]],$Q49,$G$3)&amp;""))-1),IF($G$3="","",INDEX(인턴계획표[[정규화1]:[정규화6]],$Q49,$G$3)&amp;"")))))</f>
        <v/>
      </c>
      <c r="G49">
        <f>IF($Q49="","",IF(IF($G$3="","",INDEX(인턴계획표[[정규화1]:[정규화6]],$Q49,$G$3)&amp;"")="","",IF(LEFT(IF($G$3="","",INDEX(인턴계획표[[정규화1]:[정규화6]],$Q49,$G$3)&amp;""),1)="⚠","",IFERROR(MID(IF($G$3="","",INDEX(인턴계획표[[정규화1]:[정규화6]],$Q49,$G$3)&amp;""),FIND(" ",IF($G$3="","",INDEX(인턴계획표[[정규화1]:[정규화6]],$Q49,$G$3)&amp;""))+1,60),""))))</f>
        <v/>
      </c>
      <c r="H49">
        <f>IF($Q49="","",IF(IF($I$3="","",INDEX(인턴계획표[[정규화1]:[정규화6]],$Q49,$I$3)&amp;"")="","",IF(LEFT(IF($I$3="","",INDEX(인턴계획표[[정규화1]:[정규화6]],$Q49,$I$3)&amp;""),1)="⚠",IF($I$3="","",INDEX(인턴계획표[[정규화1]:[정규화6]],$Q49,$I$3)&amp;""),IFERROR(LEFT(IF($I$3="","",INDEX(인턴계획표[[정규화1]:[정규화6]],$Q49,$I$3)&amp;""),FIND(" ",IF($I$3="","",INDEX(인턴계획표[[정규화1]:[정규화6]],$Q49,$I$3)&amp;""))-1),IF($I$3="","",INDEX(인턴계획표[[정규화1]:[정규화6]],$Q49,$I$3)&amp;"")))))</f>
        <v/>
      </c>
      <c r="I49">
        <f>IF($Q49="","",IF(IF($I$3="","",INDEX(인턴계획표[[정규화1]:[정규화6]],$Q49,$I$3)&amp;"")="","",IF(LEFT(IF($I$3="","",INDEX(인턴계획표[[정규화1]:[정규화6]],$Q49,$I$3)&amp;""),1)="⚠","",IFERROR(MID(IF($I$3="","",INDEX(인턴계획표[[정규화1]:[정규화6]],$Q49,$I$3)&amp;""),FIND(" ",IF($I$3="","",INDEX(인턴계획표[[정규화1]:[정규화6]],$Q49,$I$3)&amp;""))+1,60),""))))</f>
        <v/>
      </c>
      <c r="J49">
        <f>IF($Q49="","",INDEX(인턴계획표[정규화1],$Q49))</f>
        <v/>
      </c>
      <c r="K49">
        <f>IF($Q49="","",INDEX(인턴계획표[정규화2],$Q49))</f>
        <v/>
      </c>
      <c r="L49">
        <f>IF($Q49="","",INDEX(인턴계획표[정규화3],$Q49))</f>
        <v/>
      </c>
      <c r="M49">
        <f>IF($Q49="","",INDEX(인턴계획표[정규화4],$Q49))</f>
        <v/>
      </c>
      <c r="N49">
        <f>IF($Q49="","",INDEX(인턴계획표[정규화5],$Q49))</f>
        <v/>
      </c>
      <c r="O49">
        <f>IF($Q49="","",INDEX(인턴계획표[정규화6],$Q49))</f>
        <v/>
      </c>
      <c r="P49">
        <f>IF($Q49="","",INDEX(인턴계획표[입력오류],$Q49))</f>
        <v/>
      </c>
      <c r="Q49" s="17">
        <f>IFERROR(MATCH(44,인턴계획표[표시순번],0),"")</f>
        <v/>
      </c>
    </row>
    <row r="50">
      <c r="A50">
        <f>IF($Q50="","",INDEX(인턴계획표[순번],$Q50)&amp;"")</f>
        <v/>
      </c>
      <c r="B50">
        <f>IF($Q50="","",TRIM(INDEX(인턴계획표[이름],$Q50)&amp;""))</f>
        <v/>
      </c>
      <c r="C50">
        <f>IF($Q50="","",INDEX(인턴계획표[사번],$Q50)&amp;"")</f>
        <v/>
      </c>
      <c r="D50">
        <f>IF($Q50="","",IF(COUNTIF(기본자료표[사번키],INDEX(인턴계획표[사번키],$Q50))&gt;0,"확인","미등록"))</f>
        <v/>
      </c>
      <c r="E50">
        <f>IF($Q50="","",IF(ISNUMBER(INDEX(인턴계획표[입사일(비고)],$Q50)),TEXT(INDEX(인턴계획표[입사일(비고)],$Q50),"yyyy-mm-dd"),INDEX(인턴계획표[입사일(비고)],$Q50)&amp;""))</f>
        <v/>
      </c>
      <c r="F50">
        <f>IF($Q50="","",IF(IF($G$3="","",INDEX(인턴계획표[[정규화1]:[정규화6]],$Q50,$G$3)&amp;"")="","",IF(LEFT(IF($G$3="","",INDEX(인턴계획표[[정규화1]:[정규화6]],$Q50,$G$3)&amp;""),1)="⚠",IF($G$3="","",INDEX(인턴계획표[[정규화1]:[정규화6]],$Q50,$G$3)&amp;""),IFERROR(LEFT(IF($G$3="","",INDEX(인턴계획표[[정규화1]:[정규화6]],$Q50,$G$3)&amp;""),FIND(" ",IF($G$3="","",INDEX(인턴계획표[[정규화1]:[정규화6]],$Q50,$G$3)&amp;""))-1),IF($G$3="","",INDEX(인턴계획표[[정규화1]:[정규화6]],$Q50,$G$3)&amp;"")))))</f>
        <v/>
      </c>
      <c r="G50">
        <f>IF($Q50="","",IF(IF($G$3="","",INDEX(인턴계획표[[정규화1]:[정규화6]],$Q50,$G$3)&amp;"")="","",IF(LEFT(IF($G$3="","",INDEX(인턴계획표[[정규화1]:[정규화6]],$Q50,$G$3)&amp;""),1)="⚠","",IFERROR(MID(IF($G$3="","",INDEX(인턴계획표[[정규화1]:[정규화6]],$Q50,$G$3)&amp;""),FIND(" ",IF($G$3="","",INDEX(인턴계획표[[정규화1]:[정규화6]],$Q50,$G$3)&amp;""))+1,60),""))))</f>
        <v/>
      </c>
      <c r="H50">
        <f>IF($Q50="","",IF(IF($I$3="","",INDEX(인턴계획표[[정규화1]:[정규화6]],$Q50,$I$3)&amp;"")="","",IF(LEFT(IF($I$3="","",INDEX(인턴계획표[[정규화1]:[정규화6]],$Q50,$I$3)&amp;""),1)="⚠",IF($I$3="","",INDEX(인턴계획표[[정규화1]:[정규화6]],$Q50,$I$3)&amp;""),IFERROR(LEFT(IF($I$3="","",INDEX(인턴계획표[[정규화1]:[정규화6]],$Q50,$I$3)&amp;""),FIND(" ",IF($I$3="","",INDEX(인턴계획표[[정규화1]:[정규화6]],$Q50,$I$3)&amp;""))-1),IF($I$3="","",INDEX(인턴계획표[[정규화1]:[정규화6]],$Q50,$I$3)&amp;"")))))</f>
        <v/>
      </c>
      <c r="I50">
        <f>IF($Q50="","",IF(IF($I$3="","",INDEX(인턴계획표[[정규화1]:[정규화6]],$Q50,$I$3)&amp;"")="","",IF(LEFT(IF($I$3="","",INDEX(인턴계획표[[정규화1]:[정규화6]],$Q50,$I$3)&amp;""),1)="⚠","",IFERROR(MID(IF($I$3="","",INDEX(인턴계획표[[정규화1]:[정규화6]],$Q50,$I$3)&amp;""),FIND(" ",IF($I$3="","",INDEX(인턴계획표[[정규화1]:[정규화6]],$Q50,$I$3)&amp;""))+1,60),""))))</f>
        <v/>
      </c>
      <c r="J50">
        <f>IF($Q50="","",INDEX(인턴계획표[정규화1],$Q50))</f>
        <v/>
      </c>
      <c r="K50">
        <f>IF($Q50="","",INDEX(인턴계획표[정규화2],$Q50))</f>
        <v/>
      </c>
      <c r="L50">
        <f>IF($Q50="","",INDEX(인턴계획표[정규화3],$Q50))</f>
        <v/>
      </c>
      <c r="M50">
        <f>IF($Q50="","",INDEX(인턴계획표[정규화4],$Q50))</f>
        <v/>
      </c>
      <c r="N50">
        <f>IF($Q50="","",INDEX(인턴계획표[정규화5],$Q50))</f>
        <v/>
      </c>
      <c r="O50">
        <f>IF($Q50="","",INDEX(인턴계획표[정규화6],$Q50))</f>
        <v/>
      </c>
      <c r="P50">
        <f>IF($Q50="","",INDEX(인턴계획표[입력오류],$Q50))</f>
        <v/>
      </c>
      <c r="Q50" s="17">
        <f>IFERROR(MATCH(45,인턴계획표[표시순번],0),"")</f>
        <v/>
      </c>
    </row>
    <row r="51">
      <c r="A51">
        <f>IF($Q51="","",INDEX(인턴계획표[순번],$Q51)&amp;"")</f>
        <v/>
      </c>
      <c r="B51">
        <f>IF($Q51="","",TRIM(INDEX(인턴계획표[이름],$Q51)&amp;""))</f>
        <v/>
      </c>
      <c r="C51">
        <f>IF($Q51="","",INDEX(인턴계획표[사번],$Q51)&amp;"")</f>
        <v/>
      </c>
      <c r="D51">
        <f>IF($Q51="","",IF(COUNTIF(기본자료표[사번키],INDEX(인턴계획표[사번키],$Q51))&gt;0,"확인","미등록"))</f>
        <v/>
      </c>
      <c r="E51">
        <f>IF($Q51="","",IF(ISNUMBER(INDEX(인턴계획표[입사일(비고)],$Q51)),TEXT(INDEX(인턴계획표[입사일(비고)],$Q51),"yyyy-mm-dd"),INDEX(인턴계획표[입사일(비고)],$Q51)&amp;""))</f>
        <v/>
      </c>
      <c r="F51">
        <f>IF($Q51="","",IF(IF($G$3="","",INDEX(인턴계획표[[정규화1]:[정규화6]],$Q51,$G$3)&amp;"")="","",IF(LEFT(IF($G$3="","",INDEX(인턴계획표[[정규화1]:[정규화6]],$Q51,$G$3)&amp;""),1)="⚠",IF($G$3="","",INDEX(인턴계획표[[정규화1]:[정규화6]],$Q51,$G$3)&amp;""),IFERROR(LEFT(IF($G$3="","",INDEX(인턴계획표[[정규화1]:[정규화6]],$Q51,$G$3)&amp;""),FIND(" ",IF($G$3="","",INDEX(인턴계획표[[정규화1]:[정규화6]],$Q51,$G$3)&amp;""))-1),IF($G$3="","",INDEX(인턴계획표[[정규화1]:[정규화6]],$Q51,$G$3)&amp;"")))))</f>
        <v/>
      </c>
      <c r="G51">
        <f>IF($Q51="","",IF(IF($G$3="","",INDEX(인턴계획표[[정규화1]:[정규화6]],$Q51,$G$3)&amp;"")="","",IF(LEFT(IF($G$3="","",INDEX(인턴계획표[[정규화1]:[정규화6]],$Q51,$G$3)&amp;""),1)="⚠","",IFERROR(MID(IF($G$3="","",INDEX(인턴계획표[[정규화1]:[정규화6]],$Q51,$G$3)&amp;""),FIND(" ",IF($G$3="","",INDEX(인턴계획표[[정규화1]:[정규화6]],$Q51,$G$3)&amp;""))+1,60),""))))</f>
        <v/>
      </c>
      <c r="H51">
        <f>IF($Q51="","",IF(IF($I$3="","",INDEX(인턴계획표[[정규화1]:[정규화6]],$Q51,$I$3)&amp;"")="","",IF(LEFT(IF($I$3="","",INDEX(인턴계획표[[정규화1]:[정규화6]],$Q51,$I$3)&amp;""),1)="⚠",IF($I$3="","",INDEX(인턴계획표[[정규화1]:[정규화6]],$Q51,$I$3)&amp;""),IFERROR(LEFT(IF($I$3="","",INDEX(인턴계획표[[정규화1]:[정규화6]],$Q51,$I$3)&amp;""),FIND(" ",IF($I$3="","",INDEX(인턴계획표[[정규화1]:[정규화6]],$Q51,$I$3)&amp;""))-1),IF($I$3="","",INDEX(인턴계획표[[정규화1]:[정규화6]],$Q51,$I$3)&amp;"")))))</f>
        <v/>
      </c>
      <c r="I51">
        <f>IF($Q51="","",IF(IF($I$3="","",INDEX(인턴계획표[[정규화1]:[정규화6]],$Q51,$I$3)&amp;"")="","",IF(LEFT(IF($I$3="","",INDEX(인턴계획표[[정규화1]:[정규화6]],$Q51,$I$3)&amp;""),1)="⚠","",IFERROR(MID(IF($I$3="","",INDEX(인턴계획표[[정규화1]:[정규화6]],$Q51,$I$3)&amp;""),FIND(" ",IF($I$3="","",INDEX(인턴계획표[[정규화1]:[정규화6]],$Q51,$I$3)&amp;""))+1,60),""))))</f>
        <v/>
      </c>
      <c r="J51">
        <f>IF($Q51="","",INDEX(인턴계획표[정규화1],$Q51))</f>
        <v/>
      </c>
      <c r="K51">
        <f>IF($Q51="","",INDEX(인턴계획표[정규화2],$Q51))</f>
        <v/>
      </c>
      <c r="L51">
        <f>IF($Q51="","",INDEX(인턴계획표[정규화3],$Q51))</f>
        <v/>
      </c>
      <c r="M51">
        <f>IF($Q51="","",INDEX(인턴계획표[정규화4],$Q51))</f>
        <v/>
      </c>
      <c r="N51">
        <f>IF($Q51="","",INDEX(인턴계획표[정규화5],$Q51))</f>
        <v/>
      </c>
      <c r="O51">
        <f>IF($Q51="","",INDEX(인턴계획표[정규화6],$Q51))</f>
        <v/>
      </c>
      <c r="P51">
        <f>IF($Q51="","",INDEX(인턴계획표[입력오류],$Q51))</f>
        <v/>
      </c>
      <c r="Q51" s="17">
        <f>IFERROR(MATCH(46,인턴계획표[표시순번],0),"")</f>
        <v/>
      </c>
    </row>
    <row r="52">
      <c r="A52">
        <f>IF($Q52="","",INDEX(인턴계획표[순번],$Q52)&amp;"")</f>
        <v/>
      </c>
      <c r="B52">
        <f>IF($Q52="","",TRIM(INDEX(인턴계획표[이름],$Q52)&amp;""))</f>
        <v/>
      </c>
      <c r="C52">
        <f>IF($Q52="","",INDEX(인턴계획표[사번],$Q52)&amp;"")</f>
        <v/>
      </c>
      <c r="D52">
        <f>IF($Q52="","",IF(COUNTIF(기본자료표[사번키],INDEX(인턴계획표[사번키],$Q52))&gt;0,"확인","미등록"))</f>
        <v/>
      </c>
      <c r="E52">
        <f>IF($Q52="","",IF(ISNUMBER(INDEX(인턴계획표[입사일(비고)],$Q52)),TEXT(INDEX(인턴계획표[입사일(비고)],$Q52),"yyyy-mm-dd"),INDEX(인턴계획표[입사일(비고)],$Q52)&amp;""))</f>
        <v/>
      </c>
      <c r="F52">
        <f>IF($Q52="","",IF(IF($G$3="","",INDEX(인턴계획표[[정규화1]:[정규화6]],$Q52,$G$3)&amp;"")="","",IF(LEFT(IF($G$3="","",INDEX(인턴계획표[[정규화1]:[정규화6]],$Q52,$G$3)&amp;""),1)="⚠",IF($G$3="","",INDEX(인턴계획표[[정규화1]:[정규화6]],$Q52,$G$3)&amp;""),IFERROR(LEFT(IF($G$3="","",INDEX(인턴계획표[[정규화1]:[정규화6]],$Q52,$G$3)&amp;""),FIND(" ",IF($G$3="","",INDEX(인턴계획표[[정규화1]:[정규화6]],$Q52,$G$3)&amp;""))-1),IF($G$3="","",INDEX(인턴계획표[[정규화1]:[정규화6]],$Q52,$G$3)&amp;"")))))</f>
        <v/>
      </c>
      <c r="G52">
        <f>IF($Q52="","",IF(IF($G$3="","",INDEX(인턴계획표[[정규화1]:[정규화6]],$Q52,$G$3)&amp;"")="","",IF(LEFT(IF($G$3="","",INDEX(인턴계획표[[정규화1]:[정규화6]],$Q52,$G$3)&amp;""),1)="⚠","",IFERROR(MID(IF($G$3="","",INDEX(인턴계획표[[정규화1]:[정규화6]],$Q52,$G$3)&amp;""),FIND(" ",IF($G$3="","",INDEX(인턴계획표[[정규화1]:[정규화6]],$Q52,$G$3)&amp;""))+1,60),""))))</f>
        <v/>
      </c>
      <c r="H52">
        <f>IF($Q52="","",IF(IF($I$3="","",INDEX(인턴계획표[[정규화1]:[정규화6]],$Q52,$I$3)&amp;"")="","",IF(LEFT(IF($I$3="","",INDEX(인턴계획표[[정규화1]:[정규화6]],$Q52,$I$3)&amp;""),1)="⚠",IF($I$3="","",INDEX(인턴계획표[[정규화1]:[정규화6]],$Q52,$I$3)&amp;""),IFERROR(LEFT(IF($I$3="","",INDEX(인턴계획표[[정규화1]:[정규화6]],$Q52,$I$3)&amp;""),FIND(" ",IF($I$3="","",INDEX(인턴계획표[[정규화1]:[정규화6]],$Q52,$I$3)&amp;""))-1),IF($I$3="","",INDEX(인턴계획표[[정규화1]:[정규화6]],$Q52,$I$3)&amp;"")))))</f>
        <v/>
      </c>
      <c r="I52">
        <f>IF($Q52="","",IF(IF($I$3="","",INDEX(인턴계획표[[정규화1]:[정규화6]],$Q52,$I$3)&amp;"")="","",IF(LEFT(IF($I$3="","",INDEX(인턴계획표[[정규화1]:[정규화6]],$Q52,$I$3)&amp;""),1)="⚠","",IFERROR(MID(IF($I$3="","",INDEX(인턴계획표[[정규화1]:[정규화6]],$Q52,$I$3)&amp;""),FIND(" ",IF($I$3="","",INDEX(인턴계획표[[정규화1]:[정규화6]],$Q52,$I$3)&amp;""))+1,60),""))))</f>
        <v/>
      </c>
      <c r="J52">
        <f>IF($Q52="","",INDEX(인턴계획표[정규화1],$Q52))</f>
        <v/>
      </c>
      <c r="K52">
        <f>IF($Q52="","",INDEX(인턴계획표[정규화2],$Q52))</f>
        <v/>
      </c>
      <c r="L52">
        <f>IF($Q52="","",INDEX(인턴계획표[정규화3],$Q52))</f>
        <v/>
      </c>
      <c r="M52">
        <f>IF($Q52="","",INDEX(인턴계획표[정규화4],$Q52))</f>
        <v/>
      </c>
      <c r="N52">
        <f>IF($Q52="","",INDEX(인턴계획표[정규화5],$Q52))</f>
        <v/>
      </c>
      <c r="O52">
        <f>IF($Q52="","",INDEX(인턴계획표[정규화6],$Q52))</f>
        <v/>
      </c>
      <c r="P52">
        <f>IF($Q52="","",INDEX(인턴계획표[입력오류],$Q52))</f>
        <v/>
      </c>
      <c r="Q52" s="17">
        <f>IFERROR(MATCH(47,인턴계획표[표시순번],0),"")</f>
        <v/>
      </c>
    </row>
    <row r="53">
      <c r="A53">
        <f>IF($Q53="","",INDEX(인턴계획표[순번],$Q53)&amp;"")</f>
        <v/>
      </c>
      <c r="B53">
        <f>IF($Q53="","",TRIM(INDEX(인턴계획표[이름],$Q53)&amp;""))</f>
        <v/>
      </c>
      <c r="C53">
        <f>IF($Q53="","",INDEX(인턴계획표[사번],$Q53)&amp;"")</f>
        <v/>
      </c>
      <c r="D53">
        <f>IF($Q53="","",IF(COUNTIF(기본자료표[사번키],INDEX(인턴계획표[사번키],$Q53))&gt;0,"확인","미등록"))</f>
        <v/>
      </c>
      <c r="E53">
        <f>IF($Q53="","",IF(ISNUMBER(INDEX(인턴계획표[입사일(비고)],$Q53)),TEXT(INDEX(인턴계획표[입사일(비고)],$Q53),"yyyy-mm-dd"),INDEX(인턴계획표[입사일(비고)],$Q53)&amp;""))</f>
        <v/>
      </c>
      <c r="F53">
        <f>IF($Q53="","",IF(IF($G$3="","",INDEX(인턴계획표[[정규화1]:[정규화6]],$Q53,$G$3)&amp;"")="","",IF(LEFT(IF($G$3="","",INDEX(인턴계획표[[정규화1]:[정규화6]],$Q53,$G$3)&amp;""),1)="⚠",IF($G$3="","",INDEX(인턴계획표[[정규화1]:[정규화6]],$Q53,$G$3)&amp;""),IFERROR(LEFT(IF($G$3="","",INDEX(인턴계획표[[정규화1]:[정규화6]],$Q53,$G$3)&amp;""),FIND(" ",IF($G$3="","",INDEX(인턴계획표[[정규화1]:[정규화6]],$Q53,$G$3)&amp;""))-1),IF($G$3="","",INDEX(인턴계획표[[정규화1]:[정규화6]],$Q53,$G$3)&amp;"")))))</f>
        <v/>
      </c>
      <c r="G53">
        <f>IF($Q53="","",IF(IF($G$3="","",INDEX(인턴계획표[[정규화1]:[정규화6]],$Q53,$G$3)&amp;"")="","",IF(LEFT(IF($G$3="","",INDEX(인턴계획표[[정규화1]:[정규화6]],$Q53,$G$3)&amp;""),1)="⚠","",IFERROR(MID(IF($G$3="","",INDEX(인턴계획표[[정규화1]:[정규화6]],$Q53,$G$3)&amp;""),FIND(" ",IF($G$3="","",INDEX(인턴계획표[[정규화1]:[정규화6]],$Q53,$G$3)&amp;""))+1,60),""))))</f>
        <v/>
      </c>
      <c r="H53">
        <f>IF($Q53="","",IF(IF($I$3="","",INDEX(인턴계획표[[정규화1]:[정규화6]],$Q53,$I$3)&amp;"")="","",IF(LEFT(IF($I$3="","",INDEX(인턴계획표[[정규화1]:[정규화6]],$Q53,$I$3)&amp;""),1)="⚠",IF($I$3="","",INDEX(인턴계획표[[정규화1]:[정규화6]],$Q53,$I$3)&amp;""),IFERROR(LEFT(IF($I$3="","",INDEX(인턴계획표[[정규화1]:[정규화6]],$Q53,$I$3)&amp;""),FIND(" ",IF($I$3="","",INDEX(인턴계획표[[정규화1]:[정규화6]],$Q53,$I$3)&amp;""))-1),IF($I$3="","",INDEX(인턴계획표[[정규화1]:[정규화6]],$Q53,$I$3)&amp;"")))))</f>
        <v/>
      </c>
      <c r="I53">
        <f>IF($Q53="","",IF(IF($I$3="","",INDEX(인턴계획표[[정규화1]:[정규화6]],$Q53,$I$3)&amp;"")="","",IF(LEFT(IF($I$3="","",INDEX(인턴계획표[[정규화1]:[정규화6]],$Q53,$I$3)&amp;""),1)="⚠","",IFERROR(MID(IF($I$3="","",INDEX(인턴계획표[[정규화1]:[정규화6]],$Q53,$I$3)&amp;""),FIND(" ",IF($I$3="","",INDEX(인턴계획표[[정규화1]:[정규화6]],$Q53,$I$3)&amp;""))+1,60),""))))</f>
        <v/>
      </c>
      <c r="J53">
        <f>IF($Q53="","",INDEX(인턴계획표[정규화1],$Q53))</f>
        <v/>
      </c>
      <c r="K53">
        <f>IF($Q53="","",INDEX(인턴계획표[정규화2],$Q53))</f>
        <v/>
      </c>
      <c r="L53">
        <f>IF($Q53="","",INDEX(인턴계획표[정규화3],$Q53))</f>
        <v/>
      </c>
      <c r="M53">
        <f>IF($Q53="","",INDEX(인턴계획표[정규화4],$Q53))</f>
        <v/>
      </c>
      <c r="N53">
        <f>IF($Q53="","",INDEX(인턴계획표[정규화5],$Q53))</f>
        <v/>
      </c>
      <c r="O53">
        <f>IF($Q53="","",INDEX(인턴계획표[정규화6],$Q53))</f>
        <v/>
      </c>
      <c r="P53">
        <f>IF($Q53="","",INDEX(인턴계획표[입력오류],$Q53))</f>
        <v/>
      </c>
      <c r="Q53" s="17">
        <f>IFERROR(MATCH(48,인턴계획표[표시순번],0),"")</f>
        <v/>
      </c>
    </row>
    <row r="54">
      <c r="A54">
        <f>IF($Q54="","",INDEX(인턴계획표[순번],$Q54)&amp;"")</f>
        <v/>
      </c>
      <c r="B54">
        <f>IF($Q54="","",TRIM(INDEX(인턴계획표[이름],$Q54)&amp;""))</f>
        <v/>
      </c>
      <c r="C54">
        <f>IF($Q54="","",INDEX(인턴계획표[사번],$Q54)&amp;"")</f>
        <v/>
      </c>
      <c r="D54">
        <f>IF($Q54="","",IF(COUNTIF(기본자료표[사번키],INDEX(인턴계획표[사번키],$Q54))&gt;0,"확인","미등록"))</f>
        <v/>
      </c>
      <c r="E54">
        <f>IF($Q54="","",IF(ISNUMBER(INDEX(인턴계획표[입사일(비고)],$Q54)),TEXT(INDEX(인턴계획표[입사일(비고)],$Q54),"yyyy-mm-dd"),INDEX(인턴계획표[입사일(비고)],$Q54)&amp;""))</f>
        <v/>
      </c>
      <c r="F54">
        <f>IF($Q54="","",IF(IF($G$3="","",INDEX(인턴계획표[[정규화1]:[정규화6]],$Q54,$G$3)&amp;"")="","",IF(LEFT(IF($G$3="","",INDEX(인턴계획표[[정규화1]:[정규화6]],$Q54,$G$3)&amp;""),1)="⚠",IF($G$3="","",INDEX(인턴계획표[[정규화1]:[정규화6]],$Q54,$G$3)&amp;""),IFERROR(LEFT(IF($G$3="","",INDEX(인턴계획표[[정규화1]:[정규화6]],$Q54,$G$3)&amp;""),FIND(" ",IF($G$3="","",INDEX(인턴계획표[[정규화1]:[정규화6]],$Q54,$G$3)&amp;""))-1),IF($G$3="","",INDEX(인턴계획표[[정규화1]:[정규화6]],$Q54,$G$3)&amp;"")))))</f>
        <v/>
      </c>
      <c r="G54">
        <f>IF($Q54="","",IF(IF($G$3="","",INDEX(인턴계획표[[정규화1]:[정규화6]],$Q54,$G$3)&amp;"")="","",IF(LEFT(IF($G$3="","",INDEX(인턴계획표[[정규화1]:[정규화6]],$Q54,$G$3)&amp;""),1)="⚠","",IFERROR(MID(IF($G$3="","",INDEX(인턴계획표[[정규화1]:[정규화6]],$Q54,$G$3)&amp;""),FIND(" ",IF($G$3="","",INDEX(인턴계획표[[정규화1]:[정규화6]],$Q54,$G$3)&amp;""))+1,60),""))))</f>
        <v/>
      </c>
      <c r="H54">
        <f>IF($Q54="","",IF(IF($I$3="","",INDEX(인턴계획표[[정규화1]:[정규화6]],$Q54,$I$3)&amp;"")="","",IF(LEFT(IF($I$3="","",INDEX(인턴계획표[[정규화1]:[정규화6]],$Q54,$I$3)&amp;""),1)="⚠",IF($I$3="","",INDEX(인턴계획표[[정규화1]:[정규화6]],$Q54,$I$3)&amp;""),IFERROR(LEFT(IF($I$3="","",INDEX(인턴계획표[[정규화1]:[정규화6]],$Q54,$I$3)&amp;""),FIND(" ",IF($I$3="","",INDEX(인턴계획표[[정규화1]:[정규화6]],$Q54,$I$3)&amp;""))-1),IF($I$3="","",INDEX(인턴계획표[[정규화1]:[정규화6]],$Q54,$I$3)&amp;"")))))</f>
        <v/>
      </c>
      <c r="I54">
        <f>IF($Q54="","",IF(IF($I$3="","",INDEX(인턴계획표[[정규화1]:[정규화6]],$Q54,$I$3)&amp;"")="","",IF(LEFT(IF($I$3="","",INDEX(인턴계획표[[정규화1]:[정규화6]],$Q54,$I$3)&amp;""),1)="⚠","",IFERROR(MID(IF($I$3="","",INDEX(인턴계획표[[정규화1]:[정규화6]],$Q54,$I$3)&amp;""),FIND(" ",IF($I$3="","",INDEX(인턴계획표[[정규화1]:[정규화6]],$Q54,$I$3)&amp;""))+1,60),""))))</f>
        <v/>
      </c>
      <c r="J54">
        <f>IF($Q54="","",INDEX(인턴계획표[정규화1],$Q54))</f>
        <v/>
      </c>
      <c r="K54">
        <f>IF($Q54="","",INDEX(인턴계획표[정규화2],$Q54))</f>
        <v/>
      </c>
      <c r="L54">
        <f>IF($Q54="","",INDEX(인턴계획표[정규화3],$Q54))</f>
        <v/>
      </c>
      <c r="M54">
        <f>IF($Q54="","",INDEX(인턴계획표[정규화4],$Q54))</f>
        <v/>
      </c>
      <c r="N54">
        <f>IF($Q54="","",INDEX(인턴계획표[정규화5],$Q54))</f>
        <v/>
      </c>
      <c r="O54">
        <f>IF($Q54="","",INDEX(인턴계획표[정규화6],$Q54))</f>
        <v/>
      </c>
      <c r="P54">
        <f>IF($Q54="","",INDEX(인턴계획표[입력오류],$Q54))</f>
        <v/>
      </c>
      <c r="Q54" s="17">
        <f>IFERROR(MATCH(49,인턴계획표[표시순번],0),"")</f>
        <v/>
      </c>
    </row>
    <row r="55">
      <c r="A55">
        <f>IF($Q55="","",INDEX(인턴계획표[순번],$Q55)&amp;"")</f>
        <v/>
      </c>
      <c r="B55">
        <f>IF($Q55="","",TRIM(INDEX(인턴계획표[이름],$Q55)&amp;""))</f>
        <v/>
      </c>
      <c r="C55">
        <f>IF($Q55="","",INDEX(인턴계획표[사번],$Q55)&amp;"")</f>
        <v/>
      </c>
      <c r="D55">
        <f>IF($Q55="","",IF(COUNTIF(기본자료표[사번키],INDEX(인턴계획표[사번키],$Q55))&gt;0,"확인","미등록"))</f>
        <v/>
      </c>
      <c r="E55">
        <f>IF($Q55="","",IF(ISNUMBER(INDEX(인턴계획표[입사일(비고)],$Q55)),TEXT(INDEX(인턴계획표[입사일(비고)],$Q55),"yyyy-mm-dd"),INDEX(인턴계획표[입사일(비고)],$Q55)&amp;""))</f>
        <v/>
      </c>
      <c r="F55">
        <f>IF($Q55="","",IF(IF($G$3="","",INDEX(인턴계획표[[정규화1]:[정규화6]],$Q55,$G$3)&amp;"")="","",IF(LEFT(IF($G$3="","",INDEX(인턴계획표[[정규화1]:[정규화6]],$Q55,$G$3)&amp;""),1)="⚠",IF($G$3="","",INDEX(인턴계획표[[정규화1]:[정규화6]],$Q55,$G$3)&amp;""),IFERROR(LEFT(IF($G$3="","",INDEX(인턴계획표[[정규화1]:[정규화6]],$Q55,$G$3)&amp;""),FIND(" ",IF($G$3="","",INDEX(인턴계획표[[정규화1]:[정규화6]],$Q55,$G$3)&amp;""))-1),IF($G$3="","",INDEX(인턴계획표[[정규화1]:[정규화6]],$Q55,$G$3)&amp;"")))))</f>
        <v/>
      </c>
      <c r="G55">
        <f>IF($Q55="","",IF(IF($G$3="","",INDEX(인턴계획표[[정규화1]:[정규화6]],$Q55,$G$3)&amp;"")="","",IF(LEFT(IF($G$3="","",INDEX(인턴계획표[[정규화1]:[정규화6]],$Q55,$G$3)&amp;""),1)="⚠","",IFERROR(MID(IF($G$3="","",INDEX(인턴계획표[[정규화1]:[정규화6]],$Q55,$G$3)&amp;""),FIND(" ",IF($G$3="","",INDEX(인턴계획표[[정규화1]:[정규화6]],$Q55,$G$3)&amp;""))+1,60),""))))</f>
        <v/>
      </c>
      <c r="H55">
        <f>IF($Q55="","",IF(IF($I$3="","",INDEX(인턴계획표[[정규화1]:[정규화6]],$Q55,$I$3)&amp;"")="","",IF(LEFT(IF($I$3="","",INDEX(인턴계획표[[정규화1]:[정규화6]],$Q55,$I$3)&amp;""),1)="⚠",IF($I$3="","",INDEX(인턴계획표[[정규화1]:[정규화6]],$Q55,$I$3)&amp;""),IFERROR(LEFT(IF($I$3="","",INDEX(인턴계획표[[정규화1]:[정규화6]],$Q55,$I$3)&amp;""),FIND(" ",IF($I$3="","",INDEX(인턴계획표[[정규화1]:[정규화6]],$Q55,$I$3)&amp;""))-1),IF($I$3="","",INDEX(인턴계획표[[정규화1]:[정규화6]],$Q55,$I$3)&amp;"")))))</f>
        <v/>
      </c>
      <c r="I55">
        <f>IF($Q55="","",IF(IF($I$3="","",INDEX(인턴계획표[[정규화1]:[정규화6]],$Q55,$I$3)&amp;"")="","",IF(LEFT(IF($I$3="","",INDEX(인턴계획표[[정규화1]:[정규화6]],$Q55,$I$3)&amp;""),1)="⚠","",IFERROR(MID(IF($I$3="","",INDEX(인턴계획표[[정규화1]:[정규화6]],$Q55,$I$3)&amp;""),FIND(" ",IF($I$3="","",INDEX(인턴계획표[[정규화1]:[정규화6]],$Q55,$I$3)&amp;""))+1,60),""))))</f>
        <v/>
      </c>
      <c r="J55">
        <f>IF($Q55="","",INDEX(인턴계획표[정규화1],$Q55))</f>
        <v/>
      </c>
      <c r="K55">
        <f>IF($Q55="","",INDEX(인턴계획표[정규화2],$Q55))</f>
        <v/>
      </c>
      <c r="L55">
        <f>IF($Q55="","",INDEX(인턴계획표[정규화3],$Q55))</f>
        <v/>
      </c>
      <c r="M55">
        <f>IF($Q55="","",INDEX(인턴계획표[정규화4],$Q55))</f>
        <v/>
      </c>
      <c r="N55">
        <f>IF($Q55="","",INDEX(인턴계획표[정규화5],$Q55))</f>
        <v/>
      </c>
      <c r="O55">
        <f>IF($Q55="","",INDEX(인턴계획표[정규화6],$Q55))</f>
        <v/>
      </c>
      <c r="P55">
        <f>IF($Q55="","",INDEX(인턴계획표[입력오류],$Q55))</f>
        <v/>
      </c>
      <c r="Q55" s="17">
        <f>IFERROR(MATCH(50,인턴계획표[표시순번],0),"")</f>
        <v/>
      </c>
    </row>
    <row r="56">
      <c r="A56">
        <f>IF($Q56="","",INDEX(인턴계획표[순번],$Q56)&amp;"")</f>
        <v/>
      </c>
      <c r="B56">
        <f>IF($Q56="","",TRIM(INDEX(인턴계획표[이름],$Q56)&amp;""))</f>
        <v/>
      </c>
      <c r="C56">
        <f>IF($Q56="","",INDEX(인턴계획표[사번],$Q56)&amp;"")</f>
        <v/>
      </c>
      <c r="D56">
        <f>IF($Q56="","",IF(COUNTIF(기본자료표[사번키],INDEX(인턴계획표[사번키],$Q56))&gt;0,"확인","미등록"))</f>
        <v/>
      </c>
      <c r="E56">
        <f>IF($Q56="","",IF(ISNUMBER(INDEX(인턴계획표[입사일(비고)],$Q56)),TEXT(INDEX(인턴계획표[입사일(비고)],$Q56),"yyyy-mm-dd"),INDEX(인턴계획표[입사일(비고)],$Q56)&amp;""))</f>
        <v/>
      </c>
      <c r="F56">
        <f>IF($Q56="","",IF(IF($G$3="","",INDEX(인턴계획표[[정규화1]:[정규화6]],$Q56,$G$3)&amp;"")="","",IF(LEFT(IF($G$3="","",INDEX(인턴계획표[[정규화1]:[정규화6]],$Q56,$G$3)&amp;""),1)="⚠",IF($G$3="","",INDEX(인턴계획표[[정규화1]:[정규화6]],$Q56,$G$3)&amp;""),IFERROR(LEFT(IF($G$3="","",INDEX(인턴계획표[[정규화1]:[정규화6]],$Q56,$G$3)&amp;""),FIND(" ",IF($G$3="","",INDEX(인턴계획표[[정규화1]:[정규화6]],$Q56,$G$3)&amp;""))-1),IF($G$3="","",INDEX(인턴계획표[[정규화1]:[정규화6]],$Q56,$G$3)&amp;"")))))</f>
        <v/>
      </c>
      <c r="G56">
        <f>IF($Q56="","",IF(IF($G$3="","",INDEX(인턴계획표[[정규화1]:[정규화6]],$Q56,$G$3)&amp;"")="","",IF(LEFT(IF($G$3="","",INDEX(인턴계획표[[정규화1]:[정규화6]],$Q56,$G$3)&amp;""),1)="⚠","",IFERROR(MID(IF($G$3="","",INDEX(인턴계획표[[정규화1]:[정규화6]],$Q56,$G$3)&amp;""),FIND(" ",IF($G$3="","",INDEX(인턴계획표[[정규화1]:[정규화6]],$Q56,$G$3)&amp;""))+1,60),""))))</f>
        <v/>
      </c>
      <c r="H56">
        <f>IF($Q56="","",IF(IF($I$3="","",INDEX(인턴계획표[[정규화1]:[정규화6]],$Q56,$I$3)&amp;"")="","",IF(LEFT(IF($I$3="","",INDEX(인턴계획표[[정규화1]:[정규화6]],$Q56,$I$3)&amp;""),1)="⚠",IF($I$3="","",INDEX(인턴계획표[[정규화1]:[정규화6]],$Q56,$I$3)&amp;""),IFERROR(LEFT(IF($I$3="","",INDEX(인턴계획표[[정규화1]:[정규화6]],$Q56,$I$3)&amp;""),FIND(" ",IF($I$3="","",INDEX(인턴계획표[[정규화1]:[정규화6]],$Q56,$I$3)&amp;""))-1),IF($I$3="","",INDEX(인턴계획표[[정규화1]:[정규화6]],$Q56,$I$3)&amp;"")))))</f>
        <v/>
      </c>
      <c r="I56">
        <f>IF($Q56="","",IF(IF($I$3="","",INDEX(인턴계획표[[정규화1]:[정규화6]],$Q56,$I$3)&amp;"")="","",IF(LEFT(IF($I$3="","",INDEX(인턴계획표[[정규화1]:[정규화6]],$Q56,$I$3)&amp;""),1)="⚠","",IFERROR(MID(IF($I$3="","",INDEX(인턴계획표[[정규화1]:[정규화6]],$Q56,$I$3)&amp;""),FIND(" ",IF($I$3="","",INDEX(인턴계획표[[정규화1]:[정규화6]],$Q56,$I$3)&amp;""))+1,60),""))))</f>
        <v/>
      </c>
      <c r="J56">
        <f>IF($Q56="","",INDEX(인턴계획표[정규화1],$Q56))</f>
        <v/>
      </c>
      <c r="K56">
        <f>IF($Q56="","",INDEX(인턴계획표[정규화2],$Q56))</f>
        <v/>
      </c>
      <c r="L56">
        <f>IF($Q56="","",INDEX(인턴계획표[정규화3],$Q56))</f>
        <v/>
      </c>
      <c r="M56">
        <f>IF($Q56="","",INDEX(인턴계획표[정규화4],$Q56))</f>
        <v/>
      </c>
      <c r="N56">
        <f>IF($Q56="","",INDEX(인턴계획표[정규화5],$Q56))</f>
        <v/>
      </c>
      <c r="O56">
        <f>IF($Q56="","",INDEX(인턴계획표[정규화6],$Q56))</f>
        <v/>
      </c>
      <c r="P56">
        <f>IF($Q56="","",INDEX(인턴계획표[입력오류],$Q56))</f>
        <v/>
      </c>
      <c r="Q56" s="17">
        <f>IFERROR(MATCH(51,인턴계획표[표시순번],0),"")</f>
        <v/>
      </c>
    </row>
    <row r="57">
      <c r="A57">
        <f>IF($Q57="","",INDEX(인턴계획표[순번],$Q57)&amp;"")</f>
        <v/>
      </c>
      <c r="B57">
        <f>IF($Q57="","",TRIM(INDEX(인턴계획표[이름],$Q57)&amp;""))</f>
        <v/>
      </c>
      <c r="C57">
        <f>IF($Q57="","",INDEX(인턴계획표[사번],$Q57)&amp;"")</f>
        <v/>
      </c>
      <c r="D57">
        <f>IF($Q57="","",IF(COUNTIF(기본자료표[사번키],INDEX(인턴계획표[사번키],$Q57))&gt;0,"확인","미등록"))</f>
        <v/>
      </c>
      <c r="E57">
        <f>IF($Q57="","",IF(ISNUMBER(INDEX(인턴계획표[입사일(비고)],$Q57)),TEXT(INDEX(인턴계획표[입사일(비고)],$Q57),"yyyy-mm-dd"),INDEX(인턴계획표[입사일(비고)],$Q57)&amp;""))</f>
        <v/>
      </c>
      <c r="F57">
        <f>IF($Q57="","",IF(IF($G$3="","",INDEX(인턴계획표[[정규화1]:[정규화6]],$Q57,$G$3)&amp;"")="","",IF(LEFT(IF($G$3="","",INDEX(인턴계획표[[정규화1]:[정규화6]],$Q57,$G$3)&amp;""),1)="⚠",IF($G$3="","",INDEX(인턴계획표[[정규화1]:[정규화6]],$Q57,$G$3)&amp;""),IFERROR(LEFT(IF($G$3="","",INDEX(인턴계획표[[정규화1]:[정규화6]],$Q57,$G$3)&amp;""),FIND(" ",IF($G$3="","",INDEX(인턴계획표[[정규화1]:[정규화6]],$Q57,$G$3)&amp;""))-1),IF($G$3="","",INDEX(인턴계획표[[정규화1]:[정규화6]],$Q57,$G$3)&amp;"")))))</f>
        <v/>
      </c>
      <c r="G57">
        <f>IF($Q57="","",IF(IF($G$3="","",INDEX(인턴계획표[[정규화1]:[정규화6]],$Q57,$G$3)&amp;"")="","",IF(LEFT(IF($G$3="","",INDEX(인턴계획표[[정규화1]:[정규화6]],$Q57,$G$3)&amp;""),1)="⚠","",IFERROR(MID(IF($G$3="","",INDEX(인턴계획표[[정규화1]:[정규화6]],$Q57,$G$3)&amp;""),FIND(" ",IF($G$3="","",INDEX(인턴계획표[[정규화1]:[정규화6]],$Q57,$G$3)&amp;""))+1,60),""))))</f>
        <v/>
      </c>
      <c r="H57">
        <f>IF($Q57="","",IF(IF($I$3="","",INDEX(인턴계획표[[정규화1]:[정규화6]],$Q57,$I$3)&amp;"")="","",IF(LEFT(IF($I$3="","",INDEX(인턴계획표[[정규화1]:[정규화6]],$Q57,$I$3)&amp;""),1)="⚠",IF($I$3="","",INDEX(인턴계획표[[정규화1]:[정규화6]],$Q57,$I$3)&amp;""),IFERROR(LEFT(IF($I$3="","",INDEX(인턴계획표[[정규화1]:[정규화6]],$Q57,$I$3)&amp;""),FIND(" ",IF($I$3="","",INDEX(인턴계획표[[정규화1]:[정규화6]],$Q57,$I$3)&amp;""))-1),IF($I$3="","",INDEX(인턴계획표[[정규화1]:[정규화6]],$Q57,$I$3)&amp;"")))))</f>
        <v/>
      </c>
      <c r="I57">
        <f>IF($Q57="","",IF(IF($I$3="","",INDEX(인턴계획표[[정규화1]:[정규화6]],$Q57,$I$3)&amp;"")="","",IF(LEFT(IF($I$3="","",INDEX(인턴계획표[[정규화1]:[정규화6]],$Q57,$I$3)&amp;""),1)="⚠","",IFERROR(MID(IF($I$3="","",INDEX(인턴계획표[[정규화1]:[정규화6]],$Q57,$I$3)&amp;""),FIND(" ",IF($I$3="","",INDEX(인턴계획표[[정규화1]:[정규화6]],$Q57,$I$3)&amp;""))+1,60),""))))</f>
        <v/>
      </c>
      <c r="J57">
        <f>IF($Q57="","",INDEX(인턴계획표[정규화1],$Q57))</f>
        <v/>
      </c>
      <c r="K57">
        <f>IF($Q57="","",INDEX(인턴계획표[정규화2],$Q57))</f>
        <v/>
      </c>
      <c r="L57">
        <f>IF($Q57="","",INDEX(인턴계획표[정규화3],$Q57))</f>
        <v/>
      </c>
      <c r="M57">
        <f>IF($Q57="","",INDEX(인턴계획표[정규화4],$Q57))</f>
        <v/>
      </c>
      <c r="N57">
        <f>IF($Q57="","",INDEX(인턴계획표[정규화5],$Q57))</f>
        <v/>
      </c>
      <c r="O57">
        <f>IF($Q57="","",INDEX(인턴계획표[정규화6],$Q57))</f>
        <v/>
      </c>
      <c r="P57">
        <f>IF($Q57="","",INDEX(인턴계획표[입력오류],$Q57))</f>
        <v/>
      </c>
      <c r="Q57" s="17">
        <f>IFERROR(MATCH(52,인턴계획표[표시순번],0),"")</f>
        <v/>
      </c>
    </row>
    <row r="58">
      <c r="A58">
        <f>IF($Q58="","",INDEX(인턴계획표[순번],$Q58)&amp;"")</f>
        <v/>
      </c>
      <c r="B58">
        <f>IF($Q58="","",TRIM(INDEX(인턴계획표[이름],$Q58)&amp;""))</f>
        <v/>
      </c>
      <c r="C58">
        <f>IF($Q58="","",INDEX(인턴계획표[사번],$Q58)&amp;"")</f>
        <v/>
      </c>
      <c r="D58">
        <f>IF($Q58="","",IF(COUNTIF(기본자료표[사번키],INDEX(인턴계획표[사번키],$Q58))&gt;0,"확인","미등록"))</f>
        <v/>
      </c>
      <c r="E58">
        <f>IF($Q58="","",IF(ISNUMBER(INDEX(인턴계획표[입사일(비고)],$Q58)),TEXT(INDEX(인턴계획표[입사일(비고)],$Q58),"yyyy-mm-dd"),INDEX(인턴계획표[입사일(비고)],$Q58)&amp;""))</f>
        <v/>
      </c>
      <c r="F58">
        <f>IF($Q58="","",IF(IF($G$3="","",INDEX(인턴계획표[[정규화1]:[정규화6]],$Q58,$G$3)&amp;"")="","",IF(LEFT(IF($G$3="","",INDEX(인턴계획표[[정규화1]:[정규화6]],$Q58,$G$3)&amp;""),1)="⚠",IF($G$3="","",INDEX(인턴계획표[[정규화1]:[정규화6]],$Q58,$G$3)&amp;""),IFERROR(LEFT(IF($G$3="","",INDEX(인턴계획표[[정규화1]:[정규화6]],$Q58,$G$3)&amp;""),FIND(" ",IF($G$3="","",INDEX(인턴계획표[[정규화1]:[정규화6]],$Q58,$G$3)&amp;""))-1),IF($G$3="","",INDEX(인턴계획표[[정규화1]:[정규화6]],$Q58,$G$3)&amp;"")))))</f>
        <v/>
      </c>
      <c r="G58">
        <f>IF($Q58="","",IF(IF($G$3="","",INDEX(인턴계획표[[정규화1]:[정규화6]],$Q58,$G$3)&amp;"")="","",IF(LEFT(IF($G$3="","",INDEX(인턴계획표[[정규화1]:[정규화6]],$Q58,$G$3)&amp;""),1)="⚠","",IFERROR(MID(IF($G$3="","",INDEX(인턴계획표[[정규화1]:[정규화6]],$Q58,$G$3)&amp;""),FIND(" ",IF($G$3="","",INDEX(인턴계획표[[정규화1]:[정규화6]],$Q58,$G$3)&amp;""))+1,60),""))))</f>
        <v/>
      </c>
      <c r="H58">
        <f>IF($Q58="","",IF(IF($I$3="","",INDEX(인턴계획표[[정규화1]:[정규화6]],$Q58,$I$3)&amp;"")="","",IF(LEFT(IF($I$3="","",INDEX(인턴계획표[[정규화1]:[정규화6]],$Q58,$I$3)&amp;""),1)="⚠",IF($I$3="","",INDEX(인턴계획표[[정규화1]:[정규화6]],$Q58,$I$3)&amp;""),IFERROR(LEFT(IF($I$3="","",INDEX(인턴계획표[[정규화1]:[정규화6]],$Q58,$I$3)&amp;""),FIND(" ",IF($I$3="","",INDEX(인턴계획표[[정규화1]:[정규화6]],$Q58,$I$3)&amp;""))-1),IF($I$3="","",INDEX(인턴계획표[[정규화1]:[정규화6]],$Q58,$I$3)&amp;"")))))</f>
        <v/>
      </c>
      <c r="I58">
        <f>IF($Q58="","",IF(IF($I$3="","",INDEX(인턴계획표[[정규화1]:[정규화6]],$Q58,$I$3)&amp;"")="","",IF(LEFT(IF($I$3="","",INDEX(인턴계획표[[정규화1]:[정규화6]],$Q58,$I$3)&amp;""),1)="⚠","",IFERROR(MID(IF($I$3="","",INDEX(인턴계획표[[정규화1]:[정규화6]],$Q58,$I$3)&amp;""),FIND(" ",IF($I$3="","",INDEX(인턴계획표[[정규화1]:[정규화6]],$Q58,$I$3)&amp;""))+1,60),""))))</f>
        <v/>
      </c>
      <c r="J58">
        <f>IF($Q58="","",INDEX(인턴계획표[정규화1],$Q58))</f>
        <v/>
      </c>
      <c r="K58">
        <f>IF($Q58="","",INDEX(인턴계획표[정규화2],$Q58))</f>
        <v/>
      </c>
      <c r="L58">
        <f>IF($Q58="","",INDEX(인턴계획표[정규화3],$Q58))</f>
        <v/>
      </c>
      <c r="M58">
        <f>IF($Q58="","",INDEX(인턴계획표[정규화4],$Q58))</f>
        <v/>
      </c>
      <c r="N58">
        <f>IF($Q58="","",INDEX(인턴계획표[정규화5],$Q58))</f>
        <v/>
      </c>
      <c r="O58">
        <f>IF($Q58="","",INDEX(인턴계획표[정규화6],$Q58))</f>
        <v/>
      </c>
      <c r="P58">
        <f>IF($Q58="","",INDEX(인턴계획표[입력오류],$Q58))</f>
        <v/>
      </c>
      <c r="Q58" s="17">
        <f>IFERROR(MATCH(53,인턴계획표[표시순번],0),"")</f>
        <v/>
      </c>
    </row>
    <row r="59">
      <c r="A59">
        <f>IF($Q59="","",INDEX(인턴계획표[순번],$Q59)&amp;"")</f>
        <v/>
      </c>
      <c r="B59">
        <f>IF($Q59="","",TRIM(INDEX(인턴계획표[이름],$Q59)&amp;""))</f>
        <v/>
      </c>
      <c r="C59">
        <f>IF($Q59="","",INDEX(인턴계획표[사번],$Q59)&amp;"")</f>
        <v/>
      </c>
      <c r="D59">
        <f>IF($Q59="","",IF(COUNTIF(기본자료표[사번키],INDEX(인턴계획표[사번키],$Q59))&gt;0,"확인","미등록"))</f>
        <v/>
      </c>
      <c r="E59">
        <f>IF($Q59="","",IF(ISNUMBER(INDEX(인턴계획표[입사일(비고)],$Q59)),TEXT(INDEX(인턴계획표[입사일(비고)],$Q59),"yyyy-mm-dd"),INDEX(인턴계획표[입사일(비고)],$Q59)&amp;""))</f>
        <v/>
      </c>
      <c r="F59">
        <f>IF($Q59="","",IF(IF($G$3="","",INDEX(인턴계획표[[정규화1]:[정규화6]],$Q59,$G$3)&amp;"")="","",IF(LEFT(IF($G$3="","",INDEX(인턴계획표[[정규화1]:[정규화6]],$Q59,$G$3)&amp;""),1)="⚠",IF($G$3="","",INDEX(인턴계획표[[정규화1]:[정규화6]],$Q59,$G$3)&amp;""),IFERROR(LEFT(IF($G$3="","",INDEX(인턴계획표[[정규화1]:[정규화6]],$Q59,$G$3)&amp;""),FIND(" ",IF($G$3="","",INDEX(인턴계획표[[정규화1]:[정규화6]],$Q59,$G$3)&amp;""))-1),IF($G$3="","",INDEX(인턴계획표[[정규화1]:[정규화6]],$Q59,$G$3)&amp;"")))))</f>
        <v/>
      </c>
      <c r="G59">
        <f>IF($Q59="","",IF(IF($G$3="","",INDEX(인턴계획표[[정규화1]:[정규화6]],$Q59,$G$3)&amp;"")="","",IF(LEFT(IF($G$3="","",INDEX(인턴계획표[[정규화1]:[정규화6]],$Q59,$G$3)&amp;""),1)="⚠","",IFERROR(MID(IF($G$3="","",INDEX(인턴계획표[[정규화1]:[정규화6]],$Q59,$G$3)&amp;""),FIND(" ",IF($G$3="","",INDEX(인턴계획표[[정규화1]:[정규화6]],$Q59,$G$3)&amp;""))+1,60),""))))</f>
        <v/>
      </c>
      <c r="H59">
        <f>IF($Q59="","",IF(IF($I$3="","",INDEX(인턴계획표[[정규화1]:[정규화6]],$Q59,$I$3)&amp;"")="","",IF(LEFT(IF($I$3="","",INDEX(인턴계획표[[정규화1]:[정규화6]],$Q59,$I$3)&amp;""),1)="⚠",IF($I$3="","",INDEX(인턴계획표[[정규화1]:[정규화6]],$Q59,$I$3)&amp;""),IFERROR(LEFT(IF($I$3="","",INDEX(인턴계획표[[정규화1]:[정규화6]],$Q59,$I$3)&amp;""),FIND(" ",IF($I$3="","",INDEX(인턴계획표[[정규화1]:[정규화6]],$Q59,$I$3)&amp;""))-1),IF($I$3="","",INDEX(인턴계획표[[정규화1]:[정규화6]],$Q59,$I$3)&amp;"")))))</f>
        <v/>
      </c>
      <c r="I59">
        <f>IF($Q59="","",IF(IF($I$3="","",INDEX(인턴계획표[[정규화1]:[정규화6]],$Q59,$I$3)&amp;"")="","",IF(LEFT(IF($I$3="","",INDEX(인턴계획표[[정규화1]:[정규화6]],$Q59,$I$3)&amp;""),1)="⚠","",IFERROR(MID(IF($I$3="","",INDEX(인턴계획표[[정규화1]:[정규화6]],$Q59,$I$3)&amp;""),FIND(" ",IF($I$3="","",INDEX(인턴계획표[[정규화1]:[정규화6]],$Q59,$I$3)&amp;""))+1,60),""))))</f>
        <v/>
      </c>
      <c r="J59">
        <f>IF($Q59="","",INDEX(인턴계획표[정규화1],$Q59))</f>
        <v/>
      </c>
      <c r="K59">
        <f>IF($Q59="","",INDEX(인턴계획표[정규화2],$Q59))</f>
        <v/>
      </c>
      <c r="L59">
        <f>IF($Q59="","",INDEX(인턴계획표[정규화3],$Q59))</f>
        <v/>
      </c>
      <c r="M59">
        <f>IF($Q59="","",INDEX(인턴계획표[정규화4],$Q59))</f>
        <v/>
      </c>
      <c r="N59">
        <f>IF($Q59="","",INDEX(인턴계획표[정규화5],$Q59))</f>
        <v/>
      </c>
      <c r="O59">
        <f>IF($Q59="","",INDEX(인턴계획표[정규화6],$Q59))</f>
        <v/>
      </c>
      <c r="P59">
        <f>IF($Q59="","",INDEX(인턴계획표[입력오류],$Q59))</f>
        <v/>
      </c>
      <c r="Q59" s="17">
        <f>IFERROR(MATCH(54,인턴계획표[표시순번],0),"")</f>
        <v/>
      </c>
    </row>
    <row r="60">
      <c r="A60">
        <f>IF($Q60="","",INDEX(인턴계획표[순번],$Q60)&amp;"")</f>
        <v/>
      </c>
      <c r="B60">
        <f>IF($Q60="","",TRIM(INDEX(인턴계획표[이름],$Q60)&amp;""))</f>
        <v/>
      </c>
      <c r="C60">
        <f>IF($Q60="","",INDEX(인턴계획표[사번],$Q60)&amp;"")</f>
        <v/>
      </c>
      <c r="D60">
        <f>IF($Q60="","",IF(COUNTIF(기본자료표[사번키],INDEX(인턴계획표[사번키],$Q60))&gt;0,"확인","미등록"))</f>
        <v/>
      </c>
      <c r="E60">
        <f>IF($Q60="","",IF(ISNUMBER(INDEX(인턴계획표[입사일(비고)],$Q60)),TEXT(INDEX(인턴계획표[입사일(비고)],$Q60),"yyyy-mm-dd"),INDEX(인턴계획표[입사일(비고)],$Q60)&amp;""))</f>
        <v/>
      </c>
      <c r="F60">
        <f>IF($Q60="","",IF(IF($G$3="","",INDEX(인턴계획표[[정규화1]:[정규화6]],$Q60,$G$3)&amp;"")="","",IF(LEFT(IF($G$3="","",INDEX(인턴계획표[[정규화1]:[정규화6]],$Q60,$G$3)&amp;""),1)="⚠",IF($G$3="","",INDEX(인턴계획표[[정규화1]:[정규화6]],$Q60,$G$3)&amp;""),IFERROR(LEFT(IF($G$3="","",INDEX(인턴계획표[[정규화1]:[정규화6]],$Q60,$G$3)&amp;""),FIND(" ",IF($G$3="","",INDEX(인턴계획표[[정규화1]:[정규화6]],$Q60,$G$3)&amp;""))-1),IF($G$3="","",INDEX(인턴계획표[[정규화1]:[정규화6]],$Q60,$G$3)&amp;"")))))</f>
        <v/>
      </c>
      <c r="G60">
        <f>IF($Q60="","",IF(IF($G$3="","",INDEX(인턴계획표[[정규화1]:[정규화6]],$Q60,$G$3)&amp;"")="","",IF(LEFT(IF($G$3="","",INDEX(인턴계획표[[정규화1]:[정규화6]],$Q60,$G$3)&amp;""),1)="⚠","",IFERROR(MID(IF($G$3="","",INDEX(인턴계획표[[정규화1]:[정규화6]],$Q60,$G$3)&amp;""),FIND(" ",IF($G$3="","",INDEX(인턴계획표[[정규화1]:[정규화6]],$Q60,$G$3)&amp;""))+1,60),""))))</f>
        <v/>
      </c>
      <c r="H60">
        <f>IF($Q60="","",IF(IF($I$3="","",INDEX(인턴계획표[[정규화1]:[정규화6]],$Q60,$I$3)&amp;"")="","",IF(LEFT(IF($I$3="","",INDEX(인턴계획표[[정규화1]:[정규화6]],$Q60,$I$3)&amp;""),1)="⚠",IF($I$3="","",INDEX(인턴계획표[[정규화1]:[정규화6]],$Q60,$I$3)&amp;""),IFERROR(LEFT(IF($I$3="","",INDEX(인턴계획표[[정규화1]:[정규화6]],$Q60,$I$3)&amp;""),FIND(" ",IF($I$3="","",INDEX(인턴계획표[[정규화1]:[정규화6]],$Q60,$I$3)&amp;""))-1),IF($I$3="","",INDEX(인턴계획표[[정규화1]:[정규화6]],$Q60,$I$3)&amp;"")))))</f>
        <v/>
      </c>
      <c r="I60">
        <f>IF($Q60="","",IF(IF($I$3="","",INDEX(인턴계획표[[정규화1]:[정규화6]],$Q60,$I$3)&amp;"")="","",IF(LEFT(IF($I$3="","",INDEX(인턴계획표[[정규화1]:[정규화6]],$Q60,$I$3)&amp;""),1)="⚠","",IFERROR(MID(IF($I$3="","",INDEX(인턴계획표[[정규화1]:[정규화6]],$Q60,$I$3)&amp;""),FIND(" ",IF($I$3="","",INDEX(인턴계획표[[정규화1]:[정규화6]],$Q60,$I$3)&amp;""))+1,60),""))))</f>
        <v/>
      </c>
      <c r="J60">
        <f>IF($Q60="","",INDEX(인턴계획표[정규화1],$Q60))</f>
        <v/>
      </c>
      <c r="K60">
        <f>IF($Q60="","",INDEX(인턴계획표[정규화2],$Q60))</f>
        <v/>
      </c>
      <c r="L60">
        <f>IF($Q60="","",INDEX(인턴계획표[정규화3],$Q60))</f>
        <v/>
      </c>
      <c r="M60">
        <f>IF($Q60="","",INDEX(인턴계획표[정규화4],$Q60))</f>
        <v/>
      </c>
      <c r="N60">
        <f>IF($Q60="","",INDEX(인턴계획표[정규화5],$Q60))</f>
        <v/>
      </c>
      <c r="O60">
        <f>IF($Q60="","",INDEX(인턴계획표[정규화6],$Q60))</f>
        <v/>
      </c>
      <c r="P60">
        <f>IF($Q60="","",INDEX(인턴계획표[입력오류],$Q60))</f>
        <v/>
      </c>
      <c r="Q60" s="17">
        <f>IFERROR(MATCH(55,인턴계획표[표시순번],0),"")</f>
        <v/>
      </c>
    </row>
    <row r="61">
      <c r="A61">
        <f>IF($Q61="","",INDEX(인턴계획표[순번],$Q61)&amp;"")</f>
        <v/>
      </c>
      <c r="B61">
        <f>IF($Q61="","",TRIM(INDEX(인턴계획표[이름],$Q61)&amp;""))</f>
        <v/>
      </c>
      <c r="C61">
        <f>IF($Q61="","",INDEX(인턴계획표[사번],$Q61)&amp;"")</f>
        <v/>
      </c>
      <c r="D61">
        <f>IF($Q61="","",IF(COUNTIF(기본자료표[사번키],INDEX(인턴계획표[사번키],$Q61))&gt;0,"확인","미등록"))</f>
        <v/>
      </c>
      <c r="E61">
        <f>IF($Q61="","",IF(ISNUMBER(INDEX(인턴계획표[입사일(비고)],$Q61)),TEXT(INDEX(인턴계획표[입사일(비고)],$Q61),"yyyy-mm-dd"),INDEX(인턴계획표[입사일(비고)],$Q61)&amp;""))</f>
        <v/>
      </c>
      <c r="F61">
        <f>IF($Q61="","",IF(IF($G$3="","",INDEX(인턴계획표[[정규화1]:[정규화6]],$Q61,$G$3)&amp;"")="","",IF(LEFT(IF($G$3="","",INDEX(인턴계획표[[정규화1]:[정규화6]],$Q61,$G$3)&amp;""),1)="⚠",IF($G$3="","",INDEX(인턴계획표[[정규화1]:[정규화6]],$Q61,$G$3)&amp;""),IFERROR(LEFT(IF($G$3="","",INDEX(인턴계획표[[정규화1]:[정규화6]],$Q61,$G$3)&amp;""),FIND(" ",IF($G$3="","",INDEX(인턴계획표[[정규화1]:[정규화6]],$Q61,$G$3)&amp;""))-1),IF($G$3="","",INDEX(인턴계획표[[정규화1]:[정규화6]],$Q61,$G$3)&amp;"")))))</f>
        <v/>
      </c>
      <c r="G61">
        <f>IF($Q61="","",IF(IF($G$3="","",INDEX(인턴계획표[[정규화1]:[정규화6]],$Q61,$G$3)&amp;"")="","",IF(LEFT(IF($G$3="","",INDEX(인턴계획표[[정규화1]:[정규화6]],$Q61,$G$3)&amp;""),1)="⚠","",IFERROR(MID(IF($G$3="","",INDEX(인턴계획표[[정규화1]:[정규화6]],$Q61,$G$3)&amp;""),FIND(" ",IF($G$3="","",INDEX(인턴계획표[[정규화1]:[정규화6]],$Q61,$G$3)&amp;""))+1,60),""))))</f>
        <v/>
      </c>
      <c r="H61">
        <f>IF($Q61="","",IF(IF($I$3="","",INDEX(인턴계획표[[정규화1]:[정규화6]],$Q61,$I$3)&amp;"")="","",IF(LEFT(IF($I$3="","",INDEX(인턴계획표[[정규화1]:[정규화6]],$Q61,$I$3)&amp;""),1)="⚠",IF($I$3="","",INDEX(인턴계획표[[정규화1]:[정규화6]],$Q61,$I$3)&amp;""),IFERROR(LEFT(IF($I$3="","",INDEX(인턴계획표[[정규화1]:[정규화6]],$Q61,$I$3)&amp;""),FIND(" ",IF($I$3="","",INDEX(인턴계획표[[정규화1]:[정규화6]],$Q61,$I$3)&amp;""))-1),IF($I$3="","",INDEX(인턴계획표[[정규화1]:[정규화6]],$Q61,$I$3)&amp;"")))))</f>
        <v/>
      </c>
      <c r="I61">
        <f>IF($Q61="","",IF(IF($I$3="","",INDEX(인턴계획표[[정규화1]:[정규화6]],$Q61,$I$3)&amp;"")="","",IF(LEFT(IF($I$3="","",INDEX(인턴계획표[[정규화1]:[정규화6]],$Q61,$I$3)&amp;""),1)="⚠","",IFERROR(MID(IF($I$3="","",INDEX(인턴계획표[[정규화1]:[정규화6]],$Q61,$I$3)&amp;""),FIND(" ",IF($I$3="","",INDEX(인턴계획표[[정규화1]:[정규화6]],$Q61,$I$3)&amp;""))+1,60),""))))</f>
        <v/>
      </c>
      <c r="J61">
        <f>IF($Q61="","",INDEX(인턴계획표[정규화1],$Q61))</f>
        <v/>
      </c>
      <c r="K61">
        <f>IF($Q61="","",INDEX(인턴계획표[정규화2],$Q61))</f>
        <v/>
      </c>
      <c r="L61">
        <f>IF($Q61="","",INDEX(인턴계획표[정규화3],$Q61))</f>
        <v/>
      </c>
      <c r="M61">
        <f>IF($Q61="","",INDEX(인턴계획표[정규화4],$Q61))</f>
        <v/>
      </c>
      <c r="N61">
        <f>IF($Q61="","",INDEX(인턴계획표[정규화5],$Q61))</f>
        <v/>
      </c>
      <c r="O61">
        <f>IF($Q61="","",INDEX(인턴계획표[정규화6],$Q61))</f>
        <v/>
      </c>
      <c r="P61">
        <f>IF($Q61="","",INDEX(인턴계획표[입력오류],$Q61))</f>
        <v/>
      </c>
      <c r="Q61" s="17">
        <f>IFERROR(MATCH(56,인턴계획표[표시순번],0),"")</f>
        <v/>
      </c>
    </row>
    <row r="62">
      <c r="A62">
        <f>IF($Q62="","",INDEX(인턴계획표[순번],$Q62)&amp;"")</f>
        <v/>
      </c>
      <c r="B62">
        <f>IF($Q62="","",TRIM(INDEX(인턴계획표[이름],$Q62)&amp;""))</f>
        <v/>
      </c>
      <c r="C62">
        <f>IF($Q62="","",INDEX(인턴계획표[사번],$Q62)&amp;"")</f>
        <v/>
      </c>
      <c r="D62">
        <f>IF($Q62="","",IF(COUNTIF(기본자료표[사번키],INDEX(인턴계획표[사번키],$Q62))&gt;0,"확인","미등록"))</f>
        <v/>
      </c>
      <c r="E62">
        <f>IF($Q62="","",IF(ISNUMBER(INDEX(인턴계획표[입사일(비고)],$Q62)),TEXT(INDEX(인턴계획표[입사일(비고)],$Q62),"yyyy-mm-dd"),INDEX(인턴계획표[입사일(비고)],$Q62)&amp;""))</f>
        <v/>
      </c>
      <c r="F62">
        <f>IF($Q62="","",IF(IF($G$3="","",INDEX(인턴계획표[[정규화1]:[정규화6]],$Q62,$G$3)&amp;"")="","",IF(LEFT(IF($G$3="","",INDEX(인턴계획표[[정규화1]:[정규화6]],$Q62,$G$3)&amp;""),1)="⚠",IF($G$3="","",INDEX(인턴계획표[[정규화1]:[정규화6]],$Q62,$G$3)&amp;""),IFERROR(LEFT(IF($G$3="","",INDEX(인턴계획표[[정규화1]:[정규화6]],$Q62,$G$3)&amp;""),FIND(" ",IF($G$3="","",INDEX(인턴계획표[[정규화1]:[정규화6]],$Q62,$G$3)&amp;""))-1),IF($G$3="","",INDEX(인턴계획표[[정규화1]:[정규화6]],$Q62,$G$3)&amp;"")))))</f>
        <v/>
      </c>
      <c r="G62">
        <f>IF($Q62="","",IF(IF($G$3="","",INDEX(인턴계획표[[정규화1]:[정규화6]],$Q62,$G$3)&amp;"")="","",IF(LEFT(IF($G$3="","",INDEX(인턴계획표[[정규화1]:[정규화6]],$Q62,$G$3)&amp;""),1)="⚠","",IFERROR(MID(IF($G$3="","",INDEX(인턴계획표[[정규화1]:[정규화6]],$Q62,$G$3)&amp;""),FIND(" ",IF($G$3="","",INDEX(인턴계획표[[정규화1]:[정규화6]],$Q62,$G$3)&amp;""))+1,60),""))))</f>
        <v/>
      </c>
      <c r="H62">
        <f>IF($Q62="","",IF(IF($I$3="","",INDEX(인턴계획표[[정규화1]:[정규화6]],$Q62,$I$3)&amp;"")="","",IF(LEFT(IF($I$3="","",INDEX(인턴계획표[[정규화1]:[정규화6]],$Q62,$I$3)&amp;""),1)="⚠",IF($I$3="","",INDEX(인턴계획표[[정규화1]:[정규화6]],$Q62,$I$3)&amp;""),IFERROR(LEFT(IF($I$3="","",INDEX(인턴계획표[[정규화1]:[정규화6]],$Q62,$I$3)&amp;""),FIND(" ",IF($I$3="","",INDEX(인턴계획표[[정규화1]:[정규화6]],$Q62,$I$3)&amp;""))-1),IF($I$3="","",INDEX(인턴계획표[[정규화1]:[정규화6]],$Q62,$I$3)&amp;"")))))</f>
        <v/>
      </c>
      <c r="I62">
        <f>IF($Q62="","",IF(IF($I$3="","",INDEX(인턴계획표[[정규화1]:[정규화6]],$Q62,$I$3)&amp;"")="","",IF(LEFT(IF($I$3="","",INDEX(인턴계획표[[정규화1]:[정규화6]],$Q62,$I$3)&amp;""),1)="⚠","",IFERROR(MID(IF($I$3="","",INDEX(인턴계획표[[정규화1]:[정규화6]],$Q62,$I$3)&amp;""),FIND(" ",IF($I$3="","",INDEX(인턴계획표[[정규화1]:[정규화6]],$Q62,$I$3)&amp;""))+1,60),""))))</f>
        <v/>
      </c>
      <c r="J62">
        <f>IF($Q62="","",INDEX(인턴계획표[정규화1],$Q62))</f>
        <v/>
      </c>
      <c r="K62">
        <f>IF($Q62="","",INDEX(인턴계획표[정규화2],$Q62))</f>
        <v/>
      </c>
      <c r="L62">
        <f>IF($Q62="","",INDEX(인턴계획표[정규화3],$Q62))</f>
        <v/>
      </c>
      <c r="M62">
        <f>IF($Q62="","",INDEX(인턴계획표[정규화4],$Q62))</f>
        <v/>
      </c>
      <c r="N62">
        <f>IF($Q62="","",INDEX(인턴계획표[정규화5],$Q62))</f>
        <v/>
      </c>
      <c r="O62">
        <f>IF($Q62="","",INDEX(인턴계획표[정규화6],$Q62))</f>
        <v/>
      </c>
      <c r="P62">
        <f>IF($Q62="","",INDEX(인턴계획표[입력오류],$Q62))</f>
        <v/>
      </c>
      <c r="Q62" s="17">
        <f>IFERROR(MATCH(57,인턴계획표[표시순번],0),"")</f>
        <v/>
      </c>
    </row>
    <row r="63">
      <c r="A63">
        <f>IF($Q63="","",INDEX(인턴계획표[순번],$Q63)&amp;"")</f>
        <v/>
      </c>
      <c r="B63">
        <f>IF($Q63="","",TRIM(INDEX(인턴계획표[이름],$Q63)&amp;""))</f>
        <v/>
      </c>
      <c r="C63">
        <f>IF($Q63="","",INDEX(인턴계획표[사번],$Q63)&amp;"")</f>
        <v/>
      </c>
      <c r="D63">
        <f>IF($Q63="","",IF(COUNTIF(기본자료표[사번키],INDEX(인턴계획표[사번키],$Q63))&gt;0,"확인","미등록"))</f>
        <v/>
      </c>
      <c r="E63">
        <f>IF($Q63="","",IF(ISNUMBER(INDEX(인턴계획표[입사일(비고)],$Q63)),TEXT(INDEX(인턴계획표[입사일(비고)],$Q63),"yyyy-mm-dd"),INDEX(인턴계획표[입사일(비고)],$Q63)&amp;""))</f>
        <v/>
      </c>
      <c r="F63">
        <f>IF($Q63="","",IF(IF($G$3="","",INDEX(인턴계획표[[정규화1]:[정규화6]],$Q63,$G$3)&amp;"")="","",IF(LEFT(IF($G$3="","",INDEX(인턴계획표[[정규화1]:[정규화6]],$Q63,$G$3)&amp;""),1)="⚠",IF($G$3="","",INDEX(인턴계획표[[정규화1]:[정규화6]],$Q63,$G$3)&amp;""),IFERROR(LEFT(IF($G$3="","",INDEX(인턴계획표[[정규화1]:[정규화6]],$Q63,$G$3)&amp;""),FIND(" ",IF($G$3="","",INDEX(인턴계획표[[정규화1]:[정규화6]],$Q63,$G$3)&amp;""))-1),IF($G$3="","",INDEX(인턴계획표[[정규화1]:[정규화6]],$Q63,$G$3)&amp;"")))))</f>
        <v/>
      </c>
      <c r="G63">
        <f>IF($Q63="","",IF(IF($G$3="","",INDEX(인턴계획표[[정규화1]:[정규화6]],$Q63,$G$3)&amp;"")="","",IF(LEFT(IF($G$3="","",INDEX(인턴계획표[[정규화1]:[정규화6]],$Q63,$G$3)&amp;""),1)="⚠","",IFERROR(MID(IF($G$3="","",INDEX(인턴계획표[[정규화1]:[정규화6]],$Q63,$G$3)&amp;""),FIND(" ",IF($G$3="","",INDEX(인턴계획표[[정규화1]:[정규화6]],$Q63,$G$3)&amp;""))+1,60),""))))</f>
        <v/>
      </c>
      <c r="H63">
        <f>IF($Q63="","",IF(IF($I$3="","",INDEX(인턴계획표[[정규화1]:[정규화6]],$Q63,$I$3)&amp;"")="","",IF(LEFT(IF($I$3="","",INDEX(인턴계획표[[정규화1]:[정규화6]],$Q63,$I$3)&amp;""),1)="⚠",IF($I$3="","",INDEX(인턴계획표[[정규화1]:[정규화6]],$Q63,$I$3)&amp;""),IFERROR(LEFT(IF($I$3="","",INDEX(인턴계획표[[정규화1]:[정규화6]],$Q63,$I$3)&amp;""),FIND(" ",IF($I$3="","",INDEX(인턴계획표[[정규화1]:[정규화6]],$Q63,$I$3)&amp;""))-1),IF($I$3="","",INDEX(인턴계획표[[정규화1]:[정규화6]],$Q63,$I$3)&amp;"")))))</f>
        <v/>
      </c>
      <c r="I63">
        <f>IF($Q63="","",IF(IF($I$3="","",INDEX(인턴계획표[[정규화1]:[정규화6]],$Q63,$I$3)&amp;"")="","",IF(LEFT(IF($I$3="","",INDEX(인턴계획표[[정규화1]:[정규화6]],$Q63,$I$3)&amp;""),1)="⚠","",IFERROR(MID(IF($I$3="","",INDEX(인턴계획표[[정규화1]:[정규화6]],$Q63,$I$3)&amp;""),FIND(" ",IF($I$3="","",INDEX(인턴계획표[[정규화1]:[정규화6]],$Q63,$I$3)&amp;""))+1,60),""))))</f>
        <v/>
      </c>
      <c r="J63">
        <f>IF($Q63="","",INDEX(인턴계획표[정규화1],$Q63))</f>
        <v/>
      </c>
      <c r="K63">
        <f>IF($Q63="","",INDEX(인턴계획표[정규화2],$Q63))</f>
        <v/>
      </c>
      <c r="L63">
        <f>IF($Q63="","",INDEX(인턴계획표[정규화3],$Q63))</f>
        <v/>
      </c>
      <c r="M63">
        <f>IF($Q63="","",INDEX(인턴계획표[정규화4],$Q63))</f>
        <v/>
      </c>
      <c r="N63">
        <f>IF($Q63="","",INDEX(인턴계획표[정규화5],$Q63))</f>
        <v/>
      </c>
      <c r="O63">
        <f>IF($Q63="","",INDEX(인턴계획표[정규화6],$Q63))</f>
        <v/>
      </c>
      <c r="P63">
        <f>IF($Q63="","",INDEX(인턴계획표[입력오류],$Q63))</f>
        <v/>
      </c>
      <c r="Q63" s="17">
        <f>IFERROR(MATCH(58,인턴계획표[표시순번],0),"")</f>
        <v/>
      </c>
    </row>
    <row r="64">
      <c r="A64">
        <f>IF($Q64="","",INDEX(인턴계획표[순번],$Q64)&amp;"")</f>
        <v/>
      </c>
      <c r="B64">
        <f>IF($Q64="","",TRIM(INDEX(인턴계획표[이름],$Q64)&amp;""))</f>
        <v/>
      </c>
      <c r="C64">
        <f>IF($Q64="","",INDEX(인턴계획표[사번],$Q64)&amp;"")</f>
        <v/>
      </c>
      <c r="D64">
        <f>IF($Q64="","",IF(COUNTIF(기본자료표[사번키],INDEX(인턴계획표[사번키],$Q64))&gt;0,"확인","미등록"))</f>
        <v/>
      </c>
      <c r="E64">
        <f>IF($Q64="","",IF(ISNUMBER(INDEX(인턴계획표[입사일(비고)],$Q64)),TEXT(INDEX(인턴계획표[입사일(비고)],$Q64),"yyyy-mm-dd"),INDEX(인턴계획표[입사일(비고)],$Q64)&amp;""))</f>
        <v/>
      </c>
      <c r="F64">
        <f>IF($Q64="","",IF(IF($G$3="","",INDEX(인턴계획표[[정규화1]:[정규화6]],$Q64,$G$3)&amp;"")="","",IF(LEFT(IF($G$3="","",INDEX(인턴계획표[[정규화1]:[정규화6]],$Q64,$G$3)&amp;""),1)="⚠",IF($G$3="","",INDEX(인턴계획표[[정규화1]:[정규화6]],$Q64,$G$3)&amp;""),IFERROR(LEFT(IF($G$3="","",INDEX(인턴계획표[[정규화1]:[정규화6]],$Q64,$G$3)&amp;""),FIND(" ",IF($G$3="","",INDEX(인턴계획표[[정규화1]:[정규화6]],$Q64,$G$3)&amp;""))-1),IF($G$3="","",INDEX(인턴계획표[[정규화1]:[정규화6]],$Q64,$G$3)&amp;"")))))</f>
        <v/>
      </c>
      <c r="G64">
        <f>IF($Q64="","",IF(IF($G$3="","",INDEX(인턴계획표[[정규화1]:[정규화6]],$Q64,$G$3)&amp;"")="","",IF(LEFT(IF($G$3="","",INDEX(인턴계획표[[정규화1]:[정규화6]],$Q64,$G$3)&amp;""),1)="⚠","",IFERROR(MID(IF($G$3="","",INDEX(인턴계획표[[정규화1]:[정규화6]],$Q64,$G$3)&amp;""),FIND(" ",IF($G$3="","",INDEX(인턴계획표[[정규화1]:[정규화6]],$Q64,$G$3)&amp;""))+1,60),""))))</f>
        <v/>
      </c>
      <c r="H64">
        <f>IF($Q64="","",IF(IF($I$3="","",INDEX(인턴계획표[[정규화1]:[정규화6]],$Q64,$I$3)&amp;"")="","",IF(LEFT(IF($I$3="","",INDEX(인턴계획표[[정규화1]:[정규화6]],$Q64,$I$3)&amp;""),1)="⚠",IF($I$3="","",INDEX(인턴계획표[[정규화1]:[정규화6]],$Q64,$I$3)&amp;""),IFERROR(LEFT(IF($I$3="","",INDEX(인턴계획표[[정규화1]:[정규화6]],$Q64,$I$3)&amp;""),FIND(" ",IF($I$3="","",INDEX(인턴계획표[[정규화1]:[정규화6]],$Q64,$I$3)&amp;""))-1),IF($I$3="","",INDEX(인턴계획표[[정규화1]:[정규화6]],$Q64,$I$3)&amp;"")))))</f>
        <v/>
      </c>
      <c r="I64">
        <f>IF($Q64="","",IF(IF($I$3="","",INDEX(인턴계획표[[정규화1]:[정규화6]],$Q64,$I$3)&amp;"")="","",IF(LEFT(IF($I$3="","",INDEX(인턴계획표[[정규화1]:[정규화6]],$Q64,$I$3)&amp;""),1)="⚠","",IFERROR(MID(IF($I$3="","",INDEX(인턴계획표[[정규화1]:[정규화6]],$Q64,$I$3)&amp;""),FIND(" ",IF($I$3="","",INDEX(인턴계획표[[정규화1]:[정규화6]],$Q64,$I$3)&amp;""))+1,60),""))))</f>
        <v/>
      </c>
      <c r="J64">
        <f>IF($Q64="","",INDEX(인턴계획표[정규화1],$Q64))</f>
        <v/>
      </c>
      <c r="K64">
        <f>IF($Q64="","",INDEX(인턴계획표[정규화2],$Q64))</f>
        <v/>
      </c>
      <c r="L64">
        <f>IF($Q64="","",INDEX(인턴계획표[정규화3],$Q64))</f>
        <v/>
      </c>
      <c r="M64">
        <f>IF($Q64="","",INDEX(인턴계획표[정규화4],$Q64))</f>
        <v/>
      </c>
      <c r="N64">
        <f>IF($Q64="","",INDEX(인턴계획표[정규화5],$Q64))</f>
        <v/>
      </c>
      <c r="O64">
        <f>IF($Q64="","",INDEX(인턴계획표[정규화6],$Q64))</f>
        <v/>
      </c>
      <c r="P64">
        <f>IF($Q64="","",INDEX(인턴계획표[입력오류],$Q64))</f>
        <v/>
      </c>
      <c r="Q64" s="17">
        <f>IFERROR(MATCH(59,인턴계획표[표시순번],0),"")</f>
        <v/>
      </c>
    </row>
    <row r="65">
      <c r="A65">
        <f>IF($Q65="","",INDEX(인턴계획표[순번],$Q65)&amp;"")</f>
        <v/>
      </c>
      <c r="B65">
        <f>IF($Q65="","",TRIM(INDEX(인턴계획표[이름],$Q65)&amp;""))</f>
        <v/>
      </c>
      <c r="C65">
        <f>IF($Q65="","",INDEX(인턴계획표[사번],$Q65)&amp;"")</f>
        <v/>
      </c>
      <c r="D65">
        <f>IF($Q65="","",IF(COUNTIF(기본자료표[사번키],INDEX(인턴계획표[사번키],$Q65))&gt;0,"확인","미등록"))</f>
        <v/>
      </c>
      <c r="E65">
        <f>IF($Q65="","",IF(ISNUMBER(INDEX(인턴계획표[입사일(비고)],$Q65)),TEXT(INDEX(인턴계획표[입사일(비고)],$Q65),"yyyy-mm-dd"),INDEX(인턴계획표[입사일(비고)],$Q65)&amp;""))</f>
        <v/>
      </c>
      <c r="F65">
        <f>IF($Q65="","",IF(IF($G$3="","",INDEX(인턴계획표[[정규화1]:[정규화6]],$Q65,$G$3)&amp;"")="","",IF(LEFT(IF($G$3="","",INDEX(인턴계획표[[정규화1]:[정규화6]],$Q65,$G$3)&amp;""),1)="⚠",IF($G$3="","",INDEX(인턴계획표[[정규화1]:[정규화6]],$Q65,$G$3)&amp;""),IFERROR(LEFT(IF($G$3="","",INDEX(인턴계획표[[정규화1]:[정규화6]],$Q65,$G$3)&amp;""),FIND(" ",IF($G$3="","",INDEX(인턴계획표[[정규화1]:[정규화6]],$Q65,$G$3)&amp;""))-1),IF($G$3="","",INDEX(인턴계획표[[정규화1]:[정규화6]],$Q65,$G$3)&amp;"")))))</f>
        <v/>
      </c>
      <c r="G65">
        <f>IF($Q65="","",IF(IF($G$3="","",INDEX(인턴계획표[[정규화1]:[정규화6]],$Q65,$G$3)&amp;"")="","",IF(LEFT(IF($G$3="","",INDEX(인턴계획표[[정규화1]:[정규화6]],$Q65,$G$3)&amp;""),1)="⚠","",IFERROR(MID(IF($G$3="","",INDEX(인턴계획표[[정규화1]:[정규화6]],$Q65,$G$3)&amp;""),FIND(" ",IF($G$3="","",INDEX(인턴계획표[[정규화1]:[정규화6]],$Q65,$G$3)&amp;""))+1,60),""))))</f>
        <v/>
      </c>
      <c r="H65">
        <f>IF($Q65="","",IF(IF($I$3="","",INDEX(인턴계획표[[정규화1]:[정규화6]],$Q65,$I$3)&amp;"")="","",IF(LEFT(IF($I$3="","",INDEX(인턴계획표[[정규화1]:[정규화6]],$Q65,$I$3)&amp;""),1)="⚠",IF($I$3="","",INDEX(인턴계획표[[정규화1]:[정규화6]],$Q65,$I$3)&amp;""),IFERROR(LEFT(IF($I$3="","",INDEX(인턴계획표[[정규화1]:[정규화6]],$Q65,$I$3)&amp;""),FIND(" ",IF($I$3="","",INDEX(인턴계획표[[정규화1]:[정규화6]],$Q65,$I$3)&amp;""))-1),IF($I$3="","",INDEX(인턴계획표[[정규화1]:[정규화6]],$Q65,$I$3)&amp;"")))))</f>
        <v/>
      </c>
      <c r="I65">
        <f>IF($Q65="","",IF(IF($I$3="","",INDEX(인턴계획표[[정규화1]:[정규화6]],$Q65,$I$3)&amp;"")="","",IF(LEFT(IF($I$3="","",INDEX(인턴계획표[[정규화1]:[정규화6]],$Q65,$I$3)&amp;""),1)="⚠","",IFERROR(MID(IF($I$3="","",INDEX(인턴계획표[[정규화1]:[정규화6]],$Q65,$I$3)&amp;""),FIND(" ",IF($I$3="","",INDEX(인턴계획표[[정규화1]:[정규화6]],$Q65,$I$3)&amp;""))+1,60),""))))</f>
        <v/>
      </c>
      <c r="J65">
        <f>IF($Q65="","",INDEX(인턴계획표[정규화1],$Q65))</f>
        <v/>
      </c>
      <c r="K65">
        <f>IF($Q65="","",INDEX(인턴계획표[정규화2],$Q65))</f>
        <v/>
      </c>
      <c r="L65">
        <f>IF($Q65="","",INDEX(인턴계획표[정규화3],$Q65))</f>
        <v/>
      </c>
      <c r="M65">
        <f>IF($Q65="","",INDEX(인턴계획표[정규화4],$Q65))</f>
        <v/>
      </c>
      <c r="N65">
        <f>IF($Q65="","",INDEX(인턴계획표[정규화5],$Q65))</f>
        <v/>
      </c>
      <c r="O65">
        <f>IF($Q65="","",INDEX(인턴계획표[정규화6],$Q65))</f>
        <v/>
      </c>
      <c r="P65">
        <f>IF($Q65="","",INDEX(인턴계획표[입력오류],$Q65))</f>
        <v/>
      </c>
      <c r="Q65" s="17">
        <f>IFERROR(MATCH(60,인턴계획표[표시순번],0),"")</f>
        <v/>
      </c>
    </row>
    <row r="66">
      <c r="A66">
        <f>IF($Q66="","",INDEX(인턴계획표[순번],$Q66)&amp;"")</f>
        <v/>
      </c>
      <c r="B66">
        <f>IF($Q66="","",TRIM(INDEX(인턴계획표[이름],$Q66)&amp;""))</f>
        <v/>
      </c>
      <c r="C66">
        <f>IF($Q66="","",INDEX(인턴계획표[사번],$Q66)&amp;"")</f>
        <v/>
      </c>
      <c r="D66">
        <f>IF($Q66="","",IF(COUNTIF(기본자료표[사번키],INDEX(인턴계획표[사번키],$Q66))&gt;0,"확인","미등록"))</f>
        <v/>
      </c>
      <c r="E66">
        <f>IF($Q66="","",IF(ISNUMBER(INDEX(인턴계획표[입사일(비고)],$Q66)),TEXT(INDEX(인턴계획표[입사일(비고)],$Q66),"yyyy-mm-dd"),INDEX(인턴계획표[입사일(비고)],$Q66)&amp;""))</f>
        <v/>
      </c>
      <c r="F66">
        <f>IF($Q66="","",IF(IF($G$3="","",INDEX(인턴계획표[[정규화1]:[정규화6]],$Q66,$G$3)&amp;"")="","",IF(LEFT(IF($G$3="","",INDEX(인턴계획표[[정규화1]:[정규화6]],$Q66,$G$3)&amp;""),1)="⚠",IF($G$3="","",INDEX(인턴계획표[[정규화1]:[정규화6]],$Q66,$G$3)&amp;""),IFERROR(LEFT(IF($G$3="","",INDEX(인턴계획표[[정규화1]:[정규화6]],$Q66,$G$3)&amp;""),FIND(" ",IF($G$3="","",INDEX(인턴계획표[[정규화1]:[정규화6]],$Q66,$G$3)&amp;""))-1),IF($G$3="","",INDEX(인턴계획표[[정규화1]:[정규화6]],$Q66,$G$3)&amp;"")))))</f>
        <v/>
      </c>
      <c r="G66">
        <f>IF($Q66="","",IF(IF($G$3="","",INDEX(인턴계획표[[정규화1]:[정규화6]],$Q66,$G$3)&amp;"")="","",IF(LEFT(IF($G$3="","",INDEX(인턴계획표[[정규화1]:[정규화6]],$Q66,$G$3)&amp;""),1)="⚠","",IFERROR(MID(IF($G$3="","",INDEX(인턴계획표[[정규화1]:[정규화6]],$Q66,$G$3)&amp;""),FIND(" ",IF($G$3="","",INDEX(인턴계획표[[정규화1]:[정규화6]],$Q66,$G$3)&amp;""))+1,60),""))))</f>
        <v/>
      </c>
      <c r="H66">
        <f>IF($Q66="","",IF(IF($I$3="","",INDEX(인턴계획표[[정규화1]:[정규화6]],$Q66,$I$3)&amp;"")="","",IF(LEFT(IF($I$3="","",INDEX(인턴계획표[[정규화1]:[정규화6]],$Q66,$I$3)&amp;""),1)="⚠",IF($I$3="","",INDEX(인턴계획표[[정규화1]:[정규화6]],$Q66,$I$3)&amp;""),IFERROR(LEFT(IF($I$3="","",INDEX(인턴계획표[[정규화1]:[정규화6]],$Q66,$I$3)&amp;""),FIND(" ",IF($I$3="","",INDEX(인턴계획표[[정규화1]:[정규화6]],$Q66,$I$3)&amp;""))-1),IF($I$3="","",INDEX(인턴계획표[[정규화1]:[정규화6]],$Q66,$I$3)&amp;"")))))</f>
        <v/>
      </c>
      <c r="I66">
        <f>IF($Q66="","",IF(IF($I$3="","",INDEX(인턴계획표[[정규화1]:[정규화6]],$Q66,$I$3)&amp;"")="","",IF(LEFT(IF($I$3="","",INDEX(인턴계획표[[정규화1]:[정규화6]],$Q66,$I$3)&amp;""),1)="⚠","",IFERROR(MID(IF($I$3="","",INDEX(인턴계획표[[정규화1]:[정규화6]],$Q66,$I$3)&amp;""),FIND(" ",IF($I$3="","",INDEX(인턴계획표[[정규화1]:[정규화6]],$Q66,$I$3)&amp;""))+1,60),""))))</f>
        <v/>
      </c>
      <c r="J66">
        <f>IF($Q66="","",INDEX(인턴계획표[정규화1],$Q66))</f>
        <v/>
      </c>
      <c r="K66">
        <f>IF($Q66="","",INDEX(인턴계획표[정규화2],$Q66))</f>
        <v/>
      </c>
      <c r="L66">
        <f>IF($Q66="","",INDEX(인턴계획표[정규화3],$Q66))</f>
        <v/>
      </c>
      <c r="M66">
        <f>IF($Q66="","",INDEX(인턴계획표[정규화4],$Q66))</f>
        <v/>
      </c>
      <c r="N66">
        <f>IF($Q66="","",INDEX(인턴계획표[정규화5],$Q66))</f>
        <v/>
      </c>
      <c r="O66">
        <f>IF($Q66="","",INDEX(인턴계획표[정규화6],$Q66))</f>
        <v/>
      </c>
      <c r="P66">
        <f>IF($Q66="","",INDEX(인턴계획표[입력오류],$Q66))</f>
        <v/>
      </c>
      <c r="Q66" s="17">
        <f>IFERROR(MATCH(61,인턴계획표[표시순번],0),"")</f>
        <v/>
      </c>
    </row>
    <row r="67">
      <c r="A67">
        <f>IF($Q67="","",INDEX(인턴계획표[순번],$Q67)&amp;"")</f>
        <v/>
      </c>
      <c r="B67">
        <f>IF($Q67="","",TRIM(INDEX(인턴계획표[이름],$Q67)&amp;""))</f>
        <v/>
      </c>
      <c r="C67">
        <f>IF($Q67="","",INDEX(인턴계획표[사번],$Q67)&amp;"")</f>
        <v/>
      </c>
      <c r="D67">
        <f>IF($Q67="","",IF(COUNTIF(기본자료표[사번키],INDEX(인턴계획표[사번키],$Q67))&gt;0,"확인","미등록"))</f>
        <v/>
      </c>
      <c r="E67">
        <f>IF($Q67="","",IF(ISNUMBER(INDEX(인턴계획표[입사일(비고)],$Q67)),TEXT(INDEX(인턴계획표[입사일(비고)],$Q67),"yyyy-mm-dd"),INDEX(인턴계획표[입사일(비고)],$Q67)&amp;""))</f>
        <v/>
      </c>
      <c r="F67">
        <f>IF($Q67="","",IF(IF($G$3="","",INDEX(인턴계획표[[정규화1]:[정규화6]],$Q67,$G$3)&amp;"")="","",IF(LEFT(IF($G$3="","",INDEX(인턴계획표[[정규화1]:[정규화6]],$Q67,$G$3)&amp;""),1)="⚠",IF($G$3="","",INDEX(인턴계획표[[정규화1]:[정규화6]],$Q67,$G$3)&amp;""),IFERROR(LEFT(IF($G$3="","",INDEX(인턴계획표[[정규화1]:[정규화6]],$Q67,$G$3)&amp;""),FIND(" ",IF($G$3="","",INDEX(인턴계획표[[정규화1]:[정규화6]],$Q67,$G$3)&amp;""))-1),IF($G$3="","",INDEX(인턴계획표[[정규화1]:[정규화6]],$Q67,$G$3)&amp;"")))))</f>
        <v/>
      </c>
      <c r="G67">
        <f>IF($Q67="","",IF(IF($G$3="","",INDEX(인턴계획표[[정규화1]:[정규화6]],$Q67,$G$3)&amp;"")="","",IF(LEFT(IF($G$3="","",INDEX(인턴계획표[[정규화1]:[정규화6]],$Q67,$G$3)&amp;""),1)="⚠","",IFERROR(MID(IF($G$3="","",INDEX(인턴계획표[[정규화1]:[정규화6]],$Q67,$G$3)&amp;""),FIND(" ",IF($G$3="","",INDEX(인턴계획표[[정규화1]:[정규화6]],$Q67,$G$3)&amp;""))+1,60),""))))</f>
        <v/>
      </c>
      <c r="H67">
        <f>IF($Q67="","",IF(IF($I$3="","",INDEX(인턴계획표[[정규화1]:[정규화6]],$Q67,$I$3)&amp;"")="","",IF(LEFT(IF($I$3="","",INDEX(인턴계획표[[정규화1]:[정규화6]],$Q67,$I$3)&amp;""),1)="⚠",IF($I$3="","",INDEX(인턴계획표[[정규화1]:[정규화6]],$Q67,$I$3)&amp;""),IFERROR(LEFT(IF($I$3="","",INDEX(인턴계획표[[정규화1]:[정규화6]],$Q67,$I$3)&amp;""),FIND(" ",IF($I$3="","",INDEX(인턴계획표[[정규화1]:[정규화6]],$Q67,$I$3)&amp;""))-1),IF($I$3="","",INDEX(인턴계획표[[정규화1]:[정규화6]],$Q67,$I$3)&amp;"")))))</f>
        <v/>
      </c>
      <c r="I67">
        <f>IF($Q67="","",IF(IF($I$3="","",INDEX(인턴계획표[[정규화1]:[정규화6]],$Q67,$I$3)&amp;"")="","",IF(LEFT(IF($I$3="","",INDEX(인턴계획표[[정규화1]:[정규화6]],$Q67,$I$3)&amp;""),1)="⚠","",IFERROR(MID(IF($I$3="","",INDEX(인턴계획표[[정규화1]:[정규화6]],$Q67,$I$3)&amp;""),FIND(" ",IF($I$3="","",INDEX(인턴계획표[[정규화1]:[정규화6]],$Q67,$I$3)&amp;""))+1,60),""))))</f>
        <v/>
      </c>
      <c r="J67">
        <f>IF($Q67="","",INDEX(인턴계획표[정규화1],$Q67))</f>
        <v/>
      </c>
      <c r="K67">
        <f>IF($Q67="","",INDEX(인턴계획표[정규화2],$Q67))</f>
        <v/>
      </c>
      <c r="L67">
        <f>IF($Q67="","",INDEX(인턴계획표[정규화3],$Q67))</f>
        <v/>
      </c>
      <c r="M67">
        <f>IF($Q67="","",INDEX(인턴계획표[정규화4],$Q67))</f>
        <v/>
      </c>
      <c r="N67">
        <f>IF($Q67="","",INDEX(인턴계획표[정규화5],$Q67))</f>
        <v/>
      </c>
      <c r="O67">
        <f>IF($Q67="","",INDEX(인턴계획표[정규화6],$Q67))</f>
        <v/>
      </c>
      <c r="P67">
        <f>IF($Q67="","",INDEX(인턴계획표[입력오류],$Q67))</f>
        <v/>
      </c>
      <c r="Q67" s="17">
        <f>IFERROR(MATCH(62,인턴계획표[표시순번],0),"")</f>
        <v/>
      </c>
    </row>
    <row r="68">
      <c r="A68">
        <f>IF($Q68="","",INDEX(인턴계획표[순번],$Q68)&amp;"")</f>
        <v/>
      </c>
      <c r="B68">
        <f>IF($Q68="","",TRIM(INDEX(인턴계획표[이름],$Q68)&amp;""))</f>
        <v/>
      </c>
      <c r="C68">
        <f>IF($Q68="","",INDEX(인턴계획표[사번],$Q68)&amp;"")</f>
        <v/>
      </c>
      <c r="D68">
        <f>IF($Q68="","",IF(COUNTIF(기본자료표[사번키],INDEX(인턴계획표[사번키],$Q68))&gt;0,"확인","미등록"))</f>
        <v/>
      </c>
      <c r="E68">
        <f>IF($Q68="","",IF(ISNUMBER(INDEX(인턴계획표[입사일(비고)],$Q68)),TEXT(INDEX(인턴계획표[입사일(비고)],$Q68),"yyyy-mm-dd"),INDEX(인턴계획표[입사일(비고)],$Q68)&amp;""))</f>
        <v/>
      </c>
      <c r="F68">
        <f>IF($Q68="","",IF(IF($G$3="","",INDEX(인턴계획표[[정규화1]:[정규화6]],$Q68,$G$3)&amp;"")="","",IF(LEFT(IF($G$3="","",INDEX(인턴계획표[[정규화1]:[정규화6]],$Q68,$G$3)&amp;""),1)="⚠",IF($G$3="","",INDEX(인턴계획표[[정규화1]:[정규화6]],$Q68,$G$3)&amp;""),IFERROR(LEFT(IF($G$3="","",INDEX(인턴계획표[[정규화1]:[정규화6]],$Q68,$G$3)&amp;""),FIND(" ",IF($G$3="","",INDEX(인턴계획표[[정규화1]:[정규화6]],$Q68,$G$3)&amp;""))-1),IF($G$3="","",INDEX(인턴계획표[[정규화1]:[정규화6]],$Q68,$G$3)&amp;"")))))</f>
        <v/>
      </c>
      <c r="G68">
        <f>IF($Q68="","",IF(IF($G$3="","",INDEX(인턴계획표[[정규화1]:[정규화6]],$Q68,$G$3)&amp;"")="","",IF(LEFT(IF($G$3="","",INDEX(인턴계획표[[정규화1]:[정규화6]],$Q68,$G$3)&amp;""),1)="⚠","",IFERROR(MID(IF($G$3="","",INDEX(인턴계획표[[정규화1]:[정규화6]],$Q68,$G$3)&amp;""),FIND(" ",IF($G$3="","",INDEX(인턴계획표[[정규화1]:[정규화6]],$Q68,$G$3)&amp;""))+1,60),""))))</f>
        <v/>
      </c>
      <c r="H68">
        <f>IF($Q68="","",IF(IF($I$3="","",INDEX(인턴계획표[[정규화1]:[정규화6]],$Q68,$I$3)&amp;"")="","",IF(LEFT(IF($I$3="","",INDEX(인턴계획표[[정규화1]:[정규화6]],$Q68,$I$3)&amp;""),1)="⚠",IF($I$3="","",INDEX(인턴계획표[[정규화1]:[정규화6]],$Q68,$I$3)&amp;""),IFERROR(LEFT(IF($I$3="","",INDEX(인턴계획표[[정규화1]:[정규화6]],$Q68,$I$3)&amp;""),FIND(" ",IF($I$3="","",INDEX(인턴계획표[[정규화1]:[정규화6]],$Q68,$I$3)&amp;""))-1),IF($I$3="","",INDEX(인턴계획표[[정규화1]:[정규화6]],$Q68,$I$3)&amp;"")))))</f>
        <v/>
      </c>
      <c r="I68">
        <f>IF($Q68="","",IF(IF($I$3="","",INDEX(인턴계획표[[정규화1]:[정규화6]],$Q68,$I$3)&amp;"")="","",IF(LEFT(IF($I$3="","",INDEX(인턴계획표[[정규화1]:[정규화6]],$Q68,$I$3)&amp;""),1)="⚠","",IFERROR(MID(IF($I$3="","",INDEX(인턴계획표[[정규화1]:[정규화6]],$Q68,$I$3)&amp;""),FIND(" ",IF($I$3="","",INDEX(인턴계획표[[정규화1]:[정규화6]],$Q68,$I$3)&amp;""))+1,60),""))))</f>
        <v/>
      </c>
      <c r="J68">
        <f>IF($Q68="","",INDEX(인턴계획표[정규화1],$Q68))</f>
        <v/>
      </c>
      <c r="K68">
        <f>IF($Q68="","",INDEX(인턴계획표[정규화2],$Q68))</f>
        <v/>
      </c>
      <c r="L68">
        <f>IF($Q68="","",INDEX(인턴계획표[정규화3],$Q68))</f>
        <v/>
      </c>
      <c r="M68">
        <f>IF($Q68="","",INDEX(인턴계획표[정규화4],$Q68))</f>
        <v/>
      </c>
      <c r="N68">
        <f>IF($Q68="","",INDEX(인턴계획표[정규화5],$Q68))</f>
        <v/>
      </c>
      <c r="O68">
        <f>IF($Q68="","",INDEX(인턴계획표[정규화6],$Q68))</f>
        <v/>
      </c>
      <c r="P68">
        <f>IF($Q68="","",INDEX(인턴계획표[입력오류],$Q68))</f>
        <v/>
      </c>
      <c r="Q68" s="17">
        <f>IFERROR(MATCH(63,인턴계획표[표시순번],0),"")</f>
        <v/>
      </c>
    </row>
    <row r="69">
      <c r="A69">
        <f>IF($Q69="","",INDEX(인턴계획표[순번],$Q69)&amp;"")</f>
        <v/>
      </c>
      <c r="B69">
        <f>IF($Q69="","",TRIM(INDEX(인턴계획표[이름],$Q69)&amp;""))</f>
        <v/>
      </c>
      <c r="C69">
        <f>IF($Q69="","",INDEX(인턴계획표[사번],$Q69)&amp;"")</f>
        <v/>
      </c>
      <c r="D69">
        <f>IF($Q69="","",IF(COUNTIF(기본자료표[사번키],INDEX(인턴계획표[사번키],$Q69))&gt;0,"확인","미등록"))</f>
        <v/>
      </c>
      <c r="E69">
        <f>IF($Q69="","",IF(ISNUMBER(INDEX(인턴계획표[입사일(비고)],$Q69)),TEXT(INDEX(인턴계획표[입사일(비고)],$Q69),"yyyy-mm-dd"),INDEX(인턴계획표[입사일(비고)],$Q69)&amp;""))</f>
        <v/>
      </c>
      <c r="F69">
        <f>IF($Q69="","",IF(IF($G$3="","",INDEX(인턴계획표[[정규화1]:[정규화6]],$Q69,$G$3)&amp;"")="","",IF(LEFT(IF($G$3="","",INDEX(인턴계획표[[정규화1]:[정규화6]],$Q69,$G$3)&amp;""),1)="⚠",IF($G$3="","",INDEX(인턴계획표[[정규화1]:[정규화6]],$Q69,$G$3)&amp;""),IFERROR(LEFT(IF($G$3="","",INDEX(인턴계획표[[정규화1]:[정규화6]],$Q69,$G$3)&amp;""),FIND(" ",IF($G$3="","",INDEX(인턴계획표[[정규화1]:[정규화6]],$Q69,$G$3)&amp;""))-1),IF($G$3="","",INDEX(인턴계획표[[정규화1]:[정규화6]],$Q69,$G$3)&amp;"")))))</f>
        <v/>
      </c>
      <c r="G69">
        <f>IF($Q69="","",IF(IF($G$3="","",INDEX(인턴계획표[[정규화1]:[정규화6]],$Q69,$G$3)&amp;"")="","",IF(LEFT(IF($G$3="","",INDEX(인턴계획표[[정규화1]:[정규화6]],$Q69,$G$3)&amp;""),1)="⚠","",IFERROR(MID(IF($G$3="","",INDEX(인턴계획표[[정규화1]:[정규화6]],$Q69,$G$3)&amp;""),FIND(" ",IF($G$3="","",INDEX(인턴계획표[[정규화1]:[정규화6]],$Q69,$G$3)&amp;""))+1,60),""))))</f>
        <v/>
      </c>
      <c r="H69">
        <f>IF($Q69="","",IF(IF($I$3="","",INDEX(인턴계획표[[정규화1]:[정규화6]],$Q69,$I$3)&amp;"")="","",IF(LEFT(IF($I$3="","",INDEX(인턴계획표[[정규화1]:[정규화6]],$Q69,$I$3)&amp;""),1)="⚠",IF($I$3="","",INDEX(인턴계획표[[정규화1]:[정규화6]],$Q69,$I$3)&amp;""),IFERROR(LEFT(IF($I$3="","",INDEX(인턴계획표[[정규화1]:[정규화6]],$Q69,$I$3)&amp;""),FIND(" ",IF($I$3="","",INDEX(인턴계획표[[정규화1]:[정규화6]],$Q69,$I$3)&amp;""))-1),IF($I$3="","",INDEX(인턴계획표[[정규화1]:[정규화6]],$Q69,$I$3)&amp;"")))))</f>
        <v/>
      </c>
      <c r="I69">
        <f>IF($Q69="","",IF(IF($I$3="","",INDEX(인턴계획표[[정규화1]:[정규화6]],$Q69,$I$3)&amp;"")="","",IF(LEFT(IF($I$3="","",INDEX(인턴계획표[[정규화1]:[정규화6]],$Q69,$I$3)&amp;""),1)="⚠","",IFERROR(MID(IF($I$3="","",INDEX(인턴계획표[[정규화1]:[정규화6]],$Q69,$I$3)&amp;""),FIND(" ",IF($I$3="","",INDEX(인턴계획표[[정규화1]:[정규화6]],$Q69,$I$3)&amp;""))+1,60),""))))</f>
        <v/>
      </c>
      <c r="J69">
        <f>IF($Q69="","",INDEX(인턴계획표[정규화1],$Q69))</f>
        <v/>
      </c>
      <c r="K69">
        <f>IF($Q69="","",INDEX(인턴계획표[정규화2],$Q69))</f>
        <v/>
      </c>
      <c r="L69">
        <f>IF($Q69="","",INDEX(인턴계획표[정규화3],$Q69))</f>
        <v/>
      </c>
      <c r="M69">
        <f>IF($Q69="","",INDEX(인턴계획표[정규화4],$Q69))</f>
        <v/>
      </c>
      <c r="N69">
        <f>IF($Q69="","",INDEX(인턴계획표[정규화5],$Q69))</f>
        <v/>
      </c>
      <c r="O69">
        <f>IF($Q69="","",INDEX(인턴계획표[정규화6],$Q69))</f>
        <v/>
      </c>
      <c r="P69">
        <f>IF($Q69="","",INDEX(인턴계획표[입력오류],$Q69))</f>
        <v/>
      </c>
      <c r="Q69" s="17">
        <f>IFERROR(MATCH(64,인턴계획표[표시순번],0),"")</f>
        <v/>
      </c>
    </row>
    <row r="70">
      <c r="A70">
        <f>IF($Q70="","",INDEX(인턴계획표[순번],$Q70)&amp;"")</f>
        <v/>
      </c>
      <c r="B70">
        <f>IF($Q70="","",TRIM(INDEX(인턴계획표[이름],$Q70)&amp;""))</f>
        <v/>
      </c>
      <c r="C70">
        <f>IF($Q70="","",INDEX(인턴계획표[사번],$Q70)&amp;"")</f>
        <v/>
      </c>
      <c r="D70">
        <f>IF($Q70="","",IF(COUNTIF(기본자료표[사번키],INDEX(인턴계획표[사번키],$Q70))&gt;0,"확인","미등록"))</f>
        <v/>
      </c>
      <c r="E70">
        <f>IF($Q70="","",IF(ISNUMBER(INDEX(인턴계획표[입사일(비고)],$Q70)),TEXT(INDEX(인턴계획표[입사일(비고)],$Q70),"yyyy-mm-dd"),INDEX(인턴계획표[입사일(비고)],$Q70)&amp;""))</f>
        <v/>
      </c>
      <c r="F70">
        <f>IF($Q70="","",IF(IF($G$3="","",INDEX(인턴계획표[[정규화1]:[정규화6]],$Q70,$G$3)&amp;"")="","",IF(LEFT(IF($G$3="","",INDEX(인턴계획표[[정규화1]:[정규화6]],$Q70,$G$3)&amp;""),1)="⚠",IF($G$3="","",INDEX(인턴계획표[[정규화1]:[정규화6]],$Q70,$G$3)&amp;""),IFERROR(LEFT(IF($G$3="","",INDEX(인턴계획표[[정규화1]:[정규화6]],$Q70,$G$3)&amp;""),FIND(" ",IF($G$3="","",INDEX(인턴계획표[[정규화1]:[정규화6]],$Q70,$G$3)&amp;""))-1),IF($G$3="","",INDEX(인턴계획표[[정규화1]:[정규화6]],$Q70,$G$3)&amp;"")))))</f>
        <v/>
      </c>
      <c r="G70">
        <f>IF($Q70="","",IF(IF($G$3="","",INDEX(인턴계획표[[정규화1]:[정규화6]],$Q70,$G$3)&amp;"")="","",IF(LEFT(IF($G$3="","",INDEX(인턴계획표[[정규화1]:[정규화6]],$Q70,$G$3)&amp;""),1)="⚠","",IFERROR(MID(IF($G$3="","",INDEX(인턴계획표[[정규화1]:[정규화6]],$Q70,$G$3)&amp;""),FIND(" ",IF($G$3="","",INDEX(인턴계획표[[정규화1]:[정규화6]],$Q70,$G$3)&amp;""))+1,60),""))))</f>
        <v/>
      </c>
      <c r="H70">
        <f>IF($Q70="","",IF(IF($I$3="","",INDEX(인턴계획표[[정규화1]:[정규화6]],$Q70,$I$3)&amp;"")="","",IF(LEFT(IF($I$3="","",INDEX(인턴계획표[[정규화1]:[정규화6]],$Q70,$I$3)&amp;""),1)="⚠",IF($I$3="","",INDEX(인턴계획표[[정규화1]:[정규화6]],$Q70,$I$3)&amp;""),IFERROR(LEFT(IF($I$3="","",INDEX(인턴계획표[[정규화1]:[정규화6]],$Q70,$I$3)&amp;""),FIND(" ",IF($I$3="","",INDEX(인턴계획표[[정규화1]:[정규화6]],$Q70,$I$3)&amp;""))-1),IF($I$3="","",INDEX(인턴계획표[[정규화1]:[정규화6]],$Q70,$I$3)&amp;"")))))</f>
        <v/>
      </c>
      <c r="I70">
        <f>IF($Q70="","",IF(IF($I$3="","",INDEX(인턴계획표[[정규화1]:[정규화6]],$Q70,$I$3)&amp;"")="","",IF(LEFT(IF($I$3="","",INDEX(인턴계획표[[정규화1]:[정규화6]],$Q70,$I$3)&amp;""),1)="⚠","",IFERROR(MID(IF($I$3="","",INDEX(인턴계획표[[정규화1]:[정규화6]],$Q70,$I$3)&amp;""),FIND(" ",IF($I$3="","",INDEX(인턴계획표[[정규화1]:[정규화6]],$Q70,$I$3)&amp;""))+1,60),""))))</f>
        <v/>
      </c>
      <c r="J70">
        <f>IF($Q70="","",INDEX(인턴계획표[정규화1],$Q70))</f>
        <v/>
      </c>
      <c r="K70">
        <f>IF($Q70="","",INDEX(인턴계획표[정규화2],$Q70))</f>
        <v/>
      </c>
      <c r="L70">
        <f>IF($Q70="","",INDEX(인턴계획표[정규화3],$Q70))</f>
        <v/>
      </c>
      <c r="M70">
        <f>IF($Q70="","",INDEX(인턴계획표[정규화4],$Q70))</f>
        <v/>
      </c>
      <c r="N70">
        <f>IF($Q70="","",INDEX(인턴계획표[정규화5],$Q70))</f>
        <v/>
      </c>
      <c r="O70">
        <f>IF($Q70="","",INDEX(인턴계획표[정규화6],$Q70))</f>
        <v/>
      </c>
      <c r="P70">
        <f>IF($Q70="","",INDEX(인턴계획표[입력오류],$Q70))</f>
        <v/>
      </c>
      <c r="Q70" s="17">
        <f>IFERROR(MATCH(65,인턴계획표[표시순번],0),"")</f>
        <v/>
      </c>
    </row>
    <row r="71">
      <c r="A71">
        <f>IF($Q71="","",INDEX(인턴계획표[순번],$Q71)&amp;"")</f>
        <v/>
      </c>
      <c r="B71">
        <f>IF($Q71="","",TRIM(INDEX(인턴계획표[이름],$Q71)&amp;""))</f>
        <v/>
      </c>
      <c r="C71">
        <f>IF($Q71="","",INDEX(인턴계획표[사번],$Q71)&amp;"")</f>
        <v/>
      </c>
      <c r="D71">
        <f>IF($Q71="","",IF(COUNTIF(기본자료표[사번키],INDEX(인턴계획표[사번키],$Q71))&gt;0,"확인","미등록"))</f>
        <v/>
      </c>
      <c r="E71">
        <f>IF($Q71="","",IF(ISNUMBER(INDEX(인턴계획표[입사일(비고)],$Q71)),TEXT(INDEX(인턴계획표[입사일(비고)],$Q71),"yyyy-mm-dd"),INDEX(인턴계획표[입사일(비고)],$Q71)&amp;""))</f>
        <v/>
      </c>
      <c r="F71">
        <f>IF($Q71="","",IF(IF($G$3="","",INDEX(인턴계획표[[정규화1]:[정규화6]],$Q71,$G$3)&amp;"")="","",IF(LEFT(IF($G$3="","",INDEX(인턴계획표[[정규화1]:[정규화6]],$Q71,$G$3)&amp;""),1)="⚠",IF($G$3="","",INDEX(인턴계획표[[정규화1]:[정규화6]],$Q71,$G$3)&amp;""),IFERROR(LEFT(IF($G$3="","",INDEX(인턴계획표[[정규화1]:[정규화6]],$Q71,$G$3)&amp;""),FIND(" ",IF($G$3="","",INDEX(인턴계획표[[정규화1]:[정규화6]],$Q71,$G$3)&amp;""))-1),IF($G$3="","",INDEX(인턴계획표[[정규화1]:[정규화6]],$Q71,$G$3)&amp;"")))))</f>
        <v/>
      </c>
      <c r="G71">
        <f>IF($Q71="","",IF(IF($G$3="","",INDEX(인턴계획표[[정규화1]:[정규화6]],$Q71,$G$3)&amp;"")="","",IF(LEFT(IF($G$3="","",INDEX(인턴계획표[[정규화1]:[정규화6]],$Q71,$G$3)&amp;""),1)="⚠","",IFERROR(MID(IF($G$3="","",INDEX(인턴계획표[[정규화1]:[정규화6]],$Q71,$G$3)&amp;""),FIND(" ",IF($G$3="","",INDEX(인턴계획표[[정규화1]:[정규화6]],$Q71,$G$3)&amp;""))+1,60),""))))</f>
        <v/>
      </c>
      <c r="H71">
        <f>IF($Q71="","",IF(IF($I$3="","",INDEX(인턴계획표[[정규화1]:[정규화6]],$Q71,$I$3)&amp;"")="","",IF(LEFT(IF($I$3="","",INDEX(인턴계획표[[정규화1]:[정규화6]],$Q71,$I$3)&amp;""),1)="⚠",IF($I$3="","",INDEX(인턴계획표[[정규화1]:[정규화6]],$Q71,$I$3)&amp;""),IFERROR(LEFT(IF($I$3="","",INDEX(인턴계획표[[정규화1]:[정규화6]],$Q71,$I$3)&amp;""),FIND(" ",IF($I$3="","",INDEX(인턴계획표[[정규화1]:[정규화6]],$Q71,$I$3)&amp;""))-1),IF($I$3="","",INDEX(인턴계획표[[정규화1]:[정규화6]],$Q71,$I$3)&amp;"")))))</f>
        <v/>
      </c>
      <c r="I71">
        <f>IF($Q71="","",IF(IF($I$3="","",INDEX(인턴계획표[[정규화1]:[정규화6]],$Q71,$I$3)&amp;"")="","",IF(LEFT(IF($I$3="","",INDEX(인턴계획표[[정규화1]:[정규화6]],$Q71,$I$3)&amp;""),1)="⚠","",IFERROR(MID(IF($I$3="","",INDEX(인턴계획표[[정규화1]:[정규화6]],$Q71,$I$3)&amp;""),FIND(" ",IF($I$3="","",INDEX(인턴계획표[[정규화1]:[정규화6]],$Q71,$I$3)&amp;""))+1,60),""))))</f>
        <v/>
      </c>
      <c r="J71">
        <f>IF($Q71="","",INDEX(인턴계획표[정규화1],$Q71))</f>
        <v/>
      </c>
      <c r="K71">
        <f>IF($Q71="","",INDEX(인턴계획표[정규화2],$Q71))</f>
        <v/>
      </c>
      <c r="L71">
        <f>IF($Q71="","",INDEX(인턴계획표[정규화3],$Q71))</f>
        <v/>
      </c>
      <c r="M71">
        <f>IF($Q71="","",INDEX(인턴계획표[정규화4],$Q71))</f>
        <v/>
      </c>
      <c r="N71">
        <f>IF($Q71="","",INDEX(인턴계획표[정규화5],$Q71))</f>
        <v/>
      </c>
      <c r="O71">
        <f>IF($Q71="","",INDEX(인턴계획표[정규화6],$Q71))</f>
        <v/>
      </c>
      <c r="P71">
        <f>IF($Q71="","",INDEX(인턴계획표[입력오류],$Q71))</f>
        <v/>
      </c>
      <c r="Q71" s="17">
        <f>IFERROR(MATCH(66,인턴계획표[표시순번],0),"")</f>
        <v/>
      </c>
    </row>
    <row r="72">
      <c r="A72">
        <f>IF($Q72="","",INDEX(인턴계획표[순번],$Q72)&amp;"")</f>
        <v/>
      </c>
      <c r="B72">
        <f>IF($Q72="","",TRIM(INDEX(인턴계획표[이름],$Q72)&amp;""))</f>
        <v/>
      </c>
      <c r="C72">
        <f>IF($Q72="","",INDEX(인턴계획표[사번],$Q72)&amp;"")</f>
        <v/>
      </c>
      <c r="D72">
        <f>IF($Q72="","",IF(COUNTIF(기본자료표[사번키],INDEX(인턴계획표[사번키],$Q72))&gt;0,"확인","미등록"))</f>
        <v/>
      </c>
      <c r="E72">
        <f>IF($Q72="","",IF(ISNUMBER(INDEX(인턴계획표[입사일(비고)],$Q72)),TEXT(INDEX(인턴계획표[입사일(비고)],$Q72),"yyyy-mm-dd"),INDEX(인턴계획표[입사일(비고)],$Q72)&amp;""))</f>
        <v/>
      </c>
      <c r="F72">
        <f>IF($Q72="","",IF(IF($G$3="","",INDEX(인턴계획표[[정규화1]:[정규화6]],$Q72,$G$3)&amp;"")="","",IF(LEFT(IF($G$3="","",INDEX(인턴계획표[[정규화1]:[정규화6]],$Q72,$G$3)&amp;""),1)="⚠",IF($G$3="","",INDEX(인턴계획표[[정규화1]:[정규화6]],$Q72,$G$3)&amp;""),IFERROR(LEFT(IF($G$3="","",INDEX(인턴계획표[[정규화1]:[정규화6]],$Q72,$G$3)&amp;""),FIND(" ",IF($G$3="","",INDEX(인턴계획표[[정규화1]:[정규화6]],$Q72,$G$3)&amp;""))-1),IF($G$3="","",INDEX(인턴계획표[[정규화1]:[정규화6]],$Q72,$G$3)&amp;"")))))</f>
        <v/>
      </c>
      <c r="G72">
        <f>IF($Q72="","",IF(IF($G$3="","",INDEX(인턴계획표[[정규화1]:[정규화6]],$Q72,$G$3)&amp;"")="","",IF(LEFT(IF($G$3="","",INDEX(인턴계획표[[정규화1]:[정규화6]],$Q72,$G$3)&amp;""),1)="⚠","",IFERROR(MID(IF($G$3="","",INDEX(인턴계획표[[정규화1]:[정규화6]],$Q72,$G$3)&amp;""),FIND(" ",IF($G$3="","",INDEX(인턴계획표[[정규화1]:[정규화6]],$Q72,$G$3)&amp;""))+1,60),""))))</f>
        <v/>
      </c>
      <c r="H72">
        <f>IF($Q72="","",IF(IF($I$3="","",INDEX(인턴계획표[[정규화1]:[정규화6]],$Q72,$I$3)&amp;"")="","",IF(LEFT(IF($I$3="","",INDEX(인턴계획표[[정규화1]:[정규화6]],$Q72,$I$3)&amp;""),1)="⚠",IF($I$3="","",INDEX(인턴계획표[[정규화1]:[정규화6]],$Q72,$I$3)&amp;""),IFERROR(LEFT(IF($I$3="","",INDEX(인턴계획표[[정규화1]:[정규화6]],$Q72,$I$3)&amp;""),FIND(" ",IF($I$3="","",INDEX(인턴계획표[[정규화1]:[정규화6]],$Q72,$I$3)&amp;""))-1),IF($I$3="","",INDEX(인턴계획표[[정규화1]:[정규화6]],$Q72,$I$3)&amp;"")))))</f>
        <v/>
      </c>
      <c r="I72">
        <f>IF($Q72="","",IF(IF($I$3="","",INDEX(인턴계획표[[정규화1]:[정규화6]],$Q72,$I$3)&amp;"")="","",IF(LEFT(IF($I$3="","",INDEX(인턴계획표[[정규화1]:[정규화6]],$Q72,$I$3)&amp;""),1)="⚠","",IFERROR(MID(IF($I$3="","",INDEX(인턴계획표[[정규화1]:[정규화6]],$Q72,$I$3)&amp;""),FIND(" ",IF($I$3="","",INDEX(인턴계획표[[정규화1]:[정규화6]],$Q72,$I$3)&amp;""))+1,60),""))))</f>
        <v/>
      </c>
      <c r="J72">
        <f>IF($Q72="","",INDEX(인턴계획표[정규화1],$Q72))</f>
        <v/>
      </c>
      <c r="K72">
        <f>IF($Q72="","",INDEX(인턴계획표[정규화2],$Q72))</f>
        <v/>
      </c>
      <c r="L72">
        <f>IF($Q72="","",INDEX(인턴계획표[정규화3],$Q72))</f>
        <v/>
      </c>
      <c r="M72">
        <f>IF($Q72="","",INDEX(인턴계획표[정규화4],$Q72))</f>
        <v/>
      </c>
      <c r="N72">
        <f>IF($Q72="","",INDEX(인턴계획표[정규화5],$Q72))</f>
        <v/>
      </c>
      <c r="O72">
        <f>IF($Q72="","",INDEX(인턴계획표[정규화6],$Q72))</f>
        <v/>
      </c>
      <c r="P72">
        <f>IF($Q72="","",INDEX(인턴계획표[입력오류],$Q72))</f>
        <v/>
      </c>
      <c r="Q72" s="17">
        <f>IFERROR(MATCH(67,인턴계획표[표시순번],0),"")</f>
        <v/>
      </c>
    </row>
    <row r="73">
      <c r="A73">
        <f>IF($Q73="","",INDEX(인턴계획표[순번],$Q73)&amp;"")</f>
        <v/>
      </c>
      <c r="B73">
        <f>IF($Q73="","",TRIM(INDEX(인턴계획표[이름],$Q73)&amp;""))</f>
        <v/>
      </c>
      <c r="C73">
        <f>IF($Q73="","",INDEX(인턴계획표[사번],$Q73)&amp;"")</f>
        <v/>
      </c>
      <c r="D73">
        <f>IF($Q73="","",IF(COUNTIF(기본자료표[사번키],INDEX(인턴계획표[사번키],$Q73))&gt;0,"확인","미등록"))</f>
        <v/>
      </c>
      <c r="E73">
        <f>IF($Q73="","",IF(ISNUMBER(INDEX(인턴계획표[입사일(비고)],$Q73)),TEXT(INDEX(인턴계획표[입사일(비고)],$Q73),"yyyy-mm-dd"),INDEX(인턴계획표[입사일(비고)],$Q73)&amp;""))</f>
        <v/>
      </c>
      <c r="F73">
        <f>IF($Q73="","",IF(IF($G$3="","",INDEX(인턴계획표[[정규화1]:[정규화6]],$Q73,$G$3)&amp;"")="","",IF(LEFT(IF($G$3="","",INDEX(인턴계획표[[정규화1]:[정규화6]],$Q73,$G$3)&amp;""),1)="⚠",IF($G$3="","",INDEX(인턴계획표[[정규화1]:[정규화6]],$Q73,$G$3)&amp;""),IFERROR(LEFT(IF($G$3="","",INDEX(인턴계획표[[정규화1]:[정규화6]],$Q73,$G$3)&amp;""),FIND(" ",IF($G$3="","",INDEX(인턴계획표[[정규화1]:[정규화6]],$Q73,$G$3)&amp;""))-1),IF($G$3="","",INDEX(인턴계획표[[정규화1]:[정규화6]],$Q73,$G$3)&amp;"")))))</f>
        <v/>
      </c>
      <c r="G73">
        <f>IF($Q73="","",IF(IF($G$3="","",INDEX(인턴계획표[[정규화1]:[정규화6]],$Q73,$G$3)&amp;"")="","",IF(LEFT(IF($G$3="","",INDEX(인턴계획표[[정규화1]:[정규화6]],$Q73,$G$3)&amp;""),1)="⚠","",IFERROR(MID(IF($G$3="","",INDEX(인턴계획표[[정규화1]:[정규화6]],$Q73,$G$3)&amp;""),FIND(" ",IF($G$3="","",INDEX(인턴계획표[[정규화1]:[정규화6]],$Q73,$G$3)&amp;""))+1,60),""))))</f>
        <v/>
      </c>
      <c r="H73">
        <f>IF($Q73="","",IF(IF($I$3="","",INDEX(인턴계획표[[정규화1]:[정규화6]],$Q73,$I$3)&amp;"")="","",IF(LEFT(IF($I$3="","",INDEX(인턴계획표[[정규화1]:[정규화6]],$Q73,$I$3)&amp;""),1)="⚠",IF($I$3="","",INDEX(인턴계획표[[정규화1]:[정규화6]],$Q73,$I$3)&amp;""),IFERROR(LEFT(IF($I$3="","",INDEX(인턴계획표[[정규화1]:[정규화6]],$Q73,$I$3)&amp;""),FIND(" ",IF($I$3="","",INDEX(인턴계획표[[정규화1]:[정규화6]],$Q73,$I$3)&amp;""))-1),IF($I$3="","",INDEX(인턴계획표[[정규화1]:[정규화6]],$Q73,$I$3)&amp;"")))))</f>
        <v/>
      </c>
      <c r="I73">
        <f>IF($Q73="","",IF(IF($I$3="","",INDEX(인턴계획표[[정규화1]:[정규화6]],$Q73,$I$3)&amp;"")="","",IF(LEFT(IF($I$3="","",INDEX(인턴계획표[[정규화1]:[정규화6]],$Q73,$I$3)&amp;""),1)="⚠","",IFERROR(MID(IF($I$3="","",INDEX(인턴계획표[[정규화1]:[정규화6]],$Q73,$I$3)&amp;""),FIND(" ",IF($I$3="","",INDEX(인턴계획표[[정규화1]:[정규화6]],$Q73,$I$3)&amp;""))+1,60),""))))</f>
        <v/>
      </c>
      <c r="J73">
        <f>IF($Q73="","",INDEX(인턴계획표[정규화1],$Q73))</f>
        <v/>
      </c>
      <c r="K73">
        <f>IF($Q73="","",INDEX(인턴계획표[정규화2],$Q73))</f>
        <v/>
      </c>
      <c r="L73">
        <f>IF($Q73="","",INDEX(인턴계획표[정규화3],$Q73))</f>
        <v/>
      </c>
      <c r="M73">
        <f>IF($Q73="","",INDEX(인턴계획표[정규화4],$Q73))</f>
        <v/>
      </c>
      <c r="N73">
        <f>IF($Q73="","",INDEX(인턴계획표[정규화5],$Q73))</f>
        <v/>
      </c>
      <c r="O73">
        <f>IF($Q73="","",INDEX(인턴계획표[정규화6],$Q73))</f>
        <v/>
      </c>
      <c r="P73">
        <f>IF($Q73="","",INDEX(인턴계획표[입력오류],$Q73))</f>
        <v/>
      </c>
      <c r="Q73" s="17">
        <f>IFERROR(MATCH(68,인턴계획표[표시순번],0),"")</f>
        <v/>
      </c>
    </row>
    <row r="74">
      <c r="A74">
        <f>IF($Q74="","",INDEX(인턴계획표[순번],$Q74)&amp;"")</f>
        <v/>
      </c>
      <c r="B74">
        <f>IF($Q74="","",TRIM(INDEX(인턴계획표[이름],$Q74)&amp;""))</f>
        <v/>
      </c>
      <c r="C74">
        <f>IF($Q74="","",INDEX(인턴계획표[사번],$Q74)&amp;"")</f>
        <v/>
      </c>
      <c r="D74">
        <f>IF($Q74="","",IF(COUNTIF(기본자료표[사번키],INDEX(인턴계획표[사번키],$Q74))&gt;0,"확인","미등록"))</f>
        <v/>
      </c>
      <c r="E74">
        <f>IF($Q74="","",IF(ISNUMBER(INDEX(인턴계획표[입사일(비고)],$Q74)),TEXT(INDEX(인턴계획표[입사일(비고)],$Q74),"yyyy-mm-dd"),INDEX(인턴계획표[입사일(비고)],$Q74)&amp;""))</f>
        <v/>
      </c>
      <c r="F74">
        <f>IF($Q74="","",IF(IF($G$3="","",INDEX(인턴계획표[[정규화1]:[정규화6]],$Q74,$G$3)&amp;"")="","",IF(LEFT(IF($G$3="","",INDEX(인턴계획표[[정규화1]:[정규화6]],$Q74,$G$3)&amp;""),1)="⚠",IF($G$3="","",INDEX(인턴계획표[[정규화1]:[정규화6]],$Q74,$G$3)&amp;""),IFERROR(LEFT(IF($G$3="","",INDEX(인턴계획표[[정규화1]:[정규화6]],$Q74,$G$3)&amp;""),FIND(" ",IF($G$3="","",INDEX(인턴계획표[[정규화1]:[정규화6]],$Q74,$G$3)&amp;""))-1),IF($G$3="","",INDEX(인턴계획표[[정규화1]:[정규화6]],$Q74,$G$3)&amp;"")))))</f>
        <v/>
      </c>
      <c r="G74">
        <f>IF($Q74="","",IF(IF($G$3="","",INDEX(인턴계획표[[정규화1]:[정규화6]],$Q74,$G$3)&amp;"")="","",IF(LEFT(IF($G$3="","",INDEX(인턴계획표[[정규화1]:[정규화6]],$Q74,$G$3)&amp;""),1)="⚠","",IFERROR(MID(IF($G$3="","",INDEX(인턴계획표[[정규화1]:[정규화6]],$Q74,$G$3)&amp;""),FIND(" ",IF($G$3="","",INDEX(인턴계획표[[정규화1]:[정규화6]],$Q74,$G$3)&amp;""))+1,60),""))))</f>
        <v/>
      </c>
      <c r="H74">
        <f>IF($Q74="","",IF(IF($I$3="","",INDEX(인턴계획표[[정규화1]:[정규화6]],$Q74,$I$3)&amp;"")="","",IF(LEFT(IF($I$3="","",INDEX(인턴계획표[[정규화1]:[정규화6]],$Q74,$I$3)&amp;""),1)="⚠",IF($I$3="","",INDEX(인턴계획표[[정규화1]:[정규화6]],$Q74,$I$3)&amp;""),IFERROR(LEFT(IF($I$3="","",INDEX(인턴계획표[[정규화1]:[정규화6]],$Q74,$I$3)&amp;""),FIND(" ",IF($I$3="","",INDEX(인턴계획표[[정규화1]:[정규화6]],$Q74,$I$3)&amp;""))-1),IF($I$3="","",INDEX(인턴계획표[[정규화1]:[정규화6]],$Q74,$I$3)&amp;"")))))</f>
        <v/>
      </c>
      <c r="I74">
        <f>IF($Q74="","",IF(IF($I$3="","",INDEX(인턴계획표[[정규화1]:[정규화6]],$Q74,$I$3)&amp;"")="","",IF(LEFT(IF($I$3="","",INDEX(인턴계획표[[정규화1]:[정규화6]],$Q74,$I$3)&amp;""),1)="⚠","",IFERROR(MID(IF($I$3="","",INDEX(인턴계획표[[정규화1]:[정규화6]],$Q74,$I$3)&amp;""),FIND(" ",IF($I$3="","",INDEX(인턴계획표[[정규화1]:[정규화6]],$Q74,$I$3)&amp;""))+1,60),""))))</f>
        <v/>
      </c>
      <c r="J74">
        <f>IF($Q74="","",INDEX(인턴계획표[정규화1],$Q74))</f>
        <v/>
      </c>
      <c r="K74">
        <f>IF($Q74="","",INDEX(인턴계획표[정규화2],$Q74))</f>
        <v/>
      </c>
      <c r="L74">
        <f>IF($Q74="","",INDEX(인턴계획표[정규화3],$Q74))</f>
        <v/>
      </c>
      <c r="M74">
        <f>IF($Q74="","",INDEX(인턴계획표[정규화4],$Q74))</f>
        <v/>
      </c>
      <c r="N74">
        <f>IF($Q74="","",INDEX(인턴계획표[정규화5],$Q74))</f>
        <v/>
      </c>
      <c r="O74">
        <f>IF($Q74="","",INDEX(인턴계획표[정규화6],$Q74))</f>
        <v/>
      </c>
      <c r="P74">
        <f>IF($Q74="","",INDEX(인턴계획표[입력오류],$Q74))</f>
        <v/>
      </c>
      <c r="Q74" s="17">
        <f>IFERROR(MATCH(69,인턴계획표[표시순번],0),"")</f>
        <v/>
      </c>
    </row>
    <row r="75">
      <c r="A75">
        <f>IF($Q75="","",INDEX(인턴계획표[순번],$Q75)&amp;"")</f>
        <v/>
      </c>
      <c r="B75">
        <f>IF($Q75="","",TRIM(INDEX(인턴계획표[이름],$Q75)&amp;""))</f>
        <v/>
      </c>
      <c r="C75">
        <f>IF($Q75="","",INDEX(인턴계획표[사번],$Q75)&amp;"")</f>
        <v/>
      </c>
      <c r="D75">
        <f>IF($Q75="","",IF(COUNTIF(기본자료표[사번키],INDEX(인턴계획표[사번키],$Q75))&gt;0,"확인","미등록"))</f>
        <v/>
      </c>
      <c r="E75">
        <f>IF($Q75="","",IF(ISNUMBER(INDEX(인턴계획표[입사일(비고)],$Q75)),TEXT(INDEX(인턴계획표[입사일(비고)],$Q75),"yyyy-mm-dd"),INDEX(인턴계획표[입사일(비고)],$Q75)&amp;""))</f>
        <v/>
      </c>
      <c r="F75">
        <f>IF($Q75="","",IF(IF($G$3="","",INDEX(인턴계획표[[정규화1]:[정규화6]],$Q75,$G$3)&amp;"")="","",IF(LEFT(IF($G$3="","",INDEX(인턴계획표[[정규화1]:[정규화6]],$Q75,$G$3)&amp;""),1)="⚠",IF($G$3="","",INDEX(인턴계획표[[정규화1]:[정규화6]],$Q75,$G$3)&amp;""),IFERROR(LEFT(IF($G$3="","",INDEX(인턴계획표[[정규화1]:[정규화6]],$Q75,$G$3)&amp;""),FIND(" ",IF($G$3="","",INDEX(인턴계획표[[정규화1]:[정규화6]],$Q75,$G$3)&amp;""))-1),IF($G$3="","",INDEX(인턴계획표[[정규화1]:[정규화6]],$Q75,$G$3)&amp;"")))))</f>
        <v/>
      </c>
      <c r="G75">
        <f>IF($Q75="","",IF(IF($G$3="","",INDEX(인턴계획표[[정규화1]:[정규화6]],$Q75,$G$3)&amp;"")="","",IF(LEFT(IF($G$3="","",INDEX(인턴계획표[[정규화1]:[정규화6]],$Q75,$G$3)&amp;""),1)="⚠","",IFERROR(MID(IF($G$3="","",INDEX(인턴계획표[[정규화1]:[정규화6]],$Q75,$G$3)&amp;""),FIND(" ",IF($G$3="","",INDEX(인턴계획표[[정규화1]:[정규화6]],$Q75,$G$3)&amp;""))+1,60),""))))</f>
        <v/>
      </c>
      <c r="H75">
        <f>IF($Q75="","",IF(IF($I$3="","",INDEX(인턴계획표[[정규화1]:[정규화6]],$Q75,$I$3)&amp;"")="","",IF(LEFT(IF($I$3="","",INDEX(인턴계획표[[정규화1]:[정규화6]],$Q75,$I$3)&amp;""),1)="⚠",IF($I$3="","",INDEX(인턴계획표[[정규화1]:[정규화6]],$Q75,$I$3)&amp;""),IFERROR(LEFT(IF($I$3="","",INDEX(인턴계획표[[정규화1]:[정규화6]],$Q75,$I$3)&amp;""),FIND(" ",IF($I$3="","",INDEX(인턴계획표[[정규화1]:[정규화6]],$Q75,$I$3)&amp;""))-1),IF($I$3="","",INDEX(인턴계획표[[정규화1]:[정규화6]],$Q75,$I$3)&amp;"")))))</f>
        <v/>
      </c>
      <c r="I75">
        <f>IF($Q75="","",IF(IF($I$3="","",INDEX(인턴계획표[[정규화1]:[정규화6]],$Q75,$I$3)&amp;"")="","",IF(LEFT(IF($I$3="","",INDEX(인턴계획표[[정규화1]:[정규화6]],$Q75,$I$3)&amp;""),1)="⚠","",IFERROR(MID(IF($I$3="","",INDEX(인턴계획표[[정규화1]:[정규화6]],$Q75,$I$3)&amp;""),FIND(" ",IF($I$3="","",INDEX(인턴계획표[[정규화1]:[정규화6]],$Q75,$I$3)&amp;""))+1,60),""))))</f>
        <v/>
      </c>
      <c r="J75">
        <f>IF($Q75="","",INDEX(인턴계획표[정규화1],$Q75))</f>
        <v/>
      </c>
      <c r="K75">
        <f>IF($Q75="","",INDEX(인턴계획표[정규화2],$Q75))</f>
        <v/>
      </c>
      <c r="L75">
        <f>IF($Q75="","",INDEX(인턴계획표[정규화3],$Q75))</f>
        <v/>
      </c>
      <c r="M75">
        <f>IF($Q75="","",INDEX(인턴계획표[정규화4],$Q75))</f>
        <v/>
      </c>
      <c r="N75">
        <f>IF($Q75="","",INDEX(인턴계획표[정규화5],$Q75))</f>
        <v/>
      </c>
      <c r="O75">
        <f>IF($Q75="","",INDEX(인턴계획표[정규화6],$Q75))</f>
        <v/>
      </c>
      <c r="P75">
        <f>IF($Q75="","",INDEX(인턴계획표[입력오류],$Q75))</f>
        <v/>
      </c>
      <c r="Q75" s="17">
        <f>IFERROR(MATCH(70,인턴계획표[표시순번],0),"")</f>
        <v/>
      </c>
    </row>
    <row r="76">
      <c r="A76">
        <f>IF($Q76="","",INDEX(인턴계획표[순번],$Q76)&amp;"")</f>
        <v/>
      </c>
      <c r="B76">
        <f>IF($Q76="","",TRIM(INDEX(인턴계획표[이름],$Q76)&amp;""))</f>
        <v/>
      </c>
      <c r="C76">
        <f>IF($Q76="","",INDEX(인턴계획표[사번],$Q76)&amp;"")</f>
        <v/>
      </c>
      <c r="D76">
        <f>IF($Q76="","",IF(COUNTIF(기본자료표[사번키],INDEX(인턴계획표[사번키],$Q76))&gt;0,"확인","미등록"))</f>
        <v/>
      </c>
      <c r="E76">
        <f>IF($Q76="","",IF(ISNUMBER(INDEX(인턴계획표[입사일(비고)],$Q76)),TEXT(INDEX(인턴계획표[입사일(비고)],$Q76),"yyyy-mm-dd"),INDEX(인턴계획표[입사일(비고)],$Q76)&amp;""))</f>
        <v/>
      </c>
      <c r="F76">
        <f>IF($Q76="","",IF(IF($G$3="","",INDEX(인턴계획표[[정규화1]:[정규화6]],$Q76,$G$3)&amp;"")="","",IF(LEFT(IF($G$3="","",INDEX(인턴계획표[[정규화1]:[정규화6]],$Q76,$G$3)&amp;""),1)="⚠",IF($G$3="","",INDEX(인턴계획표[[정규화1]:[정규화6]],$Q76,$G$3)&amp;""),IFERROR(LEFT(IF($G$3="","",INDEX(인턴계획표[[정규화1]:[정규화6]],$Q76,$G$3)&amp;""),FIND(" ",IF($G$3="","",INDEX(인턴계획표[[정규화1]:[정규화6]],$Q76,$G$3)&amp;""))-1),IF($G$3="","",INDEX(인턴계획표[[정규화1]:[정규화6]],$Q76,$G$3)&amp;"")))))</f>
        <v/>
      </c>
      <c r="G76">
        <f>IF($Q76="","",IF(IF($G$3="","",INDEX(인턴계획표[[정규화1]:[정규화6]],$Q76,$G$3)&amp;"")="","",IF(LEFT(IF($G$3="","",INDEX(인턴계획표[[정규화1]:[정규화6]],$Q76,$G$3)&amp;""),1)="⚠","",IFERROR(MID(IF($G$3="","",INDEX(인턴계획표[[정규화1]:[정규화6]],$Q76,$G$3)&amp;""),FIND(" ",IF($G$3="","",INDEX(인턴계획표[[정규화1]:[정규화6]],$Q76,$G$3)&amp;""))+1,60),""))))</f>
        <v/>
      </c>
      <c r="H76">
        <f>IF($Q76="","",IF(IF($I$3="","",INDEX(인턴계획표[[정규화1]:[정규화6]],$Q76,$I$3)&amp;"")="","",IF(LEFT(IF($I$3="","",INDEX(인턴계획표[[정규화1]:[정규화6]],$Q76,$I$3)&amp;""),1)="⚠",IF($I$3="","",INDEX(인턴계획표[[정규화1]:[정규화6]],$Q76,$I$3)&amp;""),IFERROR(LEFT(IF($I$3="","",INDEX(인턴계획표[[정규화1]:[정규화6]],$Q76,$I$3)&amp;""),FIND(" ",IF($I$3="","",INDEX(인턴계획표[[정규화1]:[정규화6]],$Q76,$I$3)&amp;""))-1),IF($I$3="","",INDEX(인턴계획표[[정규화1]:[정규화6]],$Q76,$I$3)&amp;"")))))</f>
        <v/>
      </c>
      <c r="I76">
        <f>IF($Q76="","",IF(IF($I$3="","",INDEX(인턴계획표[[정규화1]:[정규화6]],$Q76,$I$3)&amp;"")="","",IF(LEFT(IF($I$3="","",INDEX(인턴계획표[[정규화1]:[정규화6]],$Q76,$I$3)&amp;""),1)="⚠","",IFERROR(MID(IF($I$3="","",INDEX(인턴계획표[[정규화1]:[정규화6]],$Q76,$I$3)&amp;""),FIND(" ",IF($I$3="","",INDEX(인턴계획표[[정규화1]:[정규화6]],$Q76,$I$3)&amp;""))+1,60),""))))</f>
        <v/>
      </c>
      <c r="J76">
        <f>IF($Q76="","",INDEX(인턴계획표[정규화1],$Q76))</f>
        <v/>
      </c>
      <c r="K76">
        <f>IF($Q76="","",INDEX(인턴계획표[정규화2],$Q76))</f>
        <v/>
      </c>
      <c r="L76">
        <f>IF($Q76="","",INDEX(인턴계획표[정규화3],$Q76))</f>
        <v/>
      </c>
      <c r="M76">
        <f>IF($Q76="","",INDEX(인턴계획표[정규화4],$Q76))</f>
        <v/>
      </c>
      <c r="N76">
        <f>IF($Q76="","",INDEX(인턴계획표[정규화5],$Q76))</f>
        <v/>
      </c>
      <c r="O76">
        <f>IF($Q76="","",INDEX(인턴계획표[정규화6],$Q76))</f>
        <v/>
      </c>
      <c r="P76">
        <f>IF($Q76="","",INDEX(인턴계획표[입력오류],$Q76))</f>
        <v/>
      </c>
      <c r="Q76" s="17">
        <f>IFERROR(MATCH(71,인턴계획표[표시순번],0),"")</f>
        <v/>
      </c>
    </row>
    <row r="77">
      <c r="A77">
        <f>IF($Q77="","",INDEX(인턴계획표[순번],$Q77)&amp;"")</f>
        <v/>
      </c>
      <c r="B77">
        <f>IF($Q77="","",TRIM(INDEX(인턴계획표[이름],$Q77)&amp;""))</f>
        <v/>
      </c>
      <c r="C77">
        <f>IF($Q77="","",INDEX(인턴계획표[사번],$Q77)&amp;"")</f>
        <v/>
      </c>
      <c r="D77">
        <f>IF($Q77="","",IF(COUNTIF(기본자료표[사번키],INDEX(인턴계획표[사번키],$Q77))&gt;0,"확인","미등록"))</f>
        <v/>
      </c>
      <c r="E77">
        <f>IF($Q77="","",IF(ISNUMBER(INDEX(인턴계획표[입사일(비고)],$Q77)),TEXT(INDEX(인턴계획표[입사일(비고)],$Q77),"yyyy-mm-dd"),INDEX(인턴계획표[입사일(비고)],$Q77)&amp;""))</f>
        <v/>
      </c>
      <c r="F77">
        <f>IF($Q77="","",IF(IF($G$3="","",INDEX(인턴계획표[[정규화1]:[정규화6]],$Q77,$G$3)&amp;"")="","",IF(LEFT(IF($G$3="","",INDEX(인턴계획표[[정규화1]:[정규화6]],$Q77,$G$3)&amp;""),1)="⚠",IF($G$3="","",INDEX(인턴계획표[[정규화1]:[정규화6]],$Q77,$G$3)&amp;""),IFERROR(LEFT(IF($G$3="","",INDEX(인턴계획표[[정규화1]:[정규화6]],$Q77,$G$3)&amp;""),FIND(" ",IF($G$3="","",INDEX(인턴계획표[[정규화1]:[정규화6]],$Q77,$G$3)&amp;""))-1),IF($G$3="","",INDEX(인턴계획표[[정규화1]:[정규화6]],$Q77,$G$3)&amp;"")))))</f>
        <v/>
      </c>
      <c r="G77">
        <f>IF($Q77="","",IF(IF($G$3="","",INDEX(인턴계획표[[정규화1]:[정규화6]],$Q77,$G$3)&amp;"")="","",IF(LEFT(IF($G$3="","",INDEX(인턴계획표[[정규화1]:[정규화6]],$Q77,$G$3)&amp;""),1)="⚠","",IFERROR(MID(IF($G$3="","",INDEX(인턴계획표[[정규화1]:[정규화6]],$Q77,$G$3)&amp;""),FIND(" ",IF($G$3="","",INDEX(인턴계획표[[정규화1]:[정규화6]],$Q77,$G$3)&amp;""))+1,60),""))))</f>
        <v/>
      </c>
      <c r="H77">
        <f>IF($Q77="","",IF(IF($I$3="","",INDEX(인턴계획표[[정규화1]:[정규화6]],$Q77,$I$3)&amp;"")="","",IF(LEFT(IF($I$3="","",INDEX(인턴계획표[[정규화1]:[정규화6]],$Q77,$I$3)&amp;""),1)="⚠",IF($I$3="","",INDEX(인턴계획표[[정규화1]:[정규화6]],$Q77,$I$3)&amp;""),IFERROR(LEFT(IF($I$3="","",INDEX(인턴계획표[[정규화1]:[정규화6]],$Q77,$I$3)&amp;""),FIND(" ",IF($I$3="","",INDEX(인턴계획표[[정규화1]:[정규화6]],$Q77,$I$3)&amp;""))-1),IF($I$3="","",INDEX(인턴계획표[[정규화1]:[정규화6]],$Q77,$I$3)&amp;"")))))</f>
        <v/>
      </c>
      <c r="I77">
        <f>IF($Q77="","",IF(IF($I$3="","",INDEX(인턴계획표[[정규화1]:[정규화6]],$Q77,$I$3)&amp;"")="","",IF(LEFT(IF($I$3="","",INDEX(인턴계획표[[정규화1]:[정규화6]],$Q77,$I$3)&amp;""),1)="⚠","",IFERROR(MID(IF($I$3="","",INDEX(인턴계획표[[정규화1]:[정규화6]],$Q77,$I$3)&amp;""),FIND(" ",IF($I$3="","",INDEX(인턴계획표[[정규화1]:[정규화6]],$Q77,$I$3)&amp;""))+1,60),""))))</f>
        <v/>
      </c>
      <c r="J77">
        <f>IF($Q77="","",INDEX(인턴계획표[정규화1],$Q77))</f>
        <v/>
      </c>
      <c r="K77">
        <f>IF($Q77="","",INDEX(인턴계획표[정규화2],$Q77))</f>
        <v/>
      </c>
      <c r="L77">
        <f>IF($Q77="","",INDEX(인턴계획표[정규화3],$Q77))</f>
        <v/>
      </c>
      <c r="M77">
        <f>IF($Q77="","",INDEX(인턴계획표[정규화4],$Q77))</f>
        <v/>
      </c>
      <c r="N77">
        <f>IF($Q77="","",INDEX(인턴계획표[정규화5],$Q77))</f>
        <v/>
      </c>
      <c r="O77">
        <f>IF($Q77="","",INDEX(인턴계획표[정규화6],$Q77))</f>
        <v/>
      </c>
      <c r="P77">
        <f>IF($Q77="","",INDEX(인턴계획표[입력오류],$Q77))</f>
        <v/>
      </c>
      <c r="Q77" s="17">
        <f>IFERROR(MATCH(72,인턴계획표[표시순번],0),"")</f>
        <v/>
      </c>
    </row>
    <row r="78">
      <c r="A78">
        <f>IF($Q78="","",INDEX(인턴계획표[순번],$Q78)&amp;"")</f>
        <v/>
      </c>
      <c r="B78">
        <f>IF($Q78="","",TRIM(INDEX(인턴계획표[이름],$Q78)&amp;""))</f>
        <v/>
      </c>
      <c r="C78">
        <f>IF($Q78="","",INDEX(인턴계획표[사번],$Q78)&amp;"")</f>
        <v/>
      </c>
      <c r="D78">
        <f>IF($Q78="","",IF(COUNTIF(기본자료표[사번키],INDEX(인턴계획표[사번키],$Q78))&gt;0,"확인","미등록"))</f>
        <v/>
      </c>
      <c r="E78">
        <f>IF($Q78="","",IF(ISNUMBER(INDEX(인턴계획표[입사일(비고)],$Q78)),TEXT(INDEX(인턴계획표[입사일(비고)],$Q78),"yyyy-mm-dd"),INDEX(인턴계획표[입사일(비고)],$Q78)&amp;""))</f>
        <v/>
      </c>
      <c r="F78">
        <f>IF($Q78="","",IF(IF($G$3="","",INDEX(인턴계획표[[정규화1]:[정규화6]],$Q78,$G$3)&amp;"")="","",IF(LEFT(IF($G$3="","",INDEX(인턴계획표[[정규화1]:[정규화6]],$Q78,$G$3)&amp;""),1)="⚠",IF($G$3="","",INDEX(인턴계획표[[정규화1]:[정규화6]],$Q78,$G$3)&amp;""),IFERROR(LEFT(IF($G$3="","",INDEX(인턴계획표[[정규화1]:[정규화6]],$Q78,$G$3)&amp;""),FIND(" ",IF($G$3="","",INDEX(인턴계획표[[정규화1]:[정규화6]],$Q78,$G$3)&amp;""))-1),IF($G$3="","",INDEX(인턴계획표[[정규화1]:[정규화6]],$Q78,$G$3)&amp;"")))))</f>
        <v/>
      </c>
      <c r="G78">
        <f>IF($Q78="","",IF(IF($G$3="","",INDEX(인턴계획표[[정규화1]:[정규화6]],$Q78,$G$3)&amp;"")="","",IF(LEFT(IF($G$3="","",INDEX(인턴계획표[[정규화1]:[정규화6]],$Q78,$G$3)&amp;""),1)="⚠","",IFERROR(MID(IF($G$3="","",INDEX(인턴계획표[[정규화1]:[정규화6]],$Q78,$G$3)&amp;""),FIND(" ",IF($G$3="","",INDEX(인턴계획표[[정규화1]:[정규화6]],$Q78,$G$3)&amp;""))+1,60),""))))</f>
        <v/>
      </c>
      <c r="H78">
        <f>IF($Q78="","",IF(IF($I$3="","",INDEX(인턴계획표[[정규화1]:[정규화6]],$Q78,$I$3)&amp;"")="","",IF(LEFT(IF($I$3="","",INDEX(인턴계획표[[정규화1]:[정규화6]],$Q78,$I$3)&amp;""),1)="⚠",IF($I$3="","",INDEX(인턴계획표[[정규화1]:[정규화6]],$Q78,$I$3)&amp;""),IFERROR(LEFT(IF($I$3="","",INDEX(인턴계획표[[정규화1]:[정규화6]],$Q78,$I$3)&amp;""),FIND(" ",IF($I$3="","",INDEX(인턴계획표[[정규화1]:[정규화6]],$Q78,$I$3)&amp;""))-1),IF($I$3="","",INDEX(인턴계획표[[정규화1]:[정규화6]],$Q78,$I$3)&amp;"")))))</f>
        <v/>
      </c>
      <c r="I78">
        <f>IF($Q78="","",IF(IF($I$3="","",INDEX(인턴계획표[[정규화1]:[정규화6]],$Q78,$I$3)&amp;"")="","",IF(LEFT(IF($I$3="","",INDEX(인턴계획표[[정규화1]:[정규화6]],$Q78,$I$3)&amp;""),1)="⚠","",IFERROR(MID(IF($I$3="","",INDEX(인턴계획표[[정규화1]:[정규화6]],$Q78,$I$3)&amp;""),FIND(" ",IF($I$3="","",INDEX(인턴계획표[[정규화1]:[정규화6]],$Q78,$I$3)&amp;""))+1,60),""))))</f>
        <v/>
      </c>
      <c r="J78">
        <f>IF($Q78="","",INDEX(인턴계획표[정규화1],$Q78))</f>
        <v/>
      </c>
      <c r="K78">
        <f>IF($Q78="","",INDEX(인턴계획표[정규화2],$Q78))</f>
        <v/>
      </c>
      <c r="L78">
        <f>IF($Q78="","",INDEX(인턴계획표[정규화3],$Q78))</f>
        <v/>
      </c>
      <c r="M78">
        <f>IF($Q78="","",INDEX(인턴계획표[정규화4],$Q78))</f>
        <v/>
      </c>
      <c r="N78">
        <f>IF($Q78="","",INDEX(인턴계획표[정규화5],$Q78))</f>
        <v/>
      </c>
      <c r="O78">
        <f>IF($Q78="","",INDEX(인턴계획표[정규화6],$Q78))</f>
        <v/>
      </c>
      <c r="P78">
        <f>IF($Q78="","",INDEX(인턴계획표[입력오류],$Q78))</f>
        <v/>
      </c>
      <c r="Q78" s="17">
        <f>IFERROR(MATCH(73,인턴계획표[표시순번],0),"")</f>
        <v/>
      </c>
    </row>
    <row r="79">
      <c r="A79">
        <f>IF($Q79="","",INDEX(인턴계획표[순번],$Q79)&amp;"")</f>
        <v/>
      </c>
      <c r="B79">
        <f>IF($Q79="","",TRIM(INDEX(인턴계획표[이름],$Q79)&amp;""))</f>
        <v/>
      </c>
      <c r="C79">
        <f>IF($Q79="","",INDEX(인턴계획표[사번],$Q79)&amp;"")</f>
        <v/>
      </c>
      <c r="D79">
        <f>IF($Q79="","",IF(COUNTIF(기본자료표[사번키],INDEX(인턴계획표[사번키],$Q79))&gt;0,"확인","미등록"))</f>
        <v/>
      </c>
      <c r="E79">
        <f>IF($Q79="","",IF(ISNUMBER(INDEX(인턴계획표[입사일(비고)],$Q79)),TEXT(INDEX(인턴계획표[입사일(비고)],$Q79),"yyyy-mm-dd"),INDEX(인턴계획표[입사일(비고)],$Q79)&amp;""))</f>
        <v/>
      </c>
      <c r="F79">
        <f>IF($Q79="","",IF(IF($G$3="","",INDEX(인턴계획표[[정규화1]:[정규화6]],$Q79,$G$3)&amp;"")="","",IF(LEFT(IF($G$3="","",INDEX(인턴계획표[[정규화1]:[정규화6]],$Q79,$G$3)&amp;""),1)="⚠",IF($G$3="","",INDEX(인턴계획표[[정규화1]:[정규화6]],$Q79,$G$3)&amp;""),IFERROR(LEFT(IF($G$3="","",INDEX(인턴계획표[[정규화1]:[정규화6]],$Q79,$G$3)&amp;""),FIND(" ",IF($G$3="","",INDEX(인턴계획표[[정규화1]:[정규화6]],$Q79,$G$3)&amp;""))-1),IF($G$3="","",INDEX(인턴계획표[[정규화1]:[정규화6]],$Q79,$G$3)&amp;"")))))</f>
        <v/>
      </c>
      <c r="G79">
        <f>IF($Q79="","",IF(IF($G$3="","",INDEX(인턴계획표[[정규화1]:[정규화6]],$Q79,$G$3)&amp;"")="","",IF(LEFT(IF($G$3="","",INDEX(인턴계획표[[정규화1]:[정규화6]],$Q79,$G$3)&amp;""),1)="⚠","",IFERROR(MID(IF($G$3="","",INDEX(인턴계획표[[정규화1]:[정규화6]],$Q79,$G$3)&amp;""),FIND(" ",IF($G$3="","",INDEX(인턴계획표[[정규화1]:[정규화6]],$Q79,$G$3)&amp;""))+1,60),""))))</f>
        <v/>
      </c>
      <c r="H79">
        <f>IF($Q79="","",IF(IF($I$3="","",INDEX(인턴계획표[[정규화1]:[정규화6]],$Q79,$I$3)&amp;"")="","",IF(LEFT(IF($I$3="","",INDEX(인턴계획표[[정규화1]:[정규화6]],$Q79,$I$3)&amp;""),1)="⚠",IF($I$3="","",INDEX(인턴계획표[[정규화1]:[정규화6]],$Q79,$I$3)&amp;""),IFERROR(LEFT(IF($I$3="","",INDEX(인턴계획표[[정규화1]:[정규화6]],$Q79,$I$3)&amp;""),FIND(" ",IF($I$3="","",INDEX(인턴계획표[[정규화1]:[정규화6]],$Q79,$I$3)&amp;""))-1),IF($I$3="","",INDEX(인턴계획표[[정규화1]:[정규화6]],$Q79,$I$3)&amp;"")))))</f>
        <v/>
      </c>
      <c r="I79">
        <f>IF($Q79="","",IF(IF($I$3="","",INDEX(인턴계획표[[정규화1]:[정규화6]],$Q79,$I$3)&amp;"")="","",IF(LEFT(IF($I$3="","",INDEX(인턴계획표[[정규화1]:[정규화6]],$Q79,$I$3)&amp;""),1)="⚠","",IFERROR(MID(IF($I$3="","",INDEX(인턴계획표[[정규화1]:[정규화6]],$Q79,$I$3)&amp;""),FIND(" ",IF($I$3="","",INDEX(인턴계획표[[정규화1]:[정규화6]],$Q79,$I$3)&amp;""))+1,60),""))))</f>
        <v/>
      </c>
      <c r="J79">
        <f>IF($Q79="","",INDEX(인턴계획표[정규화1],$Q79))</f>
        <v/>
      </c>
      <c r="K79">
        <f>IF($Q79="","",INDEX(인턴계획표[정규화2],$Q79))</f>
        <v/>
      </c>
      <c r="L79">
        <f>IF($Q79="","",INDEX(인턴계획표[정규화3],$Q79))</f>
        <v/>
      </c>
      <c r="M79">
        <f>IF($Q79="","",INDEX(인턴계획표[정규화4],$Q79))</f>
        <v/>
      </c>
      <c r="N79">
        <f>IF($Q79="","",INDEX(인턴계획표[정규화5],$Q79))</f>
        <v/>
      </c>
      <c r="O79">
        <f>IF($Q79="","",INDEX(인턴계획표[정규화6],$Q79))</f>
        <v/>
      </c>
      <c r="P79">
        <f>IF($Q79="","",INDEX(인턴계획표[입력오류],$Q79))</f>
        <v/>
      </c>
      <c r="Q79" s="17">
        <f>IFERROR(MATCH(74,인턴계획표[표시순번],0),"")</f>
        <v/>
      </c>
    </row>
    <row r="80">
      <c r="A80">
        <f>IF($Q80="","",INDEX(인턴계획표[순번],$Q80)&amp;"")</f>
        <v/>
      </c>
      <c r="B80">
        <f>IF($Q80="","",TRIM(INDEX(인턴계획표[이름],$Q80)&amp;""))</f>
        <v/>
      </c>
      <c r="C80">
        <f>IF($Q80="","",INDEX(인턴계획표[사번],$Q80)&amp;"")</f>
        <v/>
      </c>
      <c r="D80">
        <f>IF($Q80="","",IF(COUNTIF(기본자료표[사번키],INDEX(인턴계획표[사번키],$Q80))&gt;0,"확인","미등록"))</f>
        <v/>
      </c>
      <c r="E80">
        <f>IF($Q80="","",IF(ISNUMBER(INDEX(인턴계획표[입사일(비고)],$Q80)),TEXT(INDEX(인턴계획표[입사일(비고)],$Q80),"yyyy-mm-dd"),INDEX(인턴계획표[입사일(비고)],$Q80)&amp;""))</f>
        <v/>
      </c>
      <c r="F80">
        <f>IF($Q80="","",IF(IF($G$3="","",INDEX(인턴계획표[[정규화1]:[정규화6]],$Q80,$G$3)&amp;"")="","",IF(LEFT(IF($G$3="","",INDEX(인턴계획표[[정규화1]:[정규화6]],$Q80,$G$3)&amp;""),1)="⚠",IF($G$3="","",INDEX(인턴계획표[[정규화1]:[정규화6]],$Q80,$G$3)&amp;""),IFERROR(LEFT(IF($G$3="","",INDEX(인턴계획표[[정규화1]:[정규화6]],$Q80,$G$3)&amp;""),FIND(" ",IF($G$3="","",INDEX(인턴계획표[[정규화1]:[정규화6]],$Q80,$G$3)&amp;""))-1),IF($G$3="","",INDEX(인턴계획표[[정규화1]:[정규화6]],$Q80,$G$3)&amp;"")))))</f>
        <v/>
      </c>
      <c r="G80">
        <f>IF($Q80="","",IF(IF($G$3="","",INDEX(인턴계획표[[정규화1]:[정규화6]],$Q80,$G$3)&amp;"")="","",IF(LEFT(IF($G$3="","",INDEX(인턴계획표[[정규화1]:[정규화6]],$Q80,$G$3)&amp;""),1)="⚠","",IFERROR(MID(IF($G$3="","",INDEX(인턴계획표[[정규화1]:[정규화6]],$Q80,$G$3)&amp;""),FIND(" ",IF($G$3="","",INDEX(인턴계획표[[정규화1]:[정규화6]],$Q80,$G$3)&amp;""))+1,60),""))))</f>
        <v/>
      </c>
      <c r="H80">
        <f>IF($Q80="","",IF(IF($I$3="","",INDEX(인턴계획표[[정규화1]:[정규화6]],$Q80,$I$3)&amp;"")="","",IF(LEFT(IF($I$3="","",INDEX(인턴계획표[[정규화1]:[정규화6]],$Q80,$I$3)&amp;""),1)="⚠",IF($I$3="","",INDEX(인턴계획표[[정규화1]:[정규화6]],$Q80,$I$3)&amp;""),IFERROR(LEFT(IF($I$3="","",INDEX(인턴계획표[[정규화1]:[정규화6]],$Q80,$I$3)&amp;""),FIND(" ",IF($I$3="","",INDEX(인턴계획표[[정규화1]:[정규화6]],$Q80,$I$3)&amp;""))-1),IF($I$3="","",INDEX(인턴계획표[[정규화1]:[정규화6]],$Q80,$I$3)&amp;"")))))</f>
        <v/>
      </c>
      <c r="I80">
        <f>IF($Q80="","",IF(IF($I$3="","",INDEX(인턴계획표[[정규화1]:[정규화6]],$Q80,$I$3)&amp;"")="","",IF(LEFT(IF($I$3="","",INDEX(인턴계획표[[정규화1]:[정규화6]],$Q80,$I$3)&amp;""),1)="⚠","",IFERROR(MID(IF($I$3="","",INDEX(인턴계획표[[정규화1]:[정규화6]],$Q80,$I$3)&amp;""),FIND(" ",IF($I$3="","",INDEX(인턴계획표[[정규화1]:[정규화6]],$Q80,$I$3)&amp;""))+1,60),""))))</f>
        <v/>
      </c>
      <c r="J80">
        <f>IF($Q80="","",INDEX(인턴계획표[정규화1],$Q80))</f>
        <v/>
      </c>
      <c r="K80">
        <f>IF($Q80="","",INDEX(인턴계획표[정규화2],$Q80))</f>
        <v/>
      </c>
      <c r="L80">
        <f>IF($Q80="","",INDEX(인턴계획표[정규화3],$Q80))</f>
        <v/>
      </c>
      <c r="M80">
        <f>IF($Q80="","",INDEX(인턴계획표[정규화4],$Q80))</f>
        <v/>
      </c>
      <c r="N80">
        <f>IF($Q80="","",INDEX(인턴계획표[정규화5],$Q80))</f>
        <v/>
      </c>
      <c r="O80">
        <f>IF($Q80="","",INDEX(인턴계획표[정규화6],$Q80))</f>
        <v/>
      </c>
      <c r="P80">
        <f>IF($Q80="","",INDEX(인턴계획표[입력오류],$Q80))</f>
        <v/>
      </c>
      <c r="Q80" s="17">
        <f>IFERROR(MATCH(75,인턴계획표[표시순번],0),"")</f>
        <v/>
      </c>
    </row>
    <row r="81">
      <c r="A81">
        <f>IF($Q81="","",INDEX(인턴계획표[순번],$Q81)&amp;"")</f>
        <v/>
      </c>
      <c r="B81">
        <f>IF($Q81="","",TRIM(INDEX(인턴계획표[이름],$Q81)&amp;""))</f>
        <v/>
      </c>
      <c r="C81">
        <f>IF($Q81="","",INDEX(인턴계획표[사번],$Q81)&amp;"")</f>
        <v/>
      </c>
      <c r="D81">
        <f>IF($Q81="","",IF(COUNTIF(기본자료표[사번키],INDEX(인턴계획표[사번키],$Q81))&gt;0,"확인","미등록"))</f>
        <v/>
      </c>
      <c r="E81">
        <f>IF($Q81="","",IF(ISNUMBER(INDEX(인턴계획표[입사일(비고)],$Q81)),TEXT(INDEX(인턴계획표[입사일(비고)],$Q81),"yyyy-mm-dd"),INDEX(인턴계획표[입사일(비고)],$Q81)&amp;""))</f>
        <v/>
      </c>
      <c r="F81">
        <f>IF($Q81="","",IF(IF($G$3="","",INDEX(인턴계획표[[정규화1]:[정규화6]],$Q81,$G$3)&amp;"")="","",IF(LEFT(IF($G$3="","",INDEX(인턴계획표[[정규화1]:[정규화6]],$Q81,$G$3)&amp;""),1)="⚠",IF($G$3="","",INDEX(인턴계획표[[정규화1]:[정규화6]],$Q81,$G$3)&amp;""),IFERROR(LEFT(IF($G$3="","",INDEX(인턴계획표[[정규화1]:[정규화6]],$Q81,$G$3)&amp;""),FIND(" ",IF($G$3="","",INDEX(인턴계획표[[정규화1]:[정규화6]],$Q81,$G$3)&amp;""))-1),IF($G$3="","",INDEX(인턴계획표[[정규화1]:[정규화6]],$Q81,$G$3)&amp;"")))))</f>
        <v/>
      </c>
      <c r="G81">
        <f>IF($Q81="","",IF(IF($G$3="","",INDEX(인턴계획표[[정규화1]:[정규화6]],$Q81,$G$3)&amp;"")="","",IF(LEFT(IF($G$3="","",INDEX(인턴계획표[[정규화1]:[정규화6]],$Q81,$G$3)&amp;""),1)="⚠","",IFERROR(MID(IF($G$3="","",INDEX(인턴계획표[[정규화1]:[정규화6]],$Q81,$G$3)&amp;""),FIND(" ",IF($G$3="","",INDEX(인턴계획표[[정규화1]:[정규화6]],$Q81,$G$3)&amp;""))+1,60),""))))</f>
        <v/>
      </c>
      <c r="H81">
        <f>IF($Q81="","",IF(IF($I$3="","",INDEX(인턴계획표[[정규화1]:[정규화6]],$Q81,$I$3)&amp;"")="","",IF(LEFT(IF($I$3="","",INDEX(인턴계획표[[정규화1]:[정규화6]],$Q81,$I$3)&amp;""),1)="⚠",IF($I$3="","",INDEX(인턴계획표[[정규화1]:[정규화6]],$Q81,$I$3)&amp;""),IFERROR(LEFT(IF($I$3="","",INDEX(인턴계획표[[정규화1]:[정규화6]],$Q81,$I$3)&amp;""),FIND(" ",IF($I$3="","",INDEX(인턴계획표[[정규화1]:[정규화6]],$Q81,$I$3)&amp;""))-1),IF($I$3="","",INDEX(인턴계획표[[정규화1]:[정규화6]],$Q81,$I$3)&amp;"")))))</f>
        <v/>
      </c>
      <c r="I81">
        <f>IF($Q81="","",IF(IF($I$3="","",INDEX(인턴계획표[[정규화1]:[정규화6]],$Q81,$I$3)&amp;"")="","",IF(LEFT(IF($I$3="","",INDEX(인턴계획표[[정규화1]:[정규화6]],$Q81,$I$3)&amp;""),1)="⚠","",IFERROR(MID(IF($I$3="","",INDEX(인턴계획표[[정규화1]:[정규화6]],$Q81,$I$3)&amp;""),FIND(" ",IF($I$3="","",INDEX(인턴계획표[[정규화1]:[정규화6]],$Q81,$I$3)&amp;""))+1,60),""))))</f>
        <v/>
      </c>
      <c r="J81">
        <f>IF($Q81="","",INDEX(인턴계획표[정규화1],$Q81))</f>
        <v/>
      </c>
      <c r="K81">
        <f>IF($Q81="","",INDEX(인턴계획표[정규화2],$Q81))</f>
        <v/>
      </c>
      <c r="L81">
        <f>IF($Q81="","",INDEX(인턴계획표[정규화3],$Q81))</f>
        <v/>
      </c>
      <c r="M81">
        <f>IF($Q81="","",INDEX(인턴계획표[정규화4],$Q81))</f>
        <v/>
      </c>
      <c r="N81">
        <f>IF($Q81="","",INDEX(인턴계획표[정규화5],$Q81))</f>
        <v/>
      </c>
      <c r="O81">
        <f>IF($Q81="","",INDEX(인턴계획표[정규화6],$Q81))</f>
        <v/>
      </c>
      <c r="P81">
        <f>IF($Q81="","",INDEX(인턴계획표[입력오류],$Q81))</f>
        <v/>
      </c>
      <c r="Q81" s="17">
        <f>IFERROR(MATCH(76,인턴계획표[표시순번],0),"")</f>
        <v/>
      </c>
    </row>
    <row r="82">
      <c r="A82">
        <f>IF($Q82="","",INDEX(인턴계획표[순번],$Q82)&amp;"")</f>
        <v/>
      </c>
      <c r="B82">
        <f>IF($Q82="","",TRIM(INDEX(인턴계획표[이름],$Q82)&amp;""))</f>
        <v/>
      </c>
      <c r="C82">
        <f>IF($Q82="","",INDEX(인턴계획표[사번],$Q82)&amp;"")</f>
        <v/>
      </c>
      <c r="D82">
        <f>IF($Q82="","",IF(COUNTIF(기본자료표[사번키],INDEX(인턴계획표[사번키],$Q82))&gt;0,"확인","미등록"))</f>
        <v/>
      </c>
      <c r="E82">
        <f>IF($Q82="","",IF(ISNUMBER(INDEX(인턴계획표[입사일(비고)],$Q82)),TEXT(INDEX(인턴계획표[입사일(비고)],$Q82),"yyyy-mm-dd"),INDEX(인턴계획표[입사일(비고)],$Q82)&amp;""))</f>
        <v/>
      </c>
      <c r="F82">
        <f>IF($Q82="","",IF(IF($G$3="","",INDEX(인턴계획표[[정규화1]:[정규화6]],$Q82,$G$3)&amp;"")="","",IF(LEFT(IF($G$3="","",INDEX(인턴계획표[[정규화1]:[정규화6]],$Q82,$G$3)&amp;""),1)="⚠",IF($G$3="","",INDEX(인턴계획표[[정규화1]:[정규화6]],$Q82,$G$3)&amp;""),IFERROR(LEFT(IF($G$3="","",INDEX(인턴계획표[[정규화1]:[정규화6]],$Q82,$G$3)&amp;""),FIND(" ",IF($G$3="","",INDEX(인턴계획표[[정규화1]:[정규화6]],$Q82,$G$3)&amp;""))-1),IF($G$3="","",INDEX(인턴계획표[[정규화1]:[정규화6]],$Q82,$G$3)&amp;"")))))</f>
        <v/>
      </c>
      <c r="G82">
        <f>IF($Q82="","",IF(IF($G$3="","",INDEX(인턴계획표[[정규화1]:[정규화6]],$Q82,$G$3)&amp;"")="","",IF(LEFT(IF($G$3="","",INDEX(인턴계획표[[정규화1]:[정규화6]],$Q82,$G$3)&amp;""),1)="⚠","",IFERROR(MID(IF($G$3="","",INDEX(인턴계획표[[정규화1]:[정규화6]],$Q82,$G$3)&amp;""),FIND(" ",IF($G$3="","",INDEX(인턴계획표[[정규화1]:[정규화6]],$Q82,$G$3)&amp;""))+1,60),""))))</f>
        <v/>
      </c>
      <c r="H82">
        <f>IF($Q82="","",IF(IF($I$3="","",INDEX(인턴계획표[[정규화1]:[정규화6]],$Q82,$I$3)&amp;"")="","",IF(LEFT(IF($I$3="","",INDEX(인턴계획표[[정규화1]:[정규화6]],$Q82,$I$3)&amp;""),1)="⚠",IF($I$3="","",INDEX(인턴계획표[[정규화1]:[정규화6]],$Q82,$I$3)&amp;""),IFERROR(LEFT(IF($I$3="","",INDEX(인턴계획표[[정규화1]:[정규화6]],$Q82,$I$3)&amp;""),FIND(" ",IF($I$3="","",INDEX(인턴계획표[[정규화1]:[정규화6]],$Q82,$I$3)&amp;""))-1),IF($I$3="","",INDEX(인턴계획표[[정규화1]:[정규화6]],$Q82,$I$3)&amp;"")))))</f>
        <v/>
      </c>
      <c r="I82">
        <f>IF($Q82="","",IF(IF($I$3="","",INDEX(인턴계획표[[정규화1]:[정규화6]],$Q82,$I$3)&amp;"")="","",IF(LEFT(IF($I$3="","",INDEX(인턴계획표[[정규화1]:[정규화6]],$Q82,$I$3)&amp;""),1)="⚠","",IFERROR(MID(IF($I$3="","",INDEX(인턴계획표[[정규화1]:[정규화6]],$Q82,$I$3)&amp;""),FIND(" ",IF($I$3="","",INDEX(인턴계획표[[정규화1]:[정규화6]],$Q82,$I$3)&amp;""))+1,60),""))))</f>
        <v/>
      </c>
      <c r="J82">
        <f>IF($Q82="","",INDEX(인턴계획표[정규화1],$Q82))</f>
        <v/>
      </c>
      <c r="K82">
        <f>IF($Q82="","",INDEX(인턴계획표[정규화2],$Q82))</f>
        <v/>
      </c>
      <c r="L82">
        <f>IF($Q82="","",INDEX(인턴계획표[정규화3],$Q82))</f>
        <v/>
      </c>
      <c r="M82">
        <f>IF($Q82="","",INDEX(인턴계획표[정규화4],$Q82))</f>
        <v/>
      </c>
      <c r="N82">
        <f>IF($Q82="","",INDEX(인턴계획표[정규화5],$Q82))</f>
        <v/>
      </c>
      <c r="O82">
        <f>IF($Q82="","",INDEX(인턴계획표[정규화6],$Q82))</f>
        <v/>
      </c>
      <c r="P82">
        <f>IF($Q82="","",INDEX(인턴계획표[입력오류],$Q82))</f>
        <v/>
      </c>
      <c r="Q82" s="17">
        <f>IFERROR(MATCH(77,인턴계획표[표시순번],0),"")</f>
        <v/>
      </c>
    </row>
    <row r="83">
      <c r="A83">
        <f>IF($Q83="","",INDEX(인턴계획표[순번],$Q83)&amp;"")</f>
        <v/>
      </c>
      <c r="B83">
        <f>IF($Q83="","",TRIM(INDEX(인턴계획표[이름],$Q83)&amp;""))</f>
        <v/>
      </c>
      <c r="C83">
        <f>IF($Q83="","",INDEX(인턴계획표[사번],$Q83)&amp;"")</f>
        <v/>
      </c>
      <c r="D83">
        <f>IF($Q83="","",IF(COUNTIF(기본자료표[사번키],INDEX(인턴계획표[사번키],$Q83))&gt;0,"확인","미등록"))</f>
        <v/>
      </c>
      <c r="E83">
        <f>IF($Q83="","",IF(ISNUMBER(INDEX(인턴계획표[입사일(비고)],$Q83)),TEXT(INDEX(인턴계획표[입사일(비고)],$Q83),"yyyy-mm-dd"),INDEX(인턴계획표[입사일(비고)],$Q83)&amp;""))</f>
        <v/>
      </c>
      <c r="F83">
        <f>IF($Q83="","",IF(IF($G$3="","",INDEX(인턴계획표[[정규화1]:[정규화6]],$Q83,$G$3)&amp;"")="","",IF(LEFT(IF($G$3="","",INDEX(인턴계획표[[정규화1]:[정규화6]],$Q83,$G$3)&amp;""),1)="⚠",IF($G$3="","",INDEX(인턴계획표[[정규화1]:[정규화6]],$Q83,$G$3)&amp;""),IFERROR(LEFT(IF($G$3="","",INDEX(인턴계획표[[정규화1]:[정규화6]],$Q83,$G$3)&amp;""),FIND(" ",IF($G$3="","",INDEX(인턴계획표[[정규화1]:[정규화6]],$Q83,$G$3)&amp;""))-1),IF($G$3="","",INDEX(인턴계획표[[정규화1]:[정규화6]],$Q83,$G$3)&amp;"")))))</f>
        <v/>
      </c>
      <c r="G83">
        <f>IF($Q83="","",IF(IF($G$3="","",INDEX(인턴계획표[[정규화1]:[정규화6]],$Q83,$G$3)&amp;"")="","",IF(LEFT(IF($G$3="","",INDEX(인턴계획표[[정규화1]:[정규화6]],$Q83,$G$3)&amp;""),1)="⚠","",IFERROR(MID(IF($G$3="","",INDEX(인턴계획표[[정규화1]:[정규화6]],$Q83,$G$3)&amp;""),FIND(" ",IF($G$3="","",INDEX(인턴계획표[[정규화1]:[정규화6]],$Q83,$G$3)&amp;""))+1,60),""))))</f>
        <v/>
      </c>
      <c r="H83">
        <f>IF($Q83="","",IF(IF($I$3="","",INDEX(인턴계획표[[정규화1]:[정규화6]],$Q83,$I$3)&amp;"")="","",IF(LEFT(IF($I$3="","",INDEX(인턴계획표[[정규화1]:[정규화6]],$Q83,$I$3)&amp;""),1)="⚠",IF($I$3="","",INDEX(인턴계획표[[정규화1]:[정규화6]],$Q83,$I$3)&amp;""),IFERROR(LEFT(IF($I$3="","",INDEX(인턴계획표[[정규화1]:[정규화6]],$Q83,$I$3)&amp;""),FIND(" ",IF($I$3="","",INDEX(인턴계획표[[정규화1]:[정규화6]],$Q83,$I$3)&amp;""))-1),IF($I$3="","",INDEX(인턴계획표[[정규화1]:[정규화6]],$Q83,$I$3)&amp;"")))))</f>
        <v/>
      </c>
      <c r="I83">
        <f>IF($Q83="","",IF(IF($I$3="","",INDEX(인턴계획표[[정규화1]:[정규화6]],$Q83,$I$3)&amp;"")="","",IF(LEFT(IF($I$3="","",INDEX(인턴계획표[[정규화1]:[정규화6]],$Q83,$I$3)&amp;""),1)="⚠","",IFERROR(MID(IF($I$3="","",INDEX(인턴계획표[[정규화1]:[정규화6]],$Q83,$I$3)&amp;""),FIND(" ",IF($I$3="","",INDEX(인턴계획표[[정규화1]:[정규화6]],$Q83,$I$3)&amp;""))+1,60),""))))</f>
        <v/>
      </c>
      <c r="J83">
        <f>IF($Q83="","",INDEX(인턴계획표[정규화1],$Q83))</f>
        <v/>
      </c>
      <c r="K83">
        <f>IF($Q83="","",INDEX(인턴계획표[정규화2],$Q83))</f>
        <v/>
      </c>
      <c r="L83">
        <f>IF($Q83="","",INDEX(인턴계획표[정규화3],$Q83))</f>
        <v/>
      </c>
      <c r="M83">
        <f>IF($Q83="","",INDEX(인턴계획표[정규화4],$Q83))</f>
        <v/>
      </c>
      <c r="N83">
        <f>IF($Q83="","",INDEX(인턴계획표[정규화5],$Q83))</f>
        <v/>
      </c>
      <c r="O83">
        <f>IF($Q83="","",INDEX(인턴계획표[정규화6],$Q83))</f>
        <v/>
      </c>
      <c r="P83">
        <f>IF($Q83="","",INDEX(인턴계획표[입력오류],$Q83))</f>
        <v/>
      </c>
      <c r="Q83" s="17">
        <f>IFERROR(MATCH(78,인턴계획표[표시순번],0),"")</f>
        <v/>
      </c>
    </row>
    <row r="84">
      <c r="A84">
        <f>IF($Q84="","",INDEX(인턴계획표[순번],$Q84)&amp;"")</f>
        <v/>
      </c>
      <c r="B84">
        <f>IF($Q84="","",TRIM(INDEX(인턴계획표[이름],$Q84)&amp;""))</f>
        <v/>
      </c>
      <c r="C84">
        <f>IF($Q84="","",INDEX(인턴계획표[사번],$Q84)&amp;"")</f>
        <v/>
      </c>
      <c r="D84">
        <f>IF($Q84="","",IF(COUNTIF(기본자료표[사번키],INDEX(인턴계획표[사번키],$Q84))&gt;0,"확인","미등록"))</f>
        <v/>
      </c>
      <c r="E84">
        <f>IF($Q84="","",IF(ISNUMBER(INDEX(인턴계획표[입사일(비고)],$Q84)),TEXT(INDEX(인턴계획표[입사일(비고)],$Q84),"yyyy-mm-dd"),INDEX(인턴계획표[입사일(비고)],$Q84)&amp;""))</f>
        <v/>
      </c>
      <c r="F84">
        <f>IF($Q84="","",IF(IF($G$3="","",INDEX(인턴계획표[[정규화1]:[정규화6]],$Q84,$G$3)&amp;"")="","",IF(LEFT(IF($G$3="","",INDEX(인턴계획표[[정규화1]:[정규화6]],$Q84,$G$3)&amp;""),1)="⚠",IF($G$3="","",INDEX(인턴계획표[[정규화1]:[정규화6]],$Q84,$G$3)&amp;""),IFERROR(LEFT(IF($G$3="","",INDEX(인턴계획표[[정규화1]:[정규화6]],$Q84,$G$3)&amp;""),FIND(" ",IF($G$3="","",INDEX(인턴계획표[[정규화1]:[정규화6]],$Q84,$G$3)&amp;""))-1),IF($G$3="","",INDEX(인턴계획표[[정규화1]:[정규화6]],$Q84,$G$3)&amp;"")))))</f>
        <v/>
      </c>
      <c r="G84">
        <f>IF($Q84="","",IF(IF($G$3="","",INDEX(인턴계획표[[정규화1]:[정규화6]],$Q84,$G$3)&amp;"")="","",IF(LEFT(IF($G$3="","",INDEX(인턴계획표[[정규화1]:[정규화6]],$Q84,$G$3)&amp;""),1)="⚠","",IFERROR(MID(IF($G$3="","",INDEX(인턴계획표[[정규화1]:[정규화6]],$Q84,$G$3)&amp;""),FIND(" ",IF($G$3="","",INDEX(인턴계획표[[정규화1]:[정규화6]],$Q84,$G$3)&amp;""))+1,60),""))))</f>
        <v/>
      </c>
      <c r="H84">
        <f>IF($Q84="","",IF(IF($I$3="","",INDEX(인턴계획표[[정규화1]:[정규화6]],$Q84,$I$3)&amp;"")="","",IF(LEFT(IF($I$3="","",INDEX(인턴계획표[[정규화1]:[정규화6]],$Q84,$I$3)&amp;""),1)="⚠",IF($I$3="","",INDEX(인턴계획표[[정규화1]:[정규화6]],$Q84,$I$3)&amp;""),IFERROR(LEFT(IF($I$3="","",INDEX(인턴계획표[[정규화1]:[정규화6]],$Q84,$I$3)&amp;""),FIND(" ",IF($I$3="","",INDEX(인턴계획표[[정규화1]:[정규화6]],$Q84,$I$3)&amp;""))-1),IF($I$3="","",INDEX(인턴계획표[[정규화1]:[정규화6]],$Q84,$I$3)&amp;"")))))</f>
        <v/>
      </c>
      <c r="I84">
        <f>IF($Q84="","",IF(IF($I$3="","",INDEX(인턴계획표[[정규화1]:[정규화6]],$Q84,$I$3)&amp;"")="","",IF(LEFT(IF($I$3="","",INDEX(인턴계획표[[정규화1]:[정규화6]],$Q84,$I$3)&amp;""),1)="⚠","",IFERROR(MID(IF($I$3="","",INDEX(인턴계획표[[정규화1]:[정규화6]],$Q84,$I$3)&amp;""),FIND(" ",IF($I$3="","",INDEX(인턴계획표[[정규화1]:[정규화6]],$Q84,$I$3)&amp;""))+1,60),""))))</f>
        <v/>
      </c>
      <c r="J84">
        <f>IF($Q84="","",INDEX(인턴계획표[정규화1],$Q84))</f>
        <v/>
      </c>
      <c r="K84">
        <f>IF($Q84="","",INDEX(인턴계획표[정규화2],$Q84))</f>
        <v/>
      </c>
      <c r="L84">
        <f>IF($Q84="","",INDEX(인턴계획표[정규화3],$Q84))</f>
        <v/>
      </c>
      <c r="M84">
        <f>IF($Q84="","",INDEX(인턴계획표[정규화4],$Q84))</f>
        <v/>
      </c>
      <c r="N84">
        <f>IF($Q84="","",INDEX(인턴계획표[정규화5],$Q84))</f>
        <v/>
      </c>
      <c r="O84">
        <f>IF($Q84="","",INDEX(인턴계획표[정규화6],$Q84))</f>
        <v/>
      </c>
      <c r="P84">
        <f>IF($Q84="","",INDEX(인턴계획표[입력오류],$Q84))</f>
        <v/>
      </c>
      <c r="Q84" s="17">
        <f>IFERROR(MATCH(79,인턴계획표[표시순번],0),"")</f>
        <v/>
      </c>
    </row>
    <row r="85">
      <c r="A85">
        <f>IF($Q85="","",INDEX(인턴계획표[순번],$Q85)&amp;"")</f>
        <v/>
      </c>
      <c r="B85">
        <f>IF($Q85="","",TRIM(INDEX(인턴계획표[이름],$Q85)&amp;""))</f>
        <v/>
      </c>
      <c r="C85">
        <f>IF($Q85="","",INDEX(인턴계획표[사번],$Q85)&amp;"")</f>
        <v/>
      </c>
      <c r="D85">
        <f>IF($Q85="","",IF(COUNTIF(기본자료표[사번키],INDEX(인턴계획표[사번키],$Q85))&gt;0,"확인","미등록"))</f>
        <v/>
      </c>
      <c r="E85">
        <f>IF($Q85="","",IF(ISNUMBER(INDEX(인턴계획표[입사일(비고)],$Q85)),TEXT(INDEX(인턴계획표[입사일(비고)],$Q85),"yyyy-mm-dd"),INDEX(인턴계획표[입사일(비고)],$Q85)&amp;""))</f>
        <v/>
      </c>
      <c r="F85">
        <f>IF($Q85="","",IF(IF($G$3="","",INDEX(인턴계획표[[정규화1]:[정규화6]],$Q85,$G$3)&amp;"")="","",IF(LEFT(IF($G$3="","",INDEX(인턴계획표[[정규화1]:[정규화6]],$Q85,$G$3)&amp;""),1)="⚠",IF($G$3="","",INDEX(인턴계획표[[정규화1]:[정규화6]],$Q85,$G$3)&amp;""),IFERROR(LEFT(IF($G$3="","",INDEX(인턴계획표[[정규화1]:[정규화6]],$Q85,$G$3)&amp;""),FIND(" ",IF($G$3="","",INDEX(인턴계획표[[정규화1]:[정규화6]],$Q85,$G$3)&amp;""))-1),IF($G$3="","",INDEX(인턴계획표[[정규화1]:[정규화6]],$Q85,$G$3)&amp;"")))))</f>
        <v/>
      </c>
      <c r="G85">
        <f>IF($Q85="","",IF(IF($G$3="","",INDEX(인턴계획표[[정규화1]:[정규화6]],$Q85,$G$3)&amp;"")="","",IF(LEFT(IF($G$3="","",INDEX(인턴계획표[[정규화1]:[정규화6]],$Q85,$G$3)&amp;""),1)="⚠","",IFERROR(MID(IF($G$3="","",INDEX(인턴계획표[[정규화1]:[정규화6]],$Q85,$G$3)&amp;""),FIND(" ",IF($G$3="","",INDEX(인턴계획표[[정규화1]:[정규화6]],$Q85,$G$3)&amp;""))+1,60),""))))</f>
        <v/>
      </c>
      <c r="H85">
        <f>IF($Q85="","",IF(IF($I$3="","",INDEX(인턴계획표[[정규화1]:[정규화6]],$Q85,$I$3)&amp;"")="","",IF(LEFT(IF($I$3="","",INDEX(인턴계획표[[정규화1]:[정규화6]],$Q85,$I$3)&amp;""),1)="⚠",IF($I$3="","",INDEX(인턴계획표[[정규화1]:[정규화6]],$Q85,$I$3)&amp;""),IFERROR(LEFT(IF($I$3="","",INDEX(인턴계획표[[정규화1]:[정규화6]],$Q85,$I$3)&amp;""),FIND(" ",IF($I$3="","",INDEX(인턴계획표[[정규화1]:[정규화6]],$Q85,$I$3)&amp;""))-1),IF($I$3="","",INDEX(인턴계획표[[정규화1]:[정규화6]],$Q85,$I$3)&amp;"")))))</f>
        <v/>
      </c>
      <c r="I85">
        <f>IF($Q85="","",IF(IF($I$3="","",INDEX(인턴계획표[[정규화1]:[정규화6]],$Q85,$I$3)&amp;"")="","",IF(LEFT(IF($I$3="","",INDEX(인턴계획표[[정규화1]:[정규화6]],$Q85,$I$3)&amp;""),1)="⚠","",IFERROR(MID(IF($I$3="","",INDEX(인턴계획표[[정규화1]:[정규화6]],$Q85,$I$3)&amp;""),FIND(" ",IF($I$3="","",INDEX(인턴계획표[[정규화1]:[정규화6]],$Q85,$I$3)&amp;""))+1,60),""))))</f>
        <v/>
      </c>
      <c r="J85">
        <f>IF($Q85="","",INDEX(인턴계획표[정규화1],$Q85))</f>
        <v/>
      </c>
      <c r="K85">
        <f>IF($Q85="","",INDEX(인턴계획표[정규화2],$Q85))</f>
        <v/>
      </c>
      <c r="L85">
        <f>IF($Q85="","",INDEX(인턴계획표[정규화3],$Q85))</f>
        <v/>
      </c>
      <c r="M85">
        <f>IF($Q85="","",INDEX(인턴계획표[정규화4],$Q85))</f>
        <v/>
      </c>
      <c r="N85">
        <f>IF($Q85="","",INDEX(인턴계획표[정규화5],$Q85))</f>
        <v/>
      </c>
      <c r="O85">
        <f>IF($Q85="","",INDEX(인턴계획표[정규화6],$Q85))</f>
        <v/>
      </c>
      <c r="P85">
        <f>IF($Q85="","",INDEX(인턴계획표[입력오류],$Q85))</f>
        <v/>
      </c>
      <c r="Q85" s="17">
        <f>IFERROR(MATCH(80,인턴계획표[표시순번],0),"")</f>
        <v/>
      </c>
    </row>
    <row r="86">
      <c r="A86">
        <f>IF($Q86="","",INDEX(인턴계획표[순번],$Q86)&amp;"")</f>
        <v/>
      </c>
      <c r="B86">
        <f>IF($Q86="","",TRIM(INDEX(인턴계획표[이름],$Q86)&amp;""))</f>
        <v/>
      </c>
      <c r="C86">
        <f>IF($Q86="","",INDEX(인턴계획표[사번],$Q86)&amp;"")</f>
        <v/>
      </c>
      <c r="D86">
        <f>IF($Q86="","",IF(COUNTIF(기본자료표[사번키],INDEX(인턴계획표[사번키],$Q86))&gt;0,"확인","미등록"))</f>
        <v/>
      </c>
      <c r="E86">
        <f>IF($Q86="","",IF(ISNUMBER(INDEX(인턴계획표[입사일(비고)],$Q86)),TEXT(INDEX(인턴계획표[입사일(비고)],$Q86),"yyyy-mm-dd"),INDEX(인턴계획표[입사일(비고)],$Q86)&amp;""))</f>
        <v/>
      </c>
      <c r="F86">
        <f>IF($Q86="","",IF(IF($G$3="","",INDEX(인턴계획표[[정규화1]:[정규화6]],$Q86,$G$3)&amp;"")="","",IF(LEFT(IF($G$3="","",INDEX(인턴계획표[[정규화1]:[정규화6]],$Q86,$G$3)&amp;""),1)="⚠",IF($G$3="","",INDEX(인턴계획표[[정규화1]:[정규화6]],$Q86,$G$3)&amp;""),IFERROR(LEFT(IF($G$3="","",INDEX(인턴계획표[[정규화1]:[정규화6]],$Q86,$G$3)&amp;""),FIND(" ",IF($G$3="","",INDEX(인턴계획표[[정규화1]:[정규화6]],$Q86,$G$3)&amp;""))-1),IF($G$3="","",INDEX(인턴계획표[[정규화1]:[정규화6]],$Q86,$G$3)&amp;"")))))</f>
        <v/>
      </c>
      <c r="G86">
        <f>IF($Q86="","",IF(IF($G$3="","",INDEX(인턴계획표[[정규화1]:[정규화6]],$Q86,$G$3)&amp;"")="","",IF(LEFT(IF($G$3="","",INDEX(인턴계획표[[정규화1]:[정규화6]],$Q86,$G$3)&amp;""),1)="⚠","",IFERROR(MID(IF($G$3="","",INDEX(인턴계획표[[정규화1]:[정규화6]],$Q86,$G$3)&amp;""),FIND(" ",IF($G$3="","",INDEX(인턴계획표[[정규화1]:[정규화6]],$Q86,$G$3)&amp;""))+1,60),""))))</f>
        <v/>
      </c>
      <c r="H86">
        <f>IF($Q86="","",IF(IF($I$3="","",INDEX(인턴계획표[[정규화1]:[정규화6]],$Q86,$I$3)&amp;"")="","",IF(LEFT(IF($I$3="","",INDEX(인턴계획표[[정규화1]:[정규화6]],$Q86,$I$3)&amp;""),1)="⚠",IF($I$3="","",INDEX(인턴계획표[[정규화1]:[정규화6]],$Q86,$I$3)&amp;""),IFERROR(LEFT(IF($I$3="","",INDEX(인턴계획표[[정규화1]:[정규화6]],$Q86,$I$3)&amp;""),FIND(" ",IF($I$3="","",INDEX(인턴계획표[[정규화1]:[정규화6]],$Q86,$I$3)&amp;""))-1),IF($I$3="","",INDEX(인턴계획표[[정규화1]:[정규화6]],$Q86,$I$3)&amp;"")))))</f>
        <v/>
      </c>
      <c r="I86">
        <f>IF($Q86="","",IF(IF($I$3="","",INDEX(인턴계획표[[정규화1]:[정규화6]],$Q86,$I$3)&amp;"")="","",IF(LEFT(IF($I$3="","",INDEX(인턴계획표[[정규화1]:[정규화6]],$Q86,$I$3)&amp;""),1)="⚠","",IFERROR(MID(IF($I$3="","",INDEX(인턴계획표[[정규화1]:[정규화6]],$Q86,$I$3)&amp;""),FIND(" ",IF($I$3="","",INDEX(인턴계획표[[정규화1]:[정규화6]],$Q86,$I$3)&amp;""))+1,60),""))))</f>
        <v/>
      </c>
      <c r="J86">
        <f>IF($Q86="","",INDEX(인턴계획표[정규화1],$Q86))</f>
        <v/>
      </c>
      <c r="K86">
        <f>IF($Q86="","",INDEX(인턴계획표[정규화2],$Q86))</f>
        <v/>
      </c>
      <c r="L86">
        <f>IF($Q86="","",INDEX(인턴계획표[정규화3],$Q86))</f>
        <v/>
      </c>
      <c r="M86">
        <f>IF($Q86="","",INDEX(인턴계획표[정규화4],$Q86))</f>
        <v/>
      </c>
      <c r="N86">
        <f>IF($Q86="","",INDEX(인턴계획표[정규화5],$Q86))</f>
        <v/>
      </c>
      <c r="O86">
        <f>IF($Q86="","",INDEX(인턴계획표[정규화6],$Q86))</f>
        <v/>
      </c>
      <c r="P86">
        <f>IF($Q86="","",INDEX(인턴계획표[입력오류],$Q86))</f>
        <v/>
      </c>
      <c r="Q86" s="17">
        <f>IFERROR(MATCH(81,인턴계획표[표시순번],0),"")</f>
        <v/>
      </c>
    </row>
    <row r="87">
      <c r="A87">
        <f>IF($Q87="","",INDEX(인턴계획표[순번],$Q87)&amp;"")</f>
        <v/>
      </c>
      <c r="B87">
        <f>IF($Q87="","",TRIM(INDEX(인턴계획표[이름],$Q87)&amp;""))</f>
        <v/>
      </c>
      <c r="C87">
        <f>IF($Q87="","",INDEX(인턴계획표[사번],$Q87)&amp;"")</f>
        <v/>
      </c>
      <c r="D87">
        <f>IF($Q87="","",IF(COUNTIF(기본자료표[사번키],INDEX(인턴계획표[사번키],$Q87))&gt;0,"확인","미등록"))</f>
        <v/>
      </c>
      <c r="E87">
        <f>IF($Q87="","",IF(ISNUMBER(INDEX(인턴계획표[입사일(비고)],$Q87)),TEXT(INDEX(인턴계획표[입사일(비고)],$Q87),"yyyy-mm-dd"),INDEX(인턴계획표[입사일(비고)],$Q87)&amp;""))</f>
        <v/>
      </c>
      <c r="F87">
        <f>IF($Q87="","",IF(IF($G$3="","",INDEX(인턴계획표[[정규화1]:[정규화6]],$Q87,$G$3)&amp;"")="","",IF(LEFT(IF($G$3="","",INDEX(인턴계획표[[정규화1]:[정규화6]],$Q87,$G$3)&amp;""),1)="⚠",IF($G$3="","",INDEX(인턴계획표[[정규화1]:[정규화6]],$Q87,$G$3)&amp;""),IFERROR(LEFT(IF($G$3="","",INDEX(인턴계획표[[정규화1]:[정규화6]],$Q87,$G$3)&amp;""),FIND(" ",IF($G$3="","",INDEX(인턴계획표[[정규화1]:[정규화6]],$Q87,$G$3)&amp;""))-1),IF($G$3="","",INDEX(인턴계획표[[정규화1]:[정규화6]],$Q87,$G$3)&amp;"")))))</f>
        <v/>
      </c>
      <c r="G87">
        <f>IF($Q87="","",IF(IF($G$3="","",INDEX(인턴계획표[[정규화1]:[정규화6]],$Q87,$G$3)&amp;"")="","",IF(LEFT(IF($G$3="","",INDEX(인턴계획표[[정규화1]:[정규화6]],$Q87,$G$3)&amp;""),1)="⚠","",IFERROR(MID(IF($G$3="","",INDEX(인턴계획표[[정규화1]:[정규화6]],$Q87,$G$3)&amp;""),FIND(" ",IF($G$3="","",INDEX(인턴계획표[[정규화1]:[정규화6]],$Q87,$G$3)&amp;""))+1,60),""))))</f>
        <v/>
      </c>
      <c r="H87">
        <f>IF($Q87="","",IF(IF($I$3="","",INDEX(인턴계획표[[정규화1]:[정규화6]],$Q87,$I$3)&amp;"")="","",IF(LEFT(IF($I$3="","",INDEX(인턴계획표[[정규화1]:[정규화6]],$Q87,$I$3)&amp;""),1)="⚠",IF($I$3="","",INDEX(인턴계획표[[정규화1]:[정규화6]],$Q87,$I$3)&amp;""),IFERROR(LEFT(IF($I$3="","",INDEX(인턴계획표[[정규화1]:[정규화6]],$Q87,$I$3)&amp;""),FIND(" ",IF($I$3="","",INDEX(인턴계획표[[정규화1]:[정규화6]],$Q87,$I$3)&amp;""))-1),IF($I$3="","",INDEX(인턴계획표[[정규화1]:[정규화6]],$Q87,$I$3)&amp;"")))))</f>
        <v/>
      </c>
      <c r="I87">
        <f>IF($Q87="","",IF(IF($I$3="","",INDEX(인턴계획표[[정규화1]:[정규화6]],$Q87,$I$3)&amp;"")="","",IF(LEFT(IF($I$3="","",INDEX(인턴계획표[[정규화1]:[정규화6]],$Q87,$I$3)&amp;""),1)="⚠","",IFERROR(MID(IF($I$3="","",INDEX(인턴계획표[[정규화1]:[정규화6]],$Q87,$I$3)&amp;""),FIND(" ",IF($I$3="","",INDEX(인턴계획표[[정규화1]:[정규화6]],$Q87,$I$3)&amp;""))+1,60),""))))</f>
        <v/>
      </c>
      <c r="J87">
        <f>IF($Q87="","",INDEX(인턴계획표[정규화1],$Q87))</f>
        <v/>
      </c>
      <c r="K87">
        <f>IF($Q87="","",INDEX(인턴계획표[정규화2],$Q87))</f>
        <v/>
      </c>
      <c r="L87">
        <f>IF($Q87="","",INDEX(인턴계획표[정규화3],$Q87))</f>
        <v/>
      </c>
      <c r="M87">
        <f>IF($Q87="","",INDEX(인턴계획표[정규화4],$Q87))</f>
        <v/>
      </c>
      <c r="N87">
        <f>IF($Q87="","",INDEX(인턴계획표[정규화5],$Q87))</f>
        <v/>
      </c>
      <c r="O87">
        <f>IF($Q87="","",INDEX(인턴계획표[정규화6],$Q87))</f>
        <v/>
      </c>
      <c r="P87">
        <f>IF($Q87="","",INDEX(인턴계획표[입력오류],$Q87))</f>
        <v/>
      </c>
      <c r="Q87" s="17">
        <f>IFERROR(MATCH(82,인턴계획표[표시순번],0),"")</f>
        <v/>
      </c>
    </row>
    <row r="88">
      <c r="A88">
        <f>IF($Q88="","",INDEX(인턴계획표[순번],$Q88)&amp;"")</f>
        <v/>
      </c>
      <c r="B88">
        <f>IF($Q88="","",TRIM(INDEX(인턴계획표[이름],$Q88)&amp;""))</f>
        <v/>
      </c>
      <c r="C88">
        <f>IF($Q88="","",INDEX(인턴계획표[사번],$Q88)&amp;"")</f>
        <v/>
      </c>
      <c r="D88">
        <f>IF($Q88="","",IF(COUNTIF(기본자료표[사번키],INDEX(인턴계획표[사번키],$Q88))&gt;0,"확인","미등록"))</f>
        <v/>
      </c>
      <c r="E88">
        <f>IF($Q88="","",IF(ISNUMBER(INDEX(인턴계획표[입사일(비고)],$Q88)),TEXT(INDEX(인턴계획표[입사일(비고)],$Q88),"yyyy-mm-dd"),INDEX(인턴계획표[입사일(비고)],$Q88)&amp;""))</f>
        <v/>
      </c>
      <c r="F88">
        <f>IF($Q88="","",IF(IF($G$3="","",INDEX(인턴계획표[[정규화1]:[정규화6]],$Q88,$G$3)&amp;"")="","",IF(LEFT(IF($G$3="","",INDEX(인턴계획표[[정규화1]:[정규화6]],$Q88,$G$3)&amp;""),1)="⚠",IF($G$3="","",INDEX(인턴계획표[[정규화1]:[정규화6]],$Q88,$G$3)&amp;""),IFERROR(LEFT(IF($G$3="","",INDEX(인턴계획표[[정규화1]:[정규화6]],$Q88,$G$3)&amp;""),FIND(" ",IF($G$3="","",INDEX(인턴계획표[[정규화1]:[정규화6]],$Q88,$G$3)&amp;""))-1),IF($G$3="","",INDEX(인턴계획표[[정규화1]:[정규화6]],$Q88,$G$3)&amp;"")))))</f>
        <v/>
      </c>
      <c r="G88">
        <f>IF($Q88="","",IF(IF($G$3="","",INDEX(인턴계획표[[정규화1]:[정규화6]],$Q88,$G$3)&amp;"")="","",IF(LEFT(IF($G$3="","",INDEX(인턴계획표[[정규화1]:[정규화6]],$Q88,$G$3)&amp;""),1)="⚠","",IFERROR(MID(IF($G$3="","",INDEX(인턴계획표[[정규화1]:[정규화6]],$Q88,$G$3)&amp;""),FIND(" ",IF($G$3="","",INDEX(인턴계획표[[정규화1]:[정규화6]],$Q88,$G$3)&amp;""))+1,60),""))))</f>
        <v/>
      </c>
      <c r="H88">
        <f>IF($Q88="","",IF(IF($I$3="","",INDEX(인턴계획표[[정규화1]:[정규화6]],$Q88,$I$3)&amp;"")="","",IF(LEFT(IF($I$3="","",INDEX(인턴계획표[[정규화1]:[정규화6]],$Q88,$I$3)&amp;""),1)="⚠",IF($I$3="","",INDEX(인턴계획표[[정규화1]:[정규화6]],$Q88,$I$3)&amp;""),IFERROR(LEFT(IF($I$3="","",INDEX(인턴계획표[[정규화1]:[정규화6]],$Q88,$I$3)&amp;""),FIND(" ",IF($I$3="","",INDEX(인턴계획표[[정규화1]:[정규화6]],$Q88,$I$3)&amp;""))-1),IF($I$3="","",INDEX(인턴계획표[[정규화1]:[정규화6]],$Q88,$I$3)&amp;"")))))</f>
        <v/>
      </c>
      <c r="I88">
        <f>IF($Q88="","",IF(IF($I$3="","",INDEX(인턴계획표[[정규화1]:[정규화6]],$Q88,$I$3)&amp;"")="","",IF(LEFT(IF($I$3="","",INDEX(인턴계획표[[정규화1]:[정규화6]],$Q88,$I$3)&amp;""),1)="⚠","",IFERROR(MID(IF($I$3="","",INDEX(인턴계획표[[정규화1]:[정규화6]],$Q88,$I$3)&amp;""),FIND(" ",IF($I$3="","",INDEX(인턴계획표[[정규화1]:[정규화6]],$Q88,$I$3)&amp;""))+1,60),""))))</f>
        <v/>
      </c>
      <c r="J88">
        <f>IF($Q88="","",INDEX(인턴계획표[정규화1],$Q88))</f>
        <v/>
      </c>
      <c r="K88">
        <f>IF($Q88="","",INDEX(인턴계획표[정규화2],$Q88))</f>
        <v/>
      </c>
      <c r="L88">
        <f>IF($Q88="","",INDEX(인턴계획표[정규화3],$Q88))</f>
        <v/>
      </c>
      <c r="M88">
        <f>IF($Q88="","",INDEX(인턴계획표[정규화4],$Q88))</f>
        <v/>
      </c>
      <c r="N88">
        <f>IF($Q88="","",INDEX(인턴계획표[정규화5],$Q88))</f>
        <v/>
      </c>
      <c r="O88">
        <f>IF($Q88="","",INDEX(인턴계획표[정규화6],$Q88))</f>
        <v/>
      </c>
      <c r="P88">
        <f>IF($Q88="","",INDEX(인턴계획표[입력오류],$Q88))</f>
        <v/>
      </c>
      <c r="Q88" s="17">
        <f>IFERROR(MATCH(83,인턴계획표[표시순번],0),"")</f>
        <v/>
      </c>
    </row>
    <row r="89">
      <c r="A89">
        <f>IF($Q89="","",INDEX(인턴계획표[순번],$Q89)&amp;"")</f>
        <v/>
      </c>
      <c r="B89">
        <f>IF($Q89="","",TRIM(INDEX(인턴계획표[이름],$Q89)&amp;""))</f>
        <v/>
      </c>
      <c r="C89">
        <f>IF($Q89="","",INDEX(인턴계획표[사번],$Q89)&amp;"")</f>
        <v/>
      </c>
      <c r="D89">
        <f>IF($Q89="","",IF(COUNTIF(기본자료표[사번키],INDEX(인턴계획표[사번키],$Q89))&gt;0,"확인","미등록"))</f>
        <v/>
      </c>
      <c r="E89">
        <f>IF($Q89="","",IF(ISNUMBER(INDEX(인턴계획표[입사일(비고)],$Q89)),TEXT(INDEX(인턴계획표[입사일(비고)],$Q89),"yyyy-mm-dd"),INDEX(인턴계획표[입사일(비고)],$Q89)&amp;""))</f>
        <v/>
      </c>
      <c r="F89">
        <f>IF($Q89="","",IF(IF($G$3="","",INDEX(인턴계획표[[정규화1]:[정규화6]],$Q89,$G$3)&amp;"")="","",IF(LEFT(IF($G$3="","",INDEX(인턴계획표[[정규화1]:[정규화6]],$Q89,$G$3)&amp;""),1)="⚠",IF($G$3="","",INDEX(인턴계획표[[정규화1]:[정규화6]],$Q89,$G$3)&amp;""),IFERROR(LEFT(IF($G$3="","",INDEX(인턴계획표[[정규화1]:[정규화6]],$Q89,$G$3)&amp;""),FIND(" ",IF($G$3="","",INDEX(인턴계획표[[정규화1]:[정규화6]],$Q89,$G$3)&amp;""))-1),IF($G$3="","",INDEX(인턴계획표[[정규화1]:[정규화6]],$Q89,$G$3)&amp;"")))))</f>
        <v/>
      </c>
      <c r="G89">
        <f>IF($Q89="","",IF(IF($G$3="","",INDEX(인턴계획표[[정규화1]:[정규화6]],$Q89,$G$3)&amp;"")="","",IF(LEFT(IF($G$3="","",INDEX(인턴계획표[[정규화1]:[정규화6]],$Q89,$G$3)&amp;""),1)="⚠","",IFERROR(MID(IF($G$3="","",INDEX(인턴계획표[[정규화1]:[정규화6]],$Q89,$G$3)&amp;""),FIND(" ",IF($G$3="","",INDEX(인턴계획표[[정규화1]:[정규화6]],$Q89,$G$3)&amp;""))+1,60),""))))</f>
        <v/>
      </c>
      <c r="H89">
        <f>IF($Q89="","",IF(IF($I$3="","",INDEX(인턴계획표[[정규화1]:[정규화6]],$Q89,$I$3)&amp;"")="","",IF(LEFT(IF($I$3="","",INDEX(인턴계획표[[정규화1]:[정규화6]],$Q89,$I$3)&amp;""),1)="⚠",IF($I$3="","",INDEX(인턴계획표[[정규화1]:[정규화6]],$Q89,$I$3)&amp;""),IFERROR(LEFT(IF($I$3="","",INDEX(인턴계획표[[정규화1]:[정규화6]],$Q89,$I$3)&amp;""),FIND(" ",IF($I$3="","",INDEX(인턴계획표[[정규화1]:[정규화6]],$Q89,$I$3)&amp;""))-1),IF($I$3="","",INDEX(인턴계획표[[정규화1]:[정규화6]],$Q89,$I$3)&amp;"")))))</f>
        <v/>
      </c>
      <c r="I89">
        <f>IF($Q89="","",IF(IF($I$3="","",INDEX(인턴계획표[[정규화1]:[정규화6]],$Q89,$I$3)&amp;"")="","",IF(LEFT(IF($I$3="","",INDEX(인턴계획표[[정규화1]:[정규화6]],$Q89,$I$3)&amp;""),1)="⚠","",IFERROR(MID(IF($I$3="","",INDEX(인턴계획표[[정규화1]:[정규화6]],$Q89,$I$3)&amp;""),FIND(" ",IF($I$3="","",INDEX(인턴계획표[[정규화1]:[정규화6]],$Q89,$I$3)&amp;""))+1,60),""))))</f>
        <v/>
      </c>
      <c r="J89">
        <f>IF($Q89="","",INDEX(인턴계획표[정규화1],$Q89))</f>
        <v/>
      </c>
      <c r="K89">
        <f>IF($Q89="","",INDEX(인턴계획표[정규화2],$Q89))</f>
        <v/>
      </c>
      <c r="L89">
        <f>IF($Q89="","",INDEX(인턴계획표[정규화3],$Q89))</f>
        <v/>
      </c>
      <c r="M89">
        <f>IF($Q89="","",INDEX(인턴계획표[정규화4],$Q89))</f>
        <v/>
      </c>
      <c r="N89">
        <f>IF($Q89="","",INDEX(인턴계획표[정규화5],$Q89))</f>
        <v/>
      </c>
      <c r="O89">
        <f>IF($Q89="","",INDEX(인턴계획표[정규화6],$Q89))</f>
        <v/>
      </c>
      <c r="P89">
        <f>IF($Q89="","",INDEX(인턴계획표[입력오류],$Q89))</f>
        <v/>
      </c>
      <c r="Q89" s="17">
        <f>IFERROR(MATCH(84,인턴계획표[표시순번],0),"")</f>
        <v/>
      </c>
    </row>
    <row r="90">
      <c r="A90">
        <f>IF($Q90="","",INDEX(인턴계획표[순번],$Q90)&amp;"")</f>
        <v/>
      </c>
      <c r="B90">
        <f>IF($Q90="","",TRIM(INDEX(인턴계획표[이름],$Q90)&amp;""))</f>
        <v/>
      </c>
      <c r="C90">
        <f>IF($Q90="","",INDEX(인턴계획표[사번],$Q90)&amp;"")</f>
        <v/>
      </c>
      <c r="D90">
        <f>IF($Q90="","",IF(COUNTIF(기본자료표[사번키],INDEX(인턴계획표[사번키],$Q90))&gt;0,"확인","미등록"))</f>
        <v/>
      </c>
      <c r="E90">
        <f>IF($Q90="","",IF(ISNUMBER(INDEX(인턴계획표[입사일(비고)],$Q90)),TEXT(INDEX(인턴계획표[입사일(비고)],$Q90),"yyyy-mm-dd"),INDEX(인턴계획표[입사일(비고)],$Q90)&amp;""))</f>
        <v/>
      </c>
      <c r="F90">
        <f>IF($Q90="","",IF(IF($G$3="","",INDEX(인턴계획표[[정규화1]:[정규화6]],$Q90,$G$3)&amp;"")="","",IF(LEFT(IF($G$3="","",INDEX(인턴계획표[[정규화1]:[정규화6]],$Q90,$G$3)&amp;""),1)="⚠",IF($G$3="","",INDEX(인턴계획표[[정규화1]:[정규화6]],$Q90,$G$3)&amp;""),IFERROR(LEFT(IF($G$3="","",INDEX(인턴계획표[[정규화1]:[정규화6]],$Q90,$G$3)&amp;""),FIND(" ",IF($G$3="","",INDEX(인턴계획표[[정규화1]:[정규화6]],$Q90,$G$3)&amp;""))-1),IF($G$3="","",INDEX(인턴계획표[[정규화1]:[정규화6]],$Q90,$G$3)&amp;"")))))</f>
        <v/>
      </c>
      <c r="G90">
        <f>IF($Q90="","",IF(IF($G$3="","",INDEX(인턴계획표[[정규화1]:[정규화6]],$Q90,$G$3)&amp;"")="","",IF(LEFT(IF($G$3="","",INDEX(인턴계획표[[정규화1]:[정규화6]],$Q90,$G$3)&amp;""),1)="⚠","",IFERROR(MID(IF($G$3="","",INDEX(인턴계획표[[정규화1]:[정규화6]],$Q90,$G$3)&amp;""),FIND(" ",IF($G$3="","",INDEX(인턴계획표[[정규화1]:[정규화6]],$Q90,$G$3)&amp;""))+1,60),""))))</f>
        <v/>
      </c>
      <c r="H90">
        <f>IF($Q90="","",IF(IF($I$3="","",INDEX(인턴계획표[[정규화1]:[정규화6]],$Q90,$I$3)&amp;"")="","",IF(LEFT(IF($I$3="","",INDEX(인턴계획표[[정규화1]:[정규화6]],$Q90,$I$3)&amp;""),1)="⚠",IF($I$3="","",INDEX(인턴계획표[[정규화1]:[정규화6]],$Q90,$I$3)&amp;""),IFERROR(LEFT(IF($I$3="","",INDEX(인턴계획표[[정규화1]:[정규화6]],$Q90,$I$3)&amp;""),FIND(" ",IF($I$3="","",INDEX(인턴계획표[[정규화1]:[정규화6]],$Q90,$I$3)&amp;""))-1),IF($I$3="","",INDEX(인턴계획표[[정규화1]:[정규화6]],$Q90,$I$3)&amp;"")))))</f>
        <v/>
      </c>
      <c r="I90">
        <f>IF($Q90="","",IF(IF($I$3="","",INDEX(인턴계획표[[정규화1]:[정규화6]],$Q90,$I$3)&amp;"")="","",IF(LEFT(IF($I$3="","",INDEX(인턴계획표[[정규화1]:[정규화6]],$Q90,$I$3)&amp;""),1)="⚠","",IFERROR(MID(IF($I$3="","",INDEX(인턴계획표[[정규화1]:[정규화6]],$Q90,$I$3)&amp;""),FIND(" ",IF($I$3="","",INDEX(인턴계획표[[정규화1]:[정규화6]],$Q90,$I$3)&amp;""))+1,60),""))))</f>
        <v/>
      </c>
      <c r="J90">
        <f>IF($Q90="","",INDEX(인턴계획표[정규화1],$Q90))</f>
        <v/>
      </c>
      <c r="K90">
        <f>IF($Q90="","",INDEX(인턴계획표[정규화2],$Q90))</f>
        <v/>
      </c>
      <c r="L90">
        <f>IF($Q90="","",INDEX(인턴계획표[정규화3],$Q90))</f>
        <v/>
      </c>
      <c r="M90">
        <f>IF($Q90="","",INDEX(인턴계획표[정규화4],$Q90))</f>
        <v/>
      </c>
      <c r="N90">
        <f>IF($Q90="","",INDEX(인턴계획표[정규화5],$Q90))</f>
        <v/>
      </c>
      <c r="O90">
        <f>IF($Q90="","",INDEX(인턴계획표[정규화6],$Q90))</f>
        <v/>
      </c>
      <c r="P90">
        <f>IF($Q90="","",INDEX(인턴계획표[입력오류],$Q90))</f>
        <v/>
      </c>
      <c r="Q90" s="17">
        <f>IFERROR(MATCH(85,인턴계획표[표시순번],0),"")</f>
        <v/>
      </c>
    </row>
    <row r="91">
      <c r="A91">
        <f>IF($Q91="","",INDEX(인턴계획표[순번],$Q91)&amp;"")</f>
        <v/>
      </c>
      <c r="B91">
        <f>IF($Q91="","",TRIM(INDEX(인턴계획표[이름],$Q91)&amp;""))</f>
        <v/>
      </c>
      <c r="C91">
        <f>IF($Q91="","",INDEX(인턴계획표[사번],$Q91)&amp;"")</f>
        <v/>
      </c>
      <c r="D91">
        <f>IF($Q91="","",IF(COUNTIF(기본자료표[사번키],INDEX(인턴계획표[사번키],$Q91))&gt;0,"확인","미등록"))</f>
        <v/>
      </c>
      <c r="E91">
        <f>IF($Q91="","",IF(ISNUMBER(INDEX(인턴계획표[입사일(비고)],$Q91)),TEXT(INDEX(인턴계획표[입사일(비고)],$Q91),"yyyy-mm-dd"),INDEX(인턴계획표[입사일(비고)],$Q91)&amp;""))</f>
        <v/>
      </c>
      <c r="F91">
        <f>IF($Q91="","",IF(IF($G$3="","",INDEX(인턴계획표[[정규화1]:[정규화6]],$Q91,$G$3)&amp;"")="","",IF(LEFT(IF($G$3="","",INDEX(인턴계획표[[정규화1]:[정규화6]],$Q91,$G$3)&amp;""),1)="⚠",IF($G$3="","",INDEX(인턴계획표[[정규화1]:[정규화6]],$Q91,$G$3)&amp;""),IFERROR(LEFT(IF($G$3="","",INDEX(인턴계획표[[정규화1]:[정규화6]],$Q91,$G$3)&amp;""),FIND(" ",IF($G$3="","",INDEX(인턴계획표[[정규화1]:[정규화6]],$Q91,$G$3)&amp;""))-1),IF($G$3="","",INDEX(인턴계획표[[정규화1]:[정규화6]],$Q91,$G$3)&amp;"")))))</f>
        <v/>
      </c>
      <c r="G91">
        <f>IF($Q91="","",IF(IF($G$3="","",INDEX(인턴계획표[[정규화1]:[정규화6]],$Q91,$G$3)&amp;"")="","",IF(LEFT(IF($G$3="","",INDEX(인턴계획표[[정규화1]:[정규화6]],$Q91,$G$3)&amp;""),1)="⚠","",IFERROR(MID(IF($G$3="","",INDEX(인턴계획표[[정규화1]:[정규화6]],$Q91,$G$3)&amp;""),FIND(" ",IF($G$3="","",INDEX(인턴계획표[[정규화1]:[정규화6]],$Q91,$G$3)&amp;""))+1,60),""))))</f>
        <v/>
      </c>
      <c r="H91">
        <f>IF($Q91="","",IF(IF($I$3="","",INDEX(인턴계획표[[정규화1]:[정규화6]],$Q91,$I$3)&amp;"")="","",IF(LEFT(IF($I$3="","",INDEX(인턴계획표[[정규화1]:[정규화6]],$Q91,$I$3)&amp;""),1)="⚠",IF($I$3="","",INDEX(인턴계획표[[정규화1]:[정규화6]],$Q91,$I$3)&amp;""),IFERROR(LEFT(IF($I$3="","",INDEX(인턴계획표[[정규화1]:[정규화6]],$Q91,$I$3)&amp;""),FIND(" ",IF($I$3="","",INDEX(인턴계획표[[정규화1]:[정규화6]],$Q91,$I$3)&amp;""))-1),IF($I$3="","",INDEX(인턴계획표[[정규화1]:[정규화6]],$Q91,$I$3)&amp;"")))))</f>
        <v/>
      </c>
      <c r="I91">
        <f>IF($Q91="","",IF(IF($I$3="","",INDEX(인턴계획표[[정규화1]:[정규화6]],$Q91,$I$3)&amp;"")="","",IF(LEFT(IF($I$3="","",INDEX(인턴계획표[[정규화1]:[정규화6]],$Q91,$I$3)&amp;""),1)="⚠","",IFERROR(MID(IF($I$3="","",INDEX(인턴계획표[[정규화1]:[정규화6]],$Q91,$I$3)&amp;""),FIND(" ",IF($I$3="","",INDEX(인턴계획표[[정규화1]:[정규화6]],$Q91,$I$3)&amp;""))+1,60),""))))</f>
        <v/>
      </c>
      <c r="J91">
        <f>IF($Q91="","",INDEX(인턴계획표[정규화1],$Q91))</f>
        <v/>
      </c>
      <c r="K91">
        <f>IF($Q91="","",INDEX(인턴계획표[정규화2],$Q91))</f>
        <v/>
      </c>
      <c r="L91">
        <f>IF($Q91="","",INDEX(인턴계획표[정규화3],$Q91))</f>
        <v/>
      </c>
      <c r="M91">
        <f>IF($Q91="","",INDEX(인턴계획표[정규화4],$Q91))</f>
        <v/>
      </c>
      <c r="N91">
        <f>IF($Q91="","",INDEX(인턴계획표[정규화5],$Q91))</f>
        <v/>
      </c>
      <c r="O91">
        <f>IF($Q91="","",INDEX(인턴계획표[정규화6],$Q91))</f>
        <v/>
      </c>
      <c r="P91">
        <f>IF($Q91="","",INDEX(인턴계획표[입력오류],$Q91))</f>
        <v/>
      </c>
      <c r="Q91" s="17">
        <f>IFERROR(MATCH(86,인턴계획표[표시순번],0),"")</f>
        <v/>
      </c>
    </row>
    <row r="92">
      <c r="A92">
        <f>IF($Q92="","",INDEX(인턴계획표[순번],$Q92)&amp;"")</f>
        <v/>
      </c>
      <c r="B92">
        <f>IF($Q92="","",TRIM(INDEX(인턴계획표[이름],$Q92)&amp;""))</f>
        <v/>
      </c>
      <c r="C92">
        <f>IF($Q92="","",INDEX(인턴계획표[사번],$Q92)&amp;"")</f>
        <v/>
      </c>
      <c r="D92">
        <f>IF($Q92="","",IF(COUNTIF(기본자료표[사번키],INDEX(인턴계획표[사번키],$Q92))&gt;0,"확인","미등록"))</f>
        <v/>
      </c>
      <c r="E92">
        <f>IF($Q92="","",IF(ISNUMBER(INDEX(인턴계획표[입사일(비고)],$Q92)),TEXT(INDEX(인턴계획표[입사일(비고)],$Q92),"yyyy-mm-dd"),INDEX(인턴계획표[입사일(비고)],$Q92)&amp;""))</f>
        <v/>
      </c>
      <c r="F92">
        <f>IF($Q92="","",IF(IF($G$3="","",INDEX(인턴계획표[[정규화1]:[정규화6]],$Q92,$G$3)&amp;"")="","",IF(LEFT(IF($G$3="","",INDEX(인턴계획표[[정규화1]:[정규화6]],$Q92,$G$3)&amp;""),1)="⚠",IF($G$3="","",INDEX(인턴계획표[[정규화1]:[정규화6]],$Q92,$G$3)&amp;""),IFERROR(LEFT(IF($G$3="","",INDEX(인턴계획표[[정규화1]:[정규화6]],$Q92,$G$3)&amp;""),FIND(" ",IF($G$3="","",INDEX(인턴계획표[[정규화1]:[정규화6]],$Q92,$G$3)&amp;""))-1),IF($G$3="","",INDEX(인턴계획표[[정규화1]:[정규화6]],$Q92,$G$3)&amp;"")))))</f>
        <v/>
      </c>
      <c r="G92">
        <f>IF($Q92="","",IF(IF($G$3="","",INDEX(인턴계획표[[정규화1]:[정규화6]],$Q92,$G$3)&amp;"")="","",IF(LEFT(IF($G$3="","",INDEX(인턴계획표[[정규화1]:[정규화6]],$Q92,$G$3)&amp;""),1)="⚠","",IFERROR(MID(IF($G$3="","",INDEX(인턴계획표[[정규화1]:[정규화6]],$Q92,$G$3)&amp;""),FIND(" ",IF($G$3="","",INDEX(인턴계획표[[정규화1]:[정규화6]],$Q92,$G$3)&amp;""))+1,60),""))))</f>
        <v/>
      </c>
      <c r="H92">
        <f>IF($Q92="","",IF(IF($I$3="","",INDEX(인턴계획표[[정규화1]:[정규화6]],$Q92,$I$3)&amp;"")="","",IF(LEFT(IF($I$3="","",INDEX(인턴계획표[[정규화1]:[정규화6]],$Q92,$I$3)&amp;""),1)="⚠",IF($I$3="","",INDEX(인턴계획표[[정규화1]:[정규화6]],$Q92,$I$3)&amp;""),IFERROR(LEFT(IF($I$3="","",INDEX(인턴계획표[[정규화1]:[정규화6]],$Q92,$I$3)&amp;""),FIND(" ",IF($I$3="","",INDEX(인턴계획표[[정규화1]:[정규화6]],$Q92,$I$3)&amp;""))-1),IF($I$3="","",INDEX(인턴계획표[[정규화1]:[정규화6]],$Q92,$I$3)&amp;"")))))</f>
        <v/>
      </c>
      <c r="I92">
        <f>IF($Q92="","",IF(IF($I$3="","",INDEX(인턴계획표[[정규화1]:[정규화6]],$Q92,$I$3)&amp;"")="","",IF(LEFT(IF($I$3="","",INDEX(인턴계획표[[정규화1]:[정규화6]],$Q92,$I$3)&amp;""),1)="⚠","",IFERROR(MID(IF($I$3="","",INDEX(인턴계획표[[정규화1]:[정규화6]],$Q92,$I$3)&amp;""),FIND(" ",IF($I$3="","",INDEX(인턴계획표[[정규화1]:[정규화6]],$Q92,$I$3)&amp;""))+1,60),""))))</f>
        <v/>
      </c>
      <c r="J92">
        <f>IF($Q92="","",INDEX(인턴계획표[정규화1],$Q92))</f>
        <v/>
      </c>
      <c r="K92">
        <f>IF($Q92="","",INDEX(인턴계획표[정규화2],$Q92))</f>
        <v/>
      </c>
      <c r="L92">
        <f>IF($Q92="","",INDEX(인턴계획표[정규화3],$Q92))</f>
        <v/>
      </c>
      <c r="M92">
        <f>IF($Q92="","",INDEX(인턴계획표[정규화4],$Q92))</f>
        <v/>
      </c>
      <c r="N92">
        <f>IF($Q92="","",INDEX(인턴계획표[정규화5],$Q92))</f>
        <v/>
      </c>
      <c r="O92">
        <f>IF($Q92="","",INDEX(인턴계획표[정규화6],$Q92))</f>
        <v/>
      </c>
      <c r="P92">
        <f>IF($Q92="","",INDEX(인턴계획표[입력오류],$Q92))</f>
        <v/>
      </c>
      <c r="Q92" s="17">
        <f>IFERROR(MATCH(87,인턴계획표[표시순번],0),"")</f>
        <v/>
      </c>
    </row>
    <row r="93">
      <c r="A93">
        <f>IF($Q93="","",INDEX(인턴계획표[순번],$Q93)&amp;"")</f>
        <v/>
      </c>
      <c r="B93">
        <f>IF($Q93="","",TRIM(INDEX(인턴계획표[이름],$Q93)&amp;""))</f>
        <v/>
      </c>
      <c r="C93">
        <f>IF($Q93="","",INDEX(인턴계획표[사번],$Q93)&amp;"")</f>
        <v/>
      </c>
      <c r="D93">
        <f>IF($Q93="","",IF(COUNTIF(기본자료표[사번키],INDEX(인턴계획표[사번키],$Q93))&gt;0,"확인","미등록"))</f>
        <v/>
      </c>
      <c r="E93">
        <f>IF($Q93="","",IF(ISNUMBER(INDEX(인턴계획표[입사일(비고)],$Q93)),TEXT(INDEX(인턴계획표[입사일(비고)],$Q93),"yyyy-mm-dd"),INDEX(인턴계획표[입사일(비고)],$Q93)&amp;""))</f>
        <v/>
      </c>
      <c r="F93">
        <f>IF($Q93="","",IF(IF($G$3="","",INDEX(인턴계획표[[정규화1]:[정규화6]],$Q93,$G$3)&amp;"")="","",IF(LEFT(IF($G$3="","",INDEX(인턴계획표[[정규화1]:[정규화6]],$Q93,$G$3)&amp;""),1)="⚠",IF($G$3="","",INDEX(인턴계획표[[정규화1]:[정규화6]],$Q93,$G$3)&amp;""),IFERROR(LEFT(IF($G$3="","",INDEX(인턴계획표[[정규화1]:[정규화6]],$Q93,$G$3)&amp;""),FIND(" ",IF($G$3="","",INDEX(인턴계획표[[정규화1]:[정규화6]],$Q93,$G$3)&amp;""))-1),IF($G$3="","",INDEX(인턴계획표[[정규화1]:[정규화6]],$Q93,$G$3)&amp;"")))))</f>
        <v/>
      </c>
      <c r="G93">
        <f>IF($Q93="","",IF(IF($G$3="","",INDEX(인턴계획표[[정규화1]:[정규화6]],$Q93,$G$3)&amp;"")="","",IF(LEFT(IF($G$3="","",INDEX(인턴계획표[[정규화1]:[정규화6]],$Q93,$G$3)&amp;""),1)="⚠","",IFERROR(MID(IF($G$3="","",INDEX(인턴계획표[[정규화1]:[정규화6]],$Q93,$G$3)&amp;""),FIND(" ",IF($G$3="","",INDEX(인턴계획표[[정규화1]:[정규화6]],$Q93,$G$3)&amp;""))+1,60),""))))</f>
        <v/>
      </c>
      <c r="H93">
        <f>IF($Q93="","",IF(IF($I$3="","",INDEX(인턴계획표[[정규화1]:[정규화6]],$Q93,$I$3)&amp;"")="","",IF(LEFT(IF($I$3="","",INDEX(인턴계획표[[정규화1]:[정규화6]],$Q93,$I$3)&amp;""),1)="⚠",IF($I$3="","",INDEX(인턴계획표[[정규화1]:[정규화6]],$Q93,$I$3)&amp;""),IFERROR(LEFT(IF($I$3="","",INDEX(인턴계획표[[정규화1]:[정규화6]],$Q93,$I$3)&amp;""),FIND(" ",IF($I$3="","",INDEX(인턴계획표[[정규화1]:[정규화6]],$Q93,$I$3)&amp;""))-1),IF($I$3="","",INDEX(인턴계획표[[정규화1]:[정규화6]],$Q93,$I$3)&amp;"")))))</f>
        <v/>
      </c>
      <c r="I93">
        <f>IF($Q93="","",IF(IF($I$3="","",INDEX(인턴계획표[[정규화1]:[정규화6]],$Q93,$I$3)&amp;"")="","",IF(LEFT(IF($I$3="","",INDEX(인턴계획표[[정규화1]:[정규화6]],$Q93,$I$3)&amp;""),1)="⚠","",IFERROR(MID(IF($I$3="","",INDEX(인턴계획표[[정규화1]:[정규화6]],$Q93,$I$3)&amp;""),FIND(" ",IF($I$3="","",INDEX(인턴계획표[[정규화1]:[정규화6]],$Q93,$I$3)&amp;""))+1,60),""))))</f>
        <v/>
      </c>
      <c r="J93">
        <f>IF($Q93="","",INDEX(인턴계획표[정규화1],$Q93))</f>
        <v/>
      </c>
      <c r="K93">
        <f>IF($Q93="","",INDEX(인턴계획표[정규화2],$Q93))</f>
        <v/>
      </c>
      <c r="L93">
        <f>IF($Q93="","",INDEX(인턴계획표[정규화3],$Q93))</f>
        <v/>
      </c>
      <c r="M93">
        <f>IF($Q93="","",INDEX(인턴계획표[정규화4],$Q93))</f>
        <v/>
      </c>
      <c r="N93">
        <f>IF($Q93="","",INDEX(인턴계획표[정규화5],$Q93))</f>
        <v/>
      </c>
      <c r="O93">
        <f>IF($Q93="","",INDEX(인턴계획표[정규화6],$Q93))</f>
        <v/>
      </c>
      <c r="P93">
        <f>IF($Q93="","",INDEX(인턴계획표[입력오류],$Q93))</f>
        <v/>
      </c>
      <c r="Q93" s="17">
        <f>IFERROR(MATCH(88,인턴계획표[표시순번],0),"")</f>
        <v/>
      </c>
    </row>
    <row r="94">
      <c r="A94">
        <f>IF($Q94="","",INDEX(인턴계획표[순번],$Q94)&amp;"")</f>
        <v/>
      </c>
      <c r="B94">
        <f>IF($Q94="","",TRIM(INDEX(인턴계획표[이름],$Q94)&amp;""))</f>
        <v/>
      </c>
      <c r="C94">
        <f>IF($Q94="","",INDEX(인턴계획표[사번],$Q94)&amp;"")</f>
        <v/>
      </c>
      <c r="D94">
        <f>IF($Q94="","",IF(COUNTIF(기본자료표[사번키],INDEX(인턴계획표[사번키],$Q94))&gt;0,"확인","미등록"))</f>
        <v/>
      </c>
      <c r="E94">
        <f>IF($Q94="","",IF(ISNUMBER(INDEX(인턴계획표[입사일(비고)],$Q94)),TEXT(INDEX(인턴계획표[입사일(비고)],$Q94),"yyyy-mm-dd"),INDEX(인턴계획표[입사일(비고)],$Q94)&amp;""))</f>
        <v/>
      </c>
      <c r="F94">
        <f>IF($Q94="","",IF(IF($G$3="","",INDEX(인턴계획표[[정규화1]:[정규화6]],$Q94,$G$3)&amp;"")="","",IF(LEFT(IF($G$3="","",INDEX(인턴계획표[[정규화1]:[정규화6]],$Q94,$G$3)&amp;""),1)="⚠",IF($G$3="","",INDEX(인턴계획표[[정규화1]:[정규화6]],$Q94,$G$3)&amp;""),IFERROR(LEFT(IF($G$3="","",INDEX(인턴계획표[[정규화1]:[정규화6]],$Q94,$G$3)&amp;""),FIND(" ",IF($G$3="","",INDEX(인턴계획표[[정규화1]:[정규화6]],$Q94,$G$3)&amp;""))-1),IF($G$3="","",INDEX(인턴계획표[[정규화1]:[정규화6]],$Q94,$G$3)&amp;"")))))</f>
        <v/>
      </c>
      <c r="G94">
        <f>IF($Q94="","",IF(IF($G$3="","",INDEX(인턴계획표[[정규화1]:[정규화6]],$Q94,$G$3)&amp;"")="","",IF(LEFT(IF($G$3="","",INDEX(인턴계획표[[정규화1]:[정규화6]],$Q94,$G$3)&amp;""),1)="⚠","",IFERROR(MID(IF($G$3="","",INDEX(인턴계획표[[정규화1]:[정규화6]],$Q94,$G$3)&amp;""),FIND(" ",IF($G$3="","",INDEX(인턴계획표[[정규화1]:[정규화6]],$Q94,$G$3)&amp;""))+1,60),""))))</f>
        <v/>
      </c>
      <c r="H94">
        <f>IF($Q94="","",IF(IF($I$3="","",INDEX(인턴계획표[[정규화1]:[정규화6]],$Q94,$I$3)&amp;"")="","",IF(LEFT(IF($I$3="","",INDEX(인턴계획표[[정규화1]:[정규화6]],$Q94,$I$3)&amp;""),1)="⚠",IF($I$3="","",INDEX(인턴계획표[[정규화1]:[정규화6]],$Q94,$I$3)&amp;""),IFERROR(LEFT(IF($I$3="","",INDEX(인턴계획표[[정규화1]:[정규화6]],$Q94,$I$3)&amp;""),FIND(" ",IF($I$3="","",INDEX(인턴계획표[[정규화1]:[정규화6]],$Q94,$I$3)&amp;""))-1),IF($I$3="","",INDEX(인턴계획표[[정규화1]:[정규화6]],$Q94,$I$3)&amp;"")))))</f>
        <v/>
      </c>
      <c r="I94">
        <f>IF($Q94="","",IF(IF($I$3="","",INDEX(인턴계획표[[정규화1]:[정규화6]],$Q94,$I$3)&amp;"")="","",IF(LEFT(IF($I$3="","",INDEX(인턴계획표[[정규화1]:[정규화6]],$Q94,$I$3)&amp;""),1)="⚠","",IFERROR(MID(IF($I$3="","",INDEX(인턴계획표[[정규화1]:[정규화6]],$Q94,$I$3)&amp;""),FIND(" ",IF($I$3="","",INDEX(인턴계획표[[정규화1]:[정규화6]],$Q94,$I$3)&amp;""))+1,60),""))))</f>
        <v/>
      </c>
      <c r="J94">
        <f>IF($Q94="","",INDEX(인턴계획표[정규화1],$Q94))</f>
        <v/>
      </c>
      <c r="K94">
        <f>IF($Q94="","",INDEX(인턴계획표[정규화2],$Q94))</f>
        <v/>
      </c>
      <c r="L94">
        <f>IF($Q94="","",INDEX(인턴계획표[정규화3],$Q94))</f>
        <v/>
      </c>
      <c r="M94">
        <f>IF($Q94="","",INDEX(인턴계획표[정규화4],$Q94))</f>
        <v/>
      </c>
      <c r="N94">
        <f>IF($Q94="","",INDEX(인턴계획표[정규화5],$Q94))</f>
        <v/>
      </c>
      <c r="O94">
        <f>IF($Q94="","",INDEX(인턴계획표[정규화6],$Q94))</f>
        <v/>
      </c>
      <c r="P94">
        <f>IF($Q94="","",INDEX(인턴계획표[입력오류],$Q94))</f>
        <v/>
      </c>
      <c r="Q94" s="17">
        <f>IFERROR(MATCH(89,인턴계획표[표시순번],0),"")</f>
        <v/>
      </c>
    </row>
    <row r="95">
      <c r="A95">
        <f>IF($Q95="","",INDEX(인턴계획표[순번],$Q95)&amp;"")</f>
        <v/>
      </c>
      <c r="B95">
        <f>IF($Q95="","",TRIM(INDEX(인턴계획표[이름],$Q95)&amp;""))</f>
        <v/>
      </c>
      <c r="C95">
        <f>IF($Q95="","",INDEX(인턴계획표[사번],$Q95)&amp;"")</f>
        <v/>
      </c>
      <c r="D95">
        <f>IF($Q95="","",IF(COUNTIF(기본자료표[사번키],INDEX(인턴계획표[사번키],$Q95))&gt;0,"확인","미등록"))</f>
        <v/>
      </c>
      <c r="E95">
        <f>IF($Q95="","",IF(ISNUMBER(INDEX(인턴계획표[입사일(비고)],$Q95)),TEXT(INDEX(인턴계획표[입사일(비고)],$Q95),"yyyy-mm-dd"),INDEX(인턴계획표[입사일(비고)],$Q95)&amp;""))</f>
        <v/>
      </c>
      <c r="F95">
        <f>IF($Q95="","",IF(IF($G$3="","",INDEX(인턴계획표[[정규화1]:[정규화6]],$Q95,$G$3)&amp;"")="","",IF(LEFT(IF($G$3="","",INDEX(인턴계획표[[정규화1]:[정규화6]],$Q95,$G$3)&amp;""),1)="⚠",IF($G$3="","",INDEX(인턴계획표[[정규화1]:[정규화6]],$Q95,$G$3)&amp;""),IFERROR(LEFT(IF($G$3="","",INDEX(인턴계획표[[정규화1]:[정규화6]],$Q95,$G$3)&amp;""),FIND(" ",IF($G$3="","",INDEX(인턴계획표[[정규화1]:[정규화6]],$Q95,$G$3)&amp;""))-1),IF($G$3="","",INDEX(인턴계획표[[정규화1]:[정규화6]],$Q95,$G$3)&amp;"")))))</f>
        <v/>
      </c>
      <c r="G95">
        <f>IF($Q95="","",IF(IF($G$3="","",INDEX(인턴계획표[[정규화1]:[정규화6]],$Q95,$G$3)&amp;"")="","",IF(LEFT(IF($G$3="","",INDEX(인턴계획표[[정규화1]:[정규화6]],$Q95,$G$3)&amp;""),1)="⚠","",IFERROR(MID(IF($G$3="","",INDEX(인턴계획표[[정규화1]:[정규화6]],$Q95,$G$3)&amp;""),FIND(" ",IF($G$3="","",INDEX(인턴계획표[[정규화1]:[정규화6]],$Q95,$G$3)&amp;""))+1,60),""))))</f>
        <v/>
      </c>
      <c r="H95">
        <f>IF($Q95="","",IF(IF($I$3="","",INDEX(인턴계획표[[정규화1]:[정규화6]],$Q95,$I$3)&amp;"")="","",IF(LEFT(IF($I$3="","",INDEX(인턴계획표[[정규화1]:[정규화6]],$Q95,$I$3)&amp;""),1)="⚠",IF($I$3="","",INDEX(인턴계획표[[정규화1]:[정규화6]],$Q95,$I$3)&amp;""),IFERROR(LEFT(IF($I$3="","",INDEX(인턴계획표[[정규화1]:[정규화6]],$Q95,$I$3)&amp;""),FIND(" ",IF($I$3="","",INDEX(인턴계획표[[정규화1]:[정규화6]],$Q95,$I$3)&amp;""))-1),IF($I$3="","",INDEX(인턴계획표[[정규화1]:[정규화6]],$Q95,$I$3)&amp;"")))))</f>
        <v/>
      </c>
      <c r="I95">
        <f>IF($Q95="","",IF(IF($I$3="","",INDEX(인턴계획표[[정규화1]:[정규화6]],$Q95,$I$3)&amp;"")="","",IF(LEFT(IF($I$3="","",INDEX(인턴계획표[[정규화1]:[정규화6]],$Q95,$I$3)&amp;""),1)="⚠","",IFERROR(MID(IF($I$3="","",INDEX(인턴계획표[[정규화1]:[정규화6]],$Q95,$I$3)&amp;""),FIND(" ",IF($I$3="","",INDEX(인턴계획표[[정규화1]:[정규화6]],$Q95,$I$3)&amp;""))+1,60),""))))</f>
        <v/>
      </c>
      <c r="J95">
        <f>IF($Q95="","",INDEX(인턴계획표[정규화1],$Q95))</f>
        <v/>
      </c>
      <c r="K95">
        <f>IF($Q95="","",INDEX(인턴계획표[정규화2],$Q95))</f>
        <v/>
      </c>
      <c r="L95">
        <f>IF($Q95="","",INDEX(인턴계획표[정규화3],$Q95))</f>
        <v/>
      </c>
      <c r="M95">
        <f>IF($Q95="","",INDEX(인턴계획표[정규화4],$Q95))</f>
        <v/>
      </c>
      <c r="N95">
        <f>IF($Q95="","",INDEX(인턴계획표[정규화5],$Q95))</f>
        <v/>
      </c>
      <c r="O95">
        <f>IF($Q95="","",INDEX(인턴계획표[정규화6],$Q95))</f>
        <v/>
      </c>
      <c r="P95">
        <f>IF($Q95="","",INDEX(인턴계획표[입력오류],$Q95))</f>
        <v/>
      </c>
      <c r="Q95" s="17">
        <f>IFERROR(MATCH(90,인턴계획표[표시순번],0),"")</f>
        <v/>
      </c>
    </row>
    <row r="96">
      <c r="A96">
        <f>IF($Q96="","",INDEX(인턴계획표[순번],$Q96)&amp;"")</f>
        <v/>
      </c>
      <c r="B96">
        <f>IF($Q96="","",TRIM(INDEX(인턴계획표[이름],$Q96)&amp;""))</f>
        <v/>
      </c>
      <c r="C96">
        <f>IF($Q96="","",INDEX(인턴계획표[사번],$Q96)&amp;"")</f>
        <v/>
      </c>
      <c r="D96">
        <f>IF($Q96="","",IF(COUNTIF(기본자료표[사번키],INDEX(인턴계획표[사번키],$Q96))&gt;0,"확인","미등록"))</f>
        <v/>
      </c>
      <c r="E96">
        <f>IF($Q96="","",IF(ISNUMBER(INDEX(인턴계획표[입사일(비고)],$Q96)),TEXT(INDEX(인턴계획표[입사일(비고)],$Q96),"yyyy-mm-dd"),INDEX(인턴계획표[입사일(비고)],$Q96)&amp;""))</f>
        <v/>
      </c>
      <c r="F96">
        <f>IF($Q96="","",IF(IF($G$3="","",INDEX(인턴계획표[[정규화1]:[정규화6]],$Q96,$G$3)&amp;"")="","",IF(LEFT(IF($G$3="","",INDEX(인턴계획표[[정규화1]:[정규화6]],$Q96,$G$3)&amp;""),1)="⚠",IF($G$3="","",INDEX(인턴계획표[[정규화1]:[정규화6]],$Q96,$G$3)&amp;""),IFERROR(LEFT(IF($G$3="","",INDEX(인턴계획표[[정규화1]:[정규화6]],$Q96,$G$3)&amp;""),FIND(" ",IF($G$3="","",INDEX(인턴계획표[[정규화1]:[정규화6]],$Q96,$G$3)&amp;""))-1),IF($G$3="","",INDEX(인턴계획표[[정규화1]:[정규화6]],$Q96,$G$3)&amp;"")))))</f>
        <v/>
      </c>
      <c r="G96">
        <f>IF($Q96="","",IF(IF($G$3="","",INDEX(인턴계획표[[정규화1]:[정규화6]],$Q96,$G$3)&amp;"")="","",IF(LEFT(IF($G$3="","",INDEX(인턴계획표[[정규화1]:[정규화6]],$Q96,$G$3)&amp;""),1)="⚠","",IFERROR(MID(IF($G$3="","",INDEX(인턴계획표[[정규화1]:[정규화6]],$Q96,$G$3)&amp;""),FIND(" ",IF($G$3="","",INDEX(인턴계획표[[정규화1]:[정규화6]],$Q96,$G$3)&amp;""))+1,60),""))))</f>
        <v/>
      </c>
      <c r="H96">
        <f>IF($Q96="","",IF(IF($I$3="","",INDEX(인턴계획표[[정규화1]:[정규화6]],$Q96,$I$3)&amp;"")="","",IF(LEFT(IF($I$3="","",INDEX(인턴계획표[[정규화1]:[정규화6]],$Q96,$I$3)&amp;""),1)="⚠",IF($I$3="","",INDEX(인턴계획표[[정규화1]:[정규화6]],$Q96,$I$3)&amp;""),IFERROR(LEFT(IF($I$3="","",INDEX(인턴계획표[[정규화1]:[정규화6]],$Q96,$I$3)&amp;""),FIND(" ",IF($I$3="","",INDEX(인턴계획표[[정규화1]:[정규화6]],$Q96,$I$3)&amp;""))-1),IF($I$3="","",INDEX(인턴계획표[[정규화1]:[정규화6]],$Q96,$I$3)&amp;"")))))</f>
        <v/>
      </c>
      <c r="I96">
        <f>IF($Q96="","",IF(IF($I$3="","",INDEX(인턴계획표[[정규화1]:[정규화6]],$Q96,$I$3)&amp;"")="","",IF(LEFT(IF($I$3="","",INDEX(인턴계획표[[정규화1]:[정규화6]],$Q96,$I$3)&amp;""),1)="⚠","",IFERROR(MID(IF($I$3="","",INDEX(인턴계획표[[정규화1]:[정규화6]],$Q96,$I$3)&amp;""),FIND(" ",IF($I$3="","",INDEX(인턴계획표[[정규화1]:[정규화6]],$Q96,$I$3)&amp;""))+1,60),""))))</f>
        <v/>
      </c>
      <c r="J96">
        <f>IF($Q96="","",INDEX(인턴계획표[정규화1],$Q96))</f>
        <v/>
      </c>
      <c r="K96">
        <f>IF($Q96="","",INDEX(인턴계획표[정규화2],$Q96))</f>
        <v/>
      </c>
      <c r="L96">
        <f>IF($Q96="","",INDEX(인턴계획표[정규화3],$Q96))</f>
        <v/>
      </c>
      <c r="M96">
        <f>IF($Q96="","",INDEX(인턴계획표[정규화4],$Q96))</f>
        <v/>
      </c>
      <c r="N96">
        <f>IF($Q96="","",INDEX(인턴계획표[정규화5],$Q96))</f>
        <v/>
      </c>
      <c r="O96">
        <f>IF($Q96="","",INDEX(인턴계획표[정규화6],$Q96))</f>
        <v/>
      </c>
      <c r="P96">
        <f>IF($Q96="","",INDEX(인턴계획표[입력오류],$Q96))</f>
        <v/>
      </c>
      <c r="Q96" s="17">
        <f>IFERROR(MATCH(91,인턴계획표[표시순번],0),"")</f>
        <v/>
      </c>
    </row>
    <row r="97">
      <c r="A97">
        <f>IF($Q97="","",INDEX(인턴계획표[순번],$Q97)&amp;"")</f>
        <v/>
      </c>
      <c r="B97">
        <f>IF($Q97="","",TRIM(INDEX(인턴계획표[이름],$Q97)&amp;""))</f>
        <v/>
      </c>
      <c r="C97">
        <f>IF($Q97="","",INDEX(인턴계획표[사번],$Q97)&amp;"")</f>
        <v/>
      </c>
      <c r="D97">
        <f>IF($Q97="","",IF(COUNTIF(기본자료표[사번키],INDEX(인턴계획표[사번키],$Q97))&gt;0,"확인","미등록"))</f>
        <v/>
      </c>
      <c r="E97">
        <f>IF($Q97="","",IF(ISNUMBER(INDEX(인턴계획표[입사일(비고)],$Q97)),TEXT(INDEX(인턴계획표[입사일(비고)],$Q97),"yyyy-mm-dd"),INDEX(인턴계획표[입사일(비고)],$Q97)&amp;""))</f>
        <v/>
      </c>
      <c r="F97">
        <f>IF($Q97="","",IF(IF($G$3="","",INDEX(인턴계획표[[정규화1]:[정규화6]],$Q97,$G$3)&amp;"")="","",IF(LEFT(IF($G$3="","",INDEX(인턴계획표[[정규화1]:[정규화6]],$Q97,$G$3)&amp;""),1)="⚠",IF($G$3="","",INDEX(인턴계획표[[정규화1]:[정규화6]],$Q97,$G$3)&amp;""),IFERROR(LEFT(IF($G$3="","",INDEX(인턴계획표[[정규화1]:[정규화6]],$Q97,$G$3)&amp;""),FIND(" ",IF($G$3="","",INDEX(인턴계획표[[정규화1]:[정규화6]],$Q97,$G$3)&amp;""))-1),IF($G$3="","",INDEX(인턴계획표[[정규화1]:[정규화6]],$Q97,$G$3)&amp;"")))))</f>
        <v/>
      </c>
      <c r="G97">
        <f>IF($Q97="","",IF(IF($G$3="","",INDEX(인턴계획표[[정규화1]:[정규화6]],$Q97,$G$3)&amp;"")="","",IF(LEFT(IF($G$3="","",INDEX(인턴계획표[[정규화1]:[정규화6]],$Q97,$G$3)&amp;""),1)="⚠","",IFERROR(MID(IF($G$3="","",INDEX(인턴계획표[[정규화1]:[정규화6]],$Q97,$G$3)&amp;""),FIND(" ",IF($G$3="","",INDEX(인턴계획표[[정규화1]:[정규화6]],$Q97,$G$3)&amp;""))+1,60),""))))</f>
        <v/>
      </c>
      <c r="H97">
        <f>IF($Q97="","",IF(IF($I$3="","",INDEX(인턴계획표[[정규화1]:[정규화6]],$Q97,$I$3)&amp;"")="","",IF(LEFT(IF($I$3="","",INDEX(인턴계획표[[정규화1]:[정규화6]],$Q97,$I$3)&amp;""),1)="⚠",IF($I$3="","",INDEX(인턴계획표[[정규화1]:[정규화6]],$Q97,$I$3)&amp;""),IFERROR(LEFT(IF($I$3="","",INDEX(인턴계획표[[정규화1]:[정규화6]],$Q97,$I$3)&amp;""),FIND(" ",IF($I$3="","",INDEX(인턴계획표[[정규화1]:[정규화6]],$Q97,$I$3)&amp;""))-1),IF($I$3="","",INDEX(인턴계획표[[정규화1]:[정규화6]],$Q97,$I$3)&amp;"")))))</f>
        <v/>
      </c>
      <c r="I97">
        <f>IF($Q97="","",IF(IF($I$3="","",INDEX(인턴계획표[[정규화1]:[정규화6]],$Q97,$I$3)&amp;"")="","",IF(LEFT(IF($I$3="","",INDEX(인턴계획표[[정규화1]:[정규화6]],$Q97,$I$3)&amp;""),1)="⚠","",IFERROR(MID(IF($I$3="","",INDEX(인턴계획표[[정규화1]:[정규화6]],$Q97,$I$3)&amp;""),FIND(" ",IF($I$3="","",INDEX(인턴계획표[[정규화1]:[정규화6]],$Q97,$I$3)&amp;""))+1,60),""))))</f>
        <v/>
      </c>
      <c r="J97">
        <f>IF($Q97="","",INDEX(인턴계획표[정규화1],$Q97))</f>
        <v/>
      </c>
      <c r="K97">
        <f>IF($Q97="","",INDEX(인턴계획표[정규화2],$Q97))</f>
        <v/>
      </c>
      <c r="L97">
        <f>IF($Q97="","",INDEX(인턴계획표[정규화3],$Q97))</f>
        <v/>
      </c>
      <c r="M97">
        <f>IF($Q97="","",INDEX(인턴계획표[정규화4],$Q97))</f>
        <v/>
      </c>
      <c r="N97">
        <f>IF($Q97="","",INDEX(인턴계획표[정규화5],$Q97))</f>
        <v/>
      </c>
      <c r="O97">
        <f>IF($Q97="","",INDEX(인턴계획표[정규화6],$Q97))</f>
        <v/>
      </c>
      <c r="P97">
        <f>IF($Q97="","",INDEX(인턴계획표[입력오류],$Q97))</f>
        <v/>
      </c>
      <c r="Q97" s="17">
        <f>IFERROR(MATCH(92,인턴계획표[표시순번],0),"")</f>
        <v/>
      </c>
    </row>
    <row r="98">
      <c r="A98">
        <f>IF($Q98="","",INDEX(인턴계획표[순번],$Q98)&amp;"")</f>
        <v/>
      </c>
      <c r="B98">
        <f>IF($Q98="","",TRIM(INDEX(인턴계획표[이름],$Q98)&amp;""))</f>
        <v/>
      </c>
      <c r="C98">
        <f>IF($Q98="","",INDEX(인턴계획표[사번],$Q98)&amp;"")</f>
        <v/>
      </c>
      <c r="D98">
        <f>IF($Q98="","",IF(COUNTIF(기본자료표[사번키],INDEX(인턴계획표[사번키],$Q98))&gt;0,"확인","미등록"))</f>
        <v/>
      </c>
      <c r="E98">
        <f>IF($Q98="","",IF(ISNUMBER(INDEX(인턴계획표[입사일(비고)],$Q98)),TEXT(INDEX(인턴계획표[입사일(비고)],$Q98),"yyyy-mm-dd"),INDEX(인턴계획표[입사일(비고)],$Q98)&amp;""))</f>
        <v/>
      </c>
      <c r="F98">
        <f>IF($Q98="","",IF(IF($G$3="","",INDEX(인턴계획표[[정규화1]:[정규화6]],$Q98,$G$3)&amp;"")="","",IF(LEFT(IF($G$3="","",INDEX(인턴계획표[[정규화1]:[정규화6]],$Q98,$G$3)&amp;""),1)="⚠",IF($G$3="","",INDEX(인턴계획표[[정규화1]:[정규화6]],$Q98,$G$3)&amp;""),IFERROR(LEFT(IF($G$3="","",INDEX(인턴계획표[[정규화1]:[정규화6]],$Q98,$G$3)&amp;""),FIND(" ",IF($G$3="","",INDEX(인턴계획표[[정규화1]:[정규화6]],$Q98,$G$3)&amp;""))-1),IF($G$3="","",INDEX(인턴계획표[[정규화1]:[정규화6]],$Q98,$G$3)&amp;"")))))</f>
        <v/>
      </c>
      <c r="G98">
        <f>IF($Q98="","",IF(IF($G$3="","",INDEX(인턴계획표[[정규화1]:[정규화6]],$Q98,$G$3)&amp;"")="","",IF(LEFT(IF($G$3="","",INDEX(인턴계획표[[정규화1]:[정규화6]],$Q98,$G$3)&amp;""),1)="⚠","",IFERROR(MID(IF($G$3="","",INDEX(인턴계획표[[정규화1]:[정규화6]],$Q98,$G$3)&amp;""),FIND(" ",IF($G$3="","",INDEX(인턴계획표[[정규화1]:[정규화6]],$Q98,$G$3)&amp;""))+1,60),""))))</f>
        <v/>
      </c>
      <c r="H98">
        <f>IF($Q98="","",IF(IF($I$3="","",INDEX(인턴계획표[[정규화1]:[정규화6]],$Q98,$I$3)&amp;"")="","",IF(LEFT(IF($I$3="","",INDEX(인턴계획표[[정규화1]:[정규화6]],$Q98,$I$3)&amp;""),1)="⚠",IF($I$3="","",INDEX(인턴계획표[[정규화1]:[정규화6]],$Q98,$I$3)&amp;""),IFERROR(LEFT(IF($I$3="","",INDEX(인턴계획표[[정규화1]:[정규화6]],$Q98,$I$3)&amp;""),FIND(" ",IF($I$3="","",INDEX(인턴계획표[[정규화1]:[정규화6]],$Q98,$I$3)&amp;""))-1),IF($I$3="","",INDEX(인턴계획표[[정규화1]:[정규화6]],$Q98,$I$3)&amp;"")))))</f>
        <v/>
      </c>
      <c r="I98">
        <f>IF($Q98="","",IF(IF($I$3="","",INDEX(인턴계획표[[정규화1]:[정규화6]],$Q98,$I$3)&amp;"")="","",IF(LEFT(IF($I$3="","",INDEX(인턴계획표[[정규화1]:[정규화6]],$Q98,$I$3)&amp;""),1)="⚠","",IFERROR(MID(IF($I$3="","",INDEX(인턴계획표[[정규화1]:[정규화6]],$Q98,$I$3)&amp;""),FIND(" ",IF($I$3="","",INDEX(인턴계획표[[정규화1]:[정규화6]],$Q98,$I$3)&amp;""))+1,60),""))))</f>
        <v/>
      </c>
      <c r="J98">
        <f>IF($Q98="","",INDEX(인턴계획표[정규화1],$Q98))</f>
        <v/>
      </c>
      <c r="K98">
        <f>IF($Q98="","",INDEX(인턴계획표[정규화2],$Q98))</f>
        <v/>
      </c>
      <c r="L98">
        <f>IF($Q98="","",INDEX(인턴계획표[정규화3],$Q98))</f>
        <v/>
      </c>
      <c r="M98">
        <f>IF($Q98="","",INDEX(인턴계획표[정규화4],$Q98))</f>
        <v/>
      </c>
      <c r="N98">
        <f>IF($Q98="","",INDEX(인턴계획표[정규화5],$Q98))</f>
        <v/>
      </c>
      <c r="O98">
        <f>IF($Q98="","",INDEX(인턴계획표[정규화6],$Q98))</f>
        <v/>
      </c>
      <c r="P98">
        <f>IF($Q98="","",INDEX(인턴계획표[입력오류],$Q98))</f>
        <v/>
      </c>
      <c r="Q98" s="17">
        <f>IFERROR(MATCH(93,인턴계획표[표시순번],0),"")</f>
        <v/>
      </c>
    </row>
    <row r="99">
      <c r="A99">
        <f>IF($Q99="","",INDEX(인턴계획표[순번],$Q99)&amp;"")</f>
        <v/>
      </c>
      <c r="B99">
        <f>IF($Q99="","",TRIM(INDEX(인턴계획표[이름],$Q99)&amp;""))</f>
        <v/>
      </c>
      <c r="C99">
        <f>IF($Q99="","",INDEX(인턴계획표[사번],$Q99)&amp;"")</f>
        <v/>
      </c>
      <c r="D99">
        <f>IF($Q99="","",IF(COUNTIF(기본자료표[사번키],INDEX(인턴계획표[사번키],$Q99))&gt;0,"확인","미등록"))</f>
        <v/>
      </c>
      <c r="E99">
        <f>IF($Q99="","",IF(ISNUMBER(INDEX(인턴계획표[입사일(비고)],$Q99)),TEXT(INDEX(인턴계획표[입사일(비고)],$Q99),"yyyy-mm-dd"),INDEX(인턴계획표[입사일(비고)],$Q99)&amp;""))</f>
        <v/>
      </c>
      <c r="F99">
        <f>IF($Q99="","",IF(IF($G$3="","",INDEX(인턴계획표[[정규화1]:[정규화6]],$Q99,$G$3)&amp;"")="","",IF(LEFT(IF($G$3="","",INDEX(인턴계획표[[정규화1]:[정규화6]],$Q99,$G$3)&amp;""),1)="⚠",IF($G$3="","",INDEX(인턴계획표[[정규화1]:[정규화6]],$Q99,$G$3)&amp;""),IFERROR(LEFT(IF($G$3="","",INDEX(인턴계획표[[정규화1]:[정규화6]],$Q99,$G$3)&amp;""),FIND(" ",IF($G$3="","",INDEX(인턴계획표[[정규화1]:[정규화6]],$Q99,$G$3)&amp;""))-1),IF($G$3="","",INDEX(인턴계획표[[정규화1]:[정규화6]],$Q99,$G$3)&amp;"")))))</f>
        <v/>
      </c>
      <c r="G99">
        <f>IF($Q99="","",IF(IF($G$3="","",INDEX(인턴계획표[[정규화1]:[정규화6]],$Q99,$G$3)&amp;"")="","",IF(LEFT(IF($G$3="","",INDEX(인턴계획표[[정규화1]:[정규화6]],$Q99,$G$3)&amp;""),1)="⚠","",IFERROR(MID(IF($G$3="","",INDEX(인턴계획표[[정규화1]:[정규화6]],$Q99,$G$3)&amp;""),FIND(" ",IF($G$3="","",INDEX(인턴계획표[[정규화1]:[정규화6]],$Q99,$G$3)&amp;""))+1,60),""))))</f>
        <v/>
      </c>
      <c r="H99">
        <f>IF($Q99="","",IF(IF($I$3="","",INDEX(인턴계획표[[정규화1]:[정규화6]],$Q99,$I$3)&amp;"")="","",IF(LEFT(IF($I$3="","",INDEX(인턴계획표[[정규화1]:[정규화6]],$Q99,$I$3)&amp;""),1)="⚠",IF($I$3="","",INDEX(인턴계획표[[정규화1]:[정규화6]],$Q99,$I$3)&amp;""),IFERROR(LEFT(IF($I$3="","",INDEX(인턴계획표[[정규화1]:[정규화6]],$Q99,$I$3)&amp;""),FIND(" ",IF($I$3="","",INDEX(인턴계획표[[정규화1]:[정규화6]],$Q99,$I$3)&amp;""))-1),IF($I$3="","",INDEX(인턴계획표[[정규화1]:[정규화6]],$Q99,$I$3)&amp;"")))))</f>
        <v/>
      </c>
      <c r="I99">
        <f>IF($Q99="","",IF(IF($I$3="","",INDEX(인턴계획표[[정규화1]:[정규화6]],$Q99,$I$3)&amp;"")="","",IF(LEFT(IF($I$3="","",INDEX(인턴계획표[[정규화1]:[정규화6]],$Q99,$I$3)&amp;""),1)="⚠","",IFERROR(MID(IF($I$3="","",INDEX(인턴계획표[[정규화1]:[정규화6]],$Q99,$I$3)&amp;""),FIND(" ",IF($I$3="","",INDEX(인턴계획표[[정규화1]:[정규화6]],$Q99,$I$3)&amp;""))+1,60),""))))</f>
        <v/>
      </c>
      <c r="J99">
        <f>IF($Q99="","",INDEX(인턴계획표[정규화1],$Q99))</f>
        <v/>
      </c>
      <c r="K99">
        <f>IF($Q99="","",INDEX(인턴계획표[정규화2],$Q99))</f>
        <v/>
      </c>
      <c r="L99">
        <f>IF($Q99="","",INDEX(인턴계획표[정규화3],$Q99))</f>
        <v/>
      </c>
      <c r="M99">
        <f>IF($Q99="","",INDEX(인턴계획표[정규화4],$Q99))</f>
        <v/>
      </c>
      <c r="N99">
        <f>IF($Q99="","",INDEX(인턴계획표[정규화5],$Q99))</f>
        <v/>
      </c>
      <c r="O99">
        <f>IF($Q99="","",INDEX(인턴계획표[정규화6],$Q99))</f>
        <v/>
      </c>
      <c r="P99">
        <f>IF($Q99="","",INDEX(인턴계획표[입력오류],$Q99))</f>
        <v/>
      </c>
      <c r="Q99" s="17">
        <f>IFERROR(MATCH(94,인턴계획표[표시순번],0),"")</f>
        <v/>
      </c>
    </row>
    <row r="100">
      <c r="A100">
        <f>IF($Q100="","",INDEX(인턴계획표[순번],$Q100)&amp;"")</f>
        <v/>
      </c>
      <c r="B100">
        <f>IF($Q100="","",TRIM(INDEX(인턴계획표[이름],$Q100)&amp;""))</f>
        <v/>
      </c>
      <c r="C100">
        <f>IF($Q100="","",INDEX(인턴계획표[사번],$Q100)&amp;"")</f>
        <v/>
      </c>
      <c r="D100">
        <f>IF($Q100="","",IF(COUNTIF(기본자료표[사번키],INDEX(인턴계획표[사번키],$Q100))&gt;0,"확인","미등록"))</f>
        <v/>
      </c>
      <c r="E100">
        <f>IF($Q100="","",IF(ISNUMBER(INDEX(인턴계획표[입사일(비고)],$Q100)),TEXT(INDEX(인턴계획표[입사일(비고)],$Q100),"yyyy-mm-dd"),INDEX(인턴계획표[입사일(비고)],$Q100)&amp;""))</f>
        <v/>
      </c>
      <c r="F100">
        <f>IF($Q100="","",IF(IF($G$3="","",INDEX(인턴계획표[[정규화1]:[정규화6]],$Q100,$G$3)&amp;"")="","",IF(LEFT(IF($G$3="","",INDEX(인턴계획표[[정규화1]:[정규화6]],$Q100,$G$3)&amp;""),1)="⚠",IF($G$3="","",INDEX(인턴계획표[[정규화1]:[정규화6]],$Q100,$G$3)&amp;""),IFERROR(LEFT(IF($G$3="","",INDEX(인턴계획표[[정규화1]:[정규화6]],$Q100,$G$3)&amp;""),FIND(" ",IF($G$3="","",INDEX(인턴계획표[[정규화1]:[정규화6]],$Q100,$G$3)&amp;""))-1),IF($G$3="","",INDEX(인턴계획표[[정규화1]:[정규화6]],$Q100,$G$3)&amp;"")))))</f>
        <v/>
      </c>
      <c r="G100">
        <f>IF($Q100="","",IF(IF($G$3="","",INDEX(인턴계획표[[정규화1]:[정규화6]],$Q100,$G$3)&amp;"")="","",IF(LEFT(IF($G$3="","",INDEX(인턴계획표[[정규화1]:[정규화6]],$Q100,$G$3)&amp;""),1)="⚠","",IFERROR(MID(IF($G$3="","",INDEX(인턴계획표[[정규화1]:[정규화6]],$Q100,$G$3)&amp;""),FIND(" ",IF($G$3="","",INDEX(인턴계획표[[정규화1]:[정규화6]],$Q100,$G$3)&amp;""))+1,60),""))))</f>
        <v/>
      </c>
      <c r="H100">
        <f>IF($Q100="","",IF(IF($I$3="","",INDEX(인턴계획표[[정규화1]:[정규화6]],$Q100,$I$3)&amp;"")="","",IF(LEFT(IF($I$3="","",INDEX(인턴계획표[[정규화1]:[정규화6]],$Q100,$I$3)&amp;""),1)="⚠",IF($I$3="","",INDEX(인턴계획표[[정규화1]:[정규화6]],$Q100,$I$3)&amp;""),IFERROR(LEFT(IF($I$3="","",INDEX(인턴계획표[[정규화1]:[정규화6]],$Q100,$I$3)&amp;""),FIND(" ",IF($I$3="","",INDEX(인턴계획표[[정규화1]:[정규화6]],$Q100,$I$3)&amp;""))-1),IF($I$3="","",INDEX(인턴계획표[[정규화1]:[정규화6]],$Q100,$I$3)&amp;"")))))</f>
        <v/>
      </c>
      <c r="I100">
        <f>IF($Q100="","",IF(IF($I$3="","",INDEX(인턴계획표[[정규화1]:[정규화6]],$Q100,$I$3)&amp;"")="","",IF(LEFT(IF($I$3="","",INDEX(인턴계획표[[정규화1]:[정규화6]],$Q100,$I$3)&amp;""),1)="⚠","",IFERROR(MID(IF($I$3="","",INDEX(인턴계획표[[정규화1]:[정규화6]],$Q100,$I$3)&amp;""),FIND(" ",IF($I$3="","",INDEX(인턴계획표[[정규화1]:[정규화6]],$Q100,$I$3)&amp;""))+1,60),""))))</f>
        <v/>
      </c>
      <c r="J100">
        <f>IF($Q100="","",INDEX(인턴계획표[정규화1],$Q100))</f>
        <v/>
      </c>
      <c r="K100">
        <f>IF($Q100="","",INDEX(인턴계획표[정규화2],$Q100))</f>
        <v/>
      </c>
      <c r="L100">
        <f>IF($Q100="","",INDEX(인턴계획표[정규화3],$Q100))</f>
        <v/>
      </c>
      <c r="M100">
        <f>IF($Q100="","",INDEX(인턴계획표[정규화4],$Q100))</f>
        <v/>
      </c>
      <c r="N100">
        <f>IF($Q100="","",INDEX(인턴계획표[정규화5],$Q100))</f>
        <v/>
      </c>
      <c r="O100">
        <f>IF($Q100="","",INDEX(인턴계획표[정규화6],$Q100))</f>
        <v/>
      </c>
      <c r="P100">
        <f>IF($Q100="","",INDEX(인턴계획표[입력오류],$Q100))</f>
        <v/>
      </c>
      <c r="Q100" s="17">
        <f>IFERROR(MATCH(95,인턴계획표[표시순번],0),"")</f>
        <v/>
      </c>
    </row>
    <row r="101">
      <c r="A101">
        <f>IF($Q101="","",INDEX(인턴계획표[순번],$Q101)&amp;"")</f>
        <v/>
      </c>
      <c r="B101">
        <f>IF($Q101="","",TRIM(INDEX(인턴계획표[이름],$Q101)&amp;""))</f>
        <v/>
      </c>
      <c r="C101">
        <f>IF($Q101="","",INDEX(인턴계획표[사번],$Q101)&amp;"")</f>
        <v/>
      </c>
      <c r="D101">
        <f>IF($Q101="","",IF(COUNTIF(기본자료표[사번키],INDEX(인턴계획표[사번키],$Q101))&gt;0,"확인","미등록"))</f>
        <v/>
      </c>
      <c r="E101">
        <f>IF($Q101="","",IF(ISNUMBER(INDEX(인턴계획표[입사일(비고)],$Q101)),TEXT(INDEX(인턴계획표[입사일(비고)],$Q101),"yyyy-mm-dd"),INDEX(인턴계획표[입사일(비고)],$Q101)&amp;""))</f>
        <v/>
      </c>
      <c r="F101">
        <f>IF($Q101="","",IF(IF($G$3="","",INDEX(인턴계획표[[정규화1]:[정규화6]],$Q101,$G$3)&amp;"")="","",IF(LEFT(IF($G$3="","",INDEX(인턴계획표[[정규화1]:[정규화6]],$Q101,$G$3)&amp;""),1)="⚠",IF($G$3="","",INDEX(인턴계획표[[정규화1]:[정규화6]],$Q101,$G$3)&amp;""),IFERROR(LEFT(IF($G$3="","",INDEX(인턴계획표[[정규화1]:[정규화6]],$Q101,$G$3)&amp;""),FIND(" ",IF($G$3="","",INDEX(인턴계획표[[정규화1]:[정규화6]],$Q101,$G$3)&amp;""))-1),IF($G$3="","",INDEX(인턴계획표[[정규화1]:[정규화6]],$Q101,$G$3)&amp;"")))))</f>
        <v/>
      </c>
      <c r="G101">
        <f>IF($Q101="","",IF(IF($G$3="","",INDEX(인턴계획표[[정규화1]:[정규화6]],$Q101,$G$3)&amp;"")="","",IF(LEFT(IF($G$3="","",INDEX(인턴계획표[[정규화1]:[정규화6]],$Q101,$G$3)&amp;""),1)="⚠","",IFERROR(MID(IF($G$3="","",INDEX(인턴계획표[[정규화1]:[정규화6]],$Q101,$G$3)&amp;""),FIND(" ",IF($G$3="","",INDEX(인턴계획표[[정규화1]:[정규화6]],$Q101,$G$3)&amp;""))+1,60),""))))</f>
        <v/>
      </c>
      <c r="H101">
        <f>IF($Q101="","",IF(IF($I$3="","",INDEX(인턴계획표[[정규화1]:[정규화6]],$Q101,$I$3)&amp;"")="","",IF(LEFT(IF($I$3="","",INDEX(인턴계획표[[정규화1]:[정규화6]],$Q101,$I$3)&amp;""),1)="⚠",IF($I$3="","",INDEX(인턴계획표[[정규화1]:[정규화6]],$Q101,$I$3)&amp;""),IFERROR(LEFT(IF($I$3="","",INDEX(인턴계획표[[정규화1]:[정규화6]],$Q101,$I$3)&amp;""),FIND(" ",IF($I$3="","",INDEX(인턴계획표[[정규화1]:[정규화6]],$Q101,$I$3)&amp;""))-1),IF($I$3="","",INDEX(인턴계획표[[정규화1]:[정규화6]],$Q101,$I$3)&amp;"")))))</f>
        <v/>
      </c>
      <c r="I101">
        <f>IF($Q101="","",IF(IF($I$3="","",INDEX(인턴계획표[[정규화1]:[정규화6]],$Q101,$I$3)&amp;"")="","",IF(LEFT(IF($I$3="","",INDEX(인턴계획표[[정규화1]:[정규화6]],$Q101,$I$3)&amp;""),1)="⚠","",IFERROR(MID(IF($I$3="","",INDEX(인턴계획표[[정규화1]:[정규화6]],$Q101,$I$3)&amp;""),FIND(" ",IF($I$3="","",INDEX(인턴계획표[[정규화1]:[정규화6]],$Q101,$I$3)&amp;""))+1,60),""))))</f>
        <v/>
      </c>
      <c r="J101">
        <f>IF($Q101="","",INDEX(인턴계획표[정규화1],$Q101))</f>
        <v/>
      </c>
      <c r="K101">
        <f>IF($Q101="","",INDEX(인턴계획표[정규화2],$Q101))</f>
        <v/>
      </c>
      <c r="L101">
        <f>IF($Q101="","",INDEX(인턴계획표[정규화3],$Q101))</f>
        <v/>
      </c>
      <c r="M101">
        <f>IF($Q101="","",INDEX(인턴계획표[정규화4],$Q101))</f>
        <v/>
      </c>
      <c r="N101">
        <f>IF($Q101="","",INDEX(인턴계획표[정규화5],$Q101))</f>
        <v/>
      </c>
      <c r="O101">
        <f>IF($Q101="","",INDEX(인턴계획표[정규화6],$Q101))</f>
        <v/>
      </c>
      <c r="P101">
        <f>IF($Q101="","",INDEX(인턴계획표[입력오류],$Q101))</f>
        <v/>
      </c>
      <c r="Q101" s="17">
        <f>IFERROR(MATCH(96,인턴계획표[표시순번],0),"")</f>
        <v/>
      </c>
    </row>
    <row r="102">
      <c r="A102">
        <f>IF($Q102="","",INDEX(인턴계획표[순번],$Q102)&amp;"")</f>
        <v/>
      </c>
      <c r="B102">
        <f>IF($Q102="","",TRIM(INDEX(인턴계획표[이름],$Q102)&amp;""))</f>
        <v/>
      </c>
      <c r="C102">
        <f>IF($Q102="","",INDEX(인턴계획표[사번],$Q102)&amp;"")</f>
        <v/>
      </c>
      <c r="D102">
        <f>IF($Q102="","",IF(COUNTIF(기본자료표[사번키],INDEX(인턴계획표[사번키],$Q102))&gt;0,"확인","미등록"))</f>
        <v/>
      </c>
      <c r="E102">
        <f>IF($Q102="","",IF(ISNUMBER(INDEX(인턴계획표[입사일(비고)],$Q102)),TEXT(INDEX(인턴계획표[입사일(비고)],$Q102),"yyyy-mm-dd"),INDEX(인턴계획표[입사일(비고)],$Q102)&amp;""))</f>
        <v/>
      </c>
      <c r="F102">
        <f>IF($Q102="","",IF(IF($G$3="","",INDEX(인턴계획표[[정규화1]:[정규화6]],$Q102,$G$3)&amp;"")="","",IF(LEFT(IF($G$3="","",INDEX(인턴계획표[[정규화1]:[정규화6]],$Q102,$G$3)&amp;""),1)="⚠",IF($G$3="","",INDEX(인턴계획표[[정규화1]:[정규화6]],$Q102,$G$3)&amp;""),IFERROR(LEFT(IF($G$3="","",INDEX(인턴계획표[[정규화1]:[정규화6]],$Q102,$G$3)&amp;""),FIND(" ",IF($G$3="","",INDEX(인턴계획표[[정규화1]:[정규화6]],$Q102,$G$3)&amp;""))-1),IF($G$3="","",INDEX(인턴계획표[[정규화1]:[정규화6]],$Q102,$G$3)&amp;"")))))</f>
        <v/>
      </c>
      <c r="G102">
        <f>IF($Q102="","",IF(IF($G$3="","",INDEX(인턴계획표[[정규화1]:[정규화6]],$Q102,$G$3)&amp;"")="","",IF(LEFT(IF($G$3="","",INDEX(인턴계획표[[정규화1]:[정규화6]],$Q102,$G$3)&amp;""),1)="⚠","",IFERROR(MID(IF($G$3="","",INDEX(인턴계획표[[정규화1]:[정규화6]],$Q102,$G$3)&amp;""),FIND(" ",IF($G$3="","",INDEX(인턴계획표[[정규화1]:[정규화6]],$Q102,$G$3)&amp;""))+1,60),""))))</f>
        <v/>
      </c>
      <c r="H102">
        <f>IF($Q102="","",IF(IF($I$3="","",INDEX(인턴계획표[[정규화1]:[정규화6]],$Q102,$I$3)&amp;"")="","",IF(LEFT(IF($I$3="","",INDEX(인턴계획표[[정규화1]:[정규화6]],$Q102,$I$3)&amp;""),1)="⚠",IF($I$3="","",INDEX(인턴계획표[[정규화1]:[정규화6]],$Q102,$I$3)&amp;""),IFERROR(LEFT(IF($I$3="","",INDEX(인턴계획표[[정규화1]:[정규화6]],$Q102,$I$3)&amp;""),FIND(" ",IF($I$3="","",INDEX(인턴계획표[[정규화1]:[정규화6]],$Q102,$I$3)&amp;""))-1),IF($I$3="","",INDEX(인턴계획표[[정규화1]:[정규화6]],$Q102,$I$3)&amp;"")))))</f>
        <v/>
      </c>
      <c r="I102">
        <f>IF($Q102="","",IF(IF($I$3="","",INDEX(인턴계획표[[정규화1]:[정규화6]],$Q102,$I$3)&amp;"")="","",IF(LEFT(IF($I$3="","",INDEX(인턴계획표[[정규화1]:[정규화6]],$Q102,$I$3)&amp;""),1)="⚠","",IFERROR(MID(IF($I$3="","",INDEX(인턴계획표[[정규화1]:[정규화6]],$Q102,$I$3)&amp;""),FIND(" ",IF($I$3="","",INDEX(인턴계획표[[정규화1]:[정규화6]],$Q102,$I$3)&amp;""))+1,60),""))))</f>
        <v/>
      </c>
      <c r="J102">
        <f>IF($Q102="","",INDEX(인턴계획표[정규화1],$Q102))</f>
        <v/>
      </c>
      <c r="K102">
        <f>IF($Q102="","",INDEX(인턴계획표[정규화2],$Q102))</f>
        <v/>
      </c>
      <c r="L102">
        <f>IF($Q102="","",INDEX(인턴계획표[정규화3],$Q102))</f>
        <v/>
      </c>
      <c r="M102">
        <f>IF($Q102="","",INDEX(인턴계획표[정규화4],$Q102))</f>
        <v/>
      </c>
      <c r="N102">
        <f>IF($Q102="","",INDEX(인턴계획표[정규화5],$Q102))</f>
        <v/>
      </c>
      <c r="O102">
        <f>IF($Q102="","",INDEX(인턴계획표[정규화6],$Q102))</f>
        <v/>
      </c>
      <c r="P102">
        <f>IF($Q102="","",INDEX(인턴계획표[입력오류],$Q102))</f>
        <v/>
      </c>
      <c r="Q102" s="17">
        <f>IFERROR(MATCH(97,인턴계획표[표시순번],0),"")</f>
        <v/>
      </c>
    </row>
    <row r="103">
      <c r="A103">
        <f>IF($Q103="","",INDEX(인턴계획표[순번],$Q103)&amp;"")</f>
        <v/>
      </c>
      <c r="B103">
        <f>IF($Q103="","",TRIM(INDEX(인턴계획표[이름],$Q103)&amp;""))</f>
        <v/>
      </c>
      <c r="C103">
        <f>IF($Q103="","",INDEX(인턴계획표[사번],$Q103)&amp;"")</f>
        <v/>
      </c>
      <c r="D103">
        <f>IF($Q103="","",IF(COUNTIF(기본자료표[사번키],INDEX(인턴계획표[사번키],$Q103))&gt;0,"확인","미등록"))</f>
        <v/>
      </c>
      <c r="E103">
        <f>IF($Q103="","",IF(ISNUMBER(INDEX(인턴계획표[입사일(비고)],$Q103)),TEXT(INDEX(인턴계획표[입사일(비고)],$Q103),"yyyy-mm-dd"),INDEX(인턴계획표[입사일(비고)],$Q103)&amp;""))</f>
        <v/>
      </c>
      <c r="F103">
        <f>IF($Q103="","",IF(IF($G$3="","",INDEX(인턴계획표[[정규화1]:[정규화6]],$Q103,$G$3)&amp;"")="","",IF(LEFT(IF($G$3="","",INDEX(인턴계획표[[정규화1]:[정규화6]],$Q103,$G$3)&amp;""),1)="⚠",IF($G$3="","",INDEX(인턴계획표[[정규화1]:[정규화6]],$Q103,$G$3)&amp;""),IFERROR(LEFT(IF($G$3="","",INDEX(인턴계획표[[정규화1]:[정규화6]],$Q103,$G$3)&amp;""),FIND(" ",IF($G$3="","",INDEX(인턴계획표[[정규화1]:[정규화6]],$Q103,$G$3)&amp;""))-1),IF($G$3="","",INDEX(인턴계획표[[정규화1]:[정규화6]],$Q103,$G$3)&amp;"")))))</f>
        <v/>
      </c>
      <c r="G103">
        <f>IF($Q103="","",IF(IF($G$3="","",INDEX(인턴계획표[[정규화1]:[정규화6]],$Q103,$G$3)&amp;"")="","",IF(LEFT(IF($G$3="","",INDEX(인턴계획표[[정규화1]:[정규화6]],$Q103,$G$3)&amp;""),1)="⚠","",IFERROR(MID(IF($G$3="","",INDEX(인턴계획표[[정규화1]:[정규화6]],$Q103,$G$3)&amp;""),FIND(" ",IF($G$3="","",INDEX(인턴계획표[[정규화1]:[정규화6]],$Q103,$G$3)&amp;""))+1,60),""))))</f>
        <v/>
      </c>
      <c r="H103">
        <f>IF($Q103="","",IF(IF($I$3="","",INDEX(인턴계획표[[정규화1]:[정규화6]],$Q103,$I$3)&amp;"")="","",IF(LEFT(IF($I$3="","",INDEX(인턴계획표[[정규화1]:[정규화6]],$Q103,$I$3)&amp;""),1)="⚠",IF($I$3="","",INDEX(인턴계획표[[정규화1]:[정규화6]],$Q103,$I$3)&amp;""),IFERROR(LEFT(IF($I$3="","",INDEX(인턴계획표[[정규화1]:[정규화6]],$Q103,$I$3)&amp;""),FIND(" ",IF($I$3="","",INDEX(인턴계획표[[정규화1]:[정규화6]],$Q103,$I$3)&amp;""))-1),IF($I$3="","",INDEX(인턴계획표[[정규화1]:[정규화6]],$Q103,$I$3)&amp;"")))))</f>
        <v/>
      </c>
      <c r="I103">
        <f>IF($Q103="","",IF(IF($I$3="","",INDEX(인턴계획표[[정규화1]:[정규화6]],$Q103,$I$3)&amp;"")="","",IF(LEFT(IF($I$3="","",INDEX(인턴계획표[[정규화1]:[정규화6]],$Q103,$I$3)&amp;""),1)="⚠","",IFERROR(MID(IF($I$3="","",INDEX(인턴계획표[[정규화1]:[정규화6]],$Q103,$I$3)&amp;""),FIND(" ",IF($I$3="","",INDEX(인턴계획표[[정규화1]:[정규화6]],$Q103,$I$3)&amp;""))+1,60),""))))</f>
        <v/>
      </c>
      <c r="J103">
        <f>IF($Q103="","",INDEX(인턴계획표[정규화1],$Q103))</f>
        <v/>
      </c>
      <c r="K103">
        <f>IF($Q103="","",INDEX(인턴계획표[정규화2],$Q103))</f>
        <v/>
      </c>
      <c r="L103">
        <f>IF($Q103="","",INDEX(인턴계획표[정규화3],$Q103))</f>
        <v/>
      </c>
      <c r="M103">
        <f>IF($Q103="","",INDEX(인턴계획표[정규화4],$Q103))</f>
        <v/>
      </c>
      <c r="N103">
        <f>IF($Q103="","",INDEX(인턴계획표[정규화5],$Q103))</f>
        <v/>
      </c>
      <c r="O103">
        <f>IF($Q103="","",INDEX(인턴계획표[정규화6],$Q103))</f>
        <v/>
      </c>
      <c r="P103">
        <f>IF($Q103="","",INDEX(인턴계획표[입력오류],$Q103))</f>
        <v/>
      </c>
      <c r="Q103" s="17">
        <f>IFERROR(MATCH(98,인턴계획표[표시순번],0),"")</f>
        <v/>
      </c>
    </row>
    <row r="104">
      <c r="A104">
        <f>IF($Q104="","",INDEX(인턴계획표[순번],$Q104)&amp;"")</f>
        <v/>
      </c>
      <c r="B104">
        <f>IF($Q104="","",TRIM(INDEX(인턴계획표[이름],$Q104)&amp;""))</f>
        <v/>
      </c>
      <c r="C104">
        <f>IF($Q104="","",INDEX(인턴계획표[사번],$Q104)&amp;"")</f>
        <v/>
      </c>
      <c r="D104">
        <f>IF($Q104="","",IF(COUNTIF(기본자료표[사번키],INDEX(인턴계획표[사번키],$Q104))&gt;0,"확인","미등록"))</f>
        <v/>
      </c>
      <c r="E104">
        <f>IF($Q104="","",IF(ISNUMBER(INDEX(인턴계획표[입사일(비고)],$Q104)),TEXT(INDEX(인턴계획표[입사일(비고)],$Q104),"yyyy-mm-dd"),INDEX(인턴계획표[입사일(비고)],$Q104)&amp;""))</f>
        <v/>
      </c>
      <c r="F104">
        <f>IF($Q104="","",IF(IF($G$3="","",INDEX(인턴계획표[[정규화1]:[정규화6]],$Q104,$G$3)&amp;"")="","",IF(LEFT(IF($G$3="","",INDEX(인턴계획표[[정규화1]:[정규화6]],$Q104,$G$3)&amp;""),1)="⚠",IF($G$3="","",INDEX(인턴계획표[[정규화1]:[정규화6]],$Q104,$G$3)&amp;""),IFERROR(LEFT(IF($G$3="","",INDEX(인턴계획표[[정규화1]:[정규화6]],$Q104,$G$3)&amp;""),FIND(" ",IF($G$3="","",INDEX(인턴계획표[[정규화1]:[정규화6]],$Q104,$G$3)&amp;""))-1),IF($G$3="","",INDEX(인턴계획표[[정규화1]:[정규화6]],$Q104,$G$3)&amp;"")))))</f>
        <v/>
      </c>
      <c r="G104">
        <f>IF($Q104="","",IF(IF($G$3="","",INDEX(인턴계획표[[정규화1]:[정규화6]],$Q104,$G$3)&amp;"")="","",IF(LEFT(IF($G$3="","",INDEX(인턴계획표[[정규화1]:[정규화6]],$Q104,$G$3)&amp;""),1)="⚠","",IFERROR(MID(IF($G$3="","",INDEX(인턴계획표[[정규화1]:[정규화6]],$Q104,$G$3)&amp;""),FIND(" ",IF($G$3="","",INDEX(인턴계획표[[정규화1]:[정규화6]],$Q104,$G$3)&amp;""))+1,60),""))))</f>
        <v/>
      </c>
      <c r="H104">
        <f>IF($Q104="","",IF(IF($I$3="","",INDEX(인턴계획표[[정규화1]:[정규화6]],$Q104,$I$3)&amp;"")="","",IF(LEFT(IF($I$3="","",INDEX(인턴계획표[[정규화1]:[정규화6]],$Q104,$I$3)&amp;""),1)="⚠",IF($I$3="","",INDEX(인턴계획표[[정규화1]:[정규화6]],$Q104,$I$3)&amp;""),IFERROR(LEFT(IF($I$3="","",INDEX(인턴계획표[[정규화1]:[정규화6]],$Q104,$I$3)&amp;""),FIND(" ",IF($I$3="","",INDEX(인턴계획표[[정규화1]:[정규화6]],$Q104,$I$3)&amp;""))-1),IF($I$3="","",INDEX(인턴계획표[[정규화1]:[정규화6]],$Q104,$I$3)&amp;"")))))</f>
        <v/>
      </c>
      <c r="I104">
        <f>IF($Q104="","",IF(IF($I$3="","",INDEX(인턴계획표[[정규화1]:[정규화6]],$Q104,$I$3)&amp;"")="","",IF(LEFT(IF($I$3="","",INDEX(인턴계획표[[정규화1]:[정규화6]],$Q104,$I$3)&amp;""),1)="⚠","",IFERROR(MID(IF($I$3="","",INDEX(인턴계획표[[정규화1]:[정규화6]],$Q104,$I$3)&amp;""),FIND(" ",IF($I$3="","",INDEX(인턴계획표[[정규화1]:[정규화6]],$Q104,$I$3)&amp;""))+1,60),""))))</f>
        <v/>
      </c>
      <c r="J104">
        <f>IF($Q104="","",INDEX(인턴계획표[정규화1],$Q104))</f>
        <v/>
      </c>
      <c r="K104">
        <f>IF($Q104="","",INDEX(인턴계획표[정규화2],$Q104))</f>
        <v/>
      </c>
      <c r="L104">
        <f>IF($Q104="","",INDEX(인턴계획표[정규화3],$Q104))</f>
        <v/>
      </c>
      <c r="M104">
        <f>IF($Q104="","",INDEX(인턴계획표[정규화4],$Q104))</f>
        <v/>
      </c>
      <c r="N104">
        <f>IF($Q104="","",INDEX(인턴계획표[정규화5],$Q104))</f>
        <v/>
      </c>
      <c r="O104">
        <f>IF($Q104="","",INDEX(인턴계획표[정규화6],$Q104))</f>
        <v/>
      </c>
      <c r="P104">
        <f>IF($Q104="","",INDEX(인턴계획표[입력오류],$Q104))</f>
        <v/>
      </c>
      <c r="Q104" s="17">
        <f>IFERROR(MATCH(99,인턴계획표[표시순번],0),"")</f>
        <v/>
      </c>
    </row>
    <row r="105">
      <c r="A105">
        <f>IF($Q105="","",INDEX(인턴계획표[순번],$Q105)&amp;"")</f>
        <v/>
      </c>
      <c r="B105">
        <f>IF($Q105="","",TRIM(INDEX(인턴계획표[이름],$Q105)&amp;""))</f>
        <v/>
      </c>
      <c r="C105">
        <f>IF($Q105="","",INDEX(인턴계획표[사번],$Q105)&amp;"")</f>
        <v/>
      </c>
      <c r="D105">
        <f>IF($Q105="","",IF(COUNTIF(기본자료표[사번키],INDEX(인턴계획표[사번키],$Q105))&gt;0,"확인","미등록"))</f>
        <v/>
      </c>
      <c r="E105">
        <f>IF($Q105="","",IF(ISNUMBER(INDEX(인턴계획표[입사일(비고)],$Q105)),TEXT(INDEX(인턴계획표[입사일(비고)],$Q105),"yyyy-mm-dd"),INDEX(인턴계획표[입사일(비고)],$Q105)&amp;""))</f>
        <v/>
      </c>
      <c r="F105">
        <f>IF($Q105="","",IF(IF($G$3="","",INDEX(인턴계획표[[정규화1]:[정규화6]],$Q105,$G$3)&amp;"")="","",IF(LEFT(IF($G$3="","",INDEX(인턴계획표[[정규화1]:[정규화6]],$Q105,$G$3)&amp;""),1)="⚠",IF($G$3="","",INDEX(인턴계획표[[정규화1]:[정규화6]],$Q105,$G$3)&amp;""),IFERROR(LEFT(IF($G$3="","",INDEX(인턴계획표[[정규화1]:[정규화6]],$Q105,$G$3)&amp;""),FIND(" ",IF($G$3="","",INDEX(인턴계획표[[정규화1]:[정규화6]],$Q105,$G$3)&amp;""))-1),IF($G$3="","",INDEX(인턴계획표[[정규화1]:[정규화6]],$Q105,$G$3)&amp;"")))))</f>
        <v/>
      </c>
      <c r="G105">
        <f>IF($Q105="","",IF(IF($G$3="","",INDEX(인턴계획표[[정규화1]:[정규화6]],$Q105,$G$3)&amp;"")="","",IF(LEFT(IF($G$3="","",INDEX(인턴계획표[[정규화1]:[정규화6]],$Q105,$G$3)&amp;""),1)="⚠","",IFERROR(MID(IF($G$3="","",INDEX(인턴계획표[[정규화1]:[정규화6]],$Q105,$G$3)&amp;""),FIND(" ",IF($G$3="","",INDEX(인턴계획표[[정규화1]:[정규화6]],$Q105,$G$3)&amp;""))+1,60),""))))</f>
        <v/>
      </c>
      <c r="H105">
        <f>IF($Q105="","",IF(IF($I$3="","",INDEX(인턴계획표[[정규화1]:[정규화6]],$Q105,$I$3)&amp;"")="","",IF(LEFT(IF($I$3="","",INDEX(인턴계획표[[정규화1]:[정규화6]],$Q105,$I$3)&amp;""),1)="⚠",IF($I$3="","",INDEX(인턴계획표[[정규화1]:[정규화6]],$Q105,$I$3)&amp;""),IFERROR(LEFT(IF($I$3="","",INDEX(인턴계획표[[정규화1]:[정규화6]],$Q105,$I$3)&amp;""),FIND(" ",IF($I$3="","",INDEX(인턴계획표[[정규화1]:[정규화6]],$Q105,$I$3)&amp;""))-1),IF($I$3="","",INDEX(인턴계획표[[정규화1]:[정규화6]],$Q105,$I$3)&amp;"")))))</f>
        <v/>
      </c>
      <c r="I105">
        <f>IF($Q105="","",IF(IF($I$3="","",INDEX(인턴계획표[[정규화1]:[정규화6]],$Q105,$I$3)&amp;"")="","",IF(LEFT(IF($I$3="","",INDEX(인턴계획표[[정규화1]:[정규화6]],$Q105,$I$3)&amp;""),1)="⚠","",IFERROR(MID(IF($I$3="","",INDEX(인턴계획표[[정규화1]:[정규화6]],$Q105,$I$3)&amp;""),FIND(" ",IF($I$3="","",INDEX(인턴계획표[[정규화1]:[정규화6]],$Q105,$I$3)&amp;""))+1,60),""))))</f>
        <v/>
      </c>
      <c r="J105">
        <f>IF($Q105="","",INDEX(인턴계획표[정규화1],$Q105))</f>
        <v/>
      </c>
      <c r="K105">
        <f>IF($Q105="","",INDEX(인턴계획표[정규화2],$Q105))</f>
        <v/>
      </c>
      <c r="L105">
        <f>IF($Q105="","",INDEX(인턴계획표[정규화3],$Q105))</f>
        <v/>
      </c>
      <c r="M105">
        <f>IF($Q105="","",INDEX(인턴계획표[정규화4],$Q105))</f>
        <v/>
      </c>
      <c r="N105">
        <f>IF($Q105="","",INDEX(인턴계획표[정규화5],$Q105))</f>
        <v/>
      </c>
      <c r="O105">
        <f>IF($Q105="","",INDEX(인턴계획표[정규화6],$Q105))</f>
        <v/>
      </c>
      <c r="P105">
        <f>IF($Q105="","",INDEX(인턴계획표[입력오류],$Q105))</f>
        <v/>
      </c>
      <c r="Q105" s="17">
        <f>IFERROR(MATCH(100,인턴계획표[표시순번],0),"")</f>
        <v/>
      </c>
    </row>
    <row r="106">
      <c r="A106">
        <f>IF($Q106="","",INDEX(인턴계획표[순번],$Q106)&amp;"")</f>
        <v/>
      </c>
      <c r="B106">
        <f>IF($Q106="","",TRIM(INDEX(인턴계획표[이름],$Q106)&amp;""))</f>
        <v/>
      </c>
      <c r="C106">
        <f>IF($Q106="","",INDEX(인턴계획표[사번],$Q106)&amp;"")</f>
        <v/>
      </c>
      <c r="D106">
        <f>IF($Q106="","",IF(COUNTIF(기본자료표[사번키],INDEX(인턴계획표[사번키],$Q106))&gt;0,"확인","미등록"))</f>
        <v/>
      </c>
      <c r="E106">
        <f>IF($Q106="","",IF(ISNUMBER(INDEX(인턴계획표[입사일(비고)],$Q106)),TEXT(INDEX(인턴계획표[입사일(비고)],$Q106),"yyyy-mm-dd"),INDEX(인턴계획표[입사일(비고)],$Q106)&amp;""))</f>
        <v/>
      </c>
      <c r="F106">
        <f>IF($Q106="","",IF(IF($G$3="","",INDEX(인턴계획표[[정규화1]:[정규화6]],$Q106,$G$3)&amp;"")="","",IF(LEFT(IF($G$3="","",INDEX(인턴계획표[[정규화1]:[정규화6]],$Q106,$G$3)&amp;""),1)="⚠",IF($G$3="","",INDEX(인턴계획표[[정규화1]:[정규화6]],$Q106,$G$3)&amp;""),IFERROR(LEFT(IF($G$3="","",INDEX(인턴계획표[[정규화1]:[정규화6]],$Q106,$G$3)&amp;""),FIND(" ",IF($G$3="","",INDEX(인턴계획표[[정규화1]:[정규화6]],$Q106,$G$3)&amp;""))-1),IF($G$3="","",INDEX(인턴계획표[[정규화1]:[정규화6]],$Q106,$G$3)&amp;"")))))</f>
        <v/>
      </c>
      <c r="G106">
        <f>IF($Q106="","",IF(IF($G$3="","",INDEX(인턴계획표[[정규화1]:[정규화6]],$Q106,$G$3)&amp;"")="","",IF(LEFT(IF($G$3="","",INDEX(인턴계획표[[정규화1]:[정규화6]],$Q106,$G$3)&amp;""),1)="⚠","",IFERROR(MID(IF($G$3="","",INDEX(인턴계획표[[정규화1]:[정규화6]],$Q106,$G$3)&amp;""),FIND(" ",IF($G$3="","",INDEX(인턴계획표[[정규화1]:[정규화6]],$Q106,$G$3)&amp;""))+1,60),""))))</f>
        <v/>
      </c>
      <c r="H106">
        <f>IF($Q106="","",IF(IF($I$3="","",INDEX(인턴계획표[[정규화1]:[정규화6]],$Q106,$I$3)&amp;"")="","",IF(LEFT(IF($I$3="","",INDEX(인턴계획표[[정규화1]:[정규화6]],$Q106,$I$3)&amp;""),1)="⚠",IF($I$3="","",INDEX(인턴계획표[[정규화1]:[정규화6]],$Q106,$I$3)&amp;""),IFERROR(LEFT(IF($I$3="","",INDEX(인턴계획표[[정규화1]:[정규화6]],$Q106,$I$3)&amp;""),FIND(" ",IF($I$3="","",INDEX(인턴계획표[[정규화1]:[정규화6]],$Q106,$I$3)&amp;""))-1),IF($I$3="","",INDEX(인턴계획표[[정규화1]:[정규화6]],$Q106,$I$3)&amp;"")))))</f>
        <v/>
      </c>
      <c r="I106">
        <f>IF($Q106="","",IF(IF($I$3="","",INDEX(인턴계획표[[정규화1]:[정규화6]],$Q106,$I$3)&amp;"")="","",IF(LEFT(IF($I$3="","",INDEX(인턴계획표[[정규화1]:[정규화6]],$Q106,$I$3)&amp;""),1)="⚠","",IFERROR(MID(IF($I$3="","",INDEX(인턴계획표[[정규화1]:[정규화6]],$Q106,$I$3)&amp;""),FIND(" ",IF($I$3="","",INDEX(인턴계획표[[정규화1]:[정규화6]],$Q106,$I$3)&amp;""))+1,60),""))))</f>
        <v/>
      </c>
      <c r="J106">
        <f>IF($Q106="","",INDEX(인턴계획표[정규화1],$Q106))</f>
        <v/>
      </c>
      <c r="K106">
        <f>IF($Q106="","",INDEX(인턴계획표[정규화2],$Q106))</f>
        <v/>
      </c>
      <c r="L106">
        <f>IF($Q106="","",INDEX(인턴계획표[정규화3],$Q106))</f>
        <v/>
      </c>
      <c r="M106">
        <f>IF($Q106="","",INDEX(인턴계획표[정규화4],$Q106))</f>
        <v/>
      </c>
      <c r="N106">
        <f>IF($Q106="","",INDEX(인턴계획표[정규화5],$Q106))</f>
        <v/>
      </c>
      <c r="O106">
        <f>IF($Q106="","",INDEX(인턴계획표[정규화6],$Q106))</f>
        <v/>
      </c>
      <c r="P106">
        <f>IF($Q106="","",INDEX(인턴계획표[입력오류],$Q106))</f>
        <v/>
      </c>
      <c r="Q106" s="17">
        <f>IFERROR(MATCH(101,인턴계획표[표시순번],0),"")</f>
        <v/>
      </c>
    </row>
    <row r="107">
      <c r="A107">
        <f>IF($Q107="","",INDEX(인턴계획표[순번],$Q107)&amp;"")</f>
        <v/>
      </c>
      <c r="B107">
        <f>IF($Q107="","",TRIM(INDEX(인턴계획표[이름],$Q107)&amp;""))</f>
        <v/>
      </c>
      <c r="C107">
        <f>IF($Q107="","",INDEX(인턴계획표[사번],$Q107)&amp;"")</f>
        <v/>
      </c>
      <c r="D107">
        <f>IF($Q107="","",IF(COUNTIF(기본자료표[사번키],INDEX(인턴계획표[사번키],$Q107))&gt;0,"확인","미등록"))</f>
        <v/>
      </c>
      <c r="E107">
        <f>IF($Q107="","",IF(ISNUMBER(INDEX(인턴계획표[입사일(비고)],$Q107)),TEXT(INDEX(인턴계획표[입사일(비고)],$Q107),"yyyy-mm-dd"),INDEX(인턴계획표[입사일(비고)],$Q107)&amp;""))</f>
        <v/>
      </c>
      <c r="F107">
        <f>IF($Q107="","",IF(IF($G$3="","",INDEX(인턴계획표[[정규화1]:[정규화6]],$Q107,$G$3)&amp;"")="","",IF(LEFT(IF($G$3="","",INDEX(인턴계획표[[정규화1]:[정규화6]],$Q107,$G$3)&amp;""),1)="⚠",IF($G$3="","",INDEX(인턴계획표[[정규화1]:[정규화6]],$Q107,$G$3)&amp;""),IFERROR(LEFT(IF($G$3="","",INDEX(인턴계획표[[정규화1]:[정규화6]],$Q107,$G$3)&amp;""),FIND(" ",IF($G$3="","",INDEX(인턴계획표[[정규화1]:[정규화6]],$Q107,$G$3)&amp;""))-1),IF($G$3="","",INDEX(인턴계획표[[정규화1]:[정규화6]],$Q107,$G$3)&amp;"")))))</f>
        <v/>
      </c>
      <c r="G107">
        <f>IF($Q107="","",IF(IF($G$3="","",INDEX(인턴계획표[[정규화1]:[정규화6]],$Q107,$G$3)&amp;"")="","",IF(LEFT(IF($G$3="","",INDEX(인턴계획표[[정규화1]:[정규화6]],$Q107,$G$3)&amp;""),1)="⚠","",IFERROR(MID(IF($G$3="","",INDEX(인턴계획표[[정규화1]:[정규화6]],$Q107,$G$3)&amp;""),FIND(" ",IF($G$3="","",INDEX(인턴계획표[[정규화1]:[정규화6]],$Q107,$G$3)&amp;""))+1,60),""))))</f>
        <v/>
      </c>
      <c r="H107">
        <f>IF($Q107="","",IF(IF($I$3="","",INDEX(인턴계획표[[정규화1]:[정규화6]],$Q107,$I$3)&amp;"")="","",IF(LEFT(IF($I$3="","",INDEX(인턴계획표[[정규화1]:[정규화6]],$Q107,$I$3)&amp;""),1)="⚠",IF($I$3="","",INDEX(인턴계획표[[정규화1]:[정규화6]],$Q107,$I$3)&amp;""),IFERROR(LEFT(IF($I$3="","",INDEX(인턴계획표[[정규화1]:[정규화6]],$Q107,$I$3)&amp;""),FIND(" ",IF($I$3="","",INDEX(인턴계획표[[정규화1]:[정규화6]],$Q107,$I$3)&amp;""))-1),IF($I$3="","",INDEX(인턴계획표[[정규화1]:[정규화6]],$Q107,$I$3)&amp;"")))))</f>
        <v/>
      </c>
      <c r="I107">
        <f>IF($Q107="","",IF(IF($I$3="","",INDEX(인턴계획표[[정규화1]:[정규화6]],$Q107,$I$3)&amp;"")="","",IF(LEFT(IF($I$3="","",INDEX(인턴계획표[[정규화1]:[정규화6]],$Q107,$I$3)&amp;""),1)="⚠","",IFERROR(MID(IF($I$3="","",INDEX(인턴계획표[[정규화1]:[정규화6]],$Q107,$I$3)&amp;""),FIND(" ",IF($I$3="","",INDEX(인턴계획표[[정규화1]:[정규화6]],$Q107,$I$3)&amp;""))+1,60),""))))</f>
        <v/>
      </c>
      <c r="J107">
        <f>IF($Q107="","",INDEX(인턴계획표[정규화1],$Q107))</f>
        <v/>
      </c>
      <c r="K107">
        <f>IF($Q107="","",INDEX(인턴계획표[정규화2],$Q107))</f>
        <v/>
      </c>
      <c r="L107">
        <f>IF($Q107="","",INDEX(인턴계획표[정규화3],$Q107))</f>
        <v/>
      </c>
      <c r="M107">
        <f>IF($Q107="","",INDEX(인턴계획표[정규화4],$Q107))</f>
        <v/>
      </c>
      <c r="N107">
        <f>IF($Q107="","",INDEX(인턴계획표[정규화5],$Q107))</f>
        <v/>
      </c>
      <c r="O107">
        <f>IF($Q107="","",INDEX(인턴계획표[정규화6],$Q107))</f>
        <v/>
      </c>
      <c r="P107">
        <f>IF($Q107="","",INDEX(인턴계획표[입력오류],$Q107))</f>
        <v/>
      </c>
      <c r="Q107" s="17">
        <f>IFERROR(MATCH(102,인턴계획표[표시순번],0),"")</f>
        <v/>
      </c>
    </row>
    <row r="108">
      <c r="A108">
        <f>IF($Q108="","",INDEX(인턴계획표[순번],$Q108)&amp;"")</f>
        <v/>
      </c>
      <c r="B108">
        <f>IF($Q108="","",TRIM(INDEX(인턴계획표[이름],$Q108)&amp;""))</f>
        <v/>
      </c>
      <c r="C108">
        <f>IF($Q108="","",INDEX(인턴계획표[사번],$Q108)&amp;"")</f>
        <v/>
      </c>
      <c r="D108">
        <f>IF($Q108="","",IF(COUNTIF(기본자료표[사번키],INDEX(인턴계획표[사번키],$Q108))&gt;0,"확인","미등록"))</f>
        <v/>
      </c>
      <c r="E108">
        <f>IF($Q108="","",IF(ISNUMBER(INDEX(인턴계획표[입사일(비고)],$Q108)),TEXT(INDEX(인턴계획표[입사일(비고)],$Q108),"yyyy-mm-dd"),INDEX(인턴계획표[입사일(비고)],$Q108)&amp;""))</f>
        <v/>
      </c>
      <c r="F108">
        <f>IF($Q108="","",IF(IF($G$3="","",INDEX(인턴계획표[[정규화1]:[정규화6]],$Q108,$G$3)&amp;"")="","",IF(LEFT(IF($G$3="","",INDEX(인턴계획표[[정규화1]:[정규화6]],$Q108,$G$3)&amp;""),1)="⚠",IF($G$3="","",INDEX(인턴계획표[[정규화1]:[정규화6]],$Q108,$G$3)&amp;""),IFERROR(LEFT(IF($G$3="","",INDEX(인턴계획표[[정규화1]:[정규화6]],$Q108,$G$3)&amp;""),FIND(" ",IF($G$3="","",INDEX(인턴계획표[[정규화1]:[정규화6]],$Q108,$G$3)&amp;""))-1),IF($G$3="","",INDEX(인턴계획표[[정규화1]:[정규화6]],$Q108,$G$3)&amp;"")))))</f>
        <v/>
      </c>
      <c r="G108">
        <f>IF($Q108="","",IF(IF($G$3="","",INDEX(인턴계획표[[정규화1]:[정규화6]],$Q108,$G$3)&amp;"")="","",IF(LEFT(IF($G$3="","",INDEX(인턴계획표[[정규화1]:[정규화6]],$Q108,$G$3)&amp;""),1)="⚠","",IFERROR(MID(IF($G$3="","",INDEX(인턴계획표[[정규화1]:[정규화6]],$Q108,$G$3)&amp;""),FIND(" ",IF($G$3="","",INDEX(인턴계획표[[정규화1]:[정규화6]],$Q108,$G$3)&amp;""))+1,60),""))))</f>
        <v/>
      </c>
      <c r="H108">
        <f>IF($Q108="","",IF(IF($I$3="","",INDEX(인턴계획표[[정규화1]:[정규화6]],$Q108,$I$3)&amp;"")="","",IF(LEFT(IF($I$3="","",INDEX(인턴계획표[[정규화1]:[정규화6]],$Q108,$I$3)&amp;""),1)="⚠",IF($I$3="","",INDEX(인턴계획표[[정규화1]:[정규화6]],$Q108,$I$3)&amp;""),IFERROR(LEFT(IF($I$3="","",INDEX(인턴계획표[[정규화1]:[정규화6]],$Q108,$I$3)&amp;""),FIND(" ",IF($I$3="","",INDEX(인턴계획표[[정규화1]:[정규화6]],$Q108,$I$3)&amp;""))-1),IF($I$3="","",INDEX(인턴계획표[[정규화1]:[정규화6]],$Q108,$I$3)&amp;"")))))</f>
        <v/>
      </c>
      <c r="I108">
        <f>IF($Q108="","",IF(IF($I$3="","",INDEX(인턴계획표[[정규화1]:[정규화6]],$Q108,$I$3)&amp;"")="","",IF(LEFT(IF($I$3="","",INDEX(인턴계획표[[정규화1]:[정규화6]],$Q108,$I$3)&amp;""),1)="⚠","",IFERROR(MID(IF($I$3="","",INDEX(인턴계획표[[정규화1]:[정규화6]],$Q108,$I$3)&amp;""),FIND(" ",IF($I$3="","",INDEX(인턴계획표[[정규화1]:[정규화6]],$Q108,$I$3)&amp;""))+1,60),""))))</f>
        <v/>
      </c>
      <c r="J108">
        <f>IF($Q108="","",INDEX(인턴계획표[정규화1],$Q108))</f>
        <v/>
      </c>
      <c r="K108">
        <f>IF($Q108="","",INDEX(인턴계획표[정규화2],$Q108))</f>
        <v/>
      </c>
      <c r="L108">
        <f>IF($Q108="","",INDEX(인턴계획표[정규화3],$Q108))</f>
        <v/>
      </c>
      <c r="M108">
        <f>IF($Q108="","",INDEX(인턴계획표[정규화4],$Q108))</f>
        <v/>
      </c>
      <c r="N108">
        <f>IF($Q108="","",INDEX(인턴계획표[정규화5],$Q108))</f>
        <v/>
      </c>
      <c r="O108">
        <f>IF($Q108="","",INDEX(인턴계획표[정규화6],$Q108))</f>
        <v/>
      </c>
      <c r="P108">
        <f>IF($Q108="","",INDEX(인턴계획표[입력오류],$Q108))</f>
        <v/>
      </c>
      <c r="Q108" s="17">
        <f>IFERROR(MATCH(103,인턴계획표[표시순번],0),"")</f>
        <v/>
      </c>
    </row>
    <row r="109">
      <c r="A109">
        <f>IF($Q109="","",INDEX(인턴계획표[순번],$Q109)&amp;"")</f>
        <v/>
      </c>
      <c r="B109">
        <f>IF($Q109="","",TRIM(INDEX(인턴계획표[이름],$Q109)&amp;""))</f>
        <v/>
      </c>
      <c r="C109">
        <f>IF($Q109="","",INDEX(인턴계획표[사번],$Q109)&amp;"")</f>
        <v/>
      </c>
      <c r="D109">
        <f>IF($Q109="","",IF(COUNTIF(기본자료표[사번키],INDEX(인턴계획표[사번키],$Q109))&gt;0,"확인","미등록"))</f>
        <v/>
      </c>
      <c r="E109">
        <f>IF($Q109="","",IF(ISNUMBER(INDEX(인턴계획표[입사일(비고)],$Q109)),TEXT(INDEX(인턴계획표[입사일(비고)],$Q109),"yyyy-mm-dd"),INDEX(인턴계획표[입사일(비고)],$Q109)&amp;""))</f>
        <v/>
      </c>
      <c r="F109">
        <f>IF($Q109="","",IF(IF($G$3="","",INDEX(인턴계획표[[정규화1]:[정규화6]],$Q109,$G$3)&amp;"")="","",IF(LEFT(IF($G$3="","",INDEX(인턴계획표[[정규화1]:[정규화6]],$Q109,$G$3)&amp;""),1)="⚠",IF($G$3="","",INDEX(인턴계획표[[정규화1]:[정규화6]],$Q109,$G$3)&amp;""),IFERROR(LEFT(IF($G$3="","",INDEX(인턴계획표[[정규화1]:[정규화6]],$Q109,$G$3)&amp;""),FIND(" ",IF($G$3="","",INDEX(인턴계획표[[정규화1]:[정규화6]],$Q109,$G$3)&amp;""))-1),IF($G$3="","",INDEX(인턴계획표[[정규화1]:[정규화6]],$Q109,$G$3)&amp;"")))))</f>
        <v/>
      </c>
      <c r="G109">
        <f>IF($Q109="","",IF(IF($G$3="","",INDEX(인턴계획표[[정규화1]:[정규화6]],$Q109,$G$3)&amp;"")="","",IF(LEFT(IF($G$3="","",INDEX(인턴계획표[[정규화1]:[정규화6]],$Q109,$G$3)&amp;""),1)="⚠","",IFERROR(MID(IF($G$3="","",INDEX(인턴계획표[[정규화1]:[정규화6]],$Q109,$G$3)&amp;""),FIND(" ",IF($G$3="","",INDEX(인턴계획표[[정규화1]:[정규화6]],$Q109,$G$3)&amp;""))+1,60),""))))</f>
        <v/>
      </c>
      <c r="H109">
        <f>IF($Q109="","",IF(IF($I$3="","",INDEX(인턴계획표[[정규화1]:[정규화6]],$Q109,$I$3)&amp;"")="","",IF(LEFT(IF($I$3="","",INDEX(인턴계획표[[정규화1]:[정규화6]],$Q109,$I$3)&amp;""),1)="⚠",IF($I$3="","",INDEX(인턴계획표[[정규화1]:[정규화6]],$Q109,$I$3)&amp;""),IFERROR(LEFT(IF($I$3="","",INDEX(인턴계획표[[정규화1]:[정규화6]],$Q109,$I$3)&amp;""),FIND(" ",IF($I$3="","",INDEX(인턴계획표[[정규화1]:[정규화6]],$Q109,$I$3)&amp;""))-1),IF($I$3="","",INDEX(인턴계획표[[정규화1]:[정규화6]],$Q109,$I$3)&amp;"")))))</f>
        <v/>
      </c>
      <c r="I109">
        <f>IF($Q109="","",IF(IF($I$3="","",INDEX(인턴계획표[[정규화1]:[정규화6]],$Q109,$I$3)&amp;"")="","",IF(LEFT(IF($I$3="","",INDEX(인턴계획표[[정규화1]:[정규화6]],$Q109,$I$3)&amp;""),1)="⚠","",IFERROR(MID(IF($I$3="","",INDEX(인턴계획표[[정규화1]:[정규화6]],$Q109,$I$3)&amp;""),FIND(" ",IF($I$3="","",INDEX(인턴계획표[[정규화1]:[정규화6]],$Q109,$I$3)&amp;""))+1,60),""))))</f>
        <v/>
      </c>
      <c r="J109">
        <f>IF($Q109="","",INDEX(인턴계획표[정규화1],$Q109))</f>
        <v/>
      </c>
      <c r="K109">
        <f>IF($Q109="","",INDEX(인턴계획표[정규화2],$Q109))</f>
        <v/>
      </c>
      <c r="L109">
        <f>IF($Q109="","",INDEX(인턴계획표[정규화3],$Q109))</f>
        <v/>
      </c>
      <c r="M109">
        <f>IF($Q109="","",INDEX(인턴계획표[정규화4],$Q109))</f>
        <v/>
      </c>
      <c r="N109">
        <f>IF($Q109="","",INDEX(인턴계획표[정규화5],$Q109))</f>
        <v/>
      </c>
      <c r="O109">
        <f>IF($Q109="","",INDEX(인턴계획표[정규화6],$Q109))</f>
        <v/>
      </c>
      <c r="P109">
        <f>IF($Q109="","",INDEX(인턴계획표[입력오류],$Q109))</f>
        <v/>
      </c>
      <c r="Q109" s="17">
        <f>IFERROR(MATCH(104,인턴계획표[표시순번],0),"")</f>
        <v/>
      </c>
    </row>
    <row r="110">
      <c r="A110">
        <f>IF($Q110="","",INDEX(인턴계획표[순번],$Q110)&amp;"")</f>
        <v/>
      </c>
      <c r="B110">
        <f>IF($Q110="","",TRIM(INDEX(인턴계획표[이름],$Q110)&amp;""))</f>
        <v/>
      </c>
      <c r="C110">
        <f>IF($Q110="","",INDEX(인턴계획표[사번],$Q110)&amp;"")</f>
        <v/>
      </c>
      <c r="D110">
        <f>IF($Q110="","",IF(COUNTIF(기본자료표[사번키],INDEX(인턴계획표[사번키],$Q110))&gt;0,"확인","미등록"))</f>
        <v/>
      </c>
      <c r="E110">
        <f>IF($Q110="","",IF(ISNUMBER(INDEX(인턴계획표[입사일(비고)],$Q110)),TEXT(INDEX(인턴계획표[입사일(비고)],$Q110),"yyyy-mm-dd"),INDEX(인턴계획표[입사일(비고)],$Q110)&amp;""))</f>
        <v/>
      </c>
      <c r="F110">
        <f>IF($Q110="","",IF(IF($G$3="","",INDEX(인턴계획표[[정규화1]:[정규화6]],$Q110,$G$3)&amp;"")="","",IF(LEFT(IF($G$3="","",INDEX(인턴계획표[[정규화1]:[정규화6]],$Q110,$G$3)&amp;""),1)="⚠",IF($G$3="","",INDEX(인턴계획표[[정규화1]:[정규화6]],$Q110,$G$3)&amp;""),IFERROR(LEFT(IF($G$3="","",INDEX(인턴계획표[[정규화1]:[정규화6]],$Q110,$G$3)&amp;""),FIND(" ",IF($G$3="","",INDEX(인턴계획표[[정규화1]:[정규화6]],$Q110,$G$3)&amp;""))-1),IF($G$3="","",INDEX(인턴계획표[[정규화1]:[정규화6]],$Q110,$G$3)&amp;"")))))</f>
        <v/>
      </c>
      <c r="G110">
        <f>IF($Q110="","",IF(IF($G$3="","",INDEX(인턴계획표[[정규화1]:[정규화6]],$Q110,$G$3)&amp;"")="","",IF(LEFT(IF($G$3="","",INDEX(인턴계획표[[정규화1]:[정규화6]],$Q110,$G$3)&amp;""),1)="⚠","",IFERROR(MID(IF($G$3="","",INDEX(인턴계획표[[정규화1]:[정규화6]],$Q110,$G$3)&amp;""),FIND(" ",IF($G$3="","",INDEX(인턴계획표[[정규화1]:[정규화6]],$Q110,$G$3)&amp;""))+1,60),""))))</f>
        <v/>
      </c>
      <c r="H110">
        <f>IF($Q110="","",IF(IF($I$3="","",INDEX(인턴계획표[[정규화1]:[정규화6]],$Q110,$I$3)&amp;"")="","",IF(LEFT(IF($I$3="","",INDEX(인턴계획표[[정규화1]:[정규화6]],$Q110,$I$3)&amp;""),1)="⚠",IF($I$3="","",INDEX(인턴계획표[[정규화1]:[정규화6]],$Q110,$I$3)&amp;""),IFERROR(LEFT(IF($I$3="","",INDEX(인턴계획표[[정규화1]:[정규화6]],$Q110,$I$3)&amp;""),FIND(" ",IF($I$3="","",INDEX(인턴계획표[[정규화1]:[정규화6]],$Q110,$I$3)&amp;""))-1),IF($I$3="","",INDEX(인턴계획표[[정규화1]:[정규화6]],$Q110,$I$3)&amp;"")))))</f>
        <v/>
      </c>
      <c r="I110">
        <f>IF($Q110="","",IF(IF($I$3="","",INDEX(인턴계획표[[정규화1]:[정규화6]],$Q110,$I$3)&amp;"")="","",IF(LEFT(IF($I$3="","",INDEX(인턴계획표[[정규화1]:[정규화6]],$Q110,$I$3)&amp;""),1)="⚠","",IFERROR(MID(IF($I$3="","",INDEX(인턴계획표[[정규화1]:[정규화6]],$Q110,$I$3)&amp;""),FIND(" ",IF($I$3="","",INDEX(인턴계획표[[정규화1]:[정규화6]],$Q110,$I$3)&amp;""))+1,60),""))))</f>
        <v/>
      </c>
      <c r="J110">
        <f>IF($Q110="","",INDEX(인턴계획표[정규화1],$Q110))</f>
        <v/>
      </c>
      <c r="K110">
        <f>IF($Q110="","",INDEX(인턴계획표[정규화2],$Q110))</f>
        <v/>
      </c>
      <c r="L110">
        <f>IF($Q110="","",INDEX(인턴계획표[정규화3],$Q110))</f>
        <v/>
      </c>
      <c r="M110">
        <f>IF($Q110="","",INDEX(인턴계획표[정규화4],$Q110))</f>
        <v/>
      </c>
      <c r="N110">
        <f>IF($Q110="","",INDEX(인턴계획표[정규화5],$Q110))</f>
        <v/>
      </c>
      <c r="O110">
        <f>IF($Q110="","",INDEX(인턴계획표[정규화6],$Q110))</f>
        <v/>
      </c>
      <c r="P110">
        <f>IF($Q110="","",INDEX(인턴계획표[입력오류],$Q110))</f>
        <v/>
      </c>
      <c r="Q110" s="17">
        <f>IFERROR(MATCH(105,인턴계획표[표시순번],0),"")</f>
        <v/>
      </c>
    </row>
    <row r="111">
      <c r="A111">
        <f>IF($Q111="","",INDEX(인턴계획표[순번],$Q111)&amp;"")</f>
        <v/>
      </c>
      <c r="B111">
        <f>IF($Q111="","",TRIM(INDEX(인턴계획표[이름],$Q111)&amp;""))</f>
        <v/>
      </c>
      <c r="C111">
        <f>IF($Q111="","",INDEX(인턴계획표[사번],$Q111)&amp;"")</f>
        <v/>
      </c>
      <c r="D111">
        <f>IF($Q111="","",IF(COUNTIF(기본자료표[사번키],INDEX(인턴계획표[사번키],$Q111))&gt;0,"확인","미등록"))</f>
        <v/>
      </c>
      <c r="E111">
        <f>IF($Q111="","",IF(ISNUMBER(INDEX(인턴계획표[입사일(비고)],$Q111)),TEXT(INDEX(인턴계획표[입사일(비고)],$Q111),"yyyy-mm-dd"),INDEX(인턴계획표[입사일(비고)],$Q111)&amp;""))</f>
        <v/>
      </c>
      <c r="F111">
        <f>IF($Q111="","",IF(IF($G$3="","",INDEX(인턴계획표[[정규화1]:[정규화6]],$Q111,$G$3)&amp;"")="","",IF(LEFT(IF($G$3="","",INDEX(인턴계획표[[정규화1]:[정규화6]],$Q111,$G$3)&amp;""),1)="⚠",IF($G$3="","",INDEX(인턴계획표[[정규화1]:[정규화6]],$Q111,$G$3)&amp;""),IFERROR(LEFT(IF($G$3="","",INDEX(인턴계획표[[정규화1]:[정규화6]],$Q111,$G$3)&amp;""),FIND(" ",IF($G$3="","",INDEX(인턴계획표[[정규화1]:[정규화6]],$Q111,$G$3)&amp;""))-1),IF($G$3="","",INDEX(인턴계획표[[정규화1]:[정규화6]],$Q111,$G$3)&amp;"")))))</f>
        <v/>
      </c>
      <c r="G111">
        <f>IF($Q111="","",IF(IF($G$3="","",INDEX(인턴계획표[[정규화1]:[정규화6]],$Q111,$G$3)&amp;"")="","",IF(LEFT(IF($G$3="","",INDEX(인턴계획표[[정규화1]:[정규화6]],$Q111,$G$3)&amp;""),1)="⚠","",IFERROR(MID(IF($G$3="","",INDEX(인턴계획표[[정규화1]:[정규화6]],$Q111,$G$3)&amp;""),FIND(" ",IF($G$3="","",INDEX(인턴계획표[[정규화1]:[정규화6]],$Q111,$G$3)&amp;""))+1,60),""))))</f>
        <v/>
      </c>
      <c r="H111">
        <f>IF($Q111="","",IF(IF($I$3="","",INDEX(인턴계획표[[정규화1]:[정규화6]],$Q111,$I$3)&amp;"")="","",IF(LEFT(IF($I$3="","",INDEX(인턴계획표[[정규화1]:[정규화6]],$Q111,$I$3)&amp;""),1)="⚠",IF($I$3="","",INDEX(인턴계획표[[정규화1]:[정규화6]],$Q111,$I$3)&amp;""),IFERROR(LEFT(IF($I$3="","",INDEX(인턴계획표[[정규화1]:[정규화6]],$Q111,$I$3)&amp;""),FIND(" ",IF($I$3="","",INDEX(인턴계획표[[정규화1]:[정규화6]],$Q111,$I$3)&amp;""))-1),IF($I$3="","",INDEX(인턴계획표[[정규화1]:[정규화6]],$Q111,$I$3)&amp;"")))))</f>
        <v/>
      </c>
      <c r="I111">
        <f>IF($Q111="","",IF(IF($I$3="","",INDEX(인턴계획표[[정규화1]:[정규화6]],$Q111,$I$3)&amp;"")="","",IF(LEFT(IF($I$3="","",INDEX(인턴계획표[[정규화1]:[정규화6]],$Q111,$I$3)&amp;""),1)="⚠","",IFERROR(MID(IF($I$3="","",INDEX(인턴계획표[[정규화1]:[정규화6]],$Q111,$I$3)&amp;""),FIND(" ",IF($I$3="","",INDEX(인턴계획표[[정규화1]:[정규화6]],$Q111,$I$3)&amp;""))+1,60),""))))</f>
        <v/>
      </c>
      <c r="J111">
        <f>IF($Q111="","",INDEX(인턴계획표[정규화1],$Q111))</f>
        <v/>
      </c>
      <c r="K111">
        <f>IF($Q111="","",INDEX(인턴계획표[정규화2],$Q111))</f>
        <v/>
      </c>
      <c r="L111">
        <f>IF($Q111="","",INDEX(인턴계획표[정규화3],$Q111))</f>
        <v/>
      </c>
      <c r="M111">
        <f>IF($Q111="","",INDEX(인턴계획표[정규화4],$Q111))</f>
        <v/>
      </c>
      <c r="N111">
        <f>IF($Q111="","",INDEX(인턴계획표[정규화5],$Q111))</f>
        <v/>
      </c>
      <c r="O111">
        <f>IF($Q111="","",INDEX(인턴계획표[정규화6],$Q111))</f>
        <v/>
      </c>
      <c r="P111">
        <f>IF($Q111="","",INDEX(인턴계획표[입력오류],$Q111))</f>
        <v/>
      </c>
      <c r="Q111" s="17">
        <f>IFERROR(MATCH(106,인턴계획표[표시순번],0),"")</f>
        <v/>
      </c>
    </row>
    <row r="112">
      <c r="A112">
        <f>IF($Q112="","",INDEX(인턴계획표[순번],$Q112)&amp;"")</f>
        <v/>
      </c>
      <c r="B112">
        <f>IF($Q112="","",TRIM(INDEX(인턴계획표[이름],$Q112)&amp;""))</f>
        <v/>
      </c>
      <c r="C112">
        <f>IF($Q112="","",INDEX(인턴계획표[사번],$Q112)&amp;"")</f>
        <v/>
      </c>
      <c r="D112">
        <f>IF($Q112="","",IF(COUNTIF(기본자료표[사번키],INDEX(인턴계획표[사번키],$Q112))&gt;0,"확인","미등록"))</f>
        <v/>
      </c>
      <c r="E112">
        <f>IF($Q112="","",IF(ISNUMBER(INDEX(인턴계획표[입사일(비고)],$Q112)),TEXT(INDEX(인턴계획표[입사일(비고)],$Q112),"yyyy-mm-dd"),INDEX(인턴계획표[입사일(비고)],$Q112)&amp;""))</f>
        <v/>
      </c>
      <c r="F112">
        <f>IF($Q112="","",IF(IF($G$3="","",INDEX(인턴계획표[[정규화1]:[정규화6]],$Q112,$G$3)&amp;"")="","",IF(LEFT(IF($G$3="","",INDEX(인턴계획표[[정규화1]:[정규화6]],$Q112,$G$3)&amp;""),1)="⚠",IF($G$3="","",INDEX(인턴계획표[[정규화1]:[정규화6]],$Q112,$G$3)&amp;""),IFERROR(LEFT(IF($G$3="","",INDEX(인턴계획표[[정규화1]:[정규화6]],$Q112,$G$3)&amp;""),FIND(" ",IF($G$3="","",INDEX(인턴계획표[[정규화1]:[정규화6]],$Q112,$G$3)&amp;""))-1),IF($G$3="","",INDEX(인턴계획표[[정규화1]:[정규화6]],$Q112,$G$3)&amp;"")))))</f>
        <v/>
      </c>
      <c r="G112">
        <f>IF($Q112="","",IF(IF($G$3="","",INDEX(인턴계획표[[정규화1]:[정규화6]],$Q112,$G$3)&amp;"")="","",IF(LEFT(IF($G$3="","",INDEX(인턴계획표[[정규화1]:[정규화6]],$Q112,$G$3)&amp;""),1)="⚠","",IFERROR(MID(IF($G$3="","",INDEX(인턴계획표[[정규화1]:[정규화6]],$Q112,$G$3)&amp;""),FIND(" ",IF($G$3="","",INDEX(인턴계획표[[정규화1]:[정규화6]],$Q112,$G$3)&amp;""))+1,60),""))))</f>
        <v/>
      </c>
      <c r="H112">
        <f>IF($Q112="","",IF(IF($I$3="","",INDEX(인턴계획표[[정규화1]:[정규화6]],$Q112,$I$3)&amp;"")="","",IF(LEFT(IF($I$3="","",INDEX(인턴계획표[[정규화1]:[정규화6]],$Q112,$I$3)&amp;""),1)="⚠",IF($I$3="","",INDEX(인턴계획표[[정규화1]:[정규화6]],$Q112,$I$3)&amp;""),IFERROR(LEFT(IF($I$3="","",INDEX(인턴계획표[[정규화1]:[정규화6]],$Q112,$I$3)&amp;""),FIND(" ",IF($I$3="","",INDEX(인턴계획표[[정규화1]:[정규화6]],$Q112,$I$3)&amp;""))-1),IF($I$3="","",INDEX(인턴계획표[[정규화1]:[정규화6]],$Q112,$I$3)&amp;"")))))</f>
        <v/>
      </c>
      <c r="I112">
        <f>IF($Q112="","",IF(IF($I$3="","",INDEX(인턴계획표[[정규화1]:[정규화6]],$Q112,$I$3)&amp;"")="","",IF(LEFT(IF($I$3="","",INDEX(인턴계획표[[정규화1]:[정규화6]],$Q112,$I$3)&amp;""),1)="⚠","",IFERROR(MID(IF($I$3="","",INDEX(인턴계획표[[정규화1]:[정규화6]],$Q112,$I$3)&amp;""),FIND(" ",IF($I$3="","",INDEX(인턴계획표[[정규화1]:[정규화6]],$Q112,$I$3)&amp;""))+1,60),""))))</f>
        <v/>
      </c>
      <c r="J112">
        <f>IF($Q112="","",INDEX(인턴계획표[정규화1],$Q112))</f>
        <v/>
      </c>
      <c r="K112">
        <f>IF($Q112="","",INDEX(인턴계획표[정규화2],$Q112))</f>
        <v/>
      </c>
      <c r="L112">
        <f>IF($Q112="","",INDEX(인턴계획표[정규화3],$Q112))</f>
        <v/>
      </c>
      <c r="M112">
        <f>IF($Q112="","",INDEX(인턴계획표[정규화4],$Q112))</f>
        <v/>
      </c>
      <c r="N112">
        <f>IF($Q112="","",INDEX(인턴계획표[정규화5],$Q112))</f>
        <v/>
      </c>
      <c r="O112">
        <f>IF($Q112="","",INDEX(인턴계획표[정규화6],$Q112))</f>
        <v/>
      </c>
      <c r="P112">
        <f>IF($Q112="","",INDEX(인턴계획표[입력오류],$Q112))</f>
        <v/>
      </c>
      <c r="Q112" s="17">
        <f>IFERROR(MATCH(107,인턴계획표[표시순번],0),"")</f>
        <v/>
      </c>
    </row>
    <row r="113">
      <c r="A113">
        <f>IF($Q113="","",INDEX(인턴계획표[순번],$Q113)&amp;"")</f>
        <v/>
      </c>
      <c r="B113">
        <f>IF($Q113="","",TRIM(INDEX(인턴계획표[이름],$Q113)&amp;""))</f>
        <v/>
      </c>
      <c r="C113">
        <f>IF($Q113="","",INDEX(인턴계획표[사번],$Q113)&amp;"")</f>
        <v/>
      </c>
      <c r="D113">
        <f>IF($Q113="","",IF(COUNTIF(기본자료표[사번키],INDEX(인턴계획표[사번키],$Q113))&gt;0,"확인","미등록"))</f>
        <v/>
      </c>
      <c r="E113">
        <f>IF($Q113="","",IF(ISNUMBER(INDEX(인턴계획표[입사일(비고)],$Q113)),TEXT(INDEX(인턴계획표[입사일(비고)],$Q113),"yyyy-mm-dd"),INDEX(인턴계획표[입사일(비고)],$Q113)&amp;""))</f>
        <v/>
      </c>
      <c r="F113">
        <f>IF($Q113="","",IF(IF($G$3="","",INDEX(인턴계획표[[정규화1]:[정규화6]],$Q113,$G$3)&amp;"")="","",IF(LEFT(IF($G$3="","",INDEX(인턴계획표[[정규화1]:[정규화6]],$Q113,$G$3)&amp;""),1)="⚠",IF($G$3="","",INDEX(인턴계획표[[정규화1]:[정규화6]],$Q113,$G$3)&amp;""),IFERROR(LEFT(IF($G$3="","",INDEX(인턴계획표[[정규화1]:[정규화6]],$Q113,$G$3)&amp;""),FIND(" ",IF($G$3="","",INDEX(인턴계획표[[정규화1]:[정규화6]],$Q113,$G$3)&amp;""))-1),IF($G$3="","",INDEX(인턴계획표[[정규화1]:[정규화6]],$Q113,$G$3)&amp;"")))))</f>
        <v/>
      </c>
      <c r="G113">
        <f>IF($Q113="","",IF(IF($G$3="","",INDEX(인턴계획표[[정규화1]:[정규화6]],$Q113,$G$3)&amp;"")="","",IF(LEFT(IF($G$3="","",INDEX(인턴계획표[[정규화1]:[정규화6]],$Q113,$G$3)&amp;""),1)="⚠","",IFERROR(MID(IF($G$3="","",INDEX(인턴계획표[[정규화1]:[정규화6]],$Q113,$G$3)&amp;""),FIND(" ",IF($G$3="","",INDEX(인턴계획표[[정규화1]:[정규화6]],$Q113,$G$3)&amp;""))+1,60),""))))</f>
        <v/>
      </c>
      <c r="H113">
        <f>IF($Q113="","",IF(IF($I$3="","",INDEX(인턴계획표[[정규화1]:[정규화6]],$Q113,$I$3)&amp;"")="","",IF(LEFT(IF($I$3="","",INDEX(인턴계획표[[정규화1]:[정규화6]],$Q113,$I$3)&amp;""),1)="⚠",IF($I$3="","",INDEX(인턴계획표[[정규화1]:[정규화6]],$Q113,$I$3)&amp;""),IFERROR(LEFT(IF($I$3="","",INDEX(인턴계획표[[정규화1]:[정규화6]],$Q113,$I$3)&amp;""),FIND(" ",IF($I$3="","",INDEX(인턴계획표[[정규화1]:[정규화6]],$Q113,$I$3)&amp;""))-1),IF($I$3="","",INDEX(인턴계획표[[정규화1]:[정규화6]],$Q113,$I$3)&amp;"")))))</f>
        <v/>
      </c>
      <c r="I113">
        <f>IF($Q113="","",IF(IF($I$3="","",INDEX(인턴계획표[[정규화1]:[정규화6]],$Q113,$I$3)&amp;"")="","",IF(LEFT(IF($I$3="","",INDEX(인턴계획표[[정규화1]:[정규화6]],$Q113,$I$3)&amp;""),1)="⚠","",IFERROR(MID(IF($I$3="","",INDEX(인턴계획표[[정규화1]:[정규화6]],$Q113,$I$3)&amp;""),FIND(" ",IF($I$3="","",INDEX(인턴계획표[[정규화1]:[정규화6]],$Q113,$I$3)&amp;""))+1,60),""))))</f>
        <v/>
      </c>
      <c r="J113">
        <f>IF($Q113="","",INDEX(인턴계획표[정규화1],$Q113))</f>
        <v/>
      </c>
      <c r="K113">
        <f>IF($Q113="","",INDEX(인턴계획표[정규화2],$Q113))</f>
        <v/>
      </c>
      <c r="L113">
        <f>IF($Q113="","",INDEX(인턴계획표[정규화3],$Q113))</f>
        <v/>
      </c>
      <c r="M113">
        <f>IF($Q113="","",INDEX(인턴계획표[정규화4],$Q113))</f>
        <v/>
      </c>
      <c r="N113">
        <f>IF($Q113="","",INDEX(인턴계획표[정규화5],$Q113))</f>
        <v/>
      </c>
      <c r="O113">
        <f>IF($Q113="","",INDEX(인턴계획표[정규화6],$Q113))</f>
        <v/>
      </c>
      <c r="P113">
        <f>IF($Q113="","",INDEX(인턴계획표[입력오류],$Q113))</f>
        <v/>
      </c>
      <c r="Q113" s="17">
        <f>IFERROR(MATCH(108,인턴계획표[표시순번],0),"")</f>
        <v/>
      </c>
    </row>
    <row r="114">
      <c r="A114">
        <f>IF($Q114="","",INDEX(인턴계획표[순번],$Q114)&amp;"")</f>
        <v/>
      </c>
      <c r="B114">
        <f>IF($Q114="","",TRIM(INDEX(인턴계획표[이름],$Q114)&amp;""))</f>
        <v/>
      </c>
      <c r="C114">
        <f>IF($Q114="","",INDEX(인턴계획표[사번],$Q114)&amp;"")</f>
        <v/>
      </c>
      <c r="D114">
        <f>IF($Q114="","",IF(COUNTIF(기본자료표[사번키],INDEX(인턴계획표[사번키],$Q114))&gt;0,"확인","미등록"))</f>
        <v/>
      </c>
      <c r="E114">
        <f>IF($Q114="","",IF(ISNUMBER(INDEX(인턴계획표[입사일(비고)],$Q114)),TEXT(INDEX(인턴계획표[입사일(비고)],$Q114),"yyyy-mm-dd"),INDEX(인턴계획표[입사일(비고)],$Q114)&amp;""))</f>
        <v/>
      </c>
      <c r="F114">
        <f>IF($Q114="","",IF(IF($G$3="","",INDEX(인턴계획표[[정규화1]:[정규화6]],$Q114,$G$3)&amp;"")="","",IF(LEFT(IF($G$3="","",INDEX(인턴계획표[[정규화1]:[정규화6]],$Q114,$G$3)&amp;""),1)="⚠",IF($G$3="","",INDEX(인턴계획표[[정규화1]:[정규화6]],$Q114,$G$3)&amp;""),IFERROR(LEFT(IF($G$3="","",INDEX(인턴계획표[[정규화1]:[정규화6]],$Q114,$G$3)&amp;""),FIND(" ",IF($G$3="","",INDEX(인턴계획표[[정규화1]:[정규화6]],$Q114,$G$3)&amp;""))-1),IF($G$3="","",INDEX(인턴계획표[[정규화1]:[정규화6]],$Q114,$G$3)&amp;"")))))</f>
        <v/>
      </c>
      <c r="G114">
        <f>IF($Q114="","",IF(IF($G$3="","",INDEX(인턴계획표[[정규화1]:[정규화6]],$Q114,$G$3)&amp;"")="","",IF(LEFT(IF($G$3="","",INDEX(인턴계획표[[정규화1]:[정규화6]],$Q114,$G$3)&amp;""),1)="⚠","",IFERROR(MID(IF($G$3="","",INDEX(인턴계획표[[정규화1]:[정규화6]],$Q114,$G$3)&amp;""),FIND(" ",IF($G$3="","",INDEX(인턴계획표[[정규화1]:[정규화6]],$Q114,$G$3)&amp;""))+1,60),""))))</f>
        <v/>
      </c>
      <c r="H114">
        <f>IF($Q114="","",IF(IF($I$3="","",INDEX(인턴계획표[[정규화1]:[정규화6]],$Q114,$I$3)&amp;"")="","",IF(LEFT(IF($I$3="","",INDEX(인턴계획표[[정규화1]:[정규화6]],$Q114,$I$3)&amp;""),1)="⚠",IF($I$3="","",INDEX(인턴계획표[[정규화1]:[정규화6]],$Q114,$I$3)&amp;""),IFERROR(LEFT(IF($I$3="","",INDEX(인턴계획표[[정규화1]:[정규화6]],$Q114,$I$3)&amp;""),FIND(" ",IF($I$3="","",INDEX(인턴계획표[[정규화1]:[정규화6]],$Q114,$I$3)&amp;""))-1),IF($I$3="","",INDEX(인턴계획표[[정규화1]:[정규화6]],$Q114,$I$3)&amp;"")))))</f>
        <v/>
      </c>
      <c r="I114">
        <f>IF($Q114="","",IF(IF($I$3="","",INDEX(인턴계획표[[정규화1]:[정규화6]],$Q114,$I$3)&amp;"")="","",IF(LEFT(IF($I$3="","",INDEX(인턴계획표[[정규화1]:[정규화6]],$Q114,$I$3)&amp;""),1)="⚠","",IFERROR(MID(IF($I$3="","",INDEX(인턴계획표[[정규화1]:[정규화6]],$Q114,$I$3)&amp;""),FIND(" ",IF($I$3="","",INDEX(인턴계획표[[정규화1]:[정규화6]],$Q114,$I$3)&amp;""))+1,60),""))))</f>
        <v/>
      </c>
      <c r="J114">
        <f>IF($Q114="","",INDEX(인턴계획표[정규화1],$Q114))</f>
        <v/>
      </c>
      <c r="K114">
        <f>IF($Q114="","",INDEX(인턴계획표[정규화2],$Q114))</f>
        <v/>
      </c>
      <c r="L114">
        <f>IF($Q114="","",INDEX(인턴계획표[정규화3],$Q114))</f>
        <v/>
      </c>
      <c r="M114">
        <f>IF($Q114="","",INDEX(인턴계획표[정규화4],$Q114))</f>
        <v/>
      </c>
      <c r="N114">
        <f>IF($Q114="","",INDEX(인턴계획표[정규화5],$Q114))</f>
        <v/>
      </c>
      <c r="O114">
        <f>IF($Q114="","",INDEX(인턴계획표[정규화6],$Q114))</f>
        <v/>
      </c>
      <c r="P114">
        <f>IF($Q114="","",INDEX(인턴계획표[입력오류],$Q114))</f>
        <v/>
      </c>
      <c r="Q114" s="17">
        <f>IFERROR(MATCH(109,인턴계획표[표시순번],0),"")</f>
        <v/>
      </c>
    </row>
    <row r="115">
      <c r="A115">
        <f>IF($Q115="","",INDEX(인턴계획표[순번],$Q115)&amp;"")</f>
        <v/>
      </c>
      <c r="B115">
        <f>IF($Q115="","",TRIM(INDEX(인턴계획표[이름],$Q115)&amp;""))</f>
        <v/>
      </c>
      <c r="C115">
        <f>IF($Q115="","",INDEX(인턴계획표[사번],$Q115)&amp;"")</f>
        <v/>
      </c>
      <c r="D115">
        <f>IF($Q115="","",IF(COUNTIF(기본자료표[사번키],INDEX(인턴계획표[사번키],$Q115))&gt;0,"확인","미등록"))</f>
        <v/>
      </c>
      <c r="E115">
        <f>IF($Q115="","",IF(ISNUMBER(INDEX(인턴계획표[입사일(비고)],$Q115)),TEXT(INDEX(인턴계획표[입사일(비고)],$Q115),"yyyy-mm-dd"),INDEX(인턴계획표[입사일(비고)],$Q115)&amp;""))</f>
        <v/>
      </c>
      <c r="F115">
        <f>IF($Q115="","",IF(IF($G$3="","",INDEX(인턴계획표[[정규화1]:[정규화6]],$Q115,$G$3)&amp;"")="","",IF(LEFT(IF($G$3="","",INDEX(인턴계획표[[정규화1]:[정규화6]],$Q115,$G$3)&amp;""),1)="⚠",IF($G$3="","",INDEX(인턴계획표[[정규화1]:[정규화6]],$Q115,$G$3)&amp;""),IFERROR(LEFT(IF($G$3="","",INDEX(인턴계획표[[정규화1]:[정규화6]],$Q115,$G$3)&amp;""),FIND(" ",IF($G$3="","",INDEX(인턴계획표[[정규화1]:[정규화6]],$Q115,$G$3)&amp;""))-1),IF($G$3="","",INDEX(인턴계획표[[정규화1]:[정규화6]],$Q115,$G$3)&amp;"")))))</f>
        <v/>
      </c>
      <c r="G115">
        <f>IF($Q115="","",IF(IF($G$3="","",INDEX(인턴계획표[[정규화1]:[정규화6]],$Q115,$G$3)&amp;"")="","",IF(LEFT(IF($G$3="","",INDEX(인턴계획표[[정규화1]:[정규화6]],$Q115,$G$3)&amp;""),1)="⚠","",IFERROR(MID(IF($G$3="","",INDEX(인턴계획표[[정규화1]:[정규화6]],$Q115,$G$3)&amp;""),FIND(" ",IF($G$3="","",INDEX(인턴계획표[[정규화1]:[정규화6]],$Q115,$G$3)&amp;""))+1,60),""))))</f>
        <v/>
      </c>
      <c r="H115">
        <f>IF($Q115="","",IF(IF($I$3="","",INDEX(인턴계획표[[정규화1]:[정규화6]],$Q115,$I$3)&amp;"")="","",IF(LEFT(IF($I$3="","",INDEX(인턴계획표[[정규화1]:[정규화6]],$Q115,$I$3)&amp;""),1)="⚠",IF($I$3="","",INDEX(인턴계획표[[정규화1]:[정규화6]],$Q115,$I$3)&amp;""),IFERROR(LEFT(IF($I$3="","",INDEX(인턴계획표[[정규화1]:[정규화6]],$Q115,$I$3)&amp;""),FIND(" ",IF($I$3="","",INDEX(인턴계획표[[정규화1]:[정규화6]],$Q115,$I$3)&amp;""))-1),IF($I$3="","",INDEX(인턴계획표[[정규화1]:[정규화6]],$Q115,$I$3)&amp;"")))))</f>
        <v/>
      </c>
      <c r="I115">
        <f>IF($Q115="","",IF(IF($I$3="","",INDEX(인턴계획표[[정규화1]:[정규화6]],$Q115,$I$3)&amp;"")="","",IF(LEFT(IF($I$3="","",INDEX(인턴계획표[[정규화1]:[정규화6]],$Q115,$I$3)&amp;""),1)="⚠","",IFERROR(MID(IF($I$3="","",INDEX(인턴계획표[[정규화1]:[정규화6]],$Q115,$I$3)&amp;""),FIND(" ",IF($I$3="","",INDEX(인턴계획표[[정규화1]:[정규화6]],$Q115,$I$3)&amp;""))+1,60),""))))</f>
        <v/>
      </c>
      <c r="J115">
        <f>IF($Q115="","",INDEX(인턴계획표[정규화1],$Q115))</f>
        <v/>
      </c>
      <c r="K115">
        <f>IF($Q115="","",INDEX(인턴계획표[정규화2],$Q115))</f>
        <v/>
      </c>
      <c r="L115">
        <f>IF($Q115="","",INDEX(인턴계획표[정규화3],$Q115))</f>
        <v/>
      </c>
      <c r="M115">
        <f>IF($Q115="","",INDEX(인턴계획표[정규화4],$Q115))</f>
        <v/>
      </c>
      <c r="N115">
        <f>IF($Q115="","",INDEX(인턴계획표[정규화5],$Q115))</f>
        <v/>
      </c>
      <c r="O115">
        <f>IF($Q115="","",INDEX(인턴계획표[정규화6],$Q115))</f>
        <v/>
      </c>
      <c r="P115">
        <f>IF($Q115="","",INDEX(인턴계획표[입력오류],$Q115))</f>
        <v/>
      </c>
      <c r="Q115" s="17">
        <f>IFERROR(MATCH(110,인턴계획표[표시순번],0),"")</f>
        <v/>
      </c>
    </row>
    <row r="116">
      <c r="A116">
        <f>IF($Q116="","",INDEX(인턴계획표[순번],$Q116)&amp;"")</f>
        <v/>
      </c>
      <c r="B116">
        <f>IF($Q116="","",TRIM(INDEX(인턴계획표[이름],$Q116)&amp;""))</f>
        <v/>
      </c>
      <c r="C116">
        <f>IF($Q116="","",INDEX(인턴계획표[사번],$Q116)&amp;"")</f>
        <v/>
      </c>
      <c r="D116">
        <f>IF($Q116="","",IF(COUNTIF(기본자료표[사번키],INDEX(인턴계획표[사번키],$Q116))&gt;0,"확인","미등록"))</f>
        <v/>
      </c>
      <c r="E116">
        <f>IF($Q116="","",IF(ISNUMBER(INDEX(인턴계획표[입사일(비고)],$Q116)),TEXT(INDEX(인턴계획표[입사일(비고)],$Q116),"yyyy-mm-dd"),INDEX(인턴계획표[입사일(비고)],$Q116)&amp;""))</f>
        <v/>
      </c>
      <c r="F116">
        <f>IF($Q116="","",IF(IF($G$3="","",INDEX(인턴계획표[[정규화1]:[정규화6]],$Q116,$G$3)&amp;"")="","",IF(LEFT(IF($G$3="","",INDEX(인턴계획표[[정규화1]:[정규화6]],$Q116,$G$3)&amp;""),1)="⚠",IF($G$3="","",INDEX(인턴계획표[[정규화1]:[정규화6]],$Q116,$G$3)&amp;""),IFERROR(LEFT(IF($G$3="","",INDEX(인턴계획표[[정규화1]:[정규화6]],$Q116,$G$3)&amp;""),FIND(" ",IF($G$3="","",INDEX(인턴계획표[[정규화1]:[정규화6]],$Q116,$G$3)&amp;""))-1),IF($G$3="","",INDEX(인턴계획표[[정규화1]:[정규화6]],$Q116,$G$3)&amp;"")))))</f>
        <v/>
      </c>
      <c r="G116">
        <f>IF($Q116="","",IF(IF($G$3="","",INDEX(인턴계획표[[정규화1]:[정규화6]],$Q116,$G$3)&amp;"")="","",IF(LEFT(IF($G$3="","",INDEX(인턴계획표[[정규화1]:[정규화6]],$Q116,$G$3)&amp;""),1)="⚠","",IFERROR(MID(IF($G$3="","",INDEX(인턴계획표[[정규화1]:[정규화6]],$Q116,$G$3)&amp;""),FIND(" ",IF($G$3="","",INDEX(인턴계획표[[정규화1]:[정규화6]],$Q116,$G$3)&amp;""))+1,60),""))))</f>
        <v/>
      </c>
      <c r="H116">
        <f>IF($Q116="","",IF(IF($I$3="","",INDEX(인턴계획표[[정규화1]:[정규화6]],$Q116,$I$3)&amp;"")="","",IF(LEFT(IF($I$3="","",INDEX(인턴계획표[[정규화1]:[정규화6]],$Q116,$I$3)&amp;""),1)="⚠",IF($I$3="","",INDEX(인턴계획표[[정규화1]:[정규화6]],$Q116,$I$3)&amp;""),IFERROR(LEFT(IF($I$3="","",INDEX(인턴계획표[[정규화1]:[정규화6]],$Q116,$I$3)&amp;""),FIND(" ",IF($I$3="","",INDEX(인턴계획표[[정규화1]:[정규화6]],$Q116,$I$3)&amp;""))-1),IF($I$3="","",INDEX(인턴계획표[[정규화1]:[정규화6]],$Q116,$I$3)&amp;"")))))</f>
        <v/>
      </c>
      <c r="I116">
        <f>IF($Q116="","",IF(IF($I$3="","",INDEX(인턴계획표[[정규화1]:[정규화6]],$Q116,$I$3)&amp;"")="","",IF(LEFT(IF($I$3="","",INDEX(인턴계획표[[정규화1]:[정규화6]],$Q116,$I$3)&amp;""),1)="⚠","",IFERROR(MID(IF($I$3="","",INDEX(인턴계획표[[정규화1]:[정규화6]],$Q116,$I$3)&amp;""),FIND(" ",IF($I$3="","",INDEX(인턴계획표[[정규화1]:[정규화6]],$Q116,$I$3)&amp;""))+1,60),""))))</f>
        <v/>
      </c>
      <c r="J116">
        <f>IF($Q116="","",INDEX(인턴계획표[정규화1],$Q116))</f>
        <v/>
      </c>
      <c r="K116">
        <f>IF($Q116="","",INDEX(인턴계획표[정규화2],$Q116))</f>
        <v/>
      </c>
      <c r="L116">
        <f>IF($Q116="","",INDEX(인턴계획표[정규화3],$Q116))</f>
        <v/>
      </c>
      <c r="M116">
        <f>IF($Q116="","",INDEX(인턴계획표[정규화4],$Q116))</f>
        <v/>
      </c>
      <c r="N116">
        <f>IF($Q116="","",INDEX(인턴계획표[정규화5],$Q116))</f>
        <v/>
      </c>
      <c r="O116">
        <f>IF($Q116="","",INDEX(인턴계획표[정규화6],$Q116))</f>
        <v/>
      </c>
      <c r="P116">
        <f>IF($Q116="","",INDEX(인턴계획표[입력오류],$Q116))</f>
        <v/>
      </c>
      <c r="Q116" s="17">
        <f>IFERROR(MATCH(111,인턴계획표[표시순번],0),"")</f>
        <v/>
      </c>
    </row>
    <row r="117">
      <c r="A117">
        <f>IF($Q117="","",INDEX(인턴계획표[순번],$Q117)&amp;"")</f>
        <v/>
      </c>
      <c r="B117">
        <f>IF($Q117="","",TRIM(INDEX(인턴계획표[이름],$Q117)&amp;""))</f>
        <v/>
      </c>
      <c r="C117">
        <f>IF($Q117="","",INDEX(인턴계획표[사번],$Q117)&amp;"")</f>
        <v/>
      </c>
      <c r="D117">
        <f>IF($Q117="","",IF(COUNTIF(기본자료표[사번키],INDEX(인턴계획표[사번키],$Q117))&gt;0,"확인","미등록"))</f>
        <v/>
      </c>
      <c r="E117">
        <f>IF($Q117="","",IF(ISNUMBER(INDEX(인턴계획표[입사일(비고)],$Q117)),TEXT(INDEX(인턴계획표[입사일(비고)],$Q117),"yyyy-mm-dd"),INDEX(인턴계획표[입사일(비고)],$Q117)&amp;""))</f>
        <v/>
      </c>
      <c r="F117">
        <f>IF($Q117="","",IF(IF($G$3="","",INDEX(인턴계획표[[정규화1]:[정규화6]],$Q117,$G$3)&amp;"")="","",IF(LEFT(IF($G$3="","",INDEX(인턴계획표[[정규화1]:[정규화6]],$Q117,$G$3)&amp;""),1)="⚠",IF($G$3="","",INDEX(인턴계획표[[정규화1]:[정규화6]],$Q117,$G$3)&amp;""),IFERROR(LEFT(IF($G$3="","",INDEX(인턴계획표[[정규화1]:[정규화6]],$Q117,$G$3)&amp;""),FIND(" ",IF($G$3="","",INDEX(인턴계획표[[정규화1]:[정규화6]],$Q117,$G$3)&amp;""))-1),IF($G$3="","",INDEX(인턴계획표[[정규화1]:[정규화6]],$Q117,$G$3)&amp;"")))))</f>
        <v/>
      </c>
      <c r="G117">
        <f>IF($Q117="","",IF(IF($G$3="","",INDEX(인턴계획표[[정규화1]:[정규화6]],$Q117,$G$3)&amp;"")="","",IF(LEFT(IF($G$3="","",INDEX(인턴계획표[[정규화1]:[정규화6]],$Q117,$G$3)&amp;""),1)="⚠","",IFERROR(MID(IF($G$3="","",INDEX(인턴계획표[[정규화1]:[정규화6]],$Q117,$G$3)&amp;""),FIND(" ",IF($G$3="","",INDEX(인턴계획표[[정규화1]:[정규화6]],$Q117,$G$3)&amp;""))+1,60),""))))</f>
        <v/>
      </c>
      <c r="H117">
        <f>IF($Q117="","",IF(IF($I$3="","",INDEX(인턴계획표[[정규화1]:[정규화6]],$Q117,$I$3)&amp;"")="","",IF(LEFT(IF($I$3="","",INDEX(인턴계획표[[정규화1]:[정규화6]],$Q117,$I$3)&amp;""),1)="⚠",IF($I$3="","",INDEX(인턴계획표[[정규화1]:[정규화6]],$Q117,$I$3)&amp;""),IFERROR(LEFT(IF($I$3="","",INDEX(인턴계획표[[정규화1]:[정규화6]],$Q117,$I$3)&amp;""),FIND(" ",IF($I$3="","",INDEX(인턴계획표[[정규화1]:[정규화6]],$Q117,$I$3)&amp;""))-1),IF($I$3="","",INDEX(인턴계획표[[정규화1]:[정규화6]],$Q117,$I$3)&amp;"")))))</f>
        <v/>
      </c>
      <c r="I117">
        <f>IF($Q117="","",IF(IF($I$3="","",INDEX(인턴계획표[[정규화1]:[정규화6]],$Q117,$I$3)&amp;"")="","",IF(LEFT(IF($I$3="","",INDEX(인턴계획표[[정규화1]:[정규화6]],$Q117,$I$3)&amp;""),1)="⚠","",IFERROR(MID(IF($I$3="","",INDEX(인턴계획표[[정규화1]:[정규화6]],$Q117,$I$3)&amp;""),FIND(" ",IF($I$3="","",INDEX(인턴계획표[[정규화1]:[정규화6]],$Q117,$I$3)&amp;""))+1,60),""))))</f>
        <v/>
      </c>
      <c r="J117">
        <f>IF($Q117="","",INDEX(인턴계획표[정규화1],$Q117))</f>
        <v/>
      </c>
      <c r="K117">
        <f>IF($Q117="","",INDEX(인턴계획표[정규화2],$Q117))</f>
        <v/>
      </c>
      <c r="L117">
        <f>IF($Q117="","",INDEX(인턴계획표[정규화3],$Q117))</f>
        <v/>
      </c>
      <c r="M117">
        <f>IF($Q117="","",INDEX(인턴계획표[정규화4],$Q117))</f>
        <v/>
      </c>
      <c r="N117">
        <f>IF($Q117="","",INDEX(인턴계획표[정규화5],$Q117))</f>
        <v/>
      </c>
      <c r="O117">
        <f>IF($Q117="","",INDEX(인턴계획표[정규화6],$Q117))</f>
        <v/>
      </c>
      <c r="P117">
        <f>IF($Q117="","",INDEX(인턴계획표[입력오류],$Q117))</f>
        <v/>
      </c>
      <c r="Q117" s="17">
        <f>IFERROR(MATCH(112,인턴계획표[표시순번],0),"")</f>
        <v/>
      </c>
    </row>
    <row r="118">
      <c r="A118">
        <f>IF($Q118="","",INDEX(인턴계획표[순번],$Q118)&amp;"")</f>
        <v/>
      </c>
      <c r="B118">
        <f>IF($Q118="","",TRIM(INDEX(인턴계획표[이름],$Q118)&amp;""))</f>
        <v/>
      </c>
      <c r="C118">
        <f>IF($Q118="","",INDEX(인턴계획표[사번],$Q118)&amp;"")</f>
        <v/>
      </c>
      <c r="D118">
        <f>IF($Q118="","",IF(COUNTIF(기본자료표[사번키],INDEX(인턴계획표[사번키],$Q118))&gt;0,"확인","미등록"))</f>
        <v/>
      </c>
      <c r="E118">
        <f>IF($Q118="","",IF(ISNUMBER(INDEX(인턴계획표[입사일(비고)],$Q118)),TEXT(INDEX(인턴계획표[입사일(비고)],$Q118),"yyyy-mm-dd"),INDEX(인턴계획표[입사일(비고)],$Q118)&amp;""))</f>
        <v/>
      </c>
      <c r="F118">
        <f>IF($Q118="","",IF(IF($G$3="","",INDEX(인턴계획표[[정규화1]:[정규화6]],$Q118,$G$3)&amp;"")="","",IF(LEFT(IF($G$3="","",INDEX(인턴계획표[[정규화1]:[정규화6]],$Q118,$G$3)&amp;""),1)="⚠",IF($G$3="","",INDEX(인턴계획표[[정규화1]:[정규화6]],$Q118,$G$3)&amp;""),IFERROR(LEFT(IF($G$3="","",INDEX(인턴계획표[[정규화1]:[정규화6]],$Q118,$G$3)&amp;""),FIND(" ",IF($G$3="","",INDEX(인턴계획표[[정규화1]:[정규화6]],$Q118,$G$3)&amp;""))-1),IF($G$3="","",INDEX(인턴계획표[[정규화1]:[정규화6]],$Q118,$G$3)&amp;"")))))</f>
        <v/>
      </c>
      <c r="G118">
        <f>IF($Q118="","",IF(IF($G$3="","",INDEX(인턴계획표[[정규화1]:[정규화6]],$Q118,$G$3)&amp;"")="","",IF(LEFT(IF($G$3="","",INDEX(인턴계획표[[정규화1]:[정규화6]],$Q118,$G$3)&amp;""),1)="⚠","",IFERROR(MID(IF($G$3="","",INDEX(인턴계획표[[정규화1]:[정규화6]],$Q118,$G$3)&amp;""),FIND(" ",IF($G$3="","",INDEX(인턴계획표[[정규화1]:[정규화6]],$Q118,$G$3)&amp;""))+1,60),""))))</f>
        <v/>
      </c>
      <c r="H118">
        <f>IF($Q118="","",IF(IF($I$3="","",INDEX(인턴계획표[[정규화1]:[정규화6]],$Q118,$I$3)&amp;"")="","",IF(LEFT(IF($I$3="","",INDEX(인턴계획표[[정규화1]:[정규화6]],$Q118,$I$3)&amp;""),1)="⚠",IF($I$3="","",INDEX(인턴계획표[[정규화1]:[정규화6]],$Q118,$I$3)&amp;""),IFERROR(LEFT(IF($I$3="","",INDEX(인턴계획표[[정규화1]:[정규화6]],$Q118,$I$3)&amp;""),FIND(" ",IF($I$3="","",INDEX(인턴계획표[[정규화1]:[정규화6]],$Q118,$I$3)&amp;""))-1),IF($I$3="","",INDEX(인턴계획표[[정규화1]:[정규화6]],$Q118,$I$3)&amp;"")))))</f>
        <v/>
      </c>
      <c r="I118">
        <f>IF($Q118="","",IF(IF($I$3="","",INDEX(인턴계획표[[정규화1]:[정규화6]],$Q118,$I$3)&amp;"")="","",IF(LEFT(IF($I$3="","",INDEX(인턴계획표[[정규화1]:[정규화6]],$Q118,$I$3)&amp;""),1)="⚠","",IFERROR(MID(IF($I$3="","",INDEX(인턴계획표[[정규화1]:[정규화6]],$Q118,$I$3)&amp;""),FIND(" ",IF($I$3="","",INDEX(인턴계획표[[정규화1]:[정규화6]],$Q118,$I$3)&amp;""))+1,60),""))))</f>
        <v/>
      </c>
      <c r="J118">
        <f>IF($Q118="","",INDEX(인턴계획표[정규화1],$Q118))</f>
        <v/>
      </c>
      <c r="K118">
        <f>IF($Q118="","",INDEX(인턴계획표[정규화2],$Q118))</f>
        <v/>
      </c>
      <c r="L118">
        <f>IF($Q118="","",INDEX(인턴계획표[정규화3],$Q118))</f>
        <v/>
      </c>
      <c r="M118">
        <f>IF($Q118="","",INDEX(인턴계획표[정규화4],$Q118))</f>
        <v/>
      </c>
      <c r="N118">
        <f>IF($Q118="","",INDEX(인턴계획표[정규화5],$Q118))</f>
        <v/>
      </c>
      <c r="O118">
        <f>IF($Q118="","",INDEX(인턴계획표[정규화6],$Q118))</f>
        <v/>
      </c>
      <c r="P118">
        <f>IF($Q118="","",INDEX(인턴계획표[입력오류],$Q118))</f>
        <v/>
      </c>
      <c r="Q118" s="17">
        <f>IFERROR(MATCH(113,인턴계획표[표시순번],0),"")</f>
        <v/>
      </c>
    </row>
    <row r="119">
      <c r="A119">
        <f>IF($Q119="","",INDEX(인턴계획표[순번],$Q119)&amp;"")</f>
        <v/>
      </c>
      <c r="B119">
        <f>IF($Q119="","",TRIM(INDEX(인턴계획표[이름],$Q119)&amp;""))</f>
        <v/>
      </c>
      <c r="C119">
        <f>IF($Q119="","",INDEX(인턴계획표[사번],$Q119)&amp;"")</f>
        <v/>
      </c>
      <c r="D119">
        <f>IF($Q119="","",IF(COUNTIF(기본자료표[사번키],INDEX(인턴계획표[사번키],$Q119))&gt;0,"확인","미등록"))</f>
        <v/>
      </c>
      <c r="E119">
        <f>IF($Q119="","",IF(ISNUMBER(INDEX(인턴계획표[입사일(비고)],$Q119)),TEXT(INDEX(인턴계획표[입사일(비고)],$Q119),"yyyy-mm-dd"),INDEX(인턴계획표[입사일(비고)],$Q119)&amp;""))</f>
        <v/>
      </c>
      <c r="F119">
        <f>IF($Q119="","",IF(IF($G$3="","",INDEX(인턴계획표[[정규화1]:[정규화6]],$Q119,$G$3)&amp;"")="","",IF(LEFT(IF($G$3="","",INDEX(인턴계획표[[정규화1]:[정규화6]],$Q119,$G$3)&amp;""),1)="⚠",IF($G$3="","",INDEX(인턴계획표[[정규화1]:[정규화6]],$Q119,$G$3)&amp;""),IFERROR(LEFT(IF($G$3="","",INDEX(인턴계획표[[정규화1]:[정규화6]],$Q119,$G$3)&amp;""),FIND(" ",IF($G$3="","",INDEX(인턴계획표[[정규화1]:[정규화6]],$Q119,$G$3)&amp;""))-1),IF($G$3="","",INDEX(인턴계획표[[정규화1]:[정규화6]],$Q119,$G$3)&amp;"")))))</f>
        <v/>
      </c>
      <c r="G119">
        <f>IF($Q119="","",IF(IF($G$3="","",INDEX(인턴계획표[[정규화1]:[정규화6]],$Q119,$G$3)&amp;"")="","",IF(LEFT(IF($G$3="","",INDEX(인턴계획표[[정규화1]:[정규화6]],$Q119,$G$3)&amp;""),1)="⚠","",IFERROR(MID(IF($G$3="","",INDEX(인턴계획표[[정규화1]:[정규화6]],$Q119,$G$3)&amp;""),FIND(" ",IF($G$3="","",INDEX(인턴계획표[[정규화1]:[정규화6]],$Q119,$G$3)&amp;""))+1,60),""))))</f>
        <v/>
      </c>
      <c r="H119">
        <f>IF($Q119="","",IF(IF($I$3="","",INDEX(인턴계획표[[정규화1]:[정규화6]],$Q119,$I$3)&amp;"")="","",IF(LEFT(IF($I$3="","",INDEX(인턴계획표[[정규화1]:[정규화6]],$Q119,$I$3)&amp;""),1)="⚠",IF($I$3="","",INDEX(인턴계획표[[정규화1]:[정규화6]],$Q119,$I$3)&amp;""),IFERROR(LEFT(IF($I$3="","",INDEX(인턴계획표[[정규화1]:[정규화6]],$Q119,$I$3)&amp;""),FIND(" ",IF($I$3="","",INDEX(인턴계획표[[정규화1]:[정규화6]],$Q119,$I$3)&amp;""))-1),IF($I$3="","",INDEX(인턴계획표[[정규화1]:[정규화6]],$Q119,$I$3)&amp;"")))))</f>
        <v/>
      </c>
      <c r="I119">
        <f>IF($Q119="","",IF(IF($I$3="","",INDEX(인턴계획표[[정규화1]:[정규화6]],$Q119,$I$3)&amp;"")="","",IF(LEFT(IF($I$3="","",INDEX(인턴계획표[[정규화1]:[정규화6]],$Q119,$I$3)&amp;""),1)="⚠","",IFERROR(MID(IF($I$3="","",INDEX(인턴계획표[[정규화1]:[정규화6]],$Q119,$I$3)&amp;""),FIND(" ",IF($I$3="","",INDEX(인턴계획표[[정규화1]:[정규화6]],$Q119,$I$3)&amp;""))+1,60),""))))</f>
        <v/>
      </c>
      <c r="J119">
        <f>IF($Q119="","",INDEX(인턴계획표[정규화1],$Q119))</f>
        <v/>
      </c>
      <c r="K119">
        <f>IF($Q119="","",INDEX(인턴계획표[정규화2],$Q119))</f>
        <v/>
      </c>
      <c r="L119">
        <f>IF($Q119="","",INDEX(인턴계획표[정규화3],$Q119))</f>
        <v/>
      </c>
      <c r="M119">
        <f>IF($Q119="","",INDEX(인턴계획표[정규화4],$Q119))</f>
        <v/>
      </c>
      <c r="N119">
        <f>IF($Q119="","",INDEX(인턴계획표[정규화5],$Q119))</f>
        <v/>
      </c>
      <c r="O119">
        <f>IF($Q119="","",INDEX(인턴계획표[정규화6],$Q119))</f>
        <v/>
      </c>
      <c r="P119">
        <f>IF($Q119="","",INDEX(인턴계획표[입력오류],$Q119))</f>
        <v/>
      </c>
      <c r="Q119" s="17">
        <f>IFERROR(MATCH(114,인턴계획표[표시순번],0),"")</f>
        <v/>
      </c>
    </row>
    <row r="120">
      <c r="A120">
        <f>IF($Q120="","",INDEX(인턴계획표[순번],$Q120)&amp;"")</f>
        <v/>
      </c>
      <c r="B120">
        <f>IF($Q120="","",TRIM(INDEX(인턴계획표[이름],$Q120)&amp;""))</f>
        <v/>
      </c>
      <c r="C120">
        <f>IF($Q120="","",INDEX(인턴계획표[사번],$Q120)&amp;"")</f>
        <v/>
      </c>
      <c r="D120">
        <f>IF($Q120="","",IF(COUNTIF(기본자료표[사번키],INDEX(인턴계획표[사번키],$Q120))&gt;0,"확인","미등록"))</f>
        <v/>
      </c>
      <c r="E120">
        <f>IF($Q120="","",IF(ISNUMBER(INDEX(인턴계획표[입사일(비고)],$Q120)),TEXT(INDEX(인턴계획표[입사일(비고)],$Q120),"yyyy-mm-dd"),INDEX(인턴계획표[입사일(비고)],$Q120)&amp;""))</f>
        <v/>
      </c>
      <c r="F120">
        <f>IF($Q120="","",IF(IF($G$3="","",INDEX(인턴계획표[[정규화1]:[정규화6]],$Q120,$G$3)&amp;"")="","",IF(LEFT(IF($G$3="","",INDEX(인턴계획표[[정규화1]:[정규화6]],$Q120,$G$3)&amp;""),1)="⚠",IF($G$3="","",INDEX(인턴계획표[[정규화1]:[정규화6]],$Q120,$G$3)&amp;""),IFERROR(LEFT(IF($G$3="","",INDEX(인턴계획표[[정규화1]:[정규화6]],$Q120,$G$3)&amp;""),FIND(" ",IF($G$3="","",INDEX(인턴계획표[[정규화1]:[정규화6]],$Q120,$G$3)&amp;""))-1),IF($G$3="","",INDEX(인턴계획표[[정규화1]:[정규화6]],$Q120,$G$3)&amp;"")))))</f>
        <v/>
      </c>
      <c r="G120">
        <f>IF($Q120="","",IF(IF($G$3="","",INDEX(인턴계획표[[정규화1]:[정규화6]],$Q120,$G$3)&amp;"")="","",IF(LEFT(IF($G$3="","",INDEX(인턴계획표[[정규화1]:[정규화6]],$Q120,$G$3)&amp;""),1)="⚠","",IFERROR(MID(IF($G$3="","",INDEX(인턴계획표[[정규화1]:[정규화6]],$Q120,$G$3)&amp;""),FIND(" ",IF($G$3="","",INDEX(인턴계획표[[정규화1]:[정규화6]],$Q120,$G$3)&amp;""))+1,60),""))))</f>
        <v/>
      </c>
      <c r="H120">
        <f>IF($Q120="","",IF(IF($I$3="","",INDEX(인턴계획표[[정규화1]:[정규화6]],$Q120,$I$3)&amp;"")="","",IF(LEFT(IF($I$3="","",INDEX(인턴계획표[[정규화1]:[정규화6]],$Q120,$I$3)&amp;""),1)="⚠",IF($I$3="","",INDEX(인턴계획표[[정규화1]:[정규화6]],$Q120,$I$3)&amp;""),IFERROR(LEFT(IF($I$3="","",INDEX(인턴계획표[[정규화1]:[정규화6]],$Q120,$I$3)&amp;""),FIND(" ",IF($I$3="","",INDEX(인턴계획표[[정규화1]:[정규화6]],$Q120,$I$3)&amp;""))-1),IF($I$3="","",INDEX(인턴계획표[[정규화1]:[정규화6]],$Q120,$I$3)&amp;"")))))</f>
        <v/>
      </c>
      <c r="I120">
        <f>IF($Q120="","",IF(IF($I$3="","",INDEX(인턴계획표[[정규화1]:[정규화6]],$Q120,$I$3)&amp;"")="","",IF(LEFT(IF($I$3="","",INDEX(인턴계획표[[정규화1]:[정규화6]],$Q120,$I$3)&amp;""),1)="⚠","",IFERROR(MID(IF($I$3="","",INDEX(인턴계획표[[정규화1]:[정규화6]],$Q120,$I$3)&amp;""),FIND(" ",IF($I$3="","",INDEX(인턴계획표[[정규화1]:[정규화6]],$Q120,$I$3)&amp;""))+1,60),""))))</f>
        <v/>
      </c>
      <c r="J120">
        <f>IF($Q120="","",INDEX(인턴계획표[정규화1],$Q120))</f>
        <v/>
      </c>
      <c r="K120">
        <f>IF($Q120="","",INDEX(인턴계획표[정규화2],$Q120))</f>
        <v/>
      </c>
      <c r="L120">
        <f>IF($Q120="","",INDEX(인턴계획표[정규화3],$Q120))</f>
        <v/>
      </c>
      <c r="M120">
        <f>IF($Q120="","",INDEX(인턴계획표[정규화4],$Q120))</f>
        <v/>
      </c>
      <c r="N120">
        <f>IF($Q120="","",INDEX(인턴계획표[정규화5],$Q120))</f>
        <v/>
      </c>
      <c r="O120">
        <f>IF($Q120="","",INDEX(인턴계획표[정규화6],$Q120))</f>
        <v/>
      </c>
      <c r="P120">
        <f>IF($Q120="","",INDEX(인턴계획표[입력오류],$Q120))</f>
        <v/>
      </c>
      <c r="Q120" s="17">
        <f>IFERROR(MATCH(115,인턴계획표[표시순번],0),"")</f>
        <v/>
      </c>
    </row>
    <row r="121">
      <c r="A121">
        <f>IF($Q121="","",INDEX(인턴계획표[순번],$Q121)&amp;"")</f>
        <v/>
      </c>
      <c r="B121">
        <f>IF($Q121="","",TRIM(INDEX(인턴계획표[이름],$Q121)&amp;""))</f>
        <v/>
      </c>
      <c r="C121">
        <f>IF($Q121="","",INDEX(인턴계획표[사번],$Q121)&amp;"")</f>
        <v/>
      </c>
      <c r="D121">
        <f>IF($Q121="","",IF(COUNTIF(기본자료표[사번키],INDEX(인턴계획표[사번키],$Q121))&gt;0,"확인","미등록"))</f>
        <v/>
      </c>
      <c r="E121">
        <f>IF($Q121="","",IF(ISNUMBER(INDEX(인턴계획표[입사일(비고)],$Q121)),TEXT(INDEX(인턴계획표[입사일(비고)],$Q121),"yyyy-mm-dd"),INDEX(인턴계획표[입사일(비고)],$Q121)&amp;""))</f>
        <v/>
      </c>
      <c r="F121">
        <f>IF($Q121="","",IF(IF($G$3="","",INDEX(인턴계획표[[정규화1]:[정규화6]],$Q121,$G$3)&amp;"")="","",IF(LEFT(IF($G$3="","",INDEX(인턴계획표[[정규화1]:[정규화6]],$Q121,$G$3)&amp;""),1)="⚠",IF($G$3="","",INDEX(인턴계획표[[정규화1]:[정규화6]],$Q121,$G$3)&amp;""),IFERROR(LEFT(IF($G$3="","",INDEX(인턴계획표[[정규화1]:[정규화6]],$Q121,$G$3)&amp;""),FIND(" ",IF($G$3="","",INDEX(인턴계획표[[정규화1]:[정규화6]],$Q121,$G$3)&amp;""))-1),IF($G$3="","",INDEX(인턴계획표[[정규화1]:[정규화6]],$Q121,$G$3)&amp;"")))))</f>
        <v/>
      </c>
      <c r="G121">
        <f>IF($Q121="","",IF(IF($G$3="","",INDEX(인턴계획표[[정규화1]:[정규화6]],$Q121,$G$3)&amp;"")="","",IF(LEFT(IF($G$3="","",INDEX(인턴계획표[[정규화1]:[정규화6]],$Q121,$G$3)&amp;""),1)="⚠","",IFERROR(MID(IF($G$3="","",INDEX(인턴계획표[[정규화1]:[정규화6]],$Q121,$G$3)&amp;""),FIND(" ",IF($G$3="","",INDEX(인턴계획표[[정규화1]:[정규화6]],$Q121,$G$3)&amp;""))+1,60),""))))</f>
        <v/>
      </c>
      <c r="H121">
        <f>IF($Q121="","",IF(IF($I$3="","",INDEX(인턴계획표[[정규화1]:[정규화6]],$Q121,$I$3)&amp;"")="","",IF(LEFT(IF($I$3="","",INDEX(인턴계획표[[정규화1]:[정규화6]],$Q121,$I$3)&amp;""),1)="⚠",IF($I$3="","",INDEX(인턴계획표[[정규화1]:[정규화6]],$Q121,$I$3)&amp;""),IFERROR(LEFT(IF($I$3="","",INDEX(인턴계획표[[정규화1]:[정규화6]],$Q121,$I$3)&amp;""),FIND(" ",IF($I$3="","",INDEX(인턴계획표[[정규화1]:[정규화6]],$Q121,$I$3)&amp;""))-1),IF($I$3="","",INDEX(인턴계획표[[정규화1]:[정규화6]],$Q121,$I$3)&amp;"")))))</f>
        <v/>
      </c>
      <c r="I121">
        <f>IF($Q121="","",IF(IF($I$3="","",INDEX(인턴계획표[[정규화1]:[정규화6]],$Q121,$I$3)&amp;"")="","",IF(LEFT(IF($I$3="","",INDEX(인턴계획표[[정규화1]:[정규화6]],$Q121,$I$3)&amp;""),1)="⚠","",IFERROR(MID(IF($I$3="","",INDEX(인턴계획표[[정규화1]:[정규화6]],$Q121,$I$3)&amp;""),FIND(" ",IF($I$3="","",INDEX(인턴계획표[[정규화1]:[정규화6]],$Q121,$I$3)&amp;""))+1,60),""))))</f>
        <v/>
      </c>
      <c r="J121">
        <f>IF($Q121="","",INDEX(인턴계획표[정규화1],$Q121))</f>
        <v/>
      </c>
      <c r="K121">
        <f>IF($Q121="","",INDEX(인턴계획표[정규화2],$Q121))</f>
        <v/>
      </c>
      <c r="L121">
        <f>IF($Q121="","",INDEX(인턴계획표[정규화3],$Q121))</f>
        <v/>
      </c>
      <c r="M121">
        <f>IF($Q121="","",INDEX(인턴계획표[정규화4],$Q121))</f>
        <v/>
      </c>
      <c r="N121">
        <f>IF($Q121="","",INDEX(인턴계획표[정규화5],$Q121))</f>
        <v/>
      </c>
      <c r="O121">
        <f>IF($Q121="","",INDEX(인턴계획표[정규화6],$Q121))</f>
        <v/>
      </c>
      <c r="P121">
        <f>IF($Q121="","",INDEX(인턴계획표[입력오류],$Q121))</f>
        <v/>
      </c>
      <c r="Q121" s="17">
        <f>IFERROR(MATCH(116,인턴계획표[표시순번],0),"")</f>
        <v/>
      </c>
    </row>
    <row r="122">
      <c r="A122">
        <f>IF($Q122="","",INDEX(인턴계획표[순번],$Q122)&amp;"")</f>
        <v/>
      </c>
      <c r="B122">
        <f>IF($Q122="","",TRIM(INDEX(인턴계획표[이름],$Q122)&amp;""))</f>
        <v/>
      </c>
      <c r="C122">
        <f>IF($Q122="","",INDEX(인턴계획표[사번],$Q122)&amp;"")</f>
        <v/>
      </c>
      <c r="D122">
        <f>IF($Q122="","",IF(COUNTIF(기본자료표[사번키],INDEX(인턴계획표[사번키],$Q122))&gt;0,"확인","미등록"))</f>
        <v/>
      </c>
      <c r="E122">
        <f>IF($Q122="","",IF(ISNUMBER(INDEX(인턴계획표[입사일(비고)],$Q122)),TEXT(INDEX(인턴계획표[입사일(비고)],$Q122),"yyyy-mm-dd"),INDEX(인턴계획표[입사일(비고)],$Q122)&amp;""))</f>
        <v/>
      </c>
      <c r="F122">
        <f>IF($Q122="","",IF(IF($G$3="","",INDEX(인턴계획표[[정규화1]:[정규화6]],$Q122,$G$3)&amp;"")="","",IF(LEFT(IF($G$3="","",INDEX(인턴계획표[[정규화1]:[정규화6]],$Q122,$G$3)&amp;""),1)="⚠",IF($G$3="","",INDEX(인턴계획표[[정규화1]:[정규화6]],$Q122,$G$3)&amp;""),IFERROR(LEFT(IF($G$3="","",INDEX(인턴계획표[[정규화1]:[정규화6]],$Q122,$G$3)&amp;""),FIND(" ",IF($G$3="","",INDEX(인턴계획표[[정규화1]:[정규화6]],$Q122,$G$3)&amp;""))-1),IF($G$3="","",INDEX(인턴계획표[[정규화1]:[정규화6]],$Q122,$G$3)&amp;"")))))</f>
        <v/>
      </c>
      <c r="G122">
        <f>IF($Q122="","",IF(IF($G$3="","",INDEX(인턴계획표[[정규화1]:[정규화6]],$Q122,$G$3)&amp;"")="","",IF(LEFT(IF($G$3="","",INDEX(인턴계획표[[정규화1]:[정규화6]],$Q122,$G$3)&amp;""),1)="⚠","",IFERROR(MID(IF($G$3="","",INDEX(인턴계획표[[정규화1]:[정규화6]],$Q122,$G$3)&amp;""),FIND(" ",IF($G$3="","",INDEX(인턴계획표[[정규화1]:[정규화6]],$Q122,$G$3)&amp;""))+1,60),""))))</f>
        <v/>
      </c>
      <c r="H122">
        <f>IF($Q122="","",IF(IF($I$3="","",INDEX(인턴계획표[[정규화1]:[정규화6]],$Q122,$I$3)&amp;"")="","",IF(LEFT(IF($I$3="","",INDEX(인턴계획표[[정규화1]:[정규화6]],$Q122,$I$3)&amp;""),1)="⚠",IF($I$3="","",INDEX(인턴계획표[[정규화1]:[정규화6]],$Q122,$I$3)&amp;""),IFERROR(LEFT(IF($I$3="","",INDEX(인턴계획표[[정규화1]:[정규화6]],$Q122,$I$3)&amp;""),FIND(" ",IF($I$3="","",INDEX(인턴계획표[[정규화1]:[정규화6]],$Q122,$I$3)&amp;""))-1),IF($I$3="","",INDEX(인턴계획표[[정규화1]:[정규화6]],$Q122,$I$3)&amp;"")))))</f>
        <v/>
      </c>
      <c r="I122">
        <f>IF($Q122="","",IF(IF($I$3="","",INDEX(인턴계획표[[정규화1]:[정규화6]],$Q122,$I$3)&amp;"")="","",IF(LEFT(IF($I$3="","",INDEX(인턴계획표[[정규화1]:[정규화6]],$Q122,$I$3)&amp;""),1)="⚠","",IFERROR(MID(IF($I$3="","",INDEX(인턴계획표[[정규화1]:[정규화6]],$Q122,$I$3)&amp;""),FIND(" ",IF($I$3="","",INDEX(인턴계획표[[정규화1]:[정규화6]],$Q122,$I$3)&amp;""))+1,60),""))))</f>
        <v/>
      </c>
      <c r="J122">
        <f>IF($Q122="","",INDEX(인턴계획표[정규화1],$Q122))</f>
        <v/>
      </c>
      <c r="K122">
        <f>IF($Q122="","",INDEX(인턴계획표[정규화2],$Q122))</f>
        <v/>
      </c>
      <c r="L122">
        <f>IF($Q122="","",INDEX(인턴계획표[정규화3],$Q122))</f>
        <v/>
      </c>
      <c r="M122">
        <f>IF($Q122="","",INDEX(인턴계획표[정규화4],$Q122))</f>
        <v/>
      </c>
      <c r="N122">
        <f>IF($Q122="","",INDEX(인턴계획표[정규화5],$Q122))</f>
        <v/>
      </c>
      <c r="O122">
        <f>IF($Q122="","",INDEX(인턴계획표[정규화6],$Q122))</f>
        <v/>
      </c>
      <c r="P122">
        <f>IF($Q122="","",INDEX(인턴계획표[입력오류],$Q122))</f>
        <v/>
      </c>
      <c r="Q122" s="17">
        <f>IFERROR(MATCH(117,인턴계획표[표시순번],0),"")</f>
        <v/>
      </c>
    </row>
    <row r="123">
      <c r="A123">
        <f>IF($Q123="","",INDEX(인턴계획표[순번],$Q123)&amp;"")</f>
        <v/>
      </c>
      <c r="B123">
        <f>IF($Q123="","",TRIM(INDEX(인턴계획표[이름],$Q123)&amp;""))</f>
        <v/>
      </c>
      <c r="C123">
        <f>IF($Q123="","",INDEX(인턴계획표[사번],$Q123)&amp;"")</f>
        <v/>
      </c>
      <c r="D123">
        <f>IF($Q123="","",IF(COUNTIF(기본자료표[사번키],INDEX(인턴계획표[사번키],$Q123))&gt;0,"확인","미등록"))</f>
        <v/>
      </c>
      <c r="E123">
        <f>IF($Q123="","",IF(ISNUMBER(INDEX(인턴계획표[입사일(비고)],$Q123)),TEXT(INDEX(인턴계획표[입사일(비고)],$Q123),"yyyy-mm-dd"),INDEX(인턴계획표[입사일(비고)],$Q123)&amp;""))</f>
        <v/>
      </c>
      <c r="F123">
        <f>IF($Q123="","",IF(IF($G$3="","",INDEX(인턴계획표[[정규화1]:[정규화6]],$Q123,$G$3)&amp;"")="","",IF(LEFT(IF($G$3="","",INDEX(인턴계획표[[정규화1]:[정규화6]],$Q123,$G$3)&amp;""),1)="⚠",IF($G$3="","",INDEX(인턴계획표[[정규화1]:[정규화6]],$Q123,$G$3)&amp;""),IFERROR(LEFT(IF($G$3="","",INDEX(인턴계획표[[정규화1]:[정규화6]],$Q123,$G$3)&amp;""),FIND(" ",IF($G$3="","",INDEX(인턴계획표[[정규화1]:[정규화6]],$Q123,$G$3)&amp;""))-1),IF($G$3="","",INDEX(인턴계획표[[정규화1]:[정규화6]],$Q123,$G$3)&amp;"")))))</f>
        <v/>
      </c>
      <c r="G123">
        <f>IF($Q123="","",IF(IF($G$3="","",INDEX(인턴계획표[[정규화1]:[정규화6]],$Q123,$G$3)&amp;"")="","",IF(LEFT(IF($G$3="","",INDEX(인턴계획표[[정규화1]:[정규화6]],$Q123,$G$3)&amp;""),1)="⚠","",IFERROR(MID(IF($G$3="","",INDEX(인턴계획표[[정규화1]:[정규화6]],$Q123,$G$3)&amp;""),FIND(" ",IF($G$3="","",INDEX(인턴계획표[[정규화1]:[정규화6]],$Q123,$G$3)&amp;""))+1,60),""))))</f>
        <v/>
      </c>
      <c r="H123">
        <f>IF($Q123="","",IF(IF($I$3="","",INDEX(인턴계획표[[정규화1]:[정규화6]],$Q123,$I$3)&amp;"")="","",IF(LEFT(IF($I$3="","",INDEX(인턴계획표[[정규화1]:[정규화6]],$Q123,$I$3)&amp;""),1)="⚠",IF($I$3="","",INDEX(인턴계획표[[정규화1]:[정규화6]],$Q123,$I$3)&amp;""),IFERROR(LEFT(IF($I$3="","",INDEX(인턴계획표[[정규화1]:[정규화6]],$Q123,$I$3)&amp;""),FIND(" ",IF($I$3="","",INDEX(인턴계획표[[정규화1]:[정규화6]],$Q123,$I$3)&amp;""))-1),IF($I$3="","",INDEX(인턴계획표[[정규화1]:[정규화6]],$Q123,$I$3)&amp;"")))))</f>
        <v/>
      </c>
      <c r="I123">
        <f>IF($Q123="","",IF(IF($I$3="","",INDEX(인턴계획표[[정규화1]:[정규화6]],$Q123,$I$3)&amp;"")="","",IF(LEFT(IF($I$3="","",INDEX(인턴계획표[[정규화1]:[정규화6]],$Q123,$I$3)&amp;""),1)="⚠","",IFERROR(MID(IF($I$3="","",INDEX(인턴계획표[[정규화1]:[정규화6]],$Q123,$I$3)&amp;""),FIND(" ",IF($I$3="","",INDEX(인턴계획표[[정규화1]:[정규화6]],$Q123,$I$3)&amp;""))+1,60),""))))</f>
        <v/>
      </c>
      <c r="J123">
        <f>IF($Q123="","",INDEX(인턴계획표[정규화1],$Q123))</f>
        <v/>
      </c>
      <c r="K123">
        <f>IF($Q123="","",INDEX(인턴계획표[정규화2],$Q123))</f>
        <v/>
      </c>
      <c r="L123">
        <f>IF($Q123="","",INDEX(인턴계획표[정규화3],$Q123))</f>
        <v/>
      </c>
      <c r="M123">
        <f>IF($Q123="","",INDEX(인턴계획표[정규화4],$Q123))</f>
        <v/>
      </c>
      <c r="N123">
        <f>IF($Q123="","",INDEX(인턴계획표[정규화5],$Q123))</f>
        <v/>
      </c>
      <c r="O123">
        <f>IF($Q123="","",INDEX(인턴계획표[정규화6],$Q123))</f>
        <v/>
      </c>
      <c r="P123">
        <f>IF($Q123="","",INDEX(인턴계획표[입력오류],$Q123))</f>
        <v/>
      </c>
      <c r="Q123" s="17">
        <f>IFERROR(MATCH(118,인턴계획표[표시순번],0),"")</f>
        <v/>
      </c>
    </row>
    <row r="124">
      <c r="A124">
        <f>IF($Q124="","",INDEX(인턴계획표[순번],$Q124)&amp;"")</f>
        <v/>
      </c>
      <c r="B124">
        <f>IF($Q124="","",TRIM(INDEX(인턴계획표[이름],$Q124)&amp;""))</f>
        <v/>
      </c>
      <c r="C124">
        <f>IF($Q124="","",INDEX(인턴계획표[사번],$Q124)&amp;"")</f>
        <v/>
      </c>
      <c r="D124">
        <f>IF($Q124="","",IF(COUNTIF(기본자료표[사번키],INDEX(인턴계획표[사번키],$Q124))&gt;0,"확인","미등록"))</f>
        <v/>
      </c>
      <c r="E124">
        <f>IF($Q124="","",IF(ISNUMBER(INDEX(인턴계획표[입사일(비고)],$Q124)),TEXT(INDEX(인턴계획표[입사일(비고)],$Q124),"yyyy-mm-dd"),INDEX(인턴계획표[입사일(비고)],$Q124)&amp;""))</f>
        <v/>
      </c>
      <c r="F124">
        <f>IF($Q124="","",IF(IF($G$3="","",INDEX(인턴계획표[[정규화1]:[정규화6]],$Q124,$G$3)&amp;"")="","",IF(LEFT(IF($G$3="","",INDEX(인턴계획표[[정규화1]:[정규화6]],$Q124,$G$3)&amp;""),1)="⚠",IF($G$3="","",INDEX(인턴계획표[[정규화1]:[정규화6]],$Q124,$G$3)&amp;""),IFERROR(LEFT(IF($G$3="","",INDEX(인턴계획표[[정규화1]:[정규화6]],$Q124,$G$3)&amp;""),FIND(" ",IF($G$3="","",INDEX(인턴계획표[[정규화1]:[정규화6]],$Q124,$G$3)&amp;""))-1),IF($G$3="","",INDEX(인턴계획표[[정규화1]:[정규화6]],$Q124,$G$3)&amp;"")))))</f>
        <v/>
      </c>
      <c r="G124">
        <f>IF($Q124="","",IF(IF($G$3="","",INDEX(인턴계획표[[정규화1]:[정규화6]],$Q124,$G$3)&amp;"")="","",IF(LEFT(IF($G$3="","",INDEX(인턴계획표[[정규화1]:[정규화6]],$Q124,$G$3)&amp;""),1)="⚠","",IFERROR(MID(IF($G$3="","",INDEX(인턴계획표[[정규화1]:[정규화6]],$Q124,$G$3)&amp;""),FIND(" ",IF($G$3="","",INDEX(인턴계획표[[정규화1]:[정규화6]],$Q124,$G$3)&amp;""))+1,60),""))))</f>
        <v/>
      </c>
      <c r="H124">
        <f>IF($Q124="","",IF(IF($I$3="","",INDEX(인턴계획표[[정규화1]:[정규화6]],$Q124,$I$3)&amp;"")="","",IF(LEFT(IF($I$3="","",INDEX(인턴계획표[[정규화1]:[정규화6]],$Q124,$I$3)&amp;""),1)="⚠",IF($I$3="","",INDEX(인턴계획표[[정규화1]:[정규화6]],$Q124,$I$3)&amp;""),IFERROR(LEFT(IF($I$3="","",INDEX(인턴계획표[[정규화1]:[정규화6]],$Q124,$I$3)&amp;""),FIND(" ",IF($I$3="","",INDEX(인턴계획표[[정규화1]:[정규화6]],$Q124,$I$3)&amp;""))-1),IF($I$3="","",INDEX(인턴계획표[[정규화1]:[정규화6]],$Q124,$I$3)&amp;"")))))</f>
        <v/>
      </c>
      <c r="I124">
        <f>IF($Q124="","",IF(IF($I$3="","",INDEX(인턴계획표[[정규화1]:[정규화6]],$Q124,$I$3)&amp;"")="","",IF(LEFT(IF($I$3="","",INDEX(인턴계획표[[정규화1]:[정규화6]],$Q124,$I$3)&amp;""),1)="⚠","",IFERROR(MID(IF($I$3="","",INDEX(인턴계획표[[정규화1]:[정규화6]],$Q124,$I$3)&amp;""),FIND(" ",IF($I$3="","",INDEX(인턴계획표[[정규화1]:[정규화6]],$Q124,$I$3)&amp;""))+1,60),""))))</f>
        <v/>
      </c>
      <c r="J124">
        <f>IF($Q124="","",INDEX(인턴계획표[정규화1],$Q124))</f>
        <v/>
      </c>
      <c r="K124">
        <f>IF($Q124="","",INDEX(인턴계획표[정규화2],$Q124))</f>
        <v/>
      </c>
      <c r="L124">
        <f>IF($Q124="","",INDEX(인턴계획표[정규화3],$Q124))</f>
        <v/>
      </c>
      <c r="M124">
        <f>IF($Q124="","",INDEX(인턴계획표[정규화4],$Q124))</f>
        <v/>
      </c>
      <c r="N124">
        <f>IF($Q124="","",INDEX(인턴계획표[정규화5],$Q124))</f>
        <v/>
      </c>
      <c r="O124">
        <f>IF($Q124="","",INDEX(인턴계획표[정규화6],$Q124))</f>
        <v/>
      </c>
      <c r="P124">
        <f>IF($Q124="","",INDEX(인턴계획표[입력오류],$Q124))</f>
        <v/>
      </c>
      <c r="Q124" s="17">
        <f>IFERROR(MATCH(119,인턴계획표[표시순번],0),"")</f>
        <v/>
      </c>
    </row>
    <row r="125">
      <c r="A125">
        <f>IF($Q125="","",INDEX(인턴계획표[순번],$Q125)&amp;"")</f>
        <v/>
      </c>
      <c r="B125">
        <f>IF($Q125="","",TRIM(INDEX(인턴계획표[이름],$Q125)&amp;""))</f>
        <v/>
      </c>
      <c r="C125">
        <f>IF($Q125="","",INDEX(인턴계획표[사번],$Q125)&amp;"")</f>
        <v/>
      </c>
      <c r="D125">
        <f>IF($Q125="","",IF(COUNTIF(기본자료표[사번키],INDEX(인턴계획표[사번키],$Q125))&gt;0,"확인","미등록"))</f>
        <v/>
      </c>
      <c r="E125">
        <f>IF($Q125="","",IF(ISNUMBER(INDEX(인턴계획표[입사일(비고)],$Q125)),TEXT(INDEX(인턴계획표[입사일(비고)],$Q125),"yyyy-mm-dd"),INDEX(인턴계획표[입사일(비고)],$Q125)&amp;""))</f>
        <v/>
      </c>
      <c r="F125">
        <f>IF($Q125="","",IF(IF($G$3="","",INDEX(인턴계획표[[정규화1]:[정규화6]],$Q125,$G$3)&amp;"")="","",IF(LEFT(IF($G$3="","",INDEX(인턴계획표[[정규화1]:[정규화6]],$Q125,$G$3)&amp;""),1)="⚠",IF($G$3="","",INDEX(인턴계획표[[정규화1]:[정규화6]],$Q125,$G$3)&amp;""),IFERROR(LEFT(IF($G$3="","",INDEX(인턴계획표[[정규화1]:[정규화6]],$Q125,$G$3)&amp;""),FIND(" ",IF($G$3="","",INDEX(인턴계획표[[정규화1]:[정규화6]],$Q125,$G$3)&amp;""))-1),IF($G$3="","",INDEX(인턴계획표[[정규화1]:[정규화6]],$Q125,$G$3)&amp;"")))))</f>
        <v/>
      </c>
      <c r="G125">
        <f>IF($Q125="","",IF(IF($G$3="","",INDEX(인턴계획표[[정규화1]:[정규화6]],$Q125,$G$3)&amp;"")="","",IF(LEFT(IF($G$3="","",INDEX(인턴계획표[[정규화1]:[정규화6]],$Q125,$G$3)&amp;""),1)="⚠","",IFERROR(MID(IF($G$3="","",INDEX(인턴계획표[[정규화1]:[정규화6]],$Q125,$G$3)&amp;""),FIND(" ",IF($G$3="","",INDEX(인턴계획표[[정규화1]:[정규화6]],$Q125,$G$3)&amp;""))+1,60),""))))</f>
        <v/>
      </c>
      <c r="H125">
        <f>IF($Q125="","",IF(IF($I$3="","",INDEX(인턴계획표[[정규화1]:[정규화6]],$Q125,$I$3)&amp;"")="","",IF(LEFT(IF($I$3="","",INDEX(인턴계획표[[정규화1]:[정규화6]],$Q125,$I$3)&amp;""),1)="⚠",IF($I$3="","",INDEX(인턴계획표[[정규화1]:[정규화6]],$Q125,$I$3)&amp;""),IFERROR(LEFT(IF($I$3="","",INDEX(인턴계획표[[정규화1]:[정규화6]],$Q125,$I$3)&amp;""),FIND(" ",IF($I$3="","",INDEX(인턴계획표[[정규화1]:[정규화6]],$Q125,$I$3)&amp;""))-1),IF($I$3="","",INDEX(인턴계획표[[정규화1]:[정규화6]],$Q125,$I$3)&amp;"")))))</f>
        <v/>
      </c>
      <c r="I125">
        <f>IF($Q125="","",IF(IF($I$3="","",INDEX(인턴계획표[[정규화1]:[정규화6]],$Q125,$I$3)&amp;"")="","",IF(LEFT(IF($I$3="","",INDEX(인턴계획표[[정규화1]:[정규화6]],$Q125,$I$3)&amp;""),1)="⚠","",IFERROR(MID(IF($I$3="","",INDEX(인턴계획표[[정규화1]:[정규화6]],$Q125,$I$3)&amp;""),FIND(" ",IF($I$3="","",INDEX(인턴계획표[[정규화1]:[정규화6]],$Q125,$I$3)&amp;""))+1,60),""))))</f>
        <v/>
      </c>
      <c r="J125">
        <f>IF($Q125="","",INDEX(인턴계획표[정규화1],$Q125))</f>
        <v/>
      </c>
      <c r="K125">
        <f>IF($Q125="","",INDEX(인턴계획표[정규화2],$Q125))</f>
        <v/>
      </c>
      <c r="L125">
        <f>IF($Q125="","",INDEX(인턴계획표[정규화3],$Q125))</f>
        <v/>
      </c>
      <c r="M125">
        <f>IF($Q125="","",INDEX(인턴계획표[정규화4],$Q125))</f>
        <v/>
      </c>
      <c r="N125">
        <f>IF($Q125="","",INDEX(인턴계획표[정규화5],$Q125))</f>
        <v/>
      </c>
      <c r="O125">
        <f>IF($Q125="","",INDEX(인턴계획표[정규화6],$Q125))</f>
        <v/>
      </c>
      <c r="P125">
        <f>IF($Q125="","",INDEX(인턴계획표[입력오류],$Q125))</f>
        <v/>
      </c>
      <c r="Q125" s="17">
        <f>IFERROR(MATCH(120,인턴계획표[표시순번],0),"")</f>
        <v/>
      </c>
    </row>
    <row r="126">
      <c r="A126">
        <f>IF($Q126="","",INDEX(인턴계획표[순번],$Q126)&amp;"")</f>
        <v/>
      </c>
      <c r="B126">
        <f>IF($Q126="","",TRIM(INDEX(인턴계획표[이름],$Q126)&amp;""))</f>
        <v/>
      </c>
      <c r="C126">
        <f>IF($Q126="","",INDEX(인턴계획표[사번],$Q126)&amp;"")</f>
        <v/>
      </c>
      <c r="D126">
        <f>IF($Q126="","",IF(COUNTIF(기본자료표[사번키],INDEX(인턴계획표[사번키],$Q126))&gt;0,"확인","미등록"))</f>
        <v/>
      </c>
      <c r="E126">
        <f>IF($Q126="","",IF(ISNUMBER(INDEX(인턴계획표[입사일(비고)],$Q126)),TEXT(INDEX(인턴계획표[입사일(비고)],$Q126),"yyyy-mm-dd"),INDEX(인턴계획표[입사일(비고)],$Q126)&amp;""))</f>
        <v/>
      </c>
      <c r="F126">
        <f>IF($Q126="","",IF(IF($G$3="","",INDEX(인턴계획표[[정규화1]:[정규화6]],$Q126,$G$3)&amp;"")="","",IF(LEFT(IF($G$3="","",INDEX(인턴계획표[[정규화1]:[정규화6]],$Q126,$G$3)&amp;""),1)="⚠",IF($G$3="","",INDEX(인턴계획표[[정규화1]:[정규화6]],$Q126,$G$3)&amp;""),IFERROR(LEFT(IF($G$3="","",INDEX(인턴계획표[[정규화1]:[정규화6]],$Q126,$G$3)&amp;""),FIND(" ",IF($G$3="","",INDEX(인턴계획표[[정규화1]:[정규화6]],$Q126,$G$3)&amp;""))-1),IF($G$3="","",INDEX(인턴계획표[[정규화1]:[정규화6]],$Q126,$G$3)&amp;"")))))</f>
        <v/>
      </c>
      <c r="G126">
        <f>IF($Q126="","",IF(IF($G$3="","",INDEX(인턴계획표[[정규화1]:[정규화6]],$Q126,$G$3)&amp;"")="","",IF(LEFT(IF($G$3="","",INDEX(인턴계획표[[정규화1]:[정규화6]],$Q126,$G$3)&amp;""),1)="⚠","",IFERROR(MID(IF($G$3="","",INDEX(인턴계획표[[정규화1]:[정규화6]],$Q126,$G$3)&amp;""),FIND(" ",IF($G$3="","",INDEX(인턴계획표[[정규화1]:[정규화6]],$Q126,$G$3)&amp;""))+1,60),""))))</f>
        <v/>
      </c>
      <c r="H126">
        <f>IF($Q126="","",IF(IF($I$3="","",INDEX(인턴계획표[[정규화1]:[정규화6]],$Q126,$I$3)&amp;"")="","",IF(LEFT(IF($I$3="","",INDEX(인턴계획표[[정규화1]:[정규화6]],$Q126,$I$3)&amp;""),1)="⚠",IF($I$3="","",INDEX(인턴계획표[[정규화1]:[정규화6]],$Q126,$I$3)&amp;""),IFERROR(LEFT(IF($I$3="","",INDEX(인턴계획표[[정규화1]:[정규화6]],$Q126,$I$3)&amp;""),FIND(" ",IF($I$3="","",INDEX(인턴계획표[[정규화1]:[정규화6]],$Q126,$I$3)&amp;""))-1),IF($I$3="","",INDEX(인턴계획표[[정규화1]:[정규화6]],$Q126,$I$3)&amp;"")))))</f>
        <v/>
      </c>
      <c r="I126">
        <f>IF($Q126="","",IF(IF($I$3="","",INDEX(인턴계획표[[정규화1]:[정규화6]],$Q126,$I$3)&amp;"")="","",IF(LEFT(IF($I$3="","",INDEX(인턴계획표[[정규화1]:[정규화6]],$Q126,$I$3)&amp;""),1)="⚠","",IFERROR(MID(IF($I$3="","",INDEX(인턴계획표[[정규화1]:[정규화6]],$Q126,$I$3)&amp;""),FIND(" ",IF($I$3="","",INDEX(인턴계획표[[정규화1]:[정규화6]],$Q126,$I$3)&amp;""))+1,60),""))))</f>
        <v/>
      </c>
      <c r="J126">
        <f>IF($Q126="","",INDEX(인턴계획표[정규화1],$Q126))</f>
        <v/>
      </c>
      <c r="K126">
        <f>IF($Q126="","",INDEX(인턴계획표[정규화2],$Q126))</f>
        <v/>
      </c>
      <c r="L126">
        <f>IF($Q126="","",INDEX(인턴계획표[정규화3],$Q126))</f>
        <v/>
      </c>
      <c r="M126">
        <f>IF($Q126="","",INDEX(인턴계획표[정규화4],$Q126))</f>
        <v/>
      </c>
      <c r="N126">
        <f>IF($Q126="","",INDEX(인턴계획표[정규화5],$Q126))</f>
        <v/>
      </c>
      <c r="O126">
        <f>IF($Q126="","",INDEX(인턴계획표[정규화6],$Q126))</f>
        <v/>
      </c>
      <c r="P126">
        <f>IF($Q126="","",INDEX(인턴계획표[입력오류],$Q126))</f>
        <v/>
      </c>
      <c r="Q126" s="17">
        <f>IFERROR(MATCH(121,인턴계획표[표시순번],0),"")</f>
        <v/>
      </c>
    </row>
    <row r="127">
      <c r="A127">
        <f>IF($Q127="","",INDEX(인턴계획표[순번],$Q127)&amp;"")</f>
        <v/>
      </c>
      <c r="B127">
        <f>IF($Q127="","",TRIM(INDEX(인턴계획표[이름],$Q127)&amp;""))</f>
        <v/>
      </c>
      <c r="C127">
        <f>IF($Q127="","",INDEX(인턴계획표[사번],$Q127)&amp;"")</f>
        <v/>
      </c>
      <c r="D127">
        <f>IF($Q127="","",IF(COUNTIF(기본자료표[사번키],INDEX(인턴계획표[사번키],$Q127))&gt;0,"확인","미등록"))</f>
        <v/>
      </c>
      <c r="E127">
        <f>IF($Q127="","",IF(ISNUMBER(INDEX(인턴계획표[입사일(비고)],$Q127)),TEXT(INDEX(인턴계획표[입사일(비고)],$Q127),"yyyy-mm-dd"),INDEX(인턴계획표[입사일(비고)],$Q127)&amp;""))</f>
        <v/>
      </c>
      <c r="F127">
        <f>IF($Q127="","",IF(IF($G$3="","",INDEX(인턴계획표[[정규화1]:[정규화6]],$Q127,$G$3)&amp;"")="","",IF(LEFT(IF($G$3="","",INDEX(인턴계획표[[정규화1]:[정규화6]],$Q127,$G$3)&amp;""),1)="⚠",IF($G$3="","",INDEX(인턴계획표[[정규화1]:[정규화6]],$Q127,$G$3)&amp;""),IFERROR(LEFT(IF($G$3="","",INDEX(인턴계획표[[정규화1]:[정규화6]],$Q127,$G$3)&amp;""),FIND(" ",IF($G$3="","",INDEX(인턴계획표[[정규화1]:[정규화6]],$Q127,$G$3)&amp;""))-1),IF($G$3="","",INDEX(인턴계획표[[정규화1]:[정규화6]],$Q127,$G$3)&amp;"")))))</f>
        <v/>
      </c>
      <c r="G127">
        <f>IF($Q127="","",IF(IF($G$3="","",INDEX(인턴계획표[[정규화1]:[정규화6]],$Q127,$G$3)&amp;"")="","",IF(LEFT(IF($G$3="","",INDEX(인턴계획표[[정규화1]:[정규화6]],$Q127,$G$3)&amp;""),1)="⚠","",IFERROR(MID(IF($G$3="","",INDEX(인턴계획표[[정규화1]:[정규화6]],$Q127,$G$3)&amp;""),FIND(" ",IF($G$3="","",INDEX(인턴계획표[[정규화1]:[정규화6]],$Q127,$G$3)&amp;""))+1,60),""))))</f>
        <v/>
      </c>
      <c r="H127">
        <f>IF($Q127="","",IF(IF($I$3="","",INDEX(인턴계획표[[정규화1]:[정규화6]],$Q127,$I$3)&amp;"")="","",IF(LEFT(IF($I$3="","",INDEX(인턴계획표[[정규화1]:[정규화6]],$Q127,$I$3)&amp;""),1)="⚠",IF($I$3="","",INDEX(인턴계획표[[정규화1]:[정규화6]],$Q127,$I$3)&amp;""),IFERROR(LEFT(IF($I$3="","",INDEX(인턴계획표[[정규화1]:[정규화6]],$Q127,$I$3)&amp;""),FIND(" ",IF($I$3="","",INDEX(인턴계획표[[정규화1]:[정규화6]],$Q127,$I$3)&amp;""))-1),IF($I$3="","",INDEX(인턴계획표[[정규화1]:[정규화6]],$Q127,$I$3)&amp;"")))))</f>
        <v/>
      </c>
      <c r="I127">
        <f>IF($Q127="","",IF(IF($I$3="","",INDEX(인턴계획표[[정규화1]:[정규화6]],$Q127,$I$3)&amp;"")="","",IF(LEFT(IF($I$3="","",INDEX(인턴계획표[[정규화1]:[정규화6]],$Q127,$I$3)&amp;""),1)="⚠","",IFERROR(MID(IF($I$3="","",INDEX(인턴계획표[[정규화1]:[정규화6]],$Q127,$I$3)&amp;""),FIND(" ",IF($I$3="","",INDEX(인턴계획표[[정규화1]:[정규화6]],$Q127,$I$3)&amp;""))+1,60),""))))</f>
        <v/>
      </c>
      <c r="J127">
        <f>IF($Q127="","",INDEX(인턴계획표[정규화1],$Q127))</f>
        <v/>
      </c>
      <c r="K127">
        <f>IF($Q127="","",INDEX(인턴계획표[정규화2],$Q127))</f>
        <v/>
      </c>
      <c r="L127">
        <f>IF($Q127="","",INDEX(인턴계획표[정규화3],$Q127))</f>
        <v/>
      </c>
      <c r="M127">
        <f>IF($Q127="","",INDEX(인턴계획표[정규화4],$Q127))</f>
        <v/>
      </c>
      <c r="N127">
        <f>IF($Q127="","",INDEX(인턴계획표[정규화5],$Q127))</f>
        <v/>
      </c>
      <c r="O127">
        <f>IF($Q127="","",INDEX(인턴계획표[정규화6],$Q127))</f>
        <v/>
      </c>
      <c r="P127">
        <f>IF($Q127="","",INDEX(인턴계획표[입력오류],$Q127))</f>
        <v/>
      </c>
      <c r="Q127" s="17">
        <f>IFERROR(MATCH(122,인턴계획표[표시순번],0),"")</f>
        <v/>
      </c>
    </row>
    <row r="128">
      <c r="A128">
        <f>IF($Q128="","",INDEX(인턴계획표[순번],$Q128)&amp;"")</f>
        <v/>
      </c>
      <c r="B128">
        <f>IF($Q128="","",TRIM(INDEX(인턴계획표[이름],$Q128)&amp;""))</f>
        <v/>
      </c>
      <c r="C128">
        <f>IF($Q128="","",INDEX(인턴계획표[사번],$Q128)&amp;"")</f>
        <v/>
      </c>
      <c r="D128">
        <f>IF($Q128="","",IF(COUNTIF(기본자료표[사번키],INDEX(인턴계획표[사번키],$Q128))&gt;0,"확인","미등록"))</f>
        <v/>
      </c>
      <c r="E128">
        <f>IF($Q128="","",IF(ISNUMBER(INDEX(인턴계획표[입사일(비고)],$Q128)),TEXT(INDEX(인턴계획표[입사일(비고)],$Q128),"yyyy-mm-dd"),INDEX(인턴계획표[입사일(비고)],$Q128)&amp;""))</f>
        <v/>
      </c>
      <c r="F128">
        <f>IF($Q128="","",IF(IF($G$3="","",INDEX(인턴계획표[[정규화1]:[정규화6]],$Q128,$G$3)&amp;"")="","",IF(LEFT(IF($G$3="","",INDEX(인턴계획표[[정규화1]:[정규화6]],$Q128,$G$3)&amp;""),1)="⚠",IF($G$3="","",INDEX(인턴계획표[[정규화1]:[정규화6]],$Q128,$G$3)&amp;""),IFERROR(LEFT(IF($G$3="","",INDEX(인턴계획표[[정규화1]:[정규화6]],$Q128,$G$3)&amp;""),FIND(" ",IF($G$3="","",INDEX(인턴계획표[[정규화1]:[정규화6]],$Q128,$G$3)&amp;""))-1),IF($G$3="","",INDEX(인턴계획표[[정규화1]:[정규화6]],$Q128,$G$3)&amp;"")))))</f>
        <v/>
      </c>
      <c r="G128">
        <f>IF($Q128="","",IF(IF($G$3="","",INDEX(인턴계획표[[정규화1]:[정규화6]],$Q128,$G$3)&amp;"")="","",IF(LEFT(IF($G$3="","",INDEX(인턴계획표[[정규화1]:[정규화6]],$Q128,$G$3)&amp;""),1)="⚠","",IFERROR(MID(IF($G$3="","",INDEX(인턴계획표[[정규화1]:[정규화6]],$Q128,$G$3)&amp;""),FIND(" ",IF($G$3="","",INDEX(인턴계획표[[정규화1]:[정규화6]],$Q128,$G$3)&amp;""))+1,60),""))))</f>
        <v/>
      </c>
      <c r="H128">
        <f>IF($Q128="","",IF(IF($I$3="","",INDEX(인턴계획표[[정규화1]:[정규화6]],$Q128,$I$3)&amp;"")="","",IF(LEFT(IF($I$3="","",INDEX(인턴계획표[[정규화1]:[정규화6]],$Q128,$I$3)&amp;""),1)="⚠",IF($I$3="","",INDEX(인턴계획표[[정규화1]:[정규화6]],$Q128,$I$3)&amp;""),IFERROR(LEFT(IF($I$3="","",INDEX(인턴계획표[[정규화1]:[정규화6]],$Q128,$I$3)&amp;""),FIND(" ",IF($I$3="","",INDEX(인턴계획표[[정규화1]:[정규화6]],$Q128,$I$3)&amp;""))-1),IF($I$3="","",INDEX(인턴계획표[[정규화1]:[정규화6]],$Q128,$I$3)&amp;"")))))</f>
        <v/>
      </c>
      <c r="I128">
        <f>IF($Q128="","",IF(IF($I$3="","",INDEX(인턴계획표[[정규화1]:[정규화6]],$Q128,$I$3)&amp;"")="","",IF(LEFT(IF($I$3="","",INDEX(인턴계획표[[정규화1]:[정규화6]],$Q128,$I$3)&amp;""),1)="⚠","",IFERROR(MID(IF($I$3="","",INDEX(인턴계획표[[정규화1]:[정규화6]],$Q128,$I$3)&amp;""),FIND(" ",IF($I$3="","",INDEX(인턴계획표[[정규화1]:[정규화6]],$Q128,$I$3)&amp;""))+1,60),""))))</f>
        <v/>
      </c>
      <c r="J128">
        <f>IF($Q128="","",INDEX(인턴계획표[정규화1],$Q128))</f>
        <v/>
      </c>
      <c r="K128">
        <f>IF($Q128="","",INDEX(인턴계획표[정규화2],$Q128))</f>
        <v/>
      </c>
      <c r="L128">
        <f>IF($Q128="","",INDEX(인턴계획표[정규화3],$Q128))</f>
        <v/>
      </c>
      <c r="M128">
        <f>IF($Q128="","",INDEX(인턴계획표[정규화4],$Q128))</f>
        <v/>
      </c>
      <c r="N128">
        <f>IF($Q128="","",INDEX(인턴계획표[정규화5],$Q128))</f>
        <v/>
      </c>
      <c r="O128">
        <f>IF($Q128="","",INDEX(인턴계획표[정규화6],$Q128))</f>
        <v/>
      </c>
      <c r="P128">
        <f>IF($Q128="","",INDEX(인턴계획표[입력오류],$Q128))</f>
        <v/>
      </c>
      <c r="Q128" s="17">
        <f>IFERROR(MATCH(123,인턴계획표[표시순번],0),"")</f>
        <v/>
      </c>
    </row>
    <row r="129">
      <c r="A129">
        <f>IF($Q129="","",INDEX(인턴계획표[순번],$Q129)&amp;"")</f>
        <v/>
      </c>
      <c r="B129">
        <f>IF($Q129="","",TRIM(INDEX(인턴계획표[이름],$Q129)&amp;""))</f>
        <v/>
      </c>
      <c r="C129">
        <f>IF($Q129="","",INDEX(인턴계획표[사번],$Q129)&amp;"")</f>
        <v/>
      </c>
      <c r="D129">
        <f>IF($Q129="","",IF(COUNTIF(기본자료표[사번키],INDEX(인턴계획표[사번키],$Q129))&gt;0,"확인","미등록"))</f>
        <v/>
      </c>
      <c r="E129">
        <f>IF($Q129="","",IF(ISNUMBER(INDEX(인턴계획표[입사일(비고)],$Q129)),TEXT(INDEX(인턴계획표[입사일(비고)],$Q129),"yyyy-mm-dd"),INDEX(인턴계획표[입사일(비고)],$Q129)&amp;""))</f>
        <v/>
      </c>
      <c r="F129">
        <f>IF($Q129="","",IF(IF($G$3="","",INDEX(인턴계획표[[정규화1]:[정규화6]],$Q129,$G$3)&amp;"")="","",IF(LEFT(IF($G$3="","",INDEX(인턴계획표[[정규화1]:[정규화6]],$Q129,$G$3)&amp;""),1)="⚠",IF($G$3="","",INDEX(인턴계획표[[정규화1]:[정규화6]],$Q129,$G$3)&amp;""),IFERROR(LEFT(IF($G$3="","",INDEX(인턴계획표[[정규화1]:[정규화6]],$Q129,$G$3)&amp;""),FIND(" ",IF($G$3="","",INDEX(인턴계획표[[정규화1]:[정규화6]],$Q129,$G$3)&amp;""))-1),IF($G$3="","",INDEX(인턴계획표[[정규화1]:[정규화6]],$Q129,$G$3)&amp;"")))))</f>
        <v/>
      </c>
      <c r="G129">
        <f>IF($Q129="","",IF(IF($G$3="","",INDEX(인턴계획표[[정규화1]:[정규화6]],$Q129,$G$3)&amp;"")="","",IF(LEFT(IF($G$3="","",INDEX(인턴계획표[[정규화1]:[정규화6]],$Q129,$G$3)&amp;""),1)="⚠","",IFERROR(MID(IF($G$3="","",INDEX(인턴계획표[[정규화1]:[정규화6]],$Q129,$G$3)&amp;""),FIND(" ",IF($G$3="","",INDEX(인턴계획표[[정규화1]:[정규화6]],$Q129,$G$3)&amp;""))+1,60),""))))</f>
        <v/>
      </c>
      <c r="H129">
        <f>IF($Q129="","",IF(IF($I$3="","",INDEX(인턴계획표[[정규화1]:[정규화6]],$Q129,$I$3)&amp;"")="","",IF(LEFT(IF($I$3="","",INDEX(인턴계획표[[정규화1]:[정규화6]],$Q129,$I$3)&amp;""),1)="⚠",IF($I$3="","",INDEX(인턴계획표[[정규화1]:[정규화6]],$Q129,$I$3)&amp;""),IFERROR(LEFT(IF($I$3="","",INDEX(인턴계획표[[정규화1]:[정규화6]],$Q129,$I$3)&amp;""),FIND(" ",IF($I$3="","",INDEX(인턴계획표[[정규화1]:[정규화6]],$Q129,$I$3)&amp;""))-1),IF($I$3="","",INDEX(인턴계획표[[정규화1]:[정규화6]],$Q129,$I$3)&amp;"")))))</f>
        <v/>
      </c>
      <c r="I129">
        <f>IF($Q129="","",IF(IF($I$3="","",INDEX(인턴계획표[[정규화1]:[정규화6]],$Q129,$I$3)&amp;"")="","",IF(LEFT(IF($I$3="","",INDEX(인턴계획표[[정규화1]:[정규화6]],$Q129,$I$3)&amp;""),1)="⚠","",IFERROR(MID(IF($I$3="","",INDEX(인턴계획표[[정규화1]:[정규화6]],$Q129,$I$3)&amp;""),FIND(" ",IF($I$3="","",INDEX(인턴계획표[[정규화1]:[정규화6]],$Q129,$I$3)&amp;""))+1,60),""))))</f>
        <v/>
      </c>
      <c r="J129">
        <f>IF($Q129="","",INDEX(인턴계획표[정규화1],$Q129))</f>
        <v/>
      </c>
      <c r="K129">
        <f>IF($Q129="","",INDEX(인턴계획표[정규화2],$Q129))</f>
        <v/>
      </c>
      <c r="L129">
        <f>IF($Q129="","",INDEX(인턴계획표[정규화3],$Q129))</f>
        <v/>
      </c>
      <c r="M129">
        <f>IF($Q129="","",INDEX(인턴계획표[정규화4],$Q129))</f>
        <v/>
      </c>
      <c r="N129">
        <f>IF($Q129="","",INDEX(인턴계획표[정규화5],$Q129))</f>
        <v/>
      </c>
      <c r="O129">
        <f>IF($Q129="","",INDEX(인턴계획표[정규화6],$Q129))</f>
        <v/>
      </c>
      <c r="P129">
        <f>IF($Q129="","",INDEX(인턴계획표[입력오류],$Q129))</f>
        <v/>
      </c>
      <c r="Q129" s="17">
        <f>IFERROR(MATCH(124,인턴계획표[표시순번],0),"")</f>
        <v/>
      </c>
    </row>
    <row r="130">
      <c r="A130">
        <f>IF($Q130="","",INDEX(인턴계획표[순번],$Q130)&amp;"")</f>
        <v/>
      </c>
      <c r="B130">
        <f>IF($Q130="","",TRIM(INDEX(인턴계획표[이름],$Q130)&amp;""))</f>
        <v/>
      </c>
      <c r="C130">
        <f>IF($Q130="","",INDEX(인턴계획표[사번],$Q130)&amp;"")</f>
        <v/>
      </c>
      <c r="D130">
        <f>IF($Q130="","",IF(COUNTIF(기본자료표[사번키],INDEX(인턴계획표[사번키],$Q130))&gt;0,"확인","미등록"))</f>
        <v/>
      </c>
      <c r="E130">
        <f>IF($Q130="","",IF(ISNUMBER(INDEX(인턴계획표[입사일(비고)],$Q130)),TEXT(INDEX(인턴계획표[입사일(비고)],$Q130),"yyyy-mm-dd"),INDEX(인턴계획표[입사일(비고)],$Q130)&amp;""))</f>
        <v/>
      </c>
      <c r="F130">
        <f>IF($Q130="","",IF(IF($G$3="","",INDEX(인턴계획표[[정규화1]:[정규화6]],$Q130,$G$3)&amp;"")="","",IF(LEFT(IF($G$3="","",INDEX(인턴계획표[[정규화1]:[정규화6]],$Q130,$G$3)&amp;""),1)="⚠",IF($G$3="","",INDEX(인턴계획표[[정규화1]:[정규화6]],$Q130,$G$3)&amp;""),IFERROR(LEFT(IF($G$3="","",INDEX(인턴계획표[[정규화1]:[정규화6]],$Q130,$G$3)&amp;""),FIND(" ",IF($G$3="","",INDEX(인턴계획표[[정규화1]:[정규화6]],$Q130,$G$3)&amp;""))-1),IF($G$3="","",INDEX(인턴계획표[[정규화1]:[정규화6]],$Q130,$G$3)&amp;"")))))</f>
        <v/>
      </c>
      <c r="G130">
        <f>IF($Q130="","",IF(IF($G$3="","",INDEX(인턴계획표[[정규화1]:[정규화6]],$Q130,$G$3)&amp;"")="","",IF(LEFT(IF($G$3="","",INDEX(인턴계획표[[정규화1]:[정규화6]],$Q130,$G$3)&amp;""),1)="⚠","",IFERROR(MID(IF($G$3="","",INDEX(인턴계획표[[정규화1]:[정규화6]],$Q130,$G$3)&amp;""),FIND(" ",IF($G$3="","",INDEX(인턴계획표[[정규화1]:[정규화6]],$Q130,$G$3)&amp;""))+1,60),""))))</f>
        <v/>
      </c>
      <c r="H130">
        <f>IF($Q130="","",IF(IF($I$3="","",INDEX(인턴계획표[[정규화1]:[정규화6]],$Q130,$I$3)&amp;"")="","",IF(LEFT(IF($I$3="","",INDEX(인턴계획표[[정규화1]:[정규화6]],$Q130,$I$3)&amp;""),1)="⚠",IF($I$3="","",INDEX(인턴계획표[[정규화1]:[정규화6]],$Q130,$I$3)&amp;""),IFERROR(LEFT(IF($I$3="","",INDEX(인턴계획표[[정규화1]:[정규화6]],$Q130,$I$3)&amp;""),FIND(" ",IF($I$3="","",INDEX(인턴계획표[[정규화1]:[정규화6]],$Q130,$I$3)&amp;""))-1),IF($I$3="","",INDEX(인턴계획표[[정규화1]:[정규화6]],$Q130,$I$3)&amp;"")))))</f>
        <v/>
      </c>
      <c r="I130">
        <f>IF($Q130="","",IF(IF($I$3="","",INDEX(인턴계획표[[정규화1]:[정규화6]],$Q130,$I$3)&amp;"")="","",IF(LEFT(IF($I$3="","",INDEX(인턴계획표[[정규화1]:[정규화6]],$Q130,$I$3)&amp;""),1)="⚠","",IFERROR(MID(IF($I$3="","",INDEX(인턴계획표[[정규화1]:[정규화6]],$Q130,$I$3)&amp;""),FIND(" ",IF($I$3="","",INDEX(인턴계획표[[정규화1]:[정규화6]],$Q130,$I$3)&amp;""))+1,60),""))))</f>
        <v/>
      </c>
      <c r="J130">
        <f>IF($Q130="","",INDEX(인턴계획표[정규화1],$Q130))</f>
        <v/>
      </c>
      <c r="K130">
        <f>IF($Q130="","",INDEX(인턴계획표[정규화2],$Q130))</f>
        <v/>
      </c>
      <c r="L130">
        <f>IF($Q130="","",INDEX(인턴계획표[정규화3],$Q130))</f>
        <v/>
      </c>
      <c r="M130">
        <f>IF($Q130="","",INDEX(인턴계획표[정규화4],$Q130))</f>
        <v/>
      </c>
      <c r="N130">
        <f>IF($Q130="","",INDEX(인턴계획표[정규화5],$Q130))</f>
        <v/>
      </c>
      <c r="O130">
        <f>IF($Q130="","",INDEX(인턴계획표[정규화6],$Q130))</f>
        <v/>
      </c>
      <c r="P130">
        <f>IF($Q130="","",INDEX(인턴계획표[입력오류],$Q130))</f>
        <v/>
      </c>
      <c r="Q130" s="17">
        <f>IFERROR(MATCH(125,인턴계획표[표시순번],0),"")</f>
        <v/>
      </c>
    </row>
    <row r="131">
      <c r="A131">
        <f>IF($Q131="","",INDEX(인턴계획표[순번],$Q131)&amp;"")</f>
        <v/>
      </c>
      <c r="B131">
        <f>IF($Q131="","",TRIM(INDEX(인턴계획표[이름],$Q131)&amp;""))</f>
        <v/>
      </c>
      <c r="C131">
        <f>IF($Q131="","",INDEX(인턴계획표[사번],$Q131)&amp;"")</f>
        <v/>
      </c>
      <c r="D131">
        <f>IF($Q131="","",IF(COUNTIF(기본자료표[사번키],INDEX(인턴계획표[사번키],$Q131))&gt;0,"확인","미등록"))</f>
        <v/>
      </c>
      <c r="E131">
        <f>IF($Q131="","",IF(ISNUMBER(INDEX(인턴계획표[입사일(비고)],$Q131)),TEXT(INDEX(인턴계획표[입사일(비고)],$Q131),"yyyy-mm-dd"),INDEX(인턴계획표[입사일(비고)],$Q131)&amp;""))</f>
        <v/>
      </c>
      <c r="F131">
        <f>IF($Q131="","",IF(IF($G$3="","",INDEX(인턴계획표[[정규화1]:[정규화6]],$Q131,$G$3)&amp;"")="","",IF(LEFT(IF($G$3="","",INDEX(인턴계획표[[정규화1]:[정규화6]],$Q131,$G$3)&amp;""),1)="⚠",IF($G$3="","",INDEX(인턴계획표[[정규화1]:[정규화6]],$Q131,$G$3)&amp;""),IFERROR(LEFT(IF($G$3="","",INDEX(인턴계획표[[정규화1]:[정규화6]],$Q131,$G$3)&amp;""),FIND(" ",IF($G$3="","",INDEX(인턴계획표[[정규화1]:[정규화6]],$Q131,$G$3)&amp;""))-1),IF($G$3="","",INDEX(인턴계획표[[정규화1]:[정규화6]],$Q131,$G$3)&amp;"")))))</f>
        <v/>
      </c>
      <c r="G131">
        <f>IF($Q131="","",IF(IF($G$3="","",INDEX(인턴계획표[[정규화1]:[정규화6]],$Q131,$G$3)&amp;"")="","",IF(LEFT(IF($G$3="","",INDEX(인턴계획표[[정규화1]:[정규화6]],$Q131,$G$3)&amp;""),1)="⚠","",IFERROR(MID(IF($G$3="","",INDEX(인턴계획표[[정규화1]:[정규화6]],$Q131,$G$3)&amp;""),FIND(" ",IF($G$3="","",INDEX(인턴계획표[[정규화1]:[정규화6]],$Q131,$G$3)&amp;""))+1,60),""))))</f>
        <v/>
      </c>
      <c r="H131">
        <f>IF($Q131="","",IF(IF($I$3="","",INDEX(인턴계획표[[정규화1]:[정규화6]],$Q131,$I$3)&amp;"")="","",IF(LEFT(IF($I$3="","",INDEX(인턴계획표[[정규화1]:[정규화6]],$Q131,$I$3)&amp;""),1)="⚠",IF($I$3="","",INDEX(인턴계획표[[정규화1]:[정규화6]],$Q131,$I$3)&amp;""),IFERROR(LEFT(IF($I$3="","",INDEX(인턴계획표[[정규화1]:[정규화6]],$Q131,$I$3)&amp;""),FIND(" ",IF($I$3="","",INDEX(인턴계획표[[정규화1]:[정규화6]],$Q131,$I$3)&amp;""))-1),IF($I$3="","",INDEX(인턴계획표[[정규화1]:[정규화6]],$Q131,$I$3)&amp;"")))))</f>
        <v/>
      </c>
      <c r="I131">
        <f>IF($Q131="","",IF(IF($I$3="","",INDEX(인턴계획표[[정규화1]:[정규화6]],$Q131,$I$3)&amp;"")="","",IF(LEFT(IF($I$3="","",INDEX(인턴계획표[[정규화1]:[정규화6]],$Q131,$I$3)&amp;""),1)="⚠","",IFERROR(MID(IF($I$3="","",INDEX(인턴계획표[[정규화1]:[정규화6]],$Q131,$I$3)&amp;""),FIND(" ",IF($I$3="","",INDEX(인턴계획표[[정규화1]:[정규화6]],$Q131,$I$3)&amp;""))+1,60),""))))</f>
        <v/>
      </c>
      <c r="J131">
        <f>IF($Q131="","",INDEX(인턴계획표[정규화1],$Q131))</f>
        <v/>
      </c>
      <c r="K131">
        <f>IF($Q131="","",INDEX(인턴계획표[정규화2],$Q131))</f>
        <v/>
      </c>
      <c r="L131">
        <f>IF($Q131="","",INDEX(인턴계획표[정규화3],$Q131))</f>
        <v/>
      </c>
      <c r="M131">
        <f>IF($Q131="","",INDEX(인턴계획표[정규화4],$Q131))</f>
        <v/>
      </c>
      <c r="N131">
        <f>IF($Q131="","",INDEX(인턴계획표[정규화5],$Q131))</f>
        <v/>
      </c>
      <c r="O131">
        <f>IF($Q131="","",INDEX(인턴계획표[정규화6],$Q131))</f>
        <v/>
      </c>
      <c r="P131">
        <f>IF($Q131="","",INDEX(인턴계획표[입력오류],$Q131))</f>
        <v/>
      </c>
      <c r="Q131" s="17">
        <f>IFERROR(MATCH(126,인턴계획표[표시순번],0),"")</f>
        <v/>
      </c>
    </row>
    <row r="132">
      <c r="A132">
        <f>IF($Q132="","",INDEX(인턴계획표[순번],$Q132)&amp;"")</f>
        <v/>
      </c>
      <c r="B132">
        <f>IF($Q132="","",TRIM(INDEX(인턴계획표[이름],$Q132)&amp;""))</f>
        <v/>
      </c>
      <c r="C132">
        <f>IF($Q132="","",INDEX(인턴계획표[사번],$Q132)&amp;"")</f>
        <v/>
      </c>
      <c r="D132">
        <f>IF($Q132="","",IF(COUNTIF(기본자료표[사번키],INDEX(인턴계획표[사번키],$Q132))&gt;0,"확인","미등록"))</f>
        <v/>
      </c>
      <c r="E132">
        <f>IF($Q132="","",IF(ISNUMBER(INDEX(인턴계획표[입사일(비고)],$Q132)),TEXT(INDEX(인턴계획표[입사일(비고)],$Q132),"yyyy-mm-dd"),INDEX(인턴계획표[입사일(비고)],$Q132)&amp;""))</f>
        <v/>
      </c>
      <c r="F132">
        <f>IF($Q132="","",IF(IF($G$3="","",INDEX(인턴계획표[[정규화1]:[정규화6]],$Q132,$G$3)&amp;"")="","",IF(LEFT(IF($G$3="","",INDEX(인턴계획표[[정규화1]:[정규화6]],$Q132,$G$3)&amp;""),1)="⚠",IF($G$3="","",INDEX(인턴계획표[[정규화1]:[정규화6]],$Q132,$G$3)&amp;""),IFERROR(LEFT(IF($G$3="","",INDEX(인턴계획표[[정규화1]:[정규화6]],$Q132,$G$3)&amp;""),FIND(" ",IF($G$3="","",INDEX(인턴계획표[[정규화1]:[정규화6]],$Q132,$G$3)&amp;""))-1),IF($G$3="","",INDEX(인턴계획표[[정규화1]:[정규화6]],$Q132,$G$3)&amp;"")))))</f>
        <v/>
      </c>
      <c r="G132">
        <f>IF($Q132="","",IF(IF($G$3="","",INDEX(인턴계획표[[정규화1]:[정규화6]],$Q132,$G$3)&amp;"")="","",IF(LEFT(IF($G$3="","",INDEX(인턴계획표[[정규화1]:[정규화6]],$Q132,$G$3)&amp;""),1)="⚠","",IFERROR(MID(IF($G$3="","",INDEX(인턴계획표[[정규화1]:[정규화6]],$Q132,$G$3)&amp;""),FIND(" ",IF($G$3="","",INDEX(인턴계획표[[정규화1]:[정규화6]],$Q132,$G$3)&amp;""))+1,60),""))))</f>
        <v/>
      </c>
      <c r="H132">
        <f>IF($Q132="","",IF(IF($I$3="","",INDEX(인턴계획표[[정규화1]:[정규화6]],$Q132,$I$3)&amp;"")="","",IF(LEFT(IF($I$3="","",INDEX(인턴계획표[[정규화1]:[정규화6]],$Q132,$I$3)&amp;""),1)="⚠",IF($I$3="","",INDEX(인턴계획표[[정규화1]:[정규화6]],$Q132,$I$3)&amp;""),IFERROR(LEFT(IF($I$3="","",INDEX(인턴계획표[[정규화1]:[정규화6]],$Q132,$I$3)&amp;""),FIND(" ",IF($I$3="","",INDEX(인턴계획표[[정규화1]:[정규화6]],$Q132,$I$3)&amp;""))-1),IF($I$3="","",INDEX(인턴계획표[[정규화1]:[정규화6]],$Q132,$I$3)&amp;"")))))</f>
        <v/>
      </c>
      <c r="I132">
        <f>IF($Q132="","",IF(IF($I$3="","",INDEX(인턴계획표[[정규화1]:[정규화6]],$Q132,$I$3)&amp;"")="","",IF(LEFT(IF($I$3="","",INDEX(인턴계획표[[정규화1]:[정규화6]],$Q132,$I$3)&amp;""),1)="⚠","",IFERROR(MID(IF($I$3="","",INDEX(인턴계획표[[정규화1]:[정규화6]],$Q132,$I$3)&amp;""),FIND(" ",IF($I$3="","",INDEX(인턴계획표[[정규화1]:[정규화6]],$Q132,$I$3)&amp;""))+1,60),""))))</f>
        <v/>
      </c>
      <c r="J132">
        <f>IF($Q132="","",INDEX(인턴계획표[정규화1],$Q132))</f>
        <v/>
      </c>
      <c r="K132">
        <f>IF($Q132="","",INDEX(인턴계획표[정규화2],$Q132))</f>
        <v/>
      </c>
      <c r="L132">
        <f>IF($Q132="","",INDEX(인턴계획표[정규화3],$Q132))</f>
        <v/>
      </c>
      <c r="M132">
        <f>IF($Q132="","",INDEX(인턴계획표[정규화4],$Q132))</f>
        <v/>
      </c>
      <c r="N132">
        <f>IF($Q132="","",INDEX(인턴계획표[정규화5],$Q132))</f>
        <v/>
      </c>
      <c r="O132">
        <f>IF($Q132="","",INDEX(인턴계획표[정규화6],$Q132))</f>
        <v/>
      </c>
      <c r="P132">
        <f>IF($Q132="","",INDEX(인턴계획표[입력오류],$Q132))</f>
        <v/>
      </c>
      <c r="Q132" s="17">
        <f>IFERROR(MATCH(127,인턴계획표[표시순번],0),"")</f>
        <v/>
      </c>
    </row>
    <row r="133">
      <c r="A133">
        <f>IF($Q133="","",INDEX(인턴계획표[순번],$Q133)&amp;"")</f>
        <v/>
      </c>
      <c r="B133">
        <f>IF($Q133="","",TRIM(INDEX(인턴계획표[이름],$Q133)&amp;""))</f>
        <v/>
      </c>
      <c r="C133">
        <f>IF($Q133="","",INDEX(인턴계획표[사번],$Q133)&amp;"")</f>
        <v/>
      </c>
      <c r="D133">
        <f>IF($Q133="","",IF(COUNTIF(기본자료표[사번키],INDEX(인턴계획표[사번키],$Q133))&gt;0,"확인","미등록"))</f>
        <v/>
      </c>
      <c r="E133">
        <f>IF($Q133="","",IF(ISNUMBER(INDEX(인턴계획표[입사일(비고)],$Q133)),TEXT(INDEX(인턴계획표[입사일(비고)],$Q133),"yyyy-mm-dd"),INDEX(인턴계획표[입사일(비고)],$Q133)&amp;""))</f>
        <v/>
      </c>
      <c r="F133">
        <f>IF($Q133="","",IF(IF($G$3="","",INDEX(인턴계획표[[정규화1]:[정규화6]],$Q133,$G$3)&amp;"")="","",IF(LEFT(IF($G$3="","",INDEX(인턴계획표[[정규화1]:[정규화6]],$Q133,$G$3)&amp;""),1)="⚠",IF($G$3="","",INDEX(인턴계획표[[정규화1]:[정규화6]],$Q133,$G$3)&amp;""),IFERROR(LEFT(IF($G$3="","",INDEX(인턴계획표[[정규화1]:[정규화6]],$Q133,$G$3)&amp;""),FIND(" ",IF($G$3="","",INDEX(인턴계획표[[정규화1]:[정규화6]],$Q133,$G$3)&amp;""))-1),IF($G$3="","",INDEX(인턴계획표[[정규화1]:[정규화6]],$Q133,$G$3)&amp;"")))))</f>
        <v/>
      </c>
      <c r="G133">
        <f>IF($Q133="","",IF(IF($G$3="","",INDEX(인턴계획표[[정규화1]:[정규화6]],$Q133,$G$3)&amp;"")="","",IF(LEFT(IF($G$3="","",INDEX(인턴계획표[[정규화1]:[정규화6]],$Q133,$G$3)&amp;""),1)="⚠","",IFERROR(MID(IF($G$3="","",INDEX(인턴계획표[[정규화1]:[정규화6]],$Q133,$G$3)&amp;""),FIND(" ",IF($G$3="","",INDEX(인턴계획표[[정규화1]:[정규화6]],$Q133,$G$3)&amp;""))+1,60),""))))</f>
        <v/>
      </c>
      <c r="H133">
        <f>IF($Q133="","",IF(IF($I$3="","",INDEX(인턴계획표[[정규화1]:[정규화6]],$Q133,$I$3)&amp;"")="","",IF(LEFT(IF($I$3="","",INDEX(인턴계획표[[정규화1]:[정규화6]],$Q133,$I$3)&amp;""),1)="⚠",IF($I$3="","",INDEX(인턴계획표[[정규화1]:[정규화6]],$Q133,$I$3)&amp;""),IFERROR(LEFT(IF($I$3="","",INDEX(인턴계획표[[정규화1]:[정규화6]],$Q133,$I$3)&amp;""),FIND(" ",IF($I$3="","",INDEX(인턴계획표[[정규화1]:[정규화6]],$Q133,$I$3)&amp;""))-1),IF($I$3="","",INDEX(인턴계획표[[정규화1]:[정규화6]],$Q133,$I$3)&amp;"")))))</f>
        <v/>
      </c>
      <c r="I133">
        <f>IF($Q133="","",IF(IF($I$3="","",INDEX(인턴계획표[[정규화1]:[정규화6]],$Q133,$I$3)&amp;"")="","",IF(LEFT(IF($I$3="","",INDEX(인턴계획표[[정규화1]:[정규화6]],$Q133,$I$3)&amp;""),1)="⚠","",IFERROR(MID(IF($I$3="","",INDEX(인턴계획표[[정규화1]:[정규화6]],$Q133,$I$3)&amp;""),FIND(" ",IF($I$3="","",INDEX(인턴계획표[[정규화1]:[정규화6]],$Q133,$I$3)&amp;""))+1,60),""))))</f>
        <v/>
      </c>
      <c r="J133">
        <f>IF($Q133="","",INDEX(인턴계획표[정규화1],$Q133))</f>
        <v/>
      </c>
      <c r="K133">
        <f>IF($Q133="","",INDEX(인턴계획표[정규화2],$Q133))</f>
        <v/>
      </c>
      <c r="L133">
        <f>IF($Q133="","",INDEX(인턴계획표[정규화3],$Q133))</f>
        <v/>
      </c>
      <c r="M133">
        <f>IF($Q133="","",INDEX(인턴계획표[정규화4],$Q133))</f>
        <v/>
      </c>
      <c r="N133">
        <f>IF($Q133="","",INDEX(인턴계획표[정규화5],$Q133))</f>
        <v/>
      </c>
      <c r="O133">
        <f>IF($Q133="","",INDEX(인턴계획표[정규화6],$Q133))</f>
        <v/>
      </c>
      <c r="P133">
        <f>IF($Q133="","",INDEX(인턴계획표[입력오류],$Q133))</f>
        <v/>
      </c>
      <c r="Q133" s="17">
        <f>IFERROR(MATCH(128,인턴계획표[표시순번],0),"")</f>
        <v/>
      </c>
    </row>
    <row r="134">
      <c r="A134">
        <f>IF($Q134="","",INDEX(인턴계획표[순번],$Q134)&amp;"")</f>
        <v/>
      </c>
      <c r="B134">
        <f>IF($Q134="","",TRIM(INDEX(인턴계획표[이름],$Q134)&amp;""))</f>
        <v/>
      </c>
      <c r="C134">
        <f>IF($Q134="","",INDEX(인턴계획표[사번],$Q134)&amp;"")</f>
        <v/>
      </c>
      <c r="D134">
        <f>IF($Q134="","",IF(COUNTIF(기본자료표[사번키],INDEX(인턴계획표[사번키],$Q134))&gt;0,"확인","미등록"))</f>
        <v/>
      </c>
      <c r="E134">
        <f>IF($Q134="","",IF(ISNUMBER(INDEX(인턴계획표[입사일(비고)],$Q134)),TEXT(INDEX(인턴계획표[입사일(비고)],$Q134),"yyyy-mm-dd"),INDEX(인턴계획표[입사일(비고)],$Q134)&amp;""))</f>
        <v/>
      </c>
      <c r="F134">
        <f>IF($Q134="","",IF(IF($G$3="","",INDEX(인턴계획표[[정규화1]:[정규화6]],$Q134,$G$3)&amp;"")="","",IF(LEFT(IF($G$3="","",INDEX(인턴계획표[[정규화1]:[정규화6]],$Q134,$G$3)&amp;""),1)="⚠",IF($G$3="","",INDEX(인턴계획표[[정규화1]:[정규화6]],$Q134,$G$3)&amp;""),IFERROR(LEFT(IF($G$3="","",INDEX(인턴계획표[[정규화1]:[정규화6]],$Q134,$G$3)&amp;""),FIND(" ",IF($G$3="","",INDEX(인턴계획표[[정규화1]:[정규화6]],$Q134,$G$3)&amp;""))-1),IF($G$3="","",INDEX(인턴계획표[[정규화1]:[정규화6]],$Q134,$G$3)&amp;"")))))</f>
        <v/>
      </c>
      <c r="G134">
        <f>IF($Q134="","",IF(IF($G$3="","",INDEX(인턴계획표[[정규화1]:[정규화6]],$Q134,$G$3)&amp;"")="","",IF(LEFT(IF($G$3="","",INDEX(인턴계획표[[정규화1]:[정규화6]],$Q134,$G$3)&amp;""),1)="⚠","",IFERROR(MID(IF($G$3="","",INDEX(인턴계획표[[정규화1]:[정규화6]],$Q134,$G$3)&amp;""),FIND(" ",IF($G$3="","",INDEX(인턴계획표[[정규화1]:[정규화6]],$Q134,$G$3)&amp;""))+1,60),""))))</f>
        <v/>
      </c>
      <c r="H134">
        <f>IF($Q134="","",IF(IF($I$3="","",INDEX(인턴계획표[[정규화1]:[정규화6]],$Q134,$I$3)&amp;"")="","",IF(LEFT(IF($I$3="","",INDEX(인턴계획표[[정규화1]:[정규화6]],$Q134,$I$3)&amp;""),1)="⚠",IF($I$3="","",INDEX(인턴계획표[[정규화1]:[정규화6]],$Q134,$I$3)&amp;""),IFERROR(LEFT(IF($I$3="","",INDEX(인턴계획표[[정규화1]:[정규화6]],$Q134,$I$3)&amp;""),FIND(" ",IF($I$3="","",INDEX(인턴계획표[[정규화1]:[정규화6]],$Q134,$I$3)&amp;""))-1),IF($I$3="","",INDEX(인턴계획표[[정규화1]:[정규화6]],$Q134,$I$3)&amp;"")))))</f>
        <v/>
      </c>
      <c r="I134">
        <f>IF($Q134="","",IF(IF($I$3="","",INDEX(인턴계획표[[정규화1]:[정규화6]],$Q134,$I$3)&amp;"")="","",IF(LEFT(IF($I$3="","",INDEX(인턴계획표[[정규화1]:[정규화6]],$Q134,$I$3)&amp;""),1)="⚠","",IFERROR(MID(IF($I$3="","",INDEX(인턴계획표[[정규화1]:[정규화6]],$Q134,$I$3)&amp;""),FIND(" ",IF($I$3="","",INDEX(인턴계획표[[정규화1]:[정규화6]],$Q134,$I$3)&amp;""))+1,60),""))))</f>
        <v/>
      </c>
      <c r="J134">
        <f>IF($Q134="","",INDEX(인턴계획표[정규화1],$Q134))</f>
        <v/>
      </c>
      <c r="K134">
        <f>IF($Q134="","",INDEX(인턴계획표[정규화2],$Q134))</f>
        <v/>
      </c>
      <c r="L134">
        <f>IF($Q134="","",INDEX(인턴계획표[정규화3],$Q134))</f>
        <v/>
      </c>
      <c r="M134">
        <f>IF($Q134="","",INDEX(인턴계획표[정규화4],$Q134))</f>
        <v/>
      </c>
      <c r="N134">
        <f>IF($Q134="","",INDEX(인턴계획표[정규화5],$Q134))</f>
        <v/>
      </c>
      <c r="O134">
        <f>IF($Q134="","",INDEX(인턴계획표[정규화6],$Q134))</f>
        <v/>
      </c>
      <c r="P134">
        <f>IF($Q134="","",INDEX(인턴계획표[입력오류],$Q134))</f>
        <v/>
      </c>
      <c r="Q134" s="17">
        <f>IFERROR(MATCH(129,인턴계획표[표시순번],0),"")</f>
        <v/>
      </c>
    </row>
    <row r="135">
      <c r="A135">
        <f>IF($Q135="","",INDEX(인턴계획표[순번],$Q135)&amp;"")</f>
        <v/>
      </c>
      <c r="B135">
        <f>IF($Q135="","",TRIM(INDEX(인턴계획표[이름],$Q135)&amp;""))</f>
        <v/>
      </c>
      <c r="C135">
        <f>IF($Q135="","",INDEX(인턴계획표[사번],$Q135)&amp;"")</f>
        <v/>
      </c>
      <c r="D135">
        <f>IF($Q135="","",IF(COUNTIF(기본자료표[사번키],INDEX(인턴계획표[사번키],$Q135))&gt;0,"확인","미등록"))</f>
        <v/>
      </c>
      <c r="E135">
        <f>IF($Q135="","",IF(ISNUMBER(INDEX(인턴계획표[입사일(비고)],$Q135)),TEXT(INDEX(인턴계획표[입사일(비고)],$Q135),"yyyy-mm-dd"),INDEX(인턴계획표[입사일(비고)],$Q135)&amp;""))</f>
        <v/>
      </c>
      <c r="F135">
        <f>IF($Q135="","",IF(IF($G$3="","",INDEX(인턴계획표[[정규화1]:[정규화6]],$Q135,$G$3)&amp;"")="","",IF(LEFT(IF($G$3="","",INDEX(인턴계획표[[정규화1]:[정규화6]],$Q135,$G$3)&amp;""),1)="⚠",IF($G$3="","",INDEX(인턴계획표[[정규화1]:[정규화6]],$Q135,$G$3)&amp;""),IFERROR(LEFT(IF($G$3="","",INDEX(인턴계획표[[정규화1]:[정규화6]],$Q135,$G$3)&amp;""),FIND(" ",IF($G$3="","",INDEX(인턴계획표[[정규화1]:[정규화6]],$Q135,$G$3)&amp;""))-1),IF($G$3="","",INDEX(인턴계획표[[정규화1]:[정규화6]],$Q135,$G$3)&amp;"")))))</f>
        <v/>
      </c>
      <c r="G135">
        <f>IF($Q135="","",IF(IF($G$3="","",INDEX(인턴계획표[[정규화1]:[정규화6]],$Q135,$G$3)&amp;"")="","",IF(LEFT(IF($G$3="","",INDEX(인턴계획표[[정규화1]:[정규화6]],$Q135,$G$3)&amp;""),1)="⚠","",IFERROR(MID(IF($G$3="","",INDEX(인턴계획표[[정규화1]:[정규화6]],$Q135,$G$3)&amp;""),FIND(" ",IF($G$3="","",INDEX(인턴계획표[[정규화1]:[정규화6]],$Q135,$G$3)&amp;""))+1,60),""))))</f>
        <v/>
      </c>
      <c r="H135">
        <f>IF($Q135="","",IF(IF($I$3="","",INDEX(인턴계획표[[정규화1]:[정규화6]],$Q135,$I$3)&amp;"")="","",IF(LEFT(IF($I$3="","",INDEX(인턴계획표[[정규화1]:[정규화6]],$Q135,$I$3)&amp;""),1)="⚠",IF($I$3="","",INDEX(인턴계획표[[정규화1]:[정규화6]],$Q135,$I$3)&amp;""),IFERROR(LEFT(IF($I$3="","",INDEX(인턴계획표[[정규화1]:[정규화6]],$Q135,$I$3)&amp;""),FIND(" ",IF($I$3="","",INDEX(인턴계획표[[정규화1]:[정규화6]],$Q135,$I$3)&amp;""))-1),IF($I$3="","",INDEX(인턴계획표[[정규화1]:[정규화6]],$Q135,$I$3)&amp;"")))))</f>
        <v/>
      </c>
      <c r="I135">
        <f>IF($Q135="","",IF(IF($I$3="","",INDEX(인턴계획표[[정규화1]:[정규화6]],$Q135,$I$3)&amp;"")="","",IF(LEFT(IF($I$3="","",INDEX(인턴계획표[[정규화1]:[정규화6]],$Q135,$I$3)&amp;""),1)="⚠","",IFERROR(MID(IF($I$3="","",INDEX(인턴계획표[[정규화1]:[정규화6]],$Q135,$I$3)&amp;""),FIND(" ",IF($I$3="","",INDEX(인턴계획표[[정규화1]:[정규화6]],$Q135,$I$3)&amp;""))+1,60),""))))</f>
        <v/>
      </c>
      <c r="J135">
        <f>IF($Q135="","",INDEX(인턴계획표[정규화1],$Q135))</f>
        <v/>
      </c>
      <c r="K135">
        <f>IF($Q135="","",INDEX(인턴계획표[정규화2],$Q135))</f>
        <v/>
      </c>
      <c r="L135">
        <f>IF($Q135="","",INDEX(인턴계획표[정규화3],$Q135))</f>
        <v/>
      </c>
      <c r="M135">
        <f>IF($Q135="","",INDEX(인턴계획표[정규화4],$Q135))</f>
        <v/>
      </c>
      <c r="N135">
        <f>IF($Q135="","",INDEX(인턴계획표[정규화5],$Q135))</f>
        <v/>
      </c>
      <c r="O135">
        <f>IF($Q135="","",INDEX(인턴계획표[정규화6],$Q135))</f>
        <v/>
      </c>
      <c r="P135">
        <f>IF($Q135="","",INDEX(인턴계획표[입력오류],$Q135))</f>
        <v/>
      </c>
      <c r="Q135" s="17">
        <f>IFERROR(MATCH(130,인턴계획표[표시순번],0),"")</f>
        <v/>
      </c>
    </row>
    <row r="136">
      <c r="A136">
        <f>IF($Q136="","",INDEX(인턴계획표[순번],$Q136)&amp;"")</f>
        <v/>
      </c>
      <c r="B136">
        <f>IF($Q136="","",TRIM(INDEX(인턴계획표[이름],$Q136)&amp;""))</f>
        <v/>
      </c>
      <c r="C136">
        <f>IF($Q136="","",INDEX(인턴계획표[사번],$Q136)&amp;"")</f>
        <v/>
      </c>
      <c r="D136">
        <f>IF($Q136="","",IF(COUNTIF(기본자료표[사번키],INDEX(인턴계획표[사번키],$Q136))&gt;0,"확인","미등록"))</f>
        <v/>
      </c>
      <c r="E136">
        <f>IF($Q136="","",IF(ISNUMBER(INDEX(인턴계획표[입사일(비고)],$Q136)),TEXT(INDEX(인턴계획표[입사일(비고)],$Q136),"yyyy-mm-dd"),INDEX(인턴계획표[입사일(비고)],$Q136)&amp;""))</f>
        <v/>
      </c>
      <c r="F136">
        <f>IF($Q136="","",IF(IF($G$3="","",INDEX(인턴계획표[[정규화1]:[정규화6]],$Q136,$G$3)&amp;"")="","",IF(LEFT(IF($G$3="","",INDEX(인턴계획표[[정규화1]:[정규화6]],$Q136,$G$3)&amp;""),1)="⚠",IF($G$3="","",INDEX(인턴계획표[[정규화1]:[정규화6]],$Q136,$G$3)&amp;""),IFERROR(LEFT(IF($G$3="","",INDEX(인턴계획표[[정규화1]:[정규화6]],$Q136,$G$3)&amp;""),FIND(" ",IF($G$3="","",INDEX(인턴계획표[[정규화1]:[정규화6]],$Q136,$G$3)&amp;""))-1),IF($G$3="","",INDEX(인턴계획표[[정규화1]:[정규화6]],$Q136,$G$3)&amp;"")))))</f>
        <v/>
      </c>
      <c r="G136">
        <f>IF($Q136="","",IF(IF($G$3="","",INDEX(인턴계획표[[정규화1]:[정규화6]],$Q136,$G$3)&amp;"")="","",IF(LEFT(IF($G$3="","",INDEX(인턴계획표[[정규화1]:[정규화6]],$Q136,$G$3)&amp;""),1)="⚠","",IFERROR(MID(IF($G$3="","",INDEX(인턴계획표[[정규화1]:[정규화6]],$Q136,$G$3)&amp;""),FIND(" ",IF($G$3="","",INDEX(인턴계획표[[정규화1]:[정규화6]],$Q136,$G$3)&amp;""))+1,60),""))))</f>
        <v/>
      </c>
      <c r="H136">
        <f>IF($Q136="","",IF(IF($I$3="","",INDEX(인턴계획표[[정규화1]:[정규화6]],$Q136,$I$3)&amp;"")="","",IF(LEFT(IF($I$3="","",INDEX(인턴계획표[[정규화1]:[정규화6]],$Q136,$I$3)&amp;""),1)="⚠",IF($I$3="","",INDEX(인턴계획표[[정규화1]:[정규화6]],$Q136,$I$3)&amp;""),IFERROR(LEFT(IF($I$3="","",INDEX(인턴계획표[[정규화1]:[정규화6]],$Q136,$I$3)&amp;""),FIND(" ",IF($I$3="","",INDEX(인턴계획표[[정규화1]:[정규화6]],$Q136,$I$3)&amp;""))-1),IF($I$3="","",INDEX(인턴계획표[[정규화1]:[정규화6]],$Q136,$I$3)&amp;"")))))</f>
        <v/>
      </c>
      <c r="I136">
        <f>IF($Q136="","",IF(IF($I$3="","",INDEX(인턴계획표[[정규화1]:[정규화6]],$Q136,$I$3)&amp;"")="","",IF(LEFT(IF($I$3="","",INDEX(인턴계획표[[정규화1]:[정규화6]],$Q136,$I$3)&amp;""),1)="⚠","",IFERROR(MID(IF($I$3="","",INDEX(인턴계획표[[정규화1]:[정규화6]],$Q136,$I$3)&amp;""),FIND(" ",IF($I$3="","",INDEX(인턴계획표[[정규화1]:[정규화6]],$Q136,$I$3)&amp;""))+1,60),""))))</f>
        <v/>
      </c>
      <c r="J136">
        <f>IF($Q136="","",INDEX(인턴계획표[정규화1],$Q136))</f>
        <v/>
      </c>
      <c r="K136">
        <f>IF($Q136="","",INDEX(인턴계획표[정규화2],$Q136))</f>
        <v/>
      </c>
      <c r="L136">
        <f>IF($Q136="","",INDEX(인턴계획표[정규화3],$Q136))</f>
        <v/>
      </c>
      <c r="M136">
        <f>IF($Q136="","",INDEX(인턴계획표[정규화4],$Q136))</f>
        <v/>
      </c>
      <c r="N136">
        <f>IF($Q136="","",INDEX(인턴계획표[정규화5],$Q136))</f>
        <v/>
      </c>
      <c r="O136">
        <f>IF($Q136="","",INDEX(인턴계획표[정규화6],$Q136))</f>
        <v/>
      </c>
      <c r="P136">
        <f>IF($Q136="","",INDEX(인턴계획표[입력오류],$Q136))</f>
        <v/>
      </c>
      <c r="Q136" s="17">
        <f>IFERROR(MATCH(131,인턴계획표[표시순번],0),"")</f>
        <v/>
      </c>
    </row>
    <row r="137">
      <c r="A137">
        <f>IF($Q137="","",INDEX(인턴계획표[순번],$Q137)&amp;"")</f>
        <v/>
      </c>
      <c r="B137">
        <f>IF($Q137="","",TRIM(INDEX(인턴계획표[이름],$Q137)&amp;""))</f>
        <v/>
      </c>
      <c r="C137">
        <f>IF($Q137="","",INDEX(인턴계획표[사번],$Q137)&amp;"")</f>
        <v/>
      </c>
      <c r="D137">
        <f>IF($Q137="","",IF(COUNTIF(기본자료표[사번키],INDEX(인턴계획표[사번키],$Q137))&gt;0,"확인","미등록"))</f>
        <v/>
      </c>
      <c r="E137">
        <f>IF($Q137="","",IF(ISNUMBER(INDEX(인턴계획표[입사일(비고)],$Q137)),TEXT(INDEX(인턴계획표[입사일(비고)],$Q137),"yyyy-mm-dd"),INDEX(인턴계획표[입사일(비고)],$Q137)&amp;""))</f>
        <v/>
      </c>
      <c r="F137">
        <f>IF($Q137="","",IF(IF($G$3="","",INDEX(인턴계획표[[정규화1]:[정규화6]],$Q137,$G$3)&amp;"")="","",IF(LEFT(IF($G$3="","",INDEX(인턴계획표[[정규화1]:[정규화6]],$Q137,$G$3)&amp;""),1)="⚠",IF($G$3="","",INDEX(인턴계획표[[정규화1]:[정규화6]],$Q137,$G$3)&amp;""),IFERROR(LEFT(IF($G$3="","",INDEX(인턴계획표[[정규화1]:[정규화6]],$Q137,$G$3)&amp;""),FIND(" ",IF($G$3="","",INDEX(인턴계획표[[정규화1]:[정규화6]],$Q137,$G$3)&amp;""))-1),IF($G$3="","",INDEX(인턴계획표[[정규화1]:[정규화6]],$Q137,$G$3)&amp;"")))))</f>
        <v/>
      </c>
      <c r="G137">
        <f>IF($Q137="","",IF(IF($G$3="","",INDEX(인턴계획표[[정규화1]:[정규화6]],$Q137,$G$3)&amp;"")="","",IF(LEFT(IF($G$3="","",INDEX(인턴계획표[[정규화1]:[정규화6]],$Q137,$G$3)&amp;""),1)="⚠","",IFERROR(MID(IF($G$3="","",INDEX(인턴계획표[[정규화1]:[정규화6]],$Q137,$G$3)&amp;""),FIND(" ",IF($G$3="","",INDEX(인턴계획표[[정규화1]:[정규화6]],$Q137,$G$3)&amp;""))+1,60),""))))</f>
        <v/>
      </c>
      <c r="H137">
        <f>IF($Q137="","",IF(IF($I$3="","",INDEX(인턴계획표[[정규화1]:[정규화6]],$Q137,$I$3)&amp;"")="","",IF(LEFT(IF($I$3="","",INDEX(인턴계획표[[정규화1]:[정규화6]],$Q137,$I$3)&amp;""),1)="⚠",IF($I$3="","",INDEX(인턴계획표[[정규화1]:[정규화6]],$Q137,$I$3)&amp;""),IFERROR(LEFT(IF($I$3="","",INDEX(인턴계획표[[정규화1]:[정규화6]],$Q137,$I$3)&amp;""),FIND(" ",IF($I$3="","",INDEX(인턴계획표[[정규화1]:[정규화6]],$Q137,$I$3)&amp;""))-1),IF($I$3="","",INDEX(인턴계획표[[정규화1]:[정규화6]],$Q137,$I$3)&amp;"")))))</f>
        <v/>
      </c>
      <c r="I137">
        <f>IF($Q137="","",IF(IF($I$3="","",INDEX(인턴계획표[[정규화1]:[정규화6]],$Q137,$I$3)&amp;"")="","",IF(LEFT(IF($I$3="","",INDEX(인턴계획표[[정규화1]:[정규화6]],$Q137,$I$3)&amp;""),1)="⚠","",IFERROR(MID(IF($I$3="","",INDEX(인턴계획표[[정규화1]:[정규화6]],$Q137,$I$3)&amp;""),FIND(" ",IF($I$3="","",INDEX(인턴계획표[[정규화1]:[정규화6]],$Q137,$I$3)&amp;""))+1,60),""))))</f>
        <v/>
      </c>
      <c r="J137">
        <f>IF($Q137="","",INDEX(인턴계획표[정규화1],$Q137))</f>
        <v/>
      </c>
      <c r="K137">
        <f>IF($Q137="","",INDEX(인턴계획표[정규화2],$Q137))</f>
        <v/>
      </c>
      <c r="L137">
        <f>IF($Q137="","",INDEX(인턴계획표[정규화3],$Q137))</f>
        <v/>
      </c>
      <c r="M137">
        <f>IF($Q137="","",INDEX(인턴계획표[정규화4],$Q137))</f>
        <v/>
      </c>
      <c r="N137">
        <f>IF($Q137="","",INDEX(인턴계획표[정규화5],$Q137))</f>
        <v/>
      </c>
      <c r="O137">
        <f>IF($Q137="","",INDEX(인턴계획표[정규화6],$Q137))</f>
        <v/>
      </c>
      <c r="P137">
        <f>IF($Q137="","",INDEX(인턴계획표[입력오류],$Q137))</f>
        <v/>
      </c>
      <c r="Q137" s="17">
        <f>IFERROR(MATCH(132,인턴계획표[표시순번],0),"")</f>
        <v/>
      </c>
    </row>
    <row r="138">
      <c r="A138">
        <f>IF($Q138="","",INDEX(인턴계획표[순번],$Q138)&amp;"")</f>
        <v/>
      </c>
      <c r="B138">
        <f>IF($Q138="","",TRIM(INDEX(인턴계획표[이름],$Q138)&amp;""))</f>
        <v/>
      </c>
      <c r="C138">
        <f>IF($Q138="","",INDEX(인턴계획표[사번],$Q138)&amp;"")</f>
        <v/>
      </c>
      <c r="D138">
        <f>IF($Q138="","",IF(COUNTIF(기본자료표[사번키],INDEX(인턴계획표[사번키],$Q138))&gt;0,"확인","미등록"))</f>
        <v/>
      </c>
      <c r="E138">
        <f>IF($Q138="","",IF(ISNUMBER(INDEX(인턴계획표[입사일(비고)],$Q138)),TEXT(INDEX(인턴계획표[입사일(비고)],$Q138),"yyyy-mm-dd"),INDEX(인턴계획표[입사일(비고)],$Q138)&amp;""))</f>
        <v/>
      </c>
      <c r="F138">
        <f>IF($Q138="","",IF(IF($G$3="","",INDEX(인턴계획표[[정규화1]:[정규화6]],$Q138,$G$3)&amp;"")="","",IF(LEFT(IF($G$3="","",INDEX(인턴계획표[[정규화1]:[정규화6]],$Q138,$G$3)&amp;""),1)="⚠",IF($G$3="","",INDEX(인턴계획표[[정규화1]:[정규화6]],$Q138,$G$3)&amp;""),IFERROR(LEFT(IF($G$3="","",INDEX(인턴계획표[[정규화1]:[정규화6]],$Q138,$G$3)&amp;""),FIND(" ",IF($G$3="","",INDEX(인턴계획표[[정규화1]:[정규화6]],$Q138,$G$3)&amp;""))-1),IF($G$3="","",INDEX(인턴계획표[[정규화1]:[정규화6]],$Q138,$G$3)&amp;"")))))</f>
        <v/>
      </c>
      <c r="G138">
        <f>IF($Q138="","",IF(IF($G$3="","",INDEX(인턴계획표[[정규화1]:[정규화6]],$Q138,$G$3)&amp;"")="","",IF(LEFT(IF($G$3="","",INDEX(인턴계획표[[정규화1]:[정규화6]],$Q138,$G$3)&amp;""),1)="⚠","",IFERROR(MID(IF($G$3="","",INDEX(인턴계획표[[정규화1]:[정규화6]],$Q138,$G$3)&amp;""),FIND(" ",IF($G$3="","",INDEX(인턴계획표[[정규화1]:[정규화6]],$Q138,$G$3)&amp;""))+1,60),""))))</f>
        <v/>
      </c>
      <c r="H138">
        <f>IF($Q138="","",IF(IF($I$3="","",INDEX(인턴계획표[[정규화1]:[정규화6]],$Q138,$I$3)&amp;"")="","",IF(LEFT(IF($I$3="","",INDEX(인턴계획표[[정규화1]:[정규화6]],$Q138,$I$3)&amp;""),1)="⚠",IF($I$3="","",INDEX(인턴계획표[[정규화1]:[정규화6]],$Q138,$I$3)&amp;""),IFERROR(LEFT(IF($I$3="","",INDEX(인턴계획표[[정규화1]:[정규화6]],$Q138,$I$3)&amp;""),FIND(" ",IF($I$3="","",INDEX(인턴계획표[[정규화1]:[정규화6]],$Q138,$I$3)&amp;""))-1),IF($I$3="","",INDEX(인턴계획표[[정규화1]:[정규화6]],$Q138,$I$3)&amp;"")))))</f>
        <v/>
      </c>
      <c r="I138">
        <f>IF($Q138="","",IF(IF($I$3="","",INDEX(인턴계획표[[정규화1]:[정규화6]],$Q138,$I$3)&amp;"")="","",IF(LEFT(IF($I$3="","",INDEX(인턴계획표[[정규화1]:[정규화6]],$Q138,$I$3)&amp;""),1)="⚠","",IFERROR(MID(IF($I$3="","",INDEX(인턴계획표[[정규화1]:[정규화6]],$Q138,$I$3)&amp;""),FIND(" ",IF($I$3="","",INDEX(인턴계획표[[정규화1]:[정규화6]],$Q138,$I$3)&amp;""))+1,60),""))))</f>
        <v/>
      </c>
      <c r="J138">
        <f>IF($Q138="","",INDEX(인턴계획표[정규화1],$Q138))</f>
        <v/>
      </c>
      <c r="K138">
        <f>IF($Q138="","",INDEX(인턴계획표[정규화2],$Q138))</f>
        <v/>
      </c>
      <c r="L138">
        <f>IF($Q138="","",INDEX(인턴계획표[정규화3],$Q138))</f>
        <v/>
      </c>
      <c r="M138">
        <f>IF($Q138="","",INDEX(인턴계획표[정규화4],$Q138))</f>
        <v/>
      </c>
      <c r="N138">
        <f>IF($Q138="","",INDEX(인턴계획표[정규화5],$Q138))</f>
        <v/>
      </c>
      <c r="O138">
        <f>IF($Q138="","",INDEX(인턴계획표[정규화6],$Q138))</f>
        <v/>
      </c>
      <c r="P138">
        <f>IF($Q138="","",INDEX(인턴계획표[입력오류],$Q138))</f>
        <v/>
      </c>
      <c r="Q138" s="17">
        <f>IFERROR(MATCH(133,인턴계획표[표시순번],0),"")</f>
        <v/>
      </c>
    </row>
    <row r="139">
      <c r="A139">
        <f>IF($Q139="","",INDEX(인턴계획표[순번],$Q139)&amp;"")</f>
        <v/>
      </c>
      <c r="B139">
        <f>IF($Q139="","",TRIM(INDEX(인턴계획표[이름],$Q139)&amp;""))</f>
        <v/>
      </c>
      <c r="C139">
        <f>IF($Q139="","",INDEX(인턴계획표[사번],$Q139)&amp;"")</f>
        <v/>
      </c>
      <c r="D139">
        <f>IF($Q139="","",IF(COUNTIF(기본자료표[사번키],INDEX(인턴계획표[사번키],$Q139))&gt;0,"확인","미등록"))</f>
        <v/>
      </c>
      <c r="E139">
        <f>IF($Q139="","",IF(ISNUMBER(INDEX(인턴계획표[입사일(비고)],$Q139)),TEXT(INDEX(인턴계획표[입사일(비고)],$Q139),"yyyy-mm-dd"),INDEX(인턴계획표[입사일(비고)],$Q139)&amp;""))</f>
        <v/>
      </c>
      <c r="F139">
        <f>IF($Q139="","",IF(IF($G$3="","",INDEX(인턴계획표[[정규화1]:[정규화6]],$Q139,$G$3)&amp;"")="","",IF(LEFT(IF($G$3="","",INDEX(인턴계획표[[정규화1]:[정규화6]],$Q139,$G$3)&amp;""),1)="⚠",IF($G$3="","",INDEX(인턴계획표[[정규화1]:[정규화6]],$Q139,$G$3)&amp;""),IFERROR(LEFT(IF($G$3="","",INDEX(인턴계획표[[정규화1]:[정규화6]],$Q139,$G$3)&amp;""),FIND(" ",IF($G$3="","",INDEX(인턴계획표[[정규화1]:[정규화6]],$Q139,$G$3)&amp;""))-1),IF($G$3="","",INDEX(인턴계획표[[정규화1]:[정규화6]],$Q139,$G$3)&amp;"")))))</f>
        <v/>
      </c>
      <c r="G139">
        <f>IF($Q139="","",IF(IF($G$3="","",INDEX(인턴계획표[[정규화1]:[정규화6]],$Q139,$G$3)&amp;"")="","",IF(LEFT(IF($G$3="","",INDEX(인턴계획표[[정규화1]:[정규화6]],$Q139,$G$3)&amp;""),1)="⚠","",IFERROR(MID(IF($G$3="","",INDEX(인턴계획표[[정규화1]:[정규화6]],$Q139,$G$3)&amp;""),FIND(" ",IF($G$3="","",INDEX(인턴계획표[[정규화1]:[정규화6]],$Q139,$G$3)&amp;""))+1,60),""))))</f>
        <v/>
      </c>
      <c r="H139">
        <f>IF($Q139="","",IF(IF($I$3="","",INDEX(인턴계획표[[정규화1]:[정규화6]],$Q139,$I$3)&amp;"")="","",IF(LEFT(IF($I$3="","",INDEX(인턴계획표[[정규화1]:[정규화6]],$Q139,$I$3)&amp;""),1)="⚠",IF($I$3="","",INDEX(인턴계획표[[정규화1]:[정규화6]],$Q139,$I$3)&amp;""),IFERROR(LEFT(IF($I$3="","",INDEX(인턴계획표[[정규화1]:[정규화6]],$Q139,$I$3)&amp;""),FIND(" ",IF($I$3="","",INDEX(인턴계획표[[정규화1]:[정규화6]],$Q139,$I$3)&amp;""))-1),IF($I$3="","",INDEX(인턴계획표[[정규화1]:[정규화6]],$Q139,$I$3)&amp;"")))))</f>
        <v/>
      </c>
      <c r="I139">
        <f>IF($Q139="","",IF(IF($I$3="","",INDEX(인턴계획표[[정규화1]:[정규화6]],$Q139,$I$3)&amp;"")="","",IF(LEFT(IF($I$3="","",INDEX(인턴계획표[[정규화1]:[정규화6]],$Q139,$I$3)&amp;""),1)="⚠","",IFERROR(MID(IF($I$3="","",INDEX(인턴계획표[[정규화1]:[정규화6]],$Q139,$I$3)&amp;""),FIND(" ",IF($I$3="","",INDEX(인턴계획표[[정규화1]:[정규화6]],$Q139,$I$3)&amp;""))+1,60),""))))</f>
        <v/>
      </c>
      <c r="J139">
        <f>IF($Q139="","",INDEX(인턴계획표[정규화1],$Q139))</f>
        <v/>
      </c>
      <c r="K139">
        <f>IF($Q139="","",INDEX(인턴계획표[정규화2],$Q139))</f>
        <v/>
      </c>
      <c r="L139">
        <f>IF($Q139="","",INDEX(인턴계획표[정규화3],$Q139))</f>
        <v/>
      </c>
      <c r="M139">
        <f>IF($Q139="","",INDEX(인턴계획표[정규화4],$Q139))</f>
        <v/>
      </c>
      <c r="N139">
        <f>IF($Q139="","",INDEX(인턴계획표[정규화5],$Q139))</f>
        <v/>
      </c>
      <c r="O139">
        <f>IF($Q139="","",INDEX(인턴계획표[정규화6],$Q139))</f>
        <v/>
      </c>
      <c r="P139">
        <f>IF($Q139="","",INDEX(인턴계획표[입력오류],$Q139))</f>
        <v/>
      </c>
      <c r="Q139" s="17">
        <f>IFERROR(MATCH(134,인턴계획표[표시순번],0),"")</f>
        <v/>
      </c>
    </row>
    <row r="140">
      <c r="A140">
        <f>IF($Q140="","",INDEX(인턴계획표[순번],$Q140)&amp;"")</f>
        <v/>
      </c>
      <c r="B140">
        <f>IF($Q140="","",TRIM(INDEX(인턴계획표[이름],$Q140)&amp;""))</f>
        <v/>
      </c>
      <c r="C140">
        <f>IF($Q140="","",INDEX(인턴계획표[사번],$Q140)&amp;"")</f>
        <v/>
      </c>
      <c r="D140">
        <f>IF($Q140="","",IF(COUNTIF(기본자료표[사번키],INDEX(인턴계획표[사번키],$Q140))&gt;0,"확인","미등록"))</f>
        <v/>
      </c>
      <c r="E140">
        <f>IF($Q140="","",IF(ISNUMBER(INDEX(인턴계획표[입사일(비고)],$Q140)),TEXT(INDEX(인턴계획표[입사일(비고)],$Q140),"yyyy-mm-dd"),INDEX(인턴계획표[입사일(비고)],$Q140)&amp;""))</f>
        <v/>
      </c>
      <c r="F140">
        <f>IF($Q140="","",IF(IF($G$3="","",INDEX(인턴계획표[[정규화1]:[정규화6]],$Q140,$G$3)&amp;"")="","",IF(LEFT(IF($G$3="","",INDEX(인턴계획표[[정규화1]:[정규화6]],$Q140,$G$3)&amp;""),1)="⚠",IF($G$3="","",INDEX(인턴계획표[[정규화1]:[정규화6]],$Q140,$G$3)&amp;""),IFERROR(LEFT(IF($G$3="","",INDEX(인턴계획표[[정규화1]:[정규화6]],$Q140,$G$3)&amp;""),FIND(" ",IF($G$3="","",INDEX(인턴계획표[[정규화1]:[정규화6]],$Q140,$G$3)&amp;""))-1),IF($G$3="","",INDEX(인턴계획표[[정규화1]:[정규화6]],$Q140,$G$3)&amp;"")))))</f>
        <v/>
      </c>
      <c r="G140">
        <f>IF($Q140="","",IF(IF($G$3="","",INDEX(인턴계획표[[정규화1]:[정규화6]],$Q140,$G$3)&amp;"")="","",IF(LEFT(IF($G$3="","",INDEX(인턴계획표[[정규화1]:[정규화6]],$Q140,$G$3)&amp;""),1)="⚠","",IFERROR(MID(IF($G$3="","",INDEX(인턴계획표[[정규화1]:[정규화6]],$Q140,$G$3)&amp;""),FIND(" ",IF($G$3="","",INDEX(인턴계획표[[정규화1]:[정규화6]],$Q140,$G$3)&amp;""))+1,60),""))))</f>
        <v/>
      </c>
      <c r="H140">
        <f>IF($Q140="","",IF(IF($I$3="","",INDEX(인턴계획표[[정규화1]:[정규화6]],$Q140,$I$3)&amp;"")="","",IF(LEFT(IF($I$3="","",INDEX(인턴계획표[[정규화1]:[정규화6]],$Q140,$I$3)&amp;""),1)="⚠",IF($I$3="","",INDEX(인턴계획표[[정규화1]:[정규화6]],$Q140,$I$3)&amp;""),IFERROR(LEFT(IF($I$3="","",INDEX(인턴계획표[[정규화1]:[정규화6]],$Q140,$I$3)&amp;""),FIND(" ",IF($I$3="","",INDEX(인턴계획표[[정규화1]:[정규화6]],$Q140,$I$3)&amp;""))-1),IF($I$3="","",INDEX(인턴계획표[[정규화1]:[정규화6]],$Q140,$I$3)&amp;"")))))</f>
        <v/>
      </c>
      <c r="I140">
        <f>IF($Q140="","",IF(IF($I$3="","",INDEX(인턴계획표[[정규화1]:[정규화6]],$Q140,$I$3)&amp;"")="","",IF(LEFT(IF($I$3="","",INDEX(인턴계획표[[정규화1]:[정규화6]],$Q140,$I$3)&amp;""),1)="⚠","",IFERROR(MID(IF($I$3="","",INDEX(인턴계획표[[정규화1]:[정규화6]],$Q140,$I$3)&amp;""),FIND(" ",IF($I$3="","",INDEX(인턴계획표[[정규화1]:[정규화6]],$Q140,$I$3)&amp;""))+1,60),""))))</f>
        <v/>
      </c>
      <c r="J140">
        <f>IF($Q140="","",INDEX(인턴계획표[정규화1],$Q140))</f>
        <v/>
      </c>
      <c r="K140">
        <f>IF($Q140="","",INDEX(인턴계획표[정규화2],$Q140))</f>
        <v/>
      </c>
      <c r="L140">
        <f>IF($Q140="","",INDEX(인턴계획표[정규화3],$Q140))</f>
        <v/>
      </c>
      <c r="M140">
        <f>IF($Q140="","",INDEX(인턴계획표[정규화4],$Q140))</f>
        <v/>
      </c>
      <c r="N140">
        <f>IF($Q140="","",INDEX(인턴계획표[정규화5],$Q140))</f>
        <v/>
      </c>
      <c r="O140">
        <f>IF($Q140="","",INDEX(인턴계획표[정규화6],$Q140))</f>
        <v/>
      </c>
      <c r="P140">
        <f>IF($Q140="","",INDEX(인턴계획표[입력오류],$Q140))</f>
        <v/>
      </c>
      <c r="Q140" s="17">
        <f>IFERROR(MATCH(135,인턴계획표[표시순번],0),"")</f>
        <v/>
      </c>
    </row>
    <row r="141">
      <c r="A141">
        <f>IF($Q141="","",INDEX(인턴계획표[순번],$Q141)&amp;"")</f>
        <v/>
      </c>
      <c r="B141">
        <f>IF($Q141="","",TRIM(INDEX(인턴계획표[이름],$Q141)&amp;""))</f>
        <v/>
      </c>
      <c r="C141">
        <f>IF($Q141="","",INDEX(인턴계획표[사번],$Q141)&amp;"")</f>
        <v/>
      </c>
      <c r="D141">
        <f>IF($Q141="","",IF(COUNTIF(기본자료표[사번키],INDEX(인턴계획표[사번키],$Q141))&gt;0,"확인","미등록"))</f>
        <v/>
      </c>
      <c r="E141">
        <f>IF($Q141="","",IF(ISNUMBER(INDEX(인턴계획표[입사일(비고)],$Q141)),TEXT(INDEX(인턴계획표[입사일(비고)],$Q141),"yyyy-mm-dd"),INDEX(인턴계획표[입사일(비고)],$Q141)&amp;""))</f>
        <v/>
      </c>
      <c r="F141">
        <f>IF($Q141="","",IF(IF($G$3="","",INDEX(인턴계획표[[정규화1]:[정규화6]],$Q141,$G$3)&amp;"")="","",IF(LEFT(IF($G$3="","",INDEX(인턴계획표[[정규화1]:[정규화6]],$Q141,$G$3)&amp;""),1)="⚠",IF($G$3="","",INDEX(인턴계획표[[정규화1]:[정규화6]],$Q141,$G$3)&amp;""),IFERROR(LEFT(IF($G$3="","",INDEX(인턴계획표[[정규화1]:[정규화6]],$Q141,$G$3)&amp;""),FIND(" ",IF($G$3="","",INDEX(인턴계획표[[정규화1]:[정규화6]],$Q141,$G$3)&amp;""))-1),IF($G$3="","",INDEX(인턴계획표[[정규화1]:[정규화6]],$Q141,$G$3)&amp;"")))))</f>
        <v/>
      </c>
      <c r="G141">
        <f>IF($Q141="","",IF(IF($G$3="","",INDEX(인턴계획표[[정규화1]:[정규화6]],$Q141,$G$3)&amp;"")="","",IF(LEFT(IF($G$3="","",INDEX(인턴계획표[[정규화1]:[정규화6]],$Q141,$G$3)&amp;""),1)="⚠","",IFERROR(MID(IF($G$3="","",INDEX(인턴계획표[[정규화1]:[정규화6]],$Q141,$G$3)&amp;""),FIND(" ",IF($G$3="","",INDEX(인턴계획표[[정규화1]:[정규화6]],$Q141,$G$3)&amp;""))+1,60),""))))</f>
        <v/>
      </c>
      <c r="H141">
        <f>IF($Q141="","",IF(IF($I$3="","",INDEX(인턴계획표[[정규화1]:[정규화6]],$Q141,$I$3)&amp;"")="","",IF(LEFT(IF($I$3="","",INDEX(인턴계획표[[정규화1]:[정규화6]],$Q141,$I$3)&amp;""),1)="⚠",IF($I$3="","",INDEX(인턴계획표[[정규화1]:[정규화6]],$Q141,$I$3)&amp;""),IFERROR(LEFT(IF($I$3="","",INDEX(인턴계획표[[정규화1]:[정규화6]],$Q141,$I$3)&amp;""),FIND(" ",IF($I$3="","",INDEX(인턴계획표[[정규화1]:[정규화6]],$Q141,$I$3)&amp;""))-1),IF($I$3="","",INDEX(인턴계획표[[정규화1]:[정규화6]],$Q141,$I$3)&amp;"")))))</f>
        <v/>
      </c>
      <c r="I141">
        <f>IF($Q141="","",IF(IF($I$3="","",INDEX(인턴계획표[[정규화1]:[정규화6]],$Q141,$I$3)&amp;"")="","",IF(LEFT(IF($I$3="","",INDEX(인턴계획표[[정규화1]:[정규화6]],$Q141,$I$3)&amp;""),1)="⚠","",IFERROR(MID(IF($I$3="","",INDEX(인턴계획표[[정규화1]:[정규화6]],$Q141,$I$3)&amp;""),FIND(" ",IF($I$3="","",INDEX(인턴계획표[[정규화1]:[정규화6]],$Q141,$I$3)&amp;""))+1,60),""))))</f>
        <v/>
      </c>
      <c r="J141">
        <f>IF($Q141="","",INDEX(인턴계획표[정규화1],$Q141))</f>
        <v/>
      </c>
      <c r="K141">
        <f>IF($Q141="","",INDEX(인턴계획표[정규화2],$Q141))</f>
        <v/>
      </c>
      <c r="L141">
        <f>IF($Q141="","",INDEX(인턴계획표[정규화3],$Q141))</f>
        <v/>
      </c>
      <c r="M141">
        <f>IF($Q141="","",INDEX(인턴계획표[정규화4],$Q141))</f>
        <v/>
      </c>
      <c r="N141">
        <f>IF($Q141="","",INDEX(인턴계획표[정규화5],$Q141))</f>
        <v/>
      </c>
      <c r="O141">
        <f>IF($Q141="","",INDEX(인턴계획표[정규화6],$Q141))</f>
        <v/>
      </c>
      <c r="P141">
        <f>IF($Q141="","",INDEX(인턴계획표[입력오류],$Q141))</f>
        <v/>
      </c>
      <c r="Q141" s="17">
        <f>IFERROR(MATCH(136,인턴계획표[표시순번],0),"")</f>
        <v/>
      </c>
    </row>
    <row r="142">
      <c r="A142">
        <f>IF($Q142="","",INDEX(인턴계획표[순번],$Q142)&amp;"")</f>
        <v/>
      </c>
      <c r="B142">
        <f>IF($Q142="","",TRIM(INDEX(인턴계획표[이름],$Q142)&amp;""))</f>
        <v/>
      </c>
      <c r="C142">
        <f>IF($Q142="","",INDEX(인턴계획표[사번],$Q142)&amp;"")</f>
        <v/>
      </c>
      <c r="D142">
        <f>IF($Q142="","",IF(COUNTIF(기본자료표[사번키],INDEX(인턴계획표[사번키],$Q142))&gt;0,"확인","미등록"))</f>
        <v/>
      </c>
      <c r="E142">
        <f>IF($Q142="","",IF(ISNUMBER(INDEX(인턴계획표[입사일(비고)],$Q142)),TEXT(INDEX(인턴계획표[입사일(비고)],$Q142),"yyyy-mm-dd"),INDEX(인턴계획표[입사일(비고)],$Q142)&amp;""))</f>
        <v/>
      </c>
      <c r="F142">
        <f>IF($Q142="","",IF(IF($G$3="","",INDEX(인턴계획표[[정규화1]:[정규화6]],$Q142,$G$3)&amp;"")="","",IF(LEFT(IF($G$3="","",INDEX(인턴계획표[[정규화1]:[정규화6]],$Q142,$G$3)&amp;""),1)="⚠",IF($G$3="","",INDEX(인턴계획표[[정규화1]:[정규화6]],$Q142,$G$3)&amp;""),IFERROR(LEFT(IF($G$3="","",INDEX(인턴계획표[[정규화1]:[정규화6]],$Q142,$G$3)&amp;""),FIND(" ",IF($G$3="","",INDEX(인턴계획표[[정규화1]:[정규화6]],$Q142,$G$3)&amp;""))-1),IF($G$3="","",INDEX(인턴계획표[[정규화1]:[정규화6]],$Q142,$G$3)&amp;"")))))</f>
        <v/>
      </c>
      <c r="G142">
        <f>IF($Q142="","",IF(IF($G$3="","",INDEX(인턴계획표[[정규화1]:[정규화6]],$Q142,$G$3)&amp;"")="","",IF(LEFT(IF($G$3="","",INDEX(인턴계획표[[정규화1]:[정규화6]],$Q142,$G$3)&amp;""),1)="⚠","",IFERROR(MID(IF($G$3="","",INDEX(인턴계획표[[정규화1]:[정규화6]],$Q142,$G$3)&amp;""),FIND(" ",IF($G$3="","",INDEX(인턴계획표[[정규화1]:[정규화6]],$Q142,$G$3)&amp;""))+1,60),""))))</f>
        <v/>
      </c>
      <c r="H142">
        <f>IF($Q142="","",IF(IF($I$3="","",INDEX(인턴계획표[[정규화1]:[정규화6]],$Q142,$I$3)&amp;"")="","",IF(LEFT(IF($I$3="","",INDEX(인턴계획표[[정규화1]:[정규화6]],$Q142,$I$3)&amp;""),1)="⚠",IF($I$3="","",INDEX(인턴계획표[[정규화1]:[정규화6]],$Q142,$I$3)&amp;""),IFERROR(LEFT(IF($I$3="","",INDEX(인턴계획표[[정규화1]:[정규화6]],$Q142,$I$3)&amp;""),FIND(" ",IF($I$3="","",INDEX(인턴계획표[[정규화1]:[정규화6]],$Q142,$I$3)&amp;""))-1),IF($I$3="","",INDEX(인턴계획표[[정규화1]:[정규화6]],$Q142,$I$3)&amp;"")))))</f>
        <v/>
      </c>
      <c r="I142">
        <f>IF($Q142="","",IF(IF($I$3="","",INDEX(인턴계획표[[정규화1]:[정규화6]],$Q142,$I$3)&amp;"")="","",IF(LEFT(IF($I$3="","",INDEX(인턴계획표[[정규화1]:[정규화6]],$Q142,$I$3)&amp;""),1)="⚠","",IFERROR(MID(IF($I$3="","",INDEX(인턴계획표[[정규화1]:[정규화6]],$Q142,$I$3)&amp;""),FIND(" ",IF($I$3="","",INDEX(인턴계획표[[정규화1]:[정규화6]],$Q142,$I$3)&amp;""))+1,60),""))))</f>
        <v/>
      </c>
      <c r="J142">
        <f>IF($Q142="","",INDEX(인턴계획표[정규화1],$Q142))</f>
        <v/>
      </c>
      <c r="K142">
        <f>IF($Q142="","",INDEX(인턴계획표[정규화2],$Q142))</f>
        <v/>
      </c>
      <c r="L142">
        <f>IF($Q142="","",INDEX(인턴계획표[정규화3],$Q142))</f>
        <v/>
      </c>
      <c r="M142">
        <f>IF($Q142="","",INDEX(인턴계획표[정규화4],$Q142))</f>
        <v/>
      </c>
      <c r="N142">
        <f>IF($Q142="","",INDEX(인턴계획표[정규화5],$Q142))</f>
        <v/>
      </c>
      <c r="O142">
        <f>IF($Q142="","",INDEX(인턴계획표[정규화6],$Q142))</f>
        <v/>
      </c>
      <c r="P142">
        <f>IF($Q142="","",INDEX(인턴계획표[입력오류],$Q142))</f>
        <v/>
      </c>
      <c r="Q142" s="17">
        <f>IFERROR(MATCH(137,인턴계획표[표시순번],0),"")</f>
        <v/>
      </c>
    </row>
    <row r="143">
      <c r="A143">
        <f>IF($Q143="","",INDEX(인턴계획표[순번],$Q143)&amp;"")</f>
        <v/>
      </c>
      <c r="B143">
        <f>IF($Q143="","",TRIM(INDEX(인턴계획표[이름],$Q143)&amp;""))</f>
        <v/>
      </c>
      <c r="C143">
        <f>IF($Q143="","",INDEX(인턴계획표[사번],$Q143)&amp;"")</f>
        <v/>
      </c>
      <c r="D143">
        <f>IF($Q143="","",IF(COUNTIF(기본자료표[사번키],INDEX(인턴계획표[사번키],$Q143))&gt;0,"확인","미등록"))</f>
        <v/>
      </c>
      <c r="E143">
        <f>IF($Q143="","",IF(ISNUMBER(INDEX(인턴계획표[입사일(비고)],$Q143)),TEXT(INDEX(인턴계획표[입사일(비고)],$Q143),"yyyy-mm-dd"),INDEX(인턴계획표[입사일(비고)],$Q143)&amp;""))</f>
        <v/>
      </c>
      <c r="F143">
        <f>IF($Q143="","",IF(IF($G$3="","",INDEX(인턴계획표[[정규화1]:[정규화6]],$Q143,$G$3)&amp;"")="","",IF(LEFT(IF($G$3="","",INDEX(인턴계획표[[정규화1]:[정규화6]],$Q143,$G$3)&amp;""),1)="⚠",IF($G$3="","",INDEX(인턴계획표[[정규화1]:[정규화6]],$Q143,$G$3)&amp;""),IFERROR(LEFT(IF($G$3="","",INDEX(인턴계획표[[정규화1]:[정규화6]],$Q143,$G$3)&amp;""),FIND(" ",IF($G$3="","",INDEX(인턴계획표[[정규화1]:[정규화6]],$Q143,$G$3)&amp;""))-1),IF($G$3="","",INDEX(인턴계획표[[정규화1]:[정규화6]],$Q143,$G$3)&amp;"")))))</f>
        <v/>
      </c>
      <c r="G143">
        <f>IF($Q143="","",IF(IF($G$3="","",INDEX(인턴계획표[[정규화1]:[정규화6]],$Q143,$G$3)&amp;"")="","",IF(LEFT(IF($G$3="","",INDEX(인턴계획표[[정규화1]:[정규화6]],$Q143,$G$3)&amp;""),1)="⚠","",IFERROR(MID(IF($G$3="","",INDEX(인턴계획표[[정규화1]:[정규화6]],$Q143,$G$3)&amp;""),FIND(" ",IF($G$3="","",INDEX(인턴계획표[[정규화1]:[정규화6]],$Q143,$G$3)&amp;""))+1,60),""))))</f>
        <v/>
      </c>
      <c r="H143">
        <f>IF($Q143="","",IF(IF($I$3="","",INDEX(인턴계획표[[정규화1]:[정규화6]],$Q143,$I$3)&amp;"")="","",IF(LEFT(IF($I$3="","",INDEX(인턴계획표[[정규화1]:[정규화6]],$Q143,$I$3)&amp;""),1)="⚠",IF($I$3="","",INDEX(인턴계획표[[정규화1]:[정규화6]],$Q143,$I$3)&amp;""),IFERROR(LEFT(IF($I$3="","",INDEX(인턴계획표[[정규화1]:[정규화6]],$Q143,$I$3)&amp;""),FIND(" ",IF($I$3="","",INDEX(인턴계획표[[정규화1]:[정규화6]],$Q143,$I$3)&amp;""))-1),IF($I$3="","",INDEX(인턴계획표[[정규화1]:[정규화6]],$Q143,$I$3)&amp;"")))))</f>
        <v/>
      </c>
      <c r="I143">
        <f>IF($Q143="","",IF(IF($I$3="","",INDEX(인턴계획표[[정규화1]:[정규화6]],$Q143,$I$3)&amp;"")="","",IF(LEFT(IF($I$3="","",INDEX(인턴계획표[[정규화1]:[정규화6]],$Q143,$I$3)&amp;""),1)="⚠","",IFERROR(MID(IF($I$3="","",INDEX(인턴계획표[[정규화1]:[정규화6]],$Q143,$I$3)&amp;""),FIND(" ",IF($I$3="","",INDEX(인턴계획표[[정규화1]:[정규화6]],$Q143,$I$3)&amp;""))+1,60),""))))</f>
        <v/>
      </c>
      <c r="J143">
        <f>IF($Q143="","",INDEX(인턴계획표[정규화1],$Q143))</f>
        <v/>
      </c>
      <c r="K143">
        <f>IF($Q143="","",INDEX(인턴계획표[정규화2],$Q143))</f>
        <v/>
      </c>
      <c r="L143">
        <f>IF($Q143="","",INDEX(인턴계획표[정규화3],$Q143))</f>
        <v/>
      </c>
      <c r="M143">
        <f>IF($Q143="","",INDEX(인턴계획표[정규화4],$Q143))</f>
        <v/>
      </c>
      <c r="N143">
        <f>IF($Q143="","",INDEX(인턴계획표[정규화5],$Q143))</f>
        <v/>
      </c>
      <c r="O143">
        <f>IF($Q143="","",INDEX(인턴계획표[정규화6],$Q143))</f>
        <v/>
      </c>
      <c r="P143">
        <f>IF($Q143="","",INDEX(인턴계획표[입력오류],$Q143))</f>
        <v/>
      </c>
      <c r="Q143" s="17">
        <f>IFERROR(MATCH(138,인턴계획표[표시순번],0),"")</f>
        <v/>
      </c>
    </row>
    <row r="144">
      <c r="A144">
        <f>IF($Q144="","",INDEX(인턴계획표[순번],$Q144)&amp;"")</f>
        <v/>
      </c>
      <c r="B144">
        <f>IF($Q144="","",TRIM(INDEX(인턴계획표[이름],$Q144)&amp;""))</f>
        <v/>
      </c>
      <c r="C144">
        <f>IF($Q144="","",INDEX(인턴계획표[사번],$Q144)&amp;"")</f>
        <v/>
      </c>
      <c r="D144">
        <f>IF($Q144="","",IF(COUNTIF(기본자료표[사번키],INDEX(인턴계획표[사번키],$Q144))&gt;0,"확인","미등록"))</f>
        <v/>
      </c>
      <c r="E144">
        <f>IF($Q144="","",IF(ISNUMBER(INDEX(인턴계획표[입사일(비고)],$Q144)),TEXT(INDEX(인턴계획표[입사일(비고)],$Q144),"yyyy-mm-dd"),INDEX(인턴계획표[입사일(비고)],$Q144)&amp;""))</f>
        <v/>
      </c>
      <c r="F144">
        <f>IF($Q144="","",IF(IF($G$3="","",INDEX(인턴계획표[[정규화1]:[정규화6]],$Q144,$G$3)&amp;"")="","",IF(LEFT(IF($G$3="","",INDEX(인턴계획표[[정규화1]:[정규화6]],$Q144,$G$3)&amp;""),1)="⚠",IF($G$3="","",INDEX(인턴계획표[[정규화1]:[정규화6]],$Q144,$G$3)&amp;""),IFERROR(LEFT(IF($G$3="","",INDEX(인턴계획표[[정규화1]:[정규화6]],$Q144,$G$3)&amp;""),FIND(" ",IF($G$3="","",INDEX(인턴계획표[[정규화1]:[정규화6]],$Q144,$G$3)&amp;""))-1),IF($G$3="","",INDEX(인턴계획표[[정규화1]:[정규화6]],$Q144,$G$3)&amp;"")))))</f>
        <v/>
      </c>
      <c r="G144">
        <f>IF($Q144="","",IF(IF($G$3="","",INDEX(인턴계획표[[정규화1]:[정규화6]],$Q144,$G$3)&amp;"")="","",IF(LEFT(IF($G$3="","",INDEX(인턴계획표[[정규화1]:[정규화6]],$Q144,$G$3)&amp;""),1)="⚠","",IFERROR(MID(IF($G$3="","",INDEX(인턴계획표[[정규화1]:[정규화6]],$Q144,$G$3)&amp;""),FIND(" ",IF($G$3="","",INDEX(인턴계획표[[정규화1]:[정규화6]],$Q144,$G$3)&amp;""))+1,60),""))))</f>
        <v/>
      </c>
      <c r="H144">
        <f>IF($Q144="","",IF(IF($I$3="","",INDEX(인턴계획표[[정규화1]:[정규화6]],$Q144,$I$3)&amp;"")="","",IF(LEFT(IF($I$3="","",INDEX(인턴계획표[[정규화1]:[정규화6]],$Q144,$I$3)&amp;""),1)="⚠",IF($I$3="","",INDEX(인턴계획표[[정규화1]:[정규화6]],$Q144,$I$3)&amp;""),IFERROR(LEFT(IF($I$3="","",INDEX(인턴계획표[[정규화1]:[정규화6]],$Q144,$I$3)&amp;""),FIND(" ",IF($I$3="","",INDEX(인턴계획표[[정규화1]:[정규화6]],$Q144,$I$3)&amp;""))-1),IF($I$3="","",INDEX(인턴계획표[[정규화1]:[정규화6]],$Q144,$I$3)&amp;"")))))</f>
        <v/>
      </c>
      <c r="I144">
        <f>IF($Q144="","",IF(IF($I$3="","",INDEX(인턴계획표[[정규화1]:[정규화6]],$Q144,$I$3)&amp;"")="","",IF(LEFT(IF($I$3="","",INDEX(인턴계획표[[정규화1]:[정규화6]],$Q144,$I$3)&amp;""),1)="⚠","",IFERROR(MID(IF($I$3="","",INDEX(인턴계획표[[정규화1]:[정규화6]],$Q144,$I$3)&amp;""),FIND(" ",IF($I$3="","",INDEX(인턴계획표[[정규화1]:[정규화6]],$Q144,$I$3)&amp;""))+1,60),""))))</f>
        <v/>
      </c>
      <c r="J144">
        <f>IF($Q144="","",INDEX(인턴계획표[정규화1],$Q144))</f>
        <v/>
      </c>
      <c r="K144">
        <f>IF($Q144="","",INDEX(인턴계획표[정규화2],$Q144))</f>
        <v/>
      </c>
      <c r="L144">
        <f>IF($Q144="","",INDEX(인턴계획표[정규화3],$Q144))</f>
        <v/>
      </c>
      <c r="M144">
        <f>IF($Q144="","",INDEX(인턴계획표[정규화4],$Q144))</f>
        <v/>
      </c>
      <c r="N144">
        <f>IF($Q144="","",INDEX(인턴계획표[정규화5],$Q144))</f>
        <v/>
      </c>
      <c r="O144">
        <f>IF($Q144="","",INDEX(인턴계획표[정규화6],$Q144))</f>
        <v/>
      </c>
      <c r="P144">
        <f>IF($Q144="","",INDEX(인턴계획표[입력오류],$Q144))</f>
        <v/>
      </c>
      <c r="Q144" s="17">
        <f>IFERROR(MATCH(139,인턴계획표[표시순번],0),"")</f>
        <v/>
      </c>
    </row>
    <row r="145">
      <c r="A145">
        <f>IF($Q145="","",INDEX(인턴계획표[순번],$Q145)&amp;"")</f>
        <v/>
      </c>
      <c r="B145">
        <f>IF($Q145="","",TRIM(INDEX(인턴계획표[이름],$Q145)&amp;""))</f>
        <v/>
      </c>
      <c r="C145">
        <f>IF($Q145="","",INDEX(인턴계획표[사번],$Q145)&amp;"")</f>
        <v/>
      </c>
      <c r="D145">
        <f>IF($Q145="","",IF(COUNTIF(기본자료표[사번키],INDEX(인턴계획표[사번키],$Q145))&gt;0,"확인","미등록"))</f>
        <v/>
      </c>
      <c r="E145">
        <f>IF($Q145="","",IF(ISNUMBER(INDEX(인턴계획표[입사일(비고)],$Q145)),TEXT(INDEX(인턴계획표[입사일(비고)],$Q145),"yyyy-mm-dd"),INDEX(인턴계획표[입사일(비고)],$Q145)&amp;""))</f>
        <v/>
      </c>
      <c r="F145">
        <f>IF($Q145="","",IF(IF($G$3="","",INDEX(인턴계획표[[정규화1]:[정규화6]],$Q145,$G$3)&amp;"")="","",IF(LEFT(IF($G$3="","",INDEX(인턴계획표[[정규화1]:[정규화6]],$Q145,$G$3)&amp;""),1)="⚠",IF($G$3="","",INDEX(인턴계획표[[정규화1]:[정규화6]],$Q145,$G$3)&amp;""),IFERROR(LEFT(IF($G$3="","",INDEX(인턴계획표[[정규화1]:[정규화6]],$Q145,$G$3)&amp;""),FIND(" ",IF($G$3="","",INDEX(인턴계획표[[정규화1]:[정규화6]],$Q145,$G$3)&amp;""))-1),IF($G$3="","",INDEX(인턴계획표[[정규화1]:[정규화6]],$Q145,$G$3)&amp;"")))))</f>
        <v/>
      </c>
      <c r="G145">
        <f>IF($Q145="","",IF(IF($G$3="","",INDEX(인턴계획표[[정규화1]:[정규화6]],$Q145,$G$3)&amp;"")="","",IF(LEFT(IF($G$3="","",INDEX(인턴계획표[[정규화1]:[정규화6]],$Q145,$G$3)&amp;""),1)="⚠","",IFERROR(MID(IF($G$3="","",INDEX(인턴계획표[[정규화1]:[정규화6]],$Q145,$G$3)&amp;""),FIND(" ",IF($G$3="","",INDEX(인턴계획표[[정규화1]:[정규화6]],$Q145,$G$3)&amp;""))+1,60),""))))</f>
        <v/>
      </c>
      <c r="H145">
        <f>IF($Q145="","",IF(IF($I$3="","",INDEX(인턴계획표[[정규화1]:[정규화6]],$Q145,$I$3)&amp;"")="","",IF(LEFT(IF($I$3="","",INDEX(인턴계획표[[정규화1]:[정규화6]],$Q145,$I$3)&amp;""),1)="⚠",IF($I$3="","",INDEX(인턴계획표[[정규화1]:[정규화6]],$Q145,$I$3)&amp;""),IFERROR(LEFT(IF($I$3="","",INDEX(인턴계획표[[정규화1]:[정규화6]],$Q145,$I$3)&amp;""),FIND(" ",IF($I$3="","",INDEX(인턴계획표[[정규화1]:[정규화6]],$Q145,$I$3)&amp;""))-1),IF($I$3="","",INDEX(인턴계획표[[정규화1]:[정규화6]],$Q145,$I$3)&amp;"")))))</f>
        <v/>
      </c>
      <c r="I145">
        <f>IF($Q145="","",IF(IF($I$3="","",INDEX(인턴계획표[[정규화1]:[정규화6]],$Q145,$I$3)&amp;"")="","",IF(LEFT(IF($I$3="","",INDEX(인턴계획표[[정규화1]:[정규화6]],$Q145,$I$3)&amp;""),1)="⚠","",IFERROR(MID(IF($I$3="","",INDEX(인턴계획표[[정규화1]:[정규화6]],$Q145,$I$3)&amp;""),FIND(" ",IF($I$3="","",INDEX(인턴계획표[[정규화1]:[정규화6]],$Q145,$I$3)&amp;""))+1,60),""))))</f>
        <v/>
      </c>
      <c r="J145">
        <f>IF($Q145="","",INDEX(인턴계획표[정규화1],$Q145))</f>
        <v/>
      </c>
      <c r="K145">
        <f>IF($Q145="","",INDEX(인턴계획표[정규화2],$Q145))</f>
        <v/>
      </c>
      <c r="L145">
        <f>IF($Q145="","",INDEX(인턴계획표[정규화3],$Q145))</f>
        <v/>
      </c>
      <c r="M145">
        <f>IF($Q145="","",INDEX(인턴계획표[정규화4],$Q145))</f>
        <v/>
      </c>
      <c r="N145">
        <f>IF($Q145="","",INDEX(인턴계획표[정규화5],$Q145))</f>
        <v/>
      </c>
      <c r="O145">
        <f>IF($Q145="","",INDEX(인턴계획표[정규화6],$Q145))</f>
        <v/>
      </c>
      <c r="P145">
        <f>IF($Q145="","",INDEX(인턴계획표[입력오류],$Q145))</f>
        <v/>
      </c>
      <c r="Q145" s="17">
        <f>IFERROR(MATCH(140,인턴계획표[표시순번],0),"")</f>
        <v/>
      </c>
    </row>
    <row r="146">
      <c r="A146">
        <f>IF($Q146="","",INDEX(인턴계획표[순번],$Q146)&amp;"")</f>
        <v/>
      </c>
      <c r="B146">
        <f>IF($Q146="","",TRIM(INDEX(인턴계획표[이름],$Q146)&amp;""))</f>
        <v/>
      </c>
      <c r="C146">
        <f>IF($Q146="","",INDEX(인턴계획표[사번],$Q146)&amp;"")</f>
        <v/>
      </c>
      <c r="D146">
        <f>IF($Q146="","",IF(COUNTIF(기본자료표[사번키],INDEX(인턴계획표[사번키],$Q146))&gt;0,"확인","미등록"))</f>
        <v/>
      </c>
      <c r="E146">
        <f>IF($Q146="","",IF(ISNUMBER(INDEX(인턴계획표[입사일(비고)],$Q146)),TEXT(INDEX(인턴계획표[입사일(비고)],$Q146),"yyyy-mm-dd"),INDEX(인턴계획표[입사일(비고)],$Q146)&amp;""))</f>
        <v/>
      </c>
      <c r="F146">
        <f>IF($Q146="","",IF(IF($G$3="","",INDEX(인턴계획표[[정규화1]:[정규화6]],$Q146,$G$3)&amp;"")="","",IF(LEFT(IF($G$3="","",INDEX(인턴계획표[[정규화1]:[정규화6]],$Q146,$G$3)&amp;""),1)="⚠",IF($G$3="","",INDEX(인턴계획표[[정규화1]:[정규화6]],$Q146,$G$3)&amp;""),IFERROR(LEFT(IF($G$3="","",INDEX(인턴계획표[[정규화1]:[정규화6]],$Q146,$G$3)&amp;""),FIND(" ",IF($G$3="","",INDEX(인턴계획표[[정규화1]:[정규화6]],$Q146,$G$3)&amp;""))-1),IF($G$3="","",INDEX(인턴계획표[[정규화1]:[정규화6]],$Q146,$G$3)&amp;"")))))</f>
        <v/>
      </c>
      <c r="G146">
        <f>IF($Q146="","",IF(IF($G$3="","",INDEX(인턴계획표[[정규화1]:[정규화6]],$Q146,$G$3)&amp;"")="","",IF(LEFT(IF($G$3="","",INDEX(인턴계획표[[정규화1]:[정규화6]],$Q146,$G$3)&amp;""),1)="⚠","",IFERROR(MID(IF($G$3="","",INDEX(인턴계획표[[정규화1]:[정규화6]],$Q146,$G$3)&amp;""),FIND(" ",IF($G$3="","",INDEX(인턴계획표[[정규화1]:[정규화6]],$Q146,$G$3)&amp;""))+1,60),""))))</f>
        <v/>
      </c>
      <c r="H146">
        <f>IF($Q146="","",IF(IF($I$3="","",INDEX(인턴계획표[[정규화1]:[정규화6]],$Q146,$I$3)&amp;"")="","",IF(LEFT(IF($I$3="","",INDEX(인턴계획표[[정규화1]:[정규화6]],$Q146,$I$3)&amp;""),1)="⚠",IF($I$3="","",INDEX(인턴계획표[[정규화1]:[정규화6]],$Q146,$I$3)&amp;""),IFERROR(LEFT(IF($I$3="","",INDEX(인턴계획표[[정규화1]:[정규화6]],$Q146,$I$3)&amp;""),FIND(" ",IF($I$3="","",INDEX(인턴계획표[[정규화1]:[정규화6]],$Q146,$I$3)&amp;""))-1),IF($I$3="","",INDEX(인턴계획표[[정규화1]:[정규화6]],$Q146,$I$3)&amp;"")))))</f>
        <v/>
      </c>
      <c r="I146">
        <f>IF($Q146="","",IF(IF($I$3="","",INDEX(인턴계획표[[정규화1]:[정규화6]],$Q146,$I$3)&amp;"")="","",IF(LEFT(IF($I$3="","",INDEX(인턴계획표[[정규화1]:[정규화6]],$Q146,$I$3)&amp;""),1)="⚠","",IFERROR(MID(IF($I$3="","",INDEX(인턴계획표[[정규화1]:[정규화6]],$Q146,$I$3)&amp;""),FIND(" ",IF($I$3="","",INDEX(인턴계획표[[정규화1]:[정규화6]],$Q146,$I$3)&amp;""))+1,60),""))))</f>
        <v/>
      </c>
      <c r="J146">
        <f>IF($Q146="","",INDEX(인턴계획표[정규화1],$Q146))</f>
        <v/>
      </c>
      <c r="K146">
        <f>IF($Q146="","",INDEX(인턴계획표[정규화2],$Q146))</f>
        <v/>
      </c>
      <c r="L146">
        <f>IF($Q146="","",INDEX(인턴계획표[정규화3],$Q146))</f>
        <v/>
      </c>
      <c r="M146">
        <f>IF($Q146="","",INDEX(인턴계획표[정규화4],$Q146))</f>
        <v/>
      </c>
      <c r="N146">
        <f>IF($Q146="","",INDEX(인턴계획표[정규화5],$Q146))</f>
        <v/>
      </c>
      <c r="O146">
        <f>IF($Q146="","",INDEX(인턴계획표[정규화6],$Q146))</f>
        <v/>
      </c>
      <c r="P146">
        <f>IF($Q146="","",INDEX(인턴계획표[입력오류],$Q146))</f>
        <v/>
      </c>
      <c r="Q146" s="17">
        <f>IFERROR(MATCH(141,인턴계획표[표시순번],0),"")</f>
        <v/>
      </c>
    </row>
    <row r="147">
      <c r="A147">
        <f>IF($Q147="","",INDEX(인턴계획표[순번],$Q147)&amp;"")</f>
        <v/>
      </c>
      <c r="B147">
        <f>IF($Q147="","",TRIM(INDEX(인턴계획표[이름],$Q147)&amp;""))</f>
        <v/>
      </c>
      <c r="C147">
        <f>IF($Q147="","",INDEX(인턴계획표[사번],$Q147)&amp;"")</f>
        <v/>
      </c>
      <c r="D147">
        <f>IF($Q147="","",IF(COUNTIF(기본자료표[사번키],INDEX(인턴계획표[사번키],$Q147))&gt;0,"확인","미등록"))</f>
        <v/>
      </c>
      <c r="E147">
        <f>IF($Q147="","",IF(ISNUMBER(INDEX(인턴계획표[입사일(비고)],$Q147)),TEXT(INDEX(인턴계획표[입사일(비고)],$Q147),"yyyy-mm-dd"),INDEX(인턴계획표[입사일(비고)],$Q147)&amp;""))</f>
        <v/>
      </c>
      <c r="F147">
        <f>IF($Q147="","",IF(IF($G$3="","",INDEX(인턴계획표[[정규화1]:[정규화6]],$Q147,$G$3)&amp;"")="","",IF(LEFT(IF($G$3="","",INDEX(인턴계획표[[정규화1]:[정규화6]],$Q147,$G$3)&amp;""),1)="⚠",IF($G$3="","",INDEX(인턴계획표[[정규화1]:[정규화6]],$Q147,$G$3)&amp;""),IFERROR(LEFT(IF($G$3="","",INDEX(인턴계획표[[정규화1]:[정규화6]],$Q147,$G$3)&amp;""),FIND(" ",IF($G$3="","",INDEX(인턴계획표[[정규화1]:[정규화6]],$Q147,$G$3)&amp;""))-1),IF($G$3="","",INDEX(인턴계획표[[정규화1]:[정규화6]],$Q147,$G$3)&amp;"")))))</f>
        <v/>
      </c>
      <c r="G147">
        <f>IF($Q147="","",IF(IF($G$3="","",INDEX(인턴계획표[[정규화1]:[정규화6]],$Q147,$G$3)&amp;"")="","",IF(LEFT(IF($G$3="","",INDEX(인턴계획표[[정규화1]:[정규화6]],$Q147,$G$3)&amp;""),1)="⚠","",IFERROR(MID(IF($G$3="","",INDEX(인턴계획표[[정규화1]:[정규화6]],$Q147,$G$3)&amp;""),FIND(" ",IF($G$3="","",INDEX(인턴계획표[[정규화1]:[정규화6]],$Q147,$G$3)&amp;""))+1,60),""))))</f>
        <v/>
      </c>
      <c r="H147">
        <f>IF($Q147="","",IF(IF($I$3="","",INDEX(인턴계획표[[정규화1]:[정규화6]],$Q147,$I$3)&amp;"")="","",IF(LEFT(IF($I$3="","",INDEX(인턴계획표[[정규화1]:[정규화6]],$Q147,$I$3)&amp;""),1)="⚠",IF($I$3="","",INDEX(인턴계획표[[정규화1]:[정규화6]],$Q147,$I$3)&amp;""),IFERROR(LEFT(IF($I$3="","",INDEX(인턴계획표[[정규화1]:[정규화6]],$Q147,$I$3)&amp;""),FIND(" ",IF($I$3="","",INDEX(인턴계획표[[정규화1]:[정규화6]],$Q147,$I$3)&amp;""))-1),IF($I$3="","",INDEX(인턴계획표[[정규화1]:[정규화6]],$Q147,$I$3)&amp;"")))))</f>
        <v/>
      </c>
      <c r="I147">
        <f>IF($Q147="","",IF(IF($I$3="","",INDEX(인턴계획표[[정규화1]:[정규화6]],$Q147,$I$3)&amp;"")="","",IF(LEFT(IF($I$3="","",INDEX(인턴계획표[[정규화1]:[정규화6]],$Q147,$I$3)&amp;""),1)="⚠","",IFERROR(MID(IF($I$3="","",INDEX(인턴계획표[[정규화1]:[정규화6]],$Q147,$I$3)&amp;""),FIND(" ",IF($I$3="","",INDEX(인턴계획표[[정규화1]:[정규화6]],$Q147,$I$3)&amp;""))+1,60),""))))</f>
        <v/>
      </c>
      <c r="J147">
        <f>IF($Q147="","",INDEX(인턴계획표[정규화1],$Q147))</f>
        <v/>
      </c>
      <c r="K147">
        <f>IF($Q147="","",INDEX(인턴계획표[정규화2],$Q147))</f>
        <v/>
      </c>
      <c r="L147">
        <f>IF($Q147="","",INDEX(인턴계획표[정규화3],$Q147))</f>
        <v/>
      </c>
      <c r="M147">
        <f>IF($Q147="","",INDEX(인턴계획표[정규화4],$Q147))</f>
        <v/>
      </c>
      <c r="N147">
        <f>IF($Q147="","",INDEX(인턴계획표[정규화5],$Q147))</f>
        <v/>
      </c>
      <c r="O147">
        <f>IF($Q147="","",INDEX(인턴계획표[정규화6],$Q147))</f>
        <v/>
      </c>
      <c r="P147">
        <f>IF($Q147="","",INDEX(인턴계획표[입력오류],$Q147))</f>
        <v/>
      </c>
      <c r="Q147" s="17">
        <f>IFERROR(MATCH(142,인턴계획표[표시순번],0),"")</f>
        <v/>
      </c>
    </row>
    <row r="148">
      <c r="A148">
        <f>IF($Q148="","",INDEX(인턴계획표[순번],$Q148)&amp;"")</f>
        <v/>
      </c>
      <c r="B148">
        <f>IF($Q148="","",TRIM(INDEX(인턴계획표[이름],$Q148)&amp;""))</f>
        <v/>
      </c>
      <c r="C148">
        <f>IF($Q148="","",INDEX(인턴계획표[사번],$Q148)&amp;"")</f>
        <v/>
      </c>
      <c r="D148">
        <f>IF($Q148="","",IF(COUNTIF(기본자료표[사번키],INDEX(인턴계획표[사번키],$Q148))&gt;0,"확인","미등록"))</f>
        <v/>
      </c>
      <c r="E148">
        <f>IF($Q148="","",IF(ISNUMBER(INDEX(인턴계획표[입사일(비고)],$Q148)),TEXT(INDEX(인턴계획표[입사일(비고)],$Q148),"yyyy-mm-dd"),INDEX(인턴계획표[입사일(비고)],$Q148)&amp;""))</f>
        <v/>
      </c>
      <c r="F148">
        <f>IF($Q148="","",IF(IF($G$3="","",INDEX(인턴계획표[[정규화1]:[정규화6]],$Q148,$G$3)&amp;"")="","",IF(LEFT(IF($G$3="","",INDEX(인턴계획표[[정규화1]:[정규화6]],$Q148,$G$3)&amp;""),1)="⚠",IF($G$3="","",INDEX(인턴계획표[[정규화1]:[정규화6]],$Q148,$G$3)&amp;""),IFERROR(LEFT(IF($G$3="","",INDEX(인턴계획표[[정규화1]:[정규화6]],$Q148,$G$3)&amp;""),FIND(" ",IF($G$3="","",INDEX(인턴계획표[[정규화1]:[정규화6]],$Q148,$G$3)&amp;""))-1),IF($G$3="","",INDEX(인턴계획표[[정규화1]:[정규화6]],$Q148,$G$3)&amp;"")))))</f>
        <v/>
      </c>
      <c r="G148">
        <f>IF($Q148="","",IF(IF($G$3="","",INDEX(인턴계획표[[정규화1]:[정규화6]],$Q148,$G$3)&amp;"")="","",IF(LEFT(IF($G$3="","",INDEX(인턴계획표[[정규화1]:[정규화6]],$Q148,$G$3)&amp;""),1)="⚠","",IFERROR(MID(IF($G$3="","",INDEX(인턴계획표[[정규화1]:[정규화6]],$Q148,$G$3)&amp;""),FIND(" ",IF($G$3="","",INDEX(인턴계획표[[정규화1]:[정규화6]],$Q148,$G$3)&amp;""))+1,60),""))))</f>
        <v/>
      </c>
      <c r="H148">
        <f>IF($Q148="","",IF(IF($I$3="","",INDEX(인턴계획표[[정규화1]:[정규화6]],$Q148,$I$3)&amp;"")="","",IF(LEFT(IF($I$3="","",INDEX(인턴계획표[[정규화1]:[정규화6]],$Q148,$I$3)&amp;""),1)="⚠",IF($I$3="","",INDEX(인턴계획표[[정규화1]:[정규화6]],$Q148,$I$3)&amp;""),IFERROR(LEFT(IF($I$3="","",INDEX(인턴계획표[[정규화1]:[정규화6]],$Q148,$I$3)&amp;""),FIND(" ",IF($I$3="","",INDEX(인턴계획표[[정규화1]:[정규화6]],$Q148,$I$3)&amp;""))-1),IF($I$3="","",INDEX(인턴계획표[[정규화1]:[정규화6]],$Q148,$I$3)&amp;"")))))</f>
        <v/>
      </c>
      <c r="I148">
        <f>IF($Q148="","",IF(IF($I$3="","",INDEX(인턴계획표[[정규화1]:[정규화6]],$Q148,$I$3)&amp;"")="","",IF(LEFT(IF($I$3="","",INDEX(인턴계획표[[정규화1]:[정규화6]],$Q148,$I$3)&amp;""),1)="⚠","",IFERROR(MID(IF($I$3="","",INDEX(인턴계획표[[정규화1]:[정규화6]],$Q148,$I$3)&amp;""),FIND(" ",IF($I$3="","",INDEX(인턴계획표[[정규화1]:[정규화6]],$Q148,$I$3)&amp;""))+1,60),""))))</f>
        <v/>
      </c>
      <c r="J148">
        <f>IF($Q148="","",INDEX(인턴계획표[정규화1],$Q148))</f>
        <v/>
      </c>
      <c r="K148">
        <f>IF($Q148="","",INDEX(인턴계획표[정규화2],$Q148))</f>
        <v/>
      </c>
      <c r="L148">
        <f>IF($Q148="","",INDEX(인턴계획표[정규화3],$Q148))</f>
        <v/>
      </c>
      <c r="M148">
        <f>IF($Q148="","",INDEX(인턴계획표[정규화4],$Q148))</f>
        <v/>
      </c>
      <c r="N148">
        <f>IF($Q148="","",INDEX(인턴계획표[정규화5],$Q148))</f>
        <v/>
      </c>
      <c r="O148">
        <f>IF($Q148="","",INDEX(인턴계획표[정규화6],$Q148))</f>
        <v/>
      </c>
      <c r="P148">
        <f>IF($Q148="","",INDEX(인턴계획표[입력오류],$Q148))</f>
        <v/>
      </c>
      <c r="Q148" s="17">
        <f>IFERROR(MATCH(143,인턴계획표[표시순번],0),"")</f>
        <v/>
      </c>
    </row>
    <row r="149">
      <c r="A149">
        <f>IF($Q149="","",INDEX(인턴계획표[순번],$Q149)&amp;"")</f>
        <v/>
      </c>
      <c r="B149">
        <f>IF($Q149="","",TRIM(INDEX(인턴계획표[이름],$Q149)&amp;""))</f>
        <v/>
      </c>
      <c r="C149">
        <f>IF($Q149="","",INDEX(인턴계획표[사번],$Q149)&amp;"")</f>
        <v/>
      </c>
      <c r="D149">
        <f>IF($Q149="","",IF(COUNTIF(기본자료표[사번키],INDEX(인턴계획표[사번키],$Q149))&gt;0,"확인","미등록"))</f>
        <v/>
      </c>
      <c r="E149">
        <f>IF($Q149="","",IF(ISNUMBER(INDEX(인턴계획표[입사일(비고)],$Q149)),TEXT(INDEX(인턴계획표[입사일(비고)],$Q149),"yyyy-mm-dd"),INDEX(인턴계획표[입사일(비고)],$Q149)&amp;""))</f>
        <v/>
      </c>
      <c r="F149">
        <f>IF($Q149="","",IF(IF($G$3="","",INDEX(인턴계획표[[정규화1]:[정규화6]],$Q149,$G$3)&amp;"")="","",IF(LEFT(IF($G$3="","",INDEX(인턴계획표[[정규화1]:[정규화6]],$Q149,$G$3)&amp;""),1)="⚠",IF($G$3="","",INDEX(인턴계획표[[정규화1]:[정규화6]],$Q149,$G$3)&amp;""),IFERROR(LEFT(IF($G$3="","",INDEX(인턴계획표[[정규화1]:[정규화6]],$Q149,$G$3)&amp;""),FIND(" ",IF($G$3="","",INDEX(인턴계획표[[정규화1]:[정규화6]],$Q149,$G$3)&amp;""))-1),IF($G$3="","",INDEX(인턴계획표[[정규화1]:[정규화6]],$Q149,$G$3)&amp;"")))))</f>
        <v/>
      </c>
      <c r="G149">
        <f>IF($Q149="","",IF(IF($G$3="","",INDEX(인턴계획표[[정규화1]:[정규화6]],$Q149,$G$3)&amp;"")="","",IF(LEFT(IF($G$3="","",INDEX(인턴계획표[[정규화1]:[정규화6]],$Q149,$G$3)&amp;""),1)="⚠","",IFERROR(MID(IF($G$3="","",INDEX(인턴계획표[[정규화1]:[정규화6]],$Q149,$G$3)&amp;""),FIND(" ",IF($G$3="","",INDEX(인턴계획표[[정규화1]:[정규화6]],$Q149,$G$3)&amp;""))+1,60),""))))</f>
        <v/>
      </c>
      <c r="H149">
        <f>IF($Q149="","",IF(IF($I$3="","",INDEX(인턴계획표[[정규화1]:[정규화6]],$Q149,$I$3)&amp;"")="","",IF(LEFT(IF($I$3="","",INDEX(인턴계획표[[정규화1]:[정규화6]],$Q149,$I$3)&amp;""),1)="⚠",IF($I$3="","",INDEX(인턴계획표[[정규화1]:[정규화6]],$Q149,$I$3)&amp;""),IFERROR(LEFT(IF($I$3="","",INDEX(인턴계획표[[정규화1]:[정규화6]],$Q149,$I$3)&amp;""),FIND(" ",IF($I$3="","",INDEX(인턴계획표[[정규화1]:[정규화6]],$Q149,$I$3)&amp;""))-1),IF($I$3="","",INDEX(인턴계획표[[정규화1]:[정규화6]],$Q149,$I$3)&amp;"")))))</f>
        <v/>
      </c>
      <c r="I149">
        <f>IF($Q149="","",IF(IF($I$3="","",INDEX(인턴계획표[[정규화1]:[정규화6]],$Q149,$I$3)&amp;"")="","",IF(LEFT(IF($I$3="","",INDEX(인턴계획표[[정규화1]:[정규화6]],$Q149,$I$3)&amp;""),1)="⚠","",IFERROR(MID(IF($I$3="","",INDEX(인턴계획표[[정규화1]:[정규화6]],$Q149,$I$3)&amp;""),FIND(" ",IF($I$3="","",INDEX(인턴계획표[[정규화1]:[정규화6]],$Q149,$I$3)&amp;""))+1,60),""))))</f>
        <v/>
      </c>
      <c r="J149">
        <f>IF($Q149="","",INDEX(인턴계획표[정규화1],$Q149))</f>
        <v/>
      </c>
      <c r="K149">
        <f>IF($Q149="","",INDEX(인턴계획표[정규화2],$Q149))</f>
        <v/>
      </c>
      <c r="L149">
        <f>IF($Q149="","",INDEX(인턴계획표[정규화3],$Q149))</f>
        <v/>
      </c>
      <c r="M149">
        <f>IF($Q149="","",INDEX(인턴계획표[정규화4],$Q149))</f>
        <v/>
      </c>
      <c r="N149">
        <f>IF($Q149="","",INDEX(인턴계획표[정규화5],$Q149))</f>
        <v/>
      </c>
      <c r="O149">
        <f>IF($Q149="","",INDEX(인턴계획표[정규화6],$Q149))</f>
        <v/>
      </c>
      <c r="P149">
        <f>IF($Q149="","",INDEX(인턴계획표[입력오류],$Q149))</f>
        <v/>
      </c>
      <c r="Q149" s="17">
        <f>IFERROR(MATCH(144,인턴계획표[표시순번],0),"")</f>
        <v/>
      </c>
    </row>
    <row r="150">
      <c r="A150">
        <f>IF($Q150="","",INDEX(인턴계획표[순번],$Q150)&amp;"")</f>
        <v/>
      </c>
      <c r="B150">
        <f>IF($Q150="","",TRIM(INDEX(인턴계획표[이름],$Q150)&amp;""))</f>
        <v/>
      </c>
      <c r="C150">
        <f>IF($Q150="","",INDEX(인턴계획표[사번],$Q150)&amp;"")</f>
        <v/>
      </c>
      <c r="D150">
        <f>IF($Q150="","",IF(COUNTIF(기본자료표[사번키],INDEX(인턴계획표[사번키],$Q150))&gt;0,"확인","미등록"))</f>
        <v/>
      </c>
      <c r="E150">
        <f>IF($Q150="","",IF(ISNUMBER(INDEX(인턴계획표[입사일(비고)],$Q150)),TEXT(INDEX(인턴계획표[입사일(비고)],$Q150),"yyyy-mm-dd"),INDEX(인턴계획표[입사일(비고)],$Q150)&amp;""))</f>
        <v/>
      </c>
      <c r="F150">
        <f>IF($Q150="","",IF(IF($G$3="","",INDEX(인턴계획표[[정규화1]:[정규화6]],$Q150,$G$3)&amp;"")="","",IF(LEFT(IF($G$3="","",INDEX(인턴계획표[[정규화1]:[정규화6]],$Q150,$G$3)&amp;""),1)="⚠",IF($G$3="","",INDEX(인턴계획표[[정규화1]:[정규화6]],$Q150,$G$3)&amp;""),IFERROR(LEFT(IF($G$3="","",INDEX(인턴계획표[[정규화1]:[정규화6]],$Q150,$G$3)&amp;""),FIND(" ",IF($G$3="","",INDEX(인턴계획표[[정규화1]:[정규화6]],$Q150,$G$3)&amp;""))-1),IF($G$3="","",INDEX(인턴계획표[[정규화1]:[정규화6]],$Q150,$G$3)&amp;"")))))</f>
        <v/>
      </c>
      <c r="G150">
        <f>IF($Q150="","",IF(IF($G$3="","",INDEX(인턴계획표[[정규화1]:[정규화6]],$Q150,$G$3)&amp;"")="","",IF(LEFT(IF($G$3="","",INDEX(인턴계획표[[정규화1]:[정규화6]],$Q150,$G$3)&amp;""),1)="⚠","",IFERROR(MID(IF($G$3="","",INDEX(인턴계획표[[정규화1]:[정규화6]],$Q150,$G$3)&amp;""),FIND(" ",IF($G$3="","",INDEX(인턴계획표[[정규화1]:[정규화6]],$Q150,$G$3)&amp;""))+1,60),""))))</f>
        <v/>
      </c>
      <c r="H150">
        <f>IF($Q150="","",IF(IF($I$3="","",INDEX(인턴계획표[[정규화1]:[정규화6]],$Q150,$I$3)&amp;"")="","",IF(LEFT(IF($I$3="","",INDEX(인턴계획표[[정규화1]:[정규화6]],$Q150,$I$3)&amp;""),1)="⚠",IF($I$3="","",INDEX(인턴계획표[[정규화1]:[정규화6]],$Q150,$I$3)&amp;""),IFERROR(LEFT(IF($I$3="","",INDEX(인턴계획표[[정규화1]:[정규화6]],$Q150,$I$3)&amp;""),FIND(" ",IF($I$3="","",INDEX(인턴계획표[[정규화1]:[정규화6]],$Q150,$I$3)&amp;""))-1),IF($I$3="","",INDEX(인턴계획표[[정규화1]:[정규화6]],$Q150,$I$3)&amp;"")))))</f>
        <v/>
      </c>
      <c r="I150">
        <f>IF($Q150="","",IF(IF($I$3="","",INDEX(인턴계획표[[정규화1]:[정규화6]],$Q150,$I$3)&amp;"")="","",IF(LEFT(IF($I$3="","",INDEX(인턴계획표[[정규화1]:[정규화6]],$Q150,$I$3)&amp;""),1)="⚠","",IFERROR(MID(IF($I$3="","",INDEX(인턴계획표[[정규화1]:[정규화6]],$Q150,$I$3)&amp;""),FIND(" ",IF($I$3="","",INDEX(인턴계획표[[정규화1]:[정규화6]],$Q150,$I$3)&amp;""))+1,60),""))))</f>
        <v/>
      </c>
      <c r="J150">
        <f>IF($Q150="","",INDEX(인턴계획표[정규화1],$Q150))</f>
        <v/>
      </c>
      <c r="K150">
        <f>IF($Q150="","",INDEX(인턴계획표[정규화2],$Q150))</f>
        <v/>
      </c>
      <c r="L150">
        <f>IF($Q150="","",INDEX(인턴계획표[정규화3],$Q150))</f>
        <v/>
      </c>
      <c r="M150">
        <f>IF($Q150="","",INDEX(인턴계획표[정규화4],$Q150))</f>
        <v/>
      </c>
      <c r="N150">
        <f>IF($Q150="","",INDEX(인턴계획표[정규화5],$Q150))</f>
        <v/>
      </c>
      <c r="O150">
        <f>IF($Q150="","",INDEX(인턴계획표[정규화6],$Q150))</f>
        <v/>
      </c>
      <c r="P150">
        <f>IF($Q150="","",INDEX(인턴계획표[입력오류],$Q150))</f>
        <v/>
      </c>
      <c r="Q150" s="17">
        <f>IFERROR(MATCH(145,인턴계획표[표시순번],0),"")</f>
        <v/>
      </c>
    </row>
    <row r="151">
      <c r="A151">
        <f>IF($Q151="","",INDEX(인턴계획표[순번],$Q151)&amp;"")</f>
        <v/>
      </c>
      <c r="B151">
        <f>IF($Q151="","",TRIM(INDEX(인턴계획표[이름],$Q151)&amp;""))</f>
        <v/>
      </c>
      <c r="C151">
        <f>IF($Q151="","",INDEX(인턴계획표[사번],$Q151)&amp;"")</f>
        <v/>
      </c>
      <c r="D151">
        <f>IF($Q151="","",IF(COUNTIF(기본자료표[사번키],INDEX(인턴계획표[사번키],$Q151))&gt;0,"확인","미등록"))</f>
        <v/>
      </c>
      <c r="E151">
        <f>IF($Q151="","",IF(ISNUMBER(INDEX(인턴계획표[입사일(비고)],$Q151)),TEXT(INDEX(인턴계획표[입사일(비고)],$Q151),"yyyy-mm-dd"),INDEX(인턴계획표[입사일(비고)],$Q151)&amp;""))</f>
        <v/>
      </c>
      <c r="F151">
        <f>IF($Q151="","",IF(IF($G$3="","",INDEX(인턴계획표[[정규화1]:[정규화6]],$Q151,$G$3)&amp;"")="","",IF(LEFT(IF($G$3="","",INDEX(인턴계획표[[정규화1]:[정규화6]],$Q151,$G$3)&amp;""),1)="⚠",IF($G$3="","",INDEX(인턴계획표[[정규화1]:[정규화6]],$Q151,$G$3)&amp;""),IFERROR(LEFT(IF($G$3="","",INDEX(인턴계획표[[정규화1]:[정규화6]],$Q151,$G$3)&amp;""),FIND(" ",IF($G$3="","",INDEX(인턴계획표[[정규화1]:[정규화6]],$Q151,$G$3)&amp;""))-1),IF($G$3="","",INDEX(인턴계획표[[정규화1]:[정규화6]],$Q151,$G$3)&amp;"")))))</f>
        <v/>
      </c>
      <c r="G151">
        <f>IF($Q151="","",IF(IF($G$3="","",INDEX(인턴계획표[[정규화1]:[정규화6]],$Q151,$G$3)&amp;"")="","",IF(LEFT(IF($G$3="","",INDEX(인턴계획표[[정규화1]:[정규화6]],$Q151,$G$3)&amp;""),1)="⚠","",IFERROR(MID(IF($G$3="","",INDEX(인턴계획표[[정규화1]:[정규화6]],$Q151,$G$3)&amp;""),FIND(" ",IF($G$3="","",INDEX(인턴계획표[[정규화1]:[정규화6]],$Q151,$G$3)&amp;""))+1,60),""))))</f>
        <v/>
      </c>
      <c r="H151">
        <f>IF($Q151="","",IF(IF($I$3="","",INDEX(인턴계획표[[정규화1]:[정규화6]],$Q151,$I$3)&amp;"")="","",IF(LEFT(IF($I$3="","",INDEX(인턴계획표[[정규화1]:[정규화6]],$Q151,$I$3)&amp;""),1)="⚠",IF($I$3="","",INDEX(인턴계획표[[정규화1]:[정규화6]],$Q151,$I$3)&amp;""),IFERROR(LEFT(IF($I$3="","",INDEX(인턴계획표[[정규화1]:[정규화6]],$Q151,$I$3)&amp;""),FIND(" ",IF($I$3="","",INDEX(인턴계획표[[정규화1]:[정규화6]],$Q151,$I$3)&amp;""))-1),IF($I$3="","",INDEX(인턴계획표[[정규화1]:[정규화6]],$Q151,$I$3)&amp;"")))))</f>
        <v/>
      </c>
      <c r="I151">
        <f>IF($Q151="","",IF(IF($I$3="","",INDEX(인턴계획표[[정규화1]:[정규화6]],$Q151,$I$3)&amp;"")="","",IF(LEFT(IF($I$3="","",INDEX(인턴계획표[[정규화1]:[정규화6]],$Q151,$I$3)&amp;""),1)="⚠","",IFERROR(MID(IF($I$3="","",INDEX(인턴계획표[[정규화1]:[정규화6]],$Q151,$I$3)&amp;""),FIND(" ",IF($I$3="","",INDEX(인턴계획표[[정규화1]:[정규화6]],$Q151,$I$3)&amp;""))+1,60),""))))</f>
        <v/>
      </c>
      <c r="J151">
        <f>IF($Q151="","",INDEX(인턴계획표[정규화1],$Q151))</f>
        <v/>
      </c>
      <c r="K151">
        <f>IF($Q151="","",INDEX(인턴계획표[정규화2],$Q151))</f>
        <v/>
      </c>
      <c r="L151">
        <f>IF($Q151="","",INDEX(인턴계획표[정규화3],$Q151))</f>
        <v/>
      </c>
      <c r="M151">
        <f>IF($Q151="","",INDEX(인턴계획표[정규화4],$Q151))</f>
        <v/>
      </c>
      <c r="N151">
        <f>IF($Q151="","",INDEX(인턴계획표[정규화5],$Q151))</f>
        <v/>
      </c>
      <c r="O151">
        <f>IF($Q151="","",INDEX(인턴계획표[정규화6],$Q151))</f>
        <v/>
      </c>
      <c r="P151">
        <f>IF($Q151="","",INDEX(인턴계획표[입력오류],$Q151))</f>
        <v/>
      </c>
      <c r="Q151" s="17">
        <f>IFERROR(MATCH(146,인턴계획표[표시순번],0),"")</f>
        <v/>
      </c>
    </row>
    <row r="152">
      <c r="A152">
        <f>IF($Q152="","",INDEX(인턴계획표[순번],$Q152)&amp;"")</f>
        <v/>
      </c>
      <c r="B152">
        <f>IF($Q152="","",TRIM(INDEX(인턴계획표[이름],$Q152)&amp;""))</f>
        <v/>
      </c>
      <c r="C152">
        <f>IF($Q152="","",INDEX(인턴계획표[사번],$Q152)&amp;"")</f>
        <v/>
      </c>
      <c r="D152">
        <f>IF($Q152="","",IF(COUNTIF(기본자료표[사번키],INDEX(인턴계획표[사번키],$Q152))&gt;0,"확인","미등록"))</f>
        <v/>
      </c>
      <c r="E152">
        <f>IF($Q152="","",IF(ISNUMBER(INDEX(인턴계획표[입사일(비고)],$Q152)),TEXT(INDEX(인턴계획표[입사일(비고)],$Q152),"yyyy-mm-dd"),INDEX(인턴계획표[입사일(비고)],$Q152)&amp;""))</f>
        <v/>
      </c>
      <c r="F152">
        <f>IF($Q152="","",IF(IF($G$3="","",INDEX(인턴계획표[[정규화1]:[정규화6]],$Q152,$G$3)&amp;"")="","",IF(LEFT(IF($G$3="","",INDEX(인턴계획표[[정규화1]:[정규화6]],$Q152,$G$3)&amp;""),1)="⚠",IF($G$3="","",INDEX(인턴계획표[[정규화1]:[정규화6]],$Q152,$G$3)&amp;""),IFERROR(LEFT(IF($G$3="","",INDEX(인턴계획표[[정규화1]:[정규화6]],$Q152,$G$3)&amp;""),FIND(" ",IF($G$3="","",INDEX(인턴계획표[[정규화1]:[정규화6]],$Q152,$G$3)&amp;""))-1),IF($G$3="","",INDEX(인턴계획표[[정규화1]:[정규화6]],$Q152,$G$3)&amp;"")))))</f>
        <v/>
      </c>
      <c r="G152">
        <f>IF($Q152="","",IF(IF($G$3="","",INDEX(인턴계획표[[정규화1]:[정규화6]],$Q152,$G$3)&amp;"")="","",IF(LEFT(IF($G$3="","",INDEX(인턴계획표[[정규화1]:[정규화6]],$Q152,$G$3)&amp;""),1)="⚠","",IFERROR(MID(IF($G$3="","",INDEX(인턴계획표[[정규화1]:[정규화6]],$Q152,$G$3)&amp;""),FIND(" ",IF($G$3="","",INDEX(인턴계획표[[정규화1]:[정규화6]],$Q152,$G$3)&amp;""))+1,60),""))))</f>
        <v/>
      </c>
      <c r="H152">
        <f>IF($Q152="","",IF(IF($I$3="","",INDEX(인턴계획표[[정규화1]:[정규화6]],$Q152,$I$3)&amp;"")="","",IF(LEFT(IF($I$3="","",INDEX(인턴계획표[[정규화1]:[정규화6]],$Q152,$I$3)&amp;""),1)="⚠",IF($I$3="","",INDEX(인턴계획표[[정규화1]:[정규화6]],$Q152,$I$3)&amp;""),IFERROR(LEFT(IF($I$3="","",INDEX(인턴계획표[[정규화1]:[정규화6]],$Q152,$I$3)&amp;""),FIND(" ",IF($I$3="","",INDEX(인턴계획표[[정규화1]:[정규화6]],$Q152,$I$3)&amp;""))-1),IF($I$3="","",INDEX(인턴계획표[[정규화1]:[정규화6]],$Q152,$I$3)&amp;"")))))</f>
        <v/>
      </c>
      <c r="I152">
        <f>IF($Q152="","",IF(IF($I$3="","",INDEX(인턴계획표[[정규화1]:[정규화6]],$Q152,$I$3)&amp;"")="","",IF(LEFT(IF($I$3="","",INDEX(인턴계획표[[정규화1]:[정규화6]],$Q152,$I$3)&amp;""),1)="⚠","",IFERROR(MID(IF($I$3="","",INDEX(인턴계획표[[정규화1]:[정규화6]],$Q152,$I$3)&amp;""),FIND(" ",IF($I$3="","",INDEX(인턴계획표[[정규화1]:[정규화6]],$Q152,$I$3)&amp;""))+1,60),""))))</f>
        <v/>
      </c>
      <c r="J152">
        <f>IF($Q152="","",INDEX(인턴계획표[정규화1],$Q152))</f>
        <v/>
      </c>
      <c r="K152">
        <f>IF($Q152="","",INDEX(인턴계획표[정규화2],$Q152))</f>
        <v/>
      </c>
      <c r="L152">
        <f>IF($Q152="","",INDEX(인턴계획표[정규화3],$Q152))</f>
        <v/>
      </c>
      <c r="M152">
        <f>IF($Q152="","",INDEX(인턴계획표[정규화4],$Q152))</f>
        <v/>
      </c>
      <c r="N152">
        <f>IF($Q152="","",INDEX(인턴계획표[정규화5],$Q152))</f>
        <v/>
      </c>
      <c r="O152">
        <f>IF($Q152="","",INDEX(인턴계획표[정규화6],$Q152))</f>
        <v/>
      </c>
      <c r="P152">
        <f>IF($Q152="","",INDEX(인턴계획표[입력오류],$Q152))</f>
        <v/>
      </c>
      <c r="Q152" s="17">
        <f>IFERROR(MATCH(147,인턴계획표[표시순번],0),"")</f>
        <v/>
      </c>
    </row>
    <row r="153">
      <c r="A153">
        <f>IF($Q153="","",INDEX(인턴계획표[순번],$Q153)&amp;"")</f>
        <v/>
      </c>
      <c r="B153">
        <f>IF($Q153="","",TRIM(INDEX(인턴계획표[이름],$Q153)&amp;""))</f>
        <v/>
      </c>
      <c r="C153">
        <f>IF($Q153="","",INDEX(인턴계획표[사번],$Q153)&amp;"")</f>
        <v/>
      </c>
      <c r="D153">
        <f>IF($Q153="","",IF(COUNTIF(기본자료표[사번키],INDEX(인턴계획표[사번키],$Q153))&gt;0,"확인","미등록"))</f>
        <v/>
      </c>
      <c r="E153">
        <f>IF($Q153="","",IF(ISNUMBER(INDEX(인턴계획표[입사일(비고)],$Q153)),TEXT(INDEX(인턴계획표[입사일(비고)],$Q153),"yyyy-mm-dd"),INDEX(인턴계획표[입사일(비고)],$Q153)&amp;""))</f>
        <v/>
      </c>
      <c r="F153">
        <f>IF($Q153="","",IF(IF($G$3="","",INDEX(인턴계획표[[정규화1]:[정규화6]],$Q153,$G$3)&amp;"")="","",IF(LEFT(IF($G$3="","",INDEX(인턴계획표[[정규화1]:[정규화6]],$Q153,$G$3)&amp;""),1)="⚠",IF($G$3="","",INDEX(인턴계획표[[정규화1]:[정규화6]],$Q153,$G$3)&amp;""),IFERROR(LEFT(IF($G$3="","",INDEX(인턴계획표[[정규화1]:[정규화6]],$Q153,$G$3)&amp;""),FIND(" ",IF($G$3="","",INDEX(인턴계획표[[정규화1]:[정규화6]],$Q153,$G$3)&amp;""))-1),IF($G$3="","",INDEX(인턴계획표[[정규화1]:[정규화6]],$Q153,$G$3)&amp;"")))))</f>
        <v/>
      </c>
      <c r="G153">
        <f>IF($Q153="","",IF(IF($G$3="","",INDEX(인턴계획표[[정규화1]:[정규화6]],$Q153,$G$3)&amp;"")="","",IF(LEFT(IF($G$3="","",INDEX(인턴계획표[[정규화1]:[정규화6]],$Q153,$G$3)&amp;""),1)="⚠","",IFERROR(MID(IF($G$3="","",INDEX(인턴계획표[[정규화1]:[정규화6]],$Q153,$G$3)&amp;""),FIND(" ",IF($G$3="","",INDEX(인턴계획표[[정규화1]:[정규화6]],$Q153,$G$3)&amp;""))+1,60),""))))</f>
        <v/>
      </c>
      <c r="H153">
        <f>IF($Q153="","",IF(IF($I$3="","",INDEX(인턴계획표[[정규화1]:[정규화6]],$Q153,$I$3)&amp;"")="","",IF(LEFT(IF($I$3="","",INDEX(인턴계획표[[정규화1]:[정규화6]],$Q153,$I$3)&amp;""),1)="⚠",IF($I$3="","",INDEX(인턴계획표[[정규화1]:[정규화6]],$Q153,$I$3)&amp;""),IFERROR(LEFT(IF($I$3="","",INDEX(인턴계획표[[정규화1]:[정규화6]],$Q153,$I$3)&amp;""),FIND(" ",IF($I$3="","",INDEX(인턴계획표[[정규화1]:[정규화6]],$Q153,$I$3)&amp;""))-1),IF($I$3="","",INDEX(인턴계획표[[정규화1]:[정규화6]],$Q153,$I$3)&amp;"")))))</f>
        <v/>
      </c>
      <c r="I153">
        <f>IF($Q153="","",IF(IF($I$3="","",INDEX(인턴계획표[[정규화1]:[정규화6]],$Q153,$I$3)&amp;"")="","",IF(LEFT(IF($I$3="","",INDEX(인턴계획표[[정규화1]:[정규화6]],$Q153,$I$3)&amp;""),1)="⚠","",IFERROR(MID(IF($I$3="","",INDEX(인턴계획표[[정규화1]:[정규화6]],$Q153,$I$3)&amp;""),FIND(" ",IF($I$3="","",INDEX(인턴계획표[[정규화1]:[정규화6]],$Q153,$I$3)&amp;""))+1,60),""))))</f>
        <v/>
      </c>
      <c r="J153">
        <f>IF($Q153="","",INDEX(인턴계획표[정규화1],$Q153))</f>
        <v/>
      </c>
      <c r="K153">
        <f>IF($Q153="","",INDEX(인턴계획표[정규화2],$Q153))</f>
        <v/>
      </c>
      <c r="L153">
        <f>IF($Q153="","",INDEX(인턴계획표[정규화3],$Q153))</f>
        <v/>
      </c>
      <c r="M153">
        <f>IF($Q153="","",INDEX(인턴계획표[정규화4],$Q153))</f>
        <v/>
      </c>
      <c r="N153">
        <f>IF($Q153="","",INDEX(인턴계획표[정규화5],$Q153))</f>
        <v/>
      </c>
      <c r="O153">
        <f>IF($Q153="","",INDEX(인턴계획표[정규화6],$Q153))</f>
        <v/>
      </c>
      <c r="P153">
        <f>IF($Q153="","",INDEX(인턴계획표[입력오류],$Q153))</f>
        <v/>
      </c>
      <c r="Q153" s="17">
        <f>IFERROR(MATCH(148,인턴계획표[표시순번],0),"")</f>
        <v/>
      </c>
    </row>
    <row r="154">
      <c r="A154">
        <f>IF($Q154="","",INDEX(인턴계획표[순번],$Q154)&amp;"")</f>
        <v/>
      </c>
      <c r="B154">
        <f>IF($Q154="","",TRIM(INDEX(인턴계획표[이름],$Q154)&amp;""))</f>
        <v/>
      </c>
      <c r="C154">
        <f>IF($Q154="","",INDEX(인턴계획표[사번],$Q154)&amp;"")</f>
        <v/>
      </c>
      <c r="D154">
        <f>IF($Q154="","",IF(COUNTIF(기본자료표[사번키],INDEX(인턴계획표[사번키],$Q154))&gt;0,"확인","미등록"))</f>
        <v/>
      </c>
      <c r="E154">
        <f>IF($Q154="","",IF(ISNUMBER(INDEX(인턴계획표[입사일(비고)],$Q154)),TEXT(INDEX(인턴계획표[입사일(비고)],$Q154),"yyyy-mm-dd"),INDEX(인턴계획표[입사일(비고)],$Q154)&amp;""))</f>
        <v/>
      </c>
      <c r="F154">
        <f>IF($Q154="","",IF(IF($G$3="","",INDEX(인턴계획표[[정규화1]:[정규화6]],$Q154,$G$3)&amp;"")="","",IF(LEFT(IF($G$3="","",INDEX(인턴계획표[[정규화1]:[정규화6]],$Q154,$G$3)&amp;""),1)="⚠",IF($G$3="","",INDEX(인턴계획표[[정규화1]:[정규화6]],$Q154,$G$3)&amp;""),IFERROR(LEFT(IF($G$3="","",INDEX(인턴계획표[[정규화1]:[정규화6]],$Q154,$G$3)&amp;""),FIND(" ",IF($G$3="","",INDEX(인턴계획표[[정규화1]:[정규화6]],$Q154,$G$3)&amp;""))-1),IF($G$3="","",INDEX(인턴계획표[[정규화1]:[정규화6]],$Q154,$G$3)&amp;"")))))</f>
        <v/>
      </c>
      <c r="G154">
        <f>IF($Q154="","",IF(IF($G$3="","",INDEX(인턴계획표[[정규화1]:[정규화6]],$Q154,$G$3)&amp;"")="","",IF(LEFT(IF($G$3="","",INDEX(인턴계획표[[정규화1]:[정규화6]],$Q154,$G$3)&amp;""),1)="⚠","",IFERROR(MID(IF($G$3="","",INDEX(인턴계획표[[정규화1]:[정규화6]],$Q154,$G$3)&amp;""),FIND(" ",IF($G$3="","",INDEX(인턴계획표[[정규화1]:[정규화6]],$Q154,$G$3)&amp;""))+1,60),""))))</f>
        <v/>
      </c>
      <c r="H154">
        <f>IF($Q154="","",IF(IF($I$3="","",INDEX(인턴계획표[[정규화1]:[정규화6]],$Q154,$I$3)&amp;"")="","",IF(LEFT(IF($I$3="","",INDEX(인턴계획표[[정규화1]:[정규화6]],$Q154,$I$3)&amp;""),1)="⚠",IF($I$3="","",INDEX(인턴계획표[[정규화1]:[정규화6]],$Q154,$I$3)&amp;""),IFERROR(LEFT(IF($I$3="","",INDEX(인턴계획표[[정규화1]:[정규화6]],$Q154,$I$3)&amp;""),FIND(" ",IF($I$3="","",INDEX(인턴계획표[[정규화1]:[정규화6]],$Q154,$I$3)&amp;""))-1),IF($I$3="","",INDEX(인턴계획표[[정규화1]:[정규화6]],$Q154,$I$3)&amp;"")))))</f>
        <v/>
      </c>
      <c r="I154">
        <f>IF($Q154="","",IF(IF($I$3="","",INDEX(인턴계획표[[정규화1]:[정규화6]],$Q154,$I$3)&amp;"")="","",IF(LEFT(IF($I$3="","",INDEX(인턴계획표[[정규화1]:[정규화6]],$Q154,$I$3)&amp;""),1)="⚠","",IFERROR(MID(IF($I$3="","",INDEX(인턴계획표[[정규화1]:[정규화6]],$Q154,$I$3)&amp;""),FIND(" ",IF($I$3="","",INDEX(인턴계획표[[정규화1]:[정규화6]],$Q154,$I$3)&amp;""))+1,60),""))))</f>
        <v/>
      </c>
      <c r="J154">
        <f>IF($Q154="","",INDEX(인턴계획표[정규화1],$Q154))</f>
        <v/>
      </c>
      <c r="K154">
        <f>IF($Q154="","",INDEX(인턴계획표[정규화2],$Q154))</f>
        <v/>
      </c>
      <c r="L154">
        <f>IF($Q154="","",INDEX(인턴계획표[정규화3],$Q154))</f>
        <v/>
      </c>
      <c r="M154">
        <f>IF($Q154="","",INDEX(인턴계획표[정규화4],$Q154))</f>
        <v/>
      </c>
      <c r="N154">
        <f>IF($Q154="","",INDEX(인턴계획표[정규화5],$Q154))</f>
        <v/>
      </c>
      <c r="O154">
        <f>IF($Q154="","",INDEX(인턴계획표[정규화6],$Q154))</f>
        <v/>
      </c>
      <c r="P154">
        <f>IF($Q154="","",INDEX(인턴계획표[입력오류],$Q154))</f>
        <v/>
      </c>
      <c r="Q154" s="17">
        <f>IFERROR(MATCH(149,인턴계획표[표시순번],0),"")</f>
        <v/>
      </c>
    </row>
    <row r="155">
      <c r="A155">
        <f>IF($Q155="","",INDEX(인턴계획표[순번],$Q155)&amp;"")</f>
        <v/>
      </c>
      <c r="B155">
        <f>IF($Q155="","",TRIM(INDEX(인턴계획표[이름],$Q155)&amp;""))</f>
        <v/>
      </c>
      <c r="C155">
        <f>IF($Q155="","",INDEX(인턴계획표[사번],$Q155)&amp;"")</f>
        <v/>
      </c>
      <c r="D155">
        <f>IF($Q155="","",IF(COUNTIF(기본자료표[사번키],INDEX(인턴계획표[사번키],$Q155))&gt;0,"확인","미등록"))</f>
        <v/>
      </c>
      <c r="E155">
        <f>IF($Q155="","",IF(ISNUMBER(INDEX(인턴계획표[입사일(비고)],$Q155)),TEXT(INDEX(인턴계획표[입사일(비고)],$Q155),"yyyy-mm-dd"),INDEX(인턴계획표[입사일(비고)],$Q155)&amp;""))</f>
        <v/>
      </c>
      <c r="F155">
        <f>IF($Q155="","",IF(IF($G$3="","",INDEX(인턴계획표[[정규화1]:[정규화6]],$Q155,$G$3)&amp;"")="","",IF(LEFT(IF($G$3="","",INDEX(인턴계획표[[정규화1]:[정규화6]],$Q155,$G$3)&amp;""),1)="⚠",IF($G$3="","",INDEX(인턴계획표[[정규화1]:[정규화6]],$Q155,$G$3)&amp;""),IFERROR(LEFT(IF($G$3="","",INDEX(인턴계획표[[정규화1]:[정규화6]],$Q155,$G$3)&amp;""),FIND(" ",IF($G$3="","",INDEX(인턴계획표[[정규화1]:[정규화6]],$Q155,$G$3)&amp;""))-1),IF($G$3="","",INDEX(인턴계획표[[정규화1]:[정규화6]],$Q155,$G$3)&amp;"")))))</f>
        <v/>
      </c>
      <c r="G155">
        <f>IF($Q155="","",IF(IF($G$3="","",INDEX(인턴계획표[[정규화1]:[정규화6]],$Q155,$G$3)&amp;"")="","",IF(LEFT(IF($G$3="","",INDEX(인턴계획표[[정규화1]:[정규화6]],$Q155,$G$3)&amp;""),1)="⚠","",IFERROR(MID(IF($G$3="","",INDEX(인턴계획표[[정규화1]:[정규화6]],$Q155,$G$3)&amp;""),FIND(" ",IF($G$3="","",INDEX(인턴계획표[[정규화1]:[정규화6]],$Q155,$G$3)&amp;""))+1,60),""))))</f>
        <v/>
      </c>
      <c r="H155">
        <f>IF($Q155="","",IF(IF($I$3="","",INDEX(인턴계획표[[정규화1]:[정규화6]],$Q155,$I$3)&amp;"")="","",IF(LEFT(IF($I$3="","",INDEX(인턴계획표[[정규화1]:[정규화6]],$Q155,$I$3)&amp;""),1)="⚠",IF($I$3="","",INDEX(인턴계획표[[정규화1]:[정규화6]],$Q155,$I$3)&amp;""),IFERROR(LEFT(IF($I$3="","",INDEX(인턴계획표[[정규화1]:[정규화6]],$Q155,$I$3)&amp;""),FIND(" ",IF($I$3="","",INDEX(인턴계획표[[정규화1]:[정규화6]],$Q155,$I$3)&amp;""))-1),IF($I$3="","",INDEX(인턴계획표[[정규화1]:[정규화6]],$Q155,$I$3)&amp;"")))))</f>
        <v/>
      </c>
      <c r="I155">
        <f>IF($Q155="","",IF(IF($I$3="","",INDEX(인턴계획표[[정규화1]:[정규화6]],$Q155,$I$3)&amp;"")="","",IF(LEFT(IF($I$3="","",INDEX(인턴계획표[[정규화1]:[정규화6]],$Q155,$I$3)&amp;""),1)="⚠","",IFERROR(MID(IF($I$3="","",INDEX(인턴계획표[[정규화1]:[정규화6]],$Q155,$I$3)&amp;""),FIND(" ",IF($I$3="","",INDEX(인턴계획표[[정규화1]:[정규화6]],$Q155,$I$3)&amp;""))+1,60),""))))</f>
        <v/>
      </c>
      <c r="J155">
        <f>IF($Q155="","",INDEX(인턴계획표[정규화1],$Q155))</f>
        <v/>
      </c>
      <c r="K155">
        <f>IF($Q155="","",INDEX(인턴계획표[정규화2],$Q155))</f>
        <v/>
      </c>
      <c r="L155">
        <f>IF($Q155="","",INDEX(인턴계획표[정규화3],$Q155))</f>
        <v/>
      </c>
      <c r="M155">
        <f>IF($Q155="","",INDEX(인턴계획표[정규화4],$Q155))</f>
        <v/>
      </c>
      <c r="N155">
        <f>IF($Q155="","",INDEX(인턴계획표[정규화5],$Q155))</f>
        <v/>
      </c>
      <c r="O155">
        <f>IF($Q155="","",INDEX(인턴계획표[정규화6],$Q155))</f>
        <v/>
      </c>
      <c r="P155">
        <f>IF($Q155="","",INDEX(인턴계획표[입력오류],$Q155))</f>
        <v/>
      </c>
      <c r="Q155" s="17">
        <f>IFERROR(MATCH(150,인턴계획표[표시순번],0),"")</f>
        <v/>
      </c>
    </row>
    <row r="156">
      <c r="A156">
        <f>IF($Q156="","",INDEX(인턴계획표[순번],$Q156)&amp;"")</f>
        <v/>
      </c>
      <c r="B156">
        <f>IF($Q156="","",TRIM(INDEX(인턴계획표[이름],$Q156)&amp;""))</f>
        <v/>
      </c>
      <c r="C156">
        <f>IF($Q156="","",INDEX(인턴계획표[사번],$Q156)&amp;"")</f>
        <v/>
      </c>
      <c r="D156">
        <f>IF($Q156="","",IF(COUNTIF(기본자료표[사번키],INDEX(인턴계획표[사번키],$Q156))&gt;0,"확인","미등록"))</f>
        <v/>
      </c>
      <c r="E156">
        <f>IF($Q156="","",IF(ISNUMBER(INDEX(인턴계획표[입사일(비고)],$Q156)),TEXT(INDEX(인턴계획표[입사일(비고)],$Q156),"yyyy-mm-dd"),INDEX(인턴계획표[입사일(비고)],$Q156)&amp;""))</f>
        <v/>
      </c>
      <c r="F156">
        <f>IF($Q156="","",IF(IF($G$3="","",INDEX(인턴계획표[[정규화1]:[정규화6]],$Q156,$G$3)&amp;"")="","",IF(LEFT(IF($G$3="","",INDEX(인턴계획표[[정규화1]:[정규화6]],$Q156,$G$3)&amp;""),1)="⚠",IF($G$3="","",INDEX(인턴계획표[[정규화1]:[정규화6]],$Q156,$G$3)&amp;""),IFERROR(LEFT(IF($G$3="","",INDEX(인턴계획표[[정규화1]:[정규화6]],$Q156,$G$3)&amp;""),FIND(" ",IF($G$3="","",INDEX(인턴계획표[[정규화1]:[정규화6]],$Q156,$G$3)&amp;""))-1),IF($G$3="","",INDEX(인턴계획표[[정규화1]:[정규화6]],$Q156,$G$3)&amp;"")))))</f>
        <v/>
      </c>
      <c r="G156">
        <f>IF($Q156="","",IF(IF($G$3="","",INDEX(인턴계획표[[정규화1]:[정규화6]],$Q156,$G$3)&amp;"")="","",IF(LEFT(IF($G$3="","",INDEX(인턴계획표[[정규화1]:[정규화6]],$Q156,$G$3)&amp;""),1)="⚠","",IFERROR(MID(IF($G$3="","",INDEX(인턴계획표[[정규화1]:[정규화6]],$Q156,$G$3)&amp;""),FIND(" ",IF($G$3="","",INDEX(인턴계획표[[정규화1]:[정규화6]],$Q156,$G$3)&amp;""))+1,60),""))))</f>
        <v/>
      </c>
      <c r="H156">
        <f>IF($Q156="","",IF(IF($I$3="","",INDEX(인턴계획표[[정규화1]:[정규화6]],$Q156,$I$3)&amp;"")="","",IF(LEFT(IF($I$3="","",INDEX(인턴계획표[[정규화1]:[정규화6]],$Q156,$I$3)&amp;""),1)="⚠",IF($I$3="","",INDEX(인턴계획표[[정규화1]:[정규화6]],$Q156,$I$3)&amp;""),IFERROR(LEFT(IF($I$3="","",INDEX(인턴계획표[[정규화1]:[정규화6]],$Q156,$I$3)&amp;""),FIND(" ",IF($I$3="","",INDEX(인턴계획표[[정규화1]:[정규화6]],$Q156,$I$3)&amp;""))-1),IF($I$3="","",INDEX(인턴계획표[[정규화1]:[정규화6]],$Q156,$I$3)&amp;"")))))</f>
        <v/>
      </c>
      <c r="I156">
        <f>IF($Q156="","",IF(IF($I$3="","",INDEX(인턴계획표[[정규화1]:[정규화6]],$Q156,$I$3)&amp;"")="","",IF(LEFT(IF($I$3="","",INDEX(인턴계획표[[정규화1]:[정규화6]],$Q156,$I$3)&amp;""),1)="⚠","",IFERROR(MID(IF($I$3="","",INDEX(인턴계획표[[정규화1]:[정규화6]],$Q156,$I$3)&amp;""),FIND(" ",IF($I$3="","",INDEX(인턴계획표[[정규화1]:[정규화6]],$Q156,$I$3)&amp;""))+1,60),""))))</f>
        <v/>
      </c>
      <c r="J156">
        <f>IF($Q156="","",INDEX(인턴계획표[정규화1],$Q156))</f>
        <v/>
      </c>
      <c r="K156">
        <f>IF($Q156="","",INDEX(인턴계획표[정규화2],$Q156))</f>
        <v/>
      </c>
      <c r="L156">
        <f>IF($Q156="","",INDEX(인턴계획표[정규화3],$Q156))</f>
        <v/>
      </c>
      <c r="M156">
        <f>IF($Q156="","",INDEX(인턴계획표[정규화4],$Q156))</f>
        <v/>
      </c>
      <c r="N156">
        <f>IF($Q156="","",INDEX(인턴계획표[정규화5],$Q156))</f>
        <v/>
      </c>
      <c r="O156">
        <f>IF($Q156="","",INDEX(인턴계획표[정규화6],$Q156))</f>
        <v/>
      </c>
      <c r="P156">
        <f>IF($Q156="","",INDEX(인턴계획표[입력오류],$Q156))</f>
        <v/>
      </c>
      <c r="Q156" s="17">
        <f>IFERROR(MATCH(151,인턴계획표[표시순번],0),"")</f>
        <v/>
      </c>
    </row>
    <row r="157">
      <c r="A157">
        <f>IF($Q157="","",INDEX(인턴계획표[순번],$Q157)&amp;"")</f>
        <v/>
      </c>
      <c r="B157">
        <f>IF($Q157="","",TRIM(INDEX(인턴계획표[이름],$Q157)&amp;""))</f>
        <v/>
      </c>
      <c r="C157">
        <f>IF($Q157="","",INDEX(인턴계획표[사번],$Q157)&amp;"")</f>
        <v/>
      </c>
      <c r="D157">
        <f>IF($Q157="","",IF(COUNTIF(기본자료표[사번키],INDEX(인턴계획표[사번키],$Q157))&gt;0,"확인","미등록"))</f>
        <v/>
      </c>
      <c r="E157">
        <f>IF($Q157="","",IF(ISNUMBER(INDEX(인턴계획표[입사일(비고)],$Q157)),TEXT(INDEX(인턴계획표[입사일(비고)],$Q157),"yyyy-mm-dd"),INDEX(인턴계획표[입사일(비고)],$Q157)&amp;""))</f>
        <v/>
      </c>
      <c r="F157">
        <f>IF($Q157="","",IF(IF($G$3="","",INDEX(인턴계획표[[정규화1]:[정규화6]],$Q157,$G$3)&amp;"")="","",IF(LEFT(IF($G$3="","",INDEX(인턴계획표[[정규화1]:[정규화6]],$Q157,$G$3)&amp;""),1)="⚠",IF($G$3="","",INDEX(인턴계획표[[정규화1]:[정규화6]],$Q157,$G$3)&amp;""),IFERROR(LEFT(IF($G$3="","",INDEX(인턴계획표[[정규화1]:[정규화6]],$Q157,$G$3)&amp;""),FIND(" ",IF($G$3="","",INDEX(인턴계획표[[정규화1]:[정규화6]],$Q157,$G$3)&amp;""))-1),IF($G$3="","",INDEX(인턴계획표[[정규화1]:[정규화6]],$Q157,$G$3)&amp;"")))))</f>
        <v/>
      </c>
      <c r="G157">
        <f>IF($Q157="","",IF(IF($G$3="","",INDEX(인턴계획표[[정규화1]:[정규화6]],$Q157,$G$3)&amp;"")="","",IF(LEFT(IF($G$3="","",INDEX(인턴계획표[[정규화1]:[정규화6]],$Q157,$G$3)&amp;""),1)="⚠","",IFERROR(MID(IF($G$3="","",INDEX(인턴계획표[[정규화1]:[정규화6]],$Q157,$G$3)&amp;""),FIND(" ",IF($G$3="","",INDEX(인턴계획표[[정규화1]:[정규화6]],$Q157,$G$3)&amp;""))+1,60),""))))</f>
        <v/>
      </c>
      <c r="H157">
        <f>IF($Q157="","",IF(IF($I$3="","",INDEX(인턴계획표[[정규화1]:[정규화6]],$Q157,$I$3)&amp;"")="","",IF(LEFT(IF($I$3="","",INDEX(인턴계획표[[정규화1]:[정규화6]],$Q157,$I$3)&amp;""),1)="⚠",IF($I$3="","",INDEX(인턴계획표[[정규화1]:[정규화6]],$Q157,$I$3)&amp;""),IFERROR(LEFT(IF($I$3="","",INDEX(인턴계획표[[정규화1]:[정규화6]],$Q157,$I$3)&amp;""),FIND(" ",IF($I$3="","",INDEX(인턴계획표[[정규화1]:[정규화6]],$Q157,$I$3)&amp;""))-1),IF($I$3="","",INDEX(인턴계획표[[정규화1]:[정규화6]],$Q157,$I$3)&amp;"")))))</f>
        <v/>
      </c>
      <c r="I157">
        <f>IF($Q157="","",IF(IF($I$3="","",INDEX(인턴계획표[[정규화1]:[정규화6]],$Q157,$I$3)&amp;"")="","",IF(LEFT(IF($I$3="","",INDEX(인턴계획표[[정규화1]:[정규화6]],$Q157,$I$3)&amp;""),1)="⚠","",IFERROR(MID(IF($I$3="","",INDEX(인턴계획표[[정규화1]:[정규화6]],$Q157,$I$3)&amp;""),FIND(" ",IF($I$3="","",INDEX(인턴계획표[[정규화1]:[정규화6]],$Q157,$I$3)&amp;""))+1,60),""))))</f>
        <v/>
      </c>
      <c r="J157">
        <f>IF($Q157="","",INDEX(인턴계획표[정규화1],$Q157))</f>
        <v/>
      </c>
      <c r="K157">
        <f>IF($Q157="","",INDEX(인턴계획표[정규화2],$Q157))</f>
        <v/>
      </c>
      <c r="L157">
        <f>IF($Q157="","",INDEX(인턴계획표[정규화3],$Q157))</f>
        <v/>
      </c>
      <c r="M157">
        <f>IF($Q157="","",INDEX(인턴계획표[정규화4],$Q157))</f>
        <v/>
      </c>
      <c r="N157">
        <f>IF($Q157="","",INDEX(인턴계획표[정규화5],$Q157))</f>
        <v/>
      </c>
      <c r="O157">
        <f>IF($Q157="","",INDEX(인턴계획표[정규화6],$Q157))</f>
        <v/>
      </c>
      <c r="P157">
        <f>IF($Q157="","",INDEX(인턴계획표[입력오류],$Q157))</f>
        <v/>
      </c>
      <c r="Q157" s="17">
        <f>IFERROR(MATCH(152,인턴계획표[표시순번],0),"")</f>
        <v/>
      </c>
    </row>
    <row r="158">
      <c r="A158">
        <f>IF($Q158="","",INDEX(인턴계획표[순번],$Q158)&amp;"")</f>
        <v/>
      </c>
      <c r="B158">
        <f>IF($Q158="","",TRIM(INDEX(인턴계획표[이름],$Q158)&amp;""))</f>
        <v/>
      </c>
      <c r="C158">
        <f>IF($Q158="","",INDEX(인턴계획표[사번],$Q158)&amp;"")</f>
        <v/>
      </c>
      <c r="D158">
        <f>IF($Q158="","",IF(COUNTIF(기본자료표[사번키],INDEX(인턴계획표[사번키],$Q158))&gt;0,"확인","미등록"))</f>
        <v/>
      </c>
      <c r="E158">
        <f>IF($Q158="","",IF(ISNUMBER(INDEX(인턴계획표[입사일(비고)],$Q158)),TEXT(INDEX(인턴계획표[입사일(비고)],$Q158),"yyyy-mm-dd"),INDEX(인턴계획표[입사일(비고)],$Q158)&amp;""))</f>
        <v/>
      </c>
      <c r="F158">
        <f>IF($Q158="","",IF(IF($G$3="","",INDEX(인턴계획표[[정규화1]:[정규화6]],$Q158,$G$3)&amp;"")="","",IF(LEFT(IF($G$3="","",INDEX(인턴계획표[[정규화1]:[정규화6]],$Q158,$G$3)&amp;""),1)="⚠",IF($G$3="","",INDEX(인턴계획표[[정규화1]:[정규화6]],$Q158,$G$3)&amp;""),IFERROR(LEFT(IF($G$3="","",INDEX(인턴계획표[[정규화1]:[정규화6]],$Q158,$G$3)&amp;""),FIND(" ",IF($G$3="","",INDEX(인턴계획표[[정규화1]:[정규화6]],$Q158,$G$3)&amp;""))-1),IF($G$3="","",INDEX(인턴계획표[[정규화1]:[정규화6]],$Q158,$G$3)&amp;"")))))</f>
        <v/>
      </c>
      <c r="G158">
        <f>IF($Q158="","",IF(IF($G$3="","",INDEX(인턴계획표[[정규화1]:[정규화6]],$Q158,$G$3)&amp;"")="","",IF(LEFT(IF($G$3="","",INDEX(인턴계획표[[정규화1]:[정규화6]],$Q158,$G$3)&amp;""),1)="⚠","",IFERROR(MID(IF($G$3="","",INDEX(인턴계획표[[정규화1]:[정규화6]],$Q158,$G$3)&amp;""),FIND(" ",IF($G$3="","",INDEX(인턴계획표[[정규화1]:[정규화6]],$Q158,$G$3)&amp;""))+1,60),""))))</f>
        <v/>
      </c>
      <c r="H158">
        <f>IF($Q158="","",IF(IF($I$3="","",INDEX(인턴계획표[[정규화1]:[정규화6]],$Q158,$I$3)&amp;"")="","",IF(LEFT(IF($I$3="","",INDEX(인턴계획표[[정규화1]:[정규화6]],$Q158,$I$3)&amp;""),1)="⚠",IF($I$3="","",INDEX(인턴계획표[[정규화1]:[정규화6]],$Q158,$I$3)&amp;""),IFERROR(LEFT(IF($I$3="","",INDEX(인턴계획표[[정규화1]:[정규화6]],$Q158,$I$3)&amp;""),FIND(" ",IF($I$3="","",INDEX(인턴계획표[[정규화1]:[정규화6]],$Q158,$I$3)&amp;""))-1),IF($I$3="","",INDEX(인턴계획표[[정규화1]:[정규화6]],$Q158,$I$3)&amp;"")))))</f>
        <v/>
      </c>
      <c r="I158">
        <f>IF($Q158="","",IF(IF($I$3="","",INDEX(인턴계획표[[정규화1]:[정규화6]],$Q158,$I$3)&amp;"")="","",IF(LEFT(IF($I$3="","",INDEX(인턴계획표[[정규화1]:[정규화6]],$Q158,$I$3)&amp;""),1)="⚠","",IFERROR(MID(IF($I$3="","",INDEX(인턴계획표[[정규화1]:[정규화6]],$Q158,$I$3)&amp;""),FIND(" ",IF($I$3="","",INDEX(인턴계획표[[정규화1]:[정규화6]],$Q158,$I$3)&amp;""))+1,60),""))))</f>
        <v/>
      </c>
      <c r="J158">
        <f>IF($Q158="","",INDEX(인턴계획표[정규화1],$Q158))</f>
        <v/>
      </c>
      <c r="K158">
        <f>IF($Q158="","",INDEX(인턴계획표[정규화2],$Q158))</f>
        <v/>
      </c>
      <c r="L158">
        <f>IF($Q158="","",INDEX(인턴계획표[정규화3],$Q158))</f>
        <v/>
      </c>
      <c r="M158">
        <f>IF($Q158="","",INDEX(인턴계획표[정규화4],$Q158))</f>
        <v/>
      </c>
      <c r="N158">
        <f>IF($Q158="","",INDEX(인턴계획표[정규화5],$Q158))</f>
        <v/>
      </c>
      <c r="O158">
        <f>IF($Q158="","",INDEX(인턴계획표[정규화6],$Q158))</f>
        <v/>
      </c>
      <c r="P158">
        <f>IF($Q158="","",INDEX(인턴계획표[입력오류],$Q158))</f>
        <v/>
      </c>
      <c r="Q158" s="17">
        <f>IFERROR(MATCH(153,인턴계획표[표시순번],0),"")</f>
        <v/>
      </c>
    </row>
    <row r="159">
      <c r="A159">
        <f>IF($Q159="","",INDEX(인턴계획표[순번],$Q159)&amp;"")</f>
        <v/>
      </c>
      <c r="B159">
        <f>IF($Q159="","",TRIM(INDEX(인턴계획표[이름],$Q159)&amp;""))</f>
        <v/>
      </c>
      <c r="C159">
        <f>IF($Q159="","",INDEX(인턴계획표[사번],$Q159)&amp;"")</f>
        <v/>
      </c>
      <c r="D159">
        <f>IF($Q159="","",IF(COUNTIF(기본자료표[사번키],INDEX(인턴계획표[사번키],$Q159))&gt;0,"확인","미등록"))</f>
        <v/>
      </c>
      <c r="E159">
        <f>IF($Q159="","",IF(ISNUMBER(INDEX(인턴계획표[입사일(비고)],$Q159)),TEXT(INDEX(인턴계획표[입사일(비고)],$Q159),"yyyy-mm-dd"),INDEX(인턴계획표[입사일(비고)],$Q159)&amp;""))</f>
        <v/>
      </c>
      <c r="F159">
        <f>IF($Q159="","",IF(IF($G$3="","",INDEX(인턴계획표[[정규화1]:[정규화6]],$Q159,$G$3)&amp;"")="","",IF(LEFT(IF($G$3="","",INDEX(인턴계획표[[정규화1]:[정규화6]],$Q159,$G$3)&amp;""),1)="⚠",IF($G$3="","",INDEX(인턴계획표[[정규화1]:[정규화6]],$Q159,$G$3)&amp;""),IFERROR(LEFT(IF($G$3="","",INDEX(인턴계획표[[정규화1]:[정규화6]],$Q159,$G$3)&amp;""),FIND(" ",IF($G$3="","",INDEX(인턴계획표[[정규화1]:[정규화6]],$Q159,$G$3)&amp;""))-1),IF($G$3="","",INDEX(인턴계획표[[정규화1]:[정규화6]],$Q159,$G$3)&amp;"")))))</f>
        <v/>
      </c>
      <c r="G159">
        <f>IF($Q159="","",IF(IF($G$3="","",INDEX(인턴계획표[[정규화1]:[정규화6]],$Q159,$G$3)&amp;"")="","",IF(LEFT(IF($G$3="","",INDEX(인턴계획표[[정규화1]:[정규화6]],$Q159,$G$3)&amp;""),1)="⚠","",IFERROR(MID(IF($G$3="","",INDEX(인턴계획표[[정규화1]:[정규화6]],$Q159,$G$3)&amp;""),FIND(" ",IF($G$3="","",INDEX(인턴계획표[[정규화1]:[정규화6]],$Q159,$G$3)&amp;""))+1,60),""))))</f>
        <v/>
      </c>
      <c r="H159">
        <f>IF($Q159="","",IF(IF($I$3="","",INDEX(인턴계획표[[정규화1]:[정규화6]],$Q159,$I$3)&amp;"")="","",IF(LEFT(IF($I$3="","",INDEX(인턴계획표[[정규화1]:[정규화6]],$Q159,$I$3)&amp;""),1)="⚠",IF($I$3="","",INDEX(인턴계획표[[정규화1]:[정규화6]],$Q159,$I$3)&amp;""),IFERROR(LEFT(IF($I$3="","",INDEX(인턴계획표[[정규화1]:[정규화6]],$Q159,$I$3)&amp;""),FIND(" ",IF($I$3="","",INDEX(인턴계획표[[정규화1]:[정규화6]],$Q159,$I$3)&amp;""))-1),IF($I$3="","",INDEX(인턴계획표[[정규화1]:[정규화6]],$Q159,$I$3)&amp;"")))))</f>
        <v/>
      </c>
      <c r="I159">
        <f>IF($Q159="","",IF(IF($I$3="","",INDEX(인턴계획표[[정규화1]:[정규화6]],$Q159,$I$3)&amp;"")="","",IF(LEFT(IF($I$3="","",INDEX(인턴계획표[[정규화1]:[정규화6]],$Q159,$I$3)&amp;""),1)="⚠","",IFERROR(MID(IF($I$3="","",INDEX(인턴계획표[[정규화1]:[정규화6]],$Q159,$I$3)&amp;""),FIND(" ",IF($I$3="","",INDEX(인턴계획표[[정규화1]:[정규화6]],$Q159,$I$3)&amp;""))+1,60),""))))</f>
        <v/>
      </c>
      <c r="J159">
        <f>IF($Q159="","",INDEX(인턴계획표[정규화1],$Q159))</f>
        <v/>
      </c>
      <c r="K159">
        <f>IF($Q159="","",INDEX(인턴계획표[정규화2],$Q159))</f>
        <v/>
      </c>
      <c r="L159">
        <f>IF($Q159="","",INDEX(인턴계획표[정규화3],$Q159))</f>
        <v/>
      </c>
      <c r="M159">
        <f>IF($Q159="","",INDEX(인턴계획표[정규화4],$Q159))</f>
        <v/>
      </c>
      <c r="N159">
        <f>IF($Q159="","",INDEX(인턴계획표[정규화5],$Q159))</f>
        <v/>
      </c>
      <c r="O159">
        <f>IF($Q159="","",INDEX(인턴계획표[정규화6],$Q159))</f>
        <v/>
      </c>
      <c r="P159">
        <f>IF($Q159="","",INDEX(인턴계획표[입력오류],$Q159))</f>
        <v/>
      </c>
      <c r="Q159" s="17">
        <f>IFERROR(MATCH(154,인턴계획표[표시순번],0),"")</f>
        <v/>
      </c>
    </row>
    <row r="160">
      <c r="A160">
        <f>IF($Q160="","",INDEX(인턴계획표[순번],$Q160)&amp;"")</f>
        <v/>
      </c>
      <c r="B160">
        <f>IF($Q160="","",TRIM(INDEX(인턴계획표[이름],$Q160)&amp;""))</f>
        <v/>
      </c>
      <c r="C160">
        <f>IF($Q160="","",INDEX(인턴계획표[사번],$Q160)&amp;"")</f>
        <v/>
      </c>
      <c r="D160">
        <f>IF($Q160="","",IF(COUNTIF(기본자료표[사번키],INDEX(인턴계획표[사번키],$Q160))&gt;0,"확인","미등록"))</f>
        <v/>
      </c>
      <c r="E160">
        <f>IF($Q160="","",IF(ISNUMBER(INDEX(인턴계획표[입사일(비고)],$Q160)),TEXT(INDEX(인턴계획표[입사일(비고)],$Q160),"yyyy-mm-dd"),INDEX(인턴계획표[입사일(비고)],$Q160)&amp;""))</f>
        <v/>
      </c>
      <c r="F160">
        <f>IF($Q160="","",IF(IF($G$3="","",INDEX(인턴계획표[[정규화1]:[정규화6]],$Q160,$G$3)&amp;"")="","",IF(LEFT(IF($G$3="","",INDEX(인턴계획표[[정규화1]:[정규화6]],$Q160,$G$3)&amp;""),1)="⚠",IF($G$3="","",INDEX(인턴계획표[[정규화1]:[정규화6]],$Q160,$G$3)&amp;""),IFERROR(LEFT(IF($G$3="","",INDEX(인턴계획표[[정규화1]:[정규화6]],$Q160,$G$3)&amp;""),FIND(" ",IF($G$3="","",INDEX(인턴계획표[[정규화1]:[정규화6]],$Q160,$G$3)&amp;""))-1),IF($G$3="","",INDEX(인턴계획표[[정규화1]:[정규화6]],$Q160,$G$3)&amp;"")))))</f>
        <v/>
      </c>
      <c r="G160">
        <f>IF($Q160="","",IF(IF($G$3="","",INDEX(인턴계획표[[정규화1]:[정규화6]],$Q160,$G$3)&amp;"")="","",IF(LEFT(IF($G$3="","",INDEX(인턴계획표[[정규화1]:[정규화6]],$Q160,$G$3)&amp;""),1)="⚠","",IFERROR(MID(IF($G$3="","",INDEX(인턴계획표[[정규화1]:[정규화6]],$Q160,$G$3)&amp;""),FIND(" ",IF($G$3="","",INDEX(인턴계획표[[정규화1]:[정규화6]],$Q160,$G$3)&amp;""))+1,60),""))))</f>
        <v/>
      </c>
      <c r="H160">
        <f>IF($Q160="","",IF(IF($I$3="","",INDEX(인턴계획표[[정규화1]:[정규화6]],$Q160,$I$3)&amp;"")="","",IF(LEFT(IF($I$3="","",INDEX(인턴계획표[[정규화1]:[정규화6]],$Q160,$I$3)&amp;""),1)="⚠",IF($I$3="","",INDEX(인턴계획표[[정규화1]:[정규화6]],$Q160,$I$3)&amp;""),IFERROR(LEFT(IF($I$3="","",INDEX(인턴계획표[[정규화1]:[정규화6]],$Q160,$I$3)&amp;""),FIND(" ",IF($I$3="","",INDEX(인턴계획표[[정규화1]:[정규화6]],$Q160,$I$3)&amp;""))-1),IF($I$3="","",INDEX(인턴계획표[[정규화1]:[정규화6]],$Q160,$I$3)&amp;"")))))</f>
        <v/>
      </c>
      <c r="I160">
        <f>IF($Q160="","",IF(IF($I$3="","",INDEX(인턴계획표[[정규화1]:[정규화6]],$Q160,$I$3)&amp;"")="","",IF(LEFT(IF($I$3="","",INDEX(인턴계획표[[정규화1]:[정규화6]],$Q160,$I$3)&amp;""),1)="⚠","",IFERROR(MID(IF($I$3="","",INDEX(인턴계획표[[정규화1]:[정규화6]],$Q160,$I$3)&amp;""),FIND(" ",IF($I$3="","",INDEX(인턴계획표[[정규화1]:[정규화6]],$Q160,$I$3)&amp;""))+1,60),""))))</f>
        <v/>
      </c>
      <c r="J160">
        <f>IF($Q160="","",INDEX(인턴계획표[정규화1],$Q160))</f>
        <v/>
      </c>
      <c r="K160">
        <f>IF($Q160="","",INDEX(인턴계획표[정규화2],$Q160))</f>
        <v/>
      </c>
      <c r="L160">
        <f>IF($Q160="","",INDEX(인턴계획표[정규화3],$Q160))</f>
        <v/>
      </c>
      <c r="M160">
        <f>IF($Q160="","",INDEX(인턴계획표[정규화4],$Q160))</f>
        <v/>
      </c>
      <c r="N160">
        <f>IF($Q160="","",INDEX(인턴계획표[정규화5],$Q160))</f>
        <v/>
      </c>
      <c r="O160">
        <f>IF($Q160="","",INDEX(인턴계획표[정규화6],$Q160))</f>
        <v/>
      </c>
      <c r="P160">
        <f>IF($Q160="","",INDEX(인턴계획표[입력오류],$Q160))</f>
        <v/>
      </c>
      <c r="Q160" s="17">
        <f>IFERROR(MATCH(155,인턴계획표[표시순번],0),"")</f>
        <v/>
      </c>
    </row>
    <row r="161">
      <c r="A161">
        <f>IF($Q161="","",INDEX(인턴계획표[순번],$Q161)&amp;"")</f>
        <v/>
      </c>
      <c r="B161">
        <f>IF($Q161="","",TRIM(INDEX(인턴계획표[이름],$Q161)&amp;""))</f>
        <v/>
      </c>
      <c r="C161">
        <f>IF($Q161="","",INDEX(인턴계획표[사번],$Q161)&amp;"")</f>
        <v/>
      </c>
      <c r="D161">
        <f>IF($Q161="","",IF(COUNTIF(기본자료표[사번키],INDEX(인턴계획표[사번키],$Q161))&gt;0,"확인","미등록"))</f>
        <v/>
      </c>
      <c r="E161">
        <f>IF($Q161="","",IF(ISNUMBER(INDEX(인턴계획표[입사일(비고)],$Q161)),TEXT(INDEX(인턴계획표[입사일(비고)],$Q161),"yyyy-mm-dd"),INDEX(인턴계획표[입사일(비고)],$Q161)&amp;""))</f>
        <v/>
      </c>
      <c r="F161">
        <f>IF($Q161="","",IF(IF($G$3="","",INDEX(인턴계획표[[정규화1]:[정규화6]],$Q161,$G$3)&amp;"")="","",IF(LEFT(IF($G$3="","",INDEX(인턴계획표[[정규화1]:[정규화6]],$Q161,$G$3)&amp;""),1)="⚠",IF($G$3="","",INDEX(인턴계획표[[정규화1]:[정규화6]],$Q161,$G$3)&amp;""),IFERROR(LEFT(IF($G$3="","",INDEX(인턴계획표[[정규화1]:[정규화6]],$Q161,$G$3)&amp;""),FIND(" ",IF($G$3="","",INDEX(인턴계획표[[정규화1]:[정규화6]],$Q161,$G$3)&amp;""))-1),IF($G$3="","",INDEX(인턴계획표[[정규화1]:[정규화6]],$Q161,$G$3)&amp;"")))))</f>
        <v/>
      </c>
      <c r="G161">
        <f>IF($Q161="","",IF(IF($G$3="","",INDEX(인턴계획표[[정규화1]:[정규화6]],$Q161,$G$3)&amp;"")="","",IF(LEFT(IF($G$3="","",INDEX(인턴계획표[[정규화1]:[정규화6]],$Q161,$G$3)&amp;""),1)="⚠","",IFERROR(MID(IF($G$3="","",INDEX(인턴계획표[[정규화1]:[정규화6]],$Q161,$G$3)&amp;""),FIND(" ",IF($G$3="","",INDEX(인턴계획표[[정규화1]:[정규화6]],$Q161,$G$3)&amp;""))+1,60),""))))</f>
        <v/>
      </c>
      <c r="H161">
        <f>IF($Q161="","",IF(IF($I$3="","",INDEX(인턴계획표[[정규화1]:[정규화6]],$Q161,$I$3)&amp;"")="","",IF(LEFT(IF($I$3="","",INDEX(인턴계획표[[정규화1]:[정규화6]],$Q161,$I$3)&amp;""),1)="⚠",IF($I$3="","",INDEX(인턴계획표[[정규화1]:[정규화6]],$Q161,$I$3)&amp;""),IFERROR(LEFT(IF($I$3="","",INDEX(인턴계획표[[정규화1]:[정규화6]],$Q161,$I$3)&amp;""),FIND(" ",IF($I$3="","",INDEX(인턴계획표[[정규화1]:[정규화6]],$Q161,$I$3)&amp;""))-1),IF($I$3="","",INDEX(인턴계획표[[정규화1]:[정규화6]],$Q161,$I$3)&amp;"")))))</f>
        <v/>
      </c>
      <c r="I161">
        <f>IF($Q161="","",IF(IF($I$3="","",INDEX(인턴계획표[[정규화1]:[정규화6]],$Q161,$I$3)&amp;"")="","",IF(LEFT(IF($I$3="","",INDEX(인턴계획표[[정규화1]:[정규화6]],$Q161,$I$3)&amp;""),1)="⚠","",IFERROR(MID(IF($I$3="","",INDEX(인턴계획표[[정규화1]:[정규화6]],$Q161,$I$3)&amp;""),FIND(" ",IF($I$3="","",INDEX(인턴계획표[[정규화1]:[정규화6]],$Q161,$I$3)&amp;""))+1,60),""))))</f>
        <v/>
      </c>
      <c r="J161">
        <f>IF($Q161="","",INDEX(인턴계획표[정규화1],$Q161))</f>
        <v/>
      </c>
      <c r="K161">
        <f>IF($Q161="","",INDEX(인턴계획표[정규화2],$Q161))</f>
        <v/>
      </c>
      <c r="L161">
        <f>IF($Q161="","",INDEX(인턴계획표[정규화3],$Q161))</f>
        <v/>
      </c>
      <c r="M161">
        <f>IF($Q161="","",INDEX(인턴계획표[정규화4],$Q161))</f>
        <v/>
      </c>
      <c r="N161">
        <f>IF($Q161="","",INDEX(인턴계획표[정규화5],$Q161))</f>
        <v/>
      </c>
      <c r="O161">
        <f>IF($Q161="","",INDEX(인턴계획표[정규화6],$Q161))</f>
        <v/>
      </c>
      <c r="P161">
        <f>IF($Q161="","",INDEX(인턴계획표[입력오류],$Q161))</f>
        <v/>
      </c>
      <c r="Q161" s="17">
        <f>IFERROR(MATCH(156,인턴계획표[표시순번],0),"")</f>
        <v/>
      </c>
    </row>
    <row r="162">
      <c r="A162">
        <f>IF($Q162="","",INDEX(인턴계획표[순번],$Q162)&amp;"")</f>
        <v/>
      </c>
      <c r="B162">
        <f>IF($Q162="","",TRIM(INDEX(인턴계획표[이름],$Q162)&amp;""))</f>
        <v/>
      </c>
      <c r="C162">
        <f>IF($Q162="","",INDEX(인턴계획표[사번],$Q162)&amp;"")</f>
        <v/>
      </c>
      <c r="D162">
        <f>IF($Q162="","",IF(COUNTIF(기본자료표[사번키],INDEX(인턴계획표[사번키],$Q162))&gt;0,"확인","미등록"))</f>
        <v/>
      </c>
      <c r="E162">
        <f>IF($Q162="","",IF(ISNUMBER(INDEX(인턴계획표[입사일(비고)],$Q162)),TEXT(INDEX(인턴계획표[입사일(비고)],$Q162),"yyyy-mm-dd"),INDEX(인턴계획표[입사일(비고)],$Q162)&amp;""))</f>
        <v/>
      </c>
      <c r="F162">
        <f>IF($Q162="","",IF(IF($G$3="","",INDEX(인턴계획표[[정규화1]:[정규화6]],$Q162,$G$3)&amp;"")="","",IF(LEFT(IF($G$3="","",INDEX(인턴계획표[[정규화1]:[정규화6]],$Q162,$G$3)&amp;""),1)="⚠",IF($G$3="","",INDEX(인턴계획표[[정규화1]:[정규화6]],$Q162,$G$3)&amp;""),IFERROR(LEFT(IF($G$3="","",INDEX(인턴계획표[[정규화1]:[정규화6]],$Q162,$G$3)&amp;""),FIND(" ",IF($G$3="","",INDEX(인턴계획표[[정규화1]:[정규화6]],$Q162,$G$3)&amp;""))-1),IF($G$3="","",INDEX(인턴계획표[[정규화1]:[정규화6]],$Q162,$G$3)&amp;"")))))</f>
        <v/>
      </c>
      <c r="G162">
        <f>IF($Q162="","",IF(IF($G$3="","",INDEX(인턴계획표[[정규화1]:[정규화6]],$Q162,$G$3)&amp;"")="","",IF(LEFT(IF($G$3="","",INDEX(인턴계획표[[정규화1]:[정규화6]],$Q162,$G$3)&amp;""),1)="⚠","",IFERROR(MID(IF($G$3="","",INDEX(인턴계획표[[정규화1]:[정규화6]],$Q162,$G$3)&amp;""),FIND(" ",IF($G$3="","",INDEX(인턴계획표[[정규화1]:[정규화6]],$Q162,$G$3)&amp;""))+1,60),""))))</f>
        <v/>
      </c>
      <c r="H162">
        <f>IF($Q162="","",IF(IF($I$3="","",INDEX(인턴계획표[[정규화1]:[정규화6]],$Q162,$I$3)&amp;"")="","",IF(LEFT(IF($I$3="","",INDEX(인턴계획표[[정규화1]:[정규화6]],$Q162,$I$3)&amp;""),1)="⚠",IF($I$3="","",INDEX(인턴계획표[[정규화1]:[정규화6]],$Q162,$I$3)&amp;""),IFERROR(LEFT(IF($I$3="","",INDEX(인턴계획표[[정규화1]:[정규화6]],$Q162,$I$3)&amp;""),FIND(" ",IF($I$3="","",INDEX(인턴계획표[[정규화1]:[정규화6]],$Q162,$I$3)&amp;""))-1),IF($I$3="","",INDEX(인턴계획표[[정규화1]:[정규화6]],$Q162,$I$3)&amp;"")))))</f>
        <v/>
      </c>
      <c r="I162">
        <f>IF($Q162="","",IF(IF($I$3="","",INDEX(인턴계획표[[정규화1]:[정규화6]],$Q162,$I$3)&amp;"")="","",IF(LEFT(IF($I$3="","",INDEX(인턴계획표[[정규화1]:[정규화6]],$Q162,$I$3)&amp;""),1)="⚠","",IFERROR(MID(IF($I$3="","",INDEX(인턴계획표[[정규화1]:[정규화6]],$Q162,$I$3)&amp;""),FIND(" ",IF($I$3="","",INDEX(인턴계획표[[정규화1]:[정규화6]],$Q162,$I$3)&amp;""))+1,60),""))))</f>
        <v/>
      </c>
      <c r="J162">
        <f>IF($Q162="","",INDEX(인턴계획표[정규화1],$Q162))</f>
        <v/>
      </c>
      <c r="K162">
        <f>IF($Q162="","",INDEX(인턴계획표[정규화2],$Q162))</f>
        <v/>
      </c>
      <c r="L162">
        <f>IF($Q162="","",INDEX(인턴계획표[정규화3],$Q162))</f>
        <v/>
      </c>
      <c r="M162">
        <f>IF($Q162="","",INDEX(인턴계획표[정규화4],$Q162))</f>
        <v/>
      </c>
      <c r="N162">
        <f>IF($Q162="","",INDEX(인턴계획표[정규화5],$Q162))</f>
        <v/>
      </c>
      <c r="O162">
        <f>IF($Q162="","",INDEX(인턴계획표[정규화6],$Q162))</f>
        <v/>
      </c>
      <c r="P162">
        <f>IF($Q162="","",INDEX(인턴계획표[입력오류],$Q162))</f>
        <v/>
      </c>
      <c r="Q162" s="17">
        <f>IFERROR(MATCH(157,인턴계획표[표시순번],0),"")</f>
        <v/>
      </c>
    </row>
    <row r="163">
      <c r="A163">
        <f>IF($Q163="","",INDEX(인턴계획표[순번],$Q163)&amp;"")</f>
        <v/>
      </c>
      <c r="B163">
        <f>IF($Q163="","",TRIM(INDEX(인턴계획표[이름],$Q163)&amp;""))</f>
        <v/>
      </c>
      <c r="C163">
        <f>IF($Q163="","",INDEX(인턴계획표[사번],$Q163)&amp;"")</f>
        <v/>
      </c>
      <c r="D163">
        <f>IF($Q163="","",IF(COUNTIF(기본자료표[사번키],INDEX(인턴계획표[사번키],$Q163))&gt;0,"확인","미등록"))</f>
        <v/>
      </c>
      <c r="E163">
        <f>IF($Q163="","",IF(ISNUMBER(INDEX(인턴계획표[입사일(비고)],$Q163)),TEXT(INDEX(인턴계획표[입사일(비고)],$Q163),"yyyy-mm-dd"),INDEX(인턴계획표[입사일(비고)],$Q163)&amp;""))</f>
        <v/>
      </c>
      <c r="F163">
        <f>IF($Q163="","",IF(IF($G$3="","",INDEX(인턴계획표[[정규화1]:[정규화6]],$Q163,$G$3)&amp;"")="","",IF(LEFT(IF($G$3="","",INDEX(인턴계획표[[정규화1]:[정규화6]],$Q163,$G$3)&amp;""),1)="⚠",IF($G$3="","",INDEX(인턴계획표[[정규화1]:[정규화6]],$Q163,$G$3)&amp;""),IFERROR(LEFT(IF($G$3="","",INDEX(인턴계획표[[정규화1]:[정규화6]],$Q163,$G$3)&amp;""),FIND(" ",IF($G$3="","",INDEX(인턴계획표[[정규화1]:[정규화6]],$Q163,$G$3)&amp;""))-1),IF($G$3="","",INDEX(인턴계획표[[정규화1]:[정규화6]],$Q163,$G$3)&amp;"")))))</f>
        <v/>
      </c>
      <c r="G163">
        <f>IF($Q163="","",IF(IF($G$3="","",INDEX(인턴계획표[[정규화1]:[정규화6]],$Q163,$G$3)&amp;"")="","",IF(LEFT(IF($G$3="","",INDEX(인턴계획표[[정규화1]:[정규화6]],$Q163,$G$3)&amp;""),1)="⚠","",IFERROR(MID(IF($G$3="","",INDEX(인턴계획표[[정규화1]:[정규화6]],$Q163,$G$3)&amp;""),FIND(" ",IF($G$3="","",INDEX(인턴계획표[[정규화1]:[정규화6]],$Q163,$G$3)&amp;""))+1,60),""))))</f>
        <v/>
      </c>
      <c r="H163">
        <f>IF($Q163="","",IF(IF($I$3="","",INDEX(인턴계획표[[정규화1]:[정규화6]],$Q163,$I$3)&amp;"")="","",IF(LEFT(IF($I$3="","",INDEX(인턴계획표[[정규화1]:[정규화6]],$Q163,$I$3)&amp;""),1)="⚠",IF($I$3="","",INDEX(인턴계획표[[정규화1]:[정규화6]],$Q163,$I$3)&amp;""),IFERROR(LEFT(IF($I$3="","",INDEX(인턴계획표[[정규화1]:[정규화6]],$Q163,$I$3)&amp;""),FIND(" ",IF($I$3="","",INDEX(인턴계획표[[정규화1]:[정규화6]],$Q163,$I$3)&amp;""))-1),IF($I$3="","",INDEX(인턴계획표[[정규화1]:[정규화6]],$Q163,$I$3)&amp;"")))))</f>
        <v/>
      </c>
      <c r="I163">
        <f>IF($Q163="","",IF(IF($I$3="","",INDEX(인턴계획표[[정규화1]:[정규화6]],$Q163,$I$3)&amp;"")="","",IF(LEFT(IF($I$3="","",INDEX(인턴계획표[[정규화1]:[정규화6]],$Q163,$I$3)&amp;""),1)="⚠","",IFERROR(MID(IF($I$3="","",INDEX(인턴계획표[[정규화1]:[정규화6]],$Q163,$I$3)&amp;""),FIND(" ",IF($I$3="","",INDEX(인턴계획표[[정규화1]:[정규화6]],$Q163,$I$3)&amp;""))+1,60),""))))</f>
        <v/>
      </c>
      <c r="J163">
        <f>IF($Q163="","",INDEX(인턴계획표[정규화1],$Q163))</f>
        <v/>
      </c>
      <c r="K163">
        <f>IF($Q163="","",INDEX(인턴계획표[정규화2],$Q163))</f>
        <v/>
      </c>
      <c r="L163">
        <f>IF($Q163="","",INDEX(인턴계획표[정규화3],$Q163))</f>
        <v/>
      </c>
      <c r="M163">
        <f>IF($Q163="","",INDEX(인턴계획표[정규화4],$Q163))</f>
        <v/>
      </c>
      <c r="N163">
        <f>IF($Q163="","",INDEX(인턴계획표[정규화5],$Q163))</f>
        <v/>
      </c>
      <c r="O163">
        <f>IF($Q163="","",INDEX(인턴계획표[정규화6],$Q163))</f>
        <v/>
      </c>
      <c r="P163">
        <f>IF($Q163="","",INDEX(인턴계획표[입력오류],$Q163))</f>
        <v/>
      </c>
      <c r="Q163" s="17">
        <f>IFERROR(MATCH(158,인턴계획표[표시순번],0),"")</f>
        <v/>
      </c>
    </row>
    <row r="164">
      <c r="A164">
        <f>IF($Q164="","",INDEX(인턴계획표[순번],$Q164)&amp;"")</f>
        <v/>
      </c>
      <c r="B164">
        <f>IF($Q164="","",TRIM(INDEX(인턴계획표[이름],$Q164)&amp;""))</f>
        <v/>
      </c>
      <c r="C164">
        <f>IF($Q164="","",INDEX(인턴계획표[사번],$Q164)&amp;"")</f>
        <v/>
      </c>
      <c r="D164">
        <f>IF($Q164="","",IF(COUNTIF(기본자료표[사번키],INDEX(인턴계획표[사번키],$Q164))&gt;0,"확인","미등록"))</f>
        <v/>
      </c>
      <c r="E164">
        <f>IF($Q164="","",IF(ISNUMBER(INDEX(인턴계획표[입사일(비고)],$Q164)),TEXT(INDEX(인턴계획표[입사일(비고)],$Q164),"yyyy-mm-dd"),INDEX(인턴계획표[입사일(비고)],$Q164)&amp;""))</f>
        <v/>
      </c>
      <c r="F164">
        <f>IF($Q164="","",IF(IF($G$3="","",INDEX(인턴계획표[[정규화1]:[정규화6]],$Q164,$G$3)&amp;"")="","",IF(LEFT(IF($G$3="","",INDEX(인턴계획표[[정규화1]:[정규화6]],$Q164,$G$3)&amp;""),1)="⚠",IF($G$3="","",INDEX(인턴계획표[[정규화1]:[정규화6]],$Q164,$G$3)&amp;""),IFERROR(LEFT(IF($G$3="","",INDEX(인턴계획표[[정규화1]:[정규화6]],$Q164,$G$3)&amp;""),FIND(" ",IF($G$3="","",INDEX(인턴계획표[[정규화1]:[정규화6]],$Q164,$G$3)&amp;""))-1),IF($G$3="","",INDEX(인턴계획표[[정규화1]:[정규화6]],$Q164,$G$3)&amp;"")))))</f>
        <v/>
      </c>
      <c r="G164">
        <f>IF($Q164="","",IF(IF($G$3="","",INDEX(인턴계획표[[정규화1]:[정규화6]],$Q164,$G$3)&amp;"")="","",IF(LEFT(IF($G$3="","",INDEX(인턴계획표[[정규화1]:[정규화6]],$Q164,$G$3)&amp;""),1)="⚠","",IFERROR(MID(IF($G$3="","",INDEX(인턴계획표[[정규화1]:[정규화6]],$Q164,$G$3)&amp;""),FIND(" ",IF($G$3="","",INDEX(인턴계획표[[정규화1]:[정규화6]],$Q164,$G$3)&amp;""))+1,60),""))))</f>
        <v/>
      </c>
      <c r="H164">
        <f>IF($Q164="","",IF(IF($I$3="","",INDEX(인턴계획표[[정규화1]:[정규화6]],$Q164,$I$3)&amp;"")="","",IF(LEFT(IF($I$3="","",INDEX(인턴계획표[[정규화1]:[정규화6]],$Q164,$I$3)&amp;""),1)="⚠",IF($I$3="","",INDEX(인턴계획표[[정규화1]:[정규화6]],$Q164,$I$3)&amp;""),IFERROR(LEFT(IF($I$3="","",INDEX(인턴계획표[[정규화1]:[정규화6]],$Q164,$I$3)&amp;""),FIND(" ",IF($I$3="","",INDEX(인턴계획표[[정규화1]:[정규화6]],$Q164,$I$3)&amp;""))-1),IF($I$3="","",INDEX(인턴계획표[[정규화1]:[정규화6]],$Q164,$I$3)&amp;"")))))</f>
        <v/>
      </c>
      <c r="I164">
        <f>IF($Q164="","",IF(IF($I$3="","",INDEX(인턴계획표[[정규화1]:[정규화6]],$Q164,$I$3)&amp;"")="","",IF(LEFT(IF($I$3="","",INDEX(인턴계획표[[정규화1]:[정규화6]],$Q164,$I$3)&amp;""),1)="⚠","",IFERROR(MID(IF($I$3="","",INDEX(인턴계획표[[정규화1]:[정규화6]],$Q164,$I$3)&amp;""),FIND(" ",IF($I$3="","",INDEX(인턴계획표[[정규화1]:[정규화6]],$Q164,$I$3)&amp;""))+1,60),""))))</f>
        <v/>
      </c>
      <c r="J164">
        <f>IF($Q164="","",INDEX(인턴계획표[정규화1],$Q164))</f>
        <v/>
      </c>
      <c r="K164">
        <f>IF($Q164="","",INDEX(인턴계획표[정규화2],$Q164))</f>
        <v/>
      </c>
      <c r="L164">
        <f>IF($Q164="","",INDEX(인턴계획표[정규화3],$Q164))</f>
        <v/>
      </c>
      <c r="M164">
        <f>IF($Q164="","",INDEX(인턴계획표[정규화4],$Q164))</f>
        <v/>
      </c>
      <c r="N164">
        <f>IF($Q164="","",INDEX(인턴계획표[정규화5],$Q164))</f>
        <v/>
      </c>
      <c r="O164">
        <f>IF($Q164="","",INDEX(인턴계획표[정규화6],$Q164))</f>
        <v/>
      </c>
      <c r="P164">
        <f>IF($Q164="","",INDEX(인턴계획표[입력오류],$Q164))</f>
        <v/>
      </c>
      <c r="Q164" s="17">
        <f>IFERROR(MATCH(159,인턴계획표[표시순번],0),"")</f>
        <v/>
      </c>
    </row>
    <row r="165">
      <c r="A165">
        <f>IF($Q165="","",INDEX(인턴계획표[순번],$Q165)&amp;"")</f>
        <v/>
      </c>
      <c r="B165">
        <f>IF($Q165="","",TRIM(INDEX(인턴계획표[이름],$Q165)&amp;""))</f>
        <v/>
      </c>
      <c r="C165">
        <f>IF($Q165="","",INDEX(인턴계획표[사번],$Q165)&amp;"")</f>
        <v/>
      </c>
      <c r="D165">
        <f>IF($Q165="","",IF(COUNTIF(기본자료표[사번키],INDEX(인턴계획표[사번키],$Q165))&gt;0,"확인","미등록"))</f>
        <v/>
      </c>
      <c r="E165">
        <f>IF($Q165="","",IF(ISNUMBER(INDEX(인턴계획표[입사일(비고)],$Q165)),TEXT(INDEX(인턴계획표[입사일(비고)],$Q165),"yyyy-mm-dd"),INDEX(인턴계획표[입사일(비고)],$Q165)&amp;""))</f>
        <v/>
      </c>
      <c r="F165">
        <f>IF($Q165="","",IF(IF($G$3="","",INDEX(인턴계획표[[정규화1]:[정규화6]],$Q165,$G$3)&amp;"")="","",IF(LEFT(IF($G$3="","",INDEX(인턴계획표[[정규화1]:[정규화6]],$Q165,$G$3)&amp;""),1)="⚠",IF($G$3="","",INDEX(인턴계획표[[정규화1]:[정규화6]],$Q165,$G$3)&amp;""),IFERROR(LEFT(IF($G$3="","",INDEX(인턴계획표[[정규화1]:[정규화6]],$Q165,$G$3)&amp;""),FIND(" ",IF($G$3="","",INDEX(인턴계획표[[정규화1]:[정규화6]],$Q165,$G$3)&amp;""))-1),IF($G$3="","",INDEX(인턴계획표[[정규화1]:[정규화6]],$Q165,$G$3)&amp;"")))))</f>
        <v/>
      </c>
      <c r="G165">
        <f>IF($Q165="","",IF(IF($G$3="","",INDEX(인턴계획표[[정규화1]:[정규화6]],$Q165,$G$3)&amp;"")="","",IF(LEFT(IF($G$3="","",INDEX(인턴계획표[[정규화1]:[정규화6]],$Q165,$G$3)&amp;""),1)="⚠","",IFERROR(MID(IF($G$3="","",INDEX(인턴계획표[[정규화1]:[정규화6]],$Q165,$G$3)&amp;""),FIND(" ",IF($G$3="","",INDEX(인턴계획표[[정규화1]:[정규화6]],$Q165,$G$3)&amp;""))+1,60),""))))</f>
        <v/>
      </c>
      <c r="H165">
        <f>IF($Q165="","",IF(IF($I$3="","",INDEX(인턴계획표[[정규화1]:[정규화6]],$Q165,$I$3)&amp;"")="","",IF(LEFT(IF($I$3="","",INDEX(인턴계획표[[정규화1]:[정규화6]],$Q165,$I$3)&amp;""),1)="⚠",IF($I$3="","",INDEX(인턴계획표[[정규화1]:[정규화6]],$Q165,$I$3)&amp;""),IFERROR(LEFT(IF($I$3="","",INDEX(인턴계획표[[정규화1]:[정규화6]],$Q165,$I$3)&amp;""),FIND(" ",IF($I$3="","",INDEX(인턴계획표[[정규화1]:[정규화6]],$Q165,$I$3)&amp;""))-1),IF($I$3="","",INDEX(인턴계획표[[정규화1]:[정규화6]],$Q165,$I$3)&amp;"")))))</f>
        <v/>
      </c>
      <c r="I165">
        <f>IF($Q165="","",IF(IF($I$3="","",INDEX(인턴계획표[[정규화1]:[정규화6]],$Q165,$I$3)&amp;"")="","",IF(LEFT(IF($I$3="","",INDEX(인턴계획표[[정규화1]:[정규화6]],$Q165,$I$3)&amp;""),1)="⚠","",IFERROR(MID(IF($I$3="","",INDEX(인턴계획표[[정규화1]:[정규화6]],$Q165,$I$3)&amp;""),FIND(" ",IF($I$3="","",INDEX(인턴계획표[[정규화1]:[정규화6]],$Q165,$I$3)&amp;""))+1,60),""))))</f>
        <v/>
      </c>
      <c r="J165">
        <f>IF($Q165="","",INDEX(인턴계획표[정규화1],$Q165))</f>
        <v/>
      </c>
      <c r="K165">
        <f>IF($Q165="","",INDEX(인턴계획표[정규화2],$Q165))</f>
        <v/>
      </c>
      <c r="L165">
        <f>IF($Q165="","",INDEX(인턴계획표[정규화3],$Q165))</f>
        <v/>
      </c>
      <c r="M165">
        <f>IF($Q165="","",INDEX(인턴계획표[정규화4],$Q165))</f>
        <v/>
      </c>
      <c r="N165">
        <f>IF($Q165="","",INDEX(인턴계획표[정규화5],$Q165))</f>
        <v/>
      </c>
      <c r="O165">
        <f>IF($Q165="","",INDEX(인턴계획표[정규화6],$Q165))</f>
        <v/>
      </c>
      <c r="P165">
        <f>IF($Q165="","",INDEX(인턴계획표[입력오류],$Q165))</f>
        <v/>
      </c>
      <c r="Q165" s="17">
        <f>IFERROR(MATCH(160,인턴계획표[표시순번],0),"")</f>
        <v/>
      </c>
    </row>
    <row r="166">
      <c r="A166">
        <f>IF($Q166="","",INDEX(인턴계획표[순번],$Q166)&amp;"")</f>
        <v/>
      </c>
      <c r="B166">
        <f>IF($Q166="","",TRIM(INDEX(인턴계획표[이름],$Q166)&amp;""))</f>
        <v/>
      </c>
      <c r="C166">
        <f>IF($Q166="","",INDEX(인턴계획표[사번],$Q166)&amp;"")</f>
        <v/>
      </c>
      <c r="D166">
        <f>IF($Q166="","",IF(COUNTIF(기본자료표[사번키],INDEX(인턴계획표[사번키],$Q166))&gt;0,"확인","미등록"))</f>
        <v/>
      </c>
      <c r="E166">
        <f>IF($Q166="","",IF(ISNUMBER(INDEX(인턴계획표[입사일(비고)],$Q166)),TEXT(INDEX(인턴계획표[입사일(비고)],$Q166),"yyyy-mm-dd"),INDEX(인턴계획표[입사일(비고)],$Q166)&amp;""))</f>
        <v/>
      </c>
      <c r="F166">
        <f>IF($Q166="","",IF(IF($G$3="","",INDEX(인턴계획표[[정규화1]:[정규화6]],$Q166,$G$3)&amp;"")="","",IF(LEFT(IF($G$3="","",INDEX(인턴계획표[[정규화1]:[정규화6]],$Q166,$G$3)&amp;""),1)="⚠",IF($G$3="","",INDEX(인턴계획표[[정규화1]:[정규화6]],$Q166,$G$3)&amp;""),IFERROR(LEFT(IF($G$3="","",INDEX(인턴계획표[[정규화1]:[정규화6]],$Q166,$G$3)&amp;""),FIND(" ",IF($G$3="","",INDEX(인턴계획표[[정규화1]:[정규화6]],$Q166,$G$3)&amp;""))-1),IF($G$3="","",INDEX(인턴계획표[[정규화1]:[정규화6]],$Q166,$G$3)&amp;"")))))</f>
        <v/>
      </c>
      <c r="G166">
        <f>IF($Q166="","",IF(IF($G$3="","",INDEX(인턴계획표[[정규화1]:[정규화6]],$Q166,$G$3)&amp;"")="","",IF(LEFT(IF($G$3="","",INDEX(인턴계획표[[정규화1]:[정규화6]],$Q166,$G$3)&amp;""),1)="⚠","",IFERROR(MID(IF($G$3="","",INDEX(인턴계획표[[정규화1]:[정규화6]],$Q166,$G$3)&amp;""),FIND(" ",IF($G$3="","",INDEX(인턴계획표[[정규화1]:[정규화6]],$Q166,$G$3)&amp;""))+1,60),""))))</f>
        <v/>
      </c>
      <c r="H166">
        <f>IF($Q166="","",IF(IF($I$3="","",INDEX(인턴계획표[[정규화1]:[정규화6]],$Q166,$I$3)&amp;"")="","",IF(LEFT(IF($I$3="","",INDEX(인턴계획표[[정규화1]:[정규화6]],$Q166,$I$3)&amp;""),1)="⚠",IF($I$3="","",INDEX(인턴계획표[[정규화1]:[정규화6]],$Q166,$I$3)&amp;""),IFERROR(LEFT(IF($I$3="","",INDEX(인턴계획표[[정규화1]:[정규화6]],$Q166,$I$3)&amp;""),FIND(" ",IF($I$3="","",INDEX(인턴계획표[[정규화1]:[정규화6]],$Q166,$I$3)&amp;""))-1),IF($I$3="","",INDEX(인턴계획표[[정규화1]:[정규화6]],$Q166,$I$3)&amp;"")))))</f>
        <v/>
      </c>
      <c r="I166">
        <f>IF($Q166="","",IF(IF($I$3="","",INDEX(인턴계획표[[정규화1]:[정규화6]],$Q166,$I$3)&amp;"")="","",IF(LEFT(IF($I$3="","",INDEX(인턴계획표[[정규화1]:[정규화6]],$Q166,$I$3)&amp;""),1)="⚠","",IFERROR(MID(IF($I$3="","",INDEX(인턴계획표[[정규화1]:[정규화6]],$Q166,$I$3)&amp;""),FIND(" ",IF($I$3="","",INDEX(인턴계획표[[정규화1]:[정규화6]],$Q166,$I$3)&amp;""))+1,60),""))))</f>
        <v/>
      </c>
      <c r="J166">
        <f>IF($Q166="","",INDEX(인턴계획표[정규화1],$Q166))</f>
        <v/>
      </c>
      <c r="K166">
        <f>IF($Q166="","",INDEX(인턴계획표[정규화2],$Q166))</f>
        <v/>
      </c>
      <c r="L166">
        <f>IF($Q166="","",INDEX(인턴계획표[정규화3],$Q166))</f>
        <v/>
      </c>
      <c r="M166">
        <f>IF($Q166="","",INDEX(인턴계획표[정규화4],$Q166))</f>
        <v/>
      </c>
      <c r="N166">
        <f>IF($Q166="","",INDEX(인턴계획표[정규화5],$Q166))</f>
        <v/>
      </c>
      <c r="O166">
        <f>IF($Q166="","",INDEX(인턴계획표[정규화6],$Q166))</f>
        <v/>
      </c>
      <c r="P166">
        <f>IF($Q166="","",INDEX(인턴계획표[입력오류],$Q166))</f>
        <v/>
      </c>
      <c r="Q166" s="17">
        <f>IFERROR(MATCH(161,인턴계획표[표시순번],0),"")</f>
        <v/>
      </c>
    </row>
    <row r="167">
      <c r="A167">
        <f>IF($Q167="","",INDEX(인턴계획표[순번],$Q167)&amp;"")</f>
        <v/>
      </c>
      <c r="B167">
        <f>IF($Q167="","",TRIM(INDEX(인턴계획표[이름],$Q167)&amp;""))</f>
        <v/>
      </c>
      <c r="C167">
        <f>IF($Q167="","",INDEX(인턴계획표[사번],$Q167)&amp;"")</f>
        <v/>
      </c>
      <c r="D167">
        <f>IF($Q167="","",IF(COUNTIF(기본자료표[사번키],INDEX(인턴계획표[사번키],$Q167))&gt;0,"확인","미등록"))</f>
        <v/>
      </c>
      <c r="E167">
        <f>IF($Q167="","",IF(ISNUMBER(INDEX(인턴계획표[입사일(비고)],$Q167)),TEXT(INDEX(인턴계획표[입사일(비고)],$Q167),"yyyy-mm-dd"),INDEX(인턴계획표[입사일(비고)],$Q167)&amp;""))</f>
        <v/>
      </c>
      <c r="F167">
        <f>IF($Q167="","",IF(IF($G$3="","",INDEX(인턴계획표[[정규화1]:[정규화6]],$Q167,$G$3)&amp;"")="","",IF(LEFT(IF($G$3="","",INDEX(인턴계획표[[정규화1]:[정규화6]],$Q167,$G$3)&amp;""),1)="⚠",IF($G$3="","",INDEX(인턴계획표[[정규화1]:[정규화6]],$Q167,$G$3)&amp;""),IFERROR(LEFT(IF($G$3="","",INDEX(인턴계획표[[정규화1]:[정규화6]],$Q167,$G$3)&amp;""),FIND(" ",IF($G$3="","",INDEX(인턴계획표[[정규화1]:[정규화6]],$Q167,$G$3)&amp;""))-1),IF($G$3="","",INDEX(인턴계획표[[정규화1]:[정규화6]],$Q167,$G$3)&amp;"")))))</f>
        <v/>
      </c>
      <c r="G167">
        <f>IF($Q167="","",IF(IF($G$3="","",INDEX(인턴계획표[[정규화1]:[정규화6]],$Q167,$G$3)&amp;"")="","",IF(LEFT(IF($G$3="","",INDEX(인턴계획표[[정규화1]:[정규화6]],$Q167,$G$3)&amp;""),1)="⚠","",IFERROR(MID(IF($G$3="","",INDEX(인턴계획표[[정규화1]:[정규화6]],$Q167,$G$3)&amp;""),FIND(" ",IF($G$3="","",INDEX(인턴계획표[[정규화1]:[정규화6]],$Q167,$G$3)&amp;""))+1,60),""))))</f>
        <v/>
      </c>
      <c r="H167">
        <f>IF($Q167="","",IF(IF($I$3="","",INDEX(인턴계획표[[정규화1]:[정규화6]],$Q167,$I$3)&amp;"")="","",IF(LEFT(IF($I$3="","",INDEX(인턴계획표[[정규화1]:[정규화6]],$Q167,$I$3)&amp;""),1)="⚠",IF($I$3="","",INDEX(인턴계획표[[정규화1]:[정규화6]],$Q167,$I$3)&amp;""),IFERROR(LEFT(IF($I$3="","",INDEX(인턴계획표[[정규화1]:[정규화6]],$Q167,$I$3)&amp;""),FIND(" ",IF($I$3="","",INDEX(인턴계획표[[정규화1]:[정규화6]],$Q167,$I$3)&amp;""))-1),IF($I$3="","",INDEX(인턴계획표[[정규화1]:[정규화6]],$Q167,$I$3)&amp;"")))))</f>
        <v/>
      </c>
      <c r="I167">
        <f>IF($Q167="","",IF(IF($I$3="","",INDEX(인턴계획표[[정규화1]:[정규화6]],$Q167,$I$3)&amp;"")="","",IF(LEFT(IF($I$3="","",INDEX(인턴계획표[[정규화1]:[정규화6]],$Q167,$I$3)&amp;""),1)="⚠","",IFERROR(MID(IF($I$3="","",INDEX(인턴계획표[[정규화1]:[정규화6]],$Q167,$I$3)&amp;""),FIND(" ",IF($I$3="","",INDEX(인턴계획표[[정규화1]:[정규화6]],$Q167,$I$3)&amp;""))+1,60),""))))</f>
        <v/>
      </c>
      <c r="J167">
        <f>IF($Q167="","",INDEX(인턴계획표[정규화1],$Q167))</f>
        <v/>
      </c>
      <c r="K167">
        <f>IF($Q167="","",INDEX(인턴계획표[정규화2],$Q167))</f>
        <v/>
      </c>
      <c r="L167">
        <f>IF($Q167="","",INDEX(인턴계획표[정규화3],$Q167))</f>
        <v/>
      </c>
      <c r="M167">
        <f>IF($Q167="","",INDEX(인턴계획표[정규화4],$Q167))</f>
        <v/>
      </c>
      <c r="N167">
        <f>IF($Q167="","",INDEX(인턴계획표[정규화5],$Q167))</f>
        <v/>
      </c>
      <c r="O167">
        <f>IF($Q167="","",INDEX(인턴계획표[정규화6],$Q167))</f>
        <v/>
      </c>
      <c r="P167">
        <f>IF($Q167="","",INDEX(인턴계획표[입력오류],$Q167))</f>
        <v/>
      </c>
      <c r="Q167" s="17">
        <f>IFERROR(MATCH(162,인턴계획표[표시순번],0),"")</f>
        <v/>
      </c>
    </row>
    <row r="168">
      <c r="A168">
        <f>IF($Q168="","",INDEX(인턴계획표[순번],$Q168)&amp;"")</f>
        <v/>
      </c>
      <c r="B168">
        <f>IF($Q168="","",TRIM(INDEX(인턴계획표[이름],$Q168)&amp;""))</f>
        <v/>
      </c>
      <c r="C168">
        <f>IF($Q168="","",INDEX(인턴계획표[사번],$Q168)&amp;"")</f>
        <v/>
      </c>
      <c r="D168">
        <f>IF($Q168="","",IF(COUNTIF(기본자료표[사번키],INDEX(인턴계획표[사번키],$Q168))&gt;0,"확인","미등록"))</f>
        <v/>
      </c>
      <c r="E168">
        <f>IF($Q168="","",IF(ISNUMBER(INDEX(인턴계획표[입사일(비고)],$Q168)),TEXT(INDEX(인턴계획표[입사일(비고)],$Q168),"yyyy-mm-dd"),INDEX(인턴계획표[입사일(비고)],$Q168)&amp;""))</f>
        <v/>
      </c>
      <c r="F168">
        <f>IF($Q168="","",IF(IF($G$3="","",INDEX(인턴계획표[[정규화1]:[정규화6]],$Q168,$G$3)&amp;"")="","",IF(LEFT(IF($G$3="","",INDEX(인턴계획표[[정규화1]:[정규화6]],$Q168,$G$3)&amp;""),1)="⚠",IF($G$3="","",INDEX(인턴계획표[[정규화1]:[정규화6]],$Q168,$G$3)&amp;""),IFERROR(LEFT(IF($G$3="","",INDEX(인턴계획표[[정규화1]:[정규화6]],$Q168,$G$3)&amp;""),FIND(" ",IF($G$3="","",INDEX(인턴계획표[[정규화1]:[정규화6]],$Q168,$G$3)&amp;""))-1),IF($G$3="","",INDEX(인턴계획표[[정규화1]:[정규화6]],$Q168,$G$3)&amp;"")))))</f>
        <v/>
      </c>
      <c r="G168">
        <f>IF($Q168="","",IF(IF($G$3="","",INDEX(인턴계획표[[정규화1]:[정규화6]],$Q168,$G$3)&amp;"")="","",IF(LEFT(IF($G$3="","",INDEX(인턴계획표[[정규화1]:[정규화6]],$Q168,$G$3)&amp;""),1)="⚠","",IFERROR(MID(IF($G$3="","",INDEX(인턴계획표[[정규화1]:[정규화6]],$Q168,$G$3)&amp;""),FIND(" ",IF($G$3="","",INDEX(인턴계획표[[정규화1]:[정규화6]],$Q168,$G$3)&amp;""))+1,60),""))))</f>
        <v/>
      </c>
      <c r="H168">
        <f>IF($Q168="","",IF(IF($I$3="","",INDEX(인턴계획표[[정규화1]:[정규화6]],$Q168,$I$3)&amp;"")="","",IF(LEFT(IF($I$3="","",INDEX(인턴계획표[[정규화1]:[정규화6]],$Q168,$I$3)&amp;""),1)="⚠",IF($I$3="","",INDEX(인턴계획표[[정규화1]:[정규화6]],$Q168,$I$3)&amp;""),IFERROR(LEFT(IF($I$3="","",INDEX(인턴계획표[[정규화1]:[정규화6]],$Q168,$I$3)&amp;""),FIND(" ",IF($I$3="","",INDEX(인턴계획표[[정규화1]:[정규화6]],$Q168,$I$3)&amp;""))-1),IF($I$3="","",INDEX(인턴계획표[[정규화1]:[정규화6]],$Q168,$I$3)&amp;"")))))</f>
        <v/>
      </c>
      <c r="I168">
        <f>IF($Q168="","",IF(IF($I$3="","",INDEX(인턴계획표[[정규화1]:[정규화6]],$Q168,$I$3)&amp;"")="","",IF(LEFT(IF($I$3="","",INDEX(인턴계획표[[정규화1]:[정규화6]],$Q168,$I$3)&amp;""),1)="⚠","",IFERROR(MID(IF($I$3="","",INDEX(인턴계획표[[정규화1]:[정규화6]],$Q168,$I$3)&amp;""),FIND(" ",IF($I$3="","",INDEX(인턴계획표[[정규화1]:[정규화6]],$Q168,$I$3)&amp;""))+1,60),""))))</f>
        <v/>
      </c>
      <c r="J168">
        <f>IF($Q168="","",INDEX(인턴계획표[정규화1],$Q168))</f>
        <v/>
      </c>
      <c r="K168">
        <f>IF($Q168="","",INDEX(인턴계획표[정규화2],$Q168))</f>
        <v/>
      </c>
      <c r="L168">
        <f>IF($Q168="","",INDEX(인턴계획표[정규화3],$Q168))</f>
        <v/>
      </c>
      <c r="M168">
        <f>IF($Q168="","",INDEX(인턴계획표[정규화4],$Q168))</f>
        <v/>
      </c>
      <c r="N168">
        <f>IF($Q168="","",INDEX(인턴계획표[정규화5],$Q168))</f>
        <v/>
      </c>
      <c r="O168">
        <f>IF($Q168="","",INDEX(인턴계획표[정규화6],$Q168))</f>
        <v/>
      </c>
      <c r="P168">
        <f>IF($Q168="","",INDEX(인턴계획표[입력오류],$Q168))</f>
        <v/>
      </c>
      <c r="Q168" s="17">
        <f>IFERROR(MATCH(163,인턴계획표[표시순번],0),"")</f>
        <v/>
      </c>
    </row>
    <row r="169">
      <c r="A169">
        <f>IF($Q169="","",INDEX(인턴계획표[순번],$Q169)&amp;"")</f>
        <v/>
      </c>
      <c r="B169">
        <f>IF($Q169="","",TRIM(INDEX(인턴계획표[이름],$Q169)&amp;""))</f>
        <v/>
      </c>
      <c r="C169">
        <f>IF($Q169="","",INDEX(인턴계획표[사번],$Q169)&amp;"")</f>
        <v/>
      </c>
      <c r="D169">
        <f>IF($Q169="","",IF(COUNTIF(기본자료표[사번키],INDEX(인턴계획표[사번키],$Q169))&gt;0,"확인","미등록"))</f>
        <v/>
      </c>
      <c r="E169">
        <f>IF($Q169="","",IF(ISNUMBER(INDEX(인턴계획표[입사일(비고)],$Q169)),TEXT(INDEX(인턴계획표[입사일(비고)],$Q169),"yyyy-mm-dd"),INDEX(인턴계획표[입사일(비고)],$Q169)&amp;""))</f>
        <v/>
      </c>
      <c r="F169">
        <f>IF($Q169="","",IF(IF($G$3="","",INDEX(인턴계획표[[정규화1]:[정규화6]],$Q169,$G$3)&amp;"")="","",IF(LEFT(IF($G$3="","",INDEX(인턴계획표[[정규화1]:[정규화6]],$Q169,$G$3)&amp;""),1)="⚠",IF($G$3="","",INDEX(인턴계획표[[정규화1]:[정규화6]],$Q169,$G$3)&amp;""),IFERROR(LEFT(IF($G$3="","",INDEX(인턴계획표[[정규화1]:[정규화6]],$Q169,$G$3)&amp;""),FIND(" ",IF($G$3="","",INDEX(인턴계획표[[정규화1]:[정규화6]],$Q169,$G$3)&amp;""))-1),IF($G$3="","",INDEX(인턴계획표[[정규화1]:[정규화6]],$Q169,$G$3)&amp;"")))))</f>
        <v/>
      </c>
      <c r="G169">
        <f>IF($Q169="","",IF(IF($G$3="","",INDEX(인턴계획표[[정규화1]:[정규화6]],$Q169,$G$3)&amp;"")="","",IF(LEFT(IF($G$3="","",INDEX(인턴계획표[[정규화1]:[정규화6]],$Q169,$G$3)&amp;""),1)="⚠","",IFERROR(MID(IF($G$3="","",INDEX(인턴계획표[[정규화1]:[정규화6]],$Q169,$G$3)&amp;""),FIND(" ",IF($G$3="","",INDEX(인턴계획표[[정규화1]:[정규화6]],$Q169,$G$3)&amp;""))+1,60),""))))</f>
        <v/>
      </c>
      <c r="H169">
        <f>IF($Q169="","",IF(IF($I$3="","",INDEX(인턴계획표[[정규화1]:[정규화6]],$Q169,$I$3)&amp;"")="","",IF(LEFT(IF($I$3="","",INDEX(인턴계획표[[정규화1]:[정규화6]],$Q169,$I$3)&amp;""),1)="⚠",IF($I$3="","",INDEX(인턴계획표[[정규화1]:[정규화6]],$Q169,$I$3)&amp;""),IFERROR(LEFT(IF($I$3="","",INDEX(인턴계획표[[정규화1]:[정규화6]],$Q169,$I$3)&amp;""),FIND(" ",IF($I$3="","",INDEX(인턴계획표[[정규화1]:[정규화6]],$Q169,$I$3)&amp;""))-1),IF($I$3="","",INDEX(인턴계획표[[정규화1]:[정규화6]],$Q169,$I$3)&amp;"")))))</f>
        <v/>
      </c>
      <c r="I169">
        <f>IF($Q169="","",IF(IF($I$3="","",INDEX(인턴계획표[[정규화1]:[정규화6]],$Q169,$I$3)&amp;"")="","",IF(LEFT(IF($I$3="","",INDEX(인턴계획표[[정규화1]:[정규화6]],$Q169,$I$3)&amp;""),1)="⚠","",IFERROR(MID(IF($I$3="","",INDEX(인턴계획표[[정규화1]:[정규화6]],$Q169,$I$3)&amp;""),FIND(" ",IF($I$3="","",INDEX(인턴계획표[[정규화1]:[정규화6]],$Q169,$I$3)&amp;""))+1,60),""))))</f>
        <v/>
      </c>
      <c r="J169">
        <f>IF($Q169="","",INDEX(인턴계획표[정규화1],$Q169))</f>
        <v/>
      </c>
      <c r="K169">
        <f>IF($Q169="","",INDEX(인턴계획표[정규화2],$Q169))</f>
        <v/>
      </c>
      <c r="L169">
        <f>IF($Q169="","",INDEX(인턴계획표[정규화3],$Q169))</f>
        <v/>
      </c>
      <c r="M169">
        <f>IF($Q169="","",INDEX(인턴계획표[정규화4],$Q169))</f>
        <v/>
      </c>
      <c r="N169">
        <f>IF($Q169="","",INDEX(인턴계획표[정규화5],$Q169))</f>
        <v/>
      </c>
      <c r="O169">
        <f>IF($Q169="","",INDEX(인턴계획표[정규화6],$Q169))</f>
        <v/>
      </c>
      <c r="P169">
        <f>IF($Q169="","",INDEX(인턴계획표[입력오류],$Q169))</f>
        <v/>
      </c>
      <c r="Q169" s="17">
        <f>IFERROR(MATCH(164,인턴계획표[표시순번],0),"")</f>
        <v/>
      </c>
    </row>
    <row r="170">
      <c r="A170">
        <f>IF($Q170="","",INDEX(인턴계획표[순번],$Q170)&amp;"")</f>
        <v/>
      </c>
      <c r="B170">
        <f>IF($Q170="","",TRIM(INDEX(인턴계획표[이름],$Q170)&amp;""))</f>
        <v/>
      </c>
      <c r="C170">
        <f>IF($Q170="","",INDEX(인턴계획표[사번],$Q170)&amp;"")</f>
        <v/>
      </c>
      <c r="D170">
        <f>IF($Q170="","",IF(COUNTIF(기본자료표[사번키],INDEX(인턴계획표[사번키],$Q170))&gt;0,"확인","미등록"))</f>
        <v/>
      </c>
      <c r="E170">
        <f>IF($Q170="","",IF(ISNUMBER(INDEX(인턴계획표[입사일(비고)],$Q170)),TEXT(INDEX(인턴계획표[입사일(비고)],$Q170),"yyyy-mm-dd"),INDEX(인턴계획표[입사일(비고)],$Q170)&amp;""))</f>
        <v/>
      </c>
      <c r="F170">
        <f>IF($Q170="","",IF(IF($G$3="","",INDEX(인턴계획표[[정규화1]:[정규화6]],$Q170,$G$3)&amp;"")="","",IF(LEFT(IF($G$3="","",INDEX(인턴계획표[[정규화1]:[정규화6]],$Q170,$G$3)&amp;""),1)="⚠",IF($G$3="","",INDEX(인턴계획표[[정규화1]:[정규화6]],$Q170,$G$3)&amp;""),IFERROR(LEFT(IF($G$3="","",INDEX(인턴계획표[[정규화1]:[정규화6]],$Q170,$G$3)&amp;""),FIND(" ",IF($G$3="","",INDEX(인턴계획표[[정규화1]:[정규화6]],$Q170,$G$3)&amp;""))-1),IF($G$3="","",INDEX(인턴계획표[[정규화1]:[정규화6]],$Q170,$G$3)&amp;"")))))</f>
        <v/>
      </c>
      <c r="G170">
        <f>IF($Q170="","",IF(IF($G$3="","",INDEX(인턴계획표[[정규화1]:[정규화6]],$Q170,$G$3)&amp;"")="","",IF(LEFT(IF($G$3="","",INDEX(인턴계획표[[정규화1]:[정규화6]],$Q170,$G$3)&amp;""),1)="⚠","",IFERROR(MID(IF($G$3="","",INDEX(인턴계획표[[정규화1]:[정규화6]],$Q170,$G$3)&amp;""),FIND(" ",IF($G$3="","",INDEX(인턴계획표[[정규화1]:[정규화6]],$Q170,$G$3)&amp;""))+1,60),""))))</f>
        <v/>
      </c>
      <c r="H170">
        <f>IF($Q170="","",IF(IF($I$3="","",INDEX(인턴계획표[[정규화1]:[정규화6]],$Q170,$I$3)&amp;"")="","",IF(LEFT(IF($I$3="","",INDEX(인턴계획표[[정규화1]:[정규화6]],$Q170,$I$3)&amp;""),1)="⚠",IF($I$3="","",INDEX(인턴계획표[[정규화1]:[정규화6]],$Q170,$I$3)&amp;""),IFERROR(LEFT(IF($I$3="","",INDEX(인턴계획표[[정규화1]:[정규화6]],$Q170,$I$3)&amp;""),FIND(" ",IF($I$3="","",INDEX(인턴계획표[[정규화1]:[정규화6]],$Q170,$I$3)&amp;""))-1),IF($I$3="","",INDEX(인턴계획표[[정규화1]:[정규화6]],$Q170,$I$3)&amp;"")))))</f>
        <v/>
      </c>
      <c r="I170">
        <f>IF($Q170="","",IF(IF($I$3="","",INDEX(인턴계획표[[정규화1]:[정규화6]],$Q170,$I$3)&amp;"")="","",IF(LEFT(IF($I$3="","",INDEX(인턴계획표[[정규화1]:[정규화6]],$Q170,$I$3)&amp;""),1)="⚠","",IFERROR(MID(IF($I$3="","",INDEX(인턴계획표[[정규화1]:[정규화6]],$Q170,$I$3)&amp;""),FIND(" ",IF($I$3="","",INDEX(인턴계획표[[정규화1]:[정규화6]],$Q170,$I$3)&amp;""))+1,60),""))))</f>
        <v/>
      </c>
      <c r="J170">
        <f>IF($Q170="","",INDEX(인턴계획표[정규화1],$Q170))</f>
        <v/>
      </c>
      <c r="K170">
        <f>IF($Q170="","",INDEX(인턴계획표[정규화2],$Q170))</f>
        <v/>
      </c>
      <c r="L170">
        <f>IF($Q170="","",INDEX(인턴계획표[정규화3],$Q170))</f>
        <v/>
      </c>
      <c r="M170">
        <f>IF($Q170="","",INDEX(인턴계획표[정규화4],$Q170))</f>
        <v/>
      </c>
      <c r="N170">
        <f>IF($Q170="","",INDEX(인턴계획표[정규화5],$Q170))</f>
        <v/>
      </c>
      <c r="O170">
        <f>IF($Q170="","",INDEX(인턴계획표[정규화6],$Q170))</f>
        <v/>
      </c>
      <c r="P170">
        <f>IF($Q170="","",INDEX(인턴계획표[입력오류],$Q170))</f>
        <v/>
      </c>
      <c r="Q170" s="17">
        <f>IFERROR(MATCH(165,인턴계획표[표시순번],0),"")</f>
        <v/>
      </c>
    </row>
    <row r="171">
      <c r="A171">
        <f>IF($Q171="","",INDEX(인턴계획표[순번],$Q171)&amp;"")</f>
        <v/>
      </c>
      <c r="B171">
        <f>IF($Q171="","",TRIM(INDEX(인턴계획표[이름],$Q171)&amp;""))</f>
        <v/>
      </c>
      <c r="C171">
        <f>IF($Q171="","",INDEX(인턴계획표[사번],$Q171)&amp;"")</f>
        <v/>
      </c>
      <c r="D171">
        <f>IF($Q171="","",IF(COUNTIF(기본자료표[사번키],INDEX(인턴계획표[사번키],$Q171))&gt;0,"확인","미등록"))</f>
        <v/>
      </c>
      <c r="E171">
        <f>IF($Q171="","",IF(ISNUMBER(INDEX(인턴계획표[입사일(비고)],$Q171)),TEXT(INDEX(인턴계획표[입사일(비고)],$Q171),"yyyy-mm-dd"),INDEX(인턴계획표[입사일(비고)],$Q171)&amp;""))</f>
        <v/>
      </c>
      <c r="F171">
        <f>IF($Q171="","",IF(IF($G$3="","",INDEX(인턴계획표[[정규화1]:[정규화6]],$Q171,$G$3)&amp;"")="","",IF(LEFT(IF($G$3="","",INDEX(인턴계획표[[정규화1]:[정규화6]],$Q171,$G$3)&amp;""),1)="⚠",IF($G$3="","",INDEX(인턴계획표[[정규화1]:[정규화6]],$Q171,$G$3)&amp;""),IFERROR(LEFT(IF($G$3="","",INDEX(인턴계획표[[정규화1]:[정규화6]],$Q171,$G$3)&amp;""),FIND(" ",IF($G$3="","",INDEX(인턴계획표[[정규화1]:[정규화6]],$Q171,$G$3)&amp;""))-1),IF($G$3="","",INDEX(인턴계획표[[정규화1]:[정규화6]],$Q171,$G$3)&amp;"")))))</f>
        <v/>
      </c>
      <c r="G171">
        <f>IF($Q171="","",IF(IF($G$3="","",INDEX(인턴계획표[[정규화1]:[정규화6]],$Q171,$G$3)&amp;"")="","",IF(LEFT(IF($G$3="","",INDEX(인턴계획표[[정규화1]:[정규화6]],$Q171,$G$3)&amp;""),1)="⚠","",IFERROR(MID(IF($G$3="","",INDEX(인턴계획표[[정규화1]:[정규화6]],$Q171,$G$3)&amp;""),FIND(" ",IF($G$3="","",INDEX(인턴계획표[[정규화1]:[정규화6]],$Q171,$G$3)&amp;""))+1,60),""))))</f>
        <v/>
      </c>
      <c r="H171">
        <f>IF($Q171="","",IF(IF($I$3="","",INDEX(인턴계획표[[정규화1]:[정규화6]],$Q171,$I$3)&amp;"")="","",IF(LEFT(IF($I$3="","",INDEX(인턴계획표[[정규화1]:[정규화6]],$Q171,$I$3)&amp;""),1)="⚠",IF($I$3="","",INDEX(인턴계획표[[정규화1]:[정규화6]],$Q171,$I$3)&amp;""),IFERROR(LEFT(IF($I$3="","",INDEX(인턴계획표[[정규화1]:[정규화6]],$Q171,$I$3)&amp;""),FIND(" ",IF($I$3="","",INDEX(인턴계획표[[정규화1]:[정규화6]],$Q171,$I$3)&amp;""))-1),IF($I$3="","",INDEX(인턴계획표[[정규화1]:[정규화6]],$Q171,$I$3)&amp;"")))))</f>
        <v/>
      </c>
      <c r="I171">
        <f>IF($Q171="","",IF(IF($I$3="","",INDEX(인턴계획표[[정규화1]:[정규화6]],$Q171,$I$3)&amp;"")="","",IF(LEFT(IF($I$3="","",INDEX(인턴계획표[[정규화1]:[정규화6]],$Q171,$I$3)&amp;""),1)="⚠","",IFERROR(MID(IF($I$3="","",INDEX(인턴계획표[[정규화1]:[정규화6]],$Q171,$I$3)&amp;""),FIND(" ",IF($I$3="","",INDEX(인턴계획표[[정규화1]:[정규화6]],$Q171,$I$3)&amp;""))+1,60),""))))</f>
        <v/>
      </c>
      <c r="J171">
        <f>IF($Q171="","",INDEX(인턴계획표[정규화1],$Q171))</f>
        <v/>
      </c>
      <c r="K171">
        <f>IF($Q171="","",INDEX(인턴계획표[정규화2],$Q171))</f>
        <v/>
      </c>
      <c r="L171">
        <f>IF($Q171="","",INDEX(인턴계획표[정규화3],$Q171))</f>
        <v/>
      </c>
      <c r="M171">
        <f>IF($Q171="","",INDEX(인턴계획표[정규화4],$Q171))</f>
        <v/>
      </c>
      <c r="N171">
        <f>IF($Q171="","",INDEX(인턴계획표[정규화5],$Q171))</f>
        <v/>
      </c>
      <c r="O171">
        <f>IF($Q171="","",INDEX(인턴계획표[정규화6],$Q171))</f>
        <v/>
      </c>
      <c r="P171">
        <f>IF($Q171="","",INDEX(인턴계획표[입력오류],$Q171))</f>
        <v/>
      </c>
      <c r="Q171" s="17">
        <f>IFERROR(MATCH(166,인턴계획표[표시순번],0),"")</f>
        <v/>
      </c>
    </row>
    <row r="172">
      <c r="A172">
        <f>IF($Q172="","",INDEX(인턴계획표[순번],$Q172)&amp;"")</f>
        <v/>
      </c>
      <c r="B172">
        <f>IF($Q172="","",TRIM(INDEX(인턴계획표[이름],$Q172)&amp;""))</f>
        <v/>
      </c>
      <c r="C172">
        <f>IF($Q172="","",INDEX(인턴계획표[사번],$Q172)&amp;"")</f>
        <v/>
      </c>
      <c r="D172">
        <f>IF($Q172="","",IF(COUNTIF(기본자료표[사번키],INDEX(인턴계획표[사번키],$Q172))&gt;0,"확인","미등록"))</f>
        <v/>
      </c>
      <c r="E172">
        <f>IF($Q172="","",IF(ISNUMBER(INDEX(인턴계획표[입사일(비고)],$Q172)),TEXT(INDEX(인턴계획표[입사일(비고)],$Q172),"yyyy-mm-dd"),INDEX(인턴계획표[입사일(비고)],$Q172)&amp;""))</f>
        <v/>
      </c>
      <c r="F172">
        <f>IF($Q172="","",IF(IF($G$3="","",INDEX(인턴계획표[[정규화1]:[정규화6]],$Q172,$G$3)&amp;"")="","",IF(LEFT(IF($G$3="","",INDEX(인턴계획표[[정규화1]:[정규화6]],$Q172,$G$3)&amp;""),1)="⚠",IF($G$3="","",INDEX(인턴계획표[[정규화1]:[정규화6]],$Q172,$G$3)&amp;""),IFERROR(LEFT(IF($G$3="","",INDEX(인턴계획표[[정규화1]:[정규화6]],$Q172,$G$3)&amp;""),FIND(" ",IF($G$3="","",INDEX(인턴계획표[[정규화1]:[정규화6]],$Q172,$G$3)&amp;""))-1),IF($G$3="","",INDEX(인턴계획표[[정규화1]:[정규화6]],$Q172,$G$3)&amp;"")))))</f>
        <v/>
      </c>
      <c r="G172">
        <f>IF($Q172="","",IF(IF($G$3="","",INDEX(인턴계획표[[정규화1]:[정규화6]],$Q172,$G$3)&amp;"")="","",IF(LEFT(IF($G$3="","",INDEX(인턴계획표[[정규화1]:[정규화6]],$Q172,$G$3)&amp;""),1)="⚠","",IFERROR(MID(IF($G$3="","",INDEX(인턴계획표[[정규화1]:[정규화6]],$Q172,$G$3)&amp;""),FIND(" ",IF($G$3="","",INDEX(인턴계획표[[정규화1]:[정규화6]],$Q172,$G$3)&amp;""))+1,60),""))))</f>
        <v/>
      </c>
      <c r="H172">
        <f>IF($Q172="","",IF(IF($I$3="","",INDEX(인턴계획표[[정규화1]:[정규화6]],$Q172,$I$3)&amp;"")="","",IF(LEFT(IF($I$3="","",INDEX(인턴계획표[[정규화1]:[정규화6]],$Q172,$I$3)&amp;""),1)="⚠",IF($I$3="","",INDEX(인턴계획표[[정규화1]:[정규화6]],$Q172,$I$3)&amp;""),IFERROR(LEFT(IF($I$3="","",INDEX(인턴계획표[[정규화1]:[정규화6]],$Q172,$I$3)&amp;""),FIND(" ",IF($I$3="","",INDEX(인턴계획표[[정규화1]:[정규화6]],$Q172,$I$3)&amp;""))-1),IF($I$3="","",INDEX(인턴계획표[[정규화1]:[정규화6]],$Q172,$I$3)&amp;"")))))</f>
        <v/>
      </c>
      <c r="I172">
        <f>IF($Q172="","",IF(IF($I$3="","",INDEX(인턴계획표[[정규화1]:[정규화6]],$Q172,$I$3)&amp;"")="","",IF(LEFT(IF($I$3="","",INDEX(인턴계획표[[정규화1]:[정규화6]],$Q172,$I$3)&amp;""),1)="⚠","",IFERROR(MID(IF($I$3="","",INDEX(인턴계획표[[정규화1]:[정규화6]],$Q172,$I$3)&amp;""),FIND(" ",IF($I$3="","",INDEX(인턴계획표[[정규화1]:[정규화6]],$Q172,$I$3)&amp;""))+1,60),""))))</f>
        <v/>
      </c>
      <c r="J172">
        <f>IF($Q172="","",INDEX(인턴계획표[정규화1],$Q172))</f>
        <v/>
      </c>
      <c r="K172">
        <f>IF($Q172="","",INDEX(인턴계획표[정규화2],$Q172))</f>
        <v/>
      </c>
      <c r="L172">
        <f>IF($Q172="","",INDEX(인턴계획표[정규화3],$Q172))</f>
        <v/>
      </c>
      <c r="M172">
        <f>IF($Q172="","",INDEX(인턴계획표[정규화4],$Q172))</f>
        <v/>
      </c>
      <c r="N172">
        <f>IF($Q172="","",INDEX(인턴계획표[정규화5],$Q172))</f>
        <v/>
      </c>
      <c r="O172">
        <f>IF($Q172="","",INDEX(인턴계획표[정규화6],$Q172))</f>
        <v/>
      </c>
      <c r="P172">
        <f>IF($Q172="","",INDEX(인턴계획표[입력오류],$Q172))</f>
        <v/>
      </c>
      <c r="Q172" s="17">
        <f>IFERROR(MATCH(167,인턴계획표[표시순번],0),"")</f>
        <v/>
      </c>
    </row>
    <row r="173">
      <c r="A173">
        <f>IF($Q173="","",INDEX(인턴계획표[순번],$Q173)&amp;"")</f>
        <v/>
      </c>
      <c r="B173">
        <f>IF($Q173="","",TRIM(INDEX(인턴계획표[이름],$Q173)&amp;""))</f>
        <v/>
      </c>
      <c r="C173">
        <f>IF($Q173="","",INDEX(인턴계획표[사번],$Q173)&amp;"")</f>
        <v/>
      </c>
      <c r="D173">
        <f>IF($Q173="","",IF(COUNTIF(기본자료표[사번키],INDEX(인턴계획표[사번키],$Q173))&gt;0,"확인","미등록"))</f>
        <v/>
      </c>
      <c r="E173">
        <f>IF($Q173="","",IF(ISNUMBER(INDEX(인턴계획표[입사일(비고)],$Q173)),TEXT(INDEX(인턴계획표[입사일(비고)],$Q173),"yyyy-mm-dd"),INDEX(인턴계획표[입사일(비고)],$Q173)&amp;""))</f>
        <v/>
      </c>
      <c r="F173">
        <f>IF($Q173="","",IF(IF($G$3="","",INDEX(인턴계획표[[정규화1]:[정규화6]],$Q173,$G$3)&amp;"")="","",IF(LEFT(IF($G$3="","",INDEX(인턴계획표[[정규화1]:[정규화6]],$Q173,$G$3)&amp;""),1)="⚠",IF($G$3="","",INDEX(인턴계획표[[정규화1]:[정규화6]],$Q173,$G$3)&amp;""),IFERROR(LEFT(IF($G$3="","",INDEX(인턴계획표[[정규화1]:[정규화6]],$Q173,$G$3)&amp;""),FIND(" ",IF($G$3="","",INDEX(인턴계획표[[정규화1]:[정규화6]],$Q173,$G$3)&amp;""))-1),IF($G$3="","",INDEX(인턴계획표[[정규화1]:[정규화6]],$Q173,$G$3)&amp;"")))))</f>
        <v/>
      </c>
      <c r="G173">
        <f>IF($Q173="","",IF(IF($G$3="","",INDEX(인턴계획표[[정규화1]:[정규화6]],$Q173,$G$3)&amp;"")="","",IF(LEFT(IF($G$3="","",INDEX(인턴계획표[[정규화1]:[정규화6]],$Q173,$G$3)&amp;""),1)="⚠","",IFERROR(MID(IF($G$3="","",INDEX(인턴계획표[[정규화1]:[정규화6]],$Q173,$G$3)&amp;""),FIND(" ",IF($G$3="","",INDEX(인턴계획표[[정규화1]:[정규화6]],$Q173,$G$3)&amp;""))+1,60),""))))</f>
        <v/>
      </c>
      <c r="H173">
        <f>IF($Q173="","",IF(IF($I$3="","",INDEX(인턴계획표[[정규화1]:[정규화6]],$Q173,$I$3)&amp;"")="","",IF(LEFT(IF($I$3="","",INDEX(인턴계획표[[정규화1]:[정규화6]],$Q173,$I$3)&amp;""),1)="⚠",IF($I$3="","",INDEX(인턴계획표[[정규화1]:[정규화6]],$Q173,$I$3)&amp;""),IFERROR(LEFT(IF($I$3="","",INDEX(인턴계획표[[정규화1]:[정규화6]],$Q173,$I$3)&amp;""),FIND(" ",IF($I$3="","",INDEX(인턴계획표[[정규화1]:[정규화6]],$Q173,$I$3)&amp;""))-1),IF($I$3="","",INDEX(인턴계획표[[정규화1]:[정규화6]],$Q173,$I$3)&amp;"")))))</f>
        <v/>
      </c>
      <c r="I173">
        <f>IF($Q173="","",IF(IF($I$3="","",INDEX(인턴계획표[[정규화1]:[정규화6]],$Q173,$I$3)&amp;"")="","",IF(LEFT(IF($I$3="","",INDEX(인턴계획표[[정규화1]:[정규화6]],$Q173,$I$3)&amp;""),1)="⚠","",IFERROR(MID(IF($I$3="","",INDEX(인턴계획표[[정규화1]:[정규화6]],$Q173,$I$3)&amp;""),FIND(" ",IF($I$3="","",INDEX(인턴계획표[[정규화1]:[정규화6]],$Q173,$I$3)&amp;""))+1,60),""))))</f>
        <v/>
      </c>
      <c r="J173">
        <f>IF($Q173="","",INDEX(인턴계획표[정규화1],$Q173))</f>
        <v/>
      </c>
      <c r="K173">
        <f>IF($Q173="","",INDEX(인턴계획표[정규화2],$Q173))</f>
        <v/>
      </c>
      <c r="L173">
        <f>IF($Q173="","",INDEX(인턴계획표[정규화3],$Q173))</f>
        <v/>
      </c>
      <c r="M173">
        <f>IF($Q173="","",INDEX(인턴계획표[정규화4],$Q173))</f>
        <v/>
      </c>
      <c r="N173">
        <f>IF($Q173="","",INDEX(인턴계획표[정규화5],$Q173))</f>
        <v/>
      </c>
      <c r="O173">
        <f>IF($Q173="","",INDEX(인턴계획표[정규화6],$Q173))</f>
        <v/>
      </c>
      <c r="P173">
        <f>IF($Q173="","",INDEX(인턴계획표[입력오류],$Q173))</f>
        <v/>
      </c>
      <c r="Q173" s="17">
        <f>IFERROR(MATCH(168,인턴계획표[표시순번],0),"")</f>
        <v/>
      </c>
    </row>
    <row r="174">
      <c r="A174">
        <f>IF($Q174="","",INDEX(인턴계획표[순번],$Q174)&amp;"")</f>
        <v/>
      </c>
      <c r="B174">
        <f>IF($Q174="","",TRIM(INDEX(인턴계획표[이름],$Q174)&amp;""))</f>
        <v/>
      </c>
      <c r="C174">
        <f>IF($Q174="","",INDEX(인턴계획표[사번],$Q174)&amp;"")</f>
        <v/>
      </c>
      <c r="D174">
        <f>IF($Q174="","",IF(COUNTIF(기본자료표[사번키],INDEX(인턴계획표[사번키],$Q174))&gt;0,"확인","미등록"))</f>
        <v/>
      </c>
      <c r="E174">
        <f>IF($Q174="","",IF(ISNUMBER(INDEX(인턴계획표[입사일(비고)],$Q174)),TEXT(INDEX(인턴계획표[입사일(비고)],$Q174),"yyyy-mm-dd"),INDEX(인턴계획표[입사일(비고)],$Q174)&amp;""))</f>
        <v/>
      </c>
      <c r="F174">
        <f>IF($Q174="","",IF(IF($G$3="","",INDEX(인턴계획표[[정규화1]:[정규화6]],$Q174,$G$3)&amp;"")="","",IF(LEFT(IF($G$3="","",INDEX(인턴계획표[[정규화1]:[정규화6]],$Q174,$G$3)&amp;""),1)="⚠",IF($G$3="","",INDEX(인턴계획표[[정규화1]:[정규화6]],$Q174,$G$3)&amp;""),IFERROR(LEFT(IF($G$3="","",INDEX(인턴계획표[[정규화1]:[정규화6]],$Q174,$G$3)&amp;""),FIND(" ",IF($G$3="","",INDEX(인턴계획표[[정규화1]:[정규화6]],$Q174,$G$3)&amp;""))-1),IF($G$3="","",INDEX(인턴계획표[[정규화1]:[정규화6]],$Q174,$G$3)&amp;"")))))</f>
        <v/>
      </c>
      <c r="G174">
        <f>IF($Q174="","",IF(IF($G$3="","",INDEX(인턴계획표[[정규화1]:[정규화6]],$Q174,$G$3)&amp;"")="","",IF(LEFT(IF($G$3="","",INDEX(인턴계획표[[정규화1]:[정규화6]],$Q174,$G$3)&amp;""),1)="⚠","",IFERROR(MID(IF($G$3="","",INDEX(인턴계획표[[정규화1]:[정규화6]],$Q174,$G$3)&amp;""),FIND(" ",IF($G$3="","",INDEX(인턴계획표[[정규화1]:[정규화6]],$Q174,$G$3)&amp;""))+1,60),""))))</f>
        <v/>
      </c>
      <c r="H174">
        <f>IF($Q174="","",IF(IF($I$3="","",INDEX(인턴계획표[[정규화1]:[정규화6]],$Q174,$I$3)&amp;"")="","",IF(LEFT(IF($I$3="","",INDEX(인턴계획표[[정규화1]:[정규화6]],$Q174,$I$3)&amp;""),1)="⚠",IF($I$3="","",INDEX(인턴계획표[[정규화1]:[정규화6]],$Q174,$I$3)&amp;""),IFERROR(LEFT(IF($I$3="","",INDEX(인턴계획표[[정규화1]:[정규화6]],$Q174,$I$3)&amp;""),FIND(" ",IF($I$3="","",INDEX(인턴계획표[[정규화1]:[정규화6]],$Q174,$I$3)&amp;""))-1),IF($I$3="","",INDEX(인턴계획표[[정규화1]:[정규화6]],$Q174,$I$3)&amp;"")))))</f>
        <v/>
      </c>
      <c r="I174">
        <f>IF($Q174="","",IF(IF($I$3="","",INDEX(인턴계획표[[정규화1]:[정규화6]],$Q174,$I$3)&amp;"")="","",IF(LEFT(IF($I$3="","",INDEX(인턴계획표[[정규화1]:[정규화6]],$Q174,$I$3)&amp;""),1)="⚠","",IFERROR(MID(IF($I$3="","",INDEX(인턴계획표[[정규화1]:[정규화6]],$Q174,$I$3)&amp;""),FIND(" ",IF($I$3="","",INDEX(인턴계획표[[정규화1]:[정규화6]],$Q174,$I$3)&amp;""))+1,60),""))))</f>
        <v/>
      </c>
      <c r="J174">
        <f>IF($Q174="","",INDEX(인턴계획표[정규화1],$Q174))</f>
        <v/>
      </c>
      <c r="K174">
        <f>IF($Q174="","",INDEX(인턴계획표[정규화2],$Q174))</f>
        <v/>
      </c>
      <c r="L174">
        <f>IF($Q174="","",INDEX(인턴계획표[정규화3],$Q174))</f>
        <v/>
      </c>
      <c r="M174">
        <f>IF($Q174="","",INDEX(인턴계획표[정규화4],$Q174))</f>
        <v/>
      </c>
      <c r="N174">
        <f>IF($Q174="","",INDEX(인턴계획표[정규화5],$Q174))</f>
        <v/>
      </c>
      <c r="O174">
        <f>IF($Q174="","",INDEX(인턴계획표[정규화6],$Q174))</f>
        <v/>
      </c>
      <c r="P174">
        <f>IF($Q174="","",INDEX(인턴계획표[입력오류],$Q174))</f>
        <v/>
      </c>
      <c r="Q174" s="17">
        <f>IFERROR(MATCH(169,인턴계획표[표시순번],0),"")</f>
        <v/>
      </c>
    </row>
    <row r="175">
      <c r="A175">
        <f>IF($Q175="","",INDEX(인턴계획표[순번],$Q175)&amp;"")</f>
        <v/>
      </c>
      <c r="B175">
        <f>IF($Q175="","",TRIM(INDEX(인턴계획표[이름],$Q175)&amp;""))</f>
        <v/>
      </c>
      <c r="C175">
        <f>IF($Q175="","",INDEX(인턴계획표[사번],$Q175)&amp;"")</f>
        <v/>
      </c>
      <c r="D175">
        <f>IF($Q175="","",IF(COUNTIF(기본자료표[사번키],INDEX(인턴계획표[사번키],$Q175))&gt;0,"확인","미등록"))</f>
        <v/>
      </c>
      <c r="E175">
        <f>IF($Q175="","",IF(ISNUMBER(INDEX(인턴계획표[입사일(비고)],$Q175)),TEXT(INDEX(인턴계획표[입사일(비고)],$Q175),"yyyy-mm-dd"),INDEX(인턴계획표[입사일(비고)],$Q175)&amp;""))</f>
        <v/>
      </c>
      <c r="F175">
        <f>IF($Q175="","",IF(IF($G$3="","",INDEX(인턴계획표[[정규화1]:[정규화6]],$Q175,$G$3)&amp;"")="","",IF(LEFT(IF($G$3="","",INDEX(인턴계획표[[정규화1]:[정규화6]],$Q175,$G$3)&amp;""),1)="⚠",IF($G$3="","",INDEX(인턴계획표[[정규화1]:[정규화6]],$Q175,$G$3)&amp;""),IFERROR(LEFT(IF($G$3="","",INDEX(인턴계획표[[정규화1]:[정규화6]],$Q175,$G$3)&amp;""),FIND(" ",IF($G$3="","",INDEX(인턴계획표[[정규화1]:[정규화6]],$Q175,$G$3)&amp;""))-1),IF($G$3="","",INDEX(인턴계획표[[정규화1]:[정규화6]],$Q175,$G$3)&amp;"")))))</f>
        <v/>
      </c>
      <c r="G175">
        <f>IF($Q175="","",IF(IF($G$3="","",INDEX(인턴계획표[[정규화1]:[정규화6]],$Q175,$G$3)&amp;"")="","",IF(LEFT(IF($G$3="","",INDEX(인턴계획표[[정규화1]:[정규화6]],$Q175,$G$3)&amp;""),1)="⚠","",IFERROR(MID(IF($G$3="","",INDEX(인턴계획표[[정규화1]:[정규화6]],$Q175,$G$3)&amp;""),FIND(" ",IF($G$3="","",INDEX(인턴계획표[[정규화1]:[정규화6]],$Q175,$G$3)&amp;""))+1,60),""))))</f>
        <v/>
      </c>
      <c r="H175">
        <f>IF($Q175="","",IF(IF($I$3="","",INDEX(인턴계획표[[정규화1]:[정규화6]],$Q175,$I$3)&amp;"")="","",IF(LEFT(IF($I$3="","",INDEX(인턴계획표[[정규화1]:[정규화6]],$Q175,$I$3)&amp;""),1)="⚠",IF($I$3="","",INDEX(인턴계획표[[정규화1]:[정규화6]],$Q175,$I$3)&amp;""),IFERROR(LEFT(IF($I$3="","",INDEX(인턴계획표[[정규화1]:[정규화6]],$Q175,$I$3)&amp;""),FIND(" ",IF($I$3="","",INDEX(인턴계획표[[정규화1]:[정규화6]],$Q175,$I$3)&amp;""))-1),IF($I$3="","",INDEX(인턴계획표[[정규화1]:[정규화6]],$Q175,$I$3)&amp;"")))))</f>
        <v/>
      </c>
      <c r="I175">
        <f>IF($Q175="","",IF(IF($I$3="","",INDEX(인턴계획표[[정규화1]:[정규화6]],$Q175,$I$3)&amp;"")="","",IF(LEFT(IF($I$3="","",INDEX(인턴계획표[[정규화1]:[정규화6]],$Q175,$I$3)&amp;""),1)="⚠","",IFERROR(MID(IF($I$3="","",INDEX(인턴계획표[[정규화1]:[정규화6]],$Q175,$I$3)&amp;""),FIND(" ",IF($I$3="","",INDEX(인턴계획표[[정규화1]:[정규화6]],$Q175,$I$3)&amp;""))+1,60),""))))</f>
        <v/>
      </c>
      <c r="J175">
        <f>IF($Q175="","",INDEX(인턴계획표[정규화1],$Q175))</f>
        <v/>
      </c>
      <c r="K175">
        <f>IF($Q175="","",INDEX(인턴계획표[정규화2],$Q175))</f>
        <v/>
      </c>
      <c r="L175">
        <f>IF($Q175="","",INDEX(인턴계획표[정규화3],$Q175))</f>
        <v/>
      </c>
      <c r="M175">
        <f>IF($Q175="","",INDEX(인턴계획표[정규화4],$Q175))</f>
        <v/>
      </c>
      <c r="N175">
        <f>IF($Q175="","",INDEX(인턴계획표[정규화5],$Q175))</f>
        <v/>
      </c>
      <c r="O175">
        <f>IF($Q175="","",INDEX(인턴계획표[정규화6],$Q175))</f>
        <v/>
      </c>
      <c r="P175">
        <f>IF($Q175="","",INDEX(인턴계획표[입력오류],$Q175))</f>
        <v/>
      </c>
      <c r="Q175" s="17">
        <f>IFERROR(MATCH(170,인턴계획표[표시순번],0),"")</f>
        <v/>
      </c>
    </row>
    <row r="176">
      <c r="A176">
        <f>IF($Q176="","",INDEX(인턴계획표[순번],$Q176)&amp;"")</f>
        <v/>
      </c>
      <c r="B176">
        <f>IF($Q176="","",TRIM(INDEX(인턴계획표[이름],$Q176)&amp;""))</f>
        <v/>
      </c>
      <c r="C176">
        <f>IF($Q176="","",INDEX(인턴계획표[사번],$Q176)&amp;"")</f>
        <v/>
      </c>
      <c r="D176">
        <f>IF($Q176="","",IF(COUNTIF(기본자료표[사번키],INDEX(인턴계획표[사번키],$Q176))&gt;0,"확인","미등록"))</f>
        <v/>
      </c>
      <c r="E176">
        <f>IF($Q176="","",IF(ISNUMBER(INDEX(인턴계획표[입사일(비고)],$Q176)),TEXT(INDEX(인턴계획표[입사일(비고)],$Q176),"yyyy-mm-dd"),INDEX(인턴계획표[입사일(비고)],$Q176)&amp;""))</f>
        <v/>
      </c>
      <c r="F176">
        <f>IF($Q176="","",IF(IF($G$3="","",INDEX(인턴계획표[[정규화1]:[정규화6]],$Q176,$G$3)&amp;"")="","",IF(LEFT(IF($G$3="","",INDEX(인턴계획표[[정규화1]:[정규화6]],$Q176,$G$3)&amp;""),1)="⚠",IF($G$3="","",INDEX(인턴계획표[[정규화1]:[정규화6]],$Q176,$G$3)&amp;""),IFERROR(LEFT(IF($G$3="","",INDEX(인턴계획표[[정규화1]:[정규화6]],$Q176,$G$3)&amp;""),FIND(" ",IF($G$3="","",INDEX(인턴계획표[[정규화1]:[정규화6]],$Q176,$G$3)&amp;""))-1),IF($G$3="","",INDEX(인턴계획표[[정규화1]:[정규화6]],$Q176,$G$3)&amp;"")))))</f>
        <v/>
      </c>
      <c r="G176">
        <f>IF($Q176="","",IF(IF($G$3="","",INDEX(인턴계획표[[정규화1]:[정규화6]],$Q176,$G$3)&amp;"")="","",IF(LEFT(IF($G$3="","",INDEX(인턴계획표[[정규화1]:[정규화6]],$Q176,$G$3)&amp;""),1)="⚠","",IFERROR(MID(IF($G$3="","",INDEX(인턴계획표[[정규화1]:[정규화6]],$Q176,$G$3)&amp;""),FIND(" ",IF($G$3="","",INDEX(인턴계획표[[정규화1]:[정규화6]],$Q176,$G$3)&amp;""))+1,60),""))))</f>
        <v/>
      </c>
      <c r="H176">
        <f>IF($Q176="","",IF(IF($I$3="","",INDEX(인턴계획표[[정규화1]:[정규화6]],$Q176,$I$3)&amp;"")="","",IF(LEFT(IF($I$3="","",INDEX(인턴계획표[[정규화1]:[정규화6]],$Q176,$I$3)&amp;""),1)="⚠",IF($I$3="","",INDEX(인턴계획표[[정규화1]:[정규화6]],$Q176,$I$3)&amp;""),IFERROR(LEFT(IF($I$3="","",INDEX(인턴계획표[[정규화1]:[정규화6]],$Q176,$I$3)&amp;""),FIND(" ",IF($I$3="","",INDEX(인턴계획표[[정규화1]:[정규화6]],$Q176,$I$3)&amp;""))-1),IF($I$3="","",INDEX(인턴계획표[[정규화1]:[정규화6]],$Q176,$I$3)&amp;"")))))</f>
        <v/>
      </c>
      <c r="I176">
        <f>IF($Q176="","",IF(IF($I$3="","",INDEX(인턴계획표[[정규화1]:[정규화6]],$Q176,$I$3)&amp;"")="","",IF(LEFT(IF($I$3="","",INDEX(인턴계획표[[정규화1]:[정규화6]],$Q176,$I$3)&amp;""),1)="⚠","",IFERROR(MID(IF($I$3="","",INDEX(인턴계획표[[정규화1]:[정규화6]],$Q176,$I$3)&amp;""),FIND(" ",IF($I$3="","",INDEX(인턴계획표[[정규화1]:[정규화6]],$Q176,$I$3)&amp;""))+1,60),""))))</f>
        <v/>
      </c>
      <c r="J176">
        <f>IF($Q176="","",INDEX(인턴계획표[정규화1],$Q176))</f>
        <v/>
      </c>
      <c r="K176">
        <f>IF($Q176="","",INDEX(인턴계획표[정규화2],$Q176))</f>
        <v/>
      </c>
      <c r="L176">
        <f>IF($Q176="","",INDEX(인턴계획표[정규화3],$Q176))</f>
        <v/>
      </c>
      <c r="M176">
        <f>IF($Q176="","",INDEX(인턴계획표[정규화4],$Q176))</f>
        <v/>
      </c>
      <c r="N176">
        <f>IF($Q176="","",INDEX(인턴계획표[정규화5],$Q176))</f>
        <v/>
      </c>
      <c r="O176">
        <f>IF($Q176="","",INDEX(인턴계획표[정규화6],$Q176))</f>
        <v/>
      </c>
      <c r="P176">
        <f>IF($Q176="","",INDEX(인턴계획표[입력오류],$Q176))</f>
        <v/>
      </c>
      <c r="Q176" s="17">
        <f>IFERROR(MATCH(171,인턴계획표[표시순번],0),"")</f>
        <v/>
      </c>
    </row>
    <row r="177">
      <c r="A177">
        <f>IF($Q177="","",INDEX(인턴계획표[순번],$Q177)&amp;"")</f>
        <v/>
      </c>
      <c r="B177">
        <f>IF($Q177="","",TRIM(INDEX(인턴계획표[이름],$Q177)&amp;""))</f>
        <v/>
      </c>
      <c r="C177">
        <f>IF($Q177="","",INDEX(인턴계획표[사번],$Q177)&amp;"")</f>
        <v/>
      </c>
      <c r="D177">
        <f>IF($Q177="","",IF(COUNTIF(기본자료표[사번키],INDEX(인턴계획표[사번키],$Q177))&gt;0,"확인","미등록"))</f>
        <v/>
      </c>
      <c r="E177">
        <f>IF($Q177="","",IF(ISNUMBER(INDEX(인턴계획표[입사일(비고)],$Q177)),TEXT(INDEX(인턴계획표[입사일(비고)],$Q177),"yyyy-mm-dd"),INDEX(인턴계획표[입사일(비고)],$Q177)&amp;""))</f>
        <v/>
      </c>
      <c r="F177">
        <f>IF($Q177="","",IF(IF($G$3="","",INDEX(인턴계획표[[정규화1]:[정규화6]],$Q177,$G$3)&amp;"")="","",IF(LEFT(IF($G$3="","",INDEX(인턴계획표[[정규화1]:[정규화6]],$Q177,$G$3)&amp;""),1)="⚠",IF($G$3="","",INDEX(인턴계획표[[정규화1]:[정규화6]],$Q177,$G$3)&amp;""),IFERROR(LEFT(IF($G$3="","",INDEX(인턴계획표[[정규화1]:[정규화6]],$Q177,$G$3)&amp;""),FIND(" ",IF($G$3="","",INDEX(인턴계획표[[정규화1]:[정규화6]],$Q177,$G$3)&amp;""))-1),IF($G$3="","",INDEX(인턴계획표[[정규화1]:[정규화6]],$Q177,$G$3)&amp;"")))))</f>
        <v/>
      </c>
      <c r="G177">
        <f>IF($Q177="","",IF(IF($G$3="","",INDEX(인턴계획표[[정규화1]:[정규화6]],$Q177,$G$3)&amp;"")="","",IF(LEFT(IF($G$3="","",INDEX(인턴계획표[[정규화1]:[정규화6]],$Q177,$G$3)&amp;""),1)="⚠","",IFERROR(MID(IF($G$3="","",INDEX(인턴계획표[[정규화1]:[정규화6]],$Q177,$G$3)&amp;""),FIND(" ",IF($G$3="","",INDEX(인턴계획표[[정규화1]:[정규화6]],$Q177,$G$3)&amp;""))+1,60),""))))</f>
        <v/>
      </c>
      <c r="H177">
        <f>IF($Q177="","",IF(IF($I$3="","",INDEX(인턴계획표[[정규화1]:[정규화6]],$Q177,$I$3)&amp;"")="","",IF(LEFT(IF($I$3="","",INDEX(인턴계획표[[정규화1]:[정규화6]],$Q177,$I$3)&amp;""),1)="⚠",IF($I$3="","",INDEX(인턴계획표[[정규화1]:[정규화6]],$Q177,$I$3)&amp;""),IFERROR(LEFT(IF($I$3="","",INDEX(인턴계획표[[정규화1]:[정규화6]],$Q177,$I$3)&amp;""),FIND(" ",IF($I$3="","",INDEX(인턴계획표[[정규화1]:[정규화6]],$Q177,$I$3)&amp;""))-1),IF($I$3="","",INDEX(인턴계획표[[정규화1]:[정규화6]],$Q177,$I$3)&amp;"")))))</f>
        <v/>
      </c>
      <c r="I177">
        <f>IF($Q177="","",IF(IF($I$3="","",INDEX(인턴계획표[[정규화1]:[정규화6]],$Q177,$I$3)&amp;"")="","",IF(LEFT(IF($I$3="","",INDEX(인턴계획표[[정규화1]:[정규화6]],$Q177,$I$3)&amp;""),1)="⚠","",IFERROR(MID(IF($I$3="","",INDEX(인턴계획표[[정규화1]:[정규화6]],$Q177,$I$3)&amp;""),FIND(" ",IF($I$3="","",INDEX(인턴계획표[[정규화1]:[정규화6]],$Q177,$I$3)&amp;""))+1,60),""))))</f>
        <v/>
      </c>
      <c r="J177">
        <f>IF($Q177="","",INDEX(인턴계획표[정규화1],$Q177))</f>
        <v/>
      </c>
      <c r="K177">
        <f>IF($Q177="","",INDEX(인턴계획표[정규화2],$Q177))</f>
        <v/>
      </c>
      <c r="L177">
        <f>IF($Q177="","",INDEX(인턴계획표[정규화3],$Q177))</f>
        <v/>
      </c>
      <c r="M177">
        <f>IF($Q177="","",INDEX(인턴계획표[정규화4],$Q177))</f>
        <v/>
      </c>
      <c r="N177">
        <f>IF($Q177="","",INDEX(인턴계획표[정규화5],$Q177))</f>
        <v/>
      </c>
      <c r="O177">
        <f>IF($Q177="","",INDEX(인턴계획표[정규화6],$Q177))</f>
        <v/>
      </c>
      <c r="P177">
        <f>IF($Q177="","",INDEX(인턴계획표[입력오류],$Q177))</f>
        <v/>
      </c>
      <c r="Q177" s="17">
        <f>IFERROR(MATCH(172,인턴계획표[표시순번],0),"")</f>
        <v/>
      </c>
    </row>
    <row r="178">
      <c r="A178">
        <f>IF($Q178="","",INDEX(인턴계획표[순번],$Q178)&amp;"")</f>
        <v/>
      </c>
      <c r="B178">
        <f>IF($Q178="","",TRIM(INDEX(인턴계획표[이름],$Q178)&amp;""))</f>
        <v/>
      </c>
      <c r="C178">
        <f>IF($Q178="","",INDEX(인턴계획표[사번],$Q178)&amp;"")</f>
        <v/>
      </c>
      <c r="D178">
        <f>IF($Q178="","",IF(COUNTIF(기본자료표[사번키],INDEX(인턴계획표[사번키],$Q178))&gt;0,"확인","미등록"))</f>
        <v/>
      </c>
      <c r="E178">
        <f>IF($Q178="","",IF(ISNUMBER(INDEX(인턴계획표[입사일(비고)],$Q178)),TEXT(INDEX(인턴계획표[입사일(비고)],$Q178),"yyyy-mm-dd"),INDEX(인턴계획표[입사일(비고)],$Q178)&amp;""))</f>
        <v/>
      </c>
      <c r="F178">
        <f>IF($Q178="","",IF(IF($G$3="","",INDEX(인턴계획표[[정규화1]:[정규화6]],$Q178,$G$3)&amp;"")="","",IF(LEFT(IF($G$3="","",INDEX(인턴계획표[[정규화1]:[정규화6]],$Q178,$G$3)&amp;""),1)="⚠",IF($G$3="","",INDEX(인턴계획표[[정규화1]:[정규화6]],$Q178,$G$3)&amp;""),IFERROR(LEFT(IF($G$3="","",INDEX(인턴계획표[[정규화1]:[정규화6]],$Q178,$G$3)&amp;""),FIND(" ",IF($G$3="","",INDEX(인턴계획표[[정규화1]:[정규화6]],$Q178,$G$3)&amp;""))-1),IF($G$3="","",INDEX(인턴계획표[[정규화1]:[정규화6]],$Q178,$G$3)&amp;"")))))</f>
        <v/>
      </c>
      <c r="G178">
        <f>IF($Q178="","",IF(IF($G$3="","",INDEX(인턴계획표[[정규화1]:[정규화6]],$Q178,$G$3)&amp;"")="","",IF(LEFT(IF($G$3="","",INDEX(인턴계획표[[정규화1]:[정규화6]],$Q178,$G$3)&amp;""),1)="⚠","",IFERROR(MID(IF($G$3="","",INDEX(인턴계획표[[정규화1]:[정규화6]],$Q178,$G$3)&amp;""),FIND(" ",IF($G$3="","",INDEX(인턴계획표[[정규화1]:[정규화6]],$Q178,$G$3)&amp;""))+1,60),""))))</f>
        <v/>
      </c>
      <c r="H178">
        <f>IF($Q178="","",IF(IF($I$3="","",INDEX(인턴계획표[[정규화1]:[정규화6]],$Q178,$I$3)&amp;"")="","",IF(LEFT(IF($I$3="","",INDEX(인턴계획표[[정규화1]:[정규화6]],$Q178,$I$3)&amp;""),1)="⚠",IF($I$3="","",INDEX(인턴계획표[[정규화1]:[정규화6]],$Q178,$I$3)&amp;""),IFERROR(LEFT(IF($I$3="","",INDEX(인턴계획표[[정규화1]:[정규화6]],$Q178,$I$3)&amp;""),FIND(" ",IF($I$3="","",INDEX(인턴계획표[[정규화1]:[정규화6]],$Q178,$I$3)&amp;""))-1),IF($I$3="","",INDEX(인턴계획표[[정규화1]:[정규화6]],$Q178,$I$3)&amp;"")))))</f>
        <v/>
      </c>
      <c r="I178">
        <f>IF($Q178="","",IF(IF($I$3="","",INDEX(인턴계획표[[정규화1]:[정규화6]],$Q178,$I$3)&amp;"")="","",IF(LEFT(IF($I$3="","",INDEX(인턴계획표[[정규화1]:[정규화6]],$Q178,$I$3)&amp;""),1)="⚠","",IFERROR(MID(IF($I$3="","",INDEX(인턴계획표[[정규화1]:[정규화6]],$Q178,$I$3)&amp;""),FIND(" ",IF($I$3="","",INDEX(인턴계획표[[정규화1]:[정규화6]],$Q178,$I$3)&amp;""))+1,60),""))))</f>
        <v/>
      </c>
      <c r="J178">
        <f>IF($Q178="","",INDEX(인턴계획표[정규화1],$Q178))</f>
        <v/>
      </c>
      <c r="K178">
        <f>IF($Q178="","",INDEX(인턴계획표[정규화2],$Q178))</f>
        <v/>
      </c>
      <c r="L178">
        <f>IF($Q178="","",INDEX(인턴계획표[정규화3],$Q178))</f>
        <v/>
      </c>
      <c r="M178">
        <f>IF($Q178="","",INDEX(인턴계획표[정규화4],$Q178))</f>
        <v/>
      </c>
      <c r="N178">
        <f>IF($Q178="","",INDEX(인턴계획표[정규화5],$Q178))</f>
        <v/>
      </c>
      <c r="O178">
        <f>IF($Q178="","",INDEX(인턴계획표[정규화6],$Q178))</f>
        <v/>
      </c>
      <c r="P178">
        <f>IF($Q178="","",INDEX(인턴계획표[입력오류],$Q178))</f>
        <v/>
      </c>
      <c r="Q178" s="17">
        <f>IFERROR(MATCH(173,인턴계획표[표시순번],0),"")</f>
        <v/>
      </c>
    </row>
    <row r="179">
      <c r="A179">
        <f>IF($Q179="","",INDEX(인턴계획표[순번],$Q179)&amp;"")</f>
        <v/>
      </c>
      <c r="B179">
        <f>IF($Q179="","",TRIM(INDEX(인턴계획표[이름],$Q179)&amp;""))</f>
        <v/>
      </c>
      <c r="C179">
        <f>IF($Q179="","",INDEX(인턴계획표[사번],$Q179)&amp;"")</f>
        <v/>
      </c>
      <c r="D179">
        <f>IF($Q179="","",IF(COUNTIF(기본자료표[사번키],INDEX(인턴계획표[사번키],$Q179))&gt;0,"확인","미등록"))</f>
        <v/>
      </c>
      <c r="E179">
        <f>IF($Q179="","",IF(ISNUMBER(INDEX(인턴계획표[입사일(비고)],$Q179)),TEXT(INDEX(인턴계획표[입사일(비고)],$Q179),"yyyy-mm-dd"),INDEX(인턴계획표[입사일(비고)],$Q179)&amp;""))</f>
        <v/>
      </c>
      <c r="F179">
        <f>IF($Q179="","",IF(IF($G$3="","",INDEX(인턴계획표[[정규화1]:[정규화6]],$Q179,$G$3)&amp;"")="","",IF(LEFT(IF($G$3="","",INDEX(인턴계획표[[정규화1]:[정규화6]],$Q179,$G$3)&amp;""),1)="⚠",IF($G$3="","",INDEX(인턴계획표[[정규화1]:[정규화6]],$Q179,$G$3)&amp;""),IFERROR(LEFT(IF($G$3="","",INDEX(인턴계획표[[정규화1]:[정규화6]],$Q179,$G$3)&amp;""),FIND(" ",IF($G$3="","",INDEX(인턴계획표[[정규화1]:[정규화6]],$Q179,$G$3)&amp;""))-1),IF($G$3="","",INDEX(인턴계획표[[정규화1]:[정규화6]],$Q179,$G$3)&amp;"")))))</f>
        <v/>
      </c>
      <c r="G179">
        <f>IF($Q179="","",IF(IF($G$3="","",INDEX(인턴계획표[[정규화1]:[정규화6]],$Q179,$G$3)&amp;"")="","",IF(LEFT(IF($G$3="","",INDEX(인턴계획표[[정규화1]:[정규화6]],$Q179,$G$3)&amp;""),1)="⚠","",IFERROR(MID(IF($G$3="","",INDEX(인턴계획표[[정규화1]:[정규화6]],$Q179,$G$3)&amp;""),FIND(" ",IF($G$3="","",INDEX(인턴계획표[[정규화1]:[정규화6]],$Q179,$G$3)&amp;""))+1,60),""))))</f>
        <v/>
      </c>
      <c r="H179">
        <f>IF($Q179="","",IF(IF($I$3="","",INDEX(인턴계획표[[정규화1]:[정규화6]],$Q179,$I$3)&amp;"")="","",IF(LEFT(IF($I$3="","",INDEX(인턴계획표[[정규화1]:[정규화6]],$Q179,$I$3)&amp;""),1)="⚠",IF($I$3="","",INDEX(인턴계획표[[정규화1]:[정규화6]],$Q179,$I$3)&amp;""),IFERROR(LEFT(IF($I$3="","",INDEX(인턴계획표[[정규화1]:[정규화6]],$Q179,$I$3)&amp;""),FIND(" ",IF($I$3="","",INDEX(인턴계획표[[정규화1]:[정규화6]],$Q179,$I$3)&amp;""))-1),IF($I$3="","",INDEX(인턴계획표[[정규화1]:[정규화6]],$Q179,$I$3)&amp;"")))))</f>
        <v/>
      </c>
      <c r="I179">
        <f>IF($Q179="","",IF(IF($I$3="","",INDEX(인턴계획표[[정규화1]:[정규화6]],$Q179,$I$3)&amp;"")="","",IF(LEFT(IF($I$3="","",INDEX(인턴계획표[[정규화1]:[정규화6]],$Q179,$I$3)&amp;""),1)="⚠","",IFERROR(MID(IF($I$3="","",INDEX(인턴계획표[[정규화1]:[정규화6]],$Q179,$I$3)&amp;""),FIND(" ",IF($I$3="","",INDEX(인턴계획표[[정규화1]:[정규화6]],$Q179,$I$3)&amp;""))+1,60),""))))</f>
        <v/>
      </c>
      <c r="J179">
        <f>IF($Q179="","",INDEX(인턴계획표[정규화1],$Q179))</f>
        <v/>
      </c>
      <c r="K179">
        <f>IF($Q179="","",INDEX(인턴계획표[정규화2],$Q179))</f>
        <v/>
      </c>
      <c r="L179">
        <f>IF($Q179="","",INDEX(인턴계획표[정규화3],$Q179))</f>
        <v/>
      </c>
      <c r="M179">
        <f>IF($Q179="","",INDEX(인턴계획표[정규화4],$Q179))</f>
        <v/>
      </c>
      <c r="N179">
        <f>IF($Q179="","",INDEX(인턴계획표[정규화5],$Q179))</f>
        <v/>
      </c>
      <c r="O179">
        <f>IF($Q179="","",INDEX(인턴계획표[정규화6],$Q179))</f>
        <v/>
      </c>
      <c r="P179">
        <f>IF($Q179="","",INDEX(인턴계획표[입력오류],$Q179))</f>
        <v/>
      </c>
      <c r="Q179" s="17">
        <f>IFERROR(MATCH(174,인턴계획표[표시순번],0),"")</f>
        <v/>
      </c>
    </row>
    <row r="180">
      <c r="A180">
        <f>IF($Q180="","",INDEX(인턴계획표[순번],$Q180)&amp;"")</f>
        <v/>
      </c>
      <c r="B180">
        <f>IF($Q180="","",TRIM(INDEX(인턴계획표[이름],$Q180)&amp;""))</f>
        <v/>
      </c>
      <c r="C180">
        <f>IF($Q180="","",INDEX(인턴계획표[사번],$Q180)&amp;"")</f>
        <v/>
      </c>
      <c r="D180">
        <f>IF($Q180="","",IF(COUNTIF(기본자료표[사번키],INDEX(인턴계획표[사번키],$Q180))&gt;0,"확인","미등록"))</f>
        <v/>
      </c>
      <c r="E180">
        <f>IF($Q180="","",IF(ISNUMBER(INDEX(인턴계획표[입사일(비고)],$Q180)),TEXT(INDEX(인턴계획표[입사일(비고)],$Q180),"yyyy-mm-dd"),INDEX(인턴계획표[입사일(비고)],$Q180)&amp;""))</f>
        <v/>
      </c>
      <c r="F180">
        <f>IF($Q180="","",IF(IF($G$3="","",INDEX(인턴계획표[[정규화1]:[정규화6]],$Q180,$G$3)&amp;"")="","",IF(LEFT(IF($G$3="","",INDEX(인턴계획표[[정규화1]:[정규화6]],$Q180,$G$3)&amp;""),1)="⚠",IF($G$3="","",INDEX(인턴계획표[[정규화1]:[정규화6]],$Q180,$G$3)&amp;""),IFERROR(LEFT(IF($G$3="","",INDEX(인턴계획표[[정규화1]:[정규화6]],$Q180,$G$3)&amp;""),FIND(" ",IF($G$3="","",INDEX(인턴계획표[[정규화1]:[정규화6]],$Q180,$G$3)&amp;""))-1),IF($G$3="","",INDEX(인턴계획표[[정규화1]:[정규화6]],$Q180,$G$3)&amp;"")))))</f>
        <v/>
      </c>
      <c r="G180">
        <f>IF($Q180="","",IF(IF($G$3="","",INDEX(인턴계획표[[정규화1]:[정규화6]],$Q180,$G$3)&amp;"")="","",IF(LEFT(IF($G$3="","",INDEX(인턴계획표[[정규화1]:[정규화6]],$Q180,$G$3)&amp;""),1)="⚠","",IFERROR(MID(IF($G$3="","",INDEX(인턴계획표[[정규화1]:[정규화6]],$Q180,$G$3)&amp;""),FIND(" ",IF($G$3="","",INDEX(인턴계획표[[정규화1]:[정규화6]],$Q180,$G$3)&amp;""))+1,60),""))))</f>
        <v/>
      </c>
      <c r="H180">
        <f>IF($Q180="","",IF(IF($I$3="","",INDEX(인턴계획표[[정규화1]:[정규화6]],$Q180,$I$3)&amp;"")="","",IF(LEFT(IF($I$3="","",INDEX(인턴계획표[[정규화1]:[정규화6]],$Q180,$I$3)&amp;""),1)="⚠",IF($I$3="","",INDEX(인턴계획표[[정규화1]:[정규화6]],$Q180,$I$3)&amp;""),IFERROR(LEFT(IF($I$3="","",INDEX(인턴계획표[[정규화1]:[정규화6]],$Q180,$I$3)&amp;""),FIND(" ",IF($I$3="","",INDEX(인턴계획표[[정규화1]:[정규화6]],$Q180,$I$3)&amp;""))-1),IF($I$3="","",INDEX(인턴계획표[[정규화1]:[정규화6]],$Q180,$I$3)&amp;"")))))</f>
        <v/>
      </c>
      <c r="I180">
        <f>IF($Q180="","",IF(IF($I$3="","",INDEX(인턴계획표[[정규화1]:[정규화6]],$Q180,$I$3)&amp;"")="","",IF(LEFT(IF($I$3="","",INDEX(인턴계획표[[정규화1]:[정규화6]],$Q180,$I$3)&amp;""),1)="⚠","",IFERROR(MID(IF($I$3="","",INDEX(인턴계획표[[정규화1]:[정규화6]],$Q180,$I$3)&amp;""),FIND(" ",IF($I$3="","",INDEX(인턴계획표[[정규화1]:[정규화6]],$Q180,$I$3)&amp;""))+1,60),""))))</f>
        <v/>
      </c>
      <c r="J180">
        <f>IF($Q180="","",INDEX(인턴계획표[정규화1],$Q180))</f>
        <v/>
      </c>
      <c r="K180">
        <f>IF($Q180="","",INDEX(인턴계획표[정규화2],$Q180))</f>
        <v/>
      </c>
      <c r="L180">
        <f>IF($Q180="","",INDEX(인턴계획표[정규화3],$Q180))</f>
        <v/>
      </c>
      <c r="M180">
        <f>IF($Q180="","",INDEX(인턴계획표[정규화4],$Q180))</f>
        <v/>
      </c>
      <c r="N180">
        <f>IF($Q180="","",INDEX(인턴계획표[정규화5],$Q180))</f>
        <v/>
      </c>
      <c r="O180">
        <f>IF($Q180="","",INDEX(인턴계획표[정규화6],$Q180))</f>
        <v/>
      </c>
      <c r="P180">
        <f>IF($Q180="","",INDEX(인턴계획표[입력오류],$Q180))</f>
        <v/>
      </c>
      <c r="Q180" s="17">
        <f>IFERROR(MATCH(175,인턴계획표[표시순번],0),"")</f>
        <v/>
      </c>
    </row>
    <row r="181">
      <c r="A181">
        <f>IF($Q181="","",INDEX(인턴계획표[순번],$Q181)&amp;"")</f>
        <v/>
      </c>
      <c r="B181">
        <f>IF($Q181="","",TRIM(INDEX(인턴계획표[이름],$Q181)&amp;""))</f>
        <v/>
      </c>
      <c r="C181">
        <f>IF($Q181="","",INDEX(인턴계획표[사번],$Q181)&amp;"")</f>
        <v/>
      </c>
      <c r="D181">
        <f>IF($Q181="","",IF(COUNTIF(기본자료표[사번키],INDEX(인턴계획표[사번키],$Q181))&gt;0,"확인","미등록"))</f>
        <v/>
      </c>
      <c r="E181">
        <f>IF($Q181="","",IF(ISNUMBER(INDEX(인턴계획표[입사일(비고)],$Q181)),TEXT(INDEX(인턴계획표[입사일(비고)],$Q181),"yyyy-mm-dd"),INDEX(인턴계획표[입사일(비고)],$Q181)&amp;""))</f>
        <v/>
      </c>
      <c r="F181">
        <f>IF($Q181="","",IF(IF($G$3="","",INDEX(인턴계획표[[정규화1]:[정규화6]],$Q181,$G$3)&amp;"")="","",IF(LEFT(IF($G$3="","",INDEX(인턴계획표[[정규화1]:[정규화6]],$Q181,$G$3)&amp;""),1)="⚠",IF($G$3="","",INDEX(인턴계획표[[정규화1]:[정규화6]],$Q181,$G$3)&amp;""),IFERROR(LEFT(IF($G$3="","",INDEX(인턴계획표[[정규화1]:[정규화6]],$Q181,$G$3)&amp;""),FIND(" ",IF($G$3="","",INDEX(인턴계획표[[정규화1]:[정규화6]],$Q181,$G$3)&amp;""))-1),IF($G$3="","",INDEX(인턴계획표[[정규화1]:[정규화6]],$Q181,$G$3)&amp;"")))))</f>
        <v/>
      </c>
      <c r="G181">
        <f>IF($Q181="","",IF(IF($G$3="","",INDEX(인턴계획표[[정규화1]:[정규화6]],$Q181,$G$3)&amp;"")="","",IF(LEFT(IF($G$3="","",INDEX(인턴계획표[[정규화1]:[정규화6]],$Q181,$G$3)&amp;""),1)="⚠","",IFERROR(MID(IF($G$3="","",INDEX(인턴계획표[[정규화1]:[정규화6]],$Q181,$G$3)&amp;""),FIND(" ",IF($G$3="","",INDEX(인턴계획표[[정규화1]:[정규화6]],$Q181,$G$3)&amp;""))+1,60),""))))</f>
        <v/>
      </c>
      <c r="H181">
        <f>IF($Q181="","",IF(IF($I$3="","",INDEX(인턴계획표[[정규화1]:[정규화6]],$Q181,$I$3)&amp;"")="","",IF(LEFT(IF($I$3="","",INDEX(인턴계획표[[정규화1]:[정규화6]],$Q181,$I$3)&amp;""),1)="⚠",IF($I$3="","",INDEX(인턴계획표[[정규화1]:[정규화6]],$Q181,$I$3)&amp;""),IFERROR(LEFT(IF($I$3="","",INDEX(인턴계획표[[정규화1]:[정규화6]],$Q181,$I$3)&amp;""),FIND(" ",IF($I$3="","",INDEX(인턴계획표[[정규화1]:[정규화6]],$Q181,$I$3)&amp;""))-1),IF($I$3="","",INDEX(인턴계획표[[정규화1]:[정규화6]],$Q181,$I$3)&amp;"")))))</f>
        <v/>
      </c>
      <c r="I181">
        <f>IF($Q181="","",IF(IF($I$3="","",INDEX(인턴계획표[[정규화1]:[정규화6]],$Q181,$I$3)&amp;"")="","",IF(LEFT(IF($I$3="","",INDEX(인턴계획표[[정규화1]:[정규화6]],$Q181,$I$3)&amp;""),1)="⚠","",IFERROR(MID(IF($I$3="","",INDEX(인턴계획표[[정규화1]:[정규화6]],$Q181,$I$3)&amp;""),FIND(" ",IF($I$3="","",INDEX(인턴계획표[[정규화1]:[정규화6]],$Q181,$I$3)&amp;""))+1,60),""))))</f>
        <v/>
      </c>
      <c r="J181">
        <f>IF($Q181="","",INDEX(인턴계획표[정규화1],$Q181))</f>
        <v/>
      </c>
      <c r="K181">
        <f>IF($Q181="","",INDEX(인턴계획표[정규화2],$Q181))</f>
        <v/>
      </c>
      <c r="L181">
        <f>IF($Q181="","",INDEX(인턴계획표[정규화3],$Q181))</f>
        <v/>
      </c>
      <c r="M181">
        <f>IF($Q181="","",INDEX(인턴계획표[정규화4],$Q181))</f>
        <v/>
      </c>
      <c r="N181">
        <f>IF($Q181="","",INDEX(인턴계획표[정규화5],$Q181))</f>
        <v/>
      </c>
      <c r="O181">
        <f>IF($Q181="","",INDEX(인턴계획표[정규화6],$Q181))</f>
        <v/>
      </c>
      <c r="P181">
        <f>IF($Q181="","",INDEX(인턴계획표[입력오류],$Q181))</f>
        <v/>
      </c>
      <c r="Q181" s="17">
        <f>IFERROR(MATCH(176,인턴계획표[표시순번],0),"")</f>
        <v/>
      </c>
    </row>
    <row r="182">
      <c r="A182">
        <f>IF($Q182="","",INDEX(인턴계획표[순번],$Q182)&amp;"")</f>
        <v/>
      </c>
      <c r="B182">
        <f>IF($Q182="","",TRIM(INDEX(인턴계획표[이름],$Q182)&amp;""))</f>
        <v/>
      </c>
      <c r="C182">
        <f>IF($Q182="","",INDEX(인턴계획표[사번],$Q182)&amp;"")</f>
        <v/>
      </c>
      <c r="D182">
        <f>IF($Q182="","",IF(COUNTIF(기본자료표[사번키],INDEX(인턴계획표[사번키],$Q182))&gt;0,"확인","미등록"))</f>
        <v/>
      </c>
      <c r="E182">
        <f>IF($Q182="","",IF(ISNUMBER(INDEX(인턴계획표[입사일(비고)],$Q182)),TEXT(INDEX(인턴계획표[입사일(비고)],$Q182),"yyyy-mm-dd"),INDEX(인턴계획표[입사일(비고)],$Q182)&amp;""))</f>
        <v/>
      </c>
      <c r="F182">
        <f>IF($Q182="","",IF(IF($G$3="","",INDEX(인턴계획표[[정규화1]:[정규화6]],$Q182,$G$3)&amp;"")="","",IF(LEFT(IF($G$3="","",INDEX(인턴계획표[[정규화1]:[정규화6]],$Q182,$G$3)&amp;""),1)="⚠",IF($G$3="","",INDEX(인턴계획표[[정규화1]:[정규화6]],$Q182,$G$3)&amp;""),IFERROR(LEFT(IF($G$3="","",INDEX(인턴계획표[[정규화1]:[정규화6]],$Q182,$G$3)&amp;""),FIND(" ",IF($G$3="","",INDEX(인턴계획표[[정규화1]:[정규화6]],$Q182,$G$3)&amp;""))-1),IF($G$3="","",INDEX(인턴계획표[[정규화1]:[정규화6]],$Q182,$G$3)&amp;"")))))</f>
        <v/>
      </c>
      <c r="G182">
        <f>IF($Q182="","",IF(IF($G$3="","",INDEX(인턴계획표[[정규화1]:[정규화6]],$Q182,$G$3)&amp;"")="","",IF(LEFT(IF($G$3="","",INDEX(인턴계획표[[정규화1]:[정규화6]],$Q182,$G$3)&amp;""),1)="⚠","",IFERROR(MID(IF($G$3="","",INDEX(인턴계획표[[정규화1]:[정규화6]],$Q182,$G$3)&amp;""),FIND(" ",IF($G$3="","",INDEX(인턴계획표[[정규화1]:[정규화6]],$Q182,$G$3)&amp;""))+1,60),""))))</f>
        <v/>
      </c>
      <c r="H182">
        <f>IF($Q182="","",IF(IF($I$3="","",INDEX(인턴계획표[[정규화1]:[정규화6]],$Q182,$I$3)&amp;"")="","",IF(LEFT(IF($I$3="","",INDEX(인턴계획표[[정규화1]:[정규화6]],$Q182,$I$3)&amp;""),1)="⚠",IF($I$3="","",INDEX(인턴계획표[[정규화1]:[정규화6]],$Q182,$I$3)&amp;""),IFERROR(LEFT(IF($I$3="","",INDEX(인턴계획표[[정규화1]:[정규화6]],$Q182,$I$3)&amp;""),FIND(" ",IF($I$3="","",INDEX(인턴계획표[[정규화1]:[정규화6]],$Q182,$I$3)&amp;""))-1),IF($I$3="","",INDEX(인턴계획표[[정규화1]:[정규화6]],$Q182,$I$3)&amp;"")))))</f>
        <v/>
      </c>
      <c r="I182">
        <f>IF($Q182="","",IF(IF($I$3="","",INDEX(인턴계획표[[정규화1]:[정규화6]],$Q182,$I$3)&amp;"")="","",IF(LEFT(IF($I$3="","",INDEX(인턴계획표[[정규화1]:[정규화6]],$Q182,$I$3)&amp;""),1)="⚠","",IFERROR(MID(IF($I$3="","",INDEX(인턴계획표[[정규화1]:[정규화6]],$Q182,$I$3)&amp;""),FIND(" ",IF($I$3="","",INDEX(인턴계획표[[정규화1]:[정규화6]],$Q182,$I$3)&amp;""))+1,60),""))))</f>
        <v/>
      </c>
      <c r="J182">
        <f>IF($Q182="","",INDEX(인턴계획표[정규화1],$Q182))</f>
        <v/>
      </c>
      <c r="K182">
        <f>IF($Q182="","",INDEX(인턴계획표[정규화2],$Q182))</f>
        <v/>
      </c>
      <c r="L182">
        <f>IF($Q182="","",INDEX(인턴계획표[정규화3],$Q182))</f>
        <v/>
      </c>
      <c r="M182">
        <f>IF($Q182="","",INDEX(인턴계획표[정규화4],$Q182))</f>
        <v/>
      </c>
      <c r="N182">
        <f>IF($Q182="","",INDEX(인턴계획표[정규화5],$Q182))</f>
        <v/>
      </c>
      <c r="O182">
        <f>IF($Q182="","",INDEX(인턴계획표[정규화6],$Q182))</f>
        <v/>
      </c>
      <c r="P182">
        <f>IF($Q182="","",INDEX(인턴계획표[입력오류],$Q182))</f>
        <v/>
      </c>
      <c r="Q182" s="17">
        <f>IFERROR(MATCH(177,인턴계획표[표시순번],0),"")</f>
        <v/>
      </c>
    </row>
    <row r="183">
      <c r="A183">
        <f>IF($Q183="","",INDEX(인턴계획표[순번],$Q183)&amp;"")</f>
        <v/>
      </c>
      <c r="B183">
        <f>IF($Q183="","",TRIM(INDEX(인턴계획표[이름],$Q183)&amp;""))</f>
        <v/>
      </c>
      <c r="C183">
        <f>IF($Q183="","",INDEX(인턴계획표[사번],$Q183)&amp;"")</f>
        <v/>
      </c>
      <c r="D183">
        <f>IF($Q183="","",IF(COUNTIF(기본자료표[사번키],INDEX(인턴계획표[사번키],$Q183))&gt;0,"확인","미등록"))</f>
        <v/>
      </c>
      <c r="E183">
        <f>IF($Q183="","",IF(ISNUMBER(INDEX(인턴계획표[입사일(비고)],$Q183)),TEXT(INDEX(인턴계획표[입사일(비고)],$Q183),"yyyy-mm-dd"),INDEX(인턴계획표[입사일(비고)],$Q183)&amp;""))</f>
        <v/>
      </c>
      <c r="F183">
        <f>IF($Q183="","",IF(IF($G$3="","",INDEX(인턴계획표[[정규화1]:[정규화6]],$Q183,$G$3)&amp;"")="","",IF(LEFT(IF($G$3="","",INDEX(인턴계획표[[정규화1]:[정규화6]],$Q183,$G$3)&amp;""),1)="⚠",IF($G$3="","",INDEX(인턴계획표[[정규화1]:[정규화6]],$Q183,$G$3)&amp;""),IFERROR(LEFT(IF($G$3="","",INDEX(인턴계획표[[정규화1]:[정규화6]],$Q183,$G$3)&amp;""),FIND(" ",IF($G$3="","",INDEX(인턴계획표[[정규화1]:[정규화6]],$Q183,$G$3)&amp;""))-1),IF($G$3="","",INDEX(인턴계획표[[정규화1]:[정규화6]],$Q183,$G$3)&amp;"")))))</f>
        <v/>
      </c>
      <c r="G183">
        <f>IF($Q183="","",IF(IF($G$3="","",INDEX(인턴계획표[[정규화1]:[정규화6]],$Q183,$G$3)&amp;"")="","",IF(LEFT(IF($G$3="","",INDEX(인턴계획표[[정규화1]:[정규화6]],$Q183,$G$3)&amp;""),1)="⚠","",IFERROR(MID(IF($G$3="","",INDEX(인턴계획표[[정규화1]:[정규화6]],$Q183,$G$3)&amp;""),FIND(" ",IF($G$3="","",INDEX(인턴계획표[[정규화1]:[정규화6]],$Q183,$G$3)&amp;""))+1,60),""))))</f>
        <v/>
      </c>
      <c r="H183">
        <f>IF($Q183="","",IF(IF($I$3="","",INDEX(인턴계획표[[정규화1]:[정규화6]],$Q183,$I$3)&amp;"")="","",IF(LEFT(IF($I$3="","",INDEX(인턴계획표[[정규화1]:[정규화6]],$Q183,$I$3)&amp;""),1)="⚠",IF($I$3="","",INDEX(인턴계획표[[정규화1]:[정규화6]],$Q183,$I$3)&amp;""),IFERROR(LEFT(IF($I$3="","",INDEX(인턴계획표[[정규화1]:[정규화6]],$Q183,$I$3)&amp;""),FIND(" ",IF($I$3="","",INDEX(인턴계획표[[정규화1]:[정규화6]],$Q183,$I$3)&amp;""))-1),IF($I$3="","",INDEX(인턴계획표[[정규화1]:[정규화6]],$Q183,$I$3)&amp;"")))))</f>
        <v/>
      </c>
      <c r="I183">
        <f>IF($Q183="","",IF(IF($I$3="","",INDEX(인턴계획표[[정규화1]:[정규화6]],$Q183,$I$3)&amp;"")="","",IF(LEFT(IF($I$3="","",INDEX(인턴계획표[[정규화1]:[정규화6]],$Q183,$I$3)&amp;""),1)="⚠","",IFERROR(MID(IF($I$3="","",INDEX(인턴계획표[[정규화1]:[정규화6]],$Q183,$I$3)&amp;""),FIND(" ",IF($I$3="","",INDEX(인턴계획표[[정규화1]:[정규화6]],$Q183,$I$3)&amp;""))+1,60),""))))</f>
        <v/>
      </c>
      <c r="J183">
        <f>IF($Q183="","",INDEX(인턴계획표[정규화1],$Q183))</f>
        <v/>
      </c>
      <c r="K183">
        <f>IF($Q183="","",INDEX(인턴계획표[정규화2],$Q183))</f>
        <v/>
      </c>
      <c r="L183">
        <f>IF($Q183="","",INDEX(인턴계획표[정규화3],$Q183))</f>
        <v/>
      </c>
      <c r="M183">
        <f>IF($Q183="","",INDEX(인턴계획표[정규화4],$Q183))</f>
        <v/>
      </c>
      <c r="N183">
        <f>IF($Q183="","",INDEX(인턴계획표[정규화5],$Q183))</f>
        <v/>
      </c>
      <c r="O183">
        <f>IF($Q183="","",INDEX(인턴계획표[정규화6],$Q183))</f>
        <v/>
      </c>
      <c r="P183">
        <f>IF($Q183="","",INDEX(인턴계획표[입력오류],$Q183))</f>
        <v/>
      </c>
      <c r="Q183" s="17">
        <f>IFERROR(MATCH(178,인턴계획표[표시순번],0),"")</f>
        <v/>
      </c>
    </row>
    <row r="184">
      <c r="A184">
        <f>IF($Q184="","",INDEX(인턴계획표[순번],$Q184)&amp;"")</f>
        <v/>
      </c>
      <c r="B184">
        <f>IF($Q184="","",TRIM(INDEX(인턴계획표[이름],$Q184)&amp;""))</f>
        <v/>
      </c>
      <c r="C184">
        <f>IF($Q184="","",INDEX(인턴계획표[사번],$Q184)&amp;"")</f>
        <v/>
      </c>
      <c r="D184">
        <f>IF($Q184="","",IF(COUNTIF(기본자료표[사번키],INDEX(인턴계획표[사번키],$Q184))&gt;0,"확인","미등록"))</f>
        <v/>
      </c>
      <c r="E184">
        <f>IF($Q184="","",IF(ISNUMBER(INDEX(인턴계획표[입사일(비고)],$Q184)),TEXT(INDEX(인턴계획표[입사일(비고)],$Q184),"yyyy-mm-dd"),INDEX(인턴계획표[입사일(비고)],$Q184)&amp;""))</f>
        <v/>
      </c>
      <c r="F184">
        <f>IF($Q184="","",IF(IF($G$3="","",INDEX(인턴계획표[[정규화1]:[정규화6]],$Q184,$G$3)&amp;"")="","",IF(LEFT(IF($G$3="","",INDEX(인턴계획표[[정규화1]:[정규화6]],$Q184,$G$3)&amp;""),1)="⚠",IF($G$3="","",INDEX(인턴계획표[[정규화1]:[정규화6]],$Q184,$G$3)&amp;""),IFERROR(LEFT(IF($G$3="","",INDEX(인턴계획표[[정규화1]:[정규화6]],$Q184,$G$3)&amp;""),FIND(" ",IF($G$3="","",INDEX(인턴계획표[[정규화1]:[정규화6]],$Q184,$G$3)&amp;""))-1),IF($G$3="","",INDEX(인턴계획표[[정규화1]:[정규화6]],$Q184,$G$3)&amp;"")))))</f>
        <v/>
      </c>
      <c r="G184">
        <f>IF($Q184="","",IF(IF($G$3="","",INDEX(인턴계획표[[정규화1]:[정규화6]],$Q184,$G$3)&amp;"")="","",IF(LEFT(IF($G$3="","",INDEX(인턴계획표[[정규화1]:[정규화6]],$Q184,$G$3)&amp;""),1)="⚠","",IFERROR(MID(IF($G$3="","",INDEX(인턴계획표[[정규화1]:[정규화6]],$Q184,$G$3)&amp;""),FIND(" ",IF($G$3="","",INDEX(인턴계획표[[정규화1]:[정규화6]],$Q184,$G$3)&amp;""))+1,60),""))))</f>
        <v/>
      </c>
      <c r="H184">
        <f>IF($Q184="","",IF(IF($I$3="","",INDEX(인턴계획표[[정규화1]:[정규화6]],$Q184,$I$3)&amp;"")="","",IF(LEFT(IF($I$3="","",INDEX(인턴계획표[[정규화1]:[정규화6]],$Q184,$I$3)&amp;""),1)="⚠",IF($I$3="","",INDEX(인턴계획표[[정규화1]:[정규화6]],$Q184,$I$3)&amp;""),IFERROR(LEFT(IF($I$3="","",INDEX(인턴계획표[[정규화1]:[정규화6]],$Q184,$I$3)&amp;""),FIND(" ",IF($I$3="","",INDEX(인턴계획표[[정규화1]:[정규화6]],$Q184,$I$3)&amp;""))-1),IF($I$3="","",INDEX(인턴계획표[[정규화1]:[정규화6]],$Q184,$I$3)&amp;"")))))</f>
        <v/>
      </c>
      <c r="I184">
        <f>IF($Q184="","",IF(IF($I$3="","",INDEX(인턴계획표[[정규화1]:[정규화6]],$Q184,$I$3)&amp;"")="","",IF(LEFT(IF($I$3="","",INDEX(인턴계획표[[정규화1]:[정규화6]],$Q184,$I$3)&amp;""),1)="⚠","",IFERROR(MID(IF($I$3="","",INDEX(인턴계획표[[정규화1]:[정규화6]],$Q184,$I$3)&amp;""),FIND(" ",IF($I$3="","",INDEX(인턴계획표[[정규화1]:[정규화6]],$Q184,$I$3)&amp;""))+1,60),""))))</f>
        <v/>
      </c>
      <c r="J184">
        <f>IF($Q184="","",INDEX(인턴계획표[정규화1],$Q184))</f>
        <v/>
      </c>
      <c r="K184">
        <f>IF($Q184="","",INDEX(인턴계획표[정규화2],$Q184))</f>
        <v/>
      </c>
      <c r="L184">
        <f>IF($Q184="","",INDEX(인턴계획표[정규화3],$Q184))</f>
        <v/>
      </c>
      <c r="M184">
        <f>IF($Q184="","",INDEX(인턴계획표[정규화4],$Q184))</f>
        <v/>
      </c>
      <c r="N184">
        <f>IF($Q184="","",INDEX(인턴계획표[정규화5],$Q184))</f>
        <v/>
      </c>
      <c r="O184">
        <f>IF($Q184="","",INDEX(인턴계획표[정규화6],$Q184))</f>
        <v/>
      </c>
      <c r="P184">
        <f>IF($Q184="","",INDEX(인턴계획표[입력오류],$Q184))</f>
        <v/>
      </c>
      <c r="Q184" s="17">
        <f>IFERROR(MATCH(179,인턴계획표[표시순번],0),"")</f>
        <v/>
      </c>
    </row>
    <row r="185">
      <c r="A185">
        <f>IF($Q185="","",INDEX(인턴계획표[순번],$Q185)&amp;"")</f>
        <v/>
      </c>
      <c r="B185">
        <f>IF($Q185="","",TRIM(INDEX(인턴계획표[이름],$Q185)&amp;""))</f>
        <v/>
      </c>
      <c r="C185">
        <f>IF($Q185="","",INDEX(인턴계획표[사번],$Q185)&amp;"")</f>
        <v/>
      </c>
      <c r="D185">
        <f>IF($Q185="","",IF(COUNTIF(기본자료표[사번키],INDEX(인턴계획표[사번키],$Q185))&gt;0,"확인","미등록"))</f>
        <v/>
      </c>
      <c r="E185">
        <f>IF($Q185="","",IF(ISNUMBER(INDEX(인턴계획표[입사일(비고)],$Q185)),TEXT(INDEX(인턴계획표[입사일(비고)],$Q185),"yyyy-mm-dd"),INDEX(인턴계획표[입사일(비고)],$Q185)&amp;""))</f>
        <v/>
      </c>
      <c r="F185">
        <f>IF($Q185="","",IF(IF($G$3="","",INDEX(인턴계획표[[정규화1]:[정규화6]],$Q185,$G$3)&amp;"")="","",IF(LEFT(IF($G$3="","",INDEX(인턴계획표[[정규화1]:[정규화6]],$Q185,$G$3)&amp;""),1)="⚠",IF($G$3="","",INDEX(인턴계획표[[정규화1]:[정규화6]],$Q185,$G$3)&amp;""),IFERROR(LEFT(IF($G$3="","",INDEX(인턴계획표[[정규화1]:[정규화6]],$Q185,$G$3)&amp;""),FIND(" ",IF($G$3="","",INDEX(인턴계획표[[정규화1]:[정규화6]],$Q185,$G$3)&amp;""))-1),IF($G$3="","",INDEX(인턴계획표[[정규화1]:[정규화6]],$Q185,$G$3)&amp;"")))))</f>
        <v/>
      </c>
      <c r="G185">
        <f>IF($Q185="","",IF(IF($G$3="","",INDEX(인턴계획표[[정규화1]:[정규화6]],$Q185,$G$3)&amp;"")="","",IF(LEFT(IF($G$3="","",INDEX(인턴계획표[[정규화1]:[정규화6]],$Q185,$G$3)&amp;""),1)="⚠","",IFERROR(MID(IF($G$3="","",INDEX(인턴계획표[[정규화1]:[정규화6]],$Q185,$G$3)&amp;""),FIND(" ",IF($G$3="","",INDEX(인턴계획표[[정규화1]:[정규화6]],$Q185,$G$3)&amp;""))+1,60),""))))</f>
        <v/>
      </c>
      <c r="H185">
        <f>IF($Q185="","",IF(IF($I$3="","",INDEX(인턴계획표[[정규화1]:[정규화6]],$Q185,$I$3)&amp;"")="","",IF(LEFT(IF($I$3="","",INDEX(인턴계획표[[정규화1]:[정규화6]],$Q185,$I$3)&amp;""),1)="⚠",IF($I$3="","",INDEX(인턴계획표[[정규화1]:[정규화6]],$Q185,$I$3)&amp;""),IFERROR(LEFT(IF($I$3="","",INDEX(인턴계획표[[정규화1]:[정규화6]],$Q185,$I$3)&amp;""),FIND(" ",IF($I$3="","",INDEX(인턴계획표[[정규화1]:[정규화6]],$Q185,$I$3)&amp;""))-1),IF($I$3="","",INDEX(인턴계획표[[정규화1]:[정규화6]],$Q185,$I$3)&amp;"")))))</f>
        <v/>
      </c>
      <c r="I185">
        <f>IF($Q185="","",IF(IF($I$3="","",INDEX(인턴계획표[[정규화1]:[정규화6]],$Q185,$I$3)&amp;"")="","",IF(LEFT(IF($I$3="","",INDEX(인턴계획표[[정규화1]:[정규화6]],$Q185,$I$3)&amp;""),1)="⚠","",IFERROR(MID(IF($I$3="","",INDEX(인턴계획표[[정규화1]:[정규화6]],$Q185,$I$3)&amp;""),FIND(" ",IF($I$3="","",INDEX(인턴계획표[[정규화1]:[정규화6]],$Q185,$I$3)&amp;""))+1,60),""))))</f>
        <v/>
      </c>
      <c r="J185">
        <f>IF($Q185="","",INDEX(인턴계획표[정규화1],$Q185))</f>
        <v/>
      </c>
      <c r="K185">
        <f>IF($Q185="","",INDEX(인턴계획표[정규화2],$Q185))</f>
        <v/>
      </c>
      <c r="L185">
        <f>IF($Q185="","",INDEX(인턴계획표[정규화3],$Q185))</f>
        <v/>
      </c>
      <c r="M185">
        <f>IF($Q185="","",INDEX(인턴계획표[정규화4],$Q185))</f>
        <v/>
      </c>
      <c r="N185">
        <f>IF($Q185="","",INDEX(인턴계획표[정규화5],$Q185))</f>
        <v/>
      </c>
      <c r="O185">
        <f>IF($Q185="","",INDEX(인턴계획표[정규화6],$Q185))</f>
        <v/>
      </c>
      <c r="P185">
        <f>IF($Q185="","",INDEX(인턴계획표[입력오류],$Q185))</f>
        <v/>
      </c>
      <c r="Q185" s="17">
        <f>IFERROR(MATCH(180,인턴계획표[표시순번],0),"")</f>
        <v/>
      </c>
    </row>
    <row r="186">
      <c r="A186">
        <f>IF($Q186="","",INDEX(인턴계획표[순번],$Q186)&amp;"")</f>
        <v/>
      </c>
      <c r="B186">
        <f>IF($Q186="","",TRIM(INDEX(인턴계획표[이름],$Q186)&amp;""))</f>
        <v/>
      </c>
      <c r="C186">
        <f>IF($Q186="","",INDEX(인턴계획표[사번],$Q186)&amp;"")</f>
        <v/>
      </c>
      <c r="D186">
        <f>IF($Q186="","",IF(COUNTIF(기본자료표[사번키],INDEX(인턴계획표[사번키],$Q186))&gt;0,"확인","미등록"))</f>
        <v/>
      </c>
      <c r="E186">
        <f>IF($Q186="","",IF(ISNUMBER(INDEX(인턴계획표[입사일(비고)],$Q186)),TEXT(INDEX(인턴계획표[입사일(비고)],$Q186),"yyyy-mm-dd"),INDEX(인턴계획표[입사일(비고)],$Q186)&amp;""))</f>
        <v/>
      </c>
      <c r="F186">
        <f>IF($Q186="","",IF(IF($G$3="","",INDEX(인턴계획표[[정규화1]:[정규화6]],$Q186,$G$3)&amp;"")="","",IF(LEFT(IF($G$3="","",INDEX(인턴계획표[[정규화1]:[정규화6]],$Q186,$G$3)&amp;""),1)="⚠",IF($G$3="","",INDEX(인턴계획표[[정규화1]:[정규화6]],$Q186,$G$3)&amp;""),IFERROR(LEFT(IF($G$3="","",INDEX(인턴계획표[[정규화1]:[정규화6]],$Q186,$G$3)&amp;""),FIND(" ",IF($G$3="","",INDEX(인턴계획표[[정규화1]:[정규화6]],$Q186,$G$3)&amp;""))-1),IF($G$3="","",INDEX(인턴계획표[[정규화1]:[정규화6]],$Q186,$G$3)&amp;"")))))</f>
        <v/>
      </c>
      <c r="G186">
        <f>IF($Q186="","",IF(IF($G$3="","",INDEX(인턴계획표[[정규화1]:[정규화6]],$Q186,$G$3)&amp;"")="","",IF(LEFT(IF($G$3="","",INDEX(인턴계획표[[정규화1]:[정규화6]],$Q186,$G$3)&amp;""),1)="⚠","",IFERROR(MID(IF($G$3="","",INDEX(인턴계획표[[정규화1]:[정규화6]],$Q186,$G$3)&amp;""),FIND(" ",IF($G$3="","",INDEX(인턴계획표[[정규화1]:[정규화6]],$Q186,$G$3)&amp;""))+1,60),""))))</f>
        <v/>
      </c>
      <c r="H186">
        <f>IF($Q186="","",IF(IF($I$3="","",INDEX(인턴계획표[[정규화1]:[정규화6]],$Q186,$I$3)&amp;"")="","",IF(LEFT(IF($I$3="","",INDEX(인턴계획표[[정규화1]:[정규화6]],$Q186,$I$3)&amp;""),1)="⚠",IF($I$3="","",INDEX(인턴계획표[[정규화1]:[정규화6]],$Q186,$I$3)&amp;""),IFERROR(LEFT(IF($I$3="","",INDEX(인턴계획표[[정규화1]:[정규화6]],$Q186,$I$3)&amp;""),FIND(" ",IF($I$3="","",INDEX(인턴계획표[[정규화1]:[정규화6]],$Q186,$I$3)&amp;""))-1),IF($I$3="","",INDEX(인턴계획표[[정규화1]:[정규화6]],$Q186,$I$3)&amp;"")))))</f>
        <v/>
      </c>
      <c r="I186">
        <f>IF($Q186="","",IF(IF($I$3="","",INDEX(인턴계획표[[정규화1]:[정규화6]],$Q186,$I$3)&amp;"")="","",IF(LEFT(IF($I$3="","",INDEX(인턴계획표[[정규화1]:[정규화6]],$Q186,$I$3)&amp;""),1)="⚠","",IFERROR(MID(IF($I$3="","",INDEX(인턴계획표[[정규화1]:[정규화6]],$Q186,$I$3)&amp;""),FIND(" ",IF($I$3="","",INDEX(인턴계획표[[정규화1]:[정규화6]],$Q186,$I$3)&amp;""))+1,60),""))))</f>
        <v/>
      </c>
      <c r="J186">
        <f>IF($Q186="","",INDEX(인턴계획표[정규화1],$Q186))</f>
        <v/>
      </c>
      <c r="K186">
        <f>IF($Q186="","",INDEX(인턴계획표[정규화2],$Q186))</f>
        <v/>
      </c>
      <c r="L186">
        <f>IF($Q186="","",INDEX(인턴계획표[정규화3],$Q186))</f>
        <v/>
      </c>
      <c r="M186">
        <f>IF($Q186="","",INDEX(인턴계획표[정규화4],$Q186))</f>
        <v/>
      </c>
      <c r="N186">
        <f>IF($Q186="","",INDEX(인턴계획표[정규화5],$Q186))</f>
        <v/>
      </c>
      <c r="O186">
        <f>IF($Q186="","",INDEX(인턴계획표[정규화6],$Q186))</f>
        <v/>
      </c>
      <c r="P186">
        <f>IF($Q186="","",INDEX(인턴계획표[입력오류],$Q186))</f>
        <v/>
      </c>
      <c r="Q186" s="17">
        <f>IFERROR(MATCH(181,인턴계획표[표시순번],0),"")</f>
        <v/>
      </c>
    </row>
    <row r="187">
      <c r="A187">
        <f>IF($Q187="","",INDEX(인턴계획표[순번],$Q187)&amp;"")</f>
        <v/>
      </c>
      <c r="B187">
        <f>IF($Q187="","",TRIM(INDEX(인턴계획표[이름],$Q187)&amp;""))</f>
        <v/>
      </c>
      <c r="C187">
        <f>IF($Q187="","",INDEX(인턴계획표[사번],$Q187)&amp;"")</f>
        <v/>
      </c>
      <c r="D187">
        <f>IF($Q187="","",IF(COUNTIF(기본자료표[사번키],INDEX(인턴계획표[사번키],$Q187))&gt;0,"확인","미등록"))</f>
        <v/>
      </c>
      <c r="E187">
        <f>IF($Q187="","",IF(ISNUMBER(INDEX(인턴계획표[입사일(비고)],$Q187)),TEXT(INDEX(인턴계획표[입사일(비고)],$Q187),"yyyy-mm-dd"),INDEX(인턴계획표[입사일(비고)],$Q187)&amp;""))</f>
        <v/>
      </c>
      <c r="F187">
        <f>IF($Q187="","",IF(IF($G$3="","",INDEX(인턴계획표[[정규화1]:[정규화6]],$Q187,$G$3)&amp;"")="","",IF(LEFT(IF($G$3="","",INDEX(인턴계획표[[정규화1]:[정규화6]],$Q187,$G$3)&amp;""),1)="⚠",IF($G$3="","",INDEX(인턴계획표[[정규화1]:[정규화6]],$Q187,$G$3)&amp;""),IFERROR(LEFT(IF($G$3="","",INDEX(인턴계획표[[정규화1]:[정규화6]],$Q187,$G$3)&amp;""),FIND(" ",IF($G$3="","",INDEX(인턴계획표[[정규화1]:[정규화6]],$Q187,$G$3)&amp;""))-1),IF($G$3="","",INDEX(인턴계획표[[정규화1]:[정규화6]],$Q187,$G$3)&amp;"")))))</f>
        <v/>
      </c>
      <c r="G187">
        <f>IF($Q187="","",IF(IF($G$3="","",INDEX(인턴계획표[[정규화1]:[정규화6]],$Q187,$G$3)&amp;"")="","",IF(LEFT(IF($G$3="","",INDEX(인턴계획표[[정규화1]:[정규화6]],$Q187,$G$3)&amp;""),1)="⚠","",IFERROR(MID(IF($G$3="","",INDEX(인턴계획표[[정규화1]:[정규화6]],$Q187,$G$3)&amp;""),FIND(" ",IF($G$3="","",INDEX(인턴계획표[[정규화1]:[정규화6]],$Q187,$G$3)&amp;""))+1,60),""))))</f>
        <v/>
      </c>
      <c r="H187">
        <f>IF($Q187="","",IF(IF($I$3="","",INDEX(인턴계획표[[정규화1]:[정규화6]],$Q187,$I$3)&amp;"")="","",IF(LEFT(IF($I$3="","",INDEX(인턴계획표[[정규화1]:[정규화6]],$Q187,$I$3)&amp;""),1)="⚠",IF($I$3="","",INDEX(인턴계획표[[정규화1]:[정규화6]],$Q187,$I$3)&amp;""),IFERROR(LEFT(IF($I$3="","",INDEX(인턴계획표[[정규화1]:[정규화6]],$Q187,$I$3)&amp;""),FIND(" ",IF($I$3="","",INDEX(인턴계획표[[정규화1]:[정규화6]],$Q187,$I$3)&amp;""))-1),IF($I$3="","",INDEX(인턴계획표[[정규화1]:[정규화6]],$Q187,$I$3)&amp;"")))))</f>
        <v/>
      </c>
      <c r="I187">
        <f>IF($Q187="","",IF(IF($I$3="","",INDEX(인턴계획표[[정규화1]:[정규화6]],$Q187,$I$3)&amp;"")="","",IF(LEFT(IF($I$3="","",INDEX(인턴계획표[[정규화1]:[정규화6]],$Q187,$I$3)&amp;""),1)="⚠","",IFERROR(MID(IF($I$3="","",INDEX(인턴계획표[[정규화1]:[정규화6]],$Q187,$I$3)&amp;""),FIND(" ",IF($I$3="","",INDEX(인턴계획표[[정규화1]:[정규화6]],$Q187,$I$3)&amp;""))+1,60),""))))</f>
        <v/>
      </c>
      <c r="J187">
        <f>IF($Q187="","",INDEX(인턴계획표[정규화1],$Q187))</f>
        <v/>
      </c>
      <c r="K187">
        <f>IF($Q187="","",INDEX(인턴계획표[정규화2],$Q187))</f>
        <v/>
      </c>
      <c r="L187">
        <f>IF($Q187="","",INDEX(인턴계획표[정규화3],$Q187))</f>
        <v/>
      </c>
      <c r="M187">
        <f>IF($Q187="","",INDEX(인턴계획표[정규화4],$Q187))</f>
        <v/>
      </c>
      <c r="N187">
        <f>IF($Q187="","",INDEX(인턴계획표[정규화5],$Q187))</f>
        <v/>
      </c>
      <c r="O187">
        <f>IF($Q187="","",INDEX(인턴계획표[정규화6],$Q187))</f>
        <v/>
      </c>
      <c r="P187">
        <f>IF($Q187="","",INDEX(인턴계획표[입력오류],$Q187))</f>
        <v/>
      </c>
      <c r="Q187" s="17">
        <f>IFERROR(MATCH(182,인턴계획표[표시순번],0),"")</f>
        <v/>
      </c>
    </row>
    <row r="188">
      <c r="A188">
        <f>IF($Q188="","",INDEX(인턴계획표[순번],$Q188)&amp;"")</f>
        <v/>
      </c>
      <c r="B188">
        <f>IF($Q188="","",TRIM(INDEX(인턴계획표[이름],$Q188)&amp;""))</f>
        <v/>
      </c>
      <c r="C188">
        <f>IF($Q188="","",INDEX(인턴계획표[사번],$Q188)&amp;"")</f>
        <v/>
      </c>
      <c r="D188">
        <f>IF($Q188="","",IF(COUNTIF(기본자료표[사번키],INDEX(인턴계획표[사번키],$Q188))&gt;0,"확인","미등록"))</f>
        <v/>
      </c>
      <c r="E188">
        <f>IF($Q188="","",IF(ISNUMBER(INDEX(인턴계획표[입사일(비고)],$Q188)),TEXT(INDEX(인턴계획표[입사일(비고)],$Q188),"yyyy-mm-dd"),INDEX(인턴계획표[입사일(비고)],$Q188)&amp;""))</f>
        <v/>
      </c>
      <c r="F188">
        <f>IF($Q188="","",IF(IF($G$3="","",INDEX(인턴계획표[[정규화1]:[정규화6]],$Q188,$G$3)&amp;"")="","",IF(LEFT(IF($G$3="","",INDEX(인턴계획표[[정규화1]:[정규화6]],$Q188,$G$3)&amp;""),1)="⚠",IF($G$3="","",INDEX(인턴계획표[[정규화1]:[정규화6]],$Q188,$G$3)&amp;""),IFERROR(LEFT(IF($G$3="","",INDEX(인턴계획표[[정규화1]:[정규화6]],$Q188,$G$3)&amp;""),FIND(" ",IF($G$3="","",INDEX(인턴계획표[[정규화1]:[정규화6]],$Q188,$G$3)&amp;""))-1),IF($G$3="","",INDEX(인턴계획표[[정규화1]:[정규화6]],$Q188,$G$3)&amp;"")))))</f>
        <v/>
      </c>
      <c r="G188">
        <f>IF($Q188="","",IF(IF($G$3="","",INDEX(인턴계획표[[정규화1]:[정규화6]],$Q188,$G$3)&amp;"")="","",IF(LEFT(IF($G$3="","",INDEX(인턴계획표[[정규화1]:[정규화6]],$Q188,$G$3)&amp;""),1)="⚠","",IFERROR(MID(IF($G$3="","",INDEX(인턴계획표[[정규화1]:[정규화6]],$Q188,$G$3)&amp;""),FIND(" ",IF($G$3="","",INDEX(인턴계획표[[정규화1]:[정규화6]],$Q188,$G$3)&amp;""))+1,60),""))))</f>
        <v/>
      </c>
      <c r="H188">
        <f>IF($Q188="","",IF(IF($I$3="","",INDEX(인턴계획표[[정규화1]:[정규화6]],$Q188,$I$3)&amp;"")="","",IF(LEFT(IF($I$3="","",INDEX(인턴계획표[[정규화1]:[정규화6]],$Q188,$I$3)&amp;""),1)="⚠",IF($I$3="","",INDEX(인턴계획표[[정규화1]:[정규화6]],$Q188,$I$3)&amp;""),IFERROR(LEFT(IF($I$3="","",INDEX(인턴계획표[[정규화1]:[정규화6]],$Q188,$I$3)&amp;""),FIND(" ",IF($I$3="","",INDEX(인턴계획표[[정규화1]:[정규화6]],$Q188,$I$3)&amp;""))-1),IF($I$3="","",INDEX(인턴계획표[[정규화1]:[정규화6]],$Q188,$I$3)&amp;"")))))</f>
        <v/>
      </c>
      <c r="I188">
        <f>IF($Q188="","",IF(IF($I$3="","",INDEX(인턴계획표[[정규화1]:[정규화6]],$Q188,$I$3)&amp;"")="","",IF(LEFT(IF($I$3="","",INDEX(인턴계획표[[정규화1]:[정규화6]],$Q188,$I$3)&amp;""),1)="⚠","",IFERROR(MID(IF($I$3="","",INDEX(인턴계획표[[정규화1]:[정규화6]],$Q188,$I$3)&amp;""),FIND(" ",IF($I$3="","",INDEX(인턴계획표[[정규화1]:[정규화6]],$Q188,$I$3)&amp;""))+1,60),""))))</f>
        <v/>
      </c>
      <c r="J188">
        <f>IF($Q188="","",INDEX(인턴계획표[정규화1],$Q188))</f>
        <v/>
      </c>
      <c r="K188">
        <f>IF($Q188="","",INDEX(인턴계획표[정규화2],$Q188))</f>
        <v/>
      </c>
      <c r="L188">
        <f>IF($Q188="","",INDEX(인턴계획표[정규화3],$Q188))</f>
        <v/>
      </c>
      <c r="M188">
        <f>IF($Q188="","",INDEX(인턴계획표[정규화4],$Q188))</f>
        <v/>
      </c>
      <c r="N188">
        <f>IF($Q188="","",INDEX(인턴계획표[정규화5],$Q188))</f>
        <v/>
      </c>
      <c r="O188">
        <f>IF($Q188="","",INDEX(인턴계획표[정규화6],$Q188))</f>
        <v/>
      </c>
      <c r="P188">
        <f>IF($Q188="","",INDEX(인턴계획표[입력오류],$Q188))</f>
        <v/>
      </c>
      <c r="Q188" s="17">
        <f>IFERROR(MATCH(183,인턴계획표[표시순번],0),"")</f>
        <v/>
      </c>
    </row>
    <row r="189">
      <c r="A189">
        <f>IF($Q189="","",INDEX(인턴계획표[순번],$Q189)&amp;"")</f>
        <v/>
      </c>
      <c r="B189">
        <f>IF($Q189="","",TRIM(INDEX(인턴계획표[이름],$Q189)&amp;""))</f>
        <v/>
      </c>
      <c r="C189">
        <f>IF($Q189="","",INDEX(인턴계획표[사번],$Q189)&amp;"")</f>
        <v/>
      </c>
      <c r="D189">
        <f>IF($Q189="","",IF(COUNTIF(기본자료표[사번키],INDEX(인턴계획표[사번키],$Q189))&gt;0,"확인","미등록"))</f>
        <v/>
      </c>
      <c r="E189">
        <f>IF($Q189="","",IF(ISNUMBER(INDEX(인턴계획표[입사일(비고)],$Q189)),TEXT(INDEX(인턴계획표[입사일(비고)],$Q189),"yyyy-mm-dd"),INDEX(인턴계획표[입사일(비고)],$Q189)&amp;""))</f>
        <v/>
      </c>
      <c r="F189">
        <f>IF($Q189="","",IF(IF($G$3="","",INDEX(인턴계획표[[정규화1]:[정규화6]],$Q189,$G$3)&amp;"")="","",IF(LEFT(IF($G$3="","",INDEX(인턴계획표[[정규화1]:[정규화6]],$Q189,$G$3)&amp;""),1)="⚠",IF($G$3="","",INDEX(인턴계획표[[정규화1]:[정규화6]],$Q189,$G$3)&amp;""),IFERROR(LEFT(IF($G$3="","",INDEX(인턴계획표[[정규화1]:[정규화6]],$Q189,$G$3)&amp;""),FIND(" ",IF($G$3="","",INDEX(인턴계획표[[정규화1]:[정규화6]],$Q189,$G$3)&amp;""))-1),IF($G$3="","",INDEX(인턴계획표[[정규화1]:[정규화6]],$Q189,$G$3)&amp;"")))))</f>
        <v/>
      </c>
      <c r="G189">
        <f>IF($Q189="","",IF(IF($G$3="","",INDEX(인턴계획표[[정규화1]:[정규화6]],$Q189,$G$3)&amp;"")="","",IF(LEFT(IF($G$3="","",INDEX(인턴계획표[[정규화1]:[정규화6]],$Q189,$G$3)&amp;""),1)="⚠","",IFERROR(MID(IF($G$3="","",INDEX(인턴계획표[[정규화1]:[정규화6]],$Q189,$G$3)&amp;""),FIND(" ",IF($G$3="","",INDEX(인턴계획표[[정규화1]:[정규화6]],$Q189,$G$3)&amp;""))+1,60),""))))</f>
        <v/>
      </c>
      <c r="H189">
        <f>IF($Q189="","",IF(IF($I$3="","",INDEX(인턴계획표[[정규화1]:[정규화6]],$Q189,$I$3)&amp;"")="","",IF(LEFT(IF($I$3="","",INDEX(인턴계획표[[정규화1]:[정규화6]],$Q189,$I$3)&amp;""),1)="⚠",IF($I$3="","",INDEX(인턴계획표[[정규화1]:[정규화6]],$Q189,$I$3)&amp;""),IFERROR(LEFT(IF($I$3="","",INDEX(인턴계획표[[정규화1]:[정규화6]],$Q189,$I$3)&amp;""),FIND(" ",IF($I$3="","",INDEX(인턴계획표[[정규화1]:[정규화6]],$Q189,$I$3)&amp;""))-1),IF($I$3="","",INDEX(인턴계획표[[정규화1]:[정규화6]],$Q189,$I$3)&amp;"")))))</f>
        <v/>
      </c>
      <c r="I189">
        <f>IF($Q189="","",IF(IF($I$3="","",INDEX(인턴계획표[[정규화1]:[정규화6]],$Q189,$I$3)&amp;"")="","",IF(LEFT(IF($I$3="","",INDEX(인턴계획표[[정규화1]:[정규화6]],$Q189,$I$3)&amp;""),1)="⚠","",IFERROR(MID(IF($I$3="","",INDEX(인턴계획표[[정규화1]:[정규화6]],$Q189,$I$3)&amp;""),FIND(" ",IF($I$3="","",INDEX(인턴계획표[[정규화1]:[정규화6]],$Q189,$I$3)&amp;""))+1,60),""))))</f>
        <v/>
      </c>
      <c r="J189">
        <f>IF($Q189="","",INDEX(인턴계획표[정규화1],$Q189))</f>
        <v/>
      </c>
      <c r="K189">
        <f>IF($Q189="","",INDEX(인턴계획표[정규화2],$Q189))</f>
        <v/>
      </c>
      <c r="L189">
        <f>IF($Q189="","",INDEX(인턴계획표[정규화3],$Q189))</f>
        <v/>
      </c>
      <c r="M189">
        <f>IF($Q189="","",INDEX(인턴계획표[정규화4],$Q189))</f>
        <v/>
      </c>
      <c r="N189">
        <f>IF($Q189="","",INDEX(인턴계획표[정규화5],$Q189))</f>
        <v/>
      </c>
      <c r="O189">
        <f>IF($Q189="","",INDEX(인턴계획표[정규화6],$Q189))</f>
        <v/>
      </c>
      <c r="P189">
        <f>IF($Q189="","",INDEX(인턴계획표[입력오류],$Q189))</f>
        <v/>
      </c>
      <c r="Q189" s="17">
        <f>IFERROR(MATCH(184,인턴계획표[표시순번],0),"")</f>
        <v/>
      </c>
    </row>
    <row r="190">
      <c r="A190">
        <f>IF($Q190="","",INDEX(인턴계획표[순번],$Q190)&amp;"")</f>
        <v/>
      </c>
      <c r="B190">
        <f>IF($Q190="","",TRIM(INDEX(인턴계획표[이름],$Q190)&amp;""))</f>
        <v/>
      </c>
      <c r="C190">
        <f>IF($Q190="","",INDEX(인턴계획표[사번],$Q190)&amp;"")</f>
        <v/>
      </c>
      <c r="D190">
        <f>IF($Q190="","",IF(COUNTIF(기본자료표[사번키],INDEX(인턴계획표[사번키],$Q190))&gt;0,"확인","미등록"))</f>
        <v/>
      </c>
      <c r="E190">
        <f>IF($Q190="","",IF(ISNUMBER(INDEX(인턴계획표[입사일(비고)],$Q190)),TEXT(INDEX(인턴계획표[입사일(비고)],$Q190),"yyyy-mm-dd"),INDEX(인턴계획표[입사일(비고)],$Q190)&amp;""))</f>
        <v/>
      </c>
      <c r="F190">
        <f>IF($Q190="","",IF(IF($G$3="","",INDEX(인턴계획표[[정규화1]:[정규화6]],$Q190,$G$3)&amp;"")="","",IF(LEFT(IF($G$3="","",INDEX(인턴계획표[[정규화1]:[정규화6]],$Q190,$G$3)&amp;""),1)="⚠",IF($G$3="","",INDEX(인턴계획표[[정규화1]:[정규화6]],$Q190,$G$3)&amp;""),IFERROR(LEFT(IF($G$3="","",INDEX(인턴계획표[[정규화1]:[정규화6]],$Q190,$G$3)&amp;""),FIND(" ",IF($G$3="","",INDEX(인턴계획표[[정규화1]:[정규화6]],$Q190,$G$3)&amp;""))-1),IF($G$3="","",INDEX(인턴계획표[[정규화1]:[정규화6]],$Q190,$G$3)&amp;"")))))</f>
        <v/>
      </c>
      <c r="G190">
        <f>IF($Q190="","",IF(IF($G$3="","",INDEX(인턴계획표[[정규화1]:[정규화6]],$Q190,$G$3)&amp;"")="","",IF(LEFT(IF($G$3="","",INDEX(인턴계획표[[정규화1]:[정규화6]],$Q190,$G$3)&amp;""),1)="⚠","",IFERROR(MID(IF($G$3="","",INDEX(인턴계획표[[정규화1]:[정규화6]],$Q190,$G$3)&amp;""),FIND(" ",IF($G$3="","",INDEX(인턴계획표[[정규화1]:[정규화6]],$Q190,$G$3)&amp;""))+1,60),""))))</f>
        <v/>
      </c>
      <c r="H190">
        <f>IF($Q190="","",IF(IF($I$3="","",INDEX(인턴계획표[[정규화1]:[정규화6]],$Q190,$I$3)&amp;"")="","",IF(LEFT(IF($I$3="","",INDEX(인턴계획표[[정규화1]:[정규화6]],$Q190,$I$3)&amp;""),1)="⚠",IF($I$3="","",INDEX(인턴계획표[[정규화1]:[정규화6]],$Q190,$I$3)&amp;""),IFERROR(LEFT(IF($I$3="","",INDEX(인턴계획표[[정규화1]:[정규화6]],$Q190,$I$3)&amp;""),FIND(" ",IF($I$3="","",INDEX(인턴계획표[[정규화1]:[정규화6]],$Q190,$I$3)&amp;""))-1),IF($I$3="","",INDEX(인턴계획표[[정규화1]:[정규화6]],$Q190,$I$3)&amp;"")))))</f>
        <v/>
      </c>
      <c r="I190">
        <f>IF($Q190="","",IF(IF($I$3="","",INDEX(인턴계획표[[정규화1]:[정규화6]],$Q190,$I$3)&amp;"")="","",IF(LEFT(IF($I$3="","",INDEX(인턴계획표[[정규화1]:[정규화6]],$Q190,$I$3)&amp;""),1)="⚠","",IFERROR(MID(IF($I$3="","",INDEX(인턴계획표[[정규화1]:[정규화6]],$Q190,$I$3)&amp;""),FIND(" ",IF($I$3="","",INDEX(인턴계획표[[정규화1]:[정규화6]],$Q190,$I$3)&amp;""))+1,60),""))))</f>
        <v/>
      </c>
      <c r="J190">
        <f>IF($Q190="","",INDEX(인턴계획표[정규화1],$Q190))</f>
        <v/>
      </c>
      <c r="K190">
        <f>IF($Q190="","",INDEX(인턴계획표[정규화2],$Q190))</f>
        <v/>
      </c>
      <c r="L190">
        <f>IF($Q190="","",INDEX(인턴계획표[정규화3],$Q190))</f>
        <v/>
      </c>
      <c r="M190">
        <f>IF($Q190="","",INDEX(인턴계획표[정규화4],$Q190))</f>
        <v/>
      </c>
      <c r="N190">
        <f>IF($Q190="","",INDEX(인턴계획표[정규화5],$Q190))</f>
        <v/>
      </c>
      <c r="O190">
        <f>IF($Q190="","",INDEX(인턴계획표[정규화6],$Q190))</f>
        <v/>
      </c>
      <c r="P190">
        <f>IF($Q190="","",INDEX(인턴계획표[입력오류],$Q190))</f>
        <v/>
      </c>
      <c r="Q190" s="17">
        <f>IFERROR(MATCH(185,인턴계획표[표시순번],0),"")</f>
        <v/>
      </c>
    </row>
    <row r="191">
      <c r="A191">
        <f>IF($Q191="","",INDEX(인턴계획표[순번],$Q191)&amp;"")</f>
        <v/>
      </c>
      <c r="B191">
        <f>IF($Q191="","",TRIM(INDEX(인턴계획표[이름],$Q191)&amp;""))</f>
        <v/>
      </c>
      <c r="C191">
        <f>IF($Q191="","",INDEX(인턴계획표[사번],$Q191)&amp;"")</f>
        <v/>
      </c>
      <c r="D191">
        <f>IF($Q191="","",IF(COUNTIF(기본자료표[사번키],INDEX(인턴계획표[사번키],$Q191))&gt;0,"확인","미등록"))</f>
        <v/>
      </c>
      <c r="E191">
        <f>IF($Q191="","",IF(ISNUMBER(INDEX(인턴계획표[입사일(비고)],$Q191)),TEXT(INDEX(인턴계획표[입사일(비고)],$Q191),"yyyy-mm-dd"),INDEX(인턴계획표[입사일(비고)],$Q191)&amp;""))</f>
        <v/>
      </c>
      <c r="F191">
        <f>IF($Q191="","",IF(IF($G$3="","",INDEX(인턴계획표[[정규화1]:[정규화6]],$Q191,$G$3)&amp;"")="","",IF(LEFT(IF($G$3="","",INDEX(인턴계획표[[정규화1]:[정규화6]],$Q191,$G$3)&amp;""),1)="⚠",IF($G$3="","",INDEX(인턴계획표[[정규화1]:[정규화6]],$Q191,$G$3)&amp;""),IFERROR(LEFT(IF($G$3="","",INDEX(인턴계획표[[정규화1]:[정규화6]],$Q191,$G$3)&amp;""),FIND(" ",IF($G$3="","",INDEX(인턴계획표[[정규화1]:[정규화6]],$Q191,$G$3)&amp;""))-1),IF($G$3="","",INDEX(인턴계획표[[정규화1]:[정규화6]],$Q191,$G$3)&amp;"")))))</f>
        <v/>
      </c>
      <c r="G191">
        <f>IF($Q191="","",IF(IF($G$3="","",INDEX(인턴계획표[[정규화1]:[정규화6]],$Q191,$G$3)&amp;"")="","",IF(LEFT(IF($G$3="","",INDEX(인턴계획표[[정규화1]:[정규화6]],$Q191,$G$3)&amp;""),1)="⚠","",IFERROR(MID(IF($G$3="","",INDEX(인턴계획표[[정규화1]:[정규화6]],$Q191,$G$3)&amp;""),FIND(" ",IF($G$3="","",INDEX(인턴계획표[[정규화1]:[정규화6]],$Q191,$G$3)&amp;""))+1,60),""))))</f>
        <v/>
      </c>
      <c r="H191">
        <f>IF($Q191="","",IF(IF($I$3="","",INDEX(인턴계획표[[정규화1]:[정규화6]],$Q191,$I$3)&amp;"")="","",IF(LEFT(IF($I$3="","",INDEX(인턴계획표[[정규화1]:[정규화6]],$Q191,$I$3)&amp;""),1)="⚠",IF($I$3="","",INDEX(인턴계획표[[정규화1]:[정규화6]],$Q191,$I$3)&amp;""),IFERROR(LEFT(IF($I$3="","",INDEX(인턴계획표[[정규화1]:[정규화6]],$Q191,$I$3)&amp;""),FIND(" ",IF($I$3="","",INDEX(인턴계획표[[정규화1]:[정규화6]],$Q191,$I$3)&amp;""))-1),IF($I$3="","",INDEX(인턴계획표[[정규화1]:[정규화6]],$Q191,$I$3)&amp;"")))))</f>
        <v/>
      </c>
      <c r="I191">
        <f>IF($Q191="","",IF(IF($I$3="","",INDEX(인턴계획표[[정규화1]:[정규화6]],$Q191,$I$3)&amp;"")="","",IF(LEFT(IF($I$3="","",INDEX(인턴계획표[[정규화1]:[정규화6]],$Q191,$I$3)&amp;""),1)="⚠","",IFERROR(MID(IF($I$3="","",INDEX(인턴계획표[[정규화1]:[정규화6]],$Q191,$I$3)&amp;""),FIND(" ",IF($I$3="","",INDEX(인턴계획표[[정규화1]:[정규화6]],$Q191,$I$3)&amp;""))+1,60),""))))</f>
        <v/>
      </c>
      <c r="J191">
        <f>IF($Q191="","",INDEX(인턴계획표[정규화1],$Q191))</f>
        <v/>
      </c>
      <c r="K191">
        <f>IF($Q191="","",INDEX(인턴계획표[정규화2],$Q191))</f>
        <v/>
      </c>
      <c r="L191">
        <f>IF($Q191="","",INDEX(인턴계획표[정규화3],$Q191))</f>
        <v/>
      </c>
      <c r="M191">
        <f>IF($Q191="","",INDEX(인턴계획표[정규화4],$Q191))</f>
        <v/>
      </c>
      <c r="N191">
        <f>IF($Q191="","",INDEX(인턴계획표[정규화5],$Q191))</f>
        <v/>
      </c>
      <c r="O191">
        <f>IF($Q191="","",INDEX(인턴계획표[정규화6],$Q191))</f>
        <v/>
      </c>
      <c r="P191">
        <f>IF($Q191="","",INDEX(인턴계획표[입력오류],$Q191))</f>
        <v/>
      </c>
      <c r="Q191" s="17">
        <f>IFERROR(MATCH(186,인턴계획표[표시순번],0),"")</f>
        <v/>
      </c>
    </row>
    <row r="192">
      <c r="A192">
        <f>IF($Q192="","",INDEX(인턴계획표[순번],$Q192)&amp;"")</f>
        <v/>
      </c>
      <c r="B192">
        <f>IF($Q192="","",TRIM(INDEX(인턴계획표[이름],$Q192)&amp;""))</f>
        <v/>
      </c>
      <c r="C192">
        <f>IF($Q192="","",INDEX(인턴계획표[사번],$Q192)&amp;"")</f>
        <v/>
      </c>
      <c r="D192">
        <f>IF($Q192="","",IF(COUNTIF(기본자료표[사번키],INDEX(인턴계획표[사번키],$Q192))&gt;0,"확인","미등록"))</f>
        <v/>
      </c>
      <c r="E192">
        <f>IF($Q192="","",IF(ISNUMBER(INDEX(인턴계획표[입사일(비고)],$Q192)),TEXT(INDEX(인턴계획표[입사일(비고)],$Q192),"yyyy-mm-dd"),INDEX(인턴계획표[입사일(비고)],$Q192)&amp;""))</f>
        <v/>
      </c>
      <c r="F192">
        <f>IF($Q192="","",IF(IF($G$3="","",INDEX(인턴계획표[[정규화1]:[정규화6]],$Q192,$G$3)&amp;"")="","",IF(LEFT(IF($G$3="","",INDEX(인턴계획표[[정규화1]:[정규화6]],$Q192,$G$3)&amp;""),1)="⚠",IF($G$3="","",INDEX(인턴계획표[[정규화1]:[정규화6]],$Q192,$G$3)&amp;""),IFERROR(LEFT(IF($G$3="","",INDEX(인턴계획표[[정규화1]:[정규화6]],$Q192,$G$3)&amp;""),FIND(" ",IF($G$3="","",INDEX(인턴계획표[[정규화1]:[정규화6]],$Q192,$G$3)&amp;""))-1),IF($G$3="","",INDEX(인턴계획표[[정규화1]:[정규화6]],$Q192,$G$3)&amp;"")))))</f>
        <v/>
      </c>
      <c r="G192">
        <f>IF($Q192="","",IF(IF($G$3="","",INDEX(인턴계획표[[정규화1]:[정규화6]],$Q192,$G$3)&amp;"")="","",IF(LEFT(IF($G$3="","",INDEX(인턴계획표[[정규화1]:[정규화6]],$Q192,$G$3)&amp;""),1)="⚠","",IFERROR(MID(IF($G$3="","",INDEX(인턴계획표[[정규화1]:[정규화6]],$Q192,$G$3)&amp;""),FIND(" ",IF($G$3="","",INDEX(인턴계획표[[정규화1]:[정규화6]],$Q192,$G$3)&amp;""))+1,60),""))))</f>
        <v/>
      </c>
      <c r="H192">
        <f>IF($Q192="","",IF(IF($I$3="","",INDEX(인턴계획표[[정규화1]:[정규화6]],$Q192,$I$3)&amp;"")="","",IF(LEFT(IF($I$3="","",INDEX(인턴계획표[[정규화1]:[정규화6]],$Q192,$I$3)&amp;""),1)="⚠",IF($I$3="","",INDEX(인턴계획표[[정규화1]:[정규화6]],$Q192,$I$3)&amp;""),IFERROR(LEFT(IF($I$3="","",INDEX(인턴계획표[[정규화1]:[정규화6]],$Q192,$I$3)&amp;""),FIND(" ",IF($I$3="","",INDEX(인턴계획표[[정규화1]:[정규화6]],$Q192,$I$3)&amp;""))-1),IF($I$3="","",INDEX(인턴계획표[[정규화1]:[정규화6]],$Q192,$I$3)&amp;"")))))</f>
        <v/>
      </c>
      <c r="I192">
        <f>IF($Q192="","",IF(IF($I$3="","",INDEX(인턴계획표[[정규화1]:[정규화6]],$Q192,$I$3)&amp;"")="","",IF(LEFT(IF($I$3="","",INDEX(인턴계획표[[정규화1]:[정규화6]],$Q192,$I$3)&amp;""),1)="⚠","",IFERROR(MID(IF($I$3="","",INDEX(인턴계획표[[정규화1]:[정규화6]],$Q192,$I$3)&amp;""),FIND(" ",IF($I$3="","",INDEX(인턴계획표[[정규화1]:[정규화6]],$Q192,$I$3)&amp;""))+1,60),""))))</f>
        <v/>
      </c>
      <c r="J192">
        <f>IF($Q192="","",INDEX(인턴계획표[정규화1],$Q192))</f>
        <v/>
      </c>
      <c r="K192">
        <f>IF($Q192="","",INDEX(인턴계획표[정규화2],$Q192))</f>
        <v/>
      </c>
      <c r="L192">
        <f>IF($Q192="","",INDEX(인턴계획표[정규화3],$Q192))</f>
        <v/>
      </c>
      <c r="M192">
        <f>IF($Q192="","",INDEX(인턴계획표[정규화4],$Q192))</f>
        <v/>
      </c>
      <c r="N192">
        <f>IF($Q192="","",INDEX(인턴계획표[정규화5],$Q192))</f>
        <v/>
      </c>
      <c r="O192">
        <f>IF($Q192="","",INDEX(인턴계획표[정규화6],$Q192))</f>
        <v/>
      </c>
      <c r="P192">
        <f>IF($Q192="","",INDEX(인턴계획표[입력오류],$Q192))</f>
        <v/>
      </c>
      <c r="Q192" s="17">
        <f>IFERROR(MATCH(187,인턴계획표[표시순번],0),"")</f>
        <v/>
      </c>
    </row>
    <row r="193">
      <c r="A193">
        <f>IF($Q193="","",INDEX(인턴계획표[순번],$Q193)&amp;"")</f>
        <v/>
      </c>
      <c r="B193">
        <f>IF($Q193="","",TRIM(INDEX(인턴계획표[이름],$Q193)&amp;""))</f>
        <v/>
      </c>
      <c r="C193">
        <f>IF($Q193="","",INDEX(인턴계획표[사번],$Q193)&amp;"")</f>
        <v/>
      </c>
      <c r="D193">
        <f>IF($Q193="","",IF(COUNTIF(기본자료표[사번키],INDEX(인턴계획표[사번키],$Q193))&gt;0,"확인","미등록"))</f>
        <v/>
      </c>
      <c r="E193">
        <f>IF($Q193="","",IF(ISNUMBER(INDEX(인턴계획표[입사일(비고)],$Q193)),TEXT(INDEX(인턴계획표[입사일(비고)],$Q193),"yyyy-mm-dd"),INDEX(인턴계획표[입사일(비고)],$Q193)&amp;""))</f>
        <v/>
      </c>
      <c r="F193">
        <f>IF($Q193="","",IF(IF($G$3="","",INDEX(인턴계획표[[정규화1]:[정규화6]],$Q193,$G$3)&amp;"")="","",IF(LEFT(IF($G$3="","",INDEX(인턴계획표[[정규화1]:[정규화6]],$Q193,$G$3)&amp;""),1)="⚠",IF($G$3="","",INDEX(인턴계획표[[정규화1]:[정규화6]],$Q193,$G$3)&amp;""),IFERROR(LEFT(IF($G$3="","",INDEX(인턴계획표[[정규화1]:[정규화6]],$Q193,$G$3)&amp;""),FIND(" ",IF($G$3="","",INDEX(인턴계획표[[정규화1]:[정규화6]],$Q193,$G$3)&amp;""))-1),IF($G$3="","",INDEX(인턴계획표[[정규화1]:[정규화6]],$Q193,$G$3)&amp;"")))))</f>
        <v/>
      </c>
      <c r="G193">
        <f>IF($Q193="","",IF(IF($G$3="","",INDEX(인턴계획표[[정규화1]:[정규화6]],$Q193,$G$3)&amp;"")="","",IF(LEFT(IF($G$3="","",INDEX(인턴계획표[[정규화1]:[정규화6]],$Q193,$G$3)&amp;""),1)="⚠","",IFERROR(MID(IF($G$3="","",INDEX(인턴계획표[[정규화1]:[정규화6]],$Q193,$G$3)&amp;""),FIND(" ",IF($G$3="","",INDEX(인턴계획표[[정규화1]:[정규화6]],$Q193,$G$3)&amp;""))+1,60),""))))</f>
        <v/>
      </c>
      <c r="H193">
        <f>IF($Q193="","",IF(IF($I$3="","",INDEX(인턴계획표[[정규화1]:[정규화6]],$Q193,$I$3)&amp;"")="","",IF(LEFT(IF($I$3="","",INDEX(인턴계획표[[정규화1]:[정규화6]],$Q193,$I$3)&amp;""),1)="⚠",IF($I$3="","",INDEX(인턴계획표[[정규화1]:[정규화6]],$Q193,$I$3)&amp;""),IFERROR(LEFT(IF($I$3="","",INDEX(인턴계획표[[정규화1]:[정규화6]],$Q193,$I$3)&amp;""),FIND(" ",IF($I$3="","",INDEX(인턴계획표[[정규화1]:[정규화6]],$Q193,$I$3)&amp;""))-1),IF($I$3="","",INDEX(인턴계획표[[정규화1]:[정규화6]],$Q193,$I$3)&amp;"")))))</f>
        <v/>
      </c>
      <c r="I193">
        <f>IF($Q193="","",IF(IF($I$3="","",INDEX(인턴계획표[[정규화1]:[정규화6]],$Q193,$I$3)&amp;"")="","",IF(LEFT(IF($I$3="","",INDEX(인턴계획표[[정규화1]:[정규화6]],$Q193,$I$3)&amp;""),1)="⚠","",IFERROR(MID(IF($I$3="","",INDEX(인턴계획표[[정규화1]:[정규화6]],$Q193,$I$3)&amp;""),FIND(" ",IF($I$3="","",INDEX(인턴계획표[[정규화1]:[정규화6]],$Q193,$I$3)&amp;""))+1,60),""))))</f>
        <v/>
      </c>
      <c r="J193">
        <f>IF($Q193="","",INDEX(인턴계획표[정규화1],$Q193))</f>
        <v/>
      </c>
      <c r="K193">
        <f>IF($Q193="","",INDEX(인턴계획표[정규화2],$Q193))</f>
        <v/>
      </c>
      <c r="L193">
        <f>IF($Q193="","",INDEX(인턴계획표[정규화3],$Q193))</f>
        <v/>
      </c>
      <c r="M193">
        <f>IF($Q193="","",INDEX(인턴계획표[정규화4],$Q193))</f>
        <v/>
      </c>
      <c r="N193">
        <f>IF($Q193="","",INDEX(인턴계획표[정규화5],$Q193))</f>
        <v/>
      </c>
      <c r="O193">
        <f>IF($Q193="","",INDEX(인턴계획표[정규화6],$Q193))</f>
        <v/>
      </c>
      <c r="P193">
        <f>IF($Q193="","",INDEX(인턴계획표[입력오류],$Q193))</f>
        <v/>
      </c>
      <c r="Q193" s="17">
        <f>IFERROR(MATCH(188,인턴계획표[표시순번],0),"")</f>
        <v/>
      </c>
    </row>
    <row r="194">
      <c r="A194">
        <f>IF($Q194="","",INDEX(인턴계획표[순번],$Q194)&amp;"")</f>
        <v/>
      </c>
      <c r="B194">
        <f>IF($Q194="","",TRIM(INDEX(인턴계획표[이름],$Q194)&amp;""))</f>
        <v/>
      </c>
      <c r="C194">
        <f>IF($Q194="","",INDEX(인턴계획표[사번],$Q194)&amp;"")</f>
        <v/>
      </c>
      <c r="D194">
        <f>IF($Q194="","",IF(COUNTIF(기본자료표[사번키],INDEX(인턴계획표[사번키],$Q194))&gt;0,"확인","미등록"))</f>
        <v/>
      </c>
      <c r="E194">
        <f>IF($Q194="","",IF(ISNUMBER(INDEX(인턴계획표[입사일(비고)],$Q194)),TEXT(INDEX(인턴계획표[입사일(비고)],$Q194),"yyyy-mm-dd"),INDEX(인턴계획표[입사일(비고)],$Q194)&amp;""))</f>
        <v/>
      </c>
      <c r="F194">
        <f>IF($Q194="","",IF(IF($G$3="","",INDEX(인턴계획표[[정규화1]:[정규화6]],$Q194,$G$3)&amp;"")="","",IF(LEFT(IF($G$3="","",INDEX(인턴계획표[[정규화1]:[정규화6]],$Q194,$G$3)&amp;""),1)="⚠",IF($G$3="","",INDEX(인턴계획표[[정규화1]:[정규화6]],$Q194,$G$3)&amp;""),IFERROR(LEFT(IF($G$3="","",INDEX(인턴계획표[[정규화1]:[정규화6]],$Q194,$G$3)&amp;""),FIND(" ",IF($G$3="","",INDEX(인턴계획표[[정규화1]:[정규화6]],$Q194,$G$3)&amp;""))-1),IF($G$3="","",INDEX(인턴계획표[[정규화1]:[정규화6]],$Q194,$G$3)&amp;"")))))</f>
        <v/>
      </c>
      <c r="G194">
        <f>IF($Q194="","",IF(IF($G$3="","",INDEX(인턴계획표[[정규화1]:[정규화6]],$Q194,$G$3)&amp;"")="","",IF(LEFT(IF($G$3="","",INDEX(인턴계획표[[정규화1]:[정규화6]],$Q194,$G$3)&amp;""),1)="⚠","",IFERROR(MID(IF($G$3="","",INDEX(인턴계획표[[정규화1]:[정규화6]],$Q194,$G$3)&amp;""),FIND(" ",IF($G$3="","",INDEX(인턴계획표[[정규화1]:[정규화6]],$Q194,$G$3)&amp;""))+1,60),""))))</f>
        <v/>
      </c>
      <c r="H194">
        <f>IF($Q194="","",IF(IF($I$3="","",INDEX(인턴계획표[[정규화1]:[정규화6]],$Q194,$I$3)&amp;"")="","",IF(LEFT(IF($I$3="","",INDEX(인턴계획표[[정규화1]:[정규화6]],$Q194,$I$3)&amp;""),1)="⚠",IF($I$3="","",INDEX(인턴계획표[[정규화1]:[정규화6]],$Q194,$I$3)&amp;""),IFERROR(LEFT(IF($I$3="","",INDEX(인턴계획표[[정규화1]:[정규화6]],$Q194,$I$3)&amp;""),FIND(" ",IF($I$3="","",INDEX(인턴계획표[[정규화1]:[정규화6]],$Q194,$I$3)&amp;""))-1),IF($I$3="","",INDEX(인턴계획표[[정규화1]:[정규화6]],$Q194,$I$3)&amp;"")))))</f>
        <v/>
      </c>
      <c r="I194">
        <f>IF($Q194="","",IF(IF($I$3="","",INDEX(인턴계획표[[정규화1]:[정규화6]],$Q194,$I$3)&amp;"")="","",IF(LEFT(IF($I$3="","",INDEX(인턴계획표[[정규화1]:[정규화6]],$Q194,$I$3)&amp;""),1)="⚠","",IFERROR(MID(IF($I$3="","",INDEX(인턴계획표[[정규화1]:[정규화6]],$Q194,$I$3)&amp;""),FIND(" ",IF($I$3="","",INDEX(인턴계획표[[정규화1]:[정규화6]],$Q194,$I$3)&amp;""))+1,60),""))))</f>
        <v/>
      </c>
      <c r="J194">
        <f>IF($Q194="","",INDEX(인턴계획표[정규화1],$Q194))</f>
        <v/>
      </c>
      <c r="K194">
        <f>IF($Q194="","",INDEX(인턴계획표[정규화2],$Q194))</f>
        <v/>
      </c>
      <c r="L194">
        <f>IF($Q194="","",INDEX(인턴계획표[정규화3],$Q194))</f>
        <v/>
      </c>
      <c r="M194">
        <f>IF($Q194="","",INDEX(인턴계획표[정규화4],$Q194))</f>
        <v/>
      </c>
      <c r="N194">
        <f>IF($Q194="","",INDEX(인턴계획표[정규화5],$Q194))</f>
        <v/>
      </c>
      <c r="O194">
        <f>IF($Q194="","",INDEX(인턴계획표[정규화6],$Q194))</f>
        <v/>
      </c>
      <c r="P194">
        <f>IF($Q194="","",INDEX(인턴계획표[입력오류],$Q194))</f>
        <v/>
      </c>
      <c r="Q194" s="17">
        <f>IFERROR(MATCH(189,인턴계획표[표시순번],0),"")</f>
        <v/>
      </c>
    </row>
    <row r="195">
      <c r="A195">
        <f>IF($Q195="","",INDEX(인턴계획표[순번],$Q195)&amp;"")</f>
        <v/>
      </c>
      <c r="B195">
        <f>IF($Q195="","",TRIM(INDEX(인턴계획표[이름],$Q195)&amp;""))</f>
        <v/>
      </c>
      <c r="C195">
        <f>IF($Q195="","",INDEX(인턴계획표[사번],$Q195)&amp;"")</f>
        <v/>
      </c>
      <c r="D195">
        <f>IF($Q195="","",IF(COUNTIF(기본자료표[사번키],INDEX(인턴계획표[사번키],$Q195))&gt;0,"확인","미등록"))</f>
        <v/>
      </c>
      <c r="E195">
        <f>IF($Q195="","",IF(ISNUMBER(INDEX(인턴계획표[입사일(비고)],$Q195)),TEXT(INDEX(인턴계획표[입사일(비고)],$Q195),"yyyy-mm-dd"),INDEX(인턴계획표[입사일(비고)],$Q195)&amp;""))</f>
        <v/>
      </c>
      <c r="F195">
        <f>IF($Q195="","",IF(IF($G$3="","",INDEX(인턴계획표[[정규화1]:[정규화6]],$Q195,$G$3)&amp;"")="","",IF(LEFT(IF($G$3="","",INDEX(인턴계획표[[정규화1]:[정규화6]],$Q195,$G$3)&amp;""),1)="⚠",IF($G$3="","",INDEX(인턴계획표[[정규화1]:[정규화6]],$Q195,$G$3)&amp;""),IFERROR(LEFT(IF($G$3="","",INDEX(인턴계획표[[정규화1]:[정규화6]],$Q195,$G$3)&amp;""),FIND(" ",IF($G$3="","",INDEX(인턴계획표[[정규화1]:[정규화6]],$Q195,$G$3)&amp;""))-1),IF($G$3="","",INDEX(인턴계획표[[정규화1]:[정규화6]],$Q195,$G$3)&amp;"")))))</f>
        <v/>
      </c>
      <c r="G195">
        <f>IF($Q195="","",IF(IF($G$3="","",INDEX(인턴계획표[[정규화1]:[정규화6]],$Q195,$G$3)&amp;"")="","",IF(LEFT(IF($G$3="","",INDEX(인턴계획표[[정규화1]:[정규화6]],$Q195,$G$3)&amp;""),1)="⚠","",IFERROR(MID(IF($G$3="","",INDEX(인턴계획표[[정규화1]:[정규화6]],$Q195,$G$3)&amp;""),FIND(" ",IF($G$3="","",INDEX(인턴계획표[[정규화1]:[정규화6]],$Q195,$G$3)&amp;""))+1,60),""))))</f>
        <v/>
      </c>
      <c r="H195">
        <f>IF($Q195="","",IF(IF($I$3="","",INDEX(인턴계획표[[정규화1]:[정규화6]],$Q195,$I$3)&amp;"")="","",IF(LEFT(IF($I$3="","",INDEX(인턴계획표[[정규화1]:[정규화6]],$Q195,$I$3)&amp;""),1)="⚠",IF($I$3="","",INDEX(인턴계획표[[정규화1]:[정규화6]],$Q195,$I$3)&amp;""),IFERROR(LEFT(IF($I$3="","",INDEX(인턴계획표[[정규화1]:[정규화6]],$Q195,$I$3)&amp;""),FIND(" ",IF($I$3="","",INDEX(인턴계획표[[정규화1]:[정규화6]],$Q195,$I$3)&amp;""))-1),IF($I$3="","",INDEX(인턴계획표[[정규화1]:[정규화6]],$Q195,$I$3)&amp;"")))))</f>
        <v/>
      </c>
      <c r="I195">
        <f>IF($Q195="","",IF(IF($I$3="","",INDEX(인턴계획표[[정규화1]:[정규화6]],$Q195,$I$3)&amp;"")="","",IF(LEFT(IF($I$3="","",INDEX(인턴계획표[[정규화1]:[정규화6]],$Q195,$I$3)&amp;""),1)="⚠","",IFERROR(MID(IF($I$3="","",INDEX(인턴계획표[[정규화1]:[정규화6]],$Q195,$I$3)&amp;""),FIND(" ",IF($I$3="","",INDEX(인턴계획표[[정규화1]:[정규화6]],$Q195,$I$3)&amp;""))+1,60),""))))</f>
        <v/>
      </c>
      <c r="J195">
        <f>IF($Q195="","",INDEX(인턴계획표[정규화1],$Q195))</f>
        <v/>
      </c>
      <c r="K195">
        <f>IF($Q195="","",INDEX(인턴계획표[정규화2],$Q195))</f>
        <v/>
      </c>
      <c r="L195">
        <f>IF($Q195="","",INDEX(인턴계획표[정규화3],$Q195))</f>
        <v/>
      </c>
      <c r="M195">
        <f>IF($Q195="","",INDEX(인턴계획표[정규화4],$Q195))</f>
        <v/>
      </c>
      <c r="N195">
        <f>IF($Q195="","",INDEX(인턴계획표[정규화5],$Q195))</f>
        <v/>
      </c>
      <c r="O195">
        <f>IF($Q195="","",INDEX(인턴계획표[정규화6],$Q195))</f>
        <v/>
      </c>
      <c r="P195">
        <f>IF($Q195="","",INDEX(인턴계획표[입력오류],$Q195))</f>
        <v/>
      </c>
      <c r="Q195" s="17">
        <f>IFERROR(MATCH(190,인턴계획표[표시순번],0),"")</f>
        <v/>
      </c>
    </row>
    <row r="196">
      <c r="A196">
        <f>IF($Q196="","",INDEX(인턴계획표[순번],$Q196)&amp;"")</f>
        <v/>
      </c>
      <c r="B196">
        <f>IF($Q196="","",TRIM(INDEX(인턴계획표[이름],$Q196)&amp;""))</f>
        <v/>
      </c>
      <c r="C196">
        <f>IF($Q196="","",INDEX(인턴계획표[사번],$Q196)&amp;"")</f>
        <v/>
      </c>
      <c r="D196">
        <f>IF($Q196="","",IF(COUNTIF(기본자료표[사번키],INDEX(인턴계획표[사번키],$Q196))&gt;0,"확인","미등록"))</f>
        <v/>
      </c>
      <c r="E196">
        <f>IF($Q196="","",IF(ISNUMBER(INDEX(인턴계획표[입사일(비고)],$Q196)),TEXT(INDEX(인턴계획표[입사일(비고)],$Q196),"yyyy-mm-dd"),INDEX(인턴계획표[입사일(비고)],$Q196)&amp;""))</f>
        <v/>
      </c>
      <c r="F196">
        <f>IF($Q196="","",IF(IF($G$3="","",INDEX(인턴계획표[[정규화1]:[정규화6]],$Q196,$G$3)&amp;"")="","",IF(LEFT(IF($G$3="","",INDEX(인턴계획표[[정규화1]:[정규화6]],$Q196,$G$3)&amp;""),1)="⚠",IF($G$3="","",INDEX(인턴계획표[[정규화1]:[정규화6]],$Q196,$G$3)&amp;""),IFERROR(LEFT(IF($G$3="","",INDEX(인턴계획표[[정규화1]:[정규화6]],$Q196,$G$3)&amp;""),FIND(" ",IF($G$3="","",INDEX(인턴계획표[[정규화1]:[정규화6]],$Q196,$G$3)&amp;""))-1),IF($G$3="","",INDEX(인턴계획표[[정규화1]:[정규화6]],$Q196,$G$3)&amp;"")))))</f>
        <v/>
      </c>
      <c r="G196">
        <f>IF($Q196="","",IF(IF($G$3="","",INDEX(인턴계획표[[정규화1]:[정규화6]],$Q196,$G$3)&amp;"")="","",IF(LEFT(IF($G$3="","",INDEX(인턴계획표[[정규화1]:[정규화6]],$Q196,$G$3)&amp;""),1)="⚠","",IFERROR(MID(IF($G$3="","",INDEX(인턴계획표[[정규화1]:[정규화6]],$Q196,$G$3)&amp;""),FIND(" ",IF($G$3="","",INDEX(인턴계획표[[정규화1]:[정규화6]],$Q196,$G$3)&amp;""))+1,60),""))))</f>
        <v/>
      </c>
      <c r="H196">
        <f>IF($Q196="","",IF(IF($I$3="","",INDEX(인턴계획표[[정규화1]:[정규화6]],$Q196,$I$3)&amp;"")="","",IF(LEFT(IF($I$3="","",INDEX(인턴계획표[[정규화1]:[정규화6]],$Q196,$I$3)&amp;""),1)="⚠",IF($I$3="","",INDEX(인턴계획표[[정규화1]:[정규화6]],$Q196,$I$3)&amp;""),IFERROR(LEFT(IF($I$3="","",INDEX(인턴계획표[[정규화1]:[정규화6]],$Q196,$I$3)&amp;""),FIND(" ",IF($I$3="","",INDEX(인턴계획표[[정규화1]:[정규화6]],$Q196,$I$3)&amp;""))-1),IF($I$3="","",INDEX(인턴계획표[[정규화1]:[정규화6]],$Q196,$I$3)&amp;"")))))</f>
        <v/>
      </c>
      <c r="I196">
        <f>IF($Q196="","",IF(IF($I$3="","",INDEX(인턴계획표[[정규화1]:[정규화6]],$Q196,$I$3)&amp;"")="","",IF(LEFT(IF($I$3="","",INDEX(인턴계획표[[정규화1]:[정규화6]],$Q196,$I$3)&amp;""),1)="⚠","",IFERROR(MID(IF($I$3="","",INDEX(인턴계획표[[정규화1]:[정규화6]],$Q196,$I$3)&amp;""),FIND(" ",IF($I$3="","",INDEX(인턴계획표[[정규화1]:[정규화6]],$Q196,$I$3)&amp;""))+1,60),""))))</f>
        <v/>
      </c>
      <c r="J196">
        <f>IF($Q196="","",INDEX(인턴계획표[정규화1],$Q196))</f>
        <v/>
      </c>
      <c r="K196">
        <f>IF($Q196="","",INDEX(인턴계획표[정규화2],$Q196))</f>
        <v/>
      </c>
      <c r="L196">
        <f>IF($Q196="","",INDEX(인턴계획표[정규화3],$Q196))</f>
        <v/>
      </c>
      <c r="M196">
        <f>IF($Q196="","",INDEX(인턴계획표[정규화4],$Q196))</f>
        <v/>
      </c>
      <c r="N196">
        <f>IF($Q196="","",INDEX(인턴계획표[정규화5],$Q196))</f>
        <v/>
      </c>
      <c r="O196">
        <f>IF($Q196="","",INDEX(인턴계획표[정규화6],$Q196))</f>
        <v/>
      </c>
      <c r="P196">
        <f>IF($Q196="","",INDEX(인턴계획표[입력오류],$Q196))</f>
        <v/>
      </c>
      <c r="Q196" s="17">
        <f>IFERROR(MATCH(191,인턴계획표[표시순번],0),"")</f>
        <v/>
      </c>
    </row>
    <row r="197">
      <c r="A197">
        <f>IF($Q197="","",INDEX(인턴계획표[순번],$Q197)&amp;"")</f>
        <v/>
      </c>
      <c r="B197">
        <f>IF($Q197="","",TRIM(INDEX(인턴계획표[이름],$Q197)&amp;""))</f>
        <v/>
      </c>
      <c r="C197">
        <f>IF($Q197="","",INDEX(인턴계획표[사번],$Q197)&amp;"")</f>
        <v/>
      </c>
      <c r="D197">
        <f>IF($Q197="","",IF(COUNTIF(기본자료표[사번키],INDEX(인턴계획표[사번키],$Q197))&gt;0,"확인","미등록"))</f>
        <v/>
      </c>
      <c r="E197">
        <f>IF($Q197="","",IF(ISNUMBER(INDEX(인턴계획표[입사일(비고)],$Q197)),TEXT(INDEX(인턴계획표[입사일(비고)],$Q197),"yyyy-mm-dd"),INDEX(인턴계획표[입사일(비고)],$Q197)&amp;""))</f>
        <v/>
      </c>
      <c r="F197">
        <f>IF($Q197="","",IF(IF($G$3="","",INDEX(인턴계획표[[정규화1]:[정규화6]],$Q197,$G$3)&amp;"")="","",IF(LEFT(IF($G$3="","",INDEX(인턴계획표[[정규화1]:[정규화6]],$Q197,$G$3)&amp;""),1)="⚠",IF($G$3="","",INDEX(인턴계획표[[정규화1]:[정규화6]],$Q197,$G$3)&amp;""),IFERROR(LEFT(IF($G$3="","",INDEX(인턴계획표[[정규화1]:[정규화6]],$Q197,$G$3)&amp;""),FIND(" ",IF($G$3="","",INDEX(인턴계획표[[정규화1]:[정규화6]],$Q197,$G$3)&amp;""))-1),IF($G$3="","",INDEX(인턴계획표[[정규화1]:[정규화6]],$Q197,$G$3)&amp;"")))))</f>
        <v/>
      </c>
      <c r="G197">
        <f>IF($Q197="","",IF(IF($G$3="","",INDEX(인턴계획표[[정규화1]:[정규화6]],$Q197,$G$3)&amp;"")="","",IF(LEFT(IF($G$3="","",INDEX(인턴계획표[[정규화1]:[정규화6]],$Q197,$G$3)&amp;""),1)="⚠","",IFERROR(MID(IF($G$3="","",INDEX(인턴계획표[[정규화1]:[정규화6]],$Q197,$G$3)&amp;""),FIND(" ",IF($G$3="","",INDEX(인턴계획표[[정규화1]:[정규화6]],$Q197,$G$3)&amp;""))+1,60),""))))</f>
        <v/>
      </c>
      <c r="H197">
        <f>IF($Q197="","",IF(IF($I$3="","",INDEX(인턴계획표[[정규화1]:[정규화6]],$Q197,$I$3)&amp;"")="","",IF(LEFT(IF($I$3="","",INDEX(인턴계획표[[정규화1]:[정규화6]],$Q197,$I$3)&amp;""),1)="⚠",IF($I$3="","",INDEX(인턴계획표[[정규화1]:[정규화6]],$Q197,$I$3)&amp;""),IFERROR(LEFT(IF($I$3="","",INDEX(인턴계획표[[정규화1]:[정규화6]],$Q197,$I$3)&amp;""),FIND(" ",IF($I$3="","",INDEX(인턴계획표[[정규화1]:[정규화6]],$Q197,$I$3)&amp;""))-1),IF($I$3="","",INDEX(인턴계획표[[정규화1]:[정규화6]],$Q197,$I$3)&amp;"")))))</f>
        <v/>
      </c>
      <c r="I197">
        <f>IF($Q197="","",IF(IF($I$3="","",INDEX(인턴계획표[[정규화1]:[정규화6]],$Q197,$I$3)&amp;"")="","",IF(LEFT(IF($I$3="","",INDEX(인턴계획표[[정규화1]:[정규화6]],$Q197,$I$3)&amp;""),1)="⚠","",IFERROR(MID(IF($I$3="","",INDEX(인턴계획표[[정규화1]:[정규화6]],$Q197,$I$3)&amp;""),FIND(" ",IF($I$3="","",INDEX(인턴계획표[[정규화1]:[정규화6]],$Q197,$I$3)&amp;""))+1,60),""))))</f>
        <v/>
      </c>
      <c r="J197">
        <f>IF($Q197="","",INDEX(인턴계획표[정규화1],$Q197))</f>
        <v/>
      </c>
      <c r="K197">
        <f>IF($Q197="","",INDEX(인턴계획표[정규화2],$Q197))</f>
        <v/>
      </c>
      <c r="L197">
        <f>IF($Q197="","",INDEX(인턴계획표[정규화3],$Q197))</f>
        <v/>
      </c>
      <c r="M197">
        <f>IF($Q197="","",INDEX(인턴계획표[정규화4],$Q197))</f>
        <v/>
      </c>
      <c r="N197">
        <f>IF($Q197="","",INDEX(인턴계획표[정규화5],$Q197))</f>
        <v/>
      </c>
      <c r="O197">
        <f>IF($Q197="","",INDEX(인턴계획표[정규화6],$Q197))</f>
        <v/>
      </c>
      <c r="P197">
        <f>IF($Q197="","",INDEX(인턴계획표[입력오류],$Q197))</f>
        <v/>
      </c>
      <c r="Q197" s="17">
        <f>IFERROR(MATCH(192,인턴계획표[표시순번],0),"")</f>
        <v/>
      </c>
    </row>
    <row r="198">
      <c r="A198">
        <f>IF($Q198="","",INDEX(인턴계획표[순번],$Q198)&amp;"")</f>
        <v/>
      </c>
      <c r="B198">
        <f>IF($Q198="","",TRIM(INDEX(인턴계획표[이름],$Q198)&amp;""))</f>
        <v/>
      </c>
      <c r="C198">
        <f>IF($Q198="","",INDEX(인턴계획표[사번],$Q198)&amp;"")</f>
        <v/>
      </c>
      <c r="D198">
        <f>IF($Q198="","",IF(COUNTIF(기본자료표[사번키],INDEX(인턴계획표[사번키],$Q198))&gt;0,"확인","미등록"))</f>
        <v/>
      </c>
      <c r="E198">
        <f>IF($Q198="","",IF(ISNUMBER(INDEX(인턴계획표[입사일(비고)],$Q198)),TEXT(INDEX(인턴계획표[입사일(비고)],$Q198),"yyyy-mm-dd"),INDEX(인턴계획표[입사일(비고)],$Q198)&amp;""))</f>
        <v/>
      </c>
      <c r="F198">
        <f>IF($Q198="","",IF(IF($G$3="","",INDEX(인턴계획표[[정규화1]:[정규화6]],$Q198,$G$3)&amp;"")="","",IF(LEFT(IF($G$3="","",INDEX(인턴계획표[[정규화1]:[정규화6]],$Q198,$G$3)&amp;""),1)="⚠",IF($G$3="","",INDEX(인턴계획표[[정규화1]:[정규화6]],$Q198,$G$3)&amp;""),IFERROR(LEFT(IF($G$3="","",INDEX(인턴계획표[[정규화1]:[정규화6]],$Q198,$G$3)&amp;""),FIND(" ",IF($G$3="","",INDEX(인턴계획표[[정규화1]:[정규화6]],$Q198,$G$3)&amp;""))-1),IF($G$3="","",INDEX(인턴계획표[[정규화1]:[정규화6]],$Q198,$G$3)&amp;"")))))</f>
        <v/>
      </c>
      <c r="G198">
        <f>IF($Q198="","",IF(IF($G$3="","",INDEX(인턴계획표[[정규화1]:[정규화6]],$Q198,$G$3)&amp;"")="","",IF(LEFT(IF($G$3="","",INDEX(인턴계획표[[정규화1]:[정규화6]],$Q198,$G$3)&amp;""),1)="⚠","",IFERROR(MID(IF($G$3="","",INDEX(인턴계획표[[정규화1]:[정규화6]],$Q198,$G$3)&amp;""),FIND(" ",IF($G$3="","",INDEX(인턴계획표[[정규화1]:[정규화6]],$Q198,$G$3)&amp;""))+1,60),""))))</f>
        <v/>
      </c>
      <c r="H198">
        <f>IF($Q198="","",IF(IF($I$3="","",INDEX(인턴계획표[[정규화1]:[정규화6]],$Q198,$I$3)&amp;"")="","",IF(LEFT(IF($I$3="","",INDEX(인턴계획표[[정규화1]:[정규화6]],$Q198,$I$3)&amp;""),1)="⚠",IF($I$3="","",INDEX(인턴계획표[[정규화1]:[정규화6]],$Q198,$I$3)&amp;""),IFERROR(LEFT(IF($I$3="","",INDEX(인턴계획표[[정규화1]:[정규화6]],$Q198,$I$3)&amp;""),FIND(" ",IF($I$3="","",INDEX(인턴계획표[[정규화1]:[정규화6]],$Q198,$I$3)&amp;""))-1),IF($I$3="","",INDEX(인턴계획표[[정규화1]:[정규화6]],$Q198,$I$3)&amp;"")))))</f>
        <v/>
      </c>
      <c r="I198">
        <f>IF($Q198="","",IF(IF($I$3="","",INDEX(인턴계획표[[정규화1]:[정규화6]],$Q198,$I$3)&amp;"")="","",IF(LEFT(IF($I$3="","",INDEX(인턴계획표[[정규화1]:[정규화6]],$Q198,$I$3)&amp;""),1)="⚠","",IFERROR(MID(IF($I$3="","",INDEX(인턴계획표[[정규화1]:[정규화6]],$Q198,$I$3)&amp;""),FIND(" ",IF($I$3="","",INDEX(인턴계획표[[정규화1]:[정규화6]],$Q198,$I$3)&amp;""))+1,60),""))))</f>
        <v/>
      </c>
      <c r="J198">
        <f>IF($Q198="","",INDEX(인턴계획표[정규화1],$Q198))</f>
        <v/>
      </c>
      <c r="K198">
        <f>IF($Q198="","",INDEX(인턴계획표[정규화2],$Q198))</f>
        <v/>
      </c>
      <c r="L198">
        <f>IF($Q198="","",INDEX(인턴계획표[정규화3],$Q198))</f>
        <v/>
      </c>
      <c r="M198">
        <f>IF($Q198="","",INDEX(인턴계획표[정규화4],$Q198))</f>
        <v/>
      </c>
      <c r="N198">
        <f>IF($Q198="","",INDEX(인턴계획표[정규화5],$Q198))</f>
        <v/>
      </c>
      <c r="O198">
        <f>IF($Q198="","",INDEX(인턴계획표[정규화6],$Q198))</f>
        <v/>
      </c>
      <c r="P198">
        <f>IF($Q198="","",INDEX(인턴계획표[입력오류],$Q198))</f>
        <v/>
      </c>
      <c r="Q198" s="17">
        <f>IFERROR(MATCH(193,인턴계획표[표시순번],0),"")</f>
        <v/>
      </c>
    </row>
    <row r="199">
      <c r="A199">
        <f>IF($Q199="","",INDEX(인턴계획표[순번],$Q199)&amp;"")</f>
        <v/>
      </c>
      <c r="B199">
        <f>IF($Q199="","",TRIM(INDEX(인턴계획표[이름],$Q199)&amp;""))</f>
        <v/>
      </c>
      <c r="C199">
        <f>IF($Q199="","",INDEX(인턴계획표[사번],$Q199)&amp;"")</f>
        <v/>
      </c>
      <c r="D199">
        <f>IF($Q199="","",IF(COUNTIF(기본자료표[사번키],INDEX(인턴계획표[사번키],$Q199))&gt;0,"확인","미등록"))</f>
        <v/>
      </c>
      <c r="E199">
        <f>IF($Q199="","",IF(ISNUMBER(INDEX(인턴계획표[입사일(비고)],$Q199)),TEXT(INDEX(인턴계획표[입사일(비고)],$Q199),"yyyy-mm-dd"),INDEX(인턴계획표[입사일(비고)],$Q199)&amp;""))</f>
        <v/>
      </c>
      <c r="F199">
        <f>IF($Q199="","",IF(IF($G$3="","",INDEX(인턴계획표[[정규화1]:[정규화6]],$Q199,$G$3)&amp;"")="","",IF(LEFT(IF($G$3="","",INDEX(인턴계획표[[정규화1]:[정규화6]],$Q199,$G$3)&amp;""),1)="⚠",IF($G$3="","",INDEX(인턴계획표[[정규화1]:[정규화6]],$Q199,$G$3)&amp;""),IFERROR(LEFT(IF($G$3="","",INDEX(인턴계획표[[정규화1]:[정규화6]],$Q199,$G$3)&amp;""),FIND(" ",IF($G$3="","",INDEX(인턴계획표[[정규화1]:[정규화6]],$Q199,$G$3)&amp;""))-1),IF($G$3="","",INDEX(인턴계획표[[정규화1]:[정규화6]],$Q199,$G$3)&amp;"")))))</f>
        <v/>
      </c>
      <c r="G199">
        <f>IF($Q199="","",IF(IF($G$3="","",INDEX(인턴계획표[[정규화1]:[정규화6]],$Q199,$G$3)&amp;"")="","",IF(LEFT(IF($G$3="","",INDEX(인턴계획표[[정규화1]:[정규화6]],$Q199,$G$3)&amp;""),1)="⚠","",IFERROR(MID(IF($G$3="","",INDEX(인턴계획표[[정규화1]:[정규화6]],$Q199,$G$3)&amp;""),FIND(" ",IF($G$3="","",INDEX(인턴계획표[[정규화1]:[정규화6]],$Q199,$G$3)&amp;""))+1,60),""))))</f>
        <v/>
      </c>
      <c r="H199">
        <f>IF($Q199="","",IF(IF($I$3="","",INDEX(인턴계획표[[정규화1]:[정규화6]],$Q199,$I$3)&amp;"")="","",IF(LEFT(IF($I$3="","",INDEX(인턴계획표[[정규화1]:[정규화6]],$Q199,$I$3)&amp;""),1)="⚠",IF($I$3="","",INDEX(인턴계획표[[정규화1]:[정규화6]],$Q199,$I$3)&amp;""),IFERROR(LEFT(IF($I$3="","",INDEX(인턴계획표[[정규화1]:[정규화6]],$Q199,$I$3)&amp;""),FIND(" ",IF($I$3="","",INDEX(인턴계획표[[정규화1]:[정규화6]],$Q199,$I$3)&amp;""))-1),IF($I$3="","",INDEX(인턴계획표[[정규화1]:[정규화6]],$Q199,$I$3)&amp;"")))))</f>
        <v/>
      </c>
      <c r="I199">
        <f>IF($Q199="","",IF(IF($I$3="","",INDEX(인턴계획표[[정규화1]:[정규화6]],$Q199,$I$3)&amp;"")="","",IF(LEFT(IF($I$3="","",INDEX(인턴계획표[[정규화1]:[정규화6]],$Q199,$I$3)&amp;""),1)="⚠","",IFERROR(MID(IF($I$3="","",INDEX(인턴계획표[[정규화1]:[정규화6]],$Q199,$I$3)&amp;""),FIND(" ",IF($I$3="","",INDEX(인턴계획표[[정규화1]:[정규화6]],$Q199,$I$3)&amp;""))+1,60),""))))</f>
        <v/>
      </c>
      <c r="J199">
        <f>IF($Q199="","",INDEX(인턴계획표[정규화1],$Q199))</f>
        <v/>
      </c>
      <c r="K199">
        <f>IF($Q199="","",INDEX(인턴계획표[정규화2],$Q199))</f>
        <v/>
      </c>
      <c r="L199">
        <f>IF($Q199="","",INDEX(인턴계획표[정규화3],$Q199))</f>
        <v/>
      </c>
      <c r="M199">
        <f>IF($Q199="","",INDEX(인턴계획표[정규화4],$Q199))</f>
        <v/>
      </c>
      <c r="N199">
        <f>IF($Q199="","",INDEX(인턴계획표[정규화5],$Q199))</f>
        <v/>
      </c>
      <c r="O199">
        <f>IF($Q199="","",INDEX(인턴계획표[정규화6],$Q199))</f>
        <v/>
      </c>
      <c r="P199">
        <f>IF($Q199="","",INDEX(인턴계획표[입력오류],$Q199))</f>
        <v/>
      </c>
      <c r="Q199" s="17">
        <f>IFERROR(MATCH(194,인턴계획표[표시순번],0),"")</f>
        <v/>
      </c>
    </row>
    <row r="200">
      <c r="A200">
        <f>IF($Q200="","",INDEX(인턴계획표[순번],$Q200)&amp;"")</f>
        <v/>
      </c>
      <c r="B200">
        <f>IF($Q200="","",TRIM(INDEX(인턴계획표[이름],$Q200)&amp;""))</f>
        <v/>
      </c>
      <c r="C200">
        <f>IF($Q200="","",INDEX(인턴계획표[사번],$Q200)&amp;"")</f>
        <v/>
      </c>
      <c r="D200">
        <f>IF($Q200="","",IF(COUNTIF(기본자료표[사번키],INDEX(인턴계획표[사번키],$Q200))&gt;0,"확인","미등록"))</f>
        <v/>
      </c>
      <c r="E200">
        <f>IF($Q200="","",IF(ISNUMBER(INDEX(인턴계획표[입사일(비고)],$Q200)),TEXT(INDEX(인턴계획표[입사일(비고)],$Q200),"yyyy-mm-dd"),INDEX(인턴계획표[입사일(비고)],$Q200)&amp;""))</f>
        <v/>
      </c>
      <c r="F200">
        <f>IF($Q200="","",IF(IF($G$3="","",INDEX(인턴계획표[[정규화1]:[정규화6]],$Q200,$G$3)&amp;"")="","",IF(LEFT(IF($G$3="","",INDEX(인턴계획표[[정규화1]:[정규화6]],$Q200,$G$3)&amp;""),1)="⚠",IF($G$3="","",INDEX(인턴계획표[[정규화1]:[정규화6]],$Q200,$G$3)&amp;""),IFERROR(LEFT(IF($G$3="","",INDEX(인턴계획표[[정규화1]:[정규화6]],$Q200,$G$3)&amp;""),FIND(" ",IF($G$3="","",INDEX(인턴계획표[[정규화1]:[정규화6]],$Q200,$G$3)&amp;""))-1),IF($G$3="","",INDEX(인턴계획표[[정규화1]:[정규화6]],$Q200,$G$3)&amp;"")))))</f>
        <v/>
      </c>
      <c r="G200">
        <f>IF($Q200="","",IF(IF($G$3="","",INDEX(인턴계획표[[정규화1]:[정규화6]],$Q200,$G$3)&amp;"")="","",IF(LEFT(IF($G$3="","",INDEX(인턴계획표[[정규화1]:[정규화6]],$Q200,$G$3)&amp;""),1)="⚠","",IFERROR(MID(IF($G$3="","",INDEX(인턴계획표[[정규화1]:[정규화6]],$Q200,$G$3)&amp;""),FIND(" ",IF($G$3="","",INDEX(인턴계획표[[정규화1]:[정규화6]],$Q200,$G$3)&amp;""))+1,60),""))))</f>
        <v/>
      </c>
      <c r="H200">
        <f>IF($Q200="","",IF(IF($I$3="","",INDEX(인턴계획표[[정규화1]:[정규화6]],$Q200,$I$3)&amp;"")="","",IF(LEFT(IF($I$3="","",INDEX(인턴계획표[[정규화1]:[정규화6]],$Q200,$I$3)&amp;""),1)="⚠",IF($I$3="","",INDEX(인턴계획표[[정규화1]:[정규화6]],$Q200,$I$3)&amp;""),IFERROR(LEFT(IF($I$3="","",INDEX(인턴계획표[[정규화1]:[정규화6]],$Q200,$I$3)&amp;""),FIND(" ",IF($I$3="","",INDEX(인턴계획표[[정규화1]:[정규화6]],$Q200,$I$3)&amp;""))-1),IF($I$3="","",INDEX(인턴계획표[[정규화1]:[정규화6]],$Q200,$I$3)&amp;"")))))</f>
        <v/>
      </c>
      <c r="I200">
        <f>IF($Q200="","",IF(IF($I$3="","",INDEX(인턴계획표[[정규화1]:[정규화6]],$Q200,$I$3)&amp;"")="","",IF(LEFT(IF($I$3="","",INDEX(인턴계획표[[정규화1]:[정규화6]],$Q200,$I$3)&amp;""),1)="⚠","",IFERROR(MID(IF($I$3="","",INDEX(인턴계획표[[정규화1]:[정규화6]],$Q200,$I$3)&amp;""),FIND(" ",IF($I$3="","",INDEX(인턴계획표[[정규화1]:[정규화6]],$Q200,$I$3)&amp;""))+1,60),""))))</f>
        <v/>
      </c>
      <c r="J200">
        <f>IF($Q200="","",INDEX(인턴계획표[정규화1],$Q200))</f>
        <v/>
      </c>
      <c r="K200">
        <f>IF($Q200="","",INDEX(인턴계획표[정규화2],$Q200))</f>
        <v/>
      </c>
      <c r="L200">
        <f>IF($Q200="","",INDEX(인턴계획표[정규화3],$Q200))</f>
        <v/>
      </c>
      <c r="M200">
        <f>IF($Q200="","",INDEX(인턴계획표[정규화4],$Q200))</f>
        <v/>
      </c>
      <c r="N200">
        <f>IF($Q200="","",INDEX(인턴계획표[정규화5],$Q200))</f>
        <v/>
      </c>
      <c r="O200">
        <f>IF($Q200="","",INDEX(인턴계획표[정규화6],$Q200))</f>
        <v/>
      </c>
      <c r="P200">
        <f>IF($Q200="","",INDEX(인턴계획표[입력오류],$Q200))</f>
        <v/>
      </c>
      <c r="Q200" s="17">
        <f>IFERROR(MATCH(195,인턴계획표[표시순번],0),"")</f>
        <v/>
      </c>
    </row>
    <row r="201">
      <c r="A201">
        <f>IF($Q201="","",INDEX(인턴계획표[순번],$Q201)&amp;"")</f>
        <v/>
      </c>
      <c r="B201">
        <f>IF($Q201="","",TRIM(INDEX(인턴계획표[이름],$Q201)&amp;""))</f>
        <v/>
      </c>
      <c r="C201">
        <f>IF($Q201="","",INDEX(인턴계획표[사번],$Q201)&amp;"")</f>
        <v/>
      </c>
      <c r="D201">
        <f>IF($Q201="","",IF(COUNTIF(기본자료표[사번키],INDEX(인턴계획표[사번키],$Q201))&gt;0,"확인","미등록"))</f>
        <v/>
      </c>
      <c r="E201">
        <f>IF($Q201="","",IF(ISNUMBER(INDEX(인턴계획표[입사일(비고)],$Q201)),TEXT(INDEX(인턴계획표[입사일(비고)],$Q201),"yyyy-mm-dd"),INDEX(인턴계획표[입사일(비고)],$Q201)&amp;""))</f>
        <v/>
      </c>
      <c r="F201">
        <f>IF($Q201="","",IF(IF($G$3="","",INDEX(인턴계획표[[정규화1]:[정규화6]],$Q201,$G$3)&amp;"")="","",IF(LEFT(IF($G$3="","",INDEX(인턴계획표[[정규화1]:[정규화6]],$Q201,$G$3)&amp;""),1)="⚠",IF($G$3="","",INDEX(인턴계획표[[정규화1]:[정규화6]],$Q201,$G$3)&amp;""),IFERROR(LEFT(IF($G$3="","",INDEX(인턴계획표[[정규화1]:[정규화6]],$Q201,$G$3)&amp;""),FIND(" ",IF($G$3="","",INDEX(인턴계획표[[정규화1]:[정규화6]],$Q201,$G$3)&amp;""))-1),IF($G$3="","",INDEX(인턴계획표[[정규화1]:[정규화6]],$Q201,$G$3)&amp;"")))))</f>
        <v/>
      </c>
      <c r="G201">
        <f>IF($Q201="","",IF(IF($G$3="","",INDEX(인턴계획표[[정규화1]:[정규화6]],$Q201,$G$3)&amp;"")="","",IF(LEFT(IF($G$3="","",INDEX(인턴계획표[[정규화1]:[정규화6]],$Q201,$G$3)&amp;""),1)="⚠","",IFERROR(MID(IF($G$3="","",INDEX(인턴계획표[[정규화1]:[정규화6]],$Q201,$G$3)&amp;""),FIND(" ",IF($G$3="","",INDEX(인턴계획표[[정규화1]:[정규화6]],$Q201,$G$3)&amp;""))+1,60),""))))</f>
        <v/>
      </c>
      <c r="H201">
        <f>IF($Q201="","",IF(IF($I$3="","",INDEX(인턴계획표[[정규화1]:[정규화6]],$Q201,$I$3)&amp;"")="","",IF(LEFT(IF($I$3="","",INDEX(인턴계획표[[정규화1]:[정규화6]],$Q201,$I$3)&amp;""),1)="⚠",IF($I$3="","",INDEX(인턴계획표[[정규화1]:[정규화6]],$Q201,$I$3)&amp;""),IFERROR(LEFT(IF($I$3="","",INDEX(인턴계획표[[정규화1]:[정규화6]],$Q201,$I$3)&amp;""),FIND(" ",IF($I$3="","",INDEX(인턴계획표[[정규화1]:[정규화6]],$Q201,$I$3)&amp;""))-1),IF($I$3="","",INDEX(인턴계획표[[정규화1]:[정규화6]],$Q201,$I$3)&amp;"")))))</f>
        <v/>
      </c>
      <c r="I201">
        <f>IF($Q201="","",IF(IF($I$3="","",INDEX(인턴계획표[[정규화1]:[정규화6]],$Q201,$I$3)&amp;"")="","",IF(LEFT(IF($I$3="","",INDEX(인턴계획표[[정규화1]:[정규화6]],$Q201,$I$3)&amp;""),1)="⚠","",IFERROR(MID(IF($I$3="","",INDEX(인턴계획표[[정규화1]:[정규화6]],$Q201,$I$3)&amp;""),FIND(" ",IF($I$3="","",INDEX(인턴계획표[[정규화1]:[정규화6]],$Q201,$I$3)&amp;""))+1,60),""))))</f>
        <v/>
      </c>
      <c r="J201">
        <f>IF($Q201="","",INDEX(인턴계획표[정규화1],$Q201))</f>
        <v/>
      </c>
      <c r="K201">
        <f>IF($Q201="","",INDEX(인턴계획표[정규화2],$Q201))</f>
        <v/>
      </c>
      <c r="L201">
        <f>IF($Q201="","",INDEX(인턴계획표[정규화3],$Q201))</f>
        <v/>
      </c>
      <c r="M201">
        <f>IF($Q201="","",INDEX(인턴계획표[정규화4],$Q201))</f>
        <v/>
      </c>
      <c r="N201">
        <f>IF($Q201="","",INDEX(인턴계획표[정규화5],$Q201))</f>
        <v/>
      </c>
      <c r="O201">
        <f>IF($Q201="","",INDEX(인턴계획표[정규화6],$Q201))</f>
        <v/>
      </c>
      <c r="P201">
        <f>IF($Q201="","",INDEX(인턴계획표[입력오류],$Q201))</f>
        <v/>
      </c>
      <c r="Q201" s="17">
        <f>IFERROR(MATCH(196,인턴계획표[표시순번],0),"")</f>
        <v/>
      </c>
    </row>
    <row r="202">
      <c r="A202">
        <f>IF($Q202="","",INDEX(인턴계획표[순번],$Q202)&amp;"")</f>
        <v/>
      </c>
      <c r="B202">
        <f>IF($Q202="","",TRIM(INDEX(인턴계획표[이름],$Q202)&amp;""))</f>
        <v/>
      </c>
      <c r="C202">
        <f>IF($Q202="","",INDEX(인턴계획표[사번],$Q202)&amp;"")</f>
        <v/>
      </c>
      <c r="D202">
        <f>IF($Q202="","",IF(COUNTIF(기본자료표[사번키],INDEX(인턴계획표[사번키],$Q202))&gt;0,"확인","미등록"))</f>
        <v/>
      </c>
      <c r="E202">
        <f>IF($Q202="","",IF(ISNUMBER(INDEX(인턴계획표[입사일(비고)],$Q202)),TEXT(INDEX(인턴계획표[입사일(비고)],$Q202),"yyyy-mm-dd"),INDEX(인턴계획표[입사일(비고)],$Q202)&amp;""))</f>
        <v/>
      </c>
      <c r="F202">
        <f>IF($Q202="","",IF(IF($G$3="","",INDEX(인턴계획표[[정규화1]:[정규화6]],$Q202,$G$3)&amp;"")="","",IF(LEFT(IF($G$3="","",INDEX(인턴계획표[[정규화1]:[정규화6]],$Q202,$G$3)&amp;""),1)="⚠",IF($G$3="","",INDEX(인턴계획표[[정규화1]:[정규화6]],$Q202,$G$3)&amp;""),IFERROR(LEFT(IF($G$3="","",INDEX(인턴계획표[[정규화1]:[정규화6]],$Q202,$G$3)&amp;""),FIND(" ",IF($G$3="","",INDEX(인턴계획표[[정규화1]:[정규화6]],$Q202,$G$3)&amp;""))-1),IF($G$3="","",INDEX(인턴계획표[[정규화1]:[정규화6]],$Q202,$G$3)&amp;"")))))</f>
        <v/>
      </c>
      <c r="G202">
        <f>IF($Q202="","",IF(IF($G$3="","",INDEX(인턴계획표[[정규화1]:[정규화6]],$Q202,$G$3)&amp;"")="","",IF(LEFT(IF($G$3="","",INDEX(인턴계획표[[정규화1]:[정규화6]],$Q202,$G$3)&amp;""),1)="⚠","",IFERROR(MID(IF($G$3="","",INDEX(인턴계획표[[정규화1]:[정규화6]],$Q202,$G$3)&amp;""),FIND(" ",IF($G$3="","",INDEX(인턴계획표[[정규화1]:[정규화6]],$Q202,$G$3)&amp;""))+1,60),""))))</f>
        <v/>
      </c>
      <c r="H202">
        <f>IF($Q202="","",IF(IF($I$3="","",INDEX(인턴계획표[[정규화1]:[정규화6]],$Q202,$I$3)&amp;"")="","",IF(LEFT(IF($I$3="","",INDEX(인턴계획표[[정규화1]:[정규화6]],$Q202,$I$3)&amp;""),1)="⚠",IF($I$3="","",INDEX(인턴계획표[[정규화1]:[정규화6]],$Q202,$I$3)&amp;""),IFERROR(LEFT(IF($I$3="","",INDEX(인턴계획표[[정규화1]:[정규화6]],$Q202,$I$3)&amp;""),FIND(" ",IF($I$3="","",INDEX(인턴계획표[[정규화1]:[정규화6]],$Q202,$I$3)&amp;""))-1),IF($I$3="","",INDEX(인턴계획표[[정규화1]:[정규화6]],$Q202,$I$3)&amp;"")))))</f>
        <v/>
      </c>
      <c r="I202">
        <f>IF($Q202="","",IF(IF($I$3="","",INDEX(인턴계획표[[정규화1]:[정규화6]],$Q202,$I$3)&amp;"")="","",IF(LEFT(IF($I$3="","",INDEX(인턴계획표[[정규화1]:[정규화6]],$Q202,$I$3)&amp;""),1)="⚠","",IFERROR(MID(IF($I$3="","",INDEX(인턴계획표[[정규화1]:[정규화6]],$Q202,$I$3)&amp;""),FIND(" ",IF($I$3="","",INDEX(인턴계획표[[정규화1]:[정규화6]],$Q202,$I$3)&amp;""))+1,60),""))))</f>
        <v/>
      </c>
      <c r="J202">
        <f>IF($Q202="","",INDEX(인턴계획표[정규화1],$Q202))</f>
        <v/>
      </c>
      <c r="K202">
        <f>IF($Q202="","",INDEX(인턴계획표[정규화2],$Q202))</f>
        <v/>
      </c>
      <c r="L202">
        <f>IF($Q202="","",INDEX(인턴계획표[정규화3],$Q202))</f>
        <v/>
      </c>
      <c r="M202">
        <f>IF($Q202="","",INDEX(인턴계획표[정규화4],$Q202))</f>
        <v/>
      </c>
      <c r="N202">
        <f>IF($Q202="","",INDEX(인턴계획표[정규화5],$Q202))</f>
        <v/>
      </c>
      <c r="O202">
        <f>IF($Q202="","",INDEX(인턴계획표[정규화6],$Q202))</f>
        <v/>
      </c>
      <c r="P202">
        <f>IF($Q202="","",INDEX(인턴계획표[입력오류],$Q202))</f>
        <v/>
      </c>
      <c r="Q202" s="17">
        <f>IFERROR(MATCH(197,인턴계획표[표시순번],0),"")</f>
        <v/>
      </c>
    </row>
    <row r="203">
      <c r="A203">
        <f>IF($Q203="","",INDEX(인턴계획표[순번],$Q203)&amp;"")</f>
        <v/>
      </c>
      <c r="B203">
        <f>IF($Q203="","",TRIM(INDEX(인턴계획표[이름],$Q203)&amp;""))</f>
        <v/>
      </c>
      <c r="C203">
        <f>IF($Q203="","",INDEX(인턴계획표[사번],$Q203)&amp;"")</f>
        <v/>
      </c>
      <c r="D203">
        <f>IF($Q203="","",IF(COUNTIF(기본자료표[사번키],INDEX(인턴계획표[사번키],$Q203))&gt;0,"확인","미등록"))</f>
        <v/>
      </c>
      <c r="E203">
        <f>IF($Q203="","",IF(ISNUMBER(INDEX(인턴계획표[입사일(비고)],$Q203)),TEXT(INDEX(인턴계획표[입사일(비고)],$Q203),"yyyy-mm-dd"),INDEX(인턴계획표[입사일(비고)],$Q203)&amp;""))</f>
        <v/>
      </c>
      <c r="F203">
        <f>IF($Q203="","",IF(IF($G$3="","",INDEX(인턴계획표[[정규화1]:[정규화6]],$Q203,$G$3)&amp;"")="","",IF(LEFT(IF($G$3="","",INDEX(인턴계획표[[정규화1]:[정규화6]],$Q203,$G$3)&amp;""),1)="⚠",IF($G$3="","",INDEX(인턴계획표[[정규화1]:[정규화6]],$Q203,$G$3)&amp;""),IFERROR(LEFT(IF($G$3="","",INDEX(인턴계획표[[정규화1]:[정규화6]],$Q203,$G$3)&amp;""),FIND(" ",IF($G$3="","",INDEX(인턴계획표[[정규화1]:[정규화6]],$Q203,$G$3)&amp;""))-1),IF($G$3="","",INDEX(인턴계획표[[정규화1]:[정규화6]],$Q203,$G$3)&amp;"")))))</f>
        <v/>
      </c>
      <c r="G203">
        <f>IF($Q203="","",IF(IF($G$3="","",INDEX(인턴계획표[[정규화1]:[정규화6]],$Q203,$G$3)&amp;"")="","",IF(LEFT(IF($G$3="","",INDEX(인턴계획표[[정규화1]:[정규화6]],$Q203,$G$3)&amp;""),1)="⚠","",IFERROR(MID(IF($G$3="","",INDEX(인턴계획표[[정규화1]:[정규화6]],$Q203,$G$3)&amp;""),FIND(" ",IF($G$3="","",INDEX(인턴계획표[[정규화1]:[정규화6]],$Q203,$G$3)&amp;""))+1,60),""))))</f>
        <v/>
      </c>
      <c r="H203">
        <f>IF($Q203="","",IF(IF($I$3="","",INDEX(인턴계획표[[정규화1]:[정규화6]],$Q203,$I$3)&amp;"")="","",IF(LEFT(IF($I$3="","",INDEX(인턴계획표[[정규화1]:[정규화6]],$Q203,$I$3)&amp;""),1)="⚠",IF($I$3="","",INDEX(인턴계획표[[정규화1]:[정규화6]],$Q203,$I$3)&amp;""),IFERROR(LEFT(IF($I$3="","",INDEX(인턴계획표[[정규화1]:[정규화6]],$Q203,$I$3)&amp;""),FIND(" ",IF($I$3="","",INDEX(인턴계획표[[정규화1]:[정규화6]],$Q203,$I$3)&amp;""))-1),IF($I$3="","",INDEX(인턴계획표[[정규화1]:[정규화6]],$Q203,$I$3)&amp;"")))))</f>
        <v/>
      </c>
      <c r="I203">
        <f>IF($Q203="","",IF(IF($I$3="","",INDEX(인턴계획표[[정규화1]:[정규화6]],$Q203,$I$3)&amp;"")="","",IF(LEFT(IF($I$3="","",INDEX(인턴계획표[[정규화1]:[정규화6]],$Q203,$I$3)&amp;""),1)="⚠","",IFERROR(MID(IF($I$3="","",INDEX(인턴계획표[[정규화1]:[정규화6]],$Q203,$I$3)&amp;""),FIND(" ",IF($I$3="","",INDEX(인턴계획표[[정규화1]:[정규화6]],$Q203,$I$3)&amp;""))+1,60),""))))</f>
        <v/>
      </c>
      <c r="J203">
        <f>IF($Q203="","",INDEX(인턴계획표[정규화1],$Q203))</f>
        <v/>
      </c>
      <c r="K203">
        <f>IF($Q203="","",INDEX(인턴계획표[정규화2],$Q203))</f>
        <v/>
      </c>
      <c r="L203">
        <f>IF($Q203="","",INDEX(인턴계획표[정규화3],$Q203))</f>
        <v/>
      </c>
      <c r="M203">
        <f>IF($Q203="","",INDEX(인턴계획표[정규화4],$Q203))</f>
        <v/>
      </c>
      <c r="N203">
        <f>IF($Q203="","",INDEX(인턴계획표[정규화5],$Q203))</f>
        <v/>
      </c>
      <c r="O203">
        <f>IF($Q203="","",INDEX(인턴계획표[정규화6],$Q203))</f>
        <v/>
      </c>
      <c r="P203">
        <f>IF($Q203="","",INDEX(인턴계획표[입력오류],$Q203))</f>
        <v/>
      </c>
      <c r="Q203" s="17">
        <f>IFERROR(MATCH(198,인턴계획표[표시순번],0),"")</f>
        <v/>
      </c>
    </row>
    <row r="204">
      <c r="A204">
        <f>IF($Q204="","",INDEX(인턴계획표[순번],$Q204)&amp;"")</f>
        <v/>
      </c>
      <c r="B204">
        <f>IF($Q204="","",TRIM(INDEX(인턴계획표[이름],$Q204)&amp;""))</f>
        <v/>
      </c>
      <c r="C204">
        <f>IF($Q204="","",INDEX(인턴계획표[사번],$Q204)&amp;"")</f>
        <v/>
      </c>
      <c r="D204">
        <f>IF($Q204="","",IF(COUNTIF(기본자료표[사번키],INDEX(인턴계획표[사번키],$Q204))&gt;0,"확인","미등록"))</f>
        <v/>
      </c>
      <c r="E204">
        <f>IF($Q204="","",IF(ISNUMBER(INDEX(인턴계획표[입사일(비고)],$Q204)),TEXT(INDEX(인턴계획표[입사일(비고)],$Q204),"yyyy-mm-dd"),INDEX(인턴계획표[입사일(비고)],$Q204)&amp;""))</f>
        <v/>
      </c>
      <c r="F204">
        <f>IF($Q204="","",IF(IF($G$3="","",INDEX(인턴계획표[[정규화1]:[정규화6]],$Q204,$G$3)&amp;"")="","",IF(LEFT(IF($G$3="","",INDEX(인턴계획표[[정규화1]:[정규화6]],$Q204,$G$3)&amp;""),1)="⚠",IF($G$3="","",INDEX(인턴계획표[[정규화1]:[정규화6]],$Q204,$G$3)&amp;""),IFERROR(LEFT(IF($G$3="","",INDEX(인턴계획표[[정규화1]:[정규화6]],$Q204,$G$3)&amp;""),FIND(" ",IF($G$3="","",INDEX(인턴계획표[[정규화1]:[정규화6]],$Q204,$G$3)&amp;""))-1),IF($G$3="","",INDEX(인턴계획표[[정규화1]:[정규화6]],$Q204,$G$3)&amp;"")))))</f>
        <v/>
      </c>
      <c r="G204">
        <f>IF($Q204="","",IF(IF($G$3="","",INDEX(인턴계획표[[정규화1]:[정규화6]],$Q204,$G$3)&amp;"")="","",IF(LEFT(IF($G$3="","",INDEX(인턴계획표[[정규화1]:[정규화6]],$Q204,$G$3)&amp;""),1)="⚠","",IFERROR(MID(IF($G$3="","",INDEX(인턴계획표[[정규화1]:[정규화6]],$Q204,$G$3)&amp;""),FIND(" ",IF($G$3="","",INDEX(인턴계획표[[정규화1]:[정규화6]],$Q204,$G$3)&amp;""))+1,60),""))))</f>
        <v/>
      </c>
      <c r="H204">
        <f>IF($Q204="","",IF(IF($I$3="","",INDEX(인턴계획표[[정규화1]:[정규화6]],$Q204,$I$3)&amp;"")="","",IF(LEFT(IF($I$3="","",INDEX(인턴계획표[[정규화1]:[정규화6]],$Q204,$I$3)&amp;""),1)="⚠",IF($I$3="","",INDEX(인턴계획표[[정규화1]:[정규화6]],$Q204,$I$3)&amp;""),IFERROR(LEFT(IF($I$3="","",INDEX(인턴계획표[[정규화1]:[정규화6]],$Q204,$I$3)&amp;""),FIND(" ",IF($I$3="","",INDEX(인턴계획표[[정규화1]:[정규화6]],$Q204,$I$3)&amp;""))-1),IF($I$3="","",INDEX(인턴계획표[[정규화1]:[정규화6]],$Q204,$I$3)&amp;"")))))</f>
        <v/>
      </c>
      <c r="I204">
        <f>IF($Q204="","",IF(IF($I$3="","",INDEX(인턴계획표[[정규화1]:[정규화6]],$Q204,$I$3)&amp;"")="","",IF(LEFT(IF($I$3="","",INDEX(인턴계획표[[정규화1]:[정규화6]],$Q204,$I$3)&amp;""),1)="⚠","",IFERROR(MID(IF($I$3="","",INDEX(인턴계획표[[정규화1]:[정규화6]],$Q204,$I$3)&amp;""),FIND(" ",IF($I$3="","",INDEX(인턴계획표[[정규화1]:[정규화6]],$Q204,$I$3)&amp;""))+1,60),""))))</f>
        <v/>
      </c>
      <c r="J204">
        <f>IF($Q204="","",INDEX(인턴계획표[정규화1],$Q204))</f>
        <v/>
      </c>
      <c r="K204">
        <f>IF($Q204="","",INDEX(인턴계획표[정규화2],$Q204))</f>
        <v/>
      </c>
      <c r="L204">
        <f>IF($Q204="","",INDEX(인턴계획표[정규화3],$Q204))</f>
        <v/>
      </c>
      <c r="M204">
        <f>IF($Q204="","",INDEX(인턴계획표[정규화4],$Q204))</f>
        <v/>
      </c>
      <c r="N204">
        <f>IF($Q204="","",INDEX(인턴계획표[정규화5],$Q204))</f>
        <v/>
      </c>
      <c r="O204">
        <f>IF($Q204="","",INDEX(인턴계획표[정규화6],$Q204))</f>
        <v/>
      </c>
      <c r="P204">
        <f>IF($Q204="","",INDEX(인턴계획표[입력오류],$Q204))</f>
        <v/>
      </c>
      <c r="Q204" s="17">
        <f>IFERROR(MATCH(199,인턴계획표[표시순번],0),"")</f>
        <v/>
      </c>
    </row>
    <row r="205">
      <c r="A205">
        <f>IF($Q205="","",INDEX(인턴계획표[순번],$Q205)&amp;"")</f>
        <v/>
      </c>
      <c r="B205">
        <f>IF($Q205="","",TRIM(INDEX(인턴계획표[이름],$Q205)&amp;""))</f>
        <v/>
      </c>
      <c r="C205">
        <f>IF($Q205="","",INDEX(인턴계획표[사번],$Q205)&amp;"")</f>
        <v/>
      </c>
      <c r="D205">
        <f>IF($Q205="","",IF(COUNTIF(기본자료표[사번키],INDEX(인턴계획표[사번키],$Q205))&gt;0,"확인","미등록"))</f>
        <v/>
      </c>
      <c r="E205">
        <f>IF($Q205="","",IF(ISNUMBER(INDEX(인턴계획표[입사일(비고)],$Q205)),TEXT(INDEX(인턴계획표[입사일(비고)],$Q205),"yyyy-mm-dd"),INDEX(인턴계획표[입사일(비고)],$Q205)&amp;""))</f>
        <v/>
      </c>
      <c r="F205">
        <f>IF($Q205="","",IF(IF($G$3="","",INDEX(인턴계획표[[정규화1]:[정규화6]],$Q205,$G$3)&amp;"")="","",IF(LEFT(IF($G$3="","",INDEX(인턴계획표[[정규화1]:[정규화6]],$Q205,$G$3)&amp;""),1)="⚠",IF($G$3="","",INDEX(인턴계획표[[정규화1]:[정규화6]],$Q205,$G$3)&amp;""),IFERROR(LEFT(IF($G$3="","",INDEX(인턴계획표[[정규화1]:[정규화6]],$Q205,$G$3)&amp;""),FIND(" ",IF($G$3="","",INDEX(인턴계획표[[정규화1]:[정규화6]],$Q205,$G$3)&amp;""))-1),IF($G$3="","",INDEX(인턴계획표[[정규화1]:[정규화6]],$Q205,$G$3)&amp;"")))))</f>
        <v/>
      </c>
      <c r="G205">
        <f>IF($Q205="","",IF(IF($G$3="","",INDEX(인턴계획표[[정규화1]:[정규화6]],$Q205,$G$3)&amp;"")="","",IF(LEFT(IF($G$3="","",INDEX(인턴계획표[[정규화1]:[정규화6]],$Q205,$G$3)&amp;""),1)="⚠","",IFERROR(MID(IF($G$3="","",INDEX(인턴계획표[[정규화1]:[정규화6]],$Q205,$G$3)&amp;""),FIND(" ",IF($G$3="","",INDEX(인턴계획표[[정규화1]:[정규화6]],$Q205,$G$3)&amp;""))+1,60),""))))</f>
        <v/>
      </c>
      <c r="H205">
        <f>IF($Q205="","",IF(IF($I$3="","",INDEX(인턴계획표[[정규화1]:[정규화6]],$Q205,$I$3)&amp;"")="","",IF(LEFT(IF($I$3="","",INDEX(인턴계획표[[정규화1]:[정규화6]],$Q205,$I$3)&amp;""),1)="⚠",IF($I$3="","",INDEX(인턴계획표[[정규화1]:[정규화6]],$Q205,$I$3)&amp;""),IFERROR(LEFT(IF($I$3="","",INDEX(인턴계획표[[정규화1]:[정규화6]],$Q205,$I$3)&amp;""),FIND(" ",IF($I$3="","",INDEX(인턴계획표[[정규화1]:[정규화6]],$Q205,$I$3)&amp;""))-1),IF($I$3="","",INDEX(인턴계획표[[정규화1]:[정규화6]],$Q205,$I$3)&amp;"")))))</f>
        <v/>
      </c>
      <c r="I205">
        <f>IF($Q205="","",IF(IF($I$3="","",INDEX(인턴계획표[[정규화1]:[정규화6]],$Q205,$I$3)&amp;"")="","",IF(LEFT(IF($I$3="","",INDEX(인턴계획표[[정규화1]:[정규화6]],$Q205,$I$3)&amp;""),1)="⚠","",IFERROR(MID(IF($I$3="","",INDEX(인턴계획표[[정규화1]:[정규화6]],$Q205,$I$3)&amp;""),FIND(" ",IF($I$3="","",INDEX(인턴계획표[[정규화1]:[정규화6]],$Q205,$I$3)&amp;""))+1,60),""))))</f>
        <v/>
      </c>
      <c r="J205">
        <f>IF($Q205="","",INDEX(인턴계획표[정규화1],$Q205))</f>
        <v/>
      </c>
      <c r="K205">
        <f>IF($Q205="","",INDEX(인턴계획표[정규화2],$Q205))</f>
        <v/>
      </c>
      <c r="L205">
        <f>IF($Q205="","",INDEX(인턴계획표[정규화3],$Q205))</f>
        <v/>
      </c>
      <c r="M205">
        <f>IF($Q205="","",INDEX(인턴계획표[정규화4],$Q205))</f>
        <v/>
      </c>
      <c r="N205">
        <f>IF($Q205="","",INDEX(인턴계획표[정규화5],$Q205))</f>
        <v/>
      </c>
      <c r="O205">
        <f>IF($Q205="","",INDEX(인턴계획표[정규화6],$Q205))</f>
        <v/>
      </c>
      <c r="P205">
        <f>IF($Q205="","",INDEX(인턴계획표[입력오류],$Q205))</f>
        <v/>
      </c>
      <c r="Q205" s="17">
        <f>IFERROR(MATCH(200,인턴계획표[표시순번],0),"")</f>
        <v/>
      </c>
    </row>
    <row r="206">
      <c r="A206">
        <f>IF($Q206="","",INDEX(인턴계획표[순번],$Q206)&amp;"")</f>
        <v/>
      </c>
      <c r="B206">
        <f>IF($Q206="","",TRIM(INDEX(인턴계획표[이름],$Q206)&amp;""))</f>
        <v/>
      </c>
      <c r="C206">
        <f>IF($Q206="","",INDEX(인턴계획표[사번],$Q206)&amp;"")</f>
        <v/>
      </c>
      <c r="D206">
        <f>IF($Q206="","",IF(COUNTIF(기본자료표[사번키],INDEX(인턴계획표[사번키],$Q206))&gt;0,"확인","미등록"))</f>
        <v/>
      </c>
      <c r="E206">
        <f>IF($Q206="","",IF(ISNUMBER(INDEX(인턴계획표[입사일(비고)],$Q206)),TEXT(INDEX(인턴계획표[입사일(비고)],$Q206),"yyyy-mm-dd"),INDEX(인턴계획표[입사일(비고)],$Q206)&amp;""))</f>
        <v/>
      </c>
      <c r="F206">
        <f>IF($Q206="","",IF(IF($G$3="","",INDEX(인턴계획표[[정규화1]:[정규화6]],$Q206,$G$3)&amp;"")="","",IF(LEFT(IF($G$3="","",INDEX(인턴계획표[[정규화1]:[정규화6]],$Q206,$G$3)&amp;""),1)="⚠",IF($G$3="","",INDEX(인턴계획표[[정규화1]:[정규화6]],$Q206,$G$3)&amp;""),IFERROR(LEFT(IF($G$3="","",INDEX(인턴계획표[[정규화1]:[정규화6]],$Q206,$G$3)&amp;""),FIND(" ",IF($G$3="","",INDEX(인턴계획표[[정규화1]:[정규화6]],$Q206,$G$3)&amp;""))-1),IF($G$3="","",INDEX(인턴계획표[[정규화1]:[정규화6]],$Q206,$G$3)&amp;"")))))</f>
        <v/>
      </c>
      <c r="G206">
        <f>IF($Q206="","",IF(IF($G$3="","",INDEX(인턴계획표[[정규화1]:[정규화6]],$Q206,$G$3)&amp;"")="","",IF(LEFT(IF($G$3="","",INDEX(인턴계획표[[정규화1]:[정규화6]],$Q206,$G$3)&amp;""),1)="⚠","",IFERROR(MID(IF($G$3="","",INDEX(인턴계획표[[정규화1]:[정규화6]],$Q206,$G$3)&amp;""),FIND(" ",IF($G$3="","",INDEX(인턴계획표[[정규화1]:[정규화6]],$Q206,$G$3)&amp;""))+1,60),""))))</f>
        <v/>
      </c>
      <c r="H206">
        <f>IF($Q206="","",IF(IF($I$3="","",INDEX(인턴계획표[[정규화1]:[정규화6]],$Q206,$I$3)&amp;"")="","",IF(LEFT(IF($I$3="","",INDEX(인턴계획표[[정규화1]:[정규화6]],$Q206,$I$3)&amp;""),1)="⚠",IF($I$3="","",INDEX(인턴계획표[[정규화1]:[정규화6]],$Q206,$I$3)&amp;""),IFERROR(LEFT(IF($I$3="","",INDEX(인턴계획표[[정규화1]:[정규화6]],$Q206,$I$3)&amp;""),FIND(" ",IF($I$3="","",INDEX(인턴계획표[[정규화1]:[정규화6]],$Q206,$I$3)&amp;""))-1),IF($I$3="","",INDEX(인턴계획표[[정규화1]:[정규화6]],$Q206,$I$3)&amp;"")))))</f>
        <v/>
      </c>
      <c r="I206">
        <f>IF($Q206="","",IF(IF($I$3="","",INDEX(인턴계획표[[정규화1]:[정규화6]],$Q206,$I$3)&amp;"")="","",IF(LEFT(IF($I$3="","",INDEX(인턴계획표[[정규화1]:[정규화6]],$Q206,$I$3)&amp;""),1)="⚠","",IFERROR(MID(IF($I$3="","",INDEX(인턴계획표[[정규화1]:[정규화6]],$Q206,$I$3)&amp;""),FIND(" ",IF($I$3="","",INDEX(인턴계획표[[정규화1]:[정규화6]],$Q206,$I$3)&amp;""))+1,60),""))))</f>
        <v/>
      </c>
      <c r="J206">
        <f>IF($Q206="","",INDEX(인턴계획표[정규화1],$Q206))</f>
        <v/>
      </c>
      <c r="K206">
        <f>IF($Q206="","",INDEX(인턴계획표[정규화2],$Q206))</f>
        <v/>
      </c>
      <c r="L206">
        <f>IF($Q206="","",INDEX(인턴계획표[정규화3],$Q206))</f>
        <v/>
      </c>
      <c r="M206">
        <f>IF($Q206="","",INDEX(인턴계획표[정규화4],$Q206))</f>
        <v/>
      </c>
      <c r="N206">
        <f>IF($Q206="","",INDEX(인턴계획표[정규화5],$Q206))</f>
        <v/>
      </c>
      <c r="O206">
        <f>IF($Q206="","",INDEX(인턴계획표[정규화6],$Q206))</f>
        <v/>
      </c>
      <c r="P206">
        <f>IF($Q206="","",INDEX(인턴계획표[입력오류],$Q206))</f>
        <v/>
      </c>
      <c r="Q206" s="17">
        <f>IFERROR(MATCH(201,인턴계획표[표시순번],0),"")</f>
        <v/>
      </c>
    </row>
    <row r="207">
      <c r="A207">
        <f>IF($Q207="","",INDEX(인턴계획표[순번],$Q207)&amp;"")</f>
        <v/>
      </c>
      <c r="B207">
        <f>IF($Q207="","",TRIM(INDEX(인턴계획표[이름],$Q207)&amp;""))</f>
        <v/>
      </c>
      <c r="C207">
        <f>IF($Q207="","",INDEX(인턴계획표[사번],$Q207)&amp;"")</f>
        <v/>
      </c>
      <c r="D207">
        <f>IF($Q207="","",IF(COUNTIF(기본자료표[사번키],INDEX(인턴계획표[사번키],$Q207))&gt;0,"확인","미등록"))</f>
        <v/>
      </c>
      <c r="E207">
        <f>IF($Q207="","",IF(ISNUMBER(INDEX(인턴계획표[입사일(비고)],$Q207)),TEXT(INDEX(인턴계획표[입사일(비고)],$Q207),"yyyy-mm-dd"),INDEX(인턴계획표[입사일(비고)],$Q207)&amp;""))</f>
        <v/>
      </c>
      <c r="F207">
        <f>IF($Q207="","",IF(IF($G$3="","",INDEX(인턴계획표[[정규화1]:[정규화6]],$Q207,$G$3)&amp;"")="","",IF(LEFT(IF($G$3="","",INDEX(인턴계획표[[정규화1]:[정규화6]],$Q207,$G$3)&amp;""),1)="⚠",IF($G$3="","",INDEX(인턴계획표[[정규화1]:[정규화6]],$Q207,$G$3)&amp;""),IFERROR(LEFT(IF($G$3="","",INDEX(인턴계획표[[정규화1]:[정규화6]],$Q207,$G$3)&amp;""),FIND(" ",IF($G$3="","",INDEX(인턴계획표[[정규화1]:[정규화6]],$Q207,$G$3)&amp;""))-1),IF($G$3="","",INDEX(인턴계획표[[정규화1]:[정규화6]],$Q207,$G$3)&amp;"")))))</f>
        <v/>
      </c>
      <c r="G207">
        <f>IF($Q207="","",IF(IF($G$3="","",INDEX(인턴계획표[[정규화1]:[정규화6]],$Q207,$G$3)&amp;"")="","",IF(LEFT(IF($G$3="","",INDEX(인턴계획표[[정규화1]:[정규화6]],$Q207,$G$3)&amp;""),1)="⚠","",IFERROR(MID(IF($G$3="","",INDEX(인턴계획표[[정규화1]:[정규화6]],$Q207,$G$3)&amp;""),FIND(" ",IF($G$3="","",INDEX(인턴계획표[[정규화1]:[정규화6]],$Q207,$G$3)&amp;""))+1,60),""))))</f>
        <v/>
      </c>
      <c r="H207">
        <f>IF($Q207="","",IF(IF($I$3="","",INDEX(인턴계획표[[정규화1]:[정규화6]],$Q207,$I$3)&amp;"")="","",IF(LEFT(IF($I$3="","",INDEX(인턴계획표[[정규화1]:[정규화6]],$Q207,$I$3)&amp;""),1)="⚠",IF($I$3="","",INDEX(인턴계획표[[정규화1]:[정규화6]],$Q207,$I$3)&amp;""),IFERROR(LEFT(IF($I$3="","",INDEX(인턴계획표[[정규화1]:[정규화6]],$Q207,$I$3)&amp;""),FIND(" ",IF($I$3="","",INDEX(인턴계획표[[정규화1]:[정규화6]],$Q207,$I$3)&amp;""))-1),IF($I$3="","",INDEX(인턴계획표[[정규화1]:[정규화6]],$Q207,$I$3)&amp;"")))))</f>
        <v/>
      </c>
      <c r="I207">
        <f>IF($Q207="","",IF(IF($I$3="","",INDEX(인턴계획표[[정규화1]:[정규화6]],$Q207,$I$3)&amp;"")="","",IF(LEFT(IF($I$3="","",INDEX(인턴계획표[[정규화1]:[정규화6]],$Q207,$I$3)&amp;""),1)="⚠","",IFERROR(MID(IF($I$3="","",INDEX(인턴계획표[[정규화1]:[정규화6]],$Q207,$I$3)&amp;""),FIND(" ",IF($I$3="","",INDEX(인턴계획표[[정규화1]:[정규화6]],$Q207,$I$3)&amp;""))+1,60),""))))</f>
        <v/>
      </c>
      <c r="J207">
        <f>IF($Q207="","",INDEX(인턴계획표[정규화1],$Q207))</f>
        <v/>
      </c>
      <c r="K207">
        <f>IF($Q207="","",INDEX(인턴계획표[정규화2],$Q207))</f>
        <v/>
      </c>
      <c r="L207">
        <f>IF($Q207="","",INDEX(인턴계획표[정규화3],$Q207))</f>
        <v/>
      </c>
      <c r="M207">
        <f>IF($Q207="","",INDEX(인턴계획표[정규화4],$Q207))</f>
        <v/>
      </c>
      <c r="N207">
        <f>IF($Q207="","",INDEX(인턴계획표[정규화5],$Q207))</f>
        <v/>
      </c>
      <c r="O207">
        <f>IF($Q207="","",INDEX(인턴계획표[정규화6],$Q207))</f>
        <v/>
      </c>
      <c r="P207">
        <f>IF($Q207="","",INDEX(인턴계획표[입력오류],$Q207))</f>
        <v/>
      </c>
      <c r="Q207" s="17">
        <f>IFERROR(MATCH(202,인턴계획표[표시순번],0),"")</f>
        <v/>
      </c>
    </row>
    <row r="208">
      <c r="A208">
        <f>IF($Q208="","",INDEX(인턴계획표[순번],$Q208)&amp;"")</f>
        <v/>
      </c>
      <c r="B208">
        <f>IF($Q208="","",TRIM(INDEX(인턴계획표[이름],$Q208)&amp;""))</f>
        <v/>
      </c>
      <c r="C208">
        <f>IF($Q208="","",INDEX(인턴계획표[사번],$Q208)&amp;"")</f>
        <v/>
      </c>
      <c r="D208">
        <f>IF($Q208="","",IF(COUNTIF(기본자료표[사번키],INDEX(인턴계획표[사번키],$Q208))&gt;0,"확인","미등록"))</f>
        <v/>
      </c>
      <c r="E208">
        <f>IF($Q208="","",IF(ISNUMBER(INDEX(인턴계획표[입사일(비고)],$Q208)),TEXT(INDEX(인턴계획표[입사일(비고)],$Q208),"yyyy-mm-dd"),INDEX(인턴계획표[입사일(비고)],$Q208)&amp;""))</f>
        <v/>
      </c>
      <c r="F208">
        <f>IF($Q208="","",IF(IF($G$3="","",INDEX(인턴계획표[[정규화1]:[정규화6]],$Q208,$G$3)&amp;"")="","",IF(LEFT(IF($G$3="","",INDEX(인턴계획표[[정규화1]:[정규화6]],$Q208,$G$3)&amp;""),1)="⚠",IF($G$3="","",INDEX(인턴계획표[[정규화1]:[정규화6]],$Q208,$G$3)&amp;""),IFERROR(LEFT(IF($G$3="","",INDEX(인턴계획표[[정규화1]:[정규화6]],$Q208,$G$3)&amp;""),FIND(" ",IF($G$3="","",INDEX(인턴계획표[[정규화1]:[정규화6]],$Q208,$G$3)&amp;""))-1),IF($G$3="","",INDEX(인턴계획표[[정규화1]:[정규화6]],$Q208,$G$3)&amp;"")))))</f>
        <v/>
      </c>
      <c r="G208">
        <f>IF($Q208="","",IF(IF($G$3="","",INDEX(인턴계획표[[정규화1]:[정규화6]],$Q208,$G$3)&amp;"")="","",IF(LEFT(IF($G$3="","",INDEX(인턴계획표[[정규화1]:[정규화6]],$Q208,$G$3)&amp;""),1)="⚠","",IFERROR(MID(IF($G$3="","",INDEX(인턴계획표[[정규화1]:[정규화6]],$Q208,$G$3)&amp;""),FIND(" ",IF($G$3="","",INDEX(인턴계획표[[정규화1]:[정규화6]],$Q208,$G$3)&amp;""))+1,60),""))))</f>
        <v/>
      </c>
      <c r="H208">
        <f>IF($Q208="","",IF(IF($I$3="","",INDEX(인턴계획표[[정규화1]:[정규화6]],$Q208,$I$3)&amp;"")="","",IF(LEFT(IF($I$3="","",INDEX(인턴계획표[[정규화1]:[정규화6]],$Q208,$I$3)&amp;""),1)="⚠",IF($I$3="","",INDEX(인턴계획표[[정규화1]:[정규화6]],$Q208,$I$3)&amp;""),IFERROR(LEFT(IF($I$3="","",INDEX(인턴계획표[[정규화1]:[정규화6]],$Q208,$I$3)&amp;""),FIND(" ",IF($I$3="","",INDEX(인턴계획표[[정규화1]:[정규화6]],$Q208,$I$3)&amp;""))-1),IF($I$3="","",INDEX(인턴계획표[[정규화1]:[정규화6]],$Q208,$I$3)&amp;"")))))</f>
        <v/>
      </c>
      <c r="I208">
        <f>IF($Q208="","",IF(IF($I$3="","",INDEX(인턴계획표[[정규화1]:[정규화6]],$Q208,$I$3)&amp;"")="","",IF(LEFT(IF($I$3="","",INDEX(인턴계획표[[정규화1]:[정규화6]],$Q208,$I$3)&amp;""),1)="⚠","",IFERROR(MID(IF($I$3="","",INDEX(인턴계획표[[정규화1]:[정규화6]],$Q208,$I$3)&amp;""),FIND(" ",IF($I$3="","",INDEX(인턴계획표[[정규화1]:[정규화6]],$Q208,$I$3)&amp;""))+1,60),""))))</f>
        <v/>
      </c>
      <c r="J208">
        <f>IF($Q208="","",INDEX(인턴계획표[정규화1],$Q208))</f>
        <v/>
      </c>
      <c r="K208">
        <f>IF($Q208="","",INDEX(인턴계획표[정규화2],$Q208))</f>
        <v/>
      </c>
      <c r="L208">
        <f>IF($Q208="","",INDEX(인턴계획표[정규화3],$Q208))</f>
        <v/>
      </c>
      <c r="M208">
        <f>IF($Q208="","",INDEX(인턴계획표[정규화4],$Q208))</f>
        <v/>
      </c>
      <c r="N208">
        <f>IF($Q208="","",INDEX(인턴계획표[정규화5],$Q208))</f>
        <v/>
      </c>
      <c r="O208">
        <f>IF($Q208="","",INDEX(인턴계획표[정규화6],$Q208))</f>
        <v/>
      </c>
      <c r="P208">
        <f>IF($Q208="","",INDEX(인턴계획표[입력오류],$Q208))</f>
        <v/>
      </c>
      <c r="Q208" s="17">
        <f>IFERROR(MATCH(203,인턴계획표[표시순번],0),"")</f>
        <v/>
      </c>
    </row>
    <row r="209">
      <c r="A209">
        <f>IF($Q209="","",INDEX(인턴계획표[순번],$Q209)&amp;"")</f>
        <v/>
      </c>
      <c r="B209">
        <f>IF($Q209="","",TRIM(INDEX(인턴계획표[이름],$Q209)&amp;""))</f>
        <v/>
      </c>
      <c r="C209">
        <f>IF($Q209="","",INDEX(인턴계획표[사번],$Q209)&amp;"")</f>
        <v/>
      </c>
      <c r="D209">
        <f>IF($Q209="","",IF(COUNTIF(기본자료표[사번키],INDEX(인턴계획표[사번키],$Q209))&gt;0,"확인","미등록"))</f>
        <v/>
      </c>
      <c r="E209">
        <f>IF($Q209="","",IF(ISNUMBER(INDEX(인턴계획표[입사일(비고)],$Q209)),TEXT(INDEX(인턴계획표[입사일(비고)],$Q209),"yyyy-mm-dd"),INDEX(인턴계획표[입사일(비고)],$Q209)&amp;""))</f>
        <v/>
      </c>
      <c r="F209">
        <f>IF($Q209="","",IF(IF($G$3="","",INDEX(인턴계획표[[정규화1]:[정규화6]],$Q209,$G$3)&amp;"")="","",IF(LEFT(IF($G$3="","",INDEX(인턴계획표[[정규화1]:[정규화6]],$Q209,$G$3)&amp;""),1)="⚠",IF($G$3="","",INDEX(인턴계획표[[정규화1]:[정규화6]],$Q209,$G$3)&amp;""),IFERROR(LEFT(IF($G$3="","",INDEX(인턴계획표[[정규화1]:[정규화6]],$Q209,$G$3)&amp;""),FIND(" ",IF($G$3="","",INDEX(인턴계획표[[정규화1]:[정규화6]],$Q209,$G$3)&amp;""))-1),IF($G$3="","",INDEX(인턴계획표[[정규화1]:[정규화6]],$Q209,$G$3)&amp;"")))))</f>
        <v/>
      </c>
      <c r="G209">
        <f>IF($Q209="","",IF(IF($G$3="","",INDEX(인턴계획표[[정규화1]:[정규화6]],$Q209,$G$3)&amp;"")="","",IF(LEFT(IF($G$3="","",INDEX(인턴계획표[[정규화1]:[정규화6]],$Q209,$G$3)&amp;""),1)="⚠","",IFERROR(MID(IF($G$3="","",INDEX(인턴계획표[[정규화1]:[정규화6]],$Q209,$G$3)&amp;""),FIND(" ",IF($G$3="","",INDEX(인턴계획표[[정규화1]:[정규화6]],$Q209,$G$3)&amp;""))+1,60),""))))</f>
        <v/>
      </c>
      <c r="H209">
        <f>IF($Q209="","",IF(IF($I$3="","",INDEX(인턴계획표[[정규화1]:[정규화6]],$Q209,$I$3)&amp;"")="","",IF(LEFT(IF($I$3="","",INDEX(인턴계획표[[정규화1]:[정규화6]],$Q209,$I$3)&amp;""),1)="⚠",IF($I$3="","",INDEX(인턴계획표[[정규화1]:[정규화6]],$Q209,$I$3)&amp;""),IFERROR(LEFT(IF($I$3="","",INDEX(인턴계획표[[정규화1]:[정규화6]],$Q209,$I$3)&amp;""),FIND(" ",IF($I$3="","",INDEX(인턴계획표[[정규화1]:[정규화6]],$Q209,$I$3)&amp;""))-1),IF($I$3="","",INDEX(인턴계획표[[정규화1]:[정규화6]],$Q209,$I$3)&amp;"")))))</f>
        <v/>
      </c>
      <c r="I209">
        <f>IF($Q209="","",IF(IF($I$3="","",INDEX(인턴계획표[[정규화1]:[정규화6]],$Q209,$I$3)&amp;"")="","",IF(LEFT(IF($I$3="","",INDEX(인턴계획표[[정규화1]:[정규화6]],$Q209,$I$3)&amp;""),1)="⚠","",IFERROR(MID(IF($I$3="","",INDEX(인턴계획표[[정규화1]:[정규화6]],$Q209,$I$3)&amp;""),FIND(" ",IF($I$3="","",INDEX(인턴계획표[[정규화1]:[정규화6]],$Q209,$I$3)&amp;""))+1,60),""))))</f>
        <v/>
      </c>
      <c r="J209">
        <f>IF($Q209="","",INDEX(인턴계획표[정규화1],$Q209))</f>
        <v/>
      </c>
      <c r="K209">
        <f>IF($Q209="","",INDEX(인턴계획표[정규화2],$Q209))</f>
        <v/>
      </c>
      <c r="L209">
        <f>IF($Q209="","",INDEX(인턴계획표[정규화3],$Q209))</f>
        <v/>
      </c>
      <c r="M209">
        <f>IF($Q209="","",INDEX(인턴계획표[정규화4],$Q209))</f>
        <v/>
      </c>
      <c r="N209">
        <f>IF($Q209="","",INDEX(인턴계획표[정규화5],$Q209))</f>
        <v/>
      </c>
      <c r="O209">
        <f>IF($Q209="","",INDEX(인턴계획표[정규화6],$Q209))</f>
        <v/>
      </c>
      <c r="P209">
        <f>IF($Q209="","",INDEX(인턴계획표[입력오류],$Q209))</f>
        <v/>
      </c>
      <c r="Q209" s="17">
        <f>IFERROR(MATCH(204,인턴계획표[표시순번],0),"")</f>
        <v/>
      </c>
    </row>
    <row r="210">
      <c r="A210">
        <f>IF($Q210="","",INDEX(인턴계획표[순번],$Q210)&amp;"")</f>
        <v/>
      </c>
      <c r="B210">
        <f>IF($Q210="","",TRIM(INDEX(인턴계획표[이름],$Q210)&amp;""))</f>
        <v/>
      </c>
      <c r="C210">
        <f>IF($Q210="","",INDEX(인턴계획표[사번],$Q210)&amp;"")</f>
        <v/>
      </c>
      <c r="D210">
        <f>IF($Q210="","",IF(COUNTIF(기본자료표[사번키],INDEX(인턴계획표[사번키],$Q210))&gt;0,"확인","미등록"))</f>
        <v/>
      </c>
      <c r="E210">
        <f>IF($Q210="","",IF(ISNUMBER(INDEX(인턴계획표[입사일(비고)],$Q210)),TEXT(INDEX(인턴계획표[입사일(비고)],$Q210),"yyyy-mm-dd"),INDEX(인턴계획표[입사일(비고)],$Q210)&amp;""))</f>
        <v/>
      </c>
      <c r="F210">
        <f>IF($Q210="","",IF(IF($G$3="","",INDEX(인턴계획표[[정규화1]:[정규화6]],$Q210,$G$3)&amp;"")="","",IF(LEFT(IF($G$3="","",INDEX(인턴계획표[[정규화1]:[정규화6]],$Q210,$G$3)&amp;""),1)="⚠",IF($G$3="","",INDEX(인턴계획표[[정규화1]:[정규화6]],$Q210,$G$3)&amp;""),IFERROR(LEFT(IF($G$3="","",INDEX(인턴계획표[[정규화1]:[정규화6]],$Q210,$G$3)&amp;""),FIND(" ",IF($G$3="","",INDEX(인턴계획표[[정규화1]:[정규화6]],$Q210,$G$3)&amp;""))-1),IF($G$3="","",INDEX(인턴계획표[[정규화1]:[정규화6]],$Q210,$G$3)&amp;"")))))</f>
        <v/>
      </c>
      <c r="G210">
        <f>IF($Q210="","",IF(IF($G$3="","",INDEX(인턴계획표[[정규화1]:[정규화6]],$Q210,$G$3)&amp;"")="","",IF(LEFT(IF($G$3="","",INDEX(인턴계획표[[정규화1]:[정규화6]],$Q210,$G$3)&amp;""),1)="⚠","",IFERROR(MID(IF($G$3="","",INDEX(인턴계획표[[정규화1]:[정규화6]],$Q210,$G$3)&amp;""),FIND(" ",IF($G$3="","",INDEX(인턴계획표[[정규화1]:[정규화6]],$Q210,$G$3)&amp;""))+1,60),""))))</f>
        <v/>
      </c>
      <c r="H210">
        <f>IF($Q210="","",IF(IF($I$3="","",INDEX(인턴계획표[[정규화1]:[정규화6]],$Q210,$I$3)&amp;"")="","",IF(LEFT(IF($I$3="","",INDEX(인턴계획표[[정규화1]:[정규화6]],$Q210,$I$3)&amp;""),1)="⚠",IF($I$3="","",INDEX(인턴계획표[[정규화1]:[정규화6]],$Q210,$I$3)&amp;""),IFERROR(LEFT(IF($I$3="","",INDEX(인턴계획표[[정규화1]:[정규화6]],$Q210,$I$3)&amp;""),FIND(" ",IF($I$3="","",INDEX(인턴계획표[[정규화1]:[정규화6]],$Q210,$I$3)&amp;""))-1),IF($I$3="","",INDEX(인턴계획표[[정규화1]:[정규화6]],$Q210,$I$3)&amp;"")))))</f>
        <v/>
      </c>
      <c r="I210">
        <f>IF($Q210="","",IF(IF($I$3="","",INDEX(인턴계획표[[정규화1]:[정규화6]],$Q210,$I$3)&amp;"")="","",IF(LEFT(IF($I$3="","",INDEX(인턴계획표[[정규화1]:[정규화6]],$Q210,$I$3)&amp;""),1)="⚠","",IFERROR(MID(IF($I$3="","",INDEX(인턴계획표[[정규화1]:[정규화6]],$Q210,$I$3)&amp;""),FIND(" ",IF($I$3="","",INDEX(인턴계획표[[정규화1]:[정규화6]],$Q210,$I$3)&amp;""))+1,60),""))))</f>
        <v/>
      </c>
      <c r="J210">
        <f>IF($Q210="","",INDEX(인턴계획표[정규화1],$Q210))</f>
        <v/>
      </c>
      <c r="K210">
        <f>IF($Q210="","",INDEX(인턴계획표[정규화2],$Q210))</f>
        <v/>
      </c>
      <c r="L210">
        <f>IF($Q210="","",INDEX(인턴계획표[정규화3],$Q210))</f>
        <v/>
      </c>
      <c r="M210">
        <f>IF($Q210="","",INDEX(인턴계획표[정규화4],$Q210))</f>
        <v/>
      </c>
      <c r="N210">
        <f>IF($Q210="","",INDEX(인턴계획표[정규화5],$Q210))</f>
        <v/>
      </c>
      <c r="O210">
        <f>IF($Q210="","",INDEX(인턴계획표[정규화6],$Q210))</f>
        <v/>
      </c>
      <c r="P210">
        <f>IF($Q210="","",INDEX(인턴계획표[입력오류],$Q210))</f>
        <v/>
      </c>
      <c r="Q210" s="17">
        <f>IFERROR(MATCH(205,인턴계획표[표시순번],0),"")</f>
        <v/>
      </c>
    </row>
    <row r="211">
      <c r="A211">
        <f>IF($Q211="","",INDEX(인턴계획표[순번],$Q211)&amp;"")</f>
        <v/>
      </c>
      <c r="B211">
        <f>IF($Q211="","",TRIM(INDEX(인턴계획표[이름],$Q211)&amp;""))</f>
        <v/>
      </c>
      <c r="C211">
        <f>IF($Q211="","",INDEX(인턴계획표[사번],$Q211)&amp;"")</f>
        <v/>
      </c>
      <c r="D211">
        <f>IF($Q211="","",IF(COUNTIF(기본자료표[사번키],INDEX(인턴계획표[사번키],$Q211))&gt;0,"확인","미등록"))</f>
        <v/>
      </c>
      <c r="E211">
        <f>IF($Q211="","",IF(ISNUMBER(INDEX(인턴계획표[입사일(비고)],$Q211)),TEXT(INDEX(인턴계획표[입사일(비고)],$Q211),"yyyy-mm-dd"),INDEX(인턴계획표[입사일(비고)],$Q211)&amp;""))</f>
        <v/>
      </c>
      <c r="F211">
        <f>IF($Q211="","",IF(IF($G$3="","",INDEX(인턴계획표[[정규화1]:[정규화6]],$Q211,$G$3)&amp;"")="","",IF(LEFT(IF($G$3="","",INDEX(인턴계획표[[정규화1]:[정규화6]],$Q211,$G$3)&amp;""),1)="⚠",IF($G$3="","",INDEX(인턴계획표[[정규화1]:[정규화6]],$Q211,$G$3)&amp;""),IFERROR(LEFT(IF($G$3="","",INDEX(인턴계획표[[정규화1]:[정규화6]],$Q211,$G$3)&amp;""),FIND(" ",IF($G$3="","",INDEX(인턴계획표[[정규화1]:[정규화6]],$Q211,$G$3)&amp;""))-1),IF($G$3="","",INDEX(인턴계획표[[정규화1]:[정규화6]],$Q211,$G$3)&amp;"")))))</f>
        <v/>
      </c>
      <c r="G211">
        <f>IF($Q211="","",IF(IF($G$3="","",INDEX(인턴계획표[[정규화1]:[정규화6]],$Q211,$G$3)&amp;"")="","",IF(LEFT(IF($G$3="","",INDEX(인턴계획표[[정규화1]:[정규화6]],$Q211,$G$3)&amp;""),1)="⚠","",IFERROR(MID(IF($G$3="","",INDEX(인턴계획표[[정규화1]:[정규화6]],$Q211,$G$3)&amp;""),FIND(" ",IF($G$3="","",INDEX(인턴계획표[[정규화1]:[정규화6]],$Q211,$G$3)&amp;""))+1,60),""))))</f>
        <v/>
      </c>
      <c r="H211">
        <f>IF($Q211="","",IF(IF($I$3="","",INDEX(인턴계획표[[정규화1]:[정규화6]],$Q211,$I$3)&amp;"")="","",IF(LEFT(IF($I$3="","",INDEX(인턴계획표[[정규화1]:[정규화6]],$Q211,$I$3)&amp;""),1)="⚠",IF($I$3="","",INDEX(인턴계획표[[정규화1]:[정규화6]],$Q211,$I$3)&amp;""),IFERROR(LEFT(IF($I$3="","",INDEX(인턴계획표[[정규화1]:[정규화6]],$Q211,$I$3)&amp;""),FIND(" ",IF($I$3="","",INDEX(인턴계획표[[정규화1]:[정규화6]],$Q211,$I$3)&amp;""))-1),IF($I$3="","",INDEX(인턴계획표[[정규화1]:[정규화6]],$Q211,$I$3)&amp;"")))))</f>
        <v/>
      </c>
      <c r="I211">
        <f>IF($Q211="","",IF(IF($I$3="","",INDEX(인턴계획표[[정규화1]:[정규화6]],$Q211,$I$3)&amp;"")="","",IF(LEFT(IF($I$3="","",INDEX(인턴계획표[[정규화1]:[정규화6]],$Q211,$I$3)&amp;""),1)="⚠","",IFERROR(MID(IF($I$3="","",INDEX(인턴계획표[[정규화1]:[정규화6]],$Q211,$I$3)&amp;""),FIND(" ",IF($I$3="","",INDEX(인턴계획표[[정규화1]:[정규화6]],$Q211,$I$3)&amp;""))+1,60),""))))</f>
        <v/>
      </c>
      <c r="J211">
        <f>IF($Q211="","",INDEX(인턴계획표[정규화1],$Q211))</f>
        <v/>
      </c>
      <c r="K211">
        <f>IF($Q211="","",INDEX(인턴계획표[정규화2],$Q211))</f>
        <v/>
      </c>
      <c r="L211">
        <f>IF($Q211="","",INDEX(인턴계획표[정규화3],$Q211))</f>
        <v/>
      </c>
      <c r="M211">
        <f>IF($Q211="","",INDEX(인턴계획표[정규화4],$Q211))</f>
        <v/>
      </c>
      <c r="N211">
        <f>IF($Q211="","",INDEX(인턴계획표[정규화5],$Q211))</f>
        <v/>
      </c>
      <c r="O211">
        <f>IF($Q211="","",INDEX(인턴계획표[정규화6],$Q211))</f>
        <v/>
      </c>
      <c r="P211">
        <f>IF($Q211="","",INDEX(인턴계획표[입력오류],$Q211))</f>
        <v/>
      </c>
      <c r="Q211" s="17">
        <f>IFERROR(MATCH(206,인턴계획표[표시순번],0),"")</f>
        <v/>
      </c>
    </row>
    <row r="212">
      <c r="A212">
        <f>IF($Q212="","",INDEX(인턴계획표[순번],$Q212)&amp;"")</f>
        <v/>
      </c>
      <c r="B212">
        <f>IF($Q212="","",TRIM(INDEX(인턴계획표[이름],$Q212)&amp;""))</f>
        <v/>
      </c>
      <c r="C212">
        <f>IF($Q212="","",INDEX(인턴계획표[사번],$Q212)&amp;"")</f>
        <v/>
      </c>
      <c r="D212">
        <f>IF($Q212="","",IF(COUNTIF(기본자료표[사번키],INDEX(인턴계획표[사번키],$Q212))&gt;0,"확인","미등록"))</f>
        <v/>
      </c>
      <c r="E212">
        <f>IF($Q212="","",IF(ISNUMBER(INDEX(인턴계획표[입사일(비고)],$Q212)),TEXT(INDEX(인턴계획표[입사일(비고)],$Q212),"yyyy-mm-dd"),INDEX(인턴계획표[입사일(비고)],$Q212)&amp;""))</f>
        <v/>
      </c>
      <c r="F212">
        <f>IF($Q212="","",IF(IF($G$3="","",INDEX(인턴계획표[[정규화1]:[정규화6]],$Q212,$G$3)&amp;"")="","",IF(LEFT(IF($G$3="","",INDEX(인턴계획표[[정규화1]:[정규화6]],$Q212,$G$3)&amp;""),1)="⚠",IF($G$3="","",INDEX(인턴계획표[[정규화1]:[정규화6]],$Q212,$G$3)&amp;""),IFERROR(LEFT(IF($G$3="","",INDEX(인턴계획표[[정규화1]:[정규화6]],$Q212,$G$3)&amp;""),FIND(" ",IF($G$3="","",INDEX(인턴계획표[[정규화1]:[정규화6]],$Q212,$G$3)&amp;""))-1),IF($G$3="","",INDEX(인턴계획표[[정규화1]:[정규화6]],$Q212,$G$3)&amp;"")))))</f>
        <v/>
      </c>
      <c r="G212">
        <f>IF($Q212="","",IF(IF($G$3="","",INDEX(인턴계획표[[정규화1]:[정규화6]],$Q212,$G$3)&amp;"")="","",IF(LEFT(IF($G$3="","",INDEX(인턴계획표[[정규화1]:[정규화6]],$Q212,$G$3)&amp;""),1)="⚠","",IFERROR(MID(IF($G$3="","",INDEX(인턴계획표[[정규화1]:[정규화6]],$Q212,$G$3)&amp;""),FIND(" ",IF($G$3="","",INDEX(인턴계획표[[정규화1]:[정규화6]],$Q212,$G$3)&amp;""))+1,60),""))))</f>
        <v/>
      </c>
      <c r="H212">
        <f>IF($Q212="","",IF(IF($I$3="","",INDEX(인턴계획표[[정규화1]:[정규화6]],$Q212,$I$3)&amp;"")="","",IF(LEFT(IF($I$3="","",INDEX(인턴계획표[[정규화1]:[정규화6]],$Q212,$I$3)&amp;""),1)="⚠",IF($I$3="","",INDEX(인턴계획표[[정규화1]:[정규화6]],$Q212,$I$3)&amp;""),IFERROR(LEFT(IF($I$3="","",INDEX(인턴계획표[[정규화1]:[정규화6]],$Q212,$I$3)&amp;""),FIND(" ",IF($I$3="","",INDEX(인턴계획표[[정규화1]:[정규화6]],$Q212,$I$3)&amp;""))-1),IF($I$3="","",INDEX(인턴계획표[[정규화1]:[정규화6]],$Q212,$I$3)&amp;"")))))</f>
        <v/>
      </c>
      <c r="I212">
        <f>IF($Q212="","",IF(IF($I$3="","",INDEX(인턴계획표[[정규화1]:[정규화6]],$Q212,$I$3)&amp;"")="","",IF(LEFT(IF($I$3="","",INDEX(인턴계획표[[정규화1]:[정규화6]],$Q212,$I$3)&amp;""),1)="⚠","",IFERROR(MID(IF($I$3="","",INDEX(인턴계획표[[정규화1]:[정규화6]],$Q212,$I$3)&amp;""),FIND(" ",IF($I$3="","",INDEX(인턴계획표[[정규화1]:[정규화6]],$Q212,$I$3)&amp;""))+1,60),""))))</f>
        <v/>
      </c>
      <c r="J212">
        <f>IF($Q212="","",INDEX(인턴계획표[정규화1],$Q212))</f>
        <v/>
      </c>
      <c r="K212">
        <f>IF($Q212="","",INDEX(인턴계획표[정규화2],$Q212))</f>
        <v/>
      </c>
      <c r="L212">
        <f>IF($Q212="","",INDEX(인턴계획표[정규화3],$Q212))</f>
        <v/>
      </c>
      <c r="M212">
        <f>IF($Q212="","",INDEX(인턴계획표[정규화4],$Q212))</f>
        <v/>
      </c>
      <c r="N212">
        <f>IF($Q212="","",INDEX(인턴계획표[정규화5],$Q212))</f>
        <v/>
      </c>
      <c r="O212">
        <f>IF($Q212="","",INDEX(인턴계획표[정규화6],$Q212))</f>
        <v/>
      </c>
      <c r="P212">
        <f>IF($Q212="","",INDEX(인턴계획표[입력오류],$Q212))</f>
        <v/>
      </c>
      <c r="Q212" s="17">
        <f>IFERROR(MATCH(207,인턴계획표[표시순번],0),"")</f>
        <v/>
      </c>
    </row>
    <row r="213">
      <c r="A213">
        <f>IF($Q213="","",INDEX(인턴계획표[순번],$Q213)&amp;"")</f>
        <v/>
      </c>
      <c r="B213">
        <f>IF($Q213="","",TRIM(INDEX(인턴계획표[이름],$Q213)&amp;""))</f>
        <v/>
      </c>
      <c r="C213">
        <f>IF($Q213="","",INDEX(인턴계획표[사번],$Q213)&amp;"")</f>
        <v/>
      </c>
      <c r="D213">
        <f>IF($Q213="","",IF(COUNTIF(기본자료표[사번키],INDEX(인턴계획표[사번키],$Q213))&gt;0,"확인","미등록"))</f>
        <v/>
      </c>
      <c r="E213">
        <f>IF($Q213="","",IF(ISNUMBER(INDEX(인턴계획표[입사일(비고)],$Q213)),TEXT(INDEX(인턴계획표[입사일(비고)],$Q213),"yyyy-mm-dd"),INDEX(인턴계획표[입사일(비고)],$Q213)&amp;""))</f>
        <v/>
      </c>
      <c r="F213">
        <f>IF($Q213="","",IF(IF($G$3="","",INDEX(인턴계획표[[정규화1]:[정규화6]],$Q213,$G$3)&amp;"")="","",IF(LEFT(IF($G$3="","",INDEX(인턴계획표[[정규화1]:[정규화6]],$Q213,$G$3)&amp;""),1)="⚠",IF($G$3="","",INDEX(인턴계획표[[정규화1]:[정규화6]],$Q213,$G$3)&amp;""),IFERROR(LEFT(IF($G$3="","",INDEX(인턴계획표[[정규화1]:[정규화6]],$Q213,$G$3)&amp;""),FIND(" ",IF($G$3="","",INDEX(인턴계획표[[정규화1]:[정규화6]],$Q213,$G$3)&amp;""))-1),IF($G$3="","",INDEX(인턴계획표[[정규화1]:[정규화6]],$Q213,$G$3)&amp;"")))))</f>
        <v/>
      </c>
      <c r="G213">
        <f>IF($Q213="","",IF(IF($G$3="","",INDEX(인턴계획표[[정규화1]:[정규화6]],$Q213,$G$3)&amp;"")="","",IF(LEFT(IF($G$3="","",INDEX(인턴계획표[[정규화1]:[정규화6]],$Q213,$G$3)&amp;""),1)="⚠","",IFERROR(MID(IF($G$3="","",INDEX(인턴계획표[[정규화1]:[정규화6]],$Q213,$G$3)&amp;""),FIND(" ",IF($G$3="","",INDEX(인턴계획표[[정규화1]:[정규화6]],$Q213,$G$3)&amp;""))+1,60),""))))</f>
        <v/>
      </c>
      <c r="H213">
        <f>IF($Q213="","",IF(IF($I$3="","",INDEX(인턴계획표[[정규화1]:[정규화6]],$Q213,$I$3)&amp;"")="","",IF(LEFT(IF($I$3="","",INDEX(인턴계획표[[정규화1]:[정규화6]],$Q213,$I$3)&amp;""),1)="⚠",IF($I$3="","",INDEX(인턴계획표[[정규화1]:[정규화6]],$Q213,$I$3)&amp;""),IFERROR(LEFT(IF($I$3="","",INDEX(인턴계획표[[정규화1]:[정규화6]],$Q213,$I$3)&amp;""),FIND(" ",IF($I$3="","",INDEX(인턴계획표[[정규화1]:[정규화6]],$Q213,$I$3)&amp;""))-1),IF($I$3="","",INDEX(인턴계획표[[정규화1]:[정규화6]],$Q213,$I$3)&amp;"")))))</f>
        <v/>
      </c>
      <c r="I213">
        <f>IF($Q213="","",IF(IF($I$3="","",INDEX(인턴계획표[[정규화1]:[정규화6]],$Q213,$I$3)&amp;"")="","",IF(LEFT(IF($I$3="","",INDEX(인턴계획표[[정규화1]:[정규화6]],$Q213,$I$3)&amp;""),1)="⚠","",IFERROR(MID(IF($I$3="","",INDEX(인턴계획표[[정규화1]:[정규화6]],$Q213,$I$3)&amp;""),FIND(" ",IF($I$3="","",INDEX(인턴계획표[[정규화1]:[정규화6]],$Q213,$I$3)&amp;""))+1,60),""))))</f>
        <v/>
      </c>
      <c r="J213">
        <f>IF($Q213="","",INDEX(인턴계획표[정규화1],$Q213))</f>
        <v/>
      </c>
      <c r="K213">
        <f>IF($Q213="","",INDEX(인턴계획표[정규화2],$Q213))</f>
        <v/>
      </c>
      <c r="L213">
        <f>IF($Q213="","",INDEX(인턴계획표[정규화3],$Q213))</f>
        <v/>
      </c>
      <c r="M213">
        <f>IF($Q213="","",INDEX(인턴계획표[정규화4],$Q213))</f>
        <v/>
      </c>
      <c r="N213">
        <f>IF($Q213="","",INDEX(인턴계획표[정규화5],$Q213))</f>
        <v/>
      </c>
      <c r="O213">
        <f>IF($Q213="","",INDEX(인턴계획표[정규화6],$Q213))</f>
        <v/>
      </c>
      <c r="P213">
        <f>IF($Q213="","",INDEX(인턴계획표[입력오류],$Q213))</f>
        <v/>
      </c>
      <c r="Q213" s="17">
        <f>IFERROR(MATCH(208,인턴계획표[표시순번],0),"")</f>
        <v/>
      </c>
    </row>
    <row r="214">
      <c r="A214">
        <f>IF($Q214="","",INDEX(인턴계획표[순번],$Q214)&amp;"")</f>
        <v/>
      </c>
      <c r="B214">
        <f>IF($Q214="","",TRIM(INDEX(인턴계획표[이름],$Q214)&amp;""))</f>
        <v/>
      </c>
      <c r="C214">
        <f>IF($Q214="","",INDEX(인턴계획표[사번],$Q214)&amp;"")</f>
        <v/>
      </c>
      <c r="D214">
        <f>IF($Q214="","",IF(COUNTIF(기본자료표[사번키],INDEX(인턴계획표[사번키],$Q214))&gt;0,"확인","미등록"))</f>
        <v/>
      </c>
      <c r="E214">
        <f>IF($Q214="","",IF(ISNUMBER(INDEX(인턴계획표[입사일(비고)],$Q214)),TEXT(INDEX(인턴계획표[입사일(비고)],$Q214),"yyyy-mm-dd"),INDEX(인턴계획표[입사일(비고)],$Q214)&amp;""))</f>
        <v/>
      </c>
      <c r="F214">
        <f>IF($Q214="","",IF(IF($G$3="","",INDEX(인턴계획표[[정규화1]:[정규화6]],$Q214,$G$3)&amp;"")="","",IF(LEFT(IF($G$3="","",INDEX(인턴계획표[[정규화1]:[정규화6]],$Q214,$G$3)&amp;""),1)="⚠",IF($G$3="","",INDEX(인턴계획표[[정규화1]:[정규화6]],$Q214,$G$3)&amp;""),IFERROR(LEFT(IF($G$3="","",INDEX(인턴계획표[[정규화1]:[정규화6]],$Q214,$G$3)&amp;""),FIND(" ",IF($G$3="","",INDEX(인턴계획표[[정규화1]:[정규화6]],$Q214,$G$3)&amp;""))-1),IF($G$3="","",INDEX(인턴계획표[[정규화1]:[정규화6]],$Q214,$G$3)&amp;"")))))</f>
        <v/>
      </c>
      <c r="G214">
        <f>IF($Q214="","",IF(IF($G$3="","",INDEX(인턴계획표[[정규화1]:[정규화6]],$Q214,$G$3)&amp;"")="","",IF(LEFT(IF($G$3="","",INDEX(인턴계획표[[정규화1]:[정규화6]],$Q214,$G$3)&amp;""),1)="⚠","",IFERROR(MID(IF($G$3="","",INDEX(인턴계획표[[정규화1]:[정규화6]],$Q214,$G$3)&amp;""),FIND(" ",IF($G$3="","",INDEX(인턴계획표[[정규화1]:[정규화6]],$Q214,$G$3)&amp;""))+1,60),""))))</f>
        <v/>
      </c>
      <c r="H214">
        <f>IF($Q214="","",IF(IF($I$3="","",INDEX(인턴계획표[[정규화1]:[정규화6]],$Q214,$I$3)&amp;"")="","",IF(LEFT(IF($I$3="","",INDEX(인턴계획표[[정규화1]:[정규화6]],$Q214,$I$3)&amp;""),1)="⚠",IF($I$3="","",INDEX(인턴계획표[[정규화1]:[정규화6]],$Q214,$I$3)&amp;""),IFERROR(LEFT(IF($I$3="","",INDEX(인턴계획표[[정규화1]:[정규화6]],$Q214,$I$3)&amp;""),FIND(" ",IF($I$3="","",INDEX(인턴계획표[[정규화1]:[정규화6]],$Q214,$I$3)&amp;""))-1),IF($I$3="","",INDEX(인턴계획표[[정규화1]:[정규화6]],$Q214,$I$3)&amp;"")))))</f>
        <v/>
      </c>
      <c r="I214">
        <f>IF($Q214="","",IF(IF($I$3="","",INDEX(인턴계획표[[정규화1]:[정규화6]],$Q214,$I$3)&amp;"")="","",IF(LEFT(IF($I$3="","",INDEX(인턴계획표[[정규화1]:[정규화6]],$Q214,$I$3)&amp;""),1)="⚠","",IFERROR(MID(IF($I$3="","",INDEX(인턴계획표[[정규화1]:[정규화6]],$Q214,$I$3)&amp;""),FIND(" ",IF($I$3="","",INDEX(인턴계획표[[정규화1]:[정규화6]],$Q214,$I$3)&amp;""))+1,60),""))))</f>
        <v/>
      </c>
      <c r="J214">
        <f>IF($Q214="","",INDEX(인턴계획표[정규화1],$Q214))</f>
        <v/>
      </c>
      <c r="K214">
        <f>IF($Q214="","",INDEX(인턴계획표[정규화2],$Q214))</f>
        <v/>
      </c>
      <c r="L214">
        <f>IF($Q214="","",INDEX(인턴계획표[정규화3],$Q214))</f>
        <v/>
      </c>
      <c r="M214">
        <f>IF($Q214="","",INDEX(인턴계획표[정규화4],$Q214))</f>
        <v/>
      </c>
      <c r="N214">
        <f>IF($Q214="","",INDEX(인턴계획표[정규화5],$Q214))</f>
        <v/>
      </c>
      <c r="O214">
        <f>IF($Q214="","",INDEX(인턴계획표[정규화6],$Q214))</f>
        <v/>
      </c>
      <c r="P214">
        <f>IF($Q214="","",INDEX(인턴계획표[입력오류],$Q214))</f>
        <v/>
      </c>
      <c r="Q214" s="17">
        <f>IFERROR(MATCH(209,인턴계획표[표시순번],0),"")</f>
        <v/>
      </c>
    </row>
    <row r="215">
      <c r="A215">
        <f>IF($Q215="","",INDEX(인턴계획표[순번],$Q215)&amp;"")</f>
        <v/>
      </c>
      <c r="B215">
        <f>IF($Q215="","",TRIM(INDEX(인턴계획표[이름],$Q215)&amp;""))</f>
        <v/>
      </c>
      <c r="C215">
        <f>IF($Q215="","",INDEX(인턴계획표[사번],$Q215)&amp;"")</f>
        <v/>
      </c>
      <c r="D215">
        <f>IF($Q215="","",IF(COUNTIF(기본자료표[사번키],INDEX(인턴계획표[사번키],$Q215))&gt;0,"확인","미등록"))</f>
        <v/>
      </c>
      <c r="E215">
        <f>IF($Q215="","",IF(ISNUMBER(INDEX(인턴계획표[입사일(비고)],$Q215)),TEXT(INDEX(인턴계획표[입사일(비고)],$Q215),"yyyy-mm-dd"),INDEX(인턴계획표[입사일(비고)],$Q215)&amp;""))</f>
        <v/>
      </c>
      <c r="F215">
        <f>IF($Q215="","",IF(IF($G$3="","",INDEX(인턴계획표[[정규화1]:[정규화6]],$Q215,$G$3)&amp;"")="","",IF(LEFT(IF($G$3="","",INDEX(인턴계획표[[정규화1]:[정규화6]],$Q215,$G$3)&amp;""),1)="⚠",IF($G$3="","",INDEX(인턴계획표[[정규화1]:[정규화6]],$Q215,$G$3)&amp;""),IFERROR(LEFT(IF($G$3="","",INDEX(인턴계획표[[정규화1]:[정규화6]],$Q215,$G$3)&amp;""),FIND(" ",IF($G$3="","",INDEX(인턴계획표[[정규화1]:[정규화6]],$Q215,$G$3)&amp;""))-1),IF($G$3="","",INDEX(인턴계획표[[정규화1]:[정규화6]],$Q215,$G$3)&amp;"")))))</f>
        <v/>
      </c>
      <c r="G215">
        <f>IF($Q215="","",IF(IF($G$3="","",INDEX(인턴계획표[[정규화1]:[정규화6]],$Q215,$G$3)&amp;"")="","",IF(LEFT(IF($G$3="","",INDEX(인턴계획표[[정규화1]:[정규화6]],$Q215,$G$3)&amp;""),1)="⚠","",IFERROR(MID(IF($G$3="","",INDEX(인턴계획표[[정규화1]:[정규화6]],$Q215,$G$3)&amp;""),FIND(" ",IF($G$3="","",INDEX(인턴계획표[[정규화1]:[정규화6]],$Q215,$G$3)&amp;""))+1,60),""))))</f>
        <v/>
      </c>
      <c r="H215">
        <f>IF($Q215="","",IF(IF($I$3="","",INDEX(인턴계획표[[정규화1]:[정규화6]],$Q215,$I$3)&amp;"")="","",IF(LEFT(IF($I$3="","",INDEX(인턴계획표[[정규화1]:[정규화6]],$Q215,$I$3)&amp;""),1)="⚠",IF($I$3="","",INDEX(인턴계획표[[정규화1]:[정규화6]],$Q215,$I$3)&amp;""),IFERROR(LEFT(IF($I$3="","",INDEX(인턴계획표[[정규화1]:[정규화6]],$Q215,$I$3)&amp;""),FIND(" ",IF($I$3="","",INDEX(인턴계획표[[정규화1]:[정규화6]],$Q215,$I$3)&amp;""))-1),IF($I$3="","",INDEX(인턴계획표[[정규화1]:[정규화6]],$Q215,$I$3)&amp;"")))))</f>
        <v/>
      </c>
      <c r="I215">
        <f>IF($Q215="","",IF(IF($I$3="","",INDEX(인턴계획표[[정규화1]:[정규화6]],$Q215,$I$3)&amp;"")="","",IF(LEFT(IF($I$3="","",INDEX(인턴계획표[[정규화1]:[정규화6]],$Q215,$I$3)&amp;""),1)="⚠","",IFERROR(MID(IF($I$3="","",INDEX(인턴계획표[[정규화1]:[정규화6]],$Q215,$I$3)&amp;""),FIND(" ",IF($I$3="","",INDEX(인턴계획표[[정규화1]:[정규화6]],$Q215,$I$3)&amp;""))+1,60),""))))</f>
        <v/>
      </c>
      <c r="J215">
        <f>IF($Q215="","",INDEX(인턴계획표[정규화1],$Q215))</f>
        <v/>
      </c>
      <c r="K215">
        <f>IF($Q215="","",INDEX(인턴계획표[정규화2],$Q215))</f>
        <v/>
      </c>
      <c r="L215">
        <f>IF($Q215="","",INDEX(인턴계획표[정규화3],$Q215))</f>
        <v/>
      </c>
      <c r="M215">
        <f>IF($Q215="","",INDEX(인턴계획표[정규화4],$Q215))</f>
        <v/>
      </c>
      <c r="N215">
        <f>IF($Q215="","",INDEX(인턴계획표[정규화5],$Q215))</f>
        <v/>
      </c>
      <c r="O215">
        <f>IF($Q215="","",INDEX(인턴계획표[정규화6],$Q215))</f>
        <v/>
      </c>
      <c r="P215">
        <f>IF($Q215="","",INDEX(인턴계획표[입력오류],$Q215))</f>
        <v/>
      </c>
      <c r="Q215" s="17">
        <f>IFERROR(MATCH(210,인턴계획표[표시순번],0),"")</f>
        <v/>
      </c>
    </row>
    <row r="216">
      <c r="A216">
        <f>IF($Q216="","",INDEX(인턴계획표[순번],$Q216)&amp;"")</f>
        <v/>
      </c>
      <c r="B216">
        <f>IF($Q216="","",TRIM(INDEX(인턴계획표[이름],$Q216)&amp;""))</f>
        <v/>
      </c>
      <c r="C216">
        <f>IF($Q216="","",INDEX(인턴계획표[사번],$Q216)&amp;"")</f>
        <v/>
      </c>
      <c r="D216">
        <f>IF($Q216="","",IF(COUNTIF(기본자료표[사번키],INDEX(인턴계획표[사번키],$Q216))&gt;0,"확인","미등록"))</f>
        <v/>
      </c>
      <c r="E216">
        <f>IF($Q216="","",IF(ISNUMBER(INDEX(인턴계획표[입사일(비고)],$Q216)),TEXT(INDEX(인턴계획표[입사일(비고)],$Q216),"yyyy-mm-dd"),INDEX(인턴계획표[입사일(비고)],$Q216)&amp;""))</f>
        <v/>
      </c>
      <c r="F216">
        <f>IF($Q216="","",IF(IF($G$3="","",INDEX(인턴계획표[[정규화1]:[정규화6]],$Q216,$G$3)&amp;"")="","",IF(LEFT(IF($G$3="","",INDEX(인턴계획표[[정규화1]:[정규화6]],$Q216,$G$3)&amp;""),1)="⚠",IF($G$3="","",INDEX(인턴계획표[[정규화1]:[정규화6]],$Q216,$G$3)&amp;""),IFERROR(LEFT(IF($G$3="","",INDEX(인턴계획표[[정규화1]:[정규화6]],$Q216,$G$3)&amp;""),FIND(" ",IF($G$3="","",INDEX(인턴계획표[[정규화1]:[정규화6]],$Q216,$G$3)&amp;""))-1),IF($G$3="","",INDEX(인턴계획표[[정규화1]:[정규화6]],$Q216,$G$3)&amp;"")))))</f>
        <v/>
      </c>
      <c r="G216">
        <f>IF($Q216="","",IF(IF($G$3="","",INDEX(인턴계획표[[정규화1]:[정규화6]],$Q216,$G$3)&amp;"")="","",IF(LEFT(IF($G$3="","",INDEX(인턴계획표[[정규화1]:[정규화6]],$Q216,$G$3)&amp;""),1)="⚠","",IFERROR(MID(IF($G$3="","",INDEX(인턴계획표[[정규화1]:[정규화6]],$Q216,$G$3)&amp;""),FIND(" ",IF($G$3="","",INDEX(인턴계획표[[정규화1]:[정규화6]],$Q216,$G$3)&amp;""))+1,60),""))))</f>
        <v/>
      </c>
      <c r="H216">
        <f>IF($Q216="","",IF(IF($I$3="","",INDEX(인턴계획표[[정규화1]:[정규화6]],$Q216,$I$3)&amp;"")="","",IF(LEFT(IF($I$3="","",INDEX(인턴계획표[[정규화1]:[정규화6]],$Q216,$I$3)&amp;""),1)="⚠",IF($I$3="","",INDEX(인턴계획표[[정규화1]:[정규화6]],$Q216,$I$3)&amp;""),IFERROR(LEFT(IF($I$3="","",INDEX(인턴계획표[[정규화1]:[정규화6]],$Q216,$I$3)&amp;""),FIND(" ",IF($I$3="","",INDEX(인턴계획표[[정규화1]:[정규화6]],$Q216,$I$3)&amp;""))-1),IF($I$3="","",INDEX(인턴계획표[[정규화1]:[정규화6]],$Q216,$I$3)&amp;"")))))</f>
        <v/>
      </c>
      <c r="I216">
        <f>IF($Q216="","",IF(IF($I$3="","",INDEX(인턴계획표[[정규화1]:[정규화6]],$Q216,$I$3)&amp;"")="","",IF(LEFT(IF($I$3="","",INDEX(인턴계획표[[정규화1]:[정규화6]],$Q216,$I$3)&amp;""),1)="⚠","",IFERROR(MID(IF($I$3="","",INDEX(인턴계획표[[정규화1]:[정규화6]],$Q216,$I$3)&amp;""),FIND(" ",IF($I$3="","",INDEX(인턴계획표[[정규화1]:[정규화6]],$Q216,$I$3)&amp;""))+1,60),""))))</f>
        <v/>
      </c>
      <c r="J216">
        <f>IF($Q216="","",INDEX(인턴계획표[정규화1],$Q216))</f>
        <v/>
      </c>
      <c r="K216">
        <f>IF($Q216="","",INDEX(인턴계획표[정규화2],$Q216))</f>
        <v/>
      </c>
      <c r="L216">
        <f>IF($Q216="","",INDEX(인턴계획표[정규화3],$Q216))</f>
        <v/>
      </c>
      <c r="M216">
        <f>IF($Q216="","",INDEX(인턴계획표[정규화4],$Q216))</f>
        <v/>
      </c>
      <c r="N216">
        <f>IF($Q216="","",INDEX(인턴계획표[정규화5],$Q216))</f>
        <v/>
      </c>
      <c r="O216">
        <f>IF($Q216="","",INDEX(인턴계획표[정규화6],$Q216))</f>
        <v/>
      </c>
      <c r="P216">
        <f>IF($Q216="","",INDEX(인턴계획표[입력오류],$Q216))</f>
        <v/>
      </c>
      <c r="Q216" s="17">
        <f>IFERROR(MATCH(211,인턴계획표[표시순번],0),"")</f>
        <v/>
      </c>
    </row>
    <row r="217">
      <c r="A217">
        <f>IF($Q217="","",INDEX(인턴계획표[순번],$Q217)&amp;"")</f>
        <v/>
      </c>
      <c r="B217">
        <f>IF($Q217="","",TRIM(INDEX(인턴계획표[이름],$Q217)&amp;""))</f>
        <v/>
      </c>
      <c r="C217">
        <f>IF($Q217="","",INDEX(인턴계획표[사번],$Q217)&amp;"")</f>
        <v/>
      </c>
      <c r="D217">
        <f>IF($Q217="","",IF(COUNTIF(기본자료표[사번키],INDEX(인턴계획표[사번키],$Q217))&gt;0,"확인","미등록"))</f>
        <v/>
      </c>
      <c r="E217">
        <f>IF($Q217="","",IF(ISNUMBER(INDEX(인턴계획표[입사일(비고)],$Q217)),TEXT(INDEX(인턴계획표[입사일(비고)],$Q217),"yyyy-mm-dd"),INDEX(인턴계획표[입사일(비고)],$Q217)&amp;""))</f>
        <v/>
      </c>
      <c r="F217">
        <f>IF($Q217="","",IF(IF($G$3="","",INDEX(인턴계획표[[정규화1]:[정규화6]],$Q217,$G$3)&amp;"")="","",IF(LEFT(IF($G$3="","",INDEX(인턴계획표[[정규화1]:[정규화6]],$Q217,$G$3)&amp;""),1)="⚠",IF($G$3="","",INDEX(인턴계획표[[정규화1]:[정규화6]],$Q217,$G$3)&amp;""),IFERROR(LEFT(IF($G$3="","",INDEX(인턴계획표[[정규화1]:[정규화6]],$Q217,$G$3)&amp;""),FIND(" ",IF($G$3="","",INDEX(인턴계획표[[정규화1]:[정규화6]],$Q217,$G$3)&amp;""))-1),IF($G$3="","",INDEX(인턴계획표[[정규화1]:[정규화6]],$Q217,$G$3)&amp;"")))))</f>
        <v/>
      </c>
      <c r="G217">
        <f>IF($Q217="","",IF(IF($G$3="","",INDEX(인턴계획표[[정규화1]:[정규화6]],$Q217,$G$3)&amp;"")="","",IF(LEFT(IF($G$3="","",INDEX(인턴계획표[[정규화1]:[정규화6]],$Q217,$G$3)&amp;""),1)="⚠","",IFERROR(MID(IF($G$3="","",INDEX(인턴계획표[[정규화1]:[정규화6]],$Q217,$G$3)&amp;""),FIND(" ",IF($G$3="","",INDEX(인턴계획표[[정규화1]:[정규화6]],$Q217,$G$3)&amp;""))+1,60),""))))</f>
        <v/>
      </c>
      <c r="H217">
        <f>IF($Q217="","",IF(IF($I$3="","",INDEX(인턴계획표[[정규화1]:[정규화6]],$Q217,$I$3)&amp;"")="","",IF(LEFT(IF($I$3="","",INDEX(인턴계획표[[정규화1]:[정규화6]],$Q217,$I$3)&amp;""),1)="⚠",IF($I$3="","",INDEX(인턴계획표[[정규화1]:[정규화6]],$Q217,$I$3)&amp;""),IFERROR(LEFT(IF($I$3="","",INDEX(인턴계획표[[정규화1]:[정규화6]],$Q217,$I$3)&amp;""),FIND(" ",IF($I$3="","",INDEX(인턴계획표[[정규화1]:[정규화6]],$Q217,$I$3)&amp;""))-1),IF($I$3="","",INDEX(인턴계획표[[정규화1]:[정규화6]],$Q217,$I$3)&amp;"")))))</f>
        <v/>
      </c>
      <c r="I217">
        <f>IF($Q217="","",IF(IF($I$3="","",INDEX(인턴계획표[[정규화1]:[정규화6]],$Q217,$I$3)&amp;"")="","",IF(LEFT(IF($I$3="","",INDEX(인턴계획표[[정규화1]:[정규화6]],$Q217,$I$3)&amp;""),1)="⚠","",IFERROR(MID(IF($I$3="","",INDEX(인턴계획표[[정규화1]:[정규화6]],$Q217,$I$3)&amp;""),FIND(" ",IF($I$3="","",INDEX(인턴계획표[[정규화1]:[정규화6]],$Q217,$I$3)&amp;""))+1,60),""))))</f>
        <v/>
      </c>
      <c r="J217">
        <f>IF($Q217="","",INDEX(인턴계획표[정규화1],$Q217))</f>
        <v/>
      </c>
      <c r="K217">
        <f>IF($Q217="","",INDEX(인턴계획표[정규화2],$Q217))</f>
        <v/>
      </c>
      <c r="L217">
        <f>IF($Q217="","",INDEX(인턴계획표[정규화3],$Q217))</f>
        <v/>
      </c>
      <c r="M217">
        <f>IF($Q217="","",INDEX(인턴계획표[정규화4],$Q217))</f>
        <v/>
      </c>
      <c r="N217">
        <f>IF($Q217="","",INDEX(인턴계획표[정규화5],$Q217))</f>
        <v/>
      </c>
      <c r="O217">
        <f>IF($Q217="","",INDEX(인턴계획표[정규화6],$Q217))</f>
        <v/>
      </c>
      <c r="P217">
        <f>IF($Q217="","",INDEX(인턴계획표[입력오류],$Q217))</f>
        <v/>
      </c>
      <c r="Q217" s="17">
        <f>IFERROR(MATCH(212,인턴계획표[표시순번],0),"")</f>
        <v/>
      </c>
    </row>
    <row r="218">
      <c r="A218">
        <f>IF($Q218="","",INDEX(인턴계획표[순번],$Q218)&amp;"")</f>
        <v/>
      </c>
      <c r="B218">
        <f>IF($Q218="","",TRIM(INDEX(인턴계획표[이름],$Q218)&amp;""))</f>
        <v/>
      </c>
      <c r="C218">
        <f>IF($Q218="","",INDEX(인턴계획표[사번],$Q218)&amp;"")</f>
        <v/>
      </c>
      <c r="D218">
        <f>IF($Q218="","",IF(COUNTIF(기본자료표[사번키],INDEX(인턴계획표[사번키],$Q218))&gt;0,"확인","미등록"))</f>
        <v/>
      </c>
      <c r="E218">
        <f>IF($Q218="","",IF(ISNUMBER(INDEX(인턴계획표[입사일(비고)],$Q218)),TEXT(INDEX(인턴계획표[입사일(비고)],$Q218),"yyyy-mm-dd"),INDEX(인턴계획표[입사일(비고)],$Q218)&amp;""))</f>
        <v/>
      </c>
      <c r="F218">
        <f>IF($Q218="","",IF(IF($G$3="","",INDEX(인턴계획표[[정규화1]:[정규화6]],$Q218,$G$3)&amp;"")="","",IF(LEFT(IF($G$3="","",INDEX(인턴계획표[[정규화1]:[정규화6]],$Q218,$G$3)&amp;""),1)="⚠",IF($G$3="","",INDEX(인턴계획표[[정규화1]:[정규화6]],$Q218,$G$3)&amp;""),IFERROR(LEFT(IF($G$3="","",INDEX(인턴계획표[[정규화1]:[정규화6]],$Q218,$G$3)&amp;""),FIND(" ",IF($G$3="","",INDEX(인턴계획표[[정규화1]:[정규화6]],$Q218,$G$3)&amp;""))-1),IF($G$3="","",INDEX(인턴계획표[[정규화1]:[정규화6]],$Q218,$G$3)&amp;"")))))</f>
        <v/>
      </c>
      <c r="G218">
        <f>IF($Q218="","",IF(IF($G$3="","",INDEX(인턴계획표[[정규화1]:[정규화6]],$Q218,$G$3)&amp;"")="","",IF(LEFT(IF($G$3="","",INDEX(인턴계획표[[정규화1]:[정규화6]],$Q218,$G$3)&amp;""),1)="⚠","",IFERROR(MID(IF($G$3="","",INDEX(인턴계획표[[정규화1]:[정규화6]],$Q218,$G$3)&amp;""),FIND(" ",IF($G$3="","",INDEX(인턴계획표[[정규화1]:[정규화6]],$Q218,$G$3)&amp;""))+1,60),""))))</f>
        <v/>
      </c>
      <c r="H218">
        <f>IF($Q218="","",IF(IF($I$3="","",INDEX(인턴계획표[[정규화1]:[정규화6]],$Q218,$I$3)&amp;"")="","",IF(LEFT(IF($I$3="","",INDEX(인턴계획표[[정규화1]:[정규화6]],$Q218,$I$3)&amp;""),1)="⚠",IF($I$3="","",INDEX(인턴계획표[[정규화1]:[정규화6]],$Q218,$I$3)&amp;""),IFERROR(LEFT(IF($I$3="","",INDEX(인턴계획표[[정규화1]:[정규화6]],$Q218,$I$3)&amp;""),FIND(" ",IF($I$3="","",INDEX(인턴계획표[[정규화1]:[정규화6]],$Q218,$I$3)&amp;""))-1),IF($I$3="","",INDEX(인턴계획표[[정규화1]:[정규화6]],$Q218,$I$3)&amp;"")))))</f>
        <v/>
      </c>
      <c r="I218">
        <f>IF($Q218="","",IF(IF($I$3="","",INDEX(인턴계획표[[정규화1]:[정규화6]],$Q218,$I$3)&amp;"")="","",IF(LEFT(IF($I$3="","",INDEX(인턴계획표[[정규화1]:[정규화6]],$Q218,$I$3)&amp;""),1)="⚠","",IFERROR(MID(IF($I$3="","",INDEX(인턴계획표[[정규화1]:[정규화6]],$Q218,$I$3)&amp;""),FIND(" ",IF($I$3="","",INDEX(인턴계획표[[정규화1]:[정규화6]],$Q218,$I$3)&amp;""))+1,60),""))))</f>
        <v/>
      </c>
      <c r="J218">
        <f>IF($Q218="","",INDEX(인턴계획표[정규화1],$Q218))</f>
        <v/>
      </c>
      <c r="K218">
        <f>IF($Q218="","",INDEX(인턴계획표[정규화2],$Q218))</f>
        <v/>
      </c>
      <c r="L218">
        <f>IF($Q218="","",INDEX(인턴계획표[정규화3],$Q218))</f>
        <v/>
      </c>
      <c r="M218">
        <f>IF($Q218="","",INDEX(인턴계획표[정규화4],$Q218))</f>
        <v/>
      </c>
      <c r="N218">
        <f>IF($Q218="","",INDEX(인턴계획표[정규화5],$Q218))</f>
        <v/>
      </c>
      <c r="O218">
        <f>IF($Q218="","",INDEX(인턴계획표[정규화6],$Q218))</f>
        <v/>
      </c>
      <c r="P218">
        <f>IF($Q218="","",INDEX(인턴계획표[입력오류],$Q218))</f>
        <v/>
      </c>
      <c r="Q218" s="17">
        <f>IFERROR(MATCH(213,인턴계획표[표시순번],0),"")</f>
        <v/>
      </c>
    </row>
    <row r="219">
      <c r="A219">
        <f>IF($Q219="","",INDEX(인턴계획표[순번],$Q219)&amp;"")</f>
        <v/>
      </c>
      <c r="B219">
        <f>IF($Q219="","",TRIM(INDEX(인턴계획표[이름],$Q219)&amp;""))</f>
        <v/>
      </c>
      <c r="C219">
        <f>IF($Q219="","",INDEX(인턴계획표[사번],$Q219)&amp;"")</f>
        <v/>
      </c>
      <c r="D219">
        <f>IF($Q219="","",IF(COUNTIF(기본자료표[사번키],INDEX(인턴계획표[사번키],$Q219))&gt;0,"확인","미등록"))</f>
        <v/>
      </c>
      <c r="E219">
        <f>IF($Q219="","",IF(ISNUMBER(INDEX(인턴계획표[입사일(비고)],$Q219)),TEXT(INDEX(인턴계획표[입사일(비고)],$Q219),"yyyy-mm-dd"),INDEX(인턴계획표[입사일(비고)],$Q219)&amp;""))</f>
        <v/>
      </c>
      <c r="F219">
        <f>IF($Q219="","",IF(IF($G$3="","",INDEX(인턴계획표[[정규화1]:[정규화6]],$Q219,$G$3)&amp;"")="","",IF(LEFT(IF($G$3="","",INDEX(인턴계획표[[정규화1]:[정규화6]],$Q219,$G$3)&amp;""),1)="⚠",IF($G$3="","",INDEX(인턴계획표[[정규화1]:[정규화6]],$Q219,$G$3)&amp;""),IFERROR(LEFT(IF($G$3="","",INDEX(인턴계획표[[정규화1]:[정규화6]],$Q219,$G$3)&amp;""),FIND(" ",IF($G$3="","",INDEX(인턴계획표[[정규화1]:[정규화6]],$Q219,$G$3)&amp;""))-1),IF($G$3="","",INDEX(인턴계획표[[정규화1]:[정규화6]],$Q219,$G$3)&amp;"")))))</f>
        <v/>
      </c>
      <c r="G219">
        <f>IF($Q219="","",IF(IF($G$3="","",INDEX(인턴계획표[[정규화1]:[정규화6]],$Q219,$G$3)&amp;"")="","",IF(LEFT(IF($G$3="","",INDEX(인턴계획표[[정규화1]:[정규화6]],$Q219,$G$3)&amp;""),1)="⚠","",IFERROR(MID(IF($G$3="","",INDEX(인턴계획표[[정규화1]:[정규화6]],$Q219,$G$3)&amp;""),FIND(" ",IF($G$3="","",INDEX(인턴계획표[[정규화1]:[정규화6]],$Q219,$G$3)&amp;""))+1,60),""))))</f>
        <v/>
      </c>
      <c r="H219">
        <f>IF($Q219="","",IF(IF($I$3="","",INDEX(인턴계획표[[정규화1]:[정규화6]],$Q219,$I$3)&amp;"")="","",IF(LEFT(IF($I$3="","",INDEX(인턴계획표[[정규화1]:[정규화6]],$Q219,$I$3)&amp;""),1)="⚠",IF($I$3="","",INDEX(인턴계획표[[정규화1]:[정규화6]],$Q219,$I$3)&amp;""),IFERROR(LEFT(IF($I$3="","",INDEX(인턴계획표[[정규화1]:[정규화6]],$Q219,$I$3)&amp;""),FIND(" ",IF($I$3="","",INDEX(인턴계획표[[정규화1]:[정규화6]],$Q219,$I$3)&amp;""))-1),IF($I$3="","",INDEX(인턴계획표[[정규화1]:[정규화6]],$Q219,$I$3)&amp;"")))))</f>
        <v/>
      </c>
      <c r="I219">
        <f>IF($Q219="","",IF(IF($I$3="","",INDEX(인턴계획표[[정규화1]:[정규화6]],$Q219,$I$3)&amp;"")="","",IF(LEFT(IF($I$3="","",INDEX(인턴계획표[[정규화1]:[정규화6]],$Q219,$I$3)&amp;""),1)="⚠","",IFERROR(MID(IF($I$3="","",INDEX(인턴계획표[[정규화1]:[정규화6]],$Q219,$I$3)&amp;""),FIND(" ",IF($I$3="","",INDEX(인턴계획표[[정규화1]:[정규화6]],$Q219,$I$3)&amp;""))+1,60),""))))</f>
        <v/>
      </c>
      <c r="J219">
        <f>IF($Q219="","",INDEX(인턴계획표[정규화1],$Q219))</f>
        <v/>
      </c>
      <c r="K219">
        <f>IF($Q219="","",INDEX(인턴계획표[정규화2],$Q219))</f>
        <v/>
      </c>
      <c r="L219">
        <f>IF($Q219="","",INDEX(인턴계획표[정규화3],$Q219))</f>
        <v/>
      </c>
      <c r="M219">
        <f>IF($Q219="","",INDEX(인턴계획표[정규화4],$Q219))</f>
        <v/>
      </c>
      <c r="N219">
        <f>IF($Q219="","",INDEX(인턴계획표[정규화5],$Q219))</f>
        <v/>
      </c>
      <c r="O219">
        <f>IF($Q219="","",INDEX(인턴계획표[정규화6],$Q219))</f>
        <v/>
      </c>
      <c r="P219">
        <f>IF($Q219="","",INDEX(인턴계획표[입력오류],$Q219))</f>
        <v/>
      </c>
      <c r="Q219" s="17">
        <f>IFERROR(MATCH(214,인턴계획표[표시순번],0),"")</f>
        <v/>
      </c>
    </row>
    <row r="220">
      <c r="A220">
        <f>IF($Q220="","",INDEX(인턴계획표[순번],$Q220)&amp;"")</f>
        <v/>
      </c>
      <c r="B220">
        <f>IF($Q220="","",TRIM(INDEX(인턴계획표[이름],$Q220)&amp;""))</f>
        <v/>
      </c>
      <c r="C220">
        <f>IF($Q220="","",INDEX(인턴계획표[사번],$Q220)&amp;"")</f>
        <v/>
      </c>
      <c r="D220">
        <f>IF($Q220="","",IF(COUNTIF(기본자료표[사번키],INDEX(인턴계획표[사번키],$Q220))&gt;0,"확인","미등록"))</f>
        <v/>
      </c>
      <c r="E220">
        <f>IF($Q220="","",IF(ISNUMBER(INDEX(인턴계획표[입사일(비고)],$Q220)),TEXT(INDEX(인턴계획표[입사일(비고)],$Q220),"yyyy-mm-dd"),INDEX(인턴계획표[입사일(비고)],$Q220)&amp;""))</f>
        <v/>
      </c>
      <c r="F220">
        <f>IF($Q220="","",IF(IF($G$3="","",INDEX(인턴계획표[[정규화1]:[정규화6]],$Q220,$G$3)&amp;"")="","",IF(LEFT(IF($G$3="","",INDEX(인턴계획표[[정규화1]:[정규화6]],$Q220,$G$3)&amp;""),1)="⚠",IF($G$3="","",INDEX(인턴계획표[[정규화1]:[정규화6]],$Q220,$G$3)&amp;""),IFERROR(LEFT(IF($G$3="","",INDEX(인턴계획표[[정규화1]:[정규화6]],$Q220,$G$3)&amp;""),FIND(" ",IF($G$3="","",INDEX(인턴계획표[[정규화1]:[정규화6]],$Q220,$G$3)&amp;""))-1),IF($G$3="","",INDEX(인턴계획표[[정규화1]:[정규화6]],$Q220,$G$3)&amp;"")))))</f>
        <v/>
      </c>
      <c r="G220">
        <f>IF($Q220="","",IF(IF($G$3="","",INDEX(인턴계획표[[정규화1]:[정규화6]],$Q220,$G$3)&amp;"")="","",IF(LEFT(IF($G$3="","",INDEX(인턴계획표[[정규화1]:[정규화6]],$Q220,$G$3)&amp;""),1)="⚠","",IFERROR(MID(IF($G$3="","",INDEX(인턴계획표[[정규화1]:[정규화6]],$Q220,$G$3)&amp;""),FIND(" ",IF($G$3="","",INDEX(인턴계획표[[정규화1]:[정규화6]],$Q220,$G$3)&amp;""))+1,60),""))))</f>
        <v/>
      </c>
      <c r="H220">
        <f>IF($Q220="","",IF(IF($I$3="","",INDEX(인턴계획표[[정규화1]:[정규화6]],$Q220,$I$3)&amp;"")="","",IF(LEFT(IF($I$3="","",INDEX(인턴계획표[[정규화1]:[정규화6]],$Q220,$I$3)&amp;""),1)="⚠",IF($I$3="","",INDEX(인턴계획표[[정규화1]:[정규화6]],$Q220,$I$3)&amp;""),IFERROR(LEFT(IF($I$3="","",INDEX(인턴계획표[[정규화1]:[정규화6]],$Q220,$I$3)&amp;""),FIND(" ",IF($I$3="","",INDEX(인턴계획표[[정규화1]:[정규화6]],$Q220,$I$3)&amp;""))-1),IF($I$3="","",INDEX(인턴계획표[[정규화1]:[정규화6]],$Q220,$I$3)&amp;"")))))</f>
        <v/>
      </c>
      <c r="I220">
        <f>IF($Q220="","",IF(IF($I$3="","",INDEX(인턴계획표[[정규화1]:[정규화6]],$Q220,$I$3)&amp;"")="","",IF(LEFT(IF($I$3="","",INDEX(인턴계획표[[정규화1]:[정규화6]],$Q220,$I$3)&amp;""),1)="⚠","",IFERROR(MID(IF($I$3="","",INDEX(인턴계획표[[정규화1]:[정규화6]],$Q220,$I$3)&amp;""),FIND(" ",IF($I$3="","",INDEX(인턴계획표[[정규화1]:[정규화6]],$Q220,$I$3)&amp;""))+1,60),""))))</f>
        <v/>
      </c>
      <c r="J220">
        <f>IF($Q220="","",INDEX(인턴계획표[정규화1],$Q220))</f>
        <v/>
      </c>
      <c r="K220">
        <f>IF($Q220="","",INDEX(인턴계획표[정규화2],$Q220))</f>
        <v/>
      </c>
      <c r="L220">
        <f>IF($Q220="","",INDEX(인턴계획표[정규화3],$Q220))</f>
        <v/>
      </c>
      <c r="M220">
        <f>IF($Q220="","",INDEX(인턴계획표[정규화4],$Q220))</f>
        <v/>
      </c>
      <c r="N220">
        <f>IF($Q220="","",INDEX(인턴계획표[정규화5],$Q220))</f>
        <v/>
      </c>
      <c r="O220">
        <f>IF($Q220="","",INDEX(인턴계획표[정규화6],$Q220))</f>
        <v/>
      </c>
      <c r="P220">
        <f>IF($Q220="","",INDEX(인턴계획표[입력오류],$Q220))</f>
        <v/>
      </c>
      <c r="Q220" s="17">
        <f>IFERROR(MATCH(215,인턴계획표[표시순번],0),"")</f>
        <v/>
      </c>
    </row>
    <row r="221">
      <c r="A221">
        <f>IF($Q221="","",INDEX(인턴계획표[순번],$Q221)&amp;"")</f>
        <v/>
      </c>
      <c r="B221">
        <f>IF($Q221="","",TRIM(INDEX(인턴계획표[이름],$Q221)&amp;""))</f>
        <v/>
      </c>
      <c r="C221">
        <f>IF($Q221="","",INDEX(인턴계획표[사번],$Q221)&amp;"")</f>
        <v/>
      </c>
      <c r="D221">
        <f>IF($Q221="","",IF(COUNTIF(기본자료표[사번키],INDEX(인턴계획표[사번키],$Q221))&gt;0,"확인","미등록"))</f>
        <v/>
      </c>
      <c r="E221">
        <f>IF($Q221="","",IF(ISNUMBER(INDEX(인턴계획표[입사일(비고)],$Q221)),TEXT(INDEX(인턴계획표[입사일(비고)],$Q221),"yyyy-mm-dd"),INDEX(인턴계획표[입사일(비고)],$Q221)&amp;""))</f>
        <v/>
      </c>
      <c r="F221">
        <f>IF($Q221="","",IF(IF($G$3="","",INDEX(인턴계획표[[정규화1]:[정규화6]],$Q221,$G$3)&amp;"")="","",IF(LEFT(IF($G$3="","",INDEX(인턴계획표[[정규화1]:[정규화6]],$Q221,$G$3)&amp;""),1)="⚠",IF($G$3="","",INDEX(인턴계획표[[정규화1]:[정규화6]],$Q221,$G$3)&amp;""),IFERROR(LEFT(IF($G$3="","",INDEX(인턴계획표[[정규화1]:[정규화6]],$Q221,$G$3)&amp;""),FIND(" ",IF($G$3="","",INDEX(인턴계획표[[정규화1]:[정규화6]],$Q221,$G$3)&amp;""))-1),IF($G$3="","",INDEX(인턴계획표[[정규화1]:[정규화6]],$Q221,$G$3)&amp;"")))))</f>
        <v/>
      </c>
      <c r="G221">
        <f>IF($Q221="","",IF(IF($G$3="","",INDEX(인턴계획표[[정규화1]:[정규화6]],$Q221,$G$3)&amp;"")="","",IF(LEFT(IF($G$3="","",INDEX(인턴계획표[[정규화1]:[정규화6]],$Q221,$G$3)&amp;""),1)="⚠","",IFERROR(MID(IF($G$3="","",INDEX(인턴계획표[[정규화1]:[정규화6]],$Q221,$G$3)&amp;""),FIND(" ",IF($G$3="","",INDEX(인턴계획표[[정규화1]:[정규화6]],$Q221,$G$3)&amp;""))+1,60),""))))</f>
        <v/>
      </c>
      <c r="H221">
        <f>IF($Q221="","",IF(IF($I$3="","",INDEX(인턴계획표[[정규화1]:[정규화6]],$Q221,$I$3)&amp;"")="","",IF(LEFT(IF($I$3="","",INDEX(인턴계획표[[정규화1]:[정규화6]],$Q221,$I$3)&amp;""),1)="⚠",IF($I$3="","",INDEX(인턴계획표[[정규화1]:[정규화6]],$Q221,$I$3)&amp;""),IFERROR(LEFT(IF($I$3="","",INDEX(인턴계획표[[정규화1]:[정규화6]],$Q221,$I$3)&amp;""),FIND(" ",IF($I$3="","",INDEX(인턴계획표[[정규화1]:[정규화6]],$Q221,$I$3)&amp;""))-1),IF($I$3="","",INDEX(인턴계획표[[정규화1]:[정규화6]],$Q221,$I$3)&amp;"")))))</f>
        <v/>
      </c>
      <c r="I221">
        <f>IF($Q221="","",IF(IF($I$3="","",INDEX(인턴계획표[[정규화1]:[정규화6]],$Q221,$I$3)&amp;"")="","",IF(LEFT(IF($I$3="","",INDEX(인턴계획표[[정규화1]:[정규화6]],$Q221,$I$3)&amp;""),1)="⚠","",IFERROR(MID(IF($I$3="","",INDEX(인턴계획표[[정규화1]:[정규화6]],$Q221,$I$3)&amp;""),FIND(" ",IF($I$3="","",INDEX(인턴계획표[[정규화1]:[정규화6]],$Q221,$I$3)&amp;""))+1,60),""))))</f>
        <v/>
      </c>
      <c r="J221">
        <f>IF($Q221="","",INDEX(인턴계획표[정규화1],$Q221))</f>
        <v/>
      </c>
      <c r="K221">
        <f>IF($Q221="","",INDEX(인턴계획표[정규화2],$Q221))</f>
        <v/>
      </c>
      <c r="L221">
        <f>IF($Q221="","",INDEX(인턴계획표[정규화3],$Q221))</f>
        <v/>
      </c>
      <c r="M221">
        <f>IF($Q221="","",INDEX(인턴계획표[정규화4],$Q221))</f>
        <v/>
      </c>
      <c r="N221">
        <f>IF($Q221="","",INDEX(인턴계획표[정규화5],$Q221))</f>
        <v/>
      </c>
      <c r="O221">
        <f>IF($Q221="","",INDEX(인턴계획표[정규화6],$Q221))</f>
        <v/>
      </c>
      <c r="P221">
        <f>IF($Q221="","",INDEX(인턴계획표[입력오류],$Q221))</f>
        <v/>
      </c>
      <c r="Q221" s="17">
        <f>IFERROR(MATCH(216,인턴계획표[표시순번],0),"")</f>
        <v/>
      </c>
    </row>
    <row r="222">
      <c r="A222">
        <f>IF($Q222="","",INDEX(인턴계획표[순번],$Q222)&amp;"")</f>
        <v/>
      </c>
      <c r="B222">
        <f>IF($Q222="","",TRIM(INDEX(인턴계획표[이름],$Q222)&amp;""))</f>
        <v/>
      </c>
      <c r="C222">
        <f>IF($Q222="","",INDEX(인턴계획표[사번],$Q222)&amp;"")</f>
        <v/>
      </c>
      <c r="D222">
        <f>IF($Q222="","",IF(COUNTIF(기본자료표[사번키],INDEX(인턴계획표[사번키],$Q222))&gt;0,"확인","미등록"))</f>
        <v/>
      </c>
      <c r="E222">
        <f>IF($Q222="","",IF(ISNUMBER(INDEX(인턴계획표[입사일(비고)],$Q222)),TEXT(INDEX(인턴계획표[입사일(비고)],$Q222),"yyyy-mm-dd"),INDEX(인턴계획표[입사일(비고)],$Q222)&amp;""))</f>
        <v/>
      </c>
      <c r="F222">
        <f>IF($Q222="","",IF(IF($G$3="","",INDEX(인턴계획표[[정규화1]:[정규화6]],$Q222,$G$3)&amp;"")="","",IF(LEFT(IF($G$3="","",INDEX(인턴계획표[[정규화1]:[정규화6]],$Q222,$G$3)&amp;""),1)="⚠",IF($G$3="","",INDEX(인턴계획표[[정규화1]:[정규화6]],$Q222,$G$3)&amp;""),IFERROR(LEFT(IF($G$3="","",INDEX(인턴계획표[[정규화1]:[정규화6]],$Q222,$G$3)&amp;""),FIND(" ",IF($G$3="","",INDEX(인턴계획표[[정규화1]:[정규화6]],$Q222,$G$3)&amp;""))-1),IF($G$3="","",INDEX(인턴계획표[[정규화1]:[정규화6]],$Q222,$G$3)&amp;"")))))</f>
        <v/>
      </c>
      <c r="G222">
        <f>IF($Q222="","",IF(IF($G$3="","",INDEX(인턴계획표[[정규화1]:[정규화6]],$Q222,$G$3)&amp;"")="","",IF(LEFT(IF($G$3="","",INDEX(인턴계획표[[정규화1]:[정규화6]],$Q222,$G$3)&amp;""),1)="⚠","",IFERROR(MID(IF($G$3="","",INDEX(인턴계획표[[정규화1]:[정규화6]],$Q222,$G$3)&amp;""),FIND(" ",IF($G$3="","",INDEX(인턴계획표[[정규화1]:[정규화6]],$Q222,$G$3)&amp;""))+1,60),""))))</f>
        <v/>
      </c>
      <c r="H222">
        <f>IF($Q222="","",IF(IF($I$3="","",INDEX(인턴계획표[[정규화1]:[정규화6]],$Q222,$I$3)&amp;"")="","",IF(LEFT(IF($I$3="","",INDEX(인턴계획표[[정규화1]:[정규화6]],$Q222,$I$3)&amp;""),1)="⚠",IF($I$3="","",INDEX(인턴계획표[[정규화1]:[정규화6]],$Q222,$I$3)&amp;""),IFERROR(LEFT(IF($I$3="","",INDEX(인턴계획표[[정규화1]:[정규화6]],$Q222,$I$3)&amp;""),FIND(" ",IF($I$3="","",INDEX(인턴계획표[[정규화1]:[정규화6]],$Q222,$I$3)&amp;""))-1),IF($I$3="","",INDEX(인턴계획표[[정규화1]:[정규화6]],$Q222,$I$3)&amp;"")))))</f>
        <v/>
      </c>
      <c r="I222">
        <f>IF($Q222="","",IF(IF($I$3="","",INDEX(인턴계획표[[정규화1]:[정규화6]],$Q222,$I$3)&amp;"")="","",IF(LEFT(IF($I$3="","",INDEX(인턴계획표[[정규화1]:[정규화6]],$Q222,$I$3)&amp;""),1)="⚠","",IFERROR(MID(IF($I$3="","",INDEX(인턴계획표[[정규화1]:[정규화6]],$Q222,$I$3)&amp;""),FIND(" ",IF($I$3="","",INDEX(인턴계획표[[정규화1]:[정규화6]],$Q222,$I$3)&amp;""))+1,60),""))))</f>
        <v/>
      </c>
      <c r="J222">
        <f>IF($Q222="","",INDEX(인턴계획표[정규화1],$Q222))</f>
        <v/>
      </c>
      <c r="K222">
        <f>IF($Q222="","",INDEX(인턴계획표[정규화2],$Q222))</f>
        <v/>
      </c>
      <c r="L222">
        <f>IF($Q222="","",INDEX(인턴계획표[정규화3],$Q222))</f>
        <v/>
      </c>
      <c r="M222">
        <f>IF($Q222="","",INDEX(인턴계획표[정규화4],$Q222))</f>
        <v/>
      </c>
      <c r="N222">
        <f>IF($Q222="","",INDEX(인턴계획표[정규화5],$Q222))</f>
        <v/>
      </c>
      <c r="O222">
        <f>IF($Q222="","",INDEX(인턴계획표[정규화6],$Q222))</f>
        <v/>
      </c>
      <c r="P222">
        <f>IF($Q222="","",INDEX(인턴계획표[입력오류],$Q222))</f>
        <v/>
      </c>
      <c r="Q222" s="17">
        <f>IFERROR(MATCH(217,인턴계획표[표시순번],0),"")</f>
        <v/>
      </c>
    </row>
    <row r="223">
      <c r="A223">
        <f>IF($Q223="","",INDEX(인턴계획표[순번],$Q223)&amp;"")</f>
        <v/>
      </c>
      <c r="B223">
        <f>IF($Q223="","",TRIM(INDEX(인턴계획표[이름],$Q223)&amp;""))</f>
        <v/>
      </c>
      <c r="C223">
        <f>IF($Q223="","",INDEX(인턴계획표[사번],$Q223)&amp;"")</f>
        <v/>
      </c>
      <c r="D223">
        <f>IF($Q223="","",IF(COUNTIF(기본자료표[사번키],INDEX(인턴계획표[사번키],$Q223))&gt;0,"확인","미등록"))</f>
        <v/>
      </c>
      <c r="E223">
        <f>IF($Q223="","",IF(ISNUMBER(INDEX(인턴계획표[입사일(비고)],$Q223)),TEXT(INDEX(인턴계획표[입사일(비고)],$Q223),"yyyy-mm-dd"),INDEX(인턴계획표[입사일(비고)],$Q223)&amp;""))</f>
        <v/>
      </c>
      <c r="F223">
        <f>IF($Q223="","",IF(IF($G$3="","",INDEX(인턴계획표[[정규화1]:[정규화6]],$Q223,$G$3)&amp;"")="","",IF(LEFT(IF($G$3="","",INDEX(인턴계획표[[정규화1]:[정규화6]],$Q223,$G$3)&amp;""),1)="⚠",IF($G$3="","",INDEX(인턴계획표[[정규화1]:[정규화6]],$Q223,$G$3)&amp;""),IFERROR(LEFT(IF($G$3="","",INDEX(인턴계획표[[정규화1]:[정규화6]],$Q223,$G$3)&amp;""),FIND(" ",IF($G$3="","",INDEX(인턴계획표[[정규화1]:[정규화6]],$Q223,$G$3)&amp;""))-1),IF($G$3="","",INDEX(인턴계획표[[정규화1]:[정규화6]],$Q223,$G$3)&amp;"")))))</f>
        <v/>
      </c>
      <c r="G223">
        <f>IF($Q223="","",IF(IF($G$3="","",INDEX(인턴계획표[[정규화1]:[정규화6]],$Q223,$G$3)&amp;"")="","",IF(LEFT(IF($G$3="","",INDEX(인턴계획표[[정규화1]:[정규화6]],$Q223,$G$3)&amp;""),1)="⚠","",IFERROR(MID(IF($G$3="","",INDEX(인턴계획표[[정규화1]:[정규화6]],$Q223,$G$3)&amp;""),FIND(" ",IF($G$3="","",INDEX(인턴계획표[[정규화1]:[정규화6]],$Q223,$G$3)&amp;""))+1,60),""))))</f>
        <v/>
      </c>
      <c r="H223">
        <f>IF($Q223="","",IF(IF($I$3="","",INDEX(인턴계획표[[정규화1]:[정규화6]],$Q223,$I$3)&amp;"")="","",IF(LEFT(IF($I$3="","",INDEX(인턴계획표[[정규화1]:[정규화6]],$Q223,$I$3)&amp;""),1)="⚠",IF($I$3="","",INDEX(인턴계획표[[정규화1]:[정규화6]],$Q223,$I$3)&amp;""),IFERROR(LEFT(IF($I$3="","",INDEX(인턴계획표[[정규화1]:[정규화6]],$Q223,$I$3)&amp;""),FIND(" ",IF($I$3="","",INDEX(인턴계획표[[정규화1]:[정규화6]],$Q223,$I$3)&amp;""))-1),IF($I$3="","",INDEX(인턴계획표[[정규화1]:[정규화6]],$Q223,$I$3)&amp;"")))))</f>
        <v/>
      </c>
      <c r="I223">
        <f>IF($Q223="","",IF(IF($I$3="","",INDEX(인턴계획표[[정규화1]:[정규화6]],$Q223,$I$3)&amp;"")="","",IF(LEFT(IF($I$3="","",INDEX(인턴계획표[[정규화1]:[정규화6]],$Q223,$I$3)&amp;""),1)="⚠","",IFERROR(MID(IF($I$3="","",INDEX(인턴계획표[[정규화1]:[정규화6]],$Q223,$I$3)&amp;""),FIND(" ",IF($I$3="","",INDEX(인턴계획표[[정규화1]:[정규화6]],$Q223,$I$3)&amp;""))+1,60),""))))</f>
        <v/>
      </c>
      <c r="J223">
        <f>IF($Q223="","",INDEX(인턴계획표[정규화1],$Q223))</f>
        <v/>
      </c>
      <c r="K223">
        <f>IF($Q223="","",INDEX(인턴계획표[정규화2],$Q223))</f>
        <v/>
      </c>
      <c r="L223">
        <f>IF($Q223="","",INDEX(인턴계획표[정규화3],$Q223))</f>
        <v/>
      </c>
      <c r="M223">
        <f>IF($Q223="","",INDEX(인턴계획표[정규화4],$Q223))</f>
        <v/>
      </c>
      <c r="N223">
        <f>IF($Q223="","",INDEX(인턴계획표[정규화5],$Q223))</f>
        <v/>
      </c>
      <c r="O223">
        <f>IF($Q223="","",INDEX(인턴계획표[정규화6],$Q223))</f>
        <v/>
      </c>
      <c r="P223">
        <f>IF($Q223="","",INDEX(인턴계획표[입력오류],$Q223))</f>
        <v/>
      </c>
      <c r="Q223" s="17">
        <f>IFERROR(MATCH(218,인턴계획표[표시순번],0),"")</f>
        <v/>
      </c>
    </row>
    <row r="224">
      <c r="A224">
        <f>IF($Q224="","",INDEX(인턴계획표[순번],$Q224)&amp;"")</f>
        <v/>
      </c>
      <c r="B224">
        <f>IF($Q224="","",TRIM(INDEX(인턴계획표[이름],$Q224)&amp;""))</f>
        <v/>
      </c>
      <c r="C224">
        <f>IF($Q224="","",INDEX(인턴계획표[사번],$Q224)&amp;"")</f>
        <v/>
      </c>
      <c r="D224">
        <f>IF($Q224="","",IF(COUNTIF(기본자료표[사번키],INDEX(인턴계획표[사번키],$Q224))&gt;0,"확인","미등록"))</f>
        <v/>
      </c>
      <c r="E224">
        <f>IF($Q224="","",IF(ISNUMBER(INDEX(인턴계획표[입사일(비고)],$Q224)),TEXT(INDEX(인턴계획표[입사일(비고)],$Q224),"yyyy-mm-dd"),INDEX(인턴계획표[입사일(비고)],$Q224)&amp;""))</f>
        <v/>
      </c>
      <c r="F224">
        <f>IF($Q224="","",IF(IF($G$3="","",INDEX(인턴계획표[[정규화1]:[정규화6]],$Q224,$G$3)&amp;"")="","",IF(LEFT(IF($G$3="","",INDEX(인턴계획표[[정규화1]:[정규화6]],$Q224,$G$3)&amp;""),1)="⚠",IF($G$3="","",INDEX(인턴계획표[[정규화1]:[정규화6]],$Q224,$G$3)&amp;""),IFERROR(LEFT(IF($G$3="","",INDEX(인턴계획표[[정규화1]:[정규화6]],$Q224,$G$3)&amp;""),FIND(" ",IF($G$3="","",INDEX(인턴계획표[[정규화1]:[정규화6]],$Q224,$G$3)&amp;""))-1),IF($G$3="","",INDEX(인턴계획표[[정규화1]:[정규화6]],$Q224,$G$3)&amp;"")))))</f>
        <v/>
      </c>
      <c r="G224">
        <f>IF($Q224="","",IF(IF($G$3="","",INDEX(인턴계획표[[정규화1]:[정규화6]],$Q224,$G$3)&amp;"")="","",IF(LEFT(IF($G$3="","",INDEX(인턴계획표[[정규화1]:[정규화6]],$Q224,$G$3)&amp;""),1)="⚠","",IFERROR(MID(IF($G$3="","",INDEX(인턴계획표[[정규화1]:[정규화6]],$Q224,$G$3)&amp;""),FIND(" ",IF($G$3="","",INDEX(인턴계획표[[정규화1]:[정규화6]],$Q224,$G$3)&amp;""))+1,60),""))))</f>
        <v/>
      </c>
      <c r="H224">
        <f>IF($Q224="","",IF(IF($I$3="","",INDEX(인턴계획표[[정규화1]:[정규화6]],$Q224,$I$3)&amp;"")="","",IF(LEFT(IF($I$3="","",INDEX(인턴계획표[[정규화1]:[정규화6]],$Q224,$I$3)&amp;""),1)="⚠",IF($I$3="","",INDEX(인턴계획표[[정규화1]:[정규화6]],$Q224,$I$3)&amp;""),IFERROR(LEFT(IF($I$3="","",INDEX(인턴계획표[[정규화1]:[정규화6]],$Q224,$I$3)&amp;""),FIND(" ",IF($I$3="","",INDEX(인턴계획표[[정규화1]:[정규화6]],$Q224,$I$3)&amp;""))-1),IF($I$3="","",INDEX(인턴계획표[[정규화1]:[정규화6]],$Q224,$I$3)&amp;"")))))</f>
        <v/>
      </c>
      <c r="I224">
        <f>IF($Q224="","",IF(IF($I$3="","",INDEX(인턴계획표[[정규화1]:[정규화6]],$Q224,$I$3)&amp;"")="","",IF(LEFT(IF($I$3="","",INDEX(인턴계획표[[정규화1]:[정규화6]],$Q224,$I$3)&amp;""),1)="⚠","",IFERROR(MID(IF($I$3="","",INDEX(인턴계획표[[정규화1]:[정규화6]],$Q224,$I$3)&amp;""),FIND(" ",IF($I$3="","",INDEX(인턴계획표[[정규화1]:[정규화6]],$Q224,$I$3)&amp;""))+1,60),""))))</f>
        <v/>
      </c>
      <c r="J224">
        <f>IF($Q224="","",INDEX(인턴계획표[정규화1],$Q224))</f>
        <v/>
      </c>
      <c r="K224">
        <f>IF($Q224="","",INDEX(인턴계획표[정규화2],$Q224))</f>
        <v/>
      </c>
      <c r="L224">
        <f>IF($Q224="","",INDEX(인턴계획표[정규화3],$Q224))</f>
        <v/>
      </c>
      <c r="M224">
        <f>IF($Q224="","",INDEX(인턴계획표[정규화4],$Q224))</f>
        <v/>
      </c>
      <c r="N224">
        <f>IF($Q224="","",INDEX(인턴계획표[정규화5],$Q224))</f>
        <v/>
      </c>
      <c r="O224">
        <f>IF($Q224="","",INDEX(인턴계획표[정규화6],$Q224))</f>
        <v/>
      </c>
      <c r="P224">
        <f>IF($Q224="","",INDEX(인턴계획표[입력오류],$Q224))</f>
        <v/>
      </c>
      <c r="Q224" s="17">
        <f>IFERROR(MATCH(219,인턴계획표[표시순번],0),"")</f>
        <v/>
      </c>
    </row>
    <row r="225">
      <c r="A225">
        <f>IF($Q225="","",INDEX(인턴계획표[순번],$Q225)&amp;"")</f>
        <v/>
      </c>
      <c r="B225">
        <f>IF($Q225="","",TRIM(INDEX(인턴계획표[이름],$Q225)&amp;""))</f>
        <v/>
      </c>
      <c r="C225">
        <f>IF($Q225="","",INDEX(인턴계획표[사번],$Q225)&amp;"")</f>
        <v/>
      </c>
      <c r="D225">
        <f>IF($Q225="","",IF(COUNTIF(기본자료표[사번키],INDEX(인턴계획표[사번키],$Q225))&gt;0,"확인","미등록"))</f>
        <v/>
      </c>
      <c r="E225">
        <f>IF($Q225="","",IF(ISNUMBER(INDEX(인턴계획표[입사일(비고)],$Q225)),TEXT(INDEX(인턴계획표[입사일(비고)],$Q225),"yyyy-mm-dd"),INDEX(인턴계획표[입사일(비고)],$Q225)&amp;""))</f>
        <v/>
      </c>
      <c r="F225">
        <f>IF($Q225="","",IF(IF($G$3="","",INDEX(인턴계획표[[정규화1]:[정규화6]],$Q225,$G$3)&amp;"")="","",IF(LEFT(IF($G$3="","",INDEX(인턴계획표[[정규화1]:[정규화6]],$Q225,$G$3)&amp;""),1)="⚠",IF($G$3="","",INDEX(인턴계획표[[정규화1]:[정규화6]],$Q225,$G$3)&amp;""),IFERROR(LEFT(IF($G$3="","",INDEX(인턴계획표[[정규화1]:[정규화6]],$Q225,$G$3)&amp;""),FIND(" ",IF($G$3="","",INDEX(인턴계획표[[정규화1]:[정규화6]],$Q225,$G$3)&amp;""))-1),IF($G$3="","",INDEX(인턴계획표[[정규화1]:[정규화6]],$Q225,$G$3)&amp;"")))))</f>
        <v/>
      </c>
      <c r="G225">
        <f>IF($Q225="","",IF(IF($G$3="","",INDEX(인턴계획표[[정규화1]:[정규화6]],$Q225,$G$3)&amp;"")="","",IF(LEFT(IF($G$3="","",INDEX(인턴계획표[[정규화1]:[정규화6]],$Q225,$G$3)&amp;""),1)="⚠","",IFERROR(MID(IF($G$3="","",INDEX(인턴계획표[[정규화1]:[정규화6]],$Q225,$G$3)&amp;""),FIND(" ",IF($G$3="","",INDEX(인턴계획표[[정규화1]:[정규화6]],$Q225,$G$3)&amp;""))+1,60),""))))</f>
        <v/>
      </c>
      <c r="H225">
        <f>IF($Q225="","",IF(IF($I$3="","",INDEX(인턴계획표[[정규화1]:[정규화6]],$Q225,$I$3)&amp;"")="","",IF(LEFT(IF($I$3="","",INDEX(인턴계획표[[정규화1]:[정규화6]],$Q225,$I$3)&amp;""),1)="⚠",IF($I$3="","",INDEX(인턴계획표[[정규화1]:[정규화6]],$Q225,$I$3)&amp;""),IFERROR(LEFT(IF($I$3="","",INDEX(인턴계획표[[정규화1]:[정규화6]],$Q225,$I$3)&amp;""),FIND(" ",IF($I$3="","",INDEX(인턴계획표[[정규화1]:[정규화6]],$Q225,$I$3)&amp;""))-1),IF($I$3="","",INDEX(인턴계획표[[정규화1]:[정규화6]],$Q225,$I$3)&amp;"")))))</f>
        <v/>
      </c>
      <c r="I225">
        <f>IF($Q225="","",IF(IF($I$3="","",INDEX(인턴계획표[[정규화1]:[정규화6]],$Q225,$I$3)&amp;"")="","",IF(LEFT(IF($I$3="","",INDEX(인턴계획표[[정규화1]:[정규화6]],$Q225,$I$3)&amp;""),1)="⚠","",IFERROR(MID(IF($I$3="","",INDEX(인턴계획표[[정규화1]:[정규화6]],$Q225,$I$3)&amp;""),FIND(" ",IF($I$3="","",INDEX(인턴계획표[[정규화1]:[정규화6]],$Q225,$I$3)&amp;""))+1,60),""))))</f>
        <v/>
      </c>
      <c r="J225">
        <f>IF($Q225="","",INDEX(인턴계획표[정규화1],$Q225))</f>
        <v/>
      </c>
      <c r="K225">
        <f>IF($Q225="","",INDEX(인턴계획표[정규화2],$Q225))</f>
        <v/>
      </c>
      <c r="L225">
        <f>IF($Q225="","",INDEX(인턴계획표[정규화3],$Q225))</f>
        <v/>
      </c>
      <c r="M225">
        <f>IF($Q225="","",INDEX(인턴계획표[정규화4],$Q225))</f>
        <v/>
      </c>
      <c r="N225">
        <f>IF($Q225="","",INDEX(인턴계획표[정규화5],$Q225))</f>
        <v/>
      </c>
      <c r="O225">
        <f>IF($Q225="","",INDEX(인턴계획표[정규화6],$Q225))</f>
        <v/>
      </c>
      <c r="P225">
        <f>IF($Q225="","",INDEX(인턴계획표[입력오류],$Q225))</f>
        <v/>
      </c>
      <c r="Q225" s="17">
        <f>IFERROR(MATCH(220,인턴계획표[표시순번],0),"")</f>
        <v/>
      </c>
    </row>
    <row r="226">
      <c r="A226">
        <f>IF($Q226="","",INDEX(인턴계획표[순번],$Q226)&amp;"")</f>
        <v/>
      </c>
      <c r="B226">
        <f>IF($Q226="","",TRIM(INDEX(인턴계획표[이름],$Q226)&amp;""))</f>
        <v/>
      </c>
      <c r="C226">
        <f>IF($Q226="","",INDEX(인턴계획표[사번],$Q226)&amp;"")</f>
        <v/>
      </c>
      <c r="D226">
        <f>IF($Q226="","",IF(COUNTIF(기본자료표[사번키],INDEX(인턴계획표[사번키],$Q226))&gt;0,"확인","미등록"))</f>
        <v/>
      </c>
      <c r="E226">
        <f>IF($Q226="","",IF(ISNUMBER(INDEX(인턴계획표[입사일(비고)],$Q226)),TEXT(INDEX(인턴계획표[입사일(비고)],$Q226),"yyyy-mm-dd"),INDEX(인턴계획표[입사일(비고)],$Q226)&amp;""))</f>
        <v/>
      </c>
      <c r="F226">
        <f>IF($Q226="","",IF(IF($G$3="","",INDEX(인턴계획표[[정규화1]:[정규화6]],$Q226,$G$3)&amp;"")="","",IF(LEFT(IF($G$3="","",INDEX(인턴계획표[[정규화1]:[정규화6]],$Q226,$G$3)&amp;""),1)="⚠",IF($G$3="","",INDEX(인턴계획표[[정규화1]:[정규화6]],$Q226,$G$3)&amp;""),IFERROR(LEFT(IF($G$3="","",INDEX(인턴계획표[[정규화1]:[정규화6]],$Q226,$G$3)&amp;""),FIND(" ",IF($G$3="","",INDEX(인턴계획표[[정규화1]:[정규화6]],$Q226,$G$3)&amp;""))-1),IF($G$3="","",INDEX(인턴계획표[[정규화1]:[정규화6]],$Q226,$G$3)&amp;"")))))</f>
        <v/>
      </c>
      <c r="G226">
        <f>IF($Q226="","",IF(IF($G$3="","",INDEX(인턴계획표[[정규화1]:[정규화6]],$Q226,$G$3)&amp;"")="","",IF(LEFT(IF($G$3="","",INDEX(인턴계획표[[정규화1]:[정규화6]],$Q226,$G$3)&amp;""),1)="⚠","",IFERROR(MID(IF($G$3="","",INDEX(인턴계획표[[정규화1]:[정규화6]],$Q226,$G$3)&amp;""),FIND(" ",IF($G$3="","",INDEX(인턴계획표[[정규화1]:[정규화6]],$Q226,$G$3)&amp;""))+1,60),""))))</f>
        <v/>
      </c>
      <c r="H226">
        <f>IF($Q226="","",IF(IF($I$3="","",INDEX(인턴계획표[[정규화1]:[정규화6]],$Q226,$I$3)&amp;"")="","",IF(LEFT(IF($I$3="","",INDEX(인턴계획표[[정규화1]:[정규화6]],$Q226,$I$3)&amp;""),1)="⚠",IF($I$3="","",INDEX(인턴계획표[[정규화1]:[정규화6]],$Q226,$I$3)&amp;""),IFERROR(LEFT(IF($I$3="","",INDEX(인턴계획표[[정규화1]:[정규화6]],$Q226,$I$3)&amp;""),FIND(" ",IF($I$3="","",INDEX(인턴계획표[[정규화1]:[정규화6]],$Q226,$I$3)&amp;""))-1),IF($I$3="","",INDEX(인턴계획표[[정규화1]:[정규화6]],$Q226,$I$3)&amp;"")))))</f>
        <v/>
      </c>
      <c r="I226">
        <f>IF($Q226="","",IF(IF($I$3="","",INDEX(인턴계획표[[정규화1]:[정규화6]],$Q226,$I$3)&amp;"")="","",IF(LEFT(IF($I$3="","",INDEX(인턴계획표[[정규화1]:[정규화6]],$Q226,$I$3)&amp;""),1)="⚠","",IFERROR(MID(IF($I$3="","",INDEX(인턴계획표[[정규화1]:[정규화6]],$Q226,$I$3)&amp;""),FIND(" ",IF($I$3="","",INDEX(인턴계획표[[정규화1]:[정규화6]],$Q226,$I$3)&amp;""))+1,60),""))))</f>
        <v/>
      </c>
      <c r="J226">
        <f>IF($Q226="","",INDEX(인턴계획표[정규화1],$Q226))</f>
        <v/>
      </c>
      <c r="K226">
        <f>IF($Q226="","",INDEX(인턴계획표[정규화2],$Q226))</f>
        <v/>
      </c>
      <c r="L226">
        <f>IF($Q226="","",INDEX(인턴계획표[정규화3],$Q226))</f>
        <v/>
      </c>
      <c r="M226">
        <f>IF($Q226="","",INDEX(인턴계획표[정규화4],$Q226))</f>
        <v/>
      </c>
      <c r="N226">
        <f>IF($Q226="","",INDEX(인턴계획표[정규화5],$Q226))</f>
        <v/>
      </c>
      <c r="O226">
        <f>IF($Q226="","",INDEX(인턴계획표[정규화6],$Q226))</f>
        <v/>
      </c>
      <c r="P226">
        <f>IF($Q226="","",INDEX(인턴계획표[입력오류],$Q226))</f>
        <v/>
      </c>
      <c r="Q226" s="17">
        <f>IFERROR(MATCH(221,인턴계획표[표시순번],0),"")</f>
        <v/>
      </c>
    </row>
    <row r="227">
      <c r="A227">
        <f>IF($Q227="","",INDEX(인턴계획표[순번],$Q227)&amp;"")</f>
        <v/>
      </c>
      <c r="B227">
        <f>IF($Q227="","",TRIM(INDEX(인턴계획표[이름],$Q227)&amp;""))</f>
        <v/>
      </c>
      <c r="C227">
        <f>IF($Q227="","",INDEX(인턴계획표[사번],$Q227)&amp;"")</f>
        <v/>
      </c>
      <c r="D227">
        <f>IF($Q227="","",IF(COUNTIF(기본자료표[사번키],INDEX(인턴계획표[사번키],$Q227))&gt;0,"확인","미등록"))</f>
        <v/>
      </c>
      <c r="E227">
        <f>IF($Q227="","",IF(ISNUMBER(INDEX(인턴계획표[입사일(비고)],$Q227)),TEXT(INDEX(인턴계획표[입사일(비고)],$Q227),"yyyy-mm-dd"),INDEX(인턴계획표[입사일(비고)],$Q227)&amp;""))</f>
        <v/>
      </c>
      <c r="F227">
        <f>IF($Q227="","",IF(IF($G$3="","",INDEX(인턴계획표[[정규화1]:[정규화6]],$Q227,$G$3)&amp;"")="","",IF(LEFT(IF($G$3="","",INDEX(인턴계획표[[정규화1]:[정규화6]],$Q227,$G$3)&amp;""),1)="⚠",IF($G$3="","",INDEX(인턴계획표[[정규화1]:[정규화6]],$Q227,$G$3)&amp;""),IFERROR(LEFT(IF($G$3="","",INDEX(인턴계획표[[정규화1]:[정규화6]],$Q227,$G$3)&amp;""),FIND(" ",IF($G$3="","",INDEX(인턴계획표[[정규화1]:[정규화6]],$Q227,$G$3)&amp;""))-1),IF($G$3="","",INDEX(인턴계획표[[정규화1]:[정규화6]],$Q227,$G$3)&amp;"")))))</f>
        <v/>
      </c>
      <c r="G227">
        <f>IF($Q227="","",IF(IF($G$3="","",INDEX(인턴계획표[[정규화1]:[정규화6]],$Q227,$G$3)&amp;"")="","",IF(LEFT(IF($G$3="","",INDEX(인턴계획표[[정규화1]:[정규화6]],$Q227,$G$3)&amp;""),1)="⚠","",IFERROR(MID(IF($G$3="","",INDEX(인턴계획표[[정규화1]:[정규화6]],$Q227,$G$3)&amp;""),FIND(" ",IF($G$3="","",INDEX(인턴계획표[[정규화1]:[정규화6]],$Q227,$G$3)&amp;""))+1,60),""))))</f>
        <v/>
      </c>
      <c r="H227">
        <f>IF($Q227="","",IF(IF($I$3="","",INDEX(인턴계획표[[정규화1]:[정규화6]],$Q227,$I$3)&amp;"")="","",IF(LEFT(IF($I$3="","",INDEX(인턴계획표[[정규화1]:[정규화6]],$Q227,$I$3)&amp;""),1)="⚠",IF($I$3="","",INDEX(인턴계획표[[정규화1]:[정규화6]],$Q227,$I$3)&amp;""),IFERROR(LEFT(IF($I$3="","",INDEX(인턴계획표[[정규화1]:[정규화6]],$Q227,$I$3)&amp;""),FIND(" ",IF($I$3="","",INDEX(인턴계획표[[정규화1]:[정규화6]],$Q227,$I$3)&amp;""))-1),IF($I$3="","",INDEX(인턴계획표[[정규화1]:[정규화6]],$Q227,$I$3)&amp;"")))))</f>
        <v/>
      </c>
      <c r="I227">
        <f>IF($Q227="","",IF(IF($I$3="","",INDEX(인턴계획표[[정규화1]:[정규화6]],$Q227,$I$3)&amp;"")="","",IF(LEFT(IF($I$3="","",INDEX(인턴계획표[[정규화1]:[정규화6]],$Q227,$I$3)&amp;""),1)="⚠","",IFERROR(MID(IF($I$3="","",INDEX(인턴계획표[[정규화1]:[정규화6]],$Q227,$I$3)&amp;""),FIND(" ",IF($I$3="","",INDEX(인턴계획표[[정규화1]:[정규화6]],$Q227,$I$3)&amp;""))+1,60),""))))</f>
        <v/>
      </c>
      <c r="J227">
        <f>IF($Q227="","",INDEX(인턴계획표[정규화1],$Q227))</f>
        <v/>
      </c>
      <c r="K227">
        <f>IF($Q227="","",INDEX(인턴계획표[정규화2],$Q227))</f>
        <v/>
      </c>
      <c r="L227">
        <f>IF($Q227="","",INDEX(인턴계획표[정규화3],$Q227))</f>
        <v/>
      </c>
      <c r="M227">
        <f>IF($Q227="","",INDEX(인턴계획표[정규화4],$Q227))</f>
        <v/>
      </c>
      <c r="N227">
        <f>IF($Q227="","",INDEX(인턴계획표[정규화5],$Q227))</f>
        <v/>
      </c>
      <c r="O227">
        <f>IF($Q227="","",INDEX(인턴계획표[정규화6],$Q227))</f>
        <v/>
      </c>
      <c r="P227">
        <f>IF($Q227="","",INDEX(인턴계획표[입력오류],$Q227))</f>
        <v/>
      </c>
      <c r="Q227" s="17">
        <f>IFERROR(MATCH(222,인턴계획표[표시순번],0),"")</f>
        <v/>
      </c>
    </row>
    <row r="228">
      <c r="A228">
        <f>IF($Q228="","",INDEX(인턴계획표[순번],$Q228)&amp;"")</f>
        <v/>
      </c>
      <c r="B228">
        <f>IF($Q228="","",TRIM(INDEX(인턴계획표[이름],$Q228)&amp;""))</f>
        <v/>
      </c>
      <c r="C228">
        <f>IF($Q228="","",INDEX(인턴계획표[사번],$Q228)&amp;"")</f>
        <v/>
      </c>
      <c r="D228">
        <f>IF($Q228="","",IF(COUNTIF(기본자료표[사번키],INDEX(인턴계획표[사번키],$Q228))&gt;0,"확인","미등록"))</f>
        <v/>
      </c>
      <c r="E228">
        <f>IF($Q228="","",IF(ISNUMBER(INDEX(인턴계획표[입사일(비고)],$Q228)),TEXT(INDEX(인턴계획표[입사일(비고)],$Q228),"yyyy-mm-dd"),INDEX(인턴계획표[입사일(비고)],$Q228)&amp;""))</f>
        <v/>
      </c>
      <c r="F228">
        <f>IF($Q228="","",IF(IF($G$3="","",INDEX(인턴계획표[[정규화1]:[정규화6]],$Q228,$G$3)&amp;"")="","",IF(LEFT(IF($G$3="","",INDEX(인턴계획표[[정규화1]:[정규화6]],$Q228,$G$3)&amp;""),1)="⚠",IF($G$3="","",INDEX(인턴계획표[[정규화1]:[정규화6]],$Q228,$G$3)&amp;""),IFERROR(LEFT(IF($G$3="","",INDEX(인턴계획표[[정규화1]:[정규화6]],$Q228,$G$3)&amp;""),FIND(" ",IF($G$3="","",INDEX(인턴계획표[[정규화1]:[정규화6]],$Q228,$G$3)&amp;""))-1),IF($G$3="","",INDEX(인턴계획표[[정규화1]:[정규화6]],$Q228,$G$3)&amp;"")))))</f>
        <v/>
      </c>
      <c r="G228">
        <f>IF($Q228="","",IF(IF($G$3="","",INDEX(인턴계획표[[정규화1]:[정규화6]],$Q228,$G$3)&amp;"")="","",IF(LEFT(IF($G$3="","",INDEX(인턴계획표[[정규화1]:[정규화6]],$Q228,$G$3)&amp;""),1)="⚠","",IFERROR(MID(IF($G$3="","",INDEX(인턴계획표[[정규화1]:[정규화6]],$Q228,$G$3)&amp;""),FIND(" ",IF($G$3="","",INDEX(인턴계획표[[정규화1]:[정규화6]],$Q228,$G$3)&amp;""))+1,60),""))))</f>
        <v/>
      </c>
      <c r="H228">
        <f>IF($Q228="","",IF(IF($I$3="","",INDEX(인턴계획표[[정규화1]:[정규화6]],$Q228,$I$3)&amp;"")="","",IF(LEFT(IF($I$3="","",INDEX(인턴계획표[[정규화1]:[정규화6]],$Q228,$I$3)&amp;""),1)="⚠",IF($I$3="","",INDEX(인턴계획표[[정규화1]:[정규화6]],$Q228,$I$3)&amp;""),IFERROR(LEFT(IF($I$3="","",INDEX(인턴계획표[[정규화1]:[정규화6]],$Q228,$I$3)&amp;""),FIND(" ",IF($I$3="","",INDEX(인턴계획표[[정규화1]:[정규화6]],$Q228,$I$3)&amp;""))-1),IF($I$3="","",INDEX(인턴계획표[[정규화1]:[정규화6]],$Q228,$I$3)&amp;"")))))</f>
        <v/>
      </c>
      <c r="I228">
        <f>IF($Q228="","",IF(IF($I$3="","",INDEX(인턴계획표[[정규화1]:[정규화6]],$Q228,$I$3)&amp;"")="","",IF(LEFT(IF($I$3="","",INDEX(인턴계획표[[정규화1]:[정규화6]],$Q228,$I$3)&amp;""),1)="⚠","",IFERROR(MID(IF($I$3="","",INDEX(인턴계획표[[정규화1]:[정규화6]],$Q228,$I$3)&amp;""),FIND(" ",IF($I$3="","",INDEX(인턴계획표[[정규화1]:[정규화6]],$Q228,$I$3)&amp;""))+1,60),""))))</f>
        <v/>
      </c>
      <c r="J228">
        <f>IF($Q228="","",INDEX(인턴계획표[정규화1],$Q228))</f>
        <v/>
      </c>
      <c r="K228">
        <f>IF($Q228="","",INDEX(인턴계획표[정규화2],$Q228))</f>
        <v/>
      </c>
      <c r="L228">
        <f>IF($Q228="","",INDEX(인턴계획표[정규화3],$Q228))</f>
        <v/>
      </c>
      <c r="M228">
        <f>IF($Q228="","",INDEX(인턴계획표[정규화4],$Q228))</f>
        <v/>
      </c>
      <c r="N228">
        <f>IF($Q228="","",INDEX(인턴계획표[정규화5],$Q228))</f>
        <v/>
      </c>
      <c r="O228">
        <f>IF($Q228="","",INDEX(인턴계획표[정규화6],$Q228))</f>
        <v/>
      </c>
      <c r="P228">
        <f>IF($Q228="","",INDEX(인턴계획표[입력오류],$Q228))</f>
        <v/>
      </c>
      <c r="Q228" s="17">
        <f>IFERROR(MATCH(223,인턴계획표[표시순번],0),"")</f>
        <v/>
      </c>
    </row>
    <row r="229">
      <c r="A229">
        <f>IF($Q229="","",INDEX(인턴계획표[순번],$Q229)&amp;"")</f>
        <v/>
      </c>
      <c r="B229">
        <f>IF($Q229="","",TRIM(INDEX(인턴계획표[이름],$Q229)&amp;""))</f>
        <v/>
      </c>
      <c r="C229">
        <f>IF($Q229="","",INDEX(인턴계획표[사번],$Q229)&amp;"")</f>
        <v/>
      </c>
      <c r="D229">
        <f>IF($Q229="","",IF(COUNTIF(기본자료표[사번키],INDEX(인턴계획표[사번키],$Q229))&gt;0,"확인","미등록"))</f>
        <v/>
      </c>
      <c r="E229">
        <f>IF($Q229="","",IF(ISNUMBER(INDEX(인턴계획표[입사일(비고)],$Q229)),TEXT(INDEX(인턴계획표[입사일(비고)],$Q229),"yyyy-mm-dd"),INDEX(인턴계획표[입사일(비고)],$Q229)&amp;""))</f>
        <v/>
      </c>
      <c r="F229">
        <f>IF($Q229="","",IF(IF($G$3="","",INDEX(인턴계획표[[정규화1]:[정규화6]],$Q229,$G$3)&amp;"")="","",IF(LEFT(IF($G$3="","",INDEX(인턴계획표[[정규화1]:[정규화6]],$Q229,$G$3)&amp;""),1)="⚠",IF($G$3="","",INDEX(인턴계획표[[정규화1]:[정규화6]],$Q229,$G$3)&amp;""),IFERROR(LEFT(IF($G$3="","",INDEX(인턴계획표[[정규화1]:[정규화6]],$Q229,$G$3)&amp;""),FIND(" ",IF($G$3="","",INDEX(인턴계획표[[정규화1]:[정규화6]],$Q229,$G$3)&amp;""))-1),IF($G$3="","",INDEX(인턴계획표[[정규화1]:[정규화6]],$Q229,$G$3)&amp;"")))))</f>
        <v/>
      </c>
      <c r="G229">
        <f>IF($Q229="","",IF(IF($G$3="","",INDEX(인턴계획표[[정규화1]:[정규화6]],$Q229,$G$3)&amp;"")="","",IF(LEFT(IF($G$3="","",INDEX(인턴계획표[[정규화1]:[정규화6]],$Q229,$G$3)&amp;""),1)="⚠","",IFERROR(MID(IF($G$3="","",INDEX(인턴계획표[[정규화1]:[정규화6]],$Q229,$G$3)&amp;""),FIND(" ",IF($G$3="","",INDEX(인턴계획표[[정규화1]:[정규화6]],$Q229,$G$3)&amp;""))+1,60),""))))</f>
        <v/>
      </c>
      <c r="H229">
        <f>IF($Q229="","",IF(IF($I$3="","",INDEX(인턴계획표[[정규화1]:[정규화6]],$Q229,$I$3)&amp;"")="","",IF(LEFT(IF($I$3="","",INDEX(인턴계획표[[정규화1]:[정규화6]],$Q229,$I$3)&amp;""),1)="⚠",IF($I$3="","",INDEX(인턴계획표[[정규화1]:[정규화6]],$Q229,$I$3)&amp;""),IFERROR(LEFT(IF($I$3="","",INDEX(인턴계획표[[정규화1]:[정규화6]],$Q229,$I$3)&amp;""),FIND(" ",IF($I$3="","",INDEX(인턴계획표[[정규화1]:[정규화6]],$Q229,$I$3)&amp;""))-1),IF($I$3="","",INDEX(인턴계획표[[정규화1]:[정규화6]],$Q229,$I$3)&amp;"")))))</f>
        <v/>
      </c>
      <c r="I229">
        <f>IF($Q229="","",IF(IF($I$3="","",INDEX(인턴계획표[[정규화1]:[정규화6]],$Q229,$I$3)&amp;"")="","",IF(LEFT(IF($I$3="","",INDEX(인턴계획표[[정규화1]:[정규화6]],$Q229,$I$3)&amp;""),1)="⚠","",IFERROR(MID(IF($I$3="","",INDEX(인턴계획표[[정규화1]:[정규화6]],$Q229,$I$3)&amp;""),FIND(" ",IF($I$3="","",INDEX(인턴계획표[[정규화1]:[정규화6]],$Q229,$I$3)&amp;""))+1,60),""))))</f>
        <v/>
      </c>
      <c r="J229">
        <f>IF($Q229="","",INDEX(인턴계획표[정규화1],$Q229))</f>
        <v/>
      </c>
      <c r="K229">
        <f>IF($Q229="","",INDEX(인턴계획표[정규화2],$Q229))</f>
        <v/>
      </c>
      <c r="L229">
        <f>IF($Q229="","",INDEX(인턴계획표[정규화3],$Q229))</f>
        <v/>
      </c>
      <c r="M229">
        <f>IF($Q229="","",INDEX(인턴계획표[정규화4],$Q229))</f>
        <v/>
      </c>
      <c r="N229">
        <f>IF($Q229="","",INDEX(인턴계획표[정규화5],$Q229))</f>
        <v/>
      </c>
      <c r="O229">
        <f>IF($Q229="","",INDEX(인턴계획표[정규화6],$Q229))</f>
        <v/>
      </c>
      <c r="P229">
        <f>IF($Q229="","",INDEX(인턴계획표[입력오류],$Q229))</f>
        <v/>
      </c>
      <c r="Q229" s="17">
        <f>IFERROR(MATCH(224,인턴계획표[표시순번],0),"")</f>
        <v/>
      </c>
    </row>
    <row r="230">
      <c r="A230">
        <f>IF($Q230="","",INDEX(인턴계획표[순번],$Q230)&amp;"")</f>
        <v/>
      </c>
      <c r="B230">
        <f>IF($Q230="","",TRIM(INDEX(인턴계획표[이름],$Q230)&amp;""))</f>
        <v/>
      </c>
      <c r="C230">
        <f>IF($Q230="","",INDEX(인턴계획표[사번],$Q230)&amp;"")</f>
        <v/>
      </c>
      <c r="D230">
        <f>IF($Q230="","",IF(COUNTIF(기본자료표[사번키],INDEX(인턴계획표[사번키],$Q230))&gt;0,"확인","미등록"))</f>
        <v/>
      </c>
      <c r="E230">
        <f>IF($Q230="","",IF(ISNUMBER(INDEX(인턴계획표[입사일(비고)],$Q230)),TEXT(INDEX(인턴계획표[입사일(비고)],$Q230),"yyyy-mm-dd"),INDEX(인턴계획표[입사일(비고)],$Q230)&amp;""))</f>
        <v/>
      </c>
      <c r="F230">
        <f>IF($Q230="","",IF(IF($G$3="","",INDEX(인턴계획표[[정규화1]:[정규화6]],$Q230,$G$3)&amp;"")="","",IF(LEFT(IF($G$3="","",INDEX(인턴계획표[[정규화1]:[정규화6]],$Q230,$G$3)&amp;""),1)="⚠",IF($G$3="","",INDEX(인턴계획표[[정규화1]:[정규화6]],$Q230,$G$3)&amp;""),IFERROR(LEFT(IF($G$3="","",INDEX(인턴계획표[[정규화1]:[정규화6]],$Q230,$G$3)&amp;""),FIND(" ",IF($G$3="","",INDEX(인턴계획표[[정규화1]:[정규화6]],$Q230,$G$3)&amp;""))-1),IF($G$3="","",INDEX(인턴계획표[[정규화1]:[정규화6]],$Q230,$G$3)&amp;"")))))</f>
        <v/>
      </c>
      <c r="G230">
        <f>IF($Q230="","",IF(IF($G$3="","",INDEX(인턴계획표[[정규화1]:[정규화6]],$Q230,$G$3)&amp;"")="","",IF(LEFT(IF($G$3="","",INDEX(인턴계획표[[정규화1]:[정규화6]],$Q230,$G$3)&amp;""),1)="⚠","",IFERROR(MID(IF($G$3="","",INDEX(인턴계획표[[정규화1]:[정규화6]],$Q230,$G$3)&amp;""),FIND(" ",IF($G$3="","",INDEX(인턴계획표[[정규화1]:[정규화6]],$Q230,$G$3)&amp;""))+1,60),""))))</f>
        <v/>
      </c>
      <c r="H230">
        <f>IF($Q230="","",IF(IF($I$3="","",INDEX(인턴계획표[[정규화1]:[정규화6]],$Q230,$I$3)&amp;"")="","",IF(LEFT(IF($I$3="","",INDEX(인턴계획표[[정규화1]:[정규화6]],$Q230,$I$3)&amp;""),1)="⚠",IF($I$3="","",INDEX(인턴계획표[[정규화1]:[정규화6]],$Q230,$I$3)&amp;""),IFERROR(LEFT(IF($I$3="","",INDEX(인턴계획표[[정규화1]:[정규화6]],$Q230,$I$3)&amp;""),FIND(" ",IF($I$3="","",INDEX(인턴계획표[[정규화1]:[정규화6]],$Q230,$I$3)&amp;""))-1),IF($I$3="","",INDEX(인턴계획표[[정규화1]:[정규화6]],$Q230,$I$3)&amp;"")))))</f>
        <v/>
      </c>
      <c r="I230">
        <f>IF($Q230="","",IF(IF($I$3="","",INDEX(인턴계획표[[정규화1]:[정규화6]],$Q230,$I$3)&amp;"")="","",IF(LEFT(IF($I$3="","",INDEX(인턴계획표[[정규화1]:[정규화6]],$Q230,$I$3)&amp;""),1)="⚠","",IFERROR(MID(IF($I$3="","",INDEX(인턴계획표[[정규화1]:[정규화6]],$Q230,$I$3)&amp;""),FIND(" ",IF($I$3="","",INDEX(인턴계획표[[정규화1]:[정규화6]],$Q230,$I$3)&amp;""))+1,60),""))))</f>
        <v/>
      </c>
      <c r="J230">
        <f>IF($Q230="","",INDEX(인턴계획표[정규화1],$Q230))</f>
        <v/>
      </c>
      <c r="K230">
        <f>IF($Q230="","",INDEX(인턴계획표[정규화2],$Q230))</f>
        <v/>
      </c>
      <c r="L230">
        <f>IF($Q230="","",INDEX(인턴계획표[정규화3],$Q230))</f>
        <v/>
      </c>
      <c r="M230">
        <f>IF($Q230="","",INDEX(인턴계획표[정규화4],$Q230))</f>
        <v/>
      </c>
      <c r="N230">
        <f>IF($Q230="","",INDEX(인턴계획표[정규화5],$Q230))</f>
        <v/>
      </c>
      <c r="O230">
        <f>IF($Q230="","",INDEX(인턴계획표[정규화6],$Q230))</f>
        <v/>
      </c>
      <c r="P230">
        <f>IF($Q230="","",INDEX(인턴계획표[입력오류],$Q230))</f>
        <v/>
      </c>
      <c r="Q230" s="17">
        <f>IFERROR(MATCH(225,인턴계획표[표시순번],0),"")</f>
        <v/>
      </c>
    </row>
    <row r="231">
      <c r="A231">
        <f>IF($Q231="","",INDEX(인턴계획표[순번],$Q231)&amp;"")</f>
        <v/>
      </c>
      <c r="B231">
        <f>IF($Q231="","",TRIM(INDEX(인턴계획표[이름],$Q231)&amp;""))</f>
        <v/>
      </c>
      <c r="C231">
        <f>IF($Q231="","",INDEX(인턴계획표[사번],$Q231)&amp;"")</f>
        <v/>
      </c>
      <c r="D231">
        <f>IF($Q231="","",IF(COUNTIF(기본자료표[사번키],INDEX(인턴계획표[사번키],$Q231))&gt;0,"확인","미등록"))</f>
        <v/>
      </c>
      <c r="E231">
        <f>IF($Q231="","",IF(ISNUMBER(INDEX(인턴계획표[입사일(비고)],$Q231)),TEXT(INDEX(인턴계획표[입사일(비고)],$Q231),"yyyy-mm-dd"),INDEX(인턴계획표[입사일(비고)],$Q231)&amp;""))</f>
        <v/>
      </c>
      <c r="F231">
        <f>IF($Q231="","",IF(IF($G$3="","",INDEX(인턴계획표[[정규화1]:[정규화6]],$Q231,$G$3)&amp;"")="","",IF(LEFT(IF($G$3="","",INDEX(인턴계획표[[정규화1]:[정규화6]],$Q231,$G$3)&amp;""),1)="⚠",IF($G$3="","",INDEX(인턴계획표[[정규화1]:[정규화6]],$Q231,$G$3)&amp;""),IFERROR(LEFT(IF($G$3="","",INDEX(인턴계획표[[정규화1]:[정규화6]],$Q231,$G$3)&amp;""),FIND(" ",IF($G$3="","",INDEX(인턴계획표[[정규화1]:[정규화6]],$Q231,$G$3)&amp;""))-1),IF($G$3="","",INDEX(인턴계획표[[정규화1]:[정규화6]],$Q231,$G$3)&amp;"")))))</f>
        <v/>
      </c>
      <c r="G231">
        <f>IF($Q231="","",IF(IF($G$3="","",INDEX(인턴계획표[[정규화1]:[정규화6]],$Q231,$G$3)&amp;"")="","",IF(LEFT(IF($G$3="","",INDEX(인턴계획표[[정규화1]:[정규화6]],$Q231,$G$3)&amp;""),1)="⚠","",IFERROR(MID(IF($G$3="","",INDEX(인턴계획표[[정규화1]:[정규화6]],$Q231,$G$3)&amp;""),FIND(" ",IF($G$3="","",INDEX(인턴계획표[[정규화1]:[정규화6]],$Q231,$G$3)&amp;""))+1,60),""))))</f>
        <v/>
      </c>
      <c r="H231">
        <f>IF($Q231="","",IF(IF($I$3="","",INDEX(인턴계획표[[정규화1]:[정규화6]],$Q231,$I$3)&amp;"")="","",IF(LEFT(IF($I$3="","",INDEX(인턴계획표[[정규화1]:[정규화6]],$Q231,$I$3)&amp;""),1)="⚠",IF($I$3="","",INDEX(인턴계획표[[정규화1]:[정규화6]],$Q231,$I$3)&amp;""),IFERROR(LEFT(IF($I$3="","",INDEX(인턴계획표[[정규화1]:[정규화6]],$Q231,$I$3)&amp;""),FIND(" ",IF($I$3="","",INDEX(인턴계획표[[정규화1]:[정규화6]],$Q231,$I$3)&amp;""))-1),IF($I$3="","",INDEX(인턴계획표[[정규화1]:[정규화6]],$Q231,$I$3)&amp;"")))))</f>
        <v/>
      </c>
      <c r="I231">
        <f>IF($Q231="","",IF(IF($I$3="","",INDEX(인턴계획표[[정규화1]:[정규화6]],$Q231,$I$3)&amp;"")="","",IF(LEFT(IF($I$3="","",INDEX(인턴계획표[[정규화1]:[정규화6]],$Q231,$I$3)&amp;""),1)="⚠","",IFERROR(MID(IF($I$3="","",INDEX(인턴계획표[[정규화1]:[정규화6]],$Q231,$I$3)&amp;""),FIND(" ",IF($I$3="","",INDEX(인턴계획표[[정규화1]:[정규화6]],$Q231,$I$3)&amp;""))+1,60),""))))</f>
        <v/>
      </c>
      <c r="J231">
        <f>IF($Q231="","",INDEX(인턴계획표[정규화1],$Q231))</f>
        <v/>
      </c>
      <c r="K231">
        <f>IF($Q231="","",INDEX(인턴계획표[정규화2],$Q231))</f>
        <v/>
      </c>
      <c r="L231">
        <f>IF($Q231="","",INDEX(인턴계획표[정규화3],$Q231))</f>
        <v/>
      </c>
      <c r="M231">
        <f>IF($Q231="","",INDEX(인턴계획표[정규화4],$Q231))</f>
        <v/>
      </c>
      <c r="N231">
        <f>IF($Q231="","",INDEX(인턴계획표[정규화5],$Q231))</f>
        <v/>
      </c>
      <c r="O231">
        <f>IF($Q231="","",INDEX(인턴계획표[정규화6],$Q231))</f>
        <v/>
      </c>
      <c r="P231">
        <f>IF($Q231="","",INDEX(인턴계획표[입력오류],$Q231))</f>
        <v/>
      </c>
      <c r="Q231" s="17">
        <f>IFERROR(MATCH(226,인턴계획표[표시순번],0),"")</f>
        <v/>
      </c>
    </row>
    <row r="232">
      <c r="A232">
        <f>IF($Q232="","",INDEX(인턴계획표[순번],$Q232)&amp;"")</f>
        <v/>
      </c>
      <c r="B232">
        <f>IF($Q232="","",TRIM(INDEX(인턴계획표[이름],$Q232)&amp;""))</f>
        <v/>
      </c>
      <c r="C232">
        <f>IF($Q232="","",INDEX(인턴계획표[사번],$Q232)&amp;"")</f>
        <v/>
      </c>
      <c r="D232">
        <f>IF($Q232="","",IF(COUNTIF(기본자료표[사번키],INDEX(인턴계획표[사번키],$Q232))&gt;0,"확인","미등록"))</f>
        <v/>
      </c>
      <c r="E232">
        <f>IF($Q232="","",IF(ISNUMBER(INDEX(인턴계획표[입사일(비고)],$Q232)),TEXT(INDEX(인턴계획표[입사일(비고)],$Q232),"yyyy-mm-dd"),INDEX(인턴계획표[입사일(비고)],$Q232)&amp;""))</f>
        <v/>
      </c>
      <c r="F232">
        <f>IF($Q232="","",IF(IF($G$3="","",INDEX(인턴계획표[[정규화1]:[정규화6]],$Q232,$G$3)&amp;"")="","",IF(LEFT(IF($G$3="","",INDEX(인턴계획표[[정규화1]:[정규화6]],$Q232,$G$3)&amp;""),1)="⚠",IF($G$3="","",INDEX(인턴계획표[[정규화1]:[정규화6]],$Q232,$G$3)&amp;""),IFERROR(LEFT(IF($G$3="","",INDEX(인턴계획표[[정규화1]:[정규화6]],$Q232,$G$3)&amp;""),FIND(" ",IF($G$3="","",INDEX(인턴계획표[[정규화1]:[정규화6]],$Q232,$G$3)&amp;""))-1),IF($G$3="","",INDEX(인턴계획표[[정규화1]:[정규화6]],$Q232,$G$3)&amp;"")))))</f>
        <v/>
      </c>
      <c r="G232">
        <f>IF($Q232="","",IF(IF($G$3="","",INDEX(인턴계획표[[정규화1]:[정규화6]],$Q232,$G$3)&amp;"")="","",IF(LEFT(IF($G$3="","",INDEX(인턴계획표[[정규화1]:[정규화6]],$Q232,$G$3)&amp;""),1)="⚠","",IFERROR(MID(IF($G$3="","",INDEX(인턴계획표[[정규화1]:[정규화6]],$Q232,$G$3)&amp;""),FIND(" ",IF($G$3="","",INDEX(인턴계획표[[정규화1]:[정규화6]],$Q232,$G$3)&amp;""))+1,60),""))))</f>
        <v/>
      </c>
      <c r="H232">
        <f>IF($Q232="","",IF(IF($I$3="","",INDEX(인턴계획표[[정규화1]:[정규화6]],$Q232,$I$3)&amp;"")="","",IF(LEFT(IF($I$3="","",INDEX(인턴계획표[[정규화1]:[정규화6]],$Q232,$I$3)&amp;""),1)="⚠",IF($I$3="","",INDEX(인턴계획표[[정규화1]:[정규화6]],$Q232,$I$3)&amp;""),IFERROR(LEFT(IF($I$3="","",INDEX(인턴계획표[[정규화1]:[정규화6]],$Q232,$I$3)&amp;""),FIND(" ",IF($I$3="","",INDEX(인턴계획표[[정규화1]:[정규화6]],$Q232,$I$3)&amp;""))-1),IF($I$3="","",INDEX(인턴계획표[[정규화1]:[정규화6]],$Q232,$I$3)&amp;"")))))</f>
        <v/>
      </c>
      <c r="I232">
        <f>IF($Q232="","",IF(IF($I$3="","",INDEX(인턴계획표[[정규화1]:[정규화6]],$Q232,$I$3)&amp;"")="","",IF(LEFT(IF($I$3="","",INDEX(인턴계획표[[정규화1]:[정규화6]],$Q232,$I$3)&amp;""),1)="⚠","",IFERROR(MID(IF($I$3="","",INDEX(인턴계획표[[정규화1]:[정규화6]],$Q232,$I$3)&amp;""),FIND(" ",IF($I$3="","",INDEX(인턴계획표[[정규화1]:[정규화6]],$Q232,$I$3)&amp;""))+1,60),""))))</f>
        <v/>
      </c>
      <c r="J232">
        <f>IF($Q232="","",INDEX(인턴계획표[정규화1],$Q232))</f>
        <v/>
      </c>
      <c r="K232">
        <f>IF($Q232="","",INDEX(인턴계획표[정규화2],$Q232))</f>
        <v/>
      </c>
      <c r="L232">
        <f>IF($Q232="","",INDEX(인턴계획표[정규화3],$Q232))</f>
        <v/>
      </c>
      <c r="M232">
        <f>IF($Q232="","",INDEX(인턴계획표[정규화4],$Q232))</f>
        <v/>
      </c>
      <c r="N232">
        <f>IF($Q232="","",INDEX(인턴계획표[정규화5],$Q232))</f>
        <v/>
      </c>
      <c r="O232">
        <f>IF($Q232="","",INDEX(인턴계획표[정규화6],$Q232))</f>
        <v/>
      </c>
      <c r="P232">
        <f>IF($Q232="","",INDEX(인턴계획표[입력오류],$Q232))</f>
        <v/>
      </c>
      <c r="Q232" s="17">
        <f>IFERROR(MATCH(227,인턴계획표[표시순번],0),"")</f>
        <v/>
      </c>
    </row>
    <row r="233">
      <c r="A233">
        <f>IF($Q233="","",INDEX(인턴계획표[순번],$Q233)&amp;"")</f>
        <v/>
      </c>
      <c r="B233">
        <f>IF($Q233="","",TRIM(INDEX(인턴계획표[이름],$Q233)&amp;""))</f>
        <v/>
      </c>
      <c r="C233">
        <f>IF($Q233="","",INDEX(인턴계획표[사번],$Q233)&amp;"")</f>
        <v/>
      </c>
      <c r="D233">
        <f>IF($Q233="","",IF(COUNTIF(기본자료표[사번키],INDEX(인턴계획표[사번키],$Q233))&gt;0,"확인","미등록"))</f>
        <v/>
      </c>
      <c r="E233">
        <f>IF($Q233="","",IF(ISNUMBER(INDEX(인턴계획표[입사일(비고)],$Q233)),TEXT(INDEX(인턴계획표[입사일(비고)],$Q233),"yyyy-mm-dd"),INDEX(인턴계획표[입사일(비고)],$Q233)&amp;""))</f>
        <v/>
      </c>
      <c r="F233">
        <f>IF($Q233="","",IF(IF($G$3="","",INDEX(인턴계획표[[정규화1]:[정규화6]],$Q233,$G$3)&amp;"")="","",IF(LEFT(IF($G$3="","",INDEX(인턴계획표[[정규화1]:[정규화6]],$Q233,$G$3)&amp;""),1)="⚠",IF($G$3="","",INDEX(인턴계획표[[정규화1]:[정규화6]],$Q233,$G$3)&amp;""),IFERROR(LEFT(IF($G$3="","",INDEX(인턴계획표[[정규화1]:[정규화6]],$Q233,$G$3)&amp;""),FIND(" ",IF($G$3="","",INDEX(인턴계획표[[정규화1]:[정규화6]],$Q233,$G$3)&amp;""))-1),IF($G$3="","",INDEX(인턴계획표[[정규화1]:[정규화6]],$Q233,$G$3)&amp;"")))))</f>
        <v/>
      </c>
      <c r="G233">
        <f>IF($Q233="","",IF(IF($G$3="","",INDEX(인턴계획표[[정규화1]:[정규화6]],$Q233,$G$3)&amp;"")="","",IF(LEFT(IF($G$3="","",INDEX(인턴계획표[[정규화1]:[정규화6]],$Q233,$G$3)&amp;""),1)="⚠","",IFERROR(MID(IF($G$3="","",INDEX(인턴계획표[[정규화1]:[정규화6]],$Q233,$G$3)&amp;""),FIND(" ",IF($G$3="","",INDEX(인턴계획표[[정규화1]:[정규화6]],$Q233,$G$3)&amp;""))+1,60),""))))</f>
        <v/>
      </c>
      <c r="H233">
        <f>IF($Q233="","",IF(IF($I$3="","",INDEX(인턴계획표[[정규화1]:[정규화6]],$Q233,$I$3)&amp;"")="","",IF(LEFT(IF($I$3="","",INDEX(인턴계획표[[정규화1]:[정규화6]],$Q233,$I$3)&amp;""),1)="⚠",IF($I$3="","",INDEX(인턴계획표[[정규화1]:[정규화6]],$Q233,$I$3)&amp;""),IFERROR(LEFT(IF($I$3="","",INDEX(인턴계획표[[정규화1]:[정규화6]],$Q233,$I$3)&amp;""),FIND(" ",IF($I$3="","",INDEX(인턴계획표[[정규화1]:[정규화6]],$Q233,$I$3)&amp;""))-1),IF($I$3="","",INDEX(인턴계획표[[정규화1]:[정규화6]],$Q233,$I$3)&amp;"")))))</f>
        <v/>
      </c>
      <c r="I233">
        <f>IF($Q233="","",IF(IF($I$3="","",INDEX(인턴계획표[[정규화1]:[정규화6]],$Q233,$I$3)&amp;"")="","",IF(LEFT(IF($I$3="","",INDEX(인턴계획표[[정규화1]:[정규화6]],$Q233,$I$3)&amp;""),1)="⚠","",IFERROR(MID(IF($I$3="","",INDEX(인턴계획표[[정규화1]:[정규화6]],$Q233,$I$3)&amp;""),FIND(" ",IF($I$3="","",INDEX(인턴계획표[[정규화1]:[정규화6]],$Q233,$I$3)&amp;""))+1,60),""))))</f>
        <v/>
      </c>
      <c r="J233">
        <f>IF($Q233="","",INDEX(인턴계획표[정규화1],$Q233))</f>
        <v/>
      </c>
      <c r="K233">
        <f>IF($Q233="","",INDEX(인턴계획표[정규화2],$Q233))</f>
        <v/>
      </c>
      <c r="L233">
        <f>IF($Q233="","",INDEX(인턴계획표[정규화3],$Q233))</f>
        <v/>
      </c>
      <c r="M233">
        <f>IF($Q233="","",INDEX(인턴계획표[정규화4],$Q233))</f>
        <v/>
      </c>
      <c r="N233">
        <f>IF($Q233="","",INDEX(인턴계획표[정규화5],$Q233))</f>
        <v/>
      </c>
      <c r="O233">
        <f>IF($Q233="","",INDEX(인턴계획표[정규화6],$Q233))</f>
        <v/>
      </c>
      <c r="P233">
        <f>IF($Q233="","",INDEX(인턴계획표[입력오류],$Q233))</f>
        <v/>
      </c>
      <c r="Q233" s="17">
        <f>IFERROR(MATCH(228,인턴계획표[표시순번],0),"")</f>
        <v/>
      </c>
    </row>
    <row r="234">
      <c r="A234">
        <f>IF($Q234="","",INDEX(인턴계획표[순번],$Q234)&amp;"")</f>
        <v/>
      </c>
      <c r="B234">
        <f>IF($Q234="","",TRIM(INDEX(인턴계획표[이름],$Q234)&amp;""))</f>
        <v/>
      </c>
      <c r="C234">
        <f>IF($Q234="","",INDEX(인턴계획표[사번],$Q234)&amp;"")</f>
        <v/>
      </c>
      <c r="D234">
        <f>IF($Q234="","",IF(COUNTIF(기본자료표[사번키],INDEX(인턴계획표[사번키],$Q234))&gt;0,"확인","미등록"))</f>
        <v/>
      </c>
      <c r="E234">
        <f>IF($Q234="","",IF(ISNUMBER(INDEX(인턴계획표[입사일(비고)],$Q234)),TEXT(INDEX(인턴계획표[입사일(비고)],$Q234),"yyyy-mm-dd"),INDEX(인턴계획표[입사일(비고)],$Q234)&amp;""))</f>
        <v/>
      </c>
      <c r="F234">
        <f>IF($Q234="","",IF(IF($G$3="","",INDEX(인턴계획표[[정규화1]:[정규화6]],$Q234,$G$3)&amp;"")="","",IF(LEFT(IF($G$3="","",INDEX(인턴계획표[[정규화1]:[정규화6]],$Q234,$G$3)&amp;""),1)="⚠",IF($G$3="","",INDEX(인턴계획표[[정규화1]:[정규화6]],$Q234,$G$3)&amp;""),IFERROR(LEFT(IF($G$3="","",INDEX(인턴계획표[[정규화1]:[정규화6]],$Q234,$G$3)&amp;""),FIND(" ",IF($G$3="","",INDEX(인턴계획표[[정규화1]:[정규화6]],$Q234,$G$3)&amp;""))-1),IF($G$3="","",INDEX(인턴계획표[[정규화1]:[정규화6]],$Q234,$G$3)&amp;"")))))</f>
        <v/>
      </c>
      <c r="G234">
        <f>IF($Q234="","",IF(IF($G$3="","",INDEX(인턴계획표[[정규화1]:[정규화6]],$Q234,$G$3)&amp;"")="","",IF(LEFT(IF($G$3="","",INDEX(인턴계획표[[정규화1]:[정규화6]],$Q234,$G$3)&amp;""),1)="⚠","",IFERROR(MID(IF($G$3="","",INDEX(인턴계획표[[정규화1]:[정규화6]],$Q234,$G$3)&amp;""),FIND(" ",IF($G$3="","",INDEX(인턴계획표[[정규화1]:[정규화6]],$Q234,$G$3)&amp;""))+1,60),""))))</f>
        <v/>
      </c>
      <c r="H234">
        <f>IF($Q234="","",IF(IF($I$3="","",INDEX(인턴계획표[[정규화1]:[정규화6]],$Q234,$I$3)&amp;"")="","",IF(LEFT(IF($I$3="","",INDEX(인턴계획표[[정규화1]:[정규화6]],$Q234,$I$3)&amp;""),1)="⚠",IF($I$3="","",INDEX(인턴계획표[[정규화1]:[정규화6]],$Q234,$I$3)&amp;""),IFERROR(LEFT(IF($I$3="","",INDEX(인턴계획표[[정규화1]:[정규화6]],$Q234,$I$3)&amp;""),FIND(" ",IF($I$3="","",INDEX(인턴계획표[[정규화1]:[정규화6]],$Q234,$I$3)&amp;""))-1),IF($I$3="","",INDEX(인턴계획표[[정규화1]:[정규화6]],$Q234,$I$3)&amp;"")))))</f>
        <v/>
      </c>
      <c r="I234">
        <f>IF($Q234="","",IF(IF($I$3="","",INDEX(인턴계획표[[정규화1]:[정규화6]],$Q234,$I$3)&amp;"")="","",IF(LEFT(IF($I$3="","",INDEX(인턴계획표[[정규화1]:[정규화6]],$Q234,$I$3)&amp;""),1)="⚠","",IFERROR(MID(IF($I$3="","",INDEX(인턴계획표[[정규화1]:[정규화6]],$Q234,$I$3)&amp;""),FIND(" ",IF($I$3="","",INDEX(인턴계획표[[정규화1]:[정규화6]],$Q234,$I$3)&amp;""))+1,60),""))))</f>
        <v/>
      </c>
      <c r="J234">
        <f>IF($Q234="","",INDEX(인턴계획표[정규화1],$Q234))</f>
        <v/>
      </c>
      <c r="K234">
        <f>IF($Q234="","",INDEX(인턴계획표[정규화2],$Q234))</f>
        <v/>
      </c>
      <c r="L234">
        <f>IF($Q234="","",INDEX(인턴계획표[정규화3],$Q234))</f>
        <v/>
      </c>
      <c r="M234">
        <f>IF($Q234="","",INDEX(인턴계획표[정규화4],$Q234))</f>
        <v/>
      </c>
      <c r="N234">
        <f>IF($Q234="","",INDEX(인턴계획표[정규화5],$Q234))</f>
        <v/>
      </c>
      <c r="O234">
        <f>IF($Q234="","",INDEX(인턴계획표[정규화6],$Q234))</f>
        <v/>
      </c>
      <c r="P234">
        <f>IF($Q234="","",INDEX(인턴계획표[입력오류],$Q234))</f>
        <v/>
      </c>
      <c r="Q234" s="17">
        <f>IFERROR(MATCH(229,인턴계획표[표시순번],0),"")</f>
        <v/>
      </c>
    </row>
    <row r="235">
      <c r="A235">
        <f>IF($Q235="","",INDEX(인턴계획표[순번],$Q235)&amp;"")</f>
        <v/>
      </c>
      <c r="B235">
        <f>IF($Q235="","",TRIM(INDEX(인턴계획표[이름],$Q235)&amp;""))</f>
        <v/>
      </c>
      <c r="C235">
        <f>IF($Q235="","",INDEX(인턴계획표[사번],$Q235)&amp;"")</f>
        <v/>
      </c>
      <c r="D235">
        <f>IF($Q235="","",IF(COUNTIF(기본자료표[사번키],INDEX(인턴계획표[사번키],$Q235))&gt;0,"확인","미등록"))</f>
        <v/>
      </c>
      <c r="E235">
        <f>IF($Q235="","",IF(ISNUMBER(INDEX(인턴계획표[입사일(비고)],$Q235)),TEXT(INDEX(인턴계획표[입사일(비고)],$Q235),"yyyy-mm-dd"),INDEX(인턴계획표[입사일(비고)],$Q235)&amp;""))</f>
        <v/>
      </c>
      <c r="F235">
        <f>IF($Q235="","",IF(IF($G$3="","",INDEX(인턴계획표[[정규화1]:[정규화6]],$Q235,$G$3)&amp;"")="","",IF(LEFT(IF($G$3="","",INDEX(인턴계획표[[정규화1]:[정규화6]],$Q235,$G$3)&amp;""),1)="⚠",IF($G$3="","",INDEX(인턴계획표[[정규화1]:[정규화6]],$Q235,$G$3)&amp;""),IFERROR(LEFT(IF($G$3="","",INDEX(인턴계획표[[정규화1]:[정규화6]],$Q235,$G$3)&amp;""),FIND(" ",IF($G$3="","",INDEX(인턴계획표[[정규화1]:[정규화6]],$Q235,$G$3)&amp;""))-1),IF($G$3="","",INDEX(인턴계획표[[정규화1]:[정규화6]],$Q235,$G$3)&amp;"")))))</f>
        <v/>
      </c>
      <c r="G235">
        <f>IF($Q235="","",IF(IF($G$3="","",INDEX(인턴계획표[[정규화1]:[정규화6]],$Q235,$G$3)&amp;"")="","",IF(LEFT(IF($G$3="","",INDEX(인턴계획표[[정규화1]:[정규화6]],$Q235,$G$3)&amp;""),1)="⚠","",IFERROR(MID(IF($G$3="","",INDEX(인턴계획표[[정규화1]:[정규화6]],$Q235,$G$3)&amp;""),FIND(" ",IF($G$3="","",INDEX(인턴계획표[[정규화1]:[정규화6]],$Q235,$G$3)&amp;""))+1,60),""))))</f>
        <v/>
      </c>
      <c r="H235">
        <f>IF($Q235="","",IF(IF($I$3="","",INDEX(인턴계획표[[정규화1]:[정규화6]],$Q235,$I$3)&amp;"")="","",IF(LEFT(IF($I$3="","",INDEX(인턴계획표[[정규화1]:[정규화6]],$Q235,$I$3)&amp;""),1)="⚠",IF($I$3="","",INDEX(인턴계획표[[정규화1]:[정규화6]],$Q235,$I$3)&amp;""),IFERROR(LEFT(IF($I$3="","",INDEX(인턴계획표[[정규화1]:[정규화6]],$Q235,$I$3)&amp;""),FIND(" ",IF($I$3="","",INDEX(인턴계획표[[정규화1]:[정규화6]],$Q235,$I$3)&amp;""))-1),IF($I$3="","",INDEX(인턴계획표[[정규화1]:[정규화6]],$Q235,$I$3)&amp;"")))))</f>
        <v/>
      </c>
      <c r="I235">
        <f>IF($Q235="","",IF(IF($I$3="","",INDEX(인턴계획표[[정규화1]:[정규화6]],$Q235,$I$3)&amp;"")="","",IF(LEFT(IF($I$3="","",INDEX(인턴계획표[[정규화1]:[정규화6]],$Q235,$I$3)&amp;""),1)="⚠","",IFERROR(MID(IF($I$3="","",INDEX(인턴계획표[[정규화1]:[정규화6]],$Q235,$I$3)&amp;""),FIND(" ",IF($I$3="","",INDEX(인턴계획표[[정규화1]:[정규화6]],$Q235,$I$3)&amp;""))+1,60),""))))</f>
        <v/>
      </c>
      <c r="J235">
        <f>IF($Q235="","",INDEX(인턴계획표[정규화1],$Q235))</f>
        <v/>
      </c>
      <c r="K235">
        <f>IF($Q235="","",INDEX(인턴계획표[정규화2],$Q235))</f>
        <v/>
      </c>
      <c r="L235">
        <f>IF($Q235="","",INDEX(인턴계획표[정규화3],$Q235))</f>
        <v/>
      </c>
      <c r="M235">
        <f>IF($Q235="","",INDEX(인턴계획표[정규화4],$Q235))</f>
        <v/>
      </c>
      <c r="N235">
        <f>IF($Q235="","",INDEX(인턴계획표[정규화5],$Q235))</f>
        <v/>
      </c>
      <c r="O235">
        <f>IF($Q235="","",INDEX(인턴계획표[정규화6],$Q235))</f>
        <v/>
      </c>
      <c r="P235">
        <f>IF($Q235="","",INDEX(인턴계획표[입력오류],$Q235))</f>
        <v/>
      </c>
      <c r="Q235" s="17">
        <f>IFERROR(MATCH(230,인턴계획표[표시순번],0),"")</f>
        <v/>
      </c>
    </row>
    <row r="236">
      <c r="A236">
        <f>IF($Q236="","",INDEX(인턴계획표[순번],$Q236)&amp;"")</f>
        <v/>
      </c>
      <c r="B236">
        <f>IF($Q236="","",TRIM(INDEX(인턴계획표[이름],$Q236)&amp;""))</f>
        <v/>
      </c>
      <c r="C236">
        <f>IF($Q236="","",INDEX(인턴계획표[사번],$Q236)&amp;"")</f>
        <v/>
      </c>
      <c r="D236">
        <f>IF($Q236="","",IF(COUNTIF(기본자료표[사번키],INDEX(인턴계획표[사번키],$Q236))&gt;0,"확인","미등록"))</f>
        <v/>
      </c>
      <c r="E236">
        <f>IF($Q236="","",IF(ISNUMBER(INDEX(인턴계획표[입사일(비고)],$Q236)),TEXT(INDEX(인턴계획표[입사일(비고)],$Q236),"yyyy-mm-dd"),INDEX(인턴계획표[입사일(비고)],$Q236)&amp;""))</f>
        <v/>
      </c>
      <c r="F236">
        <f>IF($Q236="","",IF(IF($G$3="","",INDEX(인턴계획표[[정규화1]:[정규화6]],$Q236,$G$3)&amp;"")="","",IF(LEFT(IF($G$3="","",INDEX(인턴계획표[[정규화1]:[정규화6]],$Q236,$G$3)&amp;""),1)="⚠",IF($G$3="","",INDEX(인턴계획표[[정규화1]:[정규화6]],$Q236,$G$3)&amp;""),IFERROR(LEFT(IF($G$3="","",INDEX(인턴계획표[[정규화1]:[정규화6]],$Q236,$G$3)&amp;""),FIND(" ",IF($G$3="","",INDEX(인턴계획표[[정규화1]:[정규화6]],$Q236,$G$3)&amp;""))-1),IF($G$3="","",INDEX(인턴계획표[[정규화1]:[정규화6]],$Q236,$G$3)&amp;"")))))</f>
        <v/>
      </c>
      <c r="G236">
        <f>IF($Q236="","",IF(IF($G$3="","",INDEX(인턴계획표[[정규화1]:[정규화6]],$Q236,$G$3)&amp;"")="","",IF(LEFT(IF($G$3="","",INDEX(인턴계획표[[정규화1]:[정규화6]],$Q236,$G$3)&amp;""),1)="⚠","",IFERROR(MID(IF($G$3="","",INDEX(인턴계획표[[정규화1]:[정규화6]],$Q236,$G$3)&amp;""),FIND(" ",IF($G$3="","",INDEX(인턴계획표[[정규화1]:[정규화6]],$Q236,$G$3)&amp;""))+1,60),""))))</f>
        <v/>
      </c>
      <c r="H236">
        <f>IF($Q236="","",IF(IF($I$3="","",INDEX(인턴계획표[[정규화1]:[정규화6]],$Q236,$I$3)&amp;"")="","",IF(LEFT(IF($I$3="","",INDEX(인턴계획표[[정규화1]:[정규화6]],$Q236,$I$3)&amp;""),1)="⚠",IF($I$3="","",INDEX(인턴계획표[[정규화1]:[정규화6]],$Q236,$I$3)&amp;""),IFERROR(LEFT(IF($I$3="","",INDEX(인턴계획표[[정규화1]:[정규화6]],$Q236,$I$3)&amp;""),FIND(" ",IF($I$3="","",INDEX(인턴계획표[[정규화1]:[정규화6]],$Q236,$I$3)&amp;""))-1),IF($I$3="","",INDEX(인턴계획표[[정규화1]:[정규화6]],$Q236,$I$3)&amp;"")))))</f>
        <v/>
      </c>
      <c r="I236">
        <f>IF($Q236="","",IF(IF($I$3="","",INDEX(인턴계획표[[정규화1]:[정규화6]],$Q236,$I$3)&amp;"")="","",IF(LEFT(IF($I$3="","",INDEX(인턴계획표[[정규화1]:[정규화6]],$Q236,$I$3)&amp;""),1)="⚠","",IFERROR(MID(IF($I$3="","",INDEX(인턴계획표[[정규화1]:[정규화6]],$Q236,$I$3)&amp;""),FIND(" ",IF($I$3="","",INDEX(인턴계획표[[정규화1]:[정규화6]],$Q236,$I$3)&amp;""))+1,60),""))))</f>
        <v/>
      </c>
      <c r="J236">
        <f>IF($Q236="","",INDEX(인턴계획표[정규화1],$Q236))</f>
        <v/>
      </c>
      <c r="K236">
        <f>IF($Q236="","",INDEX(인턴계획표[정규화2],$Q236))</f>
        <v/>
      </c>
      <c r="L236">
        <f>IF($Q236="","",INDEX(인턴계획표[정규화3],$Q236))</f>
        <v/>
      </c>
      <c r="M236">
        <f>IF($Q236="","",INDEX(인턴계획표[정규화4],$Q236))</f>
        <v/>
      </c>
      <c r="N236">
        <f>IF($Q236="","",INDEX(인턴계획표[정규화5],$Q236))</f>
        <v/>
      </c>
      <c r="O236">
        <f>IF($Q236="","",INDEX(인턴계획표[정규화6],$Q236))</f>
        <v/>
      </c>
      <c r="P236">
        <f>IF($Q236="","",INDEX(인턴계획표[입력오류],$Q236))</f>
        <v/>
      </c>
      <c r="Q236" s="17">
        <f>IFERROR(MATCH(231,인턴계획표[표시순번],0),"")</f>
        <v/>
      </c>
    </row>
    <row r="237">
      <c r="A237">
        <f>IF($Q237="","",INDEX(인턴계획표[순번],$Q237)&amp;"")</f>
        <v/>
      </c>
      <c r="B237">
        <f>IF($Q237="","",TRIM(INDEX(인턴계획표[이름],$Q237)&amp;""))</f>
        <v/>
      </c>
      <c r="C237">
        <f>IF($Q237="","",INDEX(인턴계획표[사번],$Q237)&amp;"")</f>
        <v/>
      </c>
      <c r="D237">
        <f>IF($Q237="","",IF(COUNTIF(기본자료표[사번키],INDEX(인턴계획표[사번키],$Q237))&gt;0,"확인","미등록"))</f>
        <v/>
      </c>
      <c r="E237">
        <f>IF($Q237="","",IF(ISNUMBER(INDEX(인턴계획표[입사일(비고)],$Q237)),TEXT(INDEX(인턴계획표[입사일(비고)],$Q237),"yyyy-mm-dd"),INDEX(인턴계획표[입사일(비고)],$Q237)&amp;""))</f>
        <v/>
      </c>
      <c r="F237">
        <f>IF($Q237="","",IF(IF($G$3="","",INDEX(인턴계획표[[정규화1]:[정규화6]],$Q237,$G$3)&amp;"")="","",IF(LEFT(IF($G$3="","",INDEX(인턴계획표[[정규화1]:[정규화6]],$Q237,$G$3)&amp;""),1)="⚠",IF($G$3="","",INDEX(인턴계획표[[정규화1]:[정규화6]],$Q237,$G$3)&amp;""),IFERROR(LEFT(IF($G$3="","",INDEX(인턴계획표[[정규화1]:[정규화6]],$Q237,$G$3)&amp;""),FIND(" ",IF($G$3="","",INDEX(인턴계획표[[정규화1]:[정규화6]],$Q237,$G$3)&amp;""))-1),IF($G$3="","",INDEX(인턴계획표[[정규화1]:[정규화6]],$Q237,$G$3)&amp;"")))))</f>
        <v/>
      </c>
      <c r="G237">
        <f>IF($Q237="","",IF(IF($G$3="","",INDEX(인턴계획표[[정규화1]:[정규화6]],$Q237,$G$3)&amp;"")="","",IF(LEFT(IF($G$3="","",INDEX(인턴계획표[[정규화1]:[정규화6]],$Q237,$G$3)&amp;""),1)="⚠","",IFERROR(MID(IF($G$3="","",INDEX(인턴계획표[[정규화1]:[정규화6]],$Q237,$G$3)&amp;""),FIND(" ",IF($G$3="","",INDEX(인턴계획표[[정규화1]:[정규화6]],$Q237,$G$3)&amp;""))+1,60),""))))</f>
        <v/>
      </c>
      <c r="H237">
        <f>IF($Q237="","",IF(IF($I$3="","",INDEX(인턴계획표[[정규화1]:[정규화6]],$Q237,$I$3)&amp;"")="","",IF(LEFT(IF($I$3="","",INDEX(인턴계획표[[정규화1]:[정규화6]],$Q237,$I$3)&amp;""),1)="⚠",IF($I$3="","",INDEX(인턴계획표[[정규화1]:[정규화6]],$Q237,$I$3)&amp;""),IFERROR(LEFT(IF($I$3="","",INDEX(인턴계획표[[정규화1]:[정규화6]],$Q237,$I$3)&amp;""),FIND(" ",IF($I$3="","",INDEX(인턴계획표[[정규화1]:[정규화6]],$Q237,$I$3)&amp;""))-1),IF($I$3="","",INDEX(인턴계획표[[정규화1]:[정규화6]],$Q237,$I$3)&amp;"")))))</f>
        <v/>
      </c>
      <c r="I237">
        <f>IF($Q237="","",IF(IF($I$3="","",INDEX(인턴계획표[[정규화1]:[정규화6]],$Q237,$I$3)&amp;"")="","",IF(LEFT(IF($I$3="","",INDEX(인턴계획표[[정규화1]:[정규화6]],$Q237,$I$3)&amp;""),1)="⚠","",IFERROR(MID(IF($I$3="","",INDEX(인턴계획표[[정규화1]:[정규화6]],$Q237,$I$3)&amp;""),FIND(" ",IF($I$3="","",INDEX(인턴계획표[[정규화1]:[정규화6]],$Q237,$I$3)&amp;""))+1,60),""))))</f>
        <v/>
      </c>
      <c r="J237">
        <f>IF($Q237="","",INDEX(인턴계획표[정규화1],$Q237))</f>
        <v/>
      </c>
      <c r="K237">
        <f>IF($Q237="","",INDEX(인턴계획표[정규화2],$Q237))</f>
        <v/>
      </c>
      <c r="L237">
        <f>IF($Q237="","",INDEX(인턴계획표[정규화3],$Q237))</f>
        <v/>
      </c>
      <c r="M237">
        <f>IF($Q237="","",INDEX(인턴계획표[정규화4],$Q237))</f>
        <v/>
      </c>
      <c r="N237">
        <f>IF($Q237="","",INDEX(인턴계획표[정규화5],$Q237))</f>
        <v/>
      </c>
      <c r="O237">
        <f>IF($Q237="","",INDEX(인턴계획표[정규화6],$Q237))</f>
        <v/>
      </c>
      <c r="P237">
        <f>IF($Q237="","",INDEX(인턴계획표[입력오류],$Q237))</f>
        <v/>
      </c>
      <c r="Q237" s="17">
        <f>IFERROR(MATCH(232,인턴계획표[표시순번],0),"")</f>
        <v/>
      </c>
    </row>
    <row r="238">
      <c r="A238">
        <f>IF($Q238="","",INDEX(인턴계획표[순번],$Q238)&amp;"")</f>
        <v/>
      </c>
      <c r="B238">
        <f>IF($Q238="","",TRIM(INDEX(인턴계획표[이름],$Q238)&amp;""))</f>
        <v/>
      </c>
      <c r="C238">
        <f>IF($Q238="","",INDEX(인턴계획표[사번],$Q238)&amp;"")</f>
        <v/>
      </c>
      <c r="D238">
        <f>IF($Q238="","",IF(COUNTIF(기본자료표[사번키],INDEX(인턴계획표[사번키],$Q238))&gt;0,"확인","미등록"))</f>
        <v/>
      </c>
      <c r="E238">
        <f>IF($Q238="","",IF(ISNUMBER(INDEX(인턴계획표[입사일(비고)],$Q238)),TEXT(INDEX(인턴계획표[입사일(비고)],$Q238),"yyyy-mm-dd"),INDEX(인턴계획표[입사일(비고)],$Q238)&amp;""))</f>
        <v/>
      </c>
      <c r="F238">
        <f>IF($Q238="","",IF(IF($G$3="","",INDEX(인턴계획표[[정규화1]:[정규화6]],$Q238,$G$3)&amp;"")="","",IF(LEFT(IF($G$3="","",INDEX(인턴계획표[[정규화1]:[정규화6]],$Q238,$G$3)&amp;""),1)="⚠",IF($G$3="","",INDEX(인턴계획표[[정규화1]:[정규화6]],$Q238,$G$3)&amp;""),IFERROR(LEFT(IF($G$3="","",INDEX(인턴계획표[[정규화1]:[정규화6]],$Q238,$G$3)&amp;""),FIND(" ",IF($G$3="","",INDEX(인턴계획표[[정규화1]:[정규화6]],$Q238,$G$3)&amp;""))-1),IF($G$3="","",INDEX(인턴계획표[[정규화1]:[정규화6]],$Q238,$G$3)&amp;"")))))</f>
        <v/>
      </c>
      <c r="G238">
        <f>IF($Q238="","",IF(IF($G$3="","",INDEX(인턴계획표[[정규화1]:[정규화6]],$Q238,$G$3)&amp;"")="","",IF(LEFT(IF($G$3="","",INDEX(인턴계획표[[정규화1]:[정규화6]],$Q238,$G$3)&amp;""),1)="⚠","",IFERROR(MID(IF($G$3="","",INDEX(인턴계획표[[정규화1]:[정규화6]],$Q238,$G$3)&amp;""),FIND(" ",IF($G$3="","",INDEX(인턴계획표[[정규화1]:[정규화6]],$Q238,$G$3)&amp;""))+1,60),""))))</f>
        <v/>
      </c>
      <c r="H238">
        <f>IF($Q238="","",IF(IF($I$3="","",INDEX(인턴계획표[[정규화1]:[정규화6]],$Q238,$I$3)&amp;"")="","",IF(LEFT(IF($I$3="","",INDEX(인턴계획표[[정규화1]:[정규화6]],$Q238,$I$3)&amp;""),1)="⚠",IF($I$3="","",INDEX(인턴계획표[[정규화1]:[정규화6]],$Q238,$I$3)&amp;""),IFERROR(LEFT(IF($I$3="","",INDEX(인턴계획표[[정규화1]:[정규화6]],$Q238,$I$3)&amp;""),FIND(" ",IF($I$3="","",INDEX(인턴계획표[[정규화1]:[정규화6]],$Q238,$I$3)&amp;""))-1),IF($I$3="","",INDEX(인턴계획표[[정규화1]:[정규화6]],$Q238,$I$3)&amp;"")))))</f>
        <v/>
      </c>
      <c r="I238">
        <f>IF($Q238="","",IF(IF($I$3="","",INDEX(인턴계획표[[정규화1]:[정규화6]],$Q238,$I$3)&amp;"")="","",IF(LEFT(IF($I$3="","",INDEX(인턴계획표[[정규화1]:[정규화6]],$Q238,$I$3)&amp;""),1)="⚠","",IFERROR(MID(IF($I$3="","",INDEX(인턴계획표[[정규화1]:[정규화6]],$Q238,$I$3)&amp;""),FIND(" ",IF($I$3="","",INDEX(인턴계획표[[정규화1]:[정규화6]],$Q238,$I$3)&amp;""))+1,60),""))))</f>
        <v/>
      </c>
      <c r="J238">
        <f>IF($Q238="","",INDEX(인턴계획표[정규화1],$Q238))</f>
        <v/>
      </c>
      <c r="K238">
        <f>IF($Q238="","",INDEX(인턴계획표[정규화2],$Q238))</f>
        <v/>
      </c>
      <c r="L238">
        <f>IF($Q238="","",INDEX(인턴계획표[정규화3],$Q238))</f>
        <v/>
      </c>
      <c r="M238">
        <f>IF($Q238="","",INDEX(인턴계획표[정규화4],$Q238))</f>
        <v/>
      </c>
      <c r="N238">
        <f>IF($Q238="","",INDEX(인턴계획표[정규화5],$Q238))</f>
        <v/>
      </c>
      <c r="O238">
        <f>IF($Q238="","",INDEX(인턴계획표[정규화6],$Q238))</f>
        <v/>
      </c>
      <c r="P238">
        <f>IF($Q238="","",INDEX(인턴계획표[입력오류],$Q238))</f>
        <v/>
      </c>
      <c r="Q238" s="17">
        <f>IFERROR(MATCH(233,인턴계획표[표시순번],0),"")</f>
        <v/>
      </c>
    </row>
    <row r="239">
      <c r="A239">
        <f>IF($Q239="","",INDEX(인턴계획표[순번],$Q239)&amp;"")</f>
        <v/>
      </c>
      <c r="B239">
        <f>IF($Q239="","",TRIM(INDEX(인턴계획표[이름],$Q239)&amp;""))</f>
        <v/>
      </c>
      <c r="C239">
        <f>IF($Q239="","",INDEX(인턴계획표[사번],$Q239)&amp;"")</f>
        <v/>
      </c>
      <c r="D239">
        <f>IF($Q239="","",IF(COUNTIF(기본자료표[사번키],INDEX(인턴계획표[사번키],$Q239))&gt;0,"확인","미등록"))</f>
        <v/>
      </c>
      <c r="E239">
        <f>IF($Q239="","",IF(ISNUMBER(INDEX(인턴계획표[입사일(비고)],$Q239)),TEXT(INDEX(인턴계획표[입사일(비고)],$Q239),"yyyy-mm-dd"),INDEX(인턴계획표[입사일(비고)],$Q239)&amp;""))</f>
        <v/>
      </c>
      <c r="F239">
        <f>IF($Q239="","",IF(IF($G$3="","",INDEX(인턴계획표[[정규화1]:[정규화6]],$Q239,$G$3)&amp;"")="","",IF(LEFT(IF($G$3="","",INDEX(인턴계획표[[정규화1]:[정규화6]],$Q239,$G$3)&amp;""),1)="⚠",IF($G$3="","",INDEX(인턴계획표[[정규화1]:[정규화6]],$Q239,$G$3)&amp;""),IFERROR(LEFT(IF($G$3="","",INDEX(인턴계획표[[정규화1]:[정규화6]],$Q239,$G$3)&amp;""),FIND(" ",IF($G$3="","",INDEX(인턴계획표[[정규화1]:[정규화6]],$Q239,$G$3)&amp;""))-1),IF($G$3="","",INDEX(인턴계획표[[정규화1]:[정규화6]],$Q239,$G$3)&amp;"")))))</f>
        <v/>
      </c>
      <c r="G239">
        <f>IF($Q239="","",IF(IF($G$3="","",INDEX(인턴계획표[[정규화1]:[정규화6]],$Q239,$G$3)&amp;"")="","",IF(LEFT(IF($G$3="","",INDEX(인턴계획표[[정규화1]:[정규화6]],$Q239,$G$3)&amp;""),1)="⚠","",IFERROR(MID(IF($G$3="","",INDEX(인턴계획표[[정규화1]:[정규화6]],$Q239,$G$3)&amp;""),FIND(" ",IF($G$3="","",INDEX(인턴계획표[[정규화1]:[정규화6]],$Q239,$G$3)&amp;""))+1,60),""))))</f>
        <v/>
      </c>
      <c r="H239">
        <f>IF($Q239="","",IF(IF($I$3="","",INDEX(인턴계획표[[정규화1]:[정규화6]],$Q239,$I$3)&amp;"")="","",IF(LEFT(IF($I$3="","",INDEX(인턴계획표[[정규화1]:[정규화6]],$Q239,$I$3)&amp;""),1)="⚠",IF($I$3="","",INDEX(인턴계획표[[정규화1]:[정규화6]],$Q239,$I$3)&amp;""),IFERROR(LEFT(IF($I$3="","",INDEX(인턴계획표[[정규화1]:[정규화6]],$Q239,$I$3)&amp;""),FIND(" ",IF($I$3="","",INDEX(인턴계획표[[정규화1]:[정규화6]],$Q239,$I$3)&amp;""))-1),IF($I$3="","",INDEX(인턴계획표[[정규화1]:[정규화6]],$Q239,$I$3)&amp;"")))))</f>
        <v/>
      </c>
      <c r="I239">
        <f>IF($Q239="","",IF(IF($I$3="","",INDEX(인턴계획표[[정규화1]:[정규화6]],$Q239,$I$3)&amp;"")="","",IF(LEFT(IF($I$3="","",INDEX(인턴계획표[[정규화1]:[정규화6]],$Q239,$I$3)&amp;""),1)="⚠","",IFERROR(MID(IF($I$3="","",INDEX(인턴계획표[[정규화1]:[정규화6]],$Q239,$I$3)&amp;""),FIND(" ",IF($I$3="","",INDEX(인턴계획표[[정규화1]:[정규화6]],$Q239,$I$3)&amp;""))+1,60),""))))</f>
        <v/>
      </c>
      <c r="J239">
        <f>IF($Q239="","",INDEX(인턴계획표[정규화1],$Q239))</f>
        <v/>
      </c>
      <c r="K239">
        <f>IF($Q239="","",INDEX(인턴계획표[정규화2],$Q239))</f>
        <v/>
      </c>
      <c r="L239">
        <f>IF($Q239="","",INDEX(인턴계획표[정규화3],$Q239))</f>
        <v/>
      </c>
      <c r="M239">
        <f>IF($Q239="","",INDEX(인턴계획표[정규화4],$Q239))</f>
        <v/>
      </c>
      <c r="N239">
        <f>IF($Q239="","",INDEX(인턴계획표[정규화5],$Q239))</f>
        <v/>
      </c>
      <c r="O239">
        <f>IF($Q239="","",INDEX(인턴계획표[정규화6],$Q239))</f>
        <v/>
      </c>
      <c r="P239">
        <f>IF($Q239="","",INDEX(인턴계획표[입력오류],$Q239))</f>
        <v/>
      </c>
      <c r="Q239" s="17">
        <f>IFERROR(MATCH(234,인턴계획표[표시순번],0),"")</f>
        <v/>
      </c>
    </row>
    <row r="240">
      <c r="A240">
        <f>IF($Q240="","",INDEX(인턴계획표[순번],$Q240)&amp;"")</f>
        <v/>
      </c>
      <c r="B240">
        <f>IF($Q240="","",TRIM(INDEX(인턴계획표[이름],$Q240)&amp;""))</f>
        <v/>
      </c>
      <c r="C240">
        <f>IF($Q240="","",INDEX(인턴계획표[사번],$Q240)&amp;"")</f>
        <v/>
      </c>
      <c r="D240">
        <f>IF($Q240="","",IF(COUNTIF(기본자료표[사번키],INDEX(인턴계획표[사번키],$Q240))&gt;0,"확인","미등록"))</f>
        <v/>
      </c>
      <c r="E240">
        <f>IF($Q240="","",IF(ISNUMBER(INDEX(인턴계획표[입사일(비고)],$Q240)),TEXT(INDEX(인턴계획표[입사일(비고)],$Q240),"yyyy-mm-dd"),INDEX(인턴계획표[입사일(비고)],$Q240)&amp;""))</f>
        <v/>
      </c>
      <c r="F240">
        <f>IF($Q240="","",IF(IF($G$3="","",INDEX(인턴계획표[[정규화1]:[정규화6]],$Q240,$G$3)&amp;"")="","",IF(LEFT(IF($G$3="","",INDEX(인턴계획표[[정규화1]:[정규화6]],$Q240,$G$3)&amp;""),1)="⚠",IF($G$3="","",INDEX(인턴계획표[[정규화1]:[정규화6]],$Q240,$G$3)&amp;""),IFERROR(LEFT(IF($G$3="","",INDEX(인턴계획표[[정규화1]:[정규화6]],$Q240,$G$3)&amp;""),FIND(" ",IF($G$3="","",INDEX(인턴계획표[[정규화1]:[정규화6]],$Q240,$G$3)&amp;""))-1),IF($G$3="","",INDEX(인턴계획표[[정규화1]:[정규화6]],$Q240,$G$3)&amp;"")))))</f>
        <v/>
      </c>
      <c r="G240">
        <f>IF($Q240="","",IF(IF($G$3="","",INDEX(인턴계획표[[정규화1]:[정규화6]],$Q240,$G$3)&amp;"")="","",IF(LEFT(IF($G$3="","",INDEX(인턴계획표[[정규화1]:[정규화6]],$Q240,$G$3)&amp;""),1)="⚠","",IFERROR(MID(IF($G$3="","",INDEX(인턴계획표[[정규화1]:[정규화6]],$Q240,$G$3)&amp;""),FIND(" ",IF($G$3="","",INDEX(인턴계획표[[정규화1]:[정규화6]],$Q240,$G$3)&amp;""))+1,60),""))))</f>
        <v/>
      </c>
      <c r="H240">
        <f>IF($Q240="","",IF(IF($I$3="","",INDEX(인턴계획표[[정규화1]:[정규화6]],$Q240,$I$3)&amp;"")="","",IF(LEFT(IF($I$3="","",INDEX(인턴계획표[[정규화1]:[정규화6]],$Q240,$I$3)&amp;""),1)="⚠",IF($I$3="","",INDEX(인턴계획표[[정규화1]:[정규화6]],$Q240,$I$3)&amp;""),IFERROR(LEFT(IF($I$3="","",INDEX(인턴계획표[[정규화1]:[정규화6]],$Q240,$I$3)&amp;""),FIND(" ",IF($I$3="","",INDEX(인턴계획표[[정규화1]:[정규화6]],$Q240,$I$3)&amp;""))-1),IF($I$3="","",INDEX(인턴계획표[[정규화1]:[정규화6]],$Q240,$I$3)&amp;"")))))</f>
        <v/>
      </c>
      <c r="I240">
        <f>IF($Q240="","",IF(IF($I$3="","",INDEX(인턴계획표[[정규화1]:[정규화6]],$Q240,$I$3)&amp;"")="","",IF(LEFT(IF($I$3="","",INDEX(인턴계획표[[정규화1]:[정규화6]],$Q240,$I$3)&amp;""),1)="⚠","",IFERROR(MID(IF($I$3="","",INDEX(인턴계획표[[정규화1]:[정규화6]],$Q240,$I$3)&amp;""),FIND(" ",IF($I$3="","",INDEX(인턴계획표[[정규화1]:[정규화6]],$Q240,$I$3)&amp;""))+1,60),""))))</f>
        <v/>
      </c>
      <c r="J240">
        <f>IF($Q240="","",INDEX(인턴계획표[정규화1],$Q240))</f>
        <v/>
      </c>
      <c r="K240">
        <f>IF($Q240="","",INDEX(인턴계획표[정규화2],$Q240))</f>
        <v/>
      </c>
      <c r="L240">
        <f>IF($Q240="","",INDEX(인턴계획표[정규화3],$Q240))</f>
        <v/>
      </c>
      <c r="M240">
        <f>IF($Q240="","",INDEX(인턴계획표[정규화4],$Q240))</f>
        <v/>
      </c>
      <c r="N240">
        <f>IF($Q240="","",INDEX(인턴계획표[정규화5],$Q240))</f>
        <v/>
      </c>
      <c r="O240">
        <f>IF($Q240="","",INDEX(인턴계획표[정규화6],$Q240))</f>
        <v/>
      </c>
      <c r="P240">
        <f>IF($Q240="","",INDEX(인턴계획표[입력오류],$Q240))</f>
        <v/>
      </c>
      <c r="Q240" s="17">
        <f>IFERROR(MATCH(235,인턴계획표[표시순번],0),"")</f>
        <v/>
      </c>
    </row>
    <row r="241">
      <c r="A241">
        <f>IF($Q241="","",INDEX(인턴계획표[순번],$Q241)&amp;"")</f>
        <v/>
      </c>
      <c r="B241">
        <f>IF($Q241="","",TRIM(INDEX(인턴계획표[이름],$Q241)&amp;""))</f>
        <v/>
      </c>
      <c r="C241">
        <f>IF($Q241="","",INDEX(인턴계획표[사번],$Q241)&amp;"")</f>
        <v/>
      </c>
      <c r="D241">
        <f>IF($Q241="","",IF(COUNTIF(기본자료표[사번키],INDEX(인턴계획표[사번키],$Q241))&gt;0,"확인","미등록"))</f>
        <v/>
      </c>
      <c r="E241">
        <f>IF($Q241="","",IF(ISNUMBER(INDEX(인턴계획표[입사일(비고)],$Q241)),TEXT(INDEX(인턴계획표[입사일(비고)],$Q241),"yyyy-mm-dd"),INDEX(인턴계획표[입사일(비고)],$Q241)&amp;""))</f>
        <v/>
      </c>
      <c r="F241">
        <f>IF($Q241="","",IF(IF($G$3="","",INDEX(인턴계획표[[정규화1]:[정규화6]],$Q241,$G$3)&amp;"")="","",IF(LEFT(IF($G$3="","",INDEX(인턴계획표[[정규화1]:[정규화6]],$Q241,$G$3)&amp;""),1)="⚠",IF($G$3="","",INDEX(인턴계획표[[정규화1]:[정규화6]],$Q241,$G$3)&amp;""),IFERROR(LEFT(IF($G$3="","",INDEX(인턴계획표[[정규화1]:[정규화6]],$Q241,$G$3)&amp;""),FIND(" ",IF($G$3="","",INDEX(인턴계획표[[정규화1]:[정규화6]],$Q241,$G$3)&amp;""))-1),IF($G$3="","",INDEX(인턴계획표[[정규화1]:[정규화6]],$Q241,$G$3)&amp;"")))))</f>
        <v/>
      </c>
      <c r="G241">
        <f>IF($Q241="","",IF(IF($G$3="","",INDEX(인턴계획표[[정규화1]:[정규화6]],$Q241,$G$3)&amp;"")="","",IF(LEFT(IF($G$3="","",INDEX(인턴계획표[[정규화1]:[정규화6]],$Q241,$G$3)&amp;""),1)="⚠","",IFERROR(MID(IF($G$3="","",INDEX(인턴계획표[[정규화1]:[정규화6]],$Q241,$G$3)&amp;""),FIND(" ",IF($G$3="","",INDEX(인턴계획표[[정규화1]:[정규화6]],$Q241,$G$3)&amp;""))+1,60),""))))</f>
        <v/>
      </c>
      <c r="H241">
        <f>IF($Q241="","",IF(IF($I$3="","",INDEX(인턴계획표[[정규화1]:[정규화6]],$Q241,$I$3)&amp;"")="","",IF(LEFT(IF($I$3="","",INDEX(인턴계획표[[정규화1]:[정규화6]],$Q241,$I$3)&amp;""),1)="⚠",IF($I$3="","",INDEX(인턴계획표[[정규화1]:[정규화6]],$Q241,$I$3)&amp;""),IFERROR(LEFT(IF($I$3="","",INDEX(인턴계획표[[정규화1]:[정규화6]],$Q241,$I$3)&amp;""),FIND(" ",IF($I$3="","",INDEX(인턴계획표[[정규화1]:[정규화6]],$Q241,$I$3)&amp;""))-1),IF($I$3="","",INDEX(인턴계획표[[정규화1]:[정규화6]],$Q241,$I$3)&amp;"")))))</f>
        <v/>
      </c>
      <c r="I241">
        <f>IF($Q241="","",IF(IF($I$3="","",INDEX(인턴계획표[[정규화1]:[정규화6]],$Q241,$I$3)&amp;"")="","",IF(LEFT(IF($I$3="","",INDEX(인턴계획표[[정규화1]:[정규화6]],$Q241,$I$3)&amp;""),1)="⚠","",IFERROR(MID(IF($I$3="","",INDEX(인턴계획표[[정규화1]:[정규화6]],$Q241,$I$3)&amp;""),FIND(" ",IF($I$3="","",INDEX(인턴계획표[[정규화1]:[정규화6]],$Q241,$I$3)&amp;""))+1,60),""))))</f>
        <v/>
      </c>
      <c r="J241">
        <f>IF($Q241="","",INDEX(인턴계획표[정규화1],$Q241))</f>
        <v/>
      </c>
      <c r="K241">
        <f>IF($Q241="","",INDEX(인턴계획표[정규화2],$Q241))</f>
        <v/>
      </c>
      <c r="L241">
        <f>IF($Q241="","",INDEX(인턴계획표[정규화3],$Q241))</f>
        <v/>
      </c>
      <c r="M241">
        <f>IF($Q241="","",INDEX(인턴계획표[정규화4],$Q241))</f>
        <v/>
      </c>
      <c r="N241">
        <f>IF($Q241="","",INDEX(인턴계획표[정규화5],$Q241))</f>
        <v/>
      </c>
      <c r="O241">
        <f>IF($Q241="","",INDEX(인턴계획표[정규화6],$Q241))</f>
        <v/>
      </c>
      <c r="P241">
        <f>IF($Q241="","",INDEX(인턴계획표[입력오류],$Q241))</f>
        <v/>
      </c>
      <c r="Q241" s="17">
        <f>IFERROR(MATCH(236,인턴계획표[표시순번],0),"")</f>
        <v/>
      </c>
    </row>
    <row r="242">
      <c r="A242">
        <f>IF($Q242="","",INDEX(인턴계획표[순번],$Q242)&amp;"")</f>
        <v/>
      </c>
      <c r="B242">
        <f>IF($Q242="","",TRIM(INDEX(인턴계획표[이름],$Q242)&amp;""))</f>
        <v/>
      </c>
      <c r="C242">
        <f>IF($Q242="","",INDEX(인턴계획표[사번],$Q242)&amp;"")</f>
        <v/>
      </c>
      <c r="D242">
        <f>IF($Q242="","",IF(COUNTIF(기본자료표[사번키],INDEX(인턴계획표[사번키],$Q242))&gt;0,"확인","미등록"))</f>
        <v/>
      </c>
      <c r="E242">
        <f>IF($Q242="","",IF(ISNUMBER(INDEX(인턴계획표[입사일(비고)],$Q242)),TEXT(INDEX(인턴계획표[입사일(비고)],$Q242),"yyyy-mm-dd"),INDEX(인턴계획표[입사일(비고)],$Q242)&amp;""))</f>
        <v/>
      </c>
      <c r="F242">
        <f>IF($Q242="","",IF(IF($G$3="","",INDEX(인턴계획표[[정규화1]:[정규화6]],$Q242,$G$3)&amp;"")="","",IF(LEFT(IF($G$3="","",INDEX(인턴계획표[[정규화1]:[정규화6]],$Q242,$G$3)&amp;""),1)="⚠",IF($G$3="","",INDEX(인턴계획표[[정규화1]:[정규화6]],$Q242,$G$3)&amp;""),IFERROR(LEFT(IF($G$3="","",INDEX(인턴계획표[[정규화1]:[정규화6]],$Q242,$G$3)&amp;""),FIND(" ",IF($G$3="","",INDEX(인턴계획표[[정규화1]:[정규화6]],$Q242,$G$3)&amp;""))-1),IF($G$3="","",INDEX(인턴계획표[[정규화1]:[정규화6]],$Q242,$G$3)&amp;"")))))</f>
        <v/>
      </c>
      <c r="G242">
        <f>IF($Q242="","",IF(IF($G$3="","",INDEX(인턴계획표[[정규화1]:[정규화6]],$Q242,$G$3)&amp;"")="","",IF(LEFT(IF($G$3="","",INDEX(인턴계획표[[정규화1]:[정규화6]],$Q242,$G$3)&amp;""),1)="⚠","",IFERROR(MID(IF($G$3="","",INDEX(인턴계획표[[정규화1]:[정규화6]],$Q242,$G$3)&amp;""),FIND(" ",IF($G$3="","",INDEX(인턴계획표[[정규화1]:[정규화6]],$Q242,$G$3)&amp;""))+1,60),""))))</f>
        <v/>
      </c>
      <c r="H242">
        <f>IF($Q242="","",IF(IF($I$3="","",INDEX(인턴계획표[[정규화1]:[정규화6]],$Q242,$I$3)&amp;"")="","",IF(LEFT(IF($I$3="","",INDEX(인턴계획표[[정규화1]:[정규화6]],$Q242,$I$3)&amp;""),1)="⚠",IF($I$3="","",INDEX(인턴계획표[[정규화1]:[정규화6]],$Q242,$I$3)&amp;""),IFERROR(LEFT(IF($I$3="","",INDEX(인턴계획표[[정규화1]:[정규화6]],$Q242,$I$3)&amp;""),FIND(" ",IF($I$3="","",INDEX(인턴계획표[[정규화1]:[정규화6]],$Q242,$I$3)&amp;""))-1),IF($I$3="","",INDEX(인턴계획표[[정규화1]:[정규화6]],$Q242,$I$3)&amp;"")))))</f>
        <v/>
      </c>
      <c r="I242">
        <f>IF($Q242="","",IF(IF($I$3="","",INDEX(인턴계획표[[정규화1]:[정규화6]],$Q242,$I$3)&amp;"")="","",IF(LEFT(IF($I$3="","",INDEX(인턴계획표[[정규화1]:[정규화6]],$Q242,$I$3)&amp;""),1)="⚠","",IFERROR(MID(IF($I$3="","",INDEX(인턴계획표[[정규화1]:[정규화6]],$Q242,$I$3)&amp;""),FIND(" ",IF($I$3="","",INDEX(인턴계획표[[정규화1]:[정규화6]],$Q242,$I$3)&amp;""))+1,60),""))))</f>
        <v/>
      </c>
      <c r="J242">
        <f>IF($Q242="","",INDEX(인턴계획표[정규화1],$Q242))</f>
        <v/>
      </c>
      <c r="K242">
        <f>IF($Q242="","",INDEX(인턴계획표[정규화2],$Q242))</f>
        <v/>
      </c>
      <c r="L242">
        <f>IF($Q242="","",INDEX(인턴계획표[정규화3],$Q242))</f>
        <v/>
      </c>
      <c r="M242">
        <f>IF($Q242="","",INDEX(인턴계획표[정규화4],$Q242))</f>
        <v/>
      </c>
      <c r="N242">
        <f>IF($Q242="","",INDEX(인턴계획표[정규화5],$Q242))</f>
        <v/>
      </c>
      <c r="O242">
        <f>IF($Q242="","",INDEX(인턴계획표[정규화6],$Q242))</f>
        <v/>
      </c>
      <c r="P242">
        <f>IF($Q242="","",INDEX(인턴계획표[입력오류],$Q242))</f>
        <v/>
      </c>
      <c r="Q242" s="17">
        <f>IFERROR(MATCH(237,인턴계획표[표시순번],0),"")</f>
        <v/>
      </c>
    </row>
    <row r="243">
      <c r="A243">
        <f>IF($Q243="","",INDEX(인턴계획표[순번],$Q243)&amp;"")</f>
        <v/>
      </c>
      <c r="B243">
        <f>IF($Q243="","",TRIM(INDEX(인턴계획표[이름],$Q243)&amp;""))</f>
        <v/>
      </c>
      <c r="C243">
        <f>IF($Q243="","",INDEX(인턴계획표[사번],$Q243)&amp;"")</f>
        <v/>
      </c>
      <c r="D243">
        <f>IF($Q243="","",IF(COUNTIF(기본자료표[사번키],INDEX(인턴계획표[사번키],$Q243))&gt;0,"확인","미등록"))</f>
        <v/>
      </c>
      <c r="E243">
        <f>IF($Q243="","",IF(ISNUMBER(INDEX(인턴계획표[입사일(비고)],$Q243)),TEXT(INDEX(인턴계획표[입사일(비고)],$Q243),"yyyy-mm-dd"),INDEX(인턴계획표[입사일(비고)],$Q243)&amp;""))</f>
        <v/>
      </c>
      <c r="F243">
        <f>IF($Q243="","",IF(IF($G$3="","",INDEX(인턴계획표[[정규화1]:[정규화6]],$Q243,$G$3)&amp;"")="","",IF(LEFT(IF($G$3="","",INDEX(인턴계획표[[정규화1]:[정규화6]],$Q243,$G$3)&amp;""),1)="⚠",IF($G$3="","",INDEX(인턴계획표[[정규화1]:[정규화6]],$Q243,$G$3)&amp;""),IFERROR(LEFT(IF($G$3="","",INDEX(인턴계획표[[정규화1]:[정규화6]],$Q243,$G$3)&amp;""),FIND(" ",IF($G$3="","",INDEX(인턴계획표[[정규화1]:[정규화6]],$Q243,$G$3)&amp;""))-1),IF($G$3="","",INDEX(인턴계획표[[정규화1]:[정규화6]],$Q243,$G$3)&amp;"")))))</f>
        <v/>
      </c>
      <c r="G243">
        <f>IF($Q243="","",IF(IF($G$3="","",INDEX(인턴계획표[[정규화1]:[정규화6]],$Q243,$G$3)&amp;"")="","",IF(LEFT(IF($G$3="","",INDEX(인턴계획표[[정규화1]:[정규화6]],$Q243,$G$3)&amp;""),1)="⚠","",IFERROR(MID(IF($G$3="","",INDEX(인턴계획표[[정규화1]:[정규화6]],$Q243,$G$3)&amp;""),FIND(" ",IF($G$3="","",INDEX(인턴계획표[[정규화1]:[정규화6]],$Q243,$G$3)&amp;""))+1,60),""))))</f>
        <v/>
      </c>
      <c r="H243">
        <f>IF($Q243="","",IF(IF($I$3="","",INDEX(인턴계획표[[정규화1]:[정규화6]],$Q243,$I$3)&amp;"")="","",IF(LEFT(IF($I$3="","",INDEX(인턴계획표[[정규화1]:[정규화6]],$Q243,$I$3)&amp;""),1)="⚠",IF($I$3="","",INDEX(인턴계획표[[정규화1]:[정규화6]],$Q243,$I$3)&amp;""),IFERROR(LEFT(IF($I$3="","",INDEX(인턴계획표[[정규화1]:[정규화6]],$Q243,$I$3)&amp;""),FIND(" ",IF($I$3="","",INDEX(인턴계획표[[정규화1]:[정규화6]],$Q243,$I$3)&amp;""))-1),IF($I$3="","",INDEX(인턴계획표[[정규화1]:[정규화6]],$Q243,$I$3)&amp;"")))))</f>
        <v/>
      </c>
      <c r="I243">
        <f>IF($Q243="","",IF(IF($I$3="","",INDEX(인턴계획표[[정규화1]:[정규화6]],$Q243,$I$3)&amp;"")="","",IF(LEFT(IF($I$3="","",INDEX(인턴계획표[[정규화1]:[정규화6]],$Q243,$I$3)&amp;""),1)="⚠","",IFERROR(MID(IF($I$3="","",INDEX(인턴계획표[[정규화1]:[정규화6]],$Q243,$I$3)&amp;""),FIND(" ",IF($I$3="","",INDEX(인턴계획표[[정규화1]:[정규화6]],$Q243,$I$3)&amp;""))+1,60),""))))</f>
        <v/>
      </c>
      <c r="J243">
        <f>IF($Q243="","",INDEX(인턴계획표[정규화1],$Q243))</f>
        <v/>
      </c>
      <c r="K243">
        <f>IF($Q243="","",INDEX(인턴계획표[정규화2],$Q243))</f>
        <v/>
      </c>
      <c r="L243">
        <f>IF($Q243="","",INDEX(인턴계획표[정규화3],$Q243))</f>
        <v/>
      </c>
      <c r="M243">
        <f>IF($Q243="","",INDEX(인턴계획표[정규화4],$Q243))</f>
        <v/>
      </c>
      <c r="N243">
        <f>IF($Q243="","",INDEX(인턴계획표[정규화5],$Q243))</f>
        <v/>
      </c>
      <c r="O243">
        <f>IF($Q243="","",INDEX(인턴계획표[정규화6],$Q243))</f>
        <v/>
      </c>
      <c r="P243">
        <f>IF($Q243="","",INDEX(인턴계획표[입력오류],$Q243))</f>
        <v/>
      </c>
      <c r="Q243" s="17">
        <f>IFERROR(MATCH(238,인턴계획표[표시순번],0),"")</f>
        <v/>
      </c>
    </row>
    <row r="244">
      <c r="A244">
        <f>IF($Q244="","",INDEX(인턴계획표[순번],$Q244)&amp;"")</f>
        <v/>
      </c>
      <c r="B244">
        <f>IF($Q244="","",TRIM(INDEX(인턴계획표[이름],$Q244)&amp;""))</f>
        <v/>
      </c>
      <c r="C244">
        <f>IF($Q244="","",INDEX(인턴계획표[사번],$Q244)&amp;"")</f>
        <v/>
      </c>
      <c r="D244">
        <f>IF($Q244="","",IF(COUNTIF(기본자료표[사번키],INDEX(인턴계획표[사번키],$Q244))&gt;0,"확인","미등록"))</f>
        <v/>
      </c>
      <c r="E244">
        <f>IF($Q244="","",IF(ISNUMBER(INDEX(인턴계획표[입사일(비고)],$Q244)),TEXT(INDEX(인턴계획표[입사일(비고)],$Q244),"yyyy-mm-dd"),INDEX(인턴계획표[입사일(비고)],$Q244)&amp;""))</f>
        <v/>
      </c>
      <c r="F244">
        <f>IF($Q244="","",IF(IF($G$3="","",INDEX(인턴계획표[[정규화1]:[정규화6]],$Q244,$G$3)&amp;"")="","",IF(LEFT(IF($G$3="","",INDEX(인턴계획표[[정규화1]:[정규화6]],$Q244,$G$3)&amp;""),1)="⚠",IF($G$3="","",INDEX(인턴계획표[[정규화1]:[정규화6]],$Q244,$G$3)&amp;""),IFERROR(LEFT(IF($G$3="","",INDEX(인턴계획표[[정규화1]:[정규화6]],$Q244,$G$3)&amp;""),FIND(" ",IF($G$3="","",INDEX(인턴계획표[[정규화1]:[정규화6]],$Q244,$G$3)&amp;""))-1),IF($G$3="","",INDEX(인턴계획표[[정규화1]:[정규화6]],$Q244,$G$3)&amp;"")))))</f>
        <v/>
      </c>
      <c r="G244">
        <f>IF($Q244="","",IF(IF($G$3="","",INDEX(인턴계획표[[정규화1]:[정규화6]],$Q244,$G$3)&amp;"")="","",IF(LEFT(IF($G$3="","",INDEX(인턴계획표[[정규화1]:[정규화6]],$Q244,$G$3)&amp;""),1)="⚠","",IFERROR(MID(IF($G$3="","",INDEX(인턴계획표[[정규화1]:[정규화6]],$Q244,$G$3)&amp;""),FIND(" ",IF($G$3="","",INDEX(인턴계획표[[정규화1]:[정규화6]],$Q244,$G$3)&amp;""))+1,60),""))))</f>
        <v/>
      </c>
      <c r="H244">
        <f>IF($Q244="","",IF(IF($I$3="","",INDEX(인턴계획표[[정규화1]:[정규화6]],$Q244,$I$3)&amp;"")="","",IF(LEFT(IF($I$3="","",INDEX(인턴계획표[[정규화1]:[정규화6]],$Q244,$I$3)&amp;""),1)="⚠",IF($I$3="","",INDEX(인턴계획표[[정규화1]:[정규화6]],$Q244,$I$3)&amp;""),IFERROR(LEFT(IF($I$3="","",INDEX(인턴계획표[[정규화1]:[정규화6]],$Q244,$I$3)&amp;""),FIND(" ",IF($I$3="","",INDEX(인턴계획표[[정규화1]:[정규화6]],$Q244,$I$3)&amp;""))-1),IF($I$3="","",INDEX(인턴계획표[[정규화1]:[정규화6]],$Q244,$I$3)&amp;"")))))</f>
        <v/>
      </c>
      <c r="I244">
        <f>IF($Q244="","",IF(IF($I$3="","",INDEX(인턴계획표[[정규화1]:[정규화6]],$Q244,$I$3)&amp;"")="","",IF(LEFT(IF($I$3="","",INDEX(인턴계획표[[정규화1]:[정규화6]],$Q244,$I$3)&amp;""),1)="⚠","",IFERROR(MID(IF($I$3="","",INDEX(인턴계획표[[정규화1]:[정규화6]],$Q244,$I$3)&amp;""),FIND(" ",IF($I$3="","",INDEX(인턴계획표[[정규화1]:[정규화6]],$Q244,$I$3)&amp;""))+1,60),""))))</f>
        <v/>
      </c>
      <c r="J244">
        <f>IF($Q244="","",INDEX(인턴계획표[정규화1],$Q244))</f>
        <v/>
      </c>
      <c r="K244">
        <f>IF($Q244="","",INDEX(인턴계획표[정규화2],$Q244))</f>
        <v/>
      </c>
      <c r="L244">
        <f>IF($Q244="","",INDEX(인턴계획표[정규화3],$Q244))</f>
        <v/>
      </c>
      <c r="M244">
        <f>IF($Q244="","",INDEX(인턴계획표[정규화4],$Q244))</f>
        <v/>
      </c>
      <c r="N244">
        <f>IF($Q244="","",INDEX(인턴계획표[정규화5],$Q244))</f>
        <v/>
      </c>
      <c r="O244">
        <f>IF($Q244="","",INDEX(인턴계획표[정규화6],$Q244))</f>
        <v/>
      </c>
      <c r="P244">
        <f>IF($Q244="","",INDEX(인턴계획표[입력오류],$Q244))</f>
        <v/>
      </c>
      <c r="Q244" s="17">
        <f>IFERROR(MATCH(239,인턴계획표[표시순번],0),"")</f>
        <v/>
      </c>
    </row>
    <row r="245">
      <c r="A245">
        <f>IF($Q245="","",INDEX(인턴계획표[순번],$Q245)&amp;"")</f>
        <v/>
      </c>
      <c r="B245">
        <f>IF($Q245="","",TRIM(INDEX(인턴계획표[이름],$Q245)&amp;""))</f>
        <v/>
      </c>
      <c r="C245">
        <f>IF($Q245="","",INDEX(인턴계획표[사번],$Q245)&amp;"")</f>
        <v/>
      </c>
      <c r="D245">
        <f>IF($Q245="","",IF(COUNTIF(기본자료표[사번키],INDEX(인턴계획표[사번키],$Q245))&gt;0,"확인","미등록"))</f>
        <v/>
      </c>
      <c r="E245">
        <f>IF($Q245="","",IF(ISNUMBER(INDEX(인턴계획표[입사일(비고)],$Q245)),TEXT(INDEX(인턴계획표[입사일(비고)],$Q245),"yyyy-mm-dd"),INDEX(인턴계획표[입사일(비고)],$Q245)&amp;""))</f>
        <v/>
      </c>
      <c r="F245">
        <f>IF($Q245="","",IF(IF($G$3="","",INDEX(인턴계획표[[정규화1]:[정규화6]],$Q245,$G$3)&amp;"")="","",IF(LEFT(IF($G$3="","",INDEX(인턴계획표[[정규화1]:[정규화6]],$Q245,$G$3)&amp;""),1)="⚠",IF($G$3="","",INDEX(인턴계획표[[정규화1]:[정규화6]],$Q245,$G$3)&amp;""),IFERROR(LEFT(IF($G$3="","",INDEX(인턴계획표[[정규화1]:[정규화6]],$Q245,$G$3)&amp;""),FIND(" ",IF($G$3="","",INDEX(인턴계획표[[정규화1]:[정규화6]],$Q245,$G$3)&amp;""))-1),IF($G$3="","",INDEX(인턴계획표[[정규화1]:[정규화6]],$Q245,$G$3)&amp;"")))))</f>
        <v/>
      </c>
      <c r="G245">
        <f>IF($Q245="","",IF(IF($G$3="","",INDEX(인턴계획표[[정규화1]:[정규화6]],$Q245,$G$3)&amp;"")="","",IF(LEFT(IF($G$3="","",INDEX(인턴계획표[[정규화1]:[정규화6]],$Q245,$G$3)&amp;""),1)="⚠","",IFERROR(MID(IF($G$3="","",INDEX(인턴계획표[[정규화1]:[정규화6]],$Q245,$G$3)&amp;""),FIND(" ",IF($G$3="","",INDEX(인턴계획표[[정규화1]:[정규화6]],$Q245,$G$3)&amp;""))+1,60),""))))</f>
        <v/>
      </c>
      <c r="H245">
        <f>IF($Q245="","",IF(IF($I$3="","",INDEX(인턴계획표[[정규화1]:[정규화6]],$Q245,$I$3)&amp;"")="","",IF(LEFT(IF($I$3="","",INDEX(인턴계획표[[정규화1]:[정규화6]],$Q245,$I$3)&amp;""),1)="⚠",IF($I$3="","",INDEX(인턴계획표[[정규화1]:[정규화6]],$Q245,$I$3)&amp;""),IFERROR(LEFT(IF($I$3="","",INDEX(인턴계획표[[정규화1]:[정규화6]],$Q245,$I$3)&amp;""),FIND(" ",IF($I$3="","",INDEX(인턴계획표[[정규화1]:[정규화6]],$Q245,$I$3)&amp;""))-1),IF($I$3="","",INDEX(인턴계획표[[정규화1]:[정규화6]],$Q245,$I$3)&amp;"")))))</f>
        <v/>
      </c>
      <c r="I245">
        <f>IF($Q245="","",IF(IF($I$3="","",INDEX(인턴계획표[[정규화1]:[정규화6]],$Q245,$I$3)&amp;"")="","",IF(LEFT(IF($I$3="","",INDEX(인턴계획표[[정규화1]:[정규화6]],$Q245,$I$3)&amp;""),1)="⚠","",IFERROR(MID(IF($I$3="","",INDEX(인턴계획표[[정규화1]:[정규화6]],$Q245,$I$3)&amp;""),FIND(" ",IF($I$3="","",INDEX(인턴계획표[[정규화1]:[정규화6]],$Q245,$I$3)&amp;""))+1,60),""))))</f>
        <v/>
      </c>
      <c r="J245">
        <f>IF($Q245="","",INDEX(인턴계획표[정규화1],$Q245))</f>
        <v/>
      </c>
      <c r="K245">
        <f>IF($Q245="","",INDEX(인턴계획표[정규화2],$Q245))</f>
        <v/>
      </c>
      <c r="L245">
        <f>IF($Q245="","",INDEX(인턴계획표[정규화3],$Q245))</f>
        <v/>
      </c>
      <c r="M245">
        <f>IF($Q245="","",INDEX(인턴계획표[정규화4],$Q245))</f>
        <v/>
      </c>
      <c r="N245">
        <f>IF($Q245="","",INDEX(인턴계획표[정규화5],$Q245))</f>
        <v/>
      </c>
      <c r="O245">
        <f>IF($Q245="","",INDEX(인턴계획표[정규화6],$Q245))</f>
        <v/>
      </c>
      <c r="P245">
        <f>IF($Q245="","",INDEX(인턴계획표[입력오류],$Q245))</f>
        <v/>
      </c>
      <c r="Q245" s="17">
        <f>IFERROR(MATCH(240,인턴계획표[표시순번],0),"")</f>
        <v/>
      </c>
    </row>
    <row r="246">
      <c r="A246">
        <f>IF($Q246="","",INDEX(인턴계획표[순번],$Q246)&amp;"")</f>
        <v/>
      </c>
      <c r="B246">
        <f>IF($Q246="","",TRIM(INDEX(인턴계획표[이름],$Q246)&amp;""))</f>
        <v/>
      </c>
      <c r="C246">
        <f>IF($Q246="","",INDEX(인턴계획표[사번],$Q246)&amp;"")</f>
        <v/>
      </c>
      <c r="D246">
        <f>IF($Q246="","",IF(COUNTIF(기본자료표[사번키],INDEX(인턴계획표[사번키],$Q246))&gt;0,"확인","미등록"))</f>
        <v/>
      </c>
      <c r="E246">
        <f>IF($Q246="","",IF(ISNUMBER(INDEX(인턴계획표[입사일(비고)],$Q246)),TEXT(INDEX(인턴계획표[입사일(비고)],$Q246),"yyyy-mm-dd"),INDEX(인턴계획표[입사일(비고)],$Q246)&amp;""))</f>
        <v/>
      </c>
      <c r="F246">
        <f>IF($Q246="","",IF(IF($G$3="","",INDEX(인턴계획표[[정규화1]:[정규화6]],$Q246,$G$3)&amp;"")="","",IF(LEFT(IF($G$3="","",INDEX(인턴계획표[[정규화1]:[정규화6]],$Q246,$G$3)&amp;""),1)="⚠",IF($G$3="","",INDEX(인턴계획표[[정규화1]:[정규화6]],$Q246,$G$3)&amp;""),IFERROR(LEFT(IF($G$3="","",INDEX(인턴계획표[[정규화1]:[정규화6]],$Q246,$G$3)&amp;""),FIND(" ",IF($G$3="","",INDEX(인턴계획표[[정규화1]:[정규화6]],$Q246,$G$3)&amp;""))-1),IF($G$3="","",INDEX(인턴계획표[[정규화1]:[정규화6]],$Q246,$G$3)&amp;"")))))</f>
        <v/>
      </c>
      <c r="G246">
        <f>IF($Q246="","",IF(IF($G$3="","",INDEX(인턴계획표[[정규화1]:[정규화6]],$Q246,$G$3)&amp;"")="","",IF(LEFT(IF($G$3="","",INDEX(인턴계획표[[정규화1]:[정규화6]],$Q246,$G$3)&amp;""),1)="⚠","",IFERROR(MID(IF($G$3="","",INDEX(인턴계획표[[정규화1]:[정규화6]],$Q246,$G$3)&amp;""),FIND(" ",IF($G$3="","",INDEX(인턴계획표[[정규화1]:[정규화6]],$Q246,$G$3)&amp;""))+1,60),""))))</f>
        <v/>
      </c>
      <c r="H246">
        <f>IF($Q246="","",IF(IF($I$3="","",INDEX(인턴계획표[[정규화1]:[정규화6]],$Q246,$I$3)&amp;"")="","",IF(LEFT(IF($I$3="","",INDEX(인턴계획표[[정규화1]:[정규화6]],$Q246,$I$3)&amp;""),1)="⚠",IF($I$3="","",INDEX(인턴계획표[[정규화1]:[정규화6]],$Q246,$I$3)&amp;""),IFERROR(LEFT(IF($I$3="","",INDEX(인턴계획표[[정규화1]:[정규화6]],$Q246,$I$3)&amp;""),FIND(" ",IF($I$3="","",INDEX(인턴계획표[[정규화1]:[정규화6]],$Q246,$I$3)&amp;""))-1),IF($I$3="","",INDEX(인턴계획표[[정규화1]:[정규화6]],$Q246,$I$3)&amp;"")))))</f>
        <v/>
      </c>
      <c r="I246">
        <f>IF($Q246="","",IF(IF($I$3="","",INDEX(인턴계획표[[정규화1]:[정규화6]],$Q246,$I$3)&amp;"")="","",IF(LEFT(IF($I$3="","",INDEX(인턴계획표[[정규화1]:[정규화6]],$Q246,$I$3)&amp;""),1)="⚠","",IFERROR(MID(IF($I$3="","",INDEX(인턴계획표[[정규화1]:[정규화6]],$Q246,$I$3)&amp;""),FIND(" ",IF($I$3="","",INDEX(인턴계획표[[정규화1]:[정규화6]],$Q246,$I$3)&amp;""))+1,60),""))))</f>
        <v/>
      </c>
      <c r="J246">
        <f>IF($Q246="","",INDEX(인턴계획표[정규화1],$Q246))</f>
        <v/>
      </c>
      <c r="K246">
        <f>IF($Q246="","",INDEX(인턴계획표[정규화2],$Q246))</f>
        <v/>
      </c>
      <c r="L246">
        <f>IF($Q246="","",INDEX(인턴계획표[정규화3],$Q246))</f>
        <v/>
      </c>
      <c r="M246">
        <f>IF($Q246="","",INDEX(인턴계획표[정규화4],$Q246))</f>
        <v/>
      </c>
      <c r="N246">
        <f>IF($Q246="","",INDEX(인턴계획표[정규화5],$Q246))</f>
        <v/>
      </c>
      <c r="O246">
        <f>IF($Q246="","",INDEX(인턴계획표[정규화6],$Q246))</f>
        <v/>
      </c>
      <c r="P246">
        <f>IF($Q246="","",INDEX(인턴계획표[입력오류],$Q246))</f>
        <v/>
      </c>
      <c r="Q246" s="17">
        <f>IFERROR(MATCH(241,인턴계획표[표시순번],0),"")</f>
        <v/>
      </c>
    </row>
    <row r="247">
      <c r="A247">
        <f>IF($Q247="","",INDEX(인턴계획표[순번],$Q247)&amp;"")</f>
        <v/>
      </c>
      <c r="B247">
        <f>IF($Q247="","",TRIM(INDEX(인턴계획표[이름],$Q247)&amp;""))</f>
        <v/>
      </c>
      <c r="C247">
        <f>IF($Q247="","",INDEX(인턴계획표[사번],$Q247)&amp;"")</f>
        <v/>
      </c>
      <c r="D247">
        <f>IF($Q247="","",IF(COUNTIF(기본자료표[사번키],INDEX(인턴계획표[사번키],$Q247))&gt;0,"확인","미등록"))</f>
        <v/>
      </c>
      <c r="E247">
        <f>IF($Q247="","",IF(ISNUMBER(INDEX(인턴계획표[입사일(비고)],$Q247)),TEXT(INDEX(인턴계획표[입사일(비고)],$Q247),"yyyy-mm-dd"),INDEX(인턴계획표[입사일(비고)],$Q247)&amp;""))</f>
        <v/>
      </c>
      <c r="F247">
        <f>IF($Q247="","",IF(IF($G$3="","",INDEX(인턴계획표[[정규화1]:[정규화6]],$Q247,$G$3)&amp;"")="","",IF(LEFT(IF($G$3="","",INDEX(인턴계획표[[정규화1]:[정규화6]],$Q247,$G$3)&amp;""),1)="⚠",IF($G$3="","",INDEX(인턴계획표[[정규화1]:[정규화6]],$Q247,$G$3)&amp;""),IFERROR(LEFT(IF($G$3="","",INDEX(인턴계획표[[정규화1]:[정규화6]],$Q247,$G$3)&amp;""),FIND(" ",IF($G$3="","",INDEX(인턴계획표[[정규화1]:[정규화6]],$Q247,$G$3)&amp;""))-1),IF($G$3="","",INDEX(인턴계획표[[정규화1]:[정규화6]],$Q247,$G$3)&amp;"")))))</f>
        <v/>
      </c>
      <c r="G247">
        <f>IF($Q247="","",IF(IF($G$3="","",INDEX(인턴계획표[[정규화1]:[정규화6]],$Q247,$G$3)&amp;"")="","",IF(LEFT(IF($G$3="","",INDEX(인턴계획표[[정규화1]:[정규화6]],$Q247,$G$3)&amp;""),1)="⚠","",IFERROR(MID(IF($G$3="","",INDEX(인턴계획표[[정규화1]:[정규화6]],$Q247,$G$3)&amp;""),FIND(" ",IF($G$3="","",INDEX(인턴계획표[[정규화1]:[정규화6]],$Q247,$G$3)&amp;""))+1,60),""))))</f>
        <v/>
      </c>
      <c r="H247">
        <f>IF($Q247="","",IF(IF($I$3="","",INDEX(인턴계획표[[정규화1]:[정규화6]],$Q247,$I$3)&amp;"")="","",IF(LEFT(IF($I$3="","",INDEX(인턴계획표[[정규화1]:[정규화6]],$Q247,$I$3)&amp;""),1)="⚠",IF($I$3="","",INDEX(인턴계획표[[정규화1]:[정규화6]],$Q247,$I$3)&amp;""),IFERROR(LEFT(IF($I$3="","",INDEX(인턴계획표[[정규화1]:[정규화6]],$Q247,$I$3)&amp;""),FIND(" ",IF($I$3="","",INDEX(인턴계획표[[정규화1]:[정규화6]],$Q247,$I$3)&amp;""))-1),IF($I$3="","",INDEX(인턴계획표[[정규화1]:[정규화6]],$Q247,$I$3)&amp;"")))))</f>
        <v/>
      </c>
      <c r="I247">
        <f>IF($Q247="","",IF(IF($I$3="","",INDEX(인턴계획표[[정규화1]:[정규화6]],$Q247,$I$3)&amp;"")="","",IF(LEFT(IF($I$3="","",INDEX(인턴계획표[[정규화1]:[정규화6]],$Q247,$I$3)&amp;""),1)="⚠","",IFERROR(MID(IF($I$3="","",INDEX(인턴계획표[[정규화1]:[정규화6]],$Q247,$I$3)&amp;""),FIND(" ",IF($I$3="","",INDEX(인턴계획표[[정규화1]:[정규화6]],$Q247,$I$3)&amp;""))+1,60),""))))</f>
        <v/>
      </c>
      <c r="J247">
        <f>IF($Q247="","",INDEX(인턴계획표[정규화1],$Q247))</f>
        <v/>
      </c>
      <c r="K247">
        <f>IF($Q247="","",INDEX(인턴계획표[정규화2],$Q247))</f>
        <v/>
      </c>
      <c r="L247">
        <f>IF($Q247="","",INDEX(인턴계획표[정규화3],$Q247))</f>
        <v/>
      </c>
      <c r="M247">
        <f>IF($Q247="","",INDEX(인턴계획표[정규화4],$Q247))</f>
        <v/>
      </c>
      <c r="N247">
        <f>IF($Q247="","",INDEX(인턴계획표[정규화5],$Q247))</f>
        <v/>
      </c>
      <c r="O247">
        <f>IF($Q247="","",INDEX(인턴계획표[정규화6],$Q247))</f>
        <v/>
      </c>
      <c r="P247">
        <f>IF($Q247="","",INDEX(인턴계획표[입력오류],$Q247))</f>
        <v/>
      </c>
      <c r="Q247" s="17">
        <f>IFERROR(MATCH(242,인턴계획표[표시순번],0),"")</f>
        <v/>
      </c>
    </row>
    <row r="248">
      <c r="A248">
        <f>IF($Q248="","",INDEX(인턴계획표[순번],$Q248)&amp;"")</f>
        <v/>
      </c>
      <c r="B248">
        <f>IF($Q248="","",TRIM(INDEX(인턴계획표[이름],$Q248)&amp;""))</f>
        <v/>
      </c>
      <c r="C248">
        <f>IF($Q248="","",INDEX(인턴계획표[사번],$Q248)&amp;"")</f>
        <v/>
      </c>
      <c r="D248">
        <f>IF($Q248="","",IF(COUNTIF(기본자료표[사번키],INDEX(인턴계획표[사번키],$Q248))&gt;0,"확인","미등록"))</f>
        <v/>
      </c>
      <c r="E248">
        <f>IF($Q248="","",IF(ISNUMBER(INDEX(인턴계획표[입사일(비고)],$Q248)),TEXT(INDEX(인턴계획표[입사일(비고)],$Q248),"yyyy-mm-dd"),INDEX(인턴계획표[입사일(비고)],$Q248)&amp;""))</f>
        <v/>
      </c>
      <c r="F248">
        <f>IF($Q248="","",IF(IF($G$3="","",INDEX(인턴계획표[[정규화1]:[정규화6]],$Q248,$G$3)&amp;"")="","",IF(LEFT(IF($G$3="","",INDEX(인턴계획표[[정규화1]:[정규화6]],$Q248,$G$3)&amp;""),1)="⚠",IF($G$3="","",INDEX(인턴계획표[[정규화1]:[정규화6]],$Q248,$G$3)&amp;""),IFERROR(LEFT(IF($G$3="","",INDEX(인턴계획표[[정규화1]:[정규화6]],$Q248,$G$3)&amp;""),FIND(" ",IF($G$3="","",INDEX(인턴계획표[[정규화1]:[정규화6]],$Q248,$G$3)&amp;""))-1),IF($G$3="","",INDEX(인턴계획표[[정규화1]:[정규화6]],$Q248,$G$3)&amp;"")))))</f>
        <v/>
      </c>
      <c r="G248">
        <f>IF($Q248="","",IF(IF($G$3="","",INDEX(인턴계획표[[정규화1]:[정규화6]],$Q248,$G$3)&amp;"")="","",IF(LEFT(IF($G$3="","",INDEX(인턴계획표[[정규화1]:[정규화6]],$Q248,$G$3)&amp;""),1)="⚠","",IFERROR(MID(IF($G$3="","",INDEX(인턴계획표[[정규화1]:[정규화6]],$Q248,$G$3)&amp;""),FIND(" ",IF($G$3="","",INDEX(인턴계획표[[정규화1]:[정규화6]],$Q248,$G$3)&amp;""))+1,60),""))))</f>
        <v/>
      </c>
      <c r="H248">
        <f>IF($Q248="","",IF(IF($I$3="","",INDEX(인턴계획표[[정규화1]:[정규화6]],$Q248,$I$3)&amp;"")="","",IF(LEFT(IF($I$3="","",INDEX(인턴계획표[[정규화1]:[정규화6]],$Q248,$I$3)&amp;""),1)="⚠",IF($I$3="","",INDEX(인턴계획표[[정규화1]:[정규화6]],$Q248,$I$3)&amp;""),IFERROR(LEFT(IF($I$3="","",INDEX(인턴계획표[[정규화1]:[정규화6]],$Q248,$I$3)&amp;""),FIND(" ",IF($I$3="","",INDEX(인턴계획표[[정규화1]:[정규화6]],$Q248,$I$3)&amp;""))-1),IF($I$3="","",INDEX(인턴계획표[[정규화1]:[정규화6]],$Q248,$I$3)&amp;"")))))</f>
        <v/>
      </c>
      <c r="I248">
        <f>IF($Q248="","",IF(IF($I$3="","",INDEX(인턴계획표[[정규화1]:[정규화6]],$Q248,$I$3)&amp;"")="","",IF(LEFT(IF($I$3="","",INDEX(인턴계획표[[정규화1]:[정규화6]],$Q248,$I$3)&amp;""),1)="⚠","",IFERROR(MID(IF($I$3="","",INDEX(인턴계획표[[정규화1]:[정규화6]],$Q248,$I$3)&amp;""),FIND(" ",IF($I$3="","",INDEX(인턴계획표[[정규화1]:[정규화6]],$Q248,$I$3)&amp;""))+1,60),""))))</f>
        <v/>
      </c>
      <c r="J248">
        <f>IF($Q248="","",INDEX(인턴계획표[정규화1],$Q248))</f>
        <v/>
      </c>
      <c r="K248">
        <f>IF($Q248="","",INDEX(인턴계획표[정규화2],$Q248))</f>
        <v/>
      </c>
      <c r="L248">
        <f>IF($Q248="","",INDEX(인턴계획표[정규화3],$Q248))</f>
        <v/>
      </c>
      <c r="M248">
        <f>IF($Q248="","",INDEX(인턴계획표[정규화4],$Q248))</f>
        <v/>
      </c>
      <c r="N248">
        <f>IF($Q248="","",INDEX(인턴계획표[정규화5],$Q248))</f>
        <v/>
      </c>
      <c r="O248">
        <f>IF($Q248="","",INDEX(인턴계획표[정규화6],$Q248))</f>
        <v/>
      </c>
      <c r="P248">
        <f>IF($Q248="","",INDEX(인턴계획표[입력오류],$Q248))</f>
        <v/>
      </c>
      <c r="Q248" s="17">
        <f>IFERROR(MATCH(243,인턴계획표[표시순번],0),"")</f>
        <v/>
      </c>
    </row>
    <row r="249">
      <c r="A249">
        <f>IF($Q249="","",INDEX(인턴계획표[순번],$Q249)&amp;"")</f>
        <v/>
      </c>
      <c r="B249">
        <f>IF($Q249="","",TRIM(INDEX(인턴계획표[이름],$Q249)&amp;""))</f>
        <v/>
      </c>
      <c r="C249">
        <f>IF($Q249="","",INDEX(인턴계획표[사번],$Q249)&amp;"")</f>
        <v/>
      </c>
      <c r="D249">
        <f>IF($Q249="","",IF(COUNTIF(기본자료표[사번키],INDEX(인턴계획표[사번키],$Q249))&gt;0,"확인","미등록"))</f>
        <v/>
      </c>
      <c r="E249">
        <f>IF($Q249="","",IF(ISNUMBER(INDEX(인턴계획표[입사일(비고)],$Q249)),TEXT(INDEX(인턴계획표[입사일(비고)],$Q249),"yyyy-mm-dd"),INDEX(인턴계획표[입사일(비고)],$Q249)&amp;""))</f>
        <v/>
      </c>
      <c r="F249">
        <f>IF($Q249="","",IF(IF($G$3="","",INDEX(인턴계획표[[정규화1]:[정규화6]],$Q249,$G$3)&amp;"")="","",IF(LEFT(IF($G$3="","",INDEX(인턴계획표[[정규화1]:[정규화6]],$Q249,$G$3)&amp;""),1)="⚠",IF($G$3="","",INDEX(인턴계획표[[정규화1]:[정규화6]],$Q249,$G$3)&amp;""),IFERROR(LEFT(IF($G$3="","",INDEX(인턴계획표[[정규화1]:[정규화6]],$Q249,$G$3)&amp;""),FIND(" ",IF($G$3="","",INDEX(인턴계획표[[정규화1]:[정규화6]],$Q249,$G$3)&amp;""))-1),IF($G$3="","",INDEX(인턴계획표[[정규화1]:[정규화6]],$Q249,$G$3)&amp;"")))))</f>
        <v/>
      </c>
      <c r="G249">
        <f>IF($Q249="","",IF(IF($G$3="","",INDEX(인턴계획표[[정규화1]:[정규화6]],$Q249,$G$3)&amp;"")="","",IF(LEFT(IF($G$3="","",INDEX(인턴계획표[[정규화1]:[정규화6]],$Q249,$G$3)&amp;""),1)="⚠","",IFERROR(MID(IF($G$3="","",INDEX(인턴계획표[[정규화1]:[정규화6]],$Q249,$G$3)&amp;""),FIND(" ",IF($G$3="","",INDEX(인턴계획표[[정규화1]:[정규화6]],$Q249,$G$3)&amp;""))+1,60),""))))</f>
        <v/>
      </c>
      <c r="H249">
        <f>IF($Q249="","",IF(IF($I$3="","",INDEX(인턴계획표[[정규화1]:[정규화6]],$Q249,$I$3)&amp;"")="","",IF(LEFT(IF($I$3="","",INDEX(인턴계획표[[정규화1]:[정규화6]],$Q249,$I$3)&amp;""),1)="⚠",IF($I$3="","",INDEX(인턴계획표[[정규화1]:[정규화6]],$Q249,$I$3)&amp;""),IFERROR(LEFT(IF($I$3="","",INDEX(인턴계획표[[정규화1]:[정규화6]],$Q249,$I$3)&amp;""),FIND(" ",IF($I$3="","",INDEX(인턴계획표[[정규화1]:[정규화6]],$Q249,$I$3)&amp;""))-1),IF($I$3="","",INDEX(인턴계획표[[정규화1]:[정규화6]],$Q249,$I$3)&amp;"")))))</f>
        <v/>
      </c>
      <c r="I249">
        <f>IF($Q249="","",IF(IF($I$3="","",INDEX(인턴계획표[[정규화1]:[정규화6]],$Q249,$I$3)&amp;"")="","",IF(LEFT(IF($I$3="","",INDEX(인턴계획표[[정규화1]:[정규화6]],$Q249,$I$3)&amp;""),1)="⚠","",IFERROR(MID(IF($I$3="","",INDEX(인턴계획표[[정규화1]:[정규화6]],$Q249,$I$3)&amp;""),FIND(" ",IF($I$3="","",INDEX(인턴계획표[[정규화1]:[정규화6]],$Q249,$I$3)&amp;""))+1,60),""))))</f>
        <v/>
      </c>
      <c r="J249">
        <f>IF($Q249="","",INDEX(인턴계획표[정규화1],$Q249))</f>
        <v/>
      </c>
      <c r="K249">
        <f>IF($Q249="","",INDEX(인턴계획표[정규화2],$Q249))</f>
        <v/>
      </c>
      <c r="L249">
        <f>IF($Q249="","",INDEX(인턴계획표[정규화3],$Q249))</f>
        <v/>
      </c>
      <c r="M249">
        <f>IF($Q249="","",INDEX(인턴계획표[정규화4],$Q249))</f>
        <v/>
      </c>
      <c r="N249">
        <f>IF($Q249="","",INDEX(인턴계획표[정규화5],$Q249))</f>
        <v/>
      </c>
      <c r="O249">
        <f>IF($Q249="","",INDEX(인턴계획표[정규화6],$Q249))</f>
        <v/>
      </c>
      <c r="P249">
        <f>IF($Q249="","",INDEX(인턴계획표[입력오류],$Q249))</f>
        <v/>
      </c>
      <c r="Q249" s="17">
        <f>IFERROR(MATCH(244,인턴계획표[표시순번],0),"")</f>
        <v/>
      </c>
    </row>
    <row r="250">
      <c r="A250">
        <f>IF($Q250="","",INDEX(인턴계획표[순번],$Q250)&amp;"")</f>
        <v/>
      </c>
      <c r="B250">
        <f>IF($Q250="","",TRIM(INDEX(인턴계획표[이름],$Q250)&amp;""))</f>
        <v/>
      </c>
      <c r="C250">
        <f>IF($Q250="","",INDEX(인턴계획표[사번],$Q250)&amp;"")</f>
        <v/>
      </c>
      <c r="D250">
        <f>IF($Q250="","",IF(COUNTIF(기본자료표[사번키],INDEX(인턴계획표[사번키],$Q250))&gt;0,"확인","미등록"))</f>
        <v/>
      </c>
      <c r="E250">
        <f>IF($Q250="","",IF(ISNUMBER(INDEX(인턴계획표[입사일(비고)],$Q250)),TEXT(INDEX(인턴계획표[입사일(비고)],$Q250),"yyyy-mm-dd"),INDEX(인턴계획표[입사일(비고)],$Q250)&amp;""))</f>
        <v/>
      </c>
      <c r="F250">
        <f>IF($Q250="","",IF(IF($G$3="","",INDEX(인턴계획표[[정규화1]:[정규화6]],$Q250,$G$3)&amp;"")="","",IF(LEFT(IF($G$3="","",INDEX(인턴계획표[[정규화1]:[정규화6]],$Q250,$G$3)&amp;""),1)="⚠",IF($G$3="","",INDEX(인턴계획표[[정규화1]:[정규화6]],$Q250,$G$3)&amp;""),IFERROR(LEFT(IF($G$3="","",INDEX(인턴계획표[[정규화1]:[정규화6]],$Q250,$G$3)&amp;""),FIND(" ",IF($G$3="","",INDEX(인턴계획표[[정규화1]:[정규화6]],$Q250,$G$3)&amp;""))-1),IF($G$3="","",INDEX(인턴계획표[[정규화1]:[정규화6]],$Q250,$G$3)&amp;"")))))</f>
        <v/>
      </c>
      <c r="G250">
        <f>IF($Q250="","",IF(IF($G$3="","",INDEX(인턴계획표[[정규화1]:[정규화6]],$Q250,$G$3)&amp;"")="","",IF(LEFT(IF($G$3="","",INDEX(인턴계획표[[정규화1]:[정규화6]],$Q250,$G$3)&amp;""),1)="⚠","",IFERROR(MID(IF($G$3="","",INDEX(인턴계획표[[정규화1]:[정규화6]],$Q250,$G$3)&amp;""),FIND(" ",IF($G$3="","",INDEX(인턴계획표[[정규화1]:[정규화6]],$Q250,$G$3)&amp;""))+1,60),""))))</f>
        <v/>
      </c>
      <c r="H250">
        <f>IF($Q250="","",IF(IF($I$3="","",INDEX(인턴계획표[[정규화1]:[정규화6]],$Q250,$I$3)&amp;"")="","",IF(LEFT(IF($I$3="","",INDEX(인턴계획표[[정규화1]:[정규화6]],$Q250,$I$3)&amp;""),1)="⚠",IF($I$3="","",INDEX(인턴계획표[[정규화1]:[정규화6]],$Q250,$I$3)&amp;""),IFERROR(LEFT(IF($I$3="","",INDEX(인턴계획표[[정규화1]:[정규화6]],$Q250,$I$3)&amp;""),FIND(" ",IF($I$3="","",INDEX(인턴계획표[[정규화1]:[정규화6]],$Q250,$I$3)&amp;""))-1),IF($I$3="","",INDEX(인턴계획표[[정규화1]:[정규화6]],$Q250,$I$3)&amp;"")))))</f>
        <v/>
      </c>
      <c r="I250">
        <f>IF($Q250="","",IF(IF($I$3="","",INDEX(인턴계획표[[정규화1]:[정규화6]],$Q250,$I$3)&amp;"")="","",IF(LEFT(IF($I$3="","",INDEX(인턴계획표[[정규화1]:[정규화6]],$Q250,$I$3)&amp;""),1)="⚠","",IFERROR(MID(IF($I$3="","",INDEX(인턴계획표[[정규화1]:[정규화6]],$Q250,$I$3)&amp;""),FIND(" ",IF($I$3="","",INDEX(인턴계획표[[정규화1]:[정규화6]],$Q250,$I$3)&amp;""))+1,60),""))))</f>
        <v/>
      </c>
      <c r="J250">
        <f>IF($Q250="","",INDEX(인턴계획표[정규화1],$Q250))</f>
        <v/>
      </c>
      <c r="K250">
        <f>IF($Q250="","",INDEX(인턴계획표[정규화2],$Q250))</f>
        <v/>
      </c>
      <c r="L250">
        <f>IF($Q250="","",INDEX(인턴계획표[정규화3],$Q250))</f>
        <v/>
      </c>
      <c r="M250">
        <f>IF($Q250="","",INDEX(인턴계획표[정규화4],$Q250))</f>
        <v/>
      </c>
      <c r="N250">
        <f>IF($Q250="","",INDEX(인턴계획표[정규화5],$Q250))</f>
        <v/>
      </c>
      <c r="O250">
        <f>IF($Q250="","",INDEX(인턴계획표[정규화6],$Q250))</f>
        <v/>
      </c>
      <c r="P250">
        <f>IF($Q250="","",INDEX(인턴계획표[입력오류],$Q250))</f>
        <v/>
      </c>
      <c r="Q250" s="17">
        <f>IFERROR(MATCH(245,인턴계획표[표시순번],0),"")</f>
        <v/>
      </c>
    </row>
    <row r="251">
      <c r="A251">
        <f>IF($Q251="","",INDEX(인턴계획표[순번],$Q251)&amp;"")</f>
        <v/>
      </c>
      <c r="B251">
        <f>IF($Q251="","",TRIM(INDEX(인턴계획표[이름],$Q251)&amp;""))</f>
        <v/>
      </c>
      <c r="C251">
        <f>IF($Q251="","",INDEX(인턴계획표[사번],$Q251)&amp;"")</f>
        <v/>
      </c>
      <c r="D251">
        <f>IF($Q251="","",IF(COUNTIF(기본자료표[사번키],INDEX(인턴계획표[사번키],$Q251))&gt;0,"확인","미등록"))</f>
        <v/>
      </c>
      <c r="E251">
        <f>IF($Q251="","",IF(ISNUMBER(INDEX(인턴계획표[입사일(비고)],$Q251)),TEXT(INDEX(인턴계획표[입사일(비고)],$Q251),"yyyy-mm-dd"),INDEX(인턴계획표[입사일(비고)],$Q251)&amp;""))</f>
        <v/>
      </c>
      <c r="F251">
        <f>IF($Q251="","",IF(IF($G$3="","",INDEX(인턴계획표[[정규화1]:[정규화6]],$Q251,$G$3)&amp;"")="","",IF(LEFT(IF($G$3="","",INDEX(인턴계획표[[정규화1]:[정규화6]],$Q251,$G$3)&amp;""),1)="⚠",IF($G$3="","",INDEX(인턴계획표[[정규화1]:[정규화6]],$Q251,$G$3)&amp;""),IFERROR(LEFT(IF($G$3="","",INDEX(인턴계획표[[정규화1]:[정규화6]],$Q251,$G$3)&amp;""),FIND(" ",IF($G$3="","",INDEX(인턴계획표[[정규화1]:[정규화6]],$Q251,$G$3)&amp;""))-1),IF($G$3="","",INDEX(인턴계획표[[정규화1]:[정규화6]],$Q251,$G$3)&amp;"")))))</f>
        <v/>
      </c>
      <c r="G251">
        <f>IF($Q251="","",IF(IF($G$3="","",INDEX(인턴계획표[[정규화1]:[정규화6]],$Q251,$G$3)&amp;"")="","",IF(LEFT(IF($G$3="","",INDEX(인턴계획표[[정규화1]:[정규화6]],$Q251,$G$3)&amp;""),1)="⚠","",IFERROR(MID(IF($G$3="","",INDEX(인턴계획표[[정규화1]:[정규화6]],$Q251,$G$3)&amp;""),FIND(" ",IF($G$3="","",INDEX(인턴계획표[[정규화1]:[정규화6]],$Q251,$G$3)&amp;""))+1,60),""))))</f>
        <v/>
      </c>
      <c r="H251">
        <f>IF($Q251="","",IF(IF($I$3="","",INDEX(인턴계획표[[정규화1]:[정규화6]],$Q251,$I$3)&amp;"")="","",IF(LEFT(IF($I$3="","",INDEX(인턴계획표[[정규화1]:[정규화6]],$Q251,$I$3)&amp;""),1)="⚠",IF($I$3="","",INDEX(인턴계획표[[정규화1]:[정규화6]],$Q251,$I$3)&amp;""),IFERROR(LEFT(IF($I$3="","",INDEX(인턴계획표[[정규화1]:[정규화6]],$Q251,$I$3)&amp;""),FIND(" ",IF($I$3="","",INDEX(인턴계획표[[정규화1]:[정규화6]],$Q251,$I$3)&amp;""))-1),IF($I$3="","",INDEX(인턴계획표[[정규화1]:[정규화6]],$Q251,$I$3)&amp;"")))))</f>
        <v/>
      </c>
      <c r="I251">
        <f>IF($Q251="","",IF(IF($I$3="","",INDEX(인턴계획표[[정규화1]:[정규화6]],$Q251,$I$3)&amp;"")="","",IF(LEFT(IF($I$3="","",INDEX(인턴계획표[[정규화1]:[정규화6]],$Q251,$I$3)&amp;""),1)="⚠","",IFERROR(MID(IF($I$3="","",INDEX(인턴계획표[[정규화1]:[정규화6]],$Q251,$I$3)&amp;""),FIND(" ",IF($I$3="","",INDEX(인턴계획표[[정규화1]:[정규화6]],$Q251,$I$3)&amp;""))+1,60),""))))</f>
        <v/>
      </c>
      <c r="J251">
        <f>IF($Q251="","",INDEX(인턴계획표[정규화1],$Q251))</f>
        <v/>
      </c>
      <c r="K251">
        <f>IF($Q251="","",INDEX(인턴계획표[정규화2],$Q251))</f>
        <v/>
      </c>
      <c r="L251">
        <f>IF($Q251="","",INDEX(인턴계획표[정규화3],$Q251))</f>
        <v/>
      </c>
      <c r="M251">
        <f>IF($Q251="","",INDEX(인턴계획표[정규화4],$Q251))</f>
        <v/>
      </c>
      <c r="N251">
        <f>IF($Q251="","",INDEX(인턴계획표[정규화5],$Q251))</f>
        <v/>
      </c>
      <c r="O251">
        <f>IF($Q251="","",INDEX(인턴계획표[정규화6],$Q251))</f>
        <v/>
      </c>
      <c r="P251">
        <f>IF($Q251="","",INDEX(인턴계획표[입력오류],$Q251))</f>
        <v/>
      </c>
      <c r="Q251" s="17">
        <f>IFERROR(MATCH(246,인턴계획표[표시순번],0),"")</f>
        <v/>
      </c>
    </row>
    <row r="252">
      <c r="A252">
        <f>IF($Q252="","",INDEX(인턴계획표[순번],$Q252)&amp;"")</f>
        <v/>
      </c>
      <c r="B252">
        <f>IF($Q252="","",TRIM(INDEX(인턴계획표[이름],$Q252)&amp;""))</f>
        <v/>
      </c>
      <c r="C252">
        <f>IF($Q252="","",INDEX(인턴계획표[사번],$Q252)&amp;"")</f>
        <v/>
      </c>
      <c r="D252">
        <f>IF($Q252="","",IF(COUNTIF(기본자료표[사번키],INDEX(인턴계획표[사번키],$Q252))&gt;0,"확인","미등록"))</f>
        <v/>
      </c>
      <c r="E252">
        <f>IF($Q252="","",IF(ISNUMBER(INDEX(인턴계획표[입사일(비고)],$Q252)),TEXT(INDEX(인턴계획표[입사일(비고)],$Q252),"yyyy-mm-dd"),INDEX(인턴계획표[입사일(비고)],$Q252)&amp;""))</f>
        <v/>
      </c>
      <c r="F252">
        <f>IF($Q252="","",IF(IF($G$3="","",INDEX(인턴계획표[[정규화1]:[정규화6]],$Q252,$G$3)&amp;"")="","",IF(LEFT(IF($G$3="","",INDEX(인턴계획표[[정규화1]:[정규화6]],$Q252,$G$3)&amp;""),1)="⚠",IF($G$3="","",INDEX(인턴계획표[[정규화1]:[정규화6]],$Q252,$G$3)&amp;""),IFERROR(LEFT(IF($G$3="","",INDEX(인턴계획표[[정규화1]:[정규화6]],$Q252,$G$3)&amp;""),FIND(" ",IF($G$3="","",INDEX(인턴계획표[[정규화1]:[정규화6]],$Q252,$G$3)&amp;""))-1),IF($G$3="","",INDEX(인턴계획표[[정규화1]:[정규화6]],$Q252,$G$3)&amp;"")))))</f>
        <v/>
      </c>
      <c r="G252">
        <f>IF($Q252="","",IF(IF($G$3="","",INDEX(인턴계획표[[정규화1]:[정규화6]],$Q252,$G$3)&amp;"")="","",IF(LEFT(IF($G$3="","",INDEX(인턴계획표[[정규화1]:[정규화6]],$Q252,$G$3)&amp;""),1)="⚠","",IFERROR(MID(IF($G$3="","",INDEX(인턴계획표[[정규화1]:[정규화6]],$Q252,$G$3)&amp;""),FIND(" ",IF($G$3="","",INDEX(인턴계획표[[정규화1]:[정규화6]],$Q252,$G$3)&amp;""))+1,60),""))))</f>
        <v/>
      </c>
      <c r="H252">
        <f>IF($Q252="","",IF(IF($I$3="","",INDEX(인턴계획표[[정규화1]:[정규화6]],$Q252,$I$3)&amp;"")="","",IF(LEFT(IF($I$3="","",INDEX(인턴계획표[[정규화1]:[정규화6]],$Q252,$I$3)&amp;""),1)="⚠",IF($I$3="","",INDEX(인턴계획표[[정규화1]:[정규화6]],$Q252,$I$3)&amp;""),IFERROR(LEFT(IF($I$3="","",INDEX(인턴계획표[[정규화1]:[정규화6]],$Q252,$I$3)&amp;""),FIND(" ",IF($I$3="","",INDEX(인턴계획표[[정규화1]:[정규화6]],$Q252,$I$3)&amp;""))-1),IF($I$3="","",INDEX(인턴계획표[[정규화1]:[정규화6]],$Q252,$I$3)&amp;"")))))</f>
        <v/>
      </c>
      <c r="I252">
        <f>IF($Q252="","",IF(IF($I$3="","",INDEX(인턴계획표[[정규화1]:[정규화6]],$Q252,$I$3)&amp;"")="","",IF(LEFT(IF($I$3="","",INDEX(인턴계획표[[정규화1]:[정규화6]],$Q252,$I$3)&amp;""),1)="⚠","",IFERROR(MID(IF($I$3="","",INDEX(인턴계획표[[정규화1]:[정규화6]],$Q252,$I$3)&amp;""),FIND(" ",IF($I$3="","",INDEX(인턴계획표[[정규화1]:[정규화6]],$Q252,$I$3)&amp;""))+1,60),""))))</f>
        <v/>
      </c>
      <c r="J252">
        <f>IF($Q252="","",INDEX(인턴계획표[정규화1],$Q252))</f>
        <v/>
      </c>
      <c r="K252">
        <f>IF($Q252="","",INDEX(인턴계획표[정규화2],$Q252))</f>
        <v/>
      </c>
      <c r="L252">
        <f>IF($Q252="","",INDEX(인턴계획표[정규화3],$Q252))</f>
        <v/>
      </c>
      <c r="M252">
        <f>IF($Q252="","",INDEX(인턴계획표[정규화4],$Q252))</f>
        <v/>
      </c>
      <c r="N252">
        <f>IF($Q252="","",INDEX(인턴계획표[정규화5],$Q252))</f>
        <v/>
      </c>
      <c r="O252">
        <f>IF($Q252="","",INDEX(인턴계획표[정규화6],$Q252))</f>
        <v/>
      </c>
      <c r="P252">
        <f>IF($Q252="","",INDEX(인턴계획표[입력오류],$Q252))</f>
        <v/>
      </c>
      <c r="Q252" s="17">
        <f>IFERROR(MATCH(247,인턴계획표[표시순번],0),"")</f>
        <v/>
      </c>
    </row>
    <row r="253">
      <c r="A253">
        <f>IF($Q253="","",INDEX(인턴계획표[순번],$Q253)&amp;"")</f>
        <v/>
      </c>
      <c r="B253">
        <f>IF($Q253="","",TRIM(INDEX(인턴계획표[이름],$Q253)&amp;""))</f>
        <v/>
      </c>
      <c r="C253">
        <f>IF($Q253="","",INDEX(인턴계획표[사번],$Q253)&amp;"")</f>
        <v/>
      </c>
      <c r="D253">
        <f>IF($Q253="","",IF(COUNTIF(기본자료표[사번키],INDEX(인턴계획표[사번키],$Q253))&gt;0,"확인","미등록"))</f>
        <v/>
      </c>
      <c r="E253">
        <f>IF($Q253="","",IF(ISNUMBER(INDEX(인턴계획표[입사일(비고)],$Q253)),TEXT(INDEX(인턴계획표[입사일(비고)],$Q253),"yyyy-mm-dd"),INDEX(인턴계획표[입사일(비고)],$Q253)&amp;""))</f>
        <v/>
      </c>
      <c r="F253">
        <f>IF($Q253="","",IF(IF($G$3="","",INDEX(인턴계획표[[정규화1]:[정규화6]],$Q253,$G$3)&amp;"")="","",IF(LEFT(IF($G$3="","",INDEX(인턴계획표[[정규화1]:[정규화6]],$Q253,$G$3)&amp;""),1)="⚠",IF($G$3="","",INDEX(인턴계획표[[정규화1]:[정규화6]],$Q253,$G$3)&amp;""),IFERROR(LEFT(IF($G$3="","",INDEX(인턴계획표[[정규화1]:[정규화6]],$Q253,$G$3)&amp;""),FIND(" ",IF($G$3="","",INDEX(인턴계획표[[정규화1]:[정규화6]],$Q253,$G$3)&amp;""))-1),IF($G$3="","",INDEX(인턴계획표[[정규화1]:[정규화6]],$Q253,$G$3)&amp;"")))))</f>
        <v/>
      </c>
      <c r="G253">
        <f>IF($Q253="","",IF(IF($G$3="","",INDEX(인턴계획표[[정규화1]:[정규화6]],$Q253,$G$3)&amp;"")="","",IF(LEFT(IF($G$3="","",INDEX(인턴계획표[[정규화1]:[정규화6]],$Q253,$G$3)&amp;""),1)="⚠","",IFERROR(MID(IF($G$3="","",INDEX(인턴계획표[[정규화1]:[정규화6]],$Q253,$G$3)&amp;""),FIND(" ",IF($G$3="","",INDEX(인턴계획표[[정규화1]:[정규화6]],$Q253,$G$3)&amp;""))+1,60),""))))</f>
        <v/>
      </c>
      <c r="H253">
        <f>IF($Q253="","",IF(IF($I$3="","",INDEX(인턴계획표[[정규화1]:[정규화6]],$Q253,$I$3)&amp;"")="","",IF(LEFT(IF($I$3="","",INDEX(인턴계획표[[정규화1]:[정규화6]],$Q253,$I$3)&amp;""),1)="⚠",IF($I$3="","",INDEX(인턴계획표[[정규화1]:[정규화6]],$Q253,$I$3)&amp;""),IFERROR(LEFT(IF($I$3="","",INDEX(인턴계획표[[정규화1]:[정규화6]],$Q253,$I$3)&amp;""),FIND(" ",IF($I$3="","",INDEX(인턴계획표[[정규화1]:[정규화6]],$Q253,$I$3)&amp;""))-1),IF($I$3="","",INDEX(인턴계획표[[정규화1]:[정규화6]],$Q253,$I$3)&amp;"")))))</f>
        <v/>
      </c>
      <c r="I253">
        <f>IF($Q253="","",IF(IF($I$3="","",INDEX(인턴계획표[[정규화1]:[정규화6]],$Q253,$I$3)&amp;"")="","",IF(LEFT(IF($I$3="","",INDEX(인턴계획표[[정규화1]:[정규화6]],$Q253,$I$3)&amp;""),1)="⚠","",IFERROR(MID(IF($I$3="","",INDEX(인턴계획표[[정규화1]:[정규화6]],$Q253,$I$3)&amp;""),FIND(" ",IF($I$3="","",INDEX(인턴계획표[[정규화1]:[정규화6]],$Q253,$I$3)&amp;""))+1,60),""))))</f>
        <v/>
      </c>
      <c r="J253">
        <f>IF($Q253="","",INDEX(인턴계획표[정규화1],$Q253))</f>
        <v/>
      </c>
      <c r="K253">
        <f>IF($Q253="","",INDEX(인턴계획표[정규화2],$Q253))</f>
        <v/>
      </c>
      <c r="L253">
        <f>IF($Q253="","",INDEX(인턴계획표[정규화3],$Q253))</f>
        <v/>
      </c>
      <c r="M253">
        <f>IF($Q253="","",INDEX(인턴계획표[정규화4],$Q253))</f>
        <v/>
      </c>
      <c r="N253">
        <f>IF($Q253="","",INDEX(인턴계획표[정규화5],$Q253))</f>
        <v/>
      </c>
      <c r="O253">
        <f>IF($Q253="","",INDEX(인턴계획표[정규화6],$Q253))</f>
        <v/>
      </c>
      <c r="P253">
        <f>IF($Q253="","",INDEX(인턴계획표[입력오류],$Q253))</f>
        <v/>
      </c>
      <c r="Q253" s="17">
        <f>IFERROR(MATCH(248,인턴계획표[표시순번],0),"")</f>
        <v/>
      </c>
    </row>
    <row r="254">
      <c r="A254">
        <f>IF($Q254="","",INDEX(인턴계획표[순번],$Q254)&amp;"")</f>
        <v/>
      </c>
      <c r="B254">
        <f>IF($Q254="","",TRIM(INDEX(인턴계획표[이름],$Q254)&amp;""))</f>
        <v/>
      </c>
      <c r="C254">
        <f>IF($Q254="","",INDEX(인턴계획표[사번],$Q254)&amp;"")</f>
        <v/>
      </c>
      <c r="D254">
        <f>IF($Q254="","",IF(COUNTIF(기본자료표[사번키],INDEX(인턴계획표[사번키],$Q254))&gt;0,"확인","미등록"))</f>
        <v/>
      </c>
      <c r="E254">
        <f>IF($Q254="","",IF(ISNUMBER(INDEX(인턴계획표[입사일(비고)],$Q254)),TEXT(INDEX(인턴계획표[입사일(비고)],$Q254),"yyyy-mm-dd"),INDEX(인턴계획표[입사일(비고)],$Q254)&amp;""))</f>
        <v/>
      </c>
      <c r="F254">
        <f>IF($Q254="","",IF(IF($G$3="","",INDEX(인턴계획표[[정규화1]:[정규화6]],$Q254,$G$3)&amp;"")="","",IF(LEFT(IF($G$3="","",INDEX(인턴계획표[[정규화1]:[정규화6]],$Q254,$G$3)&amp;""),1)="⚠",IF($G$3="","",INDEX(인턴계획표[[정규화1]:[정규화6]],$Q254,$G$3)&amp;""),IFERROR(LEFT(IF($G$3="","",INDEX(인턴계획표[[정규화1]:[정규화6]],$Q254,$G$3)&amp;""),FIND(" ",IF($G$3="","",INDEX(인턴계획표[[정규화1]:[정규화6]],$Q254,$G$3)&amp;""))-1),IF($G$3="","",INDEX(인턴계획표[[정규화1]:[정규화6]],$Q254,$G$3)&amp;"")))))</f>
        <v/>
      </c>
      <c r="G254">
        <f>IF($Q254="","",IF(IF($G$3="","",INDEX(인턴계획표[[정규화1]:[정규화6]],$Q254,$G$3)&amp;"")="","",IF(LEFT(IF($G$3="","",INDEX(인턴계획표[[정규화1]:[정규화6]],$Q254,$G$3)&amp;""),1)="⚠","",IFERROR(MID(IF($G$3="","",INDEX(인턴계획표[[정규화1]:[정규화6]],$Q254,$G$3)&amp;""),FIND(" ",IF($G$3="","",INDEX(인턴계획표[[정규화1]:[정규화6]],$Q254,$G$3)&amp;""))+1,60),""))))</f>
        <v/>
      </c>
      <c r="H254">
        <f>IF($Q254="","",IF(IF($I$3="","",INDEX(인턴계획표[[정규화1]:[정규화6]],$Q254,$I$3)&amp;"")="","",IF(LEFT(IF($I$3="","",INDEX(인턴계획표[[정규화1]:[정규화6]],$Q254,$I$3)&amp;""),1)="⚠",IF($I$3="","",INDEX(인턴계획표[[정규화1]:[정규화6]],$Q254,$I$3)&amp;""),IFERROR(LEFT(IF($I$3="","",INDEX(인턴계획표[[정규화1]:[정규화6]],$Q254,$I$3)&amp;""),FIND(" ",IF($I$3="","",INDEX(인턴계획표[[정규화1]:[정규화6]],$Q254,$I$3)&amp;""))-1),IF($I$3="","",INDEX(인턴계획표[[정규화1]:[정규화6]],$Q254,$I$3)&amp;"")))))</f>
        <v/>
      </c>
      <c r="I254">
        <f>IF($Q254="","",IF(IF($I$3="","",INDEX(인턴계획표[[정규화1]:[정규화6]],$Q254,$I$3)&amp;"")="","",IF(LEFT(IF($I$3="","",INDEX(인턴계획표[[정규화1]:[정규화6]],$Q254,$I$3)&amp;""),1)="⚠","",IFERROR(MID(IF($I$3="","",INDEX(인턴계획표[[정규화1]:[정규화6]],$Q254,$I$3)&amp;""),FIND(" ",IF($I$3="","",INDEX(인턴계획표[[정규화1]:[정규화6]],$Q254,$I$3)&amp;""))+1,60),""))))</f>
        <v/>
      </c>
      <c r="J254">
        <f>IF($Q254="","",INDEX(인턴계획표[정규화1],$Q254))</f>
        <v/>
      </c>
      <c r="K254">
        <f>IF($Q254="","",INDEX(인턴계획표[정규화2],$Q254))</f>
        <v/>
      </c>
      <c r="L254">
        <f>IF($Q254="","",INDEX(인턴계획표[정규화3],$Q254))</f>
        <v/>
      </c>
      <c r="M254">
        <f>IF($Q254="","",INDEX(인턴계획표[정규화4],$Q254))</f>
        <v/>
      </c>
      <c r="N254">
        <f>IF($Q254="","",INDEX(인턴계획표[정규화5],$Q254))</f>
        <v/>
      </c>
      <c r="O254">
        <f>IF($Q254="","",INDEX(인턴계획표[정규화6],$Q254))</f>
        <v/>
      </c>
      <c r="P254">
        <f>IF($Q254="","",INDEX(인턴계획표[입력오류],$Q254))</f>
        <v/>
      </c>
      <c r="Q254" s="17">
        <f>IFERROR(MATCH(249,인턴계획표[표시순번],0),"")</f>
        <v/>
      </c>
    </row>
    <row r="255">
      <c r="A255">
        <f>IF($Q255="","",INDEX(인턴계획표[순번],$Q255)&amp;"")</f>
        <v/>
      </c>
      <c r="B255">
        <f>IF($Q255="","",TRIM(INDEX(인턴계획표[이름],$Q255)&amp;""))</f>
        <v/>
      </c>
      <c r="C255">
        <f>IF($Q255="","",INDEX(인턴계획표[사번],$Q255)&amp;"")</f>
        <v/>
      </c>
      <c r="D255">
        <f>IF($Q255="","",IF(COUNTIF(기본자료표[사번키],INDEX(인턴계획표[사번키],$Q255))&gt;0,"확인","미등록"))</f>
        <v/>
      </c>
      <c r="E255">
        <f>IF($Q255="","",IF(ISNUMBER(INDEX(인턴계획표[입사일(비고)],$Q255)),TEXT(INDEX(인턴계획표[입사일(비고)],$Q255),"yyyy-mm-dd"),INDEX(인턴계획표[입사일(비고)],$Q255)&amp;""))</f>
        <v/>
      </c>
      <c r="F255">
        <f>IF($Q255="","",IF(IF($G$3="","",INDEX(인턴계획표[[정규화1]:[정규화6]],$Q255,$G$3)&amp;"")="","",IF(LEFT(IF($G$3="","",INDEX(인턴계획표[[정규화1]:[정규화6]],$Q255,$G$3)&amp;""),1)="⚠",IF($G$3="","",INDEX(인턴계획표[[정규화1]:[정규화6]],$Q255,$G$3)&amp;""),IFERROR(LEFT(IF($G$3="","",INDEX(인턴계획표[[정규화1]:[정규화6]],$Q255,$G$3)&amp;""),FIND(" ",IF($G$3="","",INDEX(인턴계획표[[정규화1]:[정규화6]],$Q255,$G$3)&amp;""))-1),IF($G$3="","",INDEX(인턴계획표[[정규화1]:[정규화6]],$Q255,$G$3)&amp;"")))))</f>
        <v/>
      </c>
      <c r="G255">
        <f>IF($Q255="","",IF(IF($G$3="","",INDEX(인턴계획표[[정규화1]:[정규화6]],$Q255,$G$3)&amp;"")="","",IF(LEFT(IF($G$3="","",INDEX(인턴계획표[[정규화1]:[정규화6]],$Q255,$G$3)&amp;""),1)="⚠","",IFERROR(MID(IF($G$3="","",INDEX(인턴계획표[[정규화1]:[정규화6]],$Q255,$G$3)&amp;""),FIND(" ",IF($G$3="","",INDEX(인턴계획표[[정규화1]:[정규화6]],$Q255,$G$3)&amp;""))+1,60),""))))</f>
        <v/>
      </c>
      <c r="H255">
        <f>IF($Q255="","",IF(IF($I$3="","",INDEX(인턴계획표[[정규화1]:[정규화6]],$Q255,$I$3)&amp;"")="","",IF(LEFT(IF($I$3="","",INDEX(인턴계획표[[정규화1]:[정규화6]],$Q255,$I$3)&amp;""),1)="⚠",IF($I$3="","",INDEX(인턴계획표[[정규화1]:[정규화6]],$Q255,$I$3)&amp;""),IFERROR(LEFT(IF($I$3="","",INDEX(인턴계획표[[정규화1]:[정규화6]],$Q255,$I$3)&amp;""),FIND(" ",IF($I$3="","",INDEX(인턴계획표[[정규화1]:[정규화6]],$Q255,$I$3)&amp;""))-1),IF($I$3="","",INDEX(인턴계획표[[정규화1]:[정규화6]],$Q255,$I$3)&amp;"")))))</f>
        <v/>
      </c>
      <c r="I255">
        <f>IF($Q255="","",IF(IF($I$3="","",INDEX(인턴계획표[[정규화1]:[정규화6]],$Q255,$I$3)&amp;"")="","",IF(LEFT(IF($I$3="","",INDEX(인턴계획표[[정규화1]:[정규화6]],$Q255,$I$3)&amp;""),1)="⚠","",IFERROR(MID(IF($I$3="","",INDEX(인턴계획표[[정규화1]:[정규화6]],$Q255,$I$3)&amp;""),FIND(" ",IF($I$3="","",INDEX(인턴계획표[[정규화1]:[정규화6]],$Q255,$I$3)&amp;""))+1,60),""))))</f>
        <v/>
      </c>
      <c r="J255">
        <f>IF($Q255="","",INDEX(인턴계획표[정규화1],$Q255))</f>
        <v/>
      </c>
      <c r="K255">
        <f>IF($Q255="","",INDEX(인턴계획표[정규화2],$Q255))</f>
        <v/>
      </c>
      <c r="L255">
        <f>IF($Q255="","",INDEX(인턴계획표[정규화3],$Q255))</f>
        <v/>
      </c>
      <c r="M255">
        <f>IF($Q255="","",INDEX(인턴계획표[정규화4],$Q255))</f>
        <v/>
      </c>
      <c r="N255">
        <f>IF($Q255="","",INDEX(인턴계획표[정규화5],$Q255))</f>
        <v/>
      </c>
      <c r="O255">
        <f>IF($Q255="","",INDEX(인턴계획표[정규화6],$Q255))</f>
        <v/>
      </c>
      <c r="P255">
        <f>IF($Q255="","",INDEX(인턴계획표[입력오류],$Q255))</f>
        <v/>
      </c>
      <c r="Q255" s="17">
        <f>IFERROR(MATCH(250,인턴계획표[표시순번],0),"")</f>
        <v/>
      </c>
    </row>
    <row r="256">
      <c r="A256">
        <f>IF($Q256="","",INDEX(인턴계획표[순번],$Q256)&amp;"")</f>
        <v/>
      </c>
      <c r="B256">
        <f>IF($Q256="","",TRIM(INDEX(인턴계획표[이름],$Q256)&amp;""))</f>
        <v/>
      </c>
      <c r="C256">
        <f>IF($Q256="","",INDEX(인턴계획표[사번],$Q256)&amp;"")</f>
        <v/>
      </c>
      <c r="D256">
        <f>IF($Q256="","",IF(COUNTIF(기본자료표[사번키],INDEX(인턴계획표[사번키],$Q256))&gt;0,"확인","미등록"))</f>
        <v/>
      </c>
      <c r="E256">
        <f>IF($Q256="","",IF(ISNUMBER(INDEX(인턴계획표[입사일(비고)],$Q256)),TEXT(INDEX(인턴계획표[입사일(비고)],$Q256),"yyyy-mm-dd"),INDEX(인턴계획표[입사일(비고)],$Q256)&amp;""))</f>
        <v/>
      </c>
      <c r="F256">
        <f>IF($Q256="","",IF(IF($G$3="","",INDEX(인턴계획표[[정규화1]:[정규화6]],$Q256,$G$3)&amp;"")="","",IF(LEFT(IF($G$3="","",INDEX(인턴계획표[[정규화1]:[정규화6]],$Q256,$G$3)&amp;""),1)="⚠",IF($G$3="","",INDEX(인턴계획표[[정규화1]:[정규화6]],$Q256,$G$3)&amp;""),IFERROR(LEFT(IF($G$3="","",INDEX(인턴계획표[[정규화1]:[정규화6]],$Q256,$G$3)&amp;""),FIND(" ",IF($G$3="","",INDEX(인턴계획표[[정규화1]:[정규화6]],$Q256,$G$3)&amp;""))-1),IF($G$3="","",INDEX(인턴계획표[[정규화1]:[정규화6]],$Q256,$G$3)&amp;"")))))</f>
        <v/>
      </c>
      <c r="G256">
        <f>IF($Q256="","",IF(IF($G$3="","",INDEX(인턴계획표[[정규화1]:[정규화6]],$Q256,$G$3)&amp;"")="","",IF(LEFT(IF($G$3="","",INDEX(인턴계획표[[정규화1]:[정규화6]],$Q256,$G$3)&amp;""),1)="⚠","",IFERROR(MID(IF($G$3="","",INDEX(인턴계획표[[정규화1]:[정규화6]],$Q256,$G$3)&amp;""),FIND(" ",IF($G$3="","",INDEX(인턴계획표[[정규화1]:[정규화6]],$Q256,$G$3)&amp;""))+1,60),""))))</f>
        <v/>
      </c>
      <c r="H256">
        <f>IF($Q256="","",IF(IF($I$3="","",INDEX(인턴계획표[[정규화1]:[정규화6]],$Q256,$I$3)&amp;"")="","",IF(LEFT(IF($I$3="","",INDEX(인턴계획표[[정규화1]:[정규화6]],$Q256,$I$3)&amp;""),1)="⚠",IF($I$3="","",INDEX(인턴계획표[[정규화1]:[정규화6]],$Q256,$I$3)&amp;""),IFERROR(LEFT(IF($I$3="","",INDEX(인턴계획표[[정규화1]:[정규화6]],$Q256,$I$3)&amp;""),FIND(" ",IF($I$3="","",INDEX(인턴계획표[[정규화1]:[정규화6]],$Q256,$I$3)&amp;""))-1),IF($I$3="","",INDEX(인턴계획표[[정규화1]:[정규화6]],$Q256,$I$3)&amp;"")))))</f>
        <v/>
      </c>
      <c r="I256">
        <f>IF($Q256="","",IF(IF($I$3="","",INDEX(인턴계획표[[정규화1]:[정규화6]],$Q256,$I$3)&amp;"")="","",IF(LEFT(IF($I$3="","",INDEX(인턴계획표[[정규화1]:[정규화6]],$Q256,$I$3)&amp;""),1)="⚠","",IFERROR(MID(IF($I$3="","",INDEX(인턴계획표[[정규화1]:[정규화6]],$Q256,$I$3)&amp;""),FIND(" ",IF($I$3="","",INDEX(인턴계획표[[정규화1]:[정규화6]],$Q256,$I$3)&amp;""))+1,60),""))))</f>
        <v/>
      </c>
      <c r="J256">
        <f>IF($Q256="","",INDEX(인턴계획표[정규화1],$Q256))</f>
        <v/>
      </c>
      <c r="K256">
        <f>IF($Q256="","",INDEX(인턴계획표[정규화2],$Q256))</f>
        <v/>
      </c>
      <c r="L256">
        <f>IF($Q256="","",INDEX(인턴계획표[정규화3],$Q256))</f>
        <v/>
      </c>
      <c r="M256">
        <f>IF($Q256="","",INDEX(인턴계획표[정규화4],$Q256))</f>
        <v/>
      </c>
      <c r="N256">
        <f>IF($Q256="","",INDEX(인턴계획표[정규화5],$Q256))</f>
        <v/>
      </c>
      <c r="O256">
        <f>IF($Q256="","",INDEX(인턴계획표[정규화6],$Q256))</f>
        <v/>
      </c>
      <c r="P256">
        <f>IF($Q256="","",INDEX(인턴계획표[입력오류],$Q256))</f>
        <v/>
      </c>
      <c r="Q256" s="17">
        <f>IFERROR(MATCH(251,인턴계획표[표시순번],0),"")</f>
        <v/>
      </c>
    </row>
    <row r="257">
      <c r="A257">
        <f>IF($Q257="","",INDEX(인턴계획표[순번],$Q257)&amp;"")</f>
        <v/>
      </c>
      <c r="B257">
        <f>IF($Q257="","",TRIM(INDEX(인턴계획표[이름],$Q257)&amp;""))</f>
        <v/>
      </c>
      <c r="C257">
        <f>IF($Q257="","",INDEX(인턴계획표[사번],$Q257)&amp;"")</f>
        <v/>
      </c>
      <c r="D257">
        <f>IF($Q257="","",IF(COUNTIF(기본자료표[사번키],INDEX(인턴계획표[사번키],$Q257))&gt;0,"확인","미등록"))</f>
        <v/>
      </c>
      <c r="E257">
        <f>IF($Q257="","",IF(ISNUMBER(INDEX(인턴계획표[입사일(비고)],$Q257)),TEXT(INDEX(인턴계획표[입사일(비고)],$Q257),"yyyy-mm-dd"),INDEX(인턴계획표[입사일(비고)],$Q257)&amp;""))</f>
        <v/>
      </c>
      <c r="F257">
        <f>IF($Q257="","",IF(IF($G$3="","",INDEX(인턴계획표[[정규화1]:[정규화6]],$Q257,$G$3)&amp;"")="","",IF(LEFT(IF($G$3="","",INDEX(인턴계획표[[정규화1]:[정규화6]],$Q257,$G$3)&amp;""),1)="⚠",IF($G$3="","",INDEX(인턴계획표[[정규화1]:[정규화6]],$Q257,$G$3)&amp;""),IFERROR(LEFT(IF($G$3="","",INDEX(인턴계획표[[정규화1]:[정규화6]],$Q257,$G$3)&amp;""),FIND(" ",IF($G$3="","",INDEX(인턴계획표[[정규화1]:[정규화6]],$Q257,$G$3)&amp;""))-1),IF($G$3="","",INDEX(인턴계획표[[정규화1]:[정규화6]],$Q257,$G$3)&amp;"")))))</f>
        <v/>
      </c>
      <c r="G257">
        <f>IF($Q257="","",IF(IF($G$3="","",INDEX(인턴계획표[[정규화1]:[정규화6]],$Q257,$G$3)&amp;"")="","",IF(LEFT(IF($G$3="","",INDEX(인턴계획표[[정규화1]:[정규화6]],$Q257,$G$3)&amp;""),1)="⚠","",IFERROR(MID(IF($G$3="","",INDEX(인턴계획표[[정규화1]:[정규화6]],$Q257,$G$3)&amp;""),FIND(" ",IF($G$3="","",INDEX(인턴계획표[[정규화1]:[정규화6]],$Q257,$G$3)&amp;""))+1,60),""))))</f>
        <v/>
      </c>
      <c r="H257">
        <f>IF($Q257="","",IF(IF($I$3="","",INDEX(인턴계획표[[정규화1]:[정규화6]],$Q257,$I$3)&amp;"")="","",IF(LEFT(IF($I$3="","",INDEX(인턴계획표[[정규화1]:[정규화6]],$Q257,$I$3)&amp;""),1)="⚠",IF($I$3="","",INDEX(인턴계획표[[정규화1]:[정규화6]],$Q257,$I$3)&amp;""),IFERROR(LEFT(IF($I$3="","",INDEX(인턴계획표[[정규화1]:[정규화6]],$Q257,$I$3)&amp;""),FIND(" ",IF($I$3="","",INDEX(인턴계획표[[정규화1]:[정규화6]],$Q257,$I$3)&amp;""))-1),IF($I$3="","",INDEX(인턴계획표[[정규화1]:[정규화6]],$Q257,$I$3)&amp;"")))))</f>
        <v/>
      </c>
      <c r="I257">
        <f>IF($Q257="","",IF(IF($I$3="","",INDEX(인턴계획표[[정규화1]:[정규화6]],$Q257,$I$3)&amp;"")="","",IF(LEFT(IF($I$3="","",INDEX(인턴계획표[[정규화1]:[정규화6]],$Q257,$I$3)&amp;""),1)="⚠","",IFERROR(MID(IF($I$3="","",INDEX(인턴계획표[[정규화1]:[정규화6]],$Q257,$I$3)&amp;""),FIND(" ",IF($I$3="","",INDEX(인턴계획표[[정규화1]:[정규화6]],$Q257,$I$3)&amp;""))+1,60),""))))</f>
        <v/>
      </c>
      <c r="J257">
        <f>IF($Q257="","",INDEX(인턴계획표[정규화1],$Q257))</f>
        <v/>
      </c>
      <c r="K257">
        <f>IF($Q257="","",INDEX(인턴계획표[정규화2],$Q257))</f>
        <v/>
      </c>
      <c r="L257">
        <f>IF($Q257="","",INDEX(인턴계획표[정규화3],$Q257))</f>
        <v/>
      </c>
      <c r="M257">
        <f>IF($Q257="","",INDEX(인턴계획표[정규화4],$Q257))</f>
        <v/>
      </c>
      <c r="N257">
        <f>IF($Q257="","",INDEX(인턴계획표[정규화5],$Q257))</f>
        <v/>
      </c>
      <c r="O257">
        <f>IF($Q257="","",INDEX(인턴계획표[정규화6],$Q257))</f>
        <v/>
      </c>
      <c r="P257">
        <f>IF($Q257="","",INDEX(인턴계획표[입력오류],$Q257))</f>
        <v/>
      </c>
      <c r="Q257" s="17">
        <f>IFERROR(MATCH(252,인턴계획표[표시순번],0),"")</f>
        <v/>
      </c>
    </row>
    <row r="258">
      <c r="A258">
        <f>IF($Q258="","",INDEX(인턴계획표[순번],$Q258)&amp;"")</f>
        <v/>
      </c>
      <c r="B258">
        <f>IF($Q258="","",TRIM(INDEX(인턴계획표[이름],$Q258)&amp;""))</f>
        <v/>
      </c>
      <c r="C258">
        <f>IF($Q258="","",INDEX(인턴계획표[사번],$Q258)&amp;"")</f>
        <v/>
      </c>
      <c r="D258">
        <f>IF($Q258="","",IF(COUNTIF(기본자료표[사번키],INDEX(인턴계획표[사번키],$Q258))&gt;0,"확인","미등록"))</f>
        <v/>
      </c>
      <c r="E258">
        <f>IF($Q258="","",IF(ISNUMBER(INDEX(인턴계획표[입사일(비고)],$Q258)),TEXT(INDEX(인턴계획표[입사일(비고)],$Q258),"yyyy-mm-dd"),INDEX(인턴계획표[입사일(비고)],$Q258)&amp;""))</f>
        <v/>
      </c>
      <c r="F258">
        <f>IF($Q258="","",IF(IF($G$3="","",INDEX(인턴계획표[[정규화1]:[정규화6]],$Q258,$G$3)&amp;"")="","",IF(LEFT(IF($G$3="","",INDEX(인턴계획표[[정규화1]:[정규화6]],$Q258,$G$3)&amp;""),1)="⚠",IF($G$3="","",INDEX(인턴계획표[[정규화1]:[정규화6]],$Q258,$G$3)&amp;""),IFERROR(LEFT(IF($G$3="","",INDEX(인턴계획표[[정규화1]:[정규화6]],$Q258,$G$3)&amp;""),FIND(" ",IF($G$3="","",INDEX(인턴계획표[[정규화1]:[정규화6]],$Q258,$G$3)&amp;""))-1),IF($G$3="","",INDEX(인턴계획표[[정규화1]:[정규화6]],$Q258,$G$3)&amp;"")))))</f>
        <v/>
      </c>
      <c r="G258">
        <f>IF($Q258="","",IF(IF($G$3="","",INDEX(인턴계획표[[정규화1]:[정규화6]],$Q258,$G$3)&amp;"")="","",IF(LEFT(IF($G$3="","",INDEX(인턴계획표[[정규화1]:[정규화6]],$Q258,$G$3)&amp;""),1)="⚠","",IFERROR(MID(IF($G$3="","",INDEX(인턴계획표[[정규화1]:[정규화6]],$Q258,$G$3)&amp;""),FIND(" ",IF($G$3="","",INDEX(인턴계획표[[정규화1]:[정규화6]],$Q258,$G$3)&amp;""))+1,60),""))))</f>
        <v/>
      </c>
      <c r="H258">
        <f>IF($Q258="","",IF(IF($I$3="","",INDEX(인턴계획표[[정규화1]:[정규화6]],$Q258,$I$3)&amp;"")="","",IF(LEFT(IF($I$3="","",INDEX(인턴계획표[[정규화1]:[정규화6]],$Q258,$I$3)&amp;""),1)="⚠",IF($I$3="","",INDEX(인턴계획표[[정규화1]:[정규화6]],$Q258,$I$3)&amp;""),IFERROR(LEFT(IF($I$3="","",INDEX(인턴계획표[[정규화1]:[정규화6]],$Q258,$I$3)&amp;""),FIND(" ",IF($I$3="","",INDEX(인턴계획표[[정규화1]:[정규화6]],$Q258,$I$3)&amp;""))-1),IF($I$3="","",INDEX(인턴계획표[[정규화1]:[정규화6]],$Q258,$I$3)&amp;"")))))</f>
        <v/>
      </c>
      <c r="I258">
        <f>IF($Q258="","",IF(IF($I$3="","",INDEX(인턴계획표[[정규화1]:[정규화6]],$Q258,$I$3)&amp;"")="","",IF(LEFT(IF($I$3="","",INDEX(인턴계획표[[정규화1]:[정규화6]],$Q258,$I$3)&amp;""),1)="⚠","",IFERROR(MID(IF($I$3="","",INDEX(인턴계획표[[정규화1]:[정규화6]],$Q258,$I$3)&amp;""),FIND(" ",IF($I$3="","",INDEX(인턴계획표[[정규화1]:[정규화6]],$Q258,$I$3)&amp;""))+1,60),""))))</f>
        <v/>
      </c>
      <c r="J258">
        <f>IF($Q258="","",INDEX(인턴계획표[정규화1],$Q258))</f>
        <v/>
      </c>
      <c r="K258">
        <f>IF($Q258="","",INDEX(인턴계획표[정규화2],$Q258))</f>
        <v/>
      </c>
      <c r="L258">
        <f>IF($Q258="","",INDEX(인턴계획표[정규화3],$Q258))</f>
        <v/>
      </c>
      <c r="M258">
        <f>IF($Q258="","",INDEX(인턴계획표[정규화4],$Q258))</f>
        <v/>
      </c>
      <c r="N258">
        <f>IF($Q258="","",INDEX(인턴계획표[정규화5],$Q258))</f>
        <v/>
      </c>
      <c r="O258">
        <f>IF($Q258="","",INDEX(인턴계획표[정규화6],$Q258))</f>
        <v/>
      </c>
      <c r="P258">
        <f>IF($Q258="","",INDEX(인턴계획표[입력오류],$Q258))</f>
        <v/>
      </c>
      <c r="Q258" s="17">
        <f>IFERROR(MATCH(253,인턴계획표[표시순번],0),"")</f>
        <v/>
      </c>
    </row>
    <row r="259">
      <c r="A259">
        <f>IF($Q259="","",INDEX(인턴계획표[순번],$Q259)&amp;"")</f>
        <v/>
      </c>
      <c r="B259">
        <f>IF($Q259="","",TRIM(INDEX(인턴계획표[이름],$Q259)&amp;""))</f>
        <v/>
      </c>
      <c r="C259">
        <f>IF($Q259="","",INDEX(인턴계획표[사번],$Q259)&amp;"")</f>
        <v/>
      </c>
      <c r="D259">
        <f>IF($Q259="","",IF(COUNTIF(기본자료표[사번키],INDEX(인턴계획표[사번키],$Q259))&gt;0,"확인","미등록"))</f>
        <v/>
      </c>
      <c r="E259">
        <f>IF($Q259="","",IF(ISNUMBER(INDEX(인턴계획표[입사일(비고)],$Q259)),TEXT(INDEX(인턴계획표[입사일(비고)],$Q259),"yyyy-mm-dd"),INDEX(인턴계획표[입사일(비고)],$Q259)&amp;""))</f>
        <v/>
      </c>
      <c r="F259">
        <f>IF($Q259="","",IF(IF($G$3="","",INDEX(인턴계획표[[정규화1]:[정규화6]],$Q259,$G$3)&amp;"")="","",IF(LEFT(IF($G$3="","",INDEX(인턴계획표[[정규화1]:[정규화6]],$Q259,$G$3)&amp;""),1)="⚠",IF($G$3="","",INDEX(인턴계획표[[정규화1]:[정규화6]],$Q259,$G$3)&amp;""),IFERROR(LEFT(IF($G$3="","",INDEX(인턴계획표[[정규화1]:[정규화6]],$Q259,$G$3)&amp;""),FIND(" ",IF($G$3="","",INDEX(인턴계획표[[정규화1]:[정규화6]],$Q259,$G$3)&amp;""))-1),IF($G$3="","",INDEX(인턴계획표[[정규화1]:[정규화6]],$Q259,$G$3)&amp;"")))))</f>
        <v/>
      </c>
      <c r="G259">
        <f>IF($Q259="","",IF(IF($G$3="","",INDEX(인턴계획표[[정규화1]:[정규화6]],$Q259,$G$3)&amp;"")="","",IF(LEFT(IF($G$3="","",INDEX(인턴계획표[[정규화1]:[정규화6]],$Q259,$G$3)&amp;""),1)="⚠","",IFERROR(MID(IF($G$3="","",INDEX(인턴계획표[[정규화1]:[정규화6]],$Q259,$G$3)&amp;""),FIND(" ",IF($G$3="","",INDEX(인턴계획표[[정규화1]:[정규화6]],$Q259,$G$3)&amp;""))+1,60),""))))</f>
        <v/>
      </c>
      <c r="H259">
        <f>IF($Q259="","",IF(IF($I$3="","",INDEX(인턴계획표[[정규화1]:[정규화6]],$Q259,$I$3)&amp;"")="","",IF(LEFT(IF($I$3="","",INDEX(인턴계획표[[정규화1]:[정규화6]],$Q259,$I$3)&amp;""),1)="⚠",IF($I$3="","",INDEX(인턴계획표[[정규화1]:[정규화6]],$Q259,$I$3)&amp;""),IFERROR(LEFT(IF($I$3="","",INDEX(인턴계획표[[정규화1]:[정규화6]],$Q259,$I$3)&amp;""),FIND(" ",IF($I$3="","",INDEX(인턴계획표[[정규화1]:[정규화6]],$Q259,$I$3)&amp;""))-1),IF($I$3="","",INDEX(인턴계획표[[정규화1]:[정규화6]],$Q259,$I$3)&amp;"")))))</f>
        <v/>
      </c>
      <c r="I259">
        <f>IF($Q259="","",IF(IF($I$3="","",INDEX(인턴계획표[[정규화1]:[정규화6]],$Q259,$I$3)&amp;"")="","",IF(LEFT(IF($I$3="","",INDEX(인턴계획표[[정규화1]:[정규화6]],$Q259,$I$3)&amp;""),1)="⚠","",IFERROR(MID(IF($I$3="","",INDEX(인턴계획표[[정규화1]:[정규화6]],$Q259,$I$3)&amp;""),FIND(" ",IF($I$3="","",INDEX(인턴계획표[[정규화1]:[정규화6]],$Q259,$I$3)&amp;""))+1,60),""))))</f>
        <v/>
      </c>
      <c r="J259">
        <f>IF($Q259="","",INDEX(인턴계획표[정규화1],$Q259))</f>
        <v/>
      </c>
      <c r="K259">
        <f>IF($Q259="","",INDEX(인턴계획표[정규화2],$Q259))</f>
        <v/>
      </c>
      <c r="L259">
        <f>IF($Q259="","",INDEX(인턴계획표[정규화3],$Q259))</f>
        <v/>
      </c>
      <c r="M259">
        <f>IF($Q259="","",INDEX(인턴계획표[정규화4],$Q259))</f>
        <v/>
      </c>
      <c r="N259">
        <f>IF($Q259="","",INDEX(인턴계획표[정규화5],$Q259))</f>
        <v/>
      </c>
      <c r="O259">
        <f>IF($Q259="","",INDEX(인턴계획표[정규화6],$Q259))</f>
        <v/>
      </c>
      <c r="P259">
        <f>IF($Q259="","",INDEX(인턴계획표[입력오류],$Q259))</f>
        <v/>
      </c>
      <c r="Q259" s="17">
        <f>IFERROR(MATCH(254,인턴계획표[표시순번],0),"")</f>
        <v/>
      </c>
    </row>
    <row r="260">
      <c r="A260">
        <f>IF($Q260="","",INDEX(인턴계획표[순번],$Q260)&amp;"")</f>
        <v/>
      </c>
      <c r="B260">
        <f>IF($Q260="","",TRIM(INDEX(인턴계획표[이름],$Q260)&amp;""))</f>
        <v/>
      </c>
      <c r="C260">
        <f>IF($Q260="","",INDEX(인턴계획표[사번],$Q260)&amp;"")</f>
        <v/>
      </c>
      <c r="D260">
        <f>IF($Q260="","",IF(COUNTIF(기본자료표[사번키],INDEX(인턴계획표[사번키],$Q260))&gt;0,"확인","미등록"))</f>
        <v/>
      </c>
      <c r="E260">
        <f>IF($Q260="","",IF(ISNUMBER(INDEX(인턴계획표[입사일(비고)],$Q260)),TEXT(INDEX(인턴계획표[입사일(비고)],$Q260),"yyyy-mm-dd"),INDEX(인턴계획표[입사일(비고)],$Q260)&amp;""))</f>
        <v/>
      </c>
      <c r="F260">
        <f>IF($Q260="","",IF(IF($G$3="","",INDEX(인턴계획표[[정규화1]:[정규화6]],$Q260,$G$3)&amp;"")="","",IF(LEFT(IF($G$3="","",INDEX(인턴계획표[[정규화1]:[정규화6]],$Q260,$G$3)&amp;""),1)="⚠",IF($G$3="","",INDEX(인턴계획표[[정규화1]:[정규화6]],$Q260,$G$3)&amp;""),IFERROR(LEFT(IF($G$3="","",INDEX(인턴계획표[[정규화1]:[정규화6]],$Q260,$G$3)&amp;""),FIND(" ",IF($G$3="","",INDEX(인턴계획표[[정규화1]:[정규화6]],$Q260,$G$3)&amp;""))-1),IF($G$3="","",INDEX(인턴계획표[[정규화1]:[정규화6]],$Q260,$G$3)&amp;"")))))</f>
        <v/>
      </c>
      <c r="G260">
        <f>IF($Q260="","",IF(IF($G$3="","",INDEX(인턴계획표[[정규화1]:[정규화6]],$Q260,$G$3)&amp;"")="","",IF(LEFT(IF($G$3="","",INDEX(인턴계획표[[정규화1]:[정규화6]],$Q260,$G$3)&amp;""),1)="⚠","",IFERROR(MID(IF($G$3="","",INDEX(인턴계획표[[정규화1]:[정규화6]],$Q260,$G$3)&amp;""),FIND(" ",IF($G$3="","",INDEX(인턴계획표[[정규화1]:[정규화6]],$Q260,$G$3)&amp;""))+1,60),""))))</f>
        <v/>
      </c>
      <c r="H260">
        <f>IF($Q260="","",IF(IF($I$3="","",INDEX(인턴계획표[[정규화1]:[정규화6]],$Q260,$I$3)&amp;"")="","",IF(LEFT(IF($I$3="","",INDEX(인턴계획표[[정규화1]:[정규화6]],$Q260,$I$3)&amp;""),1)="⚠",IF($I$3="","",INDEX(인턴계획표[[정규화1]:[정규화6]],$Q260,$I$3)&amp;""),IFERROR(LEFT(IF($I$3="","",INDEX(인턴계획표[[정규화1]:[정규화6]],$Q260,$I$3)&amp;""),FIND(" ",IF($I$3="","",INDEX(인턴계획표[[정규화1]:[정규화6]],$Q260,$I$3)&amp;""))-1),IF($I$3="","",INDEX(인턴계획표[[정규화1]:[정규화6]],$Q260,$I$3)&amp;"")))))</f>
        <v/>
      </c>
      <c r="I260">
        <f>IF($Q260="","",IF(IF($I$3="","",INDEX(인턴계획표[[정규화1]:[정규화6]],$Q260,$I$3)&amp;"")="","",IF(LEFT(IF($I$3="","",INDEX(인턴계획표[[정규화1]:[정규화6]],$Q260,$I$3)&amp;""),1)="⚠","",IFERROR(MID(IF($I$3="","",INDEX(인턴계획표[[정규화1]:[정규화6]],$Q260,$I$3)&amp;""),FIND(" ",IF($I$3="","",INDEX(인턴계획표[[정규화1]:[정규화6]],$Q260,$I$3)&amp;""))+1,60),""))))</f>
        <v/>
      </c>
      <c r="J260">
        <f>IF($Q260="","",INDEX(인턴계획표[정규화1],$Q260))</f>
        <v/>
      </c>
      <c r="K260">
        <f>IF($Q260="","",INDEX(인턴계획표[정규화2],$Q260))</f>
        <v/>
      </c>
      <c r="L260">
        <f>IF($Q260="","",INDEX(인턴계획표[정규화3],$Q260))</f>
        <v/>
      </c>
      <c r="M260">
        <f>IF($Q260="","",INDEX(인턴계획표[정규화4],$Q260))</f>
        <v/>
      </c>
      <c r="N260">
        <f>IF($Q260="","",INDEX(인턴계획표[정규화5],$Q260))</f>
        <v/>
      </c>
      <c r="O260">
        <f>IF($Q260="","",INDEX(인턴계획표[정규화6],$Q260))</f>
        <v/>
      </c>
      <c r="P260">
        <f>IF($Q260="","",INDEX(인턴계획표[입력오류],$Q260))</f>
        <v/>
      </c>
      <c r="Q260" s="17">
        <f>IFERROR(MATCH(255,인턴계획표[표시순번],0),"")</f>
        <v/>
      </c>
    </row>
    <row r="261">
      <c r="A261">
        <f>IF($Q261="","",INDEX(인턴계획표[순번],$Q261)&amp;"")</f>
        <v/>
      </c>
      <c r="B261">
        <f>IF($Q261="","",TRIM(INDEX(인턴계획표[이름],$Q261)&amp;""))</f>
        <v/>
      </c>
      <c r="C261">
        <f>IF($Q261="","",INDEX(인턴계획표[사번],$Q261)&amp;"")</f>
        <v/>
      </c>
      <c r="D261">
        <f>IF($Q261="","",IF(COUNTIF(기본자료표[사번키],INDEX(인턴계획표[사번키],$Q261))&gt;0,"확인","미등록"))</f>
        <v/>
      </c>
      <c r="E261">
        <f>IF($Q261="","",IF(ISNUMBER(INDEX(인턴계획표[입사일(비고)],$Q261)),TEXT(INDEX(인턴계획표[입사일(비고)],$Q261),"yyyy-mm-dd"),INDEX(인턴계획표[입사일(비고)],$Q261)&amp;""))</f>
        <v/>
      </c>
      <c r="F261">
        <f>IF($Q261="","",IF(IF($G$3="","",INDEX(인턴계획표[[정규화1]:[정규화6]],$Q261,$G$3)&amp;"")="","",IF(LEFT(IF($G$3="","",INDEX(인턴계획표[[정규화1]:[정규화6]],$Q261,$G$3)&amp;""),1)="⚠",IF($G$3="","",INDEX(인턴계획표[[정규화1]:[정규화6]],$Q261,$G$3)&amp;""),IFERROR(LEFT(IF($G$3="","",INDEX(인턴계획표[[정규화1]:[정규화6]],$Q261,$G$3)&amp;""),FIND(" ",IF($G$3="","",INDEX(인턴계획표[[정규화1]:[정규화6]],$Q261,$G$3)&amp;""))-1),IF($G$3="","",INDEX(인턴계획표[[정규화1]:[정규화6]],$Q261,$G$3)&amp;"")))))</f>
        <v/>
      </c>
      <c r="G261">
        <f>IF($Q261="","",IF(IF($G$3="","",INDEX(인턴계획표[[정규화1]:[정규화6]],$Q261,$G$3)&amp;"")="","",IF(LEFT(IF($G$3="","",INDEX(인턴계획표[[정규화1]:[정규화6]],$Q261,$G$3)&amp;""),1)="⚠","",IFERROR(MID(IF($G$3="","",INDEX(인턴계획표[[정규화1]:[정규화6]],$Q261,$G$3)&amp;""),FIND(" ",IF($G$3="","",INDEX(인턴계획표[[정규화1]:[정규화6]],$Q261,$G$3)&amp;""))+1,60),""))))</f>
        <v/>
      </c>
      <c r="H261">
        <f>IF($Q261="","",IF(IF($I$3="","",INDEX(인턴계획표[[정규화1]:[정규화6]],$Q261,$I$3)&amp;"")="","",IF(LEFT(IF($I$3="","",INDEX(인턴계획표[[정규화1]:[정규화6]],$Q261,$I$3)&amp;""),1)="⚠",IF($I$3="","",INDEX(인턴계획표[[정규화1]:[정규화6]],$Q261,$I$3)&amp;""),IFERROR(LEFT(IF($I$3="","",INDEX(인턴계획표[[정규화1]:[정규화6]],$Q261,$I$3)&amp;""),FIND(" ",IF($I$3="","",INDEX(인턴계획표[[정규화1]:[정규화6]],$Q261,$I$3)&amp;""))-1),IF($I$3="","",INDEX(인턴계획표[[정규화1]:[정규화6]],$Q261,$I$3)&amp;"")))))</f>
        <v/>
      </c>
      <c r="I261">
        <f>IF($Q261="","",IF(IF($I$3="","",INDEX(인턴계획표[[정규화1]:[정규화6]],$Q261,$I$3)&amp;"")="","",IF(LEFT(IF($I$3="","",INDEX(인턴계획표[[정규화1]:[정규화6]],$Q261,$I$3)&amp;""),1)="⚠","",IFERROR(MID(IF($I$3="","",INDEX(인턴계획표[[정규화1]:[정규화6]],$Q261,$I$3)&amp;""),FIND(" ",IF($I$3="","",INDEX(인턴계획표[[정규화1]:[정규화6]],$Q261,$I$3)&amp;""))+1,60),""))))</f>
        <v/>
      </c>
      <c r="J261">
        <f>IF($Q261="","",INDEX(인턴계획표[정규화1],$Q261))</f>
        <v/>
      </c>
      <c r="K261">
        <f>IF($Q261="","",INDEX(인턴계획표[정규화2],$Q261))</f>
        <v/>
      </c>
      <c r="L261">
        <f>IF($Q261="","",INDEX(인턴계획표[정규화3],$Q261))</f>
        <v/>
      </c>
      <c r="M261">
        <f>IF($Q261="","",INDEX(인턴계획표[정규화4],$Q261))</f>
        <v/>
      </c>
      <c r="N261">
        <f>IF($Q261="","",INDEX(인턴계획표[정규화5],$Q261))</f>
        <v/>
      </c>
      <c r="O261">
        <f>IF($Q261="","",INDEX(인턴계획표[정규화6],$Q261))</f>
        <v/>
      </c>
      <c r="P261">
        <f>IF($Q261="","",INDEX(인턴계획표[입력오류],$Q261))</f>
        <v/>
      </c>
      <c r="Q261" s="17">
        <f>IFERROR(MATCH(256,인턴계획표[표시순번],0),"")</f>
        <v/>
      </c>
    </row>
    <row r="262">
      <c r="A262">
        <f>IF($Q262="","",INDEX(인턴계획표[순번],$Q262)&amp;"")</f>
        <v/>
      </c>
      <c r="B262">
        <f>IF($Q262="","",TRIM(INDEX(인턴계획표[이름],$Q262)&amp;""))</f>
        <v/>
      </c>
      <c r="C262">
        <f>IF($Q262="","",INDEX(인턴계획표[사번],$Q262)&amp;"")</f>
        <v/>
      </c>
      <c r="D262">
        <f>IF($Q262="","",IF(COUNTIF(기본자료표[사번키],INDEX(인턴계획표[사번키],$Q262))&gt;0,"확인","미등록"))</f>
        <v/>
      </c>
      <c r="E262">
        <f>IF($Q262="","",IF(ISNUMBER(INDEX(인턴계획표[입사일(비고)],$Q262)),TEXT(INDEX(인턴계획표[입사일(비고)],$Q262),"yyyy-mm-dd"),INDEX(인턴계획표[입사일(비고)],$Q262)&amp;""))</f>
        <v/>
      </c>
      <c r="F262">
        <f>IF($Q262="","",IF(IF($G$3="","",INDEX(인턴계획표[[정규화1]:[정규화6]],$Q262,$G$3)&amp;"")="","",IF(LEFT(IF($G$3="","",INDEX(인턴계획표[[정규화1]:[정규화6]],$Q262,$G$3)&amp;""),1)="⚠",IF($G$3="","",INDEX(인턴계획표[[정규화1]:[정규화6]],$Q262,$G$3)&amp;""),IFERROR(LEFT(IF($G$3="","",INDEX(인턴계획표[[정규화1]:[정규화6]],$Q262,$G$3)&amp;""),FIND(" ",IF($G$3="","",INDEX(인턴계획표[[정규화1]:[정규화6]],$Q262,$G$3)&amp;""))-1),IF($G$3="","",INDEX(인턴계획표[[정규화1]:[정규화6]],$Q262,$G$3)&amp;"")))))</f>
        <v/>
      </c>
      <c r="G262">
        <f>IF($Q262="","",IF(IF($G$3="","",INDEX(인턴계획표[[정규화1]:[정규화6]],$Q262,$G$3)&amp;"")="","",IF(LEFT(IF($G$3="","",INDEX(인턴계획표[[정규화1]:[정규화6]],$Q262,$G$3)&amp;""),1)="⚠","",IFERROR(MID(IF($G$3="","",INDEX(인턴계획표[[정규화1]:[정규화6]],$Q262,$G$3)&amp;""),FIND(" ",IF($G$3="","",INDEX(인턴계획표[[정규화1]:[정규화6]],$Q262,$G$3)&amp;""))+1,60),""))))</f>
        <v/>
      </c>
      <c r="H262">
        <f>IF($Q262="","",IF(IF($I$3="","",INDEX(인턴계획표[[정규화1]:[정규화6]],$Q262,$I$3)&amp;"")="","",IF(LEFT(IF($I$3="","",INDEX(인턴계획표[[정규화1]:[정규화6]],$Q262,$I$3)&amp;""),1)="⚠",IF($I$3="","",INDEX(인턴계획표[[정규화1]:[정규화6]],$Q262,$I$3)&amp;""),IFERROR(LEFT(IF($I$3="","",INDEX(인턴계획표[[정규화1]:[정규화6]],$Q262,$I$3)&amp;""),FIND(" ",IF($I$3="","",INDEX(인턴계획표[[정규화1]:[정규화6]],$Q262,$I$3)&amp;""))-1),IF($I$3="","",INDEX(인턴계획표[[정규화1]:[정규화6]],$Q262,$I$3)&amp;"")))))</f>
        <v/>
      </c>
      <c r="I262">
        <f>IF($Q262="","",IF(IF($I$3="","",INDEX(인턴계획표[[정규화1]:[정규화6]],$Q262,$I$3)&amp;"")="","",IF(LEFT(IF($I$3="","",INDEX(인턴계획표[[정규화1]:[정규화6]],$Q262,$I$3)&amp;""),1)="⚠","",IFERROR(MID(IF($I$3="","",INDEX(인턴계획표[[정규화1]:[정규화6]],$Q262,$I$3)&amp;""),FIND(" ",IF($I$3="","",INDEX(인턴계획표[[정규화1]:[정규화6]],$Q262,$I$3)&amp;""))+1,60),""))))</f>
        <v/>
      </c>
      <c r="J262">
        <f>IF($Q262="","",INDEX(인턴계획표[정규화1],$Q262))</f>
        <v/>
      </c>
      <c r="K262">
        <f>IF($Q262="","",INDEX(인턴계획표[정규화2],$Q262))</f>
        <v/>
      </c>
      <c r="L262">
        <f>IF($Q262="","",INDEX(인턴계획표[정규화3],$Q262))</f>
        <v/>
      </c>
      <c r="M262">
        <f>IF($Q262="","",INDEX(인턴계획표[정규화4],$Q262))</f>
        <v/>
      </c>
      <c r="N262">
        <f>IF($Q262="","",INDEX(인턴계획표[정규화5],$Q262))</f>
        <v/>
      </c>
      <c r="O262">
        <f>IF($Q262="","",INDEX(인턴계획표[정규화6],$Q262))</f>
        <v/>
      </c>
      <c r="P262">
        <f>IF($Q262="","",INDEX(인턴계획표[입력오류],$Q262))</f>
        <v/>
      </c>
      <c r="Q262" s="17">
        <f>IFERROR(MATCH(257,인턴계획표[표시순번],0),"")</f>
        <v/>
      </c>
    </row>
    <row r="263">
      <c r="A263">
        <f>IF($Q263="","",INDEX(인턴계획표[순번],$Q263)&amp;"")</f>
        <v/>
      </c>
      <c r="B263">
        <f>IF($Q263="","",TRIM(INDEX(인턴계획표[이름],$Q263)&amp;""))</f>
        <v/>
      </c>
      <c r="C263">
        <f>IF($Q263="","",INDEX(인턴계획표[사번],$Q263)&amp;"")</f>
        <v/>
      </c>
      <c r="D263">
        <f>IF($Q263="","",IF(COUNTIF(기본자료표[사번키],INDEX(인턴계획표[사번키],$Q263))&gt;0,"확인","미등록"))</f>
        <v/>
      </c>
      <c r="E263">
        <f>IF($Q263="","",IF(ISNUMBER(INDEX(인턴계획표[입사일(비고)],$Q263)),TEXT(INDEX(인턴계획표[입사일(비고)],$Q263),"yyyy-mm-dd"),INDEX(인턴계획표[입사일(비고)],$Q263)&amp;""))</f>
        <v/>
      </c>
      <c r="F263">
        <f>IF($Q263="","",IF(IF($G$3="","",INDEX(인턴계획표[[정규화1]:[정규화6]],$Q263,$G$3)&amp;"")="","",IF(LEFT(IF($G$3="","",INDEX(인턴계획표[[정규화1]:[정규화6]],$Q263,$G$3)&amp;""),1)="⚠",IF($G$3="","",INDEX(인턴계획표[[정규화1]:[정규화6]],$Q263,$G$3)&amp;""),IFERROR(LEFT(IF($G$3="","",INDEX(인턴계획표[[정규화1]:[정규화6]],$Q263,$G$3)&amp;""),FIND(" ",IF($G$3="","",INDEX(인턴계획표[[정규화1]:[정규화6]],$Q263,$G$3)&amp;""))-1),IF($G$3="","",INDEX(인턴계획표[[정규화1]:[정규화6]],$Q263,$G$3)&amp;"")))))</f>
        <v/>
      </c>
      <c r="G263">
        <f>IF($Q263="","",IF(IF($G$3="","",INDEX(인턴계획표[[정규화1]:[정규화6]],$Q263,$G$3)&amp;"")="","",IF(LEFT(IF($G$3="","",INDEX(인턴계획표[[정규화1]:[정규화6]],$Q263,$G$3)&amp;""),1)="⚠","",IFERROR(MID(IF($G$3="","",INDEX(인턴계획표[[정규화1]:[정규화6]],$Q263,$G$3)&amp;""),FIND(" ",IF($G$3="","",INDEX(인턴계획표[[정규화1]:[정규화6]],$Q263,$G$3)&amp;""))+1,60),""))))</f>
        <v/>
      </c>
      <c r="H263">
        <f>IF($Q263="","",IF(IF($I$3="","",INDEX(인턴계획표[[정규화1]:[정규화6]],$Q263,$I$3)&amp;"")="","",IF(LEFT(IF($I$3="","",INDEX(인턴계획표[[정규화1]:[정규화6]],$Q263,$I$3)&amp;""),1)="⚠",IF($I$3="","",INDEX(인턴계획표[[정규화1]:[정규화6]],$Q263,$I$3)&amp;""),IFERROR(LEFT(IF($I$3="","",INDEX(인턴계획표[[정규화1]:[정규화6]],$Q263,$I$3)&amp;""),FIND(" ",IF($I$3="","",INDEX(인턴계획표[[정규화1]:[정규화6]],$Q263,$I$3)&amp;""))-1),IF($I$3="","",INDEX(인턴계획표[[정규화1]:[정규화6]],$Q263,$I$3)&amp;"")))))</f>
        <v/>
      </c>
      <c r="I263">
        <f>IF($Q263="","",IF(IF($I$3="","",INDEX(인턴계획표[[정규화1]:[정규화6]],$Q263,$I$3)&amp;"")="","",IF(LEFT(IF($I$3="","",INDEX(인턴계획표[[정규화1]:[정규화6]],$Q263,$I$3)&amp;""),1)="⚠","",IFERROR(MID(IF($I$3="","",INDEX(인턴계획표[[정규화1]:[정규화6]],$Q263,$I$3)&amp;""),FIND(" ",IF($I$3="","",INDEX(인턴계획표[[정규화1]:[정규화6]],$Q263,$I$3)&amp;""))+1,60),""))))</f>
        <v/>
      </c>
      <c r="J263">
        <f>IF($Q263="","",INDEX(인턴계획표[정규화1],$Q263))</f>
        <v/>
      </c>
      <c r="K263">
        <f>IF($Q263="","",INDEX(인턴계획표[정규화2],$Q263))</f>
        <v/>
      </c>
      <c r="L263">
        <f>IF($Q263="","",INDEX(인턴계획표[정규화3],$Q263))</f>
        <v/>
      </c>
      <c r="M263">
        <f>IF($Q263="","",INDEX(인턴계획표[정규화4],$Q263))</f>
        <v/>
      </c>
      <c r="N263">
        <f>IF($Q263="","",INDEX(인턴계획표[정규화5],$Q263))</f>
        <v/>
      </c>
      <c r="O263">
        <f>IF($Q263="","",INDEX(인턴계획표[정규화6],$Q263))</f>
        <v/>
      </c>
      <c r="P263">
        <f>IF($Q263="","",INDEX(인턴계획표[입력오류],$Q263))</f>
        <v/>
      </c>
      <c r="Q263" s="17">
        <f>IFERROR(MATCH(258,인턴계획표[표시순번],0),"")</f>
        <v/>
      </c>
    </row>
    <row r="264">
      <c r="A264">
        <f>IF($Q264="","",INDEX(인턴계획표[순번],$Q264)&amp;"")</f>
        <v/>
      </c>
      <c r="B264">
        <f>IF($Q264="","",TRIM(INDEX(인턴계획표[이름],$Q264)&amp;""))</f>
        <v/>
      </c>
      <c r="C264">
        <f>IF($Q264="","",INDEX(인턴계획표[사번],$Q264)&amp;"")</f>
        <v/>
      </c>
      <c r="D264">
        <f>IF($Q264="","",IF(COUNTIF(기본자료표[사번키],INDEX(인턴계획표[사번키],$Q264))&gt;0,"확인","미등록"))</f>
        <v/>
      </c>
      <c r="E264">
        <f>IF($Q264="","",IF(ISNUMBER(INDEX(인턴계획표[입사일(비고)],$Q264)),TEXT(INDEX(인턴계획표[입사일(비고)],$Q264),"yyyy-mm-dd"),INDEX(인턴계획표[입사일(비고)],$Q264)&amp;""))</f>
        <v/>
      </c>
      <c r="F264">
        <f>IF($Q264="","",IF(IF($G$3="","",INDEX(인턴계획표[[정규화1]:[정규화6]],$Q264,$G$3)&amp;"")="","",IF(LEFT(IF($G$3="","",INDEX(인턴계획표[[정규화1]:[정규화6]],$Q264,$G$3)&amp;""),1)="⚠",IF($G$3="","",INDEX(인턴계획표[[정규화1]:[정규화6]],$Q264,$G$3)&amp;""),IFERROR(LEFT(IF($G$3="","",INDEX(인턴계획표[[정규화1]:[정규화6]],$Q264,$G$3)&amp;""),FIND(" ",IF($G$3="","",INDEX(인턴계획표[[정규화1]:[정규화6]],$Q264,$G$3)&amp;""))-1),IF($G$3="","",INDEX(인턴계획표[[정규화1]:[정규화6]],$Q264,$G$3)&amp;"")))))</f>
        <v/>
      </c>
      <c r="G264">
        <f>IF($Q264="","",IF(IF($G$3="","",INDEX(인턴계획표[[정규화1]:[정규화6]],$Q264,$G$3)&amp;"")="","",IF(LEFT(IF($G$3="","",INDEX(인턴계획표[[정규화1]:[정규화6]],$Q264,$G$3)&amp;""),1)="⚠","",IFERROR(MID(IF($G$3="","",INDEX(인턴계획표[[정규화1]:[정규화6]],$Q264,$G$3)&amp;""),FIND(" ",IF($G$3="","",INDEX(인턴계획표[[정규화1]:[정규화6]],$Q264,$G$3)&amp;""))+1,60),""))))</f>
        <v/>
      </c>
      <c r="H264">
        <f>IF($Q264="","",IF(IF($I$3="","",INDEX(인턴계획표[[정규화1]:[정규화6]],$Q264,$I$3)&amp;"")="","",IF(LEFT(IF($I$3="","",INDEX(인턴계획표[[정규화1]:[정규화6]],$Q264,$I$3)&amp;""),1)="⚠",IF($I$3="","",INDEX(인턴계획표[[정규화1]:[정규화6]],$Q264,$I$3)&amp;""),IFERROR(LEFT(IF($I$3="","",INDEX(인턴계획표[[정규화1]:[정규화6]],$Q264,$I$3)&amp;""),FIND(" ",IF($I$3="","",INDEX(인턴계획표[[정규화1]:[정규화6]],$Q264,$I$3)&amp;""))-1),IF($I$3="","",INDEX(인턴계획표[[정규화1]:[정규화6]],$Q264,$I$3)&amp;"")))))</f>
        <v/>
      </c>
      <c r="I264">
        <f>IF($Q264="","",IF(IF($I$3="","",INDEX(인턴계획표[[정규화1]:[정규화6]],$Q264,$I$3)&amp;"")="","",IF(LEFT(IF($I$3="","",INDEX(인턴계획표[[정규화1]:[정규화6]],$Q264,$I$3)&amp;""),1)="⚠","",IFERROR(MID(IF($I$3="","",INDEX(인턴계획표[[정규화1]:[정규화6]],$Q264,$I$3)&amp;""),FIND(" ",IF($I$3="","",INDEX(인턴계획표[[정규화1]:[정규화6]],$Q264,$I$3)&amp;""))+1,60),""))))</f>
        <v/>
      </c>
      <c r="J264">
        <f>IF($Q264="","",INDEX(인턴계획표[정규화1],$Q264))</f>
        <v/>
      </c>
      <c r="K264">
        <f>IF($Q264="","",INDEX(인턴계획표[정규화2],$Q264))</f>
        <v/>
      </c>
      <c r="L264">
        <f>IF($Q264="","",INDEX(인턴계획표[정규화3],$Q264))</f>
        <v/>
      </c>
      <c r="M264">
        <f>IF($Q264="","",INDEX(인턴계획표[정규화4],$Q264))</f>
        <v/>
      </c>
      <c r="N264">
        <f>IF($Q264="","",INDEX(인턴계획표[정규화5],$Q264))</f>
        <v/>
      </c>
      <c r="O264">
        <f>IF($Q264="","",INDEX(인턴계획표[정규화6],$Q264))</f>
        <v/>
      </c>
      <c r="P264">
        <f>IF($Q264="","",INDEX(인턴계획표[입력오류],$Q264))</f>
        <v/>
      </c>
      <c r="Q264" s="17">
        <f>IFERROR(MATCH(259,인턴계획표[표시순번],0),"")</f>
        <v/>
      </c>
    </row>
    <row r="265">
      <c r="A265">
        <f>IF($Q265="","",INDEX(인턴계획표[순번],$Q265)&amp;"")</f>
        <v/>
      </c>
      <c r="B265">
        <f>IF($Q265="","",TRIM(INDEX(인턴계획표[이름],$Q265)&amp;""))</f>
        <v/>
      </c>
      <c r="C265">
        <f>IF($Q265="","",INDEX(인턴계획표[사번],$Q265)&amp;"")</f>
        <v/>
      </c>
      <c r="D265">
        <f>IF($Q265="","",IF(COUNTIF(기본자료표[사번키],INDEX(인턴계획표[사번키],$Q265))&gt;0,"확인","미등록"))</f>
        <v/>
      </c>
      <c r="E265">
        <f>IF($Q265="","",IF(ISNUMBER(INDEX(인턴계획표[입사일(비고)],$Q265)),TEXT(INDEX(인턴계획표[입사일(비고)],$Q265),"yyyy-mm-dd"),INDEX(인턴계획표[입사일(비고)],$Q265)&amp;""))</f>
        <v/>
      </c>
      <c r="F265">
        <f>IF($Q265="","",IF(IF($G$3="","",INDEX(인턴계획표[[정규화1]:[정규화6]],$Q265,$G$3)&amp;"")="","",IF(LEFT(IF($G$3="","",INDEX(인턴계획표[[정규화1]:[정규화6]],$Q265,$G$3)&amp;""),1)="⚠",IF($G$3="","",INDEX(인턴계획표[[정규화1]:[정규화6]],$Q265,$G$3)&amp;""),IFERROR(LEFT(IF($G$3="","",INDEX(인턴계획표[[정규화1]:[정규화6]],$Q265,$G$3)&amp;""),FIND(" ",IF($G$3="","",INDEX(인턴계획표[[정규화1]:[정규화6]],$Q265,$G$3)&amp;""))-1),IF($G$3="","",INDEX(인턴계획표[[정규화1]:[정규화6]],$Q265,$G$3)&amp;"")))))</f>
        <v/>
      </c>
      <c r="G265">
        <f>IF($Q265="","",IF(IF($G$3="","",INDEX(인턴계획표[[정규화1]:[정규화6]],$Q265,$G$3)&amp;"")="","",IF(LEFT(IF($G$3="","",INDEX(인턴계획표[[정규화1]:[정규화6]],$Q265,$G$3)&amp;""),1)="⚠","",IFERROR(MID(IF($G$3="","",INDEX(인턴계획표[[정규화1]:[정규화6]],$Q265,$G$3)&amp;""),FIND(" ",IF($G$3="","",INDEX(인턴계획표[[정규화1]:[정규화6]],$Q265,$G$3)&amp;""))+1,60),""))))</f>
        <v/>
      </c>
      <c r="H265">
        <f>IF($Q265="","",IF(IF($I$3="","",INDEX(인턴계획표[[정규화1]:[정규화6]],$Q265,$I$3)&amp;"")="","",IF(LEFT(IF($I$3="","",INDEX(인턴계획표[[정규화1]:[정규화6]],$Q265,$I$3)&amp;""),1)="⚠",IF($I$3="","",INDEX(인턴계획표[[정규화1]:[정규화6]],$Q265,$I$3)&amp;""),IFERROR(LEFT(IF($I$3="","",INDEX(인턴계획표[[정규화1]:[정규화6]],$Q265,$I$3)&amp;""),FIND(" ",IF($I$3="","",INDEX(인턴계획표[[정규화1]:[정규화6]],$Q265,$I$3)&amp;""))-1),IF($I$3="","",INDEX(인턴계획표[[정규화1]:[정규화6]],$Q265,$I$3)&amp;"")))))</f>
        <v/>
      </c>
      <c r="I265">
        <f>IF($Q265="","",IF(IF($I$3="","",INDEX(인턴계획표[[정규화1]:[정규화6]],$Q265,$I$3)&amp;"")="","",IF(LEFT(IF($I$3="","",INDEX(인턴계획표[[정규화1]:[정규화6]],$Q265,$I$3)&amp;""),1)="⚠","",IFERROR(MID(IF($I$3="","",INDEX(인턴계획표[[정규화1]:[정규화6]],$Q265,$I$3)&amp;""),FIND(" ",IF($I$3="","",INDEX(인턴계획표[[정규화1]:[정규화6]],$Q265,$I$3)&amp;""))+1,60),""))))</f>
        <v/>
      </c>
      <c r="J265">
        <f>IF($Q265="","",INDEX(인턴계획표[정규화1],$Q265))</f>
        <v/>
      </c>
      <c r="K265">
        <f>IF($Q265="","",INDEX(인턴계획표[정규화2],$Q265))</f>
        <v/>
      </c>
      <c r="L265">
        <f>IF($Q265="","",INDEX(인턴계획표[정규화3],$Q265))</f>
        <v/>
      </c>
      <c r="M265">
        <f>IF($Q265="","",INDEX(인턴계획표[정규화4],$Q265))</f>
        <v/>
      </c>
      <c r="N265">
        <f>IF($Q265="","",INDEX(인턴계획표[정규화5],$Q265))</f>
        <v/>
      </c>
      <c r="O265">
        <f>IF($Q265="","",INDEX(인턴계획표[정규화6],$Q265))</f>
        <v/>
      </c>
      <c r="P265">
        <f>IF($Q265="","",INDEX(인턴계획표[입력오류],$Q265))</f>
        <v/>
      </c>
      <c r="Q265" s="17">
        <f>IFERROR(MATCH(260,인턴계획표[표시순번],0),"")</f>
        <v/>
      </c>
    </row>
    <row r="266">
      <c r="A266">
        <f>IF($Q266="","",INDEX(인턴계획표[순번],$Q266)&amp;"")</f>
        <v/>
      </c>
      <c r="B266">
        <f>IF($Q266="","",TRIM(INDEX(인턴계획표[이름],$Q266)&amp;""))</f>
        <v/>
      </c>
      <c r="C266">
        <f>IF($Q266="","",INDEX(인턴계획표[사번],$Q266)&amp;"")</f>
        <v/>
      </c>
      <c r="D266">
        <f>IF($Q266="","",IF(COUNTIF(기본자료표[사번키],INDEX(인턴계획표[사번키],$Q266))&gt;0,"확인","미등록"))</f>
        <v/>
      </c>
      <c r="E266">
        <f>IF($Q266="","",IF(ISNUMBER(INDEX(인턴계획표[입사일(비고)],$Q266)),TEXT(INDEX(인턴계획표[입사일(비고)],$Q266),"yyyy-mm-dd"),INDEX(인턴계획표[입사일(비고)],$Q266)&amp;""))</f>
        <v/>
      </c>
      <c r="F266">
        <f>IF($Q266="","",IF(IF($G$3="","",INDEX(인턴계획표[[정규화1]:[정규화6]],$Q266,$G$3)&amp;"")="","",IF(LEFT(IF($G$3="","",INDEX(인턴계획표[[정규화1]:[정규화6]],$Q266,$G$3)&amp;""),1)="⚠",IF($G$3="","",INDEX(인턴계획표[[정규화1]:[정규화6]],$Q266,$G$3)&amp;""),IFERROR(LEFT(IF($G$3="","",INDEX(인턴계획표[[정규화1]:[정규화6]],$Q266,$G$3)&amp;""),FIND(" ",IF($G$3="","",INDEX(인턴계획표[[정규화1]:[정규화6]],$Q266,$G$3)&amp;""))-1),IF($G$3="","",INDEX(인턴계획표[[정규화1]:[정규화6]],$Q266,$G$3)&amp;"")))))</f>
        <v/>
      </c>
      <c r="G266">
        <f>IF($Q266="","",IF(IF($G$3="","",INDEX(인턴계획표[[정규화1]:[정규화6]],$Q266,$G$3)&amp;"")="","",IF(LEFT(IF($G$3="","",INDEX(인턴계획표[[정규화1]:[정규화6]],$Q266,$G$3)&amp;""),1)="⚠","",IFERROR(MID(IF($G$3="","",INDEX(인턴계획표[[정규화1]:[정규화6]],$Q266,$G$3)&amp;""),FIND(" ",IF($G$3="","",INDEX(인턴계획표[[정규화1]:[정규화6]],$Q266,$G$3)&amp;""))+1,60),""))))</f>
        <v/>
      </c>
      <c r="H266">
        <f>IF($Q266="","",IF(IF($I$3="","",INDEX(인턴계획표[[정규화1]:[정규화6]],$Q266,$I$3)&amp;"")="","",IF(LEFT(IF($I$3="","",INDEX(인턴계획표[[정규화1]:[정규화6]],$Q266,$I$3)&amp;""),1)="⚠",IF($I$3="","",INDEX(인턴계획표[[정규화1]:[정규화6]],$Q266,$I$3)&amp;""),IFERROR(LEFT(IF($I$3="","",INDEX(인턴계획표[[정규화1]:[정규화6]],$Q266,$I$3)&amp;""),FIND(" ",IF($I$3="","",INDEX(인턴계획표[[정규화1]:[정규화6]],$Q266,$I$3)&amp;""))-1),IF($I$3="","",INDEX(인턴계획표[[정규화1]:[정규화6]],$Q266,$I$3)&amp;"")))))</f>
        <v/>
      </c>
      <c r="I266">
        <f>IF($Q266="","",IF(IF($I$3="","",INDEX(인턴계획표[[정규화1]:[정규화6]],$Q266,$I$3)&amp;"")="","",IF(LEFT(IF($I$3="","",INDEX(인턴계획표[[정규화1]:[정규화6]],$Q266,$I$3)&amp;""),1)="⚠","",IFERROR(MID(IF($I$3="","",INDEX(인턴계획표[[정규화1]:[정규화6]],$Q266,$I$3)&amp;""),FIND(" ",IF($I$3="","",INDEX(인턴계획표[[정규화1]:[정규화6]],$Q266,$I$3)&amp;""))+1,60),""))))</f>
        <v/>
      </c>
      <c r="J266">
        <f>IF($Q266="","",INDEX(인턴계획표[정규화1],$Q266))</f>
        <v/>
      </c>
      <c r="K266">
        <f>IF($Q266="","",INDEX(인턴계획표[정규화2],$Q266))</f>
        <v/>
      </c>
      <c r="L266">
        <f>IF($Q266="","",INDEX(인턴계획표[정규화3],$Q266))</f>
        <v/>
      </c>
      <c r="M266">
        <f>IF($Q266="","",INDEX(인턴계획표[정규화4],$Q266))</f>
        <v/>
      </c>
      <c r="N266">
        <f>IF($Q266="","",INDEX(인턴계획표[정규화5],$Q266))</f>
        <v/>
      </c>
      <c r="O266">
        <f>IF($Q266="","",INDEX(인턴계획표[정규화6],$Q266))</f>
        <v/>
      </c>
      <c r="P266">
        <f>IF($Q266="","",INDEX(인턴계획표[입력오류],$Q266))</f>
        <v/>
      </c>
      <c r="Q266" s="17">
        <f>IFERROR(MATCH(261,인턴계획표[표시순번],0),"")</f>
        <v/>
      </c>
    </row>
    <row r="267">
      <c r="A267">
        <f>IF($Q267="","",INDEX(인턴계획표[순번],$Q267)&amp;"")</f>
        <v/>
      </c>
      <c r="B267">
        <f>IF($Q267="","",TRIM(INDEX(인턴계획표[이름],$Q267)&amp;""))</f>
        <v/>
      </c>
      <c r="C267">
        <f>IF($Q267="","",INDEX(인턴계획표[사번],$Q267)&amp;"")</f>
        <v/>
      </c>
      <c r="D267">
        <f>IF($Q267="","",IF(COUNTIF(기본자료표[사번키],INDEX(인턴계획표[사번키],$Q267))&gt;0,"확인","미등록"))</f>
        <v/>
      </c>
      <c r="E267">
        <f>IF($Q267="","",IF(ISNUMBER(INDEX(인턴계획표[입사일(비고)],$Q267)),TEXT(INDEX(인턴계획표[입사일(비고)],$Q267),"yyyy-mm-dd"),INDEX(인턴계획표[입사일(비고)],$Q267)&amp;""))</f>
        <v/>
      </c>
      <c r="F267">
        <f>IF($Q267="","",IF(IF($G$3="","",INDEX(인턴계획표[[정규화1]:[정규화6]],$Q267,$G$3)&amp;"")="","",IF(LEFT(IF($G$3="","",INDEX(인턴계획표[[정규화1]:[정규화6]],$Q267,$G$3)&amp;""),1)="⚠",IF($G$3="","",INDEX(인턴계획표[[정규화1]:[정규화6]],$Q267,$G$3)&amp;""),IFERROR(LEFT(IF($G$3="","",INDEX(인턴계획표[[정규화1]:[정규화6]],$Q267,$G$3)&amp;""),FIND(" ",IF($G$3="","",INDEX(인턴계획표[[정규화1]:[정규화6]],$Q267,$G$3)&amp;""))-1),IF($G$3="","",INDEX(인턴계획표[[정규화1]:[정규화6]],$Q267,$G$3)&amp;"")))))</f>
        <v/>
      </c>
      <c r="G267">
        <f>IF($Q267="","",IF(IF($G$3="","",INDEX(인턴계획표[[정규화1]:[정규화6]],$Q267,$G$3)&amp;"")="","",IF(LEFT(IF($G$3="","",INDEX(인턴계획표[[정규화1]:[정규화6]],$Q267,$G$3)&amp;""),1)="⚠","",IFERROR(MID(IF($G$3="","",INDEX(인턴계획표[[정규화1]:[정규화6]],$Q267,$G$3)&amp;""),FIND(" ",IF($G$3="","",INDEX(인턴계획표[[정규화1]:[정규화6]],$Q267,$G$3)&amp;""))+1,60),""))))</f>
        <v/>
      </c>
      <c r="H267">
        <f>IF($Q267="","",IF(IF($I$3="","",INDEX(인턴계획표[[정규화1]:[정규화6]],$Q267,$I$3)&amp;"")="","",IF(LEFT(IF($I$3="","",INDEX(인턴계획표[[정규화1]:[정규화6]],$Q267,$I$3)&amp;""),1)="⚠",IF($I$3="","",INDEX(인턴계획표[[정규화1]:[정규화6]],$Q267,$I$3)&amp;""),IFERROR(LEFT(IF($I$3="","",INDEX(인턴계획표[[정규화1]:[정규화6]],$Q267,$I$3)&amp;""),FIND(" ",IF($I$3="","",INDEX(인턴계획표[[정규화1]:[정규화6]],$Q267,$I$3)&amp;""))-1),IF($I$3="","",INDEX(인턴계획표[[정규화1]:[정규화6]],$Q267,$I$3)&amp;"")))))</f>
        <v/>
      </c>
      <c r="I267">
        <f>IF($Q267="","",IF(IF($I$3="","",INDEX(인턴계획표[[정규화1]:[정규화6]],$Q267,$I$3)&amp;"")="","",IF(LEFT(IF($I$3="","",INDEX(인턴계획표[[정규화1]:[정규화6]],$Q267,$I$3)&amp;""),1)="⚠","",IFERROR(MID(IF($I$3="","",INDEX(인턴계획표[[정규화1]:[정규화6]],$Q267,$I$3)&amp;""),FIND(" ",IF($I$3="","",INDEX(인턴계획표[[정규화1]:[정규화6]],$Q267,$I$3)&amp;""))+1,60),""))))</f>
        <v/>
      </c>
      <c r="J267">
        <f>IF($Q267="","",INDEX(인턴계획표[정규화1],$Q267))</f>
        <v/>
      </c>
      <c r="K267">
        <f>IF($Q267="","",INDEX(인턴계획표[정규화2],$Q267))</f>
        <v/>
      </c>
      <c r="L267">
        <f>IF($Q267="","",INDEX(인턴계획표[정규화3],$Q267))</f>
        <v/>
      </c>
      <c r="M267">
        <f>IF($Q267="","",INDEX(인턴계획표[정규화4],$Q267))</f>
        <v/>
      </c>
      <c r="N267">
        <f>IF($Q267="","",INDEX(인턴계획표[정규화5],$Q267))</f>
        <v/>
      </c>
      <c r="O267">
        <f>IF($Q267="","",INDEX(인턴계획표[정규화6],$Q267))</f>
        <v/>
      </c>
      <c r="P267">
        <f>IF($Q267="","",INDEX(인턴계획표[입력오류],$Q267))</f>
        <v/>
      </c>
      <c r="Q267" s="17">
        <f>IFERROR(MATCH(262,인턴계획표[표시순번],0),"")</f>
        <v/>
      </c>
    </row>
    <row r="268">
      <c r="A268">
        <f>IF($Q268="","",INDEX(인턴계획표[순번],$Q268)&amp;"")</f>
        <v/>
      </c>
      <c r="B268">
        <f>IF($Q268="","",TRIM(INDEX(인턴계획표[이름],$Q268)&amp;""))</f>
        <v/>
      </c>
      <c r="C268">
        <f>IF($Q268="","",INDEX(인턴계획표[사번],$Q268)&amp;"")</f>
        <v/>
      </c>
      <c r="D268">
        <f>IF($Q268="","",IF(COUNTIF(기본자료표[사번키],INDEX(인턴계획표[사번키],$Q268))&gt;0,"확인","미등록"))</f>
        <v/>
      </c>
      <c r="E268">
        <f>IF($Q268="","",IF(ISNUMBER(INDEX(인턴계획표[입사일(비고)],$Q268)),TEXT(INDEX(인턴계획표[입사일(비고)],$Q268),"yyyy-mm-dd"),INDEX(인턴계획표[입사일(비고)],$Q268)&amp;""))</f>
        <v/>
      </c>
      <c r="F268">
        <f>IF($Q268="","",IF(IF($G$3="","",INDEX(인턴계획표[[정규화1]:[정규화6]],$Q268,$G$3)&amp;"")="","",IF(LEFT(IF($G$3="","",INDEX(인턴계획표[[정규화1]:[정규화6]],$Q268,$G$3)&amp;""),1)="⚠",IF($G$3="","",INDEX(인턴계획표[[정규화1]:[정규화6]],$Q268,$G$3)&amp;""),IFERROR(LEFT(IF($G$3="","",INDEX(인턴계획표[[정규화1]:[정규화6]],$Q268,$G$3)&amp;""),FIND(" ",IF($G$3="","",INDEX(인턴계획표[[정규화1]:[정규화6]],$Q268,$G$3)&amp;""))-1),IF($G$3="","",INDEX(인턴계획표[[정규화1]:[정규화6]],$Q268,$G$3)&amp;"")))))</f>
        <v/>
      </c>
      <c r="G268">
        <f>IF($Q268="","",IF(IF($G$3="","",INDEX(인턴계획표[[정규화1]:[정규화6]],$Q268,$G$3)&amp;"")="","",IF(LEFT(IF($G$3="","",INDEX(인턴계획표[[정규화1]:[정규화6]],$Q268,$G$3)&amp;""),1)="⚠","",IFERROR(MID(IF($G$3="","",INDEX(인턴계획표[[정규화1]:[정규화6]],$Q268,$G$3)&amp;""),FIND(" ",IF($G$3="","",INDEX(인턴계획표[[정규화1]:[정규화6]],$Q268,$G$3)&amp;""))+1,60),""))))</f>
        <v/>
      </c>
      <c r="H268">
        <f>IF($Q268="","",IF(IF($I$3="","",INDEX(인턴계획표[[정규화1]:[정규화6]],$Q268,$I$3)&amp;"")="","",IF(LEFT(IF($I$3="","",INDEX(인턴계획표[[정규화1]:[정규화6]],$Q268,$I$3)&amp;""),1)="⚠",IF($I$3="","",INDEX(인턴계획표[[정규화1]:[정규화6]],$Q268,$I$3)&amp;""),IFERROR(LEFT(IF($I$3="","",INDEX(인턴계획표[[정규화1]:[정규화6]],$Q268,$I$3)&amp;""),FIND(" ",IF($I$3="","",INDEX(인턴계획표[[정규화1]:[정규화6]],$Q268,$I$3)&amp;""))-1),IF($I$3="","",INDEX(인턴계획표[[정규화1]:[정규화6]],$Q268,$I$3)&amp;"")))))</f>
        <v/>
      </c>
      <c r="I268">
        <f>IF($Q268="","",IF(IF($I$3="","",INDEX(인턴계획표[[정규화1]:[정규화6]],$Q268,$I$3)&amp;"")="","",IF(LEFT(IF($I$3="","",INDEX(인턴계획표[[정규화1]:[정규화6]],$Q268,$I$3)&amp;""),1)="⚠","",IFERROR(MID(IF($I$3="","",INDEX(인턴계획표[[정규화1]:[정규화6]],$Q268,$I$3)&amp;""),FIND(" ",IF($I$3="","",INDEX(인턴계획표[[정규화1]:[정규화6]],$Q268,$I$3)&amp;""))+1,60),""))))</f>
        <v/>
      </c>
      <c r="J268">
        <f>IF($Q268="","",INDEX(인턴계획표[정규화1],$Q268))</f>
        <v/>
      </c>
      <c r="K268">
        <f>IF($Q268="","",INDEX(인턴계획표[정규화2],$Q268))</f>
        <v/>
      </c>
      <c r="L268">
        <f>IF($Q268="","",INDEX(인턴계획표[정규화3],$Q268))</f>
        <v/>
      </c>
      <c r="M268">
        <f>IF($Q268="","",INDEX(인턴계획표[정규화4],$Q268))</f>
        <v/>
      </c>
      <c r="N268">
        <f>IF($Q268="","",INDEX(인턴계획표[정규화5],$Q268))</f>
        <v/>
      </c>
      <c r="O268">
        <f>IF($Q268="","",INDEX(인턴계획표[정규화6],$Q268))</f>
        <v/>
      </c>
      <c r="P268">
        <f>IF($Q268="","",INDEX(인턴계획표[입력오류],$Q268))</f>
        <v/>
      </c>
      <c r="Q268" s="17">
        <f>IFERROR(MATCH(263,인턴계획표[표시순번],0),"")</f>
        <v/>
      </c>
    </row>
    <row r="269">
      <c r="A269">
        <f>IF($Q269="","",INDEX(인턴계획표[순번],$Q269)&amp;"")</f>
        <v/>
      </c>
      <c r="B269">
        <f>IF($Q269="","",TRIM(INDEX(인턴계획표[이름],$Q269)&amp;""))</f>
        <v/>
      </c>
      <c r="C269">
        <f>IF($Q269="","",INDEX(인턴계획표[사번],$Q269)&amp;"")</f>
        <v/>
      </c>
      <c r="D269">
        <f>IF($Q269="","",IF(COUNTIF(기본자료표[사번키],INDEX(인턴계획표[사번키],$Q269))&gt;0,"확인","미등록"))</f>
        <v/>
      </c>
      <c r="E269">
        <f>IF($Q269="","",IF(ISNUMBER(INDEX(인턴계획표[입사일(비고)],$Q269)),TEXT(INDEX(인턴계획표[입사일(비고)],$Q269),"yyyy-mm-dd"),INDEX(인턴계획표[입사일(비고)],$Q269)&amp;""))</f>
        <v/>
      </c>
      <c r="F269">
        <f>IF($Q269="","",IF(IF($G$3="","",INDEX(인턴계획표[[정규화1]:[정규화6]],$Q269,$G$3)&amp;"")="","",IF(LEFT(IF($G$3="","",INDEX(인턴계획표[[정규화1]:[정규화6]],$Q269,$G$3)&amp;""),1)="⚠",IF($G$3="","",INDEX(인턴계획표[[정규화1]:[정규화6]],$Q269,$G$3)&amp;""),IFERROR(LEFT(IF($G$3="","",INDEX(인턴계획표[[정규화1]:[정규화6]],$Q269,$G$3)&amp;""),FIND(" ",IF($G$3="","",INDEX(인턴계획표[[정규화1]:[정규화6]],$Q269,$G$3)&amp;""))-1),IF($G$3="","",INDEX(인턴계획표[[정규화1]:[정규화6]],$Q269,$G$3)&amp;"")))))</f>
        <v/>
      </c>
      <c r="G269">
        <f>IF($Q269="","",IF(IF($G$3="","",INDEX(인턴계획표[[정규화1]:[정규화6]],$Q269,$G$3)&amp;"")="","",IF(LEFT(IF($G$3="","",INDEX(인턴계획표[[정규화1]:[정규화6]],$Q269,$G$3)&amp;""),1)="⚠","",IFERROR(MID(IF($G$3="","",INDEX(인턴계획표[[정규화1]:[정규화6]],$Q269,$G$3)&amp;""),FIND(" ",IF($G$3="","",INDEX(인턴계획표[[정규화1]:[정규화6]],$Q269,$G$3)&amp;""))+1,60),""))))</f>
        <v/>
      </c>
      <c r="H269">
        <f>IF($Q269="","",IF(IF($I$3="","",INDEX(인턴계획표[[정규화1]:[정규화6]],$Q269,$I$3)&amp;"")="","",IF(LEFT(IF($I$3="","",INDEX(인턴계획표[[정규화1]:[정규화6]],$Q269,$I$3)&amp;""),1)="⚠",IF($I$3="","",INDEX(인턴계획표[[정규화1]:[정규화6]],$Q269,$I$3)&amp;""),IFERROR(LEFT(IF($I$3="","",INDEX(인턴계획표[[정규화1]:[정규화6]],$Q269,$I$3)&amp;""),FIND(" ",IF($I$3="","",INDEX(인턴계획표[[정규화1]:[정규화6]],$Q269,$I$3)&amp;""))-1),IF($I$3="","",INDEX(인턴계획표[[정규화1]:[정규화6]],$Q269,$I$3)&amp;"")))))</f>
        <v/>
      </c>
      <c r="I269">
        <f>IF($Q269="","",IF(IF($I$3="","",INDEX(인턴계획표[[정규화1]:[정규화6]],$Q269,$I$3)&amp;"")="","",IF(LEFT(IF($I$3="","",INDEX(인턴계획표[[정규화1]:[정규화6]],$Q269,$I$3)&amp;""),1)="⚠","",IFERROR(MID(IF($I$3="","",INDEX(인턴계획표[[정규화1]:[정규화6]],$Q269,$I$3)&amp;""),FIND(" ",IF($I$3="","",INDEX(인턴계획표[[정규화1]:[정규화6]],$Q269,$I$3)&amp;""))+1,60),""))))</f>
        <v/>
      </c>
      <c r="J269">
        <f>IF($Q269="","",INDEX(인턴계획표[정규화1],$Q269))</f>
        <v/>
      </c>
      <c r="K269">
        <f>IF($Q269="","",INDEX(인턴계획표[정규화2],$Q269))</f>
        <v/>
      </c>
      <c r="L269">
        <f>IF($Q269="","",INDEX(인턴계획표[정규화3],$Q269))</f>
        <v/>
      </c>
      <c r="M269">
        <f>IF($Q269="","",INDEX(인턴계획표[정규화4],$Q269))</f>
        <v/>
      </c>
      <c r="N269">
        <f>IF($Q269="","",INDEX(인턴계획표[정규화5],$Q269))</f>
        <v/>
      </c>
      <c r="O269">
        <f>IF($Q269="","",INDEX(인턴계획표[정규화6],$Q269))</f>
        <v/>
      </c>
      <c r="P269">
        <f>IF($Q269="","",INDEX(인턴계획표[입력오류],$Q269))</f>
        <v/>
      </c>
      <c r="Q269" s="17">
        <f>IFERROR(MATCH(264,인턴계획표[표시순번],0),"")</f>
        <v/>
      </c>
    </row>
    <row r="270">
      <c r="A270">
        <f>IF($Q270="","",INDEX(인턴계획표[순번],$Q270)&amp;"")</f>
        <v/>
      </c>
      <c r="B270">
        <f>IF($Q270="","",TRIM(INDEX(인턴계획표[이름],$Q270)&amp;""))</f>
        <v/>
      </c>
      <c r="C270">
        <f>IF($Q270="","",INDEX(인턴계획표[사번],$Q270)&amp;"")</f>
        <v/>
      </c>
      <c r="D270">
        <f>IF($Q270="","",IF(COUNTIF(기본자료표[사번키],INDEX(인턴계획표[사번키],$Q270))&gt;0,"확인","미등록"))</f>
        <v/>
      </c>
      <c r="E270">
        <f>IF($Q270="","",IF(ISNUMBER(INDEX(인턴계획표[입사일(비고)],$Q270)),TEXT(INDEX(인턴계획표[입사일(비고)],$Q270),"yyyy-mm-dd"),INDEX(인턴계획표[입사일(비고)],$Q270)&amp;""))</f>
        <v/>
      </c>
      <c r="F270">
        <f>IF($Q270="","",IF(IF($G$3="","",INDEX(인턴계획표[[정규화1]:[정규화6]],$Q270,$G$3)&amp;"")="","",IF(LEFT(IF($G$3="","",INDEX(인턴계획표[[정규화1]:[정규화6]],$Q270,$G$3)&amp;""),1)="⚠",IF($G$3="","",INDEX(인턴계획표[[정규화1]:[정규화6]],$Q270,$G$3)&amp;""),IFERROR(LEFT(IF($G$3="","",INDEX(인턴계획표[[정규화1]:[정규화6]],$Q270,$G$3)&amp;""),FIND(" ",IF($G$3="","",INDEX(인턴계획표[[정규화1]:[정규화6]],$Q270,$G$3)&amp;""))-1),IF($G$3="","",INDEX(인턴계획표[[정규화1]:[정규화6]],$Q270,$G$3)&amp;"")))))</f>
        <v/>
      </c>
      <c r="G270">
        <f>IF($Q270="","",IF(IF($G$3="","",INDEX(인턴계획표[[정규화1]:[정규화6]],$Q270,$G$3)&amp;"")="","",IF(LEFT(IF($G$3="","",INDEX(인턴계획표[[정규화1]:[정규화6]],$Q270,$G$3)&amp;""),1)="⚠","",IFERROR(MID(IF($G$3="","",INDEX(인턴계획표[[정규화1]:[정규화6]],$Q270,$G$3)&amp;""),FIND(" ",IF($G$3="","",INDEX(인턴계획표[[정규화1]:[정규화6]],$Q270,$G$3)&amp;""))+1,60),""))))</f>
        <v/>
      </c>
      <c r="H270">
        <f>IF($Q270="","",IF(IF($I$3="","",INDEX(인턴계획표[[정규화1]:[정규화6]],$Q270,$I$3)&amp;"")="","",IF(LEFT(IF($I$3="","",INDEX(인턴계획표[[정규화1]:[정규화6]],$Q270,$I$3)&amp;""),1)="⚠",IF($I$3="","",INDEX(인턴계획표[[정규화1]:[정규화6]],$Q270,$I$3)&amp;""),IFERROR(LEFT(IF($I$3="","",INDEX(인턴계획표[[정규화1]:[정규화6]],$Q270,$I$3)&amp;""),FIND(" ",IF($I$3="","",INDEX(인턴계획표[[정규화1]:[정규화6]],$Q270,$I$3)&amp;""))-1),IF($I$3="","",INDEX(인턴계획표[[정규화1]:[정규화6]],$Q270,$I$3)&amp;"")))))</f>
        <v/>
      </c>
      <c r="I270">
        <f>IF($Q270="","",IF(IF($I$3="","",INDEX(인턴계획표[[정규화1]:[정규화6]],$Q270,$I$3)&amp;"")="","",IF(LEFT(IF($I$3="","",INDEX(인턴계획표[[정규화1]:[정규화6]],$Q270,$I$3)&amp;""),1)="⚠","",IFERROR(MID(IF($I$3="","",INDEX(인턴계획표[[정규화1]:[정규화6]],$Q270,$I$3)&amp;""),FIND(" ",IF($I$3="","",INDEX(인턴계획표[[정규화1]:[정규화6]],$Q270,$I$3)&amp;""))+1,60),""))))</f>
        <v/>
      </c>
      <c r="J270">
        <f>IF($Q270="","",INDEX(인턴계획표[정규화1],$Q270))</f>
        <v/>
      </c>
      <c r="K270">
        <f>IF($Q270="","",INDEX(인턴계획표[정규화2],$Q270))</f>
        <v/>
      </c>
      <c r="L270">
        <f>IF($Q270="","",INDEX(인턴계획표[정규화3],$Q270))</f>
        <v/>
      </c>
      <c r="M270">
        <f>IF($Q270="","",INDEX(인턴계획표[정규화4],$Q270))</f>
        <v/>
      </c>
      <c r="N270">
        <f>IF($Q270="","",INDEX(인턴계획표[정규화5],$Q270))</f>
        <v/>
      </c>
      <c r="O270">
        <f>IF($Q270="","",INDEX(인턴계획표[정규화6],$Q270))</f>
        <v/>
      </c>
      <c r="P270">
        <f>IF($Q270="","",INDEX(인턴계획표[입력오류],$Q270))</f>
        <v/>
      </c>
      <c r="Q270" s="17">
        <f>IFERROR(MATCH(265,인턴계획표[표시순번],0),"")</f>
        <v/>
      </c>
    </row>
    <row r="271">
      <c r="A271">
        <f>IF($Q271="","",INDEX(인턴계획표[순번],$Q271)&amp;"")</f>
        <v/>
      </c>
      <c r="B271">
        <f>IF($Q271="","",TRIM(INDEX(인턴계획표[이름],$Q271)&amp;""))</f>
        <v/>
      </c>
      <c r="C271">
        <f>IF($Q271="","",INDEX(인턴계획표[사번],$Q271)&amp;"")</f>
        <v/>
      </c>
      <c r="D271">
        <f>IF($Q271="","",IF(COUNTIF(기본자료표[사번키],INDEX(인턴계획표[사번키],$Q271))&gt;0,"확인","미등록"))</f>
        <v/>
      </c>
      <c r="E271">
        <f>IF($Q271="","",IF(ISNUMBER(INDEX(인턴계획표[입사일(비고)],$Q271)),TEXT(INDEX(인턴계획표[입사일(비고)],$Q271),"yyyy-mm-dd"),INDEX(인턴계획표[입사일(비고)],$Q271)&amp;""))</f>
        <v/>
      </c>
      <c r="F271">
        <f>IF($Q271="","",IF(IF($G$3="","",INDEX(인턴계획표[[정규화1]:[정규화6]],$Q271,$G$3)&amp;"")="","",IF(LEFT(IF($G$3="","",INDEX(인턴계획표[[정규화1]:[정규화6]],$Q271,$G$3)&amp;""),1)="⚠",IF($G$3="","",INDEX(인턴계획표[[정규화1]:[정규화6]],$Q271,$G$3)&amp;""),IFERROR(LEFT(IF($G$3="","",INDEX(인턴계획표[[정규화1]:[정규화6]],$Q271,$G$3)&amp;""),FIND(" ",IF($G$3="","",INDEX(인턴계획표[[정규화1]:[정규화6]],$Q271,$G$3)&amp;""))-1),IF($G$3="","",INDEX(인턴계획표[[정규화1]:[정규화6]],$Q271,$G$3)&amp;"")))))</f>
        <v/>
      </c>
      <c r="G271">
        <f>IF($Q271="","",IF(IF($G$3="","",INDEX(인턴계획표[[정규화1]:[정규화6]],$Q271,$G$3)&amp;"")="","",IF(LEFT(IF($G$3="","",INDEX(인턴계획표[[정규화1]:[정규화6]],$Q271,$G$3)&amp;""),1)="⚠","",IFERROR(MID(IF($G$3="","",INDEX(인턴계획표[[정규화1]:[정규화6]],$Q271,$G$3)&amp;""),FIND(" ",IF($G$3="","",INDEX(인턴계획표[[정규화1]:[정규화6]],$Q271,$G$3)&amp;""))+1,60),""))))</f>
        <v/>
      </c>
      <c r="H271">
        <f>IF($Q271="","",IF(IF($I$3="","",INDEX(인턴계획표[[정규화1]:[정규화6]],$Q271,$I$3)&amp;"")="","",IF(LEFT(IF($I$3="","",INDEX(인턴계획표[[정규화1]:[정규화6]],$Q271,$I$3)&amp;""),1)="⚠",IF($I$3="","",INDEX(인턴계획표[[정규화1]:[정규화6]],$Q271,$I$3)&amp;""),IFERROR(LEFT(IF($I$3="","",INDEX(인턴계획표[[정규화1]:[정규화6]],$Q271,$I$3)&amp;""),FIND(" ",IF($I$3="","",INDEX(인턴계획표[[정규화1]:[정규화6]],$Q271,$I$3)&amp;""))-1),IF($I$3="","",INDEX(인턴계획표[[정규화1]:[정규화6]],$Q271,$I$3)&amp;"")))))</f>
        <v/>
      </c>
      <c r="I271">
        <f>IF($Q271="","",IF(IF($I$3="","",INDEX(인턴계획표[[정규화1]:[정규화6]],$Q271,$I$3)&amp;"")="","",IF(LEFT(IF($I$3="","",INDEX(인턴계획표[[정규화1]:[정규화6]],$Q271,$I$3)&amp;""),1)="⚠","",IFERROR(MID(IF($I$3="","",INDEX(인턴계획표[[정규화1]:[정규화6]],$Q271,$I$3)&amp;""),FIND(" ",IF($I$3="","",INDEX(인턴계획표[[정규화1]:[정규화6]],$Q271,$I$3)&amp;""))+1,60),""))))</f>
        <v/>
      </c>
      <c r="J271">
        <f>IF($Q271="","",INDEX(인턴계획표[정규화1],$Q271))</f>
        <v/>
      </c>
      <c r="K271">
        <f>IF($Q271="","",INDEX(인턴계획표[정규화2],$Q271))</f>
        <v/>
      </c>
      <c r="L271">
        <f>IF($Q271="","",INDEX(인턴계획표[정규화3],$Q271))</f>
        <v/>
      </c>
      <c r="M271">
        <f>IF($Q271="","",INDEX(인턴계획표[정규화4],$Q271))</f>
        <v/>
      </c>
      <c r="N271">
        <f>IF($Q271="","",INDEX(인턴계획표[정규화5],$Q271))</f>
        <v/>
      </c>
      <c r="O271">
        <f>IF($Q271="","",INDEX(인턴계획표[정규화6],$Q271))</f>
        <v/>
      </c>
      <c r="P271">
        <f>IF($Q271="","",INDEX(인턴계획표[입력오류],$Q271))</f>
        <v/>
      </c>
      <c r="Q271" s="17">
        <f>IFERROR(MATCH(266,인턴계획표[표시순번],0),"")</f>
        <v/>
      </c>
    </row>
    <row r="272">
      <c r="A272">
        <f>IF($Q272="","",INDEX(인턴계획표[순번],$Q272)&amp;"")</f>
        <v/>
      </c>
      <c r="B272">
        <f>IF($Q272="","",TRIM(INDEX(인턴계획표[이름],$Q272)&amp;""))</f>
        <v/>
      </c>
      <c r="C272">
        <f>IF($Q272="","",INDEX(인턴계획표[사번],$Q272)&amp;"")</f>
        <v/>
      </c>
      <c r="D272">
        <f>IF($Q272="","",IF(COUNTIF(기본자료표[사번키],INDEX(인턴계획표[사번키],$Q272))&gt;0,"확인","미등록"))</f>
        <v/>
      </c>
      <c r="E272">
        <f>IF($Q272="","",IF(ISNUMBER(INDEX(인턴계획표[입사일(비고)],$Q272)),TEXT(INDEX(인턴계획표[입사일(비고)],$Q272),"yyyy-mm-dd"),INDEX(인턴계획표[입사일(비고)],$Q272)&amp;""))</f>
        <v/>
      </c>
      <c r="F272">
        <f>IF($Q272="","",IF(IF($G$3="","",INDEX(인턴계획표[[정규화1]:[정규화6]],$Q272,$G$3)&amp;"")="","",IF(LEFT(IF($G$3="","",INDEX(인턴계획표[[정규화1]:[정규화6]],$Q272,$G$3)&amp;""),1)="⚠",IF($G$3="","",INDEX(인턴계획표[[정규화1]:[정규화6]],$Q272,$G$3)&amp;""),IFERROR(LEFT(IF($G$3="","",INDEX(인턴계획표[[정규화1]:[정규화6]],$Q272,$G$3)&amp;""),FIND(" ",IF($G$3="","",INDEX(인턴계획표[[정규화1]:[정규화6]],$Q272,$G$3)&amp;""))-1),IF($G$3="","",INDEX(인턴계획표[[정규화1]:[정규화6]],$Q272,$G$3)&amp;"")))))</f>
        <v/>
      </c>
      <c r="G272">
        <f>IF($Q272="","",IF(IF($G$3="","",INDEX(인턴계획표[[정규화1]:[정규화6]],$Q272,$G$3)&amp;"")="","",IF(LEFT(IF($G$3="","",INDEX(인턴계획표[[정규화1]:[정규화6]],$Q272,$G$3)&amp;""),1)="⚠","",IFERROR(MID(IF($G$3="","",INDEX(인턴계획표[[정규화1]:[정규화6]],$Q272,$G$3)&amp;""),FIND(" ",IF($G$3="","",INDEX(인턴계획표[[정규화1]:[정규화6]],$Q272,$G$3)&amp;""))+1,60),""))))</f>
        <v/>
      </c>
      <c r="H272">
        <f>IF($Q272="","",IF(IF($I$3="","",INDEX(인턴계획표[[정규화1]:[정규화6]],$Q272,$I$3)&amp;"")="","",IF(LEFT(IF($I$3="","",INDEX(인턴계획표[[정규화1]:[정규화6]],$Q272,$I$3)&amp;""),1)="⚠",IF($I$3="","",INDEX(인턴계획표[[정규화1]:[정규화6]],$Q272,$I$3)&amp;""),IFERROR(LEFT(IF($I$3="","",INDEX(인턴계획표[[정규화1]:[정규화6]],$Q272,$I$3)&amp;""),FIND(" ",IF($I$3="","",INDEX(인턴계획표[[정규화1]:[정규화6]],$Q272,$I$3)&amp;""))-1),IF($I$3="","",INDEX(인턴계획표[[정규화1]:[정규화6]],$Q272,$I$3)&amp;"")))))</f>
        <v/>
      </c>
      <c r="I272">
        <f>IF($Q272="","",IF(IF($I$3="","",INDEX(인턴계획표[[정규화1]:[정규화6]],$Q272,$I$3)&amp;"")="","",IF(LEFT(IF($I$3="","",INDEX(인턴계획표[[정규화1]:[정규화6]],$Q272,$I$3)&amp;""),1)="⚠","",IFERROR(MID(IF($I$3="","",INDEX(인턴계획표[[정규화1]:[정규화6]],$Q272,$I$3)&amp;""),FIND(" ",IF($I$3="","",INDEX(인턴계획표[[정규화1]:[정규화6]],$Q272,$I$3)&amp;""))+1,60),""))))</f>
        <v/>
      </c>
      <c r="J272">
        <f>IF($Q272="","",INDEX(인턴계획표[정규화1],$Q272))</f>
        <v/>
      </c>
      <c r="K272">
        <f>IF($Q272="","",INDEX(인턴계획표[정규화2],$Q272))</f>
        <v/>
      </c>
      <c r="L272">
        <f>IF($Q272="","",INDEX(인턴계획표[정규화3],$Q272))</f>
        <v/>
      </c>
      <c r="M272">
        <f>IF($Q272="","",INDEX(인턴계획표[정규화4],$Q272))</f>
        <v/>
      </c>
      <c r="N272">
        <f>IF($Q272="","",INDEX(인턴계획표[정규화5],$Q272))</f>
        <v/>
      </c>
      <c r="O272">
        <f>IF($Q272="","",INDEX(인턴계획표[정규화6],$Q272))</f>
        <v/>
      </c>
      <c r="P272">
        <f>IF($Q272="","",INDEX(인턴계획표[입력오류],$Q272))</f>
        <v/>
      </c>
      <c r="Q272" s="17">
        <f>IFERROR(MATCH(267,인턴계획표[표시순번],0),"")</f>
        <v/>
      </c>
    </row>
    <row r="273">
      <c r="A273">
        <f>IF($Q273="","",INDEX(인턴계획표[순번],$Q273)&amp;"")</f>
        <v/>
      </c>
      <c r="B273">
        <f>IF($Q273="","",TRIM(INDEX(인턴계획표[이름],$Q273)&amp;""))</f>
        <v/>
      </c>
      <c r="C273">
        <f>IF($Q273="","",INDEX(인턴계획표[사번],$Q273)&amp;"")</f>
        <v/>
      </c>
      <c r="D273">
        <f>IF($Q273="","",IF(COUNTIF(기본자료표[사번키],INDEX(인턴계획표[사번키],$Q273))&gt;0,"확인","미등록"))</f>
        <v/>
      </c>
      <c r="E273">
        <f>IF($Q273="","",IF(ISNUMBER(INDEX(인턴계획표[입사일(비고)],$Q273)),TEXT(INDEX(인턴계획표[입사일(비고)],$Q273),"yyyy-mm-dd"),INDEX(인턴계획표[입사일(비고)],$Q273)&amp;""))</f>
        <v/>
      </c>
      <c r="F273">
        <f>IF($Q273="","",IF(IF($G$3="","",INDEX(인턴계획표[[정규화1]:[정규화6]],$Q273,$G$3)&amp;"")="","",IF(LEFT(IF($G$3="","",INDEX(인턴계획표[[정규화1]:[정규화6]],$Q273,$G$3)&amp;""),1)="⚠",IF($G$3="","",INDEX(인턴계획표[[정규화1]:[정규화6]],$Q273,$G$3)&amp;""),IFERROR(LEFT(IF($G$3="","",INDEX(인턴계획표[[정규화1]:[정규화6]],$Q273,$G$3)&amp;""),FIND(" ",IF($G$3="","",INDEX(인턴계획표[[정규화1]:[정규화6]],$Q273,$G$3)&amp;""))-1),IF($G$3="","",INDEX(인턴계획표[[정규화1]:[정규화6]],$Q273,$G$3)&amp;"")))))</f>
        <v/>
      </c>
      <c r="G273">
        <f>IF($Q273="","",IF(IF($G$3="","",INDEX(인턴계획표[[정규화1]:[정규화6]],$Q273,$G$3)&amp;"")="","",IF(LEFT(IF($G$3="","",INDEX(인턴계획표[[정규화1]:[정규화6]],$Q273,$G$3)&amp;""),1)="⚠","",IFERROR(MID(IF($G$3="","",INDEX(인턴계획표[[정규화1]:[정규화6]],$Q273,$G$3)&amp;""),FIND(" ",IF($G$3="","",INDEX(인턴계획표[[정규화1]:[정규화6]],$Q273,$G$3)&amp;""))+1,60),""))))</f>
        <v/>
      </c>
      <c r="H273">
        <f>IF($Q273="","",IF(IF($I$3="","",INDEX(인턴계획표[[정규화1]:[정규화6]],$Q273,$I$3)&amp;"")="","",IF(LEFT(IF($I$3="","",INDEX(인턴계획표[[정규화1]:[정규화6]],$Q273,$I$3)&amp;""),1)="⚠",IF($I$3="","",INDEX(인턴계획표[[정규화1]:[정규화6]],$Q273,$I$3)&amp;""),IFERROR(LEFT(IF($I$3="","",INDEX(인턴계획표[[정규화1]:[정규화6]],$Q273,$I$3)&amp;""),FIND(" ",IF($I$3="","",INDEX(인턴계획표[[정규화1]:[정규화6]],$Q273,$I$3)&amp;""))-1),IF($I$3="","",INDEX(인턴계획표[[정규화1]:[정규화6]],$Q273,$I$3)&amp;"")))))</f>
        <v/>
      </c>
      <c r="I273">
        <f>IF($Q273="","",IF(IF($I$3="","",INDEX(인턴계획표[[정규화1]:[정규화6]],$Q273,$I$3)&amp;"")="","",IF(LEFT(IF($I$3="","",INDEX(인턴계획표[[정규화1]:[정규화6]],$Q273,$I$3)&amp;""),1)="⚠","",IFERROR(MID(IF($I$3="","",INDEX(인턴계획표[[정규화1]:[정규화6]],$Q273,$I$3)&amp;""),FIND(" ",IF($I$3="","",INDEX(인턴계획표[[정규화1]:[정규화6]],$Q273,$I$3)&amp;""))+1,60),""))))</f>
        <v/>
      </c>
      <c r="J273">
        <f>IF($Q273="","",INDEX(인턴계획표[정규화1],$Q273))</f>
        <v/>
      </c>
      <c r="K273">
        <f>IF($Q273="","",INDEX(인턴계획표[정규화2],$Q273))</f>
        <v/>
      </c>
      <c r="L273">
        <f>IF($Q273="","",INDEX(인턴계획표[정규화3],$Q273))</f>
        <v/>
      </c>
      <c r="M273">
        <f>IF($Q273="","",INDEX(인턴계획표[정규화4],$Q273))</f>
        <v/>
      </c>
      <c r="N273">
        <f>IF($Q273="","",INDEX(인턴계획표[정규화5],$Q273))</f>
        <v/>
      </c>
      <c r="O273">
        <f>IF($Q273="","",INDEX(인턴계획표[정규화6],$Q273))</f>
        <v/>
      </c>
      <c r="P273">
        <f>IF($Q273="","",INDEX(인턴계획표[입력오류],$Q273))</f>
        <v/>
      </c>
      <c r="Q273" s="17">
        <f>IFERROR(MATCH(268,인턴계획표[표시순번],0),"")</f>
        <v/>
      </c>
    </row>
    <row r="274">
      <c r="A274">
        <f>IF($Q274="","",INDEX(인턴계획표[순번],$Q274)&amp;"")</f>
        <v/>
      </c>
      <c r="B274">
        <f>IF($Q274="","",TRIM(INDEX(인턴계획표[이름],$Q274)&amp;""))</f>
        <v/>
      </c>
      <c r="C274">
        <f>IF($Q274="","",INDEX(인턴계획표[사번],$Q274)&amp;"")</f>
        <v/>
      </c>
      <c r="D274">
        <f>IF($Q274="","",IF(COUNTIF(기본자료표[사번키],INDEX(인턴계획표[사번키],$Q274))&gt;0,"확인","미등록"))</f>
        <v/>
      </c>
      <c r="E274">
        <f>IF($Q274="","",IF(ISNUMBER(INDEX(인턴계획표[입사일(비고)],$Q274)),TEXT(INDEX(인턴계획표[입사일(비고)],$Q274),"yyyy-mm-dd"),INDEX(인턴계획표[입사일(비고)],$Q274)&amp;""))</f>
        <v/>
      </c>
      <c r="F274">
        <f>IF($Q274="","",IF(IF($G$3="","",INDEX(인턴계획표[[정규화1]:[정규화6]],$Q274,$G$3)&amp;"")="","",IF(LEFT(IF($G$3="","",INDEX(인턴계획표[[정규화1]:[정규화6]],$Q274,$G$3)&amp;""),1)="⚠",IF($G$3="","",INDEX(인턴계획표[[정규화1]:[정규화6]],$Q274,$G$3)&amp;""),IFERROR(LEFT(IF($G$3="","",INDEX(인턴계획표[[정규화1]:[정규화6]],$Q274,$G$3)&amp;""),FIND(" ",IF($G$3="","",INDEX(인턴계획표[[정규화1]:[정규화6]],$Q274,$G$3)&amp;""))-1),IF($G$3="","",INDEX(인턴계획표[[정규화1]:[정규화6]],$Q274,$G$3)&amp;"")))))</f>
        <v/>
      </c>
      <c r="G274">
        <f>IF($Q274="","",IF(IF($G$3="","",INDEX(인턴계획표[[정규화1]:[정규화6]],$Q274,$G$3)&amp;"")="","",IF(LEFT(IF($G$3="","",INDEX(인턴계획표[[정규화1]:[정규화6]],$Q274,$G$3)&amp;""),1)="⚠","",IFERROR(MID(IF($G$3="","",INDEX(인턴계획표[[정규화1]:[정규화6]],$Q274,$G$3)&amp;""),FIND(" ",IF($G$3="","",INDEX(인턴계획표[[정규화1]:[정규화6]],$Q274,$G$3)&amp;""))+1,60),""))))</f>
        <v/>
      </c>
      <c r="H274">
        <f>IF($Q274="","",IF(IF($I$3="","",INDEX(인턴계획표[[정규화1]:[정규화6]],$Q274,$I$3)&amp;"")="","",IF(LEFT(IF($I$3="","",INDEX(인턴계획표[[정규화1]:[정규화6]],$Q274,$I$3)&amp;""),1)="⚠",IF($I$3="","",INDEX(인턴계획표[[정규화1]:[정규화6]],$Q274,$I$3)&amp;""),IFERROR(LEFT(IF($I$3="","",INDEX(인턴계획표[[정규화1]:[정규화6]],$Q274,$I$3)&amp;""),FIND(" ",IF($I$3="","",INDEX(인턴계획표[[정규화1]:[정규화6]],$Q274,$I$3)&amp;""))-1),IF($I$3="","",INDEX(인턴계획표[[정규화1]:[정규화6]],$Q274,$I$3)&amp;"")))))</f>
        <v/>
      </c>
      <c r="I274">
        <f>IF($Q274="","",IF(IF($I$3="","",INDEX(인턴계획표[[정규화1]:[정규화6]],$Q274,$I$3)&amp;"")="","",IF(LEFT(IF($I$3="","",INDEX(인턴계획표[[정규화1]:[정규화6]],$Q274,$I$3)&amp;""),1)="⚠","",IFERROR(MID(IF($I$3="","",INDEX(인턴계획표[[정규화1]:[정규화6]],$Q274,$I$3)&amp;""),FIND(" ",IF($I$3="","",INDEX(인턴계획표[[정규화1]:[정규화6]],$Q274,$I$3)&amp;""))+1,60),""))))</f>
        <v/>
      </c>
      <c r="J274">
        <f>IF($Q274="","",INDEX(인턴계획표[정규화1],$Q274))</f>
        <v/>
      </c>
      <c r="K274">
        <f>IF($Q274="","",INDEX(인턴계획표[정규화2],$Q274))</f>
        <v/>
      </c>
      <c r="L274">
        <f>IF($Q274="","",INDEX(인턴계획표[정규화3],$Q274))</f>
        <v/>
      </c>
      <c r="M274">
        <f>IF($Q274="","",INDEX(인턴계획표[정규화4],$Q274))</f>
        <v/>
      </c>
      <c r="N274">
        <f>IF($Q274="","",INDEX(인턴계획표[정규화5],$Q274))</f>
        <v/>
      </c>
      <c r="O274">
        <f>IF($Q274="","",INDEX(인턴계획표[정규화6],$Q274))</f>
        <v/>
      </c>
      <c r="P274">
        <f>IF($Q274="","",INDEX(인턴계획표[입력오류],$Q274))</f>
        <v/>
      </c>
      <c r="Q274" s="17">
        <f>IFERROR(MATCH(269,인턴계획표[표시순번],0),"")</f>
        <v/>
      </c>
    </row>
    <row r="275">
      <c r="A275">
        <f>IF($Q275="","",INDEX(인턴계획표[순번],$Q275)&amp;"")</f>
        <v/>
      </c>
      <c r="B275">
        <f>IF($Q275="","",TRIM(INDEX(인턴계획표[이름],$Q275)&amp;""))</f>
        <v/>
      </c>
      <c r="C275">
        <f>IF($Q275="","",INDEX(인턴계획표[사번],$Q275)&amp;"")</f>
        <v/>
      </c>
      <c r="D275">
        <f>IF($Q275="","",IF(COUNTIF(기본자료표[사번키],INDEX(인턴계획표[사번키],$Q275))&gt;0,"확인","미등록"))</f>
        <v/>
      </c>
      <c r="E275">
        <f>IF($Q275="","",IF(ISNUMBER(INDEX(인턴계획표[입사일(비고)],$Q275)),TEXT(INDEX(인턴계획표[입사일(비고)],$Q275),"yyyy-mm-dd"),INDEX(인턴계획표[입사일(비고)],$Q275)&amp;""))</f>
        <v/>
      </c>
      <c r="F275">
        <f>IF($Q275="","",IF(IF($G$3="","",INDEX(인턴계획표[[정규화1]:[정규화6]],$Q275,$G$3)&amp;"")="","",IF(LEFT(IF($G$3="","",INDEX(인턴계획표[[정규화1]:[정규화6]],$Q275,$G$3)&amp;""),1)="⚠",IF($G$3="","",INDEX(인턴계획표[[정규화1]:[정규화6]],$Q275,$G$3)&amp;""),IFERROR(LEFT(IF($G$3="","",INDEX(인턴계획표[[정규화1]:[정규화6]],$Q275,$G$3)&amp;""),FIND(" ",IF($G$3="","",INDEX(인턴계획표[[정규화1]:[정규화6]],$Q275,$G$3)&amp;""))-1),IF($G$3="","",INDEX(인턴계획표[[정규화1]:[정규화6]],$Q275,$G$3)&amp;"")))))</f>
        <v/>
      </c>
      <c r="G275">
        <f>IF($Q275="","",IF(IF($G$3="","",INDEX(인턴계획표[[정규화1]:[정규화6]],$Q275,$G$3)&amp;"")="","",IF(LEFT(IF($G$3="","",INDEX(인턴계획표[[정규화1]:[정규화6]],$Q275,$G$3)&amp;""),1)="⚠","",IFERROR(MID(IF($G$3="","",INDEX(인턴계획표[[정규화1]:[정규화6]],$Q275,$G$3)&amp;""),FIND(" ",IF($G$3="","",INDEX(인턴계획표[[정규화1]:[정규화6]],$Q275,$G$3)&amp;""))+1,60),""))))</f>
        <v/>
      </c>
      <c r="H275">
        <f>IF($Q275="","",IF(IF($I$3="","",INDEX(인턴계획표[[정규화1]:[정규화6]],$Q275,$I$3)&amp;"")="","",IF(LEFT(IF($I$3="","",INDEX(인턴계획표[[정규화1]:[정규화6]],$Q275,$I$3)&amp;""),1)="⚠",IF($I$3="","",INDEX(인턴계획표[[정규화1]:[정규화6]],$Q275,$I$3)&amp;""),IFERROR(LEFT(IF($I$3="","",INDEX(인턴계획표[[정규화1]:[정규화6]],$Q275,$I$3)&amp;""),FIND(" ",IF($I$3="","",INDEX(인턴계획표[[정규화1]:[정규화6]],$Q275,$I$3)&amp;""))-1),IF($I$3="","",INDEX(인턴계획표[[정규화1]:[정규화6]],$Q275,$I$3)&amp;"")))))</f>
        <v/>
      </c>
      <c r="I275">
        <f>IF($Q275="","",IF(IF($I$3="","",INDEX(인턴계획표[[정규화1]:[정규화6]],$Q275,$I$3)&amp;"")="","",IF(LEFT(IF($I$3="","",INDEX(인턴계획표[[정규화1]:[정규화6]],$Q275,$I$3)&amp;""),1)="⚠","",IFERROR(MID(IF($I$3="","",INDEX(인턴계획표[[정규화1]:[정규화6]],$Q275,$I$3)&amp;""),FIND(" ",IF($I$3="","",INDEX(인턴계획표[[정규화1]:[정규화6]],$Q275,$I$3)&amp;""))+1,60),""))))</f>
        <v/>
      </c>
      <c r="J275">
        <f>IF($Q275="","",INDEX(인턴계획표[정규화1],$Q275))</f>
        <v/>
      </c>
      <c r="K275">
        <f>IF($Q275="","",INDEX(인턴계획표[정규화2],$Q275))</f>
        <v/>
      </c>
      <c r="L275">
        <f>IF($Q275="","",INDEX(인턴계획표[정규화3],$Q275))</f>
        <v/>
      </c>
      <c r="M275">
        <f>IF($Q275="","",INDEX(인턴계획표[정규화4],$Q275))</f>
        <v/>
      </c>
      <c r="N275">
        <f>IF($Q275="","",INDEX(인턴계획표[정규화5],$Q275))</f>
        <v/>
      </c>
      <c r="O275">
        <f>IF($Q275="","",INDEX(인턴계획표[정규화6],$Q275))</f>
        <v/>
      </c>
      <c r="P275">
        <f>IF($Q275="","",INDEX(인턴계획표[입력오류],$Q275))</f>
        <v/>
      </c>
      <c r="Q275" s="17">
        <f>IFERROR(MATCH(270,인턴계획표[표시순번],0),"")</f>
        <v/>
      </c>
    </row>
    <row r="276">
      <c r="A276">
        <f>IF($Q276="","",INDEX(인턴계획표[순번],$Q276)&amp;"")</f>
        <v/>
      </c>
      <c r="B276">
        <f>IF($Q276="","",TRIM(INDEX(인턴계획표[이름],$Q276)&amp;""))</f>
        <v/>
      </c>
      <c r="C276">
        <f>IF($Q276="","",INDEX(인턴계획표[사번],$Q276)&amp;"")</f>
        <v/>
      </c>
      <c r="D276">
        <f>IF($Q276="","",IF(COUNTIF(기본자료표[사번키],INDEX(인턴계획표[사번키],$Q276))&gt;0,"확인","미등록"))</f>
        <v/>
      </c>
      <c r="E276">
        <f>IF($Q276="","",IF(ISNUMBER(INDEX(인턴계획표[입사일(비고)],$Q276)),TEXT(INDEX(인턴계획표[입사일(비고)],$Q276),"yyyy-mm-dd"),INDEX(인턴계획표[입사일(비고)],$Q276)&amp;""))</f>
        <v/>
      </c>
      <c r="F276">
        <f>IF($Q276="","",IF(IF($G$3="","",INDEX(인턴계획표[[정규화1]:[정규화6]],$Q276,$G$3)&amp;"")="","",IF(LEFT(IF($G$3="","",INDEX(인턴계획표[[정규화1]:[정규화6]],$Q276,$G$3)&amp;""),1)="⚠",IF($G$3="","",INDEX(인턴계획표[[정규화1]:[정규화6]],$Q276,$G$3)&amp;""),IFERROR(LEFT(IF($G$3="","",INDEX(인턴계획표[[정규화1]:[정규화6]],$Q276,$G$3)&amp;""),FIND(" ",IF($G$3="","",INDEX(인턴계획표[[정규화1]:[정규화6]],$Q276,$G$3)&amp;""))-1),IF($G$3="","",INDEX(인턴계획표[[정규화1]:[정규화6]],$Q276,$G$3)&amp;"")))))</f>
        <v/>
      </c>
      <c r="G276">
        <f>IF($Q276="","",IF(IF($G$3="","",INDEX(인턴계획표[[정규화1]:[정규화6]],$Q276,$G$3)&amp;"")="","",IF(LEFT(IF($G$3="","",INDEX(인턴계획표[[정규화1]:[정규화6]],$Q276,$G$3)&amp;""),1)="⚠","",IFERROR(MID(IF($G$3="","",INDEX(인턴계획표[[정규화1]:[정규화6]],$Q276,$G$3)&amp;""),FIND(" ",IF($G$3="","",INDEX(인턴계획표[[정규화1]:[정규화6]],$Q276,$G$3)&amp;""))+1,60),""))))</f>
        <v/>
      </c>
      <c r="H276">
        <f>IF($Q276="","",IF(IF($I$3="","",INDEX(인턴계획표[[정규화1]:[정규화6]],$Q276,$I$3)&amp;"")="","",IF(LEFT(IF($I$3="","",INDEX(인턴계획표[[정규화1]:[정규화6]],$Q276,$I$3)&amp;""),1)="⚠",IF($I$3="","",INDEX(인턴계획표[[정규화1]:[정규화6]],$Q276,$I$3)&amp;""),IFERROR(LEFT(IF($I$3="","",INDEX(인턴계획표[[정규화1]:[정규화6]],$Q276,$I$3)&amp;""),FIND(" ",IF($I$3="","",INDEX(인턴계획표[[정규화1]:[정규화6]],$Q276,$I$3)&amp;""))-1),IF($I$3="","",INDEX(인턴계획표[[정규화1]:[정규화6]],$Q276,$I$3)&amp;"")))))</f>
        <v/>
      </c>
      <c r="I276">
        <f>IF($Q276="","",IF(IF($I$3="","",INDEX(인턴계획표[[정규화1]:[정규화6]],$Q276,$I$3)&amp;"")="","",IF(LEFT(IF($I$3="","",INDEX(인턴계획표[[정규화1]:[정규화6]],$Q276,$I$3)&amp;""),1)="⚠","",IFERROR(MID(IF($I$3="","",INDEX(인턴계획표[[정규화1]:[정규화6]],$Q276,$I$3)&amp;""),FIND(" ",IF($I$3="","",INDEX(인턴계획표[[정규화1]:[정규화6]],$Q276,$I$3)&amp;""))+1,60),""))))</f>
        <v/>
      </c>
      <c r="J276">
        <f>IF($Q276="","",INDEX(인턴계획표[정규화1],$Q276))</f>
        <v/>
      </c>
      <c r="K276">
        <f>IF($Q276="","",INDEX(인턴계획표[정규화2],$Q276))</f>
        <v/>
      </c>
      <c r="L276">
        <f>IF($Q276="","",INDEX(인턴계획표[정규화3],$Q276))</f>
        <v/>
      </c>
      <c r="M276">
        <f>IF($Q276="","",INDEX(인턴계획표[정규화4],$Q276))</f>
        <v/>
      </c>
      <c r="N276">
        <f>IF($Q276="","",INDEX(인턴계획표[정규화5],$Q276))</f>
        <v/>
      </c>
      <c r="O276">
        <f>IF($Q276="","",INDEX(인턴계획표[정규화6],$Q276))</f>
        <v/>
      </c>
      <c r="P276">
        <f>IF($Q276="","",INDEX(인턴계획표[입력오류],$Q276))</f>
        <v/>
      </c>
      <c r="Q276" s="17">
        <f>IFERROR(MATCH(271,인턴계획표[표시순번],0),"")</f>
        <v/>
      </c>
    </row>
    <row r="277">
      <c r="A277">
        <f>IF($Q277="","",INDEX(인턴계획표[순번],$Q277)&amp;"")</f>
        <v/>
      </c>
      <c r="B277">
        <f>IF($Q277="","",TRIM(INDEX(인턴계획표[이름],$Q277)&amp;""))</f>
        <v/>
      </c>
      <c r="C277">
        <f>IF($Q277="","",INDEX(인턴계획표[사번],$Q277)&amp;"")</f>
        <v/>
      </c>
      <c r="D277">
        <f>IF($Q277="","",IF(COUNTIF(기본자료표[사번키],INDEX(인턴계획표[사번키],$Q277))&gt;0,"확인","미등록"))</f>
        <v/>
      </c>
      <c r="E277">
        <f>IF($Q277="","",IF(ISNUMBER(INDEX(인턴계획표[입사일(비고)],$Q277)),TEXT(INDEX(인턴계획표[입사일(비고)],$Q277),"yyyy-mm-dd"),INDEX(인턴계획표[입사일(비고)],$Q277)&amp;""))</f>
        <v/>
      </c>
      <c r="F277">
        <f>IF($Q277="","",IF(IF($G$3="","",INDEX(인턴계획표[[정규화1]:[정규화6]],$Q277,$G$3)&amp;"")="","",IF(LEFT(IF($G$3="","",INDEX(인턴계획표[[정규화1]:[정규화6]],$Q277,$G$3)&amp;""),1)="⚠",IF($G$3="","",INDEX(인턴계획표[[정규화1]:[정규화6]],$Q277,$G$3)&amp;""),IFERROR(LEFT(IF($G$3="","",INDEX(인턴계획표[[정규화1]:[정규화6]],$Q277,$G$3)&amp;""),FIND(" ",IF($G$3="","",INDEX(인턴계획표[[정규화1]:[정규화6]],$Q277,$G$3)&amp;""))-1),IF($G$3="","",INDEX(인턴계획표[[정규화1]:[정규화6]],$Q277,$G$3)&amp;"")))))</f>
        <v/>
      </c>
      <c r="G277">
        <f>IF($Q277="","",IF(IF($G$3="","",INDEX(인턴계획표[[정규화1]:[정규화6]],$Q277,$G$3)&amp;"")="","",IF(LEFT(IF($G$3="","",INDEX(인턴계획표[[정규화1]:[정규화6]],$Q277,$G$3)&amp;""),1)="⚠","",IFERROR(MID(IF($G$3="","",INDEX(인턴계획표[[정규화1]:[정규화6]],$Q277,$G$3)&amp;""),FIND(" ",IF($G$3="","",INDEX(인턴계획표[[정규화1]:[정규화6]],$Q277,$G$3)&amp;""))+1,60),""))))</f>
        <v/>
      </c>
      <c r="H277">
        <f>IF($Q277="","",IF(IF($I$3="","",INDEX(인턴계획표[[정규화1]:[정규화6]],$Q277,$I$3)&amp;"")="","",IF(LEFT(IF($I$3="","",INDEX(인턴계획표[[정규화1]:[정규화6]],$Q277,$I$3)&amp;""),1)="⚠",IF($I$3="","",INDEX(인턴계획표[[정규화1]:[정규화6]],$Q277,$I$3)&amp;""),IFERROR(LEFT(IF($I$3="","",INDEX(인턴계획표[[정규화1]:[정규화6]],$Q277,$I$3)&amp;""),FIND(" ",IF($I$3="","",INDEX(인턴계획표[[정규화1]:[정규화6]],$Q277,$I$3)&amp;""))-1),IF($I$3="","",INDEX(인턴계획표[[정규화1]:[정규화6]],$Q277,$I$3)&amp;"")))))</f>
        <v/>
      </c>
      <c r="I277">
        <f>IF($Q277="","",IF(IF($I$3="","",INDEX(인턴계획표[[정규화1]:[정규화6]],$Q277,$I$3)&amp;"")="","",IF(LEFT(IF($I$3="","",INDEX(인턴계획표[[정규화1]:[정규화6]],$Q277,$I$3)&amp;""),1)="⚠","",IFERROR(MID(IF($I$3="","",INDEX(인턴계획표[[정규화1]:[정규화6]],$Q277,$I$3)&amp;""),FIND(" ",IF($I$3="","",INDEX(인턴계획표[[정규화1]:[정규화6]],$Q277,$I$3)&amp;""))+1,60),""))))</f>
        <v/>
      </c>
      <c r="J277">
        <f>IF($Q277="","",INDEX(인턴계획표[정규화1],$Q277))</f>
        <v/>
      </c>
      <c r="K277">
        <f>IF($Q277="","",INDEX(인턴계획표[정규화2],$Q277))</f>
        <v/>
      </c>
      <c r="L277">
        <f>IF($Q277="","",INDEX(인턴계획표[정규화3],$Q277))</f>
        <v/>
      </c>
      <c r="M277">
        <f>IF($Q277="","",INDEX(인턴계획표[정규화4],$Q277))</f>
        <v/>
      </c>
      <c r="N277">
        <f>IF($Q277="","",INDEX(인턴계획표[정규화5],$Q277))</f>
        <v/>
      </c>
      <c r="O277">
        <f>IF($Q277="","",INDEX(인턴계획표[정규화6],$Q277))</f>
        <v/>
      </c>
      <c r="P277">
        <f>IF($Q277="","",INDEX(인턴계획표[입력오류],$Q277))</f>
        <v/>
      </c>
      <c r="Q277" s="17">
        <f>IFERROR(MATCH(272,인턴계획표[표시순번],0),"")</f>
        <v/>
      </c>
    </row>
    <row r="278">
      <c r="A278">
        <f>IF($Q278="","",INDEX(인턴계획표[순번],$Q278)&amp;"")</f>
        <v/>
      </c>
      <c r="B278">
        <f>IF($Q278="","",TRIM(INDEX(인턴계획표[이름],$Q278)&amp;""))</f>
        <v/>
      </c>
      <c r="C278">
        <f>IF($Q278="","",INDEX(인턴계획표[사번],$Q278)&amp;"")</f>
        <v/>
      </c>
      <c r="D278">
        <f>IF($Q278="","",IF(COUNTIF(기본자료표[사번키],INDEX(인턴계획표[사번키],$Q278))&gt;0,"확인","미등록"))</f>
        <v/>
      </c>
      <c r="E278">
        <f>IF($Q278="","",IF(ISNUMBER(INDEX(인턴계획표[입사일(비고)],$Q278)),TEXT(INDEX(인턴계획표[입사일(비고)],$Q278),"yyyy-mm-dd"),INDEX(인턴계획표[입사일(비고)],$Q278)&amp;""))</f>
        <v/>
      </c>
      <c r="F278">
        <f>IF($Q278="","",IF(IF($G$3="","",INDEX(인턴계획표[[정규화1]:[정규화6]],$Q278,$G$3)&amp;"")="","",IF(LEFT(IF($G$3="","",INDEX(인턴계획표[[정규화1]:[정규화6]],$Q278,$G$3)&amp;""),1)="⚠",IF($G$3="","",INDEX(인턴계획표[[정규화1]:[정규화6]],$Q278,$G$3)&amp;""),IFERROR(LEFT(IF($G$3="","",INDEX(인턴계획표[[정규화1]:[정규화6]],$Q278,$G$3)&amp;""),FIND(" ",IF($G$3="","",INDEX(인턴계획표[[정규화1]:[정규화6]],$Q278,$G$3)&amp;""))-1),IF($G$3="","",INDEX(인턴계획표[[정규화1]:[정규화6]],$Q278,$G$3)&amp;"")))))</f>
        <v/>
      </c>
      <c r="G278">
        <f>IF($Q278="","",IF(IF($G$3="","",INDEX(인턴계획표[[정규화1]:[정규화6]],$Q278,$G$3)&amp;"")="","",IF(LEFT(IF($G$3="","",INDEX(인턴계획표[[정규화1]:[정규화6]],$Q278,$G$3)&amp;""),1)="⚠","",IFERROR(MID(IF($G$3="","",INDEX(인턴계획표[[정규화1]:[정규화6]],$Q278,$G$3)&amp;""),FIND(" ",IF($G$3="","",INDEX(인턴계획표[[정규화1]:[정규화6]],$Q278,$G$3)&amp;""))+1,60),""))))</f>
        <v/>
      </c>
      <c r="H278">
        <f>IF($Q278="","",IF(IF($I$3="","",INDEX(인턴계획표[[정규화1]:[정규화6]],$Q278,$I$3)&amp;"")="","",IF(LEFT(IF($I$3="","",INDEX(인턴계획표[[정규화1]:[정규화6]],$Q278,$I$3)&amp;""),1)="⚠",IF($I$3="","",INDEX(인턴계획표[[정규화1]:[정규화6]],$Q278,$I$3)&amp;""),IFERROR(LEFT(IF($I$3="","",INDEX(인턴계획표[[정규화1]:[정규화6]],$Q278,$I$3)&amp;""),FIND(" ",IF($I$3="","",INDEX(인턴계획표[[정규화1]:[정규화6]],$Q278,$I$3)&amp;""))-1),IF($I$3="","",INDEX(인턴계획표[[정규화1]:[정규화6]],$Q278,$I$3)&amp;"")))))</f>
        <v/>
      </c>
      <c r="I278">
        <f>IF($Q278="","",IF(IF($I$3="","",INDEX(인턴계획표[[정규화1]:[정규화6]],$Q278,$I$3)&amp;"")="","",IF(LEFT(IF($I$3="","",INDEX(인턴계획표[[정규화1]:[정규화6]],$Q278,$I$3)&amp;""),1)="⚠","",IFERROR(MID(IF($I$3="","",INDEX(인턴계획표[[정규화1]:[정규화6]],$Q278,$I$3)&amp;""),FIND(" ",IF($I$3="","",INDEX(인턴계획표[[정규화1]:[정규화6]],$Q278,$I$3)&amp;""))+1,60),""))))</f>
        <v/>
      </c>
      <c r="J278">
        <f>IF($Q278="","",INDEX(인턴계획표[정규화1],$Q278))</f>
        <v/>
      </c>
      <c r="K278">
        <f>IF($Q278="","",INDEX(인턴계획표[정규화2],$Q278))</f>
        <v/>
      </c>
      <c r="L278">
        <f>IF($Q278="","",INDEX(인턴계획표[정규화3],$Q278))</f>
        <v/>
      </c>
      <c r="M278">
        <f>IF($Q278="","",INDEX(인턴계획표[정규화4],$Q278))</f>
        <v/>
      </c>
      <c r="N278">
        <f>IF($Q278="","",INDEX(인턴계획표[정규화5],$Q278))</f>
        <v/>
      </c>
      <c r="O278">
        <f>IF($Q278="","",INDEX(인턴계획표[정규화6],$Q278))</f>
        <v/>
      </c>
      <c r="P278">
        <f>IF($Q278="","",INDEX(인턴계획표[입력오류],$Q278))</f>
        <v/>
      </c>
      <c r="Q278" s="17">
        <f>IFERROR(MATCH(273,인턴계획표[표시순번],0),"")</f>
        <v/>
      </c>
    </row>
    <row r="279">
      <c r="A279">
        <f>IF($Q279="","",INDEX(인턴계획표[순번],$Q279)&amp;"")</f>
        <v/>
      </c>
      <c r="B279">
        <f>IF($Q279="","",TRIM(INDEX(인턴계획표[이름],$Q279)&amp;""))</f>
        <v/>
      </c>
      <c r="C279">
        <f>IF($Q279="","",INDEX(인턴계획표[사번],$Q279)&amp;"")</f>
        <v/>
      </c>
      <c r="D279">
        <f>IF($Q279="","",IF(COUNTIF(기본자료표[사번키],INDEX(인턴계획표[사번키],$Q279))&gt;0,"확인","미등록"))</f>
        <v/>
      </c>
      <c r="E279">
        <f>IF($Q279="","",IF(ISNUMBER(INDEX(인턴계획표[입사일(비고)],$Q279)),TEXT(INDEX(인턴계획표[입사일(비고)],$Q279),"yyyy-mm-dd"),INDEX(인턴계획표[입사일(비고)],$Q279)&amp;""))</f>
        <v/>
      </c>
      <c r="F279">
        <f>IF($Q279="","",IF(IF($G$3="","",INDEX(인턴계획표[[정규화1]:[정규화6]],$Q279,$G$3)&amp;"")="","",IF(LEFT(IF($G$3="","",INDEX(인턴계획표[[정규화1]:[정규화6]],$Q279,$G$3)&amp;""),1)="⚠",IF($G$3="","",INDEX(인턴계획표[[정규화1]:[정규화6]],$Q279,$G$3)&amp;""),IFERROR(LEFT(IF($G$3="","",INDEX(인턴계획표[[정규화1]:[정규화6]],$Q279,$G$3)&amp;""),FIND(" ",IF($G$3="","",INDEX(인턴계획표[[정규화1]:[정규화6]],$Q279,$G$3)&amp;""))-1),IF($G$3="","",INDEX(인턴계획표[[정규화1]:[정규화6]],$Q279,$G$3)&amp;"")))))</f>
        <v/>
      </c>
      <c r="G279">
        <f>IF($Q279="","",IF(IF($G$3="","",INDEX(인턴계획표[[정규화1]:[정규화6]],$Q279,$G$3)&amp;"")="","",IF(LEFT(IF($G$3="","",INDEX(인턴계획표[[정규화1]:[정규화6]],$Q279,$G$3)&amp;""),1)="⚠","",IFERROR(MID(IF($G$3="","",INDEX(인턴계획표[[정규화1]:[정규화6]],$Q279,$G$3)&amp;""),FIND(" ",IF($G$3="","",INDEX(인턴계획표[[정규화1]:[정규화6]],$Q279,$G$3)&amp;""))+1,60),""))))</f>
        <v/>
      </c>
      <c r="H279">
        <f>IF($Q279="","",IF(IF($I$3="","",INDEX(인턴계획표[[정규화1]:[정규화6]],$Q279,$I$3)&amp;"")="","",IF(LEFT(IF($I$3="","",INDEX(인턴계획표[[정규화1]:[정규화6]],$Q279,$I$3)&amp;""),1)="⚠",IF($I$3="","",INDEX(인턴계획표[[정규화1]:[정규화6]],$Q279,$I$3)&amp;""),IFERROR(LEFT(IF($I$3="","",INDEX(인턴계획표[[정규화1]:[정규화6]],$Q279,$I$3)&amp;""),FIND(" ",IF($I$3="","",INDEX(인턴계획표[[정규화1]:[정규화6]],$Q279,$I$3)&amp;""))-1),IF($I$3="","",INDEX(인턴계획표[[정규화1]:[정규화6]],$Q279,$I$3)&amp;"")))))</f>
        <v/>
      </c>
      <c r="I279">
        <f>IF($Q279="","",IF(IF($I$3="","",INDEX(인턴계획표[[정규화1]:[정규화6]],$Q279,$I$3)&amp;"")="","",IF(LEFT(IF($I$3="","",INDEX(인턴계획표[[정규화1]:[정규화6]],$Q279,$I$3)&amp;""),1)="⚠","",IFERROR(MID(IF($I$3="","",INDEX(인턴계획표[[정규화1]:[정규화6]],$Q279,$I$3)&amp;""),FIND(" ",IF($I$3="","",INDEX(인턴계획표[[정규화1]:[정규화6]],$Q279,$I$3)&amp;""))+1,60),""))))</f>
        <v/>
      </c>
      <c r="J279">
        <f>IF($Q279="","",INDEX(인턴계획표[정규화1],$Q279))</f>
        <v/>
      </c>
      <c r="K279">
        <f>IF($Q279="","",INDEX(인턴계획표[정규화2],$Q279))</f>
        <v/>
      </c>
      <c r="L279">
        <f>IF($Q279="","",INDEX(인턴계획표[정규화3],$Q279))</f>
        <v/>
      </c>
      <c r="M279">
        <f>IF($Q279="","",INDEX(인턴계획표[정규화4],$Q279))</f>
        <v/>
      </c>
      <c r="N279">
        <f>IF($Q279="","",INDEX(인턴계획표[정규화5],$Q279))</f>
        <v/>
      </c>
      <c r="O279">
        <f>IF($Q279="","",INDEX(인턴계획표[정규화6],$Q279))</f>
        <v/>
      </c>
      <c r="P279">
        <f>IF($Q279="","",INDEX(인턴계획표[입력오류],$Q279))</f>
        <v/>
      </c>
      <c r="Q279" s="17">
        <f>IFERROR(MATCH(274,인턴계획표[표시순번],0),"")</f>
        <v/>
      </c>
    </row>
    <row r="280">
      <c r="A280">
        <f>IF($Q280="","",INDEX(인턴계획표[순번],$Q280)&amp;"")</f>
        <v/>
      </c>
      <c r="B280">
        <f>IF($Q280="","",TRIM(INDEX(인턴계획표[이름],$Q280)&amp;""))</f>
        <v/>
      </c>
      <c r="C280">
        <f>IF($Q280="","",INDEX(인턴계획표[사번],$Q280)&amp;"")</f>
        <v/>
      </c>
      <c r="D280">
        <f>IF($Q280="","",IF(COUNTIF(기본자료표[사번키],INDEX(인턴계획표[사번키],$Q280))&gt;0,"확인","미등록"))</f>
        <v/>
      </c>
      <c r="E280">
        <f>IF($Q280="","",IF(ISNUMBER(INDEX(인턴계획표[입사일(비고)],$Q280)),TEXT(INDEX(인턴계획표[입사일(비고)],$Q280),"yyyy-mm-dd"),INDEX(인턴계획표[입사일(비고)],$Q280)&amp;""))</f>
        <v/>
      </c>
      <c r="F280">
        <f>IF($Q280="","",IF(IF($G$3="","",INDEX(인턴계획표[[정규화1]:[정규화6]],$Q280,$G$3)&amp;"")="","",IF(LEFT(IF($G$3="","",INDEX(인턴계획표[[정규화1]:[정규화6]],$Q280,$G$3)&amp;""),1)="⚠",IF($G$3="","",INDEX(인턴계획표[[정규화1]:[정규화6]],$Q280,$G$3)&amp;""),IFERROR(LEFT(IF($G$3="","",INDEX(인턴계획표[[정규화1]:[정규화6]],$Q280,$G$3)&amp;""),FIND(" ",IF($G$3="","",INDEX(인턴계획표[[정규화1]:[정규화6]],$Q280,$G$3)&amp;""))-1),IF($G$3="","",INDEX(인턴계획표[[정규화1]:[정규화6]],$Q280,$G$3)&amp;"")))))</f>
        <v/>
      </c>
      <c r="G280">
        <f>IF($Q280="","",IF(IF($G$3="","",INDEX(인턴계획표[[정규화1]:[정규화6]],$Q280,$G$3)&amp;"")="","",IF(LEFT(IF($G$3="","",INDEX(인턴계획표[[정규화1]:[정규화6]],$Q280,$G$3)&amp;""),1)="⚠","",IFERROR(MID(IF($G$3="","",INDEX(인턴계획표[[정규화1]:[정규화6]],$Q280,$G$3)&amp;""),FIND(" ",IF($G$3="","",INDEX(인턴계획표[[정규화1]:[정규화6]],$Q280,$G$3)&amp;""))+1,60),""))))</f>
        <v/>
      </c>
      <c r="H280">
        <f>IF($Q280="","",IF(IF($I$3="","",INDEX(인턴계획표[[정규화1]:[정규화6]],$Q280,$I$3)&amp;"")="","",IF(LEFT(IF($I$3="","",INDEX(인턴계획표[[정규화1]:[정규화6]],$Q280,$I$3)&amp;""),1)="⚠",IF($I$3="","",INDEX(인턴계획표[[정규화1]:[정규화6]],$Q280,$I$3)&amp;""),IFERROR(LEFT(IF($I$3="","",INDEX(인턴계획표[[정규화1]:[정규화6]],$Q280,$I$3)&amp;""),FIND(" ",IF($I$3="","",INDEX(인턴계획표[[정규화1]:[정규화6]],$Q280,$I$3)&amp;""))-1),IF($I$3="","",INDEX(인턴계획표[[정규화1]:[정규화6]],$Q280,$I$3)&amp;"")))))</f>
        <v/>
      </c>
      <c r="I280">
        <f>IF($Q280="","",IF(IF($I$3="","",INDEX(인턴계획표[[정규화1]:[정규화6]],$Q280,$I$3)&amp;"")="","",IF(LEFT(IF($I$3="","",INDEX(인턴계획표[[정규화1]:[정규화6]],$Q280,$I$3)&amp;""),1)="⚠","",IFERROR(MID(IF($I$3="","",INDEX(인턴계획표[[정규화1]:[정규화6]],$Q280,$I$3)&amp;""),FIND(" ",IF($I$3="","",INDEX(인턴계획표[[정규화1]:[정규화6]],$Q280,$I$3)&amp;""))+1,60),""))))</f>
        <v/>
      </c>
      <c r="J280">
        <f>IF($Q280="","",INDEX(인턴계획표[정규화1],$Q280))</f>
        <v/>
      </c>
      <c r="K280">
        <f>IF($Q280="","",INDEX(인턴계획표[정규화2],$Q280))</f>
        <v/>
      </c>
      <c r="L280">
        <f>IF($Q280="","",INDEX(인턴계획표[정규화3],$Q280))</f>
        <v/>
      </c>
      <c r="M280">
        <f>IF($Q280="","",INDEX(인턴계획표[정규화4],$Q280))</f>
        <v/>
      </c>
      <c r="N280">
        <f>IF($Q280="","",INDEX(인턴계획표[정규화5],$Q280))</f>
        <v/>
      </c>
      <c r="O280">
        <f>IF($Q280="","",INDEX(인턴계획표[정규화6],$Q280))</f>
        <v/>
      </c>
      <c r="P280">
        <f>IF($Q280="","",INDEX(인턴계획표[입력오류],$Q280))</f>
        <v/>
      </c>
      <c r="Q280" s="17">
        <f>IFERROR(MATCH(275,인턴계획표[표시순번],0),"")</f>
        <v/>
      </c>
    </row>
    <row r="281">
      <c r="A281">
        <f>IF($Q281="","",INDEX(인턴계획표[순번],$Q281)&amp;"")</f>
        <v/>
      </c>
      <c r="B281">
        <f>IF($Q281="","",TRIM(INDEX(인턴계획표[이름],$Q281)&amp;""))</f>
        <v/>
      </c>
      <c r="C281">
        <f>IF($Q281="","",INDEX(인턴계획표[사번],$Q281)&amp;"")</f>
        <v/>
      </c>
      <c r="D281">
        <f>IF($Q281="","",IF(COUNTIF(기본자료표[사번키],INDEX(인턴계획표[사번키],$Q281))&gt;0,"확인","미등록"))</f>
        <v/>
      </c>
      <c r="E281">
        <f>IF($Q281="","",IF(ISNUMBER(INDEX(인턴계획표[입사일(비고)],$Q281)),TEXT(INDEX(인턴계획표[입사일(비고)],$Q281),"yyyy-mm-dd"),INDEX(인턴계획표[입사일(비고)],$Q281)&amp;""))</f>
        <v/>
      </c>
      <c r="F281">
        <f>IF($Q281="","",IF(IF($G$3="","",INDEX(인턴계획표[[정규화1]:[정규화6]],$Q281,$G$3)&amp;"")="","",IF(LEFT(IF($G$3="","",INDEX(인턴계획표[[정규화1]:[정규화6]],$Q281,$G$3)&amp;""),1)="⚠",IF($G$3="","",INDEX(인턴계획표[[정규화1]:[정규화6]],$Q281,$G$3)&amp;""),IFERROR(LEFT(IF($G$3="","",INDEX(인턴계획표[[정규화1]:[정규화6]],$Q281,$G$3)&amp;""),FIND(" ",IF($G$3="","",INDEX(인턴계획표[[정규화1]:[정규화6]],$Q281,$G$3)&amp;""))-1),IF($G$3="","",INDEX(인턴계획표[[정규화1]:[정규화6]],$Q281,$G$3)&amp;"")))))</f>
        <v/>
      </c>
      <c r="G281">
        <f>IF($Q281="","",IF(IF($G$3="","",INDEX(인턴계획표[[정규화1]:[정규화6]],$Q281,$G$3)&amp;"")="","",IF(LEFT(IF($G$3="","",INDEX(인턴계획표[[정규화1]:[정규화6]],$Q281,$G$3)&amp;""),1)="⚠","",IFERROR(MID(IF($G$3="","",INDEX(인턴계획표[[정규화1]:[정규화6]],$Q281,$G$3)&amp;""),FIND(" ",IF($G$3="","",INDEX(인턴계획표[[정규화1]:[정규화6]],$Q281,$G$3)&amp;""))+1,60),""))))</f>
        <v/>
      </c>
      <c r="H281">
        <f>IF($Q281="","",IF(IF($I$3="","",INDEX(인턴계획표[[정규화1]:[정규화6]],$Q281,$I$3)&amp;"")="","",IF(LEFT(IF($I$3="","",INDEX(인턴계획표[[정규화1]:[정규화6]],$Q281,$I$3)&amp;""),1)="⚠",IF($I$3="","",INDEX(인턴계획표[[정규화1]:[정규화6]],$Q281,$I$3)&amp;""),IFERROR(LEFT(IF($I$3="","",INDEX(인턴계획표[[정규화1]:[정규화6]],$Q281,$I$3)&amp;""),FIND(" ",IF($I$3="","",INDEX(인턴계획표[[정규화1]:[정규화6]],$Q281,$I$3)&amp;""))-1),IF($I$3="","",INDEX(인턴계획표[[정규화1]:[정규화6]],$Q281,$I$3)&amp;"")))))</f>
        <v/>
      </c>
      <c r="I281">
        <f>IF($Q281="","",IF(IF($I$3="","",INDEX(인턴계획표[[정규화1]:[정규화6]],$Q281,$I$3)&amp;"")="","",IF(LEFT(IF($I$3="","",INDEX(인턴계획표[[정규화1]:[정규화6]],$Q281,$I$3)&amp;""),1)="⚠","",IFERROR(MID(IF($I$3="","",INDEX(인턴계획표[[정규화1]:[정규화6]],$Q281,$I$3)&amp;""),FIND(" ",IF($I$3="","",INDEX(인턴계획표[[정규화1]:[정규화6]],$Q281,$I$3)&amp;""))+1,60),""))))</f>
        <v/>
      </c>
      <c r="J281">
        <f>IF($Q281="","",INDEX(인턴계획표[정규화1],$Q281))</f>
        <v/>
      </c>
      <c r="K281">
        <f>IF($Q281="","",INDEX(인턴계획표[정규화2],$Q281))</f>
        <v/>
      </c>
      <c r="L281">
        <f>IF($Q281="","",INDEX(인턴계획표[정규화3],$Q281))</f>
        <v/>
      </c>
      <c r="M281">
        <f>IF($Q281="","",INDEX(인턴계획표[정규화4],$Q281))</f>
        <v/>
      </c>
      <c r="N281">
        <f>IF($Q281="","",INDEX(인턴계획표[정규화5],$Q281))</f>
        <v/>
      </c>
      <c r="O281">
        <f>IF($Q281="","",INDEX(인턴계획표[정규화6],$Q281))</f>
        <v/>
      </c>
      <c r="P281">
        <f>IF($Q281="","",INDEX(인턴계획표[입력오류],$Q281))</f>
        <v/>
      </c>
      <c r="Q281" s="17">
        <f>IFERROR(MATCH(276,인턴계획표[표시순번],0),"")</f>
        <v/>
      </c>
    </row>
    <row r="282">
      <c r="A282">
        <f>IF($Q282="","",INDEX(인턴계획표[순번],$Q282)&amp;"")</f>
        <v/>
      </c>
      <c r="B282">
        <f>IF($Q282="","",TRIM(INDEX(인턴계획표[이름],$Q282)&amp;""))</f>
        <v/>
      </c>
      <c r="C282">
        <f>IF($Q282="","",INDEX(인턴계획표[사번],$Q282)&amp;"")</f>
        <v/>
      </c>
      <c r="D282">
        <f>IF($Q282="","",IF(COUNTIF(기본자료표[사번키],INDEX(인턴계획표[사번키],$Q282))&gt;0,"확인","미등록"))</f>
        <v/>
      </c>
      <c r="E282">
        <f>IF($Q282="","",IF(ISNUMBER(INDEX(인턴계획표[입사일(비고)],$Q282)),TEXT(INDEX(인턴계획표[입사일(비고)],$Q282),"yyyy-mm-dd"),INDEX(인턴계획표[입사일(비고)],$Q282)&amp;""))</f>
        <v/>
      </c>
      <c r="F282">
        <f>IF($Q282="","",IF(IF($G$3="","",INDEX(인턴계획표[[정규화1]:[정규화6]],$Q282,$G$3)&amp;"")="","",IF(LEFT(IF($G$3="","",INDEX(인턴계획표[[정규화1]:[정규화6]],$Q282,$G$3)&amp;""),1)="⚠",IF($G$3="","",INDEX(인턴계획표[[정규화1]:[정규화6]],$Q282,$G$3)&amp;""),IFERROR(LEFT(IF($G$3="","",INDEX(인턴계획표[[정규화1]:[정규화6]],$Q282,$G$3)&amp;""),FIND(" ",IF($G$3="","",INDEX(인턴계획표[[정규화1]:[정규화6]],$Q282,$G$3)&amp;""))-1),IF($G$3="","",INDEX(인턴계획표[[정규화1]:[정규화6]],$Q282,$G$3)&amp;"")))))</f>
        <v/>
      </c>
      <c r="G282">
        <f>IF($Q282="","",IF(IF($G$3="","",INDEX(인턴계획표[[정규화1]:[정규화6]],$Q282,$G$3)&amp;"")="","",IF(LEFT(IF($G$3="","",INDEX(인턴계획표[[정규화1]:[정규화6]],$Q282,$G$3)&amp;""),1)="⚠","",IFERROR(MID(IF($G$3="","",INDEX(인턴계획표[[정규화1]:[정규화6]],$Q282,$G$3)&amp;""),FIND(" ",IF($G$3="","",INDEX(인턴계획표[[정규화1]:[정규화6]],$Q282,$G$3)&amp;""))+1,60),""))))</f>
        <v/>
      </c>
      <c r="H282">
        <f>IF($Q282="","",IF(IF($I$3="","",INDEX(인턴계획표[[정규화1]:[정규화6]],$Q282,$I$3)&amp;"")="","",IF(LEFT(IF($I$3="","",INDEX(인턴계획표[[정규화1]:[정규화6]],$Q282,$I$3)&amp;""),1)="⚠",IF($I$3="","",INDEX(인턴계획표[[정규화1]:[정규화6]],$Q282,$I$3)&amp;""),IFERROR(LEFT(IF($I$3="","",INDEX(인턴계획표[[정규화1]:[정규화6]],$Q282,$I$3)&amp;""),FIND(" ",IF($I$3="","",INDEX(인턴계획표[[정규화1]:[정규화6]],$Q282,$I$3)&amp;""))-1),IF($I$3="","",INDEX(인턴계획표[[정규화1]:[정규화6]],$Q282,$I$3)&amp;"")))))</f>
        <v/>
      </c>
      <c r="I282">
        <f>IF($Q282="","",IF(IF($I$3="","",INDEX(인턴계획표[[정규화1]:[정규화6]],$Q282,$I$3)&amp;"")="","",IF(LEFT(IF($I$3="","",INDEX(인턴계획표[[정규화1]:[정규화6]],$Q282,$I$3)&amp;""),1)="⚠","",IFERROR(MID(IF($I$3="","",INDEX(인턴계획표[[정규화1]:[정규화6]],$Q282,$I$3)&amp;""),FIND(" ",IF($I$3="","",INDEX(인턴계획표[[정규화1]:[정규화6]],$Q282,$I$3)&amp;""))+1,60),""))))</f>
        <v/>
      </c>
      <c r="J282">
        <f>IF($Q282="","",INDEX(인턴계획표[정규화1],$Q282))</f>
        <v/>
      </c>
      <c r="K282">
        <f>IF($Q282="","",INDEX(인턴계획표[정규화2],$Q282))</f>
        <v/>
      </c>
      <c r="L282">
        <f>IF($Q282="","",INDEX(인턴계획표[정규화3],$Q282))</f>
        <v/>
      </c>
      <c r="M282">
        <f>IF($Q282="","",INDEX(인턴계획표[정규화4],$Q282))</f>
        <v/>
      </c>
      <c r="N282">
        <f>IF($Q282="","",INDEX(인턴계획표[정규화5],$Q282))</f>
        <v/>
      </c>
      <c r="O282">
        <f>IF($Q282="","",INDEX(인턴계획표[정규화6],$Q282))</f>
        <v/>
      </c>
      <c r="P282">
        <f>IF($Q282="","",INDEX(인턴계획표[입력오류],$Q282))</f>
        <v/>
      </c>
      <c r="Q282" s="17">
        <f>IFERROR(MATCH(277,인턴계획표[표시순번],0),"")</f>
        <v/>
      </c>
    </row>
    <row r="283">
      <c r="A283">
        <f>IF($Q283="","",INDEX(인턴계획표[순번],$Q283)&amp;"")</f>
        <v/>
      </c>
      <c r="B283">
        <f>IF($Q283="","",TRIM(INDEX(인턴계획표[이름],$Q283)&amp;""))</f>
        <v/>
      </c>
      <c r="C283">
        <f>IF($Q283="","",INDEX(인턴계획표[사번],$Q283)&amp;"")</f>
        <v/>
      </c>
      <c r="D283">
        <f>IF($Q283="","",IF(COUNTIF(기본자료표[사번키],INDEX(인턴계획표[사번키],$Q283))&gt;0,"확인","미등록"))</f>
        <v/>
      </c>
      <c r="E283">
        <f>IF($Q283="","",IF(ISNUMBER(INDEX(인턴계획표[입사일(비고)],$Q283)),TEXT(INDEX(인턴계획표[입사일(비고)],$Q283),"yyyy-mm-dd"),INDEX(인턴계획표[입사일(비고)],$Q283)&amp;""))</f>
        <v/>
      </c>
      <c r="F283">
        <f>IF($Q283="","",IF(IF($G$3="","",INDEX(인턴계획표[[정규화1]:[정규화6]],$Q283,$G$3)&amp;"")="","",IF(LEFT(IF($G$3="","",INDEX(인턴계획표[[정규화1]:[정규화6]],$Q283,$G$3)&amp;""),1)="⚠",IF($G$3="","",INDEX(인턴계획표[[정규화1]:[정규화6]],$Q283,$G$3)&amp;""),IFERROR(LEFT(IF($G$3="","",INDEX(인턴계획표[[정규화1]:[정규화6]],$Q283,$G$3)&amp;""),FIND(" ",IF($G$3="","",INDEX(인턴계획표[[정규화1]:[정규화6]],$Q283,$G$3)&amp;""))-1),IF($G$3="","",INDEX(인턴계획표[[정규화1]:[정규화6]],$Q283,$G$3)&amp;"")))))</f>
        <v/>
      </c>
      <c r="G283">
        <f>IF($Q283="","",IF(IF($G$3="","",INDEX(인턴계획표[[정규화1]:[정규화6]],$Q283,$G$3)&amp;"")="","",IF(LEFT(IF($G$3="","",INDEX(인턴계획표[[정규화1]:[정규화6]],$Q283,$G$3)&amp;""),1)="⚠","",IFERROR(MID(IF($G$3="","",INDEX(인턴계획표[[정규화1]:[정규화6]],$Q283,$G$3)&amp;""),FIND(" ",IF($G$3="","",INDEX(인턴계획표[[정규화1]:[정규화6]],$Q283,$G$3)&amp;""))+1,60),""))))</f>
        <v/>
      </c>
      <c r="H283">
        <f>IF($Q283="","",IF(IF($I$3="","",INDEX(인턴계획표[[정규화1]:[정규화6]],$Q283,$I$3)&amp;"")="","",IF(LEFT(IF($I$3="","",INDEX(인턴계획표[[정규화1]:[정규화6]],$Q283,$I$3)&amp;""),1)="⚠",IF($I$3="","",INDEX(인턴계획표[[정규화1]:[정규화6]],$Q283,$I$3)&amp;""),IFERROR(LEFT(IF($I$3="","",INDEX(인턴계획표[[정규화1]:[정규화6]],$Q283,$I$3)&amp;""),FIND(" ",IF($I$3="","",INDEX(인턴계획표[[정규화1]:[정규화6]],$Q283,$I$3)&amp;""))-1),IF($I$3="","",INDEX(인턴계획표[[정규화1]:[정규화6]],$Q283,$I$3)&amp;"")))))</f>
        <v/>
      </c>
      <c r="I283">
        <f>IF($Q283="","",IF(IF($I$3="","",INDEX(인턴계획표[[정규화1]:[정규화6]],$Q283,$I$3)&amp;"")="","",IF(LEFT(IF($I$3="","",INDEX(인턴계획표[[정규화1]:[정규화6]],$Q283,$I$3)&amp;""),1)="⚠","",IFERROR(MID(IF($I$3="","",INDEX(인턴계획표[[정규화1]:[정규화6]],$Q283,$I$3)&amp;""),FIND(" ",IF($I$3="","",INDEX(인턴계획표[[정규화1]:[정규화6]],$Q283,$I$3)&amp;""))+1,60),""))))</f>
        <v/>
      </c>
      <c r="J283">
        <f>IF($Q283="","",INDEX(인턴계획표[정규화1],$Q283))</f>
        <v/>
      </c>
      <c r="K283">
        <f>IF($Q283="","",INDEX(인턴계획표[정규화2],$Q283))</f>
        <v/>
      </c>
      <c r="L283">
        <f>IF($Q283="","",INDEX(인턴계획표[정규화3],$Q283))</f>
        <v/>
      </c>
      <c r="M283">
        <f>IF($Q283="","",INDEX(인턴계획표[정규화4],$Q283))</f>
        <v/>
      </c>
      <c r="N283">
        <f>IF($Q283="","",INDEX(인턴계획표[정규화5],$Q283))</f>
        <v/>
      </c>
      <c r="O283">
        <f>IF($Q283="","",INDEX(인턴계획표[정규화6],$Q283))</f>
        <v/>
      </c>
      <c r="P283">
        <f>IF($Q283="","",INDEX(인턴계획표[입력오류],$Q283))</f>
        <v/>
      </c>
      <c r="Q283" s="17">
        <f>IFERROR(MATCH(278,인턴계획표[표시순번],0),"")</f>
        <v/>
      </c>
    </row>
    <row r="284">
      <c r="A284">
        <f>IF($Q284="","",INDEX(인턴계획표[순번],$Q284)&amp;"")</f>
        <v/>
      </c>
      <c r="B284">
        <f>IF($Q284="","",TRIM(INDEX(인턴계획표[이름],$Q284)&amp;""))</f>
        <v/>
      </c>
      <c r="C284">
        <f>IF($Q284="","",INDEX(인턴계획표[사번],$Q284)&amp;"")</f>
        <v/>
      </c>
      <c r="D284">
        <f>IF($Q284="","",IF(COUNTIF(기본자료표[사번키],INDEX(인턴계획표[사번키],$Q284))&gt;0,"확인","미등록"))</f>
        <v/>
      </c>
      <c r="E284">
        <f>IF($Q284="","",IF(ISNUMBER(INDEX(인턴계획표[입사일(비고)],$Q284)),TEXT(INDEX(인턴계획표[입사일(비고)],$Q284),"yyyy-mm-dd"),INDEX(인턴계획표[입사일(비고)],$Q284)&amp;""))</f>
        <v/>
      </c>
      <c r="F284">
        <f>IF($Q284="","",IF(IF($G$3="","",INDEX(인턴계획표[[정규화1]:[정규화6]],$Q284,$G$3)&amp;"")="","",IF(LEFT(IF($G$3="","",INDEX(인턴계획표[[정규화1]:[정규화6]],$Q284,$G$3)&amp;""),1)="⚠",IF($G$3="","",INDEX(인턴계획표[[정규화1]:[정규화6]],$Q284,$G$3)&amp;""),IFERROR(LEFT(IF($G$3="","",INDEX(인턴계획표[[정규화1]:[정규화6]],$Q284,$G$3)&amp;""),FIND(" ",IF($G$3="","",INDEX(인턴계획표[[정규화1]:[정규화6]],$Q284,$G$3)&amp;""))-1),IF($G$3="","",INDEX(인턴계획표[[정규화1]:[정규화6]],$Q284,$G$3)&amp;"")))))</f>
        <v/>
      </c>
      <c r="G284">
        <f>IF($Q284="","",IF(IF($G$3="","",INDEX(인턴계획표[[정규화1]:[정규화6]],$Q284,$G$3)&amp;"")="","",IF(LEFT(IF($G$3="","",INDEX(인턴계획표[[정규화1]:[정규화6]],$Q284,$G$3)&amp;""),1)="⚠","",IFERROR(MID(IF($G$3="","",INDEX(인턴계획표[[정규화1]:[정규화6]],$Q284,$G$3)&amp;""),FIND(" ",IF($G$3="","",INDEX(인턴계획표[[정규화1]:[정규화6]],$Q284,$G$3)&amp;""))+1,60),""))))</f>
        <v/>
      </c>
      <c r="H284">
        <f>IF($Q284="","",IF(IF($I$3="","",INDEX(인턴계획표[[정규화1]:[정규화6]],$Q284,$I$3)&amp;"")="","",IF(LEFT(IF($I$3="","",INDEX(인턴계획표[[정규화1]:[정규화6]],$Q284,$I$3)&amp;""),1)="⚠",IF($I$3="","",INDEX(인턴계획표[[정규화1]:[정규화6]],$Q284,$I$3)&amp;""),IFERROR(LEFT(IF($I$3="","",INDEX(인턴계획표[[정규화1]:[정규화6]],$Q284,$I$3)&amp;""),FIND(" ",IF($I$3="","",INDEX(인턴계획표[[정규화1]:[정규화6]],$Q284,$I$3)&amp;""))-1),IF($I$3="","",INDEX(인턴계획표[[정규화1]:[정규화6]],$Q284,$I$3)&amp;"")))))</f>
        <v/>
      </c>
      <c r="I284">
        <f>IF($Q284="","",IF(IF($I$3="","",INDEX(인턴계획표[[정규화1]:[정규화6]],$Q284,$I$3)&amp;"")="","",IF(LEFT(IF($I$3="","",INDEX(인턴계획표[[정규화1]:[정규화6]],$Q284,$I$3)&amp;""),1)="⚠","",IFERROR(MID(IF($I$3="","",INDEX(인턴계획표[[정규화1]:[정규화6]],$Q284,$I$3)&amp;""),FIND(" ",IF($I$3="","",INDEX(인턴계획표[[정규화1]:[정규화6]],$Q284,$I$3)&amp;""))+1,60),""))))</f>
        <v/>
      </c>
      <c r="J284">
        <f>IF($Q284="","",INDEX(인턴계획표[정규화1],$Q284))</f>
        <v/>
      </c>
      <c r="K284">
        <f>IF($Q284="","",INDEX(인턴계획표[정규화2],$Q284))</f>
        <v/>
      </c>
      <c r="L284">
        <f>IF($Q284="","",INDEX(인턴계획표[정규화3],$Q284))</f>
        <v/>
      </c>
      <c r="M284">
        <f>IF($Q284="","",INDEX(인턴계획표[정규화4],$Q284))</f>
        <v/>
      </c>
      <c r="N284">
        <f>IF($Q284="","",INDEX(인턴계획표[정규화5],$Q284))</f>
        <v/>
      </c>
      <c r="O284">
        <f>IF($Q284="","",INDEX(인턴계획표[정규화6],$Q284))</f>
        <v/>
      </c>
      <c r="P284">
        <f>IF($Q284="","",INDEX(인턴계획표[입력오류],$Q284))</f>
        <v/>
      </c>
      <c r="Q284" s="17">
        <f>IFERROR(MATCH(279,인턴계획표[표시순번],0),"")</f>
        <v/>
      </c>
    </row>
    <row r="285">
      <c r="A285">
        <f>IF($Q285="","",INDEX(인턴계획표[순번],$Q285)&amp;"")</f>
        <v/>
      </c>
      <c r="B285">
        <f>IF($Q285="","",TRIM(INDEX(인턴계획표[이름],$Q285)&amp;""))</f>
        <v/>
      </c>
      <c r="C285">
        <f>IF($Q285="","",INDEX(인턴계획표[사번],$Q285)&amp;"")</f>
        <v/>
      </c>
      <c r="D285">
        <f>IF($Q285="","",IF(COUNTIF(기본자료표[사번키],INDEX(인턴계획표[사번키],$Q285))&gt;0,"확인","미등록"))</f>
        <v/>
      </c>
      <c r="E285">
        <f>IF($Q285="","",IF(ISNUMBER(INDEX(인턴계획표[입사일(비고)],$Q285)),TEXT(INDEX(인턴계획표[입사일(비고)],$Q285),"yyyy-mm-dd"),INDEX(인턴계획표[입사일(비고)],$Q285)&amp;""))</f>
        <v/>
      </c>
      <c r="F285">
        <f>IF($Q285="","",IF(IF($G$3="","",INDEX(인턴계획표[[정규화1]:[정규화6]],$Q285,$G$3)&amp;"")="","",IF(LEFT(IF($G$3="","",INDEX(인턴계획표[[정규화1]:[정규화6]],$Q285,$G$3)&amp;""),1)="⚠",IF($G$3="","",INDEX(인턴계획표[[정규화1]:[정규화6]],$Q285,$G$3)&amp;""),IFERROR(LEFT(IF($G$3="","",INDEX(인턴계획표[[정규화1]:[정규화6]],$Q285,$G$3)&amp;""),FIND(" ",IF($G$3="","",INDEX(인턴계획표[[정규화1]:[정규화6]],$Q285,$G$3)&amp;""))-1),IF($G$3="","",INDEX(인턴계획표[[정규화1]:[정규화6]],$Q285,$G$3)&amp;"")))))</f>
        <v/>
      </c>
      <c r="G285">
        <f>IF($Q285="","",IF(IF($G$3="","",INDEX(인턴계획표[[정규화1]:[정규화6]],$Q285,$G$3)&amp;"")="","",IF(LEFT(IF($G$3="","",INDEX(인턴계획표[[정규화1]:[정규화6]],$Q285,$G$3)&amp;""),1)="⚠","",IFERROR(MID(IF($G$3="","",INDEX(인턴계획표[[정규화1]:[정규화6]],$Q285,$G$3)&amp;""),FIND(" ",IF($G$3="","",INDEX(인턴계획표[[정규화1]:[정규화6]],$Q285,$G$3)&amp;""))+1,60),""))))</f>
        <v/>
      </c>
      <c r="H285">
        <f>IF($Q285="","",IF(IF($I$3="","",INDEX(인턴계획표[[정규화1]:[정규화6]],$Q285,$I$3)&amp;"")="","",IF(LEFT(IF($I$3="","",INDEX(인턴계획표[[정규화1]:[정규화6]],$Q285,$I$3)&amp;""),1)="⚠",IF($I$3="","",INDEX(인턴계획표[[정규화1]:[정규화6]],$Q285,$I$3)&amp;""),IFERROR(LEFT(IF($I$3="","",INDEX(인턴계획표[[정규화1]:[정규화6]],$Q285,$I$3)&amp;""),FIND(" ",IF($I$3="","",INDEX(인턴계획표[[정규화1]:[정규화6]],$Q285,$I$3)&amp;""))-1),IF($I$3="","",INDEX(인턴계획표[[정규화1]:[정규화6]],$Q285,$I$3)&amp;"")))))</f>
        <v/>
      </c>
      <c r="I285">
        <f>IF($Q285="","",IF(IF($I$3="","",INDEX(인턴계획표[[정규화1]:[정규화6]],$Q285,$I$3)&amp;"")="","",IF(LEFT(IF($I$3="","",INDEX(인턴계획표[[정규화1]:[정규화6]],$Q285,$I$3)&amp;""),1)="⚠","",IFERROR(MID(IF($I$3="","",INDEX(인턴계획표[[정규화1]:[정규화6]],$Q285,$I$3)&amp;""),FIND(" ",IF($I$3="","",INDEX(인턴계획표[[정규화1]:[정규화6]],$Q285,$I$3)&amp;""))+1,60),""))))</f>
        <v/>
      </c>
      <c r="J285">
        <f>IF($Q285="","",INDEX(인턴계획표[정규화1],$Q285))</f>
        <v/>
      </c>
      <c r="K285">
        <f>IF($Q285="","",INDEX(인턴계획표[정규화2],$Q285))</f>
        <v/>
      </c>
      <c r="L285">
        <f>IF($Q285="","",INDEX(인턴계획표[정규화3],$Q285))</f>
        <v/>
      </c>
      <c r="M285">
        <f>IF($Q285="","",INDEX(인턴계획표[정규화4],$Q285))</f>
        <v/>
      </c>
      <c r="N285">
        <f>IF($Q285="","",INDEX(인턴계획표[정규화5],$Q285))</f>
        <v/>
      </c>
      <c r="O285">
        <f>IF($Q285="","",INDEX(인턴계획표[정규화6],$Q285))</f>
        <v/>
      </c>
      <c r="P285">
        <f>IF($Q285="","",INDEX(인턴계획표[입력오류],$Q285))</f>
        <v/>
      </c>
      <c r="Q285" s="17">
        <f>IFERROR(MATCH(280,인턴계획표[표시순번],0),"")</f>
        <v/>
      </c>
    </row>
    <row r="286">
      <c r="A286">
        <f>IF($Q286="","",INDEX(인턴계획표[순번],$Q286)&amp;"")</f>
        <v/>
      </c>
      <c r="B286">
        <f>IF($Q286="","",TRIM(INDEX(인턴계획표[이름],$Q286)&amp;""))</f>
        <v/>
      </c>
      <c r="C286">
        <f>IF($Q286="","",INDEX(인턴계획표[사번],$Q286)&amp;"")</f>
        <v/>
      </c>
      <c r="D286">
        <f>IF($Q286="","",IF(COUNTIF(기본자료표[사번키],INDEX(인턴계획표[사번키],$Q286))&gt;0,"확인","미등록"))</f>
        <v/>
      </c>
      <c r="E286">
        <f>IF($Q286="","",IF(ISNUMBER(INDEX(인턴계획표[입사일(비고)],$Q286)),TEXT(INDEX(인턴계획표[입사일(비고)],$Q286),"yyyy-mm-dd"),INDEX(인턴계획표[입사일(비고)],$Q286)&amp;""))</f>
        <v/>
      </c>
      <c r="F286">
        <f>IF($Q286="","",IF(IF($G$3="","",INDEX(인턴계획표[[정규화1]:[정규화6]],$Q286,$G$3)&amp;"")="","",IF(LEFT(IF($G$3="","",INDEX(인턴계획표[[정규화1]:[정규화6]],$Q286,$G$3)&amp;""),1)="⚠",IF($G$3="","",INDEX(인턴계획표[[정규화1]:[정규화6]],$Q286,$G$3)&amp;""),IFERROR(LEFT(IF($G$3="","",INDEX(인턴계획표[[정규화1]:[정규화6]],$Q286,$G$3)&amp;""),FIND(" ",IF($G$3="","",INDEX(인턴계획표[[정규화1]:[정규화6]],$Q286,$G$3)&amp;""))-1),IF($G$3="","",INDEX(인턴계획표[[정규화1]:[정규화6]],$Q286,$G$3)&amp;"")))))</f>
        <v/>
      </c>
      <c r="G286">
        <f>IF($Q286="","",IF(IF($G$3="","",INDEX(인턴계획표[[정규화1]:[정규화6]],$Q286,$G$3)&amp;"")="","",IF(LEFT(IF($G$3="","",INDEX(인턴계획표[[정규화1]:[정규화6]],$Q286,$G$3)&amp;""),1)="⚠","",IFERROR(MID(IF($G$3="","",INDEX(인턴계획표[[정규화1]:[정규화6]],$Q286,$G$3)&amp;""),FIND(" ",IF($G$3="","",INDEX(인턴계획표[[정규화1]:[정규화6]],$Q286,$G$3)&amp;""))+1,60),""))))</f>
        <v/>
      </c>
      <c r="H286">
        <f>IF($Q286="","",IF(IF($I$3="","",INDEX(인턴계획표[[정규화1]:[정규화6]],$Q286,$I$3)&amp;"")="","",IF(LEFT(IF($I$3="","",INDEX(인턴계획표[[정규화1]:[정규화6]],$Q286,$I$3)&amp;""),1)="⚠",IF($I$3="","",INDEX(인턴계획표[[정규화1]:[정규화6]],$Q286,$I$3)&amp;""),IFERROR(LEFT(IF($I$3="","",INDEX(인턴계획표[[정규화1]:[정규화6]],$Q286,$I$3)&amp;""),FIND(" ",IF($I$3="","",INDEX(인턴계획표[[정규화1]:[정규화6]],$Q286,$I$3)&amp;""))-1),IF($I$3="","",INDEX(인턴계획표[[정규화1]:[정규화6]],$Q286,$I$3)&amp;"")))))</f>
        <v/>
      </c>
      <c r="I286">
        <f>IF($Q286="","",IF(IF($I$3="","",INDEX(인턴계획표[[정규화1]:[정규화6]],$Q286,$I$3)&amp;"")="","",IF(LEFT(IF($I$3="","",INDEX(인턴계획표[[정규화1]:[정규화6]],$Q286,$I$3)&amp;""),1)="⚠","",IFERROR(MID(IF($I$3="","",INDEX(인턴계획표[[정규화1]:[정규화6]],$Q286,$I$3)&amp;""),FIND(" ",IF($I$3="","",INDEX(인턴계획표[[정규화1]:[정규화6]],$Q286,$I$3)&amp;""))+1,60),""))))</f>
        <v/>
      </c>
      <c r="J286">
        <f>IF($Q286="","",INDEX(인턴계획표[정규화1],$Q286))</f>
        <v/>
      </c>
      <c r="K286">
        <f>IF($Q286="","",INDEX(인턴계획표[정규화2],$Q286))</f>
        <v/>
      </c>
      <c r="L286">
        <f>IF($Q286="","",INDEX(인턴계획표[정규화3],$Q286))</f>
        <v/>
      </c>
      <c r="M286">
        <f>IF($Q286="","",INDEX(인턴계획표[정규화4],$Q286))</f>
        <v/>
      </c>
      <c r="N286">
        <f>IF($Q286="","",INDEX(인턴계획표[정규화5],$Q286))</f>
        <v/>
      </c>
      <c r="O286">
        <f>IF($Q286="","",INDEX(인턴계획표[정규화6],$Q286))</f>
        <v/>
      </c>
      <c r="P286">
        <f>IF($Q286="","",INDEX(인턴계획표[입력오류],$Q286))</f>
        <v/>
      </c>
      <c r="Q286" s="17">
        <f>IFERROR(MATCH(281,인턴계획표[표시순번],0),"")</f>
        <v/>
      </c>
    </row>
    <row r="287">
      <c r="A287">
        <f>IF($Q287="","",INDEX(인턴계획표[순번],$Q287)&amp;"")</f>
        <v/>
      </c>
      <c r="B287">
        <f>IF($Q287="","",TRIM(INDEX(인턴계획표[이름],$Q287)&amp;""))</f>
        <v/>
      </c>
      <c r="C287">
        <f>IF($Q287="","",INDEX(인턴계획표[사번],$Q287)&amp;"")</f>
        <v/>
      </c>
      <c r="D287">
        <f>IF($Q287="","",IF(COUNTIF(기본자료표[사번키],INDEX(인턴계획표[사번키],$Q287))&gt;0,"확인","미등록"))</f>
        <v/>
      </c>
      <c r="E287">
        <f>IF($Q287="","",IF(ISNUMBER(INDEX(인턴계획표[입사일(비고)],$Q287)),TEXT(INDEX(인턴계획표[입사일(비고)],$Q287),"yyyy-mm-dd"),INDEX(인턴계획표[입사일(비고)],$Q287)&amp;""))</f>
        <v/>
      </c>
      <c r="F287">
        <f>IF($Q287="","",IF(IF($G$3="","",INDEX(인턴계획표[[정규화1]:[정규화6]],$Q287,$G$3)&amp;"")="","",IF(LEFT(IF($G$3="","",INDEX(인턴계획표[[정규화1]:[정규화6]],$Q287,$G$3)&amp;""),1)="⚠",IF($G$3="","",INDEX(인턴계획표[[정규화1]:[정규화6]],$Q287,$G$3)&amp;""),IFERROR(LEFT(IF($G$3="","",INDEX(인턴계획표[[정규화1]:[정규화6]],$Q287,$G$3)&amp;""),FIND(" ",IF($G$3="","",INDEX(인턴계획표[[정규화1]:[정규화6]],$Q287,$G$3)&amp;""))-1),IF($G$3="","",INDEX(인턴계획표[[정규화1]:[정규화6]],$Q287,$G$3)&amp;"")))))</f>
        <v/>
      </c>
      <c r="G287">
        <f>IF($Q287="","",IF(IF($G$3="","",INDEX(인턴계획표[[정규화1]:[정규화6]],$Q287,$G$3)&amp;"")="","",IF(LEFT(IF($G$3="","",INDEX(인턴계획표[[정규화1]:[정규화6]],$Q287,$G$3)&amp;""),1)="⚠","",IFERROR(MID(IF($G$3="","",INDEX(인턴계획표[[정규화1]:[정규화6]],$Q287,$G$3)&amp;""),FIND(" ",IF($G$3="","",INDEX(인턴계획표[[정규화1]:[정규화6]],$Q287,$G$3)&amp;""))+1,60),""))))</f>
        <v/>
      </c>
      <c r="H287">
        <f>IF($Q287="","",IF(IF($I$3="","",INDEX(인턴계획표[[정규화1]:[정규화6]],$Q287,$I$3)&amp;"")="","",IF(LEFT(IF($I$3="","",INDEX(인턴계획표[[정규화1]:[정규화6]],$Q287,$I$3)&amp;""),1)="⚠",IF($I$3="","",INDEX(인턴계획표[[정규화1]:[정규화6]],$Q287,$I$3)&amp;""),IFERROR(LEFT(IF($I$3="","",INDEX(인턴계획표[[정규화1]:[정규화6]],$Q287,$I$3)&amp;""),FIND(" ",IF($I$3="","",INDEX(인턴계획표[[정규화1]:[정규화6]],$Q287,$I$3)&amp;""))-1),IF($I$3="","",INDEX(인턴계획표[[정규화1]:[정규화6]],$Q287,$I$3)&amp;"")))))</f>
        <v/>
      </c>
      <c r="I287">
        <f>IF($Q287="","",IF(IF($I$3="","",INDEX(인턴계획표[[정규화1]:[정규화6]],$Q287,$I$3)&amp;"")="","",IF(LEFT(IF($I$3="","",INDEX(인턴계획표[[정규화1]:[정규화6]],$Q287,$I$3)&amp;""),1)="⚠","",IFERROR(MID(IF($I$3="","",INDEX(인턴계획표[[정규화1]:[정규화6]],$Q287,$I$3)&amp;""),FIND(" ",IF($I$3="","",INDEX(인턴계획표[[정규화1]:[정규화6]],$Q287,$I$3)&amp;""))+1,60),""))))</f>
        <v/>
      </c>
      <c r="J287">
        <f>IF($Q287="","",INDEX(인턴계획표[정규화1],$Q287))</f>
        <v/>
      </c>
      <c r="K287">
        <f>IF($Q287="","",INDEX(인턴계획표[정규화2],$Q287))</f>
        <v/>
      </c>
      <c r="L287">
        <f>IF($Q287="","",INDEX(인턴계획표[정규화3],$Q287))</f>
        <v/>
      </c>
      <c r="M287">
        <f>IF($Q287="","",INDEX(인턴계획표[정규화4],$Q287))</f>
        <v/>
      </c>
      <c r="N287">
        <f>IF($Q287="","",INDEX(인턴계획표[정규화5],$Q287))</f>
        <v/>
      </c>
      <c r="O287">
        <f>IF($Q287="","",INDEX(인턴계획표[정규화6],$Q287))</f>
        <v/>
      </c>
      <c r="P287">
        <f>IF($Q287="","",INDEX(인턴계획표[입력오류],$Q287))</f>
        <v/>
      </c>
      <c r="Q287" s="17">
        <f>IFERROR(MATCH(282,인턴계획표[표시순번],0),"")</f>
        <v/>
      </c>
    </row>
    <row r="288">
      <c r="A288">
        <f>IF($Q288="","",INDEX(인턴계획표[순번],$Q288)&amp;"")</f>
        <v/>
      </c>
      <c r="B288">
        <f>IF($Q288="","",TRIM(INDEX(인턴계획표[이름],$Q288)&amp;""))</f>
        <v/>
      </c>
      <c r="C288">
        <f>IF($Q288="","",INDEX(인턴계획표[사번],$Q288)&amp;"")</f>
        <v/>
      </c>
      <c r="D288">
        <f>IF($Q288="","",IF(COUNTIF(기본자료표[사번키],INDEX(인턴계획표[사번키],$Q288))&gt;0,"확인","미등록"))</f>
        <v/>
      </c>
      <c r="E288">
        <f>IF($Q288="","",IF(ISNUMBER(INDEX(인턴계획표[입사일(비고)],$Q288)),TEXT(INDEX(인턴계획표[입사일(비고)],$Q288),"yyyy-mm-dd"),INDEX(인턴계획표[입사일(비고)],$Q288)&amp;""))</f>
        <v/>
      </c>
      <c r="F288">
        <f>IF($Q288="","",IF(IF($G$3="","",INDEX(인턴계획표[[정규화1]:[정규화6]],$Q288,$G$3)&amp;"")="","",IF(LEFT(IF($G$3="","",INDEX(인턴계획표[[정규화1]:[정규화6]],$Q288,$G$3)&amp;""),1)="⚠",IF($G$3="","",INDEX(인턴계획표[[정규화1]:[정규화6]],$Q288,$G$3)&amp;""),IFERROR(LEFT(IF($G$3="","",INDEX(인턴계획표[[정규화1]:[정규화6]],$Q288,$G$3)&amp;""),FIND(" ",IF($G$3="","",INDEX(인턴계획표[[정규화1]:[정규화6]],$Q288,$G$3)&amp;""))-1),IF($G$3="","",INDEX(인턴계획표[[정규화1]:[정규화6]],$Q288,$G$3)&amp;"")))))</f>
        <v/>
      </c>
      <c r="G288">
        <f>IF($Q288="","",IF(IF($G$3="","",INDEX(인턴계획표[[정규화1]:[정규화6]],$Q288,$G$3)&amp;"")="","",IF(LEFT(IF($G$3="","",INDEX(인턴계획표[[정규화1]:[정규화6]],$Q288,$G$3)&amp;""),1)="⚠","",IFERROR(MID(IF($G$3="","",INDEX(인턴계획표[[정규화1]:[정규화6]],$Q288,$G$3)&amp;""),FIND(" ",IF($G$3="","",INDEX(인턴계획표[[정규화1]:[정규화6]],$Q288,$G$3)&amp;""))+1,60),""))))</f>
        <v/>
      </c>
      <c r="H288">
        <f>IF($Q288="","",IF(IF($I$3="","",INDEX(인턴계획표[[정규화1]:[정규화6]],$Q288,$I$3)&amp;"")="","",IF(LEFT(IF($I$3="","",INDEX(인턴계획표[[정규화1]:[정규화6]],$Q288,$I$3)&amp;""),1)="⚠",IF($I$3="","",INDEX(인턴계획표[[정규화1]:[정규화6]],$Q288,$I$3)&amp;""),IFERROR(LEFT(IF($I$3="","",INDEX(인턴계획표[[정규화1]:[정규화6]],$Q288,$I$3)&amp;""),FIND(" ",IF($I$3="","",INDEX(인턴계획표[[정규화1]:[정규화6]],$Q288,$I$3)&amp;""))-1),IF($I$3="","",INDEX(인턴계획표[[정규화1]:[정규화6]],$Q288,$I$3)&amp;"")))))</f>
        <v/>
      </c>
      <c r="I288">
        <f>IF($Q288="","",IF(IF($I$3="","",INDEX(인턴계획표[[정규화1]:[정규화6]],$Q288,$I$3)&amp;"")="","",IF(LEFT(IF($I$3="","",INDEX(인턴계획표[[정규화1]:[정규화6]],$Q288,$I$3)&amp;""),1)="⚠","",IFERROR(MID(IF($I$3="","",INDEX(인턴계획표[[정규화1]:[정규화6]],$Q288,$I$3)&amp;""),FIND(" ",IF($I$3="","",INDEX(인턴계획표[[정규화1]:[정규화6]],$Q288,$I$3)&amp;""))+1,60),""))))</f>
        <v/>
      </c>
      <c r="J288">
        <f>IF($Q288="","",INDEX(인턴계획표[정규화1],$Q288))</f>
        <v/>
      </c>
      <c r="K288">
        <f>IF($Q288="","",INDEX(인턴계획표[정규화2],$Q288))</f>
        <v/>
      </c>
      <c r="L288">
        <f>IF($Q288="","",INDEX(인턴계획표[정규화3],$Q288))</f>
        <v/>
      </c>
      <c r="M288">
        <f>IF($Q288="","",INDEX(인턴계획표[정규화4],$Q288))</f>
        <v/>
      </c>
      <c r="N288">
        <f>IF($Q288="","",INDEX(인턴계획표[정규화5],$Q288))</f>
        <v/>
      </c>
      <c r="O288">
        <f>IF($Q288="","",INDEX(인턴계획표[정규화6],$Q288))</f>
        <v/>
      </c>
      <c r="P288">
        <f>IF($Q288="","",INDEX(인턴계획표[입력오류],$Q288))</f>
        <v/>
      </c>
      <c r="Q288" s="17">
        <f>IFERROR(MATCH(283,인턴계획표[표시순번],0),"")</f>
        <v/>
      </c>
    </row>
    <row r="289">
      <c r="A289">
        <f>IF($Q289="","",INDEX(인턴계획표[순번],$Q289)&amp;"")</f>
        <v/>
      </c>
      <c r="B289">
        <f>IF($Q289="","",TRIM(INDEX(인턴계획표[이름],$Q289)&amp;""))</f>
        <v/>
      </c>
      <c r="C289">
        <f>IF($Q289="","",INDEX(인턴계획표[사번],$Q289)&amp;"")</f>
        <v/>
      </c>
      <c r="D289">
        <f>IF($Q289="","",IF(COUNTIF(기본자료표[사번키],INDEX(인턴계획표[사번키],$Q289))&gt;0,"확인","미등록"))</f>
        <v/>
      </c>
      <c r="E289">
        <f>IF($Q289="","",IF(ISNUMBER(INDEX(인턴계획표[입사일(비고)],$Q289)),TEXT(INDEX(인턴계획표[입사일(비고)],$Q289),"yyyy-mm-dd"),INDEX(인턴계획표[입사일(비고)],$Q289)&amp;""))</f>
        <v/>
      </c>
      <c r="F289">
        <f>IF($Q289="","",IF(IF($G$3="","",INDEX(인턴계획표[[정규화1]:[정규화6]],$Q289,$G$3)&amp;"")="","",IF(LEFT(IF($G$3="","",INDEX(인턴계획표[[정규화1]:[정규화6]],$Q289,$G$3)&amp;""),1)="⚠",IF($G$3="","",INDEX(인턴계획표[[정규화1]:[정규화6]],$Q289,$G$3)&amp;""),IFERROR(LEFT(IF($G$3="","",INDEX(인턴계획표[[정규화1]:[정규화6]],$Q289,$G$3)&amp;""),FIND(" ",IF($G$3="","",INDEX(인턴계획표[[정규화1]:[정규화6]],$Q289,$G$3)&amp;""))-1),IF($G$3="","",INDEX(인턴계획표[[정규화1]:[정규화6]],$Q289,$G$3)&amp;"")))))</f>
        <v/>
      </c>
      <c r="G289">
        <f>IF($Q289="","",IF(IF($G$3="","",INDEX(인턴계획표[[정규화1]:[정규화6]],$Q289,$G$3)&amp;"")="","",IF(LEFT(IF($G$3="","",INDEX(인턴계획표[[정규화1]:[정규화6]],$Q289,$G$3)&amp;""),1)="⚠","",IFERROR(MID(IF($G$3="","",INDEX(인턴계획표[[정규화1]:[정규화6]],$Q289,$G$3)&amp;""),FIND(" ",IF($G$3="","",INDEX(인턴계획표[[정규화1]:[정규화6]],$Q289,$G$3)&amp;""))+1,60),""))))</f>
        <v/>
      </c>
      <c r="H289">
        <f>IF($Q289="","",IF(IF($I$3="","",INDEX(인턴계획표[[정규화1]:[정규화6]],$Q289,$I$3)&amp;"")="","",IF(LEFT(IF($I$3="","",INDEX(인턴계획표[[정규화1]:[정규화6]],$Q289,$I$3)&amp;""),1)="⚠",IF($I$3="","",INDEX(인턴계획표[[정규화1]:[정규화6]],$Q289,$I$3)&amp;""),IFERROR(LEFT(IF($I$3="","",INDEX(인턴계획표[[정규화1]:[정규화6]],$Q289,$I$3)&amp;""),FIND(" ",IF($I$3="","",INDEX(인턴계획표[[정규화1]:[정규화6]],$Q289,$I$3)&amp;""))-1),IF($I$3="","",INDEX(인턴계획표[[정규화1]:[정규화6]],$Q289,$I$3)&amp;"")))))</f>
        <v/>
      </c>
      <c r="I289">
        <f>IF($Q289="","",IF(IF($I$3="","",INDEX(인턴계획표[[정규화1]:[정규화6]],$Q289,$I$3)&amp;"")="","",IF(LEFT(IF($I$3="","",INDEX(인턴계획표[[정규화1]:[정규화6]],$Q289,$I$3)&amp;""),1)="⚠","",IFERROR(MID(IF($I$3="","",INDEX(인턴계획표[[정규화1]:[정규화6]],$Q289,$I$3)&amp;""),FIND(" ",IF($I$3="","",INDEX(인턴계획표[[정규화1]:[정규화6]],$Q289,$I$3)&amp;""))+1,60),""))))</f>
        <v/>
      </c>
      <c r="J289">
        <f>IF($Q289="","",INDEX(인턴계획표[정규화1],$Q289))</f>
        <v/>
      </c>
      <c r="K289">
        <f>IF($Q289="","",INDEX(인턴계획표[정규화2],$Q289))</f>
        <v/>
      </c>
      <c r="L289">
        <f>IF($Q289="","",INDEX(인턴계획표[정규화3],$Q289))</f>
        <v/>
      </c>
      <c r="M289">
        <f>IF($Q289="","",INDEX(인턴계획표[정규화4],$Q289))</f>
        <v/>
      </c>
      <c r="N289">
        <f>IF($Q289="","",INDEX(인턴계획표[정규화5],$Q289))</f>
        <v/>
      </c>
      <c r="O289">
        <f>IF($Q289="","",INDEX(인턴계획표[정규화6],$Q289))</f>
        <v/>
      </c>
      <c r="P289">
        <f>IF($Q289="","",INDEX(인턴계획표[입력오류],$Q289))</f>
        <v/>
      </c>
      <c r="Q289" s="17">
        <f>IFERROR(MATCH(284,인턴계획표[표시순번],0),"")</f>
        <v/>
      </c>
    </row>
    <row r="290">
      <c r="A290">
        <f>IF($Q290="","",INDEX(인턴계획표[순번],$Q290)&amp;"")</f>
        <v/>
      </c>
      <c r="B290">
        <f>IF($Q290="","",TRIM(INDEX(인턴계획표[이름],$Q290)&amp;""))</f>
        <v/>
      </c>
      <c r="C290">
        <f>IF($Q290="","",INDEX(인턴계획표[사번],$Q290)&amp;"")</f>
        <v/>
      </c>
      <c r="D290">
        <f>IF($Q290="","",IF(COUNTIF(기본자료표[사번키],INDEX(인턴계획표[사번키],$Q290))&gt;0,"확인","미등록"))</f>
        <v/>
      </c>
      <c r="E290">
        <f>IF($Q290="","",IF(ISNUMBER(INDEX(인턴계획표[입사일(비고)],$Q290)),TEXT(INDEX(인턴계획표[입사일(비고)],$Q290),"yyyy-mm-dd"),INDEX(인턴계획표[입사일(비고)],$Q290)&amp;""))</f>
        <v/>
      </c>
      <c r="F290">
        <f>IF($Q290="","",IF(IF($G$3="","",INDEX(인턴계획표[[정규화1]:[정규화6]],$Q290,$G$3)&amp;"")="","",IF(LEFT(IF($G$3="","",INDEX(인턴계획표[[정규화1]:[정규화6]],$Q290,$G$3)&amp;""),1)="⚠",IF($G$3="","",INDEX(인턴계획표[[정규화1]:[정규화6]],$Q290,$G$3)&amp;""),IFERROR(LEFT(IF($G$3="","",INDEX(인턴계획표[[정규화1]:[정규화6]],$Q290,$G$3)&amp;""),FIND(" ",IF($G$3="","",INDEX(인턴계획표[[정규화1]:[정규화6]],$Q290,$G$3)&amp;""))-1),IF($G$3="","",INDEX(인턴계획표[[정규화1]:[정규화6]],$Q290,$G$3)&amp;"")))))</f>
        <v/>
      </c>
      <c r="G290">
        <f>IF($Q290="","",IF(IF($G$3="","",INDEX(인턴계획표[[정규화1]:[정규화6]],$Q290,$G$3)&amp;"")="","",IF(LEFT(IF($G$3="","",INDEX(인턴계획표[[정규화1]:[정규화6]],$Q290,$G$3)&amp;""),1)="⚠","",IFERROR(MID(IF($G$3="","",INDEX(인턴계획표[[정규화1]:[정규화6]],$Q290,$G$3)&amp;""),FIND(" ",IF($G$3="","",INDEX(인턴계획표[[정규화1]:[정규화6]],$Q290,$G$3)&amp;""))+1,60),""))))</f>
        <v/>
      </c>
      <c r="H290">
        <f>IF($Q290="","",IF(IF($I$3="","",INDEX(인턴계획표[[정규화1]:[정규화6]],$Q290,$I$3)&amp;"")="","",IF(LEFT(IF($I$3="","",INDEX(인턴계획표[[정규화1]:[정규화6]],$Q290,$I$3)&amp;""),1)="⚠",IF($I$3="","",INDEX(인턴계획표[[정규화1]:[정규화6]],$Q290,$I$3)&amp;""),IFERROR(LEFT(IF($I$3="","",INDEX(인턴계획표[[정규화1]:[정규화6]],$Q290,$I$3)&amp;""),FIND(" ",IF($I$3="","",INDEX(인턴계획표[[정규화1]:[정규화6]],$Q290,$I$3)&amp;""))-1),IF($I$3="","",INDEX(인턴계획표[[정규화1]:[정규화6]],$Q290,$I$3)&amp;"")))))</f>
        <v/>
      </c>
      <c r="I290">
        <f>IF($Q290="","",IF(IF($I$3="","",INDEX(인턴계획표[[정규화1]:[정규화6]],$Q290,$I$3)&amp;"")="","",IF(LEFT(IF($I$3="","",INDEX(인턴계획표[[정규화1]:[정규화6]],$Q290,$I$3)&amp;""),1)="⚠","",IFERROR(MID(IF($I$3="","",INDEX(인턴계획표[[정규화1]:[정규화6]],$Q290,$I$3)&amp;""),FIND(" ",IF($I$3="","",INDEX(인턴계획표[[정규화1]:[정규화6]],$Q290,$I$3)&amp;""))+1,60),""))))</f>
        <v/>
      </c>
      <c r="J290">
        <f>IF($Q290="","",INDEX(인턴계획표[정규화1],$Q290))</f>
        <v/>
      </c>
      <c r="K290">
        <f>IF($Q290="","",INDEX(인턴계획표[정규화2],$Q290))</f>
        <v/>
      </c>
      <c r="L290">
        <f>IF($Q290="","",INDEX(인턴계획표[정규화3],$Q290))</f>
        <v/>
      </c>
      <c r="M290">
        <f>IF($Q290="","",INDEX(인턴계획표[정규화4],$Q290))</f>
        <v/>
      </c>
      <c r="N290">
        <f>IF($Q290="","",INDEX(인턴계획표[정규화5],$Q290))</f>
        <v/>
      </c>
      <c r="O290">
        <f>IF($Q290="","",INDEX(인턴계획표[정규화6],$Q290))</f>
        <v/>
      </c>
      <c r="P290">
        <f>IF($Q290="","",INDEX(인턴계획표[입력오류],$Q290))</f>
        <v/>
      </c>
      <c r="Q290" s="17">
        <f>IFERROR(MATCH(285,인턴계획표[표시순번],0),"")</f>
        <v/>
      </c>
    </row>
    <row r="291">
      <c r="A291">
        <f>IF($Q291="","",INDEX(인턴계획표[순번],$Q291)&amp;"")</f>
        <v/>
      </c>
      <c r="B291">
        <f>IF($Q291="","",TRIM(INDEX(인턴계획표[이름],$Q291)&amp;""))</f>
        <v/>
      </c>
      <c r="C291">
        <f>IF($Q291="","",INDEX(인턴계획표[사번],$Q291)&amp;"")</f>
        <v/>
      </c>
      <c r="D291">
        <f>IF($Q291="","",IF(COUNTIF(기본자료표[사번키],INDEX(인턴계획표[사번키],$Q291))&gt;0,"확인","미등록"))</f>
        <v/>
      </c>
      <c r="E291">
        <f>IF($Q291="","",IF(ISNUMBER(INDEX(인턴계획표[입사일(비고)],$Q291)),TEXT(INDEX(인턴계획표[입사일(비고)],$Q291),"yyyy-mm-dd"),INDEX(인턴계획표[입사일(비고)],$Q291)&amp;""))</f>
        <v/>
      </c>
      <c r="F291">
        <f>IF($Q291="","",IF(IF($G$3="","",INDEX(인턴계획표[[정규화1]:[정규화6]],$Q291,$G$3)&amp;"")="","",IF(LEFT(IF($G$3="","",INDEX(인턴계획표[[정규화1]:[정규화6]],$Q291,$G$3)&amp;""),1)="⚠",IF($G$3="","",INDEX(인턴계획표[[정규화1]:[정규화6]],$Q291,$G$3)&amp;""),IFERROR(LEFT(IF($G$3="","",INDEX(인턴계획표[[정규화1]:[정규화6]],$Q291,$G$3)&amp;""),FIND(" ",IF($G$3="","",INDEX(인턴계획표[[정규화1]:[정규화6]],$Q291,$G$3)&amp;""))-1),IF($G$3="","",INDEX(인턴계획표[[정규화1]:[정규화6]],$Q291,$G$3)&amp;"")))))</f>
        <v/>
      </c>
      <c r="G291">
        <f>IF($Q291="","",IF(IF($G$3="","",INDEX(인턴계획표[[정규화1]:[정규화6]],$Q291,$G$3)&amp;"")="","",IF(LEFT(IF($G$3="","",INDEX(인턴계획표[[정규화1]:[정규화6]],$Q291,$G$3)&amp;""),1)="⚠","",IFERROR(MID(IF($G$3="","",INDEX(인턴계획표[[정규화1]:[정규화6]],$Q291,$G$3)&amp;""),FIND(" ",IF($G$3="","",INDEX(인턴계획표[[정규화1]:[정규화6]],$Q291,$G$3)&amp;""))+1,60),""))))</f>
        <v/>
      </c>
      <c r="H291">
        <f>IF($Q291="","",IF(IF($I$3="","",INDEX(인턴계획표[[정규화1]:[정규화6]],$Q291,$I$3)&amp;"")="","",IF(LEFT(IF($I$3="","",INDEX(인턴계획표[[정규화1]:[정규화6]],$Q291,$I$3)&amp;""),1)="⚠",IF($I$3="","",INDEX(인턴계획표[[정규화1]:[정규화6]],$Q291,$I$3)&amp;""),IFERROR(LEFT(IF($I$3="","",INDEX(인턴계획표[[정규화1]:[정규화6]],$Q291,$I$3)&amp;""),FIND(" ",IF($I$3="","",INDEX(인턴계획표[[정규화1]:[정규화6]],$Q291,$I$3)&amp;""))-1),IF($I$3="","",INDEX(인턴계획표[[정규화1]:[정규화6]],$Q291,$I$3)&amp;"")))))</f>
        <v/>
      </c>
      <c r="I291">
        <f>IF($Q291="","",IF(IF($I$3="","",INDEX(인턴계획표[[정규화1]:[정규화6]],$Q291,$I$3)&amp;"")="","",IF(LEFT(IF($I$3="","",INDEX(인턴계획표[[정규화1]:[정규화6]],$Q291,$I$3)&amp;""),1)="⚠","",IFERROR(MID(IF($I$3="","",INDEX(인턴계획표[[정규화1]:[정규화6]],$Q291,$I$3)&amp;""),FIND(" ",IF($I$3="","",INDEX(인턴계획표[[정규화1]:[정규화6]],$Q291,$I$3)&amp;""))+1,60),""))))</f>
        <v/>
      </c>
      <c r="J291">
        <f>IF($Q291="","",INDEX(인턴계획표[정규화1],$Q291))</f>
        <v/>
      </c>
      <c r="K291">
        <f>IF($Q291="","",INDEX(인턴계획표[정규화2],$Q291))</f>
        <v/>
      </c>
      <c r="L291">
        <f>IF($Q291="","",INDEX(인턴계획표[정규화3],$Q291))</f>
        <v/>
      </c>
      <c r="M291">
        <f>IF($Q291="","",INDEX(인턴계획표[정규화4],$Q291))</f>
        <v/>
      </c>
      <c r="N291">
        <f>IF($Q291="","",INDEX(인턴계획표[정규화5],$Q291))</f>
        <v/>
      </c>
      <c r="O291">
        <f>IF($Q291="","",INDEX(인턴계획표[정규화6],$Q291))</f>
        <v/>
      </c>
      <c r="P291">
        <f>IF($Q291="","",INDEX(인턴계획표[입력오류],$Q291))</f>
        <v/>
      </c>
      <c r="Q291" s="17">
        <f>IFERROR(MATCH(286,인턴계획표[표시순번],0),"")</f>
        <v/>
      </c>
    </row>
    <row r="292">
      <c r="A292">
        <f>IF($Q292="","",INDEX(인턴계획표[순번],$Q292)&amp;"")</f>
        <v/>
      </c>
      <c r="B292">
        <f>IF($Q292="","",TRIM(INDEX(인턴계획표[이름],$Q292)&amp;""))</f>
        <v/>
      </c>
      <c r="C292">
        <f>IF($Q292="","",INDEX(인턴계획표[사번],$Q292)&amp;"")</f>
        <v/>
      </c>
      <c r="D292">
        <f>IF($Q292="","",IF(COUNTIF(기본자료표[사번키],INDEX(인턴계획표[사번키],$Q292))&gt;0,"확인","미등록"))</f>
        <v/>
      </c>
      <c r="E292">
        <f>IF($Q292="","",IF(ISNUMBER(INDEX(인턴계획표[입사일(비고)],$Q292)),TEXT(INDEX(인턴계획표[입사일(비고)],$Q292),"yyyy-mm-dd"),INDEX(인턴계획표[입사일(비고)],$Q292)&amp;""))</f>
        <v/>
      </c>
      <c r="F292">
        <f>IF($Q292="","",IF(IF($G$3="","",INDEX(인턴계획표[[정규화1]:[정규화6]],$Q292,$G$3)&amp;"")="","",IF(LEFT(IF($G$3="","",INDEX(인턴계획표[[정규화1]:[정규화6]],$Q292,$G$3)&amp;""),1)="⚠",IF($G$3="","",INDEX(인턴계획표[[정규화1]:[정규화6]],$Q292,$G$3)&amp;""),IFERROR(LEFT(IF($G$3="","",INDEX(인턴계획표[[정규화1]:[정규화6]],$Q292,$G$3)&amp;""),FIND(" ",IF($G$3="","",INDEX(인턴계획표[[정규화1]:[정규화6]],$Q292,$G$3)&amp;""))-1),IF($G$3="","",INDEX(인턴계획표[[정규화1]:[정규화6]],$Q292,$G$3)&amp;"")))))</f>
        <v/>
      </c>
      <c r="G292">
        <f>IF($Q292="","",IF(IF($G$3="","",INDEX(인턴계획표[[정규화1]:[정규화6]],$Q292,$G$3)&amp;"")="","",IF(LEFT(IF($G$3="","",INDEX(인턴계획표[[정규화1]:[정규화6]],$Q292,$G$3)&amp;""),1)="⚠","",IFERROR(MID(IF($G$3="","",INDEX(인턴계획표[[정규화1]:[정규화6]],$Q292,$G$3)&amp;""),FIND(" ",IF($G$3="","",INDEX(인턴계획표[[정규화1]:[정규화6]],$Q292,$G$3)&amp;""))+1,60),""))))</f>
        <v/>
      </c>
      <c r="H292">
        <f>IF($Q292="","",IF(IF($I$3="","",INDEX(인턴계획표[[정규화1]:[정규화6]],$Q292,$I$3)&amp;"")="","",IF(LEFT(IF($I$3="","",INDEX(인턴계획표[[정규화1]:[정규화6]],$Q292,$I$3)&amp;""),1)="⚠",IF($I$3="","",INDEX(인턴계획표[[정규화1]:[정규화6]],$Q292,$I$3)&amp;""),IFERROR(LEFT(IF($I$3="","",INDEX(인턴계획표[[정규화1]:[정규화6]],$Q292,$I$3)&amp;""),FIND(" ",IF($I$3="","",INDEX(인턴계획표[[정규화1]:[정규화6]],$Q292,$I$3)&amp;""))-1),IF($I$3="","",INDEX(인턴계획표[[정규화1]:[정규화6]],$Q292,$I$3)&amp;"")))))</f>
        <v/>
      </c>
      <c r="I292">
        <f>IF($Q292="","",IF(IF($I$3="","",INDEX(인턴계획표[[정규화1]:[정규화6]],$Q292,$I$3)&amp;"")="","",IF(LEFT(IF($I$3="","",INDEX(인턴계획표[[정규화1]:[정규화6]],$Q292,$I$3)&amp;""),1)="⚠","",IFERROR(MID(IF($I$3="","",INDEX(인턴계획표[[정규화1]:[정규화6]],$Q292,$I$3)&amp;""),FIND(" ",IF($I$3="","",INDEX(인턴계획표[[정규화1]:[정규화6]],$Q292,$I$3)&amp;""))+1,60),""))))</f>
        <v/>
      </c>
      <c r="J292">
        <f>IF($Q292="","",INDEX(인턴계획표[정규화1],$Q292))</f>
        <v/>
      </c>
      <c r="K292">
        <f>IF($Q292="","",INDEX(인턴계획표[정규화2],$Q292))</f>
        <v/>
      </c>
      <c r="L292">
        <f>IF($Q292="","",INDEX(인턴계획표[정규화3],$Q292))</f>
        <v/>
      </c>
      <c r="M292">
        <f>IF($Q292="","",INDEX(인턴계획표[정규화4],$Q292))</f>
        <v/>
      </c>
      <c r="N292">
        <f>IF($Q292="","",INDEX(인턴계획표[정규화5],$Q292))</f>
        <v/>
      </c>
      <c r="O292">
        <f>IF($Q292="","",INDEX(인턴계획표[정규화6],$Q292))</f>
        <v/>
      </c>
      <c r="P292">
        <f>IF($Q292="","",INDEX(인턴계획표[입력오류],$Q292))</f>
        <v/>
      </c>
      <c r="Q292" s="17">
        <f>IFERROR(MATCH(287,인턴계획표[표시순번],0),"")</f>
        <v/>
      </c>
    </row>
    <row r="293">
      <c r="A293">
        <f>IF($Q293="","",INDEX(인턴계획표[순번],$Q293)&amp;"")</f>
        <v/>
      </c>
      <c r="B293">
        <f>IF($Q293="","",TRIM(INDEX(인턴계획표[이름],$Q293)&amp;""))</f>
        <v/>
      </c>
      <c r="C293">
        <f>IF($Q293="","",INDEX(인턴계획표[사번],$Q293)&amp;"")</f>
        <v/>
      </c>
      <c r="D293">
        <f>IF($Q293="","",IF(COUNTIF(기본자료표[사번키],INDEX(인턴계획표[사번키],$Q293))&gt;0,"확인","미등록"))</f>
        <v/>
      </c>
      <c r="E293">
        <f>IF($Q293="","",IF(ISNUMBER(INDEX(인턴계획표[입사일(비고)],$Q293)),TEXT(INDEX(인턴계획표[입사일(비고)],$Q293),"yyyy-mm-dd"),INDEX(인턴계획표[입사일(비고)],$Q293)&amp;""))</f>
        <v/>
      </c>
      <c r="F293">
        <f>IF($Q293="","",IF(IF($G$3="","",INDEX(인턴계획표[[정규화1]:[정규화6]],$Q293,$G$3)&amp;"")="","",IF(LEFT(IF($G$3="","",INDEX(인턴계획표[[정규화1]:[정규화6]],$Q293,$G$3)&amp;""),1)="⚠",IF($G$3="","",INDEX(인턴계획표[[정규화1]:[정규화6]],$Q293,$G$3)&amp;""),IFERROR(LEFT(IF($G$3="","",INDEX(인턴계획표[[정규화1]:[정규화6]],$Q293,$G$3)&amp;""),FIND(" ",IF($G$3="","",INDEX(인턴계획표[[정규화1]:[정규화6]],$Q293,$G$3)&amp;""))-1),IF($G$3="","",INDEX(인턴계획표[[정규화1]:[정규화6]],$Q293,$G$3)&amp;"")))))</f>
        <v/>
      </c>
      <c r="G293">
        <f>IF($Q293="","",IF(IF($G$3="","",INDEX(인턴계획표[[정규화1]:[정규화6]],$Q293,$G$3)&amp;"")="","",IF(LEFT(IF($G$3="","",INDEX(인턴계획표[[정규화1]:[정규화6]],$Q293,$G$3)&amp;""),1)="⚠","",IFERROR(MID(IF($G$3="","",INDEX(인턴계획표[[정규화1]:[정규화6]],$Q293,$G$3)&amp;""),FIND(" ",IF($G$3="","",INDEX(인턴계획표[[정규화1]:[정규화6]],$Q293,$G$3)&amp;""))+1,60),""))))</f>
        <v/>
      </c>
      <c r="H293">
        <f>IF($Q293="","",IF(IF($I$3="","",INDEX(인턴계획표[[정규화1]:[정규화6]],$Q293,$I$3)&amp;"")="","",IF(LEFT(IF($I$3="","",INDEX(인턴계획표[[정규화1]:[정규화6]],$Q293,$I$3)&amp;""),1)="⚠",IF($I$3="","",INDEX(인턴계획표[[정규화1]:[정규화6]],$Q293,$I$3)&amp;""),IFERROR(LEFT(IF($I$3="","",INDEX(인턴계획표[[정규화1]:[정규화6]],$Q293,$I$3)&amp;""),FIND(" ",IF($I$3="","",INDEX(인턴계획표[[정규화1]:[정규화6]],$Q293,$I$3)&amp;""))-1),IF($I$3="","",INDEX(인턴계획표[[정규화1]:[정규화6]],$Q293,$I$3)&amp;"")))))</f>
        <v/>
      </c>
      <c r="I293">
        <f>IF($Q293="","",IF(IF($I$3="","",INDEX(인턴계획표[[정규화1]:[정규화6]],$Q293,$I$3)&amp;"")="","",IF(LEFT(IF($I$3="","",INDEX(인턴계획표[[정규화1]:[정규화6]],$Q293,$I$3)&amp;""),1)="⚠","",IFERROR(MID(IF($I$3="","",INDEX(인턴계획표[[정규화1]:[정규화6]],$Q293,$I$3)&amp;""),FIND(" ",IF($I$3="","",INDEX(인턴계획표[[정규화1]:[정규화6]],$Q293,$I$3)&amp;""))+1,60),""))))</f>
        <v/>
      </c>
      <c r="J293">
        <f>IF($Q293="","",INDEX(인턴계획표[정규화1],$Q293))</f>
        <v/>
      </c>
      <c r="K293">
        <f>IF($Q293="","",INDEX(인턴계획표[정규화2],$Q293))</f>
        <v/>
      </c>
      <c r="L293">
        <f>IF($Q293="","",INDEX(인턴계획표[정규화3],$Q293))</f>
        <v/>
      </c>
      <c r="M293">
        <f>IF($Q293="","",INDEX(인턴계획표[정규화4],$Q293))</f>
        <v/>
      </c>
      <c r="N293">
        <f>IF($Q293="","",INDEX(인턴계획표[정규화5],$Q293))</f>
        <v/>
      </c>
      <c r="O293">
        <f>IF($Q293="","",INDEX(인턴계획표[정규화6],$Q293))</f>
        <v/>
      </c>
      <c r="P293">
        <f>IF($Q293="","",INDEX(인턴계획표[입력오류],$Q293))</f>
        <v/>
      </c>
      <c r="Q293" s="17">
        <f>IFERROR(MATCH(288,인턴계획표[표시순번],0),"")</f>
        <v/>
      </c>
    </row>
    <row r="294">
      <c r="A294">
        <f>IF($Q294="","",INDEX(인턴계획표[순번],$Q294)&amp;"")</f>
        <v/>
      </c>
      <c r="B294">
        <f>IF($Q294="","",TRIM(INDEX(인턴계획표[이름],$Q294)&amp;""))</f>
        <v/>
      </c>
      <c r="C294">
        <f>IF($Q294="","",INDEX(인턴계획표[사번],$Q294)&amp;"")</f>
        <v/>
      </c>
      <c r="D294">
        <f>IF($Q294="","",IF(COUNTIF(기본자료표[사번키],INDEX(인턴계획표[사번키],$Q294))&gt;0,"확인","미등록"))</f>
        <v/>
      </c>
      <c r="E294">
        <f>IF($Q294="","",IF(ISNUMBER(INDEX(인턴계획표[입사일(비고)],$Q294)),TEXT(INDEX(인턴계획표[입사일(비고)],$Q294),"yyyy-mm-dd"),INDEX(인턴계획표[입사일(비고)],$Q294)&amp;""))</f>
        <v/>
      </c>
      <c r="F294">
        <f>IF($Q294="","",IF(IF($G$3="","",INDEX(인턴계획표[[정규화1]:[정규화6]],$Q294,$G$3)&amp;"")="","",IF(LEFT(IF($G$3="","",INDEX(인턴계획표[[정규화1]:[정규화6]],$Q294,$G$3)&amp;""),1)="⚠",IF($G$3="","",INDEX(인턴계획표[[정규화1]:[정규화6]],$Q294,$G$3)&amp;""),IFERROR(LEFT(IF($G$3="","",INDEX(인턴계획표[[정규화1]:[정규화6]],$Q294,$G$3)&amp;""),FIND(" ",IF($G$3="","",INDEX(인턴계획표[[정규화1]:[정규화6]],$Q294,$G$3)&amp;""))-1),IF($G$3="","",INDEX(인턴계획표[[정규화1]:[정규화6]],$Q294,$G$3)&amp;"")))))</f>
        <v/>
      </c>
      <c r="G294">
        <f>IF($Q294="","",IF(IF($G$3="","",INDEX(인턴계획표[[정규화1]:[정규화6]],$Q294,$G$3)&amp;"")="","",IF(LEFT(IF($G$3="","",INDEX(인턴계획표[[정규화1]:[정규화6]],$Q294,$G$3)&amp;""),1)="⚠","",IFERROR(MID(IF($G$3="","",INDEX(인턴계획표[[정규화1]:[정규화6]],$Q294,$G$3)&amp;""),FIND(" ",IF($G$3="","",INDEX(인턴계획표[[정규화1]:[정규화6]],$Q294,$G$3)&amp;""))+1,60),""))))</f>
        <v/>
      </c>
      <c r="H294">
        <f>IF($Q294="","",IF(IF($I$3="","",INDEX(인턴계획표[[정규화1]:[정규화6]],$Q294,$I$3)&amp;"")="","",IF(LEFT(IF($I$3="","",INDEX(인턴계획표[[정규화1]:[정규화6]],$Q294,$I$3)&amp;""),1)="⚠",IF($I$3="","",INDEX(인턴계획표[[정규화1]:[정규화6]],$Q294,$I$3)&amp;""),IFERROR(LEFT(IF($I$3="","",INDEX(인턴계획표[[정규화1]:[정규화6]],$Q294,$I$3)&amp;""),FIND(" ",IF($I$3="","",INDEX(인턴계획표[[정규화1]:[정규화6]],$Q294,$I$3)&amp;""))-1),IF($I$3="","",INDEX(인턴계획표[[정규화1]:[정규화6]],$Q294,$I$3)&amp;"")))))</f>
        <v/>
      </c>
      <c r="I294">
        <f>IF($Q294="","",IF(IF($I$3="","",INDEX(인턴계획표[[정규화1]:[정규화6]],$Q294,$I$3)&amp;"")="","",IF(LEFT(IF($I$3="","",INDEX(인턴계획표[[정규화1]:[정규화6]],$Q294,$I$3)&amp;""),1)="⚠","",IFERROR(MID(IF($I$3="","",INDEX(인턴계획표[[정규화1]:[정규화6]],$Q294,$I$3)&amp;""),FIND(" ",IF($I$3="","",INDEX(인턴계획표[[정규화1]:[정규화6]],$Q294,$I$3)&amp;""))+1,60),""))))</f>
        <v/>
      </c>
      <c r="J294">
        <f>IF($Q294="","",INDEX(인턴계획표[정규화1],$Q294))</f>
        <v/>
      </c>
      <c r="K294">
        <f>IF($Q294="","",INDEX(인턴계획표[정규화2],$Q294))</f>
        <v/>
      </c>
      <c r="L294">
        <f>IF($Q294="","",INDEX(인턴계획표[정규화3],$Q294))</f>
        <v/>
      </c>
      <c r="M294">
        <f>IF($Q294="","",INDEX(인턴계획표[정규화4],$Q294))</f>
        <v/>
      </c>
      <c r="N294">
        <f>IF($Q294="","",INDEX(인턴계획표[정규화5],$Q294))</f>
        <v/>
      </c>
      <c r="O294">
        <f>IF($Q294="","",INDEX(인턴계획표[정규화6],$Q294))</f>
        <v/>
      </c>
      <c r="P294">
        <f>IF($Q294="","",INDEX(인턴계획표[입력오류],$Q294))</f>
        <v/>
      </c>
      <c r="Q294" s="17">
        <f>IFERROR(MATCH(289,인턴계획표[표시순번],0),"")</f>
        <v/>
      </c>
    </row>
    <row r="295">
      <c r="A295">
        <f>IF($Q295="","",INDEX(인턴계획표[순번],$Q295)&amp;"")</f>
        <v/>
      </c>
      <c r="B295">
        <f>IF($Q295="","",TRIM(INDEX(인턴계획표[이름],$Q295)&amp;""))</f>
        <v/>
      </c>
      <c r="C295">
        <f>IF($Q295="","",INDEX(인턴계획표[사번],$Q295)&amp;"")</f>
        <v/>
      </c>
      <c r="D295">
        <f>IF($Q295="","",IF(COUNTIF(기본자료표[사번키],INDEX(인턴계획표[사번키],$Q295))&gt;0,"확인","미등록"))</f>
        <v/>
      </c>
      <c r="E295">
        <f>IF($Q295="","",IF(ISNUMBER(INDEX(인턴계획표[입사일(비고)],$Q295)),TEXT(INDEX(인턴계획표[입사일(비고)],$Q295),"yyyy-mm-dd"),INDEX(인턴계획표[입사일(비고)],$Q295)&amp;""))</f>
        <v/>
      </c>
      <c r="F295">
        <f>IF($Q295="","",IF(IF($G$3="","",INDEX(인턴계획표[[정규화1]:[정규화6]],$Q295,$G$3)&amp;"")="","",IF(LEFT(IF($G$3="","",INDEX(인턴계획표[[정규화1]:[정규화6]],$Q295,$G$3)&amp;""),1)="⚠",IF($G$3="","",INDEX(인턴계획표[[정규화1]:[정규화6]],$Q295,$G$3)&amp;""),IFERROR(LEFT(IF($G$3="","",INDEX(인턴계획표[[정규화1]:[정규화6]],$Q295,$G$3)&amp;""),FIND(" ",IF($G$3="","",INDEX(인턴계획표[[정규화1]:[정규화6]],$Q295,$G$3)&amp;""))-1),IF($G$3="","",INDEX(인턴계획표[[정규화1]:[정규화6]],$Q295,$G$3)&amp;"")))))</f>
        <v/>
      </c>
      <c r="G295">
        <f>IF($Q295="","",IF(IF($G$3="","",INDEX(인턴계획표[[정규화1]:[정규화6]],$Q295,$G$3)&amp;"")="","",IF(LEFT(IF($G$3="","",INDEX(인턴계획표[[정규화1]:[정규화6]],$Q295,$G$3)&amp;""),1)="⚠","",IFERROR(MID(IF($G$3="","",INDEX(인턴계획표[[정규화1]:[정규화6]],$Q295,$G$3)&amp;""),FIND(" ",IF($G$3="","",INDEX(인턴계획표[[정규화1]:[정규화6]],$Q295,$G$3)&amp;""))+1,60),""))))</f>
        <v/>
      </c>
      <c r="H295">
        <f>IF($Q295="","",IF(IF($I$3="","",INDEX(인턴계획표[[정규화1]:[정규화6]],$Q295,$I$3)&amp;"")="","",IF(LEFT(IF($I$3="","",INDEX(인턴계획표[[정규화1]:[정규화6]],$Q295,$I$3)&amp;""),1)="⚠",IF($I$3="","",INDEX(인턴계획표[[정규화1]:[정규화6]],$Q295,$I$3)&amp;""),IFERROR(LEFT(IF($I$3="","",INDEX(인턴계획표[[정규화1]:[정규화6]],$Q295,$I$3)&amp;""),FIND(" ",IF($I$3="","",INDEX(인턴계획표[[정규화1]:[정규화6]],$Q295,$I$3)&amp;""))-1),IF($I$3="","",INDEX(인턴계획표[[정규화1]:[정규화6]],$Q295,$I$3)&amp;"")))))</f>
        <v/>
      </c>
      <c r="I295">
        <f>IF($Q295="","",IF(IF($I$3="","",INDEX(인턴계획표[[정규화1]:[정규화6]],$Q295,$I$3)&amp;"")="","",IF(LEFT(IF($I$3="","",INDEX(인턴계획표[[정규화1]:[정규화6]],$Q295,$I$3)&amp;""),1)="⚠","",IFERROR(MID(IF($I$3="","",INDEX(인턴계획표[[정규화1]:[정규화6]],$Q295,$I$3)&amp;""),FIND(" ",IF($I$3="","",INDEX(인턴계획표[[정규화1]:[정규화6]],$Q295,$I$3)&amp;""))+1,60),""))))</f>
        <v/>
      </c>
      <c r="J295">
        <f>IF($Q295="","",INDEX(인턴계획표[정규화1],$Q295))</f>
        <v/>
      </c>
      <c r="K295">
        <f>IF($Q295="","",INDEX(인턴계획표[정규화2],$Q295))</f>
        <v/>
      </c>
      <c r="L295">
        <f>IF($Q295="","",INDEX(인턴계획표[정규화3],$Q295))</f>
        <v/>
      </c>
      <c r="M295">
        <f>IF($Q295="","",INDEX(인턴계획표[정규화4],$Q295))</f>
        <v/>
      </c>
      <c r="N295">
        <f>IF($Q295="","",INDEX(인턴계획표[정규화5],$Q295))</f>
        <v/>
      </c>
      <c r="O295">
        <f>IF($Q295="","",INDEX(인턴계획표[정규화6],$Q295))</f>
        <v/>
      </c>
      <c r="P295">
        <f>IF($Q295="","",INDEX(인턴계획표[입력오류],$Q295))</f>
        <v/>
      </c>
      <c r="Q295" s="17">
        <f>IFERROR(MATCH(290,인턴계획표[표시순번],0),"")</f>
        <v/>
      </c>
    </row>
    <row r="296">
      <c r="A296">
        <f>IF($Q296="","",INDEX(인턴계획표[순번],$Q296)&amp;"")</f>
        <v/>
      </c>
      <c r="B296">
        <f>IF($Q296="","",TRIM(INDEX(인턴계획표[이름],$Q296)&amp;""))</f>
        <v/>
      </c>
      <c r="C296">
        <f>IF($Q296="","",INDEX(인턴계획표[사번],$Q296)&amp;"")</f>
        <v/>
      </c>
      <c r="D296">
        <f>IF($Q296="","",IF(COUNTIF(기본자료표[사번키],INDEX(인턴계획표[사번키],$Q296))&gt;0,"확인","미등록"))</f>
        <v/>
      </c>
      <c r="E296">
        <f>IF($Q296="","",IF(ISNUMBER(INDEX(인턴계획표[입사일(비고)],$Q296)),TEXT(INDEX(인턴계획표[입사일(비고)],$Q296),"yyyy-mm-dd"),INDEX(인턴계획표[입사일(비고)],$Q296)&amp;""))</f>
        <v/>
      </c>
      <c r="F296">
        <f>IF($Q296="","",IF(IF($G$3="","",INDEX(인턴계획표[[정규화1]:[정규화6]],$Q296,$G$3)&amp;"")="","",IF(LEFT(IF($G$3="","",INDEX(인턴계획표[[정규화1]:[정규화6]],$Q296,$G$3)&amp;""),1)="⚠",IF($G$3="","",INDEX(인턴계획표[[정규화1]:[정규화6]],$Q296,$G$3)&amp;""),IFERROR(LEFT(IF($G$3="","",INDEX(인턴계획표[[정규화1]:[정규화6]],$Q296,$G$3)&amp;""),FIND(" ",IF($G$3="","",INDEX(인턴계획표[[정규화1]:[정규화6]],$Q296,$G$3)&amp;""))-1),IF($G$3="","",INDEX(인턴계획표[[정규화1]:[정규화6]],$Q296,$G$3)&amp;"")))))</f>
        <v/>
      </c>
      <c r="G296">
        <f>IF($Q296="","",IF(IF($G$3="","",INDEX(인턴계획표[[정규화1]:[정규화6]],$Q296,$G$3)&amp;"")="","",IF(LEFT(IF($G$3="","",INDEX(인턴계획표[[정규화1]:[정규화6]],$Q296,$G$3)&amp;""),1)="⚠","",IFERROR(MID(IF($G$3="","",INDEX(인턴계획표[[정규화1]:[정규화6]],$Q296,$G$3)&amp;""),FIND(" ",IF($G$3="","",INDEX(인턴계획표[[정규화1]:[정규화6]],$Q296,$G$3)&amp;""))+1,60),""))))</f>
        <v/>
      </c>
      <c r="H296">
        <f>IF($Q296="","",IF(IF($I$3="","",INDEX(인턴계획표[[정규화1]:[정규화6]],$Q296,$I$3)&amp;"")="","",IF(LEFT(IF($I$3="","",INDEX(인턴계획표[[정규화1]:[정규화6]],$Q296,$I$3)&amp;""),1)="⚠",IF($I$3="","",INDEX(인턴계획표[[정규화1]:[정규화6]],$Q296,$I$3)&amp;""),IFERROR(LEFT(IF($I$3="","",INDEX(인턴계획표[[정규화1]:[정규화6]],$Q296,$I$3)&amp;""),FIND(" ",IF($I$3="","",INDEX(인턴계획표[[정규화1]:[정규화6]],$Q296,$I$3)&amp;""))-1),IF($I$3="","",INDEX(인턴계획표[[정규화1]:[정규화6]],$Q296,$I$3)&amp;"")))))</f>
        <v/>
      </c>
      <c r="I296">
        <f>IF($Q296="","",IF(IF($I$3="","",INDEX(인턴계획표[[정규화1]:[정규화6]],$Q296,$I$3)&amp;"")="","",IF(LEFT(IF($I$3="","",INDEX(인턴계획표[[정규화1]:[정규화6]],$Q296,$I$3)&amp;""),1)="⚠","",IFERROR(MID(IF($I$3="","",INDEX(인턴계획표[[정규화1]:[정규화6]],$Q296,$I$3)&amp;""),FIND(" ",IF($I$3="","",INDEX(인턴계획표[[정규화1]:[정규화6]],$Q296,$I$3)&amp;""))+1,60),""))))</f>
        <v/>
      </c>
      <c r="J296">
        <f>IF($Q296="","",INDEX(인턴계획표[정규화1],$Q296))</f>
        <v/>
      </c>
      <c r="K296">
        <f>IF($Q296="","",INDEX(인턴계획표[정규화2],$Q296))</f>
        <v/>
      </c>
      <c r="L296">
        <f>IF($Q296="","",INDEX(인턴계획표[정규화3],$Q296))</f>
        <v/>
      </c>
      <c r="M296">
        <f>IF($Q296="","",INDEX(인턴계획표[정규화4],$Q296))</f>
        <v/>
      </c>
      <c r="N296">
        <f>IF($Q296="","",INDEX(인턴계획표[정규화5],$Q296))</f>
        <v/>
      </c>
      <c r="O296">
        <f>IF($Q296="","",INDEX(인턴계획표[정규화6],$Q296))</f>
        <v/>
      </c>
      <c r="P296">
        <f>IF($Q296="","",INDEX(인턴계획표[입력오류],$Q296))</f>
        <v/>
      </c>
      <c r="Q296" s="17">
        <f>IFERROR(MATCH(291,인턴계획표[표시순번],0),"")</f>
        <v/>
      </c>
    </row>
    <row r="297">
      <c r="A297">
        <f>IF($Q297="","",INDEX(인턴계획표[순번],$Q297)&amp;"")</f>
        <v/>
      </c>
      <c r="B297">
        <f>IF($Q297="","",TRIM(INDEX(인턴계획표[이름],$Q297)&amp;""))</f>
        <v/>
      </c>
      <c r="C297">
        <f>IF($Q297="","",INDEX(인턴계획표[사번],$Q297)&amp;"")</f>
        <v/>
      </c>
      <c r="D297">
        <f>IF($Q297="","",IF(COUNTIF(기본자료표[사번키],INDEX(인턴계획표[사번키],$Q297))&gt;0,"확인","미등록"))</f>
        <v/>
      </c>
      <c r="E297">
        <f>IF($Q297="","",IF(ISNUMBER(INDEX(인턴계획표[입사일(비고)],$Q297)),TEXT(INDEX(인턴계획표[입사일(비고)],$Q297),"yyyy-mm-dd"),INDEX(인턴계획표[입사일(비고)],$Q297)&amp;""))</f>
        <v/>
      </c>
      <c r="F297">
        <f>IF($Q297="","",IF(IF($G$3="","",INDEX(인턴계획표[[정규화1]:[정규화6]],$Q297,$G$3)&amp;"")="","",IF(LEFT(IF($G$3="","",INDEX(인턴계획표[[정규화1]:[정규화6]],$Q297,$G$3)&amp;""),1)="⚠",IF($G$3="","",INDEX(인턴계획표[[정규화1]:[정규화6]],$Q297,$G$3)&amp;""),IFERROR(LEFT(IF($G$3="","",INDEX(인턴계획표[[정규화1]:[정규화6]],$Q297,$G$3)&amp;""),FIND(" ",IF($G$3="","",INDEX(인턴계획표[[정규화1]:[정규화6]],$Q297,$G$3)&amp;""))-1),IF($G$3="","",INDEX(인턴계획표[[정규화1]:[정규화6]],$Q297,$G$3)&amp;"")))))</f>
        <v/>
      </c>
      <c r="G297">
        <f>IF($Q297="","",IF(IF($G$3="","",INDEX(인턴계획표[[정규화1]:[정규화6]],$Q297,$G$3)&amp;"")="","",IF(LEFT(IF($G$3="","",INDEX(인턴계획표[[정규화1]:[정규화6]],$Q297,$G$3)&amp;""),1)="⚠","",IFERROR(MID(IF($G$3="","",INDEX(인턴계획표[[정규화1]:[정규화6]],$Q297,$G$3)&amp;""),FIND(" ",IF($G$3="","",INDEX(인턴계획표[[정규화1]:[정규화6]],$Q297,$G$3)&amp;""))+1,60),""))))</f>
        <v/>
      </c>
      <c r="H297">
        <f>IF($Q297="","",IF(IF($I$3="","",INDEX(인턴계획표[[정규화1]:[정규화6]],$Q297,$I$3)&amp;"")="","",IF(LEFT(IF($I$3="","",INDEX(인턴계획표[[정규화1]:[정규화6]],$Q297,$I$3)&amp;""),1)="⚠",IF($I$3="","",INDEX(인턴계획표[[정규화1]:[정규화6]],$Q297,$I$3)&amp;""),IFERROR(LEFT(IF($I$3="","",INDEX(인턴계획표[[정규화1]:[정규화6]],$Q297,$I$3)&amp;""),FIND(" ",IF($I$3="","",INDEX(인턴계획표[[정규화1]:[정규화6]],$Q297,$I$3)&amp;""))-1),IF($I$3="","",INDEX(인턴계획표[[정규화1]:[정규화6]],$Q297,$I$3)&amp;"")))))</f>
        <v/>
      </c>
      <c r="I297">
        <f>IF($Q297="","",IF(IF($I$3="","",INDEX(인턴계획표[[정규화1]:[정규화6]],$Q297,$I$3)&amp;"")="","",IF(LEFT(IF($I$3="","",INDEX(인턴계획표[[정규화1]:[정규화6]],$Q297,$I$3)&amp;""),1)="⚠","",IFERROR(MID(IF($I$3="","",INDEX(인턴계획표[[정규화1]:[정규화6]],$Q297,$I$3)&amp;""),FIND(" ",IF($I$3="","",INDEX(인턴계획표[[정규화1]:[정규화6]],$Q297,$I$3)&amp;""))+1,60),""))))</f>
        <v/>
      </c>
      <c r="J297">
        <f>IF($Q297="","",INDEX(인턴계획표[정규화1],$Q297))</f>
        <v/>
      </c>
      <c r="K297">
        <f>IF($Q297="","",INDEX(인턴계획표[정규화2],$Q297))</f>
        <v/>
      </c>
      <c r="L297">
        <f>IF($Q297="","",INDEX(인턴계획표[정규화3],$Q297))</f>
        <v/>
      </c>
      <c r="M297">
        <f>IF($Q297="","",INDEX(인턴계획표[정규화4],$Q297))</f>
        <v/>
      </c>
      <c r="N297">
        <f>IF($Q297="","",INDEX(인턴계획표[정규화5],$Q297))</f>
        <v/>
      </c>
      <c r="O297">
        <f>IF($Q297="","",INDEX(인턴계획표[정규화6],$Q297))</f>
        <v/>
      </c>
      <c r="P297">
        <f>IF($Q297="","",INDEX(인턴계획표[입력오류],$Q297))</f>
        <v/>
      </c>
      <c r="Q297" s="17">
        <f>IFERROR(MATCH(292,인턴계획표[표시순번],0),"")</f>
        <v/>
      </c>
    </row>
    <row r="298">
      <c r="A298">
        <f>IF($Q298="","",INDEX(인턴계획표[순번],$Q298)&amp;"")</f>
        <v/>
      </c>
      <c r="B298">
        <f>IF($Q298="","",TRIM(INDEX(인턴계획표[이름],$Q298)&amp;""))</f>
        <v/>
      </c>
      <c r="C298">
        <f>IF($Q298="","",INDEX(인턴계획표[사번],$Q298)&amp;"")</f>
        <v/>
      </c>
      <c r="D298">
        <f>IF($Q298="","",IF(COUNTIF(기본자료표[사번키],INDEX(인턴계획표[사번키],$Q298))&gt;0,"확인","미등록"))</f>
        <v/>
      </c>
      <c r="E298">
        <f>IF($Q298="","",IF(ISNUMBER(INDEX(인턴계획표[입사일(비고)],$Q298)),TEXT(INDEX(인턴계획표[입사일(비고)],$Q298),"yyyy-mm-dd"),INDEX(인턴계획표[입사일(비고)],$Q298)&amp;""))</f>
        <v/>
      </c>
      <c r="F298">
        <f>IF($Q298="","",IF(IF($G$3="","",INDEX(인턴계획표[[정규화1]:[정규화6]],$Q298,$G$3)&amp;"")="","",IF(LEFT(IF($G$3="","",INDEX(인턴계획표[[정규화1]:[정규화6]],$Q298,$G$3)&amp;""),1)="⚠",IF($G$3="","",INDEX(인턴계획표[[정규화1]:[정규화6]],$Q298,$G$3)&amp;""),IFERROR(LEFT(IF($G$3="","",INDEX(인턴계획표[[정규화1]:[정규화6]],$Q298,$G$3)&amp;""),FIND(" ",IF($G$3="","",INDEX(인턴계획표[[정규화1]:[정규화6]],$Q298,$G$3)&amp;""))-1),IF($G$3="","",INDEX(인턴계획표[[정규화1]:[정규화6]],$Q298,$G$3)&amp;"")))))</f>
        <v/>
      </c>
      <c r="G298">
        <f>IF($Q298="","",IF(IF($G$3="","",INDEX(인턴계획표[[정규화1]:[정규화6]],$Q298,$G$3)&amp;"")="","",IF(LEFT(IF($G$3="","",INDEX(인턴계획표[[정규화1]:[정규화6]],$Q298,$G$3)&amp;""),1)="⚠","",IFERROR(MID(IF($G$3="","",INDEX(인턴계획표[[정규화1]:[정규화6]],$Q298,$G$3)&amp;""),FIND(" ",IF($G$3="","",INDEX(인턴계획표[[정규화1]:[정규화6]],$Q298,$G$3)&amp;""))+1,60),""))))</f>
        <v/>
      </c>
      <c r="H298">
        <f>IF($Q298="","",IF(IF($I$3="","",INDEX(인턴계획표[[정규화1]:[정규화6]],$Q298,$I$3)&amp;"")="","",IF(LEFT(IF($I$3="","",INDEX(인턴계획표[[정규화1]:[정규화6]],$Q298,$I$3)&amp;""),1)="⚠",IF($I$3="","",INDEX(인턴계획표[[정규화1]:[정규화6]],$Q298,$I$3)&amp;""),IFERROR(LEFT(IF($I$3="","",INDEX(인턴계획표[[정규화1]:[정규화6]],$Q298,$I$3)&amp;""),FIND(" ",IF($I$3="","",INDEX(인턴계획표[[정규화1]:[정규화6]],$Q298,$I$3)&amp;""))-1),IF($I$3="","",INDEX(인턴계획표[[정규화1]:[정규화6]],$Q298,$I$3)&amp;"")))))</f>
        <v/>
      </c>
      <c r="I298">
        <f>IF($Q298="","",IF(IF($I$3="","",INDEX(인턴계획표[[정규화1]:[정규화6]],$Q298,$I$3)&amp;"")="","",IF(LEFT(IF($I$3="","",INDEX(인턴계획표[[정규화1]:[정규화6]],$Q298,$I$3)&amp;""),1)="⚠","",IFERROR(MID(IF($I$3="","",INDEX(인턴계획표[[정규화1]:[정규화6]],$Q298,$I$3)&amp;""),FIND(" ",IF($I$3="","",INDEX(인턴계획표[[정규화1]:[정규화6]],$Q298,$I$3)&amp;""))+1,60),""))))</f>
        <v/>
      </c>
      <c r="J298">
        <f>IF($Q298="","",INDEX(인턴계획표[정규화1],$Q298))</f>
        <v/>
      </c>
      <c r="K298">
        <f>IF($Q298="","",INDEX(인턴계획표[정규화2],$Q298))</f>
        <v/>
      </c>
      <c r="L298">
        <f>IF($Q298="","",INDEX(인턴계획표[정규화3],$Q298))</f>
        <v/>
      </c>
      <c r="M298">
        <f>IF($Q298="","",INDEX(인턴계획표[정규화4],$Q298))</f>
        <v/>
      </c>
      <c r="N298">
        <f>IF($Q298="","",INDEX(인턴계획표[정규화5],$Q298))</f>
        <v/>
      </c>
      <c r="O298">
        <f>IF($Q298="","",INDEX(인턴계획표[정규화6],$Q298))</f>
        <v/>
      </c>
      <c r="P298">
        <f>IF($Q298="","",INDEX(인턴계획표[입력오류],$Q298))</f>
        <v/>
      </c>
      <c r="Q298" s="17">
        <f>IFERROR(MATCH(293,인턴계획표[표시순번],0),"")</f>
        <v/>
      </c>
    </row>
    <row r="299">
      <c r="A299">
        <f>IF($Q299="","",INDEX(인턴계획표[순번],$Q299)&amp;"")</f>
        <v/>
      </c>
      <c r="B299">
        <f>IF($Q299="","",TRIM(INDEX(인턴계획표[이름],$Q299)&amp;""))</f>
        <v/>
      </c>
      <c r="C299">
        <f>IF($Q299="","",INDEX(인턴계획표[사번],$Q299)&amp;"")</f>
        <v/>
      </c>
      <c r="D299">
        <f>IF($Q299="","",IF(COUNTIF(기본자료표[사번키],INDEX(인턴계획표[사번키],$Q299))&gt;0,"확인","미등록"))</f>
        <v/>
      </c>
      <c r="E299">
        <f>IF($Q299="","",IF(ISNUMBER(INDEX(인턴계획표[입사일(비고)],$Q299)),TEXT(INDEX(인턴계획표[입사일(비고)],$Q299),"yyyy-mm-dd"),INDEX(인턴계획표[입사일(비고)],$Q299)&amp;""))</f>
        <v/>
      </c>
      <c r="F299">
        <f>IF($Q299="","",IF(IF($G$3="","",INDEX(인턴계획표[[정규화1]:[정규화6]],$Q299,$G$3)&amp;"")="","",IF(LEFT(IF($G$3="","",INDEX(인턴계획표[[정규화1]:[정규화6]],$Q299,$G$3)&amp;""),1)="⚠",IF($G$3="","",INDEX(인턴계획표[[정규화1]:[정규화6]],$Q299,$G$3)&amp;""),IFERROR(LEFT(IF($G$3="","",INDEX(인턴계획표[[정규화1]:[정규화6]],$Q299,$G$3)&amp;""),FIND(" ",IF($G$3="","",INDEX(인턴계획표[[정규화1]:[정규화6]],$Q299,$G$3)&amp;""))-1),IF($G$3="","",INDEX(인턴계획표[[정규화1]:[정규화6]],$Q299,$G$3)&amp;"")))))</f>
        <v/>
      </c>
      <c r="G299">
        <f>IF($Q299="","",IF(IF($G$3="","",INDEX(인턴계획표[[정규화1]:[정규화6]],$Q299,$G$3)&amp;"")="","",IF(LEFT(IF($G$3="","",INDEX(인턴계획표[[정규화1]:[정규화6]],$Q299,$G$3)&amp;""),1)="⚠","",IFERROR(MID(IF($G$3="","",INDEX(인턴계획표[[정규화1]:[정규화6]],$Q299,$G$3)&amp;""),FIND(" ",IF($G$3="","",INDEX(인턴계획표[[정규화1]:[정규화6]],$Q299,$G$3)&amp;""))+1,60),""))))</f>
        <v/>
      </c>
      <c r="H299">
        <f>IF($Q299="","",IF(IF($I$3="","",INDEX(인턴계획표[[정규화1]:[정규화6]],$Q299,$I$3)&amp;"")="","",IF(LEFT(IF($I$3="","",INDEX(인턴계획표[[정규화1]:[정규화6]],$Q299,$I$3)&amp;""),1)="⚠",IF($I$3="","",INDEX(인턴계획표[[정규화1]:[정규화6]],$Q299,$I$3)&amp;""),IFERROR(LEFT(IF($I$3="","",INDEX(인턴계획표[[정규화1]:[정규화6]],$Q299,$I$3)&amp;""),FIND(" ",IF($I$3="","",INDEX(인턴계획표[[정규화1]:[정규화6]],$Q299,$I$3)&amp;""))-1),IF($I$3="","",INDEX(인턴계획표[[정규화1]:[정규화6]],$Q299,$I$3)&amp;"")))))</f>
        <v/>
      </c>
      <c r="I299">
        <f>IF($Q299="","",IF(IF($I$3="","",INDEX(인턴계획표[[정규화1]:[정규화6]],$Q299,$I$3)&amp;"")="","",IF(LEFT(IF($I$3="","",INDEX(인턴계획표[[정규화1]:[정규화6]],$Q299,$I$3)&amp;""),1)="⚠","",IFERROR(MID(IF($I$3="","",INDEX(인턴계획표[[정규화1]:[정규화6]],$Q299,$I$3)&amp;""),FIND(" ",IF($I$3="","",INDEX(인턴계획표[[정규화1]:[정규화6]],$Q299,$I$3)&amp;""))+1,60),""))))</f>
        <v/>
      </c>
      <c r="J299">
        <f>IF($Q299="","",INDEX(인턴계획표[정규화1],$Q299))</f>
        <v/>
      </c>
      <c r="K299">
        <f>IF($Q299="","",INDEX(인턴계획표[정규화2],$Q299))</f>
        <v/>
      </c>
      <c r="L299">
        <f>IF($Q299="","",INDEX(인턴계획표[정규화3],$Q299))</f>
        <v/>
      </c>
      <c r="M299">
        <f>IF($Q299="","",INDEX(인턴계획표[정규화4],$Q299))</f>
        <v/>
      </c>
      <c r="N299">
        <f>IF($Q299="","",INDEX(인턴계획표[정규화5],$Q299))</f>
        <v/>
      </c>
      <c r="O299">
        <f>IF($Q299="","",INDEX(인턴계획표[정규화6],$Q299))</f>
        <v/>
      </c>
      <c r="P299">
        <f>IF($Q299="","",INDEX(인턴계획표[입력오류],$Q299))</f>
        <v/>
      </c>
      <c r="Q299" s="17">
        <f>IFERROR(MATCH(294,인턴계획표[표시순번],0),"")</f>
        <v/>
      </c>
    </row>
    <row r="300">
      <c r="A300">
        <f>IF($Q300="","",INDEX(인턴계획표[순번],$Q300)&amp;"")</f>
        <v/>
      </c>
      <c r="B300">
        <f>IF($Q300="","",TRIM(INDEX(인턴계획표[이름],$Q300)&amp;""))</f>
        <v/>
      </c>
      <c r="C300">
        <f>IF($Q300="","",INDEX(인턴계획표[사번],$Q300)&amp;"")</f>
        <v/>
      </c>
      <c r="D300">
        <f>IF($Q300="","",IF(COUNTIF(기본자료표[사번키],INDEX(인턴계획표[사번키],$Q300))&gt;0,"확인","미등록"))</f>
        <v/>
      </c>
      <c r="E300">
        <f>IF($Q300="","",IF(ISNUMBER(INDEX(인턴계획표[입사일(비고)],$Q300)),TEXT(INDEX(인턴계획표[입사일(비고)],$Q300),"yyyy-mm-dd"),INDEX(인턴계획표[입사일(비고)],$Q300)&amp;""))</f>
        <v/>
      </c>
      <c r="F300">
        <f>IF($Q300="","",IF(IF($G$3="","",INDEX(인턴계획표[[정규화1]:[정규화6]],$Q300,$G$3)&amp;"")="","",IF(LEFT(IF($G$3="","",INDEX(인턴계획표[[정규화1]:[정규화6]],$Q300,$G$3)&amp;""),1)="⚠",IF($G$3="","",INDEX(인턴계획표[[정규화1]:[정규화6]],$Q300,$G$3)&amp;""),IFERROR(LEFT(IF($G$3="","",INDEX(인턴계획표[[정규화1]:[정규화6]],$Q300,$G$3)&amp;""),FIND(" ",IF($G$3="","",INDEX(인턴계획표[[정규화1]:[정규화6]],$Q300,$G$3)&amp;""))-1),IF($G$3="","",INDEX(인턴계획표[[정규화1]:[정규화6]],$Q300,$G$3)&amp;"")))))</f>
        <v/>
      </c>
      <c r="G300">
        <f>IF($Q300="","",IF(IF($G$3="","",INDEX(인턴계획표[[정규화1]:[정규화6]],$Q300,$G$3)&amp;"")="","",IF(LEFT(IF($G$3="","",INDEX(인턴계획표[[정규화1]:[정규화6]],$Q300,$G$3)&amp;""),1)="⚠","",IFERROR(MID(IF($G$3="","",INDEX(인턴계획표[[정규화1]:[정규화6]],$Q300,$G$3)&amp;""),FIND(" ",IF($G$3="","",INDEX(인턴계획표[[정규화1]:[정규화6]],$Q300,$G$3)&amp;""))+1,60),""))))</f>
        <v/>
      </c>
      <c r="H300">
        <f>IF($Q300="","",IF(IF($I$3="","",INDEX(인턴계획표[[정규화1]:[정규화6]],$Q300,$I$3)&amp;"")="","",IF(LEFT(IF($I$3="","",INDEX(인턴계획표[[정규화1]:[정규화6]],$Q300,$I$3)&amp;""),1)="⚠",IF($I$3="","",INDEX(인턴계획표[[정규화1]:[정규화6]],$Q300,$I$3)&amp;""),IFERROR(LEFT(IF($I$3="","",INDEX(인턴계획표[[정규화1]:[정규화6]],$Q300,$I$3)&amp;""),FIND(" ",IF($I$3="","",INDEX(인턴계획표[[정규화1]:[정규화6]],$Q300,$I$3)&amp;""))-1),IF($I$3="","",INDEX(인턴계획표[[정규화1]:[정규화6]],$Q300,$I$3)&amp;"")))))</f>
        <v/>
      </c>
      <c r="I300">
        <f>IF($Q300="","",IF(IF($I$3="","",INDEX(인턴계획표[[정규화1]:[정규화6]],$Q300,$I$3)&amp;"")="","",IF(LEFT(IF($I$3="","",INDEX(인턴계획표[[정규화1]:[정규화6]],$Q300,$I$3)&amp;""),1)="⚠","",IFERROR(MID(IF($I$3="","",INDEX(인턴계획표[[정규화1]:[정규화6]],$Q300,$I$3)&amp;""),FIND(" ",IF($I$3="","",INDEX(인턴계획표[[정규화1]:[정규화6]],$Q300,$I$3)&amp;""))+1,60),""))))</f>
        <v/>
      </c>
      <c r="J300">
        <f>IF($Q300="","",INDEX(인턴계획표[정규화1],$Q300))</f>
        <v/>
      </c>
      <c r="K300">
        <f>IF($Q300="","",INDEX(인턴계획표[정규화2],$Q300))</f>
        <v/>
      </c>
      <c r="L300">
        <f>IF($Q300="","",INDEX(인턴계획표[정규화3],$Q300))</f>
        <v/>
      </c>
      <c r="M300">
        <f>IF($Q300="","",INDEX(인턴계획표[정규화4],$Q300))</f>
        <v/>
      </c>
      <c r="N300">
        <f>IF($Q300="","",INDEX(인턴계획표[정규화5],$Q300))</f>
        <v/>
      </c>
      <c r="O300">
        <f>IF($Q300="","",INDEX(인턴계획표[정규화6],$Q300))</f>
        <v/>
      </c>
      <c r="P300">
        <f>IF($Q300="","",INDEX(인턴계획표[입력오류],$Q300))</f>
        <v/>
      </c>
      <c r="Q300" s="17">
        <f>IFERROR(MATCH(295,인턴계획표[표시순번],0),"")</f>
        <v/>
      </c>
    </row>
    <row r="301">
      <c r="A301">
        <f>IF($Q301="","",INDEX(인턴계획표[순번],$Q301)&amp;"")</f>
        <v/>
      </c>
      <c r="B301">
        <f>IF($Q301="","",TRIM(INDEX(인턴계획표[이름],$Q301)&amp;""))</f>
        <v/>
      </c>
      <c r="C301">
        <f>IF($Q301="","",INDEX(인턴계획표[사번],$Q301)&amp;"")</f>
        <v/>
      </c>
      <c r="D301">
        <f>IF($Q301="","",IF(COUNTIF(기본자료표[사번키],INDEX(인턴계획표[사번키],$Q301))&gt;0,"확인","미등록"))</f>
        <v/>
      </c>
      <c r="E301">
        <f>IF($Q301="","",IF(ISNUMBER(INDEX(인턴계획표[입사일(비고)],$Q301)),TEXT(INDEX(인턴계획표[입사일(비고)],$Q301),"yyyy-mm-dd"),INDEX(인턴계획표[입사일(비고)],$Q301)&amp;""))</f>
        <v/>
      </c>
      <c r="F301">
        <f>IF($Q301="","",IF(IF($G$3="","",INDEX(인턴계획표[[정규화1]:[정규화6]],$Q301,$G$3)&amp;"")="","",IF(LEFT(IF($G$3="","",INDEX(인턴계획표[[정규화1]:[정규화6]],$Q301,$G$3)&amp;""),1)="⚠",IF($G$3="","",INDEX(인턴계획표[[정규화1]:[정규화6]],$Q301,$G$3)&amp;""),IFERROR(LEFT(IF($G$3="","",INDEX(인턴계획표[[정규화1]:[정규화6]],$Q301,$G$3)&amp;""),FIND(" ",IF($G$3="","",INDEX(인턴계획표[[정규화1]:[정규화6]],$Q301,$G$3)&amp;""))-1),IF($G$3="","",INDEX(인턴계획표[[정규화1]:[정규화6]],$Q301,$G$3)&amp;"")))))</f>
        <v/>
      </c>
      <c r="G301">
        <f>IF($Q301="","",IF(IF($G$3="","",INDEX(인턴계획표[[정규화1]:[정규화6]],$Q301,$G$3)&amp;"")="","",IF(LEFT(IF($G$3="","",INDEX(인턴계획표[[정규화1]:[정규화6]],$Q301,$G$3)&amp;""),1)="⚠","",IFERROR(MID(IF($G$3="","",INDEX(인턴계획표[[정규화1]:[정규화6]],$Q301,$G$3)&amp;""),FIND(" ",IF($G$3="","",INDEX(인턴계획표[[정규화1]:[정규화6]],$Q301,$G$3)&amp;""))+1,60),""))))</f>
        <v/>
      </c>
      <c r="H301">
        <f>IF($Q301="","",IF(IF($I$3="","",INDEX(인턴계획표[[정규화1]:[정규화6]],$Q301,$I$3)&amp;"")="","",IF(LEFT(IF($I$3="","",INDEX(인턴계획표[[정규화1]:[정규화6]],$Q301,$I$3)&amp;""),1)="⚠",IF($I$3="","",INDEX(인턴계획표[[정규화1]:[정규화6]],$Q301,$I$3)&amp;""),IFERROR(LEFT(IF($I$3="","",INDEX(인턴계획표[[정규화1]:[정규화6]],$Q301,$I$3)&amp;""),FIND(" ",IF($I$3="","",INDEX(인턴계획표[[정규화1]:[정규화6]],$Q301,$I$3)&amp;""))-1),IF($I$3="","",INDEX(인턴계획표[[정규화1]:[정규화6]],$Q301,$I$3)&amp;"")))))</f>
        <v/>
      </c>
      <c r="I301">
        <f>IF($Q301="","",IF(IF($I$3="","",INDEX(인턴계획표[[정규화1]:[정규화6]],$Q301,$I$3)&amp;"")="","",IF(LEFT(IF($I$3="","",INDEX(인턴계획표[[정규화1]:[정규화6]],$Q301,$I$3)&amp;""),1)="⚠","",IFERROR(MID(IF($I$3="","",INDEX(인턴계획표[[정규화1]:[정규화6]],$Q301,$I$3)&amp;""),FIND(" ",IF($I$3="","",INDEX(인턴계획표[[정규화1]:[정규화6]],$Q301,$I$3)&amp;""))+1,60),""))))</f>
        <v/>
      </c>
      <c r="J301">
        <f>IF($Q301="","",INDEX(인턴계획표[정규화1],$Q301))</f>
        <v/>
      </c>
      <c r="K301">
        <f>IF($Q301="","",INDEX(인턴계획표[정규화2],$Q301))</f>
        <v/>
      </c>
      <c r="L301">
        <f>IF($Q301="","",INDEX(인턴계획표[정규화3],$Q301))</f>
        <v/>
      </c>
      <c r="M301">
        <f>IF($Q301="","",INDEX(인턴계획표[정규화4],$Q301))</f>
        <v/>
      </c>
      <c r="N301">
        <f>IF($Q301="","",INDEX(인턴계획표[정규화5],$Q301))</f>
        <v/>
      </c>
      <c r="O301">
        <f>IF($Q301="","",INDEX(인턴계획표[정규화6],$Q301))</f>
        <v/>
      </c>
      <c r="P301">
        <f>IF($Q301="","",INDEX(인턴계획표[입력오류],$Q301))</f>
        <v/>
      </c>
      <c r="Q301" s="17">
        <f>IFERROR(MATCH(296,인턴계획표[표시순번],0),"")</f>
        <v/>
      </c>
    </row>
    <row r="302">
      <c r="A302">
        <f>IF($Q302="","",INDEX(인턴계획표[순번],$Q302)&amp;"")</f>
        <v/>
      </c>
      <c r="B302">
        <f>IF($Q302="","",TRIM(INDEX(인턴계획표[이름],$Q302)&amp;""))</f>
        <v/>
      </c>
      <c r="C302">
        <f>IF($Q302="","",INDEX(인턴계획표[사번],$Q302)&amp;"")</f>
        <v/>
      </c>
      <c r="D302">
        <f>IF($Q302="","",IF(COUNTIF(기본자료표[사번키],INDEX(인턴계획표[사번키],$Q302))&gt;0,"확인","미등록"))</f>
        <v/>
      </c>
      <c r="E302">
        <f>IF($Q302="","",IF(ISNUMBER(INDEX(인턴계획표[입사일(비고)],$Q302)),TEXT(INDEX(인턴계획표[입사일(비고)],$Q302),"yyyy-mm-dd"),INDEX(인턴계획표[입사일(비고)],$Q302)&amp;""))</f>
        <v/>
      </c>
      <c r="F302">
        <f>IF($Q302="","",IF(IF($G$3="","",INDEX(인턴계획표[[정규화1]:[정규화6]],$Q302,$G$3)&amp;"")="","",IF(LEFT(IF($G$3="","",INDEX(인턴계획표[[정규화1]:[정규화6]],$Q302,$G$3)&amp;""),1)="⚠",IF($G$3="","",INDEX(인턴계획표[[정규화1]:[정규화6]],$Q302,$G$3)&amp;""),IFERROR(LEFT(IF($G$3="","",INDEX(인턴계획표[[정규화1]:[정규화6]],$Q302,$G$3)&amp;""),FIND(" ",IF($G$3="","",INDEX(인턴계획표[[정규화1]:[정규화6]],$Q302,$G$3)&amp;""))-1),IF($G$3="","",INDEX(인턴계획표[[정규화1]:[정규화6]],$Q302,$G$3)&amp;"")))))</f>
        <v/>
      </c>
      <c r="G302">
        <f>IF($Q302="","",IF(IF($G$3="","",INDEX(인턴계획표[[정규화1]:[정규화6]],$Q302,$G$3)&amp;"")="","",IF(LEFT(IF($G$3="","",INDEX(인턴계획표[[정규화1]:[정규화6]],$Q302,$G$3)&amp;""),1)="⚠","",IFERROR(MID(IF($G$3="","",INDEX(인턴계획표[[정규화1]:[정규화6]],$Q302,$G$3)&amp;""),FIND(" ",IF($G$3="","",INDEX(인턴계획표[[정규화1]:[정규화6]],$Q302,$G$3)&amp;""))+1,60),""))))</f>
        <v/>
      </c>
      <c r="H302">
        <f>IF($Q302="","",IF(IF($I$3="","",INDEX(인턴계획표[[정규화1]:[정규화6]],$Q302,$I$3)&amp;"")="","",IF(LEFT(IF($I$3="","",INDEX(인턴계획표[[정규화1]:[정규화6]],$Q302,$I$3)&amp;""),1)="⚠",IF($I$3="","",INDEX(인턴계획표[[정규화1]:[정규화6]],$Q302,$I$3)&amp;""),IFERROR(LEFT(IF($I$3="","",INDEX(인턴계획표[[정규화1]:[정규화6]],$Q302,$I$3)&amp;""),FIND(" ",IF($I$3="","",INDEX(인턴계획표[[정규화1]:[정규화6]],$Q302,$I$3)&amp;""))-1),IF($I$3="","",INDEX(인턴계획표[[정규화1]:[정규화6]],$Q302,$I$3)&amp;"")))))</f>
        <v/>
      </c>
      <c r="I302">
        <f>IF($Q302="","",IF(IF($I$3="","",INDEX(인턴계획표[[정규화1]:[정규화6]],$Q302,$I$3)&amp;"")="","",IF(LEFT(IF($I$3="","",INDEX(인턴계획표[[정규화1]:[정규화6]],$Q302,$I$3)&amp;""),1)="⚠","",IFERROR(MID(IF($I$3="","",INDEX(인턴계획표[[정규화1]:[정규화6]],$Q302,$I$3)&amp;""),FIND(" ",IF($I$3="","",INDEX(인턴계획표[[정규화1]:[정규화6]],$Q302,$I$3)&amp;""))+1,60),""))))</f>
        <v/>
      </c>
      <c r="J302">
        <f>IF($Q302="","",INDEX(인턴계획표[정규화1],$Q302))</f>
        <v/>
      </c>
      <c r="K302">
        <f>IF($Q302="","",INDEX(인턴계획표[정규화2],$Q302))</f>
        <v/>
      </c>
      <c r="L302">
        <f>IF($Q302="","",INDEX(인턴계획표[정규화3],$Q302))</f>
        <v/>
      </c>
      <c r="M302">
        <f>IF($Q302="","",INDEX(인턴계획표[정규화4],$Q302))</f>
        <v/>
      </c>
      <c r="N302">
        <f>IF($Q302="","",INDEX(인턴계획표[정규화5],$Q302))</f>
        <v/>
      </c>
      <c r="O302">
        <f>IF($Q302="","",INDEX(인턴계획표[정규화6],$Q302))</f>
        <v/>
      </c>
      <c r="P302">
        <f>IF($Q302="","",INDEX(인턴계획표[입력오류],$Q302))</f>
        <v/>
      </c>
      <c r="Q302" s="17">
        <f>IFERROR(MATCH(297,인턴계획표[표시순번],0),"")</f>
        <v/>
      </c>
    </row>
    <row r="303">
      <c r="A303">
        <f>IF($Q303="","",INDEX(인턴계획표[순번],$Q303)&amp;"")</f>
        <v/>
      </c>
      <c r="B303">
        <f>IF($Q303="","",TRIM(INDEX(인턴계획표[이름],$Q303)&amp;""))</f>
        <v/>
      </c>
      <c r="C303">
        <f>IF($Q303="","",INDEX(인턴계획표[사번],$Q303)&amp;"")</f>
        <v/>
      </c>
      <c r="D303">
        <f>IF($Q303="","",IF(COUNTIF(기본자료표[사번키],INDEX(인턴계획표[사번키],$Q303))&gt;0,"확인","미등록"))</f>
        <v/>
      </c>
      <c r="E303">
        <f>IF($Q303="","",IF(ISNUMBER(INDEX(인턴계획표[입사일(비고)],$Q303)),TEXT(INDEX(인턴계획표[입사일(비고)],$Q303),"yyyy-mm-dd"),INDEX(인턴계획표[입사일(비고)],$Q303)&amp;""))</f>
        <v/>
      </c>
      <c r="F303">
        <f>IF($Q303="","",IF(IF($G$3="","",INDEX(인턴계획표[[정규화1]:[정규화6]],$Q303,$G$3)&amp;"")="","",IF(LEFT(IF($G$3="","",INDEX(인턴계획표[[정규화1]:[정규화6]],$Q303,$G$3)&amp;""),1)="⚠",IF($G$3="","",INDEX(인턴계획표[[정규화1]:[정규화6]],$Q303,$G$3)&amp;""),IFERROR(LEFT(IF($G$3="","",INDEX(인턴계획표[[정규화1]:[정규화6]],$Q303,$G$3)&amp;""),FIND(" ",IF($G$3="","",INDEX(인턴계획표[[정규화1]:[정규화6]],$Q303,$G$3)&amp;""))-1),IF($G$3="","",INDEX(인턴계획표[[정규화1]:[정규화6]],$Q303,$G$3)&amp;"")))))</f>
        <v/>
      </c>
      <c r="G303">
        <f>IF($Q303="","",IF(IF($G$3="","",INDEX(인턴계획표[[정규화1]:[정규화6]],$Q303,$G$3)&amp;"")="","",IF(LEFT(IF($G$3="","",INDEX(인턴계획표[[정규화1]:[정규화6]],$Q303,$G$3)&amp;""),1)="⚠","",IFERROR(MID(IF($G$3="","",INDEX(인턴계획표[[정규화1]:[정규화6]],$Q303,$G$3)&amp;""),FIND(" ",IF($G$3="","",INDEX(인턴계획표[[정규화1]:[정규화6]],$Q303,$G$3)&amp;""))+1,60),""))))</f>
        <v/>
      </c>
      <c r="H303">
        <f>IF($Q303="","",IF(IF($I$3="","",INDEX(인턴계획표[[정규화1]:[정규화6]],$Q303,$I$3)&amp;"")="","",IF(LEFT(IF($I$3="","",INDEX(인턴계획표[[정규화1]:[정규화6]],$Q303,$I$3)&amp;""),1)="⚠",IF($I$3="","",INDEX(인턴계획표[[정규화1]:[정규화6]],$Q303,$I$3)&amp;""),IFERROR(LEFT(IF($I$3="","",INDEX(인턴계획표[[정규화1]:[정규화6]],$Q303,$I$3)&amp;""),FIND(" ",IF($I$3="","",INDEX(인턴계획표[[정규화1]:[정규화6]],$Q303,$I$3)&amp;""))-1),IF($I$3="","",INDEX(인턴계획표[[정규화1]:[정규화6]],$Q303,$I$3)&amp;"")))))</f>
        <v/>
      </c>
      <c r="I303">
        <f>IF($Q303="","",IF(IF($I$3="","",INDEX(인턴계획표[[정규화1]:[정규화6]],$Q303,$I$3)&amp;"")="","",IF(LEFT(IF($I$3="","",INDEX(인턴계획표[[정규화1]:[정규화6]],$Q303,$I$3)&amp;""),1)="⚠","",IFERROR(MID(IF($I$3="","",INDEX(인턴계획표[[정규화1]:[정규화6]],$Q303,$I$3)&amp;""),FIND(" ",IF($I$3="","",INDEX(인턴계획표[[정규화1]:[정규화6]],$Q303,$I$3)&amp;""))+1,60),""))))</f>
        <v/>
      </c>
      <c r="J303">
        <f>IF($Q303="","",INDEX(인턴계획표[정규화1],$Q303))</f>
        <v/>
      </c>
      <c r="K303">
        <f>IF($Q303="","",INDEX(인턴계획표[정규화2],$Q303))</f>
        <v/>
      </c>
      <c r="L303">
        <f>IF($Q303="","",INDEX(인턴계획표[정규화3],$Q303))</f>
        <v/>
      </c>
      <c r="M303">
        <f>IF($Q303="","",INDEX(인턴계획표[정규화4],$Q303))</f>
        <v/>
      </c>
      <c r="N303">
        <f>IF($Q303="","",INDEX(인턴계획표[정규화5],$Q303))</f>
        <v/>
      </c>
      <c r="O303">
        <f>IF($Q303="","",INDEX(인턴계획표[정규화6],$Q303))</f>
        <v/>
      </c>
      <c r="P303">
        <f>IF($Q303="","",INDEX(인턴계획표[입력오류],$Q303))</f>
        <v/>
      </c>
      <c r="Q303" s="17">
        <f>IFERROR(MATCH(298,인턴계획표[표시순번],0),"")</f>
        <v/>
      </c>
    </row>
    <row r="304">
      <c r="A304">
        <f>IF($Q304="","",INDEX(인턴계획표[순번],$Q304)&amp;"")</f>
        <v/>
      </c>
      <c r="B304">
        <f>IF($Q304="","",TRIM(INDEX(인턴계획표[이름],$Q304)&amp;""))</f>
        <v/>
      </c>
      <c r="C304">
        <f>IF($Q304="","",INDEX(인턴계획표[사번],$Q304)&amp;"")</f>
        <v/>
      </c>
      <c r="D304">
        <f>IF($Q304="","",IF(COUNTIF(기본자료표[사번키],INDEX(인턴계획표[사번키],$Q304))&gt;0,"확인","미등록"))</f>
        <v/>
      </c>
      <c r="E304">
        <f>IF($Q304="","",IF(ISNUMBER(INDEX(인턴계획표[입사일(비고)],$Q304)),TEXT(INDEX(인턴계획표[입사일(비고)],$Q304),"yyyy-mm-dd"),INDEX(인턴계획표[입사일(비고)],$Q304)&amp;""))</f>
        <v/>
      </c>
      <c r="F304">
        <f>IF($Q304="","",IF(IF($G$3="","",INDEX(인턴계획표[[정규화1]:[정규화6]],$Q304,$G$3)&amp;"")="","",IF(LEFT(IF($G$3="","",INDEX(인턴계획표[[정규화1]:[정규화6]],$Q304,$G$3)&amp;""),1)="⚠",IF($G$3="","",INDEX(인턴계획표[[정규화1]:[정규화6]],$Q304,$G$3)&amp;""),IFERROR(LEFT(IF($G$3="","",INDEX(인턴계획표[[정규화1]:[정규화6]],$Q304,$G$3)&amp;""),FIND(" ",IF($G$3="","",INDEX(인턴계획표[[정규화1]:[정규화6]],$Q304,$G$3)&amp;""))-1),IF($G$3="","",INDEX(인턴계획표[[정규화1]:[정규화6]],$Q304,$G$3)&amp;"")))))</f>
        <v/>
      </c>
      <c r="G304">
        <f>IF($Q304="","",IF(IF($G$3="","",INDEX(인턴계획표[[정규화1]:[정규화6]],$Q304,$G$3)&amp;"")="","",IF(LEFT(IF($G$3="","",INDEX(인턴계획표[[정규화1]:[정규화6]],$Q304,$G$3)&amp;""),1)="⚠","",IFERROR(MID(IF($G$3="","",INDEX(인턴계획표[[정규화1]:[정규화6]],$Q304,$G$3)&amp;""),FIND(" ",IF($G$3="","",INDEX(인턴계획표[[정규화1]:[정규화6]],$Q304,$G$3)&amp;""))+1,60),""))))</f>
        <v/>
      </c>
      <c r="H304">
        <f>IF($Q304="","",IF(IF($I$3="","",INDEX(인턴계획표[[정규화1]:[정규화6]],$Q304,$I$3)&amp;"")="","",IF(LEFT(IF($I$3="","",INDEX(인턴계획표[[정규화1]:[정규화6]],$Q304,$I$3)&amp;""),1)="⚠",IF($I$3="","",INDEX(인턴계획표[[정규화1]:[정규화6]],$Q304,$I$3)&amp;""),IFERROR(LEFT(IF($I$3="","",INDEX(인턴계획표[[정규화1]:[정규화6]],$Q304,$I$3)&amp;""),FIND(" ",IF($I$3="","",INDEX(인턴계획표[[정규화1]:[정규화6]],$Q304,$I$3)&amp;""))-1),IF($I$3="","",INDEX(인턴계획표[[정규화1]:[정규화6]],$Q304,$I$3)&amp;"")))))</f>
        <v/>
      </c>
      <c r="I304">
        <f>IF($Q304="","",IF(IF($I$3="","",INDEX(인턴계획표[[정규화1]:[정규화6]],$Q304,$I$3)&amp;"")="","",IF(LEFT(IF($I$3="","",INDEX(인턴계획표[[정규화1]:[정규화6]],$Q304,$I$3)&amp;""),1)="⚠","",IFERROR(MID(IF($I$3="","",INDEX(인턴계획표[[정규화1]:[정규화6]],$Q304,$I$3)&amp;""),FIND(" ",IF($I$3="","",INDEX(인턴계획표[[정규화1]:[정규화6]],$Q304,$I$3)&amp;""))+1,60),""))))</f>
        <v/>
      </c>
      <c r="J304">
        <f>IF($Q304="","",INDEX(인턴계획표[정규화1],$Q304))</f>
        <v/>
      </c>
      <c r="K304">
        <f>IF($Q304="","",INDEX(인턴계획표[정규화2],$Q304))</f>
        <v/>
      </c>
      <c r="L304">
        <f>IF($Q304="","",INDEX(인턴계획표[정규화3],$Q304))</f>
        <v/>
      </c>
      <c r="M304">
        <f>IF($Q304="","",INDEX(인턴계획표[정규화4],$Q304))</f>
        <v/>
      </c>
      <c r="N304">
        <f>IF($Q304="","",INDEX(인턴계획표[정규화5],$Q304))</f>
        <v/>
      </c>
      <c r="O304">
        <f>IF($Q304="","",INDEX(인턴계획표[정규화6],$Q304))</f>
        <v/>
      </c>
      <c r="P304">
        <f>IF($Q304="","",INDEX(인턴계획표[입력오류],$Q304))</f>
        <v/>
      </c>
      <c r="Q304" s="17">
        <f>IFERROR(MATCH(299,인턴계획표[표시순번],0),"")</f>
        <v/>
      </c>
    </row>
    <row r="305">
      <c r="A305">
        <f>IF($Q305="","",INDEX(인턴계획표[순번],$Q305)&amp;"")</f>
        <v/>
      </c>
      <c r="B305">
        <f>IF($Q305="","",TRIM(INDEX(인턴계획표[이름],$Q305)&amp;""))</f>
        <v/>
      </c>
      <c r="C305">
        <f>IF($Q305="","",INDEX(인턴계획표[사번],$Q305)&amp;"")</f>
        <v/>
      </c>
      <c r="D305">
        <f>IF($Q305="","",IF(COUNTIF(기본자료표[사번키],INDEX(인턴계획표[사번키],$Q305))&gt;0,"확인","미등록"))</f>
        <v/>
      </c>
      <c r="E305">
        <f>IF($Q305="","",IF(ISNUMBER(INDEX(인턴계획표[입사일(비고)],$Q305)),TEXT(INDEX(인턴계획표[입사일(비고)],$Q305),"yyyy-mm-dd"),INDEX(인턴계획표[입사일(비고)],$Q305)&amp;""))</f>
        <v/>
      </c>
      <c r="F305">
        <f>IF($Q305="","",IF(IF($G$3="","",INDEX(인턴계획표[[정규화1]:[정규화6]],$Q305,$G$3)&amp;"")="","",IF(LEFT(IF($G$3="","",INDEX(인턴계획표[[정규화1]:[정규화6]],$Q305,$G$3)&amp;""),1)="⚠",IF($G$3="","",INDEX(인턴계획표[[정규화1]:[정규화6]],$Q305,$G$3)&amp;""),IFERROR(LEFT(IF($G$3="","",INDEX(인턴계획표[[정규화1]:[정규화6]],$Q305,$G$3)&amp;""),FIND(" ",IF($G$3="","",INDEX(인턴계획표[[정규화1]:[정규화6]],$Q305,$G$3)&amp;""))-1),IF($G$3="","",INDEX(인턴계획표[[정규화1]:[정규화6]],$Q305,$G$3)&amp;"")))))</f>
        <v/>
      </c>
      <c r="G305">
        <f>IF($Q305="","",IF(IF($G$3="","",INDEX(인턴계획표[[정규화1]:[정규화6]],$Q305,$G$3)&amp;"")="","",IF(LEFT(IF($G$3="","",INDEX(인턴계획표[[정규화1]:[정규화6]],$Q305,$G$3)&amp;""),1)="⚠","",IFERROR(MID(IF($G$3="","",INDEX(인턴계획표[[정규화1]:[정규화6]],$Q305,$G$3)&amp;""),FIND(" ",IF($G$3="","",INDEX(인턴계획표[[정규화1]:[정규화6]],$Q305,$G$3)&amp;""))+1,60),""))))</f>
        <v/>
      </c>
      <c r="H305">
        <f>IF($Q305="","",IF(IF($I$3="","",INDEX(인턴계획표[[정규화1]:[정규화6]],$Q305,$I$3)&amp;"")="","",IF(LEFT(IF($I$3="","",INDEX(인턴계획표[[정규화1]:[정규화6]],$Q305,$I$3)&amp;""),1)="⚠",IF($I$3="","",INDEX(인턴계획표[[정규화1]:[정규화6]],$Q305,$I$3)&amp;""),IFERROR(LEFT(IF($I$3="","",INDEX(인턴계획표[[정규화1]:[정규화6]],$Q305,$I$3)&amp;""),FIND(" ",IF($I$3="","",INDEX(인턴계획표[[정규화1]:[정규화6]],$Q305,$I$3)&amp;""))-1),IF($I$3="","",INDEX(인턴계획표[[정규화1]:[정규화6]],$Q305,$I$3)&amp;"")))))</f>
        <v/>
      </c>
      <c r="I305">
        <f>IF($Q305="","",IF(IF($I$3="","",INDEX(인턴계획표[[정규화1]:[정규화6]],$Q305,$I$3)&amp;"")="","",IF(LEFT(IF($I$3="","",INDEX(인턴계획표[[정규화1]:[정규화6]],$Q305,$I$3)&amp;""),1)="⚠","",IFERROR(MID(IF($I$3="","",INDEX(인턴계획표[[정규화1]:[정규화6]],$Q305,$I$3)&amp;""),FIND(" ",IF($I$3="","",INDEX(인턴계획표[[정규화1]:[정규화6]],$Q305,$I$3)&amp;""))+1,60),""))))</f>
        <v/>
      </c>
      <c r="J305">
        <f>IF($Q305="","",INDEX(인턴계획표[정규화1],$Q305))</f>
        <v/>
      </c>
      <c r="K305">
        <f>IF($Q305="","",INDEX(인턴계획표[정규화2],$Q305))</f>
        <v/>
      </c>
      <c r="L305">
        <f>IF($Q305="","",INDEX(인턴계획표[정규화3],$Q305))</f>
        <v/>
      </c>
      <c r="M305">
        <f>IF($Q305="","",INDEX(인턴계획표[정규화4],$Q305))</f>
        <v/>
      </c>
      <c r="N305">
        <f>IF($Q305="","",INDEX(인턴계획표[정규화5],$Q305))</f>
        <v/>
      </c>
      <c r="O305">
        <f>IF($Q305="","",INDEX(인턴계획표[정규화6],$Q305))</f>
        <v/>
      </c>
      <c r="P305">
        <f>IF($Q305="","",INDEX(인턴계획표[입력오류],$Q305))</f>
        <v/>
      </c>
      <c r="Q305" s="17">
        <f>IFERROR(MATCH(300,인턴계획표[표시순번],0),"")</f>
        <v/>
      </c>
    </row>
    <row r="306">
      <c r="A306">
        <f>IF($Q306="","",INDEX(인턴계획표[순번],$Q306)&amp;"")</f>
        <v/>
      </c>
      <c r="B306">
        <f>IF($Q306="","",TRIM(INDEX(인턴계획표[이름],$Q306)&amp;""))</f>
        <v/>
      </c>
      <c r="C306">
        <f>IF($Q306="","",INDEX(인턴계획표[사번],$Q306)&amp;"")</f>
        <v/>
      </c>
      <c r="D306">
        <f>IF($Q306="","",IF(COUNTIF(기본자료표[사번키],INDEX(인턴계획표[사번키],$Q306))&gt;0,"확인","미등록"))</f>
        <v/>
      </c>
      <c r="E306">
        <f>IF($Q306="","",IF(ISNUMBER(INDEX(인턴계획표[입사일(비고)],$Q306)),TEXT(INDEX(인턴계획표[입사일(비고)],$Q306),"yyyy-mm-dd"),INDEX(인턴계획표[입사일(비고)],$Q306)&amp;""))</f>
        <v/>
      </c>
      <c r="F306">
        <f>IF($Q306="","",IF(IF($G$3="","",INDEX(인턴계획표[[정규화1]:[정규화6]],$Q306,$G$3)&amp;"")="","",IF(LEFT(IF($G$3="","",INDEX(인턴계획표[[정규화1]:[정규화6]],$Q306,$G$3)&amp;""),1)="⚠",IF($G$3="","",INDEX(인턴계획표[[정규화1]:[정규화6]],$Q306,$G$3)&amp;""),IFERROR(LEFT(IF($G$3="","",INDEX(인턴계획표[[정규화1]:[정규화6]],$Q306,$G$3)&amp;""),FIND(" ",IF($G$3="","",INDEX(인턴계획표[[정규화1]:[정규화6]],$Q306,$G$3)&amp;""))-1),IF($G$3="","",INDEX(인턴계획표[[정규화1]:[정규화6]],$Q306,$G$3)&amp;"")))))</f>
        <v/>
      </c>
      <c r="G306">
        <f>IF($Q306="","",IF(IF($G$3="","",INDEX(인턴계획표[[정규화1]:[정규화6]],$Q306,$G$3)&amp;"")="","",IF(LEFT(IF($G$3="","",INDEX(인턴계획표[[정규화1]:[정규화6]],$Q306,$G$3)&amp;""),1)="⚠","",IFERROR(MID(IF($G$3="","",INDEX(인턴계획표[[정규화1]:[정규화6]],$Q306,$G$3)&amp;""),FIND(" ",IF($G$3="","",INDEX(인턴계획표[[정규화1]:[정규화6]],$Q306,$G$3)&amp;""))+1,60),""))))</f>
        <v/>
      </c>
      <c r="H306">
        <f>IF($Q306="","",IF(IF($I$3="","",INDEX(인턴계획표[[정규화1]:[정규화6]],$Q306,$I$3)&amp;"")="","",IF(LEFT(IF($I$3="","",INDEX(인턴계획표[[정규화1]:[정규화6]],$Q306,$I$3)&amp;""),1)="⚠",IF($I$3="","",INDEX(인턴계획표[[정규화1]:[정규화6]],$Q306,$I$3)&amp;""),IFERROR(LEFT(IF($I$3="","",INDEX(인턴계획표[[정규화1]:[정규화6]],$Q306,$I$3)&amp;""),FIND(" ",IF($I$3="","",INDEX(인턴계획표[[정규화1]:[정규화6]],$Q306,$I$3)&amp;""))-1),IF($I$3="","",INDEX(인턴계획표[[정규화1]:[정규화6]],$Q306,$I$3)&amp;"")))))</f>
        <v/>
      </c>
      <c r="I306">
        <f>IF($Q306="","",IF(IF($I$3="","",INDEX(인턴계획표[[정규화1]:[정규화6]],$Q306,$I$3)&amp;"")="","",IF(LEFT(IF($I$3="","",INDEX(인턴계획표[[정규화1]:[정규화6]],$Q306,$I$3)&amp;""),1)="⚠","",IFERROR(MID(IF($I$3="","",INDEX(인턴계획표[[정규화1]:[정규화6]],$Q306,$I$3)&amp;""),FIND(" ",IF($I$3="","",INDEX(인턴계획표[[정규화1]:[정규화6]],$Q306,$I$3)&amp;""))+1,60),""))))</f>
        <v/>
      </c>
      <c r="J306">
        <f>IF($Q306="","",INDEX(인턴계획표[정규화1],$Q306))</f>
        <v/>
      </c>
      <c r="K306">
        <f>IF($Q306="","",INDEX(인턴계획표[정규화2],$Q306))</f>
        <v/>
      </c>
      <c r="L306">
        <f>IF($Q306="","",INDEX(인턴계획표[정규화3],$Q306))</f>
        <v/>
      </c>
      <c r="M306">
        <f>IF($Q306="","",INDEX(인턴계획표[정규화4],$Q306))</f>
        <v/>
      </c>
      <c r="N306">
        <f>IF($Q306="","",INDEX(인턴계획표[정규화5],$Q306))</f>
        <v/>
      </c>
      <c r="O306">
        <f>IF($Q306="","",INDEX(인턴계획표[정규화6],$Q306))</f>
        <v/>
      </c>
      <c r="P306">
        <f>IF($Q306="","",INDEX(인턴계획표[입력오류],$Q306))</f>
        <v/>
      </c>
      <c r="Q306" s="17">
        <f>IFERROR(MATCH(301,인턴계획표[표시순번],0),"")</f>
        <v/>
      </c>
    </row>
    <row r="307">
      <c r="A307">
        <f>IF($Q307="","",INDEX(인턴계획표[순번],$Q307)&amp;"")</f>
        <v/>
      </c>
      <c r="B307">
        <f>IF($Q307="","",TRIM(INDEX(인턴계획표[이름],$Q307)&amp;""))</f>
        <v/>
      </c>
      <c r="C307">
        <f>IF($Q307="","",INDEX(인턴계획표[사번],$Q307)&amp;"")</f>
        <v/>
      </c>
      <c r="D307">
        <f>IF($Q307="","",IF(COUNTIF(기본자료표[사번키],INDEX(인턴계획표[사번키],$Q307))&gt;0,"확인","미등록"))</f>
        <v/>
      </c>
      <c r="E307">
        <f>IF($Q307="","",IF(ISNUMBER(INDEX(인턴계획표[입사일(비고)],$Q307)),TEXT(INDEX(인턴계획표[입사일(비고)],$Q307),"yyyy-mm-dd"),INDEX(인턴계획표[입사일(비고)],$Q307)&amp;""))</f>
        <v/>
      </c>
      <c r="F307">
        <f>IF($Q307="","",IF(IF($G$3="","",INDEX(인턴계획표[[정규화1]:[정규화6]],$Q307,$G$3)&amp;"")="","",IF(LEFT(IF($G$3="","",INDEX(인턴계획표[[정규화1]:[정규화6]],$Q307,$G$3)&amp;""),1)="⚠",IF($G$3="","",INDEX(인턴계획표[[정규화1]:[정규화6]],$Q307,$G$3)&amp;""),IFERROR(LEFT(IF($G$3="","",INDEX(인턴계획표[[정규화1]:[정규화6]],$Q307,$G$3)&amp;""),FIND(" ",IF($G$3="","",INDEX(인턴계획표[[정규화1]:[정규화6]],$Q307,$G$3)&amp;""))-1),IF($G$3="","",INDEX(인턴계획표[[정규화1]:[정규화6]],$Q307,$G$3)&amp;"")))))</f>
        <v/>
      </c>
      <c r="G307">
        <f>IF($Q307="","",IF(IF($G$3="","",INDEX(인턴계획표[[정규화1]:[정규화6]],$Q307,$G$3)&amp;"")="","",IF(LEFT(IF($G$3="","",INDEX(인턴계획표[[정규화1]:[정규화6]],$Q307,$G$3)&amp;""),1)="⚠","",IFERROR(MID(IF($G$3="","",INDEX(인턴계획표[[정규화1]:[정규화6]],$Q307,$G$3)&amp;""),FIND(" ",IF($G$3="","",INDEX(인턴계획표[[정규화1]:[정규화6]],$Q307,$G$3)&amp;""))+1,60),""))))</f>
        <v/>
      </c>
      <c r="H307">
        <f>IF($Q307="","",IF(IF($I$3="","",INDEX(인턴계획표[[정규화1]:[정규화6]],$Q307,$I$3)&amp;"")="","",IF(LEFT(IF($I$3="","",INDEX(인턴계획표[[정규화1]:[정규화6]],$Q307,$I$3)&amp;""),1)="⚠",IF($I$3="","",INDEX(인턴계획표[[정규화1]:[정규화6]],$Q307,$I$3)&amp;""),IFERROR(LEFT(IF($I$3="","",INDEX(인턴계획표[[정규화1]:[정규화6]],$Q307,$I$3)&amp;""),FIND(" ",IF($I$3="","",INDEX(인턴계획표[[정규화1]:[정규화6]],$Q307,$I$3)&amp;""))-1),IF($I$3="","",INDEX(인턴계획표[[정규화1]:[정규화6]],$Q307,$I$3)&amp;"")))))</f>
        <v/>
      </c>
      <c r="I307">
        <f>IF($Q307="","",IF(IF($I$3="","",INDEX(인턴계획표[[정규화1]:[정규화6]],$Q307,$I$3)&amp;"")="","",IF(LEFT(IF($I$3="","",INDEX(인턴계획표[[정규화1]:[정규화6]],$Q307,$I$3)&amp;""),1)="⚠","",IFERROR(MID(IF($I$3="","",INDEX(인턴계획표[[정규화1]:[정규화6]],$Q307,$I$3)&amp;""),FIND(" ",IF($I$3="","",INDEX(인턴계획표[[정규화1]:[정규화6]],$Q307,$I$3)&amp;""))+1,60),""))))</f>
        <v/>
      </c>
      <c r="J307">
        <f>IF($Q307="","",INDEX(인턴계획표[정규화1],$Q307))</f>
        <v/>
      </c>
      <c r="K307">
        <f>IF($Q307="","",INDEX(인턴계획표[정규화2],$Q307))</f>
        <v/>
      </c>
      <c r="L307">
        <f>IF($Q307="","",INDEX(인턴계획표[정규화3],$Q307))</f>
        <v/>
      </c>
      <c r="M307">
        <f>IF($Q307="","",INDEX(인턴계획표[정규화4],$Q307))</f>
        <v/>
      </c>
      <c r="N307">
        <f>IF($Q307="","",INDEX(인턴계획표[정규화5],$Q307))</f>
        <v/>
      </c>
      <c r="O307">
        <f>IF($Q307="","",INDEX(인턴계획표[정규화6],$Q307))</f>
        <v/>
      </c>
      <c r="P307">
        <f>IF($Q307="","",INDEX(인턴계획표[입력오류],$Q307))</f>
        <v/>
      </c>
      <c r="Q307" s="17">
        <f>IFERROR(MATCH(302,인턴계획표[표시순번],0),"")</f>
        <v/>
      </c>
    </row>
    <row r="308">
      <c r="A308">
        <f>IF($Q308="","",INDEX(인턴계획표[순번],$Q308)&amp;"")</f>
        <v/>
      </c>
      <c r="B308">
        <f>IF($Q308="","",TRIM(INDEX(인턴계획표[이름],$Q308)&amp;""))</f>
        <v/>
      </c>
      <c r="C308">
        <f>IF($Q308="","",INDEX(인턴계획표[사번],$Q308)&amp;"")</f>
        <v/>
      </c>
      <c r="D308">
        <f>IF($Q308="","",IF(COUNTIF(기본자료표[사번키],INDEX(인턴계획표[사번키],$Q308))&gt;0,"확인","미등록"))</f>
        <v/>
      </c>
      <c r="E308">
        <f>IF($Q308="","",IF(ISNUMBER(INDEX(인턴계획표[입사일(비고)],$Q308)),TEXT(INDEX(인턴계획표[입사일(비고)],$Q308),"yyyy-mm-dd"),INDEX(인턴계획표[입사일(비고)],$Q308)&amp;""))</f>
        <v/>
      </c>
      <c r="F308">
        <f>IF($Q308="","",IF(IF($G$3="","",INDEX(인턴계획표[[정규화1]:[정규화6]],$Q308,$G$3)&amp;"")="","",IF(LEFT(IF($G$3="","",INDEX(인턴계획표[[정규화1]:[정규화6]],$Q308,$G$3)&amp;""),1)="⚠",IF($G$3="","",INDEX(인턴계획표[[정규화1]:[정규화6]],$Q308,$G$3)&amp;""),IFERROR(LEFT(IF($G$3="","",INDEX(인턴계획표[[정규화1]:[정규화6]],$Q308,$G$3)&amp;""),FIND(" ",IF($G$3="","",INDEX(인턴계획표[[정규화1]:[정규화6]],$Q308,$G$3)&amp;""))-1),IF($G$3="","",INDEX(인턴계획표[[정규화1]:[정규화6]],$Q308,$G$3)&amp;"")))))</f>
        <v/>
      </c>
      <c r="G308">
        <f>IF($Q308="","",IF(IF($G$3="","",INDEX(인턴계획표[[정규화1]:[정규화6]],$Q308,$G$3)&amp;"")="","",IF(LEFT(IF($G$3="","",INDEX(인턴계획표[[정규화1]:[정규화6]],$Q308,$G$3)&amp;""),1)="⚠","",IFERROR(MID(IF($G$3="","",INDEX(인턴계획표[[정규화1]:[정규화6]],$Q308,$G$3)&amp;""),FIND(" ",IF($G$3="","",INDEX(인턴계획표[[정규화1]:[정규화6]],$Q308,$G$3)&amp;""))+1,60),""))))</f>
        <v/>
      </c>
      <c r="H308">
        <f>IF($Q308="","",IF(IF($I$3="","",INDEX(인턴계획표[[정규화1]:[정규화6]],$Q308,$I$3)&amp;"")="","",IF(LEFT(IF($I$3="","",INDEX(인턴계획표[[정규화1]:[정규화6]],$Q308,$I$3)&amp;""),1)="⚠",IF($I$3="","",INDEX(인턴계획표[[정규화1]:[정규화6]],$Q308,$I$3)&amp;""),IFERROR(LEFT(IF($I$3="","",INDEX(인턴계획표[[정규화1]:[정규화6]],$Q308,$I$3)&amp;""),FIND(" ",IF($I$3="","",INDEX(인턴계획표[[정규화1]:[정규화6]],$Q308,$I$3)&amp;""))-1),IF($I$3="","",INDEX(인턴계획표[[정규화1]:[정규화6]],$Q308,$I$3)&amp;"")))))</f>
        <v/>
      </c>
      <c r="I308">
        <f>IF($Q308="","",IF(IF($I$3="","",INDEX(인턴계획표[[정규화1]:[정규화6]],$Q308,$I$3)&amp;"")="","",IF(LEFT(IF($I$3="","",INDEX(인턴계획표[[정규화1]:[정규화6]],$Q308,$I$3)&amp;""),1)="⚠","",IFERROR(MID(IF($I$3="","",INDEX(인턴계획표[[정규화1]:[정규화6]],$Q308,$I$3)&amp;""),FIND(" ",IF($I$3="","",INDEX(인턴계획표[[정규화1]:[정규화6]],$Q308,$I$3)&amp;""))+1,60),""))))</f>
        <v/>
      </c>
      <c r="J308">
        <f>IF($Q308="","",INDEX(인턴계획표[정규화1],$Q308))</f>
        <v/>
      </c>
      <c r="K308">
        <f>IF($Q308="","",INDEX(인턴계획표[정규화2],$Q308))</f>
        <v/>
      </c>
      <c r="L308">
        <f>IF($Q308="","",INDEX(인턴계획표[정규화3],$Q308))</f>
        <v/>
      </c>
      <c r="M308">
        <f>IF($Q308="","",INDEX(인턴계획표[정규화4],$Q308))</f>
        <v/>
      </c>
      <c r="N308">
        <f>IF($Q308="","",INDEX(인턴계획표[정규화5],$Q308))</f>
        <v/>
      </c>
      <c r="O308">
        <f>IF($Q308="","",INDEX(인턴계획표[정규화6],$Q308))</f>
        <v/>
      </c>
      <c r="P308">
        <f>IF($Q308="","",INDEX(인턴계획표[입력오류],$Q308))</f>
        <v/>
      </c>
      <c r="Q308" s="17">
        <f>IFERROR(MATCH(303,인턴계획표[표시순번],0),"")</f>
        <v/>
      </c>
    </row>
    <row r="309">
      <c r="A309">
        <f>IF($Q309="","",INDEX(인턴계획표[순번],$Q309)&amp;"")</f>
        <v/>
      </c>
      <c r="B309">
        <f>IF($Q309="","",TRIM(INDEX(인턴계획표[이름],$Q309)&amp;""))</f>
        <v/>
      </c>
      <c r="C309">
        <f>IF($Q309="","",INDEX(인턴계획표[사번],$Q309)&amp;"")</f>
        <v/>
      </c>
      <c r="D309">
        <f>IF($Q309="","",IF(COUNTIF(기본자료표[사번키],INDEX(인턴계획표[사번키],$Q309))&gt;0,"확인","미등록"))</f>
        <v/>
      </c>
      <c r="E309">
        <f>IF($Q309="","",IF(ISNUMBER(INDEX(인턴계획표[입사일(비고)],$Q309)),TEXT(INDEX(인턴계획표[입사일(비고)],$Q309),"yyyy-mm-dd"),INDEX(인턴계획표[입사일(비고)],$Q309)&amp;""))</f>
        <v/>
      </c>
      <c r="F309">
        <f>IF($Q309="","",IF(IF($G$3="","",INDEX(인턴계획표[[정규화1]:[정규화6]],$Q309,$G$3)&amp;"")="","",IF(LEFT(IF($G$3="","",INDEX(인턴계획표[[정규화1]:[정규화6]],$Q309,$G$3)&amp;""),1)="⚠",IF($G$3="","",INDEX(인턴계획표[[정규화1]:[정규화6]],$Q309,$G$3)&amp;""),IFERROR(LEFT(IF($G$3="","",INDEX(인턴계획표[[정규화1]:[정규화6]],$Q309,$G$3)&amp;""),FIND(" ",IF($G$3="","",INDEX(인턴계획표[[정규화1]:[정규화6]],$Q309,$G$3)&amp;""))-1),IF($G$3="","",INDEX(인턴계획표[[정규화1]:[정규화6]],$Q309,$G$3)&amp;"")))))</f>
        <v/>
      </c>
      <c r="G309">
        <f>IF($Q309="","",IF(IF($G$3="","",INDEX(인턴계획표[[정규화1]:[정규화6]],$Q309,$G$3)&amp;"")="","",IF(LEFT(IF($G$3="","",INDEX(인턴계획표[[정규화1]:[정규화6]],$Q309,$G$3)&amp;""),1)="⚠","",IFERROR(MID(IF($G$3="","",INDEX(인턴계획표[[정규화1]:[정규화6]],$Q309,$G$3)&amp;""),FIND(" ",IF($G$3="","",INDEX(인턴계획표[[정규화1]:[정규화6]],$Q309,$G$3)&amp;""))+1,60),""))))</f>
        <v/>
      </c>
      <c r="H309">
        <f>IF($Q309="","",IF(IF($I$3="","",INDEX(인턴계획표[[정규화1]:[정규화6]],$Q309,$I$3)&amp;"")="","",IF(LEFT(IF($I$3="","",INDEX(인턴계획표[[정규화1]:[정규화6]],$Q309,$I$3)&amp;""),1)="⚠",IF($I$3="","",INDEX(인턴계획표[[정규화1]:[정규화6]],$Q309,$I$3)&amp;""),IFERROR(LEFT(IF($I$3="","",INDEX(인턴계획표[[정규화1]:[정규화6]],$Q309,$I$3)&amp;""),FIND(" ",IF($I$3="","",INDEX(인턴계획표[[정규화1]:[정규화6]],$Q309,$I$3)&amp;""))-1),IF($I$3="","",INDEX(인턴계획표[[정규화1]:[정규화6]],$Q309,$I$3)&amp;"")))))</f>
        <v/>
      </c>
      <c r="I309">
        <f>IF($Q309="","",IF(IF($I$3="","",INDEX(인턴계획표[[정규화1]:[정규화6]],$Q309,$I$3)&amp;"")="","",IF(LEFT(IF($I$3="","",INDEX(인턴계획표[[정규화1]:[정규화6]],$Q309,$I$3)&amp;""),1)="⚠","",IFERROR(MID(IF($I$3="","",INDEX(인턴계획표[[정규화1]:[정규화6]],$Q309,$I$3)&amp;""),FIND(" ",IF($I$3="","",INDEX(인턴계획표[[정규화1]:[정규화6]],$Q309,$I$3)&amp;""))+1,60),""))))</f>
        <v/>
      </c>
      <c r="J309">
        <f>IF($Q309="","",INDEX(인턴계획표[정규화1],$Q309))</f>
        <v/>
      </c>
      <c r="K309">
        <f>IF($Q309="","",INDEX(인턴계획표[정규화2],$Q309))</f>
        <v/>
      </c>
      <c r="L309">
        <f>IF($Q309="","",INDEX(인턴계획표[정규화3],$Q309))</f>
        <v/>
      </c>
      <c r="M309">
        <f>IF($Q309="","",INDEX(인턴계획표[정규화4],$Q309))</f>
        <v/>
      </c>
      <c r="N309">
        <f>IF($Q309="","",INDEX(인턴계획표[정규화5],$Q309))</f>
        <v/>
      </c>
      <c r="O309">
        <f>IF($Q309="","",INDEX(인턴계획표[정규화6],$Q309))</f>
        <v/>
      </c>
      <c r="P309">
        <f>IF($Q309="","",INDEX(인턴계획표[입력오류],$Q309))</f>
        <v/>
      </c>
      <c r="Q309" s="17">
        <f>IFERROR(MATCH(304,인턴계획표[표시순번],0),"")</f>
        <v/>
      </c>
    </row>
    <row r="310">
      <c r="A310">
        <f>IF($Q310="","",INDEX(인턴계획표[순번],$Q310)&amp;"")</f>
        <v/>
      </c>
      <c r="B310">
        <f>IF($Q310="","",TRIM(INDEX(인턴계획표[이름],$Q310)&amp;""))</f>
        <v/>
      </c>
      <c r="C310">
        <f>IF($Q310="","",INDEX(인턴계획표[사번],$Q310)&amp;"")</f>
        <v/>
      </c>
      <c r="D310">
        <f>IF($Q310="","",IF(COUNTIF(기본자료표[사번키],INDEX(인턴계획표[사번키],$Q310))&gt;0,"확인","미등록"))</f>
        <v/>
      </c>
      <c r="E310">
        <f>IF($Q310="","",IF(ISNUMBER(INDEX(인턴계획표[입사일(비고)],$Q310)),TEXT(INDEX(인턴계획표[입사일(비고)],$Q310),"yyyy-mm-dd"),INDEX(인턴계획표[입사일(비고)],$Q310)&amp;""))</f>
        <v/>
      </c>
      <c r="F310">
        <f>IF($Q310="","",IF(IF($G$3="","",INDEX(인턴계획표[[정규화1]:[정규화6]],$Q310,$G$3)&amp;"")="","",IF(LEFT(IF($G$3="","",INDEX(인턴계획표[[정규화1]:[정규화6]],$Q310,$G$3)&amp;""),1)="⚠",IF($G$3="","",INDEX(인턴계획표[[정규화1]:[정규화6]],$Q310,$G$3)&amp;""),IFERROR(LEFT(IF($G$3="","",INDEX(인턴계획표[[정규화1]:[정규화6]],$Q310,$G$3)&amp;""),FIND(" ",IF($G$3="","",INDEX(인턴계획표[[정규화1]:[정규화6]],$Q310,$G$3)&amp;""))-1),IF($G$3="","",INDEX(인턴계획표[[정규화1]:[정규화6]],$Q310,$G$3)&amp;"")))))</f>
        <v/>
      </c>
      <c r="G310">
        <f>IF($Q310="","",IF(IF($G$3="","",INDEX(인턴계획표[[정규화1]:[정규화6]],$Q310,$G$3)&amp;"")="","",IF(LEFT(IF($G$3="","",INDEX(인턴계획표[[정규화1]:[정규화6]],$Q310,$G$3)&amp;""),1)="⚠","",IFERROR(MID(IF($G$3="","",INDEX(인턴계획표[[정규화1]:[정규화6]],$Q310,$G$3)&amp;""),FIND(" ",IF($G$3="","",INDEX(인턴계획표[[정규화1]:[정규화6]],$Q310,$G$3)&amp;""))+1,60),""))))</f>
        <v/>
      </c>
      <c r="H310">
        <f>IF($Q310="","",IF(IF($I$3="","",INDEX(인턴계획표[[정규화1]:[정규화6]],$Q310,$I$3)&amp;"")="","",IF(LEFT(IF($I$3="","",INDEX(인턴계획표[[정규화1]:[정규화6]],$Q310,$I$3)&amp;""),1)="⚠",IF($I$3="","",INDEX(인턴계획표[[정규화1]:[정규화6]],$Q310,$I$3)&amp;""),IFERROR(LEFT(IF($I$3="","",INDEX(인턴계획표[[정규화1]:[정규화6]],$Q310,$I$3)&amp;""),FIND(" ",IF($I$3="","",INDEX(인턴계획표[[정규화1]:[정규화6]],$Q310,$I$3)&amp;""))-1),IF($I$3="","",INDEX(인턴계획표[[정규화1]:[정규화6]],$Q310,$I$3)&amp;"")))))</f>
        <v/>
      </c>
      <c r="I310">
        <f>IF($Q310="","",IF(IF($I$3="","",INDEX(인턴계획표[[정규화1]:[정규화6]],$Q310,$I$3)&amp;"")="","",IF(LEFT(IF($I$3="","",INDEX(인턴계획표[[정규화1]:[정규화6]],$Q310,$I$3)&amp;""),1)="⚠","",IFERROR(MID(IF($I$3="","",INDEX(인턴계획표[[정규화1]:[정규화6]],$Q310,$I$3)&amp;""),FIND(" ",IF($I$3="","",INDEX(인턴계획표[[정규화1]:[정규화6]],$Q310,$I$3)&amp;""))+1,60),""))))</f>
        <v/>
      </c>
      <c r="J310">
        <f>IF($Q310="","",INDEX(인턴계획표[정규화1],$Q310))</f>
        <v/>
      </c>
      <c r="K310">
        <f>IF($Q310="","",INDEX(인턴계획표[정규화2],$Q310))</f>
        <v/>
      </c>
      <c r="L310">
        <f>IF($Q310="","",INDEX(인턴계획표[정규화3],$Q310))</f>
        <v/>
      </c>
      <c r="M310">
        <f>IF($Q310="","",INDEX(인턴계획표[정규화4],$Q310))</f>
        <v/>
      </c>
      <c r="N310">
        <f>IF($Q310="","",INDEX(인턴계획표[정규화5],$Q310))</f>
        <v/>
      </c>
      <c r="O310">
        <f>IF($Q310="","",INDEX(인턴계획표[정규화6],$Q310))</f>
        <v/>
      </c>
      <c r="P310">
        <f>IF($Q310="","",INDEX(인턴계획표[입력오류],$Q310))</f>
        <v/>
      </c>
      <c r="Q310" s="17">
        <f>IFERROR(MATCH(305,인턴계획표[표시순번],0),"")</f>
        <v/>
      </c>
    </row>
    <row r="311">
      <c r="A311">
        <f>IF($Q311="","",INDEX(인턴계획표[순번],$Q311)&amp;"")</f>
        <v/>
      </c>
      <c r="B311">
        <f>IF($Q311="","",TRIM(INDEX(인턴계획표[이름],$Q311)&amp;""))</f>
        <v/>
      </c>
      <c r="C311">
        <f>IF($Q311="","",INDEX(인턴계획표[사번],$Q311)&amp;"")</f>
        <v/>
      </c>
      <c r="D311">
        <f>IF($Q311="","",IF(COUNTIF(기본자료표[사번키],INDEX(인턴계획표[사번키],$Q311))&gt;0,"확인","미등록"))</f>
        <v/>
      </c>
      <c r="E311">
        <f>IF($Q311="","",IF(ISNUMBER(INDEX(인턴계획표[입사일(비고)],$Q311)),TEXT(INDEX(인턴계획표[입사일(비고)],$Q311),"yyyy-mm-dd"),INDEX(인턴계획표[입사일(비고)],$Q311)&amp;""))</f>
        <v/>
      </c>
      <c r="F311">
        <f>IF($Q311="","",IF(IF($G$3="","",INDEX(인턴계획표[[정규화1]:[정규화6]],$Q311,$G$3)&amp;"")="","",IF(LEFT(IF($G$3="","",INDEX(인턴계획표[[정규화1]:[정규화6]],$Q311,$G$3)&amp;""),1)="⚠",IF($G$3="","",INDEX(인턴계획표[[정규화1]:[정규화6]],$Q311,$G$3)&amp;""),IFERROR(LEFT(IF($G$3="","",INDEX(인턴계획표[[정규화1]:[정규화6]],$Q311,$G$3)&amp;""),FIND(" ",IF($G$3="","",INDEX(인턴계획표[[정규화1]:[정규화6]],$Q311,$G$3)&amp;""))-1),IF($G$3="","",INDEX(인턴계획표[[정규화1]:[정규화6]],$Q311,$G$3)&amp;"")))))</f>
        <v/>
      </c>
      <c r="G311">
        <f>IF($Q311="","",IF(IF($G$3="","",INDEX(인턴계획표[[정규화1]:[정규화6]],$Q311,$G$3)&amp;"")="","",IF(LEFT(IF($G$3="","",INDEX(인턴계획표[[정규화1]:[정규화6]],$Q311,$G$3)&amp;""),1)="⚠","",IFERROR(MID(IF($G$3="","",INDEX(인턴계획표[[정규화1]:[정규화6]],$Q311,$G$3)&amp;""),FIND(" ",IF($G$3="","",INDEX(인턴계획표[[정규화1]:[정규화6]],$Q311,$G$3)&amp;""))+1,60),""))))</f>
        <v/>
      </c>
      <c r="H311">
        <f>IF($Q311="","",IF(IF($I$3="","",INDEX(인턴계획표[[정규화1]:[정규화6]],$Q311,$I$3)&amp;"")="","",IF(LEFT(IF($I$3="","",INDEX(인턴계획표[[정규화1]:[정규화6]],$Q311,$I$3)&amp;""),1)="⚠",IF($I$3="","",INDEX(인턴계획표[[정규화1]:[정규화6]],$Q311,$I$3)&amp;""),IFERROR(LEFT(IF($I$3="","",INDEX(인턴계획표[[정규화1]:[정규화6]],$Q311,$I$3)&amp;""),FIND(" ",IF($I$3="","",INDEX(인턴계획표[[정규화1]:[정규화6]],$Q311,$I$3)&amp;""))-1),IF($I$3="","",INDEX(인턴계획표[[정규화1]:[정규화6]],$Q311,$I$3)&amp;"")))))</f>
        <v/>
      </c>
      <c r="I311">
        <f>IF($Q311="","",IF(IF($I$3="","",INDEX(인턴계획표[[정규화1]:[정규화6]],$Q311,$I$3)&amp;"")="","",IF(LEFT(IF($I$3="","",INDEX(인턴계획표[[정규화1]:[정규화6]],$Q311,$I$3)&amp;""),1)="⚠","",IFERROR(MID(IF($I$3="","",INDEX(인턴계획표[[정규화1]:[정규화6]],$Q311,$I$3)&amp;""),FIND(" ",IF($I$3="","",INDEX(인턴계획표[[정규화1]:[정규화6]],$Q311,$I$3)&amp;""))+1,60),""))))</f>
        <v/>
      </c>
      <c r="J311">
        <f>IF($Q311="","",INDEX(인턴계획표[정규화1],$Q311))</f>
        <v/>
      </c>
      <c r="K311">
        <f>IF($Q311="","",INDEX(인턴계획표[정규화2],$Q311))</f>
        <v/>
      </c>
      <c r="L311">
        <f>IF($Q311="","",INDEX(인턴계획표[정규화3],$Q311))</f>
        <v/>
      </c>
      <c r="M311">
        <f>IF($Q311="","",INDEX(인턴계획표[정규화4],$Q311))</f>
        <v/>
      </c>
      <c r="N311">
        <f>IF($Q311="","",INDEX(인턴계획표[정규화5],$Q311))</f>
        <v/>
      </c>
      <c r="O311">
        <f>IF($Q311="","",INDEX(인턴계획표[정규화6],$Q311))</f>
        <v/>
      </c>
      <c r="P311">
        <f>IF($Q311="","",INDEX(인턴계획표[입력오류],$Q311))</f>
        <v/>
      </c>
      <c r="Q311" s="17">
        <f>IFERROR(MATCH(306,인턴계획표[표시순번],0),"")</f>
        <v/>
      </c>
    </row>
    <row r="312">
      <c r="A312">
        <f>IF($Q312="","",INDEX(인턴계획표[순번],$Q312)&amp;"")</f>
        <v/>
      </c>
      <c r="B312">
        <f>IF($Q312="","",TRIM(INDEX(인턴계획표[이름],$Q312)&amp;""))</f>
        <v/>
      </c>
      <c r="C312">
        <f>IF($Q312="","",INDEX(인턴계획표[사번],$Q312)&amp;"")</f>
        <v/>
      </c>
      <c r="D312">
        <f>IF($Q312="","",IF(COUNTIF(기본자료표[사번키],INDEX(인턴계획표[사번키],$Q312))&gt;0,"확인","미등록"))</f>
        <v/>
      </c>
      <c r="E312">
        <f>IF($Q312="","",IF(ISNUMBER(INDEX(인턴계획표[입사일(비고)],$Q312)),TEXT(INDEX(인턴계획표[입사일(비고)],$Q312),"yyyy-mm-dd"),INDEX(인턴계획표[입사일(비고)],$Q312)&amp;""))</f>
        <v/>
      </c>
      <c r="F312">
        <f>IF($Q312="","",IF(IF($G$3="","",INDEX(인턴계획표[[정규화1]:[정규화6]],$Q312,$G$3)&amp;"")="","",IF(LEFT(IF($G$3="","",INDEX(인턴계획표[[정규화1]:[정규화6]],$Q312,$G$3)&amp;""),1)="⚠",IF($G$3="","",INDEX(인턴계획표[[정규화1]:[정규화6]],$Q312,$G$3)&amp;""),IFERROR(LEFT(IF($G$3="","",INDEX(인턴계획표[[정규화1]:[정규화6]],$Q312,$G$3)&amp;""),FIND(" ",IF($G$3="","",INDEX(인턴계획표[[정규화1]:[정규화6]],$Q312,$G$3)&amp;""))-1),IF($G$3="","",INDEX(인턴계획표[[정규화1]:[정규화6]],$Q312,$G$3)&amp;"")))))</f>
        <v/>
      </c>
      <c r="G312">
        <f>IF($Q312="","",IF(IF($G$3="","",INDEX(인턴계획표[[정규화1]:[정규화6]],$Q312,$G$3)&amp;"")="","",IF(LEFT(IF($G$3="","",INDEX(인턴계획표[[정규화1]:[정규화6]],$Q312,$G$3)&amp;""),1)="⚠","",IFERROR(MID(IF($G$3="","",INDEX(인턴계획표[[정규화1]:[정규화6]],$Q312,$G$3)&amp;""),FIND(" ",IF($G$3="","",INDEX(인턴계획표[[정규화1]:[정규화6]],$Q312,$G$3)&amp;""))+1,60),""))))</f>
        <v/>
      </c>
      <c r="H312">
        <f>IF($Q312="","",IF(IF($I$3="","",INDEX(인턴계획표[[정규화1]:[정규화6]],$Q312,$I$3)&amp;"")="","",IF(LEFT(IF($I$3="","",INDEX(인턴계획표[[정규화1]:[정규화6]],$Q312,$I$3)&amp;""),1)="⚠",IF($I$3="","",INDEX(인턴계획표[[정규화1]:[정규화6]],$Q312,$I$3)&amp;""),IFERROR(LEFT(IF($I$3="","",INDEX(인턴계획표[[정규화1]:[정규화6]],$Q312,$I$3)&amp;""),FIND(" ",IF($I$3="","",INDEX(인턴계획표[[정규화1]:[정규화6]],$Q312,$I$3)&amp;""))-1),IF($I$3="","",INDEX(인턴계획표[[정규화1]:[정규화6]],$Q312,$I$3)&amp;"")))))</f>
        <v/>
      </c>
      <c r="I312">
        <f>IF($Q312="","",IF(IF($I$3="","",INDEX(인턴계획표[[정규화1]:[정규화6]],$Q312,$I$3)&amp;"")="","",IF(LEFT(IF($I$3="","",INDEX(인턴계획표[[정규화1]:[정규화6]],$Q312,$I$3)&amp;""),1)="⚠","",IFERROR(MID(IF($I$3="","",INDEX(인턴계획표[[정규화1]:[정규화6]],$Q312,$I$3)&amp;""),FIND(" ",IF($I$3="","",INDEX(인턴계획표[[정규화1]:[정규화6]],$Q312,$I$3)&amp;""))+1,60),""))))</f>
        <v/>
      </c>
      <c r="J312">
        <f>IF($Q312="","",INDEX(인턴계획표[정규화1],$Q312))</f>
        <v/>
      </c>
      <c r="K312">
        <f>IF($Q312="","",INDEX(인턴계획표[정규화2],$Q312))</f>
        <v/>
      </c>
      <c r="L312">
        <f>IF($Q312="","",INDEX(인턴계획표[정규화3],$Q312))</f>
        <v/>
      </c>
      <c r="M312">
        <f>IF($Q312="","",INDEX(인턴계획표[정규화4],$Q312))</f>
        <v/>
      </c>
      <c r="N312">
        <f>IF($Q312="","",INDEX(인턴계획표[정규화5],$Q312))</f>
        <v/>
      </c>
      <c r="O312">
        <f>IF($Q312="","",INDEX(인턴계획표[정규화6],$Q312))</f>
        <v/>
      </c>
      <c r="P312">
        <f>IF($Q312="","",INDEX(인턴계획표[입력오류],$Q312))</f>
        <v/>
      </c>
      <c r="Q312" s="17">
        <f>IFERROR(MATCH(307,인턴계획표[표시순번],0),"")</f>
        <v/>
      </c>
    </row>
    <row r="313">
      <c r="A313">
        <f>IF($Q313="","",INDEX(인턴계획표[순번],$Q313)&amp;"")</f>
        <v/>
      </c>
      <c r="B313">
        <f>IF($Q313="","",TRIM(INDEX(인턴계획표[이름],$Q313)&amp;""))</f>
        <v/>
      </c>
      <c r="C313">
        <f>IF($Q313="","",INDEX(인턴계획표[사번],$Q313)&amp;"")</f>
        <v/>
      </c>
      <c r="D313">
        <f>IF($Q313="","",IF(COUNTIF(기본자료표[사번키],INDEX(인턴계획표[사번키],$Q313))&gt;0,"확인","미등록"))</f>
        <v/>
      </c>
      <c r="E313">
        <f>IF($Q313="","",IF(ISNUMBER(INDEX(인턴계획표[입사일(비고)],$Q313)),TEXT(INDEX(인턴계획표[입사일(비고)],$Q313),"yyyy-mm-dd"),INDEX(인턴계획표[입사일(비고)],$Q313)&amp;""))</f>
        <v/>
      </c>
      <c r="F313">
        <f>IF($Q313="","",IF(IF($G$3="","",INDEX(인턴계획표[[정규화1]:[정규화6]],$Q313,$G$3)&amp;"")="","",IF(LEFT(IF($G$3="","",INDEX(인턴계획표[[정규화1]:[정규화6]],$Q313,$G$3)&amp;""),1)="⚠",IF($G$3="","",INDEX(인턴계획표[[정규화1]:[정규화6]],$Q313,$G$3)&amp;""),IFERROR(LEFT(IF($G$3="","",INDEX(인턴계획표[[정규화1]:[정규화6]],$Q313,$G$3)&amp;""),FIND(" ",IF($G$3="","",INDEX(인턴계획표[[정규화1]:[정규화6]],$Q313,$G$3)&amp;""))-1),IF($G$3="","",INDEX(인턴계획표[[정규화1]:[정규화6]],$Q313,$G$3)&amp;"")))))</f>
        <v/>
      </c>
      <c r="G313">
        <f>IF($Q313="","",IF(IF($G$3="","",INDEX(인턴계획표[[정규화1]:[정규화6]],$Q313,$G$3)&amp;"")="","",IF(LEFT(IF($G$3="","",INDEX(인턴계획표[[정규화1]:[정규화6]],$Q313,$G$3)&amp;""),1)="⚠","",IFERROR(MID(IF($G$3="","",INDEX(인턴계획표[[정규화1]:[정규화6]],$Q313,$G$3)&amp;""),FIND(" ",IF($G$3="","",INDEX(인턴계획표[[정규화1]:[정규화6]],$Q313,$G$3)&amp;""))+1,60),""))))</f>
        <v/>
      </c>
      <c r="H313">
        <f>IF($Q313="","",IF(IF($I$3="","",INDEX(인턴계획표[[정규화1]:[정규화6]],$Q313,$I$3)&amp;"")="","",IF(LEFT(IF($I$3="","",INDEX(인턴계획표[[정규화1]:[정규화6]],$Q313,$I$3)&amp;""),1)="⚠",IF($I$3="","",INDEX(인턴계획표[[정규화1]:[정규화6]],$Q313,$I$3)&amp;""),IFERROR(LEFT(IF($I$3="","",INDEX(인턴계획표[[정규화1]:[정규화6]],$Q313,$I$3)&amp;""),FIND(" ",IF($I$3="","",INDEX(인턴계획표[[정규화1]:[정규화6]],$Q313,$I$3)&amp;""))-1),IF($I$3="","",INDEX(인턴계획표[[정규화1]:[정규화6]],$Q313,$I$3)&amp;"")))))</f>
        <v/>
      </c>
      <c r="I313">
        <f>IF($Q313="","",IF(IF($I$3="","",INDEX(인턴계획표[[정규화1]:[정규화6]],$Q313,$I$3)&amp;"")="","",IF(LEFT(IF($I$3="","",INDEX(인턴계획표[[정규화1]:[정규화6]],$Q313,$I$3)&amp;""),1)="⚠","",IFERROR(MID(IF($I$3="","",INDEX(인턴계획표[[정규화1]:[정규화6]],$Q313,$I$3)&amp;""),FIND(" ",IF($I$3="","",INDEX(인턴계획표[[정규화1]:[정규화6]],$Q313,$I$3)&amp;""))+1,60),""))))</f>
        <v/>
      </c>
      <c r="J313">
        <f>IF($Q313="","",INDEX(인턴계획표[정규화1],$Q313))</f>
        <v/>
      </c>
      <c r="K313">
        <f>IF($Q313="","",INDEX(인턴계획표[정규화2],$Q313))</f>
        <v/>
      </c>
      <c r="L313">
        <f>IF($Q313="","",INDEX(인턴계획표[정규화3],$Q313))</f>
        <v/>
      </c>
      <c r="M313">
        <f>IF($Q313="","",INDEX(인턴계획표[정규화4],$Q313))</f>
        <v/>
      </c>
      <c r="N313">
        <f>IF($Q313="","",INDEX(인턴계획표[정규화5],$Q313))</f>
        <v/>
      </c>
      <c r="O313">
        <f>IF($Q313="","",INDEX(인턴계획표[정규화6],$Q313))</f>
        <v/>
      </c>
      <c r="P313">
        <f>IF($Q313="","",INDEX(인턴계획표[입력오류],$Q313))</f>
        <v/>
      </c>
      <c r="Q313" s="17">
        <f>IFERROR(MATCH(308,인턴계획표[표시순번],0),"")</f>
        <v/>
      </c>
    </row>
    <row r="314">
      <c r="A314">
        <f>IF($Q314="","",INDEX(인턴계획표[순번],$Q314)&amp;"")</f>
        <v/>
      </c>
      <c r="B314">
        <f>IF($Q314="","",TRIM(INDEX(인턴계획표[이름],$Q314)&amp;""))</f>
        <v/>
      </c>
      <c r="C314">
        <f>IF($Q314="","",INDEX(인턴계획표[사번],$Q314)&amp;"")</f>
        <v/>
      </c>
      <c r="D314">
        <f>IF($Q314="","",IF(COUNTIF(기본자료표[사번키],INDEX(인턴계획표[사번키],$Q314))&gt;0,"확인","미등록"))</f>
        <v/>
      </c>
      <c r="E314">
        <f>IF($Q314="","",IF(ISNUMBER(INDEX(인턴계획표[입사일(비고)],$Q314)),TEXT(INDEX(인턴계획표[입사일(비고)],$Q314),"yyyy-mm-dd"),INDEX(인턴계획표[입사일(비고)],$Q314)&amp;""))</f>
        <v/>
      </c>
      <c r="F314">
        <f>IF($Q314="","",IF(IF($G$3="","",INDEX(인턴계획표[[정규화1]:[정규화6]],$Q314,$G$3)&amp;"")="","",IF(LEFT(IF($G$3="","",INDEX(인턴계획표[[정규화1]:[정규화6]],$Q314,$G$3)&amp;""),1)="⚠",IF($G$3="","",INDEX(인턴계획표[[정규화1]:[정규화6]],$Q314,$G$3)&amp;""),IFERROR(LEFT(IF($G$3="","",INDEX(인턴계획표[[정규화1]:[정규화6]],$Q314,$G$3)&amp;""),FIND(" ",IF($G$3="","",INDEX(인턴계획표[[정규화1]:[정규화6]],$Q314,$G$3)&amp;""))-1),IF($G$3="","",INDEX(인턴계획표[[정규화1]:[정규화6]],$Q314,$G$3)&amp;"")))))</f>
        <v/>
      </c>
      <c r="G314">
        <f>IF($Q314="","",IF(IF($G$3="","",INDEX(인턴계획표[[정규화1]:[정규화6]],$Q314,$G$3)&amp;"")="","",IF(LEFT(IF($G$3="","",INDEX(인턴계획표[[정규화1]:[정규화6]],$Q314,$G$3)&amp;""),1)="⚠","",IFERROR(MID(IF($G$3="","",INDEX(인턴계획표[[정규화1]:[정규화6]],$Q314,$G$3)&amp;""),FIND(" ",IF($G$3="","",INDEX(인턴계획표[[정규화1]:[정규화6]],$Q314,$G$3)&amp;""))+1,60),""))))</f>
        <v/>
      </c>
      <c r="H314">
        <f>IF($Q314="","",IF(IF($I$3="","",INDEX(인턴계획표[[정규화1]:[정규화6]],$Q314,$I$3)&amp;"")="","",IF(LEFT(IF($I$3="","",INDEX(인턴계획표[[정규화1]:[정규화6]],$Q314,$I$3)&amp;""),1)="⚠",IF($I$3="","",INDEX(인턴계획표[[정규화1]:[정규화6]],$Q314,$I$3)&amp;""),IFERROR(LEFT(IF($I$3="","",INDEX(인턴계획표[[정규화1]:[정규화6]],$Q314,$I$3)&amp;""),FIND(" ",IF($I$3="","",INDEX(인턴계획표[[정규화1]:[정규화6]],$Q314,$I$3)&amp;""))-1),IF($I$3="","",INDEX(인턴계획표[[정규화1]:[정규화6]],$Q314,$I$3)&amp;"")))))</f>
        <v/>
      </c>
      <c r="I314">
        <f>IF($Q314="","",IF(IF($I$3="","",INDEX(인턴계획표[[정규화1]:[정규화6]],$Q314,$I$3)&amp;"")="","",IF(LEFT(IF($I$3="","",INDEX(인턴계획표[[정규화1]:[정규화6]],$Q314,$I$3)&amp;""),1)="⚠","",IFERROR(MID(IF($I$3="","",INDEX(인턴계획표[[정규화1]:[정규화6]],$Q314,$I$3)&amp;""),FIND(" ",IF($I$3="","",INDEX(인턴계획표[[정규화1]:[정규화6]],$Q314,$I$3)&amp;""))+1,60),""))))</f>
        <v/>
      </c>
      <c r="J314">
        <f>IF($Q314="","",INDEX(인턴계획표[정규화1],$Q314))</f>
        <v/>
      </c>
      <c r="K314">
        <f>IF($Q314="","",INDEX(인턴계획표[정규화2],$Q314))</f>
        <v/>
      </c>
      <c r="L314">
        <f>IF($Q314="","",INDEX(인턴계획표[정규화3],$Q314))</f>
        <v/>
      </c>
      <c r="M314">
        <f>IF($Q314="","",INDEX(인턴계획표[정규화4],$Q314))</f>
        <v/>
      </c>
      <c r="N314">
        <f>IF($Q314="","",INDEX(인턴계획표[정규화5],$Q314))</f>
        <v/>
      </c>
      <c r="O314">
        <f>IF($Q314="","",INDEX(인턴계획표[정규화6],$Q314))</f>
        <v/>
      </c>
      <c r="P314">
        <f>IF($Q314="","",INDEX(인턴계획표[입력오류],$Q314))</f>
        <v/>
      </c>
      <c r="Q314" s="17">
        <f>IFERROR(MATCH(309,인턴계획표[표시순번],0),"")</f>
        <v/>
      </c>
    </row>
    <row r="315">
      <c r="A315">
        <f>IF($Q315="","",INDEX(인턴계획표[순번],$Q315)&amp;"")</f>
        <v/>
      </c>
      <c r="B315">
        <f>IF($Q315="","",TRIM(INDEX(인턴계획표[이름],$Q315)&amp;""))</f>
        <v/>
      </c>
      <c r="C315">
        <f>IF($Q315="","",INDEX(인턴계획표[사번],$Q315)&amp;"")</f>
        <v/>
      </c>
      <c r="D315">
        <f>IF($Q315="","",IF(COUNTIF(기본자료표[사번키],INDEX(인턴계획표[사번키],$Q315))&gt;0,"확인","미등록"))</f>
        <v/>
      </c>
      <c r="E315">
        <f>IF($Q315="","",IF(ISNUMBER(INDEX(인턴계획표[입사일(비고)],$Q315)),TEXT(INDEX(인턴계획표[입사일(비고)],$Q315),"yyyy-mm-dd"),INDEX(인턴계획표[입사일(비고)],$Q315)&amp;""))</f>
        <v/>
      </c>
      <c r="F315">
        <f>IF($Q315="","",IF(IF($G$3="","",INDEX(인턴계획표[[정규화1]:[정규화6]],$Q315,$G$3)&amp;"")="","",IF(LEFT(IF($G$3="","",INDEX(인턴계획표[[정규화1]:[정규화6]],$Q315,$G$3)&amp;""),1)="⚠",IF($G$3="","",INDEX(인턴계획표[[정규화1]:[정규화6]],$Q315,$G$3)&amp;""),IFERROR(LEFT(IF($G$3="","",INDEX(인턴계획표[[정규화1]:[정규화6]],$Q315,$G$3)&amp;""),FIND(" ",IF($G$3="","",INDEX(인턴계획표[[정규화1]:[정규화6]],$Q315,$G$3)&amp;""))-1),IF($G$3="","",INDEX(인턴계획표[[정규화1]:[정규화6]],$Q315,$G$3)&amp;"")))))</f>
        <v/>
      </c>
      <c r="G315">
        <f>IF($Q315="","",IF(IF($G$3="","",INDEX(인턴계획표[[정규화1]:[정규화6]],$Q315,$G$3)&amp;"")="","",IF(LEFT(IF($G$3="","",INDEX(인턴계획표[[정규화1]:[정규화6]],$Q315,$G$3)&amp;""),1)="⚠","",IFERROR(MID(IF($G$3="","",INDEX(인턴계획표[[정규화1]:[정규화6]],$Q315,$G$3)&amp;""),FIND(" ",IF($G$3="","",INDEX(인턴계획표[[정규화1]:[정규화6]],$Q315,$G$3)&amp;""))+1,60),""))))</f>
        <v/>
      </c>
      <c r="H315">
        <f>IF($Q315="","",IF(IF($I$3="","",INDEX(인턴계획표[[정규화1]:[정규화6]],$Q315,$I$3)&amp;"")="","",IF(LEFT(IF($I$3="","",INDEX(인턴계획표[[정규화1]:[정규화6]],$Q315,$I$3)&amp;""),1)="⚠",IF($I$3="","",INDEX(인턴계획표[[정규화1]:[정규화6]],$Q315,$I$3)&amp;""),IFERROR(LEFT(IF($I$3="","",INDEX(인턴계획표[[정규화1]:[정규화6]],$Q315,$I$3)&amp;""),FIND(" ",IF($I$3="","",INDEX(인턴계획표[[정규화1]:[정규화6]],$Q315,$I$3)&amp;""))-1),IF($I$3="","",INDEX(인턴계획표[[정규화1]:[정규화6]],$Q315,$I$3)&amp;"")))))</f>
        <v/>
      </c>
      <c r="I315">
        <f>IF($Q315="","",IF(IF($I$3="","",INDEX(인턴계획표[[정규화1]:[정규화6]],$Q315,$I$3)&amp;"")="","",IF(LEFT(IF($I$3="","",INDEX(인턴계획표[[정규화1]:[정규화6]],$Q315,$I$3)&amp;""),1)="⚠","",IFERROR(MID(IF($I$3="","",INDEX(인턴계획표[[정규화1]:[정규화6]],$Q315,$I$3)&amp;""),FIND(" ",IF($I$3="","",INDEX(인턴계획표[[정규화1]:[정규화6]],$Q315,$I$3)&amp;""))+1,60),""))))</f>
        <v/>
      </c>
      <c r="J315">
        <f>IF($Q315="","",INDEX(인턴계획표[정규화1],$Q315))</f>
        <v/>
      </c>
      <c r="K315">
        <f>IF($Q315="","",INDEX(인턴계획표[정규화2],$Q315))</f>
        <v/>
      </c>
      <c r="L315">
        <f>IF($Q315="","",INDEX(인턴계획표[정규화3],$Q315))</f>
        <v/>
      </c>
      <c r="M315">
        <f>IF($Q315="","",INDEX(인턴계획표[정규화4],$Q315))</f>
        <v/>
      </c>
      <c r="N315">
        <f>IF($Q315="","",INDEX(인턴계획표[정규화5],$Q315))</f>
        <v/>
      </c>
      <c r="O315">
        <f>IF($Q315="","",INDEX(인턴계획표[정규화6],$Q315))</f>
        <v/>
      </c>
      <c r="P315">
        <f>IF($Q315="","",INDEX(인턴계획표[입력오류],$Q315))</f>
        <v/>
      </c>
      <c r="Q315" s="17">
        <f>IFERROR(MATCH(310,인턴계획표[표시순번],0),"")</f>
        <v/>
      </c>
    </row>
    <row r="316">
      <c r="A316">
        <f>IF($Q316="","",INDEX(인턴계획표[순번],$Q316)&amp;"")</f>
        <v/>
      </c>
      <c r="B316">
        <f>IF($Q316="","",TRIM(INDEX(인턴계획표[이름],$Q316)&amp;""))</f>
        <v/>
      </c>
      <c r="C316">
        <f>IF($Q316="","",INDEX(인턴계획표[사번],$Q316)&amp;"")</f>
        <v/>
      </c>
      <c r="D316">
        <f>IF($Q316="","",IF(COUNTIF(기본자료표[사번키],INDEX(인턴계획표[사번키],$Q316))&gt;0,"확인","미등록"))</f>
        <v/>
      </c>
      <c r="E316">
        <f>IF($Q316="","",IF(ISNUMBER(INDEX(인턴계획표[입사일(비고)],$Q316)),TEXT(INDEX(인턴계획표[입사일(비고)],$Q316),"yyyy-mm-dd"),INDEX(인턴계획표[입사일(비고)],$Q316)&amp;""))</f>
        <v/>
      </c>
      <c r="F316">
        <f>IF($Q316="","",IF(IF($G$3="","",INDEX(인턴계획표[[정규화1]:[정규화6]],$Q316,$G$3)&amp;"")="","",IF(LEFT(IF($G$3="","",INDEX(인턴계획표[[정규화1]:[정규화6]],$Q316,$G$3)&amp;""),1)="⚠",IF($G$3="","",INDEX(인턴계획표[[정규화1]:[정규화6]],$Q316,$G$3)&amp;""),IFERROR(LEFT(IF($G$3="","",INDEX(인턴계획표[[정규화1]:[정규화6]],$Q316,$G$3)&amp;""),FIND(" ",IF($G$3="","",INDEX(인턴계획표[[정규화1]:[정규화6]],$Q316,$G$3)&amp;""))-1),IF($G$3="","",INDEX(인턴계획표[[정규화1]:[정규화6]],$Q316,$G$3)&amp;"")))))</f>
        <v/>
      </c>
      <c r="G316">
        <f>IF($Q316="","",IF(IF($G$3="","",INDEX(인턴계획표[[정규화1]:[정규화6]],$Q316,$G$3)&amp;"")="","",IF(LEFT(IF($G$3="","",INDEX(인턴계획표[[정규화1]:[정규화6]],$Q316,$G$3)&amp;""),1)="⚠","",IFERROR(MID(IF($G$3="","",INDEX(인턴계획표[[정규화1]:[정규화6]],$Q316,$G$3)&amp;""),FIND(" ",IF($G$3="","",INDEX(인턴계획표[[정규화1]:[정규화6]],$Q316,$G$3)&amp;""))+1,60),""))))</f>
        <v/>
      </c>
      <c r="H316">
        <f>IF($Q316="","",IF(IF($I$3="","",INDEX(인턴계획표[[정규화1]:[정규화6]],$Q316,$I$3)&amp;"")="","",IF(LEFT(IF($I$3="","",INDEX(인턴계획표[[정규화1]:[정규화6]],$Q316,$I$3)&amp;""),1)="⚠",IF($I$3="","",INDEX(인턴계획표[[정규화1]:[정규화6]],$Q316,$I$3)&amp;""),IFERROR(LEFT(IF($I$3="","",INDEX(인턴계획표[[정규화1]:[정규화6]],$Q316,$I$3)&amp;""),FIND(" ",IF($I$3="","",INDEX(인턴계획표[[정규화1]:[정규화6]],$Q316,$I$3)&amp;""))-1),IF($I$3="","",INDEX(인턴계획표[[정규화1]:[정규화6]],$Q316,$I$3)&amp;"")))))</f>
        <v/>
      </c>
      <c r="I316">
        <f>IF($Q316="","",IF(IF($I$3="","",INDEX(인턴계획표[[정규화1]:[정규화6]],$Q316,$I$3)&amp;"")="","",IF(LEFT(IF($I$3="","",INDEX(인턴계획표[[정규화1]:[정규화6]],$Q316,$I$3)&amp;""),1)="⚠","",IFERROR(MID(IF($I$3="","",INDEX(인턴계획표[[정규화1]:[정규화6]],$Q316,$I$3)&amp;""),FIND(" ",IF($I$3="","",INDEX(인턴계획표[[정규화1]:[정규화6]],$Q316,$I$3)&amp;""))+1,60),""))))</f>
        <v/>
      </c>
      <c r="J316">
        <f>IF($Q316="","",INDEX(인턴계획표[정규화1],$Q316))</f>
        <v/>
      </c>
      <c r="K316">
        <f>IF($Q316="","",INDEX(인턴계획표[정규화2],$Q316))</f>
        <v/>
      </c>
      <c r="L316">
        <f>IF($Q316="","",INDEX(인턴계획표[정규화3],$Q316))</f>
        <v/>
      </c>
      <c r="M316">
        <f>IF($Q316="","",INDEX(인턴계획표[정규화4],$Q316))</f>
        <v/>
      </c>
      <c r="N316">
        <f>IF($Q316="","",INDEX(인턴계획표[정규화5],$Q316))</f>
        <v/>
      </c>
      <c r="O316">
        <f>IF($Q316="","",INDEX(인턴계획표[정규화6],$Q316))</f>
        <v/>
      </c>
      <c r="P316">
        <f>IF($Q316="","",INDEX(인턴계획표[입력오류],$Q316))</f>
        <v/>
      </c>
      <c r="Q316" s="17">
        <f>IFERROR(MATCH(311,인턴계획표[표시순번],0),"")</f>
        <v/>
      </c>
    </row>
    <row r="317">
      <c r="A317">
        <f>IF($Q317="","",INDEX(인턴계획표[순번],$Q317)&amp;"")</f>
        <v/>
      </c>
      <c r="B317">
        <f>IF($Q317="","",TRIM(INDEX(인턴계획표[이름],$Q317)&amp;""))</f>
        <v/>
      </c>
      <c r="C317">
        <f>IF($Q317="","",INDEX(인턴계획표[사번],$Q317)&amp;"")</f>
        <v/>
      </c>
      <c r="D317">
        <f>IF($Q317="","",IF(COUNTIF(기본자료표[사번키],INDEX(인턴계획표[사번키],$Q317))&gt;0,"확인","미등록"))</f>
        <v/>
      </c>
      <c r="E317">
        <f>IF($Q317="","",IF(ISNUMBER(INDEX(인턴계획표[입사일(비고)],$Q317)),TEXT(INDEX(인턴계획표[입사일(비고)],$Q317),"yyyy-mm-dd"),INDEX(인턴계획표[입사일(비고)],$Q317)&amp;""))</f>
        <v/>
      </c>
      <c r="F317">
        <f>IF($Q317="","",IF(IF($G$3="","",INDEX(인턴계획표[[정규화1]:[정규화6]],$Q317,$G$3)&amp;"")="","",IF(LEFT(IF($G$3="","",INDEX(인턴계획표[[정규화1]:[정규화6]],$Q317,$G$3)&amp;""),1)="⚠",IF($G$3="","",INDEX(인턴계획표[[정규화1]:[정규화6]],$Q317,$G$3)&amp;""),IFERROR(LEFT(IF($G$3="","",INDEX(인턴계획표[[정규화1]:[정규화6]],$Q317,$G$3)&amp;""),FIND(" ",IF($G$3="","",INDEX(인턴계획표[[정규화1]:[정규화6]],$Q317,$G$3)&amp;""))-1),IF($G$3="","",INDEX(인턴계획표[[정규화1]:[정규화6]],$Q317,$G$3)&amp;"")))))</f>
        <v/>
      </c>
      <c r="G317">
        <f>IF($Q317="","",IF(IF($G$3="","",INDEX(인턴계획표[[정규화1]:[정규화6]],$Q317,$G$3)&amp;"")="","",IF(LEFT(IF($G$3="","",INDEX(인턴계획표[[정규화1]:[정규화6]],$Q317,$G$3)&amp;""),1)="⚠","",IFERROR(MID(IF($G$3="","",INDEX(인턴계획표[[정규화1]:[정규화6]],$Q317,$G$3)&amp;""),FIND(" ",IF($G$3="","",INDEX(인턴계획표[[정규화1]:[정규화6]],$Q317,$G$3)&amp;""))+1,60),""))))</f>
        <v/>
      </c>
      <c r="H317">
        <f>IF($Q317="","",IF(IF($I$3="","",INDEX(인턴계획표[[정규화1]:[정규화6]],$Q317,$I$3)&amp;"")="","",IF(LEFT(IF($I$3="","",INDEX(인턴계획표[[정규화1]:[정규화6]],$Q317,$I$3)&amp;""),1)="⚠",IF($I$3="","",INDEX(인턴계획표[[정규화1]:[정규화6]],$Q317,$I$3)&amp;""),IFERROR(LEFT(IF($I$3="","",INDEX(인턴계획표[[정규화1]:[정규화6]],$Q317,$I$3)&amp;""),FIND(" ",IF($I$3="","",INDEX(인턴계획표[[정규화1]:[정규화6]],$Q317,$I$3)&amp;""))-1),IF($I$3="","",INDEX(인턴계획표[[정규화1]:[정규화6]],$Q317,$I$3)&amp;"")))))</f>
        <v/>
      </c>
      <c r="I317">
        <f>IF($Q317="","",IF(IF($I$3="","",INDEX(인턴계획표[[정규화1]:[정규화6]],$Q317,$I$3)&amp;"")="","",IF(LEFT(IF($I$3="","",INDEX(인턴계획표[[정규화1]:[정규화6]],$Q317,$I$3)&amp;""),1)="⚠","",IFERROR(MID(IF($I$3="","",INDEX(인턴계획표[[정규화1]:[정규화6]],$Q317,$I$3)&amp;""),FIND(" ",IF($I$3="","",INDEX(인턴계획표[[정규화1]:[정규화6]],$Q317,$I$3)&amp;""))+1,60),""))))</f>
        <v/>
      </c>
      <c r="J317">
        <f>IF($Q317="","",INDEX(인턴계획표[정규화1],$Q317))</f>
        <v/>
      </c>
      <c r="K317">
        <f>IF($Q317="","",INDEX(인턴계획표[정규화2],$Q317))</f>
        <v/>
      </c>
      <c r="L317">
        <f>IF($Q317="","",INDEX(인턴계획표[정규화3],$Q317))</f>
        <v/>
      </c>
      <c r="M317">
        <f>IF($Q317="","",INDEX(인턴계획표[정규화4],$Q317))</f>
        <v/>
      </c>
      <c r="N317">
        <f>IF($Q317="","",INDEX(인턴계획표[정규화5],$Q317))</f>
        <v/>
      </c>
      <c r="O317">
        <f>IF($Q317="","",INDEX(인턴계획표[정규화6],$Q317))</f>
        <v/>
      </c>
      <c r="P317">
        <f>IF($Q317="","",INDEX(인턴계획표[입력오류],$Q317))</f>
        <v/>
      </c>
      <c r="Q317" s="17">
        <f>IFERROR(MATCH(312,인턴계획표[표시순번],0),"")</f>
        <v/>
      </c>
    </row>
    <row r="318">
      <c r="A318">
        <f>IF($Q318="","",INDEX(인턴계획표[순번],$Q318)&amp;"")</f>
        <v/>
      </c>
      <c r="B318">
        <f>IF($Q318="","",TRIM(INDEX(인턴계획표[이름],$Q318)&amp;""))</f>
        <v/>
      </c>
      <c r="C318">
        <f>IF($Q318="","",INDEX(인턴계획표[사번],$Q318)&amp;"")</f>
        <v/>
      </c>
      <c r="D318">
        <f>IF($Q318="","",IF(COUNTIF(기본자료표[사번키],INDEX(인턴계획표[사번키],$Q318))&gt;0,"확인","미등록"))</f>
        <v/>
      </c>
      <c r="E318">
        <f>IF($Q318="","",IF(ISNUMBER(INDEX(인턴계획표[입사일(비고)],$Q318)),TEXT(INDEX(인턴계획표[입사일(비고)],$Q318),"yyyy-mm-dd"),INDEX(인턴계획표[입사일(비고)],$Q318)&amp;""))</f>
        <v/>
      </c>
      <c r="F318">
        <f>IF($Q318="","",IF(IF($G$3="","",INDEX(인턴계획표[[정규화1]:[정규화6]],$Q318,$G$3)&amp;"")="","",IF(LEFT(IF($G$3="","",INDEX(인턴계획표[[정규화1]:[정규화6]],$Q318,$G$3)&amp;""),1)="⚠",IF($G$3="","",INDEX(인턴계획표[[정규화1]:[정규화6]],$Q318,$G$3)&amp;""),IFERROR(LEFT(IF($G$3="","",INDEX(인턴계획표[[정규화1]:[정규화6]],$Q318,$G$3)&amp;""),FIND(" ",IF($G$3="","",INDEX(인턴계획표[[정규화1]:[정규화6]],$Q318,$G$3)&amp;""))-1),IF($G$3="","",INDEX(인턴계획표[[정규화1]:[정규화6]],$Q318,$G$3)&amp;"")))))</f>
        <v/>
      </c>
      <c r="G318">
        <f>IF($Q318="","",IF(IF($G$3="","",INDEX(인턴계획표[[정규화1]:[정규화6]],$Q318,$G$3)&amp;"")="","",IF(LEFT(IF($G$3="","",INDEX(인턴계획표[[정규화1]:[정규화6]],$Q318,$G$3)&amp;""),1)="⚠","",IFERROR(MID(IF($G$3="","",INDEX(인턴계획표[[정규화1]:[정규화6]],$Q318,$G$3)&amp;""),FIND(" ",IF($G$3="","",INDEX(인턴계획표[[정규화1]:[정규화6]],$Q318,$G$3)&amp;""))+1,60),""))))</f>
        <v/>
      </c>
      <c r="H318">
        <f>IF($Q318="","",IF(IF($I$3="","",INDEX(인턴계획표[[정규화1]:[정규화6]],$Q318,$I$3)&amp;"")="","",IF(LEFT(IF($I$3="","",INDEX(인턴계획표[[정규화1]:[정규화6]],$Q318,$I$3)&amp;""),1)="⚠",IF($I$3="","",INDEX(인턴계획표[[정규화1]:[정규화6]],$Q318,$I$3)&amp;""),IFERROR(LEFT(IF($I$3="","",INDEX(인턴계획표[[정규화1]:[정규화6]],$Q318,$I$3)&amp;""),FIND(" ",IF($I$3="","",INDEX(인턴계획표[[정규화1]:[정규화6]],$Q318,$I$3)&amp;""))-1),IF($I$3="","",INDEX(인턴계획표[[정규화1]:[정규화6]],$Q318,$I$3)&amp;"")))))</f>
        <v/>
      </c>
      <c r="I318">
        <f>IF($Q318="","",IF(IF($I$3="","",INDEX(인턴계획표[[정규화1]:[정규화6]],$Q318,$I$3)&amp;"")="","",IF(LEFT(IF($I$3="","",INDEX(인턴계획표[[정규화1]:[정규화6]],$Q318,$I$3)&amp;""),1)="⚠","",IFERROR(MID(IF($I$3="","",INDEX(인턴계획표[[정규화1]:[정규화6]],$Q318,$I$3)&amp;""),FIND(" ",IF($I$3="","",INDEX(인턴계획표[[정규화1]:[정규화6]],$Q318,$I$3)&amp;""))+1,60),""))))</f>
        <v/>
      </c>
      <c r="J318">
        <f>IF($Q318="","",INDEX(인턴계획표[정규화1],$Q318))</f>
        <v/>
      </c>
      <c r="K318">
        <f>IF($Q318="","",INDEX(인턴계획표[정규화2],$Q318))</f>
        <v/>
      </c>
      <c r="L318">
        <f>IF($Q318="","",INDEX(인턴계획표[정규화3],$Q318))</f>
        <v/>
      </c>
      <c r="M318">
        <f>IF($Q318="","",INDEX(인턴계획표[정규화4],$Q318))</f>
        <v/>
      </c>
      <c r="N318">
        <f>IF($Q318="","",INDEX(인턴계획표[정규화5],$Q318))</f>
        <v/>
      </c>
      <c r="O318">
        <f>IF($Q318="","",INDEX(인턴계획표[정규화6],$Q318))</f>
        <v/>
      </c>
      <c r="P318">
        <f>IF($Q318="","",INDEX(인턴계획표[입력오류],$Q318))</f>
        <v/>
      </c>
      <c r="Q318" s="17">
        <f>IFERROR(MATCH(313,인턴계획표[표시순번],0),"")</f>
        <v/>
      </c>
    </row>
    <row r="319">
      <c r="A319">
        <f>IF($Q319="","",INDEX(인턴계획표[순번],$Q319)&amp;"")</f>
        <v/>
      </c>
      <c r="B319">
        <f>IF($Q319="","",TRIM(INDEX(인턴계획표[이름],$Q319)&amp;""))</f>
        <v/>
      </c>
      <c r="C319">
        <f>IF($Q319="","",INDEX(인턴계획표[사번],$Q319)&amp;"")</f>
        <v/>
      </c>
      <c r="D319">
        <f>IF($Q319="","",IF(COUNTIF(기본자료표[사번키],INDEX(인턴계획표[사번키],$Q319))&gt;0,"확인","미등록"))</f>
        <v/>
      </c>
      <c r="E319">
        <f>IF($Q319="","",IF(ISNUMBER(INDEX(인턴계획표[입사일(비고)],$Q319)),TEXT(INDEX(인턴계획표[입사일(비고)],$Q319),"yyyy-mm-dd"),INDEX(인턴계획표[입사일(비고)],$Q319)&amp;""))</f>
        <v/>
      </c>
      <c r="F319">
        <f>IF($Q319="","",IF(IF($G$3="","",INDEX(인턴계획표[[정규화1]:[정규화6]],$Q319,$G$3)&amp;"")="","",IF(LEFT(IF($G$3="","",INDEX(인턴계획표[[정규화1]:[정규화6]],$Q319,$G$3)&amp;""),1)="⚠",IF($G$3="","",INDEX(인턴계획표[[정규화1]:[정규화6]],$Q319,$G$3)&amp;""),IFERROR(LEFT(IF($G$3="","",INDEX(인턴계획표[[정규화1]:[정규화6]],$Q319,$G$3)&amp;""),FIND(" ",IF($G$3="","",INDEX(인턴계획표[[정규화1]:[정규화6]],$Q319,$G$3)&amp;""))-1),IF($G$3="","",INDEX(인턴계획표[[정규화1]:[정규화6]],$Q319,$G$3)&amp;"")))))</f>
        <v/>
      </c>
      <c r="G319">
        <f>IF($Q319="","",IF(IF($G$3="","",INDEX(인턴계획표[[정규화1]:[정규화6]],$Q319,$G$3)&amp;"")="","",IF(LEFT(IF($G$3="","",INDEX(인턴계획표[[정규화1]:[정규화6]],$Q319,$G$3)&amp;""),1)="⚠","",IFERROR(MID(IF($G$3="","",INDEX(인턴계획표[[정규화1]:[정규화6]],$Q319,$G$3)&amp;""),FIND(" ",IF($G$3="","",INDEX(인턴계획표[[정규화1]:[정규화6]],$Q319,$G$3)&amp;""))+1,60),""))))</f>
        <v/>
      </c>
      <c r="H319">
        <f>IF($Q319="","",IF(IF($I$3="","",INDEX(인턴계획표[[정규화1]:[정규화6]],$Q319,$I$3)&amp;"")="","",IF(LEFT(IF($I$3="","",INDEX(인턴계획표[[정규화1]:[정규화6]],$Q319,$I$3)&amp;""),1)="⚠",IF($I$3="","",INDEX(인턴계획표[[정규화1]:[정규화6]],$Q319,$I$3)&amp;""),IFERROR(LEFT(IF($I$3="","",INDEX(인턴계획표[[정규화1]:[정규화6]],$Q319,$I$3)&amp;""),FIND(" ",IF($I$3="","",INDEX(인턴계획표[[정규화1]:[정규화6]],$Q319,$I$3)&amp;""))-1),IF($I$3="","",INDEX(인턴계획표[[정규화1]:[정규화6]],$Q319,$I$3)&amp;"")))))</f>
        <v/>
      </c>
      <c r="I319">
        <f>IF($Q319="","",IF(IF($I$3="","",INDEX(인턴계획표[[정규화1]:[정규화6]],$Q319,$I$3)&amp;"")="","",IF(LEFT(IF($I$3="","",INDEX(인턴계획표[[정규화1]:[정규화6]],$Q319,$I$3)&amp;""),1)="⚠","",IFERROR(MID(IF($I$3="","",INDEX(인턴계획표[[정규화1]:[정규화6]],$Q319,$I$3)&amp;""),FIND(" ",IF($I$3="","",INDEX(인턴계획표[[정규화1]:[정규화6]],$Q319,$I$3)&amp;""))+1,60),""))))</f>
        <v/>
      </c>
      <c r="J319">
        <f>IF($Q319="","",INDEX(인턴계획표[정규화1],$Q319))</f>
        <v/>
      </c>
      <c r="K319">
        <f>IF($Q319="","",INDEX(인턴계획표[정규화2],$Q319))</f>
        <v/>
      </c>
      <c r="L319">
        <f>IF($Q319="","",INDEX(인턴계획표[정규화3],$Q319))</f>
        <v/>
      </c>
      <c r="M319">
        <f>IF($Q319="","",INDEX(인턴계획표[정규화4],$Q319))</f>
        <v/>
      </c>
      <c r="N319">
        <f>IF($Q319="","",INDEX(인턴계획표[정규화5],$Q319))</f>
        <v/>
      </c>
      <c r="O319">
        <f>IF($Q319="","",INDEX(인턴계획표[정규화6],$Q319))</f>
        <v/>
      </c>
      <c r="P319">
        <f>IF($Q319="","",INDEX(인턴계획표[입력오류],$Q319))</f>
        <v/>
      </c>
      <c r="Q319" s="17">
        <f>IFERROR(MATCH(314,인턴계획표[표시순번],0),"")</f>
        <v/>
      </c>
    </row>
    <row r="320">
      <c r="A320">
        <f>IF($Q320="","",INDEX(인턴계획표[순번],$Q320)&amp;"")</f>
        <v/>
      </c>
      <c r="B320">
        <f>IF($Q320="","",TRIM(INDEX(인턴계획표[이름],$Q320)&amp;""))</f>
        <v/>
      </c>
      <c r="C320">
        <f>IF($Q320="","",INDEX(인턴계획표[사번],$Q320)&amp;"")</f>
        <v/>
      </c>
      <c r="D320">
        <f>IF($Q320="","",IF(COUNTIF(기본자료표[사번키],INDEX(인턴계획표[사번키],$Q320))&gt;0,"확인","미등록"))</f>
        <v/>
      </c>
      <c r="E320">
        <f>IF($Q320="","",IF(ISNUMBER(INDEX(인턴계획표[입사일(비고)],$Q320)),TEXT(INDEX(인턴계획표[입사일(비고)],$Q320),"yyyy-mm-dd"),INDEX(인턴계획표[입사일(비고)],$Q320)&amp;""))</f>
        <v/>
      </c>
      <c r="F320">
        <f>IF($Q320="","",IF(IF($G$3="","",INDEX(인턴계획표[[정규화1]:[정규화6]],$Q320,$G$3)&amp;"")="","",IF(LEFT(IF($G$3="","",INDEX(인턴계획표[[정규화1]:[정규화6]],$Q320,$G$3)&amp;""),1)="⚠",IF($G$3="","",INDEX(인턴계획표[[정규화1]:[정규화6]],$Q320,$G$3)&amp;""),IFERROR(LEFT(IF($G$3="","",INDEX(인턴계획표[[정규화1]:[정규화6]],$Q320,$G$3)&amp;""),FIND(" ",IF($G$3="","",INDEX(인턴계획표[[정규화1]:[정규화6]],$Q320,$G$3)&amp;""))-1),IF($G$3="","",INDEX(인턴계획표[[정규화1]:[정규화6]],$Q320,$G$3)&amp;"")))))</f>
        <v/>
      </c>
      <c r="G320">
        <f>IF($Q320="","",IF(IF($G$3="","",INDEX(인턴계획표[[정규화1]:[정규화6]],$Q320,$G$3)&amp;"")="","",IF(LEFT(IF($G$3="","",INDEX(인턴계획표[[정규화1]:[정규화6]],$Q320,$G$3)&amp;""),1)="⚠","",IFERROR(MID(IF($G$3="","",INDEX(인턴계획표[[정규화1]:[정규화6]],$Q320,$G$3)&amp;""),FIND(" ",IF($G$3="","",INDEX(인턴계획표[[정규화1]:[정규화6]],$Q320,$G$3)&amp;""))+1,60),""))))</f>
        <v/>
      </c>
      <c r="H320">
        <f>IF($Q320="","",IF(IF($I$3="","",INDEX(인턴계획표[[정규화1]:[정규화6]],$Q320,$I$3)&amp;"")="","",IF(LEFT(IF($I$3="","",INDEX(인턴계획표[[정규화1]:[정규화6]],$Q320,$I$3)&amp;""),1)="⚠",IF($I$3="","",INDEX(인턴계획표[[정규화1]:[정규화6]],$Q320,$I$3)&amp;""),IFERROR(LEFT(IF($I$3="","",INDEX(인턴계획표[[정규화1]:[정규화6]],$Q320,$I$3)&amp;""),FIND(" ",IF($I$3="","",INDEX(인턴계획표[[정규화1]:[정규화6]],$Q320,$I$3)&amp;""))-1),IF($I$3="","",INDEX(인턴계획표[[정규화1]:[정규화6]],$Q320,$I$3)&amp;"")))))</f>
        <v/>
      </c>
      <c r="I320">
        <f>IF($Q320="","",IF(IF($I$3="","",INDEX(인턴계획표[[정규화1]:[정규화6]],$Q320,$I$3)&amp;"")="","",IF(LEFT(IF($I$3="","",INDEX(인턴계획표[[정규화1]:[정규화6]],$Q320,$I$3)&amp;""),1)="⚠","",IFERROR(MID(IF($I$3="","",INDEX(인턴계획표[[정규화1]:[정규화6]],$Q320,$I$3)&amp;""),FIND(" ",IF($I$3="","",INDEX(인턴계획표[[정규화1]:[정규화6]],$Q320,$I$3)&amp;""))+1,60),""))))</f>
        <v/>
      </c>
      <c r="J320">
        <f>IF($Q320="","",INDEX(인턴계획표[정규화1],$Q320))</f>
        <v/>
      </c>
      <c r="K320">
        <f>IF($Q320="","",INDEX(인턴계획표[정규화2],$Q320))</f>
        <v/>
      </c>
      <c r="L320">
        <f>IF($Q320="","",INDEX(인턴계획표[정규화3],$Q320))</f>
        <v/>
      </c>
      <c r="M320">
        <f>IF($Q320="","",INDEX(인턴계획표[정규화4],$Q320))</f>
        <v/>
      </c>
      <c r="N320">
        <f>IF($Q320="","",INDEX(인턴계획표[정규화5],$Q320))</f>
        <v/>
      </c>
      <c r="O320">
        <f>IF($Q320="","",INDEX(인턴계획표[정규화6],$Q320))</f>
        <v/>
      </c>
      <c r="P320">
        <f>IF($Q320="","",INDEX(인턴계획표[입력오류],$Q320))</f>
        <v/>
      </c>
      <c r="Q320" s="17">
        <f>IFERROR(MATCH(315,인턴계획표[표시순번],0),"")</f>
        <v/>
      </c>
    </row>
    <row r="321">
      <c r="A321">
        <f>IF($Q321="","",INDEX(인턴계획표[순번],$Q321)&amp;"")</f>
        <v/>
      </c>
      <c r="B321">
        <f>IF($Q321="","",TRIM(INDEX(인턴계획표[이름],$Q321)&amp;""))</f>
        <v/>
      </c>
      <c r="C321">
        <f>IF($Q321="","",INDEX(인턴계획표[사번],$Q321)&amp;"")</f>
        <v/>
      </c>
      <c r="D321">
        <f>IF($Q321="","",IF(COUNTIF(기본자료표[사번키],INDEX(인턴계획표[사번키],$Q321))&gt;0,"확인","미등록"))</f>
        <v/>
      </c>
      <c r="E321">
        <f>IF($Q321="","",IF(ISNUMBER(INDEX(인턴계획표[입사일(비고)],$Q321)),TEXT(INDEX(인턴계획표[입사일(비고)],$Q321),"yyyy-mm-dd"),INDEX(인턴계획표[입사일(비고)],$Q321)&amp;""))</f>
        <v/>
      </c>
      <c r="F321">
        <f>IF($Q321="","",IF(IF($G$3="","",INDEX(인턴계획표[[정규화1]:[정규화6]],$Q321,$G$3)&amp;"")="","",IF(LEFT(IF($G$3="","",INDEX(인턴계획표[[정규화1]:[정규화6]],$Q321,$G$3)&amp;""),1)="⚠",IF($G$3="","",INDEX(인턴계획표[[정규화1]:[정규화6]],$Q321,$G$3)&amp;""),IFERROR(LEFT(IF($G$3="","",INDEX(인턴계획표[[정규화1]:[정규화6]],$Q321,$G$3)&amp;""),FIND(" ",IF($G$3="","",INDEX(인턴계획표[[정규화1]:[정규화6]],$Q321,$G$3)&amp;""))-1),IF($G$3="","",INDEX(인턴계획표[[정규화1]:[정규화6]],$Q321,$G$3)&amp;"")))))</f>
        <v/>
      </c>
      <c r="G321">
        <f>IF($Q321="","",IF(IF($G$3="","",INDEX(인턴계획표[[정규화1]:[정규화6]],$Q321,$G$3)&amp;"")="","",IF(LEFT(IF($G$3="","",INDEX(인턴계획표[[정규화1]:[정규화6]],$Q321,$G$3)&amp;""),1)="⚠","",IFERROR(MID(IF($G$3="","",INDEX(인턴계획표[[정규화1]:[정규화6]],$Q321,$G$3)&amp;""),FIND(" ",IF($G$3="","",INDEX(인턴계획표[[정규화1]:[정규화6]],$Q321,$G$3)&amp;""))+1,60),""))))</f>
        <v/>
      </c>
      <c r="H321">
        <f>IF($Q321="","",IF(IF($I$3="","",INDEX(인턴계획표[[정규화1]:[정규화6]],$Q321,$I$3)&amp;"")="","",IF(LEFT(IF($I$3="","",INDEX(인턴계획표[[정규화1]:[정규화6]],$Q321,$I$3)&amp;""),1)="⚠",IF($I$3="","",INDEX(인턴계획표[[정규화1]:[정규화6]],$Q321,$I$3)&amp;""),IFERROR(LEFT(IF($I$3="","",INDEX(인턴계획표[[정규화1]:[정규화6]],$Q321,$I$3)&amp;""),FIND(" ",IF($I$3="","",INDEX(인턴계획표[[정규화1]:[정규화6]],$Q321,$I$3)&amp;""))-1),IF($I$3="","",INDEX(인턴계획표[[정규화1]:[정규화6]],$Q321,$I$3)&amp;"")))))</f>
        <v/>
      </c>
      <c r="I321">
        <f>IF($Q321="","",IF(IF($I$3="","",INDEX(인턴계획표[[정규화1]:[정규화6]],$Q321,$I$3)&amp;"")="","",IF(LEFT(IF($I$3="","",INDEX(인턴계획표[[정규화1]:[정규화6]],$Q321,$I$3)&amp;""),1)="⚠","",IFERROR(MID(IF($I$3="","",INDEX(인턴계획표[[정규화1]:[정규화6]],$Q321,$I$3)&amp;""),FIND(" ",IF($I$3="","",INDEX(인턴계획표[[정규화1]:[정규화6]],$Q321,$I$3)&amp;""))+1,60),""))))</f>
        <v/>
      </c>
      <c r="J321">
        <f>IF($Q321="","",INDEX(인턴계획표[정규화1],$Q321))</f>
        <v/>
      </c>
      <c r="K321">
        <f>IF($Q321="","",INDEX(인턴계획표[정규화2],$Q321))</f>
        <v/>
      </c>
      <c r="L321">
        <f>IF($Q321="","",INDEX(인턴계획표[정규화3],$Q321))</f>
        <v/>
      </c>
      <c r="M321">
        <f>IF($Q321="","",INDEX(인턴계획표[정규화4],$Q321))</f>
        <v/>
      </c>
      <c r="N321">
        <f>IF($Q321="","",INDEX(인턴계획표[정규화5],$Q321))</f>
        <v/>
      </c>
      <c r="O321">
        <f>IF($Q321="","",INDEX(인턴계획표[정규화6],$Q321))</f>
        <v/>
      </c>
      <c r="P321">
        <f>IF($Q321="","",INDEX(인턴계획표[입력오류],$Q321))</f>
        <v/>
      </c>
      <c r="Q321" s="17">
        <f>IFERROR(MATCH(316,인턴계획표[표시순번],0),"")</f>
        <v/>
      </c>
    </row>
    <row r="322">
      <c r="A322">
        <f>IF($Q322="","",INDEX(인턴계획표[순번],$Q322)&amp;"")</f>
        <v/>
      </c>
      <c r="B322">
        <f>IF($Q322="","",TRIM(INDEX(인턴계획표[이름],$Q322)&amp;""))</f>
        <v/>
      </c>
      <c r="C322">
        <f>IF($Q322="","",INDEX(인턴계획표[사번],$Q322)&amp;"")</f>
        <v/>
      </c>
      <c r="D322">
        <f>IF($Q322="","",IF(COUNTIF(기본자료표[사번키],INDEX(인턴계획표[사번키],$Q322))&gt;0,"확인","미등록"))</f>
        <v/>
      </c>
      <c r="E322">
        <f>IF($Q322="","",IF(ISNUMBER(INDEX(인턴계획표[입사일(비고)],$Q322)),TEXT(INDEX(인턴계획표[입사일(비고)],$Q322),"yyyy-mm-dd"),INDEX(인턴계획표[입사일(비고)],$Q322)&amp;""))</f>
        <v/>
      </c>
      <c r="F322">
        <f>IF($Q322="","",IF(IF($G$3="","",INDEX(인턴계획표[[정규화1]:[정규화6]],$Q322,$G$3)&amp;"")="","",IF(LEFT(IF($G$3="","",INDEX(인턴계획표[[정규화1]:[정규화6]],$Q322,$G$3)&amp;""),1)="⚠",IF($G$3="","",INDEX(인턴계획표[[정규화1]:[정규화6]],$Q322,$G$3)&amp;""),IFERROR(LEFT(IF($G$3="","",INDEX(인턴계획표[[정규화1]:[정규화6]],$Q322,$G$3)&amp;""),FIND(" ",IF($G$3="","",INDEX(인턴계획표[[정규화1]:[정규화6]],$Q322,$G$3)&amp;""))-1),IF($G$3="","",INDEX(인턴계획표[[정규화1]:[정규화6]],$Q322,$G$3)&amp;"")))))</f>
        <v/>
      </c>
      <c r="G322">
        <f>IF($Q322="","",IF(IF($G$3="","",INDEX(인턴계획표[[정규화1]:[정규화6]],$Q322,$G$3)&amp;"")="","",IF(LEFT(IF($G$3="","",INDEX(인턴계획표[[정규화1]:[정규화6]],$Q322,$G$3)&amp;""),1)="⚠","",IFERROR(MID(IF($G$3="","",INDEX(인턴계획표[[정규화1]:[정규화6]],$Q322,$G$3)&amp;""),FIND(" ",IF($G$3="","",INDEX(인턴계획표[[정규화1]:[정규화6]],$Q322,$G$3)&amp;""))+1,60),""))))</f>
        <v/>
      </c>
      <c r="H322">
        <f>IF($Q322="","",IF(IF($I$3="","",INDEX(인턴계획표[[정규화1]:[정규화6]],$Q322,$I$3)&amp;"")="","",IF(LEFT(IF($I$3="","",INDEX(인턴계획표[[정규화1]:[정규화6]],$Q322,$I$3)&amp;""),1)="⚠",IF($I$3="","",INDEX(인턴계획표[[정규화1]:[정규화6]],$Q322,$I$3)&amp;""),IFERROR(LEFT(IF($I$3="","",INDEX(인턴계획표[[정규화1]:[정규화6]],$Q322,$I$3)&amp;""),FIND(" ",IF($I$3="","",INDEX(인턴계획표[[정규화1]:[정규화6]],$Q322,$I$3)&amp;""))-1),IF($I$3="","",INDEX(인턴계획표[[정규화1]:[정규화6]],$Q322,$I$3)&amp;"")))))</f>
        <v/>
      </c>
      <c r="I322">
        <f>IF($Q322="","",IF(IF($I$3="","",INDEX(인턴계획표[[정규화1]:[정규화6]],$Q322,$I$3)&amp;"")="","",IF(LEFT(IF($I$3="","",INDEX(인턴계획표[[정규화1]:[정규화6]],$Q322,$I$3)&amp;""),1)="⚠","",IFERROR(MID(IF($I$3="","",INDEX(인턴계획표[[정규화1]:[정규화6]],$Q322,$I$3)&amp;""),FIND(" ",IF($I$3="","",INDEX(인턴계획표[[정규화1]:[정규화6]],$Q322,$I$3)&amp;""))+1,60),""))))</f>
        <v/>
      </c>
      <c r="J322">
        <f>IF($Q322="","",INDEX(인턴계획표[정규화1],$Q322))</f>
        <v/>
      </c>
      <c r="K322">
        <f>IF($Q322="","",INDEX(인턴계획표[정규화2],$Q322))</f>
        <v/>
      </c>
      <c r="L322">
        <f>IF($Q322="","",INDEX(인턴계획표[정규화3],$Q322))</f>
        <v/>
      </c>
      <c r="M322">
        <f>IF($Q322="","",INDEX(인턴계획표[정규화4],$Q322))</f>
        <v/>
      </c>
      <c r="N322">
        <f>IF($Q322="","",INDEX(인턴계획표[정규화5],$Q322))</f>
        <v/>
      </c>
      <c r="O322">
        <f>IF($Q322="","",INDEX(인턴계획표[정규화6],$Q322))</f>
        <v/>
      </c>
      <c r="P322">
        <f>IF($Q322="","",INDEX(인턴계획표[입력오류],$Q322))</f>
        <v/>
      </c>
      <c r="Q322" s="17">
        <f>IFERROR(MATCH(317,인턴계획표[표시순번],0),"")</f>
        <v/>
      </c>
    </row>
    <row r="323">
      <c r="A323">
        <f>IF($Q323="","",INDEX(인턴계획표[순번],$Q323)&amp;"")</f>
        <v/>
      </c>
      <c r="B323">
        <f>IF($Q323="","",TRIM(INDEX(인턴계획표[이름],$Q323)&amp;""))</f>
        <v/>
      </c>
      <c r="C323">
        <f>IF($Q323="","",INDEX(인턴계획표[사번],$Q323)&amp;"")</f>
        <v/>
      </c>
      <c r="D323">
        <f>IF($Q323="","",IF(COUNTIF(기본자료표[사번키],INDEX(인턴계획표[사번키],$Q323))&gt;0,"확인","미등록"))</f>
        <v/>
      </c>
      <c r="E323">
        <f>IF($Q323="","",IF(ISNUMBER(INDEX(인턴계획표[입사일(비고)],$Q323)),TEXT(INDEX(인턴계획표[입사일(비고)],$Q323),"yyyy-mm-dd"),INDEX(인턴계획표[입사일(비고)],$Q323)&amp;""))</f>
        <v/>
      </c>
      <c r="F323">
        <f>IF($Q323="","",IF(IF($G$3="","",INDEX(인턴계획표[[정규화1]:[정규화6]],$Q323,$G$3)&amp;"")="","",IF(LEFT(IF($G$3="","",INDEX(인턴계획표[[정규화1]:[정규화6]],$Q323,$G$3)&amp;""),1)="⚠",IF($G$3="","",INDEX(인턴계획표[[정규화1]:[정규화6]],$Q323,$G$3)&amp;""),IFERROR(LEFT(IF($G$3="","",INDEX(인턴계획표[[정규화1]:[정규화6]],$Q323,$G$3)&amp;""),FIND(" ",IF($G$3="","",INDEX(인턴계획표[[정규화1]:[정규화6]],$Q323,$G$3)&amp;""))-1),IF($G$3="","",INDEX(인턴계획표[[정규화1]:[정규화6]],$Q323,$G$3)&amp;"")))))</f>
        <v/>
      </c>
      <c r="G323">
        <f>IF($Q323="","",IF(IF($G$3="","",INDEX(인턴계획표[[정규화1]:[정규화6]],$Q323,$G$3)&amp;"")="","",IF(LEFT(IF($G$3="","",INDEX(인턴계획표[[정규화1]:[정규화6]],$Q323,$G$3)&amp;""),1)="⚠","",IFERROR(MID(IF($G$3="","",INDEX(인턴계획표[[정규화1]:[정규화6]],$Q323,$G$3)&amp;""),FIND(" ",IF($G$3="","",INDEX(인턴계획표[[정규화1]:[정규화6]],$Q323,$G$3)&amp;""))+1,60),""))))</f>
        <v/>
      </c>
      <c r="H323">
        <f>IF($Q323="","",IF(IF($I$3="","",INDEX(인턴계획표[[정규화1]:[정규화6]],$Q323,$I$3)&amp;"")="","",IF(LEFT(IF($I$3="","",INDEX(인턴계획표[[정규화1]:[정규화6]],$Q323,$I$3)&amp;""),1)="⚠",IF($I$3="","",INDEX(인턴계획표[[정규화1]:[정규화6]],$Q323,$I$3)&amp;""),IFERROR(LEFT(IF($I$3="","",INDEX(인턴계획표[[정규화1]:[정규화6]],$Q323,$I$3)&amp;""),FIND(" ",IF($I$3="","",INDEX(인턴계획표[[정규화1]:[정규화6]],$Q323,$I$3)&amp;""))-1),IF($I$3="","",INDEX(인턴계획표[[정규화1]:[정규화6]],$Q323,$I$3)&amp;"")))))</f>
        <v/>
      </c>
      <c r="I323">
        <f>IF($Q323="","",IF(IF($I$3="","",INDEX(인턴계획표[[정규화1]:[정규화6]],$Q323,$I$3)&amp;"")="","",IF(LEFT(IF($I$3="","",INDEX(인턴계획표[[정규화1]:[정규화6]],$Q323,$I$3)&amp;""),1)="⚠","",IFERROR(MID(IF($I$3="","",INDEX(인턴계획표[[정규화1]:[정규화6]],$Q323,$I$3)&amp;""),FIND(" ",IF($I$3="","",INDEX(인턴계획표[[정규화1]:[정규화6]],$Q323,$I$3)&amp;""))+1,60),""))))</f>
        <v/>
      </c>
      <c r="J323">
        <f>IF($Q323="","",INDEX(인턴계획표[정규화1],$Q323))</f>
        <v/>
      </c>
      <c r="K323">
        <f>IF($Q323="","",INDEX(인턴계획표[정규화2],$Q323))</f>
        <v/>
      </c>
      <c r="L323">
        <f>IF($Q323="","",INDEX(인턴계획표[정규화3],$Q323))</f>
        <v/>
      </c>
      <c r="M323">
        <f>IF($Q323="","",INDEX(인턴계획표[정규화4],$Q323))</f>
        <v/>
      </c>
      <c r="N323">
        <f>IF($Q323="","",INDEX(인턴계획표[정규화5],$Q323))</f>
        <v/>
      </c>
      <c r="O323">
        <f>IF($Q323="","",INDEX(인턴계획표[정규화6],$Q323))</f>
        <v/>
      </c>
      <c r="P323">
        <f>IF($Q323="","",INDEX(인턴계획표[입력오류],$Q323))</f>
        <v/>
      </c>
      <c r="Q323" s="17">
        <f>IFERROR(MATCH(318,인턴계획표[표시순번],0),"")</f>
        <v/>
      </c>
    </row>
    <row r="324">
      <c r="A324">
        <f>IF($Q324="","",INDEX(인턴계획표[순번],$Q324)&amp;"")</f>
        <v/>
      </c>
      <c r="B324">
        <f>IF($Q324="","",TRIM(INDEX(인턴계획표[이름],$Q324)&amp;""))</f>
        <v/>
      </c>
      <c r="C324">
        <f>IF($Q324="","",INDEX(인턴계획표[사번],$Q324)&amp;"")</f>
        <v/>
      </c>
      <c r="D324">
        <f>IF($Q324="","",IF(COUNTIF(기본자료표[사번키],INDEX(인턴계획표[사번키],$Q324))&gt;0,"확인","미등록"))</f>
        <v/>
      </c>
      <c r="E324">
        <f>IF($Q324="","",IF(ISNUMBER(INDEX(인턴계획표[입사일(비고)],$Q324)),TEXT(INDEX(인턴계획표[입사일(비고)],$Q324),"yyyy-mm-dd"),INDEX(인턴계획표[입사일(비고)],$Q324)&amp;""))</f>
        <v/>
      </c>
      <c r="F324">
        <f>IF($Q324="","",IF(IF($G$3="","",INDEX(인턴계획표[[정규화1]:[정규화6]],$Q324,$G$3)&amp;"")="","",IF(LEFT(IF($G$3="","",INDEX(인턴계획표[[정규화1]:[정규화6]],$Q324,$G$3)&amp;""),1)="⚠",IF($G$3="","",INDEX(인턴계획표[[정규화1]:[정규화6]],$Q324,$G$3)&amp;""),IFERROR(LEFT(IF($G$3="","",INDEX(인턴계획표[[정규화1]:[정규화6]],$Q324,$G$3)&amp;""),FIND(" ",IF($G$3="","",INDEX(인턴계획표[[정규화1]:[정규화6]],$Q324,$G$3)&amp;""))-1),IF($G$3="","",INDEX(인턴계획표[[정규화1]:[정규화6]],$Q324,$G$3)&amp;"")))))</f>
        <v/>
      </c>
      <c r="G324">
        <f>IF($Q324="","",IF(IF($G$3="","",INDEX(인턴계획표[[정규화1]:[정규화6]],$Q324,$G$3)&amp;"")="","",IF(LEFT(IF($G$3="","",INDEX(인턴계획표[[정규화1]:[정규화6]],$Q324,$G$3)&amp;""),1)="⚠","",IFERROR(MID(IF($G$3="","",INDEX(인턴계획표[[정규화1]:[정규화6]],$Q324,$G$3)&amp;""),FIND(" ",IF($G$3="","",INDEX(인턴계획표[[정규화1]:[정규화6]],$Q324,$G$3)&amp;""))+1,60),""))))</f>
        <v/>
      </c>
      <c r="H324">
        <f>IF($Q324="","",IF(IF($I$3="","",INDEX(인턴계획표[[정규화1]:[정규화6]],$Q324,$I$3)&amp;"")="","",IF(LEFT(IF($I$3="","",INDEX(인턴계획표[[정규화1]:[정규화6]],$Q324,$I$3)&amp;""),1)="⚠",IF($I$3="","",INDEX(인턴계획표[[정규화1]:[정규화6]],$Q324,$I$3)&amp;""),IFERROR(LEFT(IF($I$3="","",INDEX(인턴계획표[[정규화1]:[정규화6]],$Q324,$I$3)&amp;""),FIND(" ",IF($I$3="","",INDEX(인턴계획표[[정규화1]:[정규화6]],$Q324,$I$3)&amp;""))-1),IF($I$3="","",INDEX(인턴계획표[[정규화1]:[정규화6]],$Q324,$I$3)&amp;"")))))</f>
        <v/>
      </c>
      <c r="I324">
        <f>IF($Q324="","",IF(IF($I$3="","",INDEX(인턴계획표[[정규화1]:[정규화6]],$Q324,$I$3)&amp;"")="","",IF(LEFT(IF($I$3="","",INDEX(인턴계획표[[정규화1]:[정규화6]],$Q324,$I$3)&amp;""),1)="⚠","",IFERROR(MID(IF($I$3="","",INDEX(인턴계획표[[정규화1]:[정규화6]],$Q324,$I$3)&amp;""),FIND(" ",IF($I$3="","",INDEX(인턴계획표[[정규화1]:[정규화6]],$Q324,$I$3)&amp;""))+1,60),""))))</f>
        <v/>
      </c>
      <c r="J324">
        <f>IF($Q324="","",INDEX(인턴계획표[정규화1],$Q324))</f>
        <v/>
      </c>
      <c r="K324">
        <f>IF($Q324="","",INDEX(인턴계획표[정규화2],$Q324))</f>
        <v/>
      </c>
      <c r="L324">
        <f>IF($Q324="","",INDEX(인턴계획표[정규화3],$Q324))</f>
        <v/>
      </c>
      <c r="M324">
        <f>IF($Q324="","",INDEX(인턴계획표[정규화4],$Q324))</f>
        <v/>
      </c>
      <c r="N324">
        <f>IF($Q324="","",INDEX(인턴계획표[정규화5],$Q324))</f>
        <v/>
      </c>
      <c r="O324">
        <f>IF($Q324="","",INDEX(인턴계획표[정규화6],$Q324))</f>
        <v/>
      </c>
      <c r="P324">
        <f>IF($Q324="","",INDEX(인턴계획표[입력오류],$Q324))</f>
        <v/>
      </c>
      <c r="Q324" s="17">
        <f>IFERROR(MATCH(319,인턴계획표[표시순번],0),"")</f>
        <v/>
      </c>
    </row>
    <row r="325">
      <c r="A325">
        <f>IF($Q325="","",INDEX(인턴계획표[순번],$Q325)&amp;"")</f>
        <v/>
      </c>
      <c r="B325">
        <f>IF($Q325="","",TRIM(INDEX(인턴계획표[이름],$Q325)&amp;""))</f>
        <v/>
      </c>
      <c r="C325">
        <f>IF($Q325="","",INDEX(인턴계획표[사번],$Q325)&amp;"")</f>
        <v/>
      </c>
      <c r="D325">
        <f>IF($Q325="","",IF(COUNTIF(기본자료표[사번키],INDEX(인턴계획표[사번키],$Q325))&gt;0,"확인","미등록"))</f>
        <v/>
      </c>
      <c r="E325">
        <f>IF($Q325="","",IF(ISNUMBER(INDEX(인턴계획표[입사일(비고)],$Q325)),TEXT(INDEX(인턴계획표[입사일(비고)],$Q325),"yyyy-mm-dd"),INDEX(인턴계획표[입사일(비고)],$Q325)&amp;""))</f>
        <v/>
      </c>
      <c r="F325">
        <f>IF($Q325="","",IF(IF($G$3="","",INDEX(인턴계획표[[정규화1]:[정규화6]],$Q325,$G$3)&amp;"")="","",IF(LEFT(IF($G$3="","",INDEX(인턴계획표[[정규화1]:[정규화6]],$Q325,$G$3)&amp;""),1)="⚠",IF($G$3="","",INDEX(인턴계획표[[정규화1]:[정규화6]],$Q325,$G$3)&amp;""),IFERROR(LEFT(IF($G$3="","",INDEX(인턴계획표[[정규화1]:[정규화6]],$Q325,$G$3)&amp;""),FIND(" ",IF($G$3="","",INDEX(인턴계획표[[정규화1]:[정규화6]],$Q325,$G$3)&amp;""))-1),IF($G$3="","",INDEX(인턴계획표[[정규화1]:[정규화6]],$Q325,$G$3)&amp;"")))))</f>
        <v/>
      </c>
      <c r="G325">
        <f>IF($Q325="","",IF(IF($G$3="","",INDEX(인턴계획표[[정규화1]:[정규화6]],$Q325,$G$3)&amp;"")="","",IF(LEFT(IF($G$3="","",INDEX(인턴계획표[[정규화1]:[정규화6]],$Q325,$G$3)&amp;""),1)="⚠","",IFERROR(MID(IF($G$3="","",INDEX(인턴계획표[[정규화1]:[정규화6]],$Q325,$G$3)&amp;""),FIND(" ",IF($G$3="","",INDEX(인턴계획표[[정규화1]:[정규화6]],$Q325,$G$3)&amp;""))+1,60),""))))</f>
        <v/>
      </c>
      <c r="H325">
        <f>IF($Q325="","",IF(IF($I$3="","",INDEX(인턴계획표[[정규화1]:[정규화6]],$Q325,$I$3)&amp;"")="","",IF(LEFT(IF($I$3="","",INDEX(인턴계획표[[정규화1]:[정규화6]],$Q325,$I$3)&amp;""),1)="⚠",IF($I$3="","",INDEX(인턴계획표[[정규화1]:[정규화6]],$Q325,$I$3)&amp;""),IFERROR(LEFT(IF($I$3="","",INDEX(인턴계획표[[정규화1]:[정규화6]],$Q325,$I$3)&amp;""),FIND(" ",IF($I$3="","",INDEX(인턴계획표[[정규화1]:[정규화6]],$Q325,$I$3)&amp;""))-1),IF($I$3="","",INDEX(인턴계획표[[정규화1]:[정규화6]],$Q325,$I$3)&amp;"")))))</f>
        <v/>
      </c>
      <c r="I325">
        <f>IF($Q325="","",IF(IF($I$3="","",INDEX(인턴계획표[[정규화1]:[정규화6]],$Q325,$I$3)&amp;"")="","",IF(LEFT(IF($I$3="","",INDEX(인턴계획표[[정규화1]:[정규화6]],$Q325,$I$3)&amp;""),1)="⚠","",IFERROR(MID(IF($I$3="","",INDEX(인턴계획표[[정규화1]:[정규화6]],$Q325,$I$3)&amp;""),FIND(" ",IF($I$3="","",INDEX(인턴계획표[[정규화1]:[정규화6]],$Q325,$I$3)&amp;""))+1,60),""))))</f>
        <v/>
      </c>
      <c r="J325">
        <f>IF($Q325="","",INDEX(인턴계획표[정규화1],$Q325))</f>
        <v/>
      </c>
      <c r="K325">
        <f>IF($Q325="","",INDEX(인턴계획표[정규화2],$Q325))</f>
        <v/>
      </c>
      <c r="L325">
        <f>IF($Q325="","",INDEX(인턴계획표[정규화3],$Q325))</f>
        <v/>
      </c>
      <c r="M325">
        <f>IF($Q325="","",INDEX(인턴계획표[정규화4],$Q325))</f>
        <v/>
      </c>
      <c r="N325">
        <f>IF($Q325="","",INDEX(인턴계획표[정규화5],$Q325))</f>
        <v/>
      </c>
      <c r="O325">
        <f>IF($Q325="","",INDEX(인턴계획표[정규화6],$Q325))</f>
        <v/>
      </c>
      <c r="P325">
        <f>IF($Q325="","",INDEX(인턴계획표[입력오류],$Q325))</f>
        <v/>
      </c>
      <c r="Q325" s="17">
        <f>IFERROR(MATCH(320,인턴계획표[표시순번],0),"")</f>
        <v/>
      </c>
    </row>
    <row r="326">
      <c r="A326">
        <f>IF($Q326="","",INDEX(인턴계획표[순번],$Q326)&amp;"")</f>
        <v/>
      </c>
      <c r="B326">
        <f>IF($Q326="","",TRIM(INDEX(인턴계획표[이름],$Q326)&amp;""))</f>
        <v/>
      </c>
      <c r="C326">
        <f>IF($Q326="","",INDEX(인턴계획표[사번],$Q326)&amp;"")</f>
        <v/>
      </c>
      <c r="D326">
        <f>IF($Q326="","",IF(COUNTIF(기본자료표[사번키],INDEX(인턴계획표[사번키],$Q326))&gt;0,"확인","미등록"))</f>
        <v/>
      </c>
      <c r="E326">
        <f>IF($Q326="","",IF(ISNUMBER(INDEX(인턴계획표[입사일(비고)],$Q326)),TEXT(INDEX(인턴계획표[입사일(비고)],$Q326),"yyyy-mm-dd"),INDEX(인턴계획표[입사일(비고)],$Q326)&amp;""))</f>
        <v/>
      </c>
      <c r="F326">
        <f>IF($Q326="","",IF(IF($G$3="","",INDEX(인턴계획표[[정규화1]:[정규화6]],$Q326,$G$3)&amp;"")="","",IF(LEFT(IF($G$3="","",INDEX(인턴계획표[[정규화1]:[정규화6]],$Q326,$G$3)&amp;""),1)="⚠",IF($G$3="","",INDEX(인턴계획표[[정규화1]:[정규화6]],$Q326,$G$3)&amp;""),IFERROR(LEFT(IF($G$3="","",INDEX(인턴계획표[[정규화1]:[정규화6]],$Q326,$G$3)&amp;""),FIND(" ",IF($G$3="","",INDEX(인턴계획표[[정규화1]:[정규화6]],$Q326,$G$3)&amp;""))-1),IF($G$3="","",INDEX(인턴계획표[[정규화1]:[정규화6]],$Q326,$G$3)&amp;"")))))</f>
        <v/>
      </c>
      <c r="G326">
        <f>IF($Q326="","",IF(IF($G$3="","",INDEX(인턴계획표[[정규화1]:[정규화6]],$Q326,$G$3)&amp;"")="","",IF(LEFT(IF($G$3="","",INDEX(인턴계획표[[정규화1]:[정규화6]],$Q326,$G$3)&amp;""),1)="⚠","",IFERROR(MID(IF($G$3="","",INDEX(인턴계획표[[정규화1]:[정규화6]],$Q326,$G$3)&amp;""),FIND(" ",IF($G$3="","",INDEX(인턴계획표[[정규화1]:[정규화6]],$Q326,$G$3)&amp;""))+1,60),""))))</f>
        <v/>
      </c>
      <c r="H326">
        <f>IF($Q326="","",IF(IF($I$3="","",INDEX(인턴계획표[[정규화1]:[정규화6]],$Q326,$I$3)&amp;"")="","",IF(LEFT(IF($I$3="","",INDEX(인턴계획표[[정규화1]:[정규화6]],$Q326,$I$3)&amp;""),1)="⚠",IF($I$3="","",INDEX(인턴계획표[[정규화1]:[정규화6]],$Q326,$I$3)&amp;""),IFERROR(LEFT(IF($I$3="","",INDEX(인턴계획표[[정규화1]:[정규화6]],$Q326,$I$3)&amp;""),FIND(" ",IF($I$3="","",INDEX(인턴계획표[[정규화1]:[정규화6]],$Q326,$I$3)&amp;""))-1),IF($I$3="","",INDEX(인턴계획표[[정규화1]:[정규화6]],$Q326,$I$3)&amp;"")))))</f>
        <v/>
      </c>
      <c r="I326">
        <f>IF($Q326="","",IF(IF($I$3="","",INDEX(인턴계획표[[정규화1]:[정규화6]],$Q326,$I$3)&amp;"")="","",IF(LEFT(IF($I$3="","",INDEX(인턴계획표[[정규화1]:[정규화6]],$Q326,$I$3)&amp;""),1)="⚠","",IFERROR(MID(IF($I$3="","",INDEX(인턴계획표[[정규화1]:[정규화6]],$Q326,$I$3)&amp;""),FIND(" ",IF($I$3="","",INDEX(인턴계획표[[정규화1]:[정규화6]],$Q326,$I$3)&amp;""))+1,60),""))))</f>
        <v/>
      </c>
      <c r="J326">
        <f>IF($Q326="","",INDEX(인턴계획표[정규화1],$Q326))</f>
        <v/>
      </c>
      <c r="K326">
        <f>IF($Q326="","",INDEX(인턴계획표[정규화2],$Q326))</f>
        <v/>
      </c>
      <c r="L326">
        <f>IF($Q326="","",INDEX(인턴계획표[정규화3],$Q326))</f>
        <v/>
      </c>
      <c r="M326">
        <f>IF($Q326="","",INDEX(인턴계획표[정규화4],$Q326))</f>
        <v/>
      </c>
      <c r="N326">
        <f>IF($Q326="","",INDEX(인턴계획표[정규화5],$Q326))</f>
        <v/>
      </c>
      <c r="O326">
        <f>IF($Q326="","",INDEX(인턴계획표[정규화6],$Q326))</f>
        <v/>
      </c>
      <c r="P326">
        <f>IF($Q326="","",INDEX(인턴계획표[입력오류],$Q326))</f>
        <v/>
      </c>
      <c r="Q326" s="17">
        <f>IFERROR(MATCH(321,인턴계획표[표시순번],0),"")</f>
        <v/>
      </c>
    </row>
    <row r="327">
      <c r="A327">
        <f>IF($Q327="","",INDEX(인턴계획표[순번],$Q327)&amp;"")</f>
        <v/>
      </c>
      <c r="B327">
        <f>IF($Q327="","",TRIM(INDEX(인턴계획표[이름],$Q327)&amp;""))</f>
        <v/>
      </c>
      <c r="C327">
        <f>IF($Q327="","",INDEX(인턴계획표[사번],$Q327)&amp;"")</f>
        <v/>
      </c>
      <c r="D327">
        <f>IF($Q327="","",IF(COUNTIF(기본자료표[사번키],INDEX(인턴계획표[사번키],$Q327))&gt;0,"확인","미등록"))</f>
        <v/>
      </c>
      <c r="E327">
        <f>IF($Q327="","",IF(ISNUMBER(INDEX(인턴계획표[입사일(비고)],$Q327)),TEXT(INDEX(인턴계획표[입사일(비고)],$Q327),"yyyy-mm-dd"),INDEX(인턴계획표[입사일(비고)],$Q327)&amp;""))</f>
        <v/>
      </c>
      <c r="F327">
        <f>IF($Q327="","",IF(IF($G$3="","",INDEX(인턴계획표[[정규화1]:[정규화6]],$Q327,$G$3)&amp;"")="","",IF(LEFT(IF($G$3="","",INDEX(인턴계획표[[정규화1]:[정규화6]],$Q327,$G$3)&amp;""),1)="⚠",IF($G$3="","",INDEX(인턴계획표[[정규화1]:[정규화6]],$Q327,$G$3)&amp;""),IFERROR(LEFT(IF($G$3="","",INDEX(인턴계획표[[정규화1]:[정규화6]],$Q327,$G$3)&amp;""),FIND(" ",IF($G$3="","",INDEX(인턴계획표[[정규화1]:[정규화6]],$Q327,$G$3)&amp;""))-1),IF($G$3="","",INDEX(인턴계획표[[정규화1]:[정규화6]],$Q327,$G$3)&amp;"")))))</f>
        <v/>
      </c>
      <c r="G327">
        <f>IF($Q327="","",IF(IF($G$3="","",INDEX(인턴계획표[[정규화1]:[정규화6]],$Q327,$G$3)&amp;"")="","",IF(LEFT(IF($G$3="","",INDEX(인턴계획표[[정규화1]:[정규화6]],$Q327,$G$3)&amp;""),1)="⚠","",IFERROR(MID(IF($G$3="","",INDEX(인턴계획표[[정규화1]:[정규화6]],$Q327,$G$3)&amp;""),FIND(" ",IF($G$3="","",INDEX(인턴계획표[[정규화1]:[정규화6]],$Q327,$G$3)&amp;""))+1,60),""))))</f>
        <v/>
      </c>
      <c r="H327">
        <f>IF($Q327="","",IF(IF($I$3="","",INDEX(인턴계획표[[정규화1]:[정규화6]],$Q327,$I$3)&amp;"")="","",IF(LEFT(IF($I$3="","",INDEX(인턴계획표[[정규화1]:[정규화6]],$Q327,$I$3)&amp;""),1)="⚠",IF($I$3="","",INDEX(인턴계획표[[정규화1]:[정규화6]],$Q327,$I$3)&amp;""),IFERROR(LEFT(IF($I$3="","",INDEX(인턴계획표[[정규화1]:[정규화6]],$Q327,$I$3)&amp;""),FIND(" ",IF($I$3="","",INDEX(인턴계획표[[정규화1]:[정규화6]],$Q327,$I$3)&amp;""))-1),IF($I$3="","",INDEX(인턴계획표[[정규화1]:[정규화6]],$Q327,$I$3)&amp;"")))))</f>
        <v/>
      </c>
      <c r="I327">
        <f>IF($Q327="","",IF(IF($I$3="","",INDEX(인턴계획표[[정규화1]:[정규화6]],$Q327,$I$3)&amp;"")="","",IF(LEFT(IF($I$3="","",INDEX(인턴계획표[[정규화1]:[정규화6]],$Q327,$I$3)&amp;""),1)="⚠","",IFERROR(MID(IF($I$3="","",INDEX(인턴계획표[[정규화1]:[정규화6]],$Q327,$I$3)&amp;""),FIND(" ",IF($I$3="","",INDEX(인턴계획표[[정규화1]:[정규화6]],$Q327,$I$3)&amp;""))+1,60),""))))</f>
        <v/>
      </c>
      <c r="J327">
        <f>IF($Q327="","",INDEX(인턴계획표[정규화1],$Q327))</f>
        <v/>
      </c>
      <c r="K327">
        <f>IF($Q327="","",INDEX(인턴계획표[정규화2],$Q327))</f>
        <v/>
      </c>
      <c r="L327">
        <f>IF($Q327="","",INDEX(인턴계획표[정규화3],$Q327))</f>
        <v/>
      </c>
      <c r="M327">
        <f>IF($Q327="","",INDEX(인턴계획표[정규화4],$Q327))</f>
        <v/>
      </c>
      <c r="N327">
        <f>IF($Q327="","",INDEX(인턴계획표[정규화5],$Q327))</f>
        <v/>
      </c>
      <c r="O327">
        <f>IF($Q327="","",INDEX(인턴계획표[정규화6],$Q327))</f>
        <v/>
      </c>
      <c r="P327">
        <f>IF($Q327="","",INDEX(인턴계획표[입력오류],$Q327))</f>
        <v/>
      </c>
      <c r="Q327" s="17">
        <f>IFERROR(MATCH(322,인턴계획표[표시순번],0),"")</f>
        <v/>
      </c>
    </row>
    <row r="328">
      <c r="A328">
        <f>IF($Q328="","",INDEX(인턴계획표[순번],$Q328)&amp;"")</f>
        <v/>
      </c>
      <c r="B328">
        <f>IF($Q328="","",TRIM(INDEX(인턴계획표[이름],$Q328)&amp;""))</f>
        <v/>
      </c>
      <c r="C328">
        <f>IF($Q328="","",INDEX(인턴계획표[사번],$Q328)&amp;"")</f>
        <v/>
      </c>
      <c r="D328">
        <f>IF($Q328="","",IF(COUNTIF(기본자료표[사번키],INDEX(인턴계획표[사번키],$Q328))&gt;0,"확인","미등록"))</f>
        <v/>
      </c>
      <c r="E328">
        <f>IF($Q328="","",IF(ISNUMBER(INDEX(인턴계획표[입사일(비고)],$Q328)),TEXT(INDEX(인턴계획표[입사일(비고)],$Q328),"yyyy-mm-dd"),INDEX(인턴계획표[입사일(비고)],$Q328)&amp;""))</f>
        <v/>
      </c>
      <c r="F328">
        <f>IF($Q328="","",IF(IF($G$3="","",INDEX(인턴계획표[[정규화1]:[정규화6]],$Q328,$G$3)&amp;"")="","",IF(LEFT(IF($G$3="","",INDEX(인턴계획표[[정규화1]:[정규화6]],$Q328,$G$3)&amp;""),1)="⚠",IF($G$3="","",INDEX(인턴계획표[[정규화1]:[정규화6]],$Q328,$G$3)&amp;""),IFERROR(LEFT(IF($G$3="","",INDEX(인턴계획표[[정규화1]:[정규화6]],$Q328,$G$3)&amp;""),FIND(" ",IF($G$3="","",INDEX(인턴계획표[[정규화1]:[정규화6]],$Q328,$G$3)&amp;""))-1),IF($G$3="","",INDEX(인턴계획표[[정규화1]:[정규화6]],$Q328,$G$3)&amp;"")))))</f>
        <v/>
      </c>
      <c r="G328">
        <f>IF($Q328="","",IF(IF($G$3="","",INDEX(인턴계획표[[정규화1]:[정규화6]],$Q328,$G$3)&amp;"")="","",IF(LEFT(IF($G$3="","",INDEX(인턴계획표[[정규화1]:[정규화6]],$Q328,$G$3)&amp;""),1)="⚠","",IFERROR(MID(IF($G$3="","",INDEX(인턴계획표[[정규화1]:[정규화6]],$Q328,$G$3)&amp;""),FIND(" ",IF($G$3="","",INDEX(인턴계획표[[정규화1]:[정규화6]],$Q328,$G$3)&amp;""))+1,60),""))))</f>
        <v/>
      </c>
      <c r="H328">
        <f>IF($Q328="","",IF(IF($I$3="","",INDEX(인턴계획표[[정규화1]:[정규화6]],$Q328,$I$3)&amp;"")="","",IF(LEFT(IF($I$3="","",INDEX(인턴계획표[[정규화1]:[정규화6]],$Q328,$I$3)&amp;""),1)="⚠",IF($I$3="","",INDEX(인턴계획표[[정규화1]:[정규화6]],$Q328,$I$3)&amp;""),IFERROR(LEFT(IF($I$3="","",INDEX(인턴계획표[[정규화1]:[정규화6]],$Q328,$I$3)&amp;""),FIND(" ",IF($I$3="","",INDEX(인턴계획표[[정규화1]:[정규화6]],$Q328,$I$3)&amp;""))-1),IF($I$3="","",INDEX(인턴계획표[[정규화1]:[정규화6]],$Q328,$I$3)&amp;"")))))</f>
        <v/>
      </c>
      <c r="I328">
        <f>IF($Q328="","",IF(IF($I$3="","",INDEX(인턴계획표[[정규화1]:[정규화6]],$Q328,$I$3)&amp;"")="","",IF(LEFT(IF($I$3="","",INDEX(인턴계획표[[정규화1]:[정규화6]],$Q328,$I$3)&amp;""),1)="⚠","",IFERROR(MID(IF($I$3="","",INDEX(인턴계획표[[정규화1]:[정규화6]],$Q328,$I$3)&amp;""),FIND(" ",IF($I$3="","",INDEX(인턴계획표[[정규화1]:[정규화6]],$Q328,$I$3)&amp;""))+1,60),""))))</f>
        <v/>
      </c>
      <c r="J328">
        <f>IF($Q328="","",INDEX(인턴계획표[정규화1],$Q328))</f>
        <v/>
      </c>
      <c r="K328">
        <f>IF($Q328="","",INDEX(인턴계획표[정규화2],$Q328))</f>
        <v/>
      </c>
      <c r="L328">
        <f>IF($Q328="","",INDEX(인턴계획표[정규화3],$Q328))</f>
        <v/>
      </c>
      <c r="M328">
        <f>IF($Q328="","",INDEX(인턴계획표[정규화4],$Q328))</f>
        <v/>
      </c>
      <c r="N328">
        <f>IF($Q328="","",INDEX(인턴계획표[정규화5],$Q328))</f>
        <v/>
      </c>
      <c r="O328">
        <f>IF($Q328="","",INDEX(인턴계획표[정규화6],$Q328))</f>
        <v/>
      </c>
      <c r="P328">
        <f>IF($Q328="","",INDEX(인턴계획표[입력오류],$Q328))</f>
        <v/>
      </c>
      <c r="Q328" s="17">
        <f>IFERROR(MATCH(323,인턴계획표[표시순번],0),"")</f>
        <v/>
      </c>
    </row>
    <row r="329">
      <c r="A329">
        <f>IF($Q329="","",INDEX(인턴계획표[순번],$Q329)&amp;"")</f>
        <v/>
      </c>
      <c r="B329">
        <f>IF($Q329="","",TRIM(INDEX(인턴계획표[이름],$Q329)&amp;""))</f>
        <v/>
      </c>
      <c r="C329">
        <f>IF($Q329="","",INDEX(인턴계획표[사번],$Q329)&amp;"")</f>
        <v/>
      </c>
      <c r="D329">
        <f>IF($Q329="","",IF(COUNTIF(기본자료표[사번키],INDEX(인턴계획표[사번키],$Q329))&gt;0,"확인","미등록"))</f>
        <v/>
      </c>
      <c r="E329">
        <f>IF($Q329="","",IF(ISNUMBER(INDEX(인턴계획표[입사일(비고)],$Q329)),TEXT(INDEX(인턴계획표[입사일(비고)],$Q329),"yyyy-mm-dd"),INDEX(인턴계획표[입사일(비고)],$Q329)&amp;""))</f>
        <v/>
      </c>
      <c r="F329">
        <f>IF($Q329="","",IF(IF($G$3="","",INDEX(인턴계획표[[정규화1]:[정규화6]],$Q329,$G$3)&amp;"")="","",IF(LEFT(IF($G$3="","",INDEX(인턴계획표[[정규화1]:[정규화6]],$Q329,$G$3)&amp;""),1)="⚠",IF($G$3="","",INDEX(인턴계획표[[정규화1]:[정규화6]],$Q329,$G$3)&amp;""),IFERROR(LEFT(IF($G$3="","",INDEX(인턴계획표[[정규화1]:[정규화6]],$Q329,$G$3)&amp;""),FIND(" ",IF($G$3="","",INDEX(인턴계획표[[정규화1]:[정규화6]],$Q329,$G$3)&amp;""))-1),IF($G$3="","",INDEX(인턴계획표[[정규화1]:[정규화6]],$Q329,$G$3)&amp;"")))))</f>
        <v/>
      </c>
      <c r="G329">
        <f>IF($Q329="","",IF(IF($G$3="","",INDEX(인턴계획표[[정규화1]:[정규화6]],$Q329,$G$3)&amp;"")="","",IF(LEFT(IF($G$3="","",INDEX(인턴계획표[[정규화1]:[정규화6]],$Q329,$G$3)&amp;""),1)="⚠","",IFERROR(MID(IF($G$3="","",INDEX(인턴계획표[[정규화1]:[정규화6]],$Q329,$G$3)&amp;""),FIND(" ",IF($G$3="","",INDEX(인턴계획표[[정규화1]:[정규화6]],$Q329,$G$3)&amp;""))+1,60),""))))</f>
        <v/>
      </c>
      <c r="H329">
        <f>IF($Q329="","",IF(IF($I$3="","",INDEX(인턴계획표[[정규화1]:[정규화6]],$Q329,$I$3)&amp;"")="","",IF(LEFT(IF($I$3="","",INDEX(인턴계획표[[정규화1]:[정규화6]],$Q329,$I$3)&amp;""),1)="⚠",IF($I$3="","",INDEX(인턴계획표[[정규화1]:[정규화6]],$Q329,$I$3)&amp;""),IFERROR(LEFT(IF($I$3="","",INDEX(인턴계획표[[정규화1]:[정규화6]],$Q329,$I$3)&amp;""),FIND(" ",IF($I$3="","",INDEX(인턴계획표[[정규화1]:[정규화6]],$Q329,$I$3)&amp;""))-1),IF($I$3="","",INDEX(인턴계획표[[정규화1]:[정규화6]],$Q329,$I$3)&amp;"")))))</f>
        <v/>
      </c>
      <c r="I329">
        <f>IF($Q329="","",IF(IF($I$3="","",INDEX(인턴계획표[[정규화1]:[정규화6]],$Q329,$I$3)&amp;"")="","",IF(LEFT(IF($I$3="","",INDEX(인턴계획표[[정규화1]:[정규화6]],$Q329,$I$3)&amp;""),1)="⚠","",IFERROR(MID(IF($I$3="","",INDEX(인턴계획표[[정규화1]:[정규화6]],$Q329,$I$3)&amp;""),FIND(" ",IF($I$3="","",INDEX(인턴계획표[[정규화1]:[정규화6]],$Q329,$I$3)&amp;""))+1,60),""))))</f>
        <v/>
      </c>
      <c r="J329">
        <f>IF($Q329="","",INDEX(인턴계획표[정규화1],$Q329))</f>
        <v/>
      </c>
      <c r="K329">
        <f>IF($Q329="","",INDEX(인턴계획표[정규화2],$Q329))</f>
        <v/>
      </c>
      <c r="L329">
        <f>IF($Q329="","",INDEX(인턴계획표[정규화3],$Q329))</f>
        <v/>
      </c>
      <c r="M329">
        <f>IF($Q329="","",INDEX(인턴계획표[정규화4],$Q329))</f>
        <v/>
      </c>
      <c r="N329">
        <f>IF($Q329="","",INDEX(인턴계획표[정규화5],$Q329))</f>
        <v/>
      </c>
      <c r="O329">
        <f>IF($Q329="","",INDEX(인턴계획표[정규화6],$Q329))</f>
        <v/>
      </c>
      <c r="P329">
        <f>IF($Q329="","",INDEX(인턴계획표[입력오류],$Q329))</f>
        <v/>
      </c>
      <c r="Q329" s="17">
        <f>IFERROR(MATCH(324,인턴계획표[표시순번],0),"")</f>
        <v/>
      </c>
    </row>
    <row r="330">
      <c r="A330">
        <f>IF($Q330="","",INDEX(인턴계획표[순번],$Q330)&amp;"")</f>
        <v/>
      </c>
      <c r="B330">
        <f>IF($Q330="","",TRIM(INDEX(인턴계획표[이름],$Q330)&amp;""))</f>
        <v/>
      </c>
      <c r="C330">
        <f>IF($Q330="","",INDEX(인턴계획표[사번],$Q330)&amp;"")</f>
        <v/>
      </c>
      <c r="D330">
        <f>IF($Q330="","",IF(COUNTIF(기본자료표[사번키],INDEX(인턴계획표[사번키],$Q330))&gt;0,"확인","미등록"))</f>
        <v/>
      </c>
      <c r="E330">
        <f>IF($Q330="","",IF(ISNUMBER(INDEX(인턴계획표[입사일(비고)],$Q330)),TEXT(INDEX(인턴계획표[입사일(비고)],$Q330),"yyyy-mm-dd"),INDEX(인턴계획표[입사일(비고)],$Q330)&amp;""))</f>
        <v/>
      </c>
      <c r="F330">
        <f>IF($Q330="","",IF(IF($G$3="","",INDEX(인턴계획표[[정규화1]:[정규화6]],$Q330,$G$3)&amp;"")="","",IF(LEFT(IF($G$3="","",INDEX(인턴계획표[[정규화1]:[정규화6]],$Q330,$G$3)&amp;""),1)="⚠",IF($G$3="","",INDEX(인턴계획표[[정규화1]:[정규화6]],$Q330,$G$3)&amp;""),IFERROR(LEFT(IF($G$3="","",INDEX(인턴계획표[[정규화1]:[정규화6]],$Q330,$G$3)&amp;""),FIND(" ",IF($G$3="","",INDEX(인턴계획표[[정규화1]:[정규화6]],$Q330,$G$3)&amp;""))-1),IF($G$3="","",INDEX(인턴계획표[[정규화1]:[정규화6]],$Q330,$G$3)&amp;"")))))</f>
        <v/>
      </c>
      <c r="G330">
        <f>IF($Q330="","",IF(IF($G$3="","",INDEX(인턴계획표[[정규화1]:[정규화6]],$Q330,$G$3)&amp;"")="","",IF(LEFT(IF($G$3="","",INDEX(인턴계획표[[정규화1]:[정규화6]],$Q330,$G$3)&amp;""),1)="⚠","",IFERROR(MID(IF($G$3="","",INDEX(인턴계획표[[정규화1]:[정규화6]],$Q330,$G$3)&amp;""),FIND(" ",IF($G$3="","",INDEX(인턴계획표[[정규화1]:[정규화6]],$Q330,$G$3)&amp;""))+1,60),""))))</f>
        <v/>
      </c>
      <c r="H330">
        <f>IF($Q330="","",IF(IF($I$3="","",INDEX(인턴계획표[[정규화1]:[정규화6]],$Q330,$I$3)&amp;"")="","",IF(LEFT(IF($I$3="","",INDEX(인턴계획표[[정규화1]:[정규화6]],$Q330,$I$3)&amp;""),1)="⚠",IF($I$3="","",INDEX(인턴계획표[[정규화1]:[정규화6]],$Q330,$I$3)&amp;""),IFERROR(LEFT(IF($I$3="","",INDEX(인턴계획표[[정규화1]:[정규화6]],$Q330,$I$3)&amp;""),FIND(" ",IF($I$3="","",INDEX(인턴계획표[[정규화1]:[정규화6]],$Q330,$I$3)&amp;""))-1),IF($I$3="","",INDEX(인턴계획표[[정규화1]:[정규화6]],$Q330,$I$3)&amp;"")))))</f>
        <v/>
      </c>
      <c r="I330">
        <f>IF($Q330="","",IF(IF($I$3="","",INDEX(인턴계획표[[정규화1]:[정규화6]],$Q330,$I$3)&amp;"")="","",IF(LEFT(IF($I$3="","",INDEX(인턴계획표[[정규화1]:[정규화6]],$Q330,$I$3)&amp;""),1)="⚠","",IFERROR(MID(IF($I$3="","",INDEX(인턴계획표[[정규화1]:[정규화6]],$Q330,$I$3)&amp;""),FIND(" ",IF($I$3="","",INDEX(인턴계획표[[정규화1]:[정규화6]],$Q330,$I$3)&amp;""))+1,60),""))))</f>
        <v/>
      </c>
      <c r="J330">
        <f>IF($Q330="","",INDEX(인턴계획표[정규화1],$Q330))</f>
        <v/>
      </c>
      <c r="K330">
        <f>IF($Q330="","",INDEX(인턴계획표[정규화2],$Q330))</f>
        <v/>
      </c>
      <c r="L330">
        <f>IF($Q330="","",INDEX(인턴계획표[정규화3],$Q330))</f>
        <v/>
      </c>
      <c r="M330">
        <f>IF($Q330="","",INDEX(인턴계획표[정규화4],$Q330))</f>
        <v/>
      </c>
      <c r="N330">
        <f>IF($Q330="","",INDEX(인턴계획표[정규화5],$Q330))</f>
        <v/>
      </c>
      <c r="O330">
        <f>IF($Q330="","",INDEX(인턴계획표[정규화6],$Q330))</f>
        <v/>
      </c>
      <c r="P330">
        <f>IF($Q330="","",INDEX(인턴계획표[입력오류],$Q330))</f>
        <v/>
      </c>
      <c r="Q330" s="17">
        <f>IFERROR(MATCH(325,인턴계획표[표시순번],0),"")</f>
        <v/>
      </c>
    </row>
    <row r="331">
      <c r="A331">
        <f>IF($Q331="","",INDEX(인턴계획표[순번],$Q331)&amp;"")</f>
        <v/>
      </c>
      <c r="B331">
        <f>IF($Q331="","",TRIM(INDEX(인턴계획표[이름],$Q331)&amp;""))</f>
        <v/>
      </c>
      <c r="C331">
        <f>IF($Q331="","",INDEX(인턴계획표[사번],$Q331)&amp;"")</f>
        <v/>
      </c>
      <c r="D331">
        <f>IF($Q331="","",IF(COUNTIF(기본자료표[사번키],INDEX(인턴계획표[사번키],$Q331))&gt;0,"확인","미등록"))</f>
        <v/>
      </c>
      <c r="E331">
        <f>IF($Q331="","",IF(ISNUMBER(INDEX(인턴계획표[입사일(비고)],$Q331)),TEXT(INDEX(인턴계획표[입사일(비고)],$Q331),"yyyy-mm-dd"),INDEX(인턴계획표[입사일(비고)],$Q331)&amp;""))</f>
        <v/>
      </c>
      <c r="F331">
        <f>IF($Q331="","",IF(IF($G$3="","",INDEX(인턴계획표[[정규화1]:[정규화6]],$Q331,$G$3)&amp;"")="","",IF(LEFT(IF($G$3="","",INDEX(인턴계획표[[정규화1]:[정규화6]],$Q331,$G$3)&amp;""),1)="⚠",IF($G$3="","",INDEX(인턴계획표[[정규화1]:[정규화6]],$Q331,$G$3)&amp;""),IFERROR(LEFT(IF($G$3="","",INDEX(인턴계획표[[정규화1]:[정규화6]],$Q331,$G$3)&amp;""),FIND(" ",IF($G$3="","",INDEX(인턴계획표[[정규화1]:[정규화6]],$Q331,$G$3)&amp;""))-1),IF($G$3="","",INDEX(인턴계획표[[정규화1]:[정규화6]],$Q331,$G$3)&amp;"")))))</f>
        <v/>
      </c>
      <c r="G331">
        <f>IF($Q331="","",IF(IF($G$3="","",INDEX(인턴계획표[[정규화1]:[정규화6]],$Q331,$G$3)&amp;"")="","",IF(LEFT(IF($G$3="","",INDEX(인턴계획표[[정규화1]:[정규화6]],$Q331,$G$3)&amp;""),1)="⚠","",IFERROR(MID(IF($G$3="","",INDEX(인턴계획표[[정규화1]:[정규화6]],$Q331,$G$3)&amp;""),FIND(" ",IF($G$3="","",INDEX(인턴계획표[[정규화1]:[정규화6]],$Q331,$G$3)&amp;""))+1,60),""))))</f>
        <v/>
      </c>
      <c r="H331">
        <f>IF($Q331="","",IF(IF($I$3="","",INDEX(인턴계획표[[정규화1]:[정규화6]],$Q331,$I$3)&amp;"")="","",IF(LEFT(IF($I$3="","",INDEX(인턴계획표[[정규화1]:[정규화6]],$Q331,$I$3)&amp;""),1)="⚠",IF($I$3="","",INDEX(인턴계획표[[정규화1]:[정규화6]],$Q331,$I$3)&amp;""),IFERROR(LEFT(IF($I$3="","",INDEX(인턴계획표[[정규화1]:[정규화6]],$Q331,$I$3)&amp;""),FIND(" ",IF($I$3="","",INDEX(인턴계획표[[정규화1]:[정규화6]],$Q331,$I$3)&amp;""))-1),IF($I$3="","",INDEX(인턴계획표[[정규화1]:[정규화6]],$Q331,$I$3)&amp;"")))))</f>
        <v/>
      </c>
      <c r="I331">
        <f>IF($Q331="","",IF(IF($I$3="","",INDEX(인턴계획표[[정규화1]:[정규화6]],$Q331,$I$3)&amp;"")="","",IF(LEFT(IF($I$3="","",INDEX(인턴계획표[[정규화1]:[정규화6]],$Q331,$I$3)&amp;""),1)="⚠","",IFERROR(MID(IF($I$3="","",INDEX(인턴계획표[[정규화1]:[정규화6]],$Q331,$I$3)&amp;""),FIND(" ",IF($I$3="","",INDEX(인턴계획표[[정규화1]:[정규화6]],$Q331,$I$3)&amp;""))+1,60),""))))</f>
        <v/>
      </c>
      <c r="J331">
        <f>IF($Q331="","",INDEX(인턴계획표[정규화1],$Q331))</f>
        <v/>
      </c>
      <c r="K331">
        <f>IF($Q331="","",INDEX(인턴계획표[정규화2],$Q331))</f>
        <v/>
      </c>
      <c r="L331">
        <f>IF($Q331="","",INDEX(인턴계획표[정규화3],$Q331))</f>
        <v/>
      </c>
      <c r="M331">
        <f>IF($Q331="","",INDEX(인턴계획표[정규화4],$Q331))</f>
        <v/>
      </c>
      <c r="N331">
        <f>IF($Q331="","",INDEX(인턴계획표[정규화5],$Q331))</f>
        <v/>
      </c>
      <c r="O331">
        <f>IF($Q331="","",INDEX(인턴계획표[정규화6],$Q331))</f>
        <v/>
      </c>
      <c r="P331">
        <f>IF($Q331="","",INDEX(인턴계획표[입력오류],$Q331))</f>
        <v/>
      </c>
      <c r="Q331" s="17">
        <f>IFERROR(MATCH(326,인턴계획표[표시순번],0),"")</f>
        <v/>
      </c>
    </row>
    <row r="332">
      <c r="A332">
        <f>IF($Q332="","",INDEX(인턴계획표[순번],$Q332)&amp;"")</f>
        <v/>
      </c>
      <c r="B332">
        <f>IF($Q332="","",TRIM(INDEX(인턴계획표[이름],$Q332)&amp;""))</f>
        <v/>
      </c>
      <c r="C332">
        <f>IF($Q332="","",INDEX(인턴계획표[사번],$Q332)&amp;"")</f>
        <v/>
      </c>
      <c r="D332">
        <f>IF($Q332="","",IF(COUNTIF(기본자료표[사번키],INDEX(인턴계획표[사번키],$Q332))&gt;0,"확인","미등록"))</f>
        <v/>
      </c>
      <c r="E332">
        <f>IF($Q332="","",IF(ISNUMBER(INDEX(인턴계획표[입사일(비고)],$Q332)),TEXT(INDEX(인턴계획표[입사일(비고)],$Q332),"yyyy-mm-dd"),INDEX(인턴계획표[입사일(비고)],$Q332)&amp;""))</f>
        <v/>
      </c>
      <c r="F332">
        <f>IF($Q332="","",IF(IF($G$3="","",INDEX(인턴계획표[[정규화1]:[정규화6]],$Q332,$G$3)&amp;"")="","",IF(LEFT(IF($G$3="","",INDEX(인턴계획표[[정규화1]:[정규화6]],$Q332,$G$3)&amp;""),1)="⚠",IF($G$3="","",INDEX(인턴계획표[[정규화1]:[정규화6]],$Q332,$G$3)&amp;""),IFERROR(LEFT(IF($G$3="","",INDEX(인턴계획표[[정규화1]:[정규화6]],$Q332,$G$3)&amp;""),FIND(" ",IF($G$3="","",INDEX(인턴계획표[[정규화1]:[정규화6]],$Q332,$G$3)&amp;""))-1),IF($G$3="","",INDEX(인턴계획표[[정규화1]:[정규화6]],$Q332,$G$3)&amp;"")))))</f>
        <v/>
      </c>
      <c r="G332">
        <f>IF($Q332="","",IF(IF($G$3="","",INDEX(인턴계획표[[정규화1]:[정규화6]],$Q332,$G$3)&amp;"")="","",IF(LEFT(IF($G$3="","",INDEX(인턴계획표[[정규화1]:[정규화6]],$Q332,$G$3)&amp;""),1)="⚠","",IFERROR(MID(IF($G$3="","",INDEX(인턴계획표[[정규화1]:[정규화6]],$Q332,$G$3)&amp;""),FIND(" ",IF($G$3="","",INDEX(인턴계획표[[정규화1]:[정규화6]],$Q332,$G$3)&amp;""))+1,60),""))))</f>
        <v/>
      </c>
      <c r="H332">
        <f>IF($Q332="","",IF(IF($I$3="","",INDEX(인턴계획표[[정규화1]:[정규화6]],$Q332,$I$3)&amp;"")="","",IF(LEFT(IF($I$3="","",INDEX(인턴계획표[[정규화1]:[정규화6]],$Q332,$I$3)&amp;""),1)="⚠",IF($I$3="","",INDEX(인턴계획표[[정규화1]:[정규화6]],$Q332,$I$3)&amp;""),IFERROR(LEFT(IF($I$3="","",INDEX(인턴계획표[[정규화1]:[정규화6]],$Q332,$I$3)&amp;""),FIND(" ",IF($I$3="","",INDEX(인턴계획표[[정규화1]:[정규화6]],$Q332,$I$3)&amp;""))-1),IF($I$3="","",INDEX(인턴계획표[[정규화1]:[정규화6]],$Q332,$I$3)&amp;"")))))</f>
        <v/>
      </c>
      <c r="I332">
        <f>IF($Q332="","",IF(IF($I$3="","",INDEX(인턴계획표[[정규화1]:[정규화6]],$Q332,$I$3)&amp;"")="","",IF(LEFT(IF($I$3="","",INDEX(인턴계획표[[정규화1]:[정규화6]],$Q332,$I$3)&amp;""),1)="⚠","",IFERROR(MID(IF($I$3="","",INDEX(인턴계획표[[정규화1]:[정규화6]],$Q332,$I$3)&amp;""),FIND(" ",IF($I$3="","",INDEX(인턴계획표[[정규화1]:[정규화6]],$Q332,$I$3)&amp;""))+1,60),""))))</f>
        <v/>
      </c>
      <c r="J332">
        <f>IF($Q332="","",INDEX(인턴계획표[정규화1],$Q332))</f>
        <v/>
      </c>
      <c r="K332">
        <f>IF($Q332="","",INDEX(인턴계획표[정규화2],$Q332))</f>
        <v/>
      </c>
      <c r="L332">
        <f>IF($Q332="","",INDEX(인턴계획표[정규화3],$Q332))</f>
        <v/>
      </c>
      <c r="M332">
        <f>IF($Q332="","",INDEX(인턴계획표[정규화4],$Q332))</f>
        <v/>
      </c>
      <c r="N332">
        <f>IF($Q332="","",INDEX(인턴계획표[정규화5],$Q332))</f>
        <v/>
      </c>
      <c r="O332">
        <f>IF($Q332="","",INDEX(인턴계획표[정규화6],$Q332))</f>
        <v/>
      </c>
      <c r="P332">
        <f>IF($Q332="","",INDEX(인턴계획표[입력오류],$Q332))</f>
        <v/>
      </c>
      <c r="Q332" s="17">
        <f>IFERROR(MATCH(327,인턴계획표[표시순번],0),"")</f>
        <v/>
      </c>
    </row>
    <row r="333">
      <c r="A333">
        <f>IF($Q333="","",INDEX(인턴계획표[순번],$Q333)&amp;"")</f>
        <v/>
      </c>
      <c r="B333">
        <f>IF($Q333="","",TRIM(INDEX(인턴계획표[이름],$Q333)&amp;""))</f>
        <v/>
      </c>
      <c r="C333">
        <f>IF($Q333="","",INDEX(인턴계획표[사번],$Q333)&amp;"")</f>
        <v/>
      </c>
      <c r="D333">
        <f>IF($Q333="","",IF(COUNTIF(기본자료표[사번키],INDEX(인턴계획표[사번키],$Q333))&gt;0,"확인","미등록"))</f>
        <v/>
      </c>
      <c r="E333">
        <f>IF($Q333="","",IF(ISNUMBER(INDEX(인턴계획표[입사일(비고)],$Q333)),TEXT(INDEX(인턴계획표[입사일(비고)],$Q333),"yyyy-mm-dd"),INDEX(인턴계획표[입사일(비고)],$Q333)&amp;""))</f>
        <v/>
      </c>
      <c r="F333">
        <f>IF($Q333="","",IF(IF($G$3="","",INDEX(인턴계획표[[정규화1]:[정규화6]],$Q333,$G$3)&amp;"")="","",IF(LEFT(IF($G$3="","",INDEX(인턴계획표[[정규화1]:[정규화6]],$Q333,$G$3)&amp;""),1)="⚠",IF($G$3="","",INDEX(인턴계획표[[정규화1]:[정규화6]],$Q333,$G$3)&amp;""),IFERROR(LEFT(IF($G$3="","",INDEX(인턴계획표[[정규화1]:[정규화6]],$Q333,$G$3)&amp;""),FIND(" ",IF($G$3="","",INDEX(인턴계획표[[정규화1]:[정규화6]],$Q333,$G$3)&amp;""))-1),IF($G$3="","",INDEX(인턴계획표[[정규화1]:[정규화6]],$Q333,$G$3)&amp;"")))))</f>
        <v/>
      </c>
      <c r="G333">
        <f>IF($Q333="","",IF(IF($G$3="","",INDEX(인턴계획표[[정규화1]:[정규화6]],$Q333,$G$3)&amp;"")="","",IF(LEFT(IF($G$3="","",INDEX(인턴계획표[[정규화1]:[정규화6]],$Q333,$G$3)&amp;""),1)="⚠","",IFERROR(MID(IF($G$3="","",INDEX(인턴계획표[[정규화1]:[정규화6]],$Q333,$G$3)&amp;""),FIND(" ",IF($G$3="","",INDEX(인턴계획표[[정규화1]:[정규화6]],$Q333,$G$3)&amp;""))+1,60),""))))</f>
        <v/>
      </c>
      <c r="H333">
        <f>IF($Q333="","",IF(IF($I$3="","",INDEX(인턴계획표[[정규화1]:[정규화6]],$Q333,$I$3)&amp;"")="","",IF(LEFT(IF($I$3="","",INDEX(인턴계획표[[정규화1]:[정규화6]],$Q333,$I$3)&amp;""),1)="⚠",IF($I$3="","",INDEX(인턴계획표[[정규화1]:[정규화6]],$Q333,$I$3)&amp;""),IFERROR(LEFT(IF($I$3="","",INDEX(인턴계획표[[정규화1]:[정규화6]],$Q333,$I$3)&amp;""),FIND(" ",IF($I$3="","",INDEX(인턴계획표[[정규화1]:[정규화6]],$Q333,$I$3)&amp;""))-1),IF($I$3="","",INDEX(인턴계획표[[정규화1]:[정규화6]],$Q333,$I$3)&amp;"")))))</f>
        <v/>
      </c>
      <c r="I333">
        <f>IF($Q333="","",IF(IF($I$3="","",INDEX(인턴계획표[[정규화1]:[정규화6]],$Q333,$I$3)&amp;"")="","",IF(LEFT(IF($I$3="","",INDEX(인턴계획표[[정규화1]:[정규화6]],$Q333,$I$3)&amp;""),1)="⚠","",IFERROR(MID(IF($I$3="","",INDEX(인턴계획표[[정규화1]:[정규화6]],$Q333,$I$3)&amp;""),FIND(" ",IF($I$3="","",INDEX(인턴계획표[[정규화1]:[정규화6]],$Q333,$I$3)&amp;""))+1,60),""))))</f>
        <v/>
      </c>
      <c r="J333">
        <f>IF($Q333="","",INDEX(인턴계획표[정규화1],$Q333))</f>
        <v/>
      </c>
      <c r="K333">
        <f>IF($Q333="","",INDEX(인턴계획표[정규화2],$Q333))</f>
        <v/>
      </c>
      <c r="L333">
        <f>IF($Q333="","",INDEX(인턴계획표[정규화3],$Q333))</f>
        <v/>
      </c>
      <c r="M333">
        <f>IF($Q333="","",INDEX(인턴계획표[정규화4],$Q333))</f>
        <v/>
      </c>
      <c r="N333">
        <f>IF($Q333="","",INDEX(인턴계획표[정규화5],$Q333))</f>
        <v/>
      </c>
      <c r="O333">
        <f>IF($Q333="","",INDEX(인턴계획표[정규화6],$Q333))</f>
        <v/>
      </c>
      <c r="P333">
        <f>IF($Q333="","",INDEX(인턴계획표[입력오류],$Q333))</f>
        <v/>
      </c>
      <c r="Q333" s="17">
        <f>IFERROR(MATCH(328,인턴계획표[표시순번],0),"")</f>
        <v/>
      </c>
    </row>
    <row r="334">
      <c r="A334">
        <f>IF($Q334="","",INDEX(인턴계획표[순번],$Q334)&amp;"")</f>
        <v/>
      </c>
      <c r="B334">
        <f>IF($Q334="","",TRIM(INDEX(인턴계획표[이름],$Q334)&amp;""))</f>
        <v/>
      </c>
      <c r="C334">
        <f>IF($Q334="","",INDEX(인턴계획표[사번],$Q334)&amp;"")</f>
        <v/>
      </c>
      <c r="D334">
        <f>IF($Q334="","",IF(COUNTIF(기본자료표[사번키],INDEX(인턴계획표[사번키],$Q334))&gt;0,"확인","미등록"))</f>
        <v/>
      </c>
      <c r="E334">
        <f>IF($Q334="","",IF(ISNUMBER(INDEX(인턴계획표[입사일(비고)],$Q334)),TEXT(INDEX(인턴계획표[입사일(비고)],$Q334),"yyyy-mm-dd"),INDEX(인턴계획표[입사일(비고)],$Q334)&amp;""))</f>
        <v/>
      </c>
      <c r="F334">
        <f>IF($Q334="","",IF(IF($G$3="","",INDEX(인턴계획표[[정규화1]:[정규화6]],$Q334,$G$3)&amp;"")="","",IF(LEFT(IF($G$3="","",INDEX(인턴계획표[[정규화1]:[정규화6]],$Q334,$G$3)&amp;""),1)="⚠",IF($G$3="","",INDEX(인턴계획표[[정규화1]:[정규화6]],$Q334,$G$3)&amp;""),IFERROR(LEFT(IF($G$3="","",INDEX(인턴계획표[[정규화1]:[정규화6]],$Q334,$G$3)&amp;""),FIND(" ",IF($G$3="","",INDEX(인턴계획표[[정규화1]:[정규화6]],$Q334,$G$3)&amp;""))-1),IF($G$3="","",INDEX(인턴계획표[[정규화1]:[정규화6]],$Q334,$G$3)&amp;"")))))</f>
        <v/>
      </c>
      <c r="G334">
        <f>IF($Q334="","",IF(IF($G$3="","",INDEX(인턴계획표[[정규화1]:[정규화6]],$Q334,$G$3)&amp;"")="","",IF(LEFT(IF($G$3="","",INDEX(인턴계획표[[정규화1]:[정규화6]],$Q334,$G$3)&amp;""),1)="⚠","",IFERROR(MID(IF($G$3="","",INDEX(인턴계획표[[정규화1]:[정규화6]],$Q334,$G$3)&amp;""),FIND(" ",IF($G$3="","",INDEX(인턴계획표[[정규화1]:[정규화6]],$Q334,$G$3)&amp;""))+1,60),""))))</f>
        <v/>
      </c>
      <c r="H334">
        <f>IF($Q334="","",IF(IF($I$3="","",INDEX(인턴계획표[[정규화1]:[정규화6]],$Q334,$I$3)&amp;"")="","",IF(LEFT(IF($I$3="","",INDEX(인턴계획표[[정규화1]:[정규화6]],$Q334,$I$3)&amp;""),1)="⚠",IF($I$3="","",INDEX(인턴계획표[[정규화1]:[정규화6]],$Q334,$I$3)&amp;""),IFERROR(LEFT(IF($I$3="","",INDEX(인턴계획표[[정규화1]:[정규화6]],$Q334,$I$3)&amp;""),FIND(" ",IF($I$3="","",INDEX(인턴계획표[[정규화1]:[정규화6]],$Q334,$I$3)&amp;""))-1),IF($I$3="","",INDEX(인턴계획표[[정규화1]:[정규화6]],$Q334,$I$3)&amp;"")))))</f>
        <v/>
      </c>
      <c r="I334">
        <f>IF($Q334="","",IF(IF($I$3="","",INDEX(인턴계획표[[정규화1]:[정규화6]],$Q334,$I$3)&amp;"")="","",IF(LEFT(IF($I$3="","",INDEX(인턴계획표[[정규화1]:[정규화6]],$Q334,$I$3)&amp;""),1)="⚠","",IFERROR(MID(IF($I$3="","",INDEX(인턴계획표[[정규화1]:[정규화6]],$Q334,$I$3)&amp;""),FIND(" ",IF($I$3="","",INDEX(인턴계획표[[정규화1]:[정규화6]],$Q334,$I$3)&amp;""))+1,60),""))))</f>
        <v/>
      </c>
      <c r="J334">
        <f>IF($Q334="","",INDEX(인턴계획표[정규화1],$Q334))</f>
        <v/>
      </c>
      <c r="K334">
        <f>IF($Q334="","",INDEX(인턴계획표[정규화2],$Q334))</f>
        <v/>
      </c>
      <c r="L334">
        <f>IF($Q334="","",INDEX(인턴계획표[정규화3],$Q334))</f>
        <v/>
      </c>
      <c r="M334">
        <f>IF($Q334="","",INDEX(인턴계획표[정규화4],$Q334))</f>
        <v/>
      </c>
      <c r="N334">
        <f>IF($Q334="","",INDEX(인턴계획표[정규화5],$Q334))</f>
        <v/>
      </c>
      <c r="O334">
        <f>IF($Q334="","",INDEX(인턴계획표[정규화6],$Q334))</f>
        <v/>
      </c>
      <c r="P334">
        <f>IF($Q334="","",INDEX(인턴계획표[입력오류],$Q334))</f>
        <v/>
      </c>
      <c r="Q334" s="17">
        <f>IFERROR(MATCH(329,인턴계획표[표시순번],0),"")</f>
        <v/>
      </c>
    </row>
    <row r="335">
      <c r="A335">
        <f>IF($Q335="","",INDEX(인턴계획표[순번],$Q335)&amp;"")</f>
        <v/>
      </c>
      <c r="B335">
        <f>IF($Q335="","",TRIM(INDEX(인턴계획표[이름],$Q335)&amp;""))</f>
        <v/>
      </c>
      <c r="C335">
        <f>IF($Q335="","",INDEX(인턴계획표[사번],$Q335)&amp;"")</f>
        <v/>
      </c>
      <c r="D335">
        <f>IF($Q335="","",IF(COUNTIF(기본자료표[사번키],INDEX(인턴계획표[사번키],$Q335))&gt;0,"확인","미등록"))</f>
        <v/>
      </c>
      <c r="E335">
        <f>IF($Q335="","",IF(ISNUMBER(INDEX(인턴계획표[입사일(비고)],$Q335)),TEXT(INDEX(인턴계획표[입사일(비고)],$Q335),"yyyy-mm-dd"),INDEX(인턴계획표[입사일(비고)],$Q335)&amp;""))</f>
        <v/>
      </c>
      <c r="F335">
        <f>IF($Q335="","",IF(IF($G$3="","",INDEX(인턴계획표[[정규화1]:[정규화6]],$Q335,$G$3)&amp;"")="","",IF(LEFT(IF($G$3="","",INDEX(인턴계획표[[정규화1]:[정규화6]],$Q335,$G$3)&amp;""),1)="⚠",IF($G$3="","",INDEX(인턴계획표[[정규화1]:[정규화6]],$Q335,$G$3)&amp;""),IFERROR(LEFT(IF($G$3="","",INDEX(인턴계획표[[정규화1]:[정규화6]],$Q335,$G$3)&amp;""),FIND(" ",IF($G$3="","",INDEX(인턴계획표[[정규화1]:[정규화6]],$Q335,$G$3)&amp;""))-1),IF($G$3="","",INDEX(인턴계획표[[정규화1]:[정규화6]],$Q335,$G$3)&amp;"")))))</f>
        <v/>
      </c>
      <c r="G335">
        <f>IF($Q335="","",IF(IF($G$3="","",INDEX(인턴계획표[[정규화1]:[정규화6]],$Q335,$G$3)&amp;"")="","",IF(LEFT(IF($G$3="","",INDEX(인턴계획표[[정규화1]:[정규화6]],$Q335,$G$3)&amp;""),1)="⚠","",IFERROR(MID(IF($G$3="","",INDEX(인턴계획표[[정규화1]:[정규화6]],$Q335,$G$3)&amp;""),FIND(" ",IF($G$3="","",INDEX(인턴계획표[[정규화1]:[정규화6]],$Q335,$G$3)&amp;""))+1,60),""))))</f>
        <v/>
      </c>
      <c r="H335">
        <f>IF($Q335="","",IF(IF($I$3="","",INDEX(인턴계획표[[정규화1]:[정규화6]],$Q335,$I$3)&amp;"")="","",IF(LEFT(IF($I$3="","",INDEX(인턴계획표[[정규화1]:[정규화6]],$Q335,$I$3)&amp;""),1)="⚠",IF($I$3="","",INDEX(인턴계획표[[정규화1]:[정규화6]],$Q335,$I$3)&amp;""),IFERROR(LEFT(IF($I$3="","",INDEX(인턴계획표[[정규화1]:[정규화6]],$Q335,$I$3)&amp;""),FIND(" ",IF($I$3="","",INDEX(인턴계획표[[정규화1]:[정규화6]],$Q335,$I$3)&amp;""))-1),IF($I$3="","",INDEX(인턴계획표[[정규화1]:[정규화6]],$Q335,$I$3)&amp;"")))))</f>
        <v/>
      </c>
      <c r="I335">
        <f>IF($Q335="","",IF(IF($I$3="","",INDEX(인턴계획표[[정규화1]:[정규화6]],$Q335,$I$3)&amp;"")="","",IF(LEFT(IF($I$3="","",INDEX(인턴계획표[[정규화1]:[정규화6]],$Q335,$I$3)&amp;""),1)="⚠","",IFERROR(MID(IF($I$3="","",INDEX(인턴계획표[[정규화1]:[정규화6]],$Q335,$I$3)&amp;""),FIND(" ",IF($I$3="","",INDEX(인턴계획표[[정규화1]:[정규화6]],$Q335,$I$3)&amp;""))+1,60),""))))</f>
        <v/>
      </c>
      <c r="J335">
        <f>IF($Q335="","",INDEX(인턴계획표[정규화1],$Q335))</f>
        <v/>
      </c>
      <c r="K335">
        <f>IF($Q335="","",INDEX(인턴계획표[정규화2],$Q335))</f>
        <v/>
      </c>
      <c r="L335">
        <f>IF($Q335="","",INDEX(인턴계획표[정규화3],$Q335))</f>
        <v/>
      </c>
      <c r="M335">
        <f>IF($Q335="","",INDEX(인턴계획표[정규화4],$Q335))</f>
        <v/>
      </c>
      <c r="N335">
        <f>IF($Q335="","",INDEX(인턴계획표[정규화5],$Q335))</f>
        <v/>
      </c>
      <c r="O335">
        <f>IF($Q335="","",INDEX(인턴계획표[정규화6],$Q335))</f>
        <v/>
      </c>
      <c r="P335">
        <f>IF($Q335="","",INDEX(인턴계획표[입력오류],$Q335))</f>
        <v/>
      </c>
      <c r="Q335" s="17">
        <f>IFERROR(MATCH(330,인턴계획표[표시순번],0),"")</f>
        <v/>
      </c>
    </row>
    <row r="336">
      <c r="A336">
        <f>IF($Q336="","",INDEX(인턴계획표[순번],$Q336)&amp;"")</f>
        <v/>
      </c>
      <c r="B336">
        <f>IF($Q336="","",TRIM(INDEX(인턴계획표[이름],$Q336)&amp;""))</f>
        <v/>
      </c>
      <c r="C336">
        <f>IF($Q336="","",INDEX(인턴계획표[사번],$Q336)&amp;"")</f>
        <v/>
      </c>
      <c r="D336">
        <f>IF($Q336="","",IF(COUNTIF(기본자료표[사번키],INDEX(인턴계획표[사번키],$Q336))&gt;0,"확인","미등록"))</f>
        <v/>
      </c>
      <c r="E336">
        <f>IF($Q336="","",IF(ISNUMBER(INDEX(인턴계획표[입사일(비고)],$Q336)),TEXT(INDEX(인턴계획표[입사일(비고)],$Q336),"yyyy-mm-dd"),INDEX(인턴계획표[입사일(비고)],$Q336)&amp;""))</f>
        <v/>
      </c>
      <c r="F336">
        <f>IF($Q336="","",IF(IF($G$3="","",INDEX(인턴계획표[[정규화1]:[정규화6]],$Q336,$G$3)&amp;"")="","",IF(LEFT(IF($G$3="","",INDEX(인턴계획표[[정규화1]:[정규화6]],$Q336,$G$3)&amp;""),1)="⚠",IF($G$3="","",INDEX(인턴계획표[[정규화1]:[정규화6]],$Q336,$G$3)&amp;""),IFERROR(LEFT(IF($G$3="","",INDEX(인턴계획표[[정규화1]:[정규화6]],$Q336,$G$3)&amp;""),FIND(" ",IF($G$3="","",INDEX(인턴계획표[[정규화1]:[정규화6]],$Q336,$G$3)&amp;""))-1),IF($G$3="","",INDEX(인턴계획표[[정규화1]:[정규화6]],$Q336,$G$3)&amp;"")))))</f>
        <v/>
      </c>
      <c r="G336">
        <f>IF($Q336="","",IF(IF($G$3="","",INDEX(인턴계획표[[정규화1]:[정규화6]],$Q336,$G$3)&amp;"")="","",IF(LEFT(IF($G$3="","",INDEX(인턴계획표[[정규화1]:[정규화6]],$Q336,$G$3)&amp;""),1)="⚠","",IFERROR(MID(IF($G$3="","",INDEX(인턴계획표[[정규화1]:[정규화6]],$Q336,$G$3)&amp;""),FIND(" ",IF($G$3="","",INDEX(인턴계획표[[정규화1]:[정규화6]],$Q336,$G$3)&amp;""))+1,60),""))))</f>
        <v/>
      </c>
      <c r="H336">
        <f>IF($Q336="","",IF(IF($I$3="","",INDEX(인턴계획표[[정규화1]:[정규화6]],$Q336,$I$3)&amp;"")="","",IF(LEFT(IF($I$3="","",INDEX(인턴계획표[[정규화1]:[정규화6]],$Q336,$I$3)&amp;""),1)="⚠",IF($I$3="","",INDEX(인턴계획표[[정규화1]:[정규화6]],$Q336,$I$3)&amp;""),IFERROR(LEFT(IF($I$3="","",INDEX(인턴계획표[[정규화1]:[정규화6]],$Q336,$I$3)&amp;""),FIND(" ",IF($I$3="","",INDEX(인턴계획표[[정규화1]:[정규화6]],$Q336,$I$3)&amp;""))-1),IF($I$3="","",INDEX(인턴계획표[[정규화1]:[정규화6]],$Q336,$I$3)&amp;"")))))</f>
        <v/>
      </c>
      <c r="I336">
        <f>IF($Q336="","",IF(IF($I$3="","",INDEX(인턴계획표[[정규화1]:[정규화6]],$Q336,$I$3)&amp;"")="","",IF(LEFT(IF($I$3="","",INDEX(인턴계획표[[정규화1]:[정규화6]],$Q336,$I$3)&amp;""),1)="⚠","",IFERROR(MID(IF($I$3="","",INDEX(인턴계획표[[정규화1]:[정규화6]],$Q336,$I$3)&amp;""),FIND(" ",IF($I$3="","",INDEX(인턴계획표[[정규화1]:[정규화6]],$Q336,$I$3)&amp;""))+1,60),""))))</f>
        <v/>
      </c>
      <c r="J336">
        <f>IF($Q336="","",INDEX(인턴계획표[정규화1],$Q336))</f>
        <v/>
      </c>
      <c r="K336">
        <f>IF($Q336="","",INDEX(인턴계획표[정규화2],$Q336))</f>
        <v/>
      </c>
      <c r="L336">
        <f>IF($Q336="","",INDEX(인턴계획표[정규화3],$Q336))</f>
        <v/>
      </c>
      <c r="M336">
        <f>IF($Q336="","",INDEX(인턴계획표[정규화4],$Q336))</f>
        <v/>
      </c>
      <c r="N336">
        <f>IF($Q336="","",INDEX(인턴계획표[정규화5],$Q336))</f>
        <v/>
      </c>
      <c r="O336">
        <f>IF($Q336="","",INDEX(인턴계획표[정규화6],$Q336))</f>
        <v/>
      </c>
      <c r="P336">
        <f>IF($Q336="","",INDEX(인턴계획표[입력오류],$Q336))</f>
        <v/>
      </c>
      <c r="Q336" s="17">
        <f>IFERROR(MATCH(331,인턴계획표[표시순번],0),"")</f>
        <v/>
      </c>
    </row>
    <row r="337">
      <c r="A337">
        <f>IF($Q337="","",INDEX(인턴계획표[순번],$Q337)&amp;"")</f>
        <v/>
      </c>
      <c r="B337">
        <f>IF($Q337="","",TRIM(INDEX(인턴계획표[이름],$Q337)&amp;""))</f>
        <v/>
      </c>
      <c r="C337">
        <f>IF($Q337="","",INDEX(인턴계획표[사번],$Q337)&amp;"")</f>
        <v/>
      </c>
      <c r="D337">
        <f>IF($Q337="","",IF(COUNTIF(기본자료표[사번키],INDEX(인턴계획표[사번키],$Q337))&gt;0,"확인","미등록"))</f>
        <v/>
      </c>
      <c r="E337">
        <f>IF($Q337="","",IF(ISNUMBER(INDEX(인턴계획표[입사일(비고)],$Q337)),TEXT(INDEX(인턴계획표[입사일(비고)],$Q337),"yyyy-mm-dd"),INDEX(인턴계획표[입사일(비고)],$Q337)&amp;""))</f>
        <v/>
      </c>
      <c r="F337">
        <f>IF($Q337="","",IF(IF($G$3="","",INDEX(인턴계획표[[정규화1]:[정규화6]],$Q337,$G$3)&amp;"")="","",IF(LEFT(IF($G$3="","",INDEX(인턴계획표[[정규화1]:[정규화6]],$Q337,$G$3)&amp;""),1)="⚠",IF($G$3="","",INDEX(인턴계획표[[정규화1]:[정규화6]],$Q337,$G$3)&amp;""),IFERROR(LEFT(IF($G$3="","",INDEX(인턴계획표[[정규화1]:[정규화6]],$Q337,$G$3)&amp;""),FIND(" ",IF($G$3="","",INDEX(인턴계획표[[정규화1]:[정규화6]],$Q337,$G$3)&amp;""))-1),IF($G$3="","",INDEX(인턴계획표[[정규화1]:[정규화6]],$Q337,$G$3)&amp;"")))))</f>
        <v/>
      </c>
      <c r="G337">
        <f>IF($Q337="","",IF(IF($G$3="","",INDEX(인턴계획표[[정규화1]:[정규화6]],$Q337,$G$3)&amp;"")="","",IF(LEFT(IF($G$3="","",INDEX(인턴계획표[[정규화1]:[정규화6]],$Q337,$G$3)&amp;""),1)="⚠","",IFERROR(MID(IF($G$3="","",INDEX(인턴계획표[[정규화1]:[정규화6]],$Q337,$G$3)&amp;""),FIND(" ",IF($G$3="","",INDEX(인턴계획표[[정규화1]:[정규화6]],$Q337,$G$3)&amp;""))+1,60),""))))</f>
        <v/>
      </c>
      <c r="H337">
        <f>IF($Q337="","",IF(IF($I$3="","",INDEX(인턴계획표[[정규화1]:[정규화6]],$Q337,$I$3)&amp;"")="","",IF(LEFT(IF($I$3="","",INDEX(인턴계획표[[정규화1]:[정규화6]],$Q337,$I$3)&amp;""),1)="⚠",IF($I$3="","",INDEX(인턴계획표[[정규화1]:[정규화6]],$Q337,$I$3)&amp;""),IFERROR(LEFT(IF($I$3="","",INDEX(인턴계획표[[정규화1]:[정규화6]],$Q337,$I$3)&amp;""),FIND(" ",IF($I$3="","",INDEX(인턴계획표[[정규화1]:[정규화6]],$Q337,$I$3)&amp;""))-1),IF($I$3="","",INDEX(인턴계획표[[정규화1]:[정규화6]],$Q337,$I$3)&amp;"")))))</f>
        <v/>
      </c>
      <c r="I337">
        <f>IF($Q337="","",IF(IF($I$3="","",INDEX(인턴계획표[[정규화1]:[정규화6]],$Q337,$I$3)&amp;"")="","",IF(LEFT(IF($I$3="","",INDEX(인턴계획표[[정규화1]:[정규화6]],$Q337,$I$3)&amp;""),1)="⚠","",IFERROR(MID(IF($I$3="","",INDEX(인턴계획표[[정규화1]:[정규화6]],$Q337,$I$3)&amp;""),FIND(" ",IF($I$3="","",INDEX(인턴계획표[[정규화1]:[정규화6]],$Q337,$I$3)&amp;""))+1,60),""))))</f>
        <v/>
      </c>
      <c r="J337">
        <f>IF($Q337="","",INDEX(인턴계획표[정규화1],$Q337))</f>
        <v/>
      </c>
      <c r="K337">
        <f>IF($Q337="","",INDEX(인턴계획표[정규화2],$Q337))</f>
        <v/>
      </c>
      <c r="L337">
        <f>IF($Q337="","",INDEX(인턴계획표[정규화3],$Q337))</f>
        <v/>
      </c>
      <c r="M337">
        <f>IF($Q337="","",INDEX(인턴계획표[정규화4],$Q337))</f>
        <v/>
      </c>
      <c r="N337">
        <f>IF($Q337="","",INDEX(인턴계획표[정규화5],$Q337))</f>
        <v/>
      </c>
      <c r="O337">
        <f>IF($Q337="","",INDEX(인턴계획표[정규화6],$Q337))</f>
        <v/>
      </c>
      <c r="P337">
        <f>IF($Q337="","",INDEX(인턴계획표[입력오류],$Q337))</f>
        <v/>
      </c>
      <c r="Q337" s="17">
        <f>IFERROR(MATCH(332,인턴계획표[표시순번],0),"")</f>
        <v/>
      </c>
    </row>
    <row r="338">
      <c r="A338">
        <f>IF($Q338="","",INDEX(인턴계획표[순번],$Q338)&amp;"")</f>
        <v/>
      </c>
      <c r="B338">
        <f>IF($Q338="","",TRIM(INDEX(인턴계획표[이름],$Q338)&amp;""))</f>
        <v/>
      </c>
      <c r="C338">
        <f>IF($Q338="","",INDEX(인턴계획표[사번],$Q338)&amp;"")</f>
        <v/>
      </c>
      <c r="D338">
        <f>IF($Q338="","",IF(COUNTIF(기본자료표[사번키],INDEX(인턴계획표[사번키],$Q338))&gt;0,"확인","미등록"))</f>
        <v/>
      </c>
      <c r="E338">
        <f>IF($Q338="","",IF(ISNUMBER(INDEX(인턴계획표[입사일(비고)],$Q338)),TEXT(INDEX(인턴계획표[입사일(비고)],$Q338),"yyyy-mm-dd"),INDEX(인턴계획표[입사일(비고)],$Q338)&amp;""))</f>
        <v/>
      </c>
      <c r="F338">
        <f>IF($Q338="","",IF(IF($G$3="","",INDEX(인턴계획표[[정규화1]:[정규화6]],$Q338,$G$3)&amp;"")="","",IF(LEFT(IF($G$3="","",INDEX(인턴계획표[[정규화1]:[정규화6]],$Q338,$G$3)&amp;""),1)="⚠",IF($G$3="","",INDEX(인턴계획표[[정규화1]:[정규화6]],$Q338,$G$3)&amp;""),IFERROR(LEFT(IF($G$3="","",INDEX(인턴계획표[[정규화1]:[정규화6]],$Q338,$G$3)&amp;""),FIND(" ",IF($G$3="","",INDEX(인턴계획표[[정규화1]:[정규화6]],$Q338,$G$3)&amp;""))-1),IF($G$3="","",INDEX(인턴계획표[[정규화1]:[정규화6]],$Q338,$G$3)&amp;"")))))</f>
        <v/>
      </c>
      <c r="G338">
        <f>IF($Q338="","",IF(IF($G$3="","",INDEX(인턴계획표[[정규화1]:[정규화6]],$Q338,$G$3)&amp;"")="","",IF(LEFT(IF($G$3="","",INDEX(인턴계획표[[정규화1]:[정규화6]],$Q338,$G$3)&amp;""),1)="⚠","",IFERROR(MID(IF($G$3="","",INDEX(인턴계획표[[정규화1]:[정규화6]],$Q338,$G$3)&amp;""),FIND(" ",IF($G$3="","",INDEX(인턴계획표[[정규화1]:[정규화6]],$Q338,$G$3)&amp;""))+1,60),""))))</f>
        <v/>
      </c>
      <c r="H338">
        <f>IF($Q338="","",IF(IF($I$3="","",INDEX(인턴계획표[[정규화1]:[정규화6]],$Q338,$I$3)&amp;"")="","",IF(LEFT(IF($I$3="","",INDEX(인턴계획표[[정규화1]:[정규화6]],$Q338,$I$3)&amp;""),1)="⚠",IF($I$3="","",INDEX(인턴계획표[[정규화1]:[정규화6]],$Q338,$I$3)&amp;""),IFERROR(LEFT(IF($I$3="","",INDEX(인턴계획표[[정규화1]:[정규화6]],$Q338,$I$3)&amp;""),FIND(" ",IF($I$3="","",INDEX(인턴계획표[[정규화1]:[정규화6]],$Q338,$I$3)&amp;""))-1),IF($I$3="","",INDEX(인턴계획표[[정규화1]:[정규화6]],$Q338,$I$3)&amp;"")))))</f>
        <v/>
      </c>
      <c r="I338">
        <f>IF($Q338="","",IF(IF($I$3="","",INDEX(인턴계획표[[정규화1]:[정규화6]],$Q338,$I$3)&amp;"")="","",IF(LEFT(IF($I$3="","",INDEX(인턴계획표[[정규화1]:[정규화6]],$Q338,$I$3)&amp;""),1)="⚠","",IFERROR(MID(IF($I$3="","",INDEX(인턴계획표[[정규화1]:[정규화6]],$Q338,$I$3)&amp;""),FIND(" ",IF($I$3="","",INDEX(인턴계획표[[정규화1]:[정규화6]],$Q338,$I$3)&amp;""))+1,60),""))))</f>
        <v/>
      </c>
      <c r="J338">
        <f>IF($Q338="","",INDEX(인턴계획표[정규화1],$Q338))</f>
        <v/>
      </c>
      <c r="K338">
        <f>IF($Q338="","",INDEX(인턴계획표[정규화2],$Q338))</f>
        <v/>
      </c>
      <c r="L338">
        <f>IF($Q338="","",INDEX(인턴계획표[정규화3],$Q338))</f>
        <v/>
      </c>
      <c r="M338">
        <f>IF($Q338="","",INDEX(인턴계획표[정규화4],$Q338))</f>
        <v/>
      </c>
      <c r="N338">
        <f>IF($Q338="","",INDEX(인턴계획표[정규화5],$Q338))</f>
        <v/>
      </c>
      <c r="O338">
        <f>IF($Q338="","",INDEX(인턴계획표[정규화6],$Q338))</f>
        <v/>
      </c>
      <c r="P338">
        <f>IF($Q338="","",INDEX(인턴계획표[입력오류],$Q338))</f>
        <v/>
      </c>
      <c r="Q338" s="17">
        <f>IFERROR(MATCH(333,인턴계획표[표시순번],0),"")</f>
        <v/>
      </c>
    </row>
    <row r="339">
      <c r="A339">
        <f>IF($Q339="","",INDEX(인턴계획표[순번],$Q339)&amp;"")</f>
        <v/>
      </c>
      <c r="B339">
        <f>IF($Q339="","",TRIM(INDEX(인턴계획표[이름],$Q339)&amp;""))</f>
        <v/>
      </c>
      <c r="C339">
        <f>IF($Q339="","",INDEX(인턴계획표[사번],$Q339)&amp;"")</f>
        <v/>
      </c>
      <c r="D339">
        <f>IF($Q339="","",IF(COUNTIF(기본자료표[사번키],INDEX(인턴계획표[사번키],$Q339))&gt;0,"확인","미등록"))</f>
        <v/>
      </c>
      <c r="E339">
        <f>IF($Q339="","",IF(ISNUMBER(INDEX(인턴계획표[입사일(비고)],$Q339)),TEXT(INDEX(인턴계획표[입사일(비고)],$Q339),"yyyy-mm-dd"),INDEX(인턴계획표[입사일(비고)],$Q339)&amp;""))</f>
        <v/>
      </c>
      <c r="F339">
        <f>IF($Q339="","",IF(IF($G$3="","",INDEX(인턴계획표[[정규화1]:[정규화6]],$Q339,$G$3)&amp;"")="","",IF(LEFT(IF($G$3="","",INDEX(인턴계획표[[정규화1]:[정규화6]],$Q339,$G$3)&amp;""),1)="⚠",IF($G$3="","",INDEX(인턴계획표[[정규화1]:[정규화6]],$Q339,$G$3)&amp;""),IFERROR(LEFT(IF($G$3="","",INDEX(인턴계획표[[정규화1]:[정규화6]],$Q339,$G$3)&amp;""),FIND(" ",IF($G$3="","",INDEX(인턴계획표[[정규화1]:[정규화6]],$Q339,$G$3)&amp;""))-1),IF($G$3="","",INDEX(인턴계획표[[정규화1]:[정규화6]],$Q339,$G$3)&amp;"")))))</f>
        <v/>
      </c>
      <c r="G339">
        <f>IF($Q339="","",IF(IF($G$3="","",INDEX(인턴계획표[[정규화1]:[정규화6]],$Q339,$G$3)&amp;"")="","",IF(LEFT(IF($G$3="","",INDEX(인턴계획표[[정규화1]:[정규화6]],$Q339,$G$3)&amp;""),1)="⚠","",IFERROR(MID(IF($G$3="","",INDEX(인턴계획표[[정규화1]:[정규화6]],$Q339,$G$3)&amp;""),FIND(" ",IF($G$3="","",INDEX(인턴계획표[[정규화1]:[정규화6]],$Q339,$G$3)&amp;""))+1,60),""))))</f>
        <v/>
      </c>
      <c r="H339">
        <f>IF($Q339="","",IF(IF($I$3="","",INDEX(인턴계획표[[정규화1]:[정규화6]],$Q339,$I$3)&amp;"")="","",IF(LEFT(IF($I$3="","",INDEX(인턴계획표[[정규화1]:[정규화6]],$Q339,$I$3)&amp;""),1)="⚠",IF($I$3="","",INDEX(인턴계획표[[정규화1]:[정규화6]],$Q339,$I$3)&amp;""),IFERROR(LEFT(IF($I$3="","",INDEX(인턴계획표[[정규화1]:[정규화6]],$Q339,$I$3)&amp;""),FIND(" ",IF($I$3="","",INDEX(인턴계획표[[정규화1]:[정규화6]],$Q339,$I$3)&amp;""))-1),IF($I$3="","",INDEX(인턴계획표[[정규화1]:[정규화6]],$Q339,$I$3)&amp;"")))))</f>
        <v/>
      </c>
      <c r="I339">
        <f>IF($Q339="","",IF(IF($I$3="","",INDEX(인턴계획표[[정규화1]:[정규화6]],$Q339,$I$3)&amp;"")="","",IF(LEFT(IF($I$3="","",INDEX(인턴계획표[[정규화1]:[정규화6]],$Q339,$I$3)&amp;""),1)="⚠","",IFERROR(MID(IF($I$3="","",INDEX(인턴계획표[[정규화1]:[정규화6]],$Q339,$I$3)&amp;""),FIND(" ",IF($I$3="","",INDEX(인턴계획표[[정규화1]:[정규화6]],$Q339,$I$3)&amp;""))+1,60),""))))</f>
        <v/>
      </c>
      <c r="J339">
        <f>IF($Q339="","",INDEX(인턴계획표[정규화1],$Q339))</f>
        <v/>
      </c>
      <c r="K339">
        <f>IF($Q339="","",INDEX(인턴계획표[정규화2],$Q339))</f>
        <v/>
      </c>
      <c r="L339">
        <f>IF($Q339="","",INDEX(인턴계획표[정규화3],$Q339))</f>
        <v/>
      </c>
      <c r="M339">
        <f>IF($Q339="","",INDEX(인턴계획표[정규화4],$Q339))</f>
        <v/>
      </c>
      <c r="N339">
        <f>IF($Q339="","",INDEX(인턴계획표[정규화5],$Q339))</f>
        <v/>
      </c>
      <c r="O339">
        <f>IF($Q339="","",INDEX(인턴계획표[정규화6],$Q339))</f>
        <v/>
      </c>
      <c r="P339">
        <f>IF($Q339="","",INDEX(인턴계획표[입력오류],$Q339))</f>
        <v/>
      </c>
      <c r="Q339" s="17">
        <f>IFERROR(MATCH(334,인턴계획표[표시순번],0),"")</f>
        <v/>
      </c>
    </row>
    <row r="340">
      <c r="A340">
        <f>IF($Q340="","",INDEX(인턴계획표[순번],$Q340)&amp;"")</f>
        <v/>
      </c>
      <c r="B340">
        <f>IF($Q340="","",TRIM(INDEX(인턴계획표[이름],$Q340)&amp;""))</f>
        <v/>
      </c>
      <c r="C340">
        <f>IF($Q340="","",INDEX(인턴계획표[사번],$Q340)&amp;"")</f>
        <v/>
      </c>
      <c r="D340">
        <f>IF($Q340="","",IF(COUNTIF(기본자료표[사번키],INDEX(인턴계획표[사번키],$Q340))&gt;0,"확인","미등록"))</f>
        <v/>
      </c>
      <c r="E340">
        <f>IF($Q340="","",IF(ISNUMBER(INDEX(인턴계획표[입사일(비고)],$Q340)),TEXT(INDEX(인턴계획표[입사일(비고)],$Q340),"yyyy-mm-dd"),INDEX(인턴계획표[입사일(비고)],$Q340)&amp;""))</f>
        <v/>
      </c>
      <c r="F340">
        <f>IF($Q340="","",IF(IF($G$3="","",INDEX(인턴계획표[[정규화1]:[정규화6]],$Q340,$G$3)&amp;"")="","",IF(LEFT(IF($G$3="","",INDEX(인턴계획표[[정규화1]:[정규화6]],$Q340,$G$3)&amp;""),1)="⚠",IF($G$3="","",INDEX(인턴계획표[[정규화1]:[정규화6]],$Q340,$G$3)&amp;""),IFERROR(LEFT(IF($G$3="","",INDEX(인턴계획표[[정규화1]:[정규화6]],$Q340,$G$3)&amp;""),FIND(" ",IF($G$3="","",INDEX(인턴계획표[[정규화1]:[정규화6]],$Q340,$G$3)&amp;""))-1),IF($G$3="","",INDEX(인턴계획표[[정규화1]:[정규화6]],$Q340,$G$3)&amp;"")))))</f>
        <v/>
      </c>
      <c r="G340">
        <f>IF($Q340="","",IF(IF($G$3="","",INDEX(인턴계획표[[정규화1]:[정규화6]],$Q340,$G$3)&amp;"")="","",IF(LEFT(IF($G$3="","",INDEX(인턴계획표[[정규화1]:[정규화6]],$Q340,$G$3)&amp;""),1)="⚠","",IFERROR(MID(IF($G$3="","",INDEX(인턴계획표[[정규화1]:[정규화6]],$Q340,$G$3)&amp;""),FIND(" ",IF($G$3="","",INDEX(인턴계획표[[정규화1]:[정규화6]],$Q340,$G$3)&amp;""))+1,60),""))))</f>
        <v/>
      </c>
      <c r="H340">
        <f>IF($Q340="","",IF(IF($I$3="","",INDEX(인턴계획표[[정규화1]:[정규화6]],$Q340,$I$3)&amp;"")="","",IF(LEFT(IF($I$3="","",INDEX(인턴계획표[[정규화1]:[정규화6]],$Q340,$I$3)&amp;""),1)="⚠",IF($I$3="","",INDEX(인턴계획표[[정규화1]:[정규화6]],$Q340,$I$3)&amp;""),IFERROR(LEFT(IF($I$3="","",INDEX(인턴계획표[[정규화1]:[정규화6]],$Q340,$I$3)&amp;""),FIND(" ",IF($I$3="","",INDEX(인턴계획표[[정규화1]:[정규화6]],$Q340,$I$3)&amp;""))-1),IF($I$3="","",INDEX(인턴계획표[[정규화1]:[정규화6]],$Q340,$I$3)&amp;"")))))</f>
        <v/>
      </c>
      <c r="I340">
        <f>IF($Q340="","",IF(IF($I$3="","",INDEX(인턴계획표[[정규화1]:[정규화6]],$Q340,$I$3)&amp;"")="","",IF(LEFT(IF($I$3="","",INDEX(인턴계획표[[정규화1]:[정규화6]],$Q340,$I$3)&amp;""),1)="⚠","",IFERROR(MID(IF($I$3="","",INDEX(인턴계획표[[정규화1]:[정규화6]],$Q340,$I$3)&amp;""),FIND(" ",IF($I$3="","",INDEX(인턴계획표[[정규화1]:[정규화6]],$Q340,$I$3)&amp;""))+1,60),""))))</f>
        <v/>
      </c>
      <c r="J340">
        <f>IF($Q340="","",INDEX(인턴계획표[정규화1],$Q340))</f>
        <v/>
      </c>
      <c r="K340">
        <f>IF($Q340="","",INDEX(인턴계획표[정규화2],$Q340))</f>
        <v/>
      </c>
      <c r="L340">
        <f>IF($Q340="","",INDEX(인턴계획표[정규화3],$Q340))</f>
        <v/>
      </c>
      <c r="M340">
        <f>IF($Q340="","",INDEX(인턴계획표[정규화4],$Q340))</f>
        <v/>
      </c>
      <c r="N340">
        <f>IF($Q340="","",INDEX(인턴계획표[정규화5],$Q340))</f>
        <v/>
      </c>
      <c r="O340">
        <f>IF($Q340="","",INDEX(인턴계획표[정규화6],$Q340))</f>
        <v/>
      </c>
      <c r="P340">
        <f>IF($Q340="","",INDEX(인턴계획표[입력오류],$Q340))</f>
        <v/>
      </c>
      <c r="Q340" s="17">
        <f>IFERROR(MATCH(335,인턴계획표[표시순번],0),"")</f>
        <v/>
      </c>
    </row>
    <row r="341">
      <c r="A341">
        <f>IF($Q341="","",INDEX(인턴계획표[순번],$Q341)&amp;"")</f>
        <v/>
      </c>
      <c r="B341">
        <f>IF($Q341="","",TRIM(INDEX(인턴계획표[이름],$Q341)&amp;""))</f>
        <v/>
      </c>
      <c r="C341">
        <f>IF($Q341="","",INDEX(인턴계획표[사번],$Q341)&amp;"")</f>
        <v/>
      </c>
      <c r="D341">
        <f>IF($Q341="","",IF(COUNTIF(기본자료표[사번키],INDEX(인턴계획표[사번키],$Q341))&gt;0,"확인","미등록"))</f>
        <v/>
      </c>
      <c r="E341">
        <f>IF($Q341="","",IF(ISNUMBER(INDEX(인턴계획표[입사일(비고)],$Q341)),TEXT(INDEX(인턴계획표[입사일(비고)],$Q341),"yyyy-mm-dd"),INDEX(인턴계획표[입사일(비고)],$Q341)&amp;""))</f>
        <v/>
      </c>
      <c r="F341">
        <f>IF($Q341="","",IF(IF($G$3="","",INDEX(인턴계획표[[정규화1]:[정규화6]],$Q341,$G$3)&amp;"")="","",IF(LEFT(IF($G$3="","",INDEX(인턴계획표[[정규화1]:[정규화6]],$Q341,$G$3)&amp;""),1)="⚠",IF($G$3="","",INDEX(인턴계획표[[정규화1]:[정규화6]],$Q341,$G$3)&amp;""),IFERROR(LEFT(IF($G$3="","",INDEX(인턴계획표[[정규화1]:[정규화6]],$Q341,$G$3)&amp;""),FIND(" ",IF($G$3="","",INDEX(인턴계획표[[정규화1]:[정규화6]],$Q341,$G$3)&amp;""))-1),IF($G$3="","",INDEX(인턴계획표[[정규화1]:[정규화6]],$Q341,$G$3)&amp;"")))))</f>
        <v/>
      </c>
      <c r="G341">
        <f>IF($Q341="","",IF(IF($G$3="","",INDEX(인턴계획표[[정규화1]:[정규화6]],$Q341,$G$3)&amp;"")="","",IF(LEFT(IF($G$3="","",INDEX(인턴계획표[[정규화1]:[정규화6]],$Q341,$G$3)&amp;""),1)="⚠","",IFERROR(MID(IF($G$3="","",INDEX(인턴계획표[[정규화1]:[정규화6]],$Q341,$G$3)&amp;""),FIND(" ",IF($G$3="","",INDEX(인턴계획표[[정규화1]:[정규화6]],$Q341,$G$3)&amp;""))+1,60),""))))</f>
        <v/>
      </c>
      <c r="H341">
        <f>IF($Q341="","",IF(IF($I$3="","",INDEX(인턴계획표[[정규화1]:[정규화6]],$Q341,$I$3)&amp;"")="","",IF(LEFT(IF($I$3="","",INDEX(인턴계획표[[정규화1]:[정규화6]],$Q341,$I$3)&amp;""),1)="⚠",IF($I$3="","",INDEX(인턴계획표[[정규화1]:[정규화6]],$Q341,$I$3)&amp;""),IFERROR(LEFT(IF($I$3="","",INDEX(인턴계획표[[정규화1]:[정규화6]],$Q341,$I$3)&amp;""),FIND(" ",IF($I$3="","",INDEX(인턴계획표[[정규화1]:[정규화6]],$Q341,$I$3)&amp;""))-1),IF($I$3="","",INDEX(인턴계획표[[정규화1]:[정규화6]],$Q341,$I$3)&amp;"")))))</f>
        <v/>
      </c>
      <c r="I341">
        <f>IF($Q341="","",IF(IF($I$3="","",INDEX(인턴계획표[[정규화1]:[정규화6]],$Q341,$I$3)&amp;"")="","",IF(LEFT(IF($I$3="","",INDEX(인턴계획표[[정규화1]:[정규화6]],$Q341,$I$3)&amp;""),1)="⚠","",IFERROR(MID(IF($I$3="","",INDEX(인턴계획표[[정규화1]:[정규화6]],$Q341,$I$3)&amp;""),FIND(" ",IF($I$3="","",INDEX(인턴계획표[[정규화1]:[정규화6]],$Q341,$I$3)&amp;""))+1,60),""))))</f>
        <v/>
      </c>
      <c r="J341">
        <f>IF($Q341="","",INDEX(인턴계획표[정규화1],$Q341))</f>
        <v/>
      </c>
      <c r="K341">
        <f>IF($Q341="","",INDEX(인턴계획표[정규화2],$Q341))</f>
        <v/>
      </c>
      <c r="L341">
        <f>IF($Q341="","",INDEX(인턴계획표[정규화3],$Q341))</f>
        <v/>
      </c>
      <c r="M341">
        <f>IF($Q341="","",INDEX(인턴계획표[정규화4],$Q341))</f>
        <v/>
      </c>
      <c r="N341">
        <f>IF($Q341="","",INDEX(인턴계획표[정규화5],$Q341))</f>
        <v/>
      </c>
      <c r="O341">
        <f>IF($Q341="","",INDEX(인턴계획표[정규화6],$Q341))</f>
        <v/>
      </c>
      <c r="P341">
        <f>IF($Q341="","",INDEX(인턴계획표[입력오류],$Q341))</f>
        <v/>
      </c>
      <c r="Q341" s="17">
        <f>IFERROR(MATCH(336,인턴계획표[표시순번],0),"")</f>
        <v/>
      </c>
    </row>
    <row r="342">
      <c r="A342">
        <f>IF($Q342="","",INDEX(인턴계획표[순번],$Q342)&amp;"")</f>
        <v/>
      </c>
      <c r="B342">
        <f>IF($Q342="","",TRIM(INDEX(인턴계획표[이름],$Q342)&amp;""))</f>
        <v/>
      </c>
      <c r="C342">
        <f>IF($Q342="","",INDEX(인턴계획표[사번],$Q342)&amp;"")</f>
        <v/>
      </c>
      <c r="D342">
        <f>IF($Q342="","",IF(COUNTIF(기본자료표[사번키],INDEX(인턴계획표[사번키],$Q342))&gt;0,"확인","미등록"))</f>
        <v/>
      </c>
      <c r="E342">
        <f>IF($Q342="","",IF(ISNUMBER(INDEX(인턴계획표[입사일(비고)],$Q342)),TEXT(INDEX(인턴계획표[입사일(비고)],$Q342),"yyyy-mm-dd"),INDEX(인턴계획표[입사일(비고)],$Q342)&amp;""))</f>
        <v/>
      </c>
      <c r="F342">
        <f>IF($Q342="","",IF(IF($G$3="","",INDEX(인턴계획표[[정규화1]:[정규화6]],$Q342,$G$3)&amp;"")="","",IF(LEFT(IF($G$3="","",INDEX(인턴계획표[[정규화1]:[정규화6]],$Q342,$G$3)&amp;""),1)="⚠",IF($G$3="","",INDEX(인턴계획표[[정규화1]:[정규화6]],$Q342,$G$3)&amp;""),IFERROR(LEFT(IF($G$3="","",INDEX(인턴계획표[[정규화1]:[정규화6]],$Q342,$G$3)&amp;""),FIND(" ",IF($G$3="","",INDEX(인턴계획표[[정규화1]:[정규화6]],$Q342,$G$3)&amp;""))-1),IF($G$3="","",INDEX(인턴계획표[[정규화1]:[정규화6]],$Q342,$G$3)&amp;"")))))</f>
        <v/>
      </c>
      <c r="G342">
        <f>IF($Q342="","",IF(IF($G$3="","",INDEX(인턴계획표[[정규화1]:[정규화6]],$Q342,$G$3)&amp;"")="","",IF(LEFT(IF($G$3="","",INDEX(인턴계획표[[정규화1]:[정규화6]],$Q342,$G$3)&amp;""),1)="⚠","",IFERROR(MID(IF($G$3="","",INDEX(인턴계획표[[정규화1]:[정규화6]],$Q342,$G$3)&amp;""),FIND(" ",IF($G$3="","",INDEX(인턴계획표[[정규화1]:[정규화6]],$Q342,$G$3)&amp;""))+1,60),""))))</f>
        <v/>
      </c>
      <c r="H342">
        <f>IF($Q342="","",IF(IF($I$3="","",INDEX(인턴계획표[[정규화1]:[정규화6]],$Q342,$I$3)&amp;"")="","",IF(LEFT(IF($I$3="","",INDEX(인턴계획표[[정규화1]:[정규화6]],$Q342,$I$3)&amp;""),1)="⚠",IF($I$3="","",INDEX(인턴계획표[[정규화1]:[정규화6]],$Q342,$I$3)&amp;""),IFERROR(LEFT(IF($I$3="","",INDEX(인턴계획표[[정규화1]:[정규화6]],$Q342,$I$3)&amp;""),FIND(" ",IF($I$3="","",INDEX(인턴계획표[[정규화1]:[정규화6]],$Q342,$I$3)&amp;""))-1),IF($I$3="","",INDEX(인턴계획표[[정규화1]:[정규화6]],$Q342,$I$3)&amp;"")))))</f>
        <v/>
      </c>
      <c r="I342">
        <f>IF($Q342="","",IF(IF($I$3="","",INDEX(인턴계획표[[정규화1]:[정규화6]],$Q342,$I$3)&amp;"")="","",IF(LEFT(IF($I$3="","",INDEX(인턴계획표[[정규화1]:[정규화6]],$Q342,$I$3)&amp;""),1)="⚠","",IFERROR(MID(IF($I$3="","",INDEX(인턴계획표[[정규화1]:[정규화6]],$Q342,$I$3)&amp;""),FIND(" ",IF($I$3="","",INDEX(인턴계획표[[정규화1]:[정규화6]],$Q342,$I$3)&amp;""))+1,60),""))))</f>
        <v/>
      </c>
      <c r="J342">
        <f>IF($Q342="","",INDEX(인턴계획표[정규화1],$Q342))</f>
        <v/>
      </c>
      <c r="K342">
        <f>IF($Q342="","",INDEX(인턴계획표[정규화2],$Q342))</f>
        <v/>
      </c>
      <c r="L342">
        <f>IF($Q342="","",INDEX(인턴계획표[정규화3],$Q342))</f>
        <v/>
      </c>
      <c r="M342">
        <f>IF($Q342="","",INDEX(인턴계획표[정규화4],$Q342))</f>
        <v/>
      </c>
      <c r="N342">
        <f>IF($Q342="","",INDEX(인턴계획표[정규화5],$Q342))</f>
        <v/>
      </c>
      <c r="O342">
        <f>IF($Q342="","",INDEX(인턴계획표[정규화6],$Q342))</f>
        <v/>
      </c>
      <c r="P342">
        <f>IF($Q342="","",INDEX(인턴계획표[입력오류],$Q342))</f>
        <v/>
      </c>
      <c r="Q342" s="17">
        <f>IFERROR(MATCH(337,인턴계획표[표시순번],0),"")</f>
        <v/>
      </c>
    </row>
    <row r="343">
      <c r="A343">
        <f>IF($Q343="","",INDEX(인턴계획표[순번],$Q343)&amp;"")</f>
        <v/>
      </c>
      <c r="B343">
        <f>IF($Q343="","",TRIM(INDEX(인턴계획표[이름],$Q343)&amp;""))</f>
        <v/>
      </c>
      <c r="C343">
        <f>IF($Q343="","",INDEX(인턴계획표[사번],$Q343)&amp;"")</f>
        <v/>
      </c>
      <c r="D343">
        <f>IF($Q343="","",IF(COUNTIF(기본자료표[사번키],INDEX(인턴계획표[사번키],$Q343))&gt;0,"확인","미등록"))</f>
        <v/>
      </c>
      <c r="E343">
        <f>IF($Q343="","",IF(ISNUMBER(INDEX(인턴계획표[입사일(비고)],$Q343)),TEXT(INDEX(인턴계획표[입사일(비고)],$Q343),"yyyy-mm-dd"),INDEX(인턴계획표[입사일(비고)],$Q343)&amp;""))</f>
        <v/>
      </c>
      <c r="F343">
        <f>IF($Q343="","",IF(IF($G$3="","",INDEX(인턴계획표[[정규화1]:[정규화6]],$Q343,$G$3)&amp;"")="","",IF(LEFT(IF($G$3="","",INDEX(인턴계획표[[정규화1]:[정규화6]],$Q343,$G$3)&amp;""),1)="⚠",IF($G$3="","",INDEX(인턴계획표[[정규화1]:[정규화6]],$Q343,$G$3)&amp;""),IFERROR(LEFT(IF($G$3="","",INDEX(인턴계획표[[정규화1]:[정규화6]],$Q343,$G$3)&amp;""),FIND(" ",IF($G$3="","",INDEX(인턴계획표[[정규화1]:[정규화6]],$Q343,$G$3)&amp;""))-1),IF($G$3="","",INDEX(인턴계획표[[정규화1]:[정규화6]],$Q343,$G$3)&amp;"")))))</f>
        <v/>
      </c>
      <c r="G343">
        <f>IF($Q343="","",IF(IF($G$3="","",INDEX(인턴계획표[[정규화1]:[정규화6]],$Q343,$G$3)&amp;"")="","",IF(LEFT(IF($G$3="","",INDEX(인턴계획표[[정규화1]:[정규화6]],$Q343,$G$3)&amp;""),1)="⚠","",IFERROR(MID(IF($G$3="","",INDEX(인턴계획표[[정규화1]:[정규화6]],$Q343,$G$3)&amp;""),FIND(" ",IF($G$3="","",INDEX(인턴계획표[[정규화1]:[정규화6]],$Q343,$G$3)&amp;""))+1,60),""))))</f>
        <v/>
      </c>
      <c r="H343">
        <f>IF($Q343="","",IF(IF($I$3="","",INDEX(인턴계획표[[정규화1]:[정규화6]],$Q343,$I$3)&amp;"")="","",IF(LEFT(IF($I$3="","",INDEX(인턴계획표[[정규화1]:[정규화6]],$Q343,$I$3)&amp;""),1)="⚠",IF($I$3="","",INDEX(인턴계획표[[정규화1]:[정규화6]],$Q343,$I$3)&amp;""),IFERROR(LEFT(IF($I$3="","",INDEX(인턴계획표[[정규화1]:[정규화6]],$Q343,$I$3)&amp;""),FIND(" ",IF($I$3="","",INDEX(인턴계획표[[정규화1]:[정규화6]],$Q343,$I$3)&amp;""))-1),IF($I$3="","",INDEX(인턴계획표[[정규화1]:[정규화6]],$Q343,$I$3)&amp;"")))))</f>
        <v/>
      </c>
      <c r="I343">
        <f>IF($Q343="","",IF(IF($I$3="","",INDEX(인턴계획표[[정규화1]:[정규화6]],$Q343,$I$3)&amp;"")="","",IF(LEFT(IF($I$3="","",INDEX(인턴계획표[[정규화1]:[정규화6]],$Q343,$I$3)&amp;""),1)="⚠","",IFERROR(MID(IF($I$3="","",INDEX(인턴계획표[[정규화1]:[정규화6]],$Q343,$I$3)&amp;""),FIND(" ",IF($I$3="","",INDEX(인턴계획표[[정규화1]:[정규화6]],$Q343,$I$3)&amp;""))+1,60),""))))</f>
        <v/>
      </c>
      <c r="J343">
        <f>IF($Q343="","",INDEX(인턴계획표[정규화1],$Q343))</f>
        <v/>
      </c>
      <c r="K343">
        <f>IF($Q343="","",INDEX(인턴계획표[정규화2],$Q343))</f>
        <v/>
      </c>
      <c r="L343">
        <f>IF($Q343="","",INDEX(인턴계획표[정규화3],$Q343))</f>
        <v/>
      </c>
      <c r="M343">
        <f>IF($Q343="","",INDEX(인턴계획표[정규화4],$Q343))</f>
        <v/>
      </c>
      <c r="N343">
        <f>IF($Q343="","",INDEX(인턴계획표[정규화5],$Q343))</f>
        <v/>
      </c>
      <c r="O343">
        <f>IF($Q343="","",INDEX(인턴계획표[정규화6],$Q343))</f>
        <v/>
      </c>
      <c r="P343">
        <f>IF($Q343="","",INDEX(인턴계획표[입력오류],$Q343))</f>
        <v/>
      </c>
      <c r="Q343" s="17">
        <f>IFERROR(MATCH(338,인턴계획표[표시순번],0),"")</f>
        <v/>
      </c>
    </row>
    <row r="344">
      <c r="A344">
        <f>IF($Q344="","",INDEX(인턴계획표[순번],$Q344)&amp;"")</f>
        <v/>
      </c>
      <c r="B344">
        <f>IF($Q344="","",TRIM(INDEX(인턴계획표[이름],$Q344)&amp;""))</f>
        <v/>
      </c>
      <c r="C344">
        <f>IF($Q344="","",INDEX(인턴계획표[사번],$Q344)&amp;"")</f>
        <v/>
      </c>
      <c r="D344">
        <f>IF($Q344="","",IF(COUNTIF(기본자료표[사번키],INDEX(인턴계획표[사번키],$Q344))&gt;0,"확인","미등록"))</f>
        <v/>
      </c>
      <c r="E344">
        <f>IF($Q344="","",IF(ISNUMBER(INDEX(인턴계획표[입사일(비고)],$Q344)),TEXT(INDEX(인턴계획표[입사일(비고)],$Q344),"yyyy-mm-dd"),INDEX(인턴계획표[입사일(비고)],$Q344)&amp;""))</f>
        <v/>
      </c>
      <c r="F344">
        <f>IF($Q344="","",IF(IF($G$3="","",INDEX(인턴계획표[[정규화1]:[정규화6]],$Q344,$G$3)&amp;"")="","",IF(LEFT(IF($G$3="","",INDEX(인턴계획표[[정규화1]:[정규화6]],$Q344,$G$3)&amp;""),1)="⚠",IF($G$3="","",INDEX(인턴계획표[[정규화1]:[정규화6]],$Q344,$G$3)&amp;""),IFERROR(LEFT(IF($G$3="","",INDEX(인턴계획표[[정규화1]:[정규화6]],$Q344,$G$3)&amp;""),FIND(" ",IF($G$3="","",INDEX(인턴계획표[[정규화1]:[정규화6]],$Q344,$G$3)&amp;""))-1),IF($G$3="","",INDEX(인턴계획표[[정규화1]:[정규화6]],$Q344,$G$3)&amp;"")))))</f>
        <v/>
      </c>
      <c r="G344">
        <f>IF($Q344="","",IF(IF($G$3="","",INDEX(인턴계획표[[정규화1]:[정규화6]],$Q344,$G$3)&amp;"")="","",IF(LEFT(IF($G$3="","",INDEX(인턴계획표[[정규화1]:[정규화6]],$Q344,$G$3)&amp;""),1)="⚠","",IFERROR(MID(IF($G$3="","",INDEX(인턴계획표[[정규화1]:[정규화6]],$Q344,$G$3)&amp;""),FIND(" ",IF($G$3="","",INDEX(인턴계획표[[정규화1]:[정규화6]],$Q344,$G$3)&amp;""))+1,60),""))))</f>
        <v/>
      </c>
      <c r="H344">
        <f>IF($Q344="","",IF(IF($I$3="","",INDEX(인턴계획표[[정규화1]:[정규화6]],$Q344,$I$3)&amp;"")="","",IF(LEFT(IF($I$3="","",INDEX(인턴계획표[[정규화1]:[정규화6]],$Q344,$I$3)&amp;""),1)="⚠",IF($I$3="","",INDEX(인턴계획표[[정규화1]:[정규화6]],$Q344,$I$3)&amp;""),IFERROR(LEFT(IF($I$3="","",INDEX(인턴계획표[[정규화1]:[정규화6]],$Q344,$I$3)&amp;""),FIND(" ",IF($I$3="","",INDEX(인턴계획표[[정규화1]:[정규화6]],$Q344,$I$3)&amp;""))-1),IF($I$3="","",INDEX(인턴계획표[[정규화1]:[정규화6]],$Q344,$I$3)&amp;"")))))</f>
        <v/>
      </c>
      <c r="I344">
        <f>IF($Q344="","",IF(IF($I$3="","",INDEX(인턴계획표[[정규화1]:[정규화6]],$Q344,$I$3)&amp;"")="","",IF(LEFT(IF($I$3="","",INDEX(인턴계획표[[정규화1]:[정규화6]],$Q344,$I$3)&amp;""),1)="⚠","",IFERROR(MID(IF($I$3="","",INDEX(인턴계획표[[정규화1]:[정규화6]],$Q344,$I$3)&amp;""),FIND(" ",IF($I$3="","",INDEX(인턴계획표[[정규화1]:[정규화6]],$Q344,$I$3)&amp;""))+1,60),""))))</f>
        <v/>
      </c>
      <c r="J344">
        <f>IF($Q344="","",INDEX(인턴계획표[정규화1],$Q344))</f>
        <v/>
      </c>
      <c r="K344">
        <f>IF($Q344="","",INDEX(인턴계획표[정규화2],$Q344))</f>
        <v/>
      </c>
      <c r="L344">
        <f>IF($Q344="","",INDEX(인턴계획표[정규화3],$Q344))</f>
        <v/>
      </c>
      <c r="M344">
        <f>IF($Q344="","",INDEX(인턴계획표[정규화4],$Q344))</f>
        <v/>
      </c>
      <c r="N344">
        <f>IF($Q344="","",INDEX(인턴계획표[정규화5],$Q344))</f>
        <v/>
      </c>
      <c r="O344">
        <f>IF($Q344="","",INDEX(인턴계획표[정규화6],$Q344))</f>
        <v/>
      </c>
      <c r="P344">
        <f>IF($Q344="","",INDEX(인턴계획표[입력오류],$Q344))</f>
        <v/>
      </c>
      <c r="Q344" s="17">
        <f>IFERROR(MATCH(339,인턴계획표[표시순번],0),"")</f>
        <v/>
      </c>
    </row>
    <row r="345">
      <c r="A345">
        <f>IF($Q345="","",INDEX(인턴계획표[순번],$Q345)&amp;"")</f>
        <v/>
      </c>
      <c r="B345">
        <f>IF($Q345="","",TRIM(INDEX(인턴계획표[이름],$Q345)&amp;""))</f>
        <v/>
      </c>
      <c r="C345">
        <f>IF($Q345="","",INDEX(인턴계획표[사번],$Q345)&amp;"")</f>
        <v/>
      </c>
      <c r="D345">
        <f>IF($Q345="","",IF(COUNTIF(기본자료표[사번키],INDEX(인턴계획표[사번키],$Q345))&gt;0,"확인","미등록"))</f>
        <v/>
      </c>
      <c r="E345">
        <f>IF($Q345="","",IF(ISNUMBER(INDEX(인턴계획표[입사일(비고)],$Q345)),TEXT(INDEX(인턴계획표[입사일(비고)],$Q345),"yyyy-mm-dd"),INDEX(인턴계획표[입사일(비고)],$Q345)&amp;""))</f>
        <v/>
      </c>
      <c r="F345">
        <f>IF($Q345="","",IF(IF($G$3="","",INDEX(인턴계획표[[정규화1]:[정규화6]],$Q345,$G$3)&amp;"")="","",IF(LEFT(IF($G$3="","",INDEX(인턴계획표[[정규화1]:[정규화6]],$Q345,$G$3)&amp;""),1)="⚠",IF($G$3="","",INDEX(인턴계획표[[정규화1]:[정규화6]],$Q345,$G$3)&amp;""),IFERROR(LEFT(IF($G$3="","",INDEX(인턴계획표[[정규화1]:[정규화6]],$Q345,$G$3)&amp;""),FIND(" ",IF($G$3="","",INDEX(인턴계획표[[정규화1]:[정규화6]],$Q345,$G$3)&amp;""))-1),IF($G$3="","",INDEX(인턴계획표[[정규화1]:[정규화6]],$Q345,$G$3)&amp;"")))))</f>
        <v/>
      </c>
      <c r="G345">
        <f>IF($Q345="","",IF(IF($G$3="","",INDEX(인턴계획표[[정규화1]:[정규화6]],$Q345,$G$3)&amp;"")="","",IF(LEFT(IF($G$3="","",INDEX(인턴계획표[[정규화1]:[정규화6]],$Q345,$G$3)&amp;""),1)="⚠","",IFERROR(MID(IF($G$3="","",INDEX(인턴계획표[[정규화1]:[정규화6]],$Q345,$G$3)&amp;""),FIND(" ",IF($G$3="","",INDEX(인턴계획표[[정규화1]:[정규화6]],$Q345,$G$3)&amp;""))+1,60),""))))</f>
        <v/>
      </c>
      <c r="H345">
        <f>IF($Q345="","",IF(IF($I$3="","",INDEX(인턴계획표[[정규화1]:[정규화6]],$Q345,$I$3)&amp;"")="","",IF(LEFT(IF($I$3="","",INDEX(인턴계획표[[정규화1]:[정규화6]],$Q345,$I$3)&amp;""),1)="⚠",IF($I$3="","",INDEX(인턴계획표[[정규화1]:[정규화6]],$Q345,$I$3)&amp;""),IFERROR(LEFT(IF($I$3="","",INDEX(인턴계획표[[정규화1]:[정규화6]],$Q345,$I$3)&amp;""),FIND(" ",IF($I$3="","",INDEX(인턴계획표[[정규화1]:[정규화6]],$Q345,$I$3)&amp;""))-1),IF($I$3="","",INDEX(인턴계획표[[정규화1]:[정규화6]],$Q345,$I$3)&amp;"")))))</f>
        <v/>
      </c>
      <c r="I345">
        <f>IF($Q345="","",IF(IF($I$3="","",INDEX(인턴계획표[[정규화1]:[정규화6]],$Q345,$I$3)&amp;"")="","",IF(LEFT(IF($I$3="","",INDEX(인턴계획표[[정규화1]:[정규화6]],$Q345,$I$3)&amp;""),1)="⚠","",IFERROR(MID(IF($I$3="","",INDEX(인턴계획표[[정규화1]:[정규화6]],$Q345,$I$3)&amp;""),FIND(" ",IF($I$3="","",INDEX(인턴계획표[[정규화1]:[정규화6]],$Q345,$I$3)&amp;""))+1,60),""))))</f>
        <v/>
      </c>
      <c r="J345">
        <f>IF($Q345="","",INDEX(인턴계획표[정규화1],$Q345))</f>
        <v/>
      </c>
      <c r="K345">
        <f>IF($Q345="","",INDEX(인턴계획표[정규화2],$Q345))</f>
        <v/>
      </c>
      <c r="L345">
        <f>IF($Q345="","",INDEX(인턴계획표[정규화3],$Q345))</f>
        <v/>
      </c>
      <c r="M345">
        <f>IF($Q345="","",INDEX(인턴계획표[정규화4],$Q345))</f>
        <v/>
      </c>
      <c r="N345">
        <f>IF($Q345="","",INDEX(인턴계획표[정규화5],$Q345))</f>
        <v/>
      </c>
      <c r="O345">
        <f>IF($Q345="","",INDEX(인턴계획표[정규화6],$Q345))</f>
        <v/>
      </c>
      <c r="P345">
        <f>IF($Q345="","",INDEX(인턴계획표[입력오류],$Q345))</f>
        <v/>
      </c>
      <c r="Q345" s="17">
        <f>IFERROR(MATCH(340,인턴계획표[표시순번],0),"")</f>
        <v/>
      </c>
    </row>
    <row r="346">
      <c r="A346">
        <f>IF($Q346="","",INDEX(인턴계획표[순번],$Q346)&amp;"")</f>
        <v/>
      </c>
      <c r="B346">
        <f>IF($Q346="","",TRIM(INDEX(인턴계획표[이름],$Q346)&amp;""))</f>
        <v/>
      </c>
      <c r="C346">
        <f>IF($Q346="","",INDEX(인턴계획표[사번],$Q346)&amp;"")</f>
        <v/>
      </c>
      <c r="D346">
        <f>IF($Q346="","",IF(COUNTIF(기본자료표[사번키],INDEX(인턴계획표[사번키],$Q346))&gt;0,"확인","미등록"))</f>
        <v/>
      </c>
      <c r="E346">
        <f>IF($Q346="","",IF(ISNUMBER(INDEX(인턴계획표[입사일(비고)],$Q346)),TEXT(INDEX(인턴계획표[입사일(비고)],$Q346),"yyyy-mm-dd"),INDEX(인턴계획표[입사일(비고)],$Q346)&amp;""))</f>
        <v/>
      </c>
      <c r="F346">
        <f>IF($Q346="","",IF(IF($G$3="","",INDEX(인턴계획표[[정규화1]:[정규화6]],$Q346,$G$3)&amp;"")="","",IF(LEFT(IF($G$3="","",INDEX(인턴계획표[[정규화1]:[정규화6]],$Q346,$G$3)&amp;""),1)="⚠",IF($G$3="","",INDEX(인턴계획표[[정규화1]:[정규화6]],$Q346,$G$3)&amp;""),IFERROR(LEFT(IF($G$3="","",INDEX(인턴계획표[[정규화1]:[정규화6]],$Q346,$G$3)&amp;""),FIND(" ",IF($G$3="","",INDEX(인턴계획표[[정규화1]:[정규화6]],$Q346,$G$3)&amp;""))-1),IF($G$3="","",INDEX(인턴계획표[[정규화1]:[정규화6]],$Q346,$G$3)&amp;"")))))</f>
        <v/>
      </c>
      <c r="G346">
        <f>IF($Q346="","",IF(IF($G$3="","",INDEX(인턴계획표[[정규화1]:[정규화6]],$Q346,$G$3)&amp;"")="","",IF(LEFT(IF($G$3="","",INDEX(인턴계획표[[정규화1]:[정규화6]],$Q346,$G$3)&amp;""),1)="⚠","",IFERROR(MID(IF($G$3="","",INDEX(인턴계획표[[정규화1]:[정규화6]],$Q346,$G$3)&amp;""),FIND(" ",IF($G$3="","",INDEX(인턴계획표[[정규화1]:[정규화6]],$Q346,$G$3)&amp;""))+1,60),""))))</f>
        <v/>
      </c>
      <c r="H346">
        <f>IF($Q346="","",IF(IF($I$3="","",INDEX(인턴계획표[[정규화1]:[정규화6]],$Q346,$I$3)&amp;"")="","",IF(LEFT(IF($I$3="","",INDEX(인턴계획표[[정규화1]:[정규화6]],$Q346,$I$3)&amp;""),1)="⚠",IF($I$3="","",INDEX(인턴계획표[[정규화1]:[정규화6]],$Q346,$I$3)&amp;""),IFERROR(LEFT(IF($I$3="","",INDEX(인턴계획표[[정규화1]:[정규화6]],$Q346,$I$3)&amp;""),FIND(" ",IF($I$3="","",INDEX(인턴계획표[[정규화1]:[정규화6]],$Q346,$I$3)&amp;""))-1),IF($I$3="","",INDEX(인턴계획표[[정규화1]:[정규화6]],$Q346,$I$3)&amp;"")))))</f>
        <v/>
      </c>
      <c r="I346">
        <f>IF($Q346="","",IF(IF($I$3="","",INDEX(인턴계획표[[정규화1]:[정규화6]],$Q346,$I$3)&amp;"")="","",IF(LEFT(IF($I$3="","",INDEX(인턴계획표[[정규화1]:[정규화6]],$Q346,$I$3)&amp;""),1)="⚠","",IFERROR(MID(IF($I$3="","",INDEX(인턴계획표[[정규화1]:[정규화6]],$Q346,$I$3)&amp;""),FIND(" ",IF($I$3="","",INDEX(인턴계획표[[정규화1]:[정규화6]],$Q346,$I$3)&amp;""))+1,60),""))))</f>
        <v/>
      </c>
      <c r="J346">
        <f>IF($Q346="","",INDEX(인턴계획표[정규화1],$Q346))</f>
        <v/>
      </c>
      <c r="K346">
        <f>IF($Q346="","",INDEX(인턴계획표[정규화2],$Q346))</f>
        <v/>
      </c>
      <c r="L346">
        <f>IF($Q346="","",INDEX(인턴계획표[정규화3],$Q346))</f>
        <v/>
      </c>
      <c r="M346">
        <f>IF($Q346="","",INDEX(인턴계획표[정규화4],$Q346))</f>
        <v/>
      </c>
      <c r="N346">
        <f>IF($Q346="","",INDEX(인턴계획표[정규화5],$Q346))</f>
        <v/>
      </c>
      <c r="O346">
        <f>IF($Q346="","",INDEX(인턴계획표[정규화6],$Q346))</f>
        <v/>
      </c>
      <c r="P346">
        <f>IF($Q346="","",INDEX(인턴계획표[입력오류],$Q346))</f>
        <v/>
      </c>
      <c r="Q346" s="17">
        <f>IFERROR(MATCH(341,인턴계획표[표시순번],0),"")</f>
        <v/>
      </c>
    </row>
    <row r="347">
      <c r="A347">
        <f>IF($Q347="","",INDEX(인턴계획표[순번],$Q347)&amp;"")</f>
        <v/>
      </c>
      <c r="B347">
        <f>IF($Q347="","",TRIM(INDEX(인턴계획표[이름],$Q347)&amp;""))</f>
        <v/>
      </c>
      <c r="C347">
        <f>IF($Q347="","",INDEX(인턴계획표[사번],$Q347)&amp;"")</f>
        <v/>
      </c>
      <c r="D347">
        <f>IF($Q347="","",IF(COUNTIF(기본자료표[사번키],INDEX(인턴계획표[사번키],$Q347))&gt;0,"확인","미등록"))</f>
        <v/>
      </c>
      <c r="E347">
        <f>IF($Q347="","",IF(ISNUMBER(INDEX(인턴계획표[입사일(비고)],$Q347)),TEXT(INDEX(인턴계획표[입사일(비고)],$Q347),"yyyy-mm-dd"),INDEX(인턴계획표[입사일(비고)],$Q347)&amp;""))</f>
        <v/>
      </c>
      <c r="F347">
        <f>IF($Q347="","",IF(IF($G$3="","",INDEX(인턴계획표[[정규화1]:[정규화6]],$Q347,$G$3)&amp;"")="","",IF(LEFT(IF($G$3="","",INDEX(인턴계획표[[정규화1]:[정규화6]],$Q347,$G$3)&amp;""),1)="⚠",IF($G$3="","",INDEX(인턴계획표[[정규화1]:[정규화6]],$Q347,$G$3)&amp;""),IFERROR(LEFT(IF($G$3="","",INDEX(인턴계획표[[정규화1]:[정규화6]],$Q347,$G$3)&amp;""),FIND(" ",IF($G$3="","",INDEX(인턴계획표[[정규화1]:[정규화6]],$Q347,$G$3)&amp;""))-1),IF($G$3="","",INDEX(인턴계획표[[정규화1]:[정규화6]],$Q347,$G$3)&amp;"")))))</f>
        <v/>
      </c>
      <c r="G347">
        <f>IF($Q347="","",IF(IF($G$3="","",INDEX(인턴계획표[[정규화1]:[정규화6]],$Q347,$G$3)&amp;"")="","",IF(LEFT(IF($G$3="","",INDEX(인턴계획표[[정규화1]:[정규화6]],$Q347,$G$3)&amp;""),1)="⚠","",IFERROR(MID(IF($G$3="","",INDEX(인턴계획표[[정규화1]:[정규화6]],$Q347,$G$3)&amp;""),FIND(" ",IF($G$3="","",INDEX(인턴계획표[[정규화1]:[정규화6]],$Q347,$G$3)&amp;""))+1,60),""))))</f>
        <v/>
      </c>
      <c r="H347">
        <f>IF($Q347="","",IF(IF($I$3="","",INDEX(인턴계획표[[정규화1]:[정규화6]],$Q347,$I$3)&amp;"")="","",IF(LEFT(IF($I$3="","",INDEX(인턴계획표[[정규화1]:[정규화6]],$Q347,$I$3)&amp;""),1)="⚠",IF($I$3="","",INDEX(인턴계획표[[정규화1]:[정규화6]],$Q347,$I$3)&amp;""),IFERROR(LEFT(IF($I$3="","",INDEX(인턴계획표[[정규화1]:[정규화6]],$Q347,$I$3)&amp;""),FIND(" ",IF($I$3="","",INDEX(인턴계획표[[정규화1]:[정규화6]],$Q347,$I$3)&amp;""))-1),IF($I$3="","",INDEX(인턴계획표[[정규화1]:[정규화6]],$Q347,$I$3)&amp;"")))))</f>
        <v/>
      </c>
      <c r="I347">
        <f>IF($Q347="","",IF(IF($I$3="","",INDEX(인턴계획표[[정규화1]:[정규화6]],$Q347,$I$3)&amp;"")="","",IF(LEFT(IF($I$3="","",INDEX(인턴계획표[[정규화1]:[정규화6]],$Q347,$I$3)&amp;""),1)="⚠","",IFERROR(MID(IF($I$3="","",INDEX(인턴계획표[[정규화1]:[정규화6]],$Q347,$I$3)&amp;""),FIND(" ",IF($I$3="","",INDEX(인턴계획표[[정규화1]:[정규화6]],$Q347,$I$3)&amp;""))+1,60),""))))</f>
        <v/>
      </c>
      <c r="J347">
        <f>IF($Q347="","",INDEX(인턴계획표[정규화1],$Q347))</f>
        <v/>
      </c>
      <c r="K347">
        <f>IF($Q347="","",INDEX(인턴계획표[정규화2],$Q347))</f>
        <v/>
      </c>
      <c r="L347">
        <f>IF($Q347="","",INDEX(인턴계획표[정규화3],$Q347))</f>
        <v/>
      </c>
      <c r="M347">
        <f>IF($Q347="","",INDEX(인턴계획표[정규화4],$Q347))</f>
        <v/>
      </c>
      <c r="N347">
        <f>IF($Q347="","",INDEX(인턴계획표[정규화5],$Q347))</f>
        <v/>
      </c>
      <c r="O347">
        <f>IF($Q347="","",INDEX(인턴계획표[정규화6],$Q347))</f>
        <v/>
      </c>
      <c r="P347">
        <f>IF($Q347="","",INDEX(인턴계획표[입력오류],$Q347))</f>
        <v/>
      </c>
      <c r="Q347" s="17">
        <f>IFERROR(MATCH(342,인턴계획표[표시순번],0),"")</f>
        <v/>
      </c>
    </row>
    <row r="348">
      <c r="A348">
        <f>IF($Q348="","",INDEX(인턴계획표[순번],$Q348)&amp;"")</f>
        <v/>
      </c>
      <c r="B348">
        <f>IF($Q348="","",TRIM(INDEX(인턴계획표[이름],$Q348)&amp;""))</f>
        <v/>
      </c>
      <c r="C348">
        <f>IF($Q348="","",INDEX(인턴계획표[사번],$Q348)&amp;"")</f>
        <v/>
      </c>
      <c r="D348">
        <f>IF($Q348="","",IF(COUNTIF(기본자료표[사번키],INDEX(인턴계획표[사번키],$Q348))&gt;0,"확인","미등록"))</f>
        <v/>
      </c>
      <c r="E348">
        <f>IF($Q348="","",IF(ISNUMBER(INDEX(인턴계획표[입사일(비고)],$Q348)),TEXT(INDEX(인턴계획표[입사일(비고)],$Q348),"yyyy-mm-dd"),INDEX(인턴계획표[입사일(비고)],$Q348)&amp;""))</f>
        <v/>
      </c>
      <c r="F348">
        <f>IF($Q348="","",IF(IF($G$3="","",INDEX(인턴계획표[[정규화1]:[정규화6]],$Q348,$G$3)&amp;"")="","",IF(LEFT(IF($G$3="","",INDEX(인턴계획표[[정규화1]:[정규화6]],$Q348,$G$3)&amp;""),1)="⚠",IF($G$3="","",INDEX(인턴계획표[[정규화1]:[정규화6]],$Q348,$G$3)&amp;""),IFERROR(LEFT(IF($G$3="","",INDEX(인턴계획표[[정규화1]:[정규화6]],$Q348,$G$3)&amp;""),FIND(" ",IF($G$3="","",INDEX(인턴계획표[[정규화1]:[정규화6]],$Q348,$G$3)&amp;""))-1),IF($G$3="","",INDEX(인턴계획표[[정규화1]:[정규화6]],$Q348,$G$3)&amp;"")))))</f>
        <v/>
      </c>
      <c r="G348">
        <f>IF($Q348="","",IF(IF($G$3="","",INDEX(인턴계획표[[정규화1]:[정규화6]],$Q348,$G$3)&amp;"")="","",IF(LEFT(IF($G$3="","",INDEX(인턴계획표[[정규화1]:[정규화6]],$Q348,$G$3)&amp;""),1)="⚠","",IFERROR(MID(IF($G$3="","",INDEX(인턴계획표[[정규화1]:[정규화6]],$Q348,$G$3)&amp;""),FIND(" ",IF($G$3="","",INDEX(인턴계획표[[정규화1]:[정규화6]],$Q348,$G$3)&amp;""))+1,60),""))))</f>
        <v/>
      </c>
      <c r="H348">
        <f>IF($Q348="","",IF(IF($I$3="","",INDEX(인턴계획표[[정규화1]:[정규화6]],$Q348,$I$3)&amp;"")="","",IF(LEFT(IF($I$3="","",INDEX(인턴계획표[[정규화1]:[정규화6]],$Q348,$I$3)&amp;""),1)="⚠",IF($I$3="","",INDEX(인턴계획표[[정규화1]:[정규화6]],$Q348,$I$3)&amp;""),IFERROR(LEFT(IF($I$3="","",INDEX(인턴계획표[[정규화1]:[정규화6]],$Q348,$I$3)&amp;""),FIND(" ",IF($I$3="","",INDEX(인턴계획표[[정규화1]:[정규화6]],$Q348,$I$3)&amp;""))-1),IF($I$3="","",INDEX(인턴계획표[[정규화1]:[정규화6]],$Q348,$I$3)&amp;"")))))</f>
        <v/>
      </c>
      <c r="I348">
        <f>IF($Q348="","",IF(IF($I$3="","",INDEX(인턴계획표[[정규화1]:[정규화6]],$Q348,$I$3)&amp;"")="","",IF(LEFT(IF($I$3="","",INDEX(인턴계획표[[정규화1]:[정규화6]],$Q348,$I$3)&amp;""),1)="⚠","",IFERROR(MID(IF($I$3="","",INDEX(인턴계획표[[정규화1]:[정규화6]],$Q348,$I$3)&amp;""),FIND(" ",IF($I$3="","",INDEX(인턴계획표[[정규화1]:[정규화6]],$Q348,$I$3)&amp;""))+1,60),""))))</f>
        <v/>
      </c>
      <c r="J348">
        <f>IF($Q348="","",INDEX(인턴계획표[정규화1],$Q348))</f>
        <v/>
      </c>
      <c r="K348">
        <f>IF($Q348="","",INDEX(인턴계획표[정규화2],$Q348))</f>
        <v/>
      </c>
      <c r="L348">
        <f>IF($Q348="","",INDEX(인턴계획표[정규화3],$Q348))</f>
        <v/>
      </c>
      <c r="M348">
        <f>IF($Q348="","",INDEX(인턴계획표[정규화4],$Q348))</f>
        <v/>
      </c>
      <c r="N348">
        <f>IF($Q348="","",INDEX(인턴계획표[정규화5],$Q348))</f>
        <v/>
      </c>
      <c r="O348">
        <f>IF($Q348="","",INDEX(인턴계획표[정규화6],$Q348))</f>
        <v/>
      </c>
      <c r="P348">
        <f>IF($Q348="","",INDEX(인턴계획표[입력오류],$Q348))</f>
        <v/>
      </c>
      <c r="Q348" s="17">
        <f>IFERROR(MATCH(343,인턴계획표[표시순번],0),"")</f>
        <v/>
      </c>
    </row>
    <row r="349">
      <c r="A349">
        <f>IF($Q349="","",INDEX(인턴계획표[순번],$Q349)&amp;"")</f>
        <v/>
      </c>
      <c r="B349">
        <f>IF($Q349="","",TRIM(INDEX(인턴계획표[이름],$Q349)&amp;""))</f>
        <v/>
      </c>
      <c r="C349">
        <f>IF($Q349="","",INDEX(인턴계획표[사번],$Q349)&amp;"")</f>
        <v/>
      </c>
      <c r="D349">
        <f>IF($Q349="","",IF(COUNTIF(기본자료표[사번키],INDEX(인턴계획표[사번키],$Q349))&gt;0,"확인","미등록"))</f>
        <v/>
      </c>
      <c r="E349">
        <f>IF($Q349="","",IF(ISNUMBER(INDEX(인턴계획표[입사일(비고)],$Q349)),TEXT(INDEX(인턴계획표[입사일(비고)],$Q349),"yyyy-mm-dd"),INDEX(인턴계획표[입사일(비고)],$Q349)&amp;""))</f>
        <v/>
      </c>
      <c r="F349">
        <f>IF($Q349="","",IF(IF($G$3="","",INDEX(인턴계획표[[정규화1]:[정규화6]],$Q349,$G$3)&amp;"")="","",IF(LEFT(IF($G$3="","",INDEX(인턴계획표[[정규화1]:[정규화6]],$Q349,$G$3)&amp;""),1)="⚠",IF($G$3="","",INDEX(인턴계획표[[정규화1]:[정규화6]],$Q349,$G$3)&amp;""),IFERROR(LEFT(IF($G$3="","",INDEX(인턴계획표[[정규화1]:[정규화6]],$Q349,$G$3)&amp;""),FIND(" ",IF($G$3="","",INDEX(인턴계획표[[정규화1]:[정규화6]],$Q349,$G$3)&amp;""))-1),IF($G$3="","",INDEX(인턴계획표[[정규화1]:[정규화6]],$Q349,$G$3)&amp;"")))))</f>
        <v/>
      </c>
      <c r="G349">
        <f>IF($Q349="","",IF(IF($G$3="","",INDEX(인턴계획표[[정규화1]:[정규화6]],$Q349,$G$3)&amp;"")="","",IF(LEFT(IF($G$3="","",INDEX(인턴계획표[[정규화1]:[정규화6]],$Q349,$G$3)&amp;""),1)="⚠","",IFERROR(MID(IF($G$3="","",INDEX(인턴계획표[[정규화1]:[정규화6]],$Q349,$G$3)&amp;""),FIND(" ",IF($G$3="","",INDEX(인턴계획표[[정규화1]:[정규화6]],$Q349,$G$3)&amp;""))+1,60),""))))</f>
        <v/>
      </c>
      <c r="H349">
        <f>IF($Q349="","",IF(IF($I$3="","",INDEX(인턴계획표[[정규화1]:[정규화6]],$Q349,$I$3)&amp;"")="","",IF(LEFT(IF($I$3="","",INDEX(인턴계획표[[정규화1]:[정규화6]],$Q349,$I$3)&amp;""),1)="⚠",IF($I$3="","",INDEX(인턴계획표[[정규화1]:[정규화6]],$Q349,$I$3)&amp;""),IFERROR(LEFT(IF($I$3="","",INDEX(인턴계획표[[정규화1]:[정규화6]],$Q349,$I$3)&amp;""),FIND(" ",IF($I$3="","",INDEX(인턴계획표[[정규화1]:[정규화6]],$Q349,$I$3)&amp;""))-1),IF($I$3="","",INDEX(인턴계획표[[정규화1]:[정규화6]],$Q349,$I$3)&amp;"")))))</f>
        <v/>
      </c>
      <c r="I349">
        <f>IF($Q349="","",IF(IF($I$3="","",INDEX(인턴계획표[[정규화1]:[정규화6]],$Q349,$I$3)&amp;"")="","",IF(LEFT(IF($I$3="","",INDEX(인턴계획표[[정규화1]:[정규화6]],$Q349,$I$3)&amp;""),1)="⚠","",IFERROR(MID(IF($I$3="","",INDEX(인턴계획표[[정규화1]:[정규화6]],$Q349,$I$3)&amp;""),FIND(" ",IF($I$3="","",INDEX(인턴계획표[[정규화1]:[정규화6]],$Q349,$I$3)&amp;""))+1,60),""))))</f>
        <v/>
      </c>
      <c r="J349">
        <f>IF($Q349="","",INDEX(인턴계획표[정규화1],$Q349))</f>
        <v/>
      </c>
      <c r="K349">
        <f>IF($Q349="","",INDEX(인턴계획표[정규화2],$Q349))</f>
        <v/>
      </c>
      <c r="L349">
        <f>IF($Q349="","",INDEX(인턴계획표[정규화3],$Q349))</f>
        <v/>
      </c>
      <c r="M349">
        <f>IF($Q349="","",INDEX(인턴계획표[정규화4],$Q349))</f>
        <v/>
      </c>
      <c r="N349">
        <f>IF($Q349="","",INDEX(인턴계획표[정규화5],$Q349))</f>
        <v/>
      </c>
      <c r="O349">
        <f>IF($Q349="","",INDEX(인턴계획표[정규화6],$Q349))</f>
        <v/>
      </c>
      <c r="P349">
        <f>IF($Q349="","",INDEX(인턴계획표[입력오류],$Q349))</f>
        <v/>
      </c>
      <c r="Q349" s="17">
        <f>IFERROR(MATCH(344,인턴계획표[표시순번],0),"")</f>
        <v/>
      </c>
    </row>
    <row r="350">
      <c r="A350">
        <f>IF($Q350="","",INDEX(인턴계획표[순번],$Q350)&amp;"")</f>
        <v/>
      </c>
      <c r="B350">
        <f>IF($Q350="","",TRIM(INDEX(인턴계획표[이름],$Q350)&amp;""))</f>
        <v/>
      </c>
      <c r="C350">
        <f>IF($Q350="","",INDEX(인턴계획표[사번],$Q350)&amp;"")</f>
        <v/>
      </c>
      <c r="D350">
        <f>IF($Q350="","",IF(COUNTIF(기본자료표[사번키],INDEX(인턴계획표[사번키],$Q350))&gt;0,"확인","미등록"))</f>
        <v/>
      </c>
      <c r="E350">
        <f>IF($Q350="","",IF(ISNUMBER(INDEX(인턴계획표[입사일(비고)],$Q350)),TEXT(INDEX(인턴계획표[입사일(비고)],$Q350),"yyyy-mm-dd"),INDEX(인턴계획표[입사일(비고)],$Q350)&amp;""))</f>
        <v/>
      </c>
      <c r="F350">
        <f>IF($Q350="","",IF(IF($G$3="","",INDEX(인턴계획표[[정규화1]:[정규화6]],$Q350,$G$3)&amp;"")="","",IF(LEFT(IF($G$3="","",INDEX(인턴계획표[[정규화1]:[정규화6]],$Q350,$G$3)&amp;""),1)="⚠",IF($G$3="","",INDEX(인턴계획표[[정규화1]:[정규화6]],$Q350,$G$3)&amp;""),IFERROR(LEFT(IF($G$3="","",INDEX(인턴계획표[[정규화1]:[정규화6]],$Q350,$G$3)&amp;""),FIND(" ",IF($G$3="","",INDEX(인턴계획표[[정규화1]:[정규화6]],$Q350,$G$3)&amp;""))-1),IF($G$3="","",INDEX(인턴계획표[[정규화1]:[정규화6]],$Q350,$G$3)&amp;"")))))</f>
        <v/>
      </c>
      <c r="G350">
        <f>IF($Q350="","",IF(IF($G$3="","",INDEX(인턴계획표[[정규화1]:[정규화6]],$Q350,$G$3)&amp;"")="","",IF(LEFT(IF($G$3="","",INDEX(인턴계획표[[정규화1]:[정규화6]],$Q350,$G$3)&amp;""),1)="⚠","",IFERROR(MID(IF($G$3="","",INDEX(인턴계획표[[정규화1]:[정규화6]],$Q350,$G$3)&amp;""),FIND(" ",IF($G$3="","",INDEX(인턴계획표[[정규화1]:[정규화6]],$Q350,$G$3)&amp;""))+1,60),""))))</f>
        <v/>
      </c>
      <c r="H350">
        <f>IF($Q350="","",IF(IF($I$3="","",INDEX(인턴계획표[[정규화1]:[정규화6]],$Q350,$I$3)&amp;"")="","",IF(LEFT(IF($I$3="","",INDEX(인턴계획표[[정규화1]:[정규화6]],$Q350,$I$3)&amp;""),1)="⚠",IF($I$3="","",INDEX(인턴계획표[[정규화1]:[정규화6]],$Q350,$I$3)&amp;""),IFERROR(LEFT(IF($I$3="","",INDEX(인턴계획표[[정규화1]:[정규화6]],$Q350,$I$3)&amp;""),FIND(" ",IF($I$3="","",INDEX(인턴계획표[[정규화1]:[정규화6]],$Q350,$I$3)&amp;""))-1),IF($I$3="","",INDEX(인턴계획표[[정규화1]:[정규화6]],$Q350,$I$3)&amp;"")))))</f>
        <v/>
      </c>
      <c r="I350">
        <f>IF($Q350="","",IF(IF($I$3="","",INDEX(인턴계획표[[정규화1]:[정규화6]],$Q350,$I$3)&amp;"")="","",IF(LEFT(IF($I$3="","",INDEX(인턴계획표[[정규화1]:[정규화6]],$Q350,$I$3)&amp;""),1)="⚠","",IFERROR(MID(IF($I$3="","",INDEX(인턴계획표[[정규화1]:[정규화6]],$Q350,$I$3)&amp;""),FIND(" ",IF($I$3="","",INDEX(인턴계획표[[정규화1]:[정규화6]],$Q350,$I$3)&amp;""))+1,60),""))))</f>
        <v/>
      </c>
      <c r="J350">
        <f>IF($Q350="","",INDEX(인턴계획표[정규화1],$Q350))</f>
        <v/>
      </c>
      <c r="K350">
        <f>IF($Q350="","",INDEX(인턴계획표[정규화2],$Q350))</f>
        <v/>
      </c>
      <c r="L350">
        <f>IF($Q350="","",INDEX(인턴계획표[정규화3],$Q350))</f>
        <v/>
      </c>
      <c r="M350">
        <f>IF($Q350="","",INDEX(인턴계획표[정규화4],$Q350))</f>
        <v/>
      </c>
      <c r="N350">
        <f>IF($Q350="","",INDEX(인턴계획표[정규화5],$Q350))</f>
        <v/>
      </c>
      <c r="O350">
        <f>IF($Q350="","",INDEX(인턴계획표[정규화6],$Q350))</f>
        <v/>
      </c>
      <c r="P350">
        <f>IF($Q350="","",INDEX(인턴계획표[입력오류],$Q350))</f>
        <v/>
      </c>
      <c r="Q350" s="17">
        <f>IFERROR(MATCH(345,인턴계획표[표시순번],0),"")</f>
        <v/>
      </c>
    </row>
    <row r="351">
      <c r="A351">
        <f>IF($Q351="","",INDEX(인턴계획표[순번],$Q351)&amp;"")</f>
        <v/>
      </c>
      <c r="B351">
        <f>IF($Q351="","",TRIM(INDEX(인턴계획표[이름],$Q351)&amp;""))</f>
        <v/>
      </c>
      <c r="C351">
        <f>IF($Q351="","",INDEX(인턴계획표[사번],$Q351)&amp;"")</f>
        <v/>
      </c>
      <c r="D351">
        <f>IF($Q351="","",IF(COUNTIF(기본자료표[사번키],INDEX(인턴계획표[사번키],$Q351))&gt;0,"확인","미등록"))</f>
        <v/>
      </c>
      <c r="E351">
        <f>IF($Q351="","",IF(ISNUMBER(INDEX(인턴계획표[입사일(비고)],$Q351)),TEXT(INDEX(인턴계획표[입사일(비고)],$Q351),"yyyy-mm-dd"),INDEX(인턴계획표[입사일(비고)],$Q351)&amp;""))</f>
        <v/>
      </c>
      <c r="F351">
        <f>IF($Q351="","",IF(IF($G$3="","",INDEX(인턴계획표[[정규화1]:[정규화6]],$Q351,$G$3)&amp;"")="","",IF(LEFT(IF($G$3="","",INDEX(인턴계획표[[정규화1]:[정규화6]],$Q351,$G$3)&amp;""),1)="⚠",IF($G$3="","",INDEX(인턴계획표[[정규화1]:[정규화6]],$Q351,$G$3)&amp;""),IFERROR(LEFT(IF($G$3="","",INDEX(인턴계획표[[정규화1]:[정규화6]],$Q351,$G$3)&amp;""),FIND(" ",IF($G$3="","",INDEX(인턴계획표[[정규화1]:[정규화6]],$Q351,$G$3)&amp;""))-1),IF($G$3="","",INDEX(인턴계획표[[정규화1]:[정규화6]],$Q351,$G$3)&amp;"")))))</f>
        <v/>
      </c>
      <c r="G351">
        <f>IF($Q351="","",IF(IF($G$3="","",INDEX(인턴계획표[[정규화1]:[정규화6]],$Q351,$G$3)&amp;"")="","",IF(LEFT(IF($G$3="","",INDEX(인턴계획표[[정규화1]:[정규화6]],$Q351,$G$3)&amp;""),1)="⚠","",IFERROR(MID(IF($G$3="","",INDEX(인턴계획표[[정규화1]:[정규화6]],$Q351,$G$3)&amp;""),FIND(" ",IF($G$3="","",INDEX(인턴계획표[[정규화1]:[정규화6]],$Q351,$G$3)&amp;""))+1,60),""))))</f>
        <v/>
      </c>
      <c r="H351">
        <f>IF($Q351="","",IF(IF($I$3="","",INDEX(인턴계획표[[정규화1]:[정규화6]],$Q351,$I$3)&amp;"")="","",IF(LEFT(IF($I$3="","",INDEX(인턴계획표[[정규화1]:[정규화6]],$Q351,$I$3)&amp;""),1)="⚠",IF($I$3="","",INDEX(인턴계획표[[정규화1]:[정규화6]],$Q351,$I$3)&amp;""),IFERROR(LEFT(IF($I$3="","",INDEX(인턴계획표[[정규화1]:[정규화6]],$Q351,$I$3)&amp;""),FIND(" ",IF($I$3="","",INDEX(인턴계획표[[정규화1]:[정규화6]],$Q351,$I$3)&amp;""))-1),IF($I$3="","",INDEX(인턴계획표[[정규화1]:[정규화6]],$Q351,$I$3)&amp;"")))))</f>
        <v/>
      </c>
      <c r="I351">
        <f>IF($Q351="","",IF(IF($I$3="","",INDEX(인턴계획표[[정규화1]:[정규화6]],$Q351,$I$3)&amp;"")="","",IF(LEFT(IF($I$3="","",INDEX(인턴계획표[[정규화1]:[정규화6]],$Q351,$I$3)&amp;""),1)="⚠","",IFERROR(MID(IF($I$3="","",INDEX(인턴계획표[[정규화1]:[정규화6]],$Q351,$I$3)&amp;""),FIND(" ",IF($I$3="","",INDEX(인턴계획표[[정규화1]:[정규화6]],$Q351,$I$3)&amp;""))+1,60),""))))</f>
        <v/>
      </c>
      <c r="J351">
        <f>IF($Q351="","",INDEX(인턴계획표[정규화1],$Q351))</f>
        <v/>
      </c>
      <c r="K351">
        <f>IF($Q351="","",INDEX(인턴계획표[정규화2],$Q351))</f>
        <v/>
      </c>
      <c r="L351">
        <f>IF($Q351="","",INDEX(인턴계획표[정규화3],$Q351))</f>
        <v/>
      </c>
      <c r="M351">
        <f>IF($Q351="","",INDEX(인턴계획표[정규화4],$Q351))</f>
        <v/>
      </c>
      <c r="N351">
        <f>IF($Q351="","",INDEX(인턴계획표[정규화5],$Q351))</f>
        <v/>
      </c>
      <c r="O351">
        <f>IF($Q351="","",INDEX(인턴계획표[정규화6],$Q351))</f>
        <v/>
      </c>
      <c r="P351">
        <f>IF($Q351="","",INDEX(인턴계획표[입력오류],$Q351))</f>
        <v/>
      </c>
      <c r="Q351" s="17">
        <f>IFERROR(MATCH(346,인턴계획표[표시순번],0),"")</f>
        <v/>
      </c>
    </row>
    <row r="352">
      <c r="A352">
        <f>IF($Q352="","",INDEX(인턴계획표[순번],$Q352)&amp;"")</f>
        <v/>
      </c>
      <c r="B352">
        <f>IF($Q352="","",TRIM(INDEX(인턴계획표[이름],$Q352)&amp;""))</f>
        <v/>
      </c>
      <c r="C352">
        <f>IF($Q352="","",INDEX(인턴계획표[사번],$Q352)&amp;"")</f>
        <v/>
      </c>
      <c r="D352">
        <f>IF($Q352="","",IF(COUNTIF(기본자료표[사번키],INDEX(인턴계획표[사번키],$Q352))&gt;0,"확인","미등록"))</f>
        <v/>
      </c>
      <c r="E352">
        <f>IF($Q352="","",IF(ISNUMBER(INDEX(인턴계획표[입사일(비고)],$Q352)),TEXT(INDEX(인턴계획표[입사일(비고)],$Q352),"yyyy-mm-dd"),INDEX(인턴계획표[입사일(비고)],$Q352)&amp;""))</f>
        <v/>
      </c>
      <c r="F352">
        <f>IF($Q352="","",IF(IF($G$3="","",INDEX(인턴계획표[[정규화1]:[정규화6]],$Q352,$G$3)&amp;"")="","",IF(LEFT(IF($G$3="","",INDEX(인턴계획표[[정규화1]:[정규화6]],$Q352,$G$3)&amp;""),1)="⚠",IF($G$3="","",INDEX(인턴계획표[[정규화1]:[정규화6]],$Q352,$G$3)&amp;""),IFERROR(LEFT(IF($G$3="","",INDEX(인턴계획표[[정규화1]:[정규화6]],$Q352,$G$3)&amp;""),FIND(" ",IF($G$3="","",INDEX(인턴계획표[[정규화1]:[정규화6]],$Q352,$G$3)&amp;""))-1),IF($G$3="","",INDEX(인턴계획표[[정규화1]:[정규화6]],$Q352,$G$3)&amp;"")))))</f>
        <v/>
      </c>
      <c r="G352">
        <f>IF($Q352="","",IF(IF($G$3="","",INDEX(인턴계획표[[정규화1]:[정규화6]],$Q352,$G$3)&amp;"")="","",IF(LEFT(IF($G$3="","",INDEX(인턴계획표[[정규화1]:[정규화6]],$Q352,$G$3)&amp;""),1)="⚠","",IFERROR(MID(IF($G$3="","",INDEX(인턴계획표[[정규화1]:[정규화6]],$Q352,$G$3)&amp;""),FIND(" ",IF($G$3="","",INDEX(인턴계획표[[정규화1]:[정규화6]],$Q352,$G$3)&amp;""))+1,60),""))))</f>
        <v/>
      </c>
      <c r="H352">
        <f>IF($Q352="","",IF(IF($I$3="","",INDEX(인턴계획표[[정규화1]:[정규화6]],$Q352,$I$3)&amp;"")="","",IF(LEFT(IF($I$3="","",INDEX(인턴계획표[[정규화1]:[정규화6]],$Q352,$I$3)&amp;""),1)="⚠",IF($I$3="","",INDEX(인턴계획표[[정규화1]:[정규화6]],$Q352,$I$3)&amp;""),IFERROR(LEFT(IF($I$3="","",INDEX(인턴계획표[[정규화1]:[정규화6]],$Q352,$I$3)&amp;""),FIND(" ",IF($I$3="","",INDEX(인턴계획표[[정규화1]:[정규화6]],$Q352,$I$3)&amp;""))-1),IF($I$3="","",INDEX(인턴계획표[[정규화1]:[정규화6]],$Q352,$I$3)&amp;"")))))</f>
        <v/>
      </c>
      <c r="I352">
        <f>IF($Q352="","",IF(IF($I$3="","",INDEX(인턴계획표[[정규화1]:[정규화6]],$Q352,$I$3)&amp;"")="","",IF(LEFT(IF($I$3="","",INDEX(인턴계획표[[정규화1]:[정규화6]],$Q352,$I$3)&amp;""),1)="⚠","",IFERROR(MID(IF($I$3="","",INDEX(인턴계획표[[정규화1]:[정규화6]],$Q352,$I$3)&amp;""),FIND(" ",IF($I$3="","",INDEX(인턴계획표[[정규화1]:[정규화6]],$Q352,$I$3)&amp;""))+1,60),""))))</f>
        <v/>
      </c>
      <c r="J352">
        <f>IF($Q352="","",INDEX(인턴계획표[정규화1],$Q352))</f>
        <v/>
      </c>
      <c r="K352">
        <f>IF($Q352="","",INDEX(인턴계획표[정규화2],$Q352))</f>
        <v/>
      </c>
      <c r="L352">
        <f>IF($Q352="","",INDEX(인턴계획표[정규화3],$Q352))</f>
        <v/>
      </c>
      <c r="M352">
        <f>IF($Q352="","",INDEX(인턴계획표[정규화4],$Q352))</f>
        <v/>
      </c>
      <c r="N352">
        <f>IF($Q352="","",INDEX(인턴계획표[정규화5],$Q352))</f>
        <v/>
      </c>
      <c r="O352">
        <f>IF($Q352="","",INDEX(인턴계획표[정규화6],$Q352))</f>
        <v/>
      </c>
      <c r="P352">
        <f>IF($Q352="","",INDEX(인턴계획표[입력오류],$Q352))</f>
        <v/>
      </c>
      <c r="Q352" s="17">
        <f>IFERROR(MATCH(347,인턴계획표[표시순번],0),"")</f>
        <v/>
      </c>
    </row>
    <row r="353">
      <c r="A353">
        <f>IF($Q353="","",INDEX(인턴계획표[순번],$Q353)&amp;"")</f>
        <v/>
      </c>
      <c r="B353">
        <f>IF($Q353="","",TRIM(INDEX(인턴계획표[이름],$Q353)&amp;""))</f>
        <v/>
      </c>
      <c r="C353">
        <f>IF($Q353="","",INDEX(인턴계획표[사번],$Q353)&amp;"")</f>
        <v/>
      </c>
      <c r="D353">
        <f>IF($Q353="","",IF(COUNTIF(기본자료표[사번키],INDEX(인턴계획표[사번키],$Q353))&gt;0,"확인","미등록"))</f>
        <v/>
      </c>
      <c r="E353">
        <f>IF($Q353="","",IF(ISNUMBER(INDEX(인턴계획표[입사일(비고)],$Q353)),TEXT(INDEX(인턴계획표[입사일(비고)],$Q353),"yyyy-mm-dd"),INDEX(인턴계획표[입사일(비고)],$Q353)&amp;""))</f>
        <v/>
      </c>
      <c r="F353">
        <f>IF($Q353="","",IF(IF($G$3="","",INDEX(인턴계획표[[정규화1]:[정규화6]],$Q353,$G$3)&amp;"")="","",IF(LEFT(IF($G$3="","",INDEX(인턴계획표[[정규화1]:[정규화6]],$Q353,$G$3)&amp;""),1)="⚠",IF($G$3="","",INDEX(인턴계획표[[정규화1]:[정규화6]],$Q353,$G$3)&amp;""),IFERROR(LEFT(IF($G$3="","",INDEX(인턴계획표[[정규화1]:[정규화6]],$Q353,$G$3)&amp;""),FIND(" ",IF($G$3="","",INDEX(인턴계획표[[정규화1]:[정규화6]],$Q353,$G$3)&amp;""))-1),IF($G$3="","",INDEX(인턴계획표[[정규화1]:[정규화6]],$Q353,$G$3)&amp;"")))))</f>
        <v/>
      </c>
      <c r="G353">
        <f>IF($Q353="","",IF(IF($G$3="","",INDEX(인턴계획표[[정규화1]:[정규화6]],$Q353,$G$3)&amp;"")="","",IF(LEFT(IF($G$3="","",INDEX(인턴계획표[[정규화1]:[정규화6]],$Q353,$G$3)&amp;""),1)="⚠","",IFERROR(MID(IF($G$3="","",INDEX(인턴계획표[[정규화1]:[정규화6]],$Q353,$G$3)&amp;""),FIND(" ",IF($G$3="","",INDEX(인턴계획표[[정규화1]:[정규화6]],$Q353,$G$3)&amp;""))+1,60),""))))</f>
        <v/>
      </c>
      <c r="H353">
        <f>IF($Q353="","",IF(IF($I$3="","",INDEX(인턴계획표[[정규화1]:[정규화6]],$Q353,$I$3)&amp;"")="","",IF(LEFT(IF($I$3="","",INDEX(인턴계획표[[정규화1]:[정규화6]],$Q353,$I$3)&amp;""),1)="⚠",IF($I$3="","",INDEX(인턴계획표[[정규화1]:[정규화6]],$Q353,$I$3)&amp;""),IFERROR(LEFT(IF($I$3="","",INDEX(인턴계획표[[정규화1]:[정규화6]],$Q353,$I$3)&amp;""),FIND(" ",IF($I$3="","",INDEX(인턴계획표[[정규화1]:[정규화6]],$Q353,$I$3)&amp;""))-1),IF($I$3="","",INDEX(인턴계획표[[정규화1]:[정규화6]],$Q353,$I$3)&amp;"")))))</f>
        <v/>
      </c>
      <c r="I353">
        <f>IF($Q353="","",IF(IF($I$3="","",INDEX(인턴계획표[[정규화1]:[정규화6]],$Q353,$I$3)&amp;"")="","",IF(LEFT(IF($I$3="","",INDEX(인턴계획표[[정규화1]:[정규화6]],$Q353,$I$3)&amp;""),1)="⚠","",IFERROR(MID(IF($I$3="","",INDEX(인턴계획표[[정규화1]:[정규화6]],$Q353,$I$3)&amp;""),FIND(" ",IF($I$3="","",INDEX(인턴계획표[[정규화1]:[정규화6]],$Q353,$I$3)&amp;""))+1,60),""))))</f>
        <v/>
      </c>
      <c r="J353">
        <f>IF($Q353="","",INDEX(인턴계획표[정규화1],$Q353))</f>
        <v/>
      </c>
      <c r="K353">
        <f>IF($Q353="","",INDEX(인턴계획표[정규화2],$Q353))</f>
        <v/>
      </c>
      <c r="L353">
        <f>IF($Q353="","",INDEX(인턴계획표[정규화3],$Q353))</f>
        <v/>
      </c>
      <c r="M353">
        <f>IF($Q353="","",INDEX(인턴계획표[정규화4],$Q353))</f>
        <v/>
      </c>
      <c r="N353">
        <f>IF($Q353="","",INDEX(인턴계획표[정규화5],$Q353))</f>
        <v/>
      </c>
      <c r="O353">
        <f>IF($Q353="","",INDEX(인턴계획표[정규화6],$Q353))</f>
        <v/>
      </c>
      <c r="P353">
        <f>IF($Q353="","",INDEX(인턴계획표[입력오류],$Q353))</f>
        <v/>
      </c>
      <c r="Q353" s="17">
        <f>IFERROR(MATCH(348,인턴계획표[표시순번],0),"")</f>
        <v/>
      </c>
    </row>
    <row r="354">
      <c r="A354">
        <f>IF($Q354="","",INDEX(인턴계획표[순번],$Q354)&amp;"")</f>
        <v/>
      </c>
      <c r="B354">
        <f>IF($Q354="","",TRIM(INDEX(인턴계획표[이름],$Q354)&amp;""))</f>
        <v/>
      </c>
      <c r="C354">
        <f>IF($Q354="","",INDEX(인턴계획표[사번],$Q354)&amp;"")</f>
        <v/>
      </c>
      <c r="D354">
        <f>IF($Q354="","",IF(COUNTIF(기본자료표[사번키],INDEX(인턴계획표[사번키],$Q354))&gt;0,"확인","미등록"))</f>
        <v/>
      </c>
      <c r="E354">
        <f>IF($Q354="","",IF(ISNUMBER(INDEX(인턴계획표[입사일(비고)],$Q354)),TEXT(INDEX(인턴계획표[입사일(비고)],$Q354),"yyyy-mm-dd"),INDEX(인턴계획표[입사일(비고)],$Q354)&amp;""))</f>
        <v/>
      </c>
      <c r="F354">
        <f>IF($Q354="","",IF(IF($G$3="","",INDEX(인턴계획표[[정규화1]:[정규화6]],$Q354,$G$3)&amp;"")="","",IF(LEFT(IF($G$3="","",INDEX(인턴계획표[[정규화1]:[정규화6]],$Q354,$G$3)&amp;""),1)="⚠",IF($G$3="","",INDEX(인턴계획표[[정규화1]:[정규화6]],$Q354,$G$3)&amp;""),IFERROR(LEFT(IF($G$3="","",INDEX(인턴계획표[[정규화1]:[정규화6]],$Q354,$G$3)&amp;""),FIND(" ",IF($G$3="","",INDEX(인턴계획표[[정규화1]:[정규화6]],$Q354,$G$3)&amp;""))-1),IF($G$3="","",INDEX(인턴계획표[[정규화1]:[정규화6]],$Q354,$G$3)&amp;"")))))</f>
        <v/>
      </c>
      <c r="G354">
        <f>IF($Q354="","",IF(IF($G$3="","",INDEX(인턴계획표[[정규화1]:[정규화6]],$Q354,$G$3)&amp;"")="","",IF(LEFT(IF($G$3="","",INDEX(인턴계획표[[정규화1]:[정규화6]],$Q354,$G$3)&amp;""),1)="⚠","",IFERROR(MID(IF($G$3="","",INDEX(인턴계획표[[정규화1]:[정규화6]],$Q354,$G$3)&amp;""),FIND(" ",IF($G$3="","",INDEX(인턴계획표[[정규화1]:[정규화6]],$Q354,$G$3)&amp;""))+1,60),""))))</f>
        <v/>
      </c>
      <c r="H354">
        <f>IF($Q354="","",IF(IF($I$3="","",INDEX(인턴계획표[[정규화1]:[정규화6]],$Q354,$I$3)&amp;"")="","",IF(LEFT(IF($I$3="","",INDEX(인턴계획표[[정규화1]:[정규화6]],$Q354,$I$3)&amp;""),1)="⚠",IF($I$3="","",INDEX(인턴계획표[[정규화1]:[정규화6]],$Q354,$I$3)&amp;""),IFERROR(LEFT(IF($I$3="","",INDEX(인턴계획표[[정규화1]:[정규화6]],$Q354,$I$3)&amp;""),FIND(" ",IF($I$3="","",INDEX(인턴계획표[[정규화1]:[정규화6]],$Q354,$I$3)&amp;""))-1),IF($I$3="","",INDEX(인턴계획표[[정규화1]:[정규화6]],$Q354,$I$3)&amp;"")))))</f>
        <v/>
      </c>
      <c r="I354">
        <f>IF($Q354="","",IF(IF($I$3="","",INDEX(인턴계획표[[정규화1]:[정규화6]],$Q354,$I$3)&amp;"")="","",IF(LEFT(IF($I$3="","",INDEX(인턴계획표[[정규화1]:[정규화6]],$Q354,$I$3)&amp;""),1)="⚠","",IFERROR(MID(IF($I$3="","",INDEX(인턴계획표[[정규화1]:[정규화6]],$Q354,$I$3)&amp;""),FIND(" ",IF($I$3="","",INDEX(인턴계획표[[정규화1]:[정규화6]],$Q354,$I$3)&amp;""))+1,60),""))))</f>
        <v/>
      </c>
      <c r="J354">
        <f>IF($Q354="","",INDEX(인턴계획표[정규화1],$Q354))</f>
        <v/>
      </c>
      <c r="K354">
        <f>IF($Q354="","",INDEX(인턴계획표[정규화2],$Q354))</f>
        <v/>
      </c>
      <c r="L354">
        <f>IF($Q354="","",INDEX(인턴계획표[정규화3],$Q354))</f>
        <v/>
      </c>
      <c r="M354">
        <f>IF($Q354="","",INDEX(인턴계획표[정규화4],$Q354))</f>
        <v/>
      </c>
      <c r="N354">
        <f>IF($Q354="","",INDEX(인턴계획표[정규화5],$Q354))</f>
        <v/>
      </c>
      <c r="O354">
        <f>IF($Q354="","",INDEX(인턴계획표[정규화6],$Q354))</f>
        <v/>
      </c>
      <c r="P354">
        <f>IF($Q354="","",INDEX(인턴계획표[입력오류],$Q354))</f>
        <v/>
      </c>
      <c r="Q354" s="17">
        <f>IFERROR(MATCH(349,인턴계획표[표시순번],0),"")</f>
        <v/>
      </c>
    </row>
    <row r="355">
      <c r="A355">
        <f>IF($Q355="","",INDEX(인턴계획표[순번],$Q355)&amp;"")</f>
        <v/>
      </c>
      <c r="B355">
        <f>IF($Q355="","",TRIM(INDEX(인턴계획표[이름],$Q355)&amp;""))</f>
        <v/>
      </c>
      <c r="C355">
        <f>IF($Q355="","",INDEX(인턴계획표[사번],$Q355)&amp;"")</f>
        <v/>
      </c>
      <c r="D355">
        <f>IF($Q355="","",IF(COUNTIF(기본자료표[사번키],INDEX(인턴계획표[사번키],$Q355))&gt;0,"확인","미등록"))</f>
        <v/>
      </c>
      <c r="E355">
        <f>IF($Q355="","",IF(ISNUMBER(INDEX(인턴계획표[입사일(비고)],$Q355)),TEXT(INDEX(인턴계획표[입사일(비고)],$Q355),"yyyy-mm-dd"),INDEX(인턴계획표[입사일(비고)],$Q355)&amp;""))</f>
        <v/>
      </c>
      <c r="F355">
        <f>IF($Q355="","",IF(IF($G$3="","",INDEX(인턴계획표[[정규화1]:[정규화6]],$Q355,$G$3)&amp;"")="","",IF(LEFT(IF($G$3="","",INDEX(인턴계획표[[정규화1]:[정규화6]],$Q355,$G$3)&amp;""),1)="⚠",IF($G$3="","",INDEX(인턴계획표[[정규화1]:[정규화6]],$Q355,$G$3)&amp;""),IFERROR(LEFT(IF($G$3="","",INDEX(인턴계획표[[정규화1]:[정규화6]],$Q355,$G$3)&amp;""),FIND(" ",IF($G$3="","",INDEX(인턴계획표[[정규화1]:[정규화6]],$Q355,$G$3)&amp;""))-1),IF($G$3="","",INDEX(인턴계획표[[정규화1]:[정규화6]],$Q355,$G$3)&amp;"")))))</f>
        <v/>
      </c>
      <c r="G355">
        <f>IF($Q355="","",IF(IF($G$3="","",INDEX(인턴계획표[[정규화1]:[정규화6]],$Q355,$G$3)&amp;"")="","",IF(LEFT(IF($G$3="","",INDEX(인턴계획표[[정규화1]:[정규화6]],$Q355,$G$3)&amp;""),1)="⚠","",IFERROR(MID(IF($G$3="","",INDEX(인턴계획표[[정규화1]:[정규화6]],$Q355,$G$3)&amp;""),FIND(" ",IF($G$3="","",INDEX(인턴계획표[[정규화1]:[정규화6]],$Q355,$G$3)&amp;""))+1,60),""))))</f>
        <v/>
      </c>
      <c r="H355">
        <f>IF($Q355="","",IF(IF($I$3="","",INDEX(인턴계획표[[정규화1]:[정규화6]],$Q355,$I$3)&amp;"")="","",IF(LEFT(IF($I$3="","",INDEX(인턴계획표[[정규화1]:[정규화6]],$Q355,$I$3)&amp;""),1)="⚠",IF($I$3="","",INDEX(인턴계획표[[정규화1]:[정규화6]],$Q355,$I$3)&amp;""),IFERROR(LEFT(IF($I$3="","",INDEX(인턴계획표[[정규화1]:[정규화6]],$Q355,$I$3)&amp;""),FIND(" ",IF($I$3="","",INDEX(인턴계획표[[정규화1]:[정규화6]],$Q355,$I$3)&amp;""))-1),IF($I$3="","",INDEX(인턴계획표[[정규화1]:[정규화6]],$Q355,$I$3)&amp;"")))))</f>
        <v/>
      </c>
      <c r="I355">
        <f>IF($Q355="","",IF(IF($I$3="","",INDEX(인턴계획표[[정규화1]:[정규화6]],$Q355,$I$3)&amp;"")="","",IF(LEFT(IF($I$3="","",INDEX(인턴계획표[[정규화1]:[정규화6]],$Q355,$I$3)&amp;""),1)="⚠","",IFERROR(MID(IF($I$3="","",INDEX(인턴계획표[[정규화1]:[정규화6]],$Q355,$I$3)&amp;""),FIND(" ",IF($I$3="","",INDEX(인턴계획표[[정규화1]:[정규화6]],$Q355,$I$3)&amp;""))+1,60),""))))</f>
        <v/>
      </c>
      <c r="J355">
        <f>IF($Q355="","",INDEX(인턴계획표[정규화1],$Q355))</f>
        <v/>
      </c>
      <c r="K355">
        <f>IF($Q355="","",INDEX(인턴계획표[정규화2],$Q355))</f>
        <v/>
      </c>
      <c r="L355">
        <f>IF($Q355="","",INDEX(인턴계획표[정규화3],$Q355))</f>
        <v/>
      </c>
      <c r="M355">
        <f>IF($Q355="","",INDEX(인턴계획표[정규화4],$Q355))</f>
        <v/>
      </c>
      <c r="N355">
        <f>IF($Q355="","",INDEX(인턴계획표[정규화5],$Q355))</f>
        <v/>
      </c>
      <c r="O355">
        <f>IF($Q355="","",INDEX(인턴계획표[정규화6],$Q355))</f>
        <v/>
      </c>
      <c r="P355">
        <f>IF($Q355="","",INDEX(인턴계획표[입력오류],$Q355))</f>
        <v/>
      </c>
      <c r="Q355" s="17">
        <f>IFERROR(MATCH(350,인턴계획표[표시순번],0),"")</f>
        <v/>
      </c>
    </row>
    <row r="356">
      <c r="A356">
        <f>IF($Q356="","",INDEX(인턴계획표[순번],$Q356)&amp;"")</f>
        <v/>
      </c>
      <c r="B356">
        <f>IF($Q356="","",TRIM(INDEX(인턴계획표[이름],$Q356)&amp;""))</f>
        <v/>
      </c>
      <c r="C356">
        <f>IF($Q356="","",INDEX(인턴계획표[사번],$Q356)&amp;"")</f>
        <v/>
      </c>
      <c r="D356">
        <f>IF($Q356="","",IF(COUNTIF(기본자료표[사번키],INDEX(인턴계획표[사번키],$Q356))&gt;0,"확인","미등록"))</f>
        <v/>
      </c>
      <c r="E356">
        <f>IF($Q356="","",IF(ISNUMBER(INDEX(인턴계획표[입사일(비고)],$Q356)),TEXT(INDEX(인턴계획표[입사일(비고)],$Q356),"yyyy-mm-dd"),INDEX(인턴계획표[입사일(비고)],$Q356)&amp;""))</f>
        <v/>
      </c>
      <c r="F356">
        <f>IF($Q356="","",IF(IF($G$3="","",INDEX(인턴계획표[[정규화1]:[정규화6]],$Q356,$G$3)&amp;"")="","",IF(LEFT(IF($G$3="","",INDEX(인턴계획표[[정규화1]:[정규화6]],$Q356,$G$3)&amp;""),1)="⚠",IF($G$3="","",INDEX(인턴계획표[[정규화1]:[정규화6]],$Q356,$G$3)&amp;""),IFERROR(LEFT(IF($G$3="","",INDEX(인턴계획표[[정규화1]:[정규화6]],$Q356,$G$3)&amp;""),FIND(" ",IF($G$3="","",INDEX(인턴계획표[[정규화1]:[정규화6]],$Q356,$G$3)&amp;""))-1),IF($G$3="","",INDEX(인턴계획표[[정규화1]:[정규화6]],$Q356,$G$3)&amp;"")))))</f>
        <v/>
      </c>
      <c r="G356">
        <f>IF($Q356="","",IF(IF($G$3="","",INDEX(인턴계획표[[정규화1]:[정규화6]],$Q356,$G$3)&amp;"")="","",IF(LEFT(IF($G$3="","",INDEX(인턴계획표[[정규화1]:[정규화6]],$Q356,$G$3)&amp;""),1)="⚠","",IFERROR(MID(IF($G$3="","",INDEX(인턴계획표[[정규화1]:[정규화6]],$Q356,$G$3)&amp;""),FIND(" ",IF($G$3="","",INDEX(인턴계획표[[정규화1]:[정규화6]],$Q356,$G$3)&amp;""))+1,60),""))))</f>
        <v/>
      </c>
      <c r="H356">
        <f>IF($Q356="","",IF(IF($I$3="","",INDEX(인턴계획표[[정규화1]:[정규화6]],$Q356,$I$3)&amp;"")="","",IF(LEFT(IF($I$3="","",INDEX(인턴계획표[[정규화1]:[정규화6]],$Q356,$I$3)&amp;""),1)="⚠",IF($I$3="","",INDEX(인턴계획표[[정규화1]:[정규화6]],$Q356,$I$3)&amp;""),IFERROR(LEFT(IF($I$3="","",INDEX(인턴계획표[[정규화1]:[정규화6]],$Q356,$I$3)&amp;""),FIND(" ",IF($I$3="","",INDEX(인턴계획표[[정규화1]:[정규화6]],$Q356,$I$3)&amp;""))-1),IF($I$3="","",INDEX(인턴계획표[[정규화1]:[정규화6]],$Q356,$I$3)&amp;"")))))</f>
        <v/>
      </c>
      <c r="I356">
        <f>IF($Q356="","",IF(IF($I$3="","",INDEX(인턴계획표[[정규화1]:[정규화6]],$Q356,$I$3)&amp;"")="","",IF(LEFT(IF($I$3="","",INDEX(인턴계획표[[정규화1]:[정규화6]],$Q356,$I$3)&amp;""),1)="⚠","",IFERROR(MID(IF($I$3="","",INDEX(인턴계획표[[정규화1]:[정규화6]],$Q356,$I$3)&amp;""),FIND(" ",IF($I$3="","",INDEX(인턴계획표[[정규화1]:[정규화6]],$Q356,$I$3)&amp;""))+1,60),""))))</f>
        <v/>
      </c>
      <c r="J356">
        <f>IF($Q356="","",INDEX(인턴계획표[정규화1],$Q356))</f>
        <v/>
      </c>
      <c r="K356">
        <f>IF($Q356="","",INDEX(인턴계획표[정규화2],$Q356))</f>
        <v/>
      </c>
      <c r="L356">
        <f>IF($Q356="","",INDEX(인턴계획표[정규화3],$Q356))</f>
        <v/>
      </c>
      <c r="M356">
        <f>IF($Q356="","",INDEX(인턴계획표[정규화4],$Q356))</f>
        <v/>
      </c>
      <c r="N356">
        <f>IF($Q356="","",INDEX(인턴계획표[정규화5],$Q356))</f>
        <v/>
      </c>
      <c r="O356">
        <f>IF($Q356="","",INDEX(인턴계획표[정규화6],$Q356))</f>
        <v/>
      </c>
      <c r="P356">
        <f>IF($Q356="","",INDEX(인턴계획표[입력오류],$Q356))</f>
        <v/>
      </c>
      <c r="Q356" s="17">
        <f>IFERROR(MATCH(351,인턴계획표[표시순번],0),"")</f>
        <v/>
      </c>
    </row>
    <row r="357">
      <c r="A357">
        <f>IF($Q357="","",INDEX(인턴계획표[순번],$Q357)&amp;"")</f>
        <v/>
      </c>
      <c r="B357">
        <f>IF($Q357="","",TRIM(INDEX(인턴계획표[이름],$Q357)&amp;""))</f>
        <v/>
      </c>
      <c r="C357">
        <f>IF($Q357="","",INDEX(인턴계획표[사번],$Q357)&amp;"")</f>
        <v/>
      </c>
      <c r="D357">
        <f>IF($Q357="","",IF(COUNTIF(기본자료표[사번키],INDEX(인턴계획표[사번키],$Q357))&gt;0,"확인","미등록"))</f>
        <v/>
      </c>
      <c r="E357">
        <f>IF($Q357="","",IF(ISNUMBER(INDEX(인턴계획표[입사일(비고)],$Q357)),TEXT(INDEX(인턴계획표[입사일(비고)],$Q357),"yyyy-mm-dd"),INDEX(인턴계획표[입사일(비고)],$Q357)&amp;""))</f>
        <v/>
      </c>
      <c r="F357">
        <f>IF($Q357="","",IF(IF($G$3="","",INDEX(인턴계획표[[정규화1]:[정규화6]],$Q357,$G$3)&amp;"")="","",IF(LEFT(IF($G$3="","",INDEX(인턴계획표[[정규화1]:[정규화6]],$Q357,$G$3)&amp;""),1)="⚠",IF($G$3="","",INDEX(인턴계획표[[정규화1]:[정규화6]],$Q357,$G$3)&amp;""),IFERROR(LEFT(IF($G$3="","",INDEX(인턴계획표[[정규화1]:[정규화6]],$Q357,$G$3)&amp;""),FIND(" ",IF($G$3="","",INDEX(인턴계획표[[정규화1]:[정규화6]],$Q357,$G$3)&amp;""))-1),IF($G$3="","",INDEX(인턴계획표[[정규화1]:[정규화6]],$Q357,$G$3)&amp;"")))))</f>
        <v/>
      </c>
      <c r="G357">
        <f>IF($Q357="","",IF(IF($G$3="","",INDEX(인턴계획표[[정규화1]:[정규화6]],$Q357,$G$3)&amp;"")="","",IF(LEFT(IF($G$3="","",INDEX(인턴계획표[[정규화1]:[정규화6]],$Q357,$G$3)&amp;""),1)="⚠","",IFERROR(MID(IF($G$3="","",INDEX(인턴계획표[[정규화1]:[정규화6]],$Q357,$G$3)&amp;""),FIND(" ",IF($G$3="","",INDEX(인턴계획표[[정규화1]:[정규화6]],$Q357,$G$3)&amp;""))+1,60),""))))</f>
        <v/>
      </c>
      <c r="H357">
        <f>IF($Q357="","",IF(IF($I$3="","",INDEX(인턴계획표[[정규화1]:[정규화6]],$Q357,$I$3)&amp;"")="","",IF(LEFT(IF($I$3="","",INDEX(인턴계획표[[정규화1]:[정규화6]],$Q357,$I$3)&amp;""),1)="⚠",IF($I$3="","",INDEX(인턴계획표[[정규화1]:[정규화6]],$Q357,$I$3)&amp;""),IFERROR(LEFT(IF($I$3="","",INDEX(인턴계획표[[정규화1]:[정규화6]],$Q357,$I$3)&amp;""),FIND(" ",IF($I$3="","",INDEX(인턴계획표[[정규화1]:[정규화6]],$Q357,$I$3)&amp;""))-1),IF($I$3="","",INDEX(인턴계획표[[정규화1]:[정규화6]],$Q357,$I$3)&amp;"")))))</f>
        <v/>
      </c>
      <c r="I357">
        <f>IF($Q357="","",IF(IF($I$3="","",INDEX(인턴계획표[[정규화1]:[정규화6]],$Q357,$I$3)&amp;"")="","",IF(LEFT(IF($I$3="","",INDEX(인턴계획표[[정규화1]:[정규화6]],$Q357,$I$3)&amp;""),1)="⚠","",IFERROR(MID(IF($I$3="","",INDEX(인턴계획표[[정규화1]:[정규화6]],$Q357,$I$3)&amp;""),FIND(" ",IF($I$3="","",INDEX(인턴계획표[[정규화1]:[정규화6]],$Q357,$I$3)&amp;""))+1,60),""))))</f>
        <v/>
      </c>
      <c r="J357">
        <f>IF($Q357="","",INDEX(인턴계획표[정규화1],$Q357))</f>
        <v/>
      </c>
      <c r="K357">
        <f>IF($Q357="","",INDEX(인턴계획표[정규화2],$Q357))</f>
        <v/>
      </c>
      <c r="L357">
        <f>IF($Q357="","",INDEX(인턴계획표[정규화3],$Q357))</f>
        <v/>
      </c>
      <c r="M357">
        <f>IF($Q357="","",INDEX(인턴계획표[정규화4],$Q357))</f>
        <v/>
      </c>
      <c r="N357">
        <f>IF($Q357="","",INDEX(인턴계획표[정규화5],$Q357))</f>
        <v/>
      </c>
      <c r="O357">
        <f>IF($Q357="","",INDEX(인턴계획표[정규화6],$Q357))</f>
        <v/>
      </c>
      <c r="P357">
        <f>IF($Q357="","",INDEX(인턴계획표[입력오류],$Q357))</f>
        <v/>
      </c>
      <c r="Q357" s="17">
        <f>IFERROR(MATCH(352,인턴계획표[표시순번],0),"")</f>
        <v/>
      </c>
    </row>
    <row r="358">
      <c r="A358">
        <f>IF($Q358="","",INDEX(인턴계획표[순번],$Q358)&amp;"")</f>
        <v/>
      </c>
      <c r="B358">
        <f>IF($Q358="","",TRIM(INDEX(인턴계획표[이름],$Q358)&amp;""))</f>
        <v/>
      </c>
      <c r="C358">
        <f>IF($Q358="","",INDEX(인턴계획표[사번],$Q358)&amp;"")</f>
        <v/>
      </c>
      <c r="D358">
        <f>IF($Q358="","",IF(COUNTIF(기본자료표[사번키],INDEX(인턴계획표[사번키],$Q358))&gt;0,"확인","미등록"))</f>
        <v/>
      </c>
      <c r="E358">
        <f>IF($Q358="","",IF(ISNUMBER(INDEX(인턴계획표[입사일(비고)],$Q358)),TEXT(INDEX(인턴계획표[입사일(비고)],$Q358),"yyyy-mm-dd"),INDEX(인턴계획표[입사일(비고)],$Q358)&amp;""))</f>
        <v/>
      </c>
      <c r="F358">
        <f>IF($Q358="","",IF(IF($G$3="","",INDEX(인턴계획표[[정규화1]:[정규화6]],$Q358,$G$3)&amp;"")="","",IF(LEFT(IF($G$3="","",INDEX(인턴계획표[[정규화1]:[정규화6]],$Q358,$G$3)&amp;""),1)="⚠",IF($G$3="","",INDEX(인턴계획표[[정규화1]:[정규화6]],$Q358,$G$3)&amp;""),IFERROR(LEFT(IF($G$3="","",INDEX(인턴계획표[[정규화1]:[정규화6]],$Q358,$G$3)&amp;""),FIND(" ",IF($G$3="","",INDEX(인턴계획표[[정규화1]:[정규화6]],$Q358,$G$3)&amp;""))-1),IF($G$3="","",INDEX(인턴계획표[[정규화1]:[정규화6]],$Q358,$G$3)&amp;"")))))</f>
        <v/>
      </c>
      <c r="G358">
        <f>IF($Q358="","",IF(IF($G$3="","",INDEX(인턴계획표[[정규화1]:[정규화6]],$Q358,$G$3)&amp;"")="","",IF(LEFT(IF($G$3="","",INDEX(인턴계획표[[정규화1]:[정규화6]],$Q358,$G$3)&amp;""),1)="⚠","",IFERROR(MID(IF($G$3="","",INDEX(인턴계획표[[정규화1]:[정규화6]],$Q358,$G$3)&amp;""),FIND(" ",IF($G$3="","",INDEX(인턴계획표[[정규화1]:[정규화6]],$Q358,$G$3)&amp;""))+1,60),""))))</f>
        <v/>
      </c>
      <c r="H358">
        <f>IF($Q358="","",IF(IF($I$3="","",INDEX(인턴계획표[[정규화1]:[정규화6]],$Q358,$I$3)&amp;"")="","",IF(LEFT(IF($I$3="","",INDEX(인턴계획표[[정규화1]:[정규화6]],$Q358,$I$3)&amp;""),1)="⚠",IF($I$3="","",INDEX(인턴계획표[[정규화1]:[정규화6]],$Q358,$I$3)&amp;""),IFERROR(LEFT(IF($I$3="","",INDEX(인턴계획표[[정규화1]:[정규화6]],$Q358,$I$3)&amp;""),FIND(" ",IF($I$3="","",INDEX(인턴계획표[[정규화1]:[정규화6]],$Q358,$I$3)&amp;""))-1),IF($I$3="","",INDEX(인턴계획표[[정규화1]:[정규화6]],$Q358,$I$3)&amp;"")))))</f>
        <v/>
      </c>
      <c r="I358">
        <f>IF($Q358="","",IF(IF($I$3="","",INDEX(인턴계획표[[정규화1]:[정규화6]],$Q358,$I$3)&amp;"")="","",IF(LEFT(IF($I$3="","",INDEX(인턴계획표[[정규화1]:[정규화6]],$Q358,$I$3)&amp;""),1)="⚠","",IFERROR(MID(IF($I$3="","",INDEX(인턴계획표[[정규화1]:[정규화6]],$Q358,$I$3)&amp;""),FIND(" ",IF($I$3="","",INDEX(인턴계획표[[정규화1]:[정규화6]],$Q358,$I$3)&amp;""))+1,60),""))))</f>
        <v/>
      </c>
      <c r="J358">
        <f>IF($Q358="","",INDEX(인턴계획표[정규화1],$Q358))</f>
        <v/>
      </c>
      <c r="K358">
        <f>IF($Q358="","",INDEX(인턴계획표[정규화2],$Q358))</f>
        <v/>
      </c>
      <c r="L358">
        <f>IF($Q358="","",INDEX(인턴계획표[정규화3],$Q358))</f>
        <v/>
      </c>
      <c r="M358">
        <f>IF($Q358="","",INDEX(인턴계획표[정규화4],$Q358))</f>
        <v/>
      </c>
      <c r="N358">
        <f>IF($Q358="","",INDEX(인턴계획표[정규화5],$Q358))</f>
        <v/>
      </c>
      <c r="O358">
        <f>IF($Q358="","",INDEX(인턴계획표[정규화6],$Q358))</f>
        <v/>
      </c>
      <c r="P358">
        <f>IF($Q358="","",INDEX(인턴계획표[입력오류],$Q358))</f>
        <v/>
      </c>
      <c r="Q358" s="17">
        <f>IFERROR(MATCH(353,인턴계획표[표시순번],0),"")</f>
        <v/>
      </c>
    </row>
    <row r="359">
      <c r="A359">
        <f>IF($Q359="","",INDEX(인턴계획표[순번],$Q359)&amp;"")</f>
        <v/>
      </c>
      <c r="B359">
        <f>IF($Q359="","",TRIM(INDEX(인턴계획표[이름],$Q359)&amp;""))</f>
        <v/>
      </c>
      <c r="C359">
        <f>IF($Q359="","",INDEX(인턴계획표[사번],$Q359)&amp;"")</f>
        <v/>
      </c>
      <c r="D359">
        <f>IF($Q359="","",IF(COUNTIF(기본자료표[사번키],INDEX(인턴계획표[사번키],$Q359))&gt;0,"확인","미등록"))</f>
        <v/>
      </c>
      <c r="E359">
        <f>IF($Q359="","",IF(ISNUMBER(INDEX(인턴계획표[입사일(비고)],$Q359)),TEXT(INDEX(인턴계획표[입사일(비고)],$Q359),"yyyy-mm-dd"),INDEX(인턴계획표[입사일(비고)],$Q359)&amp;""))</f>
        <v/>
      </c>
      <c r="F359">
        <f>IF($Q359="","",IF(IF($G$3="","",INDEX(인턴계획표[[정규화1]:[정규화6]],$Q359,$G$3)&amp;"")="","",IF(LEFT(IF($G$3="","",INDEX(인턴계획표[[정규화1]:[정규화6]],$Q359,$G$3)&amp;""),1)="⚠",IF($G$3="","",INDEX(인턴계획표[[정규화1]:[정규화6]],$Q359,$G$3)&amp;""),IFERROR(LEFT(IF($G$3="","",INDEX(인턴계획표[[정규화1]:[정규화6]],$Q359,$G$3)&amp;""),FIND(" ",IF($G$3="","",INDEX(인턴계획표[[정규화1]:[정규화6]],$Q359,$G$3)&amp;""))-1),IF($G$3="","",INDEX(인턴계획표[[정규화1]:[정규화6]],$Q359,$G$3)&amp;"")))))</f>
        <v/>
      </c>
      <c r="G359">
        <f>IF($Q359="","",IF(IF($G$3="","",INDEX(인턴계획표[[정규화1]:[정규화6]],$Q359,$G$3)&amp;"")="","",IF(LEFT(IF($G$3="","",INDEX(인턴계획표[[정규화1]:[정규화6]],$Q359,$G$3)&amp;""),1)="⚠","",IFERROR(MID(IF($G$3="","",INDEX(인턴계획표[[정규화1]:[정규화6]],$Q359,$G$3)&amp;""),FIND(" ",IF($G$3="","",INDEX(인턴계획표[[정규화1]:[정규화6]],$Q359,$G$3)&amp;""))+1,60),""))))</f>
        <v/>
      </c>
      <c r="H359">
        <f>IF($Q359="","",IF(IF($I$3="","",INDEX(인턴계획표[[정규화1]:[정규화6]],$Q359,$I$3)&amp;"")="","",IF(LEFT(IF($I$3="","",INDEX(인턴계획표[[정규화1]:[정규화6]],$Q359,$I$3)&amp;""),1)="⚠",IF($I$3="","",INDEX(인턴계획표[[정규화1]:[정규화6]],$Q359,$I$3)&amp;""),IFERROR(LEFT(IF($I$3="","",INDEX(인턴계획표[[정규화1]:[정규화6]],$Q359,$I$3)&amp;""),FIND(" ",IF($I$3="","",INDEX(인턴계획표[[정규화1]:[정규화6]],$Q359,$I$3)&amp;""))-1),IF($I$3="","",INDEX(인턴계획표[[정규화1]:[정규화6]],$Q359,$I$3)&amp;"")))))</f>
        <v/>
      </c>
      <c r="I359">
        <f>IF($Q359="","",IF(IF($I$3="","",INDEX(인턴계획표[[정규화1]:[정규화6]],$Q359,$I$3)&amp;"")="","",IF(LEFT(IF($I$3="","",INDEX(인턴계획표[[정규화1]:[정규화6]],$Q359,$I$3)&amp;""),1)="⚠","",IFERROR(MID(IF($I$3="","",INDEX(인턴계획표[[정규화1]:[정규화6]],$Q359,$I$3)&amp;""),FIND(" ",IF($I$3="","",INDEX(인턴계획표[[정규화1]:[정규화6]],$Q359,$I$3)&amp;""))+1,60),""))))</f>
        <v/>
      </c>
      <c r="J359">
        <f>IF($Q359="","",INDEX(인턴계획표[정규화1],$Q359))</f>
        <v/>
      </c>
      <c r="K359">
        <f>IF($Q359="","",INDEX(인턴계획표[정규화2],$Q359))</f>
        <v/>
      </c>
      <c r="L359">
        <f>IF($Q359="","",INDEX(인턴계획표[정규화3],$Q359))</f>
        <v/>
      </c>
      <c r="M359">
        <f>IF($Q359="","",INDEX(인턴계획표[정규화4],$Q359))</f>
        <v/>
      </c>
      <c r="N359">
        <f>IF($Q359="","",INDEX(인턴계획표[정규화5],$Q359))</f>
        <v/>
      </c>
      <c r="O359">
        <f>IF($Q359="","",INDEX(인턴계획표[정규화6],$Q359))</f>
        <v/>
      </c>
      <c r="P359">
        <f>IF($Q359="","",INDEX(인턴계획표[입력오류],$Q359))</f>
        <v/>
      </c>
      <c r="Q359" s="17">
        <f>IFERROR(MATCH(354,인턴계획표[표시순번],0),"")</f>
        <v/>
      </c>
    </row>
    <row r="360">
      <c r="A360">
        <f>IF($Q360="","",INDEX(인턴계획표[순번],$Q360)&amp;"")</f>
        <v/>
      </c>
      <c r="B360">
        <f>IF($Q360="","",TRIM(INDEX(인턴계획표[이름],$Q360)&amp;""))</f>
        <v/>
      </c>
      <c r="C360">
        <f>IF($Q360="","",INDEX(인턴계획표[사번],$Q360)&amp;"")</f>
        <v/>
      </c>
      <c r="D360">
        <f>IF($Q360="","",IF(COUNTIF(기본자료표[사번키],INDEX(인턴계획표[사번키],$Q360))&gt;0,"확인","미등록"))</f>
        <v/>
      </c>
      <c r="E360">
        <f>IF($Q360="","",IF(ISNUMBER(INDEX(인턴계획표[입사일(비고)],$Q360)),TEXT(INDEX(인턴계획표[입사일(비고)],$Q360),"yyyy-mm-dd"),INDEX(인턴계획표[입사일(비고)],$Q360)&amp;""))</f>
        <v/>
      </c>
      <c r="F360">
        <f>IF($Q360="","",IF(IF($G$3="","",INDEX(인턴계획표[[정규화1]:[정규화6]],$Q360,$G$3)&amp;"")="","",IF(LEFT(IF($G$3="","",INDEX(인턴계획표[[정규화1]:[정규화6]],$Q360,$G$3)&amp;""),1)="⚠",IF($G$3="","",INDEX(인턴계획표[[정규화1]:[정규화6]],$Q360,$G$3)&amp;""),IFERROR(LEFT(IF($G$3="","",INDEX(인턴계획표[[정규화1]:[정규화6]],$Q360,$G$3)&amp;""),FIND(" ",IF($G$3="","",INDEX(인턴계획표[[정규화1]:[정규화6]],$Q360,$G$3)&amp;""))-1),IF($G$3="","",INDEX(인턴계획표[[정규화1]:[정규화6]],$Q360,$G$3)&amp;"")))))</f>
        <v/>
      </c>
      <c r="G360">
        <f>IF($Q360="","",IF(IF($G$3="","",INDEX(인턴계획표[[정규화1]:[정규화6]],$Q360,$G$3)&amp;"")="","",IF(LEFT(IF($G$3="","",INDEX(인턴계획표[[정규화1]:[정규화6]],$Q360,$G$3)&amp;""),1)="⚠","",IFERROR(MID(IF($G$3="","",INDEX(인턴계획표[[정규화1]:[정규화6]],$Q360,$G$3)&amp;""),FIND(" ",IF($G$3="","",INDEX(인턴계획표[[정규화1]:[정규화6]],$Q360,$G$3)&amp;""))+1,60),""))))</f>
        <v/>
      </c>
      <c r="H360">
        <f>IF($Q360="","",IF(IF($I$3="","",INDEX(인턴계획표[[정규화1]:[정규화6]],$Q360,$I$3)&amp;"")="","",IF(LEFT(IF($I$3="","",INDEX(인턴계획표[[정규화1]:[정규화6]],$Q360,$I$3)&amp;""),1)="⚠",IF($I$3="","",INDEX(인턴계획표[[정규화1]:[정규화6]],$Q360,$I$3)&amp;""),IFERROR(LEFT(IF($I$3="","",INDEX(인턴계획표[[정규화1]:[정규화6]],$Q360,$I$3)&amp;""),FIND(" ",IF($I$3="","",INDEX(인턴계획표[[정규화1]:[정규화6]],$Q360,$I$3)&amp;""))-1),IF($I$3="","",INDEX(인턴계획표[[정규화1]:[정규화6]],$Q360,$I$3)&amp;"")))))</f>
        <v/>
      </c>
      <c r="I360">
        <f>IF($Q360="","",IF(IF($I$3="","",INDEX(인턴계획표[[정규화1]:[정규화6]],$Q360,$I$3)&amp;"")="","",IF(LEFT(IF($I$3="","",INDEX(인턴계획표[[정규화1]:[정규화6]],$Q360,$I$3)&amp;""),1)="⚠","",IFERROR(MID(IF($I$3="","",INDEX(인턴계획표[[정규화1]:[정규화6]],$Q360,$I$3)&amp;""),FIND(" ",IF($I$3="","",INDEX(인턴계획표[[정규화1]:[정규화6]],$Q360,$I$3)&amp;""))+1,60),""))))</f>
        <v/>
      </c>
      <c r="J360">
        <f>IF($Q360="","",INDEX(인턴계획표[정규화1],$Q360))</f>
        <v/>
      </c>
      <c r="K360">
        <f>IF($Q360="","",INDEX(인턴계획표[정규화2],$Q360))</f>
        <v/>
      </c>
      <c r="L360">
        <f>IF($Q360="","",INDEX(인턴계획표[정규화3],$Q360))</f>
        <v/>
      </c>
      <c r="M360">
        <f>IF($Q360="","",INDEX(인턴계획표[정규화4],$Q360))</f>
        <v/>
      </c>
      <c r="N360">
        <f>IF($Q360="","",INDEX(인턴계획표[정규화5],$Q360))</f>
        <v/>
      </c>
      <c r="O360">
        <f>IF($Q360="","",INDEX(인턴계획표[정규화6],$Q360))</f>
        <v/>
      </c>
      <c r="P360">
        <f>IF($Q360="","",INDEX(인턴계획표[입력오류],$Q360))</f>
        <v/>
      </c>
      <c r="Q360" s="17">
        <f>IFERROR(MATCH(355,인턴계획표[표시순번],0),"")</f>
        <v/>
      </c>
    </row>
    <row r="361">
      <c r="A361">
        <f>IF($Q361="","",INDEX(인턴계획표[순번],$Q361)&amp;"")</f>
        <v/>
      </c>
      <c r="B361">
        <f>IF($Q361="","",TRIM(INDEX(인턴계획표[이름],$Q361)&amp;""))</f>
        <v/>
      </c>
      <c r="C361">
        <f>IF($Q361="","",INDEX(인턴계획표[사번],$Q361)&amp;"")</f>
        <v/>
      </c>
      <c r="D361">
        <f>IF($Q361="","",IF(COUNTIF(기본자료표[사번키],INDEX(인턴계획표[사번키],$Q361))&gt;0,"확인","미등록"))</f>
        <v/>
      </c>
      <c r="E361">
        <f>IF($Q361="","",IF(ISNUMBER(INDEX(인턴계획표[입사일(비고)],$Q361)),TEXT(INDEX(인턴계획표[입사일(비고)],$Q361),"yyyy-mm-dd"),INDEX(인턴계획표[입사일(비고)],$Q361)&amp;""))</f>
        <v/>
      </c>
      <c r="F361">
        <f>IF($Q361="","",IF(IF($G$3="","",INDEX(인턴계획표[[정규화1]:[정규화6]],$Q361,$G$3)&amp;"")="","",IF(LEFT(IF($G$3="","",INDEX(인턴계획표[[정규화1]:[정규화6]],$Q361,$G$3)&amp;""),1)="⚠",IF($G$3="","",INDEX(인턴계획표[[정규화1]:[정규화6]],$Q361,$G$3)&amp;""),IFERROR(LEFT(IF($G$3="","",INDEX(인턴계획표[[정규화1]:[정규화6]],$Q361,$G$3)&amp;""),FIND(" ",IF($G$3="","",INDEX(인턴계획표[[정규화1]:[정규화6]],$Q361,$G$3)&amp;""))-1),IF($G$3="","",INDEX(인턴계획표[[정규화1]:[정규화6]],$Q361,$G$3)&amp;"")))))</f>
        <v/>
      </c>
      <c r="G361">
        <f>IF($Q361="","",IF(IF($G$3="","",INDEX(인턴계획표[[정규화1]:[정규화6]],$Q361,$G$3)&amp;"")="","",IF(LEFT(IF($G$3="","",INDEX(인턴계획표[[정규화1]:[정규화6]],$Q361,$G$3)&amp;""),1)="⚠","",IFERROR(MID(IF($G$3="","",INDEX(인턴계획표[[정규화1]:[정규화6]],$Q361,$G$3)&amp;""),FIND(" ",IF($G$3="","",INDEX(인턴계획표[[정규화1]:[정규화6]],$Q361,$G$3)&amp;""))+1,60),""))))</f>
        <v/>
      </c>
      <c r="H361">
        <f>IF($Q361="","",IF(IF($I$3="","",INDEX(인턴계획표[[정규화1]:[정규화6]],$Q361,$I$3)&amp;"")="","",IF(LEFT(IF($I$3="","",INDEX(인턴계획표[[정규화1]:[정규화6]],$Q361,$I$3)&amp;""),1)="⚠",IF($I$3="","",INDEX(인턴계획표[[정규화1]:[정규화6]],$Q361,$I$3)&amp;""),IFERROR(LEFT(IF($I$3="","",INDEX(인턴계획표[[정규화1]:[정규화6]],$Q361,$I$3)&amp;""),FIND(" ",IF($I$3="","",INDEX(인턴계획표[[정규화1]:[정규화6]],$Q361,$I$3)&amp;""))-1),IF($I$3="","",INDEX(인턴계획표[[정규화1]:[정규화6]],$Q361,$I$3)&amp;"")))))</f>
        <v/>
      </c>
      <c r="I361">
        <f>IF($Q361="","",IF(IF($I$3="","",INDEX(인턴계획표[[정규화1]:[정규화6]],$Q361,$I$3)&amp;"")="","",IF(LEFT(IF($I$3="","",INDEX(인턴계획표[[정규화1]:[정규화6]],$Q361,$I$3)&amp;""),1)="⚠","",IFERROR(MID(IF($I$3="","",INDEX(인턴계획표[[정규화1]:[정규화6]],$Q361,$I$3)&amp;""),FIND(" ",IF($I$3="","",INDEX(인턴계획표[[정규화1]:[정규화6]],$Q361,$I$3)&amp;""))+1,60),""))))</f>
        <v/>
      </c>
      <c r="J361">
        <f>IF($Q361="","",INDEX(인턴계획표[정규화1],$Q361))</f>
        <v/>
      </c>
      <c r="K361">
        <f>IF($Q361="","",INDEX(인턴계획표[정규화2],$Q361))</f>
        <v/>
      </c>
      <c r="L361">
        <f>IF($Q361="","",INDEX(인턴계획표[정규화3],$Q361))</f>
        <v/>
      </c>
      <c r="M361">
        <f>IF($Q361="","",INDEX(인턴계획표[정규화4],$Q361))</f>
        <v/>
      </c>
      <c r="N361">
        <f>IF($Q361="","",INDEX(인턴계획표[정규화5],$Q361))</f>
        <v/>
      </c>
      <c r="O361">
        <f>IF($Q361="","",INDEX(인턴계획표[정규화6],$Q361))</f>
        <v/>
      </c>
      <c r="P361">
        <f>IF($Q361="","",INDEX(인턴계획표[입력오류],$Q361))</f>
        <v/>
      </c>
      <c r="Q361" s="17">
        <f>IFERROR(MATCH(356,인턴계획표[표시순번],0),"")</f>
        <v/>
      </c>
    </row>
    <row r="362">
      <c r="A362">
        <f>IF($Q362="","",INDEX(인턴계획표[순번],$Q362)&amp;"")</f>
        <v/>
      </c>
      <c r="B362">
        <f>IF($Q362="","",TRIM(INDEX(인턴계획표[이름],$Q362)&amp;""))</f>
        <v/>
      </c>
      <c r="C362">
        <f>IF($Q362="","",INDEX(인턴계획표[사번],$Q362)&amp;"")</f>
        <v/>
      </c>
      <c r="D362">
        <f>IF($Q362="","",IF(COUNTIF(기본자료표[사번키],INDEX(인턴계획표[사번키],$Q362))&gt;0,"확인","미등록"))</f>
        <v/>
      </c>
      <c r="E362">
        <f>IF($Q362="","",IF(ISNUMBER(INDEX(인턴계획표[입사일(비고)],$Q362)),TEXT(INDEX(인턴계획표[입사일(비고)],$Q362),"yyyy-mm-dd"),INDEX(인턴계획표[입사일(비고)],$Q362)&amp;""))</f>
        <v/>
      </c>
      <c r="F362">
        <f>IF($Q362="","",IF(IF($G$3="","",INDEX(인턴계획표[[정규화1]:[정규화6]],$Q362,$G$3)&amp;"")="","",IF(LEFT(IF($G$3="","",INDEX(인턴계획표[[정규화1]:[정규화6]],$Q362,$G$3)&amp;""),1)="⚠",IF($G$3="","",INDEX(인턴계획표[[정규화1]:[정규화6]],$Q362,$G$3)&amp;""),IFERROR(LEFT(IF($G$3="","",INDEX(인턴계획표[[정규화1]:[정규화6]],$Q362,$G$3)&amp;""),FIND(" ",IF($G$3="","",INDEX(인턴계획표[[정규화1]:[정규화6]],$Q362,$G$3)&amp;""))-1),IF($G$3="","",INDEX(인턴계획표[[정규화1]:[정규화6]],$Q362,$G$3)&amp;"")))))</f>
        <v/>
      </c>
      <c r="G362">
        <f>IF($Q362="","",IF(IF($G$3="","",INDEX(인턴계획표[[정규화1]:[정규화6]],$Q362,$G$3)&amp;"")="","",IF(LEFT(IF($G$3="","",INDEX(인턴계획표[[정규화1]:[정규화6]],$Q362,$G$3)&amp;""),1)="⚠","",IFERROR(MID(IF($G$3="","",INDEX(인턴계획표[[정규화1]:[정규화6]],$Q362,$G$3)&amp;""),FIND(" ",IF($G$3="","",INDEX(인턴계획표[[정규화1]:[정규화6]],$Q362,$G$3)&amp;""))+1,60),""))))</f>
        <v/>
      </c>
      <c r="H362">
        <f>IF($Q362="","",IF(IF($I$3="","",INDEX(인턴계획표[[정규화1]:[정규화6]],$Q362,$I$3)&amp;"")="","",IF(LEFT(IF($I$3="","",INDEX(인턴계획표[[정규화1]:[정규화6]],$Q362,$I$3)&amp;""),1)="⚠",IF($I$3="","",INDEX(인턴계획표[[정규화1]:[정규화6]],$Q362,$I$3)&amp;""),IFERROR(LEFT(IF($I$3="","",INDEX(인턴계획표[[정규화1]:[정규화6]],$Q362,$I$3)&amp;""),FIND(" ",IF($I$3="","",INDEX(인턴계획표[[정규화1]:[정규화6]],$Q362,$I$3)&amp;""))-1),IF($I$3="","",INDEX(인턴계획표[[정규화1]:[정규화6]],$Q362,$I$3)&amp;"")))))</f>
        <v/>
      </c>
      <c r="I362">
        <f>IF($Q362="","",IF(IF($I$3="","",INDEX(인턴계획표[[정규화1]:[정규화6]],$Q362,$I$3)&amp;"")="","",IF(LEFT(IF($I$3="","",INDEX(인턴계획표[[정규화1]:[정규화6]],$Q362,$I$3)&amp;""),1)="⚠","",IFERROR(MID(IF($I$3="","",INDEX(인턴계획표[[정규화1]:[정규화6]],$Q362,$I$3)&amp;""),FIND(" ",IF($I$3="","",INDEX(인턴계획표[[정규화1]:[정규화6]],$Q362,$I$3)&amp;""))+1,60),""))))</f>
        <v/>
      </c>
      <c r="J362">
        <f>IF($Q362="","",INDEX(인턴계획표[정규화1],$Q362))</f>
        <v/>
      </c>
      <c r="K362">
        <f>IF($Q362="","",INDEX(인턴계획표[정규화2],$Q362))</f>
        <v/>
      </c>
      <c r="L362">
        <f>IF($Q362="","",INDEX(인턴계획표[정규화3],$Q362))</f>
        <v/>
      </c>
      <c r="M362">
        <f>IF($Q362="","",INDEX(인턴계획표[정규화4],$Q362))</f>
        <v/>
      </c>
      <c r="N362">
        <f>IF($Q362="","",INDEX(인턴계획표[정규화5],$Q362))</f>
        <v/>
      </c>
      <c r="O362">
        <f>IF($Q362="","",INDEX(인턴계획표[정규화6],$Q362))</f>
        <v/>
      </c>
      <c r="P362">
        <f>IF($Q362="","",INDEX(인턴계획표[입력오류],$Q362))</f>
        <v/>
      </c>
      <c r="Q362" s="17">
        <f>IFERROR(MATCH(357,인턴계획표[표시순번],0),"")</f>
        <v/>
      </c>
    </row>
    <row r="363">
      <c r="A363">
        <f>IF($Q363="","",INDEX(인턴계획표[순번],$Q363)&amp;"")</f>
        <v/>
      </c>
      <c r="B363">
        <f>IF($Q363="","",TRIM(INDEX(인턴계획표[이름],$Q363)&amp;""))</f>
        <v/>
      </c>
      <c r="C363">
        <f>IF($Q363="","",INDEX(인턴계획표[사번],$Q363)&amp;"")</f>
        <v/>
      </c>
      <c r="D363">
        <f>IF($Q363="","",IF(COUNTIF(기본자료표[사번키],INDEX(인턴계획표[사번키],$Q363))&gt;0,"확인","미등록"))</f>
        <v/>
      </c>
      <c r="E363">
        <f>IF($Q363="","",IF(ISNUMBER(INDEX(인턴계획표[입사일(비고)],$Q363)),TEXT(INDEX(인턴계획표[입사일(비고)],$Q363),"yyyy-mm-dd"),INDEX(인턴계획표[입사일(비고)],$Q363)&amp;""))</f>
        <v/>
      </c>
      <c r="F363">
        <f>IF($Q363="","",IF(IF($G$3="","",INDEX(인턴계획표[[정규화1]:[정규화6]],$Q363,$G$3)&amp;"")="","",IF(LEFT(IF($G$3="","",INDEX(인턴계획표[[정규화1]:[정규화6]],$Q363,$G$3)&amp;""),1)="⚠",IF($G$3="","",INDEX(인턴계획표[[정규화1]:[정규화6]],$Q363,$G$3)&amp;""),IFERROR(LEFT(IF($G$3="","",INDEX(인턴계획표[[정규화1]:[정규화6]],$Q363,$G$3)&amp;""),FIND(" ",IF($G$3="","",INDEX(인턴계획표[[정규화1]:[정규화6]],$Q363,$G$3)&amp;""))-1),IF($G$3="","",INDEX(인턴계획표[[정규화1]:[정규화6]],$Q363,$G$3)&amp;"")))))</f>
        <v/>
      </c>
      <c r="G363">
        <f>IF($Q363="","",IF(IF($G$3="","",INDEX(인턴계획표[[정규화1]:[정규화6]],$Q363,$G$3)&amp;"")="","",IF(LEFT(IF($G$3="","",INDEX(인턴계획표[[정규화1]:[정규화6]],$Q363,$G$3)&amp;""),1)="⚠","",IFERROR(MID(IF($G$3="","",INDEX(인턴계획표[[정규화1]:[정규화6]],$Q363,$G$3)&amp;""),FIND(" ",IF($G$3="","",INDEX(인턴계획표[[정규화1]:[정규화6]],$Q363,$G$3)&amp;""))+1,60),""))))</f>
        <v/>
      </c>
      <c r="H363">
        <f>IF($Q363="","",IF(IF($I$3="","",INDEX(인턴계획표[[정규화1]:[정규화6]],$Q363,$I$3)&amp;"")="","",IF(LEFT(IF($I$3="","",INDEX(인턴계획표[[정규화1]:[정규화6]],$Q363,$I$3)&amp;""),1)="⚠",IF($I$3="","",INDEX(인턴계획표[[정규화1]:[정규화6]],$Q363,$I$3)&amp;""),IFERROR(LEFT(IF($I$3="","",INDEX(인턴계획표[[정규화1]:[정규화6]],$Q363,$I$3)&amp;""),FIND(" ",IF($I$3="","",INDEX(인턴계획표[[정규화1]:[정규화6]],$Q363,$I$3)&amp;""))-1),IF($I$3="","",INDEX(인턴계획표[[정규화1]:[정규화6]],$Q363,$I$3)&amp;"")))))</f>
        <v/>
      </c>
      <c r="I363">
        <f>IF($Q363="","",IF(IF($I$3="","",INDEX(인턴계획표[[정규화1]:[정규화6]],$Q363,$I$3)&amp;"")="","",IF(LEFT(IF($I$3="","",INDEX(인턴계획표[[정규화1]:[정규화6]],$Q363,$I$3)&amp;""),1)="⚠","",IFERROR(MID(IF($I$3="","",INDEX(인턴계획표[[정규화1]:[정규화6]],$Q363,$I$3)&amp;""),FIND(" ",IF($I$3="","",INDEX(인턴계획표[[정규화1]:[정규화6]],$Q363,$I$3)&amp;""))+1,60),""))))</f>
        <v/>
      </c>
      <c r="J363">
        <f>IF($Q363="","",INDEX(인턴계획표[정규화1],$Q363))</f>
        <v/>
      </c>
      <c r="K363">
        <f>IF($Q363="","",INDEX(인턴계획표[정규화2],$Q363))</f>
        <v/>
      </c>
      <c r="L363">
        <f>IF($Q363="","",INDEX(인턴계획표[정규화3],$Q363))</f>
        <v/>
      </c>
      <c r="M363">
        <f>IF($Q363="","",INDEX(인턴계획표[정규화4],$Q363))</f>
        <v/>
      </c>
      <c r="N363">
        <f>IF($Q363="","",INDEX(인턴계획표[정규화5],$Q363))</f>
        <v/>
      </c>
      <c r="O363">
        <f>IF($Q363="","",INDEX(인턴계획표[정규화6],$Q363))</f>
        <v/>
      </c>
      <c r="P363">
        <f>IF($Q363="","",INDEX(인턴계획표[입력오류],$Q363))</f>
        <v/>
      </c>
      <c r="Q363" s="17">
        <f>IFERROR(MATCH(358,인턴계획표[표시순번],0),"")</f>
        <v/>
      </c>
    </row>
    <row r="364">
      <c r="A364">
        <f>IF($Q364="","",INDEX(인턴계획표[순번],$Q364)&amp;"")</f>
        <v/>
      </c>
      <c r="B364">
        <f>IF($Q364="","",TRIM(INDEX(인턴계획표[이름],$Q364)&amp;""))</f>
        <v/>
      </c>
      <c r="C364">
        <f>IF($Q364="","",INDEX(인턴계획표[사번],$Q364)&amp;"")</f>
        <v/>
      </c>
      <c r="D364">
        <f>IF($Q364="","",IF(COUNTIF(기본자료표[사번키],INDEX(인턴계획표[사번키],$Q364))&gt;0,"확인","미등록"))</f>
        <v/>
      </c>
      <c r="E364">
        <f>IF($Q364="","",IF(ISNUMBER(INDEX(인턴계획표[입사일(비고)],$Q364)),TEXT(INDEX(인턴계획표[입사일(비고)],$Q364),"yyyy-mm-dd"),INDEX(인턴계획표[입사일(비고)],$Q364)&amp;""))</f>
        <v/>
      </c>
      <c r="F364">
        <f>IF($Q364="","",IF(IF($G$3="","",INDEX(인턴계획표[[정규화1]:[정규화6]],$Q364,$G$3)&amp;"")="","",IF(LEFT(IF($G$3="","",INDEX(인턴계획표[[정규화1]:[정규화6]],$Q364,$G$3)&amp;""),1)="⚠",IF($G$3="","",INDEX(인턴계획표[[정규화1]:[정규화6]],$Q364,$G$3)&amp;""),IFERROR(LEFT(IF($G$3="","",INDEX(인턴계획표[[정규화1]:[정규화6]],$Q364,$G$3)&amp;""),FIND(" ",IF($G$3="","",INDEX(인턴계획표[[정규화1]:[정규화6]],$Q364,$G$3)&amp;""))-1),IF($G$3="","",INDEX(인턴계획표[[정규화1]:[정규화6]],$Q364,$G$3)&amp;"")))))</f>
        <v/>
      </c>
      <c r="G364">
        <f>IF($Q364="","",IF(IF($G$3="","",INDEX(인턴계획표[[정규화1]:[정규화6]],$Q364,$G$3)&amp;"")="","",IF(LEFT(IF($G$3="","",INDEX(인턴계획표[[정규화1]:[정규화6]],$Q364,$G$3)&amp;""),1)="⚠","",IFERROR(MID(IF($G$3="","",INDEX(인턴계획표[[정규화1]:[정규화6]],$Q364,$G$3)&amp;""),FIND(" ",IF($G$3="","",INDEX(인턴계획표[[정규화1]:[정규화6]],$Q364,$G$3)&amp;""))+1,60),""))))</f>
        <v/>
      </c>
      <c r="H364">
        <f>IF($Q364="","",IF(IF($I$3="","",INDEX(인턴계획표[[정규화1]:[정규화6]],$Q364,$I$3)&amp;"")="","",IF(LEFT(IF($I$3="","",INDEX(인턴계획표[[정규화1]:[정규화6]],$Q364,$I$3)&amp;""),1)="⚠",IF($I$3="","",INDEX(인턴계획표[[정규화1]:[정규화6]],$Q364,$I$3)&amp;""),IFERROR(LEFT(IF($I$3="","",INDEX(인턴계획표[[정규화1]:[정규화6]],$Q364,$I$3)&amp;""),FIND(" ",IF($I$3="","",INDEX(인턴계획표[[정규화1]:[정규화6]],$Q364,$I$3)&amp;""))-1),IF($I$3="","",INDEX(인턴계획표[[정규화1]:[정규화6]],$Q364,$I$3)&amp;"")))))</f>
        <v/>
      </c>
      <c r="I364">
        <f>IF($Q364="","",IF(IF($I$3="","",INDEX(인턴계획표[[정규화1]:[정규화6]],$Q364,$I$3)&amp;"")="","",IF(LEFT(IF($I$3="","",INDEX(인턴계획표[[정규화1]:[정규화6]],$Q364,$I$3)&amp;""),1)="⚠","",IFERROR(MID(IF($I$3="","",INDEX(인턴계획표[[정규화1]:[정규화6]],$Q364,$I$3)&amp;""),FIND(" ",IF($I$3="","",INDEX(인턴계획표[[정규화1]:[정규화6]],$Q364,$I$3)&amp;""))+1,60),""))))</f>
        <v/>
      </c>
      <c r="J364">
        <f>IF($Q364="","",INDEX(인턴계획표[정규화1],$Q364))</f>
        <v/>
      </c>
      <c r="K364">
        <f>IF($Q364="","",INDEX(인턴계획표[정규화2],$Q364))</f>
        <v/>
      </c>
      <c r="L364">
        <f>IF($Q364="","",INDEX(인턴계획표[정규화3],$Q364))</f>
        <v/>
      </c>
      <c r="M364">
        <f>IF($Q364="","",INDEX(인턴계획표[정규화4],$Q364))</f>
        <v/>
      </c>
      <c r="N364">
        <f>IF($Q364="","",INDEX(인턴계획표[정규화5],$Q364))</f>
        <v/>
      </c>
      <c r="O364">
        <f>IF($Q364="","",INDEX(인턴계획표[정규화6],$Q364))</f>
        <v/>
      </c>
      <c r="P364">
        <f>IF($Q364="","",INDEX(인턴계획표[입력오류],$Q364))</f>
        <v/>
      </c>
      <c r="Q364" s="17">
        <f>IFERROR(MATCH(359,인턴계획표[표시순번],0),"")</f>
        <v/>
      </c>
    </row>
    <row r="365">
      <c r="A365">
        <f>IF($Q365="","",INDEX(인턴계획표[순번],$Q365)&amp;"")</f>
        <v/>
      </c>
      <c r="B365">
        <f>IF($Q365="","",TRIM(INDEX(인턴계획표[이름],$Q365)&amp;""))</f>
        <v/>
      </c>
      <c r="C365">
        <f>IF($Q365="","",INDEX(인턴계획표[사번],$Q365)&amp;"")</f>
        <v/>
      </c>
      <c r="D365">
        <f>IF($Q365="","",IF(COUNTIF(기본자료표[사번키],INDEX(인턴계획표[사번키],$Q365))&gt;0,"확인","미등록"))</f>
        <v/>
      </c>
      <c r="E365">
        <f>IF($Q365="","",IF(ISNUMBER(INDEX(인턴계획표[입사일(비고)],$Q365)),TEXT(INDEX(인턴계획표[입사일(비고)],$Q365),"yyyy-mm-dd"),INDEX(인턴계획표[입사일(비고)],$Q365)&amp;""))</f>
        <v/>
      </c>
      <c r="F365">
        <f>IF($Q365="","",IF(IF($G$3="","",INDEX(인턴계획표[[정규화1]:[정규화6]],$Q365,$G$3)&amp;"")="","",IF(LEFT(IF($G$3="","",INDEX(인턴계획표[[정규화1]:[정규화6]],$Q365,$G$3)&amp;""),1)="⚠",IF($G$3="","",INDEX(인턴계획표[[정규화1]:[정규화6]],$Q365,$G$3)&amp;""),IFERROR(LEFT(IF($G$3="","",INDEX(인턴계획표[[정규화1]:[정규화6]],$Q365,$G$3)&amp;""),FIND(" ",IF($G$3="","",INDEX(인턴계획표[[정규화1]:[정규화6]],$Q365,$G$3)&amp;""))-1),IF($G$3="","",INDEX(인턴계획표[[정규화1]:[정규화6]],$Q365,$G$3)&amp;"")))))</f>
        <v/>
      </c>
      <c r="G365">
        <f>IF($Q365="","",IF(IF($G$3="","",INDEX(인턴계획표[[정규화1]:[정규화6]],$Q365,$G$3)&amp;"")="","",IF(LEFT(IF($G$3="","",INDEX(인턴계획표[[정규화1]:[정규화6]],$Q365,$G$3)&amp;""),1)="⚠","",IFERROR(MID(IF($G$3="","",INDEX(인턴계획표[[정규화1]:[정규화6]],$Q365,$G$3)&amp;""),FIND(" ",IF($G$3="","",INDEX(인턴계획표[[정규화1]:[정규화6]],$Q365,$G$3)&amp;""))+1,60),""))))</f>
        <v/>
      </c>
      <c r="H365">
        <f>IF($Q365="","",IF(IF($I$3="","",INDEX(인턴계획표[[정규화1]:[정규화6]],$Q365,$I$3)&amp;"")="","",IF(LEFT(IF($I$3="","",INDEX(인턴계획표[[정규화1]:[정규화6]],$Q365,$I$3)&amp;""),1)="⚠",IF($I$3="","",INDEX(인턴계획표[[정규화1]:[정규화6]],$Q365,$I$3)&amp;""),IFERROR(LEFT(IF($I$3="","",INDEX(인턴계획표[[정규화1]:[정규화6]],$Q365,$I$3)&amp;""),FIND(" ",IF($I$3="","",INDEX(인턴계획표[[정규화1]:[정규화6]],$Q365,$I$3)&amp;""))-1),IF($I$3="","",INDEX(인턴계획표[[정규화1]:[정규화6]],$Q365,$I$3)&amp;"")))))</f>
        <v/>
      </c>
      <c r="I365">
        <f>IF($Q365="","",IF(IF($I$3="","",INDEX(인턴계획표[[정규화1]:[정규화6]],$Q365,$I$3)&amp;"")="","",IF(LEFT(IF($I$3="","",INDEX(인턴계획표[[정규화1]:[정규화6]],$Q365,$I$3)&amp;""),1)="⚠","",IFERROR(MID(IF($I$3="","",INDEX(인턴계획표[[정규화1]:[정규화6]],$Q365,$I$3)&amp;""),FIND(" ",IF($I$3="","",INDEX(인턴계획표[[정규화1]:[정규화6]],$Q365,$I$3)&amp;""))+1,60),""))))</f>
        <v/>
      </c>
      <c r="J365">
        <f>IF($Q365="","",INDEX(인턴계획표[정규화1],$Q365))</f>
        <v/>
      </c>
      <c r="K365">
        <f>IF($Q365="","",INDEX(인턴계획표[정규화2],$Q365))</f>
        <v/>
      </c>
      <c r="L365">
        <f>IF($Q365="","",INDEX(인턴계획표[정규화3],$Q365))</f>
        <v/>
      </c>
      <c r="M365">
        <f>IF($Q365="","",INDEX(인턴계획표[정규화4],$Q365))</f>
        <v/>
      </c>
      <c r="N365">
        <f>IF($Q365="","",INDEX(인턴계획표[정규화5],$Q365))</f>
        <v/>
      </c>
      <c r="O365">
        <f>IF($Q365="","",INDEX(인턴계획표[정규화6],$Q365))</f>
        <v/>
      </c>
      <c r="P365">
        <f>IF($Q365="","",INDEX(인턴계획표[입력오류],$Q365))</f>
        <v/>
      </c>
      <c r="Q365" s="17">
        <f>IFERROR(MATCH(360,인턴계획표[표시순번],0),"")</f>
        <v/>
      </c>
    </row>
    <row r="366">
      <c r="A366">
        <f>IF($Q366="","",INDEX(인턴계획표[순번],$Q366)&amp;"")</f>
        <v/>
      </c>
      <c r="B366">
        <f>IF($Q366="","",TRIM(INDEX(인턴계획표[이름],$Q366)&amp;""))</f>
        <v/>
      </c>
      <c r="C366">
        <f>IF($Q366="","",INDEX(인턴계획표[사번],$Q366)&amp;"")</f>
        <v/>
      </c>
      <c r="D366">
        <f>IF($Q366="","",IF(COUNTIF(기본자료표[사번키],INDEX(인턴계획표[사번키],$Q366))&gt;0,"확인","미등록"))</f>
        <v/>
      </c>
      <c r="E366">
        <f>IF($Q366="","",IF(ISNUMBER(INDEX(인턴계획표[입사일(비고)],$Q366)),TEXT(INDEX(인턴계획표[입사일(비고)],$Q366),"yyyy-mm-dd"),INDEX(인턴계획표[입사일(비고)],$Q366)&amp;""))</f>
        <v/>
      </c>
      <c r="F366">
        <f>IF($Q366="","",IF(IF($G$3="","",INDEX(인턴계획표[[정규화1]:[정규화6]],$Q366,$G$3)&amp;"")="","",IF(LEFT(IF($G$3="","",INDEX(인턴계획표[[정규화1]:[정규화6]],$Q366,$G$3)&amp;""),1)="⚠",IF($G$3="","",INDEX(인턴계획표[[정규화1]:[정규화6]],$Q366,$G$3)&amp;""),IFERROR(LEFT(IF($G$3="","",INDEX(인턴계획표[[정규화1]:[정규화6]],$Q366,$G$3)&amp;""),FIND(" ",IF($G$3="","",INDEX(인턴계획표[[정규화1]:[정규화6]],$Q366,$G$3)&amp;""))-1),IF($G$3="","",INDEX(인턴계획표[[정규화1]:[정규화6]],$Q366,$G$3)&amp;"")))))</f>
        <v/>
      </c>
      <c r="G366">
        <f>IF($Q366="","",IF(IF($G$3="","",INDEX(인턴계획표[[정규화1]:[정규화6]],$Q366,$G$3)&amp;"")="","",IF(LEFT(IF($G$3="","",INDEX(인턴계획표[[정규화1]:[정규화6]],$Q366,$G$3)&amp;""),1)="⚠","",IFERROR(MID(IF($G$3="","",INDEX(인턴계획표[[정규화1]:[정규화6]],$Q366,$G$3)&amp;""),FIND(" ",IF($G$3="","",INDEX(인턴계획표[[정규화1]:[정규화6]],$Q366,$G$3)&amp;""))+1,60),""))))</f>
        <v/>
      </c>
      <c r="H366">
        <f>IF($Q366="","",IF(IF($I$3="","",INDEX(인턴계획표[[정규화1]:[정규화6]],$Q366,$I$3)&amp;"")="","",IF(LEFT(IF($I$3="","",INDEX(인턴계획표[[정규화1]:[정규화6]],$Q366,$I$3)&amp;""),1)="⚠",IF($I$3="","",INDEX(인턴계획표[[정규화1]:[정규화6]],$Q366,$I$3)&amp;""),IFERROR(LEFT(IF($I$3="","",INDEX(인턴계획표[[정규화1]:[정규화6]],$Q366,$I$3)&amp;""),FIND(" ",IF($I$3="","",INDEX(인턴계획표[[정규화1]:[정규화6]],$Q366,$I$3)&amp;""))-1),IF($I$3="","",INDEX(인턴계획표[[정규화1]:[정규화6]],$Q366,$I$3)&amp;"")))))</f>
        <v/>
      </c>
      <c r="I366">
        <f>IF($Q366="","",IF(IF($I$3="","",INDEX(인턴계획표[[정규화1]:[정규화6]],$Q366,$I$3)&amp;"")="","",IF(LEFT(IF($I$3="","",INDEX(인턴계획표[[정규화1]:[정규화6]],$Q366,$I$3)&amp;""),1)="⚠","",IFERROR(MID(IF($I$3="","",INDEX(인턴계획표[[정규화1]:[정규화6]],$Q366,$I$3)&amp;""),FIND(" ",IF($I$3="","",INDEX(인턴계획표[[정규화1]:[정규화6]],$Q366,$I$3)&amp;""))+1,60),""))))</f>
        <v/>
      </c>
      <c r="J366">
        <f>IF($Q366="","",INDEX(인턴계획표[정규화1],$Q366))</f>
        <v/>
      </c>
      <c r="K366">
        <f>IF($Q366="","",INDEX(인턴계획표[정규화2],$Q366))</f>
        <v/>
      </c>
      <c r="L366">
        <f>IF($Q366="","",INDEX(인턴계획표[정규화3],$Q366))</f>
        <v/>
      </c>
      <c r="M366">
        <f>IF($Q366="","",INDEX(인턴계획표[정규화4],$Q366))</f>
        <v/>
      </c>
      <c r="N366">
        <f>IF($Q366="","",INDEX(인턴계획표[정규화5],$Q366))</f>
        <v/>
      </c>
      <c r="O366">
        <f>IF($Q366="","",INDEX(인턴계획표[정규화6],$Q366))</f>
        <v/>
      </c>
      <c r="P366">
        <f>IF($Q366="","",INDEX(인턴계획표[입력오류],$Q366))</f>
        <v/>
      </c>
      <c r="Q366" s="17">
        <f>IFERROR(MATCH(361,인턴계획표[표시순번],0),"")</f>
        <v/>
      </c>
    </row>
    <row r="367">
      <c r="A367">
        <f>IF($Q367="","",INDEX(인턴계획표[순번],$Q367)&amp;"")</f>
        <v/>
      </c>
      <c r="B367">
        <f>IF($Q367="","",TRIM(INDEX(인턴계획표[이름],$Q367)&amp;""))</f>
        <v/>
      </c>
      <c r="C367">
        <f>IF($Q367="","",INDEX(인턴계획표[사번],$Q367)&amp;"")</f>
        <v/>
      </c>
      <c r="D367">
        <f>IF($Q367="","",IF(COUNTIF(기본자료표[사번키],INDEX(인턴계획표[사번키],$Q367))&gt;0,"확인","미등록"))</f>
        <v/>
      </c>
      <c r="E367">
        <f>IF($Q367="","",IF(ISNUMBER(INDEX(인턴계획표[입사일(비고)],$Q367)),TEXT(INDEX(인턴계획표[입사일(비고)],$Q367),"yyyy-mm-dd"),INDEX(인턴계획표[입사일(비고)],$Q367)&amp;""))</f>
        <v/>
      </c>
      <c r="F367">
        <f>IF($Q367="","",IF(IF($G$3="","",INDEX(인턴계획표[[정규화1]:[정규화6]],$Q367,$G$3)&amp;"")="","",IF(LEFT(IF($G$3="","",INDEX(인턴계획표[[정규화1]:[정규화6]],$Q367,$G$3)&amp;""),1)="⚠",IF($G$3="","",INDEX(인턴계획표[[정규화1]:[정규화6]],$Q367,$G$3)&amp;""),IFERROR(LEFT(IF($G$3="","",INDEX(인턴계획표[[정규화1]:[정규화6]],$Q367,$G$3)&amp;""),FIND(" ",IF($G$3="","",INDEX(인턴계획표[[정규화1]:[정규화6]],$Q367,$G$3)&amp;""))-1),IF($G$3="","",INDEX(인턴계획표[[정규화1]:[정규화6]],$Q367,$G$3)&amp;"")))))</f>
        <v/>
      </c>
      <c r="G367">
        <f>IF($Q367="","",IF(IF($G$3="","",INDEX(인턴계획표[[정규화1]:[정규화6]],$Q367,$G$3)&amp;"")="","",IF(LEFT(IF($G$3="","",INDEX(인턴계획표[[정규화1]:[정규화6]],$Q367,$G$3)&amp;""),1)="⚠","",IFERROR(MID(IF($G$3="","",INDEX(인턴계획표[[정규화1]:[정규화6]],$Q367,$G$3)&amp;""),FIND(" ",IF($G$3="","",INDEX(인턴계획표[[정규화1]:[정규화6]],$Q367,$G$3)&amp;""))+1,60),""))))</f>
        <v/>
      </c>
      <c r="H367">
        <f>IF($Q367="","",IF(IF($I$3="","",INDEX(인턴계획표[[정규화1]:[정규화6]],$Q367,$I$3)&amp;"")="","",IF(LEFT(IF($I$3="","",INDEX(인턴계획표[[정규화1]:[정규화6]],$Q367,$I$3)&amp;""),1)="⚠",IF($I$3="","",INDEX(인턴계획표[[정규화1]:[정규화6]],$Q367,$I$3)&amp;""),IFERROR(LEFT(IF($I$3="","",INDEX(인턴계획표[[정규화1]:[정규화6]],$Q367,$I$3)&amp;""),FIND(" ",IF($I$3="","",INDEX(인턴계획표[[정규화1]:[정규화6]],$Q367,$I$3)&amp;""))-1),IF($I$3="","",INDEX(인턴계획표[[정규화1]:[정규화6]],$Q367,$I$3)&amp;"")))))</f>
        <v/>
      </c>
      <c r="I367">
        <f>IF($Q367="","",IF(IF($I$3="","",INDEX(인턴계획표[[정규화1]:[정규화6]],$Q367,$I$3)&amp;"")="","",IF(LEFT(IF($I$3="","",INDEX(인턴계획표[[정규화1]:[정규화6]],$Q367,$I$3)&amp;""),1)="⚠","",IFERROR(MID(IF($I$3="","",INDEX(인턴계획표[[정규화1]:[정규화6]],$Q367,$I$3)&amp;""),FIND(" ",IF($I$3="","",INDEX(인턴계획표[[정규화1]:[정규화6]],$Q367,$I$3)&amp;""))+1,60),""))))</f>
        <v/>
      </c>
      <c r="J367">
        <f>IF($Q367="","",INDEX(인턴계획표[정규화1],$Q367))</f>
        <v/>
      </c>
      <c r="K367">
        <f>IF($Q367="","",INDEX(인턴계획표[정규화2],$Q367))</f>
        <v/>
      </c>
      <c r="L367">
        <f>IF($Q367="","",INDEX(인턴계획표[정규화3],$Q367))</f>
        <v/>
      </c>
      <c r="M367">
        <f>IF($Q367="","",INDEX(인턴계획표[정규화4],$Q367))</f>
        <v/>
      </c>
      <c r="N367">
        <f>IF($Q367="","",INDEX(인턴계획표[정규화5],$Q367))</f>
        <v/>
      </c>
      <c r="O367">
        <f>IF($Q367="","",INDEX(인턴계획표[정규화6],$Q367))</f>
        <v/>
      </c>
      <c r="P367">
        <f>IF($Q367="","",INDEX(인턴계획표[입력오류],$Q367))</f>
        <v/>
      </c>
      <c r="Q367" s="17">
        <f>IFERROR(MATCH(362,인턴계획표[표시순번],0),"")</f>
        <v/>
      </c>
    </row>
    <row r="368">
      <c r="A368">
        <f>IF($Q368="","",INDEX(인턴계획표[순번],$Q368)&amp;"")</f>
        <v/>
      </c>
      <c r="B368">
        <f>IF($Q368="","",TRIM(INDEX(인턴계획표[이름],$Q368)&amp;""))</f>
        <v/>
      </c>
      <c r="C368">
        <f>IF($Q368="","",INDEX(인턴계획표[사번],$Q368)&amp;"")</f>
        <v/>
      </c>
      <c r="D368">
        <f>IF($Q368="","",IF(COUNTIF(기본자료표[사번키],INDEX(인턴계획표[사번키],$Q368))&gt;0,"확인","미등록"))</f>
        <v/>
      </c>
      <c r="E368">
        <f>IF($Q368="","",IF(ISNUMBER(INDEX(인턴계획표[입사일(비고)],$Q368)),TEXT(INDEX(인턴계획표[입사일(비고)],$Q368),"yyyy-mm-dd"),INDEX(인턴계획표[입사일(비고)],$Q368)&amp;""))</f>
        <v/>
      </c>
      <c r="F368">
        <f>IF($Q368="","",IF(IF($G$3="","",INDEX(인턴계획표[[정규화1]:[정규화6]],$Q368,$G$3)&amp;"")="","",IF(LEFT(IF($G$3="","",INDEX(인턴계획표[[정규화1]:[정규화6]],$Q368,$G$3)&amp;""),1)="⚠",IF($G$3="","",INDEX(인턴계획표[[정규화1]:[정규화6]],$Q368,$G$3)&amp;""),IFERROR(LEFT(IF($G$3="","",INDEX(인턴계획표[[정규화1]:[정규화6]],$Q368,$G$3)&amp;""),FIND(" ",IF($G$3="","",INDEX(인턴계획표[[정규화1]:[정규화6]],$Q368,$G$3)&amp;""))-1),IF($G$3="","",INDEX(인턴계획표[[정규화1]:[정규화6]],$Q368,$G$3)&amp;"")))))</f>
        <v/>
      </c>
      <c r="G368">
        <f>IF($Q368="","",IF(IF($G$3="","",INDEX(인턴계획표[[정규화1]:[정규화6]],$Q368,$G$3)&amp;"")="","",IF(LEFT(IF($G$3="","",INDEX(인턴계획표[[정규화1]:[정규화6]],$Q368,$G$3)&amp;""),1)="⚠","",IFERROR(MID(IF($G$3="","",INDEX(인턴계획표[[정규화1]:[정규화6]],$Q368,$G$3)&amp;""),FIND(" ",IF($G$3="","",INDEX(인턴계획표[[정규화1]:[정규화6]],$Q368,$G$3)&amp;""))+1,60),""))))</f>
        <v/>
      </c>
      <c r="H368">
        <f>IF($Q368="","",IF(IF($I$3="","",INDEX(인턴계획표[[정규화1]:[정규화6]],$Q368,$I$3)&amp;"")="","",IF(LEFT(IF($I$3="","",INDEX(인턴계획표[[정규화1]:[정규화6]],$Q368,$I$3)&amp;""),1)="⚠",IF($I$3="","",INDEX(인턴계획표[[정규화1]:[정규화6]],$Q368,$I$3)&amp;""),IFERROR(LEFT(IF($I$3="","",INDEX(인턴계획표[[정규화1]:[정규화6]],$Q368,$I$3)&amp;""),FIND(" ",IF($I$3="","",INDEX(인턴계획표[[정규화1]:[정규화6]],$Q368,$I$3)&amp;""))-1),IF($I$3="","",INDEX(인턴계획표[[정규화1]:[정규화6]],$Q368,$I$3)&amp;"")))))</f>
        <v/>
      </c>
      <c r="I368">
        <f>IF($Q368="","",IF(IF($I$3="","",INDEX(인턴계획표[[정규화1]:[정규화6]],$Q368,$I$3)&amp;"")="","",IF(LEFT(IF($I$3="","",INDEX(인턴계획표[[정규화1]:[정규화6]],$Q368,$I$3)&amp;""),1)="⚠","",IFERROR(MID(IF($I$3="","",INDEX(인턴계획표[[정규화1]:[정규화6]],$Q368,$I$3)&amp;""),FIND(" ",IF($I$3="","",INDEX(인턴계획표[[정규화1]:[정규화6]],$Q368,$I$3)&amp;""))+1,60),""))))</f>
        <v/>
      </c>
      <c r="J368">
        <f>IF($Q368="","",INDEX(인턴계획표[정규화1],$Q368))</f>
        <v/>
      </c>
      <c r="K368">
        <f>IF($Q368="","",INDEX(인턴계획표[정규화2],$Q368))</f>
        <v/>
      </c>
      <c r="L368">
        <f>IF($Q368="","",INDEX(인턴계획표[정규화3],$Q368))</f>
        <v/>
      </c>
      <c r="M368">
        <f>IF($Q368="","",INDEX(인턴계획표[정규화4],$Q368))</f>
        <v/>
      </c>
      <c r="N368">
        <f>IF($Q368="","",INDEX(인턴계획표[정규화5],$Q368))</f>
        <v/>
      </c>
      <c r="O368">
        <f>IF($Q368="","",INDEX(인턴계획표[정규화6],$Q368))</f>
        <v/>
      </c>
      <c r="P368">
        <f>IF($Q368="","",INDEX(인턴계획표[입력오류],$Q368))</f>
        <v/>
      </c>
      <c r="Q368" s="17">
        <f>IFERROR(MATCH(363,인턴계획표[표시순번],0),"")</f>
        <v/>
      </c>
    </row>
    <row r="369">
      <c r="A369">
        <f>IF($Q369="","",INDEX(인턴계획표[순번],$Q369)&amp;"")</f>
        <v/>
      </c>
      <c r="B369">
        <f>IF($Q369="","",TRIM(INDEX(인턴계획표[이름],$Q369)&amp;""))</f>
        <v/>
      </c>
      <c r="C369">
        <f>IF($Q369="","",INDEX(인턴계획표[사번],$Q369)&amp;"")</f>
        <v/>
      </c>
      <c r="D369">
        <f>IF($Q369="","",IF(COUNTIF(기본자료표[사번키],INDEX(인턴계획표[사번키],$Q369))&gt;0,"확인","미등록"))</f>
        <v/>
      </c>
      <c r="E369">
        <f>IF($Q369="","",IF(ISNUMBER(INDEX(인턴계획표[입사일(비고)],$Q369)),TEXT(INDEX(인턴계획표[입사일(비고)],$Q369),"yyyy-mm-dd"),INDEX(인턴계획표[입사일(비고)],$Q369)&amp;""))</f>
        <v/>
      </c>
      <c r="F369">
        <f>IF($Q369="","",IF(IF($G$3="","",INDEX(인턴계획표[[정규화1]:[정규화6]],$Q369,$G$3)&amp;"")="","",IF(LEFT(IF($G$3="","",INDEX(인턴계획표[[정규화1]:[정규화6]],$Q369,$G$3)&amp;""),1)="⚠",IF($G$3="","",INDEX(인턴계획표[[정규화1]:[정규화6]],$Q369,$G$3)&amp;""),IFERROR(LEFT(IF($G$3="","",INDEX(인턴계획표[[정규화1]:[정규화6]],$Q369,$G$3)&amp;""),FIND(" ",IF($G$3="","",INDEX(인턴계획표[[정규화1]:[정규화6]],$Q369,$G$3)&amp;""))-1),IF($G$3="","",INDEX(인턴계획표[[정규화1]:[정규화6]],$Q369,$G$3)&amp;"")))))</f>
        <v/>
      </c>
      <c r="G369">
        <f>IF($Q369="","",IF(IF($G$3="","",INDEX(인턴계획표[[정규화1]:[정규화6]],$Q369,$G$3)&amp;"")="","",IF(LEFT(IF($G$3="","",INDEX(인턴계획표[[정규화1]:[정규화6]],$Q369,$G$3)&amp;""),1)="⚠","",IFERROR(MID(IF($G$3="","",INDEX(인턴계획표[[정규화1]:[정규화6]],$Q369,$G$3)&amp;""),FIND(" ",IF($G$3="","",INDEX(인턴계획표[[정규화1]:[정규화6]],$Q369,$G$3)&amp;""))+1,60),""))))</f>
        <v/>
      </c>
      <c r="H369">
        <f>IF($Q369="","",IF(IF($I$3="","",INDEX(인턴계획표[[정규화1]:[정규화6]],$Q369,$I$3)&amp;"")="","",IF(LEFT(IF($I$3="","",INDEX(인턴계획표[[정규화1]:[정규화6]],$Q369,$I$3)&amp;""),1)="⚠",IF($I$3="","",INDEX(인턴계획표[[정규화1]:[정규화6]],$Q369,$I$3)&amp;""),IFERROR(LEFT(IF($I$3="","",INDEX(인턴계획표[[정규화1]:[정규화6]],$Q369,$I$3)&amp;""),FIND(" ",IF($I$3="","",INDEX(인턴계획표[[정규화1]:[정규화6]],$Q369,$I$3)&amp;""))-1),IF($I$3="","",INDEX(인턴계획표[[정규화1]:[정규화6]],$Q369,$I$3)&amp;"")))))</f>
        <v/>
      </c>
      <c r="I369">
        <f>IF($Q369="","",IF(IF($I$3="","",INDEX(인턴계획표[[정규화1]:[정규화6]],$Q369,$I$3)&amp;"")="","",IF(LEFT(IF($I$3="","",INDEX(인턴계획표[[정규화1]:[정규화6]],$Q369,$I$3)&amp;""),1)="⚠","",IFERROR(MID(IF($I$3="","",INDEX(인턴계획표[[정규화1]:[정규화6]],$Q369,$I$3)&amp;""),FIND(" ",IF($I$3="","",INDEX(인턴계획표[[정규화1]:[정규화6]],$Q369,$I$3)&amp;""))+1,60),""))))</f>
        <v/>
      </c>
      <c r="J369">
        <f>IF($Q369="","",INDEX(인턴계획표[정규화1],$Q369))</f>
        <v/>
      </c>
      <c r="K369">
        <f>IF($Q369="","",INDEX(인턴계획표[정규화2],$Q369))</f>
        <v/>
      </c>
      <c r="L369">
        <f>IF($Q369="","",INDEX(인턴계획표[정규화3],$Q369))</f>
        <v/>
      </c>
      <c r="M369">
        <f>IF($Q369="","",INDEX(인턴계획표[정규화4],$Q369))</f>
        <v/>
      </c>
      <c r="N369">
        <f>IF($Q369="","",INDEX(인턴계획표[정규화5],$Q369))</f>
        <v/>
      </c>
      <c r="O369">
        <f>IF($Q369="","",INDEX(인턴계획표[정규화6],$Q369))</f>
        <v/>
      </c>
      <c r="P369">
        <f>IF($Q369="","",INDEX(인턴계획표[입력오류],$Q369))</f>
        <v/>
      </c>
      <c r="Q369" s="17">
        <f>IFERROR(MATCH(364,인턴계획표[표시순번],0),"")</f>
        <v/>
      </c>
    </row>
    <row r="370">
      <c r="A370">
        <f>IF($Q370="","",INDEX(인턴계획표[순번],$Q370)&amp;"")</f>
        <v/>
      </c>
      <c r="B370">
        <f>IF($Q370="","",TRIM(INDEX(인턴계획표[이름],$Q370)&amp;""))</f>
        <v/>
      </c>
      <c r="C370">
        <f>IF($Q370="","",INDEX(인턴계획표[사번],$Q370)&amp;"")</f>
        <v/>
      </c>
      <c r="D370">
        <f>IF($Q370="","",IF(COUNTIF(기본자료표[사번키],INDEX(인턴계획표[사번키],$Q370))&gt;0,"확인","미등록"))</f>
        <v/>
      </c>
      <c r="E370">
        <f>IF($Q370="","",IF(ISNUMBER(INDEX(인턴계획표[입사일(비고)],$Q370)),TEXT(INDEX(인턴계획표[입사일(비고)],$Q370),"yyyy-mm-dd"),INDEX(인턴계획표[입사일(비고)],$Q370)&amp;""))</f>
        <v/>
      </c>
      <c r="F370">
        <f>IF($Q370="","",IF(IF($G$3="","",INDEX(인턴계획표[[정규화1]:[정규화6]],$Q370,$G$3)&amp;"")="","",IF(LEFT(IF($G$3="","",INDEX(인턴계획표[[정규화1]:[정규화6]],$Q370,$G$3)&amp;""),1)="⚠",IF($G$3="","",INDEX(인턴계획표[[정규화1]:[정규화6]],$Q370,$G$3)&amp;""),IFERROR(LEFT(IF($G$3="","",INDEX(인턴계획표[[정규화1]:[정규화6]],$Q370,$G$3)&amp;""),FIND(" ",IF($G$3="","",INDEX(인턴계획표[[정규화1]:[정규화6]],$Q370,$G$3)&amp;""))-1),IF($G$3="","",INDEX(인턴계획표[[정규화1]:[정규화6]],$Q370,$G$3)&amp;"")))))</f>
        <v/>
      </c>
      <c r="G370">
        <f>IF($Q370="","",IF(IF($G$3="","",INDEX(인턴계획표[[정규화1]:[정규화6]],$Q370,$G$3)&amp;"")="","",IF(LEFT(IF($G$3="","",INDEX(인턴계획표[[정규화1]:[정규화6]],$Q370,$G$3)&amp;""),1)="⚠","",IFERROR(MID(IF($G$3="","",INDEX(인턴계획표[[정규화1]:[정규화6]],$Q370,$G$3)&amp;""),FIND(" ",IF($G$3="","",INDEX(인턴계획표[[정규화1]:[정규화6]],$Q370,$G$3)&amp;""))+1,60),""))))</f>
        <v/>
      </c>
      <c r="H370">
        <f>IF($Q370="","",IF(IF($I$3="","",INDEX(인턴계획표[[정규화1]:[정규화6]],$Q370,$I$3)&amp;"")="","",IF(LEFT(IF($I$3="","",INDEX(인턴계획표[[정규화1]:[정규화6]],$Q370,$I$3)&amp;""),1)="⚠",IF($I$3="","",INDEX(인턴계획표[[정규화1]:[정규화6]],$Q370,$I$3)&amp;""),IFERROR(LEFT(IF($I$3="","",INDEX(인턴계획표[[정규화1]:[정규화6]],$Q370,$I$3)&amp;""),FIND(" ",IF($I$3="","",INDEX(인턴계획표[[정규화1]:[정규화6]],$Q370,$I$3)&amp;""))-1),IF($I$3="","",INDEX(인턴계획표[[정규화1]:[정규화6]],$Q370,$I$3)&amp;"")))))</f>
        <v/>
      </c>
      <c r="I370">
        <f>IF($Q370="","",IF(IF($I$3="","",INDEX(인턴계획표[[정규화1]:[정규화6]],$Q370,$I$3)&amp;"")="","",IF(LEFT(IF($I$3="","",INDEX(인턴계획표[[정규화1]:[정규화6]],$Q370,$I$3)&amp;""),1)="⚠","",IFERROR(MID(IF($I$3="","",INDEX(인턴계획표[[정규화1]:[정규화6]],$Q370,$I$3)&amp;""),FIND(" ",IF($I$3="","",INDEX(인턴계획표[[정규화1]:[정규화6]],$Q370,$I$3)&amp;""))+1,60),""))))</f>
        <v/>
      </c>
      <c r="J370">
        <f>IF($Q370="","",INDEX(인턴계획표[정규화1],$Q370))</f>
        <v/>
      </c>
      <c r="K370">
        <f>IF($Q370="","",INDEX(인턴계획표[정규화2],$Q370))</f>
        <v/>
      </c>
      <c r="L370">
        <f>IF($Q370="","",INDEX(인턴계획표[정규화3],$Q370))</f>
        <v/>
      </c>
      <c r="M370">
        <f>IF($Q370="","",INDEX(인턴계획표[정규화4],$Q370))</f>
        <v/>
      </c>
      <c r="N370">
        <f>IF($Q370="","",INDEX(인턴계획표[정규화5],$Q370))</f>
        <v/>
      </c>
      <c r="O370">
        <f>IF($Q370="","",INDEX(인턴계획표[정규화6],$Q370))</f>
        <v/>
      </c>
      <c r="P370">
        <f>IF($Q370="","",INDEX(인턴계획표[입력오류],$Q370))</f>
        <v/>
      </c>
      <c r="Q370" s="17">
        <f>IFERROR(MATCH(365,인턴계획표[표시순번],0),"")</f>
        <v/>
      </c>
    </row>
    <row r="371">
      <c r="A371">
        <f>IF($Q371="","",INDEX(인턴계획표[순번],$Q371)&amp;"")</f>
        <v/>
      </c>
      <c r="B371">
        <f>IF($Q371="","",TRIM(INDEX(인턴계획표[이름],$Q371)&amp;""))</f>
        <v/>
      </c>
      <c r="C371">
        <f>IF($Q371="","",INDEX(인턴계획표[사번],$Q371)&amp;"")</f>
        <v/>
      </c>
      <c r="D371">
        <f>IF($Q371="","",IF(COUNTIF(기본자료표[사번키],INDEX(인턴계획표[사번키],$Q371))&gt;0,"확인","미등록"))</f>
        <v/>
      </c>
      <c r="E371">
        <f>IF($Q371="","",IF(ISNUMBER(INDEX(인턴계획표[입사일(비고)],$Q371)),TEXT(INDEX(인턴계획표[입사일(비고)],$Q371),"yyyy-mm-dd"),INDEX(인턴계획표[입사일(비고)],$Q371)&amp;""))</f>
        <v/>
      </c>
      <c r="F371">
        <f>IF($Q371="","",IF(IF($G$3="","",INDEX(인턴계획표[[정규화1]:[정규화6]],$Q371,$G$3)&amp;"")="","",IF(LEFT(IF($G$3="","",INDEX(인턴계획표[[정규화1]:[정규화6]],$Q371,$G$3)&amp;""),1)="⚠",IF($G$3="","",INDEX(인턴계획표[[정규화1]:[정규화6]],$Q371,$G$3)&amp;""),IFERROR(LEFT(IF($G$3="","",INDEX(인턴계획표[[정규화1]:[정규화6]],$Q371,$G$3)&amp;""),FIND(" ",IF($G$3="","",INDEX(인턴계획표[[정규화1]:[정규화6]],$Q371,$G$3)&amp;""))-1),IF($G$3="","",INDEX(인턴계획표[[정규화1]:[정규화6]],$Q371,$G$3)&amp;"")))))</f>
        <v/>
      </c>
      <c r="G371">
        <f>IF($Q371="","",IF(IF($G$3="","",INDEX(인턴계획표[[정규화1]:[정규화6]],$Q371,$G$3)&amp;"")="","",IF(LEFT(IF($G$3="","",INDEX(인턴계획표[[정규화1]:[정규화6]],$Q371,$G$3)&amp;""),1)="⚠","",IFERROR(MID(IF($G$3="","",INDEX(인턴계획표[[정규화1]:[정규화6]],$Q371,$G$3)&amp;""),FIND(" ",IF($G$3="","",INDEX(인턴계획표[[정규화1]:[정규화6]],$Q371,$G$3)&amp;""))+1,60),""))))</f>
        <v/>
      </c>
      <c r="H371">
        <f>IF($Q371="","",IF(IF($I$3="","",INDEX(인턴계획표[[정규화1]:[정규화6]],$Q371,$I$3)&amp;"")="","",IF(LEFT(IF($I$3="","",INDEX(인턴계획표[[정규화1]:[정규화6]],$Q371,$I$3)&amp;""),1)="⚠",IF($I$3="","",INDEX(인턴계획표[[정규화1]:[정규화6]],$Q371,$I$3)&amp;""),IFERROR(LEFT(IF($I$3="","",INDEX(인턴계획표[[정규화1]:[정규화6]],$Q371,$I$3)&amp;""),FIND(" ",IF($I$3="","",INDEX(인턴계획표[[정규화1]:[정규화6]],$Q371,$I$3)&amp;""))-1),IF($I$3="","",INDEX(인턴계획표[[정규화1]:[정규화6]],$Q371,$I$3)&amp;"")))))</f>
        <v/>
      </c>
      <c r="I371">
        <f>IF($Q371="","",IF(IF($I$3="","",INDEX(인턴계획표[[정규화1]:[정규화6]],$Q371,$I$3)&amp;"")="","",IF(LEFT(IF($I$3="","",INDEX(인턴계획표[[정규화1]:[정규화6]],$Q371,$I$3)&amp;""),1)="⚠","",IFERROR(MID(IF($I$3="","",INDEX(인턴계획표[[정규화1]:[정규화6]],$Q371,$I$3)&amp;""),FIND(" ",IF($I$3="","",INDEX(인턴계획표[[정규화1]:[정규화6]],$Q371,$I$3)&amp;""))+1,60),""))))</f>
        <v/>
      </c>
      <c r="J371">
        <f>IF($Q371="","",INDEX(인턴계획표[정규화1],$Q371))</f>
        <v/>
      </c>
      <c r="K371">
        <f>IF($Q371="","",INDEX(인턴계획표[정규화2],$Q371))</f>
        <v/>
      </c>
      <c r="L371">
        <f>IF($Q371="","",INDEX(인턴계획표[정규화3],$Q371))</f>
        <v/>
      </c>
      <c r="M371">
        <f>IF($Q371="","",INDEX(인턴계획표[정규화4],$Q371))</f>
        <v/>
      </c>
      <c r="N371">
        <f>IF($Q371="","",INDEX(인턴계획표[정규화5],$Q371))</f>
        <v/>
      </c>
      <c r="O371">
        <f>IF($Q371="","",INDEX(인턴계획표[정규화6],$Q371))</f>
        <v/>
      </c>
      <c r="P371">
        <f>IF($Q371="","",INDEX(인턴계획표[입력오류],$Q371))</f>
        <v/>
      </c>
      <c r="Q371" s="17">
        <f>IFERROR(MATCH(366,인턴계획표[표시순번],0),"")</f>
        <v/>
      </c>
    </row>
    <row r="372">
      <c r="A372">
        <f>IF($Q372="","",INDEX(인턴계획표[순번],$Q372)&amp;"")</f>
        <v/>
      </c>
      <c r="B372">
        <f>IF($Q372="","",TRIM(INDEX(인턴계획표[이름],$Q372)&amp;""))</f>
        <v/>
      </c>
      <c r="C372">
        <f>IF($Q372="","",INDEX(인턴계획표[사번],$Q372)&amp;"")</f>
        <v/>
      </c>
      <c r="D372">
        <f>IF($Q372="","",IF(COUNTIF(기본자료표[사번키],INDEX(인턴계획표[사번키],$Q372))&gt;0,"확인","미등록"))</f>
        <v/>
      </c>
      <c r="E372">
        <f>IF($Q372="","",IF(ISNUMBER(INDEX(인턴계획표[입사일(비고)],$Q372)),TEXT(INDEX(인턴계획표[입사일(비고)],$Q372),"yyyy-mm-dd"),INDEX(인턴계획표[입사일(비고)],$Q372)&amp;""))</f>
        <v/>
      </c>
      <c r="F372">
        <f>IF($Q372="","",IF(IF($G$3="","",INDEX(인턴계획표[[정규화1]:[정규화6]],$Q372,$G$3)&amp;"")="","",IF(LEFT(IF($G$3="","",INDEX(인턴계획표[[정규화1]:[정규화6]],$Q372,$G$3)&amp;""),1)="⚠",IF($G$3="","",INDEX(인턴계획표[[정규화1]:[정규화6]],$Q372,$G$3)&amp;""),IFERROR(LEFT(IF($G$3="","",INDEX(인턴계획표[[정규화1]:[정규화6]],$Q372,$G$3)&amp;""),FIND(" ",IF($G$3="","",INDEX(인턴계획표[[정규화1]:[정규화6]],$Q372,$G$3)&amp;""))-1),IF($G$3="","",INDEX(인턴계획표[[정규화1]:[정규화6]],$Q372,$G$3)&amp;"")))))</f>
        <v/>
      </c>
      <c r="G372">
        <f>IF($Q372="","",IF(IF($G$3="","",INDEX(인턴계획표[[정규화1]:[정규화6]],$Q372,$G$3)&amp;"")="","",IF(LEFT(IF($G$3="","",INDEX(인턴계획표[[정규화1]:[정규화6]],$Q372,$G$3)&amp;""),1)="⚠","",IFERROR(MID(IF($G$3="","",INDEX(인턴계획표[[정규화1]:[정규화6]],$Q372,$G$3)&amp;""),FIND(" ",IF($G$3="","",INDEX(인턴계획표[[정규화1]:[정규화6]],$Q372,$G$3)&amp;""))+1,60),""))))</f>
        <v/>
      </c>
      <c r="H372">
        <f>IF($Q372="","",IF(IF($I$3="","",INDEX(인턴계획표[[정규화1]:[정규화6]],$Q372,$I$3)&amp;"")="","",IF(LEFT(IF($I$3="","",INDEX(인턴계획표[[정규화1]:[정규화6]],$Q372,$I$3)&amp;""),1)="⚠",IF($I$3="","",INDEX(인턴계획표[[정규화1]:[정규화6]],$Q372,$I$3)&amp;""),IFERROR(LEFT(IF($I$3="","",INDEX(인턴계획표[[정규화1]:[정규화6]],$Q372,$I$3)&amp;""),FIND(" ",IF($I$3="","",INDEX(인턴계획표[[정규화1]:[정규화6]],$Q372,$I$3)&amp;""))-1),IF($I$3="","",INDEX(인턴계획표[[정규화1]:[정규화6]],$Q372,$I$3)&amp;"")))))</f>
        <v/>
      </c>
      <c r="I372">
        <f>IF($Q372="","",IF(IF($I$3="","",INDEX(인턴계획표[[정규화1]:[정규화6]],$Q372,$I$3)&amp;"")="","",IF(LEFT(IF($I$3="","",INDEX(인턴계획표[[정규화1]:[정규화6]],$Q372,$I$3)&amp;""),1)="⚠","",IFERROR(MID(IF($I$3="","",INDEX(인턴계획표[[정규화1]:[정규화6]],$Q372,$I$3)&amp;""),FIND(" ",IF($I$3="","",INDEX(인턴계획표[[정규화1]:[정규화6]],$Q372,$I$3)&amp;""))+1,60),""))))</f>
        <v/>
      </c>
      <c r="J372">
        <f>IF($Q372="","",INDEX(인턴계획표[정규화1],$Q372))</f>
        <v/>
      </c>
      <c r="K372">
        <f>IF($Q372="","",INDEX(인턴계획표[정규화2],$Q372))</f>
        <v/>
      </c>
      <c r="L372">
        <f>IF($Q372="","",INDEX(인턴계획표[정규화3],$Q372))</f>
        <v/>
      </c>
      <c r="M372">
        <f>IF($Q372="","",INDEX(인턴계획표[정규화4],$Q372))</f>
        <v/>
      </c>
      <c r="N372">
        <f>IF($Q372="","",INDEX(인턴계획표[정규화5],$Q372))</f>
        <v/>
      </c>
      <c r="O372">
        <f>IF($Q372="","",INDEX(인턴계획표[정규화6],$Q372))</f>
        <v/>
      </c>
      <c r="P372">
        <f>IF($Q372="","",INDEX(인턴계획표[입력오류],$Q372))</f>
        <v/>
      </c>
      <c r="Q372" s="17">
        <f>IFERROR(MATCH(367,인턴계획표[표시순번],0),"")</f>
        <v/>
      </c>
    </row>
    <row r="373">
      <c r="A373">
        <f>IF($Q373="","",INDEX(인턴계획표[순번],$Q373)&amp;"")</f>
        <v/>
      </c>
      <c r="B373">
        <f>IF($Q373="","",TRIM(INDEX(인턴계획표[이름],$Q373)&amp;""))</f>
        <v/>
      </c>
      <c r="C373">
        <f>IF($Q373="","",INDEX(인턴계획표[사번],$Q373)&amp;"")</f>
        <v/>
      </c>
      <c r="D373">
        <f>IF($Q373="","",IF(COUNTIF(기본자료표[사번키],INDEX(인턴계획표[사번키],$Q373))&gt;0,"확인","미등록"))</f>
        <v/>
      </c>
      <c r="E373">
        <f>IF($Q373="","",IF(ISNUMBER(INDEX(인턴계획표[입사일(비고)],$Q373)),TEXT(INDEX(인턴계획표[입사일(비고)],$Q373),"yyyy-mm-dd"),INDEX(인턴계획표[입사일(비고)],$Q373)&amp;""))</f>
        <v/>
      </c>
      <c r="F373">
        <f>IF($Q373="","",IF(IF($G$3="","",INDEX(인턴계획표[[정규화1]:[정규화6]],$Q373,$G$3)&amp;"")="","",IF(LEFT(IF($G$3="","",INDEX(인턴계획표[[정규화1]:[정규화6]],$Q373,$G$3)&amp;""),1)="⚠",IF($G$3="","",INDEX(인턴계획표[[정규화1]:[정규화6]],$Q373,$G$3)&amp;""),IFERROR(LEFT(IF($G$3="","",INDEX(인턴계획표[[정규화1]:[정규화6]],$Q373,$G$3)&amp;""),FIND(" ",IF($G$3="","",INDEX(인턴계획표[[정규화1]:[정규화6]],$Q373,$G$3)&amp;""))-1),IF($G$3="","",INDEX(인턴계획표[[정규화1]:[정규화6]],$Q373,$G$3)&amp;"")))))</f>
        <v/>
      </c>
      <c r="G373">
        <f>IF($Q373="","",IF(IF($G$3="","",INDEX(인턴계획표[[정규화1]:[정규화6]],$Q373,$G$3)&amp;"")="","",IF(LEFT(IF($G$3="","",INDEX(인턴계획표[[정규화1]:[정규화6]],$Q373,$G$3)&amp;""),1)="⚠","",IFERROR(MID(IF($G$3="","",INDEX(인턴계획표[[정규화1]:[정규화6]],$Q373,$G$3)&amp;""),FIND(" ",IF($G$3="","",INDEX(인턴계획표[[정규화1]:[정규화6]],$Q373,$G$3)&amp;""))+1,60),""))))</f>
        <v/>
      </c>
      <c r="H373">
        <f>IF($Q373="","",IF(IF($I$3="","",INDEX(인턴계획표[[정규화1]:[정규화6]],$Q373,$I$3)&amp;"")="","",IF(LEFT(IF($I$3="","",INDEX(인턴계획표[[정규화1]:[정규화6]],$Q373,$I$3)&amp;""),1)="⚠",IF($I$3="","",INDEX(인턴계획표[[정규화1]:[정규화6]],$Q373,$I$3)&amp;""),IFERROR(LEFT(IF($I$3="","",INDEX(인턴계획표[[정규화1]:[정규화6]],$Q373,$I$3)&amp;""),FIND(" ",IF($I$3="","",INDEX(인턴계획표[[정규화1]:[정규화6]],$Q373,$I$3)&amp;""))-1),IF($I$3="","",INDEX(인턴계획표[[정규화1]:[정규화6]],$Q373,$I$3)&amp;"")))))</f>
        <v/>
      </c>
      <c r="I373">
        <f>IF($Q373="","",IF(IF($I$3="","",INDEX(인턴계획표[[정규화1]:[정규화6]],$Q373,$I$3)&amp;"")="","",IF(LEFT(IF($I$3="","",INDEX(인턴계획표[[정규화1]:[정규화6]],$Q373,$I$3)&amp;""),1)="⚠","",IFERROR(MID(IF($I$3="","",INDEX(인턴계획표[[정규화1]:[정규화6]],$Q373,$I$3)&amp;""),FIND(" ",IF($I$3="","",INDEX(인턴계획표[[정규화1]:[정규화6]],$Q373,$I$3)&amp;""))+1,60),""))))</f>
        <v/>
      </c>
      <c r="J373">
        <f>IF($Q373="","",INDEX(인턴계획표[정규화1],$Q373))</f>
        <v/>
      </c>
      <c r="K373">
        <f>IF($Q373="","",INDEX(인턴계획표[정규화2],$Q373))</f>
        <v/>
      </c>
      <c r="L373">
        <f>IF($Q373="","",INDEX(인턴계획표[정규화3],$Q373))</f>
        <v/>
      </c>
      <c r="M373">
        <f>IF($Q373="","",INDEX(인턴계획표[정규화4],$Q373))</f>
        <v/>
      </c>
      <c r="N373">
        <f>IF($Q373="","",INDEX(인턴계획표[정규화5],$Q373))</f>
        <v/>
      </c>
      <c r="O373">
        <f>IF($Q373="","",INDEX(인턴계획표[정규화6],$Q373))</f>
        <v/>
      </c>
      <c r="P373">
        <f>IF($Q373="","",INDEX(인턴계획표[입력오류],$Q373))</f>
        <v/>
      </c>
      <c r="Q373" s="17">
        <f>IFERROR(MATCH(368,인턴계획표[표시순번],0),"")</f>
        <v/>
      </c>
    </row>
    <row r="374">
      <c r="A374">
        <f>IF($Q374="","",INDEX(인턴계획표[순번],$Q374)&amp;"")</f>
        <v/>
      </c>
      <c r="B374">
        <f>IF($Q374="","",TRIM(INDEX(인턴계획표[이름],$Q374)&amp;""))</f>
        <v/>
      </c>
      <c r="C374">
        <f>IF($Q374="","",INDEX(인턴계획표[사번],$Q374)&amp;"")</f>
        <v/>
      </c>
      <c r="D374">
        <f>IF($Q374="","",IF(COUNTIF(기본자료표[사번키],INDEX(인턴계획표[사번키],$Q374))&gt;0,"확인","미등록"))</f>
        <v/>
      </c>
      <c r="E374">
        <f>IF($Q374="","",IF(ISNUMBER(INDEX(인턴계획표[입사일(비고)],$Q374)),TEXT(INDEX(인턴계획표[입사일(비고)],$Q374),"yyyy-mm-dd"),INDEX(인턴계획표[입사일(비고)],$Q374)&amp;""))</f>
        <v/>
      </c>
      <c r="F374">
        <f>IF($Q374="","",IF(IF($G$3="","",INDEX(인턴계획표[[정규화1]:[정규화6]],$Q374,$G$3)&amp;"")="","",IF(LEFT(IF($G$3="","",INDEX(인턴계획표[[정규화1]:[정규화6]],$Q374,$G$3)&amp;""),1)="⚠",IF($G$3="","",INDEX(인턴계획표[[정규화1]:[정규화6]],$Q374,$G$3)&amp;""),IFERROR(LEFT(IF($G$3="","",INDEX(인턴계획표[[정규화1]:[정규화6]],$Q374,$G$3)&amp;""),FIND(" ",IF($G$3="","",INDEX(인턴계획표[[정규화1]:[정규화6]],$Q374,$G$3)&amp;""))-1),IF($G$3="","",INDEX(인턴계획표[[정규화1]:[정규화6]],$Q374,$G$3)&amp;"")))))</f>
        <v/>
      </c>
      <c r="G374">
        <f>IF($Q374="","",IF(IF($G$3="","",INDEX(인턴계획표[[정규화1]:[정규화6]],$Q374,$G$3)&amp;"")="","",IF(LEFT(IF($G$3="","",INDEX(인턴계획표[[정규화1]:[정규화6]],$Q374,$G$3)&amp;""),1)="⚠","",IFERROR(MID(IF($G$3="","",INDEX(인턴계획표[[정규화1]:[정규화6]],$Q374,$G$3)&amp;""),FIND(" ",IF($G$3="","",INDEX(인턴계획표[[정규화1]:[정규화6]],$Q374,$G$3)&amp;""))+1,60),""))))</f>
        <v/>
      </c>
      <c r="H374">
        <f>IF($Q374="","",IF(IF($I$3="","",INDEX(인턴계획표[[정규화1]:[정규화6]],$Q374,$I$3)&amp;"")="","",IF(LEFT(IF($I$3="","",INDEX(인턴계획표[[정규화1]:[정규화6]],$Q374,$I$3)&amp;""),1)="⚠",IF($I$3="","",INDEX(인턴계획표[[정규화1]:[정규화6]],$Q374,$I$3)&amp;""),IFERROR(LEFT(IF($I$3="","",INDEX(인턴계획표[[정규화1]:[정규화6]],$Q374,$I$3)&amp;""),FIND(" ",IF($I$3="","",INDEX(인턴계획표[[정규화1]:[정규화6]],$Q374,$I$3)&amp;""))-1),IF($I$3="","",INDEX(인턴계획표[[정규화1]:[정규화6]],$Q374,$I$3)&amp;"")))))</f>
        <v/>
      </c>
      <c r="I374">
        <f>IF($Q374="","",IF(IF($I$3="","",INDEX(인턴계획표[[정규화1]:[정규화6]],$Q374,$I$3)&amp;"")="","",IF(LEFT(IF($I$3="","",INDEX(인턴계획표[[정규화1]:[정규화6]],$Q374,$I$3)&amp;""),1)="⚠","",IFERROR(MID(IF($I$3="","",INDEX(인턴계획표[[정규화1]:[정규화6]],$Q374,$I$3)&amp;""),FIND(" ",IF($I$3="","",INDEX(인턴계획표[[정규화1]:[정규화6]],$Q374,$I$3)&amp;""))+1,60),""))))</f>
        <v/>
      </c>
      <c r="J374">
        <f>IF($Q374="","",INDEX(인턴계획표[정규화1],$Q374))</f>
        <v/>
      </c>
      <c r="K374">
        <f>IF($Q374="","",INDEX(인턴계획표[정규화2],$Q374))</f>
        <v/>
      </c>
      <c r="L374">
        <f>IF($Q374="","",INDEX(인턴계획표[정규화3],$Q374))</f>
        <v/>
      </c>
      <c r="M374">
        <f>IF($Q374="","",INDEX(인턴계획표[정규화4],$Q374))</f>
        <v/>
      </c>
      <c r="N374">
        <f>IF($Q374="","",INDEX(인턴계획표[정규화5],$Q374))</f>
        <v/>
      </c>
      <c r="O374">
        <f>IF($Q374="","",INDEX(인턴계획표[정규화6],$Q374))</f>
        <v/>
      </c>
      <c r="P374">
        <f>IF($Q374="","",INDEX(인턴계획표[입력오류],$Q374))</f>
        <v/>
      </c>
      <c r="Q374" s="17">
        <f>IFERROR(MATCH(369,인턴계획표[표시순번],0),"")</f>
        <v/>
      </c>
    </row>
    <row r="375">
      <c r="A375">
        <f>IF($Q375="","",INDEX(인턴계획표[순번],$Q375)&amp;"")</f>
        <v/>
      </c>
      <c r="B375">
        <f>IF($Q375="","",TRIM(INDEX(인턴계획표[이름],$Q375)&amp;""))</f>
        <v/>
      </c>
      <c r="C375">
        <f>IF($Q375="","",INDEX(인턴계획표[사번],$Q375)&amp;"")</f>
        <v/>
      </c>
      <c r="D375">
        <f>IF($Q375="","",IF(COUNTIF(기본자료표[사번키],INDEX(인턴계획표[사번키],$Q375))&gt;0,"확인","미등록"))</f>
        <v/>
      </c>
      <c r="E375">
        <f>IF($Q375="","",IF(ISNUMBER(INDEX(인턴계획표[입사일(비고)],$Q375)),TEXT(INDEX(인턴계획표[입사일(비고)],$Q375),"yyyy-mm-dd"),INDEX(인턴계획표[입사일(비고)],$Q375)&amp;""))</f>
        <v/>
      </c>
      <c r="F375">
        <f>IF($Q375="","",IF(IF($G$3="","",INDEX(인턴계획표[[정규화1]:[정규화6]],$Q375,$G$3)&amp;"")="","",IF(LEFT(IF($G$3="","",INDEX(인턴계획표[[정규화1]:[정규화6]],$Q375,$G$3)&amp;""),1)="⚠",IF($G$3="","",INDEX(인턴계획표[[정규화1]:[정규화6]],$Q375,$G$3)&amp;""),IFERROR(LEFT(IF($G$3="","",INDEX(인턴계획표[[정규화1]:[정규화6]],$Q375,$G$3)&amp;""),FIND(" ",IF($G$3="","",INDEX(인턴계획표[[정규화1]:[정규화6]],$Q375,$G$3)&amp;""))-1),IF($G$3="","",INDEX(인턴계획표[[정규화1]:[정규화6]],$Q375,$G$3)&amp;"")))))</f>
        <v/>
      </c>
      <c r="G375">
        <f>IF($Q375="","",IF(IF($G$3="","",INDEX(인턴계획표[[정규화1]:[정규화6]],$Q375,$G$3)&amp;"")="","",IF(LEFT(IF($G$3="","",INDEX(인턴계획표[[정규화1]:[정규화6]],$Q375,$G$3)&amp;""),1)="⚠","",IFERROR(MID(IF($G$3="","",INDEX(인턴계획표[[정규화1]:[정규화6]],$Q375,$G$3)&amp;""),FIND(" ",IF($G$3="","",INDEX(인턴계획표[[정규화1]:[정규화6]],$Q375,$G$3)&amp;""))+1,60),""))))</f>
        <v/>
      </c>
      <c r="H375">
        <f>IF($Q375="","",IF(IF($I$3="","",INDEX(인턴계획표[[정규화1]:[정규화6]],$Q375,$I$3)&amp;"")="","",IF(LEFT(IF($I$3="","",INDEX(인턴계획표[[정규화1]:[정규화6]],$Q375,$I$3)&amp;""),1)="⚠",IF($I$3="","",INDEX(인턴계획표[[정규화1]:[정규화6]],$Q375,$I$3)&amp;""),IFERROR(LEFT(IF($I$3="","",INDEX(인턴계획표[[정규화1]:[정규화6]],$Q375,$I$3)&amp;""),FIND(" ",IF($I$3="","",INDEX(인턴계획표[[정규화1]:[정규화6]],$Q375,$I$3)&amp;""))-1),IF($I$3="","",INDEX(인턴계획표[[정규화1]:[정규화6]],$Q375,$I$3)&amp;"")))))</f>
        <v/>
      </c>
      <c r="I375">
        <f>IF($Q375="","",IF(IF($I$3="","",INDEX(인턴계획표[[정규화1]:[정규화6]],$Q375,$I$3)&amp;"")="","",IF(LEFT(IF($I$3="","",INDEX(인턴계획표[[정규화1]:[정규화6]],$Q375,$I$3)&amp;""),1)="⚠","",IFERROR(MID(IF($I$3="","",INDEX(인턴계획표[[정규화1]:[정규화6]],$Q375,$I$3)&amp;""),FIND(" ",IF($I$3="","",INDEX(인턴계획표[[정규화1]:[정규화6]],$Q375,$I$3)&amp;""))+1,60),""))))</f>
        <v/>
      </c>
      <c r="J375">
        <f>IF($Q375="","",INDEX(인턴계획표[정규화1],$Q375))</f>
        <v/>
      </c>
      <c r="K375">
        <f>IF($Q375="","",INDEX(인턴계획표[정규화2],$Q375))</f>
        <v/>
      </c>
      <c r="L375">
        <f>IF($Q375="","",INDEX(인턴계획표[정규화3],$Q375))</f>
        <v/>
      </c>
      <c r="M375">
        <f>IF($Q375="","",INDEX(인턴계획표[정규화4],$Q375))</f>
        <v/>
      </c>
      <c r="N375">
        <f>IF($Q375="","",INDEX(인턴계획표[정규화5],$Q375))</f>
        <v/>
      </c>
      <c r="O375">
        <f>IF($Q375="","",INDEX(인턴계획표[정규화6],$Q375))</f>
        <v/>
      </c>
      <c r="P375">
        <f>IF($Q375="","",INDEX(인턴계획표[입력오류],$Q375))</f>
        <v/>
      </c>
      <c r="Q375" s="17">
        <f>IFERROR(MATCH(370,인턴계획표[표시순번],0),"")</f>
        <v/>
      </c>
    </row>
    <row r="376">
      <c r="A376">
        <f>IF($Q376="","",INDEX(인턴계획표[순번],$Q376)&amp;"")</f>
        <v/>
      </c>
      <c r="B376">
        <f>IF($Q376="","",TRIM(INDEX(인턴계획표[이름],$Q376)&amp;""))</f>
        <v/>
      </c>
      <c r="C376">
        <f>IF($Q376="","",INDEX(인턴계획표[사번],$Q376)&amp;"")</f>
        <v/>
      </c>
      <c r="D376">
        <f>IF($Q376="","",IF(COUNTIF(기본자료표[사번키],INDEX(인턴계획표[사번키],$Q376))&gt;0,"확인","미등록"))</f>
        <v/>
      </c>
      <c r="E376">
        <f>IF($Q376="","",IF(ISNUMBER(INDEX(인턴계획표[입사일(비고)],$Q376)),TEXT(INDEX(인턴계획표[입사일(비고)],$Q376),"yyyy-mm-dd"),INDEX(인턴계획표[입사일(비고)],$Q376)&amp;""))</f>
        <v/>
      </c>
      <c r="F376">
        <f>IF($Q376="","",IF(IF($G$3="","",INDEX(인턴계획표[[정규화1]:[정규화6]],$Q376,$G$3)&amp;"")="","",IF(LEFT(IF($G$3="","",INDEX(인턴계획표[[정규화1]:[정규화6]],$Q376,$G$3)&amp;""),1)="⚠",IF($G$3="","",INDEX(인턴계획표[[정규화1]:[정규화6]],$Q376,$G$3)&amp;""),IFERROR(LEFT(IF($G$3="","",INDEX(인턴계획표[[정규화1]:[정규화6]],$Q376,$G$3)&amp;""),FIND(" ",IF($G$3="","",INDEX(인턴계획표[[정규화1]:[정규화6]],$Q376,$G$3)&amp;""))-1),IF($G$3="","",INDEX(인턴계획표[[정규화1]:[정규화6]],$Q376,$G$3)&amp;"")))))</f>
        <v/>
      </c>
      <c r="G376">
        <f>IF($Q376="","",IF(IF($G$3="","",INDEX(인턴계획표[[정규화1]:[정규화6]],$Q376,$G$3)&amp;"")="","",IF(LEFT(IF($G$3="","",INDEX(인턴계획표[[정규화1]:[정규화6]],$Q376,$G$3)&amp;""),1)="⚠","",IFERROR(MID(IF($G$3="","",INDEX(인턴계획표[[정규화1]:[정규화6]],$Q376,$G$3)&amp;""),FIND(" ",IF($G$3="","",INDEX(인턴계획표[[정규화1]:[정규화6]],$Q376,$G$3)&amp;""))+1,60),""))))</f>
        <v/>
      </c>
      <c r="H376">
        <f>IF($Q376="","",IF(IF($I$3="","",INDEX(인턴계획표[[정규화1]:[정규화6]],$Q376,$I$3)&amp;"")="","",IF(LEFT(IF($I$3="","",INDEX(인턴계획표[[정규화1]:[정규화6]],$Q376,$I$3)&amp;""),1)="⚠",IF($I$3="","",INDEX(인턴계획표[[정규화1]:[정규화6]],$Q376,$I$3)&amp;""),IFERROR(LEFT(IF($I$3="","",INDEX(인턴계획표[[정규화1]:[정규화6]],$Q376,$I$3)&amp;""),FIND(" ",IF($I$3="","",INDEX(인턴계획표[[정규화1]:[정규화6]],$Q376,$I$3)&amp;""))-1),IF($I$3="","",INDEX(인턴계획표[[정규화1]:[정규화6]],$Q376,$I$3)&amp;"")))))</f>
        <v/>
      </c>
      <c r="I376">
        <f>IF($Q376="","",IF(IF($I$3="","",INDEX(인턴계획표[[정규화1]:[정규화6]],$Q376,$I$3)&amp;"")="","",IF(LEFT(IF($I$3="","",INDEX(인턴계획표[[정규화1]:[정규화6]],$Q376,$I$3)&amp;""),1)="⚠","",IFERROR(MID(IF($I$3="","",INDEX(인턴계획표[[정규화1]:[정규화6]],$Q376,$I$3)&amp;""),FIND(" ",IF($I$3="","",INDEX(인턴계획표[[정규화1]:[정규화6]],$Q376,$I$3)&amp;""))+1,60),""))))</f>
        <v/>
      </c>
      <c r="J376">
        <f>IF($Q376="","",INDEX(인턴계획표[정규화1],$Q376))</f>
        <v/>
      </c>
      <c r="K376">
        <f>IF($Q376="","",INDEX(인턴계획표[정규화2],$Q376))</f>
        <v/>
      </c>
      <c r="L376">
        <f>IF($Q376="","",INDEX(인턴계획표[정규화3],$Q376))</f>
        <v/>
      </c>
      <c r="M376">
        <f>IF($Q376="","",INDEX(인턴계획표[정규화4],$Q376))</f>
        <v/>
      </c>
      <c r="N376">
        <f>IF($Q376="","",INDEX(인턴계획표[정규화5],$Q376))</f>
        <v/>
      </c>
      <c r="O376">
        <f>IF($Q376="","",INDEX(인턴계획표[정규화6],$Q376))</f>
        <v/>
      </c>
      <c r="P376">
        <f>IF($Q376="","",INDEX(인턴계획표[입력오류],$Q376))</f>
        <v/>
      </c>
      <c r="Q376" s="17">
        <f>IFERROR(MATCH(371,인턴계획표[표시순번],0),"")</f>
        <v/>
      </c>
    </row>
    <row r="377">
      <c r="A377">
        <f>IF($Q377="","",INDEX(인턴계획표[순번],$Q377)&amp;"")</f>
        <v/>
      </c>
      <c r="B377">
        <f>IF($Q377="","",TRIM(INDEX(인턴계획표[이름],$Q377)&amp;""))</f>
        <v/>
      </c>
      <c r="C377">
        <f>IF($Q377="","",INDEX(인턴계획표[사번],$Q377)&amp;"")</f>
        <v/>
      </c>
      <c r="D377">
        <f>IF($Q377="","",IF(COUNTIF(기본자료표[사번키],INDEX(인턴계획표[사번키],$Q377))&gt;0,"확인","미등록"))</f>
        <v/>
      </c>
      <c r="E377">
        <f>IF($Q377="","",IF(ISNUMBER(INDEX(인턴계획표[입사일(비고)],$Q377)),TEXT(INDEX(인턴계획표[입사일(비고)],$Q377),"yyyy-mm-dd"),INDEX(인턴계획표[입사일(비고)],$Q377)&amp;""))</f>
        <v/>
      </c>
      <c r="F377">
        <f>IF($Q377="","",IF(IF($G$3="","",INDEX(인턴계획표[[정규화1]:[정규화6]],$Q377,$G$3)&amp;"")="","",IF(LEFT(IF($G$3="","",INDEX(인턴계획표[[정규화1]:[정규화6]],$Q377,$G$3)&amp;""),1)="⚠",IF($G$3="","",INDEX(인턴계획표[[정규화1]:[정규화6]],$Q377,$G$3)&amp;""),IFERROR(LEFT(IF($G$3="","",INDEX(인턴계획표[[정규화1]:[정규화6]],$Q377,$G$3)&amp;""),FIND(" ",IF($G$3="","",INDEX(인턴계획표[[정규화1]:[정규화6]],$Q377,$G$3)&amp;""))-1),IF($G$3="","",INDEX(인턴계획표[[정규화1]:[정규화6]],$Q377,$G$3)&amp;"")))))</f>
        <v/>
      </c>
      <c r="G377">
        <f>IF($Q377="","",IF(IF($G$3="","",INDEX(인턴계획표[[정규화1]:[정규화6]],$Q377,$G$3)&amp;"")="","",IF(LEFT(IF($G$3="","",INDEX(인턴계획표[[정규화1]:[정규화6]],$Q377,$G$3)&amp;""),1)="⚠","",IFERROR(MID(IF($G$3="","",INDEX(인턴계획표[[정규화1]:[정규화6]],$Q377,$G$3)&amp;""),FIND(" ",IF($G$3="","",INDEX(인턴계획표[[정규화1]:[정규화6]],$Q377,$G$3)&amp;""))+1,60),""))))</f>
        <v/>
      </c>
      <c r="H377">
        <f>IF($Q377="","",IF(IF($I$3="","",INDEX(인턴계획표[[정규화1]:[정규화6]],$Q377,$I$3)&amp;"")="","",IF(LEFT(IF($I$3="","",INDEX(인턴계획표[[정규화1]:[정규화6]],$Q377,$I$3)&amp;""),1)="⚠",IF($I$3="","",INDEX(인턴계획표[[정규화1]:[정규화6]],$Q377,$I$3)&amp;""),IFERROR(LEFT(IF($I$3="","",INDEX(인턴계획표[[정규화1]:[정규화6]],$Q377,$I$3)&amp;""),FIND(" ",IF($I$3="","",INDEX(인턴계획표[[정규화1]:[정규화6]],$Q377,$I$3)&amp;""))-1),IF($I$3="","",INDEX(인턴계획표[[정규화1]:[정규화6]],$Q377,$I$3)&amp;"")))))</f>
        <v/>
      </c>
      <c r="I377">
        <f>IF($Q377="","",IF(IF($I$3="","",INDEX(인턴계획표[[정규화1]:[정규화6]],$Q377,$I$3)&amp;"")="","",IF(LEFT(IF($I$3="","",INDEX(인턴계획표[[정규화1]:[정규화6]],$Q377,$I$3)&amp;""),1)="⚠","",IFERROR(MID(IF($I$3="","",INDEX(인턴계획표[[정규화1]:[정규화6]],$Q377,$I$3)&amp;""),FIND(" ",IF($I$3="","",INDEX(인턴계획표[[정규화1]:[정규화6]],$Q377,$I$3)&amp;""))+1,60),""))))</f>
        <v/>
      </c>
      <c r="J377">
        <f>IF($Q377="","",INDEX(인턴계획표[정규화1],$Q377))</f>
        <v/>
      </c>
      <c r="K377">
        <f>IF($Q377="","",INDEX(인턴계획표[정규화2],$Q377))</f>
        <v/>
      </c>
      <c r="L377">
        <f>IF($Q377="","",INDEX(인턴계획표[정규화3],$Q377))</f>
        <v/>
      </c>
      <c r="M377">
        <f>IF($Q377="","",INDEX(인턴계획표[정규화4],$Q377))</f>
        <v/>
      </c>
      <c r="N377">
        <f>IF($Q377="","",INDEX(인턴계획표[정규화5],$Q377))</f>
        <v/>
      </c>
      <c r="O377">
        <f>IF($Q377="","",INDEX(인턴계획표[정규화6],$Q377))</f>
        <v/>
      </c>
      <c r="P377">
        <f>IF($Q377="","",INDEX(인턴계획표[입력오류],$Q377))</f>
        <v/>
      </c>
      <c r="Q377" s="17">
        <f>IFERROR(MATCH(372,인턴계획표[표시순번],0),"")</f>
        <v/>
      </c>
    </row>
    <row r="378">
      <c r="A378">
        <f>IF($Q378="","",INDEX(인턴계획표[순번],$Q378)&amp;"")</f>
        <v/>
      </c>
      <c r="B378">
        <f>IF($Q378="","",TRIM(INDEX(인턴계획표[이름],$Q378)&amp;""))</f>
        <v/>
      </c>
      <c r="C378">
        <f>IF($Q378="","",INDEX(인턴계획표[사번],$Q378)&amp;"")</f>
        <v/>
      </c>
      <c r="D378">
        <f>IF($Q378="","",IF(COUNTIF(기본자료표[사번키],INDEX(인턴계획표[사번키],$Q378))&gt;0,"확인","미등록"))</f>
        <v/>
      </c>
      <c r="E378">
        <f>IF($Q378="","",IF(ISNUMBER(INDEX(인턴계획표[입사일(비고)],$Q378)),TEXT(INDEX(인턴계획표[입사일(비고)],$Q378),"yyyy-mm-dd"),INDEX(인턴계획표[입사일(비고)],$Q378)&amp;""))</f>
        <v/>
      </c>
      <c r="F378">
        <f>IF($Q378="","",IF(IF($G$3="","",INDEX(인턴계획표[[정규화1]:[정규화6]],$Q378,$G$3)&amp;"")="","",IF(LEFT(IF($G$3="","",INDEX(인턴계획표[[정규화1]:[정규화6]],$Q378,$G$3)&amp;""),1)="⚠",IF($G$3="","",INDEX(인턴계획표[[정규화1]:[정규화6]],$Q378,$G$3)&amp;""),IFERROR(LEFT(IF($G$3="","",INDEX(인턴계획표[[정규화1]:[정규화6]],$Q378,$G$3)&amp;""),FIND(" ",IF($G$3="","",INDEX(인턴계획표[[정규화1]:[정규화6]],$Q378,$G$3)&amp;""))-1),IF($G$3="","",INDEX(인턴계획표[[정규화1]:[정규화6]],$Q378,$G$3)&amp;"")))))</f>
        <v/>
      </c>
      <c r="G378">
        <f>IF($Q378="","",IF(IF($G$3="","",INDEX(인턴계획표[[정규화1]:[정규화6]],$Q378,$G$3)&amp;"")="","",IF(LEFT(IF($G$3="","",INDEX(인턴계획표[[정규화1]:[정규화6]],$Q378,$G$3)&amp;""),1)="⚠","",IFERROR(MID(IF($G$3="","",INDEX(인턴계획표[[정규화1]:[정규화6]],$Q378,$G$3)&amp;""),FIND(" ",IF($G$3="","",INDEX(인턴계획표[[정규화1]:[정규화6]],$Q378,$G$3)&amp;""))+1,60),""))))</f>
        <v/>
      </c>
      <c r="H378">
        <f>IF($Q378="","",IF(IF($I$3="","",INDEX(인턴계획표[[정규화1]:[정규화6]],$Q378,$I$3)&amp;"")="","",IF(LEFT(IF($I$3="","",INDEX(인턴계획표[[정규화1]:[정규화6]],$Q378,$I$3)&amp;""),1)="⚠",IF($I$3="","",INDEX(인턴계획표[[정규화1]:[정규화6]],$Q378,$I$3)&amp;""),IFERROR(LEFT(IF($I$3="","",INDEX(인턴계획표[[정규화1]:[정규화6]],$Q378,$I$3)&amp;""),FIND(" ",IF($I$3="","",INDEX(인턴계획표[[정규화1]:[정규화6]],$Q378,$I$3)&amp;""))-1),IF($I$3="","",INDEX(인턴계획표[[정규화1]:[정규화6]],$Q378,$I$3)&amp;"")))))</f>
        <v/>
      </c>
      <c r="I378">
        <f>IF($Q378="","",IF(IF($I$3="","",INDEX(인턴계획표[[정규화1]:[정규화6]],$Q378,$I$3)&amp;"")="","",IF(LEFT(IF($I$3="","",INDEX(인턴계획표[[정규화1]:[정규화6]],$Q378,$I$3)&amp;""),1)="⚠","",IFERROR(MID(IF($I$3="","",INDEX(인턴계획표[[정규화1]:[정규화6]],$Q378,$I$3)&amp;""),FIND(" ",IF($I$3="","",INDEX(인턴계획표[[정규화1]:[정규화6]],$Q378,$I$3)&amp;""))+1,60),""))))</f>
        <v/>
      </c>
      <c r="J378">
        <f>IF($Q378="","",INDEX(인턴계획표[정규화1],$Q378))</f>
        <v/>
      </c>
      <c r="K378">
        <f>IF($Q378="","",INDEX(인턴계획표[정규화2],$Q378))</f>
        <v/>
      </c>
      <c r="L378">
        <f>IF($Q378="","",INDEX(인턴계획표[정규화3],$Q378))</f>
        <v/>
      </c>
      <c r="M378">
        <f>IF($Q378="","",INDEX(인턴계획표[정규화4],$Q378))</f>
        <v/>
      </c>
      <c r="N378">
        <f>IF($Q378="","",INDEX(인턴계획표[정규화5],$Q378))</f>
        <v/>
      </c>
      <c r="O378">
        <f>IF($Q378="","",INDEX(인턴계획표[정규화6],$Q378))</f>
        <v/>
      </c>
      <c r="P378">
        <f>IF($Q378="","",INDEX(인턴계획표[입력오류],$Q378))</f>
        <v/>
      </c>
      <c r="Q378" s="17">
        <f>IFERROR(MATCH(373,인턴계획표[표시순번],0),"")</f>
        <v/>
      </c>
    </row>
    <row r="379">
      <c r="A379">
        <f>IF($Q379="","",INDEX(인턴계획표[순번],$Q379)&amp;"")</f>
        <v/>
      </c>
      <c r="B379">
        <f>IF($Q379="","",TRIM(INDEX(인턴계획표[이름],$Q379)&amp;""))</f>
        <v/>
      </c>
      <c r="C379">
        <f>IF($Q379="","",INDEX(인턴계획표[사번],$Q379)&amp;"")</f>
        <v/>
      </c>
      <c r="D379">
        <f>IF($Q379="","",IF(COUNTIF(기본자료표[사번키],INDEX(인턴계획표[사번키],$Q379))&gt;0,"확인","미등록"))</f>
        <v/>
      </c>
      <c r="E379">
        <f>IF($Q379="","",IF(ISNUMBER(INDEX(인턴계획표[입사일(비고)],$Q379)),TEXT(INDEX(인턴계획표[입사일(비고)],$Q379),"yyyy-mm-dd"),INDEX(인턴계획표[입사일(비고)],$Q379)&amp;""))</f>
        <v/>
      </c>
      <c r="F379">
        <f>IF($Q379="","",IF(IF($G$3="","",INDEX(인턴계획표[[정규화1]:[정규화6]],$Q379,$G$3)&amp;"")="","",IF(LEFT(IF($G$3="","",INDEX(인턴계획표[[정규화1]:[정규화6]],$Q379,$G$3)&amp;""),1)="⚠",IF($G$3="","",INDEX(인턴계획표[[정규화1]:[정규화6]],$Q379,$G$3)&amp;""),IFERROR(LEFT(IF($G$3="","",INDEX(인턴계획표[[정규화1]:[정규화6]],$Q379,$G$3)&amp;""),FIND(" ",IF($G$3="","",INDEX(인턴계획표[[정규화1]:[정규화6]],$Q379,$G$3)&amp;""))-1),IF($G$3="","",INDEX(인턴계획표[[정규화1]:[정규화6]],$Q379,$G$3)&amp;"")))))</f>
        <v/>
      </c>
      <c r="G379">
        <f>IF($Q379="","",IF(IF($G$3="","",INDEX(인턴계획표[[정규화1]:[정규화6]],$Q379,$G$3)&amp;"")="","",IF(LEFT(IF($G$3="","",INDEX(인턴계획표[[정규화1]:[정규화6]],$Q379,$G$3)&amp;""),1)="⚠","",IFERROR(MID(IF($G$3="","",INDEX(인턴계획표[[정규화1]:[정규화6]],$Q379,$G$3)&amp;""),FIND(" ",IF($G$3="","",INDEX(인턴계획표[[정규화1]:[정규화6]],$Q379,$G$3)&amp;""))+1,60),""))))</f>
        <v/>
      </c>
      <c r="H379">
        <f>IF($Q379="","",IF(IF($I$3="","",INDEX(인턴계획표[[정규화1]:[정규화6]],$Q379,$I$3)&amp;"")="","",IF(LEFT(IF($I$3="","",INDEX(인턴계획표[[정규화1]:[정규화6]],$Q379,$I$3)&amp;""),1)="⚠",IF($I$3="","",INDEX(인턴계획표[[정규화1]:[정규화6]],$Q379,$I$3)&amp;""),IFERROR(LEFT(IF($I$3="","",INDEX(인턴계획표[[정규화1]:[정규화6]],$Q379,$I$3)&amp;""),FIND(" ",IF($I$3="","",INDEX(인턴계획표[[정규화1]:[정규화6]],$Q379,$I$3)&amp;""))-1),IF($I$3="","",INDEX(인턴계획표[[정규화1]:[정규화6]],$Q379,$I$3)&amp;"")))))</f>
        <v/>
      </c>
      <c r="I379">
        <f>IF($Q379="","",IF(IF($I$3="","",INDEX(인턴계획표[[정규화1]:[정규화6]],$Q379,$I$3)&amp;"")="","",IF(LEFT(IF($I$3="","",INDEX(인턴계획표[[정규화1]:[정규화6]],$Q379,$I$3)&amp;""),1)="⚠","",IFERROR(MID(IF($I$3="","",INDEX(인턴계획표[[정규화1]:[정규화6]],$Q379,$I$3)&amp;""),FIND(" ",IF($I$3="","",INDEX(인턴계획표[[정규화1]:[정규화6]],$Q379,$I$3)&amp;""))+1,60),""))))</f>
        <v/>
      </c>
      <c r="J379">
        <f>IF($Q379="","",INDEX(인턴계획표[정규화1],$Q379))</f>
        <v/>
      </c>
      <c r="K379">
        <f>IF($Q379="","",INDEX(인턴계획표[정규화2],$Q379))</f>
        <v/>
      </c>
      <c r="L379">
        <f>IF($Q379="","",INDEX(인턴계획표[정규화3],$Q379))</f>
        <v/>
      </c>
      <c r="M379">
        <f>IF($Q379="","",INDEX(인턴계획표[정규화4],$Q379))</f>
        <v/>
      </c>
      <c r="N379">
        <f>IF($Q379="","",INDEX(인턴계획표[정규화5],$Q379))</f>
        <v/>
      </c>
      <c r="O379">
        <f>IF($Q379="","",INDEX(인턴계획표[정규화6],$Q379))</f>
        <v/>
      </c>
      <c r="P379">
        <f>IF($Q379="","",INDEX(인턴계획표[입력오류],$Q379))</f>
        <v/>
      </c>
      <c r="Q379" s="17">
        <f>IFERROR(MATCH(374,인턴계획표[표시순번],0),"")</f>
        <v/>
      </c>
    </row>
    <row r="380">
      <c r="A380">
        <f>IF($Q380="","",INDEX(인턴계획표[순번],$Q380)&amp;"")</f>
        <v/>
      </c>
      <c r="B380">
        <f>IF($Q380="","",TRIM(INDEX(인턴계획표[이름],$Q380)&amp;""))</f>
        <v/>
      </c>
      <c r="C380">
        <f>IF($Q380="","",INDEX(인턴계획표[사번],$Q380)&amp;"")</f>
        <v/>
      </c>
      <c r="D380">
        <f>IF($Q380="","",IF(COUNTIF(기본자료표[사번키],INDEX(인턴계획표[사번키],$Q380))&gt;0,"확인","미등록"))</f>
        <v/>
      </c>
      <c r="E380">
        <f>IF($Q380="","",IF(ISNUMBER(INDEX(인턴계획표[입사일(비고)],$Q380)),TEXT(INDEX(인턴계획표[입사일(비고)],$Q380),"yyyy-mm-dd"),INDEX(인턴계획표[입사일(비고)],$Q380)&amp;""))</f>
        <v/>
      </c>
      <c r="F380">
        <f>IF($Q380="","",IF(IF($G$3="","",INDEX(인턴계획표[[정규화1]:[정규화6]],$Q380,$G$3)&amp;"")="","",IF(LEFT(IF($G$3="","",INDEX(인턴계획표[[정규화1]:[정규화6]],$Q380,$G$3)&amp;""),1)="⚠",IF($G$3="","",INDEX(인턴계획표[[정규화1]:[정규화6]],$Q380,$G$3)&amp;""),IFERROR(LEFT(IF($G$3="","",INDEX(인턴계획표[[정규화1]:[정규화6]],$Q380,$G$3)&amp;""),FIND(" ",IF($G$3="","",INDEX(인턴계획표[[정규화1]:[정규화6]],$Q380,$G$3)&amp;""))-1),IF($G$3="","",INDEX(인턴계획표[[정규화1]:[정규화6]],$Q380,$G$3)&amp;"")))))</f>
        <v/>
      </c>
      <c r="G380">
        <f>IF($Q380="","",IF(IF($G$3="","",INDEX(인턴계획표[[정규화1]:[정규화6]],$Q380,$G$3)&amp;"")="","",IF(LEFT(IF($G$3="","",INDEX(인턴계획표[[정규화1]:[정규화6]],$Q380,$G$3)&amp;""),1)="⚠","",IFERROR(MID(IF($G$3="","",INDEX(인턴계획표[[정규화1]:[정규화6]],$Q380,$G$3)&amp;""),FIND(" ",IF($G$3="","",INDEX(인턴계획표[[정규화1]:[정규화6]],$Q380,$G$3)&amp;""))+1,60),""))))</f>
        <v/>
      </c>
      <c r="H380">
        <f>IF($Q380="","",IF(IF($I$3="","",INDEX(인턴계획표[[정규화1]:[정규화6]],$Q380,$I$3)&amp;"")="","",IF(LEFT(IF($I$3="","",INDEX(인턴계획표[[정규화1]:[정규화6]],$Q380,$I$3)&amp;""),1)="⚠",IF($I$3="","",INDEX(인턴계획표[[정규화1]:[정규화6]],$Q380,$I$3)&amp;""),IFERROR(LEFT(IF($I$3="","",INDEX(인턴계획표[[정규화1]:[정규화6]],$Q380,$I$3)&amp;""),FIND(" ",IF($I$3="","",INDEX(인턴계획표[[정규화1]:[정규화6]],$Q380,$I$3)&amp;""))-1),IF($I$3="","",INDEX(인턴계획표[[정규화1]:[정규화6]],$Q380,$I$3)&amp;"")))))</f>
        <v/>
      </c>
      <c r="I380">
        <f>IF($Q380="","",IF(IF($I$3="","",INDEX(인턴계획표[[정규화1]:[정규화6]],$Q380,$I$3)&amp;"")="","",IF(LEFT(IF($I$3="","",INDEX(인턴계획표[[정규화1]:[정규화6]],$Q380,$I$3)&amp;""),1)="⚠","",IFERROR(MID(IF($I$3="","",INDEX(인턴계획표[[정규화1]:[정규화6]],$Q380,$I$3)&amp;""),FIND(" ",IF($I$3="","",INDEX(인턴계획표[[정규화1]:[정규화6]],$Q380,$I$3)&amp;""))+1,60),""))))</f>
        <v/>
      </c>
      <c r="J380">
        <f>IF($Q380="","",INDEX(인턴계획표[정규화1],$Q380))</f>
        <v/>
      </c>
      <c r="K380">
        <f>IF($Q380="","",INDEX(인턴계획표[정규화2],$Q380))</f>
        <v/>
      </c>
      <c r="L380">
        <f>IF($Q380="","",INDEX(인턴계획표[정규화3],$Q380))</f>
        <v/>
      </c>
      <c r="M380">
        <f>IF($Q380="","",INDEX(인턴계획표[정규화4],$Q380))</f>
        <v/>
      </c>
      <c r="N380">
        <f>IF($Q380="","",INDEX(인턴계획표[정규화5],$Q380))</f>
        <v/>
      </c>
      <c r="O380">
        <f>IF($Q380="","",INDEX(인턴계획표[정규화6],$Q380))</f>
        <v/>
      </c>
      <c r="P380">
        <f>IF($Q380="","",INDEX(인턴계획표[입력오류],$Q380))</f>
        <v/>
      </c>
      <c r="Q380" s="17">
        <f>IFERROR(MATCH(375,인턴계획표[표시순번],0),"")</f>
        <v/>
      </c>
    </row>
    <row r="381">
      <c r="A381">
        <f>IF($Q381="","",INDEX(인턴계획표[순번],$Q381)&amp;"")</f>
        <v/>
      </c>
      <c r="B381">
        <f>IF($Q381="","",TRIM(INDEX(인턴계획표[이름],$Q381)&amp;""))</f>
        <v/>
      </c>
      <c r="C381">
        <f>IF($Q381="","",INDEX(인턴계획표[사번],$Q381)&amp;"")</f>
        <v/>
      </c>
      <c r="D381">
        <f>IF($Q381="","",IF(COUNTIF(기본자료표[사번키],INDEX(인턴계획표[사번키],$Q381))&gt;0,"확인","미등록"))</f>
        <v/>
      </c>
      <c r="E381">
        <f>IF($Q381="","",IF(ISNUMBER(INDEX(인턴계획표[입사일(비고)],$Q381)),TEXT(INDEX(인턴계획표[입사일(비고)],$Q381),"yyyy-mm-dd"),INDEX(인턴계획표[입사일(비고)],$Q381)&amp;""))</f>
        <v/>
      </c>
      <c r="F381">
        <f>IF($Q381="","",IF(IF($G$3="","",INDEX(인턴계획표[[정규화1]:[정규화6]],$Q381,$G$3)&amp;"")="","",IF(LEFT(IF($G$3="","",INDEX(인턴계획표[[정규화1]:[정규화6]],$Q381,$G$3)&amp;""),1)="⚠",IF($G$3="","",INDEX(인턴계획표[[정규화1]:[정규화6]],$Q381,$G$3)&amp;""),IFERROR(LEFT(IF($G$3="","",INDEX(인턴계획표[[정규화1]:[정규화6]],$Q381,$G$3)&amp;""),FIND(" ",IF($G$3="","",INDEX(인턴계획표[[정규화1]:[정규화6]],$Q381,$G$3)&amp;""))-1),IF($G$3="","",INDEX(인턴계획표[[정규화1]:[정규화6]],$Q381,$G$3)&amp;"")))))</f>
        <v/>
      </c>
      <c r="G381">
        <f>IF($Q381="","",IF(IF($G$3="","",INDEX(인턴계획표[[정규화1]:[정규화6]],$Q381,$G$3)&amp;"")="","",IF(LEFT(IF($G$3="","",INDEX(인턴계획표[[정규화1]:[정규화6]],$Q381,$G$3)&amp;""),1)="⚠","",IFERROR(MID(IF($G$3="","",INDEX(인턴계획표[[정규화1]:[정규화6]],$Q381,$G$3)&amp;""),FIND(" ",IF($G$3="","",INDEX(인턴계획표[[정규화1]:[정규화6]],$Q381,$G$3)&amp;""))+1,60),""))))</f>
        <v/>
      </c>
      <c r="H381">
        <f>IF($Q381="","",IF(IF($I$3="","",INDEX(인턴계획표[[정규화1]:[정규화6]],$Q381,$I$3)&amp;"")="","",IF(LEFT(IF($I$3="","",INDEX(인턴계획표[[정규화1]:[정규화6]],$Q381,$I$3)&amp;""),1)="⚠",IF($I$3="","",INDEX(인턴계획표[[정규화1]:[정규화6]],$Q381,$I$3)&amp;""),IFERROR(LEFT(IF($I$3="","",INDEX(인턴계획표[[정규화1]:[정규화6]],$Q381,$I$3)&amp;""),FIND(" ",IF($I$3="","",INDEX(인턴계획표[[정규화1]:[정규화6]],$Q381,$I$3)&amp;""))-1),IF($I$3="","",INDEX(인턴계획표[[정규화1]:[정규화6]],$Q381,$I$3)&amp;"")))))</f>
        <v/>
      </c>
      <c r="I381">
        <f>IF($Q381="","",IF(IF($I$3="","",INDEX(인턴계획표[[정규화1]:[정규화6]],$Q381,$I$3)&amp;"")="","",IF(LEFT(IF($I$3="","",INDEX(인턴계획표[[정규화1]:[정규화6]],$Q381,$I$3)&amp;""),1)="⚠","",IFERROR(MID(IF($I$3="","",INDEX(인턴계획표[[정규화1]:[정규화6]],$Q381,$I$3)&amp;""),FIND(" ",IF($I$3="","",INDEX(인턴계획표[[정규화1]:[정규화6]],$Q381,$I$3)&amp;""))+1,60),""))))</f>
        <v/>
      </c>
      <c r="J381">
        <f>IF($Q381="","",INDEX(인턴계획표[정규화1],$Q381))</f>
        <v/>
      </c>
      <c r="K381">
        <f>IF($Q381="","",INDEX(인턴계획표[정규화2],$Q381))</f>
        <v/>
      </c>
      <c r="L381">
        <f>IF($Q381="","",INDEX(인턴계획표[정규화3],$Q381))</f>
        <v/>
      </c>
      <c r="M381">
        <f>IF($Q381="","",INDEX(인턴계획표[정규화4],$Q381))</f>
        <v/>
      </c>
      <c r="N381">
        <f>IF($Q381="","",INDEX(인턴계획표[정규화5],$Q381))</f>
        <v/>
      </c>
      <c r="O381">
        <f>IF($Q381="","",INDEX(인턴계획표[정규화6],$Q381))</f>
        <v/>
      </c>
      <c r="P381">
        <f>IF($Q381="","",INDEX(인턴계획표[입력오류],$Q381))</f>
        <v/>
      </c>
      <c r="Q381" s="17">
        <f>IFERROR(MATCH(376,인턴계획표[표시순번],0),"")</f>
        <v/>
      </c>
    </row>
    <row r="382">
      <c r="A382">
        <f>IF($Q382="","",INDEX(인턴계획표[순번],$Q382)&amp;"")</f>
        <v/>
      </c>
      <c r="B382">
        <f>IF($Q382="","",TRIM(INDEX(인턴계획표[이름],$Q382)&amp;""))</f>
        <v/>
      </c>
      <c r="C382">
        <f>IF($Q382="","",INDEX(인턴계획표[사번],$Q382)&amp;"")</f>
        <v/>
      </c>
      <c r="D382">
        <f>IF($Q382="","",IF(COUNTIF(기본자료표[사번키],INDEX(인턴계획표[사번키],$Q382))&gt;0,"확인","미등록"))</f>
        <v/>
      </c>
      <c r="E382">
        <f>IF($Q382="","",IF(ISNUMBER(INDEX(인턴계획표[입사일(비고)],$Q382)),TEXT(INDEX(인턴계획표[입사일(비고)],$Q382),"yyyy-mm-dd"),INDEX(인턴계획표[입사일(비고)],$Q382)&amp;""))</f>
        <v/>
      </c>
      <c r="F382">
        <f>IF($Q382="","",IF(IF($G$3="","",INDEX(인턴계획표[[정규화1]:[정규화6]],$Q382,$G$3)&amp;"")="","",IF(LEFT(IF($G$3="","",INDEX(인턴계획표[[정규화1]:[정규화6]],$Q382,$G$3)&amp;""),1)="⚠",IF($G$3="","",INDEX(인턴계획표[[정규화1]:[정규화6]],$Q382,$G$3)&amp;""),IFERROR(LEFT(IF($G$3="","",INDEX(인턴계획표[[정규화1]:[정규화6]],$Q382,$G$3)&amp;""),FIND(" ",IF($G$3="","",INDEX(인턴계획표[[정규화1]:[정규화6]],$Q382,$G$3)&amp;""))-1),IF($G$3="","",INDEX(인턴계획표[[정규화1]:[정규화6]],$Q382,$G$3)&amp;"")))))</f>
        <v/>
      </c>
      <c r="G382">
        <f>IF($Q382="","",IF(IF($G$3="","",INDEX(인턴계획표[[정규화1]:[정규화6]],$Q382,$G$3)&amp;"")="","",IF(LEFT(IF($G$3="","",INDEX(인턴계획표[[정규화1]:[정규화6]],$Q382,$G$3)&amp;""),1)="⚠","",IFERROR(MID(IF($G$3="","",INDEX(인턴계획표[[정규화1]:[정규화6]],$Q382,$G$3)&amp;""),FIND(" ",IF($G$3="","",INDEX(인턴계획표[[정규화1]:[정규화6]],$Q382,$G$3)&amp;""))+1,60),""))))</f>
        <v/>
      </c>
      <c r="H382">
        <f>IF($Q382="","",IF(IF($I$3="","",INDEX(인턴계획표[[정규화1]:[정규화6]],$Q382,$I$3)&amp;"")="","",IF(LEFT(IF($I$3="","",INDEX(인턴계획표[[정규화1]:[정규화6]],$Q382,$I$3)&amp;""),1)="⚠",IF($I$3="","",INDEX(인턴계획표[[정규화1]:[정규화6]],$Q382,$I$3)&amp;""),IFERROR(LEFT(IF($I$3="","",INDEX(인턴계획표[[정규화1]:[정규화6]],$Q382,$I$3)&amp;""),FIND(" ",IF($I$3="","",INDEX(인턴계획표[[정규화1]:[정규화6]],$Q382,$I$3)&amp;""))-1),IF($I$3="","",INDEX(인턴계획표[[정규화1]:[정규화6]],$Q382,$I$3)&amp;"")))))</f>
        <v/>
      </c>
      <c r="I382">
        <f>IF($Q382="","",IF(IF($I$3="","",INDEX(인턴계획표[[정규화1]:[정규화6]],$Q382,$I$3)&amp;"")="","",IF(LEFT(IF($I$3="","",INDEX(인턴계획표[[정규화1]:[정규화6]],$Q382,$I$3)&amp;""),1)="⚠","",IFERROR(MID(IF($I$3="","",INDEX(인턴계획표[[정규화1]:[정규화6]],$Q382,$I$3)&amp;""),FIND(" ",IF($I$3="","",INDEX(인턴계획표[[정규화1]:[정규화6]],$Q382,$I$3)&amp;""))+1,60),""))))</f>
        <v/>
      </c>
      <c r="J382">
        <f>IF($Q382="","",INDEX(인턴계획표[정규화1],$Q382))</f>
        <v/>
      </c>
      <c r="K382">
        <f>IF($Q382="","",INDEX(인턴계획표[정규화2],$Q382))</f>
        <v/>
      </c>
      <c r="L382">
        <f>IF($Q382="","",INDEX(인턴계획표[정규화3],$Q382))</f>
        <v/>
      </c>
      <c r="M382">
        <f>IF($Q382="","",INDEX(인턴계획표[정규화4],$Q382))</f>
        <v/>
      </c>
      <c r="N382">
        <f>IF($Q382="","",INDEX(인턴계획표[정규화5],$Q382))</f>
        <v/>
      </c>
      <c r="O382">
        <f>IF($Q382="","",INDEX(인턴계획표[정규화6],$Q382))</f>
        <v/>
      </c>
      <c r="P382">
        <f>IF($Q382="","",INDEX(인턴계획표[입력오류],$Q382))</f>
        <v/>
      </c>
      <c r="Q382" s="17">
        <f>IFERROR(MATCH(377,인턴계획표[표시순번],0),"")</f>
        <v/>
      </c>
    </row>
    <row r="383">
      <c r="A383">
        <f>IF($Q383="","",INDEX(인턴계획표[순번],$Q383)&amp;"")</f>
        <v/>
      </c>
      <c r="B383">
        <f>IF($Q383="","",TRIM(INDEX(인턴계획표[이름],$Q383)&amp;""))</f>
        <v/>
      </c>
      <c r="C383">
        <f>IF($Q383="","",INDEX(인턴계획표[사번],$Q383)&amp;"")</f>
        <v/>
      </c>
      <c r="D383">
        <f>IF($Q383="","",IF(COUNTIF(기본자료표[사번키],INDEX(인턴계획표[사번키],$Q383))&gt;0,"확인","미등록"))</f>
        <v/>
      </c>
      <c r="E383">
        <f>IF($Q383="","",IF(ISNUMBER(INDEX(인턴계획표[입사일(비고)],$Q383)),TEXT(INDEX(인턴계획표[입사일(비고)],$Q383),"yyyy-mm-dd"),INDEX(인턴계획표[입사일(비고)],$Q383)&amp;""))</f>
        <v/>
      </c>
      <c r="F383">
        <f>IF($Q383="","",IF(IF($G$3="","",INDEX(인턴계획표[[정규화1]:[정규화6]],$Q383,$G$3)&amp;"")="","",IF(LEFT(IF($G$3="","",INDEX(인턴계획표[[정규화1]:[정규화6]],$Q383,$G$3)&amp;""),1)="⚠",IF($G$3="","",INDEX(인턴계획표[[정규화1]:[정규화6]],$Q383,$G$3)&amp;""),IFERROR(LEFT(IF($G$3="","",INDEX(인턴계획표[[정규화1]:[정규화6]],$Q383,$G$3)&amp;""),FIND(" ",IF($G$3="","",INDEX(인턴계획표[[정규화1]:[정규화6]],$Q383,$G$3)&amp;""))-1),IF($G$3="","",INDEX(인턴계획표[[정규화1]:[정규화6]],$Q383,$G$3)&amp;"")))))</f>
        <v/>
      </c>
      <c r="G383">
        <f>IF($Q383="","",IF(IF($G$3="","",INDEX(인턴계획표[[정규화1]:[정규화6]],$Q383,$G$3)&amp;"")="","",IF(LEFT(IF($G$3="","",INDEX(인턴계획표[[정규화1]:[정규화6]],$Q383,$G$3)&amp;""),1)="⚠","",IFERROR(MID(IF($G$3="","",INDEX(인턴계획표[[정규화1]:[정규화6]],$Q383,$G$3)&amp;""),FIND(" ",IF($G$3="","",INDEX(인턴계획표[[정규화1]:[정규화6]],$Q383,$G$3)&amp;""))+1,60),""))))</f>
        <v/>
      </c>
      <c r="H383">
        <f>IF($Q383="","",IF(IF($I$3="","",INDEX(인턴계획표[[정규화1]:[정규화6]],$Q383,$I$3)&amp;"")="","",IF(LEFT(IF($I$3="","",INDEX(인턴계획표[[정규화1]:[정규화6]],$Q383,$I$3)&amp;""),1)="⚠",IF($I$3="","",INDEX(인턴계획표[[정규화1]:[정규화6]],$Q383,$I$3)&amp;""),IFERROR(LEFT(IF($I$3="","",INDEX(인턴계획표[[정규화1]:[정규화6]],$Q383,$I$3)&amp;""),FIND(" ",IF($I$3="","",INDEX(인턴계획표[[정규화1]:[정규화6]],$Q383,$I$3)&amp;""))-1),IF($I$3="","",INDEX(인턴계획표[[정규화1]:[정규화6]],$Q383,$I$3)&amp;"")))))</f>
        <v/>
      </c>
      <c r="I383">
        <f>IF($Q383="","",IF(IF($I$3="","",INDEX(인턴계획표[[정규화1]:[정규화6]],$Q383,$I$3)&amp;"")="","",IF(LEFT(IF($I$3="","",INDEX(인턴계획표[[정규화1]:[정규화6]],$Q383,$I$3)&amp;""),1)="⚠","",IFERROR(MID(IF($I$3="","",INDEX(인턴계획표[[정규화1]:[정규화6]],$Q383,$I$3)&amp;""),FIND(" ",IF($I$3="","",INDEX(인턴계획표[[정규화1]:[정규화6]],$Q383,$I$3)&amp;""))+1,60),""))))</f>
        <v/>
      </c>
      <c r="J383">
        <f>IF($Q383="","",INDEX(인턴계획표[정규화1],$Q383))</f>
        <v/>
      </c>
      <c r="K383">
        <f>IF($Q383="","",INDEX(인턴계획표[정규화2],$Q383))</f>
        <v/>
      </c>
      <c r="L383">
        <f>IF($Q383="","",INDEX(인턴계획표[정규화3],$Q383))</f>
        <v/>
      </c>
      <c r="M383">
        <f>IF($Q383="","",INDEX(인턴계획표[정규화4],$Q383))</f>
        <v/>
      </c>
      <c r="N383">
        <f>IF($Q383="","",INDEX(인턴계획표[정규화5],$Q383))</f>
        <v/>
      </c>
      <c r="O383">
        <f>IF($Q383="","",INDEX(인턴계획표[정규화6],$Q383))</f>
        <v/>
      </c>
      <c r="P383">
        <f>IF($Q383="","",INDEX(인턴계획표[입력오류],$Q383))</f>
        <v/>
      </c>
      <c r="Q383" s="17">
        <f>IFERROR(MATCH(378,인턴계획표[표시순번],0),"")</f>
        <v/>
      </c>
    </row>
    <row r="384">
      <c r="A384">
        <f>IF($Q384="","",INDEX(인턴계획표[순번],$Q384)&amp;"")</f>
        <v/>
      </c>
      <c r="B384">
        <f>IF($Q384="","",TRIM(INDEX(인턴계획표[이름],$Q384)&amp;""))</f>
        <v/>
      </c>
      <c r="C384">
        <f>IF($Q384="","",INDEX(인턴계획표[사번],$Q384)&amp;"")</f>
        <v/>
      </c>
      <c r="D384">
        <f>IF($Q384="","",IF(COUNTIF(기본자료표[사번키],INDEX(인턴계획표[사번키],$Q384))&gt;0,"확인","미등록"))</f>
        <v/>
      </c>
      <c r="E384">
        <f>IF($Q384="","",IF(ISNUMBER(INDEX(인턴계획표[입사일(비고)],$Q384)),TEXT(INDEX(인턴계획표[입사일(비고)],$Q384),"yyyy-mm-dd"),INDEX(인턴계획표[입사일(비고)],$Q384)&amp;""))</f>
        <v/>
      </c>
      <c r="F384">
        <f>IF($Q384="","",IF(IF($G$3="","",INDEX(인턴계획표[[정규화1]:[정규화6]],$Q384,$G$3)&amp;"")="","",IF(LEFT(IF($G$3="","",INDEX(인턴계획표[[정규화1]:[정규화6]],$Q384,$G$3)&amp;""),1)="⚠",IF($G$3="","",INDEX(인턴계획표[[정규화1]:[정규화6]],$Q384,$G$3)&amp;""),IFERROR(LEFT(IF($G$3="","",INDEX(인턴계획표[[정규화1]:[정규화6]],$Q384,$G$3)&amp;""),FIND(" ",IF($G$3="","",INDEX(인턴계획표[[정규화1]:[정규화6]],$Q384,$G$3)&amp;""))-1),IF($G$3="","",INDEX(인턴계획표[[정규화1]:[정규화6]],$Q384,$G$3)&amp;"")))))</f>
        <v/>
      </c>
      <c r="G384">
        <f>IF($Q384="","",IF(IF($G$3="","",INDEX(인턴계획표[[정규화1]:[정규화6]],$Q384,$G$3)&amp;"")="","",IF(LEFT(IF($G$3="","",INDEX(인턴계획표[[정규화1]:[정규화6]],$Q384,$G$3)&amp;""),1)="⚠","",IFERROR(MID(IF($G$3="","",INDEX(인턴계획표[[정규화1]:[정규화6]],$Q384,$G$3)&amp;""),FIND(" ",IF($G$3="","",INDEX(인턴계획표[[정규화1]:[정규화6]],$Q384,$G$3)&amp;""))+1,60),""))))</f>
        <v/>
      </c>
      <c r="H384">
        <f>IF($Q384="","",IF(IF($I$3="","",INDEX(인턴계획표[[정규화1]:[정규화6]],$Q384,$I$3)&amp;"")="","",IF(LEFT(IF($I$3="","",INDEX(인턴계획표[[정규화1]:[정규화6]],$Q384,$I$3)&amp;""),1)="⚠",IF($I$3="","",INDEX(인턴계획표[[정규화1]:[정규화6]],$Q384,$I$3)&amp;""),IFERROR(LEFT(IF($I$3="","",INDEX(인턴계획표[[정규화1]:[정규화6]],$Q384,$I$3)&amp;""),FIND(" ",IF($I$3="","",INDEX(인턴계획표[[정규화1]:[정규화6]],$Q384,$I$3)&amp;""))-1),IF($I$3="","",INDEX(인턴계획표[[정규화1]:[정규화6]],$Q384,$I$3)&amp;"")))))</f>
        <v/>
      </c>
      <c r="I384">
        <f>IF($Q384="","",IF(IF($I$3="","",INDEX(인턴계획표[[정규화1]:[정규화6]],$Q384,$I$3)&amp;"")="","",IF(LEFT(IF($I$3="","",INDEX(인턴계획표[[정규화1]:[정규화6]],$Q384,$I$3)&amp;""),1)="⚠","",IFERROR(MID(IF($I$3="","",INDEX(인턴계획표[[정규화1]:[정규화6]],$Q384,$I$3)&amp;""),FIND(" ",IF($I$3="","",INDEX(인턴계획표[[정규화1]:[정규화6]],$Q384,$I$3)&amp;""))+1,60),""))))</f>
        <v/>
      </c>
      <c r="J384">
        <f>IF($Q384="","",INDEX(인턴계획표[정규화1],$Q384))</f>
        <v/>
      </c>
      <c r="K384">
        <f>IF($Q384="","",INDEX(인턴계획표[정규화2],$Q384))</f>
        <v/>
      </c>
      <c r="L384">
        <f>IF($Q384="","",INDEX(인턴계획표[정규화3],$Q384))</f>
        <v/>
      </c>
      <c r="M384">
        <f>IF($Q384="","",INDEX(인턴계획표[정규화4],$Q384))</f>
        <v/>
      </c>
      <c r="N384">
        <f>IF($Q384="","",INDEX(인턴계획표[정규화5],$Q384))</f>
        <v/>
      </c>
      <c r="O384">
        <f>IF($Q384="","",INDEX(인턴계획표[정규화6],$Q384))</f>
        <v/>
      </c>
      <c r="P384">
        <f>IF($Q384="","",INDEX(인턴계획표[입력오류],$Q384))</f>
        <v/>
      </c>
      <c r="Q384" s="17">
        <f>IFERROR(MATCH(379,인턴계획표[표시순번],0),"")</f>
        <v/>
      </c>
    </row>
    <row r="385">
      <c r="A385">
        <f>IF($Q385="","",INDEX(인턴계획표[순번],$Q385)&amp;"")</f>
        <v/>
      </c>
      <c r="B385">
        <f>IF($Q385="","",TRIM(INDEX(인턴계획표[이름],$Q385)&amp;""))</f>
        <v/>
      </c>
      <c r="C385">
        <f>IF($Q385="","",INDEX(인턴계획표[사번],$Q385)&amp;"")</f>
        <v/>
      </c>
      <c r="D385">
        <f>IF($Q385="","",IF(COUNTIF(기본자료표[사번키],INDEX(인턴계획표[사번키],$Q385))&gt;0,"확인","미등록"))</f>
        <v/>
      </c>
      <c r="E385">
        <f>IF($Q385="","",IF(ISNUMBER(INDEX(인턴계획표[입사일(비고)],$Q385)),TEXT(INDEX(인턴계획표[입사일(비고)],$Q385),"yyyy-mm-dd"),INDEX(인턴계획표[입사일(비고)],$Q385)&amp;""))</f>
        <v/>
      </c>
      <c r="F385">
        <f>IF($Q385="","",IF(IF($G$3="","",INDEX(인턴계획표[[정규화1]:[정규화6]],$Q385,$G$3)&amp;"")="","",IF(LEFT(IF($G$3="","",INDEX(인턴계획표[[정규화1]:[정규화6]],$Q385,$G$3)&amp;""),1)="⚠",IF($G$3="","",INDEX(인턴계획표[[정규화1]:[정규화6]],$Q385,$G$3)&amp;""),IFERROR(LEFT(IF($G$3="","",INDEX(인턴계획표[[정규화1]:[정규화6]],$Q385,$G$3)&amp;""),FIND(" ",IF($G$3="","",INDEX(인턴계획표[[정규화1]:[정규화6]],$Q385,$G$3)&amp;""))-1),IF($G$3="","",INDEX(인턴계획표[[정규화1]:[정규화6]],$Q385,$G$3)&amp;"")))))</f>
        <v/>
      </c>
      <c r="G385">
        <f>IF($Q385="","",IF(IF($G$3="","",INDEX(인턴계획표[[정규화1]:[정규화6]],$Q385,$G$3)&amp;"")="","",IF(LEFT(IF($G$3="","",INDEX(인턴계획표[[정규화1]:[정규화6]],$Q385,$G$3)&amp;""),1)="⚠","",IFERROR(MID(IF($G$3="","",INDEX(인턴계획표[[정규화1]:[정규화6]],$Q385,$G$3)&amp;""),FIND(" ",IF($G$3="","",INDEX(인턴계획표[[정규화1]:[정규화6]],$Q385,$G$3)&amp;""))+1,60),""))))</f>
        <v/>
      </c>
      <c r="H385">
        <f>IF($Q385="","",IF(IF($I$3="","",INDEX(인턴계획표[[정규화1]:[정규화6]],$Q385,$I$3)&amp;"")="","",IF(LEFT(IF($I$3="","",INDEX(인턴계획표[[정규화1]:[정규화6]],$Q385,$I$3)&amp;""),1)="⚠",IF($I$3="","",INDEX(인턴계획표[[정규화1]:[정규화6]],$Q385,$I$3)&amp;""),IFERROR(LEFT(IF($I$3="","",INDEX(인턴계획표[[정규화1]:[정규화6]],$Q385,$I$3)&amp;""),FIND(" ",IF($I$3="","",INDEX(인턴계획표[[정규화1]:[정규화6]],$Q385,$I$3)&amp;""))-1),IF($I$3="","",INDEX(인턴계획표[[정규화1]:[정규화6]],$Q385,$I$3)&amp;"")))))</f>
        <v/>
      </c>
      <c r="I385">
        <f>IF($Q385="","",IF(IF($I$3="","",INDEX(인턴계획표[[정규화1]:[정규화6]],$Q385,$I$3)&amp;"")="","",IF(LEFT(IF($I$3="","",INDEX(인턴계획표[[정규화1]:[정규화6]],$Q385,$I$3)&amp;""),1)="⚠","",IFERROR(MID(IF($I$3="","",INDEX(인턴계획표[[정규화1]:[정규화6]],$Q385,$I$3)&amp;""),FIND(" ",IF($I$3="","",INDEX(인턴계획표[[정규화1]:[정규화6]],$Q385,$I$3)&amp;""))+1,60),""))))</f>
        <v/>
      </c>
      <c r="J385">
        <f>IF($Q385="","",INDEX(인턴계획표[정규화1],$Q385))</f>
        <v/>
      </c>
      <c r="K385">
        <f>IF($Q385="","",INDEX(인턴계획표[정규화2],$Q385))</f>
        <v/>
      </c>
      <c r="L385">
        <f>IF($Q385="","",INDEX(인턴계획표[정규화3],$Q385))</f>
        <v/>
      </c>
      <c r="M385">
        <f>IF($Q385="","",INDEX(인턴계획표[정규화4],$Q385))</f>
        <v/>
      </c>
      <c r="N385">
        <f>IF($Q385="","",INDEX(인턴계획표[정규화5],$Q385))</f>
        <v/>
      </c>
      <c r="O385">
        <f>IF($Q385="","",INDEX(인턴계획표[정규화6],$Q385))</f>
        <v/>
      </c>
      <c r="P385">
        <f>IF($Q385="","",INDEX(인턴계획표[입력오류],$Q385))</f>
        <v/>
      </c>
      <c r="Q385" s="17">
        <f>IFERROR(MATCH(380,인턴계획표[표시순번],0),"")</f>
        <v/>
      </c>
    </row>
    <row r="386">
      <c r="A386">
        <f>IF($Q386="","",INDEX(인턴계획표[순번],$Q386)&amp;"")</f>
        <v/>
      </c>
      <c r="B386">
        <f>IF($Q386="","",TRIM(INDEX(인턴계획표[이름],$Q386)&amp;""))</f>
        <v/>
      </c>
      <c r="C386">
        <f>IF($Q386="","",INDEX(인턴계획표[사번],$Q386)&amp;"")</f>
        <v/>
      </c>
      <c r="D386">
        <f>IF($Q386="","",IF(COUNTIF(기본자료표[사번키],INDEX(인턴계획표[사번키],$Q386))&gt;0,"확인","미등록"))</f>
        <v/>
      </c>
      <c r="E386">
        <f>IF($Q386="","",IF(ISNUMBER(INDEX(인턴계획표[입사일(비고)],$Q386)),TEXT(INDEX(인턴계획표[입사일(비고)],$Q386),"yyyy-mm-dd"),INDEX(인턴계획표[입사일(비고)],$Q386)&amp;""))</f>
        <v/>
      </c>
      <c r="F386">
        <f>IF($Q386="","",IF(IF($G$3="","",INDEX(인턴계획표[[정규화1]:[정규화6]],$Q386,$G$3)&amp;"")="","",IF(LEFT(IF($G$3="","",INDEX(인턴계획표[[정규화1]:[정규화6]],$Q386,$G$3)&amp;""),1)="⚠",IF($G$3="","",INDEX(인턴계획표[[정규화1]:[정규화6]],$Q386,$G$3)&amp;""),IFERROR(LEFT(IF($G$3="","",INDEX(인턴계획표[[정규화1]:[정규화6]],$Q386,$G$3)&amp;""),FIND(" ",IF($G$3="","",INDEX(인턴계획표[[정규화1]:[정규화6]],$Q386,$G$3)&amp;""))-1),IF($G$3="","",INDEX(인턴계획표[[정규화1]:[정규화6]],$Q386,$G$3)&amp;"")))))</f>
        <v/>
      </c>
      <c r="G386">
        <f>IF($Q386="","",IF(IF($G$3="","",INDEX(인턴계획표[[정규화1]:[정규화6]],$Q386,$G$3)&amp;"")="","",IF(LEFT(IF($G$3="","",INDEX(인턴계획표[[정규화1]:[정규화6]],$Q386,$G$3)&amp;""),1)="⚠","",IFERROR(MID(IF($G$3="","",INDEX(인턴계획표[[정규화1]:[정규화6]],$Q386,$G$3)&amp;""),FIND(" ",IF($G$3="","",INDEX(인턴계획표[[정규화1]:[정규화6]],$Q386,$G$3)&amp;""))+1,60),""))))</f>
        <v/>
      </c>
      <c r="H386">
        <f>IF($Q386="","",IF(IF($I$3="","",INDEX(인턴계획표[[정규화1]:[정규화6]],$Q386,$I$3)&amp;"")="","",IF(LEFT(IF($I$3="","",INDEX(인턴계획표[[정규화1]:[정규화6]],$Q386,$I$3)&amp;""),1)="⚠",IF($I$3="","",INDEX(인턴계획표[[정규화1]:[정규화6]],$Q386,$I$3)&amp;""),IFERROR(LEFT(IF($I$3="","",INDEX(인턴계획표[[정규화1]:[정규화6]],$Q386,$I$3)&amp;""),FIND(" ",IF($I$3="","",INDEX(인턴계획표[[정규화1]:[정규화6]],$Q386,$I$3)&amp;""))-1),IF($I$3="","",INDEX(인턴계획표[[정규화1]:[정규화6]],$Q386,$I$3)&amp;"")))))</f>
        <v/>
      </c>
      <c r="I386">
        <f>IF($Q386="","",IF(IF($I$3="","",INDEX(인턴계획표[[정규화1]:[정규화6]],$Q386,$I$3)&amp;"")="","",IF(LEFT(IF($I$3="","",INDEX(인턴계획표[[정규화1]:[정규화6]],$Q386,$I$3)&amp;""),1)="⚠","",IFERROR(MID(IF($I$3="","",INDEX(인턴계획표[[정규화1]:[정규화6]],$Q386,$I$3)&amp;""),FIND(" ",IF($I$3="","",INDEX(인턴계획표[[정규화1]:[정규화6]],$Q386,$I$3)&amp;""))+1,60),""))))</f>
        <v/>
      </c>
      <c r="J386">
        <f>IF($Q386="","",INDEX(인턴계획표[정규화1],$Q386))</f>
        <v/>
      </c>
      <c r="K386">
        <f>IF($Q386="","",INDEX(인턴계획표[정규화2],$Q386))</f>
        <v/>
      </c>
      <c r="L386">
        <f>IF($Q386="","",INDEX(인턴계획표[정규화3],$Q386))</f>
        <v/>
      </c>
      <c r="M386">
        <f>IF($Q386="","",INDEX(인턴계획표[정규화4],$Q386))</f>
        <v/>
      </c>
      <c r="N386">
        <f>IF($Q386="","",INDEX(인턴계획표[정규화5],$Q386))</f>
        <v/>
      </c>
      <c r="O386">
        <f>IF($Q386="","",INDEX(인턴계획표[정규화6],$Q386))</f>
        <v/>
      </c>
      <c r="P386">
        <f>IF($Q386="","",INDEX(인턴계획표[입력오류],$Q386))</f>
        <v/>
      </c>
      <c r="Q386" s="17">
        <f>IFERROR(MATCH(381,인턴계획표[표시순번],0),"")</f>
        <v/>
      </c>
    </row>
    <row r="387">
      <c r="A387">
        <f>IF($Q387="","",INDEX(인턴계획표[순번],$Q387)&amp;"")</f>
        <v/>
      </c>
      <c r="B387">
        <f>IF($Q387="","",TRIM(INDEX(인턴계획표[이름],$Q387)&amp;""))</f>
        <v/>
      </c>
      <c r="C387">
        <f>IF($Q387="","",INDEX(인턴계획표[사번],$Q387)&amp;"")</f>
        <v/>
      </c>
      <c r="D387">
        <f>IF($Q387="","",IF(COUNTIF(기본자료표[사번키],INDEX(인턴계획표[사번키],$Q387))&gt;0,"확인","미등록"))</f>
        <v/>
      </c>
      <c r="E387">
        <f>IF($Q387="","",IF(ISNUMBER(INDEX(인턴계획표[입사일(비고)],$Q387)),TEXT(INDEX(인턴계획표[입사일(비고)],$Q387),"yyyy-mm-dd"),INDEX(인턴계획표[입사일(비고)],$Q387)&amp;""))</f>
        <v/>
      </c>
      <c r="F387">
        <f>IF($Q387="","",IF(IF($G$3="","",INDEX(인턴계획표[[정규화1]:[정규화6]],$Q387,$G$3)&amp;"")="","",IF(LEFT(IF($G$3="","",INDEX(인턴계획표[[정규화1]:[정규화6]],$Q387,$G$3)&amp;""),1)="⚠",IF($G$3="","",INDEX(인턴계획표[[정규화1]:[정규화6]],$Q387,$G$3)&amp;""),IFERROR(LEFT(IF($G$3="","",INDEX(인턴계획표[[정규화1]:[정규화6]],$Q387,$G$3)&amp;""),FIND(" ",IF($G$3="","",INDEX(인턴계획표[[정규화1]:[정규화6]],$Q387,$G$3)&amp;""))-1),IF($G$3="","",INDEX(인턴계획표[[정규화1]:[정규화6]],$Q387,$G$3)&amp;"")))))</f>
        <v/>
      </c>
      <c r="G387">
        <f>IF($Q387="","",IF(IF($G$3="","",INDEX(인턴계획표[[정규화1]:[정규화6]],$Q387,$G$3)&amp;"")="","",IF(LEFT(IF($G$3="","",INDEX(인턴계획표[[정규화1]:[정규화6]],$Q387,$G$3)&amp;""),1)="⚠","",IFERROR(MID(IF($G$3="","",INDEX(인턴계획표[[정규화1]:[정규화6]],$Q387,$G$3)&amp;""),FIND(" ",IF($G$3="","",INDEX(인턴계획표[[정규화1]:[정규화6]],$Q387,$G$3)&amp;""))+1,60),""))))</f>
        <v/>
      </c>
      <c r="H387">
        <f>IF($Q387="","",IF(IF($I$3="","",INDEX(인턴계획표[[정규화1]:[정규화6]],$Q387,$I$3)&amp;"")="","",IF(LEFT(IF($I$3="","",INDEX(인턴계획표[[정규화1]:[정규화6]],$Q387,$I$3)&amp;""),1)="⚠",IF($I$3="","",INDEX(인턴계획표[[정규화1]:[정규화6]],$Q387,$I$3)&amp;""),IFERROR(LEFT(IF($I$3="","",INDEX(인턴계획표[[정규화1]:[정규화6]],$Q387,$I$3)&amp;""),FIND(" ",IF($I$3="","",INDEX(인턴계획표[[정규화1]:[정규화6]],$Q387,$I$3)&amp;""))-1),IF($I$3="","",INDEX(인턴계획표[[정규화1]:[정규화6]],$Q387,$I$3)&amp;"")))))</f>
        <v/>
      </c>
      <c r="I387">
        <f>IF($Q387="","",IF(IF($I$3="","",INDEX(인턴계획표[[정규화1]:[정규화6]],$Q387,$I$3)&amp;"")="","",IF(LEFT(IF($I$3="","",INDEX(인턴계획표[[정규화1]:[정규화6]],$Q387,$I$3)&amp;""),1)="⚠","",IFERROR(MID(IF($I$3="","",INDEX(인턴계획표[[정규화1]:[정규화6]],$Q387,$I$3)&amp;""),FIND(" ",IF($I$3="","",INDEX(인턴계획표[[정규화1]:[정규화6]],$Q387,$I$3)&amp;""))+1,60),""))))</f>
        <v/>
      </c>
      <c r="J387">
        <f>IF($Q387="","",INDEX(인턴계획표[정규화1],$Q387))</f>
        <v/>
      </c>
      <c r="K387">
        <f>IF($Q387="","",INDEX(인턴계획표[정규화2],$Q387))</f>
        <v/>
      </c>
      <c r="L387">
        <f>IF($Q387="","",INDEX(인턴계획표[정규화3],$Q387))</f>
        <v/>
      </c>
      <c r="M387">
        <f>IF($Q387="","",INDEX(인턴계획표[정규화4],$Q387))</f>
        <v/>
      </c>
      <c r="N387">
        <f>IF($Q387="","",INDEX(인턴계획표[정규화5],$Q387))</f>
        <v/>
      </c>
      <c r="O387">
        <f>IF($Q387="","",INDEX(인턴계획표[정규화6],$Q387))</f>
        <v/>
      </c>
      <c r="P387">
        <f>IF($Q387="","",INDEX(인턴계획표[입력오류],$Q387))</f>
        <v/>
      </c>
      <c r="Q387" s="17">
        <f>IFERROR(MATCH(382,인턴계획표[표시순번],0),"")</f>
        <v/>
      </c>
    </row>
    <row r="388">
      <c r="A388">
        <f>IF($Q388="","",INDEX(인턴계획표[순번],$Q388)&amp;"")</f>
        <v/>
      </c>
      <c r="B388">
        <f>IF($Q388="","",TRIM(INDEX(인턴계획표[이름],$Q388)&amp;""))</f>
        <v/>
      </c>
      <c r="C388">
        <f>IF($Q388="","",INDEX(인턴계획표[사번],$Q388)&amp;"")</f>
        <v/>
      </c>
      <c r="D388">
        <f>IF($Q388="","",IF(COUNTIF(기본자료표[사번키],INDEX(인턴계획표[사번키],$Q388))&gt;0,"확인","미등록"))</f>
        <v/>
      </c>
      <c r="E388">
        <f>IF($Q388="","",IF(ISNUMBER(INDEX(인턴계획표[입사일(비고)],$Q388)),TEXT(INDEX(인턴계획표[입사일(비고)],$Q388),"yyyy-mm-dd"),INDEX(인턴계획표[입사일(비고)],$Q388)&amp;""))</f>
        <v/>
      </c>
      <c r="F388">
        <f>IF($Q388="","",IF(IF($G$3="","",INDEX(인턴계획표[[정규화1]:[정규화6]],$Q388,$G$3)&amp;"")="","",IF(LEFT(IF($G$3="","",INDEX(인턴계획표[[정규화1]:[정규화6]],$Q388,$G$3)&amp;""),1)="⚠",IF($G$3="","",INDEX(인턴계획표[[정규화1]:[정규화6]],$Q388,$G$3)&amp;""),IFERROR(LEFT(IF($G$3="","",INDEX(인턴계획표[[정규화1]:[정규화6]],$Q388,$G$3)&amp;""),FIND(" ",IF($G$3="","",INDEX(인턴계획표[[정규화1]:[정규화6]],$Q388,$G$3)&amp;""))-1),IF($G$3="","",INDEX(인턴계획표[[정규화1]:[정규화6]],$Q388,$G$3)&amp;"")))))</f>
        <v/>
      </c>
      <c r="G388">
        <f>IF($Q388="","",IF(IF($G$3="","",INDEX(인턴계획표[[정규화1]:[정규화6]],$Q388,$G$3)&amp;"")="","",IF(LEFT(IF($G$3="","",INDEX(인턴계획표[[정규화1]:[정규화6]],$Q388,$G$3)&amp;""),1)="⚠","",IFERROR(MID(IF($G$3="","",INDEX(인턴계획표[[정규화1]:[정규화6]],$Q388,$G$3)&amp;""),FIND(" ",IF($G$3="","",INDEX(인턴계획표[[정규화1]:[정규화6]],$Q388,$G$3)&amp;""))+1,60),""))))</f>
        <v/>
      </c>
      <c r="H388">
        <f>IF($Q388="","",IF(IF($I$3="","",INDEX(인턴계획표[[정규화1]:[정규화6]],$Q388,$I$3)&amp;"")="","",IF(LEFT(IF($I$3="","",INDEX(인턴계획표[[정규화1]:[정규화6]],$Q388,$I$3)&amp;""),1)="⚠",IF($I$3="","",INDEX(인턴계획표[[정규화1]:[정규화6]],$Q388,$I$3)&amp;""),IFERROR(LEFT(IF($I$3="","",INDEX(인턴계획표[[정규화1]:[정규화6]],$Q388,$I$3)&amp;""),FIND(" ",IF($I$3="","",INDEX(인턴계획표[[정규화1]:[정규화6]],$Q388,$I$3)&amp;""))-1),IF($I$3="","",INDEX(인턴계획표[[정규화1]:[정규화6]],$Q388,$I$3)&amp;"")))))</f>
        <v/>
      </c>
      <c r="I388">
        <f>IF($Q388="","",IF(IF($I$3="","",INDEX(인턴계획표[[정규화1]:[정규화6]],$Q388,$I$3)&amp;"")="","",IF(LEFT(IF($I$3="","",INDEX(인턴계획표[[정규화1]:[정규화6]],$Q388,$I$3)&amp;""),1)="⚠","",IFERROR(MID(IF($I$3="","",INDEX(인턴계획표[[정규화1]:[정규화6]],$Q388,$I$3)&amp;""),FIND(" ",IF($I$3="","",INDEX(인턴계획표[[정규화1]:[정규화6]],$Q388,$I$3)&amp;""))+1,60),""))))</f>
        <v/>
      </c>
      <c r="J388">
        <f>IF($Q388="","",INDEX(인턴계획표[정규화1],$Q388))</f>
        <v/>
      </c>
      <c r="K388">
        <f>IF($Q388="","",INDEX(인턴계획표[정규화2],$Q388))</f>
        <v/>
      </c>
      <c r="L388">
        <f>IF($Q388="","",INDEX(인턴계획표[정규화3],$Q388))</f>
        <v/>
      </c>
      <c r="M388">
        <f>IF($Q388="","",INDEX(인턴계획표[정규화4],$Q388))</f>
        <v/>
      </c>
      <c r="N388">
        <f>IF($Q388="","",INDEX(인턴계획표[정규화5],$Q388))</f>
        <v/>
      </c>
      <c r="O388">
        <f>IF($Q388="","",INDEX(인턴계획표[정규화6],$Q388))</f>
        <v/>
      </c>
      <c r="P388">
        <f>IF($Q388="","",INDEX(인턴계획표[입력오류],$Q388))</f>
        <v/>
      </c>
      <c r="Q388" s="17">
        <f>IFERROR(MATCH(383,인턴계획표[표시순번],0),"")</f>
        <v/>
      </c>
    </row>
    <row r="389">
      <c r="A389">
        <f>IF($Q389="","",INDEX(인턴계획표[순번],$Q389)&amp;"")</f>
        <v/>
      </c>
      <c r="B389">
        <f>IF($Q389="","",TRIM(INDEX(인턴계획표[이름],$Q389)&amp;""))</f>
        <v/>
      </c>
      <c r="C389">
        <f>IF($Q389="","",INDEX(인턴계획표[사번],$Q389)&amp;"")</f>
        <v/>
      </c>
      <c r="D389">
        <f>IF($Q389="","",IF(COUNTIF(기본자료표[사번키],INDEX(인턴계획표[사번키],$Q389))&gt;0,"확인","미등록"))</f>
        <v/>
      </c>
      <c r="E389">
        <f>IF($Q389="","",IF(ISNUMBER(INDEX(인턴계획표[입사일(비고)],$Q389)),TEXT(INDEX(인턴계획표[입사일(비고)],$Q389),"yyyy-mm-dd"),INDEX(인턴계획표[입사일(비고)],$Q389)&amp;""))</f>
        <v/>
      </c>
      <c r="F389">
        <f>IF($Q389="","",IF(IF($G$3="","",INDEX(인턴계획표[[정규화1]:[정규화6]],$Q389,$G$3)&amp;"")="","",IF(LEFT(IF($G$3="","",INDEX(인턴계획표[[정규화1]:[정규화6]],$Q389,$G$3)&amp;""),1)="⚠",IF($G$3="","",INDEX(인턴계획표[[정규화1]:[정규화6]],$Q389,$G$3)&amp;""),IFERROR(LEFT(IF($G$3="","",INDEX(인턴계획표[[정규화1]:[정규화6]],$Q389,$G$3)&amp;""),FIND(" ",IF($G$3="","",INDEX(인턴계획표[[정규화1]:[정규화6]],$Q389,$G$3)&amp;""))-1),IF($G$3="","",INDEX(인턴계획표[[정규화1]:[정규화6]],$Q389,$G$3)&amp;"")))))</f>
        <v/>
      </c>
      <c r="G389">
        <f>IF($Q389="","",IF(IF($G$3="","",INDEX(인턴계획표[[정규화1]:[정규화6]],$Q389,$G$3)&amp;"")="","",IF(LEFT(IF($G$3="","",INDEX(인턴계획표[[정규화1]:[정규화6]],$Q389,$G$3)&amp;""),1)="⚠","",IFERROR(MID(IF($G$3="","",INDEX(인턴계획표[[정규화1]:[정규화6]],$Q389,$G$3)&amp;""),FIND(" ",IF($G$3="","",INDEX(인턴계획표[[정규화1]:[정규화6]],$Q389,$G$3)&amp;""))+1,60),""))))</f>
        <v/>
      </c>
      <c r="H389">
        <f>IF($Q389="","",IF(IF($I$3="","",INDEX(인턴계획표[[정규화1]:[정규화6]],$Q389,$I$3)&amp;"")="","",IF(LEFT(IF($I$3="","",INDEX(인턴계획표[[정규화1]:[정규화6]],$Q389,$I$3)&amp;""),1)="⚠",IF($I$3="","",INDEX(인턴계획표[[정규화1]:[정규화6]],$Q389,$I$3)&amp;""),IFERROR(LEFT(IF($I$3="","",INDEX(인턴계획표[[정규화1]:[정규화6]],$Q389,$I$3)&amp;""),FIND(" ",IF($I$3="","",INDEX(인턴계획표[[정규화1]:[정규화6]],$Q389,$I$3)&amp;""))-1),IF($I$3="","",INDEX(인턴계획표[[정규화1]:[정규화6]],$Q389,$I$3)&amp;"")))))</f>
        <v/>
      </c>
      <c r="I389">
        <f>IF($Q389="","",IF(IF($I$3="","",INDEX(인턴계획표[[정규화1]:[정규화6]],$Q389,$I$3)&amp;"")="","",IF(LEFT(IF($I$3="","",INDEX(인턴계획표[[정규화1]:[정규화6]],$Q389,$I$3)&amp;""),1)="⚠","",IFERROR(MID(IF($I$3="","",INDEX(인턴계획표[[정규화1]:[정규화6]],$Q389,$I$3)&amp;""),FIND(" ",IF($I$3="","",INDEX(인턴계획표[[정규화1]:[정규화6]],$Q389,$I$3)&amp;""))+1,60),""))))</f>
        <v/>
      </c>
      <c r="J389">
        <f>IF($Q389="","",INDEX(인턴계획표[정규화1],$Q389))</f>
        <v/>
      </c>
      <c r="K389">
        <f>IF($Q389="","",INDEX(인턴계획표[정규화2],$Q389))</f>
        <v/>
      </c>
      <c r="L389">
        <f>IF($Q389="","",INDEX(인턴계획표[정규화3],$Q389))</f>
        <v/>
      </c>
      <c r="M389">
        <f>IF($Q389="","",INDEX(인턴계획표[정규화4],$Q389))</f>
        <v/>
      </c>
      <c r="N389">
        <f>IF($Q389="","",INDEX(인턴계획표[정규화5],$Q389))</f>
        <v/>
      </c>
      <c r="O389">
        <f>IF($Q389="","",INDEX(인턴계획표[정규화6],$Q389))</f>
        <v/>
      </c>
      <c r="P389">
        <f>IF($Q389="","",INDEX(인턴계획표[입력오류],$Q389))</f>
        <v/>
      </c>
      <c r="Q389" s="17">
        <f>IFERROR(MATCH(384,인턴계획표[표시순번],0),"")</f>
        <v/>
      </c>
    </row>
    <row r="390">
      <c r="A390">
        <f>IF($Q390="","",INDEX(인턴계획표[순번],$Q390)&amp;"")</f>
        <v/>
      </c>
      <c r="B390">
        <f>IF($Q390="","",TRIM(INDEX(인턴계획표[이름],$Q390)&amp;""))</f>
        <v/>
      </c>
      <c r="C390">
        <f>IF($Q390="","",INDEX(인턴계획표[사번],$Q390)&amp;"")</f>
        <v/>
      </c>
      <c r="D390">
        <f>IF($Q390="","",IF(COUNTIF(기본자료표[사번키],INDEX(인턴계획표[사번키],$Q390))&gt;0,"확인","미등록"))</f>
        <v/>
      </c>
      <c r="E390">
        <f>IF($Q390="","",IF(ISNUMBER(INDEX(인턴계획표[입사일(비고)],$Q390)),TEXT(INDEX(인턴계획표[입사일(비고)],$Q390),"yyyy-mm-dd"),INDEX(인턴계획표[입사일(비고)],$Q390)&amp;""))</f>
        <v/>
      </c>
      <c r="F390">
        <f>IF($Q390="","",IF(IF($G$3="","",INDEX(인턴계획표[[정규화1]:[정규화6]],$Q390,$G$3)&amp;"")="","",IF(LEFT(IF($G$3="","",INDEX(인턴계획표[[정규화1]:[정규화6]],$Q390,$G$3)&amp;""),1)="⚠",IF($G$3="","",INDEX(인턴계획표[[정규화1]:[정규화6]],$Q390,$G$3)&amp;""),IFERROR(LEFT(IF($G$3="","",INDEX(인턴계획표[[정규화1]:[정규화6]],$Q390,$G$3)&amp;""),FIND(" ",IF($G$3="","",INDEX(인턴계획표[[정규화1]:[정규화6]],$Q390,$G$3)&amp;""))-1),IF($G$3="","",INDEX(인턴계획표[[정규화1]:[정규화6]],$Q390,$G$3)&amp;"")))))</f>
        <v/>
      </c>
      <c r="G390">
        <f>IF($Q390="","",IF(IF($G$3="","",INDEX(인턴계획표[[정규화1]:[정규화6]],$Q390,$G$3)&amp;"")="","",IF(LEFT(IF($G$3="","",INDEX(인턴계획표[[정규화1]:[정규화6]],$Q390,$G$3)&amp;""),1)="⚠","",IFERROR(MID(IF($G$3="","",INDEX(인턴계획표[[정규화1]:[정규화6]],$Q390,$G$3)&amp;""),FIND(" ",IF($G$3="","",INDEX(인턴계획표[[정규화1]:[정규화6]],$Q390,$G$3)&amp;""))+1,60),""))))</f>
        <v/>
      </c>
      <c r="H390">
        <f>IF($Q390="","",IF(IF($I$3="","",INDEX(인턴계획표[[정규화1]:[정규화6]],$Q390,$I$3)&amp;"")="","",IF(LEFT(IF($I$3="","",INDEX(인턴계획표[[정규화1]:[정규화6]],$Q390,$I$3)&amp;""),1)="⚠",IF($I$3="","",INDEX(인턴계획표[[정규화1]:[정규화6]],$Q390,$I$3)&amp;""),IFERROR(LEFT(IF($I$3="","",INDEX(인턴계획표[[정규화1]:[정규화6]],$Q390,$I$3)&amp;""),FIND(" ",IF($I$3="","",INDEX(인턴계획표[[정규화1]:[정규화6]],$Q390,$I$3)&amp;""))-1),IF($I$3="","",INDEX(인턴계획표[[정규화1]:[정규화6]],$Q390,$I$3)&amp;"")))))</f>
        <v/>
      </c>
      <c r="I390">
        <f>IF($Q390="","",IF(IF($I$3="","",INDEX(인턴계획표[[정규화1]:[정규화6]],$Q390,$I$3)&amp;"")="","",IF(LEFT(IF($I$3="","",INDEX(인턴계획표[[정규화1]:[정규화6]],$Q390,$I$3)&amp;""),1)="⚠","",IFERROR(MID(IF($I$3="","",INDEX(인턴계획표[[정규화1]:[정규화6]],$Q390,$I$3)&amp;""),FIND(" ",IF($I$3="","",INDEX(인턴계획표[[정규화1]:[정규화6]],$Q390,$I$3)&amp;""))+1,60),""))))</f>
        <v/>
      </c>
      <c r="J390">
        <f>IF($Q390="","",INDEX(인턴계획표[정규화1],$Q390))</f>
        <v/>
      </c>
      <c r="K390">
        <f>IF($Q390="","",INDEX(인턴계획표[정규화2],$Q390))</f>
        <v/>
      </c>
      <c r="L390">
        <f>IF($Q390="","",INDEX(인턴계획표[정규화3],$Q390))</f>
        <v/>
      </c>
      <c r="M390">
        <f>IF($Q390="","",INDEX(인턴계획표[정규화4],$Q390))</f>
        <v/>
      </c>
      <c r="N390">
        <f>IF($Q390="","",INDEX(인턴계획표[정규화5],$Q390))</f>
        <v/>
      </c>
      <c r="O390">
        <f>IF($Q390="","",INDEX(인턴계획표[정규화6],$Q390))</f>
        <v/>
      </c>
      <c r="P390">
        <f>IF($Q390="","",INDEX(인턴계획표[입력오류],$Q390))</f>
        <v/>
      </c>
      <c r="Q390" s="17">
        <f>IFERROR(MATCH(385,인턴계획표[표시순번],0),"")</f>
        <v/>
      </c>
    </row>
    <row r="391">
      <c r="A391">
        <f>IF($Q391="","",INDEX(인턴계획표[순번],$Q391)&amp;"")</f>
        <v/>
      </c>
      <c r="B391">
        <f>IF($Q391="","",TRIM(INDEX(인턴계획표[이름],$Q391)&amp;""))</f>
        <v/>
      </c>
      <c r="C391">
        <f>IF($Q391="","",INDEX(인턴계획표[사번],$Q391)&amp;"")</f>
        <v/>
      </c>
      <c r="D391">
        <f>IF($Q391="","",IF(COUNTIF(기본자료표[사번키],INDEX(인턴계획표[사번키],$Q391))&gt;0,"확인","미등록"))</f>
        <v/>
      </c>
      <c r="E391">
        <f>IF($Q391="","",IF(ISNUMBER(INDEX(인턴계획표[입사일(비고)],$Q391)),TEXT(INDEX(인턴계획표[입사일(비고)],$Q391),"yyyy-mm-dd"),INDEX(인턴계획표[입사일(비고)],$Q391)&amp;""))</f>
        <v/>
      </c>
      <c r="F391">
        <f>IF($Q391="","",IF(IF($G$3="","",INDEX(인턴계획표[[정규화1]:[정규화6]],$Q391,$G$3)&amp;"")="","",IF(LEFT(IF($G$3="","",INDEX(인턴계획표[[정규화1]:[정규화6]],$Q391,$G$3)&amp;""),1)="⚠",IF($G$3="","",INDEX(인턴계획표[[정규화1]:[정규화6]],$Q391,$G$3)&amp;""),IFERROR(LEFT(IF($G$3="","",INDEX(인턴계획표[[정규화1]:[정규화6]],$Q391,$G$3)&amp;""),FIND(" ",IF($G$3="","",INDEX(인턴계획표[[정규화1]:[정규화6]],$Q391,$G$3)&amp;""))-1),IF($G$3="","",INDEX(인턴계획표[[정규화1]:[정규화6]],$Q391,$G$3)&amp;"")))))</f>
        <v/>
      </c>
      <c r="G391">
        <f>IF($Q391="","",IF(IF($G$3="","",INDEX(인턴계획표[[정규화1]:[정규화6]],$Q391,$G$3)&amp;"")="","",IF(LEFT(IF($G$3="","",INDEX(인턴계획표[[정규화1]:[정규화6]],$Q391,$G$3)&amp;""),1)="⚠","",IFERROR(MID(IF($G$3="","",INDEX(인턴계획표[[정규화1]:[정규화6]],$Q391,$G$3)&amp;""),FIND(" ",IF($G$3="","",INDEX(인턴계획표[[정규화1]:[정규화6]],$Q391,$G$3)&amp;""))+1,60),""))))</f>
        <v/>
      </c>
      <c r="H391">
        <f>IF($Q391="","",IF(IF($I$3="","",INDEX(인턴계획표[[정규화1]:[정규화6]],$Q391,$I$3)&amp;"")="","",IF(LEFT(IF($I$3="","",INDEX(인턴계획표[[정규화1]:[정규화6]],$Q391,$I$3)&amp;""),1)="⚠",IF($I$3="","",INDEX(인턴계획표[[정규화1]:[정규화6]],$Q391,$I$3)&amp;""),IFERROR(LEFT(IF($I$3="","",INDEX(인턴계획표[[정규화1]:[정규화6]],$Q391,$I$3)&amp;""),FIND(" ",IF($I$3="","",INDEX(인턴계획표[[정규화1]:[정규화6]],$Q391,$I$3)&amp;""))-1),IF($I$3="","",INDEX(인턴계획표[[정규화1]:[정규화6]],$Q391,$I$3)&amp;"")))))</f>
        <v/>
      </c>
      <c r="I391">
        <f>IF($Q391="","",IF(IF($I$3="","",INDEX(인턴계획표[[정규화1]:[정규화6]],$Q391,$I$3)&amp;"")="","",IF(LEFT(IF($I$3="","",INDEX(인턴계획표[[정규화1]:[정규화6]],$Q391,$I$3)&amp;""),1)="⚠","",IFERROR(MID(IF($I$3="","",INDEX(인턴계획표[[정규화1]:[정규화6]],$Q391,$I$3)&amp;""),FIND(" ",IF($I$3="","",INDEX(인턴계획표[[정규화1]:[정규화6]],$Q391,$I$3)&amp;""))+1,60),""))))</f>
        <v/>
      </c>
      <c r="J391">
        <f>IF($Q391="","",INDEX(인턴계획표[정규화1],$Q391))</f>
        <v/>
      </c>
      <c r="K391">
        <f>IF($Q391="","",INDEX(인턴계획표[정규화2],$Q391))</f>
        <v/>
      </c>
      <c r="L391">
        <f>IF($Q391="","",INDEX(인턴계획표[정규화3],$Q391))</f>
        <v/>
      </c>
      <c r="M391">
        <f>IF($Q391="","",INDEX(인턴계획표[정규화4],$Q391))</f>
        <v/>
      </c>
      <c r="N391">
        <f>IF($Q391="","",INDEX(인턴계획표[정규화5],$Q391))</f>
        <v/>
      </c>
      <c r="O391">
        <f>IF($Q391="","",INDEX(인턴계획표[정규화6],$Q391))</f>
        <v/>
      </c>
      <c r="P391">
        <f>IF($Q391="","",INDEX(인턴계획표[입력오류],$Q391))</f>
        <v/>
      </c>
      <c r="Q391" s="17">
        <f>IFERROR(MATCH(386,인턴계획표[표시순번],0),"")</f>
        <v/>
      </c>
    </row>
    <row r="392">
      <c r="A392">
        <f>IF($Q392="","",INDEX(인턴계획표[순번],$Q392)&amp;"")</f>
        <v/>
      </c>
      <c r="B392">
        <f>IF($Q392="","",TRIM(INDEX(인턴계획표[이름],$Q392)&amp;""))</f>
        <v/>
      </c>
      <c r="C392">
        <f>IF($Q392="","",INDEX(인턴계획표[사번],$Q392)&amp;"")</f>
        <v/>
      </c>
      <c r="D392">
        <f>IF($Q392="","",IF(COUNTIF(기본자료표[사번키],INDEX(인턴계획표[사번키],$Q392))&gt;0,"확인","미등록"))</f>
        <v/>
      </c>
      <c r="E392">
        <f>IF($Q392="","",IF(ISNUMBER(INDEX(인턴계획표[입사일(비고)],$Q392)),TEXT(INDEX(인턴계획표[입사일(비고)],$Q392),"yyyy-mm-dd"),INDEX(인턴계획표[입사일(비고)],$Q392)&amp;""))</f>
        <v/>
      </c>
      <c r="F392">
        <f>IF($Q392="","",IF(IF($G$3="","",INDEX(인턴계획표[[정규화1]:[정규화6]],$Q392,$G$3)&amp;"")="","",IF(LEFT(IF($G$3="","",INDEX(인턴계획표[[정규화1]:[정규화6]],$Q392,$G$3)&amp;""),1)="⚠",IF($G$3="","",INDEX(인턴계획표[[정규화1]:[정규화6]],$Q392,$G$3)&amp;""),IFERROR(LEFT(IF($G$3="","",INDEX(인턴계획표[[정규화1]:[정규화6]],$Q392,$G$3)&amp;""),FIND(" ",IF($G$3="","",INDEX(인턴계획표[[정규화1]:[정규화6]],$Q392,$G$3)&amp;""))-1),IF($G$3="","",INDEX(인턴계획표[[정규화1]:[정규화6]],$Q392,$G$3)&amp;"")))))</f>
        <v/>
      </c>
      <c r="G392">
        <f>IF($Q392="","",IF(IF($G$3="","",INDEX(인턴계획표[[정규화1]:[정규화6]],$Q392,$G$3)&amp;"")="","",IF(LEFT(IF($G$3="","",INDEX(인턴계획표[[정규화1]:[정규화6]],$Q392,$G$3)&amp;""),1)="⚠","",IFERROR(MID(IF($G$3="","",INDEX(인턴계획표[[정규화1]:[정규화6]],$Q392,$G$3)&amp;""),FIND(" ",IF($G$3="","",INDEX(인턴계획표[[정규화1]:[정규화6]],$Q392,$G$3)&amp;""))+1,60),""))))</f>
        <v/>
      </c>
      <c r="H392">
        <f>IF($Q392="","",IF(IF($I$3="","",INDEX(인턴계획표[[정규화1]:[정규화6]],$Q392,$I$3)&amp;"")="","",IF(LEFT(IF($I$3="","",INDEX(인턴계획표[[정규화1]:[정규화6]],$Q392,$I$3)&amp;""),1)="⚠",IF($I$3="","",INDEX(인턴계획표[[정규화1]:[정규화6]],$Q392,$I$3)&amp;""),IFERROR(LEFT(IF($I$3="","",INDEX(인턴계획표[[정규화1]:[정규화6]],$Q392,$I$3)&amp;""),FIND(" ",IF($I$3="","",INDEX(인턴계획표[[정규화1]:[정규화6]],$Q392,$I$3)&amp;""))-1),IF($I$3="","",INDEX(인턴계획표[[정규화1]:[정규화6]],$Q392,$I$3)&amp;"")))))</f>
        <v/>
      </c>
      <c r="I392">
        <f>IF($Q392="","",IF(IF($I$3="","",INDEX(인턴계획표[[정규화1]:[정규화6]],$Q392,$I$3)&amp;"")="","",IF(LEFT(IF($I$3="","",INDEX(인턴계획표[[정규화1]:[정규화6]],$Q392,$I$3)&amp;""),1)="⚠","",IFERROR(MID(IF($I$3="","",INDEX(인턴계획표[[정규화1]:[정규화6]],$Q392,$I$3)&amp;""),FIND(" ",IF($I$3="","",INDEX(인턴계획표[[정규화1]:[정규화6]],$Q392,$I$3)&amp;""))+1,60),""))))</f>
        <v/>
      </c>
      <c r="J392">
        <f>IF($Q392="","",INDEX(인턴계획표[정규화1],$Q392))</f>
        <v/>
      </c>
      <c r="K392">
        <f>IF($Q392="","",INDEX(인턴계획표[정규화2],$Q392))</f>
        <v/>
      </c>
      <c r="L392">
        <f>IF($Q392="","",INDEX(인턴계획표[정규화3],$Q392))</f>
        <v/>
      </c>
      <c r="M392">
        <f>IF($Q392="","",INDEX(인턴계획표[정규화4],$Q392))</f>
        <v/>
      </c>
      <c r="N392">
        <f>IF($Q392="","",INDEX(인턴계획표[정규화5],$Q392))</f>
        <v/>
      </c>
      <c r="O392">
        <f>IF($Q392="","",INDEX(인턴계획표[정규화6],$Q392))</f>
        <v/>
      </c>
      <c r="P392">
        <f>IF($Q392="","",INDEX(인턴계획표[입력오류],$Q392))</f>
        <v/>
      </c>
      <c r="Q392" s="17">
        <f>IFERROR(MATCH(387,인턴계획표[표시순번],0),"")</f>
        <v/>
      </c>
    </row>
    <row r="393">
      <c r="A393">
        <f>IF($Q393="","",INDEX(인턴계획표[순번],$Q393)&amp;"")</f>
        <v/>
      </c>
      <c r="B393">
        <f>IF($Q393="","",TRIM(INDEX(인턴계획표[이름],$Q393)&amp;""))</f>
        <v/>
      </c>
      <c r="C393">
        <f>IF($Q393="","",INDEX(인턴계획표[사번],$Q393)&amp;"")</f>
        <v/>
      </c>
      <c r="D393">
        <f>IF($Q393="","",IF(COUNTIF(기본자료표[사번키],INDEX(인턴계획표[사번키],$Q393))&gt;0,"확인","미등록"))</f>
        <v/>
      </c>
      <c r="E393">
        <f>IF($Q393="","",IF(ISNUMBER(INDEX(인턴계획표[입사일(비고)],$Q393)),TEXT(INDEX(인턴계획표[입사일(비고)],$Q393),"yyyy-mm-dd"),INDEX(인턴계획표[입사일(비고)],$Q393)&amp;""))</f>
        <v/>
      </c>
      <c r="F393">
        <f>IF($Q393="","",IF(IF($G$3="","",INDEX(인턴계획표[[정규화1]:[정규화6]],$Q393,$G$3)&amp;"")="","",IF(LEFT(IF($G$3="","",INDEX(인턴계획표[[정규화1]:[정규화6]],$Q393,$G$3)&amp;""),1)="⚠",IF($G$3="","",INDEX(인턴계획표[[정규화1]:[정규화6]],$Q393,$G$3)&amp;""),IFERROR(LEFT(IF($G$3="","",INDEX(인턴계획표[[정규화1]:[정규화6]],$Q393,$G$3)&amp;""),FIND(" ",IF($G$3="","",INDEX(인턴계획표[[정규화1]:[정규화6]],$Q393,$G$3)&amp;""))-1),IF($G$3="","",INDEX(인턴계획표[[정규화1]:[정규화6]],$Q393,$G$3)&amp;"")))))</f>
        <v/>
      </c>
      <c r="G393">
        <f>IF($Q393="","",IF(IF($G$3="","",INDEX(인턴계획표[[정규화1]:[정규화6]],$Q393,$G$3)&amp;"")="","",IF(LEFT(IF($G$3="","",INDEX(인턴계획표[[정규화1]:[정규화6]],$Q393,$G$3)&amp;""),1)="⚠","",IFERROR(MID(IF($G$3="","",INDEX(인턴계획표[[정규화1]:[정규화6]],$Q393,$G$3)&amp;""),FIND(" ",IF($G$3="","",INDEX(인턴계획표[[정규화1]:[정규화6]],$Q393,$G$3)&amp;""))+1,60),""))))</f>
        <v/>
      </c>
      <c r="H393">
        <f>IF($Q393="","",IF(IF($I$3="","",INDEX(인턴계획표[[정규화1]:[정규화6]],$Q393,$I$3)&amp;"")="","",IF(LEFT(IF($I$3="","",INDEX(인턴계획표[[정규화1]:[정규화6]],$Q393,$I$3)&amp;""),1)="⚠",IF($I$3="","",INDEX(인턴계획표[[정규화1]:[정규화6]],$Q393,$I$3)&amp;""),IFERROR(LEFT(IF($I$3="","",INDEX(인턴계획표[[정규화1]:[정규화6]],$Q393,$I$3)&amp;""),FIND(" ",IF($I$3="","",INDEX(인턴계획표[[정규화1]:[정규화6]],$Q393,$I$3)&amp;""))-1),IF($I$3="","",INDEX(인턴계획표[[정규화1]:[정규화6]],$Q393,$I$3)&amp;"")))))</f>
        <v/>
      </c>
      <c r="I393">
        <f>IF($Q393="","",IF(IF($I$3="","",INDEX(인턴계획표[[정규화1]:[정규화6]],$Q393,$I$3)&amp;"")="","",IF(LEFT(IF($I$3="","",INDEX(인턴계획표[[정규화1]:[정규화6]],$Q393,$I$3)&amp;""),1)="⚠","",IFERROR(MID(IF($I$3="","",INDEX(인턴계획표[[정규화1]:[정규화6]],$Q393,$I$3)&amp;""),FIND(" ",IF($I$3="","",INDEX(인턴계획표[[정규화1]:[정규화6]],$Q393,$I$3)&amp;""))+1,60),""))))</f>
        <v/>
      </c>
      <c r="J393">
        <f>IF($Q393="","",INDEX(인턴계획표[정규화1],$Q393))</f>
        <v/>
      </c>
      <c r="K393">
        <f>IF($Q393="","",INDEX(인턴계획표[정규화2],$Q393))</f>
        <v/>
      </c>
      <c r="L393">
        <f>IF($Q393="","",INDEX(인턴계획표[정규화3],$Q393))</f>
        <v/>
      </c>
      <c r="M393">
        <f>IF($Q393="","",INDEX(인턴계획표[정규화4],$Q393))</f>
        <v/>
      </c>
      <c r="N393">
        <f>IF($Q393="","",INDEX(인턴계획표[정규화5],$Q393))</f>
        <v/>
      </c>
      <c r="O393">
        <f>IF($Q393="","",INDEX(인턴계획표[정규화6],$Q393))</f>
        <v/>
      </c>
      <c r="P393">
        <f>IF($Q393="","",INDEX(인턴계획표[입력오류],$Q393))</f>
        <v/>
      </c>
      <c r="Q393" s="17">
        <f>IFERROR(MATCH(388,인턴계획표[표시순번],0),"")</f>
        <v/>
      </c>
    </row>
    <row r="394">
      <c r="A394">
        <f>IF($Q394="","",INDEX(인턴계획표[순번],$Q394)&amp;"")</f>
        <v/>
      </c>
      <c r="B394">
        <f>IF($Q394="","",TRIM(INDEX(인턴계획표[이름],$Q394)&amp;""))</f>
        <v/>
      </c>
      <c r="C394">
        <f>IF($Q394="","",INDEX(인턴계획표[사번],$Q394)&amp;"")</f>
        <v/>
      </c>
      <c r="D394">
        <f>IF($Q394="","",IF(COUNTIF(기본자료표[사번키],INDEX(인턴계획표[사번키],$Q394))&gt;0,"확인","미등록"))</f>
        <v/>
      </c>
      <c r="E394">
        <f>IF($Q394="","",IF(ISNUMBER(INDEX(인턴계획표[입사일(비고)],$Q394)),TEXT(INDEX(인턴계획표[입사일(비고)],$Q394),"yyyy-mm-dd"),INDEX(인턴계획표[입사일(비고)],$Q394)&amp;""))</f>
        <v/>
      </c>
      <c r="F394">
        <f>IF($Q394="","",IF(IF($G$3="","",INDEX(인턴계획표[[정규화1]:[정규화6]],$Q394,$G$3)&amp;"")="","",IF(LEFT(IF($G$3="","",INDEX(인턴계획표[[정규화1]:[정규화6]],$Q394,$G$3)&amp;""),1)="⚠",IF($G$3="","",INDEX(인턴계획표[[정규화1]:[정규화6]],$Q394,$G$3)&amp;""),IFERROR(LEFT(IF($G$3="","",INDEX(인턴계획표[[정규화1]:[정규화6]],$Q394,$G$3)&amp;""),FIND(" ",IF($G$3="","",INDEX(인턴계획표[[정규화1]:[정규화6]],$Q394,$G$3)&amp;""))-1),IF($G$3="","",INDEX(인턴계획표[[정규화1]:[정규화6]],$Q394,$G$3)&amp;"")))))</f>
        <v/>
      </c>
      <c r="G394">
        <f>IF($Q394="","",IF(IF($G$3="","",INDEX(인턴계획표[[정규화1]:[정규화6]],$Q394,$G$3)&amp;"")="","",IF(LEFT(IF($G$3="","",INDEX(인턴계획표[[정규화1]:[정규화6]],$Q394,$G$3)&amp;""),1)="⚠","",IFERROR(MID(IF($G$3="","",INDEX(인턴계획표[[정규화1]:[정규화6]],$Q394,$G$3)&amp;""),FIND(" ",IF($G$3="","",INDEX(인턴계획표[[정규화1]:[정규화6]],$Q394,$G$3)&amp;""))+1,60),""))))</f>
        <v/>
      </c>
      <c r="H394">
        <f>IF($Q394="","",IF(IF($I$3="","",INDEX(인턴계획표[[정규화1]:[정규화6]],$Q394,$I$3)&amp;"")="","",IF(LEFT(IF($I$3="","",INDEX(인턴계획표[[정규화1]:[정규화6]],$Q394,$I$3)&amp;""),1)="⚠",IF($I$3="","",INDEX(인턴계획표[[정규화1]:[정규화6]],$Q394,$I$3)&amp;""),IFERROR(LEFT(IF($I$3="","",INDEX(인턴계획표[[정규화1]:[정규화6]],$Q394,$I$3)&amp;""),FIND(" ",IF($I$3="","",INDEX(인턴계획표[[정규화1]:[정규화6]],$Q394,$I$3)&amp;""))-1),IF($I$3="","",INDEX(인턴계획표[[정규화1]:[정규화6]],$Q394,$I$3)&amp;"")))))</f>
        <v/>
      </c>
      <c r="I394">
        <f>IF($Q394="","",IF(IF($I$3="","",INDEX(인턴계획표[[정규화1]:[정규화6]],$Q394,$I$3)&amp;"")="","",IF(LEFT(IF($I$3="","",INDEX(인턴계획표[[정규화1]:[정규화6]],$Q394,$I$3)&amp;""),1)="⚠","",IFERROR(MID(IF($I$3="","",INDEX(인턴계획표[[정규화1]:[정규화6]],$Q394,$I$3)&amp;""),FIND(" ",IF($I$3="","",INDEX(인턴계획표[[정규화1]:[정규화6]],$Q394,$I$3)&amp;""))+1,60),""))))</f>
        <v/>
      </c>
      <c r="J394">
        <f>IF($Q394="","",INDEX(인턴계획표[정규화1],$Q394))</f>
        <v/>
      </c>
      <c r="K394">
        <f>IF($Q394="","",INDEX(인턴계획표[정규화2],$Q394))</f>
        <v/>
      </c>
      <c r="L394">
        <f>IF($Q394="","",INDEX(인턴계획표[정규화3],$Q394))</f>
        <v/>
      </c>
      <c r="M394">
        <f>IF($Q394="","",INDEX(인턴계획표[정규화4],$Q394))</f>
        <v/>
      </c>
      <c r="N394">
        <f>IF($Q394="","",INDEX(인턴계획표[정규화5],$Q394))</f>
        <v/>
      </c>
      <c r="O394">
        <f>IF($Q394="","",INDEX(인턴계획표[정규화6],$Q394))</f>
        <v/>
      </c>
      <c r="P394">
        <f>IF($Q394="","",INDEX(인턴계획표[입력오류],$Q394))</f>
        <v/>
      </c>
      <c r="Q394" s="17">
        <f>IFERROR(MATCH(389,인턴계획표[표시순번],0),"")</f>
        <v/>
      </c>
    </row>
    <row r="395">
      <c r="A395">
        <f>IF($Q395="","",INDEX(인턴계획표[순번],$Q395)&amp;"")</f>
        <v/>
      </c>
      <c r="B395">
        <f>IF($Q395="","",TRIM(INDEX(인턴계획표[이름],$Q395)&amp;""))</f>
        <v/>
      </c>
      <c r="C395">
        <f>IF($Q395="","",INDEX(인턴계획표[사번],$Q395)&amp;"")</f>
        <v/>
      </c>
      <c r="D395">
        <f>IF($Q395="","",IF(COUNTIF(기본자료표[사번키],INDEX(인턴계획표[사번키],$Q395))&gt;0,"확인","미등록"))</f>
        <v/>
      </c>
      <c r="E395">
        <f>IF($Q395="","",IF(ISNUMBER(INDEX(인턴계획표[입사일(비고)],$Q395)),TEXT(INDEX(인턴계획표[입사일(비고)],$Q395),"yyyy-mm-dd"),INDEX(인턴계획표[입사일(비고)],$Q395)&amp;""))</f>
        <v/>
      </c>
      <c r="F395">
        <f>IF($Q395="","",IF(IF($G$3="","",INDEX(인턴계획표[[정규화1]:[정규화6]],$Q395,$G$3)&amp;"")="","",IF(LEFT(IF($G$3="","",INDEX(인턴계획표[[정규화1]:[정규화6]],$Q395,$G$3)&amp;""),1)="⚠",IF($G$3="","",INDEX(인턴계획표[[정규화1]:[정규화6]],$Q395,$G$3)&amp;""),IFERROR(LEFT(IF($G$3="","",INDEX(인턴계획표[[정규화1]:[정규화6]],$Q395,$G$3)&amp;""),FIND(" ",IF($G$3="","",INDEX(인턴계획표[[정규화1]:[정규화6]],$Q395,$G$3)&amp;""))-1),IF($G$3="","",INDEX(인턴계획표[[정규화1]:[정규화6]],$Q395,$G$3)&amp;"")))))</f>
        <v/>
      </c>
      <c r="G395">
        <f>IF($Q395="","",IF(IF($G$3="","",INDEX(인턴계획표[[정규화1]:[정규화6]],$Q395,$G$3)&amp;"")="","",IF(LEFT(IF($G$3="","",INDEX(인턴계획표[[정규화1]:[정규화6]],$Q395,$G$3)&amp;""),1)="⚠","",IFERROR(MID(IF($G$3="","",INDEX(인턴계획표[[정규화1]:[정규화6]],$Q395,$G$3)&amp;""),FIND(" ",IF($G$3="","",INDEX(인턴계획표[[정규화1]:[정규화6]],$Q395,$G$3)&amp;""))+1,60),""))))</f>
        <v/>
      </c>
      <c r="H395">
        <f>IF($Q395="","",IF(IF($I$3="","",INDEX(인턴계획표[[정규화1]:[정규화6]],$Q395,$I$3)&amp;"")="","",IF(LEFT(IF($I$3="","",INDEX(인턴계획표[[정규화1]:[정규화6]],$Q395,$I$3)&amp;""),1)="⚠",IF($I$3="","",INDEX(인턴계획표[[정규화1]:[정규화6]],$Q395,$I$3)&amp;""),IFERROR(LEFT(IF($I$3="","",INDEX(인턴계획표[[정규화1]:[정규화6]],$Q395,$I$3)&amp;""),FIND(" ",IF($I$3="","",INDEX(인턴계획표[[정규화1]:[정규화6]],$Q395,$I$3)&amp;""))-1),IF($I$3="","",INDEX(인턴계획표[[정규화1]:[정규화6]],$Q395,$I$3)&amp;"")))))</f>
        <v/>
      </c>
      <c r="I395">
        <f>IF($Q395="","",IF(IF($I$3="","",INDEX(인턴계획표[[정규화1]:[정규화6]],$Q395,$I$3)&amp;"")="","",IF(LEFT(IF($I$3="","",INDEX(인턴계획표[[정규화1]:[정규화6]],$Q395,$I$3)&amp;""),1)="⚠","",IFERROR(MID(IF($I$3="","",INDEX(인턴계획표[[정규화1]:[정규화6]],$Q395,$I$3)&amp;""),FIND(" ",IF($I$3="","",INDEX(인턴계획표[[정규화1]:[정규화6]],$Q395,$I$3)&amp;""))+1,60),""))))</f>
        <v/>
      </c>
      <c r="J395">
        <f>IF($Q395="","",INDEX(인턴계획표[정규화1],$Q395))</f>
        <v/>
      </c>
      <c r="K395">
        <f>IF($Q395="","",INDEX(인턴계획표[정규화2],$Q395))</f>
        <v/>
      </c>
      <c r="L395">
        <f>IF($Q395="","",INDEX(인턴계획표[정규화3],$Q395))</f>
        <v/>
      </c>
      <c r="M395">
        <f>IF($Q395="","",INDEX(인턴계획표[정규화4],$Q395))</f>
        <v/>
      </c>
      <c r="N395">
        <f>IF($Q395="","",INDEX(인턴계획표[정규화5],$Q395))</f>
        <v/>
      </c>
      <c r="O395">
        <f>IF($Q395="","",INDEX(인턴계획표[정규화6],$Q395))</f>
        <v/>
      </c>
      <c r="P395">
        <f>IF($Q395="","",INDEX(인턴계획표[입력오류],$Q395))</f>
        <v/>
      </c>
      <c r="Q395" s="17">
        <f>IFERROR(MATCH(390,인턴계획표[표시순번],0),"")</f>
        <v/>
      </c>
    </row>
    <row r="396">
      <c r="A396">
        <f>IF($Q396="","",INDEX(인턴계획표[순번],$Q396)&amp;"")</f>
        <v/>
      </c>
      <c r="B396">
        <f>IF($Q396="","",TRIM(INDEX(인턴계획표[이름],$Q396)&amp;""))</f>
        <v/>
      </c>
      <c r="C396">
        <f>IF($Q396="","",INDEX(인턴계획표[사번],$Q396)&amp;"")</f>
        <v/>
      </c>
      <c r="D396">
        <f>IF($Q396="","",IF(COUNTIF(기본자료표[사번키],INDEX(인턴계획표[사번키],$Q396))&gt;0,"확인","미등록"))</f>
        <v/>
      </c>
      <c r="E396">
        <f>IF($Q396="","",IF(ISNUMBER(INDEX(인턴계획표[입사일(비고)],$Q396)),TEXT(INDEX(인턴계획표[입사일(비고)],$Q396),"yyyy-mm-dd"),INDEX(인턴계획표[입사일(비고)],$Q396)&amp;""))</f>
        <v/>
      </c>
      <c r="F396">
        <f>IF($Q396="","",IF(IF($G$3="","",INDEX(인턴계획표[[정규화1]:[정규화6]],$Q396,$G$3)&amp;"")="","",IF(LEFT(IF($G$3="","",INDEX(인턴계획표[[정규화1]:[정규화6]],$Q396,$G$3)&amp;""),1)="⚠",IF($G$3="","",INDEX(인턴계획표[[정규화1]:[정규화6]],$Q396,$G$3)&amp;""),IFERROR(LEFT(IF($G$3="","",INDEX(인턴계획표[[정규화1]:[정규화6]],$Q396,$G$3)&amp;""),FIND(" ",IF($G$3="","",INDEX(인턴계획표[[정규화1]:[정규화6]],$Q396,$G$3)&amp;""))-1),IF($G$3="","",INDEX(인턴계획표[[정규화1]:[정규화6]],$Q396,$G$3)&amp;"")))))</f>
        <v/>
      </c>
      <c r="G396">
        <f>IF($Q396="","",IF(IF($G$3="","",INDEX(인턴계획표[[정규화1]:[정규화6]],$Q396,$G$3)&amp;"")="","",IF(LEFT(IF($G$3="","",INDEX(인턴계획표[[정규화1]:[정규화6]],$Q396,$G$3)&amp;""),1)="⚠","",IFERROR(MID(IF($G$3="","",INDEX(인턴계획표[[정규화1]:[정규화6]],$Q396,$G$3)&amp;""),FIND(" ",IF($G$3="","",INDEX(인턴계획표[[정규화1]:[정규화6]],$Q396,$G$3)&amp;""))+1,60),""))))</f>
        <v/>
      </c>
      <c r="H396">
        <f>IF($Q396="","",IF(IF($I$3="","",INDEX(인턴계획표[[정규화1]:[정규화6]],$Q396,$I$3)&amp;"")="","",IF(LEFT(IF($I$3="","",INDEX(인턴계획표[[정규화1]:[정규화6]],$Q396,$I$3)&amp;""),1)="⚠",IF($I$3="","",INDEX(인턴계획표[[정규화1]:[정규화6]],$Q396,$I$3)&amp;""),IFERROR(LEFT(IF($I$3="","",INDEX(인턴계획표[[정규화1]:[정규화6]],$Q396,$I$3)&amp;""),FIND(" ",IF($I$3="","",INDEX(인턴계획표[[정규화1]:[정규화6]],$Q396,$I$3)&amp;""))-1),IF($I$3="","",INDEX(인턴계획표[[정규화1]:[정규화6]],$Q396,$I$3)&amp;"")))))</f>
        <v/>
      </c>
      <c r="I396">
        <f>IF($Q396="","",IF(IF($I$3="","",INDEX(인턴계획표[[정규화1]:[정규화6]],$Q396,$I$3)&amp;"")="","",IF(LEFT(IF($I$3="","",INDEX(인턴계획표[[정규화1]:[정규화6]],$Q396,$I$3)&amp;""),1)="⚠","",IFERROR(MID(IF($I$3="","",INDEX(인턴계획표[[정규화1]:[정규화6]],$Q396,$I$3)&amp;""),FIND(" ",IF($I$3="","",INDEX(인턴계획표[[정규화1]:[정규화6]],$Q396,$I$3)&amp;""))+1,60),""))))</f>
        <v/>
      </c>
      <c r="J396">
        <f>IF($Q396="","",INDEX(인턴계획표[정규화1],$Q396))</f>
        <v/>
      </c>
      <c r="K396">
        <f>IF($Q396="","",INDEX(인턴계획표[정규화2],$Q396))</f>
        <v/>
      </c>
      <c r="L396">
        <f>IF($Q396="","",INDEX(인턴계획표[정규화3],$Q396))</f>
        <v/>
      </c>
      <c r="M396">
        <f>IF($Q396="","",INDEX(인턴계획표[정규화4],$Q396))</f>
        <v/>
      </c>
      <c r="N396">
        <f>IF($Q396="","",INDEX(인턴계획표[정규화5],$Q396))</f>
        <v/>
      </c>
      <c r="O396">
        <f>IF($Q396="","",INDEX(인턴계획표[정규화6],$Q396))</f>
        <v/>
      </c>
      <c r="P396">
        <f>IF($Q396="","",INDEX(인턴계획표[입력오류],$Q396))</f>
        <v/>
      </c>
      <c r="Q396" s="17">
        <f>IFERROR(MATCH(391,인턴계획표[표시순번],0),"")</f>
        <v/>
      </c>
    </row>
    <row r="397">
      <c r="A397">
        <f>IF($Q397="","",INDEX(인턴계획표[순번],$Q397)&amp;"")</f>
        <v/>
      </c>
      <c r="B397">
        <f>IF($Q397="","",TRIM(INDEX(인턴계획표[이름],$Q397)&amp;""))</f>
        <v/>
      </c>
      <c r="C397">
        <f>IF($Q397="","",INDEX(인턴계획표[사번],$Q397)&amp;"")</f>
        <v/>
      </c>
      <c r="D397">
        <f>IF($Q397="","",IF(COUNTIF(기본자료표[사번키],INDEX(인턴계획표[사번키],$Q397))&gt;0,"확인","미등록"))</f>
        <v/>
      </c>
      <c r="E397">
        <f>IF($Q397="","",IF(ISNUMBER(INDEX(인턴계획표[입사일(비고)],$Q397)),TEXT(INDEX(인턴계획표[입사일(비고)],$Q397),"yyyy-mm-dd"),INDEX(인턴계획표[입사일(비고)],$Q397)&amp;""))</f>
        <v/>
      </c>
      <c r="F397">
        <f>IF($Q397="","",IF(IF($G$3="","",INDEX(인턴계획표[[정규화1]:[정규화6]],$Q397,$G$3)&amp;"")="","",IF(LEFT(IF($G$3="","",INDEX(인턴계획표[[정규화1]:[정규화6]],$Q397,$G$3)&amp;""),1)="⚠",IF($G$3="","",INDEX(인턴계획표[[정규화1]:[정규화6]],$Q397,$G$3)&amp;""),IFERROR(LEFT(IF($G$3="","",INDEX(인턴계획표[[정규화1]:[정규화6]],$Q397,$G$3)&amp;""),FIND(" ",IF($G$3="","",INDEX(인턴계획표[[정규화1]:[정규화6]],$Q397,$G$3)&amp;""))-1),IF($G$3="","",INDEX(인턴계획표[[정규화1]:[정규화6]],$Q397,$G$3)&amp;"")))))</f>
        <v/>
      </c>
      <c r="G397">
        <f>IF($Q397="","",IF(IF($G$3="","",INDEX(인턴계획표[[정규화1]:[정규화6]],$Q397,$G$3)&amp;"")="","",IF(LEFT(IF($G$3="","",INDEX(인턴계획표[[정규화1]:[정규화6]],$Q397,$G$3)&amp;""),1)="⚠","",IFERROR(MID(IF($G$3="","",INDEX(인턴계획표[[정규화1]:[정규화6]],$Q397,$G$3)&amp;""),FIND(" ",IF($G$3="","",INDEX(인턴계획표[[정규화1]:[정규화6]],$Q397,$G$3)&amp;""))+1,60),""))))</f>
        <v/>
      </c>
      <c r="H397">
        <f>IF($Q397="","",IF(IF($I$3="","",INDEX(인턴계획표[[정규화1]:[정규화6]],$Q397,$I$3)&amp;"")="","",IF(LEFT(IF($I$3="","",INDEX(인턴계획표[[정규화1]:[정규화6]],$Q397,$I$3)&amp;""),1)="⚠",IF($I$3="","",INDEX(인턴계획표[[정규화1]:[정규화6]],$Q397,$I$3)&amp;""),IFERROR(LEFT(IF($I$3="","",INDEX(인턴계획표[[정규화1]:[정규화6]],$Q397,$I$3)&amp;""),FIND(" ",IF($I$3="","",INDEX(인턴계획표[[정규화1]:[정규화6]],$Q397,$I$3)&amp;""))-1),IF($I$3="","",INDEX(인턴계획표[[정규화1]:[정규화6]],$Q397,$I$3)&amp;"")))))</f>
        <v/>
      </c>
      <c r="I397">
        <f>IF($Q397="","",IF(IF($I$3="","",INDEX(인턴계획표[[정규화1]:[정규화6]],$Q397,$I$3)&amp;"")="","",IF(LEFT(IF($I$3="","",INDEX(인턴계획표[[정규화1]:[정규화6]],$Q397,$I$3)&amp;""),1)="⚠","",IFERROR(MID(IF($I$3="","",INDEX(인턴계획표[[정규화1]:[정규화6]],$Q397,$I$3)&amp;""),FIND(" ",IF($I$3="","",INDEX(인턴계획표[[정규화1]:[정규화6]],$Q397,$I$3)&amp;""))+1,60),""))))</f>
        <v/>
      </c>
      <c r="J397">
        <f>IF($Q397="","",INDEX(인턴계획표[정규화1],$Q397))</f>
        <v/>
      </c>
      <c r="K397">
        <f>IF($Q397="","",INDEX(인턴계획표[정규화2],$Q397))</f>
        <v/>
      </c>
      <c r="L397">
        <f>IF($Q397="","",INDEX(인턴계획표[정규화3],$Q397))</f>
        <v/>
      </c>
      <c r="M397">
        <f>IF($Q397="","",INDEX(인턴계획표[정규화4],$Q397))</f>
        <v/>
      </c>
      <c r="N397">
        <f>IF($Q397="","",INDEX(인턴계획표[정규화5],$Q397))</f>
        <v/>
      </c>
      <c r="O397">
        <f>IF($Q397="","",INDEX(인턴계획표[정규화6],$Q397))</f>
        <v/>
      </c>
      <c r="P397">
        <f>IF($Q397="","",INDEX(인턴계획표[입력오류],$Q397))</f>
        <v/>
      </c>
      <c r="Q397" s="17">
        <f>IFERROR(MATCH(392,인턴계획표[표시순번],0),"")</f>
        <v/>
      </c>
    </row>
    <row r="398">
      <c r="A398">
        <f>IF($Q398="","",INDEX(인턴계획표[순번],$Q398)&amp;"")</f>
        <v/>
      </c>
      <c r="B398">
        <f>IF($Q398="","",TRIM(INDEX(인턴계획표[이름],$Q398)&amp;""))</f>
        <v/>
      </c>
      <c r="C398">
        <f>IF($Q398="","",INDEX(인턴계획표[사번],$Q398)&amp;"")</f>
        <v/>
      </c>
      <c r="D398">
        <f>IF($Q398="","",IF(COUNTIF(기본자료표[사번키],INDEX(인턴계획표[사번키],$Q398))&gt;0,"확인","미등록"))</f>
        <v/>
      </c>
      <c r="E398">
        <f>IF($Q398="","",IF(ISNUMBER(INDEX(인턴계획표[입사일(비고)],$Q398)),TEXT(INDEX(인턴계획표[입사일(비고)],$Q398),"yyyy-mm-dd"),INDEX(인턴계획표[입사일(비고)],$Q398)&amp;""))</f>
        <v/>
      </c>
      <c r="F398">
        <f>IF($Q398="","",IF(IF($G$3="","",INDEX(인턴계획표[[정규화1]:[정규화6]],$Q398,$G$3)&amp;"")="","",IF(LEFT(IF($G$3="","",INDEX(인턴계획표[[정규화1]:[정규화6]],$Q398,$G$3)&amp;""),1)="⚠",IF($G$3="","",INDEX(인턴계획표[[정규화1]:[정규화6]],$Q398,$G$3)&amp;""),IFERROR(LEFT(IF($G$3="","",INDEX(인턴계획표[[정규화1]:[정규화6]],$Q398,$G$3)&amp;""),FIND(" ",IF($G$3="","",INDEX(인턴계획표[[정규화1]:[정규화6]],$Q398,$G$3)&amp;""))-1),IF($G$3="","",INDEX(인턴계획표[[정규화1]:[정규화6]],$Q398,$G$3)&amp;"")))))</f>
        <v/>
      </c>
      <c r="G398">
        <f>IF($Q398="","",IF(IF($G$3="","",INDEX(인턴계획표[[정규화1]:[정규화6]],$Q398,$G$3)&amp;"")="","",IF(LEFT(IF($G$3="","",INDEX(인턴계획표[[정규화1]:[정규화6]],$Q398,$G$3)&amp;""),1)="⚠","",IFERROR(MID(IF($G$3="","",INDEX(인턴계획표[[정규화1]:[정규화6]],$Q398,$G$3)&amp;""),FIND(" ",IF($G$3="","",INDEX(인턴계획표[[정규화1]:[정규화6]],$Q398,$G$3)&amp;""))+1,60),""))))</f>
        <v/>
      </c>
      <c r="H398">
        <f>IF($Q398="","",IF(IF($I$3="","",INDEX(인턴계획표[[정규화1]:[정규화6]],$Q398,$I$3)&amp;"")="","",IF(LEFT(IF($I$3="","",INDEX(인턴계획표[[정규화1]:[정규화6]],$Q398,$I$3)&amp;""),1)="⚠",IF($I$3="","",INDEX(인턴계획표[[정규화1]:[정규화6]],$Q398,$I$3)&amp;""),IFERROR(LEFT(IF($I$3="","",INDEX(인턴계획표[[정규화1]:[정규화6]],$Q398,$I$3)&amp;""),FIND(" ",IF($I$3="","",INDEX(인턴계획표[[정규화1]:[정규화6]],$Q398,$I$3)&amp;""))-1),IF($I$3="","",INDEX(인턴계획표[[정규화1]:[정규화6]],$Q398,$I$3)&amp;"")))))</f>
        <v/>
      </c>
      <c r="I398">
        <f>IF($Q398="","",IF(IF($I$3="","",INDEX(인턴계획표[[정규화1]:[정규화6]],$Q398,$I$3)&amp;"")="","",IF(LEFT(IF($I$3="","",INDEX(인턴계획표[[정규화1]:[정규화6]],$Q398,$I$3)&amp;""),1)="⚠","",IFERROR(MID(IF($I$3="","",INDEX(인턴계획표[[정규화1]:[정규화6]],$Q398,$I$3)&amp;""),FIND(" ",IF($I$3="","",INDEX(인턴계획표[[정규화1]:[정규화6]],$Q398,$I$3)&amp;""))+1,60),""))))</f>
        <v/>
      </c>
      <c r="J398">
        <f>IF($Q398="","",INDEX(인턴계획표[정규화1],$Q398))</f>
        <v/>
      </c>
      <c r="K398">
        <f>IF($Q398="","",INDEX(인턴계획표[정규화2],$Q398))</f>
        <v/>
      </c>
      <c r="L398">
        <f>IF($Q398="","",INDEX(인턴계획표[정규화3],$Q398))</f>
        <v/>
      </c>
      <c r="M398">
        <f>IF($Q398="","",INDEX(인턴계획표[정규화4],$Q398))</f>
        <v/>
      </c>
      <c r="N398">
        <f>IF($Q398="","",INDEX(인턴계획표[정규화5],$Q398))</f>
        <v/>
      </c>
      <c r="O398">
        <f>IF($Q398="","",INDEX(인턴계획표[정규화6],$Q398))</f>
        <v/>
      </c>
      <c r="P398">
        <f>IF($Q398="","",INDEX(인턴계획표[입력오류],$Q398))</f>
        <v/>
      </c>
      <c r="Q398" s="17">
        <f>IFERROR(MATCH(393,인턴계획표[표시순번],0),"")</f>
        <v/>
      </c>
    </row>
    <row r="399">
      <c r="A399">
        <f>IF($Q399="","",INDEX(인턴계획표[순번],$Q399)&amp;"")</f>
        <v/>
      </c>
      <c r="B399">
        <f>IF($Q399="","",TRIM(INDEX(인턴계획표[이름],$Q399)&amp;""))</f>
        <v/>
      </c>
      <c r="C399">
        <f>IF($Q399="","",INDEX(인턴계획표[사번],$Q399)&amp;"")</f>
        <v/>
      </c>
      <c r="D399">
        <f>IF($Q399="","",IF(COUNTIF(기본자료표[사번키],INDEX(인턴계획표[사번키],$Q399))&gt;0,"확인","미등록"))</f>
        <v/>
      </c>
      <c r="E399">
        <f>IF($Q399="","",IF(ISNUMBER(INDEX(인턴계획표[입사일(비고)],$Q399)),TEXT(INDEX(인턴계획표[입사일(비고)],$Q399),"yyyy-mm-dd"),INDEX(인턴계획표[입사일(비고)],$Q399)&amp;""))</f>
        <v/>
      </c>
      <c r="F399">
        <f>IF($Q399="","",IF(IF($G$3="","",INDEX(인턴계획표[[정규화1]:[정규화6]],$Q399,$G$3)&amp;"")="","",IF(LEFT(IF($G$3="","",INDEX(인턴계획표[[정규화1]:[정규화6]],$Q399,$G$3)&amp;""),1)="⚠",IF($G$3="","",INDEX(인턴계획표[[정규화1]:[정규화6]],$Q399,$G$3)&amp;""),IFERROR(LEFT(IF($G$3="","",INDEX(인턴계획표[[정규화1]:[정규화6]],$Q399,$G$3)&amp;""),FIND(" ",IF($G$3="","",INDEX(인턴계획표[[정규화1]:[정규화6]],$Q399,$G$3)&amp;""))-1),IF($G$3="","",INDEX(인턴계획표[[정규화1]:[정규화6]],$Q399,$G$3)&amp;"")))))</f>
        <v/>
      </c>
      <c r="G399">
        <f>IF($Q399="","",IF(IF($G$3="","",INDEX(인턴계획표[[정규화1]:[정규화6]],$Q399,$G$3)&amp;"")="","",IF(LEFT(IF($G$3="","",INDEX(인턴계획표[[정규화1]:[정규화6]],$Q399,$G$3)&amp;""),1)="⚠","",IFERROR(MID(IF($G$3="","",INDEX(인턴계획표[[정규화1]:[정규화6]],$Q399,$G$3)&amp;""),FIND(" ",IF($G$3="","",INDEX(인턴계획표[[정규화1]:[정규화6]],$Q399,$G$3)&amp;""))+1,60),""))))</f>
        <v/>
      </c>
      <c r="H399">
        <f>IF($Q399="","",IF(IF($I$3="","",INDEX(인턴계획표[[정규화1]:[정규화6]],$Q399,$I$3)&amp;"")="","",IF(LEFT(IF($I$3="","",INDEX(인턴계획표[[정규화1]:[정규화6]],$Q399,$I$3)&amp;""),1)="⚠",IF($I$3="","",INDEX(인턴계획표[[정규화1]:[정규화6]],$Q399,$I$3)&amp;""),IFERROR(LEFT(IF($I$3="","",INDEX(인턴계획표[[정규화1]:[정규화6]],$Q399,$I$3)&amp;""),FIND(" ",IF($I$3="","",INDEX(인턴계획표[[정규화1]:[정규화6]],$Q399,$I$3)&amp;""))-1),IF($I$3="","",INDEX(인턴계획표[[정규화1]:[정규화6]],$Q399,$I$3)&amp;"")))))</f>
        <v/>
      </c>
      <c r="I399">
        <f>IF($Q399="","",IF(IF($I$3="","",INDEX(인턴계획표[[정규화1]:[정규화6]],$Q399,$I$3)&amp;"")="","",IF(LEFT(IF($I$3="","",INDEX(인턴계획표[[정규화1]:[정규화6]],$Q399,$I$3)&amp;""),1)="⚠","",IFERROR(MID(IF($I$3="","",INDEX(인턴계획표[[정규화1]:[정규화6]],$Q399,$I$3)&amp;""),FIND(" ",IF($I$3="","",INDEX(인턴계획표[[정규화1]:[정규화6]],$Q399,$I$3)&amp;""))+1,60),""))))</f>
        <v/>
      </c>
      <c r="J399">
        <f>IF($Q399="","",INDEX(인턴계획표[정규화1],$Q399))</f>
        <v/>
      </c>
      <c r="K399">
        <f>IF($Q399="","",INDEX(인턴계획표[정규화2],$Q399))</f>
        <v/>
      </c>
      <c r="L399">
        <f>IF($Q399="","",INDEX(인턴계획표[정규화3],$Q399))</f>
        <v/>
      </c>
      <c r="M399">
        <f>IF($Q399="","",INDEX(인턴계획표[정규화4],$Q399))</f>
        <v/>
      </c>
      <c r="N399">
        <f>IF($Q399="","",INDEX(인턴계획표[정규화5],$Q399))</f>
        <v/>
      </c>
      <c r="O399">
        <f>IF($Q399="","",INDEX(인턴계획표[정규화6],$Q399))</f>
        <v/>
      </c>
      <c r="P399">
        <f>IF($Q399="","",INDEX(인턴계획표[입력오류],$Q399))</f>
        <v/>
      </c>
      <c r="Q399" s="17">
        <f>IFERROR(MATCH(394,인턴계획표[표시순번],0),"")</f>
        <v/>
      </c>
    </row>
    <row r="400">
      <c r="A400">
        <f>IF($Q400="","",INDEX(인턴계획표[순번],$Q400)&amp;"")</f>
        <v/>
      </c>
      <c r="B400">
        <f>IF($Q400="","",TRIM(INDEX(인턴계획표[이름],$Q400)&amp;""))</f>
        <v/>
      </c>
      <c r="C400">
        <f>IF($Q400="","",INDEX(인턴계획표[사번],$Q400)&amp;"")</f>
        <v/>
      </c>
      <c r="D400">
        <f>IF($Q400="","",IF(COUNTIF(기본자료표[사번키],INDEX(인턴계획표[사번키],$Q400))&gt;0,"확인","미등록"))</f>
        <v/>
      </c>
      <c r="E400">
        <f>IF($Q400="","",IF(ISNUMBER(INDEX(인턴계획표[입사일(비고)],$Q400)),TEXT(INDEX(인턴계획표[입사일(비고)],$Q400),"yyyy-mm-dd"),INDEX(인턴계획표[입사일(비고)],$Q400)&amp;""))</f>
        <v/>
      </c>
      <c r="F400">
        <f>IF($Q400="","",IF(IF($G$3="","",INDEX(인턴계획표[[정규화1]:[정규화6]],$Q400,$G$3)&amp;"")="","",IF(LEFT(IF($G$3="","",INDEX(인턴계획표[[정규화1]:[정규화6]],$Q400,$G$3)&amp;""),1)="⚠",IF($G$3="","",INDEX(인턴계획표[[정규화1]:[정규화6]],$Q400,$G$3)&amp;""),IFERROR(LEFT(IF($G$3="","",INDEX(인턴계획표[[정규화1]:[정규화6]],$Q400,$G$3)&amp;""),FIND(" ",IF($G$3="","",INDEX(인턴계획표[[정규화1]:[정규화6]],$Q400,$G$3)&amp;""))-1),IF($G$3="","",INDEX(인턴계획표[[정규화1]:[정규화6]],$Q400,$G$3)&amp;"")))))</f>
        <v/>
      </c>
      <c r="G400">
        <f>IF($Q400="","",IF(IF($G$3="","",INDEX(인턴계획표[[정규화1]:[정규화6]],$Q400,$G$3)&amp;"")="","",IF(LEFT(IF($G$3="","",INDEX(인턴계획표[[정규화1]:[정규화6]],$Q400,$G$3)&amp;""),1)="⚠","",IFERROR(MID(IF($G$3="","",INDEX(인턴계획표[[정규화1]:[정규화6]],$Q400,$G$3)&amp;""),FIND(" ",IF($G$3="","",INDEX(인턴계획표[[정규화1]:[정규화6]],$Q400,$G$3)&amp;""))+1,60),""))))</f>
        <v/>
      </c>
      <c r="H400">
        <f>IF($Q400="","",IF(IF($I$3="","",INDEX(인턴계획표[[정규화1]:[정규화6]],$Q400,$I$3)&amp;"")="","",IF(LEFT(IF($I$3="","",INDEX(인턴계획표[[정규화1]:[정규화6]],$Q400,$I$3)&amp;""),1)="⚠",IF($I$3="","",INDEX(인턴계획표[[정규화1]:[정규화6]],$Q400,$I$3)&amp;""),IFERROR(LEFT(IF($I$3="","",INDEX(인턴계획표[[정규화1]:[정규화6]],$Q400,$I$3)&amp;""),FIND(" ",IF($I$3="","",INDEX(인턴계획표[[정규화1]:[정규화6]],$Q400,$I$3)&amp;""))-1),IF($I$3="","",INDEX(인턴계획표[[정규화1]:[정규화6]],$Q400,$I$3)&amp;"")))))</f>
        <v/>
      </c>
      <c r="I400">
        <f>IF($Q400="","",IF(IF($I$3="","",INDEX(인턴계획표[[정규화1]:[정규화6]],$Q400,$I$3)&amp;"")="","",IF(LEFT(IF($I$3="","",INDEX(인턴계획표[[정규화1]:[정규화6]],$Q400,$I$3)&amp;""),1)="⚠","",IFERROR(MID(IF($I$3="","",INDEX(인턴계획표[[정규화1]:[정규화6]],$Q400,$I$3)&amp;""),FIND(" ",IF($I$3="","",INDEX(인턴계획표[[정규화1]:[정규화6]],$Q400,$I$3)&amp;""))+1,60),""))))</f>
        <v/>
      </c>
      <c r="J400">
        <f>IF($Q400="","",INDEX(인턴계획표[정규화1],$Q400))</f>
        <v/>
      </c>
      <c r="K400">
        <f>IF($Q400="","",INDEX(인턴계획표[정규화2],$Q400))</f>
        <v/>
      </c>
      <c r="L400">
        <f>IF($Q400="","",INDEX(인턴계획표[정규화3],$Q400))</f>
        <v/>
      </c>
      <c r="M400">
        <f>IF($Q400="","",INDEX(인턴계획표[정규화4],$Q400))</f>
        <v/>
      </c>
      <c r="N400">
        <f>IF($Q400="","",INDEX(인턴계획표[정규화5],$Q400))</f>
        <v/>
      </c>
      <c r="O400">
        <f>IF($Q400="","",INDEX(인턴계획표[정규화6],$Q400))</f>
        <v/>
      </c>
      <c r="P400">
        <f>IF($Q400="","",INDEX(인턴계획표[입력오류],$Q400))</f>
        <v/>
      </c>
      <c r="Q400" s="17">
        <f>IFERROR(MATCH(395,인턴계획표[표시순번],0),"")</f>
        <v/>
      </c>
    </row>
    <row r="401">
      <c r="A401">
        <f>IF($Q401="","",INDEX(인턴계획표[순번],$Q401)&amp;"")</f>
        <v/>
      </c>
      <c r="B401">
        <f>IF($Q401="","",TRIM(INDEX(인턴계획표[이름],$Q401)&amp;""))</f>
        <v/>
      </c>
      <c r="C401">
        <f>IF($Q401="","",INDEX(인턴계획표[사번],$Q401)&amp;"")</f>
        <v/>
      </c>
      <c r="D401">
        <f>IF($Q401="","",IF(COUNTIF(기본자료표[사번키],INDEX(인턴계획표[사번키],$Q401))&gt;0,"확인","미등록"))</f>
        <v/>
      </c>
      <c r="E401">
        <f>IF($Q401="","",IF(ISNUMBER(INDEX(인턴계획표[입사일(비고)],$Q401)),TEXT(INDEX(인턴계획표[입사일(비고)],$Q401),"yyyy-mm-dd"),INDEX(인턴계획표[입사일(비고)],$Q401)&amp;""))</f>
        <v/>
      </c>
      <c r="F401">
        <f>IF($Q401="","",IF(IF($G$3="","",INDEX(인턴계획표[[정규화1]:[정규화6]],$Q401,$G$3)&amp;"")="","",IF(LEFT(IF($G$3="","",INDEX(인턴계획표[[정규화1]:[정규화6]],$Q401,$G$3)&amp;""),1)="⚠",IF($G$3="","",INDEX(인턴계획표[[정규화1]:[정규화6]],$Q401,$G$3)&amp;""),IFERROR(LEFT(IF($G$3="","",INDEX(인턴계획표[[정규화1]:[정규화6]],$Q401,$G$3)&amp;""),FIND(" ",IF($G$3="","",INDEX(인턴계획표[[정규화1]:[정규화6]],$Q401,$G$3)&amp;""))-1),IF($G$3="","",INDEX(인턴계획표[[정규화1]:[정규화6]],$Q401,$G$3)&amp;"")))))</f>
        <v/>
      </c>
      <c r="G401">
        <f>IF($Q401="","",IF(IF($G$3="","",INDEX(인턴계획표[[정규화1]:[정규화6]],$Q401,$G$3)&amp;"")="","",IF(LEFT(IF($G$3="","",INDEX(인턴계획표[[정규화1]:[정규화6]],$Q401,$G$3)&amp;""),1)="⚠","",IFERROR(MID(IF($G$3="","",INDEX(인턴계획표[[정규화1]:[정규화6]],$Q401,$G$3)&amp;""),FIND(" ",IF($G$3="","",INDEX(인턴계획표[[정규화1]:[정규화6]],$Q401,$G$3)&amp;""))+1,60),""))))</f>
        <v/>
      </c>
      <c r="H401">
        <f>IF($Q401="","",IF(IF($I$3="","",INDEX(인턴계획표[[정규화1]:[정규화6]],$Q401,$I$3)&amp;"")="","",IF(LEFT(IF($I$3="","",INDEX(인턴계획표[[정규화1]:[정규화6]],$Q401,$I$3)&amp;""),1)="⚠",IF($I$3="","",INDEX(인턴계획표[[정규화1]:[정규화6]],$Q401,$I$3)&amp;""),IFERROR(LEFT(IF($I$3="","",INDEX(인턴계획표[[정규화1]:[정규화6]],$Q401,$I$3)&amp;""),FIND(" ",IF($I$3="","",INDEX(인턴계획표[[정규화1]:[정규화6]],$Q401,$I$3)&amp;""))-1),IF($I$3="","",INDEX(인턴계획표[[정규화1]:[정규화6]],$Q401,$I$3)&amp;"")))))</f>
        <v/>
      </c>
      <c r="I401">
        <f>IF($Q401="","",IF(IF($I$3="","",INDEX(인턴계획표[[정규화1]:[정규화6]],$Q401,$I$3)&amp;"")="","",IF(LEFT(IF($I$3="","",INDEX(인턴계획표[[정규화1]:[정규화6]],$Q401,$I$3)&amp;""),1)="⚠","",IFERROR(MID(IF($I$3="","",INDEX(인턴계획표[[정규화1]:[정규화6]],$Q401,$I$3)&amp;""),FIND(" ",IF($I$3="","",INDEX(인턴계획표[[정규화1]:[정규화6]],$Q401,$I$3)&amp;""))+1,60),""))))</f>
        <v/>
      </c>
      <c r="J401">
        <f>IF($Q401="","",INDEX(인턴계획표[정규화1],$Q401))</f>
        <v/>
      </c>
      <c r="K401">
        <f>IF($Q401="","",INDEX(인턴계획표[정규화2],$Q401))</f>
        <v/>
      </c>
      <c r="L401">
        <f>IF($Q401="","",INDEX(인턴계획표[정규화3],$Q401))</f>
        <v/>
      </c>
      <c r="M401">
        <f>IF($Q401="","",INDEX(인턴계획표[정규화4],$Q401))</f>
        <v/>
      </c>
      <c r="N401">
        <f>IF($Q401="","",INDEX(인턴계획표[정규화5],$Q401))</f>
        <v/>
      </c>
      <c r="O401">
        <f>IF($Q401="","",INDEX(인턴계획표[정규화6],$Q401))</f>
        <v/>
      </c>
      <c r="P401">
        <f>IF($Q401="","",INDEX(인턴계획표[입력오류],$Q401))</f>
        <v/>
      </c>
      <c r="Q401" s="17">
        <f>IFERROR(MATCH(396,인턴계획표[표시순번],0),"")</f>
        <v/>
      </c>
    </row>
    <row r="402">
      <c r="A402">
        <f>IF($Q402="","",INDEX(인턴계획표[순번],$Q402)&amp;"")</f>
        <v/>
      </c>
      <c r="B402">
        <f>IF($Q402="","",TRIM(INDEX(인턴계획표[이름],$Q402)&amp;""))</f>
        <v/>
      </c>
      <c r="C402">
        <f>IF($Q402="","",INDEX(인턴계획표[사번],$Q402)&amp;"")</f>
        <v/>
      </c>
      <c r="D402">
        <f>IF($Q402="","",IF(COUNTIF(기본자료표[사번키],INDEX(인턴계획표[사번키],$Q402))&gt;0,"확인","미등록"))</f>
        <v/>
      </c>
      <c r="E402">
        <f>IF($Q402="","",IF(ISNUMBER(INDEX(인턴계획표[입사일(비고)],$Q402)),TEXT(INDEX(인턴계획표[입사일(비고)],$Q402),"yyyy-mm-dd"),INDEX(인턴계획표[입사일(비고)],$Q402)&amp;""))</f>
        <v/>
      </c>
      <c r="F402">
        <f>IF($Q402="","",IF(IF($G$3="","",INDEX(인턴계획표[[정규화1]:[정규화6]],$Q402,$G$3)&amp;"")="","",IF(LEFT(IF($G$3="","",INDEX(인턴계획표[[정규화1]:[정규화6]],$Q402,$G$3)&amp;""),1)="⚠",IF($G$3="","",INDEX(인턴계획표[[정규화1]:[정규화6]],$Q402,$G$3)&amp;""),IFERROR(LEFT(IF($G$3="","",INDEX(인턴계획표[[정규화1]:[정규화6]],$Q402,$G$3)&amp;""),FIND(" ",IF($G$3="","",INDEX(인턴계획표[[정규화1]:[정규화6]],$Q402,$G$3)&amp;""))-1),IF($G$3="","",INDEX(인턴계획표[[정규화1]:[정규화6]],$Q402,$G$3)&amp;"")))))</f>
        <v/>
      </c>
      <c r="G402">
        <f>IF($Q402="","",IF(IF($G$3="","",INDEX(인턴계획표[[정규화1]:[정규화6]],$Q402,$G$3)&amp;"")="","",IF(LEFT(IF($G$3="","",INDEX(인턴계획표[[정규화1]:[정규화6]],$Q402,$G$3)&amp;""),1)="⚠","",IFERROR(MID(IF($G$3="","",INDEX(인턴계획표[[정규화1]:[정규화6]],$Q402,$G$3)&amp;""),FIND(" ",IF($G$3="","",INDEX(인턴계획표[[정규화1]:[정규화6]],$Q402,$G$3)&amp;""))+1,60),""))))</f>
        <v/>
      </c>
      <c r="H402">
        <f>IF($Q402="","",IF(IF($I$3="","",INDEX(인턴계획표[[정규화1]:[정규화6]],$Q402,$I$3)&amp;"")="","",IF(LEFT(IF($I$3="","",INDEX(인턴계획표[[정규화1]:[정규화6]],$Q402,$I$3)&amp;""),1)="⚠",IF($I$3="","",INDEX(인턴계획표[[정규화1]:[정규화6]],$Q402,$I$3)&amp;""),IFERROR(LEFT(IF($I$3="","",INDEX(인턴계획표[[정규화1]:[정규화6]],$Q402,$I$3)&amp;""),FIND(" ",IF($I$3="","",INDEX(인턴계획표[[정규화1]:[정규화6]],$Q402,$I$3)&amp;""))-1),IF($I$3="","",INDEX(인턴계획표[[정규화1]:[정규화6]],$Q402,$I$3)&amp;"")))))</f>
        <v/>
      </c>
      <c r="I402">
        <f>IF($Q402="","",IF(IF($I$3="","",INDEX(인턴계획표[[정규화1]:[정규화6]],$Q402,$I$3)&amp;"")="","",IF(LEFT(IF($I$3="","",INDEX(인턴계획표[[정규화1]:[정규화6]],$Q402,$I$3)&amp;""),1)="⚠","",IFERROR(MID(IF($I$3="","",INDEX(인턴계획표[[정규화1]:[정규화6]],$Q402,$I$3)&amp;""),FIND(" ",IF($I$3="","",INDEX(인턴계획표[[정규화1]:[정규화6]],$Q402,$I$3)&amp;""))+1,60),""))))</f>
        <v/>
      </c>
      <c r="J402">
        <f>IF($Q402="","",INDEX(인턴계획표[정규화1],$Q402))</f>
        <v/>
      </c>
      <c r="K402">
        <f>IF($Q402="","",INDEX(인턴계획표[정규화2],$Q402))</f>
        <v/>
      </c>
      <c r="L402">
        <f>IF($Q402="","",INDEX(인턴계획표[정규화3],$Q402))</f>
        <v/>
      </c>
      <c r="M402">
        <f>IF($Q402="","",INDEX(인턴계획표[정규화4],$Q402))</f>
        <v/>
      </c>
      <c r="N402">
        <f>IF($Q402="","",INDEX(인턴계획표[정규화5],$Q402))</f>
        <v/>
      </c>
      <c r="O402">
        <f>IF($Q402="","",INDEX(인턴계획표[정규화6],$Q402))</f>
        <v/>
      </c>
      <c r="P402">
        <f>IF($Q402="","",INDEX(인턴계획표[입력오류],$Q402))</f>
        <v/>
      </c>
      <c r="Q402" s="17">
        <f>IFERROR(MATCH(397,인턴계획표[표시순번],0),"")</f>
        <v/>
      </c>
    </row>
    <row r="403">
      <c r="A403">
        <f>IF($Q403="","",INDEX(인턴계획표[순번],$Q403)&amp;"")</f>
        <v/>
      </c>
      <c r="B403">
        <f>IF($Q403="","",TRIM(INDEX(인턴계획표[이름],$Q403)&amp;""))</f>
        <v/>
      </c>
      <c r="C403">
        <f>IF($Q403="","",INDEX(인턴계획표[사번],$Q403)&amp;"")</f>
        <v/>
      </c>
      <c r="D403">
        <f>IF($Q403="","",IF(COUNTIF(기본자료표[사번키],INDEX(인턴계획표[사번키],$Q403))&gt;0,"확인","미등록"))</f>
        <v/>
      </c>
      <c r="E403">
        <f>IF($Q403="","",IF(ISNUMBER(INDEX(인턴계획표[입사일(비고)],$Q403)),TEXT(INDEX(인턴계획표[입사일(비고)],$Q403),"yyyy-mm-dd"),INDEX(인턴계획표[입사일(비고)],$Q403)&amp;""))</f>
        <v/>
      </c>
      <c r="F403">
        <f>IF($Q403="","",IF(IF($G$3="","",INDEX(인턴계획표[[정규화1]:[정규화6]],$Q403,$G$3)&amp;"")="","",IF(LEFT(IF($G$3="","",INDEX(인턴계획표[[정규화1]:[정규화6]],$Q403,$G$3)&amp;""),1)="⚠",IF($G$3="","",INDEX(인턴계획표[[정규화1]:[정규화6]],$Q403,$G$3)&amp;""),IFERROR(LEFT(IF($G$3="","",INDEX(인턴계획표[[정규화1]:[정규화6]],$Q403,$G$3)&amp;""),FIND(" ",IF($G$3="","",INDEX(인턴계획표[[정규화1]:[정규화6]],$Q403,$G$3)&amp;""))-1),IF($G$3="","",INDEX(인턴계획표[[정규화1]:[정규화6]],$Q403,$G$3)&amp;"")))))</f>
        <v/>
      </c>
      <c r="G403">
        <f>IF($Q403="","",IF(IF($G$3="","",INDEX(인턴계획표[[정규화1]:[정규화6]],$Q403,$G$3)&amp;"")="","",IF(LEFT(IF($G$3="","",INDEX(인턴계획표[[정규화1]:[정규화6]],$Q403,$G$3)&amp;""),1)="⚠","",IFERROR(MID(IF($G$3="","",INDEX(인턴계획표[[정규화1]:[정규화6]],$Q403,$G$3)&amp;""),FIND(" ",IF($G$3="","",INDEX(인턴계획표[[정규화1]:[정규화6]],$Q403,$G$3)&amp;""))+1,60),""))))</f>
        <v/>
      </c>
      <c r="H403">
        <f>IF($Q403="","",IF(IF($I$3="","",INDEX(인턴계획표[[정규화1]:[정규화6]],$Q403,$I$3)&amp;"")="","",IF(LEFT(IF($I$3="","",INDEX(인턴계획표[[정규화1]:[정규화6]],$Q403,$I$3)&amp;""),1)="⚠",IF($I$3="","",INDEX(인턴계획표[[정규화1]:[정규화6]],$Q403,$I$3)&amp;""),IFERROR(LEFT(IF($I$3="","",INDEX(인턴계획표[[정규화1]:[정규화6]],$Q403,$I$3)&amp;""),FIND(" ",IF($I$3="","",INDEX(인턴계획표[[정규화1]:[정규화6]],$Q403,$I$3)&amp;""))-1),IF($I$3="","",INDEX(인턴계획표[[정규화1]:[정규화6]],$Q403,$I$3)&amp;"")))))</f>
        <v/>
      </c>
      <c r="I403">
        <f>IF($Q403="","",IF(IF($I$3="","",INDEX(인턴계획표[[정규화1]:[정규화6]],$Q403,$I$3)&amp;"")="","",IF(LEFT(IF($I$3="","",INDEX(인턴계획표[[정규화1]:[정규화6]],$Q403,$I$3)&amp;""),1)="⚠","",IFERROR(MID(IF($I$3="","",INDEX(인턴계획표[[정규화1]:[정규화6]],$Q403,$I$3)&amp;""),FIND(" ",IF($I$3="","",INDEX(인턴계획표[[정규화1]:[정규화6]],$Q403,$I$3)&amp;""))+1,60),""))))</f>
        <v/>
      </c>
      <c r="J403">
        <f>IF($Q403="","",INDEX(인턴계획표[정규화1],$Q403))</f>
        <v/>
      </c>
      <c r="K403">
        <f>IF($Q403="","",INDEX(인턴계획표[정규화2],$Q403))</f>
        <v/>
      </c>
      <c r="L403">
        <f>IF($Q403="","",INDEX(인턴계획표[정규화3],$Q403))</f>
        <v/>
      </c>
      <c r="M403">
        <f>IF($Q403="","",INDEX(인턴계획표[정규화4],$Q403))</f>
        <v/>
      </c>
      <c r="N403">
        <f>IF($Q403="","",INDEX(인턴계획표[정규화5],$Q403))</f>
        <v/>
      </c>
      <c r="O403">
        <f>IF($Q403="","",INDEX(인턴계획표[정규화6],$Q403))</f>
        <v/>
      </c>
      <c r="P403">
        <f>IF($Q403="","",INDEX(인턴계획표[입력오류],$Q403))</f>
        <v/>
      </c>
      <c r="Q403" s="17">
        <f>IFERROR(MATCH(398,인턴계획표[표시순번],0),"")</f>
        <v/>
      </c>
    </row>
    <row r="404">
      <c r="A404">
        <f>IF($Q404="","",INDEX(인턴계획표[순번],$Q404)&amp;"")</f>
        <v/>
      </c>
      <c r="B404">
        <f>IF($Q404="","",TRIM(INDEX(인턴계획표[이름],$Q404)&amp;""))</f>
        <v/>
      </c>
      <c r="C404">
        <f>IF($Q404="","",INDEX(인턴계획표[사번],$Q404)&amp;"")</f>
        <v/>
      </c>
      <c r="D404">
        <f>IF($Q404="","",IF(COUNTIF(기본자료표[사번키],INDEX(인턴계획표[사번키],$Q404))&gt;0,"확인","미등록"))</f>
        <v/>
      </c>
      <c r="E404">
        <f>IF($Q404="","",IF(ISNUMBER(INDEX(인턴계획표[입사일(비고)],$Q404)),TEXT(INDEX(인턴계획표[입사일(비고)],$Q404),"yyyy-mm-dd"),INDEX(인턴계획표[입사일(비고)],$Q404)&amp;""))</f>
        <v/>
      </c>
      <c r="F404">
        <f>IF($Q404="","",IF(IF($G$3="","",INDEX(인턴계획표[[정규화1]:[정규화6]],$Q404,$G$3)&amp;"")="","",IF(LEFT(IF($G$3="","",INDEX(인턴계획표[[정규화1]:[정규화6]],$Q404,$G$3)&amp;""),1)="⚠",IF($G$3="","",INDEX(인턴계획표[[정규화1]:[정규화6]],$Q404,$G$3)&amp;""),IFERROR(LEFT(IF($G$3="","",INDEX(인턴계획표[[정규화1]:[정규화6]],$Q404,$G$3)&amp;""),FIND(" ",IF($G$3="","",INDEX(인턴계획표[[정규화1]:[정규화6]],$Q404,$G$3)&amp;""))-1),IF($G$3="","",INDEX(인턴계획표[[정규화1]:[정규화6]],$Q404,$G$3)&amp;"")))))</f>
        <v/>
      </c>
      <c r="G404">
        <f>IF($Q404="","",IF(IF($G$3="","",INDEX(인턴계획표[[정규화1]:[정규화6]],$Q404,$G$3)&amp;"")="","",IF(LEFT(IF($G$3="","",INDEX(인턴계획표[[정규화1]:[정규화6]],$Q404,$G$3)&amp;""),1)="⚠","",IFERROR(MID(IF($G$3="","",INDEX(인턴계획표[[정규화1]:[정규화6]],$Q404,$G$3)&amp;""),FIND(" ",IF($G$3="","",INDEX(인턴계획표[[정규화1]:[정규화6]],$Q404,$G$3)&amp;""))+1,60),""))))</f>
        <v/>
      </c>
      <c r="H404">
        <f>IF($Q404="","",IF(IF($I$3="","",INDEX(인턴계획표[[정규화1]:[정규화6]],$Q404,$I$3)&amp;"")="","",IF(LEFT(IF($I$3="","",INDEX(인턴계획표[[정규화1]:[정규화6]],$Q404,$I$3)&amp;""),1)="⚠",IF($I$3="","",INDEX(인턴계획표[[정규화1]:[정규화6]],$Q404,$I$3)&amp;""),IFERROR(LEFT(IF($I$3="","",INDEX(인턴계획표[[정규화1]:[정규화6]],$Q404,$I$3)&amp;""),FIND(" ",IF($I$3="","",INDEX(인턴계획표[[정규화1]:[정규화6]],$Q404,$I$3)&amp;""))-1),IF($I$3="","",INDEX(인턴계획표[[정규화1]:[정규화6]],$Q404,$I$3)&amp;"")))))</f>
        <v/>
      </c>
      <c r="I404">
        <f>IF($Q404="","",IF(IF($I$3="","",INDEX(인턴계획표[[정규화1]:[정규화6]],$Q404,$I$3)&amp;"")="","",IF(LEFT(IF($I$3="","",INDEX(인턴계획표[[정규화1]:[정규화6]],$Q404,$I$3)&amp;""),1)="⚠","",IFERROR(MID(IF($I$3="","",INDEX(인턴계획표[[정규화1]:[정규화6]],$Q404,$I$3)&amp;""),FIND(" ",IF($I$3="","",INDEX(인턴계획표[[정규화1]:[정규화6]],$Q404,$I$3)&amp;""))+1,60),""))))</f>
        <v/>
      </c>
      <c r="J404">
        <f>IF($Q404="","",INDEX(인턴계획표[정규화1],$Q404))</f>
        <v/>
      </c>
      <c r="K404">
        <f>IF($Q404="","",INDEX(인턴계획표[정규화2],$Q404))</f>
        <v/>
      </c>
      <c r="L404">
        <f>IF($Q404="","",INDEX(인턴계획표[정규화3],$Q404))</f>
        <v/>
      </c>
      <c r="M404">
        <f>IF($Q404="","",INDEX(인턴계획표[정규화4],$Q404))</f>
        <v/>
      </c>
      <c r="N404">
        <f>IF($Q404="","",INDEX(인턴계획표[정규화5],$Q404))</f>
        <v/>
      </c>
      <c r="O404">
        <f>IF($Q404="","",INDEX(인턴계획표[정규화6],$Q404))</f>
        <v/>
      </c>
      <c r="P404">
        <f>IF($Q404="","",INDEX(인턴계획표[입력오류],$Q404))</f>
        <v/>
      </c>
      <c r="Q404" s="17">
        <f>IFERROR(MATCH(399,인턴계획표[표시순번],0),"")</f>
        <v/>
      </c>
    </row>
    <row r="405">
      <c r="A405">
        <f>IF($Q405="","",INDEX(인턴계획표[순번],$Q405)&amp;"")</f>
        <v/>
      </c>
      <c r="B405">
        <f>IF($Q405="","",TRIM(INDEX(인턴계획표[이름],$Q405)&amp;""))</f>
        <v/>
      </c>
      <c r="C405">
        <f>IF($Q405="","",INDEX(인턴계획표[사번],$Q405)&amp;"")</f>
        <v/>
      </c>
      <c r="D405">
        <f>IF($Q405="","",IF(COUNTIF(기본자료표[사번키],INDEX(인턴계획표[사번키],$Q405))&gt;0,"확인","미등록"))</f>
        <v/>
      </c>
      <c r="E405">
        <f>IF($Q405="","",IF(ISNUMBER(INDEX(인턴계획표[입사일(비고)],$Q405)),TEXT(INDEX(인턴계획표[입사일(비고)],$Q405),"yyyy-mm-dd"),INDEX(인턴계획표[입사일(비고)],$Q405)&amp;""))</f>
        <v/>
      </c>
      <c r="F405">
        <f>IF($Q405="","",IF(IF($G$3="","",INDEX(인턴계획표[[정규화1]:[정규화6]],$Q405,$G$3)&amp;"")="","",IF(LEFT(IF($G$3="","",INDEX(인턴계획표[[정규화1]:[정규화6]],$Q405,$G$3)&amp;""),1)="⚠",IF($G$3="","",INDEX(인턴계획표[[정규화1]:[정규화6]],$Q405,$G$3)&amp;""),IFERROR(LEFT(IF($G$3="","",INDEX(인턴계획표[[정규화1]:[정규화6]],$Q405,$G$3)&amp;""),FIND(" ",IF($G$3="","",INDEX(인턴계획표[[정규화1]:[정규화6]],$Q405,$G$3)&amp;""))-1),IF($G$3="","",INDEX(인턴계획표[[정규화1]:[정규화6]],$Q405,$G$3)&amp;"")))))</f>
        <v/>
      </c>
      <c r="G405">
        <f>IF($Q405="","",IF(IF($G$3="","",INDEX(인턴계획표[[정규화1]:[정규화6]],$Q405,$G$3)&amp;"")="","",IF(LEFT(IF($G$3="","",INDEX(인턴계획표[[정규화1]:[정규화6]],$Q405,$G$3)&amp;""),1)="⚠","",IFERROR(MID(IF($G$3="","",INDEX(인턴계획표[[정규화1]:[정규화6]],$Q405,$G$3)&amp;""),FIND(" ",IF($G$3="","",INDEX(인턴계획표[[정규화1]:[정규화6]],$Q405,$G$3)&amp;""))+1,60),""))))</f>
        <v/>
      </c>
      <c r="H405">
        <f>IF($Q405="","",IF(IF($I$3="","",INDEX(인턴계획표[[정규화1]:[정규화6]],$Q405,$I$3)&amp;"")="","",IF(LEFT(IF($I$3="","",INDEX(인턴계획표[[정규화1]:[정규화6]],$Q405,$I$3)&amp;""),1)="⚠",IF($I$3="","",INDEX(인턴계획표[[정규화1]:[정규화6]],$Q405,$I$3)&amp;""),IFERROR(LEFT(IF($I$3="","",INDEX(인턴계획표[[정규화1]:[정규화6]],$Q405,$I$3)&amp;""),FIND(" ",IF($I$3="","",INDEX(인턴계획표[[정규화1]:[정규화6]],$Q405,$I$3)&amp;""))-1),IF($I$3="","",INDEX(인턴계획표[[정규화1]:[정규화6]],$Q405,$I$3)&amp;"")))))</f>
        <v/>
      </c>
      <c r="I405">
        <f>IF($Q405="","",IF(IF($I$3="","",INDEX(인턴계획표[[정규화1]:[정규화6]],$Q405,$I$3)&amp;"")="","",IF(LEFT(IF($I$3="","",INDEX(인턴계획표[[정규화1]:[정규화6]],$Q405,$I$3)&amp;""),1)="⚠","",IFERROR(MID(IF($I$3="","",INDEX(인턴계획표[[정규화1]:[정규화6]],$Q405,$I$3)&amp;""),FIND(" ",IF($I$3="","",INDEX(인턴계획표[[정규화1]:[정규화6]],$Q405,$I$3)&amp;""))+1,60),""))))</f>
        <v/>
      </c>
      <c r="J405">
        <f>IF($Q405="","",INDEX(인턴계획표[정규화1],$Q405))</f>
        <v/>
      </c>
      <c r="K405">
        <f>IF($Q405="","",INDEX(인턴계획표[정규화2],$Q405))</f>
        <v/>
      </c>
      <c r="L405">
        <f>IF($Q405="","",INDEX(인턴계획표[정규화3],$Q405))</f>
        <v/>
      </c>
      <c r="M405">
        <f>IF($Q405="","",INDEX(인턴계획표[정규화4],$Q405))</f>
        <v/>
      </c>
      <c r="N405">
        <f>IF($Q405="","",INDEX(인턴계획표[정규화5],$Q405))</f>
        <v/>
      </c>
      <c r="O405">
        <f>IF($Q405="","",INDEX(인턴계획표[정규화6],$Q405))</f>
        <v/>
      </c>
      <c r="P405">
        <f>IF($Q405="","",INDEX(인턴계획표[입력오류],$Q405))</f>
        <v/>
      </c>
      <c r="Q405" s="17">
        <f>IFERROR(MATCH(400,인턴계획표[표시순번],0),"")</f>
        <v/>
      </c>
    </row>
    <row r="406">
      <c r="A406">
        <f>IF($Q406="","",INDEX(인턴계획표[순번],$Q406)&amp;"")</f>
        <v/>
      </c>
      <c r="B406">
        <f>IF($Q406="","",TRIM(INDEX(인턴계획표[이름],$Q406)&amp;""))</f>
        <v/>
      </c>
      <c r="C406">
        <f>IF($Q406="","",INDEX(인턴계획표[사번],$Q406)&amp;"")</f>
        <v/>
      </c>
      <c r="D406">
        <f>IF($Q406="","",IF(COUNTIF(기본자료표[사번키],INDEX(인턴계획표[사번키],$Q406))&gt;0,"확인","미등록"))</f>
        <v/>
      </c>
      <c r="E406">
        <f>IF($Q406="","",IF(ISNUMBER(INDEX(인턴계획표[입사일(비고)],$Q406)),TEXT(INDEX(인턴계획표[입사일(비고)],$Q406),"yyyy-mm-dd"),INDEX(인턴계획표[입사일(비고)],$Q406)&amp;""))</f>
        <v/>
      </c>
      <c r="F406">
        <f>IF($Q406="","",IF(IF($G$3="","",INDEX(인턴계획표[[정규화1]:[정규화6]],$Q406,$G$3)&amp;"")="","",IF(LEFT(IF($G$3="","",INDEX(인턴계획표[[정규화1]:[정규화6]],$Q406,$G$3)&amp;""),1)="⚠",IF($G$3="","",INDEX(인턴계획표[[정규화1]:[정규화6]],$Q406,$G$3)&amp;""),IFERROR(LEFT(IF($G$3="","",INDEX(인턴계획표[[정규화1]:[정규화6]],$Q406,$G$3)&amp;""),FIND(" ",IF($G$3="","",INDEX(인턴계획표[[정규화1]:[정규화6]],$Q406,$G$3)&amp;""))-1),IF($G$3="","",INDEX(인턴계획표[[정규화1]:[정규화6]],$Q406,$G$3)&amp;"")))))</f>
        <v/>
      </c>
      <c r="G406">
        <f>IF($Q406="","",IF(IF($G$3="","",INDEX(인턴계획표[[정규화1]:[정규화6]],$Q406,$G$3)&amp;"")="","",IF(LEFT(IF($G$3="","",INDEX(인턴계획표[[정규화1]:[정규화6]],$Q406,$G$3)&amp;""),1)="⚠","",IFERROR(MID(IF($G$3="","",INDEX(인턴계획표[[정규화1]:[정규화6]],$Q406,$G$3)&amp;""),FIND(" ",IF($G$3="","",INDEX(인턴계획표[[정규화1]:[정규화6]],$Q406,$G$3)&amp;""))+1,60),""))))</f>
        <v/>
      </c>
      <c r="H406">
        <f>IF($Q406="","",IF(IF($I$3="","",INDEX(인턴계획표[[정규화1]:[정규화6]],$Q406,$I$3)&amp;"")="","",IF(LEFT(IF($I$3="","",INDEX(인턴계획표[[정규화1]:[정규화6]],$Q406,$I$3)&amp;""),1)="⚠",IF($I$3="","",INDEX(인턴계획표[[정규화1]:[정규화6]],$Q406,$I$3)&amp;""),IFERROR(LEFT(IF($I$3="","",INDEX(인턴계획표[[정규화1]:[정규화6]],$Q406,$I$3)&amp;""),FIND(" ",IF($I$3="","",INDEX(인턴계획표[[정규화1]:[정규화6]],$Q406,$I$3)&amp;""))-1),IF($I$3="","",INDEX(인턴계획표[[정규화1]:[정규화6]],$Q406,$I$3)&amp;"")))))</f>
        <v/>
      </c>
      <c r="I406">
        <f>IF($Q406="","",IF(IF($I$3="","",INDEX(인턴계획표[[정규화1]:[정규화6]],$Q406,$I$3)&amp;"")="","",IF(LEFT(IF($I$3="","",INDEX(인턴계획표[[정규화1]:[정규화6]],$Q406,$I$3)&amp;""),1)="⚠","",IFERROR(MID(IF($I$3="","",INDEX(인턴계획표[[정규화1]:[정규화6]],$Q406,$I$3)&amp;""),FIND(" ",IF($I$3="","",INDEX(인턴계획표[[정규화1]:[정규화6]],$Q406,$I$3)&amp;""))+1,60),""))))</f>
        <v/>
      </c>
      <c r="J406">
        <f>IF($Q406="","",INDEX(인턴계획표[정규화1],$Q406))</f>
        <v/>
      </c>
      <c r="K406">
        <f>IF($Q406="","",INDEX(인턴계획표[정규화2],$Q406))</f>
        <v/>
      </c>
      <c r="L406">
        <f>IF($Q406="","",INDEX(인턴계획표[정규화3],$Q406))</f>
        <v/>
      </c>
      <c r="M406">
        <f>IF($Q406="","",INDEX(인턴계획표[정규화4],$Q406))</f>
        <v/>
      </c>
      <c r="N406">
        <f>IF($Q406="","",INDEX(인턴계획표[정규화5],$Q406))</f>
        <v/>
      </c>
      <c r="O406">
        <f>IF($Q406="","",INDEX(인턴계획표[정규화6],$Q406))</f>
        <v/>
      </c>
      <c r="P406">
        <f>IF($Q406="","",INDEX(인턴계획표[입력오류],$Q406))</f>
        <v/>
      </c>
      <c r="Q406" s="17">
        <f>IFERROR(MATCH(401,인턴계획표[표시순번],0),"")</f>
        <v/>
      </c>
    </row>
    <row r="407">
      <c r="A407">
        <f>IF($Q407="","",INDEX(인턴계획표[순번],$Q407)&amp;"")</f>
        <v/>
      </c>
      <c r="B407">
        <f>IF($Q407="","",TRIM(INDEX(인턴계획표[이름],$Q407)&amp;""))</f>
        <v/>
      </c>
      <c r="C407">
        <f>IF($Q407="","",INDEX(인턴계획표[사번],$Q407)&amp;"")</f>
        <v/>
      </c>
      <c r="D407">
        <f>IF($Q407="","",IF(COUNTIF(기본자료표[사번키],INDEX(인턴계획표[사번키],$Q407))&gt;0,"확인","미등록"))</f>
        <v/>
      </c>
      <c r="E407">
        <f>IF($Q407="","",IF(ISNUMBER(INDEX(인턴계획표[입사일(비고)],$Q407)),TEXT(INDEX(인턴계획표[입사일(비고)],$Q407),"yyyy-mm-dd"),INDEX(인턴계획표[입사일(비고)],$Q407)&amp;""))</f>
        <v/>
      </c>
      <c r="F407">
        <f>IF($Q407="","",IF(IF($G$3="","",INDEX(인턴계획표[[정규화1]:[정규화6]],$Q407,$G$3)&amp;"")="","",IF(LEFT(IF($G$3="","",INDEX(인턴계획표[[정규화1]:[정규화6]],$Q407,$G$3)&amp;""),1)="⚠",IF($G$3="","",INDEX(인턴계획표[[정규화1]:[정규화6]],$Q407,$G$3)&amp;""),IFERROR(LEFT(IF($G$3="","",INDEX(인턴계획표[[정규화1]:[정규화6]],$Q407,$G$3)&amp;""),FIND(" ",IF($G$3="","",INDEX(인턴계획표[[정규화1]:[정규화6]],$Q407,$G$3)&amp;""))-1),IF($G$3="","",INDEX(인턴계획표[[정규화1]:[정규화6]],$Q407,$G$3)&amp;"")))))</f>
        <v/>
      </c>
      <c r="G407">
        <f>IF($Q407="","",IF(IF($G$3="","",INDEX(인턴계획표[[정규화1]:[정규화6]],$Q407,$G$3)&amp;"")="","",IF(LEFT(IF($G$3="","",INDEX(인턴계획표[[정규화1]:[정규화6]],$Q407,$G$3)&amp;""),1)="⚠","",IFERROR(MID(IF($G$3="","",INDEX(인턴계획표[[정규화1]:[정규화6]],$Q407,$G$3)&amp;""),FIND(" ",IF($G$3="","",INDEX(인턴계획표[[정규화1]:[정규화6]],$Q407,$G$3)&amp;""))+1,60),""))))</f>
        <v/>
      </c>
      <c r="H407">
        <f>IF($Q407="","",IF(IF($I$3="","",INDEX(인턴계획표[[정규화1]:[정규화6]],$Q407,$I$3)&amp;"")="","",IF(LEFT(IF($I$3="","",INDEX(인턴계획표[[정규화1]:[정규화6]],$Q407,$I$3)&amp;""),1)="⚠",IF($I$3="","",INDEX(인턴계획표[[정규화1]:[정규화6]],$Q407,$I$3)&amp;""),IFERROR(LEFT(IF($I$3="","",INDEX(인턴계획표[[정규화1]:[정규화6]],$Q407,$I$3)&amp;""),FIND(" ",IF($I$3="","",INDEX(인턴계획표[[정규화1]:[정규화6]],$Q407,$I$3)&amp;""))-1),IF($I$3="","",INDEX(인턴계획표[[정규화1]:[정규화6]],$Q407,$I$3)&amp;"")))))</f>
        <v/>
      </c>
      <c r="I407">
        <f>IF($Q407="","",IF(IF($I$3="","",INDEX(인턴계획표[[정규화1]:[정규화6]],$Q407,$I$3)&amp;"")="","",IF(LEFT(IF($I$3="","",INDEX(인턴계획표[[정규화1]:[정규화6]],$Q407,$I$3)&amp;""),1)="⚠","",IFERROR(MID(IF($I$3="","",INDEX(인턴계획표[[정규화1]:[정규화6]],$Q407,$I$3)&amp;""),FIND(" ",IF($I$3="","",INDEX(인턴계획표[[정규화1]:[정규화6]],$Q407,$I$3)&amp;""))+1,60),""))))</f>
        <v/>
      </c>
      <c r="J407">
        <f>IF($Q407="","",INDEX(인턴계획표[정규화1],$Q407))</f>
        <v/>
      </c>
      <c r="K407">
        <f>IF($Q407="","",INDEX(인턴계획표[정규화2],$Q407))</f>
        <v/>
      </c>
      <c r="L407">
        <f>IF($Q407="","",INDEX(인턴계획표[정규화3],$Q407))</f>
        <v/>
      </c>
      <c r="M407">
        <f>IF($Q407="","",INDEX(인턴계획표[정규화4],$Q407))</f>
        <v/>
      </c>
      <c r="N407">
        <f>IF($Q407="","",INDEX(인턴계획표[정규화5],$Q407))</f>
        <v/>
      </c>
      <c r="O407">
        <f>IF($Q407="","",INDEX(인턴계획표[정규화6],$Q407))</f>
        <v/>
      </c>
      <c r="P407">
        <f>IF($Q407="","",INDEX(인턴계획표[입력오류],$Q407))</f>
        <v/>
      </c>
      <c r="Q407" s="17">
        <f>IFERROR(MATCH(402,인턴계획표[표시순번],0),"")</f>
        <v/>
      </c>
    </row>
    <row r="408">
      <c r="A408">
        <f>IF($Q408="","",INDEX(인턴계획표[순번],$Q408)&amp;"")</f>
        <v/>
      </c>
      <c r="B408">
        <f>IF($Q408="","",TRIM(INDEX(인턴계획표[이름],$Q408)&amp;""))</f>
        <v/>
      </c>
      <c r="C408">
        <f>IF($Q408="","",INDEX(인턴계획표[사번],$Q408)&amp;"")</f>
        <v/>
      </c>
      <c r="D408">
        <f>IF($Q408="","",IF(COUNTIF(기본자료표[사번키],INDEX(인턴계획표[사번키],$Q408))&gt;0,"확인","미등록"))</f>
        <v/>
      </c>
      <c r="E408">
        <f>IF($Q408="","",IF(ISNUMBER(INDEX(인턴계획표[입사일(비고)],$Q408)),TEXT(INDEX(인턴계획표[입사일(비고)],$Q408),"yyyy-mm-dd"),INDEX(인턴계획표[입사일(비고)],$Q408)&amp;""))</f>
        <v/>
      </c>
      <c r="F408">
        <f>IF($Q408="","",IF(IF($G$3="","",INDEX(인턴계획표[[정규화1]:[정규화6]],$Q408,$G$3)&amp;"")="","",IF(LEFT(IF($G$3="","",INDEX(인턴계획표[[정규화1]:[정규화6]],$Q408,$G$3)&amp;""),1)="⚠",IF($G$3="","",INDEX(인턴계획표[[정규화1]:[정규화6]],$Q408,$G$3)&amp;""),IFERROR(LEFT(IF($G$3="","",INDEX(인턴계획표[[정규화1]:[정규화6]],$Q408,$G$3)&amp;""),FIND(" ",IF($G$3="","",INDEX(인턴계획표[[정규화1]:[정규화6]],$Q408,$G$3)&amp;""))-1),IF($G$3="","",INDEX(인턴계획표[[정규화1]:[정규화6]],$Q408,$G$3)&amp;"")))))</f>
        <v/>
      </c>
      <c r="G408">
        <f>IF($Q408="","",IF(IF($G$3="","",INDEX(인턴계획표[[정규화1]:[정규화6]],$Q408,$G$3)&amp;"")="","",IF(LEFT(IF($G$3="","",INDEX(인턴계획표[[정규화1]:[정규화6]],$Q408,$G$3)&amp;""),1)="⚠","",IFERROR(MID(IF($G$3="","",INDEX(인턴계획표[[정규화1]:[정규화6]],$Q408,$G$3)&amp;""),FIND(" ",IF($G$3="","",INDEX(인턴계획표[[정규화1]:[정규화6]],$Q408,$G$3)&amp;""))+1,60),""))))</f>
        <v/>
      </c>
      <c r="H408">
        <f>IF($Q408="","",IF(IF($I$3="","",INDEX(인턴계획표[[정규화1]:[정규화6]],$Q408,$I$3)&amp;"")="","",IF(LEFT(IF($I$3="","",INDEX(인턴계획표[[정규화1]:[정규화6]],$Q408,$I$3)&amp;""),1)="⚠",IF($I$3="","",INDEX(인턴계획표[[정규화1]:[정규화6]],$Q408,$I$3)&amp;""),IFERROR(LEFT(IF($I$3="","",INDEX(인턴계획표[[정규화1]:[정규화6]],$Q408,$I$3)&amp;""),FIND(" ",IF($I$3="","",INDEX(인턴계획표[[정규화1]:[정규화6]],$Q408,$I$3)&amp;""))-1),IF($I$3="","",INDEX(인턴계획표[[정규화1]:[정규화6]],$Q408,$I$3)&amp;"")))))</f>
        <v/>
      </c>
      <c r="I408">
        <f>IF($Q408="","",IF(IF($I$3="","",INDEX(인턴계획표[[정규화1]:[정규화6]],$Q408,$I$3)&amp;"")="","",IF(LEFT(IF($I$3="","",INDEX(인턴계획표[[정규화1]:[정규화6]],$Q408,$I$3)&amp;""),1)="⚠","",IFERROR(MID(IF($I$3="","",INDEX(인턴계획표[[정규화1]:[정규화6]],$Q408,$I$3)&amp;""),FIND(" ",IF($I$3="","",INDEX(인턴계획표[[정규화1]:[정규화6]],$Q408,$I$3)&amp;""))+1,60),""))))</f>
        <v/>
      </c>
      <c r="J408">
        <f>IF($Q408="","",INDEX(인턴계획표[정규화1],$Q408))</f>
        <v/>
      </c>
      <c r="K408">
        <f>IF($Q408="","",INDEX(인턴계획표[정규화2],$Q408))</f>
        <v/>
      </c>
      <c r="L408">
        <f>IF($Q408="","",INDEX(인턴계획표[정규화3],$Q408))</f>
        <v/>
      </c>
      <c r="M408">
        <f>IF($Q408="","",INDEX(인턴계획표[정규화4],$Q408))</f>
        <v/>
      </c>
      <c r="N408">
        <f>IF($Q408="","",INDEX(인턴계획표[정규화5],$Q408))</f>
        <v/>
      </c>
      <c r="O408">
        <f>IF($Q408="","",INDEX(인턴계획표[정규화6],$Q408))</f>
        <v/>
      </c>
      <c r="P408">
        <f>IF($Q408="","",INDEX(인턴계획표[입력오류],$Q408))</f>
        <v/>
      </c>
      <c r="Q408" s="17">
        <f>IFERROR(MATCH(403,인턴계획표[표시순번],0),"")</f>
        <v/>
      </c>
    </row>
    <row r="409">
      <c r="A409">
        <f>IF($Q409="","",INDEX(인턴계획표[순번],$Q409)&amp;"")</f>
        <v/>
      </c>
      <c r="B409">
        <f>IF($Q409="","",TRIM(INDEX(인턴계획표[이름],$Q409)&amp;""))</f>
        <v/>
      </c>
      <c r="C409">
        <f>IF($Q409="","",INDEX(인턴계획표[사번],$Q409)&amp;"")</f>
        <v/>
      </c>
      <c r="D409">
        <f>IF($Q409="","",IF(COUNTIF(기본자료표[사번키],INDEX(인턴계획표[사번키],$Q409))&gt;0,"확인","미등록"))</f>
        <v/>
      </c>
      <c r="E409">
        <f>IF($Q409="","",IF(ISNUMBER(INDEX(인턴계획표[입사일(비고)],$Q409)),TEXT(INDEX(인턴계획표[입사일(비고)],$Q409),"yyyy-mm-dd"),INDEX(인턴계획표[입사일(비고)],$Q409)&amp;""))</f>
        <v/>
      </c>
      <c r="F409">
        <f>IF($Q409="","",IF(IF($G$3="","",INDEX(인턴계획표[[정규화1]:[정규화6]],$Q409,$G$3)&amp;"")="","",IF(LEFT(IF($G$3="","",INDEX(인턴계획표[[정규화1]:[정규화6]],$Q409,$G$3)&amp;""),1)="⚠",IF($G$3="","",INDEX(인턴계획표[[정규화1]:[정규화6]],$Q409,$G$3)&amp;""),IFERROR(LEFT(IF($G$3="","",INDEX(인턴계획표[[정규화1]:[정규화6]],$Q409,$G$3)&amp;""),FIND(" ",IF($G$3="","",INDEX(인턴계획표[[정규화1]:[정규화6]],$Q409,$G$3)&amp;""))-1),IF($G$3="","",INDEX(인턴계획표[[정규화1]:[정규화6]],$Q409,$G$3)&amp;"")))))</f>
        <v/>
      </c>
      <c r="G409">
        <f>IF($Q409="","",IF(IF($G$3="","",INDEX(인턴계획표[[정규화1]:[정규화6]],$Q409,$G$3)&amp;"")="","",IF(LEFT(IF($G$3="","",INDEX(인턴계획표[[정규화1]:[정규화6]],$Q409,$G$3)&amp;""),1)="⚠","",IFERROR(MID(IF($G$3="","",INDEX(인턴계획표[[정규화1]:[정규화6]],$Q409,$G$3)&amp;""),FIND(" ",IF($G$3="","",INDEX(인턴계획표[[정규화1]:[정규화6]],$Q409,$G$3)&amp;""))+1,60),""))))</f>
        <v/>
      </c>
      <c r="H409">
        <f>IF($Q409="","",IF(IF($I$3="","",INDEX(인턴계획표[[정규화1]:[정규화6]],$Q409,$I$3)&amp;"")="","",IF(LEFT(IF($I$3="","",INDEX(인턴계획표[[정규화1]:[정규화6]],$Q409,$I$3)&amp;""),1)="⚠",IF($I$3="","",INDEX(인턴계획표[[정규화1]:[정규화6]],$Q409,$I$3)&amp;""),IFERROR(LEFT(IF($I$3="","",INDEX(인턴계획표[[정규화1]:[정규화6]],$Q409,$I$3)&amp;""),FIND(" ",IF($I$3="","",INDEX(인턴계획표[[정규화1]:[정규화6]],$Q409,$I$3)&amp;""))-1),IF($I$3="","",INDEX(인턴계획표[[정규화1]:[정규화6]],$Q409,$I$3)&amp;"")))))</f>
        <v/>
      </c>
      <c r="I409">
        <f>IF($Q409="","",IF(IF($I$3="","",INDEX(인턴계획표[[정규화1]:[정규화6]],$Q409,$I$3)&amp;"")="","",IF(LEFT(IF($I$3="","",INDEX(인턴계획표[[정규화1]:[정규화6]],$Q409,$I$3)&amp;""),1)="⚠","",IFERROR(MID(IF($I$3="","",INDEX(인턴계획표[[정규화1]:[정규화6]],$Q409,$I$3)&amp;""),FIND(" ",IF($I$3="","",INDEX(인턴계획표[[정규화1]:[정규화6]],$Q409,$I$3)&amp;""))+1,60),""))))</f>
        <v/>
      </c>
      <c r="J409">
        <f>IF($Q409="","",INDEX(인턴계획표[정규화1],$Q409))</f>
        <v/>
      </c>
      <c r="K409">
        <f>IF($Q409="","",INDEX(인턴계획표[정규화2],$Q409))</f>
        <v/>
      </c>
      <c r="L409">
        <f>IF($Q409="","",INDEX(인턴계획표[정규화3],$Q409))</f>
        <v/>
      </c>
      <c r="M409">
        <f>IF($Q409="","",INDEX(인턴계획표[정규화4],$Q409))</f>
        <v/>
      </c>
      <c r="N409">
        <f>IF($Q409="","",INDEX(인턴계획표[정규화5],$Q409))</f>
        <v/>
      </c>
      <c r="O409">
        <f>IF($Q409="","",INDEX(인턴계획표[정규화6],$Q409))</f>
        <v/>
      </c>
      <c r="P409">
        <f>IF($Q409="","",INDEX(인턴계획표[입력오류],$Q409))</f>
        <v/>
      </c>
      <c r="Q409" s="17">
        <f>IFERROR(MATCH(404,인턴계획표[표시순번],0),"")</f>
        <v/>
      </c>
    </row>
    <row r="410">
      <c r="A410">
        <f>IF($Q410="","",INDEX(인턴계획표[순번],$Q410)&amp;"")</f>
        <v/>
      </c>
      <c r="B410">
        <f>IF($Q410="","",TRIM(INDEX(인턴계획표[이름],$Q410)&amp;""))</f>
        <v/>
      </c>
      <c r="C410">
        <f>IF($Q410="","",INDEX(인턴계획표[사번],$Q410)&amp;"")</f>
        <v/>
      </c>
      <c r="D410">
        <f>IF($Q410="","",IF(COUNTIF(기본자료표[사번키],INDEX(인턴계획표[사번키],$Q410))&gt;0,"확인","미등록"))</f>
        <v/>
      </c>
      <c r="E410">
        <f>IF($Q410="","",IF(ISNUMBER(INDEX(인턴계획표[입사일(비고)],$Q410)),TEXT(INDEX(인턴계획표[입사일(비고)],$Q410),"yyyy-mm-dd"),INDEX(인턴계획표[입사일(비고)],$Q410)&amp;""))</f>
        <v/>
      </c>
      <c r="F410">
        <f>IF($Q410="","",IF(IF($G$3="","",INDEX(인턴계획표[[정규화1]:[정규화6]],$Q410,$G$3)&amp;"")="","",IF(LEFT(IF($G$3="","",INDEX(인턴계획표[[정규화1]:[정규화6]],$Q410,$G$3)&amp;""),1)="⚠",IF($G$3="","",INDEX(인턴계획표[[정규화1]:[정규화6]],$Q410,$G$3)&amp;""),IFERROR(LEFT(IF($G$3="","",INDEX(인턴계획표[[정규화1]:[정규화6]],$Q410,$G$3)&amp;""),FIND(" ",IF($G$3="","",INDEX(인턴계획표[[정규화1]:[정규화6]],$Q410,$G$3)&amp;""))-1),IF($G$3="","",INDEX(인턴계획표[[정규화1]:[정규화6]],$Q410,$G$3)&amp;"")))))</f>
        <v/>
      </c>
      <c r="G410">
        <f>IF($Q410="","",IF(IF($G$3="","",INDEX(인턴계획표[[정규화1]:[정규화6]],$Q410,$G$3)&amp;"")="","",IF(LEFT(IF($G$3="","",INDEX(인턴계획표[[정규화1]:[정규화6]],$Q410,$G$3)&amp;""),1)="⚠","",IFERROR(MID(IF($G$3="","",INDEX(인턴계획표[[정규화1]:[정규화6]],$Q410,$G$3)&amp;""),FIND(" ",IF($G$3="","",INDEX(인턴계획표[[정규화1]:[정규화6]],$Q410,$G$3)&amp;""))+1,60),""))))</f>
        <v/>
      </c>
      <c r="H410">
        <f>IF($Q410="","",IF(IF($I$3="","",INDEX(인턴계획표[[정규화1]:[정규화6]],$Q410,$I$3)&amp;"")="","",IF(LEFT(IF($I$3="","",INDEX(인턴계획표[[정규화1]:[정규화6]],$Q410,$I$3)&amp;""),1)="⚠",IF($I$3="","",INDEX(인턴계획표[[정규화1]:[정규화6]],$Q410,$I$3)&amp;""),IFERROR(LEFT(IF($I$3="","",INDEX(인턴계획표[[정규화1]:[정규화6]],$Q410,$I$3)&amp;""),FIND(" ",IF($I$3="","",INDEX(인턴계획표[[정규화1]:[정규화6]],$Q410,$I$3)&amp;""))-1),IF($I$3="","",INDEX(인턴계획표[[정규화1]:[정규화6]],$Q410,$I$3)&amp;"")))))</f>
        <v/>
      </c>
      <c r="I410">
        <f>IF($Q410="","",IF(IF($I$3="","",INDEX(인턴계획표[[정규화1]:[정규화6]],$Q410,$I$3)&amp;"")="","",IF(LEFT(IF($I$3="","",INDEX(인턴계획표[[정규화1]:[정규화6]],$Q410,$I$3)&amp;""),1)="⚠","",IFERROR(MID(IF($I$3="","",INDEX(인턴계획표[[정규화1]:[정규화6]],$Q410,$I$3)&amp;""),FIND(" ",IF($I$3="","",INDEX(인턴계획표[[정규화1]:[정규화6]],$Q410,$I$3)&amp;""))+1,60),""))))</f>
        <v/>
      </c>
      <c r="J410">
        <f>IF($Q410="","",INDEX(인턴계획표[정규화1],$Q410))</f>
        <v/>
      </c>
      <c r="K410">
        <f>IF($Q410="","",INDEX(인턴계획표[정규화2],$Q410))</f>
        <v/>
      </c>
      <c r="L410">
        <f>IF($Q410="","",INDEX(인턴계획표[정규화3],$Q410))</f>
        <v/>
      </c>
      <c r="M410">
        <f>IF($Q410="","",INDEX(인턴계획표[정규화4],$Q410))</f>
        <v/>
      </c>
      <c r="N410">
        <f>IF($Q410="","",INDEX(인턴계획표[정규화5],$Q410))</f>
        <v/>
      </c>
      <c r="O410">
        <f>IF($Q410="","",INDEX(인턴계획표[정규화6],$Q410))</f>
        <v/>
      </c>
      <c r="P410">
        <f>IF($Q410="","",INDEX(인턴계획표[입력오류],$Q410))</f>
        <v/>
      </c>
      <c r="Q410" s="17">
        <f>IFERROR(MATCH(405,인턴계획표[표시순번],0),"")</f>
        <v/>
      </c>
    </row>
    <row r="411">
      <c r="A411">
        <f>IF($Q411="","",INDEX(인턴계획표[순번],$Q411)&amp;"")</f>
        <v/>
      </c>
      <c r="B411">
        <f>IF($Q411="","",TRIM(INDEX(인턴계획표[이름],$Q411)&amp;""))</f>
        <v/>
      </c>
      <c r="C411">
        <f>IF($Q411="","",INDEX(인턴계획표[사번],$Q411)&amp;"")</f>
        <v/>
      </c>
      <c r="D411">
        <f>IF($Q411="","",IF(COUNTIF(기본자료표[사번키],INDEX(인턴계획표[사번키],$Q411))&gt;0,"확인","미등록"))</f>
        <v/>
      </c>
      <c r="E411">
        <f>IF($Q411="","",IF(ISNUMBER(INDEX(인턴계획표[입사일(비고)],$Q411)),TEXT(INDEX(인턴계획표[입사일(비고)],$Q411),"yyyy-mm-dd"),INDEX(인턴계획표[입사일(비고)],$Q411)&amp;""))</f>
        <v/>
      </c>
      <c r="F411">
        <f>IF($Q411="","",IF(IF($G$3="","",INDEX(인턴계획표[[정규화1]:[정규화6]],$Q411,$G$3)&amp;"")="","",IF(LEFT(IF($G$3="","",INDEX(인턴계획표[[정규화1]:[정규화6]],$Q411,$G$3)&amp;""),1)="⚠",IF($G$3="","",INDEX(인턴계획표[[정규화1]:[정규화6]],$Q411,$G$3)&amp;""),IFERROR(LEFT(IF($G$3="","",INDEX(인턴계획표[[정규화1]:[정규화6]],$Q411,$G$3)&amp;""),FIND(" ",IF($G$3="","",INDEX(인턴계획표[[정규화1]:[정규화6]],$Q411,$G$3)&amp;""))-1),IF($G$3="","",INDEX(인턴계획표[[정규화1]:[정규화6]],$Q411,$G$3)&amp;"")))))</f>
        <v/>
      </c>
      <c r="G411">
        <f>IF($Q411="","",IF(IF($G$3="","",INDEX(인턴계획표[[정규화1]:[정규화6]],$Q411,$G$3)&amp;"")="","",IF(LEFT(IF($G$3="","",INDEX(인턴계획표[[정규화1]:[정규화6]],$Q411,$G$3)&amp;""),1)="⚠","",IFERROR(MID(IF($G$3="","",INDEX(인턴계획표[[정규화1]:[정규화6]],$Q411,$G$3)&amp;""),FIND(" ",IF($G$3="","",INDEX(인턴계획표[[정규화1]:[정규화6]],$Q411,$G$3)&amp;""))+1,60),""))))</f>
        <v/>
      </c>
      <c r="H411">
        <f>IF($Q411="","",IF(IF($I$3="","",INDEX(인턴계획표[[정규화1]:[정규화6]],$Q411,$I$3)&amp;"")="","",IF(LEFT(IF($I$3="","",INDEX(인턴계획표[[정규화1]:[정규화6]],$Q411,$I$3)&amp;""),1)="⚠",IF($I$3="","",INDEX(인턴계획표[[정규화1]:[정규화6]],$Q411,$I$3)&amp;""),IFERROR(LEFT(IF($I$3="","",INDEX(인턴계획표[[정규화1]:[정규화6]],$Q411,$I$3)&amp;""),FIND(" ",IF($I$3="","",INDEX(인턴계획표[[정규화1]:[정규화6]],$Q411,$I$3)&amp;""))-1),IF($I$3="","",INDEX(인턴계획표[[정규화1]:[정규화6]],$Q411,$I$3)&amp;"")))))</f>
        <v/>
      </c>
      <c r="I411">
        <f>IF($Q411="","",IF(IF($I$3="","",INDEX(인턴계획표[[정규화1]:[정규화6]],$Q411,$I$3)&amp;"")="","",IF(LEFT(IF($I$3="","",INDEX(인턴계획표[[정규화1]:[정규화6]],$Q411,$I$3)&amp;""),1)="⚠","",IFERROR(MID(IF($I$3="","",INDEX(인턴계획표[[정규화1]:[정규화6]],$Q411,$I$3)&amp;""),FIND(" ",IF($I$3="","",INDEX(인턴계획표[[정규화1]:[정규화6]],$Q411,$I$3)&amp;""))+1,60),""))))</f>
        <v/>
      </c>
      <c r="J411">
        <f>IF($Q411="","",INDEX(인턴계획표[정규화1],$Q411))</f>
        <v/>
      </c>
      <c r="K411">
        <f>IF($Q411="","",INDEX(인턴계획표[정규화2],$Q411))</f>
        <v/>
      </c>
      <c r="L411">
        <f>IF($Q411="","",INDEX(인턴계획표[정규화3],$Q411))</f>
        <v/>
      </c>
      <c r="M411">
        <f>IF($Q411="","",INDEX(인턴계획표[정규화4],$Q411))</f>
        <v/>
      </c>
      <c r="N411">
        <f>IF($Q411="","",INDEX(인턴계획표[정규화5],$Q411))</f>
        <v/>
      </c>
      <c r="O411">
        <f>IF($Q411="","",INDEX(인턴계획표[정규화6],$Q411))</f>
        <v/>
      </c>
      <c r="P411">
        <f>IF($Q411="","",INDEX(인턴계획표[입력오류],$Q411))</f>
        <v/>
      </c>
      <c r="Q411" s="17">
        <f>IFERROR(MATCH(406,인턴계획표[표시순번],0),"")</f>
        <v/>
      </c>
    </row>
    <row r="412">
      <c r="A412">
        <f>IF($Q412="","",INDEX(인턴계획표[순번],$Q412)&amp;"")</f>
        <v/>
      </c>
      <c r="B412">
        <f>IF($Q412="","",TRIM(INDEX(인턴계획표[이름],$Q412)&amp;""))</f>
        <v/>
      </c>
      <c r="C412">
        <f>IF($Q412="","",INDEX(인턴계획표[사번],$Q412)&amp;"")</f>
        <v/>
      </c>
      <c r="D412">
        <f>IF($Q412="","",IF(COUNTIF(기본자료표[사번키],INDEX(인턴계획표[사번키],$Q412))&gt;0,"확인","미등록"))</f>
        <v/>
      </c>
      <c r="E412">
        <f>IF($Q412="","",IF(ISNUMBER(INDEX(인턴계획표[입사일(비고)],$Q412)),TEXT(INDEX(인턴계획표[입사일(비고)],$Q412),"yyyy-mm-dd"),INDEX(인턴계획표[입사일(비고)],$Q412)&amp;""))</f>
        <v/>
      </c>
      <c r="F412">
        <f>IF($Q412="","",IF(IF($G$3="","",INDEX(인턴계획표[[정규화1]:[정규화6]],$Q412,$G$3)&amp;"")="","",IF(LEFT(IF($G$3="","",INDEX(인턴계획표[[정규화1]:[정규화6]],$Q412,$G$3)&amp;""),1)="⚠",IF($G$3="","",INDEX(인턴계획표[[정규화1]:[정규화6]],$Q412,$G$3)&amp;""),IFERROR(LEFT(IF($G$3="","",INDEX(인턴계획표[[정규화1]:[정규화6]],$Q412,$G$3)&amp;""),FIND(" ",IF($G$3="","",INDEX(인턴계획표[[정규화1]:[정규화6]],$Q412,$G$3)&amp;""))-1),IF($G$3="","",INDEX(인턴계획표[[정규화1]:[정규화6]],$Q412,$G$3)&amp;"")))))</f>
        <v/>
      </c>
      <c r="G412">
        <f>IF($Q412="","",IF(IF($G$3="","",INDEX(인턴계획표[[정규화1]:[정규화6]],$Q412,$G$3)&amp;"")="","",IF(LEFT(IF($G$3="","",INDEX(인턴계획표[[정규화1]:[정규화6]],$Q412,$G$3)&amp;""),1)="⚠","",IFERROR(MID(IF($G$3="","",INDEX(인턴계획표[[정규화1]:[정규화6]],$Q412,$G$3)&amp;""),FIND(" ",IF($G$3="","",INDEX(인턴계획표[[정규화1]:[정규화6]],$Q412,$G$3)&amp;""))+1,60),""))))</f>
        <v/>
      </c>
      <c r="H412">
        <f>IF($Q412="","",IF(IF($I$3="","",INDEX(인턴계획표[[정규화1]:[정규화6]],$Q412,$I$3)&amp;"")="","",IF(LEFT(IF($I$3="","",INDEX(인턴계획표[[정규화1]:[정규화6]],$Q412,$I$3)&amp;""),1)="⚠",IF($I$3="","",INDEX(인턴계획표[[정규화1]:[정규화6]],$Q412,$I$3)&amp;""),IFERROR(LEFT(IF($I$3="","",INDEX(인턴계획표[[정규화1]:[정규화6]],$Q412,$I$3)&amp;""),FIND(" ",IF($I$3="","",INDEX(인턴계획표[[정규화1]:[정규화6]],$Q412,$I$3)&amp;""))-1),IF($I$3="","",INDEX(인턴계획표[[정규화1]:[정규화6]],$Q412,$I$3)&amp;"")))))</f>
        <v/>
      </c>
      <c r="I412">
        <f>IF($Q412="","",IF(IF($I$3="","",INDEX(인턴계획표[[정규화1]:[정규화6]],$Q412,$I$3)&amp;"")="","",IF(LEFT(IF($I$3="","",INDEX(인턴계획표[[정규화1]:[정규화6]],$Q412,$I$3)&amp;""),1)="⚠","",IFERROR(MID(IF($I$3="","",INDEX(인턴계획표[[정규화1]:[정규화6]],$Q412,$I$3)&amp;""),FIND(" ",IF($I$3="","",INDEX(인턴계획표[[정규화1]:[정규화6]],$Q412,$I$3)&amp;""))+1,60),""))))</f>
        <v/>
      </c>
      <c r="J412">
        <f>IF($Q412="","",INDEX(인턴계획표[정규화1],$Q412))</f>
        <v/>
      </c>
      <c r="K412">
        <f>IF($Q412="","",INDEX(인턴계획표[정규화2],$Q412))</f>
        <v/>
      </c>
      <c r="L412">
        <f>IF($Q412="","",INDEX(인턴계획표[정규화3],$Q412))</f>
        <v/>
      </c>
      <c r="M412">
        <f>IF($Q412="","",INDEX(인턴계획표[정규화4],$Q412))</f>
        <v/>
      </c>
      <c r="N412">
        <f>IF($Q412="","",INDEX(인턴계획표[정규화5],$Q412))</f>
        <v/>
      </c>
      <c r="O412">
        <f>IF($Q412="","",INDEX(인턴계획표[정규화6],$Q412))</f>
        <v/>
      </c>
      <c r="P412">
        <f>IF($Q412="","",INDEX(인턴계획표[입력오류],$Q412))</f>
        <v/>
      </c>
      <c r="Q412" s="17">
        <f>IFERROR(MATCH(407,인턴계획표[표시순번],0),"")</f>
        <v/>
      </c>
    </row>
    <row r="413">
      <c r="A413">
        <f>IF($Q413="","",INDEX(인턴계획표[순번],$Q413)&amp;"")</f>
        <v/>
      </c>
      <c r="B413">
        <f>IF($Q413="","",TRIM(INDEX(인턴계획표[이름],$Q413)&amp;""))</f>
        <v/>
      </c>
      <c r="C413">
        <f>IF($Q413="","",INDEX(인턴계획표[사번],$Q413)&amp;"")</f>
        <v/>
      </c>
      <c r="D413">
        <f>IF($Q413="","",IF(COUNTIF(기본자료표[사번키],INDEX(인턴계획표[사번키],$Q413))&gt;0,"확인","미등록"))</f>
        <v/>
      </c>
      <c r="E413">
        <f>IF($Q413="","",IF(ISNUMBER(INDEX(인턴계획표[입사일(비고)],$Q413)),TEXT(INDEX(인턴계획표[입사일(비고)],$Q413),"yyyy-mm-dd"),INDEX(인턴계획표[입사일(비고)],$Q413)&amp;""))</f>
        <v/>
      </c>
      <c r="F413">
        <f>IF($Q413="","",IF(IF($G$3="","",INDEX(인턴계획표[[정규화1]:[정규화6]],$Q413,$G$3)&amp;"")="","",IF(LEFT(IF($G$3="","",INDEX(인턴계획표[[정규화1]:[정규화6]],$Q413,$G$3)&amp;""),1)="⚠",IF($G$3="","",INDEX(인턴계획표[[정규화1]:[정규화6]],$Q413,$G$3)&amp;""),IFERROR(LEFT(IF($G$3="","",INDEX(인턴계획표[[정규화1]:[정규화6]],$Q413,$G$3)&amp;""),FIND(" ",IF($G$3="","",INDEX(인턴계획표[[정규화1]:[정규화6]],$Q413,$G$3)&amp;""))-1),IF($G$3="","",INDEX(인턴계획표[[정규화1]:[정규화6]],$Q413,$G$3)&amp;"")))))</f>
        <v/>
      </c>
      <c r="G413">
        <f>IF($Q413="","",IF(IF($G$3="","",INDEX(인턴계획표[[정규화1]:[정규화6]],$Q413,$G$3)&amp;"")="","",IF(LEFT(IF($G$3="","",INDEX(인턴계획표[[정규화1]:[정규화6]],$Q413,$G$3)&amp;""),1)="⚠","",IFERROR(MID(IF($G$3="","",INDEX(인턴계획표[[정규화1]:[정규화6]],$Q413,$G$3)&amp;""),FIND(" ",IF($G$3="","",INDEX(인턴계획표[[정규화1]:[정규화6]],$Q413,$G$3)&amp;""))+1,60),""))))</f>
        <v/>
      </c>
      <c r="H413">
        <f>IF($Q413="","",IF(IF($I$3="","",INDEX(인턴계획표[[정규화1]:[정규화6]],$Q413,$I$3)&amp;"")="","",IF(LEFT(IF($I$3="","",INDEX(인턴계획표[[정규화1]:[정규화6]],$Q413,$I$3)&amp;""),1)="⚠",IF($I$3="","",INDEX(인턴계획표[[정규화1]:[정규화6]],$Q413,$I$3)&amp;""),IFERROR(LEFT(IF($I$3="","",INDEX(인턴계획표[[정규화1]:[정규화6]],$Q413,$I$3)&amp;""),FIND(" ",IF($I$3="","",INDEX(인턴계획표[[정규화1]:[정규화6]],$Q413,$I$3)&amp;""))-1),IF($I$3="","",INDEX(인턴계획표[[정규화1]:[정규화6]],$Q413,$I$3)&amp;"")))))</f>
        <v/>
      </c>
      <c r="I413">
        <f>IF($Q413="","",IF(IF($I$3="","",INDEX(인턴계획표[[정규화1]:[정규화6]],$Q413,$I$3)&amp;"")="","",IF(LEFT(IF($I$3="","",INDEX(인턴계획표[[정규화1]:[정규화6]],$Q413,$I$3)&amp;""),1)="⚠","",IFERROR(MID(IF($I$3="","",INDEX(인턴계획표[[정규화1]:[정규화6]],$Q413,$I$3)&amp;""),FIND(" ",IF($I$3="","",INDEX(인턴계획표[[정규화1]:[정규화6]],$Q413,$I$3)&amp;""))+1,60),""))))</f>
        <v/>
      </c>
      <c r="J413">
        <f>IF($Q413="","",INDEX(인턴계획표[정규화1],$Q413))</f>
        <v/>
      </c>
      <c r="K413">
        <f>IF($Q413="","",INDEX(인턴계획표[정규화2],$Q413))</f>
        <v/>
      </c>
      <c r="L413">
        <f>IF($Q413="","",INDEX(인턴계획표[정규화3],$Q413))</f>
        <v/>
      </c>
      <c r="M413">
        <f>IF($Q413="","",INDEX(인턴계획표[정규화4],$Q413))</f>
        <v/>
      </c>
      <c r="N413">
        <f>IF($Q413="","",INDEX(인턴계획표[정규화5],$Q413))</f>
        <v/>
      </c>
      <c r="O413">
        <f>IF($Q413="","",INDEX(인턴계획표[정규화6],$Q413))</f>
        <v/>
      </c>
      <c r="P413">
        <f>IF($Q413="","",INDEX(인턴계획표[입력오류],$Q413))</f>
        <v/>
      </c>
      <c r="Q413" s="17">
        <f>IFERROR(MATCH(408,인턴계획표[표시순번],0),"")</f>
        <v/>
      </c>
    </row>
    <row r="414">
      <c r="A414">
        <f>IF($Q414="","",INDEX(인턴계획표[순번],$Q414)&amp;"")</f>
        <v/>
      </c>
      <c r="B414">
        <f>IF($Q414="","",TRIM(INDEX(인턴계획표[이름],$Q414)&amp;""))</f>
        <v/>
      </c>
      <c r="C414">
        <f>IF($Q414="","",INDEX(인턴계획표[사번],$Q414)&amp;"")</f>
        <v/>
      </c>
      <c r="D414">
        <f>IF($Q414="","",IF(COUNTIF(기본자료표[사번키],INDEX(인턴계획표[사번키],$Q414))&gt;0,"확인","미등록"))</f>
        <v/>
      </c>
      <c r="E414">
        <f>IF($Q414="","",IF(ISNUMBER(INDEX(인턴계획표[입사일(비고)],$Q414)),TEXT(INDEX(인턴계획표[입사일(비고)],$Q414),"yyyy-mm-dd"),INDEX(인턴계획표[입사일(비고)],$Q414)&amp;""))</f>
        <v/>
      </c>
      <c r="F414">
        <f>IF($Q414="","",IF(IF($G$3="","",INDEX(인턴계획표[[정규화1]:[정규화6]],$Q414,$G$3)&amp;"")="","",IF(LEFT(IF($G$3="","",INDEX(인턴계획표[[정규화1]:[정규화6]],$Q414,$G$3)&amp;""),1)="⚠",IF($G$3="","",INDEX(인턴계획표[[정규화1]:[정규화6]],$Q414,$G$3)&amp;""),IFERROR(LEFT(IF($G$3="","",INDEX(인턴계획표[[정규화1]:[정규화6]],$Q414,$G$3)&amp;""),FIND(" ",IF($G$3="","",INDEX(인턴계획표[[정규화1]:[정규화6]],$Q414,$G$3)&amp;""))-1),IF($G$3="","",INDEX(인턴계획표[[정규화1]:[정규화6]],$Q414,$G$3)&amp;"")))))</f>
        <v/>
      </c>
      <c r="G414">
        <f>IF($Q414="","",IF(IF($G$3="","",INDEX(인턴계획표[[정규화1]:[정규화6]],$Q414,$G$3)&amp;"")="","",IF(LEFT(IF($G$3="","",INDEX(인턴계획표[[정규화1]:[정규화6]],$Q414,$G$3)&amp;""),1)="⚠","",IFERROR(MID(IF($G$3="","",INDEX(인턴계획표[[정규화1]:[정규화6]],$Q414,$G$3)&amp;""),FIND(" ",IF($G$3="","",INDEX(인턴계획표[[정규화1]:[정규화6]],$Q414,$G$3)&amp;""))+1,60),""))))</f>
        <v/>
      </c>
      <c r="H414">
        <f>IF($Q414="","",IF(IF($I$3="","",INDEX(인턴계획표[[정규화1]:[정규화6]],$Q414,$I$3)&amp;"")="","",IF(LEFT(IF($I$3="","",INDEX(인턴계획표[[정규화1]:[정규화6]],$Q414,$I$3)&amp;""),1)="⚠",IF($I$3="","",INDEX(인턴계획표[[정규화1]:[정규화6]],$Q414,$I$3)&amp;""),IFERROR(LEFT(IF($I$3="","",INDEX(인턴계획표[[정규화1]:[정규화6]],$Q414,$I$3)&amp;""),FIND(" ",IF($I$3="","",INDEX(인턴계획표[[정규화1]:[정규화6]],$Q414,$I$3)&amp;""))-1),IF($I$3="","",INDEX(인턴계획표[[정규화1]:[정규화6]],$Q414,$I$3)&amp;"")))))</f>
        <v/>
      </c>
      <c r="I414">
        <f>IF($Q414="","",IF(IF($I$3="","",INDEX(인턴계획표[[정규화1]:[정규화6]],$Q414,$I$3)&amp;"")="","",IF(LEFT(IF($I$3="","",INDEX(인턴계획표[[정규화1]:[정규화6]],$Q414,$I$3)&amp;""),1)="⚠","",IFERROR(MID(IF($I$3="","",INDEX(인턴계획표[[정규화1]:[정규화6]],$Q414,$I$3)&amp;""),FIND(" ",IF($I$3="","",INDEX(인턴계획표[[정규화1]:[정규화6]],$Q414,$I$3)&amp;""))+1,60),""))))</f>
        <v/>
      </c>
      <c r="J414">
        <f>IF($Q414="","",INDEX(인턴계획표[정규화1],$Q414))</f>
        <v/>
      </c>
      <c r="K414">
        <f>IF($Q414="","",INDEX(인턴계획표[정규화2],$Q414))</f>
        <v/>
      </c>
      <c r="L414">
        <f>IF($Q414="","",INDEX(인턴계획표[정규화3],$Q414))</f>
        <v/>
      </c>
      <c r="M414">
        <f>IF($Q414="","",INDEX(인턴계획표[정규화4],$Q414))</f>
        <v/>
      </c>
      <c r="N414">
        <f>IF($Q414="","",INDEX(인턴계획표[정규화5],$Q414))</f>
        <v/>
      </c>
      <c r="O414">
        <f>IF($Q414="","",INDEX(인턴계획표[정규화6],$Q414))</f>
        <v/>
      </c>
      <c r="P414">
        <f>IF($Q414="","",INDEX(인턴계획표[입력오류],$Q414))</f>
        <v/>
      </c>
      <c r="Q414" s="17">
        <f>IFERROR(MATCH(409,인턴계획표[표시순번],0),"")</f>
        <v/>
      </c>
    </row>
    <row r="415">
      <c r="A415">
        <f>IF($Q415="","",INDEX(인턴계획표[순번],$Q415)&amp;"")</f>
        <v/>
      </c>
      <c r="B415">
        <f>IF($Q415="","",TRIM(INDEX(인턴계획표[이름],$Q415)&amp;""))</f>
        <v/>
      </c>
      <c r="C415">
        <f>IF($Q415="","",INDEX(인턴계획표[사번],$Q415)&amp;"")</f>
        <v/>
      </c>
      <c r="D415">
        <f>IF($Q415="","",IF(COUNTIF(기본자료표[사번키],INDEX(인턴계획표[사번키],$Q415))&gt;0,"확인","미등록"))</f>
        <v/>
      </c>
      <c r="E415">
        <f>IF($Q415="","",IF(ISNUMBER(INDEX(인턴계획표[입사일(비고)],$Q415)),TEXT(INDEX(인턴계획표[입사일(비고)],$Q415),"yyyy-mm-dd"),INDEX(인턴계획표[입사일(비고)],$Q415)&amp;""))</f>
        <v/>
      </c>
      <c r="F415">
        <f>IF($Q415="","",IF(IF($G$3="","",INDEX(인턴계획표[[정규화1]:[정규화6]],$Q415,$G$3)&amp;"")="","",IF(LEFT(IF($G$3="","",INDEX(인턴계획표[[정규화1]:[정규화6]],$Q415,$G$3)&amp;""),1)="⚠",IF($G$3="","",INDEX(인턴계획표[[정규화1]:[정규화6]],$Q415,$G$3)&amp;""),IFERROR(LEFT(IF($G$3="","",INDEX(인턴계획표[[정규화1]:[정규화6]],$Q415,$G$3)&amp;""),FIND(" ",IF($G$3="","",INDEX(인턴계획표[[정규화1]:[정규화6]],$Q415,$G$3)&amp;""))-1),IF($G$3="","",INDEX(인턴계획표[[정규화1]:[정규화6]],$Q415,$G$3)&amp;"")))))</f>
        <v/>
      </c>
      <c r="G415">
        <f>IF($Q415="","",IF(IF($G$3="","",INDEX(인턴계획표[[정규화1]:[정규화6]],$Q415,$G$3)&amp;"")="","",IF(LEFT(IF($G$3="","",INDEX(인턴계획표[[정규화1]:[정규화6]],$Q415,$G$3)&amp;""),1)="⚠","",IFERROR(MID(IF($G$3="","",INDEX(인턴계획표[[정규화1]:[정규화6]],$Q415,$G$3)&amp;""),FIND(" ",IF($G$3="","",INDEX(인턴계획표[[정규화1]:[정규화6]],$Q415,$G$3)&amp;""))+1,60),""))))</f>
        <v/>
      </c>
      <c r="H415">
        <f>IF($Q415="","",IF(IF($I$3="","",INDEX(인턴계획표[[정규화1]:[정규화6]],$Q415,$I$3)&amp;"")="","",IF(LEFT(IF($I$3="","",INDEX(인턴계획표[[정규화1]:[정규화6]],$Q415,$I$3)&amp;""),1)="⚠",IF($I$3="","",INDEX(인턴계획표[[정규화1]:[정규화6]],$Q415,$I$3)&amp;""),IFERROR(LEFT(IF($I$3="","",INDEX(인턴계획표[[정규화1]:[정규화6]],$Q415,$I$3)&amp;""),FIND(" ",IF($I$3="","",INDEX(인턴계획표[[정규화1]:[정규화6]],$Q415,$I$3)&amp;""))-1),IF($I$3="","",INDEX(인턴계획표[[정규화1]:[정규화6]],$Q415,$I$3)&amp;"")))))</f>
        <v/>
      </c>
      <c r="I415">
        <f>IF($Q415="","",IF(IF($I$3="","",INDEX(인턴계획표[[정규화1]:[정규화6]],$Q415,$I$3)&amp;"")="","",IF(LEFT(IF($I$3="","",INDEX(인턴계획표[[정규화1]:[정규화6]],$Q415,$I$3)&amp;""),1)="⚠","",IFERROR(MID(IF($I$3="","",INDEX(인턴계획표[[정규화1]:[정규화6]],$Q415,$I$3)&amp;""),FIND(" ",IF($I$3="","",INDEX(인턴계획표[[정규화1]:[정규화6]],$Q415,$I$3)&amp;""))+1,60),""))))</f>
        <v/>
      </c>
      <c r="J415">
        <f>IF($Q415="","",INDEX(인턴계획표[정규화1],$Q415))</f>
        <v/>
      </c>
      <c r="K415">
        <f>IF($Q415="","",INDEX(인턴계획표[정규화2],$Q415))</f>
        <v/>
      </c>
      <c r="L415">
        <f>IF($Q415="","",INDEX(인턴계획표[정규화3],$Q415))</f>
        <v/>
      </c>
      <c r="M415">
        <f>IF($Q415="","",INDEX(인턴계획표[정규화4],$Q415))</f>
        <v/>
      </c>
      <c r="N415">
        <f>IF($Q415="","",INDEX(인턴계획표[정규화5],$Q415))</f>
        <v/>
      </c>
      <c r="O415">
        <f>IF($Q415="","",INDEX(인턴계획표[정규화6],$Q415))</f>
        <v/>
      </c>
      <c r="P415">
        <f>IF($Q415="","",INDEX(인턴계획표[입력오류],$Q415))</f>
        <v/>
      </c>
      <c r="Q415" s="17">
        <f>IFERROR(MATCH(410,인턴계획표[표시순번],0),"")</f>
        <v/>
      </c>
    </row>
    <row r="416">
      <c r="A416">
        <f>IF($Q416="","",INDEX(인턴계획표[순번],$Q416)&amp;"")</f>
        <v/>
      </c>
      <c r="B416">
        <f>IF($Q416="","",TRIM(INDEX(인턴계획표[이름],$Q416)&amp;""))</f>
        <v/>
      </c>
      <c r="C416">
        <f>IF($Q416="","",INDEX(인턴계획표[사번],$Q416)&amp;"")</f>
        <v/>
      </c>
      <c r="D416">
        <f>IF($Q416="","",IF(COUNTIF(기본자료표[사번키],INDEX(인턴계획표[사번키],$Q416))&gt;0,"확인","미등록"))</f>
        <v/>
      </c>
      <c r="E416">
        <f>IF($Q416="","",IF(ISNUMBER(INDEX(인턴계획표[입사일(비고)],$Q416)),TEXT(INDEX(인턴계획표[입사일(비고)],$Q416),"yyyy-mm-dd"),INDEX(인턴계획표[입사일(비고)],$Q416)&amp;""))</f>
        <v/>
      </c>
      <c r="F416">
        <f>IF($Q416="","",IF(IF($G$3="","",INDEX(인턴계획표[[정규화1]:[정규화6]],$Q416,$G$3)&amp;"")="","",IF(LEFT(IF($G$3="","",INDEX(인턴계획표[[정규화1]:[정규화6]],$Q416,$G$3)&amp;""),1)="⚠",IF($G$3="","",INDEX(인턴계획표[[정규화1]:[정규화6]],$Q416,$G$3)&amp;""),IFERROR(LEFT(IF($G$3="","",INDEX(인턴계획표[[정규화1]:[정규화6]],$Q416,$G$3)&amp;""),FIND(" ",IF($G$3="","",INDEX(인턴계획표[[정규화1]:[정규화6]],$Q416,$G$3)&amp;""))-1),IF($G$3="","",INDEX(인턴계획표[[정규화1]:[정규화6]],$Q416,$G$3)&amp;"")))))</f>
        <v/>
      </c>
      <c r="G416">
        <f>IF($Q416="","",IF(IF($G$3="","",INDEX(인턴계획표[[정규화1]:[정규화6]],$Q416,$G$3)&amp;"")="","",IF(LEFT(IF($G$3="","",INDEX(인턴계획표[[정규화1]:[정규화6]],$Q416,$G$3)&amp;""),1)="⚠","",IFERROR(MID(IF($G$3="","",INDEX(인턴계획표[[정규화1]:[정규화6]],$Q416,$G$3)&amp;""),FIND(" ",IF($G$3="","",INDEX(인턴계획표[[정규화1]:[정규화6]],$Q416,$G$3)&amp;""))+1,60),""))))</f>
        <v/>
      </c>
      <c r="H416">
        <f>IF($Q416="","",IF(IF($I$3="","",INDEX(인턴계획표[[정규화1]:[정규화6]],$Q416,$I$3)&amp;"")="","",IF(LEFT(IF($I$3="","",INDEX(인턴계획표[[정규화1]:[정규화6]],$Q416,$I$3)&amp;""),1)="⚠",IF($I$3="","",INDEX(인턴계획표[[정규화1]:[정규화6]],$Q416,$I$3)&amp;""),IFERROR(LEFT(IF($I$3="","",INDEX(인턴계획표[[정규화1]:[정규화6]],$Q416,$I$3)&amp;""),FIND(" ",IF($I$3="","",INDEX(인턴계획표[[정규화1]:[정규화6]],$Q416,$I$3)&amp;""))-1),IF($I$3="","",INDEX(인턴계획표[[정규화1]:[정규화6]],$Q416,$I$3)&amp;"")))))</f>
        <v/>
      </c>
      <c r="I416">
        <f>IF($Q416="","",IF(IF($I$3="","",INDEX(인턴계획표[[정규화1]:[정규화6]],$Q416,$I$3)&amp;"")="","",IF(LEFT(IF($I$3="","",INDEX(인턴계획표[[정규화1]:[정규화6]],$Q416,$I$3)&amp;""),1)="⚠","",IFERROR(MID(IF($I$3="","",INDEX(인턴계획표[[정규화1]:[정규화6]],$Q416,$I$3)&amp;""),FIND(" ",IF($I$3="","",INDEX(인턴계획표[[정규화1]:[정규화6]],$Q416,$I$3)&amp;""))+1,60),""))))</f>
        <v/>
      </c>
      <c r="J416">
        <f>IF($Q416="","",INDEX(인턴계획표[정규화1],$Q416))</f>
        <v/>
      </c>
      <c r="K416">
        <f>IF($Q416="","",INDEX(인턴계획표[정규화2],$Q416))</f>
        <v/>
      </c>
      <c r="L416">
        <f>IF($Q416="","",INDEX(인턴계획표[정규화3],$Q416))</f>
        <v/>
      </c>
      <c r="M416">
        <f>IF($Q416="","",INDEX(인턴계획표[정규화4],$Q416))</f>
        <v/>
      </c>
      <c r="N416">
        <f>IF($Q416="","",INDEX(인턴계획표[정규화5],$Q416))</f>
        <v/>
      </c>
      <c r="O416">
        <f>IF($Q416="","",INDEX(인턴계획표[정규화6],$Q416))</f>
        <v/>
      </c>
      <c r="P416">
        <f>IF($Q416="","",INDEX(인턴계획표[입력오류],$Q416))</f>
        <v/>
      </c>
      <c r="Q416" s="17">
        <f>IFERROR(MATCH(411,인턴계획표[표시순번],0),"")</f>
        <v/>
      </c>
    </row>
    <row r="417">
      <c r="A417">
        <f>IF($Q417="","",INDEX(인턴계획표[순번],$Q417)&amp;"")</f>
        <v/>
      </c>
      <c r="B417">
        <f>IF($Q417="","",TRIM(INDEX(인턴계획표[이름],$Q417)&amp;""))</f>
        <v/>
      </c>
      <c r="C417">
        <f>IF($Q417="","",INDEX(인턴계획표[사번],$Q417)&amp;"")</f>
        <v/>
      </c>
      <c r="D417">
        <f>IF($Q417="","",IF(COUNTIF(기본자료표[사번키],INDEX(인턴계획표[사번키],$Q417))&gt;0,"확인","미등록"))</f>
        <v/>
      </c>
      <c r="E417">
        <f>IF($Q417="","",IF(ISNUMBER(INDEX(인턴계획표[입사일(비고)],$Q417)),TEXT(INDEX(인턴계획표[입사일(비고)],$Q417),"yyyy-mm-dd"),INDEX(인턴계획표[입사일(비고)],$Q417)&amp;""))</f>
        <v/>
      </c>
      <c r="F417">
        <f>IF($Q417="","",IF(IF($G$3="","",INDEX(인턴계획표[[정규화1]:[정규화6]],$Q417,$G$3)&amp;"")="","",IF(LEFT(IF($G$3="","",INDEX(인턴계획표[[정규화1]:[정규화6]],$Q417,$G$3)&amp;""),1)="⚠",IF($G$3="","",INDEX(인턴계획표[[정규화1]:[정규화6]],$Q417,$G$3)&amp;""),IFERROR(LEFT(IF($G$3="","",INDEX(인턴계획표[[정규화1]:[정규화6]],$Q417,$G$3)&amp;""),FIND(" ",IF($G$3="","",INDEX(인턴계획표[[정규화1]:[정규화6]],$Q417,$G$3)&amp;""))-1),IF($G$3="","",INDEX(인턴계획표[[정규화1]:[정규화6]],$Q417,$G$3)&amp;"")))))</f>
        <v/>
      </c>
      <c r="G417">
        <f>IF($Q417="","",IF(IF($G$3="","",INDEX(인턴계획표[[정규화1]:[정규화6]],$Q417,$G$3)&amp;"")="","",IF(LEFT(IF($G$3="","",INDEX(인턴계획표[[정규화1]:[정규화6]],$Q417,$G$3)&amp;""),1)="⚠","",IFERROR(MID(IF($G$3="","",INDEX(인턴계획표[[정규화1]:[정규화6]],$Q417,$G$3)&amp;""),FIND(" ",IF($G$3="","",INDEX(인턴계획표[[정규화1]:[정규화6]],$Q417,$G$3)&amp;""))+1,60),""))))</f>
        <v/>
      </c>
      <c r="H417">
        <f>IF($Q417="","",IF(IF($I$3="","",INDEX(인턴계획표[[정규화1]:[정규화6]],$Q417,$I$3)&amp;"")="","",IF(LEFT(IF($I$3="","",INDEX(인턴계획표[[정규화1]:[정규화6]],$Q417,$I$3)&amp;""),1)="⚠",IF($I$3="","",INDEX(인턴계획표[[정규화1]:[정규화6]],$Q417,$I$3)&amp;""),IFERROR(LEFT(IF($I$3="","",INDEX(인턴계획표[[정규화1]:[정규화6]],$Q417,$I$3)&amp;""),FIND(" ",IF($I$3="","",INDEX(인턴계획표[[정규화1]:[정규화6]],$Q417,$I$3)&amp;""))-1),IF($I$3="","",INDEX(인턴계획표[[정규화1]:[정규화6]],$Q417,$I$3)&amp;"")))))</f>
        <v/>
      </c>
      <c r="I417">
        <f>IF($Q417="","",IF(IF($I$3="","",INDEX(인턴계획표[[정규화1]:[정규화6]],$Q417,$I$3)&amp;"")="","",IF(LEFT(IF($I$3="","",INDEX(인턴계획표[[정규화1]:[정규화6]],$Q417,$I$3)&amp;""),1)="⚠","",IFERROR(MID(IF($I$3="","",INDEX(인턴계획표[[정규화1]:[정규화6]],$Q417,$I$3)&amp;""),FIND(" ",IF($I$3="","",INDEX(인턴계획표[[정규화1]:[정규화6]],$Q417,$I$3)&amp;""))+1,60),""))))</f>
        <v/>
      </c>
      <c r="J417">
        <f>IF($Q417="","",INDEX(인턴계획표[정규화1],$Q417))</f>
        <v/>
      </c>
      <c r="K417">
        <f>IF($Q417="","",INDEX(인턴계획표[정규화2],$Q417))</f>
        <v/>
      </c>
      <c r="L417">
        <f>IF($Q417="","",INDEX(인턴계획표[정규화3],$Q417))</f>
        <v/>
      </c>
      <c r="M417">
        <f>IF($Q417="","",INDEX(인턴계획표[정규화4],$Q417))</f>
        <v/>
      </c>
      <c r="N417">
        <f>IF($Q417="","",INDEX(인턴계획표[정규화5],$Q417))</f>
        <v/>
      </c>
      <c r="O417">
        <f>IF($Q417="","",INDEX(인턴계획표[정규화6],$Q417))</f>
        <v/>
      </c>
      <c r="P417">
        <f>IF($Q417="","",INDEX(인턴계획표[입력오류],$Q417))</f>
        <v/>
      </c>
      <c r="Q417" s="17">
        <f>IFERROR(MATCH(412,인턴계획표[표시순번],0),"")</f>
        <v/>
      </c>
    </row>
    <row r="418">
      <c r="A418">
        <f>IF($Q418="","",INDEX(인턴계획표[순번],$Q418)&amp;"")</f>
        <v/>
      </c>
      <c r="B418">
        <f>IF($Q418="","",TRIM(INDEX(인턴계획표[이름],$Q418)&amp;""))</f>
        <v/>
      </c>
      <c r="C418">
        <f>IF($Q418="","",INDEX(인턴계획표[사번],$Q418)&amp;"")</f>
        <v/>
      </c>
      <c r="D418">
        <f>IF($Q418="","",IF(COUNTIF(기본자료표[사번키],INDEX(인턴계획표[사번키],$Q418))&gt;0,"확인","미등록"))</f>
        <v/>
      </c>
      <c r="E418">
        <f>IF($Q418="","",IF(ISNUMBER(INDEX(인턴계획표[입사일(비고)],$Q418)),TEXT(INDEX(인턴계획표[입사일(비고)],$Q418),"yyyy-mm-dd"),INDEX(인턴계획표[입사일(비고)],$Q418)&amp;""))</f>
        <v/>
      </c>
      <c r="F418">
        <f>IF($Q418="","",IF(IF($G$3="","",INDEX(인턴계획표[[정규화1]:[정규화6]],$Q418,$G$3)&amp;"")="","",IF(LEFT(IF($G$3="","",INDEX(인턴계획표[[정규화1]:[정규화6]],$Q418,$G$3)&amp;""),1)="⚠",IF($G$3="","",INDEX(인턴계획표[[정규화1]:[정규화6]],$Q418,$G$3)&amp;""),IFERROR(LEFT(IF($G$3="","",INDEX(인턴계획표[[정규화1]:[정규화6]],$Q418,$G$3)&amp;""),FIND(" ",IF($G$3="","",INDEX(인턴계획표[[정규화1]:[정규화6]],$Q418,$G$3)&amp;""))-1),IF($G$3="","",INDEX(인턴계획표[[정규화1]:[정규화6]],$Q418,$G$3)&amp;"")))))</f>
        <v/>
      </c>
      <c r="G418">
        <f>IF($Q418="","",IF(IF($G$3="","",INDEX(인턴계획표[[정규화1]:[정규화6]],$Q418,$G$3)&amp;"")="","",IF(LEFT(IF($G$3="","",INDEX(인턴계획표[[정규화1]:[정규화6]],$Q418,$G$3)&amp;""),1)="⚠","",IFERROR(MID(IF($G$3="","",INDEX(인턴계획표[[정규화1]:[정규화6]],$Q418,$G$3)&amp;""),FIND(" ",IF($G$3="","",INDEX(인턴계획표[[정규화1]:[정규화6]],$Q418,$G$3)&amp;""))+1,60),""))))</f>
        <v/>
      </c>
      <c r="H418">
        <f>IF($Q418="","",IF(IF($I$3="","",INDEX(인턴계획표[[정규화1]:[정규화6]],$Q418,$I$3)&amp;"")="","",IF(LEFT(IF($I$3="","",INDEX(인턴계획표[[정규화1]:[정규화6]],$Q418,$I$3)&amp;""),1)="⚠",IF($I$3="","",INDEX(인턴계획표[[정규화1]:[정규화6]],$Q418,$I$3)&amp;""),IFERROR(LEFT(IF($I$3="","",INDEX(인턴계획표[[정규화1]:[정규화6]],$Q418,$I$3)&amp;""),FIND(" ",IF($I$3="","",INDEX(인턴계획표[[정규화1]:[정규화6]],$Q418,$I$3)&amp;""))-1),IF($I$3="","",INDEX(인턴계획표[[정규화1]:[정규화6]],$Q418,$I$3)&amp;"")))))</f>
        <v/>
      </c>
      <c r="I418">
        <f>IF($Q418="","",IF(IF($I$3="","",INDEX(인턴계획표[[정규화1]:[정규화6]],$Q418,$I$3)&amp;"")="","",IF(LEFT(IF($I$3="","",INDEX(인턴계획표[[정규화1]:[정규화6]],$Q418,$I$3)&amp;""),1)="⚠","",IFERROR(MID(IF($I$3="","",INDEX(인턴계획표[[정규화1]:[정규화6]],$Q418,$I$3)&amp;""),FIND(" ",IF($I$3="","",INDEX(인턴계획표[[정규화1]:[정규화6]],$Q418,$I$3)&amp;""))+1,60),""))))</f>
        <v/>
      </c>
      <c r="J418">
        <f>IF($Q418="","",INDEX(인턴계획표[정규화1],$Q418))</f>
        <v/>
      </c>
      <c r="K418">
        <f>IF($Q418="","",INDEX(인턴계획표[정규화2],$Q418))</f>
        <v/>
      </c>
      <c r="L418">
        <f>IF($Q418="","",INDEX(인턴계획표[정규화3],$Q418))</f>
        <v/>
      </c>
      <c r="M418">
        <f>IF($Q418="","",INDEX(인턴계획표[정규화4],$Q418))</f>
        <v/>
      </c>
      <c r="N418">
        <f>IF($Q418="","",INDEX(인턴계획표[정규화5],$Q418))</f>
        <v/>
      </c>
      <c r="O418">
        <f>IF($Q418="","",INDEX(인턴계획표[정규화6],$Q418))</f>
        <v/>
      </c>
      <c r="P418">
        <f>IF($Q418="","",INDEX(인턴계획표[입력오류],$Q418))</f>
        <v/>
      </c>
      <c r="Q418" s="17">
        <f>IFERROR(MATCH(413,인턴계획표[표시순번],0),"")</f>
        <v/>
      </c>
    </row>
    <row r="419">
      <c r="A419">
        <f>IF($Q419="","",INDEX(인턴계획표[순번],$Q419)&amp;"")</f>
        <v/>
      </c>
      <c r="B419">
        <f>IF($Q419="","",TRIM(INDEX(인턴계획표[이름],$Q419)&amp;""))</f>
        <v/>
      </c>
      <c r="C419">
        <f>IF($Q419="","",INDEX(인턴계획표[사번],$Q419)&amp;"")</f>
        <v/>
      </c>
      <c r="D419">
        <f>IF($Q419="","",IF(COUNTIF(기본자료표[사번키],INDEX(인턴계획표[사번키],$Q419))&gt;0,"확인","미등록"))</f>
        <v/>
      </c>
      <c r="E419">
        <f>IF($Q419="","",IF(ISNUMBER(INDEX(인턴계획표[입사일(비고)],$Q419)),TEXT(INDEX(인턴계획표[입사일(비고)],$Q419),"yyyy-mm-dd"),INDEX(인턴계획표[입사일(비고)],$Q419)&amp;""))</f>
        <v/>
      </c>
      <c r="F419">
        <f>IF($Q419="","",IF(IF($G$3="","",INDEX(인턴계획표[[정규화1]:[정규화6]],$Q419,$G$3)&amp;"")="","",IF(LEFT(IF($G$3="","",INDEX(인턴계획표[[정규화1]:[정규화6]],$Q419,$G$3)&amp;""),1)="⚠",IF($G$3="","",INDEX(인턴계획표[[정규화1]:[정규화6]],$Q419,$G$3)&amp;""),IFERROR(LEFT(IF($G$3="","",INDEX(인턴계획표[[정규화1]:[정규화6]],$Q419,$G$3)&amp;""),FIND(" ",IF($G$3="","",INDEX(인턴계획표[[정규화1]:[정규화6]],$Q419,$G$3)&amp;""))-1),IF($G$3="","",INDEX(인턴계획표[[정규화1]:[정규화6]],$Q419,$G$3)&amp;"")))))</f>
        <v/>
      </c>
      <c r="G419">
        <f>IF($Q419="","",IF(IF($G$3="","",INDEX(인턴계획표[[정규화1]:[정규화6]],$Q419,$G$3)&amp;"")="","",IF(LEFT(IF($G$3="","",INDEX(인턴계획표[[정규화1]:[정규화6]],$Q419,$G$3)&amp;""),1)="⚠","",IFERROR(MID(IF($G$3="","",INDEX(인턴계획표[[정규화1]:[정규화6]],$Q419,$G$3)&amp;""),FIND(" ",IF($G$3="","",INDEX(인턴계획표[[정규화1]:[정규화6]],$Q419,$G$3)&amp;""))+1,60),""))))</f>
        <v/>
      </c>
      <c r="H419">
        <f>IF($Q419="","",IF(IF($I$3="","",INDEX(인턴계획표[[정규화1]:[정규화6]],$Q419,$I$3)&amp;"")="","",IF(LEFT(IF($I$3="","",INDEX(인턴계획표[[정규화1]:[정규화6]],$Q419,$I$3)&amp;""),1)="⚠",IF($I$3="","",INDEX(인턴계획표[[정규화1]:[정규화6]],$Q419,$I$3)&amp;""),IFERROR(LEFT(IF($I$3="","",INDEX(인턴계획표[[정규화1]:[정규화6]],$Q419,$I$3)&amp;""),FIND(" ",IF($I$3="","",INDEX(인턴계획표[[정규화1]:[정규화6]],$Q419,$I$3)&amp;""))-1),IF($I$3="","",INDEX(인턴계획표[[정규화1]:[정규화6]],$Q419,$I$3)&amp;"")))))</f>
        <v/>
      </c>
      <c r="I419">
        <f>IF($Q419="","",IF(IF($I$3="","",INDEX(인턴계획표[[정규화1]:[정규화6]],$Q419,$I$3)&amp;"")="","",IF(LEFT(IF($I$3="","",INDEX(인턴계획표[[정규화1]:[정규화6]],$Q419,$I$3)&amp;""),1)="⚠","",IFERROR(MID(IF($I$3="","",INDEX(인턴계획표[[정규화1]:[정규화6]],$Q419,$I$3)&amp;""),FIND(" ",IF($I$3="","",INDEX(인턴계획표[[정규화1]:[정규화6]],$Q419,$I$3)&amp;""))+1,60),""))))</f>
        <v/>
      </c>
      <c r="J419">
        <f>IF($Q419="","",INDEX(인턴계획표[정규화1],$Q419))</f>
        <v/>
      </c>
      <c r="K419">
        <f>IF($Q419="","",INDEX(인턴계획표[정규화2],$Q419))</f>
        <v/>
      </c>
      <c r="L419">
        <f>IF($Q419="","",INDEX(인턴계획표[정규화3],$Q419))</f>
        <v/>
      </c>
      <c r="M419">
        <f>IF($Q419="","",INDEX(인턴계획표[정규화4],$Q419))</f>
        <v/>
      </c>
      <c r="N419">
        <f>IF($Q419="","",INDEX(인턴계획표[정규화5],$Q419))</f>
        <v/>
      </c>
      <c r="O419">
        <f>IF($Q419="","",INDEX(인턴계획표[정규화6],$Q419))</f>
        <v/>
      </c>
      <c r="P419">
        <f>IF($Q419="","",INDEX(인턴계획표[입력오류],$Q419))</f>
        <v/>
      </c>
      <c r="Q419" s="17">
        <f>IFERROR(MATCH(414,인턴계획표[표시순번],0),"")</f>
        <v/>
      </c>
    </row>
    <row r="420">
      <c r="A420">
        <f>IF($Q420="","",INDEX(인턴계획표[순번],$Q420)&amp;"")</f>
        <v/>
      </c>
      <c r="B420">
        <f>IF($Q420="","",TRIM(INDEX(인턴계획표[이름],$Q420)&amp;""))</f>
        <v/>
      </c>
      <c r="C420">
        <f>IF($Q420="","",INDEX(인턴계획표[사번],$Q420)&amp;"")</f>
        <v/>
      </c>
      <c r="D420">
        <f>IF($Q420="","",IF(COUNTIF(기본자료표[사번키],INDEX(인턴계획표[사번키],$Q420))&gt;0,"확인","미등록"))</f>
        <v/>
      </c>
      <c r="E420">
        <f>IF($Q420="","",IF(ISNUMBER(INDEX(인턴계획표[입사일(비고)],$Q420)),TEXT(INDEX(인턴계획표[입사일(비고)],$Q420),"yyyy-mm-dd"),INDEX(인턴계획표[입사일(비고)],$Q420)&amp;""))</f>
        <v/>
      </c>
      <c r="F420">
        <f>IF($Q420="","",IF(IF($G$3="","",INDEX(인턴계획표[[정규화1]:[정규화6]],$Q420,$G$3)&amp;"")="","",IF(LEFT(IF($G$3="","",INDEX(인턴계획표[[정규화1]:[정규화6]],$Q420,$G$3)&amp;""),1)="⚠",IF($G$3="","",INDEX(인턴계획표[[정규화1]:[정규화6]],$Q420,$G$3)&amp;""),IFERROR(LEFT(IF($G$3="","",INDEX(인턴계획표[[정규화1]:[정규화6]],$Q420,$G$3)&amp;""),FIND(" ",IF($G$3="","",INDEX(인턴계획표[[정규화1]:[정규화6]],$Q420,$G$3)&amp;""))-1),IF($G$3="","",INDEX(인턴계획표[[정규화1]:[정규화6]],$Q420,$G$3)&amp;"")))))</f>
        <v/>
      </c>
      <c r="G420">
        <f>IF($Q420="","",IF(IF($G$3="","",INDEX(인턴계획표[[정규화1]:[정규화6]],$Q420,$G$3)&amp;"")="","",IF(LEFT(IF($G$3="","",INDEX(인턴계획표[[정규화1]:[정규화6]],$Q420,$G$3)&amp;""),1)="⚠","",IFERROR(MID(IF($G$3="","",INDEX(인턴계획표[[정규화1]:[정규화6]],$Q420,$G$3)&amp;""),FIND(" ",IF($G$3="","",INDEX(인턴계획표[[정규화1]:[정규화6]],$Q420,$G$3)&amp;""))+1,60),""))))</f>
        <v/>
      </c>
      <c r="H420">
        <f>IF($Q420="","",IF(IF($I$3="","",INDEX(인턴계획표[[정규화1]:[정규화6]],$Q420,$I$3)&amp;"")="","",IF(LEFT(IF($I$3="","",INDEX(인턴계획표[[정규화1]:[정규화6]],$Q420,$I$3)&amp;""),1)="⚠",IF($I$3="","",INDEX(인턴계획표[[정규화1]:[정규화6]],$Q420,$I$3)&amp;""),IFERROR(LEFT(IF($I$3="","",INDEX(인턴계획표[[정규화1]:[정규화6]],$Q420,$I$3)&amp;""),FIND(" ",IF($I$3="","",INDEX(인턴계획표[[정규화1]:[정규화6]],$Q420,$I$3)&amp;""))-1),IF($I$3="","",INDEX(인턴계획표[[정규화1]:[정규화6]],$Q420,$I$3)&amp;"")))))</f>
        <v/>
      </c>
      <c r="I420">
        <f>IF($Q420="","",IF(IF($I$3="","",INDEX(인턴계획표[[정규화1]:[정규화6]],$Q420,$I$3)&amp;"")="","",IF(LEFT(IF($I$3="","",INDEX(인턴계획표[[정규화1]:[정규화6]],$Q420,$I$3)&amp;""),1)="⚠","",IFERROR(MID(IF($I$3="","",INDEX(인턴계획표[[정규화1]:[정규화6]],$Q420,$I$3)&amp;""),FIND(" ",IF($I$3="","",INDEX(인턴계획표[[정규화1]:[정규화6]],$Q420,$I$3)&amp;""))+1,60),""))))</f>
        <v/>
      </c>
      <c r="J420">
        <f>IF($Q420="","",INDEX(인턴계획표[정규화1],$Q420))</f>
        <v/>
      </c>
      <c r="K420">
        <f>IF($Q420="","",INDEX(인턴계획표[정규화2],$Q420))</f>
        <v/>
      </c>
      <c r="L420">
        <f>IF($Q420="","",INDEX(인턴계획표[정규화3],$Q420))</f>
        <v/>
      </c>
      <c r="M420">
        <f>IF($Q420="","",INDEX(인턴계획표[정규화4],$Q420))</f>
        <v/>
      </c>
      <c r="N420">
        <f>IF($Q420="","",INDEX(인턴계획표[정규화5],$Q420))</f>
        <v/>
      </c>
      <c r="O420">
        <f>IF($Q420="","",INDEX(인턴계획표[정규화6],$Q420))</f>
        <v/>
      </c>
      <c r="P420">
        <f>IF($Q420="","",INDEX(인턴계획표[입력오류],$Q420))</f>
        <v/>
      </c>
      <c r="Q420" s="17">
        <f>IFERROR(MATCH(415,인턴계획표[표시순번],0),"")</f>
        <v/>
      </c>
    </row>
    <row r="421">
      <c r="A421">
        <f>IF($Q421="","",INDEX(인턴계획표[순번],$Q421)&amp;"")</f>
        <v/>
      </c>
      <c r="B421">
        <f>IF($Q421="","",TRIM(INDEX(인턴계획표[이름],$Q421)&amp;""))</f>
        <v/>
      </c>
      <c r="C421">
        <f>IF($Q421="","",INDEX(인턴계획표[사번],$Q421)&amp;"")</f>
        <v/>
      </c>
      <c r="D421">
        <f>IF($Q421="","",IF(COUNTIF(기본자료표[사번키],INDEX(인턴계획표[사번키],$Q421))&gt;0,"확인","미등록"))</f>
        <v/>
      </c>
      <c r="E421">
        <f>IF($Q421="","",IF(ISNUMBER(INDEX(인턴계획표[입사일(비고)],$Q421)),TEXT(INDEX(인턴계획표[입사일(비고)],$Q421),"yyyy-mm-dd"),INDEX(인턴계획표[입사일(비고)],$Q421)&amp;""))</f>
        <v/>
      </c>
      <c r="F421">
        <f>IF($Q421="","",IF(IF($G$3="","",INDEX(인턴계획표[[정규화1]:[정규화6]],$Q421,$G$3)&amp;"")="","",IF(LEFT(IF($G$3="","",INDEX(인턴계획표[[정규화1]:[정규화6]],$Q421,$G$3)&amp;""),1)="⚠",IF($G$3="","",INDEX(인턴계획표[[정규화1]:[정규화6]],$Q421,$G$3)&amp;""),IFERROR(LEFT(IF($G$3="","",INDEX(인턴계획표[[정규화1]:[정규화6]],$Q421,$G$3)&amp;""),FIND(" ",IF($G$3="","",INDEX(인턴계획표[[정규화1]:[정규화6]],$Q421,$G$3)&amp;""))-1),IF($G$3="","",INDEX(인턴계획표[[정규화1]:[정규화6]],$Q421,$G$3)&amp;"")))))</f>
        <v/>
      </c>
      <c r="G421">
        <f>IF($Q421="","",IF(IF($G$3="","",INDEX(인턴계획표[[정규화1]:[정규화6]],$Q421,$G$3)&amp;"")="","",IF(LEFT(IF($G$3="","",INDEX(인턴계획표[[정규화1]:[정규화6]],$Q421,$G$3)&amp;""),1)="⚠","",IFERROR(MID(IF($G$3="","",INDEX(인턴계획표[[정규화1]:[정규화6]],$Q421,$G$3)&amp;""),FIND(" ",IF($G$3="","",INDEX(인턴계획표[[정규화1]:[정규화6]],$Q421,$G$3)&amp;""))+1,60),""))))</f>
        <v/>
      </c>
      <c r="H421">
        <f>IF($Q421="","",IF(IF($I$3="","",INDEX(인턴계획표[[정규화1]:[정규화6]],$Q421,$I$3)&amp;"")="","",IF(LEFT(IF($I$3="","",INDEX(인턴계획표[[정규화1]:[정규화6]],$Q421,$I$3)&amp;""),1)="⚠",IF($I$3="","",INDEX(인턴계획표[[정규화1]:[정규화6]],$Q421,$I$3)&amp;""),IFERROR(LEFT(IF($I$3="","",INDEX(인턴계획표[[정규화1]:[정규화6]],$Q421,$I$3)&amp;""),FIND(" ",IF($I$3="","",INDEX(인턴계획표[[정규화1]:[정규화6]],$Q421,$I$3)&amp;""))-1),IF($I$3="","",INDEX(인턴계획표[[정규화1]:[정규화6]],$Q421,$I$3)&amp;"")))))</f>
        <v/>
      </c>
      <c r="I421">
        <f>IF($Q421="","",IF(IF($I$3="","",INDEX(인턴계획표[[정규화1]:[정규화6]],$Q421,$I$3)&amp;"")="","",IF(LEFT(IF($I$3="","",INDEX(인턴계획표[[정규화1]:[정규화6]],$Q421,$I$3)&amp;""),1)="⚠","",IFERROR(MID(IF($I$3="","",INDEX(인턴계획표[[정규화1]:[정규화6]],$Q421,$I$3)&amp;""),FIND(" ",IF($I$3="","",INDEX(인턴계획표[[정규화1]:[정규화6]],$Q421,$I$3)&amp;""))+1,60),""))))</f>
        <v/>
      </c>
      <c r="J421">
        <f>IF($Q421="","",INDEX(인턴계획표[정규화1],$Q421))</f>
        <v/>
      </c>
      <c r="K421">
        <f>IF($Q421="","",INDEX(인턴계획표[정규화2],$Q421))</f>
        <v/>
      </c>
      <c r="L421">
        <f>IF($Q421="","",INDEX(인턴계획표[정규화3],$Q421))</f>
        <v/>
      </c>
      <c r="M421">
        <f>IF($Q421="","",INDEX(인턴계획표[정규화4],$Q421))</f>
        <v/>
      </c>
      <c r="N421">
        <f>IF($Q421="","",INDEX(인턴계획표[정규화5],$Q421))</f>
        <v/>
      </c>
      <c r="O421">
        <f>IF($Q421="","",INDEX(인턴계획표[정규화6],$Q421))</f>
        <v/>
      </c>
      <c r="P421">
        <f>IF($Q421="","",INDEX(인턴계획표[입력오류],$Q421))</f>
        <v/>
      </c>
      <c r="Q421" s="17">
        <f>IFERROR(MATCH(416,인턴계획표[표시순번],0),"")</f>
        <v/>
      </c>
    </row>
    <row r="422">
      <c r="A422">
        <f>IF($Q422="","",INDEX(인턴계획표[순번],$Q422)&amp;"")</f>
        <v/>
      </c>
      <c r="B422">
        <f>IF($Q422="","",TRIM(INDEX(인턴계획표[이름],$Q422)&amp;""))</f>
        <v/>
      </c>
      <c r="C422">
        <f>IF($Q422="","",INDEX(인턴계획표[사번],$Q422)&amp;"")</f>
        <v/>
      </c>
      <c r="D422">
        <f>IF($Q422="","",IF(COUNTIF(기본자료표[사번키],INDEX(인턴계획표[사번키],$Q422))&gt;0,"확인","미등록"))</f>
        <v/>
      </c>
      <c r="E422">
        <f>IF($Q422="","",IF(ISNUMBER(INDEX(인턴계획표[입사일(비고)],$Q422)),TEXT(INDEX(인턴계획표[입사일(비고)],$Q422),"yyyy-mm-dd"),INDEX(인턴계획표[입사일(비고)],$Q422)&amp;""))</f>
        <v/>
      </c>
      <c r="F422">
        <f>IF($Q422="","",IF(IF($G$3="","",INDEX(인턴계획표[[정규화1]:[정규화6]],$Q422,$G$3)&amp;"")="","",IF(LEFT(IF($G$3="","",INDEX(인턴계획표[[정규화1]:[정규화6]],$Q422,$G$3)&amp;""),1)="⚠",IF($G$3="","",INDEX(인턴계획표[[정규화1]:[정규화6]],$Q422,$G$3)&amp;""),IFERROR(LEFT(IF($G$3="","",INDEX(인턴계획표[[정규화1]:[정규화6]],$Q422,$G$3)&amp;""),FIND(" ",IF($G$3="","",INDEX(인턴계획표[[정규화1]:[정규화6]],$Q422,$G$3)&amp;""))-1),IF($G$3="","",INDEX(인턴계획표[[정규화1]:[정규화6]],$Q422,$G$3)&amp;"")))))</f>
        <v/>
      </c>
      <c r="G422">
        <f>IF($Q422="","",IF(IF($G$3="","",INDEX(인턴계획표[[정규화1]:[정규화6]],$Q422,$G$3)&amp;"")="","",IF(LEFT(IF($G$3="","",INDEX(인턴계획표[[정규화1]:[정규화6]],$Q422,$G$3)&amp;""),1)="⚠","",IFERROR(MID(IF($G$3="","",INDEX(인턴계획표[[정규화1]:[정규화6]],$Q422,$G$3)&amp;""),FIND(" ",IF($G$3="","",INDEX(인턴계획표[[정규화1]:[정규화6]],$Q422,$G$3)&amp;""))+1,60),""))))</f>
        <v/>
      </c>
      <c r="H422">
        <f>IF($Q422="","",IF(IF($I$3="","",INDEX(인턴계획표[[정규화1]:[정규화6]],$Q422,$I$3)&amp;"")="","",IF(LEFT(IF($I$3="","",INDEX(인턴계획표[[정규화1]:[정규화6]],$Q422,$I$3)&amp;""),1)="⚠",IF($I$3="","",INDEX(인턴계획표[[정규화1]:[정규화6]],$Q422,$I$3)&amp;""),IFERROR(LEFT(IF($I$3="","",INDEX(인턴계획표[[정규화1]:[정규화6]],$Q422,$I$3)&amp;""),FIND(" ",IF($I$3="","",INDEX(인턴계획표[[정규화1]:[정규화6]],$Q422,$I$3)&amp;""))-1),IF($I$3="","",INDEX(인턴계획표[[정규화1]:[정규화6]],$Q422,$I$3)&amp;"")))))</f>
        <v/>
      </c>
      <c r="I422">
        <f>IF($Q422="","",IF(IF($I$3="","",INDEX(인턴계획표[[정규화1]:[정규화6]],$Q422,$I$3)&amp;"")="","",IF(LEFT(IF($I$3="","",INDEX(인턴계획표[[정규화1]:[정규화6]],$Q422,$I$3)&amp;""),1)="⚠","",IFERROR(MID(IF($I$3="","",INDEX(인턴계획표[[정규화1]:[정규화6]],$Q422,$I$3)&amp;""),FIND(" ",IF($I$3="","",INDEX(인턴계획표[[정규화1]:[정규화6]],$Q422,$I$3)&amp;""))+1,60),""))))</f>
        <v/>
      </c>
      <c r="J422">
        <f>IF($Q422="","",INDEX(인턴계획표[정규화1],$Q422))</f>
        <v/>
      </c>
      <c r="K422">
        <f>IF($Q422="","",INDEX(인턴계획표[정규화2],$Q422))</f>
        <v/>
      </c>
      <c r="L422">
        <f>IF($Q422="","",INDEX(인턴계획표[정규화3],$Q422))</f>
        <v/>
      </c>
      <c r="M422">
        <f>IF($Q422="","",INDEX(인턴계획표[정규화4],$Q422))</f>
        <v/>
      </c>
      <c r="N422">
        <f>IF($Q422="","",INDEX(인턴계획표[정규화5],$Q422))</f>
        <v/>
      </c>
      <c r="O422">
        <f>IF($Q422="","",INDEX(인턴계획표[정규화6],$Q422))</f>
        <v/>
      </c>
      <c r="P422">
        <f>IF($Q422="","",INDEX(인턴계획표[입력오류],$Q422))</f>
        <v/>
      </c>
      <c r="Q422" s="17">
        <f>IFERROR(MATCH(417,인턴계획표[표시순번],0),"")</f>
        <v/>
      </c>
    </row>
    <row r="423">
      <c r="A423">
        <f>IF($Q423="","",INDEX(인턴계획표[순번],$Q423)&amp;"")</f>
        <v/>
      </c>
      <c r="B423">
        <f>IF($Q423="","",TRIM(INDEX(인턴계획표[이름],$Q423)&amp;""))</f>
        <v/>
      </c>
      <c r="C423">
        <f>IF($Q423="","",INDEX(인턴계획표[사번],$Q423)&amp;"")</f>
        <v/>
      </c>
      <c r="D423">
        <f>IF($Q423="","",IF(COUNTIF(기본자료표[사번키],INDEX(인턴계획표[사번키],$Q423))&gt;0,"확인","미등록"))</f>
        <v/>
      </c>
      <c r="E423">
        <f>IF($Q423="","",IF(ISNUMBER(INDEX(인턴계획표[입사일(비고)],$Q423)),TEXT(INDEX(인턴계획표[입사일(비고)],$Q423),"yyyy-mm-dd"),INDEX(인턴계획표[입사일(비고)],$Q423)&amp;""))</f>
        <v/>
      </c>
      <c r="F423">
        <f>IF($Q423="","",IF(IF($G$3="","",INDEX(인턴계획표[[정규화1]:[정규화6]],$Q423,$G$3)&amp;"")="","",IF(LEFT(IF($G$3="","",INDEX(인턴계획표[[정규화1]:[정규화6]],$Q423,$G$3)&amp;""),1)="⚠",IF($G$3="","",INDEX(인턴계획표[[정규화1]:[정규화6]],$Q423,$G$3)&amp;""),IFERROR(LEFT(IF($G$3="","",INDEX(인턴계획표[[정규화1]:[정규화6]],$Q423,$G$3)&amp;""),FIND(" ",IF($G$3="","",INDEX(인턴계획표[[정규화1]:[정규화6]],$Q423,$G$3)&amp;""))-1),IF($G$3="","",INDEX(인턴계획표[[정규화1]:[정규화6]],$Q423,$G$3)&amp;"")))))</f>
        <v/>
      </c>
      <c r="G423">
        <f>IF($Q423="","",IF(IF($G$3="","",INDEX(인턴계획표[[정규화1]:[정규화6]],$Q423,$G$3)&amp;"")="","",IF(LEFT(IF($G$3="","",INDEX(인턴계획표[[정규화1]:[정규화6]],$Q423,$G$3)&amp;""),1)="⚠","",IFERROR(MID(IF($G$3="","",INDEX(인턴계획표[[정규화1]:[정규화6]],$Q423,$G$3)&amp;""),FIND(" ",IF($G$3="","",INDEX(인턴계획표[[정규화1]:[정규화6]],$Q423,$G$3)&amp;""))+1,60),""))))</f>
        <v/>
      </c>
      <c r="H423">
        <f>IF($Q423="","",IF(IF($I$3="","",INDEX(인턴계획표[[정규화1]:[정규화6]],$Q423,$I$3)&amp;"")="","",IF(LEFT(IF($I$3="","",INDEX(인턴계획표[[정규화1]:[정규화6]],$Q423,$I$3)&amp;""),1)="⚠",IF($I$3="","",INDEX(인턴계획표[[정규화1]:[정규화6]],$Q423,$I$3)&amp;""),IFERROR(LEFT(IF($I$3="","",INDEX(인턴계획표[[정규화1]:[정규화6]],$Q423,$I$3)&amp;""),FIND(" ",IF($I$3="","",INDEX(인턴계획표[[정규화1]:[정규화6]],$Q423,$I$3)&amp;""))-1),IF($I$3="","",INDEX(인턴계획표[[정규화1]:[정규화6]],$Q423,$I$3)&amp;"")))))</f>
        <v/>
      </c>
      <c r="I423">
        <f>IF($Q423="","",IF(IF($I$3="","",INDEX(인턴계획표[[정규화1]:[정규화6]],$Q423,$I$3)&amp;"")="","",IF(LEFT(IF($I$3="","",INDEX(인턴계획표[[정규화1]:[정규화6]],$Q423,$I$3)&amp;""),1)="⚠","",IFERROR(MID(IF($I$3="","",INDEX(인턴계획표[[정규화1]:[정규화6]],$Q423,$I$3)&amp;""),FIND(" ",IF($I$3="","",INDEX(인턴계획표[[정규화1]:[정규화6]],$Q423,$I$3)&amp;""))+1,60),""))))</f>
        <v/>
      </c>
      <c r="J423">
        <f>IF($Q423="","",INDEX(인턴계획표[정규화1],$Q423))</f>
        <v/>
      </c>
      <c r="K423">
        <f>IF($Q423="","",INDEX(인턴계획표[정규화2],$Q423))</f>
        <v/>
      </c>
      <c r="L423">
        <f>IF($Q423="","",INDEX(인턴계획표[정규화3],$Q423))</f>
        <v/>
      </c>
      <c r="M423">
        <f>IF($Q423="","",INDEX(인턴계획표[정규화4],$Q423))</f>
        <v/>
      </c>
      <c r="N423">
        <f>IF($Q423="","",INDEX(인턴계획표[정규화5],$Q423))</f>
        <v/>
      </c>
      <c r="O423">
        <f>IF($Q423="","",INDEX(인턴계획표[정규화6],$Q423))</f>
        <v/>
      </c>
      <c r="P423">
        <f>IF($Q423="","",INDEX(인턴계획표[입력오류],$Q423))</f>
        <v/>
      </c>
      <c r="Q423" s="17">
        <f>IFERROR(MATCH(418,인턴계획표[표시순번],0),"")</f>
        <v/>
      </c>
    </row>
    <row r="424">
      <c r="A424">
        <f>IF($Q424="","",INDEX(인턴계획표[순번],$Q424)&amp;"")</f>
        <v/>
      </c>
      <c r="B424">
        <f>IF($Q424="","",TRIM(INDEX(인턴계획표[이름],$Q424)&amp;""))</f>
        <v/>
      </c>
      <c r="C424">
        <f>IF($Q424="","",INDEX(인턴계획표[사번],$Q424)&amp;"")</f>
        <v/>
      </c>
      <c r="D424">
        <f>IF($Q424="","",IF(COUNTIF(기본자료표[사번키],INDEX(인턴계획표[사번키],$Q424))&gt;0,"확인","미등록"))</f>
        <v/>
      </c>
      <c r="E424">
        <f>IF($Q424="","",IF(ISNUMBER(INDEX(인턴계획표[입사일(비고)],$Q424)),TEXT(INDEX(인턴계획표[입사일(비고)],$Q424),"yyyy-mm-dd"),INDEX(인턴계획표[입사일(비고)],$Q424)&amp;""))</f>
        <v/>
      </c>
      <c r="F424">
        <f>IF($Q424="","",IF(IF($G$3="","",INDEX(인턴계획표[[정규화1]:[정규화6]],$Q424,$G$3)&amp;"")="","",IF(LEFT(IF($G$3="","",INDEX(인턴계획표[[정규화1]:[정규화6]],$Q424,$G$3)&amp;""),1)="⚠",IF($G$3="","",INDEX(인턴계획표[[정규화1]:[정규화6]],$Q424,$G$3)&amp;""),IFERROR(LEFT(IF($G$3="","",INDEX(인턴계획표[[정규화1]:[정규화6]],$Q424,$G$3)&amp;""),FIND(" ",IF($G$3="","",INDEX(인턴계획표[[정규화1]:[정규화6]],$Q424,$G$3)&amp;""))-1),IF($G$3="","",INDEX(인턴계획표[[정규화1]:[정규화6]],$Q424,$G$3)&amp;"")))))</f>
        <v/>
      </c>
      <c r="G424">
        <f>IF($Q424="","",IF(IF($G$3="","",INDEX(인턴계획표[[정규화1]:[정규화6]],$Q424,$G$3)&amp;"")="","",IF(LEFT(IF($G$3="","",INDEX(인턴계획표[[정규화1]:[정규화6]],$Q424,$G$3)&amp;""),1)="⚠","",IFERROR(MID(IF($G$3="","",INDEX(인턴계획표[[정규화1]:[정규화6]],$Q424,$G$3)&amp;""),FIND(" ",IF($G$3="","",INDEX(인턴계획표[[정규화1]:[정규화6]],$Q424,$G$3)&amp;""))+1,60),""))))</f>
        <v/>
      </c>
      <c r="H424">
        <f>IF($Q424="","",IF(IF($I$3="","",INDEX(인턴계획표[[정규화1]:[정규화6]],$Q424,$I$3)&amp;"")="","",IF(LEFT(IF($I$3="","",INDEX(인턴계획표[[정규화1]:[정규화6]],$Q424,$I$3)&amp;""),1)="⚠",IF($I$3="","",INDEX(인턴계획표[[정규화1]:[정규화6]],$Q424,$I$3)&amp;""),IFERROR(LEFT(IF($I$3="","",INDEX(인턴계획표[[정규화1]:[정규화6]],$Q424,$I$3)&amp;""),FIND(" ",IF($I$3="","",INDEX(인턴계획표[[정규화1]:[정규화6]],$Q424,$I$3)&amp;""))-1),IF($I$3="","",INDEX(인턴계획표[[정규화1]:[정규화6]],$Q424,$I$3)&amp;"")))))</f>
        <v/>
      </c>
      <c r="I424">
        <f>IF($Q424="","",IF(IF($I$3="","",INDEX(인턴계획표[[정규화1]:[정규화6]],$Q424,$I$3)&amp;"")="","",IF(LEFT(IF($I$3="","",INDEX(인턴계획표[[정규화1]:[정규화6]],$Q424,$I$3)&amp;""),1)="⚠","",IFERROR(MID(IF($I$3="","",INDEX(인턴계획표[[정규화1]:[정규화6]],$Q424,$I$3)&amp;""),FIND(" ",IF($I$3="","",INDEX(인턴계획표[[정규화1]:[정규화6]],$Q424,$I$3)&amp;""))+1,60),""))))</f>
        <v/>
      </c>
      <c r="J424">
        <f>IF($Q424="","",INDEX(인턴계획표[정규화1],$Q424))</f>
        <v/>
      </c>
      <c r="K424">
        <f>IF($Q424="","",INDEX(인턴계획표[정규화2],$Q424))</f>
        <v/>
      </c>
      <c r="L424">
        <f>IF($Q424="","",INDEX(인턴계획표[정규화3],$Q424))</f>
        <v/>
      </c>
      <c r="M424">
        <f>IF($Q424="","",INDEX(인턴계획표[정규화4],$Q424))</f>
        <v/>
      </c>
      <c r="N424">
        <f>IF($Q424="","",INDEX(인턴계획표[정규화5],$Q424))</f>
        <v/>
      </c>
      <c r="O424">
        <f>IF($Q424="","",INDEX(인턴계획표[정규화6],$Q424))</f>
        <v/>
      </c>
      <c r="P424">
        <f>IF($Q424="","",INDEX(인턴계획표[입력오류],$Q424))</f>
        <v/>
      </c>
      <c r="Q424" s="17">
        <f>IFERROR(MATCH(419,인턴계획표[표시순번],0),"")</f>
        <v/>
      </c>
    </row>
    <row r="425">
      <c r="A425">
        <f>IF($Q425="","",INDEX(인턴계획표[순번],$Q425)&amp;"")</f>
        <v/>
      </c>
      <c r="B425">
        <f>IF($Q425="","",TRIM(INDEX(인턴계획표[이름],$Q425)&amp;""))</f>
        <v/>
      </c>
      <c r="C425">
        <f>IF($Q425="","",INDEX(인턴계획표[사번],$Q425)&amp;"")</f>
        <v/>
      </c>
      <c r="D425">
        <f>IF($Q425="","",IF(COUNTIF(기본자료표[사번키],INDEX(인턴계획표[사번키],$Q425))&gt;0,"확인","미등록"))</f>
        <v/>
      </c>
      <c r="E425">
        <f>IF($Q425="","",IF(ISNUMBER(INDEX(인턴계획표[입사일(비고)],$Q425)),TEXT(INDEX(인턴계획표[입사일(비고)],$Q425),"yyyy-mm-dd"),INDEX(인턴계획표[입사일(비고)],$Q425)&amp;""))</f>
        <v/>
      </c>
      <c r="F425">
        <f>IF($Q425="","",IF(IF($G$3="","",INDEX(인턴계획표[[정규화1]:[정규화6]],$Q425,$G$3)&amp;"")="","",IF(LEFT(IF($G$3="","",INDEX(인턴계획표[[정규화1]:[정규화6]],$Q425,$G$3)&amp;""),1)="⚠",IF($G$3="","",INDEX(인턴계획표[[정규화1]:[정규화6]],$Q425,$G$3)&amp;""),IFERROR(LEFT(IF($G$3="","",INDEX(인턴계획표[[정규화1]:[정규화6]],$Q425,$G$3)&amp;""),FIND(" ",IF($G$3="","",INDEX(인턴계획표[[정규화1]:[정규화6]],$Q425,$G$3)&amp;""))-1),IF($G$3="","",INDEX(인턴계획표[[정규화1]:[정규화6]],$Q425,$G$3)&amp;"")))))</f>
        <v/>
      </c>
      <c r="G425">
        <f>IF($Q425="","",IF(IF($G$3="","",INDEX(인턴계획표[[정규화1]:[정규화6]],$Q425,$G$3)&amp;"")="","",IF(LEFT(IF($G$3="","",INDEX(인턴계획표[[정규화1]:[정규화6]],$Q425,$G$3)&amp;""),1)="⚠","",IFERROR(MID(IF($G$3="","",INDEX(인턴계획표[[정규화1]:[정규화6]],$Q425,$G$3)&amp;""),FIND(" ",IF($G$3="","",INDEX(인턴계획표[[정규화1]:[정규화6]],$Q425,$G$3)&amp;""))+1,60),""))))</f>
        <v/>
      </c>
      <c r="H425">
        <f>IF($Q425="","",IF(IF($I$3="","",INDEX(인턴계획표[[정규화1]:[정규화6]],$Q425,$I$3)&amp;"")="","",IF(LEFT(IF($I$3="","",INDEX(인턴계획표[[정규화1]:[정규화6]],$Q425,$I$3)&amp;""),1)="⚠",IF($I$3="","",INDEX(인턴계획표[[정규화1]:[정규화6]],$Q425,$I$3)&amp;""),IFERROR(LEFT(IF($I$3="","",INDEX(인턴계획표[[정규화1]:[정규화6]],$Q425,$I$3)&amp;""),FIND(" ",IF($I$3="","",INDEX(인턴계획표[[정규화1]:[정규화6]],$Q425,$I$3)&amp;""))-1),IF($I$3="","",INDEX(인턴계획표[[정규화1]:[정규화6]],$Q425,$I$3)&amp;"")))))</f>
        <v/>
      </c>
      <c r="I425">
        <f>IF($Q425="","",IF(IF($I$3="","",INDEX(인턴계획표[[정규화1]:[정규화6]],$Q425,$I$3)&amp;"")="","",IF(LEFT(IF($I$3="","",INDEX(인턴계획표[[정규화1]:[정규화6]],$Q425,$I$3)&amp;""),1)="⚠","",IFERROR(MID(IF($I$3="","",INDEX(인턴계획표[[정규화1]:[정규화6]],$Q425,$I$3)&amp;""),FIND(" ",IF($I$3="","",INDEX(인턴계획표[[정규화1]:[정규화6]],$Q425,$I$3)&amp;""))+1,60),""))))</f>
        <v/>
      </c>
      <c r="J425">
        <f>IF($Q425="","",INDEX(인턴계획표[정규화1],$Q425))</f>
        <v/>
      </c>
      <c r="K425">
        <f>IF($Q425="","",INDEX(인턴계획표[정규화2],$Q425))</f>
        <v/>
      </c>
      <c r="L425">
        <f>IF($Q425="","",INDEX(인턴계획표[정규화3],$Q425))</f>
        <v/>
      </c>
      <c r="M425">
        <f>IF($Q425="","",INDEX(인턴계획표[정규화4],$Q425))</f>
        <v/>
      </c>
      <c r="N425">
        <f>IF($Q425="","",INDEX(인턴계획표[정규화5],$Q425))</f>
        <v/>
      </c>
      <c r="O425">
        <f>IF($Q425="","",INDEX(인턴계획표[정규화6],$Q425))</f>
        <v/>
      </c>
      <c r="P425">
        <f>IF($Q425="","",INDEX(인턴계획표[입력오류],$Q425))</f>
        <v/>
      </c>
      <c r="Q425" s="17">
        <f>IFERROR(MATCH(420,인턴계획표[표시순번],0),"")</f>
        <v/>
      </c>
    </row>
    <row r="426">
      <c r="A426">
        <f>IF($Q426="","",INDEX(인턴계획표[순번],$Q426)&amp;"")</f>
        <v/>
      </c>
      <c r="B426">
        <f>IF($Q426="","",TRIM(INDEX(인턴계획표[이름],$Q426)&amp;""))</f>
        <v/>
      </c>
      <c r="C426">
        <f>IF($Q426="","",INDEX(인턴계획표[사번],$Q426)&amp;"")</f>
        <v/>
      </c>
      <c r="D426">
        <f>IF($Q426="","",IF(COUNTIF(기본자료표[사번키],INDEX(인턴계획표[사번키],$Q426))&gt;0,"확인","미등록"))</f>
        <v/>
      </c>
      <c r="E426">
        <f>IF($Q426="","",IF(ISNUMBER(INDEX(인턴계획표[입사일(비고)],$Q426)),TEXT(INDEX(인턴계획표[입사일(비고)],$Q426),"yyyy-mm-dd"),INDEX(인턴계획표[입사일(비고)],$Q426)&amp;""))</f>
        <v/>
      </c>
      <c r="F426">
        <f>IF($Q426="","",IF(IF($G$3="","",INDEX(인턴계획표[[정규화1]:[정규화6]],$Q426,$G$3)&amp;"")="","",IF(LEFT(IF($G$3="","",INDEX(인턴계획표[[정규화1]:[정규화6]],$Q426,$G$3)&amp;""),1)="⚠",IF($G$3="","",INDEX(인턴계획표[[정규화1]:[정규화6]],$Q426,$G$3)&amp;""),IFERROR(LEFT(IF($G$3="","",INDEX(인턴계획표[[정규화1]:[정규화6]],$Q426,$G$3)&amp;""),FIND(" ",IF($G$3="","",INDEX(인턴계획표[[정규화1]:[정규화6]],$Q426,$G$3)&amp;""))-1),IF($G$3="","",INDEX(인턴계획표[[정규화1]:[정규화6]],$Q426,$G$3)&amp;"")))))</f>
        <v/>
      </c>
      <c r="G426">
        <f>IF($Q426="","",IF(IF($G$3="","",INDEX(인턴계획표[[정규화1]:[정규화6]],$Q426,$G$3)&amp;"")="","",IF(LEFT(IF($G$3="","",INDEX(인턴계획표[[정규화1]:[정규화6]],$Q426,$G$3)&amp;""),1)="⚠","",IFERROR(MID(IF($G$3="","",INDEX(인턴계획표[[정규화1]:[정규화6]],$Q426,$G$3)&amp;""),FIND(" ",IF($G$3="","",INDEX(인턴계획표[[정규화1]:[정규화6]],$Q426,$G$3)&amp;""))+1,60),""))))</f>
        <v/>
      </c>
      <c r="H426">
        <f>IF($Q426="","",IF(IF($I$3="","",INDEX(인턴계획표[[정규화1]:[정규화6]],$Q426,$I$3)&amp;"")="","",IF(LEFT(IF($I$3="","",INDEX(인턴계획표[[정규화1]:[정규화6]],$Q426,$I$3)&amp;""),1)="⚠",IF($I$3="","",INDEX(인턴계획표[[정규화1]:[정규화6]],$Q426,$I$3)&amp;""),IFERROR(LEFT(IF($I$3="","",INDEX(인턴계획표[[정규화1]:[정규화6]],$Q426,$I$3)&amp;""),FIND(" ",IF($I$3="","",INDEX(인턴계획표[[정규화1]:[정규화6]],$Q426,$I$3)&amp;""))-1),IF($I$3="","",INDEX(인턴계획표[[정규화1]:[정규화6]],$Q426,$I$3)&amp;"")))))</f>
        <v/>
      </c>
      <c r="I426">
        <f>IF($Q426="","",IF(IF($I$3="","",INDEX(인턴계획표[[정규화1]:[정규화6]],$Q426,$I$3)&amp;"")="","",IF(LEFT(IF($I$3="","",INDEX(인턴계획표[[정규화1]:[정규화6]],$Q426,$I$3)&amp;""),1)="⚠","",IFERROR(MID(IF($I$3="","",INDEX(인턴계획표[[정규화1]:[정규화6]],$Q426,$I$3)&amp;""),FIND(" ",IF($I$3="","",INDEX(인턴계획표[[정규화1]:[정규화6]],$Q426,$I$3)&amp;""))+1,60),""))))</f>
        <v/>
      </c>
      <c r="J426">
        <f>IF($Q426="","",INDEX(인턴계획표[정규화1],$Q426))</f>
        <v/>
      </c>
      <c r="K426">
        <f>IF($Q426="","",INDEX(인턴계획표[정규화2],$Q426))</f>
        <v/>
      </c>
      <c r="L426">
        <f>IF($Q426="","",INDEX(인턴계획표[정규화3],$Q426))</f>
        <v/>
      </c>
      <c r="M426">
        <f>IF($Q426="","",INDEX(인턴계획표[정규화4],$Q426))</f>
        <v/>
      </c>
      <c r="N426">
        <f>IF($Q426="","",INDEX(인턴계획표[정규화5],$Q426))</f>
        <v/>
      </c>
      <c r="O426">
        <f>IF($Q426="","",INDEX(인턴계획표[정규화6],$Q426))</f>
        <v/>
      </c>
      <c r="P426">
        <f>IF($Q426="","",INDEX(인턴계획표[입력오류],$Q426))</f>
        <v/>
      </c>
      <c r="Q426" s="17">
        <f>IFERROR(MATCH(421,인턴계획표[표시순번],0),"")</f>
        <v/>
      </c>
    </row>
    <row r="427">
      <c r="A427">
        <f>IF($Q427="","",INDEX(인턴계획표[순번],$Q427)&amp;"")</f>
        <v/>
      </c>
      <c r="B427">
        <f>IF($Q427="","",TRIM(INDEX(인턴계획표[이름],$Q427)&amp;""))</f>
        <v/>
      </c>
      <c r="C427">
        <f>IF($Q427="","",INDEX(인턴계획표[사번],$Q427)&amp;"")</f>
        <v/>
      </c>
      <c r="D427">
        <f>IF($Q427="","",IF(COUNTIF(기본자료표[사번키],INDEX(인턴계획표[사번키],$Q427))&gt;0,"확인","미등록"))</f>
        <v/>
      </c>
      <c r="E427">
        <f>IF($Q427="","",IF(ISNUMBER(INDEX(인턴계획표[입사일(비고)],$Q427)),TEXT(INDEX(인턴계획표[입사일(비고)],$Q427),"yyyy-mm-dd"),INDEX(인턴계획표[입사일(비고)],$Q427)&amp;""))</f>
        <v/>
      </c>
      <c r="F427">
        <f>IF($Q427="","",IF(IF($G$3="","",INDEX(인턴계획표[[정규화1]:[정규화6]],$Q427,$G$3)&amp;"")="","",IF(LEFT(IF($G$3="","",INDEX(인턴계획표[[정규화1]:[정규화6]],$Q427,$G$3)&amp;""),1)="⚠",IF($G$3="","",INDEX(인턴계획표[[정규화1]:[정규화6]],$Q427,$G$3)&amp;""),IFERROR(LEFT(IF($G$3="","",INDEX(인턴계획표[[정규화1]:[정규화6]],$Q427,$G$3)&amp;""),FIND(" ",IF($G$3="","",INDEX(인턴계획표[[정규화1]:[정규화6]],$Q427,$G$3)&amp;""))-1),IF($G$3="","",INDEX(인턴계획표[[정규화1]:[정규화6]],$Q427,$G$3)&amp;"")))))</f>
        <v/>
      </c>
      <c r="G427">
        <f>IF($Q427="","",IF(IF($G$3="","",INDEX(인턴계획표[[정규화1]:[정규화6]],$Q427,$G$3)&amp;"")="","",IF(LEFT(IF($G$3="","",INDEX(인턴계획표[[정규화1]:[정규화6]],$Q427,$G$3)&amp;""),1)="⚠","",IFERROR(MID(IF($G$3="","",INDEX(인턴계획표[[정규화1]:[정규화6]],$Q427,$G$3)&amp;""),FIND(" ",IF($G$3="","",INDEX(인턴계획표[[정규화1]:[정규화6]],$Q427,$G$3)&amp;""))+1,60),""))))</f>
        <v/>
      </c>
      <c r="H427">
        <f>IF($Q427="","",IF(IF($I$3="","",INDEX(인턴계획표[[정규화1]:[정규화6]],$Q427,$I$3)&amp;"")="","",IF(LEFT(IF($I$3="","",INDEX(인턴계획표[[정규화1]:[정규화6]],$Q427,$I$3)&amp;""),1)="⚠",IF($I$3="","",INDEX(인턴계획표[[정규화1]:[정규화6]],$Q427,$I$3)&amp;""),IFERROR(LEFT(IF($I$3="","",INDEX(인턴계획표[[정규화1]:[정규화6]],$Q427,$I$3)&amp;""),FIND(" ",IF($I$3="","",INDEX(인턴계획표[[정규화1]:[정규화6]],$Q427,$I$3)&amp;""))-1),IF($I$3="","",INDEX(인턴계획표[[정규화1]:[정규화6]],$Q427,$I$3)&amp;"")))))</f>
        <v/>
      </c>
      <c r="I427">
        <f>IF($Q427="","",IF(IF($I$3="","",INDEX(인턴계획표[[정규화1]:[정규화6]],$Q427,$I$3)&amp;"")="","",IF(LEFT(IF($I$3="","",INDEX(인턴계획표[[정규화1]:[정규화6]],$Q427,$I$3)&amp;""),1)="⚠","",IFERROR(MID(IF($I$3="","",INDEX(인턴계획표[[정규화1]:[정규화6]],$Q427,$I$3)&amp;""),FIND(" ",IF($I$3="","",INDEX(인턴계획표[[정규화1]:[정규화6]],$Q427,$I$3)&amp;""))+1,60),""))))</f>
        <v/>
      </c>
      <c r="J427">
        <f>IF($Q427="","",INDEX(인턴계획표[정규화1],$Q427))</f>
        <v/>
      </c>
      <c r="K427">
        <f>IF($Q427="","",INDEX(인턴계획표[정규화2],$Q427))</f>
        <v/>
      </c>
      <c r="L427">
        <f>IF($Q427="","",INDEX(인턴계획표[정규화3],$Q427))</f>
        <v/>
      </c>
      <c r="M427">
        <f>IF($Q427="","",INDEX(인턴계획표[정규화4],$Q427))</f>
        <v/>
      </c>
      <c r="N427">
        <f>IF($Q427="","",INDEX(인턴계획표[정규화5],$Q427))</f>
        <v/>
      </c>
      <c r="O427">
        <f>IF($Q427="","",INDEX(인턴계획표[정규화6],$Q427))</f>
        <v/>
      </c>
      <c r="P427">
        <f>IF($Q427="","",INDEX(인턴계획표[입력오류],$Q427))</f>
        <v/>
      </c>
      <c r="Q427" s="17">
        <f>IFERROR(MATCH(422,인턴계획표[표시순번],0),"")</f>
        <v/>
      </c>
    </row>
    <row r="428">
      <c r="A428">
        <f>IF($Q428="","",INDEX(인턴계획표[순번],$Q428)&amp;"")</f>
        <v/>
      </c>
      <c r="B428">
        <f>IF($Q428="","",TRIM(INDEX(인턴계획표[이름],$Q428)&amp;""))</f>
        <v/>
      </c>
      <c r="C428">
        <f>IF($Q428="","",INDEX(인턴계획표[사번],$Q428)&amp;"")</f>
        <v/>
      </c>
      <c r="D428">
        <f>IF($Q428="","",IF(COUNTIF(기본자료표[사번키],INDEX(인턴계획표[사번키],$Q428))&gt;0,"확인","미등록"))</f>
        <v/>
      </c>
      <c r="E428">
        <f>IF($Q428="","",IF(ISNUMBER(INDEX(인턴계획표[입사일(비고)],$Q428)),TEXT(INDEX(인턴계획표[입사일(비고)],$Q428),"yyyy-mm-dd"),INDEX(인턴계획표[입사일(비고)],$Q428)&amp;""))</f>
        <v/>
      </c>
      <c r="F428">
        <f>IF($Q428="","",IF(IF($G$3="","",INDEX(인턴계획표[[정규화1]:[정규화6]],$Q428,$G$3)&amp;"")="","",IF(LEFT(IF($G$3="","",INDEX(인턴계획표[[정규화1]:[정규화6]],$Q428,$G$3)&amp;""),1)="⚠",IF($G$3="","",INDEX(인턴계획표[[정규화1]:[정규화6]],$Q428,$G$3)&amp;""),IFERROR(LEFT(IF($G$3="","",INDEX(인턴계획표[[정규화1]:[정규화6]],$Q428,$G$3)&amp;""),FIND(" ",IF($G$3="","",INDEX(인턴계획표[[정규화1]:[정규화6]],$Q428,$G$3)&amp;""))-1),IF($G$3="","",INDEX(인턴계획표[[정규화1]:[정규화6]],$Q428,$G$3)&amp;"")))))</f>
        <v/>
      </c>
      <c r="G428">
        <f>IF($Q428="","",IF(IF($G$3="","",INDEX(인턴계획표[[정규화1]:[정규화6]],$Q428,$G$3)&amp;"")="","",IF(LEFT(IF($G$3="","",INDEX(인턴계획표[[정규화1]:[정규화6]],$Q428,$G$3)&amp;""),1)="⚠","",IFERROR(MID(IF($G$3="","",INDEX(인턴계획표[[정규화1]:[정규화6]],$Q428,$G$3)&amp;""),FIND(" ",IF($G$3="","",INDEX(인턴계획표[[정규화1]:[정규화6]],$Q428,$G$3)&amp;""))+1,60),""))))</f>
        <v/>
      </c>
      <c r="H428">
        <f>IF($Q428="","",IF(IF($I$3="","",INDEX(인턴계획표[[정규화1]:[정규화6]],$Q428,$I$3)&amp;"")="","",IF(LEFT(IF($I$3="","",INDEX(인턴계획표[[정규화1]:[정규화6]],$Q428,$I$3)&amp;""),1)="⚠",IF($I$3="","",INDEX(인턴계획표[[정규화1]:[정규화6]],$Q428,$I$3)&amp;""),IFERROR(LEFT(IF($I$3="","",INDEX(인턴계획표[[정규화1]:[정규화6]],$Q428,$I$3)&amp;""),FIND(" ",IF($I$3="","",INDEX(인턴계획표[[정규화1]:[정규화6]],$Q428,$I$3)&amp;""))-1),IF($I$3="","",INDEX(인턴계획표[[정규화1]:[정규화6]],$Q428,$I$3)&amp;"")))))</f>
        <v/>
      </c>
      <c r="I428">
        <f>IF($Q428="","",IF(IF($I$3="","",INDEX(인턴계획표[[정규화1]:[정규화6]],$Q428,$I$3)&amp;"")="","",IF(LEFT(IF($I$3="","",INDEX(인턴계획표[[정규화1]:[정규화6]],$Q428,$I$3)&amp;""),1)="⚠","",IFERROR(MID(IF($I$3="","",INDEX(인턴계획표[[정규화1]:[정규화6]],$Q428,$I$3)&amp;""),FIND(" ",IF($I$3="","",INDEX(인턴계획표[[정규화1]:[정규화6]],$Q428,$I$3)&amp;""))+1,60),""))))</f>
        <v/>
      </c>
      <c r="J428">
        <f>IF($Q428="","",INDEX(인턴계획표[정규화1],$Q428))</f>
        <v/>
      </c>
      <c r="K428">
        <f>IF($Q428="","",INDEX(인턴계획표[정규화2],$Q428))</f>
        <v/>
      </c>
      <c r="L428">
        <f>IF($Q428="","",INDEX(인턴계획표[정규화3],$Q428))</f>
        <v/>
      </c>
      <c r="M428">
        <f>IF($Q428="","",INDEX(인턴계획표[정규화4],$Q428))</f>
        <v/>
      </c>
      <c r="N428">
        <f>IF($Q428="","",INDEX(인턴계획표[정규화5],$Q428))</f>
        <v/>
      </c>
      <c r="O428">
        <f>IF($Q428="","",INDEX(인턴계획표[정규화6],$Q428))</f>
        <v/>
      </c>
      <c r="P428">
        <f>IF($Q428="","",INDEX(인턴계획표[입력오류],$Q428))</f>
        <v/>
      </c>
      <c r="Q428" s="17">
        <f>IFERROR(MATCH(423,인턴계획표[표시순번],0),"")</f>
        <v/>
      </c>
    </row>
    <row r="429">
      <c r="A429">
        <f>IF($Q429="","",INDEX(인턴계획표[순번],$Q429)&amp;"")</f>
        <v/>
      </c>
      <c r="B429">
        <f>IF($Q429="","",TRIM(INDEX(인턴계획표[이름],$Q429)&amp;""))</f>
        <v/>
      </c>
      <c r="C429">
        <f>IF($Q429="","",INDEX(인턴계획표[사번],$Q429)&amp;"")</f>
        <v/>
      </c>
      <c r="D429">
        <f>IF($Q429="","",IF(COUNTIF(기본자료표[사번키],INDEX(인턴계획표[사번키],$Q429))&gt;0,"확인","미등록"))</f>
        <v/>
      </c>
      <c r="E429">
        <f>IF($Q429="","",IF(ISNUMBER(INDEX(인턴계획표[입사일(비고)],$Q429)),TEXT(INDEX(인턴계획표[입사일(비고)],$Q429),"yyyy-mm-dd"),INDEX(인턴계획표[입사일(비고)],$Q429)&amp;""))</f>
        <v/>
      </c>
      <c r="F429">
        <f>IF($Q429="","",IF(IF($G$3="","",INDEX(인턴계획표[[정규화1]:[정규화6]],$Q429,$G$3)&amp;"")="","",IF(LEFT(IF($G$3="","",INDEX(인턴계획표[[정규화1]:[정규화6]],$Q429,$G$3)&amp;""),1)="⚠",IF($G$3="","",INDEX(인턴계획표[[정규화1]:[정규화6]],$Q429,$G$3)&amp;""),IFERROR(LEFT(IF($G$3="","",INDEX(인턴계획표[[정규화1]:[정규화6]],$Q429,$G$3)&amp;""),FIND(" ",IF($G$3="","",INDEX(인턴계획표[[정규화1]:[정규화6]],$Q429,$G$3)&amp;""))-1),IF($G$3="","",INDEX(인턴계획표[[정규화1]:[정규화6]],$Q429,$G$3)&amp;"")))))</f>
        <v/>
      </c>
      <c r="G429">
        <f>IF($Q429="","",IF(IF($G$3="","",INDEX(인턴계획표[[정규화1]:[정규화6]],$Q429,$G$3)&amp;"")="","",IF(LEFT(IF($G$3="","",INDEX(인턴계획표[[정규화1]:[정규화6]],$Q429,$G$3)&amp;""),1)="⚠","",IFERROR(MID(IF($G$3="","",INDEX(인턴계획표[[정규화1]:[정규화6]],$Q429,$G$3)&amp;""),FIND(" ",IF($G$3="","",INDEX(인턴계획표[[정규화1]:[정규화6]],$Q429,$G$3)&amp;""))+1,60),""))))</f>
        <v/>
      </c>
      <c r="H429">
        <f>IF($Q429="","",IF(IF($I$3="","",INDEX(인턴계획표[[정규화1]:[정규화6]],$Q429,$I$3)&amp;"")="","",IF(LEFT(IF($I$3="","",INDEX(인턴계획표[[정규화1]:[정규화6]],$Q429,$I$3)&amp;""),1)="⚠",IF($I$3="","",INDEX(인턴계획표[[정규화1]:[정규화6]],$Q429,$I$3)&amp;""),IFERROR(LEFT(IF($I$3="","",INDEX(인턴계획표[[정규화1]:[정규화6]],$Q429,$I$3)&amp;""),FIND(" ",IF($I$3="","",INDEX(인턴계획표[[정규화1]:[정규화6]],$Q429,$I$3)&amp;""))-1),IF($I$3="","",INDEX(인턴계획표[[정규화1]:[정규화6]],$Q429,$I$3)&amp;"")))))</f>
        <v/>
      </c>
      <c r="I429">
        <f>IF($Q429="","",IF(IF($I$3="","",INDEX(인턴계획표[[정규화1]:[정규화6]],$Q429,$I$3)&amp;"")="","",IF(LEFT(IF($I$3="","",INDEX(인턴계획표[[정규화1]:[정규화6]],$Q429,$I$3)&amp;""),1)="⚠","",IFERROR(MID(IF($I$3="","",INDEX(인턴계획표[[정규화1]:[정규화6]],$Q429,$I$3)&amp;""),FIND(" ",IF($I$3="","",INDEX(인턴계획표[[정규화1]:[정규화6]],$Q429,$I$3)&amp;""))+1,60),""))))</f>
        <v/>
      </c>
      <c r="J429">
        <f>IF($Q429="","",INDEX(인턴계획표[정규화1],$Q429))</f>
        <v/>
      </c>
      <c r="K429">
        <f>IF($Q429="","",INDEX(인턴계획표[정규화2],$Q429))</f>
        <v/>
      </c>
      <c r="L429">
        <f>IF($Q429="","",INDEX(인턴계획표[정규화3],$Q429))</f>
        <v/>
      </c>
      <c r="M429">
        <f>IF($Q429="","",INDEX(인턴계획표[정규화4],$Q429))</f>
        <v/>
      </c>
      <c r="N429">
        <f>IF($Q429="","",INDEX(인턴계획표[정규화5],$Q429))</f>
        <v/>
      </c>
      <c r="O429">
        <f>IF($Q429="","",INDEX(인턴계획표[정규화6],$Q429))</f>
        <v/>
      </c>
      <c r="P429">
        <f>IF($Q429="","",INDEX(인턴계획표[입력오류],$Q429))</f>
        <v/>
      </c>
      <c r="Q429" s="17">
        <f>IFERROR(MATCH(424,인턴계획표[표시순번],0),"")</f>
        <v/>
      </c>
    </row>
    <row r="430">
      <c r="A430">
        <f>IF($Q430="","",INDEX(인턴계획표[순번],$Q430)&amp;"")</f>
        <v/>
      </c>
      <c r="B430">
        <f>IF($Q430="","",TRIM(INDEX(인턴계획표[이름],$Q430)&amp;""))</f>
        <v/>
      </c>
      <c r="C430">
        <f>IF($Q430="","",INDEX(인턴계획표[사번],$Q430)&amp;"")</f>
        <v/>
      </c>
      <c r="D430">
        <f>IF($Q430="","",IF(COUNTIF(기본자료표[사번키],INDEX(인턴계획표[사번키],$Q430))&gt;0,"확인","미등록"))</f>
        <v/>
      </c>
      <c r="E430">
        <f>IF($Q430="","",IF(ISNUMBER(INDEX(인턴계획표[입사일(비고)],$Q430)),TEXT(INDEX(인턴계획표[입사일(비고)],$Q430),"yyyy-mm-dd"),INDEX(인턴계획표[입사일(비고)],$Q430)&amp;""))</f>
        <v/>
      </c>
      <c r="F430">
        <f>IF($Q430="","",IF(IF($G$3="","",INDEX(인턴계획표[[정규화1]:[정규화6]],$Q430,$G$3)&amp;"")="","",IF(LEFT(IF($G$3="","",INDEX(인턴계획표[[정규화1]:[정규화6]],$Q430,$G$3)&amp;""),1)="⚠",IF($G$3="","",INDEX(인턴계획표[[정규화1]:[정규화6]],$Q430,$G$3)&amp;""),IFERROR(LEFT(IF($G$3="","",INDEX(인턴계획표[[정규화1]:[정규화6]],$Q430,$G$3)&amp;""),FIND(" ",IF($G$3="","",INDEX(인턴계획표[[정규화1]:[정규화6]],$Q430,$G$3)&amp;""))-1),IF($G$3="","",INDEX(인턴계획표[[정규화1]:[정규화6]],$Q430,$G$3)&amp;"")))))</f>
        <v/>
      </c>
      <c r="G430">
        <f>IF($Q430="","",IF(IF($G$3="","",INDEX(인턴계획표[[정규화1]:[정규화6]],$Q430,$G$3)&amp;"")="","",IF(LEFT(IF($G$3="","",INDEX(인턴계획표[[정규화1]:[정규화6]],$Q430,$G$3)&amp;""),1)="⚠","",IFERROR(MID(IF($G$3="","",INDEX(인턴계획표[[정규화1]:[정규화6]],$Q430,$G$3)&amp;""),FIND(" ",IF($G$3="","",INDEX(인턴계획표[[정규화1]:[정규화6]],$Q430,$G$3)&amp;""))+1,60),""))))</f>
        <v/>
      </c>
      <c r="H430">
        <f>IF($Q430="","",IF(IF($I$3="","",INDEX(인턴계획표[[정규화1]:[정규화6]],$Q430,$I$3)&amp;"")="","",IF(LEFT(IF($I$3="","",INDEX(인턴계획표[[정규화1]:[정규화6]],$Q430,$I$3)&amp;""),1)="⚠",IF($I$3="","",INDEX(인턴계획표[[정규화1]:[정규화6]],$Q430,$I$3)&amp;""),IFERROR(LEFT(IF($I$3="","",INDEX(인턴계획표[[정규화1]:[정규화6]],$Q430,$I$3)&amp;""),FIND(" ",IF($I$3="","",INDEX(인턴계획표[[정규화1]:[정규화6]],$Q430,$I$3)&amp;""))-1),IF($I$3="","",INDEX(인턴계획표[[정규화1]:[정규화6]],$Q430,$I$3)&amp;"")))))</f>
        <v/>
      </c>
      <c r="I430">
        <f>IF($Q430="","",IF(IF($I$3="","",INDEX(인턴계획표[[정규화1]:[정규화6]],$Q430,$I$3)&amp;"")="","",IF(LEFT(IF($I$3="","",INDEX(인턴계획표[[정규화1]:[정규화6]],$Q430,$I$3)&amp;""),1)="⚠","",IFERROR(MID(IF($I$3="","",INDEX(인턴계획표[[정규화1]:[정규화6]],$Q430,$I$3)&amp;""),FIND(" ",IF($I$3="","",INDEX(인턴계획표[[정규화1]:[정규화6]],$Q430,$I$3)&amp;""))+1,60),""))))</f>
        <v/>
      </c>
      <c r="J430">
        <f>IF($Q430="","",INDEX(인턴계획표[정규화1],$Q430))</f>
        <v/>
      </c>
      <c r="K430">
        <f>IF($Q430="","",INDEX(인턴계획표[정규화2],$Q430))</f>
        <v/>
      </c>
      <c r="L430">
        <f>IF($Q430="","",INDEX(인턴계획표[정규화3],$Q430))</f>
        <v/>
      </c>
      <c r="M430">
        <f>IF($Q430="","",INDEX(인턴계획표[정규화4],$Q430))</f>
        <v/>
      </c>
      <c r="N430">
        <f>IF($Q430="","",INDEX(인턴계획표[정규화5],$Q430))</f>
        <v/>
      </c>
      <c r="O430">
        <f>IF($Q430="","",INDEX(인턴계획표[정규화6],$Q430))</f>
        <v/>
      </c>
      <c r="P430">
        <f>IF($Q430="","",INDEX(인턴계획표[입력오류],$Q430))</f>
        <v/>
      </c>
      <c r="Q430" s="17">
        <f>IFERROR(MATCH(425,인턴계획표[표시순번],0),"")</f>
        <v/>
      </c>
    </row>
    <row r="431">
      <c r="A431">
        <f>IF($Q431="","",INDEX(인턴계획표[순번],$Q431)&amp;"")</f>
        <v/>
      </c>
      <c r="B431">
        <f>IF($Q431="","",TRIM(INDEX(인턴계획표[이름],$Q431)&amp;""))</f>
        <v/>
      </c>
      <c r="C431">
        <f>IF($Q431="","",INDEX(인턴계획표[사번],$Q431)&amp;"")</f>
        <v/>
      </c>
      <c r="D431">
        <f>IF($Q431="","",IF(COUNTIF(기본자료표[사번키],INDEX(인턴계획표[사번키],$Q431))&gt;0,"확인","미등록"))</f>
        <v/>
      </c>
      <c r="E431">
        <f>IF($Q431="","",IF(ISNUMBER(INDEX(인턴계획표[입사일(비고)],$Q431)),TEXT(INDEX(인턴계획표[입사일(비고)],$Q431),"yyyy-mm-dd"),INDEX(인턴계획표[입사일(비고)],$Q431)&amp;""))</f>
        <v/>
      </c>
      <c r="F431">
        <f>IF($Q431="","",IF(IF($G$3="","",INDEX(인턴계획표[[정규화1]:[정규화6]],$Q431,$G$3)&amp;"")="","",IF(LEFT(IF($G$3="","",INDEX(인턴계획표[[정규화1]:[정규화6]],$Q431,$G$3)&amp;""),1)="⚠",IF($G$3="","",INDEX(인턴계획표[[정규화1]:[정규화6]],$Q431,$G$3)&amp;""),IFERROR(LEFT(IF($G$3="","",INDEX(인턴계획표[[정규화1]:[정규화6]],$Q431,$G$3)&amp;""),FIND(" ",IF($G$3="","",INDEX(인턴계획표[[정규화1]:[정규화6]],$Q431,$G$3)&amp;""))-1),IF($G$3="","",INDEX(인턴계획표[[정규화1]:[정규화6]],$Q431,$G$3)&amp;"")))))</f>
        <v/>
      </c>
      <c r="G431">
        <f>IF($Q431="","",IF(IF($G$3="","",INDEX(인턴계획표[[정규화1]:[정규화6]],$Q431,$G$3)&amp;"")="","",IF(LEFT(IF($G$3="","",INDEX(인턴계획표[[정규화1]:[정규화6]],$Q431,$G$3)&amp;""),1)="⚠","",IFERROR(MID(IF($G$3="","",INDEX(인턴계획표[[정규화1]:[정규화6]],$Q431,$G$3)&amp;""),FIND(" ",IF($G$3="","",INDEX(인턴계획표[[정규화1]:[정규화6]],$Q431,$G$3)&amp;""))+1,60),""))))</f>
        <v/>
      </c>
      <c r="H431">
        <f>IF($Q431="","",IF(IF($I$3="","",INDEX(인턴계획표[[정규화1]:[정규화6]],$Q431,$I$3)&amp;"")="","",IF(LEFT(IF($I$3="","",INDEX(인턴계획표[[정규화1]:[정규화6]],$Q431,$I$3)&amp;""),1)="⚠",IF($I$3="","",INDEX(인턴계획표[[정규화1]:[정규화6]],$Q431,$I$3)&amp;""),IFERROR(LEFT(IF($I$3="","",INDEX(인턴계획표[[정규화1]:[정규화6]],$Q431,$I$3)&amp;""),FIND(" ",IF($I$3="","",INDEX(인턴계획표[[정규화1]:[정규화6]],$Q431,$I$3)&amp;""))-1),IF($I$3="","",INDEX(인턴계획표[[정규화1]:[정규화6]],$Q431,$I$3)&amp;"")))))</f>
        <v/>
      </c>
      <c r="I431">
        <f>IF($Q431="","",IF(IF($I$3="","",INDEX(인턴계획표[[정규화1]:[정규화6]],$Q431,$I$3)&amp;"")="","",IF(LEFT(IF($I$3="","",INDEX(인턴계획표[[정규화1]:[정규화6]],$Q431,$I$3)&amp;""),1)="⚠","",IFERROR(MID(IF($I$3="","",INDEX(인턴계획표[[정규화1]:[정규화6]],$Q431,$I$3)&amp;""),FIND(" ",IF($I$3="","",INDEX(인턴계획표[[정규화1]:[정규화6]],$Q431,$I$3)&amp;""))+1,60),""))))</f>
        <v/>
      </c>
      <c r="J431">
        <f>IF($Q431="","",INDEX(인턴계획표[정규화1],$Q431))</f>
        <v/>
      </c>
      <c r="K431">
        <f>IF($Q431="","",INDEX(인턴계획표[정규화2],$Q431))</f>
        <v/>
      </c>
      <c r="L431">
        <f>IF($Q431="","",INDEX(인턴계획표[정규화3],$Q431))</f>
        <v/>
      </c>
      <c r="M431">
        <f>IF($Q431="","",INDEX(인턴계획표[정규화4],$Q431))</f>
        <v/>
      </c>
      <c r="N431">
        <f>IF($Q431="","",INDEX(인턴계획표[정규화5],$Q431))</f>
        <v/>
      </c>
      <c r="O431">
        <f>IF($Q431="","",INDEX(인턴계획표[정규화6],$Q431))</f>
        <v/>
      </c>
      <c r="P431">
        <f>IF($Q431="","",INDEX(인턴계획표[입력오류],$Q431))</f>
        <v/>
      </c>
      <c r="Q431" s="17">
        <f>IFERROR(MATCH(426,인턴계획표[표시순번],0),"")</f>
        <v/>
      </c>
    </row>
    <row r="432">
      <c r="A432">
        <f>IF($Q432="","",INDEX(인턴계획표[순번],$Q432)&amp;"")</f>
        <v/>
      </c>
      <c r="B432">
        <f>IF($Q432="","",TRIM(INDEX(인턴계획표[이름],$Q432)&amp;""))</f>
        <v/>
      </c>
      <c r="C432">
        <f>IF($Q432="","",INDEX(인턴계획표[사번],$Q432)&amp;"")</f>
        <v/>
      </c>
      <c r="D432">
        <f>IF($Q432="","",IF(COUNTIF(기본자료표[사번키],INDEX(인턴계획표[사번키],$Q432))&gt;0,"확인","미등록"))</f>
        <v/>
      </c>
      <c r="E432">
        <f>IF($Q432="","",IF(ISNUMBER(INDEX(인턴계획표[입사일(비고)],$Q432)),TEXT(INDEX(인턴계획표[입사일(비고)],$Q432),"yyyy-mm-dd"),INDEX(인턴계획표[입사일(비고)],$Q432)&amp;""))</f>
        <v/>
      </c>
      <c r="F432">
        <f>IF($Q432="","",IF(IF($G$3="","",INDEX(인턴계획표[[정규화1]:[정규화6]],$Q432,$G$3)&amp;"")="","",IF(LEFT(IF($G$3="","",INDEX(인턴계획표[[정규화1]:[정규화6]],$Q432,$G$3)&amp;""),1)="⚠",IF($G$3="","",INDEX(인턴계획표[[정규화1]:[정규화6]],$Q432,$G$3)&amp;""),IFERROR(LEFT(IF($G$3="","",INDEX(인턴계획표[[정규화1]:[정규화6]],$Q432,$G$3)&amp;""),FIND(" ",IF($G$3="","",INDEX(인턴계획표[[정규화1]:[정규화6]],$Q432,$G$3)&amp;""))-1),IF($G$3="","",INDEX(인턴계획표[[정규화1]:[정규화6]],$Q432,$G$3)&amp;"")))))</f>
        <v/>
      </c>
      <c r="G432">
        <f>IF($Q432="","",IF(IF($G$3="","",INDEX(인턴계획표[[정규화1]:[정규화6]],$Q432,$G$3)&amp;"")="","",IF(LEFT(IF($G$3="","",INDEX(인턴계획표[[정규화1]:[정규화6]],$Q432,$G$3)&amp;""),1)="⚠","",IFERROR(MID(IF($G$3="","",INDEX(인턴계획표[[정규화1]:[정규화6]],$Q432,$G$3)&amp;""),FIND(" ",IF($G$3="","",INDEX(인턴계획표[[정규화1]:[정규화6]],$Q432,$G$3)&amp;""))+1,60),""))))</f>
        <v/>
      </c>
      <c r="H432">
        <f>IF($Q432="","",IF(IF($I$3="","",INDEX(인턴계획표[[정규화1]:[정규화6]],$Q432,$I$3)&amp;"")="","",IF(LEFT(IF($I$3="","",INDEX(인턴계획표[[정규화1]:[정규화6]],$Q432,$I$3)&amp;""),1)="⚠",IF($I$3="","",INDEX(인턴계획표[[정규화1]:[정규화6]],$Q432,$I$3)&amp;""),IFERROR(LEFT(IF($I$3="","",INDEX(인턴계획표[[정규화1]:[정규화6]],$Q432,$I$3)&amp;""),FIND(" ",IF($I$3="","",INDEX(인턴계획표[[정규화1]:[정규화6]],$Q432,$I$3)&amp;""))-1),IF($I$3="","",INDEX(인턴계획표[[정규화1]:[정규화6]],$Q432,$I$3)&amp;"")))))</f>
        <v/>
      </c>
      <c r="I432">
        <f>IF($Q432="","",IF(IF($I$3="","",INDEX(인턴계획표[[정규화1]:[정규화6]],$Q432,$I$3)&amp;"")="","",IF(LEFT(IF($I$3="","",INDEX(인턴계획표[[정규화1]:[정규화6]],$Q432,$I$3)&amp;""),1)="⚠","",IFERROR(MID(IF($I$3="","",INDEX(인턴계획표[[정규화1]:[정규화6]],$Q432,$I$3)&amp;""),FIND(" ",IF($I$3="","",INDEX(인턴계획표[[정규화1]:[정규화6]],$Q432,$I$3)&amp;""))+1,60),""))))</f>
        <v/>
      </c>
      <c r="J432">
        <f>IF($Q432="","",INDEX(인턴계획표[정규화1],$Q432))</f>
        <v/>
      </c>
      <c r="K432">
        <f>IF($Q432="","",INDEX(인턴계획표[정규화2],$Q432))</f>
        <v/>
      </c>
      <c r="L432">
        <f>IF($Q432="","",INDEX(인턴계획표[정규화3],$Q432))</f>
        <v/>
      </c>
      <c r="M432">
        <f>IF($Q432="","",INDEX(인턴계획표[정규화4],$Q432))</f>
        <v/>
      </c>
      <c r="N432">
        <f>IF($Q432="","",INDEX(인턴계획표[정규화5],$Q432))</f>
        <v/>
      </c>
      <c r="O432">
        <f>IF($Q432="","",INDEX(인턴계획표[정규화6],$Q432))</f>
        <v/>
      </c>
      <c r="P432">
        <f>IF($Q432="","",INDEX(인턴계획표[입력오류],$Q432))</f>
        <v/>
      </c>
      <c r="Q432" s="17">
        <f>IFERROR(MATCH(427,인턴계획표[표시순번],0),"")</f>
        <v/>
      </c>
    </row>
    <row r="433">
      <c r="A433">
        <f>IF($Q433="","",INDEX(인턴계획표[순번],$Q433)&amp;"")</f>
        <v/>
      </c>
      <c r="B433">
        <f>IF($Q433="","",TRIM(INDEX(인턴계획표[이름],$Q433)&amp;""))</f>
        <v/>
      </c>
      <c r="C433">
        <f>IF($Q433="","",INDEX(인턴계획표[사번],$Q433)&amp;"")</f>
        <v/>
      </c>
      <c r="D433">
        <f>IF($Q433="","",IF(COUNTIF(기본자료표[사번키],INDEX(인턴계획표[사번키],$Q433))&gt;0,"확인","미등록"))</f>
        <v/>
      </c>
      <c r="E433">
        <f>IF($Q433="","",IF(ISNUMBER(INDEX(인턴계획표[입사일(비고)],$Q433)),TEXT(INDEX(인턴계획표[입사일(비고)],$Q433),"yyyy-mm-dd"),INDEX(인턴계획표[입사일(비고)],$Q433)&amp;""))</f>
        <v/>
      </c>
      <c r="F433">
        <f>IF($Q433="","",IF(IF($G$3="","",INDEX(인턴계획표[[정규화1]:[정규화6]],$Q433,$G$3)&amp;"")="","",IF(LEFT(IF($G$3="","",INDEX(인턴계획표[[정규화1]:[정규화6]],$Q433,$G$3)&amp;""),1)="⚠",IF($G$3="","",INDEX(인턴계획표[[정규화1]:[정규화6]],$Q433,$G$3)&amp;""),IFERROR(LEFT(IF($G$3="","",INDEX(인턴계획표[[정규화1]:[정규화6]],$Q433,$G$3)&amp;""),FIND(" ",IF($G$3="","",INDEX(인턴계획표[[정규화1]:[정규화6]],$Q433,$G$3)&amp;""))-1),IF($G$3="","",INDEX(인턴계획표[[정규화1]:[정규화6]],$Q433,$G$3)&amp;"")))))</f>
        <v/>
      </c>
      <c r="G433">
        <f>IF($Q433="","",IF(IF($G$3="","",INDEX(인턴계획표[[정규화1]:[정규화6]],$Q433,$G$3)&amp;"")="","",IF(LEFT(IF($G$3="","",INDEX(인턴계획표[[정규화1]:[정규화6]],$Q433,$G$3)&amp;""),1)="⚠","",IFERROR(MID(IF($G$3="","",INDEX(인턴계획표[[정규화1]:[정규화6]],$Q433,$G$3)&amp;""),FIND(" ",IF($G$3="","",INDEX(인턴계획표[[정규화1]:[정규화6]],$Q433,$G$3)&amp;""))+1,60),""))))</f>
        <v/>
      </c>
      <c r="H433">
        <f>IF($Q433="","",IF(IF($I$3="","",INDEX(인턴계획표[[정규화1]:[정규화6]],$Q433,$I$3)&amp;"")="","",IF(LEFT(IF($I$3="","",INDEX(인턴계획표[[정규화1]:[정규화6]],$Q433,$I$3)&amp;""),1)="⚠",IF($I$3="","",INDEX(인턴계획표[[정규화1]:[정규화6]],$Q433,$I$3)&amp;""),IFERROR(LEFT(IF($I$3="","",INDEX(인턴계획표[[정규화1]:[정규화6]],$Q433,$I$3)&amp;""),FIND(" ",IF($I$3="","",INDEX(인턴계획표[[정규화1]:[정규화6]],$Q433,$I$3)&amp;""))-1),IF($I$3="","",INDEX(인턴계획표[[정규화1]:[정규화6]],$Q433,$I$3)&amp;"")))))</f>
        <v/>
      </c>
      <c r="I433">
        <f>IF($Q433="","",IF(IF($I$3="","",INDEX(인턴계획표[[정규화1]:[정규화6]],$Q433,$I$3)&amp;"")="","",IF(LEFT(IF($I$3="","",INDEX(인턴계획표[[정규화1]:[정규화6]],$Q433,$I$3)&amp;""),1)="⚠","",IFERROR(MID(IF($I$3="","",INDEX(인턴계획표[[정규화1]:[정규화6]],$Q433,$I$3)&amp;""),FIND(" ",IF($I$3="","",INDEX(인턴계획표[[정규화1]:[정규화6]],$Q433,$I$3)&amp;""))+1,60),""))))</f>
        <v/>
      </c>
      <c r="J433">
        <f>IF($Q433="","",INDEX(인턴계획표[정규화1],$Q433))</f>
        <v/>
      </c>
      <c r="K433">
        <f>IF($Q433="","",INDEX(인턴계획표[정규화2],$Q433))</f>
        <v/>
      </c>
      <c r="L433">
        <f>IF($Q433="","",INDEX(인턴계획표[정규화3],$Q433))</f>
        <v/>
      </c>
      <c r="M433">
        <f>IF($Q433="","",INDEX(인턴계획표[정규화4],$Q433))</f>
        <v/>
      </c>
      <c r="N433">
        <f>IF($Q433="","",INDEX(인턴계획표[정규화5],$Q433))</f>
        <v/>
      </c>
      <c r="O433">
        <f>IF($Q433="","",INDEX(인턴계획표[정규화6],$Q433))</f>
        <v/>
      </c>
      <c r="P433">
        <f>IF($Q433="","",INDEX(인턴계획표[입력오류],$Q433))</f>
        <v/>
      </c>
      <c r="Q433" s="17">
        <f>IFERROR(MATCH(428,인턴계획표[표시순번],0),"")</f>
        <v/>
      </c>
    </row>
    <row r="434">
      <c r="A434">
        <f>IF($Q434="","",INDEX(인턴계획표[순번],$Q434)&amp;"")</f>
        <v/>
      </c>
      <c r="B434">
        <f>IF($Q434="","",TRIM(INDEX(인턴계획표[이름],$Q434)&amp;""))</f>
        <v/>
      </c>
      <c r="C434">
        <f>IF($Q434="","",INDEX(인턴계획표[사번],$Q434)&amp;"")</f>
        <v/>
      </c>
      <c r="D434">
        <f>IF($Q434="","",IF(COUNTIF(기본자료표[사번키],INDEX(인턴계획표[사번키],$Q434))&gt;0,"확인","미등록"))</f>
        <v/>
      </c>
      <c r="E434">
        <f>IF($Q434="","",IF(ISNUMBER(INDEX(인턴계획표[입사일(비고)],$Q434)),TEXT(INDEX(인턴계획표[입사일(비고)],$Q434),"yyyy-mm-dd"),INDEX(인턴계획표[입사일(비고)],$Q434)&amp;""))</f>
        <v/>
      </c>
      <c r="F434">
        <f>IF($Q434="","",IF(IF($G$3="","",INDEX(인턴계획표[[정규화1]:[정규화6]],$Q434,$G$3)&amp;"")="","",IF(LEFT(IF($G$3="","",INDEX(인턴계획표[[정규화1]:[정규화6]],$Q434,$G$3)&amp;""),1)="⚠",IF($G$3="","",INDEX(인턴계획표[[정규화1]:[정규화6]],$Q434,$G$3)&amp;""),IFERROR(LEFT(IF($G$3="","",INDEX(인턴계획표[[정규화1]:[정규화6]],$Q434,$G$3)&amp;""),FIND(" ",IF($G$3="","",INDEX(인턴계획표[[정규화1]:[정규화6]],$Q434,$G$3)&amp;""))-1),IF($G$3="","",INDEX(인턴계획표[[정규화1]:[정규화6]],$Q434,$G$3)&amp;"")))))</f>
        <v/>
      </c>
      <c r="G434">
        <f>IF($Q434="","",IF(IF($G$3="","",INDEX(인턴계획표[[정규화1]:[정규화6]],$Q434,$G$3)&amp;"")="","",IF(LEFT(IF($G$3="","",INDEX(인턴계획표[[정규화1]:[정규화6]],$Q434,$G$3)&amp;""),1)="⚠","",IFERROR(MID(IF($G$3="","",INDEX(인턴계획표[[정규화1]:[정규화6]],$Q434,$G$3)&amp;""),FIND(" ",IF($G$3="","",INDEX(인턴계획표[[정규화1]:[정규화6]],$Q434,$G$3)&amp;""))+1,60),""))))</f>
        <v/>
      </c>
      <c r="H434">
        <f>IF($Q434="","",IF(IF($I$3="","",INDEX(인턴계획표[[정규화1]:[정규화6]],$Q434,$I$3)&amp;"")="","",IF(LEFT(IF($I$3="","",INDEX(인턴계획표[[정규화1]:[정규화6]],$Q434,$I$3)&amp;""),1)="⚠",IF($I$3="","",INDEX(인턴계획표[[정규화1]:[정규화6]],$Q434,$I$3)&amp;""),IFERROR(LEFT(IF($I$3="","",INDEX(인턴계획표[[정규화1]:[정규화6]],$Q434,$I$3)&amp;""),FIND(" ",IF($I$3="","",INDEX(인턴계획표[[정규화1]:[정규화6]],$Q434,$I$3)&amp;""))-1),IF($I$3="","",INDEX(인턴계획표[[정규화1]:[정규화6]],$Q434,$I$3)&amp;"")))))</f>
        <v/>
      </c>
      <c r="I434">
        <f>IF($Q434="","",IF(IF($I$3="","",INDEX(인턴계획표[[정규화1]:[정규화6]],$Q434,$I$3)&amp;"")="","",IF(LEFT(IF($I$3="","",INDEX(인턴계획표[[정규화1]:[정규화6]],$Q434,$I$3)&amp;""),1)="⚠","",IFERROR(MID(IF($I$3="","",INDEX(인턴계획표[[정규화1]:[정규화6]],$Q434,$I$3)&amp;""),FIND(" ",IF($I$3="","",INDEX(인턴계획표[[정규화1]:[정규화6]],$Q434,$I$3)&amp;""))+1,60),""))))</f>
        <v/>
      </c>
      <c r="J434">
        <f>IF($Q434="","",INDEX(인턴계획표[정규화1],$Q434))</f>
        <v/>
      </c>
      <c r="K434">
        <f>IF($Q434="","",INDEX(인턴계획표[정규화2],$Q434))</f>
        <v/>
      </c>
      <c r="L434">
        <f>IF($Q434="","",INDEX(인턴계획표[정규화3],$Q434))</f>
        <v/>
      </c>
      <c r="M434">
        <f>IF($Q434="","",INDEX(인턴계획표[정규화4],$Q434))</f>
        <v/>
      </c>
      <c r="N434">
        <f>IF($Q434="","",INDEX(인턴계획표[정규화5],$Q434))</f>
        <v/>
      </c>
      <c r="O434">
        <f>IF($Q434="","",INDEX(인턴계획표[정규화6],$Q434))</f>
        <v/>
      </c>
      <c r="P434">
        <f>IF($Q434="","",INDEX(인턴계획표[입력오류],$Q434))</f>
        <v/>
      </c>
      <c r="Q434" s="17">
        <f>IFERROR(MATCH(429,인턴계획표[표시순번],0),"")</f>
        <v/>
      </c>
    </row>
    <row r="435">
      <c r="A435">
        <f>IF($Q435="","",INDEX(인턴계획표[순번],$Q435)&amp;"")</f>
        <v/>
      </c>
      <c r="B435">
        <f>IF($Q435="","",TRIM(INDEX(인턴계획표[이름],$Q435)&amp;""))</f>
        <v/>
      </c>
      <c r="C435">
        <f>IF($Q435="","",INDEX(인턴계획표[사번],$Q435)&amp;"")</f>
        <v/>
      </c>
      <c r="D435">
        <f>IF($Q435="","",IF(COUNTIF(기본자료표[사번키],INDEX(인턴계획표[사번키],$Q435))&gt;0,"확인","미등록"))</f>
        <v/>
      </c>
      <c r="E435">
        <f>IF($Q435="","",IF(ISNUMBER(INDEX(인턴계획표[입사일(비고)],$Q435)),TEXT(INDEX(인턴계획표[입사일(비고)],$Q435),"yyyy-mm-dd"),INDEX(인턴계획표[입사일(비고)],$Q435)&amp;""))</f>
        <v/>
      </c>
      <c r="F435">
        <f>IF($Q435="","",IF(IF($G$3="","",INDEX(인턴계획표[[정규화1]:[정규화6]],$Q435,$G$3)&amp;"")="","",IF(LEFT(IF($G$3="","",INDEX(인턴계획표[[정규화1]:[정규화6]],$Q435,$G$3)&amp;""),1)="⚠",IF($G$3="","",INDEX(인턴계획표[[정규화1]:[정규화6]],$Q435,$G$3)&amp;""),IFERROR(LEFT(IF($G$3="","",INDEX(인턴계획표[[정규화1]:[정규화6]],$Q435,$G$3)&amp;""),FIND(" ",IF($G$3="","",INDEX(인턴계획표[[정규화1]:[정규화6]],$Q435,$G$3)&amp;""))-1),IF($G$3="","",INDEX(인턴계획표[[정규화1]:[정규화6]],$Q435,$G$3)&amp;"")))))</f>
        <v/>
      </c>
      <c r="G435">
        <f>IF($Q435="","",IF(IF($G$3="","",INDEX(인턴계획표[[정규화1]:[정규화6]],$Q435,$G$3)&amp;"")="","",IF(LEFT(IF($G$3="","",INDEX(인턴계획표[[정규화1]:[정규화6]],$Q435,$G$3)&amp;""),1)="⚠","",IFERROR(MID(IF($G$3="","",INDEX(인턴계획표[[정규화1]:[정규화6]],$Q435,$G$3)&amp;""),FIND(" ",IF($G$3="","",INDEX(인턴계획표[[정규화1]:[정규화6]],$Q435,$G$3)&amp;""))+1,60),""))))</f>
        <v/>
      </c>
      <c r="H435">
        <f>IF($Q435="","",IF(IF($I$3="","",INDEX(인턴계획표[[정규화1]:[정규화6]],$Q435,$I$3)&amp;"")="","",IF(LEFT(IF($I$3="","",INDEX(인턴계획표[[정규화1]:[정규화6]],$Q435,$I$3)&amp;""),1)="⚠",IF($I$3="","",INDEX(인턴계획표[[정규화1]:[정규화6]],$Q435,$I$3)&amp;""),IFERROR(LEFT(IF($I$3="","",INDEX(인턴계획표[[정규화1]:[정규화6]],$Q435,$I$3)&amp;""),FIND(" ",IF($I$3="","",INDEX(인턴계획표[[정규화1]:[정규화6]],$Q435,$I$3)&amp;""))-1),IF($I$3="","",INDEX(인턴계획표[[정규화1]:[정규화6]],$Q435,$I$3)&amp;"")))))</f>
        <v/>
      </c>
      <c r="I435">
        <f>IF($Q435="","",IF(IF($I$3="","",INDEX(인턴계획표[[정규화1]:[정규화6]],$Q435,$I$3)&amp;"")="","",IF(LEFT(IF($I$3="","",INDEX(인턴계획표[[정규화1]:[정규화6]],$Q435,$I$3)&amp;""),1)="⚠","",IFERROR(MID(IF($I$3="","",INDEX(인턴계획표[[정규화1]:[정규화6]],$Q435,$I$3)&amp;""),FIND(" ",IF($I$3="","",INDEX(인턴계획표[[정규화1]:[정규화6]],$Q435,$I$3)&amp;""))+1,60),""))))</f>
        <v/>
      </c>
      <c r="J435">
        <f>IF($Q435="","",INDEX(인턴계획표[정규화1],$Q435))</f>
        <v/>
      </c>
      <c r="K435">
        <f>IF($Q435="","",INDEX(인턴계획표[정규화2],$Q435))</f>
        <v/>
      </c>
      <c r="L435">
        <f>IF($Q435="","",INDEX(인턴계획표[정규화3],$Q435))</f>
        <v/>
      </c>
      <c r="M435">
        <f>IF($Q435="","",INDEX(인턴계획표[정규화4],$Q435))</f>
        <v/>
      </c>
      <c r="N435">
        <f>IF($Q435="","",INDEX(인턴계획표[정규화5],$Q435))</f>
        <v/>
      </c>
      <c r="O435">
        <f>IF($Q435="","",INDEX(인턴계획표[정규화6],$Q435))</f>
        <v/>
      </c>
      <c r="P435">
        <f>IF($Q435="","",INDEX(인턴계획표[입력오류],$Q435))</f>
        <v/>
      </c>
      <c r="Q435" s="17">
        <f>IFERROR(MATCH(430,인턴계획표[표시순번],0),"")</f>
        <v/>
      </c>
    </row>
    <row r="436">
      <c r="A436">
        <f>IF($Q436="","",INDEX(인턴계획표[순번],$Q436)&amp;"")</f>
        <v/>
      </c>
      <c r="B436">
        <f>IF($Q436="","",TRIM(INDEX(인턴계획표[이름],$Q436)&amp;""))</f>
        <v/>
      </c>
      <c r="C436">
        <f>IF($Q436="","",INDEX(인턴계획표[사번],$Q436)&amp;"")</f>
        <v/>
      </c>
      <c r="D436">
        <f>IF($Q436="","",IF(COUNTIF(기본자료표[사번키],INDEX(인턴계획표[사번키],$Q436))&gt;0,"확인","미등록"))</f>
        <v/>
      </c>
      <c r="E436">
        <f>IF($Q436="","",IF(ISNUMBER(INDEX(인턴계획표[입사일(비고)],$Q436)),TEXT(INDEX(인턴계획표[입사일(비고)],$Q436),"yyyy-mm-dd"),INDEX(인턴계획표[입사일(비고)],$Q436)&amp;""))</f>
        <v/>
      </c>
      <c r="F436">
        <f>IF($Q436="","",IF(IF($G$3="","",INDEX(인턴계획표[[정규화1]:[정규화6]],$Q436,$G$3)&amp;"")="","",IF(LEFT(IF($G$3="","",INDEX(인턴계획표[[정규화1]:[정규화6]],$Q436,$G$3)&amp;""),1)="⚠",IF($G$3="","",INDEX(인턴계획표[[정규화1]:[정규화6]],$Q436,$G$3)&amp;""),IFERROR(LEFT(IF($G$3="","",INDEX(인턴계획표[[정규화1]:[정규화6]],$Q436,$G$3)&amp;""),FIND(" ",IF($G$3="","",INDEX(인턴계획표[[정규화1]:[정규화6]],$Q436,$G$3)&amp;""))-1),IF($G$3="","",INDEX(인턴계획표[[정규화1]:[정규화6]],$Q436,$G$3)&amp;"")))))</f>
        <v/>
      </c>
      <c r="G436">
        <f>IF($Q436="","",IF(IF($G$3="","",INDEX(인턴계획표[[정규화1]:[정규화6]],$Q436,$G$3)&amp;"")="","",IF(LEFT(IF($G$3="","",INDEX(인턴계획표[[정규화1]:[정규화6]],$Q436,$G$3)&amp;""),1)="⚠","",IFERROR(MID(IF($G$3="","",INDEX(인턴계획표[[정규화1]:[정규화6]],$Q436,$G$3)&amp;""),FIND(" ",IF($G$3="","",INDEX(인턴계획표[[정규화1]:[정규화6]],$Q436,$G$3)&amp;""))+1,60),""))))</f>
        <v/>
      </c>
      <c r="H436">
        <f>IF($Q436="","",IF(IF($I$3="","",INDEX(인턴계획표[[정규화1]:[정규화6]],$Q436,$I$3)&amp;"")="","",IF(LEFT(IF($I$3="","",INDEX(인턴계획표[[정규화1]:[정규화6]],$Q436,$I$3)&amp;""),1)="⚠",IF($I$3="","",INDEX(인턴계획표[[정규화1]:[정규화6]],$Q436,$I$3)&amp;""),IFERROR(LEFT(IF($I$3="","",INDEX(인턴계획표[[정규화1]:[정규화6]],$Q436,$I$3)&amp;""),FIND(" ",IF($I$3="","",INDEX(인턴계획표[[정규화1]:[정규화6]],$Q436,$I$3)&amp;""))-1),IF($I$3="","",INDEX(인턴계획표[[정규화1]:[정규화6]],$Q436,$I$3)&amp;"")))))</f>
        <v/>
      </c>
      <c r="I436">
        <f>IF($Q436="","",IF(IF($I$3="","",INDEX(인턴계획표[[정규화1]:[정규화6]],$Q436,$I$3)&amp;"")="","",IF(LEFT(IF($I$3="","",INDEX(인턴계획표[[정규화1]:[정규화6]],$Q436,$I$3)&amp;""),1)="⚠","",IFERROR(MID(IF($I$3="","",INDEX(인턴계획표[[정규화1]:[정규화6]],$Q436,$I$3)&amp;""),FIND(" ",IF($I$3="","",INDEX(인턴계획표[[정규화1]:[정규화6]],$Q436,$I$3)&amp;""))+1,60),""))))</f>
        <v/>
      </c>
      <c r="J436">
        <f>IF($Q436="","",INDEX(인턴계획표[정규화1],$Q436))</f>
        <v/>
      </c>
      <c r="K436">
        <f>IF($Q436="","",INDEX(인턴계획표[정규화2],$Q436))</f>
        <v/>
      </c>
      <c r="L436">
        <f>IF($Q436="","",INDEX(인턴계획표[정규화3],$Q436))</f>
        <v/>
      </c>
      <c r="M436">
        <f>IF($Q436="","",INDEX(인턴계획표[정규화4],$Q436))</f>
        <v/>
      </c>
      <c r="N436">
        <f>IF($Q436="","",INDEX(인턴계획표[정규화5],$Q436))</f>
        <v/>
      </c>
      <c r="O436">
        <f>IF($Q436="","",INDEX(인턴계획표[정규화6],$Q436))</f>
        <v/>
      </c>
      <c r="P436">
        <f>IF($Q436="","",INDEX(인턴계획표[입력오류],$Q436))</f>
        <v/>
      </c>
      <c r="Q436" s="17">
        <f>IFERROR(MATCH(431,인턴계획표[표시순번],0),"")</f>
        <v/>
      </c>
    </row>
    <row r="437">
      <c r="A437">
        <f>IF($Q437="","",INDEX(인턴계획표[순번],$Q437)&amp;"")</f>
        <v/>
      </c>
      <c r="B437">
        <f>IF($Q437="","",TRIM(INDEX(인턴계획표[이름],$Q437)&amp;""))</f>
        <v/>
      </c>
      <c r="C437">
        <f>IF($Q437="","",INDEX(인턴계획표[사번],$Q437)&amp;"")</f>
        <v/>
      </c>
      <c r="D437">
        <f>IF($Q437="","",IF(COUNTIF(기본자료표[사번키],INDEX(인턴계획표[사번키],$Q437))&gt;0,"확인","미등록"))</f>
        <v/>
      </c>
      <c r="E437">
        <f>IF($Q437="","",IF(ISNUMBER(INDEX(인턴계획표[입사일(비고)],$Q437)),TEXT(INDEX(인턴계획표[입사일(비고)],$Q437),"yyyy-mm-dd"),INDEX(인턴계획표[입사일(비고)],$Q437)&amp;""))</f>
        <v/>
      </c>
      <c r="F437">
        <f>IF($Q437="","",IF(IF($G$3="","",INDEX(인턴계획표[[정규화1]:[정규화6]],$Q437,$G$3)&amp;"")="","",IF(LEFT(IF($G$3="","",INDEX(인턴계획표[[정규화1]:[정규화6]],$Q437,$G$3)&amp;""),1)="⚠",IF($G$3="","",INDEX(인턴계획표[[정규화1]:[정규화6]],$Q437,$G$3)&amp;""),IFERROR(LEFT(IF($G$3="","",INDEX(인턴계획표[[정규화1]:[정규화6]],$Q437,$G$3)&amp;""),FIND(" ",IF($G$3="","",INDEX(인턴계획표[[정규화1]:[정규화6]],$Q437,$G$3)&amp;""))-1),IF($G$3="","",INDEX(인턴계획표[[정규화1]:[정규화6]],$Q437,$G$3)&amp;"")))))</f>
        <v/>
      </c>
      <c r="G437">
        <f>IF($Q437="","",IF(IF($G$3="","",INDEX(인턴계획표[[정규화1]:[정규화6]],$Q437,$G$3)&amp;"")="","",IF(LEFT(IF($G$3="","",INDEX(인턴계획표[[정규화1]:[정규화6]],$Q437,$G$3)&amp;""),1)="⚠","",IFERROR(MID(IF($G$3="","",INDEX(인턴계획표[[정규화1]:[정규화6]],$Q437,$G$3)&amp;""),FIND(" ",IF($G$3="","",INDEX(인턴계획표[[정규화1]:[정규화6]],$Q437,$G$3)&amp;""))+1,60),""))))</f>
        <v/>
      </c>
      <c r="H437">
        <f>IF($Q437="","",IF(IF($I$3="","",INDEX(인턴계획표[[정규화1]:[정규화6]],$Q437,$I$3)&amp;"")="","",IF(LEFT(IF($I$3="","",INDEX(인턴계획표[[정규화1]:[정규화6]],$Q437,$I$3)&amp;""),1)="⚠",IF($I$3="","",INDEX(인턴계획표[[정규화1]:[정규화6]],$Q437,$I$3)&amp;""),IFERROR(LEFT(IF($I$3="","",INDEX(인턴계획표[[정규화1]:[정규화6]],$Q437,$I$3)&amp;""),FIND(" ",IF($I$3="","",INDEX(인턴계획표[[정규화1]:[정규화6]],$Q437,$I$3)&amp;""))-1),IF($I$3="","",INDEX(인턴계획표[[정규화1]:[정규화6]],$Q437,$I$3)&amp;"")))))</f>
        <v/>
      </c>
      <c r="I437">
        <f>IF($Q437="","",IF(IF($I$3="","",INDEX(인턴계획표[[정규화1]:[정규화6]],$Q437,$I$3)&amp;"")="","",IF(LEFT(IF($I$3="","",INDEX(인턴계획표[[정규화1]:[정규화6]],$Q437,$I$3)&amp;""),1)="⚠","",IFERROR(MID(IF($I$3="","",INDEX(인턴계획표[[정규화1]:[정규화6]],$Q437,$I$3)&amp;""),FIND(" ",IF($I$3="","",INDEX(인턴계획표[[정규화1]:[정규화6]],$Q437,$I$3)&amp;""))+1,60),""))))</f>
        <v/>
      </c>
      <c r="J437">
        <f>IF($Q437="","",INDEX(인턴계획표[정규화1],$Q437))</f>
        <v/>
      </c>
      <c r="K437">
        <f>IF($Q437="","",INDEX(인턴계획표[정규화2],$Q437))</f>
        <v/>
      </c>
      <c r="L437">
        <f>IF($Q437="","",INDEX(인턴계획표[정규화3],$Q437))</f>
        <v/>
      </c>
      <c r="M437">
        <f>IF($Q437="","",INDEX(인턴계획표[정규화4],$Q437))</f>
        <v/>
      </c>
      <c r="N437">
        <f>IF($Q437="","",INDEX(인턴계획표[정규화5],$Q437))</f>
        <v/>
      </c>
      <c r="O437">
        <f>IF($Q437="","",INDEX(인턴계획표[정규화6],$Q437))</f>
        <v/>
      </c>
      <c r="P437">
        <f>IF($Q437="","",INDEX(인턴계획표[입력오류],$Q437))</f>
        <v/>
      </c>
      <c r="Q437" s="17">
        <f>IFERROR(MATCH(432,인턴계획표[표시순번],0),"")</f>
        <v/>
      </c>
    </row>
    <row r="438">
      <c r="A438">
        <f>IF($Q438="","",INDEX(인턴계획표[순번],$Q438)&amp;"")</f>
        <v/>
      </c>
      <c r="B438">
        <f>IF($Q438="","",TRIM(INDEX(인턴계획표[이름],$Q438)&amp;""))</f>
        <v/>
      </c>
      <c r="C438">
        <f>IF($Q438="","",INDEX(인턴계획표[사번],$Q438)&amp;"")</f>
        <v/>
      </c>
      <c r="D438">
        <f>IF($Q438="","",IF(COUNTIF(기본자료표[사번키],INDEX(인턴계획표[사번키],$Q438))&gt;0,"확인","미등록"))</f>
        <v/>
      </c>
      <c r="E438">
        <f>IF($Q438="","",IF(ISNUMBER(INDEX(인턴계획표[입사일(비고)],$Q438)),TEXT(INDEX(인턴계획표[입사일(비고)],$Q438),"yyyy-mm-dd"),INDEX(인턴계획표[입사일(비고)],$Q438)&amp;""))</f>
        <v/>
      </c>
      <c r="F438">
        <f>IF($Q438="","",IF(IF($G$3="","",INDEX(인턴계획표[[정규화1]:[정규화6]],$Q438,$G$3)&amp;"")="","",IF(LEFT(IF($G$3="","",INDEX(인턴계획표[[정규화1]:[정규화6]],$Q438,$G$3)&amp;""),1)="⚠",IF($G$3="","",INDEX(인턴계획표[[정규화1]:[정규화6]],$Q438,$G$3)&amp;""),IFERROR(LEFT(IF($G$3="","",INDEX(인턴계획표[[정규화1]:[정규화6]],$Q438,$G$3)&amp;""),FIND(" ",IF($G$3="","",INDEX(인턴계획표[[정규화1]:[정규화6]],$Q438,$G$3)&amp;""))-1),IF($G$3="","",INDEX(인턴계획표[[정규화1]:[정규화6]],$Q438,$G$3)&amp;"")))))</f>
        <v/>
      </c>
      <c r="G438">
        <f>IF($Q438="","",IF(IF($G$3="","",INDEX(인턴계획표[[정규화1]:[정규화6]],$Q438,$G$3)&amp;"")="","",IF(LEFT(IF($G$3="","",INDEX(인턴계획표[[정규화1]:[정규화6]],$Q438,$G$3)&amp;""),1)="⚠","",IFERROR(MID(IF($G$3="","",INDEX(인턴계획표[[정규화1]:[정규화6]],$Q438,$G$3)&amp;""),FIND(" ",IF($G$3="","",INDEX(인턴계획표[[정규화1]:[정규화6]],$Q438,$G$3)&amp;""))+1,60),""))))</f>
        <v/>
      </c>
      <c r="H438">
        <f>IF($Q438="","",IF(IF($I$3="","",INDEX(인턴계획표[[정규화1]:[정규화6]],$Q438,$I$3)&amp;"")="","",IF(LEFT(IF($I$3="","",INDEX(인턴계획표[[정규화1]:[정규화6]],$Q438,$I$3)&amp;""),1)="⚠",IF($I$3="","",INDEX(인턴계획표[[정규화1]:[정규화6]],$Q438,$I$3)&amp;""),IFERROR(LEFT(IF($I$3="","",INDEX(인턴계획표[[정규화1]:[정규화6]],$Q438,$I$3)&amp;""),FIND(" ",IF($I$3="","",INDEX(인턴계획표[[정규화1]:[정규화6]],$Q438,$I$3)&amp;""))-1),IF($I$3="","",INDEX(인턴계획표[[정규화1]:[정규화6]],$Q438,$I$3)&amp;"")))))</f>
        <v/>
      </c>
      <c r="I438">
        <f>IF($Q438="","",IF(IF($I$3="","",INDEX(인턴계획표[[정규화1]:[정규화6]],$Q438,$I$3)&amp;"")="","",IF(LEFT(IF($I$3="","",INDEX(인턴계획표[[정규화1]:[정규화6]],$Q438,$I$3)&amp;""),1)="⚠","",IFERROR(MID(IF($I$3="","",INDEX(인턴계획표[[정규화1]:[정규화6]],$Q438,$I$3)&amp;""),FIND(" ",IF($I$3="","",INDEX(인턴계획표[[정규화1]:[정규화6]],$Q438,$I$3)&amp;""))+1,60),""))))</f>
        <v/>
      </c>
      <c r="J438">
        <f>IF($Q438="","",INDEX(인턴계획표[정규화1],$Q438))</f>
        <v/>
      </c>
      <c r="K438">
        <f>IF($Q438="","",INDEX(인턴계획표[정규화2],$Q438))</f>
        <v/>
      </c>
      <c r="L438">
        <f>IF($Q438="","",INDEX(인턴계획표[정규화3],$Q438))</f>
        <v/>
      </c>
      <c r="M438">
        <f>IF($Q438="","",INDEX(인턴계획표[정규화4],$Q438))</f>
        <v/>
      </c>
      <c r="N438">
        <f>IF($Q438="","",INDEX(인턴계획표[정규화5],$Q438))</f>
        <v/>
      </c>
      <c r="O438">
        <f>IF($Q438="","",INDEX(인턴계획표[정규화6],$Q438))</f>
        <v/>
      </c>
      <c r="P438">
        <f>IF($Q438="","",INDEX(인턴계획표[입력오류],$Q438))</f>
        <v/>
      </c>
      <c r="Q438" s="17">
        <f>IFERROR(MATCH(433,인턴계획표[표시순번],0),"")</f>
        <v/>
      </c>
    </row>
    <row r="439">
      <c r="A439">
        <f>IF($Q439="","",INDEX(인턴계획표[순번],$Q439)&amp;"")</f>
        <v/>
      </c>
      <c r="B439">
        <f>IF($Q439="","",TRIM(INDEX(인턴계획표[이름],$Q439)&amp;""))</f>
        <v/>
      </c>
      <c r="C439">
        <f>IF($Q439="","",INDEX(인턴계획표[사번],$Q439)&amp;"")</f>
        <v/>
      </c>
      <c r="D439">
        <f>IF($Q439="","",IF(COUNTIF(기본자료표[사번키],INDEX(인턴계획표[사번키],$Q439))&gt;0,"확인","미등록"))</f>
        <v/>
      </c>
      <c r="E439">
        <f>IF($Q439="","",IF(ISNUMBER(INDEX(인턴계획표[입사일(비고)],$Q439)),TEXT(INDEX(인턴계획표[입사일(비고)],$Q439),"yyyy-mm-dd"),INDEX(인턴계획표[입사일(비고)],$Q439)&amp;""))</f>
        <v/>
      </c>
      <c r="F439">
        <f>IF($Q439="","",IF(IF($G$3="","",INDEX(인턴계획표[[정규화1]:[정규화6]],$Q439,$G$3)&amp;"")="","",IF(LEFT(IF($G$3="","",INDEX(인턴계획표[[정규화1]:[정규화6]],$Q439,$G$3)&amp;""),1)="⚠",IF($G$3="","",INDEX(인턴계획표[[정규화1]:[정규화6]],$Q439,$G$3)&amp;""),IFERROR(LEFT(IF($G$3="","",INDEX(인턴계획표[[정규화1]:[정규화6]],$Q439,$G$3)&amp;""),FIND(" ",IF($G$3="","",INDEX(인턴계획표[[정규화1]:[정규화6]],$Q439,$G$3)&amp;""))-1),IF($G$3="","",INDEX(인턴계획표[[정규화1]:[정규화6]],$Q439,$G$3)&amp;"")))))</f>
        <v/>
      </c>
      <c r="G439">
        <f>IF($Q439="","",IF(IF($G$3="","",INDEX(인턴계획표[[정규화1]:[정규화6]],$Q439,$G$3)&amp;"")="","",IF(LEFT(IF($G$3="","",INDEX(인턴계획표[[정규화1]:[정규화6]],$Q439,$G$3)&amp;""),1)="⚠","",IFERROR(MID(IF($G$3="","",INDEX(인턴계획표[[정규화1]:[정규화6]],$Q439,$G$3)&amp;""),FIND(" ",IF($G$3="","",INDEX(인턴계획표[[정규화1]:[정규화6]],$Q439,$G$3)&amp;""))+1,60),""))))</f>
        <v/>
      </c>
      <c r="H439">
        <f>IF($Q439="","",IF(IF($I$3="","",INDEX(인턴계획표[[정규화1]:[정규화6]],$Q439,$I$3)&amp;"")="","",IF(LEFT(IF($I$3="","",INDEX(인턴계획표[[정규화1]:[정규화6]],$Q439,$I$3)&amp;""),1)="⚠",IF($I$3="","",INDEX(인턴계획표[[정규화1]:[정규화6]],$Q439,$I$3)&amp;""),IFERROR(LEFT(IF($I$3="","",INDEX(인턴계획표[[정규화1]:[정규화6]],$Q439,$I$3)&amp;""),FIND(" ",IF($I$3="","",INDEX(인턴계획표[[정규화1]:[정규화6]],$Q439,$I$3)&amp;""))-1),IF($I$3="","",INDEX(인턴계획표[[정규화1]:[정규화6]],$Q439,$I$3)&amp;"")))))</f>
        <v/>
      </c>
      <c r="I439">
        <f>IF($Q439="","",IF(IF($I$3="","",INDEX(인턴계획표[[정규화1]:[정규화6]],$Q439,$I$3)&amp;"")="","",IF(LEFT(IF($I$3="","",INDEX(인턴계획표[[정규화1]:[정규화6]],$Q439,$I$3)&amp;""),1)="⚠","",IFERROR(MID(IF($I$3="","",INDEX(인턴계획표[[정규화1]:[정규화6]],$Q439,$I$3)&amp;""),FIND(" ",IF($I$3="","",INDEX(인턴계획표[[정규화1]:[정규화6]],$Q439,$I$3)&amp;""))+1,60),""))))</f>
        <v/>
      </c>
      <c r="J439">
        <f>IF($Q439="","",INDEX(인턴계획표[정규화1],$Q439))</f>
        <v/>
      </c>
      <c r="K439">
        <f>IF($Q439="","",INDEX(인턴계획표[정규화2],$Q439))</f>
        <v/>
      </c>
      <c r="L439">
        <f>IF($Q439="","",INDEX(인턴계획표[정규화3],$Q439))</f>
        <v/>
      </c>
      <c r="M439">
        <f>IF($Q439="","",INDEX(인턴계획표[정규화4],$Q439))</f>
        <v/>
      </c>
      <c r="N439">
        <f>IF($Q439="","",INDEX(인턴계획표[정규화5],$Q439))</f>
        <v/>
      </c>
      <c r="O439">
        <f>IF($Q439="","",INDEX(인턴계획표[정규화6],$Q439))</f>
        <v/>
      </c>
      <c r="P439">
        <f>IF($Q439="","",INDEX(인턴계획표[입력오류],$Q439))</f>
        <v/>
      </c>
      <c r="Q439" s="17">
        <f>IFERROR(MATCH(434,인턴계획표[표시순번],0),"")</f>
        <v/>
      </c>
    </row>
    <row r="440">
      <c r="A440">
        <f>IF($Q440="","",INDEX(인턴계획표[순번],$Q440)&amp;"")</f>
        <v/>
      </c>
      <c r="B440">
        <f>IF($Q440="","",TRIM(INDEX(인턴계획표[이름],$Q440)&amp;""))</f>
        <v/>
      </c>
      <c r="C440">
        <f>IF($Q440="","",INDEX(인턴계획표[사번],$Q440)&amp;"")</f>
        <v/>
      </c>
      <c r="D440">
        <f>IF($Q440="","",IF(COUNTIF(기본자료표[사번키],INDEX(인턴계획표[사번키],$Q440))&gt;0,"확인","미등록"))</f>
        <v/>
      </c>
      <c r="E440">
        <f>IF($Q440="","",IF(ISNUMBER(INDEX(인턴계획표[입사일(비고)],$Q440)),TEXT(INDEX(인턴계획표[입사일(비고)],$Q440),"yyyy-mm-dd"),INDEX(인턴계획표[입사일(비고)],$Q440)&amp;""))</f>
        <v/>
      </c>
      <c r="F440">
        <f>IF($Q440="","",IF(IF($G$3="","",INDEX(인턴계획표[[정규화1]:[정규화6]],$Q440,$G$3)&amp;"")="","",IF(LEFT(IF($G$3="","",INDEX(인턴계획표[[정규화1]:[정규화6]],$Q440,$G$3)&amp;""),1)="⚠",IF($G$3="","",INDEX(인턴계획표[[정규화1]:[정규화6]],$Q440,$G$3)&amp;""),IFERROR(LEFT(IF($G$3="","",INDEX(인턴계획표[[정규화1]:[정규화6]],$Q440,$G$3)&amp;""),FIND(" ",IF($G$3="","",INDEX(인턴계획표[[정규화1]:[정규화6]],$Q440,$G$3)&amp;""))-1),IF($G$3="","",INDEX(인턴계획표[[정규화1]:[정규화6]],$Q440,$G$3)&amp;"")))))</f>
        <v/>
      </c>
      <c r="G440">
        <f>IF($Q440="","",IF(IF($G$3="","",INDEX(인턴계획표[[정규화1]:[정규화6]],$Q440,$G$3)&amp;"")="","",IF(LEFT(IF($G$3="","",INDEX(인턴계획표[[정규화1]:[정규화6]],$Q440,$G$3)&amp;""),1)="⚠","",IFERROR(MID(IF($G$3="","",INDEX(인턴계획표[[정규화1]:[정규화6]],$Q440,$G$3)&amp;""),FIND(" ",IF($G$3="","",INDEX(인턴계획표[[정규화1]:[정규화6]],$Q440,$G$3)&amp;""))+1,60),""))))</f>
        <v/>
      </c>
      <c r="H440">
        <f>IF($Q440="","",IF(IF($I$3="","",INDEX(인턴계획표[[정규화1]:[정규화6]],$Q440,$I$3)&amp;"")="","",IF(LEFT(IF($I$3="","",INDEX(인턴계획표[[정규화1]:[정규화6]],$Q440,$I$3)&amp;""),1)="⚠",IF($I$3="","",INDEX(인턴계획표[[정규화1]:[정규화6]],$Q440,$I$3)&amp;""),IFERROR(LEFT(IF($I$3="","",INDEX(인턴계획표[[정규화1]:[정규화6]],$Q440,$I$3)&amp;""),FIND(" ",IF($I$3="","",INDEX(인턴계획표[[정규화1]:[정규화6]],$Q440,$I$3)&amp;""))-1),IF($I$3="","",INDEX(인턴계획표[[정규화1]:[정규화6]],$Q440,$I$3)&amp;"")))))</f>
        <v/>
      </c>
      <c r="I440">
        <f>IF($Q440="","",IF(IF($I$3="","",INDEX(인턴계획표[[정규화1]:[정규화6]],$Q440,$I$3)&amp;"")="","",IF(LEFT(IF($I$3="","",INDEX(인턴계획표[[정규화1]:[정규화6]],$Q440,$I$3)&amp;""),1)="⚠","",IFERROR(MID(IF($I$3="","",INDEX(인턴계획표[[정규화1]:[정규화6]],$Q440,$I$3)&amp;""),FIND(" ",IF($I$3="","",INDEX(인턴계획표[[정규화1]:[정규화6]],$Q440,$I$3)&amp;""))+1,60),""))))</f>
        <v/>
      </c>
      <c r="J440">
        <f>IF($Q440="","",INDEX(인턴계획표[정규화1],$Q440))</f>
        <v/>
      </c>
      <c r="K440">
        <f>IF($Q440="","",INDEX(인턴계획표[정규화2],$Q440))</f>
        <v/>
      </c>
      <c r="L440">
        <f>IF($Q440="","",INDEX(인턴계획표[정규화3],$Q440))</f>
        <v/>
      </c>
      <c r="M440">
        <f>IF($Q440="","",INDEX(인턴계획표[정규화4],$Q440))</f>
        <v/>
      </c>
      <c r="N440">
        <f>IF($Q440="","",INDEX(인턴계획표[정규화5],$Q440))</f>
        <v/>
      </c>
      <c r="O440">
        <f>IF($Q440="","",INDEX(인턴계획표[정규화6],$Q440))</f>
        <v/>
      </c>
      <c r="P440">
        <f>IF($Q440="","",INDEX(인턴계획표[입력오류],$Q440))</f>
        <v/>
      </c>
      <c r="Q440" s="17">
        <f>IFERROR(MATCH(435,인턴계획표[표시순번],0),"")</f>
        <v/>
      </c>
    </row>
    <row r="441">
      <c r="A441">
        <f>IF($Q441="","",INDEX(인턴계획표[순번],$Q441)&amp;"")</f>
        <v/>
      </c>
      <c r="B441">
        <f>IF($Q441="","",TRIM(INDEX(인턴계획표[이름],$Q441)&amp;""))</f>
        <v/>
      </c>
      <c r="C441">
        <f>IF($Q441="","",INDEX(인턴계획표[사번],$Q441)&amp;"")</f>
        <v/>
      </c>
      <c r="D441">
        <f>IF($Q441="","",IF(COUNTIF(기본자료표[사번키],INDEX(인턴계획표[사번키],$Q441))&gt;0,"확인","미등록"))</f>
        <v/>
      </c>
      <c r="E441">
        <f>IF($Q441="","",IF(ISNUMBER(INDEX(인턴계획표[입사일(비고)],$Q441)),TEXT(INDEX(인턴계획표[입사일(비고)],$Q441),"yyyy-mm-dd"),INDEX(인턴계획표[입사일(비고)],$Q441)&amp;""))</f>
        <v/>
      </c>
      <c r="F441">
        <f>IF($Q441="","",IF(IF($G$3="","",INDEX(인턴계획표[[정규화1]:[정규화6]],$Q441,$G$3)&amp;"")="","",IF(LEFT(IF($G$3="","",INDEX(인턴계획표[[정규화1]:[정규화6]],$Q441,$G$3)&amp;""),1)="⚠",IF($G$3="","",INDEX(인턴계획표[[정규화1]:[정규화6]],$Q441,$G$3)&amp;""),IFERROR(LEFT(IF($G$3="","",INDEX(인턴계획표[[정규화1]:[정규화6]],$Q441,$G$3)&amp;""),FIND(" ",IF($G$3="","",INDEX(인턴계획표[[정규화1]:[정규화6]],$Q441,$G$3)&amp;""))-1),IF($G$3="","",INDEX(인턴계획표[[정규화1]:[정규화6]],$Q441,$G$3)&amp;"")))))</f>
        <v/>
      </c>
      <c r="G441">
        <f>IF($Q441="","",IF(IF($G$3="","",INDEX(인턴계획표[[정규화1]:[정규화6]],$Q441,$G$3)&amp;"")="","",IF(LEFT(IF($G$3="","",INDEX(인턴계획표[[정규화1]:[정규화6]],$Q441,$G$3)&amp;""),1)="⚠","",IFERROR(MID(IF($G$3="","",INDEX(인턴계획표[[정규화1]:[정규화6]],$Q441,$G$3)&amp;""),FIND(" ",IF($G$3="","",INDEX(인턴계획표[[정규화1]:[정규화6]],$Q441,$G$3)&amp;""))+1,60),""))))</f>
        <v/>
      </c>
      <c r="H441">
        <f>IF($Q441="","",IF(IF($I$3="","",INDEX(인턴계획표[[정규화1]:[정규화6]],$Q441,$I$3)&amp;"")="","",IF(LEFT(IF($I$3="","",INDEX(인턴계획표[[정규화1]:[정규화6]],$Q441,$I$3)&amp;""),1)="⚠",IF($I$3="","",INDEX(인턴계획표[[정규화1]:[정규화6]],$Q441,$I$3)&amp;""),IFERROR(LEFT(IF($I$3="","",INDEX(인턴계획표[[정규화1]:[정규화6]],$Q441,$I$3)&amp;""),FIND(" ",IF($I$3="","",INDEX(인턴계획표[[정규화1]:[정규화6]],$Q441,$I$3)&amp;""))-1),IF($I$3="","",INDEX(인턴계획표[[정규화1]:[정규화6]],$Q441,$I$3)&amp;"")))))</f>
        <v/>
      </c>
      <c r="I441">
        <f>IF($Q441="","",IF(IF($I$3="","",INDEX(인턴계획표[[정규화1]:[정규화6]],$Q441,$I$3)&amp;"")="","",IF(LEFT(IF($I$3="","",INDEX(인턴계획표[[정규화1]:[정규화6]],$Q441,$I$3)&amp;""),1)="⚠","",IFERROR(MID(IF($I$3="","",INDEX(인턴계획표[[정규화1]:[정규화6]],$Q441,$I$3)&amp;""),FIND(" ",IF($I$3="","",INDEX(인턴계획표[[정규화1]:[정규화6]],$Q441,$I$3)&amp;""))+1,60),""))))</f>
        <v/>
      </c>
      <c r="J441">
        <f>IF($Q441="","",INDEX(인턴계획표[정규화1],$Q441))</f>
        <v/>
      </c>
      <c r="K441">
        <f>IF($Q441="","",INDEX(인턴계획표[정규화2],$Q441))</f>
        <v/>
      </c>
      <c r="L441">
        <f>IF($Q441="","",INDEX(인턴계획표[정규화3],$Q441))</f>
        <v/>
      </c>
      <c r="M441">
        <f>IF($Q441="","",INDEX(인턴계획표[정규화4],$Q441))</f>
        <v/>
      </c>
      <c r="N441">
        <f>IF($Q441="","",INDEX(인턴계획표[정규화5],$Q441))</f>
        <v/>
      </c>
      <c r="O441">
        <f>IF($Q441="","",INDEX(인턴계획표[정규화6],$Q441))</f>
        <v/>
      </c>
      <c r="P441">
        <f>IF($Q441="","",INDEX(인턴계획표[입력오류],$Q441))</f>
        <v/>
      </c>
      <c r="Q441" s="17">
        <f>IFERROR(MATCH(436,인턴계획표[표시순번],0),"")</f>
        <v/>
      </c>
    </row>
    <row r="442">
      <c r="A442">
        <f>IF($Q442="","",INDEX(인턴계획표[순번],$Q442)&amp;"")</f>
        <v/>
      </c>
      <c r="B442">
        <f>IF($Q442="","",TRIM(INDEX(인턴계획표[이름],$Q442)&amp;""))</f>
        <v/>
      </c>
      <c r="C442">
        <f>IF($Q442="","",INDEX(인턴계획표[사번],$Q442)&amp;"")</f>
        <v/>
      </c>
      <c r="D442">
        <f>IF($Q442="","",IF(COUNTIF(기본자료표[사번키],INDEX(인턴계획표[사번키],$Q442))&gt;0,"확인","미등록"))</f>
        <v/>
      </c>
      <c r="E442">
        <f>IF($Q442="","",IF(ISNUMBER(INDEX(인턴계획표[입사일(비고)],$Q442)),TEXT(INDEX(인턴계획표[입사일(비고)],$Q442),"yyyy-mm-dd"),INDEX(인턴계획표[입사일(비고)],$Q442)&amp;""))</f>
        <v/>
      </c>
      <c r="F442">
        <f>IF($Q442="","",IF(IF($G$3="","",INDEX(인턴계획표[[정규화1]:[정규화6]],$Q442,$G$3)&amp;"")="","",IF(LEFT(IF($G$3="","",INDEX(인턴계획표[[정규화1]:[정규화6]],$Q442,$G$3)&amp;""),1)="⚠",IF($G$3="","",INDEX(인턴계획표[[정규화1]:[정규화6]],$Q442,$G$3)&amp;""),IFERROR(LEFT(IF($G$3="","",INDEX(인턴계획표[[정규화1]:[정규화6]],$Q442,$G$3)&amp;""),FIND(" ",IF($G$3="","",INDEX(인턴계획표[[정규화1]:[정규화6]],$Q442,$G$3)&amp;""))-1),IF($G$3="","",INDEX(인턴계획표[[정규화1]:[정규화6]],$Q442,$G$3)&amp;"")))))</f>
        <v/>
      </c>
      <c r="G442">
        <f>IF($Q442="","",IF(IF($G$3="","",INDEX(인턴계획표[[정규화1]:[정규화6]],$Q442,$G$3)&amp;"")="","",IF(LEFT(IF($G$3="","",INDEX(인턴계획표[[정규화1]:[정규화6]],$Q442,$G$3)&amp;""),1)="⚠","",IFERROR(MID(IF($G$3="","",INDEX(인턴계획표[[정규화1]:[정규화6]],$Q442,$G$3)&amp;""),FIND(" ",IF($G$3="","",INDEX(인턴계획표[[정규화1]:[정규화6]],$Q442,$G$3)&amp;""))+1,60),""))))</f>
        <v/>
      </c>
      <c r="H442">
        <f>IF($Q442="","",IF(IF($I$3="","",INDEX(인턴계획표[[정규화1]:[정규화6]],$Q442,$I$3)&amp;"")="","",IF(LEFT(IF($I$3="","",INDEX(인턴계획표[[정규화1]:[정규화6]],$Q442,$I$3)&amp;""),1)="⚠",IF($I$3="","",INDEX(인턴계획표[[정규화1]:[정규화6]],$Q442,$I$3)&amp;""),IFERROR(LEFT(IF($I$3="","",INDEX(인턴계획표[[정규화1]:[정규화6]],$Q442,$I$3)&amp;""),FIND(" ",IF($I$3="","",INDEX(인턴계획표[[정규화1]:[정규화6]],$Q442,$I$3)&amp;""))-1),IF($I$3="","",INDEX(인턴계획표[[정규화1]:[정규화6]],$Q442,$I$3)&amp;"")))))</f>
        <v/>
      </c>
      <c r="I442">
        <f>IF($Q442="","",IF(IF($I$3="","",INDEX(인턴계획표[[정규화1]:[정규화6]],$Q442,$I$3)&amp;"")="","",IF(LEFT(IF($I$3="","",INDEX(인턴계획표[[정규화1]:[정규화6]],$Q442,$I$3)&amp;""),1)="⚠","",IFERROR(MID(IF($I$3="","",INDEX(인턴계획표[[정규화1]:[정규화6]],$Q442,$I$3)&amp;""),FIND(" ",IF($I$3="","",INDEX(인턴계획표[[정규화1]:[정규화6]],$Q442,$I$3)&amp;""))+1,60),""))))</f>
        <v/>
      </c>
      <c r="J442">
        <f>IF($Q442="","",INDEX(인턴계획표[정규화1],$Q442))</f>
        <v/>
      </c>
      <c r="K442">
        <f>IF($Q442="","",INDEX(인턴계획표[정규화2],$Q442))</f>
        <v/>
      </c>
      <c r="L442">
        <f>IF($Q442="","",INDEX(인턴계획표[정규화3],$Q442))</f>
        <v/>
      </c>
      <c r="M442">
        <f>IF($Q442="","",INDEX(인턴계획표[정규화4],$Q442))</f>
        <v/>
      </c>
      <c r="N442">
        <f>IF($Q442="","",INDEX(인턴계획표[정규화5],$Q442))</f>
        <v/>
      </c>
      <c r="O442">
        <f>IF($Q442="","",INDEX(인턴계획표[정규화6],$Q442))</f>
        <v/>
      </c>
      <c r="P442">
        <f>IF($Q442="","",INDEX(인턴계획표[입력오류],$Q442))</f>
        <v/>
      </c>
      <c r="Q442" s="17">
        <f>IFERROR(MATCH(437,인턴계획표[표시순번],0),"")</f>
        <v/>
      </c>
    </row>
    <row r="443">
      <c r="A443">
        <f>IF($Q443="","",INDEX(인턴계획표[순번],$Q443)&amp;"")</f>
        <v/>
      </c>
      <c r="B443">
        <f>IF($Q443="","",TRIM(INDEX(인턴계획표[이름],$Q443)&amp;""))</f>
        <v/>
      </c>
      <c r="C443">
        <f>IF($Q443="","",INDEX(인턴계획표[사번],$Q443)&amp;"")</f>
        <v/>
      </c>
      <c r="D443">
        <f>IF($Q443="","",IF(COUNTIF(기본자료표[사번키],INDEX(인턴계획표[사번키],$Q443))&gt;0,"확인","미등록"))</f>
        <v/>
      </c>
      <c r="E443">
        <f>IF($Q443="","",IF(ISNUMBER(INDEX(인턴계획표[입사일(비고)],$Q443)),TEXT(INDEX(인턴계획표[입사일(비고)],$Q443),"yyyy-mm-dd"),INDEX(인턴계획표[입사일(비고)],$Q443)&amp;""))</f>
        <v/>
      </c>
      <c r="F443">
        <f>IF($Q443="","",IF(IF($G$3="","",INDEX(인턴계획표[[정규화1]:[정규화6]],$Q443,$G$3)&amp;"")="","",IF(LEFT(IF($G$3="","",INDEX(인턴계획표[[정규화1]:[정규화6]],$Q443,$G$3)&amp;""),1)="⚠",IF($G$3="","",INDEX(인턴계획표[[정규화1]:[정규화6]],$Q443,$G$3)&amp;""),IFERROR(LEFT(IF($G$3="","",INDEX(인턴계획표[[정규화1]:[정규화6]],$Q443,$G$3)&amp;""),FIND(" ",IF($G$3="","",INDEX(인턴계획표[[정규화1]:[정규화6]],$Q443,$G$3)&amp;""))-1),IF($G$3="","",INDEX(인턴계획표[[정규화1]:[정규화6]],$Q443,$G$3)&amp;"")))))</f>
        <v/>
      </c>
      <c r="G443">
        <f>IF($Q443="","",IF(IF($G$3="","",INDEX(인턴계획표[[정규화1]:[정규화6]],$Q443,$G$3)&amp;"")="","",IF(LEFT(IF($G$3="","",INDEX(인턴계획표[[정규화1]:[정규화6]],$Q443,$G$3)&amp;""),1)="⚠","",IFERROR(MID(IF($G$3="","",INDEX(인턴계획표[[정규화1]:[정규화6]],$Q443,$G$3)&amp;""),FIND(" ",IF($G$3="","",INDEX(인턴계획표[[정규화1]:[정규화6]],$Q443,$G$3)&amp;""))+1,60),""))))</f>
        <v/>
      </c>
      <c r="H443">
        <f>IF($Q443="","",IF(IF($I$3="","",INDEX(인턴계획표[[정규화1]:[정규화6]],$Q443,$I$3)&amp;"")="","",IF(LEFT(IF($I$3="","",INDEX(인턴계획표[[정규화1]:[정규화6]],$Q443,$I$3)&amp;""),1)="⚠",IF($I$3="","",INDEX(인턴계획표[[정규화1]:[정규화6]],$Q443,$I$3)&amp;""),IFERROR(LEFT(IF($I$3="","",INDEX(인턴계획표[[정규화1]:[정규화6]],$Q443,$I$3)&amp;""),FIND(" ",IF($I$3="","",INDEX(인턴계획표[[정규화1]:[정규화6]],$Q443,$I$3)&amp;""))-1),IF($I$3="","",INDEX(인턴계획표[[정규화1]:[정규화6]],$Q443,$I$3)&amp;"")))))</f>
        <v/>
      </c>
      <c r="I443">
        <f>IF($Q443="","",IF(IF($I$3="","",INDEX(인턴계획표[[정규화1]:[정규화6]],$Q443,$I$3)&amp;"")="","",IF(LEFT(IF($I$3="","",INDEX(인턴계획표[[정규화1]:[정규화6]],$Q443,$I$3)&amp;""),1)="⚠","",IFERROR(MID(IF($I$3="","",INDEX(인턴계획표[[정규화1]:[정규화6]],$Q443,$I$3)&amp;""),FIND(" ",IF($I$3="","",INDEX(인턴계획표[[정규화1]:[정규화6]],$Q443,$I$3)&amp;""))+1,60),""))))</f>
        <v/>
      </c>
      <c r="J443">
        <f>IF($Q443="","",INDEX(인턴계획표[정규화1],$Q443))</f>
        <v/>
      </c>
      <c r="K443">
        <f>IF($Q443="","",INDEX(인턴계획표[정규화2],$Q443))</f>
        <v/>
      </c>
      <c r="L443">
        <f>IF($Q443="","",INDEX(인턴계획표[정규화3],$Q443))</f>
        <v/>
      </c>
      <c r="M443">
        <f>IF($Q443="","",INDEX(인턴계획표[정규화4],$Q443))</f>
        <v/>
      </c>
      <c r="N443">
        <f>IF($Q443="","",INDEX(인턴계획표[정규화5],$Q443))</f>
        <v/>
      </c>
      <c r="O443">
        <f>IF($Q443="","",INDEX(인턴계획표[정규화6],$Q443))</f>
        <v/>
      </c>
      <c r="P443">
        <f>IF($Q443="","",INDEX(인턴계획표[입력오류],$Q443))</f>
        <v/>
      </c>
      <c r="Q443" s="17">
        <f>IFERROR(MATCH(438,인턴계획표[표시순번],0),"")</f>
        <v/>
      </c>
    </row>
    <row r="444">
      <c r="A444">
        <f>IF($Q444="","",INDEX(인턴계획표[순번],$Q444)&amp;"")</f>
        <v/>
      </c>
      <c r="B444">
        <f>IF($Q444="","",TRIM(INDEX(인턴계획표[이름],$Q444)&amp;""))</f>
        <v/>
      </c>
      <c r="C444">
        <f>IF($Q444="","",INDEX(인턴계획표[사번],$Q444)&amp;"")</f>
        <v/>
      </c>
      <c r="D444">
        <f>IF($Q444="","",IF(COUNTIF(기본자료표[사번키],INDEX(인턴계획표[사번키],$Q444))&gt;0,"확인","미등록"))</f>
        <v/>
      </c>
      <c r="E444">
        <f>IF($Q444="","",IF(ISNUMBER(INDEX(인턴계획표[입사일(비고)],$Q444)),TEXT(INDEX(인턴계획표[입사일(비고)],$Q444),"yyyy-mm-dd"),INDEX(인턴계획표[입사일(비고)],$Q444)&amp;""))</f>
        <v/>
      </c>
      <c r="F444">
        <f>IF($Q444="","",IF(IF($G$3="","",INDEX(인턴계획표[[정규화1]:[정규화6]],$Q444,$G$3)&amp;"")="","",IF(LEFT(IF($G$3="","",INDEX(인턴계획표[[정규화1]:[정규화6]],$Q444,$G$3)&amp;""),1)="⚠",IF($G$3="","",INDEX(인턴계획표[[정규화1]:[정규화6]],$Q444,$G$3)&amp;""),IFERROR(LEFT(IF($G$3="","",INDEX(인턴계획표[[정규화1]:[정규화6]],$Q444,$G$3)&amp;""),FIND(" ",IF($G$3="","",INDEX(인턴계획표[[정규화1]:[정규화6]],$Q444,$G$3)&amp;""))-1),IF($G$3="","",INDEX(인턴계획표[[정규화1]:[정규화6]],$Q444,$G$3)&amp;"")))))</f>
        <v/>
      </c>
      <c r="G444">
        <f>IF($Q444="","",IF(IF($G$3="","",INDEX(인턴계획표[[정규화1]:[정규화6]],$Q444,$G$3)&amp;"")="","",IF(LEFT(IF($G$3="","",INDEX(인턴계획표[[정규화1]:[정규화6]],$Q444,$G$3)&amp;""),1)="⚠","",IFERROR(MID(IF($G$3="","",INDEX(인턴계획표[[정규화1]:[정규화6]],$Q444,$G$3)&amp;""),FIND(" ",IF($G$3="","",INDEX(인턴계획표[[정규화1]:[정규화6]],$Q444,$G$3)&amp;""))+1,60),""))))</f>
        <v/>
      </c>
      <c r="H444">
        <f>IF($Q444="","",IF(IF($I$3="","",INDEX(인턴계획표[[정규화1]:[정규화6]],$Q444,$I$3)&amp;"")="","",IF(LEFT(IF($I$3="","",INDEX(인턴계획표[[정규화1]:[정규화6]],$Q444,$I$3)&amp;""),1)="⚠",IF($I$3="","",INDEX(인턴계획표[[정규화1]:[정규화6]],$Q444,$I$3)&amp;""),IFERROR(LEFT(IF($I$3="","",INDEX(인턴계획표[[정규화1]:[정규화6]],$Q444,$I$3)&amp;""),FIND(" ",IF($I$3="","",INDEX(인턴계획표[[정규화1]:[정규화6]],$Q444,$I$3)&amp;""))-1),IF($I$3="","",INDEX(인턴계획표[[정규화1]:[정규화6]],$Q444,$I$3)&amp;"")))))</f>
        <v/>
      </c>
      <c r="I444">
        <f>IF($Q444="","",IF(IF($I$3="","",INDEX(인턴계획표[[정규화1]:[정규화6]],$Q444,$I$3)&amp;"")="","",IF(LEFT(IF($I$3="","",INDEX(인턴계획표[[정규화1]:[정규화6]],$Q444,$I$3)&amp;""),1)="⚠","",IFERROR(MID(IF($I$3="","",INDEX(인턴계획표[[정규화1]:[정규화6]],$Q444,$I$3)&amp;""),FIND(" ",IF($I$3="","",INDEX(인턴계획표[[정규화1]:[정규화6]],$Q444,$I$3)&amp;""))+1,60),""))))</f>
        <v/>
      </c>
      <c r="J444">
        <f>IF($Q444="","",INDEX(인턴계획표[정규화1],$Q444))</f>
        <v/>
      </c>
      <c r="K444">
        <f>IF($Q444="","",INDEX(인턴계획표[정규화2],$Q444))</f>
        <v/>
      </c>
      <c r="L444">
        <f>IF($Q444="","",INDEX(인턴계획표[정규화3],$Q444))</f>
        <v/>
      </c>
      <c r="M444">
        <f>IF($Q444="","",INDEX(인턴계획표[정규화4],$Q444))</f>
        <v/>
      </c>
      <c r="N444">
        <f>IF($Q444="","",INDEX(인턴계획표[정규화5],$Q444))</f>
        <v/>
      </c>
      <c r="O444">
        <f>IF($Q444="","",INDEX(인턴계획표[정규화6],$Q444))</f>
        <v/>
      </c>
      <c r="P444">
        <f>IF($Q444="","",INDEX(인턴계획표[입력오류],$Q444))</f>
        <v/>
      </c>
      <c r="Q444" s="17">
        <f>IFERROR(MATCH(439,인턴계획표[표시순번],0),"")</f>
        <v/>
      </c>
    </row>
    <row r="445">
      <c r="A445">
        <f>IF($Q445="","",INDEX(인턴계획표[순번],$Q445)&amp;"")</f>
        <v/>
      </c>
      <c r="B445">
        <f>IF($Q445="","",TRIM(INDEX(인턴계획표[이름],$Q445)&amp;""))</f>
        <v/>
      </c>
      <c r="C445">
        <f>IF($Q445="","",INDEX(인턴계획표[사번],$Q445)&amp;"")</f>
        <v/>
      </c>
      <c r="D445">
        <f>IF($Q445="","",IF(COUNTIF(기본자료표[사번키],INDEX(인턴계획표[사번키],$Q445))&gt;0,"확인","미등록"))</f>
        <v/>
      </c>
      <c r="E445">
        <f>IF($Q445="","",IF(ISNUMBER(INDEX(인턴계획표[입사일(비고)],$Q445)),TEXT(INDEX(인턴계획표[입사일(비고)],$Q445),"yyyy-mm-dd"),INDEX(인턴계획표[입사일(비고)],$Q445)&amp;""))</f>
        <v/>
      </c>
      <c r="F445">
        <f>IF($Q445="","",IF(IF($G$3="","",INDEX(인턴계획표[[정규화1]:[정규화6]],$Q445,$G$3)&amp;"")="","",IF(LEFT(IF($G$3="","",INDEX(인턴계획표[[정규화1]:[정규화6]],$Q445,$G$3)&amp;""),1)="⚠",IF($G$3="","",INDEX(인턴계획표[[정규화1]:[정규화6]],$Q445,$G$3)&amp;""),IFERROR(LEFT(IF($G$3="","",INDEX(인턴계획표[[정규화1]:[정규화6]],$Q445,$G$3)&amp;""),FIND(" ",IF($G$3="","",INDEX(인턴계획표[[정규화1]:[정규화6]],$Q445,$G$3)&amp;""))-1),IF($G$3="","",INDEX(인턴계획표[[정규화1]:[정규화6]],$Q445,$G$3)&amp;"")))))</f>
        <v/>
      </c>
      <c r="G445">
        <f>IF($Q445="","",IF(IF($G$3="","",INDEX(인턴계획표[[정규화1]:[정규화6]],$Q445,$G$3)&amp;"")="","",IF(LEFT(IF($G$3="","",INDEX(인턴계획표[[정규화1]:[정규화6]],$Q445,$G$3)&amp;""),1)="⚠","",IFERROR(MID(IF($G$3="","",INDEX(인턴계획표[[정규화1]:[정규화6]],$Q445,$G$3)&amp;""),FIND(" ",IF($G$3="","",INDEX(인턴계획표[[정규화1]:[정규화6]],$Q445,$G$3)&amp;""))+1,60),""))))</f>
        <v/>
      </c>
      <c r="H445">
        <f>IF($Q445="","",IF(IF($I$3="","",INDEX(인턴계획표[[정규화1]:[정규화6]],$Q445,$I$3)&amp;"")="","",IF(LEFT(IF($I$3="","",INDEX(인턴계획표[[정규화1]:[정규화6]],$Q445,$I$3)&amp;""),1)="⚠",IF($I$3="","",INDEX(인턴계획표[[정규화1]:[정규화6]],$Q445,$I$3)&amp;""),IFERROR(LEFT(IF($I$3="","",INDEX(인턴계획표[[정규화1]:[정규화6]],$Q445,$I$3)&amp;""),FIND(" ",IF($I$3="","",INDEX(인턴계획표[[정규화1]:[정규화6]],$Q445,$I$3)&amp;""))-1),IF($I$3="","",INDEX(인턴계획표[[정규화1]:[정규화6]],$Q445,$I$3)&amp;"")))))</f>
        <v/>
      </c>
      <c r="I445">
        <f>IF($Q445="","",IF(IF($I$3="","",INDEX(인턴계획표[[정규화1]:[정규화6]],$Q445,$I$3)&amp;"")="","",IF(LEFT(IF($I$3="","",INDEX(인턴계획표[[정규화1]:[정규화6]],$Q445,$I$3)&amp;""),1)="⚠","",IFERROR(MID(IF($I$3="","",INDEX(인턴계획표[[정규화1]:[정규화6]],$Q445,$I$3)&amp;""),FIND(" ",IF($I$3="","",INDEX(인턴계획표[[정규화1]:[정규화6]],$Q445,$I$3)&amp;""))+1,60),""))))</f>
        <v/>
      </c>
      <c r="J445">
        <f>IF($Q445="","",INDEX(인턴계획표[정규화1],$Q445))</f>
        <v/>
      </c>
      <c r="K445">
        <f>IF($Q445="","",INDEX(인턴계획표[정규화2],$Q445))</f>
        <v/>
      </c>
      <c r="L445">
        <f>IF($Q445="","",INDEX(인턴계획표[정규화3],$Q445))</f>
        <v/>
      </c>
      <c r="M445">
        <f>IF($Q445="","",INDEX(인턴계획표[정규화4],$Q445))</f>
        <v/>
      </c>
      <c r="N445">
        <f>IF($Q445="","",INDEX(인턴계획표[정규화5],$Q445))</f>
        <v/>
      </c>
      <c r="O445">
        <f>IF($Q445="","",INDEX(인턴계획표[정규화6],$Q445))</f>
        <v/>
      </c>
      <c r="P445">
        <f>IF($Q445="","",INDEX(인턴계획표[입력오류],$Q445))</f>
        <v/>
      </c>
      <c r="Q445" s="17">
        <f>IFERROR(MATCH(440,인턴계획표[표시순번],0),"")</f>
        <v/>
      </c>
    </row>
    <row r="446">
      <c r="A446">
        <f>IF($Q446="","",INDEX(인턴계획표[순번],$Q446)&amp;"")</f>
        <v/>
      </c>
      <c r="B446">
        <f>IF($Q446="","",TRIM(INDEX(인턴계획표[이름],$Q446)&amp;""))</f>
        <v/>
      </c>
      <c r="C446">
        <f>IF($Q446="","",INDEX(인턴계획표[사번],$Q446)&amp;"")</f>
        <v/>
      </c>
      <c r="D446">
        <f>IF($Q446="","",IF(COUNTIF(기본자료표[사번키],INDEX(인턴계획표[사번키],$Q446))&gt;0,"확인","미등록"))</f>
        <v/>
      </c>
      <c r="E446">
        <f>IF($Q446="","",IF(ISNUMBER(INDEX(인턴계획표[입사일(비고)],$Q446)),TEXT(INDEX(인턴계획표[입사일(비고)],$Q446),"yyyy-mm-dd"),INDEX(인턴계획표[입사일(비고)],$Q446)&amp;""))</f>
        <v/>
      </c>
      <c r="F446">
        <f>IF($Q446="","",IF(IF($G$3="","",INDEX(인턴계획표[[정규화1]:[정규화6]],$Q446,$G$3)&amp;"")="","",IF(LEFT(IF($G$3="","",INDEX(인턴계획표[[정규화1]:[정규화6]],$Q446,$G$3)&amp;""),1)="⚠",IF($G$3="","",INDEX(인턴계획표[[정규화1]:[정규화6]],$Q446,$G$3)&amp;""),IFERROR(LEFT(IF($G$3="","",INDEX(인턴계획표[[정규화1]:[정규화6]],$Q446,$G$3)&amp;""),FIND(" ",IF($G$3="","",INDEX(인턴계획표[[정규화1]:[정규화6]],$Q446,$G$3)&amp;""))-1),IF($G$3="","",INDEX(인턴계획표[[정규화1]:[정규화6]],$Q446,$G$3)&amp;"")))))</f>
        <v/>
      </c>
      <c r="G446">
        <f>IF($Q446="","",IF(IF($G$3="","",INDEX(인턴계획표[[정규화1]:[정규화6]],$Q446,$G$3)&amp;"")="","",IF(LEFT(IF($G$3="","",INDEX(인턴계획표[[정규화1]:[정규화6]],$Q446,$G$3)&amp;""),1)="⚠","",IFERROR(MID(IF($G$3="","",INDEX(인턴계획표[[정규화1]:[정규화6]],$Q446,$G$3)&amp;""),FIND(" ",IF($G$3="","",INDEX(인턴계획표[[정규화1]:[정규화6]],$Q446,$G$3)&amp;""))+1,60),""))))</f>
        <v/>
      </c>
      <c r="H446">
        <f>IF($Q446="","",IF(IF($I$3="","",INDEX(인턴계획표[[정규화1]:[정규화6]],$Q446,$I$3)&amp;"")="","",IF(LEFT(IF($I$3="","",INDEX(인턴계획표[[정규화1]:[정규화6]],$Q446,$I$3)&amp;""),1)="⚠",IF($I$3="","",INDEX(인턴계획표[[정규화1]:[정규화6]],$Q446,$I$3)&amp;""),IFERROR(LEFT(IF($I$3="","",INDEX(인턴계획표[[정규화1]:[정규화6]],$Q446,$I$3)&amp;""),FIND(" ",IF($I$3="","",INDEX(인턴계획표[[정규화1]:[정규화6]],$Q446,$I$3)&amp;""))-1),IF($I$3="","",INDEX(인턴계획표[[정규화1]:[정규화6]],$Q446,$I$3)&amp;"")))))</f>
        <v/>
      </c>
      <c r="I446">
        <f>IF($Q446="","",IF(IF($I$3="","",INDEX(인턴계획표[[정규화1]:[정규화6]],$Q446,$I$3)&amp;"")="","",IF(LEFT(IF($I$3="","",INDEX(인턴계획표[[정규화1]:[정규화6]],$Q446,$I$3)&amp;""),1)="⚠","",IFERROR(MID(IF($I$3="","",INDEX(인턴계획표[[정규화1]:[정규화6]],$Q446,$I$3)&amp;""),FIND(" ",IF($I$3="","",INDEX(인턴계획표[[정규화1]:[정규화6]],$Q446,$I$3)&amp;""))+1,60),""))))</f>
        <v/>
      </c>
      <c r="J446">
        <f>IF($Q446="","",INDEX(인턴계획표[정규화1],$Q446))</f>
        <v/>
      </c>
      <c r="K446">
        <f>IF($Q446="","",INDEX(인턴계획표[정규화2],$Q446))</f>
        <v/>
      </c>
      <c r="L446">
        <f>IF($Q446="","",INDEX(인턴계획표[정규화3],$Q446))</f>
        <v/>
      </c>
      <c r="M446">
        <f>IF($Q446="","",INDEX(인턴계획표[정규화4],$Q446))</f>
        <v/>
      </c>
      <c r="N446">
        <f>IF($Q446="","",INDEX(인턴계획표[정규화5],$Q446))</f>
        <v/>
      </c>
      <c r="O446">
        <f>IF($Q446="","",INDEX(인턴계획표[정규화6],$Q446))</f>
        <v/>
      </c>
      <c r="P446">
        <f>IF($Q446="","",INDEX(인턴계획표[입력오류],$Q446))</f>
        <v/>
      </c>
      <c r="Q446" s="17">
        <f>IFERROR(MATCH(441,인턴계획표[표시순번],0),"")</f>
        <v/>
      </c>
    </row>
    <row r="447">
      <c r="A447">
        <f>IF($Q447="","",INDEX(인턴계획표[순번],$Q447)&amp;"")</f>
        <v/>
      </c>
      <c r="B447">
        <f>IF($Q447="","",TRIM(INDEX(인턴계획표[이름],$Q447)&amp;""))</f>
        <v/>
      </c>
      <c r="C447">
        <f>IF($Q447="","",INDEX(인턴계획표[사번],$Q447)&amp;"")</f>
        <v/>
      </c>
      <c r="D447">
        <f>IF($Q447="","",IF(COUNTIF(기본자료표[사번키],INDEX(인턴계획표[사번키],$Q447))&gt;0,"확인","미등록"))</f>
        <v/>
      </c>
      <c r="E447">
        <f>IF($Q447="","",IF(ISNUMBER(INDEX(인턴계획표[입사일(비고)],$Q447)),TEXT(INDEX(인턴계획표[입사일(비고)],$Q447),"yyyy-mm-dd"),INDEX(인턴계획표[입사일(비고)],$Q447)&amp;""))</f>
        <v/>
      </c>
      <c r="F447">
        <f>IF($Q447="","",IF(IF($G$3="","",INDEX(인턴계획표[[정규화1]:[정규화6]],$Q447,$G$3)&amp;"")="","",IF(LEFT(IF($G$3="","",INDEX(인턴계획표[[정규화1]:[정규화6]],$Q447,$G$3)&amp;""),1)="⚠",IF($G$3="","",INDEX(인턴계획표[[정규화1]:[정규화6]],$Q447,$G$3)&amp;""),IFERROR(LEFT(IF($G$3="","",INDEX(인턴계획표[[정규화1]:[정규화6]],$Q447,$G$3)&amp;""),FIND(" ",IF($G$3="","",INDEX(인턴계획표[[정규화1]:[정규화6]],$Q447,$G$3)&amp;""))-1),IF($G$3="","",INDEX(인턴계획표[[정규화1]:[정규화6]],$Q447,$G$3)&amp;"")))))</f>
        <v/>
      </c>
      <c r="G447">
        <f>IF($Q447="","",IF(IF($G$3="","",INDEX(인턴계획표[[정규화1]:[정규화6]],$Q447,$G$3)&amp;"")="","",IF(LEFT(IF($G$3="","",INDEX(인턴계획표[[정규화1]:[정규화6]],$Q447,$G$3)&amp;""),1)="⚠","",IFERROR(MID(IF($G$3="","",INDEX(인턴계획표[[정규화1]:[정규화6]],$Q447,$G$3)&amp;""),FIND(" ",IF($G$3="","",INDEX(인턴계획표[[정규화1]:[정규화6]],$Q447,$G$3)&amp;""))+1,60),""))))</f>
        <v/>
      </c>
      <c r="H447">
        <f>IF($Q447="","",IF(IF($I$3="","",INDEX(인턴계획표[[정규화1]:[정규화6]],$Q447,$I$3)&amp;"")="","",IF(LEFT(IF($I$3="","",INDEX(인턴계획표[[정규화1]:[정규화6]],$Q447,$I$3)&amp;""),1)="⚠",IF($I$3="","",INDEX(인턴계획표[[정규화1]:[정규화6]],$Q447,$I$3)&amp;""),IFERROR(LEFT(IF($I$3="","",INDEX(인턴계획표[[정규화1]:[정규화6]],$Q447,$I$3)&amp;""),FIND(" ",IF($I$3="","",INDEX(인턴계획표[[정규화1]:[정규화6]],$Q447,$I$3)&amp;""))-1),IF($I$3="","",INDEX(인턴계획표[[정규화1]:[정규화6]],$Q447,$I$3)&amp;"")))))</f>
        <v/>
      </c>
      <c r="I447">
        <f>IF($Q447="","",IF(IF($I$3="","",INDEX(인턴계획표[[정규화1]:[정규화6]],$Q447,$I$3)&amp;"")="","",IF(LEFT(IF($I$3="","",INDEX(인턴계획표[[정규화1]:[정규화6]],$Q447,$I$3)&amp;""),1)="⚠","",IFERROR(MID(IF($I$3="","",INDEX(인턴계획표[[정규화1]:[정규화6]],$Q447,$I$3)&amp;""),FIND(" ",IF($I$3="","",INDEX(인턴계획표[[정규화1]:[정규화6]],$Q447,$I$3)&amp;""))+1,60),""))))</f>
        <v/>
      </c>
      <c r="J447">
        <f>IF($Q447="","",INDEX(인턴계획표[정규화1],$Q447))</f>
        <v/>
      </c>
      <c r="K447">
        <f>IF($Q447="","",INDEX(인턴계획표[정규화2],$Q447))</f>
        <v/>
      </c>
      <c r="L447">
        <f>IF($Q447="","",INDEX(인턴계획표[정규화3],$Q447))</f>
        <v/>
      </c>
      <c r="M447">
        <f>IF($Q447="","",INDEX(인턴계획표[정규화4],$Q447))</f>
        <v/>
      </c>
      <c r="N447">
        <f>IF($Q447="","",INDEX(인턴계획표[정규화5],$Q447))</f>
        <v/>
      </c>
      <c r="O447">
        <f>IF($Q447="","",INDEX(인턴계획표[정규화6],$Q447))</f>
        <v/>
      </c>
      <c r="P447">
        <f>IF($Q447="","",INDEX(인턴계획표[입력오류],$Q447))</f>
        <v/>
      </c>
      <c r="Q447" s="17">
        <f>IFERROR(MATCH(442,인턴계획표[표시순번],0),"")</f>
        <v/>
      </c>
    </row>
    <row r="448">
      <c r="A448">
        <f>IF($Q448="","",INDEX(인턴계획표[순번],$Q448)&amp;"")</f>
        <v/>
      </c>
      <c r="B448">
        <f>IF($Q448="","",TRIM(INDEX(인턴계획표[이름],$Q448)&amp;""))</f>
        <v/>
      </c>
      <c r="C448">
        <f>IF($Q448="","",INDEX(인턴계획표[사번],$Q448)&amp;"")</f>
        <v/>
      </c>
      <c r="D448">
        <f>IF($Q448="","",IF(COUNTIF(기본자료표[사번키],INDEX(인턴계획표[사번키],$Q448))&gt;0,"확인","미등록"))</f>
        <v/>
      </c>
      <c r="E448">
        <f>IF($Q448="","",IF(ISNUMBER(INDEX(인턴계획표[입사일(비고)],$Q448)),TEXT(INDEX(인턴계획표[입사일(비고)],$Q448),"yyyy-mm-dd"),INDEX(인턴계획표[입사일(비고)],$Q448)&amp;""))</f>
        <v/>
      </c>
      <c r="F448">
        <f>IF($Q448="","",IF(IF($G$3="","",INDEX(인턴계획표[[정규화1]:[정규화6]],$Q448,$G$3)&amp;"")="","",IF(LEFT(IF($G$3="","",INDEX(인턴계획표[[정규화1]:[정규화6]],$Q448,$G$3)&amp;""),1)="⚠",IF($G$3="","",INDEX(인턴계획표[[정규화1]:[정규화6]],$Q448,$G$3)&amp;""),IFERROR(LEFT(IF($G$3="","",INDEX(인턴계획표[[정규화1]:[정규화6]],$Q448,$G$3)&amp;""),FIND(" ",IF($G$3="","",INDEX(인턴계획표[[정규화1]:[정규화6]],$Q448,$G$3)&amp;""))-1),IF($G$3="","",INDEX(인턴계획표[[정규화1]:[정규화6]],$Q448,$G$3)&amp;"")))))</f>
        <v/>
      </c>
      <c r="G448">
        <f>IF($Q448="","",IF(IF($G$3="","",INDEX(인턴계획표[[정규화1]:[정규화6]],$Q448,$G$3)&amp;"")="","",IF(LEFT(IF($G$3="","",INDEX(인턴계획표[[정규화1]:[정규화6]],$Q448,$G$3)&amp;""),1)="⚠","",IFERROR(MID(IF($G$3="","",INDEX(인턴계획표[[정규화1]:[정규화6]],$Q448,$G$3)&amp;""),FIND(" ",IF($G$3="","",INDEX(인턴계획표[[정규화1]:[정규화6]],$Q448,$G$3)&amp;""))+1,60),""))))</f>
        <v/>
      </c>
      <c r="H448">
        <f>IF($Q448="","",IF(IF($I$3="","",INDEX(인턴계획표[[정규화1]:[정규화6]],$Q448,$I$3)&amp;"")="","",IF(LEFT(IF($I$3="","",INDEX(인턴계획표[[정규화1]:[정규화6]],$Q448,$I$3)&amp;""),1)="⚠",IF($I$3="","",INDEX(인턴계획표[[정규화1]:[정규화6]],$Q448,$I$3)&amp;""),IFERROR(LEFT(IF($I$3="","",INDEX(인턴계획표[[정규화1]:[정규화6]],$Q448,$I$3)&amp;""),FIND(" ",IF($I$3="","",INDEX(인턴계획표[[정규화1]:[정규화6]],$Q448,$I$3)&amp;""))-1),IF($I$3="","",INDEX(인턴계획표[[정규화1]:[정규화6]],$Q448,$I$3)&amp;"")))))</f>
        <v/>
      </c>
      <c r="I448">
        <f>IF($Q448="","",IF(IF($I$3="","",INDEX(인턴계획표[[정규화1]:[정규화6]],$Q448,$I$3)&amp;"")="","",IF(LEFT(IF($I$3="","",INDEX(인턴계획표[[정규화1]:[정규화6]],$Q448,$I$3)&amp;""),1)="⚠","",IFERROR(MID(IF($I$3="","",INDEX(인턴계획표[[정규화1]:[정규화6]],$Q448,$I$3)&amp;""),FIND(" ",IF($I$3="","",INDEX(인턴계획표[[정규화1]:[정규화6]],$Q448,$I$3)&amp;""))+1,60),""))))</f>
        <v/>
      </c>
      <c r="J448">
        <f>IF($Q448="","",INDEX(인턴계획표[정규화1],$Q448))</f>
        <v/>
      </c>
      <c r="K448">
        <f>IF($Q448="","",INDEX(인턴계획표[정규화2],$Q448))</f>
        <v/>
      </c>
      <c r="L448">
        <f>IF($Q448="","",INDEX(인턴계획표[정규화3],$Q448))</f>
        <v/>
      </c>
      <c r="M448">
        <f>IF($Q448="","",INDEX(인턴계획표[정규화4],$Q448))</f>
        <v/>
      </c>
      <c r="N448">
        <f>IF($Q448="","",INDEX(인턴계획표[정규화5],$Q448))</f>
        <v/>
      </c>
      <c r="O448">
        <f>IF($Q448="","",INDEX(인턴계획표[정규화6],$Q448))</f>
        <v/>
      </c>
      <c r="P448">
        <f>IF($Q448="","",INDEX(인턴계획표[입력오류],$Q448))</f>
        <v/>
      </c>
      <c r="Q448" s="17">
        <f>IFERROR(MATCH(443,인턴계획표[표시순번],0),"")</f>
        <v/>
      </c>
    </row>
    <row r="449">
      <c r="A449">
        <f>IF($Q449="","",INDEX(인턴계획표[순번],$Q449)&amp;"")</f>
        <v/>
      </c>
      <c r="B449">
        <f>IF($Q449="","",TRIM(INDEX(인턴계획표[이름],$Q449)&amp;""))</f>
        <v/>
      </c>
      <c r="C449">
        <f>IF($Q449="","",INDEX(인턴계획표[사번],$Q449)&amp;"")</f>
        <v/>
      </c>
      <c r="D449">
        <f>IF($Q449="","",IF(COUNTIF(기본자료표[사번키],INDEX(인턴계획표[사번키],$Q449))&gt;0,"확인","미등록"))</f>
        <v/>
      </c>
      <c r="E449">
        <f>IF($Q449="","",IF(ISNUMBER(INDEX(인턴계획표[입사일(비고)],$Q449)),TEXT(INDEX(인턴계획표[입사일(비고)],$Q449),"yyyy-mm-dd"),INDEX(인턴계획표[입사일(비고)],$Q449)&amp;""))</f>
        <v/>
      </c>
      <c r="F449">
        <f>IF($Q449="","",IF(IF($G$3="","",INDEX(인턴계획표[[정규화1]:[정규화6]],$Q449,$G$3)&amp;"")="","",IF(LEFT(IF($G$3="","",INDEX(인턴계획표[[정규화1]:[정규화6]],$Q449,$G$3)&amp;""),1)="⚠",IF($G$3="","",INDEX(인턴계획표[[정규화1]:[정규화6]],$Q449,$G$3)&amp;""),IFERROR(LEFT(IF($G$3="","",INDEX(인턴계획표[[정규화1]:[정규화6]],$Q449,$G$3)&amp;""),FIND(" ",IF($G$3="","",INDEX(인턴계획표[[정규화1]:[정규화6]],$Q449,$G$3)&amp;""))-1),IF($G$3="","",INDEX(인턴계획표[[정규화1]:[정규화6]],$Q449,$G$3)&amp;"")))))</f>
        <v/>
      </c>
      <c r="G449">
        <f>IF($Q449="","",IF(IF($G$3="","",INDEX(인턴계획표[[정규화1]:[정규화6]],$Q449,$G$3)&amp;"")="","",IF(LEFT(IF($G$3="","",INDEX(인턴계획표[[정규화1]:[정규화6]],$Q449,$G$3)&amp;""),1)="⚠","",IFERROR(MID(IF($G$3="","",INDEX(인턴계획표[[정규화1]:[정규화6]],$Q449,$G$3)&amp;""),FIND(" ",IF($G$3="","",INDEX(인턴계획표[[정규화1]:[정규화6]],$Q449,$G$3)&amp;""))+1,60),""))))</f>
        <v/>
      </c>
      <c r="H449">
        <f>IF($Q449="","",IF(IF($I$3="","",INDEX(인턴계획표[[정규화1]:[정규화6]],$Q449,$I$3)&amp;"")="","",IF(LEFT(IF($I$3="","",INDEX(인턴계획표[[정규화1]:[정규화6]],$Q449,$I$3)&amp;""),1)="⚠",IF($I$3="","",INDEX(인턴계획표[[정규화1]:[정규화6]],$Q449,$I$3)&amp;""),IFERROR(LEFT(IF($I$3="","",INDEX(인턴계획표[[정규화1]:[정규화6]],$Q449,$I$3)&amp;""),FIND(" ",IF($I$3="","",INDEX(인턴계획표[[정규화1]:[정규화6]],$Q449,$I$3)&amp;""))-1),IF($I$3="","",INDEX(인턴계획표[[정규화1]:[정규화6]],$Q449,$I$3)&amp;"")))))</f>
        <v/>
      </c>
      <c r="I449">
        <f>IF($Q449="","",IF(IF($I$3="","",INDEX(인턴계획표[[정규화1]:[정규화6]],$Q449,$I$3)&amp;"")="","",IF(LEFT(IF($I$3="","",INDEX(인턴계획표[[정규화1]:[정규화6]],$Q449,$I$3)&amp;""),1)="⚠","",IFERROR(MID(IF($I$3="","",INDEX(인턴계획표[[정규화1]:[정규화6]],$Q449,$I$3)&amp;""),FIND(" ",IF($I$3="","",INDEX(인턴계획표[[정규화1]:[정규화6]],$Q449,$I$3)&amp;""))+1,60),""))))</f>
        <v/>
      </c>
      <c r="J449">
        <f>IF($Q449="","",INDEX(인턴계획표[정규화1],$Q449))</f>
        <v/>
      </c>
      <c r="K449">
        <f>IF($Q449="","",INDEX(인턴계획표[정규화2],$Q449))</f>
        <v/>
      </c>
      <c r="L449">
        <f>IF($Q449="","",INDEX(인턴계획표[정규화3],$Q449))</f>
        <v/>
      </c>
      <c r="M449">
        <f>IF($Q449="","",INDEX(인턴계획표[정규화4],$Q449))</f>
        <v/>
      </c>
      <c r="N449">
        <f>IF($Q449="","",INDEX(인턴계획표[정규화5],$Q449))</f>
        <v/>
      </c>
      <c r="O449">
        <f>IF($Q449="","",INDEX(인턴계획표[정규화6],$Q449))</f>
        <v/>
      </c>
      <c r="P449">
        <f>IF($Q449="","",INDEX(인턴계획표[입력오류],$Q449))</f>
        <v/>
      </c>
      <c r="Q449" s="17">
        <f>IFERROR(MATCH(444,인턴계획표[표시순번],0),"")</f>
        <v/>
      </c>
    </row>
    <row r="450">
      <c r="A450">
        <f>IF($Q450="","",INDEX(인턴계획표[순번],$Q450)&amp;"")</f>
        <v/>
      </c>
      <c r="B450">
        <f>IF($Q450="","",TRIM(INDEX(인턴계획표[이름],$Q450)&amp;""))</f>
        <v/>
      </c>
      <c r="C450">
        <f>IF($Q450="","",INDEX(인턴계획표[사번],$Q450)&amp;"")</f>
        <v/>
      </c>
      <c r="D450">
        <f>IF($Q450="","",IF(COUNTIF(기본자료표[사번키],INDEX(인턴계획표[사번키],$Q450))&gt;0,"확인","미등록"))</f>
        <v/>
      </c>
      <c r="E450">
        <f>IF($Q450="","",IF(ISNUMBER(INDEX(인턴계획표[입사일(비고)],$Q450)),TEXT(INDEX(인턴계획표[입사일(비고)],$Q450),"yyyy-mm-dd"),INDEX(인턴계획표[입사일(비고)],$Q450)&amp;""))</f>
        <v/>
      </c>
      <c r="F450">
        <f>IF($Q450="","",IF(IF($G$3="","",INDEX(인턴계획표[[정규화1]:[정규화6]],$Q450,$G$3)&amp;"")="","",IF(LEFT(IF($G$3="","",INDEX(인턴계획표[[정규화1]:[정규화6]],$Q450,$G$3)&amp;""),1)="⚠",IF($G$3="","",INDEX(인턴계획표[[정규화1]:[정규화6]],$Q450,$G$3)&amp;""),IFERROR(LEFT(IF($G$3="","",INDEX(인턴계획표[[정규화1]:[정규화6]],$Q450,$G$3)&amp;""),FIND(" ",IF($G$3="","",INDEX(인턴계획표[[정규화1]:[정규화6]],$Q450,$G$3)&amp;""))-1),IF($G$3="","",INDEX(인턴계획표[[정규화1]:[정규화6]],$Q450,$G$3)&amp;"")))))</f>
        <v/>
      </c>
      <c r="G450">
        <f>IF($Q450="","",IF(IF($G$3="","",INDEX(인턴계획표[[정규화1]:[정규화6]],$Q450,$G$3)&amp;"")="","",IF(LEFT(IF($G$3="","",INDEX(인턴계획표[[정규화1]:[정규화6]],$Q450,$G$3)&amp;""),1)="⚠","",IFERROR(MID(IF($G$3="","",INDEX(인턴계획표[[정규화1]:[정규화6]],$Q450,$G$3)&amp;""),FIND(" ",IF($G$3="","",INDEX(인턴계획표[[정규화1]:[정규화6]],$Q450,$G$3)&amp;""))+1,60),""))))</f>
        <v/>
      </c>
      <c r="H450">
        <f>IF($Q450="","",IF(IF($I$3="","",INDEX(인턴계획표[[정규화1]:[정규화6]],$Q450,$I$3)&amp;"")="","",IF(LEFT(IF($I$3="","",INDEX(인턴계획표[[정규화1]:[정규화6]],$Q450,$I$3)&amp;""),1)="⚠",IF($I$3="","",INDEX(인턴계획표[[정규화1]:[정규화6]],$Q450,$I$3)&amp;""),IFERROR(LEFT(IF($I$3="","",INDEX(인턴계획표[[정규화1]:[정규화6]],$Q450,$I$3)&amp;""),FIND(" ",IF($I$3="","",INDEX(인턴계획표[[정규화1]:[정규화6]],$Q450,$I$3)&amp;""))-1),IF($I$3="","",INDEX(인턴계획표[[정규화1]:[정규화6]],$Q450,$I$3)&amp;"")))))</f>
        <v/>
      </c>
      <c r="I450">
        <f>IF($Q450="","",IF(IF($I$3="","",INDEX(인턴계획표[[정규화1]:[정규화6]],$Q450,$I$3)&amp;"")="","",IF(LEFT(IF($I$3="","",INDEX(인턴계획표[[정규화1]:[정규화6]],$Q450,$I$3)&amp;""),1)="⚠","",IFERROR(MID(IF($I$3="","",INDEX(인턴계획표[[정규화1]:[정규화6]],$Q450,$I$3)&amp;""),FIND(" ",IF($I$3="","",INDEX(인턴계획표[[정규화1]:[정규화6]],$Q450,$I$3)&amp;""))+1,60),""))))</f>
        <v/>
      </c>
      <c r="J450">
        <f>IF($Q450="","",INDEX(인턴계획표[정규화1],$Q450))</f>
        <v/>
      </c>
      <c r="K450">
        <f>IF($Q450="","",INDEX(인턴계획표[정규화2],$Q450))</f>
        <v/>
      </c>
      <c r="L450">
        <f>IF($Q450="","",INDEX(인턴계획표[정규화3],$Q450))</f>
        <v/>
      </c>
      <c r="M450">
        <f>IF($Q450="","",INDEX(인턴계획표[정규화4],$Q450))</f>
        <v/>
      </c>
      <c r="N450">
        <f>IF($Q450="","",INDEX(인턴계획표[정규화5],$Q450))</f>
        <v/>
      </c>
      <c r="O450">
        <f>IF($Q450="","",INDEX(인턴계획표[정규화6],$Q450))</f>
        <v/>
      </c>
      <c r="P450">
        <f>IF($Q450="","",INDEX(인턴계획표[입력오류],$Q450))</f>
        <v/>
      </c>
      <c r="Q450" s="17">
        <f>IFERROR(MATCH(445,인턴계획표[표시순번],0),"")</f>
        <v/>
      </c>
    </row>
    <row r="451">
      <c r="A451">
        <f>IF($Q451="","",INDEX(인턴계획표[순번],$Q451)&amp;"")</f>
        <v/>
      </c>
      <c r="B451">
        <f>IF($Q451="","",TRIM(INDEX(인턴계획표[이름],$Q451)&amp;""))</f>
        <v/>
      </c>
      <c r="C451">
        <f>IF($Q451="","",INDEX(인턴계획표[사번],$Q451)&amp;"")</f>
        <v/>
      </c>
      <c r="D451">
        <f>IF($Q451="","",IF(COUNTIF(기본자료표[사번키],INDEX(인턴계획표[사번키],$Q451))&gt;0,"확인","미등록"))</f>
        <v/>
      </c>
      <c r="E451">
        <f>IF($Q451="","",IF(ISNUMBER(INDEX(인턴계획표[입사일(비고)],$Q451)),TEXT(INDEX(인턴계획표[입사일(비고)],$Q451),"yyyy-mm-dd"),INDEX(인턴계획표[입사일(비고)],$Q451)&amp;""))</f>
        <v/>
      </c>
      <c r="F451">
        <f>IF($Q451="","",IF(IF($G$3="","",INDEX(인턴계획표[[정규화1]:[정규화6]],$Q451,$G$3)&amp;"")="","",IF(LEFT(IF($G$3="","",INDEX(인턴계획표[[정규화1]:[정규화6]],$Q451,$G$3)&amp;""),1)="⚠",IF($G$3="","",INDEX(인턴계획표[[정규화1]:[정규화6]],$Q451,$G$3)&amp;""),IFERROR(LEFT(IF($G$3="","",INDEX(인턴계획표[[정규화1]:[정규화6]],$Q451,$G$3)&amp;""),FIND(" ",IF($G$3="","",INDEX(인턴계획표[[정규화1]:[정규화6]],$Q451,$G$3)&amp;""))-1),IF($G$3="","",INDEX(인턴계획표[[정규화1]:[정규화6]],$Q451,$G$3)&amp;"")))))</f>
        <v/>
      </c>
      <c r="G451">
        <f>IF($Q451="","",IF(IF($G$3="","",INDEX(인턴계획표[[정규화1]:[정규화6]],$Q451,$G$3)&amp;"")="","",IF(LEFT(IF($G$3="","",INDEX(인턴계획표[[정규화1]:[정규화6]],$Q451,$G$3)&amp;""),1)="⚠","",IFERROR(MID(IF($G$3="","",INDEX(인턴계획표[[정규화1]:[정규화6]],$Q451,$G$3)&amp;""),FIND(" ",IF($G$3="","",INDEX(인턴계획표[[정규화1]:[정규화6]],$Q451,$G$3)&amp;""))+1,60),""))))</f>
        <v/>
      </c>
      <c r="H451">
        <f>IF($Q451="","",IF(IF($I$3="","",INDEX(인턴계획표[[정규화1]:[정규화6]],$Q451,$I$3)&amp;"")="","",IF(LEFT(IF($I$3="","",INDEX(인턴계획표[[정규화1]:[정규화6]],$Q451,$I$3)&amp;""),1)="⚠",IF($I$3="","",INDEX(인턴계획표[[정규화1]:[정규화6]],$Q451,$I$3)&amp;""),IFERROR(LEFT(IF($I$3="","",INDEX(인턴계획표[[정규화1]:[정규화6]],$Q451,$I$3)&amp;""),FIND(" ",IF($I$3="","",INDEX(인턴계획표[[정규화1]:[정규화6]],$Q451,$I$3)&amp;""))-1),IF($I$3="","",INDEX(인턴계획표[[정규화1]:[정규화6]],$Q451,$I$3)&amp;"")))))</f>
        <v/>
      </c>
      <c r="I451">
        <f>IF($Q451="","",IF(IF($I$3="","",INDEX(인턴계획표[[정규화1]:[정규화6]],$Q451,$I$3)&amp;"")="","",IF(LEFT(IF($I$3="","",INDEX(인턴계획표[[정규화1]:[정규화6]],$Q451,$I$3)&amp;""),1)="⚠","",IFERROR(MID(IF($I$3="","",INDEX(인턴계획표[[정규화1]:[정규화6]],$Q451,$I$3)&amp;""),FIND(" ",IF($I$3="","",INDEX(인턴계획표[[정규화1]:[정규화6]],$Q451,$I$3)&amp;""))+1,60),""))))</f>
        <v/>
      </c>
      <c r="J451">
        <f>IF($Q451="","",INDEX(인턴계획표[정규화1],$Q451))</f>
        <v/>
      </c>
      <c r="K451">
        <f>IF($Q451="","",INDEX(인턴계획표[정규화2],$Q451))</f>
        <v/>
      </c>
      <c r="L451">
        <f>IF($Q451="","",INDEX(인턴계획표[정규화3],$Q451))</f>
        <v/>
      </c>
      <c r="M451">
        <f>IF($Q451="","",INDEX(인턴계획표[정규화4],$Q451))</f>
        <v/>
      </c>
      <c r="N451">
        <f>IF($Q451="","",INDEX(인턴계획표[정규화5],$Q451))</f>
        <v/>
      </c>
      <c r="O451">
        <f>IF($Q451="","",INDEX(인턴계획표[정규화6],$Q451))</f>
        <v/>
      </c>
      <c r="P451">
        <f>IF($Q451="","",INDEX(인턴계획표[입력오류],$Q451))</f>
        <v/>
      </c>
      <c r="Q451" s="17">
        <f>IFERROR(MATCH(446,인턴계획표[표시순번],0),"")</f>
        <v/>
      </c>
    </row>
    <row r="452">
      <c r="A452">
        <f>IF($Q452="","",INDEX(인턴계획표[순번],$Q452)&amp;"")</f>
        <v/>
      </c>
      <c r="B452">
        <f>IF($Q452="","",TRIM(INDEX(인턴계획표[이름],$Q452)&amp;""))</f>
        <v/>
      </c>
      <c r="C452">
        <f>IF($Q452="","",INDEX(인턴계획표[사번],$Q452)&amp;"")</f>
        <v/>
      </c>
      <c r="D452">
        <f>IF($Q452="","",IF(COUNTIF(기본자료표[사번키],INDEX(인턴계획표[사번키],$Q452))&gt;0,"확인","미등록"))</f>
        <v/>
      </c>
      <c r="E452">
        <f>IF($Q452="","",IF(ISNUMBER(INDEX(인턴계획표[입사일(비고)],$Q452)),TEXT(INDEX(인턴계획표[입사일(비고)],$Q452),"yyyy-mm-dd"),INDEX(인턴계획표[입사일(비고)],$Q452)&amp;""))</f>
        <v/>
      </c>
      <c r="F452">
        <f>IF($Q452="","",IF(IF($G$3="","",INDEX(인턴계획표[[정규화1]:[정규화6]],$Q452,$G$3)&amp;"")="","",IF(LEFT(IF($G$3="","",INDEX(인턴계획표[[정규화1]:[정규화6]],$Q452,$G$3)&amp;""),1)="⚠",IF($G$3="","",INDEX(인턴계획표[[정규화1]:[정규화6]],$Q452,$G$3)&amp;""),IFERROR(LEFT(IF($G$3="","",INDEX(인턴계획표[[정규화1]:[정규화6]],$Q452,$G$3)&amp;""),FIND(" ",IF($G$3="","",INDEX(인턴계획표[[정규화1]:[정규화6]],$Q452,$G$3)&amp;""))-1),IF($G$3="","",INDEX(인턴계획표[[정규화1]:[정규화6]],$Q452,$G$3)&amp;"")))))</f>
        <v/>
      </c>
      <c r="G452">
        <f>IF($Q452="","",IF(IF($G$3="","",INDEX(인턴계획표[[정규화1]:[정규화6]],$Q452,$G$3)&amp;"")="","",IF(LEFT(IF($G$3="","",INDEX(인턴계획표[[정규화1]:[정규화6]],$Q452,$G$3)&amp;""),1)="⚠","",IFERROR(MID(IF($G$3="","",INDEX(인턴계획표[[정규화1]:[정규화6]],$Q452,$G$3)&amp;""),FIND(" ",IF($G$3="","",INDEX(인턴계획표[[정규화1]:[정규화6]],$Q452,$G$3)&amp;""))+1,60),""))))</f>
        <v/>
      </c>
      <c r="H452">
        <f>IF($Q452="","",IF(IF($I$3="","",INDEX(인턴계획표[[정규화1]:[정규화6]],$Q452,$I$3)&amp;"")="","",IF(LEFT(IF($I$3="","",INDEX(인턴계획표[[정규화1]:[정규화6]],$Q452,$I$3)&amp;""),1)="⚠",IF($I$3="","",INDEX(인턴계획표[[정규화1]:[정규화6]],$Q452,$I$3)&amp;""),IFERROR(LEFT(IF($I$3="","",INDEX(인턴계획표[[정규화1]:[정규화6]],$Q452,$I$3)&amp;""),FIND(" ",IF($I$3="","",INDEX(인턴계획표[[정규화1]:[정규화6]],$Q452,$I$3)&amp;""))-1),IF($I$3="","",INDEX(인턴계획표[[정규화1]:[정규화6]],$Q452,$I$3)&amp;"")))))</f>
        <v/>
      </c>
      <c r="I452">
        <f>IF($Q452="","",IF(IF($I$3="","",INDEX(인턴계획표[[정규화1]:[정규화6]],$Q452,$I$3)&amp;"")="","",IF(LEFT(IF($I$3="","",INDEX(인턴계획표[[정규화1]:[정규화6]],$Q452,$I$3)&amp;""),1)="⚠","",IFERROR(MID(IF($I$3="","",INDEX(인턴계획표[[정규화1]:[정규화6]],$Q452,$I$3)&amp;""),FIND(" ",IF($I$3="","",INDEX(인턴계획표[[정규화1]:[정규화6]],$Q452,$I$3)&amp;""))+1,60),""))))</f>
        <v/>
      </c>
      <c r="J452">
        <f>IF($Q452="","",INDEX(인턴계획표[정규화1],$Q452))</f>
        <v/>
      </c>
      <c r="K452">
        <f>IF($Q452="","",INDEX(인턴계획표[정규화2],$Q452))</f>
        <v/>
      </c>
      <c r="L452">
        <f>IF($Q452="","",INDEX(인턴계획표[정규화3],$Q452))</f>
        <v/>
      </c>
      <c r="M452">
        <f>IF($Q452="","",INDEX(인턴계획표[정규화4],$Q452))</f>
        <v/>
      </c>
      <c r="N452">
        <f>IF($Q452="","",INDEX(인턴계획표[정규화5],$Q452))</f>
        <v/>
      </c>
      <c r="O452">
        <f>IF($Q452="","",INDEX(인턴계획표[정규화6],$Q452))</f>
        <v/>
      </c>
      <c r="P452">
        <f>IF($Q452="","",INDEX(인턴계획표[입력오류],$Q452))</f>
        <v/>
      </c>
      <c r="Q452" s="17">
        <f>IFERROR(MATCH(447,인턴계획표[표시순번],0),"")</f>
        <v/>
      </c>
    </row>
    <row r="453">
      <c r="A453">
        <f>IF($Q453="","",INDEX(인턴계획표[순번],$Q453)&amp;"")</f>
        <v/>
      </c>
      <c r="B453">
        <f>IF($Q453="","",TRIM(INDEX(인턴계획표[이름],$Q453)&amp;""))</f>
        <v/>
      </c>
      <c r="C453">
        <f>IF($Q453="","",INDEX(인턴계획표[사번],$Q453)&amp;"")</f>
        <v/>
      </c>
      <c r="D453">
        <f>IF($Q453="","",IF(COUNTIF(기본자료표[사번키],INDEX(인턴계획표[사번키],$Q453))&gt;0,"확인","미등록"))</f>
        <v/>
      </c>
      <c r="E453">
        <f>IF($Q453="","",IF(ISNUMBER(INDEX(인턴계획표[입사일(비고)],$Q453)),TEXT(INDEX(인턴계획표[입사일(비고)],$Q453),"yyyy-mm-dd"),INDEX(인턴계획표[입사일(비고)],$Q453)&amp;""))</f>
        <v/>
      </c>
      <c r="F453">
        <f>IF($Q453="","",IF(IF($G$3="","",INDEX(인턴계획표[[정규화1]:[정규화6]],$Q453,$G$3)&amp;"")="","",IF(LEFT(IF($G$3="","",INDEX(인턴계획표[[정규화1]:[정규화6]],$Q453,$G$3)&amp;""),1)="⚠",IF($G$3="","",INDEX(인턴계획표[[정규화1]:[정규화6]],$Q453,$G$3)&amp;""),IFERROR(LEFT(IF($G$3="","",INDEX(인턴계획표[[정규화1]:[정규화6]],$Q453,$G$3)&amp;""),FIND(" ",IF($G$3="","",INDEX(인턴계획표[[정규화1]:[정규화6]],$Q453,$G$3)&amp;""))-1),IF($G$3="","",INDEX(인턴계획표[[정규화1]:[정규화6]],$Q453,$G$3)&amp;"")))))</f>
        <v/>
      </c>
      <c r="G453">
        <f>IF($Q453="","",IF(IF($G$3="","",INDEX(인턴계획표[[정규화1]:[정규화6]],$Q453,$G$3)&amp;"")="","",IF(LEFT(IF($G$3="","",INDEX(인턴계획표[[정규화1]:[정규화6]],$Q453,$G$3)&amp;""),1)="⚠","",IFERROR(MID(IF($G$3="","",INDEX(인턴계획표[[정규화1]:[정규화6]],$Q453,$G$3)&amp;""),FIND(" ",IF($G$3="","",INDEX(인턴계획표[[정규화1]:[정규화6]],$Q453,$G$3)&amp;""))+1,60),""))))</f>
        <v/>
      </c>
      <c r="H453">
        <f>IF($Q453="","",IF(IF($I$3="","",INDEX(인턴계획표[[정규화1]:[정규화6]],$Q453,$I$3)&amp;"")="","",IF(LEFT(IF($I$3="","",INDEX(인턴계획표[[정규화1]:[정규화6]],$Q453,$I$3)&amp;""),1)="⚠",IF($I$3="","",INDEX(인턴계획표[[정규화1]:[정규화6]],$Q453,$I$3)&amp;""),IFERROR(LEFT(IF($I$3="","",INDEX(인턴계획표[[정규화1]:[정규화6]],$Q453,$I$3)&amp;""),FIND(" ",IF($I$3="","",INDEX(인턴계획표[[정규화1]:[정규화6]],$Q453,$I$3)&amp;""))-1),IF($I$3="","",INDEX(인턴계획표[[정규화1]:[정규화6]],$Q453,$I$3)&amp;"")))))</f>
        <v/>
      </c>
      <c r="I453">
        <f>IF($Q453="","",IF(IF($I$3="","",INDEX(인턴계획표[[정규화1]:[정규화6]],$Q453,$I$3)&amp;"")="","",IF(LEFT(IF($I$3="","",INDEX(인턴계획표[[정규화1]:[정규화6]],$Q453,$I$3)&amp;""),1)="⚠","",IFERROR(MID(IF($I$3="","",INDEX(인턴계획표[[정규화1]:[정규화6]],$Q453,$I$3)&amp;""),FIND(" ",IF($I$3="","",INDEX(인턴계획표[[정규화1]:[정규화6]],$Q453,$I$3)&amp;""))+1,60),""))))</f>
        <v/>
      </c>
      <c r="J453">
        <f>IF($Q453="","",INDEX(인턴계획표[정규화1],$Q453))</f>
        <v/>
      </c>
      <c r="K453">
        <f>IF($Q453="","",INDEX(인턴계획표[정규화2],$Q453))</f>
        <v/>
      </c>
      <c r="L453">
        <f>IF($Q453="","",INDEX(인턴계획표[정규화3],$Q453))</f>
        <v/>
      </c>
      <c r="M453">
        <f>IF($Q453="","",INDEX(인턴계획표[정규화4],$Q453))</f>
        <v/>
      </c>
      <c r="N453">
        <f>IF($Q453="","",INDEX(인턴계획표[정규화5],$Q453))</f>
        <v/>
      </c>
      <c r="O453">
        <f>IF($Q453="","",INDEX(인턴계획표[정규화6],$Q453))</f>
        <v/>
      </c>
      <c r="P453">
        <f>IF($Q453="","",INDEX(인턴계획표[입력오류],$Q453))</f>
        <v/>
      </c>
      <c r="Q453" s="17">
        <f>IFERROR(MATCH(448,인턴계획표[표시순번],0),"")</f>
        <v/>
      </c>
    </row>
    <row r="454">
      <c r="A454">
        <f>IF($Q454="","",INDEX(인턴계획표[순번],$Q454)&amp;"")</f>
        <v/>
      </c>
      <c r="B454">
        <f>IF($Q454="","",TRIM(INDEX(인턴계획표[이름],$Q454)&amp;""))</f>
        <v/>
      </c>
      <c r="C454">
        <f>IF($Q454="","",INDEX(인턴계획표[사번],$Q454)&amp;"")</f>
        <v/>
      </c>
      <c r="D454">
        <f>IF($Q454="","",IF(COUNTIF(기본자료표[사번키],INDEX(인턴계획표[사번키],$Q454))&gt;0,"확인","미등록"))</f>
        <v/>
      </c>
      <c r="E454">
        <f>IF($Q454="","",IF(ISNUMBER(INDEX(인턴계획표[입사일(비고)],$Q454)),TEXT(INDEX(인턴계획표[입사일(비고)],$Q454),"yyyy-mm-dd"),INDEX(인턴계획표[입사일(비고)],$Q454)&amp;""))</f>
        <v/>
      </c>
      <c r="F454">
        <f>IF($Q454="","",IF(IF($G$3="","",INDEX(인턴계획표[[정규화1]:[정규화6]],$Q454,$G$3)&amp;"")="","",IF(LEFT(IF($G$3="","",INDEX(인턴계획표[[정규화1]:[정규화6]],$Q454,$G$3)&amp;""),1)="⚠",IF($G$3="","",INDEX(인턴계획표[[정규화1]:[정규화6]],$Q454,$G$3)&amp;""),IFERROR(LEFT(IF($G$3="","",INDEX(인턴계획표[[정규화1]:[정규화6]],$Q454,$G$3)&amp;""),FIND(" ",IF($G$3="","",INDEX(인턴계획표[[정규화1]:[정규화6]],$Q454,$G$3)&amp;""))-1),IF($G$3="","",INDEX(인턴계획표[[정규화1]:[정규화6]],$Q454,$G$3)&amp;"")))))</f>
        <v/>
      </c>
      <c r="G454">
        <f>IF($Q454="","",IF(IF($G$3="","",INDEX(인턴계획표[[정규화1]:[정규화6]],$Q454,$G$3)&amp;"")="","",IF(LEFT(IF($G$3="","",INDEX(인턴계획표[[정규화1]:[정규화6]],$Q454,$G$3)&amp;""),1)="⚠","",IFERROR(MID(IF($G$3="","",INDEX(인턴계획표[[정규화1]:[정규화6]],$Q454,$G$3)&amp;""),FIND(" ",IF($G$3="","",INDEX(인턴계획표[[정규화1]:[정규화6]],$Q454,$G$3)&amp;""))+1,60),""))))</f>
        <v/>
      </c>
      <c r="H454">
        <f>IF($Q454="","",IF(IF($I$3="","",INDEX(인턴계획표[[정규화1]:[정규화6]],$Q454,$I$3)&amp;"")="","",IF(LEFT(IF($I$3="","",INDEX(인턴계획표[[정규화1]:[정규화6]],$Q454,$I$3)&amp;""),1)="⚠",IF($I$3="","",INDEX(인턴계획표[[정규화1]:[정규화6]],$Q454,$I$3)&amp;""),IFERROR(LEFT(IF($I$3="","",INDEX(인턴계획표[[정규화1]:[정규화6]],$Q454,$I$3)&amp;""),FIND(" ",IF($I$3="","",INDEX(인턴계획표[[정규화1]:[정규화6]],$Q454,$I$3)&amp;""))-1),IF($I$3="","",INDEX(인턴계획표[[정규화1]:[정규화6]],$Q454,$I$3)&amp;"")))))</f>
        <v/>
      </c>
      <c r="I454">
        <f>IF($Q454="","",IF(IF($I$3="","",INDEX(인턴계획표[[정규화1]:[정규화6]],$Q454,$I$3)&amp;"")="","",IF(LEFT(IF($I$3="","",INDEX(인턴계획표[[정규화1]:[정규화6]],$Q454,$I$3)&amp;""),1)="⚠","",IFERROR(MID(IF($I$3="","",INDEX(인턴계획표[[정규화1]:[정규화6]],$Q454,$I$3)&amp;""),FIND(" ",IF($I$3="","",INDEX(인턴계획표[[정규화1]:[정규화6]],$Q454,$I$3)&amp;""))+1,60),""))))</f>
        <v/>
      </c>
      <c r="J454">
        <f>IF($Q454="","",INDEX(인턴계획표[정규화1],$Q454))</f>
        <v/>
      </c>
      <c r="K454">
        <f>IF($Q454="","",INDEX(인턴계획표[정규화2],$Q454))</f>
        <v/>
      </c>
      <c r="L454">
        <f>IF($Q454="","",INDEX(인턴계획표[정규화3],$Q454))</f>
        <v/>
      </c>
      <c r="M454">
        <f>IF($Q454="","",INDEX(인턴계획표[정규화4],$Q454))</f>
        <v/>
      </c>
      <c r="N454">
        <f>IF($Q454="","",INDEX(인턴계획표[정규화5],$Q454))</f>
        <v/>
      </c>
      <c r="O454">
        <f>IF($Q454="","",INDEX(인턴계획표[정규화6],$Q454))</f>
        <v/>
      </c>
      <c r="P454">
        <f>IF($Q454="","",INDEX(인턴계획표[입력오류],$Q454))</f>
        <v/>
      </c>
      <c r="Q454" s="17">
        <f>IFERROR(MATCH(449,인턴계획표[표시순번],0),"")</f>
        <v/>
      </c>
    </row>
    <row r="455">
      <c r="A455">
        <f>IF($Q455="","",INDEX(인턴계획표[순번],$Q455)&amp;"")</f>
        <v/>
      </c>
      <c r="B455">
        <f>IF($Q455="","",TRIM(INDEX(인턴계획표[이름],$Q455)&amp;""))</f>
        <v/>
      </c>
      <c r="C455">
        <f>IF($Q455="","",INDEX(인턴계획표[사번],$Q455)&amp;"")</f>
        <v/>
      </c>
      <c r="D455">
        <f>IF($Q455="","",IF(COUNTIF(기본자료표[사번키],INDEX(인턴계획표[사번키],$Q455))&gt;0,"확인","미등록"))</f>
        <v/>
      </c>
      <c r="E455">
        <f>IF($Q455="","",IF(ISNUMBER(INDEX(인턴계획표[입사일(비고)],$Q455)),TEXT(INDEX(인턴계획표[입사일(비고)],$Q455),"yyyy-mm-dd"),INDEX(인턴계획표[입사일(비고)],$Q455)&amp;""))</f>
        <v/>
      </c>
      <c r="F455">
        <f>IF($Q455="","",IF(IF($G$3="","",INDEX(인턴계획표[[정규화1]:[정규화6]],$Q455,$G$3)&amp;"")="","",IF(LEFT(IF($G$3="","",INDEX(인턴계획표[[정규화1]:[정규화6]],$Q455,$G$3)&amp;""),1)="⚠",IF($G$3="","",INDEX(인턴계획표[[정규화1]:[정규화6]],$Q455,$G$3)&amp;""),IFERROR(LEFT(IF($G$3="","",INDEX(인턴계획표[[정규화1]:[정규화6]],$Q455,$G$3)&amp;""),FIND(" ",IF($G$3="","",INDEX(인턴계획표[[정규화1]:[정규화6]],$Q455,$G$3)&amp;""))-1),IF($G$3="","",INDEX(인턴계획표[[정규화1]:[정규화6]],$Q455,$G$3)&amp;"")))))</f>
        <v/>
      </c>
      <c r="G455">
        <f>IF($Q455="","",IF(IF($G$3="","",INDEX(인턴계획표[[정규화1]:[정규화6]],$Q455,$G$3)&amp;"")="","",IF(LEFT(IF($G$3="","",INDEX(인턴계획표[[정규화1]:[정규화6]],$Q455,$G$3)&amp;""),1)="⚠","",IFERROR(MID(IF($G$3="","",INDEX(인턴계획표[[정규화1]:[정규화6]],$Q455,$G$3)&amp;""),FIND(" ",IF($G$3="","",INDEX(인턴계획표[[정규화1]:[정규화6]],$Q455,$G$3)&amp;""))+1,60),""))))</f>
        <v/>
      </c>
      <c r="H455">
        <f>IF($Q455="","",IF(IF($I$3="","",INDEX(인턴계획표[[정규화1]:[정규화6]],$Q455,$I$3)&amp;"")="","",IF(LEFT(IF($I$3="","",INDEX(인턴계획표[[정규화1]:[정규화6]],$Q455,$I$3)&amp;""),1)="⚠",IF($I$3="","",INDEX(인턴계획표[[정규화1]:[정규화6]],$Q455,$I$3)&amp;""),IFERROR(LEFT(IF($I$3="","",INDEX(인턴계획표[[정규화1]:[정규화6]],$Q455,$I$3)&amp;""),FIND(" ",IF($I$3="","",INDEX(인턴계획표[[정규화1]:[정규화6]],$Q455,$I$3)&amp;""))-1),IF($I$3="","",INDEX(인턴계획표[[정규화1]:[정규화6]],$Q455,$I$3)&amp;"")))))</f>
        <v/>
      </c>
      <c r="I455">
        <f>IF($Q455="","",IF(IF($I$3="","",INDEX(인턴계획표[[정규화1]:[정규화6]],$Q455,$I$3)&amp;"")="","",IF(LEFT(IF($I$3="","",INDEX(인턴계획표[[정규화1]:[정규화6]],$Q455,$I$3)&amp;""),1)="⚠","",IFERROR(MID(IF($I$3="","",INDEX(인턴계획표[[정규화1]:[정규화6]],$Q455,$I$3)&amp;""),FIND(" ",IF($I$3="","",INDEX(인턴계획표[[정규화1]:[정규화6]],$Q455,$I$3)&amp;""))+1,60),""))))</f>
        <v/>
      </c>
      <c r="J455">
        <f>IF($Q455="","",INDEX(인턴계획표[정규화1],$Q455))</f>
        <v/>
      </c>
      <c r="K455">
        <f>IF($Q455="","",INDEX(인턴계획표[정규화2],$Q455))</f>
        <v/>
      </c>
      <c r="L455">
        <f>IF($Q455="","",INDEX(인턴계획표[정규화3],$Q455))</f>
        <v/>
      </c>
      <c r="M455">
        <f>IF($Q455="","",INDEX(인턴계획표[정규화4],$Q455))</f>
        <v/>
      </c>
      <c r="N455">
        <f>IF($Q455="","",INDEX(인턴계획표[정규화5],$Q455))</f>
        <v/>
      </c>
      <c r="O455">
        <f>IF($Q455="","",INDEX(인턴계획표[정규화6],$Q455))</f>
        <v/>
      </c>
      <c r="P455">
        <f>IF($Q455="","",INDEX(인턴계획표[입력오류],$Q455))</f>
        <v/>
      </c>
      <c r="Q455" s="17">
        <f>IFERROR(MATCH(450,인턴계획표[표시순번],0),"")</f>
        <v/>
      </c>
    </row>
    <row r="456">
      <c r="A456">
        <f>IF($Q456="","",INDEX(인턴계획표[순번],$Q456)&amp;"")</f>
        <v/>
      </c>
      <c r="B456">
        <f>IF($Q456="","",TRIM(INDEX(인턴계획표[이름],$Q456)&amp;""))</f>
        <v/>
      </c>
      <c r="C456">
        <f>IF($Q456="","",INDEX(인턴계획표[사번],$Q456)&amp;"")</f>
        <v/>
      </c>
      <c r="D456">
        <f>IF($Q456="","",IF(COUNTIF(기본자료표[사번키],INDEX(인턴계획표[사번키],$Q456))&gt;0,"확인","미등록"))</f>
        <v/>
      </c>
      <c r="E456">
        <f>IF($Q456="","",IF(ISNUMBER(INDEX(인턴계획표[입사일(비고)],$Q456)),TEXT(INDEX(인턴계획표[입사일(비고)],$Q456),"yyyy-mm-dd"),INDEX(인턴계획표[입사일(비고)],$Q456)&amp;""))</f>
        <v/>
      </c>
      <c r="F456">
        <f>IF($Q456="","",IF(IF($G$3="","",INDEX(인턴계획표[[정규화1]:[정규화6]],$Q456,$G$3)&amp;"")="","",IF(LEFT(IF($G$3="","",INDEX(인턴계획표[[정규화1]:[정규화6]],$Q456,$G$3)&amp;""),1)="⚠",IF($G$3="","",INDEX(인턴계획표[[정규화1]:[정규화6]],$Q456,$G$3)&amp;""),IFERROR(LEFT(IF($G$3="","",INDEX(인턴계획표[[정규화1]:[정규화6]],$Q456,$G$3)&amp;""),FIND(" ",IF($G$3="","",INDEX(인턴계획표[[정규화1]:[정규화6]],$Q456,$G$3)&amp;""))-1),IF($G$3="","",INDEX(인턴계획표[[정규화1]:[정규화6]],$Q456,$G$3)&amp;"")))))</f>
        <v/>
      </c>
      <c r="G456">
        <f>IF($Q456="","",IF(IF($G$3="","",INDEX(인턴계획표[[정규화1]:[정규화6]],$Q456,$G$3)&amp;"")="","",IF(LEFT(IF($G$3="","",INDEX(인턴계획표[[정규화1]:[정규화6]],$Q456,$G$3)&amp;""),1)="⚠","",IFERROR(MID(IF($G$3="","",INDEX(인턴계획표[[정규화1]:[정규화6]],$Q456,$G$3)&amp;""),FIND(" ",IF($G$3="","",INDEX(인턴계획표[[정규화1]:[정규화6]],$Q456,$G$3)&amp;""))+1,60),""))))</f>
        <v/>
      </c>
      <c r="H456">
        <f>IF($Q456="","",IF(IF($I$3="","",INDEX(인턴계획표[[정규화1]:[정규화6]],$Q456,$I$3)&amp;"")="","",IF(LEFT(IF($I$3="","",INDEX(인턴계획표[[정규화1]:[정규화6]],$Q456,$I$3)&amp;""),1)="⚠",IF($I$3="","",INDEX(인턴계획표[[정규화1]:[정규화6]],$Q456,$I$3)&amp;""),IFERROR(LEFT(IF($I$3="","",INDEX(인턴계획표[[정규화1]:[정규화6]],$Q456,$I$3)&amp;""),FIND(" ",IF($I$3="","",INDEX(인턴계획표[[정규화1]:[정규화6]],$Q456,$I$3)&amp;""))-1),IF($I$3="","",INDEX(인턴계획표[[정규화1]:[정규화6]],$Q456,$I$3)&amp;"")))))</f>
        <v/>
      </c>
      <c r="I456">
        <f>IF($Q456="","",IF(IF($I$3="","",INDEX(인턴계획표[[정규화1]:[정규화6]],$Q456,$I$3)&amp;"")="","",IF(LEFT(IF($I$3="","",INDEX(인턴계획표[[정규화1]:[정규화6]],$Q456,$I$3)&amp;""),1)="⚠","",IFERROR(MID(IF($I$3="","",INDEX(인턴계획표[[정규화1]:[정규화6]],$Q456,$I$3)&amp;""),FIND(" ",IF($I$3="","",INDEX(인턴계획표[[정규화1]:[정규화6]],$Q456,$I$3)&amp;""))+1,60),""))))</f>
        <v/>
      </c>
      <c r="J456">
        <f>IF($Q456="","",INDEX(인턴계획표[정규화1],$Q456))</f>
        <v/>
      </c>
      <c r="K456">
        <f>IF($Q456="","",INDEX(인턴계획표[정규화2],$Q456))</f>
        <v/>
      </c>
      <c r="L456">
        <f>IF($Q456="","",INDEX(인턴계획표[정규화3],$Q456))</f>
        <v/>
      </c>
      <c r="M456">
        <f>IF($Q456="","",INDEX(인턴계획표[정규화4],$Q456))</f>
        <v/>
      </c>
      <c r="N456">
        <f>IF($Q456="","",INDEX(인턴계획표[정규화5],$Q456))</f>
        <v/>
      </c>
      <c r="O456">
        <f>IF($Q456="","",INDEX(인턴계획표[정규화6],$Q456))</f>
        <v/>
      </c>
      <c r="P456">
        <f>IF($Q456="","",INDEX(인턴계획표[입력오류],$Q456))</f>
        <v/>
      </c>
      <c r="Q456" s="17">
        <f>IFERROR(MATCH(451,인턴계획표[표시순번],0),"")</f>
        <v/>
      </c>
    </row>
    <row r="457">
      <c r="A457">
        <f>IF($Q457="","",INDEX(인턴계획표[순번],$Q457)&amp;"")</f>
        <v/>
      </c>
      <c r="B457">
        <f>IF($Q457="","",TRIM(INDEX(인턴계획표[이름],$Q457)&amp;""))</f>
        <v/>
      </c>
      <c r="C457">
        <f>IF($Q457="","",INDEX(인턴계획표[사번],$Q457)&amp;"")</f>
        <v/>
      </c>
      <c r="D457">
        <f>IF($Q457="","",IF(COUNTIF(기본자료표[사번키],INDEX(인턴계획표[사번키],$Q457))&gt;0,"확인","미등록"))</f>
        <v/>
      </c>
      <c r="E457">
        <f>IF($Q457="","",IF(ISNUMBER(INDEX(인턴계획표[입사일(비고)],$Q457)),TEXT(INDEX(인턴계획표[입사일(비고)],$Q457),"yyyy-mm-dd"),INDEX(인턴계획표[입사일(비고)],$Q457)&amp;""))</f>
        <v/>
      </c>
      <c r="F457">
        <f>IF($Q457="","",IF(IF($G$3="","",INDEX(인턴계획표[[정규화1]:[정규화6]],$Q457,$G$3)&amp;"")="","",IF(LEFT(IF($G$3="","",INDEX(인턴계획표[[정규화1]:[정규화6]],$Q457,$G$3)&amp;""),1)="⚠",IF($G$3="","",INDEX(인턴계획표[[정규화1]:[정규화6]],$Q457,$G$3)&amp;""),IFERROR(LEFT(IF($G$3="","",INDEX(인턴계획표[[정규화1]:[정규화6]],$Q457,$G$3)&amp;""),FIND(" ",IF($G$3="","",INDEX(인턴계획표[[정규화1]:[정규화6]],$Q457,$G$3)&amp;""))-1),IF($G$3="","",INDEX(인턴계획표[[정규화1]:[정규화6]],$Q457,$G$3)&amp;"")))))</f>
        <v/>
      </c>
      <c r="G457">
        <f>IF($Q457="","",IF(IF($G$3="","",INDEX(인턴계획표[[정규화1]:[정규화6]],$Q457,$G$3)&amp;"")="","",IF(LEFT(IF($G$3="","",INDEX(인턴계획표[[정규화1]:[정규화6]],$Q457,$G$3)&amp;""),1)="⚠","",IFERROR(MID(IF($G$3="","",INDEX(인턴계획표[[정규화1]:[정규화6]],$Q457,$G$3)&amp;""),FIND(" ",IF($G$3="","",INDEX(인턴계획표[[정규화1]:[정규화6]],$Q457,$G$3)&amp;""))+1,60),""))))</f>
        <v/>
      </c>
      <c r="H457">
        <f>IF($Q457="","",IF(IF($I$3="","",INDEX(인턴계획표[[정규화1]:[정규화6]],$Q457,$I$3)&amp;"")="","",IF(LEFT(IF($I$3="","",INDEX(인턴계획표[[정규화1]:[정규화6]],$Q457,$I$3)&amp;""),1)="⚠",IF($I$3="","",INDEX(인턴계획표[[정규화1]:[정규화6]],$Q457,$I$3)&amp;""),IFERROR(LEFT(IF($I$3="","",INDEX(인턴계획표[[정규화1]:[정규화6]],$Q457,$I$3)&amp;""),FIND(" ",IF($I$3="","",INDEX(인턴계획표[[정규화1]:[정규화6]],$Q457,$I$3)&amp;""))-1),IF($I$3="","",INDEX(인턴계획표[[정규화1]:[정규화6]],$Q457,$I$3)&amp;"")))))</f>
        <v/>
      </c>
      <c r="I457">
        <f>IF($Q457="","",IF(IF($I$3="","",INDEX(인턴계획표[[정규화1]:[정규화6]],$Q457,$I$3)&amp;"")="","",IF(LEFT(IF($I$3="","",INDEX(인턴계획표[[정규화1]:[정규화6]],$Q457,$I$3)&amp;""),1)="⚠","",IFERROR(MID(IF($I$3="","",INDEX(인턴계획표[[정규화1]:[정규화6]],$Q457,$I$3)&amp;""),FIND(" ",IF($I$3="","",INDEX(인턴계획표[[정규화1]:[정규화6]],$Q457,$I$3)&amp;""))+1,60),""))))</f>
        <v/>
      </c>
      <c r="J457">
        <f>IF($Q457="","",INDEX(인턴계획표[정규화1],$Q457))</f>
        <v/>
      </c>
      <c r="K457">
        <f>IF($Q457="","",INDEX(인턴계획표[정규화2],$Q457))</f>
        <v/>
      </c>
      <c r="L457">
        <f>IF($Q457="","",INDEX(인턴계획표[정규화3],$Q457))</f>
        <v/>
      </c>
      <c r="M457">
        <f>IF($Q457="","",INDEX(인턴계획표[정규화4],$Q457))</f>
        <v/>
      </c>
      <c r="N457">
        <f>IF($Q457="","",INDEX(인턴계획표[정규화5],$Q457))</f>
        <v/>
      </c>
      <c r="O457">
        <f>IF($Q457="","",INDEX(인턴계획표[정규화6],$Q457))</f>
        <v/>
      </c>
      <c r="P457">
        <f>IF($Q457="","",INDEX(인턴계획표[입력오류],$Q457))</f>
        <v/>
      </c>
      <c r="Q457" s="17">
        <f>IFERROR(MATCH(452,인턴계획표[표시순번],0),"")</f>
        <v/>
      </c>
    </row>
    <row r="458">
      <c r="A458">
        <f>IF($Q458="","",INDEX(인턴계획표[순번],$Q458)&amp;"")</f>
        <v/>
      </c>
      <c r="B458">
        <f>IF($Q458="","",TRIM(INDEX(인턴계획표[이름],$Q458)&amp;""))</f>
        <v/>
      </c>
      <c r="C458">
        <f>IF($Q458="","",INDEX(인턴계획표[사번],$Q458)&amp;"")</f>
        <v/>
      </c>
      <c r="D458">
        <f>IF($Q458="","",IF(COUNTIF(기본자료표[사번키],INDEX(인턴계획표[사번키],$Q458))&gt;0,"확인","미등록"))</f>
        <v/>
      </c>
      <c r="E458">
        <f>IF($Q458="","",IF(ISNUMBER(INDEX(인턴계획표[입사일(비고)],$Q458)),TEXT(INDEX(인턴계획표[입사일(비고)],$Q458),"yyyy-mm-dd"),INDEX(인턴계획표[입사일(비고)],$Q458)&amp;""))</f>
        <v/>
      </c>
      <c r="F458">
        <f>IF($Q458="","",IF(IF($G$3="","",INDEX(인턴계획표[[정규화1]:[정규화6]],$Q458,$G$3)&amp;"")="","",IF(LEFT(IF($G$3="","",INDEX(인턴계획표[[정규화1]:[정규화6]],$Q458,$G$3)&amp;""),1)="⚠",IF($G$3="","",INDEX(인턴계획표[[정규화1]:[정규화6]],$Q458,$G$3)&amp;""),IFERROR(LEFT(IF($G$3="","",INDEX(인턴계획표[[정규화1]:[정규화6]],$Q458,$G$3)&amp;""),FIND(" ",IF($G$3="","",INDEX(인턴계획표[[정규화1]:[정규화6]],$Q458,$G$3)&amp;""))-1),IF($G$3="","",INDEX(인턴계획표[[정규화1]:[정규화6]],$Q458,$G$3)&amp;"")))))</f>
        <v/>
      </c>
      <c r="G458">
        <f>IF($Q458="","",IF(IF($G$3="","",INDEX(인턴계획표[[정규화1]:[정규화6]],$Q458,$G$3)&amp;"")="","",IF(LEFT(IF($G$3="","",INDEX(인턴계획표[[정규화1]:[정규화6]],$Q458,$G$3)&amp;""),1)="⚠","",IFERROR(MID(IF($G$3="","",INDEX(인턴계획표[[정규화1]:[정규화6]],$Q458,$G$3)&amp;""),FIND(" ",IF($G$3="","",INDEX(인턴계획표[[정규화1]:[정규화6]],$Q458,$G$3)&amp;""))+1,60),""))))</f>
        <v/>
      </c>
      <c r="H458">
        <f>IF($Q458="","",IF(IF($I$3="","",INDEX(인턴계획표[[정규화1]:[정규화6]],$Q458,$I$3)&amp;"")="","",IF(LEFT(IF($I$3="","",INDEX(인턴계획표[[정규화1]:[정규화6]],$Q458,$I$3)&amp;""),1)="⚠",IF($I$3="","",INDEX(인턴계획표[[정규화1]:[정규화6]],$Q458,$I$3)&amp;""),IFERROR(LEFT(IF($I$3="","",INDEX(인턴계획표[[정규화1]:[정규화6]],$Q458,$I$3)&amp;""),FIND(" ",IF($I$3="","",INDEX(인턴계획표[[정규화1]:[정규화6]],$Q458,$I$3)&amp;""))-1),IF($I$3="","",INDEX(인턴계획표[[정규화1]:[정규화6]],$Q458,$I$3)&amp;"")))))</f>
        <v/>
      </c>
      <c r="I458">
        <f>IF($Q458="","",IF(IF($I$3="","",INDEX(인턴계획표[[정규화1]:[정규화6]],$Q458,$I$3)&amp;"")="","",IF(LEFT(IF($I$3="","",INDEX(인턴계획표[[정규화1]:[정규화6]],$Q458,$I$3)&amp;""),1)="⚠","",IFERROR(MID(IF($I$3="","",INDEX(인턴계획표[[정규화1]:[정규화6]],$Q458,$I$3)&amp;""),FIND(" ",IF($I$3="","",INDEX(인턴계획표[[정규화1]:[정규화6]],$Q458,$I$3)&amp;""))+1,60),""))))</f>
        <v/>
      </c>
      <c r="J458">
        <f>IF($Q458="","",INDEX(인턴계획표[정규화1],$Q458))</f>
        <v/>
      </c>
      <c r="K458">
        <f>IF($Q458="","",INDEX(인턴계획표[정규화2],$Q458))</f>
        <v/>
      </c>
      <c r="L458">
        <f>IF($Q458="","",INDEX(인턴계획표[정규화3],$Q458))</f>
        <v/>
      </c>
      <c r="M458">
        <f>IF($Q458="","",INDEX(인턴계획표[정규화4],$Q458))</f>
        <v/>
      </c>
      <c r="N458">
        <f>IF($Q458="","",INDEX(인턴계획표[정규화5],$Q458))</f>
        <v/>
      </c>
      <c r="O458">
        <f>IF($Q458="","",INDEX(인턴계획표[정규화6],$Q458))</f>
        <v/>
      </c>
      <c r="P458">
        <f>IF($Q458="","",INDEX(인턴계획표[입력오류],$Q458))</f>
        <v/>
      </c>
      <c r="Q458" s="17">
        <f>IFERROR(MATCH(453,인턴계획표[표시순번],0),"")</f>
        <v/>
      </c>
    </row>
    <row r="459">
      <c r="A459">
        <f>IF($Q459="","",INDEX(인턴계획표[순번],$Q459)&amp;"")</f>
        <v/>
      </c>
      <c r="B459">
        <f>IF($Q459="","",TRIM(INDEX(인턴계획표[이름],$Q459)&amp;""))</f>
        <v/>
      </c>
      <c r="C459">
        <f>IF($Q459="","",INDEX(인턴계획표[사번],$Q459)&amp;"")</f>
        <v/>
      </c>
      <c r="D459">
        <f>IF($Q459="","",IF(COUNTIF(기본자료표[사번키],INDEX(인턴계획표[사번키],$Q459))&gt;0,"확인","미등록"))</f>
        <v/>
      </c>
      <c r="E459">
        <f>IF($Q459="","",IF(ISNUMBER(INDEX(인턴계획표[입사일(비고)],$Q459)),TEXT(INDEX(인턴계획표[입사일(비고)],$Q459),"yyyy-mm-dd"),INDEX(인턴계획표[입사일(비고)],$Q459)&amp;""))</f>
        <v/>
      </c>
      <c r="F459">
        <f>IF($Q459="","",IF(IF($G$3="","",INDEX(인턴계획표[[정규화1]:[정규화6]],$Q459,$G$3)&amp;"")="","",IF(LEFT(IF($G$3="","",INDEX(인턴계획표[[정규화1]:[정규화6]],$Q459,$G$3)&amp;""),1)="⚠",IF($G$3="","",INDEX(인턴계획표[[정규화1]:[정규화6]],$Q459,$G$3)&amp;""),IFERROR(LEFT(IF($G$3="","",INDEX(인턴계획표[[정규화1]:[정규화6]],$Q459,$G$3)&amp;""),FIND(" ",IF($G$3="","",INDEX(인턴계획표[[정규화1]:[정규화6]],$Q459,$G$3)&amp;""))-1),IF($G$3="","",INDEX(인턴계획표[[정규화1]:[정규화6]],$Q459,$G$3)&amp;"")))))</f>
        <v/>
      </c>
      <c r="G459">
        <f>IF($Q459="","",IF(IF($G$3="","",INDEX(인턴계획표[[정규화1]:[정규화6]],$Q459,$G$3)&amp;"")="","",IF(LEFT(IF($G$3="","",INDEX(인턴계획표[[정규화1]:[정규화6]],$Q459,$G$3)&amp;""),1)="⚠","",IFERROR(MID(IF($G$3="","",INDEX(인턴계획표[[정규화1]:[정규화6]],$Q459,$G$3)&amp;""),FIND(" ",IF($G$3="","",INDEX(인턴계획표[[정규화1]:[정규화6]],$Q459,$G$3)&amp;""))+1,60),""))))</f>
        <v/>
      </c>
      <c r="H459">
        <f>IF($Q459="","",IF(IF($I$3="","",INDEX(인턴계획표[[정규화1]:[정규화6]],$Q459,$I$3)&amp;"")="","",IF(LEFT(IF($I$3="","",INDEX(인턴계획표[[정규화1]:[정규화6]],$Q459,$I$3)&amp;""),1)="⚠",IF($I$3="","",INDEX(인턴계획표[[정규화1]:[정규화6]],$Q459,$I$3)&amp;""),IFERROR(LEFT(IF($I$3="","",INDEX(인턴계획표[[정규화1]:[정규화6]],$Q459,$I$3)&amp;""),FIND(" ",IF($I$3="","",INDEX(인턴계획표[[정규화1]:[정규화6]],$Q459,$I$3)&amp;""))-1),IF($I$3="","",INDEX(인턴계획표[[정규화1]:[정규화6]],$Q459,$I$3)&amp;"")))))</f>
        <v/>
      </c>
      <c r="I459">
        <f>IF($Q459="","",IF(IF($I$3="","",INDEX(인턴계획표[[정규화1]:[정규화6]],$Q459,$I$3)&amp;"")="","",IF(LEFT(IF($I$3="","",INDEX(인턴계획표[[정규화1]:[정규화6]],$Q459,$I$3)&amp;""),1)="⚠","",IFERROR(MID(IF($I$3="","",INDEX(인턴계획표[[정규화1]:[정규화6]],$Q459,$I$3)&amp;""),FIND(" ",IF($I$3="","",INDEX(인턴계획표[[정규화1]:[정규화6]],$Q459,$I$3)&amp;""))+1,60),""))))</f>
        <v/>
      </c>
      <c r="J459">
        <f>IF($Q459="","",INDEX(인턴계획표[정규화1],$Q459))</f>
        <v/>
      </c>
      <c r="K459">
        <f>IF($Q459="","",INDEX(인턴계획표[정규화2],$Q459))</f>
        <v/>
      </c>
      <c r="L459">
        <f>IF($Q459="","",INDEX(인턴계획표[정규화3],$Q459))</f>
        <v/>
      </c>
      <c r="M459">
        <f>IF($Q459="","",INDEX(인턴계획표[정규화4],$Q459))</f>
        <v/>
      </c>
      <c r="N459">
        <f>IF($Q459="","",INDEX(인턴계획표[정규화5],$Q459))</f>
        <v/>
      </c>
      <c r="O459">
        <f>IF($Q459="","",INDEX(인턴계획표[정규화6],$Q459))</f>
        <v/>
      </c>
      <c r="P459">
        <f>IF($Q459="","",INDEX(인턴계획표[입력오류],$Q459))</f>
        <v/>
      </c>
      <c r="Q459" s="17">
        <f>IFERROR(MATCH(454,인턴계획표[표시순번],0),"")</f>
        <v/>
      </c>
    </row>
    <row r="460">
      <c r="A460">
        <f>IF($Q460="","",INDEX(인턴계획표[순번],$Q460)&amp;"")</f>
        <v/>
      </c>
      <c r="B460">
        <f>IF($Q460="","",TRIM(INDEX(인턴계획표[이름],$Q460)&amp;""))</f>
        <v/>
      </c>
      <c r="C460">
        <f>IF($Q460="","",INDEX(인턴계획표[사번],$Q460)&amp;"")</f>
        <v/>
      </c>
      <c r="D460">
        <f>IF($Q460="","",IF(COUNTIF(기본자료표[사번키],INDEX(인턴계획표[사번키],$Q460))&gt;0,"확인","미등록"))</f>
        <v/>
      </c>
      <c r="E460">
        <f>IF($Q460="","",IF(ISNUMBER(INDEX(인턴계획표[입사일(비고)],$Q460)),TEXT(INDEX(인턴계획표[입사일(비고)],$Q460),"yyyy-mm-dd"),INDEX(인턴계획표[입사일(비고)],$Q460)&amp;""))</f>
        <v/>
      </c>
      <c r="F460">
        <f>IF($Q460="","",IF(IF($G$3="","",INDEX(인턴계획표[[정규화1]:[정규화6]],$Q460,$G$3)&amp;"")="","",IF(LEFT(IF($G$3="","",INDEX(인턴계획표[[정규화1]:[정규화6]],$Q460,$G$3)&amp;""),1)="⚠",IF($G$3="","",INDEX(인턴계획표[[정규화1]:[정규화6]],$Q460,$G$3)&amp;""),IFERROR(LEFT(IF($G$3="","",INDEX(인턴계획표[[정규화1]:[정규화6]],$Q460,$G$3)&amp;""),FIND(" ",IF($G$3="","",INDEX(인턴계획표[[정규화1]:[정규화6]],$Q460,$G$3)&amp;""))-1),IF($G$3="","",INDEX(인턴계획표[[정규화1]:[정규화6]],$Q460,$G$3)&amp;"")))))</f>
        <v/>
      </c>
      <c r="G460">
        <f>IF($Q460="","",IF(IF($G$3="","",INDEX(인턴계획표[[정규화1]:[정규화6]],$Q460,$G$3)&amp;"")="","",IF(LEFT(IF($G$3="","",INDEX(인턴계획표[[정규화1]:[정규화6]],$Q460,$G$3)&amp;""),1)="⚠","",IFERROR(MID(IF($G$3="","",INDEX(인턴계획표[[정규화1]:[정규화6]],$Q460,$G$3)&amp;""),FIND(" ",IF($G$3="","",INDEX(인턴계획표[[정규화1]:[정규화6]],$Q460,$G$3)&amp;""))+1,60),""))))</f>
        <v/>
      </c>
      <c r="H460">
        <f>IF($Q460="","",IF(IF($I$3="","",INDEX(인턴계획표[[정규화1]:[정규화6]],$Q460,$I$3)&amp;"")="","",IF(LEFT(IF($I$3="","",INDEX(인턴계획표[[정규화1]:[정규화6]],$Q460,$I$3)&amp;""),1)="⚠",IF($I$3="","",INDEX(인턴계획표[[정규화1]:[정규화6]],$Q460,$I$3)&amp;""),IFERROR(LEFT(IF($I$3="","",INDEX(인턴계획표[[정규화1]:[정규화6]],$Q460,$I$3)&amp;""),FIND(" ",IF($I$3="","",INDEX(인턴계획표[[정규화1]:[정규화6]],$Q460,$I$3)&amp;""))-1),IF($I$3="","",INDEX(인턴계획표[[정규화1]:[정규화6]],$Q460,$I$3)&amp;"")))))</f>
        <v/>
      </c>
      <c r="I460">
        <f>IF($Q460="","",IF(IF($I$3="","",INDEX(인턴계획표[[정규화1]:[정규화6]],$Q460,$I$3)&amp;"")="","",IF(LEFT(IF($I$3="","",INDEX(인턴계획표[[정규화1]:[정규화6]],$Q460,$I$3)&amp;""),1)="⚠","",IFERROR(MID(IF($I$3="","",INDEX(인턴계획표[[정규화1]:[정규화6]],$Q460,$I$3)&amp;""),FIND(" ",IF($I$3="","",INDEX(인턴계획표[[정규화1]:[정규화6]],$Q460,$I$3)&amp;""))+1,60),""))))</f>
        <v/>
      </c>
      <c r="J460">
        <f>IF($Q460="","",INDEX(인턴계획표[정규화1],$Q460))</f>
        <v/>
      </c>
      <c r="K460">
        <f>IF($Q460="","",INDEX(인턴계획표[정규화2],$Q460))</f>
        <v/>
      </c>
      <c r="L460">
        <f>IF($Q460="","",INDEX(인턴계획표[정규화3],$Q460))</f>
        <v/>
      </c>
      <c r="M460">
        <f>IF($Q460="","",INDEX(인턴계획표[정규화4],$Q460))</f>
        <v/>
      </c>
      <c r="N460">
        <f>IF($Q460="","",INDEX(인턴계획표[정규화5],$Q460))</f>
        <v/>
      </c>
      <c r="O460">
        <f>IF($Q460="","",INDEX(인턴계획표[정규화6],$Q460))</f>
        <v/>
      </c>
      <c r="P460">
        <f>IF($Q460="","",INDEX(인턴계획표[입력오류],$Q460))</f>
        <v/>
      </c>
      <c r="Q460" s="17">
        <f>IFERROR(MATCH(455,인턴계획표[표시순번],0),"")</f>
        <v/>
      </c>
    </row>
    <row r="461">
      <c r="A461">
        <f>IF($Q461="","",INDEX(인턴계획표[순번],$Q461)&amp;"")</f>
        <v/>
      </c>
      <c r="B461">
        <f>IF($Q461="","",TRIM(INDEX(인턴계획표[이름],$Q461)&amp;""))</f>
        <v/>
      </c>
      <c r="C461">
        <f>IF($Q461="","",INDEX(인턴계획표[사번],$Q461)&amp;"")</f>
        <v/>
      </c>
      <c r="D461">
        <f>IF($Q461="","",IF(COUNTIF(기본자료표[사번키],INDEX(인턴계획표[사번키],$Q461))&gt;0,"확인","미등록"))</f>
        <v/>
      </c>
      <c r="E461">
        <f>IF($Q461="","",IF(ISNUMBER(INDEX(인턴계획표[입사일(비고)],$Q461)),TEXT(INDEX(인턴계획표[입사일(비고)],$Q461),"yyyy-mm-dd"),INDEX(인턴계획표[입사일(비고)],$Q461)&amp;""))</f>
        <v/>
      </c>
      <c r="F461">
        <f>IF($Q461="","",IF(IF($G$3="","",INDEX(인턴계획표[[정규화1]:[정규화6]],$Q461,$G$3)&amp;"")="","",IF(LEFT(IF($G$3="","",INDEX(인턴계획표[[정규화1]:[정규화6]],$Q461,$G$3)&amp;""),1)="⚠",IF($G$3="","",INDEX(인턴계획표[[정규화1]:[정규화6]],$Q461,$G$3)&amp;""),IFERROR(LEFT(IF($G$3="","",INDEX(인턴계획표[[정규화1]:[정규화6]],$Q461,$G$3)&amp;""),FIND(" ",IF($G$3="","",INDEX(인턴계획표[[정규화1]:[정규화6]],$Q461,$G$3)&amp;""))-1),IF($G$3="","",INDEX(인턴계획표[[정규화1]:[정규화6]],$Q461,$G$3)&amp;"")))))</f>
        <v/>
      </c>
      <c r="G461">
        <f>IF($Q461="","",IF(IF($G$3="","",INDEX(인턴계획표[[정규화1]:[정규화6]],$Q461,$G$3)&amp;"")="","",IF(LEFT(IF($G$3="","",INDEX(인턴계획표[[정규화1]:[정규화6]],$Q461,$G$3)&amp;""),1)="⚠","",IFERROR(MID(IF($G$3="","",INDEX(인턴계획표[[정규화1]:[정규화6]],$Q461,$G$3)&amp;""),FIND(" ",IF($G$3="","",INDEX(인턴계획표[[정규화1]:[정규화6]],$Q461,$G$3)&amp;""))+1,60),""))))</f>
        <v/>
      </c>
      <c r="H461">
        <f>IF($Q461="","",IF(IF($I$3="","",INDEX(인턴계획표[[정규화1]:[정규화6]],$Q461,$I$3)&amp;"")="","",IF(LEFT(IF($I$3="","",INDEX(인턴계획표[[정규화1]:[정규화6]],$Q461,$I$3)&amp;""),1)="⚠",IF($I$3="","",INDEX(인턴계획표[[정규화1]:[정규화6]],$Q461,$I$3)&amp;""),IFERROR(LEFT(IF($I$3="","",INDEX(인턴계획표[[정규화1]:[정규화6]],$Q461,$I$3)&amp;""),FIND(" ",IF($I$3="","",INDEX(인턴계획표[[정규화1]:[정규화6]],$Q461,$I$3)&amp;""))-1),IF($I$3="","",INDEX(인턴계획표[[정규화1]:[정규화6]],$Q461,$I$3)&amp;"")))))</f>
        <v/>
      </c>
      <c r="I461">
        <f>IF($Q461="","",IF(IF($I$3="","",INDEX(인턴계획표[[정규화1]:[정규화6]],$Q461,$I$3)&amp;"")="","",IF(LEFT(IF($I$3="","",INDEX(인턴계획표[[정규화1]:[정규화6]],$Q461,$I$3)&amp;""),1)="⚠","",IFERROR(MID(IF($I$3="","",INDEX(인턴계획표[[정규화1]:[정규화6]],$Q461,$I$3)&amp;""),FIND(" ",IF($I$3="","",INDEX(인턴계획표[[정규화1]:[정규화6]],$Q461,$I$3)&amp;""))+1,60),""))))</f>
        <v/>
      </c>
      <c r="J461">
        <f>IF($Q461="","",INDEX(인턴계획표[정규화1],$Q461))</f>
        <v/>
      </c>
      <c r="K461">
        <f>IF($Q461="","",INDEX(인턴계획표[정규화2],$Q461))</f>
        <v/>
      </c>
      <c r="L461">
        <f>IF($Q461="","",INDEX(인턴계획표[정규화3],$Q461))</f>
        <v/>
      </c>
      <c r="M461">
        <f>IF($Q461="","",INDEX(인턴계획표[정규화4],$Q461))</f>
        <v/>
      </c>
      <c r="N461">
        <f>IF($Q461="","",INDEX(인턴계획표[정규화5],$Q461))</f>
        <v/>
      </c>
      <c r="O461">
        <f>IF($Q461="","",INDEX(인턴계획표[정규화6],$Q461))</f>
        <v/>
      </c>
      <c r="P461">
        <f>IF($Q461="","",INDEX(인턴계획표[입력오류],$Q461))</f>
        <v/>
      </c>
      <c r="Q461" s="17">
        <f>IFERROR(MATCH(456,인턴계획표[표시순번],0),"")</f>
        <v/>
      </c>
    </row>
    <row r="462">
      <c r="A462">
        <f>IF($Q462="","",INDEX(인턴계획표[순번],$Q462)&amp;"")</f>
        <v/>
      </c>
      <c r="B462">
        <f>IF($Q462="","",TRIM(INDEX(인턴계획표[이름],$Q462)&amp;""))</f>
        <v/>
      </c>
      <c r="C462">
        <f>IF($Q462="","",INDEX(인턴계획표[사번],$Q462)&amp;"")</f>
        <v/>
      </c>
      <c r="D462">
        <f>IF($Q462="","",IF(COUNTIF(기본자료표[사번키],INDEX(인턴계획표[사번키],$Q462))&gt;0,"확인","미등록"))</f>
        <v/>
      </c>
      <c r="E462">
        <f>IF($Q462="","",IF(ISNUMBER(INDEX(인턴계획표[입사일(비고)],$Q462)),TEXT(INDEX(인턴계획표[입사일(비고)],$Q462),"yyyy-mm-dd"),INDEX(인턴계획표[입사일(비고)],$Q462)&amp;""))</f>
        <v/>
      </c>
      <c r="F462">
        <f>IF($Q462="","",IF(IF($G$3="","",INDEX(인턴계획표[[정규화1]:[정규화6]],$Q462,$G$3)&amp;"")="","",IF(LEFT(IF($G$3="","",INDEX(인턴계획표[[정규화1]:[정규화6]],$Q462,$G$3)&amp;""),1)="⚠",IF($G$3="","",INDEX(인턴계획표[[정규화1]:[정규화6]],$Q462,$G$3)&amp;""),IFERROR(LEFT(IF($G$3="","",INDEX(인턴계획표[[정규화1]:[정규화6]],$Q462,$G$3)&amp;""),FIND(" ",IF($G$3="","",INDEX(인턴계획표[[정규화1]:[정규화6]],$Q462,$G$3)&amp;""))-1),IF($G$3="","",INDEX(인턴계획표[[정규화1]:[정규화6]],$Q462,$G$3)&amp;"")))))</f>
        <v/>
      </c>
      <c r="G462">
        <f>IF($Q462="","",IF(IF($G$3="","",INDEX(인턴계획표[[정규화1]:[정규화6]],$Q462,$G$3)&amp;"")="","",IF(LEFT(IF($G$3="","",INDEX(인턴계획표[[정규화1]:[정규화6]],$Q462,$G$3)&amp;""),1)="⚠","",IFERROR(MID(IF($G$3="","",INDEX(인턴계획표[[정규화1]:[정규화6]],$Q462,$G$3)&amp;""),FIND(" ",IF($G$3="","",INDEX(인턴계획표[[정규화1]:[정규화6]],$Q462,$G$3)&amp;""))+1,60),""))))</f>
        <v/>
      </c>
      <c r="H462">
        <f>IF($Q462="","",IF(IF($I$3="","",INDEX(인턴계획표[[정규화1]:[정규화6]],$Q462,$I$3)&amp;"")="","",IF(LEFT(IF($I$3="","",INDEX(인턴계획표[[정규화1]:[정규화6]],$Q462,$I$3)&amp;""),1)="⚠",IF($I$3="","",INDEX(인턴계획표[[정규화1]:[정규화6]],$Q462,$I$3)&amp;""),IFERROR(LEFT(IF($I$3="","",INDEX(인턴계획표[[정규화1]:[정규화6]],$Q462,$I$3)&amp;""),FIND(" ",IF($I$3="","",INDEX(인턴계획표[[정규화1]:[정규화6]],$Q462,$I$3)&amp;""))-1),IF($I$3="","",INDEX(인턴계획표[[정규화1]:[정규화6]],$Q462,$I$3)&amp;"")))))</f>
        <v/>
      </c>
      <c r="I462">
        <f>IF($Q462="","",IF(IF($I$3="","",INDEX(인턴계획표[[정규화1]:[정규화6]],$Q462,$I$3)&amp;"")="","",IF(LEFT(IF($I$3="","",INDEX(인턴계획표[[정규화1]:[정규화6]],$Q462,$I$3)&amp;""),1)="⚠","",IFERROR(MID(IF($I$3="","",INDEX(인턴계획표[[정규화1]:[정규화6]],$Q462,$I$3)&amp;""),FIND(" ",IF($I$3="","",INDEX(인턴계획표[[정규화1]:[정규화6]],$Q462,$I$3)&amp;""))+1,60),""))))</f>
        <v/>
      </c>
      <c r="J462">
        <f>IF($Q462="","",INDEX(인턴계획표[정규화1],$Q462))</f>
        <v/>
      </c>
      <c r="K462">
        <f>IF($Q462="","",INDEX(인턴계획표[정규화2],$Q462))</f>
        <v/>
      </c>
      <c r="L462">
        <f>IF($Q462="","",INDEX(인턴계획표[정규화3],$Q462))</f>
        <v/>
      </c>
      <c r="M462">
        <f>IF($Q462="","",INDEX(인턴계획표[정규화4],$Q462))</f>
        <v/>
      </c>
      <c r="N462">
        <f>IF($Q462="","",INDEX(인턴계획표[정규화5],$Q462))</f>
        <v/>
      </c>
      <c r="O462">
        <f>IF($Q462="","",INDEX(인턴계획표[정규화6],$Q462))</f>
        <v/>
      </c>
      <c r="P462">
        <f>IF($Q462="","",INDEX(인턴계획표[입력오류],$Q462))</f>
        <v/>
      </c>
      <c r="Q462" s="17">
        <f>IFERROR(MATCH(457,인턴계획표[표시순번],0),"")</f>
        <v/>
      </c>
    </row>
    <row r="463">
      <c r="A463">
        <f>IF($Q463="","",INDEX(인턴계획표[순번],$Q463)&amp;"")</f>
        <v/>
      </c>
      <c r="B463">
        <f>IF($Q463="","",TRIM(INDEX(인턴계획표[이름],$Q463)&amp;""))</f>
        <v/>
      </c>
      <c r="C463">
        <f>IF($Q463="","",INDEX(인턴계획표[사번],$Q463)&amp;"")</f>
        <v/>
      </c>
      <c r="D463">
        <f>IF($Q463="","",IF(COUNTIF(기본자료표[사번키],INDEX(인턴계획표[사번키],$Q463))&gt;0,"확인","미등록"))</f>
        <v/>
      </c>
      <c r="E463">
        <f>IF($Q463="","",IF(ISNUMBER(INDEX(인턴계획표[입사일(비고)],$Q463)),TEXT(INDEX(인턴계획표[입사일(비고)],$Q463),"yyyy-mm-dd"),INDEX(인턴계획표[입사일(비고)],$Q463)&amp;""))</f>
        <v/>
      </c>
      <c r="F463">
        <f>IF($Q463="","",IF(IF($G$3="","",INDEX(인턴계획표[[정규화1]:[정규화6]],$Q463,$G$3)&amp;"")="","",IF(LEFT(IF($G$3="","",INDEX(인턴계획표[[정규화1]:[정규화6]],$Q463,$G$3)&amp;""),1)="⚠",IF($G$3="","",INDEX(인턴계획표[[정규화1]:[정규화6]],$Q463,$G$3)&amp;""),IFERROR(LEFT(IF($G$3="","",INDEX(인턴계획표[[정규화1]:[정규화6]],$Q463,$G$3)&amp;""),FIND(" ",IF($G$3="","",INDEX(인턴계획표[[정규화1]:[정규화6]],$Q463,$G$3)&amp;""))-1),IF($G$3="","",INDEX(인턴계획표[[정규화1]:[정규화6]],$Q463,$G$3)&amp;"")))))</f>
        <v/>
      </c>
      <c r="G463">
        <f>IF($Q463="","",IF(IF($G$3="","",INDEX(인턴계획표[[정규화1]:[정규화6]],$Q463,$G$3)&amp;"")="","",IF(LEFT(IF($G$3="","",INDEX(인턴계획표[[정규화1]:[정규화6]],$Q463,$G$3)&amp;""),1)="⚠","",IFERROR(MID(IF($G$3="","",INDEX(인턴계획표[[정규화1]:[정규화6]],$Q463,$G$3)&amp;""),FIND(" ",IF($G$3="","",INDEX(인턴계획표[[정규화1]:[정규화6]],$Q463,$G$3)&amp;""))+1,60),""))))</f>
        <v/>
      </c>
      <c r="H463">
        <f>IF($Q463="","",IF(IF($I$3="","",INDEX(인턴계획표[[정규화1]:[정규화6]],$Q463,$I$3)&amp;"")="","",IF(LEFT(IF($I$3="","",INDEX(인턴계획표[[정규화1]:[정규화6]],$Q463,$I$3)&amp;""),1)="⚠",IF($I$3="","",INDEX(인턴계획표[[정규화1]:[정규화6]],$Q463,$I$3)&amp;""),IFERROR(LEFT(IF($I$3="","",INDEX(인턴계획표[[정규화1]:[정규화6]],$Q463,$I$3)&amp;""),FIND(" ",IF($I$3="","",INDEX(인턴계획표[[정규화1]:[정규화6]],$Q463,$I$3)&amp;""))-1),IF($I$3="","",INDEX(인턴계획표[[정규화1]:[정규화6]],$Q463,$I$3)&amp;"")))))</f>
        <v/>
      </c>
      <c r="I463">
        <f>IF($Q463="","",IF(IF($I$3="","",INDEX(인턴계획표[[정규화1]:[정규화6]],$Q463,$I$3)&amp;"")="","",IF(LEFT(IF($I$3="","",INDEX(인턴계획표[[정규화1]:[정규화6]],$Q463,$I$3)&amp;""),1)="⚠","",IFERROR(MID(IF($I$3="","",INDEX(인턴계획표[[정규화1]:[정규화6]],$Q463,$I$3)&amp;""),FIND(" ",IF($I$3="","",INDEX(인턴계획표[[정규화1]:[정규화6]],$Q463,$I$3)&amp;""))+1,60),""))))</f>
        <v/>
      </c>
      <c r="J463">
        <f>IF($Q463="","",INDEX(인턴계획표[정규화1],$Q463))</f>
        <v/>
      </c>
      <c r="K463">
        <f>IF($Q463="","",INDEX(인턴계획표[정규화2],$Q463))</f>
        <v/>
      </c>
      <c r="L463">
        <f>IF($Q463="","",INDEX(인턴계획표[정규화3],$Q463))</f>
        <v/>
      </c>
      <c r="M463">
        <f>IF($Q463="","",INDEX(인턴계획표[정규화4],$Q463))</f>
        <v/>
      </c>
      <c r="N463">
        <f>IF($Q463="","",INDEX(인턴계획표[정규화5],$Q463))</f>
        <v/>
      </c>
      <c r="O463">
        <f>IF($Q463="","",INDEX(인턴계획표[정규화6],$Q463))</f>
        <v/>
      </c>
      <c r="P463">
        <f>IF($Q463="","",INDEX(인턴계획표[입력오류],$Q463))</f>
        <v/>
      </c>
      <c r="Q463" s="17">
        <f>IFERROR(MATCH(458,인턴계획표[표시순번],0),"")</f>
        <v/>
      </c>
    </row>
    <row r="464">
      <c r="A464">
        <f>IF($Q464="","",INDEX(인턴계획표[순번],$Q464)&amp;"")</f>
        <v/>
      </c>
      <c r="B464">
        <f>IF($Q464="","",TRIM(INDEX(인턴계획표[이름],$Q464)&amp;""))</f>
        <v/>
      </c>
      <c r="C464">
        <f>IF($Q464="","",INDEX(인턴계획표[사번],$Q464)&amp;"")</f>
        <v/>
      </c>
      <c r="D464">
        <f>IF($Q464="","",IF(COUNTIF(기본자료표[사번키],INDEX(인턴계획표[사번키],$Q464))&gt;0,"확인","미등록"))</f>
        <v/>
      </c>
      <c r="E464">
        <f>IF($Q464="","",IF(ISNUMBER(INDEX(인턴계획표[입사일(비고)],$Q464)),TEXT(INDEX(인턴계획표[입사일(비고)],$Q464),"yyyy-mm-dd"),INDEX(인턴계획표[입사일(비고)],$Q464)&amp;""))</f>
        <v/>
      </c>
      <c r="F464">
        <f>IF($Q464="","",IF(IF($G$3="","",INDEX(인턴계획표[[정규화1]:[정규화6]],$Q464,$G$3)&amp;"")="","",IF(LEFT(IF($G$3="","",INDEX(인턴계획표[[정규화1]:[정규화6]],$Q464,$G$3)&amp;""),1)="⚠",IF($G$3="","",INDEX(인턴계획표[[정규화1]:[정규화6]],$Q464,$G$3)&amp;""),IFERROR(LEFT(IF($G$3="","",INDEX(인턴계획표[[정규화1]:[정규화6]],$Q464,$G$3)&amp;""),FIND(" ",IF($G$3="","",INDEX(인턴계획표[[정규화1]:[정규화6]],$Q464,$G$3)&amp;""))-1),IF($G$3="","",INDEX(인턴계획표[[정규화1]:[정규화6]],$Q464,$G$3)&amp;"")))))</f>
        <v/>
      </c>
      <c r="G464">
        <f>IF($Q464="","",IF(IF($G$3="","",INDEX(인턴계획표[[정규화1]:[정규화6]],$Q464,$G$3)&amp;"")="","",IF(LEFT(IF($G$3="","",INDEX(인턴계획표[[정규화1]:[정규화6]],$Q464,$G$3)&amp;""),1)="⚠","",IFERROR(MID(IF($G$3="","",INDEX(인턴계획표[[정규화1]:[정규화6]],$Q464,$G$3)&amp;""),FIND(" ",IF($G$3="","",INDEX(인턴계획표[[정규화1]:[정규화6]],$Q464,$G$3)&amp;""))+1,60),""))))</f>
        <v/>
      </c>
      <c r="H464">
        <f>IF($Q464="","",IF(IF($I$3="","",INDEX(인턴계획표[[정규화1]:[정규화6]],$Q464,$I$3)&amp;"")="","",IF(LEFT(IF($I$3="","",INDEX(인턴계획표[[정규화1]:[정규화6]],$Q464,$I$3)&amp;""),1)="⚠",IF($I$3="","",INDEX(인턴계획표[[정규화1]:[정규화6]],$Q464,$I$3)&amp;""),IFERROR(LEFT(IF($I$3="","",INDEX(인턴계획표[[정규화1]:[정규화6]],$Q464,$I$3)&amp;""),FIND(" ",IF($I$3="","",INDEX(인턴계획표[[정규화1]:[정규화6]],$Q464,$I$3)&amp;""))-1),IF($I$3="","",INDEX(인턴계획표[[정규화1]:[정규화6]],$Q464,$I$3)&amp;"")))))</f>
        <v/>
      </c>
      <c r="I464">
        <f>IF($Q464="","",IF(IF($I$3="","",INDEX(인턴계획표[[정규화1]:[정규화6]],$Q464,$I$3)&amp;"")="","",IF(LEFT(IF($I$3="","",INDEX(인턴계획표[[정규화1]:[정규화6]],$Q464,$I$3)&amp;""),1)="⚠","",IFERROR(MID(IF($I$3="","",INDEX(인턴계획표[[정규화1]:[정규화6]],$Q464,$I$3)&amp;""),FIND(" ",IF($I$3="","",INDEX(인턴계획표[[정규화1]:[정규화6]],$Q464,$I$3)&amp;""))+1,60),""))))</f>
        <v/>
      </c>
      <c r="J464">
        <f>IF($Q464="","",INDEX(인턴계획표[정규화1],$Q464))</f>
        <v/>
      </c>
      <c r="K464">
        <f>IF($Q464="","",INDEX(인턴계획표[정규화2],$Q464))</f>
        <v/>
      </c>
      <c r="L464">
        <f>IF($Q464="","",INDEX(인턴계획표[정규화3],$Q464))</f>
        <v/>
      </c>
      <c r="M464">
        <f>IF($Q464="","",INDEX(인턴계획표[정규화4],$Q464))</f>
        <v/>
      </c>
      <c r="N464">
        <f>IF($Q464="","",INDEX(인턴계획표[정규화5],$Q464))</f>
        <v/>
      </c>
      <c r="O464">
        <f>IF($Q464="","",INDEX(인턴계획표[정규화6],$Q464))</f>
        <v/>
      </c>
      <c r="P464">
        <f>IF($Q464="","",INDEX(인턴계획표[입력오류],$Q464))</f>
        <v/>
      </c>
      <c r="Q464" s="17">
        <f>IFERROR(MATCH(459,인턴계획표[표시순번],0),"")</f>
        <v/>
      </c>
    </row>
    <row r="465">
      <c r="A465">
        <f>IF($Q465="","",INDEX(인턴계획표[순번],$Q465)&amp;"")</f>
        <v/>
      </c>
      <c r="B465">
        <f>IF($Q465="","",TRIM(INDEX(인턴계획표[이름],$Q465)&amp;""))</f>
        <v/>
      </c>
      <c r="C465">
        <f>IF($Q465="","",INDEX(인턴계획표[사번],$Q465)&amp;"")</f>
        <v/>
      </c>
      <c r="D465">
        <f>IF($Q465="","",IF(COUNTIF(기본자료표[사번키],INDEX(인턴계획표[사번키],$Q465))&gt;0,"확인","미등록"))</f>
        <v/>
      </c>
      <c r="E465">
        <f>IF($Q465="","",IF(ISNUMBER(INDEX(인턴계획표[입사일(비고)],$Q465)),TEXT(INDEX(인턴계획표[입사일(비고)],$Q465),"yyyy-mm-dd"),INDEX(인턴계획표[입사일(비고)],$Q465)&amp;""))</f>
        <v/>
      </c>
      <c r="F465">
        <f>IF($Q465="","",IF(IF($G$3="","",INDEX(인턴계획표[[정규화1]:[정규화6]],$Q465,$G$3)&amp;"")="","",IF(LEFT(IF($G$3="","",INDEX(인턴계획표[[정규화1]:[정규화6]],$Q465,$G$3)&amp;""),1)="⚠",IF($G$3="","",INDEX(인턴계획표[[정규화1]:[정규화6]],$Q465,$G$3)&amp;""),IFERROR(LEFT(IF($G$3="","",INDEX(인턴계획표[[정규화1]:[정규화6]],$Q465,$G$3)&amp;""),FIND(" ",IF($G$3="","",INDEX(인턴계획표[[정규화1]:[정규화6]],$Q465,$G$3)&amp;""))-1),IF($G$3="","",INDEX(인턴계획표[[정규화1]:[정규화6]],$Q465,$G$3)&amp;"")))))</f>
        <v/>
      </c>
      <c r="G465">
        <f>IF($Q465="","",IF(IF($G$3="","",INDEX(인턴계획표[[정규화1]:[정규화6]],$Q465,$G$3)&amp;"")="","",IF(LEFT(IF($G$3="","",INDEX(인턴계획표[[정규화1]:[정규화6]],$Q465,$G$3)&amp;""),1)="⚠","",IFERROR(MID(IF($G$3="","",INDEX(인턴계획표[[정규화1]:[정규화6]],$Q465,$G$3)&amp;""),FIND(" ",IF($G$3="","",INDEX(인턴계획표[[정규화1]:[정규화6]],$Q465,$G$3)&amp;""))+1,60),""))))</f>
        <v/>
      </c>
      <c r="H465">
        <f>IF($Q465="","",IF(IF($I$3="","",INDEX(인턴계획표[[정규화1]:[정규화6]],$Q465,$I$3)&amp;"")="","",IF(LEFT(IF($I$3="","",INDEX(인턴계획표[[정규화1]:[정규화6]],$Q465,$I$3)&amp;""),1)="⚠",IF($I$3="","",INDEX(인턴계획표[[정규화1]:[정규화6]],$Q465,$I$3)&amp;""),IFERROR(LEFT(IF($I$3="","",INDEX(인턴계획표[[정규화1]:[정규화6]],$Q465,$I$3)&amp;""),FIND(" ",IF($I$3="","",INDEX(인턴계획표[[정규화1]:[정규화6]],$Q465,$I$3)&amp;""))-1),IF($I$3="","",INDEX(인턴계획표[[정규화1]:[정규화6]],$Q465,$I$3)&amp;"")))))</f>
        <v/>
      </c>
      <c r="I465">
        <f>IF($Q465="","",IF(IF($I$3="","",INDEX(인턴계획표[[정규화1]:[정규화6]],$Q465,$I$3)&amp;"")="","",IF(LEFT(IF($I$3="","",INDEX(인턴계획표[[정규화1]:[정규화6]],$Q465,$I$3)&amp;""),1)="⚠","",IFERROR(MID(IF($I$3="","",INDEX(인턴계획표[[정규화1]:[정규화6]],$Q465,$I$3)&amp;""),FIND(" ",IF($I$3="","",INDEX(인턴계획표[[정규화1]:[정규화6]],$Q465,$I$3)&amp;""))+1,60),""))))</f>
        <v/>
      </c>
      <c r="J465">
        <f>IF($Q465="","",INDEX(인턴계획표[정규화1],$Q465))</f>
        <v/>
      </c>
      <c r="K465">
        <f>IF($Q465="","",INDEX(인턴계획표[정규화2],$Q465))</f>
        <v/>
      </c>
      <c r="L465">
        <f>IF($Q465="","",INDEX(인턴계획표[정규화3],$Q465))</f>
        <v/>
      </c>
      <c r="M465">
        <f>IF($Q465="","",INDEX(인턴계획표[정규화4],$Q465))</f>
        <v/>
      </c>
      <c r="N465">
        <f>IF($Q465="","",INDEX(인턴계획표[정규화5],$Q465))</f>
        <v/>
      </c>
      <c r="O465">
        <f>IF($Q465="","",INDEX(인턴계획표[정규화6],$Q465))</f>
        <v/>
      </c>
      <c r="P465">
        <f>IF($Q465="","",INDEX(인턴계획표[입력오류],$Q465))</f>
        <v/>
      </c>
      <c r="Q465" s="17">
        <f>IFERROR(MATCH(460,인턴계획표[표시순번],0),"")</f>
        <v/>
      </c>
    </row>
    <row r="466">
      <c r="A466">
        <f>IF($Q466="","",INDEX(인턴계획표[순번],$Q466)&amp;"")</f>
        <v/>
      </c>
      <c r="B466">
        <f>IF($Q466="","",TRIM(INDEX(인턴계획표[이름],$Q466)&amp;""))</f>
        <v/>
      </c>
      <c r="C466">
        <f>IF($Q466="","",INDEX(인턴계획표[사번],$Q466)&amp;"")</f>
        <v/>
      </c>
      <c r="D466">
        <f>IF($Q466="","",IF(COUNTIF(기본자료표[사번키],INDEX(인턴계획표[사번키],$Q466))&gt;0,"확인","미등록"))</f>
        <v/>
      </c>
      <c r="E466">
        <f>IF($Q466="","",IF(ISNUMBER(INDEX(인턴계획표[입사일(비고)],$Q466)),TEXT(INDEX(인턴계획표[입사일(비고)],$Q466),"yyyy-mm-dd"),INDEX(인턴계획표[입사일(비고)],$Q466)&amp;""))</f>
        <v/>
      </c>
      <c r="F466">
        <f>IF($Q466="","",IF(IF($G$3="","",INDEX(인턴계획표[[정규화1]:[정규화6]],$Q466,$G$3)&amp;"")="","",IF(LEFT(IF($G$3="","",INDEX(인턴계획표[[정규화1]:[정규화6]],$Q466,$G$3)&amp;""),1)="⚠",IF($G$3="","",INDEX(인턴계획표[[정규화1]:[정규화6]],$Q466,$G$3)&amp;""),IFERROR(LEFT(IF($G$3="","",INDEX(인턴계획표[[정규화1]:[정규화6]],$Q466,$G$3)&amp;""),FIND(" ",IF($G$3="","",INDEX(인턴계획표[[정규화1]:[정규화6]],$Q466,$G$3)&amp;""))-1),IF($G$3="","",INDEX(인턴계획표[[정규화1]:[정규화6]],$Q466,$G$3)&amp;"")))))</f>
        <v/>
      </c>
      <c r="G466">
        <f>IF($Q466="","",IF(IF($G$3="","",INDEX(인턴계획표[[정규화1]:[정규화6]],$Q466,$G$3)&amp;"")="","",IF(LEFT(IF($G$3="","",INDEX(인턴계획표[[정규화1]:[정규화6]],$Q466,$G$3)&amp;""),1)="⚠","",IFERROR(MID(IF($G$3="","",INDEX(인턴계획표[[정규화1]:[정규화6]],$Q466,$G$3)&amp;""),FIND(" ",IF($G$3="","",INDEX(인턴계획표[[정규화1]:[정규화6]],$Q466,$G$3)&amp;""))+1,60),""))))</f>
        <v/>
      </c>
      <c r="H466">
        <f>IF($Q466="","",IF(IF($I$3="","",INDEX(인턴계획표[[정규화1]:[정규화6]],$Q466,$I$3)&amp;"")="","",IF(LEFT(IF($I$3="","",INDEX(인턴계획표[[정규화1]:[정규화6]],$Q466,$I$3)&amp;""),1)="⚠",IF($I$3="","",INDEX(인턴계획표[[정규화1]:[정규화6]],$Q466,$I$3)&amp;""),IFERROR(LEFT(IF($I$3="","",INDEX(인턴계획표[[정규화1]:[정규화6]],$Q466,$I$3)&amp;""),FIND(" ",IF($I$3="","",INDEX(인턴계획표[[정규화1]:[정규화6]],$Q466,$I$3)&amp;""))-1),IF($I$3="","",INDEX(인턴계획표[[정규화1]:[정규화6]],$Q466,$I$3)&amp;"")))))</f>
        <v/>
      </c>
      <c r="I466">
        <f>IF($Q466="","",IF(IF($I$3="","",INDEX(인턴계획표[[정규화1]:[정규화6]],$Q466,$I$3)&amp;"")="","",IF(LEFT(IF($I$3="","",INDEX(인턴계획표[[정규화1]:[정규화6]],$Q466,$I$3)&amp;""),1)="⚠","",IFERROR(MID(IF($I$3="","",INDEX(인턴계획표[[정규화1]:[정규화6]],$Q466,$I$3)&amp;""),FIND(" ",IF($I$3="","",INDEX(인턴계획표[[정규화1]:[정규화6]],$Q466,$I$3)&amp;""))+1,60),""))))</f>
        <v/>
      </c>
      <c r="J466">
        <f>IF($Q466="","",INDEX(인턴계획표[정규화1],$Q466))</f>
        <v/>
      </c>
      <c r="K466">
        <f>IF($Q466="","",INDEX(인턴계획표[정규화2],$Q466))</f>
        <v/>
      </c>
      <c r="L466">
        <f>IF($Q466="","",INDEX(인턴계획표[정규화3],$Q466))</f>
        <v/>
      </c>
      <c r="M466">
        <f>IF($Q466="","",INDEX(인턴계획표[정규화4],$Q466))</f>
        <v/>
      </c>
      <c r="N466">
        <f>IF($Q466="","",INDEX(인턴계획표[정규화5],$Q466))</f>
        <v/>
      </c>
      <c r="O466">
        <f>IF($Q466="","",INDEX(인턴계획표[정규화6],$Q466))</f>
        <v/>
      </c>
      <c r="P466">
        <f>IF($Q466="","",INDEX(인턴계획표[입력오류],$Q466))</f>
        <v/>
      </c>
      <c r="Q466" s="17">
        <f>IFERROR(MATCH(461,인턴계획표[표시순번],0),"")</f>
        <v/>
      </c>
    </row>
    <row r="467">
      <c r="A467">
        <f>IF($Q467="","",INDEX(인턴계획표[순번],$Q467)&amp;"")</f>
        <v/>
      </c>
      <c r="B467">
        <f>IF($Q467="","",TRIM(INDEX(인턴계획표[이름],$Q467)&amp;""))</f>
        <v/>
      </c>
      <c r="C467">
        <f>IF($Q467="","",INDEX(인턴계획표[사번],$Q467)&amp;"")</f>
        <v/>
      </c>
      <c r="D467">
        <f>IF($Q467="","",IF(COUNTIF(기본자료표[사번키],INDEX(인턴계획표[사번키],$Q467))&gt;0,"확인","미등록"))</f>
        <v/>
      </c>
      <c r="E467">
        <f>IF($Q467="","",IF(ISNUMBER(INDEX(인턴계획표[입사일(비고)],$Q467)),TEXT(INDEX(인턴계획표[입사일(비고)],$Q467),"yyyy-mm-dd"),INDEX(인턴계획표[입사일(비고)],$Q467)&amp;""))</f>
        <v/>
      </c>
      <c r="F467">
        <f>IF($Q467="","",IF(IF($G$3="","",INDEX(인턴계획표[[정규화1]:[정규화6]],$Q467,$G$3)&amp;"")="","",IF(LEFT(IF($G$3="","",INDEX(인턴계획표[[정규화1]:[정규화6]],$Q467,$G$3)&amp;""),1)="⚠",IF($G$3="","",INDEX(인턴계획표[[정규화1]:[정규화6]],$Q467,$G$3)&amp;""),IFERROR(LEFT(IF($G$3="","",INDEX(인턴계획표[[정규화1]:[정규화6]],$Q467,$G$3)&amp;""),FIND(" ",IF($G$3="","",INDEX(인턴계획표[[정규화1]:[정규화6]],$Q467,$G$3)&amp;""))-1),IF($G$3="","",INDEX(인턴계획표[[정규화1]:[정규화6]],$Q467,$G$3)&amp;"")))))</f>
        <v/>
      </c>
      <c r="G467">
        <f>IF($Q467="","",IF(IF($G$3="","",INDEX(인턴계획표[[정규화1]:[정규화6]],$Q467,$G$3)&amp;"")="","",IF(LEFT(IF($G$3="","",INDEX(인턴계획표[[정규화1]:[정규화6]],$Q467,$G$3)&amp;""),1)="⚠","",IFERROR(MID(IF($G$3="","",INDEX(인턴계획표[[정규화1]:[정규화6]],$Q467,$G$3)&amp;""),FIND(" ",IF($G$3="","",INDEX(인턴계획표[[정규화1]:[정규화6]],$Q467,$G$3)&amp;""))+1,60),""))))</f>
        <v/>
      </c>
      <c r="H467">
        <f>IF($Q467="","",IF(IF($I$3="","",INDEX(인턴계획표[[정규화1]:[정규화6]],$Q467,$I$3)&amp;"")="","",IF(LEFT(IF($I$3="","",INDEX(인턴계획표[[정규화1]:[정규화6]],$Q467,$I$3)&amp;""),1)="⚠",IF($I$3="","",INDEX(인턴계획표[[정규화1]:[정규화6]],$Q467,$I$3)&amp;""),IFERROR(LEFT(IF($I$3="","",INDEX(인턴계획표[[정규화1]:[정규화6]],$Q467,$I$3)&amp;""),FIND(" ",IF($I$3="","",INDEX(인턴계획표[[정규화1]:[정규화6]],$Q467,$I$3)&amp;""))-1),IF($I$3="","",INDEX(인턴계획표[[정규화1]:[정규화6]],$Q467,$I$3)&amp;"")))))</f>
        <v/>
      </c>
      <c r="I467">
        <f>IF($Q467="","",IF(IF($I$3="","",INDEX(인턴계획표[[정규화1]:[정규화6]],$Q467,$I$3)&amp;"")="","",IF(LEFT(IF($I$3="","",INDEX(인턴계획표[[정규화1]:[정규화6]],$Q467,$I$3)&amp;""),1)="⚠","",IFERROR(MID(IF($I$3="","",INDEX(인턴계획표[[정규화1]:[정규화6]],$Q467,$I$3)&amp;""),FIND(" ",IF($I$3="","",INDEX(인턴계획표[[정규화1]:[정규화6]],$Q467,$I$3)&amp;""))+1,60),""))))</f>
        <v/>
      </c>
      <c r="J467">
        <f>IF($Q467="","",INDEX(인턴계획표[정규화1],$Q467))</f>
        <v/>
      </c>
      <c r="K467">
        <f>IF($Q467="","",INDEX(인턴계획표[정규화2],$Q467))</f>
        <v/>
      </c>
      <c r="L467">
        <f>IF($Q467="","",INDEX(인턴계획표[정규화3],$Q467))</f>
        <v/>
      </c>
      <c r="M467">
        <f>IF($Q467="","",INDEX(인턴계획표[정규화4],$Q467))</f>
        <v/>
      </c>
      <c r="N467">
        <f>IF($Q467="","",INDEX(인턴계획표[정규화5],$Q467))</f>
        <v/>
      </c>
      <c r="O467">
        <f>IF($Q467="","",INDEX(인턴계획표[정규화6],$Q467))</f>
        <v/>
      </c>
      <c r="P467">
        <f>IF($Q467="","",INDEX(인턴계획표[입력오류],$Q467))</f>
        <v/>
      </c>
      <c r="Q467" s="17">
        <f>IFERROR(MATCH(462,인턴계획표[표시순번],0),"")</f>
        <v/>
      </c>
    </row>
    <row r="468">
      <c r="A468">
        <f>IF($Q468="","",INDEX(인턴계획표[순번],$Q468)&amp;"")</f>
        <v/>
      </c>
      <c r="B468">
        <f>IF($Q468="","",TRIM(INDEX(인턴계획표[이름],$Q468)&amp;""))</f>
        <v/>
      </c>
      <c r="C468">
        <f>IF($Q468="","",INDEX(인턴계획표[사번],$Q468)&amp;"")</f>
        <v/>
      </c>
      <c r="D468">
        <f>IF($Q468="","",IF(COUNTIF(기본자료표[사번키],INDEX(인턴계획표[사번키],$Q468))&gt;0,"확인","미등록"))</f>
        <v/>
      </c>
      <c r="E468">
        <f>IF($Q468="","",IF(ISNUMBER(INDEX(인턴계획표[입사일(비고)],$Q468)),TEXT(INDEX(인턴계획표[입사일(비고)],$Q468),"yyyy-mm-dd"),INDEX(인턴계획표[입사일(비고)],$Q468)&amp;""))</f>
        <v/>
      </c>
      <c r="F468">
        <f>IF($Q468="","",IF(IF($G$3="","",INDEX(인턴계획표[[정규화1]:[정규화6]],$Q468,$G$3)&amp;"")="","",IF(LEFT(IF($G$3="","",INDEX(인턴계획표[[정규화1]:[정규화6]],$Q468,$G$3)&amp;""),1)="⚠",IF($G$3="","",INDEX(인턴계획표[[정규화1]:[정규화6]],$Q468,$G$3)&amp;""),IFERROR(LEFT(IF($G$3="","",INDEX(인턴계획표[[정규화1]:[정규화6]],$Q468,$G$3)&amp;""),FIND(" ",IF($G$3="","",INDEX(인턴계획표[[정규화1]:[정규화6]],$Q468,$G$3)&amp;""))-1),IF($G$3="","",INDEX(인턴계획표[[정규화1]:[정규화6]],$Q468,$G$3)&amp;"")))))</f>
        <v/>
      </c>
      <c r="G468">
        <f>IF($Q468="","",IF(IF($G$3="","",INDEX(인턴계획표[[정규화1]:[정규화6]],$Q468,$G$3)&amp;"")="","",IF(LEFT(IF($G$3="","",INDEX(인턴계획표[[정규화1]:[정규화6]],$Q468,$G$3)&amp;""),1)="⚠","",IFERROR(MID(IF($G$3="","",INDEX(인턴계획표[[정규화1]:[정규화6]],$Q468,$G$3)&amp;""),FIND(" ",IF($G$3="","",INDEX(인턴계획표[[정규화1]:[정규화6]],$Q468,$G$3)&amp;""))+1,60),""))))</f>
        <v/>
      </c>
      <c r="H468">
        <f>IF($Q468="","",IF(IF($I$3="","",INDEX(인턴계획표[[정규화1]:[정규화6]],$Q468,$I$3)&amp;"")="","",IF(LEFT(IF($I$3="","",INDEX(인턴계획표[[정규화1]:[정규화6]],$Q468,$I$3)&amp;""),1)="⚠",IF($I$3="","",INDEX(인턴계획표[[정규화1]:[정규화6]],$Q468,$I$3)&amp;""),IFERROR(LEFT(IF($I$3="","",INDEX(인턴계획표[[정규화1]:[정규화6]],$Q468,$I$3)&amp;""),FIND(" ",IF($I$3="","",INDEX(인턴계획표[[정규화1]:[정규화6]],$Q468,$I$3)&amp;""))-1),IF($I$3="","",INDEX(인턴계획표[[정규화1]:[정규화6]],$Q468,$I$3)&amp;"")))))</f>
        <v/>
      </c>
      <c r="I468">
        <f>IF($Q468="","",IF(IF($I$3="","",INDEX(인턴계획표[[정규화1]:[정규화6]],$Q468,$I$3)&amp;"")="","",IF(LEFT(IF($I$3="","",INDEX(인턴계획표[[정규화1]:[정규화6]],$Q468,$I$3)&amp;""),1)="⚠","",IFERROR(MID(IF($I$3="","",INDEX(인턴계획표[[정규화1]:[정규화6]],$Q468,$I$3)&amp;""),FIND(" ",IF($I$3="","",INDEX(인턴계획표[[정규화1]:[정규화6]],$Q468,$I$3)&amp;""))+1,60),""))))</f>
        <v/>
      </c>
      <c r="J468">
        <f>IF($Q468="","",INDEX(인턴계획표[정규화1],$Q468))</f>
        <v/>
      </c>
      <c r="K468">
        <f>IF($Q468="","",INDEX(인턴계획표[정규화2],$Q468))</f>
        <v/>
      </c>
      <c r="L468">
        <f>IF($Q468="","",INDEX(인턴계획표[정규화3],$Q468))</f>
        <v/>
      </c>
      <c r="M468">
        <f>IF($Q468="","",INDEX(인턴계획표[정규화4],$Q468))</f>
        <v/>
      </c>
      <c r="N468">
        <f>IF($Q468="","",INDEX(인턴계획표[정규화5],$Q468))</f>
        <v/>
      </c>
      <c r="O468">
        <f>IF($Q468="","",INDEX(인턴계획표[정규화6],$Q468))</f>
        <v/>
      </c>
      <c r="P468">
        <f>IF($Q468="","",INDEX(인턴계획표[입력오류],$Q468))</f>
        <v/>
      </c>
      <c r="Q468" s="17">
        <f>IFERROR(MATCH(463,인턴계획표[표시순번],0),"")</f>
        <v/>
      </c>
    </row>
    <row r="469">
      <c r="A469">
        <f>IF($Q469="","",INDEX(인턴계획표[순번],$Q469)&amp;"")</f>
        <v/>
      </c>
      <c r="B469">
        <f>IF($Q469="","",TRIM(INDEX(인턴계획표[이름],$Q469)&amp;""))</f>
        <v/>
      </c>
      <c r="C469">
        <f>IF($Q469="","",INDEX(인턴계획표[사번],$Q469)&amp;"")</f>
        <v/>
      </c>
      <c r="D469">
        <f>IF($Q469="","",IF(COUNTIF(기본자료표[사번키],INDEX(인턴계획표[사번키],$Q469))&gt;0,"확인","미등록"))</f>
        <v/>
      </c>
      <c r="E469">
        <f>IF($Q469="","",IF(ISNUMBER(INDEX(인턴계획표[입사일(비고)],$Q469)),TEXT(INDEX(인턴계획표[입사일(비고)],$Q469),"yyyy-mm-dd"),INDEX(인턴계획표[입사일(비고)],$Q469)&amp;""))</f>
        <v/>
      </c>
      <c r="F469">
        <f>IF($Q469="","",IF(IF($G$3="","",INDEX(인턴계획표[[정규화1]:[정규화6]],$Q469,$G$3)&amp;"")="","",IF(LEFT(IF($G$3="","",INDEX(인턴계획표[[정규화1]:[정규화6]],$Q469,$G$3)&amp;""),1)="⚠",IF($G$3="","",INDEX(인턴계획표[[정규화1]:[정규화6]],$Q469,$G$3)&amp;""),IFERROR(LEFT(IF($G$3="","",INDEX(인턴계획표[[정규화1]:[정규화6]],$Q469,$G$3)&amp;""),FIND(" ",IF($G$3="","",INDEX(인턴계획표[[정규화1]:[정규화6]],$Q469,$G$3)&amp;""))-1),IF($G$3="","",INDEX(인턴계획표[[정규화1]:[정규화6]],$Q469,$G$3)&amp;"")))))</f>
        <v/>
      </c>
      <c r="G469">
        <f>IF($Q469="","",IF(IF($G$3="","",INDEX(인턴계획표[[정규화1]:[정규화6]],$Q469,$G$3)&amp;"")="","",IF(LEFT(IF($G$3="","",INDEX(인턴계획표[[정규화1]:[정규화6]],$Q469,$G$3)&amp;""),1)="⚠","",IFERROR(MID(IF($G$3="","",INDEX(인턴계획표[[정규화1]:[정규화6]],$Q469,$G$3)&amp;""),FIND(" ",IF($G$3="","",INDEX(인턴계획표[[정규화1]:[정규화6]],$Q469,$G$3)&amp;""))+1,60),""))))</f>
        <v/>
      </c>
      <c r="H469">
        <f>IF($Q469="","",IF(IF($I$3="","",INDEX(인턴계획표[[정규화1]:[정규화6]],$Q469,$I$3)&amp;"")="","",IF(LEFT(IF($I$3="","",INDEX(인턴계획표[[정규화1]:[정규화6]],$Q469,$I$3)&amp;""),1)="⚠",IF($I$3="","",INDEX(인턴계획표[[정규화1]:[정규화6]],$Q469,$I$3)&amp;""),IFERROR(LEFT(IF($I$3="","",INDEX(인턴계획표[[정규화1]:[정규화6]],$Q469,$I$3)&amp;""),FIND(" ",IF($I$3="","",INDEX(인턴계획표[[정규화1]:[정규화6]],$Q469,$I$3)&amp;""))-1),IF($I$3="","",INDEX(인턴계획표[[정규화1]:[정규화6]],$Q469,$I$3)&amp;"")))))</f>
        <v/>
      </c>
      <c r="I469">
        <f>IF($Q469="","",IF(IF($I$3="","",INDEX(인턴계획표[[정규화1]:[정규화6]],$Q469,$I$3)&amp;"")="","",IF(LEFT(IF($I$3="","",INDEX(인턴계획표[[정규화1]:[정규화6]],$Q469,$I$3)&amp;""),1)="⚠","",IFERROR(MID(IF($I$3="","",INDEX(인턴계획표[[정규화1]:[정규화6]],$Q469,$I$3)&amp;""),FIND(" ",IF($I$3="","",INDEX(인턴계획표[[정규화1]:[정규화6]],$Q469,$I$3)&amp;""))+1,60),""))))</f>
        <v/>
      </c>
      <c r="J469">
        <f>IF($Q469="","",INDEX(인턴계획표[정규화1],$Q469))</f>
        <v/>
      </c>
      <c r="K469">
        <f>IF($Q469="","",INDEX(인턴계획표[정규화2],$Q469))</f>
        <v/>
      </c>
      <c r="L469">
        <f>IF($Q469="","",INDEX(인턴계획표[정규화3],$Q469))</f>
        <v/>
      </c>
      <c r="M469">
        <f>IF($Q469="","",INDEX(인턴계획표[정규화4],$Q469))</f>
        <v/>
      </c>
      <c r="N469">
        <f>IF($Q469="","",INDEX(인턴계획표[정규화5],$Q469))</f>
        <v/>
      </c>
      <c r="O469">
        <f>IF($Q469="","",INDEX(인턴계획표[정규화6],$Q469))</f>
        <v/>
      </c>
      <c r="P469">
        <f>IF($Q469="","",INDEX(인턴계획표[입력오류],$Q469))</f>
        <v/>
      </c>
      <c r="Q469" s="17">
        <f>IFERROR(MATCH(464,인턴계획표[표시순번],0),"")</f>
        <v/>
      </c>
    </row>
    <row r="470">
      <c r="A470">
        <f>IF($Q470="","",INDEX(인턴계획표[순번],$Q470)&amp;"")</f>
        <v/>
      </c>
      <c r="B470">
        <f>IF($Q470="","",TRIM(INDEX(인턴계획표[이름],$Q470)&amp;""))</f>
        <v/>
      </c>
      <c r="C470">
        <f>IF($Q470="","",INDEX(인턴계획표[사번],$Q470)&amp;"")</f>
        <v/>
      </c>
      <c r="D470">
        <f>IF($Q470="","",IF(COUNTIF(기본자료표[사번키],INDEX(인턴계획표[사번키],$Q470))&gt;0,"확인","미등록"))</f>
        <v/>
      </c>
      <c r="E470">
        <f>IF($Q470="","",IF(ISNUMBER(INDEX(인턴계획표[입사일(비고)],$Q470)),TEXT(INDEX(인턴계획표[입사일(비고)],$Q470),"yyyy-mm-dd"),INDEX(인턴계획표[입사일(비고)],$Q470)&amp;""))</f>
        <v/>
      </c>
      <c r="F470">
        <f>IF($Q470="","",IF(IF($G$3="","",INDEX(인턴계획표[[정규화1]:[정규화6]],$Q470,$G$3)&amp;"")="","",IF(LEFT(IF($G$3="","",INDEX(인턴계획표[[정규화1]:[정규화6]],$Q470,$G$3)&amp;""),1)="⚠",IF($G$3="","",INDEX(인턴계획표[[정규화1]:[정규화6]],$Q470,$G$3)&amp;""),IFERROR(LEFT(IF($G$3="","",INDEX(인턴계획표[[정규화1]:[정규화6]],$Q470,$G$3)&amp;""),FIND(" ",IF($G$3="","",INDEX(인턴계획표[[정규화1]:[정규화6]],$Q470,$G$3)&amp;""))-1),IF($G$3="","",INDEX(인턴계획표[[정규화1]:[정규화6]],$Q470,$G$3)&amp;"")))))</f>
        <v/>
      </c>
      <c r="G470">
        <f>IF($Q470="","",IF(IF($G$3="","",INDEX(인턴계획표[[정규화1]:[정규화6]],$Q470,$G$3)&amp;"")="","",IF(LEFT(IF($G$3="","",INDEX(인턴계획표[[정규화1]:[정규화6]],$Q470,$G$3)&amp;""),1)="⚠","",IFERROR(MID(IF($G$3="","",INDEX(인턴계획표[[정규화1]:[정규화6]],$Q470,$G$3)&amp;""),FIND(" ",IF($G$3="","",INDEX(인턴계획표[[정규화1]:[정규화6]],$Q470,$G$3)&amp;""))+1,60),""))))</f>
        <v/>
      </c>
      <c r="H470">
        <f>IF($Q470="","",IF(IF($I$3="","",INDEX(인턴계획표[[정규화1]:[정규화6]],$Q470,$I$3)&amp;"")="","",IF(LEFT(IF($I$3="","",INDEX(인턴계획표[[정규화1]:[정규화6]],$Q470,$I$3)&amp;""),1)="⚠",IF($I$3="","",INDEX(인턴계획표[[정규화1]:[정규화6]],$Q470,$I$3)&amp;""),IFERROR(LEFT(IF($I$3="","",INDEX(인턴계획표[[정규화1]:[정규화6]],$Q470,$I$3)&amp;""),FIND(" ",IF($I$3="","",INDEX(인턴계획표[[정규화1]:[정규화6]],$Q470,$I$3)&amp;""))-1),IF($I$3="","",INDEX(인턴계획표[[정규화1]:[정규화6]],$Q470,$I$3)&amp;"")))))</f>
        <v/>
      </c>
      <c r="I470">
        <f>IF($Q470="","",IF(IF($I$3="","",INDEX(인턴계획표[[정규화1]:[정규화6]],$Q470,$I$3)&amp;"")="","",IF(LEFT(IF($I$3="","",INDEX(인턴계획표[[정규화1]:[정규화6]],$Q470,$I$3)&amp;""),1)="⚠","",IFERROR(MID(IF($I$3="","",INDEX(인턴계획표[[정규화1]:[정규화6]],$Q470,$I$3)&amp;""),FIND(" ",IF($I$3="","",INDEX(인턴계획표[[정규화1]:[정규화6]],$Q470,$I$3)&amp;""))+1,60),""))))</f>
        <v/>
      </c>
      <c r="J470">
        <f>IF($Q470="","",INDEX(인턴계획표[정규화1],$Q470))</f>
        <v/>
      </c>
      <c r="K470">
        <f>IF($Q470="","",INDEX(인턴계획표[정규화2],$Q470))</f>
        <v/>
      </c>
      <c r="L470">
        <f>IF($Q470="","",INDEX(인턴계획표[정규화3],$Q470))</f>
        <v/>
      </c>
      <c r="M470">
        <f>IF($Q470="","",INDEX(인턴계획표[정규화4],$Q470))</f>
        <v/>
      </c>
      <c r="N470">
        <f>IF($Q470="","",INDEX(인턴계획표[정규화5],$Q470))</f>
        <v/>
      </c>
      <c r="O470">
        <f>IF($Q470="","",INDEX(인턴계획표[정규화6],$Q470))</f>
        <v/>
      </c>
      <c r="P470">
        <f>IF($Q470="","",INDEX(인턴계획표[입력오류],$Q470))</f>
        <v/>
      </c>
      <c r="Q470" s="17">
        <f>IFERROR(MATCH(465,인턴계획표[표시순번],0),"")</f>
        <v/>
      </c>
    </row>
    <row r="471">
      <c r="A471">
        <f>IF($Q471="","",INDEX(인턴계획표[순번],$Q471)&amp;"")</f>
        <v/>
      </c>
      <c r="B471">
        <f>IF($Q471="","",TRIM(INDEX(인턴계획표[이름],$Q471)&amp;""))</f>
        <v/>
      </c>
      <c r="C471">
        <f>IF($Q471="","",INDEX(인턴계획표[사번],$Q471)&amp;"")</f>
        <v/>
      </c>
      <c r="D471">
        <f>IF($Q471="","",IF(COUNTIF(기본자료표[사번키],INDEX(인턴계획표[사번키],$Q471))&gt;0,"확인","미등록"))</f>
        <v/>
      </c>
      <c r="E471">
        <f>IF($Q471="","",IF(ISNUMBER(INDEX(인턴계획표[입사일(비고)],$Q471)),TEXT(INDEX(인턴계획표[입사일(비고)],$Q471),"yyyy-mm-dd"),INDEX(인턴계획표[입사일(비고)],$Q471)&amp;""))</f>
        <v/>
      </c>
      <c r="F471">
        <f>IF($Q471="","",IF(IF($G$3="","",INDEX(인턴계획표[[정규화1]:[정규화6]],$Q471,$G$3)&amp;"")="","",IF(LEFT(IF($G$3="","",INDEX(인턴계획표[[정규화1]:[정규화6]],$Q471,$G$3)&amp;""),1)="⚠",IF($G$3="","",INDEX(인턴계획표[[정규화1]:[정규화6]],$Q471,$G$3)&amp;""),IFERROR(LEFT(IF($G$3="","",INDEX(인턴계획표[[정규화1]:[정규화6]],$Q471,$G$3)&amp;""),FIND(" ",IF($G$3="","",INDEX(인턴계획표[[정규화1]:[정규화6]],$Q471,$G$3)&amp;""))-1),IF($G$3="","",INDEX(인턴계획표[[정규화1]:[정규화6]],$Q471,$G$3)&amp;"")))))</f>
        <v/>
      </c>
      <c r="G471">
        <f>IF($Q471="","",IF(IF($G$3="","",INDEX(인턴계획표[[정규화1]:[정규화6]],$Q471,$G$3)&amp;"")="","",IF(LEFT(IF($G$3="","",INDEX(인턴계획표[[정규화1]:[정규화6]],$Q471,$G$3)&amp;""),1)="⚠","",IFERROR(MID(IF($G$3="","",INDEX(인턴계획표[[정규화1]:[정규화6]],$Q471,$G$3)&amp;""),FIND(" ",IF($G$3="","",INDEX(인턴계획표[[정규화1]:[정규화6]],$Q471,$G$3)&amp;""))+1,60),""))))</f>
        <v/>
      </c>
      <c r="H471">
        <f>IF($Q471="","",IF(IF($I$3="","",INDEX(인턴계획표[[정규화1]:[정규화6]],$Q471,$I$3)&amp;"")="","",IF(LEFT(IF($I$3="","",INDEX(인턴계획표[[정규화1]:[정규화6]],$Q471,$I$3)&amp;""),1)="⚠",IF($I$3="","",INDEX(인턴계획표[[정규화1]:[정규화6]],$Q471,$I$3)&amp;""),IFERROR(LEFT(IF($I$3="","",INDEX(인턴계획표[[정규화1]:[정규화6]],$Q471,$I$3)&amp;""),FIND(" ",IF($I$3="","",INDEX(인턴계획표[[정규화1]:[정규화6]],$Q471,$I$3)&amp;""))-1),IF($I$3="","",INDEX(인턴계획표[[정규화1]:[정규화6]],$Q471,$I$3)&amp;"")))))</f>
        <v/>
      </c>
      <c r="I471">
        <f>IF($Q471="","",IF(IF($I$3="","",INDEX(인턴계획표[[정규화1]:[정규화6]],$Q471,$I$3)&amp;"")="","",IF(LEFT(IF($I$3="","",INDEX(인턴계획표[[정규화1]:[정규화6]],$Q471,$I$3)&amp;""),1)="⚠","",IFERROR(MID(IF($I$3="","",INDEX(인턴계획표[[정규화1]:[정규화6]],$Q471,$I$3)&amp;""),FIND(" ",IF($I$3="","",INDEX(인턴계획표[[정규화1]:[정규화6]],$Q471,$I$3)&amp;""))+1,60),""))))</f>
        <v/>
      </c>
      <c r="J471">
        <f>IF($Q471="","",INDEX(인턴계획표[정규화1],$Q471))</f>
        <v/>
      </c>
      <c r="K471">
        <f>IF($Q471="","",INDEX(인턴계획표[정규화2],$Q471))</f>
        <v/>
      </c>
      <c r="L471">
        <f>IF($Q471="","",INDEX(인턴계획표[정규화3],$Q471))</f>
        <v/>
      </c>
      <c r="M471">
        <f>IF($Q471="","",INDEX(인턴계획표[정규화4],$Q471))</f>
        <v/>
      </c>
      <c r="N471">
        <f>IF($Q471="","",INDEX(인턴계획표[정규화5],$Q471))</f>
        <v/>
      </c>
      <c r="O471">
        <f>IF($Q471="","",INDEX(인턴계획표[정규화6],$Q471))</f>
        <v/>
      </c>
      <c r="P471">
        <f>IF($Q471="","",INDEX(인턴계획표[입력오류],$Q471))</f>
        <v/>
      </c>
      <c r="Q471" s="17">
        <f>IFERROR(MATCH(466,인턴계획표[표시순번],0),"")</f>
        <v/>
      </c>
    </row>
    <row r="472">
      <c r="A472">
        <f>IF($Q472="","",INDEX(인턴계획표[순번],$Q472)&amp;"")</f>
        <v/>
      </c>
      <c r="B472">
        <f>IF($Q472="","",TRIM(INDEX(인턴계획표[이름],$Q472)&amp;""))</f>
        <v/>
      </c>
      <c r="C472">
        <f>IF($Q472="","",INDEX(인턴계획표[사번],$Q472)&amp;"")</f>
        <v/>
      </c>
      <c r="D472">
        <f>IF($Q472="","",IF(COUNTIF(기본자료표[사번키],INDEX(인턴계획표[사번키],$Q472))&gt;0,"확인","미등록"))</f>
        <v/>
      </c>
      <c r="E472">
        <f>IF($Q472="","",IF(ISNUMBER(INDEX(인턴계획표[입사일(비고)],$Q472)),TEXT(INDEX(인턴계획표[입사일(비고)],$Q472),"yyyy-mm-dd"),INDEX(인턴계획표[입사일(비고)],$Q472)&amp;""))</f>
        <v/>
      </c>
      <c r="F472">
        <f>IF($Q472="","",IF(IF($G$3="","",INDEX(인턴계획표[[정규화1]:[정규화6]],$Q472,$G$3)&amp;"")="","",IF(LEFT(IF($G$3="","",INDEX(인턴계획표[[정규화1]:[정규화6]],$Q472,$G$3)&amp;""),1)="⚠",IF($G$3="","",INDEX(인턴계획표[[정규화1]:[정규화6]],$Q472,$G$3)&amp;""),IFERROR(LEFT(IF($G$3="","",INDEX(인턴계획표[[정규화1]:[정규화6]],$Q472,$G$3)&amp;""),FIND(" ",IF($G$3="","",INDEX(인턴계획표[[정규화1]:[정규화6]],$Q472,$G$3)&amp;""))-1),IF($G$3="","",INDEX(인턴계획표[[정규화1]:[정규화6]],$Q472,$G$3)&amp;"")))))</f>
        <v/>
      </c>
      <c r="G472">
        <f>IF($Q472="","",IF(IF($G$3="","",INDEX(인턴계획표[[정규화1]:[정규화6]],$Q472,$G$3)&amp;"")="","",IF(LEFT(IF($G$3="","",INDEX(인턴계획표[[정규화1]:[정규화6]],$Q472,$G$3)&amp;""),1)="⚠","",IFERROR(MID(IF($G$3="","",INDEX(인턴계획표[[정규화1]:[정규화6]],$Q472,$G$3)&amp;""),FIND(" ",IF($G$3="","",INDEX(인턴계획표[[정규화1]:[정규화6]],$Q472,$G$3)&amp;""))+1,60),""))))</f>
        <v/>
      </c>
      <c r="H472">
        <f>IF($Q472="","",IF(IF($I$3="","",INDEX(인턴계획표[[정규화1]:[정규화6]],$Q472,$I$3)&amp;"")="","",IF(LEFT(IF($I$3="","",INDEX(인턴계획표[[정규화1]:[정규화6]],$Q472,$I$3)&amp;""),1)="⚠",IF($I$3="","",INDEX(인턴계획표[[정규화1]:[정규화6]],$Q472,$I$3)&amp;""),IFERROR(LEFT(IF($I$3="","",INDEX(인턴계획표[[정규화1]:[정규화6]],$Q472,$I$3)&amp;""),FIND(" ",IF($I$3="","",INDEX(인턴계획표[[정규화1]:[정규화6]],$Q472,$I$3)&amp;""))-1),IF($I$3="","",INDEX(인턴계획표[[정규화1]:[정규화6]],$Q472,$I$3)&amp;"")))))</f>
        <v/>
      </c>
      <c r="I472">
        <f>IF($Q472="","",IF(IF($I$3="","",INDEX(인턴계획표[[정규화1]:[정규화6]],$Q472,$I$3)&amp;"")="","",IF(LEFT(IF($I$3="","",INDEX(인턴계획표[[정규화1]:[정규화6]],$Q472,$I$3)&amp;""),1)="⚠","",IFERROR(MID(IF($I$3="","",INDEX(인턴계획표[[정규화1]:[정규화6]],$Q472,$I$3)&amp;""),FIND(" ",IF($I$3="","",INDEX(인턴계획표[[정규화1]:[정규화6]],$Q472,$I$3)&amp;""))+1,60),""))))</f>
        <v/>
      </c>
      <c r="J472">
        <f>IF($Q472="","",INDEX(인턴계획표[정규화1],$Q472))</f>
        <v/>
      </c>
      <c r="K472">
        <f>IF($Q472="","",INDEX(인턴계획표[정규화2],$Q472))</f>
        <v/>
      </c>
      <c r="L472">
        <f>IF($Q472="","",INDEX(인턴계획표[정규화3],$Q472))</f>
        <v/>
      </c>
      <c r="M472">
        <f>IF($Q472="","",INDEX(인턴계획표[정규화4],$Q472))</f>
        <v/>
      </c>
      <c r="N472">
        <f>IF($Q472="","",INDEX(인턴계획표[정규화5],$Q472))</f>
        <v/>
      </c>
      <c r="O472">
        <f>IF($Q472="","",INDEX(인턴계획표[정규화6],$Q472))</f>
        <v/>
      </c>
      <c r="P472">
        <f>IF($Q472="","",INDEX(인턴계획표[입력오류],$Q472))</f>
        <v/>
      </c>
      <c r="Q472" s="17">
        <f>IFERROR(MATCH(467,인턴계획표[표시순번],0),"")</f>
        <v/>
      </c>
    </row>
    <row r="473">
      <c r="A473">
        <f>IF($Q473="","",INDEX(인턴계획표[순번],$Q473)&amp;"")</f>
        <v/>
      </c>
      <c r="B473">
        <f>IF($Q473="","",TRIM(INDEX(인턴계획표[이름],$Q473)&amp;""))</f>
        <v/>
      </c>
      <c r="C473">
        <f>IF($Q473="","",INDEX(인턴계획표[사번],$Q473)&amp;"")</f>
        <v/>
      </c>
      <c r="D473">
        <f>IF($Q473="","",IF(COUNTIF(기본자료표[사번키],INDEX(인턴계획표[사번키],$Q473))&gt;0,"확인","미등록"))</f>
        <v/>
      </c>
      <c r="E473">
        <f>IF($Q473="","",IF(ISNUMBER(INDEX(인턴계획표[입사일(비고)],$Q473)),TEXT(INDEX(인턴계획표[입사일(비고)],$Q473),"yyyy-mm-dd"),INDEX(인턴계획표[입사일(비고)],$Q473)&amp;""))</f>
        <v/>
      </c>
      <c r="F473">
        <f>IF($Q473="","",IF(IF($G$3="","",INDEX(인턴계획표[[정규화1]:[정규화6]],$Q473,$G$3)&amp;"")="","",IF(LEFT(IF($G$3="","",INDEX(인턴계획표[[정규화1]:[정규화6]],$Q473,$G$3)&amp;""),1)="⚠",IF($G$3="","",INDEX(인턴계획표[[정규화1]:[정규화6]],$Q473,$G$3)&amp;""),IFERROR(LEFT(IF($G$3="","",INDEX(인턴계획표[[정규화1]:[정규화6]],$Q473,$G$3)&amp;""),FIND(" ",IF($G$3="","",INDEX(인턴계획표[[정규화1]:[정규화6]],$Q473,$G$3)&amp;""))-1),IF($G$3="","",INDEX(인턴계획표[[정규화1]:[정규화6]],$Q473,$G$3)&amp;"")))))</f>
        <v/>
      </c>
      <c r="G473">
        <f>IF($Q473="","",IF(IF($G$3="","",INDEX(인턴계획표[[정규화1]:[정규화6]],$Q473,$G$3)&amp;"")="","",IF(LEFT(IF($G$3="","",INDEX(인턴계획표[[정규화1]:[정규화6]],$Q473,$G$3)&amp;""),1)="⚠","",IFERROR(MID(IF($G$3="","",INDEX(인턴계획표[[정규화1]:[정규화6]],$Q473,$G$3)&amp;""),FIND(" ",IF($G$3="","",INDEX(인턴계획표[[정규화1]:[정규화6]],$Q473,$G$3)&amp;""))+1,60),""))))</f>
        <v/>
      </c>
      <c r="H473">
        <f>IF($Q473="","",IF(IF($I$3="","",INDEX(인턴계획표[[정규화1]:[정규화6]],$Q473,$I$3)&amp;"")="","",IF(LEFT(IF($I$3="","",INDEX(인턴계획표[[정규화1]:[정규화6]],$Q473,$I$3)&amp;""),1)="⚠",IF($I$3="","",INDEX(인턴계획표[[정규화1]:[정규화6]],$Q473,$I$3)&amp;""),IFERROR(LEFT(IF($I$3="","",INDEX(인턴계획표[[정규화1]:[정규화6]],$Q473,$I$3)&amp;""),FIND(" ",IF($I$3="","",INDEX(인턴계획표[[정규화1]:[정규화6]],$Q473,$I$3)&amp;""))-1),IF($I$3="","",INDEX(인턴계획표[[정규화1]:[정규화6]],$Q473,$I$3)&amp;"")))))</f>
        <v/>
      </c>
      <c r="I473">
        <f>IF($Q473="","",IF(IF($I$3="","",INDEX(인턴계획표[[정규화1]:[정규화6]],$Q473,$I$3)&amp;"")="","",IF(LEFT(IF($I$3="","",INDEX(인턴계획표[[정규화1]:[정규화6]],$Q473,$I$3)&amp;""),1)="⚠","",IFERROR(MID(IF($I$3="","",INDEX(인턴계획표[[정규화1]:[정규화6]],$Q473,$I$3)&amp;""),FIND(" ",IF($I$3="","",INDEX(인턴계획표[[정규화1]:[정규화6]],$Q473,$I$3)&amp;""))+1,60),""))))</f>
        <v/>
      </c>
      <c r="J473">
        <f>IF($Q473="","",INDEX(인턴계획표[정규화1],$Q473))</f>
        <v/>
      </c>
      <c r="K473">
        <f>IF($Q473="","",INDEX(인턴계획표[정규화2],$Q473))</f>
        <v/>
      </c>
      <c r="L473">
        <f>IF($Q473="","",INDEX(인턴계획표[정규화3],$Q473))</f>
        <v/>
      </c>
      <c r="M473">
        <f>IF($Q473="","",INDEX(인턴계획표[정규화4],$Q473))</f>
        <v/>
      </c>
      <c r="N473">
        <f>IF($Q473="","",INDEX(인턴계획표[정규화5],$Q473))</f>
        <v/>
      </c>
      <c r="O473">
        <f>IF($Q473="","",INDEX(인턴계획표[정규화6],$Q473))</f>
        <v/>
      </c>
      <c r="P473">
        <f>IF($Q473="","",INDEX(인턴계획표[입력오류],$Q473))</f>
        <v/>
      </c>
      <c r="Q473" s="17">
        <f>IFERROR(MATCH(468,인턴계획표[표시순번],0),"")</f>
        <v/>
      </c>
    </row>
    <row r="474">
      <c r="A474">
        <f>IF($Q474="","",INDEX(인턴계획표[순번],$Q474)&amp;"")</f>
        <v/>
      </c>
      <c r="B474">
        <f>IF($Q474="","",TRIM(INDEX(인턴계획표[이름],$Q474)&amp;""))</f>
        <v/>
      </c>
      <c r="C474">
        <f>IF($Q474="","",INDEX(인턴계획표[사번],$Q474)&amp;"")</f>
        <v/>
      </c>
      <c r="D474">
        <f>IF($Q474="","",IF(COUNTIF(기본자료표[사번키],INDEX(인턴계획표[사번키],$Q474))&gt;0,"확인","미등록"))</f>
        <v/>
      </c>
      <c r="E474">
        <f>IF($Q474="","",IF(ISNUMBER(INDEX(인턴계획표[입사일(비고)],$Q474)),TEXT(INDEX(인턴계획표[입사일(비고)],$Q474),"yyyy-mm-dd"),INDEX(인턴계획표[입사일(비고)],$Q474)&amp;""))</f>
        <v/>
      </c>
      <c r="F474">
        <f>IF($Q474="","",IF(IF($G$3="","",INDEX(인턴계획표[[정규화1]:[정규화6]],$Q474,$G$3)&amp;"")="","",IF(LEFT(IF($G$3="","",INDEX(인턴계획표[[정규화1]:[정규화6]],$Q474,$G$3)&amp;""),1)="⚠",IF($G$3="","",INDEX(인턴계획표[[정규화1]:[정규화6]],$Q474,$G$3)&amp;""),IFERROR(LEFT(IF($G$3="","",INDEX(인턴계획표[[정규화1]:[정규화6]],$Q474,$G$3)&amp;""),FIND(" ",IF($G$3="","",INDEX(인턴계획표[[정규화1]:[정규화6]],$Q474,$G$3)&amp;""))-1),IF($G$3="","",INDEX(인턴계획표[[정규화1]:[정규화6]],$Q474,$G$3)&amp;"")))))</f>
        <v/>
      </c>
      <c r="G474">
        <f>IF($Q474="","",IF(IF($G$3="","",INDEX(인턴계획표[[정규화1]:[정규화6]],$Q474,$G$3)&amp;"")="","",IF(LEFT(IF($G$3="","",INDEX(인턴계획표[[정규화1]:[정규화6]],$Q474,$G$3)&amp;""),1)="⚠","",IFERROR(MID(IF($G$3="","",INDEX(인턴계획표[[정규화1]:[정규화6]],$Q474,$G$3)&amp;""),FIND(" ",IF($G$3="","",INDEX(인턴계획표[[정규화1]:[정규화6]],$Q474,$G$3)&amp;""))+1,60),""))))</f>
        <v/>
      </c>
      <c r="H474">
        <f>IF($Q474="","",IF(IF($I$3="","",INDEX(인턴계획표[[정규화1]:[정규화6]],$Q474,$I$3)&amp;"")="","",IF(LEFT(IF($I$3="","",INDEX(인턴계획표[[정규화1]:[정규화6]],$Q474,$I$3)&amp;""),1)="⚠",IF($I$3="","",INDEX(인턴계획표[[정규화1]:[정규화6]],$Q474,$I$3)&amp;""),IFERROR(LEFT(IF($I$3="","",INDEX(인턴계획표[[정규화1]:[정규화6]],$Q474,$I$3)&amp;""),FIND(" ",IF($I$3="","",INDEX(인턴계획표[[정규화1]:[정규화6]],$Q474,$I$3)&amp;""))-1),IF($I$3="","",INDEX(인턴계획표[[정규화1]:[정규화6]],$Q474,$I$3)&amp;"")))))</f>
        <v/>
      </c>
      <c r="I474">
        <f>IF($Q474="","",IF(IF($I$3="","",INDEX(인턴계획표[[정규화1]:[정규화6]],$Q474,$I$3)&amp;"")="","",IF(LEFT(IF($I$3="","",INDEX(인턴계획표[[정규화1]:[정규화6]],$Q474,$I$3)&amp;""),1)="⚠","",IFERROR(MID(IF($I$3="","",INDEX(인턴계획표[[정규화1]:[정규화6]],$Q474,$I$3)&amp;""),FIND(" ",IF($I$3="","",INDEX(인턴계획표[[정규화1]:[정규화6]],$Q474,$I$3)&amp;""))+1,60),""))))</f>
        <v/>
      </c>
      <c r="J474">
        <f>IF($Q474="","",INDEX(인턴계획표[정규화1],$Q474))</f>
        <v/>
      </c>
      <c r="K474">
        <f>IF($Q474="","",INDEX(인턴계획표[정규화2],$Q474))</f>
        <v/>
      </c>
      <c r="L474">
        <f>IF($Q474="","",INDEX(인턴계획표[정규화3],$Q474))</f>
        <v/>
      </c>
      <c r="M474">
        <f>IF($Q474="","",INDEX(인턴계획표[정규화4],$Q474))</f>
        <v/>
      </c>
      <c r="N474">
        <f>IF($Q474="","",INDEX(인턴계획표[정규화5],$Q474))</f>
        <v/>
      </c>
      <c r="O474">
        <f>IF($Q474="","",INDEX(인턴계획표[정규화6],$Q474))</f>
        <v/>
      </c>
      <c r="P474">
        <f>IF($Q474="","",INDEX(인턴계획표[입력오류],$Q474))</f>
        <v/>
      </c>
      <c r="Q474" s="17">
        <f>IFERROR(MATCH(469,인턴계획표[표시순번],0),"")</f>
        <v/>
      </c>
    </row>
    <row r="475">
      <c r="A475">
        <f>IF($Q475="","",INDEX(인턴계획표[순번],$Q475)&amp;"")</f>
        <v/>
      </c>
      <c r="B475">
        <f>IF($Q475="","",TRIM(INDEX(인턴계획표[이름],$Q475)&amp;""))</f>
        <v/>
      </c>
      <c r="C475">
        <f>IF($Q475="","",INDEX(인턴계획표[사번],$Q475)&amp;"")</f>
        <v/>
      </c>
      <c r="D475">
        <f>IF($Q475="","",IF(COUNTIF(기본자료표[사번키],INDEX(인턴계획표[사번키],$Q475))&gt;0,"확인","미등록"))</f>
        <v/>
      </c>
      <c r="E475">
        <f>IF($Q475="","",IF(ISNUMBER(INDEX(인턴계획표[입사일(비고)],$Q475)),TEXT(INDEX(인턴계획표[입사일(비고)],$Q475),"yyyy-mm-dd"),INDEX(인턴계획표[입사일(비고)],$Q475)&amp;""))</f>
        <v/>
      </c>
      <c r="F475">
        <f>IF($Q475="","",IF(IF($G$3="","",INDEX(인턴계획표[[정규화1]:[정규화6]],$Q475,$G$3)&amp;"")="","",IF(LEFT(IF($G$3="","",INDEX(인턴계획표[[정규화1]:[정규화6]],$Q475,$G$3)&amp;""),1)="⚠",IF($G$3="","",INDEX(인턴계획표[[정규화1]:[정규화6]],$Q475,$G$3)&amp;""),IFERROR(LEFT(IF($G$3="","",INDEX(인턴계획표[[정규화1]:[정규화6]],$Q475,$G$3)&amp;""),FIND(" ",IF($G$3="","",INDEX(인턴계획표[[정규화1]:[정규화6]],$Q475,$G$3)&amp;""))-1),IF($G$3="","",INDEX(인턴계획표[[정규화1]:[정규화6]],$Q475,$G$3)&amp;"")))))</f>
        <v/>
      </c>
      <c r="G475">
        <f>IF($Q475="","",IF(IF($G$3="","",INDEX(인턴계획표[[정규화1]:[정규화6]],$Q475,$G$3)&amp;"")="","",IF(LEFT(IF($G$3="","",INDEX(인턴계획표[[정규화1]:[정규화6]],$Q475,$G$3)&amp;""),1)="⚠","",IFERROR(MID(IF($G$3="","",INDEX(인턴계획표[[정규화1]:[정규화6]],$Q475,$G$3)&amp;""),FIND(" ",IF($G$3="","",INDEX(인턴계획표[[정규화1]:[정규화6]],$Q475,$G$3)&amp;""))+1,60),""))))</f>
        <v/>
      </c>
      <c r="H475">
        <f>IF($Q475="","",IF(IF($I$3="","",INDEX(인턴계획표[[정규화1]:[정규화6]],$Q475,$I$3)&amp;"")="","",IF(LEFT(IF($I$3="","",INDEX(인턴계획표[[정규화1]:[정규화6]],$Q475,$I$3)&amp;""),1)="⚠",IF($I$3="","",INDEX(인턴계획표[[정규화1]:[정규화6]],$Q475,$I$3)&amp;""),IFERROR(LEFT(IF($I$3="","",INDEX(인턴계획표[[정규화1]:[정규화6]],$Q475,$I$3)&amp;""),FIND(" ",IF($I$3="","",INDEX(인턴계획표[[정규화1]:[정규화6]],$Q475,$I$3)&amp;""))-1),IF($I$3="","",INDEX(인턴계획표[[정규화1]:[정규화6]],$Q475,$I$3)&amp;"")))))</f>
        <v/>
      </c>
      <c r="I475">
        <f>IF($Q475="","",IF(IF($I$3="","",INDEX(인턴계획표[[정규화1]:[정규화6]],$Q475,$I$3)&amp;"")="","",IF(LEFT(IF($I$3="","",INDEX(인턴계획표[[정규화1]:[정규화6]],$Q475,$I$3)&amp;""),1)="⚠","",IFERROR(MID(IF($I$3="","",INDEX(인턴계획표[[정규화1]:[정규화6]],$Q475,$I$3)&amp;""),FIND(" ",IF($I$3="","",INDEX(인턴계획표[[정규화1]:[정규화6]],$Q475,$I$3)&amp;""))+1,60),""))))</f>
        <v/>
      </c>
      <c r="J475">
        <f>IF($Q475="","",INDEX(인턴계획표[정규화1],$Q475))</f>
        <v/>
      </c>
      <c r="K475">
        <f>IF($Q475="","",INDEX(인턴계획표[정규화2],$Q475))</f>
        <v/>
      </c>
      <c r="L475">
        <f>IF($Q475="","",INDEX(인턴계획표[정규화3],$Q475))</f>
        <v/>
      </c>
      <c r="M475">
        <f>IF($Q475="","",INDEX(인턴계획표[정규화4],$Q475))</f>
        <v/>
      </c>
      <c r="N475">
        <f>IF($Q475="","",INDEX(인턴계획표[정규화5],$Q475))</f>
        <v/>
      </c>
      <c r="O475">
        <f>IF($Q475="","",INDEX(인턴계획표[정규화6],$Q475))</f>
        <v/>
      </c>
      <c r="P475">
        <f>IF($Q475="","",INDEX(인턴계획표[입력오류],$Q475))</f>
        <v/>
      </c>
      <c r="Q475" s="17">
        <f>IFERROR(MATCH(470,인턴계획표[표시순번],0),"")</f>
        <v/>
      </c>
    </row>
    <row r="476">
      <c r="A476">
        <f>IF($Q476="","",INDEX(인턴계획표[순번],$Q476)&amp;"")</f>
        <v/>
      </c>
      <c r="B476">
        <f>IF($Q476="","",TRIM(INDEX(인턴계획표[이름],$Q476)&amp;""))</f>
        <v/>
      </c>
      <c r="C476">
        <f>IF($Q476="","",INDEX(인턴계획표[사번],$Q476)&amp;"")</f>
        <v/>
      </c>
      <c r="D476">
        <f>IF($Q476="","",IF(COUNTIF(기본자료표[사번키],INDEX(인턴계획표[사번키],$Q476))&gt;0,"확인","미등록"))</f>
        <v/>
      </c>
      <c r="E476">
        <f>IF($Q476="","",IF(ISNUMBER(INDEX(인턴계획표[입사일(비고)],$Q476)),TEXT(INDEX(인턴계획표[입사일(비고)],$Q476),"yyyy-mm-dd"),INDEX(인턴계획표[입사일(비고)],$Q476)&amp;""))</f>
        <v/>
      </c>
      <c r="F476">
        <f>IF($Q476="","",IF(IF($G$3="","",INDEX(인턴계획표[[정규화1]:[정규화6]],$Q476,$G$3)&amp;"")="","",IF(LEFT(IF($G$3="","",INDEX(인턴계획표[[정규화1]:[정규화6]],$Q476,$G$3)&amp;""),1)="⚠",IF($G$3="","",INDEX(인턴계획표[[정규화1]:[정규화6]],$Q476,$G$3)&amp;""),IFERROR(LEFT(IF($G$3="","",INDEX(인턴계획표[[정규화1]:[정규화6]],$Q476,$G$3)&amp;""),FIND(" ",IF($G$3="","",INDEX(인턴계획표[[정규화1]:[정규화6]],$Q476,$G$3)&amp;""))-1),IF($G$3="","",INDEX(인턴계획표[[정규화1]:[정규화6]],$Q476,$G$3)&amp;"")))))</f>
        <v/>
      </c>
      <c r="G476">
        <f>IF($Q476="","",IF(IF($G$3="","",INDEX(인턴계획표[[정규화1]:[정규화6]],$Q476,$G$3)&amp;"")="","",IF(LEFT(IF($G$3="","",INDEX(인턴계획표[[정규화1]:[정규화6]],$Q476,$G$3)&amp;""),1)="⚠","",IFERROR(MID(IF($G$3="","",INDEX(인턴계획표[[정규화1]:[정규화6]],$Q476,$G$3)&amp;""),FIND(" ",IF($G$3="","",INDEX(인턴계획표[[정규화1]:[정규화6]],$Q476,$G$3)&amp;""))+1,60),""))))</f>
        <v/>
      </c>
      <c r="H476">
        <f>IF($Q476="","",IF(IF($I$3="","",INDEX(인턴계획표[[정규화1]:[정규화6]],$Q476,$I$3)&amp;"")="","",IF(LEFT(IF($I$3="","",INDEX(인턴계획표[[정규화1]:[정규화6]],$Q476,$I$3)&amp;""),1)="⚠",IF($I$3="","",INDEX(인턴계획표[[정규화1]:[정규화6]],$Q476,$I$3)&amp;""),IFERROR(LEFT(IF($I$3="","",INDEX(인턴계획표[[정규화1]:[정규화6]],$Q476,$I$3)&amp;""),FIND(" ",IF($I$3="","",INDEX(인턴계획표[[정규화1]:[정규화6]],$Q476,$I$3)&amp;""))-1),IF($I$3="","",INDEX(인턴계획표[[정규화1]:[정규화6]],$Q476,$I$3)&amp;"")))))</f>
        <v/>
      </c>
      <c r="I476">
        <f>IF($Q476="","",IF(IF($I$3="","",INDEX(인턴계획표[[정규화1]:[정규화6]],$Q476,$I$3)&amp;"")="","",IF(LEFT(IF($I$3="","",INDEX(인턴계획표[[정규화1]:[정규화6]],$Q476,$I$3)&amp;""),1)="⚠","",IFERROR(MID(IF($I$3="","",INDEX(인턴계획표[[정규화1]:[정규화6]],$Q476,$I$3)&amp;""),FIND(" ",IF($I$3="","",INDEX(인턴계획표[[정규화1]:[정규화6]],$Q476,$I$3)&amp;""))+1,60),""))))</f>
        <v/>
      </c>
      <c r="J476">
        <f>IF($Q476="","",INDEX(인턴계획표[정규화1],$Q476))</f>
        <v/>
      </c>
      <c r="K476">
        <f>IF($Q476="","",INDEX(인턴계획표[정규화2],$Q476))</f>
        <v/>
      </c>
      <c r="L476">
        <f>IF($Q476="","",INDEX(인턴계획표[정규화3],$Q476))</f>
        <v/>
      </c>
      <c r="M476">
        <f>IF($Q476="","",INDEX(인턴계획표[정규화4],$Q476))</f>
        <v/>
      </c>
      <c r="N476">
        <f>IF($Q476="","",INDEX(인턴계획표[정규화5],$Q476))</f>
        <v/>
      </c>
      <c r="O476">
        <f>IF($Q476="","",INDEX(인턴계획표[정규화6],$Q476))</f>
        <v/>
      </c>
      <c r="P476">
        <f>IF($Q476="","",INDEX(인턴계획표[입력오류],$Q476))</f>
        <v/>
      </c>
      <c r="Q476" s="17">
        <f>IFERROR(MATCH(471,인턴계획표[표시순번],0),"")</f>
        <v/>
      </c>
    </row>
    <row r="477">
      <c r="A477">
        <f>IF($Q477="","",INDEX(인턴계획표[순번],$Q477)&amp;"")</f>
        <v/>
      </c>
      <c r="B477">
        <f>IF($Q477="","",TRIM(INDEX(인턴계획표[이름],$Q477)&amp;""))</f>
        <v/>
      </c>
      <c r="C477">
        <f>IF($Q477="","",INDEX(인턴계획표[사번],$Q477)&amp;"")</f>
        <v/>
      </c>
      <c r="D477">
        <f>IF($Q477="","",IF(COUNTIF(기본자료표[사번키],INDEX(인턴계획표[사번키],$Q477))&gt;0,"확인","미등록"))</f>
        <v/>
      </c>
      <c r="E477">
        <f>IF($Q477="","",IF(ISNUMBER(INDEX(인턴계획표[입사일(비고)],$Q477)),TEXT(INDEX(인턴계획표[입사일(비고)],$Q477),"yyyy-mm-dd"),INDEX(인턴계획표[입사일(비고)],$Q477)&amp;""))</f>
        <v/>
      </c>
      <c r="F477">
        <f>IF($Q477="","",IF(IF($G$3="","",INDEX(인턴계획표[[정규화1]:[정규화6]],$Q477,$G$3)&amp;"")="","",IF(LEFT(IF($G$3="","",INDEX(인턴계획표[[정규화1]:[정규화6]],$Q477,$G$3)&amp;""),1)="⚠",IF($G$3="","",INDEX(인턴계획표[[정규화1]:[정규화6]],$Q477,$G$3)&amp;""),IFERROR(LEFT(IF($G$3="","",INDEX(인턴계획표[[정규화1]:[정규화6]],$Q477,$G$3)&amp;""),FIND(" ",IF($G$3="","",INDEX(인턴계획표[[정규화1]:[정규화6]],$Q477,$G$3)&amp;""))-1),IF($G$3="","",INDEX(인턴계획표[[정규화1]:[정규화6]],$Q477,$G$3)&amp;"")))))</f>
        <v/>
      </c>
      <c r="G477">
        <f>IF($Q477="","",IF(IF($G$3="","",INDEX(인턴계획표[[정규화1]:[정규화6]],$Q477,$G$3)&amp;"")="","",IF(LEFT(IF($G$3="","",INDEX(인턴계획표[[정규화1]:[정규화6]],$Q477,$G$3)&amp;""),1)="⚠","",IFERROR(MID(IF($G$3="","",INDEX(인턴계획표[[정규화1]:[정규화6]],$Q477,$G$3)&amp;""),FIND(" ",IF($G$3="","",INDEX(인턴계획표[[정규화1]:[정규화6]],$Q477,$G$3)&amp;""))+1,60),""))))</f>
        <v/>
      </c>
      <c r="H477">
        <f>IF($Q477="","",IF(IF($I$3="","",INDEX(인턴계획표[[정규화1]:[정규화6]],$Q477,$I$3)&amp;"")="","",IF(LEFT(IF($I$3="","",INDEX(인턴계획표[[정규화1]:[정규화6]],$Q477,$I$3)&amp;""),1)="⚠",IF($I$3="","",INDEX(인턴계획표[[정규화1]:[정규화6]],$Q477,$I$3)&amp;""),IFERROR(LEFT(IF($I$3="","",INDEX(인턴계획표[[정규화1]:[정규화6]],$Q477,$I$3)&amp;""),FIND(" ",IF($I$3="","",INDEX(인턴계획표[[정규화1]:[정규화6]],$Q477,$I$3)&amp;""))-1),IF($I$3="","",INDEX(인턴계획표[[정규화1]:[정규화6]],$Q477,$I$3)&amp;"")))))</f>
        <v/>
      </c>
      <c r="I477">
        <f>IF($Q477="","",IF(IF($I$3="","",INDEX(인턴계획표[[정규화1]:[정규화6]],$Q477,$I$3)&amp;"")="","",IF(LEFT(IF($I$3="","",INDEX(인턴계획표[[정규화1]:[정규화6]],$Q477,$I$3)&amp;""),1)="⚠","",IFERROR(MID(IF($I$3="","",INDEX(인턴계획표[[정규화1]:[정규화6]],$Q477,$I$3)&amp;""),FIND(" ",IF($I$3="","",INDEX(인턴계획표[[정규화1]:[정규화6]],$Q477,$I$3)&amp;""))+1,60),""))))</f>
        <v/>
      </c>
      <c r="J477">
        <f>IF($Q477="","",INDEX(인턴계획표[정규화1],$Q477))</f>
        <v/>
      </c>
      <c r="K477">
        <f>IF($Q477="","",INDEX(인턴계획표[정규화2],$Q477))</f>
        <v/>
      </c>
      <c r="L477">
        <f>IF($Q477="","",INDEX(인턴계획표[정규화3],$Q477))</f>
        <v/>
      </c>
      <c r="M477">
        <f>IF($Q477="","",INDEX(인턴계획표[정규화4],$Q477))</f>
        <v/>
      </c>
      <c r="N477">
        <f>IF($Q477="","",INDEX(인턴계획표[정규화5],$Q477))</f>
        <v/>
      </c>
      <c r="O477">
        <f>IF($Q477="","",INDEX(인턴계획표[정규화6],$Q477))</f>
        <v/>
      </c>
      <c r="P477">
        <f>IF($Q477="","",INDEX(인턴계획표[입력오류],$Q477))</f>
        <v/>
      </c>
      <c r="Q477" s="17">
        <f>IFERROR(MATCH(472,인턴계획표[표시순번],0),"")</f>
        <v/>
      </c>
    </row>
    <row r="478">
      <c r="A478">
        <f>IF($Q478="","",INDEX(인턴계획표[순번],$Q478)&amp;"")</f>
        <v/>
      </c>
      <c r="B478">
        <f>IF($Q478="","",TRIM(INDEX(인턴계획표[이름],$Q478)&amp;""))</f>
        <v/>
      </c>
      <c r="C478">
        <f>IF($Q478="","",INDEX(인턴계획표[사번],$Q478)&amp;"")</f>
        <v/>
      </c>
      <c r="D478">
        <f>IF($Q478="","",IF(COUNTIF(기본자료표[사번키],INDEX(인턴계획표[사번키],$Q478))&gt;0,"확인","미등록"))</f>
        <v/>
      </c>
      <c r="E478">
        <f>IF($Q478="","",IF(ISNUMBER(INDEX(인턴계획표[입사일(비고)],$Q478)),TEXT(INDEX(인턴계획표[입사일(비고)],$Q478),"yyyy-mm-dd"),INDEX(인턴계획표[입사일(비고)],$Q478)&amp;""))</f>
        <v/>
      </c>
      <c r="F478">
        <f>IF($Q478="","",IF(IF($G$3="","",INDEX(인턴계획표[[정규화1]:[정규화6]],$Q478,$G$3)&amp;"")="","",IF(LEFT(IF($G$3="","",INDEX(인턴계획표[[정규화1]:[정규화6]],$Q478,$G$3)&amp;""),1)="⚠",IF($G$3="","",INDEX(인턴계획표[[정규화1]:[정규화6]],$Q478,$G$3)&amp;""),IFERROR(LEFT(IF($G$3="","",INDEX(인턴계획표[[정규화1]:[정규화6]],$Q478,$G$3)&amp;""),FIND(" ",IF($G$3="","",INDEX(인턴계획표[[정규화1]:[정규화6]],$Q478,$G$3)&amp;""))-1),IF($G$3="","",INDEX(인턴계획표[[정규화1]:[정규화6]],$Q478,$G$3)&amp;"")))))</f>
        <v/>
      </c>
      <c r="G478">
        <f>IF($Q478="","",IF(IF($G$3="","",INDEX(인턴계획표[[정규화1]:[정규화6]],$Q478,$G$3)&amp;"")="","",IF(LEFT(IF($G$3="","",INDEX(인턴계획표[[정규화1]:[정규화6]],$Q478,$G$3)&amp;""),1)="⚠","",IFERROR(MID(IF($G$3="","",INDEX(인턴계획표[[정규화1]:[정규화6]],$Q478,$G$3)&amp;""),FIND(" ",IF($G$3="","",INDEX(인턴계획표[[정규화1]:[정규화6]],$Q478,$G$3)&amp;""))+1,60),""))))</f>
        <v/>
      </c>
      <c r="H478">
        <f>IF($Q478="","",IF(IF($I$3="","",INDEX(인턴계획표[[정규화1]:[정규화6]],$Q478,$I$3)&amp;"")="","",IF(LEFT(IF($I$3="","",INDEX(인턴계획표[[정규화1]:[정규화6]],$Q478,$I$3)&amp;""),1)="⚠",IF($I$3="","",INDEX(인턴계획표[[정규화1]:[정규화6]],$Q478,$I$3)&amp;""),IFERROR(LEFT(IF($I$3="","",INDEX(인턴계획표[[정규화1]:[정규화6]],$Q478,$I$3)&amp;""),FIND(" ",IF($I$3="","",INDEX(인턴계획표[[정규화1]:[정규화6]],$Q478,$I$3)&amp;""))-1),IF($I$3="","",INDEX(인턴계획표[[정규화1]:[정규화6]],$Q478,$I$3)&amp;"")))))</f>
        <v/>
      </c>
      <c r="I478">
        <f>IF($Q478="","",IF(IF($I$3="","",INDEX(인턴계획표[[정규화1]:[정규화6]],$Q478,$I$3)&amp;"")="","",IF(LEFT(IF($I$3="","",INDEX(인턴계획표[[정규화1]:[정규화6]],$Q478,$I$3)&amp;""),1)="⚠","",IFERROR(MID(IF($I$3="","",INDEX(인턴계획표[[정규화1]:[정규화6]],$Q478,$I$3)&amp;""),FIND(" ",IF($I$3="","",INDEX(인턴계획표[[정규화1]:[정규화6]],$Q478,$I$3)&amp;""))+1,60),""))))</f>
        <v/>
      </c>
      <c r="J478">
        <f>IF($Q478="","",INDEX(인턴계획표[정규화1],$Q478))</f>
        <v/>
      </c>
      <c r="K478">
        <f>IF($Q478="","",INDEX(인턴계획표[정규화2],$Q478))</f>
        <v/>
      </c>
      <c r="L478">
        <f>IF($Q478="","",INDEX(인턴계획표[정규화3],$Q478))</f>
        <v/>
      </c>
      <c r="M478">
        <f>IF($Q478="","",INDEX(인턴계획표[정규화4],$Q478))</f>
        <v/>
      </c>
      <c r="N478">
        <f>IF($Q478="","",INDEX(인턴계획표[정규화5],$Q478))</f>
        <v/>
      </c>
      <c r="O478">
        <f>IF($Q478="","",INDEX(인턴계획표[정규화6],$Q478))</f>
        <v/>
      </c>
      <c r="P478">
        <f>IF($Q478="","",INDEX(인턴계획표[입력오류],$Q478))</f>
        <v/>
      </c>
      <c r="Q478" s="17">
        <f>IFERROR(MATCH(473,인턴계획표[표시순번],0),"")</f>
        <v/>
      </c>
    </row>
    <row r="479">
      <c r="A479">
        <f>IF($Q479="","",INDEX(인턴계획표[순번],$Q479)&amp;"")</f>
        <v/>
      </c>
      <c r="B479">
        <f>IF($Q479="","",TRIM(INDEX(인턴계획표[이름],$Q479)&amp;""))</f>
        <v/>
      </c>
      <c r="C479">
        <f>IF($Q479="","",INDEX(인턴계획표[사번],$Q479)&amp;"")</f>
        <v/>
      </c>
      <c r="D479">
        <f>IF($Q479="","",IF(COUNTIF(기본자료표[사번키],INDEX(인턴계획표[사번키],$Q479))&gt;0,"확인","미등록"))</f>
        <v/>
      </c>
      <c r="E479">
        <f>IF($Q479="","",IF(ISNUMBER(INDEX(인턴계획표[입사일(비고)],$Q479)),TEXT(INDEX(인턴계획표[입사일(비고)],$Q479),"yyyy-mm-dd"),INDEX(인턴계획표[입사일(비고)],$Q479)&amp;""))</f>
        <v/>
      </c>
      <c r="F479">
        <f>IF($Q479="","",IF(IF($G$3="","",INDEX(인턴계획표[[정규화1]:[정규화6]],$Q479,$G$3)&amp;"")="","",IF(LEFT(IF($G$3="","",INDEX(인턴계획표[[정규화1]:[정규화6]],$Q479,$G$3)&amp;""),1)="⚠",IF($G$3="","",INDEX(인턴계획표[[정규화1]:[정규화6]],$Q479,$G$3)&amp;""),IFERROR(LEFT(IF($G$3="","",INDEX(인턴계획표[[정규화1]:[정규화6]],$Q479,$G$3)&amp;""),FIND(" ",IF($G$3="","",INDEX(인턴계획표[[정규화1]:[정규화6]],$Q479,$G$3)&amp;""))-1),IF($G$3="","",INDEX(인턴계획표[[정규화1]:[정규화6]],$Q479,$G$3)&amp;"")))))</f>
        <v/>
      </c>
      <c r="G479">
        <f>IF($Q479="","",IF(IF($G$3="","",INDEX(인턴계획표[[정규화1]:[정규화6]],$Q479,$G$3)&amp;"")="","",IF(LEFT(IF($G$3="","",INDEX(인턴계획표[[정규화1]:[정규화6]],$Q479,$G$3)&amp;""),1)="⚠","",IFERROR(MID(IF($G$3="","",INDEX(인턴계획표[[정규화1]:[정규화6]],$Q479,$G$3)&amp;""),FIND(" ",IF($G$3="","",INDEX(인턴계획표[[정규화1]:[정규화6]],$Q479,$G$3)&amp;""))+1,60),""))))</f>
        <v/>
      </c>
      <c r="H479">
        <f>IF($Q479="","",IF(IF($I$3="","",INDEX(인턴계획표[[정규화1]:[정규화6]],$Q479,$I$3)&amp;"")="","",IF(LEFT(IF($I$3="","",INDEX(인턴계획표[[정규화1]:[정규화6]],$Q479,$I$3)&amp;""),1)="⚠",IF($I$3="","",INDEX(인턴계획표[[정규화1]:[정규화6]],$Q479,$I$3)&amp;""),IFERROR(LEFT(IF($I$3="","",INDEX(인턴계획표[[정규화1]:[정규화6]],$Q479,$I$3)&amp;""),FIND(" ",IF($I$3="","",INDEX(인턴계획표[[정규화1]:[정규화6]],$Q479,$I$3)&amp;""))-1),IF($I$3="","",INDEX(인턴계획표[[정규화1]:[정규화6]],$Q479,$I$3)&amp;"")))))</f>
        <v/>
      </c>
      <c r="I479">
        <f>IF($Q479="","",IF(IF($I$3="","",INDEX(인턴계획표[[정규화1]:[정규화6]],$Q479,$I$3)&amp;"")="","",IF(LEFT(IF($I$3="","",INDEX(인턴계획표[[정규화1]:[정규화6]],$Q479,$I$3)&amp;""),1)="⚠","",IFERROR(MID(IF($I$3="","",INDEX(인턴계획표[[정규화1]:[정규화6]],$Q479,$I$3)&amp;""),FIND(" ",IF($I$3="","",INDEX(인턴계획표[[정규화1]:[정규화6]],$Q479,$I$3)&amp;""))+1,60),""))))</f>
        <v/>
      </c>
      <c r="J479">
        <f>IF($Q479="","",INDEX(인턴계획표[정규화1],$Q479))</f>
        <v/>
      </c>
      <c r="K479">
        <f>IF($Q479="","",INDEX(인턴계획표[정규화2],$Q479))</f>
        <v/>
      </c>
      <c r="L479">
        <f>IF($Q479="","",INDEX(인턴계획표[정규화3],$Q479))</f>
        <v/>
      </c>
      <c r="M479">
        <f>IF($Q479="","",INDEX(인턴계획표[정규화4],$Q479))</f>
        <v/>
      </c>
      <c r="N479">
        <f>IF($Q479="","",INDEX(인턴계획표[정규화5],$Q479))</f>
        <v/>
      </c>
      <c r="O479">
        <f>IF($Q479="","",INDEX(인턴계획표[정규화6],$Q479))</f>
        <v/>
      </c>
      <c r="P479">
        <f>IF($Q479="","",INDEX(인턴계획표[입력오류],$Q479))</f>
        <v/>
      </c>
      <c r="Q479" s="17">
        <f>IFERROR(MATCH(474,인턴계획표[표시순번],0),"")</f>
        <v/>
      </c>
    </row>
    <row r="480">
      <c r="A480">
        <f>IF($Q480="","",INDEX(인턴계획표[순번],$Q480)&amp;"")</f>
        <v/>
      </c>
      <c r="B480">
        <f>IF($Q480="","",TRIM(INDEX(인턴계획표[이름],$Q480)&amp;""))</f>
        <v/>
      </c>
      <c r="C480">
        <f>IF($Q480="","",INDEX(인턴계획표[사번],$Q480)&amp;"")</f>
        <v/>
      </c>
      <c r="D480">
        <f>IF($Q480="","",IF(COUNTIF(기본자료표[사번키],INDEX(인턴계획표[사번키],$Q480))&gt;0,"확인","미등록"))</f>
        <v/>
      </c>
      <c r="E480">
        <f>IF($Q480="","",IF(ISNUMBER(INDEX(인턴계획표[입사일(비고)],$Q480)),TEXT(INDEX(인턴계획표[입사일(비고)],$Q480),"yyyy-mm-dd"),INDEX(인턴계획표[입사일(비고)],$Q480)&amp;""))</f>
        <v/>
      </c>
      <c r="F480">
        <f>IF($Q480="","",IF(IF($G$3="","",INDEX(인턴계획표[[정규화1]:[정규화6]],$Q480,$G$3)&amp;"")="","",IF(LEFT(IF($G$3="","",INDEX(인턴계획표[[정규화1]:[정규화6]],$Q480,$G$3)&amp;""),1)="⚠",IF($G$3="","",INDEX(인턴계획표[[정규화1]:[정규화6]],$Q480,$G$3)&amp;""),IFERROR(LEFT(IF($G$3="","",INDEX(인턴계획표[[정규화1]:[정규화6]],$Q480,$G$3)&amp;""),FIND(" ",IF($G$3="","",INDEX(인턴계획표[[정규화1]:[정규화6]],$Q480,$G$3)&amp;""))-1),IF($G$3="","",INDEX(인턴계획표[[정규화1]:[정규화6]],$Q480,$G$3)&amp;"")))))</f>
        <v/>
      </c>
      <c r="G480">
        <f>IF($Q480="","",IF(IF($G$3="","",INDEX(인턴계획표[[정규화1]:[정규화6]],$Q480,$G$3)&amp;"")="","",IF(LEFT(IF($G$3="","",INDEX(인턴계획표[[정규화1]:[정규화6]],$Q480,$G$3)&amp;""),1)="⚠","",IFERROR(MID(IF($G$3="","",INDEX(인턴계획표[[정규화1]:[정규화6]],$Q480,$G$3)&amp;""),FIND(" ",IF($G$3="","",INDEX(인턴계획표[[정규화1]:[정규화6]],$Q480,$G$3)&amp;""))+1,60),""))))</f>
        <v/>
      </c>
      <c r="H480">
        <f>IF($Q480="","",IF(IF($I$3="","",INDEX(인턴계획표[[정규화1]:[정규화6]],$Q480,$I$3)&amp;"")="","",IF(LEFT(IF($I$3="","",INDEX(인턴계획표[[정규화1]:[정규화6]],$Q480,$I$3)&amp;""),1)="⚠",IF($I$3="","",INDEX(인턴계획표[[정규화1]:[정규화6]],$Q480,$I$3)&amp;""),IFERROR(LEFT(IF($I$3="","",INDEX(인턴계획표[[정규화1]:[정규화6]],$Q480,$I$3)&amp;""),FIND(" ",IF($I$3="","",INDEX(인턴계획표[[정규화1]:[정규화6]],$Q480,$I$3)&amp;""))-1),IF($I$3="","",INDEX(인턴계획표[[정규화1]:[정규화6]],$Q480,$I$3)&amp;"")))))</f>
        <v/>
      </c>
      <c r="I480">
        <f>IF($Q480="","",IF(IF($I$3="","",INDEX(인턴계획표[[정규화1]:[정규화6]],$Q480,$I$3)&amp;"")="","",IF(LEFT(IF($I$3="","",INDEX(인턴계획표[[정규화1]:[정규화6]],$Q480,$I$3)&amp;""),1)="⚠","",IFERROR(MID(IF($I$3="","",INDEX(인턴계획표[[정규화1]:[정규화6]],$Q480,$I$3)&amp;""),FIND(" ",IF($I$3="","",INDEX(인턴계획표[[정규화1]:[정규화6]],$Q480,$I$3)&amp;""))+1,60),""))))</f>
        <v/>
      </c>
      <c r="J480">
        <f>IF($Q480="","",INDEX(인턴계획표[정규화1],$Q480))</f>
        <v/>
      </c>
      <c r="K480">
        <f>IF($Q480="","",INDEX(인턴계획표[정규화2],$Q480))</f>
        <v/>
      </c>
      <c r="L480">
        <f>IF($Q480="","",INDEX(인턴계획표[정규화3],$Q480))</f>
        <v/>
      </c>
      <c r="M480">
        <f>IF($Q480="","",INDEX(인턴계획표[정규화4],$Q480))</f>
        <v/>
      </c>
      <c r="N480">
        <f>IF($Q480="","",INDEX(인턴계획표[정규화5],$Q480))</f>
        <v/>
      </c>
      <c r="O480">
        <f>IF($Q480="","",INDEX(인턴계획표[정규화6],$Q480))</f>
        <v/>
      </c>
      <c r="P480">
        <f>IF($Q480="","",INDEX(인턴계획표[입력오류],$Q480))</f>
        <v/>
      </c>
      <c r="Q480" s="17">
        <f>IFERROR(MATCH(475,인턴계획표[표시순번],0),"")</f>
        <v/>
      </c>
    </row>
    <row r="481">
      <c r="A481">
        <f>IF($Q481="","",INDEX(인턴계획표[순번],$Q481)&amp;"")</f>
        <v/>
      </c>
      <c r="B481">
        <f>IF($Q481="","",TRIM(INDEX(인턴계획표[이름],$Q481)&amp;""))</f>
        <v/>
      </c>
      <c r="C481">
        <f>IF($Q481="","",INDEX(인턴계획표[사번],$Q481)&amp;"")</f>
        <v/>
      </c>
      <c r="D481">
        <f>IF($Q481="","",IF(COUNTIF(기본자료표[사번키],INDEX(인턴계획표[사번키],$Q481))&gt;0,"확인","미등록"))</f>
        <v/>
      </c>
      <c r="E481">
        <f>IF($Q481="","",IF(ISNUMBER(INDEX(인턴계획표[입사일(비고)],$Q481)),TEXT(INDEX(인턴계획표[입사일(비고)],$Q481),"yyyy-mm-dd"),INDEX(인턴계획표[입사일(비고)],$Q481)&amp;""))</f>
        <v/>
      </c>
      <c r="F481">
        <f>IF($Q481="","",IF(IF($G$3="","",INDEX(인턴계획표[[정규화1]:[정규화6]],$Q481,$G$3)&amp;"")="","",IF(LEFT(IF($G$3="","",INDEX(인턴계획표[[정규화1]:[정규화6]],$Q481,$G$3)&amp;""),1)="⚠",IF($G$3="","",INDEX(인턴계획표[[정규화1]:[정규화6]],$Q481,$G$3)&amp;""),IFERROR(LEFT(IF($G$3="","",INDEX(인턴계획표[[정규화1]:[정규화6]],$Q481,$G$3)&amp;""),FIND(" ",IF($G$3="","",INDEX(인턴계획표[[정규화1]:[정규화6]],$Q481,$G$3)&amp;""))-1),IF($G$3="","",INDEX(인턴계획표[[정규화1]:[정규화6]],$Q481,$G$3)&amp;"")))))</f>
        <v/>
      </c>
      <c r="G481">
        <f>IF($Q481="","",IF(IF($G$3="","",INDEX(인턴계획표[[정규화1]:[정규화6]],$Q481,$G$3)&amp;"")="","",IF(LEFT(IF($G$3="","",INDEX(인턴계획표[[정규화1]:[정규화6]],$Q481,$G$3)&amp;""),1)="⚠","",IFERROR(MID(IF($G$3="","",INDEX(인턴계획표[[정규화1]:[정규화6]],$Q481,$G$3)&amp;""),FIND(" ",IF($G$3="","",INDEX(인턴계획표[[정규화1]:[정규화6]],$Q481,$G$3)&amp;""))+1,60),""))))</f>
        <v/>
      </c>
      <c r="H481">
        <f>IF($Q481="","",IF(IF($I$3="","",INDEX(인턴계획표[[정규화1]:[정규화6]],$Q481,$I$3)&amp;"")="","",IF(LEFT(IF($I$3="","",INDEX(인턴계획표[[정규화1]:[정규화6]],$Q481,$I$3)&amp;""),1)="⚠",IF($I$3="","",INDEX(인턴계획표[[정규화1]:[정규화6]],$Q481,$I$3)&amp;""),IFERROR(LEFT(IF($I$3="","",INDEX(인턴계획표[[정규화1]:[정규화6]],$Q481,$I$3)&amp;""),FIND(" ",IF($I$3="","",INDEX(인턴계획표[[정규화1]:[정규화6]],$Q481,$I$3)&amp;""))-1),IF($I$3="","",INDEX(인턴계획표[[정규화1]:[정규화6]],$Q481,$I$3)&amp;"")))))</f>
        <v/>
      </c>
      <c r="I481">
        <f>IF($Q481="","",IF(IF($I$3="","",INDEX(인턴계획표[[정규화1]:[정규화6]],$Q481,$I$3)&amp;"")="","",IF(LEFT(IF($I$3="","",INDEX(인턴계획표[[정규화1]:[정규화6]],$Q481,$I$3)&amp;""),1)="⚠","",IFERROR(MID(IF($I$3="","",INDEX(인턴계획표[[정규화1]:[정규화6]],$Q481,$I$3)&amp;""),FIND(" ",IF($I$3="","",INDEX(인턴계획표[[정규화1]:[정규화6]],$Q481,$I$3)&amp;""))+1,60),""))))</f>
        <v/>
      </c>
      <c r="J481">
        <f>IF($Q481="","",INDEX(인턴계획표[정규화1],$Q481))</f>
        <v/>
      </c>
      <c r="K481">
        <f>IF($Q481="","",INDEX(인턴계획표[정규화2],$Q481))</f>
        <v/>
      </c>
      <c r="L481">
        <f>IF($Q481="","",INDEX(인턴계획표[정규화3],$Q481))</f>
        <v/>
      </c>
      <c r="M481">
        <f>IF($Q481="","",INDEX(인턴계획표[정규화4],$Q481))</f>
        <v/>
      </c>
      <c r="N481">
        <f>IF($Q481="","",INDEX(인턴계획표[정규화5],$Q481))</f>
        <v/>
      </c>
      <c r="O481">
        <f>IF($Q481="","",INDEX(인턴계획표[정규화6],$Q481))</f>
        <v/>
      </c>
      <c r="P481">
        <f>IF($Q481="","",INDEX(인턴계획표[입력오류],$Q481))</f>
        <v/>
      </c>
      <c r="Q481" s="17">
        <f>IFERROR(MATCH(476,인턴계획표[표시순번],0),"")</f>
        <v/>
      </c>
    </row>
    <row r="482">
      <c r="A482">
        <f>IF($Q482="","",INDEX(인턴계획표[순번],$Q482)&amp;"")</f>
        <v/>
      </c>
      <c r="B482">
        <f>IF($Q482="","",TRIM(INDEX(인턴계획표[이름],$Q482)&amp;""))</f>
        <v/>
      </c>
      <c r="C482">
        <f>IF($Q482="","",INDEX(인턴계획표[사번],$Q482)&amp;"")</f>
        <v/>
      </c>
      <c r="D482">
        <f>IF($Q482="","",IF(COUNTIF(기본자료표[사번키],INDEX(인턴계획표[사번키],$Q482))&gt;0,"확인","미등록"))</f>
        <v/>
      </c>
      <c r="E482">
        <f>IF($Q482="","",IF(ISNUMBER(INDEX(인턴계획표[입사일(비고)],$Q482)),TEXT(INDEX(인턴계획표[입사일(비고)],$Q482),"yyyy-mm-dd"),INDEX(인턴계획표[입사일(비고)],$Q482)&amp;""))</f>
        <v/>
      </c>
      <c r="F482">
        <f>IF($Q482="","",IF(IF($G$3="","",INDEX(인턴계획표[[정규화1]:[정규화6]],$Q482,$G$3)&amp;"")="","",IF(LEFT(IF($G$3="","",INDEX(인턴계획표[[정규화1]:[정규화6]],$Q482,$G$3)&amp;""),1)="⚠",IF($G$3="","",INDEX(인턴계획표[[정규화1]:[정규화6]],$Q482,$G$3)&amp;""),IFERROR(LEFT(IF($G$3="","",INDEX(인턴계획표[[정규화1]:[정규화6]],$Q482,$G$3)&amp;""),FIND(" ",IF($G$3="","",INDEX(인턴계획표[[정규화1]:[정규화6]],$Q482,$G$3)&amp;""))-1),IF($G$3="","",INDEX(인턴계획표[[정규화1]:[정규화6]],$Q482,$G$3)&amp;"")))))</f>
        <v/>
      </c>
      <c r="G482">
        <f>IF($Q482="","",IF(IF($G$3="","",INDEX(인턴계획표[[정규화1]:[정규화6]],$Q482,$G$3)&amp;"")="","",IF(LEFT(IF($G$3="","",INDEX(인턴계획표[[정규화1]:[정규화6]],$Q482,$G$3)&amp;""),1)="⚠","",IFERROR(MID(IF($G$3="","",INDEX(인턴계획표[[정규화1]:[정규화6]],$Q482,$G$3)&amp;""),FIND(" ",IF($G$3="","",INDEX(인턴계획표[[정규화1]:[정규화6]],$Q482,$G$3)&amp;""))+1,60),""))))</f>
        <v/>
      </c>
      <c r="H482">
        <f>IF($Q482="","",IF(IF($I$3="","",INDEX(인턴계획표[[정규화1]:[정규화6]],$Q482,$I$3)&amp;"")="","",IF(LEFT(IF($I$3="","",INDEX(인턴계획표[[정규화1]:[정규화6]],$Q482,$I$3)&amp;""),1)="⚠",IF($I$3="","",INDEX(인턴계획표[[정규화1]:[정규화6]],$Q482,$I$3)&amp;""),IFERROR(LEFT(IF($I$3="","",INDEX(인턴계획표[[정규화1]:[정규화6]],$Q482,$I$3)&amp;""),FIND(" ",IF($I$3="","",INDEX(인턴계획표[[정규화1]:[정규화6]],$Q482,$I$3)&amp;""))-1),IF($I$3="","",INDEX(인턴계획표[[정규화1]:[정규화6]],$Q482,$I$3)&amp;"")))))</f>
        <v/>
      </c>
      <c r="I482">
        <f>IF($Q482="","",IF(IF($I$3="","",INDEX(인턴계획표[[정규화1]:[정규화6]],$Q482,$I$3)&amp;"")="","",IF(LEFT(IF($I$3="","",INDEX(인턴계획표[[정규화1]:[정규화6]],$Q482,$I$3)&amp;""),1)="⚠","",IFERROR(MID(IF($I$3="","",INDEX(인턴계획표[[정규화1]:[정규화6]],$Q482,$I$3)&amp;""),FIND(" ",IF($I$3="","",INDEX(인턴계획표[[정규화1]:[정규화6]],$Q482,$I$3)&amp;""))+1,60),""))))</f>
        <v/>
      </c>
      <c r="J482">
        <f>IF($Q482="","",INDEX(인턴계획표[정규화1],$Q482))</f>
        <v/>
      </c>
      <c r="K482">
        <f>IF($Q482="","",INDEX(인턴계획표[정규화2],$Q482))</f>
        <v/>
      </c>
      <c r="L482">
        <f>IF($Q482="","",INDEX(인턴계획표[정규화3],$Q482))</f>
        <v/>
      </c>
      <c r="M482">
        <f>IF($Q482="","",INDEX(인턴계획표[정규화4],$Q482))</f>
        <v/>
      </c>
      <c r="N482">
        <f>IF($Q482="","",INDEX(인턴계획표[정규화5],$Q482))</f>
        <v/>
      </c>
      <c r="O482">
        <f>IF($Q482="","",INDEX(인턴계획표[정규화6],$Q482))</f>
        <v/>
      </c>
      <c r="P482">
        <f>IF($Q482="","",INDEX(인턴계획표[입력오류],$Q482))</f>
        <v/>
      </c>
      <c r="Q482" s="17">
        <f>IFERROR(MATCH(477,인턴계획표[표시순번],0),"")</f>
        <v/>
      </c>
    </row>
    <row r="483">
      <c r="A483">
        <f>IF($Q483="","",INDEX(인턴계획표[순번],$Q483)&amp;"")</f>
        <v/>
      </c>
      <c r="B483">
        <f>IF($Q483="","",TRIM(INDEX(인턴계획표[이름],$Q483)&amp;""))</f>
        <v/>
      </c>
      <c r="C483">
        <f>IF($Q483="","",INDEX(인턴계획표[사번],$Q483)&amp;"")</f>
        <v/>
      </c>
      <c r="D483">
        <f>IF($Q483="","",IF(COUNTIF(기본자료표[사번키],INDEX(인턴계획표[사번키],$Q483))&gt;0,"확인","미등록"))</f>
        <v/>
      </c>
      <c r="E483">
        <f>IF($Q483="","",IF(ISNUMBER(INDEX(인턴계획표[입사일(비고)],$Q483)),TEXT(INDEX(인턴계획표[입사일(비고)],$Q483),"yyyy-mm-dd"),INDEX(인턴계획표[입사일(비고)],$Q483)&amp;""))</f>
        <v/>
      </c>
      <c r="F483">
        <f>IF($Q483="","",IF(IF($G$3="","",INDEX(인턴계획표[[정규화1]:[정규화6]],$Q483,$G$3)&amp;"")="","",IF(LEFT(IF($G$3="","",INDEX(인턴계획표[[정규화1]:[정규화6]],$Q483,$G$3)&amp;""),1)="⚠",IF($G$3="","",INDEX(인턴계획표[[정규화1]:[정규화6]],$Q483,$G$3)&amp;""),IFERROR(LEFT(IF($G$3="","",INDEX(인턴계획표[[정규화1]:[정규화6]],$Q483,$G$3)&amp;""),FIND(" ",IF($G$3="","",INDEX(인턴계획표[[정규화1]:[정규화6]],$Q483,$G$3)&amp;""))-1),IF($G$3="","",INDEX(인턴계획표[[정규화1]:[정규화6]],$Q483,$G$3)&amp;"")))))</f>
        <v/>
      </c>
      <c r="G483">
        <f>IF($Q483="","",IF(IF($G$3="","",INDEX(인턴계획표[[정규화1]:[정규화6]],$Q483,$G$3)&amp;"")="","",IF(LEFT(IF($G$3="","",INDEX(인턴계획표[[정규화1]:[정규화6]],$Q483,$G$3)&amp;""),1)="⚠","",IFERROR(MID(IF($G$3="","",INDEX(인턴계획표[[정규화1]:[정규화6]],$Q483,$G$3)&amp;""),FIND(" ",IF($G$3="","",INDEX(인턴계획표[[정규화1]:[정규화6]],$Q483,$G$3)&amp;""))+1,60),""))))</f>
        <v/>
      </c>
      <c r="H483">
        <f>IF($Q483="","",IF(IF($I$3="","",INDEX(인턴계획표[[정규화1]:[정규화6]],$Q483,$I$3)&amp;"")="","",IF(LEFT(IF($I$3="","",INDEX(인턴계획표[[정규화1]:[정규화6]],$Q483,$I$3)&amp;""),1)="⚠",IF($I$3="","",INDEX(인턴계획표[[정규화1]:[정규화6]],$Q483,$I$3)&amp;""),IFERROR(LEFT(IF($I$3="","",INDEX(인턴계획표[[정규화1]:[정규화6]],$Q483,$I$3)&amp;""),FIND(" ",IF($I$3="","",INDEX(인턴계획표[[정규화1]:[정규화6]],$Q483,$I$3)&amp;""))-1),IF($I$3="","",INDEX(인턴계획표[[정규화1]:[정규화6]],$Q483,$I$3)&amp;"")))))</f>
        <v/>
      </c>
      <c r="I483">
        <f>IF($Q483="","",IF(IF($I$3="","",INDEX(인턴계획표[[정규화1]:[정규화6]],$Q483,$I$3)&amp;"")="","",IF(LEFT(IF($I$3="","",INDEX(인턴계획표[[정규화1]:[정규화6]],$Q483,$I$3)&amp;""),1)="⚠","",IFERROR(MID(IF($I$3="","",INDEX(인턴계획표[[정규화1]:[정규화6]],$Q483,$I$3)&amp;""),FIND(" ",IF($I$3="","",INDEX(인턴계획표[[정규화1]:[정규화6]],$Q483,$I$3)&amp;""))+1,60),""))))</f>
        <v/>
      </c>
      <c r="J483">
        <f>IF($Q483="","",INDEX(인턴계획표[정규화1],$Q483))</f>
        <v/>
      </c>
      <c r="K483">
        <f>IF($Q483="","",INDEX(인턴계획표[정규화2],$Q483))</f>
        <v/>
      </c>
      <c r="L483">
        <f>IF($Q483="","",INDEX(인턴계획표[정규화3],$Q483))</f>
        <v/>
      </c>
      <c r="M483">
        <f>IF($Q483="","",INDEX(인턴계획표[정규화4],$Q483))</f>
        <v/>
      </c>
      <c r="N483">
        <f>IF($Q483="","",INDEX(인턴계획표[정규화5],$Q483))</f>
        <v/>
      </c>
      <c r="O483">
        <f>IF($Q483="","",INDEX(인턴계획표[정규화6],$Q483))</f>
        <v/>
      </c>
      <c r="P483">
        <f>IF($Q483="","",INDEX(인턴계획표[입력오류],$Q483))</f>
        <v/>
      </c>
      <c r="Q483" s="17">
        <f>IFERROR(MATCH(478,인턴계획표[표시순번],0),"")</f>
        <v/>
      </c>
    </row>
    <row r="484">
      <c r="A484">
        <f>IF($Q484="","",INDEX(인턴계획표[순번],$Q484)&amp;"")</f>
        <v/>
      </c>
      <c r="B484">
        <f>IF($Q484="","",TRIM(INDEX(인턴계획표[이름],$Q484)&amp;""))</f>
        <v/>
      </c>
      <c r="C484">
        <f>IF($Q484="","",INDEX(인턴계획표[사번],$Q484)&amp;"")</f>
        <v/>
      </c>
      <c r="D484">
        <f>IF($Q484="","",IF(COUNTIF(기본자료표[사번키],INDEX(인턴계획표[사번키],$Q484))&gt;0,"확인","미등록"))</f>
        <v/>
      </c>
      <c r="E484">
        <f>IF($Q484="","",IF(ISNUMBER(INDEX(인턴계획표[입사일(비고)],$Q484)),TEXT(INDEX(인턴계획표[입사일(비고)],$Q484),"yyyy-mm-dd"),INDEX(인턴계획표[입사일(비고)],$Q484)&amp;""))</f>
        <v/>
      </c>
      <c r="F484">
        <f>IF($Q484="","",IF(IF($G$3="","",INDEX(인턴계획표[[정규화1]:[정규화6]],$Q484,$G$3)&amp;"")="","",IF(LEFT(IF($G$3="","",INDEX(인턴계획표[[정규화1]:[정규화6]],$Q484,$G$3)&amp;""),1)="⚠",IF($G$3="","",INDEX(인턴계획표[[정규화1]:[정규화6]],$Q484,$G$3)&amp;""),IFERROR(LEFT(IF($G$3="","",INDEX(인턴계획표[[정규화1]:[정규화6]],$Q484,$G$3)&amp;""),FIND(" ",IF($G$3="","",INDEX(인턴계획표[[정규화1]:[정규화6]],$Q484,$G$3)&amp;""))-1),IF($G$3="","",INDEX(인턴계획표[[정규화1]:[정규화6]],$Q484,$G$3)&amp;"")))))</f>
        <v/>
      </c>
      <c r="G484">
        <f>IF($Q484="","",IF(IF($G$3="","",INDEX(인턴계획표[[정규화1]:[정규화6]],$Q484,$G$3)&amp;"")="","",IF(LEFT(IF($G$3="","",INDEX(인턴계획표[[정규화1]:[정규화6]],$Q484,$G$3)&amp;""),1)="⚠","",IFERROR(MID(IF($G$3="","",INDEX(인턴계획표[[정규화1]:[정규화6]],$Q484,$G$3)&amp;""),FIND(" ",IF($G$3="","",INDEX(인턴계획표[[정규화1]:[정규화6]],$Q484,$G$3)&amp;""))+1,60),""))))</f>
        <v/>
      </c>
      <c r="H484">
        <f>IF($Q484="","",IF(IF($I$3="","",INDEX(인턴계획표[[정규화1]:[정규화6]],$Q484,$I$3)&amp;"")="","",IF(LEFT(IF($I$3="","",INDEX(인턴계획표[[정규화1]:[정규화6]],$Q484,$I$3)&amp;""),1)="⚠",IF($I$3="","",INDEX(인턴계획표[[정규화1]:[정규화6]],$Q484,$I$3)&amp;""),IFERROR(LEFT(IF($I$3="","",INDEX(인턴계획표[[정규화1]:[정규화6]],$Q484,$I$3)&amp;""),FIND(" ",IF($I$3="","",INDEX(인턴계획표[[정규화1]:[정규화6]],$Q484,$I$3)&amp;""))-1),IF($I$3="","",INDEX(인턴계획표[[정규화1]:[정규화6]],$Q484,$I$3)&amp;"")))))</f>
        <v/>
      </c>
      <c r="I484">
        <f>IF($Q484="","",IF(IF($I$3="","",INDEX(인턴계획표[[정규화1]:[정규화6]],$Q484,$I$3)&amp;"")="","",IF(LEFT(IF($I$3="","",INDEX(인턴계획표[[정규화1]:[정규화6]],$Q484,$I$3)&amp;""),1)="⚠","",IFERROR(MID(IF($I$3="","",INDEX(인턴계획표[[정규화1]:[정규화6]],$Q484,$I$3)&amp;""),FIND(" ",IF($I$3="","",INDEX(인턴계획표[[정규화1]:[정규화6]],$Q484,$I$3)&amp;""))+1,60),""))))</f>
        <v/>
      </c>
      <c r="J484">
        <f>IF($Q484="","",INDEX(인턴계획표[정규화1],$Q484))</f>
        <v/>
      </c>
      <c r="K484">
        <f>IF($Q484="","",INDEX(인턴계획표[정규화2],$Q484))</f>
        <v/>
      </c>
      <c r="L484">
        <f>IF($Q484="","",INDEX(인턴계획표[정규화3],$Q484))</f>
        <v/>
      </c>
      <c r="M484">
        <f>IF($Q484="","",INDEX(인턴계획표[정규화4],$Q484))</f>
        <v/>
      </c>
      <c r="N484">
        <f>IF($Q484="","",INDEX(인턴계획표[정규화5],$Q484))</f>
        <v/>
      </c>
      <c r="O484">
        <f>IF($Q484="","",INDEX(인턴계획표[정규화6],$Q484))</f>
        <v/>
      </c>
      <c r="P484">
        <f>IF($Q484="","",INDEX(인턴계획표[입력오류],$Q484))</f>
        <v/>
      </c>
      <c r="Q484" s="17">
        <f>IFERROR(MATCH(479,인턴계획표[표시순번],0),"")</f>
        <v/>
      </c>
    </row>
    <row r="485">
      <c r="A485">
        <f>IF($Q485="","",INDEX(인턴계획표[순번],$Q485)&amp;"")</f>
        <v/>
      </c>
      <c r="B485">
        <f>IF($Q485="","",TRIM(INDEX(인턴계획표[이름],$Q485)&amp;""))</f>
        <v/>
      </c>
      <c r="C485">
        <f>IF($Q485="","",INDEX(인턴계획표[사번],$Q485)&amp;"")</f>
        <v/>
      </c>
      <c r="D485">
        <f>IF($Q485="","",IF(COUNTIF(기본자료표[사번키],INDEX(인턴계획표[사번키],$Q485))&gt;0,"확인","미등록"))</f>
        <v/>
      </c>
      <c r="E485">
        <f>IF($Q485="","",IF(ISNUMBER(INDEX(인턴계획표[입사일(비고)],$Q485)),TEXT(INDEX(인턴계획표[입사일(비고)],$Q485),"yyyy-mm-dd"),INDEX(인턴계획표[입사일(비고)],$Q485)&amp;""))</f>
        <v/>
      </c>
      <c r="F485">
        <f>IF($Q485="","",IF(IF($G$3="","",INDEX(인턴계획표[[정규화1]:[정규화6]],$Q485,$G$3)&amp;"")="","",IF(LEFT(IF($G$3="","",INDEX(인턴계획표[[정규화1]:[정규화6]],$Q485,$G$3)&amp;""),1)="⚠",IF($G$3="","",INDEX(인턴계획표[[정규화1]:[정규화6]],$Q485,$G$3)&amp;""),IFERROR(LEFT(IF($G$3="","",INDEX(인턴계획표[[정규화1]:[정규화6]],$Q485,$G$3)&amp;""),FIND(" ",IF($G$3="","",INDEX(인턴계획표[[정규화1]:[정규화6]],$Q485,$G$3)&amp;""))-1),IF($G$3="","",INDEX(인턴계획표[[정규화1]:[정규화6]],$Q485,$G$3)&amp;"")))))</f>
        <v/>
      </c>
      <c r="G485">
        <f>IF($Q485="","",IF(IF($G$3="","",INDEX(인턴계획표[[정규화1]:[정규화6]],$Q485,$G$3)&amp;"")="","",IF(LEFT(IF($G$3="","",INDEX(인턴계획표[[정규화1]:[정규화6]],$Q485,$G$3)&amp;""),1)="⚠","",IFERROR(MID(IF($G$3="","",INDEX(인턴계획표[[정규화1]:[정규화6]],$Q485,$G$3)&amp;""),FIND(" ",IF($G$3="","",INDEX(인턴계획표[[정규화1]:[정규화6]],$Q485,$G$3)&amp;""))+1,60),""))))</f>
        <v/>
      </c>
      <c r="H485">
        <f>IF($Q485="","",IF(IF($I$3="","",INDEX(인턴계획표[[정규화1]:[정규화6]],$Q485,$I$3)&amp;"")="","",IF(LEFT(IF($I$3="","",INDEX(인턴계획표[[정규화1]:[정규화6]],$Q485,$I$3)&amp;""),1)="⚠",IF($I$3="","",INDEX(인턴계획표[[정규화1]:[정규화6]],$Q485,$I$3)&amp;""),IFERROR(LEFT(IF($I$3="","",INDEX(인턴계획표[[정규화1]:[정규화6]],$Q485,$I$3)&amp;""),FIND(" ",IF($I$3="","",INDEX(인턴계획표[[정규화1]:[정규화6]],$Q485,$I$3)&amp;""))-1),IF($I$3="","",INDEX(인턴계획표[[정규화1]:[정규화6]],$Q485,$I$3)&amp;"")))))</f>
        <v/>
      </c>
      <c r="I485">
        <f>IF($Q485="","",IF(IF($I$3="","",INDEX(인턴계획표[[정규화1]:[정규화6]],$Q485,$I$3)&amp;"")="","",IF(LEFT(IF($I$3="","",INDEX(인턴계획표[[정규화1]:[정규화6]],$Q485,$I$3)&amp;""),1)="⚠","",IFERROR(MID(IF($I$3="","",INDEX(인턴계획표[[정규화1]:[정규화6]],$Q485,$I$3)&amp;""),FIND(" ",IF($I$3="","",INDEX(인턴계획표[[정규화1]:[정규화6]],$Q485,$I$3)&amp;""))+1,60),""))))</f>
        <v/>
      </c>
      <c r="J485">
        <f>IF($Q485="","",INDEX(인턴계획표[정규화1],$Q485))</f>
        <v/>
      </c>
      <c r="K485">
        <f>IF($Q485="","",INDEX(인턴계획표[정규화2],$Q485))</f>
        <v/>
      </c>
      <c r="L485">
        <f>IF($Q485="","",INDEX(인턴계획표[정규화3],$Q485))</f>
        <v/>
      </c>
      <c r="M485">
        <f>IF($Q485="","",INDEX(인턴계획표[정규화4],$Q485))</f>
        <v/>
      </c>
      <c r="N485">
        <f>IF($Q485="","",INDEX(인턴계획표[정규화5],$Q485))</f>
        <v/>
      </c>
      <c r="O485">
        <f>IF($Q485="","",INDEX(인턴계획표[정규화6],$Q485))</f>
        <v/>
      </c>
      <c r="P485">
        <f>IF($Q485="","",INDEX(인턴계획표[입력오류],$Q485))</f>
        <v/>
      </c>
      <c r="Q485" s="17">
        <f>IFERROR(MATCH(480,인턴계획표[표시순번],0),"")</f>
        <v/>
      </c>
    </row>
    <row r="486">
      <c r="A486">
        <f>IF($Q486="","",INDEX(인턴계획표[순번],$Q486)&amp;"")</f>
        <v/>
      </c>
      <c r="B486">
        <f>IF($Q486="","",TRIM(INDEX(인턴계획표[이름],$Q486)&amp;""))</f>
        <v/>
      </c>
      <c r="C486">
        <f>IF($Q486="","",INDEX(인턴계획표[사번],$Q486)&amp;"")</f>
        <v/>
      </c>
      <c r="D486">
        <f>IF($Q486="","",IF(COUNTIF(기본자료표[사번키],INDEX(인턴계획표[사번키],$Q486))&gt;0,"확인","미등록"))</f>
        <v/>
      </c>
      <c r="E486">
        <f>IF($Q486="","",IF(ISNUMBER(INDEX(인턴계획표[입사일(비고)],$Q486)),TEXT(INDEX(인턴계획표[입사일(비고)],$Q486),"yyyy-mm-dd"),INDEX(인턴계획표[입사일(비고)],$Q486)&amp;""))</f>
        <v/>
      </c>
      <c r="F486">
        <f>IF($Q486="","",IF(IF($G$3="","",INDEX(인턴계획표[[정규화1]:[정규화6]],$Q486,$G$3)&amp;"")="","",IF(LEFT(IF($G$3="","",INDEX(인턴계획표[[정규화1]:[정규화6]],$Q486,$G$3)&amp;""),1)="⚠",IF($G$3="","",INDEX(인턴계획표[[정규화1]:[정규화6]],$Q486,$G$3)&amp;""),IFERROR(LEFT(IF($G$3="","",INDEX(인턴계획표[[정규화1]:[정규화6]],$Q486,$G$3)&amp;""),FIND(" ",IF($G$3="","",INDEX(인턴계획표[[정규화1]:[정규화6]],$Q486,$G$3)&amp;""))-1),IF($G$3="","",INDEX(인턴계획표[[정규화1]:[정규화6]],$Q486,$G$3)&amp;"")))))</f>
        <v/>
      </c>
      <c r="G486">
        <f>IF($Q486="","",IF(IF($G$3="","",INDEX(인턴계획표[[정규화1]:[정규화6]],$Q486,$G$3)&amp;"")="","",IF(LEFT(IF($G$3="","",INDEX(인턴계획표[[정규화1]:[정규화6]],$Q486,$G$3)&amp;""),1)="⚠","",IFERROR(MID(IF($G$3="","",INDEX(인턴계획표[[정규화1]:[정규화6]],$Q486,$G$3)&amp;""),FIND(" ",IF($G$3="","",INDEX(인턴계획표[[정규화1]:[정규화6]],$Q486,$G$3)&amp;""))+1,60),""))))</f>
        <v/>
      </c>
      <c r="H486">
        <f>IF($Q486="","",IF(IF($I$3="","",INDEX(인턴계획표[[정규화1]:[정규화6]],$Q486,$I$3)&amp;"")="","",IF(LEFT(IF($I$3="","",INDEX(인턴계획표[[정규화1]:[정규화6]],$Q486,$I$3)&amp;""),1)="⚠",IF($I$3="","",INDEX(인턴계획표[[정규화1]:[정규화6]],$Q486,$I$3)&amp;""),IFERROR(LEFT(IF($I$3="","",INDEX(인턴계획표[[정규화1]:[정규화6]],$Q486,$I$3)&amp;""),FIND(" ",IF($I$3="","",INDEX(인턴계획표[[정규화1]:[정규화6]],$Q486,$I$3)&amp;""))-1),IF($I$3="","",INDEX(인턴계획표[[정규화1]:[정규화6]],$Q486,$I$3)&amp;"")))))</f>
        <v/>
      </c>
      <c r="I486">
        <f>IF($Q486="","",IF(IF($I$3="","",INDEX(인턴계획표[[정규화1]:[정규화6]],$Q486,$I$3)&amp;"")="","",IF(LEFT(IF($I$3="","",INDEX(인턴계획표[[정규화1]:[정규화6]],$Q486,$I$3)&amp;""),1)="⚠","",IFERROR(MID(IF($I$3="","",INDEX(인턴계획표[[정규화1]:[정규화6]],$Q486,$I$3)&amp;""),FIND(" ",IF($I$3="","",INDEX(인턴계획표[[정규화1]:[정규화6]],$Q486,$I$3)&amp;""))+1,60),""))))</f>
        <v/>
      </c>
      <c r="J486">
        <f>IF($Q486="","",INDEX(인턴계획표[정규화1],$Q486))</f>
        <v/>
      </c>
      <c r="K486">
        <f>IF($Q486="","",INDEX(인턴계획표[정규화2],$Q486))</f>
        <v/>
      </c>
      <c r="L486">
        <f>IF($Q486="","",INDEX(인턴계획표[정규화3],$Q486))</f>
        <v/>
      </c>
      <c r="M486">
        <f>IF($Q486="","",INDEX(인턴계획표[정규화4],$Q486))</f>
        <v/>
      </c>
      <c r="N486">
        <f>IF($Q486="","",INDEX(인턴계획표[정규화5],$Q486))</f>
        <v/>
      </c>
      <c r="O486">
        <f>IF($Q486="","",INDEX(인턴계획표[정규화6],$Q486))</f>
        <v/>
      </c>
      <c r="P486">
        <f>IF($Q486="","",INDEX(인턴계획표[입력오류],$Q486))</f>
        <v/>
      </c>
      <c r="Q486" s="17">
        <f>IFERROR(MATCH(481,인턴계획표[표시순번],0),"")</f>
        <v/>
      </c>
    </row>
    <row r="487">
      <c r="A487">
        <f>IF($Q487="","",INDEX(인턴계획표[순번],$Q487)&amp;"")</f>
        <v/>
      </c>
      <c r="B487">
        <f>IF($Q487="","",TRIM(INDEX(인턴계획표[이름],$Q487)&amp;""))</f>
        <v/>
      </c>
      <c r="C487">
        <f>IF($Q487="","",INDEX(인턴계획표[사번],$Q487)&amp;"")</f>
        <v/>
      </c>
      <c r="D487">
        <f>IF($Q487="","",IF(COUNTIF(기본자료표[사번키],INDEX(인턴계획표[사번키],$Q487))&gt;0,"확인","미등록"))</f>
        <v/>
      </c>
      <c r="E487">
        <f>IF($Q487="","",IF(ISNUMBER(INDEX(인턴계획표[입사일(비고)],$Q487)),TEXT(INDEX(인턴계획표[입사일(비고)],$Q487),"yyyy-mm-dd"),INDEX(인턴계획표[입사일(비고)],$Q487)&amp;""))</f>
        <v/>
      </c>
      <c r="F487">
        <f>IF($Q487="","",IF(IF($G$3="","",INDEX(인턴계획표[[정규화1]:[정규화6]],$Q487,$G$3)&amp;"")="","",IF(LEFT(IF($G$3="","",INDEX(인턴계획표[[정규화1]:[정규화6]],$Q487,$G$3)&amp;""),1)="⚠",IF($G$3="","",INDEX(인턴계획표[[정규화1]:[정규화6]],$Q487,$G$3)&amp;""),IFERROR(LEFT(IF($G$3="","",INDEX(인턴계획표[[정규화1]:[정규화6]],$Q487,$G$3)&amp;""),FIND(" ",IF($G$3="","",INDEX(인턴계획표[[정규화1]:[정규화6]],$Q487,$G$3)&amp;""))-1),IF($G$3="","",INDEX(인턴계획표[[정규화1]:[정규화6]],$Q487,$G$3)&amp;"")))))</f>
        <v/>
      </c>
      <c r="G487">
        <f>IF($Q487="","",IF(IF($G$3="","",INDEX(인턴계획표[[정규화1]:[정규화6]],$Q487,$G$3)&amp;"")="","",IF(LEFT(IF($G$3="","",INDEX(인턴계획표[[정규화1]:[정규화6]],$Q487,$G$3)&amp;""),1)="⚠","",IFERROR(MID(IF($G$3="","",INDEX(인턴계획표[[정규화1]:[정규화6]],$Q487,$G$3)&amp;""),FIND(" ",IF($G$3="","",INDEX(인턴계획표[[정규화1]:[정규화6]],$Q487,$G$3)&amp;""))+1,60),""))))</f>
        <v/>
      </c>
      <c r="H487">
        <f>IF($Q487="","",IF(IF($I$3="","",INDEX(인턴계획표[[정규화1]:[정규화6]],$Q487,$I$3)&amp;"")="","",IF(LEFT(IF($I$3="","",INDEX(인턴계획표[[정규화1]:[정규화6]],$Q487,$I$3)&amp;""),1)="⚠",IF($I$3="","",INDEX(인턴계획표[[정규화1]:[정규화6]],$Q487,$I$3)&amp;""),IFERROR(LEFT(IF($I$3="","",INDEX(인턴계획표[[정규화1]:[정규화6]],$Q487,$I$3)&amp;""),FIND(" ",IF($I$3="","",INDEX(인턴계획표[[정규화1]:[정규화6]],$Q487,$I$3)&amp;""))-1),IF($I$3="","",INDEX(인턴계획표[[정규화1]:[정규화6]],$Q487,$I$3)&amp;"")))))</f>
        <v/>
      </c>
      <c r="I487">
        <f>IF($Q487="","",IF(IF($I$3="","",INDEX(인턴계획표[[정규화1]:[정규화6]],$Q487,$I$3)&amp;"")="","",IF(LEFT(IF($I$3="","",INDEX(인턴계획표[[정규화1]:[정규화6]],$Q487,$I$3)&amp;""),1)="⚠","",IFERROR(MID(IF($I$3="","",INDEX(인턴계획표[[정규화1]:[정규화6]],$Q487,$I$3)&amp;""),FIND(" ",IF($I$3="","",INDEX(인턴계획표[[정규화1]:[정규화6]],$Q487,$I$3)&amp;""))+1,60),""))))</f>
        <v/>
      </c>
      <c r="J487">
        <f>IF($Q487="","",INDEX(인턴계획표[정규화1],$Q487))</f>
        <v/>
      </c>
      <c r="K487">
        <f>IF($Q487="","",INDEX(인턴계획표[정규화2],$Q487))</f>
        <v/>
      </c>
      <c r="L487">
        <f>IF($Q487="","",INDEX(인턴계획표[정규화3],$Q487))</f>
        <v/>
      </c>
      <c r="M487">
        <f>IF($Q487="","",INDEX(인턴계획표[정규화4],$Q487))</f>
        <v/>
      </c>
      <c r="N487">
        <f>IF($Q487="","",INDEX(인턴계획표[정규화5],$Q487))</f>
        <v/>
      </c>
      <c r="O487">
        <f>IF($Q487="","",INDEX(인턴계획표[정규화6],$Q487))</f>
        <v/>
      </c>
      <c r="P487">
        <f>IF($Q487="","",INDEX(인턴계획표[입력오류],$Q487))</f>
        <v/>
      </c>
      <c r="Q487" s="17">
        <f>IFERROR(MATCH(482,인턴계획표[표시순번],0),"")</f>
        <v/>
      </c>
    </row>
    <row r="488">
      <c r="A488">
        <f>IF($Q488="","",INDEX(인턴계획표[순번],$Q488)&amp;"")</f>
        <v/>
      </c>
      <c r="B488">
        <f>IF($Q488="","",TRIM(INDEX(인턴계획표[이름],$Q488)&amp;""))</f>
        <v/>
      </c>
      <c r="C488">
        <f>IF($Q488="","",INDEX(인턴계획표[사번],$Q488)&amp;"")</f>
        <v/>
      </c>
      <c r="D488">
        <f>IF($Q488="","",IF(COUNTIF(기본자료표[사번키],INDEX(인턴계획표[사번키],$Q488))&gt;0,"확인","미등록"))</f>
        <v/>
      </c>
      <c r="E488">
        <f>IF($Q488="","",IF(ISNUMBER(INDEX(인턴계획표[입사일(비고)],$Q488)),TEXT(INDEX(인턴계획표[입사일(비고)],$Q488),"yyyy-mm-dd"),INDEX(인턴계획표[입사일(비고)],$Q488)&amp;""))</f>
        <v/>
      </c>
      <c r="F488">
        <f>IF($Q488="","",IF(IF($G$3="","",INDEX(인턴계획표[[정규화1]:[정규화6]],$Q488,$G$3)&amp;"")="","",IF(LEFT(IF($G$3="","",INDEX(인턴계획표[[정규화1]:[정규화6]],$Q488,$G$3)&amp;""),1)="⚠",IF($G$3="","",INDEX(인턴계획표[[정규화1]:[정규화6]],$Q488,$G$3)&amp;""),IFERROR(LEFT(IF($G$3="","",INDEX(인턴계획표[[정규화1]:[정규화6]],$Q488,$G$3)&amp;""),FIND(" ",IF($G$3="","",INDEX(인턴계획표[[정규화1]:[정규화6]],$Q488,$G$3)&amp;""))-1),IF($G$3="","",INDEX(인턴계획표[[정규화1]:[정규화6]],$Q488,$G$3)&amp;"")))))</f>
        <v/>
      </c>
      <c r="G488">
        <f>IF($Q488="","",IF(IF($G$3="","",INDEX(인턴계획표[[정규화1]:[정규화6]],$Q488,$G$3)&amp;"")="","",IF(LEFT(IF($G$3="","",INDEX(인턴계획표[[정규화1]:[정규화6]],$Q488,$G$3)&amp;""),1)="⚠","",IFERROR(MID(IF($G$3="","",INDEX(인턴계획표[[정규화1]:[정규화6]],$Q488,$G$3)&amp;""),FIND(" ",IF($G$3="","",INDEX(인턴계획표[[정규화1]:[정규화6]],$Q488,$G$3)&amp;""))+1,60),""))))</f>
        <v/>
      </c>
      <c r="H488">
        <f>IF($Q488="","",IF(IF($I$3="","",INDEX(인턴계획표[[정규화1]:[정규화6]],$Q488,$I$3)&amp;"")="","",IF(LEFT(IF($I$3="","",INDEX(인턴계획표[[정규화1]:[정규화6]],$Q488,$I$3)&amp;""),1)="⚠",IF($I$3="","",INDEX(인턴계획표[[정규화1]:[정규화6]],$Q488,$I$3)&amp;""),IFERROR(LEFT(IF($I$3="","",INDEX(인턴계획표[[정규화1]:[정규화6]],$Q488,$I$3)&amp;""),FIND(" ",IF($I$3="","",INDEX(인턴계획표[[정규화1]:[정규화6]],$Q488,$I$3)&amp;""))-1),IF($I$3="","",INDEX(인턴계획표[[정규화1]:[정규화6]],$Q488,$I$3)&amp;"")))))</f>
        <v/>
      </c>
      <c r="I488">
        <f>IF($Q488="","",IF(IF($I$3="","",INDEX(인턴계획표[[정규화1]:[정규화6]],$Q488,$I$3)&amp;"")="","",IF(LEFT(IF($I$3="","",INDEX(인턴계획표[[정규화1]:[정규화6]],$Q488,$I$3)&amp;""),1)="⚠","",IFERROR(MID(IF($I$3="","",INDEX(인턴계획표[[정규화1]:[정규화6]],$Q488,$I$3)&amp;""),FIND(" ",IF($I$3="","",INDEX(인턴계획표[[정규화1]:[정규화6]],$Q488,$I$3)&amp;""))+1,60),""))))</f>
        <v/>
      </c>
      <c r="J488">
        <f>IF($Q488="","",INDEX(인턴계획표[정규화1],$Q488))</f>
        <v/>
      </c>
      <c r="K488">
        <f>IF($Q488="","",INDEX(인턴계획표[정규화2],$Q488))</f>
        <v/>
      </c>
      <c r="L488">
        <f>IF($Q488="","",INDEX(인턴계획표[정규화3],$Q488))</f>
        <v/>
      </c>
      <c r="M488">
        <f>IF($Q488="","",INDEX(인턴계획표[정규화4],$Q488))</f>
        <v/>
      </c>
      <c r="N488">
        <f>IF($Q488="","",INDEX(인턴계획표[정규화5],$Q488))</f>
        <v/>
      </c>
      <c r="O488">
        <f>IF($Q488="","",INDEX(인턴계획표[정규화6],$Q488))</f>
        <v/>
      </c>
      <c r="P488">
        <f>IF($Q488="","",INDEX(인턴계획표[입력오류],$Q488))</f>
        <v/>
      </c>
      <c r="Q488" s="17">
        <f>IFERROR(MATCH(483,인턴계획표[표시순번],0),"")</f>
        <v/>
      </c>
    </row>
    <row r="489">
      <c r="A489">
        <f>IF($Q489="","",INDEX(인턴계획표[순번],$Q489)&amp;"")</f>
        <v/>
      </c>
      <c r="B489">
        <f>IF($Q489="","",TRIM(INDEX(인턴계획표[이름],$Q489)&amp;""))</f>
        <v/>
      </c>
      <c r="C489">
        <f>IF($Q489="","",INDEX(인턴계획표[사번],$Q489)&amp;"")</f>
        <v/>
      </c>
      <c r="D489">
        <f>IF($Q489="","",IF(COUNTIF(기본자료표[사번키],INDEX(인턴계획표[사번키],$Q489))&gt;0,"확인","미등록"))</f>
        <v/>
      </c>
      <c r="E489">
        <f>IF($Q489="","",IF(ISNUMBER(INDEX(인턴계획표[입사일(비고)],$Q489)),TEXT(INDEX(인턴계획표[입사일(비고)],$Q489),"yyyy-mm-dd"),INDEX(인턴계획표[입사일(비고)],$Q489)&amp;""))</f>
        <v/>
      </c>
      <c r="F489">
        <f>IF($Q489="","",IF(IF($G$3="","",INDEX(인턴계획표[[정규화1]:[정규화6]],$Q489,$G$3)&amp;"")="","",IF(LEFT(IF($G$3="","",INDEX(인턴계획표[[정규화1]:[정규화6]],$Q489,$G$3)&amp;""),1)="⚠",IF($G$3="","",INDEX(인턴계획표[[정규화1]:[정규화6]],$Q489,$G$3)&amp;""),IFERROR(LEFT(IF($G$3="","",INDEX(인턴계획표[[정규화1]:[정규화6]],$Q489,$G$3)&amp;""),FIND(" ",IF($G$3="","",INDEX(인턴계획표[[정규화1]:[정규화6]],$Q489,$G$3)&amp;""))-1),IF($G$3="","",INDEX(인턴계획표[[정규화1]:[정규화6]],$Q489,$G$3)&amp;"")))))</f>
        <v/>
      </c>
      <c r="G489">
        <f>IF($Q489="","",IF(IF($G$3="","",INDEX(인턴계획표[[정규화1]:[정규화6]],$Q489,$G$3)&amp;"")="","",IF(LEFT(IF($G$3="","",INDEX(인턴계획표[[정규화1]:[정규화6]],$Q489,$G$3)&amp;""),1)="⚠","",IFERROR(MID(IF($G$3="","",INDEX(인턴계획표[[정규화1]:[정규화6]],$Q489,$G$3)&amp;""),FIND(" ",IF($G$3="","",INDEX(인턴계획표[[정규화1]:[정규화6]],$Q489,$G$3)&amp;""))+1,60),""))))</f>
        <v/>
      </c>
      <c r="H489">
        <f>IF($Q489="","",IF(IF($I$3="","",INDEX(인턴계획표[[정규화1]:[정규화6]],$Q489,$I$3)&amp;"")="","",IF(LEFT(IF($I$3="","",INDEX(인턴계획표[[정규화1]:[정규화6]],$Q489,$I$3)&amp;""),1)="⚠",IF($I$3="","",INDEX(인턴계획표[[정규화1]:[정규화6]],$Q489,$I$3)&amp;""),IFERROR(LEFT(IF($I$3="","",INDEX(인턴계획표[[정규화1]:[정규화6]],$Q489,$I$3)&amp;""),FIND(" ",IF($I$3="","",INDEX(인턴계획표[[정규화1]:[정규화6]],$Q489,$I$3)&amp;""))-1),IF($I$3="","",INDEX(인턴계획표[[정규화1]:[정규화6]],$Q489,$I$3)&amp;"")))))</f>
        <v/>
      </c>
      <c r="I489">
        <f>IF($Q489="","",IF(IF($I$3="","",INDEX(인턴계획표[[정규화1]:[정규화6]],$Q489,$I$3)&amp;"")="","",IF(LEFT(IF($I$3="","",INDEX(인턴계획표[[정규화1]:[정규화6]],$Q489,$I$3)&amp;""),1)="⚠","",IFERROR(MID(IF($I$3="","",INDEX(인턴계획표[[정규화1]:[정규화6]],$Q489,$I$3)&amp;""),FIND(" ",IF($I$3="","",INDEX(인턴계획표[[정규화1]:[정규화6]],$Q489,$I$3)&amp;""))+1,60),""))))</f>
        <v/>
      </c>
      <c r="J489">
        <f>IF($Q489="","",INDEX(인턴계획표[정규화1],$Q489))</f>
        <v/>
      </c>
      <c r="K489">
        <f>IF($Q489="","",INDEX(인턴계획표[정규화2],$Q489))</f>
        <v/>
      </c>
      <c r="L489">
        <f>IF($Q489="","",INDEX(인턴계획표[정규화3],$Q489))</f>
        <v/>
      </c>
      <c r="M489">
        <f>IF($Q489="","",INDEX(인턴계획표[정규화4],$Q489))</f>
        <v/>
      </c>
      <c r="N489">
        <f>IF($Q489="","",INDEX(인턴계획표[정규화5],$Q489))</f>
        <v/>
      </c>
      <c r="O489">
        <f>IF($Q489="","",INDEX(인턴계획표[정규화6],$Q489))</f>
        <v/>
      </c>
      <c r="P489">
        <f>IF($Q489="","",INDEX(인턴계획표[입력오류],$Q489))</f>
        <v/>
      </c>
      <c r="Q489" s="17">
        <f>IFERROR(MATCH(484,인턴계획표[표시순번],0),"")</f>
        <v/>
      </c>
    </row>
    <row r="490">
      <c r="A490">
        <f>IF($Q490="","",INDEX(인턴계획표[순번],$Q490)&amp;"")</f>
        <v/>
      </c>
      <c r="B490">
        <f>IF($Q490="","",TRIM(INDEX(인턴계획표[이름],$Q490)&amp;""))</f>
        <v/>
      </c>
      <c r="C490">
        <f>IF($Q490="","",INDEX(인턴계획표[사번],$Q490)&amp;"")</f>
        <v/>
      </c>
      <c r="D490">
        <f>IF($Q490="","",IF(COUNTIF(기본자료표[사번키],INDEX(인턴계획표[사번키],$Q490))&gt;0,"확인","미등록"))</f>
        <v/>
      </c>
      <c r="E490">
        <f>IF($Q490="","",IF(ISNUMBER(INDEX(인턴계획표[입사일(비고)],$Q490)),TEXT(INDEX(인턴계획표[입사일(비고)],$Q490),"yyyy-mm-dd"),INDEX(인턴계획표[입사일(비고)],$Q490)&amp;""))</f>
        <v/>
      </c>
      <c r="F490">
        <f>IF($Q490="","",IF(IF($G$3="","",INDEX(인턴계획표[[정규화1]:[정규화6]],$Q490,$G$3)&amp;"")="","",IF(LEFT(IF($G$3="","",INDEX(인턴계획표[[정규화1]:[정규화6]],$Q490,$G$3)&amp;""),1)="⚠",IF($G$3="","",INDEX(인턴계획표[[정규화1]:[정규화6]],$Q490,$G$3)&amp;""),IFERROR(LEFT(IF($G$3="","",INDEX(인턴계획표[[정규화1]:[정규화6]],$Q490,$G$3)&amp;""),FIND(" ",IF($G$3="","",INDEX(인턴계획표[[정규화1]:[정규화6]],$Q490,$G$3)&amp;""))-1),IF($G$3="","",INDEX(인턴계획표[[정규화1]:[정규화6]],$Q490,$G$3)&amp;"")))))</f>
        <v/>
      </c>
      <c r="G490">
        <f>IF($Q490="","",IF(IF($G$3="","",INDEX(인턴계획표[[정규화1]:[정규화6]],$Q490,$G$3)&amp;"")="","",IF(LEFT(IF($G$3="","",INDEX(인턴계획표[[정규화1]:[정규화6]],$Q490,$G$3)&amp;""),1)="⚠","",IFERROR(MID(IF($G$3="","",INDEX(인턴계획표[[정규화1]:[정규화6]],$Q490,$G$3)&amp;""),FIND(" ",IF($G$3="","",INDEX(인턴계획표[[정규화1]:[정규화6]],$Q490,$G$3)&amp;""))+1,60),""))))</f>
        <v/>
      </c>
      <c r="H490">
        <f>IF($Q490="","",IF(IF($I$3="","",INDEX(인턴계획표[[정규화1]:[정규화6]],$Q490,$I$3)&amp;"")="","",IF(LEFT(IF($I$3="","",INDEX(인턴계획표[[정규화1]:[정규화6]],$Q490,$I$3)&amp;""),1)="⚠",IF($I$3="","",INDEX(인턴계획표[[정규화1]:[정규화6]],$Q490,$I$3)&amp;""),IFERROR(LEFT(IF($I$3="","",INDEX(인턴계획표[[정규화1]:[정규화6]],$Q490,$I$3)&amp;""),FIND(" ",IF($I$3="","",INDEX(인턴계획표[[정규화1]:[정규화6]],$Q490,$I$3)&amp;""))-1),IF($I$3="","",INDEX(인턴계획표[[정규화1]:[정규화6]],$Q490,$I$3)&amp;"")))))</f>
        <v/>
      </c>
      <c r="I490">
        <f>IF($Q490="","",IF(IF($I$3="","",INDEX(인턴계획표[[정규화1]:[정규화6]],$Q490,$I$3)&amp;"")="","",IF(LEFT(IF($I$3="","",INDEX(인턴계획표[[정규화1]:[정규화6]],$Q490,$I$3)&amp;""),1)="⚠","",IFERROR(MID(IF($I$3="","",INDEX(인턴계획표[[정규화1]:[정규화6]],$Q490,$I$3)&amp;""),FIND(" ",IF($I$3="","",INDEX(인턴계획표[[정규화1]:[정규화6]],$Q490,$I$3)&amp;""))+1,60),""))))</f>
        <v/>
      </c>
      <c r="J490">
        <f>IF($Q490="","",INDEX(인턴계획표[정규화1],$Q490))</f>
        <v/>
      </c>
      <c r="K490">
        <f>IF($Q490="","",INDEX(인턴계획표[정규화2],$Q490))</f>
        <v/>
      </c>
      <c r="L490">
        <f>IF($Q490="","",INDEX(인턴계획표[정규화3],$Q490))</f>
        <v/>
      </c>
      <c r="M490">
        <f>IF($Q490="","",INDEX(인턴계획표[정규화4],$Q490))</f>
        <v/>
      </c>
      <c r="N490">
        <f>IF($Q490="","",INDEX(인턴계획표[정규화5],$Q490))</f>
        <v/>
      </c>
      <c r="O490">
        <f>IF($Q490="","",INDEX(인턴계획표[정규화6],$Q490))</f>
        <v/>
      </c>
      <c r="P490">
        <f>IF($Q490="","",INDEX(인턴계획표[입력오류],$Q490))</f>
        <v/>
      </c>
      <c r="Q490" s="17">
        <f>IFERROR(MATCH(485,인턴계획표[표시순번],0),"")</f>
        <v/>
      </c>
    </row>
    <row r="491">
      <c r="A491">
        <f>IF($Q491="","",INDEX(인턴계획표[순번],$Q491)&amp;"")</f>
        <v/>
      </c>
      <c r="B491">
        <f>IF($Q491="","",TRIM(INDEX(인턴계획표[이름],$Q491)&amp;""))</f>
        <v/>
      </c>
      <c r="C491">
        <f>IF($Q491="","",INDEX(인턴계획표[사번],$Q491)&amp;"")</f>
        <v/>
      </c>
      <c r="D491">
        <f>IF($Q491="","",IF(COUNTIF(기본자료표[사번키],INDEX(인턴계획표[사번키],$Q491))&gt;0,"확인","미등록"))</f>
        <v/>
      </c>
      <c r="E491">
        <f>IF($Q491="","",IF(ISNUMBER(INDEX(인턴계획표[입사일(비고)],$Q491)),TEXT(INDEX(인턴계획표[입사일(비고)],$Q491),"yyyy-mm-dd"),INDEX(인턴계획표[입사일(비고)],$Q491)&amp;""))</f>
        <v/>
      </c>
      <c r="F491">
        <f>IF($Q491="","",IF(IF($G$3="","",INDEX(인턴계획표[[정규화1]:[정규화6]],$Q491,$G$3)&amp;"")="","",IF(LEFT(IF($G$3="","",INDEX(인턴계획표[[정규화1]:[정규화6]],$Q491,$G$3)&amp;""),1)="⚠",IF($G$3="","",INDEX(인턴계획표[[정규화1]:[정규화6]],$Q491,$G$3)&amp;""),IFERROR(LEFT(IF($G$3="","",INDEX(인턴계획표[[정규화1]:[정규화6]],$Q491,$G$3)&amp;""),FIND(" ",IF($G$3="","",INDEX(인턴계획표[[정규화1]:[정규화6]],$Q491,$G$3)&amp;""))-1),IF($G$3="","",INDEX(인턴계획표[[정규화1]:[정규화6]],$Q491,$G$3)&amp;"")))))</f>
        <v/>
      </c>
      <c r="G491">
        <f>IF($Q491="","",IF(IF($G$3="","",INDEX(인턴계획표[[정규화1]:[정규화6]],$Q491,$G$3)&amp;"")="","",IF(LEFT(IF($G$3="","",INDEX(인턴계획표[[정규화1]:[정규화6]],$Q491,$G$3)&amp;""),1)="⚠","",IFERROR(MID(IF($G$3="","",INDEX(인턴계획표[[정규화1]:[정규화6]],$Q491,$G$3)&amp;""),FIND(" ",IF($G$3="","",INDEX(인턴계획표[[정규화1]:[정규화6]],$Q491,$G$3)&amp;""))+1,60),""))))</f>
        <v/>
      </c>
      <c r="H491">
        <f>IF($Q491="","",IF(IF($I$3="","",INDEX(인턴계획표[[정규화1]:[정규화6]],$Q491,$I$3)&amp;"")="","",IF(LEFT(IF($I$3="","",INDEX(인턴계획표[[정규화1]:[정규화6]],$Q491,$I$3)&amp;""),1)="⚠",IF($I$3="","",INDEX(인턴계획표[[정규화1]:[정규화6]],$Q491,$I$3)&amp;""),IFERROR(LEFT(IF($I$3="","",INDEX(인턴계획표[[정규화1]:[정규화6]],$Q491,$I$3)&amp;""),FIND(" ",IF($I$3="","",INDEX(인턴계획표[[정규화1]:[정규화6]],$Q491,$I$3)&amp;""))-1),IF($I$3="","",INDEX(인턴계획표[[정규화1]:[정규화6]],$Q491,$I$3)&amp;"")))))</f>
        <v/>
      </c>
      <c r="I491">
        <f>IF($Q491="","",IF(IF($I$3="","",INDEX(인턴계획표[[정규화1]:[정규화6]],$Q491,$I$3)&amp;"")="","",IF(LEFT(IF($I$3="","",INDEX(인턴계획표[[정규화1]:[정규화6]],$Q491,$I$3)&amp;""),1)="⚠","",IFERROR(MID(IF($I$3="","",INDEX(인턴계획표[[정규화1]:[정규화6]],$Q491,$I$3)&amp;""),FIND(" ",IF($I$3="","",INDEX(인턴계획표[[정규화1]:[정규화6]],$Q491,$I$3)&amp;""))+1,60),""))))</f>
        <v/>
      </c>
      <c r="J491">
        <f>IF($Q491="","",INDEX(인턴계획표[정규화1],$Q491))</f>
        <v/>
      </c>
      <c r="K491">
        <f>IF($Q491="","",INDEX(인턴계획표[정규화2],$Q491))</f>
        <v/>
      </c>
      <c r="L491">
        <f>IF($Q491="","",INDEX(인턴계획표[정규화3],$Q491))</f>
        <v/>
      </c>
      <c r="M491">
        <f>IF($Q491="","",INDEX(인턴계획표[정규화4],$Q491))</f>
        <v/>
      </c>
      <c r="N491">
        <f>IF($Q491="","",INDEX(인턴계획표[정규화5],$Q491))</f>
        <v/>
      </c>
      <c r="O491">
        <f>IF($Q491="","",INDEX(인턴계획표[정규화6],$Q491))</f>
        <v/>
      </c>
      <c r="P491">
        <f>IF($Q491="","",INDEX(인턴계획표[입력오류],$Q491))</f>
        <v/>
      </c>
      <c r="Q491" s="17">
        <f>IFERROR(MATCH(486,인턴계획표[표시순번],0),"")</f>
        <v/>
      </c>
    </row>
    <row r="492">
      <c r="A492">
        <f>IF($Q492="","",INDEX(인턴계획표[순번],$Q492)&amp;"")</f>
        <v/>
      </c>
      <c r="B492">
        <f>IF($Q492="","",TRIM(INDEX(인턴계획표[이름],$Q492)&amp;""))</f>
        <v/>
      </c>
      <c r="C492">
        <f>IF($Q492="","",INDEX(인턴계획표[사번],$Q492)&amp;"")</f>
        <v/>
      </c>
      <c r="D492">
        <f>IF($Q492="","",IF(COUNTIF(기본자료표[사번키],INDEX(인턴계획표[사번키],$Q492))&gt;0,"확인","미등록"))</f>
        <v/>
      </c>
      <c r="E492">
        <f>IF($Q492="","",IF(ISNUMBER(INDEX(인턴계획표[입사일(비고)],$Q492)),TEXT(INDEX(인턴계획표[입사일(비고)],$Q492),"yyyy-mm-dd"),INDEX(인턴계획표[입사일(비고)],$Q492)&amp;""))</f>
        <v/>
      </c>
      <c r="F492">
        <f>IF($Q492="","",IF(IF($G$3="","",INDEX(인턴계획표[[정규화1]:[정규화6]],$Q492,$G$3)&amp;"")="","",IF(LEFT(IF($G$3="","",INDEX(인턴계획표[[정규화1]:[정규화6]],$Q492,$G$3)&amp;""),1)="⚠",IF($G$3="","",INDEX(인턴계획표[[정규화1]:[정규화6]],$Q492,$G$3)&amp;""),IFERROR(LEFT(IF($G$3="","",INDEX(인턴계획표[[정규화1]:[정규화6]],$Q492,$G$3)&amp;""),FIND(" ",IF($G$3="","",INDEX(인턴계획표[[정규화1]:[정규화6]],$Q492,$G$3)&amp;""))-1),IF($G$3="","",INDEX(인턴계획표[[정규화1]:[정규화6]],$Q492,$G$3)&amp;"")))))</f>
        <v/>
      </c>
      <c r="G492">
        <f>IF($Q492="","",IF(IF($G$3="","",INDEX(인턴계획표[[정규화1]:[정규화6]],$Q492,$G$3)&amp;"")="","",IF(LEFT(IF($G$3="","",INDEX(인턴계획표[[정규화1]:[정규화6]],$Q492,$G$3)&amp;""),1)="⚠","",IFERROR(MID(IF($G$3="","",INDEX(인턴계획표[[정규화1]:[정규화6]],$Q492,$G$3)&amp;""),FIND(" ",IF($G$3="","",INDEX(인턴계획표[[정규화1]:[정규화6]],$Q492,$G$3)&amp;""))+1,60),""))))</f>
        <v/>
      </c>
      <c r="H492">
        <f>IF($Q492="","",IF(IF($I$3="","",INDEX(인턴계획표[[정규화1]:[정규화6]],$Q492,$I$3)&amp;"")="","",IF(LEFT(IF($I$3="","",INDEX(인턴계획표[[정규화1]:[정규화6]],$Q492,$I$3)&amp;""),1)="⚠",IF($I$3="","",INDEX(인턴계획표[[정규화1]:[정규화6]],$Q492,$I$3)&amp;""),IFERROR(LEFT(IF($I$3="","",INDEX(인턴계획표[[정규화1]:[정규화6]],$Q492,$I$3)&amp;""),FIND(" ",IF($I$3="","",INDEX(인턴계획표[[정규화1]:[정규화6]],$Q492,$I$3)&amp;""))-1),IF($I$3="","",INDEX(인턴계획표[[정규화1]:[정규화6]],$Q492,$I$3)&amp;"")))))</f>
        <v/>
      </c>
      <c r="I492">
        <f>IF($Q492="","",IF(IF($I$3="","",INDEX(인턴계획표[[정규화1]:[정규화6]],$Q492,$I$3)&amp;"")="","",IF(LEFT(IF($I$3="","",INDEX(인턴계획표[[정규화1]:[정규화6]],$Q492,$I$3)&amp;""),1)="⚠","",IFERROR(MID(IF($I$3="","",INDEX(인턴계획표[[정규화1]:[정규화6]],$Q492,$I$3)&amp;""),FIND(" ",IF($I$3="","",INDEX(인턴계획표[[정규화1]:[정규화6]],$Q492,$I$3)&amp;""))+1,60),""))))</f>
        <v/>
      </c>
      <c r="J492">
        <f>IF($Q492="","",INDEX(인턴계획표[정규화1],$Q492))</f>
        <v/>
      </c>
      <c r="K492">
        <f>IF($Q492="","",INDEX(인턴계획표[정규화2],$Q492))</f>
        <v/>
      </c>
      <c r="L492">
        <f>IF($Q492="","",INDEX(인턴계획표[정규화3],$Q492))</f>
        <v/>
      </c>
      <c r="M492">
        <f>IF($Q492="","",INDEX(인턴계획표[정규화4],$Q492))</f>
        <v/>
      </c>
      <c r="N492">
        <f>IF($Q492="","",INDEX(인턴계획표[정규화5],$Q492))</f>
        <v/>
      </c>
      <c r="O492">
        <f>IF($Q492="","",INDEX(인턴계획표[정규화6],$Q492))</f>
        <v/>
      </c>
      <c r="P492">
        <f>IF($Q492="","",INDEX(인턴계획표[입력오류],$Q492))</f>
        <v/>
      </c>
      <c r="Q492" s="17">
        <f>IFERROR(MATCH(487,인턴계획표[표시순번],0),"")</f>
        <v/>
      </c>
    </row>
    <row r="493">
      <c r="A493">
        <f>IF($Q493="","",INDEX(인턴계획표[순번],$Q493)&amp;"")</f>
        <v/>
      </c>
      <c r="B493">
        <f>IF($Q493="","",TRIM(INDEX(인턴계획표[이름],$Q493)&amp;""))</f>
        <v/>
      </c>
      <c r="C493">
        <f>IF($Q493="","",INDEX(인턴계획표[사번],$Q493)&amp;"")</f>
        <v/>
      </c>
      <c r="D493">
        <f>IF($Q493="","",IF(COUNTIF(기본자료표[사번키],INDEX(인턴계획표[사번키],$Q493))&gt;0,"확인","미등록"))</f>
        <v/>
      </c>
      <c r="E493">
        <f>IF($Q493="","",IF(ISNUMBER(INDEX(인턴계획표[입사일(비고)],$Q493)),TEXT(INDEX(인턴계획표[입사일(비고)],$Q493),"yyyy-mm-dd"),INDEX(인턴계획표[입사일(비고)],$Q493)&amp;""))</f>
        <v/>
      </c>
      <c r="F493">
        <f>IF($Q493="","",IF(IF($G$3="","",INDEX(인턴계획표[[정규화1]:[정규화6]],$Q493,$G$3)&amp;"")="","",IF(LEFT(IF($G$3="","",INDEX(인턴계획표[[정규화1]:[정규화6]],$Q493,$G$3)&amp;""),1)="⚠",IF($G$3="","",INDEX(인턴계획표[[정규화1]:[정규화6]],$Q493,$G$3)&amp;""),IFERROR(LEFT(IF($G$3="","",INDEX(인턴계획표[[정규화1]:[정규화6]],$Q493,$G$3)&amp;""),FIND(" ",IF($G$3="","",INDEX(인턴계획표[[정규화1]:[정규화6]],$Q493,$G$3)&amp;""))-1),IF($G$3="","",INDEX(인턴계획표[[정규화1]:[정규화6]],$Q493,$G$3)&amp;"")))))</f>
        <v/>
      </c>
      <c r="G493">
        <f>IF($Q493="","",IF(IF($G$3="","",INDEX(인턴계획표[[정규화1]:[정규화6]],$Q493,$G$3)&amp;"")="","",IF(LEFT(IF($G$3="","",INDEX(인턴계획표[[정규화1]:[정규화6]],$Q493,$G$3)&amp;""),1)="⚠","",IFERROR(MID(IF($G$3="","",INDEX(인턴계획표[[정규화1]:[정규화6]],$Q493,$G$3)&amp;""),FIND(" ",IF($G$3="","",INDEX(인턴계획표[[정규화1]:[정규화6]],$Q493,$G$3)&amp;""))+1,60),""))))</f>
        <v/>
      </c>
      <c r="H493">
        <f>IF($Q493="","",IF(IF($I$3="","",INDEX(인턴계획표[[정규화1]:[정규화6]],$Q493,$I$3)&amp;"")="","",IF(LEFT(IF($I$3="","",INDEX(인턴계획표[[정규화1]:[정규화6]],$Q493,$I$3)&amp;""),1)="⚠",IF($I$3="","",INDEX(인턴계획표[[정규화1]:[정규화6]],$Q493,$I$3)&amp;""),IFERROR(LEFT(IF($I$3="","",INDEX(인턴계획표[[정규화1]:[정규화6]],$Q493,$I$3)&amp;""),FIND(" ",IF($I$3="","",INDEX(인턴계획표[[정규화1]:[정규화6]],$Q493,$I$3)&amp;""))-1),IF($I$3="","",INDEX(인턴계획표[[정규화1]:[정규화6]],$Q493,$I$3)&amp;"")))))</f>
        <v/>
      </c>
      <c r="I493">
        <f>IF($Q493="","",IF(IF($I$3="","",INDEX(인턴계획표[[정규화1]:[정규화6]],$Q493,$I$3)&amp;"")="","",IF(LEFT(IF($I$3="","",INDEX(인턴계획표[[정규화1]:[정규화6]],$Q493,$I$3)&amp;""),1)="⚠","",IFERROR(MID(IF($I$3="","",INDEX(인턴계획표[[정규화1]:[정규화6]],$Q493,$I$3)&amp;""),FIND(" ",IF($I$3="","",INDEX(인턴계획표[[정규화1]:[정규화6]],$Q493,$I$3)&amp;""))+1,60),""))))</f>
        <v/>
      </c>
      <c r="J493">
        <f>IF($Q493="","",INDEX(인턴계획표[정규화1],$Q493))</f>
        <v/>
      </c>
      <c r="K493">
        <f>IF($Q493="","",INDEX(인턴계획표[정규화2],$Q493))</f>
        <v/>
      </c>
      <c r="L493">
        <f>IF($Q493="","",INDEX(인턴계획표[정규화3],$Q493))</f>
        <v/>
      </c>
      <c r="M493">
        <f>IF($Q493="","",INDEX(인턴계획표[정규화4],$Q493))</f>
        <v/>
      </c>
      <c r="N493">
        <f>IF($Q493="","",INDEX(인턴계획표[정규화5],$Q493))</f>
        <v/>
      </c>
      <c r="O493">
        <f>IF($Q493="","",INDEX(인턴계획표[정규화6],$Q493))</f>
        <v/>
      </c>
      <c r="P493">
        <f>IF($Q493="","",INDEX(인턴계획표[입력오류],$Q493))</f>
        <v/>
      </c>
      <c r="Q493" s="17">
        <f>IFERROR(MATCH(488,인턴계획표[표시순번],0),"")</f>
        <v/>
      </c>
    </row>
    <row r="494">
      <c r="A494">
        <f>IF($Q494="","",INDEX(인턴계획표[순번],$Q494)&amp;"")</f>
        <v/>
      </c>
      <c r="B494">
        <f>IF($Q494="","",TRIM(INDEX(인턴계획표[이름],$Q494)&amp;""))</f>
        <v/>
      </c>
      <c r="C494">
        <f>IF($Q494="","",INDEX(인턴계획표[사번],$Q494)&amp;"")</f>
        <v/>
      </c>
      <c r="D494">
        <f>IF($Q494="","",IF(COUNTIF(기본자료표[사번키],INDEX(인턴계획표[사번키],$Q494))&gt;0,"확인","미등록"))</f>
        <v/>
      </c>
      <c r="E494">
        <f>IF($Q494="","",IF(ISNUMBER(INDEX(인턴계획표[입사일(비고)],$Q494)),TEXT(INDEX(인턴계획표[입사일(비고)],$Q494),"yyyy-mm-dd"),INDEX(인턴계획표[입사일(비고)],$Q494)&amp;""))</f>
        <v/>
      </c>
      <c r="F494">
        <f>IF($Q494="","",IF(IF($G$3="","",INDEX(인턴계획표[[정규화1]:[정규화6]],$Q494,$G$3)&amp;"")="","",IF(LEFT(IF($G$3="","",INDEX(인턴계획표[[정규화1]:[정규화6]],$Q494,$G$3)&amp;""),1)="⚠",IF($G$3="","",INDEX(인턴계획표[[정규화1]:[정규화6]],$Q494,$G$3)&amp;""),IFERROR(LEFT(IF($G$3="","",INDEX(인턴계획표[[정규화1]:[정규화6]],$Q494,$G$3)&amp;""),FIND(" ",IF($G$3="","",INDEX(인턴계획표[[정규화1]:[정규화6]],$Q494,$G$3)&amp;""))-1),IF($G$3="","",INDEX(인턴계획표[[정규화1]:[정규화6]],$Q494,$G$3)&amp;"")))))</f>
        <v/>
      </c>
      <c r="G494">
        <f>IF($Q494="","",IF(IF($G$3="","",INDEX(인턴계획표[[정규화1]:[정규화6]],$Q494,$G$3)&amp;"")="","",IF(LEFT(IF($G$3="","",INDEX(인턴계획표[[정규화1]:[정규화6]],$Q494,$G$3)&amp;""),1)="⚠","",IFERROR(MID(IF($G$3="","",INDEX(인턴계획표[[정규화1]:[정규화6]],$Q494,$G$3)&amp;""),FIND(" ",IF($G$3="","",INDEX(인턴계획표[[정규화1]:[정규화6]],$Q494,$G$3)&amp;""))+1,60),""))))</f>
        <v/>
      </c>
      <c r="H494">
        <f>IF($Q494="","",IF(IF($I$3="","",INDEX(인턴계획표[[정규화1]:[정규화6]],$Q494,$I$3)&amp;"")="","",IF(LEFT(IF($I$3="","",INDEX(인턴계획표[[정규화1]:[정규화6]],$Q494,$I$3)&amp;""),1)="⚠",IF($I$3="","",INDEX(인턴계획표[[정규화1]:[정규화6]],$Q494,$I$3)&amp;""),IFERROR(LEFT(IF($I$3="","",INDEX(인턴계획표[[정규화1]:[정규화6]],$Q494,$I$3)&amp;""),FIND(" ",IF($I$3="","",INDEX(인턴계획표[[정규화1]:[정규화6]],$Q494,$I$3)&amp;""))-1),IF($I$3="","",INDEX(인턴계획표[[정규화1]:[정규화6]],$Q494,$I$3)&amp;"")))))</f>
        <v/>
      </c>
      <c r="I494">
        <f>IF($Q494="","",IF(IF($I$3="","",INDEX(인턴계획표[[정규화1]:[정규화6]],$Q494,$I$3)&amp;"")="","",IF(LEFT(IF($I$3="","",INDEX(인턴계획표[[정규화1]:[정규화6]],$Q494,$I$3)&amp;""),1)="⚠","",IFERROR(MID(IF($I$3="","",INDEX(인턴계획표[[정규화1]:[정규화6]],$Q494,$I$3)&amp;""),FIND(" ",IF($I$3="","",INDEX(인턴계획표[[정규화1]:[정규화6]],$Q494,$I$3)&amp;""))+1,60),""))))</f>
        <v/>
      </c>
      <c r="J494">
        <f>IF($Q494="","",INDEX(인턴계획표[정규화1],$Q494))</f>
        <v/>
      </c>
      <c r="K494">
        <f>IF($Q494="","",INDEX(인턴계획표[정규화2],$Q494))</f>
        <v/>
      </c>
      <c r="L494">
        <f>IF($Q494="","",INDEX(인턴계획표[정규화3],$Q494))</f>
        <v/>
      </c>
      <c r="M494">
        <f>IF($Q494="","",INDEX(인턴계획표[정규화4],$Q494))</f>
        <v/>
      </c>
      <c r="N494">
        <f>IF($Q494="","",INDEX(인턴계획표[정규화5],$Q494))</f>
        <v/>
      </c>
      <c r="O494">
        <f>IF($Q494="","",INDEX(인턴계획표[정규화6],$Q494))</f>
        <v/>
      </c>
      <c r="P494">
        <f>IF($Q494="","",INDEX(인턴계획표[입력오류],$Q494))</f>
        <v/>
      </c>
      <c r="Q494" s="17">
        <f>IFERROR(MATCH(489,인턴계획표[표시순번],0),"")</f>
        <v/>
      </c>
    </row>
    <row r="495">
      <c r="A495">
        <f>IF($Q495="","",INDEX(인턴계획표[순번],$Q495)&amp;"")</f>
        <v/>
      </c>
      <c r="B495">
        <f>IF($Q495="","",TRIM(INDEX(인턴계획표[이름],$Q495)&amp;""))</f>
        <v/>
      </c>
      <c r="C495">
        <f>IF($Q495="","",INDEX(인턴계획표[사번],$Q495)&amp;"")</f>
        <v/>
      </c>
      <c r="D495">
        <f>IF($Q495="","",IF(COUNTIF(기본자료표[사번키],INDEX(인턴계획표[사번키],$Q495))&gt;0,"확인","미등록"))</f>
        <v/>
      </c>
      <c r="E495">
        <f>IF($Q495="","",IF(ISNUMBER(INDEX(인턴계획표[입사일(비고)],$Q495)),TEXT(INDEX(인턴계획표[입사일(비고)],$Q495),"yyyy-mm-dd"),INDEX(인턴계획표[입사일(비고)],$Q495)&amp;""))</f>
        <v/>
      </c>
      <c r="F495">
        <f>IF($Q495="","",IF(IF($G$3="","",INDEX(인턴계획표[[정규화1]:[정규화6]],$Q495,$G$3)&amp;"")="","",IF(LEFT(IF($G$3="","",INDEX(인턴계획표[[정규화1]:[정규화6]],$Q495,$G$3)&amp;""),1)="⚠",IF($G$3="","",INDEX(인턴계획표[[정규화1]:[정규화6]],$Q495,$G$3)&amp;""),IFERROR(LEFT(IF($G$3="","",INDEX(인턴계획표[[정규화1]:[정규화6]],$Q495,$G$3)&amp;""),FIND(" ",IF($G$3="","",INDEX(인턴계획표[[정규화1]:[정규화6]],$Q495,$G$3)&amp;""))-1),IF($G$3="","",INDEX(인턴계획표[[정규화1]:[정규화6]],$Q495,$G$3)&amp;"")))))</f>
        <v/>
      </c>
      <c r="G495">
        <f>IF($Q495="","",IF(IF($G$3="","",INDEX(인턴계획표[[정규화1]:[정규화6]],$Q495,$G$3)&amp;"")="","",IF(LEFT(IF($G$3="","",INDEX(인턴계획표[[정규화1]:[정규화6]],$Q495,$G$3)&amp;""),1)="⚠","",IFERROR(MID(IF($G$3="","",INDEX(인턴계획표[[정규화1]:[정규화6]],$Q495,$G$3)&amp;""),FIND(" ",IF($G$3="","",INDEX(인턴계획표[[정규화1]:[정규화6]],$Q495,$G$3)&amp;""))+1,60),""))))</f>
        <v/>
      </c>
      <c r="H495">
        <f>IF($Q495="","",IF(IF($I$3="","",INDEX(인턴계획표[[정규화1]:[정규화6]],$Q495,$I$3)&amp;"")="","",IF(LEFT(IF($I$3="","",INDEX(인턴계획표[[정규화1]:[정규화6]],$Q495,$I$3)&amp;""),1)="⚠",IF($I$3="","",INDEX(인턴계획표[[정규화1]:[정규화6]],$Q495,$I$3)&amp;""),IFERROR(LEFT(IF($I$3="","",INDEX(인턴계획표[[정규화1]:[정규화6]],$Q495,$I$3)&amp;""),FIND(" ",IF($I$3="","",INDEX(인턴계획표[[정규화1]:[정규화6]],$Q495,$I$3)&amp;""))-1),IF($I$3="","",INDEX(인턴계획표[[정규화1]:[정규화6]],$Q495,$I$3)&amp;"")))))</f>
        <v/>
      </c>
      <c r="I495">
        <f>IF($Q495="","",IF(IF($I$3="","",INDEX(인턴계획표[[정규화1]:[정규화6]],$Q495,$I$3)&amp;"")="","",IF(LEFT(IF($I$3="","",INDEX(인턴계획표[[정규화1]:[정규화6]],$Q495,$I$3)&amp;""),1)="⚠","",IFERROR(MID(IF($I$3="","",INDEX(인턴계획표[[정규화1]:[정규화6]],$Q495,$I$3)&amp;""),FIND(" ",IF($I$3="","",INDEX(인턴계획표[[정규화1]:[정규화6]],$Q495,$I$3)&amp;""))+1,60),""))))</f>
        <v/>
      </c>
      <c r="J495">
        <f>IF($Q495="","",INDEX(인턴계획표[정규화1],$Q495))</f>
        <v/>
      </c>
      <c r="K495">
        <f>IF($Q495="","",INDEX(인턴계획표[정규화2],$Q495))</f>
        <v/>
      </c>
      <c r="L495">
        <f>IF($Q495="","",INDEX(인턴계획표[정규화3],$Q495))</f>
        <v/>
      </c>
      <c r="M495">
        <f>IF($Q495="","",INDEX(인턴계획표[정규화4],$Q495))</f>
        <v/>
      </c>
      <c r="N495">
        <f>IF($Q495="","",INDEX(인턴계획표[정규화5],$Q495))</f>
        <v/>
      </c>
      <c r="O495">
        <f>IF($Q495="","",INDEX(인턴계획표[정규화6],$Q495))</f>
        <v/>
      </c>
      <c r="P495">
        <f>IF($Q495="","",INDEX(인턴계획표[입력오류],$Q495))</f>
        <v/>
      </c>
      <c r="Q495" s="17">
        <f>IFERROR(MATCH(490,인턴계획표[표시순번],0),"")</f>
        <v/>
      </c>
    </row>
    <row r="496">
      <c r="A496">
        <f>IF($Q496="","",INDEX(인턴계획표[순번],$Q496)&amp;"")</f>
        <v/>
      </c>
      <c r="B496">
        <f>IF($Q496="","",TRIM(INDEX(인턴계획표[이름],$Q496)&amp;""))</f>
        <v/>
      </c>
      <c r="C496">
        <f>IF($Q496="","",INDEX(인턴계획표[사번],$Q496)&amp;"")</f>
        <v/>
      </c>
      <c r="D496">
        <f>IF($Q496="","",IF(COUNTIF(기본자료표[사번키],INDEX(인턴계획표[사번키],$Q496))&gt;0,"확인","미등록"))</f>
        <v/>
      </c>
      <c r="E496">
        <f>IF($Q496="","",IF(ISNUMBER(INDEX(인턴계획표[입사일(비고)],$Q496)),TEXT(INDEX(인턴계획표[입사일(비고)],$Q496),"yyyy-mm-dd"),INDEX(인턴계획표[입사일(비고)],$Q496)&amp;""))</f>
        <v/>
      </c>
      <c r="F496">
        <f>IF($Q496="","",IF(IF($G$3="","",INDEX(인턴계획표[[정규화1]:[정규화6]],$Q496,$G$3)&amp;"")="","",IF(LEFT(IF($G$3="","",INDEX(인턴계획표[[정규화1]:[정규화6]],$Q496,$G$3)&amp;""),1)="⚠",IF($G$3="","",INDEX(인턴계획표[[정규화1]:[정규화6]],$Q496,$G$3)&amp;""),IFERROR(LEFT(IF($G$3="","",INDEX(인턴계획표[[정규화1]:[정규화6]],$Q496,$G$3)&amp;""),FIND(" ",IF($G$3="","",INDEX(인턴계획표[[정규화1]:[정규화6]],$Q496,$G$3)&amp;""))-1),IF($G$3="","",INDEX(인턴계획표[[정규화1]:[정규화6]],$Q496,$G$3)&amp;"")))))</f>
        <v/>
      </c>
      <c r="G496">
        <f>IF($Q496="","",IF(IF($G$3="","",INDEX(인턴계획표[[정규화1]:[정규화6]],$Q496,$G$3)&amp;"")="","",IF(LEFT(IF($G$3="","",INDEX(인턴계획표[[정규화1]:[정규화6]],$Q496,$G$3)&amp;""),1)="⚠","",IFERROR(MID(IF($G$3="","",INDEX(인턴계획표[[정규화1]:[정규화6]],$Q496,$G$3)&amp;""),FIND(" ",IF($G$3="","",INDEX(인턴계획표[[정규화1]:[정규화6]],$Q496,$G$3)&amp;""))+1,60),""))))</f>
        <v/>
      </c>
      <c r="H496">
        <f>IF($Q496="","",IF(IF($I$3="","",INDEX(인턴계획표[[정규화1]:[정규화6]],$Q496,$I$3)&amp;"")="","",IF(LEFT(IF($I$3="","",INDEX(인턴계획표[[정규화1]:[정규화6]],$Q496,$I$3)&amp;""),1)="⚠",IF($I$3="","",INDEX(인턴계획표[[정규화1]:[정규화6]],$Q496,$I$3)&amp;""),IFERROR(LEFT(IF($I$3="","",INDEX(인턴계획표[[정규화1]:[정규화6]],$Q496,$I$3)&amp;""),FIND(" ",IF($I$3="","",INDEX(인턴계획표[[정규화1]:[정규화6]],$Q496,$I$3)&amp;""))-1),IF($I$3="","",INDEX(인턴계획표[[정규화1]:[정규화6]],$Q496,$I$3)&amp;"")))))</f>
        <v/>
      </c>
      <c r="I496">
        <f>IF($Q496="","",IF(IF($I$3="","",INDEX(인턴계획표[[정규화1]:[정규화6]],$Q496,$I$3)&amp;"")="","",IF(LEFT(IF($I$3="","",INDEX(인턴계획표[[정규화1]:[정규화6]],$Q496,$I$3)&amp;""),1)="⚠","",IFERROR(MID(IF($I$3="","",INDEX(인턴계획표[[정규화1]:[정규화6]],$Q496,$I$3)&amp;""),FIND(" ",IF($I$3="","",INDEX(인턴계획표[[정규화1]:[정규화6]],$Q496,$I$3)&amp;""))+1,60),""))))</f>
        <v/>
      </c>
      <c r="J496">
        <f>IF($Q496="","",INDEX(인턴계획표[정규화1],$Q496))</f>
        <v/>
      </c>
      <c r="K496">
        <f>IF($Q496="","",INDEX(인턴계획표[정규화2],$Q496))</f>
        <v/>
      </c>
      <c r="L496">
        <f>IF($Q496="","",INDEX(인턴계획표[정규화3],$Q496))</f>
        <v/>
      </c>
      <c r="M496">
        <f>IF($Q496="","",INDEX(인턴계획표[정규화4],$Q496))</f>
        <v/>
      </c>
      <c r="N496">
        <f>IF($Q496="","",INDEX(인턴계획표[정규화5],$Q496))</f>
        <v/>
      </c>
      <c r="O496">
        <f>IF($Q496="","",INDEX(인턴계획표[정규화6],$Q496))</f>
        <v/>
      </c>
      <c r="P496">
        <f>IF($Q496="","",INDEX(인턴계획표[입력오류],$Q496))</f>
        <v/>
      </c>
      <c r="Q496" s="17">
        <f>IFERROR(MATCH(491,인턴계획표[표시순번],0),"")</f>
        <v/>
      </c>
    </row>
    <row r="497">
      <c r="A497">
        <f>IF($Q497="","",INDEX(인턴계획표[순번],$Q497)&amp;"")</f>
        <v/>
      </c>
      <c r="B497">
        <f>IF($Q497="","",TRIM(INDEX(인턴계획표[이름],$Q497)&amp;""))</f>
        <v/>
      </c>
      <c r="C497">
        <f>IF($Q497="","",INDEX(인턴계획표[사번],$Q497)&amp;"")</f>
        <v/>
      </c>
      <c r="D497">
        <f>IF($Q497="","",IF(COUNTIF(기본자료표[사번키],INDEX(인턴계획표[사번키],$Q497))&gt;0,"확인","미등록"))</f>
        <v/>
      </c>
      <c r="E497">
        <f>IF($Q497="","",IF(ISNUMBER(INDEX(인턴계획표[입사일(비고)],$Q497)),TEXT(INDEX(인턴계획표[입사일(비고)],$Q497),"yyyy-mm-dd"),INDEX(인턴계획표[입사일(비고)],$Q497)&amp;""))</f>
        <v/>
      </c>
      <c r="F497">
        <f>IF($Q497="","",IF(IF($G$3="","",INDEX(인턴계획표[[정규화1]:[정규화6]],$Q497,$G$3)&amp;"")="","",IF(LEFT(IF($G$3="","",INDEX(인턴계획표[[정규화1]:[정규화6]],$Q497,$G$3)&amp;""),1)="⚠",IF($G$3="","",INDEX(인턴계획표[[정규화1]:[정규화6]],$Q497,$G$3)&amp;""),IFERROR(LEFT(IF($G$3="","",INDEX(인턴계획표[[정규화1]:[정규화6]],$Q497,$G$3)&amp;""),FIND(" ",IF($G$3="","",INDEX(인턴계획표[[정규화1]:[정규화6]],$Q497,$G$3)&amp;""))-1),IF($G$3="","",INDEX(인턴계획표[[정규화1]:[정규화6]],$Q497,$G$3)&amp;"")))))</f>
        <v/>
      </c>
      <c r="G497">
        <f>IF($Q497="","",IF(IF($G$3="","",INDEX(인턴계획표[[정규화1]:[정규화6]],$Q497,$G$3)&amp;"")="","",IF(LEFT(IF($G$3="","",INDEX(인턴계획표[[정규화1]:[정규화6]],$Q497,$G$3)&amp;""),1)="⚠","",IFERROR(MID(IF($G$3="","",INDEX(인턴계획표[[정규화1]:[정규화6]],$Q497,$G$3)&amp;""),FIND(" ",IF($G$3="","",INDEX(인턴계획표[[정규화1]:[정규화6]],$Q497,$G$3)&amp;""))+1,60),""))))</f>
        <v/>
      </c>
      <c r="H497">
        <f>IF($Q497="","",IF(IF($I$3="","",INDEX(인턴계획표[[정규화1]:[정규화6]],$Q497,$I$3)&amp;"")="","",IF(LEFT(IF($I$3="","",INDEX(인턴계획표[[정규화1]:[정규화6]],$Q497,$I$3)&amp;""),1)="⚠",IF($I$3="","",INDEX(인턴계획표[[정규화1]:[정규화6]],$Q497,$I$3)&amp;""),IFERROR(LEFT(IF($I$3="","",INDEX(인턴계획표[[정규화1]:[정규화6]],$Q497,$I$3)&amp;""),FIND(" ",IF($I$3="","",INDEX(인턴계획표[[정규화1]:[정규화6]],$Q497,$I$3)&amp;""))-1),IF($I$3="","",INDEX(인턴계획표[[정규화1]:[정규화6]],$Q497,$I$3)&amp;"")))))</f>
        <v/>
      </c>
      <c r="I497">
        <f>IF($Q497="","",IF(IF($I$3="","",INDEX(인턴계획표[[정규화1]:[정규화6]],$Q497,$I$3)&amp;"")="","",IF(LEFT(IF($I$3="","",INDEX(인턴계획표[[정규화1]:[정규화6]],$Q497,$I$3)&amp;""),1)="⚠","",IFERROR(MID(IF($I$3="","",INDEX(인턴계획표[[정규화1]:[정규화6]],$Q497,$I$3)&amp;""),FIND(" ",IF($I$3="","",INDEX(인턴계획표[[정규화1]:[정규화6]],$Q497,$I$3)&amp;""))+1,60),""))))</f>
        <v/>
      </c>
      <c r="J497">
        <f>IF($Q497="","",INDEX(인턴계획표[정규화1],$Q497))</f>
        <v/>
      </c>
      <c r="K497">
        <f>IF($Q497="","",INDEX(인턴계획표[정규화2],$Q497))</f>
        <v/>
      </c>
      <c r="L497">
        <f>IF($Q497="","",INDEX(인턴계획표[정규화3],$Q497))</f>
        <v/>
      </c>
      <c r="M497">
        <f>IF($Q497="","",INDEX(인턴계획표[정규화4],$Q497))</f>
        <v/>
      </c>
      <c r="N497">
        <f>IF($Q497="","",INDEX(인턴계획표[정규화5],$Q497))</f>
        <v/>
      </c>
      <c r="O497">
        <f>IF($Q497="","",INDEX(인턴계획표[정규화6],$Q497))</f>
        <v/>
      </c>
      <c r="P497">
        <f>IF($Q497="","",INDEX(인턴계획표[입력오류],$Q497))</f>
        <v/>
      </c>
      <c r="Q497" s="17">
        <f>IFERROR(MATCH(492,인턴계획표[표시순번],0),"")</f>
        <v/>
      </c>
    </row>
    <row r="498">
      <c r="A498">
        <f>IF($Q498="","",INDEX(인턴계획표[순번],$Q498)&amp;"")</f>
        <v/>
      </c>
      <c r="B498">
        <f>IF($Q498="","",TRIM(INDEX(인턴계획표[이름],$Q498)&amp;""))</f>
        <v/>
      </c>
      <c r="C498">
        <f>IF($Q498="","",INDEX(인턴계획표[사번],$Q498)&amp;"")</f>
        <v/>
      </c>
      <c r="D498">
        <f>IF($Q498="","",IF(COUNTIF(기본자료표[사번키],INDEX(인턴계획표[사번키],$Q498))&gt;0,"확인","미등록"))</f>
        <v/>
      </c>
      <c r="E498">
        <f>IF($Q498="","",IF(ISNUMBER(INDEX(인턴계획표[입사일(비고)],$Q498)),TEXT(INDEX(인턴계획표[입사일(비고)],$Q498),"yyyy-mm-dd"),INDEX(인턴계획표[입사일(비고)],$Q498)&amp;""))</f>
        <v/>
      </c>
      <c r="F498">
        <f>IF($Q498="","",IF(IF($G$3="","",INDEX(인턴계획표[[정규화1]:[정규화6]],$Q498,$G$3)&amp;"")="","",IF(LEFT(IF($G$3="","",INDEX(인턴계획표[[정규화1]:[정규화6]],$Q498,$G$3)&amp;""),1)="⚠",IF($G$3="","",INDEX(인턴계획표[[정규화1]:[정규화6]],$Q498,$G$3)&amp;""),IFERROR(LEFT(IF($G$3="","",INDEX(인턴계획표[[정규화1]:[정규화6]],$Q498,$G$3)&amp;""),FIND(" ",IF($G$3="","",INDEX(인턴계획표[[정규화1]:[정규화6]],$Q498,$G$3)&amp;""))-1),IF($G$3="","",INDEX(인턴계획표[[정규화1]:[정규화6]],$Q498,$G$3)&amp;"")))))</f>
        <v/>
      </c>
      <c r="G498">
        <f>IF($Q498="","",IF(IF($G$3="","",INDEX(인턴계획표[[정규화1]:[정규화6]],$Q498,$G$3)&amp;"")="","",IF(LEFT(IF($G$3="","",INDEX(인턴계획표[[정규화1]:[정규화6]],$Q498,$G$3)&amp;""),1)="⚠","",IFERROR(MID(IF($G$3="","",INDEX(인턴계획표[[정규화1]:[정규화6]],$Q498,$G$3)&amp;""),FIND(" ",IF($G$3="","",INDEX(인턴계획표[[정규화1]:[정규화6]],$Q498,$G$3)&amp;""))+1,60),""))))</f>
        <v/>
      </c>
      <c r="H498">
        <f>IF($Q498="","",IF(IF($I$3="","",INDEX(인턴계획표[[정규화1]:[정규화6]],$Q498,$I$3)&amp;"")="","",IF(LEFT(IF($I$3="","",INDEX(인턴계획표[[정규화1]:[정규화6]],$Q498,$I$3)&amp;""),1)="⚠",IF($I$3="","",INDEX(인턴계획표[[정규화1]:[정규화6]],$Q498,$I$3)&amp;""),IFERROR(LEFT(IF($I$3="","",INDEX(인턴계획표[[정규화1]:[정규화6]],$Q498,$I$3)&amp;""),FIND(" ",IF($I$3="","",INDEX(인턴계획표[[정규화1]:[정규화6]],$Q498,$I$3)&amp;""))-1),IF($I$3="","",INDEX(인턴계획표[[정규화1]:[정규화6]],$Q498,$I$3)&amp;"")))))</f>
        <v/>
      </c>
      <c r="I498">
        <f>IF($Q498="","",IF(IF($I$3="","",INDEX(인턴계획표[[정규화1]:[정규화6]],$Q498,$I$3)&amp;"")="","",IF(LEFT(IF($I$3="","",INDEX(인턴계획표[[정규화1]:[정규화6]],$Q498,$I$3)&amp;""),1)="⚠","",IFERROR(MID(IF($I$3="","",INDEX(인턴계획표[[정규화1]:[정규화6]],$Q498,$I$3)&amp;""),FIND(" ",IF($I$3="","",INDEX(인턴계획표[[정규화1]:[정규화6]],$Q498,$I$3)&amp;""))+1,60),""))))</f>
        <v/>
      </c>
      <c r="J498">
        <f>IF($Q498="","",INDEX(인턴계획표[정규화1],$Q498))</f>
        <v/>
      </c>
      <c r="K498">
        <f>IF($Q498="","",INDEX(인턴계획표[정규화2],$Q498))</f>
        <v/>
      </c>
      <c r="L498">
        <f>IF($Q498="","",INDEX(인턴계획표[정규화3],$Q498))</f>
        <v/>
      </c>
      <c r="M498">
        <f>IF($Q498="","",INDEX(인턴계획표[정규화4],$Q498))</f>
        <v/>
      </c>
      <c r="N498">
        <f>IF($Q498="","",INDEX(인턴계획표[정규화5],$Q498))</f>
        <v/>
      </c>
      <c r="O498">
        <f>IF($Q498="","",INDEX(인턴계획표[정규화6],$Q498))</f>
        <v/>
      </c>
      <c r="P498">
        <f>IF($Q498="","",INDEX(인턴계획표[입력오류],$Q498))</f>
        <v/>
      </c>
      <c r="Q498" s="17">
        <f>IFERROR(MATCH(493,인턴계획표[표시순번],0),"")</f>
        <v/>
      </c>
    </row>
    <row r="499">
      <c r="A499">
        <f>IF($Q499="","",INDEX(인턴계획표[순번],$Q499)&amp;"")</f>
        <v/>
      </c>
      <c r="B499">
        <f>IF($Q499="","",TRIM(INDEX(인턴계획표[이름],$Q499)&amp;""))</f>
        <v/>
      </c>
      <c r="C499">
        <f>IF($Q499="","",INDEX(인턴계획표[사번],$Q499)&amp;"")</f>
        <v/>
      </c>
      <c r="D499">
        <f>IF($Q499="","",IF(COUNTIF(기본자료표[사번키],INDEX(인턴계획표[사번키],$Q499))&gt;0,"확인","미등록"))</f>
        <v/>
      </c>
      <c r="E499">
        <f>IF($Q499="","",IF(ISNUMBER(INDEX(인턴계획표[입사일(비고)],$Q499)),TEXT(INDEX(인턴계획표[입사일(비고)],$Q499),"yyyy-mm-dd"),INDEX(인턴계획표[입사일(비고)],$Q499)&amp;""))</f>
        <v/>
      </c>
      <c r="F499">
        <f>IF($Q499="","",IF(IF($G$3="","",INDEX(인턴계획표[[정규화1]:[정규화6]],$Q499,$G$3)&amp;"")="","",IF(LEFT(IF($G$3="","",INDEX(인턴계획표[[정규화1]:[정규화6]],$Q499,$G$3)&amp;""),1)="⚠",IF($G$3="","",INDEX(인턴계획표[[정규화1]:[정규화6]],$Q499,$G$3)&amp;""),IFERROR(LEFT(IF($G$3="","",INDEX(인턴계획표[[정규화1]:[정규화6]],$Q499,$G$3)&amp;""),FIND(" ",IF($G$3="","",INDEX(인턴계획표[[정규화1]:[정규화6]],$Q499,$G$3)&amp;""))-1),IF($G$3="","",INDEX(인턴계획표[[정규화1]:[정규화6]],$Q499,$G$3)&amp;"")))))</f>
        <v/>
      </c>
      <c r="G499">
        <f>IF($Q499="","",IF(IF($G$3="","",INDEX(인턴계획표[[정규화1]:[정규화6]],$Q499,$G$3)&amp;"")="","",IF(LEFT(IF($G$3="","",INDEX(인턴계획표[[정규화1]:[정규화6]],$Q499,$G$3)&amp;""),1)="⚠","",IFERROR(MID(IF($G$3="","",INDEX(인턴계획표[[정규화1]:[정규화6]],$Q499,$G$3)&amp;""),FIND(" ",IF($G$3="","",INDEX(인턴계획표[[정규화1]:[정규화6]],$Q499,$G$3)&amp;""))+1,60),""))))</f>
        <v/>
      </c>
      <c r="H499">
        <f>IF($Q499="","",IF(IF($I$3="","",INDEX(인턴계획표[[정규화1]:[정규화6]],$Q499,$I$3)&amp;"")="","",IF(LEFT(IF($I$3="","",INDEX(인턴계획표[[정규화1]:[정규화6]],$Q499,$I$3)&amp;""),1)="⚠",IF($I$3="","",INDEX(인턴계획표[[정규화1]:[정규화6]],$Q499,$I$3)&amp;""),IFERROR(LEFT(IF($I$3="","",INDEX(인턴계획표[[정규화1]:[정규화6]],$Q499,$I$3)&amp;""),FIND(" ",IF($I$3="","",INDEX(인턴계획표[[정규화1]:[정규화6]],$Q499,$I$3)&amp;""))-1),IF($I$3="","",INDEX(인턴계획표[[정규화1]:[정규화6]],$Q499,$I$3)&amp;"")))))</f>
        <v/>
      </c>
      <c r="I499">
        <f>IF($Q499="","",IF(IF($I$3="","",INDEX(인턴계획표[[정규화1]:[정규화6]],$Q499,$I$3)&amp;"")="","",IF(LEFT(IF($I$3="","",INDEX(인턴계획표[[정규화1]:[정규화6]],$Q499,$I$3)&amp;""),1)="⚠","",IFERROR(MID(IF($I$3="","",INDEX(인턴계획표[[정규화1]:[정규화6]],$Q499,$I$3)&amp;""),FIND(" ",IF($I$3="","",INDEX(인턴계획표[[정규화1]:[정규화6]],$Q499,$I$3)&amp;""))+1,60),""))))</f>
        <v/>
      </c>
      <c r="J499">
        <f>IF($Q499="","",INDEX(인턴계획표[정규화1],$Q499))</f>
        <v/>
      </c>
      <c r="K499">
        <f>IF($Q499="","",INDEX(인턴계획표[정규화2],$Q499))</f>
        <v/>
      </c>
      <c r="L499">
        <f>IF($Q499="","",INDEX(인턴계획표[정규화3],$Q499))</f>
        <v/>
      </c>
      <c r="M499">
        <f>IF($Q499="","",INDEX(인턴계획표[정규화4],$Q499))</f>
        <v/>
      </c>
      <c r="N499">
        <f>IF($Q499="","",INDEX(인턴계획표[정규화5],$Q499))</f>
        <v/>
      </c>
      <c r="O499">
        <f>IF($Q499="","",INDEX(인턴계획표[정규화6],$Q499))</f>
        <v/>
      </c>
      <c r="P499">
        <f>IF($Q499="","",INDEX(인턴계획표[입력오류],$Q499))</f>
        <v/>
      </c>
      <c r="Q499" s="17">
        <f>IFERROR(MATCH(494,인턴계획표[표시순번],0),"")</f>
        <v/>
      </c>
    </row>
    <row r="500">
      <c r="A500">
        <f>IF($Q500="","",INDEX(인턴계획표[순번],$Q500)&amp;"")</f>
        <v/>
      </c>
      <c r="B500">
        <f>IF($Q500="","",TRIM(INDEX(인턴계획표[이름],$Q500)&amp;""))</f>
        <v/>
      </c>
      <c r="C500">
        <f>IF($Q500="","",INDEX(인턴계획표[사번],$Q500)&amp;"")</f>
        <v/>
      </c>
      <c r="D500">
        <f>IF($Q500="","",IF(COUNTIF(기본자료표[사번키],INDEX(인턴계획표[사번키],$Q500))&gt;0,"확인","미등록"))</f>
        <v/>
      </c>
      <c r="E500">
        <f>IF($Q500="","",IF(ISNUMBER(INDEX(인턴계획표[입사일(비고)],$Q500)),TEXT(INDEX(인턴계획표[입사일(비고)],$Q500),"yyyy-mm-dd"),INDEX(인턴계획표[입사일(비고)],$Q500)&amp;""))</f>
        <v/>
      </c>
      <c r="F500">
        <f>IF($Q500="","",IF(IF($G$3="","",INDEX(인턴계획표[[정규화1]:[정규화6]],$Q500,$G$3)&amp;"")="","",IF(LEFT(IF($G$3="","",INDEX(인턴계획표[[정규화1]:[정규화6]],$Q500,$G$3)&amp;""),1)="⚠",IF($G$3="","",INDEX(인턴계획표[[정규화1]:[정규화6]],$Q500,$G$3)&amp;""),IFERROR(LEFT(IF($G$3="","",INDEX(인턴계획표[[정규화1]:[정규화6]],$Q500,$G$3)&amp;""),FIND(" ",IF($G$3="","",INDEX(인턴계획표[[정규화1]:[정규화6]],$Q500,$G$3)&amp;""))-1),IF($G$3="","",INDEX(인턴계획표[[정규화1]:[정규화6]],$Q500,$G$3)&amp;"")))))</f>
        <v/>
      </c>
      <c r="G500">
        <f>IF($Q500="","",IF(IF($G$3="","",INDEX(인턴계획표[[정규화1]:[정규화6]],$Q500,$G$3)&amp;"")="","",IF(LEFT(IF($G$3="","",INDEX(인턴계획표[[정규화1]:[정규화6]],$Q500,$G$3)&amp;""),1)="⚠","",IFERROR(MID(IF($G$3="","",INDEX(인턴계획표[[정규화1]:[정규화6]],$Q500,$G$3)&amp;""),FIND(" ",IF($G$3="","",INDEX(인턴계획표[[정규화1]:[정규화6]],$Q500,$G$3)&amp;""))+1,60),""))))</f>
        <v/>
      </c>
      <c r="H500">
        <f>IF($Q500="","",IF(IF($I$3="","",INDEX(인턴계획표[[정규화1]:[정규화6]],$Q500,$I$3)&amp;"")="","",IF(LEFT(IF($I$3="","",INDEX(인턴계획표[[정규화1]:[정규화6]],$Q500,$I$3)&amp;""),1)="⚠",IF($I$3="","",INDEX(인턴계획표[[정규화1]:[정규화6]],$Q500,$I$3)&amp;""),IFERROR(LEFT(IF($I$3="","",INDEX(인턴계획표[[정규화1]:[정규화6]],$Q500,$I$3)&amp;""),FIND(" ",IF($I$3="","",INDEX(인턴계획표[[정규화1]:[정규화6]],$Q500,$I$3)&amp;""))-1),IF($I$3="","",INDEX(인턴계획표[[정규화1]:[정규화6]],$Q500,$I$3)&amp;"")))))</f>
        <v/>
      </c>
      <c r="I500">
        <f>IF($Q500="","",IF(IF($I$3="","",INDEX(인턴계획표[[정규화1]:[정규화6]],$Q500,$I$3)&amp;"")="","",IF(LEFT(IF($I$3="","",INDEX(인턴계획표[[정규화1]:[정규화6]],$Q500,$I$3)&amp;""),1)="⚠","",IFERROR(MID(IF($I$3="","",INDEX(인턴계획표[[정규화1]:[정규화6]],$Q500,$I$3)&amp;""),FIND(" ",IF($I$3="","",INDEX(인턴계획표[[정규화1]:[정규화6]],$Q500,$I$3)&amp;""))+1,60),""))))</f>
        <v/>
      </c>
      <c r="J500">
        <f>IF($Q500="","",INDEX(인턴계획표[정규화1],$Q500))</f>
        <v/>
      </c>
      <c r="K500">
        <f>IF($Q500="","",INDEX(인턴계획표[정규화2],$Q500))</f>
        <v/>
      </c>
      <c r="L500">
        <f>IF($Q500="","",INDEX(인턴계획표[정규화3],$Q500))</f>
        <v/>
      </c>
      <c r="M500">
        <f>IF($Q500="","",INDEX(인턴계획표[정규화4],$Q500))</f>
        <v/>
      </c>
      <c r="N500">
        <f>IF($Q500="","",INDEX(인턴계획표[정규화5],$Q500))</f>
        <v/>
      </c>
      <c r="O500">
        <f>IF($Q500="","",INDEX(인턴계획표[정규화6],$Q500))</f>
        <v/>
      </c>
      <c r="P500">
        <f>IF($Q500="","",INDEX(인턴계획표[입력오류],$Q500))</f>
        <v/>
      </c>
      <c r="Q500" s="17">
        <f>IFERROR(MATCH(495,인턴계획표[표시순번],0),"")</f>
        <v/>
      </c>
    </row>
    <row r="501">
      <c r="A501">
        <f>IF($Q501="","",INDEX(인턴계획표[순번],$Q501)&amp;"")</f>
        <v/>
      </c>
      <c r="B501">
        <f>IF($Q501="","",TRIM(INDEX(인턴계획표[이름],$Q501)&amp;""))</f>
        <v/>
      </c>
      <c r="C501">
        <f>IF($Q501="","",INDEX(인턴계획표[사번],$Q501)&amp;"")</f>
        <v/>
      </c>
      <c r="D501">
        <f>IF($Q501="","",IF(COUNTIF(기본자료표[사번키],INDEX(인턴계획표[사번키],$Q501))&gt;0,"확인","미등록"))</f>
        <v/>
      </c>
      <c r="E501">
        <f>IF($Q501="","",IF(ISNUMBER(INDEX(인턴계획표[입사일(비고)],$Q501)),TEXT(INDEX(인턴계획표[입사일(비고)],$Q501),"yyyy-mm-dd"),INDEX(인턴계획표[입사일(비고)],$Q501)&amp;""))</f>
        <v/>
      </c>
      <c r="F501">
        <f>IF($Q501="","",IF(IF($G$3="","",INDEX(인턴계획표[[정규화1]:[정규화6]],$Q501,$G$3)&amp;"")="","",IF(LEFT(IF($G$3="","",INDEX(인턴계획표[[정규화1]:[정규화6]],$Q501,$G$3)&amp;""),1)="⚠",IF($G$3="","",INDEX(인턴계획표[[정규화1]:[정규화6]],$Q501,$G$3)&amp;""),IFERROR(LEFT(IF($G$3="","",INDEX(인턴계획표[[정규화1]:[정규화6]],$Q501,$G$3)&amp;""),FIND(" ",IF($G$3="","",INDEX(인턴계획표[[정규화1]:[정규화6]],$Q501,$G$3)&amp;""))-1),IF($G$3="","",INDEX(인턴계획표[[정규화1]:[정규화6]],$Q501,$G$3)&amp;"")))))</f>
        <v/>
      </c>
      <c r="G501">
        <f>IF($Q501="","",IF(IF($G$3="","",INDEX(인턴계획표[[정규화1]:[정규화6]],$Q501,$G$3)&amp;"")="","",IF(LEFT(IF($G$3="","",INDEX(인턴계획표[[정규화1]:[정규화6]],$Q501,$G$3)&amp;""),1)="⚠","",IFERROR(MID(IF($G$3="","",INDEX(인턴계획표[[정규화1]:[정규화6]],$Q501,$G$3)&amp;""),FIND(" ",IF($G$3="","",INDEX(인턴계획표[[정규화1]:[정규화6]],$Q501,$G$3)&amp;""))+1,60),""))))</f>
        <v/>
      </c>
      <c r="H501">
        <f>IF($Q501="","",IF(IF($I$3="","",INDEX(인턴계획표[[정규화1]:[정규화6]],$Q501,$I$3)&amp;"")="","",IF(LEFT(IF($I$3="","",INDEX(인턴계획표[[정규화1]:[정규화6]],$Q501,$I$3)&amp;""),1)="⚠",IF($I$3="","",INDEX(인턴계획표[[정규화1]:[정규화6]],$Q501,$I$3)&amp;""),IFERROR(LEFT(IF($I$3="","",INDEX(인턴계획표[[정규화1]:[정규화6]],$Q501,$I$3)&amp;""),FIND(" ",IF($I$3="","",INDEX(인턴계획표[[정규화1]:[정규화6]],$Q501,$I$3)&amp;""))-1),IF($I$3="","",INDEX(인턴계획표[[정규화1]:[정규화6]],$Q501,$I$3)&amp;"")))))</f>
        <v/>
      </c>
      <c r="I501">
        <f>IF($Q501="","",IF(IF($I$3="","",INDEX(인턴계획표[[정규화1]:[정규화6]],$Q501,$I$3)&amp;"")="","",IF(LEFT(IF($I$3="","",INDEX(인턴계획표[[정규화1]:[정규화6]],$Q501,$I$3)&amp;""),1)="⚠","",IFERROR(MID(IF($I$3="","",INDEX(인턴계획표[[정규화1]:[정규화6]],$Q501,$I$3)&amp;""),FIND(" ",IF($I$3="","",INDEX(인턴계획표[[정규화1]:[정규화6]],$Q501,$I$3)&amp;""))+1,60),""))))</f>
        <v/>
      </c>
      <c r="J501">
        <f>IF($Q501="","",INDEX(인턴계획표[정규화1],$Q501))</f>
        <v/>
      </c>
      <c r="K501">
        <f>IF($Q501="","",INDEX(인턴계획표[정규화2],$Q501))</f>
        <v/>
      </c>
      <c r="L501">
        <f>IF($Q501="","",INDEX(인턴계획표[정규화3],$Q501))</f>
        <v/>
      </c>
      <c r="M501">
        <f>IF($Q501="","",INDEX(인턴계획표[정규화4],$Q501))</f>
        <v/>
      </c>
      <c r="N501">
        <f>IF($Q501="","",INDEX(인턴계획표[정규화5],$Q501))</f>
        <v/>
      </c>
      <c r="O501">
        <f>IF($Q501="","",INDEX(인턴계획표[정규화6],$Q501))</f>
        <v/>
      </c>
      <c r="P501">
        <f>IF($Q501="","",INDEX(인턴계획표[입력오류],$Q501))</f>
        <v/>
      </c>
      <c r="Q501" s="17">
        <f>IFERROR(MATCH(496,인턴계획표[표시순번],0),"")</f>
        <v/>
      </c>
    </row>
    <row r="502">
      <c r="A502">
        <f>IF($Q502="","",INDEX(인턴계획표[순번],$Q502)&amp;"")</f>
        <v/>
      </c>
      <c r="B502">
        <f>IF($Q502="","",TRIM(INDEX(인턴계획표[이름],$Q502)&amp;""))</f>
        <v/>
      </c>
      <c r="C502">
        <f>IF($Q502="","",INDEX(인턴계획표[사번],$Q502)&amp;"")</f>
        <v/>
      </c>
      <c r="D502">
        <f>IF($Q502="","",IF(COUNTIF(기본자료표[사번키],INDEX(인턴계획표[사번키],$Q502))&gt;0,"확인","미등록"))</f>
        <v/>
      </c>
      <c r="E502">
        <f>IF($Q502="","",IF(ISNUMBER(INDEX(인턴계획표[입사일(비고)],$Q502)),TEXT(INDEX(인턴계획표[입사일(비고)],$Q502),"yyyy-mm-dd"),INDEX(인턴계획표[입사일(비고)],$Q502)&amp;""))</f>
        <v/>
      </c>
      <c r="F502">
        <f>IF($Q502="","",IF(IF($G$3="","",INDEX(인턴계획표[[정규화1]:[정규화6]],$Q502,$G$3)&amp;"")="","",IF(LEFT(IF($G$3="","",INDEX(인턴계획표[[정규화1]:[정규화6]],$Q502,$G$3)&amp;""),1)="⚠",IF($G$3="","",INDEX(인턴계획표[[정규화1]:[정규화6]],$Q502,$G$3)&amp;""),IFERROR(LEFT(IF($G$3="","",INDEX(인턴계획표[[정규화1]:[정규화6]],$Q502,$G$3)&amp;""),FIND(" ",IF($G$3="","",INDEX(인턴계획표[[정규화1]:[정규화6]],$Q502,$G$3)&amp;""))-1),IF($G$3="","",INDEX(인턴계획표[[정규화1]:[정규화6]],$Q502,$G$3)&amp;"")))))</f>
        <v/>
      </c>
      <c r="G502">
        <f>IF($Q502="","",IF(IF($G$3="","",INDEX(인턴계획표[[정규화1]:[정규화6]],$Q502,$G$3)&amp;"")="","",IF(LEFT(IF($G$3="","",INDEX(인턴계획표[[정규화1]:[정규화6]],$Q502,$G$3)&amp;""),1)="⚠","",IFERROR(MID(IF($G$3="","",INDEX(인턴계획표[[정규화1]:[정규화6]],$Q502,$G$3)&amp;""),FIND(" ",IF($G$3="","",INDEX(인턴계획표[[정규화1]:[정규화6]],$Q502,$G$3)&amp;""))+1,60),""))))</f>
        <v/>
      </c>
      <c r="H502">
        <f>IF($Q502="","",IF(IF($I$3="","",INDEX(인턴계획표[[정규화1]:[정규화6]],$Q502,$I$3)&amp;"")="","",IF(LEFT(IF($I$3="","",INDEX(인턴계획표[[정규화1]:[정규화6]],$Q502,$I$3)&amp;""),1)="⚠",IF($I$3="","",INDEX(인턴계획표[[정규화1]:[정규화6]],$Q502,$I$3)&amp;""),IFERROR(LEFT(IF($I$3="","",INDEX(인턴계획표[[정규화1]:[정규화6]],$Q502,$I$3)&amp;""),FIND(" ",IF($I$3="","",INDEX(인턴계획표[[정규화1]:[정규화6]],$Q502,$I$3)&amp;""))-1),IF($I$3="","",INDEX(인턴계획표[[정규화1]:[정규화6]],$Q502,$I$3)&amp;"")))))</f>
        <v/>
      </c>
      <c r="I502">
        <f>IF($Q502="","",IF(IF($I$3="","",INDEX(인턴계획표[[정규화1]:[정규화6]],$Q502,$I$3)&amp;"")="","",IF(LEFT(IF($I$3="","",INDEX(인턴계획표[[정규화1]:[정규화6]],$Q502,$I$3)&amp;""),1)="⚠","",IFERROR(MID(IF($I$3="","",INDEX(인턴계획표[[정규화1]:[정규화6]],$Q502,$I$3)&amp;""),FIND(" ",IF($I$3="","",INDEX(인턴계획표[[정규화1]:[정규화6]],$Q502,$I$3)&amp;""))+1,60),""))))</f>
        <v/>
      </c>
      <c r="J502">
        <f>IF($Q502="","",INDEX(인턴계획표[정규화1],$Q502))</f>
        <v/>
      </c>
      <c r="K502">
        <f>IF($Q502="","",INDEX(인턴계획표[정규화2],$Q502))</f>
        <v/>
      </c>
      <c r="L502">
        <f>IF($Q502="","",INDEX(인턴계획표[정규화3],$Q502))</f>
        <v/>
      </c>
      <c r="M502">
        <f>IF($Q502="","",INDEX(인턴계획표[정규화4],$Q502))</f>
        <v/>
      </c>
      <c r="N502">
        <f>IF($Q502="","",INDEX(인턴계획표[정규화5],$Q502))</f>
        <v/>
      </c>
      <c r="O502">
        <f>IF($Q502="","",INDEX(인턴계획표[정규화6],$Q502))</f>
        <v/>
      </c>
      <c r="P502">
        <f>IF($Q502="","",INDEX(인턴계획표[입력오류],$Q502))</f>
        <v/>
      </c>
      <c r="Q502" s="17">
        <f>IFERROR(MATCH(497,인턴계획표[표시순번],0),"")</f>
        <v/>
      </c>
    </row>
    <row r="503">
      <c r="A503">
        <f>IF($Q503="","",INDEX(인턴계획표[순번],$Q503)&amp;"")</f>
        <v/>
      </c>
      <c r="B503">
        <f>IF($Q503="","",TRIM(INDEX(인턴계획표[이름],$Q503)&amp;""))</f>
        <v/>
      </c>
      <c r="C503">
        <f>IF($Q503="","",INDEX(인턴계획표[사번],$Q503)&amp;"")</f>
        <v/>
      </c>
      <c r="D503">
        <f>IF($Q503="","",IF(COUNTIF(기본자료표[사번키],INDEX(인턴계획표[사번키],$Q503))&gt;0,"확인","미등록"))</f>
        <v/>
      </c>
      <c r="E503">
        <f>IF($Q503="","",IF(ISNUMBER(INDEX(인턴계획표[입사일(비고)],$Q503)),TEXT(INDEX(인턴계획표[입사일(비고)],$Q503),"yyyy-mm-dd"),INDEX(인턴계획표[입사일(비고)],$Q503)&amp;""))</f>
        <v/>
      </c>
      <c r="F503">
        <f>IF($Q503="","",IF(IF($G$3="","",INDEX(인턴계획표[[정규화1]:[정규화6]],$Q503,$G$3)&amp;"")="","",IF(LEFT(IF($G$3="","",INDEX(인턴계획표[[정규화1]:[정규화6]],$Q503,$G$3)&amp;""),1)="⚠",IF($G$3="","",INDEX(인턴계획표[[정규화1]:[정규화6]],$Q503,$G$3)&amp;""),IFERROR(LEFT(IF($G$3="","",INDEX(인턴계획표[[정규화1]:[정규화6]],$Q503,$G$3)&amp;""),FIND(" ",IF($G$3="","",INDEX(인턴계획표[[정규화1]:[정규화6]],$Q503,$G$3)&amp;""))-1),IF($G$3="","",INDEX(인턴계획표[[정규화1]:[정규화6]],$Q503,$G$3)&amp;"")))))</f>
        <v/>
      </c>
      <c r="G503">
        <f>IF($Q503="","",IF(IF($G$3="","",INDEX(인턴계획표[[정규화1]:[정규화6]],$Q503,$G$3)&amp;"")="","",IF(LEFT(IF($G$3="","",INDEX(인턴계획표[[정규화1]:[정규화6]],$Q503,$G$3)&amp;""),1)="⚠","",IFERROR(MID(IF($G$3="","",INDEX(인턴계획표[[정규화1]:[정규화6]],$Q503,$G$3)&amp;""),FIND(" ",IF($G$3="","",INDEX(인턴계획표[[정규화1]:[정규화6]],$Q503,$G$3)&amp;""))+1,60),""))))</f>
        <v/>
      </c>
      <c r="H503">
        <f>IF($Q503="","",IF(IF($I$3="","",INDEX(인턴계획표[[정규화1]:[정규화6]],$Q503,$I$3)&amp;"")="","",IF(LEFT(IF($I$3="","",INDEX(인턴계획표[[정규화1]:[정규화6]],$Q503,$I$3)&amp;""),1)="⚠",IF($I$3="","",INDEX(인턴계획표[[정규화1]:[정규화6]],$Q503,$I$3)&amp;""),IFERROR(LEFT(IF($I$3="","",INDEX(인턴계획표[[정규화1]:[정규화6]],$Q503,$I$3)&amp;""),FIND(" ",IF($I$3="","",INDEX(인턴계획표[[정규화1]:[정규화6]],$Q503,$I$3)&amp;""))-1),IF($I$3="","",INDEX(인턴계획표[[정규화1]:[정규화6]],$Q503,$I$3)&amp;"")))))</f>
        <v/>
      </c>
      <c r="I503">
        <f>IF($Q503="","",IF(IF($I$3="","",INDEX(인턴계획표[[정규화1]:[정규화6]],$Q503,$I$3)&amp;"")="","",IF(LEFT(IF($I$3="","",INDEX(인턴계획표[[정규화1]:[정규화6]],$Q503,$I$3)&amp;""),1)="⚠","",IFERROR(MID(IF($I$3="","",INDEX(인턴계획표[[정규화1]:[정규화6]],$Q503,$I$3)&amp;""),FIND(" ",IF($I$3="","",INDEX(인턴계획표[[정규화1]:[정규화6]],$Q503,$I$3)&amp;""))+1,60),""))))</f>
        <v/>
      </c>
      <c r="J503">
        <f>IF($Q503="","",INDEX(인턴계획표[정규화1],$Q503))</f>
        <v/>
      </c>
      <c r="K503">
        <f>IF($Q503="","",INDEX(인턴계획표[정규화2],$Q503))</f>
        <v/>
      </c>
      <c r="L503">
        <f>IF($Q503="","",INDEX(인턴계획표[정규화3],$Q503))</f>
        <v/>
      </c>
      <c r="M503">
        <f>IF($Q503="","",INDEX(인턴계획표[정규화4],$Q503))</f>
        <v/>
      </c>
      <c r="N503">
        <f>IF($Q503="","",INDEX(인턴계획표[정규화5],$Q503))</f>
        <v/>
      </c>
      <c r="O503">
        <f>IF($Q503="","",INDEX(인턴계획표[정규화6],$Q503))</f>
        <v/>
      </c>
      <c r="P503">
        <f>IF($Q503="","",INDEX(인턴계획표[입력오류],$Q503))</f>
        <v/>
      </c>
      <c r="Q503" s="17">
        <f>IFERROR(MATCH(498,인턴계획표[표시순번],0),"")</f>
        <v/>
      </c>
    </row>
    <row r="504">
      <c r="A504">
        <f>IF($Q504="","",INDEX(인턴계획표[순번],$Q504)&amp;"")</f>
        <v/>
      </c>
      <c r="B504">
        <f>IF($Q504="","",TRIM(INDEX(인턴계획표[이름],$Q504)&amp;""))</f>
        <v/>
      </c>
      <c r="C504">
        <f>IF($Q504="","",INDEX(인턴계획표[사번],$Q504)&amp;"")</f>
        <v/>
      </c>
      <c r="D504">
        <f>IF($Q504="","",IF(COUNTIF(기본자료표[사번키],INDEX(인턴계획표[사번키],$Q504))&gt;0,"확인","미등록"))</f>
        <v/>
      </c>
      <c r="E504">
        <f>IF($Q504="","",IF(ISNUMBER(INDEX(인턴계획표[입사일(비고)],$Q504)),TEXT(INDEX(인턴계획표[입사일(비고)],$Q504),"yyyy-mm-dd"),INDEX(인턴계획표[입사일(비고)],$Q504)&amp;""))</f>
        <v/>
      </c>
      <c r="F504">
        <f>IF($Q504="","",IF(IF($G$3="","",INDEX(인턴계획표[[정규화1]:[정규화6]],$Q504,$G$3)&amp;"")="","",IF(LEFT(IF($G$3="","",INDEX(인턴계획표[[정규화1]:[정규화6]],$Q504,$G$3)&amp;""),1)="⚠",IF($G$3="","",INDEX(인턴계획표[[정규화1]:[정규화6]],$Q504,$G$3)&amp;""),IFERROR(LEFT(IF($G$3="","",INDEX(인턴계획표[[정규화1]:[정규화6]],$Q504,$G$3)&amp;""),FIND(" ",IF($G$3="","",INDEX(인턴계획표[[정규화1]:[정규화6]],$Q504,$G$3)&amp;""))-1),IF($G$3="","",INDEX(인턴계획표[[정규화1]:[정규화6]],$Q504,$G$3)&amp;"")))))</f>
        <v/>
      </c>
      <c r="G504">
        <f>IF($Q504="","",IF(IF($G$3="","",INDEX(인턴계획표[[정규화1]:[정규화6]],$Q504,$G$3)&amp;"")="","",IF(LEFT(IF($G$3="","",INDEX(인턴계획표[[정규화1]:[정규화6]],$Q504,$G$3)&amp;""),1)="⚠","",IFERROR(MID(IF($G$3="","",INDEX(인턴계획표[[정규화1]:[정규화6]],$Q504,$G$3)&amp;""),FIND(" ",IF($G$3="","",INDEX(인턴계획표[[정규화1]:[정규화6]],$Q504,$G$3)&amp;""))+1,60),""))))</f>
        <v/>
      </c>
      <c r="H504">
        <f>IF($Q504="","",IF(IF($I$3="","",INDEX(인턴계획표[[정규화1]:[정규화6]],$Q504,$I$3)&amp;"")="","",IF(LEFT(IF($I$3="","",INDEX(인턴계획표[[정규화1]:[정규화6]],$Q504,$I$3)&amp;""),1)="⚠",IF($I$3="","",INDEX(인턴계획표[[정규화1]:[정규화6]],$Q504,$I$3)&amp;""),IFERROR(LEFT(IF($I$3="","",INDEX(인턴계획표[[정규화1]:[정규화6]],$Q504,$I$3)&amp;""),FIND(" ",IF($I$3="","",INDEX(인턴계획표[[정규화1]:[정규화6]],$Q504,$I$3)&amp;""))-1),IF($I$3="","",INDEX(인턴계획표[[정규화1]:[정규화6]],$Q504,$I$3)&amp;"")))))</f>
        <v/>
      </c>
      <c r="I504">
        <f>IF($Q504="","",IF(IF($I$3="","",INDEX(인턴계획표[[정규화1]:[정규화6]],$Q504,$I$3)&amp;"")="","",IF(LEFT(IF($I$3="","",INDEX(인턴계획표[[정규화1]:[정규화6]],$Q504,$I$3)&amp;""),1)="⚠","",IFERROR(MID(IF($I$3="","",INDEX(인턴계획표[[정규화1]:[정규화6]],$Q504,$I$3)&amp;""),FIND(" ",IF($I$3="","",INDEX(인턴계획표[[정규화1]:[정규화6]],$Q504,$I$3)&amp;""))+1,60),""))))</f>
        <v/>
      </c>
      <c r="J504">
        <f>IF($Q504="","",INDEX(인턴계획표[정규화1],$Q504))</f>
        <v/>
      </c>
      <c r="K504">
        <f>IF($Q504="","",INDEX(인턴계획표[정규화2],$Q504))</f>
        <v/>
      </c>
      <c r="L504">
        <f>IF($Q504="","",INDEX(인턴계획표[정규화3],$Q504))</f>
        <v/>
      </c>
      <c r="M504">
        <f>IF($Q504="","",INDEX(인턴계획표[정규화4],$Q504))</f>
        <v/>
      </c>
      <c r="N504">
        <f>IF($Q504="","",INDEX(인턴계획표[정규화5],$Q504))</f>
        <v/>
      </c>
      <c r="O504">
        <f>IF($Q504="","",INDEX(인턴계획표[정규화6],$Q504))</f>
        <v/>
      </c>
      <c r="P504">
        <f>IF($Q504="","",INDEX(인턴계획표[입력오류],$Q504))</f>
        <v/>
      </c>
      <c r="Q504" s="17">
        <f>IFERROR(MATCH(499,인턴계획표[표시순번],0),"")</f>
        <v/>
      </c>
    </row>
    <row r="505">
      <c r="A505">
        <f>IF($Q505="","",INDEX(인턴계획표[순번],$Q505)&amp;"")</f>
        <v/>
      </c>
      <c r="B505">
        <f>IF($Q505="","",TRIM(INDEX(인턴계획표[이름],$Q505)&amp;""))</f>
        <v/>
      </c>
      <c r="C505">
        <f>IF($Q505="","",INDEX(인턴계획표[사번],$Q505)&amp;"")</f>
        <v/>
      </c>
      <c r="D505">
        <f>IF($Q505="","",IF(COUNTIF(기본자료표[사번키],INDEX(인턴계획표[사번키],$Q505))&gt;0,"확인","미등록"))</f>
        <v/>
      </c>
      <c r="E505">
        <f>IF($Q505="","",IF(ISNUMBER(INDEX(인턴계획표[입사일(비고)],$Q505)),TEXT(INDEX(인턴계획표[입사일(비고)],$Q505),"yyyy-mm-dd"),INDEX(인턴계획표[입사일(비고)],$Q505)&amp;""))</f>
        <v/>
      </c>
      <c r="F505">
        <f>IF($Q505="","",IF(IF($G$3="","",INDEX(인턴계획표[[정규화1]:[정규화6]],$Q505,$G$3)&amp;"")="","",IF(LEFT(IF($G$3="","",INDEX(인턴계획표[[정규화1]:[정규화6]],$Q505,$G$3)&amp;""),1)="⚠",IF($G$3="","",INDEX(인턴계획표[[정규화1]:[정규화6]],$Q505,$G$3)&amp;""),IFERROR(LEFT(IF($G$3="","",INDEX(인턴계획표[[정규화1]:[정규화6]],$Q505,$G$3)&amp;""),FIND(" ",IF($G$3="","",INDEX(인턴계획표[[정규화1]:[정규화6]],$Q505,$G$3)&amp;""))-1),IF($G$3="","",INDEX(인턴계획표[[정규화1]:[정규화6]],$Q505,$G$3)&amp;"")))))</f>
        <v/>
      </c>
      <c r="G505">
        <f>IF($Q505="","",IF(IF($G$3="","",INDEX(인턴계획표[[정규화1]:[정규화6]],$Q505,$G$3)&amp;"")="","",IF(LEFT(IF($G$3="","",INDEX(인턴계획표[[정규화1]:[정규화6]],$Q505,$G$3)&amp;""),1)="⚠","",IFERROR(MID(IF($G$3="","",INDEX(인턴계획표[[정규화1]:[정규화6]],$Q505,$G$3)&amp;""),FIND(" ",IF($G$3="","",INDEX(인턴계획표[[정규화1]:[정규화6]],$Q505,$G$3)&amp;""))+1,60),""))))</f>
        <v/>
      </c>
      <c r="H505">
        <f>IF($Q505="","",IF(IF($I$3="","",INDEX(인턴계획표[[정규화1]:[정규화6]],$Q505,$I$3)&amp;"")="","",IF(LEFT(IF($I$3="","",INDEX(인턴계획표[[정규화1]:[정규화6]],$Q505,$I$3)&amp;""),1)="⚠",IF($I$3="","",INDEX(인턴계획표[[정규화1]:[정규화6]],$Q505,$I$3)&amp;""),IFERROR(LEFT(IF($I$3="","",INDEX(인턴계획표[[정규화1]:[정규화6]],$Q505,$I$3)&amp;""),FIND(" ",IF($I$3="","",INDEX(인턴계획표[[정규화1]:[정규화6]],$Q505,$I$3)&amp;""))-1),IF($I$3="","",INDEX(인턴계획표[[정규화1]:[정규화6]],$Q505,$I$3)&amp;"")))))</f>
        <v/>
      </c>
      <c r="I505">
        <f>IF($Q505="","",IF(IF($I$3="","",INDEX(인턴계획표[[정규화1]:[정규화6]],$Q505,$I$3)&amp;"")="","",IF(LEFT(IF($I$3="","",INDEX(인턴계획표[[정규화1]:[정규화6]],$Q505,$I$3)&amp;""),1)="⚠","",IFERROR(MID(IF($I$3="","",INDEX(인턴계획표[[정규화1]:[정규화6]],$Q505,$I$3)&amp;""),FIND(" ",IF($I$3="","",INDEX(인턴계획표[[정규화1]:[정규화6]],$Q505,$I$3)&amp;""))+1,60),""))))</f>
        <v/>
      </c>
      <c r="J505">
        <f>IF($Q505="","",INDEX(인턴계획표[정규화1],$Q505))</f>
        <v/>
      </c>
      <c r="K505">
        <f>IF($Q505="","",INDEX(인턴계획표[정규화2],$Q505))</f>
        <v/>
      </c>
      <c r="L505">
        <f>IF($Q505="","",INDEX(인턴계획표[정규화3],$Q505))</f>
        <v/>
      </c>
      <c r="M505">
        <f>IF($Q505="","",INDEX(인턴계획표[정규화4],$Q505))</f>
        <v/>
      </c>
      <c r="N505">
        <f>IF($Q505="","",INDEX(인턴계획표[정규화5],$Q505))</f>
        <v/>
      </c>
      <c r="O505">
        <f>IF($Q505="","",INDEX(인턴계획표[정규화6],$Q505))</f>
        <v/>
      </c>
      <c r="P505">
        <f>IF($Q505="","",INDEX(인턴계획표[입력오류],$Q505))</f>
        <v/>
      </c>
      <c r="Q505" s="17">
        <f>IFERROR(MATCH(500,인턴계획표[표시순번],0),"")</f>
        <v/>
      </c>
    </row>
    <row r="506">
      <c r="A506">
        <f>IF($Q506="","",INDEX(인턴계획표[순번],$Q506)&amp;"")</f>
        <v/>
      </c>
      <c r="B506">
        <f>IF($Q506="","",TRIM(INDEX(인턴계획표[이름],$Q506)&amp;""))</f>
        <v/>
      </c>
      <c r="C506">
        <f>IF($Q506="","",INDEX(인턴계획표[사번],$Q506)&amp;"")</f>
        <v/>
      </c>
      <c r="D506">
        <f>IF($Q506="","",IF(COUNTIF(기본자료표[사번키],INDEX(인턴계획표[사번키],$Q506))&gt;0,"확인","미등록"))</f>
        <v/>
      </c>
      <c r="E506">
        <f>IF($Q506="","",IF(ISNUMBER(INDEX(인턴계획표[입사일(비고)],$Q506)),TEXT(INDEX(인턴계획표[입사일(비고)],$Q506),"yyyy-mm-dd"),INDEX(인턴계획표[입사일(비고)],$Q506)&amp;""))</f>
        <v/>
      </c>
      <c r="F506">
        <f>IF($Q506="","",IF(IF($G$3="","",INDEX(인턴계획표[[정규화1]:[정규화6]],$Q506,$G$3)&amp;"")="","",IF(LEFT(IF($G$3="","",INDEX(인턴계획표[[정규화1]:[정규화6]],$Q506,$G$3)&amp;""),1)="⚠",IF($G$3="","",INDEX(인턴계획표[[정규화1]:[정규화6]],$Q506,$G$3)&amp;""),IFERROR(LEFT(IF($G$3="","",INDEX(인턴계획표[[정규화1]:[정규화6]],$Q506,$G$3)&amp;""),FIND(" ",IF($G$3="","",INDEX(인턴계획표[[정규화1]:[정규화6]],$Q506,$G$3)&amp;""))-1),IF($G$3="","",INDEX(인턴계획표[[정규화1]:[정규화6]],$Q506,$G$3)&amp;"")))))</f>
        <v/>
      </c>
      <c r="G506">
        <f>IF($Q506="","",IF(IF($G$3="","",INDEX(인턴계획표[[정규화1]:[정규화6]],$Q506,$G$3)&amp;"")="","",IF(LEFT(IF($G$3="","",INDEX(인턴계획표[[정규화1]:[정규화6]],$Q506,$G$3)&amp;""),1)="⚠","",IFERROR(MID(IF($G$3="","",INDEX(인턴계획표[[정규화1]:[정규화6]],$Q506,$G$3)&amp;""),FIND(" ",IF($G$3="","",INDEX(인턴계획표[[정규화1]:[정규화6]],$Q506,$G$3)&amp;""))+1,60),""))))</f>
        <v/>
      </c>
      <c r="H506">
        <f>IF($Q506="","",IF(IF($I$3="","",INDEX(인턴계획표[[정규화1]:[정규화6]],$Q506,$I$3)&amp;"")="","",IF(LEFT(IF($I$3="","",INDEX(인턴계획표[[정규화1]:[정규화6]],$Q506,$I$3)&amp;""),1)="⚠",IF($I$3="","",INDEX(인턴계획표[[정규화1]:[정규화6]],$Q506,$I$3)&amp;""),IFERROR(LEFT(IF($I$3="","",INDEX(인턴계획표[[정규화1]:[정규화6]],$Q506,$I$3)&amp;""),FIND(" ",IF($I$3="","",INDEX(인턴계획표[[정규화1]:[정규화6]],$Q506,$I$3)&amp;""))-1),IF($I$3="","",INDEX(인턴계획표[[정규화1]:[정규화6]],$Q506,$I$3)&amp;"")))))</f>
        <v/>
      </c>
      <c r="I506">
        <f>IF($Q506="","",IF(IF($I$3="","",INDEX(인턴계획표[[정규화1]:[정규화6]],$Q506,$I$3)&amp;"")="","",IF(LEFT(IF($I$3="","",INDEX(인턴계획표[[정규화1]:[정규화6]],$Q506,$I$3)&amp;""),1)="⚠","",IFERROR(MID(IF($I$3="","",INDEX(인턴계획표[[정규화1]:[정규화6]],$Q506,$I$3)&amp;""),FIND(" ",IF($I$3="","",INDEX(인턴계획표[[정규화1]:[정규화6]],$Q506,$I$3)&amp;""))+1,60),""))))</f>
        <v/>
      </c>
      <c r="J506">
        <f>IF($Q506="","",INDEX(인턴계획표[정규화1],$Q506))</f>
        <v/>
      </c>
      <c r="K506">
        <f>IF($Q506="","",INDEX(인턴계획표[정규화2],$Q506))</f>
        <v/>
      </c>
      <c r="L506">
        <f>IF($Q506="","",INDEX(인턴계획표[정규화3],$Q506))</f>
        <v/>
      </c>
      <c r="M506">
        <f>IF($Q506="","",INDEX(인턴계획표[정규화4],$Q506))</f>
        <v/>
      </c>
      <c r="N506">
        <f>IF($Q506="","",INDEX(인턴계획표[정규화5],$Q506))</f>
        <v/>
      </c>
      <c r="O506">
        <f>IF($Q506="","",INDEX(인턴계획표[정규화6],$Q506))</f>
        <v/>
      </c>
      <c r="P506">
        <f>IF($Q506="","",INDEX(인턴계획표[입력오류],$Q506))</f>
        <v/>
      </c>
      <c r="Q506" s="17">
        <f>IFERROR(MATCH(501,인턴계획표[표시순번],0),"")</f>
        <v/>
      </c>
    </row>
    <row r="507">
      <c r="A507">
        <f>IF($Q507="","",INDEX(인턴계획표[순번],$Q507)&amp;"")</f>
        <v/>
      </c>
      <c r="B507">
        <f>IF($Q507="","",TRIM(INDEX(인턴계획표[이름],$Q507)&amp;""))</f>
        <v/>
      </c>
      <c r="C507">
        <f>IF($Q507="","",INDEX(인턴계획표[사번],$Q507)&amp;"")</f>
        <v/>
      </c>
      <c r="D507">
        <f>IF($Q507="","",IF(COUNTIF(기본자료표[사번키],INDEX(인턴계획표[사번키],$Q507))&gt;0,"확인","미등록"))</f>
        <v/>
      </c>
      <c r="E507">
        <f>IF($Q507="","",IF(ISNUMBER(INDEX(인턴계획표[입사일(비고)],$Q507)),TEXT(INDEX(인턴계획표[입사일(비고)],$Q507),"yyyy-mm-dd"),INDEX(인턴계획표[입사일(비고)],$Q507)&amp;""))</f>
        <v/>
      </c>
      <c r="F507">
        <f>IF($Q507="","",IF(IF($G$3="","",INDEX(인턴계획표[[정규화1]:[정규화6]],$Q507,$G$3)&amp;"")="","",IF(LEFT(IF($G$3="","",INDEX(인턴계획표[[정규화1]:[정규화6]],$Q507,$G$3)&amp;""),1)="⚠",IF($G$3="","",INDEX(인턴계획표[[정규화1]:[정규화6]],$Q507,$G$3)&amp;""),IFERROR(LEFT(IF($G$3="","",INDEX(인턴계획표[[정규화1]:[정규화6]],$Q507,$G$3)&amp;""),FIND(" ",IF($G$3="","",INDEX(인턴계획표[[정규화1]:[정규화6]],$Q507,$G$3)&amp;""))-1),IF($G$3="","",INDEX(인턴계획표[[정규화1]:[정규화6]],$Q507,$G$3)&amp;"")))))</f>
        <v/>
      </c>
      <c r="G507">
        <f>IF($Q507="","",IF(IF($G$3="","",INDEX(인턴계획표[[정규화1]:[정규화6]],$Q507,$G$3)&amp;"")="","",IF(LEFT(IF($G$3="","",INDEX(인턴계획표[[정규화1]:[정규화6]],$Q507,$G$3)&amp;""),1)="⚠","",IFERROR(MID(IF($G$3="","",INDEX(인턴계획표[[정규화1]:[정규화6]],$Q507,$G$3)&amp;""),FIND(" ",IF($G$3="","",INDEX(인턴계획표[[정규화1]:[정규화6]],$Q507,$G$3)&amp;""))+1,60),""))))</f>
        <v/>
      </c>
      <c r="H507">
        <f>IF($Q507="","",IF(IF($I$3="","",INDEX(인턴계획표[[정규화1]:[정규화6]],$Q507,$I$3)&amp;"")="","",IF(LEFT(IF($I$3="","",INDEX(인턴계획표[[정규화1]:[정규화6]],$Q507,$I$3)&amp;""),1)="⚠",IF($I$3="","",INDEX(인턴계획표[[정규화1]:[정규화6]],$Q507,$I$3)&amp;""),IFERROR(LEFT(IF($I$3="","",INDEX(인턴계획표[[정규화1]:[정규화6]],$Q507,$I$3)&amp;""),FIND(" ",IF($I$3="","",INDEX(인턴계획표[[정규화1]:[정규화6]],$Q507,$I$3)&amp;""))-1),IF($I$3="","",INDEX(인턴계획표[[정규화1]:[정규화6]],$Q507,$I$3)&amp;"")))))</f>
        <v/>
      </c>
      <c r="I507">
        <f>IF($Q507="","",IF(IF($I$3="","",INDEX(인턴계획표[[정규화1]:[정규화6]],$Q507,$I$3)&amp;"")="","",IF(LEFT(IF($I$3="","",INDEX(인턴계획표[[정규화1]:[정규화6]],$Q507,$I$3)&amp;""),1)="⚠","",IFERROR(MID(IF($I$3="","",INDEX(인턴계획표[[정규화1]:[정규화6]],$Q507,$I$3)&amp;""),FIND(" ",IF($I$3="","",INDEX(인턴계획표[[정규화1]:[정규화6]],$Q507,$I$3)&amp;""))+1,60),""))))</f>
        <v/>
      </c>
      <c r="J507">
        <f>IF($Q507="","",INDEX(인턴계획표[정규화1],$Q507))</f>
        <v/>
      </c>
      <c r="K507">
        <f>IF($Q507="","",INDEX(인턴계획표[정규화2],$Q507))</f>
        <v/>
      </c>
      <c r="L507">
        <f>IF($Q507="","",INDEX(인턴계획표[정규화3],$Q507))</f>
        <v/>
      </c>
      <c r="M507">
        <f>IF($Q507="","",INDEX(인턴계획표[정규화4],$Q507))</f>
        <v/>
      </c>
      <c r="N507">
        <f>IF($Q507="","",INDEX(인턴계획표[정규화5],$Q507))</f>
        <v/>
      </c>
      <c r="O507">
        <f>IF($Q507="","",INDEX(인턴계획표[정규화6],$Q507))</f>
        <v/>
      </c>
      <c r="P507">
        <f>IF($Q507="","",INDEX(인턴계획표[입력오류],$Q507))</f>
        <v/>
      </c>
      <c r="Q507" s="17">
        <f>IFERROR(MATCH(502,인턴계획표[표시순번],0),"")</f>
        <v/>
      </c>
    </row>
    <row r="508">
      <c r="A508">
        <f>IF($Q508="","",INDEX(인턴계획표[순번],$Q508)&amp;"")</f>
        <v/>
      </c>
      <c r="B508">
        <f>IF($Q508="","",TRIM(INDEX(인턴계획표[이름],$Q508)&amp;""))</f>
        <v/>
      </c>
      <c r="C508">
        <f>IF($Q508="","",INDEX(인턴계획표[사번],$Q508)&amp;"")</f>
        <v/>
      </c>
      <c r="D508">
        <f>IF($Q508="","",IF(COUNTIF(기본자료표[사번키],INDEX(인턴계획표[사번키],$Q508))&gt;0,"확인","미등록"))</f>
        <v/>
      </c>
      <c r="E508">
        <f>IF($Q508="","",IF(ISNUMBER(INDEX(인턴계획표[입사일(비고)],$Q508)),TEXT(INDEX(인턴계획표[입사일(비고)],$Q508),"yyyy-mm-dd"),INDEX(인턴계획표[입사일(비고)],$Q508)&amp;""))</f>
        <v/>
      </c>
      <c r="F508">
        <f>IF($Q508="","",IF(IF($G$3="","",INDEX(인턴계획표[[정규화1]:[정규화6]],$Q508,$G$3)&amp;"")="","",IF(LEFT(IF($G$3="","",INDEX(인턴계획표[[정규화1]:[정규화6]],$Q508,$G$3)&amp;""),1)="⚠",IF($G$3="","",INDEX(인턴계획표[[정규화1]:[정규화6]],$Q508,$G$3)&amp;""),IFERROR(LEFT(IF($G$3="","",INDEX(인턴계획표[[정규화1]:[정규화6]],$Q508,$G$3)&amp;""),FIND(" ",IF($G$3="","",INDEX(인턴계획표[[정규화1]:[정규화6]],$Q508,$G$3)&amp;""))-1),IF($G$3="","",INDEX(인턴계획표[[정규화1]:[정규화6]],$Q508,$G$3)&amp;"")))))</f>
        <v/>
      </c>
      <c r="G508">
        <f>IF($Q508="","",IF(IF($G$3="","",INDEX(인턴계획표[[정규화1]:[정규화6]],$Q508,$G$3)&amp;"")="","",IF(LEFT(IF($G$3="","",INDEX(인턴계획표[[정규화1]:[정규화6]],$Q508,$G$3)&amp;""),1)="⚠","",IFERROR(MID(IF($G$3="","",INDEX(인턴계획표[[정규화1]:[정규화6]],$Q508,$G$3)&amp;""),FIND(" ",IF($G$3="","",INDEX(인턴계획표[[정규화1]:[정규화6]],$Q508,$G$3)&amp;""))+1,60),""))))</f>
        <v/>
      </c>
      <c r="H508">
        <f>IF($Q508="","",IF(IF($I$3="","",INDEX(인턴계획표[[정규화1]:[정규화6]],$Q508,$I$3)&amp;"")="","",IF(LEFT(IF($I$3="","",INDEX(인턴계획표[[정규화1]:[정규화6]],$Q508,$I$3)&amp;""),1)="⚠",IF($I$3="","",INDEX(인턴계획표[[정규화1]:[정규화6]],$Q508,$I$3)&amp;""),IFERROR(LEFT(IF($I$3="","",INDEX(인턴계획표[[정규화1]:[정규화6]],$Q508,$I$3)&amp;""),FIND(" ",IF($I$3="","",INDEX(인턴계획표[[정규화1]:[정규화6]],$Q508,$I$3)&amp;""))-1),IF($I$3="","",INDEX(인턴계획표[[정규화1]:[정규화6]],$Q508,$I$3)&amp;"")))))</f>
        <v/>
      </c>
      <c r="I508">
        <f>IF($Q508="","",IF(IF($I$3="","",INDEX(인턴계획표[[정규화1]:[정규화6]],$Q508,$I$3)&amp;"")="","",IF(LEFT(IF($I$3="","",INDEX(인턴계획표[[정규화1]:[정규화6]],$Q508,$I$3)&amp;""),1)="⚠","",IFERROR(MID(IF($I$3="","",INDEX(인턴계획표[[정규화1]:[정규화6]],$Q508,$I$3)&amp;""),FIND(" ",IF($I$3="","",INDEX(인턴계획표[[정규화1]:[정규화6]],$Q508,$I$3)&amp;""))+1,60),""))))</f>
        <v/>
      </c>
      <c r="J508">
        <f>IF($Q508="","",INDEX(인턴계획표[정규화1],$Q508))</f>
        <v/>
      </c>
      <c r="K508">
        <f>IF($Q508="","",INDEX(인턴계획표[정규화2],$Q508))</f>
        <v/>
      </c>
      <c r="L508">
        <f>IF($Q508="","",INDEX(인턴계획표[정규화3],$Q508))</f>
        <v/>
      </c>
      <c r="M508">
        <f>IF($Q508="","",INDEX(인턴계획표[정규화4],$Q508))</f>
        <v/>
      </c>
      <c r="N508">
        <f>IF($Q508="","",INDEX(인턴계획표[정규화5],$Q508))</f>
        <v/>
      </c>
      <c r="O508">
        <f>IF($Q508="","",INDEX(인턴계획표[정규화6],$Q508))</f>
        <v/>
      </c>
      <c r="P508">
        <f>IF($Q508="","",INDEX(인턴계획표[입력오류],$Q508))</f>
        <v/>
      </c>
      <c r="Q508" s="17">
        <f>IFERROR(MATCH(503,인턴계획표[표시순번],0),"")</f>
        <v/>
      </c>
    </row>
    <row r="509">
      <c r="A509">
        <f>IF($Q509="","",INDEX(인턴계획표[순번],$Q509)&amp;"")</f>
        <v/>
      </c>
      <c r="B509">
        <f>IF($Q509="","",TRIM(INDEX(인턴계획표[이름],$Q509)&amp;""))</f>
        <v/>
      </c>
      <c r="C509">
        <f>IF($Q509="","",INDEX(인턴계획표[사번],$Q509)&amp;"")</f>
        <v/>
      </c>
      <c r="D509">
        <f>IF($Q509="","",IF(COUNTIF(기본자료표[사번키],INDEX(인턴계획표[사번키],$Q509))&gt;0,"확인","미등록"))</f>
        <v/>
      </c>
      <c r="E509">
        <f>IF($Q509="","",IF(ISNUMBER(INDEX(인턴계획표[입사일(비고)],$Q509)),TEXT(INDEX(인턴계획표[입사일(비고)],$Q509),"yyyy-mm-dd"),INDEX(인턴계획표[입사일(비고)],$Q509)&amp;""))</f>
        <v/>
      </c>
      <c r="F509">
        <f>IF($Q509="","",IF(IF($G$3="","",INDEX(인턴계획표[[정규화1]:[정규화6]],$Q509,$G$3)&amp;"")="","",IF(LEFT(IF($G$3="","",INDEX(인턴계획표[[정규화1]:[정규화6]],$Q509,$G$3)&amp;""),1)="⚠",IF($G$3="","",INDEX(인턴계획표[[정규화1]:[정규화6]],$Q509,$G$3)&amp;""),IFERROR(LEFT(IF($G$3="","",INDEX(인턴계획표[[정규화1]:[정규화6]],$Q509,$G$3)&amp;""),FIND(" ",IF($G$3="","",INDEX(인턴계획표[[정규화1]:[정규화6]],$Q509,$G$3)&amp;""))-1),IF($G$3="","",INDEX(인턴계획표[[정규화1]:[정규화6]],$Q509,$G$3)&amp;"")))))</f>
        <v/>
      </c>
      <c r="G509">
        <f>IF($Q509="","",IF(IF($G$3="","",INDEX(인턴계획표[[정규화1]:[정규화6]],$Q509,$G$3)&amp;"")="","",IF(LEFT(IF($G$3="","",INDEX(인턴계획표[[정규화1]:[정규화6]],$Q509,$G$3)&amp;""),1)="⚠","",IFERROR(MID(IF($G$3="","",INDEX(인턴계획표[[정규화1]:[정규화6]],$Q509,$G$3)&amp;""),FIND(" ",IF($G$3="","",INDEX(인턴계획표[[정규화1]:[정규화6]],$Q509,$G$3)&amp;""))+1,60),""))))</f>
        <v/>
      </c>
      <c r="H509">
        <f>IF($Q509="","",IF(IF($I$3="","",INDEX(인턴계획표[[정규화1]:[정규화6]],$Q509,$I$3)&amp;"")="","",IF(LEFT(IF($I$3="","",INDEX(인턴계획표[[정규화1]:[정규화6]],$Q509,$I$3)&amp;""),1)="⚠",IF($I$3="","",INDEX(인턴계획표[[정규화1]:[정규화6]],$Q509,$I$3)&amp;""),IFERROR(LEFT(IF($I$3="","",INDEX(인턴계획표[[정규화1]:[정규화6]],$Q509,$I$3)&amp;""),FIND(" ",IF($I$3="","",INDEX(인턴계획표[[정규화1]:[정규화6]],$Q509,$I$3)&amp;""))-1),IF($I$3="","",INDEX(인턴계획표[[정규화1]:[정규화6]],$Q509,$I$3)&amp;"")))))</f>
        <v/>
      </c>
      <c r="I509">
        <f>IF($Q509="","",IF(IF($I$3="","",INDEX(인턴계획표[[정규화1]:[정규화6]],$Q509,$I$3)&amp;"")="","",IF(LEFT(IF($I$3="","",INDEX(인턴계획표[[정규화1]:[정규화6]],$Q509,$I$3)&amp;""),1)="⚠","",IFERROR(MID(IF($I$3="","",INDEX(인턴계획표[[정규화1]:[정규화6]],$Q509,$I$3)&amp;""),FIND(" ",IF($I$3="","",INDEX(인턴계획표[[정규화1]:[정규화6]],$Q509,$I$3)&amp;""))+1,60),""))))</f>
        <v/>
      </c>
      <c r="J509">
        <f>IF($Q509="","",INDEX(인턴계획표[정규화1],$Q509))</f>
        <v/>
      </c>
      <c r="K509">
        <f>IF($Q509="","",INDEX(인턴계획표[정규화2],$Q509))</f>
        <v/>
      </c>
      <c r="L509">
        <f>IF($Q509="","",INDEX(인턴계획표[정규화3],$Q509))</f>
        <v/>
      </c>
      <c r="M509">
        <f>IF($Q509="","",INDEX(인턴계획표[정규화4],$Q509))</f>
        <v/>
      </c>
      <c r="N509">
        <f>IF($Q509="","",INDEX(인턴계획표[정규화5],$Q509))</f>
        <v/>
      </c>
      <c r="O509">
        <f>IF($Q509="","",INDEX(인턴계획표[정규화6],$Q509))</f>
        <v/>
      </c>
      <c r="P509">
        <f>IF($Q509="","",INDEX(인턴계획표[입력오류],$Q509))</f>
        <v/>
      </c>
      <c r="Q509" s="17">
        <f>IFERROR(MATCH(504,인턴계획표[표시순번],0),"")</f>
        <v/>
      </c>
    </row>
    <row r="510">
      <c r="A510">
        <f>IF($Q510="","",INDEX(인턴계획표[순번],$Q510)&amp;"")</f>
        <v/>
      </c>
      <c r="B510">
        <f>IF($Q510="","",TRIM(INDEX(인턴계획표[이름],$Q510)&amp;""))</f>
        <v/>
      </c>
      <c r="C510">
        <f>IF($Q510="","",INDEX(인턴계획표[사번],$Q510)&amp;"")</f>
        <v/>
      </c>
      <c r="D510">
        <f>IF($Q510="","",IF(COUNTIF(기본자료표[사번키],INDEX(인턴계획표[사번키],$Q510))&gt;0,"확인","미등록"))</f>
        <v/>
      </c>
      <c r="E510">
        <f>IF($Q510="","",IF(ISNUMBER(INDEX(인턴계획표[입사일(비고)],$Q510)),TEXT(INDEX(인턴계획표[입사일(비고)],$Q510),"yyyy-mm-dd"),INDEX(인턴계획표[입사일(비고)],$Q510)&amp;""))</f>
        <v/>
      </c>
      <c r="F510">
        <f>IF($Q510="","",IF(IF($G$3="","",INDEX(인턴계획표[[정규화1]:[정규화6]],$Q510,$G$3)&amp;"")="","",IF(LEFT(IF($G$3="","",INDEX(인턴계획표[[정규화1]:[정규화6]],$Q510,$G$3)&amp;""),1)="⚠",IF($G$3="","",INDEX(인턴계획표[[정규화1]:[정규화6]],$Q510,$G$3)&amp;""),IFERROR(LEFT(IF($G$3="","",INDEX(인턴계획표[[정규화1]:[정규화6]],$Q510,$G$3)&amp;""),FIND(" ",IF($G$3="","",INDEX(인턴계획표[[정규화1]:[정규화6]],$Q510,$G$3)&amp;""))-1),IF($G$3="","",INDEX(인턴계획표[[정규화1]:[정규화6]],$Q510,$G$3)&amp;"")))))</f>
        <v/>
      </c>
      <c r="G510">
        <f>IF($Q510="","",IF(IF($G$3="","",INDEX(인턴계획표[[정규화1]:[정규화6]],$Q510,$G$3)&amp;"")="","",IF(LEFT(IF($G$3="","",INDEX(인턴계획표[[정규화1]:[정규화6]],$Q510,$G$3)&amp;""),1)="⚠","",IFERROR(MID(IF($G$3="","",INDEX(인턴계획표[[정규화1]:[정규화6]],$Q510,$G$3)&amp;""),FIND(" ",IF($G$3="","",INDEX(인턴계획표[[정규화1]:[정규화6]],$Q510,$G$3)&amp;""))+1,60),""))))</f>
        <v/>
      </c>
      <c r="H510">
        <f>IF($Q510="","",IF(IF($I$3="","",INDEX(인턴계획표[[정규화1]:[정규화6]],$Q510,$I$3)&amp;"")="","",IF(LEFT(IF($I$3="","",INDEX(인턴계획표[[정규화1]:[정규화6]],$Q510,$I$3)&amp;""),1)="⚠",IF($I$3="","",INDEX(인턴계획표[[정규화1]:[정규화6]],$Q510,$I$3)&amp;""),IFERROR(LEFT(IF($I$3="","",INDEX(인턴계획표[[정규화1]:[정규화6]],$Q510,$I$3)&amp;""),FIND(" ",IF($I$3="","",INDEX(인턴계획표[[정규화1]:[정규화6]],$Q510,$I$3)&amp;""))-1),IF($I$3="","",INDEX(인턴계획표[[정규화1]:[정규화6]],$Q510,$I$3)&amp;"")))))</f>
        <v/>
      </c>
      <c r="I510">
        <f>IF($Q510="","",IF(IF($I$3="","",INDEX(인턴계획표[[정규화1]:[정규화6]],$Q510,$I$3)&amp;"")="","",IF(LEFT(IF($I$3="","",INDEX(인턴계획표[[정규화1]:[정규화6]],$Q510,$I$3)&amp;""),1)="⚠","",IFERROR(MID(IF($I$3="","",INDEX(인턴계획표[[정규화1]:[정규화6]],$Q510,$I$3)&amp;""),FIND(" ",IF($I$3="","",INDEX(인턴계획표[[정규화1]:[정규화6]],$Q510,$I$3)&amp;""))+1,60),""))))</f>
        <v/>
      </c>
      <c r="J510">
        <f>IF($Q510="","",INDEX(인턴계획표[정규화1],$Q510))</f>
        <v/>
      </c>
      <c r="K510">
        <f>IF($Q510="","",INDEX(인턴계획표[정규화2],$Q510))</f>
        <v/>
      </c>
      <c r="L510">
        <f>IF($Q510="","",INDEX(인턴계획표[정규화3],$Q510))</f>
        <v/>
      </c>
      <c r="M510">
        <f>IF($Q510="","",INDEX(인턴계획표[정규화4],$Q510))</f>
        <v/>
      </c>
      <c r="N510">
        <f>IF($Q510="","",INDEX(인턴계획표[정규화5],$Q510))</f>
        <v/>
      </c>
      <c r="O510">
        <f>IF($Q510="","",INDEX(인턴계획표[정규화6],$Q510))</f>
        <v/>
      </c>
      <c r="P510">
        <f>IF($Q510="","",INDEX(인턴계획표[입력오류],$Q510))</f>
        <v/>
      </c>
      <c r="Q510" s="17">
        <f>IFERROR(MATCH(505,인턴계획표[표시순번],0),"")</f>
        <v/>
      </c>
    </row>
    <row r="511">
      <c r="A511">
        <f>IF($Q511="","",INDEX(인턴계획표[순번],$Q511)&amp;"")</f>
        <v/>
      </c>
      <c r="B511">
        <f>IF($Q511="","",TRIM(INDEX(인턴계획표[이름],$Q511)&amp;""))</f>
        <v/>
      </c>
      <c r="C511">
        <f>IF($Q511="","",INDEX(인턴계획표[사번],$Q511)&amp;"")</f>
        <v/>
      </c>
      <c r="D511">
        <f>IF($Q511="","",IF(COUNTIF(기본자료표[사번키],INDEX(인턴계획표[사번키],$Q511))&gt;0,"확인","미등록"))</f>
        <v/>
      </c>
      <c r="E511">
        <f>IF($Q511="","",IF(ISNUMBER(INDEX(인턴계획표[입사일(비고)],$Q511)),TEXT(INDEX(인턴계획표[입사일(비고)],$Q511),"yyyy-mm-dd"),INDEX(인턴계획표[입사일(비고)],$Q511)&amp;""))</f>
        <v/>
      </c>
      <c r="F511">
        <f>IF($Q511="","",IF(IF($G$3="","",INDEX(인턴계획표[[정규화1]:[정규화6]],$Q511,$G$3)&amp;"")="","",IF(LEFT(IF($G$3="","",INDEX(인턴계획표[[정규화1]:[정규화6]],$Q511,$G$3)&amp;""),1)="⚠",IF($G$3="","",INDEX(인턴계획표[[정규화1]:[정규화6]],$Q511,$G$3)&amp;""),IFERROR(LEFT(IF($G$3="","",INDEX(인턴계획표[[정규화1]:[정규화6]],$Q511,$G$3)&amp;""),FIND(" ",IF($G$3="","",INDEX(인턴계획표[[정규화1]:[정규화6]],$Q511,$G$3)&amp;""))-1),IF($G$3="","",INDEX(인턴계획표[[정규화1]:[정규화6]],$Q511,$G$3)&amp;"")))))</f>
        <v/>
      </c>
      <c r="G511">
        <f>IF($Q511="","",IF(IF($G$3="","",INDEX(인턴계획표[[정규화1]:[정규화6]],$Q511,$G$3)&amp;"")="","",IF(LEFT(IF($G$3="","",INDEX(인턴계획표[[정규화1]:[정규화6]],$Q511,$G$3)&amp;""),1)="⚠","",IFERROR(MID(IF($G$3="","",INDEX(인턴계획표[[정규화1]:[정규화6]],$Q511,$G$3)&amp;""),FIND(" ",IF($G$3="","",INDEX(인턴계획표[[정규화1]:[정규화6]],$Q511,$G$3)&amp;""))+1,60),""))))</f>
        <v/>
      </c>
      <c r="H511">
        <f>IF($Q511="","",IF(IF($I$3="","",INDEX(인턴계획표[[정규화1]:[정규화6]],$Q511,$I$3)&amp;"")="","",IF(LEFT(IF($I$3="","",INDEX(인턴계획표[[정규화1]:[정규화6]],$Q511,$I$3)&amp;""),1)="⚠",IF($I$3="","",INDEX(인턴계획표[[정규화1]:[정규화6]],$Q511,$I$3)&amp;""),IFERROR(LEFT(IF($I$3="","",INDEX(인턴계획표[[정규화1]:[정규화6]],$Q511,$I$3)&amp;""),FIND(" ",IF($I$3="","",INDEX(인턴계획표[[정규화1]:[정규화6]],$Q511,$I$3)&amp;""))-1),IF($I$3="","",INDEX(인턴계획표[[정규화1]:[정규화6]],$Q511,$I$3)&amp;"")))))</f>
        <v/>
      </c>
      <c r="I511">
        <f>IF($Q511="","",IF(IF($I$3="","",INDEX(인턴계획표[[정규화1]:[정규화6]],$Q511,$I$3)&amp;"")="","",IF(LEFT(IF($I$3="","",INDEX(인턴계획표[[정규화1]:[정규화6]],$Q511,$I$3)&amp;""),1)="⚠","",IFERROR(MID(IF($I$3="","",INDEX(인턴계획표[[정규화1]:[정규화6]],$Q511,$I$3)&amp;""),FIND(" ",IF($I$3="","",INDEX(인턴계획표[[정규화1]:[정규화6]],$Q511,$I$3)&amp;""))+1,60),""))))</f>
        <v/>
      </c>
      <c r="J511">
        <f>IF($Q511="","",INDEX(인턴계획표[정규화1],$Q511))</f>
        <v/>
      </c>
      <c r="K511">
        <f>IF($Q511="","",INDEX(인턴계획표[정규화2],$Q511))</f>
        <v/>
      </c>
      <c r="L511">
        <f>IF($Q511="","",INDEX(인턴계획표[정규화3],$Q511))</f>
        <v/>
      </c>
      <c r="M511">
        <f>IF($Q511="","",INDEX(인턴계획표[정규화4],$Q511))</f>
        <v/>
      </c>
      <c r="N511">
        <f>IF($Q511="","",INDEX(인턴계획표[정규화5],$Q511))</f>
        <v/>
      </c>
      <c r="O511">
        <f>IF($Q511="","",INDEX(인턴계획표[정규화6],$Q511))</f>
        <v/>
      </c>
      <c r="P511">
        <f>IF($Q511="","",INDEX(인턴계획표[입력오류],$Q511))</f>
        <v/>
      </c>
      <c r="Q511" s="17">
        <f>IFERROR(MATCH(506,인턴계획표[표시순번],0),"")</f>
        <v/>
      </c>
    </row>
    <row r="512">
      <c r="A512">
        <f>IF($Q512="","",INDEX(인턴계획표[순번],$Q512)&amp;"")</f>
        <v/>
      </c>
      <c r="B512">
        <f>IF($Q512="","",TRIM(INDEX(인턴계획표[이름],$Q512)&amp;""))</f>
        <v/>
      </c>
      <c r="C512">
        <f>IF($Q512="","",INDEX(인턴계획표[사번],$Q512)&amp;"")</f>
        <v/>
      </c>
      <c r="D512">
        <f>IF($Q512="","",IF(COUNTIF(기본자료표[사번키],INDEX(인턴계획표[사번키],$Q512))&gt;0,"확인","미등록"))</f>
        <v/>
      </c>
      <c r="E512">
        <f>IF($Q512="","",IF(ISNUMBER(INDEX(인턴계획표[입사일(비고)],$Q512)),TEXT(INDEX(인턴계획표[입사일(비고)],$Q512),"yyyy-mm-dd"),INDEX(인턴계획표[입사일(비고)],$Q512)&amp;""))</f>
        <v/>
      </c>
      <c r="F512">
        <f>IF($Q512="","",IF(IF($G$3="","",INDEX(인턴계획표[[정규화1]:[정규화6]],$Q512,$G$3)&amp;"")="","",IF(LEFT(IF($G$3="","",INDEX(인턴계획표[[정규화1]:[정규화6]],$Q512,$G$3)&amp;""),1)="⚠",IF($G$3="","",INDEX(인턴계획표[[정규화1]:[정규화6]],$Q512,$G$3)&amp;""),IFERROR(LEFT(IF($G$3="","",INDEX(인턴계획표[[정규화1]:[정규화6]],$Q512,$G$3)&amp;""),FIND(" ",IF($G$3="","",INDEX(인턴계획표[[정규화1]:[정규화6]],$Q512,$G$3)&amp;""))-1),IF($G$3="","",INDEX(인턴계획표[[정규화1]:[정규화6]],$Q512,$G$3)&amp;"")))))</f>
        <v/>
      </c>
      <c r="G512">
        <f>IF($Q512="","",IF(IF($G$3="","",INDEX(인턴계획표[[정규화1]:[정규화6]],$Q512,$G$3)&amp;"")="","",IF(LEFT(IF($G$3="","",INDEX(인턴계획표[[정규화1]:[정규화6]],$Q512,$G$3)&amp;""),1)="⚠","",IFERROR(MID(IF($G$3="","",INDEX(인턴계획표[[정규화1]:[정규화6]],$Q512,$G$3)&amp;""),FIND(" ",IF($G$3="","",INDEX(인턴계획표[[정규화1]:[정규화6]],$Q512,$G$3)&amp;""))+1,60),""))))</f>
        <v/>
      </c>
      <c r="H512">
        <f>IF($Q512="","",IF(IF($I$3="","",INDEX(인턴계획표[[정규화1]:[정규화6]],$Q512,$I$3)&amp;"")="","",IF(LEFT(IF($I$3="","",INDEX(인턴계획표[[정규화1]:[정규화6]],$Q512,$I$3)&amp;""),1)="⚠",IF($I$3="","",INDEX(인턴계획표[[정규화1]:[정규화6]],$Q512,$I$3)&amp;""),IFERROR(LEFT(IF($I$3="","",INDEX(인턴계획표[[정규화1]:[정규화6]],$Q512,$I$3)&amp;""),FIND(" ",IF($I$3="","",INDEX(인턴계획표[[정규화1]:[정규화6]],$Q512,$I$3)&amp;""))-1),IF($I$3="","",INDEX(인턴계획표[[정규화1]:[정규화6]],$Q512,$I$3)&amp;"")))))</f>
        <v/>
      </c>
      <c r="I512">
        <f>IF($Q512="","",IF(IF($I$3="","",INDEX(인턴계획표[[정규화1]:[정규화6]],$Q512,$I$3)&amp;"")="","",IF(LEFT(IF($I$3="","",INDEX(인턴계획표[[정규화1]:[정규화6]],$Q512,$I$3)&amp;""),1)="⚠","",IFERROR(MID(IF($I$3="","",INDEX(인턴계획표[[정규화1]:[정규화6]],$Q512,$I$3)&amp;""),FIND(" ",IF($I$3="","",INDEX(인턴계획표[[정규화1]:[정규화6]],$Q512,$I$3)&amp;""))+1,60),""))))</f>
        <v/>
      </c>
      <c r="J512">
        <f>IF($Q512="","",INDEX(인턴계획표[정규화1],$Q512))</f>
        <v/>
      </c>
      <c r="K512">
        <f>IF($Q512="","",INDEX(인턴계획표[정규화2],$Q512))</f>
        <v/>
      </c>
      <c r="L512">
        <f>IF($Q512="","",INDEX(인턴계획표[정규화3],$Q512))</f>
        <v/>
      </c>
      <c r="M512">
        <f>IF($Q512="","",INDEX(인턴계획표[정규화4],$Q512))</f>
        <v/>
      </c>
      <c r="N512">
        <f>IF($Q512="","",INDEX(인턴계획표[정규화5],$Q512))</f>
        <v/>
      </c>
      <c r="O512">
        <f>IF($Q512="","",INDEX(인턴계획표[정규화6],$Q512))</f>
        <v/>
      </c>
      <c r="P512">
        <f>IF($Q512="","",INDEX(인턴계획표[입력오류],$Q512))</f>
        <v/>
      </c>
      <c r="Q512" s="17">
        <f>IFERROR(MATCH(507,인턴계획표[표시순번],0),"")</f>
        <v/>
      </c>
    </row>
    <row r="513">
      <c r="A513">
        <f>IF($Q513="","",INDEX(인턴계획표[순번],$Q513)&amp;"")</f>
        <v/>
      </c>
      <c r="B513">
        <f>IF($Q513="","",TRIM(INDEX(인턴계획표[이름],$Q513)&amp;""))</f>
        <v/>
      </c>
      <c r="C513">
        <f>IF($Q513="","",INDEX(인턴계획표[사번],$Q513)&amp;"")</f>
        <v/>
      </c>
      <c r="D513">
        <f>IF($Q513="","",IF(COUNTIF(기본자료표[사번키],INDEX(인턴계획표[사번키],$Q513))&gt;0,"확인","미등록"))</f>
        <v/>
      </c>
      <c r="E513">
        <f>IF($Q513="","",IF(ISNUMBER(INDEX(인턴계획표[입사일(비고)],$Q513)),TEXT(INDEX(인턴계획표[입사일(비고)],$Q513),"yyyy-mm-dd"),INDEX(인턴계획표[입사일(비고)],$Q513)&amp;""))</f>
        <v/>
      </c>
      <c r="F513">
        <f>IF($Q513="","",IF(IF($G$3="","",INDEX(인턴계획표[[정규화1]:[정규화6]],$Q513,$G$3)&amp;"")="","",IF(LEFT(IF($G$3="","",INDEX(인턴계획표[[정규화1]:[정규화6]],$Q513,$G$3)&amp;""),1)="⚠",IF($G$3="","",INDEX(인턴계획표[[정규화1]:[정규화6]],$Q513,$G$3)&amp;""),IFERROR(LEFT(IF($G$3="","",INDEX(인턴계획표[[정규화1]:[정규화6]],$Q513,$G$3)&amp;""),FIND(" ",IF($G$3="","",INDEX(인턴계획표[[정규화1]:[정규화6]],$Q513,$G$3)&amp;""))-1),IF($G$3="","",INDEX(인턴계획표[[정규화1]:[정규화6]],$Q513,$G$3)&amp;"")))))</f>
        <v/>
      </c>
      <c r="G513">
        <f>IF($Q513="","",IF(IF($G$3="","",INDEX(인턴계획표[[정규화1]:[정규화6]],$Q513,$G$3)&amp;"")="","",IF(LEFT(IF($G$3="","",INDEX(인턴계획표[[정규화1]:[정규화6]],$Q513,$G$3)&amp;""),1)="⚠","",IFERROR(MID(IF($G$3="","",INDEX(인턴계획표[[정규화1]:[정규화6]],$Q513,$G$3)&amp;""),FIND(" ",IF($G$3="","",INDEX(인턴계획표[[정규화1]:[정규화6]],$Q513,$G$3)&amp;""))+1,60),""))))</f>
        <v/>
      </c>
      <c r="H513">
        <f>IF($Q513="","",IF(IF($I$3="","",INDEX(인턴계획표[[정규화1]:[정규화6]],$Q513,$I$3)&amp;"")="","",IF(LEFT(IF($I$3="","",INDEX(인턴계획표[[정규화1]:[정규화6]],$Q513,$I$3)&amp;""),1)="⚠",IF($I$3="","",INDEX(인턴계획표[[정규화1]:[정규화6]],$Q513,$I$3)&amp;""),IFERROR(LEFT(IF($I$3="","",INDEX(인턴계획표[[정규화1]:[정규화6]],$Q513,$I$3)&amp;""),FIND(" ",IF($I$3="","",INDEX(인턴계획표[[정규화1]:[정규화6]],$Q513,$I$3)&amp;""))-1),IF($I$3="","",INDEX(인턴계획표[[정규화1]:[정규화6]],$Q513,$I$3)&amp;"")))))</f>
        <v/>
      </c>
      <c r="I513">
        <f>IF($Q513="","",IF(IF($I$3="","",INDEX(인턴계획표[[정규화1]:[정규화6]],$Q513,$I$3)&amp;"")="","",IF(LEFT(IF($I$3="","",INDEX(인턴계획표[[정규화1]:[정규화6]],$Q513,$I$3)&amp;""),1)="⚠","",IFERROR(MID(IF($I$3="","",INDEX(인턴계획표[[정규화1]:[정규화6]],$Q513,$I$3)&amp;""),FIND(" ",IF($I$3="","",INDEX(인턴계획표[[정규화1]:[정규화6]],$Q513,$I$3)&amp;""))+1,60),""))))</f>
        <v/>
      </c>
      <c r="J513">
        <f>IF($Q513="","",INDEX(인턴계획표[정규화1],$Q513))</f>
        <v/>
      </c>
      <c r="K513">
        <f>IF($Q513="","",INDEX(인턴계획표[정규화2],$Q513))</f>
        <v/>
      </c>
      <c r="L513">
        <f>IF($Q513="","",INDEX(인턴계획표[정규화3],$Q513))</f>
        <v/>
      </c>
      <c r="M513">
        <f>IF($Q513="","",INDEX(인턴계획표[정규화4],$Q513))</f>
        <v/>
      </c>
      <c r="N513">
        <f>IF($Q513="","",INDEX(인턴계획표[정규화5],$Q513))</f>
        <v/>
      </c>
      <c r="O513">
        <f>IF($Q513="","",INDEX(인턴계획표[정규화6],$Q513))</f>
        <v/>
      </c>
      <c r="P513">
        <f>IF($Q513="","",INDEX(인턴계획표[입력오류],$Q513))</f>
        <v/>
      </c>
      <c r="Q513" s="17">
        <f>IFERROR(MATCH(508,인턴계획표[표시순번],0),"")</f>
        <v/>
      </c>
    </row>
    <row r="514">
      <c r="A514">
        <f>IF($Q514="","",INDEX(인턴계획표[순번],$Q514)&amp;"")</f>
        <v/>
      </c>
      <c r="B514">
        <f>IF($Q514="","",TRIM(INDEX(인턴계획표[이름],$Q514)&amp;""))</f>
        <v/>
      </c>
      <c r="C514">
        <f>IF($Q514="","",INDEX(인턴계획표[사번],$Q514)&amp;"")</f>
        <v/>
      </c>
      <c r="D514">
        <f>IF($Q514="","",IF(COUNTIF(기본자료표[사번키],INDEX(인턴계획표[사번키],$Q514))&gt;0,"확인","미등록"))</f>
        <v/>
      </c>
      <c r="E514">
        <f>IF($Q514="","",IF(ISNUMBER(INDEX(인턴계획표[입사일(비고)],$Q514)),TEXT(INDEX(인턴계획표[입사일(비고)],$Q514),"yyyy-mm-dd"),INDEX(인턴계획표[입사일(비고)],$Q514)&amp;""))</f>
        <v/>
      </c>
      <c r="F514">
        <f>IF($Q514="","",IF(IF($G$3="","",INDEX(인턴계획표[[정규화1]:[정규화6]],$Q514,$G$3)&amp;"")="","",IF(LEFT(IF($G$3="","",INDEX(인턴계획표[[정규화1]:[정규화6]],$Q514,$G$3)&amp;""),1)="⚠",IF($G$3="","",INDEX(인턴계획표[[정규화1]:[정규화6]],$Q514,$G$3)&amp;""),IFERROR(LEFT(IF($G$3="","",INDEX(인턴계획표[[정규화1]:[정규화6]],$Q514,$G$3)&amp;""),FIND(" ",IF($G$3="","",INDEX(인턴계획표[[정규화1]:[정규화6]],$Q514,$G$3)&amp;""))-1),IF($G$3="","",INDEX(인턴계획표[[정규화1]:[정규화6]],$Q514,$G$3)&amp;"")))))</f>
        <v/>
      </c>
      <c r="G514">
        <f>IF($Q514="","",IF(IF($G$3="","",INDEX(인턴계획표[[정규화1]:[정규화6]],$Q514,$G$3)&amp;"")="","",IF(LEFT(IF($G$3="","",INDEX(인턴계획표[[정규화1]:[정규화6]],$Q514,$G$3)&amp;""),1)="⚠","",IFERROR(MID(IF($G$3="","",INDEX(인턴계획표[[정규화1]:[정규화6]],$Q514,$G$3)&amp;""),FIND(" ",IF($G$3="","",INDEX(인턴계획표[[정규화1]:[정규화6]],$Q514,$G$3)&amp;""))+1,60),""))))</f>
        <v/>
      </c>
      <c r="H514">
        <f>IF($Q514="","",IF(IF($I$3="","",INDEX(인턴계획표[[정규화1]:[정규화6]],$Q514,$I$3)&amp;"")="","",IF(LEFT(IF($I$3="","",INDEX(인턴계획표[[정규화1]:[정규화6]],$Q514,$I$3)&amp;""),1)="⚠",IF($I$3="","",INDEX(인턴계획표[[정규화1]:[정규화6]],$Q514,$I$3)&amp;""),IFERROR(LEFT(IF($I$3="","",INDEX(인턴계획표[[정규화1]:[정규화6]],$Q514,$I$3)&amp;""),FIND(" ",IF($I$3="","",INDEX(인턴계획표[[정규화1]:[정규화6]],$Q514,$I$3)&amp;""))-1),IF($I$3="","",INDEX(인턴계획표[[정규화1]:[정규화6]],$Q514,$I$3)&amp;"")))))</f>
        <v/>
      </c>
      <c r="I514">
        <f>IF($Q514="","",IF(IF($I$3="","",INDEX(인턴계획표[[정규화1]:[정규화6]],$Q514,$I$3)&amp;"")="","",IF(LEFT(IF($I$3="","",INDEX(인턴계획표[[정규화1]:[정규화6]],$Q514,$I$3)&amp;""),1)="⚠","",IFERROR(MID(IF($I$3="","",INDEX(인턴계획표[[정규화1]:[정규화6]],$Q514,$I$3)&amp;""),FIND(" ",IF($I$3="","",INDEX(인턴계획표[[정규화1]:[정규화6]],$Q514,$I$3)&amp;""))+1,60),""))))</f>
        <v/>
      </c>
      <c r="J514">
        <f>IF($Q514="","",INDEX(인턴계획표[정규화1],$Q514))</f>
        <v/>
      </c>
      <c r="K514">
        <f>IF($Q514="","",INDEX(인턴계획표[정규화2],$Q514))</f>
        <v/>
      </c>
      <c r="L514">
        <f>IF($Q514="","",INDEX(인턴계획표[정규화3],$Q514))</f>
        <v/>
      </c>
      <c r="M514">
        <f>IF($Q514="","",INDEX(인턴계획표[정규화4],$Q514))</f>
        <v/>
      </c>
      <c r="N514">
        <f>IF($Q514="","",INDEX(인턴계획표[정규화5],$Q514))</f>
        <v/>
      </c>
      <c r="O514">
        <f>IF($Q514="","",INDEX(인턴계획표[정규화6],$Q514))</f>
        <v/>
      </c>
      <c r="P514">
        <f>IF($Q514="","",INDEX(인턴계획표[입력오류],$Q514))</f>
        <v/>
      </c>
      <c r="Q514" s="17">
        <f>IFERROR(MATCH(509,인턴계획표[표시순번],0),"")</f>
        <v/>
      </c>
    </row>
    <row r="515">
      <c r="A515">
        <f>IF($Q515="","",INDEX(인턴계획표[순번],$Q515)&amp;"")</f>
        <v/>
      </c>
      <c r="B515">
        <f>IF($Q515="","",TRIM(INDEX(인턴계획표[이름],$Q515)&amp;""))</f>
        <v/>
      </c>
      <c r="C515">
        <f>IF($Q515="","",INDEX(인턴계획표[사번],$Q515)&amp;"")</f>
        <v/>
      </c>
      <c r="D515">
        <f>IF($Q515="","",IF(COUNTIF(기본자료표[사번키],INDEX(인턴계획표[사번키],$Q515))&gt;0,"확인","미등록"))</f>
        <v/>
      </c>
      <c r="E515">
        <f>IF($Q515="","",IF(ISNUMBER(INDEX(인턴계획표[입사일(비고)],$Q515)),TEXT(INDEX(인턴계획표[입사일(비고)],$Q515),"yyyy-mm-dd"),INDEX(인턴계획표[입사일(비고)],$Q515)&amp;""))</f>
        <v/>
      </c>
      <c r="F515">
        <f>IF($Q515="","",IF(IF($G$3="","",INDEX(인턴계획표[[정규화1]:[정규화6]],$Q515,$G$3)&amp;"")="","",IF(LEFT(IF($G$3="","",INDEX(인턴계획표[[정규화1]:[정규화6]],$Q515,$G$3)&amp;""),1)="⚠",IF($G$3="","",INDEX(인턴계획표[[정규화1]:[정규화6]],$Q515,$G$3)&amp;""),IFERROR(LEFT(IF($G$3="","",INDEX(인턴계획표[[정규화1]:[정규화6]],$Q515,$G$3)&amp;""),FIND(" ",IF($G$3="","",INDEX(인턴계획표[[정규화1]:[정규화6]],$Q515,$G$3)&amp;""))-1),IF($G$3="","",INDEX(인턴계획표[[정규화1]:[정규화6]],$Q515,$G$3)&amp;"")))))</f>
        <v/>
      </c>
      <c r="G515">
        <f>IF($Q515="","",IF(IF($G$3="","",INDEX(인턴계획표[[정규화1]:[정규화6]],$Q515,$G$3)&amp;"")="","",IF(LEFT(IF($G$3="","",INDEX(인턴계획표[[정규화1]:[정규화6]],$Q515,$G$3)&amp;""),1)="⚠","",IFERROR(MID(IF($G$3="","",INDEX(인턴계획표[[정규화1]:[정규화6]],$Q515,$G$3)&amp;""),FIND(" ",IF($G$3="","",INDEX(인턴계획표[[정규화1]:[정규화6]],$Q515,$G$3)&amp;""))+1,60),""))))</f>
        <v/>
      </c>
      <c r="H515">
        <f>IF($Q515="","",IF(IF($I$3="","",INDEX(인턴계획표[[정규화1]:[정규화6]],$Q515,$I$3)&amp;"")="","",IF(LEFT(IF($I$3="","",INDEX(인턴계획표[[정규화1]:[정규화6]],$Q515,$I$3)&amp;""),1)="⚠",IF($I$3="","",INDEX(인턴계획표[[정규화1]:[정규화6]],$Q515,$I$3)&amp;""),IFERROR(LEFT(IF($I$3="","",INDEX(인턴계획표[[정규화1]:[정규화6]],$Q515,$I$3)&amp;""),FIND(" ",IF($I$3="","",INDEX(인턴계획표[[정규화1]:[정규화6]],$Q515,$I$3)&amp;""))-1),IF($I$3="","",INDEX(인턴계획표[[정규화1]:[정규화6]],$Q515,$I$3)&amp;"")))))</f>
        <v/>
      </c>
      <c r="I515">
        <f>IF($Q515="","",IF(IF($I$3="","",INDEX(인턴계획표[[정규화1]:[정규화6]],$Q515,$I$3)&amp;"")="","",IF(LEFT(IF($I$3="","",INDEX(인턴계획표[[정규화1]:[정규화6]],$Q515,$I$3)&amp;""),1)="⚠","",IFERROR(MID(IF($I$3="","",INDEX(인턴계획표[[정규화1]:[정규화6]],$Q515,$I$3)&amp;""),FIND(" ",IF($I$3="","",INDEX(인턴계획표[[정규화1]:[정규화6]],$Q515,$I$3)&amp;""))+1,60),""))))</f>
        <v/>
      </c>
      <c r="J515">
        <f>IF($Q515="","",INDEX(인턴계획표[정규화1],$Q515))</f>
        <v/>
      </c>
      <c r="K515">
        <f>IF($Q515="","",INDEX(인턴계획표[정규화2],$Q515))</f>
        <v/>
      </c>
      <c r="L515">
        <f>IF($Q515="","",INDEX(인턴계획표[정규화3],$Q515))</f>
        <v/>
      </c>
      <c r="M515">
        <f>IF($Q515="","",INDEX(인턴계획표[정규화4],$Q515))</f>
        <v/>
      </c>
      <c r="N515">
        <f>IF($Q515="","",INDEX(인턴계획표[정규화5],$Q515))</f>
        <v/>
      </c>
      <c r="O515">
        <f>IF($Q515="","",INDEX(인턴계획표[정규화6],$Q515))</f>
        <v/>
      </c>
      <c r="P515">
        <f>IF($Q515="","",INDEX(인턴계획표[입력오류],$Q515))</f>
        <v/>
      </c>
      <c r="Q515" s="17">
        <f>IFERROR(MATCH(510,인턴계획표[표시순번],0),"")</f>
        <v/>
      </c>
    </row>
    <row r="516">
      <c r="A516">
        <f>IF($Q516="","",INDEX(인턴계획표[순번],$Q516)&amp;"")</f>
        <v/>
      </c>
      <c r="B516">
        <f>IF($Q516="","",TRIM(INDEX(인턴계획표[이름],$Q516)&amp;""))</f>
        <v/>
      </c>
      <c r="C516">
        <f>IF($Q516="","",INDEX(인턴계획표[사번],$Q516)&amp;"")</f>
        <v/>
      </c>
      <c r="D516">
        <f>IF($Q516="","",IF(COUNTIF(기본자료표[사번키],INDEX(인턴계획표[사번키],$Q516))&gt;0,"확인","미등록"))</f>
        <v/>
      </c>
      <c r="E516">
        <f>IF($Q516="","",IF(ISNUMBER(INDEX(인턴계획표[입사일(비고)],$Q516)),TEXT(INDEX(인턴계획표[입사일(비고)],$Q516),"yyyy-mm-dd"),INDEX(인턴계획표[입사일(비고)],$Q516)&amp;""))</f>
        <v/>
      </c>
      <c r="F516">
        <f>IF($Q516="","",IF(IF($G$3="","",INDEX(인턴계획표[[정규화1]:[정규화6]],$Q516,$G$3)&amp;"")="","",IF(LEFT(IF($G$3="","",INDEX(인턴계획표[[정규화1]:[정규화6]],$Q516,$G$3)&amp;""),1)="⚠",IF($G$3="","",INDEX(인턴계획표[[정규화1]:[정규화6]],$Q516,$G$3)&amp;""),IFERROR(LEFT(IF($G$3="","",INDEX(인턴계획표[[정규화1]:[정규화6]],$Q516,$G$3)&amp;""),FIND(" ",IF($G$3="","",INDEX(인턴계획표[[정규화1]:[정규화6]],$Q516,$G$3)&amp;""))-1),IF($G$3="","",INDEX(인턴계획표[[정규화1]:[정규화6]],$Q516,$G$3)&amp;"")))))</f>
        <v/>
      </c>
      <c r="G516">
        <f>IF($Q516="","",IF(IF($G$3="","",INDEX(인턴계획표[[정규화1]:[정규화6]],$Q516,$G$3)&amp;"")="","",IF(LEFT(IF($G$3="","",INDEX(인턴계획표[[정규화1]:[정규화6]],$Q516,$G$3)&amp;""),1)="⚠","",IFERROR(MID(IF($G$3="","",INDEX(인턴계획표[[정규화1]:[정규화6]],$Q516,$G$3)&amp;""),FIND(" ",IF($G$3="","",INDEX(인턴계획표[[정규화1]:[정규화6]],$Q516,$G$3)&amp;""))+1,60),""))))</f>
        <v/>
      </c>
      <c r="H516">
        <f>IF($Q516="","",IF(IF($I$3="","",INDEX(인턴계획표[[정규화1]:[정규화6]],$Q516,$I$3)&amp;"")="","",IF(LEFT(IF($I$3="","",INDEX(인턴계획표[[정규화1]:[정규화6]],$Q516,$I$3)&amp;""),1)="⚠",IF($I$3="","",INDEX(인턴계획표[[정규화1]:[정규화6]],$Q516,$I$3)&amp;""),IFERROR(LEFT(IF($I$3="","",INDEX(인턴계획표[[정규화1]:[정규화6]],$Q516,$I$3)&amp;""),FIND(" ",IF($I$3="","",INDEX(인턴계획표[[정규화1]:[정규화6]],$Q516,$I$3)&amp;""))-1),IF($I$3="","",INDEX(인턴계획표[[정규화1]:[정규화6]],$Q516,$I$3)&amp;"")))))</f>
        <v/>
      </c>
      <c r="I516">
        <f>IF($Q516="","",IF(IF($I$3="","",INDEX(인턴계획표[[정규화1]:[정규화6]],$Q516,$I$3)&amp;"")="","",IF(LEFT(IF($I$3="","",INDEX(인턴계획표[[정규화1]:[정규화6]],$Q516,$I$3)&amp;""),1)="⚠","",IFERROR(MID(IF($I$3="","",INDEX(인턴계획표[[정규화1]:[정규화6]],$Q516,$I$3)&amp;""),FIND(" ",IF($I$3="","",INDEX(인턴계획표[[정규화1]:[정규화6]],$Q516,$I$3)&amp;""))+1,60),""))))</f>
        <v/>
      </c>
      <c r="J516">
        <f>IF($Q516="","",INDEX(인턴계획표[정규화1],$Q516))</f>
        <v/>
      </c>
      <c r="K516">
        <f>IF($Q516="","",INDEX(인턴계획표[정규화2],$Q516))</f>
        <v/>
      </c>
      <c r="L516">
        <f>IF($Q516="","",INDEX(인턴계획표[정규화3],$Q516))</f>
        <v/>
      </c>
      <c r="M516">
        <f>IF($Q516="","",INDEX(인턴계획표[정규화4],$Q516))</f>
        <v/>
      </c>
      <c r="N516">
        <f>IF($Q516="","",INDEX(인턴계획표[정규화5],$Q516))</f>
        <v/>
      </c>
      <c r="O516">
        <f>IF($Q516="","",INDEX(인턴계획표[정규화6],$Q516))</f>
        <v/>
      </c>
      <c r="P516">
        <f>IF($Q516="","",INDEX(인턴계획표[입력오류],$Q516))</f>
        <v/>
      </c>
      <c r="Q516" s="17">
        <f>IFERROR(MATCH(511,인턴계획표[표시순번],0),"")</f>
        <v/>
      </c>
    </row>
    <row r="517">
      <c r="A517">
        <f>IF($Q517="","",INDEX(인턴계획표[순번],$Q517)&amp;"")</f>
        <v/>
      </c>
      <c r="B517">
        <f>IF($Q517="","",TRIM(INDEX(인턴계획표[이름],$Q517)&amp;""))</f>
        <v/>
      </c>
      <c r="C517">
        <f>IF($Q517="","",INDEX(인턴계획표[사번],$Q517)&amp;"")</f>
        <v/>
      </c>
      <c r="D517">
        <f>IF($Q517="","",IF(COUNTIF(기본자료표[사번키],INDEX(인턴계획표[사번키],$Q517))&gt;0,"확인","미등록"))</f>
        <v/>
      </c>
      <c r="E517">
        <f>IF($Q517="","",IF(ISNUMBER(INDEX(인턴계획표[입사일(비고)],$Q517)),TEXT(INDEX(인턴계획표[입사일(비고)],$Q517),"yyyy-mm-dd"),INDEX(인턴계획표[입사일(비고)],$Q517)&amp;""))</f>
        <v/>
      </c>
      <c r="F517">
        <f>IF($Q517="","",IF(IF($G$3="","",INDEX(인턴계획표[[정규화1]:[정규화6]],$Q517,$G$3)&amp;"")="","",IF(LEFT(IF($G$3="","",INDEX(인턴계획표[[정규화1]:[정규화6]],$Q517,$G$3)&amp;""),1)="⚠",IF($G$3="","",INDEX(인턴계획표[[정규화1]:[정규화6]],$Q517,$G$3)&amp;""),IFERROR(LEFT(IF($G$3="","",INDEX(인턴계획표[[정규화1]:[정규화6]],$Q517,$G$3)&amp;""),FIND(" ",IF($G$3="","",INDEX(인턴계획표[[정규화1]:[정규화6]],$Q517,$G$3)&amp;""))-1),IF($G$3="","",INDEX(인턴계획표[[정규화1]:[정규화6]],$Q517,$G$3)&amp;"")))))</f>
        <v/>
      </c>
      <c r="G517">
        <f>IF($Q517="","",IF(IF($G$3="","",INDEX(인턴계획표[[정규화1]:[정규화6]],$Q517,$G$3)&amp;"")="","",IF(LEFT(IF($G$3="","",INDEX(인턴계획표[[정규화1]:[정규화6]],$Q517,$G$3)&amp;""),1)="⚠","",IFERROR(MID(IF($G$3="","",INDEX(인턴계획표[[정규화1]:[정규화6]],$Q517,$G$3)&amp;""),FIND(" ",IF($G$3="","",INDEX(인턴계획표[[정규화1]:[정규화6]],$Q517,$G$3)&amp;""))+1,60),""))))</f>
        <v/>
      </c>
      <c r="H517">
        <f>IF($Q517="","",IF(IF($I$3="","",INDEX(인턴계획표[[정규화1]:[정규화6]],$Q517,$I$3)&amp;"")="","",IF(LEFT(IF($I$3="","",INDEX(인턴계획표[[정규화1]:[정규화6]],$Q517,$I$3)&amp;""),1)="⚠",IF($I$3="","",INDEX(인턴계획표[[정규화1]:[정규화6]],$Q517,$I$3)&amp;""),IFERROR(LEFT(IF($I$3="","",INDEX(인턴계획표[[정규화1]:[정규화6]],$Q517,$I$3)&amp;""),FIND(" ",IF($I$3="","",INDEX(인턴계획표[[정규화1]:[정규화6]],$Q517,$I$3)&amp;""))-1),IF($I$3="","",INDEX(인턴계획표[[정규화1]:[정규화6]],$Q517,$I$3)&amp;"")))))</f>
        <v/>
      </c>
      <c r="I517">
        <f>IF($Q517="","",IF(IF($I$3="","",INDEX(인턴계획표[[정규화1]:[정규화6]],$Q517,$I$3)&amp;"")="","",IF(LEFT(IF($I$3="","",INDEX(인턴계획표[[정규화1]:[정규화6]],$Q517,$I$3)&amp;""),1)="⚠","",IFERROR(MID(IF($I$3="","",INDEX(인턴계획표[[정규화1]:[정규화6]],$Q517,$I$3)&amp;""),FIND(" ",IF($I$3="","",INDEX(인턴계획표[[정규화1]:[정규화6]],$Q517,$I$3)&amp;""))+1,60),""))))</f>
        <v/>
      </c>
      <c r="J517">
        <f>IF($Q517="","",INDEX(인턴계획표[정규화1],$Q517))</f>
        <v/>
      </c>
      <c r="K517">
        <f>IF($Q517="","",INDEX(인턴계획표[정규화2],$Q517))</f>
        <v/>
      </c>
      <c r="L517">
        <f>IF($Q517="","",INDEX(인턴계획표[정규화3],$Q517))</f>
        <v/>
      </c>
      <c r="M517">
        <f>IF($Q517="","",INDEX(인턴계획표[정규화4],$Q517))</f>
        <v/>
      </c>
      <c r="N517">
        <f>IF($Q517="","",INDEX(인턴계획표[정규화5],$Q517))</f>
        <v/>
      </c>
      <c r="O517">
        <f>IF($Q517="","",INDEX(인턴계획표[정규화6],$Q517))</f>
        <v/>
      </c>
      <c r="P517">
        <f>IF($Q517="","",INDEX(인턴계획표[입력오류],$Q517))</f>
        <v/>
      </c>
      <c r="Q517" s="17">
        <f>IFERROR(MATCH(512,인턴계획표[표시순번],0),"")</f>
        <v/>
      </c>
    </row>
    <row r="518">
      <c r="A518">
        <f>IF($Q518="","",INDEX(인턴계획표[순번],$Q518)&amp;"")</f>
        <v/>
      </c>
      <c r="B518">
        <f>IF($Q518="","",TRIM(INDEX(인턴계획표[이름],$Q518)&amp;""))</f>
        <v/>
      </c>
      <c r="C518">
        <f>IF($Q518="","",INDEX(인턴계획표[사번],$Q518)&amp;"")</f>
        <v/>
      </c>
      <c r="D518">
        <f>IF($Q518="","",IF(COUNTIF(기본자료표[사번키],INDEX(인턴계획표[사번키],$Q518))&gt;0,"확인","미등록"))</f>
        <v/>
      </c>
      <c r="E518">
        <f>IF($Q518="","",IF(ISNUMBER(INDEX(인턴계획표[입사일(비고)],$Q518)),TEXT(INDEX(인턴계획표[입사일(비고)],$Q518),"yyyy-mm-dd"),INDEX(인턴계획표[입사일(비고)],$Q518)&amp;""))</f>
        <v/>
      </c>
      <c r="F518">
        <f>IF($Q518="","",IF(IF($G$3="","",INDEX(인턴계획표[[정규화1]:[정규화6]],$Q518,$G$3)&amp;"")="","",IF(LEFT(IF($G$3="","",INDEX(인턴계획표[[정규화1]:[정규화6]],$Q518,$G$3)&amp;""),1)="⚠",IF($G$3="","",INDEX(인턴계획표[[정규화1]:[정규화6]],$Q518,$G$3)&amp;""),IFERROR(LEFT(IF($G$3="","",INDEX(인턴계획표[[정규화1]:[정규화6]],$Q518,$G$3)&amp;""),FIND(" ",IF($G$3="","",INDEX(인턴계획표[[정규화1]:[정규화6]],$Q518,$G$3)&amp;""))-1),IF($G$3="","",INDEX(인턴계획표[[정규화1]:[정규화6]],$Q518,$G$3)&amp;"")))))</f>
        <v/>
      </c>
      <c r="G518">
        <f>IF($Q518="","",IF(IF($G$3="","",INDEX(인턴계획표[[정규화1]:[정규화6]],$Q518,$G$3)&amp;"")="","",IF(LEFT(IF($G$3="","",INDEX(인턴계획표[[정규화1]:[정규화6]],$Q518,$G$3)&amp;""),1)="⚠","",IFERROR(MID(IF($G$3="","",INDEX(인턴계획표[[정규화1]:[정규화6]],$Q518,$G$3)&amp;""),FIND(" ",IF($G$3="","",INDEX(인턴계획표[[정규화1]:[정규화6]],$Q518,$G$3)&amp;""))+1,60),""))))</f>
        <v/>
      </c>
      <c r="H518">
        <f>IF($Q518="","",IF(IF($I$3="","",INDEX(인턴계획표[[정규화1]:[정규화6]],$Q518,$I$3)&amp;"")="","",IF(LEFT(IF($I$3="","",INDEX(인턴계획표[[정규화1]:[정규화6]],$Q518,$I$3)&amp;""),1)="⚠",IF($I$3="","",INDEX(인턴계획표[[정규화1]:[정규화6]],$Q518,$I$3)&amp;""),IFERROR(LEFT(IF($I$3="","",INDEX(인턴계획표[[정규화1]:[정규화6]],$Q518,$I$3)&amp;""),FIND(" ",IF($I$3="","",INDEX(인턴계획표[[정규화1]:[정규화6]],$Q518,$I$3)&amp;""))-1),IF($I$3="","",INDEX(인턴계획표[[정규화1]:[정규화6]],$Q518,$I$3)&amp;"")))))</f>
        <v/>
      </c>
      <c r="I518">
        <f>IF($Q518="","",IF(IF($I$3="","",INDEX(인턴계획표[[정규화1]:[정규화6]],$Q518,$I$3)&amp;"")="","",IF(LEFT(IF($I$3="","",INDEX(인턴계획표[[정규화1]:[정규화6]],$Q518,$I$3)&amp;""),1)="⚠","",IFERROR(MID(IF($I$3="","",INDEX(인턴계획표[[정규화1]:[정규화6]],$Q518,$I$3)&amp;""),FIND(" ",IF($I$3="","",INDEX(인턴계획표[[정규화1]:[정규화6]],$Q518,$I$3)&amp;""))+1,60),""))))</f>
        <v/>
      </c>
      <c r="J518">
        <f>IF($Q518="","",INDEX(인턴계획표[정규화1],$Q518))</f>
        <v/>
      </c>
      <c r="K518">
        <f>IF($Q518="","",INDEX(인턴계획표[정규화2],$Q518))</f>
        <v/>
      </c>
      <c r="L518">
        <f>IF($Q518="","",INDEX(인턴계획표[정규화3],$Q518))</f>
        <v/>
      </c>
      <c r="M518">
        <f>IF($Q518="","",INDEX(인턴계획표[정규화4],$Q518))</f>
        <v/>
      </c>
      <c r="N518">
        <f>IF($Q518="","",INDEX(인턴계획표[정규화5],$Q518))</f>
        <v/>
      </c>
      <c r="O518">
        <f>IF($Q518="","",INDEX(인턴계획표[정규화6],$Q518))</f>
        <v/>
      </c>
      <c r="P518">
        <f>IF($Q518="","",INDEX(인턴계획표[입력오류],$Q518))</f>
        <v/>
      </c>
      <c r="Q518" s="17">
        <f>IFERROR(MATCH(513,인턴계획표[표시순번],0),"")</f>
        <v/>
      </c>
    </row>
    <row r="519">
      <c r="A519">
        <f>IF($Q519="","",INDEX(인턴계획표[순번],$Q519)&amp;"")</f>
        <v/>
      </c>
      <c r="B519">
        <f>IF($Q519="","",TRIM(INDEX(인턴계획표[이름],$Q519)&amp;""))</f>
        <v/>
      </c>
      <c r="C519">
        <f>IF($Q519="","",INDEX(인턴계획표[사번],$Q519)&amp;"")</f>
        <v/>
      </c>
      <c r="D519">
        <f>IF($Q519="","",IF(COUNTIF(기본자료표[사번키],INDEX(인턴계획표[사번키],$Q519))&gt;0,"확인","미등록"))</f>
        <v/>
      </c>
      <c r="E519">
        <f>IF($Q519="","",IF(ISNUMBER(INDEX(인턴계획표[입사일(비고)],$Q519)),TEXT(INDEX(인턴계획표[입사일(비고)],$Q519),"yyyy-mm-dd"),INDEX(인턴계획표[입사일(비고)],$Q519)&amp;""))</f>
        <v/>
      </c>
      <c r="F519">
        <f>IF($Q519="","",IF(IF($G$3="","",INDEX(인턴계획표[[정규화1]:[정규화6]],$Q519,$G$3)&amp;"")="","",IF(LEFT(IF($G$3="","",INDEX(인턴계획표[[정규화1]:[정규화6]],$Q519,$G$3)&amp;""),1)="⚠",IF($G$3="","",INDEX(인턴계획표[[정규화1]:[정규화6]],$Q519,$G$3)&amp;""),IFERROR(LEFT(IF($G$3="","",INDEX(인턴계획표[[정규화1]:[정규화6]],$Q519,$G$3)&amp;""),FIND(" ",IF($G$3="","",INDEX(인턴계획표[[정규화1]:[정규화6]],$Q519,$G$3)&amp;""))-1),IF($G$3="","",INDEX(인턴계획표[[정규화1]:[정규화6]],$Q519,$G$3)&amp;"")))))</f>
        <v/>
      </c>
      <c r="G519">
        <f>IF($Q519="","",IF(IF($G$3="","",INDEX(인턴계획표[[정규화1]:[정규화6]],$Q519,$G$3)&amp;"")="","",IF(LEFT(IF($G$3="","",INDEX(인턴계획표[[정규화1]:[정규화6]],$Q519,$G$3)&amp;""),1)="⚠","",IFERROR(MID(IF($G$3="","",INDEX(인턴계획표[[정규화1]:[정규화6]],$Q519,$G$3)&amp;""),FIND(" ",IF($G$3="","",INDEX(인턴계획표[[정규화1]:[정규화6]],$Q519,$G$3)&amp;""))+1,60),""))))</f>
        <v/>
      </c>
      <c r="H519">
        <f>IF($Q519="","",IF(IF($I$3="","",INDEX(인턴계획표[[정규화1]:[정규화6]],$Q519,$I$3)&amp;"")="","",IF(LEFT(IF($I$3="","",INDEX(인턴계획표[[정규화1]:[정규화6]],$Q519,$I$3)&amp;""),1)="⚠",IF($I$3="","",INDEX(인턴계획표[[정규화1]:[정규화6]],$Q519,$I$3)&amp;""),IFERROR(LEFT(IF($I$3="","",INDEX(인턴계획표[[정규화1]:[정규화6]],$Q519,$I$3)&amp;""),FIND(" ",IF($I$3="","",INDEX(인턴계획표[[정규화1]:[정규화6]],$Q519,$I$3)&amp;""))-1),IF($I$3="","",INDEX(인턴계획표[[정규화1]:[정규화6]],$Q519,$I$3)&amp;"")))))</f>
        <v/>
      </c>
      <c r="I519">
        <f>IF($Q519="","",IF(IF($I$3="","",INDEX(인턴계획표[[정규화1]:[정규화6]],$Q519,$I$3)&amp;"")="","",IF(LEFT(IF($I$3="","",INDEX(인턴계획표[[정규화1]:[정규화6]],$Q519,$I$3)&amp;""),1)="⚠","",IFERROR(MID(IF($I$3="","",INDEX(인턴계획표[[정규화1]:[정규화6]],$Q519,$I$3)&amp;""),FIND(" ",IF($I$3="","",INDEX(인턴계획표[[정규화1]:[정규화6]],$Q519,$I$3)&amp;""))+1,60),""))))</f>
        <v/>
      </c>
      <c r="J519">
        <f>IF($Q519="","",INDEX(인턴계획표[정규화1],$Q519))</f>
        <v/>
      </c>
      <c r="K519">
        <f>IF($Q519="","",INDEX(인턴계획표[정규화2],$Q519))</f>
        <v/>
      </c>
      <c r="L519">
        <f>IF($Q519="","",INDEX(인턴계획표[정규화3],$Q519))</f>
        <v/>
      </c>
      <c r="M519">
        <f>IF($Q519="","",INDEX(인턴계획표[정규화4],$Q519))</f>
        <v/>
      </c>
      <c r="N519">
        <f>IF($Q519="","",INDEX(인턴계획표[정규화5],$Q519))</f>
        <v/>
      </c>
      <c r="O519">
        <f>IF($Q519="","",INDEX(인턴계획표[정규화6],$Q519))</f>
        <v/>
      </c>
      <c r="P519">
        <f>IF($Q519="","",INDEX(인턴계획표[입력오류],$Q519))</f>
        <v/>
      </c>
      <c r="Q519" s="17">
        <f>IFERROR(MATCH(514,인턴계획표[표시순번],0),"")</f>
        <v/>
      </c>
    </row>
    <row r="520">
      <c r="A520">
        <f>IF($Q520="","",INDEX(인턴계획표[순번],$Q520)&amp;"")</f>
        <v/>
      </c>
      <c r="B520">
        <f>IF($Q520="","",TRIM(INDEX(인턴계획표[이름],$Q520)&amp;""))</f>
        <v/>
      </c>
      <c r="C520">
        <f>IF($Q520="","",INDEX(인턴계획표[사번],$Q520)&amp;"")</f>
        <v/>
      </c>
      <c r="D520">
        <f>IF($Q520="","",IF(COUNTIF(기본자료표[사번키],INDEX(인턴계획표[사번키],$Q520))&gt;0,"확인","미등록"))</f>
        <v/>
      </c>
      <c r="E520">
        <f>IF($Q520="","",IF(ISNUMBER(INDEX(인턴계획표[입사일(비고)],$Q520)),TEXT(INDEX(인턴계획표[입사일(비고)],$Q520),"yyyy-mm-dd"),INDEX(인턴계획표[입사일(비고)],$Q520)&amp;""))</f>
        <v/>
      </c>
      <c r="F520">
        <f>IF($Q520="","",IF(IF($G$3="","",INDEX(인턴계획표[[정규화1]:[정규화6]],$Q520,$G$3)&amp;"")="","",IF(LEFT(IF($G$3="","",INDEX(인턴계획표[[정규화1]:[정규화6]],$Q520,$G$3)&amp;""),1)="⚠",IF($G$3="","",INDEX(인턴계획표[[정규화1]:[정규화6]],$Q520,$G$3)&amp;""),IFERROR(LEFT(IF($G$3="","",INDEX(인턴계획표[[정규화1]:[정규화6]],$Q520,$G$3)&amp;""),FIND(" ",IF($G$3="","",INDEX(인턴계획표[[정규화1]:[정규화6]],$Q520,$G$3)&amp;""))-1),IF($G$3="","",INDEX(인턴계획표[[정규화1]:[정규화6]],$Q520,$G$3)&amp;"")))))</f>
        <v/>
      </c>
      <c r="G520">
        <f>IF($Q520="","",IF(IF($G$3="","",INDEX(인턴계획표[[정규화1]:[정규화6]],$Q520,$G$3)&amp;"")="","",IF(LEFT(IF($G$3="","",INDEX(인턴계획표[[정규화1]:[정규화6]],$Q520,$G$3)&amp;""),1)="⚠","",IFERROR(MID(IF($G$3="","",INDEX(인턴계획표[[정규화1]:[정규화6]],$Q520,$G$3)&amp;""),FIND(" ",IF($G$3="","",INDEX(인턴계획표[[정규화1]:[정규화6]],$Q520,$G$3)&amp;""))+1,60),""))))</f>
        <v/>
      </c>
      <c r="H520">
        <f>IF($Q520="","",IF(IF($I$3="","",INDEX(인턴계획표[[정규화1]:[정규화6]],$Q520,$I$3)&amp;"")="","",IF(LEFT(IF($I$3="","",INDEX(인턴계획표[[정규화1]:[정규화6]],$Q520,$I$3)&amp;""),1)="⚠",IF($I$3="","",INDEX(인턴계획표[[정규화1]:[정규화6]],$Q520,$I$3)&amp;""),IFERROR(LEFT(IF($I$3="","",INDEX(인턴계획표[[정규화1]:[정규화6]],$Q520,$I$3)&amp;""),FIND(" ",IF($I$3="","",INDEX(인턴계획표[[정규화1]:[정규화6]],$Q520,$I$3)&amp;""))-1),IF($I$3="","",INDEX(인턴계획표[[정규화1]:[정규화6]],$Q520,$I$3)&amp;"")))))</f>
        <v/>
      </c>
      <c r="I520">
        <f>IF($Q520="","",IF(IF($I$3="","",INDEX(인턴계획표[[정규화1]:[정규화6]],$Q520,$I$3)&amp;"")="","",IF(LEFT(IF($I$3="","",INDEX(인턴계획표[[정규화1]:[정규화6]],$Q520,$I$3)&amp;""),1)="⚠","",IFERROR(MID(IF($I$3="","",INDEX(인턴계획표[[정규화1]:[정규화6]],$Q520,$I$3)&amp;""),FIND(" ",IF($I$3="","",INDEX(인턴계획표[[정규화1]:[정규화6]],$Q520,$I$3)&amp;""))+1,60),""))))</f>
        <v/>
      </c>
      <c r="J520">
        <f>IF($Q520="","",INDEX(인턴계획표[정규화1],$Q520))</f>
        <v/>
      </c>
      <c r="K520">
        <f>IF($Q520="","",INDEX(인턴계획표[정규화2],$Q520))</f>
        <v/>
      </c>
      <c r="L520">
        <f>IF($Q520="","",INDEX(인턴계획표[정규화3],$Q520))</f>
        <v/>
      </c>
      <c r="M520">
        <f>IF($Q520="","",INDEX(인턴계획표[정규화4],$Q520))</f>
        <v/>
      </c>
      <c r="N520">
        <f>IF($Q520="","",INDEX(인턴계획표[정규화5],$Q520))</f>
        <v/>
      </c>
      <c r="O520">
        <f>IF($Q520="","",INDEX(인턴계획표[정규화6],$Q520))</f>
        <v/>
      </c>
      <c r="P520">
        <f>IF($Q520="","",INDEX(인턴계획표[입력오류],$Q520))</f>
        <v/>
      </c>
      <c r="Q520" s="17">
        <f>IFERROR(MATCH(515,인턴계획표[표시순번],0),"")</f>
        <v/>
      </c>
    </row>
    <row r="521">
      <c r="A521">
        <f>IF($Q521="","",INDEX(인턴계획표[순번],$Q521)&amp;"")</f>
        <v/>
      </c>
      <c r="B521">
        <f>IF($Q521="","",TRIM(INDEX(인턴계획표[이름],$Q521)&amp;""))</f>
        <v/>
      </c>
      <c r="C521">
        <f>IF($Q521="","",INDEX(인턴계획표[사번],$Q521)&amp;"")</f>
        <v/>
      </c>
      <c r="D521">
        <f>IF($Q521="","",IF(COUNTIF(기본자료표[사번키],INDEX(인턴계획표[사번키],$Q521))&gt;0,"확인","미등록"))</f>
        <v/>
      </c>
      <c r="E521">
        <f>IF($Q521="","",IF(ISNUMBER(INDEX(인턴계획표[입사일(비고)],$Q521)),TEXT(INDEX(인턴계획표[입사일(비고)],$Q521),"yyyy-mm-dd"),INDEX(인턴계획표[입사일(비고)],$Q521)&amp;""))</f>
        <v/>
      </c>
      <c r="F521">
        <f>IF($Q521="","",IF(IF($G$3="","",INDEX(인턴계획표[[정규화1]:[정규화6]],$Q521,$G$3)&amp;"")="","",IF(LEFT(IF($G$3="","",INDEX(인턴계획표[[정규화1]:[정규화6]],$Q521,$G$3)&amp;""),1)="⚠",IF($G$3="","",INDEX(인턴계획표[[정규화1]:[정규화6]],$Q521,$G$3)&amp;""),IFERROR(LEFT(IF($G$3="","",INDEX(인턴계획표[[정규화1]:[정규화6]],$Q521,$G$3)&amp;""),FIND(" ",IF($G$3="","",INDEX(인턴계획표[[정규화1]:[정규화6]],$Q521,$G$3)&amp;""))-1),IF($G$3="","",INDEX(인턴계획표[[정규화1]:[정규화6]],$Q521,$G$3)&amp;"")))))</f>
        <v/>
      </c>
      <c r="G521">
        <f>IF($Q521="","",IF(IF($G$3="","",INDEX(인턴계획표[[정규화1]:[정규화6]],$Q521,$G$3)&amp;"")="","",IF(LEFT(IF($G$3="","",INDEX(인턴계획표[[정규화1]:[정규화6]],$Q521,$G$3)&amp;""),1)="⚠","",IFERROR(MID(IF($G$3="","",INDEX(인턴계획표[[정규화1]:[정규화6]],$Q521,$G$3)&amp;""),FIND(" ",IF($G$3="","",INDEX(인턴계획표[[정규화1]:[정규화6]],$Q521,$G$3)&amp;""))+1,60),""))))</f>
        <v/>
      </c>
      <c r="H521">
        <f>IF($Q521="","",IF(IF($I$3="","",INDEX(인턴계획표[[정규화1]:[정규화6]],$Q521,$I$3)&amp;"")="","",IF(LEFT(IF($I$3="","",INDEX(인턴계획표[[정규화1]:[정규화6]],$Q521,$I$3)&amp;""),1)="⚠",IF($I$3="","",INDEX(인턴계획표[[정규화1]:[정규화6]],$Q521,$I$3)&amp;""),IFERROR(LEFT(IF($I$3="","",INDEX(인턴계획표[[정규화1]:[정규화6]],$Q521,$I$3)&amp;""),FIND(" ",IF($I$3="","",INDEX(인턴계획표[[정규화1]:[정규화6]],$Q521,$I$3)&amp;""))-1),IF($I$3="","",INDEX(인턴계획표[[정규화1]:[정규화6]],$Q521,$I$3)&amp;"")))))</f>
        <v/>
      </c>
      <c r="I521">
        <f>IF($Q521="","",IF(IF($I$3="","",INDEX(인턴계획표[[정규화1]:[정규화6]],$Q521,$I$3)&amp;"")="","",IF(LEFT(IF($I$3="","",INDEX(인턴계획표[[정규화1]:[정규화6]],$Q521,$I$3)&amp;""),1)="⚠","",IFERROR(MID(IF($I$3="","",INDEX(인턴계획표[[정규화1]:[정규화6]],$Q521,$I$3)&amp;""),FIND(" ",IF($I$3="","",INDEX(인턴계획표[[정규화1]:[정규화6]],$Q521,$I$3)&amp;""))+1,60),""))))</f>
        <v/>
      </c>
      <c r="J521">
        <f>IF($Q521="","",INDEX(인턴계획표[정규화1],$Q521))</f>
        <v/>
      </c>
      <c r="K521">
        <f>IF($Q521="","",INDEX(인턴계획표[정규화2],$Q521))</f>
        <v/>
      </c>
      <c r="L521">
        <f>IF($Q521="","",INDEX(인턴계획표[정규화3],$Q521))</f>
        <v/>
      </c>
      <c r="M521">
        <f>IF($Q521="","",INDEX(인턴계획표[정규화4],$Q521))</f>
        <v/>
      </c>
      <c r="N521">
        <f>IF($Q521="","",INDEX(인턴계획표[정규화5],$Q521))</f>
        <v/>
      </c>
      <c r="O521">
        <f>IF($Q521="","",INDEX(인턴계획표[정규화6],$Q521))</f>
        <v/>
      </c>
      <c r="P521">
        <f>IF($Q521="","",INDEX(인턴계획표[입력오류],$Q521))</f>
        <v/>
      </c>
      <c r="Q521" s="17">
        <f>IFERROR(MATCH(516,인턴계획표[표시순번],0),"")</f>
        <v/>
      </c>
    </row>
    <row r="522">
      <c r="A522">
        <f>IF($Q522="","",INDEX(인턴계획표[순번],$Q522)&amp;"")</f>
        <v/>
      </c>
      <c r="B522">
        <f>IF($Q522="","",TRIM(INDEX(인턴계획표[이름],$Q522)&amp;""))</f>
        <v/>
      </c>
      <c r="C522">
        <f>IF($Q522="","",INDEX(인턴계획표[사번],$Q522)&amp;"")</f>
        <v/>
      </c>
      <c r="D522">
        <f>IF($Q522="","",IF(COUNTIF(기본자료표[사번키],INDEX(인턴계획표[사번키],$Q522))&gt;0,"확인","미등록"))</f>
        <v/>
      </c>
      <c r="E522">
        <f>IF($Q522="","",IF(ISNUMBER(INDEX(인턴계획표[입사일(비고)],$Q522)),TEXT(INDEX(인턴계획표[입사일(비고)],$Q522),"yyyy-mm-dd"),INDEX(인턴계획표[입사일(비고)],$Q522)&amp;""))</f>
        <v/>
      </c>
      <c r="F522">
        <f>IF($Q522="","",IF(IF($G$3="","",INDEX(인턴계획표[[정규화1]:[정규화6]],$Q522,$G$3)&amp;"")="","",IF(LEFT(IF($G$3="","",INDEX(인턴계획표[[정규화1]:[정규화6]],$Q522,$G$3)&amp;""),1)="⚠",IF($G$3="","",INDEX(인턴계획표[[정규화1]:[정규화6]],$Q522,$G$3)&amp;""),IFERROR(LEFT(IF($G$3="","",INDEX(인턴계획표[[정규화1]:[정규화6]],$Q522,$G$3)&amp;""),FIND(" ",IF($G$3="","",INDEX(인턴계획표[[정규화1]:[정규화6]],$Q522,$G$3)&amp;""))-1),IF($G$3="","",INDEX(인턴계획표[[정규화1]:[정규화6]],$Q522,$G$3)&amp;"")))))</f>
        <v/>
      </c>
      <c r="G522">
        <f>IF($Q522="","",IF(IF($G$3="","",INDEX(인턴계획표[[정규화1]:[정규화6]],$Q522,$G$3)&amp;"")="","",IF(LEFT(IF($G$3="","",INDEX(인턴계획표[[정규화1]:[정규화6]],$Q522,$G$3)&amp;""),1)="⚠","",IFERROR(MID(IF($G$3="","",INDEX(인턴계획표[[정규화1]:[정규화6]],$Q522,$G$3)&amp;""),FIND(" ",IF($G$3="","",INDEX(인턴계획표[[정규화1]:[정규화6]],$Q522,$G$3)&amp;""))+1,60),""))))</f>
        <v/>
      </c>
      <c r="H522">
        <f>IF($Q522="","",IF(IF($I$3="","",INDEX(인턴계획표[[정규화1]:[정규화6]],$Q522,$I$3)&amp;"")="","",IF(LEFT(IF($I$3="","",INDEX(인턴계획표[[정규화1]:[정규화6]],$Q522,$I$3)&amp;""),1)="⚠",IF($I$3="","",INDEX(인턴계획표[[정규화1]:[정규화6]],$Q522,$I$3)&amp;""),IFERROR(LEFT(IF($I$3="","",INDEX(인턴계획표[[정규화1]:[정규화6]],$Q522,$I$3)&amp;""),FIND(" ",IF($I$3="","",INDEX(인턴계획표[[정규화1]:[정규화6]],$Q522,$I$3)&amp;""))-1),IF($I$3="","",INDEX(인턴계획표[[정규화1]:[정규화6]],$Q522,$I$3)&amp;"")))))</f>
        <v/>
      </c>
      <c r="I522">
        <f>IF($Q522="","",IF(IF($I$3="","",INDEX(인턴계획표[[정규화1]:[정규화6]],$Q522,$I$3)&amp;"")="","",IF(LEFT(IF($I$3="","",INDEX(인턴계획표[[정규화1]:[정규화6]],$Q522,$I$3)&amp;""),1)="⚠","",IFERROR(MID(IF($I$3="","",INDEX(인턴계획표[[정규화1]:[정규화6]],$Q522,$I$3)&amp;""),FIND(" ",IF($I$3="","",INDEX(인턴계획표[[정규화1]:[정규화6]],$Q522,$I$3)&amp;""))+1,60),""))))</f>
        <v/>
      </c>
      <c r="J522">
        <f>IF($Q522="","",INDEX(인턴계획표[정규화1],$Q522))</f>
        <v/>
      </c>
      <c r="K522">
        <f>IF($Q522="","",INDEX(인턴계획표[정규화2],$Q522))</f>
        <v/>
      </c>
      <c r="L522">
        <f>IF($Q522="","",INDEX(인턴계획표[정규화3],$Q522))</f>
        <v/>
      </c>
      <c r="M522">
        <f>IF($Q522="","",INDEX(인턴계획표[정규화4],$Q522))</f>
        <v/>
      </c>
      <c r="N522">
        <f>IF($Q522="","",INDEX(인턴계획표[정규화5],$Q522))</f>
        <v/>
      </c>
      <c r="O522">
        <f>IF($Q522="","",INDEX(인턴계획표[정규화6],$Q522))</f>
        <v/>
      </c>
      <c r="P522">
        <f>IF($Q522="","",INDEX(인턴계획표[입력오류],$Q522))</f>
        <v/>
      </c>
      <c r="Q522" s="17">
        <f>IFERROR(MATCH(517,인턴계획표[표시순번],0),"")</f>
        <v/>
      </c>
    </row>
    <row r="523">
      <c r="A523">
        <f>IF($Q523="","",INDEX(인턴계획표[순번],$Q523)&amp;"")</f>
        <v/>
      </c>
      <c r="B523">
        <f>IF($Q523="","",TRIM(INDEX(인턴계획표[이름],$Q523)&amp;""))</f>
        <v/>
      </c>
      <c r="C523">
        <f>IF($Q523="","",INDEX(인턴계획표[사번],$Q523)&amp;"")</f>
        <v/>
      </c>
      <c r="D523">
        <f>IF($Q523="","",IF(COUNTIF(기본자료표[사번키],INDEX(인턴계획표[사번키],$Q523))&gt;0,"확인","미등록"))</f>
        <v/>
      </c>
      <c r="E523">
        <f>IF($Q523="","",IF(ISNUMBER(INDEX(인턴계획표[입사일(비고)],$Q523)),TEXT(INDEX(인턴계획표[입사일(비고)],$Q523),"yyyy-mm-dd"),INDEX(인턴계획표[입사일(비고)],$Q523)&amp;""))</f>
        <v/>
      </c>
      <c r="F523">
        <f>IF($Q523="","",IF(IF($G$3="","",INDEX(인턴계획표[[정규화1]:[정규화6]],$Q523,$G$3)&amp;"")="","",IF(LEFT(IF($G$3="","",INDEX(인턴계획표[[정규화1]:[정규화6]],$Q523,$G$3)&amp;""),1)="⚠",IF($G$3="","",INDEX(인턴계획표[[정규화1]:[정규화6]],$Q523,$G$3)&amp;""),IFERROR(LEFT(IF($G$3="","",INDEX(인턴계획표[[정규화1]:[정규화6]],$Q523,$G$3)&amp;""),FIND(" ",IF($G$3="","",INDEX(인턴계획표[[정규화1]:[정규화6]],$Q523,$G$3)&amp;""))-1),IF($G$3="","",INDEX(인턴계획표[[정규화1]:[정규화6]],$Q523,$G$3)&amp;"")))))</f>
        <v/>
      </c>
      <c r="G523">
        <f>IF($Q523="","",IF(IF($G$3="","",INDEX(인턴계획표[[정규화1]:[정규화6]],$Q523,$G$3)&amp;"")="","",IF(LEFT(IF($G$3="","",INDEX(인턴계획표[[정규화1]:[정규화6]],$Q523,$G$3)&amp;""),1)="⚠","",IFERROR(MID(IF($G$3="","",INDEX(인턴계획표[[정규화1]:[정규화6]],$Q523,$G$3)&amp;""),FIND(" ",IF($G$3="","",INDEX(인턴계획표[[정규화1]:[정규화6]],$Q523,$G$3)&amp;""))+1,60),""))))</f>
        <v/>
      </c>
      <c r="H523">
        <f>IF($Q523="","",IF(IF($I$3="","",INDEX(인턴계획표[[정규화1]:[정규화6]],$Q523,$I$3)&amp;"")="","",IF(LEFT(IF($I$3="","",INDEX(인턴계획표[[정규화1]:[정규화6]],$Q523,$I$3)&amp;""),1)="⚠",IF($I$3="","",INDEX(인턴계획표[[정규화1]:[정규화6]],$Q523,$I$3)&amp;""),IFERROR(LEFT(IF($I$3="","",INDEX(인턴계획표[[정규화1]:[정규화6]],$Q523,$I$3)&amp;""),FIND(" ",IF($I$3="","",INDEX(인턴계획표[[정규화1]:[정규화6]],$Q523,$I$3)&amp;""))-1),IF($I$3="","",INDEX(인턴계획표[[정규화1]:[정규화6]],$Q523,$I$3)&amp;"")))))</f>
        <v/>
      </c>
      <c r="I523">
        <f>IF($Q523="","",IF(IF($I$3="","",INDEX(인턴계획표[[정규화1]:[정규화6]],$Q523,$I$3)&amp;"")="","",IF(LEFT(IF($I$3="","",INDEX(인턴계획표[[정규화1]:[정규화6]],$Q523,$I$3)&amp;""),1)="⚠","",IFERROR(MID(IF($I$3="","",INDEX(인턴계획표[[정규화1]:[정규화6]],$Q523,$I$3)&amp;""),FIND(" ",IF($I$3="","",INDEX(인턴계획표[[정규화1]:[정규화6]],$Q523,$I$3)&amp;""))+1,60),""))))</f>
        <v/>
      </c>
      <c r="J523">
        <f>IF($Q523="","",INDEX(인턴계획표[정규화1],$Q523))</f>
        <v/>
      </c>
      <c r="K523">
        <f>IF($Q523="","",INDEX(인턴계획표[정규화2],$Q523))</f>
        <v/>
      </c>
      <c r="L523">
        <f>IF($Q523="","",INDEX(인턴계획표[정규화3],$Q523))</f>
        <v/>
      </c>
      <c r="M523">
        <f>IF($Q523="","",INDEX(인턴계획표[정규화4],$Q523))</f>
        <v/>
      </c>
      <c r="N523">
        <f>IF($Q523="","",INDEX(인턴계획표[정규화5],$Q523))</f>
        <v/>
      </c>
      <c r="O523">
        <f>IF($Q523="","",INDEX(인턴계획표[정규화6],$Q523))</f>
        <v/>
      </c>
      <c r="P523">
        <f>IF($Q523="","",INDEX(인턴계획표[입력오류],$Q523))</f>
        <v/>
      </c>
      <c r="Q523" s="17">
        <f>IFERROR(MATCH(518,인턴계획표[표시순번],0),"")</f>
        <v/>
      </c>
    </row>
    <row r="524">
      <c r="A524">
        <f>IF($Q524="","",INDEX(인턴계획표[순번],$Q524)&amp;"")</f>
        <v/>
      </c>
      <c r="B524">
        <f>IF($Q524="","",TRIM(INDEX(인턴계획표[이름],$Q524)&amp;""))</f>
        <v/>
      </c>
      <c r="C524">
        <f>IF($Q524="","",INDEX(인턴계획표[사번],$Q524)&amp;"")</f>
        <v/>
      </c>
      <c r="D524">
        <f>IF($Q524="","",IF(COUNTIF(기본자료표[사번키],INDEX(인턴계획표[사번키],$Q524))&gt;0,"확인","미등록"))</f>
        <v/>
      </c>
      <c r="E524">
        <f>IF($Q524="","",IF(ISNUMBER(INDEX(인턴계획표[입사일(비고)],$Q524)),TEXT(INDEX(인턴계획표[입사일(비고)],$Q524),"yyyy-mm-dd"),INDEX(인턴계획표[입사일(비고)],$Q524)&amp;""))</f>
        <v/>
      </c>
      <c r="F524">
        <f>IF($Q524="","",IF(IF($G$3="","",INDEX(인턴계획표[[정규화1]:[정규화6]],$Q524,$G$3)&amp;"")="","",IF(LEFT(IF($G$3="","",INDEX(인턴계획표[[정규화1]:[정규화6]],$Q524,$G$3)&amp;""),1)="⚠",IF($G$3="","",INDEX(인턴계획표[[정규화1]:[정규화6]],$Q524,$G$3)&amp;""),IFERROR(LEFT(IF($G$3="","",INDEX(인턴계획표[[정규화1]:[정규화6]],$Q524,$G$3)&amp;""),FIND(" ",IF($G$3="","",INDEX(인턴계획표[[정규화1]:[정규화6]],$Q524,$G$3)&amp;""))-1),IF($G$3="","",INDEX(인턴계획표[[정규화1]:[정규화6]],$Q524,$G$3)&amp;"")))))</f>
        <v/>
      </c>
      <c r="G524">
        <f>IF($Q524="","",IF(IF($G$3="","",INDEX(인턴계획표[[정규화1]:[정규화6]],$Q524,$G$3)&amp;"")="","",IF(LEFT(IF($G$3="","",INDEX(인턴계획표[[정규화1]:[정규화6]],$Q524,$G$3)&amp;""),1)="⚠","",IFERROR(MID(IF($G$3="","",INDEX(인턴계획표[[정규화1]:[정규화6]],$Q524,$G$3)&amp;""),FIND(" ",IF($G$3="","",INDEX(인턴계획표[[정규화1]:[정규화6]],$Q524,$G$3)&amp;""))+1,60),""))))</f>
        <v/>
      </c>
      <c r="H524">
        <f>IF($Q524="","",IF(IF($I$3="","",INDEX(인턴계획표[[정규화1]:[정규화6]],$Q524,$I$3)&amp;"")="","",IF(LEFT(IF($I$3="","",INDEX(인턴계획표[[정규화1]:[정규화6]],$Q524,$I$3)&amp;""),1)="⚠",IF($I$3="","",INDEX(인턴계획표[[정규화1]:[정규화6]],$Q524,$I$3)&amp;""),IFERROR(LEFT(IF($I$3="","",INDEX(인턴계획표[[정규화1]:[정규화6]],$Q524,$I$3)&amp;""),FIND(" ",IF($I$3="","",INDEX(인턴계획표[[정규화1]:[정규화6]],$Q524,$I$3)&amp;""))-1),IF($I$3="","",INDEX(인턴계획표[[정규화1]:[정규화6]],$Q524,$I$3)&amp;"")))))</f>
        <v/>
      </c>
      <c r="I524">
        <f>IF($Q524="","",IF(IF($I$3="","",INDEX(인턴계획표[[정규화1]:[정규화6]],$Q524,$I$3)&amp;"")="","",IF(LEFT(IF($I$3="","",INDEX(인턴계획표[[정규화1]:[정규화6]],$Q524,$I$3)&amp;""),1)="⚠","",IFERROR(MID(IF($I$3="","",INDEX(인턴계획표[[정규화1]:[정규화6]],$Q524,$I$3)&amp;""),FIND(" ",IF($I$3="","",INDEX(인턴계획표[[정규화1]:[정규화6]],$Q524,$I$3)&amp;""))+1,60),""))))</f>
        <v/>
      </c>
      <c r="J524">
        <f>IF($Q524="","",INDEX(인턴계획표[정규화1],$Q524))</f>
        <v/>
      </c>
      <c r="K524">
        <f>IF($Q524="","",INDEX(인턴계획표[정규화2],$Q524))</f>
        <v/>
      </c>
      <c r="L524">
        <f>IF($Q524="","",INDEX(인턴계획표[정규화3],$Q524))</f>
        <v/>
      </c>
      <c r="M524">
        <f>IF($Q524="","",INDEX(인턴계획표[정규화4],$Q524))</f>
        <v/>
      </c>
      <c r="N524">
        <f>IF($Q524="","",INDEX(인턴계획표[정규화5],$Q524))</f>
        <v/>
      </c>
      <c r="O524">
        <f>IF($Q524="","",INDEX(인턴계획표[정규화6],$Q524))</f>
        <v/>
      </c>
      <c r="P524">
        <f>IF($Q524="","",INDEX(인턴계획표[입력오류],$Q524))</f>
        <v/>
      </c>
      <c r="Q524" s="17">
        <f>IFERROR(MATCH(519,인턴계획표[표시순번],0),"")</f>
        <v/>
      </c>
    </row>
    <row r="525">
      <c r="A525">
        <f>IF($Q525="","",INDEX(인턴계획표[순번],$Q525)&amp;"")</f>
        <v/>
      </c>
      <c r="B525">
        <f>IF($Q525="","",TRIM(INDEX(인턴계획표[이름],$Q525)&amp;""))</f>
        <v/>
      </c>
      <c r="C525">
        <f>IF($Q525="","",INDEX(인턴계획표[사번],$Q525)&amp;"")</f>
        <v/>
      </c>
      <c r="D525">
        <f>IF($Q525="","",IF(COUNTIF(기본자료표[사번키],INDEX(인턴계획표[사번키],$Q525))&gt;0,"확인","미등록"))</f>
        <v/>
      </c>
      <c r="E525">
        <f>IF($Q525="","",IF(ISNUMBER(INDEX(인턴계획표[입사일(비고)],$Q525)),TEXT(INDEX(인턴계획표[입사일(비고)],$Q525),"yyyy-mm-dd"),INDEX(인턴계획표[입사일(비고)],$Q525)&amp;""))</f>
        <v/>
      </c>
      <c r="F525">
        <f>IF($Q525="","",IF(IF($G$3="","",INDEX(인턴계획표[[정규화1]:[정규화6]],$Q525,$G$3)&amp;"")="","",IF(LEFT(IF($G$3="","",INDEX(인턴계획표[[정규화1]:[정규화6]],$Q525,$G$3)&amp;""),1)="⚠",IF($G$3="","",INDEX(인턴계획표[[정규화1]:[정규화6]],$Q525,$G$3)&amp;""),IFERROR(LEFT(IF($G$3="","",INDEX(인턴계획표[[정규화1]:[정규화6]],$Q525,$G$3)&amp;""),FIND(" ",IF($G$3="","",INDEX(인턴계획표[[정규화1]:[정규화6]],$Q525,$G$3)&amp;""))-1),IF($G$3="","",INDEX(인턴계획표[[정규화1]:[정규화6]],$Q525,$G$3)&amp;"")))))</f>
        <v/>
      </c>
      <c r="G525">
        <f>IF($Q525="","",IF(IF($G$3="","",INDEX(인턴계획표[[정규화1]:[정규화6]],$Q525,$G$3)&amp;"")="","",IF(LEFT(IF($G$3="","",INDEX(인턴계획표[[정규화1]:[정규화6]],$Q525,$G$3)&amp;""),1)="⚠","",IFERROR(MID(IF($G$3="","",INDEX(인턴계획표[[정규화1]:[정규화6]],$Q525,$G$3)&amp;""),FIND(" ",IF($G$3="","",INDEX(인턴계획표[[정규화1]:[정규화6]],$Q525,$G$3)&amp;""))+1,60),""))))</f>
        <v/>
      </c>
      <c r="H525">
        <f>IF($Q525="","",IF(IF($I$3="","",INDEX(인턴계획표[[정규화1]:[정규화6]],$Q525,$I$3)&amp;"")="","",IF(LEFT(IF($I$3="","",INDEX(인턴계획표[[정규화1]:[정규화6]],$Q525,$I$3)&amp;""),1)="⚠",IF($I$3="","",INDEX(인턴계획표[[정규화1]:[정규화6]],$Q525,$I$3)&amp;""),IFERROR(LEFT(IF($I$3="","",INDEX(인턴계획표[[정규화1]:[정규화6]],$Q525,$I$3)&amp;""),FIND(" ",IF($I$3="","",INDEX(인턴계획표[[정규화1]:[정규화6]],$Q525,$I$3)&amp;""))-1),IF($I$3="","",INDEX(인턴계획표[[정규화1]:[정규화6]],$Q525,$I$3)&amp;"")))))</f>
        <v/>
      </c>
      <c r="I525">
        <f>IF($Q525="","",IF(IF($I$3="","",INDEX(인턴계획표[[정규화1]:[정규화6]],$Q525,$I$3)&amp;"")="","",IF(LEFT(IF($I$3="","",INDEX(인턴계획표[[정규화1]:[정규화6]],$Q525,$I$3)&amp;""),1)="⚠","",IFERROR(MID(IF($I$3="","",INDEX(인턴계획표[[정규화1]:[정규화6]],$Q525,$I$3)&amp;""),FIND(" ",IF($I$3="","",INDEX(인턴계획표[[정규화1]:[정규화6]],$Q525,$I$3)&amp;""))+1,60),""))))</f>
        <v/>
      </c>
      <c r="J525">
        <f>IF($Q525="","",INDEX(인턴계획표[정규화1],$Q525))</f>
        <v/>
      </c>
      <c r="K525">
        <f>IF($Q525="","",INDEX(인턴계획표[정규화2],$Q525))</f>
        <v/>
      </c>
      <c r="L525">
        <f>IF($Q525="","",INDEX(인턴계획표[정규화3],$Q525))</f>
        <v/>
      </c>
      <c r="M525">
        <f>IF($Q525="","",INDEX(인턴계획표[정규화4],$Q525))</f>
        <v/>
      </c>
      <c r="N525">
        <f>IF($Q525="","",INDEX(인턴계획표[정규화5],$Q525))</f>
        <v/>
      </c>
      <c r="O525">
        <f>IF($Q525="","",INDEX(인턴계획표[정규화6],$Q525))</f>
        <v/>
      </c>
      <c r="P525">
        <f>IF($Q525="","",INDEX(인턴계획표[입력오류],$Q525))</f>
        <v/>
      </c>
      <c r="Q525" s="17">
        <f>IFERROR(MATCH(520,인턴계획표[표시순번],0),"")</f>
        <v/>
      </c>
    </row>
    <row r="526">
      <c r="A526">
        <f>IF($Q526="","",INDEX(인턴계획표[순번],$Q526)&amp;"")</f>
        <v/>
      </c>
      <c r="B526">
        <f>IF($Q526="","",TRIM(INDEX(인턴계획표[이름],$Q526)&amp;""))</f>
        <v/>
      </c>
      <c r="C526">
        <f>IF($Q526="","",INDEX(인턴계획표[사번],$Q526)&amp;"")</f>
        <v/>
      </c>
      <c r="D526">
        <f>IF($Q526="","",IF(COUNTIF(기본자료표[사번키],INDEX(인턴계획표[사번키],$Q526))&gt;0,"확인","미등록"))</f>
        <v/>
      </c>
      <c r="E526">
        <f>IF($Q526="","",IF(ISNUMBER(INDEX(인턴계획표[입사일(비고)],$Q526)),TEXT(INDEX(인턴계획표[입사일(비고)],$Q526),"yyyy-mm-dd"),INDEX(인턴계획표[입사일(비고)],$Q526)&amp;""))</f>
        <v/>
      </c>
      <c r="F526">
        <f>IF($Q526="","",IF(IF($G$3="","",INDEX(인턴계획표[[정규화1]:[정규화6]],$Q526,$G$3)&amp;"")="","",IF(LEFT(IF($G$3="","",INDEX(인턴계획표[[정규화1]:[정규화6]],$Q526,$G$3)&amp;""),1)="⚠",IF($G$3="","",INDEX(인턴계획표[[정규화1]:[정규화6]],$Q526,$G$3)&amp;""),IFERROR(LEFT(IF($G$3="","",INDEX(인턴계획표[[정규화1]:[정규화6]],$Q526,$G$3)&amp;""),FIND(" ",IF($G$3="","",INDEX(인턴계획표[[정규화1]:[정규화6]],$Q526,$G$3)&amp;""))-1),IF($G$3="","",INDEX(인턴계획표[[정규화1]:[정규화6]],$Q526,$G$3)&amp;"")))))</f>
        <v/>
      </c>
      <c r="G526">
        <f>IF($Q526="","",IF(IF($G$3="","",INDEX(인턴계획표[[정규화1]:[정규화6]],$Q526,$G$3)&amp;"")="","",IF(LEFT(IF($G$3="","",INDEX(인턴계획표[[정규화1]:[정규화6]],$Q526,$G$3)&amp;""),1)="⚠","",IFERROR(MID(IF($G$3="","",INDEX(인턴계획표[[정규화1]:[정규화6]],$Q526,$G$3)&amp;""),FIND(" ",IF($G$3="","",INDEX(인턴계획표[[정규화1]:[정규화6]],$Q526,$G$3)&amp;""))+1,60),""))))</f>
        <v/>
      </c>
      <c r="H526">
        <f>IF($Q526="","",IF(IF($I$3="","",INDEX(인턴계획표[[정규화1]:[정규화6]],$Q526,$I$3)&amp;"")="","",IF(LEFT(IF($I$3="","",INDEX(인턴계획표[[정규화1]:[정규화6]],$Q526,$I$3)&amp;""),1)="⚠",IF($I$3="","",INDEX(인턴계획표[[정규화1]:[정규화6]],$Q526,$I$3)&amp;""),IFERROR(LEFT(IF($I$3="","",INDEX(인턴계획표[[정규화1]:[정규화6]],$Q526,$I$3)&amp;""),FIND(" ",IF($I$3="","",INDEX(인턴계획표[[정규화1]:[정규화6]],$Q526,$I$3)&amp;""))-1),IF($I$3="","",INDEX(인턴계획표[[정규화1]:[정규화6]],$Q526,$I$3)&amp;"")))))</f>
        <v/>
      </c>
      <c r="I526">
        <f>IF($Q526="","",IF(IF($I$3="","",INDEX(인턴계획표[[정규화1]:[정규화6]],$Q526,$I$3)&amp;"")="","",IF(LEFT(IF($I$3="","",INDEX(인턴계획표[[정규화1]:[정규화6]],$Q526,$I$3)&amp;""),1)="⚠","",IFERROR(MID(IF($I$3="","",INDEX(인턴계획표[[정규화1]:[정규화6]],$Q526,$I$3)&amp;""),FIND(" ",IF($I$3="","",INDEX(인턴계획표[[정규화1]:[정규화6]],$Q526,$I$3)&amp;""))+1,60),""))))</f>
        <v/>
      </c>
      <c r="J526">
        <f>IF($Q526="","",INDEX(인턴계획표[정규화1],$Q526))</f>
        <v/>
      </c>
      <c r="K526">
        <f>IF($Q526="","",INDEX(인턴계획표[정규화2],$Q526))</f>
        <v/>
      </c>
      <c r="L526">
        <f>IF($Q526="","",INDEX(인턴계획표[정규화3],$Q526))</f>
        <v/>
      </c>
      <c r="M526">
        <f>IF($Q526="","",INDEX(인턴계획표[정규화4],$Q526))</f>
        <v/>
      </c>
      <c r="N526">
        <f>IF($Q526="","",INDEX(인턴계획표[정규화5],$Q526))</f>
        <v/>
      </c>
      <c r="O526">
        <f>IF($Q526="","",INDEX(인턴계획표[정규화6],$Q526))</f>
        <v/>
      </c>
      <c r="P526">
        <f>IF($Q526="","",INDEX(인턴계획표[입력오류],$Q526))</f>
        <v/>
      </c>
      <c r="Q526" s="17">
        <f>IFERROR(MATCH(521,인턴계획표[표시순번],0),"")</f>
        <v/>
      </c>
    </row>
    <row r="527">
      <c r="A527">
        <f>IF($Q527="","",INDEX(인턴계획표[순번],$Q527)&amp;"")</f>
        <v/>
      </c>
      <c r="B527">
        <f>IF($Q527="","",TRIM(INDEX(인턴계획표[이름],$Q527)&amp;""))</f>
        <v/>
      </c>
      <c r="C527">
        <f>IF($Q527="","",INDEX(인턴계획표[사번],$Q527)&amp;"")</f>
        <v/>
      </c>
      <c r="D527">
        <f>IF($Q527="","",IF(COUNTIF(기본자료표[사번키],INDEX(인턴계획표[사번키],$Q527))&gt;0,"확인","미등록"))</f>
        <v/>
      </c>
      <c r="E527">
        <f>IF($Q527="","",IF(ISNUMBER(INDEX(인턴계획표[입사일(비고)],$Q527)),TEXT(INDEX(인턴계획표[입사일(비고)],$Q527),"yyyy-mm-dd"),INDEX(인턴계획표[입사일(비고)],$Q527)&amp;""))</f>
        <v/>
      </c>
      <c r="F527">
        <f>IF($Q527="","",IF(IF($G$3="","",INDEX(인턴계획표[[정규화1]:[정규화6]],$Q527,$G$3)&amp;"")="","",IF(LEFT(IF($G$3="","",INDEX(인턴계획표[[정규화1]:[정규화6]],$Q527,$G$3)&amp;""),1)="⚠",IF($G$3="","",INDEX(인턴계획표[[정규화1]:[정규화6]],$Q527,$G$3)&amp;""),IFERROR(LEFT(IF($G$3="","",INDEX(인턴계획표[[정규화1]:[정규화6]],$Q527,$G$3)&amp;""),FIND(" ",IF($G$3="","",INDEX(인턴계획표[[정규화1]:[정규화6]],$Q527,$G$3)&amp;""))-1),IF($G$3="","",INDEX(인턴계획표[[정규화1]:[정규화6]],$Q527,$G$3)&amp;"")))))</f>
        <v/>
      </c>
      <c r="G527">
        <f>IF($Q527="","",IF(IF($G$3="","",INDEX(인턴계획표[[정규화1]:[정규화6]],$Q527,$G$3)&amp;"")="","",IF(LEFT(IF($G$3="","",INDEX(인턴계획표[[정규화1]:[정규화6]],$Q527,$G$3)&amp;""),1)="⚠","",IFERROR(MID(IF($G$3="","",INDEX(인턴계획표[[정규화1]:[정규화6]],$Q527,$G$3)&amp;""),FIND(" ",IF($G$3="","",INDEX(인턴계획표[[정규화1]:[정규화6]],$Q527,$G$3)&amp;""))+1,60),""))))</f>
        <v/>
      </c>
      <c r="H527">
        <f>IF($Q527="","",IF(IF($I$3="","",INDEX(인턴계획표[[정규화1]:[정규화6]],$Q527,$I$3)&amp;"")="","",IF(LEFT(IF($I$3="","",INDEX(인턴계획표[[정규화1]:[정규화6]],$Q527,$I$3)&amp;""),1)="⚠",IF($I$3="","",INDEX(인턴계획표[[정규화1]:[정규화6]],$Q527,$I$3)&amp;""),IFERROR(LEFT(IF($I$3="","",INDEX(인턴계획표[[정규화1]:[정규화6]],$Q527,$I$3)&amp;""),FIND(" ",IF($I$3="","",INDEX(인턴계획표[[정규화1]:[정규화6]],$Q527,$I$3)&amp;""))-1),IF($I$3="","",INDEX(인턴계획표[[정규화1]:[정규화6]],$Q527,$I$3)&amp;"")))))</f>
        <v/>
      </c>
      <c r="I527">
        <f>IF($Q527="","",IF(IF($I$3="","",INDEX(인턴계획표[[정규화1]:[정규화6]],$Q527,$I$3)&amp;"")="","",IF(LEFT(IF($I$3="","",INDEX(인턴계획표[[정규화1]:[정규화6]],$Q527,$I$3)&amp;""),1)="⚠","",IFERROR(MID(IF($I$3="","",INDEX(인턴계획표[[정규화1]:[정규화6]],$Q527,$I$3)&amp;""),FIND(" ",IF($I$3="","",INDEX(인턴계획표[[정규화1]:[정규화6]],$Q527,$I$3)&amp;""))+1,60),""))))</f>
        <v/>
      </c>
      <c r="J527">
        <f>IF($Q527="","",INDEX(인턴계획표[정규화1],$Q527))</f>
        <v/>
      </c>
      <c r="K527">
        <f>IF($Q527="","",INDEX(인턴계획표[정규화2],$Q527))</f>
        <v/>
      </c>
      <c r="L527">
        <f>IF($Q527="","",INDEX(인턴계획표[정규화3],$Q527))</f>
        <v/>
      </c>
      <c r="M527">
        <f>IF($Q527="","",INDEX(인턴계획표[정규화4],$Q527))</f>
        <v/>
      </c>
      <c r="N527">
        <f>IF($Q527="","",INDEX(인턴계획표[정규화5],$Q527))</f>
        <v/>
      </c>
      <c r="O527">
        <f>IF($Q527="","",INDEX(인턴계획표[정규화6],$Q527))</f>
        <v/>
      </c>
      <c r="P527">
        <f>IF($Q527="","",INDEX(인턴계획표[입력오류],$Q527))</f>
        <v/>
      </c>
      <c r="Q527" s="17">
        <f>IFERROR(MATCH(522,인턴계획표[표시순번],0),"")</f>
        <v/>
      </c>
    </row>
    <row r="528">
      <c r="A528">
        <f>IF($Q528="","",INDEX(인턴계획표[순번],$Q528)&amp;"")</f>
        <v/>
      </c>
      <c r="B528">
        <f>IF($Q528="","",TRIM(INDEX(인턴계획표[이름],$Q528)&amp;""))</f>
        <v/>
      </c>
      <c r="C528">
        <f>IF($Q528="","",INDEX(인턴계획표[사번],$Q528)&amp;"")</f>
        <v/>
      </c>
      <c r="D528">
        <f>IF($Q528="","",IF(COUNTIF(기본자료표[사번키],INDEX(인턴계획표[사번키],$Q528))&gt;0,"확인","미등록"))</f>
        <v/>
      </c>
      <c r="E528">
        <f>IF($Q528="","",IF(ISNUMBER(INDEX(인턴계획표[입사일(비고)],$Q528)),TEXT(INDEX(인턴계획표[입사일(비고)],$Q528),"yyyy-mm-dd"),INDEX(인턴계획표[입사일(비고)],$Q528)&amp;""))</f>
        <v/>
      </c>
      <c r="F528">
        <f>IF($Q528="","",IF(IF($G$3="","",INDEX(인턴계획표[[정규화1]:[정규화6]],$Q528,$G$3)&amp;"")="","",IF(LEFT(IF($G$3="","",INDEX(인턴계획표[[정규화1]:[정규화6]],$Q528,$G$3)&amp;""),1)="⚠",IF($G$3="","",INDEX(인턴계획표[[정규화1]:[정규화6]],$Q528,$G$3)&amp;""),IFERROR(LEFT(IF($G$3="","",INDEX(인턴계획표[[정규화1]:[정규화6]],$Q528,$G$3)&amp;""),FIND(" ",IF($G$3="","",INDEX(인턴계획표[[정규화1]:[정규화6]],$Q528,$G$3)&amp;""))-1),IF($G$3="","",INDEX(인턴계획표[[정규화1]:[정규화6]],$Q528,$G$3)&amp;"")))))</f>
        <v/>
      </c>
      <c r="G528">
        <f>IF($Q528="","",IF(IF($G$3="","",INDEX(인턴계획표[[정규화1]:[정규화6]],$Q528,$G$3)&amp;"")="","",IF(LEFT(IF($G$3="","",INDEX(인턴계획표[[정규화1]:[정규화6]],$Q528,$G$3)&amp;""),1)="⚠","",IFERROR(MID(IF($G$3="","",INDEX(인턴계획표[[정규화1]:[정규화6]],$Q528,$G$3)&amp;""),FIND(" ",IF($G$3="","",INDEX(인턴계획표[[정규화1]:[정규화6]],$Q528,$G$3)&amp;""))+1,60),""))))</f>
        <v/>
      </c>
      <c r="H528">
        <f>IF($Q528="","",IF(IF($I$3="","",INDEX(인턴계획표[[정규화1]:[정규화6]],$Q528,$I$3)&amp;"")="","",IF(LEFT(IF($I$3="","",INDEX(인턴계획표[[정규화1]:[정규화6]],$Q528,$I$3)&amp;""),1)="⚠",IF($I$3="","",INDEX(인턴계획표[[정규화1]:[정규화6]],$Q528,$I$3)&amp;""),IFERROR(LEFT(IF($I$3="","",INDEX(인턴계획표[[정규화1]:[정규화6]],$Q528,$I$3)&amp;""),FIND(" ",IF($I$3="","",INDEX(인턴계획표[[정규화1]:[정규화6]],$Q528,$I$3)&amp;""))-1),IF($I$3="","",INDEX(인턴계획표[[정규화1]:[정규화6]],$Q528,$I$3)&amp;"")))))</f>
        <v/>
      </c>
      <c r="I528">
        <f>IF($Q528="","",IF(IF($I$3="","",INDEX(인턴계획표[[정규화1]:[정규화6]],$Q528,$I$3)&amp;"")="","",IF(LEFT(IF($I$3="","",INDEX(인턴계획표[[정규화1]:[정규화6]],$Q528,$I$3)&amp;""),1)="⚠","",IFERROR(MID(IF($I$3="","",INDEX(인턴계획표[[정규화1]:[정규화6]],$Q528,$I$3)&amp;""),FIND(" ",IF($I$3="","",INDEX(인턴계획표[[정규화1]:[정규화6]],$Q528,$I$3)&amp;""))+1,60),""))))</f>
        <v/>
      </c>
      <c r="J528">
        <f>IF($Q528="","",INDEX(인턴계획표[정규화1],$Q528))</f>
        <v/>
      </c>
      <c r="K528">
        <f>IF($Q528="","",INDEX(인턴계획표[정규화2],$Q528))</f>
        <v/>
      </c>
      <c r="L528">
        <f>IF($Q528="","",INDEX(인턴계획표[정규화3],$Q528))</f>
        <v/>
      </c>
      <c r="M528">
        <f>IF($Q528="","",INDEX(인턴계획표[정규화4],$Q528))</f>
        <v/>
      </c>
      <c r="N528">
        <f>IF($Q528="","",INDEX(인턴계획표[정규화5],$Q528))</f>
        <v/>
      </c>
      <c r="O528">
        <f>IF($Q528="","",INDEX(인턴계획표[정규화6],$Q528))</f>
        <v/>
      </c>
      <c r="P528">
        <f>IF($Q528="","",INDEX(인턴계획표[입력오류],$Q528))</f>
        <v/>
      </c>
      <c r="Q528" s="17">
        <f>IFERROR(MATCH(523,인턴계획표[표시순번],0),"")</f>
        <v/>
      </c>
    </row>
    <row r="529">
      <c r="A529">
        <f>IF($Q529="","",INDEX(인턴계획표[순번],$Q529)&amp;"")</f>
        <v/>
      </c>
      <c r="B529">
        <f>IF($Q529="","",TRIM(INDEX(인턴계획표[이름],$Q529)&amp;""))</f>
        <v/>
      </c>
      <c r="C529">
        <f>IF($Q529="","",INDEX(인턴계획표[사번],$Q529)&amp;"")</f>
        <v/>
      </c>
      <c r="D529">
        <f>IF($Q529="","",IF(COUNTIF(기본자료표[사번키],INDEX(인턴계획표[사번키],$Q529))&gt;0,"확인","미등록"))</f>
        <v/>
      </c>
      <c r="E529">
        <f>IF($Q529="","",IF(ISNUMBER(INDEX(인턴계획표[입사일(비고)],$Q529)),TEXT(INDEX(인턴계획표[입사일(비고)],$Q529),"yyyy-mm-dd"),INDEX(인턴계획표[입사일(비고)],$Q529)&amp;""))</f>
        <v/>
      </c>
      <c r="F529">
        <f>IF($Q529="","",IF(IF($G$3="","",INDEX(인턴계획표[[정규화1]:[정규화6]],$Q529,$G$3)&amp;"")="","",IF(LEFT(IF($G$3="","",INDEX(인턴계획표[[정규화1]:[정규화6]],$Q529,$G$3)&amp;""),1)="⚠",IF($G$3="","",INDEX(인턴계획표[[정규화1]:[정규화6]],$Q529,$G$3)&amp;""),IFERROR(LEFT(IF($G$3="","",INDEX(인턴계획표[[정규화1]:[정규화6]],$Q529,$G$3)&amp;""),FIND(" ",IF($G$3="","",INDEX(인턴계획표[[정규화1]:[정규화6]],$Q529,$G$3)&amp;""))-1),IF($G$3="","",INDEX(인턴계획표[[정규화1]:[정규화6]],$Q529,$G$3)&amp;"")))))</f>
        <v/>
      </c>
      <c r="G529">
        <f>IF($Q529="","",IF(IF($G$3="","",INDEX(인턴계획표[[정규화1]:[정규화6]],$Q529,$G$3)&amp;"")="","",IF(LEFT(IF($G$3="","",INDEX(인턴계획표[[정규화1]:[정규화6]],$Q529,$G$3)&amp;""),1)="⚠","",IFERROR(MID(IF($G$3="","",INDEX(인턴계획표[[정규화1]:[정규화6]],$Q529,$G$3)&amp;""),FIND(" ",IF($G$3="","",INDEX(인턴계획표[[정규화1]:[정규화6]],$Q529,$G$3)&amp;""))+1,60),""))))</f>
        <v/>
      </c>
      <c r="H529">
        <f>IF($Q529="","",IF(IF($I$3="","",INDEX(인턴계획표[[정규화1]:[정규화6]],$Q529,$I$3)&amp;"")="","",IF(LEFT(IF($I$3="","",INDEX(인턴계획표[[정규화1]:[정규화6]],$Q529,$I$3)&amp;""),1)="⚠",IF($I$3="","",INDEX(인턴계획표[[정규화1]:[정규화6]],$Q529,$I$3)&amp;""),IFERROR(LEFT(IF($I$3="","",INDEX(인턴계획표[[정규화1]:[정규화6]],$Q529,$I$3)&amp;""),FIND(" ",IF($I$3="","",INDEX(인턴계획표[[정규화1]:[정규화6]],$Q529,$I$3)&amp;""))-1),IF($I$3="","",INDEX(인턴계획표[[정규화1]:[정규화6]],$Q529,$I$3)&amp;"")))))</f>
        <v/>
      </c>
      <c r="I529">
        <f>IF($Q529="","",IF(IF($I$3="","",INDEX(인턴계획표[[정규화1]:[정규화6]],$Q529,$I$3)&amp;"")="","",IF(LEFT(IF($I$3="","",INDEX(인턴계획표[[정규화1]:[정규화6]],$Q529,$I$3)&amp;""),1)="⚠","",IFERROR(MID(IF($I$3="","",INDEX(인턴계획표[[정규화1]:[정규화6]],$Q529,$I$3)&amp;""),FIND(" ",IF($I$3="","",INDEX(인턴계획표[[정규화1]:[정규화6]],$Q529,$I$3)&amp;""))+1,60),""))))</f>
        <v/>
      </c>
      <c r="J529">
        <f>IF($Q529="","",INDEX(인턴계획표[정규화1],$Q529))</f>
        <v/>
      </c>
      <c r="K529">
        <f>IF($Q529="","",INDEX(인턴계획표[정규화2],$Q529))</f>
        <v/>
      </c>
      <c r="L529">
        <f>IF($Q529="","",INDEX(인턴계획표[정규화3],$Q529))</f>
        <v/>
      </c>
      <c r="M529">
        <f>IF($Q529="","",INDEX(인턴계획표[정규화4],$Q529))</f>
        <v/>
      </c>
      <c r="N529">
        <f>IF($Q529="","",INDEX(인턴계획표[정규화5],$Q529))</f>
        <v/>
      </c>
      <c r="O529">
        <f>IF($Q529="","",INDEX(인턴계획표[정규화6],$Q529))</f>
        <v/>
      </c>
      <c r="P529">
        <f>IF($Q529="","",INDEX(인턴계획표[입력오류],$Q529))</f>
        <v/>
      </c>
      <c r="Q529" s="17">
        <f>IFERROR(MATCH(524,인턴계획표[표시순번],0),"")</f>
        <v/>
      </c>
    </row>
    <row r="530">
      <c r="A530">
        <f>IF($Q530="","",INDEX(인턴계획표[순번],$Q530)&amp;"")</f>
        <v/>
      </c>
      <c r="B530">
        <f>IF($Q530="","",TRIM(INDEX(인턴계획표[이름],$Q530)&amp;""))</f>
        <v/>
      </c>
      <c r="C530">
        <f>IF($Q530="","",INDEX(인턴계획표[사번],$Q530)&amp;"")</f>
        <v/>
      </c>
      <c r="D530">
        <f>IF($Q530="","",IF(COUNTIF(기본자료표[사번키],INDEX(인턴계획표[사번키],$Q530))&gt;0,"확인","미등록"))</f>
        <v/>
      </c>
      <c r="E530">
        <f>IF($Q530="","",IF(ISNUMBER(INDEX(인턴계획표[입사일(비고)],$Q530)),TEXT(INDEX(인턴계획표[입사일(비고)],$Q530),"yyyy-mm-dd"),INDEX(인턴계획표[입사일(비고)],$Q530)&amp;""))</f>
        <v/>
      </c>
      <c r="F530">
        <f>IF($Q530="","",IF(IF($G$3="","",INDEX(인턴계획표[[정규화1]:[정규화6]],$Q530,$G$3)&amp;"")="","",IF(LEFT(IF($G$3="","",INDEX(인턴계획표[[정규화1]:[정규화6]],$Q530,$G$3)&amp;""),1)="⚠",IF($G$3="","",INDEX(인턴계획표[[정규화1]:[정규화6]],$Q530,$G$3)&amp;""),IFERROR(LEFT(IF($G$3="","",INDEX(인턴계획표[[정규화1]:[정규화6]],$Q530,$G$3)&amp;""),FIND(" ",IF($G$3="","",INDEX(인턴계획표[[정규화1]:[정규화6]],$Q530,$G$3)&amp;""))-1),IF($G$3="","",INDEX(인턴계획표[[정규화1]:[정규화6]],$Q530,$G$3)&amp;"")))))</f>
        <v/>
      </c>
      <c r="G530">
        <f>IF($Q530="","",IF(IF($G$3="","",INDEX(인턴계획표[[정규화1]:[정규화6]],$Q530,$G$3)&amp;"")="","",IF(LEFT(IF($G$3="","",INDEX(인턴계획표[[정규화1]:[정규화6]],$Q530,$G$3)&amp;""),1)="⚠","",IFERROR(MID(IF($G$3="","",INDEX(인턴계획표[[정규화1]:[정규화6]],$Q530,$G$3)&amp;""),FIND(" ",IF($G$3="","",INDEX(인턴계획표[[정규화1]:[정규화6]],$Q530,$G$3)&amp;""))+1,60),""))))</f>
        <v/>
      </c>
      <c r="H530">
        <f>IF($Q530="","",IF(IF($I$3="","",INDEX(인턴계획표[[정규화1]:[정규화6]],$Q530,$I$3)&amp;"")="","",IF(LEFT(IF($I$3="","",INDEX(인턴계획표[[정규화1]:[정규화6]],$Q530,$I$3)&amp;""),1)="⚠",IF($I$3="","",INDEX(인턴계획표[[정규화1]:[정규화6]],$Q530,$I$3)&amp;""),IFERROR(LEFT(IF($I$3="","",INDEX(인턴계획표[[정규화1]:[정규화6]],$Q530,$I$3)&amp;""),FIND(" ",IF($I$3="","",INDEX(인턴계획표[[정규화1]:[정규화6]],$Q530,$I$3)&amp;""))-1),IF($I$3="","",INDEX(인턴계획표[[정규화1]:[정규화6]],$Q530,$I$3)&amp;"")))))</f>
        <v/>
      </c>
      <c r="I530">
        <f>IF($Q530="","",IF(IF($I$3="","",INDEX(인턴계획표[[정규화1]:[정규화6]],$Q530,$I$3)&amp;"")="","",IF(LEFT(IF($I$3="","",INDEX(인턴계획표[[정규화1]:[정규화6]],$Q530,$I$3)&amp;""),1)="⚠","",IFERROR(MID(IF($I$3="","",INDEX(인턴계획표[[정규화1]:[정규화6]],$Q530,$I$3)&amp;""),FIND(" ",IF($I$3="","",INDEX(인턴계획표[[정규화1]:[정규화6]],$Q530,$I$3)&amp;""))+1,60),""))))</f>
        <v/>
      </c>
      <c r="J530">
        <f>IF($Q530="","",INDEX(인턴계획표[정규화1],$Q530))</f>
        <v/>
      </c>
      <c r="K530">
        <f>IF($Q530="","",INDEX(인턴계획표[정규화2],$Q530))</f>
        <v/>
      </c>
      <c r="L530">
        <f>IF($Q530="","",INDEX(인턴계획표[정규화3],$Q530))</f>
        <v/>
      </c>
      <c r="M530">
        <f>IF($Q530="","",INDEX(인턴계획표[정규화4],$Q530))</f>
        <v/>
      </c>
      <c r="N530">
        <f>IF($Q530="","",INDEX(인턴계획표[정규화5],$Q530))</f>
        <v/>
      </c>
      <c r="O530">
        <f>IF($Q530="","",INDEX(인턴계획표[정규화6],$Q530))</f>
        <v/>
      </c>
      <c r="P530">
        <f>IF($Q530="","",INDEX(인턴계획표[입력오류],$Q530))</f>
        <v/>
      </c>
      <c r="Q530" s="17">
        <f>IFERROR(MATCH(525,인턴계획표[표시순번],0),"")</f>
        <v/>
      </c>
    </row>
    <row r="531">
      <c r="A531">
        <f>IF($Q531="","",INDEX(인턴계획표[순번],$Q531)&amp;"")</f>
        <v/>
      </c>
      <c r="B531">
        <f>IF($Q531="","",TRIM(INDEX(인턴계획표[이름],$Q531)&amp;""))</f>
        <v/>
      </c>
      <c r="C531">
        <f>IF($Q531="","",INDEX(인턴계획표[사번],$Q531)&amp;"")</f>
        <v/>
      </c>
      <c r="D531">
        <f>IF($Q531="","",IF(COUNTIF(기본자료표[사번키],INDEX(인턴계획표[사번키],$Q531))&gt;0,"확인","미등록"))</f>
        <v/>
      </c>
      <c r="E531">
        <f>IF($Q531="","",IF(ISNUMBER(INDEX(인턴계획표[입사일(비고)],$Q531)),TEXT(INDEX(인턴계획표[입사일(비고)],$Q531),"yyyy-mm-dd"),INDEX(인턴계획표[입사일(비고)],$Q531)&amp;""))</f>
        <v/>
      </c>
      <c r="F531">
        <f>IF($Q531="","",IF(IF($G$3="","",INDEX(인턴계획표[[정규화1]:[정규화6]],$Q531,$G$3)&amp;"")="","",IF(LEFT(IF($G$3="","",INDEX(인턴계획표[[정규화1]:[정규화6]],$Q531,$G$3)&amp;""),1)="⚠",IF($G$3="","",INDEX(인턴계획표[[정규화1]:[정규화6]],$Q531,$G$3)&amp;""),IFERROR(LEFT(IF($G$3="","",INDEX(인턴계획표[[정규화1]:[정규화6]],$Q531,$G$3)&amp;""),FIND(" ",IF($G$3="","",INDEX(인턴계획표[[정규화1]:[정규화6]],$Q531,$G$3)&amp;""))-1),IF($G$3="","",INDEX(인턴계획표[[정규화1]:[정규화6]],$Q531,$G$3)&amp;"")))))</f>
        <v/>
      </c>
      <c r="G531">
        <f>IF($Q531="","",IF(IF($G$3="","",INDEX(인턴계획표[[정규화1]:[정규화6]],$Q531,$G$3)&amp;"")="","",IF(LEFT(IF($G$3="","",INDEX(인턴계획표[[정규화1]:[정규화6]],$Q531,$G$3)&amp;""),1)="⚠","",IFERROR(MID(IF($G$3="","",INDEX(인턴계획표[[정규화1]:[정규화6]],$Q531,$G$3)&amp;""),FIND(" ",IF($G$3="","",INDEX(인턴계획표[[정규화1]:[정규화6]],$Q531,$G$3)&amp;""))+1,60),""))))</f>
        <v/>
      </c>
      <c r="H531">
        <f>IF($Q531="","",IF(IF($I$3="","",INDEX(인턴계획표[[정규화1]:[정규화6]],$Q531,$I$3)&amp;"")="","",IF(LEFT(IF($I$3="","",INDEX(인턴계획표[[정규화1]:[정규화6]],$Q531,$I$3)&amp;""),1)="⚠",IF($I$3="","",INDEX(인턴계획표[[정규화1]:[정규화6]],$Q531,$I$3)&amp;""),IFERROR(LEFT(IF($I$3="","",INDEX(인턴계획표[[정규화1]:[정규화6]],$Q531,$I$3)&amp;""),FIND(" ",IF($I$3="","",INDEX(인턴계획표[[정규화1]:[정규화6]],$Q531,$I$3)&amp;""))-1),IF($I$3="","",INDEX(인턴계획표[[정규화1]:[정규화6]],$Q531,$I$3)&amp;"")))))</f>
        <v/>
      </c>
      <c r="I531">
        <f>IF($Q531="","",IF(IF($I$3="","",INDEX(인턴계획표[[정규화1]:[정규화6]],$Q531,$I$3)&amp;"")="","",IF(LEFT(IF($I$3="","",INDEX(인턴계획표[[정규화1]:[정규화6]],$Q531,$I$3)&amp;""),1)="⚠","",IFERROR(MID(IF($I$3="","",INDEX(인턴계획표[[정규화1]:[정규화6]],$Q531,$I$3)&amp;""),FIND(" ",IF($I$3="","",INDEX(인턴계획표[[정규화1]:[정규화6]],$Q531,$I$3)&amp;""))+1,60),""))))</f>
        <v/>
      </c>
      <c r="J531">
        <f>IF($Q531="","",INDEX(인턴계획표[정규화1],$Q531))</f>
        <v/>
      </c>
      <c r="K531">
        <f>IF($Q531="","",INDEX(인턴계획표[정규화2],$Q531))</f>
        <v/>
      </c>
      <c r="L531">
        <f>IF($Q531="","",INDEX(인턴계획표[정규화3],$Q531))</f>
        <v/>
      </c>
      <c r="M531">
        <f>IF($Q531="","",INDEX(인턴계획표[정규화4],$Q531))</f>
        <v/>
      </c>
      <c r="N531">
        <f>IF($Q531="","",INDEX(인턴계획표[정규화5],$Q531))</f>
        <v/>
      </c>
      <c r="O531">
        <f>IF($Q531="","",INDEX(인턴계획표[정규화6],$Q531))</f>
        <v/>
      </c>
      <c r="P531">
        <f>IF($Q531="","",INDEX(인턴계획표[입력오류],$Q531))</f>
        <v/>
      </c>
      <c r="Q531" s="17">
        <f>IFERROR(MATCH(526,인턴계획표[표시순번],0),"")</f>
        <v/>
      </c>
    </row>
    <row r="532">
      <c r="A532">
        <f>IF($Q532="","",INDEX(인턴계획표[순번],$Q532)&amp;"")</f>
        <v/>
      </c>
      <c r="B532">
        <f>IF($Q532="","",TRIM(INDEX(인턴계획표[이름],$Q532)&amp;""))</f>
        <v/>
      </c>
      <c r="C532">
        <f>IF($Q532="","",INDEX(인턴계획표[사번],$Q532)&amp;"")</f>
        <v/>
      </c>
      <c r="D532">
        <f>IF($Q532="","",IF(COUNTIF(기본자료표[사번키],INDEX(인턴계획표[사번키],$Q532))&gt;0,"확인","미등록"))</f>
        <v/>
      </c>
      <c r="E532">
        <f>IF($Q532="","",IF(ISNUMBER(INDEX(인턴계획표[입사일(비고)],$Q532)),TEXT(INDEX(인턴계획표[입사일(비고)],$Q532),"yyyy-mm-dd"),INDEX(인턴계획표[입사일(비고)],$Q532)&amp;""))</f>
        <v/>
      </c>
      <c r="F532">
        <f>IF($Q532="","",IF(IF($G$3="","",INDEX(인턴계획표[[정규화1]:[정규화6]],$Q532,$G$3)&amp;"")="","",IF(LEFT(IF($G$3="","",INDEX(인턴계획표[[정규화1]:[정규화6]],$Q532,$G$3)&amp;""),1)="⚠",IF($G$3="","",INDEX(인턴계획표[[정규화1]:[정규화6]],$Q532,$G$3)&amp;""),IFERROR(LEFT(IF($G$3="","",INDEX(인턴계획표[[정규화1]:[정규화6]],$Q532,$G$3)&amp;""),FIND(" ",IF($G$3="","",INDEX(인턴계획표[[정규화1]:[정규화6]],$Q532,$G$3)&amp;""))-1),IF($G$3="","",INDEX(인턴계획표[[정규화1]:[정규화6]],$Q532,$G$3)&amp;"")))))</f>
        <v/>
      </c>
      <c r="G532">
        <f>IF($Q532="","",IF(IF($G$3="","",INDEX(인턴계획표[[정규화1]:[정규화6]],$Q532,$G$3)&amp;"")="","",IF(LEFT(IF($G$3="","",INDEX(인턴계획표[[정규화1]:[정규화6]],$Q532,$G$3)&amp;""),1)="⚠","",IFERROR(MID(IF($G$3="","",INDEX(인턴계획표[[정규화1]:[정규화6]],$Q532,$G$3)&amp;""),FIND(" ",IF($G$3="","",INDEX(인턴계획표[[정규화1]:[정규화6]],$Q532,$G$3)&amp;""))+1,60),""))))</f>
        <v/>
      </c>
      <c r="H532">
        <f>IF($Q532="","",IF(IF($I$3="","",INDEX(인턴계획표[[정규화1]:[정규화6]],$Q532,$I$3)&amp;"")="","",IF(LEFT(IF($I$3="","",INDEX(인턴계획표[[정규화1]:[정규화6]],$Q532,$I$3)&amp;""),1)="⚠",IF($I$3="","",INDEX(인턴계획표[[정규화1]:[정규화6]],$Q532,$I$3)&amp;""),IFERROR(LEFT(IF($I$3="","",INDEX(인턴계획표[[정규화1]:[정규화6]],$Q532,$I$3)&amp;""),FIND(" ",IF($I$3="","",INDEX(인턴계획표[[정규화1]:[정규화6]],$Q532,$I$3)&amp;""))-1),IF($I$3="","",INDEX(인턴계획표[[정규화1]:[정규화6]],$Q532,$I$3)&amp;"")))))</f>
        <v/>
      </c>
      <c r="I532">
        <f>IF($Q532="","",IF(IF($I$3="","",INDEX(인턴계획표[[정규화1]:[정규화6]],$Q532,$I$3)&amp;"")="","",IF(LEFT(IF($I$3="","",INDEX(인턴계획표[[정규화1]:[정규화6]],$Q532,$I$3)&amp;""),1)="⚠","",IFERROR(MID(IF($I$3="","",INDEX(인턴계획표[[정규화1]:[정규화6]],$Q532,$I$3)&amp;""),FIND(" ",IF($I$3="","",INDEX(인턴계획표[[정규화1]:[정규화6]],$Q532,$I$3)&amp;""))+1,60),""))))</f>
        <v/>
      </c>
      <c r="J532">
        <f>IF($Q532="","",INDEX(인턴계획표[정규화1],$Q532))</f>
        <v/>
      </c>
      <c r="K532">
        <f>IF($Q532="","",INDEX(인턴계획표[정규화2],$Q532))</f>
        <v/>
      </c>
      <c r="L532">
        <f>IF($Q532="","",INDEX(인턴계획표[정규화3],$Q532))</f>
        <v/>
      </c>
      <c r="M532">
        <f>IF($Q532="","",INDEX(인턴계획표[정규화4],$Q532))</f>
        <v/>
      </c>
      <c r="N532">
        <f>IF($Q532="","",INDEX(인턴계획표[정규화5],$Q532))</f>
        <v/>
      </c>
      <c r="O532">
        <f>IF($Q532="","",INDEX(인턴계획표[정규화6],$Q532))</f>
        <v/>
      </c>
      <c r="P532">
        <f>IF($Q532="","",INDEX(인턴계획표[입력오류],$Q532))</f>
        <v/>
      </c>
      <c r="Q532" s="17">
        <f>IFERROR(MATCH(527,인턴계획표[표시순번],0),"")</f>
        <v/>
      </c>
    </row>
    <row r="533">
      <c r="A533">
        <f>IF($Q533="","",INDEX(인턴계획표[순번],$Q533)&amp;"")</f>
        <v/>
      </c>
      <c r="B533">
        <f>IF($Q533="","",TRIM(INDEX(인턴계획표[이름],$Q533)&amp;""))</f>
        <v/>
      </c>
      <c r="C533">
        <f>IF($Q533="","",INDEX(인턴계획표[사번],$Q533)&amp;"")</f>
        <v/>
      </c>
      <c r="D533">
        <f>IF($Q533="","",IF(COUNTIF(기본자료표[사번키],INDEX(인턴계획표[사번키],$Q533))&gt;0,"확인","미등록"))</f>
        <v/>
      </c>
      <c r="E533">
        <f>IF($Q533="","",IF(ISNUMBER(INDEX(인턴계획표[입사일(비고)],$Q533)),TEXT(INDEX(인턴계획표[입사일(비고)],$Q533),"yyyy-mm-dd"),INDEX(인턴계획표[입사일(비고)],$Q533)&amp;""))</f>
        <v/>
      </c>
      <c r="F533">
        <f>IF($Q533="","",IF(IF($G$3="","",INDEX(인턴계획표[[정규화1]:[정규화6]],$Q533,$G$3)&amp;"")="","",IF(LEFT(IF($G$3="","",INDEX(인턴계획표[[정규화1]:[정규화6]],$Q533,$G$3)&amp;""),1)="⚠",IF($G$3="","",INDEX(인턴계획표[[정규화1]:[정규화6]],$Q533,$G$3)&amp;""),IFERROR(LEFT(IF($G$3="","",INDEX(인턴계획표[[정규화1]:[정규화6]],$Q533,$G$3)&amp;""),FIND(" ",IF($G$3="","",INDEX(인턴계획표[[정규화1]:[정규화6]],$Q533,$G$3)&amp;""))-1),IF($G$3="","",INDEX(인턴계획표[[정규화1]:[정규화6]],$Q533,$G$3)&amp;"")))))</f>
        <v/>
      </c>
      <c r="G533">
        <f>IF($Q533="","",IF(IF($G$3="","",INDEX(인턴계획표[[정규화1]:[정규화6]],$Q533,$G$3)&amp;"")="","",IF(LEFT(IF($G$3="","",INDEX(인턴계획표[[정규화1]:[정규화6]],$Q533,$G$3)&amp;""),1)="⚠","",IFERROR(MID(IF($G$3="","",INDEX(인턴계획표[[정규화1]:[정규화6]],$Q533,$G$3)&amp;""),FIND(" ",IF($G$3="","",INDEX(인턴계획표[[정규화1]:[정규화6]],$Q533,$G$3)&amp;""))+1,60),""))))</f>
        <v/>
      </c>
      <c r="H533">
        <f>IF($Q533="","",IF(IF($I$3="","",INDEX(인턴계획표[[정규화1]:[정규화6]],$Q533,$I$3)&amp;"")="","",IF(LEFT(IF($I$3="","",INDEX(인턴계획표[[정규화1]:[정규화6]],$Q533,$I$3)&amp;""),1)="⚠",IF($I$3="","",INDEX(인턴계획표[[정규화1]:[정규화6]],$Q533,$I$3)&amp;""),IFERROR(LEFT(IF($I$3="","",INDEX(인턴계획표[[정규화1]:[정규화6]],$Q533,$I$3)&amp;""),FIND(" ",IF($I$3="","",INDEX(인턴계획표[[정규화1]:[정규화6]],$Q533,$I$3)&amp;""))-1),IF($I$3="","",INDEX(인턴계획표[[정규화1]:[정규화6]],$Q533,$I$3)&amp;"")))))</f>
        <v/>
      </c>
      <c r="I533">
        <f>IF($Q533="","",IF(IF($I$3="","",INDEX(인턴계획표[[정규화1]:[정규화6]],$Q533,$I$3)&amp;"")="","",IF(LEFT(IF($I$3="","",INDEX(인턴계획표[[정규화1]:[정규화6]],$Q533,$I$3)&amp;""),1)="⚠","",IFERROR(MID(IF($I$3="","",INDEX(인턴계획표[[정규화1]:[정규화6]],$Q533,$I$3)&amp;""),FIND(" ",IF($I$3="","",INDEX(인턴계획표[[정규화1]:[정규화6]],$Q533,$I$3)&amp;""))+1,60),""))))</f>
        <v/>
      </c>
      <c r="J533">
        <f>IF($Q533="","",INDEX(인턴계획표[정규화1],$Q533))</f>
        <v/>
      </c>
      <c r="K533">
        <f>IF($Q533="","",INDEX(인턴계획표[정규화2],$Q533))</f>
        <v/>
      </c>
      <c r="L533">
        <f>IF($Q533="","",INDEX(인턴계획표[정규화3],$Q533))</f>
        <v/>
      </c>
      <c r="M533">
        <f>IF($Q533="","",INDEX(인턴계획표[정규화4],$Q533))</f>
        <v/>
      </c>
      <c r="N533">
        <f>IF($Q533="","",INDEX(인턴계획표[정규화5],$Q533))</f>
        <v/>
      </c>
      <c r="O533">
        <f>IF($Q533="","",INDEX(인턴계획표[정규화6],$Q533))</f>
        <v/>
      </c>
      <c r="P533">
        <f>IF($Q533="","",INDEX(인턴계획표[입력오류],$Q533))</f>
        <v/>
      </c>
      <c r="Q533" s="17">
        <f>IFERROR(MATCH(528,인턴계획표[표시순번],0),"")</f>
        <v/>
      </c>
    </row>
    <row r="534">
      <c r="A534">
        <f>IF($Q534="","",INDEX(인턴계획표[순번],$Q534)&amp;"")</f>
        <v/>
      </c>
      <c r="B534">
        <f>IF($Q534="","",TRIM(INDEX(인턴계획표[이름],$Q534)&amp;""))</f>
        <v/>
      </c>
      <c r="C534">
        <f>IF($Q534="","",INDEX(인턴계획표[사번],$Q534)&amp;"")</f>
        <v/>
      </c>
      <c r="D534">
        <f>IF($Q534="","",IF(COUNTIF(기본자료표[사번키],INDEX(인턴계획표[사번키],$Q534))&gt;0,"확인","미등록"))</f>
        <v/>
      </c>
      <c r="E534">
        <f>IF($Q534="","",IF(ISNUMBER(INDEX(인턴계획표[입사일(비고)],$Q534)),TEXT(INDEX(인턴계획표[입사일(비고)],$Q534),"yyyy-mm-dd"),INDEX(인턴계획표[입사일(비고)],$Q534)&amp;""))</f>
        <v/>
      </c>
      <c r="F534">
        <f>IF($Q534="","",IF(IF($G$3="","",INDEX(인턴계획표[[정규화1]:[정규화6]],$Q534,$G$3)&amp;"")="","",IF(LEFT(IF($G$3="","",INDEX(인턴계획표[[정규화1]:[정규화6]],$Q534,$G$3)&amp;""),1)="⚠",IF($G$3="","",INDEX(인턴계획표[[정규화1]:[정규화6]],$Q534,$G$3)&amp;""),IFERROR(LEFT(IF($G$3="","",INDEX(인턴계획표[[정규화1]:[정규화6]],$Q534,$G$3)&amp;""),FIND(" ",IF($G$3="","",INDEX(인턴계획표[[정규화1]:[정규화6]],$Q534,$G$3)&amp;""))-1),IF($G$3="","",INDEX(인턴계획표[[정규화1]:[정규화6]],$Q534,$G$3)&amp;"")))))</f>
        <v/>
      </c>
      <c r="G534">
        <f>IF($Q534="","",IF(IF($G$3="","",INDEX(인턴계획표[[정규화1]:[정규화6]],$Q534,$G$3)&amp;"")="","",IF(LEFT(IF($G$3="","",INDEX(인턴계획표[[정규화1]:[정규화6]],$Q534,$G$3)&amp;""),1)="⚠","",IFERROR(MID(IF($G$3="","",INDEX(인턴계획표[[정규화1]:[정규화6]],$Q534,$G$3)&amp;""),FIND(" ",IF($G$3="","",INDEX(인턴계획표[[정규화1]:[정규화6]],$Q534,$G$3)&amp;""))+1,60),""))))</f>
        <v/>
      </c>
      <c r="H534">
        <f>IF($Q534="","",IF(IF($I$3="","",INDEX(인턴계획표[[정규화1]:[정규화6]],$Q534,$I$3)&amp;"")="","",IF(LEFT(IF($I$3="","",INDEX(인턴계획표[[정규화1]:[정규화6]],$Q534,$I$3)&amp;""),1)="⚠",IF($I$3="","",INDEX(인턴계획표[[정규화1]:[정규화6]],$Q534,$I$3)&amp;""),IFERROR(LEFT(IF($I$3="","",INDEX(인턴계획표[[정규화1]:[정규화6]],$Q534,$I$3)&amp;""),FIND(" ",IF($I$3="","",INDEX(인턴계획표[[정규화1]:[정규화6]],$Q534,$I$3)&amp;""))-1),IF($I$3="","",INDEX(인턴계획표[[정규화1]:[정규화6]],$Q534,$I$3)&amp;"")))))</f>
        <v/>
      </c>
      <c r="I534">
        <f>IF($Q534="","",IF(IF($I$3="","",INDEX(인턴계획표[[정규화1]:[정규화6]],$Q534,$I$3)&amp;"")="","",IF(LEFT(IF($I$3="","",INDEX(인턴계획표[[정규화1]:[정규화6]],$Q534,$I$3)&amp;""),1)="⚠","",IFERROR(MID(IF($I$3="","",INDEX(인턴계획표[[정규화1]:[정규화6]],$Q534,$I$3)&amp;""),FIND(" ",IF($I$3="","",INDEX(인턴계획표[[정규화1]:[정규화6]],$Q534,$I$3)&amp;""))+1,60),""))))</f>
        <v/>
      </c>
      <c r="J534">
        <f>IF($Q534="","",INDEX(인턴계획표[정규화1],$Q534))</f>
        <v/>
      </c>
      <c r="K534">
        <f>IF($Q534="","",INDEX(인턴계획표[정규화2],$Q534))</f>
        <v/>
      </c>
      <c r="L534">
        <f>IF($Q534="","",INDEX(인턴계획표[정규화3],$Q534))</f>
        <v/>
      </c>
      <c r="M534">
        <f>IF($Q534="","",INDEX(인턴계획표[정규화4],$Q534))</f>
        <v/>
      </c>
      <c r="N534">
        <f>IF($Q534="","",INDEX(인턴계획표[정규화5],$Q534))</f>
        <v/>
      </c>
      <c r="O534">
        <f>IF($Q534="","",INDEX(인턴계획표[정규화6],$Q534))</f>
        <v/>
      </c>
      <c r="P534">
        <f>IF($Q534="","",INDEX(인턴계획표[입력오류],$Q534))</f>
        <v/>
      </c>
      <c r="Q534" s="17">
        <f>IFERROR(MATCH(529,인턴계획표[표시순번],0),"")</f>
        <v/>
      </c>
    </row>
    <row r="535">
      <c r="A535">
        <f>IF($Q535="","",INDEX(인턴계획표[순번],$Q535)&amp;"")</f>
        <v/>
      </c>
      <c r="B535">
        <f>IF($Q535="","",TRIM(INDEX(인턴계획표[이름],$Q535)&amp;""))</f>
        <v/>
      </c>
      <c r="C535">
        <f>IF($Q535="","",INDEX(인턴계획표[사번],$Q535)&amp;"")</f>
        <v/>
      </c>
      <c r="D535">
        <f>IF($Q535="","",IF(COUNTIF(기본자료표[사번키],INDEX(인턴계획표[사번키],$Q535))&gt;0,"확인","미등록"))</f>
        <v/>
      </c>
      <c r="E535">
        <f>IF($Q535="","",IF(ISNUMBER(INDEX(인턴계획표[입사일(비고)],$Q535)),TEXT(INDEX(인턴계획표[입사일(비고)],$Q535),"yyyy-mm-dd"),INDEX(인턴계획표[입사일(비고)],$Q535)&amp;""))</f>
        <v/>
      </c>
      <c r="F535">
        <f>IF($Q535="","",IF(IF($G$3="","",INDEX(인턴계획표[[정규화1]:[정규화6]],$Q535,$G$3)&amp;"")="","",IF(LEFT(IF($G$3="","",INDEX(인턴계획표[[정규화1]:[정규화6]],$Q535,$G$3)&amp;""),1)="⚠",IF($G$3="","",INDEX(인턴계획표[[정규화1]:[정규화6]],$Q535,$G$3)&amp;""),IFERROR(LEFT(IF($G$3="","",INDEX(인턴계획표[[정규화1]:[정규화6]],$Q535,$G$3)&amp;""),FIND(" ",IF($G$3="","",INDEX(인턴계획표[[정규화1]:[정규화6]],$Q535,$G$3)&amp;""))-1),IF($G$3="","",INDEX(인턴계획표[[정규화1]:[정규화6]],$Q535,$G$3)&amp;"")))))</f>
        <v/>
      </c>
      <c r="G535">
        <f>IF($Q535="","",IF(IF($G$3="","",INDEX(인턴계획표[[정규화1]:[정규화6]],$Q535,$G$3)&amp;"")="","",IF(LEFT(IF($G$3="","",INDEX(인턴계획표[[정규화1]:[정규화6]],$Q535,$G$3)&amp;""),1)="⚠","",IFERROR(MID(IF($G$3="","",INDEX(인턴계획표[[정규화1]:[정규화6]],$Q535,$G$3)&amp;""),FIND(" ",IF($G$3="","",INDEX(인턴계획표[[정규화1]:[정규화6]],$Q535,$G$3)&amp;""))+1,60),""))))</f>
        <v/>
      </c>
      <c r="H535">
        <f>IF($Q535="","",IF(IF($I$3="","",INDEX(인턴계획표[[정규화1]:[정규화6]],$Q535,$I$3)&amp;"")="","",IF(LEFT(IF($I$3="","",INDEX(인턴계획표[[정규화1]:[정규화6]],$Q535,$I$3)&amp;""),1)="⚠",IF($I$3="","",INDEX(인턴계획표[[정규화1]:[정규화6]],$Q535,$I$3)&amp;""),IFERROR(LEFT(IF($I$3="","",INDEX(인턴계획표[[정규화1]:[정규화6]],$Q535,$I$3)&amp;""),FIND(" ",IF($I$3="","",INDEX(인턴계획표[[정규화1]:[정규화6]],$Q535,$I$3)&amp;""))-1),IF($I$3="","",INDEX(인턴계획표[[정규화1]:[정규화6]],$Q535,$I$3)&amp;"")))))</f>
        <v/>
      </c>
      <c r="I535">
        <f>IF($Q535="","",IF(IF($I$3="","",INDEX(인턴계획표[[정규화1]:[정규화6]],$Q535,$I$3)&amp;"")="","",IF(LEFT(IF($I$3="","",INDEX(인턴계획표[[정규화1]:[정규화6]],$Q535,$I$3)&amp;""),1)="⚠","",IFERROR(MID(IF($I$3="","",INDEX(인턴계획표[[정규화1]:[정규화6]],$Q535,$I$3)&amp;""),FIND(" ",IF($I$3="","",INDEX(인턴계획표[[정규화1]:[정규화6]],$Q535,$I$3)&amp;""))+1,60),""))))</f>
        <v/>
      </c>
      <c r="J535">
        <f>IF($Q535="","",INDEX(인턴계획표[정규화1],$Q535))</f>
        <v/>
      </c>
      <c r="K535">
        <f>IF($Q535="","",INDEX(인턴계획표[정규화2],$Q535))</f>
        <v/>
      </c>
      <c r="L535">
        <f>IF($Q535="","",INDEX(인턴계획표[정규화3],$Q535))</f>
        <v/>
      </c>
      <c r="M535">
        <f>IF($Q535="","",INDEX(인턴계획표[정규화4],$Q535))</f>
        <v/>
      </c>
      <c r="N535">
        <f>IF($Q535="","",INDEX(인턴계획표[정규화5],$Q535))</f>
        <v/>
      </c>
      <c r="O535">
        <f>IF($Q535="","",INDEX(인턴계획표[정규화6],$Q535))</f>
        <v/>
      </c>
      <c r="P535">
        <f>IF($Q535="","",INDEX(인턴계획표[입력오류],$Q535))</f>
        <v/>
      </c>
      <c r="Q535" s="17">
        <f>IFERROR(MATCH(530,인턴계획표[표시순번],0),"")</f>
        <v/>
      </c>
    </row>
    <row r="536">
      <c r="A536">
        <f>IF($Q536="","",INDEX(인턴계획표[순번],$Q536)&amp;"")</f>
        <v/>
      </c>
      <c r="B536">
        <f>IF($Q536="","",TRIM(INDEX(인턴계획표[이름],$Q536)&amp;""))</f>
        <v/>
      </c>
      <c r="C536">
        <f>IF($Q536="","",INDEX(인턴계획표[사번],$Q536)&amp;"")</f>
        <v/>
      </c>
      <c r="D536">
        <f>IF($Q536="","",IF(COUNTIF(기본자료표[사번키],INDEX(인턴계획표[사번키],$Q536))&gt;0,"확인","미등록"))</f>
        <v/>
      </c>
      <c r="E536">
        <f>IF($Q536="","",IF(ISNUMBER(INDEX(인턴계획표[입사일(비고)],$Q536)),TEXT(INDEX(인턴계획표[입사일(비고)],$Q536),"yyyy-mm-dd"),INDEX(인턴계획표[입사일(비고)],$Q536)&amp;""))</f>
        <v/>
      </c>
      <c r="F536">
        <f>IF($Q536="","",IF(IF($G$3="","",INDEX(인턴계획표[[정규화1]:[정규화6]],$Q536,$G$3)&amp;"")="","",IF(LEFT(IF($G$3="","",INDEX(인턴계획표[[정규화1]:[정규화6]],$Q536,$G$3)&amp;""),1)="⚠",IF($G$3="","",INDEX(인턴계획표[[정규화1]:[정규화6]],$Q536,$G$3)&amp;""),IFERROR(LEFT(IF($G$3="","",INDEX(인턴계획표[[정규화1]:[정규화6]],$Q536,$G$3)&amp;""),FIND(" ",IF($G$3="","",INDEX(인턴계획표[[정규화1]:[정규화6]],$Q536,$G$3)&amp;""))-1),IF($G$3="","",INDEX(인턴계획표[[정규화1]:[정규화6]],$Q536,$G$3)&amp;"")))))</f>
        <v/>
      </c>
      <c r="G536">
        <f>IF($Q536="","",IF(IF($G$3="","",INDEX(인턴계획표[[정규화1]:[정규화6]],$Q536,$G$3)&amp;"")="","",IF(LEFT(IF($G$3="","",INDEX(인턴계획표[[정규화1]:[정규화6]],$Q536,$G$3)&amp;""),1)="⚠","",IFERROR(MID(IF($G$3="","",INDEX(인턴계획표[[정규화1]:[정규화6]],$Q536,$G$3)&amp;""),FIND(" ",IF($G$3="","",INDEX(인턴계획표[[정규화1]:[정규화6]],$Q536,$G$3)&amp;""))+1,60),""))))</f>
        <v/>
      </c>
      <c r="H536">
        <f>IF($Q536="","",IF(IF($I$3="","",INDEX(인턴계획표[[정규화1]:[정규화6]],$Q536,$I$3)&amp;"")="","",IF(LEFT(IF($I$3="","",INDEX(인턴계획표[[정규화1]:[정규화6]],$Q536,$I$3)&amp;""),1)="⚠",IF($I$3="","",INDEX(인턴계획표[[정규화1]:[정규화6]],$Q536,$I$3)&amp;""),IFERROR(LEFT(IF($I$3="","",INDEX(인턴계획표[[정규화1]:[정규화6]],$Q536,$I$3)&amp;""),FIND(" ",IF($I$3="","",INDEX(인턴계획표[[정규화1]:[정규화6]],$Q536,$I$3)&amp;""))-1),IF($I$3="","",INDEX(인턴계획표[[정규화1]:[정규화6]],$Q536,$I$3)&amp;"")))))</f>
        <v/>
      </c>
      <c r="I536">
        <f>IF($Q536="","",IF(IF($I$3="","",INDEX(인턴계획표[[정규화1]:[정규화6]],$Q536,$I$3)&amp;"")="","",IF(LEFT(IF($I$3="","",INDEX(인턴계획표[[정규화1]:[정규화6]],$Q536,$I$3)&amp;""),1)="⚠","",IFERROR(MID(IF($I$3="","",INDEX(인턴계획표[[정규화1]:[정규화6]],$Q536,$I$3)&amp;""),FIND(" ",IF($I$3="","",INDEX(인턴계획표[[정규화1]:[정규화6]],$Q536,$I$3)&amp;""))+1,60),""))))</f>
        <v/>
      </c>
      <c r="J536">
        <f>IF($Q536="","",INDEX(인턴계획표[정규화1],$Q536))</f>
        <v/>
      </c>
      <c r="K536">
        <f>IF($Q536="","",INDEX(인턴계획표[정규화2],$Q536))</f>
        <v/>
      </c>
      <c r="L536">
        <f>IF($Q536="","",INDEX(인턴계획표[정규화3],$Q536))</f>
        <v/>
      </c>
      <c r="M536">
        <f>IF($Q536="","",INDEX(인턴계획표[정규화4],$Q536))</f>
        <v/>
      </c>
      <c r="N536">
        <f>IF($Q536="","",INDEX(인턴계획표[정규화5],$Q536))</f>
        <v/>
      </c>
      <c r="O536">
        <f>IF($Q536="","",INDEX(인턴계획표[정규화6],$Q536))</f>
        <v/>
      </c>
      <c r="P536">
        <f>IF($Q536="","",INDEX(인턴계획표[입력오류],$Q536))</f>
        <v/>
      </c>
      <c r="Q536" s="17">
        <f>IFERROR(MATCH(531,인턴계획표[표시순번],0),"")</f>
        <v/>
      </c>
    </row>
    <row r="537">
      <c r="A537">
        <f>IF($Q537="","",INDEX(인턴계획표[순번],$Q537)&amp;"")</f>
        <v/>
      </c>
      <c r="B537">
        <f>IF($Q537="","",TRIM(INDEX(인턴계획표[이름],$Q537)&amp;""))</f>
        <v/>
      </c>
      <c r="C537">
        <f>IF($Q537="","",INDEX(인턴계획표[사번],$Q537)&amp;"")</f>
        <v/>
      </c>
      <c r="D537">
        <f>IF($Q537="","",IF(COUNTIF(기본자료표[사번키],INDEX(인턴계획표[사번키],$Q537))&gt;0,"확인","미등록"))</f>
        <v/>
      </c>
      <c r="E537">
        <f>IF($Q537="","",IF(ISNUMBER(INDEX(인턴계획표[입사일(비고)],$Q537)),TEXT(INDEX(인턴계획표[입사일(비고)],$Q537),"yyyy-mm-dd"),INDEX(인턴계획표[입사일(비고)],$Q537)&amp;""))</f>
        <v/>
      </c>
      <c r="F537">
        <f>IF($Q537="","",IF(IF($G$3="","",INDEX(인턴계획표[[정규화1]:[정규화6]],$Q537,$G$3)&amp;"")="","",IF(LEFT(IF($G$3="","",INDEX(인턴계획표[[정규화1]:[정규화6]],$Q537,$G$3)&amp;""),1)="⚠",IF($G$3="","",INDEX(인턴계획표[[정규화1]:[정규화6]],$Q537,$G$3)&amp;""),IFERROR(LEFT(IF($G$3="","",INDEX(인턴계획표[[정규화1]:[정규화6]],$Q537,$G$3)&amp;""),FIND(" ",IF($G$3="","",INDEX(인턴계획표[[정규화1]:[정규화6]],$Q537,$G$3)&amp;""))-1),IF($G$3="","",INDEX(인턴계획표[[정규화1]:[정규화6]],$Q537,$G$3)&amp;"")))))</f>
        <v/>
      </c>
      <c r="G537">
        <f>IF($Q537="","",IF(IF($G$3="","",INDEX(인턴계획표[[정규화1]:[정규화6]],$Q537,$G$3)&amp;"")="","",IF(LEFT(IF($G$3="","",INDEX(인턴계획표[[정규화1]:[정규화6]],$Q537,$G$3)&amp;""),1)="⚠","",IFERROR(MID(IF($G$3="","",INDEX(인턴계획표[[정규화1]:[정규화6]],$Q537,$G$3)&amp;""),FIND(" ",IF($G$3="","",INDEX(인턴계획표[[정규화1]:[정규화6]],$Q537,$G$3)&amp;""))+1,60),""))))</f>
        <v/>
      </c>
      <c r="H537">
        <f>IF($Q537="","",IF(IF($I$3="","",INDEX(인턴계획표[[정규화1]:[정규화6]],$Q537,$I$3)&amp;"")="","",IF(LEFT(IF($I$3="","",INDEX(인턴계획표[[정규화1]:[정규화6]],$Q537,$I$3)&amp;""),1)="⚠",IF($I$3="","",INDEX(인턴계획표[[정규화1]:[정규화6]],$Q537,$I$3)&amp;""),IFERROR(LEFT(IF($I$3="","",INDEX(인턴계획표[[정규화1]:[정규화6]],$Q537,$I$3)&amp;""),FIND(" ",IF($I$3="","",INDEX(인턴계획표[[정규화1]:[정규화6]],$Q537,$I$3)&amp;""))-1),IF($I$3="","",INDEX(인턴계획표[[정규화1]:[정규화6]],$Q537,$I$3)&amp;"")))))</f>
        <v/>
      </c>
      <c r="I537">
        <f>IF($Q537="","",IF(IF($I$3="","",INDEX(인턴계획표[[정규화1]:[정규화6]],$Q537,$I$3)&amp;"")="","",IF(LEFT(IF($I$3="","",INDEX(인턴계획표[[정규화1]:[정규화6]],$Q537,$I$3)&amp;""),1)="⚠","",IFERROR(MID(IF($I$3="","",INDEX(인턴계획표[[정규화1]:[정규화6]],$Q537,$I$3)&amp;""),FIND(" ",IF($I$3="","",INDEX(인턴계획표[[정규화1]:[정규화6]],$Q537,$I$3)&amp;""))+1,60),""))))</f>
        <v/>
      </c>
      <c r="J537">
        <f>IF($Q537="","",INDEX(인턴계획표[정규화1],$Q537))</f>
        <v/>
      </c>
      <c r="K537">
        <f>IF($Q537="","",INDEX(인턴계획표[정규화2],$Q537))</f>
        <v/>
      </c>
      <c r="L537">
        <f>IF($Q537="","",INDEX(인턴계획표[정규화3],$Q537))</f>
        <v/>
      </c>
      <c r="M537">
        <f>IF($Q537="","",INDEX(인턴계획표[정규화4],$Q537))</f>
        <v/>
      </c>
      <c r="N537">
        <f>IF($Q537="","",INDEX(인턴계획표[정규화5],$Q537))</f>
        <v/>
      </c>
      <c r="O537">
        <f>IF($Q537="","",INDEX(인턴계획표[정규화6],$Q537))</f>
        <v/>
      </c>
      <c r="P537">
        <f>IF($Q537="","",INDEX(인턴계획표[입력오류],$Q537))</f>
        <v/>
      </c>
      <c r="Q537" s="17">
        <f>IFERROR(MATCH(532,인턴계획표[표시순번],0),"")</f>
        <v/>
      </c>
    </row>
    <row r="538">
      <c r="A538">
        <f>IF($Q538="","",INDEX(인턴계획표[순번],$Q538)&amp;"")</f>
        <v/>
      </c>
      <c r="B538">
        <f>IF($Q538="","",TRIM(INDEX(인턴계획표[이름],$Q538)&amp;""))</f>
        <v/>
      </c>
      <c r="C538">
        <f>IF($Q538="","",INDEX(인턴계획표[사번],$Q538)&amp;"")</f>
        <v/>
      </c>
      <c r="D538">
        <f>IF($Q538="","",IF(COUNTIF(기본자료표[사번키],INDEX(인턴계획표[사번키],$Q538))&gt;0,"확인","미등록"))</f>
        <v/>
      </c>
      <c r="E538">
        <f>IF($Q538="","",IF(ISNUMBER(INDEX(인턴계획표[입사일(비고)],$Q538)),TEXT(INDEX(인턴계획표[입사일(비고)],$Q538),"yyyy-mm-dd"),INDEX(인턴계획표[입사일(비고)],$Q538)&amp;""))</f>
        <v/>
      </c>
      <c r="F538">
        <f>IF($Q538="","",IF(IF($G$3="","",INDEX(인턴계획표[[정규화1]:[정규화6]],$Q538,$G$3)&amp;"")="","",IF(LEFT(IF($G$3="","",INDEX(인턴계획표[[정규화1]:[정규화6]],$Q538,$G$3)&amp;""),1)="⚠",IF($G$3="","",INDEX(인턴계획표[[정규화1]:[정규화6]],$Q538,$G$3)&amp;""),IFERROR(LEFT(IF($G$3="","",INDEX(인턴계획표[[정규화1]:[정규화6]],$Q538,$G$3)&amp;""),FIND(" ",IF($G$3="","",INDEX(인턴계획표[[정규화1]:[정규화6]],$Q538,$G$3)&amp;""))-1),IF($G$3="","",INDEX(인턴계획표[[정규화1]:[정규화6]],$Q538,$G$3)&amp;"")))))</f>
        <v/>
      </c>
      <c r="G538">
        <f>IF($Q538="","",IF(IF($G$3="","",INDEX(인턴계획표[[정규화1]:[정규화6]],$Q538,$G$3)&amp;"")="","",IF(LEFT(IF($G$3="","",INDEX(인턴계획표[[정규화1]:[정규화6]],$Q538,$G$3)&amp;""),1)="⚠","",IFERROR(MID(IF($G$3="","",INDEX(인턴계획표[[정규화1]:[정규화6]],$Q538,$G$3)&amp;""),FIND(" ",IF($G$3="","",INDEX(인턴계획표[[정규화1]:[정규화6]],$Q538,$G$3)&amp;""))+1,60),""))))</f>
        <v/>
      </c>
      <c r="H538">
        <f>IF($Q538="","",IF(IF($I$3="","",INDEX(인턴계획표[[정규화1]:[정규화6]],$Q538,$I$3)&amp;"")="","",IF(LEFT(IF($I$3="","",INDEX(인턴계획표[[정규화1]:[정규화6]],$Q538,$I$3)&amp;""),1)="⚠",IF($I$3="","",INDEX(인턴계획표[[정규화1]:[정규화6]],$Q538,$I$3)&amp;""),IFERROR(LEFT(IF($I$3="","",INDEX(인턴계획표[[정규화1]:[정규화6]],$Q538,$I$3)&amp;""),FIND(" ",IF($I$3="","",INDEX(인턴계획표[[정규화1]:[정규화6]],$Q538,$I$3)&amp;""))-1),IF($I$3="","",INDEX(인턴계획표[[정규화1]:[정규화6]],$Q538,$I$3)&amp;"")))))</f>
        <v/>
      </c>
      <c r="I538">
        <f>IF($Q538="","",IF(IF($I$3="","",INDEX(인턴계획표[[정규화1]:[정규화6]],$Q538,$I$3)&amp;"")="","",IF(LEFT(IF($I$3="","",INDEX(인턴계획표[[정규화1]:[정규화6]],$Q538,$I$3)&amp;""),1)="⚠","",IFERROR(MID(IF($I$3="","",INDEX(인턴계획표[[정규화1]:[정규화6]],$Q538,$I$3)&amp;""),FIND(" ",IF($I$3="","",INDEX(인턴계획표[[정규화1]:[정규화6]],$Q538,$I$3)&amp;""))+1,60),""))))</f>
        <v/>
      </c>
      <c r="J538">
        <f>IF($Q538="","",INDEX(인턴계획표[정규화1],$Q538))</f>
        <v/>
      </c>
      <c r="K538">
        <f>IF($Q538="","",INDEX(인턴계획표[정규화2],$Q538))</f>
        <v/>
      </c>
      <c r="L538">
        <f>IF($Q538="","",INDEX(인턴계획표[정규화3],$Q538))</f>
        <v/>
      </c>
      <c r="M538">
        <f>IF($Q538="","",INDEX(인턴계획표[정규화4],$Q538))</f>
        <v/>
      </c>
      <c r="N538">
        <f>IF($Q538="","",INDEX(인턴계획표[정규화5],$Q538))</f>
        <v/>
      </c>
      <c r="O538">
        <f>IF($Q538="","",INDEX(인턴계획표[정규화6],$Q538))</f>
        <v/>
      </c>
      <c r="P538">
        <f>IF($Q538="","",INDEX(인턴계획표[입력오류],$Q538))</f>
        <v/>
      </c>
      <c r="Q538" s="17">
        <f>IFERROR(MATCH(533,인턴계획표[표시순번],0),"")</f>
        <v/>
      </c>
    </row>
    <row r="539">
      <c r="A539">
        <f>IF($Q539="","",INDEX(인턴계획표[순번],$Q539)&amp;"")</f>
        <v/>
      </c>
      <c r="B539">
        <f>IF($Q539="","",TRIM(INDEX(인턴계획표[이름],$Q539)&amp;""))</f>
        <v/>
      </c>
      <c r="C539">
        <f>IF($Q539="","",INDEX(인턴계획표[사번],$Q539)&amp;"")</f>
        <v/>
      </c>
      <c r="D539">
        <f>IF($Q539="","",IF(COUNTIF(기본자료표[사번키],INDEX(인턴계획표[사번키],$Q539))&gt;0,"확인","미등록"))</f>
        <v/>
      </c>
      <c r="E539">
        <f>IF($Q539="","",IF(ISNUMBER(INDEX(인턴계획표[입사일(비고)],$Q539)),TEXT(INDEX(인턴계획표[입사일(비고)],$Q539),"yyyy-mm-dd"),INDEX(인턴계획표[입사일(비고)],$Q539)&amp;""))</f>
        <v/>
      </c>
      <c r="F539">
        <f>IF($Q539="","",IF(IF($G$3="","",INDEX(인턴계획표[[정규화1]:[정규화6]],$Q539,$G$3)&amp;"")="","",IF(LEFT(IF($G$3="","",INDEX(인턴계획표[[정규화1]:[정규화6]],$Q539,$G$3)&amp;""),1)="⚠",IF($G$3="","",INDEX(인턴계획표[[정규화1]:[정규화6]],$Q539,$G$3)&amp;""),IFERROR(LEFT(IF($G$3="","",INDEX(인턴계획표[[정규화1]:[정규화6]],$Q539,$G$3)&amp;""),FIND(" ",IF($G$3="","",INDEX(인턴계획표[[정규화1]:[정규화6]],$Q539,$G$3)&amp;""))-1),IF($G$3="","",INDEX(인턴계획표[[정규화1]:[정규화6]],$Q539,$G$3)&amp;"")))))</f>
        <v/>
      </c>
      <c r="G539">
        <f>IF($Q539="","",IF(IF($G$3="","",INDEX(인턴계획표[[정규화1]:[정규화6]],$Q539,$G$3)&amp;"")="","",IF(LEFT(IF($G$3="","",INDEX(인턴계획표[[정규화1]:[정규화6]],$Q539,$G$3)&amp;""),1)="⚠","",IFERROR(MID(IF($G$3="","",INDEX(인턴계획표[[정규화1]:[정규화6]],$Q539,$G$3)&amp;""),FIND(" ",IF($G$3="","",INDEX(인턴계획표[[정규화1]:[정규화6]],$Q539,$G$3)&amp;""))+1,60),""))))</f>
        <v/>
      </c>
      <c r="H539">
        <f>IF($Q539="","",IF(IF($I$3="","",INDEX(인턴계획표[[정규화1]:[정규화6]],$Q539,$I$3)&amp;"")="","",IF(LEFT(IF($I$3="","",INDEX(인턴계획표[[정규화1]:[정규화6]],$Q539,$I$3)&amp;""),1)="⚠",IF($I$3="","",INDEX(인턴계획표[[정규화1]:[정규화6]],$Q539,$I$3)&amp;""),IFERROR(LEFT(IF($I$3="","",INDEX(인턴계획표[[정규화1]:[정규화6]],$Q539,$I$3)&amp;""),FIND(" ",IF($I$3="","",INDEX(인턴계획표[[정규화1]:[정규화6]],$Q539,$I$3)&amp;""))-1),IF($I$3="","",INDEX(인턴계획표[[정규화1]:[정규화6]],$Q539,$I$3)&amp;"")))))</f>
        <v/>
      </c>
      <c r="I539">
        <f>IF($Q539="","",IF(IF($I$3="","",INDEX(인턴계획표[[정규화1]:[정규화6]],$Q539,$I$3)&amp;"")="","",IF(LEFT(IF($I$3="","",INDEX(인턴계획표[[정규화1]:[정규화6]],$Q539,$I$3)&amp;""),1)="⚠","",IFERROR(MID(IF($I$3="","",INDEX(인턴계획표[[정규화1]:[정규화6]],$Q539,$I$3)&amp;""),FIND(" ",IF($I$3="","",INDEX(인턴계획표[[정규화1]:[정규화6]],$Q539,$I$3)&amp;""))+1,60),""))))</f>
        <v/>
      </c>
      <c r="J539">
        <f>IF($Q539="","",INDEX(인턴계획표[정규화1],$Q539))</f>
        <v/>
      </c>
      <c r="K539">
        <f>IF($Q539="","",INDEX(인턴계획표[정규화2],$Q539))</f>
        <v/>
      </c>
      <c r="L539">
        <f>IF($Q539="","",INDEX(인턴계획표[정규화3],$Q539))</f>
        <v/>
      </c>
      <c r="M539">
        <f>IF($Q539="","",INDEX(인턴계획표[정규화4],$Q539))</f>
        <v/>
      </c>
      <c r="N539">
        <f>IF($Q539="","",INDEX(인턴계획표[정규화5],$Q539))</f>
        <v/>
      </c>
      <c r="O539">
        <f>IF($Q539="","",INDEX(인턴계획표[정규화6],$Q539))</f>
        <v/>
      </c>
      <c r="P539">
        <f>IF($Q539="","",INDEX(인턴계획표[입력오류],$Q539))</f>
        <v/>
      </c>
      <c r="Q539" s="17">
        <f>IFERROR(MATCH(534,인턴계획표[표시순번],0),"")</f>
        <v/>
      </c>
    </row>
    <row r="540">
      <c r="A540">
        <f>IF($Q540="","",INDEX(인턴계획표[순번],$Q540)&amp;"")</f>
        <v/>
      </c>
      <c r="B540">
        <f>IF($Q540="","",TRIM(INDEX(인턴계획표[이름],$Q540)&amp;""))</f>
        <v/>
      </c>
      <c r="C540">
        <f>IF($Q540="","",INDEX(인턴계획표[사번],$Q540)&amp;"")</f>
        <v/>
      </c>
      <c r="D540">
        <f>IF($Q540="","",IF(COUNTIF(기본자료표[사번키],INDEX(인턴계획표[사번키],$Q540))&gt;0,"확인","미등록"))</f>
        <v/>
      </c>
      <c r="E540">
        <f>IF($Q540="","",IF(ISNUMBER(INDEX(인턴계획표[입사일(비고)],$Q540)),TEXT(INDEX(인턴계획표[입사일(비고)],$Q540),"yyyy-mm-dd"),INDEX(인턴계획표[입사일(비고)],$Q540)&amp;""))</f>
        <v/>
      </c>
      <c r="F540">
        <f>IF($Q540="","",IF(IF($G$3="","",INDEX(인턴계획표[[정규화1]:[정규화6]],$Q540,$G$3)&amp;"")="","",IF(LEFT(IF($G$3="","",INDEX(인턴계획표[[정규화1]:[정규화6]],$Q540,$G$3)&amp;""),1)="⚠",IF($G$3="","",INDEX(인턴계획표[[정규화1]:[정규화6]],$Q540,$G$3)&amp;""),IFERROR(LEFT(IF($G$3="","",INDEX(인턴계획표[[정규화1]:[정규화6]],$Q540,$G$3)&amp;""),FIND(" ",IF($G$3="","",INDEX(인턴계획표[[정규화1]:[정규화6]],$Q540,$G$3)&amp;""))-1),IF($G$3="","",INDEX(인턴계획표[[정규화1]:[정규화6]],$Q540,$G$3)&amp;"")))))</f>
        <v/>
      </c>
      <c r="G540">
        <f>IF($Q540="","",IF(IF($G$3="","",INDEX(인턴계획표[[정규화1]:[정규화6]],$Q540,$G$3)&amp;"")="","",IF(LEFT(IF($G$3="","",INDEX(인턴계획표[[정규화1]:[정규화6]],$Q540,$G$3)&amp;""),1)="⚠","",IFERROR(MID(IF($G$3="","",INDEX(인턴계획표[[정규화1]:[정규화6]],$Q540,$G$3)&amp;""),FIND(" ",IF($G$3="","",INDEX(인턴계획표[[정규화1]:[정규화6]],$Q540,$G$3)&amp;""))+1,60),""))))</f>
        <v/>
      </c>
      <c r="H540">
        <f>IF($Q540="","",IF(IF($I$3="","",INDEX(인턴계획표[[정규화1]:[정규화6]],$Q540,$I$3)&amp;"")="","",IF(LEFT(IF($I$3="","",INDEX(인턴계획표[[정규화1]:[정규화6]],$Q540,$I$3)&amp;""),1)="⚠",IF($I$3="","",INDEX(인턴계획표[[정규화1]:[정규화6]],$Q540,$I$3)&amp;""),IFERROR(LEFT(IF($I$3="","",INDEX(인턴계획표[[정규화1]:[정규화6]],$Q540,$I$3)&amp;""),FIND(" ",IF($I$3="","",INDEX(인턴계획표[[정규화1]:[정규화6]],$Q540,$I$3)&amp;""))-1),IF($I$3="","",INDEX(인턴계획표[[정규화1]:[정규화6]],$Q540,$I$3)&amp;"")))))</f>
        <v/>
      </c>
      <c r="I540">
        <f>IF($Q540="","",IF(IF($I$3="","",INDEX(인턴계획표[[정규화1]:[정규화6]],$Q540,$I$3)&amp;"")="","",IF(LEFT(IF($I$3="","",INDEX(인턴계획표[[정규화1]:[정규화6]],$Q540,$I$3)&amp;""),1)="⚠","",IFERROR(MID(IF($I$3="","",INDEX(인턴계획표[[정규화1]:[정규화6]],$Q540,$I$3)&amp;""),FIND(" ",IF($I$3="","",INDEX(인턴계획표[[정규화1]:[정규화6]],$Q540,$I$3)&amp;""))+1,60),""))))</f>
        <v/>
      </c>
      <c r="J540">
        <f>IF($Q540="","",INDEX(인턴계획표[정규화1],$Q540))</f>
        <v/>
      </c>
      <c r="K540">
        <f>IF($Q540="","",INDEX(인턴계획표[정규화2],$Q540))</f>
        <v/>
      </c>
      <c r="L540">
        <f>IF($Q540="","",INDEX(인턴계획표[정규화3],$Q540))</f>
        <v/>
      </c>
      <c r="M540">
        <f>IF($Q540="","",INDEX(인턴계획표[정규화4],$Q540))</f>
        <v/>
      </c>
      <c r="N540">
        <f>IF($Q540="","",INDEX(인턴계획표[정규화5],$Q540))</f>
        <v/>
      </c>
      <c r="O540">
        <f>IF($Q540="","",INDEX(인턴계획표[정규화6],$Q540))</f>
        <v/>
      </c>
      <c r="P540">
        <f>IF($Q540="","",INDEX(인턴계획표[입력오류],$Q540))</f>
        <v/>
      </c>
      <c r="Q540" s="17">
        <f>IFERROR(MATCH(535,인턴계획표[표시순번],0),"")</f>
        <v/>
      </c>
    </row>
    <row r="541">
      <c r="A541">
        <f>IF($Q541="","",INDEX(인턴계획표[순번],$Q541)&amp;"")</f>
        <v/>
      </c>
      <c r="B541">
        <f>IF($Q541="","",TRIM(INDEX(인턴계획표[이름],$Q541)&amp;""))</f>
        <v/>
      </c>
      <c r="C541">
        <f>IF($Q541="","",INDEX(인턴계획표[사번],$Q541)&amp;"")</f>
        <v/>
      </c>
      <c r="D541">
        <f>IF($Q541="","",IF(COUNTIF(기본자료표[사번키],INDEX(인턴계획표[사번키],$Q541))&gt;0,"확인","미등록"))</f>
        <v/>
      </c>
      <c r="E541">
        <f>IF($Q541="","",IF(ISNUMBER(INDEX(인턴계획표[입사일(비고)],$Q541)),TEXT(INDEX(인턴계획표[입사일(비고)],$Q541),"yyyy-mm-dd"),INDEX(인턴계획표[입사일(비고)],$Q541)&amp;""))</f>
        <v/>
      </c>
      <c r="F541">
        <f>IF($Q541="","",IF(IF($G$3="","",INDEX(인턴계획표[[정규화1]:[정규화6]],$Q541,$G$3)&amp;"")="","",IF(LEFT(IF($G$3="","",INDEX(인턴계획표[[정규화1]:[정규화6]],$Q541,$G$3)&amp;""),1)="⚠",IF($G$3="","",INDEX(인턴계획표[[정규화1]:[정규화6]],$Q541,$G$3)&amp;""),IFERROR(LEFT(IF($G$3="","",INDEX(인턴계획표[[정규화1]:[정규화6]],$Q541,$G$3)&amp;""),FIND(" ",IF($G$3="","",INDEX(인턴계획표[[정규화1]:[정규화6]],$Q541,$G$3)&amp;""))-1),IF($G$3="","",INDEX(인턴계획표[[정규화1]:[정규화6]],$Q541,$G$3)&amp;"")))))</f>
        <v/>
      </c>
      <c r="G541">
        <f>IF($Q541="","",IF(IF($G$3="","",INDEX(인턴계획표[[정규화1]:[정규화6]],$Q541,$G$3)&amp;"")="","",IF(LEFT(IF($G$3="","",INDEX(인턴계획표[[정규화1]:[정규화6]],$Q541,$G$3)&amp;""),1)="⚠","",IFERROR(MID(IF($G$3="","",INDEX(인턴계획표[[정규화1]:[정규화6]],$Q541,$G$3)&amp;""),FIND(" ",IF($G$3="","",INDEX(인턴계획표[[정규화1]:[정규화6]],$Q541,$G$3)&amp;""))+1,60),""))))</f>
        <v/>
      </c>
      <c r="H541">
        <f>IF($Q541="","",IF(IF($I$3="","",INDEX(인턴계획표[[정규화1]:[정규화6]],$Q541,$I$3)&amp;"")="","",IF(LEFT(IF($I$3="","",INDEX(인턴계획표[[정규화1]:[정규화6]],$Q541,$I$3)&amp;""),1)="⚠",IF($I$3="","",INDEX(인턴계획표[[정규화1]:[정규화6]],$Q541,$I$3)&amp;""),IFERROR(LEFT(IF($I$3="","",INDEX(인턴계획표[[정규화1]:[정규화6]],$Q541,$I$3)&amp;""),FIND(" ",IF($I$3="","",INDEX(인턴계획표[[정규화1]:[정규화6]],$Q541,$I$3)&amp;""))-1),IF($I$3="","",INDEX(인턴계획표[[정규화1]:[정규화6]],$Q541,$I$3)&amp;"")))))</f>
        <v/>
      </c>
      <c r="I541">
        <f>IF($Q541="","",IF(IF($I$3="","",INDEX(인턴계획표[[정규화1]:[정규화6]],$Q541,$I$3)&amp;"")="","",IF(LEFT(IF($I$3="","",INDEX(인턴계획표[[정규화1]:[정규화6]],$Q541,$I$3)&amp;""),1)="⚠","",IFERROR(MID(IF($I$3="","",INDEX(인턴계획표[[정규화1]:[정규화6]],$Q541,$I$3)&amp;""),FIND(" ",IF($I$3="","",INDEX(인턴계획표[[정규화1]:[정규화6]],$Q541,$I$3)&amp;""))+1,60),""))))</f>
        <v/>
      </c>
      <c r="J541">
        <f>IF($Q541="","",INDEX(인턴계획표[정규화1],$Q541))</f>
        <v/>
      </c>
      <c r="K541">
        <f>IF($Q541="","",INDEX(인턴계획표[정규화2],$Q541))</f>
        <v/>
      </c>
      <c r="L541">
        <f>IF($Q541="","",INDEX(인턴계획표[정규화3],$Q541))</f>
        <v/>
      </c>
      <c r="M541">
        <f>IF($Q541="","",INDEX(인턴계획표[정규화4],$Q541))</f>
        <v/>
      </c>
      <c r="N541">
        <f>IF($Q541="","",INDEX(인턴계획표[정규화5],$Q541))</f>
        <v/>
      </c>
      <c r="O541">
        <f>IF($Q541="","",INDEX(인턴계획표[정규화6],$Q541))</f>
        <v/>
      </c>
      <c r="P541">
        <f>IF($Q541="","",INDEX(인턴계획표[입력오류],$Q541))</f>
        <v/>
      </c>
      <c r="Q541" s="17">
        <f>IFERROR(MATCH(536,인턴계획표[표시순번],0),"")</f>
        <v/>
      </c>
    </row>
    <row r="542">
      <c r="A542">
        <f>IF($Q542="","",INDEX(인턴계획표[순번],$Q542)&amp;"")</f>
        <v/>
      </c>
      <c r="B542">
        <f>IF($Q542="","",TRIM(INDEX(인턴계획표[이름],$Q542)&amp;""))</f>
        <v/>
      </c>
      <c r="C542">
        <f>IF($Q542="","",INDEX(인턴계획표[사번],$Q542)&amp;"")</f>
        <v/>
      </c>
      <c r="D542">
        <f>IF($Q542="","",IF(COUNTIF(기본자료표[사번키],INDEX(인턴계획표[사번키],$Q542))&gt;0,"확인","미등록"))</f>
        <v/>
      </c>
      <c r="E542">
        <f>IF($Q542="","",IF(ISNUMBER(INDEX(인턴계획표[입사일(비고)],$Q542)),TEXT(INDEX(인턴계획표[입사일(비고)],$Q542),"yyyy-mm-dd"),INDEX(인턴계획표[입사일(비고)],$Q542)&amp;""))</f>
        <v/>
      </c>
      <c r="F542">
        <f>IF($Q542="","",IF(IF($G$3="","",INDEX(인턴계획표[[정규화1]:[정규화6]],$Q542,$G$3)&amp;"")="","",IF(LEFT(IF($G$3="","",INDEX(인턴계획표[[정규화1]:[정규화6]],$Q542,$G$3)&amp;""),1)="⚠",IF($G$3="","",INDEX(인턴계획표[[정규화1]:[정규화6]],$Q542,$G$3)&amp;""),IFERROR(LEFT(IF($G$3="","",INDEX(인턴계획표[[정규화1]:[정규화6]],$Q542,$G$3)&amp;""),FIND(" ",IF($G$3="","",INDEX(인턴계획표[[정규화1]:[정규화6]],$Q542,$G$3)&amp;""))-1),IF($G$3="","",INDEX(인턴계획표[[정규화1]:[정규화6]],$Q542,$G$3)&amp;"")))))</f>
        <v/>
      </c>
      <c r="G542">
        <f>IF($Q542="","",IF(IF($G$3="","",INDEX(인턴계획표[[정규화1]:[정규화6]],$Q542,$G$3)&amp;"")="","",IF(LEFT(IF($G$3="","",INDEX(인턴계획표[[정규화1]:[정규화6]],$Q542,$G$3)&amp;""),1)="⚠","",IFERROR(MID(IF($G$3="","",INDEX(인턴계획표[[정규화1]:[정규화6]],$Q542,$G$3)&amp;""),FIND(" ",IF($G$3="","",INDEX(인턴계획표[[정규화1]:[정규화6]],$Q542,$G$3)&amp;""))+1,60),""))))</f>
        <v/>
      </c>
      <c r="H542">
        <f>IF($Q542="","",IF(IF($I$3="","",INDEX(인턴계획표[[정규화1]:[정규화6]],$Q542,$I$3)&amp;"")="","",IF(LEFT(IF($I$3="","",INDEX(인턴계획표[[정규화1]:[정규화6]],$Q542,$I$3)&amp;""),1)="⚠",IF($I$3="","",INDEX(인턴계획표[[정규화1]:[정규화6]],$Q542,$I$3)&amp;""),IFERROR(LEFT(IF($I$3="","",INDEX(인턴계획표[[정규화1]:[정규화6]],$Q542,$I$3)&amp;""),FIND(" ",IF($I$3="","",INDEX(인턴계획표[[정규화1]:[정규화6]],$Q542,$I$3)&amp;""))-1),IF($I$3="","",INDEX(인턴계획표[[정규화1]:[정규화6]],$Q542,$I$3)&amp;"")))))</f>
        <v/>
      </c>
      <c r="I542">
        <f>IF($Q542="","",IF(IF($I$3="","",INDEX(인턴계획표[[정규화1]:[정규화6]],$Q542,$I$3)&amp;"")="","",IF(LEFT(IF($I$3="","",INDEX(인턴계획표[[정규화1]:[정규화6]],$Q542,$I$3)&amp;""),1)="⚠","",IFERROR(MID(IF($I$3="","",INDEX(인턴계획표[[정규화1]:[정규화6]],$Q542,$I$3)&amp;""),FIND(" ",IF($I$3="","",INDEX(인턴계획표[[정규화1]:[정규화6]],$Q542,$I$3)&amp;""))+1,60),""))))</f>
        <v/>
      </c>
      <c r="J542">
        <f>IF($Q542="","",INDEX(인턴계획표[정규화1],$Q542))</f>
        <v/>
      </c>
      <c r="K542">
        <f>IF($Q542="","",INDEX(인턴계획표[정규화2],$Q542))</f>
        <v/>
      </c>
      <c r="L542">
        <f>IF($Q542="","",INDEX(인턴계획표[정규화3],$Q542))</f>
        <v/>
      </c>
      <c r="M542">
        <f>IF($Q542="","",INDEX(인턴계획표[정규화4],$Q542))</f>
        <v/>
      </c>
      <c r="N542">
        <f>IF($Q542="","",INDEX(인턴계획표[정규화5],$Q542))</f>
        <v/>
      </c>
      <c r="O542">
        <f>IF($Q542="","",INDEX(인턴계획표[정규화6],$Q542))</f>
        <v/>
      </c>
      <c r="P542">
        <f>IF($Q542="","",INDEX(인턴계획표[입력오류],$Q542))</f>
        <v/>
      </c>
      <c r="Q542" s="17">
        <f>IFERROR(MATCH(537,인턴계획표[표시순번],0),"")</f>
        <v/>
      </c>
    </row>
    <row r="543">
      <c r="A543">
        <f>IF($Q543="","",INDEX(인턴계획표[순번],$Q543)&amp;"")</f>
        <v/>
      </c>
      <c r="B543">
        <f>IF($Q543="","",TRIM(INDEX(인턴계획표[이름],$Q543)&amp;""))</f>
        <v/>
      </c>
      <c r="C543">
        <f>IF($Q543="","",INDEX(인턴계획표[사번],$Q543)&amp;"")</f>
        <v/>
      </c>
      <c r="D543">
        <f>IF($Q543="","",IF(COUNTIF(기본자료표[사번키],INDEX(인턴계획표[사번키],$Q543))&gt;0,"확인","미등록"))</f>
        <v/>
      </c>
      <c r="E543">
        <f>IF($Q543="","",IF(ISNUMBER(INDEX(인턴계획표[입사일(비고)],$Q543)),TEXT(INDEX(인턴계획표[입사일(비고)],$Q543),"yyyy-mm-dd"),INDEX(인턴계획표[입사일(비고)],$Q543)&amp;""))</f>
        <v/>
      </c>
      <c r="F543">
        <f>IF($Q543="","",IF(IF($G$3="","",INDEX(인턴계획표[[정규화1]:[정규화6]],$Q543,$G$3)&amp;"")="","",IF(LEFT(IF($G$3="","",INDEX(인턴계획표[[정규화1]:[정규화6]],$Q543,$G$3)&amp;""),1)="⚠",IF($G$3="","",INDEX(인턴계획표[[정규화1]:[정규화6]],$Q543,$G$3)&amp;""),IFERROR(LEFT(IF($G$3="","",INDEX(인턴계획표[[정규화1]:[정규화6]],$Q543,$G$3)&amp;""),FIND(" ",IF($G$3="","",INDEX(인턴계획표[[정규화1]:[정규화6]],$Q543,$G$3)&amp;""))-1),IF($G$3="","",INDEX(인턴계획표[[정규화1]:[정규화6]],$Q543,$G$3)&amp;"")))))</f>
        <v/>
      </c>
      <c r="G543">
        <f>IF($Q543="","",IF(IF($G$3="","",INDEX(인턴계획표[[정규화1]:[정규화6]],$Q543,$G$3)&amp;"")="","",IF(LEFT(IF($G$3="","",INDEX(인턴계획표[[정규화1]:[정규화6]],$Q543,$G$3)&amp;""),1)="⚠","",IFERROR(MID(IF($G$3="","",INDEX(인턴계획표[[정규화1]:[정규화6]],$Q543,$G$3)&amp;""),FIND(" ",IF($G$3="","",INDEX(인턴계획표[[정규화1]:[정규화6]],$Q543,$G$3)&amp;""))+1,60),""))))</f>
        <v/>
      </c>
      <c r="H543">
        <f>IF($Q543="","",IF(IF($I$3="","",INDEX(인턴계획표[[정규화1]:[정규화6]],$Q543,$I$3)&amp;"")="","",IF(LEFT(IF($I$3="","",INDEX(인턴계획표[[정규화1]:[정규화6]],$Q543,$I$3)&amp;""),1)="⚠",IF($I$3="","",INDEX(인턴계획표[[정규화1]:[정규화6]],$Q543,$I$3)&amp;""),IFERROR(LEFT(IF($I$3="","",INDEX(인턴계획표[[정규화1]:[정규화6]],$Q543,$I$3)&amp;""),FIND(" ",IF($I$3="","",INDEX(인턴계획표[[정규화1]:[정규화6]],$Q543,$I$3)&amp;""))-1),IF($I$3="","",INDEX(인턴계획표[[정규화1]:[정규화6]],$Q543,$I$3)&amp;"")))))</f>
        <v/>
      </c>
      <c r="I543">
        <f>IF($Q543="","",IF(IF($I$3="","",INDEX(인턴계획표[[정규화1]:[정규화6]],$Q543,$I$3)&amp;"")="","",IF(LEFT(IF($I$3="","",INDEX(인턴계획표[[정규화1]:[정규화6]],$Q543,$I$3)&amp;""),1)="⚠","",IFERROR(MID(IF($I$3="","",INDEX(인턴계획표[[정규화1]:[정규화6]],$Q543,$I$3)&amp;""),FIND(" ",IF($I$3="","",INDEX(인턴계획표[[정규화1]:[정규화6]],$Q543,$I$3)&amp;""))+1,60),""))))</f>
        <v/>
      </c>
      <c r="J543">
        <f>IF($Q543="","",INDEX(인턴계획표[정규화1],$Q543))</f>
        <v/>
      </c>
      <c r="K543">
        <f>IF($Q543="","",INDEX(인턴계획표[정규화2],$Q543))</f>
        <v/>
      </c>
      <c r="L543">
        <f>IF($Q543="","",INDEX(인턴계획표[정규화3],$Q543))</f>
        <v/>
      </c>
      <c r="M543">
        <f>IF($Q543="","",INDEX(인턴계획표[정규화4],$Q543))</f>
        <v/>
      </c>
      <c r="N543">
        <f>IF($Q543="","",INDEX(인턴계획표[정규화5],$Q543))</f>
        <v/>
      </c>
      <c r="O543">
        <f>IF($Q543="","",INDEX(인턴계획표[정규화6],$Q543))</f>
        <v/>
      </c>
      <c r="P543">
        <f>IF($Q543="","",INDEX(인턴계획표[입력오류],$Q543))</f>
        <v/>
      </c>
      <c r="Q543" s="17">
        <f>IFERROR(MATCH(538,인턴계획표[표시순번],0),"")</f>
        <v/>
      </c>
    </row>
    <row r="544">
      <c r="A544">
        <f>IF($Q544="","",INDEX(인턴계획표[순번],$Q544)&amp;"")</f>
        <v/>
      </c>
      <c r="B544">
        <f>IF($Q544="","",TRIM(INDEX(인턴계획표[이름],$Q544)&amp;""))</f>
        <v/>
      </c>
      <c r="C544">
        <f>IF($Q544="","",INDEX(인턴계획표[사번],$Q544)&amp;"")</f>
        <v/>
      </c>
      <c r="D544">
        <f>IF($Q544="","",IF(COUNTIF(기본자료표[사번키],INDEX(인턴계획표[사번키],$Q544))&gt;0,"확인","미등록"))</f>
        <v/>
      </c>
      <c r="E544">
        <f>IF($Q544="","",IF(ISNUMBER(INDEX(인턴계획표[입사일(비고)],$Q544)),TEXT(INDEX(인턴계획표[입사일(비고)],$Q544),"yyyy-mm-dd"),INDEX(인턴계획표[입사일(비고)],$Q544)&amp;""))</f>
        <v/>
      </c>
      <c r="F544">
        <f>IF($Q544="","",IF(IF($G$3="","",INDEX(인턴계획표[[정규화1]:[정규화6]],$Q544,$G$3)&amp;"")="","",IF(LEFT(IF($G$3="","",INDEX(인턴계획표[[정규화1]:[정규화6]],$Q544,$G$3)&amp;""),1)="⚠",IF($G$3="","",INDEX(인턴계획표[[정규화1]:[정규화6]],$Q544,$G$3)&amp;""),IFERROR(LEFT(IF($G$3="","",INDEX(인턴계획표[[정규화1]:[정규화6]],$Q544,$G$3)&amp;""),FIND(" ",IF($G$3="","",INDEX(인턴계획표[[정규화1]:[정규화6]],$Q544,$G$3)&amp;""))-1),IF($G$3="","",INDEX(인턴계획표[[정규화1]:[정규화6]],$Q544,$G$3)&amp;"")))))</f>
        <v/>
      </c>
      <c r="G544">
        <f>IF($Q544="","",IF(IF($G$3="","",INDEX(인턴계획표[[정규화1]:[정규화6]],$Q544,$G$3)&amp;"")="","",IF(LEFT(IF($G$3="","",INDEX(인턴계획표[[정규화1]:[정규화6]],$Q544,$G$3)&amp;""),1)="⚠","",IFERROR(MID(IF($G$3="","",INDEX(인턴계획표[[정규화1]:[정규화6]],$Q544,$G$3)&amp;""),FIND(" ",IF($G$3="","",INDEX(인턴계획표[[정규화1]:[정규화6]],$Q544,$G$3)&amp;""))+1,60),""))))</f>
        <v/>
      </c>
      <c r="H544">
        <f>IF($Q544="","",IF(IF($I$3="","",INDEX(인턴계획표[[정규화1]:[정규화6]],$Q544,$I$3)&amp;"")="","",IF(LEFT(IF($I$3="","",INDEX(인턴계획표[[정규화1]:[정규화6]],$Q544,$I$3)&amp;""),1)="⚠",IF($I$3="","",INDEX(인턴계획표[[정규화1]:[정규화6]],$Q544,$I$3)&amp;""),IFERROR(LEFT(IF($I$3="","",INDEX(인턴계획표[[정규화1]:[정규화6]],$Q544,$I$3)&amp;""),FIND(" ",IF($I$3="","",INDEX(인턴계획표[[정규화1]:[정규화6]],$Q544,$I$3)&amp;""))-1),IF($I$3="","",INDEX(인턴계획표[[정규화1]:[정규화6]],$Q544,$I$3)&amp;"")))))</f>
        <v/>
      </c>
      <c r="I544">
        <f>IF($Q544="","",IF(IF($I$3="","",INDEX(인턴계획표[[정규화1]:[정규화6]],$Q544,$I$3)&amp;"")="","",IF(LEFT(IF($I$3="","",INDEX(인턴계획표[[정규화1]:[정규화6]],$Q544,$I$3)&amp;""),1)="⚠","",IFERROR(MID(IF($I$3="","",INDEX(인턴계획표[[정규화1]:[정규화6]],$Q544,$I$3)&amp;""),FIND(" ",IF($I$3="","",INDEX(인턴계획표[[정규화1]:[정규화6]],$Q544,$I$3)&amp;""))+1,60),""))))</f>
        <v/>
      </c>
      <c r="J544">
        <f>IF($Q544="","",INDEX(인턴계획표[정규화1],$Q544))</f>
        <v/>
      </c>
      <c r="K544">
        <f>IF($Q544="","",INDEX(인턴계획표[정규화2],$Q544))</f>
        <v/>
      </c>
      <c r="L544">
        <f>IF($Q544="","",INDEX(인턴계획표[정규화3],$Q544))</f>
        <v/>
      </c>
      <c r="M544">
        <f>IF($Q544="","",INDEX(인턴계획표[정규화4],$Q544))</f>
        <v/>
      </c>
      <c r="N544">
        <f>IF($Q544="","",INDEX(인턴계획표[정규화5],$Q544))</f>
        <v/>
      </c>
      <c r="O544">
        <f>IF($Q544="","",INDEX(인턴계획표[정규화6],$Q544))</f>
        <v/>
      </c>
      <c r="P544">
        <f>IF($Q544="","",INDEX(인턴계획표[입력오류],$Q544))</f>
        <v/>
      </c>
      <c r="Q544" s="17">
        <f>IFERROR(MATCH(539,인턴계획표[표시순번],0),"")</f>
        <v/>
      </c>
    </row>
    <row r="545">
      <c r="A545">
        <f>IF($Q545="","",INDEX(인턴계획표[순번],$Q545)&amp;"")</f>
        <v/>
      </c>
      <c r="B545">
        <f>IF($Q545="","",TRIM(INDEX(인턴계획표[이름],$Q545)&amp;""))</f>
        <v/>
      </c>
      <c r="C545">
        <f>IF($Q545="","",INDEX(인턴계획표[사번],$Q545)&amp;"")</f>
        <v/>
      </c>
      <c r="D545">
        <f>IF($Q545="","",IF(COUNTIF(기본자료표[사번키],INDEX(인턴계획표[사번키],$Q545))&gt;0,"확인","미등록"))</f>
        <v/>
      </c>
      <c r="E545">
        <f>IF($Q545="","",IF(ISNUMBER(INDEX(인턴계획표[입사일(비고)],$Q545)),TEXT(INDEX(인턴계획표[입사일(비고)],$Q545),"yyyy-mm-dd"),INDEX(인턴계획표[입사일(비고)],$Q545)&amp;""))</f>
        <v/>
      </c>
      <c r="F545">
        <f>IF($Q545="","",IF(IF($G$3="","",INDEX(인턴계획표[[정규화1]:[정규화6]],$Q545,$G$3)&amp;"")="","",IF(LEFT(IF($G$3="","",INDEX(인턴계획표[[정규화1]:[정규화6]],$Q545,$G$3)&amp;""),1)="⚠",IF($G$3="","",INDEX(인턴계획표[[정규화1]:[정규화6]],$Q545,$G$3)&amp;""),IFERROR(LEFT(IF($G$3="","",INDEX(인턴계획표[[정규화1]:[정규화6]],$Q545,$G$3)&amp;""),FIND(" ",IF($G$3="","",INDEX(인턴계획표[[정규화1]:[정규화6]],$Q545,$G$3)&amp;""))-1),IF($G$3="","",INDEX(인턴계획표[[정규화1]:[정규화6]],$Q545,$G$3)&amp;"")))))</f>
        <v/>
      </c>
      <c r="G545">
        <f>IF($Q545="","",IF(IF($G$3="","",INDEX(인턴계획표[[정규화1]:[정규화6]],$Q545,$G$3)&amp;"")="","",IF(LEFT(IF($G$3="","",INDEX(인턴계획표[[정규화1]:[정규화6]],$Q545,$G$3)&amp;""),1)="⚠","",IFERROR(MID(IF($G$3="","",INDEX(인턴계획표[[정규화1]:[정규화6]],$Q545,$G$3)&amp;""),FIND(" ",IF($G$3="","",INDEX(인턴계획표[[정규화1]:[정규화6]],$Q545,$G$3)&amp;""))+1,60),""))))</f>
        <v/>
      </c>
      <c r="H545">
        <f>IF($Q545="","",IF(IF($I$3="","",INDEX(인턴계획표[[정규화1]:[정규화6]],$Q545,$I$3)&amp;"")="","",IF(LEFT(IF($I$3="","",INDEX(인턴계획표[[정규화1]:[정규화6]],$Q545,$I$3)&amp;""),1)="⚠",IF($I$3="","",INDEX(인턴계획표[[정규화1]:[정규화6]],$Q545,$I$3)&amp;""),IFERROR(LEFT(IF($I$3="","",INDEX(인턴계획표[[정규화1]:[정규화6]],$Q545,$I$3)&amp;""),FIND(" ",IF($I$3="","",INDEX(인턴계획표[[정규화1]:[정규화6]],$Q545,$I$3)&amp;""))-1),IF($I$3="","",INDEX(인턴계획표[[정규화1]:[정규화6]],$Q545,$I$3)&amp;"")))))</f>
        <v/>
      </c>
      <c r="I545">
        <f>IF($Q545="","",IF(IF($I$3="","",INDEX(인턴계획표[[정규화1]:[정규화6]],$Q545,$I$3)&amp;"")="","",IF(LEFT(IF($I$3="","",INDEX(인턴계획표[[정규화1]:[정규화6]],$Q545,$I$3)&amp;""),1)="⚠","",IFERROR(MID(IF($I$3="","",INDEX(인턴계획표[[정규화1]:[정규화6]],$Q545,$I$3)&amp;""),FIND(" ",IF($I$3="","",INDEX(인턴계획표[[정규화1]:[정규화6]],$Q545,$I$3)&amp;""))+1,60),""))))</f>
        <v/>
      </c>
      <c r="J545">
        <f>IF($Q545="","",INDEX(인턴계획표[정규화1],$Q545))</f>
        <v/>
      </c>
      <c r="K545">
        <f>IF($Q545="","",INDEX(인턴계획표[정규화2],$Q545))</f>
        <v/>
      </c>
      <c r="L545">
        <f>IF($Q545="","",INDEX(인턴계획표[정규화3],$Q545))</f>
        <v/>
      </c>
      <c r="M545">
        <f>IF($Q545="","",INDEX(인턴계획표[정규화4],$Q545))</f>
        <v/>
      </c>
      <c r="N545">
        <f>IF($Q545="","",INDEX(인턴계획표[정규화5],$Q545))</f>
        <v/>
      </c>
      <c r="O545">
        <f>IF($Q545="","",INDEX(인턴계획표[정규화6],$Q545))</f>
        <v/>
      </c>
      <c r="P545">
        <f>IF($Q545="","",INDEX(인턴계획표[입력오류],$Q545))</f>
        <v/>
      </c>
      <c r="Q545" s="17">
        <f>IFERROR(MATCH(540,인턴계획표[표시순번],0),"")</f>
        <v/>
      </c>
    </row>
    <row r="546">
      <c r="A546">
        <f>IF($Q546="","",INDEX(인턴계획표[순번],$Q546)&amp;"")</f>
        <v/>
      </c>
      <c r="B546">
        <f>IF($Q546="","",TRIM(INDEX(인턴계획표[이름],$Q546)&amp;""))</f>
        <v/>
      </c>
      <c r="C546">
        <f>IF($Q546="","",INDEX(인턴계획표[사번],$Q546)&amp;"")</f>
        <v/>
      </c>
      <c r="D546">
        <f>IF($Q546="","",IF(COUNTIF(기본자료표[사번키],INDEX(인턴계획표[사번키],$Q546))&gt;0,"확인","미등록"))</f>
        <v/>
      </c>
      <c r="E546">
        <f>IF($Q546="","",IF(ISNUMBER(INDEX(인턴계획표[입사일(비고)],$Q546)),TEXT(INDEX(인턴계획표[입사일(비고)],$Q546),"yyyy-mm-dd"),INDEX(인턴계획표[입사일(비고)],$Q546)&amp;""))</f>
        <v/>
      </c>
      <c r="F546">
        <f>IF($Q546="","",IF(IF($G$3="","",INDEX(인턴계획표[[정규화1]:[정규화6]],$Q546,$G$3)&amp;"")="","",IF(LEFT(IF($G$3="","",INDEX(인턴계획표[[정규화1]:[정규화6]],$Q546,$G$3)&amp;""),1)="⚠",IF($G$3="","",INDEX(인턴계획표[[정규화1]:[정규화6]],$Q546,$G$3)&amp;""),IFERROR(LEFT(IF($G$3="","",INDEX(인턴계획표[[정규화1]:[정규화6]],$Q546,$G$3)&amp;""),FIND(" ",IF($G$3="","",INDEX(인턴계획표[[정규화1]:[정규화6]],$Q546,$G$3)&amp;""))-1),IF($G$3="","",INDEX(인턴계획표[[정규화1]:[정규화6]],$Q546,$G$3)&amp;"")))))</f>
        <v/>
      </c>
      <c r="G546">
        <f>IF($Q546="","",IF(IF($G$3="","",INDEX(인턴계획표[[정규화1]:[정규화6]],$Q546,$G$3)&amp;"")="","",IF(LEFT(IF($G$3="","",INDEX(인턴계획표[[정규화1]:[정규화6]],$Q546,$G$3)&amp;""),1)="⚠","",IFERROR(MID(IF($G$3="","",INDEX(인턴계획표[[정규화1]:[정규화6]],$Q546,$G$3)&amp;""),FIND(" ",IF($G$3="","",INDEX(인턴계획표[[정규화1]:[정규화6]],$Q546,$G$3)&amp;""))+1,60),""))))</f>
        <v/>
      </c>
      <c r="H546">
        <f>IF($Q546="","",IF(IF($I$3="","",INDEX(인턴계획표[[정규화1]:[정규화6]],$Q546,$I$3)&amp;"")="","",IF(LEFT(IF($I$3="","",INDEX(인턴계획표[[정규화1]:[정규화6]],$Q546,$I$3)&amp;""),1)="⚠",IF($I$3="","",INDEX(인턴계획표[[정규화1]:[정규화6]],$Q546,$I$3)&amp;""),IFERROR(LEFT(IF($I$3="","",INDEX(인턴계획표[[정규화1]:[정규화6]],$Q546,$I$3)&amp;""),FIND(" ",IF($I$3="","",INDEX(인턴계획표[[정규화1]:[정규화6]],$Q546,$I$3)&amp;""))-1),IF($I$3="","",INDEX(인턴계획표[[정규화1]:[정규화6]],$Q546,$I$3)&amp;"")))))</f>
        <v/>
      </c>
      <c r="I546">
        <f>IF($Q546="","",IF(IF($I$3="","",INDEX(인턴계획표[[정규화1]:[정규화6]],$Q546,$I$3)&amp;"")="","",IF(LEFT(IF($I$3="","",INDEX(인턴계획표[[정규화1]:[정규화6]],$Q546,$I$3)&amp;""),1)="⚠","",IFERROR(MID(IF($I$3="","",INDEX(인턴계획표[[정규화1]:[정규화6]],$Q546,$I$3)&amp;""),FIND(" ",IF($I$3="","",INDEX(인턴계획표[[정규화1]:[정규화6]],$Q546,$I$3)&amp;""))+1,60),""))))</f>
        <v/>
      </c>
      <c r="J546">
        <f>IF($Q546="","",INDEX(인턴계획표[정규화1],$Q546))</f>
        <v/>
      </c>
      <c r="K546">
        <f>IF($Q546="","",INDEX(인턴계획표[정규화2],$Q546))</f>
        <v/>
      </c>
      <c r="L546">
        <f>IF($Q546="","",INDEX(인턴계획표[정규화3],$Q546))</f>
        <v/>
      </c>
      <c r="M546">
        <f>IF($Q546="","",INDEX(인턴계획표[정규화4],$Q546))</f>
        <v/>
      </c>
      <c r="N546">
        <f>IF($Q546="","",INDEX(인턴계획표[정규화5],$Q546))</f>
        <v/>
      </c>
      <c r="O546">
        <f>IF($Q546="","",INDEX(인턴계획표[정규화6],$Q546))</f>
        <v/>
      </c>
      <c r="P546">
        <f>IF($Q546="","",INDEX(인턴계획표[입력오류],$Q546))</f>
        <v/>
      </c>
      <c r="Q546" s="17">
        <f>IFERROR(MATCH(541,인턴계획표[표시순번],0),"")</f>
        <v/>
      </c>
    </row>
    <row r="547">
      <c r="A547">
        <f>IF($Q547="","",INDEX(인턴계획표[순번],$Q547)&amp;"")</f>
        <v/>
      </c>
      <c r="B547">
        <f>IF($Q547="","",TRIM(INDEX(인턴계획표[이름],$Q547)&amp;""))</f>
        <v/>
      </c>
      <c r="C547">
        <f>IF($Q547="","",INDEX(인턴계획표[사번],$Q547)&amp;"")</f>
        <v/>
      </c>
      <c r="D547">
        <f>IF($Q547="","",IF(COUNTIF(기본자료표[사번키],INDEX(인턴계획표[사번키],$Q547))&gt;0,"확인","미등록"))</f>
        <v/>
      </c>
      <c r="E547">
        <f>IF($Q547="","",IF(ISNUMBER(INDEX(인턴계획표[입사일(비고)],$Q547)),TEXT(INDEX(인턴계획표[입사일(비고)],$Q547),"yyyy-mm-dd"),INDEX(인턴계획표[입사일(비고)],$Q547)&amp;""))</f>
        <v/>
      </c>
      <c r="F547">
        <f>IF($Q547="","",IF(IF($G$3="","",INDEX(인턴계획표[[정규화1]:[정규화6]],$Q547,$G$3)&amp;"")="","",IF(LEFT(IF($G$3="","",INDEX(인턴계획표[[정규화1]:[정규화6]],$Q547,$G$3)&amp;""),1)="⚠",IF($G$3="","",INDEX(인턴계획표[[정규화1]:[정규화6]],$Q547,$G$3)&amp;""),IFERROR(LEFT(IF($G$3="","",INDEX(인턴계획표[[정규화1]:[정규화6]],$Q547,$G$3)&amp;""),FIND(" ",IF($G$3="","",INDEX(인턴계획표[[정규화1]:[정규화6]],$Q547,$G$3)&amp;""))-1),IF($G$3="","",INDEX(인턴계획표[[정규화1]:[정규화6]],$Q547,$G$3)&amp;"")))))</f>
        <v/>
      </c>
      <c r="G547">
        <f>IF($Q547="","",IF(IF($G$3="","",INDEX(인턴계획표[[정규화1]:[정규화6]],$Q547,$G$3)&amp;"")="","",IF(LEFT(IF($G$3="","",INDEX(인턴계획표[[정규화1]:[정규화6]],$Q547,$G$3)&amp;""),1)="⚠","",IFERROR(MID(IF($G$3="","",INDEX(인턴계획표[[정규화1]:[정규화6]],$Q547,$G$3)&amp;""),FIND(" ",IF($G$3="","",INDEX(인턴계획표[[정규화1]:[정규화6]],$Q547,$G$3)&amp;""))+1,60),""))))</f>
        <v/>
      </c>
      <c r="H547">
        <f>IF($Q547="","",IF(IF($I$3="","",INDEX(인턴계획표[[정규화1]:[정규화6]],$Q547,$I$3)&amp;"")="","",IF(LEFT(IF($I$3="","",INDEX(인턴계획표[[정규화1]:[정규화6]],$Q547,$I$3)&amp;""),1)="⚠",IF($I$3="","",INDEX(인턴계획표[[정규화1]:[정규화6]],$Q547,$I$3)&amp;""),IFERROR(LEFT(IF($I$3="","",INDEX(인턴계획표[[정규화1]:[정규화6]],$Q547,$I$3)&amp;""),FIND(" ",IF($I$3="","",INDEX(인턴계획표[[정규화1]:[정규화6]],$Q547,$I$3)&amp;""))-1),IF($I$3="","",INDEX(인턴계획표[[정규화1]:[정규화6]],$Q547,$I$3)&amp;"")))))</f>
        <v/>
      </c>
      <c r="I547">
        <f>IF($Q547="","",IF(IF($I$3="","",INDEX(인턴계획표[[정규화1]:[정규화6]],$Q547,$I$3)&amp;"")="","",IF(LEFT(IF($I$3="","",INDEX(인턴계획표[[정규화1]:[정규화6]],$Q547,$I$3)&amp;""),1)="⚠","",IFERROR(MID(IF($I$3="","",INDEX(인턴계획표[[정규화1]:[정규화6]],$Q547,$I$3)&amp;""),FIND(" ",IF($I$3="","",INDEX(인턴계획표[[정규화1]:[정규화6]],$Q547,$I$3)&amp;""))+1,60),""))))</f>
        <v/>
      </c>
      <c r="J547">
        <f>IF($Q547="","",INDEX(인턴계획표[정규화1],$Q547))</f>
        <v/>
      </c>
      <c r="K547">
        <f>IF($Q547="","",INDEX(인턴계획표[정규화2],$Q547))</f>
        <v/>
      </c>
      <c r="L547">
        <f>IF($Q547="","",INDEX(인턴계획표[정규화3],$Q547))</f>
        <v/>
      </c>
      <c r="M547">
        <f>IF($Q547="","",INDEX(인턴계획표[정규화4],$Q547))</f>
        <v/>
      </c>
      <c r="N547">
        <f>IF($Q547="","",INDEX(인턴계획표[정규화5],$Q547))</f>
        <v/>
      </c>
      <c r="O547">
        <f>IF($Q547="","",INDEX(인턴계획표[정규화6],$Q547))</f>
        <v/>
      </c>
      <c r="P547">
        <f>IF($Q547="","",INDEX(인턴계획표[입력오류],$Q547))</f>
        <v/>
      </c>
      <c r="Q547" s="17">
        <f>IFERROR(MATCH(542,인턴계획표[표시순번],0),"")</f>
        <v/>
      </c>
    </row>
    <row r="548">
      <c r="A548">
        <f>IF($Q548="","",INDEX(인턴계획표[순번],$Q548)&amp;"")</f>
        <v/>
      </c>
      <c r="B548">
        <f>IF($Q548="","",TRIM(INDEX(인턴계획표[이름],$Q548)&amp;""))</f>
        <v/>
      </c>
      <c r="C548">
        <f>IF($Q548="","",INDEX(인턴계획표[사번],$Q548)&amp;"")</f>
        <v/>
      </c>
      <c r="D548">
        <f>IF($Q548="","",IF(COUNTIF(기본자료표[사번키],INDEX(인턴계획표[사번키],$Q548))&gt;0,"확인","미등록"))</f>
        <v/>
      </c>
      <c r="E548">
        <f>IF($Q548="","",IF(ISNUMBER(INDEX(인턴계획표[입사일(비고)],$Q548)),TEXT(INDEX(인턴계획표[입사일(비고)],$Q548),"yyyy-mm-dd"),INDEX(인턴계획표[입사일(비고)],$Q548)&amp;""))</f>
        <v/>
      </c>
      <c r="F548">
        <f>IF($Q548="","",IF(IF($G$3="","",INDEX(인턴계획표[[정규화1]:[정규화6]],$Q548,$G$3)&amp;"")="","",IF(LEFT(IF($G$3="","",INDEX(인턴계획표[[정규화1]:[정규화6]],$Q548,$G$3)&amp;""),1)="⚠",IF($G$3="","",INDEX(인턴계획표[[정규화1]:[정규화6]],$Q548,$G$3)&amp;""),IFERROR(LEFT(IF($G$3="","",INDEX(인턴계획표[[정규화1]:[정규화6]],$Q548,$G$3)&amp;""),FIND(" ",IF($G$3="","",INDEX(인턴계획표[[정규화1]:[정규화6]],$Q548,$G$3)&amp;""))-1),IF($G$3="","",INDEX(인턴계획표[[정규화1]:[정규화6]],$Q548,$G$3)&amp;"")))))</f>
        <v/>
      </c>
      <c r="G548">
        <f>IF($Q548="","",IF(IF($G$3="","",INDEX(인턴계획표[[정규화1]:[정규화6]],$Q548,$G$3)&amp;"")="","",IF(LEFT(IF($G$3="","",INDEX(인턴계획표[[정규화1]:[정규화6]],$Q548,$G$3)&amp;""),1)="⚠","",IFERROR(MID(IF($G$3="","",INDEX(인턴계획표[[정규화1]:[정규화6]],$Q548,$G$3)&amp;""),FIND(" ",IF($G$3="","",INDEX(인턴계획표[[정규화1]:[정규화6]],$Q548,$G$3)&amp;""))+1,60),""))))</f>
        <v/>
      </c>
      <c r="H548">
        <f>IF($Q548="","",IF(IF($I$3="","",INDEX(인턴계획표[[정규화1]:[정규화6]],$Q548,$I$3)&amp;"")="","",IF(LEFT(IF($I$3="","",INDEX(인턴계획표[[정규화1]:[정규화6]],$Q548,$I$3)&amp;""),1)="⚠",IF($I$3="","",INDEX(인턴계획표[[정규화1]:[정규화6]],$Q548,$I$3)&amp;""),IFERROR(LEFT(IF($I$3="","",INDEX(인턴계획표[[정규화1]:[정규화6]],$Q548,$I$3)&amp;""),FIND(" ",IF($I$3="","",INDEX(인턴계획표[[정규화1]:[정규화6]],$Q548,$I$3)&amp;""))-1),IF($I$3="","",INDEX(인턴계획표[[정규화1]:[정규화6]],$Q548,$I$3)&amp;"")))))</f>
        <v/>
      </c>
      <c r="I548">
        <f>IF($Q548="","",IF(IF($I$3="","",INDEX(인턴계획표[[정규화1]:[정규화6]],$Q548,$I$3)&amp;"")="","",IF(LEFT(IF($I$3="","",INDEX(인턴계획표[[정규화1]:[정규화6]],$Q548,$I$3)&amp;""),1)="⚠","",IFERROR(MID(IF($I$3="","",INDEX(인턴계획표[[정규화1]:[정규화6]],$Q548,$I$3)&amp;""),FIND(" ",IF($I$3="","",INDEX(인턴계획표[[정규화1]:[정규화6]],$Q548,$I$3)&amp;""))+1,60),""))))</f>
        <v/>
      </c>
      <c r="J548">
        <f>IF($Q548="","",INDEX(인턴계획표[정규화1],$Q548))</f>
        <v/>
      </c>
      <c r="K548">
        <f>IF($Q548="","",INDEX(인턴계획표[정규화2],$Q548))</f>
        <v/>
      </c>
      <c r="L548">
        <f>IF($Q548="","",INDEX(인턴계획표[정규화3],$Q548))</f>
        <v/>
      </c>
      <c r="M548">
        <f>IF($Q548="","",INDEX(인턴계획표[정규화4],$Q548))</f>
        <v/>
      </c>
      <c r="N548">
        <f>IF($Q548="","",INDEX(인턴계획표[정규화5],$Q548))</f>
        <v/>
      </c>
      <c r="O548">
        <f>IF($Q548="","",INDEX(인턴계획표[정규화6],$Q548))</f>
        <v/>
      </c>
      <c r="P548">
        <f>IF($Q548="","",INDEX(인턴계획표[입력오류],$Q548))</f>
        <v/>
      </c>
      <c r="Q548" s="17">
        <f>IFERROR(MATCH(543,인턴계획표[표시순번],0),"")</f>
        <v/>
      </c>
    </row>
    <row r="549">
      <c r="A549">
        <f>IF($Q549="","",INDEX(인턴계획표[순번],$Q549)&amp;"")</f>
        <v/>
      </c>
      <c r="B549">
        <f>IF($Q549="","",TRIM(INDEX(인턴계획표[이름],$Q549)&amp;""))</f>
        <v/>
      </c>
      <c r="C549">
        <f>IF($Q549="","",INDEX(인턴계획표[사번],$Q549)&amp;"")</f>
        <v/>
      </c>
      <c r="D549">
        <f>IF($Q549="","",IF(COUNTIF(기본자료표[사번키],INDEX(인턴계획표[사번키],$Q549))&gt;0,"확인","미등록"))</f>
        <v/>
      </c>
      <c r="E549">
        <f>IF($Q549="","",IF(ISNUMBER(INDEX(인턴계획표[입사일(비고)],$Q549)),TEXT(INDEX(인턴계획표[입사일(비고)],$Q549),"yyyy-mm-dd"),INDEX(인턴계획표[입사일(비고)],$Q549)&amp;""))</f>
        <v/>
      </c>
      <c r="F549">
        <f>IF($Q549="","",IF(IF($G$3="","",INDEX(인턴계획표[[정규화1]:[정규화6]],$Q549,$G$3)&amp;"")="","",IF(LEFT(IF($G$3="","",INDEX(인턴계획표[[정규화1]:[정규화6]],$Q549,$G$3)&amp;""),1)="⚠",IF($G$3="","",INDEX(인턴계획표[[정규화1]:[정규화6]],$Q549,$G$3)&amp;""),IFERROR(LEFT(IF($G$3="","",INDEX(인턴계획표[[정규화1]:[정규화6]],$Q549,$G$3)&amp;""),FIND(" ",IF($G$3="","",INDEX(인턴계획표[[정규화1]:[정규화6]],$Q549,$G$3)&amp;""))-1),IF($G$3="","",INDEX(인턴계획표[[정규화1]:[정규화6]],$Q549,$G$3)&amp;"")))))</f>
        <v/>
      </c>
      <c r="G549">
        <f>IF($Q549="","",IF(IF($G$3="","",INDEX(인턴계획표[[정규화1]:[정규화6]],$Q549,$G$3)&amp;"")="","",IF(LEFT(IF($G$3="","",INDEX(인턴계획표[[정규화1]:[정규화6]],$Q549,$G$3)&amp;""),1)="⚠","",IFERROR(MID(IF($G$3="","",INDEX(인턴계획표[[정규화1]:[정규화6]],$Q549,$G$3)&amp;""),FIND(" ",IF($G$3="","",INDEX(인턴계획표[[정규화1]:[정규화6]],$Q549,$G$3)&amp;""))+1,60),""))))</f>
        <v/>
      </c>
      <c r="H549">
        <f>IF($Q549="","",IF(IF($I$3="","",INDEX(인턴계획표[[정규화1]:[정규화6]],$Q549,$I$3)&amp;"")="","",IF(LEFT(IF($I$3="","",INDEX(인턴계획표[[정규화1]:[정규화6]],$Q549,$I$3)&amp;""),1)="⚠",IF($I$3="","",INDEX(인턴계획표[[정규화1]:[정규화6]],$Q549,$I$3)&amp;""),IFERROR(LEFT(IF($I$3="","",INDEX(인턴계획표[[정규화1]:[정규화6]],$Q549,$I$3)&amp;""),FIND(" ",IF($I$3="","",INDEX(인턴계획표[[정규화1]:[정규화6]],$Q549,$I$3)&amp;""))-1),IF($I$3="","",INDEX(인턴계획표[[정규화1]:[정규화6]],$Q549,$I$3)&amp;"")))))</f>
        <v/>
      </c>
      <c r="I549">
        <f>IF($Q549="","",IF(IF($I$3="","",INDEX(인턴계획표[[정규화1]:[정규화6]],$Q549,$I$3)&amp;"")="","",IF(LEFT(IF($I$3="","",INDEX(인턴계획표[[정규화1]:[정규화6]],$Q549,$I$3)&amp;""),1)="⚠","",IFERROR(MID(IF($I$3="","",INDEX(인턴계획표[[정규화1]:[정규화6]],$Q549,$I$3)&amp;""),FIND(" ",IF($I$3="","",INDEX(인턴계획표[[정규화1]:[정규화6]],$Q549,$I$3)&amp;""))+1,60),""))))</f>
        <v/>
      </c>
      <c r="J549">
        <f>IF($Q549="","",INDEX(인턴계획표[정규화1],$Q549))</f>
        <v/>
      </c>
      <c r="K549">
        <f>IF($Q549="","",INDEX(인턴계획표[정규화2],$Q549))</f>
        <v/>
      </c>
      <c r="L549">
        <f>IF($Q549="","",INDEX(인턴계획표[정규화3],$Q549))</f>
        <v/>
      </c>
      <c r="M549">
        <f>IF($Q549="","",INDEX(인턴계획표[정규화4],$Q549))</f>
        <v/>
      </c>
      <c r="N549">
        <f>IF($Q549="","",INDEX(인턴계획표[정규화5],$Q549))</f>
        <v/>
      </c>
      <c r="O549">
        <f>IF($Q549="","",INDEX(인턴계획표[정규화6],$Q549))</f>
        <v/>
      </c>
      <c r="P549">
        <f>IF($Q549="","",INDEX(인턴계획표[입력오류],$Q549))</f>
        <v/>
      </c>
      <c r="Q549" s="17">
        <f>IFERROR(MATCH(544,인턴계획표[표시순번],0),"")</f>
        <v/>
      </c>
    </row>
    <row r="550">
      <c r="A550">
        <f>IF($Q550="","",INDEX(인턴계획표[순번],$Q550)&amp;"")</f>
        <v/>
      </c>
      <c r="B550">
        <f>IF($Q550="","",TRIM(INDEX(인턴계획표[이름],$Q550)&amp;""))</f>
        <v/>
      </c>
      <c r="C550">
        <f>IF($Q550="","",INDEX(인턴계획표[사번],$Q550)&amp;"")</f>
        <v/>
      </c>
      <c r="D550">
        <f>IF($Q550="","",IF(COUNTIF(기본자료표[사번키],INDEX(인턴계획표[사번키],$Q550))&gt;0,"확인","미등록"))</f>
        <v/>
      </c>
      <c r="E550">
        <f>IF($Q550="","",IF(ISNUMBER(INDEX(인턴계획표[입사일(비고)],$Q550)),TEXT(INDEX(인턴계획표[입사일(비고)],$Q550),"yyyy-mm-dd"),INDEX(인턴계획표[입사일(비고)],$Q550)&amp;""))</f>
        <v/>
      </c>
      <c r="F550">
        <f>IF($Q550="","",IF(IF($G$3="","",INDEX(인턴계획표[[정규화1]:[정규화6]],$Q550,$G$3)&amp;"")="","",IF(LEFT(IF($G$3="","",INDEX(인턴계획표[[정규화1]:[정규화6]],$Q550,$G$3)&amp;""),1)="⚠",IF($G$3="","",INDEX(인턴계획표[[정규화1]:[정규화6]],$Q550,$G$3)&amp;""),IFERROR(LEFT(IF($G$3="","",INDEX(인턴계획표[[정규화1]:[정규화6]],$Q550,$G$3)&amp;""),FIND(" ",IF($G$3="","",INDEX(인턴계획표[[정규화1]:[정규화6]],$Q550,$G$3)&amp;""))-1),IF($G$3="","",INDEX(인턴계획표[[정규화1]:[정규화6]],$Q550,$G$3)&amp;"")))))</f>
        <v/>
      </c>
      <c r="G550">
        <f>IF($Q550="","",IF(IF($G$3="","",INDEX(인턴계획표[[정규화1]:[정규화6]],$Q550,$G$3)&amp;"")="","",IF(LEFT(IF($G$3="","",INDEX(인턴계획표[[정규화1]:[정규화6]],$Q550,$G$3)&amp;""),1)="⚠","",IFERROR(MID(IF($G$3="","",INDEX(인턴계획표[[정규화1]:[정규화6]],$Q550,$G$3)&amp;""),FIND(" ",IF($G$3="","",INDEX(인턴계획표[[정규화1]:[정규화6]],$Q550,$G$3)&amp;""))+1,60),""))))</f>
        <v/>
      </c>
      <c r="H550">
        <f>IF($Q550="","",IF(IF($I$3="","",INDEX(인턴계획표[[정규화1]:[정규화6]],$Q550,$I$3)&amp;"")="","",IF(LEFT(IF($I$3="","",INDEX(인턴계획표[[정규화1]:[정규화6]],$Q550,$I$3)&amp;""),1)="⚠",IF($I$3="","",INDEX(인턴계획표[[정규화1]:[정규화6]],$Q550,$I$3)&amp;""),IFERROR(LEFT(IF($I$3="","",INDEX(인턴계획표[[정규화1]:[정규화6]],$Q550,$I$3)&amp;""),FIND(" ",IF($I$3="","",INDEX(인턴계획표[[정규화1]:[정규화6]],$Q550,$I$3)&amp;""))-1),IF($I$3="","",INDEX(인턴계획표[[정규화1]:[정규화6]],$Q550,$I$3)&amp;"")))))</f>
        <v/>
      </c>
      <c r="I550">
        <f>IF($Q550="","",IF(IF($I$3="","",INDEX(인턴계획표[[정규화1]:[정규화6]],$Q550,$I$3)&amp;"")="","",IF(LEFT(IF($I$3="","",INDEX(인턴계획표[[정규화1]:[정규화6]],$Q550,$I$3)&amp;""),1)="⚠","",IFERROR(MID(IF($I$3="","",INDEX(인턴계획표[[정규화1]:[정규화6]],$Q550,$I$3)&amp;""),FIND(" ",IF($I$3="","",INDEX(인턴계획표[[정규화1]:[정규화6]],$Q550,$I$3)&amp;""))+1,60),""))))</f>
        <v/>
      </c>
      <c r="J550">
        <f>IF($Q550="","",INDEX(인턴계획표[정규화1],$Q550))</f>
        <v/>
      </c>
      <c r="K550">
        <f>IF($Q550="","",INDEX(인턴계획표[정규화2],$Q550))</f>
        <v/>
      </c>
      <c r="L550">
        <f>IF($Q550="","",INDEX(인턴계획표[정규화3],$Q550))</f>
        <v/>
      </c>
      <c r="M550">
        <f>IF($Q550="","",INDEX(인턴계획표[정규화4],$Q550))</f>
        <v/>
      </c>
      <c r="N550">
        <f>IF($Q550="","",INDEX(인턴계획표[정규화5],$Q550))</f>
        <v/>
      </c>
      <c r="O550">
        <f>IF($Q550="","",INDEX(인턴계획표[정규화6],$Q550))</f>
        <v/>
      </c>
      <c r="P550">
        <f>IF($Q550="","",INDEX(인턴계획표[입력오류],$Q550))</f>
        <v/>
      </c>
      <c r="Q550" s="17">
        <f>IFERROR(MATCH(545,인턴계획표[표시순번],0),"")</f>
        <v/>
      </c>
    </row>
    <row r="551">
      <c r="A551">
        <f>IF($Q551="","",INDEX(인턴계획표[순번],$Q551)&amp;"")</f>
        <v/>
      </c>
      <c r="B551">
        <f>IF($Q551="","",TRIM(INDEX(인턴계획표[이름],$Q551)&amp;""))</f>
        <v/>
      </c>
      <c r="C551">
        <f>IF($Q551="","",INDEX(인턴계획표[사번],$Q551)&amp;"")</f>
        <v/>
      </c>
      <c r="D551">
        <f>IF($Q551="","",IF(COUNTIF(기본자료표[사번키],INDEX(인턴계획표[사번키],$Q551))&gt;0,"확인","미등록"))</f>
        <v/>
      </c>
      <c r="E551">
        <f>IF($Q551="","",IF(ISNUMBER(INDEX(인턴계획표[입사일(비고)],$Q551)),TEXT(INDEX(인턴계획표[입사일(비고)],$Q551),"yyyy-mm-dd"),INDEX(인턴계획표[입사일(비고)],$Q551)&amp;""))</f>
        <v/>
      </c>
      <c r="F551">
        <f>IF($Q551="","",IF(IF($G$3="","",INDEX(인턴계획표[[정규화1]:[정규화6]],$Q551,$G$3)&amp;"")="","",IF(LEFT(IF($G$3="","",INDEX(인턴계획표[[정규화1]:[정규화6]],$Q551,$G$3)&amp;""),1)="⚠",IF($G$3="","",INDEX(인턴계획표[[정규화1]:[정규화6]],$Q551,$G$3)&amp;""),IFERROR(LEFT(IF($G$3="","",INDEX(인턴계획표[[정규화1]:[정규화6]],$Q551,$G$3)&amp;""),FIND(" ",IF($G$3="","",INDEX(인턴계획표[[정규화1]:[정규화6]],$Q551,$G$3)&amp;""))-1),IF($G$3="","",INDEX(인턴계획표[[정규화1]:[정규화6]],$Q551,$G$3)&amp;"")))))</f>
        <v/>
      </c>
      <c r="G551">
        <f>IF($Q551="","",IF(IF($G$3="","",INDEX(인턴계획표[[정규화1]:[정규화6]],$Q551,$G$3)&amp;"")="","",IF(LEFT(IF($G$3="","",INDEX(인턴계획표[[정규화1]:[정규화6]],$Q551,$G$3)&amp;""),1)="⚠","",IFERROR(MID(IF($G$3="","",INDEX(인턴계획표[[정규화1]:[정규화6]],$Q551,$G$3)&amp;""),FIND(" ",IF($G$3="","",INDEX(인턴계획표[[정규화1]:[정규화6]],$Q551,$G$3)&amp;""))+1,60),""))))</f>
        <v/>
      </c>
      <c r="H551">
        <f>IF($Q551="","",IF(IF($I$3="","",INDEX(인턴계획표[[정규화1]:[정규화6]],$Q551,$I$3)&amp;"")="","",IF(LEFT(IF($I$3="","",INDEX(인턴계획표[[정규화1]:[정규화6]],$Q551,$I$3)&amp;""),1)="⚠",IF($I$3="","",INDEX(인턴계획표[[정규화1]:[정규화6]],$Q551,$I$3)&amp;""),IFERROR(LEFT(IF($I$3="","",INDEX(인턴계획표[[정규화1]:[정규화6]],$Q551,$I$3)&amp;""),FIND(" ",IF($I$3="","",INDEX(인턴계획표[[정규화1]:[정규화6]],$Q551,$I$3)&amp;""))-1),IF($I$3="","",INDEX(인턴계획표[[정규화1]:[정규화6]],$Q551,$I$3)&amp;"")))))</f>
        <v/>
      </c>
      <c r="I551">
        <f>IF($Q551="","",IF(IF($I$3="","",INDEX(인턴계획표[[정규화1]:[정규화6]],$Q551,$I$3)&amp;"")="","",IF(LEFT(IF($I$3="","",INDEX(인턴계획표[[정규화1]:[정규화6]],$Q551,$I$3)&amp;""),1)="⚠","",IFERROR(MID(IF($I$3="","",INDEX(인턴계획표[[정규화1]:[정규화6]],$Q551,$I$3)&amp;""),FIND(" ",IF($I$3="","",INDEX(인턴계획표[[정규화1]:[정규화6]],$Q551,$I$3)&amp;""))+1,60),""))))</f>
        <v/>
      </c>
      <c r="J551">
        <f>IF($Q551="","",INDEX(인턴계획표[정규화1],$Q551))</f>
        <v/>
      </c>
      <c r="K551">
        <f>IF($Q551="","",INDEX(인턴계획표[정규화2],$Q551))</f>
        <v/>
      </c>
      <c r="L551">
        <f>IF($Q551="","",INDEX(인턴계획표[정규화3],$Q551))</f>
        <v/>
      </c>
      <c r="M551">
        <f>IF($Q551="","",INDEX(인턴계획표[정규화4],$Q551))</f>
        <v/>
      </c>
      <c r="N551">
        <f>IF($Q551="","",INDEX(인턴계획표[정규화5],$Q551))</f>
        <v/>
      </c>
      <c r="O551">
        <f>IF($Q551="","",INDEX(인턴계획표[정규화6],$Q551))</f>
        <v/>
      </c>
      <c r="P551">
        <f>IF($Q551="","",INDEX(인턴계획표[입력오류],$Q551))</f>
        <v/>
      </c>
      <c r="Q551" s="17">
        <f>IFERROR(MATCH(546,인턴계획표[표시순번],0),"")</f>
        <v/>
      </c>
    </row>
    <row r="552">
      <c r="A552">
        <f>IF($Q552="","",INDEX(인턴계획표[순번],$Q552)&amp;"")</f>
        <v/>
      </c>
      <c r="B552">
        <f>IF($Q552="","",TRIM(INDEX(인턴계획표[이름],$Q552)&amp;""))</f>
        <v/>
      </c>
      <c r="C552">
        <f>IF($Q552="","",INDEX(인턴계획표[사번],$Q552)&amp;"")</f>
        <v/>
      </c>
      <c r="D552">
        <f>IF($Q552="","",IF(COUNTIF(기본자료표[사번키],INDEX(인턴계획표[사번키],$Q552))&gt;0,"확인","미등록"))</f>
        <v/>
      </c>
      <c r="E552">
        <f>IF($Q552="","",IF(ISNUMBER(INDEX(인턴계획표[입사일(비고)],$Q552)),TEXT(INDEX(인턴계획표[입사일(비고)],$Q552),"yyyy-mm-dd"),INDEX(인턴계획표[입사일(비고)],$Q552)&amp;""))</f>
        <v/>
      </c>
      <c r="F552">
        <f>IF($Q552="","",IF(IF($G$3="","",INDEX(인턴계획표[[정규화1]:[정규화6]],$Q552,$G$3)&amp;"")="","",IF(LEFT(IF($G$3="","",INDEX(인턴계획표[[정규화1]:[정규화6]],$Q552,$G$3)&amp;""),1)="⚠",IF($G$3="","",INDEX(인턴계획표[[정규화1]:[정규화6]],$Q552,$G$3)&amp;""),IFERROR(LEFT(IF($G$3="","",INDEX(인턴계획표[[정규화1]:[정규화6]],$Q552,$G$3)&amp;""),FIND(" ",IF($G$3="","",INDEX(인턴계획표[[정규화1]:[정규화6]],$Q552,$G$3)&amp;""))-1),IF($G$3="","",INDEX(인턴계획표[[정규화1]:[정규화6]],$Q552,$G$3)&amp;"")))))</f>
        <v/>
      </c>
      <c r="G552">
        <f>IF($Q552="","",IF(IF($G$3="","",INDEX(인턴계획표[[정규화1]:[정규화6]],$Q552,$G$3)&amp;"")="","",IF(LEFT(IF($G$3="","",INDEX(인턴계획표[[정규화1]:[정규화6]],$Q552,$G$3)&amp;""),1)="⚠","",IFERROR(MID(IF($G$3="","",INDEX(인턴계획표[[정규화1]:[정규화6]],$Q552,$G$3)&amp;""),FIND(" ",IF($G$3="","",INDEX(인턴계획표[[정규화1]:[정규화6]],$Q552,$G$3)&amp;""))+1,60),""))))</f>
        <v/>
      </c>
      <c r="H552">
        <f>IF($Q552="","",IF(IF($I$3="","",INDEX(인턴계획표[[정규화1]:[정규화6]],$Q552,$I$3)&amp;"")="","",IF(LEFT(IF($I$3="","",INDEX(인턴계획표[[정규화1]:[정규화6]],$Q552,$I$3)&amp;""),1)="⚠",IF($I$3="","",INDEX(인턴계획표[[정규화1]:[정규화6]],$Q552,$I$3)&amp;""),IFERROR(LEFT(IF($I$3="","",INDEX(인턴계획표[[정규화1]:[정규화6]],$Q552,$I$3)&amp;""),FIND(" ",IF($I$3="","",INDEX(인턴계획표[[정규화1]:[정규화6]],$Q552,$I$3)&amp;""))-1),IF($I$3="","",INDEX(인턴계획표[[정규화1]:[정규화6]],$Q552,$I$3)&amp;"")))))</f>
        <v/>
      </c>
      <c r="I552">
        <f>IF($Q552="","",IF(IF($I$3="","",INDEX(인턴계획표[[정규화1]:[정규화6]],$Q552,$I$3)&amp;"")="","",IF(LEFT(IF($I$3="","",INDEX(인턴계획표[[정규화1]:[정규화6]],$Q552,$I$3)&amp;""),1)="⚠","",IFERROR(MID(IF($I$3="","",INDEX(인턴계획표[[정규화1]:[정규화6]],$Q552,$I$3)&amp;""),FIND(" ",IF($I$3="","",INDEX(인턴계획표[[정규화1]:[정규화6]],$Q552,$I$3)&amp;""))+1,60),""))))</f>
        <v/>
      </c>
      <c r="J552">
        <f>IF($Q552="","",INDEX(인턴계획표[정규화1],$Q552))</f>
        <v/>
      </c>
      <c r="K552">
        <f>IF($Q552="","",INDEX(인턴계획표[정규화2],$Q552))</f>
        <v/>
      </c>
      <c r="L552">
        <f>IF($Q552="","",INDEX(인턴계획표[정규화3],$Q552))</f>
        <v/>
      </c>
      <c r="M552">
        <f>IF($Q552="","",INDEX(인턴계획표[정규화4],$Q552))</f>
        <v/>
      </c>
      <c r="N552">
        <f>IF($Q552="","",INDEX(인턴계획표[정규화5],$Q552))</f>
        <v/>
      </c>
      <c r="O552">
        <f>IF($Q552="","",INDEX(인턴계획표[정규화6],$Q552))</f>
        <v/>
      </c>
      <c r="P552">
        <f>IF($Q552="","",INDEX(인턴계획표[입력오류],$Q552))</f>
        <v/>
      </c>
      <c r="Q552" s="17">
        <f>IFERROR(MATCH(547,인턴계획표[표시순번],0),"")</f>
        <v/>
      </c>
    </row>
    <row r="553">
      <c r="A553">
        <f>IF($Q553="","",INDEX(인턴계획표[순번],$Q553)&amp;"")</f>
        <v/>
      </c>
      <c r="B553">
        <f>IF($Q553="","",TRIM(INDEX(인턴계획표[이름],$Q553)&amp;""))</f>
        <v/>
      </c>
      <c r="C553">
        <f>IF($Q553="","",INDEX(인턴계획표[사번],$Q553)&amp;"")</f>
        <v/>
      </c>
      <c r="D553">
        <f>IF($Q553="","",IF(COUNTIF(기본자료표[사번키],INDEX(인턴계획표[사번키],$Q553))&gt;0,"확인","미등록"))</f>
        <v/>
      </c>
      <c r="E553">
        <f>IF($Q553="","",IF(ISNUMBER(INDEX(인턴계획표[입사일(비고)],$Q553)),TEXT(INDEX(인턴계획표[입사일(비고)],$Q553),"yyyy-mm-dd"),INDEX(인턴계획표[입사일(비고)],$Q553)&amp;""))</f>
        <v/>
      </c>
      <c r="F553">
        <f>IF($Q553="","",IF(IF($G$3="","",INDEX(인턴계획표[[정규화1]:[정규화6]],$Q553,$G$3)&amp;"")="","",IF(LEFT(IF($G$3="","",INDEX(인턴계획표[[정규화1]:[정규화6]],$Q553,$G$3)&amp;""),1)="⚠",IF($G$3="","",INDEX(인턴계획표[[정규화1]:[정규화6]],$Q553,$G$3)&amp;""),IFERROR(LEFT(IF($G$3="","",INDEX(인턴계획표[[정규화1]:[정규화6]],$Q553,$G$3)&amp;""),FIND(" ",IF($G$3="","",INDEX(인턴계획표[[정규화1]:[정규화6]],$Q553,$G$3)&amp;""))-1),IF($G$3="","",INDEX(인턴계획표[[정규화1]:[정규화6]],$Q553,$G$3)&amp;"")))))</f>
        <v/>
      </c>
      <c r="G553">
        <f>IF($Q553="","",IF(IF($G$3="","",INDEX(인턴계획표[[정규화1]:[정규화6]],$Q553,$G$3)&amp;"")="","",IF(LEFT(IF($G$3="","",INDEX(인턴계획표[[정규화1]:[정규화6]],$Q553,$G$3)&amp;""),1)="⚠","",IFERROR(MID(IF($G$3="","",INDEX(인턴계획표[[정규화1]:[정규화6]],$Q553,$G$3)&amp;""),FIND(" ",IF($G$3="","",INDEX(인턴계획표[[정규화1]:[정규화6]],$Q553,$G$3)&amp;""))+1,60),""))))</f>
        <v/>
      </c>
      <c r="H553">
        <f>IF($Q553="","",IF(IF($I$3="","",INDEX(인턴계획표[[정규화1]:[정규화6]],$Q553,$I$3)&amp;"")="","",IF(LEFT(IF($I$3="","",INDEX(인턴계획표[[정규화1]:[정규화6]],$Q553,$I$3)&amp;""),1)="⚠",IF($I$3="","",INDEX(인턴계획표[[정규화1]:[정규화6]],$Q553,$I$3)&amp;""),IFERROR(LEFT(IF($I$3="","",INDEX(인턴계획표[[정규화1]:[정규화6]],$Q553,$I$3)&amp;""),FIND(" ",IF($I$3="","",INDEX(인턴계획표[[정규화1]:[정규화6]],$Q553,$I$3)&amp;""))-1),IF($I$3="","",INDEX(인턴계획표[[정규화1]:[정규화6]],$Q553,$I$3)&amp;"")))))</f>
        <v/>
      </c>
      <c r="I553">
        <f>IF($Q553="","",IF(IF($I$3="","",INDEX(인턴계획표[[정규화1]:[정규화6]],$Q553,$I$3)&amp;"")="","",IF(LEFT(IF($I$3="","",INDEX(인턴계획표[[정규화1]:[정규화6]],$Q553,$I$3)&amp;""),1)="⚠","",IFERROR(MID(IF($I$3="","",INDEX(인턴계획표[[정규화1]:[정규화6]],$Q553,$I$3)&amp;""),FIND(" ",IF($I$3="","",INDEX(인턴계획표[[정규화1]:[정규화6]],$Q553,$I$3)&amp;""))+1,60),""))))</f>
        <v/>
      </c>
      <c r="J553">
        <f>IF($Q553="","",INDEX(인턴계획표[정규화1],$Q553))</f>
        <v/>
      </c>
      <c r="K553">
        <f>IF($Q553="","",INDEX(인턴계획표[정규화2],$Q553))</f>
        <v/>
      </c>
      <c r="L553">
        <f>IF($Q553="","",INDEX(인턴계획표[정규화3],$Q553))</f>
        <v/>
      </c>
      <c r="M553">
        <f>IF($Q553="","",INDEX(인턴계획표[정규화4],$Q553))</f>
        <v/>
      </c>
      <c r="N553">
        <f>IF($Q553="","",INDEX(인턴계획표[정규화5],$Q553))</f>
        <v/>
      </c>
      <c r="O553">
        <f>IF($Q553="","",INDEX(인턴계획표[정규화6],$Q553))</f>
        <v/>
      </c>
      <c r="P553">
        <f>IF($Q553="","",INDEX(인턴계획표[입력오류],$Q553))</f>
        <v/>
      </c>
      <c r="Q553" s="17">
        <f>IFERROR(MATCH(548,인턴계획표[표시순번],0),"")</f>
        <v/>
      </c>
    </row>
    <row r="554">
      <c r="A554">
        <f>IF($Q554="","",INDEX(인턴계획표[순번],$Q554)&amp;"")</f>
        <v/>
      </c>
      <c r="B554">
        <f>IF($Q554="","",TRIM(INDEX(인턴계획표[이름],$Q554)&amp;""))</f>
        <v/>
      </c>
      <c r="C554">
        <f>IF($Q554="","",INDEX(인턴계획표[사번],$Q554)&amp;"")</f>
        <v/>
      </c>
      <c r="D554">
        <f>IF($Q554="","",IF(COUNTIF(기본자료표[사번키],INDEX(인턴계획표[사번키],$Q554))&gt;0,"확인","미등록"))</f>
        <v/>
      </c>
      <c r="E554">
        <f>IF($Q554="","",IF(ISNUMBER(INDEX(인턴계획표[입사일(비고)],$Q554)),TEXT(INDEX(인턴계획표[입사일(비고)],$Q554),"yyyy-mm-dd"),INDEX(인턴계획표[입사일(비고)],$Q554)&amp;""))</f>
        <v/>
      </c>
      <c r="F554">
        <f>IF($Q554="","",IF(IF($G$3="","",INDEX(인턴계획표[[정규화1]:[정규화6]],$Q554,$G$3)&amp;"")="","",IF(LEFT(IF($G$3="","",INDEX(인턴계획표[[정규화1]:[정규화6]],$Q554,$G$3)&amp;""),1)="⚠",IF($G$3="","",INDEX(인턴계획표[[정규화1]:[정규화6]],$Q554,$G$3)&amp;""),IFERROR(LEFT(IF($G$3="","",INDEX(인턴계획표[[정규화1]:[정규화6]],$Q554,$G$3)&amp;""),FIND(" ",IF($G$3="","",INDEX(인턴계획표[[정규화1]:[정규화6]],$Q554,$G$3)&amp;""))-1),IF($G$3="","",INDEX(인턴계획표[[정규화1]:[정규화6]],$Q554,$G$3)&amp;"")))))</f>
        <v/>
      </c>
      <c r="G554">
        <f>IF($Q554="","",IF(IF($G$3="","",INDEX(인턴계획표[[정규화1]:[정규화6]],$Q554,$G$3)&amp;"")="","",IF(LEFT(IF($G$3="","",INDEX(인턴계획표[[정규화1]:[정규화6]],$Q554,$G$3)&amp;""),1)="⚠","",IFERROR(MID(IF($G$3="","",INDEX(인턴계획표[[정규화1]:[정규화6]],$Q554,$G$3)&amp;""),FIND(" ",IF($G$3="","",INDEX(인턴계획표[[정규화1]:[정규화6]],$Q554,$G$3)&amp;""))+1,60),""))))</f>
        <v/>
      </c>
      <c r="H554">
        <f>IF($Q554="","",IF(IF($I$3="","",INDEX(인턴계획표[[정규화1]:[정규화6]],$Q554,$I$3)&amp;"")="","",IF(LEFT(IF($I$3="","",INDEX(인턴계획표[[정규화1]:[정규화6]],$Q554,$I$3)&amp;""),1)="⚠",IF($I$3="","",INDEX(인턴계획표[[정규화1]:[정규화6]],$Q554,$I$3)&amp;""),IFERROR(LEFT(IF($I$3="","",INDEX(인턴계획표[[정규화1]:[정규화6]],$Q554,$I$3)&amp;""),FIND(" ",IF($I$3="","",INDEX(인턴계획표[[정규화1]:[정규화6]],$Q554,$I$3)&amp;""))-1),IF($I$3="","",INDEX(인턴계획표[[정규화1]:[정규화6]],$Q554,$I$3)&amp;"")))))</f>
        <v/>
      </c>
      <c r="I554">
        <f>IF($Q554="","",IF(IF($I$3="","",INDEX(인턴계획표[[정규화1]:[정규화6]],$Q554,$I$3)&amp;"")="","",IF(LEFT(IF($I$3="","",INDEX(인턴계획표[[정규화1]:[정규화6]],$Q554,$I$3)&amp;""),1)="⚠","",IFERROR(MID(IF($I$3="","",INDEX(인턴계획표[[정규화1]:[정규화6]],$Q554,$I$3)&amp;""),FIND(" ",IF($I$3="","",INDEX(인턴계획표[[정규화1]:[정규화6]],$Q554,$I$3)&amp;""))+1,60),""))))</f>
        <v/>
      </c>
      <c r="J554">
        <f>IF($Q554="","",INDEX(인턴계획표[정규화1],$Q554))</f>
        <v/>
      </c>
      <c r="K554">
        <f>IF($Q554="","",INDEX(인턴계획표[정규화2],$Q554))</f>
        <v/>
      </c>
      <c r="L554">
        <f>IF($Q554="","",INDEX(인턴계획표[정규화3],$Q554))</f>
        <v/>
      </c>
      <c r="M554">
        <f>IF($Q554="","",INDEX(인턴계획표[정규화4],$Q554))</f>
        <v/>
      </c>
      <c r="N554">
        <f>IF($Q554="","",INDEX(인턴계획표[정규화5],$Q554))</f>
        <v/>
      </c>
      <c r="O554">
        <f>IF($Q554="","",INDEX(인턴계획표[정규화6],$Q554))</f>
        <v/>
      </c>
      <c r="P554">
        <f>IF($Q554="","",INDEX(인턴계획표[입력오류],$Q554))</f>
        <v/>
      </c>
      <c r="Q554" s="17">
        <f>IFERROR(MATCH(549,인턴계획표[표시순번],0),"")</f>
        <v/>
      </c>
    </row>
    <row r="555">
      <c r="A555">
        <f>IF($Q555="","",INDEX(인턴계획표[순번],$Q555)&amp;"")</f>
        <v/>
      </c>
      <c r="B555">
        <f>IF($Q555="","",TRIM(INDEX(인턴계획표[이름],$Q555)&amp;""))</f>
        <v/>
      </c>
      <c r="C555">
        <f>IF($Q555="","",INDEX(인턴계획표[사번],$Q555)&amp;"")</f>
        <v/>
      </c>
      <c r="D555">
        <f>IF($Q555="","",IF(COUNTIF(기본자료표[사번키],INDEX(인턴계획표[사번키],$Q555))&gt;0,"확인","미등록"))</f>
        <v/>
      </c>
      <c r="E555">
        <f>IF($Q555="","",IF(ISNUMBER(INDEX(인턴계획표[입사일(비고)],$Q555)),TEXT(INDEX(인턴계획표[입사일(비고)],$Q555),"yyyy-mm-dd"),INDEX(인턴계획표[입사일(비고)],$Q555)&amp;""))</f>
        <v/>
      </c>
      <c r="F555">
        <f>IF($Q555="","",IF(IF($G$3="","",INDEX(인턴계획표[[정규화1]:[정규화6]],$Q555,$G$3)&amp;"")="","",IF(LEFT(IF($G$3="","",INDEX(인턴계획표[[정규화1]:[정규화6]],$Q555,$G$3)&amp;""),1)="⚠",IF($G$3="","",INDEX(인턴계획표[[정규화1]:[정규화6]],$Q555,$G$3)&amp;""),IFERROR(LEFT(IF($G$3="","",INDEX(인턴계획표[[정규화1]:[정규화6]],$Q555,$G$3)&amp;""),FIND(" ",IF($G$3="","",INDEX(인턴계획표[[정규화1]:[정규화6]],$Q555,$G$3)&amp;""))-1),IF($G$3="","",INDEX(인턴계획표[[정규화1]:[정규화6]],$Q555,$G$3)&amp;"")))))</f>
        <v/>
      </c>
      <c r="G555">
        <f>IF($Q555="","",IF(IF($G$3="","",INDEX(인턴계획표[[정규화1]:[정규화6]],$Q555,$G$3)&amp;"")="","",IF(LEFT(IF($G$3="","",INDEX(인턴계획표[[정규화1]:[정규화6]],$Q555,$G$3)&amp;""),1)="⚠","",IFERROR(MID(IF($G$3="","",INDEX(인턴계획표[[정규화1]:[정규화6]],$Q555,$G$3)&amp;""),FIND(" ",IF($G$3="","",INDEX(인턴계획표[[정규화1]:[정규화6]],$Q555,$G$3)&amp;""))+1,60),""))))</f>
        <v/>
      </c>
      <c r="H555">
        <f>IF($Q555="","",IF(IF($I$3="","",INDEX(인턴계획표[[정규화1]:[정규화6]],$Q555,$I$3)&amp;"")="","",IF(LEFT(IF($I$3="","",INDEX(인턴계획표[[정규화1]:[정규화6]],$Q555,$I$3)&amp;""),1)="⚠",IF($I$3="","",INDEX(인턴계획표[[정규화1]:[정규화6]],$Q555,$I$3)&amp;""),IFERROR(LEFT(IF($I$3="","",INDEX(인턴계획표[[정규화1]:[정규화6]],$Q555,$I$3)&amp;""),FIND(" ",IF($I$3="","",INDEX(인턴계획표[[정규화1]:[정규화6]],$Q555,$I$3)&amp;""))-1),IF($I$3="","",INDEX(인턴계획표[[정규화1]:[정규화6]],$Q555,$I$3)&amp;"")))))</f>
        <v/>
      </c>
      <c r="I555">
        <f>IF($Q555="","",IF(IF($I$3="","",INDEX(인턴계획표[[정규화1]:[정규화6]],$Q555,$I$3)&amp;"")="","",IF(LEFT(IF($I$3="","",INDEX(인턴계획표[[정규화1]:[정규화6]],$Q555,$I$3)&amp;""),1)="⚠","",IFERROR(MID(IF($I$3="","",INDEX(인턴계획표[[정규화1]:[정규화6]],$Q555,$I$3)&amp;""),FIND(" ",IF($I$3="","",INDEX(인턴계획표[[정규화1]:[정규화6]],$Q555,$I$3)&amp;""))+1,60),""))))</f>
        <v/>
      </c>
      <c r="J555">
        <f>IF($Q555="","",INDEX(인턴계획표[정규화1],$Q555))</f>
        <v/>
      </c>
      <c r="K555">
        <f>IF($Q555="","",INDEX(인턴계획표[정규화2],$Q555))</f>
        <v/>
      </c>
      <c r="L555">
        <f>IF($Q555="","",INDEX(인턴계획표[정규화3],$Q555))</f>
        <v/>
      </c>
      <c r="M555">
        <f>IF($Q555="","",INDEX(인턴계획표[정규화4],$Q555))</f>
        <v/>
      </c>
      <c r="N555">
        <f>IF($Q555="","",INDEX(인턴계획표[정규화5],$Q555))</f>
        <v/>
      </c>
      <c r="O555">
        <f>IF($Q555="","",INDEX(인턴계획표[정규화6],$Q555))</f>
        <v/>
      </c>
      <c r="P555">
        <f>IF($Q555="","",INDEX(인턴계획표[입력오류],$Q555))</f>
        <v/>
      </c>
      <c r="Q555" s="17">
        <f>IFERROR(MATCH(550,인턴계획표[표시순번],0),"")</f>
        <v/>
      </c>
    </row>
    <row r="556">
      <c r="A556">
        <f>IF($Q556="","",INDEX(인턴계획표[순번],$Q556)&amp;"")</f>
        <v/>
      </c>
      <c r="B556">
        <f>IF($Q556="","",TRIM(INDEX(인턴계획표[이름],$Q556)&amp;""))</f>
        <v/>
      </c>
      <c r="C556">
        <f>IF($Q556="","",INDEX(인턴계획표[사번],$Q556)&amp;"")</f>
        <v/>
      </c>
      <c r="D556">
        <f>IF($Q556="","",IF(COUNTIF(기본자료표[사번키],INDEX(인턴계획표[사번키],$Q556))&gt;0,"확인","미등록"))</f>
        <v/>
      </c>
      <c r="E556">
        <f>IF($Q556="","",IF(ISNUMBER(INDEX(인턴계획표[입사일(비고)],$Q556)),TEXT(INDEX(인턴계획표[입사일(비고)],$Q556),"yyyy-mm-dd"),INDEX(인턴계획표[입사일(비고)],$Q556)&amp;""))</f>
        <v/>
      </c>
      <c r="F556">
        <f>IF($Q556="","",IF(IF($G$3="","",INDEX(인턴계획표[[정규화1]:[정규화6]],$Q556,$G$3)&amp;"")="","",IF(LEFT(IF($G$3="","",INDEX(인턴계획표[[정규화1]:[정규화6]],$Q556,$G$3)&amp;""),1)="⚠",IF($G$3="","",INDEX(인턴계획표[[정규화1]:[정규화6]],$Q556,$G$3)&amp;""),IFERROR(LEFT(IF($G$3="","",INDEX(인턴계획표[[정규화1]:[정규화6]],$Q556,$G$3)&amp;""),FIND(" ",IF($G$3="","",INDEX(인턴계획표[[정규화1]:[정규화6]],$Q556,$G$3)&amp;""))-1),IF($G$3="","",INDEX(인턴계획표[[정규화1]:[정규화6]],$Q556,$G$3)&amp;"")))))</f>
        <v/>
      </c>
      <c r="G556">
        <f>IF($Q556="","",IF(IF($G$3="","",INDEX(인턴계획표[[정규화1]:[정규화6]],$Q556,$G$3)&amp;"")="","",IF(LEFT(IF($G$3="","",INDEX(인턴계획표[[정규화1]:[정규화6]],$Q556,$G$3)&amp;""),1)="⚠","",IFERROR(MID(IF($G$3="","",INDEX(인턴계획표[[정규화1]:[정규화6]],$Q556,$G$3)&amp;""),FIND(" ",IF($G$3="","",INDEX(인턴계획표[[정규화1]:[정규화6]],$Q556,$G$3)&amp;""))+1,60),""))))</f>
        <v/>
      </c>
      <c r="H556">
        <f>IF($Q556="","",IF(IF($I$3="","",INDEX(인턴계획표[[정규화1]:[정규화6]],$Q556,$I$3)&amp;"")="","",IF(LEFT(IF($I$3="","",INDEX(인턴계획표[[정규화1]:[정규화6]],$Q556,$I$3)&amp;""),1)="⚠",IF($I$3="","",INDEX(인턴계획표[[정규화1]:[정규화6]],$Q556,$I$3)&amp;""),IFERROR(LEFT(IF($I$3="","",INDEX(인턴계획표[[정규화1]:[정규화6]],$Q556,$I$3)&amp;""),FIND(" ",IF($I$3="","",INDEX(인턴계획표[[정규화1]:[정규화6]],$Q556,$I$3)&amp;""))-1),IF($I$3="","",INDEX(인턴계획표[[정규화1]:[정규화6]],$Q556,$I$3)&amp;"")))))</f>
        <v/>
      </c>
      <c r="I556">
        <f>IF($Q556="","",IF(IF($I$3="","",INDEX(인턴계획표[[정규화1]:[정규화6]],$Q556,$I$3)&amp;"")="","",IF(LEFT(IF($I$3="","",INDEX(인턴계획표[[정규화1]:[정규화6]],$Q556,$I$3)&amp;""),1)="⚠","",IFERROR(MID(IF($I$3="","",INDEX(인턴계획표[[정규화1]:[정규화6]],$Q556,$I$3)&amp;""),FIND(" ",IF($I$3="","",INDEX(인턴계획표[[정규화1]:[정규화6]],$Q556,$I$3)&amp;""))+1,60),""))))</f>
        <v/>
      </c>
      <c r="J556">
        <f>IF($Q556="","",INDEX(인턴계획표[정규화1],$Q556))</f>
        <v/>
      </c>
      <c r="K556">
        <f>IF($Q556="","",INDEX(인턴계획표[정규화2],$Q556))</f>
        <v/>
      </c>
      <c r="L556">
        <f>IF($Q556="","",INDEX(인턴계획표[정규화3],$Q556))</f>
        <v/>
      </c>
      <c r="M556">
        <f>IF($Q556="","",INDEX(인턴계획표[정규화4],$Q556))</f>
        <v/>
      </c>
      <c r="N556">
        <f>IF($Q556="","",INDEX(인턴계획표[정규화5],$Q556))</f>
        <v/>
      </c>
      <c r="O556">
        <f>IF($Q556="","",INDEX(인턴계획표[정규화6],$Q556))</f>
        <v/>
      </c>
      <c r="P556">
        <f>IF($Q556="","",INDEX(인턴계획표[입력오류],$Q556))</f>
        <v/>
      </c>
      <c r="Q556" s="17">
        <f>IFERROR(MATCH(551,인턴계획표[표시순번],0),"")</f>
        <v/>
      </c>
    </row>
    <row r="557">
      <c r="A557">
        <f>IF($Q557="","",INDEX(인턴계획표[순번],$Q557)&amp;"")</f>
        <v/>
      </c>
      <c r="B557">
        <f>IF($Q557="","",TRIM(INDEX(인턴계획표[이름],$Q557)&amp;""))</f>
        <v/>
      </c>
      <c r="C557">
        <f>IF($Q557="","",INDEX(인턴계획표[사번],$Q557)&amp;"")</f>
        <v/>
      </c>
      <c r="D557">
        <f>IF($Q557="","",IF(COUNTIF(기본자료표[사번키],INDEX(인턴계획표[사번키],$Q557))&gt;0,"확인","미등록"))</f>
        <v/>
      </c>
      <c r="E557">
        <f>IF($Q557="","",IF(ISNUMBER(INDEX(인턴계획표[입사일(비고)],$Q557)),TEXT(INDEX(인턴계획표[입사일(비고)],$Q557),"yyyy-mm-dd"),INDEX(인턴계획표[입사일(비고)],$Q557)&amp;""))</f>
        <v/>
      </c>
      <c r="F557">
        <f>IF($Q557="","",IF(IF($G$3="","",INDEX(인턴계획표[[정규화1]:[정규화6]],$Q557,$G$3)&amp;"")="","",IF(LEFT(IF($G$3="","",INDEX(인턴계획표[[정규화1]:[정규화6]],$Q557,$G$3)&amp;""),1)="⚠",IF($G$3="","",INDEX(인턴계획표[[정규화1]:[정규화6]],$Q557,$G$3)&amp;""),IFERROR(LEFT(IF($G$3="","",INDEX(인턴계획표[[정규화1]:[정규화6]],$Q557,$G$3)&amp;""),FIND(" ",IF($G$3="","",INDEX(인턴계획표[[정규화1]:[정규화6]],$Q557,$G$3)&amp;""))-1),IF($G$3="","",INDEX(인턴계획표[[정규화1]:[정규화6]],$Q557,$G$3)&amp;"")))))</f>
        <v/>
      </c>
      <c r="G557">
        <f>IF($Q557="","",IF(IF($G$3="","",INDEX(인턴계획표[[정규화1]:[정규화6]],$Q557,$G$3)&amp;"")="","",IF(LEFT(IF($G$3="","",INDEX(인턴계획표[[정규화1]:[정규화6]],$Q557,$G$3)&amp;""),1)="⚠","",IFERROR(MID(IF($G$3="","",INDEX(인턴계획표[[정규화1]:[정규화6]],$Q557,$G$3)&amp;""),FIND(" ",IF($G$3="","",INDEX(인턴계획표[[정규화1]:[정규화6]],$Q557,$G$3)&amp;""))+1,60),""))))</f>
        <v/>
      </c>
      <c r="H557">
        <f>IF($Q557="","",IF(IF($I$3="","",INDEX(인턴계획표[[정규화1]:[정규화6]],$Q557,$I$3)&amp;"")="","",IF(LEFT(IF($I$3="","",INDEX(인턴계획표[[정규화1]:[정규화6]],$Q557,$I$3)&amp;""),1)="⚠",IF($I$3="","",INDEX(인턴계획표[[정규화1]:[정규화6]],$Q557,$I$3)&amp;""),IFERROR(LEFT(IF($I$3="","",INDEX(인턴계획표[[정규화1]:[정규화6]],$Q557,$I$3)&amp;""),FIND(" ",IF($I$3="","",INDEX(인턴계획표[[정규화1]:[정규화6]],$Q557,$I$3)&amp;""))-1),IF($I$3="","",INDEX(인턴계획표[[정규화1]:[정규화6]],$Q557,$I$3)&amp;"")))))</f>
        <v/>
      </c>
      <c r="I557">
        <f>IF($Q557="","",IF(IF($I$3="","",INDEX(인턴계획표[[정규화1]:[정규화6]],$Q557,$I$3)&amp;"")="","",IF(LEFT(IF($I$3="","",INDEX(인턴계획표[[정규화1]:[정규화6]],$Q557,$I$3)&amp;""),1)="⚠","",IFERROR(MID(IF($I$3="","",INDEX(인턴계획표[[정규화1]:[정규화6]],$Q557,$I$3)&amp;""),FIND(" ",IF($I$3="","",INDEX(인턴계획표[[정규화1]:[정규화6]],$Q557,$I$3)&amp;""))+1,60),""))))</f>
        <v/>
      </c>
      <c r="J557">
        <f>IF($Q557="","",INDEX(인턴계획표[정규화1],$Q557))</f>
        <v/>
      </c>
      <c r="K557">
        <f>IF($Q557="","",INDEX(인턴계획표[정규화2],$Q557))</f>
        <v/>
      </c>
      <c r="L557">
        <f>IF($Q557="","",INDEX(인턴계획표[정규화3],$Q557))</f>
        <v/>
      </c>
      <c r="M557">
        <f>IF($Q557="","",INDEX(인턴계획표[정규화4],$Q557))</f>
        <v/>
      </c>
      <c r="N557">
        <f>IF($Q557="","",INDEX(인턴계획표[정규화5],$Q557))</f>
        <v/>
      </c>
      <c r="O557">
        <f>IF($Q557="","",INDEX(인턴계획표[정규화6],$Q557))</f>
        <v/>
      </c>
      <c r="P557">
        <f>IF($Q557="","",INDEX(인턴계획표[입력오류],$Q557))</f>
        <v/>
      </c>
      <c r="Q557" s="17">
        <f>IFERROR(MATCH(552,인턴계획표[표시순번],0),"")</f>
        <v/>
      </c>
    </row>
    <row r="558">
      <c r="A558">
        <f>IF($Q558="","",INDEX(인턴계획표[순번],$Q558)&amp;"")</f>
        <v/>
      </c>
      <c r="B558">
        <f>IF($Q558="","",TRIM(INDEX(인턴계획표[이름],$Q558)&amp;""))</f>
        <v/>
      </c>
      <c r="C558">
        <f>IF($Q558="","",INDEX(인턴계획표[사번],$Q558)&amp;"")</f>
        <v/>
      </c>
      <c r="D558">
        <f>IF($Q558="","",IF(COUNTIF(기본자료표[사번키],INDEX(인턴계획표[사번키],$Q558))&gt;0,"확인","미등록"))</f>
        <v/>
      </c>
      <c r="E558">
        <f>IF($Q558="","",IF(ISNUMBER(INDEX(인턴계획표[입사일(비고)],$Q558)),TEXT(INDEX(인턴계획표[입사일(비고)],$Q558),"yyyy-mm-dd"),INDEX(인턴계획표[입사일(비고)],$Q558)&amp;""))</f>
        <v/>
      </c>
      <c r="F558">
        <f>IF($Q558="","",IF(IF($G$3="","",INDEX(인턴계획표[[정규화1]:[정규화6]],$Q558,$G$3)&amp;"")="","",IF(LEFT(IF($G$3="","",INDEX(인턴계획표[[정규화1]:[정규화6]],$Q558,$G$3)&amp;""),1)="⚠",IF($G$3="","",INDEX(인턴계획표[[정규화1]:[정규화6]],$Q558,$G$3)&amp;""),IFERROR(LEFT(IF($G$3="","",INDEX(인턴계획표[[정규화1]:[정규화6]],$Q558,$G$3)&amp;""),FIND(" ",IF($G$3="","",INDEX(인턴계획표[[정규화1]:[정규화6]],$Q558,$G$3)&amp;""))-1),IF($G$3="","",INDEX(인턴계획표[[정규화1]:[정규화6]],$Q558,$G$3)&amp;"")))))</f>
        <v/>
      </c>
      <c r="G558">
        <f>IF($Q558="","",IF(IF($G$3="","",INDEX(인턴계획표[[정규화1]:[정규화6]],$Q558,$G$3)&amp;"")="","",IF(LEFT(IF($G$3="","",INDEX(인턴계획표[[정규화1]:[정규화6]],$Q558,$G$3)&amp;""),1)="⚠","",IFERROR(MID(IF($G$3="","",INDEX(인턴계획표[[정규화1]:[정규화6]],$Q558,$G$3)&amp;""),FIND(" ",IF($G$3="","",INDEX(인턴계획표[[정규화1]:[정규화6]],$Q558,$G$3)&amp;""))+1,60),""))))</f>
        <v/>
      </c>
      <c r="H558">
        <f>IF($Q558="","",IF(IF($I$3="","",INDEX(인턴계획표[[정규화1]:[정규화6]],$Q558,$I$3)&amp;"")="","",IF(LEFT(IF($I$3="","",INDEX(인턴계획표[[정규화1]:[정규화6]],$Q558,$I$3)&amp;""),1)="⚠",IF($I$3="","",INDEX(인턴계획표[[정규화1]:[정규화6]],$Q558,$I$3)&amp;""),IFERROR(LEFT(IF($I$3="","",INDEX(인턴계획표[[정규화1]:[정규화6]],$Q558,$I$3)&amp;""),FIND(" ",IF($I$3="","",INDEX(인턴계획표[[정규화1]:[정규화6]],$Q558,$I$3)&amp;""))-1),IF($I$3="","",INDEX(인턴계획표[[정규화1]:[정규화6]],$Q558,$I$3)&amp;"")))))</f>
        <v/>
      </c>
      <c r="I558">
        <f>IF($Q558="","",IF(IF($I$3="","",INDEX(인턴계획표[[정규화1]:[정규화6]],$Q558,$I$3)&amp;"")="","",IF(LEFT(IF($I$3="","",INDEX(인턴계획표[[정규화1]:[정규화6]],$Q558,$I$3)&amp;""),1)="⚠","",IFERROR(MID(IF($I$3="","",INDEX(인턴계획표[[정규화1]:[정규화6]],$Q558,$I$3)&amp;""),FIND(" ",IF($I$3="","",INDEX(인턴계획표[[정규화1]:[정규화6]],$Q558,$I$3)&amp;""))+1,60),""))))</f>
        <v/>
      </c>
      <c r="J558">
        <f>IF($Q558="","",INDEX(인턴계획표[정규화1],$Q558))</f>
        <v/>
      </c>
      <c r="K558">
        <f>IF($Q558="","",INDEX(인턴계획표[정규화2],$Q558))</f>
        <v/>
      </c>
      <c r="L558">
        <f>IF($Q558="","",INDEX(인턴계획표[정규화3],$Q558))</f>
        <v/>
      </c>
      <c r="M558">
        <f>IF($Q558="","",INDEX(인턴계획표[정규화4],$Q558))</f>
        <v/>
      </c>
      <c r="N558">
        <f>IF($Q558="","",INDEX(인턴계획표[정규화5],$Q558))</f>
        <v/>
      </c>
      <c r="O558">
        <f>IF($Q558="","",INDEX(인턴계획표[정규화6],$Q558))</f>
        <v/>
      </c>
      <c r="P558">
        <f>IF($Q558="","",INDEX(인턴계획표[입력오류],$Q558))</f>
        <v/>
      </c>
      <c r="Q558" s="17">
        <f>IFERROR(MATCH(553,인턴계획표[표시순번],0),"")</f>
        <v/>
      </c>
    </row>
    <row r="559">
      <c r="A559">
        <f>IF($Q559="","",INDEX(인턴계획표[순번],$Q559)&amp;"")</f>
        <v/>
      </c>
      <c r="B559">
        <f>IF($Q559="","",TRIM(INDEX(인턴계획표[이름],$Q559)&amp;""))</f>
        <v/>
      </c>
      <c r="C559">
        <f>IF($Q559="","",INDEX(인턴계획표[사번],$Q559)&amp;"")</f>
        <v/>
      </c>
      <c r="D559">
        <f>IF($Q559="","",IF(COUNTIF(기본자료표[사번키],INDEX(인턴계획표[사번키],$Q559))&gt;0,"확인","미등록"))</f>
        <v/>
      </c>
      <c r="E559">
        <f>IF($Q559="","",IF(ISNUMBER(INDEX(인턴계획표[입사일(비고)],$Q559)),TEXT(INDEX(인턴계획표[입사일(비고)],$Q559),"yyyy-mm-dd"),INDEX(인턴계획표[입사일(비고)],$Q559)&amp;""))</f>
        <v/>
      </c>
      <c r="F559">
        <f>IF($Q559="","",IF(IF($G$3="","",INDEX(인턴계획표[[정규화1]:[정규화6]],$Q559,$G$3)&amp;"")="","",IF(LEFT(IF($G$3="","",INDEX(인턴계획표[[정규화1]:[정규화6]],$Q559,$G$3)&amp;""),1)="⚠",IF($G$3="","",INDEX(인턴계획표[[정규화1]:[정규화6]],$Q559,$G$3)&amp;""),IFERROR(LEFT(IF($G$3="","",INDEX(인턴계획표[[정규화1]:[정규화6]],$Q559,$G$3)&amp;""),FIND(" ",IF($G$3="","",INDEX(인턴계획표[[정규화1]:[정규화6]],$Q559,$G$3)&amp;""))-1),IF($G$3="","",INDEX(인턴계획표[[정규화1]:[정규화6]],$Q559,$G$3)&amp;"")))))</f>
        <v/>
      </c>
      <c r="G559">
        <f>IF($Q559="","",IF(IF($G$3="","",INDEX(인턴계획표[[정규화1]:[정규화6]],$Q559,$G$3)&amp;"")="","",IF(LEFT(IF($G$3="","",INDEX(인턴계획표[[정규화1]:[정규화6]],$Q559,$G$3)&amp;""),1)="⚠","",IFERROR(MID(IF($G$3="","",INDEX(인턴계획표[[정규화1]:[정규화6]],$Q559,$G$3)&amp;""),FIND(" ",IF($G$3="","",INDEX(인턴계획표[[정규화1]:[정규화6]],$Q559,$G$3)&amp;""))+1,60),""))))</f>
        <v/>
      </c>
      <c r="H559">
        <f>IF($Q559="","",IF(IF($I$3="","",INDEX(인턴계획표[[정규화1]:[정규화6]],$Q559,$I$3)&amp;"")="","",IF(LEFT(IF($I$3="","",INDEX(인턴계획표[[정규화1]:[정규화6]],$Q559,$I$3)&amp;""),1)="⚠",IF($I$3="","",INDEX(인턴계획표[[정규화1]:[정규화6]],$Q559,$I$3)&amp;""),IFERROR(LEFT(IF($I$3="","",INDEX(인턴계획표[[정규화1]:[정규화6]],$Q559,$I$3)&amp;""),FIND(" ",IF($I$3="","",INDEX(인턴계획표[[정규화1]:[정규화6]],$Q559,$I$3)&amp;""))-1),IF($I$3="","",INDEX(인턴계획표[[정규화1]:[정규화6]],$Q559,$I$3)&amp;"")))))</f>
        <v/>
      </c>
      <c r="I559">
        <f>IF($Q559="","",IF(IF($I$3="","",INDEX(인턴계획표[[정규화1]:[정규화6]],$Q559,$I$3)&amp;"")="","",IF(LEFT(IF($I$3="","",INDEX(인턴계획표[[정규화1]:[정규화6]],$Q559,$I$3)&amp;""),1)="⚠","",IFERROR(MID(IF($I$3="","",INDEX(인턴계획표[[정규화1]:[정규화6]],$Q559,$I$3)&amp;""),FIND(" ",IF($I$3="","",INDEX(인턴계획표[[정규화1]:[정규화6]],$Q559,$I$3)&amp;""))+1,60),""))))</f>
        <v/>
      </c>
      <c r="J559">
        <f>IF($Q559="","",INDEX(인턴계획표[정규화1],$Q559))</f>
        <v/>
      </c>
      <c r="K559">
        <f>IF($Q559="","",INDEX(인턴계획표[정규화2],$Q559))</f>
        <v/>
      </c>
      <c r="L559">
        <f>IF($Q559="","",INDEX(인턴계획표[정규화3],$Q559))</f>
        <v/>
      </c>
      <c r="M559">
        <f>IF($Q559="","",INDEX(인턴계획표[정규화4],$Q559))</f>
        <v/>
      </c>
      <c r="N559">
        <f>IF($Q559="","",INDEX(인턴계획표[정규화5],$Q559))</f>
        <v/>
      </c>
      <c r="O559">
        <f>IF($Q559="","",INDEX(인턴계획표[정규화6],$Q559))</f>
        <v/>
      </c>
      <c r="P559">
        <f>IF($Q559="","",INDEX(인턴계획표[입력오류],$Q559))</f>
        <v/>
      </c>
      <c r="Q559" s="17">
        <f>IFERROR(MATCH(554,인턴계획표[표시순번],0),"")</f>
        <v/>
      </c>
    </row>
    <row r="560">
      <c r="A560">
        <f>IF($Q560="","",INDEX(인턴계획표[순번],$Q560)&amp;"")</f>
        <v/>
      </c>
      <c r="B560">
        <f>IF($Q560="","",TRIM(INDEX(인턴계획표[이름],$Q560)&amp;""))</f>
        <v/>
      </c>
      <c r="C560">
        <f>IF($Q560="","",INDEX(인턴계획표[사번],$Q560)&amp;"")</f>
        <v/>
      </c>
      <c r="D560">
        <f>IF($Q560="","",IF(COUNTIF(기본자료표[사번키],INDEX(인턴계획표[사번키],$Q560))&gt;0,"확인","미등록"))</f>
        <v/>
      </c>
      <c r="E560">
        <f>IF($Q560="","",IF(ISNUMBER(INDEX(인턴계획표[입사일(비고)],$Q560)),TEXT(INDEX(인턴계획표[입사일(비고)],$Q560),"yyyy-mm-dd"),INDEX(인턴계획표[입사일(비고)],$Q560)&amp;""))</f>
        <v/>
      </c>
      <c r="F560">
        <f>IF($Q560="","",IF(IF($G$3="","",INDEX(인턴계획표[[정규화1]:[정규화6]],$Q560,$G$3)&amp;"")="","",IF(LEFT(IF($G$3="","",INDEX(인턴계획표[[정규화1]:[정규화6]],$Q560,$G$3)&amp;""),1)="⚠",IF($G$3="","",INDEX(인턴계획표[[정규화1]:[정규화6]],$Q560,$G$3)&amp;""),IFERROR(LEFT(IF($G$3="","",INDEX(인턴계획표[[정규화1]:[정규화6]],$Q560,$G$3)&amp;""),FIND(" ",IF($G$3="","",INDEX(인턴계획표[[정규화1]:[정규화6]],$Q560,$G$3)&amp;""))-1),IF($G$3="","",INDEX(인턴계획표[[정규화1]:[정규화6]],$Q560,$G$3)&amp;"")))))</f>
        <v/>
      </c>
      <c r="G560">
        <f>IF($Q560="","",IF(IF($G$3="","",INDEX(인턴계획표[[정규화1]:[정규화6]],$Q560,$G$3)&amp;"")="","",IF(LEFT(IF($G$3="","",INDEX(인턴계획표[[정규화1]:[정규화6]],$Q560,$G$3)&amp;""),1)="⚠","",IFERROR(MID(IF($G$3="","",INDEX(인턴계획표[[정규화1]:[정규화6]],$Q560,$G$3)&amp;""),FIND(" ",IF($G$3="","",INDEX(인턴계획표[[정규화1]:[정규화6]],$Q560,$G$3)&amp;""))+1,60),""))))</f>
        <v/>
      </c>
      <c r="H560">
        <f>IF($Q560="","",IF(IF($I$3="","",INDEX(인턴계획표[[정규화1]:[정규화6]],$Q560,$I$3)&amp;"")="","",IF(LEFT(IF($I$3="","",INDEX(인턴계획표[[정규화1]:[정규화6]],$Q560,$I$3)&amp;""),1)="⚠",IF($I$3="","",INDEX(인턴계획표[[정규화1]:[정규화6]],$Q560,$I$3)&amp;""),IFERROR(LEFT(IF($I$3="","",INDEX(인턴계획표[[정규화1]:[정규화6]],$Q560,$I$3)&amp;""),FIND(" ",IF($I$3="","",INDEX(인턴계획표[[정규화1]:[정규화6]],$Q560,$I$3)&amp;""))-1),IF($I$3="","",INDEX(인턴계획표[[정규화1]:[정규화6]],$Q560,$I$3)&amp;"")))))</f>
        <v/>
      </c>
      <c r="I560">
        <f>IF($Q560="","",IF(IF($I$3="","",INDEX(인턴계획표[[정규화1]:[정규화6]],$Q560,$I$3)&amp;"")="","",IF(LEFT(IF($I$3="","",INDEX(인턴계획표[[정규화1]:[정규화6]],$Q560,$I$3)&amp;""),1)="⚠","",IFERROR(MID(IF($I$3="","",INDEX(인턴계획표[[정규화1]:[정규화6]],$Q560,$I$3)&amp;""),FIND(" ",IF($I$3="","",INDEX(인턴계획표[[정규화1]:[정규화6]],$Q560,$I$3)&amp;""))+1,60),""))))</f>
        <v/>
      </c>
      <c r="J560">
        <f>IF($Q560="","",INDEX(인턴계획표[정규화1],$Q560))</f>
        <v/>
      </c>
      <c r="K560">
        <f>IF($Q560="","",INDEX(인턴계획표[정규화2],$Q560))</f>
        <v/>
      </c>
      <c r="L560">
        <f>IF($Q560="","",INDEX(인턴계획표[정규화3],$Q560))</f>
        <v/>
      </c>
      <c r="M560">
        <f>IF($Q560="","",INDEX(인턴계획표[정규화4],$Q560))</f>
        <v/>
      </c>
      <c r="N560">
        <f>IF($Q560="","",INDEX(인턴계획표[정규화5],$Q560))</f>
        <v/>
      </c>
      <c r="O560">
        <f>IF($Q560="","",INDEX(인턴계획표[정규화6],$Q560))</f>
        <v/>
      </c>
      <c r="P560">
        <f>IF($Q560="","",INDEX(인턴계획표[입력오류],$Q560))</f>
        <v/>
      </c>
      <c r="Q560" s="17">
        <f>IFERROR(MATCH(555,인턴계획표[표시순번],0),"")</f>
        <v/>
      </c>
    </row>
    <row r="561">
      <c r="A561">
        <f>IF($Q561="","",INDEX(인턴계획표[순번],$Q561)&amp;"")</f>
        <v/>
      </c>
      <c r="B561">
        <f>IF($Q561="","",TRIM(INDEX(인턴계획표[이름],$Q561)&amp;""))</f>
        <v/>
      </c>
      <c r="C561">
        <f>IF($Q561="","",INDEX(인턴계획표[사번],$Q561)&amp;"")</f>
        <v/>
      </c>
      <c r="D561">
        <f>IF($Q561="","",IF(COUNTIF(기본자료표[사번키],INDEX(인턴계획표[사번키],$Q561))&gt;0,"확인","미등록"))</f>
        <v/>
      </c>
      <c r="E561">
        <f>IF($Q561="","",IF(ISNUMBER(INDEX(인턴계획표[입사일(비고)],$Q561)),TEXT(INDEX(인턴계획표[입사일(비고)],$Q561),"yyyy-mm-dd"),INDEX(인턴계획표[입사일(비고)],$Q561)&amp;""))</f>
        <v/>
      </c>
      <c r="F561">
        <f>IF($Q561="","",IF(IF($G$3="","",INDEX(인턴계획표[[정규화1]:[정규화6]],$Q561,$G$3)&amp;"")="","",IF(LEFT(IF($G$3="","",INDEX(인턴계획표[[정규화1]:[정규화6]],$Q561,$G$3)&amp;""),1)="⚠",IF($G$3="","",INDEX(인턴계획표[[정규화1]:[정규화6]],$Q561,$G$3)&amp;""),IFERROR(LEFT(IF($G$3="","",INDEX(인턴계획표[[정규화1]:[정규화6]],$Q561,$G$3)&amp;""),FIND(" ",IF($G$3="","",INDEX(인턴계획표[[정규화1]:[정규화6]],$Q561,$G$3)&amp;""))-1),IF($G$3="","",INDEX(인턴계획표[[정규화1]:[정규화6]],$Q561,$G$3)&amp;"")))))</f>
        <v/>
      </c>
      <c r="G561">
        <f>IF($Q561="","",IF(IF($G$3="","",INDEX(인턴계획표[[정규화1]:[정규화6]],$Q561,$G$3)&amp;"")="","",IF(LEFT(IF($G$3="","",INDEX(인턴계획표[[정규화1]:[정규화6]],$Q561,$G$3)&amp;""),1)="⚠","",IFERROR(MID(IF($G$3="","",INDEX(인턴계획표[[정규화1]:[정규화6]],$Q561,$G$3)&amp;""),FIND(" ",IF($G$3="","",INDEX(인턴계획표[[정규화1]:[정규화6]],$Q561,$G$3)&amp;""))+1,60),""))))</f>
        <v/>
      </c>
      <c r="H561">
        <f>IF($Q561="","",IF(IF($I$3="","",INDEX(인턴계획표[[정규화1]:[정규화6]],$Q561,$I$3)&amp;"")="","",IF(LEFT(IF($I$3="","",INDEX(인턴계획표[[정규화1]:[정규화6]],$Q561,$I$3)&amp;""),1)="⚠",IF($I$3="","",INDEX(인턴계획표[[정규화1]:[정규화6]],$Q561,$I$3)&amp;""),IFERROR(LEFT(IF($I$3="","",INDEX(인턴계획표[[정규화1]:[정규화6]],$Q561,$I$3)&amp;""),FIND(" ",IF($I$3="","",INDEX(인턴계획표[[정규화1]:[정규화6]],$Q561,$I$3)&amp;""))-1),IF($I$3="","",INDEX(인턴계획표[[정규화1]:[정규화6]],$Q561,$I$3)&amp;"")))))</f>
        <v/>
      </c>
      <c r="I561">
        <f>IF($Q561="","",IF(IF($I$3="","",INDEX(인턴계획표[[정규화1]:[정규화6]],$Q561,$I$3)&amp;"")="","",IF(LEFT(IF($I$3="","",INDEX(인턴계획표[[정규화1]:[정규화6]],$Q561,$I$3)&amp;""),1)="⚠","",IFERROR(MID(IF($I$3="","",INDEX(인턴계획표[[정규화1]:[정규화6]],$Q561,$I$3)&amp;""),FIND(" ",IF($I$3="","",INDEX(인턴계획표[[정규화1]:[정규화6]],$Q561,$I$3)&amp;""))+1,60),""))))</f>
        <v/>
      </c>
      <c r="J561">
        <f>IF($Q561="","",INDEX(인턴계획표[정규화1],$Q561))</f>
        <v/>
      </c>
      <c r="K561">
        <f>IF($Q561="","",INDEX(인턴계획표[정규화2],$Q561))</f>
        <v/>
      </c>
      <c r="L561">
        <f>IF($Q561="","",INDEX(인턴계획표[정규화3],$Q561))</f>
        <v/>
      </c>
      <c r="M561">
        <f>IF($Q561="","",INDEX(인턴계획표[정규화4],$Q561))</f>
        <v/>
      </c>
      <c r="N561">
        <f>IF($Q561="","",INDEX(인턴계획표[정규화5],$Q561))</f>
        <v/>
      </c>
      <c r="O561">
        <f>IF($Q561="","",INDEX(인턴계획표[정규화6],$Q561))</f>
        <v/>
      </c>
      <c r="P561">
        <f>IF($Q561="","",INDEX(인턴계획표[입력오류],$Q561))</f>
        <v/>
      </c>
      <c r="Q561" s="17">
        <f>IFERROR(MATCH(556,인턴계획표[표시순번],0),"")</f>
        <v/>
      </c>
    </row>
    <row r="562">
      <c r="A562">
        <f>IF($Q562="","",INDEX(인턴계획표[순번],$Q562)&amp;"")</f>
        <v/>
      </c>
      <c r="B562">
        <f>IF($Q562="","",TRIM(INDEX(인턴계획표[이름],$Q562)&amp;""))</f>
        <v/>
      </c>
      <c r="C562">
        <f>IF($Q562="","",INDEX(인턴계획표[사번],$Q562)&amp;"")</f>
        <v/>
      </c>
      <c r="D562">
        <f>IF($Q562="","",IF(COUNTIF(기본자료표[사번키],INDEX(인턴계획표[사번키],$Q562))&gt;0,"확인","미등록"))</f>
        <v/>
      </c>
      <c r="E562">
        <f>IF($Q562="","",IF(ISNUMBER(INDEX(인턴계획표[입사일(비고)],$Q562)),TEXT(INDEX(인턴계획표[입사일(비고)],$Q562),"yyyy-mm-dd"),INDEX(인턴계획표[입사일(비고)],$Q562)&amp;""))</f>
        <v/>
      </c>
      <c r="F562">
        <f>IF($Q562="","",IF(IF($G$3="","",INDEX(인턴계획표[[정규화1]:[정규화6]],$Q562,$G$3)&amp;"")="","",IF(LEFT(IF($G$3="","",INDEX(인턴계획표[[정규화1]:[정규화6]],$Q562,$G$3)&amp;""),1)="⚠",IF($G$3="","",INDEX(인턴계획표[[정규화1]:[정규화6]],$Q562,$G$3)&amp;""),IFERROR(LEFT(IF($G$3="","",INDEX(인턴계획표[[정규화1]:[정규화6]],$Q562,$G$3)&amp;""),FIND(" ",IF($G$3="","",INDEX(인턴계획표[[정규화1]:[정규화6]],$Q562,$G$3)&amp;""))-1),IF($G$3="","",INDEX(인턴계획표[[정규화1]:[정규화6]],$Q562,$G$3)&amp;"")))))</f>
        <v/>
      </c>
      <c r="G562">
        <f>IF($Q562="","",IF(IF($G$3="","",INDEX(인턴계획표[[정규화1]:[정규화6]],$Q562,$G$3)&amp;"")="","",IF(LEFT(IF($G$3="","",INDEX(인턴계획표[[정규화1]:[정규화6]],$Q562,$G$3)&amp;""),1)="⚠","",IFERROR(MID(IF($G$3="","",INDEX(인턴계획표[[정규화1]:[정규화6]],$Q562,$G$3)&amp;""),FIND(" ",IF($G$3="","",INDEX(인턴계획표[[정규화1]:[정규화6]],$Q562,$G$3)&amp;""))+1,60),""))))</f>
        <v/>
      </c>
      <c r="H562">
        <f>IF($Q562="","",IF(IF($I$3="","",INDEX(인턴계획표[[정규화1]:[정규화6]],$Q562,$I$3)&amp;"")="","",IF(LEFT(IF($I$3="","",INDEX(인턴계획표[[정규화1]:[정규화6]],$Q562,$I$3)&amp;""),1)="⚠",IF($I$3="","",INDEX(인턴계획표[[정규화1]:[정규화6]],$Q562,$I$3)&amp;""),IFERROR(LEFT(IF($I$3="","",INDEX(인턴계획표[[정규화1]:[정규화6]],$Q562,$I$3)&amp;""),FIND(" ",IF($I$3="","",INDEX(인턴계획표[[정규화1]:[정규화6]],$Q562,$I$3)&amp;""))-1),IF($I$3="","",INDEX(인턴계획표[[정규화1]:[정규화6]],$Q562,$I$3)&amp;"")))))</f>
        <v/>
      </c>
      <c r="I562">
        <f>IF($Q562="","",IF(IF($I$3="","",INDEX(인턴계획표[[정규화1]:[정규화6]],$Q562,$I$3)&amp;"")="","",IF(LEFT(IF($I$3="","",INDEX(인턴계획표[[정규화1]:[정규화6]],$Q562,$I$3)&amp;""),1)="⚠","",IFERROR(MID(IF($I$3="","",INDEX(인턴계획표[[정규화1]:[정규화6]],$Q562,$I$3)&amp;""),FIND(" ",IF($I$3="","",INDEX(인턴계획표[[정규화1]:[정규화6]],$Q562,$I$3)&amp;""))+1,60),""))))</f>
        <v/>
      </c>
      <c r="J562">
        <f>IF($Q562="","",INDEX(인턴계획표[정규화1],$Q562))</f>
        <v/>
      </c>
      <c r="K562">
        <f>IF($Q562="","",INDEX(인턴계획표[정규화2],$Q562))</f>
        <v/>
      </c>
      <c r="L562">
        <f>IF($Q562="","",INDEX(인턴계획표[정규화3],$Q562))</f>
        <v/>
      </c>
      <c r="M562">
        <f>IF($Q562="","",INDEX(인턴계획표[정규화4],$Q562))</f>
        <v/>
      </c>
      <c r="N562">
        <f>IF($Q562="","",INDEX(인턴계획표[정규화5],$Q562))</f>
        <v/>
      </c>
      <c r="O562">
        <f>IF($Q562="","",INDEX(인턴계획표[정규화6],$Q562))</f>
        <v/>
      </c>
      <c r="P562">
        <f>IF($Q562="","",INDEX(인턴계획표[입력오류],$Q562))</f>
        <v/>
      </c>
      <c r="Q562" s="17">
        <f>IFERROR(MATCH(557,인턴계획표[표시순번],0),"")</f>
        <v/>
      </c>
    </row>
    <row r="563">
      <c r="A563">
        <f>IF($Q563="","",INDEX(인턴계획표[순번],$Q563)&amp;"")</f>
        <v/>
      </c>
      <c r="B563">
        <f>IF($Q563="","",TRIM(INDEX(인턴계획표[이름],$Q563)&amp;""))</f>
        <v/>
      </c>
      <c r="C563">
        <f>IF($Q563="","",INDEX(인턴계획표[사번],$Q563)&amp;"")</f>
        <v/>
      </c>
      <c r="D563">
        <f>IF($Q563="","",IF(COUNTIF(기본자료표[사번키],INDEX(인턴계획표[사번키],$Q563))&gt;0,"확인","미등록"))</f>
        <v/>
      </c>
      <c r="E563">
        <f>IF($Q563="","",IF(ISNUMBER(INDEX(인턴계획표[입사일(비고)],$Q563)),TEXT(INDEX(인턴계획표[입사일(비고)],$Q563),"yyyy-mm-dd"),INDEX(인턴계획표[입사일(비고)],$Q563)&amp;""))</f>
        <v/>
      </c>
      <c r="F563">
        <f>IF($Q563="","",IF(IF($G$3="","",INDEX(인턴계획표[[정규화1]:[정규화6]],$Q563,$G$3)&amp;"")="","",IF(LEFT(IF($G$3="","",INDEX(인턴계획표[[정규화1]:[정규화6]],$Q563,$G$3)&amp;""),1)="⚠",IF($G$3="","",INDEX(인턴계획표[[정규화1]:[정규화6]],$Q563,$G$3)&amp;""),IFERROR(LEFT(IF($G$3="","",INDEX(인턴계획표[[정규화1]:[정규화6]],$Q563,$G$3)&amp;""),FIND(" ",IF($G$3="","",INDEX(인턴계획표[[정규화1]:[정규화6]],$Q563,$G$3)&amp;""))-1),IF($G$3="","",INDEX(인턴계획표[[정규화1]:[정규화6]],$Q563,$G$3)&amp;"")))))</f>
        <v/>
      </c>
      <c r="G563">
        <f>IF($Q563="","",IF(IF($G$3="","",INDEX(인턴계획표[[정규화1]:[정규화6]],$Q563,$G$3)&amp;"")="","",IF(LEFT(IF($G$3="","",INDEX(인턴계획표[[정규화1]:[정규화6]],$Q563,$G$3)&amp;""),1)="⚠","",IFERROR(MID(IF($G$3="","",INDEX(인턴계획표[[정규화1]:[정규화6]],$Q563,$G$3)&amp;""),FIND(" ",IF($G$3="","",INDEX(인턴계획표[[정규화1]:[정규화6]],$Q563,$G$3)&amp;""))+1,60),""))))</f>
        <v/>
      </c>
      <c r="H563">
        <f>IF($Q563="","",IF(IF($I$3="","",INDEX(인턴계획표[[정규화1]:[정규화6]],$Q563,$I$3)&amp;"")="","",IF(LEFT(IF($I$3="","",INDEX(인턴계획표[[정규화1]:[정규화6]],$Q563,$I$3)&amp;""),1)="⚠",IF($I$3="","",INDEX(인턴계획표[[정규화1]:[정규화6]],$Q563,$I$3)&amp;""),IFERROR(LEFT(IF($I$3="","",INDEX(인턴계획표[[정규화1]:[정규화6]],$Q563,$I$3)&amp;""),FIND(" ",IF($I$3="","",INDEX(인턴계획표[[정규화1]:[정규화6]],$Q563,$I$3)&amp;""))-1),IF($I$3="","",INDEX(인턴계획표[[정규화1]:[정규화6]],$Q563,$I$3)&amp;"")))))</f>
        <v/>
      </c>
      <c r="I563">
        <f>IF($Q563="","",IF(IF($I$3="","",INDEX(인턴계획표[[정규화1]:[정규화6]],$Q563,$I$3)&amp;"")="","",IF(LEFT(IF($I$3="","",INDEX(인턴계획표[[정규화1]:[정규화6]],$Q563,$I$3)&amp;""),1)="⚠","",IFERROR(MID(IF($I$3="","",INDEX(인턴계획표[[정규화1]:[정규화6]],$Q563,$I$3)&amp;""),FIND(" ",IF($I$3="","",INDEX(인턴계획표[[정규화1]:[정규화6]],$Q563,$I$3)&amp;""))+1,60),""))))</f>
        <v/>
      </c>
      <c r="J563">
        <f>IF($Q563="","",INDEX(인턴계획표[정규화1],$Q563))</f>
        <v/>
      </c>
      <c r="K563">
        <f>IF($Q563="","",INDEX(인턴계획표[정규화2],$Q563))</f>
        <v/>
      </c>
      <c r="L563">
        <f>IF($Q563="","",INDEX(인턴계획표[정규화3],$Q563))</f>
        <v/>
      </c>
      <c r="M563">
        <f>IF($Q563="","",INDEX(인턴계획표[정규화4],$Q563))</f>
        <v/>
      </c>
      <c r="N563">
        <f>IF($Q563="","",INDEX(인턴계획표[정규화5],$Q563))</f>
        <v/>
      </c>
      <c r="O563">
        <f>IF($Q563="","",INDEX(인턴계획표[정규화6],$Q563))</f>
        <v/>
      </c>
      <c r="P563">
        <f>IF($Q563="","",INDEX(인턴계획표[입력오류],$Q563))</f>
        <v/>
      </c>
      <c r="Q563" s="17">
        <f>IFERROR(MATCH(558,인턴계획표[표시순번],0),"")</f>
        <v/>
      </c>
    </row>
    <row r="564">
      <c r="A564">
        <f>IF($Q564="","",INDEX(인턴계획표[순번],$Q564)&amp;"")</f>
        <v/>
      </c>
      <c r="B564">
        <f>IF($Q564="","",TRIM(INDEX(인턴계획표[이름],$Q564)&amp;""))</f>
        <v/>
      </c>
      <c r="C564">
        <f>IF($Q564="","",INDEX(인턴계획표[사번],$Q564)&amp;"")</f>
        <v/>
      </c>
      <c r="D564">
        <f>IF($Q564="","",IF(COUNTIF(기본자료표[사번키],INDEX(인턴계획표[사번키],$Q564))&gt;0,"확인","미등록"))</f>
        <v/>
      </c>
      <c r="E564">
        <f>IF($Q564="","",IF(ISNUMBER(INDEX(인턴계획표[입사일(비고)],$Q564)),TEXT(INDEX(인턴계획표[입사일(비고)],$Q564),"yyyy-mm-dd"),INDEX(인턴계획표[입사일(비고)],$Q564)&amp;""))</f>
        <v/>
      </c>
      <c r="F564">
        <f>IF($Q564="","",IF(IF($G$3="","",INDEX(인턴계획표[[정규화1]:[정규화6]],$Q564,$G$3)&amp;"")="","",IF(LEFT(IF($G$3="","",INDEX(인턴계획표[[정규화1]:[정규화6]],$Q564,$G$3)&amp;""),1)="⚠",IF($G$3="","",INDEX(인턴계획표[[정규화1]:[정규화6]],$Q564,$G$3)&amp;""),IFERROR(LEFT(IF($G$3="","",INDEX(인턴계획표[[정규화1]:[정규화6]],$Q564,$G$3)&amp;""),FIND(" ",IF($G$3="","",INDEX(인턴계획표[[정규화1]:[정규화6]],$Q564,$G$3)&amp;""))-1),IF($G$3="","",INDEX(인턴계획표[[정규화1]:[정규화6]],$Q564,$G$3)&amp;"")))))</f>
        <v/>
      </c>
      <c r="G564">
        <f>IF($Q564="","",IF(IF($G$3="","",INDEX(인턴계획표[[정규화1]:[정규화6]],$Q564,$G$3)&amp;"")="","",IF(LEFT(IF($G$3="","",INDEX(인턴계획표[[정규화1]:[정규화6]],$Q564,$G$3)&amp;""),1)="⚠","",IFERROR(MID(IF($G$3="","",INDEX(인턴계획표[[정규화1]:[정규화6]],$Q564,$G$3)&amp;""),FIND(" ",IF($G$3="","",INDEX(인턴계획표[[정규화1]:[정규화6]],$Q564,$G$3)&amp;""))+1,60),""))))</f>
        <v/>
      </c>
      <c r="H564">
        <f>IF($Q564="","",IF(IF($I$3="","",INDEX(인턴계획표[[정규화1]:[정규화6]],$Q564,$I$3)&amp;"")="","",IF(LEFT(IF($I$3="","",INDEX(인턴계획표[[정규화1]:[정규화6]],$Q564,$I$3)&amp;""),1)="⚠",IF($I$3="","",INDEX(인턴계획표[[정규화1]:[정규화6]],$Q564,$I$3)&amp;""),IFERROR(LEFT(IF($I$3="","",INDEX(인턴계획표[[정규화1]:[정규화6]],$Q564,$I$3)&amp;""),FIND(" ",IF($I$3="","",INDEX(인턴계획표[[정규화1]:[정규화6]],$Q564,$I$3)&amp;""))-1),IF($I$3="","",INDEX(인턴계획표[[정규화1]:[정규화6]],$Q564,$I$3)&amp;"")))))</f>
        <v/>
      </c>
      <c r="I564">
        <f>IF($Q564="","",IF(IF($I$3="","",INDEX(인턴계획표[[정규화1]:[정규화6]],$Q564,$I$3)&amp;"")="","",IF(LEFT(IF($I$3="","",INDEX(인턴계획표[[정규화1]:[정규화6]],$Q564,$I$3)&amp;""),1)="⚠","",IFERROR(MID(IF($I$3="","",INDEX(인턴계획표[[정규화1]:[정규화6]],$Q564,$I$3)&amp;""),FIND(" ",IF($I$3="","",INDEX(인턴계획표[[정규화1]:[정규화6]],$Q564,$I$3)&amp;""))+1,60),""))))</f>
        <v/>
      </c>
      <c r="J564">
        <f>IF($Q564="","",INDEX(인턴계획표[정규화1],$Q564))</f>
        <v/>
      </c>
      <c r="K564">
        <f>IF($Q564="","",INDEX(인턴계획표[정규화2],$Q564))</f>
        <v/>
      </c>
      <c r="L564">
        <f>IF($Q564="","",INDEX(인턴계획표[정규화3],$Q564))</f>
        <v/>
      </c>
      <c r="M564">
        <f>IF($Q564="","",INDEX(인턴계획표[정규화4],$Q564))</f>
        <v/>
      </c>
      <c r="N564">
        <f>IF($Q564="","",INDEX(인턴계획표[정규화5],$Q564))</f>
        <v/>
      </c>
      <c r="O564">
        <f>IF($Q564="","",INDEX(인턴계획표[정규화6],$Q564))</f>
        <v/>
      </c>
      <c r="P564">
        <f>IF($Q564="","",INDEX(인턴계획표[입력오류],$Q564))</f>
        <v/>
      </c>
      <c r="Q564" s="17">
        <f>IFERROR(MATCH(559,인턴계획표[표시순번],0),"")</f>
        <v/>
      </c>
    </row>
    <row r="565">
      <c r="A565">
        <f>IF($Q565="","",INDEX(인턴계획표[순번],$Q565)&amp;"")</f>
        <v/>
      </c>
      <c r="B565">
        <f>IF($Q565="","",TRIM(INDEX(인턴계획표[이름],$Q565)&amp;""))</f>
        <v/>
      </c>
      <c r="C565">
        <f>IF($Q565="","",INDEX(인턴계획표[사번],$Q565)&amp;"")</f>
        <v/>
      </c>
      <c r="D565">
        <f>IF($Q565="","",IF(COUNTIF(기본자료표[사번키],INDEX(인턴계획표[사번키],$Q565))&gt;0,"확인","미등록"))</f>
        <v/>
      </c>
      <c r="E565">
        <f>IF($Q565="","",IF(ISNUMBER(INDEX(인턴계획표[입사일(비고)],$Q565)),TEXT(INDEX(인턴계획표[입사일(비고)],$Q565),"yyyy-mm-dd"),INDEX(인턴계획표[입사일(비고)],$Q565)&amp;""))</f>
        <v/>
      </c>
      <c r="F565">
        <f>IF($Q565="","",IF(IF($G$3="","",INDEX(인턴계획표[[정규화1]:[정규화6]],$Q565,$G$3)&amp;"")="","",IF(LEFT(IF($G$3="","",INDEX(인턴계획표[[정규화1]:[정규화6]],$Q565,$G$3)&amp;""),1)="⚠",IF($G$3="","",INDEX(인턴계획표[[정규화1]:[정규화6]],$Q565,$G$3)&amp;""),IFERROR(LEFT(IF($G$3="","",INDEX(인턴계획표[[정규화1]:[정규화6]],$Q565,$G$3)&amp;""),FIND(" ",IF($G$3="","",INDEX(인턴계획표[[정규화1]:[정규화6]],$Q565,$G$3)&amp;""))-1),IF($G$3="","",INDEX(인턴계획표[[정규화1]:[정규화6]],$Q565,$G$3)&amp;"")))))</f>
        <v/>
      </c>
      <c r="G565">
        <f>IF($Q565="","",IF(IF($G$3="","",INDEX(인턴계획표[[정규화1]:[정규화6]],$Q565,$G$3)&amp;"")="","",IF(LEFT(IF($G$3="","",INDEX(인턴계획표[[정규화1]:[정규화6]],$Q565,$G$3)&amp;""),1)="⚠","",IFERROR(MID(IF($G$3="","",INDEX(인턴계획표[[정규화1]:[정규화6]],$Q565,$G$3)&amp;""),FIND(" ",IF($G$3="","",INDEX(인턴계획표[[정규화1]:[정규화6]],$Q565,$G$3)&amp;""))+1,60),""))))</f>
        <v/>
      </c>
      <c r="H565">
        <f>IF($Q565="","",IF(IF($I$3="","",INDEX(인턴계획표[[정규화1]:[정규화6]],$Q565,$I$3)&amp;"")="","",IF(LEFT(IF($I$3="","",INDEX(인턴계획표[[정규화1]:[정규화6]],$Q565,$I$3)&amp;""),1)="⚠",IF($I$3="","",INDEX(인턴계획표[[정규화1]:[정규화6]],$Q565,$I$3)&amp;""),IFERROR(LEFT(IF($I$3="","",INDEX(인턴계획표[[정규화1]:[정규화6]],$Q565,$I$3)&amp;""),FIND(" ",IF($I$3="","",INDEX(인턴계획표[[정규화1]:[정규화6]],$Q565,$I$3)&amp;""))-1),IF($I$3="","",INDEX(인턴계획표[[정규화1]:[정규화6]],$Q565,$I$3)&amp;"")))))</f>
        <v/>
      </c>
      <c r="I565">
        <f>IF($Q565="","",IF(IF($I$3="","",INDEX(인턴계획표[[정규화1]:[정규화6]],$Q565,$I$3)&amp;"")="","",IF(LEFT(IF($I$3="","",INDEX(인턴계획표[[정규화1]:[정규화6]],$Q565,$I$3)&amp;""),1)="⚠","",IFERROR(MID(IF($I$3="","",INDEX(인턴계획표[[정규화1]:[정규화6]],$Q565,$I$3)&amp;""),FIND(" ",IF($I$3="","",INDEX(인턴계획표[[정규화1]:[정규화6]],$Q565,$I$3)&amp;""))+1,60),""))))</f>
        <v/>
      </c>
      <c r="J565">
        <f>IF($Q565="","",INDEX(인턴계획표[정규화1],$Q565))</f>
        <v/>
      </c>
      <c r="K565">
        <f>IF($Q565="","",INDEX(인턴계획표[정규화2],$Q565))</f>
        <v/>
      </c>
      <c r="L565">
        <f>IF($Q565="","",INDEX(인턴계획표[정규화3],$Q565))</f>
        <v/>
      </c>
      <c r="M565">
        <f>IF($Q565="","",INDEX(인턴계획표[정규화4],$Q565))</f>
        <v/>
      </c>
      <c r="N565">
        <f>IF($Q565="","",INDEX(인턴계획표[정규화5],$Q565))</f>
        <v/>
      </c>
      <c r="O565">
        <f>IF($Q565="","",INDEX(인턴계획표[정규화6],$Q565))</f>
        <v/>
      </c>
      <c r="P565">
        <f>IF($Q565="","",INDEX(인턴계획표[입력오류],$Q565))</f>
        <v/>
      </c>
      <c r="Q565" s="17">
        <f>IFERROR(MATCH(560,인턴계획표[표시순번],0),"")</f>
        <v/>
      </c>
    </row>
    <row r="566">
      <c r="A566">
        <f>IF($Q566="","",INDEX(인턴계획표[순번],$Q566)&amp;"")</f>
        <v/>
      </c>
      <c r="B566">
        <f>IF($Q566="","",TRIM(INDEX(인턴계획표[이름],$Q566)&amp;""))</f>
        <v/>
      </c>
      <c r="C566">
        <f>IF($Q566="","",INDEX(인턴계획표[사번],$Q566)&amp;"")</f>
        <v/>
      </c>
      <c r="D566">
        <f>IF($Q566="","",IF(COUNTIF(기본자료표[사번키],INDEX(인턴계획표[사번키],$Q566))&gt;0,"확인","미등록"))</f>
        <v/>
      </c>
      <c r="E566">
        <f>IF($Q566="","",IF(ISNUMBER(INDEX(인턴계획표[입사일(비고)],$Q566)),TEXT(INDEX(인턴계획표[입사일(비고)],$Q566),"yyyy-mm-dd"),INDEX(인턴계획표[입사일(비고)],$Q566)&amp;""))</f>
        <v/>
      </c>
      <c r="F566">
        <f>IF($Q566="","",IF(IF($G$3="","",INDEX(인턴계획표[[정규화1]:[정규화6]],$Q566,$G$3)&amp;"")="","",IF(LEFT(IF($G$3="","",INDEX(인턴계획표[[정규화1]:[정규화6]],$Q566,$G$3)&amp;""),1)="⚠",IF($G$3="","",INDEX(인턴계획표[[정규화1]:[정규화6]],$Q566,$G$3)&amp;""),IFERROR(LEFT(IF($G$3="","",INDEX(인턴계획표[[정규화1]:[정규화6]],$Q566,$G$3)&amp;""),FIND(" ",IF($G$3="","",INDEX(인턴계획표[[정규화1]:[정규화6]],$Q566,$G$3)&amp;""))-1),IF($G$3="","",INDEX(인턴계획표[[정규화1]:[정규화6]],$Q566,$G$3)&amp;"")))))</f>
        <v/>
      </c>
      <c r="G566">
        <f>IF($Q566="","",IF(IF($G$3="","",INDEX(인턴계획표[[정규화1]:[정규화6]],$Q566,$G$3)&amp;"")="","",IF(LEFT(IF($G$3="","",INDEX(인턴계획표[[정규화1]:[정규화6]],$Q566,$G$3)&amp;""),1)="⚠","",IFERROR(MID(IF($G$3="","",INDEX(인턴계획표[[정규화1]:[정규화6]],$Q566,$G$3)&amp;""),FIND(" ",IF($G$3="","",INDEX(인턴계획표[[정규화1]:[정규화6]],$Q566,$G$3)&amp;""))+1,60),""))))</f>
        <v/>
      </c>
      <c r="H566">
        <f>IF($Q566="","",IF(IF($I$3="","",INDEX(인턴계획표[[정규화1]:[정규화6]],$Q566,$I$3)&amp;"")="","",IF(LEFT(IF($I$3="","",INDEX(인턴계획표[[정규화1]:[정규화6]],$Q566,$I$3)&amp;""),1)="⚠",IF($I$3="","",INDEX(인턴계획표[[정규화1]:[정규화6]],$Q566,$I$3)&amp;""),IFERROR(LEFT(IF($I$3="","",INDEX(인턴계획표[[정규화1]:[정규화6]],$Q566,$I$3)&amp;""),FIND(" ",IF($I$3="","",INDEX(인턴계획표[[정규화1]:[정규화6]],$Q566,$I$3)&amp;""))-1),IF($I$3="","",INDEX(인턴계획표[[정규화1]:[정규화6]],$Q566,$I$3)&amp;"")))))</f>
        <v/>
      </c>
      <c r="I566">
        <f>IF($Q566="","",IF(IF($I$3="","",INDEX(인턴계획표[[정규화1]:[정규화6]],$Q566,$I$3)&amp;"")="","",IF(LEFT(IF($I$3="","",INDEX(인턴계획표[[정규화1]:[정규화6]],$Q566,$I$3)&amp;""),1)="⚠","",IFERROR(MID(IF($I$3="","",INDEX(인턴계획표[[정규화1]:[정규화6]],$Q566,$I$3)&amp;""),FIND(" ",IF($I$3="","",INDEX(인턴계획표[[정규화1]:[정규화6]],$Q566,$I$3)&amp;""))+1,60),""))))</f>
        <v/>
      </c>
      <c r="J566">
        <f>IF($Q566="","",INDEX(인턴계획표[정규화1],$Q566))</f>
        <v/>
      </c>
      <c r="K566">
        <f>IF($Q566="","",INDEX(인턴계획표[정규화2],$Q566))</f>
        <v/>
      </c>
      <c r="L566">
        <f>IF($Q566="","",INDEX(인턴계획표[정규화3],$Q566))</f>
        <v/>
      </c>
      <c r="M566">
        <f>IF($Q566="","",INDEX(인턴계획표[정규화4],$Q566))</f>
        <v/>
      </c>
      <c r="N566">
        <f>IF($Q566="","",INDEX(인턴계획표[정규화5],$Q566))</f>
        <v/>
      </c>
      <c r="O566">
        <f>IF($Q566="","",INDEX(인턴계획표[정규화6],$Q566))</f>
        <v/>
      </c>
      <c r="P566">
        <f>IF($Q566="","",INDEX(인턴계획표[입력오류],$Q566))</f>
        <v/>
      </c>
      <c r="Q566" s="17">
        <f>IFERROR(MATCH(561,인턴계획표[표시순번],0),"")</f>
        <v/>
      </c>
    </row>
    <row r="567">
      <c r="A567">
        <f>IF($Q567="","",INDEX(인턴계획표[순번],$Q567)&amp;"")</f>
        <v/>
      </c>
      <c r="B567">
        <f>IF($Q567="","",TRIM(INDEX(인턴계획표[이름],$Q567)&amp;""))</f>
        <v/>
      </c>
      <c r="C567">
        <f>IF($Q567="","",INDEX(인턴계획표[사번],$Q567)&amp;"")</f>
        <v/>
      </c>
      <c r="D567">
        <f>IF($Q567="","",IF(COUNTIF(기본자료표[사번키],INDEX(인턴계획표[사번키],$Q567))&gt;0,"확인","미등록"))</f>
        <v/>
      </c>
      <c r="E567">
        <f>IF($Q567="","",IF(ISNUMBER(INDEX(인턴계획표[입사일(비고)],$Q567)),TEXT(INDEX(인턴계획표[입사일(비고)],$Q567),"yyyy-mm-dd"),INDEX(인턴계획표[입사일(비고)],$Q567)&amp;""))</f>
        <v/>
      </c>
      <c r="F567">
        <f>IF($Q567="","",IF(IF($G$3="","",INDEX(인턴계획표[[정규화1]:[정규화6]],$Q567,$G$3)&amp;"")="","",IF(LEFT(IF($G$3="","",INDEX(인턴계획표[[정규화1]:[정규화6]],$Q567,$G$3)&amp;""),1)="⚠",IF($G$3="","",INDEX(인턴계획표[[정규화1]:[정규화6]],$Q567,$G$3)&amp;""),IFERROR(LEFT(IF($G$3="","",INDEX(인턴계획표[[정규화1]:[정규화6]],$Q567,$G$3)&amp;""),FIND(" ",IF($G$3="","",INDEX(인턴계획표[[정규화1]:[정규화6]],$Q567,$G$3)&amp;""))-1),IF($G$3="","",INDEX(인턴계획표[[정규화1]:[정규화6]],$Q567,$G$3)&amp;"")))))</f>
        <v/>
      </c>
      <c r="G567">
        <f>IF($Q567="","",IF(IF($G$3="","",INDEX(인턴계획표[[정규화1]:[정규화6]],$Q567,$G$3)&amp;"")="","",IF(LEFT(IF($G$3="","",INDEX(인턴계획표[[정규화1]:[정규화6]],$Q567,$G$3)&amp;""),1)="⚠","",IFERROR(MID(IF($G$3="","",INDEX(인턴계획표[[정규화1]:[정규화6]],$Q567,$G$3)&amp;""),FIND(" ",IF($G$3="","",INDEX(인턴계획표[[정규화1]:[정규화6]],$Q567,$G$3)&amp;""))+1,60),""))))</f>
        <v/>
      </c>
      <c r="H567">
        <f>IF($Q567="","",IF(IF($I$3="","",INDEX(인턴계획표[[정규화1]:[정규화6]],$Q567,$I$3)&amp;"")="","",IF(LEFT(IF($I$3="","",INDEX(인턴계획표[[정규화1]:[정규화6]],$Q567,$I$3)&amp;""),1)="⚠",IF($I$3="","",INDEX(인턴계획표[[정규화1]:[정규화6]],$Q567,$I$3)&amp;""),IFERROR(LEFT(IF($I$3="","",INDEX(인턴계획표[[정규화1]:[정규화6]],$Q567,$I$3)&amp;""),FIND(" ",IF($I$3="","",INDEX(인턴계획표[[정규화1]:[정규화6]],$Q567,$I$3)&amp;""))-1),IF($I$3="","",INDEX(인턴계획표[[정규화1]:[정규화6]],$Q567,$I$3)&amp;"")))))</f>
        <v/>
      </c>
      <c r="I567">
        <f>IF($Q567="","",IF(IF($I$3="","",INDEX(인턴계획표[[정규화1]:[정규화6]],$Q567,$I$3)&amp;"")="","",IF(LEFT(IF($I$3="","",INDEX(인턴계획표[[정규화1]:[정규화6]],$Q567,$I$3)&amp;""),1)="⚠","",IFERROR(MID(IF($I$3="","",INDEX(인턴계획표[[정규화1]:[정규화6]],$Q567,$I$3)&amp;""),FIND(" ",IF($I$3="","",INDEX(인턴계획표[[정규화1]:[정규화6]],$Q567,$I$3)&amp;""))+1,60),""))))</f>
        <v/>
      </c>
      <c r="J567">
        <f>IF($Q567="","",INDEX(인턴계획표[정규화1],$Q567))</f>
        <v/>
      </c>
      <c r="K567">
        <f>IF($Q567="","",INDEX(인턴계획표[정규화2],$Q567))</f>
        <v/>
      </c>
      <c r="L567">
        <f>IF($Q567="","",INDEX(인턴계획표[정규화3],$Q567))</f>
        <v/>
      </c>
      <c r="M567">
        <f>IF($Q567="","",INDEX(인턴계획표[정규화4],$Q567))</f>
        <v/>
      </c>
      <c r="N567">
        <f>IF($Q567="","",INDEX(인턴계획표[정규화5],$Q567))</f>
        <v/>
      </c>
      <c r="O567">
        <f>IF($Q567="","",INDEX(인턴계획표[정규화6],$Q567))</f>
        <v/>
      </c>
      <c r="P567">
        <f>IF($Q567="","",INDEX(인턴계획표[입력오류],$Q567))</f>
        <v/>
      </c>
      <c r="Q567" s="17">
        <f>IFERROR(MATCH(562,인턴계획표[표시순번],0),"")</f>
        <v/>
      </c>
    </row>
    <row r="568">
      <c r="A568">
        <f>IF($Q568="","",INDEX(인턴계획표[순번],$Q568)&amp;"")</f>
        <v/>
      </c>
      <c r="B568">
        <f>IF($Q568="","",TRIM(INDEX(인턴계획표[이름],$Q568)&amp;""))</f>
        <v/>
      </c>
      <c r="C568">
        <f>IF($Q568="","",INDEX(인턴계획표[사번],$Q568)&amp;"")</f>
        <v/>
      </c>
      <c r="D568">
        <f>IF($Q568="","",IF(COUNTIF(기본자료표[사번키],INDEX(인턴계획표[사번키],$Q568))&gt;0,"확인","미등록"))</f>
        <v/>
      </c>
      <c r="E568">
        <f>IF($Q568="","",IF(ISNUMBER(INDEX(인턴계획표[입사일(비고)],$Q568)),TEXT(INDEX(인턴계획표[입사일(비고)],$Q568),"yyyy-mm-dd"),INDEX(인턴계획표[입사일(비고)],$Q568)&amp;""))</f>
        <v/>
      </c>
      <c r="F568">
        <f>IF($Q568="","",IF(IF($G$3="","",INDEX(인턴계획표[[정규화1]:[정규화6]],$Q568,$G$3)&amp;"")="","",IF(LEFT(IF($G$3="","",INDEX(인턴계획표[[정규화1]:[정규화6]],$Q568,$G$3)&amp;""),1)="⚠",IF($G$3="","",INDEX(인턴계획표[[정규화1]:[정규화6]],$Q568,$G$3)&amp;""),IFERROR(LEFT(IF($G$3="","",INDEX(인턴계획표[[정규화1]:[정규화6]],$Q568,$G$3)&amp;""),FIND(" ",IF($G$3="","",INDEX(인턴계획표[[정규화1]:[정규화6]],$Q568,$G$3)&amp;""))-1),IF($G$3="","",INDEX(인턴계획표[[정규화1]:[정규화6]],$Q568,$G$3)&amp;"")))))</f>
        <v/>
      </c>
      <c r="G568">
        <f>IF($Q568="","",IF(IF($G$3="","",INDEX(인턴계획표[[정규화1]:[정규화6]],$Q568,$G$3)&amp;"")="","",IF(LEFT(IF($G$3="","",INDEX(인턴계획표[[정규화1]:[정규화6]],$Q568,$G$3)&amp;""),1)="⚠","",IFERROR(MID(IF($G$3="","",INDEX(인턴계획표[[정규화1]:[정규화6]],$Q568,$G$3)&amp;""),FIND(" ",IF($G$3="","",INDEX(인턴계획표[[정규화1]:[정규화6]],$Q568,$G$3)&amp;""))+1,60),""))))</f>
        <v/>
      </c>
      <c r="H568">
        <f>IF($Q568="","",IF(IF($I$3="","",INDEX(인턴계획표[[정규화1]:[정규화6]],$Q568,$I$3)&amp;"")="","",IF(LEFT(IF($I$3="","",INDEX(인턴계획표[[정규화1]:[정규화6]],$Q568,$I$3)&amp;""),1)="⚠",IF($I$3="","",INDEX(인턴계획표[[정규화1]:[정규화6]],$Q568,$I$3)&amp;""),IFERROR(LEFT(IF($I$3="","",INDEX(인턴계획표[[정규화1]:[정규화6]],$Q568,$I$3)&amp;""),FIND(" ",IF($I$3="","",INDEX(인턴계획표[[정규화1]:[정규화6]],$Q568,$I$3)&amp;""))-1),IF($I$3="","",INDEX(인턴계획표[[정규화1]:[정규화6]],$Q568,$I$3)&amp;"")))))</f>
        <v/>
      </c>
      <c r="I568">
        <f>IF($Q568="","",IF(IF($I$3="","",INDEX(인턴계획표[[정규화1]:[정규화6]],$Q568,$I$3)&amp;"")="","",IF(LEFT(IF($I$3="","",INDEX(인턴계획표[[정규화1]:[정규화6]],$Q568,$I$3)&amp;""),1)="⚠","",IFERROR(MID(IF($I$3="","",INDEX(인턴계획표[[정규화1]:[정규화6]],$Q568,$I$3)&amp;""),FIND(" ",IF($I$3="","",INDEX(인턴계획표[[정규화1]:[정규화6]],$Q568,$I$3)&amp;""))+1,60),""))))</f>
        <v/>
      </c>
      <c r="J568">
        <f>IF($Q568="","",INDEX(인턴계획표[정규화1],$Q568))</f>
        <v/>
      </c>
      <c r="K568">
        <f>IF($Q568="","",INDEX(인턴계획표[정규화2],$Q568))</f>
        <v/>
      </c>
      <c r="L568">
        <f>IF($Q568="","",INDEX(인턴계획표[정규화3],$Q568))</f>
        <v/>
      </c>
      <c r="M568">
        <f>IF($Q568="","",INDEX(인턴계획표[정규화4],$Q568))</f>
        <v/>
      </c>
      <c r="N568">
        <f>IF($Q568="","",INDEX(인턴계획표[정규화5],$Q568))</f>
        <v/>
      </c>
      <c r="O568">
        <f>IF($Q568="","",INDEX(인턴계획표[정규화6],$Q568))</f>
        <v/>
      </c>
      <c r="P568">
        <f>IF($Q568="","",INDEX(인턴계획표[입력오류],$Q568))</f>
        <v/>
      </c>
      <c r="Q568" s="17">
        <f>IFERROR(MATCH(563,인턴계획표[표시순번],0),"")</f>
        <v/>
      </c>
    </row>
    <row r="569">
      <c r="A569">
        <f>IF($Q569="","",INDEX(인턴계획표[순번],$Q569)&amp;"")</f>
        <v/>
      </c>
      <c r="B569">
        <f>IF($Q569="","",TRIM(INDEX(인턴계획표[이름],$Q569)&amp;""))</f>
        <v/>
      </c>
      <c r="C569">
        <f>IF($Q569="","",INDEX(인턴계획표[사번],$Q569)&amp;"")</f>
        <v/>
      </c>
      <c r="D569">
        <f>IF($Q569="","",IF(COUNTIF(기본자료표[사번키],INDEX(인턴계획표[사번키],$Q569))&gt;0,"확인","미등록"))</f>
        <v/>
      </c>
      <c r="E569">
        <f>IF($Q569="","",IF(ISNUMBER(INDEX(인턴계획표[입사일(비고)],$Q569)),TEXT(INDEX(인턴계획표[입사일(비고)],$Q569),"yyyy-mm-dd"),INDEX(인턴계획표[입사일(비고)],$Q569)&amp;""))</f>
        <v/>
      </c>
      <c r="F569">
        <f>IF($Q569="","",IF(IF($G$3="","",INDEX(인턴계획표[[정규화1]:[정규화6]],$Q569,$G$3)&amp;"")="","",IF(LEFT(IF($G$3="","",INDEX(인턴계획표[[정규화1]:[정규화6]],$Q569,$G$3)&amp;""),1)="⚠",IF($G$3="","",INDEX(인턴계획표[[정규화1]:[정규화6]],$Q569,$G$3)&amp;""),IFERROR(LEFT(IF($G$3="","",INDEX(인턴계획표[[정규화1]:[정규화6]],$Q569,$G$3)&amp;""),FIND(" ",IF($G$3="","",INDEX(인턴계획표[[정규화1]:[정규화6]],$Q569,$G$3)&amp;""))-1),IF($G$3="","",INDEX(인턴계획표[[정규화1]:[정규화6]],$Q569,$G$3)&amp;"")))))</f>
        <v/>
      </c>
      <c r="G569">
        <f>IF($Q569="","",IF(IF($G$3="","",INDEX(인턴계획표[[정규화1]:[정규화6]],$Q569,$G$3)&amp;"")="","",IF(LEFT(IF($G$3="","",INDEX(인턴계획표[[정규화1]:[정규화6]],$Q569,$G$3)&amp;""),1)="⚠","",IFERROR(MID(IF($G$3="","",INDEX(인턴계획표[[정규화1]:[정규화6]],$Q569,$G$3)&amp;""),FIND(" ",IF($G$3="","",INDEX(인턴계획표[[정규화1]:[정규화6]],$Q569,$G$3)&amp;""))+1,60),""))))</f>
        <v/>
      </c>
      <c r="H569">
        <f>IF($Q569="","",IF(IF($I$3="","",INDEX(인턴계획표[[정규화1]:[정규화6]],$Q569,$I$3)&amp;"")="","",IF(LEFT(IF($I$3="","",INDEX(인턴계획표[[정규화1]:[정규화6]],$Q569,$I$3)&amp;""),1)="⚠",IF($I$3="","",INDEX(인턴계획표[[정규화1]:[정규화6]],$Q569,$I$3)&amp;""),IFERROR(LEFT(IF($I$3="","",INDEX(인턴계획표[[정규화1]:[정규화6]],$Q569,$I$3)&amp;""),FIND(" ",IF($I$3="","",INDEX(인턴계획표[[정규화1]:[정규화6]],$Q569,$I$3)&amp;""))-1),IF($I$3="","",INDEX(인턴계획표[[정규화1]:[정규화6]],$Q569,$I$3)&amp;"")))))</f>
        <v/>
      </c>
      <c r="I569">
        <f>IF($Q569="","",IF(IF($I$3="","",INDEX(인턴계획표[[정규화1]:[정규화6]],$Q569,$I$3)&amp;"")="","",IF(LEFT(IF($I$3="","",INDEX(인턴계획표[[정규화1]:[정규화6]],$Q569,$I$3)&amp;""),1)="⚠","",IFERROR(MID(IF($I$3="","",INDEX(인턴계획표[[정규화1]:[정규화6]],$Q569,$I$3)&amp;""),FIND(" ",IF($I$3="","",INDEX(인턴계획표[[정규화1]:[정규화6]],$Q569,$I$3)&amp;""))+1,60),""))))</f>
        <v/>
      </c>
      <c r="J569">
        <f>IF($Q569="","",INDEX(인턴계획표[정규화1],$Q569))</f>
        <v/>
      </c>
      <c r="K569">
        <f>IF($Q569="","",INDEX(인턴계획표[정규화2],$Q569))</f>
        <v/>
      </c>
      <c r="L569">
        <f>IF($Q569="","",INDEX(인턴계획표[정규화3],$Q569))</f>
        <v/>
      </c>
      <c r="M569">
        <f>IF($Q569="","",INDEX(인턴계획표[정규화4],$Q569))</f>
        <v/>
      </c>
      <c r="N569">
        <f>IF($Q569="","",INDEX(인턴계획표[정규화5],$Q569))</f>
        <v/>
      </c>
      <c r="O569">
        <f>IF($Q569="","",INDEX(인턴계획표[정규화6],$Q569))</f>
        <v/>
      </c>
      <c r="P569">
        <f>IF($Q569="","",INDEX(인턴계획표[입력오류],$Q569))</f>
        <v/>
      </c>
      <c r="Q569" s="17">
        <f>IFERROR(MATCH(564,인턴계획표[표시순번],0),"")</f>
        <v/>
      </c>
    </row>
    <row r="570">
      <c r="A570">
        <f>IF($Q570="","",INDEX(인턴계획표[순번],$Q570)&amp;"")</f>
        <v/>
      </c>
      <c r="B570">
        <f>IF($Q570="","",TRIM(INDEX(인턴계획표[이름],$Q570)&amp;""))</f>
        <v/>
      </c>
      <c r="C570">
        <f>IF($Q570="","",INDEX(인턴계획표[사번],$Q570)&amp;"")</f>
        <v/>
      </c>
      <c r="D570">
        <f>IF($Q570="","",IF(COUNTIF(기본자료표[사번키],INDEX(인턴계획표[사번키],$Q570))&gt;0,"확인","미등록"))</f>
        <v/>
      </c>
      <c r="E570">
        <f>IF($Q570="","",IF(ISNUMBER(INDEX(인턴계획표[입사일(비고)],$Q570)),TEXT(INDEX(인턴계획표[입사일(비고)],$Q570),"yyyy-mm-dd"),INDEX(인턴계획표[입사일(비고)],$Q570)&amp;""))</f>
        <v/>
      </c>
      <c r="F570">
        <f>IF($Q570="","",IF(IF($G$3="","",INDEX(인턴계획표[[정규화1]:[정규화6]],$Q570,$G$3)&amp;"")="","",IF(LEFT(IF($G$3="","",INDEX(인턴계획표[[정규화1]:[정규화6]],$Q570,$G$3)&amp;""),1)="⚠",IF($G$3="","",INDEX(인턴계획표[[정규화1]:[정규화6]],$Q570,$G$3)&amp;""),IFERROR(LEFT(IF($G$3="","",INDEX(인턴계획표[[정규화1]:[정규화6]],$Q570,$G$3)&amp;""),FIND(" ",IF($G$3="","",INDEX(인턴계획표[[정규화1]:[정규화6]],$Q570,$G$3)&amp;""))-1),IF($G$3="","",INDEX(인턴계획표[[정규화1]:[정규화6]],$Q570,$G$3)&amp;"")))))</f>
        <v/>
      </c>
      <c r="G570">
        <f>IF($Q570="","",IF(IF($G$3="","",INDEX(인턴계획표[[정규화1]:[정규화6]],$Q570,$G$3)&amp;"")="","",IF(LEFT(IF($G$3="","",INDEX(인턴계획표[[정규화1]:[정규화6]],$Q570,$G$3)&amp;""),1)="⚠","",IFERROR(MID(IF($G$3="","",INDEX(인턴계획표[[정규화1]:[정규화6]],$Q570,$G$3)&amp;""),FIND(" ",IF($G$3="","",INDEX(인턴계획표[[정규화1]:[정규화6]],$Q570,$G$3)&amp;""))+1,60),""))))</f>
        <v/>
      </c>
      <c r="H570">
        <f>IF($Q570="","",IF(IF($I$3="","",INDEX(인턴계획표[[정규화1]:[정규화6]],$Q570,$I$3)&amp;"")="","",IF(LEFT(IF($I$3="","",INDEX(인턴계획표[[정규화1]:[정규화6]],$Q570,$I$3)&amp;""),1)="⚠",IF($I$3="","",INDEX(인턴계획표[[정규화1]:[정규화6]],$Q570,$I$3)&amp;""),IFERROR(LEFT(IF($I$3="","",INDEX(인턴계획표[[정규화1]:[정규화6]],$Q570,$I$3)&amp;""),FIND(" ",IF($I$3="","",INDEX(인턴계획표[[정규화1]:[정규화6]],$Q570,$I$3)&amp;""))-1),IF($I$3="","",INDEX(인턴계획표[[정규화1]:[정규화6]],$Q570,$I$3)&amp;"")))))</f>
        <v/>
      </c>
      <c r="I570">
        <f>IF($Q570="","",IF(IF($I$3="","",INDEX(인턴계획표[[정규화1]:[정규화6]],$Q570,$I$3)&amp;"")="","",IF(LEFT(IF($I$3="","",INDEX(인턴계획표[[정규화1]:[정규화6]],$Q570,$I$3)&amp;""),1)="⚠","",IFERROR(MID(IF($I$3="","",INDEX(인턴계획표[[정규화1]:[정규화6]],$Q570,$I$3)&amp;""),FIND(" ",IF($I$3="","",INDEX(인턴계획표[[정규화1]:[정규화6]],$Q570,$I$3)&amp;""))+1,60),""))))</f>
        <v/>
      </c>
      <c r="J570">
        <f>IF($Q570="","",INDEX(인턴계획표[정규화1],$Q570))</f>
        <v/>
      </c>
      <c r="K570">
        <f>IF($Q570="","",INDEX(인턴계획표[정규화2],$Q570))</f>
        <v/>
      </c>
      <c r="L570">
        <f>IF($Q570="","",INDEX(인턴계획표[정규화3],$Q570))</f>
        <v/>
      </c>
      <c r="M570">
        <f>IF($Q570="","",INDEX(인턴계획표[정규화4],$Q570))</f>
        <v/>
      </c>
      <c r="N570">
        <f>IF($Q570="","",INDEX(인턴계획표[정규화5],$Q570))</f>
        <v/>
      </c>
      <c r="O570">
        <f>IF($Q570="","",INDEX(인턴계획표[정규화6],$Q570))</f>
        <v/>
      </c>
      <c r="P570">
        <f>IF($Q570="","",INDEX(인턴계획표[입력오류],$Q570))</f>
        <v/>
      </c>
      <c r="Q570" s="17">
        <f>IFERROR(MATCH(565,인턴계획표[표시순번],0),"")</f>
        <v/>
      </c>
    </row>
    <row r="571">
      <c r="A571">
        <f>IF($Q571="","",INDEX(인턴계획표[순번],$Q571)&amp;"")</f>
        <v/>
      </c>
      <c r="B571">
        <f>IF($Q571="","",TRIM(INDEX(인턴계획표[이름],$Q571)&amp;""))</f>
        <v/>
      </c>
      <c r="C571">
        <f>IF($Q571="","",INDEX(인턴계획표[사번],$Q571)&amp;"")</f>
        <v/>
      </c>
      <c r="D571">
        <f>IF($Q571="","",IF(COUNTIF(기본자료표[사번키],INDEX(인턴계획표[사번키],$Q571))&gt;0,"확인","미등록"))</f>
        <v/>
      </c>
      <c r="E571">
        <f>IF($Q571="","",IF(ISNUMBER(INDEX(인턴계획표[입사일(비고)],$Q571)),TEXT(INDEX(인턴계획표[입사일(비고)],$Q571),"yyyy-mm-dd"),INDEX(인턴계획표[입사일(비고)],$Q571)&amp;""))</f>
        <v/>
      </c>
      <c r="F571">
        <f>IF($Q571="","",IF(IF($G$3="","",INDEX(인턴계획표[[정규화1]:[정규화6]],$Q571,$G$3)&amp;"")="","",IF(LEFT(IF($G$3="","",INDEX(인턴계획표[[정규화1]:[정규화6]],$Q571,$G$3)&amp;""),1)="⚠",IF($G$3="","",INDEX(인턴계획표[[정규화1]:[정규화6]],$Q571,$G$3)&amp;""),IFERROR(LEFT(IF($G$3="","",INDEX(인턴계획표[[정규화1]:[정규화6]],$Q571,$G$3)&amp;""),FIND(" ",IF($G$3="","",INDEX(인턴계획표[[정규화1]:[정규화6]],$Q571,$G$3)&amp;""))-1),IF($G$3="","",INDEX(인턴계획표[[정규화1]:[정규화6]],$Q571,$G$3)&amp;"")))))</f>
        <v/>
      </c>
      <c r="G571">
        <f>IF($Q571="","",IF(IF($G$3="","",INDEX(인턴계획표[[정규화1]:[정규화6]],$Q571,$G$3)&amp;"")="","",IF(LEFT(IF($G$3="","",INDEX(인턴계획표[[정규화1]:[정규화6]],$Q571,$G$3)&amp;""),1)="⚠","",IFERROR(MID(IF($G$3="","",INDEX(인턴계획표[[정규화1]:[정규화6]],$Q571,$G$3)&amp;""),FIND(" ",IF($G$3="","",INDEX(인턴계획표[[정규화1]:[정규화6]],$Q571,$G$3)&amp;""))+1,60),""))))</f>
        <v/>
      </c>
      <c r="H571">
        <f>IF($Q571="","",IF(IF($I$3="","",INDEX(인턴계획표[[정규화1]:[정규화6]],$Q571,$I$3)&amp;"")="","",IF(LEFT(IF($I$3="","",INDEX(인턴계획표[[정규화1]:[정규화6]],$Q571,$I$3)&amp;""),1)="⚠",IF($I$3="","",INDEX(인턴계획표[[정규화1]:[정규화6]],$Q571,$I$3)&amp;""),IFERROR(LEFT(IF($I$3="","",INDEX(인턴계획표[[정규화1]:[정규화6]],$Q571,$I$3)&amp;""),FIND(" ",IF($I$3="","",INDEX(인턴계획표[[정규화1]:[정규화6]],$Q571,$I$3)&amp;""))-1),IF($I$3="","",INDEX(인턴계획표[[정규화1]:[정규화6]],$Q571,$I$3)&amp;"")))))</f>
        <v/>
      </c>
      <c r="I571">
        <f>IF($Q571="","",IF(IF($I$3="","",INDEX(인턴계획표[[정규화1]:[정규화6]],$Q571,$I$3)&amp;"")="","",IF(LEFT(IF($I$3="","",INDEX(인턴계획표[[정규화1]:[정규화6]],$Q571,$I$3)&amp;""),1)="⚠","",IFERROR(MID(IF($I$3="","",INDEX(인턴계획표[[정규화1]:[정규화6]],$Q571,$I$3)&amp;""),FIND(" ",IF($I$3="","",INDEX(인턴계획표[[정규화1]:[정규화6]],$Q571,$I$3)&amp;""))+1,60),""))))</f>
        <v/>
      </c>
      <c r="J571">
        <f>IF($Q571="","",INDEX(인턴계획표[정규화1],$Q571))</f>
        <v/>
      </c>
      <c r="K571">
        <f>IF($Q571="","",INDEX(인턴계획표[정규화2],$Q571))</f>
        <v/>
      </c>
      <c r="L571">
        <f>IF($Q571="","",INDEX(인턴계획표[정규화3],$Q571))</f>
        <v/>
      </c>
      <c r="M571">
        <f>IF($Q571="","",INDEX(인턴계획표[정규화4],$Q571))</f>
        <v/>
      </c>
      <c r="N571">
        <f>IF($Q571="","",INDEX(인턴계획표[정규화5],$Q571))</f>
        <v/>
      </c>
      <c r="O571">
        <f>IF($Q571="","",INDEX(인턴계획표[정규화6],$Q571))</f>
        <v/>
      </c>
      <c r="P571">
        <f>IF($Q571="","",INDEX(인턴계획표[입력오류],$Q571))</f>
        <v/>
      </c>
      <c r="Q571" s="17">
        <f>IFERROR(MATCH(566,인턴계획표[표시순번],0),"")</f>
        <v/>
      </c>
    </row>
    <row r="572">
      <c r="A572">
        <f>IF($Q572="","",INDEX(인턴계획표[순번],$Q572)&amp;"")</f>
        <v/>
      </c>
      <c r="B572">
        <f>IF($Q572="","",TRIM(INDEX(인턴계획표[이름],$Q572)&amp;""))</f>
        <v/>
      </c>
      <c r="C572">
        <f>IF($Q572="","",INDEX(인턴계획표[사번],$Q572)&amp;"")</f>
        <v/>
      </c>
      <c r="D572">
        <f>IF($Q572="","",IF(COUNTIF(기본자료표[사번키],INDEX(인턴계획표[사번키],$Q572))&gt;0,"확인","미등록"))</f>
        <v/>
      </c>
      <c r="E572">
        <f>IF($Q572="","",IF(ISNUMBER(INDEX(인턴계획표[입사일(비고)],$Q572)),TEXT(INDEX(인턴계획표[입사일(비고)],$Q572),"yyyy-mm-dd"),INDEX(인턴계획표[입사일(비고)],$Q572)&amp;""))</f>
        <v/>
      </c>
      <c r="F572">
        <f>IF($Q572="","",IF(IF($G$3="","",INDEX(인턴계획표[[정규화1]:[정규화6]],$Q572,$G$3)&amp;"")="","",IF(LEFT(IF($G$3="","",INDEX(인턴계획표[[정규화1]:[정규화6]],$Q572,$G$3)&amp;""),1)="⚠",IF($G$3="","",INDEX(인턴계획표[[정규화1]:[정규화6]],$Q572,$G$3)&amp;""),IFERROR(LEFT(IF($G$3="","",INDEX(인턴계획표[[정규화1]:[정규화6]],$Q572,$G$3)&amp;""),FIND(" ",IF($G$3="","",INDEX(인턴계획표[[정규화1]:[정규화6]],$Q572,$G$3)&amp;""))-1),IF($G$3="","",INDEX(인턴계획표[[정규화1]:[정규화6]],$Q572,$G$3)&amp;"")))))</f>
        <v/>
      </c>
      <c r="G572">
        <f>IF($Q572="","",IF(IF($G$3="","",INDEX(인턴계획표[[정규화1]:[정규화6]],$Q572,$G$3)&amp;"")="","",IF(LEFT(IF($G$3="","",INDEX(인턴계획표[[정규화1]:[정규화6]],$Q572,$G$3)&amp;""),1)="⚠","",IFERROR(MID(IF($G$3="","",INDEX(인턴계획표[[정규화1]:[정규화6]],$Q572,$G$3)&amp;""),FIND(" ",IF($G$3="","",INDEX(인턴계획표[[정규화1]:[정규화6]],$Q572,$G$3)&amp;""))+1,60),""))))</f>
        <v/>
      </c>
      <c r="H572">
        <f>IF($Q572="","",IF(IF($I$3="","",INDEX(인턴계획표[[정규화1]:[정규화6]],$Q572,$I$3)&amp;"")="","",IF(LEFT(IF($I$3="","",INDEX(인턴계획표[[정규화1]:[정규화6]],$Q572,$I$3)&amp;""),1)="⚠",IF($I$3="","",INDEX(인턴계획표[[정규화1]:[정규화6]],$Q572,$I$3)&amp;""),IFERROR(LEFT(IF($I$3="","",INDEX(인턴계획표[[정규화1]:[정규화6]],$Q572,$I$3)&amp;""),FIND(" ",IF($I$3="","",INDEX(인턴계획표[[정규화1]:[정규화6]],$Q572,$I$3)&amp;""))-1),IF($I$3="","",INDEX(인턴계획표[[정규화1]:[정규화6]],$Q572,$I$3)&amp;"")))))</f>
        <v/>
      </c>
      <c r="I572">
        <f>IF($Q572="","",IF(IF($I$3="","",INDEX(인턴계획표[[정규화1]:[정규화6]],$Q572,$I$3)&amp;"")="","",IF(LEFT(IF($I$3="","",INDEX(인턴계획표[[정규화1]:[정규화6]],$Q572,$I$3)&amp;""),1)="⚠","",IFERROR(MID(IF($I$3="","",INDEX(인턴계획표[[정규화1]:[정규화6]],$Q572,$I$3)&amp;""),FIND(" ",IF($I$3="","",INDEX(인턴계획표[[정규화1]:[정규화6]],$Q572,$I$3)&amp;""))+1,60),""))))</f>
        <v/>
      </c>
      <c r="J572">
        <f>IF($Q572="","",INDEX(인턴계획표[정규화1],$Q572))</f>
        <v/>
      </c>
      <c r="K572">
        <f>IF($Q572="","",INDEX(인턴계획표[정규화2],$Q572))</f>
        <v/>
      </c>
      <c r="L572">
        <f>IF($Q572="","",INDEX(인턴계획표[정규화3],$Q572))</f>
        <v/>
      </c>
      <c r="M572">
        <f>IF($Q572="","",INDEX(인턴계획표[정규화4],$Q572))</f>
        <v/>
      </c>
      <c r="N572">
        <f>IF($Q572="","",INDEX(인턴계획표[정규화5],$Q572))</f>
        <v/>
      </c>
      <c r="O572">
        <f>IF($Q572="","",INDEX(인턴계획표[정규화6],$Q572))</f>
        <v/>
      </c>
      <c r="P572">
        <f>IF($Q572="","",INDEX(인턴계획표[입력오류],$Q572))</f>
        <v/>
      </c>
      <c r="Q572" s="17">
        <f>IFERROR(MATCH(567,인턴계획표[표시순번],0),"")</f>
        <v/>
      </c>
    </row>
    <row r="573">
      <c r="A573">
        <f>IF($Q573="","",INDEX(인턴계획표[순번],$Q573)&amp;"")</f>
        <v/>
      </c>
      <c r="B573">
        <f>IF($Q573="","",TRIM(INDEX(인턴계획표[이름],$Q573)&amp;""))</f>
        <v/>
      </c>
      <c r="C573">
        <f>IF($Q573="","",INDEX(인턴계획표[사번],$Q573)&amp;"")</f>
        <v/>
      </c>
      <c r="D573">
        <f>IF($Q573="","",IF(COUNTIF(기본자료표[사번키],INDEX(인턴계획표[사번키],$Q573))&gt;0,"확인","미등록"))</f>
        <v/>
      </c>
      <c r="E573">
        <f>IF($Q573="","",IF(ISNUMBER(INDEX(인턴계획표[입사일(비고)],$Q573)),TEXT(INDEX(인턴계획표[입사일(비고)],$Q573),"yyyy-mm-dd"),INDEX(인턴계획표[입사일(비고)],$Q573)&amp;""))</f>
        <v/>
      </c>
      <c r="F573">
        <f>IF($Q573="","",IF(IF($G$3="","",INDEX(인턴계획표[[정규화1]:[정규화6]],$Q573,$G$3)&amp;"")="","",IF(LEFT(IF($G$3="","",INDEX(인턴계획표[[정규화1]:[정규화6]],$Q573,$G$3)&amp;""),1)="⚠",IF($G$3="","",INDEX(인턴계획표[[정규화1]:[정규화6]],$Q573,$G$3)&amp;""),IFERROR(LEFT(IF($G$3="","",INDEX(인턴계획표[[정규화1]:[정규화6]],$Q573,$G$3)&amp;""),FIND(" ",IF($G$3="","",INDEX(인턴계획표[[정규화1]:[정규화6]],$Q573,$G$3)&amp;""))-1),IF($G$3="","",INDEX(인턴계획표[[정규화1]:[정규화6]],$Q573,$G$3)&amp;"")))))</f>
        <v/>
      </c>
      <c r="G573">
        <f>IF($Q573="","",IF(IF($G$3="","",INDEX(인턴계획표[[정규화1]:[정규화6]],$Q573,$G$3)&amp;"")="","",IF(LEFT(IF($G$3="","",INDEX(인턴계획표[[정규화1]:[정규화6]],$Q573,$G$3)&amp;""),1)="⚠","",IFERROR(MID(IF($G$3="","",INDEX(인턴계획표[[정규화1]:[정규화6]],$Q573,$G$3)&amp;""),FIND(" ",IF($G$3="","",INDEX(인턴계획표[[정규화1]:[정규화6]],$Q573,$G$3)&amp;""))+1,60),""))))</f>
        <v/>
      </c>
      <c r="H573">
        <f>IF($Q573="","",IF(IF($I$3="","",INDEX(인턴계획표[[정규화1]:[정규화6]],$Q573,$I$3)&amp;"")="","",IF(LEFT(IF($I$3="","",INDEX(인턴계획표[[정규화1]:[정규화6]],$Q573,$I$3)&amp;""),1)="⚠",IF($I$3="","",INDEX(인턴계획표[[정규화1]:[정규화6]],$Q573,$I$3)&amp;""),IFERROR(LEFT(IF($I$3="","",INDEX(인턴계획표[[정규화1]:[정규화6]],$Q573,$I$3)&amp;""),FIND(" ",IF($I$3="","",INDEX(인턴계획표[[정규화1]:[정규화6]],$Q573,$I$3)&amp;""))-1),IF($I$3="","",INDEX(인턴계획표[[정규화1]:[정규화6]],$Q573,$I$3)&amp;"")))))</f>
        <v/>
      </c>
      <c r="I573">
        <f>IF($Q573="","",IF(IF($I$3="","",INDEX(인턴계획표[[정규화1]:[정규화6]],$Q573,$I$3)&amp;"")="","",IF(LEFT(IF($I$3="","",INDEX(인턴계획표[[정규화1]:[정규화6]],$Q573,$I$3)&amp;""),1)="⚠","",IFERROR(MID(IF($I$3="","",INDEX(인턴계획표[[정규화1]:[정규화6]],$Q573,$I$3)&amp;""),FIND(" ",IF($I$3="","",INDEX(인턴계획표[[정규화1]:[정규화6]],$Q573,$I$3)&amp;""))+1,60),""))))</f>
        <v/>
      </c>
      <c r="J573">
        <f>IF($Q573="","",INDEX(인턴계획표[정규화1],$Q573))</f>
        <v/>
      </c>
      <c r="K573">
        <f>IF($Q573="","",INDEX(인턴계획표[정규화2],$Q573))</f>
        <v/>
      </c>
      <c r="L573">
        <f>IF($Q573="","",INDEX(인턴계획표[정규화3],$Q573))</f>
        <v/>
      </c>
      <c r="M573">
        <f>IF($Q573="","",INDEX(인턴계획표[정규화4],$Q573))</f>
        <v/>
      </c>
      <c r="N573">
        <f>IF($Q573="","",INDEX(인턴계획표[정규화5],$Q573))</f>
        <v/>
      </c>
      <c r="O573">
        <f>IF($Q573="","",INDEX(인턴계획표[정규화6],$Q573))</f>
        <v/>
      </c>
      <c r="P573">
        <f>IF($Q573="","",INDEX(인턴계획표[입력오류],$Q573))</f>
        <v/>
      </c>
      <c r="Q573" s="17">
        <f>IFERROR(MATCH(568,인턴계획표[표시순번],0),"")</f>
        <v/>
      </c>
    </row>
    <row r="574">
      <c r="A574">
        <f>IF($Q574="","",INDEX(인턴계획표[순번],$Q574)&amp;"")</f>
        <v/>
      </c>
      <c r="B574">
        <f>IF($Q574="","",TRIM(INDEX(인턴계획표[이름],$Q574)&amp;""))</f>
        <v/>
      </c>
      <c r="C574">
        <f>IF($Q574="","",INDEX(인턴계획표[사번],$Q574)&amp;"")</f>
        <v/>
      </c>
      <c r="D574">
        <f>IF($Q574="","",IF(COUNTIF(기본자료표[사번키],INDEX(인턴계획표[사번키],$Q574))&gt;0,"확인","미등록"))</f>
        <v/>
      </c>
      <c r="E574">
        <f>IF($Q574="","",IF(ISNUMBER(INDEX(인턴계획표[입사일(비고)],$Q574)),TEXT(INDEX(인턴계획표[입사일(비고)],$Q574),"yyyy-mm-dd"),INDEX(인턴계획표[입사일(비고)],$Q574)&amp;""))</f>
        <v/>
      </c>
      <c r="F574">
        <f>IF($Q574="","",IF(IF($G$3="","",INDEX(인턴계획표[[정규화1]:[정규화6]],$Q574,$G$3)&amp;"")="","",IF(LEFT(IF($G$3="","",INDEX(인턴계획표[[정규화1]:[정규화6]],$Q574,$G$3)&amp;""),1)="⚠",IF($G$3="","",INDEX(인턴계획표[[정규화1]:[정규화6]],$Q574,$G$3)&amp;""),IFERROR(LEFT(IF($G$3="","",INDEX(인턴계획표[[정규화1]:[정규화6]],$Q574,$G$3)&amp;""),FIND(" ",IF($G$3="","",INDEX(인턴계획표[[정규화1]:[정규화6]],$Q574,$G$3)&amp;""))-1),IF($G$3="","",INDEX(인턴계획표[[정규화1]:[정규화6]],$Q574,$G$3)&amp;"")))))</f>
        <v/>
      </c>
      <c r="G574">
        <f>IF($Q574="","",IF(IF($G$3="","",INDEX(인턴계획표[[정규화1]:[정규화6]],$Q574,$G$3)&amp;"")="","",IF(LEFT(IF($G$3="","",INDEX(인턴계획표[[정규화1]:[정규화6]],$Q574,$G$3)&amp;""),1)="⚠","",IFERROR(MID(IF($G$3="","",INDEX(인턴계획표[[정규화1]:[정규화6]],$Q574,$G$3)&amp;""),FIND(" ",IF($G$3="","",INDEX(인턴계획표[[정규화1]:[정규화6]],$Q574,$G$3)&amp;""))+1,60),""))))</f>
        <v/>
      </c>
      <c r="H574">
        <f>IF($Q574="","",IF(IF($I$3="","",INDEX(인턴계획표[[정규화1]:[정규화6]],$Q574,$I$3)&amp;"")="","",IF(LEFT(IF($I$3="","",INDEX(인턴계획표[[정규화1]:[정규화6]],$Q574,$I$3)&amp;""),1)="⚠",IF($I$3="","",INDEX(인턴계획표[[정규화1]:[정규화6]],$Q574,$I$3)&amp;""),IFERROR(LEFT(IF($I$3="","",INDEX(인턴계획표[[정규화1]:[정규화6]],$Q574,$I$3)&amp;""),FIND(" ",IF($I$3="","",INDEX(인턴계획표[[정규화1]:[정규화6]],$Q574,$I$3)&amp;""))-1),IF($I$3="","",INDEX(인턴계획표[[정규화1]:[정규화6]],$Q574,$I$3)&amp;"")))))</f>
        <v/>
      </c>
      <c r="I574">
        <f>IF($Q574="","",IF(IF($I$3="","",INDEX(인턴계획표[[정규화1]:[정규화6]],$Q574,$I$3)&amp;"")="","",IF(LEFT(IF($I$3="","",INDEX(인턴계획표[[정규화1]:[정규화6]],$Q574,$I$3)&amp;""),1)="⚠","",IFERROR(MID(IF($I$3="","",INDEX(인턴계획표[[정규화1]:[정규화6]],$Q574,$I$3)&amp;""),FIND(" ",IF($I$3="","",INDEX(인턴계획표[[정규화1]:[정규화6]],$Q574,$I$3)&amp;""))+1,60),""))))</f>
        <v/>
      </c>
      <c r="J574">
        <f>IF($Q574="","",INDEX(인턴계획표[정규화1],$Q574))</f>
        <v/>
      </c>
      <c r="K574">
        <f>IF($Q574="","",INDEX(인턴계획표[정규화2],$Q574))</f>
        <v/>
      </c>
      <c r="L574">
        <f>IF($Q574="","",INDEX(인턴계획표[정규화3],$Q574))</f>
        <v/>
      </c>
      <c r="M574">
        <f>IF($Q574="","",INDEX(인턴계획표[정규화4],$Q574))</f>
        <v/>
      </c>
      <c r="N574">
        <f>IF($Q574="","",INDEX(인턴계획표[정규화5],$Q574))</f>
        <v/>
      </c>
      <c r="O574">
        <f>IF($Q574="","",INDEX(인턴계획표[정규화6],$Q574))</f>
        <v/>
      </c>
      <c r="P574">
        <f>IF($Q574="","",INDEX(인턴계획표[입력오류],$Q574))</f>
        <v/>
      </c>
      <c r="Q574" s="17">
        <f>IFERROR(MATCH(569,인턴계획표[표시순번],0),"")</f>
        <v/>
      </c>
    </row>
    <row r="575">
      <c r="A575">
        <f>IF($Q575="","",INDEX(인턴계획표[순번],$Q575)&amp;"")</f>
        <v/>
      </c>
      <c r="B575">
        <f>IF($Q575="","",TRIM(INDEX(인턴계획표[이름],$Q575)&amp;""))</f>
        <v/>
      </c>
      <c r="C575">
        <f>IF($Q575="","",INDEX(인턴계획표[사번],$Q575)&amp;"")</f>
        <v/>
      </c>
      <c r="D575">
        <f>IF($Q575="","",IF(COUNTIF(기본자료표[사번키],INDEX(인턴계획표[사번키],$Q575))&gt;0,"확인","미등록"))</f>
        <v/>
      </c>
      <c r="E575">
        <f>IF($Q575="","",IF(ISNUMBER(INDEX(인턴계획표[입사일(비고)],$Q575)),TEXT(INDEX(인턴계획표[입사일(비고)],$Q575),"yyyy-mm-dd"),INDEX(인턴계획표[입사일(비고)],$Q575)&amp;""))</f>
        <v/>
      </c>
      <c r="F575">
        <f>IF($Q575="","",IF(IF($G$3="","",INDEX(인턴계획표[[정규화1]:[정규화6]],$Q575,$G$3)&amp;"")="","",IF(LEFT(IF($G$3="","",INDEX(인턴계획표[[정규화1]:[정규화6]],$Q575,$G$3)&amp;""),1)="⚠",IF($G$3="","",INDEX(인턴계획표[[정규화1]:[정규화6]],$Q575,$G$3)&amp;""),IFERROR(LEFT(IF($G$3="","",INDEX(인턴계획표[[정규화1]:[정규화6]],$Q575,$G$3)&amp;""),FIND(" ",IF($G$3="","",INDEX(인턴계획표[[정규화1]:[정규화6]],$Q575,$G$3)&amp;""))-1),IF($G$3="","",INDEX(인턴계획표[[정규화1]:[정규화6]],$Q575,$G$3)&amp;"")))))</f>
        <v/>
      </c>
      <c r="G575">
        <f>IF($Q575="","",IF(IF($G$3="","",INDEX(인턴계획표[[정규화1]:[정규화6]],$Q575,$G$3)&amp;"")="","",IF(LEFT(IF($G$3="","",INDEX(인턴계획표[[정규화1]:[정규화6]],$Q575,$G$3)&amp;""),1)="⚠","",IFERROR(MID(IF($G$3="","",INDEX(인턴계획표[[정규화1]:[정규화6]],$Q575,$G$3)&amp;""),FIND(" ",IF($G$3="","",INDEX(인턴계획표[[정규화1]:[정규화6]],$Q575,$G$3)&amp;""))+1,60),""))))</f>
        <v/>
      </c>
      <c r="H575">
        <f>IF($Q575="","",IF(IF($I$3="","",INDEX(인턴계획표[[정규화1]:[정규화6]],$Q575,$I$3)&amp;"")="","",IF(LEFT(IF($I$3="","",INDEX(인턴계획표[[정규화1]:[정규화6]],$Q575,$I$3)&amp;""),1)="⚠",IF($I$3="","",INDEX(인턴계획표[[정규화1]:[정규화6]],$Q575,$I$3)&amp;""),IFERROR(LEFT(IF($I$3="","",INDEX(인턴계획표[[정규화1]:[정규화6]],$Q575,$I$3)&amp;""),FIND(" ",IF($I$3="","",INDEX(인턴계획표[[정규화1]:[정규화6]],$Q575,$I$3)&amp;""))-1),IF($I$3="","",INDEX(인턴계획표[[정규화1]:[정규화6]],$Q575,$I$3)&amp;"")))))</f>
        <v/>
      </c>
      <c r="I575">
        <f>IF($Q575="","",IF(IF($I$3="","",INDEX(인턴계획표[[정규화1]:[정규화6]],$Q575,$I$3)&amp;"")="","",IF(LEFT(IF($I$3="","",INDEX(인턴계획표[[정규화1]:[정규화6]],$Q575,$I$3)&amp;""),1)="⚠","",IFERROR(MID(IF($I$3="","",INDEX(인턴계획표[[정규화1]:[정규화6]],$Q575,$I$3)&amp;""),FIND(" ",IF($I$3="","",INDEX(인턴계획표[[정규화1]:[정규화6]],$Q575,$I$3)&amp;""))+1,60),""))))</f>
        <v/>
      </c>
      <c r="J575">
        <f>IF($Q575="","",INDEX(인턴계획표[정규화1],$Q575))</f>
        <v/>
      </c>
      <c r="K575">
        <f>IF($Q575="","",INDEX(인턴계획표[정규화2],$Q575))</f>
        <v/>
      </c>
      <c r="L575">
        <f>IF($Q575="","",INDEX(인턴계획표[정규화3],$Q575))</f>
        <v/>
      </c>
      <c r="M575">
        <f>IF($Q575="","",INDEX(인턴계획표[정규화4],$Q575))</f>
        <v/>
      </c>
      <c r="N575">
        <f>IF($Q575="","",INDEX(인턴계획표[정규화5],$Q575))</f>
        <v/>
      </c>
      <c r="O575">
        <f>IF($Q575="","",INDEX(인턴계획표[정규화6],$Q575))</f>
        <v/>
      </c>
      <c r="P575">
        <f>IF($Q575="","",INDEX(인턴계획표[입력오류],$Q575))</f>
        <v/>
      </c>
      <c r="Q575" s="17">
        <f>IFERROR(MATCH(570,인턴계획표[표시순번],0),"")</f>
        <v/>
      </c>
    </row>
    <row r="576">
      <c r="A576">
        <f>IF($Q576="","",INDEX(인턴계획표[순번],$Q576)&amp;"")</f>
        <v/>
      </c>
      <c r="B576">
        <f>IF($Q576="","",TRIM(INDEX(인턴계획표[이름],$Q576)&amp;""))</f>
        <v/>
      </c>
      <c r="C576">
        <f>IF($Q576="","",INDEX(인턴계획표[사번],$Q576)&amp;"")</f>
        <v/>
      </c>
      <c r="D576">
        <f>IF($Q576="","",IF(COUNTIF(기본자료표[사번키],INDEX(인턴계획표[사번키],$Q576))&gt;0,"확인","미등록"))</f>
        <v/>
      </c>
      <c r="E576">
        <f>IF($Q576="","",IF(ISNUMBER(INDEX(인턴계획표[입사일(비고)],$Q576)),TEXT(INDEX(인턴계획표[입사일(비고)],$Q576),"yyyy-mm-dd"),INDEX(인턴계획표[입사일(비고)],$Q576)&amp;""))</f>
        <v/>
      </c>
      <c r="F576">
        <f>IF($Q576="","",IF(IF($G$3="","",INDEX(인턴계획표[[정규화1]:[정규화6]],$Q576,$G$3)&amp;"")="","",IF(LEFT(IF($G$3="","",INDEX(인턴계획표[[정규화1]:[정규화6]],$Q576,$G$3)&amp;""),1)="⚠",IF($G$3="","",INDEX(인턴계획표[[정규화1]:[정규화6]],$Q576,$G$3)&amp;""),IFERROR(LEFT(IF($G$3="","",INDEX(인턴계획표[[정규화1]:[정규화6]],$Q576,$G$3)&amp;""),FIND(" ",IF($G$3="","",INDEX(인턴계획표[[정규화1]:[정규화6]],$Q576,$G$3)&amp;""))-1),IF($G$3="","",INDEX(인턴계획표[[정규화1]:[정규화6]],$Q576,$G$3)&amp;"")))))</f>
        <v/>
      </c>
      <c r="G576">
        <f>IF($Q576="","",IF(IF($G$3="","",INDEX(인턴계획표[[정규화1]:[정규화6]],$Q576,$G$3)&amp;"")="","",IF(LEFT(IF($G$3="","",INDEX(인턴계획표[[정규화1]:[정규화6]],$Q576,$G$3)&amp;""),1)="⚠","",IFERROR(MID(IF($G$3="","",INDEX(인턴계획표[[정규화1]:[정규화6]],$Q576,$G$3)&amp;""),FIND(" ",IF($G$3="","",INDEX(인턴계획표[[정규화1]:[정규화6]],$Q576,$G$3)&amp;""))+1,60),""))))</f>
        <v/>
      </c>
      <c r="H576">
        <f>IF($Q576="","",IF(IF($I$3="","",INDEX(인턴계획표[[정규화1]:[정규화6]],$Q576,$I$3)&amp;"")="","",IF(LEFT(IF($I$3="","",INDEX(인턴계획표[[정규화1]:[정규화6]],$Q576,$I$3)&amp;""),1)="⚠",IF($I$3="","",INDEX(인턴계획표[[정규화1]:[정규화6]],$Q576,$I$3)&amp;""),IFERROR(LEFT(IF($I$3="","",INDEX(인턴계획표[[정규화1]:[정규화6]],$Q576,$I$3)&amp;""),FIND(" ",IF($I$3="","",INDEX(인턴계획표[[정규화1]:[정규화6]],$Q576,$I$3)&amp;""))-1),IF($I$3="","",INDEX(인턴계획표[[정규화1]:[정규화6]],$Q576,$I$3)&amp;"")))))</f>
        <v/>
      </c>
      <c r="I576">
        <f>IF($Q576="","",IF(IF($I$3="","",INDEX(인턴계획표[[정규화1]:[정규화6]],$Q576,$I$3)&amp;"")="","",IF(LEFT(IF($I$3="","",INDEX(인턴계획표[[정규화1]:[정규화6]],$Q576,$I$3)&amp;""),1)="⚠","",IFERROR(MID(IF($I$3="","",INDEX(인턴계획표[[정규화1]:[정규화6]],$Q576,$I$3)&amp;""),FIND(" ",IF($I$3="","",INDEX(인턴계획표[[정규화1]:[정규화6]],$Q576,$I$3)&amp;""))+1,60),""))))</f>
        <v/>
      </c>
      <c r="J576">
        <f>IF($Q576="","",INDEX(인턴계획표[정규화1],$Q576))</f>
        <v/>
      </c>
      <c r="K576">
        <f>IF($Q576="","",INDEX(인턴계획표[정규화2],$Q576))</f>
        <v/>
      </c>
      <c r="L576">
        <f>IF($Q576="","",INDEX(인턴계획표[정규화3],$Q576))</f>
        <v/>
      </c>
      <c r="M576">
        <f>IF($Q576="","",INDEX(인턴계획표[정규화4],$Q576))</f>
        <v/>
      </c>
      <c r="N576">
        <f>IF($Q576="","",INDEX(인턴계획표[정규화5],$Q576))</f>
        <v/>
      </c>
      <c r="O576">
        <f>IF($Q576="","",INDEX(인턴계획표[정규화6],$Q576))</f>
        <v/>
      </c>
      <c r="P576">
        <f>IF($Q576="","",INDEX(인턴계획표[입력오류],$Q576))</f>
        <v/>
      </c>
      <c r="Q576" s="17">
        <f>IFERROR(MATCH(571,인턴계획표[표시순번],0),"")</f>
        <v/>
      </c>
    </row>
    <row r="577">
      <c r="A577">
        <f>IF($Q577="","",INDEX(인턴계획표[순번],$Q577)&amp;"")</f>
        <v/>
      </c>
      <c r="B577">
        <f>IF($Q577="","",TRIM(INDEX(인턴계획표[이름],$Q577)&amp;""))</f>
        <v/>
      </c>
      <c r="C577">
        <f>IF($Q577="","",INDEX(인턴계획표[사번],$Q577)&amp;"")</f>
        <v/>
      </c>
      <c r="D577">
        <f>IF($Q577="","",IF(COUNTIF(기본자료표[사번키],INDEX(인턴계획표[사번키],$Q577))&gt;0,"확인","미등록"))</f>
        <v/>
      </c>
      <c r="E577">
        <f>IF($Q577="","",IF(ISNUMBER(INDEX(인턴계획표[입사일(비고)],$Q577)),TEXT(INDEX(인턴계획표[입사일(비고)],$Q577),"yyyy-mm-dd"),INDEX(인턴계획표[입사일(비고)],$Q577)&amp;""))</f>
        <v/>
      </c>
      <c r="F577">
        <f>IF($Q577="","",IF(IF($G$3="","",INDEX(인턴계획표[[정규화1]:[정규화6]],$Q577,$G$3)&amp;"")="","",IF(LEFT(IF($G$3="","",INDEX(인턴계획표[[정규화1]:[정규화6]],$Q577,$G$3)&amp;""),1)="⚠",IF($G$3="","",INDEX(인턴계획표[[정규화1]:[정규화6]],$Q577,$G$3)&amp;""),IFERROR(LEFT(IF($G$3="","",INDEX(인턴계획표[[정규화1]:[정규화6]],$Q577,$G$3)&amp;""),FIND(" ",IF($G$3="","",INDEX(인턴계획표[[정규화1]:[정규화6]],$Q577,$G$3)&amp;""))-1),IF($G$3="","",INDEX(인턴계획표[[정규화1]:[정규화6]],$Q577,$G$3)&amp;"")))))</f>
        <v/>
      </c>
      <c r="G577">
        <f>IF($Q577="","",IF(IF($G$3="","",INDEX(인턴계획표[[정규화1]:[정규화6]],$Q577,$G$3)&amp;"")="","",IF(LEFT(IF($G$3="","",INDEX(인턴계획표[[정규화1]:[정규화6]],$Q577,$G$3)&amp;""),1)="⚠","",IFERROR(MID(IF($G$3="","",INDEX(인턴계획표[[정규화1]:[정규화6]],$Q577,$G$3)&amp;""),FIND(" ",IF($G$3="","",INDEX(인턴계획표[[정규화1]:[정규화6]],$Q577,$G$3)&amp;""))+1,60),""))))</f>
        <v/>
      </c>
      <c r="H577">
        <f>IF($Q577="","",IF(IF($I$3="","",INDEX(인턴계획표[[정규화1]:[정규화6]],$Q577,$I$3)&amp;"")="","",IF(LEFT(IF($I$3="","",INDEX(인턴계획표[[정규화1]:[정규화6]],$Q577,$I$3)&amp;""),1)="⚠",IF($I$3="","",INDEX(인턴계획표[[정규화1]:[정규화6]],$Q577,$I$3)&amp;""),IFERROR(LEFT(IF($I$3="","",INDEX(인턴계획표[[정규화1]:[정규화6]],$Q577,$I$3)&amp;""),FIND(" ",IF($I$3="","",INDEX(인턴계획표[[정규화1]:[정규화6]],$Q577,$I$3)&amp;""))-1),IF($I$3="","",INDEX(인턴계획표[[정규화1]:[정규화6]],$Q577,$I$3)&amp;"")))))</f>
        <v/>
      </c>
      <c r="I577">
        <f>IF($Q577="","",IF(IF($I$3="","",INDEX(인턴계획표[[정규화1]:[정규화6]],$Q577,$I$3)&amp;"")="","",IF(LEFT(IF($I$3="","",INDEX(인턴계획표[[정규화1]:[정규화6]],$Q577,$I$3)&amp;""),1)="⚠","",IFERROR(MID(IF($I$3="","",INDEX(인턴계획표[[정규화1]:[정규화6]],$Q577,$I$3)&amp;""),FIND(" ",IF($I$3="","",INDEX(인턴계획표[[정규화1]:[정규화6]],$Q577,$I$3)&amp;""))+1,60),""))))</f>
        <v/>
      </c>
      <c r="J577">
        <f>IF($Q577="","",INDEX(인턴계획표[정규화1],$Q577))</f>
        <v/>
      </c>
      <c r="K577">
        <f>IF($Q577="","",INDEX(인턴계획표[정규화2],$Q577))</f>
        <v/>
      </c>
      <c r="L577">
        <f>IF($Q577="","",INDEX(인턴계획표[정규화3],$Q577))</f>
        <v/>
      </c>
      <c r="M577">
        <f>IF($Q577="","",INDEX(인턴계획표[정규화4],$Q577))</f>
        <v/>
      </c>
      <c r="N577">
        <f>IF($Q577="","",INDEX(인턴계획표[정규화5],$Q577))</f>
        <v/>
      </c>
      <c r="O577">
        <f>IF($Q577="","",INDEX(인턴계획표[정규화6],$Q577))</f>
        <v/>
      </c>
      <c r="P577">
        <f>IF($Q577="","",INDEX(인턴계획표[입력오류],$Q577))</f>
        <v/>
      </c>
      <c r="Q577" s="17">
        <f>IFERROR(MATCH(572,인턴계획표[표시순번],0),"")</f>
        <v/>
      </c>
    </row>
    <row r="578">
      <c r="A578">
        <f>IF($Q578="","",INDEX(인턴계획표[순번],$Q578)&amp;"")</f>
        <v/>
      </c>
      <c r="B578">
        <f>IF($Q578="","",TRIM(INDEX(인턴계획표[이름],$Q578)&amp;""))</f>
        <v/>
      </c>
      <c r="C578">
        <f>IF($Q578="","",INDEX(인턴계획표[사번],$Q578)&amp;"")</f>
        <v/>
      </c>
      <c r="D578">
        <f>IF($Q578="","",IF(COUNTIF(기본자료표[사번키],INDEX(인턴계획표[사번키],$Q578))&gt;0,"확인","미등록"))</f>
        <v/>
      </c>
      <c r="E578">
        <f>IF($Q578="","",IF(ISNUMBER(INDEX(인턴계획표[입사일(비고)],$Q578)),TEXT(INDEX(인턴계획표[입사일(비고)],$Q578),"yyyy-mm-dd"),INDEX(인턴계획표[입사일(비고)],$Q578)&amp;""))</f>
        <v/>
      </c>
      <c r="F578">
        <f>IF($Q578="","",IF(IF($G$3="","",INDEX(인턴계획표[[정규화1]:[정규화6]],$Q578,$G$3)&amp;"")="","",IF(LEFT(IF($G$3="","",INDEX(인턴계획표[[정규화1]:[정규화6]],$Q578,$G$3)&amp;""),1)="⚠",IF($G$3="","",INDEX(인턴계획표[[정규화1]:[정규화6]],$Q578,$G$3)&amp;""),IFERROR(LEFT(IF($G$3="","",INDEX(인턴계획표[[정규화1]:[정규화6]],$Q578,$G$3)&amp;""),FIND(" ",IF($G$3="","",INDEX(인턴계획표[[정규화1]:[정규화6]],$Q578,$G$3)&amp;""))-1),IF($G$3="","",INDEX(인턴계획표[[정규화1]:[정규화6]],$Q578,$G$3)&amp;"")))))</f>
        <v/>
      </c>
      <c r="G578">
        <f>IF($Q578="","",IF(IF($G$3="","",INDEX(인턴계획표[[정규화1]:[정규화6]],$Q578,$G$3)&amp;"")="","",IF(LEFT(IF($G$3="","",INDEX(인턴계획표[[정규화1]:[정규화6]],$Q578,$G$3)&amp;""),1)="⚠","",IFERROR(MID(IF($G$3="","",INDEX(인턴계획표[[정규화1]:[정규화6]],$Q578,$G$3)&amp;""),FIND(" ",IF($G$3="","",INDEX(인턴계획표[[정규화1]:[정규화6]],$Q578,$G$3)&amp;""))+1,60),""))))</f>
        <v/>
      </c>
      <c r="H578">
        <f>IF($Q578="","",IF(IF($I$3="","",INDEX(인턴계획표[[정규화1]:[정규화6]],$Q578,$I$3)&amp;"")="","",IF(LEFT(IF($I$3="","",INDEX(인턴계획표[[정규화1]:[정규화6]],$Q578,$I$3)&amp;""),1)="⚠",IF($I$3="","",INDEX(인턴계획표[[정규화1]:[정규화6]],$Q578,$I$3)&amp;""),IFERROR(LEFT(IF($I$3="","",INDEX(인턴계획표[[정규화1]:[정규화6]],$Q578,$I$3)&amp;""),FIND(" ",IF($I$3="","",INDEX(인턴계획표[[정규화1]:[정규화6]],$Q578,$I$3)&amp;""))-1),IF($I$3="","",INDEX(인턴계획표[[정규화1]:[정규화6]],$Q578,$I$3)&amp;"")))))</f>
        <v/>
      </c>
      <c r="I578">
        <f>IF($Q578="","",IF(IF($I$3="","",INDEX(인턴계획표[[정규화1]:[정규화6]],$Q578,$I$3)&amp;"")="","",IF(LEFT(IF($I$3="","",INDEX(인턴계획표[[정규화1]:[정규화6]],$Q578,$I$3)&amp;""),1)="⚠","",IFERROR(MID(IF($I$3="","",INDEX(인턴계획표[[정규화1]:[정규화6]],$Q578,$I$3)&amp;""),FIND(" ",IF($I$3="","",INDEX(인턴계획표[[정규화1]:[정규화6]],$Q578,$I$3)&amp;""))+1,60),""))))</f>
        <v/>
      </c>
      <c r="J578">
        <f>IF($Q578="","",INDEX(인턴계획표[정규화1],$Q578))</f>
        <v/>
      </c>
      <c r="K578">
        <f>IF($Q578="","",INDEX(인턴계획표[정규화2],$Q578))</f>
        <v/>
      </c>
      <c r="L578">
        <f>IF($Q578="","",INDEX(인턴계획표[정규화3],$Q578))</f>
        <v/>
      </c>
      <c r="M578">
        <f>IF($Q578="","",INDEX(인턴계획표[정규화4],$Q578))</f>
        <v/>
      </c>
      <c r="N578">
        <f>IF($Q578="","",INDEX(인턴계획표[정규화5],$Q578))</f>
        <v/>
      </c>
      <c r="O578">
        <f>IF($Q578="","",INDEX(인턴계획표[정규화6],$Q578))</f>
        <v/>
      </c>
      <c r="P578">
        <f>IF($Q578="","",INDEX(인턴계획표[입력오류],$Q578))</f>
        <v/>
      </c>
      <c r="Q578" s="17">
        <f>IFERROR(MATCH(573,인턴계획표[표시순번],0),"")</f>
        <v/>
      </c>
    </row>
    <row r="579">
      <c r="A579">
        <f>IF($Q579="","",INDEX(인턴계획표[순번],$Q579)&amp;"")</f>
        <v/>
      </c>
      <c r="B579">
        <f>IF($Q579="","",TRIM(INDEX(인턴계획표[이름],$Q579)&amp;""))</f>
        <v/>
      </c>
      <c r="C579">
        <f>IF($Q579="","",INDEX(인턴계획표[사번],$Q579)&amp;"")</f>
        <v/>
      </c>
      <c r="D579">
        <f>IF($Q579="","",IF(COUNTIF(기본자료표[사번키],INDEX(인턴계획표[사번키],$Q579))&gt;0,"확인","미등록"))</f>
        <v/>
      </c>
      <c r="E579">
        <f>IF($Q579="","",IF(ISNUMBER(INDEX(인턴계획표[입사일(비고)],$Q579)),TEXT(INDEX(인턴계획표[입사일(비고)],$Q579),"yyyy-mm-dd"),INDEX(인턴계획표[입사일(비고)],$Q579)&amp;""))</f>
        <v/>
      </c>
      <c r="F579">
        <f>IF($Q579="","",IF(IF($G$3="","",INDEX(인턴계획표[[정규화1]:[정규화6]],$Q579,$G$3)&amp;"")="","",IF(LEFT(IF($G$3="","",INDEX(인턴계획표[[정규화1]:[정규화6]],$Q579,$G$3)&amp;""),1)="⚠",IF($G$3="","",INDEX(인턴계획표[[정규화1]:[정규화6]],$Q579,$G$3)&amp;""),IFERROR(LEFT(IF($G$3="","",INDEX(인턴계획표[[정규화1]:[정규화6]],$Q579,$G$3)&amp;""),FIND(" ",IF($G$3="","",INDEX(인턴계획표[[정규화1]:[정규화6]],$Q579,$G$3)&amp;""))-1),IF($G$3="","",INDEX(인턴계획표[[정규화1]:[정규화6]],$Q579,$G$3)&amp;"")))))</f>
        <v/>
      </c>
      <c r="G579">
        <f>IF($Q579="","",IF(IF($G$3="","",INDEX(인턴계획표[[정규화1]:[정규화6]],$Q579,$G$3)&amp;"")="","",IF(LEFT(IF($G$3="","",INDEX(인턴계획표[[정규화1]:[정규화6]],$Q579,$G$3)&amp;""),1)="⚠","",IFERROR(MID(IF($G$3="","",INDEX(인턴계획표[[정규화1]:[정규화6]],$Q579,$G$3)&amp;""),FIND(" ",IF($G$3="","",INDEX(인턴계획표[[정규화1]:[정규화6]],$Q579,$G$3)&amp;""))+1,60),""))))</f>
        <v/>
      </c>
      <c r="H579">
        <f>IF($Q579="","",IF(IF($I$3="","",INDEX(인턴계획표[[정규화1]:[정규화6]],$Q579,$I$3)&amp;"")="","",IF(LEFT(IF($I$3="","",INDEX(인턴계획표[[정규화1]:[정규화6]],$Q579,$I$3)&amp;""),1)="⚠",IF($I$3="","",INDEX(인턴계획표[[정규화1]:[정규화6]],$Q579,$I$3)&amp;""),IFERROR(LEFT(IF($I$3="","",INDEX(인턴계획표[[정규화1]:[정규화6]],$Q579,$I$3)&amp;""),FIND(" ",IF($I$3="","",INDEX(인턴계획표[[정규화1]:[정규화6]],$Q579,$I$3)&amp;""))-1),IF($I$3="","",INDEX(인턴계획표[[정규화1]:[정규화6]],$Q579,$I$3)&amp;"")))))</f>
        <v/>
      </c>
      <c r="I579">
        <f>IF($Q579="","",IF(IF($I$3="","",INDEX(인턴계획표[[정규화1]:[정규화6]],$Q579,$I$3)&amp;"")="","",IF(LEFT(IF($I$3="","",INDEX(인턴계획표[[정규화1]:[정규화6]],$Q579,$I$3)&amp;""),1)="⚠","",IFERROR(MID(IF($I$3="","",INDEX(인턴계획표[[정규화1]:[정규화6]],$Q579,$I$3)&amp;""),FIND(" ",IF($I$3="","",INDEX(인턴계획표[[정규화1]:[정규화6]],$Q579,$I$3)&amp;""))+1,60),""))))</f>
        <v/>
      </c>
      <c r="J579">
        <f>IF($Q579="","",INDEX(인턴계획표[정규화1],$Q579))</f>
        <v/>
      </c>
      <c r="K579">
        <f>IF($Q579="","",INDEX(인턴계획표[정규화2],$Q579))</f>
        <v/>
      </c>
      <c r="L579">
        <f>IF($Q579="","",INDEX(인턴계획표[정규화3],$Q579))</f>
        <v/>
      </c>
      <c r="M579">
        <f>IF($Q579="","",INDEX(인턴계획표[정규화4],$Q579))</f>
        <v/>
      </c>
      <c r="N579">
        <f>IF($Q579="","",INDEX(인턴계획표[정규화5],$Q579))</f>
        <v/>
      </c>
      <c r="O579">
        <f>IF($Q579="","",INDEX(인턴계획표[정규화6],$Q579))</f>
        <v/>
      </c>
      <c r="P579">
        <f>IF($Q579="","",INDEX(인턴계획표[입력오류],$Q579))</f>
        <v/>
      </c>
      <c r="Q579" s="17">
        <f>IFERROR(MATCH(574,인턴계획표[표시순번],0),"")</f>
        <v/>
      </c>
    </row>
    <row r="580">
      <c r="A580">
        <f>IF($Q580="","",INDEX(인턴계획표[순번],$Q580)&amp;"")</f>
        <v/>
      </c>
      <c r="B580">
        <f>IF($Q580="","",TRIM(INDEX(인턴계획표[이름],$Q580)&amp;""))</f>
        <v/>
      </c>
      <c r="C580">
        <f>IF($Q580="","",INDEX(인턴계획표[사번],$Q580)&amp;"")</f>
        <v/>
      </c>
      <c r="D580">
        <f>IF($Q580="","",IF(COUNTIF(기본자료표[사번키],INDEX(인턴계획표[사번키],$Q580))&gt;0,"확인","미등록"))</f>
        <v/>
      </c>
      <c r="E580">
        <f>IF($Q580="","",IF(ISNUMBER(INDEX(인턴계획표[입사일(비고)],$Q580)),TEXT(INDEX(인턴계획표[입사일(비고)],$Q580),"yyyy-mm-dd"),INDEX(인턴계획표[입사일(비고)],$Q580)&amp;""))</f>
        <v/>
      </c>
      <c r="F580">
        <f>IF($Q580="","",IF(IF($G$3="","",INDEX(인턴계획표[[정규화1]:[정규화6]],$Q580,$G$3)&amp;"")="","",IF(LEFT(IF($G$3="","",INDEX(인턴계획표[[정규화1]:[정규화6]],$Q580,$G$3)&amp;""),1)="⚠",IF($G$3="","",INDEX(인턴계획표[[정규화1]:[정규화6]],$Q580,$G$3)&amp;""),IFERROR(LEFT(IF($G$3="","",INDEX(인턴계획표[[정규화1]:[정규화6]],$Q580,$G$3)&amp;""),FIND(" ",IF($G$3="","",INDEX(인턴계획표[[정규화1]:[정규화6]],$Q580,$G$3)&amp;""))-1),IF($G$3="","",INDEX(인턴계획표[[정규화1]:[정규화6]],$Q580,$G$3)&amp;"")))))</f>
        <v/>
      </c>
      <c r="G580">
        <f>IF($Q580="","",IF(IF($G$3="","",INDEX(인턴계획표[[정규화1]:[정규화6]],$Q580,$G$3)&amp;"")="","",IF(LEFT(IF($G$3="","",INDEX(인턴계획표[[정규화1]:[정규화6]],$Q580,$G$3)&amp;""),1)="⚠","",IFERROR(MID(IF($G$3="","",INDEX(인턴계획표[[정규화1]:[정규화6]],$Q580,$G$3)&amp;""),FIND(" ",IF($G$3="","",INDEX(인턴계획표[[정규화1]:[정규화6]],$Q580,$G$3)&amp;""))+1,60),""))))</f>
        <v/>
      </c>
      <c r="H580">
        <f>IF($Q580="","",IF(IF($I$3="","",INDEX(인턴계획표[[정규화1]:[정규화6]],$Q580,$I$3)&amp;"")="","",IF(LEFT(IF($I$3="","",INDEX(인턴계획표[[정규화1]:[정규화6]],$Q580,$I$3)&amp;""),1)="⚠",IF($I$3="","",INDEX(인턴계획표[[정규화1]:[정규화6]],$Q580,$I$3)&amp;""),IFERROR(LEFT(IF($I$3="","",INDEX(인턴계획표[[정규화1]:[정규화6]],$Q580,$I$3)&amp;""),FIND(" ",IF($I$3="","",INDEX(인턴계획표[[정규화1]:[정규화6]],$Q580,$I$3)&amp;""))-1),IF($I$3="","",INDEX(인턴계획표[[정규화1]:[정규화6]],$Q580,$I$3)&amp;"")))))</f>
        <v/>
      </c>
      <c r="I580">
        <f>IF($Q580="","",IF(IF($I$3="","",INDEX(인턴계획표[[정규화1]:[정규화6]],$Q580,$I$3)&amp;"")="","",IF(LEFT(IF($I$3="","",INDEX(인턴계획표[[정규화1]:[정규화6]],$Q580,$I$3)&amp;""),1)="⚠","",IFERROR(MID(IF($I$3="","",INDEX(인턴계획표[[정규화1]:[정규화6]],$Q580,$I$3)&amp;""),FIND(" ",IF($I$3="","",INDEX(인턴계획표[[정규화1]:[정규화6]],$Q580,$I$3)&amp;""))+1,60),""))))</f>
        <v/>
      </c>
      <c r="J580">
        <f>IF($Q580="","",INDEX(인턴계획표[정규화1],$Q580))</f>
        <v/>
      </c>
      <c r="K580">
        <f>IF($Q580="","",INDEX(인턴계획표[정규화2],$Q580))</f>
        <v/>
      </c>
      <c r="L580">
        <f>IF($Q580="","",INDEX(인턴계획표[정규화3],$Q580))</f>
        <v/>
      </c>
      <c r="M580">
        <f>IF($Q580="","",INDEX(인턴계획표[정규화4],$Q580))</f>
        <v/>
      </c>
      <c r="N580">
        <f>IF($Q580="","",INDEX(인턴계획표[정규화5],$Q580))</f>
        <v/>
      </c>
      <c r="O580">
        <f>IF($Q580="","",INDEX(인턴계획표[정규화6],$Q580))</f>
        <v/>
      </c>
      <c r="P580">
        <f>IF($Q580="","",INDEX(인턴계획표[입력오류],$Q580))</f>
        <v/>
      </c>
      <c r="Q580" s="17">
        <f>IFERROR(MATCH(575,인턴계획표[표시순번],0),"")</f>
        <v/>
      </c>
    </row>
    <row r="581">
      <c r="A581">
        <f>IF($Q581="","",INDEX(인턴계획표[순번],$Q581)&amp;"")</f>
        <v/>
      </c>
      <c r="B581">
        <f>IF($Q581="","",TRIM(INDEX(인턴계획표[이름],$Q581)&amp;""))</f>
        <v/>
      </c>
      <c r="C581">
        <f>IF($Q581="","",INDEX(인턴계획표[사번],$Q581)&amp;"")</f>
        <v/>
      </c>
      <c r="D581">
        <f>IF($Q581="","",IF(COUNTIF(기본자료표[사번키],INDEX(인턴계획표[사번키],$Q581))&gt;0,"확인","미등록"))</f>
        <v/>
      </c>
      <c r="E581">
        <f>IF($Q581="","",IF(ISNUMBER(INDEX(인턴계획표[입사일(비고)],$Q581)),TEXT(INDEX(인턴계획표[입사일(비고)],$Q581),"yyyy-mm-dd"),INDEX(인턴계획표[입사일(비고)],$Q581)&amp;""))</f>
        <v/>
      </c>
      <c r="F581">
        <f>IF($Q581="","",IF(IF($G$3="","",INDEX(인턴계획표[[정규화1]:[정규화6]],$Q581,$G$3)&amp;"")="","",IF(LEFT(IF($G$3="","",INDEX(인턴계획표[[정규화1]:[정규화6]],$Q581,$G$3)&amp;""),1)="⚠",IF($G$3="","",INDEX(인턴계획표[[정규화1]:[정규화6]],$Q581,$G$3)&amp;""),IFERROR(LEFT(IF($G$3="","",INDEX(인턴계획표[[정규화1]:[정규화6]],$Q581,$G$3)&amp;""),FIND(" ",IF($G$3="","",INDEX(인턴계획표[[정규화1]:[정규화6]],$Q581,$G$3)&amp;""))-1),IF($G$3="","",INDEX(인턴계획표[[정규화1]:[정규화6]],$Q581,$G$3)&amp;"")))))</f>
        <v/>
      </c>
      <c r="G581">
        <f>IF($Q581="","",IF(IF($G$3="","",INDEX(인턴계획표[[정규화1]:[정규화6]],$Q581,$G$3)&amp;"")="","",IF(LEFT(IF($G$3="","",INDEX(인턴계획표[[정규화1]:[정규화6]],$Q581,$G$3)&amp;""),1)="⚠","",IFERROR(MID(IF($G$3="","",INDEX(인턴계획표[[정규화1]:[정규화6]],$Q581,$G$3)&amp;""),FIND(" ",IF($G$3="","",INDEX(인턴계획표[[정규화1]:[정규화6]],$Q581,$G$3)&amp;""))+1,60),""))))</f>
        <v/>
      </c>
      <c r="H581">
        <f>IF($Q581="","",IF(IF($I$3="","",INDEX(인턴계획표[[정규화1]:[정규화6]],$Q581,$I$3)&amp;"")="","",IF(LEFT(IF($I$3="","",INDEX(인턴계획표[[정규화1]:[정규화6]],$Q581,$I$3)&amp;""),1)="⚠",IF($I$3="","",INDEX(인턴계획표[[정규화1]:[정규화6]],$Q581,$I$3)&amp;""),IFERROR(LEFT(IF($I$3="","",INDEX(인턴계획표[[정규화1]:[정규화6]],$Q581,$I$3)&amp;""),FIND(" ",IF($I$3="","",INDEX(인턴계획표[[정규화1]:[정규화6]],$Q581,$I$3)&amp;""))-1),IF($I$3="","",INDEX(인턴계획표[[정규화1]:[정규화6]],$Q581,$I$3)&amp;"")))))</f>
        <v/>
      </c>
      <c r="I581">
        <f>IF($Q581="","",IF(IF($I$3="","",INDEX(인턴계획표[[정규화1]:[정규화6]],$Q581,$I$3)&amp;"")="","",IF(LEFT(IF($I$3="","",INDEX(인턴계획표[[정규화1]:[정규화6]],$Q581,$I$3)&amp;""),1)="⚠","",IFERROR(MID(IF($I$3="","",INDEX(인턴계획표[[정규화1]:[정규화6]],$Q581,$I$3)&amp;""),FIND(" ",IF($I$3="","",INDEX(인턴계획표[[정규화1]:[정규화6]],$Q581,$I$3)&amp;""))+1,60),""))))</f>
        <v/>
      </c>
      <c r="J581">
        <f>IF($Q581="","",INDEX(인턴계획표[정규화1],$Q581))</f>
        <v/>
      </c>
      <c r="K581">
        <f>IF($Q581="","",INDEX(인턴계획표[정규화2],$Q581))</f>
        <v/>
      </c>
      <c r="L581">
        <f>IF($Q581="","",INDEX(인턴계획표[정규화3],$Q581))</f>
        <v/>
      </c>
      <c r="M581">
        <f>IF($Q581="","",INDEX(인턴계획표[정규화4],$Q581))</f>
        <v/>
      </c>
      <c r="N581">
        <f>IF($Q581="","",INDEX(인턴계획표[정규화5],$Q581))</f>
        <v/>
      </c>
      <c r="O581">
        <f>IF($Q581="","",INDEX(인턴계획표[정규화6],$Q581))</f>
        <v/>
      </c>
      <c r="P581">
        <f>IF($Q581="","",INDEX(인턴계획표[입력오류],$Q581))</f>
        <v/>
      </c>
      <c r="Q581" s="17">
        <f>IFERROR(MATCH(576,인턴계획표[표시순번],0),"")</f>
        <v/>
      </c>
    </row>
    <row r="582">
      <c r="A582">
        <f>IF($Q582="","",INDEX(인턴계획표[순번],$Q582)&amp;"")</f>
        <v/>
      </c>
      <c r="B582">
        <f>IF($Q582="","",TRIM(INDEX(인턴계획표[이름],$Q582)&amp;""))</f>
        <v/>
      </c>
      <c r="C582">
        <f>IF($Q582="","",INDEX(인턴계획표[사번],$Q582)&amp;"")</f>
        <v/>
      </c>
      <c r="D582">
        <f>IF($Q582="","",IF(COUNTIF(기본자료표[사번키],INDEX(인턴계획표[사번키],$Q582))&gt;0,"확인","미등록"))</f>
        <v/>
      </c>
      <c r="E582">
        <f>IF($Q582="","",IF(ISNUMBER(INDEX(인턴계획표[입사일(비고)],$Q582)),TEXT(INDEX(인턴계획표[입사일(비고)],$Q582),"yyyy-mm-dd"),INDEX(인턴계획표[입사일(비고)],$Q582)&amp;""))</f>
        <v/>
      </c>
      <c r="F582">
        <f>IF($Q582="","",IF(IF($G$3="","",INDEX(인턴계획표[[정규화1]:[정규화6]],$Q582,$G$3)&amp;"")="","",IF(LEFT(IF($G$3="","",INDEX(인턴계획표[[정규화1]:[정규화6]],$Q582,$G$3)&amp;""),1)="⚠",IF($G$3="","",INDEX(인턴계획표[[정규화1]:[정규화6]],$Q582,$G$3)&amp;""),IFERROR(LEFT(IF($G$3="","",INDEX(인턴계획표[[정규화1]:[정규화6]],$Q582,$G$3)&amp;""),FIND(" ",IF($G$3="","",INDEX(인턴계획표[[정규화1]:[정규화6]],$Q582,$G$3)&amp;""))-1),IF($G$3="","",INDEX(인턴계획표[[정규화1]:[정규화6]],$Q582,$G$3)&amp;"")))))</f>
        <v/>
      </c>
      <c r="G582">
        <f>IF($Q582="","",IF(IF($G$3="","",INDEX(인턴계획표[[정규화1]:[정규화6]],$Q582,$G$3)&amp;"")="","",IF(LEFT(IF($G$3="","",INDEX(인턴계획표[[정규화1]:[정규화6]],$Q582,$G$3)&amp;""),1)="⚠","",IFERROR(MID(IF($G$3="","",INDEX(인턴계획표[[정규화1]:[정규화6]],$Q582,$G$3)&amp;""),FIND(" ",IF($G$3="","",INDEX(인턴계획표[[정규화1]:[정규화6]],$Q582,$G$3)&amp;""))+1,60),""))))</f>
        <v/>
      </c>
      <c r="H582">
        <f>IF($Q582="","",IF(IF($I$3="","",INDEX(인턴계획표[[정규화1]:[정규화6]],$Q582,$I$3)&amp;"")="","",IF(LEFT(IF($I$3="","",INDEX(인턴계획표[[정규화1]:[정규화6]],$Q582,$I$3)&amp;""),1)="⚠",IF($I$3="","",INDEX(인턴계획표[[정규화1]:[정규화6]],$Q582,$I$3)&amp;""),IFERROR(LEFT(IF($I$3="","",INDEX(인턴계획표[[정규화1]:[정규화6]],$Q582,$I$3)&amp;""),FIND(" ",IF($I$3="","",INDEX(인턴계획표[[정규화1]:[정규화6]],$Q582,$I$3)&amp;""))-1),IF($I$3="","",INDEX(인턴계획표[[정규화1]:[정규화6]],$Q582,$I$3)&amp;"")))))</f>
        <v/>
      </c>
      <c r="I582">
        <f>IF($Q582="","",IF(IF($I$3="","",INDEX(인턴계획표[[정규화1]:[정규화6]],$Q582,$I$3)&amp;"")="","",IF(LEFT(IF($I$3="","",INDEX(인턴계획표[[정규화1]:[정규화6]],$Q582,$I$3)&amp;""),1)="⚠","",IFERROR(MID(IF($I$3="","",INDEX(인턴계획표[[정규화1]:[정규화6]],$Q582,$I$3)&amp;""),FIND(" ",IF($I$3="","",INDEX(인턴계획표[[정규화1]:[정규화6]],$Q582,$I$3)&amp;""))+1,60),""))))</f>
        <v/>
      </c>
      <c r="J582">
        <f>IF($Q582="","",INDEX(인턴계획표[정규화1],$Q582))</f>
        <v/>
      </c>
      <c r="K582">
        <f>IF($Q582="","",INDEX(인턴계획표[정규화2],$Q582))</f>
        <v/>
      </c>
      <c r="L582">
        <f>IF($Q582="","",INDEX(인턴계획표[정규화3],$Q582))</f>
        <v/>
      </c>
      <c r="M582">
        <f>IF($Q582="","",INDEX(인턴계획표[정규화4],$Q582))</f>
        <v/>
      </c>
      <c r="N582">
        <f>IF($Q582="","",INDEX(인턴계획표[정규화5],$Q582))</f>
        <v/>
      </c>
      <c r="O582">
        <f>IF($Q582="","",INDEX(인턴계획표[정규화6],$Q582))</f>
        <v/>
      </c>
      <c r="P582">
        <f>IF($Q582="","",INDEX(인턴계획표[입력오류],$Q582))</f>
        <v/>
      </c>
      <c r="Q582" s="17">
        <f>IFERROR(MATCH(577,인턴계획표[표시순번],0),"")</f>
        <v/>
      </c>
    </row>
    <row r="583">
      <c r="A583">
        <f>IF($Q583="","",INDEX(인턴계획표[순번],$Q583)&amp;"")</f>
        <v/>
      </c>
      <c r="B583">
        <f>IF($Q583="","",TRIM(INDEX(인턴계획표[이름],$Q583)&amp;""))</f>
        <v/>
      </c>
      <c r="C583">
        <f>IF($Q583="","",INDEX(인턴계획표[사번],$Q583)&amp;"")</f>
        <v/>
      </c>
      <c r="D583">
        <f>IF($Q583="","",IF(COUNTIF(기본자료표[사번키],INDEX(인턴계획표[사번키],$Q583))&gt;0,"확인","미등록"))</f>
        <v/>
      </c>
      <c r="E583">
        <f>IF($Q583="","",IF(ISNUMBER(INDEX(인턴계획표[입사일(비고)],$Q583)),TEXT(INDEX(인턴계획표[입사일(비고)],$Q583),"yyyy-mm-dd"),INDEX(인턴계획표[입사일(비고)],$Q583)&amp;""))</f>
        <v/>
      </c>
      <c r="F583">
        <f>IF($Q583="","",IF(IF($G$3="","",INDEX(인턴계획표[[정규화1]:[정규화6]],$Q583,$G$3)&amp;"")="","",IF(LEFT(IF($G$3="","",INDEX(인턴계획표[[정규화1]:[정규화6]],$Q583,$G$3)&amp;""),1)="⚠",IF($G$3="","",INDEX(인턴계획표[[정규화1]:[정규화6]],$Q583,$G$3)&amp;""),IFERROR(LEFT(IF($G$3="","",INDEX(인턴계획표[[정규화1]:[정규화6]],$Q583,$G$3)&amp;""),FIND(" ",IF($G$3="","",INDEX(인턴계획표[[정규화1]:[정규화6]],$Q583,$G$3)&amp;""))-1),IF($G$3="","",INDEX(인턴계획표[[정규화1]:[정규화6]],$Q583,$G$3)&amp;"")))))</f>
        <v/>
      </c>
      <c r="G583">
        <f>IF($Q583="","",IF(IF($G$3="","",INDEX(인턴계획표[[정규화1]:[정규화6]],$Q583,$G$3)&amp;"")="","",IF(LEFT(IF($G$3="","",INDEX(인턴계획표[[정규화1]:[정규화6]],$Q583,$G$3)&amp;""),1)="⚠","",IFERROR(MID(IF($G$3="","",INDEX(인턴계획표[[정규화1]:[정규화6]],$Q583,$G$3)&amp;""),FIND(" ",IF($G$3="","",INDEX(인턴계획표[[정규화1]:[정규화6]],$Q583,$G$3)&amp;""))+1,60),""))))</f>
        <v/>
      </c>
      <c r="H583">
        <f>IF($Q583="","",IF(IF($I$3="","",INDEX(인턴계획표[[정규화1]:[정규화6]],$Q583,$I$3)&amp;"")="","",IF(LEFT(IF($I$3="","",INDEX(인턴계획표[[정규화1]:[정규화6]],$Q583,$I$3)&amp;""),1)="⚠",IF($I$3="","",INDEX(인턴계획표[[정규화1]:[정규화6]],$Q583,$I$3)&amp;""),IFERROR(LEFT(IF($I$3="","",INDEX(인턴계획표[[정규화1]:[정규화6]],$Q583,$I$3)&amp;""),FIND(" ",IF($I$3="","",INDEX(인턴계획표[[정규화1]:[정규화6]],$Q583,$I$3)&amp;""))-1),IF($I$3="","",INDEX(인턴계획표[[정규화1]:[정규화6]],$Q583,$I$3)&amp;"")))))</f>
        <v/>
      </c>
      <c r="I583">
        <f>IF($Q583="","",IF(IF($I$3="","",INDEX(인턴계획표[[정규화1]:[정규화6]],$Q583,$I$3)&amp;"")="","",IF(LEFT(IF($I$3="","",INDEX(인턴계획표[[정규화1]:[정규화6]],$Q583,$I$3)&amp;""),1)="⚠","",IFERROR(MID(IF($I$3="","",INDEX(인턴계획표[[정규화1]:[정규화6]],$Q583,$I$3)&amp;""),FIND(" ",IF($I$3="","",INDEX(인턴계획표[[정규화1]:[정규화6]],$Q583,$I$3)&amp;""))+1,60),""))))</f>
        <v/>
      </c>
      <c r="J583">
        <f>IF($Q583="","",INDEX(인턴계획표[정규화1],$Q583))</f>
        <v/>
      </c>
      <c r="K583">
        <f>IF($Q583="","",INDEX(인턴계획표[정규화2],$Q583))</f>
        <v/>
      </c>
      <c r="L583">
        <f>IF($Q583="","",INDEX(인턴계획표[정규화3],$Q583))</f>
        <v/>
      </c>
      <c r="M583">
        <f>IF($Q583="","",INDEX(인턴계획표[정규화4],$Q583))</f>
        <v/>
      </c>
      <c r="N583">
        <f>IF($Q583="","",INDEX(인턴계획표[정규화5],$Q583))</f>
        <v/>
      </c>
      <c r="O583">
        <f>IF($Q583="","",INDEX(인턴계획표[정규화6],$Q583))</f>
        <v/>
      </c>
      <c r="P583">
        <f>IF($Q583="","",INDEX(인턴계획표[입력오류],$Q583))</f>
        <v/>
      </c>
      <c r="Q583" s="17">
        <f>IFERROR(MATCH(578,인턴계획표[표시순번],0),"")</f>
        <v/>
      </c>
    </row>
    <row r="584">
      <c r="A584">
        <f>IF($Q584="","",INDEX(인턴계획표[순번],$Q584)&amp;"")</f>
        <v/>
      </c>
      <c r="B584">
        <f>IF($Q584="","",TRIM(INDEX(인턴계획표[이름],$Q584)&amp;""))</f>
        <v/>
      </c>
      <c r="C584">
        <f>IF($Q584="","",INDEX(인턴계획표[사번],$Q584)&amp;"")</f>
        <v/>
      </c>
      <c r="D584">
        <f>IF($Q584="","",IF(COUNTIF(기본자료표[사번키],INDEX(인턴계획표[사번키],$Q584))&gt;0,"확인","미등록"))</f>
        <v/>
      </c>
      <c r="E584">
        <f>IF($Q584="","",IF(ISNUMBER(INDEX(인턴계획표[입사일(비고)],$Q584)),TEXT(INDEX(인턴계획표[입사일(비고)],$Q584),"yyyy-mm-dd"),INDEX(인턴계획표[입사일(비고)],$Q584)&amp;""))</f>
        <v/>
      </c>
      <c r="F584">
        <f>IF($Q584="","",IF(IF($G$3="","",INDEX(인턴계획표[[정규화1]:[정규화6]],$Q584,$G$3)&amp;"")="","",IF(LEFT(IF($G$3="","",INDEX(인턴계획표[[정규화1]:[정규화6]],$Q584,$G$3)&amp;""),1)="⚠",IF($G$3="","",INDEX(인턴계획표[[정규화1]:[정규화6]],$Q584,$G$3)&amp;""),IFERROR(LEFT(IF($G$3="","",INDEX(인턴계획표[[정규화1]:[정규화6]],$Q584,$G$3)&amp;""),FIND(" ",IF($G$3="","",INDEX(인턴계획표[[정규화1]:[정규화6]],$Q584,$G$3)&amp;""))-1),IF($G$3="","",INDEX(인턴계획표[[정규화1]:[정규화6]],$Q584,$G$3)&amp;"")))))</f>
        <v/>
      </c>
      <c r="G584">
        <f>IF($Q584="","",IF(IF($G$3="","",INDEX(인턴계획표[[정규화1]:[정규화6]],$Q584,$G$3)&amp;"")="","",IF(LEFT(IF($G$3="","",INDEX(인턴계획표[[정규화1]:[정규화6]],$Q584,$G$3)&amp;""),1)="⚠","",IFERROR(MID(IF($G$3="","",INDEX(인턴계획표[[정규화1]:[정규화6]],$Q584,$G$3)&amp;""),FIND(" ",IF($G$3="","",INDEX(인턴계획표[[정규화1]:[정규화6]],$Q584,$G$3)&amp;""))+1,60),""))))</f>
        <v/>
      </c>
      <c r="H584">
        <f>IF($Q584="","",IF(IF($I$3="","",INDEX(인턴계획표[[정규화1]:[정규화6]],$Q584,$I$3)&amp;"")="","",IF(LEFT(IF($I$3="","",INDEX(인턴계획표[[정규화1]:[정규화6]],$Q584,$I$3)&amp;""),1)="⚠",IF($I$3="","",INDEX(인턴계획표[[정규화1]:[정규화6]],$Q584,$I$3)&amp;""),IFERROR(LEFT(IF($I$3="","",INDEX(인턴계획표[[정규화1]:[정규화6]],$Q584,$I$3)&amp;""),FIND(" ",IF($I$3="","",INDEX(인턴계획표[[정규화1]:[정규화6]],$Q584,$I$3)&amp;""))-1),IF($I$3="","",INDEX(인턴계획표[[정규화1]:[정규화6]],$Q584,$I$3)&amp;"")))))</f>
        <v/>
      </c>
      <c r="I584">
        <f>IF($Q584="","",IF(IF($I$3="","",INDEX(인턴계획표[[정규화1]:[정규화6]],$Q584,$I$3)&amp;"")="","",IF(LEFT(IF($I$3="","",INDEX(인턴계획표[[정규화1]:[정규화6]],$Q584,$I$3)&amp;""),1)="⚠","",IFERROR(MID(IF($I$3="","",INDEX(인턴계획표[[정규화1]:[정규화6]],$Q584,$I$3)&amp;""),FIND(" ",IF($I$3="","",INDEX(인턴계획표[[정규화1]:[정규화6]],$Q584,$I$3)&amp;""))+1,60),""))))</f>
        <v/>
      </c>
      <c r="J584">
        <f>IF($Q584="","",INDEX(인턴계획표[정규화1],$Q584))</f>
        <v/>
      </c>
      <c r="K584">
        <f>IF($Q584="","",INDEX(인턴계획표[정규화2],$Q584))</f>
        <v/>
      </c>
      <c r="L584">
        <f>IF($Q584="","",INDEX(인턴계획표[정규화3],$Q584))</f>
        <v/>
      </c>
      <c r="M584">
        <f>IF($Q584="","",INDEX(인턴계획표[정규화4],$Q584))</f>
        <v/>
      </c>
      <c r="N584">
        <f>IF($Q584="","",INDEX(인턴계획표[정규화5],$Q584))</f>
        <v/>
      </c>
      <c r="O584">
        <f>IF($Q584="","",INDEX(인턴계획표[정규화6],$Q584))</f>
        <v/>
      </c>
      <c r="P584">
        <f>IF($Q584="","",INDEX(인턴계획표[입력오류],$Q584))</f>
        <v/>
      </c>
      <c r="Q584" s="17">
        <f>IFERROR(MATCH(579,인턴계획표[표시순번],0),"")</f>
        <v/>
      </c>
    </row>
    <row r="585">
      <c r="A585">
        <f>IF($Q585="","",INDEX(인턴계획표[순번],$Q585)&amp;"")</f>
        <v/>
      </c>
      <c r="B585">
        <f>IF($Q585="","",TRIM(INDEX(인턴계획표[이름],$Q585)&amp;""))</f>
        <v/>
      </c>
      <c r="C585">
        <f>IF($Q585="","",INDEX(인턴계획표[사번],$Q585)&amp;"")</f>
        <v/>
      </c>
      <c r="D585">
        <f>IF($Q585="","",IF(COUNTIF(기본자료표[사번키],INDEX(인턴계획표[사번키],$Q585))&gt;0,"확인","미등록"))</f>
        <v/>
      </c>
      <c r="E585">
        <f>IF($Q585="","",IF(ISNUMBER(INDEX(인턴계획표[입사일(비고)],$Q585)),TEXT(INDEX(인턴계획표[입사일(비고)],$Q585),"yyyy-mm-dd"),INDEX(인턴계획표[입사일(비고)],$Q585)&amp;""))</f>
        <v/>
      </c>
      <c r="F585">
        <f>IF($Q585="","",IF(IF($G$3="","",INDEX(인턴계획표[[정규화1]:[정규화6]],$Q585,$G$3)&amp;"")="","",IF(LEFT(IF($G$3="","",INDEX(인턴계획표[[정규화1]:[정규화6]],$Q585,$G$3)&amp;""),1)="⚠",IF($G$3="","",INDEX(인턴계획표[[정규화1]:[정규화6]],$Q585,$G$3)&amp;""),IFERROR(LEFT(IF($G$3="","",INDEX(인턴계획표[[정규화1]:[정규화6]],$Q585,$G$3)&amp;""),FIND(" ",IF($G$3="","",INDEX(인턴계획표[[정규화1]:[정규화6]],$Q585,$G$3)&amp;""))-1),IF($G$3="","",INDEX(인턴계획표[[정규화1]:[정규화6]],$Q585,$G$3)&amp;"")))))</f>
        <v/>
      </c>
      <c r="G585">
        <f>IF($Q585="","",IF(IF($G$3="","",INDEX(인턴계획표[[정규화1]:[정규화6]],$Q585,$G$3)&amp;"")="","",IF(LEFT(IF($G$3="","",INDEX(인턴계획표[[정규화1]:[정규화6]],$Q585,$G$3)&amp;""),1)="⚠","",IFERROR(MID(IF($G$3="","",INDEX(인턴계획표[[정규화1]:[정규화6]],$Q585,$G$3)&amp;""),FIND(" ",IF($G$3="","",INDEX(인턴계획표[[정규화1]:[정규화6]],$Q585,$G$3)&amp;""))+1,60),""))))</f>
        <v/>
      </c>
      <c r="H585">
        <f>IF($Q585="","",IF(IF($I$3="","",INDEX(인턴계획표[[정규화1]:[정규화6]],$Q585,$I$3)&amp;"")="","",IF(LEFT(IF($I$3="","",INDEX(인턴계획표[[정규화1]:[정규화6]],$Q585,$I$3)&amp;""),1)="⚠",IF($I$3="","",INDEX(인턴계획표[[정규화1]:[정규화6]],$Q585,$I$3)&amp;""),IFERROR(LEFT(IF($I$3="","",INDEX(인턴계획표[[정규화1]:[정규화6]],$Q585,$I$3)&amp;""),FIND(" ",IF($I$3="","",INDEX(인턴계획표[[정규화1]:[정규화6]],$Q585,$I$3)&amp;""))-1),IF($I$3="","",INDEX(인턴계획표[[정규화1]:[정규화6]],$Q585,$I$3)&amp;"")))))</f>
        <v/>
      </c>
      <c r="I585">
        <f>IF($Q585="","",IF(IF($I$3="","",INDEX(인턴계획표[[정규화1]:[정규화6]],$Q585,$I$3)&amp;"")="","",IF(LEFT(IF($I$3="","",INDEX(인턴계획표[[정규화1]:[정규화6]],$Q585,$I$3)&amp;""),1)="⚠","",IFERROR(MID(IF($I$3="","",INDEX(인턴계획표[[정규화1]:[정규화6]],$Q585,$I$3)&amp;""),FIND(" ",IF($I$3="","",INDEX(인턴계획표[[정규화1]:[정규화6]],$Q585,$I$3)&amp;""))+1,60),""))))</f>
        <v/>
      </c>
      <c r="J585">
        <f>IF($Q585="","",INDEX(인턴계획표[정규화1],$Q585))</f>
        <v/>
      </c>
      <c r="K585">
        <f>IF($Q585="","",INDEX(인턴계획표[정규화2],$Q585))</f>
        <v/>
      </c>
      <c r="L585">
        <f>IF($Q585="","",INDEX(인턴계획표[정규화3],$Q585))</f>
        <v/>
      </c>
      <c r="M585">
        <f>IF($Q585="","",INDEX(인턴계획표[정규화4],$Q585))</f>
        <v/>
      </c>
      <c r="N585">
        <f>IF($Q585="","",INDEX(인턴계획표[정규화5],$Q585))</f>
        <v/>
      </c>
      <c r="O585">
        <f>IF($Q585="","",INDEX(인턴계획표[정규화6],$Q585))</f>
        <v/>
      </c>
      <c r="P585">
        <f>IF($Q585="","",INDEX(인턴계획표[입력오류],$Q585))</f>
        <v/>
      </c>
      <c r="Q585" s="17">
        <f>IFERROR(MATCH(580,인턴계획표[표시순번],0),"")</f>
        <v/>
      </c>
    </row>
    <row r="586">
      <c r="A586">
        <f>IF($Q586="","",INDEX(인턴계획표[순번],$Q586)&amp;"")</f>
        <v/>
      </c>
      <c r="B586">
        <f>IF($Q586="","",TRIM(INDEX(인턴계획표[이름],$Q586)&amp;""))</f>
        <v/>
      </c>
      <c r="C586">
        <f>IF($Q586="","",INDEX(인턴계획표[사번],$Q586)&amp;"")</f>
        <v/>
      </c>
      <c r="D586">
        <f>IF($Q586="","",IF(COUNTIF(기본자료표[사번키],INDEX(인턴계획표[사번키],$Q586))&gt;0,"확인","미등록"))</f>
        <v/>
      </c>
      <c r="E586">
        <f>IF($Q586="","",IF(ISNUMBER(INDEX(인턴계획표[입사일(비고)],$Q586)),TEXT(INDEX(인턴계획표[입사일(비고)],$Q586),"yyyy-mm-dd"),INDEX(인턴계획표[입사일(비고)],$Q586)&amp;""))</f>
        <v/>
      </c>
      <c r="F586">
        <f>IF($Q586="","",IF(IF($G$3="","",INDEX(인턴계획표[[정규화1]:[정규화6]],$Q586,$G$3)&amp;"")="","",IF(LEFT(IF($G$3="","",INDEX(인턴계획표[[정규화1]:[정규화6]],$Q586,$G$3)&amp;""),1)="⚠",IF($G$3="","",INDEX(인턴계획표[[정규화1]:[정규화6]],$Q586,$G$3)&amp;""),IFERROR(LEFT(IF($G$3="","",INDEX(인턴계획표[[정규화1]:[정규화6]],$Q586,$G$3)&amp;""),FIND(" ",IF($G$3="","",INDEX(인턴계획표[[정규화1]:[정규화6]],$Q586,$G$3)&amp;""))-1),IF($G$3="","",INDEX(인턴계획표[[정규화1]:[정규화6]],$Q586,$G$3)&amp;"")))))</f>
        <v/>
      </c>
      <c r="G586">
        <f>IF($Q586="","",IF(IF($G$3="","",INDEX(인턴계획표[[정규화1]:[정규화6]],$Q586,$G$3)&amp;"")="","",IF(LEFT(IF($G$3="","",INDEX(인턴계획표[[정규화1]:[정규화6]],$Q586,$G$3)&amp;""),1)="⚠","",IFERROR(MID(IF($G$3="","",INDEX(인턴계획표[[정규화1]:[정규화6]],$Q586,$G$3)&amp;""),FIND(" ",IF($G$3="","",INDEX(인턴계획표[[정규화1]:[정규화6]],$Q586,$G$3)&amp;""))+1,60),""))))</f>
        <v/>
      </c>
      <c r="H586">
        <f>IF($Q586="","",IF(IF($I$3="","",INDEX(인턴계획표[[정규화1]:[정규화6]],$Q586,$I$3)&amp;"")="","",IF(LEFT(IF($I$3="","",INDEX(인턴계획표[[정규화1]:[정규화6]],$Q586,$I$3)&amp;""),1)="⚠",IF($I$3="","",INDEX(인턴계획표[[정규화1]:[정규화6]],$Q586,$I$3)&amp;""),IFERROR(LEFT(IF($I$3="","",INDEX(인턴계획표[[정규화1]:[정규화6]],$Q586,$I$3)&amp;""),FIND(" ",IF($I$3="","",INDEX(인턴계획표[[정규화1]:[정규화6]],$Q586,$I$3)&amp;""))-1),IF($I$3="","",INDEX(인턴계획표[[정규화1]:[정규화6]],$Q586,$I$3)&amp;"")))))</f>
        <v/>
      </c>
      <c r="I586">
        <f>IF($Q586="","",IF(IF($I$3="","",INDEX(인턴계획표[[정규화1]:[정규화6]],$Q586,$I$3)&amp;"")="","",IF(LEFT(IF($I$3="","",INDEX(인턴계획표[[정규화1]:[정규화6]],$Q586,$I$3)&amp;""),1)="⚠","",IFERROR(MID(IF($I$3="","",INDEX(인턴계획표[[정규화1]:[정규화6]],$Q586,$I$3)&amp;""),FIND(" ",IF($I$3="","",INDEX(인턴계획표[[정규화1]:[정규화6]],$Q586,$I$3)&amp;""))+1,60),""))))</f>
        <v/>
      </c>
      <c r="J586">
        <f>IF($Q586="","",INDEX(인턴계획표[정규화1],$Q586))</f>
        <v/>
      </c>
      <c r="K586">
        <f>IF($Q586="","",INDEX(인턴계획표[정규화2],$Q586))</f>
        <v/>
      </c>
      <c r="L586">
        <f>IF($Q586="","",INDEX(인턴계획표[정규화3],$Q586))</f>
        <v/>
      </c>
      <c r="M586">
        <f>IF($Q586="","",INDEX(인턴계획표[정규화4],$Q586))</f>
        <v/>
      </c>
      <c r="N586">
        <f>IF($Q586="","",INDEX(인턴계획표[정규화5],$Q586))</f>
        <v/>
      </c>
      <c r="O586">
        <f>IF($Q586="","",INDEX(인턴계획표[정규화6],$Q586))</f>
        <v/>
      </c>
      <c r="P586">
        <f>IF($Q586="","",INDEX(인턴계획표[입력오류],$Q586))</f>
        <v/>
      </c>
      <c r="Q586" s="17">
        <f>IFERROR(MATCH(581,인턴계획표[표시순번],0),"")</f>
        <v/>
      </c>
    </row>
    <row r="587">
      <c r="A587">
        <f>IF($Q587="","",INDEX(인턴계획표[순번],$Q587)&amp;"")</f>
        <v/>
      </c>
      <c r="B587">
        <f>IF($Q587="","",TRIM(INDEX(인턴계획표[이름],$Q587)&amp;""))</f>
        <v/>
      </c>
      <c r="C587">
        <f>IF($Q587="","",INDEX(인턴계획표[사번],$Q587)&amp;"")</f>
        <v/>
      </c>
      <c r="D587">
        <f>IF($Q587="","",IF(COUNTIF(기본자료표[사번키],INDEX(인턴계획표[사번키],$Q587))&gt;0,"확인","미등록"))</f>
        <v/>
      </c>
      <c r="E587">
        <f>IF($Q587="","",IF(ISNUMBER(INDEX(인턴계획표[입사일(비고)],$Q587)),TEXT(INDEX(인턴계획표[입사일(비고)],$Q587),"yyyy-mm-dd"),INDEX(인턴계획표[입사일(비고)],$Q587)&amp;""))</f>
        <v/>
      </c>
      <c r="F587">
        <f>IF($Q587="","",IF(IF($G$3="","",INDEX(인턴계획표[[정규화1]:[정규화6]],$Q587,$G$3)&amp;"")="","",IF(LEFT(IF($G$3="","",INDEX(인턴계획표[[정규화1]:[정규화6]],$Q587,$G$3)&amp;""),1)="⚠",IF($G$3="","",INDEX(인턴계획표[[정규화1]:[정규화6]],$Q587,$G$3)&amp;""),IFERROR(LEFT(IF($G$3="","",INDEX(인턴계획표[[정규화1]:[정규화6]],$Q587,$G$3)&amp;""),FIND(" ",IF($G$3="","",INDEX(인턴계획표[[정규화1]:[정규화6]],$Q587,$G$3)&amp;""))-1),IF($G$3="","",INDEX(인턴계획표[[정규화1]:[정규화6]],$Q587,$G$3)&amp;"")))))</f>
        <v/>
      </c>
      <c r="G587">
        <f>IF($Q587="","",IF(IF($G$3="","",INDEX(인턴계획표[[정규화1]:[정규화6]],$Q587,$G$3)&amp;"")="","",IF(LEFT(IF($G$3="","",INDEX(인턴계획표[[정규화1]:[정규화6]],$Q587,$G$3)&amp;""),1)="⚠","",IFERROR(MID(IF($G$3="","",INDEX(인턴계획표[[정규화1]:[정규화6]],$Q587,$G$3)&amp;""),FIND(" ",IF($G$3="","",INDEX(인턴계획표[[정규화1]:[정규화6]],$Q587,$G$3)&amp;""))+1,60),""))))</f>
        <v/>
      </c>
      <c r="H587">
        <f>IF($Q587="","",IF(IF($I$3="","",INDEX(인턴계획표[[정규화1]:[정규화6]],$Q587,$I$3)&amp;"")="","",IF(LEFT(IF($I$3="","",INDEX(인턴계획표[[정규화1]:[정규화6]],$Q587,$I$3)&amp;""),1)="⚠",IF($I$3="","",INDEX(인턴계획표[[정규화1]:[정규화6]],$Q587,$I$3)&amp;""),IFERROR(LEFT(IF($I$3="","",INDEX(인턴계획표[[정규화1]:[정규화6]],$Q587,$I$3)&amp;""),FIND(" ",IF($I$3="","",INDEX(인턴계획표[[정규화1]:[정규화6]],$Q587,$I$3)&amp;""))-1),IF($I$3="","",INDEX(인턴계획표[[정규화1]:[정규화6]],$Q587,$I$3)&amp;"")))))</f>
        <v/>
      </c>
      <c r="I587">
        <f>IF($Q587="","",IF(IF($I$3="","",INDEX(인턴계획표[[정규화1]:[정규화6]],$Q587,$I$3)&amp;"")="","",IF(LEFT(IF($I$3="","",INDEX(인턴계획표[[정규화1]:[정규화6]],$Q587,$I$3)&amp;""),1)="⚠","",IFERROR(MID(IF($I$3="","",INDEX(인턴계획표[[정규화1]:[정규화6]],$Q587,$I$3)&amp;""),FIND(" ",IF($I$3="","",INDEX(인턴계획표[[정규화1]:[정규화6]],$Q587,$I$3)&amp;""))+1,60),""))))</f>
        <v/>
      </c>
      <c r="J587">
        <f>IF($Q587="","",INDEX(인턴계획표[정규화1],$Q587))</f>
        <v/>
      </c>
      <c r="K587">
        <f>IF($Q587="","",INDEX(인턴계획표[정규화2],$Q587))</f>
        <v/>
      </c>
      <c r="L587">
        <f>IF($Q587="","",INDEX(인턴계획표[정규화3],$Q587))</f>
        <v/>
      </c>
      <c r="M587">
        <f>IF($Q587="","",INDEX(인턴계획표[정규화4],$Q587))</f>
        <v/>
      </c>
      <c r="N587">
        <f>IF($Q587="","",INDEX(인턴계획표[정규화5],$Q587))</f>
        <v/>
      </c>
      <c r="O587">
        <f>IF($Q587="","",INDEX(인턴계획표[정규화6],$Q587))</f>
        <v/>
      </c>
      <c r="P587">
        <f>IF($Q587="","",INDEX(인턴계획표[입력오류],$Q587))</f>
        <v/>
      </c>
      <c r="Q587" s="17">
        <f>IFERROR(MATCH(582,인턴계획표[표시순번],0),"")</f>
        <v/>
      </c>
    </row>
    <row r="588">
      <c r="A588">
        <f>IF($Q588="","",INDEX(인턴계획표[순번],$Q588)&amp;"")</f>
        <v/>
      </c>
      <c r="B588">
        <f>IF($Q588="","",TRIM(INDEX(인턴계획표[이름],$Q588)&amp;""))</f>
        <v/>
      </c>
      <c r="C588">
        <f>IF($Q588="","",INDEX(인턴계획표[사번],$Q588)&amp;"")</f>
        <v/>
      </c>
      <c r="D588">
        <f>IF($Q588="","",IF(COUNTIF(기본자료표[사번키],INDEX(인턴계획표[사번키],$Q588))&gt;0,"확인","미등록"))</f>
        <v/>
      </c>
      <c r="E588">
        <f>IF($Q588="","",IF(ISNUMBER(INDEX(인턴계획표[입사일(비고)],$Q588)),TEXT(INDEX(인턴계획표[입사일(비고)],$Q588),"yyyy-mm-dd"),INDEX(인턴계획표[입사일(비고)],$Q588)&amp;""))</f>
        <v/>
      </c>
      <c r="F588">
        <f>IF($Q588="","",IF(IF($G$3="","",INDEX(인턴계획표[[정규화1]:[정규화6]],$Q588,$G$3)&amp;"")="","",IF(LEFT(IF($G$3="","",INDEX(인턴계획표[[정규화1]:[정규화6]],$Q588,$G$3)&amp;""),1)="⚠",IF($G$3="","",INDEX(인턴계획표[[정규화1]:[정규화6]],$Q588,$G$3)&amp;""),IFERROR(LEFT(IF($G$3="","",INDEX(인턴계획표[[정규화1]:[정규화6]],$Q588,$G$3)&amp;""),FIND(" ",IF($G$3="","",INDEX(인턴계획표[[정규화1]:[정규화6]],$Q588,$G$3)&amp;""))-1),IF($G$3="","",INDEX(인턴계획표[[정규화1]:[정규화6]],$Q588,$G$3)&amp;"")))))</f>
        <v/>
      </c>
      <c r="G588">
        <f>IF($Q588="","",IF(IF($G$3="","",INDEX(인턴계획표[[정규화1]:[정규화6]],$Q588,$G$3)&amp;"")="","",IF(LEFT(IF($G$3="","",INDEX(인턴계획표[[정규화1]:[정규화6]],$Q588,$G$3)&amp;""),1)="⚠","",IFERROR(MID(IF($G$3="","",INDEX(인턴계획표[[정규화1]:[정규화6]],$Q588,$G$3)&amp;""),FIND(" ",IF($G$3="","",INDEX(인턴계획표[[정규화1]:[정규화6]],$Q588,$G$3)&amp;""))+1,60),""))))</f>
        <v/>
      </c>
      <c r="H588">
        <f>IF($Q588="","",IF(IF($I$3="","",INDEX(인턴계획표[[정규화1]:[정규화6]],$Q588,$I$3)&amp;"")="","",IF(LEFT(IF($I$3="","",INDEX(인턴계획표[[정규화1]:[정규화6]],$Q588,$I$3)&amp;""),1)="⚠",IF($I$3="","",INDEX(인턴계획표[[정규화1]:[정규화6]],$Q588,$I$3)&amp;""),IFERROR(LEFT(IF($I$3="","",INDEX(인턴계획표[[정규화1]:[정규화6]],$Q588,$I$3)&amp;""),FIND(" ",IF($I$3="","",INDEX(인턴계획표[[정규화1]:[정규화6]],$Q588,$I$3)&amp;""))-1),IF($I$3="","",INDEX(인턴계획표[[정규화1]:[정규화6]],$Q588,$I$3)&amp;"")))))</f>
        <v/>
      </c>
      <c r="I588">
        <f>IF($Q588="","",IF(IF($I$3="","",INDEX(인턴계획표[[정규화1]:[정규화6]],$Q588,$I$3)&amp;"")="","",IF(LEFT(IF($I$3="","",INDEX(인턴계획표[[정규화1]:[정규화6]],$Q588,$I$3)&amp;""),1)="⚠","",IFERROR(MID(IF($I$3="","",INDEX(인턴계획표[[정규화1]:[정규화6]],$Q588,$I$3)&amp;""),FIND(" ",IF($I$3="","",INDEX(인턴계획표[[정규화1]:[정규화6]],$Q588,$I$3)&amp;""))+1,60),""))))</f>
        <v/>
      </c>
      <c r="J588">
        <f>IF($Q588="","",INDEX(인턴계획표[정규화1],$Q588))</f>
        <v/>
      </c>
      <c r="K588">
        <f>IF($Q588="","",INDEX(인턴계획표[정규화2],$Q588))</f>
        <v/>
      </c>
      <c r="L588">
        <f>IF($Q588="","",INDEX(인턴계획표[정규화3],$Q588))</f>
        <v/>
      </c>
      <c r="M588">
        <f>IF($Q588="","",INDEX(인턴계획표[정규화4],$Q588))</f>
        <v/>
      </c>
      <c r="N588">
        <f>IF($Q588="","",INDEX(인턴계획표[정규화5],$Q588))</f>
        <v/>
      </c>
      <c r="O588">
        <f>IF($Q588="","",INDEX(인턴계획표[정규화6],$Q588))</f>
        <v/>
      </c>
      <c r="P588">
        <f>IF($Q588="","",INDEX(인턴계획표[입력오류],$Q588))</f>
        <v/>
      </c>
      <c r="Q588" s="17">
        <f>IFERROR(MATCH(583,인턴계획표[표시순번],0),"")</f>
        <v/>
      </c>
    </row>
    <row r="589">
      <c r="A589">
        <f>IF($Q589="","",INDEX(인턴계획표[순번],$Q589)&amp;"")</f>
        <v/>
      </c>
      <c r="B589">
        <f>IF($Q589="","",TRIM(INDEX(인턴계획표[이름],$Q589)&amp;""))</f>
        <v/>
      </c>
      <c r="C589">
        <f>IF($Q589="","",INDEX(인턴계획표[사번],$Q589)&amp;"")</f>
        <v/>
      </c>
      <c r="D589">
        <f>IF($Q589="","",IF(COUNTIF(기본자료표[사번키],INDEX(인턴계획표[사번키],$Q589))&gt;0,"확인","미등록"))</f>
        <v/>
      </c>
      <c r="E589">
        <f>IF($Q589="","",IF(ISNUMBER(INDEX(인턴계획표[입사일(비고)],$Q589)),TEXT(INDEX(인턴계획표[입사일(비고)],$Q589),"yyyy-mm-dd"),INDEX(인턴계획표[입사일(비고)],$Q589)&amp;""))</f>
        <v/>
      </c>
      <c r="F589">
        <f>IF($Q589="","",IF(IF($G$3="","",INDEX(인턴계획표[[정규화1]:[정규화6]],$Q589,$G$3)&amp;"")="","",IF(LEFT(IF($G$3="","",INDEX(인턴계획표[[정규화1]:[정규화6]],$Q589,$G$3)&amp;""),1)="⚠",IF($G$3="","",INDEX(인턴계획표[[정규화1]:[정규화6]],$Q589,$G$3)&amp;""),IFERROR(LEFT(IF($G$3="","",INDEX(인턴계획표[[정규화1]:[정규화6]],$Q589,$G$3)&amp;""),FIND(" ",IF($G$3="","",INDEX(인턴계획표[[정규화1]:[정규화6]],$Q589,$G$3)&amp;""))-1),IF($G$3="","",INDEX(인턴계획표[[정규화1]:[정규화6]],$Q589,$G$3)&amp;"")))))</f>
        <v/>
      </c>
      <c r="G589">
        <f>IF($Q589="","",IF(IF($G$3="","",INDEX(인턴계획표[[정규화1]:[정규화6]],$Q589,$G$3)&amp;"")="","",IF(LEFT(IF($G$3="","",INDEX(인턴계획표[[정규화1]:[정규화6]],$Q589,$G$3)&amp;""),1)="⚠","",IFERROR(MID(IF($G$3="","",INDEX(인턴계획표[[정규화1]:[정규화6]],$Q589,$G$3)&amp;""),FIND(" ",IF($G$3="","",INDEX(인턴계획표[[정규화1]:[정규화6]],$Q589,$G$3)&amp;""))+1,60),""))))</f>
        <v/>
      </c>
      <c r="H589">
        <f>IF($Q589="","",IF(IF($I$3="","",INDEX(인턴계획표[[정규화1]:[정규화6]],$Q589,$I$3)&amp;"")="","",IF(LEFT(IF($I$3="","",INDEX(인턴계획표[[정규화1]:[정규화6]],$Q589,$I$3)&amp;""),1)="⚠",IF($I$3="","",INDEX(인턴계획표[[정규화1]:[정규화6]],$Q589,$I$3)&amp;""),IFERROR(LEFT(IF($I$3="","",INDEX(인턴계획표[[정규화1]:[정규화6]],$Q589,$I$3)&amp;""),FIND(" ",IF($I$3="","",INDEX(인턴계획표[[정규화1]:[정규화6]],$Q589,$I$3)&amp;""))-1),IF($I$3="","",INDEX(인턴계획표[[정규화1]:[정규화6]],$Q589,$I$3)&amp;"")))))</f>
        <v/>
      </c>
      <c r="I589">
        <f>IF($Q589="","",IF(IF($I$3="","",INDEX(인턴계획표[[정규화1]:[정규화6]],$Q589,$I$3)&amp;"")="","",IF(LEFT(IF($I$3="","",INDEX(인턴계획표[[정규화1]:[정규화6]],$Q589,$I$3)&amp;""),1)="⚠","",IFERROR(MID(IF($I$3="","",INDEX(인턴계획표[[정규화1]:[정규화6]],$Q589,$I$3)&amp;""),FIND(" ",IF($I$3="","",INDEX(인턴계획표[[정규화1]:[정규화6]],$Q589,$I$3)&amp;""))+1,60),""))))</f>
        <v/>
      </c>
      <c r="J589">
        <f>IF($Q589="","",INDEX(인턴계획표[정규화1],$Q589))</f>
        <v/>
      </c>
      <c r="K589">
        <f>IF($Q589="","",INDEX(인턴계획표[정규화2],$Q589))</f>
        <v/>
      </c>
      <c r="L589">
        <f>IF($Q589="","",INDEX(인턴계획표[정규화3],$Q589))</f>
        <v/>
      </c>
      <c r="M589">
        <f>IF($Q589="","",INDEX(인턴계획표[정규화4],$Q589))</f>
        <v/>
      </c>
      <c r="N589">
        <f>IF($Q589="","",INDEX(인턴계획표[정규화5],$Q589))</f>
        <v/>
      </c>
      <c r="O589">
        <f>IF($Q589="","",INDEX(인턴계획표[정규화6],$Q589))</f>
        <v/>
      </c>
      <c r="P589">
        <f>IF($Q589="","",INDEX(인턴계획표[입력오류],$Q589))</f>
        <v/>
      </c>
      <c r="Q589" s="17">
        <f>IFERROR(MATCH(584,인턴계획표[표시순번],0),"")</f>
        <v/>
      </c>
    </row>
    <row r="590">
      <c r="A590">
        <f>IF($Q590="","",INDEX(인턴계획표[순번],$Q590)&amp;"")</f>
        <v/>
      </c>
      <c r="B590">
        <f>IF($Q590="","",TRIM(INDEX(인턴계획표[이름],$Q590)&amp;""))</f>
        <v/>
      </c>
      <c r="C590">
        <f>IF($Q590="","",INDEX(인턴계획표[사번],$Q590)&amp;"")</f>
        <v/>
      </c>
      <c r="D590">
        <f>IF($Q590="","",IF(COUNTIF(기본자료표[사번키],INDEX(인턴계획표[사번키],$Q590))&gt;0,"확인","미등록"))</f>
        <v/>
      </c>
      <c r="E590">
        <f>IF($Q590="","",IF(ISNUMBER(INDEX(인턴계획표[입사일(비고)],$Q590)),TEXT(INDEX(인턴계획표[입사일(비고)],$Q590),"yyyy-mm-dd"),INDEX(인턴계획표[입사일(비고)],$Q590)&amp;""))</f>
        <v/>
      </c>
      <c r="F590">
        <f>IF($Q590="","",IF(IF($G$3="","",INDEX(인턴계획표[[정규화1]:[정규화6]],$Q590,$G$3)&amp;"")="","",IF(LEFT(IF($G$3="","",INDEX(인턴계획표[[정규화1]:[정규화6]],$Q590,$G$3)&amp;""),1)="⚠",IF($G$3="","",INDEX(인턴계획표[[정규화1]:[정규화6]],$Q590,$G$3)&amp;""),IFERROR(LEFT(IF($G$3="","",INDEX(인턴계획표[[정규화1]:[정규화6]],$Q590,$G$3)&amp;""),FIND(" ",IF($G$3="","",INDEX(인턴계획표[[정규화1]:[정규화6]],$Q590,$G$3)&amp;""))-1),IF($G$3="","",INDEX(인턴계획표[[정규화1]:[정규화6]],$Q590,$G$3)&amp;"")))))</f>
        <v/>
      </c>
      <c r="G590">
        <f>IF($Q590="","",IF(IF($G$3="","",INDEX(인턴계획표[[정규화1]:[정규화6]],$Q590,$G$3)&amp;"")="","",IF(LEFT(IF($G$3="","",INDEX(인턴계획표[[정규화1]:[정규화6]],$Q590,$G$3)&amp;""),1)="⚠","",IFERROR(MID(IF($G$3="","",INDEX(인턴계획표[[정규화1]:[정규화6]],$Q590,$G$3)&amp;""),FIND(" ",IF($G$3="","",INDEX(인턴계획표[[정규화1]:[정규화6]],$Q590,$G$3)&amp;""))+1,60),""))))</f>
        <v/>
      </c>
      <c r="H590">
        <f>IF($Q590="","",IF(IF($I$3="","",INDEX(인턴계획표[[정규화1]:[정규화6]],$Q590,$I$3)&amp;"")="","",IF(LEFT(IF($I$3="","",INDEX(인턴계획표[[정규화1]:[정규화6]],$Q590,$I$3)&amp;""),1)="⚠",IF($I$3="","",INDEX(인턴계획표[[정규화1]:[정규화6]],$Q590,$I$3)&amp;""),IFERROR(LEFT(IF($I$3="","",INDEX(인턴계획표[[정규화1]:[정규화6]],$Q590,$I$3)&amp;""),FIND(" ",IF($I$3="","",INDEX(인턴계획표[[정규화1]:[정규화6]],$Q590,$I$3)&amp;""))-1),IF($I$3="","",INDEX(인턴계획표[[정규화1]:[정규화6]],$Q590,$I$3)&amp;"")))))</f>
        <v/>
      </c>
      <c r="I590">
        <f>IF($Q590="","",IF(IF($I$3="","",INDEX(인턴계획표[[정규화1]:[정규화6]],$Q590,$I$3)&amp;"")="","",IF(LEFT(IF($I$3="","",INDEX(인턴계획표[[정규화1]:[정규화6]],$Q590,$I$3)&amp;""),1)="⚠","",IFERROR(MID(IF($I$3="","",INDEX(인턴계획표[[정규화1]:[정규화6]],$Q590,$I$3)&amp;""),FIND(" ",IF($I$3="","",INDEX(인턴계획표[[정규화1]:[정규화6]],$Q590,$I$3)&amp;""))+1,60),""))))</f>
        <v/>
      </c>
      <c r="J590">
        <f>IF($Q590="","",INDEX(인턴계획표[정규화1],$Q590))</f>
        <v/>
      </c>
      <c r="K590">
        <f>IF($Q590="","",INDEX(인턴계획표[정규화2],$Q590))</f>
        <v/>
      </c>
      <c r="L590">
        <f>IF($Q590="","",INDEX(인턴계획표[정규화3],$Q590))</f>
        <v/>
      </c>
      <c r="M590">
        <f>IF($Q590="","",INDEX(인턴계획표[정규화4],$Q590))</f>
        <v/>
      </c>
      <c r="N590">
        <f>IF($Q590="","",INDEX(인턴계획표[정규화5],$Q590))</f>
        <v/>
      </c>
      <c r="O590">
        <f>IF($Q590="","",INDEX(인턴계획표[정규화6],$Q590))</f>
        <v/>
      </c>
      <c r="P590">
        <f>IF($Q590="","",INDEX(인턴계획표[입력오류],$Q590))</f>
        <v/>
      </c>
      <c r="Q590" s="17">
        <f>IFERROR(MATCH(585,인턴계획표[표시순번],0),"")</f>
        <v/>
      </c>
    </row>
    <row r="591">
      <c r="A591">
        <f>IF($Q591="","",INDEX(인턴계획표[순번],$Q591)&amp;"")</f>
        <v/>
      </c>
      <c r="B591">
        <f>IF($Q591="","",TRIM(INDEX(인턴계획표[이름],$Q591)&amp;""))</f>
        <v/>
      </c>
      <c r="C591">
        <f>IF($Q591="","",INDEX(인턴계획표[사번],$Q591)&amp;"")</f>
        <v/>
      </c>
      <c r="D591">
        <f>IF($Q591="","",IF(COUNTIF(기본자료표[사번키],INDEX(인턴계획표[사번키],$Q591))&gt;0,"확인","미등록"))</f>
        <v/>
      </c>
      <c r="E591">
        <f>IF($Q591="","",IF(ISNUMBER(INDEX(인턴계획표[입사일(비고)],$Q591)),TEXT(INDEX(인턴계획표[입사일(비고)],$Q591),"yyyy-mm-dd"),INDEX(인턴계획표[입사일(비고)],$Q591)&amp;""))</f>
        <v/>
      </c>
      <c r="F591">
        <f>IF($Q591="","",IF(IF($G$3="","",INDEX(인턴계획표[[정규화1]:[정규화6]],$Q591,$G$3)&amp;"")="","",IF(LEFT(IF($G$3="","",INDEX(인턴계획표[[정규화1]:[정규화6]],$Q591,$G$3)&amp;""),1)="⚠",IF($G$3="","",INDEX(인턴계획표[[정규화1]:[정규화6]],$Q591,$G$3)&amp;""),IFERROR(LEFT(IF($G$3="","",INDEX(인턴계획표[[정규화1]:[정규화6]],$Q591,$G$3)&amp;""),FIND(" ",IF($G$3="","",INDEX(인턴계획표[[정규화1]:[정규화6]],$Q591,$G$3)&amp;""))-1),IF($G$3="","",INDEX(인턴계획표[[정규화1]:[정규화6]],$Q591,$G$3)&amp;"")))))</f>
        <v/>
      </c>
      <c r="G591">
        <f>IF($Q591="","",IF(IF($G$3="","",INDEX(인턴계획표[[정규화1]:[정규화6]],$Q591,$G$3)&amp;"")="","",IF(LEFT(IF($G$3="","",INDEX(인턴계획표[[정규화1]:[정규화6]],$Q591,$G$3)&amp;""),1)="⚠","",IFERROR(MID(IF($G$3="","",INDEX(인턴계획표[[정규화1]:[정규화6]],$Q591,$G$3)&amp;""),FIND(" ",IF($G$3="","",INDEX(인턴계획표[[정규화1]:[정규화6]],$Q591,$G$3)&amp;""))+1,60),""))))</f>
        <v/>
      </c>
      <c r="H591">
        <f>IF($Q591="","",IF(IF($I$3="","",INDEX(인턴계획표[[정규화1]:[정규화6]],$Q591,$I$3)&amp;"")="","",IF(LEFT(IF($I$3="","",INDEX(인턴계획표[[정규화1]:[정규화6]],$Q591,$I$3)&amp;""),1)="⚠",IF($I$3="","",INDEX(인턴계획표[[정규화1]:[정규화6]],$Q591,$I$3)&amp;""),IFERROR(LEFT(IF($I$3="","",INDEX(인턴계획표[[정규화1]:[정규화6]],$Q591,$I$3)&amp;""),FIND(" ",IF($I$3="","",INDEX(인턴계획표[[정규화1]:[정규화6]],$Q591,$I$3)&amp;""))-1),IF($I$3="","",INDEX(인턴계획표[[정규화1]:[정규화6]],$Q591,$I$3)&amp;"")))))</f>
        <v/>
      </c>
      <c r="I591">
        <f>IF($Q591="","",IF(IF($I$3="","",INDEX(인턴계획표[[정규화1]:[정규화6]],$Q591,$I$3)&amp;"")="","",IF(LEFT(IF($I$3="","",INDEX(인턴계획표[[정규화1]:[정규화6]],$Q591,$I$3)&amp;""),1)="⚠","",IFERROR(MID(IF($I$3="","",INDEX(인턴계획표[[정규화1]:[정규화6]],$Q591,$I$3)&amp;""),FIND(" ",IF($I$3="","",INDEX(인턴계획표[[정규화1]:[정규화6]],$Q591,$I$3)&amp;""))+1,60),""))))</f>
        <v/>
      </c>
      <c r="J591">
        <f>IF($Q591="","",INDEX(인턴계획표[정규화1],$Q591))</f>
        <v/>
      </c>
      <c r="K591">
        <f>IF($Q591="","",INDEX(인턴계획표[정규화2],$Q591))</f>
        <v/>
      </c>
      <c r="L591">
        <f>IF($Q591="","",INDEX(인턴계획표[정규화3],$Q591))</f>
        <v/>
      </c>
      <c r="M591">
        <f>IF($Q591="","",INDEX(인턴계획표[정규화4],$Q591))</f>
        <v/>
      </c>
      <c r="N591">
        <f>IF($Q591="","",INDEX(인턴계획표[정규화5],$Q591))</f>
        <v/>
      </c>
      <c r="O591">
        <f>IF($Q591="","",INDEX(인턴계획표[정규화6],$Q591))</f>
        <v/>
      </c>
      <c r="P591">
        <f>IF($Q591="","",INDEX(인턴계획표[입력오류],$Q591))</f>
        <v/>
      </c>
      <c r="Q591" s="17">
        <f>IFERROR(MATCH(586,인턴계획표[표시순번],0),"")</f>
        <v/>
      </c>
    </row>
    <row r="592">
      <c r="A592">
        <f>IF($Q592="","",INDEX(인턴계획표[순번],$Q592)&amp;"")</f>
        <v/>
      </c>
      <c r="B592">
        <f>IF($Q592="","",TRIM(INDEX(인턴계획표[이름],$Q592)&amp;""))</f>
        <v/>
      </c>
      <c r="C592">
        <f>IF($Q592="","",INDEX(인턴계획표[사번],$Q592)&amp;"")</f>
        <v/>
      </c>
      <c r="D592">
        <f>IF($Q592="","",IF(COUNTIF(기본자료표[사번키],INDEX(인턴계획표[사번키],$Q592))&gt;0,"확인","미등록"))</f>
        <v/>
      </c>
      <c r="E592">
        <f>IF($Q592="","",IF(ISNUMBER(INDEX(인턴계획표[입사일(비고)],$Q592)),TEXT(INDEX(인턴계획표[입사일(비고)],$Q592),"yyyy-mm-dd"),INDEX(인턴계획표[입사일(비고)],$Q592)&amp;""))</f>
        <v/>
      </c>
      <c r="F592">
        <f>IF($Q592="","",IF(IF($G$3="","",INDEX(인턴계획표[[정규화1]:[정규화6]],$Q592,$G$3)&amp;"")="","",IF(LEFT(IF($G$3="","",INDEX(인턴계획표[[정규화1]:[정규화6]],$Q592,$G$3)&amp;""),1)="⚠",IF($G$3="","",INDEX(인턴계획표[[정규화1]:[정규화6]],$Q592,$G$3)&amp;""),IFERROR(LEFT(IF($G$3="","",INDEX(인턴계획표[[정규화1]:[정규화6]],$Q592,$G$3)&amp;""),FIND(" ",IF($G$3="","",INDEX(인턴계획표[[정규화1]:[정규화6]],$Q592,$G$3)&amp;""))-1),IF($G$3="","",INDEX(인턴계획표[[정규화1]:[정규화6]],$Q592,$G$3)&amp;"")))))</f>
        <v/>
      </c>
      <c r="G592">
        <f>IF($Q592="","",IF(IF($G$3="","",INDEX(인턴계획표[[정규화1]:[정규화6]],$Q592,$G$3)&amp;"")="","",IF(LEFT(IF($G$3="","",INDEX(인턴계획표[[정규화1]:[정규화6]],$Q592,$G$3)&amp;""),1)="⚠","",IFERROR(MID(IF($G$3="","",INDEX(인턴계획표[[정규화1]:[정규화6]],$Q592,$G$3)&amp;""),FIND(" ",IF($G$3="","",INDEX(인턴계획표[[정규화1]:[정규화6]],$Q592,$G$3)&amp;""))+1,60),""))))</f>
        <v/>
      </c>
      <c r="H592">
        <f>IF($Q592="","",IF(IF($I$3="","",INDEX(인턴계획표[[정규화1]:[정규화6]],$Q592,$I$3)&amp;"")="","",IF(LEFT(IF($I$3="","",INDEX(인턴계획표[[정규화1]:[정규화6]],$Q592,$I$3)&amp;""),1)="⚠",IF($I$3="","",INDEX(인턴계획표[[정규화1]:[정규화6]],$Q592,$I$3)&amp;""),IFERROR(LEFT(IF($I$3="","",INDEX(인턴계획표[[정규화1]:[정규화6]],$Q592,$I$3)&amp;""),FIND(" ",IF($I$3="","",INDEX(인턴계획표[[정규화1]:[정규화6]],$Q592,$I$3)&amp;""))-1),IF($I$3="","",INDEX(인턴계획표[[정규화1]:[정규화6]],$Q592,$I$3)&amp;"")))))</f>
        <v/>
      </c>
      <c r="I592">
        <f>IF($Q592="","",IF(IF($I$3="","",INDEX(인턴계획표[[정규화1]:[정규화6]],$Q592,$I$3)&amp;"")="","",IF(LEFT(IF($I$3="","",INDEX(인턴계획표[[정규화1]:[정규화6]],$Q592,$I$3)&amp;""),1)="⚠","",IFERROR(MID(IF($I$3="","",INDEX(인턴계획표[[정규화1]:[정규화6]],$Q592,$I$3)&amp;""),FIND(" ",IF($I$3="","",INDEX(인턴계획표[[정규화1]:[정규화6]],$Q592,$I$3)&amp;""))+1,60),""))))</f>
        <v/>
      </c>
      <c r="J592">
        <f>IF($Q592="","",INDEX(인턴계획표[정규화1],$Q592))</f>
        <v/>
      </c>
      <c r="K592">
        <f>IF($Q592="","",INDEX(인턴계획표[정규화2],$Q592))</f>
        <v/>
      </c>
      <c r="L592">
        <f>IF($Q592="","",INDEX(인턴계획표[정규화3],$Q592))</f>
        <v/>
      </c>
      <c r="M592">
        <f>IF($Q592="","",INDEX(인턴계획표[정규화4],$Q592))</f>
        <v/>
      </c>
      <c r="N592">
        <f>IF($Q592="","",INDEX(인턴계획표[정규화5],$Q592))</f>
        <v/>
      </c>
      <c r="O592">
        <f>IF($Q592="","",INDEX(인턴계획표[정규화6],$Q592))</f>
        <v/>
      </c>
      <c r="P592">
        <f>IF($Q592="","",INDEX(인턴계획표[입력오류],$Q592))</f>
        <v/>
      </c>
      <c r="Q592" s="17">
        <f>IFERROR(MATCH(587,인턴계획표[표시순번],0),"")</f>
        <v/>
      </c>
    </row>
    <row r="593">
      <c r="A593">
        <f>IF($Q593="","",INDEX(인턴계획표[순번],$Q593)&amp;"")</f>
        <v/>
      </c>
      <c r="B593">
        <f>IF($Q593="","",TRIM(INDEX(인턴계획표[이름],$Q593)&amp;""))</f>
        <v/>
      </c>
      <c r="C593">
        <f>IF($Q593="","",INDEX(인턴계획표[사번],$Q593)&amp;"")</f>
        <v/>
      </c>
      <c r="D593">
        <f>IF($Q593="","",IF(COUNTIF(기본자료표[사번키],INDEX(인턴계획표[사번키],$Q593))&gt;0,"확인","미등록"))</f>
        <v/>
      </c>
      <c r="E593">
        <f>IF($Q593="","",IF(ISNUMBER(INDEX(인턴계획표[입사일(비고)],$Q593)),TEXT(INDEX(인턴계획표[입사일(비고)],$Q593),"yyyy-mm-dd"),INDEX(인턴계획표[입사일(비고)],$Q593)&amp;""))</f>
        <v/>
      </c>
      <c r="F593">
        <f>IF($Q593="","",IF(IF($G$3="","",INDEX(인턴계획표[[정규화1]:[정규화6]],$Q593,$G$3)&amp;"")="","",IF(LEFT(IF($G$3="","",INDEX(인턴계획표[[정규화1]:[정규화6]],$Q593,$G$3)&amp;""),1)="⚠",IF($G$3="","",INDEX(인턴계획표[[정규화1]:[정규화6]],$Q593,$G$3)&amp;""),IFERROR(LEFT(IF($G$3="","",INDEX(인턴계획표[[정규화1]:[정규화6]],$Q593,$G$3)&amp;""),FIND(" ",IF($G$3="","",INDEX(인턴계획표[[정규화1]:[정규화6]],$Q593,$G$3)&amp;""))-1),IF($G$3="","",INDEX(인턴계획표[[정규화1]:[정규화6]],$Q593,$G$3)&amp;"")))))</f>
        <v/>
      </c>
      <c r="G593">
        <f>IF($Q593="","",IF(IF($G$3="","",INDEX(인턴계획표[[정규화1]:[정규화6]],$Q593,$G$3)&amp;"")="","",IF(LEFT(IF($G$3="","",INDEX(인턴계획표[[정규화1]:[정규화6]],$Q593,$G$3)&amp;""),1)="⚠","",IFERROR(MID(IF($G$3="","",INDEX(인턴계획표[[정규화1]:[정규화6]],$Q593,$G$3)&amp;""),FIND(" ",IF($G$3="","",INDEX(인턴계획표[[정규화1]:[정규화6]],$Q593,$G$3)&amp;""))+1,60),""))))</f>
        <v/>
      </c>
      <c r="H593">
        <f>IF($Q593="","",IF(IF($I$3="","",INDEX(인턴계획표[[정규화1]:[정규화6]],$Q593,$I$3)&amp;"")="","",IF(LEFT(IF($I$3="","",INDEX(인턴계획표[[정규화1]:[정규화6]],$Q593,$I$3)&amp;""),1)="⚠",IF($I$3="","",INDEX(인턴계획표[[정규화1]:[정규화6]],$Q593,$I$3)&amp;""),IFERROR(LEFT(IF($I$3="","",INDEX(인턴계획표[[정규화1]:[정규화6]],$Q593,$I$3)&amp;""),FIND(" ",IF($I$3="","",INDEX(인턴계획표[[정규화1]:[정규화6]],$Q593,$I$3)&amp;""))-1),IF($I$3="","",INDEX(인턴계획표[[정규화1]:[정규화6]],$Q593,$I$3)&amp;"")))))</f>
        <v/>
      </c>
      <c r="I593">
        <f>IF($Q593="","",IF(IF($I$3="","",INDEX(인턴계획표[[정규화1]:[정규화6]],$Q593,$I$3)&amp;"")="","",IF(LEFT(IF($I$3="","",INDEX(인턴계획표[[정규화1]:[정규화6]],$Q593,$I$3)&amp;""),1)="⚠","",IFERROR(MID(IF($I$3="","",INDEX(인턴계획표[[정규화1]:[정규화6]],$Q593,$I$3)&amp;""),FIND(" ",IF($I$3="","",INDEX(인턴계획표[[정규화1]:[정규화6]],$Q593,$I$3)&amp;""))+1,60),""))))</f>
        <v/>
      </c>
      <c r="J593">
        <f>IF($Q593="","",INDEX(인턴계획표[정규화1],$Q593))</f>
        <v/>
      </c>
      <c r="K593">
        <f>IF($Q593="","",INDEX(인턴계획표[정규화2],$Q593))</f>
        <v/>
      </c>
      <c r="L593">
        <f>IF($Q593="","",INDEX(인턴계획표[정규화3],$Q593))</f>
        <v/>
      </c>
      <c r="M593">
        <f>IF($Q593="","",INDEX(인턴계획표[정규화4],$Q593))</f>
        <v/>
      </c>
      <c r="N593">
        <f>IF($Q593="","",INDEX(인턴계획표[정규화5],$Q593))</f>
        <v/>
      </c>
      <c r="O593">
        <f>IF($Q593="","",INDEX(인턴계획표[정규화6],$Q593))</f>
        <v/>
      </c>
      <c r="P593">
        <f>IF($Q593="","",INDEX(인턴계획표[입력오류],$Q593))</f>
        <v/>
      </c>
      <c r="Q593" s="17">
        <f>IFERROR(MATCH(588,인턴계획표[표시순번],0),"")</f>
        <v/>
      </c>
    </row>
    <row r="594">
      <c r="A594">
        <f>IF($Q594="","",INDEX(인턴계획표[순번],$Q594)&amp;"")</f>
        <v/>
      </c>
      <c r="B594">
        <f>IF($Q594="","",TRIM(INDEX(인턴계획표[이름],$Q594)&amp;""))</f>
        <v/>
      </c>
      <c r="C594">
        <f>IF($Q594="","",INDEX(인턴계획표[사번],$Q594)&amp;"")</f>
        <v/>
      </c>
      <c r="D594">
        <f>IF($Q594="","",IF(COUNTIF(기본자료표[사번키],INDEX(인턴계획표[사번키],$Q594))&gt;0,"확인","미등록"))</f>
        <v/>
      </c>
      <c r="E594">
        <f>IF($Q594="","",IF(ISNUMBER(INDEX(인턴계획표[입사일(비고)],$Q594)),TEXT(INDEX(인턴계획표[입사일(비고)],$Q594),"yyyy-mm-dd"),INDEX(인턴계획표[입사일(비고)],$Q594)&amp;""))</f>
        <v/>
      </c>
      <c r="F594">
        <f>IF($Q594="","",IF(IF($G$3="","",INDEX(인턴계획표[[정규화1]:[정규화6]],$Q594,$G$3)&amp;"")="","",IF(LEFT(IF($G$3="","",INDEX(인턴계획표[[정규화1]:[정규화6]],$Q594,$G$3)&amp;""),1)="⚠",IF($G$3="","",INDEX(인턴계획표[[정규화1]:[정규화6]],$Q594,$G$3)&amp;""),IFERROR(LEFT(IF($G$3="","",INDEX(인턴계획표[[정규화1]:[정규화6]],$Q594,$G$3)&amp;""),FIND(" ",IF($G$3="","",INDEX(인턴계획표[[정규화1]:[정규화6]],$Q594,$G$3)&amp;""))-1),IF($G$3="","",INDEX(인턴계획표[[정규화1]:[정규화6]],$Q594,$G$3)&amp;"")))))</f>
        <v/>
      </c>
      <c r="G594">
        <f>IF($Q594="","",IF(IF($G$3="","",INDEX(인턴계획표[[정규화1]:[정규화6]],$Q594,$G$3)&amp;"")="","",IF(LEFT(IF($G$3="","",INDEX(인턴계획표[[정규화1]:[정규화6]],$Q594,$G$3)&amp;""),1)="⚠","",IFERROR(MID(IF($G$3="","",INDEX(인턴계획표[[정규화1]:[정규화6]],$Q594,$G$3)&amp;""),FIND(" ",IF($G$3="","",INDEX(인턴계획표[[정규화1]:[정규화6]],$Q594,$G$3)&amp;""))+1,60),""))))</f>
        <v/>
      </c>
      <c r="H594">
        <f>IF($Q594="","",IF(IF($I$3="","",INDEX(인턴계획표[[정규화1]:[정규화6]],$Q594,$I$3)&amp;"")="","",IF(LEFT(IF($I$3="","",INDEX(인턴계획표[[정규화1]:[정규화6]],$Q594,$I$3)&amp;""),1)="⚠",IF($I$3="","",INDEX(인턴계획표[[정규화1]:[정규화6]],$Q594,$I$3)&amp;""),IFERROR(LEFT(IF($I$3="","",INDEX(인턴계획표[[정규화1]:[정규화6]],$Q594,$I$3)&amp;""),FIND(" ",IF($I$3="","",INDEX(인턴계획표[[정규화1]:[정규화6]],$Q594,$I$3)&amp;""))-1),IF($I$3="","",INDEX(인턴계획표[[정규화1]:[정규화6]],$Q594,$I$3)&amp;"")))))</f>
        <v/>
      </c>
      <c r="I594">
        <f>IF($Q594="","",IF(IF($I$3="","",INDEX(인턴계획표[[정규화1]:[정규화6]],$Q594,$I$3)&amp;"")="","",IF(LEFT(IF($I$3="","",INDEX(인턴계획표[[정규화1]:[정규화6]],$Q594,$I$3)&amp;""),1)="⚠","",IFERROR(MID(IF($I$3="","",INDEX(인턴계획표[[정규화1]:[정규화6]],$Q594,$I$3)&amp;""),FIND(" ",IF($I$3="","",INDEX(인턴계획표[[정규화1]:[정규화6]],$Q594,$I$3)&amp;""))+1,60),""))))</f>
        <v/>
      </c>
      <c r="J594">
        <f>IF($Q594="","",INDEX(인턴계획표[정규화1],$Q594))</f>
        <v/>
      </c>
      <c r="K594">
        <f>IF($Q594="","",INDEX(인턴계획표[정규화2],$Q594))</f>
        <v/>
      </c>
      <c r="L594">
        <f>IF($Q594="","",INDEX(인턴계획표[정규화3],$Q594))</f>
        <v/>
      </c>
      <c r="M594">
        <f>IF($Q594="","",INDEX(인턴계획표[정규화4],$Q594))</f>
        <v/>
      </c>
      <c r="N594">
        <f>IF($Q594="","",INDEX(인턴계획표[정규화5],$Q594))</f>
        <v/>
      </c>
      <c r="O594">
        <f>IF($Q594="","",INDEX(인턴계획표[정규화6],$Q594))</f>
        <v/>
      </c>
      <c r="P594">
        <f>IF($Q594="","",INDEX(인턴계획표[입력오류],$Q594))</f>
        <v/>
      </c>
      <c r="Q594" s="17">
        <f>IFERROR(MATCH(589,인턴계획표[표시순번],0),"")</f>
        <v/>
      </c>
    </row>
    <row r="595">
      <c r="A595">
        <f>IF($Q595="","",INDEX(인턴계획표[순번],$Q595)&amp;"")</f>
        <v/>
      </c>
      <c r="B595">
        <f>IF($Q595="","",TRIM(INDEX(인턴계획표[이름],$Q595)&amp;""))</f>
        <v/>
      </c>
      <c r="C595">
        <f>IF($Q595="","",INDEX(인턴계획표[사번],$Q595)&amp;"")</f>
        <v/>
      </c>
      <c r="D595">
        <f>IF($Q595="","",IF(COUNTIF(기본자료표[사번키],INDEX(인턴계획표[사번키],$Q595))&gt;0,"확인","미등록"))</f>
        <v/>
      </c>
      <c r="E595">
        <f>IF($Q595="","",IF(ISNUMBER(INDEX(인턴계획표[입사일(비고)],$Q595)),TEXT(INDEX(인턴계획표[입사일(비고)],$Q595),"yyyy-mm-dd"),INDEX(인턴계획표[입사일(비고)],$Q595)&amp;""))</f>
        <v/>
      </c>
      <c r="F595">
        <f>IF($Q595="","",IF(IF($G$3="","",INDEX(인턴계획표[[정규화1]:[정규화6]],$Q595,$G$3)&amp;"")="","",IF(LEFT(IF($G$3="","",INDEX(인턴계획표[[정규화1]:[정규화6]],$Q595,$G$3)&amp;""),1)="⚠",IF($G$3="","",INDEX(인턴계획표[[정규화1]:[정규화6]],$Q595,$G$3)&amp;""),IFERROR(LEFT(IF($G$3="","",INDEX(인턴계획표[[정규화1]:[정규화6]],$Q595,$G$3)&amp;""),FIND(" ",IF($G$3="","",INDEX(인턴계획표[[정규화1]:[정규화6]],$Q595,$G$3)&amp;""))-1),IF($G$3="","",INDEX(인턴계획표[[정규화1]:[정규화6]],$Q595,$G$3)&amp;"")))))</f>
        <v/>
      </c>
      <c r="G595">
        <f>IF($Q595="","",IF(IF($G$3="","",INDEX(인턴계획표[[정규화1]:[정규화6]],$Q595,$G$3)&amp;"")="","",IF(LEFT(IF($G$3="","",INDEX(인턴계획표[[정규화1]:[정규화6]],$Q595,$G$3)&amp;""),1)="⚠","",IFERROR(MID(IF($G$3="","",INDEX(인턴계획표[[정규화1]:[정규화6]],$Q595,$G$3)&amp;""),FIND(" ",IF($G$3="","",INDEX(인턴계획표[[정규화1]:[정규화6]],$Q595,$G$3)&amp;""))+1,60),""))))</f>
        <v/>
      </c>
      <c r="H595">
        <f>IF($Q595="","",IF(IF($I$3="","",INDEX(인턴계획표[[정규화1]:[정규화6]],$Q595,$I$3)&amp;"")="","",IF(LEFT(IF($I$3="","",INDEX(인턴계획표[[정규화1]:[정규화6]],$Q595,$I$3)&amp;""),1)="⚠",IF($I$3="","",INDEX(인턴계획표[[정규화1]:[정규화6]],$Q595,$I$3)&amp;""),IFERROR(LEFT(IF($I$3="","",INDEX(인턴계획표[[정규화1]:[정규화6]],$Q595,$I$3)&amp;""),FIND(" ",IF($I$3="","",INDEX(인턴계획표[[정규화1]:[정규화6]],$Q595,$I$3)&amp;""))-1),IF($I$3="","",INDEX(인턴계획표[[정규화1]:[정규화6]],$Q595,$I$3)&amp;"")))))</f>
        <v/>
      </c>
      <c r="I595">
        <f>IF($Q595="","",IF(IF($I$3="","",INDEX(인턴계획표[[정규화1]:[정규화6]],$Q595,$I$3)&amp;"")="","",IF(LEFT(IF($I$3="","",INDEX(인턴계획표[[정규화1]:[정규화6]],$Q595,$I$3)&amp;""),1)="⚠","",IFERROR(MID(IF($I$3="","",INDEX(인턴계획표[[정규화1]:[정규화6]],$Q595,$I$3)&amp;""),FIND(" ",IF($I$3="","",INDEX(인턴계획표[[정규화1]:[정규화6]],$Q595,$I$3)&amp;""))+1,60),""))))</f>
        <v/>
      </c>
      <c r="J595">
        <f>IF($Q595="","",INDEX(인턴계획표[정규화1],$Q595))</f>
        <v/>
      </c>
      <c r="K595">
        <f>IF($Q595="","",INDEX(인턴계획표[정규화2],$Q595))</f>
        <v/>
      </c>
      <c r="L595">
        <f>IF($Q595="","",INDEX(인턴계획표[정규화3],$Q595))</f>
        <v/>
      </c>
      <c r="M595">
        <f>IF($Q595="","",INDEX(인턴계획표[정규화4],$Q595))</f>
        <v/>
      </c>
      <c r="N595">
        <f>IF($Q595="","",INDEX(인턴계획표[정규화5],$Q595))</f>
        <v/>
      </c>
      <c r="O595">
        <f>IF($Q595="","",INDEX(인턴계획표[정규화6],$Q595))</f>
        <v/>
      </c>
      <c r="P595">
        <f>IF($Q595="","",INDEX(인턴계획표[입력오류],$Q595))</f>
        <v/>
      </c>
      <c r="Q595" s="17">
        <f>IFERROR(MATCH(590,인턴계획표[표시순번],0),"")</f>
        <v/>
      </c>
    </row>
    <row r="596">
      <c r="A596">
        <f>IF($Q596="","",INDEX(인턴계획표[순번],$Q596)&amp;"")</f>
        <v/>
      </c>
      <c r="B596">
        <f>IF($Q596="","",TRIM(INDEX(인턴계획표[이름],$Q596)&amp;""))</f>
        <v/>
      </c>
      <c r="C596">
        <f>IF($Q596="","",INDEX(인턴계획표[사번],$Q596)&amp;"")</f>
        <v/>
      </c>
      <c r="D596">
        <f>IF($Q596="","",IF(COUNTIF(기본자료표[사번키],INDEX(인턴계획표[사번키],$Q596))&gt;0,"확인","미등록"))</f>
        <v/>
      </c>
      <c r="E596">
        <f>IF($Q596="","",IF(ISNUMBER(INDEX(인턴계획표[입사일(비고)],$Q596)),TEXT(INDEX(인턴계획표[입사일(비고)],$Q596),"yyyy-mm-dd"),INDEX(인턴계획표[입사일(비고)],$Q596)&amp;""))</f>
        <v/>
      </c>
      <c r="F596">
        <f>IF($Q596="","",IF(IF($G$3="","",INDEX(인턴계획표[[정규화1]:[정규화6]],$Q596,$G$3)&amp;"")="","",IF(LEFT(IF($G$3="","",INDEX(인턴계획표[[정규화1]:[정규화6]],$Q596,$G$3)&amp;""),1)="⚠",IF($G$3="","",INDEX(인턴계획표[[정규화1]:[정규화6]],$Q596,$G$3)&amp;""),IFERROR(LEFT(IF($G$3="","",INDEX(인턴계획표[[정규화1]:[정규화6]],$Q596,$G$3)&amp;""),FIND(" ",IF($G$3="","",INDEX(인턴계획표[[정규화1]:[정규화6]],$Q596,$G$3)&amp;""))-1),IF($G$3="","",INDEX(인턴계획표[[정규화1]:[정규화6]],$Q596,$G$3)&amp;"")))))</f>
        <v/>
      </c>
      <c r="G596">
        <f>IF($Q596="","",IF(IF($G$3="","",INDEX(인턴계획표[[정규화1]:[정규화6]],$Q596,$G$3)&amp;"")="","",IF(LEFT(IF($G$3="","",INDEX(인턴계획표[[정규화1]:[정규화6]],$Q596,$G$3)&amp;""),1)="⚠","",IFERROR(MID(IF($G$3="","",INDEX(인턴계획표[[정규화1]:[정규화6]],$Q596,$G$3)&amp;""),FIND(" ",IF($G$3="","",INDEX(인턴계획표[[정규화1]:[정규화6]],$Q596,$G$3)&amp;""))+1,60),""))))</f>
        <v/>
      </c>
      <c r="H596">
        <f>IF($Q596="","",IF(IF($I$3="","",INDEX(인턴계획표[[정규화1]:[정규화6]],$Q596,$I$3)&amp;"")="","",IF(LEFT(IF($I$3="","",INDEX(인턴계획표[[정규화1]:[정규화6]],$Q596,$I$3)&amp;""),1)="⚠",IF($I$3="","",INDEX(인턴계획표[[정규화1]:[정규화6]],$Q596,$I$3)&amp;""),IFERROR(LEFT(IF($I$3="","",INDEX(인턴계획표[[정규화1]:[정규화6]],$Q596,$I$3)&amp;""),FIND(" ",IF($I$3="","",INDEX(인턴계획표[[정규화1]:[정규화6]],$Q596,$I$3)&amp;""))-1),IF($I$3="","",INDEX(인턴계획표[[정규화1]:[정규화6]],$Q596,$I$3)&amp;"")))))</f>
        <v/>
      </c>
      <c r="I596">
        <f>IF($Q596="","",IF(IF($I$3="","",INDEX(인턴계획표[[정규화1]:[정규화6]],$Q596,$I$3)&amp;"")="","",IF(LEFT(IF($I$3="","",INDEX(인턴계획표[[정규화1]:[정규화6]],$Q596,$I$3)&amp;""),1)="⚠","",IFERROR(MID(IF($I$3="","",INDEX(인턴계획표[[정규화1]:[정규화6]],$Q596,$I$3)&amp;""),FIND(" ",IF($I$3="","",INDEX(인턴계획표[[정규화1]:[정규화6]],$Q596,$I$3)&amp;""))+1,60),""))))</f>
        <v/>
      </c>
      <c r="J596">
        <f>IF($Q596="","",INDEX(인턴계획표[정규화1],$Q596))</f>
        <v/>
      </c>
      <c r="K596">
        <f>IF($Q596="","",INDEX(인턴계획표[정규화2],$Q596))</f>
        <v/>
      </c>
      <c r="L596">
        <f>IF($Q596="","",INDEX(인턴계획표[정규화3],$Q596))</f>
        <v/>
      </c>
      <c r="M596">
        <f>IF($Q596="","",INDEX(인턴계획표[정규화4],$Q596))</f>
        <v/>
      </c>
      <c r="N596">
        <f>IF($Q596="","",INDEX(인턴계획표[정규화5],$Q596))</f>
        <v/>
      </c>
      <c r="O596">
        <f>IF($Q596="","",INDEX(인턴계획표[정규화6],$Q596))</f>
        <v/>
      </c>
      <c r="P596">
        <f>IF($Q596="","",INDEX(인턴계획표[입력오류],$Q596))</f>
        <v/>
      </c>
      <c r="Q596" s="17">
        <f>IFERROR(MATCH(591,인턴계획표[표시순번],0),"")</f>
        <v/>
      </c>
    </row>
    <row r="597">
      <c r="A597">
        <f>IF($Q597="","",INDEX(인턴계획표[순번],$Q597)&amp;"")</f>
        <v/>
      </c>
      <c r="B597">
        <f>IF($Q597="","",TRIM(INDEX(인턴계획표[이름],$Q597)&amp;""))</f>
        <v/>
      </c>
      <c r="C597">
        <f>IF($Q597="","",INDEX(인턴계획표[사번],$Q597)&amp;"")</f>
        <v/>
      </c>
      <c r="D597">
        <f>IF($Q597="","",IF(COUNTIF(기본자료표[사번키],INDEX(인턴계획표[사번키],$Q597))&gt;0,"확인","미등록"))</f>
        <v/>
      </c>
      <c r="E597">
        <f>IF($Q597="","",IF(ISNUMBER(INDEX(인턴계획표[입사일(비고)],$Q597)),TEXT(INDEX(인턴계획표[입사일(비고)],$Q597),"yyyy-mm-dd"),INDEX(인턴계획표[입사일(비고)],$Q597)&amp;""))</f>
        <v/>
      </c>
      <c r="F597">
        <f>IF($Q597="","",IF(IF($G$3="","",INDEX(인턴계획표[[정규화1]:[정규화6]],$Q597,$G$3)&amp;"")="","",IF(LEFT(IF($G$3="","",INDEX(인턴계획표[[정규화1]:[정규화6]],$Q597,$G$3)&amp;""),1)="⚠",IF($G$3="","",INDEX(인턴계획표[[정규화1]:[정규화6]],$Q597,$G$3)&amp;""),IFERROR(LEFT(IF($G$3="","",INDEX(인턴계획표[[정규화1]:[정규화6]],$Q597,$G$3)&amp;""),FIND(" ",IF($G$3="","",INDEX(인턴계획표[[정규화1]:[정규화6]],$Q597,$G$3)&amp;""))-1),IF($G$3="","",INDEX(인턴계획표[[정규화1]:[정규화6]],$Q597,$G$3)&amp;"")))))</f>
        <v/>
      </c>
      <c r="G597">
        <f>IF($Q597="","",IF(IF($G$3="","",INDEX(인턴계획표[[정규화1]:[정규화6]],$Q597,$G$3)&amp;"")="","",IF(LEFT(IF($G$3="","",INDEX(인턴계획표[[정규화1]:[정규화6]],$Q597,$G$3)&amp;""),1)="⚠","",IFERROR(MID(IF($G$3="","",INDEX(인턴계획표[[정규화1]:[정규화6]],$Q597,$G$3)&amp;""),FIND(" ",IF($G$3="","",INDEX(인턴계획표[[정규화1]:[정규화6]],$Q597,$G$3)&amp;""))+1,60),""))))</f>
        <v/>
      </c>
      <c r="H597">
        <f>IF($Q597="","",IF(IF($I$3="","",INDEX(인턴계획표[[정규화1]:[정규화6]],$Q597,$I$3)&amp;"")="","",IF(LEFT(IF($I$3="","",INDEX(인턴계획표[[정규화1]:[정규화6]],$Q597,$I$3)&amp;""),1)="⚠",IF($I$3="","",INDEX(인턴계획표[[정규화1]:[정규화6]],$Q597,$I$3)&amp;""),IFERROR(LEFT(IF($I$3="","",INDEX(인턴계획표[[정규화1]:[정규화6]],$Q597,$I$3)&amp;""),FIND(" ",IF($I$3="","",INDEX(인턴계획표[[정규화1]:[정규화6]],$Q597,$I$3)&amp;""))-1),IF($I$3="","",INDEX(인턴계획표[[정규화1]:[정규화6]],$Q597,$I$3)&amp;"")))))</f>
        <v/>
      </c>
      <c r="I597">
        <f>IF($Q597="","",IF(IF($I$3="","",INDEX(인턴계획표[[정규화1]:[정규화6]],$Q597,$I$3)&amp;"")="","",IF(LEFT(IF($I$3="","",INDEX(인턴계획표[[정규화1]:[정규화6]],$Q597,$I$3)&amp;""),1)="⚠","",IFERROR(MID(IF($I$3="","",INDEX(인턴계획표[[정규화1]:[정규화6]],$Q597,$I$3)&amp;""),FIND(" ",IF($I$3="","",INDEX(인턴계획표[[정규화1]:[정규화6]],$Q597,$I$3)&amp;""))+1,60),""))))</f>
        <v/>
      </c>
      <c r="J597">
        <f>IF($Q597="","",INDEX(인턴계획표[정규화1],$Q597))</f>
        <v/>
      </c>
      <c r="K597">
        <f>IF($Q597="","",INDEX(인턴계획표[정규화2],$Q597))</f>
        <v/>
      </c>
      <c r="L597">
        <f>IF($Q597="","",INDEX(인턴계획표[정규화3],$Q597))</f>
        <v/>
      </c>
      <c r="M597">
        <f>IF($Q597="","",INDEX(인턴계획표[정규화4],$Q597))</f>
        <v/>
      </c>
      <c r="N597">
        <f>IF($Q597="","",INDEX(인턴계획표[정규화5],$Q597))</f>
        <v/>
      </c>
      <c r="O597">
        <f>IF($Q597="","",INDEX(인턴계획표[정규화6],$Q597))</f>
        <v/>
      </c>
      <c r="P597">
        <f>IF($Q597="","",INDEX(인턴계획표[입력오류],$Q597))</f>
        <v/>
      </c>
      <c r="Q597" s="17">
        <f>IFERROR(MATCH(592,인턴계획표[표시순번],0),"")</f>
        <v/>
      </c>
    </row>
    <row r="598">
      <c r="A598">
        <f>IF($Q598="","",INDEX(인턴계획표[순번],$Q598)&amp;"")</f>
        <v/>
      </c>
      <c r="B598">
        <f>IF($Q598="","",TRIM(INDEX(인턴계획표[이름],$Q598)&amp;""))</f>
        <v/>
      </c>
      <c r="C598">
        <f>IF($Q598="","",INDEX(인턴계획표[사번],$Q598)&amp;"")</f>
        <v/>
      </c>
      <c r="D598">
        <f>IF($Q598="","",IF(COUNTIF(기본자료표[사번키],INDEX(인턴계획표[사번키],$Q598))&gt;0,"확인","미등록"))</f>
        <v/>
      </c>
      <c r="E598">
        <f>IF($Q598="","",IF(ISNUMBER(INDEX(인턴계획표[입사일(비고)],$Q598)),TEXT(INDEX(인턴계획표[입사일(비고)],$Q598),"yyyy-mm-dd"),INDEX(인턴계획표[입사일(비고)],$Q598)&amp;""))</f>
        <v/>
      </c>
      <c r="F598">
        <f>IF($Q598="","",IF(IF($G$3="","",INDEX(인턴계획표[[정규화1]:[정규화6]],$Q598,$G$3)&amp;"")="","",IF(LEFT(IF($G$3="","",INDEX(인턴계획표[[정규화1]:[정규화6]],$Q598,$G$3)&amp;""),1)="⚠",IF($G$3="","",INDEX(인턴계획표[[정규화1]:[정규화6]],$Q598,$G$3)&amp;""),IFERROR(LEFT(IF($G$3="","",INDEX(인턴계획표[[정규화1]:[정규화6]],$Q598,$G$3)&amp;""),FIND(" ",IF($G$3="","",INDEX(인턴계획표[[정규화1]:[정규화6]],$Q598,$G$3)&amp;""))-1),IF($G$3="","",INDEX(인턴계획표[[정규화1]:[정규화6]],$Q598,$G$3)&amp;"")))))</f>
        <v/>
      </c>
      <c r="G598">
        <f>IF($Q598="","",IF(IF($G$3="","",INDEX(인턴계획표[[정규화1]:[정규화6]],$Q598,$G$3)&amp;"")="","",IF(LEFT(IF($G$3="","",INDEX(인턴계획표[[정규화1]:[정규화6]],$Q598,$G$3)&amp;""),1)="⚠","",IFERROR(MID(IF($G$3="","",INDEX(인턴계획표[[정규화1]:[정규화6]],$Q598,$G$3)&amp;""),FIND(" ",IF($G$3="","",INDEX(인턴계획표[[정규화1]:[정규화6]],$Q598,$G$3)&amp;""))+1,60),""))))</f>
        <v/>
      </c>
      <c r="H598">
        <f>IF($Q598="","",IF(IF($I$3="","",INDEX(인턴계획표[[정규화1]:[정규화6]],$Q598,$I$3)&amp;"")="","",IF(LEFT(IF($I$3="","",INDEX(인턴계획표[[정규화1]:[정규화6]],$Q598,$I$3)&amp;""),1)="⚠",IF($I$3="","",INDEX(인턴계획표[[정규화1]:[정규화6]],$Q598,$I$3)&amp;""),IFERROR(LEFT(IF($I$3="","",INDEX(인턴계획표[[정규화1]:[정규화6]],$Q598,$I$3)&amp;""),FIND(" ",IF($I$3="","",INDEX(인턴계획표[[정규화1]:[정규화6]],$Q598,$I$3)&amp;""))-1),IF($I$3="","",INDEX(인턴계획표[[정규화1]:[정규화6]],$Q598,$I$3)&amp;"")))))</f>
        <v/>
      </c>
      <c r="I598">
        <f>IF($Q598="","",IF(IF($I$3="","",INDEX(인턴계획표[[정규화1]:[정규화6]],$Q598,$I$3)&amp;"")="","",IF(LEFT(IF($I$3="","",INDEX(인턴계획표[[정규화1]:[정규화6]],$Q598,$I$3)&amp;""),1)="⚠","",IFERROR(MID(IF($I$3="","",INDEX(인턴계획표[[정규화1]:[정규화6]],$Q598,$I$3)&amp;""),FIND(" ",IF($I$3="","",INDEX(인턴계획표[[정규화1]:[정규화6]],$Q598,$I$3)&amp;""))+1,60),""))))</f>
        <v/>
      </c>
      <c r="J598">
        <f>IF($Q598="","",INDEX(인턴계획표[정규화1],$Q598))</f>
        <v/>
      </c>
      <c r="K598">
        <f>IF($Q598="","",INDEX(인턴계획표[정규화2],$Q598))</f>
        <v/>
      </c>
      <c r="L598">
        <f>IF($Q598="","",INDEX(인턴계획표[정규화3],$Q598))</f>
        <v/>
      </c>
      <c r="M598">
        <f>IF($Q598="","",INDEX(인턴계획표[정규화4],$Q598))</f>
        <v/>
      </c>
      <c r="N598">
        <f>IF($Q598="","",INDEX(인턴계획표[정규화5],$Q598))</f>
        <v/>
      </c>
      <c r="O598">
        <f>IF($Q598="","",INDEX(인턴계획표[정규화6],$Q598))</f>
        <v/>
      </c>
      <c r="P598">
        <f>IF($Q598="","",INDEX(인턴계획표[입력오류],$Q598))</f>
        <v/>
      </c>
      <c r="Q598" s="17">
        <f>IFERROR(MATCH(593,인턴계획표[표시순번],0),"")</f>
        <v/>
      </c>
    </row>
    <row r="599">
      <c r="A599">
        <f>IF($Q599="","",INDEX(인턴계획표[순번],$Q599)&amp;"")</f>
        <v/>
      </c>
      <c r="B599">
        <f>IF($Q599="","",TRIM(INDEX(인턴계획표[이름],$Q599)&amp;""))</f>
        <v/>
      </c>
      <c r="C599">
        <f>IF($Q599="","",INDEX(인턴계획표[사번],$Q599)&amp;"")</f>
        <v/>
      </c>
      <c r="D599">
        <f>IF($Q599="","",IF(COUNTIF(기본자료표[사번키],INDEX(인턴계획표[사번키],$Q599))&gt;0,"확인","미등록"))</f>
        <v/>
      </c>
      <c r="E599">
        <f>IF($Q599="","",IF(ISNUMBER(INDEX(인턴계획표[입사일(비고)],$Q599)),TEXT(INDEX(인턴계획표[입사일(비고)],$Q599),"yyyy-mm-dd"),INDEX(인턴계획표[입사일(비고)],$Q599)&amp;""))</f>
        <v/>
      </c>
      <c r="F599">
        <f>IF($Q599="","",IF(IF($G$3="","",INDEX(인턴계획표[[정규화1]:[정규화6]],$Q599,$G$3)&amp;"")="","",IF(LEFT(IF($G$3="","",INDEX(인턴계획표[[정규화1]:[정규화6]],$Q599,$G$3)&amp;""),1)="⚠",IF($G$3="","",INDEX(인턴계획표[[정규화1]:[정규화6]],$Q599,$G$3)&amp;""),IFERROR(LEFT(IF($G$3="","",INDEX(인턴계획표[[정규화1]:[정규화6]],$Q599,$G$3)&amp;""),FIND(" ",IF($G$3="","",INDEX(인턴계획표[[정규화1]:[정규화6]],$Q599,$G$3)&amp;""))-1),IF($G$3="","",INDEX(인턴계획표[[정규화1]:[정규화6]],$Q599,$G$3)&amp;"")))))</f>
        <v/>
      </c>
      <c r="G599">
        <f>IF($Q599="","",IF(IF($G$3="","",INDEX(인턴계획표[[정규화1]:[정규화6]],$Q599,$G$3)&amp;"")="","",IF(LEFT(IF($G$3="","",INDEX(인턴계획표[[정규화1]:[정규화6]],$Q599,$G$3)&amp;""),1)="⚠","",IFERROR(MID(IF($G$3="","",INDEX(인턴계획표[[정규화1]:[정규화6]],$Q599,$G$3)&amp;""),FIND(" ",IF($G$3="","",INDEX(인턴계획표[[정규화1]:[정규화6]],$Q599,$G$3)&amp;""))+1,60),""))))</f>
        <v/>
      </c>
      <c r="H599">
        <f>IF($Q599="","",IF(IF($I$3="","",INDEX(인턴계획표[[정규화1]:[정규화6]],$Q599,$I$3)&amp;"")="","",IF(LEFT(IF($I$3="","",INDEX(인턴계획표[[정규화1]:[정규화6]],$Q599,$I$3)&amp;""),1)="⚠",IF($I$3="","",INDEX(인턴계획표[[정규화1]:[정규화6]],$Q599,$I$3)&amp;""),IFERROR(LEFT(IF($I$3="","",INDEX(인턴계획표[[정규화1]:[정규화6]],$Q599,$I$3)&amp;""),FIND(" ",IF($I$3="","",INDEX(인턴계획표[[정규화1]:[정규화6]],$Q599,$I$3)&amp;""))-1),IF($I$3="","",INDEX(인턴계획표[[정규화1]:[정규화6]],$Q599,$I$3)&amp;"")))))</f>
        <v/>
      </c>
      <c r="I599">
        <f>IF($Q599="","",IF(IF($I$3="","",INDEX(인턴계획표[[정규화1]:[정규화6]],$Q599,$I$3)&amp;"")="","",IF(LEFT(IF($I$3="","",INDEX(인턴계획표[[정규화1]:[정규화6]],$Q599,$I$3)&amp;""),1)="⚠","",IFERROR(MID(IF($I$3="","",INDEX(인턴계획표[[정규화1]:[정규화6]],$Q599,$I$3)&amp;""),FIND(" ",IF($I$3="","",INDEX(인턴계획표[[정규화1]:[정규화6]],$Q599,$I$3)&amp;""))+1,60),""))))</f>
        <v/>
      </c>
      <c r="J599">
        <f>IF($Q599="","",INDEX(인턴계획표[정규화1],$Q599))</f>
        <v/>
      </c>
      <c r="K599">
        <f>IF($Q599="","",INDEX(인턴계획표[정규화2],$Q599))</f>
        <v/>
      </c>
      <c r="L599">
        <f>IF($Q599="","",INDEX(인턴계획표[정규화3],$Q599))</f>
        <v/>
      </c>
      <c r="M599">
        <f>IF($Q599="","",INDEX(인턴계획표[정규화4],$Q599))</f>
        <v/>
      </c>
      <c r="N599">
        <f>IF($Q599="","",INDEX(인턴계획표[정규화5],$Q599))</f>
        <v/>
      </c>
      <c r="O599">
        <f>IF($Q599="","",INDEX(인턴계획표[정규화6],$Q599))</f>
        <v/>
      </c>
      <c r="P599">
        <f>IF($Q599="","",INDEX(인턴계획표[입력오류],$Q599))</f>
        <v/>
      </c>
      <c r="Q599" s="17">
        <f>IFERROR(MATCH(594,인턴계획표[표시순번],0),"")</f>
        <v/>
      </c>
    </row>
    <row r="600">
      <c r="A600">
        <f>IF($Q600="","",INDEX(인턴계획표[순번],$Q600)&amp;"")</f>
        <v/>
      </c>
      <c r="B600">
        <f>IF($Q600="","",TRIM(INDEX(인턴계획표[이름],$Q600)&amp;""))</f>
        <v/>
      </c>
      <c r="C600">
        <f>IF($Q600="","",INDEX(인턴계획표[사번],$Q600)&amp;"")</f>
        <v/>
      </c>
      <c r="D600">
        <f>IF($Q600="","",IF(COUNTIF(기본자료표[사번키],INDEX(인턴계획표[사번키],$Q600))&gt;0,"확인","미등록"))</f>
        <v/>
      </c>
      <c r="E600">
        <f>IF($Q600="","",IF(ISNUMBER(INDEX(인턴계획표[입사일(비고)],$Q600)),TEXT(INDEX(인턴계획표[입사일(비고)],$Q600),"yyyy-mm-dd"),INDEX(인턴계획표[입사일(비고)],$Q600)&amp;""))</f>
        <v/>
      </c>
      <c r="F600">
        <f>IF($Q600="","",IF(IF($G$3="","",INDEX(인턴계획표[[정규화1]:[정규화6]],$Q600,$G$3)&amp;"")="","",IF(LEFT(IF($G$3="","",INDEX(인턴계획표[[정규화1]:[정규화6]],$Q600,$G$3)&amp;""),1)="⚠",IF($G$3="","",INDEX(인턴계획표[[정규화1]:[정규화6]],$Q600,$G$3)&amp;""),IFERROR(LEFT(IF($G$3="","",INDEX(인턴계획표[[정규화1]:[정규화6]],$Q600,$G$3)&amp;""),FIND(" ",IF($G$3="","",INDEX(인턴계획표[[정규화1]:[정규화6]],$Q600,$G$3)&amp;""))-1),IF($G$3="","",INDEX(인턴계획표[[정규화1]:[정규화6]],$Q600,$G$3)&amp;"")))))</f>
        <v/>
      </c>
      <c r="G600">
        <f>IF($Q600="","",IF(IF($G$3="","",INDEX(인턴계획표[[정규화1]:[정규화6]],$Q600,$G$3)&amp;"")="","",IF(LEFT(IF($G$3="","",INDEX(인턴계획표[[정규화1]:[정규화6]],$Q600,$G$3)&amp;""),1)="⚠","",IFERROR(MID(IF($G$3="","",INDEX(인턴계획표[[정규화1]:[정규화6]],$Q600,$G$3)&amp;""),FIND(" ",IF($G$3="","",INDEX(인턴계획표[[정규화1]:[정규화6]],$Q600,$G$3)&amp;""))+1,60),""))))</f>
        <v/>
      </c>
      <c r="H600">
        <f>IF($Q600="","",IF(IF($I$3="","",INDEX(인턴계획표[[정규화1]:[정규화6]],$Q600,$I$3)&amp;"")="","",IF(LEFT(IF($I$3="","",INDEX(인턴계획표[[정규화1]:[정규화6]],$Q600,$I$3)&amp;""),1)="⚠",IF($I$3="","",INDEX(인턴계획표[[정규화1]:[정규화6]],$Q600,$I$3)&amp;""),IFERROR(LEFT(IF($I$3="","",INDEX(인턴계획표[[정규화1]:[정규화6]],$Q600,$I$3)&amp;""),FIND(" ",IF($I$3="","",INDEX(인턴계획표[[정규화1]:[정규화6]],$Q600,$I$3)&amp;""))-1),IF($I$3="","",INDEX(인턴계획표[[정규화1]:[정규화6]],$Q600,$I$3)&amp;"")))))</f>
        <v/>
      </c>
      <c r="I600">
        <f>IF($Q600="","",IF(IF($I$3="","",INDEX(인턴계획표[[정규화1]:[정규화6]],$Q600,$I$3)&amp;"")="","",IF(LEFT(IF($I$3="","",INDEX(인턴계획표[[정규화1]:[정규화6]],$Q600,$I$3)&amp;""),1)="⚠","",IFERROR(MID(IF($I$3="","",INDEX(인턴계획표[[정규화1]:[정규화6]],$Q600,$I$3)&amp;""),FIND(" ",IF($I$3="","",INDEX(인턴계획표[[정규화1]:[정규화6]],$Q600,$I$3)&amp;""))+1,60),""))))</f>
        <v/>
      </c>
      <c r="J600">
        <f>IF($Q600="","",INDEX(인턴계획표[정규화1],$Q600))</f>
        <v/>
      </c>
      <c r="K600">
        <f>IF($Q600="","",INDEX(인턴계획표[정규화2],$Q600))</f>
        <v/>
      </c>
      <c r="L600">
        <f>IF($Q600="","",INDEX(인턴계획표[정규화3],$Q600))</f>
        <v/>
      </c>
      <c r="M600">
        <f>IF($Q600="","",INDEX(인턴계획표[정규화4],$Q600))</f>
        <v/>
      </c>
      <c r="N600">
        <f>IF($Q600="","",INDEX(인턴계획표[정규화5],$Q600))</f>
        <v/>
      </c>
      <c r="O600">
        <f>IF($Q600="","",INDEX(인턴계획표[정규화6],$Q600))</f>
        <v/>
      </c>
      <c r="P600">
        <f>IF($Q600="","",INDEX(인턴계획표[입력오류],$Q600))</f>
        <v/>
      </c>
      <c r="Q600" s="17">
        <f>IFERROR(MATCH(595,인턴계획표[표시순번],0),"")</f>
        <v/>
      </c>
    </row>
    <row r="601">
      <c r="A601">
        <f>IF($Q601="","",INDEX(인턴계획표[순번],$Q601)&amp;"")</f>
        <v/>
      </c>
      <c r="B601">
        <f>IF($Q601="","",TRIM(INDEX(인턴계획표[이름],$Q601)&amp;""))</f>
        <v/>
      </c>
      <c r="C601">
        <f>IF($Q601="","",INDEX(인턴계획표[사번],$Q601)&amp;"")</f>
        <v/>
      </c>
      <c r="D601">
        <f>IF($Q601="","",IF(COUNTIF(기본자료표[사번키],INDEX(인턴계획표[사번키],$Q601))&gt;0,"확인","미등록"))</f>
        <v/>
      </c>
      <c r="E601">
        <f>IF($Q601="","",IF(ISNUMBER(INDEX(인턴계획표[입사일(비고)],$Q601)),TEXT(INDEX(인턴계획표[입사일(비고)],$Q601),"yyyy-mm-dd"),INDEX(인턴계획표[입사일(비고)],$Q601)&amp;""))</f>
        <v/>
      </c>
      <c r="F601">
        <f>IF($Q601="","",IF(IF($G$3="","",INDEX(인턴계획표[[정규화1]:[정규화6]],$Q601,$G$3)&amp;"")="","",IF(LEFT(IF($G$3="","",INDEX(인턴계획표[[정규화1]:[정규화6]],$Q601,$G$3)&amp;""),1)="⚠",IF($G$3="","",INDEX(인턴계획표[[정규화1]:[정규화6]],$Q601,$G$3)&amp;""),IFERROR(LEFT(IF($G$3="","",INDEX(인턴계획표[[정규화1]:[정규화6]],$Q601,$G$3)&amp;""),FIND(" ",IF($G$3="","",INDEX(인턴계획표[[정규화1]:[정규화6]],$Q601,$G$3)&amp;""))-1),IF($G$3="","",INDEX(인턴계획표[[정규화1]:[정규화6]],$Q601,$G$3)&amp;"")))))</f>
        <v/>
      </c>
      <c r="G601">
        <f>IF($Q601="","",IF(IF($G$3="","",INDEX(인턴계획표[[정규화1]:[정규화6]],$Q601,$G$3)&amp;"")="","",IF(LEFT(IF($G$3="","",INDEX(인턴계획표[[정규화1]:[정규화6]],$Q601,$G$3)&amp;""),1)="⚠","",IFERROR(MID(IF($G$3="","",INDEX(인턴계획표[[정규화1]:[정규화6]],$Q601,$G$3)&amp;""),FIND(" ",IF($G$3="","",INDEX(인턴계획표[[정규화1]:[정규화6]],$Q601,$G$3)&amp;""))+1,60),""))))</f>
        <v/>
      </c>
      <c r="H601">
        <f>IF($Q601="","",IF(IF($I$3="","",INDEX(인턴계획표[[정규화1]:[정규화6]],$Q601,$I$3)&amp;"")="","",IF(LEFT(IF($I$3="","",INDEX(인턴계획표[[정규화1]:[정규화6]],$Q601,$I$3)&amp;""),1)="⚠",IF($I$3="","",INDEX(인턴계획표[[정규화1]:[정규화6]],$Q601,$I$3)&amp;""),IFERROR(LEFT(IF($I$3="","",INDEX(인턴계획표[[정규화1]:[정규화6]],$Q601,$I$3)&amp;""),FIND(" ",IF($I$3="","",INDEX(인턴계획표[[정규화1]:[정규화6]],$Q601,$I$3)&amp;""))-1),IF($I$3="","",INDEX(인턴계획표[[정규화1]:[정규화6]],$Q601,$I$3)&amp;"")))))</f>
        <v/>
      </c>
      <c r="I601">
        <f>IF($Q601="","",IF(IF($I$3="","",INDEX(인턴계획표[[정규화1]:[정규화6]],$Q601,$I$3)&amp;"")="","",IF(LEFT(IF($I$3="","",INDEX(인턴계획표[[정규화1]:[정규화6]],$Q601,$I$3)&amp;""),1)="⚠","",IFERROR(MID(IF($I$3="","",INDEX(인턴계획표[[정규화1]:[정규화6]],$Q601,$I$3)&amp;""),FIND(" ",IF($I$3="","",INDEX(인턴계획표[[정규화1]:[정규화6]],$Q601,$I$3)&amp;""))+1,60),""))))</f>
        <v/>
      </c>
      <c r="J601">
        <f>IF($Q601="","",INDEX(인턴계획표[정규화1],$Q601))</f>
        <v/>
      </c>
      <c r="K601">
        <f>IF($Q601="","",INDEX(인턴계획표[정규화2],$Q601))</f>
        <v/>
      </c>
      <c r="L601">
        <f>IF($Q601="","",INDEX(인턴계획표[정규화3],$Q601))</f>
        <v/>
      </c>
      <c r="M601">
        <f>IF($Q601="","",INDEX(인턴계획표[정규화4],$Q601))</f>
        <v/>
      </c>
      <c r="N601">
        <f>IF($Q601="","",INDEX(인턴계획표[정규화5],$Q601))</f>
        <v/>
      </c>
      <c r="O601">
        <f>IF($Q601="","",INDEX(인턴계획표[정규화6],$Q601))</f>
        <v/>
      </c>
      <c r="P601">
        <f>IF($Q601="","",INDEX(인턴계획표[입력오류],$Q601))</f>
        <v/>
      </c>
      <c r="Q601" s="17">
        <f>IFERROR(MATCH(596,인턴계획표[표시순번],0),"")</f>
        <v/>
      </c>
    </row>
    <row r="602">
      <c r="A602">
        <f>IF($Q602="","",INDEX(인턴계획표[순번],$Q602)&amp;"")</f>
        <v/>
      </c>
      <c r="B602">
        <f>IF($Q602="","",TRIM(INDEX(인턴계획표[이름],$Q602)&amp;""))</f>
        <v/>
      </c>
      <c r="C602">
        <f>IF($Q602="","",INDEX(인턴계획표[사번],$Q602)&amp;"")</f>
        <v/>
      </c>
      <c r="D602">
        <f>IF($Q602="","",IF(COUNTIF(기본자료표[사번키],INDEX(인턴계획표[사번키],$Q602))&gt;0,"확인","미등록"))</f>
        <v/>
      </c>
      <c r="E602">
        <f>IF($Q602="","",IF(ISNUMBER(INDEX(인턴계획표[입사일(비고)],$Q602)),TEXT(INDEX(인턴계획표[입사일(비고)],$Q602),"yyyy-mm-dd"),INDEX(인턴계획표[입사일(비고)],$Q602)&amp;""))</f>
        <v/>
      </c>
      <c r="F602">
        <f>IF($Q602="","",IF(IF($G$3="","",INDEX(인턴계획표[[정규화1]:[정규화6]],$Q602,$G$3)&amp;"")="","",IF(LEFT(IF($G$3="","",INDEX(인턴계획표[[정규화1]:[정규화6]],$Q602,$G$3)&amp;""),1)="⚠",IF($G$3="","",INDEX(인턴계획표[[정규화1]:[정규화6]],$Q602,$G$3)&amp;""),IFERROR(LEFT(IF($G$3="","",INDEX(인턴계획표[[정규화1]:[정규화6]],$Q602,$G$3)&amp;""),FIND(" ",IF($G$3="","",INDEX(인턴계획표[[정규화1]:[정규화6]],$Q602,$G$3)&amp;""))-1),IF($G$3="","",INDEX(인턴계획표[[정규화1]:[정규화6]],$Q602,$G$3)&amp;"")))))</f>
        <v/>
      </c>
      <c r="G602">
        <f>IF($Q602="","",IF(IF($G$3="","",INDEX(인턴계획표[[정규화1]:[정규화6]],$Q602,$G$3)&amp;"")="","",IF(LEFT(IF($G$3="","",INDEX(인턴계획표[[정규화1]:[정규화6]],$Q602,$G$3)&amp;""),1)="⚠","",IFERROR(MID(IF($G$3="","",INDEX(인턴계획표[[정규화1]:[정규화6]],$Q602,$G$3)&amp;""),FIND(" ",IF($G$3="","",INDEX(인턴계획표[[정규화1]:[정규화6]],$Q602,$G$3)&amp;""))+1,60),""))))</f>
        <v/>
      </c>
      <c r="H602">
        <f>IF($Q602="","",IF(IF($I$3="","",INDEX(인턴계획표[[정규화1]:[정규화6]],$Q602,$I$3)&amp;"")="","",IF(LEFT(IF($I$3="","",INDEX(인턴계획표[[정규화1]:[정규화6]],$Q602,$I$3)&amp;""),1)="⚠",IF($I$3="","",INDEX(인턴계획표[[정규화1]:[정규화6]],$Q602,$I$3)&amp;""),IFERROR(LEFT(IF($I$3="","",INDEX(인턴계획표[[정규화1]:[정규화6]],$Q602,$I$3)&amp;""),FIND(" ",IF($I$3="","",INDEX(인턴계획표[[정규화1]:[정규화6]],$Q602,$I$3)&amp;""))-1),IF($I$3="","",INDEX(인턴계획표[[정규화1]:[정규화6]],$Q602,$I$3)&amp;"")))))</f>
        <v/>
      </c>
      <c r="I602">
        <f>IF($Q602="","",IF(IF($I$3="","",INDEX(인턴계획표[[정규화1]:[정규화6]],$Q602,$I$3)&amp;"")="","",IF(LEFT(IF($I$3="","",INDEX(인턴계획표[[정규화1]:[정규화6]],$Q602,$I$3)&amp;""),1)="⚠","",IFERROR(MID(IF($I$3="","",INDEX(인턴계획표[[정규화1]:[정규화6]],$Q602,$I$3)&amp;""),FIND(" ",IF($I$3="","",INDEX(인턴계획표[[정규화1]:[정규화6]],$Q602,$I$3)&amp;""))+1,60),""))))</f>
        <v/>
      </c>
      <c r="J602">
        <f>IF($Q602="","",INDEX(인턴계획표[정규화1],$Q602))</f>
        <v/>
      </c>
      <c r="K602">
        <f>IF($Q602="","",INDEX(인턴계획표[정규화2],$Q602))</f>
        <v/>
      </c>
      <c r="L602">
        <f>IF($Q602="","",INDEX(인턴계획표[정규화3],$Q602))</f>
        <v/>
      </c>
      <c r="M602">
        <f>IF($Q602="","",INDEX(인턴계획표[정규화4],$Q602))</f>
        <v/>
      </c>
      <c r="N602">
        <f>IF($Q602="","",INDEX(인턴계획표[정규화5],$Q602))</f>
        <v/>
      </c>
      <c r="O602">
        <f>IF($Q602="","",INDEX(인턴계획표[정규화6],$Q602))</f>
        <v/>
      </c>
      <c r="P602">
        <f>IF($Q602="","",INDEX(인턴계획표[입력오류],$Q602))</f>
        <v/>
      </c>
      <c r="Q602" s="17">
        <f>IFERROR(MATCH(597,인턴계획표[표시순번],0),"")</f>
        <v/>
      </c>
    </row>
    <row r="603">
      <c r="A603">
        <f>IF($Q603="","",INDEX(인턴계획표[순번],$Q603)&amp;"")</f>
        <v/>
      </c>
      <c r="B603">
        <f>IF($Q603="","",TRIM(INDEX(인턴계획표[이름],$Q603)&amp;""))</f>
        <v/>
      </c>
      <c r="C603">
        <f>IF($Q603="","",INDEX(인턴계획표[사번],$Q603)&amp;"")</f>
        <v/>
      </c>
      <c r="D603">
        <f>IF($Q603="","",IF(COUNTIF(기본자료표[사번키],INDEX(인턴계획표[사번키],$Q603))&gt;0,"확인","미등록"))</f>
        <v/>
      </c>
      <c r="E603">
        <f>IF($Q603="","",IF(ISNUMBER(INDEX(인턴계획표[입사일(비고)],$Q603)),TEXT(INDEX(인턴계획표[입사일(비고)],$Q603),"yyyy-mm-dd"),INDEX(인턴계획표[입사일(비고)],$Q603)&amp;""))</f>
        <v/>
      </c>
      <c r="F603">
        <f>IF($Q603="","",IF(IF($G$3="","",INDEX(인턴계획표[[정규화1]:[정규화6]],$Q603,$G$3)&amp;"")="","",IF(LEFT(IF($G$3="","",INDEX(인턴계획표[[정규화1]:[정규화6]],$Q603,$G$3)&amp;""),1)="⚠",IF($G$3="","",INDEX(인턴계획표[[정규화1]:[정규화6]],$Q603,$G$3)&amp;""),IFERROR(LEFT(IF($G$3="","",INDEX(인턴계획표[[정규화1]:[정규화6]],$Q603,$G$3)&amp;""),FIND(" ",IF($G$3="","",INDEX(인턴계획표[[정규화1]:[정규화6]],$Q603,$G$3)&amp;""))-1),IF($G$3="","",INDEX(인턴계획표[[정규화1]:[정규화6]],$Q603,$G$3)&amp;"")))))</f>
        <v/>
      </c>
      <c r="G603">
        <f>IF($Q603="","",IF(IF($G$3="","",INDEX(인턴계획표[[정규화1]:[정규화6]],$Q603,$G$3)&amp;"")="","",IF(LEFT(IF($G$3="","",INDEX(인턴계획표[[정규화1]:[정규화6]],$Q603,$G$3)&amp;""),1)="⚠","",IFERROR(MID(IF($G$3="","",INDEX(인턴계획표[[정규화1]:[정규화6]],$Q603,$G$3)&amp;""),FIND(" ",IF($G$3="","",INDEX(인턴계획표[[정규화1]:[정규화6]],$Q603,$G$3)&amp;""))+1,60),""))))</f>
        <v/>
      </c>
      <c r="H603">
        <f>IF($Q603="","",IF(IF($I$3="","",INDEX(인턴계획표[[정규화1]:[정규화6]],$Q603,$I$3)&amp;"")="","",IF(LEFT(IF($I$3="","",INDEX(인턴계획표[[정규화1]:[정규화6]],$Q603,$I$3)&amp;""),1)="⚠",IF($I$3="","",INDEX(인턴계획표[[정규화1]:[정규화6]],$Q603,$I$3)&amp;""),IFERROR(LEFT(IF($I$3="","",INDEX(인턴계획표[[정규화1]:[정규화6]],$Q603,$I$3)&amp;""),FIND(" ",IF($I$3="","",INDEX(인턴계획표[[정규화1]:[정규화6]],$Q603,$I$3)&amp;""))-1),IF($I$3="","",INDEX(인턴계획표[[정규화1]:[정규화6]],$Q603,$I$3)&amp;"")))))</f>
        <v/>
      </c>
      <c r="I603">
        <f>IF($Q603="","",IF(IF($I$3="","",INDEX(인턴계획표[[정규화1]:[정규화6]],$Q603,$I$3)&amp;"")="","",IF(LEFT(IF($I$3="","",INDEX(인턴계획표[[정규화1]:[정규화6]],$Q603,$I$3)&amp;""),1)="⚠","",IFERROR(MID(IF($I$3="","",INDEX(인턴계획표[[정규화1]:[정규화6]],$Q603,$I$3)&amp;""),FIND(" ",IF($I$3="","",INDEX(인턴계획표[[정규화1]:[정규화6]],$Q603,$I$3)&amp;""))+1,60),""))))</f>
        <v/>
      </c>
      <c r="J603">
        <f>IF($Q603="","",INDEX(인턴계획표[정규화1],$Q603))</f>
        <v/>
      </c>
      <c r="K603">
        <f>IF($Q603="","",INDEX(인턴계획표[정규화2],$Q603))</f>
        <v/>
      </c>
      <c r="L603">
        <f>IF($Q603="","",INDEX(인턴계획표[정규화3],$Q603))</f>
        <v/>
      </c>
      <c r="M603">
        <f>IF($Q603="","",INDEX(인턴계획표[정규화4],$Q603))</f>
        <v/>
      </c>
      <c r="N603">
        <f>IF($Q603="","",INDEX(인턴계획표[정규화5],$Q603))</f>
        <v/>
      </c>
      <c r="O603">
        <f>IF($Q603="","",INDEX(인턴계획표[정규화6],$Q603))</f>
        <v/>
      </c>
      <c r="P603">
        <f>IF($Q603="","",INDEX(인턴계획표[입력오류],$Q603))</f>
        <v/>
      </c>
      <c r="Q603" s="17">
        <f>IFERROR(MATCH(598,인턴계획표[표시순번],0),"")</f>
        <v/>
      </c>
    </row>
    <row r="604">
      <c r="A604">
        <f>IF($Q604="","",INDEX(인턴계획표[순번],$Q604)&amp;"")</f>
        <v/>
      </c>
      <c r="B604">
        <f>IF($Q604="","",TRIM(INDEX(인턴계획표[이름],$Q604)&amp;""))</f>
        <v/>
      </c>
      <c r="C604">
        <f>IF($Q604="","",INDEX(인턴계획표[사번],$Q604)&amp;"")</f>
        <v/>
      </c>
      <c r="D604">
        <f>IF($Q604="","",IF(COUNTIF(기본자료표[사번키],INDEX(인턴계획표[사번키],$Q604))&gt;0,"확인","미등록"))</f>
        <v/>
      </c>
      <c r="E604">
        <f>IF($Q604="","",IF(ISNUMBER(INDEX(인턴계획표[입사일(비고)],$Q604)),TEXT(INDEX(인턴계획표[입사일(비고)],$Q604),"yyyy-mm-dd"),INDEX(인턴계획표[입사일(비고)],$Q604)&amp;""))</f>
        <v/>
      </c>
      <c r="F604">
        <f>IF($Q604="","",IF(IF($G$3="","",INDEX(인턴계획표[[정규화1]:[정규화6]],$Q604,$G$3)&amp;"")="","",IF(LEFT(IF($G$3="","",INDEX(인턴계획표[[정규화1]:[정규화6]],$Q604,$G$3)&amp;""),1)="⚠",IF($G$3="","",INDEX(인턴계획표[[정규화1]:[정규화6]],$Q604,$G$3)&amp;""),IFERROR(LEFT(IF($G$3="","",INDEX(인턴계획표[[정규화1]:[정규화6]],$Q604,$G$3)&amp;""),FIND(" ",IF($G$3="","",INDEX(인턴계획표[[정규화1]:[정규화6]],$Q604,$G$3)&amp;""))-1),IF($G$3="","",INDEX(인턴계획표[[정규화1]:[정규화6]],$Q604,$G$3)&amp;"")))))</f>
        <v/>
      </c>
      <c r="G604">
        <f>IF($Q604="","",IF(IF($G$3="","",INDEX(인턴계획표[[정규화1]:[정규화6]],$Q604,$G$3)&amp;"")="","",IF(LEFT(IF($G$3="","",INDEX(인턴계획표[[정규화1]:[정규화6]],$Q604,$G$3)&amp;""),1)="⚠","",IFERROR(MID(IF($G$3="","",INDEX(인턴계획표[[정규화1]:[정규화6]],$Q604,$G$3)&amp;""),FIND(" ",IF($G$3="","",INDEX(인턴계획표[[정규화1]:[정규화6]],$Q604,$G$3)&amp;""))+1,60),""))))</f>
        <v/>
      </c>
      <c r="H604">
        <f>IF($Q604="","",IF(IF($I$3="","",INDEX(인턴계획표[[정규화1]:[정규화6]],$Q604,$I$3)&amp;"")="","",IF(LEFT(IF($I$3="","",INDEX(인턴계획표[[정규화1]:[정규화6]],$Q604,$I$3)&amp;""),1)="⚠",IF($I$3="","",INDEX(인턴계획표[[정규화1]:[정규화6]],$Q604,$I$3)&amp;""),IFERROR(LEFT(IF($I$3="","",INDEX(인턴계획표[[정규화1]:[정규화6]],$Q604,$I$3)&amp;""),FIND(" ",IF($I$3="","",INDEX(인턴계획표[[정규화1]:[정규화6]],$Q604,$I$3)&amp;""))-1),IF($I$3="","",INDEX(인턴계획표[[정규화1]:[정규화6]],$Q604,$I$3)&amp;"")))))</f>
        <v/>
      </c>
      <c r="I604">
        <f>IF($Q604="","",IF(IF($I$3="","",INDEX(인턴계획표[[정규화1]:[정규화6]],$Q604,$I$3)&amp;"")="","",IF(LEFT(IF($I$3="","",INDEX(인턴계획표[[정규화1]:[정규화6]],$Q604,$I$3)&amp;""),1)="⚠","",IFERROR(MID(IF($I$3="","",INDEX(인턴계획표[[정규화1]:[정규화6]],$Q604,$I$3)&amp;""),FIND(" ",IF($I$3="","",INDEX(인턴계획표[[정규화1]:[정규화6]],$Q604,$I$3)&amp;""))+1,60),""))))</f>
        <v/>
      </c>
      <c r="J604">
        <f>IF($Q604="","",INDEX(인턴계획표[정규화1],$Q604))</f>
        <v/>
      </c>
      <c r="K604">
        <f>IF($Q604="","",INDEX(인턴계획표[정규화2],$Q604))</f>
        <v/>
      </c>
      <c r="L604">
        <f>IF($Q604="","",INDEX(인턴계획표[정규화3],$Q604))</f>
        <v/>
      </c>
      <c r="M604">
        <f>IF($Q604="","",INDEX(인턴계획표[정규화4],$Q604))</f>
        <v/>
      </c>
      <c r="N604">
        <f>IF($Q604="","",INDEX(인턴계획표[정규화5],$Q604))</f>
        <v/>
      </c>
      <c r="O604">
        <f>IF($Q604="","",INDEX(인턴계획표[정규화6],$Q604))</f>
        <v/>
      </c>
      <c r="P604">
        <f>IF($Q604="","",INDEX(인턴계획표[입력오류],$Q604))</f>
        <v/>
      </c>
      <c r="Q604" s="17">
        <f>IFERROR(MATCH(599,인턴계획표[표시순번],0),"")</f>
        <v/>
      </c>
    </row>
    <row r="605">
      <c r="A605">
        <f>IF($Q605="","",INDEX(인턴계획표[순번],$Q605)&amp;"")</f>
        <v/>
      </c>
      <c r="B605">
        <f>IF($Q605="","",TRIM(INDEX(인턴계획표[이름],$Q605)&amp;""))</f>
        <v/>
      </c>
      <c r="C605">
        <f>IF($Q605="","",INDEX(인턴계획표[사번],$Q605)&amp;"")</f>
        <v/>
      </c>
      <c r="D605">
        <f>IF($Q605="","",IF(COUNTIF(기본자료표[사번키],INDEX(인턴계획표[사번키],$Q605))&gt;0,"확인","미등록"))</f>
        <v/>
      </c>
      <c r="E605">
        <f>IF($Q605="","",IF(ISNUMBER(INDEX(인턴계획표[입사일(비고)],$Q605)),TEXT(INDEX(인턴계획표[입사일(비고)],$Q605),"yyyy-mm-dd"),INDEX(인턴계획표[입사일(비고)],$Q605)&amp;""))</f>
        <v/>
      </c>
      <c r="F605">
        <f>IF($Q605="","",IF(IF($G$3="","",INDEX(인턴계획표[[정규화1]:[정규화6]],$Q605,$G$3)&amp;"")="","",IF(LEFT(IF($G$3="","",INDEX(인턴계획표[[정규화1]:[정규화6]],$Q605,$G$3)&amp;""),1)="⚠",IF($G$3="","",INDEX(인턴계획표[[정규화1]:[정규화6]],$Q605,$G$3)&amp;""),IFERROR(LEFT(IF($G$3="","",INDEX(인턴계획표[[정규화1]:[정규화6]],$Q605,$G$3)&amp;""),FIND(" ",IF($G$3="","",INDEX(인턴계획표[[정규화1]:[정규화6]],$Q605,$G$3)&amp;""))-1),IF($G$3="","",INDEX(인턴계획표[[정규화1]:[정규화6]],$Q605,$G$3)&amp;"")))))</f>
        <v/>
      </c>
      <c r="G605">
        <f>IF($Q605="","",IF(IF($G$3="","",INDEX(인턴계획표[[정규화1]:[정규화6]],$Q605,$G$3)&amp;"")="","",IF(LEFT(IF($G$3="","",INDEX(인턴계획표[[정규화1]:[정규화6]],$Q605,$G$3)&amp;""),1)="⚠","",IFERROR(MID(IF($G$3="","",INDEX(인턴계획표[[정규화1]:[정규화6]],$Q605,$G$3)&amp;""),FIND(" ",IF($G$3="","",INDEX(인턴계획표[[정규화1]:[정규화6]],$Q605,$G$3)&amp;""))+1,60),""))))</f>
        <v/>
      </c>
      <c r="H605">
        <f>IF($Q605="","",IF(IF($I$3="","",INDEX(인턴계획표[[정규화1]:[정규화6]],$Q605,$I$3)&amp;"")="","",IF(LEFT(IF($I$3="","",INDEX(인턴계획표[[정규화1]:[정규화6]],$Q605,$I$3)&amp;""),1)="⚠",IF($I$3="","",INDEX(인턴계획표[[정규화1]:[정규화6]],$Q605,$I$3)&amp;""),IFERROR(LEFT(IF($I$3="","",INDEX(인턴계획표[[정규화1]:[정규화6]],$Q605,$I$3)&amp;""),FIND(" ",IF($I$3="","",INDEX(인턴계획표[[정규화1]:[정규화6]],$Q605,$I$3)&amp;""))-1),IF($I$3="","",INDEX(인턴계획표[[정규화1]:[정규화6]],$Q605,$I$3)&amp;"")))))</f>
        <v/>
      </c>
      <c r="I605">
        <f>IF($Q605="","",IF(IF($I$3="","",INDEX(인턴계획표[[정규화1]:[정규화6]],$Q605,$I$3)&amp;"")="","",IF(LEFT(IF($I$3="","",INDEX(인턴계획표[[정규화1]:[정규화6]],$Q605,$I$3)&amp;""),1)="⚠","",IFERROR(MID(IF($I$3="","",INDEX(인턴계획표[[정규화1]:[정규화6]],$Q605,$I$3)&amp;""),FIND(" ",IF($I$3="","",INDEX(인턴계획표[[정규화1]:[정규화6]],$Q605,$I$3)&amp;""))+1,60),""))))</f>
        <v/>
      </c>
      <c r="J605">
        <f>IF($Q605="","",INDEX(인턴계획표[정규화1],$Q605))</f>
        <v/>
      </c>
      <c r="K605">
        <f>IF($Q605="","",INDEX(인턴계획표[정규화2],$Q605))</f>
        <v/>
      </c>
      <c r="L605">
        <f>IF($Q605="","",INDEX(인턴계획표[정규화3],$Q605))</f>
        <v/>
      </c>
      <c r="M605">
        <f>IF($Q605="","",INDEX(인턴계획표[정규화4],$Q605))</f>
        <v/>
      </c>
      <c r="N605">
        <f>IF($Q605="","",INDEX(인턴계획표[정규화5],$Q605))</f>
        <v/>
      </c>
      <c r="O605">
        <f>IF($Q605="","",INDEX(인턴계획표[정규화6],$Q605))</f>
        <v/>
      </c>
      <c r="P605">
        <f>IF($Q605="","",INDEX(인턴계획표[입력오류],$Q605))</f>
        <v/>
      </c>
      <c r="Q605" s="17">
        <f>IFERROR(MATCH(600,인턴계획표[표시순번],0),"")</f>
        <v/>
      </c>
    </row>
  </sheetData>
  <conditionalFormatting sqref="D6:D605">
    <cfRule type="expression" priority="1" dxfId="0">
      <formula>$D6="미등록"</formula>
    </cfRule>
  </conditionalFormatting>
  <conditionalFormatting sqref="J6:O605">
    <cfRule type="expression" priority="2" dxfId="8">
      <formula>LEFT(J6,1)="⚠"</formula>
    </cfRule>
  </conditionalFormatting>
  <conditionalFormatting sqref="J5:O605">
    <cfRule type="expression" priority="3" dxfId="6">
      <formula>J$3=MONTH(TODAY())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10" customWidth="1" min="5" max="5"/>
    <col width="10" customWidth="1" min="6" max="6"/>
    <col width="11" customWidth="1" min="7" max="7"/>
    <col width="13" customWidth="1" min="8" max="8"/>
    <col width="40" customWidth="1" min="9" max="9"/>
    <col width="6" customWidth="1" min="10" max="10"/>
  </cols>
  <sheetData>
    <row r="1">
      <c r="A1" s="1" t="inlineStr">
        <is>
          <t>기관명단 (급여 기준월 기준) — 시간외근무 판정 파일의 입력_기관명단에 값으로 붙여넣기</t>
        </is>
      </c>
    </row>
    <row r="2">
      <c r="A2" s="17" t="inlineStr">
        <is>
          <t>※ 아래 '복사할 범위'만 복사 → 시간외 판정 파일 입력_기관명단의 표 아래에 '값 붙여넣기'(빈 행까지 복사하면 표가 쓸데없이 늘어납니다). 전월·대상월·익월이 필요하면 설정_코드표의 급여 기준월을 바꿔 가며 반복하세요.</t>
        </is>
      </c>
    </row>
    <row r="3">
      <c r="A3" s="3" t="inlineStr">
        <is>
          <t>복사할 범위</t>
        </is>
      </c>
      <c r="B3" s="30">
        <f>IF(COUNT($J$5:$J$1004)=0,"없음","A5:I"&amp;(4+COUNT($J$5:$J$1004)))</f>
        <v/>
      </c>
      <c r="D3" s="16">
        <f>IF(SUMPRODUCT(--(TRIM(명단표[사번]&amp;"")&lt;&gt;""))&gt;1000,"⚠ 표시 한도(1000명) 초과","")</f>
        <v/>
      </c>
    </row>
    <row r="4" ht="30" customHeight="1">
      <c r="A4" s="4" t="inlineStr">
        <is>
          <t>기준월</t>
        </is>
      </c>
      <c r="B4" s="4" t="inlineStr">
        <is>
          <t>사번</t>
        </is>
      </c>
      <c r="C4" s="4" t="inlineStr">
        <is>
          <t>이름</t>
        </is>
      </c>
      <c r="D4" s="4" t="inlineStr">
        <is>
          <t>수련과목</t>
        </is>
      </c>
      <c r="E4" s="4" t="inlineStr">
        <is>
          <t>연차</t>
        </is>
      </c>
      <c r="F4" s="4" t="inlineStr">
        <is>
          <t>소속병원</t>
        </is>
      </c>
      <c r="G4" s="4" t="inlineStr">
        <is>
          <t>기준월 근무병원</t>
        </is>
      </c>
      <c r="H4" s="4" t="inlineStr">
        <is>
          <t>급여지급병원(기준월)</t>
        </is>
      </c>
      <c r="I4" s="4" t="inlineStr">
        <is>
          <t>급여 판정 근거</t>
        </is>
      </c>
      <c r="J4" s="18" t="inlineStr">
        <is>
          <t>(명단 행)</t>
        </is>
      </c>
    </row>
    <row r="5">
      <c r="A5">
        <f>IF($J5="","명단 없음",TEXT(급여기준월,"yyyy-mm"))</f>
        <v/>
      </c>
      <c r="B5">
        <f>IF($J5="","",INDEX(명단표[사번],$J5)&amp;"")</f>
        <v/>
      </c>
      <c r="C5">
        <f>IF($J5="","",INDEX(명단표[이름],$J5))</f>
        <v/>
      </c>
      <c r="D5">
        <f>IF($J5="","",INDEX(명단표[수련과목],$J5))</f>
        <v/>
      </c>
      <c r="E5">
        <f>IF($J5="","",INDEX(명단표[연차],$J5)&amp;"")</f>
        <v/>
      </c>
      <c r="F5">
        <f>IF($J5="","",INDEX(명단표[소속병원],$J5))</f>
        <v/>
      </c>
      <c r="G5">
        <f>IF($J5="","",INDEX(명단표[기준월 근무병원],$J5))</f>
        <v/>
      </c>
      <c r="H5">
        <f>IF($J5="","",INDEX(명단표[급여지급병원(기준월)],$J5))</f>
        <v/>
      </c>
      <c r="I5">
        <f>IF($J5="","",INDEX(명단표[급여 판정 근거],$J5))</f>
        <v/>
      </c>
      <c r="J5" s="17">
        <f>IFERROR(MATCH(1,명단표[명단순번],0),"")</f>
        <v/>
      </c>
    </row>
    <row r="6">
      <c r="A6">
        <f>IF($J6="","",TEXT(급여기준월,"yyyy-mm"))</f>
        <v/>
      </c>
      <c r="B6">
        <f>IF($J6="","",INDEX(명단표[사번],$J6)&amp;"")</f>
        <v/>
      </c>
      <c r="C6">
        <f>IF($J6="","",INDEX(명단표[이름],$J6))</f>
        <v/>
      </c>
      <c r="D6">
        <f>IF($J6="","",INDEX(명단표[수련과목],$J6))</f>
        <v/>
      </c>
      <c r="E6">
        <f>IF($J6="","",INDEX(명단표[연차],$J6)&amp;"")</f>
        <v/>
      </c>
      <c r="F6">
        <f>IF($J6="","",INDEX(명단표[소속병원],$J6))</f>
        <v/>
      </c>
      <c r="G6">
        <f>IF($J6="","",INDEX(명단표[기준월 근무병원],$J6))</f>
        <v/>
      </c>
      <c r="H6">
        <f>IF($J6="","",INDEX(명단표[급여지급병원(기준월)],$J6))</f>
        <v/>
      </c>
      <c r="I6">
        <f>IF($J6="","",INDEX(명단표[급여 판정 근거],$J6))</f>
        <v/>
      </c>
      <c r="J6" s="17">
        <f>IFERROR(MATCH(2,명단표[명단순번],0),"")</f>
        <v/>
      </c>
    </row>
    <row r="7">
      <c r="A7">
        <f>IF($J7="","",TEXT(급여기준월,"yyyy-mm"))</f>
        <v/>
      </c>
      <c r="B7">
        <f>IF($J7="","",INDEX(명단표[사번],$J7)&amp;"")</f>
        <v/>
      </c>
      <c r="C7">
        <f>IF($J7="","",INDEX(명단표[이름],$J7))</f>
        <v/>
      </c>
      <c r="D7">
        <f>IF($J7="","",INDEX(명단표[수련과목],$J7))</f>
        <v/>
      </c>
      <c r="E7">
        <f>IF($J7="","",INDEX(명단표[연차],$J7)&amp;"")</f>
        <v/>
      </c>
      <c r="F7">
        <f>IF($J7="","",INDEX(명단표[소속병원],$J7))</f>
        <v/>
      </c>
      <c r="G7">
        <f>IF($J7="","",INDEX(명단표[기준월 근무병원],$J7))</f>
        <v/>
      </c>
      <c r="H7">
        <f>IF($J7="","",INDEX(명단표[급여지급병원(기준월)],$J7))</f>
        <v/>
      </c>
      <c r="I7">
        <f>IF($J7="","",INDEX(명단표[급여 판정 근거],$J7))</f>
        <v/>
      </c>
      <c r="J7" s="17">
        <f>IFERROR(MATCH(3,명단표[명단순번],0),"")</f>
        <v/>
      </c>
    </row>
    <row r="8">
      <c r="A8">
        <f>IF($J8="","",TEXT(급여기준월,"yyyy-mm"))</f>
        <v/>
      </c>
      <c r="B8">
        <f>IF($J8="","",INDEX(명단표[사번],$J8)&amp;"")</f>
        <v/>
      </c>
      <c r="C8">
        <f>IF($J8="","",INDEX(명단표[이름],$J8))</f>
        <v/>
      </c>
      <c r="D8">
        <f>IF($J8="","",INDEX(명단표[수련과목],$J8))</f>
        <v/>
      </c>
      <c r="E8">
        <f>IF($J8="","",INDEX(명단표[연차],$J8)&amp;"")</f>
        <v/>
      </c>
      <c r="F8">
        <f>IF($J8="","",INDEX(명단표[소속병원],$J8))</f>
        <v/>
      </c>
      <c r="G8">
        <f>IF($J8="","",INDEX(명단표[기준월 근무병원],$J8))</f>
        <v/>
      </c>
      <c r="H8">
        <f>IF($J8="","",INDEX(명단표[급여지급병원(기준월)],$J8))</f>
        <v/>
      </c>
      <c r="I8">
        <f>IF($J8="","",INDEX(명단표[급여 판정 근거],$J8))</f>
        <v/>
      </c>
      <c r="J8" s="17">
        <f>IFERROR(MATCH(4,명단표[명단순번],0),"")</f>
        <v/>
      </c>
    </row>
    <row r="9">
      <c r="A9">
        <f>IF($J9="","",TEXT(급여기준월,"yyyy-mm"))</f>
        <v/>
      </c>
      <c r="B9">
        <f>IF($J9="","",INDEX(명단표[사번],$J9)&amp;"")</f>
        <v/>
      </c>
      <c r="C9">
        <f>IF($J9="","",INDEX(명단표[이름],$J9))</f>
        <v/>
      </c>
      <c r="D9">
        <f>IF($J9="","",INDEX(명단표[수련과목],$J9))</f>
        <v/>
      </c>
      <c r="E9">
        <f>IF($J9="","",INDEX(명단표[연차],$J9)&amp;"")</f>
        <v/>
      </c>
      <c r="F9">
        <f>IF($J9="","",INDEX(명단표[소속병원],$J9))</f>
        <v/>
      </c>
      <c r="G9">
        <f>IF($J9="","",INDEX(명단표[기준월 근무병원],$J9))</f>
        <v/>
      </c>
      <c r="H9">
        <f>IF($J9="","",INDEX(명단표[급여지급병원(기준월)],$J9))</f>
        <v/>
      </c>
      <c r="I9">
        <f>IF($J9="","",INDEX(명단표[급여 판정 근거],$J9))</f>
        <v/>
      </c>
      <c r="J9" s="17">
        <f>IFERROR(MATCH(5,명단표[명단순번],0),"")</f>
        <v/>
      </c>
    </row>
    <row r="10">
      <c r="A10">
        <f>IF($J10="","",TEXT(급여기준월,"yyyy-mm"))</f>
        <v/>
      </c>
      <c r="B10">
        <f>IF($J10="","",INDEX(명단표[사번],$J10)&amp;"")</f>
        <v/>
      </c>
      <c r="C10">
        <f>IF($J10="","",INDEX(명단표[이름],$J10))</f>
        <v/>
      </c>
      <c r="D10">
        <f>IF($J10="","",INDEX(명단표[수련과목],$J10))</f>
        <v/>
      </c>
      <c r="E10">
        <f>IF($J10="","",INDEX(명단표[연차],$J10)&amp;"")</f>
        <v/>
      </c>
      <c r="F10">
        <f>IF($J10="","",INDEX(명단표[소속병원],$J10))</f>
        <v/>
      </c>
      <c r="G10">
        <f>IF($J10="","",INDEX(명단표[기준월 근무병원],$J10))</f>
        <v/>
      </c>
      <c r="H10">
        <f>IF($J10="","",INDEX(명단표[급여지급병원(기준월)],$J10))</f>
        <v/>
      </c>
      <c r="I10">
        <f>IF($J10="","",INDEX(명단표[급여 판정 근거],$J10))</f>
        <v/>
      </c>
      <c r="J10" s="17">
        <f>IFERROR(MATCH(6,명단표[명단순번],0),"")</f>
        <v/>
      </c>
    </row>
    <row r="11">
      <c r="A11">
        <f>IF($J11="","",TEXT(급여기준월,"yyyy-mm"))</f>
        <v/>
      </c>
      <c r="B11">
        <f>IF($J11="","",INDEX(명단표[사번],$J11)&amp;"")</f>
        <v/>
      </c>
      <c r="C11">
        <f>IF($J11="","",INDEX(명단표[이름],$J11))</f>
        <v/>
      </c>
      <c r="D11">
        <f>IF($J11="","",INDEX(명단표[수련과목],$J11))</f>
        <v/>
      </c>
      <c r="E11">
        <f>IF($J11="","",INDEX(명단표[연차],$J11)&amp;"")</f>
        <v/>
      </c>
      <c r="F11">
        <f>IF($J11="","",INDEX(명단표[소속병원],$J11))</f>
        <v/>
      </c>
      <c r="G11">
        <f>IF($J11="","",INDEX(명단표[기준월 근무병원],$J11))</f>
        <v/>
      </c>
      <c r="H11">
        <f>IF($J11="","",INDEX(명단표[급여지급병원(기준월)],$J11))</f>
        <v/>
      </c>
      <c r="I11">
        <f>IF($J11="","",INDEX(명단표[급여 판정 근거],$J11))</f>
        <v/>
      </c>
      <c r="J11" s="17">
        <f>IFERROR(MATCH(7,명단표[명단순번],0),"")</f>
        <v/>
      </c>
    </row>
    <row r="12">
      <c r="A12">
        <f>IF($J12="","",TEXT(급여기준월,"yyyy-mm"))</f>
        <v/>
      </c>
      <c r="B12">
        <f>IF($J12="","",INDEX(명단표[사번],$J12)&amp;"")</f>
        <v/>
      </c>
      <c r="C12">
        <f>IF($J12="","",INDEX(명단표[이름],$J12))</f>
        <v/>
      </c>
      <c r="D12">
        <f>IF($J12="","",INDEX(명단표[수련과목],$J12))</f>
        <v/>
      </c>
      <c r="E12">
        <f>IF($J12="","",INDEX(명단표[연차],$J12)&amp;"")</f>
        <v/>
      </c>
      <c r="F12">
        <f>IF($J12="","",INDEX(명단표[소속병원],$J12))</f>
        <v/>
      </c>
      <c r="G12">
        <f>IF($J12="","",INDEX(명단표[기준월 근무병원],$J12))</f>
        <v/>
      </c>
      <c r="H12">
        <f>IF($J12="","",INDEX(명단표[급여지급병원(기준월)],$J12))</f>
        <v/>
      </c>
      <c r="I12">
        <f>IF($J12="","",INDEX(명단표[급여 판정 근거],$J12))</f>
        <v/>
      </c>
      <c r="J12" s="17">
        <f>IFERROR(MATCH(8,명단표[명단순번],0),"")</f>
        <v/>
      </c>
    </row>
    <row r="13">
      <c r="A13">
        <f>IF($J13="","",TEXT(급여기준월,"yyyy-mm"))</f>
        <v/>
      </c>
      <c r="B13">
        <f>IF($J13="","",INDEX(명단표[사번],$J13)&amp;"")</f>
        <v/>
      </c>
      <c r="C13">
        <f>IF($J13="","",INDEX(명단표[이름],$J13))</f>
        <v/>
      </c>
      <c r="D13">
        <f>IF($J13="","",INDEX(명단표[수련과목],$J13))</f>
        <v/>
      </c>
      <c r="E13">
        <f>IF($J13="","",INDEX(명단표[연차],$J13)&amp;"")</f>
        <v/>
      </c>
      <c r="F13">
        <f>IF($J13="","",INDEX(명단표[소속병원],$J13))</f>
        <v/>
      </c>
      <c r="G13">
        <f>IF($J13="","",INDEX(명단표[기준월 근무병원],$J13))</f>
        <v/>
      </c>
      <c r="H13">
        <f>IF($J13="","",INDEX(명단표[급여지급병원(기준월)],$J13))</f>
        <v/>
      </c>
      <c r="I13">
        <f>IF($J13="","",INDEX(명단표[급여 판정 근거],$J13))</f>
        <v/>
      </c>
      <c r="J13" s="17">
        <f>IFERROR(MATCH(9,명단표[명단순번],0),"")</f>
        <v/>
      </c>
    </row>
    <row r="14">
      <c r="A14">
        <f>IF($J14="","",TEXT(급여기준월,"yyyy-mm"))</f>
        <v/>
      </c>
      <c r="B14">
        <f>IF($J14="","",INDEX(명단표[사번],$J14)&amp;"")</f>
        <v/>
      </c>
      <c r="C14">
        <f>IF($J14="","",INDEX(명단표[이름],$J14))</f>
        <v/>
      </c>
      <c r="D14">
        <f>IF($J14="","",INDEX(명단표[수련과목],$J14))</f>
        <v/>
      </c>
      <c r="E14">
        <f>IF($J14="","",INDEX(명단표[연차],$J14)&amp;"")</f>
        <v/>
      </c>
      <c r="F14">
        <f>IF($J14="","",INDEX(명단표[소속병원],$J14))</f>
        <v/>
      </c>
      <c r="G14">
        <f>IF($J14="","",INDEX(명단표[기준월 근무병원],$J14))</f>
        <v/>
      </c>
      <c r="H14">
        <f>IF($J14="","",INDEX(명단표[급여지급병원(기준월)],$J14))</f>
        <v/>
      </c>
      <c r="I14">
        <f>IF($J14="","",INDEX(명단표[급여 판정 근거],$J14))</f>
        <v/>
      </c>
      <c r="J14" s="17">
        <f>IFERROR(MATCH(10,명단표[명단순번],0),"")</f>
        <v/>
      </c>
    </row>
    <row r="15">
      <c r="A15">
        <f>IF($J15="","",TEXT(급여기준월,"yyyy-mm"))</f>
        <v/>
      </c>
      <c r="B15">
        <f>IF($J15="","",INDEX(명단표[사번],$J15)&amp;"")</f>
        <v/>
      </c>
      <c r="C15">
        <f>IF($J15="","",INDEX(명단표[이름],$J15))</f>
        <v/>
      </c>
      <c r="D15">
        <f>IF($J15="","",INDEX(명단표[수련과목],$J15))</f>
        <v/>
      </c>
      <c r="E15">
        <f>IF($J15="","",INDEX(명단표[연차],$J15)&amp;"")</f>
        <v/>
      </c>
      <c r="F15">
        <f>IF($J15="","",INDEX(명단표[소속병원],$J15))</f>
        <v/>
      </c>
      <c r="G15">
        <f>IF($J15="","",INDEX(명단표[기준월 근무병원],$J15))</f>
        <v/>
      </c>
      <c r="H15">
        <f>IF($J15="","",INDEX(명단표[급여지급병원(기준월)],$J15))</f>
        <v/>
      </c>
      <c r="I15">
        <f>IF($J15="","",INDEX(명단표[급여 판정 근거],$J15))</f>
        <v/>
      </c>
      <c r="J15" s="17">
        <f>IFERROR(MATCH(11,명단표[명단순번],0),"")</f>
        <v/>
      </c>
    </row>
    <row r="16">
      <c r="A16">
        <f>IF($J16="","",TEXT(급여기준월,"yyyy-mm"))</f>
        <v/>
      </c>
      <c r="B16">
        <f>IF($J16="","",INDEX(명단표[사번],$J16)&amp;"")</f>
        <v/>
      </c>
      <c r="C16">
        <f>IF($J16="","",INDEX(명단표[이름],$J16))</f>
        <v/>
      </c>
      <c r="D16">
        <f>IF($J16="","",INDEX(명단표[수련과목],$J16))</f>
        <v/>
      </c>
      <c r="E16">
        <f>IF($J16="","",INDEX(명단표[연차],$J16)&amp;"")</f>
        <v/>
      </c>
      <c r="F16">
        <f>IF($J16="","",INDEX(명단표[소속병원],$J16))</f>
        <v/>
      </c>
      <c r="G16">
        <f>IF($J16="","",INDEX(명단표[기준월 근무병원],$J16))</f>
        <v/>
      </c>
      <c r="H16">
        <f>IF($J16="","",INDEX(명단표[급여지급병원(기준월)],$J16))</f>
        <v/>
      </c>
      <c r="I16">
        <f>IF($J16="","",INDEX(명단표[급여 판정 근거],$J16))</f>
        <v/>
      </c>
      <c r="J16" s="17">
        <f>IFERROR(MATCH(12,명단표[명단순번],0),"")</f>
        <v/>
      </c>
    </row>
    <row r="17">
      <c r="A17">
        <f>IF($J17="","",TEXT(급여기준월,"yyyy-mm"))</f>
        <v/>
      </c>
      <c r="B17">
        <f>IF($J17="","",INDEX(명단표[사번],$J17)&amp;"")</f>
        <v/>
      </c>
      <c r="C17">
        <f>IF($J17="","",INDEX(명단표[이름],$J17))</f>
        <v/>
      </c>
      <c r="D17">
        <f>IF($J17="","",INDEX(명단표[수련과목],$J17))</f>
        <v/>
      </c>
      <c r="E17">
        <f>IF($J17="","",INDEX(명단표[연차],$J17)&amp;"")</f>
        <v/>
      </c>
      <c r="F17">
        <f>IF($J17="","",INDEX(명단표[소속병원],$J17))</f>
        <v/>
      </c>
      <c r="G17">
        <f>IF($J17="","",INDEX(명단표[기준월 근무병원],$J17))</f>
        <v/>
      </c>
      <c r="H17">
        <f>IF($J17="","",INDEX(명단표[급여지급병원(기준월)],$J17))</f>
        <v/>
      </c>
      <c r="I17">
        <f>IF($J17="","",INDEX(명단표[급여 판정 근거],$J17))</f>
        <v/>
      </c>
      <c r="J17" s="17">
        <f>IFERROR(MATCH(13,명단표[명단순번],0),"")</f>
        <v/>
      </c>
    </row>
    <row r="18">
      <c r="A18">
        <f>IF($J18="","",TEXT(급여기준월,"yyyy-mm"))</f>
        <v/>
      </c>
      <c r="B18">
        <f>IF($J18="","",INDEX(명단표[사번],$J18)&amp;"")</f>
        <v/>
      </c>
      <c r="C18">
        <f>IF($J18="","",INDEX(명단표[이름],$J18))</f>
        <v/>
      </c>
      <c r="D18">
        <f>IF($J18="","",INDEX(명단표[수련과목],$J18))</f>
        <v/>
      </c>
      <c r="E18">
        <f>IF($J18="","",INDEX(명단표[연차],$J18)&amp;"")</f>
        <v/>
      </c>
      <c r="F18">
        <f>IF($J18="","",INDEX(명단표[소속병원],$J18))</f>
        <v/>
      </c>
      <c r="G18">
        <f>IF($J18="","",INDEX(명단표[기준월 근무병원],$J18))</f>
        <v/>
      </c>
      <c r="H18">
        <f>IF($J18="","",INDEX(명단표[급여지급병원(기준월)],$J18))</f>
        <v/>
      </c>
      <c r="I18">
        <f>IF($J18="","",INDEX(명단표[급여 판정 근거],$J18))</f>
        <v/>
      </c>
      <c r="J18" s="17">
        <f>IFERROR(MATCH(14,명단표[명단순번],0),"")</f>
        <v/>
      </c>
    </row>
    <row r="19">
      <c r="A19">
        <f>IF($J19="","",TEXT(급여기준월,"yyyy-mm"))</f>
        <v/>
      </c>
      <c r="B19">
        <f>IF($J19="","",INDEX(명단표[사번],$J19)&amp;"")</f>
        <v/>
      </c>
      <c r="C19">
        <f>IF($J19="","",INDEX(명단표[이름],$J19))</f>
        <v/>
      </c>
      <c r="D19">
        <f>IF($J19="","",INDEX(명단표[수련과목],$J19))</f>
        <v/>
      </c>
      <c r="E19">
        <f>IF($J19="","",INDEX(명단표[연차],$J19)&amp;"")</f>
        <v/>
      </c>
      <c r="F19">
        <f>IF($J19="","",INDEX(명단표[소속병원],$J19))</f>
        <v/>
      </c>
      <c r="G19">
        <f>IF($J19="","",INDEX(명단표[기준월 근무병원],$J19))</f>
        <v/>
      </c>
      <c r="H19">
        <f>IF($J19="","",INDEX(명단표[급여지급병원(기준월)],$J19))</f>
        <v/>
      </c>
      <c r="I19">
        <f>IF($J19="","",INDEX(명단표[급여 판정 근거],$J19))</f>
        <v/>
      </c>
      <c r="J19" s="17">
        <f>IFERROR(MATCH(15,명단표[명단순번],0),"")</f>
        <v/>
      </c>
    </row>
    <row r="20">
      <c r="A20">
        <f>IF($J20="","",TEXT(급여기준월,"yyyy-mm"))</f>
        <v/>
      </c>
      <c r="B20">
        <f>IF($J20="","",INDEX(명단표[사번],$J20)&amp;"")</f>
        <v/>
      </c>
      <c r="C20">
        <f>IF($J20="","",INDEX(명단표[이름],$J20))</f>
        <v/>
      </c>
      <c r="D20">
        <f>IF($J20="","",INDEX(명단표[수련과목],$J20))</f>
        <v/>
      </c>
      <c r="E20">
        <f>IF($J20="","",INDEX(명단표[연차],$J20)&amp;"")</f>
        <v/>
      </c>
      <c r="F20">
        <f>IF($J20="","",INDEX(명단표[소속병원],$J20))</f>
        <v/>
      </c>
      <c r="G20">
        <f>IF($J20="","",INDEX(명단표[기준월 근무병원],$J20))</f>
        <v/>
      </c>
      <c r="H20">
        <f>IF($J20="","",INDEX(명단표[급여지급병원(기준월)],$J20))</f>
        <v/>
      </c>
      <c r="I20">
        <f>IF($J20="","",INDEX(명단표[급여 판정 근거],$J20))</f>
        <v/>
      </c>
      <c r="J20" s="17">
        <f>IFERROR(MATCH(16,명단표[명단순번],0),"")</f>
        <v/>
      </c>
    </row>
    <row r="21">
      <c r="A21">
        <f>IF($J21="","",TEXT(급여기준월,"yyyy-mm"))</f>
        <v/>
      </c>
      <c r="B21">
        <f>IF($J21="","",INDEX(명단표[사번],$J21)&amp;"")</f>
        <v/>
      </c>
      <c r="C21">
        <f>IF($J21="","",INDEX(명단표[이름],$J21))</f>
        <v/>
      </c>
      <c r="D21">
        <f>IF($J21="","",INDEX(명단표[수련과목],$J21))</f>
        <v/>
      </c>
      <c r="E21">
        <f>IF($J21="","",INDEX(명단표[연차],$J21)&amp;"")</f>
        <v/>
      </c>
      <c r="F21">
        <f>IF($J21="","",INDEX(명단표[소속병원],$J21))</f>
        <v/>
      </c>
      <c r="G21">
        <f>IF($J21="","",INDEX(명단표[기준월 근무병원],$J21))</f>
        <v/>
      </c>
      <c r="H21">
        <f>IF($J21="","",INDEX(명단표[급여지급병원(기준월)],$J21))</f>
        <v/>
      </c>
      <c r="I21">
        <f>IF($J21="","",INDEX(명단표[급여 판정 근거],$J21))</f>
        <v/>
      </c>
      <c r="J21" s="17">
        <f>IFERROR(MATCH(17,명단표[명단순번],0),"")</f>
        <v/>
      </c>
    </row>
    <row r="22">
      <c r="A22">
        <f>IF($J22="","",TEXT(급여기준월,"yyyy-mm"))</f>
        <v/>
      </c>
      <c r="B22">
        <f>IF($J22="","",INDEX(명단표[사번],$J22)&amp;"")</f>
        <v/>
      </c>
      <c r="C22">
        <f>IF($J22="","",INDEX(명단표[이름],$J22))</f>
        <v/>
      </c>
      <c r="D22">
        <f>IF($J22="","",INDEX(명단표[수련과목],$J22))</f>
        <v/>
      </c>
      <c r="E22">
        <f>IF($J22="","",INDEX(명단표[연차],$J22)&amp;"")</f>
        <v/>
      </c>
      <c r="F22">
        <f>IF($J22="","",INDEX(명단표[소속병원],$J22))</f>
        <v/>
      </c>
      <c r="G22">
        <f>IF($J22="","",INDEX(명단표[기준월 근무병원],$J22))</f>
        <v/>
      </c>
      <c r="H22">
        <f>IF($J22="","",INDEX(명단표[급여지급병원(기준월)],$J22))</f>
        <v/>
      </c>
      <c r="I22">
        <f>IF($J22="","",INDEX(명단표[급여 판정 근거],$J22))</f>
        <v/>
      </c>
      <c r="J22" s="17">
        <f>IFERROR(MATCH(18,명단표[명단순번],0),"")</f>
        <v/>
      </c>
    </row>
    <row r="23">
      <c r="A23">
        <f>IF($J23="","",TEXT(급여기준월,"yyyy-mm"))</f>
        <v/>
      </c>
      <c r="B23">
        <f>IF($J23="","",INDEX(명단표[사번],$J23)&amp;"")</f>
        <v/>
      </c>
      <c r="C23">
        <f>IF($J23="","",INDEX(명단표[이름],$J23))</f>
        <v/>
      </c>
      <c r="D23">
        <f>IF($J23="","",INDEX(명단표[수련과목],$J23))</f>
        <v/>
      </c>
      <c r="E23">
        <f>IF($J23="","",INDEX(명단표[연차],$J23)&amp;"")</f>
        <v/>
      </c>
      <c r="F23">
        <f>IF($J23="","",INDEX(명단표[소속병원],$J23))</f>
        <v/>
      </c>
      <c r="G23">
        <f>IF($J23="","",INDEX(명단표[기준월 근무병원],$J23))</f>
        <v/>
      </c>
      <c r="H23">
        <f>IF($J23="","",INDEX(명단표[급여지급병원(기준월)],$J23))</f>
        <v/>
      </c>
      <c r="I23">
        <f>IF($J23="","",INDEX(명단표[급여 판정 근거],$J23))</f>
        <v/>
      </c>
      <c r="J23" s="17">
        <f>IFERROR(MATCH(19,명단표[명단순번],0),"")</f>
        <v/>
      </c>
    </row>
    <row r="24">
      <c r="A24">
        <f>IF($J24="","",TEXT(급여기준월,"yyyy-mm"))</f>
        <v/>
      </c>
      <c r="B24">
        <f>IF($J24="","",INDEX(명단표[사번],$J24)&amp;"")</f>
        <v/>
      </c>
      <c r="C24">
        <f>IF($J24="","",INDEX(명단표[이름],$J24))</f>
        <v/>
      </c>
      <c r="D24">
        <f>IF($J24="","",INDEX(명단표[수련과목],$J24))</f>
        <v/>
      </c>
      <c r="E24">
        <f>IF($J24="","",INDEX(명단표[연차],$J24)&amp;"")</f>
        <v/>
      </c>
      <c r="F24">
        <f>IF($J24="","",INDEX(명단표[소속병원],$J24))</f>
        <v/>
      </c>
      <c r="G24">
        <f>IF($J24="","",INDEX(명단표[기준월 근무병원],$J24))</f>
        <v/>
      </c>
      <c r="H24">
        <f>IF($J24="","",INDEX(명단표[급여지급병원(기준월)],$J24))</f>
        <v/>
      </c>
      <c r="I24">
        <f>IF($J24="","",INDEX(명단표[급여 판정 근거],$J24))</f>
        <v/>
      </c>
      <c r="J24" s="17">
        <f>IFERROR(MATCH(20,명단표[명단순번],0),"")</f>
        <v/>
      </c>
    </row>
    <row r="25">
      <c r="A25">
        <f>IF($J25="","",TEXT(급여기준월,"yyyy-mm"))</f>
        <v/>
      </c>
      <c r="B25">
        <f>IF($J25="","",INDEX(명단표[사번],$J25)&amp;"")</f>
        <v/>
      </c>
      <c r="C25">
        <f>IF($J25="","",INDEX(명단표[이름],$J25))</f>
        <v/>
      </c>
      <c r="D25">
        <f>IF($J25="","",INDEX(명단표[수련과목],$J25))</f>
        <v/>
      </c>
      <c r="E25">
        <f>IF($J25="","",INDEX(명단표[연차],$J25)&amp;"")</f>
        <v/>
      </c>
      <c r="F25">
        <f>IF($J25="","",INDEX(명단표[소속병원],$J25))</f>
        <v/>
      </c>
      <c r="G25">
        <f>IF($J25="","",INDEX(명단표[기준월 근무병원],$J25))</f>
        <v/>
      </c>
      <c r="H25">
        <f>IF($J25="","",INDEX(명단표[급여지급병원(기준월)],$J25))</f>
        <v/>
      </c>
      <c r="I25">
        <f>IF($J25="","",INDEX(명단표[급여 판정 근거],$J25))</f>
        <v/>
      </c>
      <c r="J25" s="17">
        <f>IFERROR(MATCH(21,명단표[명단순번],0),"")</f>
        <v/>
      </c>
    </row>
    <row r="26">
      <c r="A26">
        <f>IF($J26="","",TEXT(급여기준월,"yyyy-mm"))</f>
        <v/>
      </c>
      <c r="B26">
        <f>IF($J26="","",INDEX(명단표[사번],$J26)&amp;"")</f>
        <v/>
      </c>
      <c r="C26">
        <f>IF($J26="","",INDEX(명단표[이름],$J26))</f>
        <v/>
      </c>
      <c r="D26">
        <f>IF($J26="","",INDEX(명단표[수련과목],$J26))</f>
        <v/>
      </c>
      <c r="E26">
        <f>IF($J26="","",INDEX(명단표[연차],$J26)&amp;"")</f>
        <v/>
      </c>
      <c r="F26">
        <f>IF($J26="","",INDEX(명단표[소속병원],$J26))</f>
        <v/>
      </c>
      <c r="G26">
        <f>IF($J26="","",INDEX(명단표[기준월 근무병원],$J26))</f>
        <v/>
      </c>
      <c r="H26">
        <f>IF($J26="","",INDEX(명단표[급여지급병원(기준월)],$J26))</f>
        <v/>
      </c>
      <c r="I26">
        <f>IF($J26="","",INDEX(명단표[급여 판정 근거],$J26))</f>
        <v/>
      </c>
      <c r="J26" s="17">
        <f>IFERROR(MATCH(22,명단표[명단순번],0),"")</f>
        <v/>
      </c>
    </row>
    <row r="27">
      <c r="A27">
        <f>IF($J27="","",TEXT(급여기준월,"yyyy-mm"))</f>
        <v/>
      </c>
      <c r="B27">
        <f>IF($J27="","",INDEX(명단표[사번],$J27)&amp;"")</f>
        <v/>
      </c>
      <c r="C27">
        <f>IF($J27="","",INDEX(명단표[이름],$J27))</f>
        <v/>
      </c>
      <c r="D27">
        <f>IF($J27="","",INDEX(명단표[수련과목],$J27))</f>
        <v/>
      </c>
      <c r="E27">
        <f>IF($J27="","",INDEX(명단표[연차],$J27)&amp;"")</f>
        <v/>
      </c>
      <c r="F27">
        <f>IF($J27="","",INDEX(명단표[소속병원],$J27))</f>
        <v/>
      </c>
      <c r="G27">
        <f>IF($J27="","",INDEX(명단표[기준월 근무병원],$J27))</f>
        <v/>
      </c>
      <c r="H27">
        <f>IF($J27="","",INDEX(명단표[급여지급병원(기준월)],$J27))</f>
        <v/>
      </c>
      <c r="I27">
        <f>IF($J27="","",INDEX(명단표[급여 판정 근거],$J27))</f>
        <v/>
      </c>
      <c r="J27" s="17">
        <f>IFERROR(MATCH(23,명단표[명단순번],0),"")</f>
        <v/>
      </c>
    </row>
    <row r="28">
      <c r="A28">
        <f>IF($J28="","",TEXT(급여기준월,"yyyy-mm"))</f>
        <v/>
      </c>
      <c r="B28">
        <f>IF($J28="","",INDEX(명단표[사번],$J28)&amp;"")</f>
        <v/>
      </c>
      <c r="C28">
        <f>IF($J28="","",INDEX(명단표[이름],$J28))</f>
        <v/>
      </c>
      <c r="D28">
        <f>IF($J28="","",INDEX(명단표[수련과목],$J28))</f>
        <v/>
      </c>
      <c r="E28">
        <f>IF($J28="","",INDEX(명단표[연차],$J28)&amp;"")</f>
        <v/>
      </c>
      <c r="F28">
        <f>IF($J28="","",INDEX(명단표[소속병원],$J28))</f>
        <v/>
      </c>
      <c r="G28">
        <f>IF($J28="","",INDEX(명단표[기준월 근무병원],$J28))</f>
        <v/>
      </c>
      <c r="H28">
        <f>IF($J28="","",INDEX(명단표[급여지급병원(기준월)],$J28))</f>
        <v/>
      </c>
      <c r="I28">
        <f>IF($J28="","",INDEX(명단표[급여 판정 근거],$J28))</f>
        <v/>
      </c>
      <c r="J28" s="17">
        <f>IFERROR(MATCH(24,명단표[명단순번],0),"")</f>
        <v/>
      </c>
    </row>
    <row r="29">
      <c r="A29">
        <f>IF($J29="","",TEXT(급여기준월,"yyyy-mm"))</f>
        <v/>
      </c>
      <c r="B29">
        <f>IF($J29="","",INDEX(명단표[사번],$J29)&amp;"")</f>
        <v/>
      </c>
      <c r="C29">
        <f>IF($J29="","",INDEX(명단표[이름],$J29))</f>
        <v/>
      </c>
      <c r="D29">
        <f>IF($J29="","",INDEX(명단표[수련과목],$J29))</f>
        <v/>
      </c>
      <c r="E29">
        <f>IF($J29="","",INDEX(명단표[연차],$J29)&amp;"")</f>
        <v/>
      </c>
      <c r="F29">
        <f>IF($J29="","",INDEX(명단표[소속병원],$J29))</f>
        <v/>
      </c>
      <c r="G29">
        <f>IF($J29="","",INDEX(명단표[기준월 근무병원],$J29))</f>
        <v/>
      </c>
      <c r="H29">
        <f>IF($J29="","",INDEX(명단표[급여지급병원(기준월)],$J29))</f>
        <v/>
      </c>
      <c r="I29">
        <f>IF($J29="","",INDEX(명단표[급여 판정 근거],$J29))</f>
        <v/>
      </c>
      <c r="J29" s="17">
        <f>IFERROR(MATCH(25,명단표[명단순번],0),"")</f>
        <v/>
      </c>
    </row>
    <row r="30">
      <c r="A30">
        <f>IF($J30="","",TEXT(급여기준월,"yyyy-mm"))</f>
        <v/>
      </c>
      <c r="B30">
        <f>IF($J30="","",INDEX(명단표[사번],$J30)&amp;"")</f>
        <v/>
      </c>
      <c r="C30">
        <f>IF($J30="","",INDEX(명단표[이름],$J30))</f>
        <v/>
      </c>
      <c r="D30">
        <f>IF($J30="","",INDEX(명단표[수련과목],$J30))</f>
        <v/>
      </c>
      <c r="E30">
        <f>IF($J30="","",INDEX(명단표[연차],$J30)&amp;"")</f>
        <v/>
      </c>
      <c r="F30">
        <f>IF($J30="","",INDEX(명단표[소속병원],$J30))</f>
        <v/>
      </c>
      <c r="G30">
        <f>IF($J30="","",INDEX(명단표[기준월 근무병원],$J30))</f>
        <v/>
      </c>
      <c r="H30">
        <f>IF($J30="","",INDEX(명단표[급여지급병원(기준월)],$J30))</f>
        <v/>
      </c>
      <c r="I30">
        <f>IF($J30="","",INDEX(명단표[급여 판정 근거],$J30))</f>
        <v/>
      </c>
      <c r="J30" s="17">
        <f>IFERROR(MATCH(26,명단표[명단순번],0),"")</f>
        <v/>
      </c>
    </row>
    <row r="31">
      <c r="A31">
        <f>IF($J31="","",TEXT(급여기준월,"yyyy-mm"))</f>
        <v/>
      </c>
      <c r="B31">
        <f>IF($J31="","",INDEX(명단표[사번],$J31)&amp;"")</f>
        <v/>
      </c>
      <c r="C31">
        <f>IF($J31="","",INDEX(명단표[이름],$J31))</f>
        <v/>
      </c>
      <c r="D31">
        <f>IF($J31="","",INDEX(명단표[수련과목],$J31))</f>
        <v/>
      </c>
      <c r="E31">
        <f>IF($J31="","",INDEX(명단표[연차],$J31)&amp;"")</f>
        <v/>
      </c>
      <c r="F31">
        <f>IF($J31="","",INDEX(명단표[소속병원],$J31))</f>
        <v/>
      </c>
      <c r="G31">
        <f>IF($J31="","",INDEX(명단표[기준월 근무병원],$J31))</f>
        <v/>
      </c>
      <c r="H31">
        <f>IF($J31="","",INDEX(명단표[급여지급병원(기준월)],$J31))</f>
        <v/>
      </c>
      <c r="I31">
        <f>IF($J31="","",INDEX(명단표[급여 판정 근거],$J31))</f>
        <v/>
      </c>
      <c r="J31" s="17">
        <f>IFERROR(MATCH(27,명단표[명단순번],0),"")</f>
        <v/>
      </c>
    </row>
    <row r="32">
      <c r="A32">
        <f>IF($J32="","",TEXT(급여기준월,"yyyy-mm"))</f>
        <v/>
      </c>
      <c r="B32">
        <f>IF($J32="","",INDEX(명단표[사번],$J32)&amp;"")</f>
        <v/>
      </c>
      <c r="C32">
        <f>IF($J32="","",INDEX(명단표[이름],$J32))</f>
        <v/>
      </c>
      <c r="D32">
        <f>IF($J32="","",INDEX(명단표[수련과목],$J32))</f>
        <v/>
      </c>
      <c r="E32">
        <f>IF($J32="","",INDEX(명단표[연차],$J32)&amp;"")</f>
        <v/>
      </c>
      <c r="F32">
        <f>IF($J32="","",INDEX(명단표[소속병원],$J32))</f>
        <v/>
      </c>
      <c r="G32">
        <f>IF($J32="","",INDEX(명단표[기준월 근무병원],$J32))</f>
        <v/>
      </c>
      <c r="H32">
        <f>IF($J32="","",INDEX(명단표[급여지급병원(기준월)],$J32))</f>
        <v/>
      </c>
      <c r="I32">
        <f>IF($J32="","",INDEX(명단표[급여 판정 근거],$J32))</f>
        <v/>
      </c>
      <c r="J32" s="17">
        <f>IFERROR(MATCH(28,명단표[명단순번],0),"")</f>
        <v/>
      </c>
    </row>
    <row r="33">
      <c r="A33">
        <f>IF($J33="","",TEXT(급여기준월,"yyyy-mm"))</f>
        <v/>
      </c>
      <c r="B33">
        <f>IF($J33="","",INDEX(명단표[사번],$J33)&amp;"")</f>
        <v/>
      </c>
      <c r="C33">
        <f>IF($J33="","",INDEX(명단표[이름],$J33))</f>
        <v/>
      </c>
      <c r="D33">
        <f>IF($J33="","",INDEX(명단표[수련과목],$J33))</f>
        <v/>
      </c>
      <c r="E33">
        <f>IF($J33="","",INDEX(명단표[연차],$J33)&amp;"")</f>
        <v/>
      </c>
      <c r="F33">
        <f>IF($J33="","",INDEX(명단표[소속병원],$J33))</f>
        <v/>
      </c>
      <c r="G33">
        <f>IF($J33="","",INDEX(명단표[기준월 근무병원],$J33))</f>
        <v/>
      </c>
      <c r="H33">
        <f>IF($J33="","",INDEX(명단표[급여지급병원(기준월)],$J33))</f>
        <v/>
      </c>
      <c r="I33">
        <f>IF($J33="","",INDEX(명단표[급여 판정 근거],$J33))</f>
        <v/>
      </c>
      <c r="J33" s="17">
        <f>IFERROR(MATCH(29,명단표[명단순번],0),"")</f>
        <v/>
      </c>
    </row>
    <row r="34">
      <c r="A34">
        <f>IF($J34="","",TEXT(급여기준월,"yyyy-mm"))</f>
        <v/>
      </c>
      <c r="B34">
        <f>IF($J34="","",INDEX(명단표[사번],$J34)&amp;"")</f>
        <v/>
      </c>
      <c r="C34">
        <f>IF($J34="","",INDEX(명단표[이름],$J34))</f>
        <v/>
      </c>
      <c r="D34">
        <f>IF($J34="","",INDEX(명단표[수련과목],$J34))</f>
        <v/>
      </c>
      <c r="E34">
        <f>IF($J34="","",INDEX(명단표[연차],$J34)&amp;"")</f>
        <v/>
      </c>
      <c r="F34">
        <f>IF($J34="","",INDEX(명단표[소속병원],$J34))</f>
        <v/>
      </c>
      <c r="G34">
        <f>IF($J34="","",INDEX(명단표[기준월 근무병원],$J34))</f>
        <v/>
      </c>
      <c r="H34">
        <f>IF($J34="","",INDEX(명단표[급여지급병원(기준월)],$J34))</f>
        <v/>
      </c>
      <c r="I34">
        <f>IF($J34="","",INDEX(명단표[급여 판정 근거],$J34))</f>
        <v/>
      </c>
      <c r="J34" s="17">
        <f>IFERROR(MATCH(30,명단표[명단순번],0),"")</f>
        <v/>
      </c>
    </row>
    <row r="35">
      <c r="A35">
        <f>IF($J35="","",TEXT(급여기준월,"yyyy-mm"))</f>
        <v/>
      </c>
      <c r="B35">
        <f>IF($J35="","",INDEX(명단표[사번],$J35)&amp;"")</f>
        <v/>
      </c>
      <c r="C35">
        <f>IF($J35="","",INDEX(명단표[이름],$J35))</f>
        <v/>
      </c>
      <c r="D35">
        <f>IF($J35="","",INDEX(명단표[수련과목],$J35))</f>
        <v/>
      </c>
      <c r="E35">
        <f>IF($J35="","",INDEX(명단표[연차],$J35)&amp;"")</f>
        <v/>
      </c>
      <c r="F35">
        <f>IF($J35="","",INDEX(명단표[소속병원],$J35))</f>
        <v/>
      </c>
      <c r="G35">
        <f>IF($J35="","",INDEX(명단표[기준월 근무병원],$J35))</f>
        <v/>
      </c>
      <c r="H35">
        <f>IF($J35="","",INDEX(명단표[급여지급병원(기준월)],$J35))</f>
        <v/>
      </c>
      <c r="I35">
        <f>IF($J35="","",INDEX(명단표[급여 판정 근거],$J35))</f>
        <v/>
      </c>
      <c r="J35" s="17">
        <f>IFERROR(MATCH(31,명단표[명단순번],0),"")</f>
        <v/>
      </c>
    </row>
    <row r="36">
      <c r="A36">
        <f>IF($J36="","",TEXT(급여기준월,"yyyy-mm"))</f>
        <v/>
      </c>
      <c r="B36">
        <f>IF($J36="","",INDEX(명단표[사번],$J36)&amp;"")</f>
        <v/>
      </c>
      <c r="C36">
        <f>IF($J36="","",INDEX(명단표[이름],$J36))</f>
        <v/>
      </c>
      <c r="D36">
        <f>IF($J36="","",INDEX(명단표[수련과목],$J36))</f>
        <v/>
      </c>
      <c r="E36">
        <f>IF($J36="","",INDEX(명단표[연차],$J36)&amp;"")</f>
        <v/>
      </c>
      <c r="F36">
        <f>IF($J36="","",INDEX(명단표[소속병원],$J36))</f>
        <v/>
      </c>
      <c r="G36">
        <f>IF($J36="","",INDEX(명단표[기준월 근무병원],$J36))</f>
        <v/>
      </c>
      <c r="H36">
        <f>IF($J36="","",INDEX(명단표[급여지급병원(기준월)],$J36))</f>
        <v/>
      </c>
      <c r="I36">
        <f>IF($J36="","",INDEX(명단표[급여 판정 근거],$J36))</f>
        <v/>
      </c>
      <c r="J36" s="17">
        <f>IFERROR(MATCH(32,명단표[명단순번],0),"")</f>
        <v/>
      </c>
    </row>
    <row r="37">
      <c r="A37">
        <f>IF($J37="","",TEXT(급여기준월,"yyyy-mm"))</f>
        <v/>
      </c>
      <c r="B37">
        <f>IF($J37="","",INDEX(명단표[사번],$J37)&amp;"")</f>
        <v/>
      </c>
      <c r="C37">
        <f>IF($J37="","",INDEX(명단표[이름],$J37))</f>
        <v/>
      </c>
      <c r="D37">
        <f>IF($J37="","",INDEX(명단표[수련과목],$J37))</f>
        <v/>
      </c>
      <c r="E37">
        <f>IF($J37="","",INDEX(명단표[연차],$J37)&amp;"")</f>
        <v/>
      </c>
      <c r="F37">
        <f>IF($J37="","",INDEX(명단표[소속병원],$J37))</f>
        <v/>
      </c>
      <c r="G37">
        <f>IF($J37="","",INDEX(명단표[기준월 근무병원],$J37))</f>
        <v/>
      </c>
      <c r="H37">
        <f>IF($J37="","",INDEX(명단표[급여지급병원(기준월)],$J37))</f>
        <v/>
      </c>
      <c r="I37">
        <f>IF($J37="","",INDEX(명단표[급여 판정 근거],$J37))</f>
        <v/>
      </c>
      <c r="J37" s="17">
        <f>IFERROR(MATCH(33,명단표[명단순번],0),"")</f>
        <v/>
      </c>
    </row>
    <row r="38">
      <c r="A38">
        <f>IF($J38="","",TEXT(급여기준월,"yyyy-mm"))</f>
        <v/>
      </c>
      <c r="B38">
        <f>IF($J38="","",INDEX(명단표[사번],$J38)&amp;"")</f>
        <v/>
      </c>
      <c r="C38">
        <f>IF($J38="","",INDEX(명단표[이름],$J38))</f>
        <v/>
      </c>
      <c r="D38">
        <f>IF($J38="","",INDEX(명단표[수련과목],$J38))</f>
        <v/>
      </c>
      <c r="E38">
        <f>IF($J38="","",INDEX(명단표[연차],$J38)&amp;"")</f>
        <v/>
      </c>
      <c r="F38">
        <f>IF($J38="","",INDEX(명단표[소속병원],$J38))</f>
        <v/>
      </c>
      <c r="G38">
        <f>IF($J38="","",INDEX(명단표[기준월 근무병원],$J38))</f>
        <v/>
      </c>
      <c r="H38">
        <f>IF($J38="","",INDEX(명단표[급여지급병원(기준월)],$J38))</f>
        <v/>
      </c>
      <c r="I38">
        <f>IF($J38="","",INDEX(명단표[급여 판정 근거],$J38))</f>
        <v/>
      </c>
      <c r="J38" s="17">
        <f>IFERROR(MATCH(34,명단표[명단순번],0),"")</f>
        <v/>
      </c>
    </row>
    <row r="39">
      <c r="A39">
        <f>IF($J39="","",TEXT(급여기준월,"yyyy-mm"))</f>
        <v/>
      </c>
      <c r="B39">
        <f>IF($J39="","",INDEX(명단표[사번],$J39)&amp;"")</f>
        <v/>
      </c>
      <c r="C39">
        <f>IF($J39="","",INDEX(명단표[이름],$J39))</f>
        <v/>
      </c>
      <c r="D39">
        <f>IF($J39="","",INDEX(명단표[수련과목],$J39))</f>
        <v/>
      </c>
      <c r="E39">
        <f>IF($J39="","",INDEX(명단표[연차],$J39)&amp;"")</f>
        <v/>
      </c>
      <c r="F39">
        <f>IF($J39="","",INDEX(명단표[소속병원],$J39))</f>
        <v/>
      </c>
      <c r="G39">
        <f>IF($J39="","",INDEX(명단표[기준월 근무병원],$J39))</f>
        <v/>
      </c>
      <c r="H39">
        <f>IF($J39="","",INDEX(명단표[급여지급병원(기준월)],$J39))</f>
        <v/>
      </c>
      <c r="I39">
        <f>IF($J39="","",INDEX(명단표[급여 판정 근거],$J39))</f>
        <v/>
      </c>
      <c r="J39" s="17">
        <f>IFERROR(MATCH(35,명단표[명단순번],0),"")</f>
        <v/>
      </c>
    </row>
    <row r="40">
      <c r="A40">
        <f>IF($J40="","",TEXT(급여기준월,"yyyy-mm"))</f>
        <v/>
      </c>
      <c r="B40">
        <f>IF($J40="","",INDEX(명단표[사번],$J40)&amp;"")</f>
        <v/>
      </c>
      <c r="C40">
        <f>IF($J40="","",INDEX(명단표[이름],$J40))</f>
        <v/>
      </c>
      <c r="D40">
        <f>IF($J40="","",INDEX(명단표[수련과목],$J40))</f>
        <v/>
      </c>
      <c r="E40">
        <f>IF($J40="","",INDEX(명단표[연차],$J40)&amp;"")</f>
        <v/>
      </c>
      <c r="F40">
        <f>IF($J40="","",INDEX(명단표[소속병원],$J40))</f>
        <v/>
      </c>
      <c r="G40">
        <f>IF($J40="","",INDEX(명단표[기준월 근무병원],$J40))</f>
        <v/>
      </c>
      <c r="H40">
        <f>IF($J40="","",INDEX(명단표[급여지급병원(기준월)],$J40))</f>
        <v/>
      </c>
      <c r="I40">
        <f>IF($J40="","",INDEX(명단표[급여 판정 근거],$J40))</f>
        <v/>
      </c>
      <c r="J40" s="17">
        <f>IFERROR(MATCH(36,명단표[명단순번],0),"")</f>
        <v/>
      </c>
    </row>
    <row r="41">
      <c r="A41">
        <f>IF($J41="","",TEXT(급여기준월,"yyyy-mm"))</f>
        <v/>
      </c>
      <c r="B41">
        <f>IF($J41="","",INDEX(명단표[사번],$J41)&amp;"")</f>
        <v/>
      </c>
      <c r="C41">
        <f>IF($J41="","",INDEX(명단표[이름],$J41))</f>
        <v/>
      </c>
      <c r="D41">
        <f>IF($J41="","",INDEX(명단표[수련과목],$J41))</f>
        <v/>
      </c>
      <c r="E41">
        <f>IF($J41="","",INDEX(명단표[연차],$J41)&amp;"")</f>
        <v/>
      </c>
      <c r="F41">
        <f>IF($J41="","",INDEX(명단표[소속병원],$J41))</f>
        <v/>
      </c>
      <c r="G41">
        <f>IF($J41="","",INDEX(명단표[기준월 근무병원],$J41))</f>
        <v/>
      </c>
      <c r="H41">
        <f>IF($J41="","",INDEX(명단표[급여지급병원(기준월)],$J41))</f>
        <v/>
      </c>
      <c r="I41">
        <f>IF($J41="","",INDEX(명단표[급여 판정 근거],$J41))</f>
        <v/>
      </c>
      <c r="J41" s="17">
        <f>IFERROR(MATCH(37,명단표[명단순번],0),"")</f>
        <v/>
      </c>
    </row>
    <row r="42">
      <c r="A42">
        <f>IF($J42="","",TEXT(급여기준월,"yyyy-mm"))</f>
        <v/>
      </c>
      <c r="B42">
        <f>IF($J42="","",INDEX(명단표[사번],$J42)&amp;"")</f>
        <v/>
      </c>
      <c r="C42">
        <f>IF($J42="","",INDEX(명단표[이름],$J42))</f>
        <v/>
      </c>
      <c r="D42">
        <f>IF($J42="","",INDEX(명단표[수련과목],$J42))</f>
        <v/>
      </c>
      <c r="E42">
        <f>IF($J42="","",INDEX(명단표[연차],$J42)&amp;"")</f>
        <v/>
      </c>
      <c r="F42">
        <f>IF($J42="","",INDEX(명단표[소속병원],$J42))</f>
        <v/>
      </c>
      <c r="G42">
        <f>IF($J42="","",INDEX(명단표[기준월 근무병원],$J42))</f>
        <v/>
      </c>
      <c r="H42">
        <f>IF($J42="","",INDEX(명단표[급여지급병원(기준월)],$J42))</f>
        <v/>
      </c>
      <c r="I42">
        <f>IF($J42="","",INDEX(명단표[급여 판정 근거],$J42))</f>
        <v/>
      </c>
      <c r="J42" s="17">
        <f>IFERROR(MATCH(38,명단표[명단순번],0),"")</f>
        <v/>
      </c>
    </row>
    <row r="43">
      <c r="A43">
        <f>IF($J43="","",TEXT(급여기준월,"yyyy-mm"))</f>
        <v/>
      </c>
      <c r="B43">
        <f>IF($J43="","",INDEX(명단표[사번],$J43)&amp;"")</f>
        <v/>
      </c>
      <c r="C43">
        <f>IF($J43="","",INDEX(명단표[이름],$J43))</f>
        <v/>
      </c>
      <c r="D43">
        <f>IF($J43="","",INDEX(명단표[수련과목],$J43))</f>
        <v/>
      </c>
      <c r="E43">
        <f>IF($J43="","",INDEX(명단표[연차],$J43)&amp;"")</f>
        <v/>
      </c>
      <c r="F43">
        <f>IF($J43="","",INDEX(명단표[소속병원],$J43))</f>
        <v/>
      </c>
      <c r="G43">
        <f>IF($J43="","",INDEX(명단표[기준월 근무병원],$J43))</f>
        <v/>
      </c>
      <c r="H43">
        <f>IF($J43="","",INDEX(명단표[급여지급병원(기준월)],$J43))</f>
        <v/>
      </c>
      <c r="I43">
        <f>IF($J43="","",INDEX(명단표[급여 판정 근거],$J43))</f>
        <v/>
      </c>
      <c r="J43" s="17">
        <f>IFERROR(MATCH(39,명단표[명단순번],0),"")</f>
        <v/>
      </c>
    </row>
    <row r="44">
      <c r="A44">
        <f>IF($J44="","",TEXT(급여기준월,"yyyy-mm"))</f>
        <v/>
      </c>
      <c r="B44">
        <f>IF($J44="","",INDEX(명단표[사번],$J44)&amp;"")</f>
        <v/>
      </c>
      <c r="C44">
        <f>IF($J44="","",INDEX(명단표[이름],$J44))</f>
        <v/>
      </c>
      <c r="D44">
        <f>IF($J44="","",INDEX(명단표[수련과목],$J44))</f>
        <v/>
      </c>
      <c r="E44">
        <f>IF($J44="","",INDEX(명단표[연차],$J44)&amp;"")</f>
        <v/>
      </c>
      <c r="F44">
        <f>IF($J44="","",INDEX(명단표[소속병원],$J44))</f>
        <v/>
      </c>
      <c r="G44">
        <f>IF($J44="","",INDEX(명단표[기준월 근무병원],$J44))</f>
        <v/>
      </c>
      <c r="H44">
        <f>IF($J44="","",INDEX(명단표[급여지급병원(기준월)],$J44))</f>
        <v/>
      </c>
      <c r="I44">
        <f>IF($J44="","",INDEX(명단표[급여 판정 근거],$J44))</f>
        <v/>
      </c>
      <c r="J44" s="17">
        <f>IFERROR(MATCH(40,명단표[명단순번],0),"")</f>
        <v/>
      </c>
    </row>
    <row r="45">
      <c r="A45">
        <f>IF($J45="","",TEXT(급여기준월,"yyyy-mm"))</f>
        <v/>
      </c>
      <c r="B45">
        <f>IF($J45="","",INDEX(명단표[사번],$J45)&amp;"")</f>
        <v/>
      </c>
      <c r="C45">
        <f>IF($J45="","",INDEX(명단표[이름],$J45))</f>
        <v/>
      </c>
      <c r="D45">
        <f>IF($J45="","",INDEX(명단표[수련과목],$J45))</f>
        <v/>
      </c>
      <c r="E45">
        <f>IF($J45="","",INDEX(명단표[연차],$J45)&amp;"")</f>
        <v/>
      </c>
      <c r="F45">
        <f>IF($J45="","",INDEX(명단표[소속병원],$J45))</f>
        <v/>
      </c>
      <c r="G45">
        <f>IF($J45="","",INDEX(명단표[기준월 근무병원],$J45))</f>
        <v/>
      </c>
      <c r="H45">
        <f>IF($J45="","",INDEX(명단표[급여지급병원(기준월)],$J45))</f>
        <v/>
      </c>
      <c r="I45">
        <f>IF($J45="","",INDEX(명단표[급여 판정 근거],$J45))</f>
        <v/>
      </c>
      <c r="J45" s="17">
        <f>IFERROR(MATCH(41,명단표[명단순번],0),"")</f>
        <v/>
      </c>
    </row>
    <row r="46">
      <c r="A46">
        <f>IF($J46="","",TEXT(급여기준월,"yyyy-mm"))</f>
        <v/>
      </c>
      <c r="B46">
        <f>IF($J46="","",INDEX(명단표[사번],$J46)&amp;"")</f>
        <v/>
      </c>
      <c r="C46">
        <f>IF($J46="","",INDEX(명단표[이름],$J46))</f>
        <v/>
      </c>
      <c r="D46">
        <f>IF($J46="","",INDEX(명단표[수련과목],$J46))</f>
        <v/>
      </c>
      <c r="E46">
        <f>IF($J46="","",INDEX(명단표[연차],$J46)&amp;"")</f>
        <v/>
      </c>
      <c r="F46">
        <f>IF($J46="","",INDEX(명단표[소속병원],$J46))</f>
        <v/>
      </c>
      <c r="G46">
        <f>IF($J46="","",INDEX(명단표[기준월 근무병원],$J46))</f>
        <v/>
      </c>
      <c r="H46">
        <f>IF($J46="","",INDEX(명단표[급여지급병원(기준월)],$J46))</f>
        <v/>
      </c>
      <c r="I46">
        <f>IF($J46="","",INDEX(명단표[급여 판정 근거],$J46))</f>
        <v/>
      </c>
      <c r="J46" s="17">
        <f>IFERROR(MATCH(42,명단표[명단순번],0),"")</f>
        <v/>
      </c>
    </row>
    <row r="47">
      <c r="A47">
        <f>IF($J47="","",TEXT(급여기준월,"yyyy-mm"))</f>
        <v/>
      </c>
      <c r="B47">
        <f>IF($J47="","",INDEX(명단표[사번],$J47)&amp;"")</f>
        <v/>
      </c>
      <c r="C47">
        <f>IF($J47="","",INDEX(명단표[이름],$J47))</f>
        <v/>
      </c>
      <c r="D47">
        <f>IF($J47="","",INDEX(명단표[수련과목],$J47))</f>
        <v/>
      </c>
      <c r="E47">
        <f>IF($J47="","",INDEX(명단표[연차],$J47)&amp;"")</f>
        <v/>
      </c>
      <c r="F47">
        <f>IF($J47="","",INDEX(명단표[소속병원],$J47))</f>
        <v/>
      </c>
      <c r="G47">
        <f>IF($J47="","",INDEX(명단표[기준월 근무병원],$J47))</f>
        <v/>
      </c>
      <c r="H47">
        <f>IF($J47="","",INDEX(명단표[급여지급병원(기준월)],$J47))</f>
        <v/>
      </c>
      <c r="I47">
        <f>IF($J47="","",INDEX(명단표[급여 판정 근거],$J47))</f>
        <v/>
      </c>
      <c r="J47" s="17">
        <f>IFERROR(MATCH(43,명단표[명단순번],0),"")</f>
        <v/>
      </c>
    </row>
    <row r="48">
      <c r="A48">
        <f>IF($J48="","",TEXT(급여기준월,"yyyy-mm"))</f>
        <v/>
      </c>
      <c r="B48">
        <f>IF($J48="","",INDEX(명단표[사번],$J48)&amp;"")</f>
        <v/>
      </c>
      <c r="C48">
        <f>IF($J48="","",INDEX(명단표[이름],$J48))</f>
        <v/>
      </c>
      <c r="D48">
        <f>IF($J48="","",INDEX(명단표[수련과목],$J48))</f>
        <v/>
      </c>
      <c r="E48">
        <f>IF($J48="","",INDEX(명단표[연차],$J48)&amp;"")</f>
        <v/>
      </c>
      <c r="F48">
        <f>IF($J48="","",INDEX(명단표[소속병원],$J48))</f>
        <v/>
      </c>
      <c r="G48">
        <f>IF($J48="","",INDEX(명단표[기준월 근무병원],$J48))</f>
        <v/>
      </c>
      <c r="H48">
        <f>IF($J48="","",INDEX(명단표[급여지급병원(기준월)],$J48))</f>
        <v/>
      </c>
      <c r="I48">
        <f>IF($J48="","",INDEX(명단표[급여 판정 근거],$J48))</f>
        <v/>
      </c>
      <c r="J48" s="17">
        <f>IFERROR(MATCH(44,명단표[명단순번],0),"")</f>
        <v/>
      </c>
    </row>
    <row r="49">
      <c r="A49">
        <f>IF($J49="","",TEXT(급여기준월,"yyyy-mm"))</f>
        <v/>
      </c>
      <c r="B49">
        <f>IF($J49="","",INDEX(명단표[사번],$J49)&amp;"")</f>
        <v/>
      </c>
      <c r="C49">
        <f>IF($J49="","",INDEX(명단표[이름],$J49))</f>
        <v/>
      </c>
      <c r="D49">
        <f>IF($J49="","",INDEX(명단표[수련과목],$J49))</f>
        <v/>
      </c>
      <c r="E49">
        <f>IF($J49="","",INDEX(명단표[연차],$J49)&amp;"")</f>
        <v/>
      </c>
      <c r="F49">
        <f>IF($J49="","",INDEX(명단표[소속병원],$J49))</f>
        <v/>
      </c>
      <c r="G49">
        <f>IF($J49="","",INDEX(명단표[기준월 근무병원],$J49))</f>
        <v/>
      </c>
      <c r="H49">
        <f>IF($J49="","",INDEX(명단표[급여지급병원(기준월)],$J49))</f>
        <v/>
      </c>
      <c r="I49">
        <f>IF($J49="","",INDEX(명단표[급여 판정 근거],$J49))</f>
        <v/>
      </c>
      <c r="J49" s="17">
        <f>IFERROR(MATCH(45,명단표[명단순번],0),"")</f>
        <v/>
      </c>
    </row>
    <row r="50">
      <c r="A50">
        <f>IF($J50="","",TEXT(급여기준월,"yyyy-mm"))</f>
        <v/>
      </c>
      <c r="B50">
        <f>IF($J50="","",INDEX(명단표[사번],$J50)&amp;"")</f>
        <v/>
      </c>
      <c r="C50">
        <f>IF($J50="","",INDEX(명단표[이름],$J50))</f>
        <v/>
      </c>
      <c r="D50">
        <f>IF($J50="","",INDEX(명단표[수련과목],$J50))</f>
        <v/>
      </c>
      <c r="E50">
        <f>IF($J50="","",INDEX(명단표[연차],$J50)&amp;"")</f>
        <v/>
      </c>
      <c r="F50">
        <f>IF($J50="","",INDEX(명단표[소속병원],$J50))</f>
        <v/>
      </c>
      <c r="G50">
        <f>IF($J50="","",INDEX(명단표[기준월 근무병원],$J50))</f>
        <v/>
      </c>
      <c r="H50">
        <f>IF($J50="","",INDEX(명단표[급여지급병원(기준월)],$J50))</f>
        <v/>
      </c>
      <c r="I50">
        <f>IF($J50="","",INDEX(명단표[급여 판정 근거],$J50))</f>
        <v/>
      </c>
      <c r="J50" s="17">
        <f>IFERROR(MATCH(46,명단표[명단순번],0),"")</f>
        <v/>
      </c>
    </row>
    <row r="51">
      <c r="A51">
        <f>IF($J51="","",TEXT(급여기준월,"yyyy-mm"))</f>
        <v/>
      </c>
      <c r="B51">
        <f>IF($J51="","",INDEX(명단표[사번],$J51)&amp;"")</f>
        <v/>
      </c>
      <c r="C51">
        <f>IF($J51="","",INDEX(명단표[이름],$J51))</f>
        <v/>
      </c>
      <c r="D51">
        <f>IF($J51="","",INDEX(명단표[수련과목],$J51))</f>
        <v/>
      </c>
      <c r="E51">
        <f>IF($J51="","",INDEX(명단표[연차],$J51)&amp;"")</f>
        <v/>
      </c>
      <c r="F51">
        <f>IF($J51="","",INDEX(명단표[소속병원],$J51))</f>
        <v/>
      </c>
      <c r="G51">
        <f>IF($J51="","",INDEX(명단표[기준월 근무병원],$J51))</f>
        <v/>
      </c>
      <c r="H51">
        <f>IF($J51="","",INDEX(명단표[급여지급병원(기준월)],$J51))</f>
        <v/>
      </c>
      <c r="I51">
        <f>IF($J51="","",INDEX(명단표[급여 판정 근거],$J51))</f>
        <v/>
      </c>
      <c r="J51" s="17">
        <f>IFERROR(MATCH(47,명단표[명단순번],0),"")</f>
        <v/>
      </c>
    </row>
    <row r="52">
      <c r="A52">
        <f>IF($J52="","",TEXT(급여기준월,"yyyy-mm"))</f>
        <v/>
      </c>
      <c r="B52">
        <f>IF($J52="","",INDEX(명단표[사번],$J52)&amp;"")</f>
        <v/>
      </c>
      <c r="C52">
        <f>IF($J52="","",INDEX(명단표[이름],$J52))</f>
        <v/>
      </c>
      <c r="D52">
        <f>IF($J52="","",INDEX(명단표[수련과목],$J52))</f>
        <v/>
      </c>
      <c r="E52">
        <f>IF($J52="","",INDEX(명단표[연차],$J52)&amp;"")</f>
        <v/>
      </c>
      <c r="F52">
        <f>IF($J52="","",INDEX(명단표[소속병원],$J52))</f>
        <v/>
      </c>
      <c r="G52">
        <f>IF($J52="","",INDEX(명단표[기준월 근무병원],$J52))</f>
        <v/>
      </c>
      <c r="H52">
        <f>IF($J52="","",INDEX(명단표[급여지급병원(기준월)],$J52))</f>
        <v/>
      </c>
      <c r="I52">
        <f>IF($J52="","",INDEX(명단표[급여 판정 근거],$J52))</f>
        <v/>
      </c>
      <c r="J52" s="17">
        <f>IFERROR(MATCH(48,명단표[명단순번],0),"")</f>
        <v/>
      </c>
    </row>
    <row r="53">
      <c r="A53">
        <f>IF($J53="","",TEXT(급여기준월,"yyyy-mm"))</f>
        <v/>
      </c>
      <c r="B53">
        <f>IF($J53="","",INDEX(명단표[사번],$J53)&amp;"")</f>
        <v/>
      </c>
      <c r="C53">
        <f>IF($J53="","",INDEX(명단표[이름],$J53))</f>
        <v/>
      </c>
      <c r="D53">
        <f>IF($J53="","",INDEX(명단표[수련과목],$J53))</f>
        <v/>
      </c>
      <c r="E53">
        <f>IF($J53="","",INDEX(명단표[연차],$J53)&amp;"")</f>
        <v/>
      </c>
      <c r="F53">
        <f>IF($J53="","",INDEX(명단표[소속병원],$J53))</f>
        <v/>
      </c>
      <c r="G53">
        <f>IF($J53="","",INDEX(명단표[기준월 근무병원],$J53))</f>
        <v/>
      </c>
      <c r="H53">
        <f>IF($J53="","",INDEX(명단표[급여지급병원(기준월)],$J53))</f>
        <v/>
      </c>
      <c r="I53">
        <f>IF($J53="","",INDEX(명단표[급여 판정 근거],$J53))</f>
        <v/>
      </c>
      <c r="J53" s="17">
        <f>IFERROR(MATCH(49,명단표[명단순번],0),"")</f>
        <v/>
      </c>
    </row>
    <row r="54">
      <c r="A54">
        <f>IF($J54="","",TEXT(급여기준월,"yyyy-mm"))</f>
        <v/>
      </c>
      <c r="B54">
        <f>IF($J54="","",INDEX(명단표[사번],$J54)&amp;"")</f>
        <v/>
      </c>
      <c r="C54">
        <f>IF($J54="","",INDEX(명단표[이름],$J54))</f>
        <v/>
      </c>
      <c r="D54">
        <f>IF($J54="","",INDEX(명단표[수련과목],$J54))</f>
        <v/>
      </c>
      <c r="E54">
        <f>IF($J54="","",INDEX(명단표[연차],$J54)&amp;"")</f>
        <v/>
      </c>
      <c r="F54">
        <f>IF($J54="","",INDEX(명단표[소속병원],$J54))</f>
        <v/>
      </c>
      <c r="G54">
        <f>IF($J54="","",INDEX(명단표[기준월 근무병원],$J54))</f>
        <v/>
      </c>
      <c r="H54">
        <f>IF($J54="","",INDEX(명단표[급여지급병원(기준월)],$J54))</f>
        <v/>
      </c>
      <c r="I54">
        <f>IF($J54="","",INDEX(명단표[급여 판정 근거],$J54))</f>
        <v/>
      </c>
      <c r="J54" s="17">
        <f>IFERROR(MATCH(50,명단표[명단순번],0),"")</f>
        <v/>
      </c>
    </row>
    <row r="55">
      <c r="A55">
        <f>IF($J55="","",TEXT(급여기준월,"yyyy-mm"))</f>
        <v/>
      </c>
      <c r="B55">
        <f>IF($J55="","",INDEX(명단표[사번],$J55)&amp;"")</f>
        <v/>
      </c>
      <c r="C55">
        <f>IF($J55="","",INDEX(명단표[이름],$J55))</f>
        <v/>
      </c>
      <c r="D55">
        <f>IF($J55="","",INDEX(명단표[수련과목],$J55))</f>
        <v/>
      </c>
      <c r="E55">
        <f>IF($J55="","",INDEX(명단표[연차],$J55)&amp;"")</f>
        <v/>
      </c>
      <c r="F55">
        <f>IF($J55="","",INDEX(명단표[소속병원],$J55))</f>
        <v/>
      </c>
      <c r="G55">
        <f>IF($J55="","",INDEX(명단표[기준월 근무병원],$J55))</f>
        <v/>
      </c>
      <c r="H55">
        <f>IF($J55="","",INDEX(명단표[급여지급병원(기준월)],$J55))</f>
        <v/>
      </c>
      <c r="I55">
        <f>IF($J55="","",INDEX(명단표[급여 판정 근거],$J55))</f>
        <v/>
      </c>
      <c r="J55" s="17">
        <f>IFERROR(MATCH(51,명단표[명단순번],0),"")</f>
        <v/>
      </c>
    </row>
    <row r="56">
      <c r="A56">
        <f>IF($J56="","",TEXT(급여기준월,"yyyy-mm"))</f>
        <v/>
      </c>
      <c r="B56">
        <f>IF($J56="","",INDEX(명단표[사번],$J56)&amp;"")</f>
        <v/>
      </c>
      <c r="C56">
        <f>IF($J56="","",INDEX(명단표[이름],$J56))</f>
        <v/>
      </c>
      <c r="D56">
        <f>IF($J56="","",INDEX(명단표[수련과목],$J56))</f>
        <v/>
      </c>
      <c r="E56">
        <f>IF($J56="","",INDEX(명단표[연차],$J56)&amp;"")</f>
        <v/>
      </c>
      <c r="F56">
        <f>IF($J56="","",INDEX(명단표[소속병원],$J56))</f>
        <v/>
      </c>
      <c r="G56">
        <f>IF($J56="","",INDEX(명단표[기준월 근무병원],$J56))</f>
        <v/>
      </c>
      <c r="H56">
        <f>IF($J56="","",INDEX(명단표[급여지급병원(기준월)],$J56))</f>
        <v/>
      </c>
      <c r="I56">
        <f>IF($J56="","",INDEX(명단표[급여 판정 근거],$J56))</f>
        <v/>
      </c>
      <c r="J56" s="17">
        <f>IFERROR(MATCH(52,명단표[명단순번],0),"")</f>
        <v/>
      </c>
    </row>
    <row r="57">
      <c r="A57">
        <f>IF($J57="","",TEXT(급여기준월,"yyyy-mm"))</f>
        <v/>
      </c>
      <c r="B57">
        <f>IF($J57="","",INDEX(명단표[사번],$J57)&amp;"")</f>
        <v/>
      </c>
      <c r="C57">
        <f>IF($J57="","",INDEX(명단표[이름],$J57))</f>
        <v/>
      </c>
      <c r="D57">
        <f>IF($J57="","",INDEX(명단표[수련과목],$J57))</f>
        <v/>
      </c>
      <c r="E57">
        <f>IF($J57="","",INDEX(명단표[연차],$J57)&amp;"")</f>
        <v/>
      </c>
      <c r="F57">
        <f>IF($J57="","",INDEX(명단표[소속병원],$J57))</f>
        <v/>
      </c>
      <c r="G57">
        <f>IF($J57="","",INDEX(명단표[기준월 근무병원],$J57))</f>
        <v/>
      </c>
      <c r="H57">
        <f>IF($J57="","",INDEX(명단표[급여지급병원(기준월)],$J57))</f>
        <v/>
      </c>
      <c r="I57">
        <f>IF($J57="","",INDEX(명단표[급여 판정 근거],$J57))</f>
        <v/>
      </c>
      <c r="J57" s="17">
        <f>IFERROR(MATCH(53,명단표[명단순번],0),"")</f>
        <v/>
      </c>
    </row>
    <row r="58">
      <c r="A58">
        <f>IF($J58="","",TEXT(급여기준월,"yyyy-mm"))</f>
        <v/>
      </c>
      <c r="B58">
        <f>IF($J58="","",INDEX(명단표[사번],$J58)&amp;"")</f>
        <v/>
      </c>
      <c r="C58">
        <f>IF($J58="","",INDEX(명단표[이름],$J58))</f>
        <v/>
      </c>
      <c r="D58">
        <f>IF($J58="","",INDEX(명단표[수련과목],$J58))</f>
        <v/>
      </c>
      <c r="E58">
        <f>IF($J58="","",INDEX(명단표[연차],$J58)&amp;"")</f>
        <v/>
      </c>
      <c r="F58">
        <f>IF($J58="","",INDEX(명단표[소속병원],$J58))</f>
        <v/>
      </c>
      <c r="G58">
        <f>IF($J58="","",INDEX(명단표[기준월 근무병원],$J58))</f>
        <v/>
      </c>
      <c r="H58">
        <f>IF($J58="","",INDEX(명단표[급여지급병원(기준월)],$J58))</f>
        <v/>
      </c>
      <c r="I58">
        <f>IF($J58="","",INDEX(명단표[급여 판정 근거],$J58))</f>
        <v/>
      </c>
      <c r="J58" s="17">
        <f>IFERROR(MATCH(54,명단표[명단순번],0),"")</f>
        <v/>
      </c>
    </row>
    <row r="59">
      <c r="A59">
        <f>IF($J59="","",TEXT(급여기준월,"yyyy-mm"))</f>
        <v/>
      </c>
      <c r="B59">
        <f>IF($J59="","",INDEX(명단표[사번],$J59)&amp;"")</f>
        <v/>
      </c>
      <c r="C59">
        <f>IF($J59="","",INDEX(명단표[이름],$J59))</f>
        <v/>
      </c>
      <c r="D59">
        <f>IF($J59="","",INDEX(명단표[수련과목],$J59))</f>
        <v/>
      </c>
      <c r="E59">
        <f>IF($J59="","",INDEX(명단표[연차],$J59)&amp;"")</f>
        <v/>
      </c>
      <c r="F59">
        <f>IF($J59="","",INDEX(명단표[소속병원],$J59))</f>
        <v/>
      </c>
      <c r="G59">
        <f>IF($J59="","",INDEX(명단표[기준월 근무병원],$J59))</f>
        <v/>
      </c>
      <c r="H59">
        <f>IF($J59="","",INDEX(명단표[급여지급병원(기준월)],$J59))</f>
        <v/>
      </c>
      <c r="I59">
        <f>IF($J59="","",INDEX(명단표[급여 판정 근거],$J59))</f>
        <v/>
      </c>
      <c r="J59" s="17">
        <f>IFERROR(MATCH(55,명단표[명단순번],0),"")</f>
        <v/>
      </c>
    </row>
    <row r="60">
      <c r="A60">
        <f>IF($J60="","",TEXT(급여기준월,"yyyy-mm"))</f>
        <v/>
      </c>
      <c r="B60">
        <f>IF($J60="","",INDEX(명단표[사번],$J60)&amp;"")</f>
        <v/>
      </c>
      <c r="C60">
        <f>IF($J60="","",INDEX(명단표[이름],$J60))</f>
        <v/>
      </c>
      <c r="D60">
        <f>IF($J60="","",INDEX(명단표[수련과목],$J60))</f>
        <v/>
      </c>
      <c r="E60">
        <f>IF($J60="","",INDEX(명단표[연차],$J60)&amp;"")</f>
        <v/>
      </c>
      <c r="F60">
        <f>IF($J60="","",INDEX(명단표[소속병원],$J60))</f>
        <v/>
      </c>
      <c r="G60">
        <f>IF($J60="","",INDEX(명단표[기준월 근무병원],$J60))</f>
        <v/>
      </c>
      <c r="H60">
        <f>IF($J60="","",INDEX(명단표[급여지급병원(기준월)],$J60))</f>
        <v/>
      </c>
      <c r="I60">
        <f>IF($J60="","",INDEX(명단표[급여 판정 근거],$J60))</f>
        <v/>
      </c>
      <c r="J60" s="17">
        <f>IFERROR(MATCH(56,명단표[명단순번],0),"")</f>
        <v/>
      </c>
    </row>
    <row r="61">
      <c r="A61">
        <f>IF($J61="","",TEXT(급여기준월,"yyyy-mm"))</f>
        <v/>
      </c>
      <c r="B61">
        <f>IF($J61="","",INDEX(명단표[사번],$J61)&amp;"")</f>
        <v/>
      </c>
      <c r="C61">
        <f>IF($J61="","",INDEX(명단표[이름],$J61))</f>
        <v/>
      </c>
      <c r="D61">
        <f>IF($J61="","",INDEX(명단표[수련과목],$J61))</f>
        <v/>
      </c>
      <c r="E61">
        <f>IF($J61="","",INDEX(명단표[연차],$J61)&amp;"")</f>
        <v/>
      </c>
      <c r="F61">
        <f>IF($J61="","",INDEX(명단표[소속병원],$J61))</f>
        <v/>
      </c>
      <c r="G61">
        <f>IF($J61="","",INDEX(명단표[기준월 근무병원],$J61))</f>
        <v/>
      </c>
      <c r="H61">
        <f>IF($J61="","",INDEX(명단표[급여지급병원(기준월)],$J61))</f>
        <v/>
      </c>
      <c r="I61">
        <f>IF($J61="","",INDEX(명단표[급여 판정 근거],$J61))</f>
        <v/>
      </c>
      <c r="J61" s="17">
        <f>IFERROR(MATCH(57,명단표[명단순번],0),"")</f>
        <v/>
      </c>
    </row>
    <row r="62">
      <c r="A62">
        <f>IF($J62="","",TEXT(급여기준월,"yyyy-mm"))</f>
        <v/>
      </c>
      <c r="B62">
        <f>IF($J62="","",INDEX(명단표[사번],$J62)&amp;"")</f>
        <v/>
      </c>
      <c r="C62">
        <f>IF($J62="","",INDEX(명단표[이름],$J62))</f>
        <v/>
      </c>
      <c r="D62">
        <f>IF($J62="","",INDEX(명단표[수련과목],$J62))</f>
        <v/>
      </c>
      <c r="E62">
        <f>IF($J62="","",INDEX(명단표[연차],$J62)&amp;"")</f>
        <v/>
      </c>
      <c r="F62">
        <f>IF($J62="","",INDEX(명단표[소속병원],$J62))</f>
        <v/>
      </c>
      <c r="G62">
        <f>IF($J62="","",INDEX(명단표[기준월 근무병원],$J62))</f>
        <v/>
      </c>
      <c r="H62">
        <f>IF($J62="","",INDEX(명단표[급여지급병원(기준월)],$J62))</f>
        <v/>
      </c>
      <c r="I62">
        <f>IF($J62="","",INDEX(명단표[급여 판정 근거],$J62))</f>
        <v/>
      </c>
      <c r="J62" s="17">
        <f>IFERROR(MATCH(58,명단표[명단순번],0),"")</f>
        <v/>
      </c>
    </row>
    <row r="63">
      <c r="A63">
        <f>IF($J63="","",TEXT(급여기준월,"yyyy-mm"))</f>
        <v/>
      </c>
      <c r="B63">
        <f>IF($J63="","",INDEX(명단표[사번],$J63)&amp;"")</f>
        <v/>
      </c>
      <c r="C63">
        <f>IF($J63="","",INDEX(명단표[이름],$J63))</f>
        <v/>
      </c>
      <c r="D63">
        <f>IF($J63="","",INDEX(명단표[수련과목],$J63))</f>
        <v/>
      </c>
      <c r="E63">
        <f>IF($J63="","",INDEX(명단표[연차],$J63)&amp;"")</f>
        <v/>
      </c>
      <c r="F63">
        <f>IF($J63="","",INDEX(명단표[소속병원],$J63))</f>
        <v/>
      </c>
      <c r="G63">
        <f>IF($J63="","",INDEX(명단표[기준월 근무병원],$J63))</f>
        <v/>
      </c>
      <c r="H63">
        <f>IF($J63="","",INDEX(명단표[급여지급병원(기준월)],$J63))</f>
        <v/>
      </c>
      <c r="I63">
        <f>IF($J63="","",INDEX(명단표[급여 판정 근거],$J63))</f>
        <v/>
      </c>
      <c r="J63" s="17">
        <f>IFERROR(MATCH(59,명단표[명단순번],0),"")</f>
        <v/>
      </c>
    </row>
    <row r="64">
      <c r="A64">
        <f>IF($J64="","",TEXT(급여기준월,"yyyy-mm"))</f>
        <v/>
      </c>
      <c r="B64">
        <f>IF($J64="","",INDEX(명단표[사번],$J64)&amp;"")</f>
        <v/>
      </c>
      <c r="C64">
        <f>IF($J64="","",INDEX(명단표[이름],$J64))</f>
        <v/>
      </c>
      <c r="D64">
        <f>IF($J64="","",INDEX(명단표[수련과목],$J64))</f>
        <v/>
      </c>
      <c r="E64">
        <f>IF($J64="","",INDEX(명단표[연차],$J64)&amp;"")</f>
        <v/>
      </c>
      <c r="F64">
        <f>IF($J64="","",INDEX(명단표[소속병원],$J64))</f>
        <v/>
      </c>
      <c r="G64">
        <f>IF($J64="","",INDEX(명단표[기준월 근무병원],$J64))</f>
        <v/>
      </c>
      <c r="H64">
        <f>IF($J64="","",INDEX(명단표[급여지급병원(기준월)],$J64))</f>
        <v/>
      </c>
      <c r="I64">
        <f>IF($J64="","",INDEX(명단표[급여 판정 근거],$J64))</f>
        <v/>
      </c>
      <c r="J64" s="17">
        <f>IFERROR(MATCH(60,명단표[명단순번],0),"")</f>
        <v/>
      </c>
    </row>
    <row r="65">
      <c r="A65">
        <f>IF($J65="","",TEXT(급여기준월,"yyyy-mm"))</f>
        <v/>
      </c>
      <c r="B65">
        <f>IF($J65="","",INDEX(명단표[사번],$J65)&amp;"")</f>
        <v/>
      </c>
      <c r="C65">
        <f>IF($J65="","",INDEX(명단표[이름],$J65))</f>
        <v/>
      </c>
      <c r="D65">
        <f>IF($J65="","",INDEX(명단표[수련과목],$J65))</f>
        <v/>
      </c>
      <c r="E65">
        <f>IF($J65="","",INDEX(명단표[연차],$J65)&amp;"")</f>
        <v/>
      </c>
      <c r="F65">
        <f>IF($J65="","",INDEX(명단표[소속병원],$J65))</f>
        <v/>
      </c>
      <c r="G65">
        <f>IF($J65="","",INDEX(명단표[기준월 근무병원],$J65))</f>
        <v/>
      </c>
      <c r="H65">
        <f>IF($J65="","",INDEX(명단표[급여지급병원(기준월)],$J65))</f>
        <v/>
      </c>
      <c r="I65">
        <f>IF($J65="","",INDEX(명단표[급여 판정 근거],$J65))</f>
        <v/>
      </c>
      <c r="J65" s="17">
        <f>IFERROR(MATCH(61,명단표[명단순번],0),"")</f>
        <v/>
      </c>
    </row>
    <row r="66">
      <c r="A66">
        <f>IF($J66="","",TEXT(급여기준월,"yyyy-mm"))</f>
        <v/>
      </c>
      <c r="B66">
        <f>IF($J66="","",INDEX(명단표[사번],$J66)&amp;"")</f>
        <v/>
      </c>
      <c r="C66">
        <f>IF($J66="","",INDEX(명단표[이름],$J66))</f>
        <v/>
      </c>
      <c r="D66">
        <f>IF($J66="","",INDEX(명단표[수련과목],$J66))</f>
        <v/>
      </c>
      <c r="E66">
        <f>IF($J66="","",INDEX(명단표[연차],$J66)&amp;"")</f>
        <v/>
      </c>
      <c r="F66">
        <f>IF($J66="","",INDEX(명단표[소속병원],$J66))</f>
        <v/>
      </c>
      <c r="G66">
        <f>IF($J66="","",INDEX(명단표[기준월 근무병원],$J66))</f>
        <v/>
      </c>
      <c r="H66">
        <f>IF($J66="","",INDEX(명단표[급여지급병원(기준월)],$J66))</f>
        <v/>
      </c>
      <c r="I66">
        <f>IF($J66="","",INDEX(명단표[급여 판정 근거],$J66))</f>
        <v/>
      </c>
      <c r="J66" s="17">
        <f>IFERROR(MATCH(62,명단표[명단순번],0),"")</f>
        <v/>
      </c>
    </row>
    <row r="67">
      <c r="A67">
        <f>IF($J67="","",TEXT(급여기준월,"yyyy-mm"))</f>
        <v/>
      </c>
      <c r="B67">
        <f>IF($J67="","",INDEX(명단표[사번],$J67)&amp;"")</f>
        <v/>
      </c>
      <c r="C67">
        <f>IF($J67="","",INDEX(명단표[이름],$J67))</f>
        <v/>
      </c>
      <c r="D67">
        <f>IF($J67="","",INDEX(명단표[수련과목],$J67))</f>
        <v/>
      </c>
      <c r="E67">
        <f>IF($J67="","",INDEX(명단표[연차],$J67)&amp;"")</f>
        <v/>
      </c>
      <c r="F67">
        <f>IF($J67="","",INDEX(명단표[소속병원],$J67))</f>
        <v/>
      </c>
      <c r="G67">
        <f>IF($J67="","",INDEX(명단표[기준월 근무병원],$J67))</f>
        <v/>
      </c>
      <c r="H67">
        <f>IF($J67="","",INDEX(명단표[급여지급병원(기준월)],$J67))</f>
        <v/>
      </c>
      <c r="I67">
        <f>IF($J67="","",INDEX(명단표[급여 판정 근거],$J67))</f>
        <v/>
      </c>
      <c r="J67" s="17">
        <f>IFERROR(MATCH(63,명단표[명단순번],0),"")</f>
        <v/>
      </c>
    </row>
    <row r="68">
      <c r="A68">
        <f>IF($J68="","",TEXT(급여기준월,"yyyy-mm"))</f>
        <v/>
      </c>
      <c r="B68">
        <f>IF($J68="","",INDEX(명단표[사번],$J68)&amp;"")</f>
        <v/>
      </c>
      <c r="C68">
        <f>IF($J68="","",INDEX(명단표[이름],$J68))</f>
        <v/>
      </c>
      <c r="D68">
        <f>IF($J68="","",INDEX(명단표[수련과목],$J68))</f>
        <v/>
      </c>
      <c r="E68">
        <f>IF($J68="","",INDEX(명단표[연차],$J68)&amp;"")</f>
        <v/>
      </c>
      <c r="F68">
        <f>IF($J68="","",INDEX(명단표[소속병원],$J68))</f>
        <v/>
      </c>
      <c r="G68">
        <f>IF($J68="","",INDEX(명단표[기준월 근무병원],$J68))</f>
        <v/>
      </c>
      <c r="H68">
        <f>IF($J68="","",INDEX(명단표[급여지급병원(기준월)],$J68))</f>
        <v/>
      </c>
      <c r="I68">
        <f>IF($J68="","",INDEX(명단표[급여 판정 근거],$J68))</f>
        <v/>
      </c>
      <c r="J68" s="17">
        <f>IFERROR(MATCH(64,명단표[명단순번],0),"")</f>
        <v/>
      </c>
    </row>
    <row r="69">
      <c r="A69">
        <f>IF($J69="","",TEXT(급여기준월,"yyyy-mm"))</f>
        <v/>
      </c>
      <c r="B69">
        <f>IF($J69="","",INDEX(명단표[사번],$J69)&amp;"")</f>
        <v/>
      </c>
      <c r="C69">
        <f>IF($J69="","",INDEX(명단표[이름],$J69))</f>
        <v/>
      </c>
      <c r="D69">
        <f>IF($J69="","",INDEX(명단표[수련과목],$J69))</f>
        <v/>
      </c>
      <c r="E69">
        <f>IF($J69="","",INDEX(명단표[연차],$J69)&amp;"")</f>
        <v/>
      </c>
      <c r="F69">
        <f>IF($J69="","",INDEX(명단표[소속병원],$J69))</f>
        <v/>
      </c>
      <c r="G69">
        <f>IF($J69="","",INDEX(명단표[기준월 근무병원],$J69))</f>
        <v/>
      </c>
      <c r="H69">
        <f>IF($J69="","",INDEX(명단표[급여지급병원(기준월)],$J69))</f>
        <v/>
      </c>
      <c r="I69">
        <f>IF($J69="","",INDEX(명단표[급여 판정 근거],$J69))</f>
        <v/>
      </c>
      <c r="J69" s="17">
        <f>IFERROR(MATCH(65,명단표[명단순번],0),"")</f>
        <v/>
      </c>
    </row>
    <row r="70">
      <c r="A70">
        <f>IF($J70="","",TEXT(급여기준월,"yyyy-mm"))</f>
        <v/>
      </c>
      <c r="B70">
        <f>IF($J70="","",INDEX(명단표[사번],$J70)&amp;"")</f>
        <v/>
      </c>
      <c r="C70">
        <f>IF($J70="","",INDEX(명단표[이름],$J70))</f>
        <v/>
      </c>
      <c r="D70">
        <f>IF($J70="","",INDEX(명단표[수련과목],$J70))</f>
        <v/>
      </c>
      <c r="E70">
        <f>IF($J70="","",INDEX(명단표[연차],$J70)&amp;"")</f>
        <v/>
      </c>
      <c r="F70">
        <f>IF($J70="","",INDEX(명단표[소속병원],$J70))</f>
        <v/>
      </c>
      <c r="G70">
        <f>IF($J70="","",INDEX(명단표[기준월 근무병원],$J70))</f>
        <v/>
      </c>
      <c r="H70">
        <f>IF($J70="","",INDEX(명단표[급여지급병원(기준월)],$J70))</f>
        <v/>
      </c>
      <c r="I70">
        <f>IF($J70="","",INDEX(명단표[급여 판정 근거],$J70))</f>
        <v/>
      </c>
      <c r="J70" s="17">
        <f>IFERROR(MATCH(66,명단표[명단순번],0),"")</f>
        <v/>
      </c>
    </row>
    <row r="71">
      <c r="A71">
        <f>IF($J71="","",TEXT(급여기준월,"yyyy-mm"))</f>
        <v/>
      </c>
      <c r="B71">
        <f>IF($J71="","",INDEX(명단표[사번],$J71)&amp;"")</f>
        <v/>
      </c>
      <c r="C71">
        <f>IF($J71="","",INDEX(명단표[이름],$J71))</f>
        <v/>
      </c>
      <c r="D71">
        <f>IF($J71="","",INDEX(명단표[수련과목],$J71))</f>
        <v/>
      </c>
      <c r="E71">
        <f>IF($J71="","",INDEX(명단표[연차],$J71)&amp;"")</f>
        <v/>
      </c>
      <c r="F71">
        <f>IF($J71="","",INDEX(명단표[소속병원],$J71))</f>
        <v/>
      </c>
      <c r="G71">
        <f>IF($J71="","",INDEX(명단표[기준월 근무병원],$J71))</f>
        <v/>
      </c>
      <c r="H71">
        <f>IF($J71="","",INDEX(명단표[급여지급병원(기준월)],$J71))</f>
        <v/>
      </c>
      <c r="I71">
        <f>IF($J71="","",INDEX(명단표[급여 판정 근거],$J71))</f>
        <v/>
      </c>
      <c r="J71" s="17">
        <f>IFERROR(MATCH(67,명단표[명단순번],0),"")</f>
        <v/>
      </c>
    </row>
    <row r="72">
      <c r="A72">
        <f>IF($J72="","",TEXT(급여기준월,"yyyy-mm"))</f>
        <v/>
      </c>
      <c r="B72">
        <f>IF($J72="","",INDEX(명단표[사번],$J72)&amp;"")</f>
        <v/>
      </c>
      <c r="C72">
        <f>IF($J72="","",INDEX(명단표[이름],$J72))</f>
        <v/>
      </c>
      <c r="D72">
        <f>IF($J72="","",INDEX(명단표[수련과목],$J72))</f>
        <v/>
      </c>
      <c r="E72">
        <f>IF($J72="","",INDEX(명단표[연차],$J72)&amp;"")</f>
        <v/>
      </c>
      <c r="F72">
        <f>IF($J72="","",INDEX(명단표[소속병원],$J72))</f>
        <v/>
      </c>
      <c r="G72">
        <f>IF($J72="","",INDEX(명단표[기준월 근무병원],$J72))</f>
        <v/>
      </c>
      <c r="H72">
        <f>IF($J72="","",INDEX(명단표[급여지급병원(기준월)],$J72))</f>
        <v/>
      </c>
      <c r="I72">
        <f>IF($J72="","",INDEX(명단표[급여 판정 근거],$J72))</f>
        <v/>
      </c>
      <c r="J72" s="17">
        <f>IFERROR(MATCH(68,명단표[명단순번],0),"")</f>
        <v/>
      </c>
    </row>
    <row r="73">
      <c r="A73">
        <f>IF($J73="","",TEXT(급여기준월,"yyyy-mm"))</f>
        <v/>
      </c>
      <c r="B73">
        <f>IF($J73="","",INDEX(명단표[사번],$J73)&amp;"")</f>
        <v/>
      </c>
      <c r="C73">
        <f>IF($J73="","",INDEX(명단표[이름],$J73))</f>
        <v/>
      </c>
      <c r="D73">
        <f>IF($J73="","",INDEX(명단표[수련과목],$J73))</f>
        <v/>
      </c>
      <c r="E73">
        <f>IF($J73="","",INDEX(명단표[연차],$J73)&amp;"")</f>
        <v/>
      </c>
      <c r="F73">
        <f>IF($J73="","",INDEX(명단표[소속병원],$J73))</f>
        <v/>
      </c>
      <c r="G73">
        <f>IF($J73="","",INDEX(명단표[기준월 근무병원],$J73))</f>
        <v/>
      </c>
      <c r="H73">
        <f>IF($J73="","",INDEX(명단표[급여지급병원(기준월)],$J73))</f>
        <v/>
      </c>
      <c r="I73">
        <f>IF($J73="","",INDEX(명단표[급여 판정 근거],$J73))</f>
        <v/>
      </c>
      <c r="J73" s="17">
        <f>IFERROR(MATCH(69,명단표[명단순번],0),"")</f>
        <v/>
      </c>
    </row>
    <row r="74">
      <c r="A74">
        <f>IF($J74="","",TEXT(급여기준월,"yyyy-mm"))</f>
        <v/>
      </c>
      <c r="B74">
        <f>IF($J74="","",INDEX(명단표[사번],$J74)&amp;"")</f>
        <v/>
      </c>
      <c r="C74">
        <f>IF($J74="","",INDEX(명단표[이름],$J74))</f>
        <v/>
      </c>
      <c r="D74">
        <f>IF($J74="","",INDEX(명단표[수련과목],$J74))</f>
        <v/>
      </c>
      <c r="E74">
        <f>IF($J74="","",INDEX(명단표[연차],$J74)&amp;"")</f>
        <v/>
      </c>
      <c r="F74">
        <f>IF($J74="","",INDEX(명단표[소속병원],$J74))</f>
        <v/>
      </c>
      <c r="G74">
        <f>IF($J74="","",INDEX(명단표[기준월 근무병원],$J74))</f>
        <v/>
      </c>
      <c r="H74">
        <f>IF($J74="","",INDEX(명단표[급여지급병원(기준월)],$J74))</f>
        <v/>
      </c>
      <c r="I74">
        <f>IF($J74="","",INDEX(명단표[급여 판정 근거],$J74))</f>
        <v/>
      </c>
      <c r="J74" s="17">
        <f>IFERROR(MATCH(70,명단표[명단순번],0),"")</f>
        <v/>
      </c>
    </row>
    <row r="75">
      <c r="A75">
        <f>IF($J75="","",TEXT(급여기준월,"yyyy-mm"))</f>
        <v/>
      </c>
      <c r="B75">
        <f>IF($J75="","",INDEX(명단표[사번],$J75)&amp;"")</f>
        <v/>
      </c>
      <c r="C75">
        <f>IF($J75="","",INDEX(명단표[이름],$J75))</f>
        <v/>
      </c>
      <c r="D75">
        <f>IF($J75="","",INDEX(명단표[수련과목],$J75))</f>
        <v/>
      </c>
      <c r="E75">
        <f>IF($J75="","",INDEX(명단표[연차],$J75)&amp;"")</f>
        <v/>
      </c>
      <c r="F75">
        <f>IF($J75="","",INDEX(명단표[소속병원],$J75))</f>
        <v/>
      </c>
      <c r="G75">
        <f>IF($J75="","",INDEX(명단표[기준월 근무병원],$J75))</f>
        <v/>
      </c>
      <c r="H75">
        <f>IF($J75="","",INDEX(명단표[급여지급병원(기준월)],$J75))</f>
        <v/>
      </c>
      <c r="I75">
        <f>IF($J75="","",INDEX(명단표[급여 판정 근거],$J75))</f>
        <v/>
      </c>
      <c r="J75" s="17">
        <f>IFERROR(MATCH(71,명단표[명단순번],0),"")</f>
        <v/>
      </c>
    </row>
    <row r="76">
      <c r="A76">
        <f>IF($J76="","",TEXT(급여기준월,"yyyy-mm"))</f>
        <v/>
      </c>
      <c r="B76">
        <f>IF($J76="","",INDEX(명단표[사번],$J76)&amp;"")</f>
        <v/>
      </c>
      <c r="C76">
        <f>IF($J76="","",INDEX(명단표[이름],$J76))</f>
        <v/>
      </c>
      <c r="D76">
        <f>IF($J76="","",INDEX(명단표[수련과목],$J76))</f>
        <v/>
      </c>
      <c r="E76">
        <f>IF($J76="","",INDEX(명단표[연차],$J76)&amp;"")</f>
        <v/>
      </c>
      <c r="F76">
        <f>IF($J76="","",INDEX(명단표[소속병원],$J76))</f>
        <v/>
      </c>
      <c r="G76">
        <f>IF($J76="","",INDEX(명단표[기준월 근무병원],$J76))</f>
        <v/>
      </c>
      <c r="H76">
        <f>IF($J76="","",INDEX(명단표[급여지급병원(기준월)],$J76))</f>
        <v/>
      </c>
      <c r="I76">
        <f>IF($J76="","",INDEX(명단표[급여 판정 근거],$J76))</f>
        <v/>
      </c>
      <c r="J76" s="17">
        <f>IFERROR(MATCH(72,명단표[명단순번],0),"")</f>
        <v/>
      </c>
    </row>
    <row r="77">
      <c r="A77">
        <f>IF($J77="","",TEXT(급여기준월,"yyyy-mm"))</f>
        <v/>
      </c>
      <c r="B77">
        <f>IF($J77="","",INDEX(명단표[사번],$J77)&amp;"")</f>
        <v/>
      </c>
      <c r="C77">
        <f>IF($J77="","",INDEX(명단표[이름],$J77))</f>
        <v/>
      </c>
      <c r="D77">
        <f>IF($J77="","",INDEX(명단표[수련과목],$J77))</f>
        <v/>
      </c>
      <c r="E77">
        <f>IF($J77="","",INDEX(명단표[연차],$J77)&amp;"")</f>
        <v/>
      </c>
      <c r="F77">
        <f>IF($J77="","",INDEX(명단표[소속병원],$J77))</f>
        <v/>
      </c>
      <c r="G77">
        <f>IF($J77="","",INDEX(명단표[기준월 근무병원],$J77))</f>
        <v/>
      </c>
      <c r="H77">
        <f>IF($J77="","",INDEX(명단표[급여지급병원(기준월)],$J77))</f>
        <v/>
      </c>
      <c r="I77">
        <f>IF($J77="","",INDEX(명단표[급여 판정 근거],$J77))</f>
        <v/>
      </c>
      <c r="J77" s="17">
        <f>IFERROR(MATCH(73,명단표[명단순번],0),"")</f>
        <v/>
      </c>
    </row>
    <row r="78">
      <c r="A78">
        <f>IF($J78="","",TEXT(급여기준월,"yyyy-mm"))</f>
        <v/>
      </c>
      <c r="B78">
        <f>IF($J78="","",INDEX(명단표[사번],$J78)&amp;"")</f>
        <v/>
      </c>
      <c r="C78">
        <f>IF($J78="","",INDEX(명단표[이름],$J78))</f>
        <v/>
      </c>
      <c r="D78">
        <f>IF($J78="","",INDEX(명단표[수련과목],$J78))</f>
        <v/>
      </c>
      <c r="E78">
        <f>IF($J78="","",INDEX(명단표[연차],$J78)&amp;"")</f>
        <v/>
      </c>
      <c r="F78">
        <f>IF($J78="","",INDEX(명단표[소속병원],$J78))</f>
        <v/>
      </c>
      <c r="G78">
        <f>IF($J78="","",INDEX(명단표[기준월 근무병원],$J78))</f>
        <v/>
      </c>
      <c r="H78">
        <f>IF($J78="","",INDEX(명단표[급여지급병원(기준월)],$J78))</f>
        <v/>
      </c>
      <c r="I78">
        <f>IF($J78="","",INDEX(명단표[급여 판정 근거],$J78))</f>
        <v/>
      </c>
      <c r="J78" s="17">
        <f>IFERROR(MATCH(74,명단표[명단순번],0),"")</f>
        <v/>
      </c>
    </row>
    <row r="79">
      <c r="A79">
        <f>IF($J79="","",TEXT(급여기준월,"yyyy-mm"))</f>
        <v/>
      </c>
      <c r="B79">
        <f>IF($J79="","",INDEX(명단표[사번],$J79)&amp;"")</f>
        <v/>
      </c>
      <c r="C79">
        <f>IF($J79="","",INDEX(명단표[이름],$J79))</f>
        <v/>
      </c>
      <c r="D79">
        <f>IF($J79="","",INDEX(명단표[수련과목],$J79))</f>
        <v/>
      </c>
      <c r="E79">
        <f>IF($J79="","",INDEX(명단표[연차],$J79)&amp;"")</f>
        <v/>
      </c>
      <c r="F79">
        <f>IF($J79="","",INDEX(명단표[소속병원],$J79))</f>
        <v/>
      </c>
      <c r="G79">
        <f>IF($J79="","",INDEX(명단표[기준월 근무병원],$J79))</f>
        <v/>
      </c>
      <c r="H79">
        <f>IF($J79="","",INDEX(명단표[급여지급병원(기준월)],$J79))</f>
        <v/>
      </c>
      <c r="I79">
        <f>IF($J79="","",INDEX(명단표[급여 판정 근거],$J79))</f>
        <v/>
      </c>
      <c r="J79" s="17">
        <f>IFERROR(MATCH(75,명단표[명단순번],0),"")</f>
        <v/>
      </c>
    </row>
    <row r="80">
      <c r="A80">
        <f>IF($J80="","",TEXT(급여기준월,"yyyy-mm"))</f>
        <v/>
      </c>
      <c r="B80">
        <f>IF($J80="","",INDEX(명단표[사번],$J80)&amp;"")</f>
        <v/>
      </c>
      <c r="C80">
        <f>IF($J80="","",INDEX(명단표[이름],$J80))</f>
        <v/>
      </c>
      <c r="D80">
        <f>IF($J80="","",INDEX(명단표[수련과목],$J80))</f>
        <v/>
      </c>
      <c r="E80">
        <f>IF($J80="","",INDEX(명단표[연차],$J80)&amp;"")</f>
        <v/>
      </c>
      <c r="F80">
        <f>IF($J80="","",INDEX(명단표[소속병원],$J80))</f>
        <v/>
      </c>
      <c r="G80">
        <f>IF($J80="","",INDEX(명단표[기준월 근무병원],$J80))</f>
        <v/>
      </c>
      <c r="H80">
        <f>IF($J80="","",INDEX(명단표[급여지급병원(기준월)],$J80))</f>
        <v/>
      </c>
      <c r="I80">
        <f>IF($J80="","",INDEX(명단표[급여 판정 근거],$J80))</f>
        <v/>
      </c>
      <c r="J80" s="17">
        <f>IFERROR(MATCH(76,명단표[명단순번],0),"")</f>
        <v/>
      </c>
    </row>
    <row r="81">
      <c r="A81">
        <f>IF($J81="","",TEXT(급여기준월,"yyyy-mm"))</f>
        <v/>
      </c>
      <c r="B81">
        <f>IF($J81="","",INDEX(명단표[사번],$J81)&amp;"")</f>
        <v/>
      </c>
      <c r="C81">
        <f>IF($J81="","",INDEX(명단표[이름],$J81))</f>
        <v/>
      </c>
      <c r="D81">
        <f>IF($J81="","",INDEX(명단표[수련과목],$J81))</f>
        <v/>
      </c>
      <c r="E81">
        <f>IF($J81="","",INDEX(명단표[연차],$J81)&amp;"")</f>
        <v/>
      </c>
      <c r="F81">
        <f>IF($J81="","",INDEX(명단표[소속병원],$J81))</f>
        <v/>
      </c>
      <c r="G81">
        <f>IF($J81="","",INDEX(명단표[기준월 근무병원],$J81))</f>
        <v/>
      </c>
      <c r="H81">
        <f>IF($J81="","",INDEX(명단표[급여지급병원(기준월)],$J81))</f>
        <v/>
      </c>
      <c r="I81">
        <f>IF($J81="","",INDEX(명단표[급여 판정 근거],$J81))</f>
        <v/>
      </c>
      <c r="J81" s="17">
        <f>IFERROR(MATCH(77,명단표[명단순번],0),"")</f>
        <v/>
      </c>
    </row>
    <row r="82">
      <c r="A82">
        <f>IF($J82="","",TEXT(급여기준월,"yyyy-mm"))</f>
        <v/>
      </c>
      <c r="B82">
        <f>IF($J82="","",INDEX(명단표[사번],$J82)&amp;"")</f>
        <v/>
      </c>
      <c r="C82">
        <f>IF($J82="","",INDEX(명단표[이름],$J82))</f>
        <v/>
      </c>
      <c r="D82">
        <f>IF($J82="","",INDEX(명단표[수련과목],$J82))</f>
        <v/>
      </c>
      <c r="E82">
        <f>IF($J82="","",INDEX(명단표[연차],$J82)&amp;"")</f>
        <v/>
      </c>
      <c r="F82">
        <f>IF($J82="","",INDEX(명단표[소속병원],$J82))</f>
        <v/>
      </c>
      <c r="G82">
        <f>IF($J82="","",INDEX(명단표[기준월 근무병원],$J82))</f>
        <v/>
      </c>
      <c r="H82">
        <f>IF($J82="","",INDEX(명단표[급여지급병원(기준월)],$J82))</f>
        <v/>
      </c>
      <c r="I82">
        <f>IF($J82="","",INDEX(명단표[급여 판정 근거],$J82))</f>
        <v/>
      </c>
      <c r="J82" s="17">
        <f>IFERROR(MATCH(78,명단표[명단순번],0),"")</f>
        <v/>
      </c>
    </row>
    <row r="83">
      <c r="A83">
        <f>IF($J83="","",TEXT(급여기준월,"yyyy-mm"))</f>
        <v/>
      </c>
      <c r="B83">
        <f>IF($J83="","",INDEX(명단표[사번],$J83)&amp;"")</f>
        <v/>
      </c>
      <c r="C83">
        <f>IF($J83="","",INDEX(명단표[이름],$J83))</f>
        <v/>
      </c>
      <c r="D83">
        <f>IF($J83="","",INDEX(명단표[수련과목],$J83))</f>
        <v/>
      </c>
      <c r="E83">
        <f>IF($J83="","",INDEX(명단표[연차],$J83)&amp;"")</f>
        <v/>
      </c>
      <c r="F83">
        <f>IF($J83="","",INDEX(명단표[소속병원],$J83))</f>
        <v/>
      </c>
      <c r="G83">
        <f>IF($J83="","",INDEX(명단표[기준월 근무병원],$J83))</f>
        <v/>
      </c>
      <c r="H83">
        <f>IF($J83="","",INDEX(명단표[급여지급병원(기준월)],$J83))</f>
        <v/>
      </c>
      <c r="I83">
        <f>IF($J83="","",INDEX(명단표[급여 판정 근거],$J83))</f>
        <v/>
      </c>
      <c r="J83" s="17">
        <f>IFERROR(MATCH(79,명단표[명단순번],0),"")</f>
        <v/>
      </c>
    </row>
    <row r="84">
      <c r="A84">
        <f>IF($J84="","",TEXT(급여기준월,"yyyy-mm"))</f>
        <v/>
      </c>
      <c r="B84">
        <f>IF($J84="","",INDEX(명단표[사번],$J84)&amp;"")</f>
        <v/>
      </c>
      <c r="C84">
        <f>IF($J84="","",INDEX(명단표[이름],$J84))</f>
        <v/>
      </c>
      <c r="D84">
        <f>IF($J84="","",INDEX(명단표[수련과목],$J84))</f>
        <v/>
      </c>
      <c r="E84">
        <f>IF($J84="","",INDEX(명단표[연차],$J84)&amp;"")</f>
        <v/>
      </c>
      <c r="F84">
        <f>IF($J84="","",INDEX(명단표[소속병원],$J84))</f>
        <v/>
      </c>
      <c r="G84">
        <f>IF($J84="","",INDEX(명단표[기준월 근무병원],$J84))</f>
        <v/>
      </c>
      <c r="H84">
        <f>IF($J84="","",INDEX(명단표[급여지급병원(기준월)],$J84))</f>
        <v/>
      </c>
      <c r="I84">
        <f>IF($J84="","",INDEX(명단표[급여 판정 근거],$J84))</f>
        <v/>
      </c>
      <c r="J84" s="17">
        <f>IFERROR(MATCH(80,명단표[명단순번],0),"")</f>
        <v/>
      </c>
    </row>
    <row r="85">
      <c r="A85">
        <f>IF($J85="","",TEXT(급여기준월,"yyyy-mm"))</f>
        <v/>
      </c>
      <c r="B85">
        <f>IF($J85="","",INDEX(명단표[사번],$J85)&amp;"")</f>
        <v/>
      </c>
      <c r="C85">
        <f>IF($J85="","",INDEX(명단표[이름],$J85))</f>
        <v/>
      </c>
      <c r="D85">
        <f>IF($J85="","",INDEX(명단표[수련과목],$J85))</f>
        <v/>
      </c>
      <c r="E85">
        <f>IF($J85="","",INDEX(명단표[연차],$J85)&amp;"")</f>
        <v/>
      </c>
      <c r="F85">
        <f>IF($J85="","",INDEX(명단표[소속병원],$J85))</f>
        <v/>
      </c>
      <c r="G85">
        <f>IF($J85="","",INDEX(명단표[기준월 근무병원],$J85))</f>
        <v/>
      </c>
      <c r="H85">
        <f>IF($J85="","",INDEX(명단표[급여지급병원(기준월)],$J85))</f>
        <v/>
      </c>
      <c r="I85">
        <f>IF($J85="","",INDEX(명단표[급여 판정 근거],$J85))</f>
        <v/>
      </c>
      <c r="J85" s="17">
        <f>IFERROR(MATCH(81,명단표[명단순번],0),"")</f>
        <v/>
      </c>
    </row>
    <row r="86">
      <c r="A86">
        <f>IF($J86="","",TEXT(급여기준월,"yyyy-mm"))</f>
        <v/>
      </c>
      <c r="B86">
        <f>IF($J86="","",INDEX(명단표[사번],$J86)&amp;"")</f>
        <v/>
      </c>
      <c r="C86">
        <f>IF($J86="","",INDEX(명단표[이름],$J86))</f>
        <v/>
      </c>
      <c r="D86">
        <f>IF($J86="","",INDEX(명단표[수련과목],$J86))</f>
        <v/>
      </c>
      <c r="E86">
        <f>IF($J86="","",INDEX(명단표[연차],$J86)&amp;"")</f>
        <v/>
      </c>
      <c r="F86">
        <f>IF($J86="","",INDEX(명단표[소속병원],$J86))</f>
        <v/>
      </c>
      <c r="G86">
        <f>IF($J86="","",INDEX(명단표[기준월 근무병원],$J86))</f>
        <v/>
      </c>
      <c r="H86">
        <f>IF($J86="","",INDEX(명단표[급여지급병원(기준월)],$J86))</f>
        <v/>
      </c>
      <c r="I86">
        <f>IF($J86="","",INDEX(명단표[급여 판정 근거],$J86))</f>
        <v/>
      </c>
      <c r="J86" s="17">
        <f>IFERROR(MATCH(82,명단표[명단순번],0),"")</f>
        <v/>
      </c>
    </row>
    <row r="87">
      <c r="A87">
        <f>IF($J87="","",TEXT(급여기준월,"yyyy-mm"))</f>
        <v/>
      </c>
      <c r="B87">
        <f>IF($J87="","",INDEX(명단표[사번],$J87)&amp;"")</f>
        <v/>
      </c>
      <c r="C87">
        <f>IF($J87="","",INDEX(명단표[이름],$J87))</f>
        <v/>
      </c>
      <c r="D87">
        <f>IF($J87="","",INDEX(명단표[수련과목],$J87))</f>
        <v/>
      </c>
      <c r="E87">
        <f>IF($J87="","",INDEX(명단표[연차],$J87)&amp;"")</f>
        <v/>
      </c>
      <c r="F87">
        <f>IF($J87="","",INDEX(명단표[소속병원],$J87))</f>
        <v/>
      </c>
      <c r="G87">
        <f>IF($J87="","",INDEX(명단표[기준월 근무병원],$J87))</f>
        <v/>
      </c>
      <c r="H87">
        <f>IF($J87="","",INDEX(명단표[급여지급병원(기준월)],$J87))</f>
        <v/>
      </c>
      <c r="I87">
        <f>IF($J87="","",INDEX(명단표[급여 판정 근거],$J87))</f>
        <v/>
      </c>
      <c r="J87" s="17">
        <f>IFERROR(MATCH(83,명단표[명단순번],0),"")</f>
        <v/>
      </c>
    </row>
    <row r="88">
      <c r="A88">
        <f>IF($J88="","",TEXT(급여기준월,"yyyy-mm"))</f>
        <v/>
      </c>
      <c r="B88">
        <f>IF($J88="","",INDEX(명단표[사번],$J88)&amp;"")</f>
        <v/>
      </c>
      <c r="C88">
        <f>IF($J88="","",INDEX(명단표[이름],$J88))</f>
        <v/>
      </c>
      <c r="D88">
        <f>IF($J88="","",INDEX(명단표[수련과목],$J88))</f>
        <v/>
      </c>
      <c r="E88">
        <f>IF($J88="","",INDEX(명단표[연차],$J88)&amp;"")</f>
        <v/>
      </c>
      <c r="F88">
        <f>IF($J88="","",INDEX(명단표[소속병원],$J88))</f>
        <v/>
      </c>
      <c r="G88">
        <f>IF($J88="","",INDEX(명단표[기준월 근무병원],$J88))</f>
        <v/>
      </c>
      <c r="H88">
        <f>IF($J88="","",INDEX(명단표[급여지급병원(기준월)],$J88))</f>
        <v/>
      </c>
      <c r="I88">
        <f>IF($J88="","",INDEX(명단표[급여 판정 근거],$J88))</f>
        <v/>
      </c>
      <c r="J88" s="17">
        <f>IFERROR(MATCH(84,명단표[명단순번],0),"")</f>
        <v/>
      </c>
    </row>
    <row r="89">
      <c r="A89">
        <f>IF($J89="","",TEXT(급여기준월,"yyyy-mm"))</f>
        <v/>
      </c>
      <c r="B89">
        <f>IF($J89="","",INDEX(명단표[사번],$J89)&amp;"")</f>
        <v/>
      </c>
      <c r="C89">
        <f>IF($J89="","",INDEX(명단표[이름],$J89))</f>
        <v/>
      </c>
      <c r="D89">
        <f>IF($J89="","",INDEX(명단표[수련과목],$J89))</f>
        <v/>
      </c>
      <c r="E89">
        <f>IF($J89="","",INDEX(명단표[연차],$J89)&amp;"")</f>
        <v/>
      </c>
      <c r="F89">
        <f>IF($J89="","",INDEX(명단표[소속병원],$J89))</f>
        <v/>
      </c>
      <c r="G89">
        <f>IF($J89="","",INDEX(명단표[기준월 근무병원],$J89))</f>
        <v/>
      </c>
      <c r="H89">
        <f>IF($J89="","",INDEX(명단표[급여지급병원(기준월)],$J89))</f>
        <v/>
      </c>
      <c r="I89">
        <f>IF($J89="","",INDEX(명단표[급여 판정 근거],$J89))</f>
        <v/>
      </c>
      <c r="J89" s="17">
        <f>IFERROR(MATCH(85,명단표[명단순번],0),"")</f>
        <v/>
      </c>
    </row>
    <row r="90">
      <c r="A90">
        <f>IF($J90="","",TEXT(급여기준월,"yyyy-mm"))</f>
        <v/>
      </c>
      <c r="B90">
        <f>IF($J90="","",INDEX(명단표[사번],$J90)&amp;"")</f>
        <v/>
      </c>
      <c r="C90">
        <f>IF($J90="","",INDEX(명단표[이름],$J90))</f>
        <v/>
      </c>
      <c r="D90">
        <f>IF($J90="","",INDEX(명단표[수련과목],$J90))</f>
        <v/>
      </c>
      <c r="E90">
        <f>IF($J90="","",INDEX(명단표[연차],$J90)&amp;"")</f>
        <v/>
      </c>
      <c r="F90">
        <f>IF($J90="","",INDEX(명단표[소속병원],$J90))</f>
        <v/>
      </c>
      <c r="G90">
        <f>IF($J90="","",INDEX(명단표[기준월 근무병원],$J90))</f>
        <v/>
      </c>
      <c r="H90">
        <f>IF($J90="","",INDEX(명단표[급여지급병원(기준월)],$J90))</f>
        <v/>
      </c>
      <c r="I90">
        <f>IF($J90="","",INDEX(명단표[급여 판정 근거],$J90))</f>
        <v/>
      </c>
      <c r="J90" s="17">
        <f>IFERROR(MATCH(86,명단표[명단순번],0),"")</f>
        <v/>
      </c>
    </row>
    <row r="91">
      <c r="A91">
        <f>IF($J91="","",TEXT(급여기준월,"yyyy-mm"))</f>
        <v/>
      </c>
      <c r="B91">
        <f>IF($J91="","",INDEX(명단표[사번],$J91)&amp;"")</f>
        <v/>
      </c>
      <c r="C91">
        <f>IF($J91="","",INDEX(명단표[이름],$J91))</f>
        <v/>
      </c>
      <c r="D91">
        <f>IF($J91="","",INDEX(명단표[수련과목],$J91))</f>
        <v/>
      </c>
      <c r="E91">
        <f>IF($J91="","",INDEX(명단표[연차],$J91)&amp;"")</f>
        <v/>
      </c>
      <c r="F91">
        <f>IF($J91="","",INDEX(명단표[소속병원],$J91))</f>
        <v/>
      </c>
      <c r="G91">
        <f>IF($J91="","",INDEX(명단표[기준월 근무병원],$J91))</f>
        <v/>
      </c>
      <c r="H91">
        <f>IF($J91="","",INDEX(명단표[급여지급병원(기준월)],$J91))</f>
        <v/>
      </c>
      <c r="I91">
        <f>IF($J91="","",INDEX(명단표[급여 판정 근거],$J91))</f>
        <v/>
      </c>
      <c r="J91" s="17">
        <f>IFERROR(MATCH(87,명단표[명단순번],0),"")</f>
        <v/>
      </c>
    </row>
    <row r="92">
      <c r="A92">
        <f>IF($J92="","",TEXT(급여기준월,"yyyy-mm"))</f>
        <v/>
      </c>
      <c r="B92">
        <f>IF($J92="","",INDEX(명단표[사번],$J92)&amp;"")</f>
        <v/>
      </c>
      <c r="C92">
        <f>IF($J92="","",INDEX(명단표[이름],$J92))</f>
        <v/>
      </c>
      <c r="D92">
        <f>IF($J92="","",INDEX(명단표[수련과목],$J92))</f>
        <v/>
      </c>
      <c r="E92">
        <f>IF($J92="","",INDEX(명단표[연차],$J92)&amp;"")</f>
        <v/>
      </c>
      <c r="F92">
        <f>IF($J92="","",INDEX(명단표[소속병원],$J92))</f>
        <v/>
      </c>
      <c r="G92">
        <f>IF($J92="","",INDEX(명단표[기준월 근무병원],$J92))</f>
        <v/>
      </c>
      <c r="H92">
        <f>IF($J92="","",INDEX(명단표[급여지급병원(기준월)],$J92))</f>
        <v/>
      </c>
      <c r="I92">
        <f>IF($J92="","",INDEX(명단표[급여 판정 근거],$J92))</f>
        <v/>
      </c>
      <c r="J92" s="17">
        <f>IFERROR(MATCH(88,명단표[명단순번],0),"")</f>
        <v/>
      </c>
    </row>
    <row r="93">
      <c r="A93">
        <f>IF($J93="","",TEXT(급여기준월,"yyyy-mm"))</f>
        <v/>
      </c>
      <c r="B93">
        <f>IF($J93="","",INDEX(명단표[사번],$J93)&amp;"")</f>
        <v/>
      </c>
      <c r="C93">
        <f>IF($J93="","",INDEX(명단표[이름],$J93))</f>
        <v/>
      </c>
      <c r="D93">
        <f>IF($J93="","",INDEX(명단표[수련과목],$J93))</f>
        <v/>
      </c>
      <c r="E93">
        <f>IF($J93="","",INDEX(명단표[연차],$J93)&amp;"")</f>
        <v/>
      </c>
      <c r="F93">
        <f>IF($J93="","",INDEX(명단표[소속병원],$J93))</f>
        <v/>
      </c>
      <c r="G93">
        <f>IF($J93="","",INDEX(명단표[기준월 근무병원],$J93))</f>
        <v/>
      </c>
      <c r="H93">
        <f>IF($J93="","",INDEX(명단표[급여지급병원(기준월)],$J93))</f>
        <v/>
      </c>
      <c r="I93">
        <f>IF($J93="","",INDEX(명단표[급여 판정 근거],$J93))</f>
        <v/>
      </c>
      <c r="J93" s="17">
        <f>IFERROR(MATCH(89,명단표[명단순번],0),"")</f>
        <v/>
      </c>
    </row>
    <row r="94">
      <c r="A94">
        <f>IF($J94="","",TEXT(급여기준월,"yyyy-mm"))</f>
        <v/>
      </c>
      <c r="B94">
        <f>IF($J94="","",INDEX(명단표[사번],$J94)&amp;"")</f>
        <v/>
      </c>
      <c r="C94">
        <f>IF($J94="","",INDEX(명단표[이름],$J94))</f>
        <v/>
      </c>
      <c r="D94">
        <f>IF($J94="","",INDEX(명단표[수련과목],$J94))</f>
        <v/>
      </c>
      <c r="E94">
        <f>IF($J94="","",INDEX(명단표[연차],$J94)&amp;"")</f>
        <v/>
      </c>
      <c r="F94">
        <f>IF($J94="","",INDEX(명단표[소속병원],$J94))</f>
        <v/>
      </c>
      <c r="G94">
        <f>IF($J94="","",INDEX(명단표[기준월 근무병원],$J94))</f>
        <v/>
      </c>
      <c r="H94">
        <f>IF($J94="","",INDEX(명단표[급여지급병원(기준월)],$J94))</f>
        <v/>
      </c>
      <c r="I94">
        <f>IF($J94="","",INDEX(명단표[급여 판정 근거],$J94))</f>
        <v/>
      </c>
      <c r="J94" s="17">
        <f>IFERROR(MATCH(90,명단표[명단순번],0),"")</f>
        <v/>
      </c>
    </row>
    <row r="95">
      <c r="A95">
        <f>IF($J95="","",TEXT(급여기준월,"yyyy-mm"))</f>
        <v/>
      </c>
      <c r="B95">
        <f>IF($J95="","",INDEX(명단표[사번],$J95)&amp;"")</f>
        <v/>
      </c>
      <c r="C95">
        <f>IF($J95="","",INDEX(명단표[이름],$J95))</f>
        <v/>
      </c>
      <c r="D95">
        <f>IF($J95="","",INDEX(명단표[수련과목],$J95))</f>
        <v/>
      </c>
      <c r="E95">
        <f>IF($J95="","",INDEX(명단표[연차],$J95)&amp;"")</f>
        <v/>
      </c>
      <c r="F95">
        <f>IF($J95="","",INDEX(명단표[소속병원],$J95))</f>
        <v/>
      </c>
      <c r="G95">
        <f>IF($J95="","",INDEX(명단표[기준월 근무병원],$J95))</f>
        <v/>
      </c>
      <c r="H95">
        <f>IF($J95="","",INDEX(명단표[급여지급병원(기준월)],$J95))</f>
        <v/>
      </c>
      <c r="I95">
        <f>IF($J95="","",INDEX(명단표[급여 판정 근거],$J95))</f>
        <v/>
      </c>
      <c r="J95" s="17">
        <f>IFERROR(MATCH(91,명단표[명단순번],0),"")</f>
        <v/>
      </c>
    </row>
    <row r="96">
      <c r="A96">
        <f>IF($J96="","",TEXT(급여기준월,"yyyy-mm"))</f>
        <v/>
      </c>
      <c r="B96">
        <f>IF($J96="","",INDEX(명단표[사번],$J96)&amp;"")</f>
        <v/>
      </c>
      <c r="C96">
        <f>IF($J96="","",INDEX(명단표[이름],$J96))</f>
        <v/>
      </c>
      <c r="D96">
        <f>IF($J96="","",INDEX(명단표[수련과목],$J96))</f>
        <v/>
      </c>
      <c r="E96">
        <f>IF($J96="","",INDEX(명단표[연차],$J96)&amp;"")</f>
        <v/>
      </c>
      <c r="F96">
        <f>IF($J96="","",INDEX(명단표[소속병원],$J96))</f>
        <v/>
      </c>
      <c r="G96">
        <f>IF($J96="","",INDEX(명단표[기준월 근무병원],$J96))</f>
        <v/>
      </c>
      <c r="H96">
        <f>IF($J96="","",INDEX(명단표[급여지급병원(기준월)],$J96))</f>
        <v/>
      </c>
      <c r="I96">
        <f>IF($J96="","",INDEX(명단표[급여 판정 근거],$J96))</f>
        <v/>
      </c>
      <c r="J96" s="17">
        <f>IFERROR(MATCH(92,명단표[명단순번],0),"")</f>
        <v/>
      </c>
    </row>
    <row r="97">
      <c r="A97">
        <f>IF($J97="","",TEXT(급여기준월,"yyyy-mm"))</f>
        <v/>
      </c>
      <c r="B97">
        <f>IF($J97="","",INDEX(명단표[사번],$J97)&amp;"")</f>
        <v/>
      </c>
      <c r="C97">
        <f>IF($J97="","",INDEX(명단표[이름],$J97))</f>
        <v/>
      </c>
      <c r="D97">
        <f>IF($J97="","",INDEX(명단표[수련과목],$J97))</f>
        <v/>
      </c>
      <c r="E97">
        <f>IF($J97="","",INDEX(명단표[연차],$J97)&amp;"")</f>
        <v/>
      </c>
      <c r="F97">
        <f>IF($J97="","",INDEX(명단표[소속병원],$J97))</f>
        <v/>
      </c>
      <c r="G97">
        <f>IF($J97="","",INDEX(명단표[기준월 근무병원],$J97))</f>
        <v/>
      </c>
      <c r="H97">
        <f>IF($J97="","",INDEX(명단표[급여지급병원(기준월)],$J97))</f>
        <v/>
      </c>
      <c r="I97">
        <f>IF($J97="","",INDEX(명단표[급여 판정 근거],$J97))</f>
        <v/>
      </c>
      <c r="J97" s="17">
        <f>IFERROR(MATCH(93,명단표[명단순번],0),"")</f>
        <v/>
      </c>
    </row>
    <row r="98">
      <c r="A98">
        <f>IF($J98="","",TEXT(급여기준월,"yyyy-mm"))</f>
        <v/>
      </c>
      <c r="B98">
        <f>IF($J98="","",INDEX(명단표[사번],$J98)&amp;"")</f>
        <v/>
      </c>
      <c r="C98">
        <f>IF($J98="","",INDEX(명단표[이름],$J98))</f>
        <v/>
      </c>
      <c r="D98">
        <f>IF($J98="","",INDEX(명단표[수련과목],$J98))</f>
        <v/>
      </c>
      <c r="E98">
        <f>IF($J98="","",INDEX(명단표[연차],$J98)&amp;"")</f>
        <v/>
      </c>
      <c r="F98">
        <f>IF($J98="","",INDEX(명단표[소속병원],$J98))</f>
        <v/>
      </c>
      <c r="G98">
        <f>IF($J98="","",INDEX(명단표[기준월 근무병원],$J98))</f>
        <v/>
      </c>
      <c r="H98">
        <f>IF($J98="","",INDEX(명단표[급여지급병원(기준월)],$J98))</f>
        <v/>
      </c>
      <c r="I98">
        <f>IF($J98="","",INDEX(명단표[급여 판정 근거],$J98))</f>
        <v/>
      </c>
      <c r="J98" s="17">
        <f>IFERROR(MATCH(94,명단표[명단순번],0),"")</f>
        <v/>
      </c>
    </row>
    <row r="99">
      <c r="A99">
        <f>IF($J99="","",TEXT(급여기준월,"yyyy-mm"))</f>
        <v/>
      </c>
      <c r="B99">
        <f>IF($J99="","",INDEX(명단표[사번],$J99)&amp;"")</f>
        <v/>
      </c>
      <c r="C99">
        <f>IF($J99="","",INDEX(명단표[이름],$J99))</f>
        <v/>
      </c>
      <c r="D99">
        <f>IF($J99="","",INDEX(명단표[수련과목],$J99))</f>
        <v/>
      </c>
      <c r="E99">
        <f>IF($J99="","",INDEX(명단표[연차],$J99)&amp;"")</f>
        <v/>
      </c>
      <c r="F99">
        <f>IF($J99="","",INDEX(명단표[소속병원],$J99))</f>
        <v/>
      </c>
      <c r="G99">
        <f>IF($J99="","",INDEX(명단표[기준월 근무병원],$J99))</f>
        <v/>
      </c>
      <c r="H99">
        <f>IF($J99="","",INDEX(명단표[급여지급병원(기준월)],$J99))</f>
        <v/>
      </c>
      <c r="I99">
        <f>IF($J99="","",INDEX(명단표[급여 판정 근거],$J99))</f>
        <v/>
      </c>
      <c r="J99" s="17">
        <f>IFERROR(MATCH(95,명단표[명단순번],0),"")</f>
        <v/>
      </c>
    </row>
    <row r="100">
      <c r="A100">
        <f>IF($J100="","",TEXT(급여기준월,"yyyy-mm"))</f>
        <v/>
      </c>
      <c r="B100">
        <f>IF($J100="","",INDEX(명단표[사번],$J100)&amp;"")</f>
        <v/>
      </c>
      <c r="C100">
        <f>IF($J100="","",INDEX(명단표[이름],$J100))</f>
        <v/>
      </c>
      <c r="D100">
        <f>IF($J100="","",INDEX(명단표[수련과목],$J100))</f>
        <v/>
      </c>
      <c r="E100">
        <f>IF($J100="","",INDEX(명단표[연차],$J100)&amp;"")</f>
        <v/>
      </c>
      <c r="F100">
        <f>IF($J100="","",INDEX(명단표[소속병원],$J100))</f>
        <v/>
      </c>
      <c r="G100">
        <f>IF($J100="","",INDEX(명단표[기준월 근무병원],$J100))</f>
        <v/>
      </c>
      <c r="H100">
        <f>IF($J100="","",INDEX(명단표[급여지급병원(기준월)],$J100))</f>
        <v/>
      </c>
      <c r="I100">
        <f>IF($J100="","",INDEX(명단표[급여 판정 근거],$J100))</f>
        <v/>
      </c>
      <c r="J100" s="17">
        <f>IFERROR(MATCH(96,명단표[명단순번],0),"")</f>
        <v/>
      </c>
    </row>
    <row r="101">
      <c r="A101">
        <f>IF($J101="","",TEXT(급여기준월,"yyyy-mm"))</f>
        <v/>
      </c>
      <c r="B101">
        <f>IF($J101="","",INDEX(명단표[사번],$J101)&amp;"")</f>
        <v/>
      </c>
      <c r="C101">
        <f>IF($J101="","",INDEX(명단표[이름],$J101))</f>
        <v/>
      </c>
      <c r="D101">
        <f>IF($J101="","",INDEX(명단표[수련과목],$J101))</f>
        <v/>
      </c>
      <c r="E101">
        <f>IF($J101="","",INDEX(명단표[연차],$J101)&amp;"")</f>
        <v/>
      </c>
      <c r="F101">
        <f>IF($J101="","",INDEX(명단표[소속병원],$J101))</f>
        <v/>
      </c>
      <c r="G101">
        <f>IF($J101="","",INDEX(명단표[기준월 근무병원],$J101))</f>
        <v/>
      </c>
      <c r="H101">
        <f>IF($J101="","",INDEX(명단표[급여지급병원(기준월)],$J101))</f>
        <v/>
      </c>
      <c r="I101">
        <f>IF($J101="","",INDEX(명단표[급여 판정 근거],$J101))</f>
        <v/>
      </c>
      <c r="J101" s="17">
        <f>IFERROR(MATCH(97,명단표[명단순번],0),"")</f>
        <v/>
      </c>
    </row>
    <row r="102">
      <c r="A102">
        <f>IF($J102="","",TEXT(급여기준월,"yyyy-mm"))</f>
        <v/>
      </c>
      <c r="B102">
        <f>IF($J102="","",INDEX(명단표[사번],$J102)&amp;"")</f>
        <v/>
      </c>
      <c r="C102">
        <f>IF($J102="","",INDEX(명단표[이름],$J102))</f>
        <v/>
      </c>
      <c r="D102">
        <f>IF($J102="","",INDEX(명단표[수련과목],$J102))</f>
        <v/>
      </c>
      <c r="E102">
        <f>IF($J102="","",INDEX(명단표[연차],$J102)&amp;"")</f>
        <v/>
      </c>
      <c r="F102">
        <f>IF($J102="","",INDEX(명단표[소속병원],$J102))</f>
        <v/>
      </c>
      <c r="G102">
        <f>IF($J102="","",INDEX(명단표[기준월 근무병원],$J102))</f>
        <v/>
      </c>
      <c r="H102">
        <f>IF($J102="","",INDEX(명단표[급여지급병원(기준월)],$J102))</f>
        <v/>
      </c>
      <c r="I102">
        <f>IF($J102="","",INDEX(명단표[급여 판정 근거],$J102))</f>
        <v/>
      </c>
      <c r="J102" s="17">
        <f>IFERROR(MATCH(98,명단표[명단순번],0),"")</f>
        <v/>
      </c>
    </row>
    <row r="103">
      <c r="A103">
        <f>IF($J103="","",TEXT(급여기준월,"yyyy-mm"))</f>
        <v/>
      </c>
      <c r="B103">
        <f>IF($J103="","",INDEX(명단표[사번],$J103)&amp;"")</f>
        <v/>
      </c>
      <c r="C103">
        <f>IF($J103="","",INDEX(명단표[이름],$J103))</f>
        <v/>
      </c>
      <c r="D103">
        <f>IF($J103="","",INDEX(명단표[수련과목],$J103))</f>
        <v/>
      </c>
      <c r="E103">
        <f>IF($J103="","",INDEX(명단표[연차],$J103)&amp;"")</f>
        <v/>
      </c>
      <c r="F103">
        <f>IF($J103="","",INDEX(명단표[소속병원],$J103))</f>
        <v/>
      </c>
      <c r="G103">
        <f>IF($J103="","",INDEX(명단표[기준월 근무병원],$J103))</f>
        <v/>
      </c>
      <c r="H103">
        <f>IF($J103="","",INDEX(명단표[급여지급병원(기준월)],$J103))</f>
        <v/>
      </c>
      <c r="I103">
        <f>IF($J103="","",INDEX(명단표[급여 판정 근거],$J103))</f>
        <v/>
      </c>
      <c r="J103" s="17">
        <f>IFERROR(MATCH(99,명단표[명단순번],0),"")</f>
        <v/>
      </c>
    </row>
    <row r="104">
      <c r="A104">
        <f>IF($J104="","",TEXT(급여기준월,"yyyy-mm"))</f>
        <v/>
      </c>
      <c r="B104">
        <f>IF($J104="","",INDEX(명단표[사번],$J104)&amp;"")</f>
        <v/>
      </c>
      <c r="C104">
        <f>IF($J104="","",INDEX(명단표[이름],$J104))</f>
        <v/>
      </c>
      <c r="D104">
        <f>IF($J104="","",INDEX(명단표[수련과목],$J104))</f>
        <v/>
      </c>
      <c r="E104">
        <f>IF($J104="","",INDEX(명단표[연차],$J104)&amp;"")</f>
        <v/>
      </c>
      <c r="F104">
        <f>IF($J104="","",INDEX(명단표[소속병원],$J104))</f>
        <v/>
      </c>
      <c r="G104">
        <f>IF($J104="","",INDEX(명단표[기준월 근무병원],$J104))</f>
        <v/>
      </c>
      <c r="H104">
        <f>IF($J104="","",INDEX(명단표[급여지급병원(기준월)],$J104))</f>
        <v/>
      </c>
      <c r="I104">
        <f>IF($J104="","",INDEX(명단표[급여 판정 근거],$J104))</f>
        <v/>
      </c>
      <c r="J104" s="17">
        <f>IFERROR(MATCH(100,명단표[명단순번],0),"")</f>
        <v/>
      </c>
    </row>
    <row r="105">
      <c r="A105">
        <f>IF($J105="","",TEXT(급여기준월,"yyyy-mm"))</f>
        <v/>
      </c>
      <c r="B105">
        <f>IF($J105="","",INDEX(명단표[사번],$J105)&amp;"")</f>
        <v/>
      </c>
      <c r="C105">
        <f>IF($J105="","",INDEX(명단표[이름],$J105))</f>
        <v/>
      </c>
      <c r="D105">
        <f>IF($J105="","",INDEX(명단표[수련과목],$J105))</f>
        <v/>
      </c>
      <c r="E105">
        <f>IF($J105="","",INDEX(명단표[연차],$J105)&amp;"")</f>
        <v/>
      </c>
      <c r="F105">
        <f>IF($J105="","",INDEX(명단표[소속병원],$J105))</f>
        <v/>
      </c>
      <c r="G105">
        <f>IF($J105="","",INDEX(명단표[기준월 근무병원],$J105))</f>
        <v/>
      </c>
      <c r="H105">
        <f>IF($J105="","",INDEX(명단표[급여지급병원(기준월)],$J105))</f>
        <v/>
      </c>
      <c r="I105">
        <f>IF($J105="","",INDEX(명단표[급여 판정 근거],$J105))</f>
        <v/>
      </c>
      <c r="J105" s="17">
        <f>IFERROR(MATCH(101,명단표[명단순번],0),"")</f>
        <v/>
      </c>
    </row>
    <row r="106">
      <c r="A106">
        <f>IF($J106="","",TEXT(급여기준월,"yyyy-mm"))</f>
        <v/>
      </c>
      <c r="B106">
        <f>IF($J106="","",INDEX(명단표[사번],$J106)&amp;"")</f>
        <v/>
      </c>
      <c r="C106">
        <f>IF($J106="","",INDEX(명단표[이름],$J106))</f>
        <v/>
      </c>
      <c r="D106">
        <f>IF($J106="","",INDEX(명단표[수련과목],$J106))</f>
        <v/>
      </c>
      <c r="E106">
        <f>IF($J106="","",INDEX(명단표[연차],$J106)&amp;"")</f>
        <v/>
      </c>
      <c r="F106">
        <f>IF($J106="","",INDEX(명단표[소속병원],$J106))</f>
        <v/>
      </c>
      <c r="G106">
        <f>IF($J106="","",INDEX(명단표[기준월 근무병원],$J106))</f>
        <v/>
      </c>
      <c r="H106">
        <f>IF($J106="","",INDEX(명단표[급여지급병원(기준월)],$J106))</f>
        <v/>
      </c>
      <c r="I106">
        <f>IF($J106="","",INDEX(명단표[급여 판정 근거],$J106))</f>
        <v/>
      </c>
      <c r="J106" s="17">
        <f>IFERROR(MATCH(102,명단표[명단순번],0),"")</f>
        <v/>
      </c>
    </row>
    <row r="107">
      <c r="A107">
        <f>IF($J107="","",TEXT(급여기준월,"yyyy-mm"))</f>
        <v/>
      </c>
      <c r="B107">
        <f>IF($J107="","",INDEX(명단표[사번],$J107)&amp;"")</f>
        <v/>
      </c>
      <c r="C107">
        <f>IF($J107="","",INDEX(명단표[이름],$J107))</f>
        <v/>
      </c>
      <c r="D107">
        <f>IF($J107="","",INDEX(명단표[수련과목],$J107))</f>
        <v/>
      </c>
      <c r="E107">
        <f>IF($J107="","",INDEX(명단표[연차],$J107)&amp;"")</f>
        <v/>
      </c>
      <c r="F107">
        <f>IF($J107="","",INDEX(명단표[소속병원],$J107))</f>
        <v/>
      </c>
      <c r="G107">
        <f>IF($J107="","",INDEX(명단표[기준월 근무병원],$J107))</f>
        <v/>
      </c>
      <c r="H107">
        <f>IF($J107="","",INDEX(명단표[급여지급병원(기준월)],$J107))</f>
        <v/>
      </c>
      <c r="I107">
        <f>IF($J107="","",INDEX(명단표[급여 판정 근거],$J107))</f>
        <v/>
      </c>
      <c r="J107" s="17">
        <f>IFERROR(MATCH(103,명단표[명단순번],0),"")</f>
        <v/>
      </c>
    </row>
    <row r="108">
      <c r="A108">
        <f>IF($J108="","",TEXT(급여기준월,"yyyy-mm"))</f>
        <v/>
      </c>
      <c r="B108">
        <f>IF($J108="","",INDEX(명단표[사번],$J108)&amp;"")</f>
        <v/>
      </c>
      <c r="C108">
        <f>IF($J108="","",INDEX(명단표[이름],$J108))</f>
        <v/>
      </c>
      <c r="D108">
        <f>IF($J108="","",INDEX(명단표[수련과목],$J108))</f>
        <v/>
      </c>
      <c r="E108">
        <f>IF($J108="","",INDEX(명단표[연차],$J108)&amp;"")</f>
        <v/>
      </c>
      <c r="F108">
        <f>IF($J108="","",INDEX(명단표[소속병원],$J108))</f>
        <v/>
      </c>
      <c r="G108">
        <f>IF($J108="","",INDEX(명단표[기준월 근무병원],$J108))</f>
        <v/>
      </c>
      <c r="H108">
        <f>IF($J108="","",INDEX(명단표[급여지급병원(기준월)],$J108))</f>
        <v/>
      </c>
      <c r="I108">
        <f>IF($J108="","",INDEX(명단표[급여 판정 근거],$J108))</f>
        <v/>
      </c>
      <c r="J108" s="17">
        <f>IFERROR(MATCH(104,명단표[명단순번],0),"")</f>
        <v/>
      </c>
    </row>
    <row r="109">
      <c r="A109">
        <f>IF($J109="","",TEXT(급여기준월,"yyyy-mm"))</f>
        <v/>
      </c>
      <c r="B109">
        <f>IF($J109="","",INDEX(명단표[사번],$J109)&amp;"")</f>
        <v/>
      </c>
      <c r="C109">
        <f>IF($J109="","",INDEX(명단표[이름],$J109))</f>
        <v/>
      </c>
      <c r="D109">
        <f>IF($J109="","",INDEX(명단표[수련과목],$J109))</f>
        <v/>
      </c>
      <c r="E109">
        <f>IF($J109="","",INDEX(명단표[연차],$J109)&amp;"")</f>
        <v/>
      </c>
      <c r="F109">
        <f>IF($J109="","",INDEX(명단표[소속병원],$J109))</f>
        <v/>
      </c>
      <c r="G109">
        <f>IF($J109="","",INDEX(명단표[기준월 근무병원],$J109))</f>
        <v/>
      </c>
      <c r="H109">
        <f>IF($J109="","",INDEX(명단표[급여지급병원(기준월)],$J109))</f>
        <v/>
      </c>
      <c r="I109">
        <f>IF($J109="","",INDEX(명단표[급여 판정 근거],$J109))</f>
        <v/>
      </c>
      <c r="J109" s="17">
        <f>IFERROR(MATCH(105,명단표[명단순번],0),"")</f>
        <v/>
      </c>
    </row>
    <row r="110">
      <c r="A110">
        <f>IF($J110="","",TEXT(급여기준월,"yyyy-mm"))</f>
        <v/>
      </c>
      <c r="B110">
        <f>IF($J110="","",INDEX(명단표[사번],$J110)&amp;"")</f>
        <v/>
      </c>
      <c r="C110">
        <f>IF($J110="","",INDEX(명단표[이름],$J110))</f>
        <v/>
      </c>
      <c r="D110">
        <f>IF($J110="","",INDEX(명단표[수련과목],$J110))</f>
        <v/>
      </c>
      <c r="E110">
        <f>IF($J110="","",INDEX(명단표[연차],$J110)&amp;"")</f>
        <v/>
      </c>
      <c r="F110">
        <f>IF($J110="","",INDEX(명단표[소속병원],$J110))</f>
        <v/>
      </c>
      <c r="G110">
        <f>IF($J110="","",INDEX(명단표[기준월 근무병원],$J110))</f>
        <v/>
      </c>
      <c r="H110">
        <f>IF($J110="","",INDEX(명단표[급여지급병원(기준월)],$J110))</f>
        <v/>
      </c>
      <c r="I110">
        <f>IF($J110="","",INDEX(명단표[급여 판정 근거],$J110))</f>
        <v/>
      </c>
      <c r="J110" s="17">
        <f>IFERROR(MATCH(106,명단표[명단순번],0),"")</f>
        <v/>
      </c>
    </row>
    <row r="111">
      <c r="A111">
        <f>IF($J111="","",TEXT(급여기준월,"yyyy-mm"))</f>
        <v/>
      </c>
      <c r="B111">
        <f>IF($J111="","",INDEX(명단표[사번],$J111)&amp;"")</f>
        <v/>
      </c>
      <c r="C111">
        <f>IF($J111="","",INDEX(명단표[이름],$J111))</f>
        <v/>
      </c>
      <c r="D111">
        <f>IF($J111="","",INDEX(명단표[수련과목],$J111))</f>
        <v/>
      </c>
      <c r="E111">
        <f>IF($J111="","",INDEX(명단표[연차],$J111)&amp;"")</f>
        <v/>
      </c>
      <c r="F111">
        <f>IF($J111="","",INDEX(명단표[소속병원],$J111))</f>
        <v/>
      </c>
      <c r="G111">
        <f>IF($J111="","",INDEX(명단표[기준월 근무병원],$J111))</f>
        <v/>
      </c>
      <c r="H111">
        <f>IF($J111="","",INDEX(명단표[급여지급병원(기준월)],$J111))</f>
        <v/>
      </c>
      <c r="I111">
        <f>IF($J111="","",INDEX(명단표[급여 판정 근거],$J111))</f>
        <v/>
      </c>
      <c r="J111" s="17">
        <f>IFERROR(MATCH(107,명단표[명단순번],0),"")</f>
        <v/>
      </c>
    </row>
    <row r="112">
      <c r="A112">
        <f>IF($J112="","",TEXT(급여기준월,"yyyy-mm"))</f>
        <v/>
      </c>
      <c r="B112">
        <f>IF($J112="","",INDEX(명단표[사번],$J112)&amp;"")</f>
        <v/>
      </c>
      <c r="C112">
        <f>IF($J112="","",INDEX(명단표[이름],$J112))</f>
        <v/>
      </c>
      <c r="D112">
        <f>IF($J112="","",INDEX(명단표[수련과목],$J112))</f>
        <v/>
      </c>
      <c r="E112">
        <f>IF($J112="","",INDEX(명단표[연차],$J112)&amp;"")</f>
        <v/>
      </c>
      <c r="F112">
        <f>IF($J112="","",INDEX(명단표[소속병원],$J112))</f>
        <v/>
      </c>
      <c r="G112">
        <f>IF($J112="","",INDEX(명단표[기준월 근무병원],$J112))</f>
        <v/>
      </c>
      <c r="H112">
        <f>IF($J112="","",INDEX(명단표[급여지급병원(기준월)],$J112))</f>
        <v/>
      </c>
      <c r="I112">
        <f>IF($J112="","",INDEX(명단표[급여 판정 근거],$J112))</f>
        <v/>
      </c>
      <c r="J112" s="17">
        <f>IFERROR(MATCH(108,명단표[명단순번],0),"")</f>
        <v/>
      </c>
    </row>
    <row r="113">
      <c r="A113">
        <f>IF($J113="","",TEXT(급여기준월,"yyyy-mm"))</f>
        <v/>
      </c>
      <c r="B113">
        <f>IF($J113="","",INDEX(명단표[사번],$J113)&amp;"")</f>
        <v/>
      </c>
      <c r="C113">
        <f>IF($J113="","",INDEX(명단표[이름],$J113))</f>
        <v/>
      </c>
      <c r="D113">
        <f>IF($J113="","",INDEX(명단표[수련과목],$J113))</f>
        <v/>
      </c>
      <c r="E113">
        <f>IF($J113="","",INDEX(명단표[연차],$J113)&amp;"")</f>
        <v/>
      </c>
      <c r="F113">
        <f>IF($J113="","",INDEX(명단표[소속병원],$J113))</f>
        <v/>
      </c>
      <c r="G113">
        <f>IF($J113="","",INDEX(명단표[기준월 근무병원],$J113))</f>
        <v/>
      </c>
      <c r="H113">
        <f>IF($J113="","",INDEX(명단표[급여지급병원(기준월)],$J113))</f>
        <v/>
      </c>
      <c r="I113">
        <f>IF($J113="","",INDEX(명단표[급여 판정 근거],$J113))</f>
        <v/>
      </c>
      <c r="J113" s="17">
        <f>IFERROR(MATCH(109,명단표[명단순번],0),"")</f>
        <v/>
      </c>
    </row>
    <row r="114">
      <c r="A114">
        <f>IF($J114="","",TEXT(급여기준월,"yyyy-mm"))</f>
        <v/>
      </c>
      <c r="B114">
        <f>IF($J114="","",INDEX(명단표[사번],$J114)&amp;"")</f>
        <v/>
      </c>
      <c r="C114">
        <f>IF($J114="","",INDEX(명단표[이름],$J114))</f>
        <v/>
      </c>
      <c r="D114">
        <f>IF($J114="","",INDEX(명단표[수련과목],$J114))</f>
        <v/>
      </c>
      <c r="E114">
        <f>IF($J114="","",INDEX(명단표[연차],$J114)&amp;"")</f>
        <v/>
      </c>
      <c r="F114">
        <f>IF($J114="","",INDEX(명단표[소속병원],$J114))</f>
        <v/>
      </c>
      <c r="G114">
        <f>IF($J114="","",INDEX(명단표[기준월 근무병원],$J114))</f>
        <v/>
      </c>
      <c r="H114">
        <f>IF($J114="","",INDEX(명단표[급여지급병원(기준월)],$J114))</f>
        <v/>
      </c>
      <c r="I114">
        <f>IF($J114="","",INDEX(명단표[급여 판정 근거],$J114))</f>
        <v/>
      </c>
      <c r="J114" s="17">
        <f>IFERROR(MATCH(110,명단표[명단순번],0),"")</f>
        <v/>
      </c>
    </row>
    <row r="115">
      <c r="A115">
        <f>IF($J115="","",TEXT(급여기준월,"yyyy-mm"))</f>
        <v/>
      </c>
      <c r="B115">
        <f>IF($J115="","",INDEX(명단표[사번],$J115)&amp;"")</f>
        <v/>
      </c>
      <c r="C115">
        <f>IF($J115="","",INDEX(명단표[이름],$J115))</f>
        <v/>
      </c>
      <c r="D115">
        <f>IF($J115="","",INDEX(명단표[수련과목],$J115))</f>
        <v/>
      </c>
      <c r="E115">
        <f>IF($J115="","",INDEX(명단표[연차],$J115)&amp;"")</f>
        <v/>
      </c>
      <c r="F115">
        <f>IF($J115="","",INDEX(명단표[소속병원],$J115))</f>
        <v/>
      </c>
      <c r="G115">
        <f>IF($J115="","",INDEX(명단표[기준월 근무병원],$J115))</f>
        <v/>
      </c>
      <c r="H115">
        <f>IF($J115="","",INDEX(명단표[급여지급병원(기준월)],$J115))</f>
        <v/>
      </c>
      <c r="I115">
        <f>IF($J115="","",INDEX(명단표[급여 판정 근거],$J115))</f>
        <v/>
      </c>
      <c r="J115" s="17">
        <f>IFERROR(MATCH(111,명단표[명단순번],0),"")</f>
        <v/>
      </c>
    </row>
    <row r="116">
      <c r="A116">
        <f>IF($J116="","",TEXT(급여기준월,"yyyy-mm"))</f>
        <v/>
      </c>
      <c r="B116">
        <f>IF($J116="","",INDEX(명단표[사번],$J116)&amp;"")</f>
        <v/>
      </c>
      <c r="C116">
        <f>IF($J116="","",INDEX(명단표[이름],$J116))</f>
        <v/>
      </c>
      <c r="D116">
        <f>IF($J116="","",INDEX(명단표[수련과목],$J116))</f>
        <v/>
      </c>
      <c r="E116">
        <f>IF($J116="","",INDEX(명단표[연차],$J116)&amp;"")</f>
        <v/>
      </c>
      <c r="F116">
        <f>IF($J116="","",INDEX(명단표[소속병원],$J116))</f>
        <v/>
      </c>
      <c r="G116">
        <f>IF($J116="","",INDEX(명단표[기준월 근무병원],$J116))</f>
        <v/>
      </c>
      <c r="H116">
        <f>IF($J116="","",INDEX(명단표[급여지급병원(기준월)],$J116))</f>
        <v/>
      </c>
      <c r="I116">
        <f>IF($J116="","",INDEX(명단표[급여 판정 근거],$J116))</f>
        <v/>
      </c>
      <c r="J116" s="17">
        <f>IFERROR(MATCH(112,명단표[명단순번],0),"")</f>
        <v/>
      </c>
    </row>
    <row r="117">
      <c r="A117">
        <f>IF($J117="","",TEXT(급여기준월,"yyyy-mm"))</f>
        <v/>
      </c>
      <c r="B117">
        <f>IF($J117="","",INDEX(명단표[사번],$J117)&amp;"")</f>
        <v/>
      </c>
      <c r="C117">
        <f>IF($J117="","",INDEX(명단표[이름],$J117))</f>
        <v/>
      </c>
      <c r="D117">
        <f>IF($J117="","",INDEX(명단표[수련과목],$J117))</f>
        <v/>
      </c>
      <c r="E117">
        <f>IF($J117="","",INDEX(명단표[연차],$J117)&amp;"")</f>
        <v/>
      </c>
      <c r="F117">
        <f>IF($J117="","",INDEX(명단표[소속병원],$J117))</f>
        <v/>
      </c>
      <c r="G117">
        <f>IF($J117="","",INDEX(명단표[기준월 근무병원],$J117))</f>
        <v/>
      </c>
      <c r="H117">
        <f>IF($J117="","",INDEX(명단표[급여지급병원(기준월)],$J117))</f>
        <v/>
      </c>
      <c r="I117">
        <f>IF($J117="","",INDEX(명단표[급여 판정 근거],$J117))</f>
        <v/>
      </c>
      <c r="J117" s="17">
        <f>IFERROR(MATCH(113,명단표[명단순번],0),"")</f>
        <v/>
      </c>
    </row>
    <row r="118">
      <c r="A118">
        <f>IF($J118="","",TEXT(급여기준월,"yyyy-mm"))</f>
        <v/>
      </c>
      <c r="B118">
        <f>IF($J118="","",INDEX(명단표[사번],$J118)&amp;"")</f>
        <v/>
      </c>
      <c r="C118">
        <f>IF($J118="","",INDEX(명단표[이름],$J118))</f>
        <v/>
      </c>
      <c r="D118">
        <f>IF($J118="","",INDEX(명단표[수련과목],$J118))</f>
        <v/>
      </c>
      <c r="E118">
        <f>IF($J118="","",INDEX(명단표[연차],$J118)&amp;"")</f>
        <v/>
      </c>
      <c r="F118">
        <f>IF($J118="","",INDEX(명단표[소속병원],$J118))</f>
        <v/>
      </c>
      <c r="G118">
        <f>IF($J118="","",INDEX(명단표[기준월 근무병원],$J118))</f>
        <v/>
      </c>
      <c r="H118">
        <f>IF($J118="","",INDEX(명단표[급여지급병원(기준월)],$J118))</f>
        <v/>
      </c>
      <c r="I118">
        <f>IF($J118="","",INDEX(명단표[급여 판정 근거],$J118))</f>
        <v/>
      </c>
      <c r="J118" s="17">
        <f>IFERROR(MATCH(114,명단표[명단순번],0),"")</f>
        <v/>
      </c>
    </row>
    <row r="119">
      <c r="A119">
        <f>IF($J119="","",TEXT(급여기준월,"yyyy-mm"))</f>
        <v/>
      </c>
      <c r="B119">
        <f>IF($J119="","",INDEX(명단표[사번],$J119)&amp;"")</f>
        <v/>
      </c>
      <c r="C119">
        <f>IF($J119="","",INDEX(명단표[이름],$J119))</f>
        <v/>
      </c>
      <c r="D119">
        <f>IF($J119="","",INDEX(명단표[수련과목],$J119))</f>
        <v/>
      </c>
      <c r="E119">
        <f>IF($J119="","",INDEX(명단표[연차],$J119)&amp;"")</f>
        <v/>
      </c>
      <c r="F119">
        <f>IF($J119="","",INDEX(명단표[소속병원],$J119))</f>
        <v/>
      </c>
      <c r="G119">
        <f>IF($J119="","",INDEX(명단표[기준월 근무병원],$J119))</f>
        <v/>
      </c>
      <c r="H119">
        <f>IF($J119="","",INDEX(명단표[급여지급병원(기준월)],$J119))</f>
        <v/>
      </c>
      <c r="I119">
        <f>IF($J119="","",INDEX(명단표[급여 판정 근거],$J119))</f>
        <v/>
      </c>
      <c r="J119" s="17">
        <f>IFERROR(MATCH(115,명단표[명단순번],0),"")</f>
        <v/>
      </c>
    </row>
    <row r="120">
      <c r="A120">
        <f>IF($J120="","",TEXT(급여기준월,"yyyy-mm"))</f>
        <v/>
      </c>
      <c r="B120">
        <f>IF($J120="","",INDEX(명단표[사번],$J120)&amp;"")</f>
        <v/>
      </c>
      <c r="C120">
        <f>IF($J120="","",INDEX(명단표[이름],$J120))</f>
        <v/>
      </c>
      <c r="D120">
        <f>IF($J120="","",INDEX(명단표[수련과목],$J120))</f>
        <v/>
      </c>
      <c r="E120">
        <f>IF($J120="","",INDEX(명단표[연차],$J120)&amp;"")</f>
        <v/>
      </c>
      <c r="F120">
        <f>IF($J120="","",INDEX(명단표[소속병원],$J120))</f>
        <v/>
      </c>
      <c r="G120">
        <f>IF($J120="","",INDEX(명단표[기준월 근무병원],$J120))</f>
        <v/>
      </c>
      <c r="H120">
        <f>IF($J120="","",INDEX(명단표[급여지급병원(기준월)],$J120))</f>
        <v/>
      </c>
      <c r="I120">
        <f>IF($J120="","",INDEX(명단표[급여 판정 근거],$J120))</f>
        <v/>
      </c>
      <c r="J120" s="17">
        <f>IFERROR(MATCH(116,명단표[명단순번],0),"")</f>
        <v/>
      </c>
    </row>
    <row r="121">
      <c r="A121">
        <f>IF($J121="","",TEXT(급여기준월,"yyyy-mm"))</f>
        <v/>
      </c>
      <c r="B121">
        <f>IF($J121="","",INDEX(명단표[사번],$J121)&amp;"")</f>
        <v/>
      </c>
      <c r="C121">
        <f>IF($J121="","",INDEX(명단표[이름],$J121))</f>
        <v/>
      </c>
      <c r="D121">
        <f>IF($J121="","",INDEX(명단표[수련과목],$J121))</f>
        <v/>
      </c>
      <c r="E121">
        <f>IF($J121="","",INDEX(명단표[연차],$J121)&amp;"")</f>
        <v/>
      </c>
      <c r="F121">
        <f>IF($J121="","",INDEX(명단표[소속병원],$J121))</f>
        <v/>
      </c>
      <c r="G121">
        <f>IF($J121="","",INDEX(명단표[기준월 근무병원],$J121))</f>
        <v/>
      </c>
      <c r="H121">
        <f>IF($J121="","",INDEX(명단표[급여지급병원(기준월)],$J121))</f>
        <v/>
      </c>
      <c r="I121">
        <f>IF($J121="","",INDEX(명단표[급여 판정 근거],$J121))</f>
        <v/>
      </c>
      <c r="J121" s="17">
        <f>IFERROR(MATCH(117,명단표[명단순번],0),"")</f>
        <v/>
      </c>
    </row>
    <row r="122">
      <c r="A122">
        <f>IF($J122="","",TEXT(급여기준월,"yyyy-mm"))</f>
        <v/>
      </c>
      <c r="B122">
        <f>IF($J122="","",INDEX(명단표[사번],$J122)&amp;"")</f>
        <v/>
      </c>
      <c r="C122">
        <f>IF($J122="","",INDEX(명단표[이름],$J122))</f>
        <v/>
      </c>
      <c r="D122">
        <f>IF($J122="","",INDEX(명단표[수련과목],$J122))</f>
        <v/>
      </c>
      <c r="E122">
        <f>IF($J122="","",INDEX(명단표[연차],$J122)&amp;"")</f>
        <v/>
      </c>
      <c r="F122">
        <f>IF($J122="","",INDEX(명단표[소속병원],$J122))</f>
        <v/>
      </c>
      <c r="G122">
        <f>IF($J122="","",INDEX(명단표[기준월 근무병원],$J122))</f>
        <v/>
      </c>
      <c r="H122">
        <f>IF($J122="","",INDEX(명단표[급여지급병원(기준월)],$J122))</f>
        <v/>
      </c>
      <c r="I122">
        <f>IF($J122="","",INDEX(명단표[급여 판정 근거],$J122))</f>
        <v/>
      </c>
      <c r="J122" s="17">
        <f>IFERROR(MATCH(118,명단표[명단순번],0),"")</f>
        <v/>
      </c>
    </row>
    <row r="123">
      <c r="A123">
        <f>IF($J123="","",TEXT(급여기준월,"yyyy-mm"))</f>
        <v/>
      </c>
      <c r="B123">
        <f>IF($J123="","",INDEX(명단표[사번],$J123)&amp;"")</f>
        <v/>
      </c>
      <c r="C123">
        <f>IF($J123="","",INDEX(명단표[이름],$J123))</f>
        <v/>
      </c>
      <c r="D123">
        <f>IF($J123="","",INDEX(명단표[수련과목],$J123))</f>
        <v/>
      </c>
      <c r="E123">
        <f>IF($J123="","",INDEX(명단표[연차],$J123)&amp;"")</f>
        <v/>
      </c>
      <c r="F123">
        <f>IF($J123="","",INDEX(명단표[소속병원],$J123))</f>
        <v/>
      </c>
      <c r="G123">
        <f>IF($J123="","",INDEX(명단표[기준월 근무병원],$J123))</f>
        <v/>
      </c>
      <c r="H123">
        <f>IF($J123="","",INDEX(명단표[급여지급병원(기준월)],$J123))</f>
        <v/>
      </c>
      <c r="I123">
        <f>IF($J123="","",INDEX(명단표[급여 판정 근거],$J123))</f>
        <v/>
      </c>
      <c r="J123" s="17">
        <f>IFERROR(MATCH(119,명단표[명단순번],0),"")</f>
        <v/>
      </c>
    </row>
    <row r="124">
      <c r="A124">
        <f>IF($J124="","",TEXT(급여기준월,"yyyy-mm"))</f>
        <v/>
      </c>
      <c r="B124">
        <f>IF($J124="","",INDEX(명단표[사번],$J124)&amp;"")</f>
        <v/>
      </c>
      <c r="C124">
        <f>IF($J124="","",INDEX(명단표[이름],$J124))</f>
        <v/>
      </c>
      <c r="D124">
        <f>IF($J124="","",INDEX(명단표[수련과목],$J124))</f>
        <v/>
      </c>
      <c r="E124">
        <f>IF($J124="","",INDEX(명단표[연차],$J124)&amp;"")</f>
        <v/>
      </c>
      <c r="F124">
        <f>IF($J124="","",INDEX(명단표[소속병원],$J124))</f>
        <v/>
      </c>
      <c r="G124">
        <f>IF($J124="","",INDEX(명단표[기준월 근무병원],$J124))</f>
        <v/>
      </c>
      <c r="H124">
        <f>IF($J124="","",INDEX(명단표[급여지급병원(기준월)],$J124))</f>
        <v/>
      </c>
      <c r="I124">
        <f>IF($J124="","",INDEX(명단표[급여 판정 근거],$J124))</f>
        <v/>
      </c>
      <c r="J124" s="17">
        <f>IFERROR(MATCH(120,명단표[명단순번],0),"")</f>
        <v/>
      </c>
    </row>
    <row r="125">
      <c r="A125">
        <f>IF($J125="","",TEXT(급여기준월,"yyyy-mm"))</f>
        <v/>
      </c>
      <c r="B125">
        <f>IF($J125="","",INDEX(명단표[사번],$J125)&amp;"")</f>
        <v/>
      </c>
      <c r="C125">
        <f>IF($J125="","",INDEX(명단표[이름],$J125))</f>
        <v/>
      </c>
      <c r="D125">
        <f>IF($J125="","",INDEX(명단표[수련과목],$J125))</f>
        <v/>
      </c>
      <c r="E125">
        <f>IF($J125="","",INDEX(명단표[연차],$J125)&amp;"")</f>
        <v/>
      </c>
      <c r="F125">
        <f>IF($J125="","",INDEX(명단표[소속병원],$J125))</f>
        <v/>
      </c>
      <c r="G125">
        <f>IF($J125="","",INDEX(명단표[기준월 근무병원],$J125))</f>
        <v/>
      </c>
      <c r="H125">
        <f>IF($J125="","",INDEX(명단표[급여지급병원(기준월)],$J125))</f>
        <v/>
      </c>
      <c r="I125">
        <f>IF($J125="","",INDEX(명단표[급여 판정 근거],$J125))</f>
        <v/>
      </c>
      <c r="J125" s="17">
        <f>IFERROR(MATCH(121,명단표[명단순번],0),"")</f>
        <v/>
      </c>
    </row>
    <row r="126">
      <c r="A126">
        <f>IF($J126="","",TEXT(급여기준월,"yyyy-mm"))</f>
        <v/>
      </c>
      <c r="B126">
        <f>IF($J126="","",INDEX(명단표[사번],$J126)&amp;"")</f>
        <v/>
      </c>
      <c r="C126">
        <f>IF($J126="","",INDEX(명단표[이름],$J126))</f>
        <v/>
      </c>
      <c r="D126">
        <f>IF($J126="","",INDEX(명단표[수련과목],$J126))</f>
        <v/>
      </c>
      <c r="E126">
        <f>IF($J126="","",INDEX(명단표[연차],$J126)&amp;"")</f>
        <v/>
      </c>
      <c r="F126">
        <f>IF($J126="","",INDEX(명단표[소속병원],$J126))</f>
        <v/>
      </c>
      <c r="G126">
        <f>IF($J126="","",INDEX(명단표[기준월 근무병원],$J126))</f>
        <v/>
      </c>
      <c r="H126">
        <f>IF($J126="","",INDEX(명단표[급여지급병원(기준월)],$J126))</f>
        <v/>
      </c>
      <c r="I126">
        <f>IF($J126="","",INDEX(명단표[급여 판정 근거],$J126))</f>
        <v/>
      </c>
      <c r="J126" s="17">
        <f>IFERROR(MATCH(122,명단표[명단순번],0),"")</f>
        <v/>
      </c>
    </row>
    <row r="127">
      <c r="A127">
        <f>IF($J127="","",TEXT(급여기준월,"yyyy-mm"))</f>
        <v/>
      </c>
      <c r="B127">
        <f>IF($J127="","",INDEX(명단표[사번],$J127)&amp;"")</f>
        <v/>
      </c>
      <c r="C127">
        <f>IF($J127="","",INDEX(명단표[이름],$J127))</f>
        <v/>
      </c>
      <c r="D127">
        <f>IF($J127="","",INDEX(명단표[수련과목],$J127))</f>
        <v/>
      </c>
      <c r="E127">
        <f>IF($J127="","",INDEX(명단표[연차],$J127)&amp;"")</f>
        <v/>
      </c>
      <c r="F127">
        <f>IF($J127="","",INDEX(명단표[소속병원],$J127))</f>
        <v/>
      </c>
      <c r="G127">
        <f>IF($J127="","",INDEX(명단표[기준월 근무병원],$J127))</f>
        <v/>
      </c>
      <c r="H127">
        <f>IF($J127="","",INDEX(명단표[급여지급병원(기준월)],$J127))</f>
        <v/>
      </c>
      <c r="I127">
        <f>IF($J127="","",INDEX(명단표[급여 판정 근거],$J127))</f>
        <v/>
      </c>
      <c r="J127" s="17">
        <f>IFERROR(MATCH(123,명단표[명단순번],0),"")</f>
        <v/>
      </c>
    </row>
    <row r="128">
      <c r="A128">
        <f>IF($J128="","",TEXT(급여기준월,"yyyy-mm"))</f>
        <v/>
      </c>
      <c r="B128">
        <f>IF($J128="","",INDEX(명단표[사번],$J128)&amp;"")</f>
        <v/>
      </c>
      <c r="C128">
        <f>IF($J128="","",INDEX(명단표[이름],$J128))</f>
        <v/>
      </c>
      <c r="D128">
        <f>IF($J128="","",INDEX(명단표[수련과목],$J128))</f>
        <v/>
      </c>
      <c r="E128">
        <f>IF($J128="","",INDEX(명단표[연차],$J128)&amp;"")</f>
        <v/>
      </c>
      <c r="F128">
        <f>IF($J128="","",INDEX(명단표[소속병원],$J128))</f>
        <v/>
      </c>
      <c r="G128">
        <f>IF($J128="","",INDEX(명단표[기준월 근무병원],$J128))</f>
        <v/>
      </c>
      <c r="H128">
        <f>IF($J128="","",INDEX(명단표[급여지급병원(기준월)],$J128))</f>
        <v/>
      </c>
      <c r="I128">
        <f>IF($J128="","",INDEX(명단표[급여 판정 근거],$J128))</f>
        <v/>
      </c>
      <c r="J128" s="17">
        <f>IFERROR(MATCH(124,명단표[명단순번],0),"")</f>
        <v/>
      </c>
    </row>
    <row r="129">
      <c r="A129">
        <f>IF($J129="","",TEXT(급여기준월,"yyyy-mm"))</f>
        <v/>
      </c>
      <c r="B129">
        <f>IF($J129="","",INDEX(명단표[사번],$J129)&amp;"")</f>
        <v/>
      </c>
      <c r="C129">
        <f>IF($J129="","",INDEX(명단표[이름],$J129))</f>
        <v/>
      </c>
      <c r="D129">
        <f>IF($J129="","",INDEX(명단표[수련과목],$J129))</f>
        <v/>
      </c>
      <c r="E129">
        <f>IF($J129="","",INDEX(명단표[연차],$J129)&amp;"")</f>
        <v/>
      </c>
      <c r="F129">
        <f>IF($J129="","",INDEX(명단표[소속병원],$J129))</f>
        <v/>
      </c>
      <c r="G129">
        <f>IF($J129="","",INDEX(명단표[기준월 근무병원],$J129))</f>
        <v/>
      </c>
      <c r="H129">
        <f>IF($J129="","",INDEX(명단표[급여지급병원(기준월)],$J129))</f>
        <v/>
      </c>
      <c r="I129">
        <f>IF($J129="","",INDEX(명단표[급여 판정 근거],$J129))</f>
        <v/>
      </c>
      <c r="J129" s="17">
        <f>IFERROR(MATCH(125,명단표[명단순번],0),"")</f>
        <v/>
      </c>
    </row>
    <row r="130">
      <c r="A130">
        <f>IF($J130="","",TEXT(급여기준월,"yyyy-mm"))</f>
        <v/>
      </c>
      <c r="B130">
        <f>IF($J130="","",INDEX(명단표[사번],$J130)&amp;"")</f>
        <v/>
      </c>
      <c r="C130">
        <f>IF($J130="","",INDEX(명단표[이름],$J130))</f>
        <v/>
      </c>
      <c r="D130">
        <f>IF($J130="","",INDEX(명단표[수련과목],$J130))</f>
        <v/>
      </c>
      <c r="E130">
        <f>IF($J130="","",INDEX(명단표[연차],$J130)&amp;"")</f>
        <v/>
      </c>
      <c r="F130">
        <f>IF($J130="","",INDEX(명단표[소속병원],$J130))</f>
        <v/>
      </c>
      <c r="G130">
        <f>IF($J130="","",INDEX(명단표[기준월 근무병원],$J130))</f>
        <v/>
      </c>
      <c r="H130">
        <f>IF($J130="","",INDEX(명단표[급여지급병원(기준월)],$J130))</f>
        <v/>
      </c>
      <c r="I130">
        <f>IF($J130="","",INDEX(명단표[급여 판정 근거],$J130))</f>
        <v/>
      </c>
      <c r="J130" s="17">
        <f>IFERROR(MATCH(126,명단표[명단순번],0),"")</f>
        <v/>
      </c>
    </row>
    <row r="131">
      <c r="A131">
        <f>IF($J131="","",TEXT(급여기준월,"yyyy-mm"))</f>
        <v/>
      </c>
      <c r="B131">
        <f>IF($J131="","",INDEX(명단표[사번],$J131)&amp;"")</f>
        <v/>
      </c>
      <c r="C131">
        <f>IF($J131="","",INDEX(명단표[이름],$J131))</f>
        <v/>
      </c>
      <c r="D131">
        <f>IF($J131="","",INDEX(명단표[수련과목],$J131))</f>
        <v/>
      </c>
      <c r="E131">
        <f>IF($J131="","",INDEX(명단표[연차],$J131)&amp;"")</f>
        <v/>
      </c>
      <c r="F131">
        <f>IF($J131="","",INDEX(명단표[소속병원],$J131))</f>
        <v/>
      </c>
      <c r="G131">
        <f>IF($J131="","",INDEX(명단표[기준월 근무병원],$J131))</f>
        <v/>
      </c>
      <c r="H131">
        <f>IF($J131="","",INDEX(명단표[급여지급병원(기준월)],$J131))</f>
        <v/>
      </c>
      <c r="I131">
        <f>IF($J131="","",INDEX(명단표[급여 판정 근거],$J131))</f>
        <v/>
      </c>
      <c r="J131" s="17">
        <f>IFERROR(MATCH(127,명단표[명단순번],0),"")</f>
        <v/>
      </c>
    </row>
    <row r="132">
      <c r="A132">
        <f>IF($J132="","",TEXT(급여기준월,"yyyy-mm"))</f>
        <v/>
      </c>
      <c r="B132">
        <f>IF($J132="","",INDEX(명단표[사번],$J132)&amp;"")</f>
        <v/>
      </c>
      <c r="C132">
        <f>IF($J132="","",INDEX(명단표[이름],$J132))</f>
        <v/>
      </c>
      <c r="D132">
        <f>IF($J132="","",INDEX(명단표[수련과목],$J132))</f>
        <v/>
      </c>
      <c r="E132">
        <f>IF($J132="","",INDEX(명단표[연차],$J132)&amp;"")</f>
        <v/>
      </c>
      <c r="F132">
        <f>IF($J132="","",INDEX(명단표[소속병원],$J132))</f>
        <v/>
      </c>
      <c r="G132">
        <f>IF($J132="","",INDEX(명단표[기준월 근무병원],$J132))</f>
        <v/>
      </c>
      <c r="H132">
        <f>IF($J132="","",INDEX(명단표[급여지급병원(기준월)],$J132))</f>
        <v/>
      </c>
      <c r="I132">
        <f>IF($J132="","",INDEX(명단표[급여 판정 근거],$J132))</f>
        <v/>
      </c>
      <c r="J132" s="17">
        <f>IFERROR(MATCH(128,명단표[명단순번],0),"")</f>
        <v/>
      </c>
    </row>
    <row r="133">
      <c r="A133">
        <f>IF($J133="","",TEXT(급여기준월,"yyyy-mm"))</f>
        <v/>
      </c>
      <c r="B133">
        <f>IF($J133="","",INDEX(명단표[사번],$J133)&amp;"")</f>
        <v/>
      </c>
      <c r="C133">
        <f>IF($J133="","",INDEX(명단표[이름],$J133))</f>
        <v/>
      </c>
      <c r="D133">
        <f>IF($J133="","",INDEX(명단표[수련과목],$J133))</f>
        <v/>
      </c>
      <c r="E133">
        <f>IF($J133="","",INDEX(명단표[연차],$J133)&amp;"")</f>
        <v/>
      </c>
      <c r="F133">
        <f>IF($J133="","",INDEX(명단표[소속병원],$J133))</f>
        <v/>
      </c>
      <c r="G133">
        <f>IF($J133="","",INDEX(명단표[기준월 근무병원],$J133))</f>
        <v/>
      </c>
      <c r="H133">
        <f>IF($J133="","",INDEX(명단표[급여지급병원(기준월)],$J133))</f>
        <v/>
      </c>
      <c r="I133">
        <f>IF($J133="","",INDEX(명단표[급여 판정 근거],$J133))</f>
        <v/>
      </c>
      <c r="J133" s="17">
        <f>IFERROR(MATCH(129,명단표[명단순번],0),"")</f>
        <v/>
      </c>
    </row>
    <row r="134">
      <c r="A134">
        <f>IF($J134="","",TEXT(급여기준월,"yyyy-mm"))</f>
        <v/>
      </c>
      <c r="B134">
        <f>IF($J134="","",INDEX(명단표[사번],$J134)&amp;"")</f>
        <v/>
      </c>
      <c r="C134">
        <f>IF($J134="","",INDEX(명단표[이름],$J134))</f>
        <v/>
      </c>
      <c r="D134">
        <f>IF($J134="","",INDEX(명단표[수련과목],$J134))</f>
        <v/>
      </c>
      <c r="E134">
        <f>IF($J134="","",INDEX(명단표[연차],$J134)&amp;"")</f>
        <v/>
      </c>
      <c r="F134">
        <f>IF($J134="","",INDEX(명단표[소속병원],$J134))</f>
        <v/>
      </c>
      <c r="G134">
        <f>IF($J134="","",INDEX(명단표[기준월 근무병원],$J134))</f>
        <v/>
      </c>
      <c r="H134">
        <f>IF($J134="","",INDEX(명단표[급여지급병원(기준월)],$J134))</f>
        <v/>
      </c>
      <c r="I134">
        <f>IF($J134="","",INDEX(명단표[급여 판정 근거],$J134))</f>
        <v/>
      </c>
      <c r="J134" s="17">
        <f>IFERROR(MATCH(130,명단표[명단순번],0),"")</f>
        <v/>
      </c>
    </row>
    <row r="135">
      <c r="A135">
        <f>IF($J135="","",TEXT(급여기준월,"yyyy-mm"))</f>
        <v/>
      </c>
      <c r="B135">
        <f>IF($J135="","",INDEX(명단표[사번],$J135)&amp;"")</f>
        <v/>
      </c>
      <c r="C135">
        <f>IF($J135="","",INDEX(명단표[이름],$J135))</f>
        <v/>
      </c>
      <c r="D135">
        <f>IF($J135="","",INDEX(명단표[수련과목],$J135))</f>
        <v/>
      </c>
      <c r="E135">
        <f>IF($J135="","",INDEX(명단표[연차],$J135)&amp;"")</f>
        <v/>
      </c>
      <c r="F135">
        <f>IF($J135="","",INDEX(명단표[소속병원],$J135))</f>
        <v/>
      </c>
      <c r="G135">
        <f>IF($J135="","",INDEX(명단표[기준월 근무병원],$J135))</f>
        <v/>
      </c>
      <c r="H135">
        <f>IF($J135="","",INDEX(명단표[급여지급병원(기준월)],$J135))</f>
        <v/>
      </c>
      <c r="I135">
        <f>IF($J135="","",INDEX(명단표[급여 판정 근거],$J135))</f>
        <v/>
      </c>
      <c r="J135" s="17">
        <f>IFERROR(MATCH(131,명단표[명단순번],0),"")</f>
        <v/>
      </c>
    </row>
    <row r="136">
      <c r="A136">
        <f>IF($J136="","",TEXT(급여기준월,"yyyy-mm"))</f>
        <v/>
      </c>
      <c r="B136">
        <f>IF($J136="","",INDEX(명단표[사번],$J136)&amp;"")</f>
        <v/>
      </c>
      <c r="C136">
        <f>IF($J136="","",INDEX(명단표[이름],$J136))</f>
        <v/>
      </c>
      <c r="D136">
        <f>IF($J136="","",INDEX(명단표[수련과목],$J136))</f>
        <v/>
      </c>
      <c r="E136">
        <f>IF($J136="","",INDEX(명단표[연차],$J136)&amp;"")</f>
        <v/>
      </c>
      <c r="F136">
        <f>IF($J136="","",INDEX(명단표[소속병원],$J136))</f>
        <v/>
      </c>
      <c r="G136">
        <f>IF($J136="","",INDEX(명단표[기준월 근무병원],$J136))</f>
        <v/>
      </c>
      <c r="H136">
        <f>IF($J136="","",INDEX(명단표[급여지급병원(기준월)],$J136))</f>
        <v/>
      </c>
      <c r="I136">
        <f>IF($J136="","",INDEX(명단표[급여 판정 근거],$J136))</f>
        <v/>
      </c>
      <c r="J136" s="17">
        <f>IFERROR(MATCH(132,명단표[명단순번],0),"")</f>
        <v/>
      </c>
    </row>
    <row r="137">
      <c r="A137">
        <f>IF($J137="","",TEXT(급여기준월,"yyyy-mm"))</f>
        <v/>
      </c>
      <c r="B137">
        <f>IF($J137="","",INDEX(명단표[사번],$J137)&amp;"")</f>
        <v/>
      </c>
      <c r="C137">
        <f>IF($J137="","",INDEX(명단표[이름],$J137))</f>
        <v/>
      </c>
      <c r="D137">
        <f>IF($J137="","",INDEX(명단표[수련과목],$J137))</f>
        <v/>
      </c>
      <c r="E137">
        <f>IF($J137="","",INDEX(명단표[연차],$J137)&amp;"")</f>
        <v/>
      </c>
      <c r="F137">
        <f>IF($J137="","",INDEX(명단표[소속병원],$J137))</f>
        <v/>
      </c>
      <c r="G137">
        <f>IF($J137="","",INDEX(명단표[기준월 근무병원],$J137))</f>
        <v/>
      </c>
      <c r="H137">
        <f>IF($J137="","",INDEX(명단표[급여지급병원(기준월)],$J137))</f>
        <v/>
      </c>
      <c r="I137">
        <f>IF($J137="","",INDEX(명단표[급여 판정 근거],$J137))</f>
        <v/>
      </c>
      <c r="J137" s="17">
        <f>IFERROR(MATCH(133,명단표[명단순번],0),"")</f>
        <v/>
      </c>
    </row>
    <row r="138">
      <c r="A138">
        <f>IF($J138="","",TEXT(급여기준월,"yyyy-mm"))</f>
        <v/>
      </c>
      <c r="B138">
        <f>IF($J138="","",INDEX(명단표[사번],$J138)&amp;"")</f>
        <v/>
      </c>
      <c r="C138">
        <f>IF($J138="","",INDEX(명단표[이름],$J138))</f>
        <v/>
      </c>
      <c r="D138">
        <f>IF($J138="","",INDEX(명단표[수련과목],$J138))</f>
        <v/>
      </c>
      <c r="E138">
        <f>IF($J138="","",INDEX(명단표[연차],$J138)&amp;"")</f>
        <v/>
      </c>
      <c r="F138">
        <f>IF($J138="","",INDEX(명단표[소속병원],$J138))</f>
        <v/>
      </c>
      <c r="G138">
        <f>IF($J138="","",INDEX(명단표[기준월 근무병원],$J138))</f>
        <v/>
      </c>
      <c r="H138">
        <f>IF($J138="","",INDEX(명단표[급여지급병원(기준월)],$J138))</f>
        <v/>
      </c>
      <c r="I138">
        <f>IF($J138="","",INDEX(명단표[급여 판정 근거],$J138))</f>
        <v/>
      </c>
      <c r="J138" s="17">
        <f>IFERROR(MATCH(134,명단표[명단순번],0),"")</f>
        <v/>
      </c>
    </row>
    <row r="139">
      <c r="A139">
        <f>IF($J139="","",TEXT(급여기준월,"yyyy-mm"))</f>
        <v/>
      </c>
      <c r="B139">
        <f>IF($J139="","",INDEX(명단표[사번],$J139)&amp;"")</f>
        <v/>
      </c>
      <c r="C139">
        <f>IF($J139="","",INDEX(명단표[이름],$J139))</f>
        <v/>
      </c>
      <c r="D139">
        <f>IF($J139="","",INDEX(명단표[수련과목],$J139))</f>
        <v/>
      </c>
      <c r="E139">
        <f>IF($J139="","",INDEX(명단표[연차],$J139)&amp;"")</f>
        <v/>
      </c>
      <c r="F139">
        <f>IF($J139="","",INDEX(명단표[소속병원],$J139))</f>
        <v/>
      </c>
      <c r="G139">
        <f>IF($J139="","",INDEX(명단표[기준월 근무병원],$J139))</f>
        <v/>
      </c>
      <c r="H139">
        <f>IF($J139="","",INDEX(명단표[급여지급병원(기준월)],$J139))</f>
        <v/>
      </c>
      <c r="I139">
        <f>IF($J139="","",INDEX(명단표[급여 판정 근거],$J139))</f>
        <v/>
      </c>
      <c r="J139" s="17">
        <f>IFERROR(MATCH(135,명단표[명단순번],0),"")</f>
        <v/>
      </c>
    </row>
    <row r="140">
      <c r="A140">
        <f>IF($J140="","",TEXT(급여기준월,"yyyy-mm"))</f>
        <v/>
      </c>
      <c r="B140">
        <f>IF($J140="","",INDEX(명단표[사번],$J140)&amp;"")</f>
        <v/>
      </c>
      <c r="C140">
        <f>IF($J140="","",INDEX(명단표[이름],$J140))</f>
        <v/>
      </c>
      <c r="D140">
        <f>IF($J140="","",INDEX(명단표[수련과목],$J140))</f>
        <v/>
      </c>
      <c r="E140">
        <f>IF($J140="","",INDEX(명단표[연차],$J140)&amp;"")</f>
        <v/>
      </c>
      <c r="F140">
        <f>IF($J140="","",INDEX(명단표[소속병원],$J140))</f>
        <v/>
      </c>
      <c r="G140">
        <f>IF($J140="","",INDEX(명단표[기준월 근무병원],$J140))</f>
        <v/>
      </c>
      <c r="H140">
        <f>IF($J140="","",INDEX(명단표[급여지급병원(기준월)],$J140))</f>
        <v/>
      </c>
      <c r="I140">
        <f>IF($J140="","",INDEX(명단표[급여 판정 근거],$J140))</f>
        <v/>
      </c>
      <c r="J140" s="17">
        <f>IFERROR(MATCH(136,명단표[명단순번],0),"")</f>
        <v/>
      </c>
    </row>
    <row r="141">
      <c r="A141">
        <f>IF($J141="","",TEXT(급여기준월,"yyyy-mm"))</f>
        <v/>
      </c>
      <c r="B141">
        <f>IF($J141="","",INDEX(명단표[사번],$J141)&amp;"")</f>
        <v/>
      </c>
      <c r="C141">
        <f>IF($J141="","",INDEX(명단표[이름],$J141))</f>
        <v/>
      </c>
      <c r="D141">
        <f>IF($J141="","",INDEX(명단표[수련과목],$J141))</f>
        <v/>
      </c>
      <c r="E141">
        <f>IF($J141="","",INDEX(명단표[연차],$J141)&amp;"")</f>
        <v/>
      </c>
      <c r="F141">
        <f>IF($J141="","",INDEX(명단표[소속병원],$J141))</f>
        <v/>
      </c>
      <c r="G141">
        <f>IF($J141="","",INDEX(명단표[기준월 근무병원],$J141))</f>
        <v/>
      </c>
      <c r="H141">
        <f>IF($J141="","",INDEX(명단표[급여지급병원(기준월)],$J141))</f>
        <v/>
      </c>
      <c r="I141">
        <f>IF($J141="","",INDEX(명단표[급여 판정 근거],$J141))</f>
        <v/>
      </c>
      <c r="J141" s="17">
        <f>IFERROR(MATCH(137,명단표[명단순번],0),"")</f>
        <v/>
      </c>
    </row>
    <row r="142">
      <c r="A142">
        <f>IF($J142="","",TEXT(급여기준월,"yyyy-mm"))</f>
        <v/>
      </c>
      <c r="B142">
        <f>IF($J142="","",INDEX(명단표[사번],$J142)&amp;"")</f>
        <v/>
      </c>
      <c r="C142">
        <f>IF($J142="","",INDEX(명단표[이름],$J142))</f>
        <v/>
      </c>
      <c r="D142">
        <f>IF($J142="","",INDEX(명단표[수련과목],$J142))</f>
        <v/>
      </c>
      <c r="E142">
        <f>IF($J142="","",INDEX(명단표[연차],$J142)&amp;"")</f>
        <v/>
      </c>
      <c r="F142">
        <f>IF($J142="","",INDEX(명단표[소속병원],$J142))</f>
        <v/>
      </c>
      <c r="G142">
        <f>IF($J142="","",INDEX(명단표[기준월 근무병원],$J142))</f>
        <v/>
      </c>
      <c r="H142">
        <f>IF($J142="","",INDEX(명단표[급여지급병원(기준월)],$J142))</f>
        <v/>
      </c>
      <c r="I142">
        <f>IF($J142="","",INDEX(명단표[급여 판정 근거],$J142))</f>
        <v/>
      </c>
      <c r="J142" s="17">
        <f>IFERROR(MATCH(138,명단표[명단순번],0),"")</f>
        <v/>
      </c>
    </row>
    <row r="143">
      <c r="A143">
        <f>IF($J143="","",TEXT(급여기준월,"yyyy-mm"))</f>
        <v/>
      </c>
      <c r="B143">
        <f>IF($J143="","",INDEX(명단표[사번],$J143)&amp;"")</f>
        <v/>
      </c>
      <c r="C143">
        <f>IF($J143="","",INDEX(명단표[이름],$J143))</f>
        <v/>
      </c>
      <c r="D143">
        <f>IF($J143="","",INDEX(명단표[수련과목],$J143))</f>
        <v/>
      </c>
      <c r="E143">
        <f>IF($J143="","",INDEX(명단표[연차],$J143)&amp;"")</f>
        <v/>
      </c>
      <c r="F143">
        <f>IF($J143="","",INDEX(명단표[소속병원],$J143))</f>
        <v/>
      </c>
      <c r="G143">
        <f>IF($J143="","",INDEX(명단표[기준월 근무병원],$J143))</f>
        <v/>
      </c>
      <c r="H143">
        <f>IF($J143="","",INDEX(명단표[급여지급병원(기준월)],$J143))</f>
        <v/>
      </c>
      <c r="I143">
        <f>IF($J143="","",INDEX(명단표[급여 판정 근거],$J143))</f>
        <v/>
      </c>
      <c r="J143" s="17">
        <f>IFERROR(MATCH(139,명단표[명단순번],0),"")</f>
        <v/>
      </c>
    </row>
    <row r="144">
      <c r="A144">
        <f>IF($J144="","",TEXT(급여기준월,"yyyy-mm"))</f>
        <v/>
      </c>
      <c r="B144">
        <f>IF($J144="","",INDEX(명단표[사번],$J144)&amp;"")</f>
        <v/>
      </c>
      <c r="C144">
        <f>IF($J144="","",INDEX(명단표[이름],$J144))</f>
        <v/>
      </c>
      <c r="D144">
        <f>IF($J144="","",INDEX(명단표[수련과목],$J144))</f>
        <v/>
      </c>
      <c r="E144">
        <f>IF($J144="","",INDEX(명단표[연차],$J144)&amp;"")</f>
        <v/>
      </c>
      <c r="F144">
        <f>IF($J144="","",INDEX(명단표[소속병원],$J144))</f>
        <v/>
      </c>
      <c r="G144">
        <f>IF($J144="","",INDEX(명단표[기준월 근무병원],$J144))</f>
        <v/>
      </c>
      <c r="H144">
        <f>IF($J144="","",INDEX(명단표[급여지급병원(기준월)],$J144))</f>
        <v/>
      </c>
      <c r="I144">
        <f>IF($J144="","",INDEX(명단표[급여 판정 근거],$J144))</f>
        <v/>
      </c>
      <c r="J144" s="17">
        <f>IFERROR(MATCH(140,명단표[명단순번],0),"")</f>
        <v/>
      </c>
    </row>
    <row r="145">
      <c r="A145">
        <f>IF($J145="","",TEXT(급여기준월,"yyyy-mm"))</f>
        <v/>
      </c>
      <c r="B145">
        <f>IF($J145="","",INDEX(명단표[사번],$J145)&amp;"")</f>
        <v/>
      </c>
      <c r="C145">
        <f>IF($J145="","",INDEX(명단표[이름],$J145))</f>
        <v/>
      </c>
      <c r="D145">
        <f>IF($J145="","",INDEX(명단표[수련과목],$J145))</f>
        <v/>
      </c>
      <c r="E145">
        <f>IF($J145="","",INDEX(명단표[연차],$J145)&amp;"")</f>
        <v/>
      </c>
      <c r="F145">
        <f>IF($J145="","",INDEX(명단표[소속병원],$J145))</f>
        <v/>
      </c>
      <c r="G145">
        <f>IF($J145="","",INDEX(명단표[기준월 근무병원],$J145))</f>
        <v/>
      </c>
      <c r="H145">
        <f>IF($J145="","",INDEX(명단표[급여지급병원(기준월)],$J145))</f>
        <v/>
      </c>
      <c r="I145">
        <f>IF($J145="","",INDEX(명단표[급여 판정 근거],$J145))</f>
        <v/>
      </c>
      <c r="J145" s="17">
        <f>IFERROR(MATCH(141,명단표[명단순번],0),"")</f>
        <v/>
      </c>
    </row>
    <row r="146">
      <c r="A146">
        <f>IF($J146="","",TEXT(급여기준월,"yyyy-mm"))</f>
        <v/>
      </c>
      <c r="B146">
        <f>IF($J146="","",INDEX(명단표[사번],$J146)&amp;"")</f>
        <v/>
      </c>
      <c r="C146">
        <f>IF($J146="","",INDEX(명단표[이름],$J146))</f>
        <v/>
      </c>
      <c r="D146">
        <f>IF($J146="","",INDEX(명단표[수련과목],$J146))</f>
        <v/>
      </c>
      <c r="E146">
        <f>IF($J146="","",INDEX(명단표[연차],$J146)&amp;"")</f>
        <v/>
      </c>
      <c r="F146">
        <f>IF($J146="","",INDEX(명단표[소속병원],$J146))</f>
        <v/>
      </c>
      <c r="G146">
        <f>IF($J146="","",INDEX(명단표[기준월 근무병원],$J146))</f>
        <v/>
      </c>
      <c r="H146">
        <f>IF($J146="","",INDEX(명단표[급여지급병원(기준월)],$J146))</f>
        <v/>
      </c>
      <c r="I146">
        <f>IF($J146="","",INDEX(명단표[급여 판정 근거],$J146))</f>
        <v/>
      </c>
      <c r="J146" s="17">
        <f>IFERROR(MATCH(142,명단표[명단순번],0),"")</f>
        <v/>
      </c>
    </row>
    <row r="147">
      <c r="A147">
        <f>IF($J147="","",TEXT(급여기준월,"yyyy-mm"))</f>
        <v/>
      </c>
      <c r="B147">
        <f>IF($J147="","",INDEX(명단표[사번],$J147)&amp;"")</f>
        <v/>
      </c>
      <c r="C147">
        <f>IF($J147="","",INDEX(명단표[이름],$J147))</f>
        <v/>
      </c>
      <c r="D147">
        <f>IF($J147="","",INDEX(명단표[수련과목],$J147))</f>
        <v/>
      </c>
      <c r="E147">
        <f>IF($J147="","",INDEX(명단표[연차],$J147)&amp;"")</f>
        <v/>
      </c>
      <c r="F147">
        <f>IF($J147="","",INDEX(명단표[소속병원],$J147))</f>
        <v/>
      </c>
      <c r="G147">
        <f>IF($J147="","",INDEX(명단표[기준월 근무병원],$J147))</f>
        <v/>
      </c>
      <c r="H147">
        <f>IF($J147="","",INDEX(명단표[급여지급병원(기준월)],$J147))</f>
        <v/>
      </c>
      <c r="I147">
        <f>IF($J147="","",INDEX(명단표[급여 판정 근거],$J147))</f>
        <v/>
      </c>
      <c r="J147" s="17">
        <f>IFERROR(MATCH(143,명단표[명단순번],0),"")</f>
        <v/>
      </c>
    </row>
    <row r="148">
      <c r="A148">
        <f>IF($J148="","",TEXT(급여기준월,"yyyy-mm"))</f>
        <v/>
      </c>
      <c r="B148">
        <f>IF($J148="","",INDEX(명단표[사번],$J148)&amp;"")</f>
        <v/>
      </c>
      <c r="C148">
        <f>IF($J148="","",INDEX(명단표[이름],$J148))</f>
        <v/>
      </c>
      <c r="D148">
        <f>IF($J148="","",INDEX(명단표[수련과목],$J148))</f>
        <v/>
      </c>
      <c r="E148">
        <f>IF($J148="","",INDEX(명단표[연차],$J148)&amp;"")</f>
        <v/>
      </c>
      <c r="F148">
        <f>IF($J148="","",INDEX(명단표[소속병원],$J148))</f>
        <v/>
      </c>
      <c r="G148">
        <f>IF($J148="","",INDEX(명단표[기준월 근무병원],$J148))</f>
        <v/>
      </c>
      <c r="H148">
        <f>IF($J148="","",INDEX(명단표[급여지급병원(기준월)],$J148))</f>
        <v/>
      </c>
      <c r="I148">
        <f>IF($J148="","",INDEX(명단표[급여 판정 근거],$J148))</f>
        <v/>
      </c>
      <c r="J148" s="17">
        <f>IFERROR(MATCH(144,명단표[명단순번],0),"")</f>
        <v/>
      </c>
    </row>
    <row r="149">
      <c r="A149">
        <f>IF($J149="","",TEXT(급여기준월,"yyyy-mm"))</f>
        <v/>
      </c>
      <c r="B149">
        <f>IF($J149="","",INDEX(명단표[사번],$J149)&amp;"")</f>
        <v/>
      </c>
      <c r="C149">
        <f>IF($J149="","",INDEX(명단표[이름],$J149))</f>
        <v/>
      </c>
      <c r="D149">
        <f>IF($J149="","",INDEX(명단표[수련과목],$J149))</f>
        <v/>
      </c>
      <c r="E149">
        <f>IF($J149="","",INDEX(명단표[연차],$J149)&amp;"")</f>
        <v/>
      </c>
      <c r="F149">
        <f>IF($J149="","",INDEX(명단표[소속병원],$J149))</f>
        <v/>
      </c>
      <c r="G149">
        <f>IF($J149="","",INDEX(명단표[기준월 근무병원],$J149))</f>
        <v/>
      </c>
      <c r="H149">
        <f>IF($J149="","",INDEX(명단표[급여지급병원(기준월)],$J149))</f>
        <v/>
      </c>
      <c r="I149">
        <f>IF($J149="","",INDEX(명단표[급여 판정 근거],$J149))</f>
        <v/>
      </c>
      <c r="J149" s="17">
        <f>IFERROR(MATCH(145,명단표[명단순번],0),"")</f>
        <v/>
      </c>
    </row>
    <row r="150">
      <c r="A150">
        <f>IF($J150="","",TEXT(급여기준월,"yyyy-mm"))</f>
        <v/>
      </c>
      <c r="B150">
        <f>IF($J150="","",INDEX(명단표[사번],$J150)&amp;"")</f>
        <v/>
      </c>
      <c r="C150">
        <f>IF($J150="","",INDEX(명단표[이름],$J150))</f>
        <v/>
      </c>
      <c r="D150">
        <f>IF($J150="","",INDEX(명단표[수련과목],$J150))</f>
        <v/>
      </c>
      <c r="E150">
        <f>IF($J150="","",INDEX(명단표[연차],$J150)&amp;"")</f>
        <v/>
      </c>
      <c r="F150">
        <f>IF($J150="","",INDEX(명단표[소속병원],$J150))</f>
        <v/>
      </c>
      <c r="G150">
        <f>IF($J150="","",INDEX(명단표[기준월 근무병원],$J150))</f>
        <v/>
      </c>
      <c r="H150">
        <f>IF($J150="","",INDEX(명단표[급여지급병원(기준월)],$J150))</f>
        <v/>
      </c>
      <c r="I150">
        <f>IF($J150="","",INDEX(명단표[급여 판정 근거],$J150))</f>
        <v/>
      </c>
      <c r="J150" s="17">
        <f>IFERROR(MATCH(146,명단표[명단순번],0),"")</f>
        <v/>
      </c>
    </row>
    <row r="151">
      <c r="A151">
        <f>IF($J151="","",TEXT(급여기준월,"yyyy-mm"))</f>
        <v/>
      </c>
      <c r="B151">
        <f>IF($J151="","",INDEX(명단표[사번],$J151)&amp;"")</f>
        <v/>
      </c>
      <c r="C151">
        <f>IF($J151="","",INDEX(명단표[이름],$J151))</f>
        <v/>
      </c>
      <c r="D151">
        <f>IF($J151="","",INDEX(명단표[수련과목],$J151))</f>
        <v/>
      </c>
      <c r="E151">
        <f>IF($J151="","",INDEX(명단표[연차],$J151)&amp;"")</f>
        <v/>
      </c>
      <c r="F151">
        <f>IF($J151="","",INDEX(명단표[소속병원],$J151))</f>
        <v/>
      </c>
      <c r="G151">
        <f>IF($J151="","",INDEX(명단표[기준월 근무병원],$J151))</f>
        <v/>
      </c>
      <c r="H151">
        <f>IF($J151="","",INDEX(명단표[급여지급병원(기준월)],$J151))</f>
        <v/>
      </c>
      <c r="I151">
        <f>IF($J151="","",INDEX(명단표[급여 판정 근거],$J151))</f>
        <v/>
      </c>
      <c r="J151" s="17">
        <f>IFERROR(MATCH(147,명단표[명단순번],0),"")</f>
        <v/>
      </c>
    </row>
    <row r="152">
      <c r="A152">
        <f>IF($J152="","",TEXT(급여기준월,"yyyy-mm"))</f>
        <v/>
      </c>
      <c r="B152">
        <f>IF($J152="","",INDEX(명단표[사번],$J152)&amp;"")</f>
        <v/>
      </c>
      <c r="C152">
        <f>IF($J152="","",INDEX(명단표[이름],$J152))</f>
        <v/>
      </c>
      <c r="D152">
        <f>IF($J152="","",INDEX(명단표[수련과목],$J152))</f>
        <v/>
      </c>
      <c r="E152">
        <f>IF($J152="","",INDEX(명단표[연차],$J152)&amp;"")</f>
        <v/>
      </c>
      <c r="F152">
        <f>IF($J152="","",INDEX(명단표[소속병원],$J152))</f>
        <v/>
      </c>
      <c r="G152">
        <f>IF($J152="","",INDEX(명단표[기준월 근무병원],$J152))</f>
        <v/>
      </c>
      <c r="H152">
        <f>IF($J152="","",INDEX(명단표[급여지급병원(기준월)],$J152))</f>
        <v/>
      </c>
      <c r="I152">
        <f>IF($J152="","",INDEX(명단표[급여 판정 근거],$J152))</f>
        <v/>
      </c>
      <c r="J152" s="17">
        <f>IFERROR(MATCH(148,명단표[명단순번],0),"")</f>
        <v/>
      </c>
    </row>
    <row r="153">
      <c r="A153">
        <f>IF($J153="","",TEXT(급여기준월,"yyyy-mm"))</f>
        <v/>
      </c>
      <c r="B153">
        <f>IF($J153="","",INDEX(명단표[사번],$J153)&amp;"")</f>
        <v/>
      </c>
      <c r="C153">
        <f>IF($J153="","",INDEX(명단표[이름],$J153))</f>
        <v/>
      </c>
      <c r="D153">
        <f>IF($J153="","",INDEX(명단표[수련과목],$J153))</f>
        <v/>
      </c>
      <c r="E153">
        <f>IF($J153="","",INDEX(명단표[연차],$J153)&amp;"")</f>
        <v/>
      </c>
      <c r="F153">
        <f>IF($J153="","",INDEX(명단표[소속병원],$J153))</f>
        <v/>
      </c>
      <c r="G153">
        <f>IF($J153="","",INDEX(명단표[기준월 근무병원],$J153))</f>
        <v/>
      </c>
      <c r="H153">
        <f>IF($J153="","",INDEX(명단표[급여지급병원(기준월)],$J153))</f>
        <v/>
      </c>
      <c r="I153">
        <f>IF($J153="","",INDEX(명단표[급여 판정 근거],$J153))</f>
        <v/>
      </c>
      <c r="J153" s="17">
        <f>IFERROR(MATCH(149,명단표[명단순번],0),"")</f>
        <v/>
      </c>
    </row>
    <row r="154">
      <c r="A154">
        <f>IF($J154="","",TEXT(급여기준월,"yyyy-mm"))</f>
        <v/>
      </c>
      <c r="B154">
        <f>IF($J154="","",INDEX(명단표[사번],$J154)&amp;"")</f>
        <v/>
      </c>
      <c r="C154">
        <f>IF($J154="","",INDEX(명단표[이름],$J154))</f>
        <v/>
      </c>
      <c r="D154">
        <f>IF($J154="","",INDEX(명단표[수련과목],$J154))</f>
        <v/>
      </c>
      <c r="E154">
        <f>IF($J154="","",INDEX(명단표[연차],$J154)&amp;"")</f>
        <v/>
      </c>
      <c r="F154">
        <f>IF($J154="","",INDEX(명단표[소속병원],$J154))</f>
        <v/>
      </c>
      <c r="G154">
        <f>IF($J154="","",INDEX(명단표[기준월 근무병원],$J154))</f>
        <v/>
      </c>
      <c r="H154">
        <f>IF($J154="","",INDEX(명단표[급여지급병원(기준월)],$J154))</f>
        <v/>
      </c>
      <c r="I154">
        <f>IF($J154="","",INDEX(명단표[급여 판정 근거],$J154))</f>
        <v/>
      </c>
      <c r="J154" s="17">
        <f>IFERROR(MATCH(150,명단표[명단순번],0),"")</f>
        <v/>
      </c>
    </row>
    <row r="155">
      <c r="A155">
        <f>IF($J155="","",TEXT(급여기준월,"yyyy-mm"))</f>
        <v/>
      </c>
      <c r="B155">
        <f>IF($J155="","",INDEX(명단표[사번],$J155)&amp;"")</f>
        <v/>
      </c>
      <c r="C155">
        <f>IF($J155="","",INDEX(명단표[이름],$J155))</f>
        <v/>
      </c>
      <c r="D155">
        <f>IF($J155="","",INDEX(명단표[수련과목],$J155))</f>
        <v/>
      </c>
      <c r="E155">
        <f>IF($J155="","",INDEX(명단표[연차],$J155)&amp;"")</f>
        <v/>
      </c>
      <c r="F155">
        <f>IF($J155="","",INDEX(명단표[소속병원],$J155))</f>
        <v/>
      </c>
      <c r="G155">
        <f>IF($J155="","",INDEX(명단표[기준월 근무병원],$J155))</f>
        <v/>
      </c>
      <c r="H155">
        <f>IF($J155="","",INDEX(명단표[급여지급병원(기준월)],$J155))</f>
        <v/>
      </c>
      <c r="I155">
        <f>IF($J155="","",INDEX(명단표[급여 판정 근거],$J155))</f>
        <v/>
      </c>
      <c r="J155" s="17">
        <f>IFERROR(MATCH(151,명단표[명단순번],0),"")</f>
        <v/>
      </c>
    </row>
    <row r="156">
      <c r="A156">
        <f>IF($J156="","",TEXT(급여기준월,"yyyy-mm"))</f>
        <v/>
      </c>
      <c r="B156">
        <f>IF($J156="","",INDEX(명단표[사번],$J156)&amp;"")</f>
        <v/>
      </c>
      <c r="C156">
        <f>IF($J156="","",INDEX(명단표[이름],$J156))</f>
        <v/>
      </c>
      <c r="D156">
        <f>IF($J156="","",INDEX(명단표[수련과목],$J156))</f>
        <v/>
      </c>
      <c r="E156">
        <f>IF($J156="","",INDEX(명단표[연차],$J156)&amp;"")</f>
        <v/>
      </c>
      <c r="F156">
        <f>IF($J156="","",INDEX(명단표[소속병원],$J156))</f>
        <v/>
      </c>
      <c r="G156">
        <f>IF($J156="","",INDEX(명단표[기준월 근무병원],$J156))</f>
        <v/>
      </c>
      <c r="H156">
        <f>IF($J156="","",INDEX(명단표[급여지급병원(기준월)],$J156))</f>
        <v/>
      </c>
      <c r="I156">
        <f>IF($J156="","",INDEX(명단표[급여 판정 근거],$J156))</f>
        <v/>
      </c>
      <c r="J156" s="17">
        <f>IFERROR(MATCH(152,명단표[명단순번],0),"")</f>
        <v/>
      </c>
    </row>
    <row r="157">
      <c r="A157">
        <f>IF($J157="","",TEXT(급여기준월,"yyyy-mm"))</f>
        <v/>
      </c>
      <c r="B157">
        <f>IF($J157="","",INDEX(명단표[사번],$J157)&amp;"")</f>
        <v/>
      </c>
      <c r="C157">
        <f>IF($J157="","",INDEX(명단표[이름],$J157))</f>
        <v/>
      </c>
      <c r="D157">
        <f>IF($J157="","",INDEX(명단표[수련과목],$J157))</f>
        <v/>
      </c>
      <c r="E157">
        <f>IF($J157="","",INDEX(명단표[연차],$J157)&amp;"")</f>
        <v/>
      </c>
      <c r="F157">
        <f>IF($J157="","",INDEX(명단표[소속병원],$J157))</f>
        <v/>
      </c>
      <c r="G157">
        <f>IF($J157="","",INDEX(명단표[기준월 근무병원],$J157))</f>
        <v/>
      </c>
      <c r="H157">
        <f>IF($J157="","",INDEX(명단표[급여지급병원(기준월)],$J157))</f>
        <v/>
      </c>
      <c r="I157">
        <f>IF($J157="","",INDEX(명단표[급여 판정 근거],$J157))</f>
        <v/>
      </c>
      <c r="J157" s="17">
        <f>IFERROR(MATCH(153,명단표[명단순번],0),"")</f>
        <v/>
      </c>
    </row>
    <row r="158">
      <c r="A158">
        <f>IF($J158="","",TEXT(급여기준월,"yyyy-mm"))</f>
        <v/>
      </c>
      <c r="B158">
        <f>IF($J158="","",INDEX(명단표[사번],$J158)&amp;"")</f>
        <v/>
      </c>
      <c r="C158">
        <f>IF($J158="","",INDEX(명단표[이름],$J158))</f>
        <v/>
      </c>
      <c r="D158">
        <f>IF($J158="","",INDEX(명단표[수련과목],$J158))</f>
        <v/>
      </c>
      <c r="E158">
        <f>IF($J158="","",INDEX(명단표[연차],$J158)&amp;"")</f>
        <v/>
      </c>
      <c r="F158">
        <f>IF($J158="","",INDEX(명단표[소속병원],$J158))</f>
        <v/>
      </c>
      <c r="G158">
        <f>IF($J158="","",INDEX(명단표[기준월 근무병원],$J158))</f>
        <v/>
      </c>
      <c r="H158">
        <f>IF($J158="","",INDEX(명단표[급여지급병원(기준월)],$J158))</f>
        <v/>
      </c>
      <c r="I158">
        <f>IF($J158="","",INDEX(명단표[급여 판정 근거],$J158))</f>
        <v/>
      </c>
      <c r="J158" s="17">
        <f>IFERROR(MATCH(154,명단표[명단순번],0),"")</f>
        <v/>
      </c>
    </row>
    <row r="159">
      <c r="A159">
        <f>IF($J159="","",TEXT(급여기준월,"yyyy-mm"))</f>
        <v/>
      </c>
      <c r="B159">
        <f>IF($J159="","",INDEX(명단표[사번],$J159)&amp;"")</f>
        <v/>
      </c>
      <c r="C159">
        <f>IF($J159="","",INDEX(명단표[이름],$J159))</f>
        <v/>
      </c>
      <c r="D159">
        <f>IF($J159="","",INDEX(명단표[수련과목],$J159))</f>
        <v/>
      </c>
      <c r="E159">
        <f>IF($J159="","",INDEX(명단표[연차],$J159)&amp;"")</f>
        <v/>
      </c>
      <c r="F159">
        <f>IF($J159="","",INDEX(명단표[소속병원],$J159))</f>
        <v/>
      </c>
      <c r="G159">
        <f>IF($J159="","",INDEX(명단표[기준월 근무병원],$J159))</f>
        <v/>
      </c>
      <c r="H159">
        <f>IF($J159="","",INDEX(명단표[급여지급병원(기준월)],$J159))</f>
        <v/>
      </c>
      <c r="I159">
        <f>IF($J159="","",INDEX(명단표[급여 판정 근거],$J159))</f>
        <v/>
      </c>
      <c r="J159" s="17">
        <f>IFERROR(MATCH(155,명단표[명단순번],0),"")</f>
        <v/>
      </c>
    </row>
    <row r="160">
      <c r="A160">
        <f>IF($J160="","",TEXT(급여기준월,"yyyy-mm"))</f>
        <v/>
      </c>
      <c r="B160">
        <f>IF($J160="","",INDEX(명단표[사번],$J160)&amp;"")</f>
        <v/>
      </c>
      <c r="C160">
        <f>IF($J160="","",INDEX(명단표[이름],$J160))</f>
        <v/>
      </c>
      <c r="D160">
        <f>IF($J160="","",INDEX(명단표[수련과목],$J160))</f>
        <v/>
      </c>
      <c r="E160">
        <f>IF($J160="","",INDEX(명단표[연차],$J160)&amp;"")</f>
        <v/>
      </c>
      <c r="F160">
        <f>IF($J160="","",INDEX(명단표[소속병원],$J160))</f>
        <v/>
      </c>
      <c r="G160">
        <f>IF($J160="","",INDEX(명단표[기준월 근무병원],$J160))</f>
        <v/>
      </c>
      <c r="H160">
        <f>IF($J160="","",INDEX(명단표[급여지급병원(기준월)],$J160))</f>
        <v/>
      </c>
      <c r="I160">
        <f>IF($J160="","",INDEX(명단표[급여 판정 근거],$J160))</f>
        <v/>
      </c>
      <c r="J160" s="17">
        <f>IFERROR(MATCH(156,명단표[명단순번],0),"")</f>
        <v/>
      </c>
    </row>
    <row r="161">
      <c r="A161">
        <f>IF($J161="","",TEXT(급여기준월,"yyyy-mm"))</f>
        <v/>
      </c>
      <c r="B161">
        <f>IF($J161="","",INDEX(명단표[사번],$J161)&amp;"")</f>
        <v/>
      </c>
      <c r="C161">
        <f>IF($J161="","",INDEX(명단표[이름],$J161))</f>
        <v/>
      </c>
      <c r="D161">
        <f>IF($J161="","",INDEX(명단표[수련과목],$J161))</f>
        <v/>
      </c>
      <c r="E161">
        <f>IF($J161="","",INDEX(명단표[연차],$J161)&amp;"")</f>
        <v/>
      </c>
      <c r="F161">
        <f>IF($J161="","",INDEX(명단표[소속병원],$J161))</f>
        <v/>
      </c>
      <c r="G161">
        <f>IF($J161="","",INDEX(명단표[기준월 근무병원],$J161))</f>
        <v/>
      </c>
      <c r="H161">
        <f>IF($J161="","",INDEX(명단표[급여지급병원(기준월)],$J161))</f>
        <v/>
      </c>
      <c r="I161">
        <f>IF($J161="","",INDEX(명단표[급여 판정 근거],$J161))</f>
        <v/>
      </c>
      <c r="J161" s="17">
        <f>IFERROR(MATCH(157,명단표[명단순번],0),"")</f>
        <v/>
      </c>
    </row>
    <row r="162">
      <c r="A162">
        <f>IF($J162="","",TEXT(급여기준월,"yyyy-mm"))</f>
        <v/>
      </c>
      <c r="B162">
        <f>IF($J162="","",INDEX(명단표[사번],$J162)&amp;"")</f>
        <v/>
      </c>
      <c r="C162">
        <f>IF($J162="","",INDEX(명단표[이름],$J162))</f>
        <v/>
      </c>
      <c r="D162">
        <f>IF($J162="","",INDEX(명단표[수련과목],$J162))</f>
        <v/>
      </c>
      <c r="E162">
        <f>IF($J162="","",INDEX(명단표[연차],$J162)&amp;"")</f>
        <v/>
      </c>
      <c r="F162">
        <f>IF($J162="","",INDEX(명단표[소속병원],$J162))</f>
        <v/>
      </c>
      <c r="G162">
        <f>IF($J162="","",INDEX(명단표[기준월 근무병원],$J162))</f>
        <v/>
      </c>
      <c r="H162">
        <f>IF($J162="","",INDEX(명단표[급여지급병원(기준월)],$J162))</f>
        <v/>
      </c>
      <c r="I162">
        <f>IF($J162="","",INDEX(명단표[급여 판정 근거],$J162))</f>
        <v/>
      </c>
      <c r="J162" s="17">
        <f>IFERROR(MATCH(158,명단표[명단순번],0),"")</f>
        <v/>
      </c>
    </row>
    <row r="163">
      <c r="A163">
        <f>IF($J163="","",TEXT(급여기준월,"yyyy-mm"))</f>
        <v/>
      </c>
      <c r="B163">
        <f>IF($J163="","",INDEX(명단표[사번],$J163)&amp;"")</f>
        <v/>
      </c>
      <c r="C163">
        <f>IF($J163="","",INDEX(명단표[이름],$J163))</f>
        <v/>
      </c>
      <c r="D163">
        <f>IF($J163="","",INDEX(명단표[수련과목],$J163))</f>
        <v/>
      </c>
      <c r="E163">
        <f>IF($J163="","",INDEX(명단표[연차],$J163)&amp;"")</f>
        <v/>
      </c>
      <c r="F163">
        <f>IF($J163="","",INDEX(명단표[소속병원],$J163))</f>
        <v/>
      </c>
      <c r="G163">
        <f>IF($J163="","",INDEX(명단표[기준월 근무병원],$J163))</f>
        <v/>
      </c>
      <c r="H163">
        <f>IF($J163="","",INDEX(명단표[급여지급병원(기준월)],$J163))</f>
        <v/>
      </c>
      <c r="I163">
        <f>IF($J163="","",INDEX(명단표[급여 판정 근거],$J163))</f>
        <v/>
      </c>
      <c r="J163" s="17">
        <f>IFERROR(MATCH(159,명단표[명단순번],0),"")</f>
        <v/>
      </c>
    </row>
    <row r="164">
      <c r="A164">
        <f>IF($J164="","",TEXT(급여기준월,"yyyy-mm"))</f>
        <v/>
      </c>
      <c r="B164">
        <f>IF($J164="","",INDEX(명단표[사번],$J164)&amp;"")</f>
        <v/>
      </c>
      <c r="C164">
        <f>IF($J164="","",INDEX(명단표[이름],$J164))</f>
        <v/>
      </c>
      <c r="D164">
        <f>IF($J164="","",INDEX(명단표[수련과목],$J164))</f>
        <v/>
      </c>
      <c r="E164">
        <f>IF($J164="","",INDEX(명단표[연차],$J164)&amp;"")</f>
        <v/>
      </c>
      <c r="F164">
        <f>IF($J164="","",INDEX(명단표[소속병원],$J164))</f>
        <v/>
      </c>
      <c r="G164">
        <f>IF($J164="","",INDEX(명단표[기준월 근무병원],$J164))</f>
        <v/>
      </c>
      <c r="H164">
        <f>IF($J164="","",INDEX(명단표[급여지급병원(기준월)],$J164))</f>
        <v/>
      </c>
      <c r="I164">
        <f>IF($J164="","",INDEX(명단표[급여 판정 근거],$J164))</f>
        <v/>
      </c>
      <c r="J164" s="17">
        <f>IFERROR(MATCH(160,명단표[명단순번],0),"")</f>
        <v/>
      </c>
    </row>
    <row r="165">
      <c r="A165">
        <f>IF($J165="","",TEXT(급여기준월,"yyyy-mm"))</f>
        <v/>
      </c>
      <c r="B165">
        <f>IF($J165="","",INDEX(명단표[사번],$J165)&amp;"")</f>
        <v/>
      </c>
      <c r="C165">
        <f>IF($J165="","",INDEX(명단표[이름],$J165))</f>
        <v/>
      </c>
      <c r="D165">
        <f>IF($J165="","",INDEX(명단표[수련과목],$J165))</f>
        <v/>
      </c>
      <c r="E165">
        <f>IF($J165="","",INDEX(명단표[연차],$J165)&amp;"")</f>
        <v/>
      </c>
      <c r="F165">
        <f>IF($J165="","",INDEX(명단표[소속병원],$J165))</f>
        <v/>
      </c>
      <c r="G165">
        <f>IF($J165="","",INDEX(명단표[기준월 근무병원],$J165))</f>
        <v/>
      </c>
      <c r="H165">
        <f>IF($J165="","",INDEX(명단표[급여지급병원(기준월)],$J165))</f>
        <v/>
      </c>
      <c r="I165">
        <f>IF($J165="","",INDEX(명단표[급여 판정 근거],$J165))</f>
        <v/>
      </c>
      <c r="J165" s="17">
        <f>IFERROR(MATCH(161,명단표[명단순번],0),"")</f>
        <v/>
      </c>
    </row>
    <row r="166">
      <c r="A166">
        <f>IF($J166="","",TEXT(급여기준월,"yyyy-mm"))</f>
        <v/>
      </c>
      <c r="B166">
        <f>IF($J166="","",INDEX(명단표[사번],$J166)&amp;"")</f>
        <v/>
      </c>
      <c r="C166">
        <f>IF($J166="","",INDEX(명단표[이름],$J166))</f>
        <v/>
      </c>
      <c r="D166">
        <f>IF($J166="","",INDEX(명단표[수련과목],$J166))</f>
        <v/>
      </c>
      <c r="E166">
        <f>IF($J166="","",INDEX(명단표[연차],$J166)&amp;"")</f>
        <v/>
      </c>
      <c r="F166">
        <f>IF($J166="","",INDEX(명단표[소속병원],$J166))</f>
        <v/>
      </c>
      <c r="G166">
        <f>IF($J166="","",INDEX(명단표[기준월 근무병원],$J166))</f>
        <v/>
      </c>
      <c r="H166">
        <f>IF($J166="","",INDEX(명단표[급여지급병원(기준월)],$J166))</f>
        <v/>
      </c>
      <c r="I166">
        <f>IF($J166="","",INDEX(명단표[급여 판정 근거],$J166))</f>
        <v/>
      </c>
      <c r="J166" s="17">
        <f>IFERROR(MATCH(162,명단표[명단순번],0),"")</f>
        <v/>
      </c>
    </row>
    <row r="167">
      <c r="A167">
        <f>IF($J167="","",TEXT(급여기준월,"yyyy-mm"))</f>
        <v/>
      </c>
      <c r="B167">
        <f>IF($J167="","",INDEX(명단표[사번],$J167)&amp;"")</f>
        <v/>
      </c>
      <c r="C167">
        <f>IF($J167="","",INDEX(명단표[이름],$J167))</f>
        <v/>
      </c>
      <c r="D167">
        <f>IF($J167="","",INDEX(명단표[수련과목],$J167))</f>
        <v/>
      </c>
      <c r="E167">
        <f>IF($J167="","",INDEX(명단표[연차],$J167)&amp;"")</f>
        <v/>
      </c>
      <c r="F167">
        <f>IF($J167="","",INDEX(명단표[소속병원],$J167))</f>
        <v/>
      </c>
      <c r="G167">
        <f>IF($J167="","",INDEX(명단표[기준월 근무병원],$J167))</f>
        <v/>
      </c>
      <c r="H167">
        <f>IF($J167="","",INDEX(명단표[급여지급병원(기준월)],$J167))</f>
        <v/>
      </c>
      <c r="I167">
        <f>IF($J167="","",INDEX(명단표[급여 판정 근거],$J167))</f>
        <v/>
      </c>
      <c r="J167" s="17">
        <f>IFERROR(MATCH(163,명단표[명단순번],0),"")</f>
        <v/>
      </c>
    </row>
    <row r="168">
      <c r="A168">
        <f>IF($J168="","",TEXT(급여기준월,"yyyy-mm"))</f>
        <v/>
      </c>
      <c r="B168">
        <f>IF($J168="","",INDEX(명단표[사번],$J168)&amp;"")</f>
        <v/>
      </c>
      <c r="C168">
        <f>IF($J168="","",INDEX(명단표[이름],$J168))</f>
        <v/>
      </c>
      <c r="D168">
        <f>IF($J168="","",INDEX(명단표[수련과목],$J168))</f>
        <v/>
      </c>
      <c r="E168">
        <f>IF($J168="","",INDEX(명단표[연차],$J168)&amp;"")</f>
        <v/>
      </c>
      <c r="F168">
        <f>IF($J168="","",INDEX(명단표[소속병원],$J168))</f>
        <v/>
      </c>
      <c r="G168">
        <f>IF($J168="","",INDEX(명단표[기준월 근무병원],$J168))</f>
        <v/>
      </c>
      <c r="H168">
        <f>IF($J168="","",INDEX(명단표[급여지급병원(기준월)],$J168))</f>
        <v/>
      </c>
      <c r="I168">
        <f>IF($J168="","",INDEX(명단표[급여 판정 근거],$J168))</f>
        <v/>
      </c>
      <c r="J168" s="17">
        <f>IFERROR(MATCH(164,명단표[명단순번],0),"")</f>
        <v/>
      </c>
    </row>
    <row r="169">
      <c r="A169">
        <f>IF($J169="","",TEXT(급여기준월,"yyyy-mm"))</f>
        <v/>
      </c>
      <c r="B169">
        <f>IF($J169="","",INDEX(명단표[사번],$J169)&amp;"")</f>
        <v/>
      </c>
      <c r="C169">
        <f>IF($J169="","",INDEX(명단표[이름],$J169))</f>
        <v/>
      </c>
      <c r="D169">
        <f>IF($J169="","",INDEX(명단표[수련과목],$J169))</f>
        <v/>
      </c>
      <c r="E169">
        <f>IF($J169="","",INDEX(명단표[연차],$J169)&amp;"")</f>
        <v/>
      </c>
      <c r="F169">
        <f>IF($J169="","",INDEX(명단표[소속병원],$J169))</f>
        <v/>
      </c>
      <c r="G169">
        <f>IF($J169="","",INDEX(명단표[기준월 근무병원],$J169))</f>
        <v/>
      </c>
      <c r="H169">
        <f>IF($J169="","",INDEX(명단표[급여지급병원(기준월)],$J169))</f>
        <v/>
      </c>
      <c r="I169">
        <f>IF($J169="","",INDEX(명단표[급여 판정 근거],$J169))</f>
        <v/>
      </c>
      <c r="J169" s="17">
        <f>IFERROR(MATCH(165,명단표[명단순번],0),"")</f>
        <v/>
      </c>
    </row>
    <row r="170">
      <c r="A170">
        <f>IF($J170="","",TEXT(급여기준월,"yyyy-mm"))</f>
        <v/>
      </c>
      <c r="B170">
        <f>IF($J170="","",INDEX(명단표[사번],$J170)&amp;"")</f>
        <v/>
      </c>
      <c r="C170">
        <f>IF($J170="","",INDEX(명단표[이름],$J170))</f>
        <v/>
      </c>
      <c r="D170">
        <f>IF($J170="","",INDEX(명단표[수련과목],$J170))</f>
        <v/>
      </c>
      <c r="E170">
        <f>IF($J170="","",INDEX(명단표[연차],$J170)&amp;"")</f>
        <v/>
      </c>
      <c r="F170">
        <f>IF($J170="","",INDEX(명단표[소속병원],$J170))</f>
        <v/>
      </c>
      <c r="G170">
        <f>IF($J170="","",INDEX(명단표[기준월 근무병원],$J170))</f>
        <v/>
      </c>
      <c r="H170">
        <f>IF($J170="","",INDEX(명단표[급여지급병원(기준월)],$J170))</f>
        <v/>
      </c>
      <c r="I170">
        <f>IF($J170="","",INDEX(명단표[급여 판정 근거],$J170))</f>
        <v/>
      </c>
      <c r="J170" s="17">
        <f>IFERROR(MATCH(166,명단표[명단순번],0),"")</f>
        <v/>
      </c>
    </row>
    <row r="171">
      <c r="A171">
        <f>IF($J171="","",TEXT(급여기준월,"yyyy-mm"))</f>
        <v/>
      </c>
      <c r="B171">
        <f>IF($J171="","",INDEX(명단표[사번],$J171)&amp;"")</f>
        <v/>
      </c>
      <c r="C171">
        <f>IF($J171="","",INDEX(명단표[이름],$J171))</f>
        <v/>
      </c>
      <c r="D171">
        <f>IF($J171="","",INDEX(명단표[수련과목],$J171))</f>
        <v/>
      </c>
      <c r="E171">
        <f>IF($J171="","",INDEX(명단표[연차],$J171)&amp;"")</f>
        <v/>
      </c>
      <c r="F171">
        <f>IF($J171="","",INDEX(명단표[소속병원],$J171))</f>
        <v/>
      </c>
      <c r="G171">
        <f>IF($J171="","",INDEX(명단표[기준월 근무병원],$J171))</f>
        <v/>
      </c>
      <c r="H171">
        <f>IF($J171="","",INDEX(명단표[급여지급병원(기준월)],$J171))</f>
        <v/>
      </c>
      <c r="I171">
        <f>IF($J171="","",INDEX(명단표[급여 판정 근거],$J171))</f>
        <v/>
      </c>
      <c r="J171" s="17">
        <f>IFERROR(MATCH(167,명단표[명단순번],0),"")</f>
        <v/>
      </c>
    </row>
    <row r="172">
      <c r="A172">
        <f>IF($J172="","",TEXT(급여기준월,"yyyy-mm"))</f>
        <v/>
      </c>
      <c r="B172">
        <f>IF($J172="","",INDEX(명단표[사번],$J172)&amp;"")</f>
        <v/>
      </c>
      <c r="C172">
        <f>IF($J172="","",INDEX(명단표[이름],$J172))</f>
        <v/>
      </c>
      <c r="D172">
        <f>IF($J172="","",INDEX(명단표[수련과목],$J172))</f>
        <v/>
      </c>
      <c r="E172">
        <f>IF($J172="","",INDEX(명단표[연차],$J172)&amp;"")</f>
        <v/>
      </c>
      <c r="F172">
        <f>IF($J172="","",INDEX(명단표[소속병원],$J172))</f>
        <v/>
      </c>
      <c r="G172">
        <f>IF($J172="","",INDEX(명단표[기준월 근무병원],$J172))</f>
        <v/>
      </c>
      <c r="H172">
        <f>IF($J172="","",INDEX(명단표[급여지급병원(기준월)],$J172))</f>
        <v/>
      </c>
      <c r="I172">
        <f>IF($J172="","",INDEX(명단표[급여 판정 근거],$J172))</f>
        <v/>
      </c>
      <c r="J172" s="17">
        <f>IFERROR(MATCH(168,명단표[명단순번],0),"")</f>
        <v/>
      </c>
    </row>
    <row r="173">
      <c r="A173">
        <f>IF($J173="","",TEXT(급여기준월,"yyyy-mm"))</f>
        <v/>
      </c>
      <c r="B173">
        <f>IF($J173="","",INDEX(명단표[사번],$J173)&amp;"")</f>
        <v/>
      </c>
      <c r="C173">
        <f>IF($J173="","",INDEX(명단표[이름],$J173))</f>
        <v/>
      </c>
      <c r="D173">
        <f>IF($J173="","",INDEX(명단표[수련과목],$J173))</f>
        <v/>
      </c>
      <c r="E173">
        <f>IF($J173="","",INDEX(명단표[연차],$J173)&amp;"")</f>
        <v/>
      </c>
      <c r="F173">
        <f>IF($J173="","",INDEX(명단표[소속병원],$J173))</f>
        <v/>
      </c>
      <c r="G173">
        <f>IF($J173="","",INDEX(명단표[기준월 근무병원],$J173))</f>
        <v/>
      </c>
      <c r="H173">
        <f>IF($J173="","",INDEX(명단표[급여지급병원(기준월)],$J173))</f>
        <v/>
      </c>
      <c r="I173">
        <f>IF($J173="","",INDEX(명단표[급여 판정 근거],$J173))</f>
        <v/>
      </c>
      <c r="J173" s="17">
        <f>IFERROR(MATCH(169,명단표[명단순번],0),"")</f>
        <v/>
      </c>
    </row>
    <row r="174">
      <c r="A174">
        <f>IF($J174="","",TEXT(급여기준월,"yyyy-mm"))</f>
        <v/>
      </c>
      <c r="B174">
        <f>IF($J174="","",INDEX(명단표[사번],$J174)&amp;"")</f>
        <v/>
      </c>
      <c r="C174">
        <f>IF($J174="","",INDEX(명단표[이름],$J174))</f>
        <v/>
      </c>
      <c r="D174">
        <f>IF($J174="","",INDEX(명단표[수련과목],$J174))</f>
        <v/>
      </c>
      <c r="E174">
        <f>IF($J174="","",INDEX(명단표[연차],$J174)&amp;"")</f>
        <v/>
      </c>
      <c r="F174">
        <f>IF($J174="","",INDEX(명단표[소속병원],$J174))</f>
        <v/>
      </c>
      <c r="G174">
        <f>IF($J174="","",INDEX(명단표[기준월 근무병원],$J174))</f>
        <v/>
      </c>
      <c r="H174">
        <f>IF($J174="","",INDEX(명단표[급여지급병원(기준월)],$J174))</f>
        <v/>
      </c>
      <c r="I174">
        <f>IF($J174="","",INDEX(명단표[급여 판정 근거],$J174))</f>
        <v/>
      </c>
      <c r="J174" s="17">
        <f>IFERROR(MATCH(170,명단표[명단순번],0),"")</f>
        <v/>
      </c>
    </row>
    <row r="175">
      <c r="A175">
        <f>IF($J175="","",TEXT(급여기준월,"yyyy-mm"))</f>
        <v/>
      </c>
      <c r="B175">
        <f>IF($J175="","",INDEX(명단표[사번],$J175)&amp;"")</f>
        <v/>
      </c>
      <c r="C175">
        <f>IF($J175="","",INDEX(명단표[이름],$J175))</f>
        <v/>
      </c>
      <c r="D175">
        <f>IF($J175="","",INDEX(명단표[수련과목],$J175))</f>
        <v/>
      </c>
      <c r="E175">
        <f>IF($J175="","",INDEX(명단표[연차],$J175)&amp;"")</f>
        <v/>
      </c>
      <c r="F175">
        <f>IF($J175="","",INDEX(명단표[소속병원],$J175))</f>
        <v/>
      </c>
      <c r="G175">
        <f>IF($J175="","",INDEX(명단표[기준월 근무병원],$J175))</f>
        <v/>
      </c>
      <c r="H175">
        <f>IF($J175="","",INDEX(명단표[급여지급병원(기준월)],$J175))</f>
        <v/>
      </c>
      <c r="I175">
        <f>IF($J175="","",INDEX(명단표[급여 판정 근거],$J175))</f>
        <v/>
      </c>
      <c r="J175" s="17">
        <f>IFERROR(MATCH(171,명단표[명단순번],0),"")</f>
        <v/>
      </c>
    </row>
    <row r="176">
      <c r="A176">
        <f>IF($J176="","",TEXT(급여기준월,"yyyy-mm"))</f>
        <v/>
      </c>
      <c r="B176">
        <f>IF($J176="","",INDEX(명단표[사번],$J176)&amp;"")</f>
        <v/>
      </c>
      <c r="C176">
        <f>IF($J176="","",INDEX(명단표[이름],$J176))</f>
        <v/>
      </c>
      <c r="D176">
        <f>IF($J176="","",INDEX(명단표[수련과목],$J176))</f>
        <v/>
      </c>
      <c r="E176">
        <f>IF($J176="","",INDEX(명단표[연차],$J176)&amp;"")</f>
        <v/>
      </c>
      <c r="F176">
        <f>IF($J176="","",INDEX(명단표[소속병원],$J176))</f>
        <v/>
      </c>
      <c r="G176">
        <f>IF($J176="","",INDEX(명단표[기준월 근무병원],$J176))</f>
        <v/>
      </c>
      <c r="H176">
        <f>IF($J176="","",INDEX(명단표[급여지급병원(기준월)],$J176))</f>
        <v/>
      </c>
      <c r="I176">
        <f>IF($J176="","",INDEX(명단표[급여 판정 근거],$J176))</f>
        <v/>
      </c>
      <c r="J176" s="17">
        <f>IFERROR(MATCH(172,명단표[명단순번],0),"")</f>
        <v/>
      </c>
    </row>
    <row r="177">
      <c r="A177">
        <f>IF($J177="","",TEXT(급여기준월,"yyyy-mm"))</f>
        <v/>
      </c>
      <c r="B177">
        <f>IF($J177="","",INDEX(명단표[사번],$J177)&amp;"")</f>
        <v/>
      </c>
      <c r="C177">
        <f>IF($J177="","",INDEX(명단표[이름],$J177))</f>
        <v/>
      </c>
      <c r="D177">
        <f>IF($J177="","",INDEX(명단표[수련과목],$J177))</f>
        <v/>
      </c>
      <c r="E177">
        <f>IF($J177="","",INDEX(명단표[연차],$J177)&amp;"")</f>
        <v/>
      </c>
      <c r="F177">
        <f>IF($J177="","",INDEX(명단표[소속병원],$J177))</f>
        <v/>
      </c>
      <c r="G177">
        <f>IF($J177="","",INDEX(명단표[기준월 근무병원],$J177))</f>
        <v/>
      </c>
      <c r="H177">
        <f>IF($J177="","",INDEX(명단표[급여지급병원(기준월)],$J177))</f>
        <v/>
      </c>
      <c r="I177">
        <f>IF($J177="","",INDEX(명단표[급여 판정 근거],$J177))</f>
        <v/>
      </c>
      <c r="J177" s="17">
        <f>IFERROR(MATCH(173,명단표[명단순번],0),"")</f>
        <v/>
      </c>
    </row>
    <row r="178">
      <c r="A178">
        <f>IF($J178="","",TEXT(급여기준월,"yyyy-mm"))</f>
        <v/>
      </c>
      <c r="B178">
        <f>IF($J178="","",INDEX(명단표[사번],$J178)&amp;"")</f>
        <v/>
      </c>
      <c r="C178">
        <f>IF($J178="","",INDEX(명단표[이름],$J178))</f>
        <v/>
      </c>
      <c r="D178">
        <f>IF($J178="","",INDEX(명단표[수련과목],$J178))</f>
        <v/>
      </c>
      <c r="E178">
        <f>IF($J178="","",INDEX(명단표[연차],$J178)&amp;"")</f>
        <v/>
      </c>
      <c r="F178">
        <f>IF($J178="","",INDEX(명단표[소속병원],$J178))</f>
        <v/>
      </c>
      <c r="G178">
        <f>IF($J178="","",INDEX(명단표[기준월 근무병원],$J178))</f>
        <v/>
      </c>
      <c r="H178">
        <f>IF($J178="","",INDEX(명단표[급여지급병원(기준월)],$J178))</f>
        <v/>
      </c>
      <c r="I178">
        <f>IF($J178="","",INDEX(명단표[급여 판정 근거],$J178))</f>
        <v/>
      </c>
      <c r="J178" s="17">
        <f>IFERROR(MATCH(174,명단표[명단순번],0),"")</f>
        <v/>
      </c>
    </row>
    <row r="179">
      <c r="A179">
        <f>IF($J179="","",TEXT(급여기준월,"yyyy-mm"))</f>
        <v/>
      </c>
      <c r="B179">
        <f>IF($J179="","",INDEX(명단표[사번],$J179)&amp;"")</f>
        <v/>
      </c>
      <c r="C179">
        <f>IF($J179="","",INDEX(명단표[이름],$J179))</f>
        <v/>
      </c>
      <c r="D179">
        <f>IF($J179="","",INDEX(명단표[수련과목],$J179))</f>
        <v/>
      </c>
      <c r="E179">
        <f>IF($J179="","",INDEX(명단표[연차],$J179)&amp;"")</f>
        <v/>
      </c>
      <c r="F179">
        <f>IF($J179="","",INDEX(명단표[소속병원],$J179))</f>
        <v/>
      </c>
      <c r="G179">
        <f>IF($J179="","",INDEX(명단표[기준월 근무병원],$J179))</f>
        <v/>
      </c>
      <c r="H179">
        <f>IF($J179="","",INDEX(명단표[급여지급병원(기준월)],$J179))</f>
        <v/>
      </c>
      <c r="I179">
        <f>IF($J179="","",INDEX(명단표[급여 판정 근거],$J179))</f>
        <v/>
      </c>
      <c r="J179" s="17">
        <f>IFERROR(MATCH(175,명단표[명단순번],0),"")</f>
        <v/>
      </c>
    </row>
    <row r="180">
      <c r="A180">
        <f>IF($J180="","",TEXT(급여기준월,"yyyy-mm"))</f>
        <v/>
      </c>
      <c r="B180">
        <f>IF($J180="","",INDEX(명단표[사번],$J180)&amp;"")</f>
        <v/>
      </c>
      <c r="C180">
        <f>IF($J180="","",INDEX(명단표[이름],$J180))</f>
        <v/>
      </c>
      <c r="D180">
        <f>IF($J180="","",INDEX(명단표[수련과목],$J180))</f>
        <v/>
      </c>
      <c r="E180">
        <f>IF($J180="","",INDEX(명단표[연차],$J180)&amp;"")</f>
        <v/>
      </c>
      <c r="F180">
        <f>IF($J180="","",INDEX(명단표[소속병원],$J180))</f>
        <v/>
      </c>
      <c r="G180">
        <f>IF($J180="","",INDEX(명단표[기준월 근무병원],$J180))</f>
        <v/>
      </c>
      <c r="H180">
        <f>IF($J180="","",INDEX(명단표[급여지급병원(기준월)],$J180))</f>
        <v/>
      </c>
      <c r="I180">
        <f>IF($J180="","",INDEX(명단표[급여 판정 근거],$J180))</f>
        <v/>
      </c>
      <c r="J180" s="17">
        <f>IFERROR(MATCH(176,명단표[명단순번],0),"")</f>
        <v/>
      </c>
    </row>
    <row r="181">
      <c r="A181">
        <f>IF($J181="","",TEXT(급여기준월,"yyyy-mm"))</f>
        <v/>
      </c>
      <c r="B181">
        <f>IF($J181="","",INDEX(명단표[사번],$J181)&amp;"")</f>
        <v/>
      </c>
      <c r="C181">
        <f>IF($J181="","",INDEX(명단표[이름],$J181))</f>
        <v/>
      </c>
      <c r="D181">
        <f>IF($J181="","",INDEX(명단표[수련과목],$J181))</f>
        <v/>
      </c>
      <c r="E181">
        <f>IF($J181="","",INDEX(명단표[연차],$J181)&amp;"")</f>
        <v/>
      </c>
      <c r="F181">
        <f>IF($J181="","",INDEX(명단표[소속병원],$J181))</f>
        <v/>
      </c>
      <c r="G181">
        <f>IF($J181="","",INDEX(명단표[기준월 근무병원],$J181))</f>
        <v/>
      </c>
      <c r="H181">
        <f>IF($J181="","",INDEX(명단표[급여지급병원(기준월)],$J181))</f>
        <v/>
      </c>
      <c r="I181">
        <f>IF($J181="","",INDEX(명단표[급여 판정 근거],$J181))</f>
        <v/>
      </c>
      <c r="J181" s="17">
        <f>IFERROR(MATCH(177,명단표[명단순번],0),"")</f>
        <v/>
      </c>
    </row>
    <row r="182">
      <c r="A182">
        <f>IF($J182="","",TEXT(급여기준월,"yyyy-mm"))</f>
        <v/>
      </c>
      <c r="B182">
        <f>IF($J182="","",INDEX(명단표[사번],$J182)&amp;"")</f>
        <v/>
      </c>
      <c r="C182">
        <f>IF($J182="","",INDEX(명단표[이름],$J182))</f>
        <v/>
      </c>
      <c r="D182">
        <f>IF($J182="","",INDEX(명단표[수련과목],$J182))</f>
        <v/>
      </c>
      <c r="E182">
        <f>IF($J182="","",INDEX(명단표[연차],$J182)&amp;"")</f>
        <v/>
      </c>
      <c r="F182">
        <f>IF($J182="","",INDEX(명단표[소속병원],$J182))</f>
        <v/>
      </c>
      <c r="G182">
        <f>IF($J182="","",INDEX(명단표[기준월 근무병원],$J182))</f>
        <v/>
      </c>
      <c r="H182">
        <f>IF($J182="","",INDEX(명단표[급여지급병원(기준월)],$J182))</f>
        <v/>
      </c>
      <c r="I182">
        <f>IF($J182="","",INDEX(명단표[급여 판정 근거],$J182))</f>
        <v/>
      </c>
      <c r="J182" s="17">
        <f>IFERROR(MATCH(178,명단표[명단순번],0),"")</f>
        <v/>
      </c>
    </row>
    <row r="183">
      <c r="A183">
        <f>IF($J183="","",TEXT(급여기준월,"yyyy-mm"))</f>
        <v/>
      </c>
      <c r="B183">
        <f>IF($J183="","",INDEX(명단표[사번],$J183)&amp;"")</f>
        <v/>
      </c>
      <c r="C183">
        <f>IF($J183="","",INDEX(명단표[이름],$J183))</f>
        <v/>
      </c>
      <c r="D183">
        <f>IF($J183="","",INDEX(명단표[수련과목],$J183))</f>
        <v/>
      </c>
      <c r="E183">
        <f>IF($J183="","",INDEX(명단표[연차],$J183)&amp;"")</f>
        <v/>
      </c>
      <c r="F183">
        <f>IF($J183="","",INDEX(명단표[소속병원],$J183))</f>
        <v/>
      </c>
      <c r="G183">
        <f>IF($J183="","",INDEX(명단표[기준월 근무병원],$J183))</f>
        <v/>
      </c>
      <c r="H183">
        <f>IF($J183="","",INDEX(명단표[급여지급병원(기준월)],$J183))</f>
        <v/>
      </c>
      <c r="I183">
        <f>IF($J183="","",INDEX(명단표[급여 판정 근거],$J183))</f>
        <v/>
      </c>
      <c r="J183" s="17">
        <f>IFERROR(MATCH(179,명단표[명단순번],0),"")</f>
        <v/>
      </c>
    </row>
    <row r="184">
      <c r="A184">
        <f>IF($J184="","",TEXT(급여기준월,"yyyy-mm"))</f>
        <v/>
      </c>
      <c r="B184">
        <f>IF($J184="","",INDEX(명단표[사번],$J184)&amp;"")</f>
        <v/>
      </c>
      <c r="C184">
        <f>IF($J184="","",INDEX(명단표[이름],$J184))</f>
        <v/>
      </c>
      <c r="D184">
        <f>IF($J184="","",INDEX(명단표[수련과목],$J184))</f>
        <v/>
      </c>
      <c r="E184">
        <f>IF($J184="","",INDEX(명단표[연차],$J184)&amp;"")</f>
        <v/>
      </c>
      <c r="F184">
        <f>IF($J184="","",INDEX(명단표[소속병원],$J184))</f>
        <v/>
      </c>
      <c r="G184">
        <f>IF($J184="","",INDEX(명단표[기준월 근무병원],$J184))</f>
        <v/>
      </c>
      <c r="H184">
        <f>IF($J184="","",INDEX(명단표[급여지급병원(기준월)],$J184))</f>
        <v/>
      </c>
      <c r="I184">
        <f>IF($J184="","",INDEX(명단표[급여 판정 근거],$J184))</f>
        <v/>
      </c>
      <c r="J184" s="17">
        <f>IFERROR(MATCH(180,명단표[명단순번],0),"")</f>
        <v/>
      </c>
    </row>
    <row r="185">
      <c r="A185">
        <f>IF($J185="","",TEXT(급여기준월,"yyyy-mm"))</f>
        <v/>
      </c>
      <c r="B185">
        <f>IF($J185="","",INDEX(명단표[사번],$J185)&amp;"")</f>
        <v/>
      </c>
      <c r="C185">
        <f>IF($J185="","",INDEX(명단표[이름],$J185))</f>
        <v/>
      </c>
      <c r="D185">
        <f>IF($J185="","",INDEX(명단표[수련과목],$J185))</f>
        <v/>
      </c>
      <c r="E185">
        <f>IF($J185="","",INDEX(명단표[연차],$J185)&amp;"")</f>
        <v/>
      </c>
      <c r="F185">
        <f>IF($J185="","",INDEX(명단표[소속병원],$J185))</f>
        <v/>
      </c>
      <c r="G185">
        <f>IF($J185="","",INDEX(명단표[기준월 근무병원],$J185))</f>
        <v/>
      </c>
      <c r="H185">
        <f>IF($J185="","",INDEX(명단표[급여지급병원(기준월)],$J185))</f>
        <v/>
      </c>
      <c r="I185">
        <f>IF($J185="","",INDEX(명단표[급여 판정 근거],$J185))</f>
        <v/>
      </c>
      <c r="J185" s="17">
        <f>IFERROR(MATCH(181,명단표[명단순번],0),"")</f>
        <v/>
      </c>
    </row>
    <row r="186">
      <c r="A186">
        <f>IF($J186="","",TEXT(급여기준월,"yyyy-mm"))</f>
        <v/>
      </c>
      <c r="B186">
        <f>IF($J186="","",INDEX(명단표[사번],$J186)&amp;"")</f>
        <v/>
      </c>
      <c r="C186">
        <f>IF($J186="","",INDEX(명단표[이름],$J186))</f>
        <v/>
      </c>
      <c r="D186">
        <f>IF($J186="","",INDEX(명단표[수련과목],$J186))</f>
        <v/>
      </c>
      <c r="E186">
        <f>IF($J186="","",INDEX(명단표[연차],$J186)&amp;"")</f>
        <v/>
      </c>
      <c r="F186">
        <f>IF($J186="","",INDEX(명단표[소속병원],$J186))</f>
        <v/>
      </c>
      <c r="G186">
        <f>IF($J186="","",INDEX(명단표[기준월 근무병원],$J186))</f>
        <v/>
      </c>
      <c r="H186">
        <f>IF($J186="","",INDEX(명단표[급여지급병원(기준월)],$J186))</f>
        <v/>
      </c>
      <c r="I186">
        <f>IF($J186="","",INDEX(명단표[급여 판정 근거],$J186))</f>
        <v/>
      </c>
      <c r="J186" s="17">
        <f>IFERROR(MATCH(182,명단표[명단순번],0),"")</f>
        <v/>
      </c>
    </row>
    <row r="187">
      <c r="A187">
        <f>IF($J187="","",TEXT(급여기준월,"yyyy-mm"))</f>
        <v/>
      </c>
      <c r="B187">
        <f>IF($J187="","",INDEX(명단표[사번],$J187)&amp;"")</f>
        <v/>
      </c>
      <c r="C187">
        <f>IF($J187="","",INDEX(명단표[이름],$J187))</f>
        <v/>
      </c>
      <c r="D187">
        <f>IF($J187="","",INDEX(명단표[수련과목],$J187))</f>
        <v/>
      </c>
      <c r="E187">
        <f>IF($J187="","",INDEX(명단표[연차],$J187)&amp;"")</f>
        <v/>
      </c>
      <c r="F187">
        <f>IF($J187="","",INDEX(명단표[소속병원],$J187))</f>
        <v/>
      </c>
      <c r="G187">
        <f>IF($J187="","",INDEX(명단표[기준월 근무병원],$J187))</f>
        <v/>
      </c>
      <c r="H187">
        <f>IF($J187="","",INDEX(명단표[급여지급병원(기준월)],$J187))</f>
        <v/>
      </c>
      <c r="I187">
        <f>IF($J187="","",INDEX(명단표[급여 판정 근거],$J187))</f>
        <v/>
      </c>
      <c r="J187" s="17">
        <f>IFERROR(MATCH(183,명단표[명단순번],0),"")</f>
        <v/>
      </c>
    </row>
    <row r="188">
      <c r="A188">
        <f>IF($J188="","",TEXT(급여기준월,"yyyy-mm"))</f>
        <v/>
      </c>
      <c r="B188">
        <f>IF($J188="","",INDEX(명단표[사번],$J188)&amp;"")</f>
        <v/>
      </c>
      <c r="C188">
        <f>IF($J188="","",INDEX(명단표[이름],$J188))</f>
        <v/>
      </c>
      <c r="D188">
        <f>IF($J188="","",INDEX(명단표[수련과목],$J188))</f>
        <v/>
      </c>
      <c r="E188">
        <f>IF($J188="","",INDEX(명단표[연차],$J188)&amp;"")</f>
        <v/>
      </c>
      <c r="F188">
        <f>IF($J188="","",INDEX(명단표[소속병원],$J188))</f>
        <v/>
      </c>
      <c r="G188">
        <f>IF($J188="","",INDEX(명단표[기준월 근무병원],$J188))</f>
        <v/>
      </c>
      <c r="H188">
        <f>IF($J188="","",INDEX(명단표[급여지급병원(기준월)],$J188))</f>
        <v/>
      </c>
      <c r="I188">
        <f>IF($J188="","",INDEX(명단표[급여 판정 근거],$J188))</f>
        <v/>
      </c>
      <c r="J188" s="17">
        <f>IFERROR(MATCH(184,명단표[명단순번],0),"")</f>
        <v/>
      </c>
    </row>
    <row r="189">
      <c r="A189">
        <f>IF($J189="","",TEXT(급여기준월,"yyyy-mm"))</f>
        <v/>
      </c>
      <c r="B189">
        <f>IF($J189="","",INDEX(명단표[사번],$J189)&amp;"")</f>
        <v/>
      </c>
      <c r="C189">
        <f>IF($J189="","",INDEX(명단표[이름],$J189))</f>
        <v/>
      </c>
      <c r="D189">
        <f>IF($J189="","",INDEX(명단표[수련과목],$J189))</f>
        <v/>
      </c>
      <c r="E189">
        <f>IF($J189="","",INDEX(명단표[연차],$J189)&amp;"")</f>
        <v/>
      </c>
      <c r="F189">
        <f>IF($J189="","",INDEX(명단표[소속병원],$J189))</f>
        <v/>
      </c>
      <c r="G189">
        <f>IF($J189="","",INDEX(명단표[기준월 근무병원],$J189))</f>
        <v/>
      </c>
      <c r="H189">
        <f>IF($J189="","",INDEX(명단표[급여지급병원(기준월)],$J189))</f>
        <v/>
      </c>
      <c r="I189">
        <f>IF($J189="","",INDEX(명단표[급여 판정 근거],$J189))</f>
        <v/>
      </c>
      <c r="J189" s="17">
        <f>IFERROR(MATCH(185,명단표[명단순번],0),"")</f>
        <v/>
      </c>
    </row>
    <row r="190">
      <c r="A190">
        <f>IF($J190="","",TEXT(급여기준월,"yyyy-mm"))</f>
        <v/>
      </c>
      <c r="B190">
        <f>IF($J190="","",INDEX(명단표[사번],$J190)&amp;"")</f>
        <v/>
      </c>
      <c r="C190">
        <f>IF($J190="","",INDEX(명단표[이름],$J190))</f>
        <v/>
      </c>
      <c r="D190">
        <f>IF($J190="","",INDEX(명단표[수련과목],$J190))</f>
        <v/>
      </c>
      <c r="E190">
        <f>IF($J190="","",INDEX(명단표[연차],$J190)&amp;"")</f>
        <v/>
      </c>
      <c r="F190">
        <f>IF($J190="","",INDEX(명단표[소속병원],$J190))</f>
        <v/>
      </c>
      <c r="G190">
        <f>IF($J190="","",INDEX(명단표[기준월 근무병원],$J190))</f>
        <v/>
      </c>
      <c r="H190">
        <f>IF($J190="","",INDEX(명단표[급여지급병원(기준월)],$J190))</f>
        <v/>
      </c>
      <c r="I190">
        <f>IF($J190="","",INDEX(명단표[급여 판정 근거],$J190))</f>
        <v/>
      </c>
      <c r="J190" s="17">
        <f>IFERROR(MATCH(186,명단표[명단순번],0),"")</f>
        <v/>
      </c>
    </row>
    <row r="191">
      <c r="A191">
        <f>IF($J191="","",TEXT(급여기준월,"yyyy-mm"))</f>
        <v/>
      </c>
      <c r="B191">
        <f>IF($J191="","",INDEX(명단표[사번],$J191)&amp;"")</f>
        <v/>
      </c>
      <c r="C191">
        <f>IF($J191="","",INDEX(명단표[이름],$J191))</f>
        <v/>
      </c>
      <c r="D191">
        <f>IF($J191="","",INDEX(명단표[수련과목],$J191))</f>
        <v/>
      </c>
      <c r="E191">
        <f>IF($J191="","",INDEX(명단표[연차],$J191)&amp;"")</f>
        <v/>
      </c>
      <c r="F191">
        <f>IF($J191="","",INDEX(명단표[소속병원],$J191))</f>
        <v/>
      </c>
      <c r="G191">
        <f>IF($J191="","",INDEX(명단표[기준월 근무병원],$J191))</f>
        <v/>
      </c>
      <c r="H191">
        <f>IF($J191="","",INDEX(명단표[급여지급병원(기준월)],$J191))</f>
        <v/>
      </c>
      <c r="I191">
        <f>IF($J191="","",INDEX(명단표[급여 판정 근거],$J191))</f>
        <v/>
      </c>
      <c r="J191" s="17">
        <f>IFERROR(MATCH(187,명단표[명단순번],0),"")</f>
        <v/>
      </c>
    </row>
    <row r="192">
      <c r="A192">
        <f>IF($J192="","",TEXT(급여기준월,"yyyy-mm"))</f>
        <v/>
      </c>
      <c r="B192">
        <f>IF($J192="","",INDEX(명단표[사번],$J192)&amp;"")</f>
        <v/>
      </c>
      <c r="C192">
        <f>IF($J192="","",INDEX(명단표[이름],$J192))</f>
        <v/>
      </c>
      <c r="D192">
        <f>IF($J192="","",INDEX(명단표[수련과목],$J192))</f>
        <v/>
      </c>
      <c r="E192">
        <f>IF($J192="","",INDEX(명단표[연차],$J192)&amp;"")</f>
        <v/>
      </c>
      <c r="F192">
        <f>IF($J192="","",INDEX(명단표[소속병원],$J192))</f>
        <v/>
      </c>
      <c r="G192">
        <f>IF($J192="","",INDEX(명단표[기준월 근무병원],$J192))</f>
        <v/>
      </c>
      <c r="H192">
        <f>IF($J192="","",INDEX(명단표[급여지급병원(기준월)],$J192))</f>
        <v/>
      </c>
      <c r="I192">
        <f>IF($J192="","",INDEX(명단표[급여 판정 근거],$J192))</f>
        <v/>
      </c>
      <c r="J192" s="17">
        <f>IFERROR(MATCH(188,명단표[명단순번],0),"")</f>
        <v/>
      </c>
    </row>
    <row r="193">
      <c r="A193">
        <f>IF($J193="","",TEXT(급여기준월,"yyyy-mm"))</f>
        <v/>
      </c>
      <c r="B193">
        <f>IF($J193="","",INDEX(명단표[사번],$J193)&amp;"")</f>
        <v/>
      </c>
      <c r="C193">
        <f>IF($J193="","",INDEX(명단표[이름],$J193))</f>
        <v/>
      </c>
      <c r="D193">
        <f>IF($J193="","",INDEX(명단표[수련과목],$J193))</f>
        <v/>
      </c>
      <c r="E193">
        <f>IF($J193="","",INDEX(명단표[연차],$J193)&amp;"")</f>
        <v/>
      </c>
      <c r="F193">
        <f>IF($J193="","",INDEX(명단표[소속병원],$J193))</f>
        <v/>
      </c>
      <c r="G193">
        <f>IF($J193="","",INDEX(명단표[기준월 근무병원],$J193))</f>
        <v/>
      </c>
      <c r="H193">
        <f>IF($J193="","",INDEX(명단표[급여지급병원(기준월)],$J193))</f>
        <v/>
      </c>
      <c r="I193">
        <f>IF($J193="","",INDEX(명단표[급여 판정 근거],$J193))</f>
        <v/>
      </c>
      <c r="J193" s="17">
        <f>IFERROR(MATCH(189,명단표[명단순번],0),"")</f>
        <v/>
      </c>
    </row>
    <row r="194">
      <c r="A194">
        <f>IF($J194="","",TEXT(급여기준월,"yyyy-mm"))</f>
        <v/>
      </c>
      <c r="B194">
        <f>IF($J194="","",INDEX(명단표[사번],$J194)&amp;"")</f>
        <v/>
      </c>
      <c r="C194">
        <f>IF($J194="","",INDEX(명단표[이름],$J194))</f>
        <v/>
      </c>
      <c r="D194">
        <f>IF($J194="","",INDEX(명단표[수련과목],$J194))</f>
        <v/>
      </c>
      <c r="E194">
        <f>IF($J194="","",INDEX(명단표[연차],$J194)&amp;"")</f>
        <v/>
      </c>
      <c r="F194">
        <f>IF($J194="","",INDEX(명단표[소속병원],$J194))</f>
        <v/>
      </c>
      <c r="G194">
        <f>IF($J194="","",INDEX(명단표[기준월 근무병원],$J194))</f>
        <v/>
      </c>
      <c r="H194">
        <f>IF($J194="","",INDEX(명단표[급여지급병원(기준월)],$J194))</f>
        <v/>
      </c>
      <c r="I194">
        <f>IF($J194="","",INDEX(명단표[급여 판정 근거],$J194))</f>
        <v/>
      </c>
      <c r="J194" s="17">
        <f>IFERROR(MATCH(190,명단표[명단순번],0),"")</f>
        <v/>
      </c>
    </row>
    <row r="195">
      <c r="A195">
        <f>IF($J195="","",TEXT(급여기준월,"yyyy-mm"))</f>
        <v/>
      </c>
      <c r="B195">
        <f>IF($J195="","",INDEX(명단표[사번],$J195)&amp;"")</f>
        <v/>
      </c>
      <c r="C195">
        <f>IF($J195="","",INDEX(명단표[이름],$J195))</f>
        <v/>
      </c>
      <c r="D195">
        <f>IF($J195="","",INDEX(명단표[수련과목],$J195))</f>
        <v/>
      </c>
      <c r="E195">
        <f>IF($J195="","",INDEX(명단표[연차],$J195)&amp;"")</f>
        <v/>
      </c>
      <c r="F195">
        <f>IF($J195="","",INDEX(명단표[소속병원],$J195))</f>
        <v/>
      </c>
      <c r="G195">
        <f>IF($J195="","",INDEX(명단표[기준월 근무병원],$J195))</f>
        <v/>
      </c>
      <c r="H195">
        <f>IF($J195="","",INDEX(명단표[급여지급병원(기준월)],$J195))</f>
        <v/>
      </c>
      <c r="I195">
        <f>IF($J195="","",INDEX(명단표[급여 판정 근거],$J195))</f>
        <v/>
      </c>
      <c r="J195" s="17">
        <f>IFERROR(MATCH(191,명단표[명단순번],0),"")</f>
        <v/>
      </c>
    </row>
    <row r="196">
      <c r="A196">
        <f>IF($J196="","",TEXT(급여기준월,"yyyy-mm"))</f>
        <v/>
      </c>
      <c r="B196">
        <f>IF($J196="","",INDEX(명단표[사번],$J196)&amp;"")</f>
        <v/>
      </c>
      <c r="C196">
        <f>IF($J196="","",INDEX(명단표[이름],$J196))</f>
        <v/>
      </c>
      <c r="D196">
        <f>IF($J196="","",INDEX(명단표[수련과목],$J196))</f>
        <v/>
      </c>
      <c r="E196">
        <f>IF($J196="","",INDEX(명단표[연차],$J196)&amp;"")</f>
        <v/>
      </c>
      <c r="F196">
        <f>IF($J196="","",INDEX(명단표[소속병원],$J196))</f>
        <v/>
      </c>
      <c r="G196">
        <f>IF($J196="","",INDEX(명단표[기준월 근무병원],$J196))</f>
        <v/>
      </c>
      <c r="H196">
        <f>IF($J196="","",INDEX(명단표[급여지급병원(기준월)],$J196))</f>
        <v/>
      </c>
      <c r="I196">
        <f>IF($J196="","",INDEX(명단표[급여 판정 근거],$J196))</f>
        <v/>
      </c>
      <c r="J196" s="17">
        <f>IFERROR(MATCH(192,명단표[명단순번],0),"")</f>
        <v/>
      </c>
    </row>
    <row r="197">
      <c r="A197">
        <f>IF($J197="","",TEXT(급여기준월,"yyyy-mm"))</f>
        <v/>
      </c>
      <c r="B197">
        <f>IF($J197="","",INDEX(명단표[사번],$J197)&amp;"")</f>
        <v/>
      </c>
      <c r="C197">
        <f>IF($J197="","",INDEX(명단표[이름],$J197))</f>
        <v/>
      </c>
      <c r="D197">
        <f>IF($J197="","",INDEX(명단표[수련과목],$J197))</f>
        <v/>
      </c>
      <c r="E197">
        <f>IF($J197="","",INDEX(명단표[연차],$J197)&amp;"")</f>
        <v/>
      </c>
      <c r="F197">
        <f>IF($J197="","",INDEX(명단표[소속병원],$J197))</f>
        <v/>
      </c>
      <c r="G197">
        <f>IF($J197="","",INDEX(명단표[기준월 근무병원],$J197))</f>
        <v/>
      </c>
      <c r="H197">
        <f>IF($J197="","",INDEX(명단표[급여지급병원(기준월)],$J197))</f>
        <v/>
      </c>
      <c r="I197">
        <f>IF($J197="","",INDEX(명단표[급여 판정 근거],$J197))</f>
        <v/>
      </c>
      <c r="J197" s="17">
        <f>IFERROR(MATCH(193,명단표[명단순번],0),"")</f>
        <v/>
      </c>
    </row>
    <row r="198">
      <c r="A198">
        <f>IF($J198="","",TEXT(급여기준월,"yyyy-mm"))</f>
        <v/>
      </c>
      <c r="B198">
        <f>IF($J198="","",INDEX(명단표[사번],$J198)&amp;"")</f>
        <v/>
      </c>
      <c r="C198">
        <f>IF($J198="","",INDEX(명단표[이름],$J198))</f>
        <v/>
      </c>
      <c r="D198">
        <f>IF($J198="","",INDEX(명단표[수련과목],$J198))</f>
        <v/>
      </c>
      <c r="E198">
        <f>IF($J198="","",INDEX(명단표[연차],$J198)&amp;"")</f>
        <v/>
      </c>
      <c r="F198">
        <f>IF($J198="","",INDEX(명단표[소속병원],$J198))</f>
        <v/>
      </c>
      <c r="G198">
        <f>IF($J198="","",INDEX(명단표[기준월 근무병원],$J198))</f>
        <v/>
      </c>
      <c r="H198">
        <f>IF($J198="","",INDEX(명단표[급여지급병원(기준월)],$J198))</f>
        <v/>
      </c>
      <c r="I198">
        <f>IF($J198="","",INDEX(명단표[급여 판정 근거],$J198))</f>
        <v/>
      </c>
      <c r="J198" s="17">
        <f>IFERROR(MATCH(194,명단표[명단순번],0),"")</f>
        <v/>
      </c>
    </row>
    <row r="199">
      <c r="A199">
        <f>IF($J199="","",TEXT(급여기준월,"yyyy-mm"))</f>
        <v/>
      </c>
      <c r="B199">
        <f>IF($J199="","",INDEX(명단표[사번],$J199)&amp;"")</f>
        <v/>
      </c>
      <c r="C199">
        <f>IF($J199="","",INDEX(명단표[이름],$J199))</f>
        <v/>
      </c>
      <c r="D199">
        <f>IF($J199="","",INDEX(명단표[수련과목],$J199))</f>
        <v/>
      </c>
      <c r="E199">
        <f>IF($J199="","",INDEX(명단표[연차],$J199)&amp;"")</f>
        <v/>
      </c>
      <c r="F199">
        <f>IF($J199="","",INDEX(명단표[소속병원],$J199))</f>
        <v/>
      </c>
      <c r="G199">
        <f>IF($J199="","",INDEX(명단표[기준월 근무병원],$J199))</f>
        <v/>
      </c>
      <c r="H199">
        <f>IF($J199="","",INDEX(명단표[급여지급병원(기준월)],$J199))</f>
        <v/>
      </c>
      <c r="I199">
        <f>IF($J199="","",INDEX(명단표[급여 판정 근거],$J199))</f>
        <v/>
      </c>
      <c r="J199" s="17">
        <f>IFERROR(MATCH(195,명단표[명단순번],0),"")</f>
        <v/>
      </c>
    </row>
    <row r="200">
      <c r="A200">
        <f>IF($J200="","",TEXT(급여기준월,"yyyy-mm"))</f>
        <v/>
      </c>
      <c r="B200">
        <f>IF($J200="","",INDEX(명단표[사번],$J200)&amp;"")</f>
        <v/>
      </c>
      <c r="C200">
        <f>IF($J200="","",INDEX(명단표[이름],$J200))</f>
        <v/>
      </c>
      <c r="D200">
        <f>IF($J200="","",INDEX(명단표[수련과목],$J200))</f>
        <v/>
      </c>
      <c r="E200">
        <f>IF($J200="","",INDEX(명단표[연차],$J200)&amp;"")</f>
        <v/>
      </c>
      <c r="F200">
        <f>IF($J200="","",INDEX(명단표[소속병원],$J200))</f>
        <v/>
      </c>
      <c r="G200">
        <f>IF($J200="","",INDEX(명단표[기준월 근무병원],$J200))</f>
        <v/>
      </c>
      <c r="H200">
        <f>IF($J200="","",INDEX(명단표[급여지급병원(기준월)],$J200))</f>
        <v/>
      </c>
      <c r="I200">
        <f>IF($J200="","",INDEX(명단표[급여 판정 근거],$J200))</f>
        <v/>
      </c>
      <c r="J200" s="17">
        <f>IFERROR(MATCH(196,명단표[명단순번],0),"")</f>
        <v/>
      </c>
    </row>
    <row r="201">
      <c r="A201">
        <f>IF($J201="","",TEXT(급여기준월,"yyyy-mm"))</f>
        <v/>
      </c>
      <c r="B201">
        <f>IF($J201="","",INDEX(명단표[사번],$J201)&amp;"")</f>
        <v/>
      </c>
      <c r="C201">
        <f>IF($J201="","",INDEX(명단표[이름],$J201))</f>
        <v/>
      </c>
      <c r="D201">
        <f>IF($J201="","",INDEX(명단표[수련과목],$J201))</f>
        <v/>
      </c>
      <c r="E201">
        <f>IF($J201="","",INDEX(명단표[연차],$J201)&amp;"")</f>
        <v/>
      </c>
      <c r="F201">
        <f>IF($J201="","",INDEX(명단표[소속병원],$J201))</f>
        <v/>
      </c>
      <c r="G201">
        <f>IF($J201="","",INDEX(명단표[기준월 근무병원],$J201))</f>
        <v/>
      </c>
      <c r="H201">
        <f>IF($J201="","",INDEX(명단표[급여지급병원(기준월)],$J201))</f>
        <v/>
      </c>
      <c r="I201">
        <f>IF($J201="","",INDEX(명단표[급여 판정 근거],$J201))</f>
        <v/>
      </c>
      <c r="J201" s="17">
        <f>IFERROR(MATCH(197,명단표[명단순번],0),"")</f>
        <v/>
      </c>
    </row>
    <row r="202">
      <c r="A202">
        <f>IF($J202="","",TEXT(급여기준월,"yyyy-mm"))</f>
        <v/>
      </c>
      <c r="B202">
        <f>IF($J202="","",INDEX(명단표[사번],$J202)&amp;"")</f>
        <v/>
      </c>
      <c r="C202">
        <f>IF($J202="","",INDEX(명단표[이름],$J202))</f>
        <v/>
      </c>
      <c r="D202">
        <f>IF($J202="","",INDEX(명단표[수련과목],$J202))</f>
        <v/>
      </c>
      <c r="E202">
        <f>IF($J202="","",INDEX(명단표[연차],$J202)&amp;"")</f>
        <v/>
      </c>
      <c r="F202">
        <f>IF($J202="","",INDEX(명단표[소속병원],$J202))</f>
        <v/>
      </c>
      <c r="G202">
        <f>IF($J202="","",INDEX(명단표[기준월 근무병원],$J202))</f>
        <v/>
      </c>
      <c r="H202">
        <f>IF($J202="","",INDEX(명단표[급여지급병원(기준월)],$J202))</f>
        <v/>
      </c>
      <c r="I202">
        <f>IF($J202="","",INDEX(명단표[급여 판정 근거],$J202))</f>
        <v/>
      </c>
      <c r="J202" s="17">
        <f>IFERROR(MATCH(198,명단표[명단순번],0),"")</f>
        <v/>
      </c>
    </row>
    <row r="203">
      <c r="A203">
        <f>IF($J203="","",TEXT(급여기준월,"yyyy-mm"))</f>
        <v/>
      </c>
      <c r="B203">
        <f>IF($J203="","",INDEX(명단표[사번],$J203)&amp;"")</f>
        <v/>
      </c>
      <c r="C203">
        <f>IF($J203="","",INDEX(명단표[이름],$J203))</f>
        <v/>
      </c>
      <c r="D203">
        <f>IF($J203="","",INDEX(명단표[수련과목],$J203))</f>
        <v/>
      </c>
      <c r="E203">
        <f>IF($J203="","",INDEX(명단표[연차],$J203)&amp;"")</f>
        <v/>
      </c>
      <c r="F203">
        <f>IF($J203="","",INDEX(명단표[소속병원],$J203))</f>
        <v/>
      </c>
      <c r="G203">
        <f>IF($J203="","",INDEX(명단표[기준월 근무병원],$J203))</f>
        <v/>
      </c>
      <c r="H203">
        <f>IF($J203="","",INDEX(명단표[급여지급병원(기준월)],$J203))</f>
        <v/>
      </c>
      <c r="I203">
        <f>IF($J203="","",INDEX(명단표[급여 판정 근거],$J203))</f>
        <v/>
      </c>
      <c r="J203" s="17">
        <f>IFERROR(MATCH(199,명단표[명단순번],0),"")</f>
        <v/>
      </c>
    </row>
    <row r="204">
      <c r="A204">
        <f>IF($J204="","",TEXT(급여기준월,"yyyy-mm"))</f>
        <v/>
      </c>
      <c r="B204">
        <f>IF($J204="","",INDEX(명단표[사번],$J204)&amp;"")</f>
        <v/>
      </c>
      <c r="C204">
        <f>IF($J204="","",INDEX(명단표[이름],$J204))</f>
        <v/>
      </c>
      <c r="D204">
        <f>IF($J204="","",INDEX(명단표[수련과목],$J204))</f>
        <v/>
      </c>
      <c r="E204">
        <f>IF($J204="","",INDEX(명단표[연차],$J204)&amp;"")</f>
        <v/>
      </c>
      <c r="F204">
        <f>IF($J204="","",INDEX(명단표[소속병원],$J204))</f>
        <v/>
      </c>
      <c r="G204">
        <f>IF($J204="","",INDEX(명단표[기준월 근무병원],$J204))</f>
        <v/>
      </c>
      <c r="H204">
        <f>IF($J204="","",INDEX(명단표[급여지급병원(기준월)],$J204))</f>
        <v/>
      </c>
      <c r="I204">
        <f>IF($J204="","",INDEX(명단표[급여 판정 근거],$J204))</f>
        <v/>
      </c>
      <c r="J204" s="17">
        <f>IFERROR(MATCH(200,명단표[명단순번],0),"")</f>
        <v/>
      </c>
    </row>
    <row r="205">
      <c r="A205">
        <f>IF($J205="","",TEXT(급여기준월,"yyyy-mm"))</f>
        <v/>
      </c>
      <c r="B205">
        <f>IF($J205="","",INDEX(명단표[사번],$J205)&amp;"")</f>
        <v/>
      </c>
      <c r="C205">
        <f>IF($J205="","",INDEX(명단표[이름],$J205))</f>
        <v/>
      </c>
      <c r="D205">
        <f>IF($J205="","",INDEX(명단표[수련과목],$J205))</f>
        <v/>
      </c>
      <c r="E205">
        <f>IF($J205="","",INDEX(명단표[연차],$J205)&amp;"")</f>
        <v/>
      </c>
      <c r="F205">
        <f>IF($J205="","",INDEX(명단표[소속병원],$J205))</f>
        <v/>
      </c>
      <c r="G205">
        <f>IF($J205="","",INDEX(명단표[기준월 근무병원],$J205))</f>
        <v/>
      </c>
      <c r="H205">
        <f>IF($J205="","",INDEX(명단표[급여지급병원(기준월)],$J205))</f>
        <v/>
      </c>
      <c r="I205">
        <f>IF($J205="","",INDEX(명단표[급여 판정 근거],$J205))</f>
        <v/>
      </c>
      <c r="J205" s="17">
        <f>IFERROR(MATCH(201,명단표[명단순번],0),"")</f>
        <v/>
      </c>
    </row>
    <row r="206">
      <c r="A206">
        <f>IF($J206="","",TEXT(급여기준월,"yyyy-mm"))</f>
        <v/>
      </c>
      <c r="B206">
        <f>IF($J206="","",INDEX(명단표[사번],$J206)&amp;"")</f>
        <v/>
      </c>
      <c r="C206">
        <f>IF($J206="","",INDEX(명단표[이름],$J206))</f>
        <v/>
      </c>
      <c r="D206">
        <f>IF($J206="","",INDEX(명단표[수련과목],$J206))</f>
        <v/>
      </c>
      <c r="E206">
        <f>IF($J206="","",INDEX(명단표[연차],$J206)&amp;"")</f>
        <v/>
      </c>
      <c r="F206">
        <f>IF($J206="","",INDEX(명단표[소속병원],$J206))</f>
        <v/>
      </c>
      <c r="G206">
        <f>IF($J206="","",INDEX(명단표[기준월 근무병원],$J206))</f>
        <v/>
      </c>
      <c r="H206">
        <f>IF($J206="","",INDEX(명단표[급여지급병원(기준월)],$J206))</f>
        <v/>
      </c>
      <c r="I206">
        <f>IF($J206="","",INDEX(명단표[급여 판정 근거],$J206))</f>
        <v/>
      </c>
      <c r="J206" s="17">
        <f>IFERROR(MATCH(202,명단표[명단순번],0),"")</f>
        <v/>
      </c>
    </row>
    <row r="207">
      <c r="A207">
        <f>IF($J207="","",TEXT(급여기준월,"yyyy-mm"))</f>
        <v/>
      </c>
      <c r="B207">
        <f>IF($J207="","",INDEX(명단표[사번],$J207)&amp;"")</f>
        <v/>
      </c>
      <c r="C207">
        <f>IF($J207="","",INDEX(명단표[이름],$J207))</f>
        <v/>
      </c>
      <c r="D207">
        <f>IF($J207="","",INDEX(명단표[수련과목],$J207))</f>
        <v/>
      </c>
      <c r="E207">
        <f>IF($J207="","",INDEX(명단표[연차],$J207)&amp;"")</f>
        <v/>
      </c>
      <c r="F207">
        <f>IF($J207="","",INDEX(명단표[소속병원],$J207))</f>
        <v/>
      </c>
      <c r="G207">
        <f>IF($J207="","",INDEX(명단표[기준월 근무병원],$J207))</f>
        <v/>
      </c>
      <c r="H207">
        <f>IF($J207="","",INDEX(명단표[급여지급병원(기준월)],$J207))</f>
        <v/>
      </c>
      <c r="I207">
        <f>IF($J207="","",INDEX(명단표[급여 판정 근거],$J207))</f>
        <v/>
      </c>
      <c r="J207" s="17">
        <f>IFERROR(MATCH(203,명단표[명단순번],0),"")</f>
        <v/>
      </c>
    </row>
    <row r="208">
      <c r="A208">
        <f>IF($J208="","",TEXT(급여기준월,"yyyy-mm"))</f>
        <v/>
      </c>
      <c r="B208">
        <f>IF($J208="","",INDEX(명단표[사번],$J208)&amp;"")</f>
        <v/>
      </c>
      <c r="C208">
        <f>IF($J208="","",INDEX(명단표[이름],$J208))</f>
        <v/>
      </c>
      <c r="D208">
        <f>IF($J208="","",INDEX(명단표[수련과목],$J208))</f>
        <v/>
      </c>
      <c r="E208">
        <f>IF($J208="","",INDEX(명단표[연차],$J208)&amp;"")</f>
        <v/>
      </c>
      <c r="F208">
        <f>IF($J208="","",INDEX(명단표[소속병원],$J208))</f>
        <v/>
      </c>
      <c r="G208">
        <f>IF($J208="","",INDEX(명단표[기준월 근무병원],$J208))</f>
        <v/>
      </c>
      <c r="H208">
        <f>IF($J208="","",INDEX(명단표[급여지급병원(기준월)],$J208))</f>
        <v/>
      </c>
      <c r="I208">
        <f>IF($J208="","",INDEX(명단표[급여 판정 근거],$J208))</f>
        <v/>
      </c>
      <c r="J208" s="17">
        <f>IFERROR(MATCH(204,명단표[명단순번],0),"")</f>
        <v/>
      </c>
    </row>
    <row r="209">
      <c r="A209">
        <f>IF($J209="","",TEXT(급여기준월,"yyyy-mm"))</f>
        <v/>
      </c>
      <c r="B209">
        <f>IF($J209="","",INDEX(명단표[사번],$J209)&amp;"")</f>
        <v/>
      </c>
      <c r="C209">
        <f>IF($J209="","",INDEX(명단표[이름],$J209))</f>
        <v/>
      </c>
      <c r="D209">
        <f>IF($J209="","",INDEX(명단표[수련과목],$J209))</f>
        <v/>
      </c>
      <c r="E209">
        <f>IF($J209="","",INDEX(명단표[연차],$J209)&amp;"")</f>
        <v/>
      </c>
      <c r="F209">
        <f>IF($J209="","",INDEX(명단표[소속병원],$J209))</f>
        <v/>
      </c>
      <c r="G209">
        <f>IF($J209="","",INDEX(명단표[기준월 근무병원],$J209))</f>
        <v/>
      </c>
      <c r="H209">
        <f>IF($J209="","",INDEX(명단표[급여지급병원(기준월)],$J209))</f>
        <v/>
      </c>
      <c r="I209">
        <f>IF($J209="","",INDEX(명단표[급여 판정 근거],$J209))</f>
        <v/>
      </c>
      <c r="J209" s="17">
        <f>IFERROR(MATCH(205,명단표[명단순번],0),"")</f>
        <v/>
      </c>
    </row>
    <row r="210">
      <c r="A210">
        <f>IF($J210="","",TEXT(급여기준월,"yyyy-mm"))</f>
        <v/>
      </c>
      <c r="B210">
        <f>IF($J210="","",INDEX(명단표[사번],$J210)&amp;"")</f>
        <v/>
      </c>
      <c r="C210">
        <f>IF($J210="","",INDEX(명단표[이름],$J210))</f>
        <v/>
      </c>
      <c r="D210">
        <f>IF($J210="","",INDEX(명단표[수련과목],$J210))</f>
        <v/>
      </c>
      <c r="E210">
        <f>IF($J210="","",INDEX(명단표[연차],$J210)&amp;"")</f>
        <v/>
      </c>
      <c r="F210">
        <f>IF($J210="","",INDEX(명단표[소속병원],$J210))</f>
        <v/>
      </c>
      <c r="G210">
        <f>IF($J210="","",INDEX(명단표[기준월 근무병원],$J210))</f>
        <v/>
      </c>
      <c r="H210">
        <f>IF($J210="","",INDEX(명단표[급여지급병원(기준월)],$J210))</f>
        <v/>
      </c>
      <c r="I210">
        <f>IF($J210="","",INDEX(명단표[급여 판정 근거],$J210))</f>
        <v/>
      </c>
      <c r="J210" s="17">
        <f>IFERROR(MATCH(206,명단표[명단순번],0),"")</f>
        <v/>
      </c>
    </row>
    <row r="211">
      <c r="A211">
        <f>IF($J211="","",TEXT(급여기준월,"yyyy-mm"))</f>
        <v/>
      </c>
      <c r="B211">
        <f>IF($J211="","",INDEX(명단표[사번],$J211)&amp;"")</f>
        <v/>
      </c>
      <c r="C211">
        <f>IF($J211="","",INDEX(명단표[이름],$J211))</f>
        <v/>
      </c>
      <c r="D211">
        <f>IF($J211="","",INDEX(명단표[수련과목],$J211))</f>
        <v/>
      </c>
      <c r="E211">
        <f>IF($J211="","",INDEX(명단표[연차],$J211)&amp;"")</f>
        <v/>
      </c>
      <c r="F211">
        <f>IF($J211="","",INDEX(명단표[소속병원],$J211))</f>
        <v/>
      </c>
      <c r="G211">
        <f>IF($J211="","",INDEX(명단표[기준월 근무병원],$J211))</f>
        <v/>
      </c>
      <c r="H211">
        <f>IF($J211="","",INDEX(명단표[급여지급병원(기준월)],$J211))</f>
        <v/>
      </c>
      <c r="I211">
        <f>IF($J211="","",INDEX(명단표[급여 판정 근거],$J211))</f>
        <v/>
      </c>
      <c r="J211" s="17">
        <f>IFERROR(MATCH(207,명단표[명단순번],0),"")</f>
        <v/>
      </c>
    </row>
    <row r="212">
      <c r="A212">
        <f>IF($J212="","",TEXT(급여기준월,"yyyy-mm"))</f>
        <v/>
      </c>
      <c r="B212">
        <f>IF($J212="","",INDEX(명단표[사번],$J212)&amp;"")</f>
        <v/>
      </c>
      <c r="C212">
        <f>IF($J212="","",INDEX(명단표[이름],$J212))</f>
        <v/>
      </c>
      <c r="D212">
        <f>IF($J212="","",INDEX(명단표[수련과목],$J212))</f>
        <v/>
      </c>
      <c r="E212">
        <f>IF($J212="","",INDEX(명단표[연차],$J212)&amp;"")</f>
        <v/>
      </c>
      <c r="F212">
        <f>IF($J212="","",INDEX(명단표[소속병원],$J212))</f>
        <v/>
      </c>
      <c r="G212">
        <f>IF($J212="","",INDEX(명단표[기준월 근무병원],$J212))</f>
        <v/>
      </c>
      <c r="H212">
        <f>IF($J212="","",INDEX(명단표[급여지급병원(기준월)],$J212))</f>
        <v/>
      </c>
      <c r="I212">
        <f>IF($J212="","",INDEX(명단표[급여 판정 근거],$J212))</f>
        <v/>
      </c>
      <c r="J212" s="17">
        <f>IFERROR(MATCH(208,명단표[명단순번],0),"")</f>
        <v/>
      </c>
    </row>
    <row r="213">
      <c r="A213">
        <f>IF($J213="","",TEXT(급여기준월,"yyyy-mm"))</f>
        <v/>
      </c>
      <c r="B213">
        <f>IF($J213="","",INDEX(명단표[사번],$J213)&amp;"")</f>
        <v/>
      </c>
      <c r="C213">
        <f>IF($J213="","",INDEX(명단표[이름],$J213))</f>
        <v/>
      </c>
      <c r="D213">
        <f>IF($J213="","",INDEX(명단표[수련과목],$J213))</f>
        <v/>
      </c>
      <c r="E213">
        <f>IF($J213="","",INDEX(명단표[연차],$J213)&amp;"")</f>
        <v/>
      </c>
      <c r="F213">
        <f>IF($J213="","",INDEX(명단표[소속병원],$J213))</f>
        <v/>
      </c>
      <c r="G213">
        <f>IF($J213="","",INDEX(명단표[기준월 근무병원],$J213))</f>
        <v/>
      </c>
      <c r="H213">
        <f>IF($J213="","",INDEX(명단표[급여지급병원(기준월)],$J213))</f>
        <v/>
      </c>
      <c r="I213">
        <f>IF($J213="","",INDEX(명단표[급여 판정 근거],$J213))</f>
        <v/>
      </c>
      <c r="J213" s="17">
        <f>IFERROR(MATCH(209,명단표[명단순번],0),"")</f>
        <v/>
      </c>
    </row>
    <row r="214">
      <c r="A214">
        <f>IF($J214="","",TEXT(급여기준월,"yyyy-mm"))</f>
        <v/>
      </c>
      <c r="B214">
        <f>IF($J214="","",INDEX(명단표[사번],$J214)&amp;"")</f>
        <v/>
      </c>
      <c r="C214">
        <f>IF($J214="","",INDEX(명단표[이름],$J214))</f>
        <v/>
      </c>
      <c r="D214">
        <f>IF($J214="","",INDEX(명단표[수련과목],$J214))</f>
        <v/>
      </c>
      <c r="E214">
        <f>IF($J214="","",INDEX(명단표[연차],$J214)&amp;"")</f>
        <v/>
      </c>
      <c r="F214">
        <f>IF($J214="","",INDEX(명단표[소속병원],$J214))</f>
        <v/>
      </c>
      <c r="G214">
        <f>IF($J214="","",INDEX(명단표[기준월 근무병원],$J214))</f>
        <v/>
      </c>
      <c r="H214">
        <f>IF($J214="","",INDEX(명단표[급여지급병원(기준월)],$J214))</f>
        <v/>
      </c>
      <c r="I214">
        <f>IF($J214="","",INDEX(명단표[급여 판정 근거],$J214))</f>
        <v/>
      </c>
      <c r="J214" s="17">
        <f>IFERROR(MATCH(210,명단표[명단순번],0),"")</f>
        <v/>
      </c>
    </row>
    <row r="215">
      <c r="A215">
        <f>IF($J215="","",TEXT(급여기준월,"yyyy-mm"))</f>
        <v/>
      </c>
      <c r="B215">
        <f>IF($J215="","",INDEX(명단표[사번],$J215)&amp;"")</f>
        <v/>
      </c>
      <c r="C215">
        <f>IF($J215="","",INDEX(명단표[이름],$J215))</f>
        <v/>
      </c>
      <c r="D215">
        <f>IF($J215="","",INDEX(명단표[수련과목],$J215))</f>
        <v/>
      </c>
      <c r="E215">
        <f>IF($J215="","",INDEX(명단표[연차],$J215)&amp;"")</f>
        <v/>
      </c>
      <c r="F215">
        <f>IF($J215="","",INDEX(명단표[소속병원],$J215))</f>
        <v/>
      </c>
      <c r="G215">
        <f>IF($J215="","",INDEX(명단표[기준월 근무병원],$J215))</f>
        <v/>
      </c>
      <c r="H215">
        <f>IF($J215="","",INDEX(명단표[급여지급병원(기준월)],$J215))</f>
        <v/>
      </c>
      <c r="I215">
        <f>IF($J215="","",INDEX(명단표[급여 판정 근거],$J215))</f>
        <v/>
      </c>
      <c r="J215" s="17">
        <f>IFERROR(MATCH(211,명단표[명단순번],0),"")</f>
        <v/>
      </c>
    </row>
    <row r="216">
      <c r="A216">
        <f>IF($J216="","",TEXT(급여기준월,"yyyy-mm"))</f>
        <v/>
      </c>
      <c r="B216">
        <f>IF($J216="","",INDEX(명단표[사번],$J216)&amp;"")</f>
        <v/>
      </c>
      <c r="C216">
        <f>IF($J216="","",INDEX(명단표[이름],$J216))</f>
        <v/>
      </c>
      <c r="D216">
        <f>IF($J216="","",INDEX(명단표[수련과목],$J216))</f>
        <v/>
      </c>
      <c r="E216">
        <f>IF($J216="","",INDEX(명단표[연차],$J216)&amp;"")</f>
        <v/>
      </c>
      <c r="F216">
        <f>IF($J216="","",INDEX(명단표[소속병원],$J216))</f>
        <v/>
      </c>
      <c r="G216">
        <f>IF($J216="","",INDEX(명단표[기준월 근무병원],$J216))</f>
        <v/>
      </c>
      <c r="H216">
        <f>IF($J216="","",INDEX(명단표[급여지급병원(기준월)],$J216))</f>
        <v/>
      </c>
      <c r="I216">
        <f>IF($J216="","",INDEX(명단표[급여 판정 근거],$J216))</f>
        <v/>
      </c>
      <c r="J216" s="17">
        <f>IFERROR(MATCH(212,명단표[명단순번],0),"")</f>
        <v/>
      </c>
    </row>
    <row r="217">
      <c r="A217">
        <f>IF($J217="","",TEXT(급여기준월,"yyyy-mm"))</f>
        <v/>
      </c>
      <c r="B217">
        <f>IF($J217="","",INDEX(명단표[사번],$J217)&amp;"")</f>
        <v/>
      </c>
      <c r="C217">
        <f>IF($J217="","",INDEX(명단표[이름],$J217))</f>
        <v/>
      </c>
      <c r="D217">
        <f>IF($J217="","",INDEX(명단표[수련과목],$J217))</f>
        <v/>
      </c>
      <c r="E217">
        <f>IF($J217="","",INDEX(명단표[연차],$J217)&amp;"")</f>
        <v/>
      </c>
      <c r="F217">
        <f>IF($J217="","",INDEX(명단표[소속병원],$J217))</f>
        <v/>
      </c>
      <c r="G217">
        <f>IF($J217="","",INDEX(명단표[기준월 근무병원],$J217))</f>
        <v/>
      </c>
      <c r="H217">
        <f>IF($J217="","",INDEX(명단표[급여지급병원(기준월)],$J217))</f>
        <v/>
      </c>
      <c r="I217">
        <f>IF($J217="","",INDEX(명단표[급여 판정 근거],$J217))</f>
        <v/>
      </c>
      <c r="J217" s="17">
        <f>IFERROR(MATCH(213,명단표[명단순번],0),"")</f>
        <v/>
      </c>
    </row>
    <row r="218">
      <c r="A218">
        <f>IF($J218="","",TEXT(급여기준월,"yyyy-mm"))</f>
        <v/>
      </c>
      <c r="B218">
        <f>IF($J218="","",INDEX(명단표[사번],$J218)&amp;"")</f>
        <v/>
      </c>
      <c r="C218">
        <f>IF($J218="","",INDEX(명단표[이름],$J218))</f>
        <v/>
      </c>
      <c r="D218">
        <f>IF($J218="","",INDEX(명단표[수련과목],$J218))</f>
        <v/>
      </c>
      <c r="E218">
        <f>IF($J218="","",INDEX(명단표[연차],$J218)&amp;"")</f>
        <v/>
      </c>
      <c r="F218">
        <f>IF($J218="","",INDEX(명단표[소속병원],$J218))</f>
        <v/>
      </c>
      <c r="G218">
        <f>IF($J218="","",INDEX(명단표[기준월 근무병원],$J218))</f>
        <v/>
      </c>
      <c r="H218">
        <f>IF($J218="","",INDEX(명단표[급여지급병원(기준월)],$J218))</f>
        <v/>
      </c>
      <c r="I218">
        <f>IF($J218="","",INDEX(명단표[급여 판정 근거],$J218))</f>
        <v/>
      </c>
      <c r="J218" s="17">
        <f>IFERROR(MATCH(214,명단표[명단순번],0),"")</f>
        <v/>
      </c>
    </row>
    <row r="219">
      <c r="A219">
        <f>IF($J219="","",TEXT(급여기준월,"yyyy-mm"))</f>
        <v/>
      </c>
      <c r="B219">
        <f>IF($J219="","",INDEX(명단표[사번],$J219)&amp;"")</f>
        <v/>
      </c>
      <c r="C219">
        <f>IF($J219="","",INDEX(명단표[이름],$J219))</f>
        <v/>
      </c>
      <c r="D219">
        <f>IF($J219="","",INDEX(명단표[수련과목],$J219))</f>
        <v/>
      </c>
      <c r="E219">
        <f>IF($J219="","",INDEX(명단표[연차],$J219)&amp;"")</f>
        <v/>
      </c>
      <c r="F219">
        <f>IF($J219="","",INDEX(명단표[소속병원],$J219))</f>
        <v/>
      </c>
      <c r="G219">
        <f>IF($J219="","",INDEX(명단표[기준월 근무병원],$J219))</f>
        <v/>
      </c>
      <c r="H219">
        <f>IF($J219="","",INDEX(명단표[급여지급병원(기준월)],$J219))</f>
        <v/>
      </c>
      <c r="I219">
        <f>IF($J219="","",INDEX(명단표[급여 판정 근거],$J219))</f>
        <v/>
      </c>
      <c r="J219" s="17">
        <f>IFERROR(MATCH(215,명단표[명단순번],0),"")</f>
        <v/>
      </c>
    </row>
    <row r="220">
      <c r="A220">
        <f>IF($J220="","",TEXT(급여기준월,"yyyy-mm"))</f>
        <v/>
      </c>
      <c r="B220">
        <f>IF($J220="","",INDEX(명단표[사번],$J220)&amp;"")</f>
        <v/>
      </c>
      <c r="C220">
        <f>IF($J220="","",INDEX(명단표[이름],$J220))</f>
        <v/>
      </c>
      <c r="D220">
        <f>IF($J220="","",INDEX(명단표[수련과목],$J220))</f>
        <v/>
      </c>
      <c r="E220">
        <f>IF($J220="","",INDEX(명단표[연차],$J220)&amp;"")</f>
        <v/>
      </c>
      <c r="F220">
        <f>IF($J220="","",INDEX(명단표[소속병원],$J220))</f>
        <v/>
      </c>
      <c r="G220">
        <f>IF($J220="","",INDEX(명단표[기준월 근무병원],$J220))</f>
        <v/>
      </c>
      <c r="H220">
        <f>IF($J220="","",INDEX(명단표[급여지급병원(기준월)],$J220))</f>
        <v/>
      </c>
      <c r="I220">
        <f>IF($J220="","",INDEX(명단표[급여 판정 근거],$J220))</f>
        <v/>
      </c>
      <c r="J220" s="17">
        <f>IFERROR(MATCH(216,명단표[명단순번],0),"")</f>
        <v/>
      </c>
    </row>
    <row r="221">
      <c r="A221">
        <f>IF($J221="","",TEXT(급여기준월,"yyyy-mm"))</f>
        <v/>
      </c>
      <c r="B221">
        <f>IF($J221="","",INDEX(명단표[사번],$J221)&amp;"")</f>
        <v/>
      </c>
      <c r="C221">
        <f>IF($J221="","",INDEX(명단표[이름],$J221))</f>
        <v/>
      </c>
      <c r="D221">
        <f>IF($J221="","",INDEX(명단표[수련과목],$J221))</f>
        <v/>
      </c>
      <c r="E221">
        <f>IF($J221="","",INDEX(명단표[연차],$J221)&amp;"")</f>
        <v/>
      </c>
      <c r="F221">
        <f>IF($J221="","",INDEX(명단표[소속병원],$J221))</f>
        <v/>
      </c>
      <c r="G221">
        <f>IF($J221="","",INDEX(명단표[기준월 근무병원],$J221))</f>
        <v/>
      </c>
      <c r="H221">
        <f>IF($J221="","",INDEX(명단표[급여지급병원(기준월)],$J221))</f>
        <v/>
      </c>
      <c r="I221">
        <f>IF($J221="","",INDEX(명단표[급여 판정 근거],$J221))</f>
        <v/>
      </c>
      <c r="J221" s="17">
        <f>IFERROR(MATCH(217,명단표[명단순번],0),"")</f>
        <v/>
      </c>
    </row>
    <row r="222">
      <c r="A222">
        <f>IF($J222="","",TEXT(급여기준월,"yyyy-mm"))</f>
        <v/>
      </c>
      <c r="B222">
        <f>IF($J222="","",INDEX(명단표[사번],$J222)&amp;"")</f>
        <v/>
      </c>
      <c r="C222">
        <f>IF($J222="","",INDEX(명단표[이름],$J222))</f>
        <v/>
      </c>
      <c r="D222">
        <f>IF($J222="","",INDEX(명단표[수련과목],$J222))</f>
        <v/>
      </c>
      <c r="E222">
        <f>IF($J222="","",INDEX(명단표[연차],$J222)&amp;"")</f>
        <v/>
      </c>
      <c r="F222">
        <f>IF($J222="","",INDEX(명단표[소속병원],$J222))</f>
        <v/>
      </c>
      <c r="G222">
        <f>IF($J222="","",INDEX(명단표[기준월 근무병원],$J222))</f>
        <v/>
      </c>
      <c r="H222">
        <f>IF($J222="","",INDEX(명단표[급여지급병원(기준월)],$J222))</f>
        <v/>
      </c>
      <c r="I222">
        <f>IF($J222="","",INDEX(명단표[급여 판정 근거],$J222))</f>
        <v/>
      </c>
      <c r="J222" s="17">
        <f>IFERROR(MATCH(218,명단표[명단순번],0),"")</f>
        <v/>
      </c>
    </row>
    <row r="223">
      <c r="A223">
        <f>IF($J223="","",TEXT(급여기준월,"yyyy-mm"))</f>
        <v/>
      </c>
      <c r="B223">
        <f>IF($J223="","",INDEX(명단표[사번],$J223)&amp;"")</f>
        <v/>
      </c>
      <c r="C223">
        <f>IF($J223="","",INDEX(명단표[이름],$J223))</f>
        <v/>
      </c>
      <c r="D223">
        <f>IF($J223="","",INDEX(명단표[수련과목],$J223))</f>
        <v/>
      </c>
      <c r="E223">
        <f>IF($J223="","",INDEX(명단표[연차],$J223)&amp;"")</f>
        <v/>
      </c>
      <c r="F223">
        <f>IF($J223="","",INDEX(명단표[소속병원],$J223))</f>
        <v/>
      </c>
      <c r="G223">
        <f>IF($J223="","",INDEX(명단표[기준월 근무병원],$J223))</f>
        <v/>
      </c>
      <c r="H223">
        <f>IF($J223="","",INDEX(명단표[급여지급병원(기준월)],$J223))</f>
        <v/>
      </c>
      <c r="I223">
        <f>IF($J223="","",INDEX(명단표[급여 판정 근거],$J223))</f>
        <v/>
      </c>
      <c r="J223" s="17">
        <f>IFERROR(MATCH(219,명단표[명단순번],0),"")</f>
        <v/>
      </c>
    </row>
    <row r="224">
      <c r="A224">
        <f>IF($J224="","",TEXT(급여기준월,"yyyy-mm"))</f>
        <v/>
      </c>
      <c r="B224">
        <f>IF($J224="","",INDEX(명단표[사번],$J224)&amp;"")</f>
        <v/>
      </c>
      <c r="C224">
        <f>IF($J224="","",INDEX(명단표[이름],$J224))</f>
        <v/>
      </c>
      <c r="D224">
        <f>IF($J224="","",INDEX(명단표[수련과목],$J224))</f>
        <v/>
      </c>
      <c r="E224">
        <f>IF($J224="","",INDEX(명단표[연차],$J224)&amp;"")</f>
        <v/>
      </c>
      <c r="F224">
        <f>IF($J224="","",INDEX(명단표[소속병원],$J224))</f>
        <v/>
      </c>
      <c r="G224">
        <f>IF($J224="","",INDEX(명단표[기준월 근무병원],$J224))</f>
        <v/>
      </c>
      <c r="H224">
        <f>IF($J224="","",INDEX(명단표[급여지급병원(기준월)],$J224))</f>
        <v/>
      </c>
      <c r="I224">
        <f>IF($J224="","",INDEX(명단표[급여 판정 근거],$J224))</f>
        <v/>
      </c>
      <c r="J224" s="17">
        <f>IFERROR(MATCH(220,명단표[명단순번],0),"")</f>
        <v/>
      </c>
    </row>
    <row r="225">
      <c r="A225">
        <f>IF($J225="","",TEXT(급여기준월,"yyyy-mm"))</f>
        <v/>
      </c>
      <c r="B225">
        <f>IF($J225="","",INDEX(명단표[사번],$J225)&amp;"")</f>
        <v/>
      </c>
      <c r="C225">
        <f>IF($J225="","",INDEX(명단표[이름],$J225))</f>
        <v/>
      </c>
      <c r="D225">
        <f>IF($J225="","",INDEX(명단표[수련과목],$J225))</f>
        <v/>
      </c>
      <c r="E225">
        <f>IF($J225="","",INDEX(명단표[연차],$J225)&amp;"")</f>
        <v/>
      </c>
      <c r="F225">
        <f>IF($J225="","",INDEX(명단표[소속병원],$J225))</f>
        <v/>
      </c>
      <c r="G225">
        <f>IF($J225="","",INDEX(명단표[기준월 근무병원],$J225))</f>
        <v/>
      </c>
      <c r="H225">
        <f>IF($J225="","",INDEX(명단표[급여지급병원(기준월)],$J225))</f>
        <v/>
      </c>
      <c r="I225">
        <f>IF($J225="","",INDEX(명단표[급여 판정 근거],$J225))</f>
        <v/>
      </c>
      <c r="J225" s="17">
        <f>IFERROR(MATCH(221,명단표[명단순번],0),"")</f>
        <v/>
      </c>
    </row>
    <row r="226">
      <c r="A226">
        <f>IF($J226="","",TEXT(급여기준월,"yyyy-mm"))</f>
        <v/>
      </c>
      <c r="B226">
        <f>IF($J226="","",INDEX(명단표[사번],$J226)&amp;"")</f>
        <v/>
      </c>
      <c r="C226">
        <f>IF($J226="","",INDEX(명단표[이름],$J226))</f>
        <v/>
      </c>
      <c r="D226">
        <f>IF($J226="","",INDEX(명단표[수련과목],$J226))</f>
        <v/>
      </c>
      <c r="E226">
        <f>IF($J226="","",INDEX(명단표[연차],$J226)&amp;"")</f>
        <v/>
      </c>
      <c r="F226">
        <f>IF($J226="","",INDEX(명단표[소속병원],$J226))</f>
        <v/>
      </c>
      <c r="G226">
        <f>IF($J226="","",INDEX(명단표[기준월 근무병원],$J226))</f>
        <v/>
      </c>
      <c r="H226">
        <f>IF($J226="","",INDEX(명단표[급여지급병원(기준월)],$J226))</f>
        <v/>
      </c>
      <c r="I226">
        <f>IF($J226="","",INDEX(명단표[급여 판정 근거],$J226))</f>
        <v/>
      </c>
      <c r="J226" s="17">
        <f>IFERROR(MATCH(222,명단표[명단순번],0),"")</f>
        <v/>
      </c>
    </row>
    <row r="227">
      <c r="A227">
        <f>IF($J227="","",TEXT(급여기준월,"yyyy-mm"))</f>
        <v/>
      </c>
      <c r="B227">
        <f>IF($J227="","",INDEX(명단표[사번],$J227)&amp;"")</f>
        <v/>
      </c>
      <c r="C227">
        <f>IF($J227="","",INDEX(명단표[이름],$J227))</f>
        <v/>
      </c>
      <c r="D227">
        <f>IF($J227="","",INDEX(명단표[수련과목],$J227))</f>
        <v/>
      </c>
      <c r="E227">
        <f>IF($J227="","",INDEX(명단표[연차],$J227)&amp;"")</f>
        <v/>
      </c>
      <c r="F227">
        <f>IF($J227="","",INDEX(명단표[소속병원],$J227))</f>
        <v/>
      </c>
      <c r="G227">
        <f>IF($J227="","",INDEX(명단표[기준월 근무병원],$J227))</f>
        <v/>
      </c>
      <c r="H227">
        <f>IF($J227="","",INDEX(명단표[급여지급병원(기준월)],$J227))</f>
        <v/>
      </c>
      <c r="I227">
        <f>IF($J227="","",INDEX(명단표[급여 판정 근거],$J227))</f>
        <v/>
      </c>
      <c r="J227" s="17">
        <f>IFERROR(MATCH(223,명단표[명단순번],0),"")</f>
        <v/>
      </c>
    </row>
    <row r="228">
      <c r="A228">
        <f>IF($J228="","",TEXT(급여기준월,"yyyy-mm"))</f>
        <v/>
      </c>
      <c r="B228">
        <f>IF($J228="","",INDEX(명단표[사번],$J228)&amp;"")</f>
        <v/>
      </c>
      <c r="C228">
        <f>IF($J228="","",INDEX(명단표[이름],$J228))</f>
        <v/>
      </c>
      <c r="D228">
        <f>IF($J228="","",INDEX(명단표[수련과목],$J228))</f>
        <v/>
      </c>
      <c r="E228">
        <f>IF($J228="","",INDEX(명단표[연차],$J228)&amp;"")</f>
        <v/>
      </c>
      <c r="F228">
        <f>IF($J228="","",INDEX(명단표[소속병원],$J228))</f>
        <v/>
      </c>
      <c r="G228">
        <f>IF($J228="","",INDEX(명단표[기준월 근무병원],$J228))</f>
        <v/>
      </c>
      <c r="H228">
        <f>IF($J228="","",INDEX(명단표[급여지급병원(기준월)],$J228))</f>
        <v/>
      </c>
      <c r="I228">
        <f>IF($J228="","",INDEX(명단표[급여 판정 근거],$J228))</f>
        <v/>
      </c>
      <c r="J228" s="17">
        <f>IFERROR(MATCH(224,명단표[명단순번],0),"")</f>
        <v/>
      </c>
    </row>
    <row r="229">
      <c r="A229">
        <f>IF($J229="","",TEXT(급여기준월,"yyyy-mm"))</f>
        <v/>
      </c>
      <c r="B229">
        <f>IF($J229="","",INDEX(명단표[사번],$J229)&amp;"")</f>
        <v/>
      </c>
      <c r="C229">
        <f>IF($J229="","",INDEX(명단표[이름],$J229))</f>
        <v/>
      </c>
      <c r="D229">
        <f>IF($J229="","",INDEX(명단표[수련과목],$J229))</f>
        <v/>
      </c>
      <c r="E229">
        <f>IF($J229="","",INDEX(명단표[연차],$J229)&amp;"")</f>
        <v/>
      </c>
      <c r="F229">
        <f>IF($J229="","",INDEX(명단표[소속병원],$J229))</f>
        <v/>
      </c>
      <c r="G229">
        <f>IF($J229="","",INDEX(명단표[기준월 근무병원],$J229))</f>
        <v/>
      </c>
      <c r="H229">
        <f>IF($J229="","",INDEX(명단표[급여지급병원(기준월)],$J229))</f>
        <v/>
      </c>
      <c r="I229">
        <f>IF($J229="","",INDEX(명단표[급여 판정 근거],$J229))</f>
        <v/>
      </c>
      <c r="J229" s="17">
        <f>IFERROR(MATCH(225,명단표[명단순번],0),"")</f>
        <v/>
      </c>
    </row>
    <row r="230">
      <c r="A230">
        <f>IF($J230="","",TEXT(급여기준월,"yyyy-mm"))</f>
        <v/>
      </c>
      <c r="B230">
        <f>IF($J230="","",INDEX(명단표[사번],$J230)&amp;"")</f>
        <v/>
      </c>
      <c r="C230">
        <f>IF($J230="","",INDEX(명단표[이름],$J230))</f>
        <v/>
      </c>
      <c r="D230">
        <f>IF($J230="","",INDEX(명단표[수련과목],$J230))</f>
        <v/>
      </c>
      <c r="E230">
        <f>IF($J230="","",INDEX(명단표[연차],$J230)&amp;"")</f>
        <v/>
      </c>
      <c r="F230">
        <f>IF($J230="","",INDEX(명단표[소속병원],$J230))</f>
        <v/>
      </c>
      <c r="G230">
        <f>IF($J230="","",INDEX(명단표[기준월 근무병원],$J230))</f>
        <v/>
      </c>
      <c r="H230">
        <f>IF($J230="","",INDEX(명단표[급여지급병원(기준월)],$J230))</f>
        <v/>
      </c>
      <c r="I230">
        <f>IF($J230="","",INDEX(명단표[급여 판정 근거],$J230))</f>
        <v/>
      </c>
      <c r="J230" s="17">
        <f>IFERROR(MATCH(226,명단표[명단순번],0),"")</f>
        <v/>
      </c>
    </row>
    <row r="231">
      <c r="A231">
        <f>IF($J231="","",TEXT(급여기준월,"yyyy-mm"))</f>
        <v/>
      </c>
      <c r="B231">
        <f>IF($J231="","",INDEX(명단표[사번],$J231)&amp;"")</f>
        <v/>
      </c>
      <c r="C231">
        <f>IF($J231="","",INDEX(명단표[이름],$J231))</f>
        <v/>
      </c>
      <c r="D231">
        <f>IF($J231="","",INDEX(명단표[수련과목],$J231))</f>
        <v/>
      </c>
      <c r="E231">
        <f>IF($J231="","",INDEX(명단표[연차],$J231)&amp;"")</f>
        <v/>
      </c>
      <c r="F231">
        <f>IF($J231="","",INDEX(명단표[소속병원],$J231))</f>
        <v/>
      </c>
      <c r="G231">
        <f>IF($J231="","",INDEX(명단표[기준월 근무병원],$J231))</f>
        <v/>
      </c>
      <c r="H231">
        <f>IF($J231="","",INDEX(명단표[급여지급병원(기준월)],$J231))</f>
        <v/>
      </c>
      <c r="I231">
        <f>IF($J231="","",INDEX(명단표[급여 판정 근거],$J231))</f>
        <v/>
      </c>
      <c r="J231" s="17">
        <f>IFERROR(MATCH(227,명단표[명단순번],0),"")</f>
        <v/>
      </c>
    </row>
    <row r="232">
      <c r="A232">
        <f>IF($J232="","",TEXT(급여기준월,"yyyy-mm"))</f>
        <v/>
      </c>
      <c r="B232">
        <f>IF($J232="","",INDEX(명단표[사번],$J232)&amp;"")</f>
        <v/>
      </c>
      <c r="C232">
        <f>IF($J232="","",INDEX(명단표[이름],$J232))</f>
        <v/>
      </c>
      <c r="D232">
        <f>IF($J232="","",INDEX(명단표[수련과목],$J232))</f>
        <v/>
      </c>
      <c r="E232">
        <f>IF($J232="","",INDEX(명단표[연차],$J232)&amp;"")</f>
        <v/>
      </c>
      <c r="F232">
        <f>IF($J232="","",INDEX(명단표[소속병원],$J232))</f>
        <v/>
      </c>
      <c r="G232">
        <f>IF($J232="","",INDEX(명단표[기준월 근무병원],$J232))</f>
        <v/>
      </c>
      <c r="H232">
        <f>IF($J232="","",INDEX(명단표[급여지급병원(기준월)],$J232))</f>
        <v/>
      </c>
      <c r="I232">
        <f>IF($J232="","",INDEX(명단표[급여 판정 근거],$J232))</f>
        <v/>
      </c>
      <c r="J232" s="17">
        <f>IFERROR(MATCH(228,명단표[명단순번],0),"")</f>
        <v/>
      </c>
    </row>
    <row r="233">
      <c r="A233">
        <f>IF($J233="","",TEXT(급여기준월,"yyyy-mm"))</f>
        <v/>
      </c>
      <c r="B233">
        <f>IF($J233="","",INDEX(명단표[사번],$J233)&amp;"")</f>
        <v/>
      </c>
      <c r="C233">
        <f>IF($J233="","",INDEX(명단표[이름],$J233))</f>
        <v/>
      </c>
      <c r="D233">
        <f>IF($J233="","",INDEX(명단표[수련과목],$J233))</f>
        <v/>
      </c>
      <c r="E233">
        <f>IF($J233="","",INDEX(명단표[연차],$J233)&amp;"")</f>
        <v/>
      </c>
      <c r="F233">
        <f>IF($J233="","",INDEX(명단표[소속병원],$J233))</f>
        <v/>
      </c>
      <c r="G233">
        <f>IF($J233="","",INDEX(명단표[기준월 근무병원],$J233))</f>
        <v/>
      </c>
      <c r="H233">
        <f>IF($J233="","",INDEX(명단표[급여지급병원(기준월)],$J233))</f>
        <v/>
      </c>
      <c r="I233">
        <f>IF($J233="","",INDEX(명단표[급여 판정 근거],$J233))</f>
        <v/>
      </c>
      <c r="J233" s="17">
        <f>IFERROR(MATCH(229,명단표[명단순번],0),"")</f>
        <v/>
      </c>
    </row>
    <row r="234">
      <c r="A234">
        <f>IF($J234="","",TEXT(급여기준월,"yyyy-mm"))</f>
        <v/>
      </c>
      <c r="B234">
        <f>IF($J234="","",INDEX(명단표[사번],$J234)&amp;"")</f>
        <v/>
      </c>
      <c r="C234">
        <f>IF($J234="","",INDEX(명단표[이름],$J234))</f>
        <v/>
      </c>
      <c r="D234">
        <f>IF($J234="","",INDEX(명단표[수련과목],$J234))</f>
        <v/>
      </c>
      <c r="E234">
        <f>IF($J234="","",INDEX(명단표[연차],$J234)&amp;"")</f>
        <v/>
      </c>
      <c r="F234">
        <f>IF($J234="","",INDEX(명단표[소속병원],$J234))</f>
        <v/>
      </c>
      <c r="G234">
        <f>IF($J234="","",INDEX(명단표[기준월 근무병원],$J234))</f>
        <v/>
      </c>
      <c r="H234">
        <f>IF($J234="","",INDEX(명단표[급여지급병원(기준월)],$J234))</f>
        <v/>
      </c>
      <c r="I234">
        <f>IF($J234="","",INDEX(명단표[급여 판정 근거],$J234))</f>
        <v/>
      </c>
      <c r="J234" s="17">
        <f>IFERROR(MATCH(230,명단표[명단순번],0),"")</f>
        <v/>
      </c>
    </row>
    <row r="235">
      <c r="A235">
        <f>IF($J235="","",TEXT(급여기준월,"yyyy-mm"))</f>
        <v/>
      </c>
      <c r="B235">
        <f>IF($J235="","",INDEX(명단표[사번],$J235)&amp;"")</f>
        <v/>
      </c>
      <c r="C235">
        <f>IF($J235="","",INDEX(명단표[이름],$J235))</f>
        <v/>
      </c>
      <c r="D235">
        <f>IF($J235="","",INDEX(명단표[수련과목],$J235))</f>
        <v/>
      </c>
      <c r="E235">
        <f>IF($J235="","",INDEX(명단표[연차],$J235)&amp;"")</f>
        <v/>
      </c>
      <c r="F235">
        <f>IF($J235="","",INDEX(명단표[소속병원],$J235))</f>
        <v/>
      </c>
      <c r="G235">
        <f>IF($J235="","",INDEX(명단표[기준월 근무병원],$J235))</f>
        <v/>
      </c>
      <c r="H235">
        <f>IF($J235="","",INDEX(명단표[급여지급병원(기준월)],$J235))</f>
        <v/>
      </c>
      <c r="I235">
        <f>IF($J235="","",INDEX(명단표[급여 판정 근거],$J235))</f>
        <v/>
      </c>
      <c r="J235" s="17">
        <f>IFERROR(MATCH(231,명단표[명단순번],0),"")</f>
        <v/>
      </c>
    </row>
    <row r="236">
      <c r="A236">
        <f>IF($J236="","",TEXT(급여기준월,"yyyy-mm"))</f>
        <v/>
      </c>
      <c r="B236">
        <f>IF($J236="","",INDEX(명단표[사번],$J236)&amp;"")</f>
        <v/>
      </c>
      <c r="C236">
        <f>IF($J236="","",INDEX(명단표[이름],$J236))</f>
        <v/>
      </c>
      <c r="D236">
        <f>IF($J236="","",INDEX(명단표[수련과목],$J236))</f>
        <v/>
      </c>
      <c r="E236">
        <f>IF($J236="","",INDEX(명단표[연차],$J236)&amp;"")</f>
        <v/>
      </c>
      <c r="F236">
        <f>IF($J236="","",INDEX(명단표[소속병원],$J236))</f>
        <v/>
      </c>
      <c r="G236">
        <f>IF($J236="","",INDEX(명단표[기준월 근무병원],$J236))</f>
        <v/>
      </c>
      <c r="H236">
        <f>IF($J236="","",INDEX(명단표[급여지급병원(기준월)],$J236))</f>
        <v/>
      </c>
      <c r="I236">
        <f>IF($J236="","",INDEX(명단표[급여 판정 근거],$J236))</f>
        <v/>
      </c>
      <c r="J236" s="17">
        <f>IFERROR(MATCH(232,명단표[명단순번],0),"")</f>
        <v/>
      </c>
    </row>
    <row r="237">
      <c r="A237">
        <f>IF($J237="","",TEXT(급여기준월,"yyyy-mm"))</f>
        <v/>
      </c>
      <c r="B237">
        <f>IF($J237="","",INDEX(명단표[사번],$J237)&amp;"")</f>
        <v/>
      </c>
      <c r="C237">
        <f>IF($J237="","",INDEX(명단표[이름],$J237))</f>
        <v/>
      </c>
      <c r="D237">
        <f>IF($J237="","",INDEX(명단표[수련과목],$J237))</f>
        <v/>
      </c>
      <c r="E237">
        <f>IF($J237="","",INDEX(명단표[연차],$J237)&amp;"")</f>
        <v/>
      </c>
      <c r="F237">
        <f>IF($J237="","",INDEX(명단표[소속병원],$J237))</f>
        <v/>
      </c>
      <c r="G237">
        <f>IF($J237="","",INDEX(명단표[기준월 근무병원],$J237))</f>
        <v/>
      </c>
      <c r="H237">
        <f>IF($J237="","",INDEX(명단표[급여지급병원(기준월)],$J237))</f>
        <v/>
      </c>
      <c r="I237">
        <f>IF($J237="","",INDEX(명단표[급여 판정 근거],$J237))</f>
        <v/>
      </c>
      <c r="J237" s="17">
        <f>IFERROR(MATCH(233,명단표[명단순번],0),"")</f>
        <v/>
      </c>
    </row>
    <row r="238">
      <c r="A238">
        <f>IF($J238="","",TEXT(급여기준월,"yyyy-mm"))</f>
        <v/>
      </c>
      <c r="B238">
        <f>IF($J238="","",INDEX(명단표[사번],$J238)&amp;"")</f>
        <v/>
      </c>
      <c r="C238">
        <f>IF($J238="","",INDEX(명단표[이름],$J238))</f>
        <v/>
      </c>
      <c r="D238">
        <f>IF($J238="","",INDEX(명단표[수련과목],$J238))</f>
        <v/>
      </c>
      <c r="E238">
        <f>IF($J238="","",INDEX(명단표[연차],$J238)&amp;"")</f>
        <v/>
      </c>
      <c r="F238">
        <f>IF($J238="","",INDEX(명단표[소속병원],$J238))</f>
        <v/>
      </c>
      <c r="G238">
        <f>IF($J238="","",INDEX(명단표[기준월 근무병원],$J238))</f>
        <v/>
      </c>
      <c r="H238">
        <f>IF($J238="","",INDEX(명단표[급여지급병원(기준월)],$J238))</f>
        <v/>
      </c>
      <c r="I238">
        <f>IF($J238="","",INDEX(명단표[급여 판정 근거],$J238))</f>
        <v/>
      </c>
      <c r="J238" s="17">
        <f>IFERROR(MATCH(234,명단표[명단순번],0),"")</f>
        <v/>
      </c>
    </row>
    <row r="239">
      <c r="A239">
        <f>IF($J239="","",TEXT(급여기준월,"yyyy-mm"))</f>
        <v/>
      </c>
      <c r="B239">
        <f>IF($J239="","",INDEX(명단표[사번],$J239)&amp;"")</f>
        <v/>
      </c>
      <c r="C239">
        <f>IF($J239="","",INDEX(명단표[이름],$J239))</f>
        <v/>
      </c>
      <c r="D239">
        <f>IF($J239="","",INDEX(명단표[수련과목],$J239))</f>
        <v/>
      </c>
      <c r="E239">
        <f>IF($J239="","",INDEX(명단표[연차],$J239)&amp;"")</f>
        <v/>
      </c>
      <c r="F239">
        <f>IF($J239="","",INDEX(명단표[소속병원],$J239))</f>
        <v/>
      </c>
      <c r="G239">
        <f>IF($J239="","",INDEX(명단표[기준월 근무병원],$J239))</f>
        <v/>
      </c>
      <c r="H239">
        <f>IF($J239="","",INDEX(명단표[급여지급병원(기준월)],$J239))</f>
        <v/>
      </c>
      <c r="I239">
        <f>IF($J239="","",INDEX(명단표[급여 판정 근거],$J239))</f>
        <v/>
      </c>
      <c r="J239" s="17">
        <f>IFERROR(MATCH(235,명단표[명단순번],0),"")</f>
        <v/>
      </c>
    </row>
    <row r="240">
      <c r="A240">
        <f>IF($J240="","",TEXT(급여기준월,"yyyy-mm"))</f>
        <v/>
      </c>
      <c r="B240">
        <f>IF($J240="","",INDEX(명단표[사번],$J240)&amp;"")</f>
        <v/>
      </c>
      <c r="C240">
        <f>IF($J240="","",INDEX(명단표[이름],$J240))</f>
        <v/>
      </c>
      <c r="D240">
        <f>IF($J240="","",INDEX(명단표[수련과목],$J240))</f>
        <v/>
      </c>
      <c r="E240">
        <f>IF($J240="","",INDEX(명단표[연차],$J240)&amp;"")</f>
        <v/>
      </c>
      <c r="F240">
        <f>IF($J240="","",INDEX(명단표[소속병원],$J240))</f>
        <v/>
      </c>
      <c r="G240">
        <f>IF($J240="","",INDEX(명단표[기준월 근무병원],$J240))</f>
        <v/>
      </c>
      <c r="H240">
        <f>IF($J240="","",INDEX(명단표[급여지급병원(기준월)],$J240))</f>
        <v/>
      </c>
      <c r="I240">
        <f>IF($J240="","",INDEX(명단표[급여 판정 근거],$J240))</f>
        <v/>
      </c>
      <c r="J240" s="17">
        <f>IFERROR(MATCH(236,명단표[명단순번],0),"")</f>
        <v/>
      </c>
    </row>
    <row r="241">
      <c r="A241">
        <f>IF($J241="","",TEXT(급여기준월,"yyyy-mm"))</f>
        <v/>
      </c>
      <c r="B241">
        <f>IF($J241="","",INDEX(명단표[사번],$J241)&amp;"")</f>
        <v/>
      </c>
      <c r="C241">
        <f>IF($J241="","",INDEX(명단표[이름],$J241))</f>
        <v/>
      </c>
      <c r="D241">
        <f>IF($J241="","",INDEX(명단표[수련과목],$J241))</f>
        <v/>
      </c>
      <c r="E241">
        <f>IF($J241="","",INDEX(명단표[연차],$J241)&amp;"")</f>
        <v/>
      </c>
      <c r="F241">
        <f>IF($J241="","",INDEX(명단표[소속병원],$J241))</f>
        <v/>
      </c>
      <c r="G241">
        <f>IF($J241="","",INDEX(명단표[기준월 근무병원],$J241))</f>
        <v/>
      </c>
      <c r="H241">
        <f>IF($J241="","",INDEX(명단표[급여지급병원(기준월)],$J241))</f>
        <v/>
      </c>
      <c r="I241">
        <f>IF($J241="","",INDEX(명단표[급여 판정 근거],$J241))</f>
        <v/>
      </c>
      <c r="J241" s="17">
        <f>IFERROR(MATCH(237,명단표[명단순번],0),"")</f>
        <v/>
      </c>
    </row>
    <row r="242">
      <c r="A242">
        <f>IF($J242="","",TEXT(급여기준월,"yyyy-mm"))</f>
        <v/>
      </c>
      <c r="B242">
        <f>IF($J242="","",INDEX(명단표[사번],$J242)&amp;"")</f>
        <v/>
      </c>
      <c r="C242">
        <f>IF($J242="","",INDEX(명단표[이름],$J242))</f>
        <v/>
      </c>
      <c r="D242">
        <f>IF($J242="","",INDEX(명단표[수련과목],$J242))</f>
        <v/>
      </c>
      <c r="E242">
        <f>IF($J242="","",INDEX(명단표[연차],$J242)&amp;"")</f>
        <v/>
      </c>
      <c r="F242">
        <f>IF($J242="","",INDEX(명단표[소속병원],$J242))</f>
        <v/>
      </c>
      <c r="G242">
        <f>IF($J242="","",INDEX(명단표[기준월 근무병원],$J242))</f>
        <v/>
      </c>
      <c r="H242">
        <f>IF($J242="","",INDEX(명단표[급여지급병원(기준월)],$J242))</f>
        <v/>
      </c>
      <c r="I242">
        <f>IF($J242="","",INDEX(명단표[급여 판정 근거],$J242))</f>
        <v/>
      </c>
      <c r="J242" s="17">
        <f>IFERROR(MATCH(238,명단표[명단순번],0),"")</f>
        <v/>
      </c>
    </row>
    <row r="243">
      <c r="A243">
        <f>IF($J243="","",TEXT(급여기준월,"yyyy-mm"))</f>
        <v/>
      </c>
      <c r="B243">
        <f>IF($J243="","",INDEX(명단표[사번],$J243)&amp;"")</f>
        <v/>
      </c>
      <c r="C243">
        <f>IF($J243="","",INDEX(명단표[이름],$J243))</f>
        <v/>
      </c>
      <c r="D243">
        <f>IF($J243="","",INDEX(명단표[수련과목],$J243))</f>
        <v/>
      </c>
      <c r="E243">
        <f>IF($J243="","",INDEX(명단표[연차],$J243)&amp;"")</f>
        <v/>
      </c>
      <c r="F243">
        <f>IF($J243="","",INDEX(명단표[소속병원],$J243))</f>
        <v/>
      </c>
      <c r="G243">
        <f>IF($J243="","",INDEX(명단표[기준월 근무병원],$J243))</f>
        <v/>
      </c>
      <c r="H243">
        <f>IF($J243="","",INDEX(명단표[급여지급병원(기준월)],$J243))</f>
        <v/>
      </c>
      <c r="I243">
        <f>IF($J243="","",INDEX(명단표[급여 판정 근거],$J243))</f>
        <v/>
      </c>
      <c r="J243" s="17">
        <f>IFERROR(MATCH(239,명단표[명단순번],0),"")</f>
        <v/>
      </c>
    </row>
    <row r="244">
      <c r="A244">
        <f>IF($J244="","",TEXT(급여기준월,"yyyy-mm"))</f>
        <v/>
      </c>
      <c r="B244">
        <f>IF($J244="","",INDEX(명단표[사번],$J244)&amp;"")</f>
        <v/>
      </c>
      <c r="C244">
        <f>IF($J244="","",INDEX(명단표[이름],$J244))</f>
        <v/>
      </c>
      <c r="D244">
        <f>IF($J244="","",INDEX(명단표[수련과목],$J244))</f>
        <v/>
      </c>
      <c r="E244">
        <f>IF($J244="","",INDEX(명단표[연차],$J244)&amp;"")</f>
        <v/>
      </c>
      <c r="F244">
        <f>IF($J244="","",INDEX(명단표[소속병원],$J244))</f>
        <v/>
      </c>
      <c r="G244">
        <f>IF($J244="","",INDEX(명단표[기준월 근무병원],$J244))</f>
        <v/>
      </c>
      <c r="H244">
        <f>IF($J244="","",INDEX(명단표[급여지급병원(기준월)],$J244))</f>
        <v/>
      </c>
      <c r="I244">
        <f>IF($J244="","",INDEX(명단표[급여 판정 근거],$J244))</f>
        <v/>
      </c>
      <c r="J244" s="17">
        <f>IFERROR(MATCH(240,명단표[명단순번],0),"")</f>
        <v/>
      </c>
    </row>
    <row r="245">
      <c r="A245">
        <f>IF($J245="","",TEXT(급여기준월,"yyyy-mm"))</f>
        <v/>
      </c>
      <c r="B245">
        <f>IF($J245="","",INDEX(명단표[사번],$J245)&amp;"")</f>
        <v/>
      </c>
      <c r="C245">
        <f>IF($J245="","",INDEX(명단표[이름],$J245))</f>
        <v/>
      </c>
      <c r="D245">
        <f>IF($J245="","",INDEX(명단표[수련과목],$J245))</f>
        <v/>
      </c>
      <c r="E245">
        <f>IF($J245="","",INDEX(명단표[연차],$J245)&amp;"")</f>
        <v/>
      </c>
      <c r="F245">
        <f>IF($J245="","",INDEX(명단표[소속병원],$J245))</f>
        <v/>
      </c>
      <c r="G245">
        <f>IF($J245="","",INDEX(명단표[기준월 근무병원],$J245))</f>
        <v/>
      </c>
      <c r="H245">
        <f>IF($J245="","",INDEX(명단표[급여지급병원(기준월)],$J245))</f>
        <v/>
      </c>
      <c r="I245">
        <f>IF($J245="","",INDEX(명단표[급여 판정 근거],$J245))</f>
        <v/>
      </c>
      <c r="J245" s="17">
        <f>IFERROR(MATCH(241,명단표[명단순번],0),"")</f>
        <v/>
      </c>
    </row>
    <row r="246">
      <c r="A246">
        <f>IF($J246="","",TEXT(급여기준월,"yyyy-mm"))</f>
        <v/>
      </c>
      <c r="B246">
        <f>IF($J246="","",INDEX(명단표[사번],$J246)&amp;"")</f>
        <v/>
      </c>
      <c r="C246">
        <f>IF($J246="","",INDEX(명단표[이름],$J246))</f>
        <v/>
      </c>
      <c r="D246">
        <f>IF($J246="","",INDEX(명단표[수련과목],$J246))</f>
        <v/>
      </c>
      <c r="E246">
        <f>IF($J246="","",INDEX(명단표[연차],$J246)&amp;"")</f>
        <v/>
      </c>
      <c r="F246">
        <f>IF($J246="","",INDEX(명단표[소속병원],$J246))</f>
        <v/>
      </c>
      <c r="G246">
        <f>IF($J246="","",INDEX(명단표[기준월 근무병원],$J246))</f>
        <v/>
      </c>
      <c r="H246">
        <f>IF($J246="","",INDEX(명단표[급여지급병원(기준월)],$J246))</f>
        <v/>
      </c>
      <c r="I246">
        <f>IF($J246="","",INDEX(명단표[급여 판정 근거],$J246))</f>
        <v/>
      </c>
      <c r="J246" s="17">
        <f>IFERROR(MATCH(242,명단표[명단순번],0),"")</f>
        <v/>
      </c>
    </row>
    <row r="247">
      <c r="A247">
        <f>IF($J247="","",TEXT(급여기준월,"yyyy-mm"))</f>
        <v/>
      </c>
      <c r="B247">
        <f>IF($J247="","",INDEX(명단표[사번],$J247)&amp;"")</f>
        <v/>
      </c>
      <c r="C247">
        <f>IF($J247="","",INDEX(명단표[이름],$J247))</f>
        <v/>
      </c>
      <c r="D247">
        <f>IF($J247="","",INDEX(명단표[수련과목],$J247))</f>
        <v/>
      </c>
      <c r="E247">
        <f>IF($J247="","",INDEX(명단표[연차],$J247)&amp;"")</f>
        <v/>
      </c>
      <c r="F247">
        <f>IF($J247="","",INDEX(명단표[소속병원],$J247))</f>
        <v/>
      </c>
      <c r="G247">
        <f>IF($J247="","",INDEX(명단표[기준월 근무병원],$J247))</f>
        <v/>
      </c>
      <c r="H247">
        <f>IF($J247="","",INDEX(명단표[급여지급병원(기준월)],$J247))</f>
        <v/>
      </c>
      <c r="I247">
        <f>IF($J247="","",INDEX(명단표[급여 판정 근거],$J247))</f>
        <v/>
      </c>
      <c r="J247" s="17">
        <f>IFERROR(MATCH(243,명단표[명단순번],0),"")</f>
        <v/>
      </c>
    </row>
    <row r="248">
      <c r="A248">
        <f>IF($J248="","",TEXT(급여기준월,"yyyy-mm"))</f>
        <v/>
      </c>
      <c r="B248">
        <f>IF($J248="","",INDEX(명단표[사번],$J248)&amp;"")</f>
        <v/>
      </c>
      <c r="C248">
        <f>IF($J248="","",INDEX(명단표[이름],$J248))</f>
        <v/>
      </c>
      <c r="D248">
        <f>IF($J248="","",INDEX(명단표[수련과목],$J248))</f>
        <v/>
      </c>
      <c r="E248">
        <f>IF($J248="","",INDEX(명단표[연차],$J248)&amp;"")</f>
        <v/>
      </c>
      <c r="F248">
        <f>IF($J248="","",INDEX(명단표[소속병원],$J248))</f>
        <v/>
      </c>
      <c r="G248">
        <f>IF($J248="","",INDEX(명단표[기준월 근무병원],$J248))</f>
        <v/>
      </c>
      <c r="H248">
        <f>IF($J248="","",INDEX(명단표[급여지급병원(기준월)],$J248))</f>
        <v/>
      </c>
      <c r="I248">
        <f>IF($J248="","",INDEX(명단표[급여 판정 근거],$J248))</f>
        <v/>
      </c>
      <c r="J248" s="17">
        <f>IFERROR(MATCH(244,명단표[명단순번],0),"")</f>
        <v/>
      </c>
    </row>
    <row r="249">
      <c r="A249">
        <f>IF($J249="","",TEXT(급여기준월,"yyyy-mm"))</f>
        <v/>
      </c>
      <c r="B249">
        <f>IF($J249="","",INDEX(명단표[사번],$J249)&amp;"")</f>
        <v/>
      </c>
      <c r="C249">
        <f>IF($J249="","",INDEX(명단표[이름],$J249))</f>
        <v/>
      </c>
      <c r="D249">
        <f>IF($J249="","",INDEX(명단표[수련과목],$J249))</f>
        <v/>
      </c>
      <c r="E249">
        <f>IF($J249="","",INDEX(명단표[연차],$J249)&amp;"")</f>
        <v/>
      </c>
      <c r="F249">
        <f>IF($J249="","",INDEX(명단표[소속병원],$J249))</f>
        <v/>
      </c>
      <c r="G249">
        <f>IF($J249="","",INDEX(명단표[기준월 근무병원],$J249))</f>
        <v/>
      </c>
      <c r="H249">
        <f>IF($J249="","",INDEX(명단표[급여지급병원(기준월)],$J249))</f>
        <v/>
      </c>
      <c r="I249">
        <f>IF($J249="","",INDEX(명단표[급여 판정 근거],$J249))</f>
        <v/>
      </c>
      <c r="J249" s="17">
        <f>IFERROR(MATCH(245,명단표[명단순번],0),"")</f>
        <v/>
      </c>
    </row>
    <row r="250">
      <c r="A250">
        <f>IF($J250="","",TEXT(급여기준월,"yyyy-mm"))</f>
        <v/>
      </c>
      <c r="B250">
        <f>IF($J250="","",INDEX(명단표[사번],$J250)&amp;"")</f>
        <v/>
      </c>
      <c r="C250">
        <f>IF($J250="","",INDEX(명단표[이름],$J250))</f>
        <v/>
      </c>
      <c r="D250">
        <f>IF($J250="","",INDEX(명단표[수련과목],$J250))</f>
        <v/>
      </c>
      <c r="E250">
        <f>IF($J250="","",INDEX(명단표[연차],$J250)&amp;"")</f>
        <v/>
      </c>
      <c r="F250">
        <f>IF($J250="","",INDEX(명단표[소속병원],$J250))</f>
        <v/>
      </c>
      <c r="G250">
        <f>IF($J250="","",INDEX(명단표[기준월 근무병원],$J250))</f>
        <v/>
      </c>
      <c r="H250">
        <f>IF($J250="","",INDEX(명단표[급여지급병원(기준월)],$J250))</f>
        <v/>
      </c>
      <c r="I250">
        <f>IF($J250="","",INDEX(명단표[급여 판정 근거],$J250))</f>
        <v/>
      </c>
      <c r="J250" s="17">
        <f>IFERROR(MATCH(246,명단표[명단순번],0),"")</f>
        <v/>
      </c>
    </row>
    <row r="251">
      <c r="A251">
        <f>IF($J251="","",TEXT(급여기준월,"yyyy-mm"))</f>
        <v/>
      </c>
      <c r="B251">
        <f>IF($J251="","",INDEX(명단표[사번],$J251)&amp;"")</f>
        <v/>
      </c>
      <c r="C251">
        <f>IF($J251="","",INDEX(명단표[이름],$J251))</f>
        <v/>
      </c>
      <c r="D251">
        <f>IF($J251="","",INDEX(명단표[수련과목],$J251))</f>
        <v/>
      </c>
      <c r="E251">
        <f>IF($J251="","",INDEX(명단표[연차],$J251)&amp;"")</f>
        <v/>
      </c>
      <c r="F251">
        <f>IF($J251="","",INDEX(명단표[소속병원],$J251))</f>
        <v/>
      </c>
      <c r="G251">
        <f>IF($J251="","",INDEX(명단표[기준월 근무병원],$J251))</f>
        <v/>
      </c>
      <c r="H251">
        <f>IF($J251="","",INDEX(명단표[급여지급병원(기준월)],$J251))</f>
        <v/>
      </c>
      <c r="I251">
        <f>IF($J251="","",INDEX(명단표[급여 판정 근거],$J251))</f>
        <v/>
      </c>
      <c r="J251" s="17">
        <f>IFERROR(MATCH(247,명단표[명단순번],0),"")</f>
        <v/>
      </c>
    </row>
    <row r="252">
      <c r="A252">
        <f>IF($J252="","",TEXT(급여기준월,"yyyy-mm"))</f>
        <v/>
      </c>
      <c r="B252">
        <f>IF($J252="","",INDEX(명단표[사번],$J252)&amp;"")</f>
        <v/>
      </c>
      <c r="C252">
        <f>IF($J252="","",INDEX(명단표[이름],$J252))</f>
        <v/>
      </c>
      <c r="D252">
        <f>IF($J252="","",INDEX(명단표[수련과목],$J252))</f>
        <v/>
      </c>
      <c r="E252">
        <f>IF($J252="","",INDEX(명단표[연차],$J252)&amp;"")</f>
        <v/>
      </c>
      <c r="F252">
        <f>IF($J252="","",INDEX(명단표[소속병원],$J252))</f>
        <v/>
      </c>
      <c r="G252">
        <f>IF($J252="","",INDEX(명단표[기준월 근무병원],$J252))</f>
        <v/>
      </c>
      <c r="H252">
        <f>IF($J252="","",INDEX(명단표[급여지급병원(기준월)],$J252))</f>
        <v/>
      </c>
      <c r="I252">
        <f>IF($J252="","",INDEX(명단표[급여 판정 근거],$J252))</f>
        <v/>
      </c>
      <c r="J252" s="17">
        <f>IFERROR(MATCH(248,명단표[명단순번],0),"")</f>
        <v/>
      </c>
    </row>
    <row r="253">
      <c r="A253">
        <f>IF($J253="","",TEXT(급여기준월,"yyyy-mm"))</f>
        <v/>
      </c>
      <c r="B253">
        <f>IF($J253="","",INDEX(명단표[사번],$J253)&amp;"")</f>
        <v/>
      </c>
      <c r="C253">
        <f>IF($J253="","",INDEX(명단표[이름],$J253))</f>
        <v/>
      </c>
      <c r="D253">
        <f>IF($J253="","",INDEX(명단표[수련과목],$J253))</f>
        <v/>
      </c>
      <c r="E253">
        <f>IF($J253="","",INDEX(명단표[연차],$J253)&amp;"")</f>
        <v/>
      </c>
      <c r="F253">
        <f>IF($J253="","",INDEX(명단표[소속병원],$J253))</f>
        <v/>
      </c>
      <c r="G253">
        <f>IF($J253="","",INDEX(명단표[기준월 근무병원],$J253))</f>
        <v/>
      </c>
      <c r="H253">
        <f>IF($J253="","",INDEX(명단표[급여지급병원(기준월)],$J253))</f>
        <v/>
      </c>
      <c r="I253">
        <f>IF($J253="","",INDEX(명단표[급여 판정 근거],$J253))</f>
        <v/>
      </c>
      <c r="J253" s="17">
        <f>IFERROR(MATCH(249,명단표[명단순번],0),"")</f>
        <v/>
      </c>
    </row>
    <row r="254">
      <c r="A254">
        <f>IF($J254="","",TEXT(급여기준월,"yyyy-mm"))</f>
        <v/>
      </c>
      <c r="B254">
        <f>IF($J254="","",INDEX(명단표[사번],$J254)&amp;"")</f>
        <v/>
      </c>
      <c r="C254">
        <f>IF($J254="","",INDEX(명단표[이름],$J254))</f>
        <v/>
      </c>
      <c r="D254">
        <f>IF($J254="","",INDEX(명단표[수련과목],$J254))</f>
        <v/>
      </c>
      <c r="E254">
        <f>IF($J254="","",INDEX(명단표[연차],$J254)&amp;"")</f>
        <v/>
      </c>
      <c r="F254">
        <f>IF($J254="","",INDEX(명단표[소속병원],$J254))</f>
        <v/>
      </c>
      <c r="G254">
        <f>IF($J254="","",INDEX(명단표[기준월 근무병원],$J254))</f>
        <v/>
      </c>
      <c r="H254">
        <f>IF($J254="","",INDEX(명단표[급여지급병원(기준월)],$J254))</f>
        <v/>
      </c>
      <c r="I254">
        <f>IF($J254="","",INDEX(명단표[급여 판정 근거],$J254))</f>
        <v/>
      </c>
      <c r="J254" s="17">
        <f>IFERROR(MATCH(250,명단표[명단순번],0),"")</f>
        <v/>
      </c>
    </row>
    <row r="255">
      <c r="A255">
        <f>IF($J255="","",TEXT(급여기준월,"yyyy-mm"))</f>
        <v/>
      </c>
      <c r="B255">
        <f>IF($J255="","",INDEX(명단표[사번],$J255)&amp;"")</f>
        <v/>
      </c>
      <c r="C255">
        <f>IF($J255="","",INDEX(명단표[이름],$J255))</f>
        <v/>
      </c>
      <c r="D255">
        <f>IF($J255="","",INDEX(명단표[수련과목],$J255))</f>
        <v/>
      </c>
      <c r="E255">
        <f>IF($J255="","",INDEX(명단표[연차],$J255)&amp;"")</f>
        <v/>
      </c>
      <c r="F255">
        <f>IF($J255="","",INDEX(명단표[소속병원],$J255))</f>
        <v/>
      </c>
      <c r="G255">
        <f>IF($J255="","",INDEX(명단표[기준월 근무병원],$J255))</f>
        <v/>
      </c>
      <c r="H255">
        <f>IF($J255="","",INDEX(명단표[급여지급병원(기준월)],$J255))</f>
        <v/>
      </c>
      <c r="I255">
        <f>IF($J255="","",INDEX(명단표[급여 판정 근거],$J255))</f>
        <v/>
      </c>
      <c r="J255" s="17">
        <f>IFERROR(MATCH(251,명단표[명단순번],0),"")</f>
        <v/>
      </c>
    </row>
    <row r="256">
      <c r="A256">
        <f>IF($J256="","",TEXT(급여기준월,"yyyy-mm"))</f>
        <v/>
      </c>
      <c r="B256">
        <f>IF($J256="","",INDEX(명단표[사번],$J256)&amp;"")</f>
        <v/>
      </c>
      <c r="C256">
        <f>IF($J256="","",INDEX(명단표[이름],$J256))</f>
        <v/>
      </c>
      <c r="D256">
        <f>IF($J256="","",INDEX(명단표[수련과목],$J256))</f>
        <v/>
      </c>
      <c r="E256">
        <f>IF($J256="","",INDEX(명단표[연차],$J256)&amp;"")</f>
        <v/>
      </c>
      <c r="F256">
        <f>IF($J256="","",INDEX(명단표[소속병원],$J256))</f>
        <v/>
      </c>
      <c r="G256">
        <f>IF($J256="","",INDEX(명단표[기준월 근무병원],$J256))</f>
        <v/>
      </c>
      <c r="H256">
        <f>IF($J256="","",INDEX(명단표[급여지급병원(기준월)],$J256))</f>
        <v/>
      </c>
      <c r="I256">
        <f>IF($J256="","",INDEX(명단표[급여 판정 근거],$J256))</f>
        <v/>
      </c>
      <c r="J256" s="17">
        <f>IFERROR(MATCH(252,명단표[명단순번],0),"")</f>
        <v/>
      </c>
    </row>
    <row r="257">
      <c r="A257">
        <f>IF($J257="","",TEXT(급여기준월,"yyyy-mm"))</f>
        <v/>
      </c>
      <c r="B257">
        <f>IF($J257="","",INDEX(명단표[사번],$J257)&amp;"")</f>
        <v/>
      </c>
      <c r="C257">
        <f>IF($J257="","",INDEX(명단표[이름],$J257))</f>
        <v/>
      </c>
      <c r="D257">
        <f>IF($J257="","",INDEX(명단표[수련과목],$J257))</f>
        <v/>
      </c>
      <c r="E257">
        <f>IF($J257="","",INDEX(명단표[연차],$J257)&amp;"")</f>
        <v/>
      </c>
      <c r="F257">
        <f>IF($J257="","",INDEX(명단표[소속병원],$J257))</f>
        <v/>
      </c>
      <c r="G257">
        <f>IF($J257="","",INDEX(명단표[기준월 근무병원],$J257))</f>
        <v/>
      </c>
      <c r="H257">
        <f>IF($J257="","",INDEX(명단표[급여지급병원(기준월)],$J257))</f>
        <v/>
      </c>
      <c r="I257">
        <f>IF($J257="","",INDEX(명단표[급여 판정 근거],$J257))</f>
        <v/>
      </c>
      <c r="J257" s="17">
        <f>IFERROR(MATCH(253,명단표[명단순번],0),"")</f>
        <v/>
      </c>
    </row>
    <row r="258">
      <c r="A258">
        <f>IF($J258="","",TEXT(급여기준월,"yyyy-mm"))</f>
        <v/>
      </c>
      <c r="B258">
        <f>IF($J258="","",INDEX(명단표[사번],$J258)&amp;"")</f>
        <v/>
      </c>
      <c r="C258">
        <f>IF($J258="","",INDEX(명단표[이름],$J258))</f>
        <v/>
      </c>
      <c r="D258">
        <f>IF($J258="","",INDEX(명단표[수련과목],$J258))</f>
        <v/>
      </c>
      <c r="E258">
        <f>IF($J258="","",INDEX(명단표[연차],$J258)&amp;"")</f>
        <v/>
      </c>
      <c r="F258">
        <f>IF($J258="","",INDEX(명단표[소속병원],$J258))</f>
        <v/>
      </c>
      <c r="G258">
        <f>IF($J258="","",INDEX(명단표[기준월 근무병원],$J258))</f>
        <v/>
      </c>
      <c r="H258">
        <f>IF($J258="","",INDEX(명단표[급여지급병원(기준월)],$J258))</f>
        <v/>
      </c>
      <c r="I258">
        <f>IF($J258="","",INDEX(명단표[급여 판정 근거],$J258))</f>
        <v/>
      </c>
      <c r="J258" s="17">
        <f>IFERROR(MATCH(254,명단표[명단순번],0),"")</f>
        <v/>
      </c>
    </row>
    <row r="259">
      <c r="A259">
        <f>IF($J259="","",TEXT(급여기준월,"yyyy-mm"))</f>
        <v/>
      </c>
      <c r="B259">
        <f>IF($J259="","",INDEX(명단표[사번],$J259)&amp;"")</f>
        <v/>
      </c>
      <c r="C259">
        <f>IF($J259="","",INDEX(명단표[이름],$J259))</f>
        <v/>
      </c>
      <c r="D259">
        <f>IF($J259="","",INDEX(명단표[수련과목],$J259))</f>
        <v/>
      </c>
      <c r="E259">
        <f>IF($J259="","",INDEX(명단표[연차],$J259)&amp;"")</f>
        <v/>
      </c>
      <c r="F259">
        <f>IF($J259="","",INDEX(명단표[소속병원],$J259))</f>
        <v/>
      </c>
      <c r="G259">
        <f>IF($J259="","",INDEX(명단표[기준월 근무병원],$J259))</f>
        <v/>
      </c>
      <c r="H259">
        <f>IF($J259="","",INDEX(명단표[급여지급병원(기준월)],$J259))</f>
        <v/>
      </c>
      <c r="I259">
        <f>IF($J259="","",INDEX(명단표[급여 판정 근거],$J259))</f>
        <v/>
      </c>
      <c r="J259" s="17">
        <f>IFERROR(MATCH(255,명단표[명단순번],0),"")</f>
        <v/>
      </c>
    </row>
    <row r="260">
      <c r="A260">
        <f>IF($J260="","",TEXT(급여기준월,"yyyy-mm"))</f>
        <v/>
      </c>
      <c r="B260">
        <f>IF($J260="","",INDEX(명단표[사번],$J260)&amp;"")</f>
        <v/>
      </c>
      <c r="C260">
        <f>IF($J260="","",INDEX(명단표[이름],$J260))</f>
        <v/>
      </c>
      <c r="D260">
        <f>IF($J260="","",INDEX(명단표[수련과목],$J260))</f>
        <v/>
      </c>
      <c r="E260">
        <f>IF($J260="","",INDEX(명단표[연차],$J260)&amp;"")</f>
        <v/>
      </c>
      <c r="F260">
        <f>IF($J260="","",INDEX(명단표[소속병원],$J260))</f>
        <v/>
      </c>
      <c r="G260">
        <f>IF($J260="","",INDEX(명단표[기준월 근무병원],$J260))</f>
        <v/>
      </c>
      <c r="H260">
        <f>IF($J260="","",INDEX(명단표[급여지급병원(기준월)],$J260))</f>
        <v/>
      </c>
      <c r="I260">
        <f>IF($J260="","",INDEX(명단표[급여 판정 근거],$J260))</f>
        <v/>
      </c>
      <c r="J260" s="17">
        <f>IFERROR(MATCH(256,명단표[명단순번],0),"")</f>
        <v/>
      </c>
    </row>
    <row r="261">
      <c r="A261">
        <f>IF($J261="","",TEXT(급여기준월,"yyyy-mm"))</f>
        <v/>
      </c>
      <c r="B261">
        <f>IF($J261="","",INDEX(명단표[사번],$J261)&amp;"")</f>
        <v/>
      </c>
      <c r="C261">
        <f>IF($J261="","",INDEX(명단표[이름],$J261))</f>
        <v/>
      </c>
      <c r="D261">
        <f>IF($J261="","",INDEX(명단표[수련과목],$J261))</f>
        <v/>
      </c>
      <c r="E261">
        <f>IF($J261="","",INDEX(명단표[연차],$J261)&amp;"")</f>
        <v/>
      </c>
      <c r="F261">
        <f>IF($J261="","",INDEX(명단표[소속병원],$J261))</f>
        <v/>
      </c>
      <c r="G261">
        <f>IF($J261="","",INDEX(명단표[기준월 근무병원],$J261))</f>
        <v/>
      </c>
      <c r="H261">
        <f>IF($J261="","",INDEX(명단표[급여지급병원(기준월)],$J261))</f>
        <v/>
      </c>
      <c r="I261">
        <f>IF($J261="","",INDEX(명단표[급여 판정 근거],$J261))</f>
        <v/>
      </c>
      <c r="J261" s="17">
        <f>IFERROR(MATCH(257,명단표[명단순번],0),"")</f>
        <v/>
      </c>
    </row>
    <row r="262">
      <c r="A262">
        <f>IF($J262="","",TEXT(급여기준월,"yyyy-mm"))</f>
        <v/>
      </c>
      <c r="B262">
        <f>IF($J262="","",INDEX(명단표[사번],$J262)&amp;"")</f>
        <v/>
      </c>
      <c r="C262">
        <f>IF($J262="","",INDEX(명단표[이름],$J262))</f>
        <v/>
      </c>
      <c r="D262">
        <f>IF($J262="","",INDEX(명단표[수련과목],$J262))</f>
        <v/>
      </c>
      <c r="E262">
        <f>IF($J262="","",INDEX(명단표[연차],$J262)&amp;"")</f>
        <v/>
      </c>
      <c r="F262">
        <f>IF($J262="","",INDEX(명단표[소속병원],$J262))</f>
        <v/>
      </c>
      <c r="G262">
        <f>IF($J262="","",INDEX(명단표[기준월 근무병원],$J262))</f>
        <v/>
      </c>
      <c r="H262">
        <f>IF($J262="","",INDEX(명단표[급여지급병원(기준월)],$J262))</f>
        <v/>
      </c>
      <c r="I262">
        <f>IF($J262="","",INDEX(명단표[급여 판정 근거],$J262))</f>
        <v/>
      </c>
      <c r="J262" s="17">
        <f>IFERROR(MATCH(258,명단표[명단순번],0),"")</f>
        <v/>
      </c>
    </row>
    <row r="263">
      <c r="A263">
        <f>IF($J263="","",TEXT(급여기준월,"yyyy-mm"))</f>
        <v/>
      </c>
      <c r="B263">
        <f>IF($J263="","",INDEX(명단표[사번],$J263)&amp;"")</f>
        <v/>
      </c>
      <c r="C263">
        <f>IF($J263="","",INDEX(명단표[이름],$J263))</f>
        <v/>
      </c>
      <c r="D263">
        <f>IF($J263="","",INDEX(명단표[수련과목],$J263))</f>
        <v/>
      </c>
      <c r="E263">
        <f>IF($J263="","",INDEX(명단표[연차],$J263)&amp;"")</f>
        <v/>
      </c>
      <c r="F263">
        <f>IF($J263="","",INDEX(명단표[소속병원],$J263))</f>
        <v/>
      </c>
      <c r="G263">
        <f>IF($J263="","",INDEX(명단표[기준월 근무병원],$J263))</f>
        <v/>
      </c>
      <c r="H263">
        <f>IF($J263="","",INDEX(명단표[급여지급병원(기준월)],$J263))</f>
        <v/>
      </c>
      <c r="I263">
        <f>IF($J263="","",INDEX(명단표[급여 판정 근거],$J263))</f>
        <v/>
      </c>
      <c r="J263" s="17">
        <f>IFERROR(MATCH(259,명단표[명단순번],0),"")</f>
        <v/>
      </c>
    </row>
    <row r="264">
      <c r="A264">
        <f>IF($J264="","",TEXT(급여기준월,"yyyy-mm"))</f>
        <v/>
      </c>
      <c r="B264">
        <f>IF($J264="","",INDEX(명단표[사번],$J264)&amp;"")</f>
        <v/>
      </c>
      <c r="C264">
        <f>IF($J264="","",INDEX(명단표[이름],$J264))</f>
        <v/>
      </c>
      <c r="D264">
        <f>IF($J264="","",INDEX(명단표[수련과목],$J264))</f>
        <v/>
      </c>
      <c r="E264">
        <f>IF($J264="","",INDEX(명단표[연차],$J264)&amp;"")</f>
        <v/>
      </c>
      <c r="F264">
        <f>IF($J264="","",INDEX(명단표[소속병원],$J264))</f>
        <v/>
      </c>
      <c r="G264">
        <f>IF($J264="","",INDEX(명단표[기준월 근무병원],$J264))</f>
        <v/>
      </c>
      <c r="H264">
        <f>IF($J264="","",INDEX(명단표[급여지급병원(기준월)],$J264))</f>
        <v/>
      </c>
      <c r="I264">
        <f>IF($J264="","",INDEX(명단표[급여 판정 근거],$J264))</f>
        <v/>
      </c>
      <c r="J264" s="17">
        <f>IFERROR(MATCH(260,명단표[명단순번],0),"")</f>
        <v/>
      </c>
    </row>
    <row r="265">
      <c r="A265">
        <f>IF($J265="","",TEXT(급여기준월,"yyyy-mm"))</f>
        <v/>
      </c>
      <c r="B265">
        <f>IF($J265="","",INDEX(명단표[사번],$J265)&amp;"")</f>
        <v/>
      </c>
      <c r="C265">
        <f>IF($J265="","",INDEX(명단표[이름],$J265))</f>
        <v/>
      </c>
      <c r="D265">
        <f>IF($J265="","",INDEX(명단표[수련과목],$J265))</f>
        <v/>
      </c>
      <c r="E265">
        <f>IF($J265="","",INDEX(명단표[연차],$J265)&amp;"")</f>
        <v/>
      </c>
      <c r="F265">
        <f>IF($J265="","",INDEX(명단표[소속병원],$J265))</f>
        <v/>
      </c>
      <c r="G265">
        <f>IF($J265="","",INDEX(명단표[기준월 근무병원],$J265))</f>
        <v/>
      </c>
      <c r="H265">
        <f>IF($J265="","",INDEX(명단표[급여지급병원(기준월)],$J265))</f>
        <v/>
      </c>
      <c r="I265">
        <f>IF($J265="","",INDEX(명단표[급여 판정 근거],$J265))</f>
        <v/>
      </c>
      <c r="J265" s="17">
        <f>IFERROR(MATCH(261,명단표[명단순번],0),"")</f>
        <v/>
      </c>
    </row>
    <row r="266">
      <c r="A266">
        <f>IF($J266="","",TEXT(급여기준월,"yyyy-mm"))</f>
        <v/>
      </c>
      <c r="B266">
        <f>IF($J266="","",INDEX(명단표[사번],$J266)&amp;"")</f>
        <v/>
      </c>
      <c r="C266">
        <f>IF($J266="","",INDEX(명단표[이름],$J266))</f>
        <v/>
      </c>
      <c r="D266">
        <f>IF($J266="","",INDEX(명단표[수련과목],$J266))</f>
        <v/>
      </c>
      <c r="E266">
        <f>IF($J266="","",INDEX(명단표[연차],$J266)&amp;"")</f>
        <v/>
      </c>
      <c r="F266">
        <f>IF($J266="","",INDEX(명단표[소속병원],$J266))</f>
        <v/>
      </c>
      <c r="G266">
        <f>IF($J266="","",INDEX(명단표[기준월 근무병원],$J266))</f>
        <v/>
      </c>
      <c r="H266">
        <f>IF($J266="","",INDEX(명단표[급여지급병원(기준월)],$J266))</f>
        <v/>
      </c>
      <c r="I266">
        <f>IF($J266="","",INDEX(명단표[급여 판정 근거],$J266))</f>
        <v/>
      </c>
      <c r="J266" s="17">
        <f>IFERROR(MATCH(262,명단표[명단순번],0),"")</f>
        <v/>
      </c>
    </row>
    <row r="267">
      <c r="A267">
        <f>IF($J267="","",TEXT(급여기준월,"yyyy-mm"))</f>
        <v/>
      </c>
      <c r="B267">
        <f>IF($J267="","",INDEX(명단표[사번],$J267)&amp;"")</f>
        <v/>
      </c>
      <c r="C267">
        <f>IF($J267="","",INDEX(명단표[이름],$J267))</f>
        <v/>
      </c>
      <c r="D267">
        <f>IF($J267="","",INDEX(명단표[수련과목],$J267))</f>
        <v/>
      </c>
      <c r="E267">
        <f>IF($J267="","",INDEX(명단표[연차],$J267)&amp;"")</f>
        <v/>
      </c>
      <c r="F267">
        <f>IF($J267="","",INDEX(명단표[소속병원],$J267))</f>
        <v/>
      </c>
      <c r="G267">
        <f>IF($J267="","",INDEX(명단표[기준월 근무병원],$J267))</f>
        <v/>
      </c>
      <c r="H267">
        <f>IF($J267="","",INDEX(명단표[급여지급병원(기준월)],$J267))</f>
        <v/>
      </c>
      <c r="I267">
        <f>IF($J267="","",INDEX(명단표[급여 판정 근거],$J267))</f>
        <v/>
      </c>
      <c r="J267" s="17">
        <f>IFERROR(MATCH(263,명단표[명단순번],0),"")</f>
        <v/>
      </c>
    </row>
    <row r="268">
      <c r="A268">
        <f>IF($J268="","",TEXT(급여기준월,"yyyy-mm"))</f>
        <v/>
      </c>
      <c r="B268">
        <f>IF($J268="","",INDEX(명단표[사번],$J268)&amp;"")</f>
        <v/>
      </c>
      <c r="C268">
        <f>IF($J268="","",INDEX(명단표[이름],$J268))</f>
        <v/>
      </c>
      <c r="D268">
        <f>IF($J268="","",INDEX(명단표[수련과목],$J268))</f>
        <v/>
      </c>
      <c r="E268">
        <f>IF($J268="","",INDEX(명단표[연차],$J268)&amp;"")</f>
        <v/>
      </c>
      <c r="F268">
        <f>IF($J268="","",INDEX(명단표[소속병원],$J268))</f>
        <v/>
      </c>
      <c r="G268">
        <f>IF($J268="","",INDEX(명단표[기준월 근무병원],$J268))</f>
        <v/>
      </c>
      <c r="H268">
        <f>IF($J268="","",INDEX(명단표[급여지급병원(기준월)],$J268))</f>
        <v/>
      </c>
      <c r="I268">
        <f>IF($J268="","",INDEX(명단표[급여 판정 근거],$J268))</f>
        <v/>
      </c>
      <c r="J268" s="17">
        <f>IFERROR(MATCH(264,명단표[명단순번],0),"")</f>
        <v/>
      </c>
    </row>
    <row r="269">
      <c r="A269">
        <f>IF($J269="","",TEXT(급여기준월,"yyyy-mm"))</f>
        <v/>
      </c>
      <c r="B269">
        <f>IF($J269="","",INDEX(명단표[사번],$J269)&amp;"")</f>
        <v/>
      </c>
      <c r="C269">
        <f>IF($J269="","",INDEX(명단표[이름],$J269))</f>
        <v/>
      </c>
      <c r="D269">
        <f>IF($J269="","",INDEX(명단표[수련과목],$J269))</f>
        <v/>
      </c>
      <c r="E269">
        <f>IF($J269="","",INDEX(명단표[연차],$J269)&amp;"")</f>
        <v/>
      </c>
      <c r="F269">
        <f>IF($J269="","",INDEX(명단표[소속병원],$J269))</f>
        <v/>
      </c>
      <c r="G269">
        <f>IF($J269="","",INDEX(명단표[기준월 근무병원],$J269))</f>
        <v/>
      </c>
      <c r="H269">
        <f>IF($J269="","",INDEX(명단표[급여지급병원(기준월)],$J269))</f>
        <v/>
      </c>
      <c r="I269">
        <f>IF($J269="","",INDEX(명단표[급여 판정 근거],$J269))</f>
        <v/>
      </c>
      <c r="J269" s="17">
        <f>IFERROR(MATCH(265,명단표[명단순번],0),"")</f>
        <v/>
      </c>
    </row>
    <row r="270">
      <c r="A270">
        <f>IF($J270="","",TEXT(급여기준월,"yyyy-mm"))</f>
        <v/>
      </c>
      <c r="B270">
        <f>IF($J270="","",INDEX(명단표[사번],$J270)&amp;"")</f>
        <v/>
      </c>
      <c r="C270">
        <f>IF($J270="","",INDEX(명단표[이름],$J270))</f>
        <v/>
      </c>
      <c r="D270">
        <f>IF($J270="","",INDEX(명단표[수련과목],$J270))</f>
        <v/>
      </c>
      <c r="E270">
        <f>IF($J270="","",INDEX(명단표[연차],$J270)&amp;"")</f>
        <v/>
      </c>
      <c r="F270">
        <f>IF($J270="","",INDEX(명단표[소속병원],$J270))</f>
        <v/>
      </c>
      <c r="G270">
        <f>IF($J270="","",INDEX(명단표[기준월 근무병원],$J270))</f>
        <v/>
      </c>
      <c r="H270">
        <f>IF($J270="","",INDEX(명단표[급여지급병원(기준월)],$J270))</f>
        <v/>
      </c>
      <c r="I270">
        <f>IF($J270="","",INDEX(명단표[급여 판정 근거],$J270))</f>
        <v/>
      </c>
      <c r="J270" s="17">
        <f>IFERROR(MATCH(266,명단표[명단순번],0),"")</f>
        <v/>
      </c>
    </row>
    <row r="271">
      <c r="A271">
        <f>IF($J271="","",TEXT(급여기준월,"yyyy-mm"))</f>
        <v/>
      </c>
      <c r="B271">
        <f>IF($J271="","",INDEX(명단표[사번],$J271)&amp;"")</f>
        <v/>
      </c>
      <c r="C271">
        <f>IF($J271="","",INDEX(명단표[이름],$J271))</f>
        <v/>
      </c>
      <c r="D271">
        <f>IF($J271="","",INDEX(명단표[수련과목],$J271))</f>
        <v/>
      </c>
      <c r="E271">
        <f>IF($J271="","",INDEX(명단표[연차],$J271)&amp;"")</f>
        <v/>
      </c>
      <c r="F271">
        <f>IF($J271="","",INDEX(명단표[소속병원],$J271))</f>
        <v/>
      </c>
      <c r="G271">
        <f>IF($J271="","",INDEX(명단표[기준월 근무병원],$J271))</f>
        <v/>
      </c>
      <c r="H271">
        <f>IF($J271="","",INDEX(명단표[급여지급병원(기준월)],$J271))</f>
        <v/>
      </c>
      <c r="I271">
        <f>IF($J271="","",INDEX(명단표[급여 판정 근거],$J271))</f>
        <v/>
      </c>
      <c r="J271" s="17">
        <f>IFERROR(MATCH(267,명단표[명단순번],0),"")</f>
        <v/>
      </c>
    </row>
    <row r="272">
      <c r="A272">
        <f>IF($J272="","",TEXT(급여기준월,"yyyy-mm"))</f>
        <v/>
      </c>
      <c r="B272">
        <f>IF($J272="","",INDEX(명단표[사번],$J272)&amp;"")</f>
        <v/>
      </c>
      <c r="C272">
        <f>IF($J272="","",INDEX(명단표[이름],$J272))</f>
        <v/>
      </c>
      <c r="D272">
        <f>IF($J272="","",INDEX(명단표[수련과목],$J272))</f>
        <v/>
      </c>
      <c r="E272">
        <f>IF($J272="","",INDEX(명단표[연차],$J272)&amp;"")</f>
        <v/>
      </c>
      <c r="F272">
        <f>IF($J272="","",INDEX(명단표[소속병원],$J272))</f>
        <v/>
      </c>
      <c r="G272">
        <f>IF($J272="","",INDEX(명단표[기준월 근무병원],$J272))</f>
        <v/>
      </c>
      <c r="H272">
        <f>IF($J272="","",INDEX(명단표[급여지급병원(기준월)],$J272))</f>
        <v/>
      </c>
      <c r="I272">
        <f>IF($J272="","",INDEX(명단표[급여 판정 근거],$J272))</f>
        <v/>
      </c>
      <c r="J272" s="17">
        <f>IFERROR(MATCH(268,명단표[명단순번],0),"")</f>
        <v/>
      </c>
    </row>
    <row r="273">
      <c r="A273">
        <f>IF($J273="","",TEXT(급여기준월,"yyyy-mm"))</f>
        <v/>
      </c>
      <c r="B273">
        <f>IF($J273="","",INDEX(명단표[사번],$J273)&amp;"")</f>
        <v/>
      </c>
      <c r="C273">
        <f>IF($J273="","",INDEX(명단표[이름],$J273))</f>
        <v/>
      </c>
      <c r="D273">
        <f>IF($J273="","",INDEX(명단표[수련과목],$J273))</f>
        <v/>
      </c>
      <c r="E273">
        <f>IF($J273="","",INDEX(명단표[연차],$J273)&amp;"")</f>
        <v/>
      </c>
      <c r="F273">
        <f>IF($J273="","",INDEX(명단표[소속병원],$J273))</f>
        <v/>
      </c>
      <c r="G273">
        <f>IF($J273="","",INDEX(명단표[기준월 근무병원],$J273))</f>
        <v/>
      </c>
      <c r="H273">
        <f>IF($J273="","",INDEX(명단표[급여지급병원(기준월)],$J273))</f>
        <v/>
      </c>
      <c r="I273">
        <f>IF($J273="","",INDEX(명단표[급여 판정 근거],$J273))</f>
        <v/>
      </c>
      <c r="J273" s="17">
        <f>IFERROR(MATCH(269,명단표[명단순번],0),"")</f>
        <v/>
      </c>
    </row>
    <row r="274">
      <c r="A274">
        <f>IF($J274="","",TEXT(급여기준월,"yyyy-mm"))</f>
        <v/>
      </c>
      <c r="B274">
        <f>IF($J274="","",INDEX(명단표[사번],$J274)&amp;"")</f>
        <v/>
      </c>
      <c r="C274">
        <f>IF($J274="","",INDEX(명단표[이름],$J274))</f>
        <v/>
      </c>
      <c r="D274">
        <f>IF($J274="","",INDEX(명단표[수련과목],$J274))</f>
        <v/>
      </c>
      <c r="E274">
        <f>IF($J274="","",INDEX(명단표[연차],$J274)&amp;"")</f>
        <v/>
      </c>
      <c r="F274">
        <f>IF($J274="","",INDEX(명단표[소속병원],$J274))</f>
        <v/>
      </c>
      <c r="G274">
        <f>IF($J274="","",INDEX(명단표[기준월 근무병원],$J274))</f>
        <v/>
      </c>
      <c r="H274">
        <f>IF($J274="","",INDEX(명단표[급여지급병원(기준월)],$J274))</f>
        <v/>
      </c>
      <c r="I274">
        <f>IF($J274="","",INDEX(명단표[급여 판정 근거],$J274))</f>
        <v/>
      </c>
      <c r="J274" s="17">
        <f>IFERROR(MATCH(270,명단표[명단순번],0),"")</f>
        <v/>
      </c>
    </row>
    <row r="275">
      <c r="A275">
        <f>IF($J275="","",TEXT(급여기준월,"yyyy-mm"))</f>
        <v/>
      </c>
      <c r="B275">
        <f>IF($J275="","",INDEX(명단표[사번],$J275)&amp;"")</f>
        <v/>
      </c>
      <c r="C275">
        <f>IF($J275="","",INDEX(명단표[이름],$J275))</f>
        <v/>
      </c>
      <c r="D275">
        <f>IF($J275="","",INDEX(명단표[수련과목],$J275))</f>
        <v/>
      </c>
      <c r="E275">
        <f>IF($J275="","",INDEX(명단표[연차],$J275)&amp;"")</f>
        <v/>
      </c>
      <c r="F275">
        <f>IF($J275="","",INDEX(명단표[소속병원],$J275))</f>
        <v/>
      </c>
      <c r="G275">
        <f>IF($J275="","",INDEX(명단표[기준월 근무병원],$J275))</f>
        <v/>
      </c>
      <c r="H275">
        <f>IF($J275="","",INDEX(명단표[급여지급병원(기준월)],$J275))</f>
        <v/>
      </c>
      <c r="I275">
        <f>IF($J275="","",INDEX(명단표[급여 판정 근거],$J275))</f>
        <v/>
      </c>
      <c r="J275" s="17">
        <f>IFERROR(MATCH(271,명단표[명단순번],0),"")</f>
        <v/>
      </c>
    </row>
    <row r="276">
      <c r="A276">
        <f>IF($J276="","",TEXT(급여기준월,"yyyy-mm"))</f>
        <v/>
      </c>
      <c r="B276">
        <f>IF($J276="","",INDEX(명단표[사번],$J276)&amp;"")</f>
        <v/>
      </c>
      <c r="C276">
        <f>IF($J276="","",INDEX(명단표[이름],$J276))</f>
        <v/>
      </c>
      <c r="D276">
        <f>IF($J276="","",INDEX(명단표[수련과목],$J276))</f>
        <v/>
      </c>
      <c r="E276">
        <f>IF($J276="","",INDEX(명단표[연차],$J276)&amp;"")</f>
        <v/>
      </c>
      <c r="F276">
        <f>IF($J276="","",INDEX(명단표[소속병원],$J276))</f>
        <v/>
      </c>
      <c r="G276">
        <f>IF($J276="","",INDEX(명단표[기준월 근무병원],$J276))</f>
        <v/>
      </c>
      <c r="H276">
        <f>IF($J276="","",INDEX(명단표[급여지급병원(기준월)],$J276))</f>
        <v/>
      </c>
      <c r="I276">
        <f>IF($J276="","",INDEX(명단표[급여 판정 근거],$J276))</f>
        <v/>
      </c>
      <c r="J276" s="17">
        <f>IFERROR(MATCH(272,명단표[명단순번],0),"")</f>
        <v/>
      </c>
    </row>
    <row r="277">
      <c r="A277">
        <f>IF($J277="","",TEXT(급여기준월,"yyyy-mm"))</f>
        <v/>
      </c>
      <c r="B277">
        <f>IF($J277="","",INDEX(명단표[사번],$J277)&amp;"")</f>
        <v/>
      </c>
      <c r="C277">
        <f>IF($J277="","",INDEX(명단표[이름],$J277))</f>
        <v/>
      </c>
      <c r="D277">
        <f>IF($J277="","",INDEX(명단표[수련과목],$J277))</f>
        <v/>
      </c>
      <c r="E277">
        <f>IF($J277="","",INDEX(명단표[연차],$J277)&amp;"")</f>
        <v/>
      </c>
      <c r="F277">
        <f>IF($J277="","",INDEX(명단표[소속병원],$J277))</f>
        <v/>
      </c>
      <c r="G277">
        <f>IF($J277="","",INDEX(명단표[기준월 근무병원],$J277))</f>
        <v/>
      </c>
      <c r="H277">
        <f>IF($J277="","",INDEX(명단표[급여지급병원(기준월)],$J277))</f>
        <v/>
      </c>
      <c r="I277">
        <f>IF($J277="","",INDEX(명단표[급여 판정 근거],$J277))</f>
        <v/>
      </c>
      <c r="J277" s="17">
        <f>IFERROR(MATCH(273,명단표[명단순번],0),"")</f>
        <v/>
      </c>
    </row>
    <row r="278">
      <c r="A278">
        <f>IF($J278="","",TEXT(급여기준월,"yyyy-mm"))</f>
        <v/>
      </c>
      <c r="B278">
        <f>IF($J278="","",INDEX(명단표[사번],$J278)&amp;"")</f>
        <v/>
      </c>
      <c r="C278">
        <f>IF($J278="","",INDEX(명단표[이름],$J278))</f>
        <v/>
      </c>
      <c r="D278">
        <f>IF($J278="","",INDEX(명단표[수련과목],$J278))</f>
        <v/>
      </c>
      <c r="E278">
        <f>IF($J278="","",INDEX(명단표[연차],$J278)&amp;"")</f>
        <v/>
      </c>
      <c r="F278">
        <f>IF($J278="","",INDEX(명단표[소속병원],$J278))</f>
        <v/>
      </c>
      <c r="G278">
        <f>IF($J278="","",INDEX(명단표[기준월 근무병원],$J278))</f>
        <v/>
      </c>
      <c r="H278">
        <f>IF($J278="","",INDEX(명단표[급여지급병원(기준월)],$J278))</f>
        <v/>
      </c>
      <c r="I278">
        <f>IF($J278="","",INDEX(명단표[급여 판정 근거],$J278))</f>
        <v/>
      </c>
      <c r="J278" s="17">
        <f>IFERROR(MATCH(274,명단표[명단순번],0),"")</f>
        <v/>
      </c>
    </row>
    <row r="279">
      <c r="A279">
        <f>IF($J279="","",TEXT(급여기준월,"yyyy-mm"))</f>
        <v/>
      </c>
      <c r="B279">
        <f>IF($J279="","",INDEX(명단표[사번],$J279)&amp;"")</f>
        <v/>
      </c>
      <c r="C279">
        <f>IF($J279="","",INDEX(명단표[이름],$J279))</f>
        <v/>
      </c>
      <c r="D279">
        <f>IF($J279="","",INDEX(명단표[수련과목],$J279))</f>
        <v/>
      </c>
      <c r="E279">
        <f>IF($J279="","",INDEX(명단표[연차],$J279)&amp;"")</f>
        <v/>
      </c>
      <c r="F279">
        <f>IF($J279="","",INDEX(명단표[소속병원],$J279))</f>
        <v/>
      </c>
      <c r="G279">
        <f>IF($J279="","",INDEX(명단표[기준월 근무병원],$J279))</f>
        <v/>
      </c>
      <c r="H279">
        <f>IF($J279="","",INDEX(명단표[급여지급병원(기준월)],$J279))</f>
        <v/>
      </c>
      <c r="I279">
        <f>IF($J279="","",INDEX(명단표[급여 판정 근거],$J279))</f>
        <v/>
      </c>
      <c r="J279" s="17">
        <f>IFERROR(MATCH(275,명단표[명단순번],0),"")</f>
        <v/>
      </c>
    </row>
    <row r="280">
      <c r="A280">
        <f>IF($J280="","",TEXT(급여기준월,"yyyy-mm"))</f>
        <v/>
      </c>
      <c r="B280">
        <f>IF($J280="","",INDEX(명단표[사번],$J280)&amp;"")</f>
        <v/>
      </c>
      <c r="C280">
        <f>IF($J280="","",INDEX(명단표[이름],$J280))</f>
        <v/>
      </c>
      <c r="D280">
        <f>IF($J280="","",INDEX(명단표[수련과목],$J280))</f>
        <v/>
      </c>
      <c r="E280">
        <f>IF($J280="","",INDEX(명단표[연차],$J280)&amp;"")</f>
        <v/>
      </c>
      <c r="F280">
        <f>IF($J280="","",INDEX(명단표[소속병원],$J280))</f>
        <v/>
      </c>
      <c r="G280">
        <f>IF($J280="","",INDEX(명단표[기준월 근무병원],$J280))</f>
        <v/>
      </c>
      <c r="H280">
        <f>IF($J280="","",INDEX(명단표[급여지급병원(기준월)],$J280))</f>
        <v/>
      </c>
      <c r="I280">
        <f>IF($J280="","",INDEX(명단표[급여 판정 근거],$J280))</f>
        <v/>
      </c>
      <c r="J280" s="17">
        <f>IFERROR(MATCH(276,명단표[명단순번],0),"")</f>
        <v/>
      </c>
    </row>
    <row r="281">
      <c r="A281">
        <f>IF($J281="","",TEXT(급여기준월,"yyyy-mm"))</f>
        <v/>
      </c>
      <c r="B281">
        <f>IF($J281="","",INDEX(명단표[사번],$J281)&amp;"")</f>
        <v/>
      </c>
      <c r="C281">
        <f>IF($J281="","",INDEX(명단표[이름],$J281))</f>
        <v/>
      </c>
      <c r="D281">
        <f>IF($J281="","",INDEX(명단표[수련과목],$J281))</f>
        <v/>
      </c>
      <c r="E281">
        <f>IF($J281="","",INDEX(명단표[연차],$J281)&amp;"")</f>
        <v/>
      </c>
      <c r="F281">
        <f>IF($J281="","",INDEX(명단표[소속병원],$J281))</f>
        <v/>
      </c>
      <c r="G281">
        <f>IF($J281="","",INDEX(명단표[기준월 근무병원],$J281))</f>
        <v/>
      </c>
      <c r="H281">
        <f>IF($J281="","",INDEX(명단표[급여지급병원(기준월)],$J281))</f>
        <v/>
      </c>
      <c r="I281">
        <f>IF($J281="","",INDEX(명단표[급여 판정 근거],$J281))</f>
        <v/>
      </c>
      <c r="J281" s="17">
        <f>IFERROR(MATCH(277,명단표[명단순번],0),"")</f>
        <v/>
      </c>
    </row>
    <row r="282">
      <c r="A282">
        <f>IF($J282="","",TEXT(급여기준월,"yyyy-mm"))</f>
        <v/>
      </c>
      <c r="B282">
        <f>IF($J282="","",INDEX(명단표[사번],$J282)&amp;"")</f>
        <v/>
      </c>
      <c r="C282">
        <f>IF($J282="","",INDEX(명단표[이름],$J282))</f>
        <v/>
      </c>
      <c r="D282">
        <f>IF($J282="","",INDEX(명단표[수련과목],$J282))</f>
        <v/>
      </c>
      <c r="E282">
        <f>IF($J282="","",INDEX(명단표[연차],$J282)&amp;"")</f>
        <v/>
      </c>
      <c r="F282">
        <f>IF($J282="","",INDEX(명단표[소속병원],$J282))</f>
        <v/>
      </c>
      <c r="G282">
        <f>IF($J282="","",INDEX(명단표[기준월 근무병원],$J282))</f>
        <v/>
      </c>
      <c r="H282">
        <f>IF($J282="","",INDEX(명단표[급여지급병원(기준월)],$J282))</f>
        <v/>
      </c>
      <c r="I282">
        <f>IF($J282="","",INDEX(명단표[급여 판정 근거],$J282))</f>
        <v/>
      </c>
      <c r="J282" s="17">
        <f>IFERROR(MATCH(278,명단표[명단순번],0),"")</f>
        <v/>
      </c>
    </row>
    <row r="283">
      <c r="A283">
        <f>IF($J283="","",TEXT(급여기준월,"yyyy-mm"))</f>
        <v/>
      </c>
      <c r="B283">
        <f>IF($J283="","",INDEX(명단표[사번],$J283)&amp;"")</f>
        <v/>
      </c>
      <c r="C283">
        <f>IF($J283="","",INDEX(명단표[이름],$J283))</f>
        <v/>
      </c>
      <c r="D283">
        <f>IF($J283="","",INDEX(명단표[수련과목],$J283))</f>
        <v/>
      </c>
      <c r="E283">
        <f>IF($J283="","",INDEX(명단표[연차],$J283)&amp;"")</f>
        <v/>
      </c>
      <c r="F283">
        <f>IF($J283="","",INDEX(명단표[소속병원],$J283))</f>
        <v/>
      </c>
      <c r="G283">
        <f>IF($J283="","",INDEX(명단표[기준월 근무병원],$J283))</f>
        <v/>
      </c>
      <c r="H283">
        <f>IF($J283="","",INDEX(명단표[급여지급병원(기준월)],$J283))</f>
        <v/>
      </c>
      <c r="I283">
        <f>IF($J283="","",INDEX(명단표[급여 판정 근거],$J283))</f>
        <v/>
      </c>
      <c r="J283" s="17">
        <f>IFERROR(MATCH(279,명단표[명단순번],0),"")</f>
        <v/>
      </c>
    </row>
    <row r="284">
      <c r="A284">
        <f>IF($J284="","",TEXT(급여기준월,"yyyy-mm"))</f>
        <v/>
      </c>
      <c r="B284">
        <f>IF($J284="","",INDEX(명단표[사번],$J284)&amp;"")</f>
        <v/>
      </c>
      <c r="C284">
        <f>IF($J284="","",INDEX(명단표[이름],$J284))</f>
        <v/>
      </c>
      <c r="D284">
        <f>IF($J284="","",INDEX(명단표[수련과목],$J284))</f>
        <v/>
      </c>
      <c r="E284">
        <f>IF($J284="","",INDEX(명단표[연차],$J284)&amp;"")</f>
        <v/>
      </c>
      <c r="F284">
        <f>IF($J284="","",INDEX(명단표[소속병원],$J284))</f>
        <v/>
      </c>
      <c r="G284">
        <f>IF($J284="","",INDEX(명단표[기준월 근무병원],$J284))</f>
        <v/>
      </c>
      <c r="H284">
        <f>IF($J284="","",INDEX(명단표[급여지급병원(기준월)],$J284))</f>
        <v/>
      </c>
      <c r="I284">
        <f>IF($J284="","",INDEX(명단표[급여 판정 근거],$J284))</f>
        <v/>
      </c>
      <c r="J284" s="17">
        <f>IFERROR(MATCH(280,명단표[명단순번],0),"")</f>
        <v/>
      </c>
    </row>
    <row r="285">
      <c r="A285">
        <f>IF($J285="","",TEXT(급여기준월,"yyyy-mm"))</f>
        <v/>
      </c>
      <c r="B285">
        <f>IF($J285="","",INDEX(명단표[사번],$J285)&amp;"")</f>
        <v/>
      </c>
      <c r="C285">
        <f>IF($J285="","",INDEX(명단표[이름],$J285))</f>
        <v/>
      </c>
      <c r="D285">
        <f>IF($J285="","",INDEX(명단표[수련과목],$J285))</f>
        <v/>
      </c>
      <c r="E285">
        <f>IF($J285="","",INDEX(명단표[연차],$J285)&amp;"")</f>
        <v/>
      </c>
      <c r="F285">
        <f>IF($J285="","",INDEX(명단표[소속병원],$J285))</f>
        <v/>
      </c>
      <c r="G285">
        <f>IF($J285="","",INDEX(명단표[기준월 근무병원],$J285))</f>
        <v/>
      </c>
      <c r="H285">
        <f>IF($J285="","",INDEX(명단표[급여지급병원(기준월)],$J285))</f>
        <v/>
      </c>
      <c r="I285">
        <f>IF($J285="","",INDEX(명단표[급여 판정 근거],$J285))</f>
        <v/>
      </c>
      <c r="J285" s="17">
        <f>IFERROR(MATCH(281,명단표[명단순번],0),"")</f>
        <v/>
      </c>
    </row>
    <row r="286">
      <c r="A286">
        <f>IF($J286="","",TEXT(급여기준월,"yyyy-mm"))</f>
        <v/>
      </c>
      <c r="B286">
        <f>IF($J286="","",INDEX(명단표[사번],$J286)&amp;"")</f>
        <v/>
      </c>
      <c r="C286">
        <f>IF($J286="","",INDEX(명단표[이름],$J286))</f>
        <v/>
      </c>
      <c r="D286">
        <f>IF($J286="","",INDEX(명단표[수련과목],$J286))</f>
        <v/>
      </c>
      <c r="E286">
        <f>IF($J286="","",INDEX(명단표[연차],$J286)&amp;"")</f>
        <v/>
      </c>
      <c r="F286">
        <f>IF($J286="","",INDEX(명단표[소속병원],$J286))</f>
        <v/>
      </c>
      <c r="G286">
        <f>IF($J286="","",INDEX(명단표[기준월 근무병원],$J286))</f>
        <v/>
      </c>
      <c r="H286">
        <f>IF($J286="","",INDEX(명단표[급여지급병원(기준월)],$J286))</f>
        <v/>
      </c>
      <c r="I286">
        <f>IF($J286="","",INDEX(명단표[급여 판정 근거],$J286))</f>
        <v/>
      </c>
      <c r="J286" s="17">
        <f>IFERROR(MATCH(282,명단표[명단순번],0),"")</f>
        <v/>
      </c>
    </row>
    <row r="287">
      <c r="A287">
        <f>IF($J287="","",TEXT(급여기준월,"yyyy-mm"))</f>
        <v/>
      </c>
      <c r="B287">
        <f>IF($J287="","",INDEX(명단표[사번],$J287)&amp;"")</f>
        <v/>
      </c>
      <c r="C287">
        <f>IF($J287="","",INDEX(명단표[이름],$J287))</f>
        <v/>
      </c>
      <c r="D287">
        <f>IF($J287="","",INDEX(명단표[수련과목],$J287))</f>
        <v/>
      </c>
      <c r="E287">
        <f>IF($J287="","",INDEX(명단표[연차],$J287)&amp;"")</f>
        <v/>
      </c>
      <c r="F287">
        <f>IF($J287="","",INDEX(명단표[소속병원],$J287))</f>
        <v/>
      </c>
      <c r="G287">
        <f>IF($J287="","",INDEX(명단표[기준월 근무병원],$J287))</f>
        <v/>
      </c>
      <c r="H287">
        <f>IF($J287="","",INDEX(명단표[급여지급병원(기준월)],$J287))</f>
        <v/>
      </c>
      <c r="I287">
        <f>IF($J287="","",INDEX(명단표[급여 판정 근거],$J287))</f>
        <v/>
      </c>
      <c r="J287" s="17">
        <f>IFERROR(MATCH(283,명단표[명단순번],0),"")</f>
        <v/>
      </c>
    </row>
    <row r="288">
      <c r="A288">
        <f>IF($J288="","",TEXT(급여기준월,"yyyy-mm"))</f>
        <v/>
      </c>
      <c r="B288">
        <f>IF($J288="","",INDEX(명단표[사번],$J288)&amp;"")</f>
        <v/>
      </c>
      <c r="C288">
        <f>IF($J288="","",INDEX(명단표[이름],$J288))</f>
        <v/>
      </c>
      <c r="D288">
        <f>IF($J288="","",INDEX(명단표[수련과목],$J288))</f>
        <v/>
      </c>
      <c r="E288">
        <f>IF($J288="","",INDEX(명단표[연차],$J288)&amp;"")</f>
        <v/>
      </c>
      <c r="F288">
        <f>IF($J288="","",INDEX(명단표[소속병원],$J288))</f>
        <v/>
      </c>
      <c r="G288">
        <f>IF($J288="","",INDEX(명단표[기준월 근무병원],$J288))</f>
        <v/>
      </c>
      <c r="H288">
        <f>IF($J288="","",INDEX(명단표[급여지급병원(기준월)],$J288))</f>
        <v/>
      </c>
      <c r="I288">
        <f>IF($J288="","",INDEX(명단표[급여 판정 근거],$J288))</f>
        <v/>
      </c>
      <c r="J288" s="17">
        <f>IFERROR(MATCH(284,명단표[명단순번],0),"")</f>
        <v/>
      </c>
    </row>
    <row r="289">
      <c r="A289">
        <f>IF($J289="","",TEXT(급여기준월,"yyyy-mm"))</f>
        <v/>
      </c>
      <c r="B289">
        <f>IF($J289="","",INDEX(명단표[사번],$J289)&amp;"")</f>
        <v/>
      </c>
      <c r="C289">
        <f>IF($J289="","",INDEX(명단표[이름],$J289))</f>
        <v/>
      </c>
      <c r="D289">
        <f>IF($J289="","",INDEX(명단표[수련과목],$J289))</f>
        <v/>
      </c>
      <c r="E289">
        <f>IF($J289="","",INDEX(명단표[연차],$J289)&amp;"")</f>
        <v/>
      </c>
      <c r="F289">
        <f>IF($J289="","",INDEX(명단표[소속병원],$J289))</f>
        <v/>
      </c>
      <c r="G289">
        <f>IF($J289="","",INDEX(명단표[기준월 근무병원],$J289))</f>
        <v/>
      </c>
      <c r="H289">
        <f>IF($J289="","",INDEX(명단표[급여지급병원(기준월)],$J289))</f>
        <v/>
      </c>
      <c r="I289">
        <f>IF($J289="","",INDEX(명단표[급여 판정 근거],$J289))</f>
        <v/>
      </c>
      <c r="J289" s="17">
        <f>IFERROR(MATCH(285,명단표[명단순번],0),"")</f>
        <v/>
      </c>
    </row>
    <row r="290">
      <c r="A290">
        <f>IF($J290="","",TEXT(급여기준월,"yyyy-mm"))</f>
        <v/>
      </c>
      <c r="B290">
        <f>IF($J290="","",INDEX(명단표[사번],$J290)&amp;"")</f>
        <v/>
      </c>
      <c r="C290">
        <f>IF($J290="","",INDEX(명단표[이름],$J290))</f>
        <v/>
      </c>
      <c r="D290">
        <f>IF($J290="","",INDEX(명단표[수련과목],$J290))</f>
        <v/>
      </c>
      <c r="E290">
        <f>IF($J290="","",INDEX(명단표[연차],$J290)&amp;"")</f>
        <v/>
      </c>
      <c r="F290">
        <f>IF($J290="","",INDEX(명단표[소속병원],$J290))</f>
        <v/>
      </c>
      <c r="G290">
        <f>IF($J290="","",INDEX(명단표[기준월 근무병원],$J290))</f>
        <v/>
      </c>
      <c r="H290">
        <f>IF($J290="","",INDEX(명단표[급여지급병원(기준월)],$J290))</f>
        <v/>
      </c>
      <c r="I290">
        <f>IF($J290="","",INDEX(명단표[급여 판정 근거],$J290))</f>
        <v/>
      </c>
      <c r="J290" s="17">
        <f>IFERROR(MATCH(286,명단표[명단순번],0),"")</f>
        <v/>
      </c>
    </row>
    <row r="291">
      <c r="A291">
        <f>IF($J291="","",TEXT(급여기준월,"yyyy-mm"))</f>
        <v/>
      </c>
      <c r="B291">
        <f>IF($J291="","",INDEX(명단표[사번],$J291)&amp;"")</f>
        <v/>
      </c>
      <c r="C291">
        <f>IF($J291="","",INDEX(명단표[이름],$J291))</f>
        <v/>
      </c>
      <c r="D291">
        <f>IF($J291="","",INDEX(명단표[수련과목],$J291))</f>
        <v/>
      </c>
      <c r="E291">
        <f>IF($J291="","",INDEX(명단표[연차],$J291)&amp;"")</f>
        <v/>
      </c>
      <c r="F291">
        <f>IF($J291="","",INDEX(명단표[소속병원],$J291))</f>
        <v/>
      </c>
      <c r="G291">
        <f>IF($J291="","",INDEX(명단표[기준월 근무병원],$J291))</f>
        <v/>
      </c>
      <c r="H291">
        <f>IF($J291="","",INDEX(명단표[급여지급병원(기준월)],$J291))</f>
        <v/>
      </c>
      <c r="I291">
        <f>IF($J291="","",INDEX(명단표[급여 판정 근거],$J291))</f>
        <v/>
      </c>
      <c r="J291" s="17">
        <f>IFERROR(MATCH(287,명단표[명단순번],0),"")</f>
        <v/>
      </c>
    </row>
    <row r="292">
      <c r="A292">
        <f>IF($J292="","",TEXT(급여기준월,"yyyy-mm"))</f>
        <v/>
      </c>
      <c r="B292">
        <f>IF($J292="","",INDEX(명단표[사번],$J292)&amp;"")</f>
        <v/>
      </c>
      <c r="C292">
        <f>IF($J292="","",INDEX(명단표[이름],$J292))</f>
        <v/>
      </c>
      <c r="D292">
        <f>IF($J292="","",INDEX(명단표[수련과목],$J292))</f>
        <v/>
      </c>
      <c r="E292">
        <f>IF($J292="","",INDEX(명단표[연차],$J292)&amp;"")</f>
        <v/>
      </c>
      <c r="F292">
        <f>IF($J292="","",INDEX(명단표[소속병원],$J292))</f>
        <v/>
      </c>
      <c r="G292">
        <f>IF($J292="","",INDEX(명단표[기준월 근무병원],$J292))</f>
        <v/>
      </c>
      <c r="H292">
        <f>IF($J292="","",INDEX(명단표[급여지급병원(기준월)],$J292))</f>
        <v/>
      </c>
      <c r="I292">
        <f>IF($J292="","",INDEX(명단표[급여 판정 근거],$J292))</f>
        <v/>
      </c>
      <c r="J292" s="17">
        <f>IFERROR(MATCH(288,명단표[명단순번],0),"")</f>
        <v/>
      </c>
    </row>
    <row r="293">
      <c r="A293">
        <f>IF($J293="","",TEXT(급여기준월,"yyyy-mm"))</f>
        <v/>
      </c>
      <c r="B293">
        <f>IF($J293="","",INDEX(명단표[사번],$J293)&amp;"")</f>
        <v/>
      </c>
      <c r="C293">
        <f>IF($J293="","",INDEX(명단표[이름],$J293))</f>
        <v/>
      </c>
      <c r="D293">
        <f>IF($J293="","",INDEX(명단표[수련과목],$J293))</f>
        <v/>
      </c>
      <c r="E293">
        <f>IF($J293="","",INDEX(명단표[연차],$J293)&amp;"")</f>
        <v/>
      </c>
      <c r="F293">
        <f>IF($J293="","",INDEX(명단표[소속병원],$J293))</f>
        <v/>
      </c>
      <c r="G293">
        <f>IF($J293="","",INDEX(명단표[기준월 근무병원],$J293))</f>
        <v/>
      </c>
      <c r="H293">
        <f>IF($J293="","",INDEX(명단표[급여지급병원(기준월)],$J293))</f>
        <v/>
      </c>
      <c r="I293">
        <f>IF($J293="","",INDEX(명단표[급여 판정 근거],$J293))</f>
        <v/>
      </c>
      <c r="J293" s="17">
        <f>IFERROR(MATCH(289,명단표[명단순번],0),"")</f>
        <v/>
      </c>
    </row>
    <row r="294">
      <c r="A294">
        <f>IF($J294="","",TEXT(급여기준월,"yyyy-mm"))</f>
        <v/>
      </c>
      <c r="B294">
        <f>IF($J294="","",INDEX(명단표[사번],$J294)&amp;"")</f>
        <v/>
      </c>
      <c r="C294">
        <f>IF($J294="","",INDEX(명단표[이름],$J294))</f>
        <v/>
      </c>
      <c r="D294">
        <f>IF($J294="","",INDEX(명단표[수련과목],$J294))</f>
        <v/>
      </c>
      <c r="E294">
        <f>IF($J294="","",INDEX(명단표[연차],$J294)&amp;"")</f>
        <v/>
      </c>
      <c r="F294">
        <f>IF($J294="","",INDEX(명단표[소속병원],$J294))</f>
        <v/>
      </c>
      <c r="G294">
        <f>IF($J294="","",INDEX(명단표[기준월 근무병원],$J294))</f>
        <v/>
      </c>
      <c r="H294">
        <f>IF($J294="","",INDEX(명단표[급여지급병원(기준월)],$J294))</f>
        <v/>
      </c>
      <c r="I294">
        <f>IF($J294="","",INDEX(명단표[급여 판정 근거],$J294))</f>
        <v/>
      </c>
      <c r="J294" s="17">
        <f>IFERROR(MATCH(290,명단표[명단순번],0),"")</f>
        <v/>
      </c>
    </row>
    <row r="295">
      <c r="A295">
        <f>IF($J295="","",TEXT(급여기준월,"yyyy-mm"))</f>
        <v/>
      </c>
      <c r="B295">
        <f>IF($J295="","",INDEX(명단표[사번],$J295)&amp;"")</f>
        <v/>
      </c>
      <c r="C295">
        <f>IF($J295="","",INDEX(명단표[이름],$J295))</f>
        <v/>
      </c>
      <c r="D295">
        <f>IF($J295="","",INDEX(명단표[수련과목],$J295))</f>
        <v/>
      </c>
      <c r="E295">
        <f>IF($J295="","",INDEX(명단표[연차],$J295)&amp;"")</f>
        <v/>
      </c>
      <c r="F295">
        <f>IF($J295="","",INDEX(명단표[소속병원],$J295))</f>
        <v/>
      </c>
      <c r="G295">
        <f>IF($J295="","",INDEX(명단표[기준월 근무병원],$J295))</f>
        <v/>
      </c>
      <c r="H295">
        <f>IF($J295="","",INDEX(명단표[급여지급병원(기준월)],$J295))</f>
        <v/>
      </c>
      <c r="I295">
        <f>IF($J295="","",INDEX(명단표[급여 판정 근거],$J295))</f>
        <v/>
      </c>
      <c r="J295" s="17">
        <f>IFERROR(MATCH(291,명단표[명단순번],0),"")</f>
        <v/>
      </c>
    </row>
    <row r="296">
      <c r="A296">
        <f>IF($J296="","",TEXT(급여기준월,"yyyy-mm"))</f>
        <v/>
      </c>
      <c r="B296">
        <f>IF($J296="","",INDEX(명단표[사번],$J296)&amp;"")</f>
        <v/>
      </c>
      <c r="C296">
        <f>IF($J296="","",INDEX(명단표[이름],$J296))</f>
        <v/>
      </c>
      <c r="D296">
        <f>IF($J296="","",INDEX(명단표[수련과목],$J296))</f>
        <v/>
      </c>
      <c r="E296">
        <f>IF($J296="","",INDEX(명단표[연차],$J296)&amp;"")</f>
        <v/>
      </c>
      <c r="F296">
        <f>IF($J296="","",INDEX(명단표[소속병원],$J296))</f>
        <v/>
      </c>
      <c r="G296">
        <f>IF($J296="","",INDEX(명단표[기준월 근무병원],$J296))</f>
        <v/>
      </c>
      <c r="H296">
        <f>IF($J296="","",INDEX(명단표[급여지급병원(기준월)],$J296))</f>
        <v/>
      </c>
      <c r="I296">
        <f>IF($J296="","",INDEX(명단표[급여 판정 근거],$J296))</f>
        <v/>
      </c>
      <c r="J296" s="17">
        <f>IFERROR(MATCH(292,명단표[명단순번],0),"")</f>
        <v/>
      </c>
    </row>
    <row r="297">
      <c r="A297">
        <f>IF($J297="","",TEXT(급여기준월,"yyyy-mm"))</f>
        <v/>
      </c>
      <c r="B297">
        <f>IF($J297="","",INDEX(명단표[사번],$J297)&amp;"")</f>
        <v/>
      </c>
      <c r="C297">
        <f>IF($J297="","",INDEX(명단표[이름],$J297))</f>
        <v/>
      </c>
      <c r="D297">
        <f>IF($J297="","",INDEX(명단표[수련과목],$J297))</f>
        <v/>
      </c>
      <c r="E297">
        <f>IF($J297="","",INDEX(명단표[연차],$J297)&amp;"")</f>
        <v/>
      </c>
      <c r="F297">
        <f>IF($J297="","",INDEX(명단표[소속병원],$J297))</f>
        <v/>
      </c>
      <c r="G297">
        <f>IF($J297="","",INDEX(명단표[기준월 근무병원],$J297))</f>
        <v/>
      </c>
      <c r="H297">
        <f>IF($J297="","",INDEX(명단표[급여지급병원(기준월)],$J297))</f>
        <v/>
      </c>
      <c r="I297">
        <f>IF($J297="","",INDEX(명단표[급여 판정 근거],$J297))</f>
        <v/>
      </c>
      <c r="J297" s="17">
        <f>IFERROR(MATCH(293,명단표[명단순번],0),"")</f>
        <v/>
      </c>
    </row>
    <row r="298">
      <c r="A298">
        <f>IF($J298="","",TEXT(급여기준월,"yyyy-mm"))</f>
        <v/>
      </c>
      <c r="B298">
        <f>IF($J298="","",INDEX(명단표[사번],$J298)&amp;"")</f>
        <v/>
      </c>
      <c r="C298">
        <f>IF($J298="","",INDEX(명단표[이름],$J298))</f>
        <v/>
      </c>
      <c r="D298">
        <f>IF($J298="","",INDEX(명단표[수련과목],$J298))</f>
        <v/>
      </c>
      <c r="E298">
        <f>IF($J298="","",INDEX(명단표[연차],$J298)&amp;"")</f>
        <v/>
      </c>
      <c r="F298">
        <f>IF($J298="","",INDEX(명단표[소속병원],$J298))</f>
        <v/>
      </c>
      <c r="G298">
        <f>IF($J298="","",INDEX(명단표[기준월 근무병원],$J298))</f>
        <v/>
      </c>
      <c r="H298">
        <f>IF($J298="","",INDEX(명단표[급여지급병원(기준월)],$J298))</f>
        <v/>
      </c>
      <c r="I298">
        <f>IF($J298="","",INDEX(명단표[급여 판정 근거],$J298))</f>
        <v/>
      </c>
      <c r="J298" s="17">
        <f>IFERROR(MATCH(294,명단표[명단순번],0),"")</f>
        <v/>
      </c>
    </row>
    <row r="299">
      <c r="A299">
        <f>IF($J299="","",TEXT(급여기준월,"yyyy-mm"))</f>
        <v/>
      </c>
      <c r="B299">
        <f>IF($J299="","",INDEX(명단표[사번],$J299)&amp;"")</f>
        <v/>
      </c>
      <c r="C299">
        <f>IF($J299="","",INDEX(명단표[이름],$J299))</f>
        <v/>
      </c>
      <c r="D299">
        <f>IF($J299="","",INDEX(명단표[수련과목],$J299))</f>
        <v/>
      </c>
      <c r="E299">
        <f>IF($J299="","",INDEX(명단표[연차],$J299)&amp;"")</f>
        <v/>
      </c>
      <c r="F299">
        <f>IF($J299="","",INDEX(명단표[소속병원],$J299))</f>
        <v/>
      </c>
      <c r="G299">
        <f>IF($J299="","",INDEX(명단표[기준월 근무병원],$J299))</f>
        <v/>
      </c>
      <c r="H299">
        <f>IF($J299="","",INDEX(명단표[급여지급병원(기준월)],$J299))</f>
        <v/>
      </c>
      <c r="I299">
        <f>IF($J299="","",INDEX(명단표[급여 판정 근거],$J299))</f>
        <v/>
      </c>
      <c r="J299" s="17">
        <f>IFERROR(MATCH(295,명단표[명단순번],0),"")</f>
        <v/>
      </c>
    </row>
    <row r="300">
      <c r="A300">
        <f>IF($J300="","",TEXT(급여기준월,"yyyy-mm"))</f>
        <v/>
      </c>
      <c r="B300">
        <f>IF($J300="","",INDEX(명단표[사번],$J300)&amp;"")</f>
        <v/>
      </c>
      <c r="C300">
        <f>IF($J300="","",INDEX(명단표[이름],$J300))</f>
        <v/>
      </c>
      <c r="D300">
        <f>IF($J300="","",INDEX(명단표[수련과목],$J300))</f>
        <v/>
      </c>
      <c r="E300">
        <f>IF($J300="","",INDEX(명단표[연차],$J300)&amp;"")</f>
        <v/>
      </c>
      <c r="F300">
        <f>IF($J300="","",INDEX(명단표[소속병원],$J300))</f>
        <v/>
      </c>
      <c r="G300">
        <f>IF($J300="","",INDEX(명단표[기준월 근무병원],$J300))</f>
        <v/>
      </c>
      <c r="H300">
        <f>IF($J300="","",INDEX(명단표[급여지급병원(기준월)],$J300))</f>
        <v/>
      </c>
      <c r="I300">
        <f>IF($J300="","",INDEX(명단표[급여 판정 근거],$J300))</f>
        <v/>
      </c>
      <c r="J300" s="17">
        <f>IFERROR(MATCH(296,명단표[명단순번],0),"")</f>
        <v/>
      </c>
    </row>
    <row r="301">
      <c r="A301">
        <f>IF($J301="","",TEXT(급여기준월,"yyyy-mm"))</f>
        <v/>
      </c>
      <c r="B301">
        <f>IF($J301="","",INDEX(명단표[사번],$J301)&amp;"")</f>
        <v/>
      </c>
      <c r="C301">
        <f>IF($J301="","",INDEX(명단표[이름],$J301))</f>
        <v/>
      </c>
      <c r="D301">
        <f>IF($J301="","",INDEX(명단표[수련과목],$J301))</f>
        <v/>
      </c>
      <c r="E301">
        <f>IF($J301="","",INDEX(명단표[연차],$J301)&amp;"")</f>
        <v/>
      </c>
      <c r="F301">
        <f>IF($J301="","",INDEX(명단표[소속병원],$J301))</f>
        <v/>
      </c>
      <c r="G301">
        <f>IF($J301="","",INDEX(명단표[기준월 근무병원],$J301))</f>
        <v/>
      </c>
      <c r="H301">
        <f>IF($J301="","",INDEX(명단표[급여지급병원(기준월)],$J301))</f>
        <v/>
      </c>
      <c r="I301">
        <f>IF($J301="","",INDEX(명단표[급여 판정 근거],$J301))</f>
        <v/>
      </c>
      <c r="J301" s="17">
        <f>IFERROR(MATCH(297,명단표[명단순번],0),"")</f>
        <v/>
      </c>
    </row>
    <row r="302">
      <c r="A302">
        <f>IF($J302="","",TEXT(급여기준월,"yyyy-mm"))</f>
        <v/>
      </c>
      <c r="B302">
        <f>IF($J302="","",INDEX(명단표[사번],$J302)&amp;"")</f>
        <v/>
      </c>
      <c r="C302">
        <f>IF($J302="","",INDEX(명단표[이름],$J302))</f>
        <v/>
      </c>
      <c r="D302">
        <f>IF($J302="","",INDEX(명단표[수련과목],$J302))</f>
        <v/>
      </c>
      <c r="E302">
        <f>IF($J302="","",INDEX(명단표[연차],$J302)&amp;"")</f>
        <v/>
      </c>
      <c r="F302">
        <f>IF($J302="","",INDEX(명단표[소속병원],$J302))</f>
        <v/>
      </c>
      <c r="G302">
        <f>IF($J302="","",INDEX(명단표[기준월 근무병원],$J302))</f>
        <v/>
      </c>
      <c r="H302">
        <f>IF($J302="","",INDEX(명단표[급여지급병원(기준월)],$J302))</f>
        <v/>
      </c>
      <c r="I302">
        <f>IF($J302="","",INDEX(명단표[급여 판정 근거],$J302))</f>
        <v/>
      </c>
      <c r="J302" s="17">
        <f>IFERROR(MATCH(298,명단표[명단순번],0),"")</f>
        <v/>
      </c>
    </row>
    <row r="303">
      <c r="A303">
        <f>IF($J303="","",TEXT(급여기준월,"yyyy-mm"))</f>
        <v/>
      </c>
      <c r="B303">
        <f>IF($J303="","",INDEX(명단표[사번],$J303)&amp;"")</f>
        <v/>
      </c>
      <c r="C303">
        <f>IF($J303="","",INDEX(명단표[이름],$J303))</f>
        <v/>
      </c>
      <c r="D303">
        <f>IF($J303="","",INDEX(명단표[수련과목],$J303))</f>
        <v/>
      </c>
      <c r="E303">
        <f>IF($J303="","",INDEX(명단표[연차],$J303)&amp;"")</f>
        <v/>
      </c>
      <c r="F303">
        <f>IF($J303="","",INDEX(명단표[소속병원],$J303))</f>
        <v/>
      </c>
      <c r="G303">
        <f>IF($J303="","",INDEX(명단표[기준월 근무병원],$J303))</f>
        <v/>
      </c>
      <c r="H303">
        <f>IF($J303="","",INDEX(명단표[급여지급병원(기준월)],$J303))</f>
        <v/>
      </c>
      <c r="I303">
        <f>IF($J303="","",INDEX(명단표[급여 판정 근거],$J303))</f>
        <v/>
      </c>
      <c r="J303" s="17">
        <f>IFERROR(MATCH(299,명단표[명단순번],0),"")</f>
        <v/>
      </c>
    </row>
    <row r="304">
      <c r="A304">
        <f>IF($J304="","",TEXT(급여기준월,"yyyy-mm"))</f>
        <v/>
      </c>
      <c r="B304">
        <f>IF($J304="","",INDEX(명단표[사번],$J304)&amp;"")</f>
        <v/>
      </c>
      <c r="C304">
        <f>IF($J304="","",INDEX(명단표[이름],$J304))</f>
        <v/>
      </c>
      <c r="D304">
        <f>IF($J304="","",INDEX(명단표[수련과목],$J304))</f>
        <v/>
      </c>
      <c r="E304">
        <f>IF($J304="","",INDEX(명단표[연차],$J304)&amp;"")</f>
        <v/>
      </c>
      <c r="F304">
        <f>IF($J304="","",INDEX(명단표[소속병원],$J304))</f>
        <v/>
      </c>
      <c r="G304">
        <f>IF($J304="","",INDEX(명단표[기준월 근무병원],$J304))</f>
        <v/>
      </c>
      <c r="H304">
        <f>IF($J304="","",INDEX(명단표[급여지급병원(기준월)],$J304))</f>
        <v/>
      </c>
      <c r="I304">
        <f>IF($J304="","",INDEX(명단표[급여 판정 근거],$J304))</f>
        <v/>
      </c>
      <c r="J304" s="17">
        <f>IFERROR(MATCH(300,명단표[명단순번],0),"")</f>
        <v/>
      </c>
    </row>
    <row r="305">
      <c r="A305">
        <f>IF($J305="","",TEXT(급여기준월,"yyyy-mm"))</f>
        <v/>
      </c>
      <c r="B305">
        <f>IF($J305="","",INDEX(명단표[사번],$J305)&amp;"")</f>
        <v/>
      </c>
      <c r="C305">
        <f>IF($J305="","",INDEX(명단표[이름],$J305))</f>
        <v/>
      </c>
      <c r="D305">
        <f>IF($J305="","",INDEX(명단표[수련과목],$J305))</f>
        <v/>
      </c>
      <c r="E305">
        <f>IF($J305="","",INDEX(명단표[연차],$J305)&amp;"")</f>
        <v/>
      </c>
      <c r="F305">
        <f>IF($J305="","",INDEX(명단표[소속병원],$J305))</f>
        <v/>
      </c>
      <c r="G305">
        <f>IF($J305="","",INDEX(명단표[기준월 근무병원],$J305))</f>
        <v/>
      </c>
      <c r="H305">
        <f>IF($J305="","",INDEX(명단표[급여지급병원(기준월)],$J305))</f>
        <v/>
      </c>
      <c r="I305">
        <f>IF($J305="","",INDEX(명단표[급여 판정 근거],$J305))</f>
        <v/>
      </c>
      <c r="J305" s="17">
        <f>IFERROR(MATCH(301,명단표[명단순번],0),"")</f>
        <v/>
      </c>
    </row>
    <row r="306">
      <c r="A306">
        <f>IF($J306="","",TEXT(급여기준월,"yyyy-mm"))</f>
        <v/>
      </c>
      <c r="B306">
        <f>IF($J306="","",INDEX(명단표[사번],$J306)&amp;"")</f>
        <v/>
      </c>
      <c r="C306">
        <f>IF($J306="","",INDEX(명단표[이름],$J306))</f>
        <v/>
      </c>
      <c r="D306">
        <f>IF($J306="","",INDEX(명단표[수련과목],$J306))</f>
        <v/>
      </c>
      <c r="E306">
        <f>IF($J306="","",INDEX(명단표[연차],$J306)&amp;"")</f>
        <v/>
      </c>
      <c r="F306">
        <f>IF($J306="","",INDEX(명단표[소속병원],$J306))</f>
        <v/>
      </c>
      <c r="G306">
        <f>IF($J306="","",INDEX(명단표[기준월 근무병원],$J306))</f>
        <v/>
      </c>
      <c r="H306">
        <f>IF($J306="","",INDEX(명단표[급여지급병원(기준월)],$J306))</f>
        <v/>
      </c>
      <c r="I306">
        <f>IF($J306="","",INDEX(명단표[급여 판정 근거],$J306))</f>
        <v/>
      </c>
      <c r="J306" s="17">
        <f>IFERROR(MATCH(302,명단표[명단순번],0),"")</f>
        <v/>
      </c>
    </row>
    <row r="307">
      <c r="A307">
        <f>IF($J307="","",TEXT(급여기준월,"yyyy-mm"))</f>
        <v/>
      </c>
      <c r="B307">
        <f>IF($J307="","",INDEX(명단표[사번],$J307)&amp;"")</f>
        <v/>
      </c>
      <c r="C307">
        <f>IF($J307="","",INDEX(명단표[이름],$J307))</f>
        <v/>
      </c>
      <c r="D307">
        <f>IF($J307="","",INDEX(명단표[수련과목],$J307))</f>
        <v/>
      </c>
      <c r="E307">
        <f>IF($J307="","",INDEX(명단표[연차],$J307)&amp;"")</f>
        <v/>
      </c>
      <c r="F307">
        <f>IF($J307="","",INDEX(명단표[소속병원],$J307))</f>
        <v/>
      </c>
      <c r="G307">
        <f>IF($J307="","",INDEX(명단표[기준월 근무병원],$J307))</f>
        <v/>
      </c>
      <c r="H307">
        <f>IF($J307="","",INDEX(명단표[급여지급병원(기준월)],$J307))</f>
        <v/>
      </c>
      <c r="I307">
        <f>IF($J307="","",INDEX(명단표[급여 판정 근거],$J307))</f>
        <v/>
      </c>
      <c r="J307" s="17">
        <f>IFERROR(MATCH(303,명단표[명단순번],0),"")</f>
        <v/>
      </c>
    </row>
    <row r="308">
      <c r="A308">
        <f>IF($J308="","",TEXT(급여기준월,"yyyy-mm"))</f>
        <v/>
      </c>
      <c r="B308">
        <f>IF($J308="","",INDEX(명단표[사번],$J308)&amp;"")</f>
        <v/>
      </c>
      <c r="C308">
        <f>IF($J308="","",INDEX(명단표[이름],$J308))</f>
        <v/>
      </c>
      <c r="D308">
        <f>IF($J308="","",INDEX(명단표[수련과목],$J308))</f>
        <v/>
      </c>
      <c r="E308">
        <f>IF($J308="","",INDEX(명단표[연차],$J308)&amp;"")</f>
        <v/>
      </c>
      <c r="F308">
        <f>IF($J308="","",INDEX(명단표[소속병원],$J308))</f>
        <v/>
      </c>
      <c r="G308">
        <f>IF($J308="","",INDEX(명단표[기준월 근무병원],$J308))</f>
        <v/>
      </c>
      <c r="H308">
        <f>IF($J308="","",INDEX(명단표[급여지급병원(기준월)],$J308))</f>
        <v/>
      </c>
      <c r="I308">
        <f>IF($J308="","",INDEX(명단표[급여 판정 근거],$J308))</f>
        <v/>
      </c>
      <c r="J308" s="17">
        <f>IFERROR(MATCH(304,명단표[명단순번],0),"")</f>
        <v/>
      </c>
    </row>
    <row r="309">
      <c r="A309">
        <f>IF($J309="","",TEXT(급여기준월,"yyyy-mm"))</f>
        <v/>
      </c>
      <c r="B309">
        <f>IF($J309="","",INDEX(명단표[사번],$J309)&amp;"")</f>
        <v/>
      </c>
      <c r="C309">
        <f>IF($J309="","",INDEX(명단표[이름],$J309))</f>
        <v/>
      </c>
      <c r="D309">
        <f>IF($J309="","",INDEX(명단표[수련과목],$J309))</f>
        <v/>
      </c>
      <c r="E309">
        <f>IF($J309="","",INDEX(명단표[연차],$J309)&amp;"")</f>
        <v/>
      </c>
      <c r="F309">
        <f>IF($J309="","",INDEX(명단표[소속병원],$J309))</f>
        <v/>
      </c>
      <c r="G309">
        <f>IF($J309="","",INDEX(명단표[기준월 근무병원],$J309))</f>
        <v/>
      </c>
      <c r="H309">
        <f>IF($J309="","",INDEX(명단표[급여지급병원(기준월)],$J309))</f>
        <v/>
      </c>
      <c r="I309">
        <f>IF($J309="","",INDEX(명단표[급여 판정 근거],$J309))</f>
        <v/>
      </c>
      <c r="J309" s="17">
        <f>IFERROR(MATCH(305,명단표[명단순번],0),"")</f>
        <v/>
      </c>
    </row>
    <row r="310">
      <c r="A310">
        <f>IF($J310="","",TEXT(급여기준월,"yyyy-mm"))</f>
        <v/>
      </c>
      <c r="B310">
        <f>IF($J310="","",INDEX(명단표[사번],$J310)&amp;"")</f>
        <v/>
      </c>
      <c r="C310">
        <f>IF($J310="","",INDEX(명단표[이름],$J310))</f>
        <v/>
      </c>
      <c r="D310">
        <f>IF($J310="","",INDEX(명단표[수련과목],$J310))</f>
        <v/>
      </c>
      <c r="E310">
        <f>IF($J310="","",INDEX(명단표[연차],$J310)&amp;"")</f>
        <v/>
      </c>
      <c r="F310">
        <f>IF($J310="","",INDEX(명단표[소속병원],$J310))</f>
        <v/>
      </c>
      <c r="G310">
        <f>IF($J310="","",INDEX(명단표[기준월 근무병원],$J310))</f>
        <v/>
      </c>
      <c r="H310">
        <f>IF($J310="","",INDEX(명단표[급여지급병원(기준월)],$J310))</f>
        <v/>
      </c>
      <c r="I310">
        <f>IF($J310="","",INDEX(명단표[급여 판정 근거],$J310))</f>
        <v/>
      </c>
      <c r="J310" s="17">
        <f>IFERROR(MATCH(306,명단표[명단순번],0),"")</f>
        <v/>
      </c>
    </row>
    <row r="311">
      <c r="A311">
        <f>IF($J311="","",TEXT(급여기준월,"yyyy-mm"))</f>
        <v/>
      </c>
      <c r="B311">
        <f>IF($J311="","",INDEX(명단표[사번],$J311)&amp;"")</f>
        <v/>
      </c>
      <c r="C311">
        <f>IF($J311="","",INDEX(명단표[이름],$J311))</f>
        <v/>
      </c>
      <c r="D311">
        <f>IF($J311="","",INDEX(명단표[수련과목],$J311))</f>
        <v/>
      </c>
      <c r="E311">
        <f>IF($J311="","",INDEX(명단표[연차],$J311)&amp;"")</f>
        <v/>
      </c>
      <c r="F311">
        <f>IF($J311="","",INDEX(명단표[소속병원],$J311))</f>
        <v/>
      </c>
      <c r="G311">
        <f>IF($J311="","",INDEX(명단표[기준월 근무병원],$J311))</f>
        <v/>
      </c>
      <c r="H311">
        <f>IF($J311="","",INDEX(명단표[급여지급병원(기준월)],$J311))</f>
        <v/>
      </c>
      <c r="I311">
        <f>IF($J311="","",INDEX(명단표[급여 판정 근거],$J311))</f>
        <v/>
      </c>
      <c r="J311" s="17">
        <f>IFERROR(MATCH(307,명단표[명단순번],0),"")</f>
        <v/>
      </c>
    </row>
    <row r="312">
      <c r="A312">
        <f>IF($J312="","",TEXT(급여기준월,"yyyy-mm"))</f>
        <v/>
      </c>
      <c r="B312">
        <f>IF($J312="","",INDEX(명단표[사번],$J312)&amp;"")</f>
        <v/>
      </c>
      <c r="C312">
        <f>IF($J312="","",INDEX(명단표[이름],$J312))</f>
        <v/>
      </c>
      <c r="D312">
        <f>IF($J312="","",INDEX(명단표[수련과목],$J312))</f>
        <v/>
      </c>
      <c r="E312">
        <f>IF($J312="","",INDEX(명단표[연차],$J312)&amp;"")</f>
        <v/>
      </c>
      <c r="F312">
        <f>IF($J312="","",INDEX(명단표[소속병원],$J312))</f>
        <v/>
      </c>
      <c r="G312">
        <f>IF($J312="","",INDEX(명단표[기준월 근무병원],$J312))</f>
        <v/>
      </c>
      <c r="H312">
        <f>IF($J312="","",INDEX(명단표[급여지급병원(기준월)],$J312))</f>
        <v/>
      </c>
      <c r="I312">
        <f>IF($J312="","",INDEX(명단표[급여 판정 근거],$J312))</f>
        <v/>
      </c>
      <c r="J312" s="17">
        <f>IFERROR(MATCH(308,명단표[명단순번],0),"")</f>
        <v/>
      </c>
    </row>
    <row r="313">
      <c r="A313">
        <f>IF($J313="","",TEXT(급여기준월,"yyyy-mm"))</f>
        <v/>
      </c>
      <c r="B313">
        <f>IF($J313="","",INDEX(명단표[사번],$J313)&amp;"")</f>
        <v/>
      </c>
      <c r="C313">
        <f>IF($J313="","",INDEX(명단표[이름],$J313))</f>
        <v/>
      </c>
      <c r="D313">
        <f>IF($J313="","",INDEX(명단표[수련과목],$J313))</f>
        <v/>
      </c>
      <c r="E313">
        <f>IF($J313="","",INDEX(명단표[연차],$J313)&amp;"")</f>
        <v/>
      </c>
      <c r="F313">
        <f>IF($J313="","",INDEX(명단표[소속병원],$J313))</f>
        <v/>
      </c>
      <c r="G313">
        <f>IF($J313="","",INDEX(명단표[기준월 근무병원],$J313))</f>
        <v/>
      </c>
      <c r="H313">
        <f>IF($J313="","",INDEX(명단표[급여지급병원(기준월)],$J313))</f>
        <v/>
      </c>
      <c r="I313">
        <f>IF($J313="","",INDEX(명단표[급여 판정 근거],$J313))</f>
        <v/>
      </c>
      <c r="J313" s="17">
        <f>IFERROR(MATCH(309,명단표[명단순번],0),"")</f>
        <v/>
      </c>
    </row>
    <row r="314">
      <c r="A314">
        <f>IF($J314="","",TEXT(급여기준월,"yyyy-mm"))</f>
        <v/>
      </c>
      <c r="B314">
        <f>IF($J314="","",INDEX(명단표[사번],$J314)&amp;"")</f>
        <v/>
      </c>
      <c r="C314">
        <f>IF($J314="","",INDEX(명단표[이름],$J314))</f>
        <v/>
      </c>
      <c r="D314">
        <f>IF($J314="","",INDEX(명단표[수련과목],$J314))</f>
        <v/>
      </c>
      <c r="E314">
        <f>IF($J314="","",INDEX(명단표[연차],$J314)&amp;"")</f>
        <v/>
      </c>
      <c r="F314">
        <f>IF($J314="","",INDEX(명단표[소속병원],$J314))</f>
        <v/>
      </c>
      <c r="G314">
        <f>IF($J314="","",INDEX(명단표[기준월 근무병원],$J314))</f>
        <v/>
      </c>
      <c r="H314">
        <f>IF($J314="","",INDEX(명단표[급여지급병원(기준월)],$J314))</f>
        <v/>
      </c>
      <c r="I314">
        <f>IF($J314="","",INDEX(명단표[급여 판정 근거],$J314))</f>
        <v/>
      </c>
      <c r="J314" s="17">
        <f>IFERROR(MATCH(310,명단표[명단순번],0),"")</f>
        <v/>
      </c>
    </row>
    <row r="315">
      <c r="A315">
        <f>IF($J315="","",TEXT(급여기준월,"yyyy-mm"))</f>
        <v/>
      </c>
      <c r="B315">
        <f>IF($J315="","",INDEX(명단표[사번],$J315)&amp;"")</f>
        <v/>
      </c>
      <c r="C315">
        <f>IF($J315="","",INDEX(명단표[이름],$J315))</f>
        <v/>
      </c>
      <c r="D315">
        <f>IF($J315="","",INDEX(명단표[수련과목],$J315))</f>
        <v/>
      </c>
      <c r="E315">
        <f>IF($J315="","",INDEX(명단표[연차],$J315)&amp;"")</f>
        <v/>
      </c>
      <c r="F315">
        <f>IF($J315="","",INDEX(명단표[소속병원],$J315))</f>
        <v/>
      </c>
      <c r="G315">
        <f>IF($J315="","",INDEX(명단표[기준월 근무병원],$J315))</f>
        <v/>
      </c>
      <c r="H315">
        <f>IF($J315="","",INDEX(명단표[급여지급병원(기준월)],$J315))</f>
        <v/>
      </c>
      <c r="I315">
        <f>IF($J315="","",INDEX(명단표[급여 판정 근거],$J315))</f>
        <v/>
      </c>
      <c r="J315" s="17">
        <f>IFERROR(MATCH(311,명단표[명단순번],0),"")</f>
        <v/>
      </c>
    </row>
    <row r="316">
      <c r="A316">
        <f>IF($J316="","",TEXT(급여기준월,"yyyy-mm"))</f>
        <v/>
      </c>
      <c r="B316">
        <f>IF($J316="","",INDEX(명단표[사번],$J316)&amp;"")</f>
        <v/>
      </c>
      <c r="C316">
        <f>IF($J316="","",INDEX(명단표[이름],$J316))</f>
        <v/>
      </c>
      <c r="D316">
        <f>IF($J316="","",INDEX(명단표[수련과목],$J316))</f>
        <v/>
      </c>
      <c r="E316">
        <f>IF($J316="","",INDEX(명단표[연차],$J316)&amp;"")</f>
        <v/>
      </c>
      <c r="F316">
        <f>IF($J316="","",INDEX(명단표[소속병원],$J316))</f>
        <v/>
      </c>
      <c r="G316">
        <f>IF($J316="","",INDEX(명단표[기준월 근무병원],$J316))</f>
        <v/>
      </c>
      <c r="H316">
        <f>IF($J316="","",INDEX(명단표[급여지급병원(기준월)],$J316))</f>
        <v/>
      </c>
      <c r="I316">
        <f>IF($J316="","",INDEX(명단표[급여 판정 근거],$J316))</f>
        <v/>
      </c>
      <c r="J316" s="17">
        <f>IFERROR(MATCH(312,명단표[명단순번],0),"")</f>
        <v/>
      </c>
    </row>
    <row r="317">
      <c r="A317">
        <f>IF($J317="","",TEXT(급여기준월,"yyyy-mm"))</f>
        <v/>
      </c>
      <c r="B317">
        <f>IF($J317="","",INDEX(명단표[사번],$J317)&amp;"")</f>
        <v/>
      </c>
      <c r="C317">
        <f>IF($J317="","",INDEX(명단표[이름],$J317))</f>
        <v/>
      </c>
      <c r="D317">
        <f>IF($J317="","",INDEX(명단표[수련과목],$J317))</f>
        <v/>
      </c>
      <c r="E317">
        <f>IF($J317="","",INDEX(명단표[연차],$J317)&amp;"")</f>
        <v/>
      </c>
      <c r="F317">
        <f>IF($J317="","",INDEX(명단표[소속병원],$J317))</f>
        <v/>
      </c>
      <c r="G317">
        <f>IF($J317="","",INDEX(명단표[기준월 근무병원],$J317))</f>
        <v/>
      </c>
      <c r="H317">
        <f>IF($J317="","",INDEX(명단표[급여지급병원(기준월)],$J317))</f>
        <v/>
      </c>
      <c r="I317">
        <f>IF($J317="","",INDEX(명단표[급여 판정 근거],$J317))</f>
        <v/>
      </c>
      <c r="J317" s="17">
        <f>IFERROR(MATCH(313,명단표[명단순번],0),"")</f>
        <v/>
      </c>
    </row>
    <row r="318">
      <c r="A318">
        <f>IF($J318="","",TEXT(급여기준월,"yyyy-mm"))</f>
        <v/>
      </c>
      <c r="B318">
        <f>IF($J318="","",INDEX(명단표[사번],$J318)&amp;"")</f>
        <v/>
      </c>
      <c r="C318">
        <f>IF($J318="","",INDEX(명단표[이름],$J318))</f>
        <v/>
      </c>
      <c r="D318">
        <f>IF($J318="","",INDEX(명단표[수련과목],$J318))</f>
        <v/>
      </c>
      <c r="E318">
        <f>IF($J318="","",INDEX(명단표[연차],$J318)&amp;"")</f>
        <v/>
      </c>
      <c r="F318">
        <f>IF($J318="","",INDEX(명단표[소속병원],$J318))</f>
        <v/>
      </c>
      <c r="G318">
        <f>IF($J318="","",INDEX(명단표[기준월 근무병원],$J318))</f>
        <v/>
      </c>
      <c r="H318">
        <f>IF($J318="","",INDEX(명단표[급여지급병원(기준월)],$J318))</f>
        <v/>
      </c>
      <c r="I318">
        <f>IF($J318="","",INDEX(명단표[급여 판정 근거],$J318))</f>
        <v/>
      </c>
      <c r="J318" s="17">
        <f>IFERROR(MATCH(314,명단표[명단순번],0),"")</f>
        <v/>
      </c>
    </row>
    <row r="319">
      <c r="A319">
        <f>IF($J319="","",TEXT(급여기준월,"yyyy-mm"))</f>
        <v/>
      </c>
      <c r="B319">
        <f>IF($J319="","",INDEX(명단표[사번],$J319)&amp;"")</f>
        <v/>
      </c>
      <c r="C319">
        <f>IF($J319="","",INDEX(명단표[이름],$J319))</f>
        <v/>
      </c>
      <c r="D319">
        <f>IF($J319="","",INDEX(명단표[수련과목],$J319))</f>
        <v/>
      </c>
      <c r="E319">
        <f>IF($J319="","",INDEX(명단표[연차],$J319)&amp;"")</f>
        <v/>
      </c>
      <c r="F319">
        <f>IF($J319="","",INDEX(명단표[소속병원],$J319))</f>
        <v/>
      </c>
      <c r="G319">
        <f>IF($J319="","",INDEX(명단표[기준월 근무병원],$J319))</f>
        <v/>
      </c>
      <c r="H319">
        <f>IF($J319="","",INDEX(명단표[급여지급병원(기준월)],$J319))</f>
        <v/>
      </c>
      <c r="I319">
        <f>IF($J319="","",INDEX(명단표[급여 판정 근거],$J319))</f>
        <v/>
      </c>
      <c r="J319" s="17">
        <f>IFERROR(MATCH(315,명단표[명단순번],0),"")</f>
        <v/>
      </c>
    </row>
    <row r="320">
      <c r="A320">
        <f>IF($J320="","",TEXT(급여기준월,"yyyy-mm"))</f>
        <v/>
      </c>
      <c r="B320">
        <f>IF($J320="","",INDEX(명단표[사번],$J320)&amp;"")</f>
        <v/>
      </c>
      <c r="C320">
        <f>IF($J320="","",INDEX(명단표[이름],$J320))</f>
        <v/>
      </c>
      <c r="D320">
        <f>IF($J320="","",INDEX(명단표[수련과목],$J320))</f>
        <v/>
      </c>
      <c r="E320">
        <f>IF($J320="","",INDEX(명단표[연차],$J320)&amp;"")</f>
        <v/>
      </c>
      <c r="F320">
        <f>IF($J320="","",INDEX(명단표[소속병원],$J320))</f>
        <v/>
      </c>
      <c r="G320">
        <f>IF($J320="","",INDEX(명단표[기준월 근무병원],$J320))</f>
        <v/>
      </c>
      <c r="H320">
        <f>IF($J320="","",INDEX(명단표[급여지급병원(기준월)],$J320))</f>
        <v/>
      </c>
      <c r="I320">
        <f>IF($J320="","",INDEX(명단표[급여 판정 근거],$J320))</f>
        <v/>
      </c>
      <c r="J320" s="17">
        <f>IFERROR(MATCH(316,명단표[명단순번],0),"")</f>
        <v/>
      </c>
    </row>
    <row r="321">
      <c r="A321">
        <f>IF($J321="","",TEXT(급여기준월,"yyyy-mm"))</f>
        <v/>
      </c>
      <c r="B321">
        <f>IF($J321="","",INDEX(명단표[사번],$J321)&amp;"")</f>
        <v/>
      </c>
      <c r="C321">
        <f>IF($J321="","",INDEX(명단표[이름],$J321))</f>
        <v/>
      </c>
      <c r="D321">
        <f>IF($J321="","",INDEX(명단표[수련과목],$J321))</f>
        <v/>
      </c>
      <c r="E321">
        <f>IF($J321="","",INDEX(명단표[연차],$J321)&amp;"")</f>
        <v/>
      </c>
      <c r="F321">
        <f>IF($J321="","",INDEX(명단표[소속병원],$J321))</f>
        <v/>
      </c>
      <c r="G321">
        <f>IF($J321="","",INDEX(명단표[기준월 근무병원],$J321))</f>
        <v/>
      </c>
      <c r="H321">
        <f>IF($J321="","",INDEX(명단표[급여지급병원(기준월)],$J321))</f>
        <v/>
      </c>
      <c r="I321">
        <f>IF($J321="","",INDEX(명단표[급여 판정 근거],$J321))</f>
        <v/>
      </c>
      <c r="J321" s="17">
        <f>IFERROR(MATCH(317,명단표[명단순번],0),"")</f>
        <v/>
      </c>
    </row>
    <row r="322">
      <c r="A322">
        <f>IF($J322="","",TEXT(급여기준월,"yyyy-mm"))</f>
        <v/>
      </c>
      <c r="B322">
        <f>IF($J322="","",INDEX(명단표[사번],$J322)&amp;"")</f>
        <v/>
      </c>
      <c r="C322">
        <f>IF($J322="","",INDEX(명단표[이름],$J322))</f>
        <v/>
      </c>
      <c r="D322">
        <f>IF($J322="","",INDEX(명단표[수련과목],$J322))</f>
        <v/>
      </c>
      <c r="E322">
        <f>IF($J322="","",INDEX(명단표[연차],$J322)&amp;"")</f>
        <v/>
      </c>
      <c r="F322">
        <f>IF($J322="","",INDEX(명단표[소속병원],$J322))</f>
        <v/>
      </c>
      <c r="G322">
        <f>IF($J322="","",INDEX(명단표[기준월 근무병원],$J322))</f>
        <v/>
      </c>
      <c r="H322">
        <f>IF($J322="","",INDEX(명단표[급여지급병원(기준월)],$J322))</f>
        <v/>
      </c>
      <c r="I322">
        <f>IF($J322="","",INDEX(명단표[급여 판정 근거],$J322))</f>
        <v/>
      </c>
      <c r="J322" s="17">
        <f>IFERROR(MATCH(318,명단표[명단순번],0),"")</f>
        <v/>
      </c>
    </row>
    <row r="323">
      <c r="A323">
        <f>IF($J323="","",TEXT(급여기준월,"yyyy-mm"))</f>
        <v/>
      </c>
      <c r="B323">
        <f>IF($J323="","",INDEX(명단표[사번],$J323)&amp;"")</f>
        <v/>
      </c>
      <c r="C323">
        <f>IF($J323="","",INDEX(명단표[이름],$J323))</f>
        <v/>
      </c>
      <c r="D323">
        <f>IF($J323="","",INDEX(명단표[수련과목],$J323))</f>
        <v/>
      </c>
      <c r="E323">
        <f>IF($J323="","",INDEX(명단표[연차],$J323)&amp;"")</f>
        <v/>
      </c>
      <c r="F323">
        <f>IF($J323="","",INDEX(명단표[소속병원],$J323))</f>
        <v/>
      </c>
      <c r="G323">
        <f>IF($J323="","",INDEX(명단표[기준월 근무병원],$J323))</f>
        <v/>
      </c>
      <c r="H323">
        <f>IF($J323="","",INDEX(명단표[급여지급병원(기준월)],$J323))</f>
        <v/>
      </c>
      <c r="I323">
        <f>IF($J323="","",INDEX(명단표[급여 판정 근거],$J323))</f>
        <v/>
      </c>
      <c r="J323" s="17">
        <f>IFERROR(MATCH(319,명단표[명단순번],0),"")</f>
        <v/>
      </c>
    </row>
    <row r="324">
      <c r="A324">
        <f>IF($J324="","",TEXT(급여기준월,"yyyy-mm"))</f>
        <v/>
      </c>
      <c r="B324">
        <f>IF($J324="","",INDEX(명단표[사번],$J324)&amp;"")</f>
        <v/>
      </c>
      <c r="C324">
        <f>IF($J324="","",INDEX(명단표[이름],$J324))</f>
        <v/>
      </c>
      <c r="D324">
        <f>IF($J324="","",INDEX(명단표[수련과목],$J324))</f>
        <v/>
      </c>
      <c r="E324">
        <f>IF($J324="","",INDEX(명단표[연차],$J324)&amp;"")</f>
        <v/>
      </c>
      <c r="F324">
        <f>IF($J324="","",INDEX(명단표[소속병원],$J324))</f>
        <v/>
      </c>
      <c r="G324">
        <f>IF($J324="","",INDEX(명단표[기준월 근무병원],$J324))</f>
        <v/>
      </c>
      <c r="H324">
        <f>IF($J324="","",INDEX(명단표[급여지급병원(기준월)],$J324))</f>
        <v/>
      </c>
      <c r="I324">
        <f>IF($J324="","",INDEX(명단표[급여 판정 근거],$J324))</f>
        <v/>
      </c>
      <c r="J324" s="17">
        <f>IFERROR(MATCH(320,명단표[명단순번],0),"")</f>
        <v/>
      </c>
    </row>
    <row r="325">
      <c r="A325">
        <f>IF($J325="","",TEXT(급여기준월,"yyyy-mm"))</f>
        <v/>
      </c>
      <c r="B325">
        <f>IF($J325="","",INDEX(명단표[사번],$J325)&amp;"")</f>
        <v/>
      </c>
      <c r="C325">
        <f>IF($J325="","",INDEX(명단표[이름],$J325))</f>
        <v/>
      </c>
      <c r="D325">
        <f>IF($J325="","",INDEX(명단표[수련과목],$J325))</f>
        <v/>
      </c>
      <c r="E325">
        <f>IF($J325="","",INDEX(명단표[연차],$J325)&amp;"")</f>
        <v/>
      </c>
      <c r="F325">
        <f>IF($J325="","",INDEX(명단표[소속병원],$J325))</f>
        <v/>
      </c>
      <c r="G325">
        <f>IF($J325="","",INDEX(명단표[기준월 근무병원],$J325))</f>
        <v/>
      </c>
      <c r="H325">
        <f>IF($J325="","",INDEX(명단표[급여지급병원(기준월)],$J325))</f>
        <v/>
      </c>
      <c r="I325">
        <f>IF($J325="","",INDEX(명단표[급여 판정 근거],$J325))</f>
        <v/>
      </c>
      <c r="J325" s="17">
        <f>IFERROR(MATCH(321,명단표[명단순번],0),"")</f>
        <v/>
      </c>
    </row>
    <row r="326">
      <c r="A326">
        <f>IF($J326="","",TEXT(급여기준월,"yyyy-mm"))</f>
        <v/>
      </c>
      <c r="B326">
        <f>IF($J326="","",INDEX(명단표[사번],$J326)&amp;"")</f>
        <v/>
      </c>
      <c r="C326">
        <f>IF($J326="","",INDEX(명단표[이름],$J326))</f>
        <v/>
      </c>
      <c r="D326">
        <f>IF($J326="","",INDEX(명단표[수련과목],$J326))</f>
        <v/>
      </c>
      <c r="E326">
        <f>IF($J326="","",INDEX(명단표[연차],$J326)&amp;"")</f>
        <v/>
      </c>
      <c r="F326">
        <f>IF($J326="","",INDEX(명단표[소속병원],$J326))</f>
        <v/>
      </c>
      <c r="G326">
        <f>IF($J326="","",INDEX(명단표[기준월 근무병원],$J326))</f>
        <v/>
      </c>
      <c r="H326">
        <f>IF($J326="","",INDEX(명단표[급여지급병원(기준월)],$J326))</f>
        <v/>
      </c>
      <c r="I326">
        <f>IF($J326="","",INDEX(명단표[급여 판정 근거],$J326))</f>
        <v/>
      </c>
      <c r="J326" s="17">
        <f>IFERROR(MATCH(322,명단표[명단순번],0),"")</f>
        <v/>
      </c>
    </row>
    <row r="327">
      <c r="A327">
        <f>IF($J327="","",TEXT(급여기준월,"yyyy-mm"))</f>
        <v/>
      </c>
      <c r="B327">
        <f>IF($J327="","",INDEX(명단표[사번],$J327)&amp;"")</f>
        <v/>
      </c>
      <c r="C327">
        <f>IF($J327="","",INDEX(명단표[이름],$J327))</f>
        <v/>
      </c>
      <c r="D327">
        <f>IF($J327="","",INDEX(명단표[수련과목],$J327))</f>
        <v/>
      </c>
      <c r="E327">
        <f>IF($J327="","",INDEX(명단표[연차],$J327)&amp;"")</f>
        <v/>
      </c>
      <c r="F327">
        <f>IF($J327="","",INDEX(명단표[소속병원],$J327))</f>
        <v/>
      </c>
      <c r="G327">
        <f>IF($J327="","",INDEX(명단표[기준월 근무병원],$J327))</f>
        <v/>
      </c>
      <c r="H327">
        <f>IF($J327="","",INDEX(명단표[급여지급병원(기준월)],$J327))</f>
        <v/>
      </c>
      <c r="I327">
        <f>IF($J327="","",INDEX(명단표[급여 판정 근거],$J327))</f>
        <v/>
      </c>
      <c r="J327" s="17">
        <f>IFERROR(MATCH(323,명단표[명단순번],0),"")</f>
        <v/>
      </c>
    </row>
    <row r="328">
      <c r="A328">
        <f>IF($J328="","",TEXT(급여기준월,"yyyy-mm"))</f>
        <v/>
      </c>
      <c r="B328">
        <f>IF($J328="","",INDEX(명단표[사번],$J328)&amp;"")</f>
        <v/>
      </c>
      <c r="C328">
        <f>IF($J328="","",INDEX(명단표[이름],$J328))</f>
        <v/>
      </c>
      <c r="D328">
        <f>IF($J328="","",INDEX(명단표[수련과목],$J328))</f>
        <v/>
      </c>
      <c r="E328">
        <f>IF($J328="","",INDEX(명단표[연차],$J328)&amp;"")</f>
        <v/>
      </c>
      <c r="F328">
        <f>IF($J328="","",INDEX(명단표[소속병원],$J328))</f>
        <v/>
      </c>
      <c r="G328">
        <f>IF($J328="","",INDEX(명단표[기준월 근무병원],$J328))</f>
        <v/>
      </c>
      <c r="H328">
        <f>IF($J328="","",INDEX(명단표[급여지급병원(기준월)],$J328))</f>
        <v/>
      </c>
      <c r="I328">
        <f>IF($J328="","",INDEX(명단표[급여 판정 근거],$J328))</f>
        <v/>
      </c>
      <c r="J328" s="17">
        <f>IFERROR(MATCH(324,명단표[명단순번],0),"")</f>
        <v/>
      </c>
    </row>
    <row r="329">
      <c r="A329">
        <f>IF($J329="","",TEXT(급여기준월,"yyyy-mm"))</f>
        <v/>
      </c>
      <c r="B329">
        <f>IF($J329="","",INDEX(명단표[사번],$J329)&amp;"")</f>
        <v/>
      </c>
      <c r="C329">
        <f>IF($J329="","",INDEX(명단표[이름],$J329))</f>
        <v/>
      </c>
      <c r="D329">
        <f>IF($J329="","",INDEX(명단표[수련과목],$J329))</f>
        <v/>
      </c>
      <c r="E329">
        <f>IF($J329="","",INDEX(명단표[연차],$J329)&amp;"")</f>
        <v/>
      </c>
      <c r="F329">
        <f>IF($J329="","",INDEX(명단표[소속병원],$J329))</f>
        <v/>
      </c>
      <c r="G329">
        <f>IF($J329="","",INDEX(명단표[기준월 근무병원],$J329))</f>
        <v/>
      </c>
      <c r="H329">
        <f>IF($J329="","",INDEX(명단표[급여지급병원(기준월)],$J329))</f>
        <v/>
      </c>
      <c r="I329">
        <f>IF($J329="","",INDEX(명단표[급여 판정 근거],$J329))</f>
        <v/>
      </c>
      <c r="J329" s="17">
        <f>IFERROR(MATCH(325,명단표[명단순번],0),"")</f>
        <v/>
      </c>
    </row>
    <row r="330">
      <c r="A330">
        <f>IF($J330="","",TEXT(급여기준월,"yyyy-mm"))</f>
        <v/>
      </c>
      <c r="B330">
        <f>IF($J330="","",INDEX(명단표[사번],$J330)&amp;"")</f>
        <v/>
      </c>
      <c r="C330">
        <f>IF($J330="","",INDEX(명단표[이름],$J330))</f>
        <v/>
      </c>
      <c r="D330">
        <f>IF($J330="","",INDEX(명단표[수련과목],$J330))</f>
        <v/>
      </c>
      <c r="E330">
        <f>IF($J330="","",INDEX(명단표[연차],$J330)&amp;"")</f>
        <v/>
      </c>
      <c r="F330">
        <f>IF($J330="","",INDEX(명단표[소속병원],$J330))</f>
        <v/>
      </c>
      <c r="G330">
        <f>IF($J330="","",INDEX(명단표[기준월 근무병원],$J330))</f>
        <v/>
      </c>
      <c r="H330">
        <f>IF($J330="","",INDEX(명단표[급여지급병원(기준월)],$J330))</f>
        <v/>
      </c>
      <c r="I330">
        <f>IF($J330="","",INDEX(명단표[급여 판정 근거],$J330))</f>
        <v/>
      </c>
      <c r="J330" s="17">
        <f>IFERROR(MATCH(326,명단표[명단순번],0),"")</f>
        <v/>
      </c>
    </row>
    <row r="331">
      <c r="A331">
        <f>IF($J331="","",TEXT(급여기준월,"yyyy-mm"))</f>
        <v/>
      </c>
      <c r="B331">
        <f>IF($J331="","",INDEX(명단표[사번],$J331)&amp;"")</f>
        <v/>
      </c>
      <c r="C331">
        <f>IF($J331="","",INDEX(명단표[이름],$J331))</f>
        <v/>
      </c>
      <c r="D331">
        <f>IF($J331="","",INDEX(명단표[수련과목],$J331))</f>
        <v/>
      </c>
      <c r="E331">
        <f>IF($J331="","",INDEX(명단표[연차],$J331)&amp;"")</f>
        <v/>
      </c>
      <c r="F331">
        <f>IF($J331="","",INDEX(명단표[소속병원],$J331))</f>
        <v/>
      </c>
      <c r="G331">
        <f>IF($J331="","",INDEX(명단표[기준월 근무병원],$J331))</f>
        <v/>
      </c>
      <c r="H331">
        <f>IF($J331="","",INDEX(명단표[급여지급병원(기준월)],$J331))</f>
        <v/>
      </c>
      <c r="I331">
        <f>IF($J331="","",INDEX(명단표[급여 판정 근거],$J331))</f>
        <v/>
      </c>
      <c r="J331" s="17">
        <f>IFERROR(MATCH(327,명단표[명단순번],0),"")</f>
        <v/>
      </c>
    </row>
    <row r="332">
      <c r="A332">
        <f>IF($J332="","",TEXT(급여기준월,"yyyy-mm"))</f>
        <v/>
      </c>
      <c r="B332">
        <f>IF($J332="","",INDEX(명단표[사번],$J332)&amp;"")</f>
        <v/>
      </c>
      <c r="C332">
        <f>IF($J332="","",INDEX(명단표[이름],$J332))</f>
        <v/>
      </c>
      <c r="D332">
        <f>IF($J332="","",INDEX(명단표[수련과목],$J332))</f>
        <v/>
      </c>
      <c r="E332">
        <f>IF($J332="","",INDEX(명단표[연차],$J332)&amp;"")</f>
        <v/>
      </c>
      <c r="F332">
        <f>IF($J332="","",INDEX(명단표[소속병원],$J332))</f>
        <v/>
      </c>
      <c r="G332">
        <f>IF($J332="","",INDEX(명단표[기준월 근무병원],$J332))</f>
        <v/>
      </c>
      <c r="H332">
        <f>IF($J332="","",INDEX(명단표[급여지급병원(기준월)],$J332))</f>
        <v/>
      </c>
      <c r="I332">
        <f>IF($J332="","",INDEX(명단표[급여 판정 근거],$J332))</f>
        <v/>
      </c>
      <c r="J332" s="17">
        <f>IFERROR(MATCH(328,명단표[명단순번],0),"")</f>
        <v/>
      </c>
    </row>
    <row r="333">
      <c r="A333">
        <f>IF($J333="","",TEXT(급여기준월,"yyyy-mm"))</f>
        <v/>
      </c>
      <c r="B333">
        <f>IF($J333="","",INDEX(명단표[사번],$J333)&amp;"")</f>
        <v/>
      </c>
      <c r="C333">
        <f>IF($J333="","",INDEX(명단표[이름],$J333))</f>
        <v/>
      </c>
      <c r="D333">
        <f>IF($J333="","",INDEX(명단표[수련과목],$J333))</f>
        <v/>
      </c>
      <c r="E333">
        <f>IF($J333="","",INDEX(명단표[연차],$J333)&amp;"")</f>
        <v/>
      </c>
      <c r="F333">
        <f>IF($J333="","",INDEX(명단표[소속병원],$J333))</f>
        <v/>
      </c>
      <c r="G333">
        <f>IF($J333="","",INDEX(명단표[기준월 근무병원],$J333))</f>
        <v/>
      </c>
      <c r="H333">
        <f>IF($J333="","",INDEX(명단표[급여지급병원(기준월)],$J333))</f>
        <v/>
      </c>
      <c r="I333">
        <f>IF($J333="","",INDEX(명단표[급여 판정 근거],$J333))</f>
        <v/>
      </c>
      <c r="J333" s="17">
        <f>IFERROR(MATCH(329,명단표[명단순번],0),"")</f>
        <v/>
      </c>
    </row>
    <row r="334">
      <c r="A334">
        <f>IF($J334="","",TEXT(급여기준월,"yyyy-mm"))</f>
        <v/>
      </c>
      <c r="B334">
        <f>IF($J334="","",INDEX(명단표[사번],$J334)&amp;"")</f>
        <v/>
      </c>
      <c r="C334">
        <f>IF($J334="","",INDEX(명단표[이름],$J334))</f>
        <v/>
      </c>
      <c r="D334">
        <f>IF($J334="","",INDEX(명단표[수련과목],$J334))</f>
        <v/>
      </c>
      <c r="E334">
        <f>IF($J334="","",INDEX(명단표[연차],$J334)&amp;"")</f>
        <v/>
      </c>
      <c r="F334">
        <f>IF($J334="","",INDEX(명단표[소속병원],$J334))</f>
        <v/>
      </c>
      <c r="G334">
        <f>IF($J334="","",INDEX(명단표[기준월 근무병원],$J334))</f>
        <v/>
      </c>
      <c r="H334">
        <f>IF($J334="","",INDEX(명단표[급여지급병원(기준월)],$J334))</f>
        <v/>
      </c>
      <c r="I334">
        <f>IF($J334="","",INDEX(명단표[급여 판정 근거],$J334))</f>
        <v/>
      </c>
      <c r="J334" s="17">
        <f>IFERROR(MATCH(330,명단표[명단순번],0),"")</f>
        <v/>
      </c>
    </row>
    <row r="335">
      <c r="A335">
        <f>IF($J335="","",TEXT(급여기준월,"yyyy-mm"))</f>
        <v/>
      </c>
      <c r="B335">
        <f>IF($J335="","",INDEX(명단표[사번],$J335)&amp;"")</f>
        <v/>
      </c>
      <c r="C335">
        <f>IF($J335="","",INDEX(명단표[이름],$J335))</f>
        <v/>
      </c>
      <c r="D335">
        <f>IF($J335="","",INDEX(명단표[수련과목],$J335))</f>
        <v/>
      </c>
      <c r="E335">
        <f>IF($J335="","",INDEX(명단표[연차],$J335)&amp;"")</f>
        <v/>
      </c>
      <c r="F335">
        <f>IF($J335="","",INDEX(명단표[소속병원],$J335))</f>
        <v/>
      </c>
      <c r="G335">
        <f>IF($J335="","",INDEX(명단표[기준월 근무병원],$J335))</f>
        <v/>
      </c>
      <c r="H335">
        <f>IF($J335="","",INDEX(명단표[급여지급병원(기준월)],$J335))</f>
        <v/>
      </c>
      <c r="I335">
        <f>IF($J335="","",INDEX(명단표[급여 판정 근거],$J335))</f>
        <v/>
      </c>
      <c r="J335" s="17">
        <f>IFERROR(MATCH(331,명단표[명단순번],0),"")</f>
        <v/>
      </c>
    </row>
    <row r="336">
      <c r="A336">
        <f>IF($J336="","",TEXT(급여기준월,"yyyy-mm"))</f>
        <v/>
      </c>
      <c r="B336">
        <f>IF($J336="","",INDEX(명단표[사번],$J336)&amp;"")</f>
        <v/>
      </c>
      <c r="C336">
        <f>IF($J336="","",INDEX(명단표[이름],$J336))</f>
        <v/>
      </c>
      <c r="D336">
        <f>IF($J336="","",INDEX(명단표[수련과목],$J336))</f>
        <v/>
      </c>
      <c r="E336">
        <f>IF($J336="","",INDEX(명단표[연차],$J336)&amp;"")</f>
        <v/>
      </c>
      <c r="F336">
        <f>IF($J336="","",INDEX(명단표[소속병원],$J336))</f>
        <v/>
      </c>
      <c r="G336">
        <f>IF($J336="","",INDEX(명단표[기준월 근무병원],$J336))</f>
        <v/>
      </c>
      <c r="H336">
        <f>IF($J336="","",INDEX(명단표[급여지급병원(기준월)],$J336))</f>
        <v/>
      </c>
      <c r="I336">
        <f>IF($J336="","",INDEX(명단표[급여 판정 근거],$J336))</f>
        <v/>
      </c>
      <c r="J336" s="17">
        <f>IFERROR(MATCH(332,명단표[명단순번],0),"")</f>
        <v/>
      </c>
    </row>
    <row r="337">
      <c r="A337">
        <f>IF($J337="","",TEXT(급여기준월,"yyyy-mm"))</f>
        <v/>
      </c>
      <c r="B337">
        <f>IF($J337="","",INDEX(명단표[사번],$J337)&amp;"")</f>
        <v/>
      </c>
      <c r="C337">
        <f>IF($J337="","",INDEX(명단표[이름],$J337))</f>
        <v/>
      </c>
      <c r="D337">
        <f>IF($J337="","",INDEX(명단표[수련과목],$J337))</f>
        <v/>
      </c>
      <c r="E337">
        <f>IF($J337="","",INDEX(명단표[연차],$J337)&amp;"")</f>
        <v/>
      </c>
      <c r="F337">
        <f>IF($J337="","",INDEX(명단표[소속병원],$J337))</f>
        <v/>
      </c>
      <c r="G337">
        <f>IF($J337="","",INDEX(명단표[기준월 근무병원],$J337))</f>
        <v/>
      </c>
      <c r="H337">
        <f>IF($J337="","",INDEX(명단표[급여지급병원(기준월)],$J337))</f>
        <v/>
      </c>
      <c r="I337">
        <f>IF($J337="","",INDEX(명단표[급여 판정 근거],$J337))</f>
        <v/>
      </c>
      <c r="J337" s="17">
        <f>IFERROR(MATCH(333,명단표[명단순번],0),"")</f>
        <v/>
      </c>
    </row>
    <row r="338">
      <c r="A338">
        <f>IF($J338="","",TEXT(급여기준월,"yyyy-mm"))</f>
        <v/>
      </c>
      <c r="B338">
        <f>IF($J338="","",INDEX(명단표[사번],$J338)&amp;"")</f>
        <v/>
      </c>
      <c r="C338">
        <f>IF($J338="","",INDEX(명단표[이름],$J338))</f>
        <v/>
      </c>
      <c r="D338">
        <f>IF($J338="","",INDEX(명단표[수련과목],$J338))</f>
        <v/>
      </c>
      <c r="E338">
        <f>IF($J338="","",INDEX(명단표[연차],$J338)&amp;"")</f>
        <v/>
      </c>
      <c r="F338">
        <f>IF($J338="","",INDEX(명단표[소속병원],$J338))</f>
        <v/>
      </c>
      <c r="G338">
        <f>IF($J338="","",INDEX(명단표[기준월 근무병원],$J338))</f>
        <v/>
      </c>
      <c r="H338">
        <f>IF($J338="","",INDEX(명단표[급여지급병원(기준월)],$J338))</f>
        <v/>
      </c>
      <c r="I338">
        <f>IF($J338="","",INDEX(명단표[급여 판정 근거],$J338))</f>
        <v/>
      </c>
      <c r="J338" s="17">
        <f>IFERROR(MATCH(334,명단표[명단순번],0),"")</f>
        <v/>
      </c>
    </row>
    <row r="339">
      <c r="A339">
        <f>IF($J339="","",TEXT(급여기준월,"yyyy-mm"))</f>
        <v/>
      </c>
      <c r="B339">
        <f>IF($J339="","",INDEX(명단표[사번],$J339)&amp;"")</f>
        <v/>
      </c>
      <c r="C339">
        <f>IF($J339="","",INDEX(명단표[이름],$J339))</f>
        <v/>
      </c>
      <c r="D339">
        <f>IF($J339="","",INDEX(명단표[수련과목],$J339))</f>
        <v/>
      </c>
      <c r="E339">
        <f>IF($J339="","",INDEX(명단표[연차],$J339)&amp;"")</f>
        <v/>
      </c>
      <c r="F339">
        <f>IF($J339="","",INDEX(명단표[소속병원],$J339))</f>
        <v/>
      </c>
      <c r="G339">
        <f>IF($J339="","",INDEX(명단표[기준월 근무병원],$J339))</f>
        <v/>
      </c>
      <c r="H339">
        <f>IF($J339="","",INDEX(명단표[급여지급병원(기준월)],$J339))</f>
        <v/>
      </c>
      <c r="I339">
        <f>IF($J339="","",INDEX(명단표[급여 판정 근거],$J339))</f>
        <v/>
      </c>
      <c r="J339" s="17">
        <f>IFERROR(MATCH(335,명단표[명단순번],0),"")</f>
        <v/>
      </c>
    </row>
    <row r="340">
      <c r="A340">
        <f>IF($J340="","",TEXT(급여기준월,"yyyy-mm"))</f>
        <v/>
      </c>
      <c r="B340">
        <f>IF($J340="","",INDEX(명단표[사번],$J340)&amp;"")</f>
        <v/>
      </c>
      <c r="C340">
        <f>IF($J340="","",INDEX(명단표[이름],$J340))</f>
        <v/>
      </c>
      <c r="D340">
        <f>IF($J340="","",INDEX(명단표[수련과목],$J340))</f>
        <v/>
      </c>
      <c r="E340">
        <f>IF($J340="","",INDEX(명단표[연차],$J340)&amp;"")</f>
        <v/>
      </c>
      <c r="F340">
        <f>IF($J340="","",INDEX(명단표[소속병원],$J340))</f>
        <v/>
      </c>
      <c r="G340">
        <f>IF($J340="","",INDEX(명단표[기준월 근무병원],$J340))</f>
        <v/>
      </c>
      <c r="H340">
        <f>IF($J340="","",INDEX(명단표[급여지급병원(기준월)],$J340))</f>
        <v/>
      </c>
      <c r="I340">
        <f>IF($J340="","",INDEX(명단표[급여 판정 근거],$J340))</f>
        <v/>
      </c>
      <c r="J340" s="17">
        <f>IFERROR(MATCH(336,명단표[명단순번],0),"")</f>
        <v/>
      </c>
    </row>
    <row r="341">
      <c r="A341">
        <f>IF($J341="","",TEXT(급여기준월,"yyyy-mm"))</f>
        <v/>
      </c>
      <c r="B341">
        <f>IF($J341="","",INDEX(명단표[사번],$J341)&amp;"")</f>
        <v/>
      </c>
      <c r="C341">
        <f>IF($J341="","",INDEX(명단표[이름],$J341))</f>
        <v/>
      </c>
      <c r="D341">
        <f>IF($J341="","",INDEX(명단표[수련과목],$J341))</f>
        <v/>
      </c>
      <c r="E341">
        <f>IF($J341="","",INDEX(명단표[연차],$J341)&amp;"")</f>
        <v/>
      </c>
      <c r="F341">
        <f>IF($J341="","",INDEX(명단표[소속병원],$J341))</f>
        <v/>
      </c>
      <c r="G341">
        <f>IF($J341="","",INDEX(명단표[기준월 근무병원],$J341))</f>
        <v/>
      </c>
      <c r="H341">
        <f>IF($J341="","",INDEX(명단표[급여지급병원(기준월)],$J341))</f>
        <v/>
      </c>
      <c r="I341">
        <f>IF($J341="","",INDEX(명단표[급여 판정 근거],$J341))</f>
        <v/>
      </c>
      <c r="J341" s="17">
        <f>IFERROR(MATCH(337,명단표[명단순번],0),"")</f>
        <v/>
      </c>
    </row>
    <row r="342">
      <c r="A342">
        <f>IF($J342="","",TEXT(급여기준월,"yyyy-mm"))</f>
        <v/>
      </c>
      <c r="B342">
        <f>IF($J342="","",INDEX(명단표[사번],$J342)&amp;"")</f>
        <v/>
      </c>
      <c r="C342">
        <f>IF($J342="","",INDEX(명단표[이름],$J342))</f>
        <v/>
      </c>
      <c r="D342">
        <f>IF($J342="","",INDEX(명단표[수련과목],$J342))</f>
        <v/>
      </c>
      <c r="E342">
        <f>IF($J342="","",INDEX(명단표[연차],$J342)&amp;"")</f>
        <v/>
      </c>
      <c r="F342">
        <f>IF($J342="","",INDEX(명단표[소속병원],$J342))</f>
        <v/>
      </c>
      <c r="G342">
        <f>IF($J342="","",INDEX(명단표[기준월 근무병원],$J342))</f>
        <v/>
      </c>
      <c r="H342">
        <f>IF($J342="","",INDEX(명단표[급여지급병원(기준월)],$J342))</f>
        <v/>
      </c>
      <c r="I342">
        <f>IF($J342="","",INDEX(명단표[급여 판정 근거],$J342))</f>
        <v/>
      </c>
      <c r="J342" s="17">
        <f>IFERROR(MATCH(338,명단표[명단순번],0),"")</f>
        <v/>
      </c>
    </row>
    <row r="343">
      <c r="A343">
        <f>IF($J343="","",TEXT(급여기준월,"yyyy-mm"))</f>
        <v/>
      </c>
      <c r="B343">
        <f>IF($J343="","",INDEX(명단표[사번],$J343)&amp;"")</f>
        <v/>
      </c>
      <c r="C343">
        <f>IF($J343="","",INDEX(명단표[이름],$J343))</f>
        <v/>
      </c>
      <c r="D343">
        <f>IF($J343="","",INDEX(명단표[수련과목],$J343))</f>
        <v/>
      </c>
      <c r="E343">
        <f>IF($J343="","",INDEX(명단표[연차],$J343)&amp;"")</f>
        <v/>
      </c>
      <c r="F343">
        <f>IF($J343="","",INDEX(명단표[소속병원],$J343))</f>
        <v/>
      </c>
      <c r="G343">
        <f>IF($J343="","",INDEX(명단표[기준월 근무병원],$J343))</f>
        <v/>
      </c>
      <c r="H343">
        <f>IF($J343="","",INDEX(명단표[급여지급병원(기준월)],$J343))</f>
        <v/>
      </c>
      <c r="I343">
        <f>IF($J343="","",INDEX(명단표[급여 판정 근거],$J343))</f>
        <v/>
      </c>
      <c r="J343" s="17">
        <f>IFERROR(MATCH(339,명단표[명단순번],0),"")</f>
        <v/>
      </c>
    </row>
    <row r="344">
      <c r="A344">
        <f>IF($J344="","",TEXT(급여기준월,"yyyy-mm"))</f>
        <v/>
      </c>
      <c r="B344">
        <f>IF($J344="","",INDEX(명단표[사번],$J344)&amp;"")</f>
        <v/>
      </c>
      <c r="C344">
        <f>IF($J344="","",INDEX(명단표[이름],$J344))</f>
        <v/>
      </c>
      <c r="D344">
        <f>IF($J344="","",INDEX(명단표[수련과목],$J344))</f>
        <v/>
      </c>
      <c r="E344">
        <f>IF($J344="","",INDEX(명단표[연차],$J344)&amp;"")</f>
        <v/>
      </c>
      <c r="F344">
        <f>IF($J344="","",INDEX(명단표[소속병원],$J344))</f>
        <v/>
      </c>
      <c r="G344">
        <f>IF($J344="","",INDEX(명단표[기준월 근무병원],$J344))</f>
        <v/>
      </c>
      <c r="H344">
        <f>IF($J344="","",INDEX(명단표[급여지급병원(기준월)],$J344))</f>
        <v/>
      </c>
      <c r="I344">
        <f>IF($J344="","",INDEX(명단표[급여 판정 근거],$J344))</f>
        <v/>
      </c>
      <c r="J344" s="17">
        <f>IFERROR(MATCH(340,명단표[명단순번],0),"")</f>
        <v/>
      </c>
    </row>
    <row r="345">
      <c r="A345">
        <f>IF($J345="","",TEXT(급여기준월,"yyyy-mm"))</f>
        <v/>
      </c>
      <c r="B345">
        <f>IF($J345="","",INDEX(명단표[사번],$J345)&amp;"")</f>
        <v/>
      </c>
      <c r="C345">
        <f>IF($J345="","",INDEX(명단표[이름],$J345))</f>
        <v/>
      </c>
      <c r="D345">
        <f>IF($J345="","",INDEX(명단표[수련과목],$J345))</f>
        <v/>
      </c>
      <c r="E345">
        <f>IF($J345="","",INDEX(명단표[연차],$J345)&amp;"")</f>
        <v/>
      </c>
      <c r="F345">
        <f>IF($J345="","",INDEX(명단표[소속병원],$J345))</f>
        <v/>
      </c>
      <c r="G345">
        <f>IF($J345="","",INDEX(명단표[기준월 근무병원],$J345))</f>
        <v/>
      </c>
      <c r="H345">
        <f>IF($J345="","",INDEX(명단표[급여지급병원(기준월)],$J345))</f>
        <v/>
      </c>
      <c r="I345">
        <f>IF($J345="","",INDEX(명단표[급여 판정 근거],$J345))</f>
        <v/>
      </c>
      <c r="J345" s="17">
        <f>IFERROR(MATCH(341,명단표[명단순번],0),"")</f>
        <v/>
      </c>
    </row>
    <row r="346">
      <c r="A346">
        <f>IF($J346="","",TEXT(급여기준월,"yyyy-mm"))</f>
        <v/>
      </c>
      <c r="B346">
        <f>IF($J346="","",INDEX(명단표[사번],$J346)&amp;"")</f>
        <v/>
      </c>
      <c r="C346">
        <f>IF($J346="","",INDEX(명단표[이름],$J346))</f>
        <v/>
      </c>
      <c r="D346">
        <f>IF($J346="","",INDEX(명단표[수련과목],$J346))</f>
        <v/>
      </c>
      <c r="E346">
        <f>IF($J346="","",INDEX(명단표[연차],$J346)&amp;"")</f>
        <v/>
      </c>
      <c r="F346">
        <f>IF($J346="","",INDEX(명단표[소속병원],$J346))</f>
        <v/>
      </c>
      <c r="G346">
        <f>IF($J346="","",INDEX(명단표[기준월 근무병원],$J346))</f>
        <v/>
      </c>
      <c r="H346">
        <f>IF($J346="","",INDEX(명단표[급여지급병원(기준월)],$J346))</f>
        <v/>
      </c>
      <c r="I346">
        <f>IF($J346="","",INDEX(명단표[급여 판정 근거],$J346))</f>
        <v/>
      </c>
      <c r="J346" s="17">
        <f>IFERROR(MATCH(342,명단표[명단순번],0),"")</f>
        <v/>
      </c>
    </row>
    <row r="347">
      <c r="A347">
        <f>IF($J347="","",TEXT(급여기준월,"yyyy-mm"))</f>
        <v/>
      </c>
      <c r="B347">
        <f>IF($J347="","",INDEX(명단표[사번],$J347)&amp;"")</f>
        <v/>
      </c>
      <c r="C347">
        <f>IF($J347="","",INDEX(명단표[이름],$J347))</f>
        <v/>
      </c>
      <c r="D347">
        <f>IF($J347="","",INDEX(명단표[수련과목],$J347))</f>
        <v/>
      </c>
      <c r="E347">
        <f>IF($J347="","",INDEX(명단표[연차],$J347)&amp;"")</f>
        <v/>
      </c>
      <c r="F347">
        <f>IF($J347="","",INDEX(명단표[소속병원],$J347))</f>
        <v/>
      </c>
      <c r="G347">
        <f>IF($J347="","",INDEX(명단표[기준월 근무병원],$J347))</f>
        <v/>
      </c>
      <c r="H347">
        <f>IF($J347="","",INDEX(명단표[급여지급병원(기준월)],$J347))</f>
        <v/>
      </c>
      <c r="I347">
        <f>IF($J347="","",INDEX(명단표[급여 판정 근거],$J347))</f>
        <v/>
      </c>
      <c r="J347" s="17">
        <f>IFERROR(MATCH(343,명단표[명단순번],0),"")</f>
        <v/>
      </c>
    </row>
    <row r="348">
      <c r="A348">
        <f>IF($J348="","",TEXT(급여기준월,"yyyy-mm"))</f>
        <v/>
      </c>
      <c r="B348">
        <f>IF($J348="","",INDEX(명단표[사번],$J348)&amp;"")</f>
        <v/>
      </c>
      <c r="C348">
        <f>IF($J348="","",INDEX(명단표[이름],$J348))</f>
        <v/>
      </c>
      <c r="D348">
        <f>IF($J348="","",INDEX(명단표[수련과목],$J348))</f>
        <v/>
      </c>
      <c r="E348">
        <f>IF($J348="","",INDEX(명단표[연차],$J348)&amp;"")</f>
        <v/>
      </c>
      <c r="F348">
        <f>IF($J348="","",INDEX(명단표[소속병원],$J348))</f>
        <v/>
      </c>
      <c r="G348">
        <f>IF($J348="","",INDEX(명단표[기준월 근무병원],$J348))</f>
        <v/>
      </c>
      <c r="H348">
        <f>IF($J348="","",INDEX(명단표[급여지급병원(기준월)],$J348))</f>
        <v/>
      </c>
      <c r="I348">
        <f>IF($J348="","",INDEX(명단표[급여 판정 근거],$J348))</f>
        <v/>
      </c>
      <c r="J348" s="17">
        <f>IFERROR(MATCH(344,명단표[명단순번],0),"")</f>
        <v/>
      </c>
    </row>
    <row r="349">
      <c r="A349">
        <f>IF($J349="","",TEXT(급여기준월,"yyyy-mm"))</f>
        <v/>
      </c>
      <c r="B349">
        <f>IF($J349="","",INDEX(명단표[사번],$J349)&amp;"")</f>
        <v/>
      </c>
      <c r="C349">
        <f>IF($J349="","",INDEX(명단표[이름],$J349))</f>
        <v/>
      </c>
      <c r="D349">
        <f>IF($J349="","",INDEX(명단표[수련과목],$J349))</f>
        <v/>
      </c>
      <c r="E349">
        <f>IF($J349="","",INDEX(명단표[연차],$J349)&amp;"")</f>
        <v/>
      </c>
      <c r="F349">
        <f>IF($J349="","",INDEX(명단표[소속병원],$J349))</f>
        <v/>
      </c>
      <c r="G349">
        <f>IF($J349="","",INDEX(명단표[기준월 근무병원],$J349))</f>
        <v/>
      </c>
      <c r="H349">
        <f>IF($J349="","",INDEX(명단표[급여지급병원(기준월)],$J349))</f>
        <v/>
      </c>
      <c r="I349">
        <f>IF($J349="","",INDEX(명단표[급여 판정 근거],$J349))</f>
        <v/>
      </c>
      <c r="J349" s="17">
        <f>IFERROR(MATCH(345,명단표[명단순번],0),"")</f>
        <v/>
      </c>
    </row>
    <row r="350">
      <c r="A350">
        <f>IF($J350="","",TEXT(급여기준월,"yyyy-mm"))</f>
        <v/>
      </c>
      <c r="B350">
        <f>IF($J350="","",INDEX(명단표[사번],$J350)&amp;"")</f>
        <v/>
      </c>
      <c r="C350">
        <f>IF($J350="","",INDEX(명단표[이름],$J350))</f>
        <v/>
      </c>
      <c r="D350">
        <f>IF($J350="","",INDEX(명단표[수련과목],$J350))</f>
        <v/>
      </c>
      <c r="E350">
        <f>IF($J350="","",INDEX(명단표[연차],$J350)&amp;"")</f>
        <v/>
      </c>
      <c r="F350">
        <f>IF($J350="","",INDEX(명단표[소속병원],$J350))</f>
        <v/>
      </c>
      <c r="G350">
        <f>IF($J350="","",INDEX(명단표[기준월 근무병원],$J350))</f>
        <v/>
      </c>
      <c r="H350">
        <f>IF($J350="","",INDEX(명단표[급여지급병원(기준월)],$J350))</f>
        <v/>
      </c>
      <c r="I350">
        <f>IF($J350="","",INDEX(명단표[급여 판정 근거],$J350))</f>
        <v/>
      </c>
      <c r="J350" s="17">
        <f>IFERROR(MATCH(346,명단표[명단순번],0),"")</f>
        <v/>
      </c>
    </row>
    <row r="351">
      <c r="A351">
        <f>IF($J351="","",TEXT(급여기준월,"yyyy-mm"))</f>
        <v/>
      </c>
      <c r="B351">
        <f>IF($J351="","",INDEX(명단표[사번],$J351)&amp;"")</f>
        <v/>
      </c>
      <c r="C351">
        <f>IF($J351="","",INDEX(명단표[이름],$J351))</f>
        <v/>
      </c>
      <c r="D351">
        <f>IF($J351="","",INDEX(명단표[수련과목],$J351))</f>
        <v/>
      </c>
      <c r="E351">
        <f>IF($J351="","",INDEX(명단표[연차],$J351)&amp;"")</f>
        <v/>
      </c>
      <c r="F351">
        <f>IF($J351="","",INDEX(명단표[소속병원],$J351))</f>
        <v/>
      </c>
      <c r="G351">
        <f>IF($J351="","",INDEX(명단표[기준월 근무병원],$J351))</f>
        <v/>
      </c>
      <c r="H351">
        <f>IF($J351="","",INDEX(명단표[급여지급병원(기준월)],$J351))</f>
        <v/>
      </c>
      <c r="I351">
        <f>IF($J351="","",INDEX(명단표[급여 판정 근거],$J351))</f>
        <v/>
      </c>
      <c r="J351" s="17">
        <f>IFERROR(MATCH(347,명단표[명단순번],0),"")</f>
        <v/>
      </c>
    </row>
    <row r="352">
      <c r="A352">
        <f>IF($J352="","",TEXT(급여기준월,"yyyy-mm"))</f>
        <v/>
      </c>
      <c r="B352">
        <f>IF($J352="","",INDEX(명단표[사번],$J352)&amp;"")</f>
        <v/>
      </c>
      <c r="C352">
        <f>IF($J352="","",INDEX(명단표[이름],$J352))</f>
        <v/>
      </c>
      <c r="D352">
        <f>IF($J352="","",INDEX(명단표[수련과목],$J352))</f>
        <v/>
      </c>
      <c r="E352">
        <f>IF($J352="","",INDEX(명단표[연차],$J352)&amp;"")</f>
        <v/>
      </c>
      <c r="F352">
        <f>IF($J352="","",INDEX(명단표[소속병원],$J352))</f>
        <v/>
      </c>
      <c r="G352">
        <f>IF($J352="","",INDEX(명단표[기준월 근무병원],$J352))</f>
        <v/>
      </c>
      <c r="H352">
        <f>IF($J352="","",INDEX(명단표[급여지급병원(기준월)],$J352))</f>
        <v/>
      </c>
      <c r="I352">
        <f>IF($J352="","",INDEX(명단표[급여 판정 근거],$J352))</f>
        <v/>
      </c>
      <c r="J352" s="17">
        <f>IFERROR(MATCH(348,명단표[명단순번],0),"")</f>
        <v/>
      </c>
    </row>
    <row r="353">
      <c r="A353">
        <f>IF($J353="","",TEXT(급여기준월,"yyyy-mm"))</f>
        <v/>
      </c>
      <c r="B353">
        <f>IF($J353="","",INDEX(명단표[사번],$J353)&amp;"")</f>
        <v/>
      </c>
      <c r="C353">
        <f>IF($J353="","",INDEX(명단표[이름],$J353))</f>
        <v/>
      </c>
      <c r="D353">
        <f>IF($J353="","",INDEX(명단표[수련과목],$J353))</f>
        <v/>
      </c>
      <c r="E353">
        <f>IF($J353="","",INDEX(명단표[연차],$J353)&amp;"")</f>
        <v/>
      </c>
      <c r="F353">
        <f>IF($J353="","",INDEX(명단표[소속병원],$J353))</f>
        <v/>
      </c>
      <c r="G353">
        <f>IF($J353="","",INDEX(명단표[기준월 근무병원],$J353))</f>
        <v/>
      </c>
      <c r="H353">
        <f>IF($J353="","",INDEX(명단표[급여지급병원(기준월)],$J353))</f>
        <v/>
      </c>
      <c r="I353">
        <f>IF($J353="","",INDEX(명단표[급여 판정 근거],$J353))</f>
        <v/>
      </c>
      <c r="J353" s="17">
        <f>IFERROR(MATCH(349,명단표[명단순번],0),"")</f>
        <v/>
      </c>
    </row>
    <row r="354">
      <c r="A354">
        <f>IF($J354="","",TEXT(급여기준월,"yyyy-mm"))</f>
        <v/>
      </c>
      <c r="B354">
        <f>IF($J354="","",INDEX(명단표[사번],$J354)&amp;"")</f>
        <v/>
      </c>
      <c r="C354">
        <f>IF($J354="","",INDEX(명단표[이름],$J354))</f>
        <v/>
      </c>
      <c r="D354">
        <f>IF($J354="","",INDEX(명단표[수련과목],$J354))</f>
        <v/>
      </c>
      <c r="E354">
        <f>IF($J354="","",INDEX(명단표[연차],$J354)&amp;"")</f>
        <v/>
      </c>
      <c r="F354">
        <f>IF($J354="","",INDEX(명단표[소속병원],$J354))</f>
        <v/>
      </c>
      <c r="G354">
        <f>IF($J354="","",INDEX(명단표[기준월 근무병원],$J354))</f>
        <v/>
      </c>
      <c r="H354">
        <f>IF($J354="","",INDEX(명단표[급여지급병원(기준월)],$J354))</f>
        <v/>
      </c>
      <c r="I354">
        <f>IF($J354="","",INDEX(명단표[급여 판정 근거],$J354))</f>
        <v/>
      </c>
      <c r="J354" s="17">
        <f>IFERROR(MATCH(350,명단표[명단순번],0),"")</f>
        <v/>
      </c>
    </row>
    <row r="355">
      <c r="A355">
        <f>IF($J355="","",TEXT(급여기준월,"yyyy-mm"))</f>
        <v/>
      </c>
      <c r="B355">
        <f>IF($J355="","",INDEX(명단표[사번],$J355)&amp;"")</f>
        <v/>
      </c>
      <c r="C355">
        <f>IF($J355="","",INDEX(명단표[이름],$J355))</f>
        <v/>
      </c>
      <c r="D355">
        <f>IF($J355="","",INDEX(명단표[수련과목],$J355))</f>
        <v/>
      </c>
      <c r="E355">
        <f>IF($J355="","",INDEX(명단표[연차],$J355)&amp;"")</f>
        <v/>
      </c>
      <c r="F355">
        <f>IF($J355="","",INDEX(명단표[소속병원],$J355))</f>
        <v/>
      </c>
      <c r="G355">
        <f>IF($J355="","",INDEX(명단표[기준월 근무병원],$J355))</f>
        <v/>
      </c>
      <c r="H355">
        <f>IF($J355="","",INDEX(명단표[급여지급병원(기준월)],$J355))</f>
        <v/>
      </c>
      <c r="I355">
        <f>IF($J355="","",INDEX(명단표[급여 판정 근거],$J355))</f>
        <v/>
      </c>
      <c r="J355" s="17">
        <f>IFERROR(MATCH(351,명단표[명단순번],0),"")</f>
        <v/>
      </c>
    </row>
    <row r="356">
      <c r="A356">
        <f>IF($J356="","",TEXT(급여기준월,"yyyy-mm"))</f>
        <v/>
      </c>
      <c r="B356">
        <f>IF($J356="","",INDEX(명단표[사번],$J356)&amp;"")</f>
        <v/>
      </c>
      <c r="C356">
        <f>IF($J356="","",INDEX(명단표[이름],$J356))</f>
        <v/>
      </c>
      <c r="D356">
        <f>IF($J356="","",INDEX(명단표[수련과목],$J356))</f>
        <v/>
      </c>
      <c r="E356">
        <f>IF($J356="","",INDEX(명단표[연차],$J356)&amp;"")</f>
        <v/>
      </c>
      <c r="F356">
        <f>IF($J356="","",INDEX(명단표[소속병원],$J356))</f>
        <v/>
      </c>
      <c r="G356">
        <f>IF($J356="","",INDEX(명단표[기준월 근무병원],$J356))</f>
        <v/>
      </c>
      <c r="H356">
        <f>IF($J356="","",INDEX(명단표[급여지급병원(기준월)],$J356))</f>
        <v/>
      </c>
      <c r="I356">
        <f>IF($J356="","",INDEX(명단표[급여 판정 근거],$J356))</f>
        <v/>
      </c>
      <c r="J356" s="17">
        <f>IFERROR(MATCH(352,명단표[명단순번],0),"")</f>
        <v/>
      </c>
    </row>
    <row r="357">
      <c r="A357">
        <f>IF($J357="","",TEXT(급여기준월,"yyyy-mm"))</f>
        <v/>
      </c>
      <c r="B357">
        <f>IF($J357="","",INDEX(명단표[사번],$J357)&amp;"")</f>
        <v/>
      </c>
      <c r="C357">
        <f>IF($J357="","",INDEX(명단표[이름],$J357))</f>
        <v/>
      </c>
      <c r="D357">
        <f>IF($J357="","",INDEX(명단표[수련과목],$J357))</f>
        <v/>
      </c>
      <c r="E357">
        <f>IF($J357="","",INDEX(명단표[연차],$J357)&amp;"")</f>
        <v/>
      </c>
      <c r="F357">
        <f>IF($J357="","",INDEX(명단표[소속병원],$J357))</f>
        <v/>
      </c>
      <c r="G357">
        <f>IF($J357="","",INDEX(명단표[기준월 근무병원],$J357))</f>
        <v/>
      </c>
      <c r="H357">
        <f>IF($J357="","",INDEX(명단표[급여지급병원(기준월)],$J357))</f>
        <v/>
      </c>
      <c r="I357">
        <f>IF($J357="","",INDEX(명단표[급여 판정 근거],$J357))</f>
        <v/>
      </c>
      <c r="J357" s="17">
        <f>IFERROR(MATCH(353,명단표[명단순번],0),"")</f>
        <v/>
      </c>
    </row>
    <row r="358">
      <c r="A358">
        <f>IF($J358="","",TEXT(급여기준월,"yyyy-mm"))</f>
        <v/>
      </c>
      <c r="B358">
        <f>IF($J358="","",INDEX(명단표[사번],$J358)&amp;"")</f>
        <v/>
      </c>
      <c r="C358">
        <f>IF($J358="","",INDEX(명단표[이름],$J358))</f>
        <v/>
      </c>
      <c r="D358">
        <f>IF($J358="","",INDEX(명단표[수련과목],$J358))</f>
        <v/>
      </c>
      <c r="E358">
        <f>IF($J358="","",INDEX(명단표[연차],$J358)&amp;"")</f>
        <v/>
      </c>
      <c r="F358">
        <f>IF($J358="","",INDEX(명단표[소속병원],$J358))</f>
        <v/>
      </c>
      <c r="G358">
        <f>IF($J358="","",INDEX(명단표[기준월 근무병원],$J358))</f>
        <v/>
      </c>
      <c r="H358">
        <f>IF($J358="","",INDEX(명단표[급여지급병원(기준월)],$J358))</f>
        <v/>
      </c>
      <c r="I358">
        <f>IF($J358="","",INDEX(명단표[급여 판정 근거],$J358))</f>
        <v/>
      </c>
      <c r="J358" s="17">
        <f>IFERROR(MATCH(354,명단표[명단순번],0),"")</f>
        <v/>
      </c>
    </row>
    <row r="359">
      <c r="A359">
        <f>IF($J359="","",TEXT(급여기준월,"yyyy-mm"))</f>
        <v/>
      </c>
      <c r="B359">
        <f>IF($J359="","",INDEX(명단표[사번],$J359)&amp;"")</f>
        <v/>
      </c>
      <c r="C359">
        <f>IF($J359="","",INDEX(명단표[이름],$J359))</f>
        <v/>
      </c>
      <c r="D359">
        <f>IF($J359="","",INDEX(명단표[수련과목],$J359))</f>
        <v/>
      </c>
      <c r="E359">
        <f>IF($J359="","",INDEX(명단표[연차],$J359)&amp;"")</f>
        <v/>
      </c>
      <c r="F359">
        <f>IF($J359="","",INDEX(명단표[소속병원],$J359))</f>
        <v/>
      </c>
      <c r="G359">
        <f>IF($J359="","",INDEX(명단표[기준월 근무병원],$J359))</f>
        <v/>
      </c>
      <c r="H359">
        <f>IF($J359="","",INDEX(명단표[급여지급병원(기준월)],$J359))</f>
        <v/>
      </c>
      <c r="I359">
        <f>IF($J359="","",INDEX(명단표[급여 판정 근거],$J359))</f>
        <v/>
      </c>
      <c r="J359" s="17">
        <f>IFERROR(MATCH(355,명단표[명단순번],0),"")</f>
        <v/>
      </c>
    </row>
    <row r="360">
      <c r="A360">
        <f>IF($J360="","",TEXT(급여기준월,"yyyy-mm"))</f>
        <v/>
      </c>
      <c r="B360">
        <f>IF($J360="","",INDEX(명단표[사번],$J360)&amp;"")</f>
        <v/>
      </c>
      <c r="C360">
        <f>IF($J360="","",INDEX(명단표[이름],$J360))</f>
        <v/>
      </c>
      <c r="D360">
        <f>IF($J360="","",INDEX(명단표[수련과목],$J360))</f>
        <v/>
      </c>
      <c r="E360">
        <f>IF($J360="","",INDEX(명단표[연차],$J360)&amp;"")</f>
        <v/>
      </c>
      <c r="F360">
        <f>IF($J360="","",INDEX(명단표[소속병원],$J360))</f>
        <v/>
      </c>
      <c r="G360">
        <f>IF($J360="","",INDEX(명단표[기준월 근무병원],$J360))</f>
        <v/>
      </c>
      <c r="H360">
        <f>IF($J360="","",INDEX(명단표[급여지급병원(기준월)],$J360))</f>
        <v/>
      </c>
      <c r="I360">
        <f>IF($J360="","",INDEX(명단표[급여 판정 근거],$J360))</f>
        <v/>
      </c>
      <c r="J360" s="17">
        <f>IFERROR(MATCH(356,명단표[명단순번],0),"")</f>
        <v/>
      </c>
    </row>
    <row r="361">
      <c r="A361">
        <f>IF($J361="","",TEXT(급여기준월,"yyyy-mm"))</f>
        <v/>
      </c>
      <c r="B361">
        <f>IF($J361="","",INDEX(명단표[사번],$J361)&amp;"")</f>
        <v/>
      </c>
      <c r="C361">
        <f>IF($J361="","",INDEX(명단표[이름],$J361))</f>
        <v/>
      </c>
      <c r="D361">
        <f>IF($J361="","",INDEX(명단표[수련과목],$J361))</f>
        <v/>
      </c>
      <c r="E361">
        <f>IF($J361="","",INDEX(명단표[연차],$J361)&amp;"")</f>
        <v/>
      </c>
      <c r="F361">
        <f>IF($J361="","",INDEX(명단표[소속병원],$J361))</f>
        <v/>
      </c>
      <c r="G361">
        <f>IF($J361="","",INDEX(명단표[기준월 근무병원],$J361))</f>
        <v/>
      </c>
      <c r="H361">
        <f>IF($J361="","",INDEX(명단표[급여지급병원(기준월)],$J361))</f>
        <v/>
      </c>
      <c r="I361">
        <f>IF($J361="","",INDEX(명단표[급여 판정 근거],$J361))</f>
        <v/>
      </c>
      <c r="J361" s="17">
        <f>IFERROR(MATCH(357,명단표[명단순번],0),"")</f>
        <v/>
      </c>
    </row>
    <row r="362">
      <c r="A362">
        <f>IF($J362="","",TEXT(급여기준월,"yyyy-mm"))</f>
        <v/>
      </c>
      <c r="B362">
        <f>IF($J362="","",INDEX(명단표[사번],$J362)&amp;"")</f>
        <v/>
      </c>
      <c r="C362">
        <f>IF($J362="","",INDEX(명단표[이름],$J362))</f>
        <v/>
      </c>
      <c r="D362">
        <f>IF($J362="","",INDEX(명단표[수련과목],$J362))</f>
        <v/>
      </c>
      <c r="E362">
        <f>IF($J362="","",INDEX(명단표[연차],$J362)&amp;"")</f>
        <v/>
      </c>
      <c r="F362">
        <f>IF($J362="","",INDEX(명단표[소속병원],$J362))</f>
        <v/>
      </c>
      <c r="G362">
        <f>IF($J362="","",INDEX(명단표[기준월 근무병원],$J362))</f>
        <v/>
      </c>
      <c r="H362">
        <f>IF($J362="","",INDEX(명단표[급여지급병원(기준월)],$J362))</f>
        <v/>
      </c>
      <c r="I362">
        <f>IF($J362="","",INDEX(명단표[급여 판정 근거],$J362))</f>
        <v/>
      </c>
      <c r="J362" s="17">
        <f>IFERROR(MATCH(358,명단표[명단순번],0),"")</f>
        <v/>
      </c>
    </row>
    <row r="363">
      <c r="A363">
        <f>IF($J363="","",TEXT(급여기준월,"yyyy-mm"))</f>
        <v/>
      </c>
      <c r="B363">
        <f>IF($J363="","",INDEX(명단표[사번],$J363)&amp;"")</f>
        <v/>
      </c>
      <c r="C363">
        <f>IF($J363="","",INDEX(명단표[이름],$J363))</f>
        <v/>
      </c>
      <c r="D363">
        <f>IF($J363="","",INDEX(명단표[수련과목],$J363))</f>
        <v/>
      </c>
      <c r="E363">
        <f>IF($J363="","",INDEX(명단표[연차],$J363)&amp;"")</f>
        <v/>
      </c>
      <c r="F363">
        <f>IF($J363="","",INDEX(명단표[소속병원],$J363))</f>
        <v/>
      </c>
      <c r="G363">
        <f>IF($J363="","",INDEX(명단표[기준월 근무병원],$J363))</f>
        <v/>
      </c>
      <c r="H363">
        <f>IF($J363="","",INDEX(명단표[급여지급병원(기준월)],$J363))</f>
        <v/>
      </c>
      <c r="I363">
        <f>IF($J363="","",INDEX(명단표[급여 판정 근거],$J363))</f>
        <v/>
      </c>
      <c r="J363" s="17">
        <f>IFERROR(MATCH(359,명단표[명단순번],0),"")</f>
        <v/>
      </c>
    </row>
    <row r="364">
      <c r="A364">
        <f>IF($J364="","",TEXT(급여기준월,"yyyy-mm"))</f>
        <v/>
      </c>
      <c r="B364">
        <f>IF($J364="","",INDEX(명단표[사번],$J364)&amp;"")</f>
        <v/>
      </c>
      <c r="C364">
        <f>IF($J364="","",INDEX(명단표[이름],$J364))</f>
        <v/>
      </c>
      <c r="D364">
        <f>IF($J364="","",INDEX(명단표[수련과목],$J364))</f>
        <v/>
      </c>
      <c r="E364">
        <f>IF($J364="","",INDEX(명단표[연차],$J364)&amp;"")</f>
        <v/>
      </c>
      <c r="F364">
        <f>IF($J364="","",INDEX(명단표[소속병원],$J364))</f>
        <v/>
      </c>
      <c r="G364">
        <f>IF($J364="","",INDEX(명단표[기준월 근무병원],$J364))</f>
        <v/>
      </c>
      <c r="H364">
        <f>IF($J364="","",INDEX(명단표[급여지급병원(기준월)],$J364))</f>
        <v/>
      </c>
      <c r="I364">
        <f>IF($J364="","",INDEX(명단표[급여 판정 근거],$J364))</f>
        <v/>
      </c>
      <c r="J364" s="17">
        <f>IFERROR(MATCH(360,명단표[명단순번],0),"")</f>
        <v/>
      </c>
    </row>
    <row r="365">
      <c r="A365">
        <f>IF($J365="","",TEXT(급여기준월,"yyyy-mm"))</f>
        <v/>
      </c>
      <c r="B365">
        <f>IF($J365="","",INDEX(명단표[사번],$J365)&amp;"")</f>
        <v/>
      </c>
      <c r="C365">
        <f>IF($J365="","",INDEX(명단표[이름],$J365))</f>
        <v/>
      </c>
      <c r="D365">
        <f>IF($J365="","",INDEX(명단표[수련과목],$J365))</f>
        <v/>
      </c>
      <c r="E365">
        <f>IF($J365="","",INDEX(명단표[연차],$J365)&amp;"")</f>
        <v/>
      </c>
      <c r="F365">
        <f>IF($J365="","",INDEX(명단표[소속병원],$J365))</f>
        <v/>
      </c>
      <c r="G365">
        <f>IF($J365="","",INDEX(명단표[기준월 근무병원],$J365))</f>
        <v/>
      </c>
      <c r="H365">
        <f>IF($J365="","",INDEX(명단표[급여지급병원(기준월)],$J365))</f>
        <v/>
      </c>
      <c r="I365">
        <f>IF($J365="","",INDEX(명단표[급여 판정 근거],$J365))</f>
        <v/>
      </c>
      <c r="J365" s="17">
        <f>IFERROR(MATCH(361,명단표[명단순번],0),"")</f>
        <v/>
      </c>
    </row>
    <row r="366">
      <c r="A366">
        <f>IF($J366="","",TEXT(급여기준월,"yyyy-mm"))</f>
        <v/>
      </c>
      <c r="B366">
        <f>IF($J366="","",INDEX(명단표[사번],$J366)&amp;"")</f>
        <v/>
      </c>
      <c r="C366">
        <f>IF($J366="","",INDEX(명단표[이름],$J366))</f>
        <v/>
      </c>
      <c r="D366">
        <f>IF($J366="","",INDEX(명단표[수련과목],$J366))</f>
        <v/>
      </c>
      <c r="E366">
        <f>IF($J366="","",INDEX(명단표[연차],$J366)&amp;"")</f>
        <v/>
      </c>
      <c r="F366">
        <f>IF($J366="","",INDEX(명단표[소속병원],$J366))</f>
        <v/>
      </c>
      <c r="G366">
        <f>IF($J366="","",INDEX(명단표[기준월 근무병원],$J366))</f>
        <v/>
      </c>
      <c r="H366">
        <f>IF($J366="","",INDEX(명단표[급여지급병원(기준월)],$J366))</f>
        <v/>
      </c>
      <c r="I366">
        <f>IF($J366="","",INDEX(명단표[급여 판정 근거],$J366))</f>
        <v/>
      </c>
      <c r="J366" s="17">
        <f>IFERROR(MATCH(362,명단표[명단순번],0),"")</f>
        <v/>
      </c>
    </row>
    <row r="367">
      <c r="A367">
        <f>IF($J367="","",TEXT(급여기준월,"yyyy-mm"))</f>
        <v/>
      </c>
      <c r="B367">
        <f>IF($J367="","",INDEX(명단표[사번],$J367)&amp;"")</f>
        <v/>
      </c>
      <c r="C367">
        <f>IF($J367="","",INDEX(명단표[이름],$J367))</f>
        <v/>
      </c>
      <c r="D367">
        <f>IF($J367="","",INDEX(명단표[수련과목],$J367))</f>
        <v/>
      </c>
      <c r="E367">
        <f>IF($J367="","",INDEX(명단표[연차],$J367)&amp;"")</f>
        <v/>
      </c>
      <c r="F367">
        <f>IF($J367="","",INDEX(명단표[소속병원],$J367))</f>
        <v/>
      </c>
      <c r="G367">
        <f>IF($J367="","",INDEX(명단표[기준월 근무병원],$J367))</f>
        <v/>
      </c>
      <c r="H367">
        <f>IF($J367="","",INDEX(명단표[급여지급병원(기준월)],$J367))</f>
        <v/>
      </c>
      <c r="I367">
        <f>IF($J367="","",INDEX(명단표[급여 판정 근거],$J367))</f>
        <v/>
      </c>
      <c r="J367" s="17">
        <f>IFERROR(MATCH(363,명단표[명단순번],0),"")</f>
        <v/>
      </c>
    </row>
    <row r="368">
      <c r="A368">
        <f>IF($J368="","",TEXT(급여기준월,"yyyy-mm"))</f>
        <v/>
      </c>
      <c r="B368">
        <f>IF($J368="","",INDEX(명단표[사번],$J368)&amp;"")</f>
        <v/>
      </c>
      <c r="C368">
        <f>IF($J368="","",INDEX(명단표[이름],$J368))</f>
        <v/>
      </c>
      <c r="D368">
        <f>IF($J368="","",INDEX(명단표[수련과목],$J368))</f>
        <v/>
      </c>
      <c r="E368">
        <f>IF($J368="","",INDEX(명단표[연차],$J368)&amp;"")</f>
        <v/>
      </c>
      <c r="F368">
        <f>IF($J368="","",INDEX(명단표[소속병원],$J368))</f>
        <v/>
      </c>
      <c r="G368">
        <f>IF($J368="","",INDEX(명단표[기준월 근무병원],$J368))</f>
        <v/>
      </c>
      <c r="H368">
        <f>IF($J368="","",INDEX(명단표[급여지급병원(기준월)],$J368))</f>
        <v/>
      </c>
      <c r="I368">
        <f>IF($J368="","",INDEX(명단표[급여 판정 근거],$J368))</f>
        <v/>
      </c>
      <c r="J368" s="17">
        <f>IFERROR(MATCH(364,명단표[명단순번],0),"")</f>
        <v/>
      </c>
    </row>
    <row r="369">
      <c r="A369">
        <f>IF($J369="","",TEXT(급여기준월,"yyyy-mm"))</f>
        <v/>
      </c>
      <c r="B369">
        <f>IF($J369="","",INDEX(명단표[사번],$J369)&amp;"")</f>
        <v/>
      </c>
      <c r="C369">
        <f>IF($J369="","",INDEX(명단표[이름],$J369))</f>
        <v/>
      </c>
      <c r="D369">
        <f>IF($J369="","",INDEX(명단표[수련과목],$J369))</f>
        <v/>
      </c>
      <c r="E369">
        <f>IF($J369="","",INDEX(명단표[연차],$J369)&amp;"")</f>
        <v/>
      </c>
      <c r="F369">
        <f>IF($J369="","",INDEX(명단표[소속병원],$J369))</f>
        <v/>
      </c>
      <c r="G369">
        <f>IF($J369="","",INDEX(명단표[기준월 근무병원],$J369))</f>
        <v/>
      </c>
      <c r="H369">
        <f>IF($J369="","",INDEX(명단표[급여지급병원(기준월)],$J369))</f>
        <v/>
      </c>
      <c r="I369">
        <f>IF($J369="","",INDEX(명단표[급여 판정 근거],$J369))</f>
        <v/>
      </c>
      <c r="J369" s="17">
        <f>IFERROR(MATCH(365,명단표[명단순번],0),"")</f>
        <v/>
      </c>
    </row>
    <row r="370">
      <c r="A370">
        <f>IF($J370="","",TEXT(급여기준월,"yyyy-mm"))</f>
        <v/>
      </c>
      <c r="B370">
        <f>IF($J370="","",INDEX(명단표[사번],$J370)&amp;"")</f>
        <v/>
      </c>
      <c r="C370">
        <f>IF($J370="","",INDEX(명단표[이름],$J370))</f>
        <v/>
      </c>
      <c r="D370">
        <f>IF($J370="","",INDEX(명단표[수련과목],$J370))</f>
        <v/>
      </c>
      <c r="E370">
        <f>IF($J370="","",INDEX(명단표[연차],$J370)&amp;"")</f>
        <v/>
      </c>
      <c r="F370">
        <f>IF($J370="","",INDEX(명단표[소속병원],$J370))</f>
        <v/>
      </c>
      <c r="G370">
        <f>IF($J370="","",INDEX(명단표[기준월 근무병원],$J370))</f>
        <v/>
      </c>
      <c r="H370">
        <f>IF($J370="","",INDEX(명단표[급여지급병원(기준월)],$J370))</f>
        <v/>
      </c>
      <c r="I370">
        <f>IF($J370="","",INDEX(명단표[급여 판정 근거],$J370))</f>
        <v/>
      </c>
      <c r="J370" s="17">
        <f>IFERROR(MATCH(366,명단표[명단순번],0),"")</f>
        <v/>
      </c>
    </row>
    <row r="371">
      <c r="A371">
        <f>IF($J371="","",TEXT(급여기준월,"yyyy-mm"))</f>
        <v/>
      </c>
      <c r="B371">
        <f>IF($J371="","",INDEX(명단표[사번],$J371)&amp;"")</f>
        <v/>
      </c>
      <c r="C371">
        <f>IF($J371="","",INDEX(명단표[이름],$J371))</f>
        <v/>
      </c>
      <c r="D371">
        <f>IF($J371="","",INDEX(명단표[수련과목],$J371))</f>
        <v/>
      </c>
      <c r="E371">
        <f>IF($J371="","",INDEX(명단표[연차],$J371)&amp;"")</f>
        <v/>
      </c>
      <c r="F371">
        <f>IF($J371="","",INDEX(명단표[소속병원],$J371))</f>
        <v/>
      </c>
      <c r="G371">
        <f>IF($J371="","",INDEX(명단표[기준월 근무병원],$J371))</f>
        <v/>
      </c>
      <c r="H371">
        <f>IF($J371="","",INDEX(명단표[급여지급병원(기준월)],$J371))</f>
        <v/>
      </c>
      <c r="I371">
        <f>IF($J371="","",INDEX(명단표[급여 판정 근거],$J371))</f>
        <v/>
      </c>
      <c r="J371" s="17">
        <f>IFERROR(MATCH(367,명단표[명단순번],0),"")</f>
        <v/>
      </c>
    </row>
    <row r="372">
      <c r="A372">
        <f>IF($J372="","",TEXT(급여기준월,"yyyy-mm"))</f>
        <v/>
      </c>
      <c r="B372">
        <f>IF($J372="","",INDEX(명단표[사번],$J372)&amp;"")</f>
        <v/>
      </c>
      <c r="C372">
        <f>IF($J372="","",INDEX(명단표[이름],$J372))</f>
        <v/>
      </c>
      <c r="D372">
        <f>IF($J372="","",INDEX(명단표[수련과목],$J372))</f>
        <v/>
      </c>
      <c r="E372">
        <f>IF($J372="","",INDEX(명단표[연차],$J372)&amp;"")</f>
        <v/>
      </c>
      <c r="F372">
        <f>IF($J372="","",INDEX(명단표[소속병원],$J372))</f>
        <v/>
      </c>
      <c r="G372">
        <f>IF($J372="","",INDEX(명단표[기준월 근무병원],$J372))</f>
        <v/>
      </c>
      <c r="H372">
        <f>IF($J372="","",INDEX(명단표[급여지급병원(기준월)],$J372))</f>
        <v/>
      </c>
      <c r="I372">
        <f>IF($J372="","",INDEX(명단표[급여 판정 근거],$J372))</f>
        <v/>
      </c>
      <c r="J372" s="17">
        <f>IFERROR(MATCH(368,명단표[명단순번],0),"")</f>
        <v/>
      </c>
    </row>
    <row r="373">
      <c r="A373">
        <f>IF($J373="","",TEXT(급여기준월,"yyyy-mm"))</f>
        <v/>
      </c>
      <c r="B373">
        <f>IF($J373="","",INDEX(명단표[사번],$J373)&amp;"")</f>
        <v/>
      </c>
      <c r="C373">
        <f>IF($J373="","",INDEX(명단표[이름],$J373))</f>
        <v/>
      </c>
      <c r="D373">
        <f>IF($J373="","",INDEX(명단표[수련과목],$J373))</f>
        <v/>
      </c>
      <c r="E373">
        <f>IF($J373="","",INDEX(명단표[연차],$J373)&amp;"")</f>
        <v/>
      </c>
      <c r="F373">
        <f>IF($J373="","",INDEX(명단표[소속병원],$J373))</f>
        <v/>
      </c>
      <c r="G373">
        <f>IF($J373="","",INDEX(명단표[기준월 근무병원],$J373))</f>
        <v/>
      </c>
      <c r="H373">
        <f>IF($J373="","",INDEX(명단표[급여지급병원(기준월)],$J373))</f>
        <v/>
      </c>
      <c r="I373">
        <f>IF($J373="","",INDEX(명단표[급여 판정 근거],$J373))</f>
        <v/>
      </c>
      <c r="J373" s="17">
        <f>IFERROR(MATCH(369,명단표[명단순번],0),"")</f>
        <v/>
      </c>
    </row>
    <row r="374">
      <c r="A374">
        <f>IF($J374="","",TEXT(급여기준월,"yyyy-mm"))</f>
        <v/>
      </c>
      <c r="B374">
        <f>IF($J374="","",INDEX(명단표[사번],$J374)&amp;"")</f>
        <v/>
      </c>
      <c r="C374">
        <f>IF($J374="","",INDEX(명단표[이름],$J374))</f>
        <v/>
      </c>
      <c r="D374">
        <f>IF($J374="","",INDEX(명단표[수련과목],$J374))</f>
        <v/>
      </c>
      <c r="E374">
        <f>IF($J374="","",INDEX(명단표[연차],$J374)&amp;"")</f>
        <v/>
      </c>
      <c r="F374">
        <f>IF($J374="","",INDEX(명단표[소속병원],$J374))</f>
        <v/>
      </c>
      <c r="G374">
        <f>IF($J374="","",INDEX(명단표[기준월 근무병원],$J374))</f>
        <v/>
      </c>
      <c r="H374">
        <f>IF($J374="","",INDEX(명단표[급여지급병원(기준월)],$J374))</f>
        <v/>
      </c>
      <c r="I374">
        <f>IF($J374="","",INDEX(명단표[급여 판정 근거],$J374))</f>
        <v/>
      </c>
      <c r="J374" s="17">
        <f>IFERROR(MATCH(370,명단표[명단순번],0),"")</f>
        <v/>
      </c>
    </row>
    <row r="375">
      <c r="A375">
        <f>IF($J375="","",TEXT(급여기준월,"yyyy-mm"))</f>
        <v/>
      </c>
      <c r="B375">
        <f>IF($J375="","",INDEX(명단표[사번],$J375)&amp;"")</f>
        <v/>
      </c>
      <c r="C375">
        <f>IF($J375="","",INDEX(명단표[이름],$J375))</f>
        <v/>
      </c>
      <c r="D375">
        <f>IF($J375="","",INDEX(명단표[수련과목],$J375))</f>
        <v/>
      </c>
      <c r="E375">
        <f>IF($J375="","",INDEX(명단표[연차],$J375)&amp;"")</f>
        <v/>
      </c>
      <c r="F375">
        <f>IF($J375="","",INDEX(명단표[소속병원],$J375))</f>
        <v/>
      </c>
      <c r="G375">
        <f>IF($J375="","",INDEX(명단표[기준월 근무병원],$J375))</f>
        <v/>
      </c>
      <c r="H375">
        <f>IF($J375="","",INDEX(명단표[급여지급병원(기준월)],$J375))</f>
        <v/>
      </c>
      <c r="I375">
        <f>IF($J375="","",INDEX(명단표[급여 판정 근거],$J375))</f>
        <v/>
      </c>
      <c r="J375" s="17">
        <f>IFERROR(MATCH(371,명단표[명단순번],0),"")</f>
        <v/>
      </c>
    </row>
    <row r="376">
      <c r="A376">
        <f>IF($J376="","",TEXT(급여기준월,"yyyy-mm"))</f>
        <v/>
      </c>
      <c r="B376">
        <f>IF($J376="","",INDEX(명단표[사번],$J376)&amp;"")</f>
        <v/>
      </c>
      <c r="C376">
        <f>IF($J376="","",INDEX(명단표[이름],$J376))</f>
        <v/>
      </c>
      <c r="D376">
        <f>IF($J376="","",INDEX(명단표[수련과목],$J376))</f>
        <v/>
      </c>
      <c r="E376">
        <f>IF($J376="","",INDEX(명단표[연차],$J376)&amp;"")</f>
        <v/>
      </c>
      <c r="F376">
        <f>IF($J376="","",INDEX(명단표[소속병원],$J376))</f>
        <v/>
      </c>
      <c r="G376">
        <f>IF($J376="","",INDEX(명단표[기준월 근무병원],$J376))</f>
        <v/>
      </c>
      <c r="H376">
        <f>IF($J376="","",INDEX(명단표[급여지급병원(기준월)],$J376))</f>
        <v/>
      </c>
      <c r="I376">
        <f>IF($J376="","",INDEX(명단표[급여 판정 근거],$J376))</f>
        <v/>
      </c>
      <c r="J376" s="17">
        <f>IFERROR(MATCH(372,명단표[명단순번],0),"")</f>
        <v/>
      </c>
    </row>
    <row r="377">
      <c r="A377">
        <f>IF($J377="","",TEXT(급여기준월,"yyyy-mm"))</f>
        <v/>
      </c>
      <c r="B377">
        <f>IF($J377="","",INDEX(명단표[사번],$J377)&amp;"")</f>
        <v/>
      </c>
      <c r="C377">
        <f>IF($J377="","",INDEX(명단표[이름],$J377))</f>
        <v/>
      </c>
      <c r="D377">
        <f>IF($J377="","",INDEX(명단표[수련과목],$J377))</f>
        <v/>
      </c>
      <c r="E377">
        <f>IF($J377="","",INDEX(명단표[연차],$J377)&amp;"")</f>
        <v/>
      </c>
      <c r="F377">
        <f>IF($J377="","",INDEX(명단표[소속병원],$J377))</f>
        <v/>
      </c>
      <c r="G377">
        <f>IF($J377="","",INDEX(명단표[기준월 근무병원],$J377))</f>
        <v/>
      </c>
      <c r="H377">
        <f>IF($J377="","",INDEX(명단표[급여지급병원(기준월)],$J377))</f>
        <v/>
      </c>
      <c r="I377">
        <f>IF($J377="","",INDEX(명단표[급여 판정 근거],$J377))</f>
        <v/>
      </c>
      <c r="J377" s="17">
        <f>IFERROR(MATCH(373,명단표[명단순번],0),"")</f>
        <v/>
      </c>
    </row>
    <row r="378">
      <c r="A378">
        <f>IF($J378="","",TEXT(급여기준월,"yyyy-mm"))</f>
        <v/>
      </c>
      <c r="B378">
        <f>IF($J378="","",INDEX(명단표[사번],$J378)&amp;"")</f>
        <v/>
      </c>
      <c r="C378">
        <f>IF($J378="","",INDEX(명단표[이름],$J378))</f>
        <v/>
      </c>
      <c r="D378">
        <f>IF($J378="","",INDEX(명단표[수련과목],$J378))</f>
        <v/>
      </c>
      <c r="E378">
        <f>IF($J378="","",INDEX(명단표[연차],$J378)&amp;"")</f>
        <v/>
      </c>
      <c r="F378">
        <f>IF($J378="","",INDEX(명단표[소속병원],$J378))</f>
        <v/>
      </c>
      <c r="G378">
        <f>IF($J378="","",INDEX(명단표[기준월 근무병원],$J378))</f>
        <v/>
      </c>
      <c r="H378">
        <f>IF($J378="","",INDEX(명단표[급여지급병원(기준월)],$J378))</f>
        <v/>
      </c>
      <c r="I378">
        <f>IF($J378="","",INDEX(명단표[급여 판정 근거],$J378))</f>
        <v/>
      </c>
      <c r="J378" s="17">
        <f>IFERROR(MATCH(374,명단표[명단순번],0),"")</f>
        <v/>
      </c>
    </row>
    <row r="379">
      <c r="A379">
        <f>IF($J379="","",TEXT(급여기준월,"yyyy-mm"))</f>
        <v/>
      </c>
      <c r="B379">
        <f>IF($J379="","",INDEX(명단표[사번],$J379)&amp;"")</f>
        <v/>
      </c>
      <c r="C379">
        <f>IF($J379="","",INDEX(명단표[이름],$J379))</f>
        <v/>
      </c>
      <c r="D379">
        <f>IF($J379="","",INDEX(명단표[수련과목],$J379))</f>
        <v/>
      </c>
      <c r="E379">
        <f>IF($J379="","",INDEX(명단표[연차],$J379)&amp;"")</f>
        <v/>
      </c>
      <c r="F379">
        <f>IF($J379="","",INDEX(명단표[소속병원],$J379))</f>
        <v/>
      </c>
      <c r="G379">
        <f>IF($J379="","",INDEX(명단표[기준월 근무병원],$J379))</f>
        <v/>
      </c>
      <c r="H379">
        <f>IF($J379="","",INDEX(명단표[급여지급병원(기준월)],$J379))</f>
        <v/>
      </c>
      <c r="I379">
        <f>IF($J379="","",INDEX(명단표[급여 판정 근거],$J379))</f>
        <v/>
      </c>
      <c r="J379" s="17">
        <f>IFERROR(MATCH(375,명단표[명단순번],0),"")</f>
        <v/>
      </c>
    </row>
    <row r="380">
      <c r="A380">
        <f>IF($J380="","",TEXT(급여기준월,"yyyy-mm"))</f>
        <v/>
      </c>
      <c r="B380">
        <f>IF($J380="","",INDEX(명단표[사번],$J380)&amp;"")</f>
        <v/>
      </c>
      <c r="C380">
        <f>IF($J380="","",INDEX(명단표[이름],$J380))</f>
        <v/>
      </c>
      <c r="D380">
        <f>IF($J380="","",INDEX(명단표[수련과목],$J380))</f>
        <v/>
      </c>
      <c r="E380">
        <f>IF($J380="","",INDEX(명단표[연차],$J380)&amp;"")</f>
        <v/>
      </c>
      <c r="F380">
        <f>IF($J380="","",INDEX(명단표[소속병원],$J380))</f>
        <v/>
      </c>
      <c r="G380">
        <f>IF($J380="","",INDEX(명단표[기준월 근무병원],$J380))</f>
        <v/>
      </c>
      <c r="H380">
        <f>IF($J380="","",INDEX(명단표[급여지급병원(기준월)],$J380))</f>
        <v/>
      </c>
      <c r="I380">
        <f>IF($J380="","",INDEX(명단표[급여 판정 근거],$J380))</f>
        <v/>
      </c>
      <c r="J380" s="17">
        <f>IFERROR(MATCH(376,명단표[명단순번],0),"")</f>
        <v/>
      </c>
    </row>
    <row r="381">
      <c r="A381">
        <f>IF($J381="","",TEXT(급여기준월,"yyyy-mm"))</f>
        <v/>
      </c>
      <c r="B381">
        <f>IF($J381="","",INDEX(명단표[사번],$J381)&amp;"")</f>
        <v/>
      </c>
      <c r="C381">
        <f>IF($J381="","",INDEX(명단표[이름],$J381))</f>
        <v/>
      </c>
      <c r="D381">
        <f>IF($J381="","",INDEX(명단표[수련과목],$J381))</f>
        <v/>
      </c>
      <c r="E381">
        <f>IF($J381="","",INDEX(명단표[연차],$J381)&amp;"")</f>
        <v/>
      </c>
      <c r="F381">
        <f>IF($J381="","",INDEX(명단표[소속병원],$J381))</f>
        <v/>
      </c>
      <c r="G381">
        <f>IF($J381="","",INDEX(명단표[기준월 근무병원],$J381))</f>
        <v/>
      </c>
      <c r="H381">
        <f>IF($J381="","",INDEX(명단표[급여지급병원(기준월)],$J381))</f>
        <v/>
      </c>
      <c r="I381">
        <f>IF($J381="","",INDEX(명단표[급여 판정 근거],$J381))</f>
        <v/>
      </c>
      <c r="J381" s="17">
        <f>IFERROR(MATCH(377,명단표[명단순번],0),"")</f>
        <v/>
      </c>
    </row>
    <row r="382">
      <c r="A382">
        <f>IF($J382="","",TEXT(급여기준월,"yyyy-mm"))</f>
        <v/>
      </c>
      <c r="B382">
        <f>IF($J382="","",INDEX(명단표[사번],$J382)&amp;"")</f>
        <v/>
      </c>
      <c r="C382">
        <f>IF($J382="","",INDEX(명단표[이름],$J382))</f>
        <v/>
      </c>
      <c r="D382">
        <f>IF($J382="","",INDEX(명단표[수련과목],$J382))</f>
        <v/>
      </c>
      <c r="E382">
        <f>IF($J382="","",INDEX(명단표[연차],$J382)&amp;"")</f>
        <v/>
      </c>
      <c r="F382">
        <f>IF($J382="","",INDEX(명단표[소속병원],$J382))</f>
        <v/>
      </c>
      <c r="G382">
        <f>IF($J382="","",INDEX(명단표[기준월 근무병원],$J382))</f>
        <v/>
      </c>
      <c r="H382">
        <f>IF($J382="","",INDEX(명단표[급여지급병원(기준월)],$J382))</f>
        <v/>
      </c>
      <c r="I382">
        <f>IF($J382="","",INDEX(명단표[급여 판정 근거],$J382))</f>
        <v/>
      </c>
      <c r="J382" s="17">
        <f>IFERROR(MATCH(378,명단표[명단순번],0),"")</f>
        <v/>
      </c>
    </row>
    <row r="383">
      <c r="A383">
        <f>IF($J383="","",TEXT(급여기준월,"yyyy-mm"))</f>
        <v/>
      </c>
      <c r="B383">
        <f>IF($J383="","",INDEX(명단표[사번],$J383)&amp;"")</f>
        <v/>
      </c>
      <c r="C383">
        <f>IF($J383="","",INDEX(명단표[이름],$J383))</f>
        <v/>
      </c>
      <c r="D383">
        <f>IF($J383="","",INDEX(명단표[수련과목],$J383))</f>
        <v/>
      </c>
      <c r="E383">
        <f>IF($J383="","",INDEX(명단표[연차],$J383)&amp;"")</f>
        <v/>
      </c>
      <c r="F383">
        <f>IF($J383="","",INDEX(명단표[소속병원],$J383))</f>
        <v/>
      </c>
      <c r="G383">
        <f>IF($J383="","",INDEX(명단표[기준월 근무병원],$J383))</f>
        <v/>
      </c>
      <c r="H383">
        <f>IF($J383="","",INDEX(명단표[급여지급병원(기준월)],$J383))</f>
        <v/>
      </c>
      <c r="I383">
        <f>IF($J383="","",INDEX(명단표[급여 판정 근거],$J383))</f>
        <v/>
      </c>
      <c r="J383" s="17">
        <f>IFERROR(MATCH(379,명단표[명단순번],0),"")</f>
        <v/>
      </c>
    </row>
    <row r="384">
      <c r="A384">
        <f>IF($J384="","",TEXT(급여기준월,"yyyy-mm"))</f>
        <v/>
      </c>
      <c r="B384">
        <f>IF($J384="","",INDEX(명단표[사번],$J384)&amp;"")</f>
        <v/>
      </c>
      <c r="C384">
        <f>IF($J384="","",INDEX(명단표[이름],$J384))</f>
        <v/>
      </c>
      <c r="D384">
        <f>IF($J384="","",INDEX(명단표[수련과목],$J384))</f>
        <v/>
      </c>
      <c r="E384">
        <f>IF($J384="","",INDEX(명단표[연차],$J384)&amp;"")</f>
        <v/>
      </c>
      <c r="F384">
        <f>IF($J384="","",INDEX(명단표[소속병원],$J384))</f>
        <v/>
      </c>
      <c r="G384">
        <f>IF($J384="","",INDEX(명단표[기준월 근무병원],$J384))</f>
        <v/>
      </c>
      <c r="H384">
        <f>IF($J384="","",INDEX(명단표[급여지급병원(기준월)],$J384))</f>
        <v/>
      </c>
      <c r="I384">
        <f>IF($J384="","",INDEX(명단표[급여 판정 근거],$J384))</f>
        <v/>
      </c>
      <c r="J384" s="17">
        <f>IFERROR(MATCH(380,명단표[명단순번],0),"")</f>
        <v/>
      </c>
    </row>
    <row r="385">
      <c r="A385">
        <f>IF($J385="","",TEXT(급여기준월,"yyyy-mm"))</f>
        <v/>
      </c>
      <c r="B385">
        <f>IF($J385="","",INDEX(명단표[사번],$J385)&amp;"")</f>
        <v/>
      </c>
      <c r="C385">
        <f>IF($J385="","",INDEX(명단표[이름],$J385))</f>
        <v/>
      </c>
      <c r="D385">
        <f>IF($J385="","",INDEX(명단표[수련과목],$J385))</f>
        <v/>
      </c>
      <c r="E385">
        <f>IF($J385="","",INDEX(명단표[연차],$J385)&amp;"")</f>
        <v/>
      </c>
      <c r="F385">
        <f>IF($J385="","",INDEX(명단표[소속병원],$J385))</f>
        <v/>
      </c>
      <c r="G385">
        <f>IF($J385="","",INDEX(명단표[기준월 근무병원],$J385))</f>
        <v/>
      </c>
      <c r="H385">
        <f>IF($J385="","",INDEX(명단표[급여지급병원(기준월)],$J385))</f>
        <v/>
      </c>
      <c r="I385">
        <f>IF($J385="","",INDEX(명단표[급여 판정 근거],$J385))</f>
        <v/>
      </c>
      <c r="J385" s="17">
        <f>IFERROR(MATCH(381,명단표[명단순번],0),"")</f>
        <v/>
      </c>
    </row>
    <row r="386">
      <c r="A386">
        <f>IF($J386="","",TEXT(급여기준월,"yyyy-mm"))</f>
        <v/>
      </c>
      <c r="B386">
        <f>IF($J386="","",INDEX(명단표[사번],$J386)&amp;"")</f>
        <v/>
      </c>
      <c r="C386">
        <f>IF($J386="","",INDEX(명단표[이름],$J386))</f>
        <v/>
      </c>
      <c r="D386">
        <f>IF($J386="","",INDEX(명단표[수련과목],$J386))</f>
        <v/>
      </c>
      <c r="E386">
        <f>IF($J386="","",INDEX(명단표[연차],$J386)&amp;"")</f>
        <v/>
      </c>
      <c r="F386">
        <f>IF($J386="","",INDEX(명단표[소속병원],$J386))</f>
        <v/>
      </c>
      <c r="G386">
        <f>IF($J386="","",INDEX(명단표[기준월 근무병원],$J386))</f>
        <v/>
      </c>
      <c r="H386">
        <f>IF($J386="","",INDEX(명단표[급여지급병원(기준월)],$J386))</f>
        <v/>
      </c>
      <c r="I386">
        <f>IF($J386="","",INDEX(명단표[급여 판정 근거],$J386))</f>
        <v/>
      </c>
      <c r="J386" s="17">
        <f>IFERROR(MATCH(382,명단표[명단순번],0),"")</f>
        <v/>
      </c>
    </row>
    <row r="387">
      <c r="A387">
        <f>IF($J387="","",TEXT(급여기준월,"yyyy-mm"))</f>
        <v/>
      </c>
      <c r="B387">
        <f>IF($J387="","",INDEX(명단표[사번],$J387)&amp;"")</f>
        <v/>
      </c>
      <c r="C387">
        <f>IF($J387="","",INDEX(명단표[이름],$J387))</f>
        <v/>
      </c>
      <c r="D387">
        <f>IF($J387="","",INDEX(명단표[수련과목],$J387))</f>
        <v/>
      </c>
      <c r="E387">
        <f>IF($J387="","",INDEX(명단표[연차],$J387)&amp;"")</f>
        <v/>
      </c>
      <c r="F387">
        <f>IF($J387="","",INDEX(명단표[소속병원],$J387))</f>
        <v/>
      </c>
      <c r="G387">
        <f>IF($J387="","",INDEX(명단표[기준월 근무병원],$J387))</f>
        <v/>
      </c>
      <c r="H387">
        <f>IF($J387="","",INDEX(명단표[급여지급병원(기준월)],$J387))</f>
        <v/>
      </c>
      <c r="I387">
        <f>IF($J387="","",INDEX(명단표[급여 판정 근거],$J387))</f>
        <v/>
      </c>
      <c r="J387" s="17">
        <f>IFERROR(MATCH(383,명단표[명단순번],0),"")</f>
        <v/>
      </c>
    </row>
    <row r="388">
      <c r="A388">
        <f>IF($J388="","",TEXT(급여기준월,"yyyy-mm"))</f>
        <v/>
      </c>
      <c r="B388">
        <f>IF($J388="","",INDEX(명단표[사번],$J388)&amp;"")</f>
        <v/>
      </c>
      <c r="C388">
        <f>IF($J388="","",INDEX(명단표[이름],$J388))</f>
        <v/>
      </c>
      <c r="D388">
        <f>IF($J388="","",INDEX(명단표[수련과목],$J388))</f>
        <v/>
      </c>
      <c r="E388">
        <f>IF($J388="","",INDEX(명단표[연차],$J388)&amp;"")</f>
        <v/>
      </c>
      <c r="F388">
        <f>IF($J388="","",INDEX(명단표[소속병원],$J388))</f>
        <v/>
      </c>
      <c r="G388">
        <f>IF($J388="","",INDEX(명단표[기준월 근무병원],$J388))</f>
        <v/>
      </c>
      <c r="H388">
        <f>IF($J388="","",INDEX(명단표[급여지급병원(기준월)],$J388))</f>
        <v/>
      </c>
      <c r="I388">
        <f>IF($J388="","",INDEX(명단표[급여 판정 근거],$J388))</f>
        <v/>
      </c>
      <c r="J388" s="17">
        <f>IFERROR(MATCH(384,명단표[명단순번],0),"")</f>
        <v/>
      </c>
    </row>
    <row r="389">
      <c r="A389">
        <f>IF($J389="","",TEXT(급여기준월,"yyyy-mm"))</f>
        <v/>
      </c>
      <c r="B389">
        <f>IF($J389="","",INDEX(명단표[사번],$J389)&amp;"")</f>
        <v/>
      </c>
      <c r="C389">
        <f>IF($J389="","",INDEX(명단표[이름],$J389))</f>
        <v/>
      </c>
      <c r="D389">
        <f>IF($J389="","",INDEX(명단표[수련과목],$J389))</f>
        <v/>
      </c>
      <c r="E389">
        <f>IF($J389="","",INDEX(명단표[연차],$J389)&amp;"")</f>
        <v/>
      </c>
      <c r="F389">
        <f>IF($J389="","",INDEX(명단표[소속병원],$J389))</f>
        <v/>
      </c>
      <c r="G389">
        <f>IF($J389="","",INDEX(명단표[기준월 근무병원],$J389))</f>
        <v/>
      </c>
      <c r="H389">
        <f>IF($J389="","",INDEX(명단표[급여지급병원(기준월)],$J389))</f>
        <v/>
      </c>
      <c r="I389">
        <f>IF($J389="","",INDEX(명단표[급여 판정 근거],$J389))</f>
        <v/>
      </c>
      <c r="J389" s="17">
        <f>IFERROR(MATCH(385,명단표[명단순번],0),"")</f>
        <v/>
      </c>
    </row>
    <row r="390">
      <c r="A390">
        <f>IF($J390="","",TEXT(급여기준월,"yyyy-mm"))</f>
        <v/>
      </c>
      <c r="B390">
        <f>IF($J390="","",INDEX(명단표[사번],$J390)&amp;"")</f>
        <v/>
      </c>
      <c r="C390">
        <f>IF($J390="","",INDEX(명단표[이름],$J390))</f>
        <v/>
      </c>
      <c r="D390">
        <f>IF($J390="","",INDEX(명단표[수련과목],$J390))</f>
        <v/>
      </c>
      <c r="E390">
        <f>IF($J390="","",INDEX(명단표[연차],$J390)&amp;"")</f>
        <v/>
      </c>
      <c r="F390">
        <f>IF($J390="","",INDEX(명단표[소속병원],$J390))</f>
        <v/>
      </c>
      <c r="G390">
        <f>IF($J390="","",INDEX(명단표[기준월 근무병원],$J390))</f>
        <v/>
      </c>
      <c r="H390">
        <f>IF($J390="","",INDEX(명단표[급여지급병원(기준월)],$J390))</f>
        <v/>
      </c>
      <c r="I390">
        <f>IF($J390="","",INDEX(명단표[급여 판정 근거],$J390))</f>
        <v/>
      </c>
      <c r="J390" s="17">
        <f>IFERROR(MATCH(386,명단표[명단순번],0),"")</f>
        <v/>
      </c>
    </row>
    <row r="391">
      <c r="A391">
        <f>IF($J391="","",TEXT(급여기준월,"yyyy-mm"))</f>
        <v/>
      </c>
      <c r="B391">
        <f>IF($J391="","",INDEX(명단표[사번],$J391)&amp;"")</f>
        <v/>
      </c>
      <c r="C391">
        <f>IF($J391="","",INDEX(명단표[이름],$J391))</f>
        <v/>
      </c>
      <c r="D391">
        <f>IF($J391="","",INDEX(명단표[수련과목],$J391))</f>
        <v/>
      </c>
      <c r="E391">
        <f>IF($J391="","",INDEX(명단표[연차],$J391)&amp;"")</f>
        <v/>
      </c>
      <c r="F391">
        <f>IF($J391="","",INDEX(명단표[소속병원],$J391))</f>
        <v/>
      </c>
      <c r="G391">
        <f>IF($J391="","",INDEX(명단표[기준월 근무병원],$J391))</f>
        <v/>
      </c>
      <c r="H391">
        <f>IF($J391="","",INDEX(명단표[급여지급병원(기준월)],$J391))</f>
        <v/>
      </c>
      <c r="I391">
        <f>IF($J391="","",INDEX(명단표[급여 판정 근거],$J391))</f>
        <v/>
      </c>
      <c r="J391" s="17">
        <f>IFERROR(MATCH(387,명단표[명단순번],0),"")</f>
        <v/>
      </c>
    </row>
    <row r="392">
      <c r="A392">
        <f>IF($J392="","",TEXT(급여기준월,"yyyy-mm"))</f>
        <v/>
      </c>
      <c r="B392">
        <f>IF($J392="","",INDEX(명단표[사번],$J392)&amp;"")</f>
        <v/>
      </c>
      <c r="C392">
        <f>IF($J392="","",INDEX(명단표[이름],$J392))</f>
        <v/>
      </c>
      <c r="D392">
        <f>IF($J392="","",INDEX(명단표[수련과목],$J392))</f>
        <v/>
      </c>
      <c r="E392">
        <f>IF($J392="","",INDEX(명단표[연차],$J392)&amp;"")</f>
        <v/>
      </c>
      <c r="F392">
        <f>IF($J392="","",INDEX(명단표[소속병원],$J392))</f>
        <v/>
      </c>
      <c r="G392">
        <f>IF($J392="","",INDEX(명단표[기준월 근무병원],$J392))</f>
        <v/>
      </c>
      <c r="H392">
        <f>IF($J392="","",INDEX(명단표[급여지급병원(기준월)],$J392))</f>
        <v/>
      </c>
      <c r="I392">
        <f>IF($J392="","",INDEX(명단표[급여 판정 근거],$J392))</f>
        <v/>
      </c>
      <c r="J392" s="17">
        <f>IFERROR(MATCH(388,명단표[명단순번],0),"")</f>
        <v/>
      </c>
    </row>
    <row r="393">
      <c r="A393">
        <f>IF($J393="","",TEXT(급여기준월,"yyyy-mm"))</f>
        <v/>
      </c>
      <c r="B393">
        <f>IF($J393="","",INDEX(명단표[사번],$J393)&amp;"")</f>
        <v/>
      </c>
      <c r="C393">
        <f>IF($J393="","",INDEX(명단표[이름],$J393))</f>
        <v/>
      </c>
      <c r="D393">
        <f>IF($J393="","",INDEX(명단표[수련과목],$J393))</f>
        <v/>
      </c>
      <c r="E393">
        <f>IF($J393="","",INDEX(명단표[연차],$J393)&amp;"")</f>
        <v/>
      </c>
      <c r="F393">
        <f>IF($J393="","",INDEX(명단표[소속병원],$J393))</f>
        <v/>
      </c>
      <c r="G393">
        <f>IF($J393="","",INDEX(명단표[기준월 근무병원],$J393))</f>
        <v/>
      </c>
      <c r="H393">
        <f>IF($J393="","",INDEX(명단표[급여지급병원(기준월)],$J393))</f>
        <v/>
      </c>
      <c r="I393">
        <f>IF($J393="","",INDEX(명단표[급여 판정 근거],$J393))</f>
        <v/>
      </c>
      <c r="J393" s="17">
        <f>IFERROR(MATCH(389,명단표[명단순번],0),"")</f>
        <v/>
      </c>
    </row>
    <row r="394">
      <c r="A394">
        <f>IF($J394="","",TEXT(급여기준월,"yyyy-mm"))</f>
        <v/>
      </c>
      <c r="B394">
        <f>IF($J394="","",INDEX(명단표[사번],$J394)&amp;"")</f>
        <v/>
      </c>
      <c r="C394">
        <f>IF($J394="","",INDEX(명단표[이름],$J394))</f>
        <v/>
      </c>
      <c r="D394">
        <f>IF($J394="","",INDEX(명단표[수련과목],$J394))</f>
        <v/>
      </c>
      <c r="E394">
        <f>IF($J394="","",INDEX(명단표[연차],$J394)&amp;"")</f>
        <v/>
      </c>
      <c r="F394">
        <f>IF($J394="","",INDEX(명단표[소속병원],$J394))</f>
        <v/>
      </c>
      <c r="G394">
        <f>IF($J394="","",INDEX(명단표[기준월 근무병원],$J394))</f>
        <v/>
      </c>
      <c r="H394">
        <f>IF($J394="","",INDEX(명단표[급여지급병원(기준월)],$J394))</f>
        <v/>
      </c>
      <c r="I394">
        <f>IF($J394="","",INDEX(명단표[급여 판정 근거],$J394))</f>
        <v/>
      </c>
      <c r="J394" s="17">
        <f>IFERROR(MATCH(390,명단표[명단순번],0),"")</f>
        <v/>
      </c>
    </row>
    <row r="395">
      <c r="A395">
        <f>IF($J395="","",TEXT(급여기준월,"yyyy-mm"))</f>
        <v/>
      </c>
      <c r="B395">
        <f>IF($J395="","",INDEX(명단표[사번],$J395)&amp;"")</f>
        <v/>
      </c>
      <c r="C395">
        <f>IF($J395="","",INDEX(명단표[이름],$J395))</f>
        <v/>
      </c>
      <c r="D395">
        <f>IF($J395="","",INDEX(명단표[수련과목],$J395))</f>
        <v/>
      </c>
      <c r="E395">
        <f>IF($J395="","",INDEX(명단표[연차],$J395)&amp;"")</f>
        <v/>
      </c>
      <c r="F395">
        <f>IF($J395="","",INDEX(명단표[소속병원],$J395))</f>
        <v/>
      </c>
      <c r="G395">
        <f>IF($J395="","",INDEX(명단표[기준월 근무병원],$J395))</f>
        <v/>
      </c>
      <c r="H395">
        <f>IF($J395="","",INDEX(명단표[급여지급병원(기준월)],$J395))</f>
        <v/>
      </c>
      <c r="I395">
        <f>IF($J395="","",INDEX(명단표[급여 판정 근거],$J395))</f>
        <v/>
      </c>
      <c r="J395" s="17">
        <f>IFERROR(MATCH(391,명단표[명단순번],0),"")</f>
        <v/>
      </c>
    </row>
    <row r="396">
      <c r="A396">
        <f>IF($J396="","",TEXT(급여기준월,"yyyy-mm"))</f>
        <v/>
      </c>
      <c r="B396">
        <f>IF($J396="","",INDEX(명단표[사번],$J396)&amp;"")</f>
        <v/>
      </c>
      <c r="C396">
        <f>IF($J396="","",INDEX(명단표[이름],$J396))</f>
        <v/>
      </c>
      <c r="D396">
        <f>IF($J396="","",INDEX(명단표[수련과목],$J396))</f>
        <v/>
      </c>
      <c r="E396">
        <f>IF($J396="","",INDEX(명단표[연차],$J396)&amp;"")</f>
        <v/>
      </c>
      <c r="F396">
        <f>IF($J396="","",INDEX(명단표[소속병원],$J396))</f>
        <v/>
      </c>
      <c r="G396">
        <f>IF($J396="","",INDEX(명단표[기준월 근무병원],$J396))</f>
        <v/>
      </c>
      <c r="H396">
        <f>IF($J396="","",INDEX(명단표[급여지급병원(기준월)],$J396))</f>
        <v/>
      </c>
      <c r="I396">
        <f>IF($J396="","",INDEX(명단표[급여 판정 근거],$J396))</f>
        <v/>
      </c>
      <c r="J396" s="17">
        <f>IFERROR(MATCH(392,명단표[명단순번],0),"")</f>
        <v/>
      </c>
    </row>
    <row r="397">
      <c r="A397">
        <f>IF($J397="","",TEXT(급여기준월,"yyyy-mm"))</f>
        <v/>
      </c>
      <c r="B397">
        <f>IF($J397="","",INDEX(명단표[사번],$J397)&amp;"")</f>
        <v/>
      </c>
      <c r="C397">
        <f>IF($J397="","",INDEX(명단표[이름],$J397))</f>
        <v/>
      </c>
      <c r="D397">
        <f>IF($J397="","",INDEX(명단표[수련과목],$J397))</f>
        <v/>
      </c>
      <c r="E397">
        <f>IF($J397="","",INDEX(명단표[연차],$J397)&amp;"")</f>
        <v/>
      </c>
      <c r="F397">
        <f>IF($J397="","",INDEX(명단표[소속병원],$J397))</f>
        <v/>
      </c>
      <c r="G397">
        <f>IF($J397="","",INDEX(명단표[기준월 근무병원],$J397))</f>
        <v/>
      </c>
      <c r="H397">
        <f>IF($J397="","",INDEX(명단표[급여지급병원(기준월)],$J397))</f>
        <v/>
      </c>
      <c r="I397">
        <f>IF($J397="","",INDEX(명단표[급여 판정 근거],$J397))</f>
        <v/>
      </c>
      <c r="J397" s="17">
        <f>IFERROR(MATCH(393,명단표[명단순번],0),"")</f>
        <v/>
      </c>
    </row>
    <row r="398">
      <c r="A398">
        <f>IF($J398="","",TEXT(급여기준월,"yyyy-mm"))</f>
        <v/>
      </c>
      <c r="B398">
        <f>IF($J398="","",INDEX(명단표[사번],$J398)&amp;"")</f>
        <v/>
      </c>
      <c r="C398">
        <f>IF($J398="","",INDEX(명단표[이름],$J398))</f>
        <v/>
      </c>
      <c r="D398">
        <f>IF($J398="","",INDEX(명단표[수련과목],$J398))</f>
        <v/>
      </c>
      <c r="E398">
        <f>IF($J398="","",INDEX(명단표[연차],$J398)&amp;"")</f>
        <v/>
      </c>
      <c r="F398">
        <f>IF($J398="","",INDEX(명단표[소속병원],$J398))</f>
        <v/>
      </c>
      <c r="G398">
        <f>IF($J398="","",INDEX(명단표[기준월 근무병원],$J398))</f>
        <v/>
      </c>
      <c r="H398">
        <f>IF($J398="","",INDEX(명단표[급여지급병원(기준월)],$J398))</f>
        <v/>
      </c>
      <c r="I398">
        <f>IF($J398="","",INDEX(명단표[급여 판정 근거],$J398))</f>
        <v/>
      </c>
      <c r="J398" s="17">
        <f>IFERROR(MATCH(394,명단표[명단순번],0),"")</f>
        <v/>
      </c>
    </row>
    <row r="399">
      <c r="A399">
        <f>IF($J399="","",TEXT(급여기준월,"yyyy-mm"))</f>
        <v/>
      </c>
      <c r="B399">
        <f>IF($J399="","",INDEX(명단표[사번],$J399)&amp;"")</f>
        <v/>
      </c>
      <c r="C399">
        <f>IF($J399="","",INDEX(명단표[이름],$J399))</f>
        <v/>
      </c>
      <c r="D399">
        <f>IF($J399="","",INDEX(명단표[수련과목],$J399))</f>
        <v/>
      </c>
      <c r="E399">
        <f>IF($J399="","",INDEX(명단표[연차],$J399)&amp;"")</f>
        <v/>
      </c>
      <c r="F399">
        <f>IF($J399="","",INDEX(명단표[소속병원],$J399))</f>
        <v/>
      </c>
      <c r="G399">
        <f>IF($J399="","",INDEX(명단표[기준월 근무병원],$J399))</f>
        <v/>
      </c>
      <c r="H399">
        <f>IF($J399="","",INDEX(명단표[급여지급병원(기준월)],$J399))</f>
        <v/>
      </c>
      <c r="I399">
        <f>IF($J399="","",INDEX(명단표[급여 판정 근거],$J399))</f>
        <v/>
      </c>
      <c r="J399" s="17">
        <f>IFERROR(MATCH(395,명단표[명단순번],0),"")</f>
        <v/>
      </c>
    </row>
    <row r="400">
      <c r="A400">
        <f>IF($J400="","",TEXT(급여기준월,"yyyy-mm"))</f>
        <v/>
      </c>
      <c r="B400">
        <f>IF($J400="","",INDEX(명단표[사번],$J400)&amp;"")</f>
        <v/>
      </c>
      <c r="C400">
        <f>IF($J400="","",INDEX(명단표[이름],$J400))</f>
        <v/>
      </c>
      <c r="D400">
        <f>IF($J400="","",INDEX(명단표[수련과목],$J400))</f>
        <v/>
      </c>
      <c r="E400">
        <f>IF($J400="","",INDEX(명단표[연차],$J400)&amp;"")</f>
        <v/>
      </c>
      <c r="F400">
        <f>IF($J400="","",INDEX(명단표[소속병원],$J400))</f>
        <v/>
      </c>
      <c r="G400">
        <f>IF($J400="","",INDEX(명단표[기준월 근무병원],$J400))</f>
        <v/>
      </c>
      <c r="H400">
        <f>IF($J400="","",INDEX(명단표[급여지급병원(기준월)],$J400))</f>
        <v/>
      </c>
      <c r="I400">
        <f>IF($J400="","",INDEX(명단표[급여 판정 근거],$J400))</f>
        <v/>
      </c>
      <c r="J400" s="17">
        <f>IFERROR(MATCH(396,명단표[명단순번],0),"")</f>
        <v/>
      </c>
    </row>
    <row r="401">
      <c r="A401">
        <f>IF($J401="","",TEXT(급여기준월,"yyyy-mm"))</f>
        <v/>
      </c>
      <c r="B401">
        <f>IF($J401="","",INDEX(명단표[사번],$J401)&amp;"")</f>
        <v/>
      </c>
      <c r="C401">
        <f>IF($J401="","",INDEX(명단표[이름],$J401))</f>
        <v/>
      </c>
      <c r="D401">
        <f>IF($J401="","",INDEX(명단표[수련과목],$J401))</f>
        <v/>
      </c>
      <c r="E401">
        <f>IF($J401="","",INDEX(명단표[연차],$J401)&amp;"")</f>
        <v/>
      </c>
      <c r="F401">
        <f>IF($J401="","",INDEX(명단표[소속병원],$J401))</f>
        <v/>
      </c>
      <c r="G401">
        <f>IF($J401="","",INDEX(명단표[기준월 근무병원],$J401))</f>
        <v/>
      </c>
      <c r="H401">
        <f>IF($J401="","",INDEX(명단표[급여지급병원(기준월)],$J401))</f>
        <v/>
      </c>
      <c r="I401">
        <f>IF($J401="","",INDEX(명단표[급여 판정 근거],$J401))</f>
        <v/>
      </c>
      <c r="J401" s="17">
        <f>IFERROR(MATCH(397,명단표[명단순번],0),"")</f>
        <v/>
      </c>
    </row>
    <row r="402">
      <c r="A402">
        <f>IF($J402="","",TEXT(급여기준월,"yyyy-mm"))</f>
        <v/>
      </c>
      <c r="B402">
        <f>IF($J402="","",INDEX(명단표[사번],$J402)&amp;"")</f>
        <v/>
      </c>
      <c r="C402">
        <f>IF($J402="","",INDEX(명단표[이름],$J402))</f>
        <v/>
      </c>
      <c r="D402">
        <f>IF($J402="","",INDEX(명단표[수련과목],$J402))</f>
        <v/>
      </c>
      <c r="E402">
        <f>IF($J402="","",INDEX(명단표[연차],$J402)&amp;"")</f>
        <v/>
      </c>
      <c r="F402">
        <f>IF($J402="","",INDEX(명단표[소속병원],$J402))</f>
        <v/>
      </c>
      <c r="G402">
        <f>IF($J402="","",INDEX(명단표[기준월 근무병원],$J402))</f>
        <v/>
      </c>
      <c r="H402">
        <f>IF($J402="","",INDEX(명단표[급여지급병원(기준월)],$J402))</f>
        <v/>
      </c>
      <c r="I402">
        <f>IF($J402="","",INDEX(명단표[급여 판정 근거],$J402))</f>
        <v/>
      </c>
      <c r="J402" s="17">
        <f>IFERROR(MATCH(398,명단표[명단순번],0),"")</f>
        <v/>
      </c>
    </row>
    <row r="403">
      <c r="A403">
        <f>IF($J403="","",TEXT(급여기준월,"yyyy-mm"))</f>
        <v/>
      </c>
      <c r="B403">
        <f>IF($J403="","",INDEX(명단표[사번],$J403)&amp;"")</f>
        <v/>
      </c>
      <c r="C403">
        <f>IF($J403="","",INDEX(명단표[이름],$J403))</f>
        <v/>
      </c>
      <c r="D403">
        <f>IF($J403="","",INDEX(명단표[수련과목],$J403))</f>
        <v/>
      </c>
      <c r="E403">
        <f>IF($J403="","",INDEX(명단표[연차],$J403)&amp;"")</f>
        <v/>
      </c>
      <c r="F403">
        <f>IF($J403="","",INDEX(명단표[소속병원],$J403))</f>
        <v/>
      </c>
      <c r="G403">
        <f>IF($J403="","",INDEX(명단표[기준월 근무병원],$J403))</f>
        <v/>
      </c>
      <c r="H403">
        <f>IF($J403="","",INDEX(명단표[급여지급병원(기준월)],$J403))</f>
        <v/>
      </c>
      <c r="I403">
        <f>IF($J403="","",INDEX(명단표[급여 판정 근거],$J403))</f>
        <v/>
      </c>
      <c r="J403" s="17">
        <f>IFERROR(MATCH(399,명단표[명단순번],0),"")</f>
        <v/>
      </c>
    </row>
    <row r="404">
      <c r="A404">
        <f>IF($J404="","",TEXT(급여기준월,"yyyy-mm"))</f>
        <v/>
      </c>
      <c r="B404">
        <f>IF($J404="","",INDEX(명단표[사번],$J404)&amp;"")</f>
        <v/>
      </c>
      <c r="C404">
        <f>IF($J404="","",INDEX(명단표[이름],$J404))</f>
        <v/>
      </c>
      <c r="D404">
        <f>IF($J404="","",INDEX(명단표[수련과목],$J404))</f>
        <v/>
      </c>
      <c r="E404">
        <f>IF($J404="","",INDEX(명단표[연차],$J404)&amp;"")</f>
        <v/>
      </c>
      <c r="F404">
        <f>IF($J404="","",INDEX(명단표[소속병원],$J404))</f>
        <v/>
      </c>
      <c r="G404">
        <f>IF($J404="","",INDEX(명단표[기준월 근무병원],$J404))</f>
        <v/>
      </c>
      <c r="H404">
        <f>IF($J404="","",INDEX(명단표[급여지급병원(기준월)],$J404))</f>
        <v/>
      </c>
      <c r="I404">
        <f>IF($J404="","",INDEX(명단표[급여 판정 근거],$J404))</f>
        <v/>
      </c>
      <c r="J404" s="17">
        <f>IFERROR(MATCH(400,명단표[명단순번],0),"")</f>
        <v/>
      </c>
    </row>
    <row r="405">
      <c r="A405">
        <f>IF($J405="","",TEXT(급여기준월,"yyyy-mm"))</f>
        <v/>
      </c>
      <c r="B405">
        <f>IF($J405="","",INDEX(명단표[사번],$J405)&amp;"")</f>
        <v/>
      </c>
      <c r="C405">
        <f>IF($J405="","",INDEX(명단표[이름],$J405))</f>
        <v/>
      </c>
      <c r="D405">
        <f>IF($J405="","",INDEX(명단표[수련과목],$J405))</f>
        <v/>
      </c>
      <c r="E405">
        <f>IF($J405="","",INDEX(명단표[연차],$J405)&amp;"")</f>
        <v/>
      </c>
      <c r="F405">
        <f>IF($J405="","",INDEX(명단표[소속병원],$J405))</f>
        <v/>
      </c>
      <c r="G405">
        <f>IF($J405="","",INDEX(명단표[기준월 근무병원],$J405))</f>
        <v/>
      </c>
      <c r="H405">
        <f>IF($J405="","",INDEX(명단표[급여지급병원(기준월)],$J405))</f>
        <v/>
      </c>
      <c r="I405">
        <f>IF($J405="","",INDEX(명단표[급여 판정 근거],$J405))</f>
        <v/>
      </c>
      <c r="J405" s="17">
        <f>IFERROR(MATCH(401,명단표[명단순번],0),"")</f>
        <v/>
      </c>
    </row>
    <row r="406">
      <c r="A406">
        <f>IF($J406="","",TEXT(급여기준월,"yyyy-mm"))</f>
        <v/>
      </c>
      <c r="B406">
        <f>IF($J406="","",INDEX(명단표[사번],$J406)&amp;"")</f>
        <v/>
      </c>
      <c r="C406">
        <f>IF($J406="","",INDEX(명단표[이름],$J406))</f>
        <v/>
      </c>
      <c r="D406">
        <f>IF($J406="","",INDEX(명단표[수련과목],$J406))</f>
        <v/>
      </c>
      <c r="E406">
        <f>IF($J406="","",INDEX(명단표[연차],$J406)&amp;"")</f>
        <v/>
      </c>
      <c r="F406">
        <f>IF($J406="","",INDEX(명단표[소속병원],$J406))</f>
        <v/>
      </c>
      <c r="G406">
        <f>IF($J406="","",INDEX(명단표[기준월 근무병원],$J406))</f>
        <v/>
      </c>
      <c r="H406">
        <f>IF($J406="","",INDEX(명단표[급여지급병원(기준월)],$J406))</f>
        <v/>
      </c>
      <c r="I406">
        <f>IF($J406="","",INDEX(명단표[급여 판정 근거],$J406))</f>
        <v/>
      </c>
      <c r="J406" s="17">
        <f>IFERROR(MATCH(402,명단표[명단순번],0),"")</f>
        <v/>
      </c>
    </row>
    <row r="407">
      <c r="A407">
        <f>IF($J407="","",TEXT(급여기준월,"yyyy-mm"))</f>
        <v/>
      </c>
      <c r="B407">
        <f>IF($J407="","",INDEX(명단표[사번],$J407)&amp;"")</f>
        <v/>
      </c>
      <c r="C407">
        <f>IF($J407="","",INDEX(명단표[이름],$J407))</f>
        <v/>
      </c>
      <c r="D407">
        <f>IF($J407="","",INDEX(명단표[수련과목],$J407))</f>
        <v/>
      </c>
      <c r="E407">
        <f>IF($J407="","",INDEX(명단표[연차],$J407)&amp;"")</f>
        <v/>
      </c>
      <c r="F407">
        <f>IF($J407="","",INDEX(명단표[소속병원],$J407))</f>
        <v/>
      </c>
      <c r="G407">
        <f>IF($J407="","",INDEX(명단표[기준월 근무병원],$J407))</f>
        <v/>
      </c>
      <c r="H407">
        <f>IF($J407="","",INDEX(명단표[급여지급병원(기준월)],$J407))</f>
        <v/>
      </c>
      <c r="I407">
        <f>IF($J407="","",INDEX(명단표[급여 판정 근거],$J407))</f>
        <v/>
      </c>
      <c r="J407" s="17">
        <f>IFERROR(MATCH(403,명단표[명단순번],0),"")</f>
        <v/>
      </c>
    </row>
    <row r="408">
      <c r="A408">
        <f>IF($J408="","",TEXT(급여기준월,"yyyy-mm"))</f>
        <v/>
      </c>
      <c r="B408">
        <f>IF($J408="","",INDEX(명단표[사번],$J408)&amp;"")</f>
        <v/>
      </c>
      <c r="C408">
        <f>IF($J408="","",INDEX(명단표[이름],$J408))</f>
        <v/>
      </c>
      <c r="D408">
        <f>IF($J408="","",INDEX(명단표[수련과목],$J408))</f>
        <v/>
      </c>
      <c r="E408">
        <f>IF($J408="","",INDEX(명단표[연차],$J408)&amp;"")</f>
        <v/>
      </c>
      <c r="F408">
        <f>IF($J408="","",INDEX(명단표[소속병원],$J408))</f>
        <v/>
      </c>
      <c r="G408">
        <f>IF($J408="","",INDEX(명단표[기준월 근무병원],$J408))</f>
        <v/>
      </c>
      <c r="H408">
        <f>IF($J408="","",INDEX(명단표[급여지급병원(기준월)],$J408))</f>
        <v/>
      </c>
      <c r="I408">
        <f>IF($J408="","",INDEX(명단표[급여 판정 근거],$J408))</f>
        <v/>
      </c>
      <c r="J408" s="17">
        <f>IFERROR(MATCH(404,명단표[명단순번],0),"")</f>
        <v/>
      </c>
    </row>
    <row r="409">
      <c r="A409">
        <f>IF($J409="","",TEXT(급여기준월,"yyyy-mm"))</f>
        <v/>
      </c>
      <c r="B409">
        <f>IF($J409="","",INDEX(명단표[사번],$J409)&amp;"")</f>
        <v/>
      </c>
      <c r="C409">
        <f>IF($J409="","",INDEX(명단표[이름],$J409))</f>
        <v/>
      </c>
      <c r="D409">
        <f>IF($J409="","",INDEX(명단표[수련과목],$J409))</f>
        <v/>
      </c>
      <c r="E409">
        <f>IF($J409="","",INDEX(명단표[연차],$J409)&amp;"")</f>
        <v/>
      </c>
      <c r="F409">
        <f>IF($J409="","",INDEX(명단표[소속병원],$J409))</f>
        <v/>
      </c>
      <c r="G409">
        <f>IF($J409="","",INDEX(명단표[기준월 근무병원],$J409))</f>
        <v/>
      </c>
      <c r="H409">
        <f>IF($J409="","",INDEX(명단표[급여지급병원(기준월)],$J409))</f>
        <v/>
      </c>
      <c r="I409">
        <f>IF($J409="","",INDEX(명단표[급여 판정 근거],$J409))</f>
        <v/>
      </c>
      <c r="J409" s="17">
        <f>IFERROR(MATCH(405,명단표[명단순번],0),"")</f>
        <v/>
      </c>
    </row>
    <row r="410">
      <c r="A410">
        <f>IF($J410="","",TEXT(급여기준월,"yyyy-mm"))</f>
        <v/>
      </c>
      <c r="B410">
        <f>IF($J410="","",INDEX(명단표[사번],$J410)&amp;"")</f>
        <v/>
      </c>
      <c r="C410">
        <f>IF($J410="","",INDEX(명단표[이름],$J410))</f>
        <v/>
      </c>
      <c r="D410">
        <f>IF($J410="","",INDEX(명단표[수련과목],$J410))</f>
        <v/>
      </c>
      <c r="E410">
        <f>IF($J410="","",INDEX(명단표[연차],$J410)&amp;"")</f>
        <v/>
      </c>
      <c r="F410">
        <f>IF($J410="","",INDEX(명단표[소속병원],$J410))</f>
        <v/>
      </c>
      <c r="G410">
        <f>IF($J410="","",INDEX(명단표[기준월 근무병원],$J410))</f>
        <v/>
      </c>
      <c r="H410">
        <f>IF($J410="","",INDEX(명단표[급여지급병원(기준월)],$J410))</f>
        <v/>
      </c>
      <c r="I410">
        <f>IF($J410="","",INDEX(명단표[급여 판정 근거],$J410))</f>
        <v/>
      </c>
      <c r="J410" s="17">
        <f>IFERROR(MATCH(406,명단표[명단순번],0),"")</f>
        <v/>
      </c>
    </row>
    <row r="411">
      <c r="A411">
        <f>IF($J411="","",TEXT(급여기준월,"yyyy-mm"))</f>
        <v/>
      </c>
      <c r="B411">
        <f>IF($J411="","",INDEX(명단표[사번],$J411)&amp;"")</f>
        <v/>
      </c>
      <c r="C411">
        <f>IF($J411="","",INDEX(명단표[이름],$J411))</f>
        <v/>
      </c>
      <c r="D411">
        <f>IF($J411="","",INDEX(명단표[수련과목],$J411))</f>
        <v/>
      </c>
      <c r="E411">
        <f>IF($J411="","",INDEX(명단표[연차],$J411)&amp;"")</f>
        <v/>
      </c>
      <c r="F411">
        <f>IF($J411="","",INDEX(명단표[소속병원],$J411))</f>
        <v/>
      </c>
      <c r="G411">
        <f>IF($J411="","",INDEX(명단표[기준월 근무병원],$J411))</f>
        <v/>
      </c>
      <c r="H411">
        <f>IF($J411="","",INDEX(명단표[급여지급병원(기준월)],$J411))</f>
        <v/>
      </c>
      <c r="I411">
        <f>IF($J411="","",INDEX(명단표[급여 판정 근거],$J411))</f>
        <v/>
      </c>
      <c r="J411" s="17">
        <f>IFERROR(MATCH(407,명단표[명단순번],0),"")</f>
        <v/>
      </c>
    </row>
    <row r="412">
      <c r="A412">
        <f>IF($J412="","",TEXT(급여기준월,"yyyy-mm"))</f>
        <v/>
      </c>
      <c r="B412">
        <f>IF($J412="","",INDEX(명단표[사번],$J412)&amp;"")</f>
        <v/>
      </c>
      <c r="C412">
        <f>IF($J412="","",INDEX(명단표[이름],$J412))</f>
        <v/>
      </c>
      <c r="D412">
        <f>IF($J412="","",INDEX(명단표[수련과목],$J412))</f>
        <v/>
      </c>
      <c r="E412">
        <f>IF($J412="","",INDEX(명단표[연차],$J412)&amp;"")</f>
        <v/>
      </c>
      <c r="F412">
        <f>IF($J412="","",INDEX(명단표[소속병원],$J412))</f>
        <v/>
      </c>
      <c r="G412">
        <f>IF($J412="","",INDEX(명단표[기준월 근무병원],$J412))</f>
        <v/>
      </c>
      <c r="H412">
        <f>IF($J412="","",INDEX(명단표[급여지급병원(기준월)],$J412))</f>
        <v/>
      </c>
      <c r="I412">
        <f>IF($J412="","",INDEX(명단표[급여 판정 근거],$J412))</f>
        <v/>
      </c>
      <c r="J412" s="17">
        <f>IFERROR(MATCH(408,명단표[명단순번],0),"")</f>
        <v/>
      </c>
    </row>
    <row r="413">
      <c r="A413">
        <f>IF($J413="","",TEXT(급여기준월,"yyyy-mm"))</f>
        <v/>
      </c>
      <c r="B413">
        <f>IF($J413="","",INDEX(명단표[사번],$J413)&amp;"")</f>
        <v/>
      </c>
      <c r="C413">
        <f>IF($J413="","",INDEX(명단표[이름],$J413))</f>
        <v/>
      </c>
      <c r="D413">
        <f>IF($J413="","",INDEX(명단표[수련과목],$J413))</f>
        <v/>
      </c>
      <c r="E413">
        <f>IF($J413="","",INDEX(명단표[연차],$J413)&amp;"")</f>
        <v/>
      </c>
      <c r="F413">
        <f>IF($J413="","",INDEX(명단표[소속병원],$J413))</f>
        <v/>
      </c>
      <c r="G413">
        <f>IF($J413="","",INDEX(명단표[기준월 근무병원],$J413))</f>
        <v/>
      </c>
      <c r="H413">
        <f>IF($J413="","",INDEX(명단표[급여지급병원(기준월)],$J413))</f>
        <v/>
      </c>
      <c r="I413">
        <f>IF($J413="","",INDEX(명단표[급여 판정 근거],$J413))</f>
        <v/>
      </c>
      <c r="J413" s="17">
        <f>IFERROR(MATCH(409,명단표[명단순번],0),"")</f>
        <v/>
      </c>
    </row>
    <row r="414">
      <c r="A414">
        <f>IF($J414="","",TEXT(급여기준월,"yyyy-mm"))</f>
        <v/>
      </c>
      <c r="B414">
        <f>IF($J414="","",INDEX(명단표[사번],$J414)&amp;"")</f>
        <v/>
      </c>
      <c r="C414">
        <f>IF($J414="","",INDEX(명단표[이름],$J414))</f>
        <v/>
      </c>
      <c r="D414">
        <f>IF($J414="","",INDEX(명단표[수련과목],$J414))</f>
        <v/>
      </c>
      <c r="E414">
        <f>IF($J414="","",INDEX(명단표[연차],$J414)&amp;"")</f>
        <v/>
      </c>
      <c r="F414">
        <f>IF($J414="","",INDEX(명단표[소속병원],$J414))</f>
        <v/>
      </c>
      <c r="G414">
        <f>IF($J414="","",INDEX(명단표[기준월 근무병원],$J414))</f>
        <v/>
      </c>
      <c r="H414">
        <f>IF($J414="","",INDEX(명단표[급여지급병원(기준월)],$J414))</f>
        <v/>
      </c>
      <c r="I414">
        <f>IF($J414="","",INDEX(명단표[급여 판정 근거],$J414))</f>
        <v/>
      </c>
      <c r="J414" s="17">
        <f>IFERROR(MATCH(410,명단표[명단순번],0),"")</f>
        <v/>
      </c>
    </row>
    <row r="415">
      <c r="A415">
        <f>IF($J415="","",TEXT(급여기준월,"yyyy-mm"))</f>
        <v/>
      </c>
      <c r="B415">
        <f>IF($J415="","",INDEX(명단표[사번],$J415)&amp;"")</f>
        <v/>
      </c>
      <c r="C415">
        <f>IF($J415="","",INDEX(명단표[이름],$J415))</f>
        <v/>
      </c>
      <c r="D415">
        <f>IF($J415="","",INDEX(명단표[수련과목],$J415))</f>
        <v/>
      </c>
      <c r="E415">
        <f>IF($J415="","",INDEX(명단표[연차],$J415)&amp;"")</f>
        <v/>
      </c>
      <c r="F415">
        <f>IF($J415="","",INDEX(명단표[소속병원],$J415))</f>
        <v/>
      </c>
      <c r="G415">
        <f>IF($J415="","",INDEX(명단표[기준월 근무병원],$J415))</f>
        <v/>
      </c>
      <c r="H415">
        <f>IF($J415="","",INDEX(명단표[급여지급병원(기준월)],$J415))</f>
        <v/>
      </c>
      <c r="I415">
        <f>IF($J415="","",INDEX(명단표[급여 판정 근거],$J415))</f>
        <v/>
      </c>
      <c r="J415" s="17">
        <f>IFERROR(MATCH(411,명단표[명단순번],0),"")</f>
        <v/>
      </c>
    </row>
    <row r="416">
      <c r="A416">
        <f>IF($J416="","",TEXT(급여기준월,"yyyy-mm"))</f>
        <v/>
      </c>
      <c r="B416">
        <f>IF($J416="","",INDEX(명단표[사번],$J416)&amp;"")</f>
        <v/>
      </c>
      <c r="C416">
        <f>IF($J416="","",INDEX(명단표[이름],$J416))</f>
        <v/>
      </c>
      <c r="D416">
        <f>IF($J416="","",INDEX(명단표[수련과목],$J416))</f>
        <v/>
      </c>
      <c r="E416">
        <f>IF($J416="","",INDEX(명단표[연차],$J416)&amp;"")</f>
        <v/>
      </c>
      <c r="F416">
        <f>IF($J416="","",INDEX(명단표[소속병원],$J416))</f>
        <v/>
      </c>
      <c r="G416">
        <f>IF($J416="","",INDEX(명단표[기준월 근무병원],$J416))</f>
        <v/>
      </c>
      <c r="H416">
        <f>IF($J416="","",INDEX(명단표[급여지급병원(기준월)],$J416))</f>
        <v/>
      </c>
      <c r="I416">
        <f>IF($J416="","",INDEX(명단표[급여 판정 근거],$J416))</f>
        <v/>
      </c>
      <c r="J416" s="17">
        <f>IFERROR(MATCH(412,명단표[명단순번],0),"")</f>
        <v/>
      </c>
    </row>
    <row r="417">
      <c r="A417">
        <f>IF($J417="","",TEXT(급여기준월,"yyyy-mm"))</f>
        <v/>
      </c>
      <c r="B417">
        <f>IF($J417="","",INDEX(명단표[사번],$J417)&amp;"")</f>
        <v/>
      </c>
      <c r="C417">
        <f>IF($J417="","",INDEX(명단표[이름],$J417))</f>
        <v/>
      </c>
      <c r="D417">
        <f>IF($J417="","",INDEX(명단표[수련과목],$J417))</f>
        <v/>
      </c>
      <c r="E417">
        <f>IF($J417="","",INDEX(명단표[연차],$J417)&amp;"")</f>
        <v/>
      </c>
      <c r="F417">
        <f>IF($J417="","",INDEX(명단표[소속병원],$J417))</f>
        <v/>
      </c>
      <c r="G417">
        <f>IF($J417="","",INDEX(명단표[기준월 근무병원],$J417))</f>
        <v/>
      </c>
      <c r="H417">
        <f>IF($J417="","",INDEX(명단표[급여지급병원(기준월)],$J417))</f>
        <v/>
      </c>
      <c r="I417">
        <f>IF($J417="","",INDEX(명단표[급여 판정 근거],$J417))</f>
        <v/>
      </c>
      <c r="J417" s="17">
        <f>IFERROR(MATCH(413,명단표[명단순번],0),"")</f>
        <v/>
      </c>
    </row>
    <row r="418">
      <c r="A418">
        <f>IF($J418="","",TEXT(급여기준월,"yyyy-mm"))</f>
        <v/>
      </c>
      <c r="B418">
        <f>IF($J418="","",INDEX(명단표[사번],$J418)&amp;"")</f>
        <v/>
      </c>
      <c r="C418">
        <f>IF($J418="","",INDEX(명단표[이름],$J418))</f>
        <v/>
      </c>
      <c r="D418">
        <f>IF($J418="","",INDEX(명단표[수련과목],$J418))</f>
        <v/>
      </c>
      <c r="E418">
        <f>IF($J418="","",INDEX(명단표[연차],$J418)&amp;"")</f>
        <v/>
      </c>
      <c r="F418">
        <f>IF($J418="","",INDEX(명단표[소속병원],$J418))</f>
        <v/>
      </c>
      <c r="G418">
        <f>IF($J418="","",INDEX(명단표[기준월 근무병원],$J418))</f>
        <v/>
      </c>
      <c r="H418">
        <f>IF($J418="","",INDEX(명단표[급여지급병원(기준월)],$J418))</f>
        <v/>
      </c>
      <c r="I418">
        <f>IF($J418="","",INDEX(명단표[급여 판정 근거],$J418))</f>
        <v/>
      </c>
      <c r="J418" s="17">
        <f>IFERROR(MATCH(414,명단표[명단순번],0),"")</f>
        <v/>
      </c>
    </row>
    <row r="419">
      <c r="A419">
        <f>IF($J419="","",TEXT(급여기준월,"yyyy-mm"))</f>
        <v/>
      </c>
      <c r="B419">
        <f>IF($J419="","",INDEX(명단표[사번],$J419)&amp;"")</f>
        <v/>
      </c>
      <c r="C419">
        <f>IF($J419="","",INDEX(명단표[이름],$J419))</f>
        <v/>
      </c>
      <c r="D419">
        <f>IF($J419="","",INDEX(명단표[수련과목],$J419))</f>
        <v/>
      </c>
      <c r="E419">
        <f>IF($J419="","",INDEX(명단표[연차],$J419)&amp;"")</f>
        <v/>
      </c>
      <c r="F419">
        <f>IF($J419="","",INDEX(명단표[소속병원],$J419))</f>
        <v/>
      </c>
      <c r="G419">
        <f>IF($J419="","",INDEX(명단표[기준월 근무병원],$J419))</f>
        <v/>
      </c>
      <c r="H419">
        <f>IF($J419="","",INDEX(명단표[급여지급병원(기준월)],$J419))</f>
        <v/>
      </c>
      <c r="I419">
        <f>IF($J419="","",INDEX(명단표[급여 판정 근거],$J419))</f>
        <v/>
      </c>
      <c r="J419" s="17">
        <f>IFERROR(MATCH(415,명단표[명단순번],0),"")</f>
        <v/>
      </c>
    </row>
    <row r="420">
      <c r="A420">
        <f>IF($J420="","",TEXT(급여기준월,"yyyy-mm"))</f>
        <v/>
      </c>
      <c r="B420">
        <f>IF($J420="","",INDEX(명단표[사번],$J420)&amp;"")</f>
        <v/>
      </c>
      <c r="C420">
        <f>IF($J420="","",INDEX(명단표[이름],$J420))</f>
        <v/>
      </c>
      <c r="D420">
        <f>IF($J420="","",INDEX(명단표[수련과목],$J420))</f>
        <v/>
      </c>
      <c r="E420">
        <f>IF($J420="","",INDEX(명단표[연차],$J420)&amp;"")</f>
        <v/>
      </c>
      <c r="F420">
        <f>IF($J420="","",INDEX(명단표[소속병원],$J420))</f>
        <v/>
      </c>
      <c r="G420">
        <f>IF($J420="","",INDEX(명단표[기준월 근무병원],$J420))</f>
        <v/>
      </c>
      <c r="H420">
        <f>IF($J420="","",INDEX(명단표[급여지급병원(기준월)],$J420))</f>
        <v/>
      </c>
      <c r="I420">
        <f>IF($J420="","",INDEX(명단표[급여 판정 근거],$J420))</f>
        <v/>
      </c>
      <c r="J420" s="17">
        <f>IFERROR(MATCH(416,명단표[명단순번],0),"")</f>
        <v/>
      </c>
    </row>
    <row r="421">
      <c r="A421">
        <f>IF($J421="","",TEXT(급여기준월,"yyyy-mm"))</f>
        <v/>
      </c>
      <c r="B421">
        <f>IF($J421="","",INDEX(명단표[사번],$J421)&amp;"")</f>
        <v/>
      </c>
      <c r="C421">
        <f>IF($J421="","",INDEX(명단표[이름],$J421))</f>
        <v/>
      </c>
      <c r="D421">
        <f>IF($J421="","",INDEX(명단표[수련과목],$J421))</f>
        <v/>
      </c>
      <c r="E421">
        <f>IF($J421="","",INDEX(명단표[연차],$J421)&amp;"")</f>
        <v/>
      </c>
      <c r="F421">
        <f>IF($J421="","",INDEX(명단표[소속병원],$J421))</f>
        <v/>
      </c>
      <c r="G421">
        <f>IF($J421="","",INDEX(명단표[기준월 근무병원],$J421))</f>
        <v/>
      </c>
      <c r="H421">
        <f>IF($J421="","",INDEX(명단표[급여지급병원(기준월)],$J421))</f>
        <v/>
      </c>
      <c r="I421">
        <f>IF($J421="","",INDEX(명단표[급여 판정 근거],$J421))</f>
        <v/>
      </c>
      <c r="J421" s="17">
        <f>IFERROR(MATCH(417,명단표[명단순번],0),"")</f>
        <v/>
      </c>
    </row>
    <row r="422">
      <c r="A422">
        <f>IF($J422="","",TEXT(급여기준월,"yyyy-mm"))</f>
        <v/>
      </c>
      <c r="B422">
        <f>IF($J422="","",INDEX(명단표[사번],$J422)&amp;"")</f>
        <v/>
      </c>
      <c r="C422">
        <f>IF($J422="","",INDEX(명단표[이름],$J422))</f>
        <v/>
      </c>
      <c r="D422">
        <f>IF($J422="","",INDEX(명단표[수련과목],$J422))</f>
        <v/>
      </c>
      <c r="E422">
        <f>IF($J422="","",INDEX(명단표[연차],$J422)&amp;"")</f>
        <v/>
      </c>
      <c r="F422">
        <f>IF($J422="","",INDEX(명단표[소속병원],$J422))</f>
        <v/>
      </c>
      <c r="G422">
        <f>IF($J422="","",INDEX(명단표[기준월 근무병원],$J422))</f>
        <v/>
      </c>
      <c r="H422">
        <f>IF($J422="","",INDEX(명단표[급여지급병원(기준월)],$J422))</f>
        <v/>
      </c>
      <c r="I422">
        <f>IF($J422="","",INDEX(명단표[급여 판정 근거],$J422))</f>
        <v/>
      </c>
      <c r="J422" s="17">
        <f>IFERROR(MATCH(418,명단표[명단순번],0),"")</f>
        <v/>
      </c>
    </row>
    <row r="423">
      <c r="A423">
        <f>IF($J423="","",TEXT(급여기준월,"yyyy-mm"))</f>
        <v/>
      </c>
      <c r="B423">
        <f>IF($J423="","",INDEX(명단표[사번],$J423)&amp;"")</f>
        <v/>
      </c>
      <c r="C423">
        <f>IF($J423="","",INDEX(명단표[이름],$J423))</f>
        <v/>
      </c>
      <c r="D423">
        <f>IF($J423="","",INDEX(명단표[수련과목],$J423))</f>
        <v/>
      </c>
      <c r="E423">
        <f>IF($J423="","",INDEX(명단표[연차],$J423)&amp;"")</f>
        <v/>
      </c>
      <c r="F423">
        <f>IF($J423="","",INDEX(명단표[소속병원],$J423))</f>
        <v/>
      </c>
      <c r="G423">
        <f>IF($J423="","",INDEX(명단표[기준월 근무병원],$J423))</f>
        <v/>
      </c>
      <c r="H423">
        <f>IF($J423="","",INDEX(명단표[급여지급병원(기준월)],$J423))</f>
        <v/>
      </c>
      <c r="I423">
        <f>IF($J423="","",INDEX(명단표[급여 판정 근거],$J423))</f>
        <v/>
      </c>
      <c r="J423" s="17">
        <f>IFERROR(MATCH(419,명단표[명단순번],0),"")</f>
        <v/>
      </c>
    </row>
    <row r="424">
      <c r="A424">
        <f>IF($J424="","",TEXT(급여기준월,"yyyy-mm"))</f>
        <v/>
      </c>
      <c r="B424">
        <f>IF($J424="","",INDEX(명단표[사번],$J424)&amp;"")</f>
        <v/>
      </c>
      <c r="C424">
        <f>IF($J424="","",INDEX(명단표[이름],$J424))</f>
        <v/>
      </c>
      <c r="D424">
        <f>IF($J424="","",INDEX(명단표[수련과목],$J424))</f>
        <v/>
      </c>
      <c r="E424">
        <f>IF($J424="","",INDEX(명단표[연차],$J424)&amp;"")</f>
        <v/>
      </c>
      <c r="F424">
        <f>IF($J424="","",INDEX(명단표[소속병원],$J424))</f>
        <v/>
      </c>
      <c r="G424">
        <f>IF($J424="","",INDEX(명단표[기준월 근무병원],$J424))</f>
        <v/>
      </c>
      <c r="H424">
        <f>IF($J424="","",INDEX(명단표[급여지급병원(기준월)],$J424))</f>
        <v/>
      </c>
      <c r="I424">
        <f>IF($J424="","",INDEX(명단표[급여 판정 근거],$J424))</f>
        <v/>
      </c>
      <c r="J424" s="17">
        <f>IFERROR(MATCH(420,명단표[명단순번],0),"")</f>
        <v/>
      </c>
    </row>
    <row r="425">
      <c r="A425">
        <f>IF($J425="","",TEXT(급여기준월,"yyyy-mm"))</f>
        <v/>
      </c>
      <c r="B425">
        <f>IF($J425="","",INDEX(명단표[사번],$J425)&amp;"")</f>
        <v/>
      </c>
      <c r="C425">
        <f>IF($J425="","",INDEX(명단표[이름],$J425))</f>
        <v/>
      </c>
      <c r="D425">
        <f>IF($J425="","",INDEX(명단표[수련과목],$J425))</f>
        <v/>
      </c>
      <c r="E425">
        <f>IF($J425="","",INDEX(명단표[연차],$J425)&amp;"")</f>
        <v/>
      </c>
      <c r="F425">
        <f>IF($J425="","",INDEX(명단표[소속병원],$J425))</f>
        <v/>
      </c>
      <c r="G425">
        <f>IF($J425="","",INDEX(명단표[기준월 근무병원],$J425))</f>
        <v/>
      </c>
      <c r="H425">
        <f>IF($J425="","",INDEX(명단표[급여지급병원(기준월)],$J425))</f>
        <v/>
      </c>
      <c r="I425">
        <f>IF($J425="","",INDEX(명단표[급여 판정 근거],$J425))</f>
        <v/>
      </c>
      <c r="J425" s="17">
        <f>IFERROR(MATCH(421,명단표[명단순번],0),"")</f>
        <v/>
      </c>
    </row>
    <row r="426">
      <c r="A426">
        <f>IF($J426="","",TEXT(급여기준월,"yyyy-mm"))</f>
        <v/>
      </c>
      <c r="B426">
        <f>IF($J426="","",INDEX(명단표[사번],$J426)&amp;"")</f>
        <v/>
      </c>
      <c r="C426">
        <f>IF($J426="","",INDEX(명단표[이름],$J426))</f>
        <v/>
      </c>
      <c r="D426">
        <f>IF($J426="","",INDEX(명단표[수련과목],$J426))</f>
        <v/>
      </c>
      <c r="E426">
        <f>IF($J426="","",INDEX(명단표[연차],$J426)&amp;"")</f>
        <v/>
      </c>
      <c r="F426">
        <f>IF($J426="","",INDEX(명단표[소속병원],$J426))</f>
        <v/>
      </c>
      <c r="G426">
        <f>IF($J426="","",INDEX(명단표[기준월 근무병원],$J426))</f>
        <v/>
      </c>
      <c r="H426">
        <f>IF($J426="","",INDEX(명단표[급여지급병원(기준월)],$J426))</f>
        <v/>
      </c>
      <c r="I426">
        <f>IF($J426="","",INDEX(명단표[급여 판정 근거],$J426))</f>
        <v/>
      </c>
      <c r="J426" s="17">
        <f>IFERROR(MATCH(422,명단표[명단순번],0),"")</f>
        <v/>
      </c>
    </row>
    <row r="427">
      <c r="A427">
        <f>IF($J427="","",TEXT(급여기준월,"yyyy-mm"))</f>
        <v/>
      </c>
      <c r="B427">
        <f>IF($J427="","",INDEX(명단표[사번],$J427)&amp;"")</f>
        <v/>
      </c>
      <c r="C427">
        <f>IF($J427="","",INDEX(명단표[이름],$J427))</f>
        <v/>
      </c>
      <c r="D427">
        <f>IF($J427="","",INDEX(명단표[수련과목],$J427))</f>
        <v/>
      </c>
      <c r="E427">
        <f>IF($J427="","",INDEX(명단표[연차],$J427)&amp;"")</f>
        <v/>
      </c>
      <c r="F427">
        <f>IF($J427="","",INDEX(명단표[소속병원],$J427))</f>
        <v/>
      </c>
      <c r="G427">
        <f>IF($J427="","",INDEX(명단표[기준월 근무병원],$J427))</f>
        <v/>
      </c>
      <c r="H427">
        <f>IF($J427="","",INDEX(명단표[급여지급병원(기준월)],$J427))</f>
        <v/>
      </c>
      <c r="I427">
        <f>IF($J427="","",INDEX(명단표[급여 판정 근거],$J427))</f>
        <v/>
      </c>
      <c r="J427" s="17">
        <f>IFERROR(MATCH(423,명단표[명단순번],0),"")</f>
        <v/>
      </c>
    </row>
    <row r="428">
      <c r="A428">
        <f>IF($J428="","",TEXT(급여기준월,"yyyy-mm"))</f>
        <v/>
      </c>
      <c r="B428">
        <f>IF($J428="","",INDEX(명단표[사번],$J428)&amp;"")</f>
        <v/>
      </c>
      <c r="C428">
        <f>IF($J428="","",INDEX(명단표[이름],$J428))</f>
        <v/>
      </c>
      <c r="D428">
        <f>IF($J428="","",INDEX(명단표[수련과목],$J428))</f>
        <v/>
      </c>
      <c r="E428">
        <f>IF($J428="","",INDEX(명단표[연차],$J428)&amp;"")</f>
        <v/>
      </c>
      <c r="F428">
        <f>IF($J428="","",INDEX(명단표[소속병원],$J428))</f>
        <v/>
      </c>
      <c r="G428">
        <f>IF($J428="","",INDEX(명단표[기준월 근무병원],$J428))</f>
        <v/>
      </c>
      <c r="H428">
        <f>IF($J428="","",INDEX(명단표[급여지급병원(기준월)],$J428))</f>
        <v/>
      </c>
      <c r="I428">
        <f>IF($J428="","",INDEX(명단표[급여 판정 근거],$J428))</f>
        <v/>
      </c>
      <c r="J428" s="17">
        <f>IFERROR(MATCH(424,명단표[명단순번],0),"")</f>
        <v/>
      </c>
    </row>
    <row r="429">
      <c r="A429">
        <f>IF($J429="","",TEXT(급여기준월,"yyyy-mm"))</f>
        <v/>
      </c>
      <c r="B429">
        <f>IF($J429="","",INDEX(명단표[사번],$J429)&amp;"")</f>
        <v/>
      </c>
      <c r="C429">
        <f>IF($J429="","",INDEX(명단표[이름],$J429))</f>
        <v/>
      </c>
      <c r="D429">
        <f>IF($J429="","",INDEX(명단표[수련과목],$J429))</f>
        <v/>
      </c>
      <c r="E429">
        <f>IF($J429="","",INDEX(명단표[연차],$J429)&amp;"")</f>
        <v/>
      </c>
      <c r="F429">
        <f>IF($J429="","",INDEX(명단표[소속병원],$J429))</f>
        <v/>
      </c>
      <c r="G429">
        <f>IF($J429="","",INDEX(명단표[기준월 근무병원],$J429))</f>
        <v/>
      </c>
      <c r="H429">
        <f>IF($J429="","",INDEX(명단표[급여지급병원(기준월)],$J429))</f>
        <v/>
      </c>
      <c r="I429">
        <f>IF($J429="","",INDEX(명단표[급여 판정 근거],$J429))</f>
        <v/>
      </c>
      <c r="J429" s="17">
        <f>IFERROR(MATCH(425,명단표[명단순번],0),"")</f>
        <v/>
      </c>
    </row>
    <row r="430">
      <c r="A430">
        <f>IF($J430="","",TEXT(급여기준월,"yyyy-mm"))</f>
        <v/>
      </c>
      <c r="B430">
        <f>IF($J430="","",INDEX(명단표[사번],$J430)&amp;"")</f>
        <v/>
      </c>
      <c r="C430">
        <f>IF($J430="","",INDEX(명단표[이름],$J430))</f>
        <v/>
      </c>
      <c r="D430">
        <f>IF($J430="","",INDEX(명단표[수련과목],$J430))</f>
        <v/>
      </c>
      <c r="E430">
        <f>IF($J430="","",INDEX(명단표[연차],$J430)&amp;"")</f>
        <v/>
      </c>
      <c r="F430">
        <f>IF($J430="","",INDEX(명단표[소속병원],$J430))</f>
        <v/>
      </c>
      <c r="G430">
        <f>IF($J430="","",INDEX(명단표[기준월 근무병원],$J430))</f>
        <v/>
      </c>
      <c r="H430">
        <f>IF($J430="","",INDEX(명단표[급여지급병원(기준월)],$J430))</f>
        <v/>
      </c>
      <c r="I430">
        <f>IF($J430="","",INDEX(명단표[급여 판정 근거],$J430))</f>
        <v/>
      </c>
      <c r="J430" s="17">
        <f>IFERROR(MATCH(426,명단표[명단순번],0),"")</f>
        <v/>
      </c>
    </row>
    <row r="431">
      <c r="A431">
        <f>IF($J431="","",TEXT(급여기준월,"yyyy-mm"))</f>
        <v/>
      </c>
      <c r="B431">
        <f>IF($J431="","",INDEX(명단표[사번],$J431)&amp;"")</f>
        <v/>
      </c>
      <c r="C431">
        <f>IF($J431="","",INDEX(명단표[이름],$J431))</f>
        <v/>
      </c>
      <c r="D431">
        <f>IF($J431="","",INDEX(명단표[수련과목],$J431))</f>
        <v/>
      </c>
      <c r="E431">
        <f>IF($J431="","",INDEX(명단표[연차],$J431)&amp;"")</f>
        <v/>
      </c>
      <c r="F431">
        <f>IF($J431="","",INDEX(명단표[소속병원],$J431))</f>
        <v/>
      </c>
      <c r="G431">
        <f>IF($J431="","",INDEX(명단표[기준월 근무병원],$J431))</f>
        <v/>
      </c>
      <c r="H431">
        <f>IF($J431="","",INDEX(명단표[급여지급병원(기준월)],$J431))</f>
        <v/>
      </c>
      <c r="I431">
        <f>IF($J431="","",INDEX(명단표[급여 판정 근거],$J431))</f>
        <v/>
      </c>
      <c r="J431" s="17">
        <f>IFERROR(MATCH(427,명단표[명단순번],0),"")</f>
        <v/>
      </c>
    </row>
    <row r="432">
      <c r="A432">
        <f>IF($J432="","",TEXT(급여기준월,"yyyy-mm"))</f>
        <v/>
      </c>
      <c r="B432">
        <f>IF($J432="","",INDEX(명단표[사번],$J432)&amp;"")</f>
        <v/>
      </c>
      <c r="C432">
        <f>IF($J432="","",INDEX(명단표[이름],$J432))</f>
        <v/>
      </c>
      <c r="D432">
        <f>IF($J432="","",INDEX(명단표[수련과목],$J432))</f>
        <v/>
      </c>
      <c r="E432">
        <f>IF($J432="","",INDEX(명단표[연차],$J432)&amp;"")</f>
        <v/>
      </c>
      <c r="F432">
        <f>IF($J432="","",INDEX(명단표[소속병원],$J432))</f>
        <v/>
      </c>
      <c r="G432">
        <f>IF($J432="","",INDEX(명단표[기준월 근무병원],$J432))</f>
        <v/>
      </c>
      <c r="H432">
        <f>IF($J432="","",INDEX(명단표[급여지급병원(기준월)],$J432))</f>
        <v/>
      </c>
      <c r="I432">
        <f>IF($J432="","",INDEX(명단표[급여 판정 근거],$J432))</f>
        <v/>
      </c>
      <c r="J432" s="17">
        <f>IFERROR(MATCH(428,명단표[명단순번],0),"")</f>
        <v/>
      </c>
    </row>
    <row r="433">
      <c r="A433">
        <f>IF($J433="","",TEXT(급여기준월,"yyyy-mm"))</f>
        <v/>
      </c>
      <c r="B433">
        <f>IF($J433="","",INDEX(명단표[사번],$J433)&amp;"")</f>
        <v/>
      </c>
      <c r="C433">
        <f>IF($J433="","",INDEX(명단표[이름],$J433))</f>
        <v/>
      </c>
      <c r="D433">
        <f>IF($J433="","",INDEX(명단표[수련과목],$J433))</f>
        <v/>
      </c>
      <c r="E433">
        <f>IF($J433="","",INDEX(명단표[연차],$J433)&amp;"")</f>
        <v/>
      </c>
      <c r="F433">
        <f>IF($J433="","",INDEX(명단표[소속병원],$J433))</f>
        <v/>
      </c>
      <c r="G433">
        <f>IF($J433="","",INDEX(명단표[기준월 근무병원],$J433))</f>
        <v/>
      </c>
      <c r="H433">
        <f>IF($J433="","",INDEX(명단표[급여지급병원(기준월)],$J433))</f>
        <v/>
      </c>
      <c r="I433">
        <f>IF($J433="","",INDEX(명단표[급여 판정 근거],$J433))</f>
        <v/>
      </c>
      <c r="J433" s="17">
        <f>IFERROR(MATCH(429,명단표[명단순번],0),"")</f>
        <v/>
      </c>
    </row>
    <row r="434">
      <c r="A434">
        <f>IF($J434="","",TEXT(급여기준월,"yyyy-mm"))</f>
        <v/>
      </c>
      <c r="B434">
        <f>IF($J434="","",INDEX(명단표[사번],$J434)&amp;"")</f>
        <v/>
      </c>
      <c r="C434">
        <f>IF($J434="","",INDEX(명단표[이름],$J434))</f>
        <v/>
      </c>
      <c r="D434">
        <f>IF($J434="","",INDEX(명단표[수련과목],$J434))</f>
        <v/>
      </c>
      <c r="E434">
        <f>IF($J434="","",INDEX(명단표[연차],$J434)&amp;"")</f>
        <v/>
      </c>
      <c r="F434">
        <f>IF($J434="","",INDEX(명단표[소속병원],$J434))</f>
        <v/>
      </c>
      <c r="G434">
        <f>IF($J434="","",INDEX(명단표[기준월 근무병원],$J434))</f>
        <v/>
      </c>
      <c r="H434">
        <f>IF($J434="","",INDEX(명단표[급여지급병원(기준월)],$J434))</f>
        <v/>
      </c>
      <c r="I434">
        <f>IF($J434="","",INDEX(명단표[급여 판정 근거],$J434))</f>
        <v/>
      </c>
      <c r="J434" s="17">
        <f>IFERROR(MATCH(430,명단표[명단순번],0),"")</f>
        <v/>
      </c>
    </row>
    <row r="435">
      <c r="A435">
        <f>IF($J435="","",TEXT(급여기준월,"yyyy-mm"))</f>
        <v/>
      </c>
      <c r="B435">
        <f>IF($J435="","",INDEX(명단표[사번],$J435)&amp;"")</f>
        <v/>
      </c>
      <c r="C435">
        <f>IF($J435="","",INDEX(명단표[이름],$J435))</f>
        <v/>
      </c>
      <c r="D435">
        <f>IF($J435="","",INDEX(명단표[수련과목],$J435))</f>
        <v/>
      </c>
      <c r="E435">
        <f>IF($J435="","",INDEX(명단표[연차],$J435)&amp;"")</f>
        <v/>
      </c>
      <c r="F435">
        <f>IF($J435="","",INDEX(명단표[소속병원],$J435))</f>
        <v/>
      </c>
      <c r="G435">
        <f>IF($J435="","",INDEX(명단표[기준월 근무병원],$J435))</f>
        <v/>
      </c>
      <c r="H435">
        <f>IF($J435="","",INDEX(명단표[급여지급병원(기준월)],$J435))</f>
        <v/>
      </c>
      <c r="I435">
        <f>IF($J435="","",INDEX(명단표[급여 판정 근거],$J435))</f>
        <v/>
      </c>
      <c r="J435" s="17">
        <f>IFERROR(MATCH(431,명단표[명단순번],0),"")</f>
        <v/>
      </c>
    </row>
    <row r="436">
      <c r="A436">
        <f>IF($J436="","",TEXT(급여기준월,"yyyy-mm"))</f>
        <v/>
      </c>
      <c r="B436">
        <f>IF($J436="","",INDEX(명단표[사번],$J436)&amp;"")</f>
        <v/>
      </c>
      <c r="C436">
        <f>IF($J436="","",INDEX(명단표[이름],$J436))</f>
        <v/>
      </c>
      <c r="D436">
        <f>IF($J436="","",INDEX(명단표[수련과목],$J436))</f>
        <v/>
      </c>
      <c r="E436">
        <f>IF($J436="","",INDEX(명단표[연차],$J436)&amp;"")</f>
        <v/>
      </c>
      <c r="F436">
        <f>IF($J436="","",INDEX(명단표[소속병원],$J436))</f>
        <v/>
      </c>
      <c r="G436">
        <f>IF($J436="","",INDEX(명단표[기준월 근무병원],$J436))</f>
        <v/>
      </c>
      <c r="H436">
        <f>IF($J436="","",INDEX(명단표[급여지급병원(기준월)],$J436))</f>
        <v/>
      </c>
      <c r="I436">
        <f>IF($J436="","",INDEX(명단표[급여 판정 근거],$J436))</f>
        <v/>
      </c>
      <c r="J436" s="17">
        <f>IFERROR(MATCH(432,명단표[명단순번],0),"")</f>
        <v/>
      </c>
    </row>
    <row r="437">
      <c r="A437">
        <f>IF($J437="","",TEXT(급여기준월,"yyyy-mm"))</f>
        <v/>
      </c>
      <c r="B437">
        <f>IF($J437="","",INDEX(명단표[사번],$J437)&amp;"")</f>
        <v/>
      </c>
      <c r="C437">
        <f>IF($J437="","",INDEX(명단표[이름],$J437))</f>
        <v/>
      </c>
      <c r="D437">
        <f>IF($J437="","",INDEX(명단표[수련과목],$J437))</f>
        <v/>
      </c>
      <c r="E437">
        <f>IF($J437="","",INDEX(명단표[연차],$J437)&amp;"")</f>
        <v/>
      </c>
      <c r="F437">
        <f>IF($J437="","",INDEX(명단표[소속병원],$J437))</f>
        <v/>
      </c>
      <c r="G437">
        <f>IF($J437="","",INDEX(명단표[기준월 근무병원],$J437))</f>
        <v/>
      </c>
      <c r="H437">
        <f>IF($J437="","",INDEX(명단표[급여지급병원(기준월)],$J437))</f>
        <v/>
      </c>
      <c r="I437">
        <f>IF($J437="","",INDEX(명단표[급여 판정 근거],$J437))</f>
        <v/>
      </c>
      <c r="J437" s="17">
        <f>IFERROR(MATCH(433,명단표[명단순번],0),"")</f>
        <v/>
      </c>
    </row>
    <row r="438">
      <c r="A438">
        <f>IF($J438="","",TEXT(급여기준월,"yyyy-mm"))</f>
        <v/>
      </c>
      <c r="B438">
        <f>IF($J438="","",INDEX(명단표[사번],$J438)&amp;"")</f>
        <v/>
      </c>
      <c r="C438">
        <f>IF($J438="","",INDEX(명단표[이름],$J438))</f>
        <v/>
      </c>
      <c r="D438">
        <f>IF($J438="","",INDEX(명단표[수련과목],$J438))</f>
        <v/>
      </c>
      <c r="E438">
        <f>IF($J438="","",INDEX(명단표[연차],$J438)&amp;"")</f>
        <v/>
      </c>
      <c r="F438">
        <f>IF($J438="","",INDEX(명단표[소속병원],$J438))</f>
        <v/>
      </c>
      <c r="G438">
        <f>IF($J438="","",INDEX(명단표[기준월 근무병원],$J438))</f>
        <v/>
      </c>
      <c r="H438">
        <f>IF($J438="","",INDEX(명단표[급여지급병원(기준월)],$J438))</f>
        <v/>
      </c>
      <c r="I438">
        <f>IF($J438="","",INDEX(명단표[급여 판정 근거],$J438))</f>
        <v/>
      </c>
      <c r="J438" s="17">
        <f>IFERROR(MATCH(434,명단표[명단순번],0),"")</f>
        <v/>
      </c>
    </row>
    <row r="439">
      <c r="A439">
        <f>IF($J439="","",TEXT(급여기준월,"yyyy-mm"))</f>
        <v/>
      </c>
      <c r="B439">
        <f>IF($J439="","",INDEX(명단표[사번],$J439)&amp;"")</f>
        <v/>
      </c>
      <c r="C439">
        <f>IF($J439="","",INDEX(명단표[이름],$J439))</f>
        <v/>
      </c>
      <c r="D439">
        <f>IF($J439="","",INDEX(명단표[수련과목],$J439))</f>
        <v/>
      </c>
      <c r="E439">
        <f>IF($J439="","",INDEX(명단표[연차],$J439)&amp;"")</f>
        <v/>
      </c>
      <c r="F439">
        <f>IF($J439="","",INDEX(명단표[소속병원],$J439))</f>
        <v/>
      </c>
      <c r="G439">
        <f>IF($J439="","",INDEX(명단표[기준월 근무병원],$J439))</f>
        <v/>
      </c>
      <c r="H439">
        <f>IF($J439="","",INDEX(명단표[급여지급병원(기준월)],$J439))</f>
        <v/>
      </c>
      <c r="I439">
        <f>IF($J439="","",INDEX(명단표[급여 판정 근거],$J439))</f>
        <v/>
      </c>
      <c r="J439" s="17">
        <f>IFERROR(MATCH(435,명단표[명단순번],0),"")</f>
        <v/>
      </c>
    </row>
    <row r="440">
      <c r="A440">
        <f>IF($J440="","",TEXT(급여기준월,"yyyy-mm"))</f>
        <v/>
      </c>
      <c r="B440">
        <f>IF($J440="","",INDEX(명단표[사번],$J440)&amp;"")</f>
        <v/>
      </c>
      <c r="C440">
        <f>IF($J440="","",INDEX(명단표[이름],$J440))</f>
        <v/>
      </c>
      <c r="D440">
        <f>IF($J440="","",INDEX(명단표[수련과목],$J440))</f>
        <v/>
      </c>
      <c r="E440">
        <f>IF($J440="","",INDEX(명단표[연차],$J440)&amp;"")</f>
        <v/>
      </c>
      <c r="F440">
        <f>IF($J440="","",INDEX(명단표[소속병원],$J440))</f>
        <v/>
      </c>
      <c r="G440">
        <f>IF($J440="","",INDEX(명단표[기준월 근무병원],$J440))</f>
        <v/>
      </c>
      <c r="H440">
        <f>IF($J440="","",INDEX(명단표[급여지급병원(기준월)],$J440))</f>
        <v/>
      </c>
      <c r="I440">
        <f>IF($J440="","",INDEX(명단표[급여 판정 근거],$J440))</f>
        <v/>
      </c>
      <c r="J440" s="17">
        <f>IFERROR(MATCH(436,명단표[명단순번],0),"")</f>
        <v/>
      </c>
    </row>
    <row r="441">
      <c r="A441">
        <f>IF($J441="","",TEXT(급여기준월,"yyyy-mm"))</f>
        <v/>
      </c>
      <c r="B441">
        <f>IF($J441="","",INDEX(명단표[사번],$J441)&amp;"")</f>
        <v/>
      </c>
      <c r="C441">
        <f>IF($J441="","",INDEX(명단표[이름],$J441))</f>
        <v/>
      </c>
      <c r="D441">
        <f>IF($J441="","",INDEX(명단표[수련과목],$J441))</f>
        <v/>
      </c>
      <c r="E441">
        <f>IF($J441="","",INDEX(명단표[연차],$J441)&amp;"")</f>
        <v/>
      </c>
      <c r="F441">
        <f>IF($J441="","",INDEX(명단표[소속병원],$J441))</f>
        <v/>
      </c>
      <c r="G441">
        <f>IF($J441="","",INDEX(명단표[기준월 근무병원],$J441))</f>
        <v/>
      </c>
      <c r="H441">
        <f>IF($J441="","",INDEX(명단표[급여지급병원(기준월)],$J441))</f>
        <v/>
      </c>
      <c r="I441">
        <f>IF($J441="","",INDEX(명단표[급여 판정 근거],$J441))</f>
        <v/>
      </c>
      <c r="J441" s="17">
        <f>IFERROR(MATCH(437,명단표[명단순번],0),"")</f>
        <v/>
      </c>
    </row>
    <row r="442">
      <c r="A442">
        <f>IF($J442="","",TEXT(급여기준월,"yyyy-mm"))</f>
        <v/>
      </c>
      <c r="B442">
        <f>IF($J442="","",INDEX(명단표[사번],$J442)&amp;"")</f>
        <v/>
      </c>
      <c r="C442">
        <f>IF($J442="","",INDEX(명단표[이름],$J442))</f>
        <v/>
      </c>
      <c r="D442">
        <f>IF($J442="","",INDEX(명단표[수련과목],$J442))</f>
        <v/>
      </c>
      <c r="E442">
        <f>IF($J442="","",INDEX(명단표[연차],$J442)&amp;"")</f>
        <v/>
      </c>
      <c r="F442">
        <f>IF($J442="","",INDEX(명단표[소속병원],$J442))</f>
        <v/>
      </c>
      <c r="G442">
        <f>IF($J442="","",INDEX(명단표[기준월 근무병원],$J442))</f>
        <v/>
      </c>
      <c r="H442">
        <f>IF($J442="","",INDEX(명단표[급여지급병원(기준월)],$J442))</f>
        <v/>
      </c>
      <c r="I442">
        <f>IF($J442="","",INDEX(명단표[급여 판정 근거],$J442))</f>
        <v/>
      </c>
      <c r="J442" s="17">
        <f>IFERROR(MATCH(438,명단표[명단순번],0),"")</f>
        <v/>
      </c>
    </row>
    <row r="443">
      <c r="A443">
        <f>IF($J443="","",TEXT(급여기준월,"yyyy-mm"))</f>
        <v/>
      </c>
      <c r="B443">
        <f>IF($J443="","",INDEX(명단표[사번],$J443)&amp;"")</f>
        <v/>
      </c>
      <c r="C443">
        <f>IF($J443="","",INDEX(명단표[이름],$J443))</f>
        <v/>
      </c>
      <c r="D443">
        <f>IF($J443="","",INDEX(명단표[수련과목],$J443))</f>
        <v/>
      </c>
      <c r="E443">
        <f>IF($J443="","",INDEX(명단표[연차],$J443)&amp;"")</f>
        <v/>
      </c>
      <c r="F443">
        <f>IF($J443="","",INDEX(명단표[소속병원],$J443))</f>
        <v/>
      </c>
      <c r="G443">
        <f>IF($J443="","",INDEX(명단표[기준월 근무병원],$J443))</f>
        <v/>
      </c>
      <c r="H443">
        <f>IF($J443="","",INDEX(명단표[급여지급병원(기준월)],$J443))</f>
        <v/>
      </c>
      <c r="I443">
        <f>IF($J443="","",INDEX(명단표[급여 판정 근거],$J443))</f>
        <v/>
      </c>
      <c r="J443" s="17">
        <f>IFERROR(MATCH(439,명단표[명단순번],0),"")</f>
        <v/>
      </c>
    </row>
    <row r="444">
      <c r="A444">
        <f>IF($J444="","",TEXT(급여기준월,"yyyy-mm"))</f>
        <v/>
      </c>
      <c r="B444">
        <f>IF($J444="","",INDEX(명단표[사번],$J444)&amp;"")</f>
        <v/>
      </c>
      <c r="C444">
        <f>IF($J444="","",INDEX(명단표[이름],$J444))</f>
        <v/>
      </c>
      <c r="D444">
        <f>IF($J444="","",INDEX(명단표[수련과목],$J444))</f>
        <v/>
      </c>
      <c r="E444">
        <f>IF($J444="","",INDEX(명단표[연차],$J444)&amp;"")</f>
        <v/>
      </c>
      <c r="F444">
        <f>IF($J444="","",INDEX(명단표[소속병원],$J444))</f>
        <v/>
      </c>
      <c r="G444">
        <f>IF($J444="","",INDEX(명단표[기준월 근무병원],$J444))</f>
        <v/>
      </c>
      <c r="H444">
        <f>IF($J444="","",INDEX(명단표[급여지급병원(기준월)],$J444))</f>
        <v/>
      </c>
      <c r="I444">
        <f>IF($J444="","",INDEX(명단표[급여 판정 근거],$J444))</f>
        <v/>
      </c>
      <c r="J444" s="17">
        <f>IFERROR(MATCH(440,명단표[명단순번],0),"")</f>
        <v/>
      </c>
    </row>
    <row r="445">
      <c r="A445">
        <f>IF($J445="","",TEXT(급여기준월,"yyyy-mm"))</f>
        <v/>
      </c>
      <c r="B445">
        <f>IF($J445="","",INDEX(명단표[사번],$J445)&amp;"")</f>
        <v/>
      </c>
      <c r="C445">
        <f>IF($J445="","",INDEX(명단표[이름],$J445))</f>
        <v/>
      </c>
      <c r="D445">
        <f>IF($J445="","",INDEX(명단표[수련과목],$J445))</f>
        <v/>
      </c>
      <c r="E445">
        <f>IF($J445="","",INDEX(명단표[연차],$J445)&amp;"")</f>
        <v/>
      </c>
      <c r="F445">
        <f>IF($J445="","",INDEX(명단표[소속병원],$J445))</f>
        <v/>
      </c>
      <c r="G445">
        <f>IF($J445="","",INDEX(명단표[기준월 근무병원],$J445))</f>
        <v/>
      </c>
      <c r="H445">
        <f>IF($J445="","",INDEX(명단표[급여지급병원(기준월)],$J445))</f>
        <v/>
      </c>
      <c r="I445">
        <f>IF($J445="","",INDEX(명단표[급여 판정 근거],$J445))</f>
        <v/>
      </c>
      <c r="J445" s="17">
        <f>IFERROR(MATCH(441,명단표[명단순번],0),"")</f>
        <v/>
      </c>
    </row>
    <row r="446">
      <c r="A446">
        <f>IF($J446="","",TEXT(급여기준월,"yyyy-mm"))</f>
        <v/>
      </c>
      <c r="B446">
        <f>IF($J446="","",INDEX(명단표[사번],$J446)&amp;"")</f>
        <v/>
      </c>
      <c r="C446">
        <f>IF($J446="","",INDEX(명단표[이름],$J446))</f>
        <v/>
      </c>
      <c r="D446">
        <f>IF($J446="","",INDEX(명단표[수련과목],$J446))</f>
        <v/>
      </c>
      <c r="E446">
        <f>IF($J446="","",INDEX(명단표[연차],$J446)&amp;"")</f>
        <v/>
      </c>
      <c r="F446">
        <f>IF($J446="","",INDEX(명단표[소속병원],$J446))</f>
        <v/>
      </c>
      <c r="G446">
        <f>IF($J446="","",INDEX(명단표[기준월 근무병원],$J446))</f>
        <v/>
      </c>
      <c r="H446">
        <f>IF($J446="","",INDEX(명단표[급여지급병원(기준월)],$J446))</f>
        <v/>
      </c>
      <c r="I446">
        <f>IF($J446="","",INDEX(명단표[급여 판정 근거],$J446))</f>
        <v/>
      </c>
      <c r="J446" s="17">
        <f>IFERROR(MATCH(442,명단표[명단순번],0),"")</f>
        <v/>
      </c>
    </row>
    <row r="447">
      <c r="A447">
        <f>IF($J447="","",TEXT(급여기준월,"yyyy-mm"))</f>
        <v/>
      </c>
      <c r="B447">
        <f>IF($J447="","",INDEX(명단표[사번],$J447)&amp;"")</f>
        <v/>
      </c>
      <c r="C447">
        <f>IF($J447="","",INDEX(명단표[이름],$J447))</f>
        <v/>
      </c>
      <c r="D447">
        <f>IF($J447="","",INDEX(명단표[수련과목],$J447))</f>
        <v/>
      </c>
      <c r="E447">
        <f>IF($J447="","",INDEX(명단표[연차],$J447)&amp;"")</f>
        <v/>
      </c>
      <c r="F447">
        <f>IF($J447="","",INDEX(명단표[소속병원],$J447))</f>
        <v/>
      </c>
      <c r="G447">
        <f>IF($J447="","",INDEX(명단표[기준월 근무병원],$J447))</f>
        <v/>
      </c>
      <c r="H447">
        <f>IF($J447="","",INDEX(명단표[급여지급병원(기준월)],$J447))</f>
        <v/>
      </c>
      <c r="I447">
        <f>IF($J447="","",INDEX(명단표[급여 판정 근거],$J447))</f>
        <v/>
      </c>
      <c r="J447" s="17">
        <f>IFERROR(MATCH(443,명단표[명단순번],0),"")</f>
        <v/>
      </c>
    </row>
    <row r="448">
      <c r="A448">
        <f>IF($J448="","",TEXT(급여기준월,"yyyy-mm"))</f>
        <v/>
      </c>
      <c r="B448">
        <f>IF($J448="","",INDEX(명단표[사번],$J448)&amp;"")</f>
        <v/>
      </c>
      <c r="C448">
        <f>IF($J448="","",INDEX(명단표[이름],$J448))</f>
        <v/>
      </c>
      <c r="D448">
        <f>IF($J448="","",INDEX(명단표[수련과목],$J448))</f>
        <v/>
      </c>
      <c r="E448">
        <f>IF($J448="","",INDEX(명단표[연차],$J448)&amp;"")</f>
        <v/>
      </c>
      <c r="F448">
        <f>IF($J448="","",INDEX(명단표[소속병원],$J448))</f>
        <v/>
      </c>
      <c r="G448">
        <f>IF($J448="","",INDEX(명단표[기준월 근무병원],$J448))</f>
        <v/>
      </c>
      <c r="H448">
        <f>IF($J448="","",INDEX(명단표[급여지급병원(기준월)],$J448))</f>
        <v/>
      </c>
      <c r="I448">
        <f>IF($J448="","",INDEX(명단표[급여 판정 근거],$J448))</f>
        <v/>
      </c>
      <c r="J448" s="17">
        <f>IFERROR(MATCH(444,명단표[명단순번],0),"")</f>
        <v/>
      </c>
    </row>
    <row r="449">
      <c r="A449">
        <f>IF($J449="","",TEXT(급여기준월,"yyyy-mm"))</f>
        <v/>
      </c>
      <c r="B449">
        <f>IF($J449="","",INDEX(명단표[사번],$J449)&amp;"")</f>
        <v/>
      </c>
      <c r="C449">
        <f>IF($J449="","",INDEX(명단표[이름],$J449))</f>
        <v/>
      </c>
      <c r="D449">
        <f>IF($J449="","",INDEX(명단표[수련과목],$J449))</f>
        <v/>
      </c>
      <c r="E449">
        <f>IF($J449="","",INDEX(명단표[연차],$J449)&amp;"")</f>
        <v/>
      </c>
      <c r="F449">
        <f>IF($J449="","",INDEX(명단표[소속병원],$J449))</f>
        <v/>
      </c>
      <c r="G449">
        <f>IF($J449="","",INDEX(명단표[기준월 근무병원],$J449))</f>
        <v/>
      </c>
      <c r="H449">
        <f>IF($J449="","",INDEX(명단표[급여지급병원(기준월)],$J449))</f>
        <v/>
      </c>
      <c r="I449">
        <f>IF($J449="","",INDEX(명단표[급여 판정 근거],$J449))</f>
        <v/>
      </c>
      <c r="J449" s="17">
        <f>IFERROR(MATCH(445,명단표[명단순번],0),"")</f>
        <v/>
      </c>
    </row>
    <row r="450">
      <c r="A450">
        <f>IF($J450="","",TEXT(급여기준월,"yyyy-mm"))</f>
        <v/>
      </c>
      <c r="B450">
        <f>IF($J450="","",INDEX(명단표[사번],$J450)&amp;"")</f>
        <v/>
      </c>
      <c r="C450">
        <f>IF($J450="","",INDEX(명단표[이름],$J450))</f>
        <v/>
      </c>
      <c r="D450">
        <f>IF($J450="","",INDEX(명단표[수련과목],$J450))</f>
        <v/>
      </c>
      <c r="E450">
        <f>IF($J450="","",INDEX(명단표[연차],$J450)&amp;"")</f>
        <v/>
      </c>
      <c r="F450">
        <f>IF($J450="","",INDEX(명단표[소속병원],$J450))</f>
        <v/>
      </c>
      <c r="G450">
        <f>IF($J450="","",INDEX(명단표[기준월 근무병원],$J450))</f>
        <v/>
      </c>
      <c r="H450">
        <f>IF($J450="","",INDEX(명단표[급여지급병원(기준월)],$J450))</f>
        <v/>
      </c>
      <c r="I450">
        <f>IF($J450="","",INDEX(명단표[급여 판정 근거],$J450))</f>
        <v/>
      </c>
      <c r="J450" s="17">
        <f>IFERROR(MATCH(446,명단표[명단순번],0),"")</f>
        <v/>
      </c>
    </row>
    <row r="451">
      <c r="A451">
        <f>IF($J451="","",TEXT(급여기준월,"yyyy-mm"))</f>
        <v/>
      </c>
      <c r="B451">
        <f>IF($J451="","",INDEX(명단표[사번],$J451)&amp;"")</f>
        <v/>
      </c>
      <c r="C451">
        <f>IF($J451="","",INDEX(명단표[이름],$J451))</f>
        <v/>
      </c>
      <c r="D451">
        <f>IF($J451="","",INDEX(명단표[수련과목],$J451))</f>
        <v/>
      </c>
      <c r="E451">
        <f>IF($J451="","",INDEX(명단표[연차],$J451)&amp;"")</f>
        <v/>
      </c>
      <c r="F451">
        <f>IF($J451="","",INDEX(명단표[소속병원],$J451))</f>
        <v/>
      </c>
      <c r="G451">
        <f>IF($J451="","",INDEX(명단표[기준월 근무병원],$J451))</f>
        <v/>
      </c>
      <c r="H451">
        <f>IF($J451="","",INDEX(명단표[급여지급병원(기준월)],$J451))</f>
        <v/>
      </c>
      <c r="I451">
        <f>IF($J451="","",INDEX(명단표[급여 판정 근거],$J451))</f>
        <v/>
      </c>
      <c r="J451" s="17">
        <f>IFERROR(MATCH(447,명단표[명단순번],0),"")</f>
        <v/>
      </c>
    </row>
    <row r="452">
      <c r="A452">
        <f>IF($J452="","",TEXT(급여기준월,"yyyy-mm"))</f>
        <v/>
      </c>
      <c r="B452">
        <f>IF($J452="","",INDEX(명단표[사번],$J452)&amp;"")</f>
        <v/>
      </c>
      <c r="C452">
        <f>IF($J452="","",INDEX(명단표[이름],$J452))</f>
        <v/>
      </c>
      <c r="D452">
        <f>IF($J452="","",INDEX(명단표[수련과목],$J452))</f>
        <v/>
      </c>
      <c r="E452">
        <f>IF($J452="","",INDEX(명단표[연차],$J452)&amp;"")</f>
        <v/>
      </c>
      <c r="F452">
        <f>IF($J452="","",INDEX(명단표[소속병원],$J452))</f>
        <v/>
      </c>
      <c r="G452">
        <f>IF($J452="","",INDEX(명단표[기준월 근무병원],$J452))</f>
        <v/>
      </c>
      <c r="H452">
        <f>IF($J452="","",INDEX(명단표[급여지급병원(기준월)],$J452))</f>
        <v/>
      </c>
      <c r="I452">
        <f>IF($J452="","",INDEX(명단표[급여 판정 근거],$J452))</f>
        <v/>
      </c>
      <c r="J452" s="17">
        <f>IFERROR(MATCH(448,명단표[명단순번],0),"")</f>
        <v/>
      </c>
    </row>
    <row r="453">
      <c r="A453">
        <f>IF($J453="","",TEXT(급여기준월,"yyyy-mm"))</f>
        <v/>
      </c>
      <c r="B453">
        <f>IF($J453="","",INDEX(명단표[사번],$J453)&amp;"")</f>
        <v/>
      </c>
      <c r="C453">
        <f>IF($J453="","",INDEX(명단표[이름],$J453))</f>
        <v/>
      </c>
      <c r="D453">
        <f>IF($J453="","",INDEX(명단표[수련과목],$J453))</f>
        <v/>
      </c>
      <c r="E453">
        <f>IF($J453="","",INDEX(명단표[연차],$J453)&amp;"")</f>
        <v/>
      </c>
      <c r="F453">
        <f>IF($J453="","",INDEX(명단표[소속병원],$J453))</f>
        <v/>
      </c>
      <c r="G453">
        <f>IF($J453="","",INDEX(명단표[기준월 근무병원],$J453))</f>
        <v/>
      </c>
      <c r="H453">
        <f>IF($J453="","",INDEX(명단표[급여지급병원(기준월)],$J453))</f>
        <v/>
      </c>
      <c r="I453">
        <f>IF($J453="","",INDEX(명단표[급여 판정 근거],$J453))</f>
        <v/>
      </c>
      <c r="J453" s="17">
        <f>IFERROR(MATCH(449,명단표[명단순번],0),"")</f>
        <v/>
      </c>
    </row>
    <row r="454">
      <c r="A454">
        <f>IF($J454="","",TEXT(급여기준월,"yyyy-mm"))</f>
        <v/>
      </c>
      <c r="B454">
        <f>IF($J454="","",INDEX(명단표[사번],$J454)&amp;"")</f>
        <v/>
      </c>
      <c r="C454">
        <f>IF($J454="","",INDEX(명단표[이름],$J454))</f>
        <v/>
      </c>
      <c r="D454">
        <f>IF($J454="","",INDEX(명단표[수련과목],$J454))</f>
        <v/>
      </c>
      <c r="E454">
        <f>IF($J454="","",INDEX(명단표[연차],$J454)&amp;"")</f>
        <v/>
      </c>
      <c r="F454">
        <f>IF($J454="","",INDEX(명단표[소속병원],$J454))</f>
        <v/>
      </c>
      <c r="G454">
        <f>IF($J454="","",INDEX(명단표[기준월 근무병원],$J454))</f>
        <v/>
      </c>
      <c r="H454">
        <f>IF($J454="","",INDEX(명단표[급여지급병원(기준월)],$J454))</f>
        <v/>
      </c>
      <c r="I454">
        <f>IF($J454="","",INDEX(명단표[급여 판정 근거],$J454))</f>
        <v/>
      </c>
      <c r="J454" s="17">
        <f>IFERROR(MATCH(450,명단표[명단순번],0),"")</f>
        <v/>
      </c>
    </row>
    <row r="455">
      <c r="A455">
        <f>IF($J455="","",TEXT(급여기준월,"yyyy-mm"))</f>
        <v/>
      </c>
      <c r="B455">
        <f>IF($J455="","",INDEX(명단표[사번],$J455)&amp;"")</f>
        <v/>
      </c>
      <c r="C455">
        <f>IF($J455="","",INDEX(명단표[이름],$J455))</f>
        <v/>
      </c>
      <c r="D455">
        <f>IF($J455="","",INDEX(명단표[수련과목],$J455))</f>
        <v/>
      </c>
      <c r="E455">
        <f>IF($J455="","",INDEX(명단표[연차],$J455)&amp;"")</f>
        <v/>
      </c>
      <c r="F455">
        <f>IF($J455="","",INDEX(명단표[소속병원],$J455))</f>
        <v/>
      </c>
      <c r="G455">
        <f>IF($J455="","",INDEX(명단표[기준월 근무병원],$J455))</f>
        <v/>
      </c>
      <c r="H455">
        <f>IF($J455="","",INDEX(명단표[급여지급병원(기준월)],$J455))</f>
        <v/>
      </c>
      <c r="I455">
        <f>IF($J455="","",INDEX(명단표[급여 판정 근거],$J455))</f>
        <v/>
      </c>
      <c r="J455" s="17">
        <f>IFERROR(MATCH(451,명단표[명단순번],0),"")</f>
        <v/>
      </c>
    </row>
    <row r="456">
      <c r="A456">
        <f>IF($J456="","",TEXT(급여기준월,"yyyy-mm"))</f>
        <v/>
      </c>
      <c r="B456">
        <f>IF($J456="","",INDEX(명단표[사번],$J456)&amp;"")</f>
        <v/>
      </c>
      <c r="C456">
        <f>IF($J456="","",INDEX(명단표[이름],$J456))</f>
        <v/>
      </c>
      <c r="D456">
        <f>IF($J456="","",INDEX(명단표[수련과목],$J456))</f>
        <v/>
      </c>
      <c r="E456">
        <f>IF($J456="","",INDEX(명단표[연차],$J456)&amp;"")</f>
        <v/>
      </c>
      <c r="F456">
        <f>IF($J456="","",INDEX(명단표[소속병원],$J456))</f>
        <v/>
      </c>
      <c r="G456">
        <f>IF($J456="","",INDEX(명단표[기준월 근무병원],$J456))</f>
        <v/>
      </c>
      <c r="H456">
        <f>IF($J456="","",INDEX(명단표[급여지급병원(기준월)],$J456))</f>
        <v/>
      </c>
      <c r="I456">
        <f>IF($J456="","",INDEX(명단표[급여 판정 근거],$J456))</f>
        <v/>
      </c>
      <c r="J456" s="17">
        <f>IFERROR(MATCH(452,명단표[명단순번],0),"")</f>
        <v/>
      </c>
    </row>
    <row r="457">
      <c r="A457">
        <f>IF($J457="","",TEXT(급여기준월,"yyyy-mm"))</f>
        <v/>
      </c>
      <c r="B457">
        <f>IF($J457="","",INDEX(명단표[사번],$J457)&amp;"")</f>
        <v/>
      </c>
      <c r="C457">
        <f>IF($J457="","",INDEX(명단표[이름],$J457))</f>
        <v/>
      </c>
      <c r="D457">
        <f>IF($J457="","",INDEX(명단표[수련과목],$J457))</f>
        <v/>
      </c>
      <c r="E457">
        <f>IF($J457="","",INDEX(명단표[연차],$J457)&amp;"")</f>
        <v/>
      </c>
      <c r="F457">
        <f>IF($J457="","",INDEX(명단표[소속병원],$J457))</f>
        <v/>
      </c>
      <c r="G457">
        <f>IF($J457="","",INDEX(명단표[기준월 근무병원],$J457))</f>
        <v/>
      </c>
      <c r="H457">
        <f>IF($J457="","",INDEX(명단표[급여지급병원(기준월)],$J457))</f>
        <v/>
      </c>
      <c r="I457">
        <f>IF($J457="","",INDEX(명단표[급여 판정 근거],$J457))</f>
        <v/>
      </c>
      <c r="J457" s="17">
        <f>IFERROR(MATCH(453,명단표[명단순번],0),"")</f>
        <v/>
      </c>
    </row>
    <row r="458">
      <c r="A458">
        <f>IF($J458="","",TEXT(급여기준월,"yyyy-mm"))</f>
        <v/>
      </c>
      <c r="B458">
        <f>IF($J458="","",INDEX(명단표[사번],$J458)&amp;"")</f>
        <v/>
      </c>
      <c r="C458">
        <f>IF($J458="","",INDEX(명단표[이름],$J458))</f>
        <v/>
      </c>
      <c r="D458">
        <f>IF($J458="","",INDEX(명단표[수련과목],$J458))</f>
        <v/>
      </c>
      <c r="E458">
        <f>IF($J458="","",INDEX(명단표[연차],$J458)&amp;"")</f>
        <v/>
      </c>
      <c r="F458">
        <f>IF($J458="","",INDEX(명단표[소속병원],$J458))</f>
        <v/>
      </c>
      <c r="G458">
        <f>IF($J458="","",INDEX(명단표[기준월 근무병원],$J458))</f>
        <v/>
      </c>
      <c r="H458">
        <f>IF($J458="","",INDEX(명단표[급여지급병원(기준월)],$J458))</f>
        <v/>
      </c>
      <c r="I458">
        <f>IF($J458="","",INDEX(명단표[급여 판정 근거],$J458))</f>
        <v/>
      </c>
      <c r="J458" s="17">
        <f>IFERROR(MATCH(454,명단표[명단순번],0),"")</f>
        <v/>
      </c>
    </row>
    <row r="459">
      <c r="A459">
        <f>IF($J459="","",TEXT(급여기준월,"yyyy-mm"))</f>
        <v/>
      </c>
      <c r="B459">
        <f>IF($J459="","",INDEX(명단표[사번],$J459)&amp;"")</f>
        <v/>
      </c>
      <c r="C459">
        <f>IF($J459="","",INDEX(명단표[이름],$J459))</f>
        <v/>
      </c>
      <c r="D459">
        <f>IF($J459="","",INDEX(명단표[수련과목],$J459))</f>
        <v/>
      </c>
      <c r="E459">
        <f>IF($J459="","",INDEX(명단표[연차],$J459)&amp;"")</f>
        <v/>
      </c>
      <c r="F459">
        <f>IF($J459="","",INDEX(명단표[소속병원],$J459))</f>
        <v/>
      </c>
      <c r="G459">
        <f>IF($J459="","",INDEX(명단표[기준월 근무병원],$J459))</f>
        <v/>
      </c>
      <c r="H459">
        <f>IF($J459="","",INDEX(명단표[급여지급병원(기준월)],$J459))</f>
        <v/>
      </c>
      <c r="I459">
        <f>IF($J459="","",INDEX(명단표[급여 판정 근거],$J459))</f>
        <v/>
      </c>
      <c r="J459" s="17">
        <f>IFERROR(MATCH(455,명단표[명단순번],0),"")</f>
        <v/>
      </c>
    </row>
    <row r="460">
      <c r="A460">
        <f>IF($J460="","",TEXT(급여기준월,"yyyy-mm"))</f>
        <v/>
      </c>
      <c r="B460">
        <f>IF($J460="","",INDEX(명단표[사번],$J460)&amp;"")</f>
        <v/>
      </c>
      <c r="C460">
        <f>IF($J460="","",INDEX(명단표[이름],$J460))</f>
        <v/>
      </c>
      <c r="D460">
        <f>IF($J460="","",INDEX(명단표[수련과목],$J460))</f>
        <v/>
      </c>
      <c r="E460">
        <f>IF($J460="","",INDEX(명단표[연차],$J460)&amp;"")</f>
        <v/>
      </c>
      <c r="F460">
        <f>IF($J460="","",INDEX(명단표[소속병원],$J460))</f>
        <v/>
      </c>
      <c r="G460">
        <f>IF($J460="","",INDEX(명단표[기준월 근무병원],$J460))</f>
        <v/>
      </c>
      <c r="H460">
        <f>IF($J460="","",INDEX(명단표[급여지급병원(기준월)],$J460))</f>
        <v/>
      </c>
      <c r="I460">
        <f>IF($J460="","",INDEX(명단표[급여 판정 근거],$J460))</f>
        <v/>
      </c>
      <c r="J460" s="17">
        <f>IFERROR(MATCH(456,명단표[명단순번],0),"")</f>
        <v/>
      </c>
    </row>
    <row r="461">
      <c r="A461">
        <f>IF($J461="","",TEXT(급여기준월,"yyyy-mm"))</f>
        <v/>
      </c>
      <c r="B461">
        <f>IF($J461="","",INDEX(명단표[사번],$J461)&amp;"")</f>
        <v/>
      </c>
      <c r="C461">
        <f>IF($J461="","",INDEX(명단표[이름],$J461))</f>
        <v/>
      </c>
      <c r="D461">
        <f>IF($J461="","",INDEX(명단표[수련과목],$J461))</f>
        <v/>
      </c>
      <c r="E461">
        <f>IF($J461="","",INDEX(명단표[연차],$J461)&amp;"")</f>
        <v/>
      </c>
      <c r="F461">
        <f>IF($J461="","",INDEX(명단표[소속병원],$J461))</f>
        <v/>
      </c>
      <c r="G461">
        <f>IF($J461="","",INDEX(명단표[기준월 근무병원],$J461))</f>
        <v/>
      </c>
      <c r="H461">
        <f>IF($J461="","",INDEX(명단표[급여지급병원(기준월)],$J461))</f>
        <v/>
      </c>
      <c r="I461">
        <f>IF($J461="","",INDEX(명단표[급여 판정 근거],$J461))</f>
        <v/>
      </c>
      <c r="J461" s="17">
        <f>IFERROR(MATCH(457,명단표[명단순번],0),"")</f>
        <v/>
      </c>
    </row>
    <row r="462">
      <c r="A462">
        <f>IF($J462="","",TEXT(급여기준월,"yyyy-mm"))</f>
        <v/>
      </c>
      <c r="B462">
        <f>IF($J462="","",INDEX(명단표[사번],$J462)&amp;"")</f>
        <v/>
      </c>
      <c r="C462">
        <f>IF($J462="","",INDEX(명단표[이름],$J462))</f>
        <v/>
      </c>
      <c r="D462">
        <f>IF($J462="","",INDEX(명단표[수련과목],$J462))</f>
        <v/>
      </c>
      <c r="E462">
        <f>IF($J462="","",INDEX(명단표[연차],$J462)&amp;"")</f>
        <v/>
      </c>
      <c r="F462">
        <f>IF($J462="","",INDEX(명단표[소속병원],$J462))</f>
        <v/>
      </c>
      <c r="G462">
        <f>IF($J462="","",INDEX(명단표[기준월 근무병원],$J462))</f>
        <v/>
      </c>
      <c r="H462">
        <f>IF($J462="","",INDEX(명단표[급여지급병원(기준월)],$J462))</f>
        <v/>
      </c>
      <c r="I462">
        <f>IF($J462="","",INDEX(명단표[급여 판정 근거],$J462))</f>
        <v/>
      </c>
      <c r="J462" s="17">
        <f>IFERROR(MATCH(458,명단표[명단순번],0),"")</f>
        <v/>
      </c>
    </row>
    <row r="463">
      <c r="A463">
        <f>IF($J463="","",TEXT(급여기준월,"yyyy-mm"))</f>
        <v/>
      </c>
      <c r="B463">
        <f>IF($J463="","",INDEX(명단표[사번],$J463)&amp;"")</f>
        <v/>
      </c>
      <c r="C463">
        <f>IF($J463="","",INDEX(명단표[이름],$J463))</f>
        <v/>
      </c>
      <c r="D463">
        <f>IF($J463="","",INDEX(명단표[수련과목],$J463))</f>
        <v/>
      </c>
      <c r="E463">
        <f>IF($J463="","",INDEX(명단표[연차],$J463)&amp;"")</f>
        <v/>
      </c>
      <c r="F463">
        <f>IF($J463="","",INDEX(명단표[소속병원],$J463))</f>
        <v/>
      </c>
      <c r="G463">
        <f>IF($J463="","",INDEX(명단표[기준월 근무병원],$J463))</f>
        <v/>
      </c>
      <c r="H463">
        <f>IF($J463="","",INDEX(명단표[급여지급병원(기준월)],$J463))</f>
        <v/>
      </c>
      <c r="I463">
        <f>IF($J463="","",INDEX(명단표[급여 판정 근거],$J463))</f>
        <v/>
      </c>
      <c r="J463" s="17">
        <f>IFERROR(MATCH(459,명단표[명단순번],0),"")</f>
        <v/>
      </c>
    </row>
    <row r="464">
      <c r="A464">
        <f>IF($J464="","",TEXT(급여기준월,"yyyy-mm"))</f>
        <v/>
      </c>
      <c r="B464">
        <f>IF($J464="","",INDEX(명단표[사번],$J464)&amp;"")</f>
        <v/>
      </c>
      <c r="C464">
        <f>IF($J464="","",INDEX(명단표[이름],$J464))</f>
        <v/>
      </c>
      <c r="D464">
        <f>IF($J464="","",INDEX(명단표[수련과목],$J464))</f>
        <v/>
      </c>
      <c r="E464">
        <f>IF($J464="","",INDEX(명단표[연차],$J464)&amp;"")</f>
        <v/>
      </c>
      <c r="F464">
        <f>IF($J464="","",INDEX(명단표[소속병원],$J464))</f>
        <v/>
      </c>
      <c r="G464">
        <f>IF($J464="","",INDEX(명단표[기준월 근무병원],$J464))</f>
        <v/>
      </c>
      <c r="H464">
        <f>IF($J464="","",INDEX(명단표[급여지급병원(기준월)],$J464))</f>
        <v/>
      </c>
      <c r="I464">
        <f>IF($J464="","",INDEX(명단표[급여 판정 근거],$J464))</f>
        <v/>
      </c>
      <c r="J464" s="17">
        <f>IFERROR(MATCH(460,명단표[명단순번],0),"")</f>
        <v/>
      </c>
    </row>
    <row r="465">
      <c r="A465">
        <f>IF($J465="","",TEXT(급여기준월,"yyyy-mm"))</f>
        <v/>
      </c>
      <c r="B465">
        <f>IF($J465="","",INDEX(명단표[사번],$J465)&amp;"")</f>
        <v/>
      </c>
      <c r="C465">
        <f>IF($J465="","",INDEX(명단표[이름],$J465))</f>
        <v/>
      </c>
      <c r="D465">
        <f>IF($J465="","",INDEX(명단표[수련과목],$J465))</f>
        <v/>
      </c>
      <c r="E465">
        <f>IF($J465="","",INDEX(명단표[연차],$J465)&amp;"")</f>
        <v/>
      </c>
      <c r="F465">
        <f>IF($J465="","",INDEX(명단표[소속병원],$J465))</f>
        <v/>
      </c>
      <c r="G465">
        <f>IF($J465="","",INDEX(명단표[기준월 근무병원],$J465))</f>
        <v/>
      </c>
      <c r="H465">
        <f>IF($J465="","",INDEX(명단표[급여지급병원(기준월)],$J465))</f>
        <v/>
      </c>
      <c r="I465">
        <f>IF($J465="","",INDEX(명단표[급여 판정 근거],$J465))</f>
        <v/>
      </c>
      <c r="J465" s="17">
        <f>IFERROR(MATCH(461,명단표[명단순번],0),"")</f>
        <v/>
      </c>
    </row>
    <row r="466">
      <c r="A466">
        <f>IF($J466="","",TEXT(급여기준월,"yyyy-mm"))</f>
        <v/>
      </c>
      <c r="B466">
        <f>IF($J466="","",INDEX(명단표[사번],$J466)&amp;"")</f>
        <v/>
      </c>
      <c r="C466">
        <f>IF($J466="","",INDEX(명단표[이름],$J466))</f>
        <v/>
      </c>
      <c r="D466">
        <f>IF($J466="","",INDEX(명단표[수련과목],$J466))</f>
        <v/>
      </c>
      <c r="E466">
        <f>IF($J466="","",INDEX(명단표[연차],$J466)&amp;"")</f>
        <v/>
      </c>
      <c r="F466">
        <f>IF($J466="","",INDEX(명단표[소속병원],$J466))</f>
        <v/>
      </c>
      <c r="G466">
        <f>IF($J466="","",INDEX(명단표[기준월 근무병원],$J466))</f>
        <v/>
      </c>
      <c r="H466">
        <f>IF($J466="","",INDEX(명단표[급여지급병원(기준월)],$J466))</f>
        <v/>
      </c>
      <c r="I466">
        <f>IF($J466="","",INDEX(명단표[급여 판정 근거],$J466))</f>
        <v/>
      </c>
      <c r="J466" s="17">
        <f>IFERROR(MATCH(462,명단표[명단순번],0),"")</f>
        <v/>
      </c>
    </row>
    <row r="467">
      <c r="A467">
        <f>IF($J467="","",TEXT(급여기준월,"yyyy-mm"))</f>
        <v/>
      </c>
      <c r="B467">
        <f>IF($J467="","",INDEX(명단표[사번],$J467)&amp;"")</f>
        <v/>
      </c>
      <c r="C467">
        <f>IF($J467="","",INDEX(명단표[이름],$J467))</f>
        <v/>
      </c>
      <c r="D467">
        <f>IF($J467="","",INDEX(명단표[수련과목],$J467))</f>
        <v/>
      </c>
      <c r="E467">
        <f>IF($J467="","",INDEX(명단표[연차],$J467)&amp;"")</f>
        <v/>
      </c>
      <c r="F467">
        <f>IF($J467="","",INDEX(명단표[소속병원],$J467))</f>
        <v/>
      </c>
      <c r="G467">
        <f>IF($J467="","",INDEX(명단표[기준월 근무병원],$J467))</f>
        <v/>
      </c>
      <c r="H467">
        <f>IF($J467="","",INDEX(명단표[급여지급병원(기준월)],$J467))</f>
        <v/>
      </c>
      <c r="I467">
        <f>IF($J467="","",INDEX(명단표[급여 판정 근거],$J467))</f>
        <v/>
      </c>
      <c r="J467" s="17">
        <f>IFERROR(MATCH(463,명단표[명단순번],0),"")</f>
        <v/>
      </c>
    </row>
    <row r="468">
      <c r="A468">
        <f>IF($J468="","",TEXT(급여기준월,"yyyy-mm"))</f>
        <v/>
      </c>
      <c r="B468">
        <f>IF($J468="","",INDEX(명단표[사번],$J468)&amp;"")</f>
        <v/>
      </c>
      <c r="C468">
        <f>IF($J468="","",INDEX(명단표[이름],$J468))</f>
        <v/>
      </c>
      <c r="D468">
        <f>IF($J468="","",INDEX(명단표[수련과목],$J468))</f>
        <v/>
      </c>
      <c r="E468">
        <f>IF($J468="","",INDEX(명단표[연차],$J468)&amp;"")</f>
        <v/>
      </c>
      <c r="F468">
        <f>IF($J468="","",INDEX(명단표[소속병원],$J468))</f>
        <v/>
      </c>
      <c r="G468">
        <f>IF($J468="","",INDEX(명단표[기준월 근무병원],$J468))</f>
        <v/>
      </c>
      <c r="H468">
        <f>IF($J468="","",INDEX(명단표[급여지급병원(기준월)],$J468))</f>
        <v/>
      </c>
      <c r="I468">
        <f>IF($J468="","",INDEX(명단표[급여 판정 근거],$J468))</f>
        <v/>
      </c>
      <c r="J468" s="17">
        <f>IFERROR(MATCH(464,명단표[명단순번],0),"")</f>
        <v/>
      </c>
    </row>
    <row r="469">
      <c r="A469">
        <f>IF($J469="","",TEXT(급여기준월,"yyyy-mm"))</f>
        <v/>
      </c>
      <c r="B469">
        <f>IF($J469="","",INDEX(명단표[사번],$J469)&amp;"")</f>
        <v/>
      </c>
      <c r="C469">
        <f>IF($J469="","",INDEX(명단표[이름],$J469))</f>
        <v/>
      </c>
      <c r="D469">
        <f>IF($J469="","",INDEX(명단표[수련과목],$J469))</f>
        <v/>
      </c>
      <c r="E469">
        <f>IF($J469="","",INDEX(명단표[연차],$J469)&amp;"")</f>
        <v/>
      </c>
      <c r="F469">
        <f>IF($J469="","",INDEX(명단표[소속병원],$J469))</f>
        <v/>
      </c>
      <c r="G469">
        <f>IF($J469="","",INDEX(명단표[기준월 근무병원],$J469))</f>
        <v/>
      </c>
      <c r="H469">
        <f>IF($J469="","",INDEX(명단표[급여지급병원(기준월)],$J469))</f>
        <v/>
      </c>
      <c r="I469">
        <f>IF($J469="","",INDEX(명단표[급여 판정 근거],$J469))</f>
        <v/>
      </c>
      <c r="J469" s="17">
        <f>IFERROR(MATCH(465,명단표[명단순번],0),"")</f>
        <v/>
      </c>
    </row>
    <row r="470">
      <c r="A470">
        <f>IF($J470="","",TEXT(급여기준월,"yyyy-mm"))</f>
        <v/>
      </c>
      <c r="B470">
        <f>IF($J470="","",INDEX(명단표[사번],$J470)&amp;"")</f>
        <v/>
      </c>
      <c r="C470">
        <f>IF($J470="","",INDEX(명단표[이름],$J470))</f>
        <v/>
      </c>
      <c r="D470">
        <f>IF($J470="","",INDEX(명단표[수련과목],$J470))</f>
        <v/>
      </c>
      <c r="E470">
        <f>IF($J470="","",INDEX(명단표[연차],$J470)&amp;"")</f>
        <v/>
      </c>
      <c r="F470">
        <f>IF($J470="","",INDEX(명단표[소속병원],$J470))</f>
        <v/>
      </c>
      <c r="G470">
        <f>IF($J470="","",INDEX(명단표[기준월 근무병원],$J470))</f>
        <v/>
      </c>
      <c r="H470">
        <f>IF($J470="","",INDEX(명단표[급여지급병원(기준월)],$J470))</f>
        <v/>
      </c>
      <c r="I470">
        <f>IF($J470="","",INDEX(명단표[급여 판정 근거],$J470))</f>
        <v/>
      </c>
      <c r="J470" s="17">
        <f>IFERROR(MATCH(466,명단표[명단순번],0),"")</f>
        <v/>
      </c>
    </row>
    <row r="471">
      <c r="A471">
        <f>IF($J471="","",TEXT(급여기준월,"yyyy-mm"))</f>
        <v/>
      </c>
      <c r="B471">
        <f>IF($J471="","",INDEX(명단표[사번],$J471)&amp;"")</f>
        <v/>
      </c>
      <c r="C471">
        <f>IF($J471="","",INDEX(명단표[이름],$J471))</f>
        <v/>
      </c>
      <c r="D471">
        <f>IF($J471="","",INDEX(명단표[수련과목],$J471))</f>
        <v/>
      </c>
      <c r="E471">
        <f>IF($J471="","",INDEX(명단표[연차],$J471)&amp;"")</f>
        <v/>
      </c>
      <c r="F471">
        <f>IF($J471="","",INDEX(명단표[소속병원],$J471))</f>
        <v/>
      </c>
      <c r="G471">
        <f>IF($J471="","",INDEX(명단표[기준월 근무병원],$J471))</f>
        <v/>
      </c>
      <c r="H471">
        <f>IF($J471="","",INDEX(명단표[급여지급병원(기준월)],$J471))</f>
        <v/>
      </c>
      <c r="I471">
        <f>IF($J471="","",INDEX(명단표[급여 판정 근거],$J471))</f>
        <v/>
      </c>
      <c r="J471" s="17">
        <f>IFERROR(MATCH(467,명단표[명단순번],0),"")</f>
        <v/>
      </c>
    </row>
    <row r="472">
      <c r="A472">
        <f>IF($J472="","",TEXT(급여기준월,"yyyy-mm"))</f>
        <v/>
      </c>
      <c r="B472">
        <f>IF($J472="","",INDEX(명단표[사번],$J472)&amp;"")</f>
        <v/>
      </c>
      <c r="C472">
        <f>IF($J472="","",INDEX(명단표[이름],$J472))</f>
        <v/>
      </c>
      <c r="D472">
        <f>IF($J472="","",INDEX(명단표[수련과목],$J472))</f>
        <v/>
      </c>
      <c r="E472">
        <f>IF($J472="","",INDEX(명단표[연차],$J472)&amp;"")</f>
        <v/>
      </c>
      <c r="F472">
        <f>IF($J472="","",INDEX(명단표[소속병원],$J472))</f>
        <v/>
      </c>
      <c r="G472">
        <f>IF($J472="","",INDEX(명단표[기준월 근무병원],$J472))</f>
        <v/>
      </c>
      <c r="H472">
        <f>IF($J472="","",INDEX(명단표[급여지급병원(기준월)],$J472))</f>
        <v/>
      </c>
      <c r="I472">
        <f>IF($J472="","",INDEX(명단표[급여 판정 근거],$J472))</f>
        <v/>
      </c>
      <c r="J472" s="17">
        <f>IFERROR(MATCH(468,명단표[명단순번],0),"")</f>
        <v/>
      </c>
    </row>
    <row r="473">
      <c r="A473">
        <f>IF($J473="","",TEXT(급여기준월,"yyyy-mm"))</f>
        <v/>
      </c>
      <c r="B473">
        <f>IF($J473="","",INDEX(명단표[사번],$J473)&amp;"")</f>
        <v/>
      </c>
      <c r="C473">
        <f>IF($J473="","",INDEX(명단표[이름],$J473))</f>
        <v/>
      </c>
      <c r="D473">
        <f>IF($J473="","",INDEX(명단표[수련과목],$J473))</f>
        <v/>
      </c>
      <c r="E473">
        <f>IF($J473="","",INDEX(명단표[연차],$J473)&amp;"")</f>
        <v/>
      </c>
      <c r="F473">
        <f>IF($J473="","",INDEX(명단표[소속병원],$J473))</f>
        <v/>
      </c>
      <c r="G473">
        <f>IF($J473="","",INDEX(명단표[기준월 근무병원],$J473))</f>
        <v/>
      </c>
      <c r="H473">
        <f>IF($J473="","",INDEX(명단표[급여지급병원(기준월)],$J473))</f>
        <v/>
      </c>
      <c r="I473">
        <f>IF($J473="","",INDEX(명단표[급여 판정 근거],$J473))</f>
        <v/>
      </c>
      <c r="J473" s="17">
        <f>IFERROR(MATCH(469,명단표[명단순번],0),"")</f>
        <v/>
      </c>
    </row>
    <row r="474">
      <c r="A474">
        <f>IF($J474="","",TEXT(급여기준월,"yyyy-mm"))</f>
        <v/>
      </c>
      <c r="B474">
        <f>IF($J474="","",INDEX(명단표[사번],$J474)&amp;"")</f>
        <v/>
      </c>
      <c r="C474">
        <f>IF($J474="","",INDEX(명단표[이름],$J474))</f>
        <v/>
      </c>
      <c r="D474">
        <f>IF($J474="","",INDEX(명단표[수련과목],$J474))</f>
        <v/>
      </c>
      <c r="E474">
        <f>IF($J474="","",INDEX(명단표[연차],$J474)&amp;"")</f>
        <v/>
      </c>
      <c r="F474">
        <f>IF($J474="","",INDEX(명단표[소속병원],$J474))</f>
        <v/>
      </c>
      <c r="G474">
        <f>IF($J474="","",INDEX(명단표[기준월 근무병원],$J474))</f>
        <v/>
      </c>
      <c r="H474">
        <f>IF($J474="","",INDEX(명단표[급여지급병원(기준월)],$J474))</f>
        <v/>
      </c>
      <c r="I474">
        <f>IF($J474="","",INDEX(명단표[급여 판정 근거],$J474))</f>
        <v/>
      </c>
      <c r="J474" s="17">
        <f>IFERROR(MATCH(470,명단표[명단순번],0),"")</f>
        <v/>
      </c>
    </row>
    <row r="475">
      <c r="A475">
        <f>IF($J475="","",TEXT(급여기준월,"yyyy-mm"))</f>
        <v/>
      </c>
      <c r="B475">
        <f>IF($J475="","",INDEX(명단표[사번],$J475)&amp;"")</f>
        <v/>
      </c>
      <c r="C475">
        <f>IF($J475="","",INDEX(명단표[이름],$J475))</f>
        <v/>
      </c>
      <c r="D475">
        <f>IF($J475="","",INDEX(명단표[수련과목],$J475))</f>
        <v/>
      </c>
      <c r="E475">
        <f>IF($J475="","",INDEX(명단표[연차],$J475)&amp;"")</f>
        <v/>
      </c>
      <c r="F475">
        <f>IF($J475="","",INDEX(명단표[소속병원],$J475))</f>
        <v/>
      </c>
      <c r="G475">
        <f>IF($J475="","",INDEX(명단표[기준월 근무병원],$J475))</f>
        <v/>
      </c>
      <c r="H475">
        <f>IF($J475="","",INDEX(명단표[급여지급병원(기준월)],$J475))</f>
        <v/>
      </c>
      <c r="I475">
        <f>IF($J475="","",INDEX(명단표[급여 판정 근거],$J475))</f>
        <v/>
      </c>
      <c r="J475" s="17">
        <f>IFERROR(MATCH(471,명단표[명단순번],0),"")</f>
        <v/>
      </c>
    </row>
    <row r="476">
      <c r="A476">
        <f>IF($J476="","",TEXT(급여기준월,"yyyy-mm"))</f>
        <v/>
      </c>
      <c r="B476">
        <f>IF($J476="","",INDEX(명단표[사번],$J476)&amp;"")</f>
        <v/>
      </c>
      <c r="C476">
        <f>IF($J476="","",INDEX(명단표[이름],$J476))</f>
        <v/>
      </c>
      <c r="D476">
        <f>IF($J476="","",INDEX(명단표[수련과목],$J476))</f>
        <v/>
      </c>
      <c r="E476">
        <f>IF($J476="","",INDEX(명단표[연차],$J476)&amp;"")</f>
        <v/>
      </c>
      <c r="F476">
        <f>IF($J476="","",INDEX(명단표[소속병원],$J476))</f>
        <v/>
      </c>
      <c r="G476">
        <f>IF($J476="","",INDEX(명단표[기준월 근무병원],$J476))</f>
        <v/>
      </c>
      <c r="H476">
        <f>IF($J476="","",INDEX(명단표[급여지급병원(기준월)],$J476))</f>
        <v/>
      </c>
      <c r="I476">
        <f>IF($J476="","",INDEX(명단표[급여 판정 근거],$J476))</f>
        <v/>
      </c>
      <c r="J476" s="17">
        <f>IFERROR(MATCH(472,명단표[명단순번],0),"")</f>
        <v/>
      </c>
    </row>
    <row r="477">
      <c r="A477">
        <f>IF($J477="","",TEXT(급여기준월,"yyyy-mm"))</f>
        <v/>
      </c>
      <c r="B477">
        <f>IF($J477="","",INDEX(명단표[사번],$J477)&amp;"")</f>
        <v/>
      </c>
      <c r="C477">
        <f>IF($J477="","",INDEX(명단표[이름],$J477))</f>
        <v/>
      </c>
      <c r="D477">
        <f>IF($J477="","",INDEX(명단표[수련과목],$J477))</f>
        <v/>
      </c>
      <c r="E477">
        <f>IF($J477="","",INDEX(명단표[연차],$J477)&amp;"")</f>
        <v/>
      </c>
      <c r="F477">
        <f>IF($J477="","",INDEX(명단표[소속병원],$J477))</f>
        <v/>
      </c>
      <c r="G477">
        <f>IF($J477="","",INDEX(명단표[기준월 근무병원],$J477))</f>
        <v/>
      </c>
      <c r="H477">
        <f>IF($J477="","",INDEX(명단표[급여지급병원(기준월)],$J477))</f>
        <v/>
      </c>
      <c r="I477">
        <f>IF($J477="","",INDEX(명단표[급여 판정 근거],$J477))</f>
        <v/>
      </c>
      <c r="J477" s="17">
        <f>IFERROR(MATCH(473,명단표[명단순번],0),"")</f>
        <v/>
      </c>
    </row>
    <row r="478">
      <c r="A478">
        <f>IF($J478="","",TEXT(급여기준월,"yyyy-mm"))</f>
        <v/>
      </c>
      <c r="B478">
        <f>IF($J478="","",INDEX(명단표[사번],$J478)&amp;"")</f>
        <v/>
      </c>
      <c r="C478">
        <f>IF($J478="","",INDEX(명단표[이름],$J478))</f>
        <v/>
      </c>
      <c r="D478">
        <f>IF($J478="","",INDEX(명단표[수련과목],$J478))</f>
        <v/>
      </c>
      <c r="E478">
        <f>IF($J478="","",INDEX(명단표[연차],$J478)&amp;"")</f>
        <v/>
      </c>
      <c r="F478">
        <f>IF($J478="","",INDEX(명단표[소속병원],$J478))</f>
        <v/>
      </c>
      <c r="G478">
        <f>IF($J478="","",INDEX(명단표[기준월 근무병원],$J478))</f>
        <v/>
      </c>
      <c r="H478">
        <f>IF($J478="","",INDEX(명단표[급여지급병원(기준월)],$J478))</f>
        <v/>
      </c>
      <c r="I478">
        <f>IF($J478="","",INDEX(명단표[급여 판정 근거],$J478))</f>
        <v/>
      </c>
      <c r="J478" s="17">
        <f>IFERROR(MATCH(474,명단표[명단순번],0),"")</f>
        <v/>
      </c>
    </row>
    <row r="479">
      <c r="A479">
        <f>IF($J479="","",TEXT(급여기준월,"yyyy-mm"))</f>
        <v/>
      </c>
      <c r="B479">
        <f>IF($J479="","",INDEX(명단표[사번],$J479)&amp;"")</f>
        <v/>
      </c>
      <c r="C479">
        <f>IF($J479="","",INDEX(명단표[이름],$J479))</f>
        <v/>
      </c>
      <c r="D479">
        <f>IF($J479="","",INDEX(명단표[수련과목],$J479))</f>
        <v/>
      </c>
      <c r="E479">
        <f>IF($J479="","",INDEX(명단표[연차],$J479)&amp;"")</f>
        <v/>
      </c>
      <c r="F479">
        <f>IF($J479="","",INDEX(명단표[소속병원],$J479))</f>
        <v/>
      </c>
      <c r="G479">
        <f>IF($J479="","",INDEX(명단표[기준월 근무병원],$J479))</f>
        <v/>
      </c>
      <c r="H479">
        <f>IF($J479="","",INDEX(명단표[급여지급병원(기준월)],$J479))</f>
        <v/>
      </c>
      <c r="I479">
        <f>IF($J479="","",INDEX(명단표[급여 판정 근거],$J479))</f>
        <v/>
      </c>
      <c r="J479" s="17">
        <f>IFERROR(MATCH(475,명단표[명단순번],0),"")</f>
        <v/>
      </c>
    </row>
    <row r="480">
      <c r="A480">
        <f>IF($J480="","",TEXT(급여기준월,"yyyy-mm"))</f>
        <v/>
      </c>
      <c r="B480">
        <f>IF($J480="","",INDEX(명단표[사번],$J480)&amp;"")</f>
        <v/>
      </c>
      <c r="C480">
        <f>IF($J480="","",INDEX(명단표[이름],$J480))</f>
        <v/>
      </c>
      <c r="D480">
        <f>IF($J480="","",INDEX(명단표[수련과목],$J480))</f>
        <v/>
      </c>
      <c r="E480">
        <f>IF($J480="","",INDEX(명단표[연차],$J480)&amp;"")</f>
        <v/>
      </c>
      <c r="F480">
        <f>IF($J480="","",INDEX(명단표[소속병원],$J480))</f>
        <v/>
      </c>
      <c r="G480">
        <f>IF($J480="","",INDEX(명단표[기준월 근무병원],$J480))</f>
        <v/>
      </c>
      <c r="H480">
        <f>IF($J480="","",INDEX(명단표[급여지급병원(기준월)],$J480))</f>
        <v/>
      </c>
      <c r="I480">
        <f>IF($J480="","",INDEX(명단표[급여 판정 근거],$J480))</f>
        <v/>
      </c>
      <c r="J480" s="17">
        <f>IFERROR(MATCH(476,명단표[명단순번],0),"")</f>
        <v/>
      </c>
    </row>
    <row r="481">
      <c r="A481">
        <f>IF($J481="","",TEXT(급여기준월,"yyyy-mm"))</f>
        <v/>
      </c>
      <c r="B481">
        <f>IF($J481="","",INDEX(명단표[사번],$J481)&amp;"")</f>
        <v/>
      </c>
      <c r="C481">
        <f>IF($J481="","",INDEX(명단표[이름],$J481))</f>
        <v/>
      </c>
      <c r="D481">
        <f>IF($J481="","",INDEX(명단표[수련과목],$J481))</f>
        <v/>
      </c>
      <c r="E481">
        <f>IF($J481="","",INDEX(명단표[연차],$J481)&amp;"")</f>
        <v/>
      </c>
      <c r="F481">
        <f>IF($J481="","",INDEX(명단표[소속병원],$J481))</f>
        <v/>
      </c>
      <c r="G481">
        <f>IF($J481="","",INDEX(명단표[기준월 근무병원],$J481))</f>
        <v/>
      </c>
      <c r="H481">
        <f>IF($J481="","",INDEX(명단표[급여지급병원(기준월)],$J481))</f>
        <v/>
      </c>
      <c r="I481">
        <f>IF($J481="","",INDEX(명단표[급여 판정 근거],$J481))</f>
        <v/>
      </c>
      <c r="J481" s="17">
        <f>IFERROR(MATCH(477,명단표[명단순번],0),"")</f>
        <v/>
      </c>
    </row>
    <row r="482">
      <c r="A482">
        <f>IF($J482="","",TEXT(급여기준월,"yyyy-mm"))</f>
        <v/>
      </c>
      <c r="B482">
        <f>IF($J482="","",INDEX(명단표[사번],$J482)&amp;"")</f>
        <v/>
      </c>
      <c r="C482">
        <f>IF($J482="","",INDEX(명단표[이름],$J482))</f>
        <v/>
      </c>
      <c r="D482">
        <f>IF($J482="","",INDEX(명단표[수련과목],$J482))</f>
        <v/>
      </c>
      <c r="E482">
        <f>IF($J482="","",INDEX(명단표[연차],$J482)&amp;"")</f>
        <v/>
      </c>
      <c r="F482">
        <f>IF($J482="","",INDEX(명단표[소속병원],$J482))</f>
        <v/>
      </c>
      <c r="G482">
        <f>IF($J482="","",INDEX(명단표[기준월 근무병원],$J482))</f>
        <v/>
      </c>
      <c r="H482">
        <f>IF($J482="","",INDEX(명단표[급여지급병원(기준월)],$J482))</f>
        <v/>
      </c>
      <c r="I482">
        <f>IF($J482="","",INDEX(명단표[급여 판정 근거],$J482))</f>
        <v/>
      </c>
      <c r="J482" s="17">
        <f>IFERROR(MATCH(478,명단표[명단순번],0),"")</f>
        <v/>
      </c>
    </row>
    <row r="483">
      <c r="A483">
        <f>IF($J483="","",TEXT(급여기준월,"yyyy-mm"))</f>
        <v/>
      </c>
      <c r="B483">
        <f>IF($J483="","",INDEX(명단표[사번],$J483)&amp;"")</f>
        <v/>
      </c>
      <c r="C483">
        <f>IF($J483="","",INDEX(명단표[이름],$J483))</f>
        <v/>
      </c>
      <c r="D483">
        <f>IF($J483="","",INDEX(명단표[수련과목],$J483))</f>
        <v/>
      </c>
      <c r="E483">
        <f>IF($J483="","",INDEX(명단표[연차],$J483)&amp;"")</f>
        <v/>
      </c>
      <c r="F483">
        <f>IF($J483="","",INDEX(명단표[소속병원],$J483))</f>
        <v/>
      </c>
      <c r="G483">
        <f>IF($J483="","",INDEX(명단표[기준월 근무병원],$J483))</f>
        <v/>
      </c>
      <c r="H483">
        <f>IF($J483="","",INDEX(명단표[급여지급병원(기준월)],$J483))</f>
        <v/>
      </c>
      <c r="I483">
        <f>IF($J483="","",INDEX(명단표[급여 판정 근거],$J483))</f>
        <v/>
      </c>
      <c r="J483" s="17">
        <f>IFERROR(MATCH(479,명단표[명단순번],0),"")</f>
        <v/>
      </c>
    </row>
    <row r="484">
      <c r="A484">
        <f>IF($J484="","",TEXT(급여기준월,"yyyy-mm"))</f>
        <v/>
      </c>
      <c r="B484">
        <f>IF($J484="","",INDEX(명단표[사번],$J484)&amp;"")</f>
        <v/>
      </c>
      <c r="C484">
        <f>IF($J484="","",INDEX(명단표[이름],$J484))</f>
        <v/>
      </c>
      <c r="D484">
        <f>IF($J484="","",INDEX(명단표[수련과목],$J484))</f>
        <v/>
      </c>
      <c r="E484">
        <f>IF($J484="","",INDEX(명단표[연차],$J484)&amp;"")</f>
        <v/>
      </c>
      <c r="F484">
        <f>IF($J484="","",INDEX(명단표[소속병원],$J484))</f>
        <v/>
      </c>
      <c r="G484">
        <f>IF($J484="","",INDEX(명단표[기준월 근무병원],$J484))</f>
        <v/>
      </c>
      <c r="H484">
        <f>IF($J484="","",INDEX(명단표[급여지급병원(기준월)],$J484))</f>
        <v/>
      </c>
      <c r="I484">
        <f>IF($J484="","",INDEX(명단표[급여 판정 근거],$J484))</f>
        <v/>
      </c>
      <c r="J484" s="17">
        <f>IFERROR(MATCH(480,명단표[명단순번],0),"")</f>
        <v/>
      </c>
    </row>
    <row r="485">
      <c r="A485">
        <f>IF($J485="","",TEXT(급여기준월,"yyyy-mm"))</f>
        <v/>
      </c>
      <c r="B485">
        <f>IF($J485="","",INDEX(명단표[사번],$J485)&amp;"")</f>
        <v/>
      </c>
      <c r="C485">
        <f>IF($J485="","",INDEX(명단표[이름],$J485))</f>
        <v/>
      </c>
      <c r="D485">
        <f>IF($J485="","",INDEX(명단표[수련과목],$J485))</f>
        <v/>
      </c>
      <c r="E485">
        <f>IF($J485="","",INDEX(명단표[연차],$J485)&amp;"")</f>
        <v/>
      </c>
      <c r="F485">
        <f>IF($J485="","",INDEX(명단표[소속병원],$J485))</f>
        <v/>
      </c>
      <c r="G485">
        <f>IF($J485="","",INDEX(명단표[기준월 근무병원],$J485))</f>
        <v/>
      </c>
      <c r="H485">
        <f>IF($J485="","",INDEX(명단표[급여지급병원(기준월)],$J485))</f>
        <v/>
      </c>
      <c r="I485">
        <f>IF($J485="","",INDEX(명단표[급여 판정 근거],$J485))</f>
        <v/>
      </c>
      <c r="J485" s="17">
        <f>IFERROR(MATCH(481,명단표[명단순번],0),"")</f>
        <v/>
      </c>
    </row>
    <row r="486">
      <c r="A486">
        <f>IF($J486="","",TEXT(급여기준월,"yyyy-mm"))</f>
        <v/>
      </c>
      <c r="B486">
        <f>IF($J486="","",INDEX(명단표[사번],$J486)&amp;"")</f>
        <v/>
      </c>
      <c r="C486">
        <f>IF($J486="","",INDEX(명단표[이름],$J486))</f>
        <v/>
      </c>
      <c r="D486">
        <f>IF($J486="","",INDEX(명단표[수련과목],$J486))</f>
        <v/>
      </c>
      <c r="E486">
        <f>IF($J486="","",INDEX(명단표[연차],$J486)&amp;"")</f>
        <v/>
      </c>
      <c r="F486">
        <f>IF($J486="","",INDEX(명단표[소속병원],$J486))</f>
        <v/>
      </c>
      <c r="G486">
        <f>IF($J486="","",INDEX(명단표[기준월 근무병원],$J486))</f>
        <v/>
      </c>
      <c r="H486">
        <f>IF($J486="","",INDEX(명단표[급여지급병원(기준월)],$J486))</f>
        <v/>
      </c>
      <c r="I486">
        <f>IF($J486="","",INDEX(명단표[급여 판정 근거],$J486))</f>
        <v/>
      </c>
      <c r="J486" s="17">
        <f>IFERROR(MATCH(482,명단표[명단순번],0),"")</f>
        <v/>
      </c>
    </row>
    <row r="487">
      <c r="A487">
        <f>IF($J487="","",TEXT(급여기준월,"yyyy-mm"))</f>
        <v/>
      </c>
      <c r="B487">
        <f>IF($J487="","",INDEX(명단표[사번],$J487)&amp;"")</f>
        <v/>
      </c>
      <c r="C487">
        <f>IF($J487="","",INDEX(명단표[이름],$J487))</f>
        <v/>
      </c>
      <c r="D487">
        <f>IF($J487="","",INDEX(명단표[수련과목],$J487))</f>
        <v/>
      </c>
      <c r="E487">
        <f>IF($J487="","",INDEX(명단표[연차],$J487)&amp;"")</f>
        <v/>
      </c>
      <c r="F487">
        <f>IF($J487="","",INDEX(명단표[소속병원],$J487))</f>
        <v/>
      </c>
      <c r="G487">
        <f>IF($J487="","",INDEX(명단표[기준월 근무병원],$J487))</f>
        <v/>
      </c>
      <c r="H487">
        <f>IF($J487="","",INDEX(명단표[급여지급병원(기준월)],$J487))</f>
        <v/>
      </c>
      <c r="I487">
        <f>IF($J487="","",INDEX(명단표[급여 판정 근거],$J487))</f>
        <v/>
      </c>
      <c r="J487" s="17">
        <f>IFERROR(MATCH(483,명단표[명단순번],0),"")</f>
        <v/>
      </c>
    </row>
    <row r="488">
      <c r="A488">
        <f>IF($J488="","",TEXT(급여기준월,"yyyy-mm"))</f>
        <v/>
      </c>
      <c r="B488">
        <f>IF($J488="","",INDEX(명단표[사번],$J488)&amp;"")</f>
        <v/>
      </c>
      <c r="C488">
        <f>IF($J488="","",INDEX(명단표[이름],$J488))</f>
        <v/>
      </c>
      <c r="D488">
        <f>IF($J488="","",INDEX(명단표[수련과목],$J488))</f>
        <v/>
      </c>
      <c r="E488">
        <f>IF($J488="","",INDEX(명단표[연차],$J488)&amp;"")</f>
        <v/>
      </c>
      <c r="F488">
        <f>IF($J488="","",INDEX(명단표[소속병원],$J488))</f>
        <v/>
      </c>
      <c r="G488">
        <f>IF($J488="","",INDEX(명단표[기준월 근무병원],$J488))</f>
        <v/>
      </c>
      <c r="H488">
        <f>IF($J488="","",INDEX(명단표[급여지급병원(기준월)],$J488))</f>
        <v/>
      </c>
      <c r="I488">
        <f>IF($J488="","",INDEX(명단표[급여 판정 근거],$J488))</f>
        <v/>
      </c>
      <c r="J488" s="17">
        <f>IFERROR(MATCH(484,명단표[명단순번],0),"")</f>
        <v/>
      </c>
    </row>
    <row r="489">
      <c r="A489">
        <f>IF($J489="","",TEXT(급여기준월,"yyyy-mm"))</f>
        <v/>
      </c>
      <c r="B489">
        <f>IF($J489="","",INDEX(명단표[사번],$J489)&amp;"")</f>
        <v/>
      </c>
      <c r="C489">
        <f>IF($J489="","",INDEX(명단표[이름],$J489))</f>
        <v/>
      </c>
      <c r="D489">
        <f>IF($J489="","",INDEX(명단표[수련과목],$J489))</f>
        <v/>
      </c>
      <c r="E489">
        <f>IF($J489="","",INDEX(명단표[연차],$J489)&amp;"")</f>
        <v/>
      </c>
      <c r="F489">
        <f>IF($J489="","",INDEX(명단표[소속병원],$J489))</f>
        <v/>
      </c>
      <c r="G489">
        <f>IF($J489="","",INDEX(명단표[기준월 근무병원],$J489))</f>
        <v/>
      </c>
      <c r="H489">
        <f>IF($J489="","",INDEX(명단표[급여지급병원(기준월)],$J489))</f>
        <v/>
      </c>
      <c r="I489">
        <f>IF($J489="","",INDEX(명단표[급여 판정 근거],$J489))</f>
        <v/>
      </c>
      <c r="J489" s="17">
        <f>IFERROR(MATCH(485,명단표[명단순번],0),"")</f>
        <v/>
      </c>
    </row>
    <row r="490">
      <c r="A490">
        <f>IF($J490="","",TEXT(급여기준월,"yyyy-mm"))</f>
        <v/>
      </c>
      <c r="B490">
        <f>IF($J490="","",INDEX(명단표[사번],$J490)&amp;"")</f>
        <v/>
      </c>
      <c r="C490">
        <f>IF($J490="","",INDEX(명단표[이름],$J490))</f>
        <v/>
      </c>
      <c r="D490">
        <f>IF($J490="","",INDEX(명단표[수련과목],$J490))</f>
        <v/>
      </c>
      <c r="E490">
        <f>IF($J490="","",INDEX(명단표[연차],$J490)&amp;"")</f>
        <v/>
      </c>
      <c r="F490">
        <f>IF($J490="","",INDEX(명단표[소속병원],$J490))</f>
        <v/>
      </c>
      <c r="G490">
        <f>IF($J490="","",INDEX(명단표[기준월 근무병원],$J490))</f>
        <v/>
      </c>
      <c r="H490">
        <f>IF($J490="","",INDEX(명단표[급여지급병원(기준월)],$J490))</f>
        <v/>
      </c>
      <c r="I490">
        <f>IF($J490="","",INDEX(명단표[급여 판정 근거],$J490))</f>
        <v/>
      </c>
      <c r="J490" s="17">
        <f>IFERROR(MATCH(486,명단표[명단순번],0),"")</f>
        <v/>
      </c>
    </row>
    <row r="491">
      <c r="A491">
        <f>IF($J491="","",TEXT(급여기준월,"yyyy-mm"))</f>
        <v/>
      </c>
      <c r="B491">
        <f>IF($J491="","",INDEX(명단표[사번],$J491)&amp;"")</f>
        <v/>
      </c>
      <c r="C491">
        <f>IF($J491="","",INDEX(명단표[이름],$J491))</f>
        <v/>
      </c>
      <c r="D491">
        <f>IF($J491="","",INDEX(명단표[수련과목],$J491))</f>
        <v/>
      </c>
      <c r="E491">
        <f>IF($J491="","",INDEX(명단표[연차],$J491)&amp;"")</f>
        <v/>
      </c>
      <c r="F491">
        <f>IF($J491="","",INDEX(명단표[소속병원],$J491))</f>
        <v/>
      </c>
      <c r="G491">
        <f>IF($J491="","",INDEX(명단표[기준월 근무병원],$J491))</f>
        <v/>
      </c>
      <c r="H491">
        <f>IF($J491="","",INDEX(명단표[급여지급병원(기준월)],$J491))</f>
        <v/>
      </c>
      <c r="I491">
        <f>IF($J491="","",INDEX(명단표[급여 판정 근거],$J491))</f>
        <v/>
      </c>
      <c r="J491" s="17">
        <f>IFERROR(MATCH(487,명단표[명단순번],0),"")</f>
        <v/>
      </c>
    </row>
    <row r="492">
      <c r="A492">
        <f>IF($J492="","",TEXT(급여기준월,"yyyy-mm"))</f>
        <v/>
      </c>
      <c r="B492">
        <f>IF($J492="","",INDEX(명단표[사번],$J492)&amp;"")</f>
        <v/>
      </c>
      <c r="C492">
        <f>IF($J492="","",INDEX(명단표[이름],$J492))</f>
        <v/>
      </c>
      <c r="D492">
        <f>IF($J492="","",INDEX(명단표[수련과목],$J492))</f>
        <v/>
      </c>
      <c r="E492">
        <f>IF($J492="","",INDEX(명단표[연차],$J492)&amp;"")</f>
        <v/>
      </c>
      <c r="F492">
        <f>IF($J492="","",INDEX(명단표[소속병원],$J492))</f>
        <v/>
      </c>
      <c r="G492">
        <f>IF($J492="","",INDEX(명단표[기준월 근무병원],$J492))</f>
        <v/>
      </c>
      <c r="H492">
        <f>IF($J492="","",INDEX(명단표[급여지급병원(기준월)],$J492))</f>
        <v/>
      </c>
      <c r="I492">
        <f>IF($J492="","",INDEX(명단표[급여 판정 근거],$J492))</f>
        <v/>
      </c>
      <c r="J492" s="17">
        <f>IFERROR(MATCH(488,명단표[명단순번],0),"")</f>
        <v/>
      </c>
    </row>
    <row r="493">
      <c r="A493">
        <f>IF($J493="","",TEXT(급여기준월,"yyyy-mm"))</f>
        <v/>
      </c>
      <c r="B493">
        <f>IF($J493="","",INDEX(명단표[사번],$J493)&amp;"")</f>
        <v/>
      </c>
      <c r="C493">
        <f>IF($J493="","",INDEX(명단표[이름],$J493))</f>
        <v/>
      </c>
      <c r="D493">
        <f>IF($J493="","",INDEX(명단표[수련과목],$J493))</f>
        <v/>
      </c>
      <c r="E493">
        <f>IF($J493="","",INDEX(명단표[연차],$J493)&amp;"")</f>
        <v/>
      </c>
      <c r="F493">
        <f>IF($J493="","",INDEX(명단표[소속병원],$J493))</f>
        <v/>
      </c>
      <c r="G493">
        <f>IF($J493="","",INDEX(명단표[기준월 근무병원],$J493))</f>
        <v/>
      </c>
      <c r="H493">
        <f>IF($J493="","",INDEX(명단표[급여지급병원(기준월)],$J493))</f>
        <v/>
      </c>
      <c r="I493">
        <f>IF($J493="","",INDEX(명단표[급여 판정 근거],$J493))</f>
        <v/>
      </c>
      <c r="J493" s="17">
        <f>IFERROR(MATCH(489,명단표[명단순번],0),"")</f>
        <v/>
      </c>
    </row>
    <row r="494">
      <c r="A494">
        <f>IF($J494="","",TEXT(급여기준월,"yyyy-mm"))</f>
        <v/>
      </c>
      <c r="B494">
        <f>IF($J494="","",INDEX(명단표[사번],$J494)&amp;"")</f>
        <v/>
      </c>
      <c r="C494">
        <f>IF($J494="","",INDEX(명단표[이름],$J494))</f>
        <v/>
      </c>
      <c r="D494">
        <f>IF($J494="","",INDEX(명단표[수련과목],$J494))</f>
        <v/>
      </c>
      <c r="E494">
        <f>IF($J494="","",INDEX(명단표[연차],$J494)&amp;"")</f>
        <v/>
      </c>
      <c r="F494">
        <f>IF($J494="","",INDEX(명단표[소속병원],$J494))</f>
        <v/>
      </c>
      <c r="G494">
        <f>IF($J494="","",INDEX(명단표[기준월 근무병원],$J494))</f>
        <v/>
      </c>
      <c r="H494">
        <f>IF($J494="","",INDEX(명단표[급여지급병원(기준월)],$J494))</f>
        <v/>
      </c>
      <c r="I494">
        <f>IF($J494="","",INDEX(명단표[급여 판정 근거],$J494))</f>
        <v/>
      </c>
      <c r="J494" s="17">
        <f>IFERROR(MATCH(490,명단표[명단순번],0),"")</f>
        <v/>
      </c>
    </row>
    <row r="495">
      <c r="A495">
        <f>IF($J495="","",TEXT(급여기준월,"yyyy-mm"))</f>
        <v/>
      </c>
      <c r="B495">
        <f>IF($J495="","",INDEX(명단표[사번],$J495)&amp;"")</f>
        <v/>
      </c>
      <c r="C495">
        <f>IF($J495="","",INDEX(명단표[이름],$J495))</f>
        <v/>
      </c>
      <c r="D495">
        <f>IF($J495="","",INDEX(명단표[수련과목],$J495))</f>
        <v/>
      </c>
      <c r="E495">
        <f>IF($J495="","",INDEX(명단표[연차],$J495)&amp;"")</f>
        <v/>
      </c>
      <c r="F495">
        <f>IF($J495="","",INDEX(명단표[소속병원],$J495))</f>
        <v/>
      </c>
      <c r="G495">
        <f>IF($J495="","",INDEX(명단표[기준월 근무병원],$J495))</f>
        <v/>
      </c>
      <c r="H495">
        <f>IF($J495="","",INDEX(명단표[급여지급병원(기준월)],$J495))</f>
        <v/>
      </c>
      <c r="I495">
        <f>IF($J495="","",INDEX(명단표[급여 판정 근거],$J495))</f>
        <v/>
      </c>
      <c r="J495" s="17">
        <f>IFERROR(MATCH(491,명단표[명단순번],0),"")</f>
        <v/>
      </c>
    </row>
    <row r="496">
      <c r="A496">
        <f>IF($J496="","",TEXT(급여기준월,"yyyy-mm"))</f>
        <v/>
      </c>
      <c r="B496">
        <f>IF($J496="","",INDEX(명단표[사번],$J496)&amp;"")</f>
        <v/>
      </c>
      <c r="C496">
        <f>IF($J496="","",INDEX(명단표[이름],$J496))</f>
        <v/>
      </c>
      <c r="D496">
        <f>IF($J496="","",INDEX(명단표[수련과목],$J496))</f>
        <v/>
      </c>
      <c r="E496">
        <f>IF($J496="","",INDEX(명단표[연차],$J496)&amp;"")</f>
        <v/>
      </c>
      <c r="F496">
        <f>IF($J496="","",INDEX(명단표[소속병원],$J496))</f>
        <v/>
      </c>
      <c r="G496">
        <f>IF($J496="","",INDEX(명단표[기준월 근무병원],$J496))</f>
        <v/>
      </c>
      <c r="H496">
        <f>IF($J496="","",INDEX(명단표[급여지급병원(기준월)],$J496))</f>
        <v/>
      </c>
      <c r="I496">
        <f>IF($J496="","",INDEX(명단표[급여 판정 근거],$J496))</f>
        <v/>
      </c>
      <c r="J496" s="17">
        <f>IFERROR(MATCH(492,명단표[명단순번],0),"")</f>
        <v/>
      </c>
    </row>
    <row r="497">
      <c r="A497">
        <f>IF($J497="","",TEXT(급여기준월,"yyyy-mm"))</f>
        <v/>
      </c>
      <c r="B497">
        <f>IF($J497="","",INDEX(명단표[사번],$J497)&amp;"")</f>
        <v/>
      </c>
      <c r="C497">
        <f>IF($J497="","",INDEX(명단표[이름],$J497))</f>
        <v/>
      </c>
      <c r="D497">
        <f>IF($J497="","",INDEX(명단표[수련과목],$J497))</f>
        <v/>
      </c>
      <c r="E497">
        <f>IF($J497="","",INDEX(명단표[연차],$J497)&amp;"")</f>
        <v/>
      </c>
      <c r="F497">
        <f>IF($J497="","",INDEX(명단표[소속병원],$J497))</f>
        <v/>
      </c>
      <c r="G497">
        <f>IF($J497="","",INDEX(명단표[기준월 근무병원],$J497))</f>
        <v/>
      </c>
      <c r="H497">
        <f>IF($J497="","",INDEX(명단표[급여지급병원(기준월)],$J497))</f>
        <v/>
      </c>
      <c r="I497">
        <f>IF($J497="","",INDEX(명단표[급여 판정 근거],$J497))</f>
        <v/>
      </c>
      <c r="J497" s="17">
        <f>IFERROR(MATCH(493,명단표[명단순번],0),"")</f>
        <v/>
      </c>
    </row>
    <row r="498">
      <c r="A498">
        <f>IF($J498="","",TEXT(급여기준월,"yyyy-mm"))</f>
        <v/>
      </c>
      <c r="B498">
        <f>IF($J498="","",INDEX(명단표[사번],$J498)&amp;"")</f>
        <v/>
      </c>
      <c r="C498">
        <f>IF($J498="","",INDEX(명단표[이름],$J498))</f>
        <v/>
      </c>
      <c r="D498">
        <f>IF($J498="","",INDEX(명단표[수련과목],$J498))</f>
        <v/>
      </c>
      <c r="E498">
        <f>IF($J498="","",INDEX(명단표[연차],$J498)&amp;"")</f>
        <v/>
      </c>
      <c r="F498">
        <f>IF($J498="","",INDEX(명단표[소속병원],$J498))</f>
        <v/>
      </c>
      <c r="G498">
        <f>IF($J498="","",INDEX(명단표[기준월 근무병원],$J498))</f>
        <v/>
      </c>
      <c r="H498">
        <f>IF($J498="","",INDEX(명단표[급여지급병원(기준월)],$J498))</f>
        <v/>
      </c>
      <c r="I498">
        <f>IF($J498="","",INDEX(명단표[급여 판정 근거],$J498))</f>
        <v/>
      </c>
      <c r="J498" s="17">
        <f>IFERROR(MATCH(494,명단표[명단순번],0),"")</f>
        <v/>
      </c>
    </row>
    <row r="499">
      <c r="A499">
        <f>IF($J499="","",TEXT(급여기준월,"yyyy-mm"))</f>
        <v/>
      </c>
      <c r="B499">
        <f>IF($J499="","",INDEX(명단표[사번],$J499)&amp;"")</f>
        <v/>
      </c>
      <c r="C499">
        <f>IF($J499="","",INDEX(명단표[이름],$J499))</f>
        <v/>
      </c>
      <c r="D499">
        <f>IF($J499="","",INDEX(명단표[수련과목],$J499))</f>
        <v/>
      </c>
      <c r="E499">
        <f>IF($J499="","",INDEX(명단표[연차],$J499)&amp;"")</f>
        <v/>
      </c>
      <c r="F499">
        <f>IF($J499="","",INDEX(명단표[소속병원],$J499))</f>
        <v/>
      </c>
      <c r="G499">
        <f>IF($J499="","",INDEX(명단표[기준월 근무병원],$J499))</f>
        <v/>
      </c>
      <c r="H499">
        <f>IF($J499="","",INDEX(명단표[급여지급병원(기준월)],$J499))</f>
        <v/>
      </c>
      <c r="I499">
        <f>IF($J499="","",INDEX(명단표[급여 판정 근거],$J499))</f>
        <v/>
      </c>
      <c r="J499" s="17">
        <f>IFERROR(MATCH(495,명단표[명단순번],0),"")</f>
        <v/>
      </c>
    </row>
    <row r="500">
      <c r="A500">
        <f>IF($J500="","",TEXT(급여기준월,"yyyy-mm"))</f>
        <v/>
      </c>
      <c r="B500">
        <f>IF($J500="","",INDEX(명단표[사번],$J500)&amp;"")</f>
        <v/>
      </c>
      <c r="C500">
        <f>IF($J500="","",INDEX(명단표[이름],$J500))</f>
        <v/>
      </c>
      <c r="D500">
        <f>IF($J500="","",INDEX(명단표[수련과목],$J500))</f>
        <v/>
      </c>
      <c r="E500">
        <f>IF($J500="","",INDEX(명단표[연차],$J500)&amp;"")</f>
        <v/>
      </c>
      <c r="F500">
        <f>IF($J500="","",INDEX(명단표[소속병원],$J500))</f>
        <v/>
      </c>
      <c r="G500">
        <f>IF($J500="","",INDEX(명단표[기준월 근무병원],$J500))</f>
        <v/>
      </c>
      <c r="H500">
        <f>IF($J500="","",INDEX(명단표[급여지급병원(기준월)],$J500))</f>
        <v/>
      </c>
      <c r="I500">
        <f>IF($J500="","",INDEX(명단표[급여 판정 근거],$J500))</f>
        <v/>
      </c>
      <c r="J500" s="17">
        <f>IFERROR(MATCH(496,명단표[명단순번],0),"")</f>
        <v/>
      </c>
    </row>
    <row r="501">
      <c r="A501">
        <f>IF($J501="","",TEXT(급여기준월,"yyyy-mm"))</f>
        <v/>
      </c>
      <c r="B501">
        <f>IF($J501="","",INDEX(명단표[사번],$J501)&amp;"")</f>
        <v/>
      </c>
      <c r="C501">
        <f>IF($J501="","",INDEX(명단표[이름],$J501))</f>
        <v/>
      </c>
      <c r="D501">
        <f>IF($J501="","",INDEX(명단표[수련과목],$J501))</f>
        <v/>
      </c>
      <c r="E501">
        <f>IF($J501="","",INDEX(명단표[연차],$J501)&amp;"")</f>
        <v/>
      </c>
      <c r="F501">
        <f>IF($J501="","",INDEX(명단표[소속병원],$J501))</f>
        <v/>
      </c>
      <c r="G501">
        <f>IF($J501="","",INDEX(명단표[기준월 근무병원],$J501))</f>
        <v/>
      </c>
      <c r="H501">
        <f>IF($J501="","",INDEX(명단표[급여지급병원(기준월)],$J501))</f>
        <v/>
      </c>
      <c r="I501">
        <f>IF($J501="","",INDEX(명단표[급여 판정 근거],$J501))</f>
        <v/>
      </c>
      <c r="J501" s="17">
        <f>IFERROR(MATCH(497,명단표[명단순번],0),"")</f>
        <v/>
      </c>
    </row>
    <row r="502">
      <c r="A502">
        <f>IF($J502="","",TEXT(급여기준월,"yyyy-mm"))</f>
        <v/>
      </c>
      <c r="B502">
        <f>IF($J502="","",INDEX(명단표[사번],$J502)&amp;"")</f>
        <v/>
      </c>
      <c r="C502">
        <f>IF($J502="","",INDEX(명단표[이름],$J502))</f>
        <v/>
      </c>
      <c r="D502">
        <f>IF($J502="","",INDEX(명단표[수련과목],$J502))</f>
        <v/>
      </c>
      <c r="E502">
        <f>IF($J502="","",INDEX(명단표[연차],$J502)&amp;"")</f>
        <v/>
      </c>
      <c r="F502">
        <f>IF($J502="","",INDEX(명단표[소속병원],$J502))</f>
        <v/>
      </c>
      <c r="G502">
        <f>IF($J502="","",INDEX(명단표[기준월 근무병원],$J502))</f>
        <v/>
      </c>
      <c r="H502">
        <f>IF($J502="","",INDEX(명단표[급여지급병원(기준월)],$J502))</f>
        <v/>
      </c>
      <c r="I502">
        <f>IF($J502="","",INDEX(명단표[급여 판정 근거],$J502))</f>
        <v/>
      </c>
      <c r="J502" s="17">
        <f>IFERROR(MATCH(498,명단표[명단순번],0),"")</f>
        <v/>
      </c>
    </row>
    <row r="503">
      <c r="A503">
        <f>IF($J503="","",TEXT(급여기준월,"yyyy-mm"))</f>
        <v/>
      </c>
      <c r="B503">
        <f>IF($J503="","",INDEX(명단표[사번],$J503)&amp;"")</f>
        <v/>
      </c>
      <c r="C503">
        <f>IF($J503="","",INDEX(명단표[이름],$J503))</f>
        <v/>
      </c>
      <c r="D503">
        <f>IF($J503="","",INDEX(명단표[수련과목],$J503))</f>
        <v/>
      </c>
      <c r="E503">
        <f>IF($J503="","",INDEX(명단표[연차],$J503)&amp;"")</f>
        <v/>
      </c>
      <c r="F503">
        <f>IF($J503="","",INDEX(명단표[소속병원],$J503))</f>
        <v/>
      </c>
      <c r="G503">
        <f>IF($J503="","",INDEX(명단표[기준월 근무병원],$J503))</f>
        <v/>
      </c>
      <c r="H503">
        <f>IF($J503="","",INDEX(명단표[급여지급병원(기준월)],$J503))</f>
        <v/>
      </c>
      <c r="I503">
        <f>IF($J503="","",INDEX(명단표[급여 판정 근거],$J503))</f>
        <v/>
      </c>
      <c r="J503" s="17">
        <f>IFERROR(MATCH(499,명단표[명단순번],0),"")</f>
        <v/>
      </c>
    </row>
    <row r="504">
      <c r="A504">
        <f>IF($J504="","",TEXT(급여기준월,"yyyy-mm"))</f>
        <v/>
      </c>
      <c r="B504">
        <f>IF($J504="","",INDEX(명단표[사번],$J504)&amp;"")</f>
        <v/>
      </c>
      <c r="C504">
        <f>IF($J504="","",INDEX(명단표[이름],$J504))</f>
        <v/>
      </c>
      <c r="D504">
        <f>IF($J504="","",INDEX(명단표[수련과목],$J504))</f>
        <v/>
      </c>
      <c r="E504">
        <f>IF($J504="","",INDEX(명단표[연차],$J504)&amp;"")</f>
        <v/>
      </c>
      <c r="F504">
        <f>IF($J504="","",INDEX(명단표[소속병원],$J504))</f>
        <v/>
      </c>
      <c r="G504">
        <f>IF($J504="","",INDEX(명단표[기준월 근무병원],$J504))</f>
        <v/>
      </c>
      <c r="H504">
        <f>IF($J504="","",INDEX(명단표[급여지급병원(기준월)],$J504))</f>
        <v/>
      </c>
      <c r="I504">
        <f>IF($J504="","",INDEX(명단표[급여 판정 근거],$J504))</f>
        <v/>
      </c>
      <c r="J504" s="17">
        <f>IFERROR(MATCH(500,명단표[명단순번],0),"")</f>
        <v/>
      </c>
    </row>
    <row r="505">
      <c r="A505">
        <f>IF($J505="","",TEXT(급여기준월,"yyyy-mm"))</f>
        <v/>
      </c>
      <c r="B505">
        <f>IF($J505="","",INDEX(명단표[사번],$J505)&amp;"")</f>
        <v/>
      </c>
      <c r="C505">
        <f>IF($J505="","",INDEX(명단표[이름],$J505))</f>
        <v/>
      </c>
      <c r="D505">
        <f>IF($J505="","",INDEX(명단표[수련과목],$J505))</f>
        <v/>
      </c>
      <c r="E505">
        <f>IF($J505="","",INDEX(명단표[연차],$J505)&amp;"")</f>
        <v/>
      </c>
      <c r="F505">
        <f>IF($J505="","",INDEX(명단표[소속병원],$J505))</f>
        <v/>
      </c>
      <c r="G505">
        <f>IF($J505="","",INDEX(명단표[기준월 근무병원],$J505))</f>
        <v/>
      </c>
      <c r="H505">
        <f>IF($J505="","",INDEX(명단표[급여지급병원(기준월)],$J505))</f>
        <v/>
      </c>
      <c r="I505">
        <f>IF($J505="","",INDEX(명단표[급여 판정 근거],$J505))</f>
        <v/>
      </c>
      <c r="J505" s="17">
        <f>IFERROR(MATCH(501,명단표[명단순번],0),"")</f>
        <v/>
      </c>
    </row>
    <row r="506">
      <c r="A506">
        <f>IF($J506="","",TEXT(급여기준월,"yyyy-mm"))</f>
        <v/>
      </c>
      <c r="B506">
        <f>IF($J506="","",INDEX(명단표[사번],$J506)&amp;"")</f>
        <v/>
      </c>
      <c r="C506">
        <f>IF($J506="","",INDEX(명단표[이름],$J506))</f>
        <v/>
      </c>
      <c r="D506">
        <f>IF($J506="","",INDEX(명단표[수련과목],$J506))</f>
        <v/>
      </c>
      <c r="E506">
        <f>IF($J506="","",INDEX(명단표[연차],$J506)&amp;"")</f>
        <v/>
      </c>
      <c r="F506">
        <f>IF($J506="","",INDEX(명단표[소속병원],$J506))</f>
        <v/>
      </c>
      <c r="G506">
        <f>IF($J506="","",INDEX(명단표[기준월 근무병원],$J506))</f>
        <v/>
      </c>
      <c r="H506">
        <f>IF($J506="","",INDEX(명단표[급여지급병원(기준월)],$J506))</f>
        <v/>
      </c>
      <c r="I506">
        <f>IF($J506="","",INDEX(명단표[급여 판정 근거],$J506))</f>
        <v/>
      </c>
      <c r="J506" s="17">
        <f>IFERROR(MATCH(502,명단표[명단순번],0),"")</f>
        <v/>
      </c>
    </row>
    <row r="507">
      <c r="A507">
        <f>IF($J507="","",TEXT(급여기준월,"yyyy-mm"))</f>
        <v/>
      </c>
      <c r="B507">
        <f>IF($J507="","",INDEX(명단표[사번],$J507)&amp;"")</f>
        <v/>
      </c>
      <c r="C507">
        <f>IF($J507="","",INDEX(명단표[이름],$J507))</f>
        <v/>
      </c>
      <c r="D507">
        <f>IF($J507="","",INDEX(명단표[수련과목],$J507))</f>
        <v/>
      </c>
      <c r="E507">
        <f>IF($J507="","",INDEX(명단표[연차],$J507)&amp;"")</f>
        <v/>
      </c>
      <c r="F507">
        <f>IF($J507="","",INDEX(명단표[소속병원],$J507))</f>
        <v/>
      </c>
      <c r="G507">
        <f>IF($J507="","",INDEX(명단표[기준월 근무병원],$J507))</f>
        <v/>
      </c>
      <c r="H507">
        <f>IF($J507="","",INDEX(명단표[급여지급병원(기준월)],$J507))</f>
        <v/>
      </c>
      <c r="I507">
        <f>IF($J507="","",INDEX(명단표[급여 판정 근거],$J507))</f>
        <v/>
      </c>
      <c r="J507" s="17">
        <f>IFERROR(MATCH(503,명단표[명단순번],0),"")</f>
        <v/>
      </c>
    </row>
    <row r="508">
      <c r="A508">
        <f>IF($J508="","",TEXT(급여기준월,"yyyy-mm"))</f>
        <v/>
      </c>
      <c r="B508">
        <f>IF($J508="","",INDEX(명단표[사번],$J508)&amp;"")</f>
        <v/>
      </c>
      <c r="C508">
        <f>IF($J508="","",INDEX(명단표[이름],$J508))</f>
        <v/>
      </c>
      <c r="D508">
        <f>IF($J508="","",INDEX(명단표[수련과목],$J508))</f>
        <v/>
      </c>
      <c r="E508">
        <f>IF($J508="","",INDEX(명단표[연차],$J508)&amp;"")</f>
        <v/>
      </c>
      <c r="F508">
        <f>IF($J508="","",INDEX(명단표[소속병원],$J508))</f>
        <v/>
      </c>
      <c r="G508">
        <f>IF($J508="","",INDEX(명단표[기준월 근무병원],$J508))</f>
        <v/>
      </c>
      <c r="H508">
        <f>IF($J508="","",INDEX(명단표[급여지급병원(기준월)],$J508))</f>
        <v/>
      </c>
      <c r="I508">
        <f>IF($J508="","",INDEX(명단표[급여 판정 근거],$J508))</f>
        <v/>
      </c>
      <c r="J508" s="17">
        <f>IFERROR(MATCH(504,명단표[명단순번],0),"")</f>
        <v/>
      </c>
    </row>
    <row r="509">
      <c r="A509">
        <f>IF($J509="","",TEXT(급여기준월,"yyyy-mm"))</f>
        <v/>
      </c>
      <c r="B509">
        <f>IF($J509="","",INDEX(명단표[사번],$J509)&amp;"")</f>
        <v/>
      </c>
      <c r="C509">
        <f>IF($J509="","",INDEX(명단표[이름],$J509))</f>
        <v/>
      </c>
      <c r="D509">
        <f>IF($J509="","",INDEX(명단표[수련과목],$J509))</f>
        <v/>
      </c>
      <c r="E509">
        <f>IF($J509="","",INDEX(명단표[연차],$J509)&amp;"")</f>
        <v/>
      </c>
      <c r="F509">
        <f>IF($J509="","",INDEX(명단표[소속병원],$J509))</f>
        <v/>
      </c>
      <c r="G509">
        <f>IF($J509="","",INDEX(명단표[기준월 근무병원],$J509))</f>
        <v/>
      </c>
      <c r="H509">
        <f>IF($J509="","",INDEX(명단표[급여지급병원(기준월)],$J509))</f>
        <v/>
      </c>
      <c r="I509">
        <f>IF($J509="","",INDEX(명단표[급여 판정 근거],$J509))</f>
        <v/>
      </c>
      <c r="J509" s="17">
        <f>IFERROR(MATCH(505,명단표[명단순번],0),"")</f>
        <v/>
      </c>
    </row>
    <row r="510">
      <c r="A510">
        <f>IF($J510="","",TEXT(급여기준월,"yyyy-mm"))</f>
        <v/>
      </c>
      <c r="B510">
        <f>IF($J510="","",INDEX(명단표[사번],$J510)&amp;"")</f>
        <v/>
      </c>
      <c r="C510">
        <f>IF($J510="","",INDEX(명단표[이름],$J510))</f>
        <v/>
      </c>
      <c r="D510">
        <f>IF($J510="","",INDEX(명단표[수련과목],$J510))</f>
        <v/>
      </c>
      <c r="E510">
        <f>IF($J510="","",INDEX(명단표[연차],$J510)&amp;"")</f>
        <v/>
      </c>
      <c r="F510">
        <f>IF($J510="","",INDEX(명단표[소속병원],$J510))</f>
        <v/>
      </c>
      <c r="G510">
        <f>IF($J510="","",INDEX(명단표[기준월 근무병원],$J510))</f>
        <v/>
      </c>
      <c r="H510">
        <f>IF($J510="","",INDEX(명단표[급여지급병원(기준월)],$J510))</f>
        <v/>
      </c>
      <c r="I510">
        <f>IF($J510="","",INDEX(명단표[급여 판정 근거],$J510))</f>
        <v/>
      </c>
      <c r="J510" s="17">
        <f>IFERROR(MATCH(506,명단표[명단순번],0),"")</f>
        <v/>
      </c>
    </row>
    <row r="511">
      <c r="A511">
        <f>IF($J511="","",TEXT(급여기준월,"yyyy-mm"))</f>
        <v/>
      </c>
      <c r="B511">
        <f>IF($J511="","",INDEX(명단표[사번],$J511)&amp;"")</f>
        <v/>
      </c>
      <c r="C511">
        <f>IF($J511="","",INDEX(명단표[이름],$J511))</f>
        <v/>
      </c>
      <c r="D511">
        <f>IF($J511="","",INDEX(명단표[수련과목],$J511))</f>
        <v/>
      </c>
      <c r="E511">
        <f>IF($J511="","",INDEX(명단표[연차],$J511)&amp;"")</f>
        <v/>
      </c>
      <c r="F511">
        <f>IF($J511="","",INDEX(명단표[소속병원],$J511))</f>
        <v/>
      </c>
      <c r="G511">
        <f>IF($J511="","",INDEX(명단표[기준월 근무병원],$J511))</f>
        <v/>
      </c>
      <c r="H511">
        <f>IF($J511="","",INDEX(명단표[급여지급병원(기준월)],$J511))</f>
        <v/>
      </c>
      <c r="I511">
        <f>IF($J511="","",INDEX(명단표[급여 판정 근거],$J511))</f>
        <v/>
      </c>
      <c r="J511" s="17">
        <f>IFERROR(MATCH(507,명단표[명단순번],0),"")</f>
        <v/>
      </c>
    </row>
    <row r="512">
      <c r="A512">
        <f>IF($J512="","",TEXT(급여기준월,"yyyy-mm"))</f>
        <v/>
      </c>
      <c r="B512">
        <f>IF($J512="","",INDEX(명단표[사번],$J512)&amp;"")</f>
        <v/>
      </c>
      <c r="C512">
        <f>IF($J512="","",INDEX(명단표[이름],$J512))</f>
        <v/>
      </c>
      <c r="D512">
        <f>IF($J512="","",INDEX(명단표[수련과목],$J512))</f>
        <v/>
      </c>
      <c r="E512">
        <f>IF($J512="","",INDEX(명단표[연차],$J512)&amp;"")</f>
        <v/>
      </c>
      <c r="F512">
        <f>IF($J512="","",INDEX(명단표[소속병원],$J512))</f>
        <v/>
      </c>
      <c r="G512">
        <f>IF($J512="","",INDEX(명단표[기준월 근무병원],$J512))</f>
        <v/>
      </c>
      <c r="H512">
        <f>IF($J512="","",INDEX(명단표[급여지급병원(기준월)],$J512))</f>
        <v/>
      </c>
      <c r="I512">
        <f>IF($J512="","",INDEX(명단표[급여 판정 근거],$J512))</f>
        <v/>
      </c>
      <c r="J512" s="17">
        <f>IFERROR(MATCH(508,명단표[명단순번],0),"")</f>
        <v/>
      </c>
    </row>
    <row r="513">
      <c r="A513">
        <f>IF($J513="","",TEXT(급여기준월,"yyyy-mm"))</f>
        <v/>
      </c>
      <c r="B513">
        <f>IF($J513="","",INDEX(명단표[사번],$J513)&amp;"")</f>
        <v/>
      </c>
      <c r="C513">
        <f>IF($J513="","",INDEX(명단표[이름],$J513))</f>
        <v/>
      </c>
      <c r="D513">
        <f>IF($J513="","",INDEX(명단표[수련과목],$J513))</f>
        <v/>
      </c>
      <c r="E513">
        <f>IF($J513="","",INDEX(명단표[연차],$J513)&amp;"")</f>
        <v/>
      </c>
      <c r="F513">
        <f>IF($J513="","",INDEX(명단표[소속병원],$J513))</f>
        <v/>
      </c>
      <c r="G513">
        <f>IF($J513="","",INDEX(명단표[기준월 근무병원],$J513))</f>
        <v/>
      </c>
      <c r="H513">
        <f>IF($J513="","",INDEX(명단표[급여지급병원(기준월)],$J513))</f>
        <v/>
      </c>
      <c r="I513">
        <f>IF($J513="","",INDEX(명단표[급여 판정 근거],$J513))</f>
        <v/>
      </c>
      <c r="J513" s="17">
        <f>IFERROR(MATCH(509,명단표[명단순번],0),"")</f>
        <v/>
      </c>
    </row>
    <row r="514">
      <c r="A514">
        <f>IF($J514="","",TEXT(급여기준월,"yyyy-mm"))</f>
        <v/>
      </c>
      <c r="B514">
        <f>IF($J514="","",INDEX(명단표[사번],$J514)&amp;"")</f>
        <v/>
      </c>
      <c r="C514">
        <f>IF($J514="","",INDEX(명단표[이름],$J514))</f>
        <v/>
      </c>
      <c r="D514">
        <f>IF($J514="","",INDEX(명단표[수련과목],$J514))</f>
        <v/>
      </c>
      <c r="E514">
        <f>IF($J514="","",INDEX(명단표[연차],$J514)&amp;"")</f>
        <v/>
      </c>
      <c r="F514">
        <f>IF($J514="","",INDEX(명단표[소속병원],$J514))</f>
        <v/>
      </c>
      <c r="G514">
        <f>IF($J514="","",INDEX(명단표[기준월 근무병원],$J514))</f>
        <v/>
      </c>
      <c r="H514">
        <f>IF($J514="","",INDEX(명단표[급여지급병원(기준월)],$J514))</f>
        <v/>
      </c>
      <c r="I514">
        <f>IF($J514="","",INDEX(명단표[급여 판정 근거],$J514))</f>
        <v/>
      </c>
      <c r="J514" s="17">
        <f>IFERROR(MATCH(510,명단표[명단순번],0),"")</f>
        <v/>
      </c>
    </row>
    <row r="515">
      <c r="A515">
        <f>IF($J515="","",TEXT(급여기준월,"yyyy-mm"))</f>
        <v/>
      </c>
      <c r="B515">
        <f>IF($J515="","",INDEX(명단표[사번],$J515)&amp;"")</f>
        <v/>
      </c>
      <c r="C515">
        <f>IF($J515="","",INDEX(명단표[이름],$J515))</f>
        <v/>
      </c>
      <c r="D515">
        <f>IF($J515="","",INDEX(명단표[수련과목],$J515))</f>
        <v/>
      </c>
      <c r="E515">
        <f>IF($J515="","",INDEX(명단표[연차],$J515)&amp;"")</f>
        <v/>
      </c>
      <c r="F515">
        <f>IF($J515="","",INDEX(명단표[소속병원],$J515))</f>
        <v/>
      </c>
      <c r="G515">
        <f>IF($J515="","",INDEX(명단표[기준월 근무병원],$J515))</f>
        <v/>
      </c>
      <c r="H515">
        <f>IF($J515="","",INDEX(명단표[급여지급병원(기준월)],$J515))</f>
        <v/>
      </c>
      <c r="I515">
        <f>IF($J515="","",INDEX(명단표[급여 판정 근거],$J515))</f>
        <v/>
      </c>
      <c r="J515" s="17">
        <f>IFERROR(MATCH(511,명단표[명단순번],0),"")</f>
        <v/>
      </c>
    </row>
    <row r="516">
      <c r="A516">
        <f>IF($J516="","",TEXT(급여기준월,"yyyy-mm"))</f>
        <v/>
      </c>
      <c r="B516">
        <f>IF($J516="","",INDEX(명단표[사번],$J516)&amp;"")</f>
        <v/>
      </c>
      <c r="C516">
        <f>IF($J516="","",INDEX(명단표[이름],$J516))</f>
        <v/>
      </c>
      <c r="D516">
        <f>IF($J516="","",INDEX(명단표[수련과목],$J516))</f>
        <v/>
      </c>
      <c r="E516">
        <f>IF($J516="","",INDEX(명단표[연차],$J516)&amp;"")</f>
        <v/>
      </c>
      <c r="F516">
        <f>IF($J516="","",INDEX(명단표[소속병원],$J516))</f>
        <v/>
      </c>
      <c r="G516">
        <f>IF($J516="","",INDEX(명단표[기준월 근무병원],$J516))</f>
        <v/>
      </c>
      <c r="H516">
        <f>IF($J516="","",INDEX(명단표[급여지급병원(기준월)],$J516))</f>
        <v/>
      </c>
      <c r="I516">
        <f>IF($J516="","",INDEX(명단표[급여 판정 근거],$J516))</f>
        <v/>
      </c>
      <c r="J516" s="17">
        <f>IFERROR(MATCH(512,명단표[명단순번],0),"")</f>
        <v/>
      </c>
    </row>
    <row r="517">
      <c r="A517">
        <f>IF($J517="","",TEXT(급여기준월,"yyyy-mm"))</f>
        <v/>
      </c>
      <c r="B517">
        <f>IF($J517="","",INDEX(명단표[사번],$J517)&amp;"")</f>
        <v/>
      </c>
      <c r="C517">
        <f>IF($J517="","",INDEX(명단표[이름],$J517))</f>
        <v/>
      </c>
      <c r="D517">
        <f>IF($J517="","",INDEX(명단표[수련과목],$J517))</f>
        <v/>
      </c>
      <c r="E517">
        <f>IF($J517="","",INDEX(명단표[연차],$J517)&amp;"")</f>
        <v/>
      </c>
      <c r="F517">
        <f>IF($J517="","",INDEX(명단표[소속병원],$J517))</f>
        <v/>
      </c>
      <c r="G517">
        <f>IF($J517="","",INDEX(명단표[기준월 근무병원],$J517))</f>
        <v/>
      </c>
      <c r="H517">
        <f>IF($J517="","",INDEX(명단표[급여지급병원(기준월)],$J517))</f>
        <v/>
      </c>
      <c r="I517">
        <f>IF($J517="","",INDEX(명단표[급여 판정 근거],$J517))</f>
        <v/>
      </c>
      <c r="J517" s="17">
        <f>IFERROR(MATCH(513,명단표[명단순번],0),"")</f>
        <v/>
      </c>
    </row>
    <row r="518">
      <c r="A518">
        <f>IF($J518="","",TEXT(급여기준월,"yyyy-mm"))</f>
        <v/>
      </c>
      <c r="B518">
        <f>IF($J518="","",INDEX(명단표[사번],$J518)&amp;"")</f>
        <v/>
      </c>
      <c r="C518">
        <f>IF($J518="","",INDEX(명단표[이름],$J518))</f>
        <v/>
      </c>
      <c r="D518">
        <f>IF($J518="","",INDEX(명단표[수련과목],$J518))</f>
        <v/>
      </c>
      <c r="E518">
        <f>IF($J518="","",INDEX(명단표[연차],$J518)&amp;"")</f>
        <v/>
      </c>
      <c r="F518">
        <f>IF($J518="","",INDEX(명단표[소속병원],$J518))</f>
        <v/>
      </c>
      <c r="G518">
        <f>IF($J518="","",INDEX(명단표[기준월 근무병원],$J518))</f>
        <v/>
      </c>
      <c r="H518">
        <f>IF($J518="","",INDEX(명단표[급여지급병원(기준월)],$J518))</f>
        <v/>
      </c>
      <c r="I518">
        <f>IF($J518="","",INDEX(명단표[급여 판정 근거],$J518))</f>
        <v/>
      </c>
      <c r="J518" s="17">
        <f>IFERROR(MATCH(514,명단표[명단순번],0),"")</f>
        <v/>
      </c>
    </row>
    <row r="519">
      <c r="A519">
        <f>IF($J519="","",TEXT(급여기준월,"yyyy-mm"))</f>
        <v/>
      </c>
      <c r="B519">
        <f>IF($J519="","",INDEX(명단표[사번],$J519)&amp;"")</f>
        <v/>
      </c>
      <c r="C519">
        <f>IF($J519="","",INDEX(명단표[이름],$J519))</f>
        <v/>
      </c>
      <c r="D519">
        <f>IF($J519="","",INDEX(명단표[수련과목],$J519))</f>
        <v/>
      </c>
      <c r="E519">
        <f>IF($J519="","",INDEX(명단표[연차],$J519)&amp;"")</f>
        <v/>
      </c>
      <c r="F519">
        <f>IF($J519="","",INDEX(명단표[소속병원],$J519))</f>
        <v/>
      </c>
      <c r="G519">
        <f>IF($J519="","",INDEX(명단표[기준월 근무병원],$J519))</f>
        <v/>
      </c>
      <c r="H519">
        <f>IF($J519="","",INDEX(명단표[급여지급병원(기준월)],$J519))</f>
        <v/>
      </c>
      <c r="I519">
        <f>IF($J519="","",INDEX(명단표[급여 판정 근거],$J519))</f>
        <v/>
      </c>
      <c r="J519" s="17">
        <f>IFERROR(MATCH(515,명단표[명단순번],0),"")</f>
        <v/>
      </c>
    </row>
    <row r="520">
      <c r="A520">
        <f>IF($J520="","",TEXT(급여기준월,"yyyy-mm"))</f>
        <v/>
      </c>
      <c r="B520">
        <f>IF($J520="","",INDEX(명단표[사번],$J520)&amp;"")</f>
        <v/>
      </c>
      <c r="C520">
        <f>IF($J520="","",INDEX(명단표[이름],$J520))</f>
        <v/>
      </c>
      <c r="D520">
        <f>IF($J520="","",INDEX(명단표[수련과목],$J520))</f>
        <v/>
      </c>
      <c r="E520">
        <f>IF($J520="","",INDEX(명단표[연차],$J520)&amp;"")</f>
        <v/>
      </c>
      <c r="F520">
        <f>IF($J520="","",INDEX(명단표[소속병원],$J520))</f>
        <v/>
      </c>
      <c r="G520">
        <f>IF($J520="","",INDEX(명단표[기준월 근무병원],$J520))</f>
        <v/>
      </c>
      <c r="H520">
        <f>IF($J520="","",INDEX(명단표[급여지급병원(기준월)],$J520))</f>
        <v/>
      </c>
      <c r="I520">
        <f>IF($J520="","",INDEX(명단표[급여 판정 근거],$J520))</f>
        <v/>
      </c>
      <c r="J520" s="17">
        <f>IFERROR(MATCH(516,명단표[명단순번],0),"")</f>
        <v/>
      </c>
    </row>
    <row r="521">
      <c r="A521">
        <f>IF($J521="","",TEXT(급여기준월,"yyyy-mm"))</f>
        <v/>
      </c>
      <c r="B521">
        <f>IF($J521="","",INDEX(명단표[사번],$J521)&amp;"")</f>
        <v/>
      </c>
      <c r="C521">
        <f>IF($J521="","",INDEX(명단표[이름],$J521))</f>
        <v/>
      </c>
      <c r="D521">
        <f>IF($J521="","",INDEX(명단표[수련과목],$J521))</f>
        <v/>
      </c>
      <c r="E521">
        <f>IF($J521="","",INDEX(명단표[연차],$J521)&amp;"")</f>
        <v/>
      </c>
      <c r="F521">
        <f>IF($J521="","",INDEX(명단표[소속병원],$J521))</f>
        <v/>
      </c>
      <c r="G521">
        <f>IF($J521="","",INDEX(명단표[기준월 근무병원],$J521))</f>
        <v/>
      </c>
      <c r="H521">
        <f>IF($J521="","",INDEX(명단표[급여지급병원(기준월)],$J521))</f>
        <v/>
      </c>
      <c r="I521">
        <f>IF($J521="","",INDEX(명단표[급여 판정 근거],$J521))</f>
        <v/>
      </c>
      <c r="J521" s="17">
        <f>IFERROR(MATCH(517,명단표[명단순번],0),"")</f>
        <v/>
      </c>
    </row>
    <row r="522">
      <c r="A522">
        <f>IF($J522="","",TEXT(급여기준월,"yyyy-mm"))</f>
        <v/>
      </c>
      <c r="B522">
        <f>IF($J522="","",INDEX(명단표[사번],$J522)&amp;"")</f>
        <v/>
      </c>
      <c r="C522">
        <f>IF($J522="","",INDEX(명단표[이름],$J522))</f>
        <v/>
      </c>
      <c r="D522">
        <f>IF($J522="","",INDEX(명단표[수련과목],$J522))</f>
        <v/>
      </c>
      <c r="E522">
        <f>IF($J522="","",INDEX(명단표[연차],$J522)&amp;"")</f>
        <v/>
      </c>
      <c r="F522">
        <f>IF($J522="","",INDEX(명단표[소속병원],$J522))</f>
        <v/>
      </c>
      <c r="G522">
        <f>IF($J522="","",INDEX(명단표[기준월 근무병원],$J522))</f>
        <v/>
      </c>
      <c r="H522">
        <f>IF($J522="","",INDEX(명단표[급여지급병원(기준월)],$J522))</f>
        <v/>
      </c>
      <c r="I522">
        <f>IF($J522="","",INDEX(명단표[급여 판정 근거],$J522))</f>
        <v/>
      </c>
      <c r="J522" s="17">
        <f>IFERROR(MATCH(518,명단표[명단순번],0),"")</f>
        <v/>
      </c>
    </row>
    <row r="523">
      <c r="A523">
        <f>IF($J523="","",TEXT(급여기준월,"yyyy-mm"))</f>
        <v/>
      </c>
      <c r="B523">
        <f>IF($J523="","",INDEX(명단표[사번],$J523)&amp;"")</f>
        <v/>
      </c>
      <c r="C523">
        <f>IF($J523="","",INDEX(명단표[이름],$J523))</f>
        <v/>
      </c>
      <c r="D523">
        <f>IF($J523="","",INDEX(명단표[수련과목],$J523))</f>
        <v/>
      </c>
      <c r="E523">
        <f>IF($J523="","",INDEX(명단표[연차],$J523)&amp;"")</f>
        <v/>
      </c>
      <c r="F523">
        <f>IF($J523="","",INDEX(명단표[소속병원],$J523))</f>
        <v/>
      </c>
      <c r="G523">
        <f>IF($J523="","",INDEX(명단표[기준월 근무병원],$J523))</f>
        <v/>
      </c>
      <c r="H523">
        <f>IF($J523="","",INDEX(명단표[급여지급병원(기준월)],$J523))</f>
        <v/>
      </c>
      <c r="I523">
        <f>IF($J523="","",INDEX(명단표[급여 판정 근거],$J523))</f>
        <v/>
      </c>
      <c r="J523" s="17">
        <f>IFERROR(MATCH(519,명단표[명단순번],0),"")</f>
        <v/>
      </c>
    </row>
    <row r="524">
      <c r="A524">
        <f>IF($J524="","",TEXT(급여기준월,"yyyy-mm"))</f>
        <v/>
      </c>
      <c r="B524">
        <f>IF($J524="","",INDEX(명단표[사번],$J524)&amp;"")</f>
        <v/>
      </c>
      <c r="C524">
        <f>IF($J524="","",INDEX(명단표[이름],$J524))</f>
        <v/>
      </c>
      <c r="D524">
        <f>IF($J524="","",INDEX(명단표[수련과목],$J524))</f>
        <v/>
      </c>
      <c r="E524">
        <f>IF($J524="","",INDEX(명단표[연차],$J524)&amp;"")</f>
        <v/>
      </c>
      <c r="F524">
        <f>IF($J524="","",INDEX(명단표[소속병원],$J524))</f>
        <v/>
      </c>
      <c r="G524">
        <f>IF($J524="","",INDEX(명단표[기준월 근무병원],$J524))</f>
        <v/>
      </c>
      <c r="H524">
        <f>IF($J524="","",INDEX(명단표[급여지급병원(기준월)],$J524))</f>
        <v/>
      </c>
      <c r="I524">
        <f>IF($J524="","",INDEX(명단표[급여 판정 근거],$J524))</f>
        <v/>
      </c>
      <c r="J524" s="17">
        <f>IFERROR(MATCH(520,명단표[명단순번],0),"")</f>
        <v/>
      </c>
    </row>
    <row r="525">
      <c r="A525">
        <f>IF($J525="","",TEXT(급여기준월,"yyyy-mm"))</f>
        <v/>
      </c>
      <c r="B525">
        <f>IF($J525="","",INDEX(명단표[사번],$J525)&amp;"")</f>
        <v/>
      </c>
      <c r="C525">
        <f>IF($J525="","",INDEX(명단표[이름],$J525))</f>
        <v/>
      </c>
      <c r="D525">
        <f>IF($J525="","",INDEX(명단표[수련과목],$J525))</f>
        <v/>
      </c>
      <c r="E525">
        <f>IF($J525="","",INDEX(명단표[연차],$J525)&amp;"")</f>
        <v/>
      </c>
      <c r="F525">
        <f>IF($J525="","",INDEX(명단표[소속병원],$J525))</f>
        <v/>
      </c>
      <c r="G525">
        <f>IF($J525="","",INDEX(명단표[기준월 근무병원],$J525))</f>
        <v/>
      </c>
      <c r="H525">
        <f>IF($J525="","",INDEX(명단표[급여지급병원(기준월)],$J525))</f>
        <v/>
      </c>
      <c r="I525">
        <f>IF($J525="","",INDEX(명단표[급여 판정 근거],$J525))</f>
        <v/>
      </c>
      <c r="J525" s="17">
        <f>IFERROR(MATCH(521,명단표[명단순번],0),"")</f>
        <v/>
      </c>
    </row>
    <row r="526">
      <c r="A526">
        <f>IF($J526="","",TEXT(급여기준월,"yyyy-mm"))</f>
        <v/>
      </c>
      <c r="B526">
        <f>IF($J526="","",INDEX(명단표[사번],$J526)&amp;"")</f>
        <v/>
      </c>
      <c r="C526">
        <f>IF($J526="","",INDEX(명단표[이름],$J526))</f>
        <v/>
      </c>
      <c r="D526">
        <f>IF($J526="","",INDEX(명단표[수련과목],$J526))</f>
        <v/>
      </c>
      <c r="E526">
        <f>IF($J526="","",INDEX(명단표[연차],$J526)&amp;"")</f>
        <v/>
      </c>
      <c r="F526">
        <f>IF($J526="","",INDEX(명단표[소속병원],$J526))</f>
        <v/>
      </c>
      <c r="G526">
        <f>IF($J526="","",INDEX(명단표[기준월 근무병원],$J526))</f>
        <v/>
      </c>
      <c r="H526">
        <f>IF($J526="","",INDEX(명단표[급여지급병원(기준월)],$J526))</f>
        <v/>
      </c>
      <c r="I526">
        <f>IF($J526="","",INDEX(명단표[급여 판정 근거],$J526))</f>
        <v/>
      </c>
      <c r="J526" s="17">
        <f>IFERROR(MATCH(522,명단표[명단순번],0),"")</f>
        <v/>
      </c>
    </row>
    <row r="527">
      <c r="A527">
        <f>IF($J527="","",TEXT(급여기준월,"yyyy-mm"))</f>
        <v/>
      </c>
      <c r="B527">
        <f>IF($J527="","",INDEX(명단표[사번],$J527)&amp;"")</f>
        <v/>
      </c>
      <c r="C527">
        <f>IF($J527="","",INDEX(명단표[이름],$J527))</f>
        <v/>
      </c>
      <c r="D527">
        <f>IF($J527="","",INDEX(명단표[수련과목],$J527))</f>
        <v/>
      </c>
      <c r="E527">
        <f>IF($J527="","",INDEX(명단표[연차],$J527)&amp;"")</f>
        <v/>
      </c>
      <c r="F527">
        <f>IF($J527="","",INDEX(명단표[소속병원],$J527))</f>
        <v/>
      </c>
      <c r="G527">
        <f>IF($J527="","",INDEX(명단표[기준월 근무병원],$J527))</f>
        <v/>
      </c>
      <c r="H527">
        <f>IF($J527="","",INDEX(명단표[급여지급병원(기준월)],$J527))</f>
        <v/>
      </c>
      <c r="I527">
        <f>IF($J527="","",INDEX(명단표[급여 판정 근거],$J527))</f>
        <v/>
      </c>
      <c r="J527" s="17">
        <f>IFERROR(MATCH(523,명단표[명단순번],0),"")</f>
        <v/>
      </c>
    </row>
    <row r="528">
      <c r="A528">
        <f>IF($J528="","",TEXT(급여기준월,"yyyy-mm"))</f>
        <v/>
      </c>
      <c r="B528">
        <f>IF($J528="","",INDEX(명단표[사번],$J528)&amp;"")</f>
        <v/>
      </c>
      <c r="C528">
        <f>IF($J528="","",INDEX(명단표[이름],$J528))</f>
        <v/>
      </c>
      <c r="D528">
        <f>IF($J528="","",INDEX(명단표[수련과목],$J528))</f>
        <v/>
      </c>
      <c r="E528">
        <f>IF($J528="","",INDEX(명단표[연차],$J528)&amp;"")</f>
        <v/>
      </c>
      <c r="F528">
        <f>IF($J528="","",INDEX(명단표[소속병원],$J528))</f>
        <v/>
      </c>
      <c r="G528">
        <f>IF($J528="","",INDEX(명단표[기준월 근무병원],$J528))</f>
        <v/>
      </c>
      <c r="H528">
        <f>IF($J528="","",INDEX(명단표[급여지급병원(기준월)],$J528))</f>
        <v/>
      </c>
      <c r="I528">
        <f>IF($J528="","",INDEX(명단표[급여 판정 근거],$J528))</f>
        <v/>
      </c>
      <c r="J528" s="17">
        <f>IFERROR(MATCH(524,명단표[명단순번],0),"")</f>
        <v/>
      </c>
    </row>
    <row r="529">
      <c r="A529">
        <f>IF($J529="","",TEXT(급여기준월,"yyyy-mm"))</f>
        <v/>
      </c>
      <c r="B529">
        <f>IF($J529="","",INDEX(명단표[사번],$J529)&amp;"")</f>
        <v/>
      </c>
      <c r="C529">
        <f>IF($J529="","",INDEX(명단표[이름],$J529))</f>
        <v/>
      </c>
      <c r="D529">
        <f>IF($J529="","",INDEX(명단표[수련과목],$J529))</f>
        <v/>
      </c>
      <c r="E529">
        <f>IF($J529="","",INDEX(명단표[연차],$J529)&amp;"")</f>
        <v/>
      </c>
      <c r="F529">
        <f>IF($J529="","",INDEX(명단표[소속병원],$J529))</f>
        <v/>
      </c>
      <c r="G529">
        <f>IF($J529="","",INDEX(명단표[기준월 근무병원],$J529))</f>
        <v/>
      </c>
      <c r="H529">
        <f>IF($J529="","",INDEX(명단표[급여지급병원(기준월)],$J529))</f>
        <v/>
      </c>
      <c r="I529">
        <f>IF($J529="","",INDEX(명단표[급여 판정 근거],$J529))</f>
        <v/>
      </c>
      <c r="J529" s="17">
        <f>IFERROR(MATCH(525,명단표[명단순번],0),"")</f>
        <v/>
      </c>
    </row>
    <row r="530">
      <c r="A530">
        <f>IF($J530="","",TEXT(급여기준월,"yyyy-mm"))</f>
        <v/>
      </c>
      <c r="B530">
        <f>IF($J530="","",INDEX(명단표[사번],$J530)&amp;"")</f>
        <v/>
      </c>
      <c r="C530">
        <f>IF($J530="","",INDEX(명단표[이름],$J530))</f>
        <v/>
      </c>
      <c r="D530">
        <f>IF($J530="","",INDEX(명단표[수련과목],$J530))</f>
        <v/>
      </c>
      <c r="E530">
        <f>IF($J530="","",INDEX(명단표[연차],$J530)&amp;"")</f>
        <v/>
      </c>
      <c r="F530">
        <f>IF($J530="","",INDEX(명단표[소속병원],$J530))</f>
        <v/>
      </c>
      <c r="G530">
        <f>IF($J530="","",INDEX(명단표[기준월 근무병원],$J530))</f>
        <v/>
      </c>
      <c r="H530">
        <f>IF($J530="","",INDEX(명단표[급여지급병원(기준월)],$J530))</f>
        <v/>
      </c>
      <c r="I530">
        <f>IF($J530="","",INDEX(명단표[급여 판정 근거],$J530))</f>
        <v/>
      </c>
      <c r="J530" s="17">
        <f>IFERROR(MATCH(526,명단표[명단순번],0),"")</f>
        <v/>
      </c>
    </row>
    <row r="531">
      <c r="A531">
        <f>IF($J531="","",TEXT(급여기준월,"yyyy-mm"))</f>
        <v/>
      </c>
      <c r="B531">
        <f>IF($J531="","",INDEX(명단표[사번],$J531)&amp;"")</f>
        <v/>
      </c>
      <c r="C531">
        <f>IF($J531="","",INDEX(명단표[이름],$J531))</f>
        <v/>
      </c>
      <c r="D531">
        <f>IF($J531="","",INDEX(명단표[수련과목],$J531))</f>
        <v/>
      </c>
      <c r="E531">
        <f>IF($J531="","",INDEX(명단표[연차],$J531)&amp;"")</f>
        <v/>
      </c>
      <c r="F531">
        <f>IF($J531="","",INDEX(명단표[소속병원],$J531))</f>
        <v/>
      </c>
      <c r="G531">
        <f>IF($J531="","",INDEX(명단표[기준월 근무병원],$J531))</f>
        <v/>
      </c>
      <c r="H531">
        <f>IF($J531="","",INDEX(명단표[급여지급병원(기준월)],$J531))</f>
        <v/>
      </c>
      <c r="I531">
        <f>IF($J531="","",INDEX(명단표[급여 판정 근거],$J531))</f>
        <v/>
      </c>
      <c r="J531" s="17">
        <f>IFERROR(MATCH(527,명단표[명단순번],0),"")</f>
        <v/>
      </c>
    </row>
    <row r="532">
      <c r="A532">
        <f>IF($J532="","",TEXT(급여기준월,"yyyy-mm"))</f>
        <v/>
      </c>
      <c r="B532">
        <f>IF($J532="","",INDEX(명단표[사번],$J532)&amp;"")</f>
        <v/>
      </c>
      <c r="C532">
        <f>IF($J532="","",INDEX(명단표[이름],$J532))</f>
        <v/>
      </c>
      <c r="D532">
        <f>IF($J532="","",INDEX(명단표[수련과목],$J532))</f>
        <v/>
      </c>
      <c r="E532">
        <f>IF($J532="","",INDEX(명단표[연차],$J532)&amp;"")</f>
        <v/>
      </c>
      <c r="F532">
        <f>IF($J532="","",INDEX(명단표[소속병원],$J532))</f>
        <v/>
      </c>
      <c r="G532">
        <f>IF($J532="","",INDEX(명단표[기준월 근무병원],$J532))</f>
        <v/>
      </c>
      <c r="H532">
        <f>IF($J532="","",INDEX(명단표[급여지급병원(기준월)],$J532))</f>
        <v/>
      </c>
      <c r="I532">
        <f>IF($J532="","",INDEX(명단표[급여 판정 근거],$J532))</f>
        <v/>
      </c>
      <c r="J532" s="17">
        <f>IFERROR(MATCH(528,명단표[명단순번],0),"")</f>
        <v/>
      </c>
    </row>
    <row r="533">
      <c r="A533">
        <f>IF($J533="","",TEXT(급여기준월,"yyyy-mm"))</f>
        <v/>
      </c>
      <c r="B533">
        <f>IF($J533="","",INDEX(명단표[사번],$J533)&amp;"")</f>
        <v/>
      </c>
      <c r="C533">
        <f>IF($J533="","",INDEX(명단표[이름],$J533))</f>
        <v/>
      </c>
      <c r="D533">
        <f>IF($J533="","",INDEX(명단표[수련과목],$J533))</f>
        <v/>
      </c>
      <c r="E533">
        <f>IF($J533="","",INDEX(명단표[연차],$J533)&amp;"")</f>
        <v/>
      </c>
      <c r="F533">
        <f>IF($J533="","",INDEX(명단표[소속병원],$J533))</f>
        <v/>
      </c>
      <c r="G533">
        <f>IF($J533="","",INDEX(명단표[기준월 근무병원],$J533))</f>
        <v/>
      </c>
      <c r="H533">
        <f>IF($J533="","",INDEX(명단표[급여지급병원(기준월)],$J533))</f>
        <v/>
      </c>
      <c r="I533">
        <f>IF($J533="","",INDEX(명단표[급여 판정 근거],$J533))</f>
        <v/>
      </c>
      <c r="J533" s="17">
        <f>IFERROR(MATCH(529,명단표[명단순번],0),"")</f>
        <v/>
      </c>
    </row>
    <row r="534">
      <c r="A534">
        <f>IF($J534="","",TEXT(급여기준월,"yyyy-mm"))</f>
        <v/>
      </c>
      <c r="B534">
        <f>IF($J534="","",INDEX(명단표[사번],$J534)&amp;"")</f>
        <v/>
      </c>
      <c r="C534">
        <f>IF($J534="","",INDEX(명단표[이름],$J534))</f>
        <v/>
      </c>
      <c r="D534">
        <f>IF($J534="","",INDEX(명단표[수련과목],$J534))</f>
        <v/>
      </c>
      <c r="E534">
        <f>IF($J534="","",INDEX(명단표[연차],$J534)&amp;"")</f>
        <v/>
      </c>
      <c r="F534">
        <f>IF($J534="","",INDEX(명단표[소속병원],$J534))</f>
        <v/>
      </c>
      <c r="G534">
        <f>IF($J534="","",INDEX(명단표[기준월 근무병원],$J534))</f>
        <v/>
      </c>
      <c r="H534">
        <f>IF($J534="","",INDEX(명단표[급여지급병원(기준월)],$J534))</f>
        <v/>
      </c>
      <c r="I534">
        <f>IF($J534="","",INDEX(명단표[급여 판정 근거],$J534))</f>
        <v/>
      </c>
      <c r="J534" s="17">
        <f>IFERROR(MATCH(530,명단표[명단순번],0),"")</f>
        <v/>
      </c>
    </row>
    <row r="535">
      <c r="A535">
        <f>IF($J535="","",TEXT(급여기준월,"yyyy-mm"))</f>
        <v/>
      </c>
      <c r="B535">
        <f>IF($J535="","",INDEX(명단표[사번],$J535)&amp;"")</f>
        <v/>
      </c>
      <c r="C535">
        <f>IF($J535="","",INDEX(명단표[이름],$J535))</f>
        <v/>
      </c>
      <c r="D535">
        <f>IF($J535="","",INDEX(명단표[수련과목],$J535))</f>
        <v/>
      </c>
      <c r="E535">
        <f>IF($J535="","",INDEX(명단표[연차],$J535)&amp;"")</f>
        <v/>
      </c>
      <c r="F535">
        <f>IF($J535="","",INDEX(명단표[소속병원],$J535))</f>
        <v/>
      </c>
      <c r="G535">
        <f>IF($J535="","",INDEX(명단표[기준월 근무병원],$J535))</f>
        <v/>
      </c>
      <c r="H535">
        <f>IF($J535="","",INDEX(명단표[급여지급병원(기준월)],$J535))</f>
        <v/>
      </c>
      <c r="I535">
        <f>IF($J535="","",INDEX(명단표[급여 판정 근거],$J535))</f>
        <v/>
      </c>
      <c r="J535" s="17">
        <f>IFERROR(MATCH(531,명단표[명단순번],0),"")</f>
        <v/>
      </c>
    </row>
    <row r="536">
      <c r="A536">
        <f>IF($J536="","",TEXT(급여기준월,"yyyy-mm"))</f>
        <v/>
      </c>
      <c r="B536">
        <f>IF($J536="","",INDEX(명단표[사번],$J536)&amp;"")</f>
        <v/>
      </c>
      <c r="C536">
        <f>IF($J536="","",INDEX(명단표[이름],$J536))</f>
        <v/>
      </c>
      <c r="D536">
        <f>IF($J536="","",INDEX(명단표[수련과목],$J536))</f>
        <v/>
      </c>
      <c r="E536">
        <f>IF($J536="","",INDEX(명단표[연차],$J536)&amp;"")</f>
        <v/>
      </c>
      <c r="F536">
        <f>IF($J536="","",INDEX(명단표[소속병원],$J536))</f>
        <v/>
      </c>
      <c r="G536">
        <f>IF($J536="","",INDEX(명단표[기준월 근무병원],$J536))</f>
        <v/>
      </c>
      <c r="H536">
        <f>IF($J536="","",INDEX(명단표[급여지급병원(기준월)],$J536))</f>
        <v/>
      </c>
      <c r="I536">
        <f>IF($J536="","",INDEX(명단표[급여 판정 근거],$J536))</f>
        <v/>
      </c>
      <c r="J536" s="17">
        <f>IFERROR(MATCH(532,명단표[명단순번],0),"")</f>
        <v/>
      </c>
    </row>
    <row r="537">
      <c r="A537">
        <f>IF($J537="","",TEXT(급여기준월,"yyyy-mm"))</f>
        <v/>
      </c>
      <c r="B537">
        <f>IF($J537="","",INDEX(명단표[사번],$J537)&amp;"")</f>
        <v/>
      </c>
      <c r="C537">
        <f>IF($J537="","",INDEX(명단표[이름],$J537))</f>
        <v/>
      </c>
      <c r="D537">
        <f>IF($J537="","",INDEX(명단표[수련과목],$J537))</f>
        <v/>
      </c>
      <c r="E537">
        <f>IF($J537="","",INDEX(명단표[연차],$J537)&amp;"")</f>
        <v/>
      </c>
      <c r="F537">
        <f>IF($J537="","",INDEX(명단표[소속병원],$J537))</f>
        <v/>
      </c>
      <c r="G537">
        <f>IF($J537="","",INDEX(명단표[기준월 근무병원],$J537))</f>
        <v/>
      </c>
      <c r="H537">
        <f>IF($J537="","",INDEX(명단표[급여지급병원(기준월)],$J537))</f>
        <v/>
      </c>
      <c r="I537">
        <f>IF($J537="","",INDEX(명단표[급여 판정 근거],$J537))</f>
        <v/>
      </c>
      <c r="J537" s="17">
        <f>IFERROR(MATCH(533,명단표[명단순번],0),"")</f>
        <v/>
      </c>
    </row>
    <row r="538">
      <c r="A538">
        <f>IF($J538="","",TEXT(급여기준월,"yyyy-mm"))</f>
        <v/>
      </c>
      <c r="B538">
        <f>IF($J538="","",INDEX(명단표[사번],$J538)&amp;"")</f>
        <v/>
      </c>
      <c r="C538">
        <f>IF($J538="","",INDEX(명단표[이름],$J538))</f>
        <v/>
      </c>
      <c r="D538">
        <f>IF($J538="","",INDEX(명단표[수련과목],$J538))</f>
        <v/>
      </c>
      <c r="E538">
        <f>IF($J538="","",INDEX(명단표[연차],$J538)&amp;"")</f>
        <v/>
      </c>
      <c r="F538">
        <f>IF($J538="","",INDEX(명단표[소속병원],$J538))</f>
        <v/>
      </c>
      <c r="G538">
        <f>IF($J538="","",INDEX(명단표[기준월 근무병원],$J538))</f>
        <v/>
      </c>
      <c r="H538">
        <f>IF($J538="","",INDEX(명단표[급여지급병원(기준월)],$J538))</f>
        <v/>
      </c>
      <c r="I538">
        <f>IF($J538="","",INDEX(명단표[급여 판정 근거],$J538))</f>
        <v/>
      </c>
      <c r="J538" s="17">
        <f>IFERROR(MATCH(534,명단표[명단순번],0),"")</f>
        <v/>
      </c>
    </row>
    <row r="539">
      <c r="A539">
        <f>IF($J539="","",TEXT(급여기준월,"yyyy-mm"))</f>
        <v/>
      </c>
      <c r="B539">
        <f>IF($J539="","",INDEX(명단표[사번],$J539)&amp;"")</f>
        <v/>
      </c>
      <c r="C539">
        <f>IF($J539="","",INDEX(명단표[이름],$J539))</f>
        <v/>
      </c>
      <c r="D539">
        <f>IF($J539="","",INDEX(명단표[수련과목],$J539))</f>
        <v/>
      </c>
      <c r="E539">
        <f>IF($J539="","",INDEX(명단표[연차],$J539)&amp;"")</f>
        <v/>
      </c>
      <c r="F539">
        <f>IF($J539="","",INDEX(명단표[소속병원],$J539))</f>
        <v/>
      </c>
      <c r="G539">
        <f>IF($J539="","",INDEX(명단표[기준월 근무병원],$J539))</f>
        <v/>
      </c>
      <c r="H539">
        <f>IF($J539="","",INDEX(명단표[급여지급병원(기준월)],$J539))</f>
        <v/>
      </c>
      <c r="I539">
        <f>IF($J539="","",INDEX(명단표[급여 판정 근거],$J539))</f>
        <v/>
      </c>
      <c r="J539" s="17">
        <f>IFERROR(MATCH(535,명단표[명단순번],0),"")</f>
        <v/>
      </c>
    </row>
    <row r="540">
      <c r="A540">
        <f>IF($J540="","",TEXT(급여기준월,"yyyy-mm"))</f>
        <v/>
      </c>
      <c r="B540">
        <f>IF($J540="","",INDEX(명단표[사번],$J540)&amp;"")</f>
        <v/>
      </c>
      <c r="C540">
        <f>IF($J540="","",INDEX(명단표[이름],$J540))</f>
        <v/>
      </c>
      <c r="D540">
        <f>IF($J540="","",INDEX(명단표[수련과목],$J540))</f>
        <v/>
      </c>
      <c r="E540">
        <f>IF($J540="","",INDEX(명단표[연차],$J540)&amp;"")</f>
        <v/>
      </c>
      <c r="F540">
        <f>IF($J540="","",INDEX(명단표[소속병원],$J540))</f>
        <v/>
      </c>
      <c r="G540">
        <f>IF($J540="","",INDEX(명단표[기준월 근무병원],$J540))</f>
        <v/>
      </c>
      <c r="H540">
        <f>IF($J540="","",INDEX(명단표[급여지급병원(기준월)],$J540))</f>
        <v/>
      </c>
      <c r="I540">
        <f>IF($J540="","",INDEX(명단표[급여 판정 근거],$J540))</f>
        <v/>
      </c>
      <c r="J540" s="17">
        <f>IFERROR(MATCH(536,명단표[명단순번],0),"")</f>
        <v/>
      </c>
    </row>
    <row r="541">
      <c r="A541">
        <f>IF($J541="","",TEXT(급여기준월,"yyyy-mm"))</f>
        <v/>
      </c>
      <c r="B541">
        <f>IF($J541="","",INDEX(명단표[사번],$J541)&amp;"")</f>
        <v/>
      </c>
      <c r="C541">
        <f>IF($J541="","",INDEX(명단표[이름],$J541))</f>
        <v/>
      </c>
      <c r="D541">
        <f>IF($J541="","",INDEX(명단표[수련과목],$J541))</f>
        <v/>
      </c>
      <c r="E541">
        <f>IF($J541="","",INDEX(명단표[연차],$J541)&amp;"")</f>
        <v/>
      </c>
      <c r="F541">
        <f>IF($J541="","",INDEX(명단표[소속병원],$J541))</f>
        <v/>
      </c>
      <c r="G541">
        <f>IF($J541="","",INDEX(명단표[기준월 근무병원],$J541))</f>
        <v/>
      </c>
      <c r="H541">
        <f>IF($J541="","",INDEX(명단표[급여지급병원(기준월)],$J541))</f>
        <v/>
      </c>
      <c r="I541">
        <f>IF($J541="","",INDEX(명단표[급여 판정 근거],$J541))</f>
        <v/>
      </c>
      <c r="J541" s="17">
        <f>IFERROR(MATCH(537,명단표[명단순번],0),"")</f>
        <v/>
      </c>
    </row>
    <row r="542">
      <c r="A542">
        <f>IF($J542="","",TEXT(급여기준월,"yyyy-mm"))</f>
        <v/>
      </c>
      <c r="B542">
        <f>IF($J542="","",INDEX(명단표[사번],$J542)&amp;"")</f>
        <v/>
      </c>
      <c r="C542">
        <f>IF($J542="","",INDEX(명단표[이름],$J542))</f>
        <v/>
      </c>
      <c r="D542">
        <f>IF($J542="","",INDEX(명단표[수련과목],$J542))</f>
        <v/>
      </c>
      <c r="E542">
        <f>IF($J542="","",INDEX(명단표[연차],$J542)&amp;"")</f>
        <v/>
      </c>
      <c r="F542">
        <f>IF($J542="","",INDEX(명단표[소속병원],$J542))</f>
        <v/>
      </c>
      <c r="G542">
        <f>IF($J542="","",INDEX(명단표[기준월 근무병원],$J542))</f>
        <v/>
      </c>
      <c r="H542">
        <f>IF($J542="","",INDEX(명단표[급여지급병원(기준월)],$J542))</f>
        <v/>
      </c>
      <c r="I542">
        <f>IF($J542="","",INDEX(명단표[급여 판정 근거],$J542))</f>
        <v/>
      </c>
      <c r="J542" s="17">
        <f>IFERROR(MATCH(538,명단표[명단순번],0),"")</f>
        <v/>
      </c>
    </row>
    <row r="543">
      <c r="A543">
        <f>IF($J543="","",TEXT(급여기준월,"yyyy-mm"))</f>
        <v/>
      </c>
      <c r="B543">
        <f>IF($J543="","",INDEX(명단표[사번],$J543)&amp;"")</f>
        <v/>
      </c>
      <c r="C543">
        <f>IF($J543="","",INDEX(명단표[이름],$J543))</f>
        <v/>
      </c>
      <c r="D543">
        <f>IF($J543="","",INDEX(명단표[수련과목],$J543))</f>
        <v/>
      </c>
      <c r="E543">
        <f>IF($J543="","",INDEX(명단표[연차],$J543)&amp;"")</f>
        <v/>
      </c>
      <c r="F543">
        <f>IF($J543="","",INDEX(명단표[소속병원],$J543))</f>
        <v/>
      </c>
      <c r="G543">
        <f>IF($J543="","",INDEX(명단표[기준월 근무병원],$J543))</f>
        <v/>
      </c>
      <c r="H543">
        <f>IF($J543="","",INDEX(명단표[급여지급병원(기준월)],$J543))</f>
        <v/>
      </c>
      <c r="I543">
        <f>IF($J543="","",INDEX(명단표[급여 판정 근거],$J543))</f>
        <v/>
      </c>
      <c r="J543" s="17">
        <f>IFERROR(MATCH(539,명단표[명단순번],0),"")</f>
        <v/>
      </c>
    </row>
    <row r="544">
      <c r="A544">
        <f>IF($J544="","",TEXT(급여기준월,"yyyy-mm"))</f>
        <v/>
      </c>
      <c r="B544">
        <f>IF($J544="","",INDEX(명단표[사번],$J544)&amp;"")</f>
        <v/>
      </c>
      <c r="C544">
        <f>IF($J544="","",INDEX(명단표[이름],$J544))</f>
        <v/>
      </c>
      <c r="D544">
        <f>IF($J544="","",INDEX(명단표[수련과목],$J544))</f>
        <v/>
      </c>
      <c r="E544">
        <f>IF($J544="","",INDEX(명단표[연차],$J544)&amp;"")</f>
        <v/>
      </c>
      <c r="F544">
        <f>IF($J544="","",INDEX(명단표[소속병원],$J544))</f>
        <v/>
      </c>
      <c r="G544">
        <f>IF($J544="","",INDEX(명단표[기준월 근무병원],$J544))</f>
        <v/>
      </c>
      <c r="H544">
        <f>IF($J544="","",INDEX(명단표[급여지급병원(기준월)],$J544))</f>
        <v/>
      </c>
      <c r="I544">
        <f>IF($J544="","",INDEX(명단표[급여 판정 근거],$J544))</f>
        <v/>
      </c>
      <c r="J544" s="17">
        <f>IFERROR(MATCH(540,명단표[명단순번],0),"")</f>
        <v/>
      </c>
    </row>
    <row r="545">
      <c r="A545">
        <f>IF($J545="","",TEXT(급여기준월,"yyyy-mm"))</f>
        <v/>
      </c>
      <c r="B545">
        <f>IF($J545="","",INDEX(명단표[사번],$J545)&amp;"")</f>
        <v/>
      </c>
      <c r="C545">
        <f>IF($J545="","",INDEX(명단표[이름],$J545))</f>
        <v/>
      </c>
      <c r="D545">
        <f>IF($J545="","",INDEX(명단표[수련과목],$J545))</f>
        <v/>
      </c>
      <c r="E545">
        <f>IF($J545="","",INDEX(명단표[연차],$J545)&amp;"")</f>
        <v/>
      </c>
      <c r="F545">
        <f>IF($J545="","",INDEX(명단표[소속병원],$J545))</f>
        <v/>
      </c>
      <c r="G545">
        <f>IF($J545="","",INDEX(명단표[기준월 근무병원],$J545))</f>
        <v/>
      </c>
      <c r="H545">
        <f>IF($J545="","",INDEX(명단표[급여지급병원(기준월)],$J545))</f>
        <v/>
      </c>
      <c r="I545">
        <f>IF($J545="","",INDEX(명단표[급여 판정 근거],$J545))</f>
        <v/>
      </c>
      <c r="J545" s="17">
        <f>IFERROR(MATCH(541,명단표[명단순번],0),"")</f>
        <v/>
      </c>
    </row>
    <row r="546">
      <c r="A546">
        <f>IF($J546="","",TEXT(급여기준월,"yyyy-mm"))</f>
        <v/>
      </c>
      <c r="B546">
        <f>IF($J546="","",INDEX(명단표[사번],$J546)&amp;"")</f>
        <v/>
      </c>
      <c r="C546">
        <f>IF($J546="","",INDEX(명단표[이름],$J546))</f>
        <v/>
      </c>
      <c r="D546">
        <f>IF($J546="","",INDEX(명단표[수련과목],$J546))</f>
        <v/>
      </c>
      <c r="E546">
        <f>IF($J546="","",INDEX(명단표[연차],$J546)&amp;"")</f>
        <v/>
      </c>
      <c r="F546">
        <f>IF($J546="","",INDEX(명단표[소속병원],$J546))</f>
        <v/>
      </c>
      <c r="G546">
        <f>IF($J546="","",INDEX(명단표[기준월 근무병원],$J546))</f>
        <v/>
      </c>
      <c r="H546">
        <f>IF($J546="","",INDEX(명단표[급여지급병원(기준월)],$J546))</f>
        <v/>
      </c>
      <c r="I546">
        <f>IF($J546="","",INDEX(명단표[급여 판정 근거],$J546))</f>
        <v/>
      </c>
      <c r="J546" s="17">
        <f>IFERROR(MATCH(542,명단표[명단순번],0),"")</f>
        <v/>
      </c>
    </row>
    <row r="547">
      <c r="A547">
        <f>IF($J547="","",TEXT(급여기준월,"yyyy-mm"))</f>
        <v/>
      </c>
      <c r="B547">
        <f>IF($J547="","",INDEX(명단표[사번],$J547)&amp;"")</f>
        <v/>
      </c>
      <c r="C547">
        <f>IF($J547="","",INDEX(명단표[이름],$J547))</f>
        <v/>
      </c>
      <c r="D547">
        <f>IF($J547="","",INDEX(명단표[수련과목],$J547))</f>
        <v/>
      </c>
      <c r="E547">
        <f>IF($J547="","",INDEX(명단표[연차],$J547)&amp;"")</f>
        <v/>
      </c>
      <c r="F547">
        <f>IF($J547="","",INDEX(명단표[소속병원],$J547))</f>
        <v/>
      </c>
      <c r="G547">
        <f>IF($J547="","",INDEX(명단표[기준월 근무병원],$J547))</f>
        <v/>
      </c>
      <c r="H547">
        <f>IF($J547="","",INDEX(명단표[급여지급병원(기준월)],$J547))</f>
        <v/>
      </c>
      <c r="I547">
        <f>IF($J547="","",INDEX(명단표[급여 판정 근거],$J547))</f>
        <v/>
      </c>
      <c r="J547" s="17">
        <f>IFERROR(MATCH(543,명단표[명단순번],0),"")</f>
        <v/>
      </c>
    </row>
    <row r="548">
      <c r="A548">
        <f>IF($J548="","",TEXT(급여기준월,"yyyy-mm"))</f>
        <v/>
      </c>
      <c r="B548">
        <f>IF($J548="","",INDEX(명단표[사번],$J548)&amp;"")</f>
        <v/>
      </c>
      <c r="C548">
        <f>IF($J548="","",INDEX(명단표[이름],$J548))</f>
        <v/>
      </c>
      <c r="D548">
        <f>IF($J548="","",INDEX(명단표[수련과목],$J548))</f>
        <v/>
      </c>
      <c r="E548">
        <f>IF($J548="","",INDEX(명단표[연차],$J548)&amp;"")</f>
        <v/>
      </c>
      <c r="F548">
        <f>IF($J548="","",INDEX(명단표[소속병원],$J548))</f>
        <v/>
      </c>
      <c r="G548">
        <f>IF($J548="","",INDEX(명단표[기준월 근무병원],$J548))</f>
        <v/>
      </c>
      <c r="H548">
        <f>IF($J548="","",INDEX(명단표[급여지급병원(기준월)],$J548))</f>
        <v/>
      </c>
      <c r="I548">
        <f>IF($J548="","",INDEX(명단표[급여 판정 근거],$J548))</f>
        <v/>
      </c>
      <c r="J548" s="17">
        <f>IFERROR(MATCH(544,명단표[명단순번],0),"")</f>
        <v/>
      </c>
    </row>
    <row r="549">
      <c r="A549">
        <f>IF($J549="","",TEXT(급여기준월,"yyyy-mm"))</f>
        <v/>
      </c>
      <c r="B549">
        <f>IF($J549="","",INDEX(명단표[사번],$J549)&amp;"")</f>
        <v/>
      </c>
      <c r="C549">
        <f>IF($J549="","",INDEX(명단표[이름],$J549))</f>
        <v/>
      </c>
      <c r="D549">
        <f>IF($J549="","",INDEX(명단표[수련과목],$J549))</f>
        <v/>
      </c>
      <c r="E549">
        <f>IF($J549="","",INDEX(명단표[연차],$J549)&amp;"")</f>
        <v/>
      </c>
      <c r="F549">
        <f>IF($J549="","",INDEX(명단표[소속병원],$J549))</f>
        <v/>
      </c>
      <c r="G549">
        <f>IF($J549="","",INDEX(명단표[기준월 근무병원],$J549))</f>
        <v/>
      </c>
      <c r="H549">
        <f>IF($J549="","",INDEX(명단표[급여지급병원(기준월)],$J549))</f>
        <v/>
      </c>
      <c r="I549">
        <f>IF($J549="","",INDEX(명단표[급여 판정 근거],$J549))</f>
        <v/>
      </c>
      <c r="J549" s="17">
        <f>IFERROR(MATCH(545,명단표[명단순번],0),"")</f>
        <v/>
      </c>
    </row>
    <row r="550">
      <c r="A550">
        <f>IF($J550="","",TEXT(급여기준월,"yyyy-mm"))</f>
        <v/>
      </c>
      <c r="B550">
        <f>IF($J550="","",INDEX(명단표[사번],$J550)&amp;"")</f>
        <v/>
      </c>
      <c r="C550">
        <f>IF($J550="","",INDEX(명단표[이름],$J550))</f>
        <v/>
      </c>
      <c r="D550">
        <f>IF($J550="","",INDEX(명단표[수련과목],$J550))</f>
        <v/>
      </c>
      <c r="E550">
        <f>IF($J550="","",INDEX(명단표[연차],$J550)&amp;"")</f>
        <v/>
      </c>
      <c r="F550">
        <f>IF($J550="","",INDEX(명단표[소속병원],$J550))</f>
        <v/>
      </c>
      <c r="G550">
        <f>IF($J550="","",INDEX(명단표[기준월 근무병원],$J550))</f>
        <v/>
      </c>
      <c r="H550">
        <f>IF($J550="","",INDEX(명단표[급여지급병원(기준월)],$J550))</f>
        <v/>
      </c>
      <c r="I550">
        <f>IF($J550="","",INDEX(명단표[급여 판정 근거],$J550))</f>
        <v/>
      </c>
      <c r="J550" s="17">
        <f>IFERROR(MATCH(546,명단표[명단순번],0),"")</f>
        <v/>
      </c>
    </row>
    <row r="551">
      <c r="A551">
        <f>IF($J551="","",TEXT(급여기준월,"yyyy-mm"))</f>
        <v/>
      </c>
      <c r="B551">
        <f>IF($J551="","",INDEX(명단표[사번],$J551)&amp;"")</f>
        <v/>
      </c>
      <c r="C551">
        <f>IF($J551="","",INDEX(명단표[이름],$J551))</f>
        <v/>
      </c>
      <c r="D551">
        <f>IF($J551="","",INDEX(명단표[수련과목],$J551))</f>
        <v/>
      </c>
      <c r="E551">
        <f>IF($J551="","",INDEX(명단표[연차],$J551)&amp;"")</f>
        <v/>
      </c>
      <c r="F551">
        <f>IF($J551="","",INDEX(명단표[소속병원],$J551))</f>
        <v/>
      </c>
      <c r="G551">
        <f>IF($J551="","",INDEX(명단표[기준월 근무병원],$J551))</f>
        <v/>
      </c>
      <c r="H551">
        <f>IF($J551="","",INDEX(명단표[급여지급병원(기준월)],$J551))</f>
        <v/>
      </c>
      <c r="I551">
        <f>IF($J551="","",INDEX(명단표[급여 판정 근거],$J551))</f>
        <v/>
      </c>
      <c r="J551" s="17">
        <f>IFERROR(MATCH(547,명단표[명단순번],0),"")</f>
        <v/>
      </c>
    </row>
    <row r="552">
      <c r="A552">
        <f>IF($J552="","",TEXT(급여기준월,"yyyy-mm"))</f>
        <v/>
      </c>
      <c r="B552">
        <f>IF($J552="","",INDEX(명단표[사번],$J552)&amp;"")</f>
        <v/>
      </c>
      <c r="C552">
        <f>IF($J552="","",INDEX(명단표[이름],$J552))</f>
        <v/>
      </c>
      <c r="D552">
        <f>IF($J552="","",INDEX(명단표[수련과목],$J552))</f>
        <v/>
      </c>
      <c r="E552">
        <f>IF($J552="","",INDEX(명단표[연차],$J552)&amp;"")</f>
        <v/>
      </c>
      <c r="F552">
        <f>IF($J552="","",INDEX(명단표[소속병원],$J552))</f>
        <v/>
      </c>
      <c r="G552">
        <f>IF($J552="","",INDEX(명단표[기준월 근무병원],$J552))</f>
        <v/>
      </c>
      <c r="H552">
        <f>IF($J552="","",INDEX(명단표[급여지급병원(기준월)],$J552))</f>
        <v/>
      </c>
      <c r="I552">
        <f>IF($J552="","",INDEX(명단표[급여 판정 근거],$J552))</f>
        <v/>
      </c>
      <c r="J552" s="17">
        <f>IFERROR(MATCH(548,명단표[명단순번],0),"")</f>
        <v/>
      </c>
    </row>
    <row r="553">
      <c r="A553">
        <f>IF($J553="","",TEXT(급여기준월,"yyyy-mm"))</f>
        <v/>
      </c>
      <c r="B553">
        <f>IF($J553="","",INDEX(명단표[사번],$J553)&amp;"")</f>
        <v/>
      </c>
      <c r="C553">
        <f>IF($J553="","",INDEX(명단표[이름],$J553))</f>
        <v/>
      </c>
      <c r="D553">
        <f>IF($J553="","",INDEX(명단표[수련과목],$J553))</f>
        <v/>
      </c>
      <c r="E553">
        <f>IF($J553="","",INDEX(명단표[연차],$J553)&amp;"")</f>
        <v/>
      </c>
      <c r="F553">
        <f>IF($J553="","",INDEX(명단표[소속병원],$J553))</f>
        <v/>
      </c>
      <c r="G553">
        <f>IF($J553="","",INDEX(명단표[기준월 근무병원],$J553))</f>
        <v/>
      </c>
      <c r="H553">
        <f>IF($J553="","",INDEX(명단표[급여지급병원(기준월)],$J553))</f>
        <v/>
      </c>
      <c r="I553">
        <f>IF($J553="","",INDEX(명단표[급여 판정 근거],$J553))</f>
        <v/>
      </c>
      <c r="J553" s="17">
        <f>IFERROR(MATCH(549,명단표[명단순번],0),"")</f>
        <v/>
      </c>
    </row>
    <row r="554">
      <c r="A554">
        <f>IF($J554="","",TEXT(급여기준월,"yyyy-mm"))</f>
        <v/>
      </c>
      <c r="B554">
        <f>IF($J554="","",INDEX(명단표[사번],$J554)&amp;"")</f>
        <v/>
      </c>
      <c r="C554">
        <f>IF($J554="","",INDEX(명단표[이름],$J554))</f>
        <v/>
      </c>
      <c r="D554">
        <f>IF($J554="","",INDEX(명단표[수련과목],$J554))</f>
        <v/>
      </c>
      <c r="E554">
        <f>IF($J554="","",INDEX(명단표[연차],$J554)&amp;"")</f>
        <v/>
      </c>
      <c r="F554">
        <f>IF($J554="","",INDEX(명단표[소속병원],$J554))</f>
        <v/>
      </c>
      <c r="G554">
        <f>IF($J554="","",INDEX(명단표[기준월 근무병원],$J554))</f>
        <v/>
      </c>
      <c r="H554">
        <f>IF($J554="","",INDEX(명단표[급여지급병원(기준월)],$J554))</f>
        <v/>
      </c>
      <c r="I554">
        <f>IF($J554="","",INDEX(명단표[급여 판정 근거],$J554))</f>
        <v/>
      </c>
      <c r="J554" s="17">
        <f>IFERROR(MATCH(550,명단표[명단순번],0),"")</f>
        <v/>
      </c>
    </row>
    <row r="555">
      <c r="A555">
        <f>IF($J555="","",TEXT(급여기준월,"yyyy-mm"))</f>
        <v/>
      </c>
      <c r="B555">
        <f>IF($J555="","",INDEX(명단표[사번],$J555)&amp;"")</f>
        <v/>
      </c>
      <c r="C555">
        <f>IF($J555="","",INDEX(명단표[이름],$J555))</f>
        <v/>
      </c>
      <c r="D555">
        <f>IF($J555="","",INDEX(명단표[수련과목],$J555))</f>
        <v/>
      </c>
      <c r="E555">
        <f>IF($J555="","",INDEX(명단표[연차],$J555)&amp;"")</f>
        <v/>
      </c>
      <c r="F555">
        <f>IF($J555="","",INDEX(명단표[소속병원],$J555))</f>
        <v/>
      </c>
      <c r="G555">
        <f>IF($J555="","",INDEX(명단표[기준월 근무병원],$J555))</f>
        <v/>
      </c>
      <c r="H555">
        <f>IF($J555="","",INDEX(명단표[급여지급병원(기준월)],$J555))</f>
        <v/>
      </c>
      <c r="I555">
        <f>IF($J555="","",INDEX(명단표[급여 판정 근거],$J555))</f>
        <v/>
      </c>
      <c r="J555" s="17">
        <f>IFERROR(MATCH(551,명단표[명단순번],0),"")</f>
        <v/>
      </c>
    </row>
    <row r="556">
      <c r="A556">
        <f>IF($J556="","",TEXT(급여기준월,"yyyy-mm"))</f>
        <v/>
      </c>
      <c r="B556">
        <f>IF($J556="","",INDEX(명단표[사번],$J556)&amp;"")</f>
        <v/>
      </c>
      <c r="C556">
        <f>IF($J556="","",INDEX(명단표[이름],$J556))</f>
        <v/>
      </c>
      <c r="D556">
        <f>IF($J556="","",INDEX(명단표[수련과목],$J556))</f>
        <v/>
      </c>
      <c r="E556">
        <f>IF($J556="","",INDEX(명단표[연차],$J556)&amp;"")</f>
        <v/>
      </c>
      <c r="F556">
        <f>IF($J556="","",INDEX(명단표[소속병원],$J556))</f>
        <v/>
      </c>
      <c r="G556">
        <f>IF($J556="","",INDEX(명단표[기준월 근무병원],$J556))</f>
        <v/>
      </c>
      <c r="H556">
        <f>IF($J556="","",INDEX(명단표[급여지급병원(기준월)],$J556))</f>
        <v/>
      </c>
      <c r="I556">
        <f>IF($J556="","",INDEX(명단표[급여 판정 근거],$J556))</f>
        <v/>
      </c>
      <c r="J556" s="17">
        <f>IFERROR(MATCH(552,명단표[명단순번],0),"")</f>
        <v/>
      </c>
    </row>
    <row r="557">
      <c r="A557">
        <f>IF($J557="","",TEXT(급여기준월,"yyyy-mm"))</f>
        <v/>
      </c>
      <c r="B557">
        <f>IF($J557="","",INDEX(명단표[사번],$J557)&amp;"")</f>
        <v/>
      </c>
      <c r="C557">
        <f>IF($J557="","",INDEX(명단표[이름],$J557))</f>
        <v/>
      </c>
      <c r="D557">
        <f>IF($J557="","",INDEX(명단표[수련과목],$J557))</f>
        <v/>
      </c>
      <c r="E557">
        <f>IF($J557="","",INDEX(명단표[연차],$J557)&amp;"")</f>
        <v/>
      </c>
      <c r="F557">
        <f>IF($J557="","",INDEX(명단표[소속병원],$J557))</f>
        <v/>
      </c>
      <c r="G557">
        <f>IF($J557="","",INDEX(명단표[기준월 근무병원],$J557))</f>
        <v/>
      </c>
      <c r="H557">
        <f>IF($J557="","",INDEX(명단표[급여지급병원(기준월)],$J557))</f>
        <v/>
      </c>
      <c r="I557">
        <f>IF($J557="","",INDEX(명단표[급여 판정 근거],$J557))</f>
        <v/>
      </c>
      <c r="J557" s="17">
        <f>IFERROR(MATCH(553,명단표[명단순번],0),"")</f>
        <v/>
      </c>
    </row>
    <row r="558">
      <c r="A558">
        <f>IF($J558="","",TEXT(급여기준월,"yyyy-mm"))</f>
        <v/>
      </c>
      <c r="B558">
        <f>IF($J558="","",INDEX(명단표[사번],$J558)&amp;"")</f>
        <v/>
      </c>
      <c r="C558">
        <f>IF($J558="","",INDEX(명단표[이름],$J558))</f>
        <v/>
      </c>
      <c r="D558">
        <f>IF($J558="","",INDEX(명단표[수련과목],$J558))</f>
        <v/>
      </c>
      <c r="E558">
        <f>IF($J558="","",INDEX(명단표[연차],$J558)&amp;"")</f>
        <v/>
      </c>
      <c r="F558">
        <f>IF($J558="","",INDEX(명단표[소속병원],$J558))</f>
        <v/>
      </c>
      <c r="G558">
        <f>IF($J558="","",INDEX(명단표[기준월 근무병원],$J558))</f>
        <v/>
      </c>
      <c r="H558">
        <f>IF($J558="","",INDEX(명단표[급여지급병원(기준월)],$J558))</f>
        <v/>
      </c>
      <c r="I558">
        <f>IF($J558="","",INDEX(명단표[급여 판정 근거],$J558))</f>
        <v/>
      </c>
      <c r="J558" s="17">
        <f>IFERROR(MATCH(554,명단표[명단순번],0),"")</f>
        <v/>
      </c>
    </row>
    <row r="559">
      <c r="A559">
        <f>IF($J559="","",TEXT(급여기준월,"yyyy-mm"))</f>
        <v/>
      </c>
      <c r="B559">
        <f>IF($J559="","",INDEX(명단표[사번],$J559)&amp;"")</f>
        <v/>
      </c>
      <c r="C559">
        <f>IF($J559="","",INDEX(명단표[이름],$J559))</f>
        <v/>
      </c>
      <c r="D559">
        <f>IF($J559="","",INDEX(명단표[수련과목],$J559))</f>
        <v/>
      </c>
      <c r="E559">
        <f>IF($J559="","",INDEX(명단표[연차],$J559)&amp;"")</f>
        <v/>
      </c>
      <c r="F559">
        <f>IF($J559="","",INDEX(명단표[소속병원],$J559))</f>
        <v/>
      </c>
      <c r="G559">
        <f>IF($J559="","",INDEX(명단표[기준월 근무병원],$J559))</f>
        <v/>
      </c>
      <c r="H559">
        <f>IF($J559="","",INDEX(명단표[급여지급병원(기준월)],$J559))</f>
        <v/>
      </c>
      <c r="I559">
        <f>IF($J559="","",INDEX(명단표[급여 판정 근거],$J559))</f>
        <v/>
      </c>
      <c r="J559" s="17">
        <f>IFERROR(MATCH(555,명단표[명단순번],0),"")</f>
        <v/>
      </c>
    </row>
    <row r="560">
      <c r="A560">
        <f>IF($J560="","",TEXT(급여기준월,"yyyy-mm"))</f>
        <v/>
      </c>
      <c r="B560">
        <f>IF($J560="","",INDEX(명단표[사번],$J560)&amp;"")</f>
        <v/>
      </c>
      <c r="C560">
        <f>IF($J560="","",INDEX(명단표[이름],$J560))</f>
        <v/>
      </c>
      <c r="D560">
        <f>IF($J560="","",INDEX(명단표[수련과목],$J560))</f>
        <v/>
      </c>
      <c r="E560">
        <f>IF($J560="","",INDEX(명단표[연차],$J560)&amp;"")</f>
        <v/>
      </c>
      <c r="F560">
        <f>IF($J560="","",INDEX(명단표[소속병원],$J560))</f>
        <v/>
      </c>
      <c r="G560">
        <f>IF($J560="","",INDEX(명단표[기준월 근무병원],$J560))</f>
        <v/>
      </c>
      <c r="H560">
        <f>IF($J560="","",INDEX(명단표[급여지급병원(기준월)],$J560))</f>
        <v/>
      </c>
      <c r="I560">
        <f>IF($J560="","",INDEX(명단표[급여 판정 근거],$J560))</f>
        <v/>
      </c>
      <c r="J560" s="17">
        <f>IFERROR(MATCH(556,명단표[명단순번],0),"")</f>
        <v/>
      </c>
    </row>
    <row r="561">
      <c r="A561">
        <f>IF($J561="","",TEXT(급여기준월,"yyyy-mm"))</f>
        <v/>
      </c>
      <c r="B561">
        <f>IF($J561="","",INDEX(명단표[사번],$J561)&amp;"")</f>
        <v/>
      </c>
      <c r="C561">
        <f>IF($J561="","",INDEX(명단표[이름],$J561))</f>
        <v/>
      </c>
      <c r="D561">
        <f>IF($J561="","",INDEX(명단표[수련과목],$J561))</f>
        <v/>
      </c>
      <c r="E561">
        <f>IF($J561="","",INDEX(명단표[연차],$J561)&amp;"")</f>
        <v/>
      </c>
      <c r="F561">
        <f>IF($J561="","",INDEX(명단표[소속병원],$J561))</f>
        <v/>
      </c>
      <c r="G561">
        <f>IF($J561="","",INDEX(명단표[기준월 근무병원],$J561))</f>
        <v/>
      </c>
      <c r="H561">
        <f>IF($J561="","",INDEX(명단표[급여지급병원(기준월)],$J561))</f>
        <v/>
      </c>
      <c r="I561">
        <f>IF($J561="","",INDEX(명단표[급여 판정 근거],$J561))</f>
        <v/>
      </c>
      <c r="J561" s="17">
        <f>IFERROR(MATCH(557,명단표[명단순번],0),"")</f>
        <v/>
      </c>
    </row>
    <row r="562">
      <c r="A562">
        <f>IF($J562="","",TEXT(급여기준월,"yyyy-mm"))</f>
        <v/>
      </c>
      <c r="B562">
        <f>IF($J562="","",INDEX(명단표[사번],$J562)&amp;"")</f>
        <v/>
      </c>
      <c r="C562">
        <f>IF($J562="","",INDEX(명단표[이름],$J562))</f>
        <v/>
      </c>
      <c r="D562">
        <f>IF($J562="","",INDEX(명단표[수련과목],$J562))</f>
        <v/>
      </c>
      <c r="E562">
        <f>IF($J562="","",INDEX(명단표[연차],$J562)&amp;"")</f>
        <v/>
      </c>
      <c r="F562">
        <f>IF($J562="","",INDEX(명단표[소속병원],$J562))</f>
        <v/>
      </c>
      <c r="G562">
        <f>IF($J562="","",INDEX(명단표[기준월 근무병원],$J562))</f>
        <v/>
      </c>
      <c r="H562">
        <f>IF($J562="","",INDEX(명단표[급여지급병원(기준월)],$J562))</f>
        <v/>
      </c>
      <c r="I562">
        <f>IF($J562="","",INDEX(명단표[급여 판정 근거],$J562))</f>
        <v/>
      </c>
      <c r="J562" s="17">
        <f>IFERROR(MATCH(558,명단표[명단순번],0),"")</f>
        <v/>
      </c>
    </row>
    <row r="563">
      <c r="A563">
        <f>IF($J563="","",TEXT(급여기준월,"yyyy-mm"))</f>
        <v/>
      </c>
      <c r="B563">
        <f>IF($J563="","",INDEX(명단표[사번],$J563)&amp;"")</f>
        <v/>
      </c>
      <c r="C563">
        <f>IF($J563="","",INDEX(명단표[이름],$J563))</f>
        <v/>
      </c>
      <c r="D563">
        <f>IF($J563="","",INDEX(명단표[수련과목],$J563))</f>
        <v/>
      </c>
      <c r="E563">
        <f>IF($J563="","",INDEX(명단표[연차],$J563)&amp;"")</f>
        <v/>
      </c>
      <c r="F563">
        <f>IF($J563="","",INDEX(명단표[소속병원],$J563))</f>
        <v/>
      </c>
      <c r="G563">
        <f>IF($J563="","",INDEX(명단표[기준월 근무병원],$J563))</f>
        <v/>
      </c>
      <c r="H563">
        <f>IF($J563="","",INDEX(명단표[급여지급병원(기준월)],$J563))</f>
        <v/>
      </c>
      <c r="I563">
        <f>IF($J563="","",INDEX(명단표[급여 판정 근거],$J563))</f>
        <v/>
      </c>
      <c r="J563" s="17">
        <f>IFERROR(MATCH(559,명단표[명단순번],0),"")</f>
        <v/>
      </c>
    </row>
    <row r="564">
      <c r="A564">
        <f>IF($J564="","",TEXT(급여기준월,"yyyy-mm"))</f>
        <v/>
      </c>
      <c r="B564">
        <f>IF($J564="","",INDEX(명단표[사번],$J564)&amp;"")</f>
        <v/>
      </c>
      <c r="C564">
        <f>IF($J564="","",INDEX(명단표[이름],$J564))</f>
        <v/>
      </c>
      <c r="D564">
        <f>IF($J564="","",INDEX(명단표[수련과목],$J564))</f>
        <v/>
      </c>
      <c r="E564">
        <f>IF($J564="","",INDEX(명단표[연차],$J564)&amp;"")</f>
        <v/>
      </c>
      <c r="F564">
        <f>IF($J564="","",INDEX(명단표[소속병원],$J564))</f>
        <v/>
      </c>
      <c r="G564">
        <f>IF($J564="","",INDEX(명단표[기준월 근무병원],$J564))</f>
        <v/>
      </c>
      <c r="H564">
        <f>IF($J564="","",INDEX(명단표[급여지급병원(기준월)],$J564))</f>
        <v/>
      </c>
      <c r="I564">
        <f>IF($J564="","",INDEX(명단표[급여 판정 근거],$J564))</f>
        <v/>
      </c>
      <c r="J564" s="17">
        <f>IFERROR(MATCH(560,명단표[명단순번],0),"")</f>
        <v/>
      </c>
    </row>
    <row r="565">
      <c r="A565">
        <f>IF($J565="","",TEXT(급여기준월,"yyyy-mm"))</f>
        <v/>
      </c>
      <c r="B565">
        <f>IF($J565="","",INDEX(명단표[사번],$J565)&amp;"")</f>
        <v/>
      </c>
      <c r="C565">
        <f>IF($J565="","",INDEX(명단표[이름],$J565))</f>
        <v/>
      </c>
      <c r="D565">
        <f>IF($J565="","",INDEX(명단표[수련과목],$J565))</f>
        <v/>
      </c>
      <c r="E565">
        <f>IF($J565="","",INDEX(명단표[연차],$J565)&amp;"")</f>
        <v/>
      </c>
      <c r="F565">
        <f>IF($J565="","",INDEX(명단표[소속병원],$J565))</f>
        <v/>
      </c>
      <c r="G565">
        <f>IF($J565="","",INDEX(명단표[기준월 근무병원],$J565))</f>
        <v/>
      </c>
      <c r="H565">
        <f>IF($J565="","",INDEX(명단표[급여지급병원(기준월)],$J565))</f>
        <v/>
      </c>
      <c r="I565">
        <f>IF($J565="","",INDEX(명단표[급여 판정 근거],$J565))</f>
        <v/>
      </c>
      <c r="J565" s="17">
        <f>IFERROR(MATCH(561,명단표[명단순번],0),"")</f>
        <v/>
      </c>
    </row>
    <row r="566">
      <c r="A566">
        <f>IF($J566="","",TEXT(급여기준월,"yyyy-mm"))</f>
        <v/>
      </c>
      <c r="B566">
        <f>IF($J566="","",INDEX(명단표[사번],$J566)&amp;"")</f>
        <v/>
      </c>
      <c r="C566">
        <f>IF($J566="","",INDEX(명단표[이름],$J566))</f>
        <v/>
      </c>
      <c r="D566">
        <f>IF($J566="","",INDEX(명단표[수련과목],$J566))</f>
        <v/>
      </c>
      <c r="E566">
        <f>IF($J566="","",INDEX(명단표[연차],$J566)&amp;"")</f>
        <v/>
      </c>
      <c r="F566">
        <f>IF($J566="","",INDEX(명단표[소속병원],$J566))</f>
        <v/>
      </c>
      <c r="G566">
        <f>IF($J566="","",INDEX(명단표[기준월 근무병원],$J566))</f>
        <v/>
      </c>
      <c r="H566">
        <f>IF($J566="","",INDEX(명단표[급여지급병원(기준월)],$J566))</f>
        <v/>
      </c>
      <c r="I566">
        <f>IF($J566="","",INDEX(명단표[급여 판정 근거],$J566))</f>
        <v/>
      </c>
      <c r="J566" s="17">
        <f>IFERROR(MATCH(562,명단표[명단순번],0),"")</f>
        <v/>
      </c>
    </row>
    <row r="567">
      <c r="A567">
        <f>IF($J567="","",TEXT(급여기준월,"yyyy-mm"))</f>
        <v/>
      </c>
      <c r="B567">
        <f>IF($J567="","",INDEX(명단표[사번],$J567)&amp;"")</f>
        <v/>
      </c>
      <c r="C567">
        <f>IF($J567="","",INDEX(명단표[이름],$J567))</f>
        <v/>
      </c>
      <c r="D567">
        <f>IF($J567="","",INDEX(명단표[수련과목],$J567))</f>
        <v/>
      </c>
      <c r="E567">
        <f>IF($J567="","",INDEX(명단표[연차],$J567)&amp;"")</f>
        <v/>
      </c>
      <c r="F567">
        <f>IF($J567="","",INDEX(명단표[소속병원],$J567))</f>
        <v/>
      </c>
      <c r="G567">
        <f>IF($J567="","",INDEX(명단표[기준월 근무병원],$J567))</f>
        <v/>
      </c>
      <c r="H567">
        <f>IF($J567="","",INDEX(명단표[급여지급병원(기준월)],$J567))</f>
        <v/>
      </c>
      <c r="I567">
        <f>IF($J567="","",INDEX(명단표[급여 판정 근거],$J567))</f>
        <v/>
      </c>
      <c r="J567" s="17">
        <f>IFERROR(MATCH(563,명단표[명단순번],0),"")</f>
        <v/>
      </c>
    </row>
    <row r="568">
      <c r="A568">
        <f>IF($J568="","",TEXT(급여기준월,"yyyy-mm"))</f>
        <v/>
      </c>
      <c r="B568">
        <f>IF($J568="","",INDEX(명단표[사번],$J568)&amp;"")</f>
        <v/>
      </c>
      <c r="C568">
        <f>IF($J568="","",INDEX(명단표[이름],$J568))</f>
        <v/>
      </c>
      <c r="D568">
        <f>IF($J568="","",INDEX(명단표[수련과목],$J568))</f>
        <v/>
      </c>
      <c r="E568">
        <f>IF($J568="","",INDEX(명단표[연차],$J568)&amp;"")</f>
        <v/>
      </c>
      <c r="F568">
        <f>IF($J568="","",INDEX(명단표[소속병원],$J568))</f>
        <v/>
      </c>
      <c r="G568">
        <f>IF($J568="","",INDEX(명단표[기준월 근무병원],$J568))</f>
        <v/>
      </c>
      <c r="H568">
        <f>IF($J568="","",INDEX(명단표[급여지급병원(기준월)],$J568))</f>
        <v/>
      </c>
      <c r="I568">
        <f>IF($J568="","",INDEX(명단표[급여 판정 근거],$J568))</f>
        <v/>
      </c>
      <c r="J568" s="17">
        <f>IFERROR(MATCH(564,명단표[명단순번],0),"")</f>
        <v/>
      </c>
    </row>
    <row r="569">
      <c r="A569">
        <f>IF($J569="","",TEXT(급여기준월,"yyyy-mm"))</f>
        <v/>
      </c>
      <c r="B569">
        <f>IF($J569="","",INDEX(명단표[사번],$J569)&amp;"")</f>
        <v/>
      </c>
      <c r="C569">
        <f>IF($J569="","",INDEX(명단표[이름],$J569))</f>
        <v/>
      </c>
      <c r="D569">
        <f>IF($J569="","",INDEX(명단표[수련과목],$J569))</f>
        <v/>
      </c>
      <c r="E569">
        <f>IF($J569="","",INDEX(명단표[연차],$J569)&amp;"")</f>
        <v/>
      </c>
      <c r="F569">
        <f>IF($J569="","",INDEX(명단표[소속병원],$J569))</f>
        <v/>
      </c>
      <c r="G569">
        <f>IF($J569="","",INDEX(명단표[기준월 근무병원],$J569))</f>
        <v/>
      </c>
      <c r="H569">
        <f>IF($J569="","",INDEX(명단표[급여지급병원(기준월)],$J569))</f>
        <v/>
      </c>
      <c r="I569">
        <f>IF($J569="","",INDEX(명단표[급여 판정 근거],$J569))</f>
        <v/>
      </c>
      <c r="J569" s="17">
        <f>IFERROR(MATCH(565,명단표[명단순번],0),"")</f>
        <v/>
      </c>
    </row>
    <row r="570">
      <c r="A570">
        <f>IF($J570="","",TEXT(급여기준월,"yyyy-mm"))</f>
        <v/>
      </c>
      <c r="B570">
        <f>IF($J570="","",INDEX(명단표[사번],$J570)&amp;"")</f>
        <v/>
      </c>
      <c r="C570">
        <f>IF($J570="","",INDEX(명단표[이름],$J570))</f>
        <v/>
      </c>
      <c r="D570">
        <f>IF($J570="","",INDEX(명단표[수련과목],$J570))</f>
        <v/>
      </c>
      <c r="E570">
        <f>IF($J570="","",INDEX(명단표[연차],$J570)&amp;"")</f>
        <v/>
      </c>
      <c r="F570">
        <f>IF($J570="","",INDEX(명단표[소속병원],$J570))</f>
        <v/>
      </c>
      <c r="G570">
        <f>IF($J570="","",INDEX(명단표[기준월 근무병원],$J570))</f>
        <v/>
      </c>
      <c r="H570">
        <f>IF($J570="","",INDEX(명단표[급여지급병원(기준월)],$J570))</f>
        <v/>
      </c>
      <c r="I570">
        <f>IF($J570="","",INDEX(명단표[급여 판정 근거],$J570))</f>
        <v/>
      </c>
      <c r="J570" s="17">
        <f>IFERROR(MATCH(566,명단표[명단순번],0),"")</f>
        <v/>
      </c>
    </row>
    <row r="571">
      <c r="A571">
        <f>IF($J571="","",TEXT(급여기준월,"yyyy-mm"))</f>
        <v/>
      </c>
      <c r="B571">
        <f>IF($J571="","",INDEX(명단표[사번],$J571)&amp;"")</f>
        <v/>
      </c>
      <c r="C571">
        <f>IF($J571="","",INDEX(명단표[이름],$J571))</f>
        <v/>
      </c>
      <c r="D571">
        <f>IF($J571="","",INDEX(명단표[수련과목],$J571))</f>
        <v/>
      </c>
      <c r="E571">
        <f>IF($J571="","",INDEX(명단표[연차],$J571)&amp;"")</f>
        <v/>
      </c>
      <c r="F571">
        <f>IF($J571="","",INDEX(명단표[소속병원],$J571))</f>
        <v/>
      </c>
      <c r="G571">
        <f>IF($J571="","",INDEX(명단표[기준월 근무병원],$J571))</f>
        <v/>
      </c>
      <c r="H571">
        <f>IF($J571="","",INDEX(명단표[급여지급병원(기준월)],$J571))</f>
        <v/>
      </c>
      <c r="I571">
        <f>IF($J571="","",INDEX(명단표[급여 판정 근거],$J571))</f>
        <v/>
      </c>
      <c r="J571" s="17">
        <f>IFERROR(MATCH(567,명단표[명단순번],0),"")</f>
        <v/>
      </c>
    </row>
    <row r="572">
      <c r="A572">
        <f>IF($J572="","",TEXT(급여기준월,"yyyy-mm"))</f>
        <v/>
      </c>
      <c r="B572">
        <f>IF($J572="","",INDEX(명단표[사번],$J572)&amp;"")</f>
        <v/>
      </c>
      <c r="C572">
        <f>IF($J572="","",INDEX(명단표[이름],$J572))</f>
        <v/>
      </c>
      <c r="D572">
        <f>IF($J572="","",INDEX(명단표[수련과목],$J572))</f>
        <v/>
      </c>
      <c r="E572">
        <f>IF($J572="","",INDEX(명단표[연차],$J572)&amp;"")</f>
        <v/>
      </c>
      <c r="F572">
        <f>IF($J572="","",INDEX(명단표[소속병원],$J572))</f>
        <v/>
      </c>
      <c r="G572">
        <f>IF($J572="","",INDEX(명단표[기준월 근무병원],$J572))</f>
        <v/>
      </c>
      <c r="H572">
        <f>IF($J572="","",INDEX(명단표[급여지급병원(기준월)],$J572))</f>
        <v/>
      </c>
      <c r="I572">
        <f>IF($J572="","",INDEX(명단표[급여 판정 근거],$J572))</f>
        <v/>
      </c>
      <c r="J572" s="17">
        <f>IFERROR(MATCH(568,명단표[명단순번],0),"")</f>
        <v/>
      </c>
    </row>
    <row r="573">
      <c r="A573">
        <f>IF($J573="","",TEXT(급여기준월,"yyyy-mm"))</f>
        <v/>
      </c>
      <c r="B573">
        <f>IF($J573="","",INDEX(명단표[사번],$J573)&amp;"")</f>
        <v/>
      </c>
      <c r="C573">
        <f>IF($J573="","",INDEX(명단표[이름],$J573))</f>
        <v/>
      </c>
      <c r="D573">
        <f>IF($J573="","",INDEX(명단표[수련과목],$J573))</f>
        <v/>
      </c>
      <c r="E573">
        <f>IF($J573="","",INDEX(명단표[연차],$J573)&amp;"")</f>
        <v/>
      </c>
      <c r="F573">
        <f>IF($J573="","",INDEX(명단표[소속병원],$J573))</f>
        <v/>
      </c>
      <c r="G573">
        <f>IF($J573="","",INDEX(명단표[기준월 근무병원],$J573))</f>
        <v/>
      </c>
      <c r="H573">
        <f>IF($J573="","",INDEX(명단표[급여지급병원(기준월)],$J573))</f>
        <v/>
      </c>
      <c r="I573">
        <f>IF($J573="","",INDEX(명단표[급여 판정 근거],$J573))</f>
        <v/>
      </c>
      <c r="J573" s="17">
        <f>IFERROR(MATCH(569,명단표[명단순번],0),"")</f>
        <v/>
      </c>
    </row>
    <row r="574">
      <c r="A574">
        <f>IF($J574="","",TEXT(급여기준월,"yyyy-mm"))</f>
        <v/>
      </c>
      <c r="B574">
        <f>IF($J574="","",INDEX(명단표[사번],$J574)&amp;"")</f>
        <v/>
      </c>
      <c r="C574">
        <f>IF($J574="","",INDEX(명단표[이름],$J574))</f>
        <v/>
      </c>
      <c r="D574">
        <f>IF($J574="","",INDEX(명단표[수련과목],$J574))</f>
        <v/>
      </c>
      <c r="E574">
        <f>IF($J574="","",INDEX(명단표[연차],$J574)&amp;"")</f>
        <v/>
      </c>
      <c r="F574">
        <f>IF($J574="","",INDEX(명단표[소속병원],$J574))</f>
        <v/>
      </c>
      <c r="G574">
        <f>IF($J574="","",INDEX(명단표[기준월 근무병원],$J574))</f>
        <v/>
      </c>
      <c r="H574">
        <f>IF($J574="","",INDEX(명단표[급여지급병원(기준월)],$J574))</f>
        <v/>
      </c>
      <c r="I574">
        <f>IF($J574="","",INDEX(명단표[급여 판정 근거],$J574))</f>
        <v/>
      </c>
      <c r="J574" s="17">
        <f>IFERROR(MATCH(570,명단표[명단순번],0),"")</f>
        <v/>
      </c>
    </row>
    <row r="575">
      <c r="A575">
        <f>IF($J575="","",TEXT(급여기준월,"yyyy-mm"))</f>
        <v/>
      </c>
      <c r="B575">
        <f>IF($J575="","",INDEX(명단표[사번],$J575)&amp;"")</f>
        <v/>
      </c>
      <c r="C575">
        <f>IF($J575="","",INDEX(명단표[이름],$J575))</f>
        <v/>
      </c>
      <c r="D575">
        <f>IF($J575="","",INDEX(명단표[수련과목],$J575))</f>
        <v/>
      </c>
      <c r="E575">
        <f>IF($J575="","",INDEX(명단표[연차],$J575)&amp;"")</f>
        <v/>
      </c>
      <c r="F575">
        <f>IF($J575="","",INDEX(명단표[소속병원],$J575))</f>
        <v/>
      </c>
      <c r="G575">
        <f>IF($J575="","",INDEX(명단표[기준월 근무병원],$J575))</f>
        <v/>
      </c>
      <c r="H575">
        <f>IF($J575="","",INDEX(명단표[급여지급병원(기준월)],$J575))</f>
        <v/>
      </c>
      <c r="I575">
        <f>IF($J575="","",INDEX(명단표[급여 판정 근거],$J575))</f>
        <v/>
      </c>
      <c r="J575" s="17">
        <f>IFERROR(MATCH(571,명단표[명단순번],0),"")</f>
        <v/>
      </c>
    </row>
    <row r="576">
      <c r="A576">
        <f>IF($J576="","",TEXT(급여기준월,"yyyy-mm"))</f>
        <v/>
      </c>
      <c r="B576">
        <f>IF($J576="","",INDEX(명단표[사번],$J576)&amp;"")</f>
        <v/>
      </c>
      <c r="C576">
        <f>IF($J576="","",INDEX(명단표[이름],$J576))</f>
        <v/>
      </c>
      <c r="D576">
        <f>IF($J576="","",INDEX(명단표[수련과목],$J576))</f>
        <v/>
      </c>
      <c r="E576">
        <f>IF($J576="","",INDEX(명단표[연차],$J576)&amp;"")</f>
        <v/>
      </c>
      <c r="F576">
        <f>IF($J576="","",INDEX(명단표[소속병원],$J576))</f>
        <v/>
      </c>
      <c r="G576">
        <f>IF($J576="","",INDEX(명단표[기준월 근무병원],$J576))</f>
        <v/>
      </c>
      <c r="H576">
        <f>IF($J576="","",INDEX(명단표[급여지급병원(기준월)],$J576))</f>
        <v/>
      </c>
      <c r="I576">
        <f>IF($J576="","",INDEX(명단표[급여 판정 근거],$J576))</f>
        <v/>
      </c>
      <c r="J576" s="17">
        <f>IFERROR(MATCH(572,명단표[명단순번],0),"")</f>
        <v/>
      </c>
    </row>
    <row r="577">
      <c r="A577">
        <f>IF($J577="","",TEXT(급여기준월,"yyyy-mm"))</f>
        <v/>
      </c>
      <c r="B577">
        <f>IF($J577="","",INDEX(명단표[사번],$J577)&amp;"")</f>
        <v/>
      </c>
      <c r="C577">
        <f>IF($J577="","",INDEX(명단표[이름],$J577))</f>
        <v/>
      </c>
      <c r="D577">
        <f>IF($J577="","",INDEX(명단표[수련과목],$J577))</f>
        <v/>
      </c>
      <c r="E577">
        <f>IF($J577="","",INDEX(명단표[연차],$J577)&amp;"")</f>
        <v/>
      </c>
      <c r="F577">
        <f>IF($J577="","",INDEX(명단표[소속병원],$J577))</f>
        <v/>
      </c>
      <c r="G577">
        <f>IF($J577="","",INDEX(명단표[기준월 근무병원],$J577))</f>
        <v/>
      </c>
      <c r="H577">
        <f>IF($J577="","",INDEX(명단표[급여지급병원(기준월)],$J577))</f>
        <v/>
      </c>
      <c r="I577">
        <f>IF($J577="","",INDEX(명단표[급여 판정 근거],$J577))</f>
        <v/>
      </c>
      <c r="J577" s="17">
        <f>IFERROR(MATCH(573,명단표[명단순번],0),"")</f>
        <v/>
      </c>
    </row>
    <row r="578">
      <c r="A578">
        <f>IF($J578="","",TEXT(급여기준월,"yyyy-mm"))</f>
        <v/>
      </c>
      <c r="B578">
        <f>IF($J578="","",INDEX(명단표[사번],$J578)&amp;"")</f>
        <v/>
      </c>
      <c r="C578">
        <f>IF($J578="","",INDEX(명단표[이름],$J578))</f>
        <v/>
      </c>
      <c r="D578">
        <f>IF($J578="","",INDEX(명단표[수련과목],$J578))</f>
        <v/>
      </c>
      <c r="E578">
        <f>IF($J578="","",INDEX(명단표[연차],$J578)&amp;"")</f>
        <v/>
      </c>
      <c r="F578">
        <f>IF($J578="","",INDEX(명단표[소속병원],$J578))</f>
        <v/>
      </c>
      <c r="G578">
        <f>IF($J578="","",INDEX(명단표[기준월 근무병원],$J578))</f>
        <v/>
      </c>
      <c r="H578">
        <f>IF($J578="","",INDEX(명단표[급여지급병원(기준월)],$J578))</f>
        <v/>
      </c>
      <c r="I578">
        <f>IF($J578="","",INDEX(명단표[급여 판정 근거],$J578))</f>
        <v/>
      </c>
      <c r="J578" s="17">
        <f>IFERROR(MATCH(574,명단표[명단순번],0),"")</f>
        <v/>
      </c>
    </row>
    <row r="579">
      <c r="A579">
        <f>IF($J579="","",TEXT(급여기준월,"yyyy-mm"))</f>
        <v/>
      </c>
      <c r="B579">
        <f>IF($J579="","",INDEX(명단표[사번],$J579)&amp;"")</f>
        <v/>
      </c>
      <c r="C579">
        <f>IF($J579="","",INDEX(명단표[이름],$J579))</f>
        <v/>
      </c>
      <c r="D579">
        <f>IF($J579="","",INDEX(명단표[수련과목],$J579))</f>
        <v/>
      </c>
      <c r="E579">
        <f>IF($J579="","",INDEX(명단표[연차],$J579)&amp;"")</f>
        <v/>
      </c>
      <c r="F579">
        <f>IF($J579="","",INDEX(명단표[소속병원],$J579))</f>
        <v/>
      </c>
      <c r="G579">
        <f>IF($J579="","",INDEX(명단표[기준월 근무병원],$J579))</f>
        <v/>
      </c>
      <c r="H579">
        <f>IF($J579="","",INDEX(명단표[급여지급병원(기준월)],$J579))</f>
        <v/>
      </c>
      <c r="I579">
        <f>IF($J579="","",INDEX(명단표[급여 판정 근거],$J579))</f>
        <v/>
      </c>
      <c r="J579" s="17">
        <f>IFERROR(MATCH(575,명단표[명단순번],0),"")</f>
        <v/>
      </c>
    </row>
    <row r="580">
      <c r="A580">
        <f>IF($J580="","",TEXT(급여기준월,"yyyy-mm"))</f>
        <v/>
      </c>
      <c r="B580">
        <f>IF($J580="","",INDEX(명단표[사번],$J580)&amp;"")</f>
        <v/>
      </c>
      <c r="C580">
        <f>IF($J580="","",INDEX(명단표[이름],$J580))</f>
        <v/>
      </c>
      <c r="D580">
        <f>IF($J580="","",INDEX(명단표[수련과목],$J580))</f>
        <v/>
      </c>
      <c r="E580">
        <f>IF($J580="","",INDEX(명단표[연차],$J580)&amp;"")</f>
        <v/>
      </c>
      <c r="F580">
        <f>IF($J580="","",INDEX(명단표[소속병원],$J580))</f>
        <v/>
      </c>
      <c r="G580">
        <f>IF($J580="","",INDEX(명단표[기준월 근무병원],$J580))</f>
        <v/>
      </c>
      <c r="H580">
        <f>IF($J580="","",INDEX(명단표[급여지급병원(기준월)],$J580))</f>
        <v/>
      </c>
      <c r="I580">
        <f>IF($J580="","",INDEX(명단표[급여 판정 근거],$J580))</f>
        <v/>
      </c>
      <c r="J580" s="17">
        <f>IFERROR(MATCH(576,명단표[명단순번],0),"")</f>
        <v/>
      </c>
    </row>
    <row r="581">
      <c r="A581">
        <f>IF($J581="","",TEXT(급여기준월,"yyyy-mm"))</f>
        <v/>
      </c>
      <c r="B581">
        <f>IF($J581="","",INDEX(명단표[사번],$J581)&amp;"")</f>
        <v/>
      </c>
      <c r="C581">
        <f>IF($J581="","",INDEX(명단표[이름],$J581))</f>
        <v/>
      </c>
      <c r="D581">
        <f>IF($J581="","",INDEX(명단표[수련과목],$J581))</f>
        <v/>
      </c>
      <c r="E581">
        <f>IF($J581="","",INDEX(명단표[연차],$J581)&amp;"")</f>
        <v/>
      </c>
      <c r="F581">
        <f>IF($J581="","",INDEX(명단표[소속병원],$J581))</f>
        <v/>
      </c>
      <c r="G581">
        <f>IF($J581="","",INDEX(명단표[기준월 근무병원],$J581))</f>
        <v/>
      </c>
      <c r="H581">
        <f>IF($J581="","",INDEX(명단표[급여지급병원(기준월)],$J581))</f>
        <v/>
      </c>
      <c r="I581">
        <f>IF($J581="","",INDEX(명단표[급여 판정 근거],$J581))</f>
        <v/>
      </c>
      <c r="J581" s="17">
        <f>IFERROR(MATCH(577,명단표[명단순번],0),"")</f>
        <v/>
      </c>
    </row>
    <row r="582">
      <c r="A582">
        <f>IF($J582="","",TEXT(급여기준월,"yyyy-mm"))</f>
        <v/>
      </c>
      <c r="B582">
        <f>IF($J582="","",INDEX(명단표[사번],$J582)&amp;"")</f>
        <v/>
      </c>
      <c r="C582">
        <f>IF($J582="","",INDEX(명단표[이름],$J582))</f>
        <v/>
      </c>
      <c r="D582">
        <f>IF($J582="","",INDEX(명단표[수련과목],$J582))</f>
        <v/>
      </c>
      <c r="E582">
        <f>IF($J582="","",INDEX(명단표[연차],$J582)&amp;"")</f>
        <v/>
      </c>
      <c r="F582">
        <f>IF($J582="","",INDEX(명단표[소속병원],$J582))</f>
        <v/>
      </c>
      <c r="G582">
        <f>IF($J582="","",INDEX(명단표[기준월 근무병원],$J582))</f>
        <v/>
      </c>
      <c r="H582">
        <f>IF($J582="","",INDEX(명단표[급여지급병원(기준월)],$J582))</f>
        <v/>
      </c>
      <c r="I582">
        <f>IF($J582="","",INDEX(명단표[급여 판정 근거],$J582))</f>
        <v/>
      </c>
      <c r="J582" s="17">
        <f>IFERROR(MATCH(578,명단표[명단순번],0),"")</f>
        <v/>
      </c>
    </row>
    <row r="583">
      <c r="A583">
        <f>IF($J583="","",TEXT(급여기준월,"yyyy-mm"))</f>
        <v/>
      </c>
      <c r="B583">
        <f>IF($J583="","",INDEX(명단표[사번],$J583)&amp;"")</f>
        <v/>
      </c>
      <c r="C583">
        <f>IF($J583="","",INDEX(명단표[이름],$J583))</f>
        <v/>
      </c>
      <c r="D583">
        <f>IF($J583="","",INDEX(명단표[수련과목],$J583))</f>
        <v/>
      </c>
      <c r="E583">
        <f>IF($J583="","",INDEX(명단표[연차],$J583)&amp;"")</f>
        <v/>
      </c>
      <c r="F583">
        <f>IF($J583="","",INDEX(명단표[소속병원],$J583))</f>
        <v/>
      </c>
      <c r="G583">
        <f>IF($J583="","",INDEX(명단표[기준월 근무병원],$J583))</f>
        <v/>
      </c>
      <c r="H583">
        <f>IF($J583="","",INDEX(명단표[급여지급병원(기준월)],$J583))</f>
        <v/>
      </c>
      <c r="I583">
        <f>IF($J583="","",INDEX(명단표[급여 판정 근거],$J583))</f>
        <v/>
      </c>
      <c r="J583" s="17">
        <f>IFERROR(MATCH(579,명단표[명단순번],0),"")</f>
        <v/>
      </c>
    </row>
    <row r="584">
      <c r="A584">
        <f>IF($J584="","",TEXT(급여기준월,"yyyy-mm"))</f>
        <v/>
      </c>
      <c r="B584">
        <f>IF($J584="","",INDEX(명단표[사번],$J584)&amp;"")</f>
        <v/>
      </c>
      <c r="C584">
        <f>IF($J584="","",INDEX(명단표[이름],$J584))</f>
        <v/>
      </c>
      <c r="D584">
        <f>IF($J584="","",INDEX(명단표[수련과목],$J584))</f>
        <v/>
      </c>
      <c r="E584">
        <f>IF($J584="","",INDEX(명단표[연차],$J584)&amp;"")</f>
        <v/>
      </c>
      <c r="F584">
        <f>IF($J584="","",INDEX(명단표[소속병원],$J584))</f>
        <v/>
      </c>
      <c r="G584">
        <f>IF($J584="","",INDEX(명단표[기준월 근무병원],$J584))</f>
        <v/>
      </c>
      <c r="H584">
        <f>IF($J584="","",INDEX(명단표[급여지급병원(기준월)],$J584))</f>
        <v/>
      </c>
      <c r="I584">
        <f>IF($J584="","",INDEX(명단표[급여 판정 근거],$J584))</f>
        <v/>
      </c>
      <c r="J584" s="17">
        <f>IFERROR(MATCH(580,명단표[명단순번],0),"")</f>
        <v/>
      </c>
    </row>
    <row r="585">
      <c r="A585">
        <f>IF($J585="","",TEXT(급여기준월,"yyyy-mm"))</f>
        <v/>
      </c>
      <c r="B585">
        <f>IF($J585="","",INDEX(명단표[사번],$J585)&amp;"")</f>
        <v/>
      </c>
      <c r="C585">
        <f>IF($J585="","",INDEX(명단표[이름],$J585))</f>
        <v/>
      </c>
      <c r="D585">
        <f>IF($J585="","",INDEX(명단표[수련과목],$J585))</f>
        <v/>
      </c>
      <c r="E585">
        <f>IF($J585="","",INDEX(명단표[연차],$J585)&amp;"")</f>
        <v/>
      </c>
      <c r="F585">
        <f>IF($J585="","",INDEX(명단표[소속병원],$J585))</f>
        <v/>
      </c>
      <c r="G585">
        <f>IF($J585="","",INDEX(명단표[기준월 근무병원],$J585))</f>
        <v/>
      </c>
      <c r="H585">
        <f>IF($J585="","",INDEX(명단표[급여지급병원(기준월)],$J585))</f>
        <v/>
      </c>
      <c r="I585">
        <f>IF($J585="","",INDEX(명단표[급여 판정 근거],$J585))</f>
        <v/>
      </c>
      <c r="J585" s="17">
        <f>IFERROR(MATCH(581,명단표[명단순번],0),"")</f>
        <v/>
      </c>
    </row>
    <row r="586">
      <c r="A586">
        <f>IF($J586="","",TEXT(급여기준월,"yyyy-mm"))</f>
        <v/>
      </c>
      <c r="B586">
        <f>IF($J586="","",INDEX(명단표[사번],$J586)&amp;"")</f>
        <v/>
      </c>
      <c r="C586">
        <f>IF($J586="","",INDEX(명단표[이름],$J586))</f>
        <v/>
      </c>
      <c r="D586">
        <f>IF($J586="","",INDEX(명단표[수련과목],$J586))</f>
        <v/>
      </c>
      <c r="E586">
        <f>IF($J586="","",INDEX(명단표[연차],$J586)&amp;"")</f>
        <v/>
      </c>
      <c r="F586">
        <f>IF($J586="","",INDEX(명단표[소속병원],$J586))</f>
        <v/>
      </c>
      <c r="G586">
        <f>IF($J586="","",INDEX(명단표[기준월 근무병원],$J586))</f>
        <v/>
      </c>
      <c r="H586">
        <f>IF($J586="","",INDEX(명단표[급여지급병원(기준월)],$J586))</f>
        <v/>
      </c>
      <c r="I586">
        <f>IF($J586="","",INDEX(명단표[급여 판정 근거],$J586))</f>
        <v/>
      </c>
      <c r="J586" s="17">
        <f>IFERROR(MATCH(582,명단표[명단순번],0),"")</f>
        <v/>
      </c>
    </row>
    <row r="587">
      <c r="A587">
        <f>IF($J587="","",TEXT(급여기준월,"yyyy-mm"))</f>
        <v/>
      </c>
      <c r="B587">
        <f>IF($J587="","",INDEX(명단표[사번],$J587)&amp;"")</f>
        <v/>
      </c>
      <c r="C587">
        <f>IF($J587="","",INDEX(명단표[이름],$J587))</f>
        <v/>
      </c>
      <c r="D587">
        <f>IF($J587="","",INDEX(명단표[수련과목],$J587))</f>
        <v/>
      </c>
      <c r="E587">
        <f>IF($J587="","",INDEX(명단표[연차],$J587)&amp;"")</f>
        <v/>
      </c>
      <c r="F587">
        <f>IF($J587="","",INDEX(명단표[소속병원],$J587))</f>
        <v/>
      </c>
      <c r="G587">
        <f>IF($J587="","",INDEX(명단표[기준월 근무병원],$J587))</f>
        <v/>
      </c>
      <c r="H587">
        <f>IF($J587="","",INDEX(명단표[급여지급병원(기준월)],$J587))</f>
        <v/>
      </c>
      <c r="I587">
        <f>IF($J587="","",INDEX(명단표[급여 판정 근거],$J587))</f>
        <v/>
      </c>
      <c r="J587" s="17">
        <f>IFERROR(MATCH(583,명단표[명단순번],0),"")</f>
        <v/>
      </c>
    </row>
    <row r="588">
      <c r="A588">
        <f>IF($J588="","",TEXT(급여기준월,"yyyy-mm"))</f>
        <v/>
      </c>
      <c r="B588">
        <f>IF($J588="","",INDEX(명단표[사번],$J588)&amp;"")</f>
        <v/>
      </c>
      <c r="C588">
        <f>IF($J588="","",INDEX(명단표[이름],$J588))</f>
        <v/>
      </c>
      <c r="D588">
        <f>IF($J588="","",INDEX(명단표[수련과목],$J588))</f>
        <v/>
      </c>
      <c r="E588">
        <f>IF($J588="","",INDEX(명단표[연차],$J588)&amp;"")</f>
        <v/>
      </c>
      <c r="F588">
        <f>IF($J588="","",INDEX(명단표[소속병원],$J588))</f>
        <v/>
      </c>
      <c r="G588">
        <f>IF($J588="","",INDEX(명단표[기준월 근무병원],$J588))</f>
        <v/>
      </c>
      <c r="H588">
        <f>IF($J588="","",INDEX(명단표[급여지급병원(기준월)],$J588))</f>
        <v/>
      </c>
      <c r="I588">
        <f>IF($J588="","",INDEX(명단표[급여 판정 근거],$J588))</f>
        <v/>
      </c>
      <c r="J588" s="17">
        <f>IFERROR(MATCH(584,명단표[명단순번],0),"")</f>
        <v/>
      </c>
    </row>
    <row r="589">
      <c r="A589">
        <f>IF($J589="","",TEXT(급여기준월,"yyyy-mm"))</f>
        <v/>
      </c>
      <c r="B589">
        <f>IF($J589="","",INDEX(명단표[사번],$J589)&amp;"")</f>
        <v/>
      </c>
      <c r="C589">
        <f>IF($J589="","",INDEX(명단표[이름],$J589))</f>
        <v/>
      </c>
      <c r="D589">
        <f>IF($J589="","",INDEX(명단표[수련과목],$J589))</f>
        <v/>
      </c>
      <c r="E589">
        <f>IF($J589="","",INDEX(명단표[연차],$J589)&amp;"")</f>
        <v/>
      </c>
      <c r="F589">
        <f>IF($J589="","",INDEX(명단표[소속병원],$J589))</f>
        <v/>
      </c>
      <c r="G589">
        <f>IF($J589="","",INDEX(명단표[기준월 근무병원],$J589))</f>
        <v/>
      </c>
      <c r="H589">
        <f>IF($J589="","",INDEX(명단표[급여지급병원(기준월)],$J589))</f>
        <v/>
      </c>
      <c r="I589">
        <f>IF($J589="","",INDEX(명단표[급여 판정 근거],$J589))</f>
        <v/>
      </c>
      <c r="J589" s="17">
        <f>IFERROR(MATCH(585,명단표[명단순번],0),"")</f>
        <v/>
      </c>
    </row>
    <row r="590">
      <c r="A590">
        <f>IF($J590="","",TEXT(급여기준월,"yyyy-mm"))</f>
        <v/>
      </c>
      <c r="B590">
        <f>IF($J590="","",INDEX(명단표[사번],$J590)&amp;"")</f>
        <v/>
      </c>
      <c r="C590">
        <f>IF($J590="","",INDEX(명단표[이름],$J590))</f>
        <v/>
      </c>
      <c r="D590">
        <f>IF($J590="","",INDEX(명단표[수련과목],$J590))</f>
        <v/>
      </c>
      <c r="E590">
        <f>IF($J590="","",INDEX(명단표[연차],$J590)&amp;"")</f>
        <v/>
      </c>
      <c r="F590">
        <f>IF($J590="","",INDEX(명단표[소속병원],$J590))</f>
        <v/>
      </c>
      <c r="G590">
        <f>IF($J590="","",INDEX(명단표[기준월 근무병원],$J590))</f>
        <v/>
      </c>
      <c r="H590">
        <f>IF($J590="","",INDEX(명단표[급여지급병원(기준월)],$J590))</f>
        <v/>
      </c>
      <c r="I590">
        <f>IF($J590="","",INDEX(명단표[급여 판정 근거],$J590))</f>
        <v/>
      </c>
      <c r="J590" s="17">
        <f>IFERROR(MATCH(586,명단표[명단순번],0),"")</f>
        <v/>
      </c>
    </row>
    <row r="591">
      <c r="A591">
        <f>IF($J591="","",TEXT(급여기준월,"yyyy-mm"))</f>
        <v/>
      </c>
      <c r="B591">
        <f>IF($J591="","",INDEX(명단표[사번],$J591)&amp;"")</f>
        <v/>
      </c>
      <c r="C591">
        <f>IF($J591="","",INDEX(명단표[이름],$J591))</f>
        <v/>
      </c>
      <c r="D591">
        <f>IF($J591="","",INDEX(명단표[수련과목],$J591))</f>
        <v/>
      </c>
      <c r="E591">
        <f>IF($J591="","",INDEX(명단표[연차],$J591)&amp;"")</f>
        <v/>
      </c>
      <c r="F591">
        <f>IF($J591="","",INDEX(명단표[소속병원],$J591))</f>
        <v/>
      </c>
      <c r="G591">
        <f>IF($J591="","",INDEX(명단표[기준월 근무병원],$J591))</f>
        <v/>
      </c>
      <c r="H591">
        <f>IF($J591="","",INDEX(명단표[급여지급병원(기준월)],$J591))</f>
        <v/>
      </c>
      <c r="I591">
        <f>IF($J591="","",INDEX(명단표[급여 판정 근거],$J591))</f>
        <v/>
      </c>
      <c r="J591" s="17">
        <f>IFERROR(MATCH(587,명단표[명단순번],0),"")</f>
        <v/>
      </c>
    </row>
    <row r="592">
      <c r="A592">
        <f>IF($J592="","",TEXT(급여기준월,"yyyy-mm"))</f>
        <v/>
      </c>
      <c r="B592">
        <f>IF($J592="","",INDEX(명단표[사번],$J592)&amp;"")</f>
        <v/>
      </c>
      <c r="C592">
        <f>IF($J592="","",INDEX(명단표[이름],$J592))</f>
        <v/>
      </c>
      <c r="D592">
        <f>IF($J592="","",INDEX(명단표[수련과목],$J592))</f>
        <v/>
      </c>
      <c r="E592">
        <f>IF($J592="","",INDEX(명단표[연차],$J592)&amp;"")</f>
        <v/>
      </c>
      <c r="F592">
        <f>IF($J592="","",INDEX(명단표[소속병원],$J592))</f>
        <v/>
      </c>
      <c r="G592">
        <f>IF($J592="","",INDEX(명단표[기준월 근무병원],$J592))</f>
        <v/>
      </c>
      <c r="H592">
        <f>IF($J592="","",INDEX(명단표[급여지급병원(기준월)],$J592))</f>
        <v/>
      </c>
      <c r="I592">
        <f>IF($J592="","",INDEX(명단표[급여 판정 근거],$J592))</f>
        <v/>
      </c>
      <c r="J592" s="17">
        <f>IFERROR(MATCH(588,명단표[명단순번],0),"")</f>
        <v/>
      </c>
    </row>
    <row r="593">
      <c r="A593">
        <f>IF($J593="","",TEXT(급여기준월,"yyyy-mm"))</f>
        <v/>
      </c>
      <c r="B593">
        <f>IF($J593="","",INDEX(명단표[사번],$J593)&amp;"")</f>
        <v/>
      </c>
      <c r="C593">
        <f>IF($J593="","",INDEX(명단표[이름],$J593))</f>
        <v/>
      </c>
      <c r="D593">
        <f>IF($J593="","",INDEX(명단표[수련과목],$J593))</f>
        <v/>
      </c>
      <c r="E593">
        <f>IF($J593="","",INDEX(명단표[연차],$J593)&amp;"")</f>
        <v/>
      </c>
      <c r="F593">
        <f>IF($J593="","",INDEX(명단표[소속병원],$J593))</f>
        <v/>
      </c>
      <c r="G593">
        <f>IF($J593="","",INDEX(명단표[기준월 근무병원],$J593))</f>
        <v/>
      </c>
      <c r="H593">
        <f>IF($J593="","",INDEX(명단표[급여지급병원(기준월)],$J593))</f>
        <v/>
      </c>
      <c r="I593">
        <f>IF($J593="","",INDEX(명단표[급여 판정 근거],$J593))</f>
        <v/>
      </c>
      <c r="J593" s="17">
        <f>IFERROR(MATCH(589,명단표[명단순번],0),"")</f>
        <v/>
      </c>
    </row>
    <row r="594">
      <c r="A594">
        <f>IF($J594="","",TEXT(급여기준월,"yyyy-mm"))</f>
        <v/>
      </c>
      <c r="B594">
        <f>IF($J594="","",INDEX(명단표[사번],$J594)&amp;"")</f>
        <v/>
      </c>
      <c r="C594">
        <f>IF($J594="","",INDEX(명단표[이름],$J594))</f>
        <v/>
      </c>
      <c r="D594">
        <f>IF($J594="","",INDEX(명단표[수련과목],$J594))</f>
        <v/>
      </c>
      <c r="E594">
        <f>IF($J594="","",INDEX(명단표[연차],$J594)&amp;"")</f>
        <v/>
      </c>
      <c r="F594">
        <f>IF($J594="","",INDEX(명단표[소속병원],$J594))</f>
        <v/>
      </c>
      <c r="G594">
        <f>IF($J594="","",INDEX(명단표[기준월 근무병원],$J594))</f>
        <v/>
      </c>
      <c r="H594">
        <f>IF($J594="","",INDEX(명단표[급여지급병원(기준월)],$J594))</f>
        <v/>
      </c>
      <c r="I594">
        <f>IF($J594="","",INDEX(명단표[급여 판정 근거],$J594))</f>
        <v/>
      </c>
      <c r="J594" s="17">
        <f>IFERROR(MATCH(590,명단표[명단순번],0),"")</f>
        <v/>
      </c>
    </row>
    <row r="595">
      <c r="A595">
        <f>IF($J595="","",TEXT(급여기준월,"yyyy-mm"))</f>
        <v/>
      </c>
      <c r="B595">
        <f>IF($J595="","",INDEX(명단표[사번],$J595)&amp;"")</f>
        <v/>
      </c>
      <c r="C595">
        <f>IF($J595="","",INDEX(명단표[이름],$J595))</f>
        <v/>
      </c>
      <c r="D595">
        <f>IF($J595="","",INDEX(명단표[수련과목],$J595))</f>
        <v/>
      </c>
      <c r="E595">
        <f>IF($J595="","",INDEX(명단표[연차],$J595)&amp;"")</f>
        <v/>
      </c>
      <c r="F595">
        <f>IF($J595="","",INDEX(명단표[소속병원],$J595))</f>
        <v/>
      </c>
      <c r="G595">
        <f>IF($J595="","",INDEX(명단표[기준월 근무병원],$J595))</f>
        <v/>
      </c>
      <c r="H595">
        <f>IF($J595="","",INDEX(명단표[급여지급병원(기준월)],$J595))</f>
        <v/>
      </c>
      <c r="I595">
        <f>IF($J595="","",INDEX(명단표[급여 판정 근거],$J595))</f>
        <v/>
      </c>
      <c r="J595" s="17">
        <f>IFERROR(MATCH(591,명단표[명단순번],0),"")</f>
        <v/>
      </c>
    </row>
    <row r="596">
      <c r="A596">
        <f>IF($J596="","",TEXT(급여기준월,"yyyy-mm"))</f>
        <v/>
      </c>
      <c r="B596">
        <f>IF($J596="","",INDEX(명단표[사번],$J596)&amp;"")</f>
        <v/>
      </c>
      <c r="C596">
        <f>IF($J596="","",INDEX(명단표[이름],$J596))</f>
        <v/>
      </c>
      <c r="D596">
        <f>IF($J596="","",INDEX(명단표[수련과목],$J596))</f>
        <v/>
      </c>
      <c r="E596">
        <f>IF($J596="","",INDEX(명단표[연차],$J596)&amp;"")</f>
        <v/>
      </c>
      <c r="F596">
        <f>IF($J596="","",INDEX(명단표[소속병원],$J596))</f>
        <v/>
      </c>
      <c r="G596">
        <f>IF($J596="","",INDEX(명단표[기준월 근무병원],$J596))</f>
        <v/>
      </c>
      <c r="H596">
        <f>IF($J596="","",INDEX(명단표[급여지급병원(기준월)],$J596))</f>
        <v/>
      </c>
      <c r="I596">
        <f>IF($J596="","",INDEX(명단표[급여 판정 근거],$J596))</f>
        <v/>
      </c>
      <c r="J596" s="17">
        <f>IFERROR(MATCH(592,명단표[명단순번],0),"")</f>
        <v/>
      </c>
    </row>
    <row r="597">
      <c r="A597">
        <f>IF($J597="","",TEXT(급여기준월,"yyyy-mm"))</f>
        <v/>
      </c>
      <c r="B597">
        <f>IF($J597="","",INDEX(명단표[사번],$J597)&amp;"")</f>
        <v/>
      </c>
      <c r="C597">
        <f>IF($J597="","",INDEX(명단표[이름],$J597))</f>
        <v/>
      </c>
      <c r="D597">
        <f>IF($J597="","",INDEX(명단표[수련과목],$J597))</f>
        <v/>
      </c>
      <c r="E597">
        <f>IF($J597="","",INDEX(명단표[연차],$J597)&amp;"")</f>
        <v/>
      </c>
      <c r="F597">
        <f>IF($J597="","",INDEX(명단표[소속병원],$J597))</f>
        <v/>
      </c>
      <c r="G597">
        <f>IF($J597="","",INDEX(명단표[기준월 근무병원],$J597))</f>
        <v/>
      </c>
      <c r="H597">
        <f>IF($J597="","",INDEX(명단표[급여지급병원(기준월)],$J597))</f>
        <v/>
      </c>
      <c r="I597">
        <f>IF($J597="","",INDEX(명단표[급여 판정 근거],$J597))</f>
        <v/>
      </c>
      <c r="J597" s="17">
        <f>IFERROR(MATCH(593,명단표[명단순번],0),"")</f>
        <v/>
      </c>
    </row>
    <row r="598">
      <c r="A598">
        <f>IF($J598="","",TEXT(급여기준월,"yyyy-mm"))</f>
        <v/>
      </c>
      <c r="B598">
        <f>IF($J598="","",INDEX(명단표[사번],$J598)&amp;"")</f>
        <v/>
      </c>
      <c r="C598">
        <f>IF($J598="","",INDEX(명단표[이름],$J598))</f>
        <v/>
      </c>
      <c r="D598">
        <f>IF($J598="","",INDEX(명단표[수련과목],$J598))</f>
        <v/>
      </c>
      <c r="E598">
        <f>IF($J598="","",INDEX(명단표[연차],$J598)&amp;"")</f>
        <v/>
      </c>
      <c r="F598">
        <f>IF($J598="","",INDEX(명단표[소속병원],$J598))</f>
        <v/>
      </c>
      <c r="G598">
        <f>IF($J598="","",INDEX(명단표[기준월 근무병원],$J598))</f>
        <v/>
      </c>
      <c r="H598">
        <f>IF($J598="","",INDEX(명단표[급여지급병원(기준월)],$J598))</f>
        <v/>
      </c>
      <c r="I598">
        <f>IF($J598="","",INDEX(명단표[급여 판정 근거],$J598))</f>
        <v/>
      </c>
      <c r="J598" s="17">
        <f>IFERROR(MATCH(594,명단표[명단순번],0),"")</f>
        <v/>
      </c>
    </row>
    <row r="599">
      <c r="A599">
        <f>IF($J599="","",TEXT(급여기준월,"yyyy-mm"))</f>
        <v/>
      </c>
      <c r="B599">
        <f>IF($J599="","",INDEX(명단표[사번],$J599)&amp;"")</f>
        <v/>
      </c>
      <c r="C599">
        <f>IF($J599="","",INDEX(명단표[이름],$J599))</f>
        <v/>
      </c>
      <c r="D599">
        <f>IF($J599="","",INDEX(명단표[수련과목],$J599))</f>
        <v/>
      </c>
      <c r="E599">
        <f>IF($J599="","",INDEX(명단표[연차],$J599)&amp;"")</f>
        <v/>
      </c>
      <c r="F599">
        <f>IF($J599="","",INDEX(명단표[소속병원],$J599))</f>
        <v/>
      </c>
      <c r="G599">
        <f>IF($J599="","",INDEX(명단표[기준월 근무병원],$J599))</f>
        <v/>
      </c>
      <c r="H599">
        <f>IF($J599="","",INDEX(명단표[급여지급병원(기준월)],$J599))</f>
        <v/>
      </c>
      <c r="I599">
        <f>IF($J599="","",INDEX(명단표[급여 판정 근거],$J599))</f>
        <v/>
      </c>
      <c r="J599" s="17">
        <f>IFERROR(MATCH(595,명단표[명단순번],0),"")</f>
        <v/>
      </c>
    </row>
    <row r="600">
      <c r="A600">
        <f>IF($J600="","",TEXT(급여기준월,"yyyy-mm"))</f>
        <v/>
      </c>
      <c r="B600">
        <f>IF($J600="","",INDEX(명단표[사번],$J600)&amp;"")</f>
        <v/>
      </c>
      <c r="C600">
        <f>IF($J600="","",INDEX(명단표[이름],$J600))</f>
        <v/>
      </c>
      <c r="D600">
        <f>IF($J600="","",INDEX(명단표[수련과목],$J600))</f>
        <v/>
      </c>
      <c r="E600">
        <f>IF($J600="","",INDEX(명단표[연차],$J600)&amp;"")</f>
        <v/>
      </c>
      <c r="F600">
        <f>IF($J600="","",INDEX(명단표[소속병원],$J600))</f>
        <v/>
      </c>
      <c r="G600">
        <f>IF($J600="","",INDEX(명단표[기준월 근무병원],$J600))</f>
        <v/>
      </c>
      <c r="H600">
        <f>IF($J600="","",INDEX(명단표[급여지급병원(기준월)],$J600))</f>
        <v/>
      </c>
      <c r="I600">
        <f>IF($J600="","",INDEX(명단표[급여 판정 근거],$J600))</f>
        <v/>
      </c>
      <c r="J600" s="17">
        <f>IFERROR(MATCH(596,명단표[명단순번],0),"")</f>
        <v/>
      </c>
    </row>
    <row r="601">
      <c r="A601">
        <f>IF($J601="","",TEXT(급여기준월,"yyyy-mm"))</f>
        <v/>
      </c>
      <c r="B601">
        <f>IF($J601="","",INDEX(명단표[사번],$J601)&amp;"")</f>
        <v/>
      </c>
      <c r="C601">
        <f>IF($J601="","",INDEX(명단표[이름],$J601))</f>
        <v/>
      </c>
      <c r="D601">
        <f>IF($J601="","",INDEX(명단표[수련과목],$J601))</f>
        <v/>
      </c>
      <c r="E601">
        <f>IF($J601="","",INDEX(명단표[연차],$J601)&amp;"")</f>
        <v/>
      </c>
      <c r="F601">
        <f>IF($J601="","",INDEX(명단표[소속병원],$J601))</f>
        <v/>
      </c>
      <c r="G601">
        <f>IF($J601="","",INDEX(명단표[기준월 근무병원],$J601))</f>
        <v/>
      </c>
      <c r="H601">
        <f>IF($J601="","",INDEX(명단표[급여지급병원(기준월)],$J601))</f>
        <v/>
      </c>
      <c r="I601">
        <f>IF($J601="","",INDEX(명단표[급여 판정 근거],$J601))</f>
        <v/>
      </c>
      <c r="J601" s="17">
        <f>IFERROR(MATCH(597,명단표[명단순번],0),"")</f>
        <v/>
      </c>
    </row>
    <row r="602">
      <c r="A602">
        <f>IF($J602="","",TEXT(급여기준월,"yyyy-mm"))</f>
        <v/>
      </c>
      <c r="B602">
        <f>IF($J602="","",INDEX(명단표[사번],$J602)&amp;"")</f>
        <v/>
      </c>
      <c r="C602">
        <f>IF($J602="","",INDEX(명단표[이름],$J602))</f>
        <v/>
      </c>
      <c r="D602">
        <f>IF($J602="","",INDEX(명단표[수련과목],$J602))</f>
        <v/>
      </c>
      <c r="E602">
        <f>IF($J602="","",INDEX(명단표[연차],$J602)&amp;"")</f>
        <v/>
      </c>
      <c r="F602">
        <f>IF($J602="","",INDEX(명단표[소속병원],$J602))</f>
        <v/>
      </c>
      <c r="G602">
        <f>IF($J602="","",INDEX(명단표[기준월 근무병원],$J602))</f>
        <v/>
      </c>
      <c r="H602">
        <f>IF($J602="","",INDEX(명단표[급여지급병원(기준월)],$J602))</f>
        <v/>
      </c>
      <c r="I602">
        <f>IF($J602="","",INDEX(명단표[급여 판정 근거],$J602))</f>
        <v/>
      </c>
      <c r="J602" s="17">
        <f>IFERROR(MATCH(598,명단표[명단순번],0),"")</f>
        <v/>
      </c>
    </row>
    <row r="603">
      <c r="A603">
        <f>IF($J603="","",TEXT(급여기준월,"yyyy-mm"))</f>
        <v/>
      </c>
      <c r="B603">
        <f>IF($J603="","",INDEX(명단표[사번],$J603)&amp;"")</f>
        <v/>
      </c>
      <c r="C603">
        <f>IF($J603="","",INDEX(명단표[이름],$J603))</f>
        <v/>
      </c>
      <c r="D603">
        <f>IF($J603="","",INDEX(명단표[수련과목],$J603))</f>
        <v/>
      </c>
      <c r="E603">
        <f>IF($J603="","",INDEX(명단표[연차],$J603)&amp;"")</f>
        <v/>
      </c>
      <c r="F603">
        <f>IF($J603="","",INDEX(명단표[소속병원],$J603))</f>
        <v/>
      </c>
      <c r="G603">
        <f>IF($J603="","",INDEX(명단표[기준월 근무병원],$J603))</f>
        <v/>
      </c>
      <c r="H603">
        <f>IF($J603="","",INDEX(명단표[급여지급병원(기준월)],$J603))</f>
        <v/>
      </c>
      <c r="I603">
        <f>IF($J603="","",INDEX(명단표[급여 판정 근거],$J603))</f>
        <v/>
      </c>
      <c r="J603" s="17">
        <f>IFERROR(MATCH(599,명단표[명단순번],0),"")</f>
        <v/>
      </c>
    </row>
    <row r="604">
      <c r="A604">
        <f>IF($J604="","",TEXT(급여기준월,"yyyy-mm"))</f>
        <v/>
      </c>
      <c r="B604">
        <f>IF($J604="","",INDEX(명단표[사번],$J604)&amp;"")</f>
        <v/>
      </c>
      <c r="C604">
        <f>IF($J604="","",INDEX(명단표[이름],$J604))</f>
        <v/>
      </c>
      <c r="D604">
        <f>IF($J604="","",INDEX(명단표[수련과목],$J604))</f>
        <v/>
      </c>
      <c r="E604">
        <f>IF($J604="","",INDEX(명단표[연차],$J604)&amp;"")</f>
        <v/>
      </c>
      <c r="F604">
        <f>IF($J604="","",INDEX(명단표[소속병원],$J604))</f>
        <v/>
      </c>
      <c r="G604">
        <f>IF($J604="","",INDEX(명단표[기준월 근무병원],$J604))</f>
        <v/>
      </c>
      <c r="H604">
        <f>IF($J604="","",INDEX(명단표[급여지급병원(기준월)],$J604))</f>
        <v/>
      </c>
      <c r="I604">
        <f>IF($J604="","",INDEX(명단표[급여 판정 근거],$J604))</f>
        <v/>
      </c>
      <c r="J604" s="17">
        <f>IFERROR(MATCH(600,명단표[명단순번],0),"")</f>
        <v/>
      </c>
    </row>
    <row r="605">
      <c r="A605">
        <f>IF($J605="","",TEXT(급여기준월,"yyyy-mm"))</f>
        <v/>
      </c>
      <c r="B605">
        <f>IF($J605="","",INDEX(명단표[사번],$J605)&amp;"")</f>
        <v/>
      </c>
      <c r="C605">
        <f>IF($J605="","",INDEX(명단표[이름],$J605))</f>
        <v/>
      </c>
      <c r="D605">
        <f>IF($J605="","",INDEX(명단표[수련과목],$J605))</f>
        <v/>
      </c>
      <c r="E605">
        <f>IF($J605="","",INDEX(명단표[연차],$J605)&amp;"")</f>
        <v/>
      </c>
      <c r="F605">
        <f>IF($J605="","",INDEX(명단표[소속병원],$J605))</f>
        <v/>
      </c>
      <c r="G605">
        <f>IF($J605="","",INDEX(명단표[기준월 근무병원],$J605))</f>
        <v/>
      </c>
      <c r="H605">
        <f>IF($J605="","",INDEX(명단표[급여지급병원(기준월)],$J605))</f>
        <v/>
      </c>
      <c r="I605">
        <f>IF($J605="","",INDEX(명단표[급여 판정 근거],$J605))</f>
        <v/>
      </c>
      <c r="J605" s="17">
        <f>IFERROR(MATCH(601,명단표[명단순번],0),"")</f>
        <v/>
      </c>
    </row>
    <row r="606">
      <c r="A606">
        <f>IF($J606="","",TEXT(급여기준월,"yyyy-mm"))</f>
        <v/>
      </c>
      <c r="B606">
        <f>IF($J606="","",INDEX(명단표[사번],$J606)&amp;"")</f>
        <v/>
      </c>
      <c r="C606">
        <f>IF($J606="","",INDEX(명단표[이름],$J606))</f>
        <v/>
      </c>
      <c r="D606">
        <f>IF($J606="","",INDEX(명단표[수련과목],$J606))</f>
        <v/>
      </c>
      <c r="E606">
        <f>IF($J606="","",INDEX(명단표[연차],$J606)&amp;"")</f>
        <v/>
      </c>
      <c r="F606">
        <f>IF($J606="","",INDEX(명단표[소속병원],$J606))</f>
        <v/>
      </c>
      <c r="G606">
        <f>IF($J606="","",INDEX(명단표[기준월 근무병원],$J606))</f>
        <v/>
      </c>
      <c r="H606">
        <f>IF($J606="","",INDEX(명단표[급여지급병원(기준월)],$J606))</f>
        <v/>
      </c>
      <c r="I606">
        <f>IF($J606="","",INDEX(명단표[급여 판정 근거],$J606))</f>
        <v/>
      </c>
      <c r="J606" s="17">
        <f>IFERROR(MATCH(602,명단표[명단순번],0),"")</f>
        <v/>
      </c>
    </row>
    <row r="607">
      <c r="A607">
        <f>IF($J607="","",TEXT(급여기준월,"yyyy-mm"))</f>
        <v/>
      </c>
      <c r="B607">
        <f>IF($J607="","",INDEX(명단표[사번],$J607)&amp;"")</f>
        <v/>
      </c>
      <c r="C607">
        <f>IF($J607="","",INDEX(명단표[이름],$J607))</f>
        <v/>
      </c>
      <c r="D607">
        <f>IF($J607="","",INDEX(명단표[수련과목],$J607))</f>
        <v/>
      </c>
      <c r="E607">
        <f>IF($J607="","",INDEX(명단표[연차],$J607)&amp;"")</f>
        <v/>
      </c>
      <c r="F607">
        <f>IF($J607="","",INDEX(명단표[소속병원],$J607))</f>
        <v/>
      </c>
      <c r="G607">
        <f>IF($J607="","",INDEX(명단표[기준월 근무병원],$J607))</f>
        <v/>
      </c>
      <c r="H607">
        <f>IF($J607="","",INDEX(명단표[급여지급병원(기준월)],$J607))</f>
        <v/>
      </c>
      <c r="I607">
        <f>IF($J607="","",INDEX(명단표[급여 판정 근거],$J607))</f>
        <v/>
      </c>
      <c r="J607" s="17">
        <f>IFERROR(MATCH(603,명단표[명단순번],0),"")</f>
        <v/>
      </c>
    </row>
    <row r="608">
      <c r="A608">
        <f>IF($J608="","",TEXT(급여기준월,"yyyy-mm"))</f>
        <v/>
      </c>
      <c r="B608">
        <f>IF($J608="","",INDEX(명단표[사번],$J608)&amp;"")</f>
        <v/>
      </c>
      <c r="C608">
        <f>IF($J608="","",INDEX(명단표[이름],$J608))</f>
        <v/>
      </c>
      <c r="D608">
        <f>IF($J608="","",INDEX(명단표[수련과목],$J608))</f>
        <v/>
      </c>
      <c r="E608">
        <f>IF($J608="","",INDEX(명단표[연차],$J608)&amp;"")</f>
        <v/>
      </c>
      <c r="F608">
        <f>IF($J608="","",INDEX(명단표[소속병원],$J608))</f>
        <v/>
      </c>
      <c r="G608">
        <f>IF($J608="","",INDEX(명단표[기준월 근무병원],$J608))</f>
        <v/>
      </c>
      <c r="H608">
        <f>IF($J608="","",INDEX(명단표[급여지급병원(기준월)],$J608))</f>
        <v/>
      </c>
      <c r="I608">
        <f>IF($J608="","",INDEX(명단표[급여 판정 근거],$J608))</f>
        <v/>
      </c>
      <c r="J608" s="17">
        <f>IFERROR(MATCH(604,명단표[명단순번],0),"")</f>
        <v/>
      </c>
    </row>
    <row r="609">
      <c r="A609">
        <f>IF($J609="","",TEXT(급여기준월,"yyyy-mm"))</f>
        <v/>
      </c>
      <c r="B609">
        <f>IF($J609="","",INDEX(명단표[사번],$J609)&amp;"")</f>
        <v/>
      </c>
      <c r="C609">
        <f>IF($J609="","",INDEX(명단표[이름],$J609))</f>
        <v/>
      </c>
      <c r="D609">
        <f>IF($J609="","",INDEX(명단표[수련과목],$J609))</f>
        <v/>
      </c>
      <c r="E609">
        <f>IF($J609="","",INDEX(명단표[연차],$J609)&amp;"")</f>
        <v/>
      </c>
      <c r="F609">
        <f>IF($J609="","",INDEX(명단표[소속병원],$J609))</f>
        <v/>
      </c>
      <c r="G609">
        <f>IF($J609="","",INDEX(명단표[기준월 근무병원],$J609))</f>
        <v/>
      </c>
      <c r="H609">
        <f>IF($J609="","",INDEX(명단표[급여지급병원(기준월)],$J609))</f>
        <v/>
      </c>
      <c r="I609">
        <f>IF($J609="","",INDEX(명단표[급여 판정 근거],$J609))</f>
        <v/>
      </c>
      <c r="J609" s="17">
        <f>IFERROR(MATCH(605,명단표[명단순번],0),"")</f>
        <v/>
      </c>
    </row>
    <row r="610">
      <c r="A610">
        <f>IF($J610="","",TEXT(급여기준월,"yyyy-mm"))</f>
        <v/>
      </c>
      <c r="B610">
        <f>IF($J610="","",INDEX(명단표[사번],$J610)&amp;"")</f>
        <v/>
      </c>
      <c r="C610">
        <f>IF($J610="","",INDEX(명단표[이름],$J610))</f>
        <v/>
      </c>
      <c r="D610">
        <f>IF($J610="","",INDEX(명단표[수련과목],$J610))</f>
        <v/>
      </c>
      <c r="E610">
        <f>IF($J610="","",INDEX(명단표[연차],$J610)&amp;"")</f>
        <v/>
      </c>
      <c r="F610">
        <f>IF($J610="","",INDEX(명단표[소속병원],$J610))</f>
        <v/>
      </c>
      <c r="G610">
        <f>IF($J610="","",INDEX(명단표[기준월 근무병원],$J610))</f>
        <v/>
      </c>
      <c r="H610">
        <f>IF($J610="","",INDEX(명단표[급여지급병원(기준월)],$J610))</f>
        <v/>
      </c>
      <c r="I610">
        <f>IF($J610="","",INDEX(명단표[급여 판정 근거],$J610))</f>
        <v/>
      </c>
      <c r="J610" s="17">
        <f>IFERROR(MATCH(606,명단표[명단순번],0),"")</f>
        <v/>
      </c>
    </row>
    <row r="611">
      <c r="A611">
        <f>IF($J611="","",TEXT(급여기준월,"yyyy-mm"))</f>
        <v/>
      </c>
      <c r="B611">
        <f>IF($J611="","",INDEX(명단표[사번],$J611)&amp;"")</f>
        <v/>
      </c>
      <c r="C611">
        <f>IF($J611="","",INDEX(명단표[이름],$J611))</f>
        <v/>
      </c>
      <c r="D611">
        <f>IF($J611="","",INDEX(명단표[수련과목],$J611))</f>
        <v/>
      </c>
      <c r="E611">
        <f>IF($J611="","",INDEX(명단표[연차],$J611)&amp;"")</f>
        <v/>
      </c>
      <c r="F611">
        <f>IF($J611="","",INDEX(명단표[소속병원],$J611))</f>
        <v/>
      </c>
      <c r="G611">
        <f>IF($J611="","",INDEX(명단표[기준월 근무병원],$J611))</f>
        <v/>
      </c>
      <c r="H611">
        <f>IF($J611="","",INDEX(명단표[급여지급병원(기준월)],$J611))</f>
        <v/>
      </c>
      <c r="I611">
        <f>IF($J611="","",INDEX(명단표[급여 판정 근거],$J611))</f>
        <v/>
      </c>
      <c r="J611" s="17">
        <f>IFERROR(MATCH(607,명단표[명단순번],0),"")</f>
        <v/>
      </c>
    </row>
    <row r="612">
      <c r="A612">
        <f>IF($J612="","",TEXT(급여기준월,"yyyy-mm"))</f>
        <v/>
      </c>
      <c r="B612">
        <f>IF($J612="","",INDEX(명단표[사번],$J612)&amp;"")</f>
        <v/>
      </c>
      <c r="C612">
        <f>IF($J612="","",INDEX(명단표[이름],$J612))</f>
        <v/>
      </c>
      <c r="D612">
        <f>IF($J612="","",INDEX(명단표[수련과목],$J612))</f>
        <v/>
      </c>
      <c r="E612">
        <f>IF($J612="","",INDEX(명단표[연차],$J612)&amp;"")</f>
        <v/>
      </c>
      <c r="F612">
        <f>IF($J612="","",INDEX(명단표[소속병원],$J612))</f>
        <v/>
      </c>
      <c r="G612">
        <f>IF($J612="","",INDEX(명단표[기준월 근무병원],$J612))</f>
        <v/>
      </c>
      <c r="H612">
        <f>IF($J612="","",INDEX(명단표[급여지급병원(기준월)],$J612))</f>
        <v/>
      </c>
      <c r="I612">
        <f>IF($J612="","",INDEX(명단표[급여 판정 근거],$J612))</f>
        <v/>
      </c>
      <c r="J612" s="17">
        <f>IFERROR(MATCH(608,명단표[명단순번],0),"")</f>
        <v/>
      </c>
    </row>
    <row r="613">
      <c r="A613">
        <f>IF($J613="","",TEXT(급여기준월,"yyyy-mm"))</f>
        <v/>
      </c>
      <c r="B613">
        <f>IF($J613="","",INDEX(명단표[사번],$J613)&amp;"")</f>
        <v/>
      </c>
      <c r="C613">
        <f>IF($J613="","",INDEX(명단표[이름],$J613))</f>
        <v/>
      </c>
      <c r="D613">
        <f>IF($J613="","",INDEX(명단표[수련과목],$J613))</f>
        <v/>
      </c>
      <c r="E613">
        <f>IF($J613="","",INDEX(명단표[연차],$J613)&amp;"")</f>
        <v/>
      </c>
      <c r="F613">
        <f>IF($J613="","",INDEX(명단표[소속병원],$J613))</f>
        <v/>
      </c>
      <c r="G613">
        <f>IF($J613="","",INDEX(명단표[기준월 근무병원],$J613))</f>
        <v/>
      </c>
      <c r="H613">
        <f>IF($J613="","",INDEX(명단표[급여지급병원(기준월)],$J613))</f>
        <v/>
      </c>
      <c r="I613">
        <f>IF($J613="","",INDEX(명단표[급여 판정 근거],$J613))</f>
        <v/>
      </c>
      <c r="J613" s="17">
        <f>IFERROR(MATCH(609,명단표[명단순번],0),"")</f>
        <v/>
      </c>
    </row>
    <row r="614">
      <c r="A614">
        <f>IF($J614="","",TEXT(급여기준월,"yyyy-mm"))</f>
        <v/>
      </c>
      <c r="B614">
        <f>IF($J614="","",INDEX(명단표[사번],$J614)&amp;"")</f>
        <v/>
      </c>
      <c r="C614">
        <f>IF($J614="","",INDEX(명단표[이름],$J614))</f>
        <v/>
      </c>
      <c r="D614">
        <f>IF($J614="","",INDEX(명단표[수련과목],$J614))</f>
        <v/>
      </c>
      <c r="E614">
        <f>IF($J614="","",INDEX(명단표[연차],$J614)&amp;"")</f>
        <v/>
      </c>
      <c r="F614">
        <f>IF($J614="","",INDEX(명단표[소속병원],$J614))</f>
        <v/>
      </c>
      <c r="G614">
        <f>IF($J614="","",INDEX(명단표[기준월 근무병원],$J614))</f>
        <v/>
      </c>
      <c r="H614">
        <f>IF($J614="","",INDEX(명단표[급여지급병원(기준월)],$J614))</f>
        <v/>
      </c>
      <c r="I614">
        <f>IF($J614="","",INDEX(명단표[급여 판정 근거],$J614))</f>
        <v/>
      </c>
      <c r="J614" s="17">
        <f>IFERROR(MATCH(610,명단표[명단순번],0),"")</f>
        <v/>
      </c>
    </row>
    <row r="615">
      <c r="A615">
        <f>IF($J615="","",TEXT(급여기준월,"yyyy-mm"))</f>
        <v/>
      </c>
      <c r="B615">
        <f>IF($J615="","",INDEX(명단표[사번],$J615)&amp;"")</f>
        <v/>
      </c>
      <c r="C615">
        <f>IF($J615="","",INDEX(명단표[이름],$J615))</f>
        <v/>
      </c>
      <c r="D615">
        <f>IF($J615="","",INDEX(명단표[수련과목],$J615))</f>
        <v/>
      </c>
      <c r="E615">
        <f>IF($J615="","",INDEX(명단표[연차],$J615)&amp;"")</f>
        <v/>
      </c>
      <c r="F615">
        <f>IF($J615="","",INDEX(명단표[소속병원],$J615))</f>
        <v/>
      </c>
      <c r="G615">
        <f>IF($J615="","",INDEX(명단표[기준월 근무병원],$J615))</f>
        <v/>
      </c>
      <c r="H615">
        <f>IF($J615="","",INDEX(명단표[급여지급병원(기준월)],$J615))</f>
        <v/>
      </c>
      <c r="I615">
        <f>IF($J615="","",INDEX(명단표[급여 판정 근거],$J615))</f>
        <v/>
      </c>
      <c r="J615" s="17">
        <f>IFERROR(MATCH(611,명단표[명단순번],0),"")</f>
        <v/>
      </c>
    </row>
    <row r="616">
      <c r="A616">
        <f>IF($J616="","",TEXT(급여기준월,"yyyy-mm"))</f>
        <v/>
      </c>
      <c r="B616">
        <f>IF($J616="","",INDEX(명단표[사번],$J616)&amp;"")</f>
        <v/>
      </c>
      <c r="C616">
        <f>IF($J616="","",INDEX(명단표[이름],$J616))</f>
        <v/>
      </c>
      <c r="D616">
        <f>IF($J616="","",INDEX(명단표[수련과목],$J616))</f>
        <v/>
      </c>
      <c r="E616">
        <f>IF($J616="","",INDEX(명단표[연차],$J616)&amp;"")</f>
        <v/>
      </c>
      <c r="F616">
        <f>IF($J616="","",INDEX(명단표[소속병원],$J616))</f>
        <v/>
      </c>
      <c r="G616">
        <f>IF($J616="","",INDEX(명단표[기준월 근무병원],$J616))</f>
        <v/>
      </c>
      <c r="H616">
        <f>IF($J616="","",INDEX(명단표[급여지급병원(기준월)],$J616))</f>
        <v/>
      </c>
      <c r="I616">
        <f>IF($J616="","",INDEX(명단표[급여 판정 근거],$J616))</f>
        <v/>
      </c>
      <c r="J616" s="17">
        <f>IFERROR(MATCH(612,명단표[명단순번],0),"")</f>
        <v/>
      </c>
    </row>
    <row r="617">
      <c r="A617">
        <f>IF($J617="","",TEXT(급여기준월,"yyyy-mm"))</f>
        <v/>
      </c>
      <c r="B617">
        <f>IF($J617="","",INDEX(명단표[사번],$J617)&amp;"")</f>
        <v/>
      </c>
      <c r="C617">
        <f>IF($J617="","",INDEX(명단표[이름],$J617))</f>
        <v/>
      </c>
      <c r="D617">
        <f>IF($J617="","",INDEX(명단표[수련과목],$J617))</f>
        <v/>
      </c>
      <c r="E617">
        <f>IF($J617="","",INDEX(명단표[연차],$J617)&amp;"")</f>
        <v/>
      </c>
      <c r="F617">
        <f>IF($J617="","",INDEX(명단표[소속병원],$J617))</f>
        <v/>
      </c>
      <c r="G617">
        <f>IF($J617="","",INDEX(명단표[기준월 근무병원],$J617))</f>
        <v/>
      </c>
      <c r="H617">
        <f>IF($J617="","",INDEX(명단표[급여지급병원(기준월)],$J617))</f>
        <v/>
      </c>
      <c r="I617">
        <f>IF($J617="","",INDEX(명단표[급여 판정 근거],$J617))</f>
        <v/>
      </c>
      <c r="J617" s="17">
        <f>IFERROR(MATCH(613,명단표[명단순번],0),"")</f>
        <v/>
      </c>
    </row>
    <row r="618">
      <c r="A618">
        <f>IF($J618="","",TEXT(급여기준월,"yyyy-mm"))</f>
        <v/>
      </c>
      <c r="B618">
        <f>IF($J618="","",INDEX(명단표[사번],$J618)&amp;"")</f>
        <v/>
      </c>
      <c r="C618">
        <f>IF($J618="","",INDEX(명단표[이름],$J618))</f>
        <v/>
      </c>
      <c r="D618">
        <f>IF($J618="","",INDEX(명단표[수련과목],$J618))</f>
        <v/>
      </c>
      <c r="E618">
        <f>IF($J618="","",INDEX(명단표[연차],$J618)&amp;"")</f>
        <v/>
      </c>
      <c r="F618">
        <f>IF($J618="","",INDEX(명단표[소속병원],$J618))</f>
        <v/>
      </c>
      <c r="G618">
        <f>IF($J618="","",INDEX(명단표[기준월 근무병원],$J618))</f>
        <v/>
      </c>
      <c r="H618">
        <f>IF($J618="","",INDEX(명단표[급여지급병원(기준월)],$J618))</f>
        <v/>
      </c>
      <c r="I618">
        <f>IF($J618="","",INDEX(명단표[급여 판정 근거],$J618))</f>
        <v/>
      </c>
      <c r="J618" s="17">
        <f>IFERROR(MATCH(614,명단표[명단순번],0),"")</f>
        <v/>
      </c>
    </row>
    <row r="619">
      <c r="A619">
        <f>IF($J619="","",TEXT(급여기준월,"yyyy-mm"))</f>
        <v/>
      </c>
      <c r="B619">
        <f>IF($J619="","",INDEX(명단표[사번],$J619)&amp;"")</f>
        <v/>
      </c>
      <c r="C619">
        <f>IF($J619="","",INDEX(명단표[이름],$J619))</f>
        <v/>
      </c>
      <c r="D619">
        <f>IF($J619="","",INDEX(명단표[수련과목],$J619))</f>
        <v/>
      </c>
      <c r="E619">
        <f>IF($J619="","",INDEX(명단표[연차],$J619)&amp;"")</f>
        <v/>
      </c>
      <c r="F619">
        <f>IF($J619="","",INDEX(명단표[소속병원],$J619))</f>
        <v/>
      </c>
      <c r="G619">
        <f>IF($J619="","",INDEX(명단표[기준월 근무병원],$J619))</f>
        <v/>
      </c>
      <c r="H619">
        <f>IF($J619="","",INDEX(명단표[급여지급병원(기준월)],$J619))</f>
        <v/>
      </c>
      <c r="I619">
        <f>IF($J619="","",INDEX(명단표[급여 판정 근거],$J619))</f>
        <v/>
      </c>
      <c r="J619" s="17">
        <f>IFERROR(MATCH(615,명단표[명단순번],0),"")</f>
        <v/>
      </c>
    </row>
    <row r="620">
      <c r="A620">
        <f>IF($J620="","",TEXT(급여기준월,"yyyy-mm"))</f>
        <v/>
      </c>
      <c r="B620">
        <f>IF($J620="","",INDEX(명단표[사번],$J620)&amp;"")</f>
        <v/>
      </c>
      <c r="C620">
        <f>IF($J620="","",INDEX(명단표[이름],$J620))</f>
        <v/>
      </c>
      <c r="D620">
        <f>IF($J620="","",INDEX(명단표[수련과목],$J620))</f>
        <v/>
      </c>
      <c r="E620">
        <f>IF($J620="","",INDEX(명단표[연차],$J620)&amp;"")</f>
        <v/>
      </c>
      <c r="F620">
        <f>IF($J620="","",INDEX(명단표[소속병원],$J620))</f>
        <v/>
      </c>
      <c r="G620">
        <f>IF($J620="","",INDEX(명단표[기준월 근무병원],$J620))</f>
        <v/>
      </c>
      <c r="H620">
        <f>IF($J620="","",INDEX(명단표[급여지급병원(기준월)],$J620))</f>
        <v/>
      </c>
      <c r="I620">
        <f>IF($J620="","",INDEX(명단표[급여 판정 근거],$J620))</f>
        <v/>
      </c>
      <c r="J620" s="17">
        <f>IFERROR(MATCH(616,명단표[명단순번],0),"")</f>
        <v/>
      </c>
    </row>
    <row r="621">
      <c r="A621">
        <f>IF($J621="","",TEXT(급여기준월,"yyyy-mm"))</f>
        <v/>
      </c>
      <c r="B621">
        <f>IF($J621="","",INDEX(명단표[사번],$J621)&amp;"")</f>
        <v/>
      </c>
      <c r="C621">
        <f>IF($J621="","",INDEX(명단표[이름],$J621))</f>
        <v/>
      </c>
      <c r="D621">
        <f>IF($J621="","",INDEX(명단표[수련과목],$J621))</f>
        <v/>
      </c>
      <c r="E621">
        <f>IF($J621="","",INDEX(명단표[연차],$J621)&amp;"")</f>
        <v/>
      </c>
      <c r="F621">
        <f>IF($J621="","",INDEX(명단표[소속병원],$J621))</f>
        <v/>
      </c>
      <c r="G621">
        <f>IF($J621="","",INDEX(명단표[기준월 근무병원],$J621))</f>
        <v/>
      </c>
      <c r="H621">
        <f>IF($J621="","",INDEX(명단표[급여지급병원(기준월)],$J621))</f>
        <v/>
      </c>
      <c r="I621">
        <f>IF($J621="","",INDEX(명단표[급여 판정 근거],$J621))</f>
        <v/>
      </c>
      <c r="J621" s="17">
        <f>IFERROR(MATCH(617,명단표[명단순번],0),"")</f>
        <v/>
      </c>
    </row>
    <row r="622">
      <c r="A622">
        <f>IF($J622="","",TEXT(급여기준월,"yyyy-mm"))</f>
        <v/>
      </c>
      <c r="B622">
        <f>IF($J622="","",INDEX(명단표[사번],$J622)&amp;"")</f>
        <v/>
      </c>
      <c r="C622">
        <f>IF($J622="","",INDEX(명단표[이름],$J622))</f>
        <v/>
      </c>
      <c r="D622">
        <f>IF($J622="","",INDEX(명단표[수련과목],$J622))</f>
        <v/>
      </c>
      <c r="E622">
        <f>IF($J622="","",INDEX(명단표[연차],$J622)&amp;"")</f>
        <v/>
      </c>
      <c r="F622">
        <f>IF($J622="","",INDEX(명단표[소속병원],$J622))</f>
        <v/>
      </c>
      <c r="G622">
        <f>IF($J622="","",INDEX(명단표[기준월 근무병원],$J622))</f>
        <v/>
      </c>
      <c r="H622">
        <f>IF($J622="","",INDEX(명단표[급여지급병원(기준월)],$J622))</f>
        <v/>
      </c>
      <c r="I622">
        <f>IF($J622="","",INDEX(명단표[급여 판정 근거],$J622))</f>
        <v/>
      </c>
      <c r="J622" s="17">
        <f>IFERROR(MATCH(618,명단표[명단순번],0),"")</f>
        <v/>
      </c>
    </row>
    <row r="623">
      <c r="A623">
        <f>IF($J623="","",TEXT(급여기준월,"yyyy-mm"))</f>
        <v/>
      </c>
      <c r="B623">
        <f>IF($J623="","",INDEX(명단표[사번],$J623)&amp;"")</f>
        <v/>
      </c>
      <c r="C623">
        <f>IF($J623="","",INDEX(명단표[이름],$J623))</f>
        <v/>
      </c>
      <c r="D623">
        <f>IF($J623="","",INDEX(명단표[수련과목],$J623))</f>
        <v/>
      </c>
      <c r="E623">
        <f>IF($J623="","",INDEX(명단표[연차],$J623)&amp;"")</f>
        <v/>
      </c>
      <c r="F623">
        <f>IF($J623="","",INDEX(명단표[소속병원],$J623))</f>
        <v/>
      </c>
      <c r="G623">
        <f>IF($J623="","",INDEX(명단표[기준월 근무병원],$J623))</f>
        <v/>
      </c>
      <c r="H623">
        <f>IF($J623="","",INDEX(명단표[급여지급병원(기준월)],$J623))</f>
        <v/>
      </c>
      <c r="I623">
        <f>IF($J623="","",INDEX(명단표[급여 판정 근거],$J623))</f>
        <v/>
      </c>
      <c r="J623" s="17">
        <f>IFERROR(MATCH(619,명단표[명단순번],0),"")</f>
        <v/>
      </c>
    </row>
    <row r="624">
      <c r="A624">
        <f>IF($J624="","",TEXT(급여기준월,"yyyy-mm"))</f>
        <v/>
      </c>
      <c r="B624">
        <f>IF($J624="","",INDEX(명단표[사번],$J624)&amp;"")</f>
        <v/>
      </c>
      <c r="C624">
        <f>IF($J624="","",INDEX(명단표[이름],$J624))</f>
        <v/>
      </c>
      <c r="D624">
        <f>IF($J624="","",INDEX(명단표[수련과목],$J624))</f>
        <v/>
      </c>
      <c r="E624">
        <f>IF($J624="","",INDEX(명단표[연차],$J624)&amp;"")</f>
        <v/>
      </c>
      <c r="F624">
        <f>IF($J624="","",INDEX(명단표[소속병원],$J624))</f>
        <v/>
      </c>
      <c r="G624">
        <f>IF($J624="","",INDEX(명단표[기준월 근무병원],$J624))</f>
        <v/>
      </c>
      <c r="H624">
        <f>IF($J624="","",INDEX(명단표[급여지급병원(기준월)],$J624))</f>
        <v/>
      </c>
      <c r="I624">
        <f>IF($J624="","",INDEX(명단표[급여 판정 근거],$J624))</f>
        <v/>
      </c>
      <c r="J624" s="17">
        <f>IFERROR(MATCH(620,명단표[명단순번],0),"")</f>
        <v/>
      </c>
    </row>
    <row r="625">
      <c r="A625">
        <f>IF($J625="","",TEXT(급여기준월,"yyyy-mm"))</f>
        <v/>
      </c>
      <c r="B625">
        <f>IF($J625="","",INDEX(명단표[사번],$J625)&amp;"")</f>
        <v/>
      </c>
      <c r="C625">
        <f>IF($J625="","",INDEX(명단표[이름],$J625))</f>
        <v/>
      </c>
      <c r="D625">
        <f>IF($J625="","",INDEX(명단표[수련과목],$J625))</f>
        <v/>
      </c>
      <c r="E625">
        <f>IF($J625="","",INDEX(명단표[연차],$J625)&amp;"")</f>
        <v/>
      </c>
      <c r="F625">
        <f>IF($J625="","",INDEX(명단표[소속병원],$J625))</f>
        <v/>
      </c>
      <c r="G625">
        <f>IF($J625="","",INDEX(명단표[기준월 근무병원],$J625))</f>
        <v/>
      </c>
      <c r="H625">
        <f>IF($J625="","",INDEX(명단표[급여지급병원(기준월)],$J625))</f>
        <v/>
      </c>
      <c r="I625">
        <f>IF($J625="","",INDEX(명단표[급여 판정 근거],$J625))</f>
        <v/>
      </c>
      <c r="J625" s="17">
        <f>IFERROR(MATCH(621,명단표[명단순번],0),"")</f>
        <v/>
      </c>
    </row>
    <row r="626">
      <c r="A626">
        <f>IF($J626="","",TEXT(급여기준월,"yyyy-mm"))</f>
        <v/>
      </c>
      <c r="B626">
        <f>IF($J626="","",INDEX(명단표[사번],$J626)&amp;"")</f>
        <v/>
      </c>
      <c r="C626">
        <f>IF($J626="","",INDEX(명단표[이름],$J626))</f>
        <v/>
      </c>
      <c r="D626">
        <f>IF($J626="","",INDEX(명단표[수련과목],$J626))</f>
        <v/>
      </c>
      <c r="E626">
        <f>IF($J626="","",INDEX(명단표[연차],$J626)&amp;"")</f>
        <v/>
      </c>
      <c r="F626">
        <f>IF($J626="","",INDEX(명단표[소속병원],$J626))</f>
        <v/>
      </c>
      <c r="G626">
        <f>IF($J626="","",INDEX(명단표[기준월 근무병원],$J626))</f>
        <v/>
      </c>
      <c r="H626">
        <f>IF($J626="","",INDEX(명단표[급여지급병원(기준월)],$J626))</f>
        <v/>
      </c>
      <c r="I626">
        <f>IF($J626="","",INDEX(명단표[급여 판정 근거],$J626))</f>
        <v/>
      </c>
      <c r="J626" s="17">
        <f>IFERROR(MATCH(622,명단표[명단순번],0),"")</f>
        <v/>
      </c>
    </row>
    <row r="627">
      <c r="A627">
        <f>IF($J627="","",TEXT(급여기준월,"yyyy-mm"))</f>
        <v/>
      </c>
      <c r="B627">
        <f>IF($J627="","",INDEX(명단표[사번],$J627)&amp;"")</f>
        <v/>
      </c>
      <c r="C627">
        <f>IF($J627="","",INDEX(명단표[이름],$J627))</f>
        <v/>
      </c>
      <c r="D627">
        <f>IF($J627="","",INDEX(명단표[수련과목],$J627))</f>
        <v/>
      </c>
      <c r="E627">
        <f>IF($J627="","",INDEX(명단표[연차],$J627)&amp;"")</f>
        <v/>
      </c>
      <c r="F627">
        <f>IF($J627="","",INDEX(명단표[소속병원],$J627))</f>
        <v/>
      </c>
      <c r="G627">
        <f>IF($J627="","",INDEX(명단표[기준월 근무병원],$J627))</f>
        <v/>
      </c>
      <c r="H627">
        <f>IF($J627="","",INDEX(명단표[급여지급병원(기준월)],$J627))</f>
        <v/>
      </c>
      <c r="I627">
        <f>IF($J627="","",INDEX(명단표[급여 판정 근거],$J627))</f>
        <v/>
      </c>
      <c r="J627" s="17">
        <f>IFERROR(MATCH(623,명단표[명단순번],0),"")</f>
        <v/>
      </c>
    </row>
    <row r="628">
      <c r="A628">
        <f>IF($J628="","",TEXT(급여기준월,"yyyy-mm"))</f>
        <v/>
      </c>
      <c r="B628">
        <f>IF($J628="","",INDEX(명단표[사번],$J628)&amp;"")</f>
        <v/>
      </c>
      <c r="C628">
        <f>IF($J628="","",INDEX(명단표[이름],$J628))</f>
        <v/>
      </c>
      <c r="D628">
        <f>IF($J628="","",INDEX(명단표[수련과목],$J628))</f>
        <v/>
      </c>
      <c r="E628">
        <f>IF($J628="","",INDEX(명단표[연차],$J628)&amp;"")</f>
        <v/>
      </c>
      <c r="F628">
        <f>IF($J628="","",INDEX(명단표[소속병원],$J628))</f>
        <v/>
      </c>
      <c r="G628">
        <f>IF($J628="","",INDEX(명단표[기준월 근무병원],$J628))</f>
        <v/>
      </c>
      <c r="H628">
        <f>IF($J628="","",INDEX(명단표[급여지급병원(기준월)],$J628))</f>
        <v/>
      </c>
      <c r="I628">
        <f>IF($J628="","",INDEX(명단표[급여 판정 근거],$J628))</f>
        <v/>
      </c>
      <c r="J628" s="17">
        <f>IFERROR(MATCH(624,명단표[명단순번],0),"")</f>
        <v/>
      </c>
    </row>
    <row r="629">
      <c r="A629">
        <f>IF($J629="","",TEXT(급여기준월,"yyyy-mm"))</f>
        <v/>
      </c>
      <c r="B629">
        <f>IF($J629="","",INDEX(명단표[사번],$J629)&amp;"")</f>
        <v/>
      </c>
      <c r="C629">
        <f>IF($J629="","",INDEX(명단표[이름],$J629))</f>
        <v/>
      </c>
      <c r="D629">
        <f>IF($J629="","",INDEX(명단표[수련과목],$J629))</f>
        <v/>
      </c>
      <c r="E629">
        <f>IF($J629="","",INDEX(명단표[연차],$J629)&amp;"")</f>
        <v/>
      </c>
      <c r="F629">
        <f>IF($J629="","",INDEX(명단표[소속병원],$J629))</f>
        <v/>
      </c>
      <c r="G629">
        <f>IF($J629="","",INDEX(명단표[기준월 근무병원],$J629))</f>
        <v/>
      </c>
      <c r="H629">
        <f>IF($J629="","",INDEX(명단표[급여지급병원(기준월)],$J629))</f>
        <v/>
      </c>
      <c r="I629">
        <f>IF($J629="","",INDEX(명단표[급여 판정 근거],$J629))</f>
        <v/>
      </c>
      <c r="J629" s="17">
        <f>IFERROR(MATCH(625,명단표[명단순번],0),"")</f>
        <v/>
      </c>
    </row>
    <row r="630">
      <c r="A630">
        <f>IF($J630="","",TEXT(급여기준월,"yyyy-mm"))</f>
        <v/>
      </c>
      <c r="B630">
        <f>IF($J630="","",INDEX(명단표[사번],$J630)&amp;"")</f>
        <v/>
      </c>
      <c r="C630">
        <f>IF($J630="","",INDEX(명단표[이름],$J630))</f>
        <v/>
      </c>
      <c r="D630">
        <f>IF($J630="","",INDEX(명단표[수련과목],$J630))</f>
        <v/>
      </c>
      <c r="E630">
        <f>IF($J630="","",INDEX(명단표[연차],$J630)&amp;"")</f>
        <v/>
      </c>
      <c r="F630">
        <f>IF($J630="","",INDEX(명단표[소속병원],$J630))</f>
        <v/>
      </c>
      <c r="G630">
        <f>IF($J630="","",INDEX(명단표[기준월 근무병원],$J630))</f>
        <v/>
      </c>
      <c r="H630">
        <f>IF($J630="","",INDEX(명단표[급여지급병원(기준월)],$J630))</f>
        <v/>
      </c>
      <c r="I630">
        <f>IF($J630="","",INDEX(명단표[급여 판정 근거],$J630))</f>
        <v/>
      </c>
      <c r="J630" s="17">
        <f>IFERROR(MATCH(626,명단표[명단순번],0),"")</f>
        <v/>
      </c>
    </row>
    <row r="631">
      <c r="A631">
        <f>IF($J631="","",TEXT(급여기준월,"yyyy-mm"))</f>
        <v/>
      </c>
      <c r="B631">
        <f>IF($J631="","",INDEX(명단표[사번],$J631)&amp;"")</f>
        <v/>
      </c>
      <c r="C631">
        <f>IF($J631="","",INDEX(명단표[이름],$J631))</f>
        <v/>
      </c>
      <c r="D631">
        <f>IF($J631="","",INDEX(명단표[수련과목],$J631))</f>
        <v/>
      </c>
      <c r="E631">
        <f>IF($J631="","",INDEX(명단표[연차],$J631)&amp;"")</f>
        <v/>
      </c>
      <c r="F631">
        <f>IF($J631="","",INDEX(명단표[소속병원],$J631))</f>
        <v/>
      </c>
      <c r="G631">
        <f>IF($J631="","",INDEX(명단표[기준월 근무병원],$J631))</f>
        <v/>
      </c>
      <c r="H631">
        <f>IF($J631="","",INDEX(명단표[급여지급병원(기준월)],$J631))</f>
        <v/>
      </c>
      <c r="I631">
        <f>IF($J631="","",INDEX(명단표[급여 판정 근거],$J631))</f>
        <v/>
      </c>
      <c r="J631" s="17">
        <f>IFERROR(MATCH(627,명단표[명단순번],0),"")</f>
        <v/>
      </c>
    </row>
    <row r="632">
      <c r="A632">
        <f>IF($J632="","",TEXT(급여기준월,"yyyy-mm"))</f>
        <v/>
      </c>
      <c r="B632">
        <f>IF($J632="","",INDEX(명단표[사번],$J632)&amp;"")</f>
        <v/>
      </c>
      <c r="C632">
        <f>IF($J632="","",INDEX(명단표[이름],$J632))</f>
        <v/>
      </c>
      <c r="D632">
        <f>IF($J632="","",INDEX(명단표[수련과목],$J632))</f>
        <v/>
      </c>
      <c r="E632">
        <f>IF($J632="","",INDEX(명단표[연차],$J632)&amp;"")</f>
        <v/>
      </c>
      <c r="F632">
        <f>IF($J632="","",INDEX(명단표[소속병원],$J632))</f>
        <v/>
      </c>
      <c r="G632">
        <f>IF($J632="","",INDEX(명단표[기준월 근무병원],$J632))</f>
        <v/>
      </c>
      <c r="H632">
        <f>IF($J632="","",INDEX(명단표[급여지급병원(기준월)],$J632))</f>
        <v/>
      </c>
      <c r="I632">
        <f>IF($J632="","",INDEX(명단표[급여 판정 근거],$J632))</f>
        <v/>
      </c>
      <c r="J632" s="17">
        <f>IFERROR(MATCH(628,명단표[명단순번],0),"")</f>
        <v/>
      </c>
    </row>
    <row r="633">
      <c r="A633">
        <f>IF($J633="","",TEXT(급여기준월,"yyyy-mm"))</f>
        <v/>
      </c>
      <c r="B633">
        <f>IF($J633="","",INDEX(명단표[사번],$J633)&amp;"")</f>
        <v/>
      </c>
      <c r="C633">
        <f>IF($J633="","",INDEX(명단표[이름],$J633))</f>
        <v/>
      </c>
      <c r="D633">
        <f>IF($J633="","",INDEX(명단표[수련과목],$J633))</f>
        <v/>
      </c>
      <c r="E633">
        <f>IF($J633="","",INDEX(명단표[연차],$J633)&amp;"")</f>
        <v/>
      </c>
      <c r="F633">
        <f>IF($J633="","",INDEX(명단표[소속병원],$J633))</f>
        <v/>
      </c>
      <c r="G633">
        <f>IF($J633="","",INDEX(명단표[기준월 근무병원],$J633))</f>
        <v/>
      </c>
      <c r="H633">
        <f>IF($J633="","",INDEX(명단표[급여지급병원(기준월)],$J633))</f>
        <v/>
      </c>
      <c r="I633">
        <f>IF($J633="","",INDEX(명단표[급여 판정 근거],$J633))</f>
        <v/>
      </c>
      <c r="J633" s="17">
        <f>IFERROR(MATCH(629,명단표[명단순번],0),"")</f>
        <v/>
      </c>
    </row>
    <row r="634">
      <c r="A634">
        <f>IF($J634="","",TEXT(급여기준월,"yyyy-mm"))</f>
        <v/>
      </c>
      <c r="B634">
        <f>IF($J634="","",INDEX(명단표[사번],$J634)&amp;"")</f>
        <v/>
      </c>
      <c r="C634">
        <f>IF($J634="","",INDEX(명단표[이름],$J634))</f>
        <v/>
      </c>
      <c r="D634">
        <f>IF($J634="","",INDEX(명단표[수련과목],$J634))</f>
        <v/>
      </c>
      <c r="E634">
        <f>IF($J634="","",INDEX(명단표[연차],$J634)&amp;"")</f>
        <v/>
      </c>
      <c r="F634">
        <f>IF($J634="","",INDEX(명단표[소속병원],$J634))</f>
        <v/>
      </c>
      <c r="G634">
        <f>IF($J634="","",INDEX(명단표[기준월 근무병원],$J634))</f>
        <v/>
      </c>
      <c r="H634">
        <f>IF($J634="","",INDEX(명단표[급여지급병원(기준월)],$J634))</f>
        <v/>
      </c>
      <c r="I634">
        <f>IF($J634="","",INDEX(명단표[급여 판정 근거],$J634))</f>
        <v/>
      </c>
      <c r="J634" s="17">
        <f>IFERROR(MATCH(630,명단표[명단순번],0),"")</f>
        <v/>
      </c>
    </row>
    <row r="635">
      <c r="A635">
        <f>IF($J635="","",TEXT(급여기준월,"yyyy-mm"))</f>
        <v/>
      </c>
      <c r="B635">
        <f>IF($J635="","",INDEX(명단표[사번],$J635)&amp;"")</f>
        <v/>
      </c>
      <c r="C635">
        <f>IF($J635="","",INDEX(명단표[이름],$J635))</f>
        <v/>
      </c>
      <c r="D635">
        <f>IF($J635="","",INDEX(명단표[수련과목],$J635))</f>
        <v/>
      </c>
      <c r="E635">
        <f>IF($J635="","",INDEX(명단표[연차],$J635)&amp;"")</f>
        <v/>
      </c>
      <c r="F635">
        <f>IF($J635="","",INDEX(명단표[소속병원],$J635))</f>
        <v/>
      </c>
      <c r="G635">
        <f>IF($J635="","",INDEX(명단표[기준월 근무병원],$J635))</f>
        <v/>
      </c>
      <c r="H635">
        <f>IF($J635="","",INDEX(명단표[급여지급병원(기준월)],$J635))</f>
        <v/>
      </c>
      <c r="I635">
        <f>IF($J635="","",INDEX(명단표[급여 판정 근거],$J635))</f>
        <v/>
      </c>
      <c r="J635" s="17">
        <f>IFERROR(MATCH(631,명단표[명단순번],0),"")</f>
        <v/>
      </c>
    </row>
    <row r="636">
      <c r="A636">
        <f>IF($J636="","",TEXT(급여기준월,"yyyy-mm"))</f>
        <v/>
      </c>
      <c r="B636">
        <f>IF($J636="","",INDEX(명단표[사번],$J636)&amp;"")</f>
        <v/>
      </c>
      <c r="C636">
        <f>IF($J636="","",INDEX(명단표[이름],$J636))</f>
        <v/>
      </c>
      <c r="D636">
        <f>IF($J636="","",INDEX(명단표[수련과목],$J636))</f>
        <v/>
      </c>
      <c r="E636">
        <f>IF($J636="","",INDEX(명단표[연차],$J636)&amp;"")</f>
        <v/>
      </c>
      <c r="F636">
        <f>IF($J636="","",INDEX(명단표[소속병원],$J636))</f>
        <v/>
      </c>
      <c r="G636">
        <f>IF($J636="","",INDEX(명단표[기준월 근무병원],$J636))</f>
        <v/>
      </c>
      <c r="H636">
        <f>IF($J636="","",INDEX(명단표[급여지급병원(기준월)],$J636))</f>
        <v/>
      </c>
      <c r="I636">
        <f>IF($J636="","",INDEX(명단표[급여 판정 근거],$J636))</f>
        <v/>
      </c>
      <c r="J636" s="17">
        <f>IFERROR(MATCH(632,명단표[명단순번],0),"")</f>
        <v/>
      </c>
    </row>
    <row r="637">
      <c r="A637">
        <f>IF($J637="","",TEXT(급여기준월,"yyyy-mm"))</f>
        <v/>
      </c>
      <c r="B637">
        <f>IF($J637="","",INDEX(명단표[사번],$J637)&amp;"")</f>
        <v/>
      </c>
      <c r="C637">
        <f>IF($J637="","",INDEX(명단표[이름],$J637))</f>
        <v/>
      </c>
      <c r="D637">
        <f>IF($J637="","",INDEX(명단표[수련과목],$J637))</f>
        <v/>
      </c>
      <c r="E637">
        <f>IF($J637="","",INDEX(명단표[연차],$J637)&amp;"")</f>
        <v/>
      </c>
      <c r="F637">
        <f>IF($J637="","",INDEX(명단표[소속병원],$J637))</f>
        <v/>
      </c>
      <c r="G637">
        <f>IF($J637="","",INDEX(명단표[기준월 근무병원],$J637))</f>
        <v/>
      </c>
      <c r="H637">
        <f>IF($J637="","",INDEX(명단표[급여지급병원(기준월)],$J637))</f>
        <v/>
      </c>
      <c r="I637">
        <f>IF($J637="","",INDEX(명단표[급여 판정 근거],$J637))</f>
        <v/>
      </c>
      <c r="J637" s="17">
        <f>IFERROR(MATCH(633,명단표[명단순번],0),"")</f>
        <v/>
      </c>
    </row>
    <row r="638">
      <c r="A638">
        <f>IF($J638="","",TEXT(급여기준월,"yyyy-mm"))</f>
        <v/>
      </c>
      <c r="B638">
        <f>IF($J638="","",INDEX(명단표[사번],$J638)&amp;"")</f>
        <v/>
      </c>
      <c r="C638">
        <f>IF($J638="","",INDEX(명단표[이름],$J638))</f>
        <v/>
      </c>
      <c r="D638">
        <f>IF($J638="","",INDEX(명단표[수련과목],$J638))</f>
        <v/>
      </c>
      <c r="E638">
        <f>IF($J638="","",INDEX(명단표[연차],$J638)&amp;"")</f>
        <v/>
      </c>
      <c r="F638">
        <f>IF($J638="","",INDEX(명단표[소속병원],$J638))</f>
        <v/>
      </c>
      <c r="G638">
        <f>IF($J638="","",INDEX(명단표[기준월 근무병원],$J638))</f>
        <v/>
      </c>
      <c r="H638">
        <f>IF($J638="","",INDEX(명단표[급여지급병원(기준월)],$J638))</f>
        <v/>
      </c>
      <c r="I638">
        <f>IF($J638="","",INDEX(명단표[급여 판정 근거],$J638))</f>
        <v/>
      </c>
      <c r="J638" s="17">
        <f>IFERROR(MATCH(634,명단표[명단순번],0),"")</f>
        <v/>
      </c>
    </row>
    <row r="639">
      <c r="A639">
        <f>IF($J639="","",TEXT(급여기준월,"yyyy-mm"))</f>
        <v/>
      </c>
      <c r="B639">
        <f>IF($J639="","",INDEX(명단표[사번],$J639)&amp;"")</f>
        <v/>
      </c>
      <c r="C639">
        <f>IF($J639="","",INDEX(명단표[이름],$J639))</f>
        <v/>
      </c>
      <c r="D639">
        <f>IF($J639="","",INDEX(명단표[수련과목],$J639))</f>
        <v/>
      </c>
      <c r="E639">
        <f>IF($J639="","",INDEX(명단표[연차],$J639)&amp;"")</f>
        <v/>
      </c>
      <c r="F639">
        <f>IF($J639="","",INDEX(명단표[소속병원],$J639))</f>
        <v/>
      </c>
      <c r="G639">
        <f>IF($J639="","",INDEX(명단표[기준월 근무병원],$J639))</f>
        <v/>
      </c>
      <c r="H639">
        <f>IF($J639="","",INDEX(명단표[급여지급병원(기준월)],$J639))</f>
        <v/>
      </c>
      <c r="I639">
        <f>IF($J639="","",INDEX(명단표[급여 판정 근거],$J639))</f>
        <v/>
      </c>
      <c r="J639" s="17">
        <f>IFERROR(MATCH(635,명단표[명단순번],0),"")</f>
        <v/>
      </c>
    </row>
    <row r="640">
      <c r="A640">
        <f>IF($J640="","",TEXT(급여기준월,"yyyy-mm"))</f>
        <v/>
      </c>
      <c r="B640">
        <f>IF($J640="","",INDEX(명단표[사번],$J640)&amp;"")</f>
        <v/>
      </c>
      <c r="C640">
        <f>IF($J640="","",INDEX(명단표[이름],$J640))</f>
        <v/>
      </c>
      <c r="D640">
        <f>IF($J640="","",INDEX(명단표[수련과목],$J640))</f>
        <v/>
      </c>
      <c r="E640">
        <f>IF($J640="","",INDEX(명단표[연차],$J640)&amp;"")</f>
        <v/>
      </c>
      <c r="F640">
        <f>IF($J640="","",INDEX(명단표[소속병원],$J640))</f>
        <v/>
      </c>
      <c r="G640">
        <f>IF($J640="","",INDEX(명단표[기준월 근무병원],$J640))</f>
        <v/>
      </c>
      <c r="H640">
        <f>IF($J640="","",INDEX(명단표[급여지급병원(기준월)],$J640))</f>
        <v/>
      </c>
      <c r="I640">
        <f>IF($J640="","",INDEX(명단표[급여 판정 근거],$J640))</f>
        <v/>
      </c>
      <c r="J640" s="17">
        <f>IFERROR(MATCH(636,명단표[명단순번],0),"")</f>
        <v/>
      </c>
    </row>
    <row r="641">
      <c r="A641">
        <f>IF($J641="","",TEXT(급여기준월,"yyyy-mm"))</f>
        <v/>
      </c>
      <c r="B641">
        <f>IF($J641="","",INDEX(명단표[사번],$J641)&amp;"")</f>
        <v/>
      </c>
      <c r="C641">
        <f>IF($J641="","",INDEX(명단표[이름],$J641))</f>
        <v/>
      </c>
      <c r="D641">
        <f>IF($J641="","",INDEX(명단표[수련과목],$J641))</f>
        <v/>
      </c>
      <c r="E641">
        <f>IF($J641="","",INDEX(명단표[연차],$J641)&amp;"")</f>
        <v/>
      </c>
      <c r="F641">
        <f>IF($J641="","",INDEX(명단표[소속병원],$J641))</f>
        <v/>
      </c>
      <c r="G641">
        <f>IF($J641="","",INDEX(명단표[기준월 근무병원],$J641))</f>
        <v/>
      </c>
      <c r="H641">
        <f>IF($J641="","",INDEX(명단표[급여지급병원(기준월)],$J641))</f>
        <v/>
      </c>
      <c r="I641">
        <f>IF($J641="","",INDEX(명단표[급여 판정 근거],$J641))</f>
        <v/>
      </c>
      <c r="J641" s="17">
        <f>IFERROR(MATCH(637,명단표[명단순번],0),"")</f>
        <v/>
      </c>
    </row>
    <row r="642">
      <c r="A642">
        <f>IF($J642="","",TEXT(급여기준월,"yyyy-mm"))</f>
        <v/>
      </c>
      <c r="B642">
        <f>IF($J642="","",INDEX(명단표[사번],$J642)&amp;"")</f>
        <v/>
      </c>
      <c r="C642">
        <f>IF($J642="","",INDEX(명단표[이름],$J642))</f>
        <v/>
      </c>
      <c r="D642">
        <f>IF($J642="","",INDEX(명단표[수련과목],$J642))</f>
        <v/>
      </c>
      <c r="E642">
        <f>IF($J642="","",INDEX(명단표[연차],$J642)&amp;"")</f>
        <v/>
      </c>
      <c r="F642">
        <f>IF($J642="","",INDEX(명단표[소속병원],$J642))</f>
        <v/>
      </c>
      <c r="G642">
        <f>IF($J642="","",INDEX(명단표[기준월 근무병원],$J642))</f>
        <v/>
      </c>
      <c r="H642">
        <f>IF($J642="","",INDEX(명단표[급여지급병원(기준월)],$J642))</f>
        <v/>
      </c>
      <c r="I642">
        <f>IF($J642="","",INDEX(명단표[급여 판정 근거],$J642))</f>
        <v/>
      </c>
      <c r="J642" s="17">
        <f>IFERROR(MATCH(638,명단표[명단순번],0),"")</f>
        <v/>
      </c>
    </row>
    <row r="643">
      <c r="A643">
        <f>IF($J643="","",TEXT(급여기준월,"yyyy-mm"))</f>
        <v/>
      </c>
      <c r="B643">
        <f>IF($J643="","",INDEX(명단표[사번],$J643)&amp;"")</f>
        <v/>
      </c>
      <c r="C643">
        <f>IF($J643="","",INDEX(명단표[이름],$J643))</f>
        <v/>
      </c>
      <c r="D643">
        <f>IF($J643="","",INDEX(명단표[수련과목],$J643))</f>
        <v/>
      </c>
      <c r="E643">
        <f>IF($J643="","",INDEX(명단표[연차],$J643)&amp;"")</f>
        <v/>
      </c>
      <c r="F643">
        <f>IF($J643="","",INDEX(명단표[소속병원],$J643))</f>
        <v/>
      </c>
      <c r="G643">
        <f>IF($J643="","",INDEX(명단표[기준월 근무병원],$J643))</f>
        <v/>
      </c>
      <c r="H643">
        <f>IF($J643="","",INDEX(명단표[급여지급병원(기준월)],$J643))</f>
        <v/>
      </c>
      <c r="I643">
        <f>IF($J643="","",INDEX(명단표[급여 판정 근거],$J643))</f>
        <v/>
      </c>
      <c r="J643" s="17">
        <f>IFERROR(MATCH(639,명단표[명단순번],0),"")</f>
        <v/>
      </c>
    </row>
    <row r="644">
      <c r="A644">
        <f>IF($J644="","",TEXT(급여기준월,"yyyy-mm"))</f>
        <v/>
      </c>
      <c r="B644">
        <f>IF($J644="","",INDEX(명단표[사번],$J644)&amp;"")</f>
        <v/>
      </c>
      <c r="C644">
        <f>IF($J644="","",INDEX(명단표[이름],$J644))</f>
        <v/>
      </c>
      <c r="D644">
        <f>IF($J644="","",INDEX(명단표[수련과목],$J644))</f>
        <v/>
      </c>
      <c r="E644">
        <f>IF($J644="","",INDEX(명단표[연차],$J644)&amp;"")</f>
        <v/>
      </c>
      <c r="F644">
        <f>IF($J644="","",INDEX(명단표[소속병원],$J644))</f>
        <v/>
      </c>
      <c r="G644">
        <f>IF($J644="","",INDEX(명단표[기준월 근무병원],$J644))</f>
        <v/>
      </c>
      <c r="H644">
        <f>IF($J644="","",INDEX(명단표[급여지급병원(기준월)],$J644))</f>
        <v/>
      </c>
      <c r="I644">
        <f>IF($J644="","",INDEX(명단표[급여 판정 근거],$J644))</f>
        <v/>
      </c>
      <c r="J644" s="17">
        <f>IFERROR(MATCH(640,명단표[명단순번],0),"")</f>
        <v/>
      </c>
    </row>
    <row r="645">
      <c r="A645">
        <f>IF($J645="","",TEXT(급여기준월,"yyyy-mm"))</f>
        <v/>
      </c>
      <c r="B645">
        <f>IF($J645="","",INDEX(명단표[사번],$J645)&amp;"")</f>
        <v/>
      </c>
      <c r="C645">
        <f>IF($J645="","",INDEX(명단표[이름],$J645))</f>
        <v/>
      </c>
      <c r="D645">
        <f>IF($J645="","",INDEX(명단표[수련과목],$J645))</f>
        <v/>
      </c>
      <c r="E645">
        <f>IF($J645="","",INDEX(명단표[연차],$J645)&amp;"")</f>
        <v/>
      </c>
      <c r="F645">
        <f>IF($J645="","",INDEX(명단표[소속병원],$J645))</f>
        <v/>
      </c>
      <c r="G645">
        <f>IF($J645="","",INDEX(명단표[기준월 근무병원],$J645))</f>
        <v/>
      </c>
      <c r="H645">
        <f>IF($J645="","",INDEX(명단표[급여지급병원(기준월)],$J645))</f>
        <v/>
      </c>
      <c r="I645">
        <f>IF($J645="","",INDEX(명단표[급여 판정 근거],$J645))</f>
        <v/>
      </c>
      <c r="J645" s="17">
        <f>IFERROR(MATCH(641,명단표[명단순번],0),"")</f>
        <v/>
      </c>
    </row>
    <row r="646">
      <c r="A646">
        <f>IF($J646="","",TEXT(급여기준월,"yyyy-mm"))</f>
        <v/>
      </c>
      <c r="B646">
        <f>IF($J646="","",INDEX(명단표[사번],$J646)&amp;"")</f>
        <v/>
      </c>
      <c r="C646">
        <f>IF($J646="","",INDEX(명단표[이름],$J646))</f>
        <v/>
      </c>
      <c r="D646">
        <f>IF($J646="","",INDEX(명단표[수련과목],$J646))</f>
        <v/>
      </c>
      <c r="E646">
        <f>IF($J646="","",INDEX(명단표[연차],$J646)&amp;"")</f>
        <v/>
      </c>
      <c r="F646">
        <f>IF($J646="","",INDEX(명단표[소속병원],$J646))</f>
        <v/>
      </c>
      <c r="G646">
        <f>IF($J646="","",INDEX(명단표[기준월 근무병원],$J646))</f>
        <v/>
      </c>
      <c r="H646">
        <f>IF($J646="","",INDEX(명단표[급여지급병원(기준월)],$J646))</f>
        <v/>
      </c>
      <c r="I646">
        <f>IF($J646="","",INDEX(명단표[급여 판정 근거],$J646))</f>
        <v/>
      </c>
      <c r="J646" s="17">
        <f>IFERROR(MATCH(642,명단표[명단순번],0),"")</f>
        <v/>
      </c>
    </row>
    <row r="647">
      <c r="A647">
        <f>IF($J647="","",TEXT(급여기준월,"yyyy-mm"))</f>
        <v/>
      </c>
      <c r="B647">
        <f>IF($J647="","",INDEX(명단표[사번],$J647)&amp;"")</f>
        <v/>
      </c>
      <c r="C647">
        <f>IF($J647="","",INDEX(명단표[이름],$J647))</f>
        <v/>
      </c>
      <c r="D647">
        <f>IF($J647="","",INDEX(명단표[수련과목],$J647))</f>
        <v/>
      </c>
      <c r="E647">
        <f>IF($J647="","",INDEX(명단표[연차],$J647)&amp;"")</f>
        <v/>
      </c>
      <c r="F647">
        <f>IF($J647="","",INDEX(명단표[소속병원],$J647))</f>
        <v/>
      </c>
      <c r="G647">
        <f>IF($J647="","",INDEX(명단표[기준월 근무병원],$J647))</f>
        <v/>
      </c>
      <c r="H647">
        <f>IF($J647="","",INDEX(명단표[급여지급병원(기준월)],$J647))</f>
        <v/>
      </c>
      <c r="I647">
        <f>IF($J647="","",INDEX(명단표[급여 판정 근거],$J647))</f>
        <v/>
      </c>
      <c r="J647" s="17">
        <f>IFERROR(MATCH(643,명단표[명단순번],0),"")</f>
        <v/>
      </c>
    </row>
    <row r="648">
      <c r="A648">
        <f>IF($J648="","",TEXT(급여기준월,"yyyy-mm"))</f>
        <v/>
      </c>
      <c r="B648">
        <f>IF($J648="","",INDEX(명단표[사번],$J648)&amp;"")</f>
        <v/>
      </c>
      <c r="C648">
        <f>IF($J648="","",INDEX(명단표[이름],$J648))</f>
        <v/>
      </c>
      <c r="D648">
        <f>IF($J648="","",INDEX(명단표[수련과목],$J648))</f>
        <v/>
      </c>
      <c r="E648">
        <f>IF($J648="","",INDEX(명단표[연차],$J648)&amp;"")</f>
        <v/>
      </c>
      <c r="F648">
        <f>IF($J648="","",INDEX(명단표[소속병원],$J648))</f>
        <v/>
      </c>
      <c r="G648">
        <f>IF($J648="","",INDEX(명단표[기준월 근무병원],$J648))</f>
        <v/>
      </c>
      <c r="H648">
        <f>IF($J648="","",INDEX(명단표[급여지급병원(기준월)],$J648))</f>
        <v/>
      </c>
      <c r="I648">
        <f>IF($J648="","",INDEX(명단표[급여 판정 근거],$J648))</f>
        <v/>
      </c>
      <c r="J648" s="17">
        <f>IFERROR(MATCH(644,명단표[명단순번],0),"")</f>
        <v/>
      </c>
    </row>
    <row r="649">
      <c r="A649">
        <f>IF($J649="","",TEXT(급여기준월,"yyyy-mm"))</f>
        <v/>
      </c>
      <c r="B649">
        <f>IF($J649="","",INDEX(명단표[사번],$J649)&amp;"")</f>
        <v/>
      </c>
      <c r="C649">
        <f>IF($J649="","",INDEX(명단표[이름],$J649))</f>
        <v/>
      </c>
      <c r="D649">
        <f>IF($J649="","",INDEX(명단표[수련과목],$J649))</f>
        <v/>
      </c>
      <c r="E649">
        <f>IF($J649="","",INDEX(명단표[연차],$J649)&amp;"")</f>
        <v/>
      </c>
      <c r="F649">
        <f>IF($J649="","",INDEX(명단표[소속병원],$J649))</f>
        <v/>
      </c>
      <c r="G649">
        <f>IF($J649="","",INDEX(명단표[기준월 근무병원],$J649))</f>
        <v/>
      </c>
      <c r="H649">
        <f>IF($J649="","",INDEX(명단표[급여지급병원(기준월)],$J649))</f>
        <v/>
      </c>
      <c r="I649">
        <f>IF($J649="","",INDEX(명단표[급여 판정 근거],$J649))</f>
        <v/>
      </c>
      <c r="J649" s="17">
        <f>IFERROR(MATCH(645,명단표[명단순번],0),"")</f>
        <v/>
      </c>
    </row>
    <row r="650">
      <c r="A650">
        <f>IF($J650="","",TEXT(급여기준월,"yyyy-mm"))</f>
        <v/>
      </c>
      <c r="B650">
        <f>IF($J650="","",INDEX(명단표[사번],$J650)&amp;"")</f>
        <v/>
      </c>
      <c r="C650">
        <f>IF($J650="","",INDEX(명단표[이름],$J650))</f>
        <v/>
      </c>
      <c r="D650">
        <f>IF($J650="","",INDEX(명단표[수련과목],$J650))</f>
        <v/>
      </c>
      <c r="E650">
        <f>IF($J650="","",INDEX(명단표[연차],$J650)&amp;"")</f>
        <v/>
      </c>
      <c r="F650">
        <f>IF($J650="","",INDEX(명단표[소속병원],$J650))</f>
        <v/>
      </c>
      <c r="G650">
        <f>IF($J650="","",INDEX(명단표[기준월 근무병원],$J650))</f>
        <v/>
      </c>
      <c r="H650">
        <f>IF($J650="","",INDEX(명단표[급여지급병원(기준월)],$J650))</f>
        <v/>
      </c>
      <c r="I650">
        <f>IF($J650="","",INDEX(명단표[급여 판정 근거],$J650))</f>
        <v/>
      </c>
      <c r="J650" s="17">
        <f>IFERROR(MATCH(646,명단표[명단순번],0),"")</f>
        <v/>
      </c>
    </row>
    <row r="651">
      <c r="A651">
        <f>IF($J651="","",TEXT(급여기준월,"yyyy-mm"))</f>
        <v/>
      </c>
      <c r="B651">
        <f>IF($J651="","",INDEX(명단표[사번],$J651)&amp;"")</f>
        <v/>
      </c>
      <c r="C651">
        <f>IF($J651="","",INDEX(명단표[이름],$J651))</f>
        <v/>
      </c>
      <c r="D651">
        <f>IF($J651="","",INDEX(명단표[수련과목],$J651))</f>
        <v/>
      </c>
      <c r="E651">
        <f>IF($J651="","",INDEX(명단표[연차],$J651)&amp;"")</f>
        <v/>
      </c>
      <c r="F651">
        <f>IF($J651="","",INDEX(명단표[소속병원],$J651))</f>
        <v/>
      </c>
      <c r="G651">
        <f>IF($J651="","",INDEX(명단표[기준월 근무병원],$J651))</f>
        <v/>
      </c>
      <c r="H651">
        <f>IF($J651="","",INDEX(명단표[급여지급병원(기준월)],$J651))</f>
        <v/>
      </c>
      <c r="I651">
        <f>IF($J651="","",INDEX(명단표[급여 판정 근거],$J651))</f>
        <v/>
      </c>
      <c r="J651" s="17">
        <f>IFERROR(MATCH(647,명단표[명단순번],0),"")</f>
        <v/>
      </c>
    </row>
    <row r="652">
      <c r="A652">
        <f>IF($J652="","",TEXT(급여기준월,"yyyy-mm"))</f>
        <v/>
      </c>
      <c r="B652">
        <f>IF($J652="","",INDEX(명단표[사번],$J652)&amp;"")</f>
        <v/>
      </c>
      <c r="C652">
        <f>IF($J652="","",INDEX(명단표[이름],$J652))</f>
        <v/>
      </c>
      <c r="D652">
        <f>IF($J652="","",INDEX(명단표[수련과목],$J652))</f>
        <v/>
      </c>
      <c r="E652">
        <f>IF($J652="","",INDEX(명단표[연차],$J652)&amp;"")</f>
        <v/>
      </c>
      <c r="F652">
        <f>IF($J652="","",INDEX(명단표[소속병원],$J652))</f>
        <v/>
      </c>
      <c r="G652">
        <f>IF($J652="","",INDEX(명단표[기준월 근무병원],$J652))</f>
        <v/>
      </c>
      <c r="H652">
        <f>IF($J652="","",INDEX(명단표[급여지급병원(기준월)],$J652))</f>
        <v/>
      </c>
      <c r="I652">
        <f>IF($J652="","",INDEX(명단표[급여 판정 근거],$J652))</f>
        <v/>
      </c>
      <c r="J652" s="17">
        <f>IFERROR(MATCH(648,명단표[명단순번],0),"")</f>
        <v/>
      </c>
    </row>
    <row r="653">
      <c r="A653">
        <f>IF($J653="","",TEXT(급여기준월,"yyyy-mm"))</f>
        <v/>
      </c>
      <c r="B653">
        <f>IF($J653="","",INDEX(명단표[사번],$J653)&amp;"")</f>
        <v/>
      </c>
      <c r="C653">
        <f>IF($J653="","",INDEX(명단표[이름],$J653))</f>
        <v/>
      </c>
      <c r="D653">
        <f>IF($J653="","",INDEX(명단표[수련과목],$J653))</f>
        <v/>
      </c>
      <c r="E653">
        <f>IF($J653="","",INDEX(명단표[연차],$J653)&amp;"")</f>
        <v/>
      </c>
      <c r="F653">
        <f>IF($J653="","",INDEX(명단표[소속병원],$J653))</f>
        <v/>
      </c>
      <c r="G653">
        <f>IF($J653="","",INDEX(명단표[기준월 근무병원],$J653))</f>
        <v/>
      </c>
      <c r="H653">
        <f>IF($J653="","",INDEX(명단표[급여지급병원(기준월)],$J653))</f>
        <v/>
      </c>
      <c r="I653">
        <f>IF($J653="","",INDEX(명단표[급여 판정 근거],$J653))</f>
        <v/>
      </c>
      <c r="J653" s="17">
        <f>IFERROR(MATCH(649,명단표[명단순번],0),"")</f>
        <v/>
      </c>
    </row>
    <row r="654">
      <c r="A654">
        <f>IF($J654="","",TEXT(급여기준월,"yyyy-mm"))</f>
        <v/>
      </c>
      <c r="B654">
        <f>IF($J654="","",INDEX(명단표[사번],$J654)&amp;"")</f>
        <v/>
      </c>
      <c r="C654">
        <f>IF($J654="","",INDEX(명단표[이름],$J654))</f>
        <v/>
      </c>
      <c r="D654">
        <f>IF($J654="","",INDEX(명단표[수련과목],$J654))</f>
        <v/>
      </c>
      <c r="E654">
        <f>IF($J654="","",INDEX(명단표[연차],$J654)&amp;"")</f>
        <v/>
      </c>
      <c r="F654">
        <f>IF($J654="","",INDEX(명단표[소속병원],$J654))</f>
        <v/>
      </c>
      <c r="G654">
        <f>IF($J654="","",INDEX(명단표[기준월 근무병원],$J654))</f>
        <v/>
      </c>
      <c r="H654">
        <f>IF($J654="","",INDEX(명단표[급여지급병원(기준월)],$J654))</f>
        <v/>
      </c>
      <c r="I654">
        <f>IF($J654="","",INDEX(명단표[급여 판정 근거],$J654))</f>
        <v/>
      </c>
      <c r="J654" s="17">
        <f>IFERROR(MATCH(650,명단표[명단순번],0),"")</f>
        <v/>
      </c>
    </row>
    <row r="655">
      <c r="A655">
        <f>IF($J655="","",TEXT(급여기준월,"yyyy-mm"))</f>
        <v/>
      </c>
      <c r="B655">
        <f>IF($J655="","",INDEX(명단표[사번],$J655)&amp;"")</f>
        <v/>
      </c>
      <c r="C655">
        <f>IF($J655="","",INDEX(명단표[이름],$J655))</f>
        <v/>
      </c>
      <c r="D655">
        <f>IF($J655="","",INDEX(명단표[수련과목],$J655))</f>
        <v/>
      </c>
      <c r="E655">
        <f>IF($J655="","",INDEX(명단표[연차],$J655)&amp;"")</f>
        <v/>
      </c>
      <c r="F655">
        <f>IF($J655="","",INDEX(명단표[소속병원],$J655))</f>
        <v/>
      </c>
      <c r="G655">
        <f>IF($J655="","",INDEX(명단표[기준월 근무병원],$J655))</f>
        <v/>
      </c>
      <c r="H655">
        <f>IF($J655="","",INDEX(명단표[급여지급병원(기준월)],$J655))</f>
        <v/>
      </c>
      <c r="I655">
        <f>IF($J655="","",INDEX(명단표[급여 판정 근거],$J655))</f>
        <v/>
      </c>
      <c r="J655" s="17">
        <f>IFERROR(MATCH(651,명단표[명단순번],0),"")</f>
        <v/>
      </c>
    </row>
    <row r="656">
      <c r="A656">
        <f>IF($J656="","",TEXT(급여기준월,"yyyy-mm"))</f>
        <v/>
      </c>
      <c r="B656">
        <f>IF($J656="","",INDEX(명단표[사번],$J656)&amp;"")</f>
        <v/>
      </c>
      <c r="C656">
        <f>IF($J656="","",INDEX(명단표[이름],$J656))</f>
        <v/>
      </c>
      <c r="D656">
        <f>IF($J656="","",INDEX(명단표[수련과목],$J656))</f>
        <v/>
      </c>
      <c r="E656">
        <f>IF($J656="","",INDEX(명단표[연차],$J656)&amp;"")</f>
        <v/>
      </c>
      <c r="F656">
        <f>IF($J656="","",INDEX(명단표[소속병원],$J656))</f>
        <v/>
      </c>
      <c r="G656">
        <f>IF($J656="","",INDEX(명단표[기준월 근무병원],$J656))</f>
        <v/>
      </c>
      <c r="H656">
        <f>IF($J656="","",INDEX(명단표[급여지급병원(기준월)],$J656))</f>
        <v/>
      </c>
      <c r="I656">
        <f>IF($J656="","",INDEX(명단표[급여 판정 근거],$J656))</f>
        <v/>
      </c>
      <c r="J656" s="17">
        <f>IFERROR(MATCH(652,명단표[명단순번],0),"")</f>
        <v/>
      </c>
    </row>
    <row r="657">
      <c r="A657">
        <f>IF($J657="","",TEXT(급여기준월,"yyyy-mm"))</f>
        <v/>
      </c>
      <c r="B657">
        <f>IF($J657="","",INDEX(명단표[사번],$J657)&amp;"")</f>
        <v/>
      </c>
      <c r="C657">
        <f>IF($J657="","",INDEX(명단표[이름],$J657))</f>
        <v/>
      </c>
      <c r="D657">
        <f>IF($J657="","",INDEX(명단표[수련과목],$J657))</f>
        <v/>
      </c>
      <c r="E657">
        <f>IF($J657="","",INDEX(명단표[연차],$J657)&amp;"")</f>
        <v/>
      </c>
      <c r="F657">
        <f>IF($J657="","",INDEX(명단표[소속병원],$J657))</f>
        <v/>
      </c>
      <c r="G657">
        <f>IF($J657="","",INDEX(명단표[기준월 근무병원],$J657))</f>
        <v/>
      </c>
      <c r="H657">
        <f>IF($J657="","",INDEX(명단표[급여지급병원(기준월)],$J657))</f>
        <v/>
      </c>
      <c r="I657">
        <f>IF($J657="","",INDEX(명단표[급여 판정 근거],$J657))</f>
        <v/>
      </c>
      <c r="J657" s="17">
        <f>IFERROR(MATCH(653,명단표[명단순번],0),"")</f>
        <v/>
      </c>
    </row>
    <row r="658">
      <c r="A658">
        <f>IF($J658="","",TEXT(급여기준월,"yyyy-mm"))</f>
        <v/>
      </c>
      <c r="B658">
        <f>IF($J658="","",INDEX(명단표[사번],$J658)&amp;"")</f>
        <v/>
      </c>
      <c r="C658">
        <f>IF($J658="","",INDEX(명단표[이름],$J658))</f>
        <v/>
      </c>
      <c r="D658">
        <f>IF($J658="","",INDEX(명단표[수련과목],$J658))</f>
        <v/>
      </c>
      <c r="E658">
        <f>IF($J658="","",INDEX(명단표[연차],$J658)&amp;"")</f>
        <v/>
      </c>
      <c r="F658">
        <f>IF($J658="","",INDEX(명단표[소속병원],$J658))</f>
        <v/>
      </c>
      <c r="G658">
        <f>IF($J658="","",INDEX(명단표[기준월 근무병원],$J658))</f>
        <v/>
      </c>
      <c r="H658">
        <f>IF($J658="","",INDEX(명단표[급여지급병원(기준월)],$J658))</f>
        <v/>
      </c>
      <c r="I658">
        <f>IF($J658="","",INDEX(명단표[급여 판정 근거],$J658))</f>
        <v/>
      </c>
      <c r="J658" s="17">
        <f>IFERROR(MATCH(654,명단표[명단순번],0),"")</f>
        <v/>
      </c>
    </row>
    <row r="659">
      <c r="A659">
        <f>IF($J659="","",TEXT(급여기준월,"yyyy-mm"))</f>
        <v/>
      </c>
      <c r="B659">
        <f>IF($J659="","",INDEX(명단표[사번],$J659)&amp;"")</f>
        <v/>
      </c>
      <c r="C659">
        <f>IF($J659="","",INDEX(명단표[이름],$J659))</f>
        <v/>
      </c>
      <c r="D659">
        <f>IF($J659="","",INDEX(명단표[수련과목],$J659))</f>
        <v/>
      </c>
      <c r="E659">
        <f>IF($J659="","",INDEX(명단표[연차],$J659)&amp;"")</f>
        <v/>
      </c>
      <c r="F659">
        <f>IF($J659="","",INDEX(명단표[소속병원],$J659))</f>
        <v/>
      </c>
      <c r="G659">
        <f>IF($J659="","",INDEX(명단표[기준월 근무병원],$J659))</f>
        <v/>
      </c>
      <c r="H659">
        <f>IF($J659="","",INDEX(명단표[급여지급병원(기준월)],$J659))</f>
        <v/>
      </c>
      <c r="I659">
        <f>IF($J659="","",INDEX(명단표[급여 판정 근거],$J659))</f>
        <v/>
      </c>
      <c r="J659" s="17">
        <f>IFERROR(MATCH(655,명단표[명단순번],0),"")</f>
        <v/>
      </c>
    </row>
    <row r="660">
      <c r="A660">
        <f>IF($J660="","",TEXT(급여기준월,"yyyy-mm"))</f>
        <v/>
      </c>
      <c r="B660">
        <f>IF($J660="","",INDEX(명단표[사번],$J660)&amp;"")</f>
        <v/>
      </c>
      <c r="C660">
        <f>IF($J660="","",INDEX(명단표[이름],$J660))</f>
        <v/>
      </c>
      <c r="D660">
        <f>IF($J660="","",INDEX(명단표[수련과목],$J660))</f>
        <v/>
      </c>
      <c r="E660">
        <f>IF($J660="","",INDEX(명단표[연차],$J660)&amp;"")</f>
        <v/>
      </c>
      <c r="F660">
        <f>IF($J660="","",INDEX(명단표[소속병원],$J660))</f>
        <v/>
      </c>
      <c r="G660">
        <f>IF($J660="","",INDEX(명단표[기준월 근무병원],$J660))</f>
        <v/>
      </c>
      <c r="H660">
        <f>IF($J660="","",INDEX(명단표[급여지급병원(기준월)],$J660))</f>
        <v/>
      </c>
      <c r="I660">
        <f>IF($J660="","",INDEX(명단표[급여 판정 근거],$J660))</f>
        <v/>
      </c>
      <c r="J660" s="17">
        <f>IFERROR(MATCH(656,명단표[명단순번],0),"")</f>
        <v/>
      </c>
    </row>
    <row r="661">
      <c r="A661">
        <f>IF($J661="","",TEXT(급여기준월,"yyyy-mm"))</f>
        <v/>
      </c>
      <c r="B661">
        <f>IF($J661="","",INDEX(명단표[사번],$J661)&amp;"")</f>
        <v/>
      </c>
      <c r="C661">
        <f>IF($J661="","",INDEX(명단표[이름],$J661))</f>
        <v/>
      </c>
      <c r="D661">
        <f>IF($J661="","",INDEX(명단표[수련과목],$J661))</f>
        <v/>
      </c>
      <c r="E661">
        <f>IF($J661="","",INDEX(명단표[연차],$J661)&amp;"")</f>
        <v/>
      </c>
      <c r="F661">
        <f>IF($J661="","",INDEX(명단표[소속병원],$J661))</f>
        <v/>
      </c>
      <c r="G661">
        <f>IF($J661="","",INDEX(명단표[기준월 근무병원],$J661))</f>
        <v/>
      </c>
      <c r="H661">
        <f>IF($J661="","",INDEX(명단표[급여지급병원(기준월)],$J661))</f>
        <v/>
      </c>
      <c r="I661">
        <f>IF($J661="","",INDEX(명단표[급여 판정 근거],$J661))</f>
        <v/>
      </c>
      <c r="J661" s="17">
        <f>IFERROR(MATCH(657,명단표[명단순번],0),"")</f>
        <v/>
      </c>
    </row>
    <row r="662">
      <c r="A662">
        <f>IF($J662="","",TEXT(급여기준월,"yyyy-mm"))</f>
        <v/>
      </c>
      <c r="B662">
        <f>IF($J662="","",INDEX(명단표[사번],$J662)&amp;"")</f>
        <v/>
      </c>
      <c r="C662">
        <f>IF($J662="","",INDEX(명단표[이름],$J662))</f>
        <v/>
      </c>
      <c r="D662">
        <f>IF($J662="","",INDEX(명단표[수련과목],$J662))</f>
        <v/>
      </c>
      <c r="E662">
        <f>IF($J662="","",INDEX(명단표[연차],$J662)&amp;"")</f>
        <v/>
      </c>
      <c r="F662">
        <f>IF($J662="","",INDEX(명단표[소속병원],$J662))</f>
        <v/>
      </c>
      <c r="G662">
        <f>IF($J662="","",INDEX(명단표[기준월 근무병원],$J662))</f>
        <v/>
      </c>
      <c r="H662">
        <f>IF($J662="","",INDEX(명단표[급여지급병원(기준월)],$J662))</f>
        <v/>
      </c>
      <c r="I662">
        <f>IF($J662="","",INDEX(명단표[급여 판정 근거],$J662))</f>
        <v/>
      </c>
      <c r="J662" s="17">
        <f>IFERROR(MATCH(658,명단표[명단순번],0),"")</f>
        <v/>
      </c>
    </row>
    <row r="663">
      <c r="A663">
        <f>IF($J663="","",TEXT(급여기준월,"yyyy-mm"))</f>
        <v/>
      </c>
      <c r="B663">
        <f>IF($J663="","",INDEX(명단표[사번],$J663)&amp;"")</f>
        <v/>
      </c>
      <c r="C663">
        <f>IF($J663="","",INDEX(명단표[이름],$J663))</f>
        <v/>
      </c>
      <c r="D663">
        <f>IF($J663="","",INDEX(명단표[수련과목],$J663))</f>
        <v/>
      </c>
      <c r="E663">
        <f>IF($J663="","",INDEX(명단표[연차],$J663)&amp;"")</f>
        <v/>
      </c>
      <c r="F663">
        <f>IF($J663="","",INDEX(명단표[소속병원],$J663))</f>
        <v/>
      </c>
      <c r="G663">
        <f>IF($J663="","",INDEX(명단표[기준월 근무병원],$J663))</f>
        <v/>
      </c>
      <c r="H663">
        <f>IF($J663="","",INDEX(명단표[급여지급병원(기준월)],$J663))</f>
        <v/>
      </c>
      <c r="I663">
        <f>IF($J663="","",INDEX(명단표[급여 판정 근거],$J663))</f>
        <v/>
      </c>
      <c r="J663" s="17">
        <f>IFERROR(MATCH(659,명단표[명단순번],0),"")</f>
        <v/>
      </c>
    </row>
    <row r="664">
      <c r="A664">
        <f>IF($J664="","",TEXT(급여기준월,"yyyy-mm"))</f>
        <v/>
      </c>
      <c r="B664">
        <f>IF($J664="","",INDEX(명단표[사번],$J664)&amp;"")</f>
        <v/>
      </c>
      <c r="C664">
        <f>IF($J664="","",INDEX(명단표[이름],$J664))</f>
        <v/>
      </c>
      <c r="D664">
        <f>IF($J664="","",INDEX(명단표[수련과목],$J664))</f>
        <v/>
      </c>
      <c r="E664">
        <f>IF($J664="","",INDEX(명단표[연차],$J664)&amp;"")</f>
        <v/>
      </c>
      <c r="F664">
        <f>IF($J664="","",INDEX(명단표[소속병원],$J664))</f>
        <v/>
      </c>
      <c r="G664">
        <f>IF($J664="","",INDEX(명단표[기준월 근무병원],$J664))</f>
        <v/>
      </c>
      <c r="H664">
        <f>IF($J664="","",INDEX(명단표[급여지급병원(기준월)],$J664))</f>
        <v/>
      </c>
      <c r="I664">
        <f>IF($J664="","",INDEX(명단표[급여 판정 근거],$J664))</f>
        <v/>
      </c>
      <c r="J664" s="17">
        <f>IFERROR(MATCH(660,명단표[명단순번],0),"")</f>
        <v/>
      </c>
    </row>
    <row r="665">
      <c r="A665">
        <f>IF($J665="","",TEXT(급여기준월,"yyyy-mm"))</f>
        <v/>
      </c>
      <c r="B665">
        <f>IF($J665="","",INDEX(명단표[사번],$J665)&amp;"")</f>
        <v/>
      </c>
      <c r="C665">
        <f>IF($J665="","",INDEX(명단표[이름],$J665))</f>
        <v/>
      </c>
      <c r="D665">
        <f>IF($J665="","",INDEX(명단표[수련과목],$J665))</f>
        <v/>
      </c>
      <c r="E665">
        <f>IF($J665="","",INDEX(명단표[연차],$J665)&amp;"")</f>
        <v/>
      </c>
      <c r="F665">
        <f>IF($J665="","",INDEX(명단표[소속병원],$J665))</f>
        <v/>
      </c>
      <c r="G665">
        <f>IF($J665="","",INDEX(명단표[기준월 근무병원],$J665))</f>
        <v/>
      </c>
      <c r="H665">
        <f>IF($J665="","",INDEX(명단표[급여지급병원(기준월)],$J665))</f>
        <v/>
      </c>
      <c r="I665">
        <f>IF($J665="","",INDEX(명단표[급여 판정 근거],$J665))</f>
        <v/>
      </c>
      <c r="J665" s="17">
        <f>IFERROR(MATCH(661,명단표[명단순번],0),"")</f>
        <v/>
      </c>
    </row>
    <row r="666">
      <c r="A666">
        <f>IF($J666="","",TEXT(급여기준월,"yyyy-mm"))</f>
        <v/>
      </c>
      <c r="B666">
        <f>IF($J666="","",INDEX(명단표[사번],$J666)&amp;"")</f>
        <v/>
      </c>
      <c r="C666">
        <f>IF($J666="","",INDEX(명단표[이름],$J666))</f>
        <v/>
      </c>
      <c r="D666">
        <f>IF($J666="","",INDEX(명단표[수련과목],$J666))</f>
        <v/>
      </c>
      <c r="E666">
        <f>IF($J666="","",INDEX(명단표[연차],$J666)&amp;"")</f>
        <v/>
      </c>
      <c r="F666">
        <f>IF($J666="","",INDEX(명단표[소속병원],$J666))</f>
        <v/>
      </c>
      <c r="G666">
        <f>IF($J666="","",INDEX(명단표[기준월 근무병원],$J666))</f>
        <v/>
      </c>
      <c r="H666">
        <f>IF($J666="","",INDEX(명단표[급여지급병원(기준월)],$J666))</f>
        <v/>
      </c>
      <c r="I666">
        <f>IF($J666="","",INDEX(명단표[급여 판정 근거],$J666))</f>
        <v/>
      </c>
      <c r="J666" s="17">
        <f>IFERROR(MATCH(662,명단표[명단순번],0),"")</f>
        <v/>
      </c>
    </row>
    <row r="667">
      <c r="A667">
        <f>IF($J667="","",TEXT(급여기준월,"yyyy-mm"))</f>
        <v/>
      </c>
      <c r="B667">
        <f>IF($J667="","",INDEX(명단표[사번],$J667)&amp;"")</f>
        <v/>
      </c>
      <c r="C667">
        <f>IF($J667="","",INDEX(명단표[이름],$J667))</f>
        <v/>
      </c>
      <c r="D667">
        <f>IF($J667="","",INDEX(명단표[수련과목],$J667))</f>
        <v/>
      </c>
      <c r="E667">
        <f>IF($J667="","",INDEX(명단표[연차],$J667)&amp;"")</f>
        <v/>
      </c>
      <c r="F667">
        <f>IF($J667="","",INDEX(명단표[소속병원],$J667))</f>
        <v/>
      </c>
      <c r="G667">
        <f>IF($J667="","",INDEX(명단표[기준월 근무병원],$J667))</f>
        <v/>
      </c>
      <c r="H667">
        <f>IF($J667="","",INDEX(명단표[급여지급병원(기준월)],$J667))</f>
        <v/>
      </c>
      <c r="I667">
        <f>IF($J667="","",INDEX(명단표[급여 판정 근거],$J667))</f>
        <v/>
      </c>
      <c r="J667" s="17">
        <f>IFERROR(MATCH(663,명단표[명단순번],0),"")</f>
        <v/>
      </c>
    </row>
    <row r="668">
      <c r="A668">
        <f>IF($J668="","",TEXT(급여기준월,"yyyy-mm"))</f>
        <v/>
      </c>
      <c r="B668">
        <f>IF($J668="","",INDEX(명단표[사번],$J668)&amp;"")</f>
        <v/>
      </c>
      <c r="C668">
        <f>IF($J668="","",INDEX(명단표[이름],$J668))</f>
        <v/>
      </c>
      <c r="D668">
        <f>IF($J668="","",INDEX(명단표[수련과목],$J668))</f>
        <v/>
      </c>
      <c r="E668">
        <f>IF($J668="","",INDEX(명단표[연차],$J668)&amp;"")</f>
        <v/>
      </c>
      <c r="F668">
        <f>IF($J668="","",INDEX(명단표[소속병원],$J668))</f>
        <v/>
      </c>
      <c r="G668">
        <f>IF($J668="","",INDEX(명단표[기준월 근무병원],$J668))</f>
        <v/>
      </c>
      <c r="H668">
        <f>IF($J668="","",INDEX(명단표[급여지급병원(기준월)],$J668))</f>
        <v/>
      </c>
      <c r="I668">
        <f>IF($J668="","",INDEX(명단표[급여 판정 근거],$J668))</f>
        <v/>
      </c>
      <c r="J668" s="17">
        <f>IFERROR(MATCH(664,명단표[명단순번],0),"")</f>
        <v/>
      </c>
    </row>
    <row r="669">
      <c r="A669">
        <f>IF($J669="","",TEXT(급여기준월,"yyyy-mm"))</f>
        <v/>
      </c>
      <c r="B669">
        <f>IF($J669="","",INDEX(명단표[사번],$J669)&amp;"")</f>
        <v/>
      </c>
      <c r="C669">
        <f>IF($J669="","",INDEX(명단표[이름],$J669))</f>
        <v/>
      </c>
      <c r="D669">
        <f>IF($J669="","",INDEX(명단표[수련과목],$J669))</f>
        <v/>
      </c>
      <c r="E669">
        <f>IF($J669="","",INDEX(명단표[연차],$J669)&amp;"")</f>
        <v/>
      </c>
      <c r="F669">
        <f>IF($J669="","",INDEX(명단표[소속병원],$J669))</f>
        <v/>
      </c>
      <c r="G669">
        <f>IF($J669="","",INDEX(명단표[기준월 근무병원],$J669))</f>
        <v/>
      </c>
      <c r="H669">
        <f>IF($J669="","",INDEX(명단표[급여지급병원(기준월)],$J669))</f>
        <v/>
      </c>
      <c r="I669">
        <f>IF($J669="","",INDEX(명단표[급여 판정 근거],$J669))</f>
        <v/>
      </c>
      <c r="J669" s="17">
        <f>IFERROR(MATCH(665,명단표[명단순번],0),"")</f>
        <v/>
      </c>
    </row>
    <row r="670">
      <c r="A670">
        <f>IF($J670="","",TEXT(급여기준월,"yyyy-mm"))</f>
        <v/>
      </c>
      <c r="B670">
        <f>IF($J670="","",INDEX(명단표[사번],$J670)&amp;"")</f>
        <v/>
      </c>
      <c r="C670">
        <f>IF($J670="","",INDEX(명단표[이름],$J670))</f>
        <v/>
      </c>
      <c r="D670">
        <f>IF($J670="","",INDEX(명단표[수련과목],$J670))</f>
        <v/>
      </c>
      <c r="E670">
        <f>IF($J670="","",INDEX(명단표[연차],$J670)&amp;"")</f>
        <v/>
      </c>
      <c r="F670">
        <f>IF($J670="","",INDEX(명단표[소속병원],$J670))</f>
        <v/>
      </c>
      <c r="G670">
        <f>IF($J670="","",INDEX(명단표[기준월 근무병원],$J670))</f>
        <v/>
      </c>
      <c r="H670">
        <f>IF($J670="","",INDEX(명단표[급여지급병원(기준월)],$J670))</f>
        <v/>
      </c>
      <c r="I670">
        <f>IF($J670="","",INDEX(명단표[급여 판정 근거],$J670))</f>
        <v/>
      </c>
      <c r="J670" s="17">
        <f>IFERROR(MATCH(666,명단표[명단순번],0),"")</f>
        <v/>
      </c>
    </row>
    <row r="671">
      <c r="A671">
        <f>IF($J671="","",TEXT(급여기준월,"yyyy-mm"))</f>
        <v/>
      </c>
      <c r="B671">
        <f>IF($J671="","",INDEX(명단표[사번],$J671)&amp;"")</f>
        <v/>
      </c>
      <c r="C671">
        <f>IF($J671="","",INDEX(명단표[이름],$J671))</f>
        <v/>
      </c>
      <c r="D671">
        <f>IF($J671="","",INDEX(명단표[수련과목],$J671))</f>
        <v/>
      </c>
      <c r="E671">
        <f>IF($J671="","",INDEX(명단표[연차],$J671)&amp;"")</f>
        <v/>
      </c>
      <c r="F671">
        <f>IF($J671="","",INDEX(명단표[소속병원],$J671))</f>
        <v/>
      </c>
      <c r="G671">
        <f>IF($J671="","",INDEX(명단표[기준월 근무병원],$J671))</f>
        <v/>
      </c>
      <c r="H671">
        <f>IF($J671="","",INDEX(명단표[급여지급병원(기준월)],$J671))</f>
        <v/>
      </c>
      <c r="I671">
        <f>IF($J671="","",INDEX(명단표[급여 판정 근거],$J671))</f>
        <v/>
      </c>
      <c r="J671" s="17">
        <f>IFERROR(MATCH(667,명단표[명단순번],0),"")</f>
        <v/>
      </c>
    </row>
    <row r="672">
      <c r="A672">
        <f>IF($J672="","",TEXT(급여기준월,"yyyy-mm"))</f>
        <v/>
      </c>
      <c r="B672">
        <f>IF($J672="","",INDEX(명단표[사번],$J672)&amp;"")</f>
        <v/>
      </c>
      <c r="C672">
        <f>IF($J672="","",INDEX(명단표[이름],$J672))</f>
        <v/>
      </c>
      <c r="D672">
        <f>IF($J672="","",INDEX(명단표[수련과목],$J672))</f>
        <v/>
      </c>
      <c r="E672">
        <f>IF($J672="","",INDEX(명단표[연차],$J672)&amp;"")</f>
        <v/>
      </c>
      <c r="F672">
        <f>IF($J672="","",INDEX(명단표[소속병원],$J672))</f>
        <v/>
      </c>
      <c r="G672">
        <f>IF($J672="","",INDEX(명단표[기준월 근무병원],$J672))</f>
        <v/>
      </c>
      <c r="H672">
        <f>IF($J672="","",INDEX(명단표[급여지급병원(기준월)],$J672))</f>
        <v/>
      </c>
      <c r="I672">
        <f>IF($J672="","",INDEX(명단표[급여 판정 근거],$J672))</f>
        <v/>
      </c>
      <c r="J672" s="17">
        <f>IFERROR(MATCH(668,명단표[명단순번],0),"")</f>
        <v/>
      </c>
    </row>
    <row r="673">
      <c r="A673">
        <f>IF($J673="","",TEXT(급여기준월,"yyyy-mm"))</f>
        <v/>
      </c>
      <c r="B673">
        <f>IF($J673="","",INDEX(명단표[사번],$J673)&amp;"")</f>
        <v/>
      </c>
      <c r="C673">
        <f>IF($J673="","",INDEX(명단표[이름],$J673))</f>
        <v/>
      </c>
      <c r="D673">
        <f>IF($J673="","",INDEX(명단표[수련과목],$J673))</f>
        <v/>
      </c>
      <c r="E673">
        <f>IF($J673="","",INDEX(명단표[연차],$J673)&amp;"")</f>
        <v/>
      </c>
      <c r="F673">
        <f>IF($J673="","",INDEX(명단표[소속병원],$J673))</f>
        <v/>
      </c>
      <c r="G673">
        <f>IF($J673="","",INDEX(명단표[기준월 근무병원],$J673))</f>
        <v/>
      </c>
      <c r="H673">
        <f>IF($J673="","",INDEX(명단표[급여지급병원(기준월)],$J673))</f>
        <v/>
      </c>
      <c r="I673">
        <f>IF($J673="","",INDEX(명단표[급여 판정 근거],$J673))</f>
        <v/>
      </c>
      <c r="J673" s="17">
        <f>IFERROR(MATCH(669,명단표[명단순번],0),"")</f>
        <v/>
      </c>
    </row>
    <row r="674">
      <c r="A674">
        <f>IF($J674="","",TEXT(급여기준월,"yyyy-mm"))</f>
        <v/>
      </c>
      <c r="B674">
        <f>IF($J674="","",INDEX(명단표[사번],$J674)&amp;"")</f>
        <v/>
      </c>
      <c r="C674">
        <f>IF($J674="","",INDEX(명단표[이름],$J674))</f>
        <v/>
      </c>
      <c r="D674">
        <f>IF($J674="","",INDEX(명단표[수련과목],$J674))</f>
        <v/>
      </c>
      <c r="E674">
        <f>IF($J674="","",INDEX(명단표[연차],$J674)&amp;"")</f>
        <v/>
      </c>
      <c r="F674">
        <f>IF($J674="","",INDEX(명단표[소속병원],$J674))</f>
        <v/>
      </c>
      <c r="G674">
        <f>IF($J674="","",INDEX(명단표[기준월 근무병원],$J674))</f>
        <v/>
      </c>
      <c r="H674">
        <f>IF($J674="","",INDEX(명단표[급여지급병원(기준월)],$J674))</f>
        <v/>
      </c>
      <c r="I674">
        <f>IF($J674="","",INDEX(명단표[급여 판정 근거],$J674))</f>
        <v/>
      </c>
      <c r="J674" s="17">
        <f>IFERROR(MATCH(670,명단표[명단순번],0),"")</f>
        <v/>
      </c>
    </row>
    <row r="675">
      <c r="A675">
        <f>IF($J675="","",TEXT(급여기준월,"yyyy-mm"))</f>
        <v/>
      </c>
      <c r="B675">
        <f>IF($J675="","",INDEX(명단표[사번],$J675)&amp;"")</f>
        <v/>
      </c>
      <c r="C675">
        <f>IF($J675="","",INDEX(명단표[이름],$J675))</f>
        <v/>
      </c>
      <c r="D675">
        <f>IF($J675="","",INDEX(명단표[수련과목],$J675))</f>
        <v/>
      </c>
      <c r="E675">
        <f>IF($J675="","",INDEX(명단표[연차],$J675)&amp;"")</f>
        <v/>
      </c>
      <c r="F675">
        <f>IF($J675="","",INDEX(명단표[소속병원],$J675))</f>
        <v/>
      </c>
      <c r="G675">
        <f>IF($J675="","",INDEX(명단표[기준월 근무병원],$J675))</f>
        <v/>
      </c>
      <c r="H675">
        <f>IF($J675="","",INDEX(명단표[급여지급병원(기준월)],$J675))</f>
        <v/>
      </c>
      <c r="I675">
        <f>IF($J675="","",INDEX(명단표[급여 판정 근거],$J675))</f>
        <v/>
      </c>
      <c r="J675" s="17">
        <f>IFERROR(MATCH(671,명단표[명단순번],0),"")</f>
        <v/>
      </c>
    </row>
    <row r="676">
      <c r="A676">
        <f>IF($J676="","",TEXT(급여기준월,"yyyy-mm"))</f>
        <v/>
      </c>
      <c r="B676">
        <f>IF($J676="","",INDEX(명단표[사번],$J676)&amp;"")</f>
        <v/>
      </c>
      <c r="C676">
        <f>IF($J676="","",INDEX(명단표[이름],$J676))</f>
        <v/>
      </c>
      <c r="D676">
        <f>IF($J676="","",INDEX(명단표[수련과목],$J676))</f>
        <v/>
      </c>
      <c r="E676">
        <f>IF($J676="","",INDEX(명단표[연차],$J676)&amp;"")</f>
        <v/>
      </c>
      <c r="F676">
        <f>IF($J676="","",INDEX(명단표[소속병원],$J676))</f>
        <v/>
      </c>
      <c r="G676">
        <f>IF($J676="","",INDEX(명단표[기준월 근무병원],$J676))</f>
        <v/>
      </c>
      <c r="H676">
        <f>IF($J676="","",INDEX(명단표[급여지급병원(기준월)],$J676))</f>
        <v/>
      </c>
      <c r="I676">
        <f>IF($J676="","",INDEX(명단표[급여 판정 근거],$J676))</f>
        <v/>
      </c>
      <c r="J676" s="17">
        <f>IFERROR(MATCH(672,명단표[명단순번],0),"")</f>
        <v/>
      </c>
    </row>
    <row r="677">
      <c r="A677">
        <f>IF($J677="","",TEXT(급여기준월,"yyyy-mm"))</f>
        <v/>
      </c>
      <c r="B677">
        <f>IF($J677="","",INDEX(명단표[사번],$J677)&amp;"")</f>
        <v/>
      </c>
      <c r="C677">
        <f>IF($J677="","",INDEX(명단표[이름],$J677))</f>
        <v/>
      </c>
      <c r="D677">
        <f>IF($J677="","",INDEX(명단표[수련과목],$J677))</f>
        <v/>
      </c>
      <c r="E677">
        <f>IF($J677="","",INDEX(명단표[연차],$J677)&amp;"")</f>
        <v/>
      </c>
      <c r="F677">
        <f>IF($J677="","",INDEX(명단표[소속병원],$J677))</f>
        <v/>
      </c>
      <c r="G677">
        <f>IF($J677="","",INDEX(명단표[기준월 근무병원],$J677))</f>
        <v/>
      </c>
      <c r="H677">
        <f>IF($J677="","",INDEX(명단표[급여지급병원(기준월)],$J677))</f>
        <v/>
      </c>
      <c r="I677">
        <f>IF($J677="","",INDEX(명단표[급여 판정 근거],$J677))</f>
        <v/>
      </c>
      <c r="J677" s="17">
        <f>IFERROR(MATCH(673,명단표[명단순번],0),"")</f>
        <v/>
      </c>
    </row>
    <row r="678">
      <c r="A678">
        <f>IF($J678="","",TEXT(급여기준월,"yyyy-mm"))</f>
        <v/>
      </c>
      <c r="B678">
        <f>IF($J678="","",INDEX(명단표[사번],$J678)&amp;"")</f>
        <v/>
      </c>
      <c r="C678">
        <f>IF($J678="","",INDEX(명단표[이름],$J678))</f>
        <v/>
      </c>
      <c r="D678">
        <f>IF($J678="","",INDEX(명단표[수련과목],$J678))</f>
        <v/>
      </c>
      <c r="E678">
        <f>IF($J678="","",INDEX(명단표[연차],$J678)&amp;"")</f>
        <v/>
      </c>
      <c r="F678">
        <f>IF($J678="","",INDEX(명단표[소속병원],$J678))</f>
        <v/>
      </c>
      <c r="G678">
        <f>IF($J678="","",INDEX(명단표[기준월 근무병원],$J678))</f>
        <v/>
      </c>
      <c r="H678">
        <f>IF($J678="","",INDEX(명단표[급여지급병원(기준월)],$J678))</f>
        <v/>
      </c>
      <c r="I678">
        <f>IF($J678="","",INDEX(명단표[급여 판정 근거],$J678))</f>
        <v/>
      </c>
      <c r="J678" s="17">
        <f>IFERROR(MATCH(674,명단표[명단순번],0),"")</f>
        <v/>
      </c>
    </row>
    <row r="679">
      <c r="A679">
        <f>IF($J679="","",TEXT(급여기준월,"yyyy-mm"))</f>
        <v/>
      </c>
      <c r="B679">
        <f>IF($J679="","",INDEX(명단표[사번],$J679)&amp;"")</f>
        <v/>
      </c>
      <c r="C679">
        <f>IF($J679="","",INDEX(명단표[이름],$J679))</f>
        <v/>
      </c>
      <c r="D679">
        <f>IF($J679="","",INDEX(명단표[수련과목],$J679))</f>
        <v/>
      </c>
      <c r="E679">
        <f>IF($J679="","",INDEX(명단표[연차],$J679)&amp;"")</f>
        <v/>
      </c>
      <c r="F679">
        <f>IF($J679="","",INDEX(명단표[소속병원],$J679))</f>
        <v/>
      </c>
      <c r="G679">
        <f>IF($J679="","",INDEX(명단표[기준월 근무병원],$J679))</f>
        <v/>
      </c>
      <c r="H679">
        <f>IF($J679="","",INDEX(명단표[급여지급병원(기준월)],$J679))</f>
        <v/>
      </c>
      <c r="I679">
        <f>IF($J679="","",INDEX(명단표[급여 판정 근거],$J679))</f>
        <v/>
      </c>
      <c r="J679" s="17">
        <f>IFERROR(MATCH(675,명단표[명단순번],0),"")</f>
        <v/>
      </c>
    </row>
    <row r="680">
      <c r="A680">
        <f>IF($J680="","",TEXT(급여기준월,"yyyy-mm"))</f>
        <v/>
      </c>
      <c r="B680">
        <f>IF($J680="","",INDEX(명단표[사번],$J680)&amp;"")</f>
        <v/>
      </c>
      <c r="C680">
        <f>IF($J680="","",INDEX(명단표[이름],$J680))</f>
        <v/>
      </c>
      <c r="D680">
        <f>IF($J680="","",INDEX(명단표[수련과목],$J680))</f>
        <v/>
      </c>
      <c r="E680">
        <f>IF($J680="","",INDEX(명단표[연차],$J680)&amp;"")</f>
        <v/>
      </c>
      <c r="F680">
        <f>IF($J680="","",INDEX(명단표[소속병원],$J680))</f>
        <v/>
      </c>
      <c r="G680">
        <f>IF($J680="","",INDEX(명단표[기준월 근무병원],$J680))</f>
        <v/>
      </c>
      <c r="H680">
        <f>IF($J680="","",INDEX(명단표[급여지급병원(기준월)],$J680))</f>
        <v/>
      </c>
      <c r="I680">
        <f>IF($J680="","",INDEX(명단표[급여 판정 근거],$J680))</f>
        <v/>
      </c>
      <c r="J680" s="17">
        <f>IFERROR(MATCH(676,명단표[명단순번],0),"")</f>
        <v/>
      </c>
    </row>
    <row r="681">
      <c r="A681">
        <f>IF($J681="","",TEXT(급여기준월,"yyyy-mm"))</f>
        <v/>
      </c>
      <c r="B681">
        <f>IF($J681="","",INDEX(명단표[사번],$J681)&amp;"")</f>
        <v/>
      </c>
      <c r="C681">
        <f>IF($J681="","",INDEX(명단표[이름],$J681))</f>
        <v/>
      </c>
      <c r="D681">
        <f>IF($J681="","",INDEX(명단표[수련과목],$J681))</f>
        <v/>
      </c>
      <c r="E681">
        <f>IF($J681="","",INDEX(명단표[연차],$J681)&amp;"")</f>
        <v/>
      </c>
      <c r="F681">
        <f>IF($J681="","",INDEX(명단표[소속병원],$J681))</f>
        <v/>
      </c>
      <c r="G681">
        <f>IF($J681="","",INDEX(명단표[기준월 근무병원],$J681))</f>
        <v/>
      </c>
      <c r="H681">
        <f>IF($J681="","",INDEX(명단표[급여지급병원(기준월)],$J681))</f>
        <v/>
      </c>
      <c r="I681">
        <f>IF($J681="","",INDEX(명단표[급여 판정 근거],$J681))</f>
        <v/>
      </c>
      <c r="J681" s="17">
        <f>IFERROR(MATCH(677,명단표[명단순번],0),"")</f>
        <v/>
      </c>
    </row>
    <row r="682">
      <c r="A682">
        <f>IF($J682="","",TEXT(급여기준월,"yyyy-mm"))</f>
        <v/>
      </c>
      <c r="B682">
        <f>IF($J682="","",INDEX(명단표[사번],$J682)&amp;"")</f>
        <v/>
      </c>
      <c r="C682">
        <f>IF($J682="","",INDEX(명단표[이름],$J682))</f>
        <v/>
      </c>
      <c r="D682">
        <f>IF($J682="","",INDEX(명단표[수련과목],$J682))</f>
        <v/>
      </c>
      <c r="E682">
        <f>IF($J682="","",INDEX(명단표[연차],$J682)&amp;"")</f>
        <v/>
      </c>
      <c r="F682">
        <f>IF($J682="","",INDEX(명단표[소속병원],$J682))</f>
        <v/>
      </c>
      <c r="G682">
        <f>IF($J682="","",INDEX(명단표[기준월 근무병원],$J682))</f>
        <v/>
      </c>
      <c r="H682">
        <f>IF($J682="","",INDEX(명단표[급여지급병원(기준월)],$J682))</f>
        <v/>
      </c>
      <c r="I682">
        <f>IF($J682="","",INDEX(명단표[급여 판정 근거],$J682))</f>
        <v/>
      </c>
      <c r="J682" s="17">
        <f>IFERROR(MATCH(678,명단표[명단순번],0),"")</f>
        <v/>
      </c>
    </row>
    <row r="683">
      <c r="A683">
        <f>IF($J683="","",TEXT(급여기준월,"yyyy-mm"))</f>
        <v/>
      </c>
      <c r="B683">
        <f>IF($J683="","",INDEX(명단표[사번],$J683)&amp;"")</f>
        <v/>
      </c>
      <c r="C683">
        <f>IF($J683="","",INDEX(명단표[이름],$J683))</f>
        <v/>
      </c>
      <c r="D683">
        <f>IF($J683="","",INDEX(명단표[수련과목],$J683))</f>
        <v/>
      </c>
      <c r="E683">
        <f>IF($J683="","",INDEX(명단표[연차],$J683)&amp;"")</f>
        <v/>
      </c>
      <c r="F683">
        <f>IF($J683="","",INDEX(명단표[소속병원],$J683))</f>
        <v/>
      </c>
      <c r="G683">
        <f>IF($J683="","",INDEX(명단표[기준월 근무병원],$J683))</f>
        <v/>
      </c>
      <c r="H683">
        <f>IF($J683="","",INDEX(명단표[급여지급병원(기준월)],$J683))</f>
        <v/>
      </c>
      <c r="I683">
        <f>IF($J683="","",INDEX(명단표[급여 판정 근거],$J683))</f>
        <v/>
      </c>
      <c r="J683" s="17">
        <f>IFERROR(MATCH(679,명단표[명단순번],0),"")</f>
        <v/>
      </c>
    </row>
    <row r="684">
      <c r="A684">
        <f>IF($J684="","",TEXT(급여기준월,"yyyy-mm"))</f>
        <v/>
      </c>
      <c r="B684">
        <f>IF($J684="","",INDEX(명단표[사번],$J684)&amp;"")</f>
        <v/>
      </c>
      <c r="C684">
        <f>IF($J684="","",INDEX(명단표[이름],$J684))</f>
        <v/>
      </c>
      <c r="D684">
        <f>IF($J684="","",INDEX(명단표[수련과목],$J684))</f>
        <v/>
      </c>
      <c r="E684">
        <f>IF($J684="","",INDEX(명단표[연차],$J684)&amp;"")</f>
        <v/>
      </c>
      <c r="F684">
        <f>IF($J684="","",INDEX(명단표[소속병원],$J684))</f>
        <v/>
      </c>
      <c r="G684">
        <f>IF($J684="","",INDEX(명단표[기준월 근무병원],$J684))</f>
        <v/>
      </c>
      <c r="H684">
        <f>IF($J684="","",INDEX(명단표[급여지급병원(기준월)],$J684))</f>
        <v/>
      </c>
      <c r="I684">
        <f>IF($J684="","",INDEX(명단표[급여 판정 근거],$J684))</f>
        <v/>
      </c>
      <c r="J684" s="17">
        <f>IFERROR(MATCH(680,명단표[명단순번],0),"")</f>
        <v/>
      </c>
    </row>
    <row r="685">
      <c r="A685">
        <f>IF($J685="","",TEXT(급여기준월,"yyyy-mm"))</f>
        <v/>
      </c>
      <c r="B685">
        <f>IF($J685="","",INDEX(명단표[사번],$J685)&amp;"")</f>
        <v/>
      </c>
      <c r="C685">
        <f>IF($J685="","",INDEX(명단표[이름],$J685))</f>
        <v/>
      </c>
      <c r="D685">
        <f>IF($J685="","",INDEX(명단표[수련과목],$J685))</f>
        <v/>
      </c>
      <c r="E685">
        <f>IF($J685="","",INDEX(명단표[연차],$J685)&amp;"")</f>
        <v/>
      </c>
      <c r="F685">
        <f>IF($J685="","",INDEX(명단표[소속병원],$J685))</f>
        <v/>
      </c>
      <c r="G685">
        <f>IF($J685="","",INDEX(명단표[기준월 근무병원],$J685))</f>
        <v/>
      </c>
      <c r="H685">
        <f>IF($J685="","",INDEX(명단표[급여지급병원(기준월)],$J685))</f>
        <v/>
      </c>
      <c r="I685">
        <f>IF($J685="","",INDEX(명단표[급여 판정 근거],$J685))</f>
        <v/>
      </c>
      <c r="J685" s="17">
        <f>IFERROR(MATCH(681,명단표[명단순번],0),"")</f>
        <v/>
      </c>
    </row>
    <row r="686">
      <c r="A686">
        <f>IF($J686="","",TEXT(급여기준월,"yyyy-mm"))</f>
        <v/>
      </c>
      <c r="B686">
        <f>IF($J686="","",INDEX(명단표[사번],$J686)&amp;"")</f>
        <v/>
      </c>
      <c r="C686">
        <f>IF($J686="","",INDEX(명단표[이름],$J686))</f>
        <v/>
      </c>
      <c r="D686">
        <f>IF($J686="","",INDEX(명단표[수련과목],$J686))</f>
        <v/>
      </c>
      <c r="E686">
        <f>IF($J686="","",INDEX(명단표[연차],$J686)&amp;"")</f>
        <v/>
      </c>
      <c r="F686">
        <f>IF($J686="","",INDEX(명단표[소속병원],$J686))</f>
        <v/>
      </c>
      <c r="G686">
        <f>IF($J686="","",INDEX(명단표[기준월 근무병원],$J686))</f>
        <v/>
      </c>
      <c r="H686">
        <f>IF($J686="","",INDEX(명단표[급여지급병원(기준월)],$J686))</f>
        <v/>
      </c>
      <c r="I686">
        <f>IF($J686="","",INDEX(명단표[급여 판정 근거],$J686))</f>
        <v/>
      </c>
      <c r="J686" s="17">
        <f>IFERROR(MATCH(682,명단표[명단순번],0),"")</f>
        <v/>
      </c>
    </row>
    <row r="687">
      <c r="A687">
        <f>IF($J687="","",TEXT(급여기준월,"yyyy-mm"))</f>
        <v/>
      </c>
      <c r="B687">
        <f>IF($J687="","",INDEX(명단표[사번],$J687)&amp;"")</f>
        <v/>
      </c>
      <c r="C687">
        <f>IF($J687="","",INDEX(명단표[이름],$J687))</f>
        <v/>
      </c>
      <c r="D687">
        <f>IF($J687="","",INDEX(명단표[수련과목],$J687))</f>
        <v/>
      </c>
      <c r="E687">
        <f>IF($J687="","",INDEX(명단표[연차],$J687)&amp;"")</f>
        <v/>
      </c>
      <c r="F687">
        <f>IF($J687="","",INDEX(명단표[소속병원],$J687))</f>
        <v/>
      </c>
      <c r="G687">
        <f>IF($J687="","",INDEX(명단표[기준월 근무병원],$J687))</f>
        <v/>
      </c>
      <c r="H687">
        <f>IF($J687="","",INDEX(명단표[급여지급병원(기준월)],$J687))</f>
        <v/>
      </c>
      <c r="I687">
        <f>IF($J687="","",INDEX(명단표[급여 판정 근거],$J687))</f>
        <v/>
      </c>
      <c r="J687" s="17">
        <f>IFERROR(MATCH(683,명단표[명단순번],0),"")</f>
        <v/>
      </c>
    </row>
    <row r="688">
      <c r="A688">
        <f>IF($J688="","",TEXT(급여기준월,"yyyy-mm"))</f>
        <v/>
      </c>
      <c r="B688">
        <f>IF($J688="","",INDEX(명단표[사번],$J688)&amp;"")</f>
        <v/>
      </c>
      <c r="C688">
        <f>IF($J688="","",INDEX(명단표[이름],$J688))</f>
        <v/>
      </c>
      <c r="D688">
        <f>IF($J688="","",INDEX(명단표[수련과목],$J688))</f>
        <v/>
      </c>
      <c r="E688">
        <f>IF($J688="","",INDEX(명단표[연차],$J688)&amp;"")</f>
        <v/>
      </c>
      <c r="F688">
        <f>IF($J688="","",INDEX(명단표[소속병원],$J688))</f>
        <v/>
      </c>
      <c r="G688">
        <f>IF($J688="","",INDEX(명단표[기준월 근무병원],$J688))</f>
        <v/>
      </c>
      <c r="H688">
        <f>IF($J688="","",INDEX(명단표[급여지급병원(기준월)],$J688))</f>
        <v/>
      </c>
      <c r="I688">
        <f>IF($J688="","",INDEX(명단표[급여 판정 근거],$J688))</f>
        <v/>
      </c>
      <c r="J688" s="17">
        <f>IFERROR(MATCH(684,명단표[명단순번],0),"")</f>
        <v/>
      </c>
    </row>
    <row r="689">
      <c r="A689">
        <f>IF($J689="","",TEXT(급여기준월,"yyyy-mm"))</f>
        <v/>
      </c>
      <c r="B689">
        <f>IF($J689="","",INDEX(명단표[사번],$J689)&amp;"")</f>
        <v/>
      </c>
      <c r="C689">
        <f>IF($J689="","",INDEX(명단표[이름],$J689))</f>
        <v/>
      </c>
      <c r="D689">
        <f>IF($J689="","",INDEX(명단표[수련과목],$J689))</f>
        <v/>
      </c>
      <c r="E689">
        <f>IF($J689="","",INDEX(명단표[연차],$J689)&amp;"")</f>
        <v/>
      </c>
      <c r="F689">
        <f>IF($J689="","",INDEX(명단표[소속병원],$J689))</f>
        <v/>
      </c>
      <c r="G689">
        <f>IF($J689="","",INDEX(명단표[기준월 근무병원],$J689))</f>
        <v/>
      </c>
      <c r="H689">
        <f>IF($J689="","",INDEX(명단표[급여지급병원(기준월)],$J689))</f>
        <v/>
      </c>
      <c r="I689">
        <f>IF($J689="","",INDEX(명단표[급여 판정 근거],$J689))</f>
        <v/>
      </c>
      <c r="J689" s="17">
        <f>IFERROR(MATCH(685,명단표[명단순번],0),"")</f>
        <v/>
      </c>
    </row>
    <row r="690">
      <c r="A690">
        <f>IF($J690="","",TEXT(급여기준월,"yyyy-mm"))</f>
        <v/>
      </c>
      <c r="B690">
        <f>IF($J690="","",INDEX(명단표[사번],$J690)&amp;"")</f>
        <v/>
      </c>
      <c r="C690">
        <f>IF($J690="","",INDEX(명단표[이름],$J690))</f>
        <v/>
      </c>
      <c r="D690">
        <f>IF($J690="","",INDEX(명단표[수련과목],$J690))</f>
        <v/>
      </c>
      <c r="E690">
        <f>IF($J690="","",INDEX(명단표[연차],$J690)&amp;"")</f>
        <v/>
      </c>
      <c r="F690">
        <f>IF($J690="","",INDEX(명단표[소속병원],$J690))</f>
        <v/>
      </c>
      <c r="G690">
        <f>IF($J690="","",INDEX(명단표[기준월 근무병원],$J690))</f>
        <v/>
      </c>
      <c r="H690">
        <f>IF($J690="","",INDEX(명단표[급여지급병원(기준월)],$J690))</f>
        <v/>
      </c>
      <c r="I690">
        <f>IF($J690="","",INDEX(명단표[급여 판정 근거],$J690))</f>
        <v/>
      </c>
      <c r="J690" s="17">
        <f>IFERROR(MATCH(686,명단표[명단순번],0),"")</f>
        <v/>
      </c>
    </row>
    <row r="691">
      <c r="A691">
        <f>IF($J691="","",TEXT(급여기준월,"yyyy-mm"))</f>
        <v/>
      </c>
      <c r="B691">
        <f>IF($J691="","",INDEX(명단표[사번],$J691)&amp;"")</f>
        <v/>
      </c>
      <c r="C691">
        <f>IF($J691="","",INDEX(명단표[이름],$J691))</f>
        <v/>
      </c>
      <c r="D691">
        <f>IF($J691="","",INDEX(명단표[수련과목],$J691))</f>
        <v/>
      </c>
      <c r="E691">
        <f>IF($J691="","",INDEX(명단표[연차],$J691)&amp;"")</f>
        <v/>
      </c>
      <c r="F691">
        <f>IF($J691="","",INDEX(명단표[소속병원],$J691))</f>
        <v/>
      </c>
      <c r="G691">
        <f>IF($J691="","",INDEX(명단표[기준월 근무병원],$J691))</f>
        <v/>
      </c>
      <c r="H691">
        <f>IF($J691="","",INDEX(명단표[급여지급병원(기준월)],$J691))</f>
        <v/>
      </c>
      <c r="I691">
        <f>IF($J691="","",INDEX(명단표[급여 판정 근거],$J691))</f>
        <v/>
      </c>
      <c r="J691" s="17">
        <f>IFERROR(MATCH(687,명단표[명단순번],0),"")</f>
        <v/>
      </c>
    </row>
    <row r="692">
      <c r="A692">
        <f>IF($J692="","",TEXT(급여기준월,"yyyy-mm"))</f>
        <v/>
      </c>
      <c r="B692">
        <f>IF($J692="","",INDEX(명단표[사번],$J692)&amp;"")</f>
        <v/>
      </c>
      <c r="C692">
        <f>IF($J692="","",INDEX(명단표[이름],$J692))</f>
        <v/>
      </c>
      <c r="D692">
        <f>IF($J692="","",INDEX(명단표[수련과목],$J692))</f>
        <v/>
      </c>
      <c r="E692">
        <f>IF($J692="","",INDEX(명단표[연차],$J692)&amp;"")</f>
        <v/>
      </c>
      <c r="F692">
        <f>IF($J692="","",INDEX(명단표[소속병원],$J692))</f>
        <v/>
      </c>
      <c r="G692">
        <f>IF($J692="","",INDEX(명단표[기준월 근무병원],$J692))</f>
        <v/>
      </c>
      <c r="H692">
        <f>IF($J692="","",INDEX(명단표[급여지급병원(기준월)],$J692))</f>
        <v/>
      </c>
      <c r="I692">
        <f>IF($J692="","",INDEX(명단표[급여 판정 근거],$J692))</f>
        <v/>
      </c>
      <c r="J692" s="17">
        <f>IFERROR(MATCH(688,명단표[명단순번],0),"")</f>
        <v/>
      </c>
    </row>
    <row r="693">
      <c r="A693">
        <f>IF($J693="","",TEXT(급여기준월,"yyyy-mm"))</f>
        <v/>
      </c>
      <c r="B693">
        <f>IF($J693="","",INDEX(명단표[사번],$J693)&amp;"")</f>
        <v/>
      </c>
      <c r="C693">
        <f>IF($J693="","",INDEX(명단표[이름],$J693))</f>
        <v/>
      </c>
      <c r="D693">
        <f>IF($J693="","",INDEX(명단표[수련과목],$J693))</f>
        <v/>
      </c>
      <c r="E693">
        <f>IF($J693="","",INDEX(명단표[연차],$J693)&amp;"")</f>
        <v/>
      </c>
      <c r="F693">
        <f>IF($J693="","",INDEX(명단표[소속병원],$J693))</f>
        <v/>
      </c>
      <c r="G693">
        <f>IF($J693="","",INDEX(명단표[기준월 근무병원],$J693))</f>
        <v/>
      </c>
      <c r="H693">
        <f>IF($J693="","",INDEX(명단표[급여지급병원(기준월)],$J693))</f>
        <v/>
      </c>
      <c r="I693">
        <f>IF($J693="","",INDEX(명단표[급여 판정 근거],$J693))</f>
        <v/>
      </c>
      <c r="J693" s="17">
        <f>IFERROR(MATCH(689,명단표[명단순번],0),"")</f>
        <v/>
      </c>
    </row>
    <row r="694">
      <c r="A694">
        <f>IF($J694="","",TEXT(급여기준월,"yyyy-mm"))</f>
        <v/>
      </c>
      <c r="B694">
        <f>IF($J694="","",INDEX(명단표[사번],$J694)&amp;"")</f>
        <v/>
      </c>
      <c r="C694">
        <f>IF($J694="","",INDEX(명단표[이름],$J694))</f>
        <v/>
      </c>
      <c r="D694">
        <f>IF($J694="","",INDEX(명단표[수련과목],$J694))</f>
        <v/>
      </c>
      <c r="E694">
        <f>IF($J694="","",INDEX(명단표[연차],$J694)&amp;"")</f>
        <v/>
      </c>
      <c r="F694">
        <f>IF($J694="","",INDEX(명단표[소속병원],$J694))</f>
        <v/>
      </c>
      <c r="G694">
        <f>IF($J694="","",INDEX(명단표[기준월 근무병원],$J694))</f>
        <v/>
      </c>
      <c r="H694">
        <f>IF($J694="","",INDEX(명단표[급여지급병원(기준월)],$J694))</f>
        <v/>
      </c>
      <c r="I694">
        <f>IF($J694="","",INDEX(명단표[급여 판정 근거],$J694))</f>
        <v/>
      </c>
      <c r="J694" s="17">
        <f>IFERROR(MATCH(690,명단표[명단순번],0),"")</f>
        <v/>
      </c>
    </row>
    <row r="695">
      <c r="A695">
        <f>IF($J695="","",TEXT(급여기준월,"yyyy-mm"))</f>
        <v/>
      </c>
      <c r="B695">
        <f>IF($J695="","",INDEX(명단표[사번],$J695)&amp;"")</f>
        <v/>
      </c>
      <c r="C695">
        <f>IF($J695="","",INDEX(명단표[이름],$J695))</f>
        <v/>
      </c>
      <c r="D695">
        <f>IF($J695="","",INDEX(명단표[수련과목],$J695))</f>
        <v/>
      </c>
      <c r="E695">
        <f>IF($J695="","",INDEX(명단표[연차],$J695)&amp;"")</f>
        <v/>
      </c>
      <c r="F695">
        <f>IF($J695="","",INDEX(명단표[소속병원],$J695))</f>
        <v/>
      </c>
      <c r="G695">
        <f>IF($J695="","",INDEX(명단표[기준월 근무병원],$J695))</f>
        <v/>
      </c>
      <c r="H695">
        <f>IF($J695="","",INDEX(명단표[급여지급병원(기준월)],$J695))</f>
        <v/>
      </c>
      <c r="I695">
        <f>IF($J695="","",INDEX(명단표[급여 판정 근거],$J695))</f>
        <v/>
      </c>
      <c r="J695" s="17">
        <f>IFERROR(MATCH(691,명단표[명단순번],0),"")</f>
        <v/>
      </c>
    </row>
    <row r="696">
      <c r="A696">
        <f>IF($J696="","",TEXT(급여기준월,"yyyy-mm"))</f>
        <v/>
      </c>
      <c r="B696">
        <f>IF($J696="","",INDEX(명단표[사번],$J696)&amp;"")</f>
        <v/>
      </c>
      <c r="C696">
        <f>IF($J696="","",INDEX(명단표[이름],$J696))</f>
        <v/>
      </c>
      <c r="D696">
        <f>IF($J696="","",INDEX(명단표[수련과목],$J696))</f>
        <v/>
      </c>
      <c r="E696">
        <f>IF($J696="","",INDEX(명단표[연차],$J696)&amp;"")</f>
        <v/>
      </c>
      <c r="F696">
        <f>IF($J696="","",INDEX(명단표[소속병원],$J696))</f>
        <v/>
      </c>
      <c r="G696">
        <f>IF($J696="","",INDEX(명단표[기준월 근무병원],$J696))</f>
        <v/>
      </c>
      <c r="H696">
        <f>IF($J696="","",INDEX(명단표[급여지급병원(기준월)],$J696))</f>
        <v/>
      </c>
      <c r="I696">
        <f>IF($J696="","",INDEX(명단표[급여 판정 근거],$J696))</f>
        <v/>
      </c>
      <c r="J696" s="17">
        <f>IFERROR(MATCH(692,명단표[명단순번],0),"")</f>
        <v/>
      </c>
    </row>
    <row r="697">
      <c r="A697">
        <f>IF($J697="","",TEXT(급여기준월,"yyyy-mm"))</f>
        <v/>
      </c>
      <c r="B697">
        <f>IF($J697="","",INDEX(명단표[사번],$J697)&amp;"")</f>
        <v/>
      </c>
      <c r="C697">
        <f>IF($J697="","",INDEX(명단표[이름],$J697))</f>
        <v/>
      </c>
      <c r="D697">
        <f>IF($J697="","",INDEX(명단표[수련과목],$J697))</f>
        <v/>
      </c>
      <c r="E697">
        <f>IF($J697="","",INDEX(명단표[연차],$J697)&amp;"")</f>
        <v/>
      </c>
      <c r="F697">
        <f>IF($J697="","",INDEX(명단표[소속병원],$J697))</f>
        <v/>
      </c>
      <c r="G697">
        <f>IF($J697="","",INDEX(명단표[기준월 근무병원],$J697))</f>
        <v/>
      </c>
      <c r="H697">
        <f>IF($J697="","",INDEX(명단표[급여지급병원(기준월)],$J697))</f>
        <v/>
      </c>
      <c r="I697">
        <f>IF($J697="","",INDEX(명단표[급여 판정 근거],$J697))</f>
        <v/>
      </c>
      <c r="J697" s="17">
        <f>IFERROR(MATCH(693,명단표[명단순번],0),"")</f>
        <v/>
      </c>
    </row>
    <row r="698">
      <c r="A698">
        <f>IF($J698="","",TEXT(급여기준월,"yyyy-mm"))</f>
        <v/>
      </c>
      <c r="B698">
        <f>IF($J698="","",INDEX(명단표[사번],$J698)&amp;"")</f>
        <v/>
      </c>
      <c r="C698">
        <f>IF($J698="","",INDEX(명단표[이름],$J698))</f>
        <v/>
      </c>
      <c r="D698">
        <f>IF($J698="","",INDEX(명단표[수련과목],$J698))</f>
        <v/>
      </c>
      <c r="E698">
        <f>IF($J698="","",INDEX(명단표[연차],$J698)&amp;"")</f>
        <v/>
      </c>
      <c r="F698">
        <f>IF($J698="","",INDEX(명단표[소속병원],$J698))</f>
        <v/>
      </c>
      <c r="G698">
        <f>IF($J698="","",INDEX(명단표[기준월 근무병원],$J698))</f>
        <v/>
      </c>
      <c r="H698">
        <f>IF($J698="","",INDEX(명단표[급여지급병원(기준월)],$J698))</f>
        <v/>
      </c>
      <c r="I698">
        <f>IF($J698="","",INDEX(명단표[급여 판정 근거],$J698))</f>
        <v/>
      </c>
      <c r="J698" s="17">
        <f>IFERROR(MATCH(694,명단표[명단순번],0),"")</f>
        <v/>
      </c>
    </row>
    <row r="699">
      <c r="A699">
        <f>IF($J699="","",TEXT(급여기준월,"yyyy-mm"))</f>
        <v/>
      </c>
      <c r="B699">
        <f>IF($J699="","",INDEX(명단표[사번],$J699)&amp;"")</f>
        <v/>
      </c>
      <c r="C699">
        <f>IF($J699="","",INDEX(명단표[이름],$J699))</f>
        <v/>
      </c>
      <c r="D699">
        <f>IF($J699="","",INDEX(명단표[수련과목],$J699))</f>
        <v/>
      </c>
      <c r="E699">
        <f>IF($J699="","",INDEX(명단표[연차],$J699)&amp;"")</f>
        <v/>
      </c>
      <c r="F699">
        <f>IF($J699="","",INDEX(명단표[소속병원],$J699))</f>
        <v/>
      </c>
      <c r="G699">
        <f>IF($J699="","",INDEX(명단표[기준월 근무병원],$J699))</f>
        <v/>
      </c>
      <c r="H699">
        <f>IF($J699="","",INDEX(명단표[급여지급병원(기준월)],$J699))</f>
        <v/>
      </c>
      <c r="I699">
        <f>IF($J699="","",INDEX(명단표[급여 판정 근거],$J699))</f>
        <v/>
      </c>
      <c r="J699" s="17">
        <f>IFERROR(MATCH(695,명단표[명단순번],0),"")</f>
        <v/>
      </c>
    </row>
    <row r="700">
      <c r="A700">
        <f>IF($J700="","",TEXT(급여기준월,"yyyy-mm"))</f>
        <v/>
      </c>
      <c r="B700">
        <f>IF($J700="","",INDEX(명단표[사번],$J700)&amp;"")</f>
        <v/>
      </c>
      <c r="C700">
        <f>IF($J700="","",INDEX(명단표[이름],$J700))</f>
        <v/>
      </c>
      <c r="D700">
        <f>IF($J700="","",INDEX(명단표[수련과목],$J700))</f>
        <v/>
      </c>
      <c r="E700">
        <f>IF($J700="","",INDEX(명단표[연차],$J700)&amp;"")</f>
        <v/>
      </c>
      <c r="F700">
        <f>IF($J700="","",INDEX(명단표[소속병원],$J700))</f>
        <v/>
      </c>
      <c r="G700">
        <f>IF($J700="","",INDEX(명단표[기준월 근무병원],$J700))</f>
        <v/>
      </c>
      <c r="H700">
        <f>IF($J700="","",INDEX(명단표[급여지급병원(기준월)],$J700))</f>
        <v/>
      </c>
      <c r="I700">
        <f>IF($J700="","",INDEX(명단표[급여 판정 근거],$J700))</f>
        <v/>
      </c>
      <c r="J700" s="17">
        <f>IFERROR(MATCH(696,명단표[명단순번],0),"")</f>
        <v/>
      </c>
    </row>
    <row r="701">
      <c r="A701">
        <f>IF($J701="","",TEXT(급여기준월,"yyyy-mm"))</f>
        <v/>
      </c>
      <c r="B701">
        <f>IF($J701="","",INDEX(명단표[사번],$J701)&amp;"")</f>
        <v/>
      </c>
      <c r="C701">
        <f>IF($J701="","",INDEX(명단표[이름],$J701))</f>
        <v/>
      </c>
      <c r="D701">
        <f>IF($J701="","",INDEX(명단표[수련과목],$J701))</f>
        <v/>
      </c>
      <c r="E701">
        <f>IF($J701="","",INDEX(명단표[연차],$J701)&amp;"")</f>
        <v/>
      </c>
      <c r="F701">
        <f>IF($J701="","",INDEX(명단표[소속병원],$J701))</f>
        <v/>
      </c>
      <c r="G701">
        <f>IF($J701="","",INDEX(명단표[기준월 근무병원],$J701))</f>
        <v/>
      </c>
      <c r="H701">
        <f>IF($J701="","",INDEX(명단표[급여지급병원(기준월)],$J701))</f>
        <v/>
      </c>
      <c r="I701">
        <f>IF($J701="","",INDEX(명단표[급여 판정 근거],$J701))</f>
        <v/>
      </c>
      <c r="J701" s="17">
        <f>IFERROR(MATCH(697,명단표[명단순번],0),"")</f>
        <v/>
      </c>
    </row>
    <row r="702">
      <c r="A702">
        <f>IF($J702="","",TEXT(급여기준월,"yyyy-mm"))</f>
        <v/>
      </c>
      <c r="B702">
        <f>IF($J702="","",INDEX(명단표[사번],$J702)&amp;"")</f>
        <v/>
      </c>
      <c r="C702">
        <f>IF($J702="","",INDEX(명단표[이름],$J702))</f>
        <v/>
      </c>
      <c r="D702">
        <f>IF($J702="","",INDEX(명단표[수련과목],$J702))</f>
        <v/>
      </c>
      <c r="E702">
        <f>IF($J702="","",INDEX(명단표[연차],$J702)&amp;"")</f>
        <v/>
      </c>
      <c r="F702">
        <f>IF($J702="","",INDEX(명단표[소속병원],$J702))</f>
        <v/>
      </c>
      <c r="G702">
        <f>IF($J702="","",INDEX(명단표[기준월 근무병원],$J702))</f>
        <v/>
      </c>
      <c r="H702">
        <f>IF($J702="","",INDEX(명단표[급여지급병원(기준월)],$J702))</f>
        <v/>
      </c>
      <c r="I702">
        <f>IF($J702="","",INDEX(명단표[급여 판정 근거],$J702))</f>
        <v/>
      </c>
      <c r="J702" s="17">
        <f>IFERROR(MATCH(698,명단표[명단순번],0),"")</f>
        <v/>
      </c>
    </row>
    <row r="703">
      <c r="A703">
        <f>IF($J703="","",TEXT(급여기준월,"yyyy-mm"))</f>
        <v/>
      </c>
      <c r="B703">
        <f>IF($J703="","",INDEX(명단표[사번],$J703)&amp;"")</f>
        <v/>
      </c>
      <c r="C703">
        <f>IF($J703="","",INDEX(명단표[이름],$J703))</f>
        <v/>
      </c>
      <c r="D703">
        <f>IF($J703="","",INDEX(명단표[수련과목],$J703))</f>
        <v/>
      </c>
      <c r="E703">
        <f>IF($J703="","",INDEX(명단표[연차],$J703)&amp;"")</f>
        <v/>
      </c>
      <c r="F703">
        <f>IF($J703="","",INDEX(명단표[소속병원],$J703))</f>
        <v/>
      </c>
      <c r="G703">
        <f>IF($J703="","",INDEX(명단표[기준월 근무병원],$J703))</f>
        <v/>
      </c>
      <c r="H703">
        <f>IF($J703="","",INDEX(명단표[급여지급병원(기준월)],$J703))</f>
        <v/>
      </c>
      <c r="I703">
        <f>IF($J703="","",INDEX(명단표[급여 판정 근거],$J703))</f>
        <v/>
      </c>
      <c r="J703" s="17">
        <f>IFERROR(MATCH(699,명단표[명단순번],0),"")</f>
        <v/>
      </c>
    </row>
    <row r="704">
      <c r="A704">
        <f>IF($J704="","",TEXT(급여기준월,"yyyy-mm"))</f>
        <v/>
      </c>
      <c r="B704">
        <f>IF($J704="","",INDEX(명단표[사번],$J704)&amp;"")</f>
        <v/>
      </c>
      <c r="C704">
        <f>IF($J704="","",INDEX(명단표[이름],$J704))</f>
        <v/>
      </c>
      <c r="D704">
        <f>IF($J704="","",INDEX(명단표[수련과목],$J704))</f>
        <v/>
      </c>
      <c r="E704">
        <f>IF($J704="","",INDEX(명단표[연차],$J704)&amp;"")</f>
        <v/>
      </c>
      <c r="F704">
        <f>IF($J704="","",INDEX(명단표[소속병원],$J704))</f>
        <v/>
      </c>
      <c r="G704">
        <f>IF($J704="","",INDEX(명단표[기준월 근무병원],$J704))</f>
        <v/>
      </c>
      <c r="H704">
        <f>IF($J704="","",INDEX(명단표[급여지급병원(기준월)],$J704))</f>
        <v/>
      </c>
      <c r="I704">
        <f>IF($J704="","",INDEX(명단표[급여 판정 근거],$J704))</f>
        <v/>
      </c>
      <c r="J704" s="17">
        <f>IFERROR(MATCH(700,명단표[명단순번],0),"")</f>
        <v/>
      </c>
    </row>
    <row r="705">
      <c r="A705">
        <f>IF($J705="","",TEXT(급여기준월,"yyyy-mm"))</f>
        <v/>
      </c>
      <c r="B705">
        <f>IF($J705="","",INDEX(명단표[사번],$J705)&amp;"")</f>
        <v/>
      </c>
      <c r="C705">
        <f>IF($J705="","",INDEX(명단표[이름],$J705))</f>
        <v/>
      </c>
      <c r="D705">
        <f>IF($J705="","",INDEX(명단표[수련과목],$J705))</f>
        <v/>
      </c>
      <c r="E705">
        <f>IF($J705="","",INDEX(명단표[연차],$J705)&amp;"")</f>
        <v/>
      </c>
      <c r="F705">
        <f>IF($J705="","",INDEX(명단표[소속병원],$J705))</f>
        <v/>
      </c>
      <c r="G705">
        <f>IF($J705="","",INDEX(명단표[기준월 근무병원],$J705))</f>
        <v/>
      </c>
      <c r="H705">
        <f>IF($J705="","",INDEX(명단표[급여지급병원(기준월)],$J705))</f>
        <v/>
      </c>
      <c r="I705">
        <f>IF($J705="","",INDEX(명단표[급여 판정 근거],$J705))</f>
        <v/>
      </c>
      <c r="J705" s="17">
        <f>IFERROR(MATCH(701,명단표[명단순번],0),"")</f>
        <v/>
      </c>
    </row>
    <row r="706">
      <c r="A706">
        <f>IF($J706="","",TEXT(급여기준월,"yyyy-mm"))</f>
        <v/>
      </c>
      <c r="B706">
        <f>IF($J706="","",INDEX(명단표[사번],$J706)&amp;"")</f>
        <v/>
      </c>
      <c r="C706">
        <f>IF($J706="","",INDEX(명단표[이름],$J706))</f>
        <v/>
      </c>
      <c r="D706">
        <f>IF($J706="","",INDEX(명단표[수련과목],$J706))</f>
        <v/>
      </c>
      <c r="E706">
        <f>IF($J706="","",INDEX(명단표[연차],$J706)&amp;"")</f>
        <v/>
      </c>
      <c r="F706">
        <f>IF($J706="","",INDEX(명단표[소속병원],$J706))</f>
        <v/>
      </c>
      <c r="G706">
        <f>IF($J706="","",INDEX(명단표[기준월 근무병원],$J706))</f>
        <v/>
      </c>
      <c r="H706">
        <f>IF($J706="","",INDEX(명단표[급여지급병원(기준월)],$J706))</f>
        <v/>
      </c>
      <c r="I706">
        <f>IF($J706="","",INDEX(명단표[급여 판정 근거],$J706))</f>
        <v/>
      </c>
      <c r="J706" s="17">
        <f>IFERROR(MATCH(702,명단표[명단순번],0),"")</f>
        <v/>
      </c>
    </row>
    <row r="707">
      <c r="A707">
        <f>IF($J707="","",TEXT(급여기준월,"yyyy-mm"))</f>
        <v/>
      </c>
      <c r="B707">
        <f>IF($J707="","",INDEX(명단표[사번],$J707)&amp;"")</f>
        <v/>
      </c>
      <c r="C707">
        <f>IF($J707="","",INDEX(명단표[이름],$J707))</f>
        <v/>
      </c>
      <c r="D707">
        <f>IF($J707="","",INDEX(명단표[수련과목],$J707))</f>
        <v/>
      </c>
      <c r="E707">
        <f>IF($J707="","",INDEX(명단표[연차],$J707)&amp;"")</f>
        <v/>
      </c>
      <c r="F707">
        <f>IF($J707="","",INDEX(명단표[소속병원],$J707))</f>
        <v/>
      </c>
      <c r="G707">
        <f>IF($J707="","",INDEX(명단표[기준월 근무병원],$J707))</f>
        <v/>
      </c>
      <c r="H707">
        <f>IF($J707="","",INDEX(명단표[급여지급병원(기준월)],$J707))</f>
        <v/>
      </c>
      <c r="I707">
        <f>IF($J707="","",INDEX(명단표[급여 판정 근거],$J707))</f>
        <v/>
      </c>
      <c r="J707" s="17">
        <f>IFERROR(MATCH(703,명단표[명단순번],0),"")</f>
        <v/>
      </c>
    </row>
    <row r="708">
      <c r="A708">
        <f>IF($J708="","",TEXT(급여기준월,"yyyy-mm"))</f>
        <v/>
      </c>
      <c r="B708">
        <f>IF($J708="","",INDEX(명단표[사번],$J708)&amp;"")</f>
        <v/>
      </c>
      <c r="C708">
        <f>IF($J708="","",INDEX(명단표[이름],$J708))</f>
        <v/>
      </c>
      <c r="D708">
        <f>IF($J708="","",INDEX(명단표[수련과목],$J708))</f>
        <v/>
      </c>
      <c r="E708">
        <f>IF($J708="","",INDEX(명단표[연차],$J708)&amp;"")</f>
        <v/>
      </c>
      <c r="F708">
        <f>IF($J708="","",INDEX(명단표[소속병원],$J708))</f>
        <v/>
      </c>
      <c r="G708">
        <f>IF($J708="","",INDEX(명단표[기준월 근무병원],$J708))</f>
        <v/>
      </c>
      <c r="H708">
        <f>IF($J708="","",INDEX(명단표[급여지급병원(기준월)],$J708))</f>
        <v/>
      </c>
      <c r="I708">
        <f>IF($J708="","",INDEX(명단표[급여 판정 근거],$J708))</f>
        <v/>
      </c>
      <c r="J708" s="17">
        <f>IFERROR(MATCH(704,명단표[명단순번],0),"")</f>
        <v/>
      </c>
    </row>
    <row r="709">
      <c r="A709">
        <f>IF($J709="","",TEXT(급여기준월,"yyyy-mm"))</f>
        <v/>
      </c>
      <c r="B709">
        <f>IF($J709="","",INDEX(명단표[사번],$J709)&amp;"")</f>
        <v/>
      </c>
      <c r="C709">
        <f>IF($J709="","",INDEX(명단표[이름],$J709))</f>
        <v/>
      </c>
      <c r="D709">
        <f>IF($J709="","",INDEX(명단표[수련과목],$J709))</f>
        <v/>
      </c>
      <c r="E709">
        <f>IF($J709="","",INDEX(명단표[연차],$J709)&amp;"")</f>
        <v/>
      </c>
      <c r="F709">
        <f>IF($J709="","",INDEX(명단표[소속병원],$J709))</f>
        <v/>
      </c>
      <c r="G709">
        <f>IF($J709="","",INDEX(명단표[기준월 근무병원],$J709))</f>
        <v/>
      </c>
      <c r="H709">
        <f>IF($J709="","",INDEX(명단표[급여지급병원(기준월)],$J709))</f>
        <v/>
      </c>
      <c r="I709">
        <f>IF($J709="","",INDEX(명단표[급여 판정 근거],$J709))</f>
        <v/>
      </c>
      <c r="J709" s="17">
        <f>IFERROR(MATCH(705,명단표[명단순번],0),"")</f>
        <v/>
      </c>
    </row>
    <row r="710">
      <c r="A710">
        <f>IF($J710="","",TEXT(급여기준월,"yyyy-mm"))</f>
        <v/>
      </c>
      <c r="B710">
        <f>IF($J710="","",INDEX(명단표[사번],$J710)&amp;"")</f>
        <v/>
      </c>
      <c r="C710">
        <f>IF($J710="","",INDEX(명단표[이름],$J710))</f>
        <v/>
      </c>
      <c r="D710">
        <f>IF($J710="","",INDEX(명단표[수련과목],$J710))</f>
        <v/>
      </c>
      <c r="E710">
        <f>IF($J710="","",INDEX(명단표[연차],$J710)&amp;"")</f>
        <v/>
      </c>
      <c r="F710">
        <f>IF($J710="","",INDEX(명단표[소속병원],$J710))</f>
        <v/>
      </c>
      <c r="G710">
        <f>IF($J710="","",INDEX(명단표[기준월 근무병원],$J710))</f>
        <v/>
      </c>
      <c r="H710">
        <f>IF($J710="","",INDEX(명단표[급여지급병원(기준월)],$J710))</f>
        <v/>
      </c>
      <c r="I710">
        <f>IF($J710="","",INDEX(명단표[급여 판정 근거],$J710))</f>
        <v/>
      </c>
      <c r="J710" s="17">
        <f>IFERROR(MATCH(706,명단표[명단순번],0),"")</f>
        <v/>
      </c>
    </row>
    <row r="711">
      <c r="A711">
        <f>IF($J711="","",TEXT(급여기준월,"yyyy-mm"))</f>
        <v/>
      </c>
      <c r="B711">
        <f>IF($J711="","",INDEX(명단표[사번],$J711)&amp;"")</f>
        <v/>
      </c>
      <c r="C711">
        <f>IF($J711="","",INDEX(명단표[이름],$J711))</f>
        <v/>
      </c>
      <c r="D711">
        <f>IF($J711="","",INDEX(명단표[수련과목],$J711))</f>
        <v/>
      </c>
      <c r="E711">
        <f>IF($J711="","",INDEX(명단표[연차],$J711)&amp;"")</f>
        <v/>
      </c>
      <c r="F711">
        <f>IF($J711="","",INDEX(명단표[소속병원],$J711))</f>
        <v/>
      </c>
      <c r="G711">
        <f>IF($J711="","",INDEX(명단표[기준월 근무병원],$J711))</f>
        <v/>
      </c>
      <c r="H711">
        <f>IF($J711="","",INDEX(명단표[급여지급병원(기준월)],$J711))</f>
        <v/>
      </c>
      <c r="I711">
        <f>IF($J711="","",INDEX(명단표[급여 판정 근거],$J711))</f>
        <v/>
      </c>
      <c r="J711" s="17">
        <f>IFERROR(MATCH(707,명단표[명단순번],0),"")</f>
        <v/>
      </c>
    </row>
    <row r="712">
      <c r="A712">
        <f>IF($J712="","",TEXT(급여기준월,"yyyy-mm"))</f>
        <v/>
      </c>
      <c r="B712">
        <f>IF($J712="","",INDEX(명단표[사번],$J712)&amp;"")</f>
        <v/>
      </c>
      <c r="C712">
        <f>IF($J712="","",INDEX(명단표[이름],$J712))</f>
        <v/>
      </c>
      <c r="D712">
        <f>IF($J712="","",INDEX(명단표[수련과목],$J712))</f>
        <v/>
      </c>
      <c r="E712">
        <f>IF($J712="","",INDEX(명단표[연차],$J712)&amp;"")</f>
        <v/>
      </c>
      <c r="F712">
        <f>IF($J712="","",INDEX(명단표[소속병원],$J712))</f>
        <v/>
      </c>
      <c r="G712">
        <f>IF($J712="","",INDEX(명단표[기준월 근무병원],$J712))</f>
        <v/>
      </c>
      <c r="H712">
        <f>IF($J712="","",INDEX(명단표[급여지급병원(기준월)],$J712))</f>
        <v/>
      </c>
      <c r="I712">
        <f>IF($J712="","",INDEX(명단표[급여 판정 근거],$J712))</f>
        <v/>
      </c>
      <c r="J712" s="17">
        <f>IFERROR(MATCH(708,명단표[명단순번],0),"")</f>
        <v/>
      </c>
    </row>
    <row r="713">
      <c r="A713">
        <f>IF($J713="","",TEXT(급여기준월,"yyyy-mm"))</f>
        <v/>
      </c>
      <c r="B713">
        <f>IF($J713="","",INDEX(명단표[사번],$J713)&amp;"")</f>
        <v/>
      </c>
      <c r="C713">
        <f>IF($J713="","",INDEX(명단표[이름],$J713))</f>
        <v/>
      </c>
      <c r="D713">
        <f>IF($J713="","",INDEX(명단표[수련과목],$J713))</f>
        <v/>
      </c>
      <c r="E713">
        <f>IF($J713="","",INDEX(명단표[연차],$J713)&amp;"")</f>
        <v/>
      </c>
      <c r="F713">
        <f>IF($J713="","",INDEX(명단표[소속병원],$J713))</f>
        <v/>
      </c>
      <c r="G713">
        <f>IF($J713="","",INDEX(명단표[기준월 근무병원],$J713))</f>
        <v/>
      </c>
      <c r="H713">
        <f>IF($J713="","",INDEX(명단표[급여지급병원(기준월)],$J713))</f>
        <v/>
      </c>
      <c r="I713">
        <f>IF($J713="","",INDEX(명단표[급여 판정 근거],$J713))</f>
        <v/>
      </c>
      <c r="J713" s="17">
        <f>IFERROR(MATCH(709,명단표[명단순번],0),"")</f>
        <v/>
      </c>
    </row>
    <row r="714">
      <c r="A714">
        <f>IF($J714="","",TEXT(급여기준월,"yyyy-mm"))</f>
        <v/>
      </c>
      <c r="B714">
        <f>IF($J714="","",INDEX(명단표[사번],$J714)&amp;"")</f>
        <v/>
      </c>
      <c r="C714">
        <f>IF($J714="","",INDEX(명단표[이름],$J714))</f>
        <v/>
      </c>
      <c r="D714">
        <f>IF($J714="","",INDEX(명단표[수련과목],$J714))</f>
        <v/>
      </c>
      <c r="E714">
        <f>IF($J714="","",INDEX(명단표[연차],$J714)&amp;"")</f>
        <v/>
      </c>
      <c r="F714">
        <f>IF($J714="","",INDEX(명단표[소속병원],$J714))</f>
        <v/>
      </c>
      <c r="G714">
        <f>IF($J714="","",INDEX(명단표[기준월 근무병원],$J714))</f>
        <v/>
      </c>
      <c r="H714">
        <f>IF($J714="","",INDEX(명단표[급여지급병원(기준월)],$J714))</f>
        <v/>
      </c>
      <c r="I714">
        <f>IF($J714="","",INDEX(명단표[급여 판정 근거],$J714))</f>
        <v/>
      </c>
      <c r="J714" s="17">
        <f>IFERROR(MATCH(710,명단표[명단순번],0),"")</f>
        <v/>
      </c>
    </row>
    <row r="715">
      <c r="A715">
        <f>IF($J715="","",TEXT(급여기준월,"yyyy-mm"))</f>
        <v/>
      </c>
      <c r="B715">
        <f>IF($J715="","",INDEX(명단표[사번],$J715)&amp;"")</f>
        <v/>
      </c>
      <c r="C715">
        <f>IF($J715="","",INDEX(명단표[이름],$J715))</f>
        <v/>
      </c>
      <c r="D715">
        <f>IF($J715="","",INDEX(명단표[수련과목],$J715))</f>
        <v/>
      </c>
      <c r="E715">
        <f>IF($J715="","",INDEX(명단표[연차],$J715)&amp;"")</f>
        <v/>
      </c>
      <c r="F715">
        <f>IF($J715="","",INDEX(명단표[소속병원],$J715))</f>
        <v/>
      </c>
      <c r="G715">
        <f>IF($J715="","",INDEX(명단표[기준월 근무병원],$J715))</f>
        <v/>
      </c>
      <c r="H715">
        <f>IF($J715="","",INDEX(명단표[급여지급병원(기준월)],$J715))</f>
        <v/>
      </c>
      <c r="I715">
        <f>IF($J715="","",INDEX(명단표[급여 판정 근거],$J715))</f>
        <v/>
      </c>
      <c r="J715" s="17">
        <f>IFERROR(MATCH(711,명단표[명단순번],0),"")</f>
        <v/>
      </c>
    </row>
    <row r="716">
      <c r="A716">
        <f>IF($J716="","",TEXT(급여기준월,"yyyy-mm"))</f>
        <v/>
      </c>
      <c r="B716">
        <f>IF($J716="","",INDEX(명단표[사번],$J716)&amp;"")</f>
        <v/>
      </c>
      <c r="C716">
        <f>IF($J716="","",INDEX(명단표[이름],$J716))</f>
        <v/>
      </c>
      <c r="D716">
        <f>IF($J716="","",INDEX(명단표[수련과목],$J716))</f>
        <v/>
      </c>
      <c r="E716">
        <f>IF($J716="","",INDEX(명단표[연차],$J716)&amp;"")</f>
        <v/>
      </c>
      <c r="F716">
        <f>IF($J716="","",INDEX(명단표[소속병원],$J716))</f>
        <v/>
      </c>
      <c r="G716">
        <f>IF($J716="","",INDEX(명단표[기준월 근무병원],$J716))</f>
        <v/>
      </c>
      <c r="H716">
        <f>IF($J716="","",INDEX(명단표[급여지급병원(기준월)],$J716))</f>
        <v/>
      </c>
      <c r="I716">
        <f>IF($J716="","",INDEX(명단표[급여 판정 근거],$J716))</f>
        <v/>
      </c>
      <c r="J716" s="17">
        <f>IFERROR(MATCH(712,명단표[명단순번],0),"")</f>
        <v/>
      </c>
    </row>
    <row r="717">
      <c r="A717">
        <f>IF($J717="","",TEXT(급여기준월,"yyyy-mm"))</f>
        <v/>
      </c>
      <c r="B717">
        <f>IF($J717="","",INDEX(명단표[사번],$J717)&amp;"")</f>
        <v/>
      </c>
      <c r="C717">
        <f>IF($J717="","",INDEX(명단표[이름],$J717))</f>
        <v/>
      </c>
      <c r="D717">
        <f>IF($J717="","",INDEX(명단표[수련과목],$J717))</f>
        <v/>
      </c>
      <c r="E717">
        <f>IF($J717="","",INDEX(명단표[연차],$J717)&amp;"")</f>
        <v/>
      </c>
      <c r="F717">
        <f>IF($J717="","",INDEX(명단표[소속병원],$J717))</f>
        <v/>
      </c>
      <c r="G717">
        <f>IF($J717="","",INDEX(명단표[기준월 근무병원],$J717))</f>
        <v/>
      </c>
      <c r="H717">
        <f>IF($J717="","",INDEX(명단표[급여지급병원(기준월)],$J717))</f>
        <v/>
      </c>
      <c r="I717">
        <f>IF($J717="","",INDEX(명단표[급여 판정 근거],$J717))</f>
        <v/>
      </c>
      <c r="J717" s="17">
        <f>IFERROR(MATCH(713,명단표[명단순번],0),"")</f>
        <v/>
      </c>
    </row>
    <row r="718">
      <c r="A718">
        <f>IF($J718="","",TEXT(급여기준월,"yyyy-mm"))</f>
        <v/>
      </c>
      <c r="B718">
        <f>IF($J718="","",INDEX(명단표[사번],$J718)&amp;"")</f>
        <v/>
      </c>
      <c r="C718">
        <f>IF($J718="","",INDEX(명단표[이름],$J718))</f>
        <v/>
      </c>
      <c r="D718">
        <f>IF($J718="","",INDEX(명단표[수련과목],$J718))</f>
        <v/>
      </c>
      <c r="E718">
        <f>IF($J718="","",INDEX(명단표[연차],$J718)&amp;"")</f>
        <v/>
      </c>
      <c r="F718">
        <f>IF($J718="","",INDEX(명단표[소속병원],$J718))</f>
        <v/>
      </c>
      <c r="G718">
        <f>IF($J718="","",INDEX(명단표[기준월 근무병원],$J718))</f>
        <v/>
      </c>
      <c r="H718">
        <f>IF($J718="","",INDEX(명단표[급여지급병원(기준월)],$J718))</f>
        <v/>
      </c>
      <c r="I718">
        <f>IF($J718="","",INDEX(명단표[급여 판정 근거],$J718))</f>
        <v/>
      </c>
      <c r="J718" s="17">
        <f>IFERROR(MATCH(714,명단표[명단순번],0),"")</f>
        <v/>
      </c>
    </row>
    <row r="719">
      <c r="A719">
        <f>IF($J719="","",TEXT(급여기준월,"yyyy-mm"))</f>
        <v/>
      </c>
      <c r="B719">
        <f>IF($J719="","",INDEX(명단표[사번],$J719)&amp;"")</f>
        <v/>
      </c>
      <c r="C719">
        <f>IF($J719="","",INDEX(명단표[이름],$J719))</f>
        <v/>
      </c>
      <c r="D719">
        <f>IF($J719="","",INDEX(명단표[수련과목],$J719))</f>
        <v/>
      </c>
      <c r="E719">
        <f>IF($J719="","",INDEX(명단표[연차],$J719)&amp;"")</f>
        <v/>
      </c>
      <c r="F719">
        <f>IF($J719="","",INDEX(명단표[소속병원],$J719))</f>
        <v/>
      </c>
      <c r="G719">
        <f>IF($J719="","",INDEX(명단표[기준월 근무병원],$J719))</f>
        <v/>
      </c>
      <c r="H719">
        <f>IF($J719="","",INDEX(명단표[급여지급병원(기준월)],$J719))</f>
        <v/>
      </c>
      <c r="I719">
        <f>IF($J719="","",INDEX(명단표[급여 판정 근거],$J719))</f>
        <v/>
      </c>
      <c r="J719" s="17">
        <f>IFERROR(MATCH(715,명단표[명단순번],0),"")</f>
        <v/>
      </c>
    </row>
    <row r="720">
      <c r="A720">
        <f>IF($J720="","",TEXT(급여기준월,"yyyy-mm"))</f>
        <v/>
      </c>
      <c r="B720">
        <f>IF($J720="","",INDEX(명단표[사번],$J720)&amp;"")</f>
        <v/>
      </c>
      <c r="C720">
        <f>IF($J720="","",INDEX(명단표[이름],$J720))</f>
        <v/>
      </c>
      <c r="D720">
        <f>IF($J720="","",INDEX(명단표[수련과목],$J720))</f>
        <v/>
      </c>
      <c r="E720">
        <f>IF($J720="","",INDEX(명단표[연차],$J720)&amp;"")</f>
        <v/>
      </c>
      <c r="F720">
        <f>IF($J720="","",INDEX(명단표[소속병원],$J720))</f>
        <v/>
      </c>
      <c r="G720">
        <f>IF($J720="","",INDEX(명단표[기준월 근무병원],$J720))</f>
        <v/>
      </c>
      <c r="H720">
        <f>IF($J720="","",INDEX(명단표[급여지급병원(기준월)],$J720))</f>
        <v/>
      </c>
      <c r="I720">
        <f>IF($J720="","",INDEX(명단표[급여 판정 근거],$J720))</f>
        <v/>
      </c>
      <c r="J720" s="17">
        <f>IFERROR(MATCH(716,명단표[명단순번],0),"")</f>
        <v/>
      </c>
    </row>
    <row r="721">
      <c r="A721">
        <f>IF($J721="","",TEXT(급여기준월,"yyyy-mm"))</f>
        <v/>
      </c>
      <c r="B721">
        <f>IF($J721="","",INDEX(명단표[사번],$J721)&amp;"")</f>
        <v/>
      </c>
      <c r="C721">
        <f>IF($J721="","",INDEX(명단표[이름],$J721))</f>
        <v/>
      </c>
      <c r="D721">
        <f>IF($J721="","",INDEX(명단표[수련과목],$J721))</f>
        <v/>
      </c>
      <c r="E721">
        <f>IF($J721="","",INDEX(명단표[연차],$J721)&amp;"")</f>
        <v/>
      </c>
      <c r="F721">
        <f>IF($J721="","",INDEX(명단표[소속병원],$J721))</f>
        <v/>
      </c>
      <c r="G721">
        <f>IF($J721="","",INDEX(명단표[기준월 근무병원],$J721))</f>
        <v/>
      </c>
      <c r="H721">
        <f>IF($J721="","",INDEX(명단표[급여지급병원(기준월)],$J721))</f>
        <v/>
      </c>
      <c r="I721">
        <f>IF($J721="","",INDEX(명단표[급여 판정 근거],$J721))</f>
        <v/>
      </c>
      <c r="J721" s="17">
        <f>IFERROR(MATCH(717,명단표[명단순번],0),"")</f>
        <v/>
      </c>
    </row>
    <row r="722">
      <c r="A722">
        <f>IF($J722="","",TEXT(급여기준월,"yyyy-mm"))</f>
        <v/>
      </c>
      <c r="B722">
        <f>IF($J722="","",INDEX(명단표[사번],$J722)&amp;"")</f>
        <v/>
      </c>
      <c r="C722">
        <f>IF($J722="","",INDEX(명단표[이름],$J722))</f>
        <v/>
      </c>
      <c r="D722">
        <f>IF($J722="","",INDEX(명단표[수련과목],$J722))</f>
        <v/>
      </c>
      <c r="E722">
        <f>IF($J722="","",INDEX(명단표[연차],$J722)&amp;"")</f>
        <v/>
      </c>
      <c r="F722">
        <f>IF($J722="","",INDEX(명단표[소속병원],$J722))</f>
        <v/>
      </c>
      <c r="G722">
        <f>IF($J722="","",INDEX(명단표[기준월 근무병원],$J722))</f>
        <v/>
      </c>
      <c r="H722">
        <f>IF($J722="","",INDEX(명단표[급여지급병원(기준월)],$J722))</f>
        <v/>
      </c>
      <c r="I722">
        <f>IF($J722="","",INDEX(명단표[급여 판정 근거],$J722))</f>
        <v/>
      </c>
      <c r="J722" s="17">
        <f>IFERROR(MATCH(718,명단표[명단순번],0),"")</f>
        <v/>
      </c>
    </row>
    <row r="723">
      <c r="A723">
        <f>IF($J723="","",TEXT(급여기준월,"yyyy-mm"))</f>
        <v/>
      </c>
      <c r="B723">
        <f>IF($J723="","",INDEX(명단표[사번],$J723)&amp;"")</f>
        <v/>
      </c>
      <c r="C723">
        <f>IF($J723="","",INDEX(명단표[이름],$J723))</f>
        <v/>
      </c>
      <c r="D723">
        <f>IF($J723="","",INDEX(명단표[수련과목],$J723))</f>
        <v/>
      </c>
      <c r="E723">
        <f>IF($J723="","",INDEX(명단표[연차],$J723)&amp;"")</f>
        <v/>
      </c>
      <c r="F723">
        <f>IF($J723="","",INDEX(명단표[소속병원],$J723))</f>
        <v/>
      </c>
      <c r="G723">
        <f>IF($J723="","",INDEX(명단표[기준월 근무병원],$J723))</f>
        <v/>
      </c>
      <c r="H723">
        <f>IF($J723="","",INDEX(명단표[급여지급병원(기준월)],$J723))</f>
        <v/>
      </c>
      <c r="I723">
        <f>IF($J723="","",INDEX(명단표[급여 판정 근거],$J723))</f>
        <v/>
      </c>
      <c r="J723" s="17">
        <f>IFERROR(MATCH(719,명단표[명단순번],0),"")</f>
        <v/>
      </c>
    </row>
    <row r="724">
      <c r="A724">
        <f>IF($J724="","",TEXT(급여기준월,"yyyy-mm"))</f>
        <v/>
      </c>
      <c r="B724">
        <f>IF($J724="","",INDEX(명단표[사번],$J724)&amp;"")</f>
        <v/>
      </c>
      <c r="C724">
        <f>IF($J724="","",INDEX(명단표[이름],$J724))</f>
        <v/>
      </c>
      <c r="D724">
        <f>IF($J724="","",INDEX(명단표[수련과목],$J724))</f>
        <v/>
      </c>
      <c r="E724">
        <f>IF($J724="","",INDEX(명단표[연차],$J724)&amp;"")</f>
        <v/>
      </c>
      <c r="F724">
        <f>IF($J724="","",INDEX(명단표[소속병원],$J724))</f>
        <v/>
      </c>
      <c r="G724">
        <f>IF($J724="","",INDEX(명단표[기준월 근무병원],$J724))</f>
        <v/>
      </c>
      <c r="H724">
        <f>IF($J724="","",INDEX(명단표[급여지급병원(기준월)],$J724))</f>
        <v/>
      </c>
      <c r="I724">
        <f>IF($J724="","",INDEX(명단표[급여 판정 근거],$J724))</f>
        <v/>
      </c>
      <c r="J724" s="17">
        <f>IFERROR(MATCH(720,명단표[명단순번],0),"")</f>
        <v/>
      </c>
    </row>
    <row r="725">
      <c r="A725">
        <f>IF($J725="","",TEXT(급여기준월,"yyyy-mm"))</f>
        <v/>
      </c>
      <c r="B725">
        <f>IF($J725="","",INDEX(명단표[사번],$J725)&amp;"")</f>
        <v/>
      </c>
      <c r="C725">
        <f>IF($J725="","",INDEX(명단표[이름],$J725))</f>
        <v/>
      </c>
      <c r="D725">
        <f>IF($J725="","",INDEX(명단표[수련과목],$J725))</f>
        <v/>
      </c>
      <c r="E725">
        <f>IF($J725="","",INDEX(명단표[연차],$J725)&amp;"")</f>
        <v/>
      </c>
      <c r="F725">
        <f>IF($J725="","",INDEX(명단표[소속병원],$J725))</f>
        <v/>
      </c>
      <c r="G725">
        <f>IF($J725="","",INDEX(명단표[기준월 근무병원],$J725))</f>
        <v/>
      </c>
      <c r="H725">
        <f>IF($J725="","",INDEX(명단표[급여지급병원(기준월)],$J725))</f>
        <v/>
      </c>
      <c r="I725">
        <f>IF($J725="","",INDEX(명단표[급여 판정 근거],$J725))</f>
        <v/>
      </c>
      <c r="J725" s="17">
        <f>IFERROR(MATCH(721,명단표[명단순번],0),"")</f>
        <v/>
      </c>
    </row>
    <row r="726">
      <c r="A726">
        <f>IF($J726="","",TEXT(급여기준월,"yyyy-mm"))</f>
        <v/>
      </c>
      <c r="B726">
        <f>IF($J726="","",INDEX(명단표[사번],$J726)&amp;"")</f>
        <v/>
      </c>
      <c r="C726">
        <f>IF($J726="","",INDEX(명단표[이름],$J726))</f>
        <v/>
      </c>
      <c r="D726">
        <f>IF($J726="","",INDEX(명단표[수련과목],$J726))</f>
        <v/>
      </c>
      <c r="E726">
        <f>IF($J726="","",INDEX(명단표[연차],$J726)&amp;"")</f>
        <v/>
      </c>
      <c r="F726">
        <f>IF($J726="","",INDEX(명단표[소속병원],$J726))</f>
        <v/>
      </c>
      <c r="G726">
        <f>IF($J726="","",INDEX(명단표[기준월 근무병원],$J726))</f>
        <v/>
      </c>
      <c r="H726">
        <f>IF($J726="","",INDEX(명단표[급여지급병원(기준월)],$J726))</f>
        <v/>
      </c>
      <c r="I726">
        <f>IF($J726="","",INDEX(명단표[급여 판정 근거],$J726))</f>
        <v/>
      </c>
      <c r="J726" s="17">
        <f>IFERROR(MATCH(722,명단표[명단순번],0),"")</f>
        <v/>
      </c>
    </row>
    <row r="727">
      <c r="A727">
        <f>IF($J727="","",TEXT(급여기준월,"yyyy-mm"))</f>
        <v/>
      </c>
      <c r="B727">
        <f>IF($J727="","",INDEX(명단표[사번],$J727)&amp;"")</f>
        <v/>
      </c>
      <c r="C727">
        <f>IF($J727="","",INDEX(명단표[이름],$J727))</f>
        <v/>
      </c>
      <c r="D727">
        <f>IF($J727="","",INDEX(명단표[수련과목],$J727))</f>
        <v/>
      </c>
      <c r="E727">
        <f>IF($J727="","",INDEX(명단표[연차],$J727)&amp;"")</f>
        <v/>
      </c>
      <c r="F727">
        <f>IF($J727="","",INDEX(명단표[소속병원],$J727))</f>
        <v/>
      </c>
      <c r="G727">
        <f>IF($J727="","",INDEX(명단표[기준월 근무병원],$J727))</f>
        <v/>
      </c>
      <c r="H727">
        <f>IF($J727="","",INDEX(명단표[급여지급병원(기준월)],$J727))</f>
        <v/>
      </c>
      <c r="I727">
        <f>IF($J727="","",INDEX(명단표[급여 판정 근거],$J727))</f>
        <v/>
      </c>
      <c r="J727" s="17">
        <f>IFERROR(MATCH(723,명단표[명단순번],0),"")</f>
        <v/>
      </c>
    </row>
    <row r="728">
      <c r="A728">
        <f>IF($J728="","",TEXT(급여기준월,"yyyy-mm"))</f>
        <v/>
      </c>
      <c r="B728">
        <f>IF($J728="","",INDEX(명단표[사번],$J728)&amp;"")</f>
        <v/>
      </c>
      <c r="C728">
        <f>IF($J728="","",INDEX(명단표[이름],$J728))</f>
        <v/>
      </c>
      <c r="D728">
        <f>IF($J728="","",INDEX(명단표[수련과목],$J728))</f>
        <v/>
      </c>
      <c r="E728">
        <f>IF($J728="","",INDEX(명단표[연차],$J728)&amp;"")</f>
        <v/>
      </c>
      <c r="F728">
        <f>IF($J728="","",INDEX(명단표[소속병원],$J728))</f>
        <v/>
      </c>
      <c r="G728">
        <f>IF($J728="","",INDEX(명단표[기준월 근무병원],$J728))</f>
        <v/>
      </c>
      <c r="H728">
        <f>IF($J728="","",INDEX(명단표[급여지급병원(기준월)],$J728))</f>
        <v/>
      </c>
      <c r="I728">
        <f>IF($J728="","",INDEX(명단표[급여 판정 근거],$J728))</f>
        <v/>
      </c>
      <c r="J728" s="17">
        <f>IFERROR(MATCH(724,명단표[명단순번],0),"")</f>
        <v/>
      </c>
    </row>
    <row r="729">
      <c r="A729">
        <f>IF($J729="","",TEXT(급여기준월,"yyyy-mm"))</f>
        <v/>
      </c>
      <c r="B729">
        <f>IF($J729="","",INDEX(명단표[사번],$J729)&amp;"")</f>
        <v/>
      </c>
      <c r="C729">
        <f>IF($J729="","",INDEX(명단표[이름],$J729))</f>
        <v/>
      </c>
      <c r="D729">
        <f>IF($J729="","",INDEX(명단표[수련과목],$J729))</f>
        <v/>
      </c>
      <c r="E729">
        <f>IF($J729="","",INDEX(명단표[연차],$J729)&amp;"")</f>
        <v/>
      </c>
      <c r="F729">
        <f>IF($J729="","",INDEX(명단표[소속병원],$J729))</f>
        <v/>
      </c>
      <c r="G729">
        <f>IF($J729="","",INDEX(명단표[기준월 근무병원],$J729))</f>
        <v/>
      </c>
      <c r="H729">
        <f>IF($J729="","",INDEX(명단표[급여지급병원(기준월)],$J729))</f>
        <v/>
      </c>
      <c r="I729">
        <f>IF($J729="","",INDEX(명단표[급여 판정 근거],$J729))</f>
        <v/>
      </c>
      <c r="J729" s="17">
        <f>IFERROR(MATCH(725,명단표[명단순번],0),"")</f>
        <v/>
      </c>
    </row>
    <row r="730">
      <c r="A730">
        <f>IF($J730="","",TEXT(급여기준월,"yyyy-mm"))</f>
        <v/>
      </c>
      <c r="B730">
        <f>IF($J730="","",INDEX(명단표[사번],$J730)&amp;"")</f>
        <v/>
      </c>
      <c r="C730">
        <f>IF($J730="","",INDEX(명단표[이름],$J730))</f>
        <v/>
      </c>
      <c r="D730">
        <f>IF($J730="","",INDEX(명단표[수련과목],$J730))</f>
        <v/>
      </c>
      <c r="E730">
        <f>IF($J730="","",INDEX(명단표[연차],$J730)&amp;"")</f>
        <v/>
      </c>
      <c r="F730">
        <f>IF($J730="","",INDEX(명단표[소속병원],$J730))</f>
        <v/>
      </c>
      <c r="G730">
        <f>IF($J730="","",INDEX(명단표[기준월 근무병원],$J730))</f>
        <v/>
      </c>
      <c r="H730">
        <f>IF($J730="","",INDEX(명단표[급여지급병원(기준월)],$J730))</f>
        <v/>
      </c>
      <c r="I730">
        <f>IF($J730="","",INDEX(명단표[급여 판정 근거],$J730))</f>
        <v/>
      </c>
      <c r="J730" s="17">
        <f>IFERROR(MATCH(726,명단표[명단순번],0),"")</f>
        <v/>
      </c>
    </row>
    <row r="731">
      <c r="A731">
        <f>IF($J731="","",TEXT(급여기준월,"yyyy-mm"))</f>
        <v/>
      </c>
      <c r="B731">
        <f>IF($J731="","",INDEX(명단표[사번],$J731)&amp;"")</f>
        <v/>
      </c>
      <c r="C731">
        <f>IF($J731="","",INDEX(명단표[이름],$J731))</f>
        <v/>
      </c>
      <c r="D731">
        <f>IF($J731="","",INDEX(명단표[수련과목],$J731))</f>
        <v/>
      </c>
      <c r="E731">
        <f>IF($J731="","",INDEX(명단표[연차],$J731)&amp;"")</f>
        <v/>
      </c>
      <c r="F731">
        <f>IF($J731="","",INDEX(명단표[소속병원],$J731))</f>
        <v/>
      </c>
      <c r="G731">
        <f>IF($J731="","",INDEX(명단표[기준월 근무병원],$J731))</f>
        <v/>
      </c>
      <c r="H731">
        <f>IF($J731="","",INDEX(명단표[급여지급병원(기준월)],$J731))</f>
        <v/>
      </c>
      <c r="I731">
        <f>IF($J731="","",INDEX(명단표[급여 판정 근거],$J731))</f>
        <v/>
      </c>
      <c r="J731" s="17">
        <f>IFERROR(MATCH(727,명단표[명단순번],0),"")</f>
        <v/>
      </c>
    </row>
    <row r="732">
      <c r="A732">
        <f>IF($J732="","",TEXT(급여기준월,"yyyy-mm"))</f>
        <v/>
      </c>
      <c r="B732">
        <f>IF($J732="","",INDEX(명단표[사번],$J732)&amp;"")</f>
        <v/>
      </c>
      <c r="C732">
        <f>IF($J732="","",INDEX(명단표[이름],$J732))</f>
        <v/>
      </c>
      <c r="D732">
        <f>IF($J732="","",INDEX(명단표[수련과목],$J732))</f>
        <v/>
      </c>
      <c r="E732">
        <f>IF($J732="","",INDEX(명단표[연차],$J732)&amp;"")</f>
        <v/>
      </c>
      <c r="F732">
        <f>IF($J732="","",INDEX(명단표[소속병원],$J732))</f>
        <v/>
      </c>
      <c r="G732">
        <f>IF($J732="","",INDEX(명단표[기준월 근무병원],$J732))</f>
        <v/>
      </c>
      <c r="H732">
        <f>IF($J732="","",INDEX(명단표[급여지급병원(기준월)],$J732))</f>
        <v/>
      </c>
      <c r="I732">
        <f>IF($J732="","",INDEX(명단표[급여 판정 근거],$J732))</f>
        <v/>
      </c>
      <c r="J732" s="17">
        <f>IFERROR(MATCH(728,명단표[명단순번],0),"")</f>
        <v/>
      </c>
    </row>
    <row r="733">
      <c r="A733">
        <f>IF($J733="","",TEXT(급여기준월,"yyyy-mm"))</f>
        <v/>
      </c>
      <c r="B733">
        <f>IF($J733="","",INDEX(명단표[사번],$J733)&amp;"")</f>
        <v/>
      </c>
      <c r="C733">
        <f>IF($J733="","",INDEX(명단표[이름],$J733))</f>
        <v/>
      </c>
      <c r="D733">
        <f>IF($J733="","",INDEX(명단표[수련과목],$J733))</f>
        <v/>
      </c>
      <c r="E733">
        <f>IF($J733="","",INDEX(명단표[연차],$J733)&amp;"")</f>
        <v/>
      </c>
      <c r="F733">
        <f>IF($J733="","",INDEX(명단표[소속병원],$J733))</f>
        <v/>
      </c>
      <c r="G733">
        <f>IF($J733="","",INDEX(명단표[기준월 근무병원],$J733))</f>
        <v/>
      </c>
      <c r="H733">
        <f>IF($J733="","",INDEX(명단표[급여지급병원(기준월)],$J733))</f>
        <v/>
      </c>
      <c r="I733">
        <f>IF($J733="","",INDEX(명단표[급여 판정 근거],$J733))</f>
        <v/>
      </c>
      <c r="J733" s="17">
        <f>IFERROR(MATCH(729,명단표[명단순번],0),"")</f>
        <v/>
      </c>
    </row>
    <row r="734">
      <c r="A734">
        <f>IF($J734="","",TEXT(급여기준월,"yyyy-mm"))</f>
        <v/>
      </c>
      <c r="B734">
        <f>IF($J734="","",INDEX(명단표[사번],$J734)&amp;"")</f>
        <v/>
      </c>
      <c r="C734">
        <f>IF($J734="","",INDEX(명단표[이름],$J734))</f>
        <v/>
      </c>
      <c r="D734">
        <f>IF($J734="","",INDEX(명단표[수련과목],$J734))</f>
        <v/>
      </c>
      <c r="E734">
        <f>IF($J734="","",INDEX(명단표[연차],$J734)&amp;"")</f>
        <v/>
      </c>
      <c r="F734">
        <f>IF($J734="","",INDEX(명단표[소속병원],$J734))</f>
        <v/>
      </c>
      <c r="G734">
        <f>IF($J734="","",INDEX(명단표[기준월 근무병원],$J734))</f>
        <v/>
      </c>
      <c r="H734">
        <f>IF($J734="","",INDEX(명단표[급여지급병원(기준월)],$J734))</f>
        <v/>
      </c>
      <c r="I734">
        <f>IF($J734="","",INDEX(명단표[급여 판정 근거],$J734))</f>
        <v/>
      </c>
      <c r="J734" s="17">
        <f>IFERROR(MATCH(730,명단표[명단순번],0),"")</f>
        <v/>
      </c>
    </row>
    <row r="735">
      <c r="A735">
        <f>IF($J735="","",TEXT(급여기준월,"yyyy-mm"))</f>
        <v/>
      </c>
      <c r="B735">
        <f>IF($J735="","",INDEX(명단표[사번],$J735)&amp;"")</f>
        <v/>
      </c>
      <c r="C735">
        <f>IF($J735="","",INDEX(명단표[이름],$J735))</f>
        <v/>
      </c>
      <c r="D735">
        <f>IF($J735="","",INDEX(명단표[수련과목],$J735))</f>
        <v/>
      </c>
      <c r="E735">
        <f>IF($J735="","",INDEX(명단표[연차],$J735)&amp;"")</f>
        <v/>
      </c>
      <c r="F735">
        <f>IF($J735="","",INDEX(명단표[소속병원],$J735))</f>
        <v/>
      </c>
      <c r="G735">
        <f>IF($J735="","",INDEX(명단표[기준월 근무병원],$J735))</f>
        <v/>
      </c>
      <c r="H735">
        <f>IF($J735="","",INDEX(명단표[급여지급병원(기준월)],$J735))</f>
        <v/>
      </c>
      <c r="I735">
        <f>IF($J735="","",INDEX(명단표[급여 판정 근거],$J735))</f>
        <v/>
      </c>
      <c r="J735" s="17">
        <f>IFERROR(MATCH(731,명단표[명단순번],0),"")</f>
        <v/>
      </c>
    </row>
    <row r="736">
      <c r="A736">
        <f>IF($J736="","",TEXT(급여기준월,"yyyy-mm"))</f>
        <v/>
      </c>
      <c r="B736">
        <f>IF($J736="","",INDEX(명단표[사번],$J736)&amp;"")</f>
        <v/>
      </c>
      <c r="C736">
        <f>IF($J736="","",INDEX(명단표[이름],$J736))</f>
        <v/>
      </c>
      <c r="D736">
        <f>IF($J736="","",INDEX(명단표[수련과목],$J736))</f>
        <v/>
      </c>
      <c r="E736">
        <f>IF($J736="","",INDEX(명단표[연차],$J736)&amp;"")</f>
        <v/>
      </c>
      <c r="F736">
        <f>IF($J736="","",INDEX(명단표[소속병원],$J736))</f>
        <v/>
      </c>
      <c r="G736">
        <f>IF($J736="","",INDEX(명단표[기준월 근무병원],$J736))</f>
        <v/>
      </c>
      <c r="H736">
        <f>IF($J736="","",INDEX(명단표[급여지급병원(기준월)],$J736))</f>
        <v/>
      </c>
      <c r="I736">
        <f>IF($J736="","",INDEX(명단표[급여 판정 근거],$J736))</f>
        <v/>
      </c>
      <c r="J736" s="17">
        <f>IFERROR(MATCH(732,명단표[명단순번],0),"")</f>
        <v/>
      </c>
    </row>
    <row r="737">
      <c r="A737">
        <f>IF($J737="","",TEXT(급여기준월,"yyyy-mm"))</f>
        <v/>
      </c>
      <c r="B737">
        <f>IF($J737="","",INDEX(명단표[사번],$J737)&amp;"")</f>
        <v/>
      </c>
      <c r="C737">
        <f>IF($J737="","",INDEX(명단표[이름],$J737))</f>
        <v/>
      </c>
      <c r="D737">
        <f>IF($J737="","",INDEX(명단표[수련과목],$J737))</f>
        <v/>
      </c>
      <c r="E737">
        <f>IF($J737="","",INDEX(명단표[연차],$J737)&amp;"")</f>
        <v/>
      </c>
      <c r="F737">
        <f>IF($J737="","",INDEX(명단표[소속병원],$J737))</f>
        <v/>
      </c>
      <c r="G737">
        <f>IF($J737="","",INDEX(명단표[기준월 근무병원],$J737))</f>
        <v/>
      </c>
      <c r="H737">
        <f>IF($J737="","",INDEX(명단표[급여지급병원(기준월)],$J737))</f>
        <v/>
      </c>
      <c r="I737">
        <f>IF($J737="","",INDEX(명단표[급여 판정 근거],$J737))</f>
        <v/>
      </c>
      <c r="J737" s="17">
        <f>IFERROR(MATCH(733,명단표[명단순번],0),"")</f>
        <v/>
      </c>
    </row>
    <row r="738">
      <c r="A738">
        <f>IF($J738="","",TEXT(급여기준월,"yyyy-mm"))</f>
        <v/>
      </c>
      <c r="B738">
        <f>IF($J738="","",INDEX(명단표[사번],$J738)&amp;"")</f>
        <v/>
      </c>
      <c r="C738">
        <f>IF($J738="","",INDEX(명단표[이름],$J738))</f>
        <v/>
      </c>
      <c r="D738">
        <f>IF($J738="","",INDEX(명단표[수련과목],$J738))</f>
        <v/>
      </c>
      <c r="E738">
        <f>IF($J738="","",INDEX(명단표[연차],$J738)&amp;"")</f>
        <v/>
      </c>
      <c r="F738">
        <f>IF($J738="","",INDEX(명단표[소속병원],$J738))</f>
        <v/>
      </c>
      <c r="G738">
        <f>IF($J738="","",INDEX(명단표[기준월 근무병원],$J738))</f>
        <v/>
      </c>
      <c r="H738">
        <f>IF($J738="","",INDEX(명단표[급여지급병원(기준월)],$J738))</f>
        <v/>
      </c>
      <c r="I738">
        <f>IF($J738="","",INDEX(명단표[급여 판정 근거],$J738))</f>
        <v/>
      </c>
      <c r="J738" s="17">
        <f>IFERROR(MATCH(734,명단표[명단순번],0),"")</f>
        <v/>
      </c>
    </row>
    <row r="739">
      <c r="A739">
        <f>IF($J739="","",TEXT(급여기준월,"yyyy-mm"))</f>
        <v/>
      </c>
      <c r="B739">
        <f>IF($J739="","",INDEX(명단표[사번],$J739)&amp;"")</f>
        <v/>
      </c>
      <c r="C739">
        <f>IF($J739="","",INDEX(명단표[이름],$J739))</f>
        <v/>
      </c>
      <c r="D739">
        <f>IF($J739="","",INDEX(명단표[수련과목],$J739))</f>
        <v/>
      </c>
      <c r="E739">
        <f>IF($J739="","",INDEX(명단표[연차],$J739)&amp;"")</f>
        <v/>
      </c>
      <c r="F739">
        <f>IF($J739="","",INDEX(명단표[소속병원],$J739))</f>
        <v/>
      </c>
      <c r="G739">
        <f>IF($J739="","",INDEX(명단표[기준월 근무병원],$J739))</f>
        <v/>
      </c>
      <c r="H739">
        <f>IF($J739="","",INDEX(명단표[급여지급병원(기준월)],$J739))</f>
        <v/>
      </c>
      <c r="I739">
        <f>IF($J739="","",INDEX(명단표[급여 판정 근거],$J739))</f>
        <v/>
      </c>
      <c r="J739" s="17">
        <f>IFERROR(MATCH(735,명단표[명단순번],0),"")</f>
        <v/>
      </c>
    </row>
    <row r="740">
      <c r="A740">
        <f>IF($J740="","",TEXT(급여기준월,"yyyy-mm"))</f>
        <v/>
      </c>
      <c r="B740">
        <f>IF($J740="","",INDEX(명단표[사번],$J740)&amp;"")</f>
        <v/>
      </c>
      <c r="C740">
        <f>IF($J740="","",INDEX(명단표[이름],$J740))</f>
        <v/>
      </c>
      <c r="D740">
        <f>IF($J740="","",INDEX(명단표[수련과목],$J740))</f>
        <v/>
      </c>
      <c r="E740">
        <f>IF($J740="","",INDEX(명단표[연차],$J740)&amp;"")</f>
        <v/>
      </c>
      <c r="F740">
        <f>IF($J740="","",INDEX(명단표[소속병원],$J740))</f>
        <v/>
      </c>
      <c r="G740">
        <f>IF($J740="","",INDEX(명단표[기준월 근무병원],$J740))</f>
        <v/>
      </c>
      <c r="H740">
        <f>IF($J740="","",INDEX(명단표[급여지급병원(기준월)],$J740))</f>
        <v/>
      </c>
      <c r="I740">
        <f>IF($J740="","",INDEX(명단표[급여 판정 근거],$J740))</f>
        <v/>
      </c>
      <c r="J740" s="17">
        <f>IFERROR(MATCH(736,명단표[명단순번],0),"")</f>
        <v/>
      </c>
    </row>
    <row r="741">
      <c r="A741">
        <f>IF($J741="","",TEXT(급여기준월,"yyyy-mm"))</f>
        <v/>
      </c>
      <c r="B741">
        <f>IF($J741="","",INDEX(명단표[사번],$J741)&amp;"")</f>
        <v/>
      </c>
      <c r="C741">
        <f>IF($J741="","",INDEX(명단표[이름],$J741))</f>
        <v/>
      </c>
      <c r="D741">
        <f>IF($J741="","",INDEX(명단표[수련과목],$J741))</f>
        <v/>
      </c>
      <c r="E741">
        <f>IF($J741="","",INDEX(명단표[연차],$J741)&amp;"")</f>
        <v/>
      </c>
      <c r="F741">
        <f>IF($J741="","",INDEX(명단표[소속병원],$J741))</f>
        <v/>
      </c>
      <c r="G741">
        <f>IF($J741="","",INDEX(명단표[기준월 근무병원],$J741))</f>
        <v/>
      </c>
      <c r="H741">
        <f>IF($J741="","",INDEX(명단표[급여지급병원(기준월)],$J741))</f>
        <v/>
      </c>
      <c r="I741">
        <f>IF($J741="","",INDEX(명단표[급여 판정 근거],$J741))</f>
        <v/>
      </c>
      <c r="J741" s="17">
        <f>IFERROR(MATCH(737,명단표[명단순번],0),"")</f>
        <v/>
      </c>
    </row>
    <row r="742">
      <c r="A742">
        <f>IF($J742="","",TEXT(급여기준월,"yyyy-mm"))</f>
        <v/>
      </c>
      <c r="B742">
        <f>IF($J742="","",INDEX(명단표[사번],$J742)&amp;"")</f>
        <v/>
      </c>
      <c r="C742">
        <f>IF($J742="","",INDEX(명단표[이름],$J742))</f>
        <v/>
      </c>
      <c r="D742">
        <f>IF($J742="","",INDEX(명단표[수련과목],$J742))</f>
        <v/>
      </c>
      <c r="E742">
        <f>IF($J742="","",INDEX(명단표[연차],$J742)&amp;"")</f>
        <v/>
      </c>
      <c r="F742">
        <f>IF($J742="","",INDEX(명단표[소속병원],$J742))</f>
        <v/>
      </c>
      <c r="G742">
        <f>IF($J742="","",INDEX(명단표[기준월 근무병원],$J742))</f>
        <v/>
      </c>
      <c r="H742">
        <f>IF($J742="","",INDEX(명단표[급여지급병원(기준월)],$J742))</f>
        <v/>
      </c>
      <c r="I742">
        <f>IF($J742="","",INDEX(명단표[급여 판정 근거],$J742))</f>
        <v/>
      </c>
      <c r="J742" s="17">
        <f>IFERROR(MATCH(738,명단표[명단순번],0),"")</f>
        <v/>
      </c>
    </row>
    <row r="743">
      <c r="A743">
        <f>IF($J743="","",TEXT(급여기준월,"yyyy-mm"))</f>
        <v/>
      </c>
      <c r="B743">
        <f>IF($J743="","",INDEX(명단표[사번],$J743)&amp;"")</f>
        <v/>
      </c>
      <c r="C743">
        <f>IF($J743="","",INDEX(명단표[이름],$J743))</f>
        <v/>
      </c>
      <c r="D743">
        <f>IF($J743="","",INDEX(명단표[수련과목],$J743))</f>
        <v/>
      </c>
      <c r="E743">
        <f>IF($J743="","",INDEX(명단표[연차],$J743)&amp;"")</f>
        <v/>
      </c>
      <c r="F743">
        <f>IF($J743="","",INDEX(명단표[소속병원],$J743))</f>
        <v/>
      </c>
      <c r="G743">
        <f>IF($J743="","",INDEX(명단표[기준월 근무병원],$J743))</f>
        <v/>
      </c>
      <c r="H743">
        <f>IF($J743="","",INDEX(명단표[급여지급병원(기준월)],$J743))</f>
        <v/>
      </c>
      <c r="I743">
        <f>IF($J743="","",INDEX(명단표[급여 판정 근거],$J743))</f>
        <v/>
      </c>
      <c r="J743" s="17">
        <f>IFERROR(MATCH(739,명단표[명단순번],0),"")</f>
        <v/>
      </c>
    </row>
    <row r="744">
      <c r="A744">
        <f>IF($J744="","",TEXT(급여기준월,"yyyy-mm"))</f>
        <v/>
      </c>
      <c r="B744">
        <f>IF($J744="","",INDEX(명단표[사번],$J744)&amp;"")</f>
        <v/>
      </c>
      <c r="C744">
        <f>IF($J744="","",INDEX(명단표[이름],$J744))</f>
        <v/>
      </c>
      <c r="D744">
        <f>IF($J744="","",INDEX(명단표[수련과목],$J744))</f>
        <v/>
      </c>
      <c r="E744">
        <f>IF($J744="","",INDEX(명단표[연차],$J744)&amp;"")</f>
        <v/>
      </c>
      <c r="F744">
        <f>IF($J744="","",INDEX(명단표[소속병원],$J744))</f>
        <v/>
      </c>
      <c r="G744">
        <f>IF($J744="","",INDEX(명단표[기준월 근무병원],$J744))</f>
        <v/>
      </c>
      <c r="H744">
        <f>IF($J744="","",INDEX(명단표[급여지급병원(기준월)],$J744))</f>
        <v/>
      </c>
      <c r="I744">
        <f>IF($J744="","",INDEX(명단표[급여 판정 근거],$J744))</f>
        <v/>
      </c>
      <c r="J744" s="17">
        <f>IFERROR(MATCH(740,명단표[명단순번],0),"")</f>
        <v/>
      </c>
    </row>
    <row r="745">
      <c r="A745">
        <f>IF($J745="","",TEXT(급여기준월,"yyyy-mm"))</f>
        <v/>
      </c>
      <c r="B745">
        <f>IF($J745="","",INDEX(명단표[사번],$J745)&amp;"")</f>
        <v/>
      </c>
      <c r="C745">
        <f>IF($J745="","",INDEX(명단표[이름],$J745))</f>
        <v/>
      </c>
      <c r="D745">
        <f>IF($J745="","",INDEX(명단표[수련과목],$J745))</f>
        <v/>
      </c>
      <c r="E745">
        <f>IF($J745="","",INDEX(명단표[연차],$J745)&amp;"")</f>
        <v/>
      </c>
      <c r="F745">
        <f>IF($J745="","",INDEX(명단표[소속병원],$J745))</f>
        <v/>
      </c>
      <c r="G745">
        <f>IF($J745="","",INDEX(명단표[기준월 근무병원],$J745))</f>
        <v/>
      </c>
      <c r="H745">
        <f>IF($J745="","",INDEX(명단표[급여지급병원(기준월)],$J745))</f>
        <v/>
      </c>
      <c r="I745">
        <f>IF($J745="","",INDEX(명단표[급여 판정 근거],$J745))</f>
        <v/>
      </c>
      <c r="J745" s="17">
        <f>IFERROR(MATCH(741,명단표[명단순번],0),"")</f>
        <v/>
      </c>
    </row>
    <row r="746">
      <c r="A746">
        <f>IF($J746="","",TEXT(급여기준월,"yyyy-mm"))</f>
        <v/>
      </c>
      <c r="B746">
        <f>IF($J746="","",INDEX(명단표[사번],$J746)&amp;"")</f>
        <v/>
      </c>
      <c r="C746">
        <f>IF($J746="","",INDEX(명단표[이름],$J746))</f>
        <v/>
      </c>
      <c r="D746">
        <f>IF($J746="","",INDEX(명단표[수련과목],$J746))</f>
        <v/>
      </c>
      <c r="E746">
        <f>IF($J746="","",INDEX(명단표[연차],$J746)&amp;"")</f>
        <v/>
      </c>
      <c r="F746">
        <f>IF($J746="","",INDEX(명단표[소속병원],$J746))</f>
        <v/>
      </c>
      <c r="G746">
        <f>IF($J746="","",INDEX(명단표[기준월 근무병원],$J746))</f>
        <v/>
      </c>
      <c r="H746">
        <f>IF($J746="","",INDEX(명단표[급여지급병원(기준월)],$J746))</f>
        <v/>
      </c>
      <c r="I746">
        <f>IF($J746="","",INDEX(명단표[급여 판정 근거],$J746))</f>
        <v/>
      </c>
      <c r="J746" s="17">
        <f>IFERROR(MATCH(742,명단표[명단순번],0),"")</f>
        <v/>
      </c>
    </row>
    <row r="747">
      <c r="A747">
        <f>IF($J747="","",TEXT(급여기준월,"yyyy-mm"))</f>
        <v/>
      </c>
      <c r="B747">
        <f>IF($J747="","",INDEX(명단표[사번],$J747)&amp;"")</f>
        <v/>
      </c>
      <c r="C747">
        <f>IF($J747="","",INDEX(명단표[이름],$J747))</f>
        <v/>
      </c>
      <c r="D747">
        <f>IF($J747="","",INDEX(명단표[수련과목],$J747))</f>
        <v/>
      </c>
      <c r="E747">
        <f>IF($J747="","",INDEX(명단표[연차],$J747)&amp;"")</f>
        <v/>
      </c>
      <c r="F747">
        <f>IF($J747="","",INDEX(명단표[소속병원],$J747))</f>
        <v/>
      </c>
      <c r="G747">
        <f>IF($J747="","",INDEX(명단표[기준월 근무병원],$J747))</f>
        <v/>
      </c>
      <c r="H747">
        <f>IF($J747="","",INDEX(명단표[급여지급병원(기준월)],$J747))</f>
        <v/>
      </c>
      <c r="I747">
        <f>IF($J747="","",INDEX(명단표[급여 판정 근거],$J747))</f>
        <v/>
      </c>
      <c r="J747" s="17">
        <f>IFERROR(MATCH(743,명단표[명단순번],0),"")</f>
        <v/>
      </c>
    </row>
    <row r="748">
      <c r="A748">
        <f>IF($J748="","",TEXT(급여기준월,"yyyy-mm"))</f>
        <v/>
      </c>
      <c r="B748">
        <f>IF($J748="","",INDEX(명단표[사번],$J748)&amp;"")</f>
        <v/>
      </c>
      <c r="C748">
        <f>IF($J748="","",INDEX(명단표[이름],$J748))</f>
        <v/>
      </c>
      <c r="D748">
        <f>IF($J748="","",INDEX(명단표[수련과목],$J748))</f>
        <v/>
      </c>
      <c r="E748">
        <f>IF($J748="","",INDEX(명단표[연차],$J748)&amp;"")</f>
        <v/>
      </c>
      <c r="F748">
        <f>IF($J748="","",INDEX(명단표[소속병원],$J748))</f>
        <v/>
      </c>
      <c r="G748">
        <f>IF($J748="","",INDEX(명단표[기준월 근무병원],$J748))</f>
        <v/>
      </c>
      <c r="H748">
        <f>IF($J748="","",INDEX(명단표[급여지급병원(기준월)],$J748))</f>
        <v/>
      </c>
      <c r="I748">
        <f>IF($J748="","",INDEX(명단표[급여 판정 근거],$J748))</f>
        <v/>
      </c>
      <c r="J748" s="17">
        <f>IFERROR(MATCH(744,명단표[명단순번],0),"")</f>
        <v/>
      </c>
    </row>
    <row r="749">
      <c r="A749">
        <f>IF($J749="","",TEXT(급여기준월,"yyyy-mm"))</f>
        <v/>
      </c>
      <c r="B749">
        <f>IF($J749="","",INDEX(명단표[사번],$J749)&amp;"")</f>
        <v/>
      </c>
      <c r="C749">
        <f>IF($J749="","",INDEX(명단표[이름],$J749))</f>
        <v/>
      </c>
      <c r="D749">
        <f>IF($J749="","",INDEX(명단표[수련과목],$J749))</f>
        <v/>
      </c>
      <c r="E749">
        <f>IF($J749="","",INDEX(명단표[연차],$J749)&amp;"")</f>
        <v/>
      </c>
      <c r="F749">
        <f>IF($J749="","",INDEX(명단표[소속병원],$J749))</f>
        <v/>
      </c>
      <c r="G749">
        <f>IF($J749="","",INDEX(명단표[기준월 근무병원],$J749))</f>
        <v/>
      </c>
      <c r="H749">
        <f>IF($J749="","",INDEX(명단표[급여지급병원(기준월)],$J749))</f>
        <v/>
      </c>
      <c r="I749">
        <f>IF($J749="","",INDEX(명단표[급여 판정 근거],$J749))</f>
        <v/>
      </c>
      <c r="J749" s="17">
        <f>IFERROR(MATCH(745,명단표[명단순번],0),"")</f>
        <v/>
      </c>
    </row>
    <row r="750">
      <c r="A750">
        <f>IF($J750="","",TEXT(급여기준월,"yyyy-mm"))</f>
        <v/>
      </c>
      <c r="B750">
        <f>IF($J750="","",INDEX(명단표[사번],$J750)&amp;"")</f>
        <v/>
      </c>
      <c r="C750">
        <f>IF($J750="","",INDEX(명단표[이름],$J750))</f>
        <v/>
      </c>
      <c r="D750">
        <f>IF($J750="","",INDEX(명단표[수련과목],$J750))</f>
        <v/>
      </c>
      <c r="E750">
        <f>IF($J750="","",INDEX(명단표[연차],$J750)&amp;"")</f>
        <v/>
      </c>
      <c r="F750">
        <f>IF($J750="","",INDEX(명단표[소속병원],$J750))</f>
        <v/>
      </c>
      <c r="G750">
        <f>IF($J750="","",INDEX(명단표[기준월 근무병원],$J750))</f>
        <v/>
      </c>
      <c r="H750">
        <f>IF($J750="","",INDEX(명단표[급여지급병원(기준월)],$J750))</f>
        <v/>
      </c>
      <c r="I750">
        <f>IF($J750="","",INDEX(명단표[급여 판정 근거],$J750))</f>
        <v/>
      </c>
      <c r="J750" s="17">
        <f>IFERROR(MATCH(746,명단표[명단순번],0),"")</f>
        <v/>
      </c>
    </row>
    <row r="751">
      <c r="A751">
        <f>IF($J751="","",TEXT(급여기준월,"yyyy-mm"))</f>
        <v/>
      </c>
      <c r="B751">
        <f>IF($J751="","",INDEX(명단표[사번],$J751)&amp;"")</f>
        <v/>
      </c>
      <c r="C751">
        <f>IF($J751="","",INDEX(명단표[이름],$J751))</f>
        <v/>
      </c>
      <c r="D751">
        <f>IF($J751="","",INDEX(명단표[수련과목],$J751))</f>
        <v/>
      </c>
      <c r="E751">
        <f>IF($J751="","",INDEX(명단표[연차],$J751)&amp;"")</f>
        <v/>
      </c>
      <c r="F751">
        <f>IF($J751="","",INDEX(명단표[소속병원],$J751))</f>
        <v/>
      </c>
      <c r="G751">
        <f>IF($J751="","",INDEX(명단표[기준월 근무병원],$J751))</f>
        <v/>
      </c>
      <c r="H751">
        <f>IF($J751="","",INDEX(명단표[급여지급병원(기준월)],$J751))</f>
        <v/>
      </c>
      <c r="I751">
        <f>IF($J751="","",INDEX(명단표[급여 판정 근거],$J751))</f>
        <v/>
      </c>
      <c r="J751" s="17">
        <f>IFERROR(MATCH(747,명단표[명단순번],0),"")</f>
        <v/>
      </c>
    </row>
    <row r="752">
      <c r="A752">
        <f>IF($J752="","",TEXT(급여기준월,"yyyy-mm"))</f>
        <v/>
      </c>
      <c r="B752">
        <f>IF($J752="","",INDEX(명단표[사번],$J752)&amp;"")</f>
        <v/>
      </c>
      <c r="C752">
        <f>IF($J752="","",INDEX(명단표[이름],$J752))</f>
        <v/>
      </c>
      <c r="D752">
        <f>IF($J752="","",INDEX(명단표[수련과목],$J752))</f>
        <v/>
      </c>
      <c r="E752">
        <f>IF($J752="","",INDEX(명단표[연차],$J752)&amp;"")</f>
        <v/>
      </c>
      <c r="F752">
        <f>IF($J752="","",INDEX(명단표[소속병원],$J752))</f>
        <v/>
      </c>
      <c r="G752">
        <f>IF($J752="","",INDEX(명단표[기준월 근무병원],$J752))</f>
        <v/>
      </c>
      <c r="H752">
        <f>IF($J752="","",INDEX(명단표[급여지급병원(기준월)],$J752))</f>
        <v/>
      </c>
      <c r="I752">
        <f>IF($J752="","",INDEX(명단표[급여 판정 근거],$J752))</f>
        <v/>
      </c>
      <c r="J752" s="17">
        <f>IFERROR(MATCH(748,명단표[명단순번],0),"")</f>
        <v/>
      </c>
    </row>
    <row r="753">
      <c r="A753">
        <f>IF($J753="","",TEXT(급여기준월,"yyyy-mm"))</f>
        <v/>
      </c>
      <c r="B753">
        <f>IF($J753="","",INDEX(명단표[사번],$J753)&amp;"")</f>
        <v/>
      </c>
      <c r="C753">
        <f>IF($J753="","",INDEX(명단표[이름],$J753))</f>
        <v/>
      </c>
      <c r="D753">
        <f>IF($J753="","",INDEX(명단표[수련과목],$J753))</f>
        <v/>
      </c>
      <c r="E753">
        <f>IF($J753="","",INDEX(명단표[연차],$J753)&amp;"")</f>
        <v/>
      </c>
      <c r="F753">
        <f>IF($J753="","",INDEX(명단표[소속병원],$J753))</f>
        <v/>
      </c>
      <c r="G753">
        <f>IF($J753="","",INDEX(명단표[기준월 근무병원],$J753))</f>
        <v/>
      </c>
      <c r="H753">
        <f>IF($J753="","",INDEX(명단표[급여지급병원(기준월)],$J753))</f>
        <v/>
      </c>
      <c r="I753">
        <f>IF($J753="","",INDEX(명단표[급여 판정 근거],$J753))</f>
        <v/>
      </c>
      <c r="J753" s="17">
        <f>IFERROR(MATCH(749,명단표[명단순번],0),"")</f>
        <v/>
      </c>
    </row>
    <row r="754">
      <c r="A754">
        <f>IF($J754="","",TEXT(급여기준월,"yyyy-mm"))</f>
        <v/>
      </c>
      <c r="B754">
        <f>IF($J754="","",INDEX(명단표[사번],$J754)&amp;"")</f>
        <v/>
      </c>
      <c r="C754">
        <f>IF($J754="","",INDEX(명단표[이름],$J754))</f>
        <v/>
      </c>
      <c r="D754">
        <f>IF($J754="","",INDEX(명단표[수련과목],$J754))</f>
        <v/>
      </c>
      <c r="E754">
        <f>IF($J754="","",INDEX(명단표[연차],$J754)&amp;"")</f>
        <v/>
      </c>
      <c r="F754">
        <f>IF($J754="","",INDEX(명단표[소속병원],$J754))</f>
        <v/>
      </c>
      <c r="G754">
        <f>IF($J754="","",INDEX(명단표[기준월 근무병원],$J754))</f>
        <v/>
      </c>
      <c r="H754">
        <f>IF($J754="","",INDEX(명단표[급여지급병원(기준월)],$J754))</f>
        <v/>
      </c>
      <c r="I754">
        <f>IF($J754="","",INDEX(명단표[급여 판정 근거],$J754))</f>
        <v/>
      </c>
      <c r="J754" s="17">
        <f>IFERROR(MATCH(750,명단표[명단순번],0),"")</f>
        <v/>
      </c>
    </row>
    <row r="755">
      <c r="A755">
        <f>IF($J755="","",TEXT(급여기준월,"yyyy-mm"))</f>
        <v/>
      </c>
      <c r="B755">
        <f>IF($J755="","",INDEX(명단표[사번],$J755)&amp;"")</f>
        <v/>
      </c>
      <c r="C755">
        <f>IF($J755="","",INDEX(명단표[이름],$J755))</f>
        <v/>
      </c>
      <c r="D755">
        <f>IF($J755="","",INDEX(명단표[수련과목],$J755))</f>
        <v/>
      </c>
      <c r="E755">
        <f>IF($J755="","",INDEX(명단표[연차],$J755)&amp;"")</f>
        <v/>
      </c>
      <c r="F755">
        <f>IF($J755="","",INDEX(명단표[소속병원],$J755))</f>
        <v/>
      </c>
      <c r="G755">
        <f>IF($J755="","",INDEX(명단표[기준월 근무병원],$J755))</f>
        <v/>
      </c>
      <c r="H755">
        <f>IF($J755="","",INDEX(명단표[급여지급병원(기준월)],$J755))</f>
        <v/>
      </c>
      <c r="I755">
        <f>IF($J755="","",INDEX(명단표[급여 판정 근거],$J755))</f>
        <v/>
      </c>
      <c r="J755" s="17">
        <f>IFERROR(MATCH(751,명단표[명단순번],0),"")</f>
        <v/>
      </c>
    </row>
    <row r="756">
      <c r="A756">
        <f>IF($J756="","",TEXT(급여기준월,"yyyy-mm"))</f>
        <v/>
      </c>
      <c r="B756">
        <f>IF($J756="","",INDEX(명단표[사번],$J756)&amp;"")</f>
        <v/>
      </c>
      <c r="C756">
        <f>IF($J756="","",INDEX(명단표[이름],$J756))</f>
        <v/>
      </c>
      <c r="D756">
        <f>IF($J756="","",INDEX(명단표[수련과목],$J756))</f>
        <v/>
      </c>
      <c r="E756">
        <f>IF($J756="","",INDEX(명단표[연차],$J756)&amp;"")</f>
        <v/>
      </c>
      <c r="F756">
        <f>IF($J756="","",INDEX(명단표[소속병원],$J756))</f>
        <v/>
      </c>
      <c r="G756">
        <f>IF($J756="","",INDEX(명단표[기준월 근무병원],$J756))</f>
        <v/>
      </c>
      <c r="H756">
        <f>IF($J756="","",INDEX(명단표[급여지급병원(기준월)],$J756))</f>
        <v/>
      </c>
      <c r="I756">
        <f>IF($J756="","",INDEX(명단표[급여 판정 근거],$J756))</f>
        <v/>
      </c>
      <c r="J756" s="17">
        <f>IFERROR(MATCH(752,명단표[명단순번],0),"")</f>
        <v/>
      </c>
    </row>
    <row r="757">
      <c r="A757">
        <f>IF($J757="","",TEXT(급여기준월,"yyyy-mm"))</f>
        <v/>
      </c>
      <c r="B757">
        <f>IF($J757="","",INDEX(명단표[사번],$J757)&amp;"")</f>
        <v/>
      </c>
      <c r="C757">
        <f>IF($J757="","",INDEX(명단표[이름],$J757))</f>
        <v/>
      </c>
      <c r="D757">
        <f>IF($J757="","",INDEX(명단표[수련과목],$J757))</f>
        <v/>
      </c>
      <c r="E757">
        <f>IF($J757="","",INDEX(명단표[연차],$J757)&amp;"")</f>
        <v/>
      </c>
      <c r="F757">
        <f>IF($J757="","",INDEX(명단표[소속병원],$J757))</f>
        <v/>
      </c>
      <c r="G757">
        <f>IF($J757="","",INDEX(명단표[기준월 근무병원],$J757))</f>
        <v/>
      </c>
      <c r="H757">
        <f>IF($J757="","",INDEX(명단표[급여지급병원(기준월)],$J757))</f>
        <v/>
      </c>
      <c r="I757">
        <f>IF($J757="","",INDEX(명단표[급여 판정 근거],$J757))</f>
        <v/>
      </c>
      <c r="J757" s="17">
        <f>IFERROR(MATCH(753,명단표[명단순번],0),"")</f>
        <v/>
      </c>
    </row>
    <row r="758">
      <c r="A758">
        <f>IF($J758="","",TEXT(급여기준월,"yyyy-mm"))</f>
        <v/>
      </c>
      <c r="B758">
        <f>IF($J758="","",INDEX(명단표[사번],$J758)&amp;"")</f>
        <v/>
      </c>
      <c r="C758">
        <f>IF($J758="","",INDEX(명단표[이름],$J758))</f>
        <v/>
      </c>
      <c r="D758">
        <f>IF($J758="","",INDEX(명단표[수련과목],$J758))</f>
        <v/>
      </c>
      <c r="E758">
        <f>IF($J758="","",INDEX(명단표[연차],$J758)&amp;"")</f>
        <v/>
      </c>
      <c r="F758">
        <f>IF($J758="","",INDEX(명단표[소속병원],$J758))</f>
        <v/>
      </c>
      <c r="G758">
        <f>IF($J758="","",INDEX(명단표[기준월 근무병원],$J758))</f>
        <v/>
      </c>
      <c r="H758">
        <f>IF($J758="","",INDEX(명단표[급여지급병원(기준월)],$J758))</f>
        <v/>
      </c>
      <c r="I758">
        <f>IF($J758="","",INDEX(명단표[급여 판정 근거],$J758))</f>
        <v/>
      </c>
      <c r="J758" s="17">
        <f>IFERROR(MATCH(754,명단표[명단순번],0),"")</f>
        <v/>
      </c>
    </row>
    <row r="759">
      <c r="A759">
        <f>IF($J759="","",TEXT(급여기준월,"yyyy-mm"))</f>
        <v/>
      </c>
      <c r="B759">
        <f>IF($J759="","",INDEX(명단표[사번],$J759)&amp;"")</f>
        <v/>
      </c>
      <c r="C759">
        <f>IF($J759="","",INDEX(명단표[이름],$J759))</f>
        <v/>
      </c>
      <c r="D759">
        <f>IF($J759="","",INDEX(명단표[수련과목],$J759))</f>
        <v/>
      </c>
      <c r="E759">
        <f>IF($J759="","",INDEX(명단표[연차],$J759)&amp;"")</f>
        <v/>
      </c>
      <c r="F759">
        <f>IF($J759="","",INDEX(명단표[소속병원],$J759))</f>
        <v/>
      </c>
      <c r="G759">
        <f>IF($J759="","",INDEX(명단표[기준월 근무병원],$J759))</f>
        <v/>
      </c>
      <c r="H759">
        <f>IF($J759="","",INDEX(명단표[급여지급병원(기준월)],$J759))</f>
        <v/>
      </c>
      <c r="I759">
        <f>IF($J759="","",INDEX(명단표[급여 판정 근거],$J759))</f>
        <v/>
      </c>
      <c r="J759" s="17">
        <f>IFERROR(MATCH(755,명단표[명단순번],0),"")</f>
        <v/>
      </c>
    </row>
    <row r="760">
      <c r="A760">
        <f>IF($J760="","",TEXT(급여기준월,"yyyy-mm"))</f>
        <v/>
      </c>
      <c r="B760">
        <f>IF($J760="","",INDEX(명단표[사번],$J760)&amp;"")</f>
        <v/>
      </c>
      <c r="C760">
        <f>IF($J760="","",INDEX(명단표[이름],$J760))</f>
        <v/>
      </c>
      <c r="D760">
        <f>IF($J760="","",INDEX(명단표[수련과목],$J760))</f>
        <v/>
      </c>
      <c r="E760">
        <f>IF($J760="","",INDEX(명단표[연차],$J760)&amp;"")</f>
        <v/>
      </c>
      <c r="F760">
        <f>IF($J760="","",INDEX(명단표[소속병원],$J760))</f>
        <v/>
      </c>
      <c r="G760">
        <f>IF($J760="","",INDEX(명단표[기준월 근무병원],$J760))</f>
        <v/>
      </c>
      <c r="H760">
        <f>IF($J760="","",INDEX(명단표[급여지급병원(기준월)],$J760))</f>
        <v/>
      </c>
      <c r="I760">
        <f>IF($J760="","",INDEX(명단표[급여 판정 근거],$J760))</f>
        <v/>
      </c>
      <c r="J760" s="17">
        <f>IFERROR(MATCH(756,명단표[명단순번],0),"")</f>
        <v/>
      </c>
    </row>
    <row r="761">
      <c r="A761">
        <f>IF($J761="","",TEXT(급여기준월,"yyyy-mm"))</f>
        <v/>
      </c>
      <c r="B761">
        <f>IF($J761="","",INDEX(명단표[사번],$J761)&amp;"")</f>
        <v/>
      </c>
      <c r="C761">
        <f>IF($J761="","",INDEX(명단표[이름],$J761))</f>
        <v/>
      </c>
      <c r="D761">
        <f>IF($J761="","",INDEX(명단표[수련과목],$J761))</f>
        <v/>
      </c>
      <c r="E761">
        <f>IF($J761="","",INDEX(명단표[연차],$J761)&amp;"")</f>
        <v/>
      </c>
      <c r="F761">
        <f>IF($J761="","",INDEX(명단표[소속병원],$J761))</f>
        <v/>
      </c>
      <c r="G761">
        <f>IF($J761="","",INDEX(명단표[기준월 근무병원],$J761))</f>
        <v/>
      </c>
      <c r="H761">
        <f>IF($J761="","",INDEX(명단표[급여지급병원(기준월)],$J761))</f>
        <v/>
      </c>
      <c r="I761">
        <f>IF($J761="","",INDEX(명단표[급여 판정 근거],$J761))</f>
        <v/>
      </c>
      <c r="J761" s="17">
        <f>IFERROR(MATCH(757,명단표[명단순번],0),"")</f>
        <v/>
      </c>
    </row>
    <row r="762">
      <c r="A762">
        <f>IF($J762="","",TEXT(급여기준월,"yyyy-mm"))</f>
        <v/>
      </c>
      <c r="B762">
        <f>IF($J762="","",INDEX(명단표[사번],$J762)&amp;"")</f>
        <v/>
      </c>
      <c r="C762">
        <f>IF($J762="","",INDEX(명단표[이름],$J762))</f>
        <v/>
      </c>
      <c r="D762">
        <f>IF($J762="","",INDEX(명단표[수련과목],$J762))</f>
        <v/>
      </c>
      <c r="E762">
        <f>IF($J762="","",INDEX(명단표[연차],$J762)&amp;"")</f>
        <v/>
      </c>
      <c r="F762">
        <f>IF($J762="","",INDEX(명단표[소속병원],$J762))</f>
        <v/>
      </c>
      <c r="G762">
        <f>IF($J762="","",INDEX(명단표[기준월 근무병원],$J762))</f>
        <v/>
      </c>
      <c r="H762">
        <f>IF($J762="","",INDEX(명단표[급여지급병원(기준월)],$J762))</f>
        <v/>
      </c>
      <c r="I762">
        <f>IF($J762="","",INDEX(명단표[급여 판정 근거],$J762))</f>
        <v/>
      </c>
      <c r="J762" s="17">
        <f>IFERROR(MATCH(758,명단표[명단순번],0),"")</f>
        <v/>
      </c>
    </row>
    <row r="763">
      <c r="A763">
        <f>IF($J763="","",TEXT(급여기준월,"yyyy-mm"))</f>
        <v/>
      </c>
      <c r="B763">
        <f>IF($J763="","",INDEX(명단표[사번],$J763)&amp;"")</f>
        <v/>
      </c>
      <c r="C763">
        <f>IF($J763="","",INDEX(명단표[이름],$J763))</f>
        <v/>
      </c>
      <c r="D763">
        <f>IF($J763="","",INDEX(명단표[수련과목],$J763))</f>
        <v/>
      </c>
      <c r="E763">
        <f>IF($J763="","",INDEX(명단표[연차],$J763)&amp;"")</f>
        <v/>
      </c>
      <c r="F763">
        <f>IF($J763="","",INDEX(명단표[소속병원],$J763))</f>
        <v/>
      </c>
      <c r="G763">
        <f>IF($J763="","",INDEX(명단표[기준월 근무병원],$J763))</f>
        <v/>
      </c>
      <c r="H763">
        <f>IF($J763="","",INDEX(명단표[급여지급병원(기준월)],$J763))</f>
        <v/>
      </c>
      <c r="I763">
        <f>IF($J763="","",INDEX(명단표[급여 판정 근거],$J763))</f>
        <v/>
      </c>
      <c r="J763" s="17">
        <f>IFERROR(MATCH(759,명단표[명단순번],0),"")</f>
        <v/>
      </c>
    </row>
    <row r="764">
      <c r="A764">
        <f>IF($J764="","",TEXT(급여기준월,"yyyy-mm"))</f>
        <v/>
      </c>
      <c r="B764">
        <f>IF($J764="","",INDEX(명단표[사번],$J764)&amp;"")</f>
        <v/>
      </c>
      <c r="C764">
        <f>IF($J764="","",INDEX(명단표[이름],$J764))</f>
        <v/>
      </c>
      <c r="D764">
        <f>IF($J764="","",INDEX(명단표[수련과목],$J764))</f>
        <v/>
      </c>
      <c r="E764">
        <f>IF($J764="","",INDEX(명단표[연차],$J764)&amp;"")</f>
        <v/>
      </c>
      <c r="F764">
        <f>IF($J764="","",INDEX(명단표[소속병원],$J764))</f>
        <v/>
      </c>
      <c r="G764">
        <f>IF($J764="","",INDEX(명단표[기준월 근무병원],$J764))</f>
        <v/>
      </c>
      <c r="H764">
        <f>IF($J764="","",INDEX(명단표[급여지급병원(기준월)],$J764))</f>
        <v/>
      </c>
      <c r="I764">
        <f>IF($J764="","",INDEX(명단표[급여 판정 근거],$J764))</f>
        <v/>
      </c>
      <c r="J764" s="17">
        <f>IFERROR(MATCH(760,명단표[명단순번],0),"")</f>
        <v/>
      </c>
    </row>
    <row r="765">
      <c r="A765">
        <f>IF($J765="","",TEXT(급여기준월,"yyyy-mm"))</f>
        <v/>
      </c>
      <c r="B765">
        <f>IF($J765="","",INDEX(명단표[사번],$J765)&amp;"")</f>
        <v/>
      </c>
      <c r="C765">
        <f>IF($J765="","",INDEX(명단표[이름],$J765))</f>
        <v/>
      </c>
      <c r="D765">
        <f>IF($J765="","",INDEX(명단표[수련과목],$J765))</f>
        <v/>
      </c>
      <c r="E765">
        <f>IF($J765="","",INDEX(명단표[연차],$J765)&amp;"")</f>
        <v/>
      </c>
      <c r="F765">
        <f>IF($J765="","",INDEX(명단표[소속병원],$J765))</f>
        <v/>
      </c>
      <c r="G765">
        <f>IF($J765="","",INDEX(명단표[기준월 근무병원],$J765))</f>
        <v/>
      </c>
      <c r="H765">
        <f>IF($J765="","",INDEX(명단표[급여지급병원(기준월)],$J765))</f>
        <v/>
      </c>
      <c r="I765">
        <f>IF($J765="","",INDEX(명단표[급여 판정 근거],$J765))</f>
        <v/>
      </c>
      <c r="J765" s="17">
        <f>IFERROR(MATCH(761,명단표[명단순번],0),"")</f>
        <v/>
      </c>
    </row>
    <row r="766">
      <c r="A766">
        <f>IF($J766="","",TEXT(급여기준월,"yyyy-mm"))</f>
        <v/>
      </c>
      <c r="B766">
        <f>IF($J766="","",INDEX(명단표[사번],$J766)&amp;"")</f>
        <v/>
      </c>
      <c r="C766">
        <f>IF($J766="","",INDEX(명단표[이름],$J766))</f>
        <v/>
      </c>
      <c r="D766">
        <f>IF($J766="","",INDEX(명단표[수련과목],$J766))</f>
        <v/>
      </c>
      <c r="E766">
        <f>IF($J766="","",INDEX(명단표[연차],$J766)&amp;"")</f>
        <v/>
      </c>
      <c r="F766">
        <f>IF($J766="","",INDEX(명단표[소속병원],$J766))</f>
        <v/>
      </c>
      <c r="G766">
        <f>IF($J766="","",INDEX(명단표[기준월 근무병원],$J766))</f>
        <v/>
      </c>
      <c r="H766">
        <f>IF($J766="","",INDEX(명단표[급여지급병원(기준월)],$J766))</f>
        <v/>
      </c>
      <c r="I766">
        <f>IF($J766="","",INDEX(명단표[급여 판정 근거],$J766))</f>
        <v/>
      </c>
      <c r="J766" s="17">
        <f>IFERROR(MATCH(762,명단표[명단순번],0),"")</f>
        <v/>
      </c>
    </row>
    <row r="767">
      <c r="A767">
        <f>IF($J767="","",TEXT(급여기준월,"yyyy-mm"))</f>
        <v/>
      </c>
      <c r="B767">
        <f>IF($J767="","",INDEX(명단표[사번],$J767)&amp;"")</f>
        <v/>
      </c>
      <c r="C767">
        <f>IF($J767="","",INDEX(명단표[이름],$J767))</f>
        <v/>
      </c>
      <c r="D767">
        <f>IF($J767="","",INDEX(명단표[수련과목],$J767))</f>
        <v/>
      </c>
      <c r="E767">
        <f>IF($J767="","",INDEX(명단표[연차],$J767)&amp;"")</f>
        <v/>
      </c>
      <c r="F767">
        <f>IF($J767="","",INDEX(명단표[소속병원],$J767))</f>
        <v/>
      </c>
      <c r="G767">
        <f>IF($J767="","",INDEX(명단표[기준월 근무병원],$J767))</f>
        <v/>
      </c>
      <c r="H767">
        <f>IF($J767="","",INDEX(명단표[급여지급병원(기준월)],$J767))</f>
        <v/>
      </c>
      <c r="I767">
        <f>IF($J767="","",INDEX(명단표[급여 판정 근거],$J767))</f>
        <v/>
      </c>
      <c r="J767" s="17">
        <f>IFERROR(MATCH(763,명단표[명단순번],0),"")</f>
        <v/>
      </c>
    </row>
    <row r="768">
      <c r="A768">
        <f>IF($J768="","",TEXT(급여기준월,"yyyy-mm"))</f>
        <v/>
      </c>
      <c r="B768">
        <f>IF($J768="","",INDEX(명단표[사번],$J768)&amp;"")</f>
        <v/>
      </c>
      <c r="C768">
        <f>IF($J768="","",INDEX(명단표[이름],$J768))</f>
        <v/>
      </c>
      <c r="D768">
        <f>IF($J768="","",INDEX(명단표[수련과목],$J768))</f>
        <v/>
      </c>
      <c r="E768">
        <f>IF($J768="","",INDEX(명단표[연차],$J768)&amp;"")</f>
        <v/>
      </c>
      <c r="F768">
        <f>IF($J768="","",INDEX(명단표[소속병원],$J768))</f>
        <v/>
      </c>
      <c r="G768">
        <f>IF($J768="","",INDEX(명단표[기준월 근무병원],$J768))</f>
        <v/>
      </c>
      <c r="H768">
        <f>IF($J768="","",INDEX(명단표[급여지급병원(기준월)],$J768))</f>
        <v/>
      </c>
      <c r="I768">
        <f>IF($J768="","",INDEX(명단표[급여 판정 근거],$J768))</f>
        <v/>
      </c>
      <c r="J768" s="17">
        <f>IFERROR(MATCH(764,명단표[명단순번],0),"")</f>
        <v/>
      </c>
    </row>
    <row r="769">
      <c r="A769">
        <f>IF($J769="","",TEXT(급여기준월,"yyyy-mm"))</f>
        <v/>
      </c>
      <c r="B769">
        <f>IF($J769="","",INDEX(명단표[사번],$J769)&amp;"")</f>
        <v/>
      </c>
      <c r="C769">
        <f>IF($J769="","",INDEX(명단표[이름],$J769))</f>
        <v/>
      </c>
      <c r="D769">
        <f>IF($J769="","",INDEX(명단표[수련과목],$J769))</f>
        <v/>
      </c>
      <c r="E769">
        <f>IF($J769="","",INDEX(명단표[연차],$J769)&amp;"")</f>
        <v/>
      </c>
      <c r="F769">
        <f>IF($J769="","",INDEX(명단표[소속병원],$J769))</f>
        <v/>
      </c>
      <c r="G769">
        <f>IF($J769="","",INDEX(명단표[기준월 근무병원],$J769))</f>
        <v/>
      </c>
      <c r="H769">
        <f>IF($J769="","",INDEX(명단표[급여지급병원(기준월)],$J769))</f>
        <v/>
      </c>
      <c r="I769">
        <f>IF($J769="","",INDEX(명단표[급여 판정 근거],$J769))</f>
        <v/>
      </c>
      <c r="J769" s="17">
        <f>IFERROR(MATCH(765,명단표[명단순번],0),"")</f>
        <v/>
      </c>
    </row>
    <row r="770">
      <c r="A770">
        <f>IF($J770="","",TEXT(급여기준월,"yyyy-mm"))</f>
        <v/>
      </c>
      <c r="B770">
        <f>IF($J770="","",INDEX(명단표[사번],$J770)&amp;"")</f>
        <v/>
      </c>
      <c r="C770">
        <f>IF($J770="","",INDEX(명단표[이름],$J770))</f>
        <v/>
      </c>
      <c r="D770">
        <f>IF($J770="","",INDEX(명단표[수련과목],$J770))</f>
        <v/>
      </c>
      <c r="E770">
        <f>IF($J770="","",INDEX(명단표[연차],$J770)&amp;"")</f>
        <v/>
      </c>
      <c r="F770">
        <f>IF($J770="","",INDEX(명단표[소속병원],$J770))</f>
        <v/>
      </c>
      <c r="G770">
        <f>IF($J770="","",INDEX(명단표[기준월 근무병원],$J770))</f>
        <v/>
      </c>
      <c r="H770">
        <f>IF($J770="","",INDEX(명단표[급여지급병원(기준월)],$J770))</f>
        <v/>
      </c>
      <c r="I770">
        <f>IF($J770="","",INDEX(명단표[급여 판정 근거],$J770))</f>
        <v/>
      </c>
      <c r="J770" s="17">
        <f>IFERROR(MATCH(766,명단표[명단순번],0),"")</f>
        <v/>
      </c>
    </row>
    <row r="771">
      <c r="A771">
        <f>IF($J771="","",TEXT(급여기준월,"yyyy-mm"))</f>
        <v/>
      </c>
      <c r="B771">
        <f>IF($J771="","",INDEX(명단표[사번],$J771)&amp;"")</f>
        <v/>
      </c>
      <c r="C771">
        <f>IF($J771="","",INDEX(명단표[이름],$J771))</f>
        <v/>
      </c>
      <c r="D771">
        <f>IF($J771="","",INDEX(명단표[수련과목],$J771))</f>
        <v/>
      </c>
      <c r="E771">
        <f>IF($J771="","",INDEX(명단표[연차],$J771)&amp;"")</f>
        <v/>
      </c>
      <c r="F771">
        <f>IF($J771="","",INDEX(명단표[소속병원],$J771))</f>
        <v/>
      </c>
      <c r="G771">
        <f>IF($J771="","",INDEX(명단표[기준월 근무병원],$J771))</f>
        <v/>
      </c>
      <c r="H771">
        <f>IF($J771="","",INDEX(명단표[급여지급병원(기준월)],$J771))</f>
        <v/>
      </c>
      <c r="I771">
        <f>IF($J771="","",INDEX(명단표[급여 판정 근거],$J771))</f>
        <v/>
      </c>
      <c r="J771" s="17">
        <f>IFERROR(MATCH(767,명단표[명단순번],0),"")</f>
        <v/>
      </c>
    </row>
    <row r="772">
      <c r="A772">
        <f>IF($J772="","",TEXT(급여기준월,"yyyy-mm"))</f>
        <v/>
      </c>
      <c r="B772">
        <f>IF($J772="","",INDEX(명단표[사번],$J772)&amp;"")</f>
        <v/>
      </c>
      <c r="C772">
        <f>IF($J772="","",INDEX(명단표[이름],$J772))</f>
        <v/>
      </c>
      <c r="D772">
        <f>IF($J772="","",INDEX(명단표[수련과목],$J772))</f>
        <v/>
      </c>
      <c r="E772">
        <f>IF($J772="","",INDEX(명단표[연차],$J772)&amp;"")</f>
        <v/>
      </c>
      <c r="F772">
        <f>IF($J772="","",INDEX(명단표[소속병원],$J772))</f>
        <v/>
      </c>
      <c r="G772">
        <f>IF($J772="","",INDEX(명단표[기준월 근무병원],$J772))</f>
        <v/>
      </c>
      <c r="H772">
        <f>IF($J772="","",INDEX(명단표[급여지급병원(기준월)],$J772))</f>
        <v/>
      </c>
      <c r="I772">
        <f>IF($J772="","",INDEX(명단표[급여 판정 근거],$J772))</f>
        <v/>
      </c>
      <c r="J772" s="17">
        <f>IFERROR(MATCH(768,명단표[명단순번],0),"")</f>
        <v/>
      </c>
    </row>
    <row r="773">
      <c r="A773">
        <f>IF($J773="","",TEXT(급여기준월,"yyyy-mm"))</f>
        <v/>
      </c>
      <c r="B773">
        <f>IF($J773="","",INDEX(명단표[사번],$J773)&amp;"")</f>
        <v/>
      </c>
      <c r="C773">
        <f>IF($J773="","",INDEX(명단표[이름],$J773))</f>
        <v/>
      </c>
      <c r="D773">
        <f>IF($J773="","",INDEX(명단표[수련과목],$J773))</f>
        <v/>
      </c>
      <c r="E773">
        <f>IF($J773="","",INDEX(명단표[연차],$J773)&amp;"")</f>
        <v/>
      </c>
      <c r="F773">
        <f>IF($J773="","",INDEX(명단표[소속병원],$J773))</f>
        <v/>
      </c>
      <c r="G773">
        <f>IF($J773="","",INDEX(명단표[기준월 근무병원],$J773))</f>
        <v/>
      </c>
      <c r="H773">
        <f>IF($J773="","",INDEX(명단표[급여지급병원(기준월)],$J773))</f>
        <v/>
      </c>
      <c r="I773">
        <f>IF($J773="","",INDEX(명단표[급여 판정 근거],$J773))</f>
        <v/>
      </c>
      <c r="J773" s="17">
        <f>IFERROR(MATCH(769,명단표[명단순번],0),"")</f>
        <v/>
      </c>
    </row>
    <row r="774">
      <c r="A774">
        <f>IF($J774="","",TEXT(급여기준월,"yyyy-mm"))</f>
        <v/>
      </c>
      <c r="B774">
        <f>IF($J774="","",INDEX(명단표[사번],$J774)&amp;"")</f>
        <v/>
      </c>
      <c r="C774">
        <f>IF($J774="","",INDEX(명단표[이름],$J774))</f>
        <v/>
      </c>
      <c r="D774">
        <f>IF($J774="","",INDEX(명단표[수련과목],$J774))</f>
        <v/>
      </c>
      <c r="E774">
        <f>IF($J774="","",INDEX(명단표[연차],$J774)&amp;"")</f>
        <v/>
      </c>
      <c r="F774">
        <f>IF($J774="","",INDEX(명단표[소속병원],$J774))</f>
        <v/>
      </c>
      <c r="G774">
        <f>IF($J774="","",INDEX(명단표[기준월 근무병원],$J774))</f>
        <v/>
      </c>
      <c r="H774">
        <f>IF($J774="","",INDEX(명단표[급여지급병원(기준월)],$J774))</f>
        <v/>
      </c>
      <c r="I774">
        <f>IF($J774="","",INDEX(명단표[급여 판정 근거],$J774))</f>
        <v/>
      </c>
      <c r="J774" s="17">
        <f>IFERROR(MATCH(770,명단표[명단순번],0),"")</f>
        <v/>
      </c>
    </row>
    <row r="775">
      <c r="A775">
        <f>IF($J775="","",TEXT(급여기준월,"yyyy-mm"))</f>
        <v/>
      </c>
      <c r="B775">
        <f>IF($J775="","",INDEX(명단표[사번],$J775)&amp;"")</f>
        <v/>
      </c>
      <c r="C775">
        <f>IF($J775="","",INDEX(명단표[이름],$J775))</f>
        <v/>
      </c>
      <c r="D775">
        <f>IF($J775="","",INDEX(명단표[수련과목],$J775))</f>
        <v/>
      </c>
      <c r="E775">
        <f>IF($J775="","",INDEX(명단표[연차],$J775)&amp;"")</f>
        <v/>
      </c>
      <c r="F775">
        <f>IF($J775="","",INDEX(명단표[소속병원],$J775))</f>
        <v/>
      </c>
      <c r="G775">
        <f>IF($J775="","",INDEX(명단표[기준월 근무병원],$J775))</f>
        <v/>
      </c>
      <c r="H775">
        <f>IF($J775="","",INDEX(명단표[급여지급병원(기준월)],$J775))</f>
        <v/>
      </c>
      <c r="I775">
        <f>IF($J775="","",INDEX(명단표[급여 판정 근거],$J775))</f>
        <v/>
      </c>
      <c r="J775" s="17">
        <f>IFERROR(MATCH(771,명단표[명단순번],0),"")</f>
        <v/>
      </c>
    </row>
    <row r="776">
      <c r="A776">
        <f>IF($J776="","",TEXT(급여기준월,"yyyy-mm"))</f>
        <v/>
      </c>
      <c r="B776">
        <f>IF($J776="","",INDEX(명단표[사번],$J776)&amp;"")</f>
        <v/>
      </c>
      <c r="C776">
        <f>IF($J776="","",INDEX(명단표[이름],$J776))</f>
        <v/>
      </c>
      <c r="D776">
        <f>IF($J776="","",INDEX(명단표[수련과목],$J776))</f>
        <v/>
      </c>
      <c r="E776">
        <f>IF($J776="","",INDEX(명단표[연차],$J776)&amp;"")</f>
        <v/>
      </c>
      <c r="F776">
        <f>IF($J776="","",INDEX(명단표[소속병원],$J776))</f>
        <v/>
      </c>
      <c r="G776">
        <f>IF($J776="","",INDEX(명단표[기준월 근무병원],$J776))</f>
        <v/>
      </c>
      <c r="H776">
        <f>IF($J776="","",INDEX(명단표[급여지급병원(기준월)],$J776))</f>
        <v/>
      </c>
      <c r="I776">
        <f>IF($J776="","",INDEX(명단표[급여 판정 근거],$J776))</f>
        <v/>
      </c>
      <c r="J776" s="17">
        <f>IFERROR(MATCH(772,명단표[명단순번],0),"")</f>
        <v/>
      </c>
    </row>
    <row r="777">
      <c r="A777">
        <f>IF($J777="","",TEXT(급여기준월,"yyyy-mm"))</f>
        <v/>
      </c>
      <c r="B777">
        <f>IF($J777="","",INDEX(명단표[사번],$J777)&amp;"")</f>
        <v/>
      </c>
      <c r="C777">
        <f>IF($J777="","",INDEX(명단표[이름],$J777))</f>
        <v/>
      </c>
      <c r="D777">
        <f>IF($J777="","",INDEX(명단표[수련과목],$J777))</f>
        <v/>
      </c>
      <c r="E777">
        <f>IF($J777="","",INDEX(명단표[연차],$J777)&amp;"")</f>
        <v/>
      </c>
      <c r="F777">
        <f>IF($J777="","",INDEX(명단표[소속병원],$J777))</f>
        <v/>
      </c>
      <c r="G777">
        <f>IF($J777="","",INDEX(명단표[기준월 근무병원],$J777))</f>
        <v/>
      </c>
      <c r="H777">
        <f>IF($J777="","",INDEX(명단표[급여지급병원(기준월)],$J777))</f>
        <v/>
      </c>
      <c r="I777">
        <f>IF($J777="","",INDEX(명단표[급여 판정 근거],$J777))</f>
        <v/>
      </c>
      <c r="J777" s="17">
        <f>IFERROR(MATCH(773,명단표[명단순번],0),"")</f>
        <v/>
      </c>
    </row>
    <row r="778">
      <c r="A778">
        <f>IF($J778="","",TEXT(급여기준월,"yyyy-mm"))</f>
        <v/>
      </c>
      <c r="B778">
        <f>IF($J778="","",INDEX(명단표[사번],$J778)&amp;"")</f>
        <v/>
      </c>
      <c r="C778">
        <f>IF($J778="","",INDEX(명단표[이름],$J778))</f>
        <v/>
      </c>
      <c r="D778">
        <f>IF($J778="","",INDEX(명단표[수련과목],$J778))</f>
        <v/>
      </c>
      <c r="E778">
        <f>IF($J778="","",INDEX(명단표[연차],$J778)&amp;"")</f>
        <v/>
      </c>
      <c r="F778">
        <f>IF($J778="","",INDEX(명단표[소속병원],$J778))</f>
        <v/>
      </c>
      <c r="G778">
        <f>IF($J778="","",INDEX(명단표[기준월 근무병원],$J778))</f>
        <v/>
      </c>
      <c r="H778">
        <f>IF($J778="","",INDEX(명단표[급여지급병원(기준월)],$J778))</f>
        <v/>
      </c>
      <c r="I778">
        <f>IF($J778="","",INDEX(명단표[급여 판정 근거],$J778))</f>
        <v/>
      </c>
      <c r="J778" s="17">
        <f>IFERROR(MATCH(774,명단표[명단순번],0),"")</f>
        <v/>
      </c>
    </row>
    <row r="779">
      <c r="A779">
        <f>IF($J779="","",TEXT(급여기준월,"yyyy-mm"))</f>
        <v/>
      </c>
      <c r="B779">
        <f>IF($J779="","",INDEX(명단표[사번],$J779)&amp;"")</f>
        <v/>
      </c>
      <c r="C779">
        <f>IF($J779="","",INDEX(명단표[이름],$J779))</f>
        <v/>
      </c>
      <c r="D779">
        <f>IF($J779="","",INDEX(명단표[수련과목],$J779))</f>
        <v/>
      </c>
      <c r="E779">
        <f>IF($J779="","",INDEX(명단표[연차],$J779)&amp;"")</f>
        <v/>
      </c>
      <c r="F779">
        <f>IF($J779="","",INDEX(명단표[소속병원],$J779))</f>
        <v/>
      </c>
      <c r="G779">
        <f>IF($J779="","",INDEX(명단표[기준월 근무병원],$J779))</f>
        <v/>
      </c>
      <c r="H779">
        <f>IF($J779="","",INDEX(명단표[급여지급병원(기준월)],$J779))</f>
        <v/>
      </c>
      <c r="I779">
        <f>IF($J779="","",INDEX(명단표[급여 판정 근거],$J779))</f>
        <v/>
      </c>
      <c r="J779" s="17">
        <f>IFERROR(MATCH(775,명단표[명단순번],0),"")</f>
        <v/>
      </c>
    </row>
    <row r="780">
      <c r="A780">
        <f>IF($J780="","",TEXT(급여기준월,"yyyy-mm"))</f>
        <v/>
      </c>
      <c r="B780">
        <f>IF($J780="","",INDEX(명단표[사번],$J780)&amp;"")</f>
        <v/>
      </c>
      <c r="C780">
        <f>IF($J780="","",INDEX(명단표[이름],$J780))</f>
        <v/>
      </c>
      <c r="D780">
        <f>IF($J780="","",INDEX(명단표[수련과목],$J780))</f>
        <v/>
      </c>
      <c r="E780">
        <f>IF($J780="","",INDEX(명단표[연차],$J780)&amp;"")</f>
        <v/>
      </c>
      <c r="F780">
        <f>IF($J780="","",INDEX(명단표[소속병원],$J780))</f>
        <v/>
      </c>
      <c r="G780">
        <f>IF($J780="","",INDEX(명단표[기준월 근무병원],$J780))</f>
        <v/>
      </c>
      <c r="H780">
        <f>IF($J780="","",INDEX(명단표[급여지급병원(기준월)],$J780))</f>
        <v/>
      </c>
      <c r="I780">
        <f>IF($J780="","",INDEX(명단표[급여 판정 근거],$J780))</f>
        <v/>
      </c>
      <c r="J780" s="17">
        <f>IFERROR(MATCH(776,명단표[명단순번],0),"")</f>
        <v/>
      </c>
    </row>
    <row r="781">
      <c r="A781">
        <f>IF($J781="","",TEXT(급여기준월,"yyyy-mm"))</f>
        <v/>
      </c>
      <c r="B781">
        <f>IF($J781="","",INDEX(명단표[사번],$J781)&amp;"")</f>
        <v/>
      </c>
      <c r="C781">
        <f>IF($J781="","",INDEX(명단표[이름],$J781))</f>
        <v/>
      </c>
      <c r="D781">
        <f>IF($J781="","",INDEX(명단표[수련과목],$J781))</f>
        <v/>
      </c>
      <c r="E781">
        <f>IF($J781="","",INDEX(명단표[연차],$J781)&amp;"")</f>
        <v/>
      </c>
      <c r="F781">
        <f>IF($J781="","",INDEX(명단표[소속병원],$J781))</f>
        <v/>
      </c>
      <c r="G781">
        <f>IF($J781="","",INDEX(명단표[기준월 근무병원],$J781))</f>
        <v/>
      </c>
      <c r="H781">
        <f>IF($J781="","",INDEX(명단표[급여지급병원(기준월)],$J781))</f>
        <v/>
      </c>
      <c r="I781">
        <f>IF($J781="","",INDEX(명단표[급여 판정 근거],$J781))</f>
        <v/>
      </c>
      <c r="J781" s="17">
        <f>IFERROR(MATCH(777,명단표[명단순번],0),"")</f>
        <v/>
      </c>
    </row>
    <row r="782">
      <c r="A782">
        <f>IF($J782="","",TEXT(급여기준월,"yyyy-mm"))</f>
        <v/>
      </c>
      <c r="B782">
        <f>IF($J782="","",INDEX(명단표[사번],$J782)&amp;"")</f>
        <v/>
      </c>
      <c r="C782">
        <f>IF($J782="","",INDEX(명단표[이름],$J782))</f>
        <v/>
      </c>
      <c r="D782">
        <f>IF($J782="","",INDEX(명단표[수련과목],$J782))</f>
        <v/>
      </c>
      <c r="E782">
        <f>IF($J782="","",INDEX(명단표[연차],$J782)&amp;"")</f>
        <v/>
      </c>
      <c r="F782">
        <f>IF($J782="","",INDEX(명단표[소속병원],$J782))</f>
        <v/>
      </c>
      <c r="G782">
        <f>IF($J782="","",INDEX(명단표[기준월 근무병원],$J782))</f>
        <v/>
      </c>
      <c r="H782">
        <f>IF($J782="","",INDEX(명단표[급여지급병원(기준월)],$J782))</f>
        <v/>
      </c>
      <c r="I782">
        <f>IF($J782="","",INDEX(명단표[급여 판정 근거],$J782))</f>
        <v/>
      </c>
      <c r="J782" s="17">
        <f>IFERROR(MATCH(778,명단표[명단순번],0),"")</f>
        <v/>
      </c>
    </row>
    <row r="783">
      <c r="A783">
        <f>IF($J783="","",TEXT(급여기준월,"yyyy-mm"))</f>
        <v/>
      </c>
      <c r="B783">
        <f>IF($J783="","",INDEX(명단표[사번],$J783)&amp;"")</f>
        <v/>
      </c>
      <c r="C783">
        <f>IF($J783="","",INDEX(명단표[이름],$J783))</f>
        <v/>
      </c>
      <c r="D783">
        <f>IF($J783="","",INDEX(명단표[수련과목],$J783))</f>
        <v/>
      </c>
      <c r="E783">
        <f>IF($J783="","",INDEX(명단표[연차],$J783)&amp;"")</f>
        <v/>
      </c>
      <c r="F783">
        <f>IF($J783="","",INDEX(명단표[소속병원],$J783))</f>
        <v/>
      </c>
      <c r="G783">
        <f>IF($J783="","",INDEX(명단표[기준월 근무병원],$J783))</f>
        <v/>
      </c>
      <c r="H783">
        <f>IF($J783="","",INDEX(명단표[급여지급병원(기준월)],$J783))</f>
        <v/>
      </c>
      <c r="I783">
        <f>IF($J783="","",INDEX(명단표[급여 판정 근거],$J783))</f>
        <v/>
      </c>
      <c r="J783" s="17">
        <f>IFERROR(MATCH(779,명단표[명단순번],0),"")</f>
        <v/>
      </c>
    </row>
    <row r="784">
      <c r="A784">
        <f>IF($J784="","",TEXT(급여기준월,"yyyy-mm"))</f>
        <v/>
      </c>
      <c r="B784">
        <f>IF($J784="","",INDEX(명단표[사번],$J784)&amp;"")</f>
        <v/>
      </c>
      <c r="C784">
        <f>IF($J784="","",INDEX(명단표[이름],$J784))</f>
        <v/>
      </c>
      <c r="D784">
        <f>IF($J784="","",INDEX(명단표[수련과목],$J784))</f>
        <v/>
      </c>
      <c r="E784">
        <f>IF($J784="","",INDEX(명단표[연차],$J784)&amp;"")</f>
        <v/>
      </c>
      <c r="F784">
        <f>IF($J784="","",INDEX(명단표[소속병원],$J784))</f>
        <v/>
      </c>
      <c r="G784">
        <f>IF($J784="","",INDEX(명단표[기준월 근무병원],$J784))</f>
        <v/>
      </c>
      <c r="H784">
        <f>IF($J784="","",INDEX(명단표[급여지급병원(기준월)],$J784))</f>
        <v/>
      </c>
      <c r="I784">
        <f>IF($J784="","",INDEX(명단표[급여 판정 근거],$J784))</f>
        <v/>
      </c>
      <c r="J784" s="17">
        <f>IFERROR(MATCH(780,명단표[명단순번],0),"")</f>
        <v/>
      </c>
    </row>
    <row r="785">
      <c r="A785">
        <f>IF($J785="","",TEXT(급여기준월,"yyyy-mm"))</f>
        <v/>
      </c>
      <c r="B785">
        <f>IF($J785="","",INDEX(명단표[사번],$J785)&amp;"")</f>
        <v/>
      </c>
      <c r="C785">
        <f>IF($J785="","",INDEX(명단표[이름],$J785))</f>
        <v/>
      </c>
      <c r="D785">
        <f>IF($J785="","",INDEX(명단표[수련과목],$J785))</f>
        <v/>
      </c>
      <c r="E785">
        <f>IF($J785="","",INDEX(명단표[연차],$J785)&amp;"")</f>
        <v/>
      </c>
      <c r="F785">
        <f>IF($J785="","",INDEX(명단표[소속병원],$J785))</f>
        <v/>
      </c>
      <c r="G785">
        <f>IF($J785="","",INDEX(명단표[기준월 근무병원],$J785))</f>
        <v/>
      </c>
      <c r="H785">
        <f>IF($J785="","",INDEX(명단표[급여지급병원(기준월)],$J785))</f>
        <v/>
      </c>
      <c r="I785">
        <f>IF($J785="","",INDEX(명단표[급여 판정 근거],$J785))</f>
        <v/>
      </c>
      <c r="J785" s="17">
        <f>IFERROR(MATCH(781,명단표[명단순번],0),"")</f>
        <v/>
      </c>
    </row>
    <row r="786">
      <c r="A786">
        <f>IF($J786="","",TEXT(급여기준월,"yyyy-mm"))</f>
        <v/>
      </c>
      <c r="B786">
        <f>IF($J786="","",INDEX(명단표[사번],$J786)&amp;"")</f>
        <v/>
      </c>
      <c r="C786">
        <f>IF($J786="","",INDEX(명단표[이름],$J786))</f>
        <v/>
      </c>
      <c r="D786">
        <f>IF($J786="","",INDEX(명단표[수련과목],$J786))</f>
        <v/>
      </c>
      <c r="E786">
        <f>IF($J786="","",INDEX(명단표[연차],$J786)&amp;"")</f>
        <v/>
      </c>
      <c r="F786">
        <f>IF($J786="","",INDEX(명단표[소속병원],$J786))</f>
        <v/>
      </c>
      <c r="G786">
        <f>IF($J786="","",INDEX(명단표[기준월 근무병원],$J786))</f>
        <v/>
      </c>
      <c r="H786">
        <f>IF($J786="","",INDEX(명단표[급여지급병원(기준월)],$J786))</f>
        <v/>
      </c>
      <c r="I786">
        <f>IF($J786="","",INDEX(명단표[급여 판정 근거],$J786))</f>
        <v/>
      </c>
      <c r="J786" s="17">
        <f>IFERROR(MATCH(782,명단표[명단순번],0),"")</f>
        <v/>
      </c>
    </row>
    <row r="787">
      <c r="A787">
        <f>IF($J787="","",TEXT(급여기준월,"yyyy-mm"))</f>
        <v/>
      </c>
      <c r="B787">
        <f>IF($J787="","",INDEX(명단표[사번],$J787)&amp;"")</f>
        <v/>
      </c>
      <c r="C787">
        <f>IF($J787="","",INDEX(명단표[이름],$J787))</f>
        <v/>
      </c>
      <c r="D787">
        <f>IF($J787="","",INDEX(명단표[수련과목],$J787))</f>
        <v/>
      </c>
      <c r="E787">
        <f>IF($J787="","",INDEX(명단표[연차],$J787)&amp;"")</f>
        <v/>
      </c>
      <c r="F787">
        <f>IF($J787="","",INDEX(명단표[소속병원],$J787))</f>
        <v/>
      </c>
      <c r="G787">
        <f>IF($J787="","",INDEX(명단표[기준월 근무병원],$J787))</f>
        <v/>
      </c>
      <c r="H787">
        <f>IF($J787="","",INDEX(명단표[급여지급병원(기준월)],$J787))</f>
        <v/>
      </c>
      <c r="I787">
        <f>IF($J787="","",INDEX(명단표[급여 판정 근거],$J787))</f>
        <v/>
      </c>
      <c r="J787" s="17">
        <f>IFERROR(MATCH(783,명단표[명단순번],0),"")</f>
        <v/>
      </c>
    </row>
    <row r="788">
      <c r="A788">
        <f>IF($J788="","",TEXT(급여기준월,"yyyy-mm"))</f>
        <v/>
      </c>
      <c r="B788">
        <f>IF($J788="","",INDEX(명단표[사번],$J788)&amp;"")</f>
        <v/>
      </c>
      <c r="C788">
        <f>IF($J788="","",INDEX(명단표[이름],$J788))</f>
        <v/>
      </c>
      <c r="D788">
        <f>IF($J788="","",INDEX(명단표[수련과목],$J788))</f>
        <v/>
      </c>
      <c r="E788">
        <f>IF($J788="","",INDEX(명단표[연차],$J788)&amp;"")</f>
        <v/>
      </c>
      <c r="F788">
        <f>IF($J788="","",INDEX(명단표[소속병원],$J788))</f>
        <v/>
      </c>
      <c r="G788">
        <f>IF($J788="","",INDEX(명단표[기준월 근무병원],$J788))</f>
        <v/>
      </c>
      <c r="H788">
        <f>IF($J788="","",INDEX(명단표[급여지급병원(기준월)],$J788))</f>
        <v/>
      </c>
      <c r="I788">
        <f>IF($J788="","",INDEX(명단표[급여 판정 근거],$J788))</f>
        <v/>
      </c>
      <c r="J788" s="17">
        <f>IFERROR(MATCH(784,명단표[명단순번],0),"")</f>
        <v/>
      </c>
    </row>
    <row r="789">
      <c r="A789">
        <f>IF($J789="","",TEXT(급여기준월,"yyyy-mm"))</f>
        <v/>
      </c>
      <c r="B789">
        <f>IF($J789="","",INDEX(명단표[사번],$J789)&amp;"")</f>
        <v/>
      </c>
      <c r="C789">
        <f>IF($J789="","",INDEX(명단표[이름],$J789))</f>
        <v/>
      </c>
      <c r="D789">
        <f>IF($J789="","",INDEX(명단표[수련과목],$J789))</f>
        <v/>
      </c>
      <c r="E789">
        <f>IF($J789="","",INDEX(명단표[연차],$J789)&amp;"")</f>
        <v/>
      </c>
      <c r="F789">
        <f>IF($J789="","",INDEX(명단표[소속병원],$J789))</f>
        <v/>
      </c>
      <c r="G789">
        <f>IF($J789="","",INDEX(명단표[기준월 근무병원],$J789))</f>
        <v/>
      </c>
      <c r="H789">
        <f>IF($J789="","",INDEX(명단표[급여지급병원(기준월)],$J789))</f>
        <v/>
      </c>
      <c r="I789">
        <f>IF($J789="","",INDEX(명단표[급여 판정 근거],$J789))</f>
        <v/>
      </c>
      <c r="J789" s="17">
        <f>IFERROR(MATCH(785,명단표[명단순번],0),"")</f>
        <v/>
      </c>
    </row>
    <row r="790">
      <c r="A790">
        <f>IF($J790="","",TEXT(급여기준월,"yyyy-mm"))</f>
        <v/>
      </c>
      <c r="B790">
        <f>IF($J790="","",INDEX(명단표[사번],$J790)&amp;"")</f>
        <v/>
      </c>
      <c r="C790">
        <f>IF($J790="","",INDEX(명단표[이름],$J790))</f>
        <v/>
      </c>
      <c r="D790">
        <f>IF($J790="","",INDEX(명단표[수련과목],$J790))</f>
        <v/>
      </c>
      <c r="E790">
        <f>IF($J790="","",INDEX(명단표[연차],$J790)&amp;"")</f>
        <v/>
      </c>
      <c r="F790">
        <f>IF($J790="","",INDEX(명단표[소속병원],$J790))</f>
        <v/>
      </c>
      <c r="G790">
        <f>IF($J790="","",INDEX(명단표[기준월 근무병원],$J790))</f>
        <v/>
      </c>
      <c r="H790">
        <f>IF($J790="","",INDEX(명단표[급여지급병원(기준월)],$J790))</f>
        <v/>
      </c>
      <c r="I790">
        <f>IF($J790="","",INDEX(명단표[급여 판정 근거],$J790))</f>
        <v/>
      </c>
      <c r="J790" s="17">
        <f>IFERROR(MATCH(786,명단표[명단순번],0),"")</f>
        <v/>
      </c>
    </row>
    <row r="791">
      <c r="A791">
        <f>IF($J791="","",TEXT(급여기준월,"yyyy-mm"))</f>
        <v/>
      </c>
      <c r="B791">
        <f>IF($J791="","",INDEX(명단표[사번],$J791)&amp;"")</f>
        <v/>
      </c>
      <c r="C791">
        <f>IF($J791="","",INDEX(명단표[이름],$J791))</f>
        <v/>
      </c>
      <c r="D791">
        <f>IF($J791="","",INDEX(명단표[수련과목],$J791))</f>
        <v/>
      </c>
      <c r="E791">
        <f>IF($J791="","",INDEX(명단표[연차],$J791)&amp;"")</f>
        <v/>
      </c>
      <c r="F791">
        <f>IF($J791="","",INDEX(명단표[소속병원],$J791))</f>
        <v/>
      </c>
      <c r="G791">
        <f>IF($J791="","",INDEX(명단표[기준월 근무병원],$J791))</f>
        <v/>
      </c>
      <c r="H791">
        <f>IF($J791="","",INDEX(명단표[급여지급병원(기준월)],$J791))</f>
        <v/>
      </c>
      <c r="I791">
        <f>IF($J791="","",INDEX(명단표[급여 판정 근거],$J791))</f>
        <v/>
      </c>
      <c r="J791" s="17">
        <f>IFERROR(MATCH(787,명단표[명단순번],0),"")</f>
        <v/>
      </c>
    </row>
    <row r="792">
      <c r="A792">
        <f>IF($J792="","",TEXT(급여기준월,"yyyy-mm"))</f>
        <v/>
      </c>
      <c r="B792">
        <f>IF($J792="","",INDEX(명단표[사번],$J792)&amp;"")</f>
        <v/>
      </c>
      <c r="C792">
        <f>IF($J792="","",INDEX(명단표[이름],$J792))</f>
        <v/>
      </c>
      <c r="D792">
        <f>IF($J792="","",INDEX(명단표[수련과목],$J792))</f>
        <v/>
      </c>
      <c r="E792">
        <f>IF($J792="","",INDEX(명단표[연차],$J792)&amp;"")</f>
        <v/>
      </c>
      <c r="F792">
        <f>IF($J792="","",INDEX(명단표[소속병원],$J792))</f>
        <v/>
      </c>
      <c r="G792">
        <f>IF($J792="","",INDEX(명단표[기준월 근무병원],$J792))</f>
        <v/>
      </c>
      <c r="H792">
        <f>IF($J792="","",INDEX(명단표[급여지급병원(기준월)],$J792))</f>
        <v/>
      </c>
      <c r="I792">
        <f>IF($J792="","",INDEX(명단표[급여 판정 근거],$J792))</f>
        <v/>
      </c>
      <c r="J792" s="17">
        <f>IFERROR(MATCH(788,명단표[명단순번],0),"")</f>
        <v/>
      </c>
    </row>
    <row r="793">
      <c r="A793">
        <f>IF($J793="","",TEXT(급여기준월,"yyyy-mm"))</f>
        <v/>
      </c>
      <c r="B793">
        <f>IF($J793="","",INDEX(명단표[사번],$J793)&amp;"")</f>
        <v/>
      </c>
      <c r="C793">
        <f>IF($J793="","",INDEX(명단표[이름],$J793))</f>
        <v/>
      </c>
      <c r="D793">
        <f>IF($J793="","",INDEX(명단표[수련과목],$J793))</f>
        <v/>
      </c>
      <c r="E793">
        <f>IF($J793="","",INDEX(명단표[연차],$J793)&amp;"")</f>
        <v/>
      </c>
      <c r="F793">
        <f>IF($J793="","",INDEX(명단표[소속병원],$J793))</f>
        <v/>
      </c>
      <c r="G793">
        <f>IF($J793="","",INDEX(명단표[기준월 근무병원],$J793))</f>
        <v/>
      </c>
      <c r="H793">
        <f>IF($J793="","",INDEX(명단표[급여지급병원(기준월)],$J793))</f>
        <v/>
      </c>
      <c r="I793">
        <f>IF($J793="","",INDEX(명단표[급여 판정 근거],$J793))</f>
        <v/>
      </c>
      <c r="J793" s="17">
        <f>IFERROR(MATCH(789,명단표[명단순번],0),"")</f>
        <v/>
      </c>
    </row>
    <row r="794">
      <c r="A794">
        <f>IF($J794="","",TEXT(급여기준월,"yyyy-mm"))</f>
        <v/>
      </c>
      <c r="B794">
        <f>IF($J794="","",INDEX(명단표[사번],$J794)&amp;"")</f>
        <v/>
      </c>
      <c r="C794">
        <f>IF($J794="","",INDEX(명단표[이름],$J794))</f>
        <v/>
      </c>
      <c r="D794">
        <f>IF($J794="","",INDEX(명단표[수련과목],$J794))</f>
        <v/>
      </c>
      <c r="E794">
        <f>IF($J794="","",INDEX(명단표[연차],$J794)&amp;"")</f>
        <v/>
      </c>
      <c r="F794">
        <f>IF($J794="","",INDEX(명단표[소속병원],$J794))</f>
        <v/>
      </c>
      <c r="G794">
        <f>IF($J794="","",INDEX(명단표[기준월 근무병원],$J794))</f>
        <v/>
      </c>
      <c r="H794">
        <f>IF($J794="","",INDEX(명단표[급여지급병원(기준월)],$J794))</f>
        <v/>
      </c>
      <c r="I794">
        <f>IF($J794="","",INDEX(명단표[급여 판정 근거],$J794))</f>
        <v/>
      </c>
      <c r="J794" s="17">
        <f>IFERROR(MATCH(790,명단표[명단순번],0),"")</f>
        <v/>
      </c>
    </row>
    <row r="795">
      <c r="A795">
        <f>IF($J795="","",TEXT(급여기준월,"yyyy-mm"))</f>
        <v/>
      </c>
      <c r="B795">
        <f>IF($J795="","",INDEX(명단표[사번],$J795)&amp;"")</f>
        <v/>
      </c>
      <c r="C795">
        <f>IF($J795="","",INDEX(명단표[이름],$J795))</f>
        <v/>
      </c>
      <c r="D795">
        <f>IF($J795="","",INDEX(명단표[수련과목],$J795))</f>
        <v/>
      </c>
      <c r="E795">
        <f>IF($J795="","",INDEX(명단표[연차],$J795)&amp;"")</f>
        <v/>
      </c>
      <c r="F795">
        <f>IF($J795="","",INDEX(명단표[소속병원],$J795))</f>
        <v/>
      </c>
      <c r="G795">
        <f>IF($J795="","",INDEX(명단표[기준월 근무병원],$J795))</f>
        <v/>
      </c>
      <c r="H795">
        <f>IF($J795="","",INDEX(명단표[급여지급병원(기준월)],$J795))</f>
        <v/>
      </c>
      <c r="I795">
        <f>IF($J795="","",INDEX(명단표[급여 판정 근거],$J795))</f>
        <v/>
      </c>
      <c r="J795" s="17">
        <f>IFERROR(MATCH(791,명단표[명단순번],0),"")</f>
        <v/>
      </c>
    </row>
    <row r="796">
      <c r="A796">
        <f>IF($J796="","",TEXT(급여기준월,"yyyy-mm"))</f>
        <v/>
      </c>
      <c r="B796">
        <f>IF($J796="","",INDEX(명단표[사번],$J796)&amp;"")</f>
        <v/>
      </c>
      <c r="C796">
        <f>IF($J796="","",INDEX(명단표[이름],$J796))</f>
        <v/>
      </c>
      <c r="D796">
        <f>IF($J796="","",INDEX(명단표[수련과목],$J796))</f>
        <v/>
      </c>
      <c r="E796">
        <f>IF($J796="","",INDEX(명단표[연차],$J796)&amp;"")</f>
        <v/>
      </c>
      <c r="F796">
        <f>IF($J796="","",INDEX(명단표[소속병원],$J796))</f>
        <v/>
      </c>
      <c r="G796">
        <f>IF($J796="","",INDEX(명단표[기준월 근무병원],$J796))</f>
        <v/>
      </c>
      <c r="H796">
        <f>IF($J796="","",INDEX(명단표[급여지급병원(기준월)],$J796))</f>
        <v/>
      </c>
      <c r="I796">
        <f>IF($J796="","",INDEX(명단표[급여 판정 근거],$J796))</f>
        <v/>
      </c>
      <c r="J796" s="17">
        <f>IFERROR(MATCH(792,명단표[명단순번],0),"")</f>
        <v/>
      </c>
    </row>
    <row r="797">
      <c r="A797">
        <f>IF($J797="","",TEXT(급여기준월,"yyyy-mm"))</f>
        <v/>
      </c>
      <c r="B797">
        <f>IF($J797="","",INDEX(명단표[사번],$J797)&amp;"")</f>
        <v/>
      </c>
      <c r="C797">
        <f>IF($J797="","",INDEX(명단표[이름],$J797))</f>
        <v/>
      </c>
      <c r="D797">
        <f>IF($J797="","",INDEX(명단표[수련과목],$J797))</f>
        <v/>
      </c>
      <c r="E797">
        <f>IF($J797="","",INDEX(명단표[연차],$J797)&amp;"")</f>
        <v/>
      </c>
      <c r="F797">
        <f>IF($J797="","",INDEX(명단표[소속병원],$J797))</f>
        <v/>
      </c>
      <c r="G797">
        <f>IF($J797="","",INDEX(명단표[기준월 근무병원],$J797))</f>
        <v/>
      </c>
      <c r="H797">
        <f>IF($J797="","",INDEX(명단표[급여지급병원(기준월)],$J797))</f>
        <v/>
      </c>
      <c r="I797">
        <f>IF($J797="","",INDEX(명단표[급여 판정 근거],$J797))</f>
        <v/>
      </c>
      <c r="J797" s="17">
        <f>IFERROR(MATCH(793,명단표[명단순번],0),"")</f>
        <v/>
      </c>
    </row>
    <row r="798">
      <c r="A798">
        <f>IF($J798="","",TEXT(급여기준월,"yyyy-mm"))</f>
        <v/>
      </c>
      <c r="B798">
        <f>IF($J798="","",INDEX(명단표[사번],$J798)&amp;"")</f>
        <v/>
      </c>
      <c r="C798">
        <f>IF($J798="","",INDEX(명단표[이름],$J798))</f>
        <v/>
      </c>
      <c r="D798">
        <f>IF($J798="","",INDEX(명단표[수련과목],$J798))</f>
        <v/>
      </c>
      <c r="E798">
        <f>IF($J798="","",INDEX(명단표[연차],$J798)&amp;"")</f>
        <v/>
      </c>
      <c r="F798">
        <f>IF($J798="","",INDEX(명단표[소속병원],$J798))</f>
        <v/>
      </c>
      <c r="G798">
        <f>IF($J798="","",INDEX(명단표[기준월 근무병원],$J798))</f>
        <v/>
      </c>
      <c r="H798">
        <f>IF($J798="","",INDEX(명단표[급여지급병원(기준월)],$J798))</f>
        <v/>
      </c>
      <c r="I798">
        <f>IF($J798="","",INDEX(명단표[급여 판정 근거],$J798))</f>
        <v/>
      </c>
      <c r="J798" s="17">
        <f>IFERROR(MATCH(794,명단표[명단순번],0),"")</f>
        <v/>
      </c>
    </row>
    <row r="799">
      <c r="A799">
        <f>IF($J799="","",TEXT(급여기준월,"yyyy-mm"))</f>
        <v/>
      </c>
      <c r="B799">
        <f>IF($J799="","",INDEX(명단표[사번],$J799)&amp;"")</f>
        <v/>
      </c>
      <c r="C799">
        <f>IF($J799="","",INDEX(명단표[이름],$J799))</f>
        <v/>
      </c>
      <c r="D799">
        <f>IF($J799="","",INDEX(명단표[수련과목],$J799))</f>
        <v/>
      </c>
      <c r="E799">
        <f>IF($J799="","",INDEX(명단표[연차],$J799)&amp;"")</f>
        <v/>
      </c>
      <c r="F799">
        <f>IF($J799="","",INDEX(명단표[소속병원],$J799))</f>
        <v/>
      </c>
      <c r="G799">
        <f>IF($J799="","",INDEX(명단표[기준월 근무병원],$J799))</f>
        <v/>
      </c>
      <c r="H799">
        <f>IF($J799="","",INDEX(명단표[급여지급병원(기준월)],$J799))</f>
        <v/>
      </c>
      <c r="I799">
        <f>IF($J799="","",INDEX(명단표[급여 판정 근거],$J799))</f>
        <v/>
      </c>
      <c r="J799" s="17">
        <f>IFERROR(MATCH(795,명단표[명단순번],0),"")</f>
        <v/>
      </c>
    </row>
    <row r="800">
      <c r="A800">
        <f>IF($J800="","",TEXT(급여기준월,"yyyy-mm"))</f>
        <v/>
      </c>
      <c r="B800">
        <f>IF($J800="","",INDEX(명단표[사번],$J800)&amp;"")</f>
        <v/>
      </c>
      <c r="C800">
        <f>IF($J800="","",INDEX(명단표[이름],$J800))</f>
        <v/>
      </c>
      <c r="D800">
        <f>IF($J800="","",INDEX(명단표[수련과목],$J800))</f>
        <v/>
      </c>
      <c r="E800">
        <f>IF($J800="","",INDEX(명단표[연차],$J800)&amp;"")</f>
        <v/>
      </c>
      <c r="F800">
        <f>IF($J800="","",INDEX(명단표[소속병원],$J800))</f>
        <v/>
      </c>
      <c r="G800">
        <f>IF($J800="","",INDEX(명단표[기준월 근무병원],$J800))</f>
        <v/>
      </c>
      <c r="H800">
        <f>IF($J800="","",INDEX(명단표[급여지급병원(기준월)],$J800))</f>
        <v/>
      </c>
      <c r="I800">
        <f>IF($J800="","",INDEX(명단표[급여 판정 근거],$J800))</f>
        <v/>
      </c>
      <c r="J800" s="17">
        <f>IFERROR(MATCH(796,명단표[명단순번],0),"")</f>
        <v/>
      </c>
    </row>
    <row r="801">
      <c r="A801">
        <f>IF($J801="","",TEXT(급여기준월,"yyyy-mm"))</f>
        <v/>
      </c>
      <c r="B801">
        <f>IF($J801="","",INDEX(명단표[사번],$J801)&amp;"")</f>
        <v/>
      </c>
      <c r="C801">
        <f>IF($J801="","",INDEX(명단표[이름],$J801))</f>
        <v/>
      </c>
      <c r="D801">
        <f>IF($J801="","",INDEX(명단표[수련과목],$J801))</f>
        <v/>
      </c>
      <c r="E801">
        <f>IF($J801="","",INDEX(명단표[연차],$J801)&amp;"")</f>
        <v/>
      </c>
      <c r="F801">
        <f>IF($J801="","",INDEX(명단표[소속병원],$J801))</f>
        <v/>
      </c>
      <c r="G801">
        <f>IF($J801="","",INDEX(명단표[기준월 근무병원],$J801))</f>
        <v/>
      </c>
      <c r="H801">
        <f>IF($J801="","",INDEX(명단표[급여지급병원(기준월)],$J801))</f>
        <v/>
      </c>
      <c r="I801">
        <f>IF($J801="","",INDEX(명단표[급여 판정 근거],$J801))</f>
        <v/>
      </c>
      <c r="J801" s="17">
        <f>IFERROR(MATCH(797,명단표[명단순번],0),"")</f>
        <v/>
      </c>
    </row>
    <row r="802">
      <c r="A802">
        <f>IF($J802="","",TEXT(급여기준월,"yyyy-mm"))</f>
        <v/>
      </c>
      <c r="B802">
        <f>IF($J802="","",INDEX(명단표[사번],$J802)&amp;"")</f>
        <v/>
      </c>
      <c r="C802">
        <f>IF($J802="","",INDEX(명단표[이름],$J802))</f>
        <v/>
      </c>
      <c r="D802">
        <f>IF($J802="","",INDEX(명단표[수련과목],$J802))</f>
        <v/>
      </c>
      <c r="E802">
        <f>IF($J802="","",INDEX(명단표[연차],$J802)&amp;"")</f>
        <v/>
      </c>
      <c r="F802">
        <f>IF($J802="","",INDEX(명단표[소속병원],$J802))</f>
        <v/>
      </c>
      <c r="G802">
        <f>IF($J802="","",INDEX(명단표[기준월 근무병원],$J802))</f>
        <v/>
      </c>
      <c r="H802">
        <f>IF($J802="","",INDEX(명단표[급여지급병원(기준월)],$J802))</f>
        <v/>
      </c>
      <c r="I802">
        <f>IF($J802="","",INDEX(명단표[급여 판정 근거],$J802))</f>
        <v/>
      </c>
      <c r="J802" s="17">
        <f>IFERROR(MATCH(798,명단표[명단순번],0),"")</f>
        <v/>
      </c>
    </row>
    <row r="803">
      <c r="A803">
        <f>IF($J803="","",TEXT(급여기준월,"yyyy-mm"))</f>
        <v/>
      </c>
      <c r="B803">
        <f>IF($J803="","",INDEX(명단표[사번],$J803)&amp;"")</f>
        <v/>
      </c>
      <c r="C803">
        <f>IF($J803="","",INDEX(명단표[이름],$J803))</f>
        <v/>
      </c>
      <c r="D803">
        <f>IF($J803="","",INDEX(명단표[수련과목],$J803))</f>
        <v/>
      </c>
      <c r="E803">
        <f>IF($J803="","",INDEX(명단표[연차],$J803)&amp;"")</f>
        <v/>
      </c>
      <c r="F803">
        <f>IF($J803="","",INDEX(명단표[소속병원],$J803))</f>
        <v/>
      </c>
      <c r="G803">
        <f>IF($J803="","",INDEX(명단표[기준월 근무병원],$J803))</f>
        <v/>
      </c>
      <c r="H803">
        <f>IF($J803="","",INDEX(명단표[급여지급병원(기준월)],$J803))</f>
        <v/>
      </c>
      <c r="I803">
        <f>IF($J803="","",INDEX(명단표[급여 판정 근거],$J803))</f>
        <v/>
      </c>
      <c r="J803" s="17">
        <f>IFERROR(MATCH(799,명단표[명단순번],0),"")</f>
        <v/>
      </c>
    </row>
    <row r="804">
      <c r="A804">
        <f>IF($J804="","",TEXT(급여기준월,"yyyy-mm"))</f>
        <v/>
      </c>
      <c r="B804">
        <f>IF($J804="","",INDEX(명단표[사번],$J804)&amp;"")</f>
        <v/>
      </c>
      <c r="C804">
        <f>IF($J804="","",INDEX(명단표[이름],$J804))</f>
        <v/>
      </c>
      <c r="D804">
        <f>IF($J804="","",INDEX(명단표[수련과목],$J804))</f>
        <v/>
      </c>
      <c r="E804">
        <f>IF($J804="","",INDEX(명단표[연차],$J804)&amp;"")</f>
        <v/>
      </c>
      <c r="F804">
        <f>IF($J804="","",INDEX(명단표[소속병원],$J804))</f>
        <v/>
      </c>
      <c r="G804">
        <f>IF($J804="","",INDEX(명단표[기준월 근무병원],$J804))</f>
        <v/>
      </c>
      <c r="H804">
        <f>IF($J804="","",INDEX(명단표[급여지급병원(기준월)],$J804))</f>
        <v/>
      </c>
      <c r="I804">
        <f>IF($J804="","",INDEX(명단표[급여 판정 근거],$J804))</f>
        <v/>
      </c>
      <c r="J804" s="17">
        <f>IFERROR(MATCH(800,명단표[명단순번],0),"")</f>
        <v/>
      </c>
    </row>
    <row r="805">
      <c r="A805">
        <f>IF($J805="","",TEXT(급여기준월,"yyyy-mm"))</f>
        <v/>
      </c>
      <c r="B805">
        <f>IF($J805="","",INDEX(명단표[사번],$J805)&amp;"")</f>
        <v/>
      </c>
      <c r="C805">
        <f>IF($J805="","",INDEX(명단표[이름],$J805))</f>
        <v/>
      </c>
      <c r="D805">
        <f>IF($J805="","",INDEX(명단표[수련과목],$J805))</f>
        <v/>
      </c>
      <c r="E805">
        <f>IF($J805="","",INDEX(명단표[연차],$J805)&amp;"")</f>
        <v/>
      </c>
      <c r="F805">
        <f>IF($J805="","",INDEX(명단표[소속병원],$J805))</f>
        <v/>
      </c>
      <c r="G805">
        <f>IF($J805="","",INDEX(명단표[기준월 근무병원],$J805))</f>
        <v/>
      </c>
      <c r="H805">
        <f>IF($J805="","",INDEX(명단표[급여지급병원(기준월)],$J805))</f>
        <v/>
      </c>
      <c r="I805">
        <f>IF($J805="","",INDEX(명단표[급여 판정 근거],$J805))</f>
        <v/>
      </c>
      <c r="J805" s="17">
        <f>IFERROR(MATCH(801,명단표[명단순번],0),"")</f>
        <v/>
      </c>
    </row>
    <row r="806">
      <c r="A806">
        <f>IF($J806="","",TEXT(급여기준월,"yyyy-mm"))</f>
        <v/>
      </c>
      <c r="B806">
        <f>IF($J806="","",INDEX(명단표[사번],$J806)&amp;"")</f>
        <v/>
      </c>
      <c r="C806">
        <f>IF($J806="","",INDEX(명단표[이름],$J806))</f>
        <v/>
      </c>
      <c r="D806">
        <f>IF($J806="","",INDEX(명단표[수련과목],$J806))</f>
        <v/>
      </c>
      <c r="E806">
        <f>IF($J806="","",INDEX(명단표[연차],$J806)&amp;"")</f>
        <v/>
      </c>
      <c r="F806">
        <f>IF($J806="","",INDEX(명단표[소속병원],$J806))</f>
        <v/>
      </c>
      <c r="G806">
        <f>IF($J806="","",INDEX(명단표[기준월 근무병원],$J806))</f>
        <v/>
      </c>
      <c r="H806">
        <f>IF($J806="","",INDEX(명단표[급여지급병원(기준월)],$J806))</f>
        <v/>
      </c>
      <c r="I806">
        <f>IF($J806="","",INDEX(명단표[급여 판정 근거],$J806))</f>
        <v/>
      </c>
      <c r="J806" s="17">
        <f>IFERROR(MATCH(802,명단표[명단순번],0),"")</f>
        <v/>
      </c>
    </row>
    <row r="807">
      <c r="A807">
        <f>IF($J807="","",TEXT(급여기준월,"yyyy-mm"))</f>
        <v/>
      </c>
      <c r="B807">
        <f>IF($J807="","",INDEX(명단표[사번],$J807)&amp;"")</f>
        <v/>
      </c>
      <c r="C807">
        <f>IF($J807="","",INDEX(명단표[이름],$J807))</f>
        <v/>
      </c>
      <c r="D807">
        <f>IF($J807="","",INDEX(명단표[수련과목],$J807))</f>
        <v/>
      </c>
      <c r="E807">
        <f>IF($J807="","",INDEX(명단표[연차],$J807)&amp;"")</f>
        <v/>
      </c>
      <c r="F807">
        <f>IF($J807="","",INDEX(명단표[소속병원],$J807))</f>
        <v/>
      </c>
      <c r="G807">
        <f>IF($J807="","",INDEX(명단표[기준월 근무병원],$J807))</f>
        <v/>
      </c>
      <c r="H807">
        <f>IF($J807="","",INDEX(명단표[급여지급병원(기준월)],$J807))</f>
        <v/>
      </c>
      <c r="I807">
        <f>IF($J807="","",INDEX(명단표[급여 판정 근거],$J807))</f>
        <v/>
      </c>
      <c r="J807" s="17">
        <f>IFERROR(MATCH(803,명단표[명단순번],0),"")</f>
        <v/>
      </c>
    </row>
    <row r="808">
      <c r="A808">
        <f>IF($J808="","",TEXT(급여기준월,"yyyy-mm"))</f>
        <v/>
      </c>
      <c r="B808">
        <f>IF($J808="","",INDEX(명단표[사번],$J808)&amp;"")</f>
        <v/>
      </c>
      <c r="C808">
        <f>IF($J808="","",INDEX(명단표[이름],$J808))</f>
        <v/>
      </c>
      <c r="D808">
        <f>IF($J808="","",INDEX(명단표[수련과목],$J808))</f>
        <v/>
      </c>
      <c r="E808">
        <f>IF($J808="","",INDEX(명단표[연차],$J808)&amp;"")</f>
        <v/>
      </c>
      <c r="F808">
        <f>IF($J808="","",INDEX(명단표[소속병원],$J808))</f>
        <v/>
      </c>
      <c r="G808">
        <f>IF($J808="","",INDEX(명단표[기준월 근무병원],$J808))</f>
        <v/>
      </c>
      <c r="H808">
        <f>IF($J808="","",INDEX(명단표[급여지급병원(기준월)],$J808))</f>
        <v/>
      </c>
      <c r="I808">
        <f>IF($J808="","",INDEX(명단표[급여 판정 근거],$J808))</f>
        <v/>
      </c>
      <c r="J808" s="17">
        <f>IFERROR(MATCH(804,명단표[명단순번],0),"")</f>
        <v/>
      </c>
    </row>
    <row r="809">
      <c r="A809">
        <f>IF($J809="","",TEXT(급여기준월,"yyyy-mm"))</f>
        <v/>
      </c>
      <c r="B809">
        <f>IF($J809="","",INDEX(명단표[사번],$J809)&amp;"")</f>
        <v/>
      </c>
      <c r="C809">
        <f>IF($J809="","",INDEX(명단표[이름],$J809))</f>
        <v/>
      </c>
      <c r="D809">
        <f>IF($J809="","",INDEX(명단표[수련과목],$J809))</f>
        <v/>
      </c>
      <c r="E809">
        <f>IF($J809="","",INDEX(명단표[연차],$J809)&amp;"")</f>
        <v/>
      </c>
      <c r="F809">
        <f>IF($J809="","",INDEX(명단표[소속병원],$J809))</f>
        <v/>
      </c>
      <c r="G809">
        <f>IF($J809="","",INDEX(명단표[기준월 근무병원],$J809))</f>
        <v/>
      </c>
      <c r="H809">
        <f>IF($J809="","",INDEX(명단표[급여지급병원(기준월)],$J809))</f>
        <v/>
      </c>
      <c r="I809">
        <f>IF($J809="","",INDEX(명단표[급여 판정 근거],$J809))</f>
        <v/>
      </c>
      <c r="J809" s="17">
        <f>IFERROR(MATCH(805,명단표[명단순번],0),"")</f>
        <v/>
      </c>
    </row>
    <row r="810">
      <c r="A810">
        <f>IF($J810="","",TEXT(급여기준월,"yyyy-mm"))</f>
        <v/>
      </c>
      <c r="B810">
        <f>IF($J810="","",INDEX(명단표[사번],$J810)&amp;"")</f>
        <v/>
      </c>
      <c r="C810">
        <f>IF($J810="","",INDEX(명단표[이름],$J810))</f>
        <v/>
      </c>
      <c r="D810">
        <f>IF($J810="","",INDEX(명단표[수련과목],$J810))</f>
        <v/>
      </c>
      <c r="E810">
        <f>IF($J810="","",INDEX(명단표[연차],$J810)&amp;"")</f>
        <v/>
      </c>
      <c r="F810">
        <f>IF($J810="","",INDEX(명단표[소속병원],$J810))</f>
        <v/>
      </c>
      <c r="G810">
        <f>IF($J810="","",INDEX(명단표[기준월 근무병원],$J810))</f>
        <v/>
      </c>
      <c r="H810">
        <f>IF($J810="","",INDEX(명단표[급여지급병원(기준월)],$J810))</f>
        <v/>
      </c>
      <c r="I810">
        <f>IF($J810="","",INDEX(명단표[급여 판정 근거],$J810))</f>
        <v/>
      </c>
      <c r="J810" s="17">
        <f>IFERROR(MATCH(806,명단표[명단순번],0),"")</f>
        <v/>
      </c>
    </row>
    <row r="811">
      <c r="A811">
        <f>IF($J811="","",TEXT(급여기준월,"yyyy-mm"))</f>
        <v/>
      </c>
      <c r="B811">
        <f>IF($J811="","",INDEX(명단표[사번],$J811)&amp;"")</f>
        <v/>
      </c>
      <c r="C811">
        <f>IF($J811="","",INDEX(명단표[이름],$J811))</f>
        <v/>
      </c>
      <c r="D811">
        <f>IF($J811="","",INDEX(명단표[수련과목],$J811))</f>
        <v/>
      </c>
      <c r="E811">
        <f>IF($J811="","",INDEX(명단표[연차],$J811)&amp;"")</f>
        <v/>
      </c>
      <c r="F811">
        <f>IF($J811="","",INDEX(명단표[소속병원],$J811))</f>
        <v/>
      </c>
      <c r="G811">
        <f>IF($J811="","",INDEX(명단표[기준월 근무병원],$J811))</f>
        <v/>
      </c>
      <c r="H811">
        <f>IF($J811="","",INDEX(명단표[급여지급병원(기준월)],$J811))</f>
        <v/>
      </c>
      <c r="I811">
        <f>IF($J811="","",INDEX(명단표[급여 판정 근거],$J811))</f>
        <v/>
      </c>
      <c r="J811" s="17">
        <f>IFERROR(MATCH(807,명단표[명단순번],0),"")</f>
        <v/>
      </c>
    </row>
    <row r="812">
      <c r="A812">
        <f>IF($J812="","",TEXT(급여기준월,"yyyy-mm"))</f>
        <v/>
      </c>
      <c r="B812">
        <f>IF($J812="","",INDEX(명단표[사번],$J812)&amp;"")</f>
        <v/>
      </c>
      <c r="C812">
        <f>IF($J812="","",INDEX(명단표[이름],$J812))</f>
        <v/>
      </c>
      <c r="D812">
        <f>IF($J812="","",INDEX(명단표[수련과목],$J812))</f>
        <v/>
      </c>
      <c r="E812">
        <f>IF($J812="","",INDEX(명단표[연차],$J812)&amp;"")</f>
        <v/>
      </c>
      <c r="F812">
        <f>IF($J812="","",INDEX(명단표[소속병원],$J812))</f>
        <v/>
      </c>
      <c r="G812">
        <f>IF($J812="","",INDEX(명단표[기준월 근무병원],$J812))</f>
        <v/>
      </c>
      <c r="H812">
        <f>IF($J812="","",INDEX(명단표[급여지급병원(기준월)],$J812))</f>
        <v/>
      </c>
      <c r="I812">
        <f>IF($J812="","",INDEX(명단표[급여 판정 근거],$J812))</f>
        <v/>
      </c>
      <c r="J812" s="17">
        <f>IFERROR(MATCH(808,명단표[명단순번],0),"")</f>
        <v/>
      </c>
    </row>
    <row r="813">
      <c r="A813">
        <f>IF($J813="","",TEXT(급여기준월,"yyyy-mm"))</f>
        <v/>
      </c>
      <c r="B813">
        <f>IF($J813="","",INDEX(명단표[사번],$J813)&amp;"")</f>
        <v/>
      </c>
      <c r="C813">
        <f>IF($J813="","",INDEX(명단표[이름],$J813))</f>
        <v/>
      </c>
      <c r="D813">
        <f>IF($J813="","",INDEX(명단표[수련과목],$J813))</f>
        <v/>
      </c>
      <c r="E813">
        <f>IF($J813="","",INDEX(명단표[연차],$J813)&amp;"")</f>
        <v/>
      </c>
      <c r="F813">
        <f>IF($J813="","",INDEX(명단표[소속병원],$J813))</f>
        <v/>
      </c>
      <c r="G813">
        <f>IF($J813="","",INDEX(명단표[기준월 근무병원],$J813))</f>
        <v/>
      </c>
      <c r="H813">
        <f>IF($J813="","",INDEX(명단표[급여지급병원(기준월)],$J813))</f>
        <v/>
      </c>
      <c r="I813">
        <f>IF($J813="","",INDEX(명단표[급여 판정 근거],$J813))</f>
        <v/>
      </c>
      <c r="J813" s="17">
        <f>IFERROR(MATCH(809,명단표[명단순번],0),"")</f>
        <v/>
      </c>
    </row>
    <row r="814">
      <c r="A814">
        <f>IF($J814="","",TEXT(급여기준월,"yyyy-mm"))</f>
        <v/>
      </c>
      <c r="B814">
        <f>IF($J814="","",INDEX(명단표[사번],$J814)&amp;"")</f>
        <v/>
      </c>
      <c r="C814">
        <f>IF($J814="","",INDEX(명단표[이름],$J814))</f>
        <v/>
      </c>
      <c r="D814">
        <f>IF($J814="","",INDEX(명단표[수련과목],$J814))</f>
        <v/>
      </c>
      <c r="E814">
        <f>IF($J814="","",INDEX(명단표[연차],$J814)&amp;"")</f>
        <v/>
      </c>
      <c r="F814">
        <f>IF($J814="","",INDEX(명단표[소속병원],$J814))</f>
        <v/>
      </c>
      <c r="G814">
        <f>IF($J814="","",INDEX(명단표[기준월 근무병원],$J814))</f>
        <v/>
      </c>
      <c r="H814">
        <f>IF($J814="","",INDEX(명단표[급여지급병원(기준월)],$J814))</f>
        <v/>
      </c>
      <c r="I814">
        <f>IF($J814="","",INDEX(명단표[급여 판정 근거],$J814))</f>
        <v/>
      </c>
      <c r="J814" s="17">
        <f>IFERROR(MATCH(810,명단표[명단순번],0),"")</f>
        <v/>
      </c>
    </row>
    <row r="815">
      <c r="A815">
        <f>IF($J815="","",TEXT(급여기준월,"yyyy-mm"))</f>
        <v/>
      </c>
      <c r="B815">
        <f>IF($J815="","",INDEX(명단표[사번],$J815)&amp;"")</f>
        <v/>
      </c>
      <c r="C815">
        <f>IF($J815="","",INDEX(명단표[이름],$J815))</f>
        <v/>
      </c>
      <c r="D815">
        <f>IF($J815="","",INDEX(명단표[수련과목],$J815))</f>
        <v/>
      </c>
      <c r="E815">
        <f>IF($J815="","",INDEX(명단표[연차],$J815)&amp;"")</f>
        <v/>
      </c>
      <c r="F815">
        <f>IF($J815="","",INDEX(명단표[소속병원],$J815))</f>
        <v/>
      </c>
      <c r="G815">
        <f>IF($J815="","",INDEX(명단표[기준월 근무병원],$J815))</f>
        <v/>
      </c>
      <c r="H815">
        <f>IF($J815="","",INDEX(명단표[급여지급병원(기준월)],$J815))</f>
        <v/>
      </c>
      <c r="I815">
        <f>IF($J815="","",INDEX(명단표[급여 판정 근거],$J815))</f>
        <v/>
      </c>
      <c r="J815" s="17">
        <f>IFERROR(MATCH(811,명단표[명단순번],0),"")</f>
        <v/>
      </c>
    </row>
    <row r="816">
      <c r="A816">
        <f>IF($J816="","",TEXT(급여기준월,"yyyy-mm"))</f>
        <v/>
      </c>
      <c r="B816">
        <f>IF($J816="","",INDEX(명단표[사번],$J816)&amp;"")</f>
        <v/>
      </c>
      <c r="C816">
        <f>IF($J816="","",INDEX(명단표[이름],$J816))</f>
        <v/>
      </c>
      <c r="D816">
        <f>IF($J816="","",INDEX(명단표[수련과목],$J816))</f>
        <v/>
      </c>
      <c r="E816">
        <f>IF($J816="","",INDEX(명단표[연차],$J816)&amp;"")</f>
        <v/>
      </c>
      <c r="F816">
        <f>IF($J816="","",INDEX(명단표[소속병원],$J816))</f>
        <v/>
      </c>
      <c r="G816">
        <f>IF($J816="","",INDEX(명단표[기준월 근무병원],$J816))</f>
        <v/>
      </c>
      <c r="H816">
        <f>IF($J816="","",INDEX(명단표[급여지급병원(기준월)],$J816))</f>
        <v/>
      </c>
      <c r="I816">
        <f>IF($J816="","",INDEX(명단표[급여 판정 근거],$J816))</f>
        <v/>
      </c>
      <c r="J816" s="17">
        <f>IFERROR(MATCH(812,명단표[명단순번],0),"")</f>
        <v/>
      </c>
    </row>
    <row r="817">
      <c r="A817">
        <f>IF($J817="","",TEXT(급여기준월,"yyyy-mm"))</f>
        <v/>
      </c>
      <c r="B817">
        <f>IF($J817="","",INDEX(명단표[사번],$J817)&amp;"")</f>
        <v/>
      </c>
      <c r="C817">
        <f>IF($J817="","",INDEX(명단표[이름],$J817))</f>
        <v/>
      </c>
      <c r="D817">
        <f>IF($J817="","",INDEX(명단표[수련과목],$J817))</f>
        <v/>
      </c>
      <c r="E817">
        <f>IF($J817="","",INDEX(명단표[연차],$J817)&amp;"")</f>
        <v/>
      </c>
      <c r="F817">
        <f>IF($J817="","",INDEX(명단표[소속병원],$J817))</f>
        <v/>
      </c>
      <c r="G817">
        <f>IF($J817="","",INDEX(명단표[기준월 근무병원],$J817))</f>
        <v/>
      </c>
      <c r="H817">
        <f>IF($J817="","",INDEX(명단표[급여지급병원(기준월)],$J817))</f>
        <v/>
      </c>
      <c r="I817">
        <f>IF($J817="","",INDEX(명단표[급여 판정 근거],$J817))</f>
        <v/>
      </c>
      <c r="J817" s="17">
        <f>IFERROR(MATCH(813,명단표[명단순번],0),"")</f>
        <v/>
      </c>
    </row>
    <row r="818">
      <c r="A818">
        <f>IF($J818="","",TEXT(급여기준월,"yyyy-mm"))</f>
        <v/>
      </c>
      <c r="B818">
        <f>IF($J818="","",INDEX(명단표[사번],$J818)&amp;"")</f>
        <v/>
      </c>
      <c r="C818">
        <f>IF($J818="","",INDEX(명단표[이름],$J818))</f>
        <v/>
      </c>
      <c r="D818">
        <f>IF($J818="","",INDEX(명단표[수련과목],$J818))</f>
        <v/>
      </c>
      <c r="E818">
        <f>IF($J818="","",INDEX(명단표[연차],$J818)&amp;"")</f>
        <v/>
      </c>
      <c r="F818">
        <f>IF($J818="","",INDEX(명단표[소속병원],$J818))</f>
        <v/>
      </c>
      <c r="G818">
        <f>IF($J818="","",INDEX(명단표[기준월 근무병원],$J818))</f>
        <v/>
      </c>
      <c r="H818">
        <f>IF($J818="","",INDEX(명단표[급여지급병원(기준월)],$J818))</f>
        <v/>
      </c>
      <c r="I818">
        <f>IF($J818="","",INDEX(명단표[급여 판정 근거],$J818))</f>
        <v/>
      </c>
      <c r="J818" s="17">
        <f>IFERROR(MATCH(814,명단표[명단순번],0),"")</f>
        <v/>
      </c>
    </row>
    <row r="819">
      <c r="A819">
        <f>IF($J819="","",TEXT(급여기준월,"yyyy-mm"))</f>
        <v/>
      </c>
      <c r="B819">
        <f>IF($J819="","",INDEX(명단표[사번],$J819)&amp;"")</f>
        <v/>
      </c>
      <c r="C819">
        <f>IF($J819="","",INDEX(명단표[이름],$J819))</f>
        <v/>
      </c>
      <c r="D819">
        <f>IF($J819="","",INDEX(명단표[수련과목],$J819))</f>
        <v/>
      </c>
      <c r="E819">
        <f>IF($J819="","",INDEX(명단표[연차],$J819)&amp;"")</f>
        <v/>
      </c>
      <c r="F819">
        <f>IF($J819="","",INDEX(명단표[소속병원],$J819))</f>
        <v/>
      </c>
      <c r="G819">
        <f>IF($J819="","",INDEX(명단표[기준월 근무병원],$J819))</f>
        <v/>
      </c>
      <c r="H819">
        <f>IF($J819="","",INDEX(명단표[급여지급병원(기준월)],$J819))</f>
        <v/>
      </c>
      <c r="I819">
        <f>IF($J819="","",INDEX(명단표[급여 판정 근거],$J819))</f>
        <v/>
      </c>
      <c r="J819" s="17">
        <f>IFERROR(MATCH(815,명단표[명단순번],0),"")</f>
        <v/>
      </c>
    </row>
    <row r="820">
      <c r="A820">
        <f>IF($J820="","",TEXT(급여기준월,"yyyy-mm"))</f>
        <v/>
      </c>
      <c r="B820">
        <f>IF($J820="","",INDEX(명단표[사번],$J820)&amp;"")</f>
        <v/>
      </c>
      <c r="C820">
        <f>IF($J820="","",INDEX(명단표[이름],$J820))</f>
        <v/>
      </c>
      <c r="D820">
        <f>IF($J820="","",INDEX(명단표[수련과목],$J820))</f>
        <v/>
      </c>
      <c r="E820">
        <f>IF($J820="","",INDEX(명단표[연차],$J820)&amp;"")</f>
        <v/>
      </c>
      <c r="F820">
        <f>IF($J820="","",INDEX(명단표[소속병원],$J820))</f>
        <v/>
      </c>
      <c r="G820">
        <f>IF($J820="","",INDEX(명단표[기준월 근무병원],$J820))</f>
        <v/>
      </c>
      <c r="H820">
        <f>IF($J820="","",INDEX(명단표[급여지급병원(기준월)],$J820))</f>
        <v/>
      </c>
      <c r="I820">
        <f>IF($J820="","",INDEX(명단표[급여 판정 근거],$J820))</f>
        <v/>
      </c>
      <c r="J820" s="17">
        <f>IFERROR(MATCH(816,명단표[명단순번],0),"")</f>
        <v/>
      </c>
    </row>
    <row r="821">
      <c r="A821">
        <f>IF($J821="","",TEXT(급여기준월,"yyyy-mm"))</f>
        <v/>
      </c>
      <c r="B821">
        <f>IF($J821="","",INDEX(명단표[사번],$J821)&amp;"")</f>
        <v/>
      </c>
      <c r="C821">
        <f>IF($J821="","",INDEX(명단표[이름],$J821))</f>
        <v/>
      </c>
      <c r="D821">
        <f>IF($J821="","",INDEX(명단표[수련과목],$J821))</f>
        <v/>
      </c>
      <c r="E821">
        <f>IF($J821="","",INDEX(명단표[연차],$J821)&amp;"")</f>
        <v/>
      </c>
      <c r="F821">
        <f>IF($J821="","",INDEX(명단표[소속병원],$J821))</f>
        <v/>
      </c>
      <c r="G821">
        <f>IF($J821="","",INDEX(명단표[기준월 근무병원],$J821))</f>
        <v/>
      </c>
      <c r="H821">
        <f>IF($J821="","",INDEX(명단표[급여지급병원(기준월)],$J821))</f>
        <v/>
      </c>
      <c r="I821">
        <f>IF($J821="","",INDEX(명단표[급여 판정 근거],$J821))</f>
        <v/>
      </c>
      <c r="J821" s="17">
        <f>IFERROR(MATCH(817,명단표[명단순번],0),"")</f>
        <v/>
      </c>
    </row>
    <row r="822">
      <c r="A822">
        <f>IF($J822="","",TEXT(급여기준월,"yyyy-mm"))</f>
        <v/>
      </c>
      <c r="B822">
        <f>IF($J822="","",INDEX(명단표[사번],$J822)&amp;"")</f>
        <v/>
      </c>
      <c r="C822">
        <f>IF($J822="","",INDEX(명단표[이름],$J822))</f>
        <v/>
      </c>
      <c r="D822">
        <f>IF($J822="","",INDEX(명단표[수련과목],$J822))</f>
        <v/>
      </c>
      <c r="E822">
        <f>IF($J822="","",INDEX(명단표[연차],$J822)&amp;"")</f>
        <v/>
      </c>
      <c r="F822">
        <f>IF($J822="","",INDEX(명단표[소속병원],$J822))</f>
        <v/>
      </c>
      <c r="G822">
        <f>IF($J822="","",INDEX(명단표[기준월 근무병원],$J822))</f>
        <v/>
      </c>
      <c r="H822">
        <f>IF($J822="","",INDEX(명단표[급여지급병원(기준월)],$J822))</f>
        <v/>
      </c>
      <c r="I822">
        <f>IF($J822="","",INDEX(명단표[급여 판정 근거],$J822))</f>
        <v/>
      </c>
      <c r="J822" s="17">
        <f>IFERROR(MATCH(818,명단표[명단순번],0),"")</f>
        <v/>
      </c>
    </row>
    <row r="823">
      <c r="A823">
        <f>IF($J823="","",TEXT(급여기준월,"yyyy-mm"))</f>
        <v/>
      </c>
      <c r="B823">
        <f>IF($J823="","",INDEX(명단표[사번],$J823)&amp;"")</f>
        <v/>
      </c>
      <c r="C823">
        <f>IF($J823="","",INDEX(명단표[이름],$J823))</f>
        <v/>
      </c>
      <c r="D823">
        <f>IF($J823="","",INDEX(명단표[수련과목],$J823))</f>
        <v/>
      </c>
      <c r="E823">
        <f>IF($J823="","",INDEX(명단표[연차],$J823)&amp;"")</f>
        <v/>
      </c>
      <c r="F823">
        <f>IF($J823="","",INDEX(명단표[소속병원],$J823))</f>
        <v/>
      </c>
      <c r="G823">
        <f>IF($J823="","",INDEX(명단표[기준월 근무병원],$J823))</f>
        <v/>
      </c>
      <c r="H823">
        <f>IF($J823="","",INDEX(명단표[급여지급병원(기준월)],$J823))</f>
        <v/>
      </c>
      <c r="I823">
        <f>IF($J823="","",INDEX(명단표[급여 판정 근거],$J823))</f>
        <v/>
      </c>
      <c r="J823" s="17">
        <f>IFERROR(MATCH(819,명단표[명단순번],0),"")</f>
        <v/>
      </c>
    </row>
    <row r="824">
      <c r="A824">
        <f>IF($J824="","",TEXT(급여기준월,"yyyy-mm"))</f>
        <v/>
      </c>
      <c r="B824">
        <f>IF($J824="","",INDEX(명단표[사번],$J824)&amp;"")</f>
        <v/>
      </c>
      <c r="C824">
        <f>IF($J824="","",INDEX(명단표[이름],$J824))</f>
        <v/>
      </c>
      <c r="D824">
        <f>IF($J824="","",INDEX(명단표[수련과목],$J824))</f>
        <v/>
      </c>
      <c r="E824">
        <f>IF($J824="","",INDEX(명단표[연차],$J824)&amp;"")</f>
        <v/>
      </c>
      <c r="F824">
        <f>IF($J824="","",INDEX(명단표[소속병원],$J824))</f>
        <v/>
      </c>
      <c r="G824">
        <f>IF($J824="","",INDEX(명단표[기준월 근무병원],$J824))</f>
        <v/>
      </c>
      <c r="H824">
        <f>IF($J824="","",INDEX(명단표[급여지급병원(기준월)],$J824))</f>
        <v/>
      </c>
      <c r="I824">
        <f>IF($J824="","",INDEX(명단표[급여 판정 근거],$J824))</f>
        <v/>
      </c>
      <c r="J824" s="17">
        <f>IFERROR(MATCH(820,명단표[명단순번],0),"")</f>
        <v/>
      </c>
    </row>
    <row r="825">
      <c r="A825">
        <f>IF($J825="","",TEXT(급여기준월,"yyyy-mm"))</f>
        <v/>
      </c>
      <c r="B825">
        <f>IF($J825="","",INDEX(명단표[사번],$J825)&amp;"")</f>
        <v/>
      </c>
      <c r="C825">
        <f>IF($J825="","",INDEX(명단표[이름],$J825))</f>
        <v/>
      </c>
      <c r="D825">
        <f>IF($J825="","",INDEX(명단표[수련과목],$J825))</f>
        <v/>
      </c>
      <c r="E825">
        <f>IF($J825="","",INDEX(명단표[연차],$J825)&amp;"")</f>
        <v/>
      </c>
      <c r="F825">
        <f>IF($J825="","",INDEX(명단표[소속병원],$J825))</f>
        <v/>
      </c>
      <c r="G825">
        <f>IF($J825="","",INDEX(명단표[기준월 근무병원],$J825))</f>
        <v/>
      </c>
      <c r="H825">
        <f>IF($J825="","",INDEX(명단표[급여지급병원(기준월)],$J825))</f>
        <v/>
      </c>
      <c r="I825">
        <f>IF($J825="","",INDEX(명단표[급여 판정 근거],$J825))</f>
        <v/>
      </c>
      <c r="J825" s="17">
        <f>IFERROR(MATCH(821,명단표[명단순번],0),"")</f>
        <v/>
      </c>
    </row>
    <row r="826">
      <c r="A826">
        <f>IF($J826="","",TEXT(급여기준월,"yyyy-mm"))</f>
        <v/>
      </c>
      <c r="B826">
        <f>IF($J826="","",INDEX(명단표[사번],$J826)&amp;"")</f>
        <v/>
      </c>
      <c r="C826">
        <f>IF($J826="","",INDEX(명단표[이름],$J826))</f>
        <v/>
      </c>
      <c r="D826">
        <f>IF($J826="","",INDEX(명단표[수련과목],$J826))</f>
        <v/>
      </c>
      <c r="E826">
        <f>IF($J826="","",INDEX(명단표[연차],$J826)&amp;"")</f>
        <v/>
      </c>
      <c r="F826">
        <f>IF($J826="","",INDEX(명단표[소속병원],$J826))</f>
        <v/>
      </c>
      <c r="G826">
        <f>IF($J826="","",INDEX(명단표[기준월 근무병원],$J826))</f>
        <v/>
      </c>
      <c r="H826">
        <f>IF($J826="","",INDEX(명단표[급여지급병원(기준월)],$J826))</f>
        <v/>
      </c>
      <c r="I826">
        <f>IF($J826="","",INDEX(명단표[급여 판정 근거],$J826))</f>
        <v/>
      </c>
      <c r="J826" s="17">
        <f>IFERROR(MATCH(822,명단표[명단순번],0),"")</f>
        <v/>
      </c>
    </row>
    <row r="827">
      <c r="A827">
        <f>IF($J827="","",TEXT(급여기준월,"yyyy-mm"))</f>
        <v/>
      </c>
      <c r="B827">
        <f>IF($J827="","",INDEX(명단표[사번],$J827)&amp;"")</f>
        <v/>
      </c>
      <c r="C827">
        <f>IF($J827="","",INDEX(명단표[이름],$J827))</f>
        <v/>
      </c>
      <c r="D827">
        <f>IF($J827="","",INDEX(명단표[수련과목],$J827))</f>
        <v/>
      </c>
      <c r="E827">
        <f>IF($J827="","",INDEX(명단표[연차],$J827)&amp;"")</f>
        <v/>
      </c>
      <c r="F827">
        <f>IF($J827="","",INDEX(명단표[소속병원],$J827))</f>
        <v/>
      </c>
      <c r="G827">
        <f>IF($J827="","",INDEX(명단표[기준월 근무병원],$J827))</f>
        <v/>
      </c>
      <c r="H827">
        <f>IF($J827="","",INDEX(명단표[급여지급병원(기준월)],$J827))</f>
        <v/>
      </c>
      <c r="I827">
        <f>IF($J827="","",INDEX(명단표[급여 판정 근거],$J827))</f>
        <v/>
      </c>
      <c r="J827" s="17">
        <f>IFERROR(MATCH(823,명단표[명단순번],0),"")</f>
        <v/>
      </c>
    </row>
    <row r="828">
      <c r="A828">
        <f>IF($J828="","",TEXT(급여기준월,"yyyy-mm"))</f>
        <v/>
      </c>
      <c r="B828">
        <f>IF($J828="","",INDEX(명단표[사번],$J828)&amp;"")</f>
        <v/>
      </c>
      <c r="C828">
        <f>IF($J828="","",INDEX(명단표[이름],$J828))</f>
        <v/>
      </c>
      <c r="D828">
        <f>IF($J828="","",INDEX(명단표[수련과목],$J828))</f>
        <v/>
      </c>
      <c r="E828">
        <f>IF($J828="","",INDEX(명단표[연차],$J828)&amp;"")</f>
        <v/>
      </c>
      <c r="F828">
        <f>IF($J828="","",INDEX(명단표[소속병원],$J828))</f>
        <v/>
      </c>
      <c r="G828">
        <f>IF($J828="","",INDEX(명단표[기준월 근무병원],$J828))</f>
        <v/>
      </c>
      <c r="H828">
        <f>IF($J828="","",INDEX(명단표[급여지급병원(기준월)],$J828))</f>
        <v/>
      </c>
      <c r="I828">
        <f>IF($J828="","",INDEX(명단표[급여 판정 근거],$J828))</f>
        <v/>
      </c>
      <c r="J828" s="17">
        <f>IFERROR(MATCH(824,명단표[명단순번],0),"")</f>
        <v/>
      </c>
    </row>
    <row r="829">
      <c r="A829">
        <f>IF($J829="","",TEXT(급여기준월,"yyyy-mm"))</f>
        <v/>
      </c>
      <c r="B829">
        <f>IF($J829="","",INDEX(명단표[사번],$J829)&amp;"")</f>
        <v/>
      </c>
      <c r="C829">
        <f>IF($J829="","",INDEX(명단표[이름],$J829))</f>
        <v/>
      </c>
      <c r="D829">
        <f>IF($J829="","",INDEX(명단표[수련과목],$J829))</f>
        <v/>
      </c>
      <c r="E829">
        <f>IF($J829="","",INDEX(명단표[연차],$J829)&amp;"")</f>
        <v/>
      </c>
      <c r="F829">
        <f>IF($J829="","",INDEX(명단표[소속병원],$J829))</f>
        <v/>
      </c>
      <c r="G829">
        <f>IF($J829="","",INDEX(명단표[기준월 근무병원],$J829))</f>
        <v/>
      </c>
      <c r="H829">
        <f>IF($J829="","",INDEX(명단표[급여지급병원(기준월)],$J829))</f>
        <v/>
      </c>
      <c r="I829">
        <f>IF($J829="","",INDEX(명단표[급여 판정 근거],$J829))</f>
        <v/>
      </c>
      <c r="J829" s="17">
        <f>IFERROR(MATCH(825,명단표[명단순번],0),"")</f>
        <v/>
      </c>
    </row>
    <row r="830">
      <c r="A830">
        <f>IF($J830="","",TEXT(급여기준월,"yyyy-mm"))</f>
        <v/>
      </c>
      <c r="B830">
        <f>IF($J830="","",INDEX(명단표[사번],$J830)&amp;"")</f>
        <v/>
      </c>
      <c r="C830">
        <f>IF($J830="","",INDEX(명단표[이름],$J830))</f>
        <v/>
      </c>
      <c r="D830">
        <f>IF($J830="","",INDEX(명단표[수련과목],$J830))</f>
        <v/>
      </c>
      <c r="E830">
        <f>IF($J830="","",INDEX(명단표[연차],$J830)&amp;"")</f>
        <v/>
      </c>
      <c r="F830">
        <f>IF($J830="","",INDEX(명단표[소속병원],$J830))</f>
        <v/>
      </c>
      <c r="G830">
        <f>IF($J830="","",INDEX(명단표[기준월 근무병원],$J830))</f>
        <v/>
      </c>
      <c r="H830">
        <f>IF($J830="","",INDEX(명단표[급여지급병원(기준월)],$J830))</f>
        <v/>
      </c>
      <c r="I830">
        <f>IF($J830="","",INDEX(명단표[급여 판정 근거],$J830))</f>
        <v/>
      </c>
      <c r="J830" s="17">
        <f>IFERROR(MATCH(826,명단표[명단순번],0),"")</f>
        <v/>
      </c>
    </row>
    <row r="831">
      <c r="A831">
        <f>IF($J831="","",TEXT(급여기준월,"yyyy-mm"))</f>
        <v/>
      </c>
      <c r="B831">
        <f>IF($J831="","",INDEX(명단표[사번],$J831)&amp;"")</f>
        <v/>
      </c>
      <c r="C831">
        <f>IF($J831="","",INDEX(명단표[이름],$J831))</f>
        <v/>
      </c>
      <c r="D831">
        <f>IF($J831="","",INDEX(명단표[수련과목],$J831))</f>
        <v/>
      </c>
      <c r="E831">
        <f>IF($J831="","",INDEX(명단표[연차],$J831)&amp;"")</f>
        <v/>
      </c>
      <c r="F831">
        <f>IF($J831="","",INDEX(명단표[소속병원],$J831))</f>
        <v/>
      </c>
      <c r="G831">
        <f>IF($J831="","",INDEX(명단표[기준월 근무병원],$J831))</f>
        <v/>
      </c>
      <c r="H831">
        <f>IF($J831="","",INDEX(명단표[급여지급병원(기준월)],$J831))</f>
        <v/>
      </c>
      <c r="I831">
        <f>IF($J831="","",INDEX(명단표[급여 판정 근거],$J831))</f>
        <v/>
      </c>
      <c r="J831" s="17">
        <f>IFERROR(MATCH(827,명단표[명단순번],0),"")</f>
        <v/>
      </c>
    </row>
    <row r="832">
      <c r="A832">
        <f>IF($J832="","",TEXT(급여기준월,"yyyy-mm"))</f>
        <v/>
      </c>
      <c r="B832">
        <f>IF($J832="","",INDEX(명단표[사번],$J832)&amp;"")</f>
        <v/>
      </c>
      <c r="C832">
        <f>IF($J832="","",INDEX(명단표[이름],$J832))</f>
        <v/>
      </c>
      <c r="D832">
        <f>IF($J832="","",INDEX(명단표[수련과목],$J832))</f>
        <v/>
      </c>
      <c r="E832">
        <f>IF($J832="","",INDEX(명단표[연차],$J832)&amp;"")</f>
        <v/>
      </c>
      <c r="F832">
        <f>IF($J832="","",INDEX(명단표[소속병원],$J832))</f>
        <v/>
      </c>
      <c r="G832">
        <f>IF($J832="","",INDEX(명단표[기준월 근무병원],$J832))</f>
        <v/>
      </c>
      <c r="H832">
        <f>IF($J832="","",INDEX(명단표[급여지급병원(기준월)],$J832))</f>
        <v/>
      </c>
      <c r="I832">
        <f>IF($J832="","",INDEX(명단표[급여 판정 근거],$J832))</f>
        <v/>
      </c>
      <c r="J832" s="17">
        <f>IFERROR(MATCH(828,명단표[명단순번],0),"")</f>
        <v/>
      </c>
    </row>
    <row r="833">
      <c r="A833">
        <f>IF($J833="","",TEXT(급여기준월,"yyyy-mm"))</f>
        <v/>
      </c>
      <c r="B833">
        <f>IF($J833="","",INDEX(명단표[사번],$J833)&amp;"")</f>
        <v/>
      </c>
      <c r="C833">
        <f>IF($J833="","",INDEX(명단표[이름],$J833))</f>
        <v/>
      </c>
      <c r="D833">
        <f>IF($J833="","",INDEX(명단표[수련과목],$J833))</f>
        <v/>
      </c>
      <c r="E833">
        <f>IF($J833="","",INDEX(명단표[연차],$J833)&amp;"")</f>
        <v/>
      </c>
      <c r="F833">
        <f>IF($J833="","",INDEX(명단표[소속병원],$J833))</f>
        <v/>
      </c>
      <c r="G833">
        <f>IF($J833="","",INDEX(명단표[기준월 근무병원],$J833))</f>
        <v/>
      </c>
      <c r="H833">
        <f>IF($J833="","",INDEX(명단표[급여지급병원(기준월)],$J833))</f>
        <v/>
      </c>
      <c r="I833">
        <f>IF($J833="","",INDEX(명단표[급여 판정 근거],$J833))</f>
        <v/>
      </c>
      <c r="J833" s="17">
        <f>IFERROR(MATCH(829,명단표[명단순번],0),"")</f>
        <v/>
      </c>
    </row>
    <row r="834">
      <c r="A834">
        <f>IF($J834="","",TEXT(급여기준월,"yyyy-mm"))</f>
        <v/>
      </c>
      <c r="B834">
        <f>IF($J834="","",INDEX(명단표[사번],$J834)&amp;"")</f>
        <v/>
      </c>
      <c r="C834">
        <f>IF($J834="","",INDEX(명단표[이름],$J834))</f>
        <v/>
      </c>
      <c r="D834">
        <f>IF($J834="","",INDEX(명단표[수련과목],$J834))</f>
        <v/>
      </c>
      <c r="E834">
        <f>IF($J834="","",INDEX(명단표[연차],$J834)&amp;"")</f>
        <v/>
      </c>
      <c r="F834">
        <f>IF($J834="","",INDEX(명단표[소속병원],$J834))</f>
        <v/>
      </c>
      <c r="G834">
        <f>IF($J834="","",INDEX(명단표[기준월 근무병원],$J834))</f>
        <v/>
      </c>
      <c r="H834">
        <f>IF($J834="","",INDEX(명단표[급여지급병원(기준월)],$J834))</f>
        <v/>
      </c>
      <c r="I834">
        <f>IF($J834="","",INDEX(명단표[급여 판정 근거],$J834))</f>
        <v/>
      </c>
      <c r="J834" s="17">
        <f>IFERROR(MATCH(830,명단표[명단순번],0),"")</f>
        <v/>
      </c>
    </row>
    <row r="835">
      <c r="A835">
        <f>IF($J835="","",TEXT(급여기준월,"yyyy-mm"))</f>
        <v/>
      </c>
      <c r="B835">
        <f>IF($J835="","",INDEX(명단표[사번],$J835)&amp;"")</f>
        <v/>
      </c>
      <c r="C835">
        <f>IF($J835="","",INDEX(명단표[이름],$J835))</f>
        <v/>
      </c>
      <c r="D835">
        <f>IF($J835="","",INDEX(명단표[수련과목],$J835))</f>
        <v/>
      </c>
      <c r="E835">
        <f>IF($J835="","",INDEX(명단표[연차],$J835)&amp;"")</f>
        <v/>
      </c>
      <c r="F835">
        <f>IF($J835="","",INDEX(명단표[소속병원],$J835))</f>
        <v/>
      </c>
      <c r="G835">
        <f>IF($J835="","",INDEX(명단표[기준월 근무병원],$J835))</f>
        <v/>
      </c>
      <c r="H835">
        <f>IF($J835="","",INDEX(명단표[급여지급병원(기준월)],$J835))</f>
        <v/>
      </c>
      <c r="I835">
        <f>IF($J835="","",INDEX(명단표[급여 판정 근거],$J835))</f>
        <v/>
      </c>
      <c r="J835" s="17">
        <f>IFERROR(MATCH(831,명단표[명단순번],0),"")</f>
        <v/>
      </c>
    </row>
    <row r="836">
      <c r="A836">
        <f>IF($J836="","",TEXT(급여기준월,"yyyy-mm"))</f>
        <v/>
      </c>
      <c r="B836">
        <f>IF($J836="","",INDEX(명단표[사번],$J836)&amp;"")</f>
        <v/>
      </c>
      <c r="C836">
        <f>IF($J836="","",INDEX(명단표[이름],$J836))</f>
        <v/>
      </c>
      <c r="D836">
        <f>IF($J836="","",INDEX(명단표[수련과목],$J836))</f>
        <v/>
      </c>
      <c r="E836">
        <f>IF($J836="","",INDEX(명단표[연차],$J836)&amp;"")</f>
        <v/>
      </c>
      <c r="F836">
        <f>IF($J836="","",INDEX(명단표[소속병원],$J836))</f>
        <v/>
      </c>
      <c r="G836">
        <f>IF($J836="","",INDEX(명단표[기준월 근무병원],$J836))</f>
        <v/>
      </c>
      <c r="H836">
        <f>IF($J836="","",INDEX(명단표[급여지급병원(기준월)],$J836))</f>
        <v/>
      </c>
      <c r="I836">
        <f>IF($J836="","",INDEX(명단표[급여 판정 근거],$J836))</f>
        <v/>
      </c>
      <c r="J836" s="17">
        <f>IFERROR(MATCH(832,명단표[명단순번],0),"")</f>
        <v/>
      </c>
    </row>
    <row r="837">
      <c r="A837">
        <f>IF($J837="","",TEXT(급여기준월,"yyyy-mm"))</f>
        <v/>
      </c>
      <c r="B837">
        <f>IF($J837="","",INDEX(명단표[사번],$J837)&amp;"")</f>
        <v/>
      </c>
      <c r="C837">
        <f>IF($J837="","",INDEX(명단표[이름],$J837))</f>
        <v/>
      </c>
      <c r="D837">
        <f>IF($J837="","",INDEX(명단표[수련과목],$J837))</f>
        <v/>
      </c>
      <c r="E837">
        <f>IF($J837="","",INDEX(명단표[연차],$J837)&amp;"")</f>
        <v/>
      </c>
      <c r="F837">
        <f>IF($J837="","",INDEX(명단표[소속병원],$J837))</f>
        <v/>
      </c>
      <c r="G837">
        <f>IF($J837="","",INDEX(명단표[기준월 근무병원],$J837))</f>
        <v/>
      </c>
      <c r="H837">
        <f>IF($J837="","",INDEX(명단표[급여지급병원(기준월)],$J837))</f>
        <v/>
      </c>
      <c r="I837">
        <f>IF($J837="","",INDEX(명단표[급여 판정 근거],$J837))</f>
        <v/>
      </c>
      <c r="J837" s="17">
        <f>IFERROR(MATCH(833,명단표[명단순번],0),"")</f>
        <v/>
      </c>
    </row>
    <row r="838">
      <c r="A838">
        <f>IF($J838="","",TEXT(급여기준월,"yyyy-mm"))</f>
        <v/>
      </c>
      <c r="B838">
        <f>IF($J838="","",INDEX(명단표[사번],$J838)&amp;"")</f>
        <v/>
      </c>
      <c r="C838">
        <f>IF($J838="","",INDEX(명단표[이름],$J838))</f>
        <v/>
      </c>
      <c r="D838">
        <f>IF($J838="","",INDEX(명단표[수련과목],$J838))</f>
        <v/>
      </c>
      <c r="E838">
        <f>IF($J838="","",INDEX(명단표[연차],$J838)&amp;"")</f>
        <v/>
      </c>
      <c r="F838">
        <f>IF($J838="","",INDEX(명단표[소속병원],$J838))</f>
        <v/>
      </c>
      <c r="G838">
        <f>IF($J838="","",INDEX(명단표[기준월 근무병원],$J838))</f>
        <v/>
      </c>
      <c r="H838">
        <f>IF($J838="","",INDEX(명단표[급여지급병원(기준월)],$J838))</f>
        <v/>
      </c>
      <c r="I838">
        <f>IF($J838="","",INDEX(명단표[급여 판정 근거],$J838))</f>
        <v/>
      </c>
      <c r="J838" s="17">
        <f>IFERROR(MATCH(834,명단표[명단순번],0),"")</f>
        <v/>
      </c>
    </row>
    <row r="839">
      <c r="A839">
        <f>IF($J839="","",TEXT(급여기준월,"yyyy-mm"))</f>
        <v/>
      </c>
      <c r="B839">
        <f>IF($J839="","",INDEX(명단표[사번],$J839)&amp;"")</f>
        <v/>
      </c>
      <c r="C839">
        <f>IF($J839="","",INDEX(명단표[이름],$J839))</f>
        <v/>
      </c>
      <c r="D839">
        <f>IF($J839="","",INDEX(명단표[수련과목],$J839))</f>
        <v/>
      </c>
      <c r="E839">
        <f>IF($J839="","",INDEX(명단표[연차],$J839)&amp;"")</f>
        <v/>
      </c>
      <c r="F839">
        <f>IF($J839="","",INDEX(명단표[소속병원],$J839))</f>
        <v/>
      </c>
      <c r="G839">
        <f>IF($J839="","",INDEX(명단표[기준월 근무병원],$J839))</f>
        <v/>
      </c>
      <c r="H839">
        <f>IF($J839="","",INDEX(명단표[급여지급병원(기준월)],$J839))</f>
        <v/>
      </c>
      <c r="I839">
        <f>IF($J839="","",INDEX(명단표[급여 판정 근거],$J839))</f>
        <v/>
      </c>
      <c r="J839" s="17">
        <f>IFERROR(MATCH(835,명단표[명단순번],0),"")</f>
        <v/>
      </c>
    </row>
    <row r="840">
      <c r="A840">
        <f>IF($J840="","",TEXT(급여기준월,"yyyy-mm"))</f>
        <v/>
      </c>
      <c r="B840">
        <f>IF($J840="","",INDEX(명단표[사번],$J840)&amp;"")</f>
        <v/>
      </c>
      <c r="C840">
        <f>IF($J840="","",INDEX(명단표[이름],$J840))</f>
        <v/>
      </c>
      <c r="D840">
        <f>IF($J840="","",INDEX(명단표[수련과목],$J840))</f>
        <v/>
      </c>
      <c r="E840">
        <f>IF($J840="","",INDEX(명단표[연차],$J840)&amp;"")</f>
        <v/>
      </c>
      <c r="F840">
        <f>IF($J840="","",INDEX(명단표[소속병원],$J840))</f>
        <v/>
      </c>
      <c r="G840">
        <f>IF($J840="","",INDEX(명단표[기준월 근무병원],$J840))</f>
        <v/>
      </c>
      <c r="H840">
        <f>IF($J840="","",INDEX(명단표[급여지급병원(기준월)],$J840))</f>
        <v/>
      </c>
      <c r="I840">
        <f>IF($J840="","",INDEX(명단표[급여 판정 근거],$J840))</f>
        <v/>
      </c>
      <c r="J840" s="17">
        <f>IFERROR(MATCH(836,명단표[명단순번],0),"")</f>
        <v/>
      </c>
    </row>
    <row r="841">
      <c r="A841">
        <f>IF($J841="","",TEXT(급여기준월,"yyyy-mm"))</f>
        <v/>
      </c>
      <c r="B841">
        <f>IF($J841="","",INDEX(명단표[사번],$J841)&amp;"")</f>
        <v/>
      </c>
      <c r="C841">
        <f>IF($J841="","",INDEX(명단표[이름],$J841))</f>
        <v/>
      </c>
      <c r="D841">
        <f>IF($J841="","",INDEX(명단표[수련과목],$J841))</f>
        <v/>
      </c>
      <c r="E841">
        <f>IF($J841="","",INDEX(명단표[연차],$J841)&amp;"")</f>
        <v/>
      </c>
      <c r="F841">
        <f>IF($J841="","",INDEX(명단표[소속병원],$J841))</f>
        <v/>
      </c>
      <c r="G841">
        <f>IF($J841="","",INDEX(명단표[기준월 근무병원],$J841))</f>
        <v/>
      </c>
      <c r="H841">
        <f>IF($J841="","",INDEX(명단표[급여지급병원(기준월)],$J841))</f>
        <v/>
      </c>
      <c r="I841">
        <f>IF($J841="","",INDEX(명단표[급여 판정 근거],$J841))</f>
        <v/>
      </c>
      <c r="J841" s="17">
        <f>IFERROR(MATCH(837,명단표[명단순번],0),"")</f>
        <v/>
      </c>
    </row>
    <row r="842">
      <c r="A842">
        <f>IF($J842="","",TEXT(급여기준월,"yyyy-mm"))</f>
        <v/>
      </c>
      <c r="B842">
        <f>IF($J842="","",INDEX(명단표[사번],$J842)&amp;"")</f>
        <v/>
      </c>
      <c r="C842">
        <f>IF($J842="","",INDEX(명단표[이름],$J842))</f>
        <v/>
      </c>
      <c r="D842">
        <f>IF($J842="","",INDEX(명단표[수련과목],$J842))</f>
        <v/>
      </c>
      <c r="E842">
        <f>IF($J842="","",INDEX(명단표[연차],$J842)&amp;"")</f>
        <v/>
      </c>
      <c r="F842">
        <f>IF($J842="","",INDEX(명단표[소속병원],$J842))</f>
        <v/>
      </c>
      <c r="G842">
        <f>IF($J842="","",INDEX(명단표[기준월 근무병원],$J842))</f>
        <v/>
      </c>
      <c r="H842">
        <f>IF($J842="","",INDEX(명단표[급여지급병원(기준월)],$J842))</f>
        <v/>
      </c>
      <c r="I842">
        <f>IF($J842="","",INDEX(명단표[급여 판정 근거],$J842))</f>
        <v/>
      </c>
      <c r="J842" s="17">
        <f>IFERROR(MATCH(838,명단표[명단순번],0),"")</f>
        <v/>
      </c>
    </row>
    <row r="843">
      <c r="A843">
        <f>IF($J843="","",TEXT(급여기준월,"yyyy-mm"))</f>
        <v/>
      </c>
      <c r="B843">
        <f>IF($J843="","",INDEX(명단표[사번],$J843)&amp;"")</f>
        <v/>
      </c>
      <c r="C843">
        <f>IF($J843="","",INDEX(명단표[이름],$J843))</f>
        <v/>
      </c>
      <c r="D843">
        <f>IF($J843="","",INDEX(명단표[수련과목],$J843))</f>
        <v/>
      </c>
      <c r="E843">
        <f>IF($J843="","",INDEX(명단표[연차],$J843)&amp;"")</f>
        <v/>
      </c>
      <c r="F843">
        <f>IF($J843="","",INDEX(명단표[소속병원],$J843))</f>
        <v/>
      </c>
      <c r="G843">
        <f>IF($J843="","",INDEX(명단표[기준월 근무병원],$J843))</f>
        <v/>
      </c>
      <c r="H843">
        <f>IF($J843="","",INDEX(명단표[급여지급병원(기준월)],$J843))</f>
        <v/>
      </c>
      <c r="I843">
        <f>IF($J843="","",INDEX(명단표[급여 판정 근거],$J843))</f>
        <v/>
      </c>
      <c r="J843" s="17">
        <f>IFERROR(MATCH(839,명단표[명단순번],0),"")</f>
        <v/>
      </c>
    </row>
    <row r="844">
      <c r="A844">
        <f>IF($J844="","",TEXT(급여기준월,"yyyy-mm"))</f>
        <v/>
      </c>
      <c r="B844">
        <f>IF($J844="","",INDEX(명단표[사번],$J844)&amp;"")</f>
        <v/>
      </c>
      <c r="C844">
        <f>IF($J844="","",INDEX(명단표[이름],$J844))</f>
        <v/>
      </c>
      <c r="D844">
        <f>IF($J844="","",INDEX(명단표[수련과목],$J844))</f>
        <v/>
      </c>
      <c r="E844">
        <f>IF($J844="","",INDEX(명단표[연차],$J844)&amp;"")</f>
        <v/>
      </c>
      <c r="F844">
        <f>IF($J844="","",INDEX(명단표[소속병원],$J844))</f>
        <v/>
      </c>
      <c r="G844">
        <f>IF($J844="","",INDEX(명단표[기준월 근무병원],$J844))</f>
        <v/>
      </c>
      <c r="H844">
        <f>IF($J844="","",INDEX(명단표[급여지급병원(기준월)],$J844))</f>
        <v/>
      </c>
      <c r="I844">
        <f>IF($J844="","",INDEX(명단표[급여 판정 근거],$J844))</f>
        <v/>
      </c>
      <c r="J844" s="17">
        <f>IFERROR(MATCH(840,명단표[명단순번],0),"")</f>
        <v/>
      </c>
    </row>
    <row r="845">
      <c r="A845">
        <f>IF($J845="","",TEXT(급여기준월,"yyyy-mm"))</f>
        <v/>
      </c>
      <c r="B845">
        <f>IF($J845="","",INDEX(명단표[사번],$J845)&amp;"")</f>
        <v/>
      </c>
      <c r="C845">
        <f>IF($J845="","",INDEX(명단표[이름],$J845))</f>
        <v/>
      </c>
      <c r="D845">
        <f>IF($J845="","",INDEX(명단표[수련과목],$J845))</f>
        <v/>
      </c>
      <c r="E845">
        <f>IF($J845="","",INDEX(명단표[연차],$J845)&amp;"")</f>
        <v/>
      </c>
      <c r="F845">
        <f>IF($J845="","",INDEX(명단표[소속병원],$J845))</f>
        <v/>
      </c>
      <c r="G845">
        <f>IF($J845="","",INDEX(명단표[기준월 근무병원],$J845))</f>
        <v/>
      </c>
      <c r="H845">
        <f>IF($J845="","",INDEX(명단표[급여지급병원(기준월)],$J845))</f>
        <v/>
      </c>
      <c r="I845">
        <f>IF($J845="","",INDEX(명단표[급여 판정 근거],$J845))</f>
        <v/>
      </c>
      <c r="J845" s="17">
        <f>IFERROR(MATCH(841,명단표[명단순번],0),"")</f>
        <v/>
      </c>
    </row>
    <row r="846">
      <c r="A846">
        <f>IF($J846="","",TEXT(급여기준월,"yyyy-mm"))</f>
        <v/>
      </c>
      <c r="B846">
        <f>IF($J846="","",INDEX(명단표[사번],$J846)&amp;"")</f>
        <v/>
      </c>
      <c r="C846">
        <f>IF($J846="","",INDEX(명단표[이름],$J846))</f>
        <v/>
      </c>
      <c r="D846">
        <f>IF($J846="","",INDEX(명단표[수련과목],$J846))</f>
        <v/>
      </c>
      <c r="E846">
        <f>IF($J846="","",INDEX(명단표[연차],$J846)&amp;"")</f>
        <v/>
      </c>
      <c r="F846">
        <f>IF($J846="","",INDEX(명단표[소속병원],$J846))</f>
        <v/>
      </c>
      <c r="G846">
        <f>IF($J846="","",INDEX(명단표[기준월 근무병원],$J846))</f>
        <v/>
      </c>
      <c r="H846">
        <f>IF($J846="","",INDEX(명단표[급여지급병원(기준월)],$J846))</f>
        <v/>
      </c>
      <c r="I846">
        <f>IF($J846="","",INDEX(명단표[급여 판정 근거],$J846))</f>
        <v/>
      </c>
      <c r="J846" s="17">
        <f>IFERROR(MATCH(842,명단표[명단순번],0),"")</f>
        <v/>
      </c>
    </row>
    <row r="847">
      <c r="A847">
        <f>IF($J847="","",TEXT(급여기준월,"yyyy-mm"))</f>
        <v/>
      </c>
      <c r="B847">
        <f>IF($J847="","",INDEX(명단표[사번],$J847)&amp;"")</f>
        <v/>
      </c>
      <c r="C847">
        <f>IF($J847="","",INDEX(명단표[이름],$J847))</f>
        <v/>
      </c>
      <c r="D847">
        <f>IF($J847="","",INDEX(명단표[수련과목],$J847))</f>
        <v/>
      </c>
      <c r="E847">
        <f>IF($J847="","",INDEX(명단표[연차],$J847)&amp;"")</f>
        <v/>
      </c>
      <c r="F847">
        <f>IF($J847="","",INDEX(명단표[소속병원],$J847))</f>
        <v/>
      </c>
      <c r="G847">
        <f>IF($J847="","",INDEX(명단표[기준월 근무병원],$J847))</f>
        <v/>
      </c>
      <c r="H847">
        <f>IF($J847="","",INDEX(명단표[급여지급병원(기준월)],$J847))</f>
        <v/>
      </c>
      <c r="I847">
        <f>IF($J847="","",INDEX(명단표[급여 판정 근거],$J847))</f>
        <v/>
      </c>
      <c r="J847" s="17">
        <f>IFERROR(MATCH(843,명단표[명단순번],0),"")</f>
        <v/>
      </c>
    </row>
    <row r="848">
      <c r="A848">
        <f>IF($J848="","",TEXT(급여기준월,"yyyy-mm"))</f>
        <v/>
      </c>
      <c r="B848">
        <f>IF($J848="","",INDEX(명단표[사번],$J848)&amp;"")</f>
        <v/>
      </c>
      <c r="C848">
        <f>IF($J848="","",INDEX(명단표[이름],$J848))</f>
        <v/>
      </c>
      <c r="D848">
        <f>IF($J848="","",INDEX(명단표[수련과목],$J848))</f>
        <v/>
      </c>
      <c r="E848">
        <f>IF($J848="","",INDEX(명단표[연차],$J848)&amp;"")</f>
        <v/>
      </c>
      <c r="F848">
        <f>IF($J848="","",INDEX(명단표[소속병원],$J848))</f>
        <v/>
      </c>
      <c r="G848">
        <f>IF($J848="","",INDEX(명단표[기준월 근무병원],$J848))</f>
        <v/>
      </c>
      <c r="H848">
        <f>IF($J848="","",INDEX(명단표[급여지급병원(기준월)],$J848))</f>
        <v/>
      </c>
      <c r="I848">
        <f>IF($J848="","",INDEX(명단표[급여 판정 근거],$J848))</f>
        <v/>
      </c>
      <c r="J848" s="17">
        <f>IFERROR(MATCH(844,명단표[명단순번],0),"")</f>
        <v/>
      </c>
    </row>
    <row r="849">
      <c r="A849">
        <f>IF($J849="","",TEXT(급여기준월,"yyyy-mm"))</f>
        <v/>
      </c>
      <c r="B849">
        <f>IF($J849="","",INDEX(명단표[사번],$J849)&amp;"")</f>
        <v/>
      </c>
      <c r="C849">
        <f>IF($J849="","",INDEX(명단표[이름],$J849))</f>
        <v/>
      </c>
      <c r="D849">
        <f>IF($J849="","",INDEX(명단표[수련과목],$J849))</f>
        <v/>
      </c>
      <c r="E849">
        <f>IF($J849="","",INDEX(명단표[연차],$J849)&amp;"")</f>
        <v/>
      </c>
      <c r="F849">
        <f>IF($J849="","",INDEX(명단표[소속병원],$J849))</f>
        <v/>
      </c>
      <c r="G849">
        <f>IF($J849="","",INDEX(명단표[기준월 근무병원],$J849))</f>
        <v/>
      </c>
      <c r="H849">
        <f>IF($J849="","",INDEX(명단표[급여지급병원(기준월)],$J849))</f>
        <v/>
      </c>
      <c r="I849">
        <f>IF($J849="","",INDEX(명단표[급여 판정 근거],$J849))</f>
        <v/>
      </c>
      <c r="J849" s="17">
        <f>IFERROR(MATCH(845,명단표[명단순번],0),"")</f>
        <v/>
      </c>
    </row>
    <row r="850">
      <c r="A850">
        <f>IF($J850="","",TEXT(급여기준월,"yyyy-mm"))</f>
        <v/>
      </c>
      <c r="B850">
        <f>IF($J850="","",INDEX(명단표[사번],$J850)&amp;"")</f>
        <v/>
      </c>
      <c r="C850">
        <f>IF($J850="","",INDEX(명단표[이름],$J850))</f>
        <v/>
      </c>
      <c r="D850">
        <f>IF($J850="","",INDEX(명단표[수련과목],$J850))</f>
        <v/>
      </c>
      <c r="E850">
        <f>IF($J850="","",INDEX(명단표[연차],$J850)&amp;"")</f>
        <v/>
      </c>
      <c r="F850">
        <f>IF($J850="","",INDEX(명단표[소속병원],$J850))</f>
        <v/>
      </c>
      <c r="G850">
        <f>IF($J850="","",INDEX(명단표[기준월 근무병원],$J850))</f>
        <v/>
      </c>
      <c r="H850">
        <f>IF($J850="","",INDEX(명단표[급여지급병원(기준월)],$J850))</f>
        <v/>
      </c>
      <c r="I850">
        <f>IF($J850="","",INDEX(명단표[급여 판정 근거],$J850))</f>
        <v/>
      </c>
      <c r="J850" s="17">
        <f>IFERROR(MATCH(846,명단표[명단순번],0),"")</f>
        <v/>
      </c>
    </row>
    <row r="851">
      <c r="A851">
        <f>IF($J851="","",TEXT(급여기준월,"yyyy-mm"))</f>
        <v/>
      </c>
      <c r="B851">
        <f>IF($J851="","",INDEX(명단표[사번],$J851)&amp;"")</f>
        <v/>
      </c>
      <c r="C851">
        <f>IF($J851="","",INDEX(명단표[이름],$J851))</f>
        <v/>
      </c>
      <c r="D851">
        <f>IF($J851="","",INDEX(명단표[수련과목],$J851))</f>
        <v/>
      </c>
      <c r="E851">
        <f>IF($J851="","",INDEX(명단표[연차],$J851)&amp;"")</f>
        <v/>
      </c>
      <c r="F851">
        <f>IF($J851="","",INDEX(명단표[소속병원],$J851))</f>
        <v/>
      </c>
      <c r="G851">
        <f>IF($J851="","",INDEX(명단표[기준월 근무병원],$J851))</f>
        <v/>
      </c>
      <c r="H851">
        <f>IF($J851="","",INDEX(명단표[급여지급병원(기준월)],$J851))</f>
        <v/>
      </c>
      <c r="I851">
        <f>IF($J851="","",INDEX(명단표[급여 판정 근거],$J851))</f>
        <v/>
      </c>
      <c r="J851" s="17">
        <f>IFERROR(MATCH(847,명단표[명단순번],0),"")</f>
        <v/>
      </c>
    </row>
    <row r="852">
      <c r="A852">
        <f>IF($J852="","",TEXT(급여기준월,"yyyy-mm"))</f>
        <v/>
      </c>
      <c r="B852">
        <f>IF($J852="","",INDEX(명단표[사번],$J852)&amp;"")</f>
        <v/>
      </c>
      <c r="C852">
        <f>IF($J852="","",INDEX(명단표[이름],$J852))</f>
        <v/>
      </c>
      <c r="D852">
        <f>IF($J852="","",INDEX(명단표[수련과목],$J852))</f>
        <v/>
      </c>
      <c r="E852">
        <f>IF($J852="","",INDEX(명단표[연차],$J852)&amp;"")</f>
        <v/>
      </c>
      <c r="F852">
        <f>IF($J852="","",INDEX(명단표[소속병원],$J852))</f>
        <v/>
      </c>
      <c r="G852">
        <f>IF($J852="","",INDEX(명단표[기준월 근무병원],$J852))</f>
        <v/>
      </c>
      <c r="H852">
        <f>IF($J852="","",INDEX(명단표[급여지급병원(기준월)],$J852))</f>
        <v/>
      </c>
      <c r="I852">
        <f>IF($J852="","",INDEX(명단표[급여 판정 근거],$J852))</f>
        <v/>
      </c>
      <c r="J852" s="17">
        <f>IFERROR(MATCH(848,명단표[명단순번],0),"")</f>
        <v/>
      </c>
    </row>
    <row r="853">
      <c r="A853">
        <f>IF($J853="","",TEXT(급여기준월,"yyyy-mm"))</f>
        <v/>
      </c>
      <c r="B853">
        <f>IF($J853="","",INDEX(명단표[사번],$J853)&amp;"")</f>
        <v/>
      </c>
      <c r="C853">
        <f>IF($J853="","",INDEX(명단표[이름],$J853))</f>
        <v/>
      </c>
      <c r="D853">
        <f>IF($J853="","",INDEX(명단표[수련과목],$J853))</f>
        <v/>
      </c>
      <c r="E853">
        <f>IF($J853="","",INDEX(명단표[연차],$J853)&amp;"")</f>
        <v/>
      </c>
      <c r="F853">
        <f>IF($J853="","",INDEX(명단표[소속병원],$J853))</f>
        <v/>
      </c>
      <c r="G853">
        <f>IF($J853="","",INDEX(명단표[기준월 근무병원],$J853))</f>
        <v/>
      </c>
      <c r="H853">
        <f>IF($J853="","",INDEX(명단표[급여지급병원(기준월)],$J853))</f>
        <v/>
      </c>
      <c r="I853">
        <f>IF($J853="","",INDEX(명단표[급여 판정 근거],$J853))</f>
        <v/>
      </c>
      <c r="J853" s="17">
        <f>IFERROR(MATCH(849,명단표[명단순번],0),"")</f>
        <v/>
      </c>
    </row>
    <row r="854">
      <c r="A854">
        <f>IF($J854="","",TEXT(급여기준월,"yyyy-mm"))</f>
        <v/>
      </c>
      <c r="B854">
        <f>IF($J854="","",INDEX(명단표[사번],$J854)&amp;"")</f>
        <v/>
      </c>
      <c r="C854">
        <f>IF($J854="","",INDEX(명단표[이름],$J854))</f>
        <v/>
      </c>
      <c r="D854">
        <f>IF($J854="","",INDEX(명단표[수련과목],$J854))</f>
        <v/>
      </c>
      <c r="E854">
        <f>IF($J854="","",INDEX(명단표[연차],$J854)&amp;"")</f>
        <v/>
      </c>
      <c r="F854">
        <f>IF($J854="","",INDEX(명단표[소속병원],$J854))</f>
        <v/>
      </c>
      <c r="G854">
        <f>IF($J854="","",INDEX(명단표[기준월 근무병원],$J854))</f>
        <v/>
      </c>
      <c r="H854">
        <f>IF($J854="","",INDEX(명단표[급여지급병원(기준월)],$J854))</f>
        <v/>
      </c>
      <c r="I854">
        <f>IF($J854="","",INDEX(명단표[급여 판정 근거],$J854))</f>
        <v/>
      </c>
      <c r="J854" s="17">
        <f>IFERROR(MATCH(850,명단표[명단순번],0),"")</f>
        <v/>
      </c>
    </row>
    <row r="855">
      <c r="A855">
        <f>IF($J855="","",TEXT(급여기준월,"yyyy-mm"))</f>
        <v/>
      </c>
      <c r="B855">
        <f>IF($J855="","",INDEX(명단표[사번],$J855)&amp;"")</f>
        <v/>
      </c>
      <c r="C855">
        <f>IF($J855="","",INDEX(명단표[이름],$J855))</f>
        <v/>
      </c>
      <c r="D855">
        <f>IF($J855="","",INDEX(명단표[수련과목],$J855))</f>
        <v/>
      </c>
      <c r="E855">
        <f>IF($J855="","",INDEX(명단표[연차],$J855)&amp;"")</f>
        <v/>
      </c>
      <c r="F855">
        <f>IF($J855="","",INDEX(명단표[소속병원],$J855))</f>
        <v/>
      </c>
      <c r="G855">
        <f>IF($J855="","",INDEX(명단표[기준월 근무병원],$J855))</f>
        <v/>
      </c>
      <c r="H855">
        <f>IF($J855="","",INDEX(명단표[급여지급병원(기준월)],$J855))</f>
        <v/>
      </c>
      <c r="I855">
        <f>IF($J855="","",INDEX(명단표[급여 판정 근거],$J855))</f>
        <v/>
      </c>
      <c r="J855" s="17">
        <f>IFERROR(MATCH(851,명단표[명단순번],0),"")</f>
        <v/>
      </c>
    </row>
    <row r="856">
      <c r="A856">
        <f>IF($J856="","",TEXT(급여기준월,"yyyy-mm"))</f>
        <v/>
      </c>
      <c r="B856">
        <f>IF($J856="","",INDEX(명단표[사번],$J856)&amp;"")</f>
        <v/>
      </c>
      <c r="C856">
        <f>IF($J856="","",INDEX(명단표[이름],$J856))</f>
        <v/>
      </c>
      <c r="D856">
        <f>IF($J856="","",INDEX(명단표[수련과목],$J856))</f>
        <v/>
      </c>
      <c r="E856">
        <f>IF($J856="","",INDEX(명단표[연차],$J856)&amp;"")</f>
        <v/>
      </c>
      <c r="F856">
        <f>IF($J856="","",INDEX(명단표[소속병원],$J856))</f>
        <v/>
      </c>
      <c r="G856">
        <f>IF($J856="","",INDEX(명단표[기준월 근무병원],$J856))</f>
        <v/>
      </c>
      <c r="H856">
        <f>IF($J856="","",INDEX(명단표[급여지급병원(기준월)],$J856))</f>
        <v/>
      </c>
      <c r="I856">
        <f>IF($J856="","",INDEX(명단표[급여 판정 근거],$J856))</f>
        <v/>
      </c>
      <c r="J856" s="17">
        <f>IFERROR(MATCH(852,명단표[명단순번],0),"")</f>
        <v/>
      </c>
    </row>
    <row r="857">
      <c r="A857">
        <f>IF($J857="","",TEXT(급여기준월,"yyyy-mm"))</f>
        <v/>
      </c>
      <c r="B857">
        <f>IF($J857="","",INDEX(명단표[사번],$J857)&amp;"")</f>
        <v/>
      </c>
      <c r="C857">
        <f>IF($J857="","",INDEX(명단표[이름],$J857))</f>
        <v/>
      </c>
      <c r="D857">
        <f>IF($J857="","",INDEX(명단표[수련과목],$J857))</f>
        <v/>
      </c>
      <c r="E857">
        <f>IF($J857="","",INDEX(명단표[연차],$J857)&amp;"")</f>
        <v/>
      </c>
      <c r="F857">
        <f>IF($J857="","",INDEX(명단표[소속병원],$J857))</f>
        <v/>
      </c>
      <c r="G857">
        <f>IF($J857="","",INDEX(명단표[기준월 근무병원],$J857))</f>
        <v/>
      </c>
      <c r="H857">
        <f>IF($J857="","",INDEX(명단표[급여지급병원(기준월)],$J857))</f>
        <v/>
      </c>
      <c r="I857">
        <f>IF($J857="","",INDEX(명단표[급여 판정 근거],$J857))</f>
        <v/>
      </c>
      <c r="J857" s="17">
        <f>IFERROR(MATCH(853,명단표[명단순번],0),"")</f>
        <v/>
      </c>
    </row>
    <row r="858">
      <c r="A858">
        <f>IF($J858="","",TEXT(급여기준월,"yyyy-mm"))</f>
        <v/>
      </c>
      <c r="B858">
        <f>IF($J858="","",INDEX(명단표[사번],$J858)&amp;"")</f>
        <v/>
      </c>
      <c r="C858">
        <f>IF($J858="","",INDEX(명단표[이름],$J858))</f>
        <v/>
      </c>
      <c r="D858">
        <f>IF($J858="","",INDEX(명단표[수련과목],$J858))</f>
        <v/>
      </c>
      <c r="E858">
        <f>IF($J858="","",INDEX(명단표[연차],$J858)&amp;"")</f>
        <v/>
      </c>
      <c r="F858">
        <f>IF($J858="","",INDEX(명단표[소속병원],$J858))</f>
        <v/>
      </c>
      <c r="G858">
        <f>IF($J858="","",INDEX(명단표[기준월 근무병원],$J858))</f>
        <v/>
      </c>
      <c r="H858">
        <f>IF($J858="","",INDEX(명단표[급여지급병원(기준월)],$J858))</f>
        <v/>
      </c>
      <c r="I858">
        <f>IF($J858="","",INDEX(명단표[급여 판정 근거],$J858))</f>
        <v/>
      </c>
      <c r="J858" s="17">
        <f>IFERROR(MATCH(854,명단표[명단순번],0),"")</f>
        <v/>
      </c>
    </row>
    <row r="859">
      <c r="A859">
        <f>IF($J859="","",TEXT(급여기준월,"yyyy-mm"))</f>
        <v/>
      </c>
      <c r="B859">
        <f>IF($J859="","",INDEX(명단표[사번],$J859)&amp;"")</f>
        <v/>
      </c>
      <c r="C859">
        <f>IF($J859="","",INDEX(명단표[이름],$J859))</f>
        <v/>
      </c>
      <c r="D859">
        <f>IF($J859="","",INDEX(명단표[수련과목],$J859))</f>
        <v/>
      </c>
      <c r="E859">
        <f>IF($J859="","",INDEX(명단표[연차],$J859)&amp;"")</f>
        <v/>
      </c>
      <c r="F859">
        <f>IF($J859="","",INDEX(명단표[소속병원],$J859))</f>
        <v/>
      </c>
      <c r="G859">
        <f>IF($J859="","",INDEX(명단표[기준월 근무병원],$J859))</f>
        <v/>
      </c>
      <c r="H859">
        <f>IF($J859="","",INDEX(명단표[급여지급병원(기준월)],$J859))</f>
        <v/>
      </c>
      <c r="I859">
        <f>IF($J859="","",INDEX(명단표[급여 판정 근거],$J859))</f>
        <v/>
      </c>
      <c r="J859" s="17">
        <f>IFERROR(MATCH(855,명단표[명단순번],0),"")</f>
        <v/>
      </c>
    </row>
    <row r="860">
      <c r="A860">
        <f>IF($J860="","",TEXT(급여기준월,"yyyy-mm"))</f>
        <v/>
      </c>
      <c r="B860">
        <f>IF($J860="","",INDEX(명단표[사번],$J860)&amp;"")</f>
        <v/>
      </c>
      <c r="C860">
        <f>IF($J860="","",INDEX(명단표[이름],$J860))</f>
        <v/>
      </c>
      <c r="D860">
        <f>IF($J860="","",INDEX(명단표[수련과목],$J860))</f>
        <v/>
      </c>
      <c r="E860">
        <f>IF($J860="","",INDEX(명단표[연차],$J860)&amp;"")</f>
        <v/>
      </c>
      <c r="F860">
        <f>IF($J860="","",INDEX(명단표[소속병원],$J860))</f>
        <v/>
      </c>
      <c r="G860">
        <f>IF($J860="","",INDEX(명단표[기준월 근무병원],$J860))</f>
        <v/>
      </c>
      <c r="H860">
        <f>IF($J860="","",INDEX(명단표[급여지급병원(기준월)],$J860))</f>
        <v/>
      </c>
      <c r="I860">
        <f>IF($J860="","",INDEX(명단표[급여 판정 근거],$J860))</f>
        <v/>
      </c>
      <c r="J860" s="17">
        <f>IFERROR(MATCH(856,명단표[명단순번],0),"")</f>
        <v/>
      </c>
    </row>
    <row r="861">
      <c r="A861">
        <f>IF($J861="","",TEXT(급여기준월,"yyyy-mm"))</f>
        <v/>
      </c>
      <c r="B861">
        <f>IF($J861="","",INDEX(명단표[사번],$J861)&amp;"")</f>
        <v/>
      </c>
      <c r="C861">
        <f>IF($J861="","",INDEX(명단표[이름],$J861))</f>
        <v/>
      </c>
      <c r="D861">
        <f>IF($J861="","",INDEX(명단표[수련과목],$J861))</f>
        <v/>
      </c>
      <c r="E861">
        <f>IF($J861="","",INDEX(명단표[연차],$J861)&amp;"")</f>
        <v/>
      </c>
      <c r="F861">
        <f>IF($J861="","",INDEX(명단표[소속병원],$J861))</f>
        <v/>
      </c>
      <c r="G861">
        <f>IF($J861="","",INDEX(명단표[기준월 근무병원],$J861))</f>
        <v/>
      </c>
      <c r="H861">
        <f>IF($J861="","",INDEX(명단표[급여지급병원(기준월)],$J861))</f>
        <v/>
      </c>
      <c r="I861">
        <f>IF($J861="","",INDEX(명단표[급여 판정 근거],$J861))</f>
        <v/>
      </c>
      <c r="J861" s="17">
        <f>IFERROR(MATCH(857,명단표[명단순번],0),"")</f>
        <v/>
      </c>
    </row>
    <row r="862">
      <c r="A862">
        <f>IF($J862="","",TEXT(급여기준월,"yyyy-mm"))</f>
        <v/>
      </c>
      <c r="B862">
        <f>IF($J862="","",INDEX(명단표[사번],$J862)&amp;"")</f>
        <v/>
      </c>
      <c r="C862">
        <f>IF($J862="","",INDEX(명단표[이름],$J862))</f>
        <v/>
      </c>
      <c r="D862">
        <f>IF($J862="","",INDEX(명단표[수련과목],$J862))</f>
        <v/>
      </c>
      <c r="E862">
        <f>IF($J862="","",INDEX(명단표[연차],$J862)&amp;"")</f>
        <v/>
      </c>
      <c r="F862">
        <f>IF($J862="","",INDEX(명단표[소속병원],$J862))</f>
        <v/>
      </c>
      <c r="G862">
        <f>IF($J862="","",INDEX(명단표[기준월 근무병원],$J862))</f>
        <v/>
      </c>
      <c r="H862">
        <f>IF($J862="","",INDEX(명단표[급여지급병원(기준월)],$J862))</f>
        <v/>
      </c>
      <c r="I862">
        <f>IF($J862="","",INDEX(명단표[급여 판정 근거],$J862))</f>
        <v/>
      </c>
      <c r="J862" s="17">
        <f>IFERROR(MATCH(858,명단표[명단순번],0),"")</f>
        <v/>
      </c>
    </row>
    <row r="863">
      <c r="A863">
        <f>IF($J863="","",TEXT(급여기준월,"yyyy-mm"))</f>
        <v/>
      </c>
      <c r="B863">
        <f>IF($J863="","",INDEX(명단표[사번],$J863)&amp;"")</f>
        <v/>
      </c>
      <c r="C863">
        <f>IF($J863="","",INDEX(명단표[이름],$J863))</f>
        <v/>
      </c>
      <c r="D863">
        <f>IF($J863="","",INDEX(명단표[수련과목],$J863))</f>
        <v/>
      </c>
      <c r="E863">
        <f>IF($J863="","",INDEX(명단표[연차],$J863)&amp;"")</f>
        <v/>
      </c>
      <c r="F863">
        <f>IF($J863="","",INDEX(명단표[소속병원],$J863))</f>
        <v/>
      </c>
      <c r="G863">
        <f>IF($J863="","",INDEX(명단표[기준월 근무병원],$J863))</f>
        <v/>
      </c>
      <c r="H863">
        <f>IF($J863="","",INDEX(명단표[급여지급병원(기준월)],$J863))</f>
        <v/>
      </c>
      <c r="I863">
        <f>IF($J863="","",INDEX(명단표[급여 판정 근거],$J863))</f>
        <v/>
      </c>
      <c r="J863" s="17">
        <f>IFERROR(MATCH(859,명단표[명단순번],0),"")</f>
        <v/>
      </c>
    </row>
    <row r="864">
      <c r="A864">
        <f>IF($J864="","",TEXT(급여기준월,"yyyy-mm"))</f>
        <v/>
      </c>
      <c r="B864">
        <f>IF($J864="","",INDEX(명단표[사번],$J864)&amp;"")</f>
        <v/>
      </c>
      <c r="C864">
        <f>IF($J864="","",INDEX(명단표[이름],$J864))</f>
        <v/>
      </c>
      <c r="D864">
        <f>IF($J864="","",INDEX(명단표[수련과목],$J864))</f>
        <v/>
      </c>
      <c r="E864">
        <f>IF($J864="","",INDEX(명단표[연차],$J864)&amp;"")</f>
        <v/>
      </c>
      <c r="F864">
        <f>IF($J864="","",INDEX(명단표[소속병원],$J864))</f>
        <v/>
      </c>
      <c r="G864">
        <f>IF($J864="","",INDEX(명단표[기준월 근무병원],$J864))</f>
        <v/>
      </c>
      <c r="H864">
        <f>IF($J864="","",INDEX(명단표[급여지급병원(기준월)],$J864))</f>
        <v/>
      </c>
      <c r="I864">
        <f>IF($J864="","",INDEX(명단표[급여 판정 근거],$J864))</f>
        <v/>
      </c>
      <c r="J864" s="17">
        <f>IFERROR(MATCH(860,명단표[명단순번],0),"")</f>
        <v/>
      </c>
    </row>
    <row r="865">
      <c r="A865">
        <f>IF($J865="","",TEXT(급여기준월,"yyyy-mm"))</f>
        <v/>
      </c>
      <c r="B865">
        <f>IF($J865="","",INDEX(명단표[사번],$J865)&amp;"")</f>
        <v/>
      </c>
      <c r="C865">
        <f>IF($J865="","",INDEX(명단표[이름],$J865))</f>
        <v/>
      </c>
      <c r="D865">
        <f>IF($J865="","",INDEX(명단표[수련과목],$J865))</f>
        <v/>
      </c>
      <c r="E865">
        <f>IF($J865="","",INDEX(명단표[연차],$J865)&amp;"")</f>
        <v/>
      </c>
      <c r="F865">
        <f>IF($J865="","",INDEX(명단표[소속병원],$J865))</f>
        <v/>
      </c>
      <c r="G865">
        <f>IF($J865="","",INDEX(명단표[기준월 근무병원],$J865))</f>
        <v/>
      </c>
      <c r="H865">
        <f>IF($J865="","",INDEX(명단표[급여지급병원(기준월)],$J865))</f>
        <v/>
      </c>
      <c r="I865">
        <f>IF($J865="","",INDEX(명단표[급여 판정 근거],$J865))</f>
        <v/>
      </c>
      <c r="J865" s="17">
        <f>IFERROR(MATCH(861,명단표[명단순번],0),"")</f>
        <v/>
      </c>
    </row>
    <row r="866">
      <c r="A866">
        <f>IF($J866="","",TEXT(급여기준월,"yyyy-mm"))</f>
        <v/>
      </c>
      <c r="B866">
        <f>IF($J866="","",INDEX(명단표[사번],$J866)&amp;"")</f>
        <v/>
      </c>
      <c r="C866">
        <f>IF($J866="","",INDEX(명단표[이름],$J866))</f>
        <v/>
      </c>
      <c r="D866">
        <f>IF($J866="","",INDEX(명단표[수련과목],$J866))</f>
        <v/>
      </c>
      <c r="E866">
        <f>IF($J866="","",INDEX(명단표[연차],$J866)&amp;"")</f>
        <v/>
      </c>
      <c r="F866">
        <f>IF($J866="","",INDEX(명단표[소속병원],$J866))</f>
        <v/>
      </c>
      <c r="G866">
        <f>IF($J866="","",INDEX(명단표[기준월 근무병원],$J866))</f>
        <v/>
      </c>
      <c r="H866">
        <f>IF($J866="","",INDEX(명단표[급여지급병원(기준월)],$J866))</f>
        <v/>
      </c>
      <c r="I866">
        <f>IF($J866="","",INDEX(명단표[급여 판정 근거],$J866))</f>
        <v/>
      </c>
      <c r="J866" s="17">
        <f>IFERROR(MATCH(862,명단표[명단순번],0),"")</f>
        <v/>
      </c>
    </row>
    <row r="867">
      <c r="A867">
        <f>IF($J867="","",TEXT(급여기준월,"yyyy-mm"))</f>
        <v/>
      </c>
      <c r="B867">
        <f>IF($J867="","",INDEX(명단표[사번],$J867)&amp;"")</f>
        <v/>
      </c>
      <c r="C867">
        <f>IF($J867="","",INDEX(명단표[이름],$J867))</f>
        <v/>
      </c>
      <c r="D867">
        <f>IF($J867="","",INDEX(명단표[수련과목],$J867))</f>
        <v/>
      </c>
      <c r="E867">
        <f>IF($J867="","",INDEX(명단표[연차],$J867)&amp;"")</f>
        <v/>
      </c>
      <c r="F867">
        <f>IF($J867="","",INDEX(명단표[소속병원],$J867))</f>
        <v/>
      </c>
      <c r="G867">
        <f>IF($J867="","",INDEX(명단표[기준월 근무병원],$J867))</f>
        <v/>
      </c>
      <c r="H867">
        <f>IF($J867="","",INDEX(명단표[급여지급병원(기준월)],$J867))</f>
        <v/>
      </c>
      <c r="I867">
        <f>IF($J867="","",INDEX(명단표[급여 판정 근거],$J867))</f>
        <v/>
      </c>
      <c r="J867" s="17">
        <f>IFERROR(MATCH(863,명단표[명단순번],0),"")</f>
        <v/>
      </c>
    </row>
    <row r="868">
      <c r="A868">
        <f>IF($J868="","",TEXT(급여기준월,"yyyy-mm"))</f>
        <v/>
      </c>
      <c r="B868">
        <f>IF($J868="","",INDEX(명단표[사번],$J868)&amp;"")</f>
        <v/>
      </c>
      <c r="C868">
        <f>IF($J868="","",INDEX(명단표[이름],$J868))</f>
        <v/>
      </c>
      <c r="D868">
        <f>IF($J868="","",INDEX(명단표[수련과목],$J868))</f>
        <v/>
      </c>
      <c r="E868">
        <f>IF($J868="","",INDEX(명단표[연차],$J868)&amp;"")</f>
        <v/>
      </c>
      <c r="F868">
        <f>IF($J868="","",INDEX(명단표[소속병원],$J868))</f>
        <v/>
      </c>
      <c r="G868">
        <f>IF($J868="","",INDEX(명단표[기준월 근무병원],$J868))</f>
        <v/>
      </c>
      <c r="H868">
        <f>IF($J868="","",INDEX(명단표[급여지급병원(기준월)],$J868))</f>
        <v/>
      </c>
      <c r="I868">
        <f>IF($J868="","",INDEX(명단표[급여 판정 근거],$J868))</f>
        <v/>
      </c>
      <c r="J868" s="17">
        <f>IFERROR(MATCH(864,명단표[명단순번],0),"")</f>
        <v/>
      </c>
    </row>
    <row r="869">
      <c r="A869">
        <f>IF($J869="","",TEXT(급여기준월,"yyyy-mm"))</f>
        <v/>
      </c>
      <c r="B869">
        <f>IF($J869="","",INDEX(명단표[사번],$J869)&amp;"")</f>
        <v/>
      </c>
      <c r="C869">
        <f>IF($J869="","",INDEX(명단표[이름],$J869))</f>
        <v/>
      </c>
      <c r="D869">
        <f>IF($J869="","",INDEX(명단표[수련과목],$J869))</f>
        <v/>
      </c>
      <c r="E869">
        <f>IF($J869="","",INDEX(명단표[연차],$J869)&amp;"")</f>
        <v/>
      </c>
      <c r="F869">
        <f>IF($J869="","",INDEX(명단표[소속병원],$J869))</f>
        <v/>
      </c>
      <c r="G869">
        <f>IF($J869="","",INDEX(명단표[기준월 근무병원],$J869))</f>
        <v/>
      </c>
      <c r="H869">
        <f>IF($J869="","",INDEX(명단표[급여지급병원(기준월)],$J869))</f>
        <v/>
      </c>
      <c r="I869">
        <f>IF($J869="","",INDEX(명단표[급여 판정 근거],$J869))</f>
        <v/>
      </c>
      <c r="J869" s="17">
        <f>IFERROR(MATCH(865,명단표[명단순번],0),"")</f>
        <v/>
      </c>
    </row>
    <row r="870">
      <c r="A870">
        <f>IF($J870="","",TEXT(급여기준월,"yyyy-mm"))</f>
        <v/>
      </c>
      <c r="B870">
        <f>IF($J870="","",INDEX(명단표[사번],$J870)&amp;"")</f>
        <v/>
      </c>
      <c r="C870">
        <f>IF($J870="","",INDEX(명단표[이름],$J870))</f>
        <v/>
      </c>
      <c r="D870">
        <f>IF($J870="","",INDEX(명단표[수련과목],$J870))</f>
        <v/>
      </c>
      <c r="E870">
        <f>IF($J870="","",INDEX(명단표[연차],$J870)&amp;"")</f>
        <v/>
      </c>
      <c r="F870">
        <f>IF($J870="","",INDEX(명단표[소속병원],$J870))</f>
        <v/>
      </c>
      <c r="G870">
        <f>IF($J870="","",INDEX(명단표[기준월 근무병원],$J870))</f>
        <v/>
      </c>
      <c r="H870">
        <f>IF($J870="","",INDEX(명단표[급여지급병원(기준월)],$J870))</f>
        <v/>
      </c>
      <c r="I870">
        <f>IF($J870="","",INDEX(명단표[급여 판정 근거],$J870))</f>
        <v/>
      </c>
      <c r="J870" s="17">
        <f>IFERROR(MATCH(866,명단표[명단순번],0),"")</f>
        <v/>
      </c>
    </row>
    <row r="871">
      <c r="A871">
        <f>IF($J871="","",TEXT(급여기준월,"yyyy-mm"))</f>
        <v/>
      </c>
      <c r="B871">
        <f>IF($J871="","",INDEX(명단표[사번],$J871)&amp;"")</f>
        <v/>
      </c>
      <c r="C871">
        <f>IF($J871="","",INDEX(명단표[이름],$J871))</f>
        <v/>
      </c>
      <c r="D871">
        <f>IF($J871="","",INDEX(명단표[수련과목],$J871))</f>
        <v/>
      </c>
      <c r="E871">
        <f>IF($J871="","",INDEX(명단표[연차],$J871)&amp;"")</f>
        <v/>
      </c>
      <c r="F871">
        <f>IF($J871="","",INDEX(명단표[소속병원],$J871))</f>
        <v/>
      </c>
      <c r="G871">
        <f>IF($J871="","",INDEX(명단표[기준월 근무병원],$J871))</f>
        <v/>
      </c>
      <c r="H871">
        <f>IF($J871="","",INDEX(명단표[급여지급병원(기준월)],$J871))</f>
        <v/>
      </c>
      <c r="I871">
        <f>IF($J871="","",INDEX(명단표[급여 판정 근거],$J871))</f>
        <v/>
      </c>
      <c r="J871" s="17">
        <f>IFERROR(MATCH(867,명단표[명단순번],0),"")</f>
        <v/>
      </c>
    </row>
    <row r="872">
      <c r="A872">
        <f>IF($J872="","",TEXT(급여기준월,"yyyy-mm"))</f>
        <v/>
      </c>
      <c r="B872">
        <f>IF($J872="","",INDEX(명단표[사번],$J872)&amp;"")</f>
        <v/>
      </c>
      <c r="C872">
        <f>IF($J872="","",INDEX(명단표[이름],$J872))</f>
        <v/>
      </c>
      <c r="D872">
        <f>IF($J872="","",INDEX(명단표[수련과목],$J872))</f>
        <v/>
      </c>
      <c r="E872">
        <f>IF($J872="","",INDEX(명단표[연차],$J872)&amp;"")</f>
        <v/>
      </c>
      <c r="F872">
        <f>IF($J872="","",INDEX(명단표[소속병원],$J872))</f>
        <v/>
      </c>
      <c r="G872">
        <f>IF($J872="","",INDEX(명단표[기준월 근무병원],$J872))</f>
        <v/>
      </c>
      <c r="H872">
        <f>IF($J872="","",INDEX(명단표[급여지급병원(기준월)],$J872))</f>
        <v/>
      </c>
      <c r="I872">
        <f>IF($J872="","",INDEX(명단표[급여 판정 근거],$J872))</f>
        <v/>
      </c>
      <c r="J872" s="17">
        <f>IFERROR(MATCH(868,명단표[명단순번],0),"")</f>
        <v/>
      </c>
    </row>
    <row r="873">
      <c r="A873">
        <f>IF($J873="","",TEXT(급여기준월,"yyyy-mm"))</f>
        <v/>
      </c>
      <c r="B873">
        <f>IF($J873="","",INDEX(명단표[사번],$J873)&amp;"")</f>
        <v/>
      </c>
      <c r="C873">
        <f>IF($J873="","",INDEX(명단표[이름],$J873))</f>
        <v/>
      </c>
      <c r="D873">
        <f>IF($J873="","",INDEX(명단표[수련과목],$J873))</f>
        <v/>
      </c>
      <c r="E873">
        <f>IF($J873="","",INDEX(명단표[연차],$J873)&amp;"")</f>
        <v/>
      </c>
      <c r="F873">
        <f>IF($J873="","",INDEX(명단표[소속병원],$J873))</f>
        <v/>
      </c>
      <c r="G873">
        <f>IF($J873="","",INDEX(명단표[기준월 근무병원],$J873))</f>
        <v/>
      </c>
      <c r="H873">
        <f>IF($J873="","",INDEX(명단표[급여지급병원(기준월)],$J873))</f>
        <v/>
      </c>
      <c r="I873">
        <f>IF($J873="","",INDEX(명단표[급여 판정 근거],$J873))</f>
        <v/>
      </c>
      <c r="J873" s="17">
        <f>IFERROR(MATCH(869,명단표[명단순번],0),"")</f>
        <v/>
      </c>
    </row>
    <row r="874">
      <c r="A874">
        <f>IF($J874="","",TEXT(급여기준월,"yyyy-mm"))</f>
        <v/>
      </c>
      <c r="B874">
        <f>IF($J874="","",INDEX(명단표[사번],$J874)&amp;"")</f>
        <v/>
      </c>
      <c r="C874">
        <f>IF($J874="","",INDEX(명단표[이름],$J874))</f>
        <v/>
      </c>
      <c r="D874">
        <f>IF($J874="","",INDEX(명단표[수련과목],$J874))</f>
        <v/>
      </c>
      <c r="E874">
        <f>IF($J874="","",INDEX(명단표[연차],$J874)&amp;"")</f>
        <v/>
      </c>
      <c r="F874">
        <f>IF($J874="","",INDEX(명단표[소속병원],$J874))</f>
        <v/>
      </c>
      <c r="G874">
        <f>IF($J874="","",INDEX(명단표[기준월 근무병원],$J874))</f>
        <v/>
      </c>
      <c r="H874">
        <f>IF($J874="","",INDEX(명단표[급여지급병원(기준월)],$J874))</f>
        <v/>
      </c>
      <c r="I874">
        <f>IF($J874="","",INDEX(명단표[급여 판정 근거],$J874))</f>
        <v/>
      </c>
      <c r="J874" s="17">
        <f>IFERROR(MATCH(870,명단표[명단순번],0),"")</f>
        <v/>
      </c>
    </row>
    <row r="875">
      <c r="A875">
        <f>IF($J875="","",TEXT(급여기준월,"yyyy-mm"))</f>
        <v/>
      </c>
      <c r="B875">
        <f>IF($J875="","",INDEX(명단표[사번],$J875)&amp;"")</f>
        <v/>
      </c>
      <c r="C875">
        <f>IF($J875="","",INDEX(명단표[이름],$J875))</f>
        <v/>
      </c>
      <c r="D875">
        <f>IF($J875="","",INDEX(명단표[수련과목],$J875))</f>
        <v/>
      </c>
      <c r="E875">
        <f>IF($J875="","",INDEX(명단표[연차],$J875)&amp;"")</f>
        <v/>
      </c>
      <c r="F875">
        <f>IF($J875="","",INDEX(명단표[소속병원],$J875))</f>
        <v/>
      </c>
      <c r="G875">
        <f>IF($J875="","",INDEX(명단표[기준월 근무병원],$J875))</f>
        <v/>
      </c>
      <c r="H875">
        <f>IF($J875="","",INDEX(명단표[급여지급병원(기준월)],$J875))</f>
        <v/>
      </c>
      <c r="I875">
        <f>IF($J875="","",INDEX(명단표[급여 판정 근거],$J875))</f>
        <v/>
      </c>
      <c r="J875" s="17">
        <f>IFERROR(MATCH(871,명단표[명단순번],0),"")</f>
        <v/>
      </c>
    </row>
    <row r="876">
      <c r="A876">
        <f>IF($J876="","",TEXT(급여기준월,"yyyy-mm"))</f>
        <v/>
      </c>
      <c r="B876">
        <f>IF($J876="","",INDEX(명단표[사번],$J876)&amp;"")</f>
        <v/>
      </c>
      <c r="C876">
        <f>IF($J876="","",INDEX(명단표[이름],$J876))</f>
        <v/>
      </c>
      <c r="D876">
        <f>IF($J876="","",INDEX(명단표[수련과목],$J876))</f>
        <v/>
      </c>
      <c r="E876">
        <f>IF($J876="","",INDEX(명단표[연차],$J876)&amp;"")</f>
        <v/>
      </c>
      <c r="F876">
        <f>IF($J876="","",INDEX(명단표[소속병원],$J876))</f>
        <v/>
      </c>
      <c r="G876">
        <f>IF($J876="","",INDEX(명단표[기준월 근무병원],$J876))</f>
        <v/>
      </c>
      <c r="H876">
        <f>IF($J876="","",INDEX(명단표[급여지급병원(기준월)],$J876))</f>
        <v/>
      </c>
      <c r="I876">
        <f>IF($J876="","",INDEX(명단표[급여 판정 근거],$J876))</f>
        <v/>
      </c>
      <c r="J876" s="17">
        <f>IFERROR(MATCH(872,명단표[명단순번],0),"")</f>
        <v/>
      </c>
    </row>
    <row r="877">
      <c r="A877">
        <f>IF($J877="","",TEXT(급여기준월,"yyyy-mm"))</f>
        <v/>
      </c>
      <c r="B877">
        <f>IF($J877="","",INDEX(명단표[사번],$J877)&amp;"")</f>
        <v/>
      </c>
      <c r="C877">
        <f>IF($J877="","",INDEX(명단표[이름],$J877))</f>
        <v/>
      </c>
      <c r="D877">
        <f>IF($J877="","",INDEX(명단표[수련과목],$J877))</f>
        <v/>
      </c>
      <c r="E877">
        <f>IF($J877="","",INDEX(명단표[연차],$J877)&amp;"")</f>
        <v/>
      </c>
      <c r="F877">
        <f>IF($J877="","",INDEX(명단표[소속병원],$J877))</f>
        <v/>
      </c>
      <c r="G877">
        <f>IF($J877="","",INDEX(명단표[기준월 근무병원],$J877))</f>
        <v/>
      </c>
      <c r="H877">
        <f>IF($J877="","",INDEX(명단표[급여지급병원(기준월)],$J877))</f>
        <v/>
      </c>
      <c r="I877">
        <f>IF($J877="","",INDEX(명단표[급여 판정 근거],$J877))</f>
        <v/>
      </c>
      <c r="J877" s="17">
        <f>IFERROR(MATCH(873,명단표[명단순번],0),"")</f>
        <v/>
      </c>
    </row>
    <row r="878">
      <c r="A878">
        <f>IF($J878="","",TEXT(급여기준월,"yyyy-mm"))</f>
        <v/>
      </c>
      <c r="B878">
        <f>IF($J878="","",INDEX(명단표[사번],$J878)&amp;"")</f>
        <v/>
      </c>
      <c r="C878">
        <f>IF($J878="","",INDEX(명단표[이름],$J878))</f>
        <v/>
      </c>
      <c r="D878">
        <f>IF($J878="","",INDEX(명단표[수련과목],$J878))</f>
        <v/>
      </c>
      <c r="E878">
        <f>IF($J878="","",INDEX(명단표[연차],$J878)&amp;"")</f>
        <v/>
      </c>
      <c r="F878">
        <f>IF($J878="","",INDEX(명단표[소속병원],$J878))</f>
        <v/>
      </c>
      <c r="G878">
        <f>IF($J878="","",INDEX(명단표[기준월 근무병원],$J878))</f>
        <v/>
      </c>
      <c r="H878">
        <f>IF($J878="","",INDEX(명단표[급여지급병원(기준월)],$J878))</f>
        <v/>
      </c>
      <c r="I878">
        <f>IF($J878="","",INDEX(명단표[급여 판정 근거],$J878))</f>
        <v/>
      </c>
      <c r="J878" s="17">
        <f>IFERROR(MATCH(874,명단표[명단순번],0),"")</f>
        <v/>
      </c>
    </row>
    <row r="879">
      <c r="A879">
        <f>IF($J879="","",TEXT(급여기준월,"yyyy-mm"))</f>
        <v/>
      </c>
      <c r="B879">
        <f>IF($J879="","",INDEX(명단표[사번],$J879)&amp;"")</f>
        <v/>
      </c>
      <c r="C879">
        <f>IF($J879="","",INDEX(명단표[이름],$J879))</f>
        <v/>
      </c>
      <c r="D879">
        <f>IF($J879="","",INDEX(명단표[수련과목],$J879))</f>
        <v/>
      </c>
      <c r="E879">
        <f>IF($J879="","",INDEX(명단표[연차],$J879)&amp;"")</f>
        <v/>
      </c>
      <c r="F879">
        <f>IF($J879="","",INDEX(명단표[소속병원],$J879))</f>
        <v/>
      </c>
      <c r="G879">
        <f>IF($J879="","",INDEX(명단표[기준월 근무병원],$J879))</f>
        <v/>
      </c>
      <c r="H879">
        <f>IF($J879="","",INDEX(명단표[급여지급병원(기준월)],$J879))</f>
        <v/>
      </c>
      <c r="I879">
        <f>IF($J879="","",INDEX(명단표[급여 판정 근거],$J879))</f>
        <v/>
      </c>
      <c r="J879" s="17">
        <f>IFERROR(MATCH(875,명단표[명단순번],0),"")</f>
        <v/>
      </c>
    </row>
    <row r="880">
      <c r="A880">
        <f>IF($J880="","",TEXT(급여기준월,"yyyy-mm"))</f>
        <v/>
      </c>
      <c r="B880">
        <f>IF($J880="","",INDEX(명단표[사번],$J880)&amp;"")</f>
        <v/>
      </c>
      <c r="C880">
        <f>IF($J880="","",INDEX(명단표[이름],$J880))</f>
        <v/>
      </c>
      <c r="D880">
        <f>IF($J880="","",INDEX(명단표[수련과목],$J880))</f>
        <v/>
      </c>
      <c r="E880">
        <f>IF($J880="","",INDEX(명단표[연차],$J880)&amp;"")</f>
        <v/>
      </c>
      <c r="F880">
        <f>IF($J880="","",INDEX(명단표[소속병원],$J880))</f>
        <v/>
      </c>
      <c r="G880">
        <f>IF($J880="","",INDEX(명단표[기준월 근무병원],$J880))</f>
        <v/>
      </c>
      <c r="H880">
        <f>IF($J880="","",INDEX(명단표[급여지급병원(기준월)],$J880))</f>
        <v/>
      </c>
      <c r="I880">
        <f>IF($J880="","",INDEX(명단표[급여 판정 근거],$J880))</f>
        <v/>
      </c>
      <c r="J880" s="17">
        <f>IFERROR(MATCH(876,명단표[명단순번],0),"")</f>
        <v/>
      </c>
    </row>
    <row r="881">
      <c r="A881">
        <f>IF($J881="","",TEXT(급여기준월,"yyyy-mm"))</f>
        <v/>
      </c>
      <c r="B881">
        <f>IF($J881="","",INDEX(명단표[사번],$J881)&amp;"")</f>
        <v/>
      </c>
      <c r="C881">
        <f>IF($J881="","",INDEX(명단표[이름],$J881))</f>
        <v/>
      </c>
      <c r="D881">
        <f>IF($J881="","",INDEX(명단표[수련과목],$J881))</f>
        <v/>
      </c>
      <c r="E881">
        <f>IF($J881="","",INDEX(명단표[연차],$J881)&amp;"")</f>
        <v/>
      </c>
      <c r="F881">
        <f>IF($J881="","",INDEX(명단표[소속병원],$J881))</f>
        <v/>
      </c>
      <c r="G881">
        <f>IF($J881="","",INDEX(명단표[기준월 근무병원],$J881))</f>
        <v/>
      </c>
      <c r="H881">
        <f>IF($J881="","",INDEX(명단표[급여지급병원(기준월)],$J881))</f>
        <v/>
      </c>
      <c r="I881">
        <f>IF($J881="","",INDEX(명단표[급여 판정 근거],$J881))</f>
        <v/>
      </c>
      <c r="J881" s="17">
        <f>IFERROR(MATCH(877,명단표[명단순번],0),"")</f>
        <v/>
      </c>
    </row>
    <row r="882">
      <c r="A882">
        <f>IF($J882="","",TEXT(급여기준월,"yyyy-mm"))</f>
        <v/>
      </c>
      <c r="B882">
        <f>IF($J882="","",INDEX(명단표[사번],$J882)&amp;"")</f>
        <v/>
      </c>
      <c r="C882">
        <f>IF($J882="","",INDEX(명단표[이름],$J882))</f>
        <v/>
      </c>
      <c r="D882">
        <f>IF($J882="","",INDEX(명단표[수련과목],$J882))</f>
        <v/>
      </c>
      <c r="E882">
        <f>IF($J882="","",INDEX(명단표[연차],$J882)&amp;"")</f>
        <v/>
      </c>
      <c r="F882">
        <f>IF($J882="","",INDEX(명단표[소속병원],$J882))</f>
        <v/>
      </c>
      <c r="G882">
        <f>IF($J882="","",INDEX(명단표[기준월 근무병원],$J882))</f>
        <v/>
      </c>
      <c r="H882">
        <f>IF($J882="","",INDEX(명단표[급여지급병원(기준월)],$J882))</f>
        <v/>
      </c>
      <c r="I882">
        <f>IF($J882="","",INDEX(명단표[급여 판정 근거],$J882))</f>
        <v/>
      </c>
      <c r="J882" s="17">
        <f>IFERROR(MATCH(878,명단표[명단순번],0),"")</f>
        <v/>
      </c>
    </row>
    <row r="883">
      <c r="A883">
        <f>IF($J883="","",TEXT(급여기준월,"yyyy-mm"))</f>
        <v/>
      </c>
      <c r="B883">
        <f>IF($J883="","",INDEX(명단표[사번],$J883)&amp;"")</f>
        <v/>
      </c>
      <c r="C883">
        <f>IF($J883="","",INDEX(명단표[이름],$J883))</f>
        <v/>
      </c>
      <c r="D883">
        <f>IF($J883="","",INDEX(명단표[수련과목],$J883))</f>
        <v/>
      </c>
      <c r="E883">
        <f>IF($J883="","",INDEX(명단표[연차],$J883)&amp;"")</f>
        <v/>
      </c>
      <c r="F883">
        <f>IF($J883="","",INDEX(명단표[소속병원],$J883))</f>
        <v/>
      </c>
      <c r="G883">
        <f>IF($J883="","",INDEX(명단표[기준월 근무병원],$J883))</f>
        <v/>
      </c>
      <c r="H883">
        <f>IF($J883="","",INDEX(명단표[급여지급병원(기준월)],$J883))</f>
        <v/>
      </c>
      <c r="I883">
        <f>IF($J883="","",INDEX(명단표[급여 판정 근거],$J883))</f>
        <v/>
      </c>
      <c r="J883" s="17">
        <f>IFERROR(MATCH(879,명단표[명단순번],0),"")</f>
        <v/>
      </c>
    </row>
    <row r="884">
      <c r="A884">
        <f>IF($J884="","",TEXT(급여기준월,"yyyy-mm"))</f>
        <v/>
      </c>
      <c r="B884">
        <f>IF($J884="","",INDEX(명단표[사번],$J884)&amp;"")</f>
        <v/>
      </c>
      <c r="C884">
        <f>IF($J884="","",INDEX(명단표[이름],$J884))</f>
        <v/>
      </c>
      <c r="D884">
        <f>IF($J884="","",INDEX(명단표[수련과목],$J884))</f>
        <v/>
      </c>
      <c r="E884">
        <f>IF($J884="","",INDEX(명단표[연차],$J884)&amp;"")</f>
        <v/>
      </c>
      <c r="F884">
        <f>IF($J884="","",INDEX(명단표[소속병원],$J884))</f>
        <v/>
      </c>
      <c r="G884">
        <f>IF($J884="","",INDEX(명단표[기준월 근무병원],$J884))</f>
        <v/>
      </c>
      <c r="H884">
        <f>IF($J884="","",INDEX(명단표[급여지급병원(기준월)],$J884))</f>
        <v/>
      </c>
      <c r="I884">
        <f>IF($J884="","",INDEX(명단표[급여 판정 근거],$J884))</f>
        <v/>
      </c>
      <c r="J884" s="17">
        <f>IFERROR(MATCH(880,명단표[명단순번],0),"")</f>
        <v/>
      </c>
    </row>
    <row r="885">
      <c r="A885">
        <f>IF($J885="","",TEXT(급여기준월,"yyyy-mm"))</f>
        <v/>
      </c>
      <c r="B885">
        <f>IF($J885="","",INDEX(명단표[사번],$J885)&amp;"")</f>
        <v/>
      </c>
      <c r="C885">
        <f>IF($J885="","",INDEX(명단표[이름],$J885))</f>
        <v/>
      </c>
      <c r="D885">
        <f>IF($J885="","",INDEX(명단표[수련과목],$J885))</f>
        <v/>
      </c>
      <c r="E885">
        <f>IF($J885="","",INDEX(명단표[연차],$J885)&amp;"")</f>
        <v/>
      </c>
      <c r="F885">
        <f>IF($J885="","",INDEX(명단표[소속병원],$J885))</f>
        <v/>
      </c>
      <c r="G885">
        <f>IF($J885="","",INDEX(명단표[기준월 근무병원],$J885))</f>
        <v/>
      </c>
      <c r="H885">
        <f>IF($J885="","",INDEX(명단표[급여지급병원(기준월)],$J885))</f>
        <v/>
      </c>
      <c r="I885">
        <f>IF($J885="","",INDEX(명단표[급여 판정 근거],$J885))</f>
        <v/>
      </c>
      <c r="J885" s="17">
        <f>IFERROR(MATCH(881,명단표[명단순번],0),"")</f>
        <v/>
      </c>
    </row>
    <row r="886">
      <c r="A886">
        <f>IF($J886="","",TEXT(급여기준월,"yyyy-mm"))</f>
        <v/>
      </c>
      <c r="B886">
        <f>IF($J886="","",INDEX(명단표[사번],$J886)&amp;"")</f>
        <v/>
      </c>
      <c r="C886">
        <f>IF($J886="","",INDEX(명단표[이름],$J886))</f>
        <v/>
      </c>
      <c r="D886">
        <f>IF($J886="","",INDEX(명단표[수련과목],$J886))</f>
        <v/>
      </c>
      <c r="E886">
        <f>IF($J886="","",INDEX(명단표[연차],$J886)&amp;"")</f>
        <v/>
      </c>
      <c r="F886">
        <f>IF($J886="","",INDEX(명단표[소속병원],$J886))</f>
        <v/>
      </c>
      <c r="G886">
        <f>IF($J886="","",INDEX(명단표[기준월 근무병원],$J886))</f>
        <v/>
      </c>
      <c r="H886">
        <f>IF($J886="","",INDEX(명단표[급여지급병원(기준월)],$J886))</f>
        <v/>
      </c>
      <c r="I886">
        <f>IF($J886="","",INDEX(명단표[급여 판정 근거],$J886))</f>
        <v/>
      </c>
      <c r="J886" s="17">
        <f>IFERROR(MATCH(882,명단표[명단순번],0),"")</f>
        <v/>
      </c>
    </row>
    <row r="887">
      <c r="A887">
        <f>IF($J887="","",TEXT(급여기준월,"yyyy-mm"))</f>
        <v/>
      </c>
      <c r="B887">
        <f>IF($J887="","",INDEX(명단표[사번],$J887)&amp;"")</f>
        <v/>
      </c>
      <c r="C887">
        <f>IF($J887="","",INDEX(명단표[이름],$J887))</f>
        <v/>
      </c>
      <c r="D887">
        <f>IF($J887="","",INDEX(명단표[수련과목],$J887))</f>
        <v/>
      </c>
      <c r="E887">
        <f>IF($J887="","",INDEX(명단표[연차],$J887)&amp;"")</f>
        <v/>
      </c>
      <c r="F887">
        <f>IF($J887="","",INDEX(명단표[소속병원],$J887))</f>
        <v/>
      </c>
      <c r="G887">
        <f>IF($J887="","",INDEX(명단표[기준월 근무병원],$J887))</f>
        <v/>
      </c>
      <c r="H887">
        <f>IF($J887="","",INDEX(명단표[급여지급병원(기준월)],$J887))</f>
        <v/>
      </c>
      <c r="I887">
        <f>IF($J887="","",INDEX(명단표[급여 판정 근거],$J887))</f>
        <v/>
      </c>
      <c r="J887" s="17">
        <f>IFERROR(MATCH(883,명단표[명단순번],0),"")</f>
        <v/>
      </c>
    </row>
    <row r="888">
      <c r="A888">
        <f>IF($J888="","",TEXT(급여기준월,"yyyy-mm"))</f>
        <v/>
      </c>
      <c r="B888">
        <f>IF($J888="","",INDEX(명단표[사번],$J888)&amp;"")</f>
        <v/>
      </c>
      <c r="C888">
        <f>IF($J888="","",INDEX(명단표[이름],$J888))</f>
        <v/>
      </c>
      <c r="D888">
        <f>IF($J888="","",INDEX(명단표[수련과목],$J888))</f>
        <v/>
      </c>
      <c r="E888">
        <f>IF($J888="","",INDEX(명단표[연차],$J888)&amp;"")</f>
        <v/>
      </c>
      <c r="F888">
        <f>IF($J888="","",INDEX(명단표[소속병원],$J888))</f>
        <v/>
      </c>
      <c r="G888">
        <f>IF($J888="","",INDEX(명단표[기준월 근무병원],$J888))</f>
        <v/>
      </c>
      <c r="H888">
        <f>IF($J888="","",INDEX(명단표[급여지급병원(기준월)],$J888))</f>
        <v/>
      </c>
      <c r="I888">
        <f>IF($J888="","",INDEX(명단표[급여 판정 근거],$J888))</f>
        <v/>
      </c>
      <c r="J888" s="17">
        <f>IFERROR(MATCH(884,명단표[명단순번],0),"")</f>
        <v/>
      </c>
    </row>
    <row r="889">
      <c r="A889">
        <f>IF($J889="","",TEXT(급여기준월,"yyyy-mm"))</f>
        <v/>
      </c>
      <c r="B889">
        <f>IF($J889="","",INDEX(명단표[사번],$J889)&amp;"")</f>
        <v/>
      </c>
      <c r="C889">
        <f>IF($J889="","",INDEX(명단표[이름],$J889))</f>
        <v/>
      </c>
      <c r="D889">
        <f>IF($J889="","",INDEX(명단표[수련과목],$J889))</f>
        <v/>
      </c>
      <c r="E889">
        <f>IF($J889="","",INDEX(명단표[연차],$J889)&amp;"")</f>
        <v/>
      </c>
      <c r="F889">
        <f>IF($J889="","",INDEX(명단표[소속병원],$J889))</f>
        <v/>
      </c>
      <c r="G889">
        <f>IF($J889="","",INDEX(명단표[기준월 근무병원],$J889))</f>
        <v/>
      </c>
      <c r="H889">
        <f>IF($J889="","",INDEX(명단표[급여지급병원(기준월)],$J889))</f>
        <v/>
      </c>
      <c r="I889">
        <f>IF($J889="","",INDEX(명단표[급여 판정 근거],$J889))</f>
        <v/>
      </c>
      <c r="J889" s="17">
        <f>IFERROR(MATCH(885,명단표[명단순번],0),"")</f>
        <v/>
      </c>
    </row>
    <row r="890">
      <c r="A890">
        <f>IF($J890="","",TEXT(급여기준월,"yyyy-mm"))</f>
        <v/>
      </c>
      <c r="B890">
        <f>IF($J890="","",INDEX(명단표[사번],$J890)&amp;"")</f>
        <v/>
      </c>
      <c r="C890">
        <f>IF($J890="","",INDEX(명단표[이름],$J890))</f>
        <v/>
      </c>
      <c r="D890">
        <f>IF($J890="","",INDEX(명단표[수련과목],$J890))</f>
        <v/>
      </c>
      <c r="E890">
        <f>IF($J890="","",INDEX(명단표[연차],$J890)&amp;"")</f>
        <v/>
      </c>
      <c r="F890">
        <f>IF($J890="","",INDEX(명단표[소속병원],$J890))</f>
        <v/>
      </c>
      <c r="G890">
        <f>IF($J890="","",INDEX(명단표[기준월 근무병원],$J890))</f>
        <v/>
      </c>
      <c r="H890">
        <f>IF($J890="","",INDEX(명단표[급여지급병원(기준월)],$J890))</f>
        <v/>
      </c>
      <c r="I890">
        <f>IF($J890="","",INDEX(명단표[급여 판정 근거],$J890))</f>
        <v/>
      </c>
      <c r="J890" s="17">
        <f>IFERROR(MATCH(886,명단표[명단순번],0),"")</f>
        <v/>
      </c>
    </row>
    <row r="891">
      <c r="A891">
        <f>IF($J891="","",TEXT(급여기준월,"yyyy-mm"))</f>
        <v/>
      </c>
      <c r="B891">
        <f>IF($J891="","",INDEX(명단표[사번],$J891)&amp;"")</f>
        <v/>
      </c>
      <c r="C891">
        <f>IF($J891="","",INDEX(명단표[이름],$J891))</f>
        <v/>
      </c>
      <c r="D891">
        <f>IF($J891="","",INDEX(명단표[수련과목],$J891))</f>
        <v/>
      </c>
      <c r="E891">
        <f>IF($J891="","",INDEX(명단표[연차],$J891)&amp;"")</f>
        <v/>
      </c>
      <c r="F891">
        <f>IF($J891="","",INDEX(명단표[소속병원],$J891))</f>
        <v/>
      </c>
      <c r="G891">
        <f>IF($J891="","",INDEX(명단표[기준월 근무병원],$J891))</f>
        <v/>
      </c>
      <c r="H891">
        <f>IF($J891="","",INDEX(명단표[급여지급병원(기준월)],$J891))</f>
        <v/>
      </c>
      <c r="I891">
        <f>IF($J891="","",INDEX(명단표[급여 판정 근거],$J891))</f>
        <v/>
      </c>
      <c r="J891" s="17">
        <f>IFERROR(MATCH(887,명단표[명단순번],0),"")</f>
        <v/>
      </c>
    </row>
    <row r="892">
      <c r="A892">
        <f>IF($J892="","",TEXT(급여기준월,"yyyy-mm"))</f>
        <v/>
      </c>
      <c r="B892">
        <f>IF($J892="","",INDEX(명단표[사번],$J892)&amp;"")</f>
        <v/>
      </c>
      <c r="C892">
        <f>IF($J892="","",INDEX(명단표[이름],$J892))</f>
        <v/>
      </c>
      <c r="D892">
        <f>IF($J892="","",INDEX(명단표[수련과목],$J892))</f>
        <v/>
      </c>
      <c r="E892">
        <f>IF($J892="","",INDEX(명단표[연차],$J892)&amp;"")</f>
        <v/>
      </c>
      <c r="F892">
        <f>IF($J892="","",INDEX(명단표[소속병원],$J892))</f>
        <v/>
      </c>
      <c r="G892">
        <f>IF($J892="","",INDEX(명단표[기준월 근무병원],$J892))</f>
        <v/>
      </c>
      <c r="H892">
        <f>IF($J892="","",INDEX(명단표[급여지급병원(기준월)],$J892))</f>
        <v/>
      </c>
      <c r="I892">
        <f>IF($J892="","",INDEX(명단표[급여 판정 근거],$J892))</f>
        <v/>
      </c>
      <c r="J892" s="17">
        <f>IFERROR(MATCH(888,명단표[명단순번],0),"")</f>
        <v/>
      </c>
    </row>
    <row r="893">
      <c r="A893">
        <f>IF($J893="","",TEXT(급여기준월,"yyyy-mm"))</f>
        <v/>
      </c>
      <c r="B893">
        <f>IF($J893="","",INDEX(명단표[사번],$J893)&amp;"")</f>
        <v/>
      </c>
      <c r="C893">
        <f>IF($J893="","",INDEX(명단표[이름],$J893))</f>
        <v/>
      </c>
      <c r="D893">
        <f>IF($J893="","",INDEX(명단표[수련과목],$J893))</f>
        <v/>
      </c>
      <c r="E893">
        <f>IF($J893="","",INDEX(명단표[연차],$J893)&amp;"")</f>
        <v/>
      </c>
      <c r="F893">
        <f>IF($J893="","",INDEX(명단표[소속병원],$J893))</f>
        <v/>
      </c>
      <c r="G893">
        <f>IF($J893="","",INDEX(명단표[기준월 근무병원],$J893))</f>
        <v/>
      </c>
      <c r="H893">
        <f>IF($J893="","",INDEX(명단표[급여지급병원(기준월)],$J893))</f>
        <v/>
      </c>
      <c r="I893">
        <f>IF($J893="","",INDEX(명단표[급여 판정 근거],$J893))</f>
        <v/>
      </c>
      <c r="J893" s="17">
        <f>IFERROR(MATCH(889,명단표[명단순번],0),"")</f>
        <v/>
      </c>
    </row>
    <row r="894">
      <c r="A894">
        <f>IF($J894="","",TEXT(급여기준월,"yyyy-mm"))</f>
        <v/>
      </c>
      <c r="B894">
        <f>IF($J894="","",INDEX(명단표[사번],$J894)&amp;"")</f>
        <v/>
      </c>
      <c r="C894">
        <f>IF($J894="","",INDEX(명단표[이름],$J894))</f>
        <v/>
      </c>
      <c r="D894">
        <f>IF($J894="","",INDEX(명단표[수련과목],$J894))</f>
        <v/>
      </c>
      <c r="E894">
        <f>IF($J894="","",INDEX(명단표[연차],$J894)&amp;"")</f>
        <v/>
      </c>
      <c r="F894">
        <f>IF($J894="","",INDEX(명단표[소속병원],$J894))</f>
        <v/>
      </c>
      <c r="G894">
        <f>IF($J894="","",INDEX(명단표[기준월 근무병원],$J894))</f>
        <v/>
      </c>
      <c r="H894">
        <f>IF($J894="","",INDEX(명단표[급여지급병원(기준월)],$J894))</f>
        <v/>
      </c>
      <c r="I894">
        <f>IF($J894="","",INDEX(명단표[급여 판정 근거],$J894))</f>
        <v/>
      </c>
      <c r="J894" s="17">
        <f>IFERROR(MATCH(890,명단표[명단순번],0),"")</f>
        <v/>
      </c>
    </row>
    <row r="895">
      <c r="A895">
        <f>IF($J895="","",TEXT(급여기준월,"yyyy-mm"))</f>
        <v/>
      </c>
      <c r="B895">
        <f>IF($J895="","",INDEX(명단표[사번],$J895)&amp;"")</f>
        <v/>
      </c>
      <c r="C895">
        <f>IF($J895="","",INDEX(명단표[이름],$J895))</f>
        <v/>
      </c>
      <c r="D895">
        <f>IF($J895="","",INDEX(명단표[수련과목],$J895))</f>
        <v/>
      </c>
      <c r="E895">
        <f>IF($J895="","",INDEX(명단표[연차],$J895)&amp;"")</f>
        <v/>
      </c>
      <c r="F895">
        <f>IF($J895="","",INDEX(명단표[소속병원],$J895))</f>
        <v/>
      </c>
      <c r="G895">
        <f>IF($J895="","",INDEX(명단표[기준월 근무병원],$J895))</f>
        <v/>
      </c>
      <c r="H895">
        <f>IF($J895="","",INDEX(명단표[급여지급병원(기준월)],$J895))</f>
        <v/>
      </c>
      <c r="I895">
        <f>IF($J895="","",INDEX(명단표[급여 판정 근거],$J895))</f>
        <v/>
      </c>
      <c r="J895" s="17">
        <f>IFERROR(MATCH(891,명단표[명단순번],0),"")</f>
        <v/>
      </c>
    </row>
    <row r="896">
      <c r="A896">
        <f>IF($J896="","",TEXT(급여기준월,"yyyy-mm"))</f>
        <v/>
      </c>
      <c r="B896">
        <f>IF($J896="","",INDEX(명단표[사번],$J896)&amp;"")</f>
        <v/>
      </c>
      <c r="C896">
        <f>IF($J896="","",INDEX(명단표[이름],$J896))</f>
        <v/>
      </c>
      <c r="D896">
        <f>IF($J896="","",INDEX(명단표[수련과목],$J896))</f>
        <v/>
      </c>
      <c r="E896">
        <f>IF($J896="","",INDEX(명단표[연차],$J896)&amp;"")</f>
        <v/>
      </c>
      <c r="F896">
        <f>IF($J896="","",INDEX(명단표[소속병원],$J896))</f>
        <v/>
      </c>
      <c r="G896">
        <f>IF($J896="","",INDEX(명단표[기준월 근무병원],$J896))</f>
        <v/>
      </c>
      <c r="H896">
        <f>IF($J896="","",INDEX(명단표[급여지급병원(기준월)],$J896))</f>
        <v/>
      </c>
      <c r="I896">
        <f>IF($J896="","",INDEX(명단표[급여 판정 근거],$J896))</f>
        <v/>
      </c>
      <c r="J896" s="17">
        <f>IFERROR(MATCH(892,명단표[명단순번],0),"")</f>
        <v/>
      </c>
    </row>
    <row r="897">
      <c r="A897">
        <f>IF($J897="","",TEXT(급여기준월,"yyyy-mm"))</f>
        <v/>
      </c>
      <c r="B897">
        <f>IF($J897="","",INDEX(명단표[사번],$J897)&amp;"")</f>
        <v/>
      </c>
      <c r="C897">
        <f>IF($J897="","",INDEX(명단표[이름],$J897))</f>
        <v/>
      </c>
      <c r="D897">
        <f>IF($J897="","",INDEX(명단표[수련과목],$J897))</f>
        <v/>
      </c>
      <c r="E897">
        <f>IF($J897="","",INDEX(명단표[연차],$J897)&amp;"")</f>
        <v/>
      </c>
      <c r="F897">
        <f>IF($J897="","",INDEX(명단표[소속병원],$J897))</f>
        <v/>
      </c>
      <c r="G897">
        <f>IF($J897="","",INDEX(명단표[기준월 근무병원],$J897))</f>
        <v/>
      </c>
      <c r="H897">
        <f>IF($J897="","",INDEX(명단표[급여지급병원(기준월)],$J897))</f>
        <v/>
      </c>
      <c r="I897">
        <f>IF($J897="","",INDEX(명단표[급여 판정 근거],$J897))</f>
        <v/>
      </c>
      <c r="J897" s="17">
        <f>IFERROR(MATCH(893,명단표[명단순번],0),"")</f>
        <v/>
      </c>
    </row>
    <row r="898">
      <c r="A898">
        <f>IF($J898="","",TEXT(급여기준월,"yyyy-mm"))</f>
        <v/>
      </c>
      <c r="B898">
        <f>IF($J898="","",INDEX(명단표[사번],$J898)&amp;"")</f>
        <v/>
      </c>
      <c r="C898">
        <f>IF($J898="","",INDEX(명단표[이름],$J898))</f>
        <v/>
      </c>
      <c r="D898">
        <f>IF($J898="","",INDEX(명단표[수련과목],$J898))</f>
        <v/>
      </c>
      <c r="E898">
        <f>IF($J898="","",INDEX(명단표[연차],$J898)&amp;"")</f>
        <v/>
      </c>
      <c r="F898">
        <f>IF($J898="","",INDEX(명단표[소속병원],$J898))</f>
        <v/>
      </c>
      <c r="G898">
        <f>IF($J898="","",INDEX(명단표[기준월 근무병원],$J898))</f>
        <v/>
      </c>
      <c r="H898">
        <f>IF($J898="","",INDEX(명단표[급여지급병원(기준월)],$J898))</f>
        <v/>
      </c>
      <c r="I898">
        <f>IF($J898="","",INDEX(명단표[급여 판정 근거],$J898))</f>
        <v/>
      </c>
      <c r="J898" s="17">
        <f>IFERROR(MATCH(894,명단표[명단순번],0),"")</f>
        <v/>
      </c>
    </row>
    <row r="899">
      <c r="A899">
        <f>IF($J899="","",TEXT(급여기준월,"yyyy-mm"))</f>
        <v/>
      </c>
      <c r="B899">
        <f>IF($J899="","",INDEX(명단표[사번],$J899)&amp;"")</f>
        <v/>
      </c>
      <c r="C899">
        <f>IF($J899="","",INDEX(명단표[이름],$J899))</f>
        <v/>
      </c>
      <c r="D899">
        <f>IF($J899="","",INDEX(명단표[수련과목],$J899))</f>
        <v/>
      </c>
      <c r="E899">
        <f>IF($J899="","",INDEX(명단표[연차],$J899)&amp;"")</f>
        <v/>
      </c>
      <c r="F899">
        <f>IF($J899="","",INDEX(명단표[소속병원],$J899))</f>
        <v/>
      </c>
      <c r="G899">
        <f>IF($J899="","",INDEX(명단표[기준월 근무병원],$J899))</f>
        <v/>
      </c>
      <c r="H899">
        <f>IF($J899="","",INDEX(명단표[급여지급병원(기준월)],$J899))</f>
        <v/>
      </c>
      <c r="I899">
        <f>IF($J899="","",INDEX(명단표[급여 판정 근거],$J899))</f>
        <v/>
      </c>
      <c r="J899" s="17">
        <f>IFERROR(MATCH(895,명단표[명단순번],0),"")</f>
        <v/>
      </c>
    </row>
    <row r="900">
      <c r="A900">
        <f>IF($J900="","",TEXT(급여기준월,"yyyy-mm"))</f>
        <v/>
      </c>
      <c r="B900">
        <f>IF($J900="","",INDEX(명단표[사번],$J900)&amp;"")</f>
        <v/>
      </c>
      <c r="C900">
        <f>IF($J900="","",INDEX(명단표[이름],$J900))</f>
        <v/>
      </c>
      <c r="D900">
        <f>IF($J900="","",INDEX(명단표[수련과목],$J900))</f>
        <v/>
      </c>
      <c r="E900">
        <f>IF($J900="","",INDEX(명단표[연차],$J900)&amp;"")</f>
        <v/>
      </c>
      <c r="F900">
        <f>IF($J900="","",INDEX(명단표[소속병원],$J900))</f>
        <v/>
      </c>
      <c r="G900">
        <f>IF($J900="","",INDEX(명단표[기준월 근무병원],$J900))</f>
        <v/>
      </c>
      <c r="H900">
        <f>IF($J900="","",INDEX(명단표[급여지급병원(기준월)],$J900))</f>
        <v/>
      </c>
      <c r="I900">
        <f>IF($J900="","",INDEX(명단표[급여 판정 근거],$J900))</f>
        <v/>
      </c>
      <c r="J900" s="17">
        <f>IFERROR(MATCH(896,명단표[명단순번],0),"")</f>
        <v/>
      </c>
    </row>
    <row r="901">
      <c r="A901">
        <f>IF($J901="","",TEXT(급여기준월,"yyyy-mm"))</f>
        <v/>
      </c>
      <c r="B901">
        <f>IF($J901="","",INDEX(명단표[사번],$J901)&amp;"")</f>
        <v/>
      </c>
      <c r="C901">
        <f>IF($J901="","",INDEX(명단표[이름],$J901))</f>
        <v/>
      </c>
      <c r="D901">
        <f>IF($J901="","",INDEX(명단표[수련과목],$J901))</f>
        <v/>
      </c>
      <c r="E901">
        <f>IF($J901="","",INDEX(명단표[연차],$J901)&amp;"")</f>
        <v/>
      </c>
      <c r="F901">
        <f>IF($J901="","",INDEX(명단표[소속병원],$J901))</f>
        <v/>
      </c>
      <c r="G901">
        <f>IF($J901="","",INDEX(명단표[기준월 근무병원],$J901))</f>
        <v/>
      </c>
      <c r="H901">
        <f>IF($J901="","",INDEX(명단표[급여지급병원(기준월)],$J901))</f>
        <v/>
      </c>
      <c r="I901">
        <f>IF($J901="","",INDEX(명단표[급여 판정 근거],$J901))</f>
        <v/>
      </c>
      <c r="J901" s="17">
        <f>IFERROR(MATCH(897,명단표[명단순번],0),"")</f>
        <v/>
      </c>
    </row>
    <row r="902">
      <c r="A902">
        <f>IF($J902="","",TEXT(급여기준월,"yyyy-mm"))</f>
        <v/>
      </c>
      <c r="B902">
        <f>IF($J902="","",INDEX(명단표[사번],$J902)&amp;"")</f>
        <v/>
      </c>
      <c r="C902">
        <f>IF($J902="","",INDEX(명단표[이름],$J902))</f>
        <v/>
      </c>
      <c r="D902">
        <f>IF($J902="","",INDEX(명단표[수련과목],$J902))</f>
        <v/>
      </c>
      <c r="E902">
        <f>IF($J902="","",INDEX(명단표[연차],$J902)&amp;"")</f>
        <v/>
      </c>
      <c r="F902">
        <f>IF($J902="","",INDEX(명단표[소속병원],$J902))</f>
        <v/>
      </c>
      <c r="G902">
        <f>IF($J902="","",INDEX(명단표[기준월 근무병원],$J902))</f>
        <v/>
      </c>
      <c r="H902">
        <f>IF($J902="","",INDEX(명단표[급여지급병원(기준월)],$J902))</f>
        <v/>
      </c>
      <c r="I902">
        <f>IF($J902="","",INDEX(명단표[급여 판정 근거],$J902))</f>
        <v/>
      </c>
      <c r="J902" s="17">
        <f>IFERROR(MATCH(898,명단표[명단순번],0),"")</f>
        <v/>
      </c>
    </row>
    <row r="903">
      <c r="A903">
        <f>IF($J903="","",TEXT(급여기준월,"yyyy-mm"))</f>
        <v/>
      </c>
      <c r="B903">
        <f>IF($J903="","",INDEX(명단표[사번],$J903)&amp;"")</f>
        <v/>
      </c>
      <c r="C903">
        <f>IF($J903="","",INDEX(명단표[이름],$J903))</f>
        <v/>
      </c>
      <c r="D903">
        <f>IF($J903="","",INDEX(명단표[수련과목],$J903))</f>
        <v/>
      </c>
      <c r="E903">
        <f>IF($J903="","",INDEX(명단표[연차],$J903)&amp;"")</f>
        <v/>
      </c>
      <c r="F903">
        <f>IF($J903="","",INDEX(명단표[소속병원],$J903))</f>
        <v/>
      </c>
      <c r="G903">
        <f>IF($J903="","",INDEX(명단표[기준월 근무병원],$J903))</f>
        <v/>
      </c>
      <c r="H903">
        <f>IF($J903="","",INDEX(명단표[급여지급병원(기준월)],$J903))</f>
        <v/>
      </c>
      <c r="I903">
        <f>IF($J903="","",INDEX(명단표[급여 판정 근거],$J903))</f>
        <v/>
      </c>
      <c r="J903" s="17">
        <f>IFERROR(MATCH(899,명단표[명단순번],0),"")</f>
        <v/>
      </c>
    </row>
    <row r="904">
      <c r="A904">
        <f>IF($J904="","",TEXT(급여기준월,"yyyy-mm"))</f>
        <v/>
      </c>
      <c r="B904">
        <f>IF($J904="","",INDEX(명단표[사번],$J904)&amp;"")</f>
        <v/>
      </c>
      <c r="C904">
        <f>IF($J904="","",INDEX(명단표[이름],$J904))</f>
        <v/>
      </c>
      <c r="D904">
        <f>IF($J904="","",INDEX(명단표[수련과목],$J904))</f>
        <v/>
      </c>
      <c r="E904">
        <f>IF($J904="","",INDEX(명단표[연차],$J904)&amp;"")</f>
        <v/>
      </c>
      <c r="F904">
        <f>IF($J904="","",INDEX(명단표[소속병원],$J904))</f>
        <v/>
      </c>
      <c r="G904">
        <f>IF($J904="","",INDEX(명단표[기준월 근무병원],$J904))</f>
        <v/>
      </c>
      <c r="H904">
        <f>IF($J904="","",INDEX(명단표[급여지급병원(기준월)],$J904))</f>
        <v/>
      </c>
      <c r="I904">
        <f>IF($J904="","",INDEX(명단표[급여 판정 근거],$J904))</f>
        <v/>
      </c>
      <c r="J904" s="17">
        <f>IFERROR(MATCH(900,명단표[명단순번],0),"")</f>
        <v/>
      </c>
    </row>
    <row r="905">
      <c r="A905">
        <f>IF($J905="","",TEXT(급여기준월,"yyyy-mm"))</f>
        <v/>
      </c>
      <c r="B905">
        <f>IF($J905="","",INDEX(명단표[사번],$J905)&amp;"")</f>
        <v/>
      </c>
      <c r="C905">
        <f>IF($J905="","",INDEX(명단표[이름],$J905))</f>
        <v/>
      </c>
      <c r="D905">
        <f>IF($J905="","",INDEX(명단표[수련과목],$J905))</f>
        <v/>
      </c>
      <c r="E905">
        <f>IF($J905="","",INDEX(명단표[연차],$J905)&amp;"")</f>
        <v/>
      </c>
      <c r="F905">
        <f>IF($J905="","",INDEX(명단표[소속병원],$J905))</f>
        <v/>
      </c>
      <c r="G905">
        <f>IF($J905="","",INDEX(명단표[기준월 근무병원],$J905))</f>
        <v/>
      </c>
      <c r="H905">
        <f>IF($J905="","",INDEX(명단표[급여지급병원(기준월)],$J905))</f>
        <v/>
      </c>
      <c r="I905">
        <f>IF($J905="","",INDEX(명단표[급여 판정 근거],$J905))</f>
        <v/>
      </c>
      <c r="J905" s="17">
        <f>IFERROR(MATCH(901,명단표[명단순번],0),"")</f>
        <v/>
      </c>
    </row>
    <row r="906">
      <c r="A906">
        <f>IF($J906="","",TEXT(급여기준월,"yyyy-mm"))</f>
        <v/>
      </c>
      <c r="B906">
        <f>IF($J906="","",INDEX(명단표[사번],$J906)&amp;"")</f>
        <v/>
      </c>
      <c r="C906">
        <f>IF($J906="","",INDEX(명단표[이름],$J906))</f>
        <v/>
      </c>
      <c r="D906">
        <f>IF($J906="","",INDEX(명단표[수련과목],$J906))</f>
        <v/>
      </c>
      <c r="E906">
        <f>IF($J906="","",INDEX(명단표[연차],$J906)&amp;"")</f>
        <v/>
      </c>
      <c r="F906">
        <f>IF($J906="","",INDEX(명단표[소속병원],$J906))</f>
        <v/>
      </c>
      <c r="G906">
        <f>IF($J906="","",INDEX(명단표[기준월 근무병원],$J906))</f>
        <v/>
      </c>
      <c r="H906">
        <f>IF($J906="","",INDEX(명단표[급여지급병원(기준월)],$J906))</f>
        <v/>
      </c>
      <c r="I906">
        <f>IF($J906="","",INDEX(명단표[급여 판정 근거],$J906))</f>
        <v/>
      </c>
      <c r="J906" s="17">
        <f>IFERROR(MATCH(902,명단표[명단순번],0),"")</f>
        <v/>
      </c>
    </row>
    <row r="907">
      <c r="A907">
        <f>IF($J907="","",TEXT(급여기준월,"yyyy-mm"))</f>
        <v/>
      </c>
      <c r="B907">
        <f>IF($J907="","",INDEX(명단표[사번],$J907)&amp;"")</f>
        <v/>
      </c>
      <c r="C907">
        <f>IF($J907="","",INDEX(명단표[이름],$J907))</f>
        <v/>
      </c>
      <c r="D907">
        <f>IF($J907="","",INDEX(명단표[수련과목],$J907))</f>
        <v/>
      </c>
      <c r="E907">
        <f>IF($J907="","",INDEX(명단표[연차],$J907)&amp;"")</f>
        <v/>
      </c>
      <c r="F907">
        <f>IF($J907="","",INDEX(명단표[소속병원],$J907))</f>
        <v/>
      </c>
      <c r="G907">
        <f>IF($J907="","",INDEX(명단표[기준월 근무병원],$J907))</f>
        <v/>
      </c>
      <c r="H907">
        <f>IF($J907="","",INDEX(명단표[급여지급병원(기준월)],$J907))</f>
        <v/>
      </c>
      <c r="I907">
        <f>IF($J907="","",INDEX(명단표[급여 판정 근거],$J907))</f>
        <v/>
      </c>
      <c r="J907" s="17">
        <f>IFERROR(MATCH(903,명단표[명단순번],0),"")</f>
        <v/>
      </c>
    </row>
    <row r="908">
      <c r="A908">
        <f>IF($J908="","",TEXT(급여기준월,"yyyy-mm"))</f>
        <v/>
      </c>
      <c r="B908">
        <f>IF($J908="","",INDEX(명단표[사번],$J908)&amp;"")</f>
        <v/>
      </c>
      <c r="C908">
        <f>IF($J908="","",INDEX(명단표[이름],$J908))</f>
        <v/>
      </c>
      <c r="D908">
        <f>IF($J908="","",INDEX(명단표[수련과목],$J908))</f>
        <v/>
      </c>
      <c r="E908">
        <f>IF($J908="","",INDEX(명단표[연차],$J908)&amp;"")</f>
        <v/>
      </c>
      <c r="F908">
        <f>IF($J908="","",INDEX(명단표[소속병원],$J908))</f>
        <v/>
      </c>
      <c r="G908">
        <f>IF($J908="","",INDEX(명단표[기준월 근무병원],$J908))</f>
        <v/>
      </c>
      <c r="H908">
        <f>IF($J908="","",INDEX(명단표[급여지급병원(기준월)],$J908))</f>
        <v/>
      </c>
      <c r="I908">
        <f>IF($J908="","",INDEX(명단표[급여 판정 근거],$J908))</f>
        <v/>
      </c>
      <c r="J908" s="17">
        <f>IFERROR(MATCH(904,명단표[명단순번],0),"")</f>
        <v/>
      </c>
    </row>
    <row r="909">
      <c r="A909">
        <f>IF($J909="","",TEXT(급여기준월,"yyyy-mm"))</f>
        <v/>
      </c>
      <c r="B909">
        <f>IF($J909="","",INDEX(명단표[사번],$J909)&amp;"")</f>
        <v/>
      </c>
      <c r="C909">
        <f>IF($J909="","",INDEX(명단표[이름],$J909))</f>
        <v/>
      </c>
      <c r="D909">
        <f>IF($J909="","",INDEX(명단표[수련과목],$J909))</f>
        <v/>
      </c>
      <c r="E909">
        <f>IF($J909="","",INDEX(명단표[연차],$J909)&amp;"")</f>
        <v/>
      </c>
      <c r="F909">
        <f>IF($J909="","",INDEX(명단표[소속병원],$J909))</f>
        <v/>
      </c>
      <c r="G909">
        <f>IF($J909="","",INDEX(명단표[기준월 근무병원],$J909))</f>
        <v/>
      </c>
      <c r="H909">
        <f>IF($J909="","",INDEX(명단표[급여지급병원(기준월)],$J909))</f>
        <v/>
      </c>
      <c r="I909">
        <f>IF($J909="","",INDEX(명단표[급여 판정 근거],$J909))</f>
        <v/>
      </c>
      <c r="J909" s="17">
        <f>IFERROR(MATCH(905,명단표[명단순번],0),"")</f>
        <v/>
      </c>
    </row>
    <row r="910">
      <c r="A910">
        <f>IF($J910="","",TEXT(급여기준월,"yyyy-mm"))</f>
        <v/>
      </c>
      <c r="B910">
        <f>IF($J910="","",INDEX(명단표[사번],$J910)&amp;"")</f>
        <v/>
      </c>
      <c r="C910">
        <f>IF($J910="","",INDEX(명단표[이름],$J910))</f>
        <v/>
      </c>
      <c r="D910">
        <f>IF($J910="","",INDEX(명단표[수련과목],$J910))</f>
        <v/>
      </c>
      <c r="E910">
        <f>IF($J910="","",INDEX(명단표[연차],$J910)&amp;"")</f>
        <v/>
      </c>
      <c r="F910">
        <f>IF($J910="","",INDEX(명단표[소속병원],$J910))</f>
        <v/>
      </c>
      <c r="G910">
        <f>IF($J910="","",INDEX(명단표[기준월 근무병원],$J910))</f>
        <v/>
      </c>
      <c r="H910">
        <f>IF($J910="","",INDEX(명단표[급여지급병원(기준월)],$J910))</f>
        <v/>
      </c>
      <c r="I910">
        <f>IF($J910="","",INDEX(명단표[급여 판정 근거],$J910))</f>
        <v/>
      </c>
      <c r="J910" s="17">
        <f>IFERROR(MATCH(906,명단표[명단순번],0),"")</f>
        <v/>
      </c>
    </row>
    <row r="911">
      <c r="A911">
        <f>IF($J911="","",TEXT(급여기준월,"yyyy-mm"))</f>
        <v/>
      </c>
      <c r="B911">
        <f>IF($J911="","",INDEX(명단표[사번],$J911)&amp;"")</f>
        <v/>
      </c>
      <c r="C911">
        <f>IF($J911="","",INDEX(명단표[이름],$J911))</f>
        <v/>
      </c>
      <c r="D911">
        <f>IF($J911="","",INDEX(명단표[수련과목],$J911))</f>
        <v/>
      </c>
      <c r="E911">
        <f>IF($J911="","",INDEX(명단표[연차],$J911)&amp;"")</f>
        <v/>
      </c>
      <c r="F911">
        <f>IF($J911="","",INDEX(명단표[소속병원],$J911))</f>
        <v/>
      </c>
      <c r="G911">
        <f>IF($J911="","",INDEX(명단표[기준월 근무병원],$J911))</f>
        <v/>
      </c>
      <c r="H911">
        <f>IF($J911="","",INDEX(명단표[급여지급병원(기준월)],$J911))</f>
        <v/>
      </c>
      <c r="I911">
        <f>IF($J911="","",INDEX(명단표[급여 판정 근거],$J911))</f>
        <v/>
      </c>
      <c r="J911" s="17">
        <f>IFERROR(MATCH(907,명단표[명단순번],0),"")</f>
        <v/>
      </c>
    </row>
    <row r="912">
      <c r="A912">
        <f>IF($J912="","",TEXT(급여기준월,"yyyy-mm"))</f>
        <v/>
      </c>
      <c r="B912">
        <f>IF($J912="","",INDEX(명단표[사번],$J912)&amp;"")</f>
        <v/>
      </c>
      <c r="C912">
        <f>IF($J912="","",INDEX(명단표[이름],$J912))</f>
        <v/>
      </c>
      <c r="D912">
        <f>IF($J912="","",INDEX(명단표[수련과목],$J912))</f>
        <v/>
      </c>
      <c r="E912">
        <f>IF($J912="","",INDEX(명단표[연차],$J912)&amp;"")</f>
        <v/>
      </c>
      <c r="F912">
        <f>IF($J912="","",INDEX(명단표[소속병원],$J912))</f>
        <v/>
      </c>
      <c r="G912">
        <f>IF($J912="","",INDEX(명단표[기준월 근무병원],$J912))</f>
        <v/>
      </c>
      <c r="H912">
        <f>IF($J912="","",INDEX(명단표[급여지급병원(기준월)],$J912))</f>
        <v/>
      </c>
      <c r="I912">
        <f>IF($J912="","",INDEX(명단표[급여 판정 근거],$J912))</f>
        <v/>
      </c>
      <c r="J912" s="17">
        <f>IFERROR(MATCH(908,명단표[명단순번],0),"")</f>
        <v/>
      </c>
    </row>
    <row r="913">
      <c r="A913">
        <f>IF($J913="","",TEXT(급여기준월,"yyyy-mm"))</f>
        <v/>
      </c>
      <c r="B913">
        <f>IF($J913="","",INDEX(명단표[사번],$J913)&amp;"")</f>
        <v/>
      </c>
      <c r="C913">
        <f>IF($J913="","",INDEX(명단표[이름],$J913))</f>
        <v/>
      </c>
      <c r="D913">
        <f>IF($J913="","",INDEX(명단표[수련과목],$J913))</f>
        <v/>
      </c>
      <c r="E913">
        <f>IF($J913="","",INDEX(명단표[연차],$J913)&amp;"")</f>
        <v/>
      </c>
      <c r="F913">
        <f>IF($J913="","",INDEX(명단표[소속병원],$J913))</f>
        <v/>
      </c>
      <c r="G913">
        <f>IF($J913="","",INDEX(명단표[기준월 근무병원],$J913))</f>
        <v/>
      </c>
      <c r="H913">
        <f>IF($J913="","",INDEX(명단표[급여지급병원(기준월)],$J913))</f>
        <v/>
      </c>
      <c r="I913">
        <f>IF($J913="","",INDEX(명단표[급여 판정 근거],$J913))</f>
        <v/>
      </c>
      <c r="J913" s="17">
        <f>IFERROR(MATCH(909,명단표[명단순번],0),"")</f>
        <v/>
      </c>
    </row>
    <row r="914">
      <c r="A914">
        <f>IF($J914="","",TEXT(급여기준월,"yyyy-mm"))</f>
        <v/>
      </c>
      <c r="B914">
        <f>IF($J914="","",INDEX(명단표[사번],$J914)&amp;"")</f>
        <v/>
      </c>
      <c r="C914">
        <f>IF($J914="","",INDEX(명단표[이름],$J914))</f>
        <v/>
      </c>
      <c r="D914">
        <f>IF($J914="","",INDEX(명단표[수련과목],$J914))</f>
        <v/>
      </c>
      <c r="E914">
        <f>IF($J914="","",INDEX(명단표[연차],$J914)&amp;"")</f>
        <v/>
      </c>
      <c r="F914">
        <f>IF($J914="","",INDEX(명단표[소속병원],$J914))</f>
        <v/>
      </c>
      <c r="G914">
        <f>IF($J914="","",INDEX(명단표[기준월 근무병원],$J914))</f>
        <v/>
      </c>
      <c r="H914">
        <f>IF($J914="","",INDEX(명단표[급여지급병원(기준월)],$J914))</f>
        <v/>
      </c>
      <c r="I914">
        <f>IF($J914="","",INDEX(명단표[급여 판정 근거],$J914))</f>
        <v/>
      </c>
      <c r="J914" s="17">
        <f>IFERROR(MATCH(910,명단표[명단순번],0),"")</f>
        <v/>
      </c>
    </row>
    <row r="915">
      <c r="A915">
        <f>IF($J915="","",TEXT(급여기준월,"yyyy-mm"))</f>
        <v/>
      </c>
      <c r="B915">
        <f>IF($J915="","",INDEX(명단표[사번],$J915)&amp;"")</f>
        <v/>
      </c>
      <c r="C915">
        <f>IF($J915="","",INDEX(명단표[이름],$J915))</f>
        <v/>
      </c>
      <c r="D915">
        <f>IF($J915="","",INDEX(명단표[수련과목],$J915))</f>
        <v/>
      </c>
      <c r="E915">
        <f>IF($J915="","",INDEX(명단표[연차],$J915)&amp;"")</f>
        <v/>
      </c>
      <c r="F915">
        <f>IF($J915="","",INDEX(명단표[소속병원],$J915))</f>
        <v/>
      </c>
      <c r="G915">
        <f>IF($J915="","",INDEX(명단표[기준월 근무병원],$J915))</f>
        <v/>
      </c>
      <c r="H915">
        <f>IF($J915="","",INDEX(명단표[급여지급병원(기준월)],$J915))</f>
        <v/>
      </c>
      <c r="I915">
        <f>IF($J915="","",INDEX(명단표[급여 판정 근거],$J915))</f>
        <v/>
      </c>
      <c r="J915" s="17">
        <f>IFERROR(MATCH(911,명단표[명단순번],0),"")</f>
        <v/>
      </c>
    </row>
    <row r="916">
      <c r="A916">
        <f>IF($J916="","",TEXT(급여기준월,"yyyy-mm"))</f>
        <v/>
      </c>
      <c r="B916">
        <f>IF($J916="","",INDEX(명단표[사번],$J916)&amp;"")</f>
        <v/>
      </c>
      <c r="C916">
        <f>IF($J916="","",INDEX(명단표[이름],$J916))</f>
        <v/>
      </c>
      <c r="D916">
        <f>IF($J916="","",INDEX(명단표[수련과목],$J916))</f>
        <v/>
      </c>
      <c r="E916">
        <f>IF($J916="","",INDEX(명단표[연차],$J916)&amp;"")</f>
        <v/>
      </c>
      <c r="F916">
        <f>IF($J916="","",INDEX(명단표[소속병원],$J916))</f>
        <v/>
      </c>
      <c r="G916">
        <f>IF($J916="","",INDEX(명단표[기준월 근무병원],$J916))</f>
        <v/>
      </c>
      <c r="H916">
        <f>IF($J916="","",INDEX(명단표[급여지급병원(기준월)],$J916))</f>
        <v/>
      </c>
      <c r="I916">
        <f>IF($J916="","",INDEX(명단표[급여 판정 근거],$J916))</f>
        <v/>
      </c>
      <c r="J916" s="17">
        <f>IFERROR(MATCH(912,명단표[명단순번],0),"")</f>
        <v/>
      </c>
    </row>
    <row r="917">
      <c r="A917">
        <f>IF($J917="","",TEXT(급여기준월,"yyyy-mm"))</f>
        <v/>
      </c>
      <c r="B917">
        <f>IF($J917="","",INDEX(명단표[사번],$J917)&amp;"")</f>
        <v/>
      </c>
      <c r="C917">
        <f>IF($J917="","",INDEX(명단표[이름],$J917))</f>
        <v/>
      </c>
      <c r="D917">
        <f>IF($J917="","",INDEX(명단표[수련과목],$J917))</f>
        <v/>
      </c>
      <c r="E917">
        <f>IF($J917="","",INDEX(명단표[연차],$J917)&amp;"")</f>
        <v/>
      </c>
      <c r="F917">
        <f>IF($J917="","",INDEX(명단표[소속병원],$J917))</f>
        <v/>
      </c>
      <c r="G917">
        <f>IF($J917="","",INDEX(명단표[기준월 근무병원],$J917))</f>
        <v/>
      </c>
      <c r="H917">
        <f>IF($J917="","",INDEX(명단표[급여지급병원(기준월)],$J917))</f>
        <v/>
      </c>
      <c r="I917">
        <f>IF($J917="","",INDEX(명단표[급여 판정 근거],$J917))</f>
        <v/>
      </c>
      <c r="J917" s="17">
        <f>IFERROR(MATCH(913,명단표[명단순번],0),"")</f>
        <v/>
      </c>
    </row>
    <row r="918">
      <c r="A918">
        <f>IF($J918="","",TEXT(급여기준월,"yyyy-mm"))</f>
        <v/>
      </c>
      <c r="B918">
        <f>IF($J918="","",INDEX(명단표[사번],$J918)&amp;"")</f>
        <v/>
      </c>
      <c r="C918">
        <f>IF($J918="","",INDEX(명단표[이름],$J918))</f>
        <v/>
      </c>
      <c r="D918">
        <f>IF($J918="","",INDEX(명단표[수련과목],$J918))</f>
        <v/>
      </c>
      <c r="E918">
        <f>IF($J918="","",INDEX(명단표[연차],$J918)&amp;"")</f>
        <v/>
      </c>
      <c r="F918">
        <f>IF($J918="","",INDEX(명단표[소속병원],$J918))</f>
        <v/>
      </c>
      <c r="G918">
        <f>IF($J918="","",INDEX(명단표[기준월 근무병원],$J918))</f>
        <v/>
      </c>
      <c r="H918">
        <f>IF($J918="","",INDEX(명단표[급여지급병원(기준월)],$J918))</f>
        <v/>
      </c>
      <c r="I918">
        <f>IF($J918="","",INDEX(명단표[급여 판정 근거],$J918))</f>
        <v/>
      </c>
      <c r="J918" s="17">
        <f>IFERROR(MATCH(914,명단표[명단순번],0),"")</f>
        <v/>
      </c>
    </row>
    <row r="919">
      <c r="A919">
        <f>IF($J919="","",TEXT(급여기준월,"yyyy-mm"))</f>
        <v/>
      </c>
      <c r="B919">
        <f>IF($J919="","",INDEX(명단표[사번],$J919)&amp;"")</f>
        <v/>
      </c>
      <c r="C919">
        <f>IF($J919="","",INDEX(명단표[이름],$J919))</f>
        <v/>
      </c>
      <c r="D919">
        <f>IF($J919="","",INDEX(명단표[수련과목],$J919))</f>
        <v/>
      </c>
      <c r="E919">
        <f>IF($J919="","",INDEX(명단표[연차],$J919)&amp;"")</f>
        <v/>
      </c>
      <c r="F919">
        <f>IF($J919="","",INDEX(명단표[소속병원],$J919))</f>
        <v/>
      </c>
      <c r="G919">
        <f>IF($J919="","",INDEX(명단표[기준월 근무병원],$J919))</f>
        <v/>
      </c>
      <c r="H919">
        <f>IF($J919="","",INDEX(명단표[급여지급병원(기준월)],$J919))</f>
        <v/>
      </c>
      <c r="I919">
        <f>IF($J919="","",INDEX(명단표[급여 판정 근거],$J919))</f>
        <v/>
      </c>
      <c r="J919" s="17">
        <f>IFERROR(MATCH(915,명단표[명단순번],0),"")</f>
        <v/>
      </c>
    </row>
    <row r="920">
      <c r="A920">
        <f>IF($J920="","",TEXT(급여기준월,"yyyy-mm"))</f>
        <v/>
      </c>
      <c r="B920">
        <f>IF($J920="","",INDEX(명단표[사번],$J920)&amp;"")</f>
        <v/>
      </c>
      <c r="C920">
        <f>IF($J920="","",INDEX(명단표[이름],$J920))</f>
        <v/>
      </c>
      <c r="D920">
        <f>IF($J920="","",INDEX(명단표[수련과목],$J920))</f>
        <v/>
      </c>
      <c r="E920">
        <f>IF($J920="","",INDEX(명단표[연차],$J920)&amp;"")</f>
        <v/>
      </c>
      <c r="F920">
        <f>IF($J920="","",INDEX(명단표[소속병원],$J920))</f>
        <v/>
      </c>
      <c r="G920">
        <f>IF($J920="","",INDEX(명단표[기준월 근무병원],$J920))</f>
        <v/>
      </c>
      <c r="H920">
        <f>IF($J920="","",INDEX(명단표[급여지급병원(기준월)],$J920))</f>
        <v/>
      </c>
      <c r="I920">
        <f>IF($J920="","",INDEX(명단표[급여 판정 근거],$J920))</f>
        <v/>
      </c>
      <c r="J920" s="17">
        <f>IFERROR(MATCH(916,명단표[명단순번],0),"")</f>
        <v/>
      </c>
    </row>
    <row r="921">
      <c r="A921">
        <f>IF($J921="","",TEXT(급여기준월,"yyyy-mm"))</f>
        <v/>
      </c>
      <c r="B921">
        <f>IF($J921="","",INDEX(명단표[사번],$J921)&amp;"")</f>
        <v/>
      </c>
      <c r="C921">
        <f>IF($J921="","",INDEX(명단표[이름],$J921))</f>
        <v/>
      </c>
      <c r="D921">
        <f>IF($J921="","",INDEX(명단표[수련과목],$J921))</f>
        <v/>
      </c>
      <c r="E921">
        <f>IF($J921="","",INDEX(명단표[연차],$J921)&amp;"")</f>
        <v/>
      </c>
      <c r="F921">
        <f>IF($J921="","",INDEX(명단표[소속병원],$J921))</f>
        <v/>
      </c>
      <c r="G921">
        <f>IF($J921="","",INDEX(명단표[기준월 근무병원],$J921))</f>
        <v/>
      </c>
      <c r="H921">
        <f>IF($J921="","",INDEX(명단표[급여지급병원(기준월)],$J921))</f>
        <v/>
      </c>
      <c r="I921">
        <f>IF($J921="","",INDEX(명단표[급여 판정 근거],$J921))</f>
        <v/>
      </c>
      <c r="J921" s="17">
        <f>IFERROR(MATCH(917,명단표[명단순번],0),"")</f>
        <v/>
      </c>
    </row>
    <row r="922">
      <c r="A922">
        <f>IF($J922="","",TEXT(급여기준월,"yyyy-mm"))</f>
        <v/>
      </c>
      <c r="B922">
        <f>IF($J922="","",INDEX(명단표[사번],$J922)&amp;"")</f>
        <v/>
      </c>
      <c r="C922">
        <f>IF($J922="","",INDEX(명단표[이름],$J922))</f>
        <v/>
      </c>
      <c r="D922">
        <f>IF($J922="","",INDEX(명단표[수련과목],$J922))</f>
        <v/>
      </c>
      <c r="E922">
        <f>IF($J922="","",INDEX(명단표[연차],$J922)&amp;"")</f>
        <v/>
      </c>
      <c r="F922">
        <f>IF($J922="","",INDEX(명단표[소속병원],$J922))</f>
        <v/>
      </c>
      <c r="G922">
        <f>IF($J922="","",INDEX(명단표[기준월 근무병원],$J922))</f>
        <v/>
      </c>
      <c r="H922">
        <f>IF($J922="","",INDEX(명단표[급여지급병원(기준월)],$J922))</f>
        <v/>
      </c>
      <c r="I922">
        <f>IF($J922="","",INDEX(명단표[급여 판정 근거],$J922))</f>
        <v/>
      </c>
      <c r="J922" s="17">
        <f>IFERROR(MATCH(918,명단표[명단순번],0),"")</f>
        <v/>
      </c>
    </row>
    <row r="923">
      <c r="A923">
        <f>IF($J923="","",TEXT(급여기준월,"yyyy-mm"))</f>
        <v/>
      </c>
      <c r="B923">
        <f>IF($J923="","",INDEX(명단표[사번],$J923)&amp;"")</f>
        <v/>
      </c>
      <c r="C923">
        <f>IF($J923="","",INDEX(명단표[이름],$J923))</f>
        <v/>
      </c>
      <c r="D923">
        <f>IF($J923="","",INDEX(명단표[수련과목],$J923))</f>
        <v/>
      </c>
      <c r="E923">
        <f>IF($J923="","",INDEX(명단표[연차],$J923)&amp;"")</f>
        <v/>
      </c>
      <c r="F923">
        <f>IF($J923="","",INDEX(명단표[소속병원],$J923))</f>
        <v/>
      </c>
      <c r="G923">
        <f>IF($J923="","",INDEX(명단표[기준월 근무병원],$J923))</f>
        <v/>
      </c>
      <c r="H923">
        <f>IF($J923="","",INDEX(명단표[급여지급병원(기준월)],$J923))</f>
        <v/>
      </c>
      <c r="I923">
        <f>IF($J923="","",INDEX(명단표[급여 판정 근거],$J923))</f>
        <v/>
      </c>
      <c r="J923" s="17">
        <f>IFERROR(MATCH(919,명단표[명단순번],0),"")</f>
        <v/>
      </c>
    </row>
    <row r="924">
      <c r="A924">
        <f>IF($J924="","",TEXT(급여기준월,"yyyy-mm"))</f>
        <v/>
      </c>
      <c r="B924">
        <f>IF($J924="","",INDEX(명단표[사번],$J924)&amp;"")</f>
        <v/>
      </c>
      <c r="C924">
        <f>IF($J924="","",INDEX(명단표[이름],$J924))</f>
        <v/>
      </c>
      <c r="D924">
        <f>IF($J924="","",INDEX(명단표[수련과목],$J924))</f>
        <v/>
      </c>
      <c r="E924">
        <f>IF($J924="","",INDEX(명단표[연차],$J924)&amp;"")</f>
        <v/>
      </c>
      <c r="F924">
        <f>IF($J924="","",INDEX(명단표[소속병원],$J924))</f>
        <v/>
      </c>
      <c r="G924">
        <f>IF($J924="","",INDEX(명단표[기준월 근무병원],$J924))</f>
        <v/>
      </c>
      <c r="H924">
        <f>IF($J924="","",INDEX(명단표[급여지급병원(기준월)],$J924))</f>
        <v/>
      </c>
      <c r="I924">
        <f>IF($J924="","",INDEX(명단표[급여 판정 근거],$J924))</f>
        <v/>
      </c>
      <c r="J924" s="17">
        <f>IFERROR(MATCH(920,명단표[명단순번],0),"")</f>
        <v/>
      </c>
    </row>
    <row r="925">
      <c r="A925">
        <f>IF($J925="","",TEXT(급여기준월,"yyyy-mm"))</f>
        <v/>
      </c>
      <c r="B925">
        <f>IF($J925="","",INDEX(명단표[사번],$J925)&amp;"")</f>
        <v/>
      </c>
      <c r="C925">
        <f>IF($J925="","",INDEX(명단표[이름],$J925))</f>
        <v/>
      </c>
      <c r="D925">
        <f>IF($J925="","",INDEX(명단표[수련과목],$J925))</f>
        <v/>
      </c>
      <c r="E925">
        <f>IF($J925="","",INDEX(명단표[연차],$J925)&amp;"")</f>
        <v/>
      </c>
      <c r="F925">
        <f>IF($J925="","",INDEX(명단표[소속병원],$J925))</f>
        <v/>
      </c>
      <c r="G925">
        <f>IF($J925="","",INDEX(명단표[기준월 근무병원],$J925))</f>
        <v/>
      </c>
      <c r="H925">
        <f>IF($J925="","",INDEX(명단표[급여지급병원(기준월)],$J925))</f>
        <v/>
      </c>
      <c r="I925">
        <f>IF($J925="","",INDEX(명단표[급여 판정 근거],$J925))</f>
        <v/>
      </c>
      <c r="J925" s="17">
        <f>IFERROR(MATCH(921,명단표[명단순번],0),"")</f>
        <v/>
      </c>
    </row>
    <row r="926">
      <c r="A926">
        <f>IF($J926="","",TEXT(급여기준월,"yyyy-mm"))</f>
        <v/>
      </c>
      <c r="B926">
        <f>IF($J926="","",INDEX(명단표[사번],$J926)&amp;"")</f>
        <v/>
      </c>
      <c r="C926">
        <f>IF($J926="","",INDEX(명단표[이름],$J926))</f>
        <v/>
      </c>
      <c r="D926">
        <f>IF($J926="","",INDEX(명단표[수련과목],$J926))</f>
        <v/>
      </c>
      <c r="E926">
        <f>IF($J926="","",INDEX(명단표[연차],$J926)&amp;"")</f>
        <v/>
      </c>
      <c r="F926">
        <f>IF($J926="","",INDEX(명단표[소속병원],$J926))</f>
        <v/>
      </c>
      <c r="G926">
        <f>IF($J926="","",INDEX(명단표[기준월 근무병원],$J926))</f>
        <v/>
      </c>
      <c r="H926">
        <f>IF($J926="","",INDEX(명단표[급여지급병원(기준월)],$J926))</f>
        <v/>
      </c>
      <c r="I926">
        <f>IF($J926="","",INDEX(명단표[급여 판정 근거],$J926))</f>
        <v/>
      </c>
      <c r="J926" s="17">
        <f>IFERROR(MATCH(922,명단표[명단순번],0),"")</f>
        <v/>
      </c>
    </row>
    <row r="927">
      <c r="A927">
        <f>IF($J927="","",TEXT(급여기준월,"yyyy-mm"))</f>
        <v/>
      </c>
      <c r="B927">
        <f>IF($J927="","",INDEX(명단표[사번],$J927)&amp;"")</f>
        <v/>
      </c>
      <c r="C927">
        <f>IF($J927="","",INDEX(명단표[이름],$J927))</f>
        <v/>
      </c>
      <c r="D927">
        <f>IF($J927="","",INDEX(명단표[수련과목],$J927))</f>
        <v/>
      </c>
      <c r="E927">
        <f>IF($J927="","",INDEX(명단표[연차],$J927)&amp;"")</f>
        <v/>
      </c>
      <c r="F927">
        <f>IF($J927="","",INDEX(명단표[소속병원],$J927))</f>
        <v/>
      </c>
      <c r="G927">
        <f>IF($J927="","",INDEX(명단표[기준월 근무병원],$J927))</f>
        <v/>
      </c>
      <c r="H927">
        <f>IF($J927="","",INDEX(명단표[급여지급병원(기준월)],$J927))</f>
        <v/>
      </c>
      <c r="I927">
        <f>IF($J927="","",INDEX(명단표[급여 판정 근거],$J927))</f>
        <v/>
      </c>
      <c r="J927" s="17">
        <f>IFERROR(MATCH(923,명단표[명단순번],0),"")</f>
        <v/>
      </c>
    </row>
    <row r="928">
      <c r="A928">
        <f>IF($J928="","",TEXT(급여기준월,"yyyy-mm"))</f>
        <v/>
      </c>
      <c r="B928">
        <f>IF($J928="","",INDEX(명단표[사번],$J928)&amp;"")</f>
        <v/>
      </c>
      <c r="C928">
        <f>IF($J928="","",INDEX(명단표[이름],$J928))</f>
        <v/>
      </c>
      <c r="D928">
        <f>IF($J928="","",INDEX(명단표[수련과목],$J928))</f>
        <v/>
      </c>
      <c r="E928">
        <f>IF($J928="","",INDEX(명단표[연차],$J928)&amp;"")</f>
        <v/>
      </c>
      <c r="F928">
        <f>IF($J928="","",INDEX(명단표[소속병원],$J928))</f>
        <v/>
      </c>
      <c r="G928">
        <f>IF($J928="","",INDEX(명단표[기준월 근무병원],$J928))</f>
        <v/>
      </c>
      <c r="H928">
        <f>IF($J928="","",INDEX(명단표[급여지급병원(기준월)],$J928))</f>
        <v/>
      </c>
      <c r="I928">
        <f>IF($J928="","",INDEX(명단표[급여 판정 근거],$J928))</f>
        <v/>
      </c>
      <c r="J928" s="17">
        <f>IFERROR(MATCH(924,명단표[명단순번],0),"")</f>
        <v/>
      </c>
    </row>
    <row r="929">
      <c r="A929">
        <f>IF($J929="","",TEXT(급여기준월,"yyyy-mm"))</f>
        <v/>
      </c>
      <c r="B929">
        <f>IF($J929="","",INDEX(명단표[사번],$J929)&amp;"")</f>
        <v/>
      </c>
      <c r="C929">
        <f>IF($J929="","",INDEX(명단표[이름],$J929))</f>
        <v/>
      </c>
      <c r="D929">
        <f>IF($J929="","",INDEX(명단표[수련과목],$J929))</f>
        <v/>
      </c>
      <c r="E929">
        <f>IF($J929="","",INDEX(명단표[연차],$J929)&amp;"")</f>
        <v/>
      </c>
      <c r="F929">
        <f>IF($J929="","",INDEX(명단표[소속병원],$J929))</f>
        <v/>
      </c>
      <c r="G929">
        <f>IF($J929="","",INDEX(명단표[기준월 근무병원],$J929))</f>
        <v/>
      </c>
      <c r="H929">
        <f>IF($J929="","",INDEX(명단표[급여지급병원(기준월)],$J929))</f>
        <v/>
      </c>
      <c r="I929">
        <f>IF($J929="","",INDEX(명단표[급여 판정 근거],$J929))</f>
        <v/>
      </c>
      <c r="J929" s="17">
        <f>IFERROR(MATCH(925,명단표[명단순번],0),"")</f>
        <v/>
      </c>
    </row>
    <row r="930">
      <c r="A930">
        <f>IF($J930="","",TEXT(급여기준월,"yyyy-mm"))</f>
        <v/>
      </c>
      <c r="B930">
        <f>IF($J930="","",INDEX(명단표[사번],$J930)&amp;"")</f>
        <v/>
      </c>
      <c r="C930">
        <f>IF($J930="","",INDEX(명단표[이름],$J930))</f>
        <v/>
      </c>
      <c r="D930">
        <f>IF($J930="","",INDEX(명단표[수련과목],$J930))</f>
        <v/>
      </c>
      <c r="E930">
        <f>IF($J930="","",INDEX(명단표[연차],$J930)&amp;"")</f>
        <v/>
      </c>
      <c r="F930">
        <f>IF($J930="","",INDEX(명단표[소속병원],$J930))</f>
        <v/>
      </c>
      <c r="G930">
        <f>IF($J930="","",INDEX(명단표[기준월 근무병원],$J930))</f>
        <v/>
      </c>
      <c r="H930">
        <f>IF($J930="","",INDEX(명단표[급여지급병원(기준월)],$J930))</f>
        <v/>
      </c>
      <c r="I930">
        <f>IF($J930="","",INDEX(명단표[급여 판정 근거],$J930))</f>
        <v/>
      </c>
      <c r="J930" s="17">
        <f>IFERROR(MATCH(926,명단표[명단순번],0),"")</f>
        <v/>
      </c>
    </row>
    <row r="931">
      <c r="A931">
        <f>IF($J931="","",TEXT(급여기준월,"yyyy-mm"))</f>
        <v/>
      </c>
      <c r="B931">
        <f>IF($J931="","",INDEX(명단표[사번],$J931)&amp;"")</f>
        <v/>
      </c>
      <c r="C931">
        <f>IF($J931="","",INDEX(명단표[이름],$J931))</f>
        <v/>
      </c>
      <c r="D931">
        <f>IF($J931="","",INDEX(명단표[수련과목],$J931))</f>
        <v/>
      </c>
      <c r="E931">
        <f>IF($J931="","",INDEX(명단표[연차],$J931)&amp;"")</f>
        <v/>
      </c>
      <c r="F931">
        <f>IF($J931="","",INDEX(명단표[소속병원],$J931))</f>
        <v/>
      </c>
      <c r="G931">
        <f>IF($J931="","",INDEX(명단표[기준월 근무병원],$J931))</f>
        <v/>
      </c>
      <c r="H931">
        <f>IF($J931="","",INDEX(명단표[급여지급병원(기준월)],$J931))</f>
        <v/>
      </c>
      <c r="I931">
        <f>IF($J931="","",INDEX(명단표[급여 판정 근거],$J931))</f>
        <v/>
      </c>
      <c r="J931" s="17">
        <f>IFERROR(MATCH(927,명단표[명단순번],0),"")</f>
        <v/>
      </c>
    </row>
    <row r="932">
      <c r="A932">
        <f>IF($J932="","",TEXT(급여기준월,"yyyy-mm"))</f>
        <v/>
      </c>
      <c r="B932">
        <f>IF($J932="","",INDEX(명단표[사번],$J932)&amp;"")</f>
        <v/>
      </c>
      <c r="C932">
        <f>IF($J932="","",INDEX(명단표[이름],$J932))</f>
        <v/>
      </c>
      <c r="D932">
        <f>IF($J932="","",INDEX(명단표[수련과목],$J932))</f>
        <v/>
      </c>
      <c r="E932">
        <f>IF($J932="","",INDEX(명단표[연차],$J932)&amp;"")</f>
        <v/>
      </c>
      <c r="F932">
        <f>IF($J932="","",INDEX(명단표[소속병원],$J932))</f>
        <v/>
      </c>
      <c r="G932">
        <f>IF($J932="","",INDEX(명단표[기준월 근무병원],$J932))</f>
        <v/>
      </c>
      <c r="H932">
        <f>IF($J932="","",INDEX(명단표[급여지급병원(기준월)],$J932))</f>
        <v/>
      </c>
      <c r="I932">
        <f>IF($J932="","",INDEX(명단표[급여 판정 근거],$J932))</f>
        <v/>
      </c>
      <c r="J932" s="17">
        <f>IFERROR(MATCH(928,명단표[명단순번],0),"")</f>
        <v/>
      </c>
    </row>
    <row r="933">
      <c r="A933">
        <f>IF($J933="","",TEXT(급여기준월,"yyyy-mm"))</f>
        <v/>
      </c>
      <c r="B933">
        <f>IF($J933="","",INDEX(명단표[사번],$J933)&amp;"")</f>
        <v/>
      </c>
      <c r="C933">
        <f>IF($J933="","",INDEX(명단표[이름],$J933))</f>
        <v/>
      </c>
      <c r="D933">
        <f>IF($J933="","",INDEX(명단표[수련과목],$J933))</f>
        <v/>
      </c>
      <c r="E933">
        <f>IF($J933="","",INDEX(명단표[연차],$J933)&amp;"")</f>
        <v/>
      </c>
      <c r="F933">
        <f>IF($J933="","",INDEX(명단표[소속병원],$J933))</f>
        <v/>
      </c>
      <c r="G933">
        <f>IF($J933="","",INDEX(명단표[기준월 근무병원],$J933))</f>
        <v/>
      </c>
      <c r="H933">
        <f>IF($J933="","",INDEX(명단표[급여지급병원(기준월)],$J933))</f>
        <v/>
      </c>
      <c r="I933">
        <f>IF($J933="","",INDEX(명단표[급여 판정 근거],$J933))</f>
        <v/>
      </c>
      <c r="J933" s="17">
        <f>IFERROR(MATCH(929,명단표[명단순번],0),"")</f>
        <v/>
      </c>
    </row>
    <row r="934">
      <c r="A934">
        <f>IF($J934="","",TEXT(급여기준월,"yyyy-mm"))</f>
        <v/>
      </c>
      <c r="B934">
        <f>IF($J934="","",INDEX(명단표[사번],$J934)&amp;"")</f>
        <v/>
      </c>
      <c r="C934">
        <f>IF($J934="","",INDEX(명단표[이름],$J934))</f>
        <v/>
      </c>
      <c r="D934">
        <f>IF($J934="","",INDEX(명단표[수련과목],$J934))</f>
        <v/>
      </c>
      <c r="E934">
        <f>IF($J934="","",INDEX(명단표[연차],$J934)&amp;"")</f>
        <v/>
      </c>
      <c r="F934">
        <f>IF($J934="","",INDEX(명단표[소속병원],$J934))</f>
        <v/>
      </c>
      <c r="G934">
        <f>IF($J934="","",INDEX(명단표[기준월 근무병원],$J934))</f>
        <v/>
      </c>
      <c r="H934">
        <f>IF($J934="","",INDEX(명단표[급여지급병원(기준월)],$J934))</f>
        <v/>
      </c>
      <c r="I934">
        <f>IF($J934="","",INDEX(명단표[급여 판정 근거],$J934))</f>
        <v/>
      </c>
      <c r="J934" s="17">
        <f>IFERROR(MATCH(930,명단표[명단순번],0),"")</f>
        <v/>
      </c>
    </row>
    <row r="935">
      <c r="A935">
        <f>IF($J935="","",TEXT(급여기준월,"yyyy-mm"))</f>
        <v/>
      </c>
      <c r="B935">
        <f>IF($J935="","",INDEX(명단표[사번],$J935)&amp;"")</f>
        <v/>
      </c>
      <c r="C935">
        <f>IF($J935="","",INDEX(명단표[이름],$J935))</f>
        <v/>
      </c>
      <c r="D935">
        <f>IF($J935="","",INDEX(명단표[수련과목],$J935))</f>
        <v/>
      </c>
      <c r="E935">
        <f>IF($J935="","",INDEX(명단표[연차],$J935)&amp;"")</f>
        <v/>
      </c>
      <c r="F935">
        <f>IF($J935="","",INDEX(명단표[소속병원],$J935))</f>
        <v/>
      </c>
      <c r="G935">
        <f>IF($J935="","",INDEX(명단표[기준월 근무병원],$J935))</f>
        <v/>
      </c>
      <c r="H935">
        <f>IF($J935="","",INDEX(명단표[급여지급병원(기준월)],$J935))</f>
        <v/>
      </c>
      <c r="I935">
        <f>IF($J935="","",INDEX(명단표[급여 판정 근거],$J935))</f>
        <v/>
      </c>
      <c r="J935" s="17">
        <f>IFERROR(MATCH(931,명단표[명단순번],0),"")</f>
        <v/>
      </c>
    </row>
    <row r="936">
      <c r="A936">
        <f>IF($J936="","",TEXT(급여기준월,"yyyy-mm"))</f>
        <v/>
      </c>
      <c r="B936">
        <f>IF($J936="","",INDEX(명단표[사번],$J936)&amp;"")</f>
        <v/>
      </c>
      <c r="C936">
        <f>IF($J936="","",INDEX(명단표[이름],$J936))</f>
        <v/>
      </c>
      <c r="D936">
        <f>IF($J936="","",INDEX(명단표[수련과목],$J936))</f>
        <v/>
      </c>
      <c r="E936">
        <f>IF($J936="","",INDEX(명단표[연차],$J936)&amp;"")</f>
        <v/>
      </c>
      <c r="F936">
        <f>IF($J936="","",INDEX(명단표[소속병원],$J936))</f>
        <v/>
      </c>
      <c r="G936">
        <f>IF($J936="","",INDEX(명단표[기준월 근무병원],$J936))</f>
        <v/>
      </c>
      <c r="H936">
        <f>IF($J936="","",INDEX(명단표[급여지급병원(기준월)],$J936))</f>
        <v/>
      </c>
      <c r="I936">
        <f>IF($J936="","",INDEX(명단표[급여 판정 근거],$J936))</f>
        <v/>
      </c>
      <c r="J936" s="17">
        <f>IFERROR(MATCH(932,명단표[명단순번],0),"")</f>
        <v/>
      </c>
    </row>
    <row r="937">
      <c r="A937">
        <f>IF($J937="","",TEXT(급여기준월,"yyyy-mm"))</f>
        <v/>
      </c>
      <c r="B937">
        <f>IF($J937="","",INDEX(명단표[사번],$J937)&amp;"")</f>
        <v/>
      </c>
      <c r="C937">
        <f>IF($J937="","",INDEX(명단표[이름],$J937))</f>
        <v/>
      </c>
      <c r="D937">
        <f>IF($J937="","",INDEX(명단표[수련과목],$J937))</f>
        <v/>
      </c>
      <c r="E937">
        <f>IF($J937="","",INDEX(명단표[연차],$J937)&amp;"")</f>
        <v/>
      </c>
      <c r="F937">
        <f>IF($J937="","",INDEX(명단표[소속병원],$J937))</f>
        <v/>
      </c>
      <c r="G937">
        <f>IF($J937="","",INDEX(명단표[기준월 근무병원],$J937))</f>
        <v/>
      </c>
      <c r="H937">
        <f>IF($J937="","",INDEX(명단표[급여지급병원(기준월)],$J937))</f>
        <v/>
      </c>
      <c r="I937">
        <f>IF($J937="","",INDEX(명단표[급여 판정 근거],$J937))</f>
        <v/>
      </c>
      <c r="J937" s="17">
        <f>IFERROR(MATCH(933,명단표[명단순번],0),"")</f>
        <v/>
      </c>
    </row>
    <row r="938">
      <c r="A938">
        <f>IF($J938="","",TEXT(급여기준월,"yyyy-mm"))</f>
        <v/>
      </c>
      <c r="B938">
        <f>IF($J938="","",INDEX(명단표[사번],$J938)&amp;"")</f>
        <v/>
      </c>
      <c r="C938">
        <f>IF($J938="","",INDEX(명단표[이름],$J938))</f>
        <v/>
      </c>
      <c r="D938">
        <f>IF($J938="","",INDEX(명단표[수련과목],$J938))</f>
        <v/>
      </c>
      <c r="E938">
        <f>IF($J938="","",INDEX(명단표[연차],$J938)&amp;"")</f>
        <v/>
      </c>
      <c r="F938">
        <f>IF($J938="","",INDEX(명단표[소속병원],$J938))</f>
        <v/>
      </c>
      <c r="G938">
        <f>IF($J938="","",INDEX(명단표[기준월 근무병원],$J938))</f>
        <v/>
      </c>
      <c r="H938">
        <f>IF($J938="","",INDEX(명단표[급여지급병원(기준월)],$J938))</f>
        <v/>
      </c>
      <c r="I938">
        <f>IF($J938="","",INDEX(명단표[급여 판정 근거],$J938))</f>
        <v/>
      </c>
      <c r="J938" s="17">
        <f>IFERROR(MATCH(934,명단표[명단순번],0),"")</f>
        <v/>
      </c>
    </row>
    <row r="939">
      <c r="A939">
        <f>IF($J939="","",TEXT(급여기준월,"yyyy-mm"))</f>
        <v/>
      </c>
      <c r="B939">
        <f>IF($J939="","",INDEX(명단표[사번],$J939)&amp;"")</f>
        <v/>
      </c>
      <c r="C939">
        <f>IF($J939="","",INDEX(명단표[이름],$J939))</f>
        <v/>
      </c>
      <c r="D939">
        <f>IF($J939="","",INDEX(명단표[수련과목],$J939))</f>
        <v/>
      </c>
      <c r="E939">
        <f>IF($J939="","",INDEX(명단표[연차],$J939)&amp;"")</f>
        <v/>
      </c>
      <c r="F939">
        <f>IF($J939="","",INDEX(명단표[소속병원],$J939))</f>
        <v/>
      </c>
      <c r="G939">
        <f>IF($J939="","",INDEX(명단표[기준월 근무병원],$J939))</f>
        <v/>
      </c>
      <c r="H939">
        <f>IF($J939="","",INDEX(명단표[급여지급병원(기준월)],$J939))</f>
        <v/>
      </c>
      <c r="I939">
        <f>IF($J939="","",INDEX(명단표[급여 판정 근거],$J939))</f>
        <v/>
      </c>
      <c r="J939" s="17">
        <f>IFERROR(MATCH(935,명단표[명단순번],0),"")</f>
        <v/>
      </c>
    </row>
    <row r="940">
      <c r="A940">
        <f>IF($J940="","",TEXT(급여기준월,"yyyy-mm"))</f>
        <v/>
      </c>
      <c r="B940">
        <f>IF($J940="","",INDEX(명단표[사번],$J940)&amp;"")</f>
        <v/>
      </c>
      <c r="C940">
        <f>IF($J940="","",INDEX(명단표[이름],$J940))</f>
        <v/>
      </c>
      <c r="D940">
        <f>IF($J940="","",INDEX(명단표[수련과목],$J940))</f>
        <v/>
      </c>
      <c r="E940">
        <f>IF($J940="","",INDEX(명단표[연차],$J940)&amp;"")</f>
        <v/>
      </c>
      <c r="F940">
        <f>IF($J940="","",INDEX(명단표[소속병원],$J940))</f>
        <v/>
      </c>
      <c r="G940">
        <f>IF($J940="","",INDEX(명단표[기준월 근무병원],$J940))</f>
        <v/>
      </c>
      <c r="H940">
        <f>IF($J940="","",INDEX(명단표[급여지급병원(기준월)],$J940))</f>
        <v/>
      </c>
      <c r="I940">
        <f>IF($J940="","",INDEX(명단표[급여 판정 근거],$J940))</f>
        <v/>
      </c>
      <c r="J940" s="17">
        <f>IFERROR(MATCH(936,명단표[명단순번],0),"")</f>
        <v/>
      </c>
    </row>
    <row r="941">
      <c r="A941">
        <f>IF($J941="","",TEXT(급여기준월,"yyyy-mm"))</f>
        <v/>
      </c>
      <c r="B941">
        <f>IF($J941="","",INDEX(명단표[사번],$J941)&amp;"")</f>
        <v/>
      </c>
      <c r="C941">
        <f>IF($J941="","",INDEX(명단표[이름],$J941))</f>
        <v/>
      </c>
      <c r="D941">
        <f>IF($J941="","",INDEX(명단표[수련과목],$J941))</f>
        <v/>
      </c>
      <c r="E941">
        <f>IF($J941="","",INDEX(명단표[연차],$J941)&amp;"")</f>
        <v/>
      </c>
      <c r="F941">
        <f>IF($J941="","",INDEX(명단표[소속병원],$J941))</f>
        <v/>
      </c>
      <c r="G941">
        <f>IF($J941="","",INDEX(명단표[기준월 근무병원],$J941))</f>
        <v/>
      </c>
      <c r="H941">
        <f>IF($J941="","",INDEX(명단표[급여지급병원(기준월)],$J941))</f>
        <v/>
      </c>
      <c r="I941">
        <f>IF($J941="","",INDEX(명단표[급여 판정 근거],$J941))</f>
        <v/>
      </c>
      <c r="J941" s="17">
        <f>IFERROR(MATCH(937,명단표[명단순번],0),"")</f>
        <v/>
      </c>
    </row>
    <row r="942">
      <c r="A942">
        <f>IF($J942="","",TEXT(급여기준월,"yyyy-mm"))</f>
        <v/>
      </c>
      <c r="B942">
        <f>IF($J942="","",INDEX(명단표[사번],$J942)&amp;"")</f>
        <v/>
      </c>
      <c r="C942">
        <f>IF($J942="","",INDEX(명단표[이름],$J942))</f>
        <v/>
      </c>
      <c r="D942">
        <f>IF($J942="","",INDEX(명단표[수련과목],$J942))</f>
        <v/>
      </c>
      <c r="E942">
        <f>IF($J942="","",INDEX(명단표[연차],$J942)&amp;"")</f>
        <v/>
      </c>
      <c r="F942">
        <f>IF($J942="","",INDEX(명단표[소속병원],$J942))</f>
        <v/>
      </c>
      <c r="G942">
        <f>IF($J942="","",INDEX(명단표[기준월 근무병원],$J942))</f>
        <v/>
      </c>
      <c r="H942">
        <f>IF($J942="","",INDEX(명단표[급여지급병원(기준월)],$J942))</f>
        <v/>
      </c>
      <c r="I942">
        <f>IF($J942="","",INDEX(명단표[급여 판정 근거],$J942))</f>
        <v/>
      </c>
      <c r="J942" s="17">
        <f>IFERROR(MATCH(938,명단표[명단순번],0),"")</f>
        <v/>
      </c>
    </row>
    <row r="943">
      <c r="A943">
        <f>IF($J943="","",TEXT(급여기준월,"yyyy-mm"))</f>
        <v/>
      </c>
      <c r="B943">
        <f>IF($J943="","",INDEX(명단표[사번],$J943)&amp;"")</f>
        <v/>
      </c>
      <c r="C943">
        <f>IF($J943="","",INDEX(명단표[이름],$J943))</f>
        <v/>
      </c>
      <c r="D943">
        <f>IF($J943="","",INDEX(명단표[수련과목],$J943))</f>
        <v/>
      </c>
      <c r="E943">
        <f>IF($J943="","",INDEX(명단표[연차],$J943)&amp;"")</f>
        <v/>
      </c>
      <c r="F943">
        <f>IF($J943="","",INDEX(명단표[소속병원],$J943))</f>
        <v/>
      </c>
      <c r="G943">
        <f>IF($J943="","",INDEX(명단표[기준월 근무병원],$J943))</f>
        <v/>
      </c>
      <c r="H943">
        <f>IF($J943="","",INDEX(명단표[급여지급병원(기준월)],$J943))</f>
        <v/>
      </c>
      <c r="I943">
        <f>IF($J943="","",INDEX(명단표[급여 판정 근거],$J943))</f>
        <v/>
      </c>
      <c r="J943" s="17">
        <f>IFERROR(MATCH(939,명단표[명단순번],0),"")</f>
        <v/>
      </c>
    </row>
    <row r="944">
      <c r="A944">
        <f>IF($J944="","",TEXT(급여기준월,"yyyy-mm"))</f>
        <v/>
      </c>
      <c r="B944">
        <f>IF($J944="","",INDEX(명단표[사번],$J944)&amp;"")</f>
        <v/>
      </c>
      <c r="C944">
        <f>IF($J944="","",INDEX(명단표[이름],$J944))</f>
        <v/>
      </c>
      <c r="D944">
        <f>IF($J944="","",INDEX(명단표[수련과목],$J944))</f>
        <v/>
      </c>
      <c r="E944">
        <f>IF($J944="","",INDEX(명단표[연차],$J944)&amp;"")</f>
        <v/>
      </c>
      <c r="F944">
        <f>IF($J944="","",INDEX(명단표[소속병원],$J944))</f>
        <v/>
      </c>
      <c r="G944">
        <f>IF($J944="","",INDEX(명단표[기준월 근무병원],$J944))</f>
        <v/>
      </c>
      <c r="H944">
        <f>IF($J944="","",INDEX(명단표[급여지급병원(기준월)],$J944))</f>
        <v/>
      </c>
      <c r="I944">
        <f>IF($J944="","",INDEX(명단표[급여 판정 근거],$J944))</f>
        <v/>
      </c>
      <c r="J944" s="17">
        <f>IFERROR(MATCH(940,명단표[명단순번],0),"")</f>
        <v/>
      </c>
    </row>
    <row r="945">
      <c r="A945">
        <f>IF($J945="","",TEXT(급여기준월,"yyyy-mm"))</f>
        <v/>
      </c>
      <c r="B945">
        <f>IF($J945="","",INDEX(명단표[사번],$J945)&amp;"")</f>
        <v/>
      </c>
      <c r="C945">
        <f>IF($J945="","",INDEX(명단표[이름],$J945))</f>
        <v/>
      </c>
      <c r="D945">
        <f>IF($J945="","",INDEX(명단표[수련과목],$J945))</f>
        <v/>
      </c>
      <c r="E945">
        <f>IF($J945="","",INDEX(명단표[연차],$J945)&amp;"")</f>
        <v/>
      </c>
      <c r="F945">
        <f>IF($J945="","",INDEX(명단표[소속병원],$J945))</f>
        <v/>
      </c>
      <c r="G945">
        <f>IF($J945="","",INDEX(명단표[기준월 근무병원],$J945))</f>
        <v/>
      </c>
      <c r="H945">
        <f>IF($J945="","",INDEX(명단표[급여지급병원(기준월)],$J945))</f>
        <v/>
      </c>
      <c r="I945">
        <f>IF($J945="","",INDEX(명단표[급여 판정 근거],$J945))</f>
        <v/>
      </c>
      <c r="J945" s="17">
        <f>IFERROR(MATCH(941,명단표[명단순번],0),"")</f>
        <v/>
      </c>
    </row>
    <row r="946">
      <c r="A946">
        <f>IF($J946="","",TEXT(급여기준월,"yyyy-mm"))</f>
        <v/>
      </c>
      <c r="B946">
        <f>IF($J946="","",INDEX(명단표[사번],$J946)&amp;"")</f>
        <v/>
      </c>
      <c r="C946">
        <f>IF($J946="","",INDEX(명단표[이름],$J946))</f>
        <v/>
      </c>
      <c r="D946">
        <f>IF($J946="","",INDEX(명단표[수련과목],$J946))</f>
        <v/>
      </c>
      <c r="E946">
        <f>IF($J946="","",INDEX(명단표[연차],$J946)&amp;"")</f>
        <v/>
      </c>
      <c r="F946">
        <f>IF($J946="","",INDEX(명단표[소속병원],$J946))</f>
        <v/>
      </c>
      <c r="G946">
        <f>IF($J946="","",INDEX(명단표[기준월 근무병원],$J946))</f>
        <v/>
      </c>
      <c r="H946">
        <f>IF($J946="","",INDEX(명단표[급여지급병원(기준월)],$J946))</f>
        <v/>
      </c>
      <c r="I946">
        <f>IF($J946="","",INDEX(명단표[급여 판정 근거],$J946))</f>
        <v/>
      </c>
      <c r="J946" s="17">
        <f>IFERROR(MATCH(942,명단표[명단순번],0),"")</f>
        <v/>
      </c>
    </row>
    <row r="947">
      <c r="A947">
        <f>IF($J947="","",TEXT(급여기준월,"yyyy-mm"))</f>
        <v/>
      </c>
      <c r="B947">
        <f>IF($J947="","",INDEX(명단표[사번],$J947)&amp;"")</f>
        <v/>
      </c>
      <c r="C947">
        <f>IF($J947="","",INDEX(명단표[이름],$J947))</f>
        <v/>
      </c>
      <c r="D947">
        <f>IF($J947="","",INDEX(명단표[수련과목],$J947))</f>
        <v/>
      </c>
      <c r="E947">
        <f>IF($J947="","",INDEX(명단표[연차],$J947)&amp;"")</f>
        <v/>
      </c>
      <c r="F947">
        <f>IF($J947="","",INDEX(명단표[소속병원],$J947))</f>
        <v/>
      </c>
      <c r="G947">
        <f>IF($J947="","",INDEX(명단표[기준월 근무병원],$J947))</f>
        <v/>
      </c>
      <c r="H947">
        <f>IF($J947="","",INDEX(명단표[급여지급병원(기준월)],$J947))</f>
        <v/>
      </c>
      <c r="I947">
        <f>IF($J947="","",INDEX(명단표[급여 판정 근거],$J947))</f>
        <v/>
      </c>
      <c r="J947" s="17">
        <f>IFERROR(MATCH(943,명단표[명단순번],0),"")</f>
        <v/>
      </c>
    </row>
    <row r="948">
      <c r="A948">
        <f>IF($J948="","",TEXT(급여기준월,"yyyy-mm"))</f>
        <v/>
      </c>
      <c r="B948">
        <f>IF($J948="","",INDEX(명단표[사번],$J948)&amp;"")</f>
        <v/>
      </c>
      <c r="C948">
        <f>IF($J948="","",INDEX(명단표[이름],$J948))</f>
        <v/>
      </c>
      <c r="D948">
        <f>IF($J948="","",INDEX(명단표[수련과목],$J948))</f>
        <v/>
      </c>
      <c r="E948">
        <f>IF($J948="","",INDEX(명단표[연차],$J948)&amp;"")</f>
        <v/>
      </c>
      <c r="F948">
        <f>IF($J948="","",INDEX(명단표[소속병원],$J948))</f>
        <v/>
      </c>
      <c r="G948">
        <f>IF($J948="","",INDEX(명단표[기준월 근무병원],$J948))</f>
        <v/>
      </c>
      <c r="H948">
        <f>IF($J948="","",INDEX(명단표[급여지급병원(기준월)],$J948))</f>
        <v/>
      </c>
      <c r="I948">
        <f>IF($J948="","",INDEX(명단표[급여 판정 근거],$J948))</f>
        <v/>
      </c>
      <c r="J948" s="17">
        <f>IFERROR(MATCH(944,명단표[명단순번],0),"")</f>
        <v/>
      </c>
    </row>
    <row r="949">
      <c r="A949">
        <f>IF($J949="","",TEXT(급여기준월,"yyyy-mm"))</f>
        <v/>
      </c>
      <c r="B949">
        <f>IF($J949="","",INDEX(명단표[사번],$J949)&amp;"")</f>
        <v/>
      </c>
      <c r="C949">
        <f>IF($J949="","",INDEX(명단표[이름],$J949))</f>
        <v/>
      </c>
      <c r="D949">
        <f>IF($J949="","",INDEX(명단표[수련과목],$J949))</f>
        <v/>
      </c>
      <c r="E949">
        <f>IF($J949="","",INDEX(명단표[연차],$J949)&amp;"")</f>
        <v/>
      </c>
      <c r="F949">
        <f>IF($J949="","",INDEX(명단표[소속병원],$J949))</f>
        <v/>
      </c>
      <c r="G949">
        <f>IF($J949="","",INDEX(명단표[기준월 근무병원],$J949))</f>
        <v/>
      </c>
      <c r="H949">
        <f>IF($J949="","",INDEX(명단표[급여지급병원(기준월)],$J949))</f>
        <v/>
      </c>
      <c r="I949">
        <f>IF($J949="","",INDEX(명단표[급여 판정 근거],$J949))</f>
        <v/>
      </c>
      <c r="J949" s="17">
        <f>IFERROR(MATCH(945,명단표[명단순번],0),"")</f>
        <v/>
      </c>
    </row>
    <row r="950">
      <c r="A950">
        <f>IF($J950="","",TEXT(급여기준월,"yyyy-mm"))</f>
        <v/>
      </c>
      <c r="B950">
        <f>IF($J950="","",INDEX(명단표[사번],$J950)&amp;"")</f>
        <v/>
      </c>
      <c r="C950">
        <f>IF($J950="","",INDEX(명단표[이름],$J950))</f>
        <v/>
      </c>
      <c r="D950">
        <f>IF($J950="","",INDEX(명단표[수련과목],$J950))</f>
        <v/>
      </c>
      <c r="E950">
        <f>IF($J950="","",INDEX(명단표[연차],$J950)&amp;"")</f>
        <v/>
      </c>
      <c r="F950">
        <f>IF($J950="","",INDEX(명단표[소속병원],$J950))</f>
        <v/>
      </c>
      <c r="G950">
        <f>IF($J950="","",INDEX(명단표[기준월 근무병원],$J950))</f>
        <v/>
      </c>
      <c r="H950">
        <f>IF($J950="","",INDEX(명단표[급여지급병원(기준월)],$J950))</f>
        <v/>
      </c>
      <c r="I950">
        <f>IF($J950="","",INDEX(명단표[급여 판정 근거],$J950))</f>
        <v/>
      </c>
      <c r="J950" s="17">
        <f>IFERROR(MATCH(946,명단표[명단순번],0),"")</f>
        <v/>
      </c>
    </row>
    <row r="951">
      <c r="A951">
        <f>IF($J951="","",TEXT(급여기준월,"yyyy-mm"))</f>
        <v/>
      </c>
      <c r="B951">
        <f>IF($J951="","",INDEX(명단표[사번],$J951)&amp;"")</f>
        <v/>
      </c>
      <c r="C951">
        <f>IF($J951="","",INDEX(명단표[이름],$J951))</f>
        <v/>
      </c>
      <c r="D951">
        <f>IF($J951="","",INDEX(명단표[수련과목],$J951))</f>
        <v/>
      </c>
      <c r="E951">
        <f>IF($J951="","",INDEX(명단표[연차],$J951)&amp;"")</f>
        <v/>
      </c>
      <c r="F951">
        <f>IF($J951="","",INDEX(명단표[소속병원],$J951))</f>
        <v/>
      </c>
      <c r="G951">
        <f>IF($J951="","",INDEX(명단표[기준월 근무병원],$J951))</f>
        <v/>
      </c>
      <c r="H951">
        <f>IF($J951="","",INDEX(명단표[급여지급병원(기준월)],$J951))</f>
        <v/>
      </c>
      <c r="I951">
        <f>IF($J951="","",INDEX(명단표[급여 판정 근거],$J951))</f>
        <v/>
      </c>
      <c r="J951" s="17">
        <f>IFERROR(MATCH(947,명단표[명단순번],0),"")</f>
        <v/>
      </c>
    </row>
    <row r="952">
      <c r="A952">
        <f>IF($J952="","",TEXT(급여기준월,"yyyy-mm"))</f>
        <v/>
      </c>
      <c r="B952">
        <f>IF($J952="","",INDEX(명단표[사번],$J952)&amp;"")</f>
        <v/>
      </c>
      <c r="C952">
        <f>IF($J952="","",INDEX(명단표[이름],$J952))</f>
        <v/>
      </c>
      <c r="D952">
        <f>IF($J952="","",INDEX(명단표[수련과목],$J952))</f>
        <v/>
      </c>
      <c r="E952">
        <f>IF($J952="","",INDEX(명단표[연차],$J952)&amp;"")</f>
        <v/>
      </c>
      <c r="F952">
        <f>IF($J952="","",INDEX(명단표[소속병원],$J952))</f>
        <v/>
      </c>
      <c r="G952">
        <f>IF($J952="","",INDEX(명단표[기준월 근무병원],$J952))</f>
        <v/>
      </c>
      <c r="H952">
        <f>IF($J952="","",INDEX(명단표[급여지급병원(기준월)],$J952))</f>
        <v/>
      </c>
      <c r="I952">
        <f>IF($J952="","",INDEX(명단표[급여 판정 근거],$J952))</f>
        <v/>
      </c>
      <c r="J952" s="17">
        <f>IFERROR(MATCH(948,명단표[명단순번],0),"")</f>
        <v/>
      </c>
    </row>
    <row r="953">
      <c r="A953">
        <f>IF($J953="","",TEXT(급여기준월,"yyyy-mm"))</f>
        <v/>
      </c>
      <c r="B953">
        <f>IF($J953="","",INDEX(명단표[사번],$J953)&amp;"")</f>
        <v/>
      </c>
      <c r="C953">
        <f>IF($J953="","",INDEX(명단표[이름],$J953))</f>
        <v/>
      </c>
      <c r="D953">
        <f>IF($J953="","",INDEX(명단표[수련과목],$J953))</f>
        <v/>
      </c>
      <c r="E953">
        <f>IF($J953="","",INDEX(명단표[연차],$J953)&amp;"")</f>
        <v/>
      </c>
      <c r="F953">
        <f>IF($J953="","",INDEX(명단표[소속병원],$J953))</f>
        <v/>
      </c>
      <c r="G953">
        <f>IF($J953="","",INDEX(명단표[기준월 근무병원],$J953))</f>
        <v/>
      </c>
      <c r="H953">
        <f>IF($J953="","",INDEX(명단표[급여지급병원(기준월)],$J953))</f>
        <v/>
      </c>
      <c r="I953">
        <f>IF($J953="","",INDEX(명단표[급여 판정 근거],$J953))</f>
        <v/>
      </c>
      <c r="J953" s="17">
        <f>IFERROR(MATCH(949,명단표[명단순번],0),"")</f>
        <v/>
      </c>
    </row>
    <row r="954">
      <c r="A954">
        <f>IF($J954="","",TEXT(급여기준월,"yyyy-mm"))</f>
        <v/>
      </c>
      <c r="B954">
        <f>IF($J954="","",INDEX(명단표[사번],$J954)&amp;"")</f>
        <v/>
      </c>
      <c r="C954">
        <f>IF($J954="","",INDEX(명단표[이름],$J954))</f>
        <v/>
      </c>
      <c r="D954">
        <f>IF($J954="","",INDEX(명단표[수련과목],$J954))</f>
        <v/>
      </c>
      <c r="E954">
        <f>IF($J954="","",INDEX(명단표[연차],$J954)&amp;"")</f>
        <v/>
      </c>
      <c r="F954">
        <f>IF($J954="","",INDEX(명단표[소속병원],$J954))</f>
        <v/>
      </c>
      <c r="G954">
        <f>IF($J954="","",INDEX(명단표[기준월 근무병원],$J954))</f>
        <v/>
      </c>
      <c r="H954">
        <f>IF($J954="","",INDEX(명단표[급여지급병원(기준월)],$J954))</f>
        <v/>
      </c>
      <c r="I954">
        <f>IF($J954="","",INDEX(명단표[급여 판정 근거],$J954))</f>
        <v/>
      </c>
      <c r="J954" s="17">
        <f>IFERROR(MATCH(950,명단표[명단순번],0),"")</f>
        <v/>
      </c>
    </row>
    <row r="955">
      <c r="A955">
        <f>IF($J955="","",TEXT(급여기준월,"yyyy-mm"))</f>
        <v/>
      </c>
      <c r="B955">
        <f>IF($J955="","",INDEX(명단표[사번],$J955)&amp;"")</f>
        <v/>
      </c>
      <c r="C955">
        <f>IF($J955="","",INDEX(명단표[이름],$J955))</f>
        <v/>
      </c>
      <c r="D955">
        <f>IF($J955="","",INDEX(명단표[수련과목],$J955))</f>
        <v/>
      </c>
      <c r="E955">
        <f>IF($J955="","",INDEX(명단표[연차],$J955)&amp;"")</f>
        <v/>
      </c>
      <c r="F955">
        <f>IF($J955="","",INDEX(명단표[소속병원],$J955))</f>
        <v/>
      </c>
      <c r="G955">
        <f>IF($J955="","",INDEX(명단표[기준월 근무병원],$J955))</f>
        <v/>
      </c>
      <c r="H955">
        <f>IF($J955="","",INDEX(명단표[급여지급병원(기준월)],$J955))</f>
        <v/>
      </c>
      <c r="I955">
        <f>IF($J955="","",INDEX(명단표[급여 판정 근거],$J955))</f>
        <v/>
      </c>
      <c r="J955" s="17">
        <f>IFERROR(MATCH(951,명단표[명단순번],0),"")</f>
        <v/>
      </c>
    </row>
    <row r="956">
      <c r="A956">
        <f>IF($J956="","",TEXT(급여기준월,"yyyy-mm"))</f>
        <v/>
      </c>
      <c r="B956">
        <f>IF($J956="","",INDEX(명단표[사번],$J956)&amp;"")</f>
        <v/>
      </c>
      <c r="C956">
        <f>IF($J956="","",INDEX(명단표[이름],$J956))</f>
        <v/>
      </c>
      <c r="D956">
        <f>IF($J956="","",INDEX(명단표[수련과목],$J956))</f>
        <v/>
      </c>
      <c r="E956">
        <f>IF($J956="","",INDEX(명단표[연차],$J956)&amp;"")</f>
        <v/>
      </c>
      <c r="F956">
        <f>IF($J956="","",INDEX(명단표[소속병원],$J956))</f>
        <v/>
      </c>
      <c r="G956">
        <f>IF($J956="","",INDEX(명단표[기준월 근무병원],$J956))</f>
        <v/>
      </c>
      <c r="H956">
        <f>IF($J956="","",INDEX(명단표[급여지급병원(기준월)],$J956))</f>
        <v/>
      </c>
      <c r="I956">
        <f>IF($J956="","",INDEX(명단표[급여 판정 근거],$J956))</f>
        <v/>
      </c>
      <c r="J956" s="17">
        <f>IFERROR(MATCH(952,명단표[명단순번],0),"")</f>
        <v/>
      </c>
    </row>
    <row r="957">
      <c r="A957">
        <f>IF($J957="","",TEXT(급여기준월,"yyyy-mm"))</f>
        <v/>
      </c>
      <c r="B957">
        <f>IF($J957="","",INDEX(명단표[사번],$J957)&amp;"")</f>
        <v/>
      </c>
      <c r="C957">
        <f>IF($J957="","",INDEX(명단표[이름],$J957))</f>
        <v/>
      </c>
      <c r="D957">
        <f>IF($J957="","",INDEX(명단표[수련과목],$J957))</f>
        <v/>
      </c>
      <c r="E957">
        <f>IF($J957="","",INDEX(명단표[연차],$J957)&amp;"")</f>
        <v/>
      </c>
      <c r="F957">
        <f>IF($J957="","",INDEX(명단표[소속병원],$J957))</f>
        <v/>
      </c>
      <c r="G957">
        <f>IF($J957="","",INDEX(명단표[기준월 근무병원],$J957))</f>
        <v/>
      </c>
      <c r="H957">
        <f>IF($J957="","",INDEX(명단표[급여지급병원(기준월)],$J957))</f>
        <v/>
      </c>
      <c r="I957">
        <f>IF($J957="","",INDEX(명단표[급여 판정 근거],$J957))</f>
        <v/>
      </c>
      <c r="J957" s="17">
        <f>IFERROR(MATCH(953,명단표[명단순번],0),"")</f>
        <v/>
      </c>
    </row>
    <row r="958">
      <c r="A958">
        <f>IF($J958="","",TEXT(급여기준월,"yyyy-mm"))</f>
        <v/>
      </c>
      <c r="B958">
        <f>IF($J958="","",INDEX(명단표[사번],$J958)&amp;"")</f>
        <v/>
      </c>
      <c r="C958">
        <f>IF($J958="","",INDEX(명단표[이름],$J958))</f>
        <v/>
      </c>
      <c r="D958">
        <f>IF($J958="","",INDEX(명단표[수련과목],$J958))</f>
        <v/>
      </c>
      <c r="E958">
        <f>IF($J958="","",INDEX(명단표[연차],$J958)&amp;"")</f>
        <v/>
      </c>
      <c r="F958">
        <f>IF($J958="","",INDEX(명단표[소속병원],$J958))</f>
        <v/>
      </c>
      <c r="G958">
        <f>IF($J958="","",INDEX(명단표[기준월 근무병원],$J958))</f>
        <v/>
      </c>
      <c r="H958">
        <f>IF($J958="","",INDEX(명단표[급여지급병원(기준월)],$J958))</f>
        <v/>
      </c>
      <c r="I958">
        <f>IF($J958="","",INDEX(명단표[급여 판정 근거],$J958))</f>
        <v/>
      </c>
      <c r="J958" s="17">
        <f>IFERROR(MATCH(954,명단표[명단순번],0),"")</f>
        <v/>
      </c>
    </row>
    <row r="959">
      <c r="A959">
        <f>IF($J959="","",TEXT(급여기준월,"yyyy-mm"))</f>
        <v/>
      </c>
      <c r="B959">
        <f>IF($J959="","",INDEX(명단표[사번],$J959)&amp;"")</f>
        <v/>
      </c>
      <c r="C959">
        <f>IF($J959="","",INDEX(명단표[이름],$J959))</f>
        <v/>
      </c>
      <c r="D959">
        <f>IF($J959="","",INDEX(명단표[수련과목],$J959))</f>
        <v/>
      </c>
      <c r="E959">
        <f>IF($J959="","",INDEX(명단표[연차],$J959)&amp;"")</f>
        <v/>
      </c>
      <c r="F959">
        <f>IF($J959="","",INDEX(명단표[소속병원],$J959))</f>
        <v/>
      </c>
      <c r="G959">
        <f>IF($J959="","",INDEX(명단표[기준월 근무병원],$J959))</f>
        <v/>
      </c>
      <c r="H959">
        <f>IF($J959="","",INDEX(명단표[급여지급병원(기준월)],$J959))</f>
        <v/>
      </c>
      <c r="I959">
        <f>IF($J959="","",INDEX(명단표[급여 판정 근거],$J959))</f>
        <v/>
      </c>
      <c r="J959" s="17">
        <f>IFERROR(MATCH(955,명단표[명단순번],0),"")</f>
        <v/>
      </c>
    </row>
    <row r="960">
      <c r="A960">
        <f>IF($J960="","",TEXT(급여기준월,"yyyy-mm"))</f>
        <v/>
      </c>
      <c r="B960">
        <f>IF($J960="","",INDEX(명단표[사번],$J960)&amp;"")</f>
        <v/>
      </c>
      <c r="C960">
        <f>IF($J960="","",INDEX(명단표[이름],$J960))</f>
        <v/>
      </c>
      <c r="D960">
        <f>IF($J960="","",INDEX(명단표[수련과목],$J960))</f>
        <v/>
      </c>
      <c r="E960">
        <f>IF($J960="","",INDEX(명단표[연차],$J960)&amp;"")</f>
        <v/>
      </c>
      <c r="F960">
        <f>IF($J960="","",INDEX(명단표[소속병원],$J960))</f>
        <v/>
      </c>
      <c r="G960">
        <f>IF($J960="","",INDEX(명단표[기준월 근무병원],$J960))</f>
        <v/>
      </c>
      <c r="H960">
        <f>IF($J960="","",INDEX(명단표[급여지급병원(기준월)],$J960))</f>
        <v/>
      </c>
      <c r="I960">
        <f>IF($J960="","",INDEX(명단표[급여 판정 근거],$J960))</f>
        <v/>
      </c>
      <c r="J960" s="17">
        <f>IFERROR(MATCH(956,명단표[명단순번],0),"")</f>
        <v/>
      </c>
    </row>
    <row r="961">
      <c r="A961">
        <f>IF($J961="","",TEXT(급여기준월,"yyyy-mm"))</f>
        <v/>
      </c>
      <c r="B961">
        <f>IF($J961="","",INDEX(명단표[사번],$J961)&amp;"")</f>
        <v/>
      </c>
      <c r="C961">
        <f>IF($J961="","",INDEX(명단표[이름],$J961))</f>
        <v/>
      </c>
      <c r="D961">
        <f>IF($J961="","",INDEX(명단표[수련과목],$J961))</f>
        <v/>
      </c>
      <c r="E961">
        <f>IF($J961="","",INDEX(명단표[연차],$J961)&amp;"")</f>
        <v/>
      </c>
      <c r="F961">
        <f>IF($J961="","",INDEX(명단표[소속병원],$J961))</f>
        <v/>
      </c>
      <c r="G961">
        <f>IF($J961="","",INDEX(명단표[기준월 근무병원],$J961))</f>
        <v/>
      </c>
      <c r="H961">
        <f>IF($J961="","",INDEX(명단표[급여지급병원(기준월)],$J961))</f>
        <v/>
      </c>
      <c r="I961">
        <f>IF($J961="","",INDEX(명단표[급여 판정 근거],$J961))</f>
        <v/>
      </c>
      <c r="J961" s="17">
        <f>IFERROR(MATCH(957,명단표[명단순번],0),"")</f>
        <v/>
      </c>
    </row>
    <row r="962">
      <c r="A962">
        <f>IF($J962="","",TEXT(급여기준월,"yyyy-mm"))</f>
        <v/>
      </c>
      <c r="B962">
        <f>IF($J962="","",INDEX(명단표[사번],$J962)&amp;"")</f>
        <v/>
      </c>
      <c r="C962">
        <f>IF($J962="","",INDEX(명단표[이름],$J962))</f>
        <v/>
      </c>
      <c r="D962">
        <f>IF($J962="","",INDEX(명단표[수련과목],$J962))</f>
        <v/>
      </c>
      <c r="E962">
        <f>IF($J962="","",INDEX(명단표[연차],$J962)&amp;"")</f>
        <v/>
      </c>
      <c r="F962">
        <f>IF($J962="","",INDEX(명단표[소속병원],$J962))</f>
        <v/>
      </c>
      <c r="G962">
        <f>IF($J962="","",INDEX(명단표[기준월 근무병원],$J962))</f>
        <v/>
      </c>
      <c r="H962">
        <f>IF($J962="","",INDEX(명단표[급여지급병원(기준월)],$J962))</f>
        <v/>
      </c>
      <c r="I962">
        <f>IF($J962="","",INDEX(명단표[급여 판정 근거],$J962))</f>
        <v/>
      </c>
      <c r="J962" s="17">
        <f>IFERROR(MATCH(958,명단표[명단순번],0),"")</f>
        <v/>
      </c>
    </row>
    <row r="963">
      <c r="A963">
        <f>IF($J963="","",TEXT(급여기준월,"yyyy-mm"))</f>
        <v/>
      </c>
      <c r="B963">
        <f>IF($J963="","",INDEX(명단표[사번],$J963)&amp;"")</f>
        <v/>
      </c>
      <c r="C963">
        <f>IF($J963="","",INDEX(명단표[이름],$J963))</f>
        <v/>
      </c>
      <c r="D963">
        <f>IF($J963="","",INDEX(명단표[수련과목],$J963))</f>
        <v/>
      </c>
      <c r="E963">
        <f>IF($J963="","",INDEX(명단표[연차],$J963)&amp;"")</f>
        <v/>
      </c>
      <c r="F963">
        <f>IF($J963="","",INDEX(명단표[소속병원],$J963))</f>
        <v/>
      </c>
      <c r="G963">
        <f>IF($J963="","",INDEX(명단표[기준월 근무병원],$J963))</f>
        <v/>
      </c>
      <c r="H963">
        <f>IF($J963="","",INDEX(명단표[급여지급병원(기준월)],$J963))</f>
        <v/>
      </c>
      <c r="I963">
        <f>IF($J963="","",INDEX(명단표[급여 판정 근거],$J963))</f>
        <v/>
      </c>
      <c r="J963" s="17">
        <f>IFERROR(MATCH(959,명단표[명단순번],0),"")</f>
        <v/>
      </c>
    </row>
    <row r="964">
      <c r="A964">
        <f>IF($J964="","",TEXT(급여기준월,"yyyy-mm"))</f>
        <v/>
      </c>
      <c r="B964">
        <f>IF($J964="","",INDEX(명단표[사번],$J964)&amp;"")</f>
        <v/>
      </c>
      <c r="C964">
        <f>IF($J964="","",INDEX(명단표[이름],$J964))</f>
        <v/>
      </c>
      <c r="D964">
        <f>IF($J964="","",INDEX(명단표[수련과목],$J964))</f>
        <v/>
      </c>
      <c r="E964">
        <f>IF($J964="","",INDEX(명단표[연차],$J964)&amp;"")</f>
        <v/>
      </c>
      <c r="F964">
        <f>IF($J964="","",INDEX(명단표[소속병원],$J964))</f>
        <v/>
      </c>
      <c r="G964">
        <f>IF($J964="","",INDEX(명단표[기준월 근무병원],$J964))</f>
        <v/>
      </c>
      <c r="H964">
        <f>IF($J964="","",INDEX(명단표[급여지급병원(기준월)],$J964))</f>
        <v/>
      </c>
      <c r="I964">
        <f>IF($J964="","",INDEX(명단표[급여 판정 근거],$J964))</f>
        <v/>
      </c>
      <c r="J964" s="17">
        <f>IFERROR(MATCH(960,명단표[명단순번],0),"")</f>
        <v/>
      </c>
    </row>
    <row r="965">
      <c r="A965">
        <f>IF($J965="","",TEXT(급여기준월,"yyyy-mm"))</f>
        <v/>
      </c>
      <c r="B965">
        <f>IF($J965="","",INDEX(명단표[사번],$J965)&amp;"")</f>
        <v/>
      </c>
      <c r="C965">
        <f>IF($J965="","",INDEX(명단표[이름],$J965))</f>
        <v/>
      </c>
      <c r="D965">
        <f>IF($J965="","",INDEX(명단표[수련과목],$J965))</f>
        <v/>
      </c>
      <c r="E965">
        <f>IF($J965="","",INDEX(명단표[연차],$J965)&amp;"")</f>
        <v/>
      </c>
      <c r="F965">
        <f>IF($J965="","",INDEX(명단표[소속병원],$J965))</f>
        <v/>
      </c>
      <c r="G965">
        <f>IF($J965="","",INDEX(명단표[기준월 근무병원],$J965))</f>
        <v/>
      </c>
      <c r="H965">
        <f>IF($J965="","",INDEX(명단표[급여지급병원(기준월)],$J965))</f>
        <v/>
      </c>
      <c r="I965">
        <f>IF($J965="","",INDEX(명단표[급여 판정 근거],$J965))</f>
        <v/>
      </c>
      <c r="J965" s="17">
        <f>IFERROR(MATCH(961,명단표[명단순번],0),"")</f>
        <v/>
      </c>
    </row>
    <row r="966">
      <c r="A966">
        <f>IF($J966="","",TEXT(급여기준월,"yyyy-mm"))</f>
        <v/>
      </c>
      <c r="B966">
        <f>IF($J966="","",INDEX(명단표[사번],$J966)&amp;"")</f>
        <v/>
      </c>
      <c r="C966">
        <f>IF($J966="","",INDEX(명단표[이름],$J966))</f>
        <v/>
      </c>
      <c r="D966">
        <f>IF($J966="","",INDEX(명단표[수련과목],$J966))</f>
        <v/>
      </c>
      <c r="E966">
        <f>IF($J966="","",INDEX(명단표[연차],$J966)&amp;"")</f>
        <v/>
      </c>
      <c r="F966">
        <f>IF($J966="","",INDEX(명단표[소속병원],$J966))</f>
        <v/>
      </c>
      <c r="G966">
        <f>IF($J966="","",INDEX(명단표[기준월 근무병원],$J966))</f>
        <v/>
      </c>
      <c r="H966">
        <f>IF($J966="","",INDEX(명단표[급여지급병원(기준월)],$J966))</f>
        <v/>
      </c>
      <c r="I966">
        <f>IF($J966="","",INDEX(명단표[급여 판정 근거],$J966))</f>
        <v/>
      </c>
      <c r="J966" s="17">
        <f>IFERROR(MATCH(962,명단표[명단순번],0),"")</f>
        <v/>
      </c>
    </row>
    <row r="967">
      <c r="A967">
        <f>IF($J967="","",TEXT(급여기준월,"yyyy-mm"))</f>
        <v/>
      </c>
      <c r="B967">
        <f>IF($J967="","",INDEX(명단표[사번],$J967)&amp;"")</f>
        <v/>
      </c>
      <c r="C967">
        <f>IF($J967="","",INDEX(명단표[이름],$J967))</f>
        <v/>
      </c>
      <c r="D967">
        <f>IF($J967="","",INDEX(명단표[수련과목],$J967))</f>
        <v/>
      </c>
      <c r="E967">
        <f>IF($J967="","",INDEX(명단표[연차],$J967)&amp;"")</f>
        <v/>
      </c>
      <c r="F967">
        <f>IF($J967="","",INDEX(명단표[소속병원],$J967))</f>
        <v/>
      </c>
      <c r="G967">
        <f>IF($J967="","",INDEX(명단표[기준월 근무병원],$J967))</f>
        <v/>
      </c>
      <c r="H967">
        <f>IF($J967="","",INDEX(명단표[급여지급병원(기준월)],$J967))</f>
        <v/>
      </c>
      <c r="I967">
        <f>IF($J967="","",INDEX(명단표[급여 판정 근거],$J967))</f>
        <v/>
      </c>
      <c r="J967" s="17">
        <f>IFERROR(MATCH(963,명단표[명단순번],0),"")</f>
        <v/>
      </c>
    </row>
    <row r="968">
      <c r="A968">
        <f>IF($J968="","",TEXT(급여기준월,"yyyy-mm"))</f>
        <v/>
      </c>
      <c r="B968">
        <f>IF($J968="","",INDEX(명단표[사번],$J968)&amp;"")</f>
        <v/>
      </c>
      <c r="C968">
        <f>IF($J968="","",INDEX(명단표[이름],$J968))</f>
        <v/>
      </c>
      <c r="D968">
        <f>IF($J968="","",INDEX(명단표[수련과목],$J968))</f>
        <v/>
      </c>
      <c r="E968">
        <f>IF($J968="","",INDEX(명단표[연차],$J968)&amp;"")</f>
        <v/>
      </c>
      <c r="F968">
        <f>IF($J968="","",INDEX(명단표[소속병원],$J968))</f>
        <v/>
      </c>
      <c r="G968">
        <f>IF($J968="","",INDEX(명단표[기준월 근무병원],$J968))</f>
        <v/>
      </c>
      <c r="H968">
        <f>IF($J968="","",INDEX(명단표[급여지급병원(기준월)],$J968))</f>
        <v/>
      </c>
      <c r="I968">
        <f>IF($J968="","",INDEX(명단표[급여 판정 근거],$J968))</f>
        <v/>
      </c>
      <c r="J968" s="17">
        <f>IFERROR(MATCH(964,명단표[명단순번],0),"")</f>
        <v/>
      </c>
    </row>
    <row r="969">
      <c r="A969">
        <f>IF($J969="","",TEXT(급여기준월,"yyyy-mm"))</f>
        <v/>
      </c>
      <c r="B969">
        <f>IF($J969="","",INDEX(명단표[사번],$J969)&amp;"")</f>
        <v/>
      </c>
      <c r="C969">
        <f>IF($J969="","",INDEX(명단표[이름],$J969))</f>
        <v/>
      </c>
      <c r="D969">
        <f>IF($J969="","",INDEX(명단표[수련과목],$J969))</f>
        <v/>
      </c>
      <c r="E969">
        <f>IF($J969="","",INDEX(명단표[연차],$J969)&amp;"")</f>
        <v/>
      </c>
      <c r="F969">
        <f>IF($J969="","",INDEX(명단표[소속병원],$J969))</f>
        <v/>
      </c>
      <c r="G969">
        <f>IF($J969="","",INDEX(명단표[기준월 근무병원],$J969))</f>
        <v/>
      </c>
      <c r="H969">
        <f>IF($J969="","",INDEX(명단표[급여지급병원(기준월)],$J969))</f>
        <v/>
      </c>
      <c r="I969">
        <f>IF($J969="","",INDEX(명단표[급여 판정 근거],$J969))</f>
        <v/>
      </c>
      <c r="J969" s="17">
        <f>IFERROR(MATCH(965,명단표[명단순번],0),"")</f>
        <v/>
      </c>
    </row>
    <row r="970">
      <c r="A970">
        <f>IF($J970="","",TEXT(급여기준월,"yyyy-mm"))</f>
        <v/>
      </c>
      <c r="B970">
        <f>IF($J970="","",INDEX(명단표[사번],$J970)&amp;"")</f>
        <v/>
      </c>
      <c r="C970">
        <f>IF($J970="","",INDEX(명단표[이름],$J970))</f>
        <v/>
      </c>
      <c r="D970">
        <f>IF($J970="","",INDEX(명단표[수련과목],$J970))</f>
        <v/>
      </c>
      <c r="E970">
        <f>IF($J970="","",INDEX(명단표[연차],$J970)&amp;"")</f>
        <v/>
      </c>
      <c r="F970">
        <f>IF($J970="","",INDEX(명단표[소속병원],$J970))</f>
        <v/>
      </c>
      <c r="G970">
        <f>IF($J970="","",INDEX(명단표[기준월 근무병원],$J970))</f>
        <v/>
      </c>
      <c r="H970">
        <f>IF($J970="","",INDEX(명단표[급여지급병원(기준월)],$J970))</f>
        <v/>
      </c>
      <c r="I970">
        <f>IF($J970="","",INDEX(명단표[급여 판정 근거],$J970))</f>
        <v/>
      </c>
      <c r="J970" s="17">
        <f>IFERROR(MATCH(966,명단표[명단순번],0),"")</f>
        <v/>
      </c>
    </row>
    <row r="971">
      <c r="A971">
        <f>IF($J971="","",TEXT(급여기준월,"yyyy-mm"))</f>
        <v/>
      </c>
      <c r="B971">
        <f>IF($J971="","",INDEX(명단표[사번],$J971)&amp;"")</f>
        <v/>
      </c>
      <c r="C971">
        <f>IF($J971="","",INDEX(명단표[이름],$J971))</f>
        <v/>
      </c>
      <c r="D971">
        <f>IF($J971="","",INDEX(명단표[수련과목],$J971))</f>
        <v/>
      </c>
      <c r="E971">
        <f>IF($J971="","",INDEX(명단표[연차],$J971)&amp;"")</f>
        <v/>
      </c>
      <c r="F971">
        <f>IF($J971="","",INDEX(명단표[소속병원],$J971))</f>
        <v/>
      </c>
      <c r="G971">
        <f>IF($J971="","",INDEX(명단표[기준월 근무병원],$J971))</f>
        <v/>
      </c>
      <c r="H971">
        <f>IF($J971="","",INDEX(명단표[급여지급병원(기준월)],$J971))</f>
        <v/>
      </c>
      <c r="I971">
        <f>IF($J971="","",INDEX(명단표[급여 판정 근거],$J971))</f>
        <v/>
      </c>
      <c r="J971" s="17">
        <f>IFERROR(MATCH(967,명단표[명단순번],0),"")</f>
        <v/>
      </c>
    </row>
    <row r="972">
      <c r="A972">
        <f>IF($J972="","",TEXT(급여기준월,"yyyy-mm"))</f>
        <v/>
      </c>
      <c r="B972">
        <f>IF($J972="","",INDEX(명단표[사번],$J972)&amp;"")</f>
        <v/>
      </c>
      <c r="C972">
        <f>IF($J972="","",INDEX(명단표[이름],$J972))</f>
        <v/>
      </c>
      <c r="D972">
        <f>IF($J972="","",INDEX(명단표[수련과목],$J972))</f>
        <v/>
      </c>
      <c r="E972">
        <f>IF($J972="","",INDEX(명단표[연차],$J972)&amp;"")</f>
        <v/>
      </c>
      <c r="F972">
        <f>IF($J972="","",INDEX(명단표[소속병원],$J972))</f>
        <v/>
      </c>
      <c r="G972">
        <f>IF($J972="","",INDEX(명단표[기준월 근무병원],$J972))</f>
        <v/>
      </c>
      <c r="H972">
        <f>IF($J972="","",INDEX(명단표[급여지급병원(기준월)],$J972))</f>
        <v/>
      </c>
      <c r="I972">
        <f>IF($J972="","",INDEX(명단표[급여 판정 근거],$J972))</f>
        <v/>
      </c>
      <c r="J972" s="17">
        <f>IFERROR(MATCH(968,명단표[명단순번],0),"")</f>
        <v/>
      </c>
    </row>
    <row r="973">
      <c r="A973">
        <f>IF($J973="","",TEXT(급여기준월,"yyyy-mm"))</f>
        <v/>
      </c>
      <c r="B973">
        <f>IF($J973="","",INDEX(명단표[사번],$J973)&amp;"")</f>
        <v/>
      </c>
      <c r="C973">
        <f>IF($J973="","",INDEX(명단표[이름],$J973))</f>
        <v/>
      </c>
      <c r="D973">
        <f>IF($J973="","",INDEX(명단표[수련과목],$J973))</f>
        <v/>
      </c>
      <c r="E973">
        <f>IF($J973="","",INDEX(명단표[연차],$J973)&amp;"")</f>
        <v/>
      </c>
      <c r="F973">
        <f>IF($J973="","",INDEX(명단표[소속병원],$J973))</f>
        <v/>
      </c>
      <c r="G973">
        <f>IF($J973="","",INDEX(명단표[기준월 근무병원],$J973))</f>
        <v/>
      </c>
      <c r="H973">
        <f>IF($J973="","",INDEX(명단표[급여지급병원(기준월)],$J973))</f>
        <v/>
      </c>
      <c r="I973">
        <f>IF($J973="","",INDEX(명단표[급여 판정 근거],$J973))</f>
        <v/>
      </c>
      <c r="J973" s="17">
        <f>IFERROR(MATCH(969,명단표[명단순번],0),"")</f>
        <v/>
      </c>
    </row>
    <row r="974">
      <c r="A974">
        <f>IF($J974="","",TEXT(급여기준월,"yyyy-mm"))</f>
        <v/>
      </c>
      <c r="B974">
        <f>IF($J974="","",INDEX(명단표[사번],$J974)&amp;"")</f>
        <v/>
      </c>
      <c r="C974">
        <f>IF($J974="","",INDEX(명단표[이름],$J974))</f>
        <v/>
      </c>
      <c r="D974">
        <f>IF($J974="","",INDEX(명단표[수련과목],$J974))</f>
        <v/>
      </c>
      <c r="E974">
        <f>IF($J974="","",INDEX(명단표[연차],$J974)&amp;"")</f>
        <v/>
      </c>
      <c r="F974">
        <f>IF($J974="","",INDEX(명단표[소속병원],$J974))</f>
        <v/>
      </c>
      <c r="G974">
        <f>IF($J974="","",INDEX(명단표[기준월 근무병원],$J974))</f>
        <v/>
      </c>
      <c r="H974">
        <f>IF($J974="","",INDEX(명단표[급여지급병원(기준월)],$J974))</f>
        <v/>
      </c>
      <c r="I974">
        <f>IF($J974="","",INDEX(명단표[급여 판정 근거],$J974))</f>
        <v/>
      </c>
      <c r="J974" s="17">
        <f>IFERROR(MATCH(970,명단표[명단순번],0),"")</f>
        <v/>
      </c>
    </row>
    <row r="975">
      <c r="A975">
        <f>IF($J975="","",TEXT(급여기준월,"yyyy-mm"))</f>
        <v/>
      </c>
      <c r="B975">
        <f>IF($J975="","",INDEX(명단표[사번],$J975)&amp;"")</f>
        <v/>
      </c>
      <c r="C975">
        <f>IF($J975="","",INDEX(명단표[이름],$J975))</f>
        <v/>
      </c>
      <c r="D975">
        <f>IF($J975="","",INDEX(명단표[수련과목],$J975))</f>
        <v/>
      </c>
      <c r="E975">
        <f>IF($J975="","",INDEX(명단표[연차],$J975)&amp;"")</f>
        <v/>
      </c>
      <c r="F975">
        <f>IF($J975="","",INDEX(명단표[소속병원],$J975))</f>
        <v/>
      </c>
      <c r="G975">
        <f>IF($J975="","",INDEX(명단표[기준월 근무병원],$J975))</f>
        <v/>
      </c>
      <c r="H975">
        <f>IF($J975="","",INDEX(명단표[급여지급병원(기준월)],$J975))</f>
        <v/>
      </c>
      <c r="I975">
        <f>IF($J975="","",INDEX(명단표[급여 판정 근거],$J975))</f>
        <v/>
      </c>
      <c r="J975" s="17">
        <f>IFERROR(MATCH(971,명단표[명단순번],0),"")</f>
        <v/>
      </c>
    </row>
    <row r="976">
      <c r="A976">
        <f>IF($J976="","",TEXT(급여기준월,"yyyy-mm"))</f>
        <v/>
      </c>
      <c r="B976">
        <f>IF($J976="","",INDEX(명단표[사번],$J976)&amp;"")</f>
        <v/>
      </c>
      <c r="C976">
        <f>IF($J976="","",INDEX(명단표[이름],$J976))</f>
        <v/>
      </c>
      <c r="D976">
        <f>IF($J976="","",INDEX(명단표[수련과목],$J976))</f>
        <v/>
      </c>
      <c r="E976">
        <f>IF($J976="","",INDEX(명단표[연차],$J976)&amp;"")</f>
        <v/>
      </c>
      <c r="F976">
        <f>IF($J976="","",INDEX(명단표[소속병원],$J976))</f>
        <v/>
      </c>
      <c r="G976">
        <f>IF($J976="","",INDEX(명단표[기준월 근무병원],$J976))</f>
        <v/>
      </c>
      <c r="H976">
        <f>IF($J976="","",INDEX(명단표[급여지급병원(기준월)],$J976))</f>
        <v/>
      </c>
      <c r="I976">
        <f>IF($J976="","",INDEX(명단표[급여 판정 근거],$J976))</f>
        <v/>
      </c>
      <c r="J976" s="17">
        <f>IFERROR(MATCH(972,명단표[명단순번],0),"")</f>
        <v/>
      </c>
    </row>
    <row r="977">
      <c r="A977">
        <f>IF($J977="","",TEXT(급여기준월,"yyyy-mm"))</f>
        <v/>
      </c>
      <c r="B977">
        <f>IF($J977="","",INDEX(명단표[사번],$J977)&amp;"")</f>
        <v/>
      </c>
      <c r="C977">
        <f>IF($J977="","",INDEX(명단표[이름],$J977))</f>
        <v/>
      </c>
      <c r="D977">
        <f>IF($J977="","",INDEX(명단표[수련과목],$J977))</f>
        <v/>
      </c>
      <c r="E977">
        <f>IF($J977="","",INDEX(명단표[연차],$J977)&amp;"")</f>
        <v/>
      </c>
      <c r="F977">
        <f>IF($J977="","",INDEX(명단표[소속병원],$J977))</f>
        <v/>
      </c>
      <c r="G977">
        <f>IF($J977="","",INDEX(명단표[기준월 근무병원],$J977))</f>
        <v/>
      </c>
      <c r="H977">
        <f>IF($J977="","",INDEX(명단표[급여지급병원(기준월)],$J977))</f>
        <v/>
      </c>
      <c r="I977">
        <f>IF($J977="","",INDEX(명단표[급여 판정 근거],$J977))</f>
        <v/>
      </c>
      <c r="J977" s="17">
        <f>IFERROR(MATCH(973,명단표[명단순번],0),"")</f>
        <v/>
      </c>
    </row>
    <row r="978">
      <c r="A978">
        <f>IF($J978="","",TEXT(급여기준월,"yyyy-mm"))</f>
        <v/>
      </c>
      <c r="B978">
        <f>IF($J978="","",INDEX(명단표[사번],$J978)&amp;"")</f>
        <v/>
      </c>
      <c r="C978">
        <f>IF($J978="","",INDEX(명단표[이름],$J978))</f>
        <v/>
      </c>
      <c r="D978">
        <f>IF($J978="","",INDEX(명단표[수련과목],$J978))</f>
        <v/>
      </c>
      <c r="E978">
        <f>IF($J978="","",INDEX(명단표[연차],$J978)&amp;"")</f>
        <v/>
      </c>
      <c r="F978">
        <f>IF($J978="","",INDEX(명단표[소속병원],$J978))</f>
        <v/>
      </c>
      <c r="G978">
        <f>IF($J978="","",INDEX(명단표[기준월 근무병원],$J978))</f>
        <v/>
      </c>
      <c r="H978">
        <f>IF($J978="","",INDEX(명단표[급여지급병원(기준월)],$J978))</f>
        <v/>
      </c>
      <c r="I978">
        <f>IF($J978="","",INDEX(명단표[급여 판정 근거],$J978))</f>
        <v/>
      </c>
      <c r="J978" s="17">
        <f>IFERROR(MATCH(974,명단표[명단순번],0),"")</f>
        <v/>
      </c>
    </row>
    <row r="979">
      <c r="A979">
        <f>IF($J979="","",TEXT(급여기준월,"yyyy-mm"))</f>
        <v/>
      </c>
      <c r="B979">
        <f>IF($J979="","",INDEX(명단표[사번],$J979)&amp;"")</f>
        <v/>
      </c>
      <c r="C979">
        <f>IF($J979="","",INDEX(명단표[이름],$J979))</f>
        <v/>
      </c>
      <c r="D979">
        <f>IF($J979="","",INDEX(명단표[수련과목],$J979))</f>
        <v/>
      </c>
      <c r="E979">
        <f>IF($J979="","",INDEX(명단표[연차],$J979)&amp;"")</f>
        <v/>
      </c>
      <c r="F979">
        <f>IF($J979="","",INDEX(명단표[소속병원],$J979))</f>
        <v/>
      </c>
      <c r="G979">
        <f>IF($J979="","",INDEX(명단표[기준월 근무병원],$J979))</f>
        <v/>
      </c>
      <c r="H979">
        <f>IF($J979="","",INDEX(명단표[급여지급병원(기준월)],$J979))</f>
        <v/>
      </c>
      <c r="I979">
        <f>IF($J979="","",INDEX(명단표[급여 판정 근거],$J979))</f>
        <v/>
      </c>
      <c r="J979" s="17">
        <f>IFERROR(MATCH(975,명단표[명단순번],0),"")</f>
        <v/>
      </c>
    </row>
    <row r="980">
      <c r="A980">
        <f>IF($J980="","",TEXT(급여기준월,"yyyy-mm"))</f>
        <v/>
      </c>
      <c r="B980">
        <f>IF($J980="","",INDEX(명단표[사번],$J980)&amp;"")</f>
        <v/>
      </c>
      <c r="C980">
        <f>IF($J980="","",INDEX(명단표[이름],$J980))</f>
        <v/>
      </c>
      <c r="D980">
        <f>IF($J980="","",INDEX(명단표[수련과목],$J980))</f>
        <v/>
      </c>
      <c r="E980">
        <f>IF($J980="","",INDEX(명단표[연차],$J980)&amp;"")</f>
        <v/>
      </c>
      <c r="F980">
        <f>IF($J980="","",INDEX(명단표[소속병원],$J980))</f>
        <v/>
      </c>
      <c r="G980">
        <f>IF($J980="","",INDEX(명단표[기준월 근무병원],$J980))</f>
        <v/>
      </c>
      <c r="H980">
        <f>IF($J980="","",INDEX(명단표[급여지급병원(기준월)],$J980))</f>
        <v/>
      </c>
      <c r="I980">
        <f>IF($J980="","",INDEX(명단표[급여 판정 근거],$J980))</f>
        <v/>
      </c>
      <c r="J980" s="17">
        <f>IFERROR(MATCH(976,명단표[명단순번],0),"")</f>
        <v/>
      </c>
    </row>
    <row r="981">
      <c r="A981">
        <f>IF($J981="","",TEXT(급여기준월,"yyyy-mm"))</f>
        <v/>
      </c>
      <c r="B981">
        <f>IF($J981="","",INDEX(명단표[사번],$J981)&amp;"")</f>
        <v/>
      </c>
      <c r="C981">
        <f>IF($J981="","",INDEX(명단표[이름],$J981))</f>
        <v/>
      </c>
      <c r="D981">
        <f>IF($J981="","",INDEX(명단표[수련과목],$J981))</f>
        <v/>
      </c>
      <c r="E981">
        <f>IF($J981="","",INDEX(명단표[연차],$J981)&amp;"")</f>
        <v/>
      </c>
      <c r="F981">
        <f>IF($J981="","",INDEX(명단표[소속병원],$J981))</f>
        <v/>
      </c>
      <c r="G981">
        <f>IF($J981="","",INDEX(명단표[기준월 근무병원],$J981))</f>
        <v/>
      </c>
      <c r="H981">
        <f>IF($J981="","",INDEX(명단표[급여지급병원(기준월)],$J981))</f>
        <v/>
      </c>
      <c r="I981">
        <f>IF($J981="","",INDEX(명단표[급여 판정 근거],$J981))</f>
        <v/>
      </c>
      <c r="J981" s="17">
        <f>IFERROR(MATCH(977,명단표[명단순번],0),"")</f>
        <v/>
      </c>
    </row>
    <row r="982">
      <c r="A982">
        <f>IF($J982="","",TEXT(급여기준월,"yyyy-mm"))</f>
        <v/>
      </c>
      <c r="B982">
        <f>IF($J982="","",INDEX(명단표[사번],$J982)&amp;"")</f>
        <v/>
      </c>
      <c r="C982">
        <f>IF($J982="","",INDEX(명단표[이름],$J982))</f>
        <v/>
      </c>
      <c r="D982">
        <f>IF($J982="","",INDEX(명단표[수련과목],$J982))</f>
        <v/>
      </c>
      <c r="E982">
        <f>IF($J982="","",INDEX(명단표[연차],$J982)&amp;"")</f>
        <v/>
      </c>
      <c r="F982">
        <f>IF($J982="","",INDEX(명단표[소속병원],$J982))</f>
        <v/>
      </c>
      <c r="G982">
        <f>IF($J982="","",INDEX(명단표[기준월 근무병원],$J982))</f>
        <v/>
      </c>
      <c r="H982">
        <f>IF($J982="","",INDEX(명단표[급여지급병원(기준월)],$J982))</f>
        <v/>
      </c>
      <c r="I982">
        <f>IF($J982="","",INDEX(명단표[급여 판정 근거],$J982))</f>
        <v/>
      </c>
      <c r="J982" s="17">
        <f>IFERROR(MATCH(978,명단표[명단순번],0),"")</f>
        <v/>
      </c>
    </row>
    <row r="983">
      <c r="A983">
        <f>IF($J983="","",TEXT(급여기준월,"yyyy-mm"))</f>
        <v/>
      </c>
      <c r="B983">
        <f>IF($J983="","",INDEX(명단표[사번],$J983)&amp;"")</f>
        <v/>
      </c>
      <c r="C983">
        <f>IF($J983="","",INDEX(명단표[이름],$J983))</f>
        <v/>
      </c>
      <c r="D983">
        <f>IF($J983="","",INDEX(명단표[수련과목],$J983))</f>
        <v/>
      </c>
      <c r="E983">
        <f>IF($J983="","",INDEX(명단표[연차],$J983)&amp;"")</f>
        <v/>
      </c>
      <c r="F983">
        <f>IF($J983="","",INDEX(명단표[소속병원],$J983))</f>
        <v/>
      </c>
      <c r="G983">
        <f>IF($J983="","",INDEX(명단표[기준월 근무병원],$J983))</f>
        <v/>
      </c>
      <c r="H983">
        <f>IF($J983="","",INDEX(명단표[급여지급병원(기준월)],$J983))</f>
        <v/>
      </c>
      <c r="I983">
        <f>IF($J983="","",INDEX(명단표[급여 판정 근거],$J983))</f>
        <v/>
      </c>
      <c r="J983" s="17">
        <f>IFERROR(MATCH(979,명단표[명단순번],0),"")</f>
        <v/>
      </c>
    </row>
    <row r="984">
      <c r="A984">
        <f>IF($J984="","",TEXT(급여기준월,"yyyy-mm"))</f>
        <v/>
      </c>
      <c r="B984">
        <f>IF($J984="","",INDEX(명단표[사번],$J984)&amp;"")</f>
        <v/>
      </c>
      <c r="C984">
        <f>IF($J984="","",INDEX(명단표[이름],$J984))</f>
        <v/>
      </c>
      <c r="D984">
        <f>IF($J984="","",INDEX(명단표[수련과목],$J984))</f>
        <v/>
      </c>
      <c r="E984">
        <f>IF($J984="","",INDEX(명단표[연차],$J984)&amp;"")</f>
        <v/>
      </c>
      <c r="F984">
        <f>IF($J984="","",INDEX(명단표[소속병원],$J984))</f>
        <v/>
      </c>
      <c r="G984">
        <f>IF($J984="","",INDEX(명단표[기준월 근무병원],$J984))</f>
        <v/>
      </c>
      <c r="H984">
        <f>IF($J984="","",INDEX(명단표[급여지급병원(기준월)],$J984))</f>
        <v/>
      </c>
      <c r="I984">
        <f>IF($J984="","",INDEX(명단표[급여 판정 근거],$J984))</f>
        <v/>
      </c>
      <c r="J984" s="17">
        <f>IFERROR(MATCH(980,명단표[명단순번],0),"")</f>
        <v/>
      </c>
    </row>
    <row r="985">
      <c r="A985">
        <f>IF($J985="","",TEXT(급여기준월,"yyyy-mm"))</f>
        <v/>
      </c>
      <c r="B985">
        <f>IF($J985="","",INDEX(명단표[사번],$J985)&amp;"")</f>
        <v/>
      </c>
      <c r="C985">
        <f>IF($J985="","",INDEX(명단표[이름],$J985))</f>
        <v/>
      </c>
      <c r="D985">
        <f>IF($J985="","",INDEX(명단표[수련과목],$J985))</f>
        <v/>
      </c>
      <c r="E985">
        <f>IF($J985="","",INDEX(명단표[연차],$J985)&amp;"")</f>
        <v/>
      </c>
      <c r="F985">
        <f>IF($J985="","",INDEX(명단표[소속병원],$J985))</f>
        <v/>
      </c>
      <c r="G985">
        <f>IF($J985="","",INDEX(명단표[기준월 근무병원],$J985))</f>
        <v/>
      </c>
      <c r="H985">
        <f>IF($J985="","",INDEX(명단표[급여지급병원(기준월)],$J985))</f>
        <v/>
      </c>
      <c r="I985">
        <f>IF($J985="","",INDEX(명단표[급여 판정 근거],$J985))</f>
        <v/>
      </c>
      <c r="J985" s="17">
        <f>IFERROR(MATCH(981,명단표[명단순번],0),"")</f>
        <v/>
      </c>
    </row>
    <row r="986">
      <c r="A986">
        <f>IF($J986="","",TEXT(급여기준월,"yyyy-mm"))</f>
        <v/>
      </c>
      <c r="B986">
        <f>IF($J986="","",INDEX(명단표[사번],$J986)&amp;"")</f>
        <v/>
      </c>
      <c r="C986">
        <f>IF($J986="","",INDEX(명단표[이름],$J986))</f>
        <v/>
      </c>
      <c r="D986">
        <f>IF($J986="","",INDEX(명단표[수련과목],$J986))</f>
        <v/>
      </c>
      <c r="E986">
        <f>IF($J986="","",INDEX(명단표[연차],$J986)&amp;"")</f>
        <v/>
      </c>
      <c r="F986">
        <f>IF($J986="","",INDEX(명단표[소속병원],$J986))</f>
        <v/>
      </c>
      <c r="G986">
        <f>IF($J986="","",INDEX(명단표[기준월 근무병원],$J986))</f>
        <v/>
      </c>
      <c r="H986">
        <f>IF($J986="","",INDEX(명단표[급여지급병원(기준월)],$J986))</f>
        <v/>
      </c>
      <c r="I986">
        <f>IF($J986="","",INDEX(명단표[급여 판정 근거],$J986))</f>
        <v/>
      </c>
      <c r="J986" s="17">
        <f>IFERROR(MATCH(982,명단표[명단순번],0),"")</f>
        <v/>
      </c>
    </row>
    <row r="987">
      <c r="A987">
        <f>IF($J987="","",TEXT(급여기준월,"yyyy-mm"))</f>
        <v/>
      </c>
      <c r="B987">
        <f>IF($J987="","",INDEX(명단표[사번],$J987)&amp;"")</f>
        <v/>
      </c>
      <c r="C987">
        <f>IF($J987="","",INDEX(명단표[이름],$J987))</f>
        <v/>
      </c>
      <c r="D987">
        <f>IF($J987="","",INDEX(명단표[수련과목],$J987))</f>
        <v/>
      </c>
      <c r="E987">
        <f>IF($J987="","",INDEX(명단표[연차],$J987)&amp;"")</f>
        <v/>
      </c>
      <c r="F987">
        <f>IF($J987="","",INDEX(명단표[소속병원],$J987))</f>
        <v/>
      </c>
      <c r="G987">
        <f>IF($J987="","",INDEX(명단표[기준월 근무병원],$J987))</f>
        <v/>
      </c>
      <c r="H987">
        <f>IF($J987="","",INDEX(명단표[급여지급병원(기준월)],$J987))</f>
        <v/>
      </c>
      <c r="I987">
        <f>IF($J987="","",INDEX(명단표[급여 판정 근거],$J987))</f>
        <v/>
      </c>
      <c r="J987" s="17">
        <f>IFERROR(MATCH(983,명단표[명단순번],0),"")</f>
        <v/>
      </c>
    </row>
    <row r="988">
      <c r="A988">
        <f>IF($J988="","",TEXT(급여기준월,"yyyy-mm"))</f>
        <v/>
      </c>
      <c r="B988">
        <f>IF($J988="","",INDEX(명단표[사번],$J988)&amp;"")</f>
        <v/>
      </c>
      <c r="C988">
        <f>IF($J988="","",INDEX(명단표[이름],$J988))</f>
        <v/>
      </c>
      <c r="D988">
        <f>IF($J988="","",INDEX(명단표[수련과목],$J988))</f>
        <v/>
      </c>
      <c r="E988">
        <f>IF($J988="","",INDEX(명단표[연차],$J988)&amp;"")</f>
        <v/>
      </c>
      <c r="F988">
        <f>IF($J988="","",INDEX(명단표[소속병원],$J988))</f>
        <v/>
      </c>
      <c r="G988">
        <f>IF($J988="","",INDEX(명단표[기준월 근무병원],$J988))</f>
        <v/>
      </c>
      <c r="H988">
        <f>IF($J988="","",INDEX(명단표[급여지급병원(기준월)],$J988))</f>
        <v/>
      </c>
      <c r="I988">
        <f>IF($J988="","",INDEX(명단표[급여 판정 근거],$J988))</f>
        <v/>
      </c>
      <c r="J988" s="17">
        <f>IFERROR(MATCH(984,명단표[명단순번],0),"")</f>
        <v/>
      </c>
    </row>
    <row r="989">
      <c r="A989">
        <f>IF($J989="","",TEXT(급여기준월,"yyyy-mm"))</f>
        <v/>
      </c>
      <c r="B989">
        <f>IF($J989="","",INDEX(명단표[사번],$J989)&amp;"")</f>
        <v/>
      </c>
      <c r="C989">
        <f>IF($J989="","",INDEX(명단표[이름],$J989))</f>
        <v/>
      </c>
      <c r="D989">
        <f>IF($J989="","",INDEX(명단표[수련과목],$J989))</f>
        <v/>
      </c>
      <c r="E989">
        <f>IF($J989="","",INDEX(명단표[연차],$J989)&amp;"")</f>
        <v/>
      </c>
      <c r="F989">
        <f>IF($J989="","",INDEX(명단표[소속병원],$J989))</f>
        <v/>
      </c>
      <c r="G989">
        <f>IF($J989="","",INDEX(명단표[기준월 근무병원],$J989))</f>
        <v/>
      </c>
      <c r="H989">
        <f>IF($J989="","",INDEX(명단표[급여지급병원(기준월)],$J989))</f>
        <v/>
      </c>
      <c r="I989">
        <f>IF($J989="","",INDEX(명단표[급여 판정 근거],$J989))</f>
        <v/>
      </c>
      <c r="J989" s="17">
        <f>IFERROR(MATCH(985,명단표[명단순번],0),"")</f>
        <v/>
      </c>
    </row>
    <row r="990">
      <c r="A990">
        <f>IF($J990="","",TEXT(급여기준월,"yyyy-mm"))</f>
        <v/>
      </c>
      <c r="B990">
        <f>IF($J990="","",INDEX(명단표[사번],$J990)&amp;"")</f>
        <v/>
      </c>
      <c r="C990">
        <f>IF($J990="","",INDEX(명단표[이름],$J990))</f>
        <v/>
      </c>
      <c r="D990">
        <f>IF($J990="","",INDEX(명단표[수련과목],$J990))</f>
        <v/>
      </c>
      <c r="E990">
        <f>IF($J990="","",INDEX(명단표[연차],$J990)&amp;"")</f>
        <v/>
      </c>
      <c r="F990">
        <f>IF($J990="","",INDEX(명단표[소속병원],$J990))</f>
        <v/>
      </c>
      <c r="G990">
        <f>IF($J990="","",INDEX(명단표[기준월 근무병원],$J990))</f>
        <v/>
      </c>
      <c r="H990">
        <f>IF($J990="","",INDEX(명단표[급여지급병원(기준월)],$J990))</f>
        <v/>
      </c>
      <c r="I990">
        <f>IF($J990="","",INDEX(명단표[급여 판정 근거],$J990))</f>
        <v/>
      </c>
      <c r="J990" s="17">
        <f>IFERROR(MATCH(986,명단표[명단순번],0),"")</f>
        <v/>
      </c>
    </row>
    <row r="991">
      <c r="A991">
        <f>IF($J991="","",TEXT(급여기준월,"yyyy-mm"))</f>
        <v/>
      </c>
      <c r="B991">
        <f>IF($J991="","",INDEX(명단표[사번],$J991)&amp;"")</f>
        <v/>
      </c>
      <c r="C991">
        <f>IF($J991="","",INDEX(명단표[이름],$J991))</f>
        <v/>
      </c>
      <c r="D991">
        <f>IF($J991="","",INDEX(명단표[수련과목],$J991))</f>
        <v/>
      </c>
      <c r="E991">
        <f>IF($J991="","",INDEX(명단표[연차],$J991)&amp;"")</f>
        <v/>
      </c>
      <c r="F991">
        <f>IF($J991="","",INDEX(명단표[소속병원],$J991))</f>
        <v/>
      </c>
      <c r="G991">
        <f>IF($J991="","",INDEX(명단표[기준월 근무병원],$J991))</f>
        <v/>
      </c>
      <c r="H991">
        <f>IF($J991="","",INDEX(명단표[급여지급병원(기준월)],$J991))</f>
        <v/>
      </c>
      <c r="I991">
        <f>IF($J991="","",INDEX(명단표[급여 판정 근거],$J991))</f>
        <v/>
      </c>
      <c r="J991" s="17">
        <f>IFERROR(MATCH(987,명단표[명단순번],0),"")</f>
        <v/>
      </c>
    </row>
    <row r="992">
      <c r="A992">
        <f>IF($J992="","",TEXT(급여기준월,"yyyy-mm"))</f>
        <v/>
      </c>
      <c r="B992">
        <f>IF($J992="","",INDEX(명단표[사번],$J992)&amp;"")</f>
        <v/>
      </c>
      <c r="C992">
        <f>IF($J992="","",INDEX(명단표[이름],$J992))</f>
        <v/>
      </c>
      <c r="D992">
        <f>IF($J992="","",INDEX(명단표[수련과목],$J992))</f>
        <v/>
      </c>
      <c r="E992">
        <f>IF($J992="","",INDEX(명단표[연차],$J992)&amp;"")</f>
        <v/>
      </c>
      <c r="F992">
        <f>IF($J992="","",INDEX(명단표[소속병원],$J992))</f>
        <v/>
      </c>
      <c r="G992">
        <f>IF($J992="","",INDEX(명단표[기준월 근무병원],$J992))</f>
        <v/>
      </c>
      <c r="H992">
        <f>IF($J992="","",INDEX(명단표[급여지급병원(기준월)],$J992))</f>
        <v/>
      </c>
      <c r="I992">
        <f>IF($J992="","",INDEX(명단표[급여 판정 근거],$J992))</f>
        <v/>
      </c>
      <c r="J992" s="17">
        <f>IFERROR(MATCH(988,명단표[명단순번],0),"")</f>
        <v/>
      </c>
    </row>
    <row r="993">
      <c r="A993">
        <f>IF($J993="","",TEXT(급여기준월,"yyyy-mm"))</f>
        <v/>
      </c>
      <c r="B993">
        <f>IF($J993="","",INDEX(명단표[사번],$J993)&amp;"")</f>
        <v/>
      </c>
      <c r="C993">
        <f>IF($J993="","",INDEX(명단표[이름],$J993))</f>
        <v/>
      </c>
      <c r="D993">
        <f>IF($J993="","",INDEX(명단표[수련과목],$J993))</f>
        <v/>
      </c>
      <c r="E993">
        <f>IF($J993="","",INDEX(명단표[연차],$J993)&amp;"")</f>
        <v/>
      </c>
      <c r="F993">
        <f>IF($J993="","",INDEX(명단표[소속병원],$J993))</f>
        <v/>
      </c>
      <c r="G993">
        <f>IF($J993="","",INDEX(명단표[기준월 근무병원],$J993))</f>
        <v/>
      </c>
      <c r="H993">
        <f>IF($J993="","",INDEX(명단표[급여지급병원(기준월)],$J993))</f>
        <v/>
      </c>
      <c r="I993">
        <f>IF($J993="","",INDEX(명단표[급여 판정 근거],$J993))</f>
        <v/>
      </c>
      <c r="J993" s="17">
        <f>IFERROR(MATCH(989,명단표[명단순번],0),"")</f>
        <v/>
      </c>
    </row>
    <row r="994">
      <c r="A994">
        <f>IF($J994="","",TEXT(급여기준월,"yyyy-mm"))</f>
        <v/>
      </c>
      <c r="B994">
        <f>IF($J994="","",INDEX(명단표[사번],$J994)&amp;"")</f>
        <v/>
      </c>
      <c r="C994">
        <f>IF($J994="","",INDEX(명단표[이름],$J994))</f>
        <v/>
      </c>
      <c r="D994">
        <f>IF($J994="","",INDEX(명단표[수련과목],$J994))</f>
        <v/>
      </c>
      <c r="E994">
        <f>IF($J994="","",INDEX(명단표[연차],$J994)&amp;"")</f>
        <v/>
      </c>
      <c r="F994">
        <f>IF($J994="","",INDEX(명단표[소속병원],$J994))</f>
        <v/>
      </c>
      <c r="G994">
        <f>IF($J994="","",INDEX(명단표[기준월 근무병원],$J994))</f>
        <v/>
      </c>
      <c r="H994">
        <f>IF($J994="","",INDEX(명단표[급여지급병원(기준월)],$J994))</f>
        <v/>
      </c>
      <c r="I994">
        <f>IF($J994="","",INDEX(명단표[급여 판정 근거],$J994))</f>
        <v/>
      </c>
      <c r="J994" s="17">
        <f>IFERROR(MATCH(990,명단표[명단순번],0),"")</f>
        <v/>
      </c>
    </row>
    <row r="995">
      <c r="A995">
        <f>IF($J995="","",TEXT(급여기준월,"yyyy-mm"))</f>
        <v/>
      </c>
      <c r="B995">
        <f>IF($J995="","",INDEX(명단표[사번],$J995)&amp;"")</f>
        <v/>
      </c>
      <c r="C995">
        <f>IF($J995="","",INDEX(명단표[이름],$J995))</f>
        <v/>
      </c>
      <c r="D995">
        <f>IF($J995="","",INDEX(명단표[수련과목],$J995))</f>
        <v/>
      </c>
      <c r="E995">
        <f>IF($J995="","",INDEX(명단표[연차],$J995)&amp;"")</f>
        <v/>
      </c>
      <c r="F995">
        <f>IF($J995="","",INDEX(명단표[소속병원],$J995))</f>
        <v/>
      </c>
      <c r="G995">
        <f>IF($J995="","",INDEX(명단표[기준월 근무병원],$J995))</f>
        <v/>
      </c>
      <c r="H995">
        <f>IF($J995="","",INDEX(명단표[급여지급병원(기준월)],$J995))</f>
        <v/>
      </c>
      <c r="I995">
        <f>IF($J995="","",INDEX(명단표[급여 판정 근거],$J995))</f>
        <v/>
      </c>
      <c r="J995" s="17">
        <f>IFERROR(MATCH(991,명단표[명단순번],0),"")</f>
        <v/>
      </c>
    </row>
    <row r="996">
      <c r="A996">
        <f>IF($J996="","",TEXT(급여기준월,"yyyy-mm"))</f>
        <v/>
      </c>
      <c r="B996">
        <f>IF($J996="","",INDEX(명단표[사번],$J996)&amp;"")</f>
        <v/>
      </c>
      <c r="C996">
        <f>IF($J996="","",INDEX(명단표[이름],$J996))</f>
        <v/>
      </c>
      <c r="D996">
        <f>IF($J996="","",INDEX(명단표[수련과목],$J996))</f>
        <v/>
      </c>
      <c r="E996">
        <f>IF($J996="","",INDEX(명단표[연차],$J996)&amp;"")</f>
        <v/>
      </c>
      <c r="F996">
        <f>IF($J996="","",INDEX(명단표[소속병원],$J996))</f>
        <v/>
      </c>
      <c r="G996">
        <f>IF($J996="","",INDEX(명단표[기준월 근무병원],$J996))</f>
        <v/>
      </c>
      <c r="H996">
        <f>IF($J996="","",INDEX(명단표[급여지급병원(기준월)],$J996))</f>
        <v/>
      </c>
      <c r="I996">
        <f>IF($J996="","",INDEX(명단표[급여 판정 근거],$J996))</f>
        <v/>
      </c>
      <c r="J996" s="17">
        <f>IFERROR(MATCH(992,명단표[명단순번],0),"")</f>
        <v/>
      </c>
    </row>
    <row r="997">
      <c r="A997">
        <f>IF($J997="","",TEXT(급여기준월,"yyyy-mm"))</f>
        <v/>
      </c>
      <c r="B997">
        <f>IF($J997="","",INDEX(명단표[사번],$J997)&amp;"")</f>
        <v/>
      </c>
      <c r="C997">
        <f>IF($J997="","",INDEX(명단표[이름],$J997))</f>
        <v/>
      </c>
      <c r="D997">
        <f>IF($J997="","",INDEX(명단표[수련과목],$J997))</f>
        <v/>
      </c>
      <c r="E997">
        <f>IF($J997="","",INDEX(명단표[연차],$J997)&amp;"")</f>
        <v/>
      </c>
      <c r="F997">
        <f>IF($J997="","",INDEX(명단표[소속병원],$J997))</f>
        <v/>
      </c>
      <c r="G997">
        <f>IF($J997="","",INDEX(명단표[기준월 근무병원],$J997))</f>
        <v/>
      </c>
      <c r="H997">
        <f>IF($J997="","",INDEX(명단표[급여지급병원(기준월)],$J997))</f>
        <v/>
      </c>
      <c r="I997">
        <f>IF($J997="","",INDEX(명단표[급여 판정 근거],$J997))</f>
        <v/>
      </c>
      <c r="J997" s="17">
        <f>IFERROR(MATCH(993,명단표[명단순번],0),"")</f>
        <v/>
      </c>
    </row>
    <row r="998">
      <c r="A998">
        <f>IF($J998="","",TEXT(급여기준월,"yyyy-mm"))</f>
        <v/>
      </c>
      <c r="B998">
        <f>IF($J998="","",INDEX(명단표[사번],$J998)&amp;"")</f>
        <v/>
      </c>
      <c r="C998">
        <f>IF($J998="","",INDEX(명단표[이름],$J998))</f>
        <v/>
      </c>
      <c r="D998">
        <f>IF($J998="","",INDEX(명단표[수련과목],$J998))</f>
        <v/>
      </c>
      <c r="E998">
        <f>IF($J998="","",INDEX(명단표[연차],$J998)&amp;"")</f>
        <v/>
      </c>
      <c r="F998">
        <f>IF($J998="","",INDEX(명단표[소속병원],$J998))</f>
        <v/>
      </c>
      <c r="G998">
        <f>IF($J998="","",INDEX(명단표[기준월 근무병원],$J998))</f>
        <v/>
      </c>
      <c r="H998">
        <f>IF($J998="","",INDEX(명단표[급여지급병원(기준월)],$J998))</f>
        <v/>
      </c>
      <c r="I998">
        <f>IF($J998="","",INDEX(명단표[급여 판정 근거],$J998))</f>
        <v/>
      </c>
      <c r="J998" s="17">
        <f>IFERROR(MATCH(994,명단표[명단순번],0),"")</f>
        <v/>
      </c>
    </row>
    <row r="999">
      <c r="A999">
        <f>IF($J999="","",TEXT(급여기준월,"yyyy-mm"))</f>
        <v/>
      </c>
      <c r="B999">
        <f>IF($J999="","",INDEX(명단표[사번],$J999)&amp;"")</f>
        <v/>
      </c>
      <c r="C999">
        <f>IF($J999="","",INDEX(명단표[이름],$J999))</f>
        <v/>
      </c>
      <c r="D999">
        <f>IF($J999="","",INDEX(명단표[수련과목],$J999))</f>
        <v/>
      </c>
      <c r="E999">
        <f>IF($J999="","",INDEX(명단표[연차],$J999)&amp;"")</f>
        <v/>
      </c>
      <c r="F999">
        <f>IF($J999="","",INDEX(명단표[소속병원],$J999))</f>
        <v/>
      </c>
      <c r="G999">
        <f>IF($J999="","",INDEX(명단표[기준월 근무병원],$J999))</f>
        <v/>
      </c>
      <c r="H999">
        <f>IF($J999="","",INDEX(명단표[급여지급병원(기준월)],$J999))</f>
        <v/>
      </c>
      <c r="I999">
        <f>IF($J999="","",INDEX(명단표[급여 판정 근거],$J999))</f>
        <v/>
      </c>
      <c r="J999" s="17">
        <f>IFERROR(MATCH(995,명단표[명단순번],0),"")</f>
        <v/>
      </c>
    </row>
    <row r="1000">
      <c r="A1000">
        <f>IF($J1000="","",TEXT(급여기준월,"yyyy-mm"))</f>
        <v/>
      </c>
      <c r="B1000">
        <f>IF($J1000="","",INDEX(명단표[사번],$J1000)&amp;"")</f>
        <v/>
      </c>
      <c r="C1000">
        <f>IF($J1000="","",INDEX(명단표[이름],$J1000))</f>
        <v/>
      </c>
      <c r="D1000">
        <f>IF($J1000="","",INDEX(명단표[수련과목],$J1000))</f>
        <v/>
      </c>
      <c r="E1000">
        <f>IF($J1000="","",INDEX(명단표[연차],$J1000)&amp;"")</f>
        <v/>
      </c>
      <c r="F1000">
        <f>IF($J1000="","",INDEX(명단표[소속병원],$J1000))</f>
        <v/>
      </c>
      <c r="G1000">
        <f>IF($J1000="","",INDEX(명단표[기준월 근무병원],$J1000))</f>
        <v/>
      </c>
      <c r="H1000">
        <f>IF($J1000="","",INDEX(명단표[급여지급병원(기준월)],$J1000))</f>
        <v/>
      </c>
      <c r="I1000">
        <f>IF($J1000="","",INDEX(명단표[급여 판정 근거],$J1000))</f>
        <v/>
      </c>
      <c r="J1000" s="17">
        <f>IFERROR(MATCH(996,명단표[명단순번],0),"")</f>
        <v/>
      </c>
    </row>
    <row r="1001">
      <c r="A1001">
        <f>IF($J1001="","",TEXT(급여기준월,"yyyy-mm"))</f>
        <v/>
      </c>
      <c r="B1001">
        <f>IF($J1001="","",INDEX(명단표[사번],$J1001)&amp;"")</f>
        <v/>
      </c>
      <c r="C1001">
        <f>IF($J1001="","",INDEX(명단표[이름],$J1001))</f>
        <v/>
      </c>
      <c r="D1001">
        <f>IF($J1001="","",INDEX(명단표[수련과목],$J1001))</f>
        <v/>
      </c>
      <c r="E1001">
        <f>IF($J1001="","",INDEX(명단표[연차],$J1001)&amp;"")</f>
        <v/>
      </c>
      <c r="F1001">
        <f>IF($J1001="","",INDEX(명단표[소속병원],$J1001))</f>
        <v/>
      </c>
      <c r="G1001">
        <f>IF($J1001="","",INDEX(명단표[기준월 근무병원],$J1001))</f>
        <v/>
      </c>
      <c r="H1001">
        <f>IF($J1001="","",INDEX(명단표[급여지급병원(기준월)],$J1001))</f>
        <v/>
      </c>
      <c r="I1001">
        <f>IF($J1001="","",INDEX(명단표[급여 판정 근거],$J1001))</f>
        <v/>
      </c>
      <c r="J1001" s="17">
        <f>IFERROR(MATCH(997,명단표[명단순번],0),"")</f>
        <v/>
      </c>
    </row>
    <row r="1002">
      <c r="A1002">
        <f>IF($J1002="","",TEXT(급여기준월,"yyyy-mm"))</f>
        <v/>
      </c>
      <c r="B1002">
        <f>IF($J1002="","",INDEX(명단표[사번],$J1002)&amp;"")</f>
        <v/>
      </c>
      <c r="C1002">
        <f>IF($J1002="","",INDEX(명단표[이름],$J1002))</f>
        <v/>
      </c>
      <c r="D1002">
        <f>IF($J1002="","",INDEX(명단표[수련과목],$J1002))</f>
        <v/>
      </c>
      <c r="E1002">
        <f>IF($J1002="","",INDEX(명단표[연차],$J1002)&amp;"")</f>
        <v/>
      </c>
      <c r="F1002">
        <f>IF($J1002="","",INDEX(명단표[소속병원],$J1002))</f>
        <v/>
      </c>
      <c r="G1002">
        <f>IF($J1002="","",INDEX(명단표[기준월 근무병원],$J1002))</f>
        <v/>
      </c>
      <c r="H1002">
        <f>IF($J1002="","",INDEX(명단표[급여지급병원(기준월)],$J1002))</f>
        <v/>
      </c>
      <c r="I1002">
        <f>IF($J1002="","",INDEX(명단표[급여 판정 근거],$J1002))</f>
        <v/>
      </c>
      <c r="J1002" s="17">
        <f>IFERROR(MATCH(998,명단표[명단순번],0),"")</f>
        <v/>
      </c>
    </row>
    <row r="1003">
      <c r="A1003">
        <f>IF($J1003="","",TEXT(급여기준월,"yyyy-mm"))</f>
        <v/>
      </c>
      <c r="B1003">
        <f>IF($J1003="","",INDEX(명단표[사번],$J1003)&amp;"")</f>
        <v/>
      </c>
      <c r="C1003">
        <f>IF($J1003="","",INDEX(명단표[이름],$J1003))</f>
        <v/>
      </c>
      <c r="D1003">
        <f>IF($J1003="","",INDEX(명단표[수련과목],$J1003))</f>
        <v/>
      </c>
      <c r="E1003">
        <f>IF($J1003="","",INDEX(명단표[연차],$J1003)&amp;"")</f>
        <v/>
      </c>
      <c r="F1003">
        <f>IF($J1003="","",INDEX(명단표[소속병원],$J1003))</f>
        <v/>
      </c>
      <c r="G1003">
        <f>IF($J1003="","",INDEX(명단표[기준월 근무병원],$J1003))</f>
        <v/>
      </c>
      <c r="H1003">
        <f>IF($J1003="","",INDEX(명단표[급여지급병원(기준월)],$J1003))</f>
        <v/>
      </c>
      <c r="I1003">
        <f>IF($J1003="","",INDEX(명단표[급여 판정 근거],$J1003))</f>
        <v/>
      </c>
      <c r="J1003" s="17">
        <f>IFERROR(MATCH(999,명단표[명단순번],0),"")</f>
        <v/>
      </c>
    </row>
    <row r="1004">
      <c r="A1004">
        <f>IF($J1004="","",TEXT(급여기준월,"yyyy-mm"))</f>
        <v/>
      </c>
      <c r="B1004">
        <f>IF($J1004="","",INDEX(명단표[사번],$J1004)&amp;"")</f>
        <v/>
      </c>
      <c r="C1004">
        <f>IF($J1004="","",INDEX(명단표[이름],$J1004))</f>
        <v/>
      </c>
      <c r="D1004">
        <f>IF($J1004="","",INDEX(명단표[수련과목],$J1004))</f>
        <v/>
      </c>
      <c r="E1004">
        <f>IF($J1004="","",INDEX(명단표[연차],$J1004)&amp;"")</f>
        <v/>
      </c>
      <c r="F1004">
        <f>IF($J1004="","",INDEX(명단표[소속병원],$J1004))</f>
        <v/>
      </c>
      <c r="G1004">
        <f>IF($J1004="","",INDEX(명단표[기준월 근무병원],$J1004))</f>
        <v/>
      </c>
      <c r="H1004">
        <f>IF($J1004="","",INDEX(명단표[급여지급병원(기준월)],$J1004))</f>
        <v/>
      </c>
      <c r="I1004">
        <f>IF($J1004="","",INDEX(명단표[급여 판정 근거],$J1004))</f>
        <v/>
      </c>
      <c r="J1004" s="17">
        <f>IFERROR(MATCH(1000,명단표[명단순번],0),"")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3" customWidth="1" min="4" max="4"/>
    <col width="12" customWidth="1" min="5" max="5"/>
    <col width="3" customWidth="1" min="6" max="6"/>
    <col width="3" customWidth="1" min="7" max="7"/>
    <col width="3" customWidth="1" min="8" max="8"/>
    <col width="16" customWidth="1" min="9" max="9"/>
    <col width="18" customWidth="1" min="10" max="10"/>
    <col width="3" customWidth="1" min="11" max="11"/>
    <col width="16" customWidth="1" min="12" max="12"/>
    <col width="12" customWidth="1" min="13" max="13"/>
    <col width="3" customWidth="1" min="14" max="14"/>
    <col width="26" customWidth="1" min="15" max="15"/>
    <col width="14" customWidth="1" min="16" max="16"/>
  </cols>
  <sheetData>
    <row r="1">
      <c r="A1" s="4" t="inlineStr">
        <is>
          <t>병원</t>
        </is>
      </c>
      <c r="C1" s="4" t="inlineStr">
        <is>
          <t>근무과</t>
        </is>
      </c>
      <c r="E1" s="4" t="inlineStr">
        <is>
          <t>인턴 구분</t>
        </is>
      </c>
      <c r="I1" s="4" t="inlineStr">
        <is>
          <t>약칭</t>
        </is>
      </c>
      <c r="J1" s="4" t="inlineStr">
        <is>
          <t>정식 명칭</t>
        </is>
      </c>
      <c r="L1" s="4" t="inlineStr">
        <is>
          <t>표기</t>
        </is>
      </c>
      <c r="M1" s="4" t="inlineStr">
        <is>
          <t>정식 병원</t>
        </is>
      </c>
      <c r="O1" s="2" t="inlineStr">
        <is>
          <t>※ 모든 목록은 엑셀 '표'입니다. 표 바로 아래 행에 입력하면 자동으로 목록이 늘어나고 드롭다운·판정에 바로 반영됩니다.</t>
        </is>
      </c>
    </row>
    <row r="2">
      <c r="A2" s="6" t="inlineStr">
        <is>
          <t>서울병원</t>
        </is>
      </c>
      <c r="C2" s="6" t="inlineStr">
        <is>
          <t>내과</t>
        </is>
      </c>
      <c r="E2" s="6" t="inlineStr">
        <is>
          <t>통합</t>
        </is>
      </c>
      <c r="I2" s="6" t="inlineStr">
        <is>
          <t>내과</t>
        </is>
      </c>
      <c r="J2" s="6" t="inlineStr">
        <is>
          <t>내과</t>
        </is>
      </c>
      <c r="L2" s="6" t="inlineStr">
        <is>
          <t>서울병원</t>
        </is>
      </c>
      <c r="M2" s="6" t="inlineStr">
        <is>
          <t>서울병원</t>
        </is>
      </c>
      <c r="O2" s="2" t="inlineStr">
        <is>
          <t>※ 병원약칭표(L~M): 인턴근무계획의 지역 단어와 기본자료의 근무지를 정식 병원으로 바꿉니다. 실제 기관명은 여기에 추가하세요.</t>
        </is>
      </c>
    </row>
    <row r="3">
      <c r="A3" s="6" t="inlineStr">
        <is>
          <t>인천병원</t>
        </is>
      </c>
      <c r="C3" s="6" t="inlineStr">
        <is>
          <t>소아청소년과</t>
        </is>
      </c>
      <c r="E3" s="6" t="inlineStr">
        <is>
          <t>핵/방</t>
        </is>
      </c>
      <c r="I3" s="6" t="inlineStr">
        <is>
          <t>소아청소년과</t>
        </is>
      </c>
      <c r="J3" s="6" t="inlineStr">
        <is>
          <t>소아청소년과</t>
        </is>
      </c>
      <c r="L3" s="6" t="inlineStr">
        <is>
          <t>인천병원</t>
        </is>
      </c>
      <c r="M3" s="6" t="inlineStr">
        <is>
          <t>인천병원</t>
        </is>
      </c>
      <c r="O3" s="2" t="inlineStr">
        <is>
          <t>※ 과약칭표(I~J): 인턴근무계획 월 칸의 마지막 단어(진료과 약칭)를 정식 명칭으로 바꿉니다.</t>
        </is>
      </c>
    </row>
    <row r="4">
      <c r="A4" s="6" t="inlineStr">
        <is>
          <t>구리병원</t>
        </is>
      </c>
      <c r="C4" s="6" t="inlineStr">
        <is>
          <t>신경과</t>
        </is>
      </c>
      <c r="E4" s="6" t="inlineStr">
        <is>
          <t>직/피</t>
        </is>
      </c>
      <c r="I4" s="6" t="inlineStr">
        <is>
          <t>신경과</t>
        </is>
      </c>
      <c r="J4" s="6" t="inlineStr">
        <is>
          <t>신경과</t>
        </is>
      </c>
      <c r="L4" s="6" t="inlineStr">
        <is>
          <t>구리병원</t>
        </is>
      </c>
      <c r="M4" s="6" t="inlineStr">
        <is>
          <t>구리병원</t>
        </is>
      </c>
      <c r="O4" s="2" t="inlineStr">
        <is>
          <t>※ 인턴구분표(E): 통합(과 미지정), 핵/방, 직/피, 정/영처럼 인턴 순환에만 쓰는 구분입니다.</t>
        </is>
      </c>
    </row>
    <row r="5">
      <c r="A5" s="6" t="inlineStr">
        <is>
          <t>창원병원</t>
        </is>
      </c>
      <c r="C5" s="6" t="inlineStr">
        <is>
          <t>정신건강의학과</t>
        </is>
      </c>
      <c r="E5" s="6" t="inlineStr">
        <is>
          <t>정/영</t>
        </is>
      </c>
      <c r="I5" s="6" t="inlineStr">
        <is>
          <t>정신건강의학과</t>
        </is>
      </c>
      <c r="J5" s="6" t="inlineStr">
        <is>
          <t>정신건강의학과</t>
        </is>
      </c>
      <c r="L5" s="6" t="inlineStr">
        <is>
          <t>창원병원</t>
        </is>
      </c>
      <c r="M5" s="6" t="inlineStr">
        <is>
          <t>창원병원</t>
        </is>
      </c>
    </row>
    <row r="6">
      <c r="A6" s="6" t="inlineStr">
        <is>
          <t>제주병원</t>
        </is>
      </c>
      <c r="C6" s="6" t="inlineStr">
        <is>
          <t>피부과</t>
        </is>
      </c>
      <c r="I6" s="6" t="inlineStr">
        <is>
          <t>피부과</t>
        </is>
      </c>
      <c r="J6" s="6" t="inlineStr">
        <is>
          <t>피부과</t>
        </is>
      </c>
      <c r="L6" s="6" t="inlineStr">
        <is>
          <t>제주병원</t>
        </is>
      </c>
      <c r="M6" s="6" t="inlineStr">
        <is>
          <t>제주병원</t>
        </is>
      </c>
    </row>
    <row r="7">
      <c r="A7" s="6" t="inlineStr">
        <is>
          <t>오산병원</t>
        </is>
      </c>
      <c r="C7" s="6" t="inlineStr">
        <is>
          <t>외과</t>
        </is>
      </c>
      <c r="I7" s="6" t="inlineStr">
        <is>
          <t>외과</t>
        </is>
      </c>
      <c r="J7" s="6" t="inlineStr">
        <is>
          <t>외과</t>
        </is>
      </c>
      <c r="L7" s="6" t="inlineStr">
        <is>
          <t>오산병원</t>
        </is>
      </c>
      <c r="M7" s="6" t="inlineStr">
        <is>
          <t>오산병원</t>
        </is>
      </c>
    </row>
    <row r="8">
      <c r="C8" s="6" t="inlineStr">
        <is>
          <t>심장혈관흉부외과</t>
        </is>
      </c>
      <c r="I8" s="6" t="inlineStr">
        <is>
          <t>심장혈관흉부외과</t>
        </is>
      </c>
      <c r="J8" s="6" t="inlineStr">
        <is>
          <t>심장혈관흉부외과</t>
        </is>
      </c>
      <c r="L8" s="6" t="inlineStr">
        <is>
          <t>서울</t>
        </is>
      </c>
      <c r="M8" s="6" t="inlineStr">
        <is>
          <t>서울병원</t>
        </is>
      </c>
      <c r="O8" s="4" t="inlineStr">
        <is>
          <t>설정값 (노란 칸만 수정)</t>
        </is>
      </c>
      <c r="P8" s="4" t="inlineStr">
        <is>
          <t>값</t>
        </is>
      </c>
    </row>
    <row r="9">
      <c r="C9" s="6" t="inlineStr">
        <is>
          <t>정형외과</t>
        </is>
      </c>
      <c r="I9" s="6" t="inlineStr">
        <is>
          <t>정형외과</t>
        </is>
      </c>
      <c r="J9" s="6" t="inlineStr">
        <is>
          <t>정형외과</t>
        </is>
      </c>
      <c r="L9" s="6" t="inlineStr">
        <is>
          <t>인천</t>
        </is>
      </c>
      <c r="M9" s="6" t="inlineStr">
        <is>
          <t>인천병원</t>
        </is>
      </c>
      <c r="O9" s="29" t="inlineStr">
        <is>
          <t>급여 기준월(1일)</t>
        </is>
      </c>
      <c r="P9" s="31">
        <f>DATE(YEAR(TODAY()),MONTH(TODAY()),1)</f>
        <v/>
      </c>
    </row>
    <row r="10">
      <c r="C10" s="6" t="inlineStr">
        <is>
          <t>신경외과</t>
        </is>
      </c>
      <c r="I10" s="6" t="inlineStr">
        <is>
          <t>신경외과</t>
        </is>
      </c>
      <c r="J10" s="6" t="inlineStr">
        <is>
          <t>신경외과</t>
        </is>
      </c>
      <c r="L10" s="6" t="inlineStr">
        <is>
          <t>구리</t>
        </is>
      </c>
      <c r="M10" s="6" t="inlineStr">
        <is>
          <t>구리병원</t>
        </is>
      </c>
      <c r="O10" s="29" t="inlineStr">
        <is>
          <t>서울·구리 15일 기준(일)</t>
        </is>
      </c>
      <c r="P10" s="32" t="n">
        <v>15</v>
      </c>
    </row>
    <row r="11">
      <c r="C11" s="6" t="inlineStr">
        <is>
          <t>성형외과</t>
        </is>
      </c>
      <c r="I11" s="6" t="inlineStr">
        <is>
          <t>성형외과</t>
        </is>
      </c>
      <c r="J11" s="6" t="inlineStr">
        <is>
          <t>성형외과</t>
        </is>
      </c>
      <c r="L11" s="6" t="inlineStr">
        <is>
          <t>창원</t>
        </is>
      </c>
      <c r="M11" s="6" t="inlineStr">
        <is>
          <t>창원병원</t>
        </is>
      </c>
      <c r="O11" t="inlineStr">
        <is>
          <t>※ 급여 기준월: 다른 달을 보려면 그 달 1일 날짜를 입력(기본 수식 = 이번 달 1일).</t>
        </is>
      </c>
    </row>
    <row r="12">
      <c r="C12" s="6" t="inlineStr">
        <is>
          <t>산부인과</t>
        </is>
      </c>
      <c r="I12" s="6" t="inlineStr">
        <is>
          <t>산부인과</t>
        </is>
      </c>
      <c r="J12" s="6" t="inlineStr">
        <is>
          <t>산부인과</t>
        </is>
      </c>
      <c r="L12" s="6" t="inlineStr">
        <is>
          <t>제주</t>
        </is>
      </c>
      <c r="M12" s="6" t="inlineStr">
        <is>
          <t>제주병원</t>
        </is>
      </c>
      <c r="O12" s="17" t="n"/>
    </row>
    <row r="13">
      <c r="C13" s="6" t="inlineStr">
        <is>
          <t>안과</t>
        </is>
      </c>
      <c r="I13" s="6" t="inlineStr">
        <is>
          <t>안과</t>
        </is>
      </c>
      <c r="J13" s="6" t="inlineStr">
        <is>
          <t>안과</t>
        </is>
      </c>
      <c r="L13" s="6" t="inlineStr">
        <is>
          <t>오산</t>
        </is>
      </c>
      <c r="M13" s="6" t="inlineStr">
        <is>
          <t>오산병원</t>
        </is>
      </c>
    </row>
    <row r="14">
      <c r="C14" s="6" t="inlineStr">
        <is>
          <t>이비인후과</t>
        </is>
      </c>
      <c r="I14" s="6" t="inlineStr">
        <is>
          <t>이비인후과</t>
        </is>
      </c>
      <c r="J14" s="6" t="inlineStr">
        <is>
          <t>이비인후과</t>
        </is>
      </c>
      <c r="L14" s="6" t="inlineStr">
        <is>
          <t>한양대학교병원</t>
        </is>
      </c>
      <c r="M14" s="6" t="inlineStr">
        <is>
          <t>서울병원</t>
        </is>
      </c>
    </row>
    <row r="15">
      <c r="C15" s="6" t="inlineStr">
        <is>
          <t>비뇨의학과</t>
        </is>
      </c>
      <c r="I15" s="6" t="inlineStr">
        <is>
          <t>비뇨의학과</t>
        </is>
      </c>
      <c r="J15" s="6" t="inlineStr">
        <is>
          <t>비뇨의학과</t>
        </is>
      </c>
      <c r="L15" s="6" t="inlineStr">
        <is>
          <t>한양대병원</t>
        </is>
      </c>
      <c r="M15" s="6" t="inlineStr">
        <is>
          <t>서울병원</t>
        </is>
      </c>
    </row>
    <row r="16">
      <c r="C16" s="6" t="inlineStr">
        <is>
          <t>재활의학과</t>
        </is>
      </c>
      <c r="I16" s="6" t="inlineStr">
        <is>
          <t>재활의학과</t>
        </is>
      </c>
      <c r="J16" s="6" t="inlineStr">
        <is>
          <t>재활의학과</t>
        </is>
      </c>
      <c r="L16" s="6" t="inlineStr">
        <is>
          <t>한양대서울병원</t>
        </is>
      </c>
      <c r="M16" s="6" t="inlineStr">
        <is>
          <t>서울병원</t>
        </is>
      </c>
    </row>
    <row r="17">
      <c r="C17" s="6" t="inlineStr">
        <is>
          <t>마취통증의학과</t>
        </is>
      </c>
      <c r="I17" s="6" t="inlineStr">
        <is>
          <t>마취통증의학과</t>
        </is>
      </c>
      <c r="J17" s="6" t="inlineStr">
        <is>
          <t>마취통증의학과</t>
        </is>
      </c>
      <c r="L17" s="6" t="inlineStr">
        <is>
          <t>한양대구리병원</t>
        </is>
      </c>
      <c r="M17" s="6" t="inlineStr">
        <is>
          <t>구리병원</t>
        </is>
      </c>
    </row>
    <row r="18">
      <c r="C18" s="6" t="inlineStr">
        <is>
          <t>영상의학과</t>
        </is>
      </c>
      <c r="I18" s="6" t="inlineStr">
        <is>
          <t>영상의학과</t>
        </is>
      </c>
      <c r="J18" s="6" t="inlineStr">
        <is>
          <t>영상의학과</t>
        </is>
      </c>
      <c r="L18" s="6" t="inlineStr">
        <is>
          <t>에스중앙병원</t>
        </is>
      </c>
      <c r="M18" s="6" t="inlineStr">
        <is>
          <t>제주병원</t>
        </is>
      </c>
    </row>
    <row r="19">
      <c r="C19" s="6" t="inlineStr">
        <is>
          <t>진단검사의학과</t>
        </is>
      </c>
      <c r="I19" s="6" t="inlineStr">
        <is>
          <t>진단검사의학과</t>
        </is>
      </c>
      <c r="J19" s="6" t="inlineStr">
        <is>
          <t>진단검사의학과</t>
        </is>
      </c>
      <c r="L19" s="6" t="inlineStr">
        <is>
          <t>에스중앙</t>
        </is>
      </c>
      <c r="M19" s="6" t="inlineStr">
        <is>
          <t>제주병원</t>
        </is>
      </c>
    </row>
    <row r="20">
      <c r="C20" s="6" t="inlineStr">
        <is>
          <t>병리과</t>
        </is>
      </c>
      <c r="I20" s="6" t="inlineStr">
        <is>
          <t>병리과</t>
        </is>
      </c>
      <c r="J20" s="6" t="inlineStr">
        <is>
          <t>병리과</t>
        </is>
      </c>
    </row>
    <row r="21">
      <c r="C21" s="6" t="inlineStr">
        <is>
          <t>가정의학과</t>
        </is>
      </c>
      <c r="I21" s="6" t="inlineStr">
        <is>
          <t>가정의학과</t>
        </is>
      </c>
      <c r="J21" s="6" t="inlineStr">
        <is>
          <t>가정의학과</t>
        </is>
      </c>
    </row>
    <row r="22">
      <c r="C22" s="6" t="inlineStr">
        <is>
          <t>응급의학과</t>
        </is>
      </c>
      <c r="I22" s="6" t="inlineStr">
        <is>
          <t>응급의학과</t>
        </is>
      </c>
      <c r="J22" s="6" t="inlineStr">
        <is>
          <t>응급의학과</t>
        </is>
      </c>
    </row>
    <row r="23">
      <c r="C23" s="6" t="inlineStr">
        <is>
          <t>핵의학과</t>
        </is>
      </c>
      <c r="I23" s="6" t="inlineStr">
        <is>
          <t>핵의학과</t>
        </is>
      </c>
      <c r="J23" s="6" t="inlineStr">
        <is>
          <t>핵의학과</t>
        </is>
      </c>
    </row>
    <row r="24">
      <c r="C24" s="6" t="inlineStr">
        <is>
          <t>직업환경의학과</t>
        </is>
      </c>
      <c r="I24" s="6" t="inlineStr">
        <is>
          <t>직업환경의학과</t>
        </is>
      </c>
      <c r="J24" s="6" t="inlineStr">
        <is>
          <t>직업환경의학과</t>
        </is>
      </c>
    </row>
    <row r="25">
      <c r="C25" s="6" t="inlineStr">
        <is>
          <t>수련교육부(인턴)</t>
        </is>
      </c>
      <c r="I25" s="6" t="inlineStr">
        <is>
          <t>수련교육부(인턴)</t>
        </is>
      </c>
      <c r="J25" s="6" t="inlineStr">
        <is>
          <t>수련교육부(인턴)</t>
        </is>
      </c>
    </row>
    <row r="26">
      <c r="I26" s="6" t="inlineStr">
        <is>
          <t>소아과</t>
        </is>
      </c>
      <c r="J26" s="6" t="inlineStr">
        <is>
          <t>소아청소년과</t>
        </is>
      </c>
    </row>
    <row r="27">
      <c r="I27" s="6" t="inlineStr">
        <is>
          <t>소아</t>
        </is>
      </c>
      <c r="J27" s="6" t="inlineStr">
        <is>
          <t>소아청소년과</t>
        </is>
      </c>
    </row>
    <row r="28">
      <c r="I28" s="6" t="inlineStr">
        <is>
          <t>소청</t>
        </is>
      </c>
      <c r="J28" s="6" t="inlineStr">
        <is>
          <t>소아청소년과</t>
        </is>
      </c>
    </row>
    <row r="29">
      <c r="I29" s="6" t="inlineStr">
        <is>
          <t>소청과</t>
        </is>
      </c>
      <c r="J29" s="6" t="inlineStr">
        <is>
          <t>소아청소년과</t>
        </is>
      </c>
    </row>
    <row r="30">
      <c r="I30" s="6" t="inlineStr">
        <is>
          <t>정신과</t>
        </is>
      </c>
      <c r="J30" s="6" t="inlineStr">
        <is>
          <t>정신건강의학과</t>
        </is>
      </c>
    </row>
    <row r="31">
      <c r="I31" s="6" t="inlineStr">
        <is>
          <t>정신</t>
        </is>
      </c>
      <c r="J31" s="6" t="inlineStr">
        <is>
          <t>정신건강의학과</t>
        </is>
      </c>
    </row>
    <row r="32">
      <c r="I32" s="6" t="inlineStr">
        <is>
          <t>흉부외과</t>
        </is>
      </c>
      <c r="J32" s="6" t="inlineStr">
        <is>
          <t>심장혈관흉부외과</t>
        </is>
      </c>
    </row>
    <row r="33">
      <c r="I33" s="6" t="inlineStr">
        <is>
          <t>흉외</t>
        </is>
      </c>
      <c r="J33" s="6" t="inlineStr">
        <is>
          <t>심장혈관흉부외과</t>
        </is>
      </c>
    </row>
    <row r="34">
      <c r="I34" s="6" t="inlineStr">
        <is>
          <t>심장혈관흉부</t>
        </is>
      </c>
      <c r="J34" s="6" t="inlineStr">
        <is>
          <t>심장혈관흉부외과</t>
        </is>
      </c>
    </row>
    <row r="35">
      <c r="I35" s="6" t="inlineStr">
        <is>
          <t>정형</t>
        </is>
      </c>
      <c r="J35" s="6" t="inlineStr">
        <is>
          <t>정형외과</t>
        </is>
      </c>
    </row>
    <row r="36">
      <c r="I36" s="6" t="inlineStr">
        <is>
          <t>신외</t>
        </is>
      </c>
      <c r="J36" s="6" t="inlineStr">
        <is>
          <t>신경외과</t>
        </is>
      </c>
    </row>
    <row r="37">
      <c r="I37" s="6" t="inlineStr">
        <is>
          <t>성형</t>
        </is>
      </c>
      <c r="J37" s="6" t="inlineStr">
        <is>
          <t>성형외과</t>
        </is>
      </c>
    </row>
    <row r="38">
      <c r="I38" s="6" t="inlineStr">
        <is>
          <t>산부</t>
        </is>
      </c>
      <c r="J38" s="6" t="inlineStr">
        <is>
          <t>산부인과</t>
        </is>
      </c>
    </row>
    <row r="39">
      <c r="I39" s="6" t="inlineStr">
        <is>
          <t>이비</t>
        </is>
      </c>
      <c r="J39" s="6" t="inlineStr">
        <is>
          <t>이비인후과</t>
        </is>
      </c>
    </row>
    <row r="40">
      <c r="I40" s="6" t="inlineStr">
        <is>
          <t>이비인후</t>
        </is>
      </c>
      <c r="J40" s="6" t="inlineStr">
        <is>
          <t>이비인후과</t>
        </is>
      </c>
    </row>
    <row r="41">
      <c r="I41" s="6" t="inlineStr">
        <is>
          <t>비뇨</t>
        </is>
      </c>
      <c r="J41" s="6" t="inlineStr">
        <is>
          <t>비뇨의학과</t>
        </is>
      </c>
    </row>
    <row r="42">
      <c r="I42" s="6" t="inlineStr">
        <is>
          <t>비뇨기과</t>
        </is>
      </c>
      <c r="J42" s="6" t="inlineStr">
        <is>
          <t>비뇨의학과</t>
        </is>
      </c>
    </row>
    <row r="43">
      <c r="I43" s="6" t="inlineStr">
        <is>
          <t>재활</t>
        </is>
      </c>
      <c r="J43" s="6" t="inlineStr">
        <is>
          <t>재활의학과</t>
        </is>
      </c>
    </row>
    <row r="44">
      <c r="I44" s="6" t="inlineStr">
        <is>
          <t>마취</t>
        </is>
      </c>
      <c r="J44" s="6" t="inlineStr">
        <is>
          <t>마취통증의학과</t>
        </is>
      </c>
    </row>
    <row r="45">
      <c r="I45" s="6" t="inlineStr">
        <is>
          <t>마통</t>
        </is>
      </c>
      <c r="J45" s="6" t="inlineStr">
        <is>
          <t>마취통증의학과</t>
        </is>
      </c>
    </row>
    <row r="46">
      <c r="I46" s="6" t="inlineStr">
        <is>
          <t>영상</t>
        </is>
      </c>
      <c r="J46" s="6" t="inlineStr">
        <is>
          <t>영상의학과</t>
        </is>
      </c>
    </row>
    <row r="47">
      <c r="I47" s="6" t="inlineStr">
        <is>
          <t>진검</t>
        </is>
      </c>
      <c r="J47" s="6" t="inlineStr">
        <is>
          <t>진단검사의학과</t>
        </is>
      </c>
    </row>
    <row r="48">
      <c r="I48" s="6" t="inlineStr">
        <is>
          <t>진단검사</t>
        </is>
      </c>
      <c r="J48" s="6" t="inlineStr">
        <is>
          <t>진단검사의학과</t>
        </is>
      </c>
    </row>
    <row r="49">
      <c r="I49" s="6" t="inlineStr">
        <is>
          <t>병리</t>
        </is>
      </c>
      <c r="J49" s="6" t="inlineStr">
        <is>
          <t>병리과</t>
        </is>
      </c>
    </row>
    <row r="50">
      <c r="I50" s="6" t="inlineStr">
        <is>
          <t>가정</t>
        </is>
      </c>
      <c r="J50" s="6" t="inlineStr">
        <is>
          <t>가정의학과</t>
        </is>
      </c>
    </row>
    <row r="51">
      <c r="I51" s="6" t="inlineStr">
        <is>
          <t>가정의학</t>
        </is>
      </c>
      <c r="J51" s="6" t="inlineStr">
        <is>
          <t>가정의학과</t>
        </is>
      </c>
    </row>
    <row r="52">
      <c r="I52" s="6" t="inlineStr">
        <is>
          <t>응급</t>
        </is>
      </c>
      <c r="J52" s="6" t="inlineStr">
        <is>
          <t>응급의학과</t>
        </is>
      </c>
    </row>
    <row r="53">
      <c r="I53" s="6" t="inlineStr">
        <is>
          <t>핵의학</t>
        </is>
      </c>
      <c r="J53" s="6" t="inlineStr">
        <is>
          <t>핵의학과</t>
        </is>
      </c>
    </row>
    <row r="54">
      <c r="I54" s="6" t="inlineStr">
        <is>
          <t>핵</t>
        </is>
      </c>
      <c r="J54" s="6" t="inlineStr">
        <is>
          <t>핵의학과</t>
        </is>
      </c>
    </row>
    <row r="55">
      <c r="I55" s="6" t="inlineStr">
        <is>
          <t>직업환경</t>
        </is>
      </c>
      <c r="J55" s="6" t="inlineStr">
        <is>
          <t>직업환경의학과</t>
        </is>
      </c>
    </row>
    <row r="56">
      <c r="I56" s="6" t="inlineStr">
        <is>
          <t>직환</t>
        </is>
      </c>
      <c r="J56" s="6" t="inlineStr">
        <is>
          <t>직업환경의학과</t>
        </is>
      </c>
    </row>
    <row r="57">
      <c r="I57" s="6" t="inlineStr">
        <is>
          <t>수련교육부</t>
        </is>
      </c>
      <c r="J57" s="6" t="inlineStr">
        <is>
          <t>수련교육부(인턴)</t>
        </is>
      </c>
    </row>
    <row r="58">
      <c r="I58" s="6" t="inlineStr">
        <is>
          <t>인턴</t>
        </is>
      </c>
      <c r="J58" s="6" t="inlineStr">
        <is>
          <t>수련교육부(인턴)</t>
        </is>
      </c>
    </row>
    <row r="59">
      <c r="I59" s="6" t="inlineStr">
        <is>
          <t>직피</t>
        </is>
      </c>
      <c r="J59" s="6" t="inlineStr">
        <is>
          <t>직/피</t>
        </is>
      </c>
    </row>
    <row r="60">
      <c r="I60" s="6" t="inlineStr">
        <is>
          <t>직환/피부</t>
        </is>
      </c>
      <c r="J60" s="6" t="inlineStr">
        <is>
          <t>직/피</t>
        </is>
      </c>
    </row>
    <row r="61">
      <c r="I61" s="6" t="inlineStr">
        <is>
          <t>정영</t>
        </is>
      </c>
      <c r="J61" s="6" t="inlineStr">
        <is>
          <t>정/영</t>
        </is>
      </c>
    </row>
    <row r="62">
      <c r="I62" s="6" t="inlineStr">
        <is>
          <t>정신/영상</t>
        </is>
      </c>
      <c r="J62" s="6" t="inlineStr">
        <is>
          <t>정/영</t>
        </is>
      </c>
    </row>
    <row r="63">
      <c r="I63" s="6" t="inlineStr">
        <is>
          <t>핵방</t>
        </is>
      </c>
      <c r="J63" s="6" t="inlineStr">
        <is>
          <t>핵/방</t>
        </is>
      </c>
    </row>
    <row r="64">
      <c r="I64" s="6" t="inlineStr">
        <is>
          <t>핵/방</t>
        </is>
      </c>
      <c r="J64" s="6" t="inlineStr">
        <is>
          <t>핵/방</t>
        </is>
      </c>
    </row>
    <row r="65">
      <c r="I65" s="6" t="inlineStr">
        <is>
          <t>통합</t>
        </is>
      </c>
      <c r="J65" s="6" t="inlineStr">
        <is>
          <t>통합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2026-10-06T07:45:17Z</dcterms:created>
  <dcterms:modified xmlns:dcterms="http://purl.org/dc/terms/" xmlns:xsi="http://www.w3.org/2001/XMLSchema-instance" xsi:type="dcterms:W3CDTF">2026-10-06T07:45:19Z</dcterms:modified>
</cp:coreProperties>
</file>